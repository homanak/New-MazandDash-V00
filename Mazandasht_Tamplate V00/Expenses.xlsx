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ummary" sheetId="2" state="visible" r:id="rId2"/>
    <sheet name="Sync" sheetId="3" state="visible" r:id="rId3"/>
    <sheet name="Calc" sheetId="4" state="visible" r:id="rId4"/>
    <sheet name="Help" sheetId="5" state="visible" r:id="rId5"/>
  </sheets>
  <externalReferences>
    <externalReference r:id="rId8"/>
    <externalReference r:id="rId9"/>
  </externalReferences>
  <definedNames>
    <definedName name="MainTbl">Sync!$A$6:$C$15</definedName>
    <definedName name="SubTbl">Sync!$E$6:$H$105</definedName>
    <definedName name="SubCodes">Sync!$E$6:$E$105</definedName>
    <definedName name="SubTitles">Sync!$G$6:$G$105</definedName>
    <definedName name="AcctTbl">Sync!$J$6:$M$565</definedName>
    <definedName name="PkSubExp">Sync!$AC$6:$AC$105</definedName>
    <definedName name="NSubExp">Sync!$AB$105</definedName>
    <definedName name="ExpNorm">Calc!$E$9:$E$2008</definedName>
    <definedName name="ExpTime">Calc!$F$9:$F$2008</definedName>
    <definedName name="ExpParty">Calc!$G$9:$G$2008</definedName>
    <definedName name="ExpBank">Calc!$H$9:$H$2008</definedName>
    <definedName name="ExpType">Calc!$I$9:$I$2008</definedName>
    <definedName name="ExpGroup">Calc!$J$9:$J$2008</definedName>
    <definedName name="ExpSub">Calc!$K$9:$K$2008</definedName>
    <definedName name="ExpDep">Calc!$L$9:$L$2008</definedName>
    <definedName name="ExpWit">Calc!$M$9:$M$2008</definedName>
    <definedName name="ExpKey">Calc!$O$9:$O$2008</definedName>
    <definedName name="ExpRankKey">Calc!$Q$9:$Q$2008</definedName>
    <definedName name="ExpNote">Sync!$Y$6:$Y$2005</definedName>
    <definedName name="ExpTotalNet">Summary!$G$111</definedName>
    <definedName name="_xlnm.Print_Titles" localSheetId="0">'Report'!$15:$16</definedName>
    <definedName name="_xlnm.Print_Area" localSheetId="0">'Report'!$A$1:$J$2016</definedName>
    <definedName name="_xlnm.Print_Titles" localSheetId="1">'Summary'!$8:$9</definedName>
    <definedName name="_xlnm.Print_Area" localSheetId="1">'Summary'!$A$1:$H$111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C62828"/>
      <sz val="8"/>
    </font>
    <font>
      <name val="Tahoma"/>
      <b val="1"/>
      <color rgb="00FFFFFF"/>
      <sz val="8"/>
    </font>
    <font>
      <name val="Tahoma"/>
      <b val="1"/>
      <color rgb="00FFFFFF"/>
      <sz val="7.5"/>
    </font>
    <font>
      <name val="Tahoma"/>
      <b val="1"/>
      <color rgb="00E65100"/>
      <sz val="13"/>
    </font>
    <font>
      <name val="Tahoma"/>
      <b val="1"/>
      <color rgb="001B5E20"/>
      <sz val="9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607D8B"/>
      <sz val="9"/>
    </font>
    <font>
      <name val="Tahoma"/>
      <color rgb="00263238"/>
      <sz val="9"/>
    </font>
    <font>
      <name val="Tahoma"/>
      <b val="1"/>
      <color rgb="00607D8B"/>
      <sz val="9"/>
    </font>
    <font>
      <name val="Tahoma"/>
      <b val="1"/>
      <color rgb="00E65100"/>
      <sz val="9"/>
    </font>
    <font>
      <name val="Tahoma"/>
      <b val="1"/>
      <color rgb="00FFFFFF"/>
      <sz val="10"/>
    </font>
    <font>
      <name val="Tahoma"/>
      <b val="1"/>
      <color rgb="001B5E20"/>
      <sz val="10"/>
    </font>
    <font>
      <name val="Tahoma"/>
      <b val="1"/>
      <color rgb="00E65100"/>
      <sz val="12"/>
    </font>
    <font>
      <name val="Tahoma"/>
      <i val="1"/>
      <color rgb="00607D8B"/>
      <sz val="7.5"/>
    </font>
    <font>
      <name val="Tahoma"/>
      <b val="1"/>
      <color rgb="00607D8B"/>
      <sz val="8.5"/>
    </font>
    <font>
      <name val="Tahoma"/>
      <color rgb="00263238"/>
      <sz val="10"/>
    </font>
    <font>
      <name val="Tahoma"/>
      <b val="1"/>
      <color rgb="00263238"/>
      <sz val="9"/>
    </font>
    <font>
      <name val="Tahoma"/>
      <b val="1"/>
      <color rgb="00FFFFFF"/>
      <sz val="10.5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E0B2"/>
      </patternFill>
    </fill>
    <fill>
      <patternFill patternType="solid">
        <fgColor rgb="00607D8B"/>
      </patternFill>
    </fill>
    <fill>
      <patternFill patternType="solid">
        <fgColor rgb="00F1F8F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3F8F3"/>
      </patternFill>
    </fill>
    <fill>
      <patternFill patternType="solid">
        <fgColor rgb="00FFF9C4"/>
      </patternFill>
    </fill>
    <fill>
      <patternFill patternType="solid">
        <fgColor rgb="00EEF3F1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  <border>
      <left style="medium">
        <color rgb="0078909C"/>
      </left>
      <right style="medium">
        <color rgb="0078909C"/>
      </right>
      <top style="medium">
        <color rgb="0078909C"/>
      </top>
      <bottom style="medium">
        <color rgb="0078909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14" fillId="7" borderId="1" applyAlignment="1" pivotButton="0" quotePrefix="0" xfId="0">
      <alignment horizontal="right" vertical="center"/>
    </xf>
    <xf numFmtId="49" fontId="18" fillId="10" borderId="4" applyAlignment="1" pivotButton="0" quotePrefix="0" xfId="0">
      <alignment horizontal="center" vertical="center"/>
    </xf>
    <xf numFmtId="0" fontId="19" fillId="8" borderId="1" applyAlignment="1" pivotButton="0" quotePrefix="0" xfId="0">
      <alignment horizontal="right" vertical="center"/>
    </xf>
    <xf numFmtId="0" fontId="20" fillId="7" borderId="1" applyAlignment="1" pivotButton="0" quotePrefix="0" xfId="0">
      <alignment horizontal="right" vertical="center"/>
    </xf>
    <xf numFmtId="0" fontId="21" fillId="11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1" fontId="9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right" vertical="center"/>
    </xf>
    <xf numFmtId="3" fontId="13" fillId="8" borderId="1" applyAlignment="1" pivotButton="0" quotePrefix="0" xfId="0">
      <alignment horizontal="center" vertical="center"/>
    </xf>
    <xf numFmtId="3" fontId="2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right" vertical="center"/>
    </xf>
    <xf numFmtId="3" fontId="13" fillId="9" borderId="1" applyAlignment="1" pivotButton="0" quotePrefix="0" xfId="0">
      <alignment horizontal="center" vertical="center"/>
    </xf>
    <xf numFmtId="3" fontId="22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" fontId="13" fillId="8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" fontId="13" fillId="9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1" fontId="15" fillId="4" borderId="1" applyAlignment="1" pivotButton="0" quotePrefix="0" xfId="0">
      <alignment horizontal="center" vertical="center"/>
    </xf>
    <xf numFmtId="3" fontId="15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1" fontId="17" fillId="7" borderId="1" applyAlignment="1" pivotButton="0" quotePrefix="0" xfId="0">
      <alignment horizontal="center" vertical="center"/>
    </xf>
    <xf numFmtId="3" fontId="17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right" vertical="center"/>
    </xf>
    <xf numFmtId="0" fontId="13" fillId="8" borderId="1" applyAlignment="1" pivotButton="0" quotePrefix="0" xfId="0">
      <alignment horizontal="right" vertical="center" wrapText="1"/>
    </xf>
    <xf numFmtId="0" fontId="13" fillId="9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4">
    <dxf>
      <font>
        <name val="Tahoma"/>
        <b val="1"/>
        <color rgb="00E65100"/>
        <sz val="9"/>
      </font>
    </dxf>
    <dxf>
      <font>
        <name val="Tahoma"/>
        <b val="1"/>
        <color rgb="002E7D32"/>
        <sz val="9"/>
      </font>
    </dxf>
    <dxf>
      <font>
        <name val="Tahoma"/>
        <b val="1"/>
        <color rgb="00C62828"/>
        <sz val="9"/>
      </font>
    </dxf>
    <dxf>
      <font>
        <name val="Tahoma"/>
        <color rgb="00607D8B"/>
        <sz val="9"/>
      </font>
      <fill>
        <patternFill patternType="solid">
          <fgColor rgb="00F3F8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externalLink" Target="externalLinks/externalLink1.xml"/><Relationship Id="rId9" Type="http://schemas.openxmlformats.org/officeDocument/2006/relationships/externalLink" Target="externalLinks/externalLink2.xml"/></Relationships>
</file>

<file path=xl/comments/comment1.xml><?xml version="1.0" encoding="utf-8"?>
<comments xmlns="http://schemas.openxmlformats.org/spreadsheetml/2006/main">
  <authors>
    <author>راهنمای مازندشت</author>
  </authors>
  <commentList>
    <comment ref="C5" authorId="0" shapeId="0">
      <text>
        <t>کد زیرگروه هزینه (SG… از INFO ← SubGroups) — جزئیات هر تراکنش این هزینه به ترتیب تاریخ.
برای زیرگروه دیگر: کپی شیت + تغییر همین کد.</t>
      </text>
    </comment>
  </commentList>
</comment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Lists"/>
      <sheetName val="Help"/>
    </sheetNames>
    <sheetDataSet>
      <sheetData sheetId="1">
        <row r="5">
          <cell r="C5" t="str">
            <v>شرکت سورتینگ و بسته‌بندی مرکبات مازندشت</v>
          </cell>
        </row>
        <row r="6">
          <cell r="C6" t="str">
            <v>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011-00000000</v>
          </cell>
        </row>
        <row r="10">
          <cell r="C10" t="str">
            <v>0911-0000000</v>
          </cell>
        </row>
        <row r="11">
          <cell r="C11" t="str">
            <v>(نام مدیرعامل)</v>
          </cell>
        </row>
        <row r="12">
          <cell r="C12" t="str">
            <v>1405</v>
          </cell>
        </row>
        <row r="13">
          <cell r="C13" t="str">
            <v>ریال</v>
          </cell>
        </row>
        <row r="14">
          <cell r="C14" t="str">
            <v>این اطلاعات به‌صورت خودکار در سرصفحه فایل‌های دیگر تکرار می‌شود.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  <cell r="D7" t="str">
            <v>کیلوگرم</v>
          </cell>
          <cell r="E7" t="str">
            <v>در محاسبه وزن خالص خرید مرکبات کسر می‌شود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  <cell r="D8" t="str">
            <v>درصد</v>
          </cell>
          <cell r="E8" t="str">
            <v>از وزن خالص خرید کسر می‌شود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>
        <row r="7">
          <cell r="A7" t="str">
            <v>عمده</v>
          </cell>
          <cell r="B7" t="str">
            <v>حجره‌دار میدان بار</v>
          </cell>
          <cell r="C7" t="str">
            <v>باغ‌دار</v>
          </cell>
          <cell r="D7" t="str">
            <v>مدیرعامل</v>
          </cell>
          <cell r="E7" t="str">
            <v>حساب اداری/داخلی</v>
          </cell>
          <cell r="F7" t="str">
            <v>زمین و ساختمان</v>
          </cell>
          <cell r="G7" t="str">
            <v>وام بانکی</v>
          </cell>
          <cell r="H7" t="str">
            <v>سرمایه اولیه و آورده نقدی</v>
          </cell>
          <cell r="I7" t="str">
            <v>کلیدی</v>
          </cell>
          <cell r="J7" t="str">
            <v>پایش کامل</v>
          </cell>
        </row>
        <row r="8">
          <cell r="A8" t="str">
            <v>صادراتی</v>
          </cell>
          <cell r="B8" t="str">
            <v>صادراتی</v>
          </cell>
          <cell r="C8" t="str">
            <v>حجره‌دار میدان بار</v>
          </cell>
          <cell r="D8" t="str">
            <v>حسابدار</v>
          </cell>
          <cell r="E8" t="str">
            <v>کارمزد بانکی</v>
          </cell>
          <cell r="F8" t="str">
            <v>خودرو و حمل‌ونقل</v>
          </cell>
          <cell r="G8" t="str">
            <v>تسهیلات و اعتبارات</v>
          </cell>
          <cell r="H8" t="str">
            <v>برداشت سرمایه</v>
          </cell>
          <cell r="I8" t="str">
            <v>عادی</v>
          </cell>
          <cell r="J8" t="str">
            <v>نمونه‌ای</v>
          </cell>
        </row>
        <row r="9">
          <cell r="A9" t="str">
            <v>خرده‌فروش</v>
          </cell>
          <cell r="B9" t="str">
            <v>واسطه</v>
          </cell>
          <cell r="C9" t="str">
            <v>عامل خرید</v>
          </cell>
          <cell r="D9" t="str">
            <v>فروشنده</v>
          </cell>
          <cell r="E9" t="str">
            <v>مالیات</v>
          </cell>
          <cell r="F9" t="str">
            <v>ماشین‌آلات و تجهیزات</v>
          </cell>
          <cell r="G9" t="str">
            <v>قرض از اشخاص</v>
          </cell>
          <cell r="I9" t="str">
            <v>موقت</v>
          </cell>
          <cell r="J9" t="str">
            <v>معاف</v>
          </cell>
        </row>
        <row r="10">
          <cell r="A10" t="str">
            <v>نقدی</v>
          </cell>
          <cell r="B10" t="str">
            <v>نقدی</v>
          </cell>
          <cell r="C10" t="str">
            <v>فروشنده سبد</v>
          </cell>
          <cell r="D10" t="str">
            <v>انباردار</v>
          </cell>
          <cell r="E10" t="str">
            <v>صندوق</v>
          </cell>
        </row>
        <row r="11">
          <cell r="C11" t="str">
            <v>متفرقه</v>
          </cell>
          <cell r="D11" t="str">
            <v>سرپرست خط</v>
          </cell>
          <cell r="E11" t="str">
            <v>متفرقه</v>
          </cell>
        </row>
        <row r="12">
          <cell r="D12" t="str">
            <v>کارگر</v>
          </cell>
        </row>
      </sheetData>
      <sheetData sheetId="4">
        <row r="7">
          <cell r="A7" t="str">
            <v>G01</v>
          </cell>
          <cell r="B7" t="str">
            <v>خرید</v>
          </cell>
          <cell r="C7" t="str">
            <v>خرید کالا و مرکبات</v>
          </cell>
        </row>
        <row r="8">
          <cell r="A8" t="str">
            <v>G02</v>
          </cell>
          <cell r="B8" t="str">
            <v>فروش</v>
          </cell>
          <cell r="C8" t="str">
            <v>فروش کالا و مرکبات</v>
          </cell>
        </row>
        <row r="9">
          <cell r="A9" t="str">
            <v>G03</v>
          </cell>
          <cell r="B9" t="str">
            <v>هزینه</v>
          </cell>
          <cell r="C9" t="str">
            <v>هزینه‌های عملیاتی شرکت</v>
          </cell>
        </row>
        <row r="10">
          <cell r="A10" t="str">
            <v>G04</v>
          </cell>
          <cell r="B10" t="str">
            <v>شخصی قاسم</v>
          </cell>
          <cell r="C10" t="str">
            <v>تراکنش‌های شخصی مدیریت — خارج از محاسبات درآمدی و ترازنامه‌ای شرکت</v>
          </cell>
        </row>
        <row r="11">
          <cell r="A11" t="str">
            <v>G05</v>
          </cell>
          <cell r="B11" t="str">
            <v>وام و تسهیلات</v>
          </cell>
          <cell r="C11" t="str">
            <v>دریافت وام / پرداخت اقساط — طرف حساب = حساب وام L… (بهره: گروه هزینه)</v>
          </cell>
        </row>
        <row r="12">
          <cell r="A12" t="str">
            <v>G06</v>
          </cell>
          <cell r="B12" t="str">
            <v>سرمایه و آورده</v>
          </cell>
          <cell r="C12" t="str">
            <v>آورده / برداشت صاحب سرمایه — طرف حساب = CAP… (در حقوق ترازنامه)</v>
          </cell>
        </row>
        <row r="13">
          <cell r="A13" t="str">
            <v>G07</v>
          </cell>
          <cell r="B13" t="str">
            <v>دارایی ثابت</v>
          </cell>
          <cell r="C13" t="str">
            <v>خرید / فروش زمین، خودرو، تجهیزات — طرف حساب = F… (در دارایی ترازنامه)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  <cell r="D7" t="str">
            <v>خوراک سالن و پرسنل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  <cell r="D9" t="str">
            <v>اقساط بهره و کارمزد وام‌ها — اصل وام حساب L… دارد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  <cell r="D10" t="str">
            <v>مواد مصرفی بسته‌بندی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</row>
        <row r="13">
          <cell r="A13" t="str">
            <v>SG007</v>
          </cell>
        </row>
        <row r="14">
          <cell r="A14" t="str">
            <v>SG008</v>
          </cell>
        </row>
        <row r="15">
          <cell r="A15" t="str">
            <v>SG009</v>
          </cell>
        </row>
        <row r="16">
          <cell r="A16" t="str">
            <v>SG010</v>
          </cell>
        </row>
        <row r="17">
          <cell r="A17" t="str">
            <v>SG011</v>
          </cell>
        </row>
        <row r="18">
          <cell r="A18" t="str">
            <v>SG012</v>
          </cell>
        </row>
        <row r="19">
          <cell r="A19" t="str">
            <v>SG013</v>
          </cell>
        </row>
        <row r="20">
          <cell r="A20" t="str">
            <v>SG014</v>
          </cell>
        </row>
        <row r="21">
          <cell r="A21" t="str">
            <v>SG015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>
        <row r="7">
          <cell r="A7" t="str">
            <v>WG01</v>
          </cell>
          <cell r="B7" t="str">
            <v>گروه سالن ۱</v>
          </cell>
          <cell r="C7" t="str">
            <v>خط سورتینگ — شیفت صبح</v>
          </cell>
        </row>
        <row r="8">
          <cell r="A8" t="str">
            <v>WG02</v>
          </cell>
          <cell r="B8" t="str">
            <v>گروه بسته‌بندی</v>
          </cell>
        </row>
        <row r="9">
          <cell r="A9" t="str">
            <v>WG03</v>
          </cell>
          <cell r="B9" t="str">
            <v>گروه باربری</v>
          </cell>
        </row>
        <row r="10">
          <cell r="A10" t="str">
            <v>WG04</v>
          </cell>
        </row>
        <row r="11">
          <cell r="A11" t="str">
            <v>WG05</v>
          </cell>
        </row>
        <row r="12">
          <cell r="A12" t="str">
            <v>WG06</v>
          </cell>
        </row>
        <row r="13">
          <cell r="A13" t="str">
            <v>WG07</v>
          </cell>
        </row>
        <row r="14">
          <cell r="A14" t="str">
            <v>WG08</v>
          </cell>
        </row>
        <row r="15">
          <cell r="A15" t="str">
            <v>WG09</v>
          </cell>
        </row>
        <row r="16">
          <cell r="A16" t="str">
            <v>WG10</v>
          </cell>
        </row>
        <row r="17">
          <cell r="A17" t="str">
            <v>WG11</v>
          </cell>
        </row>
        <row r="18">
          <cell r="A18" t="str">
            <v>WG12</v>
          </cell>
        </row>
        <row r="19">
          <cell r="A19" t="str">
            <v>WG13</v>
          </cell>
        </row>
        <row r="20">
          <cell r="A20" t="str">
            <v>WG14</v>
          </cell>
        </row>
        <row r="21">
          <cell r="A21" t="str">
            <v>WG15</v>
          </cell>
        </row>
        <row r="22">
          <cell r="A22" t="str">
            <v>WG16</v>
          </cell>
        </row>
        <row r="23">
          <cell r="A23" t="str">
            <v>WG17</v>
          </cell>
        </row>
        <row r="24">
          <cell r="A24" t="str">
            <v>WG18</v>
          </cell>
        </row>
        <row r="25">
          <cell r="A25" t="str">
            <v>WG19</v>
          </cell>
        </row>
        <row r="26">
          <cell r="A26" t="str">
            <v>WG20</v>
          </cell>
        </row>
        <row r="27">
          <cell r="A27" t="str">
            <v>WG21</v>
          </cell>
        </row>
        <row r="28">
          <cell r="A28" t="str">
            <v>WG22</v>
          </cell>
        </row>
        <row r="29">
          <cell r="A29" t="str">
            <v>WG23</v>
          </cell>
        </row>
        <row r="30">
          <cell r="A30" t="str">
            <v>WG24</v>
          </cell>
        </row>
        <row r="31">
          <cell r="A31" t="str">
            <v>WG25</v>
          </cell>
        </row>
        <row r="32">
          <cell r="A32" t="str">
            <v>WG26</v>
          </cell>
        </row>
        <row r="33">
          <cell r="A33" t="str">
            <v>WG27</v>
          </cell>
        </row>
        <row r="34">
          <cell r="A34" t="str">
            <v>WG28</v>
          </cell>
        </row>
        <row r="35">
          <cell r="A35" t="str">
            <v>WG29</v>
          </cell>
        </row>
        <row r="36">
          <cell r="A36" t="str">
            <v>WG30</v>
          </cell>
        </row>
      </sheetData>
      <sheetData sheetId="7">
        <row r="7">
          <cell r="A7" t="str">
            <v>E001</v>
          </cell>
          <cell r="D7" t="str">
            <v>مدیرعامل</v>
          </cell>
        </row>
        <row r="8">
          <cell r="A8" t="str">
            <v>E002</v>
          </cell>
          <cell r="D8" t="str">
            <v>حسابدار</v>
          </cell>
        </row>
        <row r="9">
          <cell r="A9" t="str">
            <v>E003</v>
          </cell>
          <cell r="D9" t="str">
            <v>فروشنده / بازاریاب</v>
          </cell>
        </row>
        <row r="10">
          <cell r="A10" t="str">
            <v>E004</v>
          </cell>
          <cell r="D10" t="str">
            <v>انباردار</v>
          </cell>
        </row>
        <row r="11">
          <cell r="A11" t="str">
            <v>E005</v>
          </cell>
          <cell r="C11" t="str">
            <v>WG01</v>
          </cell>
          <cell r="D11" t="str">
            <v>سرپرست خط</v>
          </cell>
          <cell r="E11" t="str">
            <v>6037-****-****-01 (نمونه)</v>
          </cell>
        </row>
        <row r="12">
          <cell r="A12" t="str">
            <v>E006</v>
          </cell>
          <cell r="C12" t="str">
            <v>WG01</v>
          </cell>
          <cell r="D12" t="str">
            <v>کارگر</v>
          </cell>
          <cell r="E12" t="str">
            <v>6037-****-****-02 (نمونه)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8">
        <row r="7">
          <cell r="A7" t="str">
            <v>C001</v>
          </cell>
          <cell r="B7" t="str">
            <v>مشتری</v>
          </cell>
          <cell r="C7" t="str">
            <v>عمده</v>
          </cell>
          <cell r="D7" t="str">
            <v>علی محمدی (نمونه)</v>
          </cell>
          <cell r="E7" t="str">
            <v>011-33330001</v>
          </cell>
          <cell r="F7" t="str">
            <v>09110000001</v>
          </cell>
          <cell r="G7" t="str">
            <v>بابل — میدان مرکبات</v>
          </cell>
          <cell r="H7" t="str">
            <v>نمونه — ویرایش کنید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مشتری</v>
          </cell>
          <cell r="C8" t="str">
            <v>صادراتی</v>
          </cell>
          <cell r="D8" t="str">
            <v>شرکت پارس میوه (نمونه)</v>
          </cell>
          <cell r="E8" t="str">
            <v>011-33330002</v>
          </cell>
          <cell r="F8" t="str">
            <v>09110000002</v>
          </cell>
          <cell r="G8" t="str">
            <v>ساری — شهرک صنعتی</v>
          </cell>
          <cell r="H8" t="str">
            <v>نمونه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مشتری</v>
          </cell>
          <cell r="C9" t="str">
            <v>خرده‌فروش</v>
          </cell>
          <cell r="D9" t="str">
            <v>فروشگاه بهار (نمونه)</v>
          </cell>
          <cell r="E9" t="str">
            <v>011-33330003</v>
          </cell>
          <cell r="F9" t="str">
            <v>09110000003</v>
          </cell>
          <cell r="G9" t="str">
            <v>قائم‌شهر — خیابان طالب آملی</v>
          </cell>
          <cell r="H9" t="str">
            <v>نمونه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C207" t="str">
            <v>حجره‌دار میدان بار</v>
          </cell>
          <cell r="D207" t="str">
            <v>حاج رضا محمدی (نمونه)</v>
          </cell>
          <cell r="E207" t="str">
            <v>021-55550001</v>
          </cell>
          <cell r="F207" t="str">
            <v>09120000001</v>
          </cell>
          <cell r="G207" t="str">
            <v>تهران — میدان بار میوه و تره‌بار</v>
          </cell>
          <cell r="H207" t="str">
            <v>نمونه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 t="str">
            <v>صادراتی</v>
          </cell>
          <cell r="D208" t="str">
            <v>شرکت گلسرای شمال (نمونه)</v>
          </cell>
          <cell r="E208" t="str">
            <v>011-55550002</v>
          </cell>
          <cell r="F208" t="str">
            <v>09120000002</v>
          </cell>
          <cell r="G208" t="str">
            <v>ساری — شهرک صنعتی</v>
          </cell>
          <cell r="H208" t="str">
            <v>نمونه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 t="str">
            <v>واسطه</v>
          </cell>
          <cell r="D209" t="str">
            <v>عباس نیک‌پی (نمونه)</v>
          </cell>
          <cell r="E209" t="str">
            <v>011-55550003</v>
          </cell>
          <cell r="F209" t="str">
            <v>09120000003</v>
          </cell>
          <cell r="G209" t="str">
            <v>قائم‌شهر</v>
          </cell>
          <cell r="H209" t="str">
            <v>نمونه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 t="str">
            <v>نقدی</v>
          </cell>
          <cell r="D210" t="str">
            <v>مشتری نقدی — پاساژ مرکزی (نمونه)</v>
          </cell>
          <cell r="E210" t="str">
            <v>011-55550004</v>
          </cell>
          <cell r="F210" t="str">
            <v>09120000004</v>
          </cell>
          <cell r="G210" t="str">
            <v>قائم‌شهر — پاساژ مرکزی</v>
          </cell>
          <cell r="H210" t="str">
            <v>نمونه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باغ‌دار</v>
          </cell>
          <cell r="D307" t="str">
            <v>حسن رستمی (نمونه)</v>
          </cell>
          <cell r="E307" t="str">
            <v>011-44440001</v>
          </cell>
          <cell r="F307" t="str">
            <v>09110000004</v>
          </cell>
          <cell r="G307" t="str">
            <v>باغدشت</v>
          </cell>
          <cell r="H307" t="str">
            <v>خرید از باغ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حجره‌دار میدان بار</v>
          </cell>
          <cell r="D308" t="str">
            <v>کریم نوری (نمونه)</v>
          </cell>
          <cell r="E308" t="str">
            <v>011-44440002</v>
          </cell>
          <cell r="F308" t="str">
            <v>09110000005</v>
          </cell>
          <cell r="G308" t="str">
            <v>قائم‌شهر — میدان بار</v>
          </cell>
          <cell r="H308" t="str">
            <v>خرید از میدان بار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عامل خرید</v>
          </cell>
          <cell r="D309" t="str">
            <v>محسن کاظمی (نمونه)</v>
          </cell>
          <cell r="E309" t="str">
            <v>011-44440003</v>
          </cell>
          <cell r="F309" t="str">
            <v>09110000006</v>
          </cell>
          <cell r="G309" t="str">
            <v>جویبار</v>
          </cell>
          <cell r="H309" t="str">
            <v>نمونه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 t="str">
            <v>کریمی — کارگاه سبدسازی (نمونه)</v>
          </cell>
          <cell r="F310" t="str">
            <v>011-44440004</v>
          </cell>
          <cell r="G310" t="str">
            <v>قائم‌شهر — جاده جویبار</v>
          </cell>
          <cell r="H310" t="str">
            <v>فروشنده سبد و ظروف — خرید در فایل Baskets.xlsx (نمونه)</v>
          </cell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F407" t="str">
            <v>09110000010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F408" t="str">
            <v>09110000011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F409" t="str">
            <v>09110000012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F410" t="str">
            <v>09110000013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F411" t="str">
            <v>09110000014</v>
          </cell>
          <cell r="G411" t="str">
            <v>قائم‌شهر</v>
          </cell>
          <cell r="H411" t="str">
            <v>نمونه — گروه سالن ۱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F412" t="str">
            <v>09110000015</v>
          </cell>
          <cell r="G412" t="str">
            <v>قائم‌شهر</v>
          </cell>
          <cell r="H412" t="str">
            <v>نمونه — گروه سالن ۱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B457" t="str">
            <v>سایر حساب</v>
          </cell>
          <cell r="C457" t="str">
            <v>حساب اداری/داخلی</v>
          </cell>
          <cell r="D457" t="str">
            <v>کارمزد و هزینه بانکی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 t="str">
            <v>سایر حساب</v>
          </cell>
          <cell r="C458" t="str">
            <v>مالیات</v>
          </cell>
          <cell r="D458" t="str">
            <v>مالیات و عوارض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 t="str">
            <v>سایر حساب</v>
          </cell>
          <cell r="C459" t="str">
            <v>صندوق</v>
          </cell>
          <cell r="D459" t="str">
            <v>صندوق / نقدی</v>
          </cell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G507" t="str">
            <v>باغدشت</v>
          </cell>
          <cell r="H507" t="str">
            <v>دارایی ثابت شرکت — خرید/فروش با طرفِ این حساب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H508" t="str">
            <v>دارایی ثابت شرکت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H509" t="str">
            <v>دارایی ثابت شرکت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H537" t="str">
            <v>دریافت وام = واریز با این طرف؛ قسط = برداشت با این طرف؛ بهره = گروه هزینه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H557" t="str">
            <v>آورده صاحب (مثل فروش دارایی شخصی) = واریز با این طرف؛ برداشت سرمایه = برداشت با این طرف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10"/>
      <sheetData sheetId="11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پاس چک</v>
          </cell>
        </row>
        <row r="12">
          <cell r="A12" t="str">
            <v>T06</v>
          </cell>
          <cell r="B12" t="str">
            <v>سایر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4">
        <row r="7">
          <cell r="A7" t="str">
            <v>PS01</v>
          </cell>
          <cell r="B7" t="str">
            <v>پرتقال درجه ۱ — بسته‌بندی</v>
          </cell>
          <cell r="C7" t="str">
            <v>پرتقال</v>
          </cell>
          <cell r="D7" t="str">
            <v>کیلوگرم</v>
          </cell>
          <cell r="E7" t="str">
            <v>BK03</v>
          </cell>
        </row>
        <row r="8">
          <cell r="A8" t="str">
            <v>PS02</v>
          </cell>
          <cell r="B8" t="str">
            <v>پرتقال درجه ۲ — عمومی</v>
          </cell>
          <cell r="C8" t="str">
            <v>پرتقال</v>
          </cell>
          <cell r="D8" t="str">
            <v>کیلوگرم</v>
          </cell>
          <cell r="E8" t="str">
            <v>BK02</v>
          </cell>
        </row>
        <row r="9">
          <cell r="A9" t="str">
            <v>PS03</v>
          </cell>
          <cell r="B9" t="str">
            <v>نارنگی درجه ۱ — بسته‌بندی</v>
          </cell>
          <cell r="C9" t="str">
            <v>نارنگی</v>
          </cell>
          <cell r="D9" t="str">
            <v>کیلوگرم</v>
          </cell>
          <cell r="E9" t="str">
            <v>BK03</v>
          </cell>
        </row>
        <row r="10">
          <cell r="A10" t="str">
            <v>PS04</v>
          </cell>
          <cell r="B10" t="str">
            <v>نارنگی عمومی</v>
          </cell>
          <cell r="C10" t="str">
            <v>نارنگی</v>
          </cell>
          <cell r="D10" t="str">
            <v>کیلوگرم</v>
          </cell>
          <cell r="E10" t="str">
            <v>BK01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5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6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  <sheetData sheetId="17">
        <row r="7">
          <cell r="A7" t="str">
            <v>کیلوگرم</v>
          </cell>
          <cell r="B7" t="str">
            <v>مدیرعامل</v>
          </cell>
          <cell r="C7" t="str">
            <v>پرتقال</v>
          </cell>
          <cell r="D7" t="str">
            <v>بله</v>
          </cell>
          <cell r="E7" t="str">
            <v>ورود</v>
          </cell>
        </row>
        <row r="8">
          <cell r="A8" t="str">
            <v>جعبه</v>
          </cell>
          <cell r="B8" t="str">
            <v>حسابدار</v>
          </cell>
          <cell r="C8" t="str">
            <v>نارنگی</v>
          </cell>
          <cell r="D8" t="str">
            <v>خیر</v>
          </cell>
          <cell r="E8" t="str">
            <v>خروج</v>
          </cell>
        </row>
        <row r="9">
          <cell r="A9" t="str">
            <v>سبد</v>
          </cell>
          <cell r="B9" t="str">
            <v>فروشنده</v>
          </cell>
          <cell r="C9" t="str">
            <v>لیمو</v>
          </cell>
        </row>
        <row r="10">
          <cell r="A10" t="str">
            <v>تن</v>
          </cell>
          <cell r="B10" t="str">
            <v>انباردار</v>
          </cell>
          <cell r="C10" t="str">
            <v>گریپ‌فرویت</v>
          </cell>
        </row>
        <row r="11">
          <cell r="A11" t="str">
            <v>عدد</v>
          </cell>
          <cell r="B11" t="str">
            <v>سرپرست خط</v>
          </cell>
          <cell r="C11" t="str">
            <v>گیلاس</v>
          </cell>
        </row>
        <row r="12">
          <cell r="B12" t="str">
            <v>کارگر</v>
          </cell>
          <cell r="C12" t="str">
            <v>سایر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>
  <externalBook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D9" t="str">
            <v>08:30</v>
          </cell>
          <cell r="E9" t="str">
            <v>BANK01 – ملت — جاری شرکت</v>
          </cell>
          <cell r="G9" t="str">
            <v>C001</v>
          </cell>
          <cell r="J9" t="str">
            <v>واریز</v>
          </cell>
          <cell r="K9" t="str">
            <v>فروش</v>
          </cell>
          <cell r="M9">
            <v>250000000</v>
          </cell>
          <cell r="O9">
            <v>750000000</v>
          </cell>
          <cell r="R9" t="str">
            <v>واریز بابت خرید مرکبات (ردیف نمونه)</v>
          </cell>
        </row>
        <row r="10">
          <cell r="C10" t="str">
            <v>1405/07/01</v>
          </cell>
          <cell r="D10" t="str">
            <v>10:15</v>
          </cell>
          <cell r="E10" t="str">
            <v>BANK01 – ملت — جاری شرکت</v>
          </cell>
          <cell r="G10" t="str">
            <v>X001</v>
          </cell>
          <cell r="J10" t="str">
            <v>برداشت</v>
          </cell>
          <cell r="K10" t="str">
            <v>هزینه</v>
          </cell>
          <cell r="L10" t="str">
            <v>کارمزد بانکی</v>
          </cell>
          <cell r="N10">
            <v>1200000</v>
          </cell>
          <cell r="O10">
            <v>748800000</v>
          </cell>
          <cell r="R10" t="str">
            <v>کارمزد بانکی (نمونه)</v>
          </cell>
        </row>
        <row r="11">
          <cell r="C11" t="str">
            <v>1405/07/02</v>
          </cell>
          <cell r="D11" t="str">
            <v>09:00</v>
          </cell>
          <cell r="E11" t="str">
            <v>BANK01 – ملت — جاری شرکت</v>
          </cell>
          <cell r="G11" t="str">
            <v>S002</v>
          </cell>
          <cell r="J11" t="str">
            <v>برداشت</v>
          </cell>
          <cell r="K11" t="str">
            <v>خرید</v>
          </cell>
          <cell r="N11">
            <v>80000000</v>
          </cell>
          <cell r="O11">
            <v>668800000</v>
          </cell>
          <cell r="R11" t="str">
            <v>خرید پرتقال از میدان بار (نمونه)</v>
          </cell>
        </row>
        <row r="12">
          <cell r="C12" t="str">
            <v>1405/07/02</v>
          </cell>
          <cell r="D12" t="str">
            <v>12:45</v>
          </cell>
          <cell r="E12" t="str">
            <v>BANK02 – صادرات — جاری شرکت</v>
          </cell>
          <cell r="G12" t="str">
            <v>C002</v>
          </cell>
          <cell r="J12" t="str">
            <v>واریز</v>
          </cell>
          <cell r="K12" t="str">
            <v>فروش</v>
          </cell>
          <cell r="M12">
            <v>90000000</v>
          </cell>
          <cell r="O12">
            <v>215000000</v>
          </cell>
          <cell r="R12" t="str">
            <v>واریز مشتری — مغایرت عمدی برای نمایش × (نمونه)</v>
          </cell>
        </row>
        <row r="13">
          <cell r="C13" t="str">
            <v>1405/07/03</v>
          </cell>
          <cell r="D13" t="str">
            <v>11:20</v>
          </cell>
          <cell r="E13" t="str">
            <v>BANK02 – صادرات — جاری شرکت</v>
          </cell>
          <cell r="G13" t="str">
            <v>X003</v>
          </cell>
          <cell r="J13" t="str">
            <v>برداشت</v>
          </cell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1405/07/01</v>
          </cell>
          <cell r="D14" t="str">
            <v>08:30</v>
          </cell>
          <cell r="E14" t="str">
            <v>BANK01 – ملت — جاری شرکت</v>
          </cell>
          <cell r="G14" t="str">
            <v>C001</v>
          </cell>
          <cell r="J14" t="str">
            <v>واریز</v>
          </cell>
          <cell r="K14" t="str">
            <v>فروش</v>
          </cell>
          <cell r="M14">
            <v>250000000</v>
          </cell>
          <cell r="O14">
            <v>750000000</v>
          </cell>
          <cell r="R14" t="str">
            <v>ردیف تکراری — اثر آن را بر ستون وضعیت ببینید (نمونه)</v>
          </cell>
        </row>
        <row r="15">
          <cell r="C15" t="str">
            <v>1405/07/04</v>
          </cell>
          <cell r="D15" t="str">
            <v>10:30</v>
          </cell>
          <cell r="E15" t="str">
            <v>BANK01 – ملت — جاری شرکت</v>
          </cell>
          <cell r="G15" t="str">
            <v>SL001</v>
          </cell>
          <cell r="J15" t="str">
            <v>واریز</v>
          </cell>
          <cell r="K15" t="str">
            <v>فروش</v>
          </cell>
          <cell r="M15">
            <v>300000000</v>
          </cell>
          <cell r="R15" t="str">
            <v>واریز فروشنده SL001 (نمونه)</v>
          </cell>
        </row>
        <row r="16">
          <cell r="C16" t="str">
            <v>1405/07/09</v>
          </cell>
          <cell r="D16" t="str">
            <v>11:30</v>
          </cell>
          <cell r="E16" t="str">
            <v>BANK02 – صادرات — جاری شرکت</v>
          </cell>
          <cell r="G16" t="str">
            <v>SL002</v>
          </cell>
          <cell r="J16" t="str">
            <v>واریز</v>
          </cell>
          <cell r="K16" t="str">
            <v>فروش</v>
          </cell>
          <cell r="M16">
            <v>1600000000</v>
          </cell>
          <cell r="R16" t="str">
            <v>تسویه فروشنده SL002 (نمونه)</v>
          </cell>
        </row>
        <row r="17">
          <cell r="C17" t="str">
            <v>1405/07/05</v>
          </cell>
          <cell r="D17" t="str">
            <v>13:00</v>
          </cell>
          <cell r="E17" t="str">
            <v>BANK01 – ملت — جاری شرکت</v>
          </cell>
          <cell r="G17" t="str">
            <v>E002</v>
          </cell>
          <cell r="J17" t="str">
            <v>برداشت</v>
          </cell>
          <cell r="K17" t="str">
            <v>هزینه</v>
          </cell>
          <cell r="L17" t="str">
            <v>دستمزد کارکنان</v>
          </cell>
          <cell r="N17">
            <v>25000000</v>
          </cell>
          <cell r="R17" t="str">
            <v>دستمزد هفتگی (نمونه)</v>
          </cell>
        </row>
        <row r="18">
          <cell r="C18" t="str">
            <v>1405/07/06</v>
          </cell>
          <cell r="D18" t="str">
            <v>16:30</v>
          </cell>
          <cell r="E18" t="str">
            <v>BANK02 – صادرات — جاری شرکت</v>
          </cell>
          <cell r="G18" t="str">
            <v>S002</v>
          </cell>
          <cell r="J18" t="str">
            <v>برداشت</v>
          </cell>
          <cell r="K18" t="str">
            <v>هزینه</v>
          </cell>
          <cell r="L18" t="str">
            <v>رنگ و واکس</v>
          </cell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1405/07/07</v>
          </cell>
          <cell r="D19" t="str">
            <v>09:15</v>
          </cell>
          <cell r="E19" t="str">
            <v>BANK01 – ملت — جاری شرکت</v>
          </cell>
          <cell r="G19" t="str">
            <v>E003</v>
          </cell>
          <cell r="J19" t="str">
            <v>برداشت</v>
          </cell>
          <cell r="K19" t="str">
            <v>هزینه</v>
          </cell>
          <cell r="L19" t="str">
            <v>مواد غذایی</v>
          </cell>
          <cell r="N19">
            <v>8000000</v>
          </cell>
          <cell r="R19" t="str">
            <v>خوراک سالن (نمونه)</v>
          </cell>
        </row>
        <row r="20">
          <cell r="C20" t="str">
            <v>1405/07/08</v>
          </cell>
          <cell r="D20" t="str">
            <v>12:00</v>
          </cell>
          <cell r="E20" t="str">
            <v>BANK01 – ملت — جاری شرکت</v>
          </cell>
          <cell r="G20" t="str">
            <v>E001</v>
          </cell>
          <cell r="J20" t="str">
            <v>برداشت</v>
          </cell>
          <cell r="K20" t="str">
            <v>شخصی قاسم</v>
          </cell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1405/07/07</v>
          </cell>
          <cell r="D21" t="str">
            <v>10:00</v>
          </cell>
          <cell r="E21" t="str">
            <v>BANK01 – ملت — جاری شرکت</v>
          </cell>
          <cell r="G21" t="str">
            <v>S001</v>
          </cell>
          <cell r="J21" t="str">
            <v>برداشت</v>
          </cell>
          <cell r="K21" t="str">
            <v>خرید</v>
          </cell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1405/07/15</v>
          </cell>
          <cell r="D22" t="str">
            <v>09:00</v>
          </cell>
          <cell r="E22" t="str">
            <v>BANK01 – ملت — جاری شرکت</v>
          </cell>
          <cell r="G22" t="str">
            <v>S001</v>
          </cell>
          <cell r="J22" t="str">
            <v>پاس چک</v>
          </cell>
          <cell r="N22">
            <v>80000000</v>
          </cell>
          <cell r="R22" t="str">
            <v>پاس شدن چک ۲۴۰۱۲۳۴۵ — تسویه خرید باغ (نمونه)</v>
          </cell>
          <cell r="S22" t="str">
            <v>24012345</v>
          </cell>
        </row>
        <row r="23">
          <cell r="C23" t="str">
            <v>1405/07/11</v>
          </cell>
          <cell r="D23" t="str">
            <v>10:00</v>
          </cell>
          <cell r="E23" t="str">
            <v>BANK01 – ملت — جاری شرکت</v>
          </cell>
          <cell r="G23" t="str">
            <v>CAP001</v>
          </cell>
          <cell r="J23" t="str">
            <v>واریز</v>
          </cell>
          <cell r="K23" t="str">
            <v>سرمایه و آورده</v>
          </cell>
          <cell r="L23" t="str">
            <v>سرمایه اولیه و آورده نقدی</v>
          </cell>
          <cell r="M23">
            <v>400000000</v>
          </cell>
          <cell r="R23" t="str">
            <v>فروش زمین شخصی و آورده نقدی صاحب سرمایه (نمونه)</v>
          </cell>
        </row>
        <row r="24">
          <cell r="C24" t="str">
            <v>1405/07/12</v>
          </cell>
          <cell r="D24" t="str">
            <v>09:30</v>
          </cell>
          <cell r="E24" t="str">
            <v>BANK02 – صادرات — جاری شرکت</v>
          </cell>
          <cell r="G24" t="str">
            <v>L001</v>
          </cell>
          <cell r="J24" t="str">
            <v>واریز</v>
          </cell>
          <cell r="K24" t="str">
            <v>وام و تسهیلات</v>
          </cell>
          <cell r="M24">
            <v>200000000</v>
          </cell>
          <cell r="R24" t="str">
            <v>دریافت وام بانک ملت (نمونه)</v>
          </cell>
        </row>
        <row r="25">
          <cell r="C25" t="str">
            <v>1405/07/16</v>
          </cell>
          <cell r="D25" t="str">
            <v>10:00</v>
          </cell>
          <cell r="E25" t="str">
            <v>BANK02 – صادرات — جاری شرکت</v>
          </cell>
          <cell r="G25" t="str">
            <v>L001</v>
          </cell>
          <cell r="J25" t="str">
            <v>برداشت</v>
          </cell>
          <cell r="K25" t="str">
            <v>وام و تسهیلات</v>
          </cell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1405/07/16</v>
          </cell>
          <cell r="D26" t="str">
            <v>10:05</v>
          </cell>
          <cell r="E26" t="str">
            <v>BANK01 – ملت — جاری شرکت</v>
          </cell>
          <cell r="G26" t="str">
            <v>L001</v>
          </cell>
          <cell r="J26" t="str">
            <v>برداشت</v>
          </cell>
          <cell r="K26" t="str">
            <v>هزینه</v>
          </cell>
          <cell r="L26" t="str">
            <v>بهره و کارمزد وام</v>
          </cell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1405/07/18</v>
          </cell>
          <cell r="D27" t="str">
            <v>11:00</v>
          </cell>
          <cell r="E27" t="str">
            <v>BANK01 – ملت — جاری شرکت</v>
          </cell>
          <cell r="G27" t="str">
            <v>F002</v>
          </cell>
          <cell r="J27" t="str">
            <v>برداشت</v>
          </cell>
          <cell r="K27" t="str">
            <v>دارایی ثابت</v>
          </cell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1405/07/15</v>
          </cell>
          <cell r="D28" t="str">
            <v>10:30</v>
          </cell>
          <cell r="E28" t="str">
            <v>BANK01 – ملت — جاری شرکت</v>
          </cell>
          <cell r="G28" t="str">
            <v>S004</v>
          </cell>
          <cell r="J28" t="str">
            <v>برداشت</v>
          </cell>
          <cell r="K28" t="str">
            <v>خرید</v>
          </cell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1405/07/20</v>
          </cell>
          <cell r="D29" t="str">
            <v>12:00</v>
          </cell>
          <cell r="E29" t="str">
            <v>BANK01 – ملت — جاری شرکت</v>
          </cell>
          <cell r="G29" t="str">
            <v>C099</v>
          </cell>
          <cell r="J29" t="str">
            <v>واریز</v>
          </cell>
          <cell r="K29" t="str">
            <v>فروش</v>
          </cell>
          <cell r="M29">
            <v>5000000</v>
          </cell>
          <cell r="R29" t="str">
            <v>مشتری جدید — هنوز در INFO تعریف نشده (نمونه برای شیت کنترل)</v>
          </cell>
        </row>
        <row r="30">
          <cell r="C30" t="str">
            <v>1405/07/21</v>
          </cell>
          <cell r="D30" t="str">
            <v>09:40</v>
          </cell>
          <cell r="E30" t="str">
            <v>BANK01 – ملت — جاری شرکت</v>
          </cell>
          <cell r="G30" t="str">
            <v>X003</v>
          </cell>
          <cell r="J30" t="str">
            <v>برداشت</v>
          </cell>
          <cell r="K30" t="str">
            <v>هزینه</v>
          </cell>
          <cell r="N30">
            <v>3000000</v>
          </cell>
          <cell r="R30" t="str">
            <v>هزینه بدون زیرگروه — برای نمایش در شیت کنترل (نمونه)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L2016"/>
  <sheetViews>
    <sheetView showGridLines="0" rightToLeft="1" zoomScale="9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8" customWidth="1" min="3" max="3"/>
    <col width="24" customWidth="1" min="4" max="4"/>
    <col width="24" customWidth="1" min="5" max="5"/>
    <col width="13" customWidth="1" min="6" max="6"/>
    <col width="14" customWidth="1" min="7" max="7"/>
    <col width="14" customWidth="1" min="8" max="8"/>
    <col width="16" customWidth="1" min="9" max="9"/>
    <col width="28" customWidth="1" min="10" max="10"/>
    <col width="6" customWidth="1" min="12" max="12"/>
  </cols>
  <sheetData>
    <row r="1" ht="26" customHeight="1">
      <c r="A1" s="1">
        <f>IF(Sync!$AE$6="","مازندشت",Sync!$AE$6)&amp;" — "&amp;IF(Sync!$AE$9="","سورتینگ و بسته‌بندی مرکبات",Sync!$AE$9)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4" customHeight="1">
      <c r="A2" s="2">
        <f>IF(Sync!$AE$7="","باغدشت، بخش مرکزی، شهرستان قائم‌شهر، استان مازندران، ایران",Sync!$AE$7)&amp;"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>
        <f>"گزارش هزینه زیرگروه — "&amp;IFERROR(IF(VLOOKUP($C$5,SubTbl,2,0)="","(بدون عنوان)",VLOOKUP($C$5,SubTbl,2,0)),"کد زیرگروه را وارد کنید")</f>
        <v/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A5" s="4" t="inlineStr">
        <is>
          <t>کد زیرگروه (ورود دستی):</t>
        </is>
      </c>
      <c r="B5" s="4" t="n"/>
      <c r="C5" s="5" t="inlineStr">
        <is>
          <t>SG001</t>
        </is>
      </c>
      <c r="D5" s="5" t="n"/>
      <c r="E5" s="6" t="inlineStr">
        <is>
          <t>کد را از فایل INFO (شیت SubGroups) وارد کنید — سربرگ، کارت‌ها و کل فهرست خودکار به‌روز می‌شوند.</t>
        </is>
      </c>
      <c r="F5" s="6" t="n"/>
      <c r="G5" s="6" t="n"/>
      <c r="H5" s="6" t="n"/>
      <c r="I5" s="6" t="n"/>
      <c r="J5" s="6" t="n"/>
    </row>
    <row r="6" ht="17" customHeight="1">
      <c r="A6" s="7" t="inlineStr">
        <is>
          <t>عنوان زیرگروه:</t>
        </is>
      </c>
      <c r="B6" s="7" t="n"/>
      <c r="C6" s="8">
        <f>IFERROR(IF(VLOOKUP($C$5,SubTbl,3,0)="","(بدون عنوان)",VLOOKUP($C$5,SubTbl,3,0)),"—")</f>
        <v/>
      </c>
      <c r="D6" s="8" t="n"/>
      <c r="E6" s="8" t="n"/>
      <c r="F6" s="8" t="n"/>
      <c r="G6" s="8" t="n"/>
      <c r="H6" s="8" t="n"/>
      <c r="I6" s="8" t="n"/>
      <c r="J6" s="8" t="n"/>
    </row>
    <row r="7" ht="17" customHeight="1">
      <c r="A7" s="7" t="inlineStr">
        <is>
          <t>گروه اصلی:</t>
        </is>
      </c>
      <c r="B7" s="7" t="n"/>
      <c r="C7" s="8">
        <f>IFERROR(IF(VLOOKUP($C$5,SubTbl,2,0)="","—",VLOOKUP($C$5,SubTbl,2,0)),"—")</f>
        <v/>
      </c>
      <c r="D7" s="8" t="n"/>
      <c r="E7" s="8" t="n"/>
      <c r="F7" s="8" t="n"/>
      <c r="G7" s="8" t="n"/>
      <c r="H7" s="8" t="n"/>
      <c r="I7" s="8" t="n"/>
      <c r="J7" s="8" t="n"/>
    </row>
    <row r="8" ht="17" customHeight="1">
      <c r="A8" s="7" t="inlineStr">
        <is>
          <t>توضیح:</t>
        </is>
      </c>
      <c r="B8" s="7" t="n"/>
      <c r="C8" s="8">
        <f>IFERROR(IF(VLOOKUP($C$5,SubTbl,4,0)="","—",VLOOKUP($C$5,SubTbl,4,0)),"—")</f>
        <v/>
      </c>
      <c r="D8" s="8" t="n"/>
      <c r="E8" s="8" t="n"/>
      <c r="F8" s="8" t="n"/>
      <c r="G8" s="8" t="n"/>
      <c r="H8" s="8" t="n"/>
      <c r="I8" s="8" t="n"/>
      <c r="J8" s="8" t="n"/>
    </row>
    <row r="9">
      <c r="A9" s="6" t="inlineStr">
        <is>
          <t>فهرست زیر، همه تراکنش‌های گروه «هزینه» با این زیرگروه را به ترتیب تاریخ نشان می‌دهد. این شیت فقط نمایش/چاپ است؛ برای زیرگروه دیگر، شیت را کپی کنید و کد را عوض کنید.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1" ht="13" customHeight="1">
      <c r="A11" s="9" t="inlineStr">
        <is>
          <t>جمع برداشت (ریال)</t>
        </is>
      </c>
      <c r="B11" s="9" t="n"/>
      <c r="C11" s="9" t="inlineStr">
        <is>
          <t>جمع واریز/بازگشت (ریال)</t>
        </is>
      </c>
      <c r="D11" s="9" t="n"/>
      <c r="E11" s="9" t="inlineStr">
        <is>
          <t>خالص هزینه (ریال)</t>
        </is>
      </c>
      <c r="F11" s="9" t="n"/>
      <c r="G11" s="9" t="inlineStr">
        <is>
          <t>تعداد تراکنش</t>
        </is>
      </c>
      <c r="H11" s="9" t="n"/>
      <c r="I11" s="9" t="inlineStr">
        <is>
          <t>بزرگ‌ترین ردیف (ریال)</t>
        </is>
      </c>
      <c r="J11" s="9" t="n"/>
    </row>
    <row r="12" ht="22" customHeight="1">
      <c r="A12" s="10">
        <f>SUM($H$17:$H$2016)</f>
        <v/>
      </c>
      <c r="B12" s="10" t="n"/>
      <c r="C12" s="10">
        <f>SUM($G$17:$G$2016)</f>
        <v/>
      </c>
      <c r="D12" s="10" t="n"/>
      <c r="E12" s="10">
        <f>SUM($H$17:$H$2016)-SUM($G$17:$G$2016)</f>
        <v/>
      </c>
      <c r="F12" s="10" t="n"/>
      <c r="G12" s="11">
        <f>COUNT($I$17:$I$2016)</f>
        <v/>
      </c>
      <c r="H12" s="11" t="n"/>
      <c r="I12" s="10">
        <f>IF(COUNT($H$17:$H$2016)=0,"—",MAX($H$17:$H$2016))</f>
        <v/>
      </c>
      <c r="J12" s="10" t="n"/>
    </row>
    <row r="13" ht="13" customHeight="1">
      <c r="A13" s="9" t="inlineStr">
        <is>
          <t>میانگین هر ردیف (ریال)</t>
        </is>
      </c>
      <c r="B13" s="9" t="n"/>
      <c r="C13" s="9" t="inlineStr">
        <is>
          <t>سهم از کل هزینه</t>
        </is>
      </c>
      <c r="D13" s="9" t="n"/>
      <c r="E13" s="9" t="inlineStr">
        <is>
          <t>اولین تاریخ</t>
        </is>
      </c>
      <c r="F13" s="9" t="n"/>
      <c r="G13" s="9" t="inlineStr">
        <is>
          <t>آخرین تاریخ</t>
        </is>
      </c>
      <c r="H13" s="9" t="n"/>
      <c r="I13" s="9" t="inlineStr">
        <is>
          <t>جمع خالص تا آخرین ردیف</t>
        </is>
      </c>
      <c r="J13" s="9" t="n"/>
    </row>
    <row r="14" ht="22" customHeight="1">
      <c r="A14" s="10">
        <f>IF($G$12=0,"—",ROUND($E$12/$G$12,0))</f>
        <v/>
      </c>
      <c r="B14" s="10" t="n"/>
      <c r="C14" s="12">
        <f>IFERROR(IF(ExpTotalNet=0,"—",$E$12/ExpTotalNet),"—")</f>
        <v/>
      </c>
      <c r="D14" s="12" t="n"/>
      <c r="E14" s="13">
        <f>IF($G$12=0,"—",INDEX($B$17:$B$2016,1))</f>
        <v/>
      </c>
      <c r="F14" s="13" t="n"/>
      <c r="G14" s="13">
        <f>IF($G$12=0,"—",INDEX($B$17:$B$2016,$G$12))</f>
        <v/>
      </c>
      <c r="H14" s="13" t="n"/>
      <c r="I14" s="10">
        <f>IF($G$12=0,"—",LOOKUP(9.99E+307,$I$17:$I$2016))</f>
        <v/>
      </c>
      <c r="J14" s="10" t="n"/>
    </row>
    <row r="15" ht="30" customHeight="1">
      <c r="A15" s="14" t="inlineStr">
        <is>
          <t>ردیف</t>
        </is>
      </c>
      <c r="B15" s="14" t="inlineStr">
        <is>
          <t>تاریخ</t>
        </is>
      </c>
      <c r="C15" s="14" t="inlineStr">
        <is>
          <t>ساعت</t>
        </is>
      </c>
      <c r="D15" s="14" t="inlineStr">
        <is>
          <t>بانک</t>
        </is>
      </c>
      <c r="E15" s="14" t="inlineStr">
        <is>
          <t>طرف حساب</t>
        </is>
      </c>
      <c r="F15" s="14" t="inlineStr">
        <is>
          <t>نوع تراکنش</t>
        </is>
      </c>
      <c r="G15" s="14" t="inlineStr">
        <is>
          <t>واریز (ریال)</t>
        </is>
      </c>
      <c r="H15" s="14" t="inlineStr">
        <is>
          <t>برداشت (ریال)</t>
        </is>
      </c>
      <c r="I15" s="14" t="inlineStr">
        <is>
          <t>جمع تجمعی خالص (ریال)</t>
        </is>
      </c>
      <c r="J15" s="14" t="inlineStr">
        <is>
          <t>توضیحات</t>
        </is>
      </c>
    </row>
    <row r="16" ht="13" customHeight="1">
      <c r="A16" s="15" t="inlineStr">
        <is>
          <t>No.</t>
        </is>
      </c>
      <c r="B16" s="15" t="inlineStr">
        <is>
          <t>Date</t>
        </is>
      </c>
      <c r="C16" s="15" t="inlineStr">
        <is>
          <t>Time</t>
        </is>
      </c>
      <c r="D16" s="15" t="inlineStr">
        <is>
          <t>Bank</t>
        </is>
      </c>
      <c r="E16" s="15" t="inlineStr">
        <is>
          <t>Party</t>
        </is>
      </c>
      <c r="F16" s="15" t="inlineStr">
        <is>
          <t>Txn Type</t>
        </is>
      </c>
      <c r="G16" s="15" t="inlineStr">
        <is>
          <t>Deposit</t>
        </is>
      </c>
      <c r="H16" s="15" t="inlineStr">
        <is>
          <t>Withdrawal</t>
        </is>
      </c>
      <c r="I16" s="15" t="inlineStr">
        <is>
          <t>Cum. Net</t>
        </is>
      </c>
      <c r="J16" s="15" t="inlineStr">
        <is>
          <t>Notes</t>
        </is>
      </c>
    </row>
    <row r="17">
      <c r="A17" s="16" t="n">
        <v>1</v>
      </c>
      <c r="B17" s="17">
        <f>IF($L17="","",INDEX(ExpNorm,$L17))</f>
        <v/>
      </c>
      <c r="C17" s="17">
        <f>IF($L17="","",IF(INDEX(ExpTime,$L17)="","—",LEFT(INDEX(ExpTime,$L17),2)&amp;":"&amp;RIGHT(INDEX(ExpTime,$L17),2)))</f>
        <v/>
      </c>
      <c r="D17" s="17">
        <f>IF($L17="","",IF(INDEX(ExpBank,$L17)="","—",INDEX(ExpBank,$L17)))</f>
        <v/>
      </c>
      <c r="E17" s="18">
        <f>IF($L17="","",IF(INDEX(ExpParty,$L17)="","—",IFERROR(VLOOKUP(INDEX(ExpParty,$L17),AcctTbl,4,0),INDEX(ExpParty,$L17))))</f>
        <v/>
      </c>
      <c r="F17" s="17">
        <f>IF($L17="","",IF(INDEX(ExpType,$L17)="","—",INDEX(ExpType,$L17)))</f>
        <v/>
      </c>
      <c r="G17" s="19">
        <f>IF($L17="","",IF(INDEX(ExpDep,$L17)=0,"",INDEX(ExpDep,$L17)))</f>
        <v/>
      </c>
      <c r="H17" s="19">
        <f>IF($L17="","",IF(INDEX(ExpWit,$L17)=0,"",INDEX(ExpWit,$L17)))</f>
        <v/>
      </c>
      <c r="I17" s="20">
        <f>IF($B17="","",IF($H17="",0,$H17)-IF($G17="",0,$G17))</f>
        <v/>
      </c>
      <c r="J17" s="18">
        <f>IF($L17="","",IF(INDEX(ExpNote,$L17)="","—",INDEX(ExpNote,$L17)))</f>
        <v/>
      </c>
      <c r="L17">
        <f>IFERROR(MATCH($C$5&amp;"|"&amp;RIGHT("000000"&amp;1,6),ExpRankKey,0),"")</f>
        <v/>
      </c>
    </row>
    <row r="18">
      <c r="A18" s="21" t="n">
        <v>2</v>
      </c>
      <c r="B18" s="22">
        <f>IF($L18="","",INDEX(ExpNorm,$L18))</f>
        <v/>
      </c>
      <c r="C18" s="22">
        <f>IF($L18="","",IF(INDEX(ExpTime,$L18)="","—",LEFT(INDEX(ExpTime,$L18),2)&amp;":"&amp;RIGHT(INDEX(ExpTime,$L18),2)))</f>
        <v/>
      </c>
      <c r="D18" s="22">
        <f>IF($L18="","",IF(INDEX(ExpBank,$L18)="","—",INDEX(ExpBank,$L18)))</f>
        <v/>
      </c>
      <c r="E18" s="23">
        <f>IF($L18="","",IF(INDEX(ExpParty,$L18)="","—",IFERROR(VLOOKUP(INDEX(ExpParty,$L18),AcctTbl,4,0),INDEX(ExpParty,$L18))))</f>
        <v/>
      </c>
      <c r="F18" s="22">
        <f>IF($L18="","",IF(INDEX(ExpType,$L18)="","—",INDEX(ExpType,$L18)))</f>
        <v/>
      </c>
      <c r="G18" s="24">
        <f>IF($L18="","",IF(INDEX(ExpDep,$L18)=0,"",INDEX(ExpDep,$L18)))</f>
        <v/>
      </c>
      <c r="H18" s="24">
        <f>IF($L18="","",IF(INDEX(ExpWit,$L18)=0,"",INDEX(ExpWit,$L18)))</f>
        <v/>
      </c>
      <c r="I18" s="25">
        <f>IF($B18="","",IF($I17="",0,$I17)+IF($H18="",0,$H18)-IF($G18="",0,$G18))</f>
        <v/>
      </c>
      <c r="J18" s="23">
        <f>IF($L18="","",IF(INDEX(ExpNote,$L18)="","—",INDEX(ExpNote,$L18)))</f>
        <v/>
      </c>
      <c r="L18">
        <f>IFERROR(MATCH($C$5&amp;"|"&amp;RIGHT("000000"&amp;2,6),ExpRankKey,0),"")</f>
        <v/>
      </c>
    </row>
    <row r="19">
      <c r="A19" s="16" t="n">
        <v>3</v>
      </c>
      <c r="B19" s="17">
        <f>IF($L19="","",INDEX(ExpNorm,$L19))</f>
        <v/>
      </c>
      <c r="C19" s="17">
        <f>IF($L19="","",IF(INDEX(ExpTime,$L19)="","—",LEFT(INDEX(ExpTime,$L19),2)&amp;":"&amp;RIGHT(INDEX(ExpTime,$L19),2)))</f>
        <v/>
      </c>
      <c r="D19" s="17">
        <f>IF($L19="","",IF(INDEX(ExpBank,$L19)="","—",INDEX(ExpBank,$L19)))</f>
        <v/>
      </c>
      <c r="E19" s="18">
        <f>IF($L19="","",IF(INDEX(ExpParty,$L19)="","—",IFERROR(VLOOKUP(INDEX(ExpParty,$L19),AcctTbl,4,0),INDEX(ExpParty,$L19))))</f>
        <v/>
      </c>
      <c r="F19" s="17">
        <f>IF($L19="","",IF(INDEX(ExpType,$L19)="","—",INDEX(ExpType,$L19)))</f>
        <v/>
      </c>
      <c r="G19" s="19">
        <f>IF($L19="","",IF(INDEX(ExpDep,$L19)=0,"",INDEX(ExpDep,$L19)))</f>
        <v/>
      </c>
      <c r="H19" s="19">
        <f>IF($L19="","",IF(INDEX(ExpWit,$L19)=0,"",INDEX(ExpWit,$L19)))</f>
        <v/>
      </c>
      <c r="I19" s="20">
        <f>IF($B19="","",IF($I18="",0,$I18)+IF($H19="",0,$H19)-IF($G19="",0,$G19))</f>
        <v/>
      </c>
      <c r="J19" s="18">
        <f>IF($L19="","",IF(INDEX(ExpNote,$L19)="","—",INDEX(ExpNote,$L19)))</f>
        <v/>
      </c>
      <c r="L19">
        <f>IFERROR(MATCH($C$5&amp;"|"&amp;RIGHT("000000"&amp;3,6),ExpRankKey,0),"")</f>
        <v/>
      </c>
    </row>
    <row r="20">
      <c r="A20" s="21" t="n">
        <v>4</v>
      </c>
      <c r="B20" s="22">
        <f>IF($L20="","",INDEX(ExpNorm,$L20))</f>
        <v/>
      </c>
      <c r="C20" s="22">
        <f>IF($L20="","",IF(INDEX(ExpTime,$L20)="","—",LEFT(INDEX(ExpTime,$L20),2)&amp;":"&amp;RIGHT(INDEX(ExpTime,$L20),2)))</f>
        <v/>
      </c>
      <c r="D20" s="22">
        <f>IF($L20="","",IF(INDEX(ExpBank,$L20)="","—",INDEX(ExpBank,$L20)))</f>
        <v/>
      </c>
      <c r="E20" s="23">
        <f>IF($L20="","",IF(INDEX(ExpParty,$L20)="","—",IFERROR(VLOOKUP(INDEX(ExpParty,$L20),AcctTbl,4,0),INDEX(ExpParty,$L20))))</f>
        <v/>
      </c>
      <c r="F20" s="22">
        <f>IF($L20="","",IF(INDEX(ExpType,$L20)="","—",INDEX(ExpType,$L20)))</f>
        <v/>
      </c>
      <c r="G20" s="24">
        <f>IF($L20="","",IF(INDEX(ExpDep,$L20)=0,"",INDEX(ExpDep,$L20)))</f>
        <v/>
      </c>
      <c r="H20" s="24">
        <f>IF($L20="","",IF(INDEX(ExpWit,$L20)=0,"",INDEX(ExpWit,$L20)))</f>
        <v/>
      </c>
      <c r="I20" s="25">
        <f>IF($B20="","",IF($I19="",0,$I19)+IF($H20="",0,$H20)-IF($G20="",0,$G20))</f>
        <v/>
      </c>
      <c r="J20" s="23">
        <f>IF($L20="","",IF(INDEX(ExpNote,$L20)="","—",INDEX(ExpNote,$L20)))</f>
        <v/>
      </c>
      <c r="L20">
        <f>IFERROR(MATCH($C$5&amp;"|"&amp;RIGHT("000000"&amp;4,6),ExpRankKey,0),"")</f>
        <v/>
      </c>
    </row>
    <row r="21">
      <c r="A21" s="16" t="n">
        <v>5</v>
      </c>
      <c r="B21" s="17">
        <f>IF($L21="","",INDEX(ExpNorm,$L21))</f>
        <v/>
      </c>
      <c r="C21" s="17">
        <f>IF($L21="","",IF(INDEX(ExpTime,$L21)="","—",LEFT(INDEX(ExpTime,$L21),2)&amp;":"&amp;RIGHT(INDEX(ExpTime,$L21),2)))</f>
        <v/>
      </c>
      <c r="D21" s="17">
        <f>IF($L21="","",IF(INDEX(ExpBank,$L21)="","—",INDEX(ExpBank,$L21)))</f>
        <v/>
      </c>
      <c r="E21" s="18">
        <f>IF($L21="","",IF(INDEX(ExpParty,$L21)="","—",IFERROR(VLOOKUP(INDEX(ExpParty,$L21),AcctTbl,4,0),INDEX(ExpParty,$L21))))</f>
        <v/>
      </c>
      <c r="F21" s="17">
        <f>IF($L21="","",IF(INDEX(ExpType,$L21)="","—",INDEX(ExpType,$L21)))</f>
        <v/>
      </c>
      <c r="G21" s="19">
        <f>IF($L21="","",IF(INDEX(ExpDep,$L21)=0,"",INDEX(ExpDep,$L21)))</f>
        <v/>
      </c>
      <c r="H21" s="19">
        <f>IF($L21="","",IF(INDEX(ExpWit,$L21)=0,"",INDEX(ExpWit,$L21)))</f>
        <v/>
      </c>
      <c r="I21" s="20">
        <f>IF($B21="","",IF($I20="",0,$I20)+IF($H21="",0,$H21)-IF($G21="",0,$G21))</f>
        <v/>
      </c>
      <c r="J21" s="18">
        <f>IF($L21="","",IF(INDEX(ExpNote,$L21)="","—",INDEX(ExpNote,$L21)))</f>
        <v/>
      </c>
      <c r="L21">
        <f>IFERROR(MATCH($C$5&amp;"|"&amp;RIGHT("000000"&amp;5,6),ExpRankKey,0),"")</f>
        <v/>
      </c>
    </row>
    <row r="22">
      <c r="A22" s="21" t="n">
        <v>6</v>
      </c>
      <c r="B22" s="22">
        <f>IF($L22="","",INDEX(ExpNorm,$L22))</f>
        <v/>
      </c>
      <c r="C22" s="22">
        <f>IF($L22="","",IF(INDEX(ExpTime,$L22)="","—",LEFT(INDEX(ExpTime,$L22),2)&amp;":"&amp;RIGHT(INDEX(ExpTime,$L22),2)))</f>
        <v/>
      </c>
      <c r="D22" s="22">
        <f>IF($L22="","",IF(INDEX(ExpBank,$L22)="","—",INDEX(ExpBank,$L22)))</f>
        <v/>
      </c>
      <c r="E22" s="23">
        <f>IF($L22="","",IF(INDEX(ExpParty,$L22)="","—",IFERROR(VLOOKUP(INDEX(ExpParty,$L22),AcctTbl,4,0),INDEX(ExpParty,$L22))))</f>
        <v/>
      </c>
      <c r="F22" s="22">
        <f>IF($L22="","",IF(INDEX(ExpType,$L22)="","—",INDEX(ExpType,$L22)))</f>
        <v/>
      </c>
      <c r="G22" s="24">
        <f>IF($L22="","",IF(INDEX(ExpDep,$L22)=0,"",INDEX(ExpDep,$L22)))</f>
        <v/>
      </c>
      <c r="H22" s="24">
        <f>IF($L22="","",IF(INDEX(ExpWit,$L22)=0,"",INDEX(ExpWit,$L22)))</f>
        <v/>
      </c>
      <c r="I22" s="25">
        <f>IF($B22="","",IF($I21="",0,$I21)+IF($H22="",0,$H22)-IF($G22="",0,$G22))</f>
        <v/>
      </c>
      <c r="J22" s="23">
        <f>IF($L22="","",IF(INDEX(ExpNote,$L22)="","—",INDEX(ExpNote,$L22)))</f>
        <v/>
      </c>
      <c r="L22">
        <f>IFERROR(MATCH($C$5&amp;"|"&amp;RIGHT("000000"&amp;6,6),ExpRankKey,0),"")</f>
        <v/>
      </c>
    </row>
    <row r="23">
      <c r="A23" s="16" t="n">
        <v>7</v>
      </c>
      <c r="B23" s="17">
        <f>IF($L23="","",INDEX(ExpNorm,$L23))</f>
        <v/>
      </c>
      <c r="C23" s="17">
        <f>IF($L23="","",IF(INDEX(ExpTime,$L23)="","—",LEFT(INDEX(ExpTime,$L23),2)&amp;":"&amp;RIGHT(INDEX(ExpTime,$L23),2)))</f>
        <v/>
      </c>
      <c r="D23" s="17">
        <f>IF($L23="","",IF(INDEX(ExpBank,$L23)="","—",INDEX(ExpBank,$L23)))</f>
        <v/>
      </c>
      <c r="E23" s="18">
        <f>IF($L23="","",IF(INDEX(ExpParty,$L23)="","—",IFERROR(VLOOKUP(INDEX(ExpParty,$L23),AcctTbl,4,0),INDEX(ExpParty,$L23))))</f>
        <v/>
      </c>
      <c r="F23" s="17">
        <f>IF($L23="","",IF(INDEX(ExpType,$L23)="","—",INDEX(ExpType,$L23)))</f>
        <v/>
      </c>
      <c r="G23" s="19">
        <f>IF($L23="","",IF(INDEX(ExpDep,$L23)=0,"",INDEX(ExpDep,$L23)))</f>
        <v/>
      </c>
      <c r="H23" s="19">
        <f>IF($L23="","",IF(INDEX(ExpWit,$L23)=0,"",INDEX(ExpWit,$L23)))</f>
        <v/>
      </c>
      <c r="I23" s="20">
        <f>IF($B23="","",IF($I22="",0,$I22)+IF($H23="",0,$H23)-IF($G23="",0,$G23))</f>
        <v/>
      </c>
      <c r="J23" s="18">
        <f>IF($L23="","",IF(INDEX(ExpNote,$L23)="","—",INDEX(ExpNote,$L23)))</f>
        <v/>
      </c>
      <c r="L23">
        <f>IFERROR(MATCH($C$5&amp;"|"&amp;RIGHT("000000"&amp;7,6),ExpRankKey,0),"")</f>
        <v/>
      </c>
    </row>
    <row r="24">
      <c r="A24" s="21" t="n">
        <v>8</v>
      </c>
      <c r="B24" s="22">
        <f>IF($L24="","",INDEX(ExpNorm,$L24))</f>
        <v/>
      </c>
      <c r="C24" s="22">
        <f>IF($L24="","",IF(INDEX(ExpTime,$L24)="","—",LEFT(INDEX(ExpTime,$L24),2)&amp;":"&amp;RIGHT(INDEX(ExpTime,$L24),2)))</f>
        <v/>
      </c>
      <c r="D24" s="22">
        <f>IF($L24="","",IF(INDEX(ExpBank,$L24)="","—",INDEX(ExpBank,$L24)))</f>
        <v/>
      </c>
      <c r="E24" s="23">
        <f>IF($L24="","",IF(INDEX(ExpParty,$L24)="","—",IFERROR(VLOOKUP(INDEX(ExpParty,$L24),AcctTbl,4,0),INDEX(ExpParty,$L24))))</f>
        <v/>
      </c>
      <c r="F24" s="22">
        <f>IF($L24="","",IF(INDEX(ExpType,$L24)="","—",INDEX(ExpType,$L24)))</f>
        <v/>
      </c>
      <c r="G24" s="24">
        <f>IF($L24="","",IF(INDEX(ExpDep,$L24)=0,"",INDEX(ExpDep,$L24)))</f>
        <v/>
      </c>
      <c r="H24" s="24">
        <f>IF($L24="","",IF(INDEX(ExpWit,$L24)=0,"",INDEX(ExpWit,$L24)))</f>
        <v/>
      </c>
      <c r="I24" s="25">
        <f>IF($B24="","",IF($I23="",0,$I23)+IF($H24="",0,$H24)-IF($G24="",0,$G24))</f>
        <v/>
      </c>
      <c r="J24" s="23">
        <f>IF($L24="","",IF(INDEX(ExpNote,$L24)="","—",INDEX(ExpNote,$L24)))</f>
        <v/>
      </c>
      <c r="L24">
        <f>IFERROR(MATCH($C$5&amp;"|"&amp;RIGHT("000000"&amp;8,6),ExpRankKey,0),"")</f>
        <v/>
      </c>
    </row>
    <row r="25">
      <c r="A25" s="16" t="n">
        <v>9</v>
      </c>
      <c r="B25" s="17">
        <f>IF($L25="","",INDEX(ExpNorm,$L25))</f>
        <v/>
      </c>
      <c r="C25" s="17">
        <f>IF($L25="","",IF(INDEX(ExpTime,$L25)="","—",LEFT(INDEX(ExpTime,$L25),2)&amp;":"&amp;RIGHT(INDEX(ExpTime,$L25),2)))</f>
        <v/>
      </c>
      <c r="D25" s="17">
        <f>IF($L25="","",IF(INDEX(ExpBank,$L25)="","—",INDEX(ExpBank,$L25)))</f>
        <v/>
      </c>
      <c r="E25" s="18">
        <f>IF($L25="","",IF(INDEX(ExpParty,$L25)="","—",IFERROR(VLOOKUP(INDEX(ExpParty,$L25),AcctTbl,4,0),INDEX(ExpParty,$L25))))</f>
        <v/>
      </c>
      <c r="F25" s="17">
        <f>IF($L25="","",IF(INDEX(ExpType,$L25)="","—",INDEX(ExpType,$L25)))</f>
        <v/>
      </c>
      <c r="G25" s="19">
        <f>IF($L25="","",IF(INDEX(ExpDep,$L25)=0,"",INDEX(ExpDep,$L25)))</f>
        <v/>
      </c>
      <c r="H25" s="19">
        <f>IF($L25="","",IF(INDEX(ExpWit,$L25)=0,"",INDEX(ExpWit,$L25)))</f>
        <v/>
      </c>
      <c r="I25" s="20">
        <f>IF($B25="","",IF($I24="",0,$I24)+IF($H25="",0,$H25)-IF($G25="",0,$G25))</f>
        <v/>
      </c>
      <c r="J25" s="18">
        <f>IF($L25="","",IF(INDEX(ExpNote,$L25)="","—",INDEX(ExpNote,$L25)))</f>
        <v/>
      </c>
      <c r="L25">
        <f>IFERROR(MATCH($C$5&amp;"|"&amp;RIGHT("000000"&amp;9,6),ExpRankKey,0),"")</f>
        <v/>
      </c>
    </row>
    <row r="26">
      <c r="A26" s="21" t="n">
        <v>10</v>
      </c>
      <c r="B26" s="22">
        <f>IF($L26="","",INDEX(ExpNorm,$L26))</f>
        <v/>
      </c>
      <c r="C26" s="22">
        <f>IF($L26="","",IF(INDEX(ExpTime,$L26)="","—",LEFT(INDEX(ExpTime,$L26),2)&amp;":"&amp;RIGHT(INDEX(ExpTime,$L26),2)))</f>
        <v/>
      </c>
      <c r="D26" s="22">
        <f>IF($L26="","",IF(INDEX(ExpBank,$L26)="","—",INDEX(ExpBank,$L26)))</f>
        <v/>
      </c>
      <c r="E26" s="23">
        <f>IF($L26="","",IF(INDEX(ExpParty,$L26)="","—",IFERROR(VLOOKUP(INDEX(ExpParty,$L26),AcctTbl,4,0),INDEX(ExpParty,$L26))))</f>
        <v/>
      </c>
      <c r="F26" s="22">
        <f>IF($L26="","",IF(INDEX(ExpType,$L26)="","—",INDEX(ExpType,$L26)))</f>
        <v/>
      </c>
      <c r="G26" s="24">
        <f>IF($L26="","",IF(INDEX(ExpDep,$L26)=0,"",INDEX(ExpDep,$L26)))</f>
        <v/>
      </c>
      <c r="H26" s="24">
        <f>IF($L26="","",IF(INDEX(ExpWit,$L26)=0,"",INDEX(ExpWit,$L26)))</f>
        <v/>
      </c>
      <c r="I26" s="25">
        <f>IF($B26="","",IF($I25="",0,$I25)+IF($H26="",0,$H26)-IF($G26="",0,$G26))</f>
        <v/>
      </c>
      <c r="J26" s="23">
        <f>IF($L26="","",IF(INDEX(ExpNote,$L26)="","—",INDEX(ExpNote,$L26)))</f>
        <v/>
      </c>
      <c r="L26">
        <f>IFERROR(MATCH($C$5&amp;"|"&amp;RIGHT("000000"&amp;10,6),ExpRankKey,0),"")</f>
        <v/>
      </c>
    </row>
    <row r="27">
      <c r="A27" s="16" t="n">
        <v>11</v>
      </c>
      <c r="B27" s="17">
        <f>IF($L27="","",INDEX(ExpNorm,$L27))</f>
        <v/>
      </c>
      <c r="C27" s="17">
        <f>IF($L27="","",IF(INDEX(ExpTime,$L27)="","—",LEFT(INDEX(ExpTime,$L27),2)&amp;":"&amp;RIGHT(INDEX(ExpTime,$L27),2)))</f>
        <v/>
      </c>
      <c r="D27" s="17">
        <f>IF($L27="","",IF(INDEX(ExpBank,$L27)="","—",INDEX(ExpBank,$L27)))</f>
        <v/>
      </c>
      <c r="E27" s="18">
        <f>IF($L27="","",IF(INDEX(ExpParty,$L27)="","—",IFERROR(VLOOKUP(INDEX(ExpParty,$L27),AcctTbl,4,0),INDEX(ExpParty,$L27))))</f>
        <v/>
      </c>
      <c r="F27" s="17">
        <f>IF($L27="","",IF(INDEX(ExpType,$L27)="","—",INDEX(ExpType,$L27)))</f>
        <v/>
      </c>
      <c r="G27" s="19">
        <f>IF($L27="","",IF(INDEX(ExpDep,$L27)=0,"",INDEX(ExpDep,$L27)))</f>
        <v/>
      </c>
      <c r="H27" s="19">
        <f>IF($L27="","",IF(INDEX(ExpWit,$L27)=0,"",INDEX(ExpWit,$L27)))</f>
        <v/>
      </c>
      <c r="I27" s="20">
        <f>IF($B27="","",IF($I26="",0,$I26)+IF($H27="",0,$H27)-IF($G27="",0,$G27))</f>
        <v/>
      </c>
      <c r="J27" s="18">
        <f>IF($L27="","",IF(INDEX(ExpNote,$L27)="","—",INDEX(ExpNote,$L27)))</f>
        <v/>
      </c>
      <c r="L27">
        <f>IFERROR(MATCH($C$5&amp;"|"&amp;RIGHT("000000"&amp;11,6),ExpRankKey,0),"")</f>
        <v/>
      </c>
    </row>
    <row r="28">
      <c r="A28" s="21" t="n">
        <v>12</v>
      </c>
      <c r="B28" s="22">
        <f>IF($L28="","",INDEX(ExpNorm,$L28))</f>
        <v/>
      </c>
      <c r="C28" s="22">
        <f>IF($L28="","",IF(INDEX(ExpTime,$L28)="","—",LEFT(INDEX(ExpTime,$L28),2)&amp;":"&amp;RIGHT(INDEX(ExpTime,$L28),2)))</f>
        <v/>
      </c>
      <c r="D28" s="22">
        <f>IF($L28="","",IF(INDEX(ExpBank,$L28)="","—",INDEX(ExpBank,$L28)))</f>
        <v/>
      </c>
      <c r="E28" s="23">
        <f>IF($L28="","",IF(INDEX(ExpParty,$L28)="","—",IFERROR(VLOOKUP(INDEX(ExpParty,$L28),AcctTbl,4,0),INDEX(ExpParty,$L28))))</f>
        <v/>
      </c>
      <c r="F28" s="22">
        <f>IF($L28="","",IF(INDEX(ExpType,$L28)="","—",INDEX(ExpType,$L28)))</f>
        <v/>
      </c>
      <c r="G28" s="24">
        <f>IF($L28="","",IF(INDEX(ExpDep,$L28)=0,"",INDEX(ExpDep,$L28)))</f>
        <v/>
      </c>
      <c r="H28" s="24">
        <f>IF($L28="","",IF(INDEX(ExpWit,$L28)=0,"",INDEX(ExpWit,$L28)))</f>
        <v/>
      </c>
      <c r="I28" s="25">
        <f>IF($B28="","",IF($I27="",0,$I27)+IF($H28="",0,$H28)-IF($G28="",0,$G28))</f>
        <v/>
      </c>
      <c r="J28" s="23">
        <f>IF($L28="","",IF(INDEX(ExpNote,$L28)="","—",INDEX(ExpNote,$L28)))</f>
        <v/>
      </c>
      <c r="L28">
        <f>IFERROR(MATCH($C$5&amp;"|"&amp;RIGHT("000000"&amp;12,6),ExpRankKey,0),"")</f>
        <v/>
      </c>
    </row>
    <row r="29">
      <c r="A29" s="16" t="n">
        <v>13</v>
      </c>
      <c r="B29" s="17">
        <f>IF($L29="","",INDEX(ExpNorm,$L29))</f>
        <v/>
      </c>
      <c r="C29" s="17">
        <f>IF($L29="","",IF(INDEX(ExpTime,$L29)="","—",LEFT(INDEX(ExpTime,$L29),2)&amp;":"&amp;RIGHT(INDEX(ExpTime,$L29),2)))</f>
        <v/>
      </c>
      <c r="D29" s="17">
        <f>IF($L29="","",IF(INDEX(ExpBank,$L29)="","—",INDEX(ExpBank,$L29)))</f>
        <v/>
      </c>
      <c r="E29" s="18">
        <f>IF($L29="","",IF(INDEX(ExpParty,$L29)="","—",IFERROR(VLOOKUP(INDEX(ExpParty,$L29),AcctTbl,4,0),INDEX(ExpParty,$L29))))</f>
        <v/>
      </c>
      <c r="F29" s="17">
        <f>IF($L29="","",IF(INDEX(ExpType,$L29)="","—",INDEX(ExpType,$L29)))</f>
        <v/>
      </c>
      <c r="G29" s="19">
        <f>IF($L29="","",IF(INDEX(ExpDep,$L29)=0,"",INDEX(ExpDep,$L29)))</f>
        <v/>
      </c>
      <c r="H29" s="19">
        <f>IF($L29="","",IF(INDEX(ExpWit,$L29)=0,"",INDEX(ExpWit,$L29)))</f>
        <v/>
      </c>
      <c r="I29" s="20">
        <f>IF($B29="","",IF($I28="",0,$I28)+IF($H29="",0,$H29)-IF($G29="",0,$G29))</f>
        <v/>
      </c>
      <c r="J29" s="18">
        <f>IF($L29="","",IF(INDEX(ExpNote,$L29)="","—",INDEX(ExpNote,$L29)))</f>
        <v/>
      </c>
      <c r="L29">
        <f>IFERROR(MATCH($C$5&amp;"|"&amp;RIGHT("000000"&amp;13,6),ExpRankKey,0),"")</f>
        <v/>
      </c>
    </row>
    <row r="30">
      <c r="A30" s="21" t="n">
        <v>14</v>
      </c>
      <c r="B30" s="22">
        <f>IF($L30="","",INDEX(ExpNorm,$L30))</f>
        <v/>
      </c>
      <c r="C30" s="22">
        <f>IF($L30="","",IF(INDEX(ExpTime,$L30)="","—",LEFT(INDEX(ExpTime,$L30),2)&amp;":"&amp;RIGHT(INDEX(ExpTime,$L30),2)))</f>
        <v/>
      </c>
      <c r="D30" s="22">
        <f>IF($L30="","",IF(INDEX(ExpBank,$L30)="","—",INDEX(ExpBank,$L30)))</f>
        <v/>
      </c>
      <c r="E30" s="23">
        <f>IF($L30="","",IF(INDEX(ExpParty,$L30)="","—",IFERROR(VLOOKUP(INDEX(ExpParty,$L30),AcctTbl,4,0),INDEX(ExpParty,$L30))))</f>
        <v/>
      </c>
      <c r="F30" s="22">
        <f>IF($L30="","",IF(INDEX(ExpType,$L30)="","—",INDEX(ExpType,$L30)))</f>
        <v/>
      </c>
      <c r="G30" s="24">
        <f>IF($L30="","",IF(INDEX(ExpDep,$L30)=0,"",INDEX(ExpDep,$L30)))</f>
        <v/>
      </c>
      <c r="H30" s="24">
        <f>IF($L30="","",IF(INDEX(ExpWit,$L30)=0,"",INDEX(ExpWit,$L30)))</f>
        <v/>
      </c>
      <c r="I30" s="25">
        <f>IF($B30="","",IF($I29="",0,$I29)+IF($H30="",0,$H30)-IF($G30="",0,$G30))</f>
        <v/>
      </c>
      <c r="J30" s="23">
        <f>IF($L30="","",IF(INDEX(ExpNote,$L30)="","—",INDEX(ExpNote,$L30)))</f>
        <v/>
      </c>
      <c r="L30">
        <f>IFERROR(MATCH($C$5&amp;"|"&amp;RIGHT("000000"&amp;14,6),ExpRankKey,0),"")</f>
        <v/>
      </c>
    </row>
    <row r="31">
      <c r="A31" s="16" t="n">
        <v>15</v>
      </c>
      <c r="B31" s="17">
        <f>IF($L31="","",INDEX(ExpNorm,$L31))</f>
        <v/>
      </c>
      <c r="C31" s="17">
        <f>IF($L31="","",IF(INDEX(ExpTime,$L31)="","—",LEFT(INDEX(ExpTime,$L31),2)&amp;":"&amp;RIGHT(INDEX(ExpTime,$L31),2)))</f>
        <v/>
      </c>
      <c r="D31" s="17">
        <f>IF($L31="","",IF(INDEX(ExpBank,$L31)="","—",INDEX(ExpBank,$L31)))</f>
        <v/>
      </c>
      <c r="E31" s="18">
        <f>IF($L31="","",IF(INDEX(ExpParty,$L31)="","—",IFERROR(VLOOKUP(INDEX(ExpParty,$L31),AcctTbl,4,0),INDEX(ExpParty,$L31))))</f>
        <v/>
      </c>
      <c r="F31" s="17">
        <f>IF($L31="","",IF(INDEX(ExpType,$L31)="","—",INDEX(ExpType,$L31)))</f>
        <v/>
      </c>
      <c r="G31" s="19">
        <f>IF($L31="","",IF(INDEX(ExpDep,$L31)=0,"",INDEX(ExpDep,$L31)))</f>
        <v/>
      </c>
      <c r="H31" s="19">
        <f>IF($L31="","",IF(INDEX(ExpWit,$L31)=0,"",INDEX(ExpWit,$L31)))</f>
        <v/>
      </c>
      <c r="I31" s="20">
        <f>IF($B31="","",IF($I30="",0,$I30)+IF($H31="",0,$H31)-IF($G31="",0,$G31))</f>
        <v/>
      </c>
      <c r="J31" s="18">
        <f>IF($L31="","",IF(INDEX(ExpNote,$L31)="","—",INDEX(ExpNote,$L31)))</f>
        <v/>
      </c>
      <c r="L31">
        <f>IFERROR(MATCH($C$5&amp;"|"&amp;RIGHT("000000"&amp;15,6),ExpRankKey,0),"")</f>
        <v/>
      </c>
    </row>
    <row r="32">
      <c r="A32" s="21" t="n">
        <v>16</v>
      </c>
      <c r="B32" s="22">
        <f>IF($L32="","",INDEX(ExpNorm,$L32))</f>
        <v/>
      </c>
      <c r="C32" s="22">
        <f>IF($L32="","",IF(INDEX(ExpTime,$L32)="","—",LEFT(INDEX(ExpTime,$L32),2)&amp;":"&amp;RIGHT(INDEX(ExpTime,$L32),2)))</f>
        <v/>
      </c>
      <c r="D32" s="22">
        <f>IF($L32="","",IF(INDEX(ExpBank,$L32)="","—",INDEX(ExpBank,$L32)))</f>
        <v/>
      </c>
      <c r="E32" s="23">
        <f>IF($L32="","",IF(INDEX(ExpParty,$L32)="","—",IFERROR(VLOOKUP(INDEX(ExpParty,$L32),AcctTbl,4,0),INDEX(ExpParty,$L32))))</f>
        <v/>
      </c>
      <c r="F32" s="22">
        <f>IF($L32="","",IF(INDEX(ExpType,$L32)="","—",INDEX(ExpType,$L32)))</f>
        <v/>
      </c>
      <c r="G32" s="24">
        <f>IF($L32="","",IF(INDEX(ExpDep,$L32)=0,"",INDEX(ExpDep,$L32)))</f>
        <v/>
      </c>
      <c r="H32" s="24">
        <f>IF($L32="","",IF(INDEX(ExpWit,$L32)=0,"",INDEX(ExpWit,$L32)))</f>
        <v/>
      </c>
      <c r="I32" s="25">
        <f>IF($B32="","",IF($I31="",0,$I31)+IF($H32="",0,$H32)-IF($G32="",0,$G32))</f>
        <v/>
      </c>
      <c r="J32" s="23">
        <f>IF($L32="","",IF(INDEX(ExpNote,$L32)="","—",INDEX(ExpNote,$L32)))</f>
        <v/>
      </c>
      <c r="L32">
        <f>IFERROR(MATCH($C$5&amp;"|"&amp;RIGHT("000000"&amp;16,6),ExpRankKey,0),"")</f>
        <v/>
      </c>
    </row>
    <row r="33">
      <c r="A33" s="16" t="n">
        <v>17</v>
      </c>
      <c r="B33" s="17">
        <f>IF($L33="","",INDEX(ExpNorm,$L33))</f>
        <v/>
      </c>
      <c r="C33" s="17">
        <f>IF($L33="","",IF(INDEX(ExpTime,$L33)="","—",LEFT(INDEX(ExpTime,$L33),2)&amp;":"&amp;RIGHT(INDEX(ExpTime,$L33),2)))</f>
        <v/>
      </c>
      <c r="D33" s="17">
        <f>IF($L33="","",IF(INDEX(ExpBank,$L33)="","—",INDEX(ExpBank,$L33)))</f>
        <v/>
      </c>
      <c r="E33" s="18">
        <f>IF($L33="","",IF(INDEX(ExpParty,$L33)="","—",IFERROR(VLOOKUP(INDEX(ExpParty,$L33),AcctTbl,4,0),INDEX(ExpParty,$L33))))</f>
        <v/>
      </c>
      <c r="F33" s="17">
        <f>IF($L33="","",IF(INDEX(ExpType,$L33)="","—",INDEX(ExpType,$L33)))</f>
        <v/>
      </c>
      <c r="G33" s="19">
        <f>IF($L33="","",IF(INDEX(ExpDep,$L33)=0,"",INDEX(ExpDep,$L33)))</f>
        <v/>
      </c>
      <c r="H33" s="19">
        <f>IF($L33="","",IF(INDEX(ExpWit,$L33)=0,"",INDEX(ExpWit,$L33)))</f>
        <v/>
      </c>
      <c r="I33" s="20">
        <f>IF($B33="","",IF($I32="",0,$I32)+IF($H33="",0,$H33)-IF($G33="",0,$G33))</f>
        <v/>
      </c>
      <c r="J33" s="18">
        <f>IF($L33="","",IF(INDEX(ExpNote,$L33)="","—",INDEX(ExpNote,$L33)))</f>
        <v/>
      </c>
      <c r="L33">
        <f>IFERROR(MATCH($C$5&amp;"|"&amp;RIGHT("000000"&amp;17,6),ExpRankKey,0),"")</f>
        <v/>
      </c>
    </row>
    <row r="34">
      <c r="A34" s="21" t="n">
        <v>18</v>
      </c>
      <c r="B34" s="22">
        <f>IF($L34="","",INDEX(ExpNorm,$L34))</f>
        <v/>
      </c>
      <c r="C34" s="22">
        <f>IF($L34="","",IF(INDEX(ExpTime,$L34)="","—",LEFT(INDEX(ExpTime,$L34),2)&amp;":"&amp;RIGHT(INDEX(ExpTime,$L34),2)))</f>
        <v/>
      </c>
      <c r="D34" s="22">
        <f>IF($L34="","",IF(INDEX(ExpBank,$L34)="","—",INDEX(ExpBank,$L34)))</f>
        <v/>
      </c>
      <c r="E34" s="23">
        <f>IF($L34="","",IF(INDEX(ExpParty,$L34)="","—",IFERROR(VLOOKUP(INDEX(ExpParty,$L34),AcctTbl,4,0),INDEX(ExpParty,$L34))))</f>
        <v/>
      </c>
      <c r="F34" s="22">
        <f>IF($L34="","",IF(INDEX(ExpType,$L34)="","—",INDEX(ExpType,$L34)))</f>
        <v/>
      </c>
      <c r="G34" s="24">
        <f>IF($L34="","",IF(INDEX(ExpDep,$L34)=0,"",INDEX(ExpDep,$L34)))</f>
        <v/>
      </c>
      <c r="H34" s="24">
        <f>IF($L34="","",IF(INDEX(ExpWit,$L34)=0,"",INDEX(ExpWit,$L34)))</f>
        <v/>
      </c>
      <c r="I34" s="25">
        <f>IF($B34="","",IF($I33="",0,$I33)+IF($H34="",0,$H34)-IF($G34="",0,$G34))</f>
        <v/>
      </c>
      <c r="J34" s="23">
        <f>IF($L34="","",IF(INDEX(ExpNote,$L34)="","—",INDEX(ExpNote,$L34)))</f>
        <v/>
      </c>
      <c r="L34">
        <f>IFERROR(MATCH($C$5&amp;"|"&amp;RIGHT("000000"&amp;18,6),ExpRankKey,0),"")</f>
        <v/>
      </c>
    </row>
    <row r="35">
      <c r="A35" s="16" t="n">
        <v>19</v>
      </c>
      <c r="B35" s="17">
        <f>IF($L35="","",INDEX(ExpNorm,$L35))</f>
        <v/>
      </c>
      <c r="C35" s="17">
        <f>IF($L35="","",IF(INDEX(ExpTime,$L35)="","—",LEFT(INDEX(ExpTime,$L35),2)&amp;":"&amp;RIGHT(INDEX(ExpTime,$L35),2)))</f>
        <v/>
      </c>
      <c r="D35" s="17">
        <f>IF($L35="","",IF(INDEX(ExpBank,$L35)="","—",INDEX(ExpBank,$L35)))</f>
        <v/>
      </c>
      <c r="E35" s="18">
        <f>IF($L35="","",IF(INDEX(ExpParty,$L35)="","—",IFERROR(VLOOKUP(INDEX(ExpParty,$L35),AcctTbl,4,0),INDEX(ExpParty,$L35))))</f>
        <v/>
      </c>
      <c r="F35" s="17">
        <f>IF($L35="","",IF(INDEX(ExpType,$L35)="","—",INDEX(ExpType,$L35)))</f>
        <v/>
      </c>
      <c r="G35" s="19">
        <f>IF($L35="","",IF(INDEX(ExpDep,$L35)=0,"",INDEX(ExpDep,$L35)))</f>
        <v/>
      </c>
      <c r="H35" s="19">
        <f>IF($L35="","",IF(INDEX(ExpWit,$L35)=0,"",INDEX(ExpWit,$L35)))</f>
        <v/>
      </c>
      <c r="I35" s="20">
        <f>IF($B35="","",IF($I34="",0,$I34)+IF($H35="",0,$H35)-IF($G35="",0,$G35))</f>
        <v/>
      </c>
      <c r="J35" s="18">
        <f>IF($L35="","",IF(INDEX(ExpNote,$L35)="","—",INDEX(ExpNote,$L35)))</f>
        <v/>
      </c>
      <c r="L35">
        <f>IFERROR(MATCH($C$5&amp;"|"&amp;RIGHT("000000"&amp;19,6),ExpRankKey,0),"")</f>
        <v/>
      </c>
    </row>
    <row r="36">
      <c r="A36" s="21" t="n">
        <v>20</v>
      </c>
      <c r="B36" s="22">
        <f>IF($L36="","",INDEX(ExpNorm,$L36))</f>
        <v/>
      </c>
      <c r="C36" s="22">
        <f>IF($L36="","",IF(INDEX(ExpTime,$L36)="","—",LEFT(INDEX(ExpTime,$L36),2)&amp;":"&amp;RIGHT(INDEX(ExpTime,$L36),2)))</f>
        <v/>
      </c>
      <c r="D36" s="22">
        <f>IF($L36="","",IF(INDEX(ExpBank,$L36)="","—",INDEX(ExpBank,$L36)))</f>
        <v/>
      </c>
      <c r="E36" s="23">
        <f>IF($L36="","",IF(INDEX(ExpParty,$L36)="","—",IFERROR(VLOOKUP(INDEX(ExpParty,$L36),AcctTbl,4,0),INDEX(ExpParty,$L36))))</f>
        <v/>
      </c>
      <c r="F36" s="22">
        <f>IF($L36="","",IF(INDEX(ExpType,$L36)="","—",INDEX(ExpType,$L36)))</f>
        <v/>
      </c>
      <c r="G36" s="24">
        <f>IF($L36="","",IF(INDEX(ExpDep,$L36)=0,"",INDEX(ExpDep,$L36)))</f>
        <v/>
      </c>
      <c r="H36" s="24">
        <f>IF($L36="","",IF(INDEX(ExpWit,$L36)=0,"",INDEX(ExpWit,$L36)))</f>
        <v/>
      </c>
      <c r="I36" s="25">
        <f>IF($B36="","",IF($I35="",0,$I35)+IF($H36="",0,$H36)-IF($G36="",0,$G36))</f>
        <v/>
      </c>
      <c r="J36" s="23">
        <f>IF($L36="","",IF(INDEX(ExpNote,$L36)="","—",INDEX(ExpNote,$L36)))</f>
        <v/>
      </c>
      <c r="L36">
        <f>IFERROR(MATCH($C$5&amp;"|"&amp;RIGHT("000000"&amp;20,6),ExpRankKey,0),"")</f>
        <v/>
      </c>
    </row>
    <row r="37">
      <c r="A37" s="16" t="n">
        <v>21</v>
      </c>
      <c r="B37" s="17">
        <f>IF($L37="","",INDEX(ExpNorm,$L37))</f>
        <v/>
      </c>
      <c r="C37" s="17">
        <f>IF($L37="","",IF(INDEX(ExpTime,$L37)="","—",LEFT(INDEX(ExpTime,$L37),2)&amp;":"&amp;RIGHT(INDEX(ExpTime,$L37),2)))</f>
        <v/>
      </c>
      <c r="D37" s="17">
        <f>IF($L37="","",IF(INDEX(ExpBank,$L37)="","—",INDEX(ExpBank,$L37)))</f>
        <v/>
      </c>
      <c r="E37" s="18">
        <f>IF($L37="","",IF(INDEX(ExpParty,$L37)="","—",IFERROR(VLOOKUP(INDEX(ExpParty,$L37),AcctTbl,4,0),INDEX(ExpParty,$L37))))</f>
        <v/>
      </c>
      <c r="F37" s="17">
        <f>IF($L37="","",IF(INDEX(ExpType,$L37)="","—",INDEX(ExpType,$L37)))</f>
        <v/>
      </c>
      <c r="G37" s="19">
        <f>IF($L37="","",IF(INDEX(ExpDep,$L37)=0,"",INDEX(ExpDep,$L37)))</f>
        <v/>
      </c>
      <c r="H37" s="19">
        <f>IF($L37="","",IF(INDEX(ExpWit,$L37)=0,"",INDEX(ExpWit,$L37)))</f>
        <v/>
      </c>
      <c r="I37" s="20">
        <f>IF($B37="","",IF($I36="",0,$I36)+IF($H37="",0,$H37)-IF($G37="",0,$G37))</f>
        <v/>
      </c>
      <c r="J37" s="18">
        <f>IF($L37="","",IF(INDEX(ExpNote,$L37)="","—",INDEX(ExpNote,$L37)))</f>
        <v/>
      </c>
      <c r="L37">
        <f>IFERROR(MATCH($C$5&amp;"|"&amp;RIGHT("000000"&amp;21,6),ExpRankKey,0),"")</f>
        <v/>
      </c>
    </row>
    <row r="38">
      <c r="A38" s="21" t="n">
        <v>22</v>
      </c>
      <c r="B38" s="22">
        <f>IF($L38="","",INDEX(ExpNorm,$L38))</f>
        <v/>
      </c>
      <c r="C38" s="22">
        <f>IF($L38="","",IF(INDEX(ExpTime,$L38)="","—",LEFT(INDEX(ExpTime,$L38),2)&amp;":"&amp;RIGHT(INDEX(ExpTime,$L38),2)))</f>
        <v/>
      </c>
      <c r="D38" s="22">
        <f>IF($L38="","",IF(INDEX(ExpBank,$L38)="","—",INDEX(ExpBank,$L38)))</f>
        <v/>
      </c>
      <c r="E38" s="23">
        <f>IF($L38="","",IF(INDEX(ExpParty,$L38)="","—",IFERROR(VLOOKUP(INDEX(ExpParty,$L38),AcctTbl,4,0),INDEX(ExpParty,$L38))))</f>
        <v/>
      </c>
      <c r="F38" s="22">
        <f>IF($L38="","",IF(INDEX(ExpType,$L38)="","—",INDEX(ExpType,$L38)))</f>
        <v/>
      </c>
      <c r="G38" s="24">
        <f>IF($L38="","",IF(INDEX(ExpDep,$L38)=0,"",INDEX(ExpDep,$L38)))</f>
        <v/>
      </c>
      <c r="H38" s="24">
        <f>IF($L38="","",IF(INDEX(ExpWit,$L38)=0,"",INDEX(ExpWit,$L38)))</f>
        <v/>
      </c>
      <c r="I38" s="25">
        <f>IF($B38="","",IF($I37="",0,$I37)+IF($H38="",0,$H38)-IF($G38="",0,$G38))</f>
        <v/>
      </c>
      <c r="J38" s="23">
        <f>IF($L38="","",IF(INDEX(ExpNote,$L38)="","—",INDEX(ExpNote,$L38)))</f>
        <v/>
      </c>
      <c r="L38">
        <f>IFERROR(MATCH($C$5&amp;"|"&amp;RIGHT("000000"&amp;22,6),ExpRankKey,0),"")</f>
        <v/>
      </c>
    </row>
    <row r="39">
      <c r="A39" s="16" t="n">
        <v>23</v>
      </c>
      <c r="B39" s="17">
        <f>IF($L39="","",INDEX(ExpNorm,$L39))</f>
        <v/>
      </c>
      <c r="C39" s="17">
        <f>IF($L39="","",IF(INDEX(ExpTime,$L39)="","—",LEFT(INDEX(ExpTime,$L39),2)&amp;":"&amp;RIGHT(INDEX(ExpTime,$L39),2)))</f>
        <v/>
      </c>
      <c r="D39" s="17">
        <f>IF($L39="","",IF(INDEX(ExpBank,$L39)="","—",INDEX(ExpBank,$L39)))</f>
        <v/>
      </c>
      <c r="E39" s="18">
        <f>IF($L39="","",IF(INDEX(ExpParty,$L39)="","—",IFERROR(VLOOKUP(INDEX(ExpParty,$L39),AcctTbl,4,0),INDEX(ExpParty,$L39))))</f>
        <v/>
      </c>
      <c r="F39" s="17">
        <f>IF($L39="","",IF(INDEX(ExpType,$L39)="","—",INDEX(ExpType,$L39)))</f>
        <v/>
      </c>
      <c r="G39" s="19">
        <f>IF($L39="","",IF(INDEX(ExpDep,$L39)=0,"",INDEX(ExpDep,$L39)))</f>
        <v/>
      </c>
      <c r="H39" s="19">
        <f>IF($L39="","",IF(INDEX(ExpWit,$L39)=0,"",INDEX(ExpWit,$L39)))</f>
        <v/>
      </c>
      <c r="I39" s="20">
        <f>IF($B39="","",IF($I38="",0,$I38)+IF($H39="",0,$H39)-IF($G39="",0,$G39))</f>
        <v/>
      </c>
      <c r="J39" s="18">
        <f>IF($L39="","",IF(INDEX(ExpNote,$L39)="","—",INDEX(ExpNote,$L39)))</f>
        <v/>
      </c>
      <c r="L39">
        <f>IFERROR(MATCH($C$5&amp;"|"&amp;RIGHT("000000"&amp;23,6),ExpRankKey,0),"")</f>
        <v/>
      </c>
    </row>
    <row r="40">
      <c r="A40" s="21" t="n">
        <v>24</v>
      </c>
      <c r="B40" s="22">
        <f>IF($L40="","",INDEX(ExpNorm,$L40))</f>
        <v/>
      </c>
      <c r="C40" s="22">
        <f>IF($L40="","",IF(INDEX(ExpTime,$L40)="","—",LEFT(INDEX(ExpTime,$L40),2)&amp;":"&amp;RIGHT(INDEX(ExpTime,$L40),2)))</f>
        <v/>
      </c>
      <c r="D40" s="22">
        <f>IF($L40="","",IF(INDEX(ExpBank,$L40)="","—",INDEX(ExpBank,$L40)))</f>
        <v/>
      </c>
      <c r="E40" s="23">
        <f>IF($L40="","",IF(INDEX(ExpParty,$L40)="","—",IFERROR(VLOOKUP(INDEX(ExpParty,$L40),AcctTbl,4,0),INDEX(ExpParty,$L40))))</f>
        <v/>
      </c>
      <c r="F40" s="22">
        <f>IF($L40="","",IF(INDEX(ExpType,$L40)="","—",INDEX(ExpType,$L40)))</f>
        <v/>
      </c>
      <c r="G40" s="24">
        <f>IF($L40="","",IF(INDEX(ExpDep,$L40)=0,"",INDEX(ExpDep,$L40)))</f>
        <v/>
      </c>
      <c r="H40" s="24">
        <f>IF($L40="","",IF(INDEX(ExpWit,$L40)=0,"",INDEX(ExpWit,$L40)))</f>
        <v/>
      </c>
      <c r="I40" s="25">
        <f>IF($B40="","",IF($I39="",0,$I39)+IF($H40="",0,$H40)-IF($G40="",0,$G40))</f>
        <v/>
      </c>
      <c r="J40" s="23">
        <f>IF($L40="","",IF(INDEX(ExpNote,$L40)="","—",INDEX(ExpNote,$L40)))</f>
        <v/>
      </c>
      <c r="L40">
        <f>IFERROR(MATCH($C$5&amp;"|"&amp;RIGHT("000000"&amp;24,6),ExpRankKey,0),"")</f>
        <v/>
      </c>
    </row>
    <row r="41">
      <c r="A41" s="16" t="n">
        <v>25</v>
      </c>
      <c r="B41" s="17">
        <f>IF($L41="","",INDEX(ExpNorm,$L41))</f>
        <v/>
      </c>
      <c r="C41" s="17">
        <f>IF($L41="","",IF(INDEX(ExpTime,$L41)="","—",LEFT(INDEX(ExpTime,$L41),2)&amp;":"&amp;RIGHT(INDEX(ExpTime,$L41),2)))</f>
        <v/>
      </c>
      <c r="D41" s="17">
        <f>IF($L41="","",IF(INDEX(ExpBank,$L41)="","—",INDEX(ExpBank,$L41)))</f>
        <v/>
      </c>
      <c r="E41" s="18">
        <f>IF($L41="","",IF(INDEX(ExpParty,$L41)="","—",IFERROR(VLOOKUP(INDEX(ExpParty,$L41),AcctTbl,4,0),INDEX(ExpParty,$L41))))</f>
        <v/>
      </c>
      <c r="F41" s="17">
        <f>IF($L41="","",IF(INDEX(ExpType,$L41)="","—",INDEX(ExpType,$L41)))</f>
        <v/>
      </c>
      <c r="G41" s="19">
        <f>IF($L41="","",IF(INDEX(ExpDep,$L41)=0,"",INDEX(ExpDep,$L41)))</f>
        <v/>
      </c>
      <c r="H41" s="19">
        <f>IF($L41="","",IF(INDEX(ExpWit,$L41)=0,"",INDEX(ExpWit,$L41)))</f>
        <v/>
      </c>
      <c r="I41" s="20">
        <f>IF($B41="","",IF($I40="",0,$I40)+IF($H41="",0,$H41)-IF($G41="",0,$G41))</f>
        <v/>
      </c>
      <c r="J41" s="18">
        <f>IF($L41="","",IF(INDEX(ExpNote,$L41)="","—",INDEX(ExpNote,$L41)))</f>
        <v/>
      </c>
      <c r="L41">
        <f>IFERROR(MATCH($C$5&amp;"|"&amp;RIGHT("000000"&amp;25,6),ExpRankKey,0),"")</f>
        <v/>
      </c>
    </row>
    <row r="42">
      <c r="A42" s="21" t="n">
        <v>26</v>
      </c>
      <c r="B42" s="22">
        <f>IF($L42="","",INDEX(ExpNorm,$L42))</f>
        <v/>
      </c>
      <c r="C42" s="22">
        <f>IF($L42="","",IF(INDEX(ExpTime,$L42)="","—",LEFT(INDEX(ExpTime,$L42),2)&amp;":"&amp;RIGHT(INDEX(ExpTime,$L42),2)))</f>
        <v/>
      </c>
      <c r="D42" s="22">
        <f>IF($L42="","",IF(INDEX(ExpBank,$L42)="","—",INDEX(ExpBank,$L42)))</f>
        <v/>
      </c>
      <c r="E42" s="23">
        <f>IF($L42="","",IF(INDEX(ExpParty,$L42)="","—",IFERROR(VLOOKUP(INDEX(ExpParty,$L42),AcctTbl,4,0),INDEX(ExpParty,$L42))))</f>
        <v/>
      </c>
      <c r="F42" s="22">
        <f>IF($L42="","",IF(INDEX(ExpType,$L42)="","—",INDEX(ExpType,$L42)))</f>
        <v/>
      </c>
      <c r="G42" s="24">
        <f>IF($L42="","",IF(INDEX(ExpDep,$L42)=0,"",INDEX(ExpDep,$L42)))</f>
        <v/>
      </c>
      <c r="H42" s="24">
        <f>IF($L42="","",IF(INDEX(ExpWit,$L42)=0,"",INDEX(ExpWit,$L42)))</f>
        <v/>
      </c>
      <c r="I42" s="25">
        <f>IF($B42="","",IF($I41="",0,$I41)+IF($H42="",0,$H42)-IF($G42="",0,$G42))</f>
        <v/>
      </c>
      <c r="J42" s="23">
        <f>IF($L42="","",IF(INDEX(ExpNote,$L42)="","—",INDEX(ExpNote,$L42)))</f>
        <v/>
      </c>
      <c r="L42">
        <f>IFERROR(MATCH($C$5&amp;"|"&amp;RIGHT("000000"&amp;26,6),ExpRankKey,0),"")</f>
        <v/>
      </c>
    </row>
    <row r="43">
      <c r="A43" s="16" t="n">
        <v>27</v>
      </c>
      <c r="B43" s="17">
        <f>IF($L43="","",INDEX(ExpNorm,$L43))</f>
        <v/>
      </c>
      <c r="C43" s="17">
        <f>IF($L43="","",IF(INDEX(ExpTime,$L43)="","—",LEFT(INDEX(ExpTime,$L43),2)&amp;":"&amp;RIGHT(INDEX(ExpTime,$L43),2)))</f>
        <v/>
      </c>
      <c r="D43" s="17">
        <f>IF($L43="","",IF(INDEX(ExpBank,$L43)="","—",INDEX(ExpBank,$L43)))</f>
        <v/>
      </c>
      <c r="E43" s="18">
        <f>IF($L43="","",IF(INDEX(ExpParty,$L43)="","—",IFERROR(VLOOKUP(INDEX(ExpParty,$L43),AcctTbl,4,0),INDEX(ExpParty,$L43))))</f>
        <v/>
      </c>
      <c r="F43" s="17">
        <f>IF($L43="","",IF(INDEX(ExpType,$L43)="","—",INDEX(ExpType,$L43)))</f>
        <v/>
      </c>
      <c r="G43" s="19">
        <f>IF($L43="","",IF(INDEX(ExpDep,$L43)=0,"",INDEX(ExpDep,$L43)))</f>
        <v/>
      </c>
      <c r="H43" s="19">
        <f>IF($L43="","",IF(INDEX(ExpWit,$L43)=0,"",INDEX(ExpWit,$L43)))</f>
        <v/>
      </c>
      <c r="I43" s="20">
        <f>IF($B43="","",IF($I42="",0,$I42)+IF($H43="",0,$H43)-IF($G43="",0,$G43))</f>
        <v/>
      </c>
      <c r="J43" s="18">
        <f>IF($L43="","",IF(INDEX(ExpNote,$L43)="","—",INDEX(ExpNote,$L43)))</f>
        <v/>
      </c>
      <c r="L43">
        <f>IFERROR(MATCH($C$5&amp;"|"&amp;RIGHT("000000"&amp;27,6),ExpRankKey,0),"")</f>
        <v/>
      </c>
    </row>
    <row r="44">
      <c r="A44" s="21" t="n">
        <v>28</v>
      </c>
      <c r="B44" s="22">
        <f>IF($L44="","",INDEX(ExpNorm,$L44))</f>
        <v/>
      </c>
      <c r="C44" s="22">
        <f>IF($L44="","",IF(INDEX(ExpTime,$L44)="","—",LEFT(INDEX(ExpTime,$L44),2)&amp;":"&amp;RIGHT(INDEX(ExpTime,$L44),2)))</f>
        <v/>
      </c>
      <c r="D44" s="22">
        <f>IF($L44="","",IF(INDEX(ExpBank,$L44)="","—",INDEX(ExpBank,$L44)))</f>
        <v/>
      </c>
      <c r="E44" s="23">
        <f>IF($L44="","",IF(INDEX(ExpParty,$L44)="","—",IFERROR(VLOOKUP(INDEX(ExpParty,$L44),AcctTbl,4,0),INDEX(ExpParty,$L44))))</f>
        <v/>
      </c>
      <c r="F44" s="22">
        <f>IF($L44="","",IF(INDEX(ExpType,$L44)="","—",INDEX(ExpType,$L44)))</f>
        <v/>
      </c>
      <c r="G44" s="24">
        <f>IF($L44="","",IF(INDEX(ExpDep,$L44)=0,"",INDEX(ExpDep,$L44)))</f>
        <v/>
      </c>
      <c r="H44" s="24">
        <f>IF($L44="","",IF(INDEX(ExpWit,$L44)=0,"",INDEX(ExpWit,$L44)))</f>
        <v/>
      </c>
      <c r="I44" s="25">
        <f>IF($B44="","",IF($I43="",0,$I43)+IF($H44="",0,$H44)-IF($G44="",0,$G44))</f>
        <v/>
      </c>
      <c r="J44" s="23">
        <f>IF($L44="","",IF(INDEX(ExpNote,$L44)="","—",INDEX(ExpNote,$L44)))</f>
        <v/>
      </c>
      <c r="L44">
        <f>IFERROR(MATCH($C$5&amp;"|"&amp;RIGHT("000000"&amp;28,6),ExpRankKey,0),"")</f>
        <v/>
      </c>
    </row>
    <row r="45">
      <c r="A45" s="16" t="n">
        <v>29</v>
      </c>
      <c r="B45" s="17">
        <f>IF($L45="","",INDEX(ExpNorm,$L45))</f>
        <v/>
      </c>
      <c r="C45" s="17">
        <f>IF($L45="","",IF(INDEX(ExpTime,$L45)="","—",LEFT(INDEX(ExpTime,$L45),2)&amp;":"&amp;RIGHT(INDEX(ExpTime,$L45),2)))</f>
        <v/>
      </c>
      <c r="D45" s="17">
        <f>IF($L45="","",IF(INDEX(ExpBank,$L45)="","—",INDEX(ExpBank,$L45)))</f>
        <v/>
      </c>
      <c r="E45" s="18">
        <f>IF($L45="","",IF(INDEX(ExpParty,$L45)="","—",IFERROR(VLOOKUP(INDEX(ExpParty,$L45),AcctTbl,4,0),INDEX(ExpParty,$L45))))</f>
        <v/>
      </c>
      <c r="F45" s="17">
        <f>IF($L45="","",IF(INDEX(ExpType,$L45)="","—",INDEX(ExpType,$L45)))</f>
        <v/>
      </c>
      <c r="G45" s="19">
        <f>IF($L45="","",IF(INDEX(ExpDep,$L45)=0,"",INDEX(ExpDep,$L45)))</f>
        <v/>
      </c>
      <c r="H45" s="19">
        <f>IF($L45="","",IF(INDEX(ExpWit,$L45)=0,"",INDEX(ExpWit,$L45)))</f>
        <v/>
      </c>
      <c r="I45" s="20">
        <f>IF($B45="","",IF($I44="",0,$I44)+IF($H45="",0,$H45)-IF($G45="",0,$G45))</f>
        <v/>
      </c>
      <c r="J45" s="18">
        <f>IF($L45="","",IF(INDEX(ExpNote,$L45)="","—",INDEX(ExpNote,$L45)))</f>
        <v/>
      </c>
      <c r="L45">
        <f>IFERROR(MATCH($C$5&amp;"|"&amp;RIGHT("000000"&amp;29,6),ExpRankKey,0),"")</f>
        <v/>
      </c>
    </row>
    <row r="46">
      <c r="A46" s="21" t="n">
        <v>30</v>
      </c>
      <c r="B46" s="22">
        <f>IF($L46="","",INDEX(ExpNorm,$L46))</f>
        <v/>
      </c>
      <c r="C46" s="22">
        <f>IF($L46="","",IF(INDEX(ExpTime,$L46)="","—",LEFT(INDEX(ExpTime,$L46),2)&amp;":"&amp;RIGHT(INDEX(ExpTime,$L46),2)))</f>
        <v/>
      </c>
      <c r="D46" s="22">
        <f>IF($L46="","",IF(INDEX(ExpBank,$L46)="","—",INDEX(ExpBank,$L46)))</f>
        <v/>
      </c>
      <c r="E46" s="23">
        <f>IF($L46="","",IF(INDEX(ExpParty,$L46)="","—",IFERROR(VLOOKUP(INDEX(ExpParty,$L46),AcctTbl,4,0),INDEX(ExpParty,$L46))))</f>
        <v/>
      </c>
      <c r="F46" s="22">
        <f>IF($L46="","",IF(INDEX(ExpType,$L46)="","—",INDEX(ExpType,$L46)))</f>
        <v/>
      </c>
      <c r="G46" s="24">
        <f>IF($L46="","",IF(INDEX(ExpDep,$L46)=0,"",INDEX(ExpDep,$L46)))</f>
        <v/>
      </c>
      <c r="H46" s="24">
        <f>IF($L46="","",IF(INDEX(ExpWit,$L46)=0,"",INDEX(ExpWit,$L46)))</f>
        <v/>
      </c>
      <c r="I46" s="25">
        <f>IF($B46="","",IF($I45="",0,$I45)+IF($H46="",0,$H46)-IF($G46="",0,$G46))</f>
        <v/>
      </c>
      <c r="J46" s="23">
        <f>IF($L46="","",IF(INDEX(ExpNote,$L46)="","—",INDEX(ExpNote,$L46)))</f>
        <v/>
      </c>
      <c r="L46">
        <f>IFERROR(MATCH($C$5&amp;"|"&amp;RIGHT("000000"&amp;30,6),ExpRankKey,0),"")</f>
        <v/>
      </c>
    </row>
    <row r="47">
      <c r="A47" s="16" t="n">
        <v>31</v>
      </c>
      <c r="B47" s="17">
        <f>IF($L47="","",INDEX(ExpNorm,$L47))</f>
        <v/>
      </c>
      <c r="C47" s="17">
        <f>IF($L47="","",IF(INDEX(ExpTime,$L47)="","—",LEFT(INDEX(ExpTime,$L47),2)&amp;":"&amp;RIGHT(INDEX(ExpTime,$L47),2)))</f>
        <v/>
      </c>
      <c r="D47" s="17">
        <f>IF($L47="","",IF(INDEX(ExpBank,$L47)="","—",INDEX(ExpBank,$L47)))</f>
        <v/>
      </c>
      <c r="E47" s="18">
        <f>IF($L47="","",IF(INDEX(ExpParty,$L47)="","—",IFERROR(VLOOKUP(INDEX(ExpParty,$L47),AcctTbl,4,0),INDEX(ExpParty,$L47))))</f>
        <v/>
      </c>
      <c r="F47" s="17">
        <f>IF($L47="","",IF(INDEX(ExpType,$L47)="","—",INDEX(ExpType,$L47)))</f>
        <v/>
      </c>
      <c r="G47" s="19">
        <f>IF($L47="","",IF(INDEX(ExpDep,$L47)=0,"",INDEX(ExpDep,$L47)))</f>
        <v/>
      </c>
      <c r="H47" s="19">
        <f>IF($L47="","",IF(INDEX(ExpWit,$L47)=0,"",INDEX(ExpWit,$L47)))</f>
        <v/>
      </c>
      <c r="I47" s="20">
        <f>IF($B47="","",IF($I46="",0,$I46)+IF($H47="",0,$H47)-IF($G47="",0,$G47))</f>
        <v/>
      </c>
      <c r="J47" s="18">
        <f>IF($L47="","",IF(INDEX(ExpNote,$L47)="","—",INDEX(ExpNote,$L47)))</f>
        <v/>
      </c>
      <c r="L47">
        <f>IFERROR(MATCH($C$5&amp;"|"&amp;RIGHT("000000"&amp;31,6),ExpRankKey,0),"")</f>
        <v/>
      </c>
    </row>
    <row r="48">
      <c r="A48" s="21" t="n">
        <v>32</v>
      </c>
      <c r="B48" s="22">
        <f>IF($L48="","",INDEX(ExpNorm,$L48))</f>
        <v/>
      </c>
      <c r="C48" s="22">
        <f>IF($L48="","",IF(INDEX(ExpTime,$L48)="","—",LEFT(INDEX(ExpTime,$L48),2)&amp;":"&amp;RIGHT(INDEX(ExpTime,$L48),2)))</f>
        <v/>
      </c>
      <c r="D48" s="22">
        <f>IF($L48="","",IF(INDEX(ExpBank,$L48)="","—",INDEX(ExpBank,$L48)))</f>
        <v/>
      </c>
      <c r="E48" s="23">
        <f>IF($L48="","",IF(INDEX(ExpParty,$L48)="","—",IFERROR(VLOOKUP(INDEX(ExpParty,$L48),AcctTbl,4,0),INDEX(ExpParty,$L48))))</f>
        <v/>
      </c>
      <c r="F48" s="22">
        <f>IF($L48="","",IF(INDEX(ExpType,$L48)="","—",INDEX(ExpType,$L48)))</f>
        <v/>
      </c>
      <c r="G48" s="24">
        <f>IF($L48="","",IF(INDEX(ExpDep,$L48)=0,"",INDEX(ExpDep,$L48)))</f>
        <v/>
      </c>
      <c r="H48" s="24">
        <f>IF($L48="","",IF(INDEX(ExpWit,$L48)=0,"",INDEX(ExpWit,$L48)))</f>
        <v/>
      </c>
      <c r="I48" s="25">
        <f>IF($B48="","",IF($I47="",0,$I47)+IF($H48="",0,$H48)-IF($G48="",0,$G48))</f>
        <v/>
      </c>
      <c r="J48" s="23">
        <f>IF($L48="","",IF(INDEX(ExpNote,$L48)="","—",INDEX(ExpNote,$L48)))</f>
        <v/>
      </c>
      <c r="L48">
        <f>IFERROR(MATCH($C$5&amp;"|"&amp;RIGHT("000000"&amp;32,6),ExpRankKey,0),"")</f>
        <v/>
      </c>
    </row>
    <row r="49">
      <c r="A49" s="16" t="n">
        <v>33</v>
      </c>
      <c r="B49" s="17">
        <f>IF($L49="","",INDEX(ExpNorm,$L49))</f>
        <v/>
      </c>
      <c r="C49" s="17">
        <f>IF($L49="","",IF(INDEX(ExpTime,$L49)="","—",LEFT(INDEX(ExpTime,$L49),2)&amp;":"&amp;RIGHT(INDEX(ExpTime,$L49),2)))</f>
        <v/>
      </c>
      <c r="D49" s="17">
        <f>IF($L49="","",IF(INDEX(ExpBank,$L49)="","—",INDEX(ExpBank,$L49)))</f>
        <v/>
      </c>
      <c r="E49" s="18">
        <f>IF($L49="","",IF(INDEX(ExpParty,$L49)="","—",IFERROR(VLOOKUP(INDEX(ExpParty,$L49),AcctTbl,4,0),INDEX(ExpParty,$L49))))</f>
        <v/>
      </c>
      <c r="F49" s="17">
        <f>IF($L49="","",IF(INDEX(ExpType,$L49)="","—",INDEX(ExpType,$L49)))</f>
        <v/>
      </c>
      <c r="G49" s="19">
        <f>IF($L49="","",IF(INDEX(ExpDep,$L49)=0,"",INDEX(ExpDep,$L49)))</f>
        <v/>
      </c>
      <c r="H49" s="19">
        <f>IF($L49="","",IF(INDEX(ExpWit,$L49)=0,"",INDEX(ExpWit,$L49)))</f>
        <v/>
      </c>
      <c r="I49" s="20">
        <f>IF($B49="","",IF($I48="",0,$I48)+IF($H49="",0,$H49)-IF($G49="",0,$G49))</f>
        <v/>
      </c>
      <c r="J49" s="18">
        <f>IF($L49="","",IF(INDEX(ExpNote,$L49)="","—",INDEX(ExpNote,$L49)))</f>
        <v/>
      </c>
      <c r="L49">
        <f>IFERROR(MATCH($C$5&amp;"|"&amp;RIGHT("000000"&amp;33,6),ExpRankKey,0),"")</f>
        <v/>
      </c>
    </row>
    <row r="50">
      <c r="A50" s="21" t="n">
        <v>34</v>
      </c>
      <c r="B50" s="22">
        <f>IF($L50="","",INDEX(ExpNorm,$L50))</f>
        <v/>
      </c>
      <c r="C50" s="22">
        <f>IF($L50="","",IF(INDEX(ExpTime,$L50)="","—",LEFT(INDEX(ExpTime,$L50),2)&amp;":"&amp;RIGHT(INDEX(ExpTime,$L50),2)))</f>
        <v/>
      </c>
      <c r="D50" s="22">
        <f>IF($L50="","",IF(INDEX(ExpBank,$L50)="","—",INDEX(ExpBank,$L50)))</f>
        <v/>
      </c>
      <c r="E50" s="23">
        <f>IF($L50="","",IF(INDEX(ExpParty,$L50)="","—",IFERROR(VLOOKUP(INDEX(ExpParty,$L50),AcctTbl,4,0),INDEX(ExpParty,$L50))))</f>
        <v/>
      </c>
      <c r="F50" s="22">
        <f>IF($L50="","",IF(INDEX(ExpType,$L50)="","—",INDEX(ExpType,$L50)))</f>
        <v/>
      </c>
      <c r="G50" s="24">
        <f>IF($L50="","",IF(INDEX(ExpDep,$L50)=0,"",INDEX(ExpDep,$L50)))</f>
        <v/>
      </c>
      <c r="H50" s="24">
        <f>IF($L50="","",IF(INDEX(ExpWit,$L50)=0,"",INDEX(ExpWit,$L50)))</f>
        <v/>
      </c>
      <c r="I50" s="25">
        <f>IF($B50="","",IF($I49="",0,$I49)+IF($H50="",0,$H50)-IF($G50="",0,$G50))</f>
        <v/>
      </c>
      <c r="J50" s="23">
        <f>IF($L50="","",IF(INDEX(ExpNote,$L50)="","—",INDEX(ExpNote,$L50)))</f>
        <v/>
      </c>
      <c r="L50">
        <f>IFERROR(MATCH($C$5&amp;"|"&amp;RIGHT("000000"&amp;34,6),ExpRankKey,0),"")</f>
        <v/>
      </c>
    </row>
    <row r="51">
      <c r="A51" s="16" t="n">
        <v>35</v>
      </c>
      <c r="B51" s="17">
        <f>IF($L51="","",INDEX(ExpNorm,$L51))</f>
        <v/>
      </c>
      <c r="C51" s="17">
        <f>IF($L51="","",IF(INDEX(ExpTime,$L51)="","—",LEFT(INDEX(ExpTime,$L51),2)&amp;":"&amp;RIGHT(INDEX(ExpTime,$L51),2)))</f>
        <v/>
      </c>
      <c r="D51" s="17">
        <f>IF($L51="","",IF(INDEX(ExpBank,$L51)="","—",INDEX(ExpBank,$L51)))</f>
        <v/>
      </c>
      <c r="E51" s="18">
        <f>IF($L51="","",IF(INDEX(ExpParty,$L51)="","—",IFERROR(VLOOKUP(INDEX(ExpParty,$L51),AcctTbl,4,0),INDEX(ExpParty,$L51))))</f>
        <v/>
      </c>
      <c r="F51" s="17">
        <f>IF($L51="","",IF(INDEX(ExpType,$L51)="","—",INDEX(ExpType,$L51)))</f>
        <v/>
      </c>
      <c r="G51" s="19">
        <f>IF($L51="","",IF(INDEX(ExpDep,$L51)=0,"",INDEX(ExpDep,$L51)))</f>
        <v/>
      </c>
      <c r="H51" s="19">
        <f>IF($L51="","",IF(INDEX(ExpWit,$L51)=0,"",INDEX(ExpWit,$L51)))</f>
        <v/>
      </c>
      <c r="I51" s="20">
        <f>IF($B51="","",IF($I50="",0,$I50)+IF($H51="",0,$H51)-IF($G51="",0,$G51))</f>
        <v/>
      </c>
      <c r="J51" s="18">
        <f>IF($L51="","",IF(INDEX(ExpNote,$L51)="","—",INDEX(ExpNote,$L51)))</f>
        <v/>
      </c>
      <c r="L51">
        <f>IFERROR(MATCH($C$5&amp;"|"&amp;RIGHT("000000"&amp;35,6),ExpRankKey,0),"")</f>
        <v/>
      </c>
    </row>
    <row r="52">
      <c r="A52" s="21" t="n">
        <v>36</v>
      </c>
      <c r="B52" s="22">
        <f>IF($L52="","",INDEX(ExpNorm,$L52))</f>
        <v/>
      </c>
      <c r="C52" s="22">
        <f>IF($L52="","",IF(INDEX(ExpTime,$L52)="","—",LEFT(INDEX(ExpTime,$L52),2)&amp;":"&amp;RIGHT(INDEX(ExpTime,$L52),2)))</f>
        <v/>
      </c>
      <c r="D52" s="22">
        <f>IF($L52="","",IF(INDEX(ExpBank,$L52)="","—",INDEX(ExpBank,$L52)))</f>
        <v/>
      </c>
      <c r="E52" s="23">
        <f>IF($L52="","",IF(INDEX(ExpParty,$L52)="","—",IFERROR(VLOOKUP(INDEX(ExpParty,$L52),AcctTbl,4,0),INDEX(ExpParty,$L52))))</f>
        <v/>
      </c>
      <c r="F52" s="22">
        <f>IF($L52="","",IF(INDEX(ExpType,$L52)="","—",INDEX(ExpType,$L52)))</f>
        <v/>
      </c>
      <c r="G52" s="24">
        <f>IF($L52="","",IF(INDEX(ExpDep,$L52)=0,"",INDEX(ExpDep,$L52)))</f>
        <v/>
      </c>
      <c r="H52" s="24">
        <f>IF($L52="","",IF(INDEX(ExpWit,$L52)=0,"",INDEX(ExpWit,$L52)))</f>
        <v/>
      </c>
      <c r="I52" s="25">
        <f>IF($B52="","",IF($I51="",0,$I51)+IF($H52="",0,$H52)-IF($G52="",0,$G52))</f>
        <v/>
      </c>
      <c r="J52" s="23">
        <f>IF($L52="","",IF(INDEX(ExpNote,$L52)="","—",INDEX(ExpNote,$L52)))</f>
        <v/>
      </c>
      <c r="L52">
        <f>IFERROR(MATCH($C$5&amp;"|"&amp;RIGHT("000000"&amp;36,6),ExpRankKey,0),"")</f>
        <v/>
      </c>
    </row>
    <row r="53">
      <c r="A53" s="16" t="n">
        <v>37</v>
      </c>
      <c r="B53" s="17">
        <f>IF($L53="","",INDEX(ExpNorm,$L53))</f>
        <v/>
      </c>
      <c r="C53" s="17">
        <f>IF($L53="","",IF(INDEX(ExpTime,$L53)="","—",LEFT(INDEX(ExpTime,$L53),2)&amp;":"&amp;RIGHT(INDEX(ExpTime,$L53),2)))</f>
        <v/>
      </c>
      <c r="D53" s="17">
        <f>IF($L53="","",IF(INDEX(ExpBank,$L53)="","—",INDEX(ExpBank,$L53)))</f>
        <v/>
      </c>
      <c r="E53" s="18">
        <f>IF($L53="","",IF(INDEX(ExpParty,$L53)="","—",IFERROR(VLOOKUP(INDEX(ExpParty,$L53),AcctTbl,4,0),INDEX(ExpParty,$L53))))</f>
        <v/>
      </c>
      <c r="F53" s="17">
        <f>IF($L53="","",IF(INDEX(ExpType,$L53)="","—",INDEX(ExpType,$L53)))</f>
        <v/>
      </c>
      <c r="G53" s="19">
        <f>IF($L53="","",IF(INDEX(ExpDep,$L53)=0,"",INDEX(ExpDep,$L53)))</f>
        <v/>
      </c>
      <c r="H53" s="19">
        <f>IF($L53="","",IF(INDEX(ExpWit,$L53)=0,"",INDEX(ExpWit,$L53)))</f>
        <v/>
      </c>
      <c r="I53" s="20">
        <f>IF($B53="","",IF($I52="",0,$I52)+IF($H53="",0,$H53)-IF($G53="",0,$G53))</f>
        <v/>
      </c>
      <c r="J53" s="18">
        <f>IF($L53="","",IF(INDEX(ExpNote,$L53)="","—",INDEX(ExpNote,$L53)))</f>
        <v/>
      </c>
      <c r="L53">
        <f>IFERROR(MATCH($C$5&amp;"|"&amp;RIGHT("000000"&amp;37,6),ExpRankKey,0),"")</f>
        <v/>
      </c>
    </row>
    <row r="54">
      <c r="A54" s="21" t="n">
        <v>38</v>
      </c>
      <c r="B54" s="22">
        <f>IF($L54="","",INDEX(ExpNorm,$L54))</f>
        <v/>
      </c>
      <c r="C54" s="22">
        <f>IF($L54="","",IF(INDEX(ExpTime,$L54)="","—",LEFT(INDEX(ExpTime,$L54),2)&amp;":"&amp;RIGHT(INDEX(ExpTime,$L54),2)))</f>
        <v/>
      </c>
      <c r="D54" s="22">
        <f>IF($L54="","",IF(INDEX(ExpBank,$L54)="","—",INDEX(ExpBank,$L54)))</f>
        <v/>
      </c>
      <c r="E54" s="23">
        <f>IF($L54="","",IF(INDEX(ExpParty,$L54)="","—",IFERROR(VLOOKUP(INDEX(ExpParty,$L54),AcctTbl,4,0),INDEX(ExpParty,$L54))))</f>
        <v/>
      </c>
      <c r="F54" s="22">
        <f>IF($L54="","",IF(INDEX(ExpType,$L54)="","—",INDEX(ExpType,$L54)))</f>
        <v/>
      </c>
      <c r="G54" s="24">
        <f>IF($L54="","",IF(INDEX(ExpDep,$L54)=0,"",INDEX(ExpDep,$L54)))</f>
        <v/>
      </c>
      <c r="H54" s="24">
        <f>IF($L54="","",IF(INDEX(ExpWit,$L54)=0,"",INDEX(ExpWit,$L54)))</f>
        <v/>
      </c>
      <c r="I54" s="25">
        <f>IF($B54="","",IF($I53="",0,$I53)+IF($H54="",0,$H54)-IF($G54="",0,$G54))</f>
        <v/>
      </c>
      <c r="J54" s="23">
        <f>IF($L54="","",IF(INDEX(ExpNote,$L54)="","—",INDEX(ExpNote,$L54)))</f>
        <v/>
      </c>
      <c r="L54">
        <f>IFERROR(MATCH($C$5&amp;"|"&amp;RIGHT("000000"&amp;38,6),ExpRankKey,0),"")</f>
        <v/>
      </c>
    </row>
    <row r="55">
      <c r="A55" s="16" t="n">
        <v>39</v>
      </c>
      <c r="B55" s="17">
        <f>IF($L55="","",INDEX(ExpNorm,$L55))</f>
        <v/>
      </c>
      <c r="C55" s="17">
        <f>IF($L55="","",IF(INDEX(ExpTime,$L55)="","—",LEFT(INDEX(ExpTime,$L55),2)&amp;":"&amp;RIGHT(INDEX(ExpTime,$L55),2)))</f>
        <v/>
      </c>
      <c r="D55" s="17">
        <f>IF($L55="","",IF(INDEX(ExpBank,$L55)="","—",INDEX(ExpBank,$L55)))</f>
        <v/>
      </c>
      <c r="E55" s="18">
        <f>IF($L55="","",IF(INDEX(ExpParty,$L55)="","—",IFERROR(VLOOKUP(INDEX(ExpParty,$L55),AcctTbl,4,0),INDEX(ExpParty,$L55))))</f>
        <v/>
      </c>
      <c r="F55" s="17">
        <f>IF($L55="","",IF(INDEX(ExpType,$L55)="","—",INDEX(ExpType,$L55)))</f>
        <v/>
      </c>
      <c r="G55" s="19">
        <f>IF($L55="","",IF(INDEX(ExpDep,$L55)=0,"",INDEX(ExpDep,$L55)))</f>
        <v/>
      </c>
      <c r="H55" s="19">
        <f>IF($L55="","",IF(INDEX(ExpWit,$L55)=0,"",INDEX(ExpWit,$L55)))</f>
        <v/>
      </c>
      <c r="I55" s="20">
        <f>IF($B55="","",IF($I54="",0,$I54)+IF($H55="",0,$H55)-IF($G55="",0,$G55))</f>
        <v/>
      </c>
      <c r="J55" s="18">
        <f>IF($L55="","",IF(INDEX(ExpNote,$L55)="","—",INDEX(ExpNote,$L55)))</f>
        <v/>
      </c>
      <c r="L55">
        <f>IFERROR(MATCH($C$5&amp;"|"&amp;RIGHT("000000"&amp;39,6),ExpRankKey,0),"")</f>
        <v/>
      </c>
    </row>
    <row r="56">
      <c r="A56" s="21" t="n">
        <v>40</v>
      </c>
      <c r="B56" s="22">
        <f>IF($L56="","",INDEX(ExpNorm,$L56))</f>
        <v/>
      </c>
      <c r="C56" s="22">
        <f>IF($L56="","",IF(INDEX(ExpTime,$L56)="","—",LEFT(INDEX(ExpTime,$L56),2)&amp;":"&amp;RIGHT(INDEX(ExpTime,$L56),2)))</f>
        <v/>
      </c>
      <c r="D56" s="22">
        <f>IF($L56="","",IF(INDEX(ExpBank,$L56)="","—",INDEX(ExpBank,$L56)))</f>
        <v/>
      </c>
      <c r="E56" s="23">
        <f>IF($L56="","",IF(INDEX(ExpParty,$L56)="","—",IFERROR(VLOOKUP(INDEX(ExpParty,$L56),AcctTbl,4,0),INDEX(ExpParty,$L56))))</f>
        <v/>
      </c>
      <c r="F56" s="22">
        <f>IF($L56="","",IF(INDEX(ExpType,$L56)="","—",INDEX(ExpType,$L56)))</f>
        <v/>
      </c>
      <c r="G56" s="24">
        <f>IF($L56="","",IF(INDEX(ExpDep,$L56)=0,"",INDEX(ExpDep,$L56)))</f>
        <v/>
      </c>
      <c r="H56" s="24">
        <f>IF($L56="","",IF(INDEX(ExpWit,$L56)=0,"",INDEX(ExpWit,$L56)))</f>
        <v/>
      </c>
      <c r="I56" s="25">
        <f>IF($B56="","",IF($I55="",0,$I55)+IF($H56="",0,$H56)-IF($G56="",0,$G56))</f>
        <v/>
      </c>
      <c r="J56" s="23">
        <f>IF($L56="","",IF(INDEX(ExpNote,$L56)="","—",INDEX(ExpNote,$L56)))</f>
        <v/>
      </c>
      <c r="L56">
        <f>IFERROR(MATCH($C$5&amp;"|"&amp;RIGHT("000000"&amp;40,6),ExpRankKey,0),"")</f>
        <v/>
      </c>
    </row>
    <row r="57">
      <c r="A57" s="16" t="n">
        <v>41</v>
      </c>
      <c r="B57" s="17">
        <f>IF($L57="","",INDEX(ExpNorm,$L57))</f>
        <v/>
      </c>
      <c r="C57" s="17">
        <f>IF($L57="","",IF(INDEX(ExpTime,$L57)="","—",LEFT(INDEX(ExpTime,$L57),2)&amp;":"&amp;RIGHT(INDEX(ExpTime,$L57),2)))</f>
        <v/>
      </c>
      <c r="D57" s="17">
        <f>IF($L57="","",IF(INDEX(ExpBank,$L57)="","—",INDEX(ExpBank,$L57)))</f>
        <v/>
      </c>
      <c r="E57" s="18">
        <f>IF($L57="","",IF(INDEX(ExpParty,$L57)="","—",IFERROR(VLOOKUP(INDEX(ExpParty,$L57),AcctTbl,4,0),INDEX(ExpParty,$L57))))</f>
        <v/>
      </c>
      <c r="F57" s="17">
        <f>IF($L57="","",IF(INDEX(ExpType,$L57)="","—",INDEX(ExpType,$L57)))</f>
        <v/>
      </c>
      <c r="G57" s="19">
        <f>IF($L57="","",IF(INDEX(ExpDep,$L57)=0,"",INDEX(ExpDep,$L57)))</f>
        <v/>
      </c>
      <c r="H57" s="19">
        <f>IF($L57="","",IF(INDEX(ExpWit,$L57)=0,"",INDEX(ExpWit,$L57)))</f>
        <v/>
      </c>
      <c r="I57" s="20">
        <f>IF($B57="","",IF($I56="",0,$I56)+IF($H57="",0,$H57)-IF($G57="",0,$G57))</f>
        <v/>
      </c>
      <c r="J57" s="18">
        <f>IF($L57="","",IF(INDEX(ExpNote,$L57)="","—",INDEX(ExpNote,$L57)))</f>
        <v/>
      </c>
      <c r="L57">
        <f>IFERROR(MATCH($C$5&amp;"|"&amp;RIGHT("000000"&amp;41,6),ExpRankKey,0),"")</f>
        <v/>
      </c>
    </row>
    <row r="58">
      <c r="A58" s="21" t="n">
        <v>42</v>
      </c>
      <c r="B58" s="22">
        <f>IF($L58="","",INDEX(ExpNorm,$L58))</f>
        <v/>
      </c>
      <c r="C58" s="22">
        <f>IF($L58="","",IF(INDEX(ExpTime,$L58)="","—",LEFT(INDEX(ExpTime,$L58),2)&amp;":"&amp;RIGHT(INDEX(ExpTime,$L58),2)))</f>
        <v/>
      </c>
      <c r="D58" s="22">
        <f>IF($L58="","",IF(INDEX(ExpBank,$L58)="","—",INDEX(ExpBank,$L58)))</f>
        <v/>
      </c>
      <c r="E58" s="23">
        <f>IF($L58="","",IF(INDEX(ExpParty,$L58)="","—",IFERROR(VLOOKUP(INDEX(ExpParty,$L58),AcctTbl,4,0),INDEX(ExpParty,$L58))))</f>
        <v/>
      </c>
      <c r="F58" s="22">
        <f>IF($L58="","",IF(INDEX(ExpType,$L58)="","—",INDEX(ExpType,$L58)))</f>
        <v/>
      </c>
      <c r="G58" s="24">
        <f>IF($L58="","",IF(INDEX(ExpDep,$L58)=0,"",INDEX(ExpDep,$L58)))</f>
        <v/>
      </c>
      <c r="H58" s="24">
        <f>IF($L58="","",IF(INDEX(ExpWit,$L58)=0,"",INDEX(ExpWit,$L58)))</f>
        <v/>
      </c>
      <c r="I58" s="25">
        <f>IF($B58="","",IF($I57="",0,$I57)+IF($H58="",0,$H58)-IF($G58="",0,$G58))</f>
        <v/>
      </c>
      <c r="J58" s="23">
        <f>IF($L58="","",IF(INDEX(ExpNote,$L58)="","—",INDEX(ExpNote,$L58)))</f>
        <v/>
      </c>
      <c r="L58">
        <f>IFERROR(MATCH($C$5&amp;"|"&amp;RIGHT("000000"&amp;42,6),ExpRankKey,0),"")</f>
        <v/>
      </c>
    </row>
    <row r="59">
      <c r="A59" s="16" t="n">
        <v>43</v>
      </c>
      <c r="B59" s="17">
        <f>IF($L59="","",INDEX(ExpNorm,$L59))</f>
        <v/>
      </c>
      <c r="C59" s="17">
        <f>IF($L59="","",IF(INDEX(ExpTime,$L59)="","—",LEFT(INDEX(ExpTime,$L59),2)&amp;":"&amp;RIGHT(INDEX(ExpTime,$L59),2)))</f>
        <v/>
      </c>
      <c r="D59" s="17">
        <f>IF($L59="","",IF(INDEX(ExpBank,$L59)="","—",INDEX(ExpBank,$L59)))</f>
        <v/>
      </c>
      <c r="E59" s="18">
        <f>IF($L59="","",IF(INDEX(ExpParty,$L59)="","—",IFERROR(VLOOKUP(INDEX(ExpParty,$L59),AcctTbl,4,0),INDEX(ExpParty,$L59))))</f>
        <v/>
      </c>
      <c r="F59" s="17">
        <f>IF($L59="","",IF(INDEX(ExpType,$L59)="","—",INDEX(ExpType,$L59)))</f>
        <v/>
      </c>
      <c r="G59" s="19">
        <f>IF($L59="","",IF(INDEX(ExpDep,$L59)=0,"",INDEX(ExpDep,$L59)))</f>
        <v/>
      </c>
      <c r="H59" s="19">
        <f>IF($L59="","",IF(INDEX(ExpWit,$L59)=0,"",INDEX(ExpWit,$L59)))</f>
        <v/>
      </c>
      <c r="I59" s="20">
        <f>IF($B59="","",IF($I58="",0,$I58)+IF($H59="",0,$H59)-IF($G59="",0,$G59))</f>
        <v/>
      </c>
      <c r="J59" s="18">
        <f>IF($L59="","",IF(INDEX(ExpNote,$L59)="","—",INDEX(ExpNote,$L59)))</f>
        <v/>
      </c>
      <c r="L59">
        <f>IFERROR(MATCH($C$5&amp;"|"&amp;RIGHT("000000"&amp;43,6),ExpRankKey,0),"")</f>
        <v/>
      </c>
    </row>
    <row r="60">
      <c r="A60" s="21" t="n">
        <v>44</v>
      </c>
      <c r="B60" s="22">
        <f>IF($L60="","",INDEX(ExpNorm,$L60))</f>
        <v/>
      </c>
      <c r="C60" s="22">
        <f>IF($L60="","",IF(INDEX(ExpTime,$L60)="","—",LEFT(INDEX(ExpTime,$L60),2)&amp;":"&amp;RIGHT(INDEX(ExpTime,$L60),2)))</f>
        <v/>
      </c>
      <c r="D60" s="22">
        <f>IF($L60="","",IF(INDEX(ExpBank,$L60)="","—",INDEX(ExpBank,$L60)))</f>
        <v/>
      </c>
      <c r="E60" s="23">
        <f>IF($L60="","",IF(INDEX(ExpParty,$L60)="","—",IFERROR(VLOOKUP(INDEX(ExpParty,$L60),AcctTbl,4,0),INDEX(ExpParty,$L60))))</f>
        <v/>
      </c>
      <c r="F60" s="22">
        <f>IF($L60="","",IF(INDEX(ExpType,$L60)="","—",INDEX(ExpType,$L60)))</f>
        <v/>
      </c>
      <c r="G60" s="24">
        <f>IF($L60="","",IF(INDEX(ExpDep,$L60)=0,"",INDEX(ExpDep,$L60)))</f>
        <v/>
      </c>
      <c r="H60" s="24">
        <f>IF($L60="","",IF(INDEX(ExpWit,$L60)=0,"",INDEX(ExpWit,$L60)))</f>
        <v/>
      </c>
      <c r="I60" s="25">
        <f>IF($B60="","",IF($I59="",0,$I59)+IF($H60="",0,$H60)-IF($G60="",0,$G60))</f>
        <v/>
      </c>
      <c r="J60" s="23">
        <f>IF($L60="","",IF(INDEX(ExpNote,$L60)="","—",INDEX(ExpNote,$L60)))</f>
        <v/>
      </c>
      <c r="L60">
        <f>IFERROR(MATCH($C$5&amp;"|"&amp;RIGHT("000000"&amp;44,6),ExpRankKey,0),"")</f>
        <v/>
      </c>
    </row>
    <row r="61">
      <c r="A61" s="16" t="n">
        <v>45</v>
      </c>
      <c r="B61" s="17">
        <f>IF($L61="","",INDEX(ExpNorm,$L61))</f>
        <v/>
      </c>
      <c r="C61" s="17">
        <f>IF($L61="","",IF(INDEX(ExpTime,$L61)="","—",LEFT(INDEX(ExpTime,$L61),2)&amp;":"&amp;RIGHT(INDEX(ExpTime,$L61),2)))</f>
        <v/>
      </c>
      <c r="D61" s="17">
        <f>IF($L61="","",IF(INDEX(ExpBank,$L61)="","—",INDEX(ExpBank,$L61)))</f>
        <v/>
      </c>
      <c r="E61" s="18">
        <f>IF($L61="","",IF(INDEX(ExpParty,$L61)="","—",IFERROR(VLOOKUP(INDEX(ExpParty,$L61),AcctTbl,4,0),INDEX(ExpParty,$L61))))</f>
        <v/>
      </c>
      <c r="F61" s="17">
        <f>IF($L61="","",IF(INDEX(ExpType,$L61)="","—",INDEX(ExpType,$L61)))</f>
        <v/>
      </c>
      <c r="G61" s="19">
        <f>IF($L61="","",IF(INDEX(ExpDep,$L61)=0,"",INDEX(ExpDep,$L61)))</f>
        <v/>
      </c>
      <c r="H61" s="19">
        <f>IF($L61="","",IF(INDEX(ExpWit,$L61)=0,"",INDEX(ExpWit,$L61)))</f>
        <v/>
      </c>
      <c r="I61" s="20">
        <f>IF($B61="","",IF($I60="",0,$I60)+IF($H61="",0,$H61)-IF($G61="",0,$G61))</f>
        <v/>
      </c>
      <c r="J61" s="18">
        <f>IF($L61="","",IF(INDEX(ExpNote,$L61)="","—",INDEX(ExpNote,$L61)))</f>
        <v/>
      </c>
      <c r="L61">
        <f>IFERROR(MATCH($C$5&amp;"|"&amp;RIGHT("000000"&amp;45,6),ExpRankKey,0),"")</f>
        <v/>
      </c>
    </row>
    <row r="62">
      <c r="A62" s="21" t="n">
        <v>46</v>
      </c>
      <c r="B62" s="22">
        <f>IF($L62="","",INDEX(ExpNorm,$L62))</f>
        <v/>
      </c>
      <c r="C62" s="22">
        <f>IF($L62="","",IF(INDEX(ExpTime,$L62)="","—",LEFT(INDEX(ExpTime,$L62),2)&amp;":"&amp;RIGHT(INDEX(ExpTime,$L62),2)))</f>
        <v/>
      </c>
      <c r="D62" s="22">
        <f>IF($L62="","",IF(INDEX(ExpBank,$L62)="","—",INDEX(ExpBank,$L62)))</f>
        <v/>
      </c>
      <c r="E62" s="23">
        <f>IF($L62="","",IF(INDEX(ExpParty,$L62)="","—",IFERROR(VLOOKUP(INDEX(ExpParty,$L62),AcctTbl,4,0),INDEX(ExpParty,$L62))))</f>
        <v/>
      </c>
      <c r="F62" s="22">
        <f>IF($L62="","",IF(INDEX(ExpType,$L62)="","—",INDEX(ExpType,$L62)))</f>
        <v/>
      </c>
      <c r="G62" s="24">
        <f>IF($L62="","",IF(INDEX(ExpDep,$L62)=0,"",INDEX(ExpDep,$L62)))</f>
        <v/>
      </c>
      <c r="H62" s="24">
        <f>IF($L62="","",IF(INDEX(ExpWit,$L62)=0,"",INDEX(ExpWit,$L62)))</f>
        <v/>
      </c>
      <c r="I62" s="25">
        <f>IF($B62="","",IF($I61="",0,$I61)+IF($H62="",0,$H62)-IF($G62="",0,$G62))</f>
        <v/>
      </c>
      <c r="J62" s="23">
        <f>IF($L62="","",IF(INDEX(ExpNote,$L62)="","—",INDEX(ExpNote,$L62)))</f>
        <v/>
      </c>
      <c r="L62">
        <f>IFERROR(MATCH($C$5&amp;"|"&amp;RIGHT("000000"&amp;46,6),ExpRankKey,0),"")</f>
        <v/>
      </c>
    </row>
    <row r="63">
      <c r="A63" s="16" t="n">
        <v>47</v>
      </c>
      <c r="B63" s="17">
        <f>IF($L63="","",INDEX(ExpNorm,$L63))</f>
        <v/>
      </c>
      <c r="C63" s="17">
        <f>IF($L63="","",IF(INDEX(ExpTime,$L63)="","—",LEFT(INDEX(ExpTime,$L63),2)&amp;":"&amp;RIGHT(INDEX(ExpTime,$L63),2)))</f>
        <v/>
      </c>
      <c r="D63" s="17">
        <f>IF($L63="","",IF(INDEX(ExpBank,$L63)="","—",INDEX(ExpBank,$L63)))</f>
        <v/>
      </c>
      <c r="E63" s="18">
        <f>IF($L63="","",IF(INDEX(ExpParty,$L63)="","—",IFERROR(VLOOKUP(INDEX(ExpParty,$L63),AcctTbl,4,0),INDEX(ExpParty,$L63))))</f>
        <v/>
      </c>
      <c r="F63" s="17">
        <f>IF($L63="","",IF(INDEX(ExpType,$L63)="","—",INDEX(ExpType,$L63)))</f>
        <v/>
      </c>
      <c r="G63" s="19">
        <f>IF($L63="","",IF(INDEX(ExpDep,$L63)=0,"",INDEX(ExpDep,$L63)))</f>
        <v/>
      </c>
      <c r="H63" s="19">
        <f>IF($L63="","",IF(INDEX(ExpWit,$L63)=0,"",INDEX(ExpWit,$L63)))</f>
        <v/>
      </c>
      <c r="I63" s="20">
        <f>IF($B63="","",IF($I62="",0,$I62)+IF($H63="",0,$H63)-IF($G63="",0,$G63))</f>
        <v/>
      </c>
      <c r="J63" s="18">
        <f>IF($L63="","",IF(INDEX(ExpNote,$L63)="","—",INDEX(ExpNote,$L63)))</f>
        <v/>
      </c>
      <c r="L63">
        <f>IFERROR(MATCH($C$5&amp;"|"&amp;RIGHT("000000"&amp;47,6),ExpRankKey,0),"")</f>
        <v/>
      </c>
    </row>
    <row r="64">
      <c r="A64" s="21" t="n">
        <v>48</v>
      </c>
      <c r="B64" s="22">
        <f>IF($L64="","",INDEX(ExpNorm,$L64))</f>
        <v/>
      </c>
      <c r="C64" s="22">
        <f>IF($L64="","",IF(INDEX(ExpTime,$L64)="","—",LEFT(INDEX(ExpTime,$L64),2)&amp;":"&amp;RIGHT(INDEX(ExpTime,$L64),2)))</f>
        <v/>
      </c>
      <c r="D64" s="22">
        <f>IF($L64="","",IF(INDEX(ExpBank,$L64)="","—",INDEX(ExpBank,$L64)))</f>
        <v/>
      </c>
      <c r="E64" s="23">
        <f>IF($L64="","",IF(INDEX(ExpParty,$L64)="","—",IFERROR(VLOOKUP(INDEX(ExpParty,$L64),AcctTbl,4,0),INDEX(ExpParty,$L64))))</f>
        <v/>
      </c>
      <c r="F64" s="22">
        <f>IF($L64="","",IF(INDEX(ExpType,$L64)="","—",INDEX(ExpType,$L64)))</f>
        <v/>
      </c>
      <c r="G64" s="24">
        <f>IF($L64="","",IF(INDEX(ExpDep,$L64)=0,"",INDEX(ExpDep,$L64)))</f>
        <v/>
      </c>
      <c r="H64" s="24">
        <f>IF($L64="","",IF(INDEX(ExpWit,$L64)=0,"",INDEX(ExpWit,$L64)))</f>
        <v/>
      </c>
      <c r="I64" s="25">
        <f>IF($B64="","",IF($I63="",0,$I63)+IF($H64="",0,$H64)-IF($G64="",0,$G64))</f>
        <v/>
      </c>
      <c r="J64" s="23">
        <f>IF($L64="","",IF(INDEX(ExpNote,$L64)="","—",INDEX(ExpNote,$L64)))</f>
        <v/>
      </c>
      <c r="L64">
        <f>IFERROR(MATCH($C$5&amp;"|"&amp;RIGHT("000000"&amp;48,6),ExpRankKey,0),"")</f>
        <v/>
      </c>
    </row>
    <row r="65">
      <c r="A65" s="16" t="n">
        <v>49</v>
      </c>
      <c r="B65" s="17">
        <f>IF($L65="","",INDEX(ExpNorm,$L65))</f>
        <v/>
      </c>
      <c r="C65" s="17">
        <f>IF($L65="","",IF(INDEX(ExpTime,$L65)="","—",LEFT(INDEX(ExpTime,$L65),2)&amp;":"&amp;RIGHT(INDEX(ExpTime,$L65),2)))</f>
        <v/>
      </c>
      <c r="D65" s="17">
        <f>IF($L65="","",IF(INDEX(ExpBank,$L65)="","—",INDEX(ExpBank,$L65)))</f>
        <v/>
      </c>
      <c r="E65" s="18">
        <f>IF($L65="","",IF(INDEX(ExpParty,$L65)="","—",IFERROR(VLOOKUP(INDEX(ExpParty,$L65),AcctTbl,4,0),INDEX(ExpParty,$L65))))</f>
        <v/>
      </c>
      <c r="F65" s="17">
        <f>IF($L65="","",IF(INDEX(ExpType,$L65)="","—",INDEX(ExpType,$L65)))</f>
        <v/>
      </c>
      <c r="G65" s="19">
        <f>IF($L65="","",IF(INDEX(ExpDep,$L65)=0,"",INDEX(ExpDep,$L65)))</f>
        <v/>
      </c>
      <c r="H65" s="19">
        <f>IF($L65="","",IF(INDEX(ExpWit,$L65)=0,"",INDEX(ExpWit,$L65)))</f>
        <v/>
      </c>
      <c r="I65" s="20">
        <f>IF($B65="","",IF($I64="",0,$I64)+IF($H65="",0,$H65)-IF($G65="",0,$G65))</f>
        <v/>
      </c>
      <c r="J65" s="18">
        <f>IF($L65="","",IF(INDEX(ExpNote,$L65)="","—",INDEX(ExpNote,$L65)))</f>
        <v/>
      </c>
      <c r="L65">
        <f>IFERROR(MATCH($C$5&amp;"|"&amp;RIGHT("000000"&amp;49,6),ExpRankKey,0),"")</f>
        <v/>
      </c>
    </row>
    <row r="66">
      <c r="A66" s="21" t="n">
        <v>50</v>
      </c>
      <c r="B66" s="22">
        <f>IF($L66="","",INDEX(ExpNorm,$L66))</f>
        <v/>
      </c>
      <c r="C66" s="22">
        <f>IF($L66="","",IF(INDEX(ExpTime,$L66)="","—",LEFT(INDEX(ExpTime,$L66),2)&amp;":"&amp;RIGHT(INDEX(ExpTime,$L66),2)))</f>
        <v/>
      </c>
      <c r="D66" s="22">
        <f>IF($L66="","",IF(INDEX(ExpBank,$L66)="","—",INDEX(ExpBank,$L66)))</f>
        <v/>
      </c>
      <c r="E66" s="23">
        <f>IF($L66="","",IF(INDEX(ExpParty,$L66)="","—",IFERROR(VLOOKUP(INDEX(ExpParty,$L66),AcctTbl,4,0),INDEX(ExpParty,$L66))))</f>
        <v/>
      </c>
      <c r="F66" s="22">
        <f>IF($L66="","",IF(INDEX(ExpType,$L66)="","—",INDEX(ExpType,$L66)))</f>
        <v/>
      </c>
      <c r="G66" s="24">
        <f>IF($L66="","",IF(INDEX(ExpDep,$L66)=0,"",INDEX(ExpDep,$L66)))</f>
        <v/>
      </c>
      <c r="H66" s="24">
        <f>IF($L66="","",IF(INDEX(ExpWit,$L66)=0,"",INDEX(ExpWit,$L66)))</f>
        <v/>
      </c>
      <c r="I66" s="25">
        <f>IF($B66="","",IF($I65="",0,$I65)+IF($H66="",0,$H66)-IF($G66="",0,$G66))</f>
        <v/>
      </c>
      <c r="J66" s="23">
        <f>IF($L66="","",IF(INDEX(ExpNote,$L66)="","—",INDEX(ExpNote,$L66)))</f>
        <v/>
      </c>
      <c r="L66">
        <f>IFERROR(MATCH($C$5&amp;"|"&amp;RIGHT("000000"&amp;50,6),ExpRankKey,0),"")</f>
        <v/>
      </c>
    </row>
    <row r="67">
      <c r="A67" s="16" t="n">
        <v>51</v>
      </c>
      <c r="B67" s="17">
        <f>IF($L67="","",INDEX(ExpNorm,$L67))</f>
        <v/>
      </c>
      <c r="C67" s="17">
        <f>IF($L67="","",IF(INDEX(ExpTime,$L67)="","—",LEFT(INDEX(ExpTime,$L67),2)&amp;":"&amp;RIGHT(INDEX(ExpTime,$L67),2)))</f>
        <v/>
      </c>
      <c r="D67" s="17">
        <f>IF($L67="","",IF(INDEX(ExpBank,$L67)="","—",INDEX(ExpBank,$L67)))</f>
        <v/>
      </c>
      <c r="E67" s="18">
        <f>IF($L67="","",IF(INDEX(ExpParty,$L67)="","—",IFERROR(VLOOKUP(INDEX(ExpParty,$L67),AcctTbl,4,0),INDEX(ExpParty,$L67))))</f>
        <v/>
      </c>
      <c r="F67" s="17">
        <f>IF($L67="","",IF(INDEX(ExpType,$L67)="","—",INDEX(ExpType,$L67)))</f>
        <v/>
      </c>
      <c r="G67" s="19">
        <f>IF($L67="","",IF(INDEX(ExpDep,$L67)=0,"",INDEX(ExpDep,$L67)))</f>
        <v/>
      </c>
      <c r="H67" s="19">
        <f>IF($L67="","",IF(INDEX(ExpWit,$L67)=0,"",INDEX(ExpWit,$L67)))</f>
        <v/>
      </c>
      <c r="I67" s="20">
        <f>IF($B67="","",IF($I66="",0,$I66)+IF($H67="",0,$H67)-IF($G67="",0,$G67))</f>
        <v/>
      </c>
      <c r="J67" s="18">
        <f>IF($L67="","",IF(INDEX(ExpNote,$L67)="","—",INDEX(ExpNote,$L67)))</f>
        <v/>
      </c>
      <c r="L67">
        <f>IFERROR(MATCH($C$5&amp;"|"&amp;RIGHT("000000"&amp;51,6),ExpRankKey,0),"")</f>
        <v/>
      </c>
    </row>
    <row r="68">
      <c r="A68" s="21" t="n">
        <v>52</v>
      </c>
      <c r="B68" s="22">
        <f>IF($L68="","",INDEX(ExpNorm,$L68))</f>
        <v/>
      </c>
      <c r="C68" s="22">
        <f>IF($L68="","",IF(INDEX(ExpTime,$L68)="","—",LEFT(INDEX(ExpTime,$L68),2)&amp;":"&amp;RIGHT(INDEX(ExpTime,$L68),2)))</f>
        <v/>
      </c>
      <c r="D68" s="22">
        <f>IF($L68="","",IF(INDEX(ExpBank,$L68)="","—",INDEX(ExpBank,$L68)))</f>
        <v/>
      </c>
      <c r="E68" s="23">
        <f>IF($L68="","",IF(INDEX(ExpParty,$L68)="","—",IFERROR(VLOOKUP(INDEX(ExpParty,$L68),AcctTbl,4,0),INDEX(ExpParty,$L68))))</f>
        <v/>
      </c>
      <c r="F68" s="22">
        <f>IF($L68="","",IF(INDEX(ExpType,$L68)="","—",INDEX(ExpType,$L68)))</f>
        <v/>
      </c>
      <c r="G68" s="24">
        <f>IF($L68="","",IF(INDEX(ExpDep,$L68)=0,"",INDEX(ExpDep,$L68)))</f>
        <v/>
      </c>
      <c r="H68" s="24">
        <f>IF($L68="","",IF(INDEX(ExpWit,$L68)=0,"",INDEX(ExpWit,$L68)))</f>
        <v/>
      </c>
      <c r="I68" s="25">
        <f>IF($B68="","",IF($I67="",0,$I67)+IF($H68="",0,$H68)-IF($G68="",0,$G68))</f>
        <v/>
      </c>
      <c r="J68" s="23">
        <f>IF($L68="","",IF(INDEX(ExpNote,$L68)="","—",INDEX(ExpNote,$L68)))</f>
        <v/>
      </c>
      <c r="L68">
        <f>IFERROR(MATCH($C$5&amp;"|"&amp;RIGHT("000000"&amp;52,6),ExpRankKey,0),"")</f>
        <v/>
      </c>
    </row>
    <row r="69">
      <c r="A69" s="16" t="n">
        <v>53</v>
      </c>
      <c r="B69" s="17">
        <f>IF($L69="","",INDEX(ExpNorm,$L69))</f>
        <v/>
      </c>
      <c r="C69" s="17">
        <f>IF($L69="","",IF(INDEX(ExpTime,$L69)="","—",LEFT(INDEX(ExpTime,$L69),2)&amp;":"&amp;RIGHT(INDEX(ExpTime,$L69),2)))</f>
        <v/>
      </c>
      <c r="D69" s="17">
        <f>IF($L69="","",IF(INDEX(ExpBank,$L69)="","—",INDEX(ExpBank,$L69)))</f>
        <v/>
      </c>
      <c r="E69" s="18">
        <f>IF($L69="","",IF(INDEX(ExpParty,$L69)="","—",IFERROR(VLOOKUP(INDEX(ExpParty,$L69),AcctTbl,4,0),INDEX(ExpParty,$L69))))</f>
        <v/>
      </c>
      <c r="F69" s="17">
        <f>IF($L69="","",IF(INDEX(ExpType,$L69)="","—",INDEX(ExpType,$L69)))</f>
        <v/>
      </c>
      <c r="G69" s="19">
        <f>IF($L69="","",IF(INDEX(ExpDep,$L69)=0,"",INDEX(ExpDep,$L69)))</f>
        <v/>
      </c>
      <c r="H69" s="19">
        <f>IF($L69="","",IF(INDEX(ExpWit,$L69)=0,"",INDEX(ExpWit,$L69)))</f>
        <v/>
      </c>
      <c r="I69" s="20">
        <f>IF($B69="","",IF($I68="",0,$I68)+IF($H69="",0,$H69)-IF($G69="",0,$G69))</f>
        <v/>
      </c>
      <c r="J69" s="18">
        <f>IF($L69="","",IF(INDEX(ExpNote,$L69)="","—",INDEX(ExpNote,$L69)))</f>
        <v/>
      </c>
      <c r="L69">
        <f>IFERROR(MATCH($C$5&amp;"|"&amp;RIGHT("000000"&amp;53,6),ExpRankKey,0),"")</f>
        <v/>
      </c>
    </row>
    <row r="70">
      <c r="A70" s="21" t="n">
        <v>54</v>
      </c>
      <c r="B70" s="22">
        <f>IF($L70="","",INDEX(ExpNorm,$L70))</f>
        <v/>
      </c>
      <c r="C70" s="22">
        <f>IF($L70="","",IF(INDEX(ExpTime,$L70)="","—",LEFT(INDEX(ExpTime,$L70),2)&amp;":"&amp;RIGHT(INDEX(ExpTime,$L70),2)))</f>
        <v/>
      </c>
      <c r="D70" s="22">
        <f>IF($L70="","",IF(INDEX(ExpBank,$L70)="","—",INDEX(ExpBank,$L70)))</f>
        <v/>
      </c>
      <c r="E70" s="23">
        <f>IF($L70="","",IF(INDEX(ExpParty,$L70)="","—",IFERROR(VLOOKUP(INDEX(ExpParty,$L70),AcctTbl,4,0),INDEX(ExpParty,$L70))))</f>
        <v/>
      </c>
      <c r="F70" s="22">
        <f>IF($L70="","",IF(INDEX(ExpType,$L70)="","—",INDEX(ExpType,$L70)))</f>
        <v/>
      </c>
      <c r="G70" s="24">
        <f>IF($L70="","",IF(INDEX(ExpDep,$L70)=0,"",INDEX(ExpDep,$L70)))</f>
        <v/>
      </c>
      <c r="H70" s="24">
        <f>IF($L70="","",IF(INDEX(ExpWit,$L70)=0,"",INDEX(ExpWit,$L70)))</f>
        <v/>
      </c>
      <c r="I70" s="25">
        <f>IF($B70="","",IF($I69="",0,$I69)+IF($H70="",0,$H70)-IF($G70="",0,$G70))</f>
        <v/>
      </c>
      <c r="J70" s="23">
        <f>IF($L70="","",IF(INDEX(ExpNote,$L70)="","—",INDEX(ExpNote,$L70)))</f>
        <v/>
      </c>
      <c r="L70">
        <f>IFERROR(MATCH($C$5&amp;"|"&amp;RIGHT("000000"&amp;54,6),ExpRankKey,0),"")</f>
        <v/>
      </c>
    </row>
    <row r="71">
      <c r="A71" s="16" t="n">
        <v>55</v>
      </c>
      <c r="B71" s="17">
        <f>IF($L71="","",INDEX(ExpNorm,$L71))</f>
        <v/>
      </c>
      <c r="C71" s="17">
        <f>IF($L71="","",IF(INDEX(ExpTime,$L71)="","—",LEFT(INDEX(ExpTime,$L71),2)&amp;":"&amp;RIGHT(INDEX(ExpTime,$L71),2)))</f>
        <v/>
      </c>
      <c r="D71" s="17">
        <f>IF($L71="","",IF(INDEX(ExpBank,$L71)="","—",INDEX(ExpBank,$L71)))</f>
        <v/>
      </c>
      <c r="E71" s="18">
        <f>IF($L71="","",IF(INDEX(ExpParty,$L71)="","—",IFERROR(VLOOKUP(INDEX(ExpParty,$L71),AcctTbl,4,0),INDEX(ExpParty,$L71))))</f>
        <v/>
      </c>
      <c r="F71" s="17">
        <f>IF($L71="","",IF(INDEX(ExpType,$L71)="","—",INDEX(ExpType,$L71)))</f>
        <v/>
      </c>
      <c r="G71" s="19">
        <f>IF($L71="","",IF(INDEX(ExpDep,$L71)=0,"",INDEX(ExpDep,$L71)))</f>
        <v/>
      </c>
      <c r="H71" s="19">
        <f>IF($L71="","",IF(INDEX(ExpWit,$L71)=0,"",INDEX(ExpWit,$L71)))</f>
        <v/>
      </c>
      <c r="I71" s="20">
        <f>IF($B71="","",IF($I70="",0,$I70)+IF($H71="",0,$H71)-IF($G71="",0,$G71))</f>
        <v/>
      </c>
      <c r="J71" s="18">
        <f>IF($L71="","",IF(INDEX(ExpNote,$L71)="","—",INDEX(ExpNote,$L71)))</f>
        <v/>
      </c>
      <c r="L71">
        <f>IFERROR(MATCH($C$5&amp;"|"&amp;RIGHT("000000"&amp;55,6),ExpRankKey,0),"")</f>
        <v/>
      </c>
    </row>
    <row r="72">
      <c r="A72" s="21" t="n">
        <v>56</v>
      </c>
      <c r="B72" s="22">
        <f>IF($L72="","",INDEX(ExpNorm,$L72))</f>
        <v/>
      </c>
      <c r="C72" s="22">
        <f>IF($L72="","",IF(INDEX(ExpTime,$L72)="","—",LEFT(INDEX(ExpTime,$L72),2)&amp;":"&amp;RIGHT(INDEX(ExpTime,$L72),2)))</f>
        <v/>
      </c>
      <c r="D72" s="22">
        <f>IF($L72="","",IF(INDEX(ExpBank,$L72)="","—",INDEX(ExpBank,$L72)))</f>
        <v/>
      </c>
      <c r="E72" s="23">
        <f>IF($L72="","",IF(INDEX(ExpParty,$L72)="","—",IFERROR(VLOOKUP(INDEX(ExpParty,$L72),AcctTbl,4,0),INDEX(ExpParty,$L72))))</f>
        <v/>
      </c>
      <c r="F72" s="22">
        <f>IF($L72="","",IF(INDEX(ExpType,$L72)="","—",INDEX(ExpType,$L72)))</f>
        <v/>
      </c>
      <c r="G72" s="24">
        <f>IF($L72="","",IF(INDEX(ExpDep,$L72)=0,"",INDEX(ExpDep,$L72)))</f>
        <v/>
      </c>
      <c r="H72" s="24">
        <f>IF($L72="","",IF(INDEX(ExpWit,$L72)=0,"",INDEX(ExpWit,$L72)))</f>
        <v/>
      </c>
      <c r="I72" s="25">
        <f>IF($B72="","",IF($I71="",0,$I71)+IF($H72="",0,$H72)-IF($G72="",0,$G72))</f>
        <v/>
      </c>
      <c r="J72" s="23">
        <f>IF($L72="","",IF(INDEX(ExpNote,$L72)="","—",INDEX(ExpNote,$L72)))</f>
        <v/>
      </c>
      <c r="L72">
        <f>IFERROR(MATCH($C$5&amp;"|"&amp;RIGHT("000000"&amp;56,6),ExpRankKey,0),"")</f>
        <v/>
      </c>
    </row>
    <row r="73">
      <c r="A73" s="16" t="n">
        <v>57</v>
      </c>
      <c r="B73" s="17">
        <f>IF($L73="","",INDEX(ExpNorm,$L73))</f>
        <v/>
      </c>
      <c r="C73" s="17">
        <f>IF($L73="","",IF(INDEX(ExpTime,$L73)="","—",LEFT(INDEX(ExpTime,$L73),2)&amp;":"&amp;RIGHT(INDEX(ExpTime,$L73),2)))</f>
        <v/>
      </c>
      <c r="D73" s="17">
        <f>IF($L73="","",IF(INDEX(ExpBank,$L73)="","—",INDEX(ExpBank,$L73)))</f>
        <v/>
      </c>
      <c r="E73" s="18">
        <f>IF($L73="","",IF(INDEX(ExpParty,$L73)="","—",IFERROR(VLOOKUP(INDEX(ExpParty,$L73),AcctTbl,4,0),INDEX(ExpParty,$L73))))</f>
        <v/>
      </c>
      <c r="F73" s="17">
        <f>IF($L73="","",IF(INDEX(ExpType,$L73)="","—",INDEX(ExpType,$L73)))</f>
        <v/>
      </c>
      <c r="G73" s="19">
        <f>IF($L73="","",IF(INDEX(ExpDep,$L73)=0,"",INDEX(ExpDep,$L73)))</f>
        <v/>
      </c>
      <c r="H73" s="19">
        <f>IF($L73="","",IF(INDEX(ExpWit,$L73)=0,"",INDEX(ExpWit,$L73)))</f>
        <v/>
      </c>
      <c r="I73" s="20">
        <f>IF($B73="","",IF($I72="",0,$I72)+IF($H73="",0,$H73)-IF($G73="",0,$G73))</f>
        <v/>
      </c>
      <c r="J73" s="18">
        <f>IF($L73="","",IF(INDEX(ExpNote,$L73)="","—",INDEX(ExpNote,$L73)))</f>
        <v/>
      </c>
      <c r="L73">
        <f>IFERROR(MATCH($C$5&amp;"|"&amp;RIGHT("000000"&amp;57,6),ExpRankKey,0),"")</f>
        <v/>
      </c>
    </row>
    <row r="74">
      <c r="A74" s="21" t="n">
        <v>58</v>
      </c>
      <c r="B74" s="22">
        <f>IF($L74="","",INDEX(ExpNorm,$L74))</f>
        <v/>
      </c>
      <c r="C74" s="22">
        <f>IF($L74="","",IF(INDEX(ExpTime,$L74)="","—",LEFT(INDEX(ExpTime,$L74),2)&amp;":"&amp;RIGHT(INDEX(ExpTime,$L74),2)))</f>
        <v/>
      </c>
      <c r="D74" s="22">
        <f>IF($L74="","",IF(INDEX(ExpBank,$L74)="","—",INDEX(ExpBank,$L74)))</f>
        <v/>
      </c>
      <c r="E74" s="23">
        <f>IF($L74="","",IF(INDEX(ExpParty,$L74)="","—",IFERROR(VLOOKUP(INDEX(ExpParty,$L74),AcctTbl,4,0),INDEX(ExpParty,$L74))))</f>
        <v/>
      </c>
      <c r="F74" s="22">
        <f>IF($L74="","",IF(INDEX(ExpType,$L74)="","—",INDEX(ExpType,$L74)))</f>
        <v/>
      </c>
      <c r="G74" s="24">
        <f>IF($L74="","",IF(INDEX(ExpDep,$L74)=0,"",INDEX(ExpDep,$L74)))</f>
        <v/>
      </c>
      <c r="H74" s="24">
        <f>IF($L74="","",IF(INDEX(ExpWit,$L74)=0,"",INDEX(ExpWit,$L74)))</f>
        <v/>
      </c>
      <c r="I74" s="25">
        <f>IF($B74="","",IF($I73="",0,$I73)+IF($H74="",0,$H74)-IF($G74="",0,$G74))</f>
        <v/>
      </c>
      <c r="J74" s="23">
        <f>IF($L74="","",IF(INDEX(ExpNote,$L74)="","—",INDEX(ExpNote,$L74)))</f>
        <v/>
      </c>
      <c r="L74">
        <f>IFERROR(MATCH($C$5&amp;"|"&amp;RIGHT("000000"&amp;58,6),ExpRankKey,0),"")</f>
        <v/>
      </c>
    </row>
    <row r="75">
      <c r="A75" s="16" t="n">
        <v>59</v>
      </c>
      <c r="B75" s="17">
        <f>IF($L75="","",INDEX(ExpNorm,$L75))</f>
        <v/>
      </c>
      <c r="C75" s="17">
        <f>IF($L75="","",IF(INDEX(ExpTime,$L75)="","—",LEFT(INDEX(ExpTime,$L75),2)&amp;":"&amp;RIGHT(INDEX(ExpTime,$L75),2)))</f>
        <v/>
      </c>
      <c r="D75" s="17">
        <f>IF($L75="","",IF(INDEX(ExpBank,$L75)="","—",INDEX(ExpBank,$L75)))</f>
        <v/>
      </c>
      <c r="E75" s="18">
        <f>IF($L75="","",IF(INDEX(ExpParty,$L75)="","—",IFERROR(VLOOKUP(INDEX(ExpParty,$L75),AcctTbl,4,0),INDEX(ExpParty,$L75))))</f>
        <v/>
      </c>
      <c r="F75" s="17">
        <f>IF($L75="","",IF(INDEX(ExpType,$L75)="","—",INDEX(ExpType,$L75)))</f>
        <v/>
      </c>
      <c r="G75" s="19">
        <f>IF($L75="","",IF(INDEX(ExpDep,$L75)=0,"",INDEX(ExpDep,$L75)))</f>
        <v/>
      </c>
      <c r="H75" s="19">
        <f>IF($L75="","",IF(INDEX(ExpWit,$L75)=0,"",INDEX(ExpWit,$L75)))</f>
        <v/>
      </c>
      <c r="I75" s="20">
        <f>IF($B75="","",IF($I74="",0,$I74)+IF($H75="",0,$H75)-IF($G75="",0,$G75))</f>
        <v/>
      </c>
      <c r="J75" s="18">
        <f>IF($L75="","",IF(INDEX(ExpNote,$L75)="","—",INDEX(ExpNote,$L75)))</f>
        <v/>
      </c>
      <c r="L75">
        <f>IFERROR(MATCH($C$5&amp;"|"&amp;RIGHT("000000"&amp;59,6),ExpRankKey,0),"")</f>
        <v/>
      </c>
    </row>
    <row r="76">
      <c r="A76" s="21" t="n">
        <v>60</v>
      </c>
      <c r="B76" s="22">
        <f>IF($L76="","",INDEX(ExpNorm,$L76))</f>
        <v/>
      </c>
      <c r="C76" s="22">
        <f>IF($L76="","",IF(INDEX(ExpTime,$L76)="","—",LEFT(INDEX(ExpTime,$L76),2)&amp;":"&amp;RIGHT(INDEX(ExpTime,$L76),2)))</f>
        <v/>
      </c>
      <c r="D76" s="22">
        <f>IF($L76="","",IF(INDEX(ExpBank,$L76)="","—",INDEX(ExpBank,$L76)))</f>
        <v/>
      </c>
      <c r="E76" s="23">
        <f>IF($L76="","",IF(INDEX(ExpParty,$L76)="","—",IFERROR(VLOOKUP(INDEX(ExpParty,$L76),AcctTbl,4,0),INDEX(ExpParty,$L76))))</f>
        <v/>
      </c>
      <c r="F76" s="22">
        <f>IF($L76="","",IF(INDEX(ExpType,$L76)="","—",INDEX(ExpType,$L76)))</f>
        <v/>
      </c>
      <c r="G76" s="24">
        <f>IF($L76="","",IF(INDEX(ExpDep,$L76)=0,"",INDEX(ExpDep,$L76)))</f>
        <v/>
      </c>
      <c r="H76" s="24">
        <f>IF($L76="","",IF(INDEX(ExpWit,$L76)=0,"",INDEX(ExpWit,$L76)))</f>
        <v/>
      </c>
      <c r="I76" s="25">
        <f>IF($B76="","",IF($I75="",0,$I75)+IF($H76="",0,$H76)-IF($G76="",0,$G76))</f>
        <v/>
      </c>
      <c r="J76" s="23">
        <f>IF($L76="","",IF(INDEX(ExpNote,$L76)="","—",INDEX(ExpNote,$L76)))</f>
        <v/>
      </c>
      <c r="L76">
        <f>IFERROR(MATCH($C$5&amp;"|"&amp;RIGHT("000000"&amp;60,6),ExpRankKey,0),"")</f>
        <v/>
      </c>
    </row>
    <row r="77">
      <c r="A77" s="16" t="n">
        <v>61</v>
      </c>
      <c r="B77" s="17">
        <f>IF($L77="","",INDEX(ExpNorm,$L77))</f>
        <v/>
      </c>
      <c r="C77" s="17">
        <f>IF($L77="","",IF(INDEX(ExpTime,$L77)="","—",LEFT(INDEX(ExpTime,$L77),2)&amp;":"&amp;RIGHT(INDEX(ExpTime,$L77),2)))</f>
        <v/>
      </c>
      <c r="D77" s="17">
        <f>IF($L77="","",IF(INDEX(ExpBank,$L77)="","—",INDEX(ExpBank,$L77)))</f>
        <v/>
      </c>
      <c r="E77" s="18">
        <f>IF($L77="","",IF(INDEX(ExpParty,$L77)="","—",IFERROR(VLOOKUP(INDEX(ExpParty,$L77),AcctTbl,4,0),INDEX(ExpParty,$L77))))</f>
        <v/>
      </c>
      <c r="F77" s="17">
        <f>IF($L77="","",IF(INDEX(ExpType,$L77)="","—",INDEX(ExpType,$L77)))</f>
        <v/>
      </c>
      <c r="G77" s="19">
        <f>IF($L77="","",IF(INDEX(ExpDep,$L77)=0,"",INDEX(ExpDep,$L77)))</f>
        <v/>
      </c>
      <c r="H77" s="19">
        <f>IF($L77="","",IF(INDEX(ExpWit,$L77)=0,"",INDEX(ExpWit,$L77)))</f>
        <v/>
      </c>
      <c r="I77" s="20">
        <f>IF($B77="","",IF($I76="",0,$I76)+IF($H77="",0,$H77)-IF($G77="",0,$G77))</f>
        <v/>
      </c>
      <c r="J77" s="18">
        <f>IF($L77="","",IF(INDEX(ExpNote,$L77)="","—",INDEX(ExpNote,$L77)))</f>
        <v/>
      </c>
      <c r="L77">
        <f>IFERROR(MATCH($C$5&amp;"|"&amp;RIGHT("000000"&amp;61,6),ExpRankKey,0),"")</f>
        <v/>
      </c>
    </row>
    <row r="78">
      <c r="A78" s="21" t="n">
        <v>62</v>
      </c>
      <c r="B78" s="22">
        <f>IF($L78="","",INDEX(ExpNorm,$L78))</f>
        <v/>
      </c>
      <c r="C78" s="22">
        <f>IF($L78="","",IF(INDEX(ExpTime,$L78)="","—",LEFT(INDEX(ExpTime,$L78),2)&amp;":"&amp;RIGHT(INDEX(ExpTime,$L78),2)))</f>
        <v/>
      </c>
      <c r="D78" s="22">
        <f>IF($L78="","",IF(INDEX(ExpBank,$L78)="","—",INDEX(ExpBank,$L78)))</f>
        <v/>
      </c>
      <c r="E78" s="23">
        <f>IF($L78="","",IF(INDEX(ExpParty,$L78)="","—",IFERROR(VLOOKUP(INDEX(ExpParty,$L78),AcctTbl,4,0),INDEX(ExpParty,$L78))))</f>
        <v/>
      </c>
      <c r="F78" s="22">
        <f>IF($L78="","",IF(INDEX(ExpType,$L78)="","—",INDEX(ExpType,$L78)))</f>
        <v/>
      </c>
      <c r="G78" s="24">
        <f>IF($L78="","",IF(INDEX(ExpDep,$L78)=0,"",INDEX(ExpDep,$L78)))</f>
        <v/>
      </c>
      <c r="H78" s="24">
        <f>IF($L78="","",IF(INDEX(ExpWit,$L78)=0,"",INDEX(ExpWit,$L78)))</f>
        <v/>
      </c>
      <c r="I78" s="25">
        <f>IF($B78="","",IF($I77="",0,$I77)+IF($H78="",0,$H78)-IF($G78="",0,$G78))</f>
        <v/>
      </c>
      <c r="J78" s="23">
        <f>IF($L78="","",IF(INDEX(ExpNote,$L78)="","—",INDEX(ExpNote,$L78)))</f>
        <v/>
      </c>
      <c r="L78">
        <f>IFERROR(MATCH($C$5&amp;"|"&amp;RIGHT("000000"&amp;62,6),ExpRankKey,0),"")</f>
        <v/>
      </c>
    </row>
    <row r="79">
      <c r="A79" s="16" t="n">
        <v>63</v>
      </c>
      <c r="B79" s="17">
        <f>IF($L79="","",INDEX(ExpNorm,$L79))</f>
        <v/>
      </c>
      <c r="C79" s="17">
        <f>IF($L79="","",IF(INDEX(ExpTime,$L79)="","—",LEFT(INDEX(ExpTime,$L79),2)&amp;":"&amp;RIGHT(INDEX(ExpTime,$L79),2)))</f>
        <v/>
      </c>
      <c r="D79" s="17">
        <f>IF($L79="","",IF(INDEX(ExpBank,$L79)="","—",INDEX(ExpBank,$L79)))</f>
        <v/>
      </c>
      <c r="E79" s="18">
        <f>IF($L79="","",IF(INDEX(ExpParty,$L79)="","—",IFERROR(VLOOKUP(INDEX(ExpParty,$L79),AcctTbl,4,0),INDEX(ExpParty,$L79))))</f>
        <v/>
      </c>
      <c r="F79" s="17">
        <f>IF($L79="","",IF(INDEX(ExpType,$L79)="","—",INDEX(ExpType,$L79)))</f>
        <v/>
      </c>
      <c r="G79" s="19">
        <f>IF($L79="","",IF(INDEX(ExpDep,$L79)=0,"",INDEX(ExpDep,$L79)))</f>
        <v/>
      </c>
      <c r="H79" s="19">
        <f>IF($L79="","",IF(INDEX(ExpWit,$L79)=0,"",INDEX(ExpWit,$L79)))</f>
        <v/>
      </c>
      <c r="I79" s="20">
        <f>IF($B79="","",IF($I78="",0,$I78)+IF($H79="",0,$H79)-IF($G79="",0,$G79))</f>
        <v/>
      </c>
      <c r="J79" s="18">
        <f>IF($L79="","",IF(INDEX(ExpNote,$L79)="","—",INDEX(ExpNote,$L79)))</f>
        <v/>
      </c>
      <c r="L79">
        <f>IFERROR(MATCH($C$5&amp;"|"&amp;RIGHT("000000"&amp;63,6),ExpRankKey,0),"")</f>
        <v/>
      </c>
    </row>
    <row r="80">
      <c r="A80" s="21" t="n">
        <v>64</v>
      </c>
      <c r="B80" s="22">
        <f>IF($L80="","",INDEX(ExpNorm,$L80))</f>
        <v/>
      </c>
      <c r="C80" s="22">
        <f>IF($L80="","",IF(INDEX(ExpTime,$L80)="","—",LEFT(INDEX(ExpTime,$L80),2)&amp;":"&amp;RIGHT(INDEX(ExpTime,$L80),2)))</f>
        <v/>
      </c>
      <c r="D80" s="22">
        <f>IF($L80="","",IF(INDEX(ExpBank,$L80)="","—",INDEX(ExpBank,$L80)))</f>
        <v/>
      </c>
      <c r="E80" s="23">
        <f>IF($L80="","",IF(INDEX(ExpParty,$L80)="","—",IFERROR(VLOOKUP(INDEX(ExpParty,$L80),AcctTbl,4,0),INDEX(ExpParty,$L80))))</f>
        <v/>
      </c>
      <c r="F80" s="22">
        <f>IF($L80="","",IF(INDEX(ExpType,$L80)="","—",INDEX(ExpType,$L80)))</f>
        <v/>
      </c>
      <c r="G80" s="24">
        <f>IF($L80="","",IF(INDEX(ExpDep,$L80)=0,"",INDEX(ExpDep,$L80)))</f>
        <v/>
      </c>
      <c r="H80" s="24">
        <f>IF($L80="","",IF(INDEX(ExpWit,$L80)=0,"",INDEX(ExpWit,$L80)))</f>
        <v/>
      </c>
      <c r="I80" s="25">
        <f>IF($B80="","",IF($I79="",0,$I79)+IF($H80="",0,$H80)-IF($G80="",0,$G80))</f>
        <v/>
      </c>
      <c r="J80" s="23">
        <f>IF($L80="","",IF(INDEX(ExpNote,$L80)="","—",INDEX(ExpNote,$L80)))</f>
        <v/>
      </c>
      <c r="L80">
        <f>IFERROR(MATCH($C$5&amp;"|"&amp;RIGHT("000000"&amp;64,6),ExpRankKey,0),"")</f>
        <v/>
      </c>
    </row>
    <row r="81">
      <c r="A81" s="16" t="n">
        <v>65</v>
      </c>
      <c r="B81" s="17">
        <f>IF($L81="","",INDEX(ExpNorm,$L81))</f>
        <v/>
      </c>
      <c r="C81" s="17">
        <f>IF($L81="","",IF(INDEX(ExpTime,$L81)="","—",LEFT(INDEX(ExpTime,$L81),2)&amp;":"&amp;RIGHT(INDEX(ExpTime,$L81),2)))</f>
        <v/>
      </c>
      <c r="D81" s="17">
        <f>IF($L81="","",IF(INDEX(ExpBank,$L81)="","—",INDEX(ExpBank,$L81)))</f>
        <v/>
      </c>
      <c r="E81" s="18">
        <f>IF($L81="","",IF(INDEX(ExpParty,$L81)="","—",IFERROR(VLOOKUP(INDEX(ExpParty,$L81),AcctTbl,4,0),INDEX(ExpParty,$L81))))</f>
        <v/>
      </c>
      <c r="F81" s="17">
        <f>IF($L81="","",IF(INDEX(ExpType,$L81)="","—",INDEX(ExpType,$L81)))</f>
        <v/>
      </c>
      <c r="G81" s="19">
        <f>IF($L81="","",IF(INDEX(ExpDep,$L81)=0,"",INDEX(ExpDep,$L81)))</f>
        <v/>
      </c>
      <c r="H81" s="19">
        <f>IF($L81="","",IF(INDEX(ExpWit,$L81)=0,"",INDEX(ExpWit,$L81)))</f>
        <v/>
      </c>
      <c r="I81" s="20">
        <f>IF($B81="","",IF($I80="",0,$I80)+IF($H81="",0,$H81)-IF($G81="",0,$G81))</f>
        <v/>
      </c>
      <c r="J81" s="18">
        <f>IF($L81="","",IF(INDEX(ExpNote,$L81)="","—",INDEX(ExpNote,$L81)))</f>
        <v/>
      </c>
      <c r="L81">
        <f>IFERROR(MATCH($C$5&amp;"|"&amp;RIGHT("000000"&amp;65,6),ExpRankKey,0),"")</f>
        <v/>
      </c>
    </row>
    <row r="82">
      <c r="A82" s="21" t="n">
        <v>66</v>
      </c>
      <c r="B82" s="22">
        <f>IF($L82="","",INDEX(ExpNorm,$L82))</f>
        <v/>
      </c>
      <c r="C82" s="22">
        <f>IF($L82="","",IF(INDEX(ExpTime,$L82)="","—",LEFT(INDEX(ExpTime,$L82),2)&amp;":"&amp;RIGHT(INDEX(ExpTime,$L82),2)))</f>
        <v/>
      </c>
      <c r="D82" s="22">
        <f>IF($L82="","",IF(INDEX(ExpBank,$L82)="","—",INDEX(ExpBank,$L82)))</f>
        <v/>
      </c>
      <c r="E82" s="23">
        <f>IF($L82="","",IF(INDEX(ExpParty,$L82)="","—",IFERROR(VLOOKUP(INDEX(ExpParty,$L82),AcctTbl,4,0),INDEX(ExpParty,$L82))))</f>
        <v/>
      </c>
      <c r="F82" s="22">
        <f>IF($L82="","",IF(INDEX(ExpType,$L82)="","—",INDEX(ExpType,$L82)))</f>
        <v/>
      </c>
      <c r="G82" s="24">
        <f>IF($L82="","",IF(INDEX(ExpDep,$L82)=0,"",INDEX(ExpDep,$L82)))</f>
        <v/>
      </c>
      <c r="H82" s="24">
        <f>IF($L82="","",IF(INDEX(ExpWit,$L82)=0,"",INDEX(ExpWit,$L82)))</f>
        <v/>
      </c>
      <c r="I82" s="25">
        <f>IF($B82="","",IF($I81="",0,$I81)+IF($H82="",0,$H82)-IF($G82="",0,$G82))</f>
        <v/>
      </c>
      <c r="J82" s="23">
        <f>IF($L82="","",IF(INDEX(ExpNote,$L82)="","—",INDEX(ExpNote,$L82)))</f>
        <v/>
      </c>
      <c r="L82">
        <f>IFERROR(MATCH($C$5&amp;"|"&amp;RIGHT("000000"&amp;66,6),ExpRankKey,0),"")</f>
        <v/>
      </c>
    </row>
    <row r="83">
      <c r="A83" s="16" t="n">
        <v>67</v>
      </c>
      <c r="B83" s="17">
        <f>IF($L83="","",INDEX(ExpNorm,$L83))</f>
        <v/>
      </c>
      <c r="C83" s="17">
        <f>IF($L83="","",IF(INDEX(ExpTime,$L83)="","—",LEFT(INDEX(ExpTime,$L83),2)&amp;":"&amp;RIGHT(INDEX(ExpTime,$L83),2)))</f>
        <v/>
      </c>
      <c r="D83" s="17">
        <f>IF($L83="","",IF(INDEX(ExpBank,$L83)="","—",INDEX(ExpBank,$L83)))</f>
        <v/>
      </c>
      <c r="E83" s="18">
        <f>IF($L83="","",IF(INDEX(ExpParty,$L83)="","—",IFERROR(VLOOKUP(INDEX(ExpParty,$L83),AcctTbl,4,0),INDEX(ExpParty,$L83))))</f>
        <v/>
      </c>
      <c r="F83" s="17">
        <f>IF($L83="","",IF(INDEX(ExpType,$L83)="","—",INDEX(ExpType,$L83)))</f>
        <v/>
      </c>
      <c r="G83" s="19">
        <f>IF($L83="","",IF(INDEX(ExpDep,$L83)=0,"",INDEX(ExpDep,$L83)))</f>
        <v/>
      </c>
      <c r="H83" s="19">
        <f>IF($L83="","",IF(INDEX(ExpWit,$L83)=0,"",INDEX(ExpWit,$L83)))</f>
        <v/>
      </c>
      <c r="I83" s="20">
        <f>IF($B83="","",IF($I82="",0,$I82)+IF($H83="",0,$H83)-IF($G83="",0,$G83))</f>
        <v/>
      </c>
      <c r="J83" s="18">
        <f>IF($L83="","",IF(INDEX(ExpNote,$L83)="","—",INDEX(ExpNote,$L83)))</f>
        <v/>
      </c>
      <c r="L83">
        <f>IFERROR(MATCH($C$5&amp;"|"&amp;RIGHT("000000"&amp;67,6),ExpRankKey,0),"")</f>
        <v/>
      </c>
    </row>
    <row r="84">
      <c r="A84" s="21" t="n">
        <v>68</v>
      </c>
      <c r="B84" s="22">
        <f>IF($L84="","",INDEX(ExpNorm,$L84))</f>
        <v/>
      </c>
      <c r="C84" s="22">
        <f>IF($L84="","",IF(INDEX(ExpTime,$L84)="","—",LEFT(INDEX(ExpTime,$L84),2)&amp;":"&amp;RIGHT(INDEX(ExpTime,$L84),2)))</f>
        <v/>
      </c>
      <c r="D84" s="22">
        <f>IF($L84="","",IF(INDEX(ExpBank,$L84)="","—",INDEX(ExpBank,$L84)))</f>
        <v/>
      </c>
      <c r="E84" s="23">
        <f>IF($L84="","",IF(INDEX(ExpParty,$L84)="","—",IFERROR(VLOOKUP(INDEX(ExpParty,$L84),AcctTbl,4,0),INDEX(ExpParty,$L84))))</f>
        <v/>
      </c>
      <c r="F84" s="22">
        <f>IF($L84="","",IF(INDEX(ExpType,$L84)="","—",INDEX(ExpType,$L84)))</f>
        <v/>
      </c>
      <c r="G84" s="24">
        <f>IF($L84="","",IF(INDEX(ExpDep,$L84)=0,"",INDEX(ExpDep,$L84)))</f>
        <v/>
      </c>
      <c r="H84" s="24">
        <f>IF($L84="","",IF(INDEX(ExpWit,$L84)=0,"",INDEX(ExpWit,$L84)))</f>
        <v/>
      </c>
      <c r="I84" s="25">
        <f>IF($B84="","",IF($I83="",0,$I83)+IF($H84="",0,$H84)-IF($G84="",0,$G84))</f>
        <v/>
      </c>
      <c r="J84" s="23">
        <f>IF($L84="","",IF(INDEX(ExpNote,$L84)="","—",INDEX(ExpNote,$L84)))</f>
        <v/>
      </c>
      <c r="L84">
        <f>IFERROR(MATCH($C$5&amp;"|"&amp;RIGHT("000000"&amp;68,6),ExpRankKey,0),"")</f>
        <v/>
      </c>
    </row>
    <row r="85">
      <c r="A85" s="16" t="n">
        <v>69</v>
      </c>
      <c r="B85" s="17">
        <f>IF($L85="","",INDEX(ExpNorm,$L85))</f>
        <v/>
      </c>
      <c r="C85" s="17">
        <f>IF($L85="","",IF(INDEX(ExpTime,$L85)="","—",LEFT(INDEX(ExpTime,$L85),2)&amp;":"&amp;RIGHT(INDEX(ExpTime,$L85),2)))</f>
        <v/>
      </c>
      <c r="D85" s="17">
        <f>IF($L85="","",IF(INDEX(ExpBank,$L85)="","—",INDEX(ExpBank,$L85)))</f>
        <v/>
      </c>
      <c r="E85" s="18">
        <f>IF($L85="","",IF(INDEX(ExpParty,$L85)="","—",IFERROR(VLOOKUP(INDEX(ExpParty,$L85),AcctTbl,4,0),INDEX(ExpParty,$L85))))</f>
        <v/>
      </c>
      <c r="F85" s="17">
        <f>IF($L85="","",IF(INDEX(ExpType,$L85)="","—",INDEX(ExpType,$L85)))</f>
        <v/>
      </c>
      <c r="G85" s="19">
        <f>IF($L85="","",IF(INDEX(ExpDep,$L85)=0,"",INDEX(ExpDep,$L85)))</f>
        <v/>
      </c>
      <c r="H85" s="19">
        <f>IF($L85="","",IF(INDEX(ExpWit,$L85)=0,"",INDEX(ExpWit,$L85)))</f>
        <v/>
      </c>
      <c r="I85" s="20">
        <f>IF($B85="","",IF($I84="",0,$I84)+IF($H85="",0,$H85)-IF($G85="",0,$G85))</f>
        <v/>
      </c>
      <c r="J85" s="18">
        <f>IF($L85="","",IF(INDEX(ExpNote,$L85)="","—",INDEX(ExpNote,$L85)))</f>
        <v/>
      </c>
      <c r="L85">
        <f>IFERROR(MATCH($C$5&amp;"|"&amp;RIGHT("000000"&amp;69,6),ExpRankKey,0),"")</f>
        <v/>
      </c>
    </row>
    <row r="86">
      <c r="A86" s="21" t="n">
        <v>70</v>
      </c>
      <c r="B86" s="22">
        <f>IF($L86="","",INDEX(ExpNorm,$L86))</f>
        <v/>
      </c>
      <c r="C86" s="22">
        <f>IF($L86="","",IF(INDEX(ExpTime,$L86)="","—",LEFT(INDEX(ExpTime,$L86),2)&amp;":"&amp;RIGHT(INDEX(ExpTime,$L86),2)))</f>
        <v/>
      </c>
      <c r="D86" s="22">
        <f>IF($L86="","",IF(INDEX(ExpBank,$L86)="","—",INDEX(ExpBank,$L86)))</f>
        <v/>
      </c>
      <c r="E86" s="23">
        <f>IF($L86="","",IF(INDEX(ExpParty,$L86)="","—",IFERROR(VLOOKUP(INDEX(ExpParty,$L86),AcctTbl,4,0),INDEX(ExpParty,$L86))))</f>
        <v/>
      </c>
      <c r="F86" s="22">
        <f>IF($L86="","",IF(INDEX(ExpType,$L86)="","—",INDEX(ExpType,$L86)))</f>
        <v/>
      </c>
      <c r="G86" s="24">
        <f>IF($L86="","",IF(INDEX(ExpDep,$L86)=0,"",INDEX(ExpDep,$L86)))</f>
        <v/>
      </c>
      <c r="H86" s="24">
        <f>IF($L86="","",IF(INDEX(ExpWit,$L86)=0,"",INDEX(ExpWit,$L86)))</f>
        <v/>
      </c>
      <c r="I86" s="25">
        <f>IF($B86="","",IF($I85="",0,$I85)+IF($H86="",0,$H86)-IF($G86="",0,$G86))</f>
        <v/>
      </c>
      <c r="J86" s="23">
        <f>IF($L86="","",IF(INDEX(ExpNote,$L86)="","—",INDEX(ExpNote,$L86)))</f>
        <v/>
      </c>
      <c r="L86">
        <f>IFERROR(MATCH($C$5&amp;"|"&amp;RIGHT("000000"&amp;70,6),ExpRankKey,0),"")</f>
        <v/>
      </c>
    </row>
    <row r="87">
      <c r="A87" s="16" t="n">
        <v>71</v>
      </c>
      <c r="B87" s="17">
        <f>IF($L87="","",INDEX(ExpNorm,$L87))</f>
        <v/>
      </c>
      <c r="C87" s="17">
        <f>IF($L87="","",IF(INDEX(ExpTime,$L87)="","—",LEFT(INDEX(ExpTime,$L87),2)&amp;":"&amp;RIGHT(INDEX(ExpTime,$L87),2)))</f>
        <v/>
      </c>
      <c r="D87" s="17">
        <f>IF($L87="","",IF(INDEX(ExpBank,$L87)="","—",INDEX(ExpBank,$L87)))</f>
        <v/>
      </c>
      <c r="E87" s="18">
        <f>IF($L87="","",IF(INDEX(ExpParty,$L87)="","—",IFERROR(VLOOKUP(INDEX(ExpParty,$L87),AcctTbl,4,0),INDEX(ExpParty,$L87))))</f>
        <v/>
      </c>
      <c r="F87" s="17">
        <f>IF($L87="","",IF(INDEX(ExpType,$L87)="","—",INDEX(ExpType,$L87)))</f>
        <v/>
      </c>
      <c r="G87" s="19">
        <f>IF($L87="","",IF(INDEX(ExpDep,$L87)=0,"",INDEX(ExpDep,$L87)))</f>
        <v/>
      </c>
      <c r="H87" s="19">
        <f>IF($L87="","",IF(INDEX(ExpWit,$L87)=0,"",INDEX(ExpWit,$L87)))</f>
        <v/>
      </c>
      <c r="I87" s="20">
        <f>IF($B87="","",IF($I86="",0,$I86)+IF($H87="",0,$H87)-IF($G87="",0,$G87))</f>
        <v/>
      </c>
      <c r="J87" s="18">
        <f>IF($L87="","",IF(INDEX(ExpNote,$L87)="","—",INDEX(ExpNote,$L87)))</f>
        <v/>
      </c>
      <c r="L87">
        <f>IFERROR(MATCH($C$5&amp;"|"&amp;RIGHT("000000"&amp;71,6),ExpRankKey,0),"")</f>
        <v/>
      </c>
    </row>
    <row r="88">
      <c r="A88" s="21" t="n">
        <v>72</v>
      </c>
      <c r="B88" s="22">
        <f>IF($L88="","",INDEX(ExpNorm,$L88))</f>
        <v/>
      </c>
      <c r="C88" s="22">
        <f>IF($L88="","",IF(INDEX(ExpTime,$L88)="","—",LEFT(INDEX(ExpTime,$L88),2)&amp;":"&amp;RIGHT(INDEX(ExpTime,$L88),2)))</f>
        <v/>
      </c>
      <c r="D88" s="22">
        <f>IF($L88="","",IF(INDEX(ExpBank,$L88)="","—",INDEX(ExpBank,$L88)))</f>
        <v/>
      </c>
      <c r="E88" s="23">
        <f>IF($L88="","",IF(INDEX(ExpParty,$L88)="","—",IFERROR(VLOOKUP(INDEX(ExpParty,$L88),AcctTbl,4,0),INDEX(ExpParty,$L88))))</f>
        <v/>
      </c>
      <c r="F88" s="22">
        <f>IF($L88="","",IF(INDEX(ExpType,$L88)="","—",INDEX(ExpType,$L88)))</f>
        <v/>
      </c>
      <c r="G88" s="24">
        <f>IF($L88="","",IF(INDEX(ExpDep,$L88)=0,"",INDEX(ExpDep,$L88)))</f>
        <v/>
      </c>
      <c r="H88" s="24">
        <f>IF($L88="","",IF(INDEX(ExpWit,$L88)=0,"",INDEX(ExpWit,$L88)))</f>
        <v/>
      </c>
      <c r="I88" s="25">
        <f>IF($B88="","",IF($I87="",0,$I87)+IF($H88="",0,$H88)-IF($G88="",0,$G88))</f>
        <v/>
      </c>
      <c r="J88" s="23">
        <f>IF($L88="","",IF(INDEX(ExpNote,$L88)="","—",INDEX(ExpNote,$L88)))</f>
        <v/>
      </c>
      <c r="L88">
        <f>IFERROR(MATCH($C$5&amp;"|"&amp;RIGHT("000000"&amp;72,6),ExpRankKey,0),"")</f>
        <v/>
      </c>
    </row>
    <row r="89">
      <c r="A89" s="16" t="n">
        <v>73</v>
      </c>
      <c r="B89" s="17">
        <f>IF($L89="","",INDEX(ExpNorm,$L89))</f>
        <v/>
      </c>
      <c r="C89" s="17">
        <f>IF($L89="","",IF(INDEX(ExpTime,$L89)="","—",LEFT(INDEX(ExpTime,$L89),2)&amp;":"&amp;RIGHT(INDEX(ExpTime,$L89),2)))</f>
        <v/>
      </c>
      <c r="D89" s="17">
        <f>IF($L89="","",IF(INDEX(ExpBank,$L89)="","—",INDEX(ExpBank,$L89)))</f>
        <v/>
      </c>
      <c r="E89" s="18">
        <f>IF($L89="","",IF(INDEX(ExpParty,$L89)="","—",IFERROR(VLOOKUP(INDEX(ExpParty,$L89),AcctTbl,4,0),INDEX(ExpParty,$L89))))</f>
        <v/>
      </c>
      <c r="F89" s="17">
        <f>IF($L89="","",IF(INDEX(ExpType,$L89)="","—",INDEX(ExpType,$L89)))</f>
        <v/>
      </c>
      <c r="G89" s="19">
        <f>IF($L89="","",IF(INDEX(ExpDep,$L89)=0,"",INDEX(ExpDep,$L89)))</f>
        <v/>
      </c>
      <c r="H89" s="19">
        <f>IF($L89="","",IF(INDEX(ExpWit,$L89)=0,"",INDEX(ExpWit,$L89)))</f>
        <v/>
      </c>
      <c r="I89" s="20">
        <f>IF($B89="","",IF($I88="",0,$I88)+IF($H89="",0,$H89)-IF($G89="",0,$G89))</f>
        <v/>
      </c>
      <c r="J89" s="18">
        <f>IF($L89="","",IF(INDEX(ExpNote,$L89)="","—",INDEX(ExpNote,$L89)))</f>
        <v/>
      </c>
      <c r="L89">
        <f>IFERROR(MATCH($C$5&amp;"|"&amp;RIGHT("000000"&amp;73,6),ExpRankKey,0),"")</f>
        <v/>
      </c>
    </row>
    <row r="90">
      <c r="A90" s="21" t="n">
        <v>74</v>
      </c>
      <c r="B90" s="22">
        <f>IF($L90="","",INDEX(ExpNorm,$L90))</f>
        <v/>
      </c>
      <c r="C90" s="22">
        <f>IF($L90="","",IF(INDEX(ExpTime,$L90)="","—",LEFT(INDEX(ExpTime,$L90),2)&amp;":"&amp;RIGHT(INDEX(ExpTime,$L90),2)))</f>
        <v/>
      </c>
      <c r="D90" s="22">
        <f>IF($L90="","",IF(INDEX(ExpBank,$L90)="","—",INDEX(ExpBank,$L90)))</f>
        <v/>
      </c>
      <c r="E90" s="23">
        <f>IF($L90="","",IF(INDEX(ExpParty,$L90)="","—",IFERROR(VLOOKUP(INDEX(ExpParty,$L90),AcctTbl,4,0),INDEX(ExpParty,$L90))))</f>
        <v/>
      </c>
      <c r="F90" s="22">
        <f>IF($L90="","",IF(INDEX(ExpType,$L90)="","—",INDEX(ExpType,$L90)))</f>
        <v/>
      </c>
      <c r="G90" s="24">
        <f>IF($L90="","",IF(INDEX(ExpDep,$L90)=0,"",INDEX(ExpDep,$L90)))</f>
        <v/>
      </c>
      <c r="H90" s="24">
        <f>IF($L90="","",IF(INDEX(ExpWit,$L90)=0,"",INDEX(ExpWit,$L90)))</f>
        <v/>
      </c>
      <c r="I90" s="25">
        <f>IF($B90="","",IF($I89="",0,$I89)+IF($H90="",0,$H90)-IF($G90="",0,$G90))</f>
        <v/>
      </c>
      <c r="J90" s="23">
        <f>IF($L90="","",IF(INDEX(ExpNote,$L90)="","—",INDEX(ExpNote,$L90)))</f>
        <v/>
      </c>
      <c r="L90">
        <f>IFERROR(MATCH($C$5&amp;"|"&amp;RIGHT("000000"&amp;74,6),ExpRankKey,0),"")</f>
        <v/>
      </c>
    </row>
    <row r="91">
      <c r="A91" s="16" t="n">
        <v>75</v>
      </c>
      <c r="B91" s="17">
        <f>IF($L91="","",INDEX(ExpNorm,$L91))</f>
        <v/>
      </c>
      <c r="C91" s="17">
        <f>IF($L91="","",IF(INDEX(ExpTime,$L91)="","—",LEFT(INDEX(ExpTime,$L91),2)&amp;":"&amp;RIGHT(INDEX(ExpTime,$L91),2)))</f>
        <v/>
      </c>
      <c r="D91" s="17">
        <f>IF($L91="","",IF(INDEX(ExpBank,$L91)="","—",INDEX(ExpBank,$L91)))</f>
        <v/>
      </c>
      <c r="E91" s="18">
        <f>IF($L91="","",IF(INDEX(ExpParty,$L91)="","—",IFERROR(VLOOKUP(INDEX(ExpParty,$L91),AcctTbl,4,0),INDEX(ExpParty,$L91))))</f>
        <v/>
      </c>
      <c r="F91" s="17">
        <f>IF($L91="","",IF(INDEX(ExpType,$L91)="","—",INDEX(ExpType,$L91)))</f>
        <v/>
      </c>
      <c r="G91" s="19">
        <f>IF($L91="","",IF(INDEX(ExpDep,$L91)=0,"",INDEX(ExpDep,$L91)))</f>
        <v/>
      </c>
      <c r="H91" s="19">
        <f>IF($L91="","",IF(INDEX(ExpWit,$L91)=0,"",INDEX(ExpWit,$L91)))</f>
        <v/>
      </c>
      <c r="I91" s="20">
        <f>IF($B91="","",IF($I90="",0,$I90)+IF($H91="",0,$H91)-IF($G91="",0,$G91))</f>
        <v/>
      </c>
      <c r="J91" s="18">
        <f>IF($L91="","",IF(INDEX(ExpNote,$L91)="","—",INDEX(ExpNote,$L91)))</f>
        <v/>
      </c>
      <c r="L91">
        <f>IFERROR(MATCH($C$5&amp;"|"&amp;RIGHT("000000"&amp;75,6),ExpRankKey,0),"")</f>
        <v/>
      </c>
    </row>
    <row r="92">
      <c r="A92" s="21" t="n">
        <v>76</v>
      </c>
      <c r="B92" s="22">
        <f>IF($L92="","",INDEX(ExpNorm,$L92))</f>
        <v/>
      </c>
      <c r="C92" s="22">
        <f>IF($L92="","",IF(INDEX(ExpTime,$L92)="","—",LEFT(INDEX(ExpTime,$L92),2)&amp;":"&amp;RIGHT(INDEX(ExpTime,$L92),2)))</f>
        <v/>
      </c>
      <c r="D92" s="22">
        <f>IF($L92="","",IF(INDEX(ExpBank,$L92)="","—",INDEX(ExpBank,$L92)))</f>
        <v/>
      </c>
      <c r="E92" s="23">
        <f>IF($L92="","",IF(INDEX(ExpParty,$L92)="","—",IFERROR(VLOOKUP(INDEX(ExpParty,$L92),AcctTbl,4,0),INDEX(ExpParty,$L92))))</f>
        <v/>
      </c>
      <c r="F92" s="22">
        <f>IF($L92="","",IF(INDEX(ExpType,$L92)="","—",INDEX(ExpType,$L92)))</f>
        <v/>
      </c>
      <c r="G92" s="24">
        <f>IF($L92="","",IF(INDEX(ExpDep,$L92)=0,"",INDEX(ExpDep,$L92)))</f>
        <v/>
      </c>
      <c r="H92" s="24">
        <f>IF($L92="","",IF(INDEX(ExpWit,$L92)=0,"",INDEX(ExpWit,$L92)))</f>
        <v/>
      </c>
      <c r="I92" s="25">
        <f>IF($B92="","",IF($I91="",0,$I91)+IF($H92="",0,$H92)-IF($G92="",0,$G92))</f>
        <v/>
      </c>
      <c r="J92" s="23">
        <f>IF($L92="","",IF(INDEX(ExpNote,$L92)="","—",INDEX(ExpNote,$L92)))</f>
        <v/>
      </c>
      <c r="L92">
        <f>IFERROR(MATCH($C$5&amp;"|"&amp;RIGHT("000000"&amp;76,6),ExpRankKey,0),"")</f>
        <v/>
      </c>
    </row>
    <row r="93">
      <c r="A93" s="16" t="n">
        <v>77</v>
      </c>
      <c r="B93" s="17">
        <f>IF($L93="","",INDEX(ExpNorm,$L93))</f>
        <v/>
      </c>
      <c r="C93" s="17">
        <f>IF($L93="","",IF(INDEX(ExpTime,$L93)="","—",LEFT(INDEX(ExpTime,$L93),2)&amp;":"&amp;RIGHT(INDEX(ExpTime,$L93),2)))</f>
        <v/>
      </c>
      <c r="D93" s="17">
        <f>IF($L93="","",IF(INDEX(ExpBank,$L93)="","—",INDEX(ExpBank,$L93)))</f>
        <v/>
      </c>
      <c r="E93" s="18">
        <f>IF($L93="","",IF(INDEX(ExpParty,$L93)="","—",IFERROR(VLOOKUP(INDEX(ExpParty,$L93),AcctTbl,4,0),INDEX(ExpParty,$L93))))</f>
        <v/>
      </c>
      <c r="F93" s="17">
        <f>IF($L93="","",IF(INDEX(ExpType,$L93)="","—",INDEX(ExpType,$L93)))</f>
        <v/>
      </c>
      <c r="G93" s="19">
        <f>IF($L93="","",IF(INDEX(ExpDep,$L93)=0,"",INDEX(ExpDep,$L93)))</f>
        <v/>
      </c>
      <c r="H93" s="19">
        <f>IF($L93="","",IF(INDEX(ExpWit,$L93)=0,"",INDEX(ExpWit,$L93)))</f>
        <v/>
      </c>
      <c r="I93" s="20">
        <f>IF($B93="","",IF($I92="",0,$I92)+IF($H93="",0,$H93)-IF($G93="",0,$G93))</f>
        <v/>
      </c>
      <c r="J93" s="18">
        <f>IF($L93="","",IF(INDEX(ExpNote,$L93)="","—",INDEX(ExpNote,$L93)))</f>
        <v/>
      </c>
      <c r="L93">
        <f>IFERROR(MATCH($C$5&amp;"|"&amp;RIGHT("000000"&amp;77,6),ExpRankKey,0),"")</f>
        <v/>
      </c>
    </row>
    <row r="94">
      <c r="A94" s="21" t="n">
        <v>78</v>
      </c>
      <c r="B94" s="22">
        <f>IF($L94="","",INDEX(ExpNorm,$L94))</f>
        <v/>
      </c>
      <c r="C94" s="22">
        <f>IF($L94="","",IF(INDEX(ExpTime,$L94)="","—",LEFT(INDEX(ExpTime,$L94),2)&amp;":"&amp;RIGHT(INDEX(ExpTime,$L94),2)))</f>
        <v/>
      </c>
      <c r="D94" s="22">
        <f>IF($L94="","",IF(INDEX(ExpBank,$L94)="","—",INDEX(ExpBank,$L94)))</f>
        <v/>
      </c>
      <c r="E94" s="23">
        <f>IF($L94="","",IF(INDEX(ExpParty,$L94)="","—",IFERROR(VLOOKUP(INDEX(ExpParty,$L94),AcctTbl,4,0),INDEX(ExpParty,$L94))))</f>
        <v/>
      </c>
      <c r="F94" s="22">
        <f>IF($L94="","",IF(INDEX(ExpType,$L94)="","—",INDEX(ExpType,$L94)))</f>
        <v/>
      </c>
      <c r="G94" s="24">
        <f>IF($L94="","",IF(INDEX(ExpDep,$L94)=0,"",INDEX(ExpDep,$L94)))</f>
        <v/>
      </c>
      <c r="H94" s="24">
        <f>IF($L94="","",IF(INDEX(ExpWit,$L94)=0,"",INDEX(ExpWit,$L94)))</f>
        <v/>
      </c>
      <c r="I94" s="25">
        <f>IF($B94="","",IF($I93="",0,$I93)+IF($H94="",0,$H94)-IF($G94="",0,$G94))</f>
        <v/>
      </c>
      <c r="J94" s="23">
        <f>IF($L94="","",IF(INDEX(ExpNote,$L94)="","—",INDEX(ExpNote,$L94)))</f>
        <v/>
      </c>
      <c r="L94">
        <f>IFERROR(MATCH($C$5&amp;"|"&amp;RIGHT("000000"&amp;78,6),ExpRankKey,0),"")</f>
        <v/>
      </c>
    </row>
    <row r="95">
      <c r="A95" s="16" t="n">
        <v>79</v>
      </c>
      <c r="B95" s="17">
        <f>IF($L95="","",INDEX(ExpNorm,$L95))</f>
        <v/>
      </c>
      <c r="C95" s="17">
        <f>IF($L95="","",IF(INDEX(ExpTime,$L95)="","—",LEFT(INDEX(ExpTime,$L95),2)&amp;":"&amp;RIGHT(INDEX(ExpTime,$L95),2)))</f>
        <v/>
      </c>
      <c r="D95" s="17">
        <f>IF($L95="","",IF(INDEX(ExpBank,$L95)="","—",INDEX(ExpBank,$L95)))</f>
        <v/>
      </c>
      <c r="E95" s="18">
        <f>IF($L95="","",IF(INDEX(ExpParty,$L95)="","—",IFERROR(VLOOKUP(INDEX(ExpParty,$L95),AcctTbl,4,0),INDEX(ExpParty,$L95))))</f>
        <v/>
      </c>
      <c r="F95" s="17">
        <f>IF($L95="","",IF(INDEX(ExpType,$L95)="","—",INDEX(ExpType,$L95)))</f>
        <v/>
      </c>
      <c r="G95" s="19">
        <f>IF($L95="","",IF(INDEX(ExpDep,$L95)=0,"",INDEX(ExpDep,$L95)))</f>
        <v/>
      </c>
      <c r="H95" s="19">
        <f>IF($L95="","",IF(INDEX(ExpWit,$L95)=0,"",INDEX(ExpWit,$L95)))</f>
        <v/>
      </c>
      <c r="I95" s="20">
        <f>IF($B95="","",IF($I94="",0,$I94)+IF($H95="",0,$H95)-IF($G95="",0,$G95))</f>
        <v/>
      </c>
      <c r="J95" s="18">
        <f>IF($L95="","",IF(INDEX(ExpNote,$L95)="","—",INDEX(ExpNote,$L95)))</f>
        <v/>
      </c>
      <c r="L95">
        <f>IFERROR(MATCH($C$5&amp;"|"&amp;RIGHT("000000"&amp;79,6),ExpRankKey,0),"")</f>
        <v/>
      </c>
    </row>
    <row r="96">
      <c r="A96" s="21" t="n">
        <v>80</v>
      </c>
      <c r="B96" s="22">
        <f>IF($L96="","",INDEX(ExpNorm,$L96))</f>
        <v/>
      </c>
      <c r="C96" s="22">
        <f>IF($L96="","",IF(INDEX(ExpTime,$L96)="","—",LEFT(INDEX(ExpTime,$L96),2)&amp;":"&amp;RIGHT(INDEX(ExpTime,$L96),2)))</f>
        <v/>
      </c>
      <c r="D96" s="22">
        <f>IF($L96="","",IF(INDEX(ExpBank,$L96)="","—",INDEX(ExpBank,$L96)))</f>
        <v/>
      </c>
      <c r="E96" s="23">
        <f>IF($L96="","",IF(INDEX(ExpParty,$L96)="","—",IFERROR(VLOOKUP(INDEX(ExpParty,$L96),AcctTbl,4,0),INDEX(ExpParty,$L96))))</f>
        <v/>
      </c>
      <c r="F96" s="22">
        <f>IF($L96="","",IF(INDEX(ExpType,$L96)="","—",INDEX(ExpType,$L96)))</f>
        <v/>
      </c>
      <c r="G96" s="24">
        <f>IF($L96="","",IF(INDEX(ExpDep,$L96)=0,"",INDEX(ExpDep,$L96)))</f>
        <v/>
      </c>
      <c r="H96" s="24">
        <f>IF($L96="","",IF(INDEX(ExpWit,$L96)=0,"",INDEX(ExpWit,$L96)))</f>
        <v/>
      </c>
      <c r="I96" s="25">
        <f>IF($B96="","",IF($I95="",0,$I95)+IF($H96="",0,$H96)-IF($G96="",0,$G96))</f>
        <v/>
      </c>
      <c r="J96" s="23">
        <f>IF($L96="","",IF(INDEX(ExpNote,$L96)="","—",INDEX(ExpNote,$L96)))</f>
        <v/>
      </c>
      <c r="L96">
        <f>IFERROR(MATCH($C$5&amp;"|"&amp;RIGHT("000000"&amp;80,6),ExpRankKey,0),"")</f>
        <v/>
      </c>
    </row>
    <row r="97">
      <c r="A97" s="16" t="n">
        <v>81</v>
      </c>
      <c r="B97" s="17">
        <f>IF($L97="","",INDEX(ExpNorm,$L97))</f>
        <v/>
      </c>
      <c r="C97" s="17">
        <f>IF($L97="","",IF(INDEX(ExpTime,$L97)="","—",LEFT(INDEX(ExpTime,$L97),2)&amp;":"&amp;RIGHT(INDEX(ExpTime,$L97),2)))</f>
        <v/>
      </c>
      <c r="D97" s="17">
        <f>IF($L97="","",IF(INDEX(ExpBank,$L97)="","—",INDEX(ExpBank,$L97)))</f>
        <v/>
      </c>
      <c r="E97" s="18">
        <f>IF($L97="","",IF(INDEX(ExpParty,$L97)="","—",IFERROR(VLOOKUP(INDEX(ExpParty,$L97),AcctTbl,4,0),INDEX(ExpParty,$L97))))</f>
        <v/>
      </c>
      <c r="F97" s="17">
        <f>IF($L97="","",IF(INDEX(ExpType,$L97)="","—",INDEX(ExpType,$L97)))</f>
        <v/>
      </c>
      <c r="G97" s="19">
        <f>IF($L97="","",IF(INDEX(ExpDep,$L97)=0,"",INDEX(ExpDep,$L97)))</f>
        <v/>
      </c>
      <c r="H97" s="19">
        <f>IF($L97="","",IF(INDEX(ExpWit,$L97)=0,"",INDEX(ExpWit,$L97)))</f>
        <v/>
      </c>
      <c r="I97" s="20">
        <f>IF($B97="","",IF($I96="",0,$I96)+IF($H97="",0,$H97)-IF($G97="",0,$G97))</f>
        <v/>
      </c>
      <c r="J97" s="18">
        <f>IF($L97="","",IF(INDEX(ExpNote,$L97)="","—",INDEX(ExpNote,$L97)))</f>
        <v/>
      </c>
      <c r="L97">
        <f>IFERROR(MATCH($C$5&amp;"|"&amp;RIGHT("000000"&amp;81,6),ExpRankKey,0),"")</f>
        <v/>
      </c>
    </row>
    <row r="98">
      <c r="A98" s="21" t="n">
        <v>82</v>
      </c>
      <c r="B98" s="22">
        <f>IF($L98="","",INDEX(ExpNorm,$L98))</f>
        <v/>
      </c>
      <c r="C98" s="22">
        <f>IF($L98="","",IF(INDEX(ExpTime,$L98)="","—",LEFT(INDEX(ExpTime,$L98),2)&amp;":"&amp;RIGHT(INDEX(ExpTime,$L98),2)))</f>
        <v/>
      </c>
      <c r="D98" s="22">
        <f>IF($L98="","",IF(INDEX(ExpBank,$L98)="","—",INDEX(ExpBank,$L98)))</f>
        <v/>
      </c>
      <c r="E98" s="23">
        <f>IF($L98="","",IF(INDEX(ExpParty,$L98)="","—",IFERROR(VLOOKUP(INDEX(ExpParty,$L98),AcctTbl,4,0),INDEX(ExpParty,$L98))))</f>
        <v/>
      </c>
      <c r="F98" s="22">
        <f>IF($L98="","",IF(INDEX(ExpType,$L98)="","—",INDEX(ExpType,$L98)))</f>
        <v/>
      </c>
      <c r="G98" s="24">
        <f>IF($L98="","",IF(INDEX(ExpDep,$L98)=0,"",INDEX(ExpDep,$L98)))</f>
        <v/>
      </c>
      <c r="H98" s="24">
        <f>IF($L98="","",IF(INDEX(ExpWit,$L98)=0,"",INDEX(ExpWit,$L98)))</f>
        <v/>
      </c>
      <c r="I98" s="25">
        <f>IF($B98="","",IF($I97="",0,$I97)+IF($H98="",0,$H98)-IF($G98="",0,$G98))</f>
        <v/>
      </c>
      <c r="J98" s="23">
        <f>IF($L98="","",IF(INDEX(ExpNote,$L98)="","—",INDEX(ExpNote,$L98)))</f>
        <v/>
      </c>
      <c r="L98">
        <f>IFERROR(MATCH($C$5&amp;"|"&amp;RIGHT("000000"&amp;82,6),ExpRankKey,0),"")</f>
        <v/>
      </c>
    </row>
    <row r="99">
      <c r="A99" s="16" t="n">
        <v>83</v>
      </c>
      <c r="B99" s="17">
        <f>IF($L99="","",INDEX(ExpNorm,$L99))</f>
        <v/>
      </c>
      <c r="C99" s="17">
        <f>IF($L99="","",IF(INDEX(ExpTime,$L99)="","—",LEFT(INDEX(ExpTime,$L99),2)&amp;":"&amp;RIGHT(INDEX(ExpTime,$L99),2)))</f>
        <v/>
      </c>
      <c r="D99" s="17">
        <f>IF($L99="","",IF(INDEX(ExpBank,$L99)="","—",INDEX(ExpBank,$L99)))</f>
        <v/>
      </c>
      <c r="E99" s="18">
        <f>IF($L99="","",IF(INDEX(ExpParty,$L99)="","—",IFERROR(VLOOKUP(INDEX(ExpParty,$L99),AcctTbl,4,0),INDEX(ExpParty,$L99))))</f>
        <v/>
      </c>
      <c r="F99" s="17">
        <f>IF($L99="","",IF(INDEX(ExpType,$L99)="","—",INDEX(ExpType,$L99)))</f>
        <v/>
      </c>
      <c r="G99" s="19">
        <f>IF($L99="","",IF(INDEX(ExpDep,$L99)=0,"",INDEX(ExpDep,$L99)))</f>
        <v/>
      </c>
      <c r="H99" s="19">
        <f>IF($L99="","",IF(INDEX(ExpWit,$L99)=0,"",INDEX(ExpWit,$L99)))</f>
        <v/>
      </c>
      <c r="I99" s="20">
        <f>IF($B99="","",IF($I98="",0,$I98)+IF($H99="",0,$H99)-IF($G99="",0,$G99))</f>
        <v/>
      </c>
      <c r="J99" s="18">
        <f>IF($L99="","",IF(INDEX(ExpNote,$L99)="","—",INDEX(ExpNote,$L99)))</f>
        <v/>
      </c>
      <c r="L99">
        <f>IFERROR(MATCH($C$5&amp;"|"&amp;RIGHT("000000"&amp;83,6),ExpRankKey,0),"")</f>
        <v/>
      </c>
    </row>
    <row r="100">
      <c r="A100" s="21" t="n">
        <v>84</v>
      </c>
      <c r="B100" s="22">
        <f>IF($L100="","",INDEX(ExpNorm,$L100))</f>
        <v/>
      </c>
      <c r="C100" s="22">
        <f>IF($L100="","",IF(INDEX(ExpTime,$L100)="","—",LEFT(INDEX(ExpTime,$L100),2)&amp;":"&amp;RIGHT(INDEX(ExpTime,$L100),2)))</f>
        <v/>
      </c>
      <c r="D100" s="22">
        <f>IF($L100="","",IF(INDEX(ExpBank,$L100)="","—",INDEX(ExpBank,$L100)))</f>
        <v/>
      </c>
      <c r="E100" s="23">
        <f>IF($L100="","",IF(INDEX(ExpParty,$L100)="","—",IFERROR(VLOOKUP(INDEX(ExpParty,$L100),AcctTbl,4,0),INDEX(ExpParty,$L100))))</f>
        <v/>
      </c>
      <c r="F100" s="22">
        <f>IF($L100="","",IF(INDEX(ExpType,$L100)="","—",INDEX(ExpType,$L100)))</f>
        <v/>
      </c>
      <c r="G100" s="24">
        <f>IF($L100="","",IF(INDEX(ExpDep,$L100)=0,"",INDEX(ExpDep,$L100)))</f>
        <v/>
      </c>
      <c r="H100" s="24">
        <f>IF($L100="","",IF(INDEX(ExpWit,$L100)=0,"",INDEX(ExpWit,$L100)))</f>
        <v/>
      </c>
      <c r="I100" s="25">
        <f>IF($B100="","",IF($I99="",0,$I99)+IF($H100="",0,$H100)-IF($G100="",0,$G100))</f>
        <v/>
      </c>
      <c r="J100" s="23">
        <f>IF($L100="","",IF(INDEX(ExpNote,$L100)="","—",INDEX(ExpNote,$L100)))</f>
        <v/>
      </c>
      <c r="L100">
        <f>IFERROR(MATCH($C$5&amp;"|"&amp;RIGHT("000000"&amp;84,6),ExpRankKey,0),"")</f>
        <v/>
      </c>
    </row>
    <row r="101">
      <c r="A101" s="16" t="n">
        <v>85</v>
      </c>
      <c r="B101" s="17">
        <f>IF($L101="","",INDEX(ExpNorm,$L101))</f>
        <v/>
      </c>
      <c r="C101" s="17">
        <f>IF($L101="","",IF(INDEX(ExpTime,$L101)="","—",LEFT(INDEX(ExpTime,$L101),2)&amp;":"&amp;RIGHT(INDEX(ExpTime,$L101),2)))</f>
        <v/>
      </c>
      <c r="D101" s="17">
        <f>IF($L101="","",IF(INDEX(ExpBank,$L101)="","—",INDEX(ExpBank,$L101)))</f>
        <v/>
      </c>
      <c r="E101" s="18">
        <f>IF($L101="","",IF(INDEX(ExpParty,$L101)="","—",IFERROR(VLOOKUP(INDEX(ExpParty,$L101),AcctTbl,4,0),INDEX(ExpParty,$L101))))</f>
        <v/>
      </c>
      <c r="F101" s="17">
        <f>IF($L101="","",IF(INDEX(ExpType,$L101)="","—",INDEX(ExpType,$L101)))</f>
        <v/>
      </c>
      <c r="G101" s="19">
        <f>IF($L101="","",IF(INDEX(ExpDep,$L101)=0,"",INDEX(ExpDep,$L101)))</f>
        <v/>
      </c>
      <c r="H101" s="19">
        <f>IF($L101="","",IF(INDEX(ExpWit,$L101)=0,"",INDEX(ExpWit,$L101)))</f>
        <v/>
      </c>
      <c r="I101" s="20">
        <f>IF($B101="","",IF($I100="",0,$I100)+IF($H101="",0,$H101)-IF($G101="",0,$G101))</f>
        <v/>
      </c>
      <c r="J101" s="18">
        <f>IF($L101="","",IF(INDEX(ExpNote,$L101)="","—",INDEX(ExpNote,$L101)))</f>
        <v/>
      </c>
      <c r="L101">
        <f>IFERROR(MATCH($C$5&amp;"|"&amp;RIGHT("000000"&amp;85,6),ExpRankKey,0),"")</f>
        <v/>
      </c>
    </row>
    <row r="102">
      <c r="A102" s="21" t="n">
        <v>86</v>
      </c>
      <c r="B102" s="22">
        <f>IF($L102="","",INDEX(ExpNorm,$L102))</f>
        <v/>
      </c>
      <c r="C102" s="22">
        <f>IF($L102="","",IF(INDEX(ExpTime,$L102)="","—",LEFT(INDEX(ExpTime,$L102),2)&amp;":"&amp;RIGHT(INDEX(ExpTime,$L102),2)))</f>
        <v/>
      </c>
      <c r="D102" s="22">
        <f>IF($L102="","",IF(INDEX(ExpBank,$L102)="","—",INDEX(ExpBank,$L102)))</f>
        <v/>
      </c>
      <c r="E102" s="23">
        <f>IF($L102="","",IF(INDEX(ExpParty,$L102)="","—",IFERROR(VLOOKUP(INDEX(ExpParty,$L102),AcctTbl,4,0),INDEX(ExpParty,$L102))))</f>
        <v/>
      </c>
      <c r="F102" s="22">
        <f>IF($L102="","",IF(INDEX(ExpType,$L102)="","—",INDEX(ExpType,$L102)))</f>
        <v/>
      </c>
      <c r="G102" s="24">
        <f>IF($L102="","",IF(INDEX(ExpDep,$L102)=0,"",INDEX(ExpDep,$L102)))</f>
        <v/>
      </c>
      <c r="H102" s="24">
        <f>IF($L102="","",IF(INDEX(ExpWit,$L102)=0,"",INDEX(ExpWit,$L102)))</f>
        <v/>
      </c>
      <c r="I102" s="25">
        <f>IF($B102="","",IF($I101="",0,$I101)+IF($H102="",0,$H102)-IF($G102="",0,$G102))</f>
        <v/>
      </c>
      <c r="J102" s="23">
        <f>IF($L102="","",IF(INDEX(ExpNote,$L102)="","—",INDEX(ExpNote,$L102)))</f>
        <v/>
      </c>
      <c r="L102">
        <f>IFERROR(MATCH($C$5&amp;"|"&amp;RIGHT("000000"&amp;86,6),ExpRankKey,0),"")</f>
        <v/>
      </c>
    </row>
    <row r="103">
      <c r="A103" s="16" t="n">
        <v>87</v>
      </c>
      <c r="B103" s="17">
        <f>IF($L103="","",INDEX(ExpNorm,$L103))</f>
        <v/>
      </c>
      <c r="C103" s="17">
        <f>IF($L103="","",IF(INDEX(ExpTime,$L103)="","—",LEFT(INDEX(ExpTime,$L103),2)&amp;":"&amp;RIGHT(INDEX(ExpTime,$L103),2)))</f>
        <v/>
      </c>
      <c r="D103" s="17">
        <f>IF($L103="","",IF(INDEX(ExpBank,$L103)="","—",INDEX(ExpBank,$L103)))</f>
        <v/>
      </c>
      <c r="E103" s="18">
        <f>IF($L103="","",IF(INDEX(ExpParty,$L103)="","—",IFERROR(VLOOKUP(INDEX(ExpParty,$L103),AcctTbl,4,0),INDEX(ExpParty,$L103))))</f>
        <v/>
      </c>
      <c r="F103" s="17">
        <f>IF($L103="","",IF(INDEX(ExpType,$L103)="","—",INDEX(ExpType,$L103)))</f>
        <v/>
      </c>
      <c r="G103" s="19">
        <f>IF($L103="","",IF(INDEX(ExpDep,$L103)=0,"",INDEX(ExpDep,$L103)))</f>
        <v/>
      </c>
      <c r="H103" s="19">
        <f>IF($L103="","",IF(INDEX(ExpWit,$L103)=0,"",INDEX(ExpWit,$L103)))</f>
        <v/>
      </c>
      <c r="I103" s="20">
        <f>IF($B103="","",IF($I102="",0,$I102)+IF($H103="",0,$H103)-IF($G103="",0,$G103))</f>
        <v/>
      </c>
      <c r="J103" s="18">
        <f>IF($L103="","",IF(INDEX(ExpNote,$L103)="","—",INDEX(ExpNote,$L103)))</f>
        <v/>
      </c>
      <c r="L103">
        <f>IFERROR(MATCH($C$5&amp;"|"&amp;RIGHT("000000"&amp;87,6),ExpRankKey,0),"")</f>
        <v/>
      </c>
    </row>
    <row r="104">
      <c r="A104" s="21" t="n">
        <v>88</v>
      </c>
      <c r="B104" s="22">
        <f>IF($L104="","",INDEX(ExpNorm,$L104))</f>
        <v/>
      </c>
      <c r="C104" s="22">
        <f>IF($L104="","",IF(INDEX(ExpTime,$L104)="","—",LEFT(INDEX(ExpTime,$L104),2)&amp;":"&amp;RIGHT(INDEX(ExpTime,$L104),2)))</f>
        <v/>
      </c>
      <c r="D104" s="22">
        <f>IF($L104="","",IF(INDEX(ExpBank,$L104)="","—",INDEX(ExpBank,$L104)))</f>
        <v/>
      </c>
      <c r="E104" s="23">
        <f>IF($L104="","",IF(INDEX(ExpParty,$L104)="","—",IFERROR(VLOOKUP(INDEX(ExpParty,$L104),AcctTbl,4,0),INDEX(ExpParty,$L104))))</f>
        <v/>
      </c>
      <c r="F104" s="22">
        <f>IF($L104="","",IF(INDEX(ExpType,$L104)="","—",INDEX(ExpType,$L104)))</f>
        <v/>
      </c>
      <c r="G104" s="24">
        <f>IF($L104="","",IF(INDEX(ExpDep,$L104)=0,"",INDEX(ExpDep,$L104)))</f>
        <v/>
      </c>
      <c r="H104" s="24">
        <f>IF($L104="","",IF(INDEX(ExpWit,$L104)=0,"",INDEX(ExpWit,$L104)))</f>
        <v/>
      </c>
      <c r="I104" s="25">
        <f>IF($B104="","",IF($I103="",0,$I103)+IF($H104="",0,$H104)-IF($G104="",0,$G104))</f>
        <v/>
      </c>
      <c r="J104" s="23">
        <f>IF($L104="","",IF(INDEX(ExpNote,$L104)="","—",INDEX(ExpNote,$L104)))</f>
        <v/>
      </c>
      <c r="L104">
        <f>IFERROR(MATCH($C$5&amp;"|"&amp;RIGHT("000000"&amp;88,6),ExpRankKey,0),"")</f>
        <v/>
      </c>
    </row>
    <row r="105">
      <c r="A105" s="16" t="n">
        <v>89</v>
      </c>
      <c r="B105" s="17">
        <f>IF($L105="","",INDEX(ExpNorm,$L105))</f>
        <v/>
      </c>
      <c r="C105" s="17">
        <f>IF($L105="","",IF(INDEX(ExpTime,$L105)="","—",LEFT(INDEX(ExpTime,$L105),2)&amp;":"&amp;RIGHT(INDEX(ExpTime,$L105),2)))</f>
        <v/>
      </c>
      <c r="D105" s="17">
        <f>IF($L105="","",IF(INDEX(ExpBank,$L105)="","—",INDEX(ExpBank,$L105)))</f>
        <v/>
      </c>
      <c r="E105" s="18">
        <f>IF($L105="","",IF(INDEX(ExpParty,$L105)="","—",IFERROR(VLOOKUP(INDEX(ExpParty,$L105),AcctTbl,4,0),INDEX(ExpParty,$L105))))</f>
        <v/>
      </c>
      <c r="F105" s="17">
        <f>IF($L105="","",IF(INDEX(ExpType,$L105)="","—",INDEX(ExpType,$L105)))</f>
        <v/>
      </c>
      <c r="G105" s="19">
        <f>IF($L105="","",IF(INDEX(ExpDep,$L105)=0,"",INDEX(ExpDep,$L105)))</f>
        <v/>
      </c>
      <c r="H105" s="19">
        <f>IF($L105="","",IF(INDEX(ExpWit,$L105)=0,"",INDEX(ExpWit,$L105)))</f>
        <v/>
      </c>
      <c r="I105" s="20">
        <f>IF($B105="","",IF($I104="",0,$I104)+IF($H105="",0,$H105)-IF($G105="",0,$G105))</f>
        <v/>
      </c>
      <c r="J105" s="18">
        <f>IF($L105="","",IF(INDEX(ExpNote,$L105)="","—",INDEX(ExpNote,$L105)))</f>
        <v/>
      </c>
      <c r="L105">
        <f>IFERROR(MATCH($C$5&amp;"|"&amp;RIGHT("000000"&amp;89,6),ExpRankKey,0),"")</f>
        <v/>
      </c>
    </row>
    <row r="106">
      <c r="A106" s="21" t="n">
        <v>90</v>
      </c>
      <c r="B106" s="22">
        <f>IF($L106="","",INDEX(ExpNorm,$L106))</f>
        <v/>
      </c>
      <c r="C106" s="22">
        <f>IF($L106="","",IF(INDEX(ExpTime,$L106)="","—",LEFT(INDEX(ExpTime,$L106),2)&amp;":"&amp;RIGHT(INDEX(ExpTime,$L106),2)))</f>
        <v/>
      </c>
      <c r="D106" s="22">
        <f>IF($L106="","",IF(INDEX(ExpBank,$L106)="","—",INDEX(ExpBank,$L106)))</f>
        <v/>
      </c>
      <c r="E106" s="23">
        <f>IF($L106="","",IF(INDEX(ExpParty,$L106)="","—",IFERROR(VLOOKUP(INDEX(ExpParty,$L106),AcctTbl,4,0),INDEX(ExpParty,$L106))))</f>
        <v/>
      </c>
      <c r="F106" s="22">
        <f>IF($L106="","",IF(INDEX(ExpType,$L106)="","—",INDEX(ExpType,$L106)))</f>
        <v/>
      </c>
      <c r="G106" s="24">
        <f>IF($L106="","",IF(INDEX(ExpDep,$L106)=0,"",INDEX(ExpDep,$L106)))</f>
        <v/>
      </c>
      <c r="H106" s="24">
        <f>IF($L106="","",IF(INDEX(ExpWit,$L106)=0,"",INDEX(ExpWit,$L106)))</f>
        <v/>
      </c>
      <c r="I106" s="25">
        <f>IF($B106="","",IF($I105="",0,$I105)+IF($H106="",0,$H106)-IF($G106="",0,$G106))</f>
        <v/>
      </c>
      <c r="J106" s="23">
        <f>IF($L106="","",IF(INDEX(ExpNote,$L106)="","—",INDEX(ExpNote,$L106)))</f>
        <v/>
      </c>
      <c r="L106">
        <f>IFERROR(MATCH($C$5&amp;"|"&amp;RIGHT("000000"&amp;90,6),ExpRankKey,0),"")</f>
        <v/>
      </c>
    </row>
    <row r="107">
      <c r="A107" s="16" t="n">
        <v>91</v>
      </c>
      <c r="B107" s="17">
        <f>IF($L107="","",INDEX(ExpNorm,$L107))</f>
        <v/>
      </c>
      <c r="C107" s="17">
        <f>IF($L107="","",IF(INDEX(ExpTime,$L107)="","—",LEFT(INDEX(ExpTime,$L107),2)&amp;":"&amp;RIGHT(INDEX(ExpTime,$L107),2)))</f>
        <v/>
      </c>
      <c r="D107" s="17">
        <f>IF($L107="","",IF(INDEX(ExpBank,$L107)="","—",INDEX(ExpBank,$L107)))</f>
        <v/>
      </c>
      <c r="E107" s="18">
        <f>IF($L107="","",IF(INDEX(ExpParty,$L107)="","—",IFERROR(VLOOKUP(INDEX(ExpParty,$L107),AcctTbl,4,0),INDEX(ExpParty,$L107))))</f>
        <v/>
      </c>
      <c r="F107" s="17">
        <f>IF($L107="","",IF(INDEX(ExpType,$L107)="","—",INDEX(ExpType,$L107)))</f>
        <v/>
      </c>
      <c r="G107" s="19">
        <f>IF($L107="","",IF(INDEX(ExpDep,$L107)=0,"",INDEX(ExpDep,$L107)))</f>
        <v/>
      </c>
      <c r="H107" s="19">
        <f>IF($L107="","",IF(INDEX(ExpWit,$L107)=0,"",INDEX(ExpWit,$L107)))</f>
        <v/>
      </c>
      <c r="I107" s="20">
        <f>IF($B107="","",IF($I106="",0,$I106)+IF($H107="",0,$H107)-IF($G107="",0,$G107))</f>
        <v/>
      </c>
      <c r="J107" s="18">
        <f>IF($L107="","",IF(INDEX(ExpNote,$L107)="","—",INDEX(ExpNote,$L107)))</f>
        <v/>
      </c>
      <c r="L107">
        <f>IFERROR(MATCH($C$5&amp;"|"&amp;RIGHT("000000"&amp;91,6),ExpRankKey,0),"")</f>
        <v/>
      </c>
    </row>
    <row r="108">
      <c r="A108" s="21" t="n">
        <v>92</v>
      </c>
      <c r="B108" s="22">
        <f>IF($L108="","",INDEX(ExpNorm,$L108))</f>
        <v/>
      </c>
      <c r="C108" s="22">
        <f>IF($L108="","",IF(INDEX(ExpTime,$L108)="","—",LEFT(INDEX(ExpTime,$L108),2)&amp;":"&amp;RIGHT(INDEX(ExpTime,$L108),2)))</f>
        <v/>
      </c>
      <c r="D108" s="22">
        <f>IF($L108="","",IF(INDEX(ExpBank,$L108)="","—",INDEX(ExpBank,$L108)))</f>
        <v/>
      </c>
      <c r="E108" s="23">
        <f>IF($L108="","",IF(INDEX(ExpParty,$L108)="","—",IFERROR(VLOOKUP(INDEX(ExpParty,$L108),AcctTbl,4,0),INDEX(ExpParty,$L108))))</f>
        <v/>
      </c>
      <c r="F108" s="22">
        <f>IF($L108="","",IF(INDEX(ExpType,$L108)="","—",INDEX(ExpType,$L108)))</f>
        <v/>
      </c>
      <c r="G108" s="24">
        <f>IF($L108="","",IF(INDEX(ExpDep,$L108)=0,"",INDEX(ExpDep,$L108)))</f>
        <v/>
      </c>
      <c r="H108" s="24">
        <f>IF($L108="","",IF(INDEX(ExpWit,$L108)=0,"",INDEX(ExpWit,$L108)))</f>
        <v/>
      </c>
      <c r="I108" s="25">
        <f>IF($B108="","",IF($I107="",0,$I107)+IF($H108="",0,$H108)-IF($G108="",0,$G108))</f>
        <v/>
      </c>
      <c r="J108" s="23">
        <f>IF($L108="","",IF(INDEX(ExpNote,$L108)="","—",INDEX(ExpNote,$L108)))</f>
        <v/>
      </c>
      <c r="L108">
        <f>IFERROR(MATCH($C$5&amp;"|"&amp;RIGHT("000000"&amp;92,6),ExpRankKey,0),"")</f>
        <v/>
      </c>
    </row>
    <row r="109">
      <c r="A109" s="16" t="n">
        <v>93</v>
      </c>
      <c r="B109" s="17">
        <f>IF($L109="","",INDEX(ExpNorm,$L109))</f>
        <v/>
      </c>
      <c r="C109" s="17">
        <f>IF($L109="","",IF(INDEX(ExpTime,$L109)="","—",LEFT(INDEX(ExpTime,$L109),2)&amp;":"&amp;RIGHT(INDEX(ExpTime,$L109),2)))</f>
        <v/>
      </c>
      <c r="D109" s="17">
        <f>IF($L109="","",IF(INDEX(ExpBank,$L109)="","—",INDEX(ExpBank,$L109)))</f>
        <v/>
      </c>
      <c r="E109" s="18">
        <f>IF($L109="","",IF(INDEX(ExpParty,$L109)="","—",IFERROR(VLOOKUP(INDEX(ExpParty,$L109),AcctTbl,4,0),INDEX(ExpParty,$L109))))</f>
        <v/>
      </c>
      <c r="F109" s="17">
        <f>IF($L109="","",IF(INDEX(ExpType,$L109)="","—",INDEX(ExpType,$L109)))</f>
        <v/>
      </c>
      <c r="G109" s="19">
        <f>IF($L109="","",IF(INDEX(ExpDep,$L109)=0,"",INDEX(ExpDep,$L109)))</f>
        <v/>
      </c>
      <c r="H109" s="19">
        <f>IF($L109="","",IF(INDEX(ExpWit,$L109)=0,"",INDEX(ExpWit,$L109)))</f>
        <v/>
      </c>
      <c r="I109" s="20">
        <f>IF($B109="","",IF($I108="",0,$I108)+IF($H109="",0,$H109)-IF($G109="",0,$G109))</f>
        <v/>
      </c>
      <c r="J109" s="18">
        <f>IF($L109="","",IF(INDEX(ExpNote,$L109)="","—",INDEX(ExpNote,$L109)))</f>
        <v/>
      </c>
      <c r="L109">
        <f>IFERROR(MATCH($C$5&amp;"|"&amp;RIGHT("000000"&amp;93,6),ExpRankKey,0),"")</f>
        <v/>
      </c>
    </row>
    <row r="110">
      <c r="A110" s="21" t="n">
        <v>94</v>
      </c>
      <c r="B110" s="22">
        <f>IF($L110="","",INDEX(ExpNorm,$L110))</f>
        <v/>
      </c>
      <c r="C110" s="22">
        <f>IF($L110="","",IF(INDEX(ExpTime,$L110)="","—",LEFT(INDEX(ExpTime,$L110),2)&amp;":"&amp;RIGHT(INDEX(ExpTime,$L110),2)))</f>
        <v/>
      </c>
      <c r="D110" s="22">
        <f>IF($L110="","",IF(INDEX(ExpBank,$L110)="","—",INDEX(ExpBank,$L110)))</f>
        <v/>
      </c>
      <c r="E110" s="23">
        <f>IF($L110="","",IF(INDEX(ExpParty,$L110)="","—",IFERROR(VLOOKUP(INDEX(ExpParty,$L110),AcctTbl,4,0),INDEX(ExpParty,$L110))))</f>
        <v/>
      </c>
      <c r="F110" s="22">
        <f>IF($L110="","",IF(INDEX(ExpType,$L110)="","—",INDEX(ExpType,$L110)))</f>
        <v/>
      </c>
      <c r="G110" s="24">
        <f>IF($L110="","",IF(INDEX(ExpDep,$L110)=0,"",INDEX(ExpDep,$L110)))</f>
        <v/>
      </c>
      <c r="H110" s="24">
        <f>IF($L110="","",IF(INDEX(ExpWit,$L110)=0,"",INDEX(ExpWit,$L110)))</f>
        <v/>
      </c>
      <c r="I110" s="25">
        <f>IF($B110="","",IF($I109="",0,$I109)+IF($H110="",0,$H110)-IF($G110="",0,$G110))</f>
        <v/>
      </c>
      <c r="J110" s="23">
        <f>IF($L110="","",IF(INDEX(ExpNote,$L110)="","—",INDEX(ExpNote,$L110)))</f>
        <v/>
      </c>
      <c r="L110">
        <f>IFERROR(MATCH($C$5&amp;"|"&amp;RIGHT("000000"&amp;94,6),ExpRankKey,0),"")</f>
        <v/>
      </c>
    </row>
    <row r="111">
      <c r="A111" s="16" t="n">
        <v>95</v>
      </c>
      <c r="B111" s="17">
        <f>IF($L111="","",INDEX(ExpNorm,$L111))</f>
        <v/>
      </c>
      <c r="C111" s="17">
        <f>IF($L111="","",IF(INDEX(ExpTime,$L111)="","—",LEFT(INDEX(ExpTime,$L111),2)&amp;":"&amp;RIGHT(INDEX(ExpTime,$L111),2)))</f>
        <v/>
      </c>
      <c r="D111" s="17">
        <f>IF($L111="","",IF(INDEX(ExpBank,$L111)="","—",INDEX(ExpBank,$L111)))</f>
        <v/>
      </c>
      <c r="E111" s="18">
        <f>IF($L111="","",IF(INDEX(ExpParty,$L111)="","—",IFERROR(VLOOKUP(INDEX(ExpParty,$L111),AcctTbl,4,0),INDEX(ExpParty,$L111))))</f>
        <v/>
      </c>
      <c r="F111" s="17">
        <f>IF($L111="","",IF(INDEX(ExpType,$L111)="","—",INDEX(ExpType,$L111)))</f>
        <v/>
      </c>
      <c r="G111" s="19">
        <f>IF($L111="","",IF(INDEX(ExpDep,$L111)=0,"",INDEX(ExpDep,$L111)))</f>
        <v/>
      </c>
      <c r="H111" s="19">
        <f>IF($L111="","",IF(INDEX(ExpWit,$L111)=0,"",INDEX(ExpWit,$L111)))</f>
        <v/>
      </c>
      <c r="I111" s="20">
        <f>IF($B111="","",IF($I110="",0,$I110)+IF($H111="",0,$H111)-IF($G111="",0,$G111))</f>
        <v/>
      </c>
      <c r="J111" s="18">
        <f>IF($L111="","",IF(INDEX(ExpNote,$L111)="","—",INDEX(ExpNote,$L111)))</f>
        <v/>
      </c>
      <c r="L111">
        <f>IFERROR(MATCH($C$5&amp;"|"&amp;RIGHT("000000"&amp;95,6),ExpRankKey,0),"")</f>
        <v/>
      </c>
    </row>
    <row r="112">
      <c r="A112" s="21" t="n">
        <v>96</v>
      </c>
      <c r="B112" s="22">
        <f>IF($L112="","",INDEX(ExpNorm,$L112))</f>
        <v/>
      </c>
      <c r="C112" s="22">
        <f>IF($L112="","",IF(INDEX(ExpTime,$L112)="","—",LEFT(INDEX(ExpTime,$L112),2)&amp;":"&amp;RIGHT(INDEX(ExpTime,$L112),2)))</f>
        <v/>
      </c>
      <c r="D112" s="22">
        <f>IF($L112="","",IF(INDEX(ExpBank,$L112)="","—",INDEX(ExpBank,$L112)))</f>
        <v/>
      </c>
      <c r="E112" s="23">
        <f>IF($L112="","",IF(INDEX(ExpParty,$L112)="","—",IFERROR(VLOOKUP(INDEX(ExpParty,$L112),AcctTbl,4,0),INDEX(ExpParty,$L112))))</f>
        <v/>
      </c>
      <c r="F112" s="22">
        <f>IF($L112="","",IF(INDEX(ExpType,$L112)="","—",INDEX(ExpType,$L112)))</f>
        <v/>
      </c>
      <c r="G112" s="24">
        <f>IF($L112="","",IF(INDEX(ExpDep,$L112)=0,"",INDEX(ExpDep,$L112)))</f>
        <v/>
      </c>
      <c r="H112" s="24">
        <f>IF($L112="","",IF(INDEX(ExpWit,$L112)=0,"",INDEX(ExpWit,$L112)))</f>
        <v/>
      </c>
      <c r="I112" s="25">
        <f>IF($B112="","",IF($I111="",0,$I111)+IF($H112="",0,$H112)-IF($G112="",0,$G112))</f>
        <v/>
      </c>
      <c r="J112" s="23">
        <f>IF($L112="","",IF(INDEX(ExpNote,$L112)="","—",INDEX(ExpNote,$L112)))</f>
        <v/>
      </c>
      <c r="L112">
        <f>IFERROR(MATCH($C$5&amp;"|"&amp;RIGHT("000000"&amp;96,6),ExpRankKey,0),"")</f>
        <v/>
      </c>
    </row>
    <row r="113">
      <c r="A113" s="16" t="n">
        <v>97</v>
      </c>
      <c r="B113" s="17">
        <f>IF($L113="","",INDEX(ExpNorm,$L113))</f>
        <v/>
      </c>
      <c r="C113" s="17">
        <f>IF($L113="","",IF(INDEX(ExpTime,$L113)="","—",LEFT(INDEX(ExpTime,$L113),2)&amp;":"&amp;RIGHT(INDEX(ExpTime,$L113),2)))</f>
        <v/>
      </c>
      <c r="D113" s="17">
        <f>IF($L113="","",IF(INDEX(ExpBank,$L113)="","—",INDEX(ExpBank,$L113)))</f>
        <v/>
      </c>
      <c r="E113" s="18">
        <f>IF($L113="","",IF(INDEX(ExpParty,$L113)="","—",IFERROR(VLOOKUP(INDEX(ExpParty,$L113),AcctTbl,4,0),INDEX(ExpParty,$L113))))</f>
        <v/>
      </c>
      <c r="F113" s="17">
        <f>IF($L113="","",IF(INDEX(ExpType,$L113)="","—",INDEX(ExpType,$L113)))</f>
        <v/>
      </c>
      <c r="G113" s="19">
        <f>IF($L113="","",IF(INDEX(ExpDep,$L113)=0,"",INDEX(ExpDep,$L113)))</f>
        <v/>
      </c>
      <c r="H113" s="19">
        <f>IF($L113="","",IF(INDEX(ExpWit,$L113)=0,"",INDEX(ExpWit,$L113)))</f>
        <v/>
      </c>
      <c r="I113" s="20">
        <f>IF($B113="","",IF($I112="",0,$I112)+IF($H113="",0,$H113)-IF($G113="",0,$G113))</f>
        <v/>
      </c>
      <c r="J113" s="18">
        <f>IF($L113="","",IF(INDEX(ExpNote,$L113)="","—",INDEX(ExpNote,$L113)))</f>
        <v/>
      </c>
      <c r="L113">
        <f>IFERROR(MATCH($C$5&amp;"|"&amp;RIGHT("000000"&amp;97,6),ExpRankKey,0),"")</f>
        <v/>
      </c>
    </row>
    <row r="114">
      <c r="A114" s="21" t="n">
        <v>98</v>
      </c>
      <c r="B114" s="22">
        <f>IF($L114="","",INDEX(ExpNorm,$L114))</f>
        <v/>
      </c>
      <c r="C114" s="22">
        <f>IF($L114="","",IF(INDEX(ExpTime,$L114)="","—",LEFT(INDEX(ExpTime,$L114),2)&amp;":"&amp;RIGHT(INDEX(ExpTime,$L114),2)))</f>
        <v/>
      </c>
      <c r="D114" s="22">
        <f>IF($L114="","",IF(INDEX(ExpBank,$L114)="","—",INDEX(ExpBank,$L114)))</f>
        <v/>
      </c>
      <c r="E114" s="23">
        <f>IF($L114="","",IF(INDEX(ExpParty,$L114)="","—",IFERROR(VLOOKUP(INDEX(ExpParty,$L114),AcctTbl,4,0),INDEX(ExpParty,$L114))))</f>
        <v/>
      </c>
      <c r="F114" s="22">
        <f>IF($L114="","",IF(INDEX(ExpType,$L114)="","—",INDEX(ExpType,$L114)))</f>
        <v/>
      </c>
      <c r="G114" s="24">
        <f>IF($L114="","",IF(INDEX(ExpDep,$L114)=0,"",INDEX(ExpDep,$L114)))</f>
        <v/>
      </c>
      <c r="H114" s="24">
        <f>IF($L114="","",IF(INDEX(ExpWit,$L114)=0,"",INDEX(ExpWit,$L114)))</f>
        <v/>
      </c>
      <c r="I114" s="25">
        <f>IF($B114="","",IF($I113="",0,$I113)+IF($H114="",0,$H114)-IF($G114="",0,$G114))</f>
        <v/>
      </c>
      <c r="J114" s="23">
        <f>IF($L114="","",IF(INDEX(ExpNote,$L114)="","—",INDEX(ExpNote,$L114)))</f>
        <v/>
      </c>
      <c r="L114">
        <f>IFERROR(MATCH($C$5&amp;"|"&amp;RIGHT("000000"&amp;98,6),ExpRankKey,0),"")</f>
        <v/>
      </c>
    </row>
    <row r="115">
      <c r="A115" s="16" t="n">
        <v>99</v>
      </c>
      <c r="B115" s="17">
        <f>IF($L115="","",INDEX(ExpNorm,$L115))</f>
        <v/>
      </c>
      <c r="C115" s="17">
        <f>IF($L115="","",IF(INDEX(ExpTime,$L115)="","—",LEFT(INDEX(ExpTime,$L115),2)&amp;":"&amp;RIGHT(INDEX(ExpTime,$L115),2)))</f>
        <v/>
      </c>
      <c r="D115" s="17">
        <f>IF($L115="","",IF(INDEX(ExpBank,$L115)="","—",INDEX(ExpBank,$L115)))</f>
        <v/>
      </c>
      <c r="E115" s="18">
        <f>IF($L115="","",IF(INDEX(ExpParty,$L115)="","—",IFERROR(VLOOKUP(INDEX(ExpParty,$L115),AcctTbl,4,0),INDEX(ExpParty,$L115))))</f>
        <v/>
      </c>
      <c r="F115" s="17">
        <f>IF($L115="","",IF(INDEX(ExpType,$L115)="","—",INDEX(ExpType,$L115)))</f>
        <v/>
      </c>
      <c r="G115" s="19">
        <f>IF($L115="","",IF(INDEX(ExpDep,$L115)=0,"",INDEX(ExpDep,$L115)))</f>
        <v/>
      </c>
      <c r="H115" s="19">
        <f>IF($L115="","",IF(INDEX(ExpWit,$L115)=0,"",INDEX(ExpWit,$L115)))</f>
        <v/>
      </c>
      <c r="I115" s="20">
        <f>IF($B115="","",IF($I114="",0,$I114)+IF($H115="",0,$H115)-IF($G115="",0,$G115))</f>
        <v/>
      </c>
      <c r="J115" s="18">
        <f>IF($L115="","",IF(INDEX(ExpNote,$L115)="","—",INDEX(ExpNote,$L115)))</f>
        <v/>
      </c>
      <c r="L115">
        <f>IFERROR(MATCH($C$5&amp;"|"&amp;RIGHT("000000"&amp;99,6),ExpRankKey,0),"")</f>
        <v/>
      </c>
    </row>
    <row r="116">
      <c r="A116" s="21" t="n">
        <v>100</v>
      </c>
      <c r="B116" s="22">
        <f>IF($L116="","",INDEX(ExpNorm,$L116))</f>
        <v/>
      </c>
      <c r="C116" s="22">
        <f>IF($L116="","",IF(INDEX(ExpTime,$L116)="","—",LEFT(INDEX(ExpTime,$L116),2)&amp;":"&amp;RIGHT(INDEX(ExpTime,$L116),2)))</f>
        <v/>
      </c>
      <c r="D116" s="22">
        <f>IF($L116="","",IF(INDEX(ExpBank,$L116)="","—",INDEX(ExpBank,$L116)))</f>
        <v/>
      </c>
      <c r="E116" s="23">
        <f>IF($L116="","",IF(INDEX(ExpParty,$L116)="","—",IFERROR(VLOOKUP(INDEX(ExpParty,$L116),AcctTbl,4,0),INDEX(ExpParty,$L116))))</f>
        <v/>
      </c>
      <c r="F116" s="22">
        <f>IF($L116="","",IF(INDEX(ExpType,$L116)="","—",INDEX(ExpType,$L116)))</f>
        <v/>
      </c>
      <c r="G116" s="24">
        <f>IF($L116="","",IF(INDEX(ExpDep,$L116)=0,"",INDEX(ExpDep,$L116)))</f>
        <v/>
      </c>
      <c r="H116" s="24">
        <f>IF($L116="","",IF(INDEX(ExpWit,$L116)=0,"",INDEX(ExpWit,$L116)))</f>
        <v/>
      </c>
      <c r="I116" s="25">
        <f>IF($B116="","",IF($I115="",0,$I115)+IF($H116="",0,$H116)-IF($G116="",0,$G116))</f>
        <v/>
      </c>
      <c r="J116" s="23">
        <f>IF($L116="","",IF(INDEX(ExpNote,$L116)="","—",INDEX(ExpNote,$L116)))</f>
        <v/>
      </c>
      <c r="L116">
        <f>IFERROR(MATCH($C$5&amp;"|"&amp;RIGHT("000000"&amp;100,6),ExpRankKey,0),"")</f>
        <v/>
      </c>
    </row>
    <row r="117">
      <c r="A117" s="16" t="n">
        <v>101</v>
      </c>
      <c r="B117" s="17">
        <f>IF($L117="","",INDEX(ExpNorm,$L117))</f>
        <v/>
      </c>
      <c r="C117" s="17">
        <f>IF($L117="","",IF(INDEX(ExpTime,$L117)="","—",LEFT(INDEX(ExpTime,$L117),2)&amp;":"&amp;RIGHT(INDEX(ExpTime,$L117),2)))</f>
        <v/>
      </c>
      <c r="D117" s="17">
        <f>IF($L117="","",IF(INDEX(ExpBank,$L117)="","—",INDEX(ExpBank,$L117)))</f>
        <v/>
      </c>
      <c r="E117" s="18">
        <f>IF($L117="","",IF(INDEX(ExpParty,$L117)="","—",IFERROR(VLOOKUP(INDEX(ExpParty,$L117),AcctTbl,4,0),INDEX(ExpParty,$L117))))</f>
        <v/>
      </c>
      <c r="F117" s="17">
        <f>IF($L117="","",IF(INDEX(ExpType,$L117)="","—",INDEX(ExpType,$L117)))</f>
        <v/>
      </c>
      <c r="G117" s="19">
        <f>IF($L117="","",IF(INDEX(ExpDep,$L117)=0,"",INDEX(ExpDep,$L117)))</f>
        <v/>
      </c>
      <c r="H117" s="19">
        <f>IF($L117="","",IF(INDEX(ExpWit,$L117)=0,"",INDEX(ExpWit,$L117)))</f>
        <v/>
      </c>
      <c r="I117" s="20">
        <f>IF($B117="","",IF($I116="",0,$I116)+IF($H117="",0,$H117)-IF($G117="",0,$G117))</f>
        <v/>
      </c>
      <c r="J117" s="18">
        <f>IF($L117="","",IF(INDEX(ExpNote,$L117)="","—",INDEX(ExpNote,$L117)))</f>
        <v/>
      </c>
      <c r="L117">
        <f>IFERROR(MATCH($C$5&amp;"|"&amp;RIGHT("000000"&amp;101,6),ExpRankKey,0),"")</f>
        <v/>
      </c>
    </row>
    <row r="118">
      <c r="A118" s="21" t="n">
        <v>102</v>
      </c>
      <c r="B118" s="22">
        <f>IF($L118="","",INDEX(ExpNorm,$L118))</f>
        <v/>
      </c>
      <c r="C118" s="22">
        <f>IF($L118="","",IF(INDEX(ExpTime,$L118)="","—",LEFT(INDEX(ExpTime,$L118),2)&amp;":"&amp;RIGHT(INDEX(ExpTime,$L118),2)))</f>
        <v/>
      </c>
      <c r="D118" s="22">
        <f>IF($L118="","",IF(INDEX(ExpBank,$L118)="","—",INDEX(ExpBank,$L118)))</f>
        <v/>
      </c>
      <c r="E118" s="23">
        <f>IF($L118="","",IF(INDEX(ExpParty,$L118)="","—",IFERROR(VLOOKUP(INDEX(ExpParty,$L118),AcctTbl,4,0),INDEX(ExpParty,$L118))))</f>
        <v/>
      </c>
      <c r="F118" s="22">
        <f>IF($L118="","",IF(INDEX(ExpType,$L118)="","—",INDEX(ExpType,$L118)))</f>
        <v/>
      </c>
      <c r="G118" s="24">
        <f>IF($L118="","",IF(INDEX(ExpDep,$L118)=0,"",INDEX(ExpDep,$L118)))</f>
        <v/>
      </c>
      <c r="H118" s="24">
        <f>IF($L118="","",IF(INDEX(ExpWit,$L118)=0,"",INDEX(ExpWit,$L118)))</f>
        <v/>
      </c>
      <c r="I118" s="25">
        <f>IF($B118="","",IF($I117="",0,$I117)+IF($H118="",0,$H118)-IF($G118="",0,$G118))</f>
        <v/>
      </c>
      <c r="J118" s="23">
        <f>IF($L118="","",IF(INDEX(ExpNote,$L118)="","—",INDEX(ExpNote,$L118)))</f>
        <v/>
      </c>
      <c r="L118">
        <f>IFERROR(MATCH($C$5&amp;"|"&amp;RIGHT("000000"&amp;102,6),ExpRankKey,0),"")</f>
        <v/>
      </c>
    </row>
    <row r="119">
      <c r="A119" s="16" t="n">
        <v>103</v>
      </c>
      <c r="B119" s="17">
        <f>IF($L119="","",INDEX(ExpNorm,$L119))</f>
        <v/>
      </c>
      <c r="C119" s="17">
        <f>IF($L119="","",IF(INDEX(ExpTime,$L119)="","—",LEFT(INDEX(ExpTime,$L119),2)&amp;":"&amp;RIGHT(INDEX(ExpTime,$L119),2)))</f>
        <v/>
      </c>
      <c r="D119" s="17">
        <f>IF($L119="","",IF(INDEX(ExpBank,$L119)="","—",INDEX(ExpBank,$L119)))</f>
        <v/>
      </c>
      <c r="E119" s="18">
        <f>IF($L119="","",IF(INDEX(ExpParty,$L119)="","—",IFERROR(VLOOKUP(INDEX(ExpParty,$L119),AcctTbl,4,0),INDEX(ExpParty,$L119))))</f>
        <v/>
      </c>
      <c r="F119" s="17">
        <f>IF($L119="","",IF(INDEX(ExpType,$L119)="","—",INDEX(ExpType,$L119)))</f>
        <v/>
      </c>
      <c r="G119" s="19">
        <f>IF($L119="","",IF(INDEX(ExpDep,$L119)=0,"",INDEX(ExpDep,$L119)))</f>
        <v/>
      </c>
      <c r="H119" s="19">
        <f>IF($L119="","",IF(INDEX(ExpWit,$L119)=0,"",INDEX(ExpWit,$L119)))</f>
        <v/>
      </c>
      <c r="I119" s="20">
        <f>IF($B119="","",IF($I118="",0,$I118)+IF($H119="",0,$H119)-IF($G119="",0,$G119))</f>
        <v/>
      </c>
      <c r="J119" s="18">
        <f>IF($L119="","",IF(INDEX(ExpNote,$L119)="","—",INDEX(ExpNote,$L119)))</f>
        <v/>
      </c>
      <c r="L119">
        <f>IFERROR(MATCH($C$5&amp;"|"&amp;RIGHT("000000"&amp;103,6),ExpRankKey,0),"")</f>
        <v/>
      </c>
    </row>
    <row r="120">
      <c r="A120" s="21" t="n">
        <v>104</v>
      </c>
      <c r="B120" s="22">
        <f>IF($L120="","",INDEX(ExpNorm,$L120))</f>
        <v/>
      </c>
      <c r="C120" s="22">
        <f>IF($L120="","",IF(INDEX(ExpTime,$L120)="","—",LEFT(INDEX(ExpTime,$L120),2)&amp;":"&amp;RIGHT(INDEX(ExpTime,$L120),2)))</f>
        <v/>
      </c>
      <c r="D120" s="22">
        <f>IF($L120="","",IF(INDEX(ExpBank,$L120)="","—",INDEX(ExpBank,$L120)))</f>
        <v/>
      </c>
      <c r="E120" s="23">
        <f>IF($L120="","",IF(INDEX(ExpParty,$L120)="","—",IFERROR(VLOOKUP(INDEX(ExpParty,$L120),AcctTbl,4,0),INDEX(ExpParty,$L120))))</f>
        <v/>
      </c>
      <c r="F120" s="22">
        <f>IF($L120="","",IF(INDEX(ExpType,$L120)="","—",INDEX(ExpType,$L120)))</f>
        <v/>
      </c>
      <c r="G120" s="24">
        <f>IF($L120="","",IF(INDEX(ExpDep,$L120)=0,"",INDEX(ExpDep,$L120)))</f>
        <v/>
      </c>
      <c r="H120" s="24">
        <f>IF($L120="","",IF(INDEX(ExpWit,$L120)=0,"",INDEX(ExpWit,$L120)))</f>
        <v/>
      </c>
      <c r="I120" s="25">
        <f>IF($B120="","",IF($I119="",0,$I119)+IF($H120="",0,$H120)-IF($G120="",0,$G120))</f>
        <v/>
      </c>
      <c r="J120" s="23">
        <f>IF($L120="","",IF(INDEX(ExpNote,$L120)="","—",INDEX(ExpNote,$L120)))</f>
        <v/>
      </c>
      <c r="L120">
        <f>IFERROR(MATCH($C$5&amp;"|"&amp;RIGHT("000000"&amp;104,6),ExpRankKey,0),"")</f>
        <v/>
      </c>
    </row>
    <row r="121">
      <c r="A121" s="16" t="n">
        <v>105</v>
      </c>
      <c r="B121" s="17">
        <f>IF($L121="","",INDEX(ExpNorm,$L121))</f>
        <v/>
      </c>
      <c r="C121" s="17">
        <f>IF($L121="","",IF(INDEX(ExpTime,$L121)="","—",LEFT(INDEX(ExpTime,$L121),2)&amp;":"&amp;RIGHT(INDEX(ExpTime,$L121),2)))</f>
        <v/>
      </c>
      <c r="D121" s="17">
        <f>IF($L121="","",IF(INDEX(ExpBank,$L121)="","—",INDEX(ExpBank,$L121)))</f>
        <v/>
      </c>
      <c r="E121" s="18">
        <f>IF($L121="","",IF(INDEX(ExpParty,$L121)="","—",IFERROR(VLOOKUP(INDEX(ExpParty,$L121),AcctTbl,4,0),INDEX(ExpParty,$L121))))</f>
        <v/>
      </c>
      <c r="F121" s="17">
        <f>IF($L121="","",IF(INDEX(ExpType,$L121)="","—",INDEX(ExpType,$L121)))</f>
        <v/>
      </c>
      <c r="G121" s="19">
        <f>IF($L121="","",IF(INDEX(ExpDep,$L121)=0,"",INDEX(ExpDep,$L121)))</f>
        <v/>
      </c>
      <c r="H121" s="19">
        <f>IF($L121="","",IF(INDEX(ExpWit,$L121)=0,"",INDEX(ExpWit,$L121)))</f>
        <v/>
      </c>
      <c r="I121" s="20">
        <f>IF($B121="","",IF($I120="",0,$I120)+IF($H121="",0,$H121)-IF($G121="",0,$G121))</f>
        <v/>
      </c>
      <c r="J121" s="18">
        <f>IF($L121="","",IF(INDEX(ExpNote,$L121)="","—",INDEX(ExpNote,$L121)))</f>
        <v/>
      </c>
      <c r="L121">
        <f>IFERROR(MATCH($C$5&amp;"|"&amp;RIGHT("000000"&amp;105,6),ExpRankKey,0),"")</f>
        <v/>
      </c>
    </row>
    <row r="122">
      <c r="A122" s="21" t="n">
        <v>106</v>
      </c>
      <c r="B122" s="22">
        <f>IF($L122="","",INDEX(ExpNorm,$L122))</f>
        <v/>
      </c>
      <c r="C122" s="22">
        <f>IF($L122="","",IF(INDEX(ExpTime,$L122)="","—",LEFT(INDEX(ExpTime,$L122),2)&amp;":"&amp;RIGHT(INDEX(ExpTime,$L122),2)))</f>
        <v/>
      </c>
      <c r="D122" s="22">
        <f>IF($L122="","",IF(INDEX(ExpBank,$L122)="","—",INDEX(ExpBank,$L122)))</f>
        <v/>
      </c>
      <c r="E122" s="23">
        <f>IF($L122="","",IF(INDEX(ExpParty,$L122)="","—",IFERROR(VLOOKUP(INDEX(ExpParty,$L122),AcctTbl,4,0),INDEX(ExpParty,$L122))))</f>
        <v/>
      </c>
      <c r="F122" s="22">
        <f>IF($L122="","",IF(INDEX(ExpType,$L122)="","—",INDEX(ExpType,$L122)))</f>
        <v/>
      </c>
      <c r="G122" s="24">
        <f>IF($L122="","",IF(INDEX(ExpDep,$L122)=0,"",INDEX(ExpDep,$L122)))</f>
        <v/>
      </c>
      <c r="H122" s="24">
        <f>IF($L122="","",IF(INDEX(ExpWit,$L122)=0,"",INDEX(ExpWit,$L122)))</f>
        <v/>
      </c>
      <c r="I122" s="25">
        <f>IF($B122="","",IF($I121="",0,$I121)+IF($H122="",0,$H122)-IF($G122="",0,$G122))</f>
        <v/>
      </c>
      <c r="J122" s="23">
        <f>IF($L122="","",IF(INDEX(ExpNote,$L122)="","—",INDEX(ExpNote,$L122)))</f>
        <v/>
      </c>
      <c r="L122">
        <f>IFERROR(MATCH($C$5&amp;"|"&amp;RIGHT("000000"&amp;106,6),ExpRankKey,0),"")</f>
        <v/>
      </c>
    </row>
    <row r="123">
      <c r="A123" s="16" t="n">
        <v>107</v>
      </c>
      <c r="B123" s="17">
        <f>IF($L123="","",INDEX(ExpNorm,$L123))</f>
        <v/>
      </c>
      <c r="C123" s="17">
        <f>IF($L123="","",IF(INDEX(ExpTime,$L123)="","—",LEFT(INDEX(ExpTime,$L123),2)&amp;":"&amp;RIGHT(INDEX(ExpTime,$L123),2)))</f>
        <v/>
      </c>
      <c r="D123" s="17">
        <f>IF($L123="","",IF(INDEX(ExpBank,$L123)="","—",INDEX(ExpBank,$L123)))</f>
        <v/>
      </c>
      <c r="E123" s="18">
        <f>IF($L123="","",IF(INDEX(ExpParty,$L123)="","—",IFERROR(VLOOKUP(INDEX(ExpParty,$L123),AcctTbl,4,0),INDEX(ExpParty,$L123))))</f>
        <v/>
      </c>
      <c r="F123" s="17">
        <f>IF($L123="","",IF(INDEX(ExpType,$L123)="","—",INDEX(ExpType,$L123)))</f>
        <v/>
      </c>
      <c r="G123" s="19">
        <f>IF($L123="","",IF(INDEX(ExpDep,$L123)=0,"",INDEX(ExpDep,$L123)))</f>
        <v/>
      </c>
      <c r="H123" s="19">
        <f>IF($L123="","",IF(INDEX(ExpWit,$L123)=0,"",INDEX(ExpWit,$L123)))</f>
        <v/>
      </c>
      <c r="I123" s="20">
        <f>IF($B123="","",IF($I122="",0,$I122)+IF($H123="",0,$H123)-IF($G123="",0,$G123))</f>
        <v/>
      </c>
      <c r="J123" s="18">
        <f>IF($L123="","",IF(INDEX(ExpNote,$L123)="","—",INDEX(ExpNote,$L123)))</f>
        <v/>
      </c>
      <c r="L123">
        <f>IFERROR(MATCH($C$5&amp;"|"&amp;RIGHT("000000"&amp;107,6),ExpRankKey,0),"")</f>
        <v/>
      </c>
    </row>
    <row r="124">
      <c r="A124" s="21" t="n">
        <v>108</v>
      </c>
      <c r="B124" s="22">
        <f>IF($L124="","",INDEX(ExpNorm,$L124))</f>
        <v/>
      </c>
      <c r="C124" s="22">
        <f>IF($L124="","",IF(INDEX(ExpTime,$L124)="","—",LEFT(INDEX(ExpTime,$L124),2)&amp;":"&amp;RIGHT(INDEX(ExpTime,$L124),2)))</f>
        <v/>
      </c>
      <c r="D124" s="22">
        <f>IF($L124="","",IF(INDEX(ExpBank,$L124)="","—",INDEX(ExpBank,$L124)))</f>
        <v/>
      </c>
      <c r="E124" s="23">
        <f>IF($L124="","",IF(INDEX(ExpParty,$L124)="","—",IFERROR(VLOOKUP(INDEX(ExpParty,$L124),AcctTbl,4,0),INDEX(ExpParty,$L124))))</f>
        <v/>
      </c>
      <c r="F124" s="22">
        <f>IF($L124="","",IF(INDEX(ExpType,$L124)="","—",INDEX(ExpType,$L124)))</f>
        <v/>
      </c>
      <c r="G124" s="24">
        <f>IF($L124="","",IF(INDEX(ExpDep,$L124)=0,"",INDEX(ExpDep,$L124)))</f>
        <v/>
      </c>
      <c r="H124" s="24">
        <f>IF($L124="","",IF(INDEX(ExpWit,$L124)=0,"",INDEX(ExpWit,$L124)))</f>
        <v/>
      </c>
      <c r="I124" s="25">
        <f>IF($B124="","",IF($I123="",0,$I123)+IF($H124="",0,$H124)-IF($G124="",0,$G124))</f>
        <v/>
      </c>
      <c r="J124" s="23">
        <f>IF($L124="","",IF(INDEX(ExpNote,$L124)="","—",INDEX(ExpNote,$L124)))</f>
        <v/>
      </c>
      <c r="L124">
        <f>IFERROR(MATCH($C$5&amp;"|"&amp;RIGHT("000000"&amp;108,6),ExpRankKey,0),"")</f>
        <v/>
      </c>
    </row>
    <row r="125">
      <c r="A125" s="16" t="n">
        <v>109</v>
      </c>
      <c r="B125" s="17">
        <f>IF($L125="","",INDEX(ExpNorm,$L125))</f>
        <v/>
      </c>
      <c r="C125" s="17">
        <f>IF($L125="","",IF(INDEX(ExpTime,$L125)="","—",LEFT(INDEX(ExpTime,$L125),2)&amp;":"&amp;RIGHT(INDEX(ExpTime,$L125),2)))</f>
        <v/>
      </c>
      <c r="D125" s="17">
        <f>IF($L125="","",IF(INDEX(ExpBank,$L125)="","—",INDEX(ExpBank,$L125)))</f>
        <v/>
      </c>
      <c r="E125" s="18">
        <f>IF($L125="","",IF(INDEX(ExpParty,$L125)="","—",IFERROR(VLOOKUP(INDEX(ExpParty,$L125),AcctTbl,4,0),INDEX(ExpParty,$L125))))</f>
        <v/>
      </c>
      <c r="F125" s="17">
        <f>IF($L125="","",IF(INDEX(ExpType,$L125)="","—",INDEX(ExpType,$L125)))</f>
        <v/>
      </c>
      <c r="G125" s="19">
        <f>IF($L125="","",IF(INDEX(ExpDep,$L125)=0,"",INDEX(ExpDep,$L125)))</f>
        <v/>
      </c>
      <c r="H125" s="19">
        <f>IF($L125="","",IF(INDEX(ExpWit,$L125)=0,"",INDEX(ExpWit,$L125)))</f>
        <v/>
      </c>
      <c r="I125" s="20">
        <f>IF($B125="","",IF($I124="",0,$I124)+IF($H125="",0,$H125)-IF($G125="",0,$G125))</f>
        <v/>
      </c>
      <c r="J125" s="18">
        <f>IF($L125="","",IF(INDEX(ExpNote,$L125)="","—",INDEX(ExpNote,$L125)))</f>
        <v/>
      </c>
      <c r="L125">
        <f>IFERROR(MATCH($C$5&amp;"|"&amp;RIGHT("000000"&amp;109,6),ExpRankKey,0),"")</f>
        <v/>
      </c>
    </row>
    <row r="126">
      <c r="A126" s="21" t="n">
        <v>110</v>
      </c>
      <c r="B126" s="22">
        <f>IF($L126="","",INDEX(ExpNorm,$L126))</f>
        <v/>
      </c>
      <c r="C126" s="22">
        <f>IF($L126="","",IF(INDEX(ExpTime,$L126)="","—",LEFT(INDEX(ExpTime,$L126),2)&amp;":"&amp;RIGHT(INDEX(ExpTime,$L126),2)))</f>
        <v/>
      </c>
      <c r="D126" s="22">
        <f>IF($L126="","",IF(INDEX(ExpBank,$L126)="","—",INDEX(ExpBank,$L126)))</f>
        <v/>
      </c>
      <c r="E126" s="23">
        <f>IF($L126="","",IF(INDEX(ExpParty,$L126)="","—",IFERROR(VLOOKUP(INDEX(ExpParty,$L126),AcctTbl,4,0),INDEX(ExpParty,$L126))))</f>
        <v/>
      </c>
      <c r="F126" s="22">
        <f>IF($L126="","",IF(INDEX(ExpType,$L126)="","—",INDEX(ExpType,$L126)))</f>
        <v/>
      </c>
      <c r="G126" s="24">
        <f>IF($L126="","",IF(INDEX(ExpDep,$L126)=0,"",INDEX(ExpDep,$L126)))</f>
        <v/>
      </c>
      <c r="H126" s="24">
        <f>IF($L126="","",IF(INDEX(ExpWit,$L126)=0,"",INDEX(ExpWit,$L126)))</f>
        <v/>
      </c>
      <c r="I126" s="25">
        <f>IF($B126="","",IF($I125="",0,$I125)+IF($H126="",0,$H126)-IF($G126="",0,$G126))</f>
        <v/>
      </c>
      <c r="J126" s="23">
        <f>IF($L126="","",IF(INDEX(ExpNote,$L126)="","—",INDEX(ExpNote,$L126)))</f>
        <v/>
      </c>
      <c r="L126">
        <f>IFERROR(MATCH($C$5&amp;"|"&amp;RIGHT("000000"&amp;110,6),ExpRankKey,0),"")</f>
        <v/>
      </c>
    </row>
    <row r="127">
      <c r="A127" s="16" t="n">
        <v>111</v>
      </c>
      <c r="B127" s="17">
        <f>IF($L127="","",INDEX(ExpNorm,$L127))</f>
        <v/>
      </c>
      <c r="C127" s="17">
        <f>IF($L127="","",IF(INDEX(ExpTime,$L127)="","—",LEFT(INDEX(ExpTime,$L127),2)&amp;":"&amp;RIGHT(INDEX(ExpTime,$L127),2)))</f>
        <v/>
      </c>
      <c r="D127" s="17">
        <f>IF($L127="","",IF(INDEX(ExpBank,$L127)="","—",INDEX(ExpBank,$L127)))</f>
        <v/>
      </c>
      <c r="E127" s="18">
        <f>IF($L127="","",IF(INDEX(ExpParty,$L127)="","—",IFERROR(VLOOKUP(INDEX(ExpParty,$L127),AcctTbl,4,0),INDEX(ExpParty,$L127))))</f>
        <v/>
      </c>
      <c r="F127" s="17">
        <f>IF($L127="","",IF(INDEX(ExpType,$L127)="","—",INDEX(ExpType,$L127)))</f>
        <v/>
      </c>
      <c r="G127" s="19">
        <f>IF($L127="","",IF(INDEX(ExpDep,$L127)=0,"",INDEX(ExpDep,$L127)))</f>
        <v/>
      </c>
      <c r="H127" s="19">
        <f>IF($L127="","",IF(INDEX(ExpWit,$L127)=0,"",INDEX(ExpWit,$L127)))</f>
        <v/>
      </c>
      <c r="I127" s="20">
        <f>IF($B127="","",IF($I126="",0,$I126)+IF($H127="",0,$H127)-IF($G127="",0,$G127))</f>
        <v/>
      </c>
      <c r="J127" s="18">
        <f>IF($L127="","",IF(INDEX(ExpNote,$L127)="","—",INDEX(ExpNote,$L127)))</f>
        <v/>
      </c>
      <c r="L127">
        <f>IFERROR(MATCH($C$5&amp;"|"&amp;RIGHT("000000"&amp;111,6),ExpRankKey,0),"")</f>
        <v/>
      </c>
    </row>
    <row r="128">
      <c r="A128" s="21" t="n">
        <v>112</v>
      </c>
      <c r="B128" s="22">
        <f>IF($L128="","",INDEX(ExpNorm,$L128))</f>
        <v/>
      </c>
      <c r="C128" s="22">
        <f>IF($L128="","",IF(INDEX(ExpTime,$L128)="","—",LEFT(INDEX(ExpTime,$L128),2)&amp;":"&amp;RIGHT(INDEX(ExpTime,$L128),2)))</f>
        <v/>
      </c>
      <c r="D128" s="22">
        <f>IF($L128="","",IF(INDEX(ExpBank,$L128)="","—",INDEX(ExpBank,$L128)))</f>
        <v/>
      </c>
      <c r="E128" s="23">
        <f>IF($L128="","",IF(INDEX(ExpParty,$L128)="","—",IFERROR(VLOOKUP(INDEX(ExpParty,$L128),AcctTbl,4,0),INDEX(ExpParty,$L128))))</f>
        <v/>
      </c>
      <c r="F128" s="22">
        <f>IF($L128="","",IF(INDEX(ExpType,$L128)="","—",INDEX(ExpType,$L128)))</f>
        <v/>
      </c>
      <c r="G128" s="24">
        <f>IF($L128="","",IF(INDEX(ExpDep,$L128)=0,"",INDEX(ExpDep,$L128)))</f>
        <v/>
      </c>
      <c r="H128" s="24">
        <f>IF($L128="","",IF(INDEX(ExpWit,$L128)=0,"",INDEX(ExpWit,$L128)))</f>
        <v/>
      </c>
      <c r="I128" s="25">
        <f>IF($B128="","",IF($I127="",0,$I127)+IF($H128="",0,$H128)-IF($G128="",0,$G128))</f>
        <v/>
      </c>
      <c r="J128" s="23">
        <f>IF($L128="","",IF(INDEX(ExpNote,$L128)="","—",INDEX(ExpNote,$L128)))</f>
        <v/>
      </c>
      <c r="L128">
        <f>IFERROR(MATCH($C$5&amp;"|"&amp;RIGHT("000000"&amp;112,6),ExpRankKey,0),"")</f>
        <v/>
      </c>
    </row>
    <row r="129">
      <c r="A129" s="16" t="n">
        <v>113</v>
      </c>
      <c r="B129" s="17">
        <f>IF($L129="","",INDEX(ExpNorm,$L129))</f>
        <v/>
      </c>
      <c r="C129" s="17">
        <f>IF($L129="","",IF(INDEX(ExpTime,$L129)="","—",LEFT(INDEX(ExpTime,$L129),2)&amp;":"&amp;RIGHT(INDEX(ExpTime,$L129),2)))</f>
        <v/>
      </c>
      <c r="D129" s="17">
        <f>IF($L129="","",IF(INDEX(ExpBank,$L129)="","—",INDEX(ExpBank,$L129)))</f>
        <v/>
      </c>
      <c r="E129" s="18">
        <f>IF($L129="","",IF(INDEX(ExpParty,$L129)="","—",IFERROR(VLOOKUP(INDEX(ExpParty,$L129),AcctTbl,4,0),INDEX(ExpParty,$L129))))</f>
        <v/>
      </c>
      <c r="F129" s="17">
        <f>IF($L129="","",IF(INDEX(ExpType,$L129)="","—",INDEX(ExpType,$L129)))</f>
        <v/>
      </c>
      <c r="G129" s="19">
        <f>IF($L129="","",IF(INDEX(ExpDep,$L129)=0,"",INDEX(ExpDep,$L129)))</f>
        <v/>
      </c>
      <c r="H129" s="19">
        <f>IF($L129="","",IF(INDEX(ExpWit,$L129)=0,"",INDEX(ExpWit,$L129)))</f>
        <v/>
      </c>
      <c r="I129" s="20">
        <f>IF($B129="","",IF($I128="",0,$I128)+IF($H129="",0,$H129)-IF($G129="",0,$G129))</f>
        <v/>
      </c>
      <c r="J129" s="18">
        <f>IF($L129="","",IF(INDEX(ExpNote,$L129)="","—",INDEX(ExpNote,$L129)))</f>
        <v/>
      </c>
      <c r="L129">
        <f>IFERROR(MATCH($C$5&amp;"|"&amp;RIGHT("000000"&amp;113,6),ExpRankKey,0),"")</f>
        <v/>
      </c>
    </row>
    <row r="130">
      <c r="A130" s="21" t="n">
        <v>114</v>
      </c>
      <c r="B130" s="22">
        <f>IF($L130="","",INDEX(ExpNorm,$L130))</f>
        <v/>
      </c>
      <c r="C130" s="22">
        <f>IF($L130="","",IF(INDEX(ExpTime,$L130)="","—",LEFT(INDEX(ExpTime,$L130),2)&amp;":"&amp;RIGHT(INDEX(ExpTime,$L130),2)))</f>
        <v/>
      </c>
      <c r="D130" s="22">
        <f>IF($L130="","",IF(INDEX(ExpBank,$L130)="","—",INDEX(ExpBank,$L130)))</f>
        <v/>
      </c>
      <c r="E130" s="23">
        <f>IF($L130="","",IF(INDEX(ExpParty,$L130)="","—",IFERROR(VLOOKUP(INDEX(ExpParty,$L130),AcctTbl,4,0),INDEX(ExpParty,$L130))))</f>
        <v/>
      </c>
      <c r="F130" s="22">
        <f>IF($L130="","",IF(INDEX(ExpType,$L130)="","—",INDEX(ExpType,$L130)))</f>
        <v/>
      </c>
      <c r="G130" s="24">
        <f>IF($L130="","",IF(INDEX(ExpDep,$L130)=0,"",INDEX(ExpDep,$L130)))</f>
        <v/>
      </c>
      <c r="H130" s="24">
        <f>IF($L130="","",IF(INDEX(ExpWit,$L130)=0,"",INDEX(ExpWit,$L130)))</f>
        <v/>
      </c>
      <c r="I130" s="25">
        <f>IF($B130="","",IF($I129="",0,$I129)+IF($H130="",0,$H130)-IF($G130="",0,$G130))</f>
        <v/>
      </c>
      <c r="J130" s="23">
        <f>IF($L130="","",IF(INDEX(ExpNote,$L130)="","—",INDEX(ExpNote,$L130)))</f>
        <v/>
      </c>
      <c r="L130">
        <f>IFERROR(MATCH($C$5&amp;"|"&amp;RIGHT("000000"&amp;114,6),ExpRankKey,0),"")</f>
        <v/>
      </c>
    </row>
    <row r="131">
      <c r="A131" s="16" t="n">
        <v>115</v>
      </c>
      <c r="B131" s="17">
        <f>IF($L131="","",INDEX(ExpNorm,$L131))</f>
        <v/>
      </c>
      <c r="C131" s="17">
        <f>IF($L131="","",IF(INDEX(ExpTime,$L131)="","—",LEFT(INDEX(ExpTime,$L131),2)&amp;":"&amp;RIGHT(INDEX(ExpTime,$L131),2)))</f>
        <v/>
      </c>
      <c r="D131" s="17">
        <f>IF($L131="","",IF(INDEX(ExpBank,$L131)="","—",INDEX(ExpBank,$L131)))</f>
        <v/>
      </c>
      <c r="E131" s="18">
        <f>IF($L131="","",IF(INDEX(ExpParty,$L131)="","—",IFERROR(VLOOKUP(INDEX(ExpParty,$L131),AcctTbl,4,0),INDEX(ExpParty,$L131))))</f>
        <v/>
      </c>
      <c r="F131" s="17">
        <f>IF($L131="","",IF(INDEX(ExpType,$L131)="","—",INDEX(ExpType,$L131)))</f>
        <v/>
      </c>
      <c r="G131" s="19">
        <f>IF($L131="","",IF(INDEX(ExpDep,$L131)=0,"",INDEX(ExpDep,$L131)))</f>
        <v/>
      </c>
      <c r="H131" s="19">
        <f>IF($L131="","",IF(INDEX(ExpWit,$L131)=0,"",INDEX(ExpWit,$L131)))</f>
        <v/>
      </c>
      <c r="I131" s="20">
        <f>IF($B131="","",IF($I130="",0,$I130)+IF($H131="",0,$H131)-IF($G131="",0,$G131))</f>
        <v/>
      </c>
      <c r="J131" s="18">
        <f>IF($L131="","",IF(INDEX(ExpNote,$L131)="","—",INDEX(ExpNote,$L131)))</f>
        <v/>
      </c>
      <c r="L131">
        <f>IFERROR(MATCH($C$5&amp;"|"&amp;RIGHT("000000"&amp;115,6),ExpRankKey,0),"")</f>
        <v/>
      </c>
    </row>
    <row r="132">
      <c r="A132" s="21" t="n">
        <v>116</v>
      </c>
      <c r="B132" s="22">
        <f>IF($L132="","",INDEX(ExpNorm,$L132))</f>
        <v/>
      </c>
      <c r="C132" s="22">
        <f>IF($L132="","",IF(INDEX(ExpTime,$L132)="","—",LEFT(INDEX(ExpTime,$L132),2)&amp;":"&amp;RIGHT(INDEX(ExpTime,$L132),2)))</f>
        <v/>
      </c>
      <c r="D132" s="22">
        <f>IF($L132="","",IF(INDEX(ExpBank,$L132)="","—",INDEX(ExpBank,$L132)))</f>
        <v/>
      </c>
      <c r="E132" s="23">
        <f>IF($L132="","",IF(INDEX(ExpParty,$L132)="","—",IFERROR(VLOOKUP(INDEX(ExpParty,$L132),AcctTbl,4,0),INDEX(ExpParty,$L132))))</f>
        <v/>
      </c>
      <c r="F132" s="22">
        <f>IF($L132="","",IF(INDEX(ExpType,$L132)="","—",INDEX(ExpType,$L132)))</f>
        <v/>
      </c>
      <c r="G132" s="24">
        <f>IF($L132="","",IF(INDEX(ExpDep,$L132)=0,"",INDEX(ExpDep,$L132)))</f>
        <v/>
      </c>
      <c r="H132" s="24">
        <f>IF($L132="","",IF(INDEX(ExpWit,$L132)=0,"",INDEX(ExpWit,$L132)))</f>
        <v/>
      </c>
      <c r="I132" s="25">
        <f>IF($B132="","",IF($I131="",0,$I131)+IF($H132="",0,$H132)-IF($G132="",0,$G132))</f>
        <v/>
      </c>
      <c r="J132" s="23">
        <f>IF($L132="","",IF(INDEX(ExpNote,$L132)="","—",INDEX(ExpNote,$L132)))</f>
        <v/>
      </c>
      <c r="L132">
        <f>IFERROR(MATCH($C$5&amp;"|"&amp;RIGHT("000000"&amp;116,6),ExpRankKey,0),"")</f>
        <v/>
      </c>
    </row>
    <row r="133">
      <c r="A133" s="16" t="n">
        <v>117</v>
      </c>
      <c r="B133" s="17">
        <f>IF($L133="","",INDEX(ExpNorm,$L133))</f>
        <v/>
      </c>
      <c r="C133" s="17">
        <f>IF($L133="","",IF(INDEX(ExpTime,$L133)="","—",LEFT(INDEX(ExpTime,$L133),2)&amp;":"&amp;RIGHT(INDEX(ExpTime,$L133),2)))</f>
        <v/>
      </c>
      <c r="D133" s="17">
        <f>IF($L133="","",IF(INDEX(ExpBank,$L133)="","—",INDEX(ExpBank,$L133)))</f>
        <v/>
      </c>
      <c r="E133" s="18">
        <f>IF($L133="","",IF(INDEX(ExpParty,$L133)="","—",IFERROR(VLOOKUP(INDEX(ExpParty,$L133),AcctTbl,4,0),INDEX(ExpParty,$L133))))</f>
        <v/>
      </c>
      <c r="F133" s="17">
        <f>IF($L133="","",IF(INDEX(ExpType,$L133)="","—",INDEX(ExpType,$L133)))</f>
        <v/>
      </c>
      <c r="G133" s="19">
        <f>IF($L133="","",IF(INDEX(ExpDep,$L133)=0,"",INDEX(ExpDep,$L133)))</f>
        <v/>
      </c>
      <c r="H133" s="19">
        <f>IF($L133="","",IF(INDEX(ExpWit,$L133)=0,"",INDEX(ExpWit,$L133)))</f>
        <v/>
      </c>
      <c r="I133" s="20">
        <f>IF($B133="","",IF($I132="",0,$I132)+IF($H133="",0,$H133)-IF($G133="",0,$G133))</f>
        <v/>
      </c>
      <c r="J133" s="18">
        <f>IF($L133="","",IF(INDEX(ExpNote,$L133)="","—",INDEX(ExpNote,$L133)))</f>
        <v/>
      </c>
      <c r="L133">
        <f>IFERROR(MATCH($C$5&amp;"|"&amp;RIGHT("000000"&amp;117,6),ExpRankKey,0),"")</f>
        <v/>
      </c>
    </row>
    <row r="134">
      <c r="A134" s="21" t="n">
        <v>118</v>
      </c>
      <c r="B134" s="22">
        <f>IF($L134="","",INDEX(ExpNorm,$L134))</f>
        <v/>
      </c>
      <c r="C134" s="22">
        <f>IF($L134="","",IF(INDEX(ExpTime,$L134)="","—",LEFT(INDEX(ExpTime,$L134),2)&amp;":"&amp;RIGHT(INDEX(ExpTime,$L134),2)))</f>
        <v/>
      </c>
      <c r="D134" s="22">
        <f>IF($L134="","",IF(INDEX(ExpBank,$L134)="","—",INDEX(ExpBank,$L134)))</f>
        <v/>
      </c>
      <c r="E134" s="23">
        <f>IF($L134="","",IF(INDEX(ExpParty,$L134)="","—",IFERROR(VLOOKUP(INDEX(ExpParty,$L134),AcctTbl,4,0),INDEX(ExpParty,$L134))))</f>
        <v/>
      </c>
      <c r="F134" s="22">
        <f>IF($L134="","",IF(INDEX(ExpType,$L134)="","—",INDEX(ExpType,$L134)))</f>
        <v/>
      </c>
      <c r="G134" s="24">
        <f>IF($L134="","",IF(INDEX(ExpDep,$L134)=0,"",INDEX(ExpDep,$L134)))</f>
        <v/>
      </c>
      <c r="H134" s="24">
        <f>IF($L134="","",IF(INDEX(ExpWit,$L134)=0,"",INDEX(ExpWit,$L134)))</f>
        <v/>
      </c>
      <c r="I134" s="25">
        <f>IF($B134="","",IF($I133="",0,$I133)+IF($H134="",0,$H134)-IF($G134="",0,$G134))</f>
        <v/>
      </c>
      <c r="J134" s="23">
        <f>IF($L134="","",IF(INDEX(ExpNote,$L134)="","—",INDEX(ExpNote,$L134)))</f>
        <v/>
      </c>
      <c r="L134">
        <f>IFERROR(MATCH($C$5&amp;"|"&amp;RIGHT("000000"&amp;118,6),ExpRankKey,0),"")</f>
        <v/>
      </c>
    </row>
    <row r="135">
      <c r="A135" s="16" t="n">
        <v>119</v>
      </c>
      <c r="B135" s="17">
        <f>IF($L135="","",INDEX(ExpNorm,$L135))</f>
        <v/>
      </c>
      <c r="C135" s="17">
        <f>IF($L135="","",IF(INDEX(ExpTime,$L135)="","—",LEFT(INDEX(ExpTime,$L135),2)&amp;":"&amp;RIGHT(INDEX(ExpTime,$L135),2)))</f>
        <v/>
      </c>
      <c r="D135" s="17">
        <f>IF($L135="","",IF(INDEX(ExpBank,$L135)="","—",INDEX(ExpBank,$L135)))</f>
        <v/>
      </c>
      <c r="E135" s="18">
        <f>IF($L135="","",IF(INDEX(ExpParty,$L135)="","—",IFERROR(VLOOKUP(INDEX(ExpParty,$L135),AcctTbl,4,0),INDEX(ExpParty,$L135))))</f>
        <v/>
      </c>
      <c r="F135" s="17">
        <f>IF($L135="","",IF(INDEX(ExpType,$L135)="","—",INDEX(ExpType,$L135)))</f>
        <v/>
      </c>
      <c r="G135" s="19">
        <f>IF($L135="","",IF(INDEX(ExpDep,$L135)=0,"",INDEX(ExpDep,$L135)))</f>
        <v/>
      </c>
      <c r="H135" s="19">
        <f>IF($L135="","",IF(INDEX(ExpWit,$L135)=0,"",INDEX(ExpWit,$L135)))</f>
        <v/>
      </c>
      <c r="I135" s="20">
        <f>IF($B135="","",IF($I134="",0,$I134)+IF($H135="",0,$H135)-IF($G135="",0,$G135))</f>
        <v/>
      </c>
      <c r="J135" s="18">
        <f>IF($L135="","",IF(INDEX(ExpNote,$L135)="","—",INDEX(ExpNote,$L135)))</f>
        <v/>
      </c>
      <c r="L135">
        <f>IFERROR(MATCH($C$5&amp;"|"&amp;RIGHT("000000"&amp;119,6),ExpRankKey,0),"")</f>
        <v/>
      </c>
    </row>
    <row r="136">
      <c r="A136" s="21" t="n">
        <v>120</v>
      </c>
      <c r="B136" s="22">
        <f>IF($L136="","",INDEX(ExpNorm,$L136))</f>
        <v/>
      </c>
      <c r="C136" s="22">
        <f>IF($L136="","",IF(INDEX(ExpTime,$L136)="","—",LEFT(INDEX(ExpTime,$L136),2)&amp;":"&amp;RIGHT(INDEX(ExpTime,$L136),2)))</f>
        <v/>
      </c>
      <c r="D136" s="22">
        <f>IF($L136="","",IF(INDEX(ExpBank,$L136)="","—",INDEX(ExpBank,$L136)))</f>
        <v/>
      </c>
      <c r="E136" s="23">
        <f>IF($L136="","",IF(INDEX(ExpParty,$L136)="","—",IFERROR(VLOOKUP(INDEX(ExpParty,$L136),AcctTbl,4,0),INDEX(ExpParty,$L136))))</f>
        <v/>
      </c>
      <c r="F136" s="22">
        <f>IF($L136="","",IF(INDEX(ExpType,$L136)="","—",INDEX(ExpType,$L136)))</f>
        <v/>
      </c>
      <c r="G136" s="24">
        <f>IF($L136="","",IF(INDEX(ExpDep,$L136)=0,"",INDEX(ExpDep,$L136)))</f>
        <v/>
      </c>
      <c r="H136" s="24">
        <f>IF($L136="","",IF(INDEX(ExpWit,$L136)=0,"",INDEX(ExpWit,$L136)))</f>
        <v/>
      </c>
      <c r="I136" s="25">
        <f>IF($B136="","",IF($I135="",0,$I135)+IF($H136="",0,$H136)-IF($G136="",0,$G136))</f>
        <v/>
      </c>
      <c r="J136" s="23">
        <f>IF($L136="","",IF(INDEX(ExpNote,$L136)="","—",INDEX(ExpNote,$L136)))</f>
        <v/>
      </c>
      <c r="L136">
        <f>IFERROR(MATCH($C$5&amp;"|"&amp;RIGHT("000000"&amp;120,6),ExpRankKey,0),"")</f>
        <v/>
      </c>
    </row>
    <row r="137">
      <c r="A137" s="16" t="n">
        <v>121</v>
      </c>
      <c r="B137" s="17">
        <f>IF($L137="","",INDEX(ExpNorm,$L137))</f>
        <v/>
      </c>
      <c r="C137" s="17">
        <f>IF($L137="","",IF(INDEX(ExpTime,$L137)="","—",LEFT(INDEX(ExpTime,$L137),2)&amp;":"&amp;RIGHT(INDEX(ExpTime,$L137),2)))</f>
        <v/>
      </c>
      <c r="D137" s="17">
        <f>IF($L137="","",IF(INDEX(ExpBank,$L137)="","—",INDEX(ExpBank,$L137)))</f>
        <v/>
      </c>
      <c r="E137" s="18">
        <f>IF($L137="","",IF(INDEX(ExpParty,$L137)="","—",IFERROR(VLOOKUP(INDEX(ExpParty,$L137),AcctTbl,4,0),INDEX(ExpParty,$L137))))</f>
        <v/>
      </c>
      <c r="F137" s="17">
        <f>IF($L137="","",IF(INDEX(ExpType,$L137)="","—",INDEX(ExpType,$L137)))</f>
        <v/>
      </c>
      <c r="G137" s="19">
        <f>IF($L137="","",IF(INDEX(ExpDep,$L137)=0,"",INDEX(ExpDep,$L137)))</f>
        <v/>
      </c>
      <c r="H137" s="19">
        <f>IF($L137="","",IF(INDEX(ExpWit,$L137)=0,"",INDEX(ExpWit,$L137)))</f>
        <v/>
      </c>
      <c r="I137" s="20">
        <f>IF($B137="","",IF($I136="",0,$I136)+IF($H137="",0,$H137)-IF($G137="",0,$G137))</f>
        <v/>
      </c>
      <c r="J137" s="18">
        <f>IF($L137="","",IF(INDEX(ExpNote,$L137)="","—",INDEX(ExpNote,$L137)))</f>
        <v/>
      </c>
      <c r="L137">
        <f>IFERROR(MATCH($C$5&amp;"|"&amp;RIGHT("000000"&amp;121,6),ExpRankKey,0),"")</f>
        <v/>
      </c>
    </row>
    <row r="138">
      <c r="A138" s="21" t="n">
        <v>122</v>
      </c>
      <c r="B138" s="22">
        <f>IF($L138="","",INDEX(ExpNorm,$L138))</f>
        <v/>
      </c>
      <c r="C138" s="22">
        <f>IF($L138="","",IF(INDEX(ExpTime,$L138)="","—",LEFT(INDEX(ExpTime,$L138),2)&amp;":"&amp;RIGHT(INDEX(ExpTime,$L138),2)))</f>
        <v/>
      </c>
      <c r="D138" s="22">
        <f>IF($L138="","",IF(INDEX(ExpBank,$L138)="","—",INDEX(ExpBank,$L138)))</f>
        <v/>
      </c>
      <c r="E138" s="23">
        <f>IF($L138="","",IF(INDEX(ExpParty,$L138)="","—",IFERROR(VLOOKUP(INDEX(ExpParty,$L138),AcctTbl,4,0),INDEX(ExpParty,$L138))))</f>
        <v/>
      </c>
      <c r="F138" s="22">
        <f>IF($L138="","",IF(INDEX(ExpType,$L138)="","—",INDEX(ExpType,$L138)))</f>
        <v/>
      </c>
      <c r="G138" s="24">
        <f>IF($L138="","",IF(INDEX(ExpDep,$L138)=0,"",INDEX(ExpDep,$L138)))</f>
        <v/>
      </c>
      <c r="H138" s="24">
        <f>IF($L138="","",IF(INDEX(ExpWit,$L138)=0,"",INDEX(ExpWit,$L138)))</f>
        <v/>
      </c>
      <c r="I138" s="25">
        <f>IF($B138="","",IF($I137="",0,$I137)+IF($H138="",0,$H138)-IF($G138="",0,$G138))</f>
        <v/>
      </c>
      <c r="J138" s="23">
        <f>IF($L138="","",IF(INDEX(ExpNote,$L138)="","—",INDEX(ExpNote,$L138)))</f>
        <v/>
      </c>
      <c r="L138">
        <f>IFERROR(MATCH($C$5&amp;"|"&amp;RIGHT("000000"&amp;122,6),ExpRankKey,0),"")</f>
        <v/>
      </c>
    </row>
    <row r="139">
      <c r="A139" s="16" t="n">
        <v>123</v>
      </c>
      <c r="B139" s="17">
        <f>IF($L139="","",INDEX(ExpNorm,$L139))</f>
        <v/>
      </c>
      <c r="C139" s="17">
        <f>IF($L139="","",IF(INDEX(ExpTime,$L139)="","—",LEFT(INDEX(ExpTime,$L139),2)&amp;":"&amp;RIGHT(INDEX(ExpTime,$L139),2)))</f>
        <v/>
      </c>
      <c r="D139" s="17">
        <f>IF($L139="","",IF(INDEX(ExpBank,$L139)="","—",INDEX(ExpBank,$L139)))</f>
        <v/>
      </c>
      <c r="E139" s="18">
        <f>IF($L139="","",IF(INDEX(ExpParty,$L139)="","—",IFERROR(VLOOKUP(INDEX(ExpParty,$L139),AcctTbl,4,0),INDEX(ExpParty,$L139))))</f>
        <v/>
      </c>
      <c r="F139" s="17">
        <f>IF($L139="","",IF(INDEX(ExpType,$L139)="","—",INDEX(ExpType,$L139)))</f>
        <v/>
      </c>
      <c r="G139" s="19">
        <f>IF($L139="","",IF(INDEX(ExpDep,$L139)=0,"",INDEX(ExpDep,$L139)))</f>
        <v/>
      </c>
      <c r="H139" s="19">
        <f>IF($L139="","",IF(INDEX(ExpWit,$L139)=0,"",INDEX(ExpWit,$L139)))</f>
        <v/>
      </c>
      <c r="I139" s="20">
        <f>IF($B139="","",IF($I138="",0,$I138)+IF($H139="",0,$H139)-IF($G139="",0,$G139))</f>
        <v/>
      </c>
      <c r="J139" s="18">
        <f>IF($L139="","",IF(INDEX(ExpNote,$L139)="","—",INDEX(ExpNote,$L139)))</f>
        <v/>
      </c>
      <c r="L139">
        <f>IFERROR(MATCH($C$5&amp;"|"&amp;RIGHT("000000"&amp;123,6),ExpRankKey,0),"")</f>
        <v/>
      </c>
    </row>
    <row r="140">
      <c r="A140" s="21" t="n">
        <v>124</v>
      </c>
      <c r="B140" s="22">
        <f>IF($L140="","",INDEX(ExpNorm,$L140))</f>
        <v/>
      </c>
      <c r="C140" s="22">
        <f>IF($L140="","",IF(INDEX(ExpTime,$L140)="","—",LEFT(INDEX(ExpTime,$L140),2)&amp;":"&amp;RIGHT(INDEX(ExpTime,$L140),2)))</f>
        <v/>
      </c>
      <c r="D140" s="22">
        <f>IF($L140="","",IF(INDEX(ExpBank,$L140)="","—",INDEX(ExpBank,$L140)))</f>
        <v/>
      </c>
      <c r="E140" s="23">
        <f>IF($L140="","",IF(INDEX(ExpParty,$L140)="","—",IFERROR(VLOOKUP(INDEX(ExpParty,$L140),AcctTbl,4,0),INDEX(ExpParty,$L140))))</f>
        <v/>
      </c>
      <c r="F140" s="22">
        <f>IF($L140="","",IF(INDEX(ExpType,$L140)="","—",INDEX(ExpType,$L140)))</f>
        <v/>
      </c>
      <c r="G140" s="24">
        <f>IF($L140="","",IF(INDEX(ExpDep,$L140)=0,"",INDEX(ExpDep,$L140)))</f>
        <v/>
      </c>
      <c r="H140" s="24">
        <f>IF($L140="","",IF(INDEX(ExpWit,$L140)=0,"",INDEX(ExpWit,$L140)))</f>
        <v/>
      </c>
      <c r="I140" s="25">
        <f>IF($B140="","",IF($I139="",0,$I139)+IF($H140="",0,$H140)-IF($G140="",0,$G140))</f>
        <v/>
      </c>
      <c r="J140" s="23">
        <f>IF($L140="","",IF(INDEX(ExpNote,$L140)="","—",INDEX(ExpNote,$L140)))</f>
        <v/>
      </c>
      <c r="L140">
        <f>IFERROR(MATCH($C$5&amp;"|"&amp;RIGHT("000000"&amp;124,6),ExpRankKey,0),"")</f>
        <v/>
      </c>
    </row>
    <row r="141">
      <c r="A141" s="16" t="n">
        <v>125</v>
      </c>
      <c r="B141" s="17">
        <f>IF($L141="","",INDEX(ExpNorm,$L141))</f>
        <v/>
      </c>
      <c r="C141" s="17">
        <f>IF($L141="","",IF(INDEX(ExpTime,$L141)="","—",LEFT(INDEX(ExpTime,$L141),2)&amp;":"&amp;RIGHT(INDEX(ExpTime,$L141),2)))</f>
        <v/>
      </c>
      <c r="D141" s="17">
        <f>IF($L141="","",IF(INDEX(ExpBank,$L141)="","—",INDEX(ExpBank,$L141)))</f>
        <v/>
      </c>
      <c r="E141" s="18">
        <f>IF($L141="","",IF(INDEX(ExpParty,$L141)="","—",IFERROR(VLOOKUP(INDEX(ExpParty,$L141),AcctTbl,4,0),INDEX(ExpParty,$L141))))</f>
        <v/>
      </c>
      <c r="F141" s="17">
        <f>IF($L141="","",IF(INDEX(ExpType,$L141)="","—",INDEX(ExpType,$L141)))</f>
        <v/>
      </c>
      <c r="G141" s="19">
        <f>IF($L141="","",IF(INDEX(ExpDep,$L141)=0,"",INDEX(ExpDep,$L141)))</f>
        <v/>
      </c>
      <c r="H141" s="19">
        <f>IF($L141="","",IF(INDEX(ExpWit,$L141)=0,"",INDEX(ExpWit,$L141)))</f>
        <v/>
      </c>
      <c r="I141" s="20">
        <f>IF($B141="","",IF($I140="",0,$I140)+IF($H141="",0,$H141)-IF($G141="",0,$G141))</f>
        <v/>
      </c>
      <c r="J141" s="18">
        <f>IF($L141="","",IF(INDEX(ExpNote,$L141)="","—",INDEX(ExpNote,$L141)))</f>
        <v/>
      </c>
      <c r="L141">
        <f>IFERROR(MATCH($C$5&amp;"|"&amp;RIGHT("000000"&amp;125,6),ExpRankKey,0),"")</f>
        <v/>
      </c>
    </row>
    <row r="142">
      <c r="A142" s="21" t="n">
        <v>126</v>
      </c>
      <c r="B142" s="22">
        <f>IF($L142="","",INDEX(ExpNorm,$L142))</f>
        <v/>
      </c>
      <c r="C142" s="22">
        <f>IF($L142="","",IF(INDEX(ExpTime,$L142)="","—",LEFT(INDEX(ExpTime,$L142),2)&amp;":"&amp;RIGHT(INDEX(ExpTime,$L142),2)))</f>
        <v/>
      </c>
      <c r="D142" s="22">
        <f>IF($L142="","",IF(INDEX(ExpBank,$L142)="","—",INDEX(ExpBank,$L142)))</f>
        <v/>
      </c>
      <c r="E142" s="23">
        <f>IF($L142="","",IF(INDEX(ExpParty,$L142)="","—",IFERROR(VLOOKUP(INDEX(ExpParty,$L142),AcctTbl,4,0),INDEX(ExpParty,$L142))))</f>
        <v/>
      </c>
      <c r="F142" s="22">
        <f>IF($L142="","",IF(INDEX(ExpType,$L142)="","—",INDEX(ExpType,$L142)))</f>
        <v/>
      </c>
      <c r="G142" s="24">
        <f>IF($L142="","",IF(INDEX(ExpDep,$L142)=0,"",INDEX(ExpDep,$L142)))</f>
        <v/>
      </c>
      <c r="H142" s="24">
        <f>IF($L142="","",IF(INDEX(ExpWit,$L142)=0,"",INDEX(ExpWit,$L142)))</f>
        <v/>
      </c>
      <c r="I142" s="25">
        <f>IF($B142="","",IF($I141="",0,$I141)+IF($H142="",0,$H142)-IF($G142="",0,$G142))</f>
        <v/>
      </c>
      <c r="J142" s="23">
        <f>IF($L142="","",IF(INDEX(ExpNote,$L142)="","—",INDEX(ExpNote,$L142)))</f>
        <v/>
      </c>
      <c r="L142">
        <f>IFERROR(MATCH($C$5&amp;"|"&amp;RIGHT("000000"&amp;126,6),ExpRankKey,0),"")</f>
        <v/>
      </c>
    </row>
    <row r="143">
      <c r="A143" s="16" t="n">
        <v>127</v>
      </c>
      <c r="B143" s="17">
        <f>IF($L143="","",INDEX(ExpNorm,$L143))</f>
        <v/>
      </c>
      <c r="C143" s="17">
        <f>IF($L143="","",IF(INDEX(ExpTime,$L143)="","—",LEFT(INDEX(ExpTime,$L143),2)&amp;":"&amp;RIGHT(INDEX(ExpTime,$L143),2)))</f>
        <v/>
      </c>
      <c r="D143" s="17">
        <f>IF($L143="","",IF(INDEX(ExpBank,$L143)="","—",INDEX(ExpBank,$L143)))</f>
        <v/>
      </c>
      <c r="E143" s="18">
        <f>IF($L143="","",IF(INDEX(ExpParty,$L143)="","—",IFERROR(VLOOKUP(INDEX(ExpParty,$L143),AcctTbl,4,0),INDEX(ExpParty,$L143))))</f>
        <v/>
      </c>
      <c r="F143" s="17">
        <f>IF($L143="","",IF(INDEX(ExpType,$L143)="","—",INDEX(ExpType,$L143)))</f>
        <v/>
      </c>
      <c r="G143" s="19">
        <f>IF($L143="","",IF(INDEX(ExpDep,$L143)=0,"",INDEX(ExpDep,$L143)))</f>
        <v/>
      </c>
      <c r="H143" s="19">
        <f>IF($L143="","",IF(INDEX(ExpWit,$L143)=0,"",INDEX(ExpWit,$L143)))</f>
        <v/>
      </c>
      <c r="I143" s="20">
        <f>IF($B143="","",IF($I142="",0,$I142)+IF($H143="",0,$H143)-IF($G143="",0,$G143))</f>
        <v/>
      </c>
      <c r="J143" s="18">
        <f>IF($L143="","",IF(INDEX(ExpNote,$L143)="","—",INDEX(ExpNote,$L143)))</f>
        <v/>
      </c>
      <c r="L143">
        <f>IFERROR(MATCH($C$5&amp;"|"&amp;RIGHT("000000"&amp;127,6),ExpRankKey,0),"")</f>
        <v/>
      </c>
    </row>
    <row r="144">
      <c r="A144" s="21" t="n">
        <v>128</v>
      </c>
      <c r="B144" s="22">
        <f>IF($L144="","",INDEX(ExpNorm,$L144))</f>
        <v/>
      </c>
      <c r="C144" s="22">
        <f>IF($L144="","",IF(INDEX(ExpTime,$L144)="","—",LEFT(INDEX(ExpTime,$L144),2)&amp;":"&amp;RIGHT(INDEX(ExpTime,$L144),2)))</f>
        <v/>
      </c>
      <c r="D144" s="22">
        <f>IF($L144="","",IF(INDEX(ExpBank,$L144)="","—",INDEX(ExpBank,$L144)))</f>
        <v/>
      </c>
      <c r="E144" s="23">
        <f>IF($L144="","",IF(INDEX(ExpParty,$L144)="","—",IFERROR(VLOOKUP(INDEX(ExpParty,$L144),AcctTbl,4,0),INDEX(ExpParty,$L144))))</f>
        <v/>
      </c>
      <c r="F144" s="22">
        <f>IF($L144="","",IF(INDEX(ExpType,$L144)="","—",INDEX(ExpType,$L144)))</f>
        <v/>
      </c>
      <c r="G144" s="24">
        <f>IF($L144="","",IF(INDEX(ExpDep,$L144)=0,"",INDEX(ExpDep,$L144)))</f>
        <v/>
      </c>
      <c r="H144" s="24">
        <f>IF($L144="","",IF(INDEX(ExpWit,$L144)=0,"",INDEX(ExpWit,$L144)))</f>
        <v/>
      </c>
      <c r="I144" s="25">
        <f>IF($B144="","",IF($I143="",0,$I143)+IF($H144="",0,$H144)-IF($G144="",0,$G144))</f>
        <v/>
      </c>
      <c r="J144" s="23">
        <f>IF($L144="","",IF(INDEX(ExpNote,$L144)="","—",INDEX(ExpNote,$L144)))</f>
        <v/>
      </c>
      <c r="L144">
        <f>IFERROR(MATCH($C$5&amp;"|"&amp;RIGHT("000000"&amp;128,6),ExpRankKey,0),"")</f>
        <v/>
      </c>
    </row>
    <row r="145">
      <c r="A145" s="16" t="n">
        <v>129</v>
      </c>
      <c r="B145" s="17">
        <f>IF($L145="","",INDEX(ExpNorm,$L145))</f>
        <v/>
      </c>
      <c r="C145" s="17">
        <f>IF($L145="","",IF(INDEX(ExpTime,$L145)="","—",LEFT(INDEX(ExpTime,$L145),2)&amp;":"&amp;RIGHT(INDEX(ExpTime,$L145),2)))</f>
        <v/>
      </c>
      <c r="D145" s="17">
        <f>IF($L145="","",IF(INDEX(ExpBank,$L145)="","—",INDEX(ExpBank,$L145)))</f>
        <v/>
      </c>
      <c r="E145" s="18">
        <f>IF($L145="","",IF(INDEX(ExpParty,$L145)="","—",IFERROR(VLOOKUP(INDEX(ExpParty,$L145),AcctTbl,4,0),INDEX(ExpParty,$L145))))</f>
        <v/>
      </c>
      <c r="F145" s="17">
        <f>IF($L145="","",IF(INDEX(ExpType,$L145)="","—",INDEX(ExpType,$L145)))</f>
        <v/>
      </c>
      <c r="G145" s="19">
        <f>IF($L145="","",IF(INDEX(ExpDep,$L145)=0,"",INDEX(ExpDep,$L145)))</f>
        <v/>
      </c>
      <c r="H145" s="19">
        <f>IF($L145="","",IF(INDEX(ExpWit,$L145)=0,"",INDEX(ExpWit,$L145)))</f>
        <v/>
      </c>
      <c r="I145" s="20">
        <f>IF($B145="","",IF($I144="",0,$I144)+IF($H145="",0,$H145)-IF($G145="",0,$G145))</f>
        <v/>
      </c>
      <c r="J145" s="18">
        <f>IF($L145="","",IF(INDEX(ExpNote,$L145)="","—",INDEX(ExpNote,$L145)))</f>
        <v/>
      </c>
      <c r="L145">
        <f>IFERROR(MATCH($C$5&amp;"|"&amp;RIGHT("000000"&amp;129,6),ExpRankKey,0),"")</f>
        <v/>
      </c>
    </row>
    <row r="146">
      <c r="A146" s="21" t="n">
        <v>130</v>
      </c>
      <c r="B146" s="22">
        <f>IF($L146="","",INDEX(ExpNorm,$L146))</f>
        <v/>
      </c>
      <c r="C146" s="22">
        <f>IF($L146="","",IF(INDEX(ExpTime,$L146)="","—",LEFT(INDEX(ExpTime,$L146),2)&amp;":"&amp;RIGHT(INDEX(ExpTime,$L146),2)))</f>
        <v/>
      </c>
      <c r="D146" s="22">
        <f>IF($L146="","",IF(INDEX(ExpBank,$L146)="","—",INDEX(ExpBank,$L146)))</f>
        <v/>
      </c>
      <c r="E146" s="23">
        <f>IF($L146="","",IF(INDEX(ExpParty,$L146)="","—",IFERROR(VLOOKUP(INDEX(ExpParty,$L146),AcctTbl,4,0),INDEX(ExpParty,$L146))))</f>
        <v/>
      </c>
      <c r="F146" s="22">
        <f>IF($L146="","",IF(INDEX(ExpType,$L146)="","—",INDEX(ExpType,$L146)))</f>
        <v/>
      </c>
      <c r="G146" s="24">
        <f>IF($L146="","",IF(INDEX(ExpDep,$L146)=0,"",INDEX(ExpDep,$L146)))</f>
        <v/>
      </c>
      <c r="H146" s="24">
        <f>IF($L146="","",IF(INDEX(ExpWit,$L146)=0,"",INDEX(ExpWit,$L146)))</f>
        <v/>
      </c>
      <c r="I146" s="25">
        <f>IF($B146="","",IF($I145="",0,$I145)+IF($H146="",0,$H146)-IF($G146="",0,$G146))</f>
        <v/>
      </c>
      <c r="J146" s="23">
        <f>IF($L146="","",IF(INDEX(ExpNote,$L146)="","—",INDEX(ExpNote,$L146)))</f>
        <v/>
      </c>
      <c r="L146">
        <f>IFERROR(MATCH($C$5&amp;"|"&amp;RIGHT("000000"&amp;130,6),ExpRankKey,0),"")</f>
        <v/>
      </c>
    </row>
    <row r="147">
      <c r="A147" s="16" t="n">
        <v>131</v>
      </c>
      <c r="B147" s="17">
        <f>IF($L147="","",INDEX(ExpNorm,$L147))</f>
        <v/>
      </c>
      <c r="C147" s="17">
        <f>IF($L147="","",IF(INDEX(ExpTime,$L147)="","—",LEFT(INDEX(ExpTime,$L147),2)&amp;":"&amp;RIGHT(INDEX(ExpTime,$L147),2)))</f>
        <v/>
      </c>
      <c r="D147" s="17">
        <f>IF($L147="","",IF(INDEX(ExpBank,$L147)="","—",INDEX(ExpBank,$L147)))</f>
        <v/>
      </c>
      <c r="E147" s="18">
        <f>IF($L147="","",IF(INDEX(ExpParty,$L147)="","—",IFERROR(VLOOKUP(INDEX(ExpParty,$L147),AcctTbl,4,0),INDEX(ExpParty,$L147))))</f>
        <v/>
      </c>
      <c r="F147" s="17">
        <f>IF($L147="","",IF(INDEX(ExpType,$L147)="","—",INDEX(ExpType,$L147)))</f>
        <v/>
      </c>
      <c r="G147" s="19">
        <f>IF($L147="","",IF(INDEX(ExpDep,$L147)=0,"",INDEX(ExpDep,$L147)))</f>
        <v/>
      </c>
      <c r="H147" s="19">
        <f>IF($L147="","",IF(INDEX(ExpWit,$L147)=0,"",INDEX(ExpWit,$L147)))</f>
        <v/>
      </c>
      <c r="I147" s="20">
        <f>IF($B147="","",IF($I146="",0,$I146)+IF($H147="",0,$H147)-IF($G147="",0,$G147))</f>
        <v/>
      </c>
      <c r="J147" s="18">
        <f>IF($L147="","",IF(INDEX(ExpNote,$L147)="","—",INDEX(ExpNote,$L147)))</f>
        <v/>
      </c>
      <c r="L147">
        <f>IFERROR(MATCH($C$5&amp;"|"&amp;RIGHT("000000"&amp;131,6),ExpRankKey,0),"")</f>
        <v/>
      </c>
    </row>
    <row r="148">
      <c r="A148" s="21" t="n">
        <v>132</v>
      </c>
      <c r="B148" s="22">
        <f>IF($L148="","",INDEX(ExpNorm,$L148))</f>
        <v/>
      </c>
      <c r="C148" s="22">
        <f>IF($L148="","",IF(INDEX(ExpTime,$L148)="","—",LEFT(INDEX(ExpTime,$L148),2)&amp;":"&amp;RIGHT(INDEX(ExpTime,$L148),2)))</f>
        <v/>
      </c>
      <c r="D148" s="22">
        <f>IF($L148="","",IF(INDEX(ExpBank,$L148)="","—",INDEX(ExpBank,$L148)))</f>
        <v/>
      </c>
      <c r="E148" s="23">
        <f>IF($L148="","",IF(INDEX(ExpParty,$L148)="","—",IFERROR(VLOOKUP(INDEX(ExpParty,$L148),AcctTbl,4,0),INDEX(ExpParty,$L148))))</f>
        <v/>
      </c>
      <c r="F148" s="22">
        <f>IF($L148="","",IF(INDEX(ExpType,$L148)="","—",INDEX(ExpType,$L148)))</f>
        <v/>
      </c>
      <c r="G148" s="24">
        <f>IF($L148="","",IF(INDEX(ExpDep,$L148)=0,"",INDEX(ExpDep,$L148)))</f>
        <v/>
      </c>
      <c r="H148" s="24">
        <f>IF($L148="","",IF(INDEX(ExpWit,$L148)=0,"",INDEX(ExpWit,$L148)))</f>
        <v/>
      </c>
      <c r="I148" s="25">
        <f>IF($B148="","",IF($I147="",0,$I147)+IF($H148="",0,$H148)-IF($G148="",0,$G148))</f>
        <v/>
      </c>
      <c r="J148" s="23">
        <f>IF($L148="","",IF(INDEX(ExpNote,$L148)="","—",INDEX(ExpNote,$L148)))</f>
        <v/>
      </c>
      <c r="L148">
        <f>IFERROR(MATCH($C$5&amp;"|"&amp;RIGHT("000000"&amp;132,6),ExpRankKey,0),"")</f>
        <v/>
      </c>
    </row>
    <row r="149">
      <c r="A149" s="16" t="n">
        <v>133</v>
      </c>
      <c r="B149" s="17">
        <f>IF($L149="","",INDEX(ExpNorm,$L149))</f>
        <v/>
      </c>
      <c r="C149" s="17">
        <f>IF($L149="","",IF(INDEX(ExpTime,$L149)="","—",LEFT(INDEX(ExpTime,$L149),2)&amp;":"&amp;RIGHT(INDEX(ExpTime,$L149),2)))</f>
        <v/>
      </c>
      <c r="D149" s="17">
        <f>IF($L149="","",IF(INDEX(ExpBank,$L149)="","—",INDEX(ExpBank,$L149)))</f>
        <v/>
      </c>
      <c r="E149" s="18">
        <f>IF($L149="","",IF(INDEX(ExpParty,$L149)="","—",IFERROR(VLOOKUP(INDEX(ExpParty,$L149),AcctTbl,4,0),INDEX(ExpParty,$L149))))</f>
        <v/>
      </c>
      <c r="F149" s="17">
        <f>IF($L149="","",IF(INDEX(ExpType,$L149)="","—",INDEX(ExpType,$L149)))</f>
        <v/>
      </c>
      <c r="G149" s="19">
        <f>IF($L149="","",IF(INDEX(ExpDep,$L149)=0,"",INDEX(ExpDep,$L149)))</f>
        <v/>
      </c>
      <c r="H149" s="19">
        <f>IF($L149="","",IF(INDEX(ExpWit,$L149)=0,"",INDEX(ExpWit,$L149)))</f>
        <v/>
      </c>
      <c r="I149" s="20">
        <f>IF($B149="","",IF($I148="",0,$I148)+IF($H149="",0,$H149)-IF($G149="",0,$G149))</f>
        <v/>
      </c>
      <c r="J149" s="18">
        <f>IF($L149="","",IF(INDEX(ExpNote,$L149)="","—",INDEX(ExpNote,$L149)))</f>
        <v/>
      </c>
      <c r="L149">
        <f>IFERROR(MATCH($C$5&amp;"|"&amp;RIGHT("000000"&amp;133,6),ExpRankKey,0),"")</f>
        <v/>
      </c>
    </row>
    <row r="150">
      <c r="A150" s="21" t="n">
        <v>134</v>
      </c>
      <c r="B150" s="22">
        <f>IF($L150="","",INDEX(ExpNorm,$L150))</f>
        <v/>
      </c>
      <c r="C150" s="22">
        <f>IF($L150="","",IF(INDEX(ExpTime,$L150)="","—",LEFT(INDEX(ExpTime,$L150),2)&amp;":"&amp;RIGHT(INDEX(ExpTime,$L150),2)))</f>
        <v/>
      </c>
      <c r="D150" s="22">
        <f>IF($L150="","",IF(INDEX(ExpBank,$L150)="","—",INDEX(ExpBank,$L150)))</f>
        <v/>
      </c>
      <c r="E150" s="23">
        <f>IF($L150="","",IF(INDEX(ExpParty,$L150)="","—",IFERROR(VLOOKUP(INDEX(ExpParty,$L150),AcctTbl,4,0),INDEX(ExpParty,$L150))))</f>
        <v/>
      </c>
      <c r="F150" s="22">
        <f>IF($L150="","",IF(INDEX(ExpType,$L150)="","—",INDEX(ExpType,$L150)))</f>
        <v/>
      </c>
      <c r="G150" s="24">
        <f>IF($L150="","",IF(INDEX(ExpDep,$L150)=0,"",INDEX(ExpDep,$L150)))</f>
        <v/>
      </c>
      <c r="H150" s="24">
        <f>IF($L150="","",IF(INDEX(ExpWit,$L150)=0,"",INDEX(ExpWit,$L150)))</f>
        <v/>
      </c>
      <c r="I150" s="25">
        <f>IF($B150="","",IF($I149="",0,$I149)+IF($H150="",0,$H150)-IF($G150="",0,$G150))</f>
        <v/>
      </c>
      <c r="J150" s="23">
        <f>IF($L150="","",IF(INDEX(ExpNote,$L150)="","—",INDEX(ExpNote,$L150)))</f>
        <v/>
      </c>
      <c r="L150">
        <f>IFERROR(MATCH($C$5&amp;"|"&amp;RIGHT("000000"&amp;134,6),ExpRankKey,0),"")</f>
        <v/>
      </c>
    </row>
    <row r="151">
      <c r="A151" s="16" t="n">
        <v>135</v>
      </c>
      <c r="B151" s="17">
        <f>IF($L151="","",INDEX(ExpNorm,$L151))</f>
        <v/>
      </c>
      <c r="C151" s="17">
        <f>IF($L151="","",IF(INDEX(ExpTime,$L151)="","—",LEFT(INDEX(ExpTime,$L151),2)&amp;":"&amp;RIGHT(INDEX(ExpTime,$L151),2)))</f>
        <v/>
      </c>
      <c r="D151" s="17">
        <f>IF($L151="","",IF(INDEX(ExpBank,$L151)="","—",INDEX(ExpBank,$L151)))</f>
        <v/>
      </c>
      <c r="E151" s="18">
        <f>IF($L151="","",IF(INDEX(ExpParty,$L151)="","—",IFERROR(VLOOKUP(INDEX(ExpParty,$L151),AcctTbl,4,0),INDEX(ExpParty,$L151))))</f>
        <v/>
      </c>
      <c r="F151" s="17">
        <f>IF($L151="","",IF(INDEX(ExpType,$L151)="","—",INDEX(ExpType,$L151)))</f>
        <v/>
      </c>
      <c r="G151" s="19">
        <f>IF($L151="","",IF(INDEX(ExpDep,$L151)=0,"",INDEX(ExpDep,$L151)))</f>
        <v/>
      </c>
      <c r="H151" s="19">
        <f>IF($L151="","",IF(INDEX(ExpWit,$L151)=0,"",INDEX(ExpWit,$L151)))</f>
        <v/>
      </c>
      <c r="I151" s="20">
        <f>IF($B151="","",IF($I150="",0,$I150)+IF($H151="",0,$H151)-IF($G151="",0,$G151))</f>
        <v/>
      </c>
      <c r="J151" s="18">
        <f>IF($L151="","",IF(INDEX(ExpNote,$L151)="","—",INDEX(ExpNote,$L151)))</f>
        <v/>
      </c>
      <c r="L151">
        <f>IFERROR(MATCH($C$5&amp;"|"&amp;RIGHT("000000"&amp;135,6),ExpRankKey,0),"")</f>
        <v/>
      </c>
    </row>
    <row r="152">
      <c r="A152" s="21" t="n">
        <v>136</v>
      </c>
      <c r="B152" s="22">
        <f>IF($L152="","",INDEX(ExpNorm,$L152))</f>
        <v/>
      </c>
      <c r="C152" s="22">
        <f>IF($L152="","",IF(INDEX(ExpTime,$L152)="","—",LEFT(INDEX(ExpTime,$L152),2)&amp;":"&amp;RIGHT(INDEX(ExpTime,$L152),2)))</f>
        <v/>
      </c>
      <c r="D152" s="22">
        <f>IF($L152="","",IF(INDEX(ExpBank,$L152)="","—",INDEX(ExpBank,$L152)))</f>
        <v/>
      </c>
      <c r="E152" s="23">
        <f>IF($L152="","",IF(INDEX(ExpParty,$L152)="","—",IFERROR(VLOOKUP(INDEX(ExpParty,$L152),AcctTbl,4,0),INDEX(ExpParty,$L152))))</f>
        <v/>
      </c>
      <c r="F152" s="22">
        <f>IF($L152="","",IF(INDEX(ExpType,$L152)="","—",INDEX(ExpType,$L152)))</f>
        <v/>
      </c>
      <c r="G152" s="24">
        <f>IF($L152="","",IF(INDEX(ExpDep,$L152)=0,"",INDEX(ExpDep,$L152)))</f>
        <v/>
      </c>
      <c r="H152" s="24">
        <f>IF($L152="","",IF(INDEX(ExpWit,$L152)=0,"",INDEX(ExpWit,$L152)))</f>
        <v/>
      </c>
      <c r="I152" s="25">
        <f>IF($B152="","",IF($I151="",0,$I151)+IF($H152="",0,$H152)-IF($G152="",0,$G152))</f>
        <v/>
      </c>
      <c r="J152" s="23">
        <f>IF($L152="","",IF(INDEX(ExpNote,$L152)="","—",INDEX(ExpNote,$L152)))</f>
        <v/>
      </c>
      <c r="L152">
        <f>IFERROR(MATCH($C$5&amp;"|"&amp;RIGHT("000000"&amp;136,6),ExpRankKey,0),"")</f>
        <v/>
      </c>
    </row>
    <row r="153">
      <c r="A153" s="16" t="n">
        <v>137</v>
      </c>
      <c r="B153" s="17">
        <f>IF($L153="","",INDEX(ExpNorm,$L153))</f>
        <v/>
      </c>
      <c r="C153" s="17">
        <f>IF($L153="","",IF(INDEX(ExpTime,$L153)="","—",LEFT(INDEX(ExpTime,$L153),2)&amp;":"&amp;RIGHT(INDEX(ExpTime,$L153),2)))</f>
        <v/>
      </c>
      <c r="D153" s="17">
        <f>IF($L153="","",IF(INDEX(ExpBank,$L153)="","—",INDEX(ExpBank,$L153)))</f>
        <v/>
      </c>
      <c r="E153" s="18">
        <f>IF($L153="","",IF(INDEX(ExpParty,$L153)="","—",IFERROR(VLOOKUP(INDEX(ExpParty,$L153),AcctTbl,4,0),INDEX(ExpParty,$L153))))</f>
        <v/>
      </c>
      <c r="F153" s="17">
        <f>IF($L153="","",IF(INDEX(ExpType,$L153)="","—",INDEX(ExpType,$L153)))</f>
        <v/>
      </c>
      <c r="G153" s="19">
        <f>IF($L153="","",IF(INDEX(ExpDep,$L153)=0,"",INDEX(ExpDep,$L153)))</f>
        <v/>
      </c>
      <c r="H153" s="19">
        <f>IF($L153="","",IF(INDEX(ExpWit,$L153)=0,"",INDEX(ExpWit,$L153)))</f>
        <v/>
      </c>
      <c r="I153" s="20">
        <f>IF($B153="","",IF($I152="",0,$I152)+IF($H153="",0,$H153)-IF($G153="",0,$G153))</f>
        <v/>
      </c>
      <c r="J153" s="18">
        <f>IF($L153="","",IF(INDEX(ExpNote,$L153)="","—",INDEX(ExpNote,$L153)))</f>
        <v/>
      </c>
      <c r="L153">
        <f>IFERROR(MATCH($C$5&amp;"|"&amp;RIGHT("000000"&amp;137,6),ExpRankKey,0),"")</f>
        <v/>
      </c>
    </row>
    <row r="154">
      <c r="A154" s="21" t="n">
        <v>138</v>
      </c>
      <c r="B154" s="22">
        <f>IF($L154="","",INDEX(ExpNorm,$L154))</f>
        <v/>
      </c>
      <c r="C154" s="22">
        <f>IF($L154="","",IF(INDEX(ExpTime,$L154)="","—",LEFT(INDEX(ExpTime,$L154),2)&amp;":"&amp;RIGHT(INDEX(ExpTime,$L154),2)))</f>
        <v/>
      </c>
      <c r="D154" s="22">
        <f>IF($L154="","",IF(INDEX(ExpBank,$L154)="","—",INDEX(ExpBank,$L154)))</f>
        <v/>
      </c>
      <c r="E154" s="23">
        <f>IF($L154="","",IF(INDEX(ExpParty,$L154)="","—",IFERROR(VLOOKUP(INDEX(ExpParty,$L154),AcctTbl,4,0),INDEX(ExpParty,$L154))))</f>
        <v/>
      </c>
      <c r="F154" s="22">
        <f>IF($L154="","",IF(INDEX(ExpType,$L154)="","—",INDEX(ExpType,$L154)))</f>
        <v/>
      </c>
      <c r="G154" s="24">
        <f>IF($L154="","",IF(INDEX(ExpDep,$L154)=0,"",INDEX(ExpDep,$L154)))</f>
        <v/>
      </c>
      <c r="H154" s="24">
        <f>IF($L154="","",IF(INDEX(ExpWit,$L154)=0,"",INDEX(ExpWit,$L154)))</f>
        <v/>
      </c>
      <c r="I154" s="25">
        <f>IF($B154="","",IF($I153="",0,$I153)+IF($H154="",0,$H154)-IF($G154="",0,$G154))</f>
        <v/>
      </c>
      <c r="J154" s="23">
        <f>IF($L154="","",IF(INDEX(ExpNote,$L154)="","—",INDEX(ExpNote,$L154)))</f>
        <v/>
      </c>
      <c r="L154">
        <f>IFERROR(MATCH($C$5&amp;"|"&amp;RIGHT("000000"&amp;138,6),ExpRankKey,0),"")</f>
        <v/>
      </c>
    </row>
    <row r="155">
      <c r="A155" s="16" t="n">
        <v>139</v>
      </c>
      <c r="B155" s="17">
        <f>IF($L155="","",INDEX(ExpNorm,$L155))</f>
        <v/>
      </c>
      <c r="C155" s="17">
        <f>IF($L155="","",IF(INDEX(ExpTime,$L155)="","—",LEFT(INDEX(ExpTime,$L155),2)&amp;":"&amp;RIGHT(INDEX(ExpTime,$L155),2)))</f>
        <v/>
      </c>
      <c r="D155" s="17">
        <f>IF($L155="","",IF(INDEX(ExpBank,$L155)="","—",INDEX(ExpBank,$L155)))</f>
        <v/>
      </c>
      <c r="E155" s="18">
        <f>IF($L155="","",IF(INDEX(ExpParty,$L155)="","—",IFERROR(VLOOKUP(INDEX(ExpParty,$L155),AcctTbl,4,0),INDEX(ExpParty,$L155))))</f>
        <v/>
      </c>
      <c r="F155" s="17">
        <f>IF($L155="","",IF(INDEX(ExpType,$L155)="","—",INDEX(ExpType,$L155)))</f>
        <v/>
      </c>
      <c r="G155" s="19">
        <f>IF($L155="","",IF(INDEX(ExpDep,$L155)=0,"",INDEX(ExpDep,$L155)))</f>
        <v/>
      </c>
      <c r="H155" s="19">
        <f>IF($L155="","",IF(INDEX(ExpWit,$L155)=0,"",INDEX(ExpWit,$L155)))</f>
        <v/>
      </c>
      <c r="I155" s="20">
        <f>IF($B155="","",IF($I154="",0,$I154)+IF($H155="",0,$H155)-IF($G155="",0,$G155))</f>
        <v/>
      </c>
      <c r="J155" s="18">
        <f>IF($L155="","",IF(INDEX(ExpNote,$L155)="","—",INDEX(ExpNote,$L155)))</f>
        <v/>
      </c>
      <c r="L155">
        <f>IFERROR(MATCH($C$5&amp;"|"&amp;RIGHT("000000"&amp;139,6),ExpRankKey,0),"")</f>
        <v/>
      </c>
    </row>
    <row r="156">
      <c r="A156" s="21" t="n">
        <v>140</v>
      </c>
      <c r="B156" s="22">
        <f>IF($L156="","",INDEX(ExpNorm,$L156))</f>
        <v/>
      </c>
      <c r="C156" s="22">
        <f>IF($L156="","",IF(INDEX(ExpTime,$L156)="","—",LEFT(INDEX(ExpTime,$L156),2)&amp;":"&amp;RIGHT(INDEX(ExpTime,$L156),2)))</f>
        <v/>
      </c>
      <c r="D156" s="22">
        <f>IF($L156="","",IF(INDEX(ExpBank,$L156)="","—",INDEX(ExpBank,$L156)))</f>
        <v/>
      </c>
      <c r="E156" s="23">
        <f>IF($L156="","",IF(INDEX(ExpParty,$L156)="","—",IFERROR(VLOOKUP(INDEX(ExpParty,$L156),AcctTbl,4,0),INDEX(ExpParty,$L156))))</f>
        <v/>
      </c>
      <c r="F156" s="22">
        <f>IF($L156="","",IF(INDEX(ExpType,$L156)="","—",INDEX(ExpType,$L156)))</f>
        <v/>
      </c>
      <c r="G156" s="24">
        <f>IF($L156="","",IF(INDEX(ExpDep,$L156)=0,"",INDEX(ExpDep,$L156)))</f>
        <v/>
      </c>
      <c r="H156" s="24">
        <f>IF($L156="","",IF(INDEX(ExpWit,$L156)=0,"",INDEX(ExpWit,$L156)))</f>
        <v/>
      </c>
      <c r="I156" s="25">
        <f>IF($B156="","",IF($I155="",0,$I155)+IF($H156="",0,$H156)-IF($G156="",0,$G156))</f>
        <v/>
      </c>
      <c r="J156" s="23">
        <f>IF($L156="","",IF(INDEX(ExpNote,$L156)="","—",INDEX(ExpNote,$L156)))</f>
        <v/>
      </c>
      <c r="L156">
        <f>IFERROR(MATCH($C$5&amp;"|"&amp;RIGHT("000000"&amp;140,6),ExpRankKey,0),"")</f>
        <v/>
      </c>
    </row>
    <row r="157">
      <c r="A157" s="16" t="n">
        <v>141</v>
      </c>
      <c r="B157" s="17">
        <f>IF($L157="","",INDEX(ExpNorm,$L157))</f>
        <v/>
      </c>
      <c r="C157" s="17">
        <f>IF($L157="","",IF(INDEX(ExpTime,$L157)="","—",LEFT(INDEX(ExpTime,$L157),2)&amp;":"&amp;RIGHT(INDEX(ExpTime,$L157),2)))</f>
        <v/>
      </c>
      <c r="D157" s="17">
        <f>IF($L157="","",IF(INDEX(ExpBank,$L157)="","—",INDEX(ExpBank,$L157)))</f>
        <v/>
      </c>
      <c r="E157" s="18">
        <f>IF($L157="","",IF(INDEX(ExpParty,$L157)="","—",IFERROR(VLOOKUP(INDEX(ExpParty,$L157),AcctTbl,4,0),INDEX(ExpParty,$L157))))</f>
        <v/>
      </c>
      <c r="F157" s="17">
        <f>IF($L157="","",IF(INDEX(ExpType,$L157)="","—",INDEX(ExpType,$L157)))</f>
        <v/>
      </c>
      <c r="G157" s="19">
        <f>IF($L157="","",IF(INDEX(ExpDep,$L157)=0,"",INDEX(ExpDep,$L157)))</f>
        <v/>
      </c>
      <c r="H157" s="19">
        <f>IF($L157="","",IF(INDEX(ExpWit,$L157)=0,"",INDEX(ExpWit,$L157)))</f>
        <v/>
      </c>
      <c r="I157" s="20">
        <f>IF($B157="","",IF($I156="",0,$I156)+IF($H157="",0,$H157)-IF($G157="",0,$G157))</f>
        <v/>
      </c>
      <c r="J157" s="18">
        <f>IF($L157="","",IF(INDEX(ExpNote,$L157)="","—",INDEX(ExpNote,$L157)))</f>
        <v/>
      </c>
      <c r="L157">
        <f>IFERROR(MATCH($C$5&amp;"|"&amp;RIGHT("000000"&amp;141,6),ExpRankKey,0),"")</f>
        <v/>
      </c>
    </row>
    <row r="158">
      <c r="A158" s="21" t="n">
        <v>142</v>
      </c>
      <c r="B158" s="22">
        <f>IF($L158="","",INDEX(ExpNorm,$L158))</f>
        <v/>
      </c>
      <c r="C158" s="22">
        <f>IF($L158="","",IF(INDEX(ExpTime,$L158)="","—",LEFT(INDEX(ExpTime,$L158),2)&amp;":"&amp;RIGHT(INDEX(ExpTime,$L158),2)))</f>
        <v/>
      </c>
      <c r="D158" s="22">
        <f>IF($L158="","",IF(INDEX(ExpBank,$L158)="","—",INDEX(ExpBank,$L158)))</f>
        <v/>
      </c>
      <c r="E158" s="23">
        <f>IF($L158="","",IF(INDEX(ExpParty,$L158)="","—",IFERROR(VLOOKUP(INDEX(ExpParty,$L158),AcctTbl,4,0),INDEX(ExpParty,$L158))))</f>
        <v/>
      </c>
      <c r="F158" s="22">
        <f>IF($L158="","",IF(INDEX(ExpType,$L158)="","—",INDEX(ExpType,$L158)))</f>
        <v/>
      </c>
      <c r="G158" s="24">
        <f>IF($L158="","",IF(INDEX(ExpDep,$L158)=0,"",INDEX(ExpDep,$L158)))</f>
        <v/>
      </c>
      <c r="H158" s="24">
        <f>IF($L158="","",IF(INDEX(ExpWit,$L158)=0,"",INDEX(ExpWit,$L158)))</f>
        <v/>
      </c>
      <c r="I158" s="25">
        <f>IF($B158="","",IF($I157="",0,$I157)+IF($H158="",0,$H158)-IF($G158="",0,$G158))</f>
        <v/>
      </c>
      <c r="J158" s="23">
        <f>IF($L158="","",IF(INDEX(ExpNote,$L158)="","—",INDEX(ExpNote,$L158)))</f>
        <v/>
      </c>
      <c r="L158">
        <f>IFERROR(MATCH($C$5&amp;"|"&amp;RIGHT("000000"&amp;142,6),ExpRankKey,0),"")</f>
        <v/>
      </c>
    </row>
    <row r="159">
      <c r="A159" s="16" t="n">
        <v>143</v>
      </c>
      <c r="B159" s="17">
        <f>IF($L159="","",INDEX(ExpNorm,$L159))</f>
        <v/>
      </c>
      <c r="C159" s="17">
        <f>IF($L159="","",IF(INDEX(ExpTime,$L159)="","—",LEFT(INDEX(ExpTime,$L159),2)&amp;":"&amp;RIGHT(INDEX(ExpTime,$L159),2)))</f>
        <v/>
      </c>
      <c r="D159" s="17">
        <f>IF($L159="","",IF(INDEX(ExpBank,$L159)="","—",INDEX(ExpBank,$L159)))</f>
        <v/>
      </c>
      <c r="E159" s="18">
        <f>IF($L159="","",IF(INDEX(ExpParty,$L159)="","—",IFERROR(VLOOKUP(INDEX(ExpParty,$L159),AcctTbl,4,0),INDEX(ExpParty,$L159))))</f>
        <v/>
      </c>
      <c r="F159" s="17">
        <f>IF($L159="","",IF(INDEX(ExpType,$L159)="","—",INDEX(ExpType,$L159)))</f>
        <v/>
      </c>
      <c r="G159" s="19">
        <f>IF($L159="","",IF(INDEX(ExpDep,$L159)=0,"",INDEX(ExpDep,$L159)))</f>
        <v/>
      </c>
      <c r="H159" s="19">
        <f>IF($L159="","",IF(INDEX(ExpWit,$L159)=0,"",INDEX(ExpWit,$L159)))</f>
        <v/>
      </c>
      <c r="I159" s="20">
        <f>IF($B159="","",IF($I158="",0,$I158)+IF($H159="",0,$H159)-IF($G159="",0,$G159))</f>
        <v/>
      </c>
      <c r="J159" s="18">
        <f>IF($L159="","",IF(INDEX(ExpNote,$L159)="","—",INDEX(ExpNote,$L159)))</f>
        <v/>
      </c>
      <c r="L159">
        <f>IFERROR(MATCH($C$5&amp;"|"&amp;RIGHT("000000"&amp;143,6),ExpRankKey,0),"")</f>
        <v/>
      </c>
    </row>
    <row r="160">
      <c r="A160" s="21" t="n">
        <v>144</v>
      </c>
      <c r="B160" s="22">
        <f>IF($L160="","",INDEX(ExpNorm,$L160))</f>
        <v/>
      </c>
      <c r="C160" s="22">
        <f>IF($L160="","",IF(INDEX(ExpTime,$L160)="","—",LEFT(INDEX(ExpTime,$L160),2)&amp;":"&amp;RIGHT(INDEX(ExpTime,$L160),2)))</f>
        <v/>
      </c>
      <c r="D160" s="22">
        <f>IF($L160="","",IF(INDEX(ExpBank,$L160)="","—",INDEX(ExpBank,$L160)))</f>
        <v/>
      </c>
      <c r="E160" s="23">
        <f>IF($L160="","",IF(INDEX(ExpParty,$L160)="","—",IFERROR(VLOOKUP(INDEX(ExpParty,$L160),AcctTbl,4,0),INDEX(ExpParty,$L160))))</f>
        <v/>
      </c>
      <c r="F160" s="22">
        <f>IF($L160="","",IF(INDEX(ExpType,$L160)="","—",INDEX(ExpType,$L160)))</f>
        <v/>
      </c>
      <c r="G160" s="24">
        <f>IF($L160="","",IF(INDEX(ExpDep,$L160)=0,"",INDEX(ExpDep,$L160)))</f>
        <v/>
      </c>
      <c r="H160" s="24">
        <f>IF($L160="","",IF(INDEX(ExpWit,$L160)=0,"",INDEX(ExpWit,$L160)))</f>
        <v/>
      </c>
      <c r="I160" s="25">
        <f>IF($B160="","",IF($I159="",0,$I159)+IF($H160="",0,$H160)-IF($G160="",0,$G160))</f>
        <v/>
      </c>
      <c r="J160" s="23">
        <f>IF($L160="","",IF(INDEX(ExpNote,$L160)="","—",INDEX(ExpNote,$L160)))</f>
        <v/>
      </c>
      <c r="L160">
        <f>IFERROR(MATCH($C$5&amp;"|"&amp;RIGHT("000000"&amp;144,6),ExpRankKey,0),"")</f>
        <v/>
      </c>
    </row>
    <row r="161">
      <c r="A161" s="16" t="n">
        <v>145</v>
      </c>
      <c r="B161" s="17">
        <f>IF($L161="","",INDEX(ExpNorm,$L161))</f>
        <v/>
      </c>
      <c r="C161" s="17">
        <f>IF($L161="","",IF(INDEX(ExpTime,$L161)="","—",LEFT(INDEX(ExpTime,$L161),2)&amp;":"&amp;RIGHT(INDEX(ExpTime,$L161),2)))</f>
        <v/>
      </c>
      <c r="D161" s="17">
        <f>IF($L161="","",IF(INDEX(ExpBank,$L161)="","—",INDEX(ExpBank,$L161)))</f>
        <v/>
      </c>
      <c r="E161" s="18">
        <f>IF($L161="","",IF(INDEX(ExpParty,$L161)="","—",IFERROR(VLOOKUP(INDEX(ExpParty,$L161),AcctTbl,4,0),INDEX(ExpParty,$L161))))</f>
        <v/>
      </c>
      <c r="F161" s="17">
        <f>IF($L161="","",IF(INDEX(ExpType,$L161)="","—",INDEX(ExpType,$L161)))</f>
        <v/>
      </c>
      <c r="G161" s="19">
        <f>IF($L161="","",IF(INDEX(ExpDep,$L161)=0,"",INDEX(ExpDep,$L161)))</f>
        <v/>
      </c>
      <c r="H161" s="19">
        <f>IF($L161="","",IF(INDEX(ExpWit,$L161)=0,"",INDEX(ExpWit,$L161)))</f>
        <v/>
      </c>
      <c r="I161" s="20">
        <f>IF($B161="","",IF($I160="",0,$I160)+IF($H161="",0,$H161)-IF($G161="",0,$G161))</f>
        <v/>
      </c>
      <c r="J161" s="18">
        <f>IF($L161="","",IF(INDEX(ExpNote,$L161)="","—",INDEX(ExpNote,$L161)))</f>
        <v/>
      </c>
      <c r="L161">
        <f>IFERROR(MATCH($C$5&amp;"|"&amp;RIGHT("000000"&amp;145,6),ExpRankKey,0),"")</f>
        <v/>
      </c>
    </row>
    <row r="162">
      <c r="A162" s="21" t="n">
        <v>146</v>
      </c>
      <c r="B162" s="22">
        <f>IF($L162="","",INDEX(ExpNorm,$L162))</f>
        <v/>
      </c>
      <c r="C162" s="22">
        <f>IF($L162="","",IF(INDEX(ExpTime,$L162)="","—",LEFT(INDEX(ExpTime,$L162),2)&amp;":"&amp;RIGHT(INDEX(ExpTime,$L162),2)))</f>
        <v/>
      </c>
      <c r="D162" s="22">
        <f>IF($L162="","",IF(INDEX(ExpBank,$L162)="","—",INDEX(ExpBank,$L162)))</f>
        <v/>
      </c>
      <c r="E162" s="23">
        <f>IF($L162="","",IF(INDEX(ExpParty,$L162)="","—",IFERROR(VLOOKUP(INDEX(ExpParty,$L162),AcctTbl,4,0),INDEX(ExpParty,$L162))))</f>
        <v/>
      </c>
      <c r="F162" s="22">
        <f>IF($L162="","",IF(INDEX(ExpType,$L162)="","—",INDEX(ExpType,$L162)))</f>
        <v/>
      </c>
      <c r="G162" s="24">
        <f>IF($L162="","",IF(INDEX(ExpDep,$L162)=0,"",INDEX(ExpDep,$L162)))</f>
        <v/>
      </c>
      <c r="H162" s="24">
        <f>IF($L162="","",IF(INDEX(ExpWit,$L162)=0,"",INDEX(ExpWit,$L162)))</f>
        <v/>
      </c>
      <c r="I162" s="25">
        <f>IF($B162="","",IF($I161="",0,$I161)+IF($H162="",0,$H162)-IF($G162="",0,$G162))</f>
        <v/>
      </c>
      <c r="J162" s="23">
        <f>IF($L162="","",IF(INDEX(ExpNote,$L162)="","—",INDEX(ExpNote,$L162)))</f>
        <v/>
      </c>
      <c r="L162">
        <f>IFERROR(MATCH($C$5&amp;"|"&amp;RIGHT("000000"&amp;146,6),ExpRankKey,0),"")</f>
        <v/>
      </c>
    </row>
    <row r="163">
      <c r="A163" s="16" t="n">
        <v>147</v>
      </c>
      <c r="B163" s="17">
        <f>IF($L163="","",INDEX(ExpNorm,$L163))</f>
        <v/>
      </c>
      <c r="C163" s="17">
        <f>IF($L163="","",IF(INDEX(ExpTime,$L163)="","—",LEFT(INDEX(ExpTime,$L163),2)&amp;":"&amp;RIGHT(INDEX(ExpTime,$L163),2)))</f>
        <v/>
      </c>
      <c r="D163" s="17">
        <f>IF($L163="","",IF(INDEX(ExpBank,$L163)="","—",INDEX(ExpBank,$L163)))</f>
        <v/>
      </c>
      <c r="E163" s="18">
        <f>IF($L163="","",IF(INDEX(ExpParty,$L163)="","—",IFERROR(VLOOKUP(INDEX(ExpParty,$L163),AcctTbl,4,0),INDEX(ExpParty,$L163))))</f>
        <v/>
      </c>
      <c r="F163" s="17">
        <f>IF($L163="","",IF(INDEX(ExpType,$L163)="","—",INDEX(ExpType,$L163)))</f>
        <v/>
      </c>
      <c r="G163" s="19">
        <f>IF($L163="","",IF(INDEX(ExpDep,$L163)=0,"",INDEX(ExpDep,$L163)))</f>
        <v/>
      </c>
      <c r="H163" s="19">
        <f>IF($L163="","",IF(INDEX(ExpWit,$L163)=0,"",INDEX(ExpWit,$L163)))</f>
        <v/>
      </c>
      <c r="I163" s="20">
        <f>IF($B163="","",IF($I162="",0,$I162)+IF($H163="",0,$H163)-IF($G163="",0,$G163))</f>
        <v/>
      </c>
      <c r="J163" s="18">
        <f>IF($L163="","",IF(INDEX(ExpNote,$L163)="","—",INDEX(ExpNote,$L163)))</f>
        <v/>
      </c>
      <c r="L163">
        <f>IFERROR(MATCH($C$5&amp;"|"&amp;RIGHT("000000"&amp;147,6),ExpRankKey,0),"")</f>
        <v/>
      </c>
    </row>
    <row r="164">
      <c r="A164" s="21" t="n">
        <v>148</v>
      </c>
      <c r="B164" s="22">
        <f>IF($L164="","",INDEX(ExpNorm,$L164))</f>
        <v/>
      </c>
      <c r="C164" s="22">
        <f>IF($L164="","",IF(INDEX(ExpTime,$L164)="","—",LEFT(INDEX(ExpTime,$L164),2)&amp;":"&amp;RIGHT(INDEX(ExpTime,$L164),2)))</f>
        <v/>
      </c>
      <c r="D164" s="22">
        <f>IF($L164="","",IF(INDEX(ExpBank,$L164)="","—",INDEX(ExpBank,$L164)))</f>
        <v/>
      </c>
      <c r="E164" s="23">
        <f>IF($L164="","",IF(INDEX(ExpParty,$L164)="","—",IFERROR(VLOOKUP(INDEX(ExpParty,$L164),AcctTbl,4,0),INDEX(ExpParty,$L164))))</f>
        <v/>
      </c>
      <c r="F164" s="22">
        <f>IF($L164="","",IF(INDEX(ExpType,$L164)="","—",INDEX(ExpType,$L164)))</f>
        <v/>
      </c>
      <c r="G164" s="24">
        <f>IF($L164="","",IF(INDEX(ExpDep,$L164)=0,"",INDEX(ExpDep,$L164)))</f>
        <v/>
      </c>
      <c r="H164" s="24">
        <f>IF($L164="","",IF(INDEX(ExpWit,$L164)=0,"",INDEX(ExpWit,$L164)))</f>
        <v/>
      </c>
      <c r="I164" s="25">
        <f>IF($B164="","",IF($I163="",0,$I163)+IF($H164="",0,$H164)-IF($G164="",0,$G164))</f>
        <v/>
      </c>
      <c r="J164" s="23">
        <f>IF($L164="","",IF(INDEX(ExpNote,$L164)="","—",INDEX(ExpNote,$L164)))</f>
        <v/>
      </c>
      <c r="L164">
        <f>IFERROR(MATCH($C$5&amp;"|"&amp;RIGHT("000000"&amp;148,6),ExpRankKey,0),"")</f>
        <v/>
      </c>
    </row>
    <row r="165">
      <c r="A165" s="16" t="n">
        <v>149</v>
      </c>
      <c r="B165" s="17">
        <f>IF($L165="","",INDEX(ExpNorm,$L165))</f>
        <v/>
      </c>
      <c r="C165" s="17">
        <f>IF($L165="","",IF(INDEX(ExpTime,$L165)="","—",LEFT(INDEX(ExpTime,$L165),2)&amp;":"&amp;RIGHT(INDEX(ExpTime,$L165),2)))</f>
        <v/>
      </c>
      <c r="D165" s="17">
        <f>IF($L165="","",IF(INDEX(ExpBank,$L165)="","—",INDEX(ExpBank,$L165)))</f>
        <v/>
      </c>
      <c r="E165" s="18">
        <f>IF($L165="","",IF(INDEX(ExpParty,$L165)="","—",IFERROR(VLOOKUP(INDEX(ExpParty,$L165),AcctTbl,4,0),INDEX(ExpParty,$L165))))</f>
        <v/>
      </c>
      <c r="F165" s="17">
        <f>IF($L165="","",IF(INDEX(ExpType,$L165)="","—",INDEX(ExpType,$L165)))</f>
        <v/>
      </c>
      <c r="G165" s="19">
        <f>IF($L165="","",IF(INDEX(ExpDep,$L165)=0,"",INDEX(ExpDep,$L165)))</f>
        <v/>
      </c>
      <c r="H165" s="19">
        <f>IF($L165="","",IF(INDEX(ExpWit,$L165)=0,"",INDEX(ExpWit,$L165)))</f>
        <v/>
      </c>
      <c r="I165" s="20">
        <f>IF($B165="","",IF($I164="",0,$I164)+IF($H165="",0,$H165)-IF($G165="",0,$G165))</f>
        <v/>
      </c>
      <c r="J165" s="18">
        <f>IF($L165="","",IF(INDEX(ExpNote,$L165)="","—",INDEX(ExpNote,$L165)))</f>
        <v/>
      </c>
      <c r="L165">
        <f>IFERROR(MATCH($C$5&amp;"|"&amp;RIGHT("000000"&amp;149,6),ExpRankKey,0),"")</f>
        <v/>
      </c>
    </row>
    <row r="166">
      <c r="A166" s="21" t="n">
        <v>150</v>
      </c>
      <c r="B166" s="22">
        <f>IF($L166="","",INDEX(ExpNorm,$L166))</f>
        <v/>
      </c>
      <c r="C166" s="22">
        <f>IF($L166="","",IF(INDEX(ExpTime,$L166)="","—",LEFT(INDEX(ExpTime,$L166),2)&amp;":"&amp;RIGHT(INDEX(ExpTime,$L166),2)))</f>
        <v/>
      </c>
      <c r="D166" s="22">
        <f>IF($L166="","",IF(INDEX(ExpBank,$L166)="","—",INDEX(ExpBank,$L166)))</f>
        <v/>
      </c>
      <c r="E166" s="23">
        <f>IF($L166="","",IF(INDEX(ExpParty,$L166)="","—",IFERROR(VLOOKUP(INDEX(ExpParty,$L166),AcctTbl,4,0),INDEX(ExpParty,$L166))))</f>
        <v/>
      </c>
      <c r="F166" s="22">
        <f>IF($L166="","",IF(INDEX(ExpType,$L166)="","—",INDEX(ExpType,$L166)))</f>
        <v/>
      </c>
      <c r="G166" s="24">
        <f>IF($L166="","",IF(INDEX(ExpDep,$L166)=0,"",INDEX(ExpDep,$L166)))</f>
        <v/>
      </c>
      <c r="H166" s="24">
        <f>IF($L166="","",IF(INDEX(ExpWit,$L166)=0,"",INDEX(ExpWit,$L166)))</f>
        <v/>
      </c>
      <c r="I166" s="25">
        <f>IF($B166="","",IF($I165="",0,$I165)+IF($H166="",0,$H166)-IF($G166="",0,$G166))</f>
        <v/>
      </c>
      <c r="J166" s="23">
        <f>IF($L166="","",IF(INDEX(ExpNote,$L166)="","—",INDEX(ExpNote,$L166)))</f>
        <v/>
      </c>
      <c r="L166">
        <f>IFERROR(MATCH($C$5&amp;"|"&amp;RIGHT("000000"&amp;150,6),ExpRankKey,0),"")</f>
        <v/>
      </c>
    </row>
    <row r="167">
      <c r="A167" s="16" t="n">
        <v>151</v>
      </c>
      <c r="B167" s="17">
        <f>IF($L167="","",INDEX(ExpNorm,$L167))</f>
        <v/>
      </c>
      <c r="C167" s="17">
        <f>IF($L167="","",IF(INDEX(ExpTime,$L167)="","—",LEFT(INDEX(ExpTime,$L167),2)&amp;":"&amp;RIGHT(INDEX(ExpTime,$L167),2)))</f>
        <v/>
      </c>
      <c r="D167" s="17">
        <f>IF($L167="","",IF(INDEX(ExpBank,$L167)="","—",INDEX(ExpBank,$L167)))</f>
        <v/>
      </c>
      <c r="E167" s="18">
        <f>IF($L167="","",IF(INDEX(ExpParty,$L167)="","—",IFERROR(VLOOKUP(INDEX(ExpParty,$L167),AcctTbl,4,0),INDEX(ExpParty,$L167))))</f>
        <v/>
      </c>
      <c r="F167" s="17">
        <f>IF($L167="","",IF(INDEX(ExpType,$L167)="","—",INDEX(ExpType,$L167)))</f>
        <v/>
      </c>
      <c r="G167" s="19">
        <f>IF($L167="","",IF(INDEX(ExpDep,$L167)=0,"",INDEX(ExpDep,$L167)))</f>
        <v/>
      </c>
      <c r="H167" s="19">
        <f>IF($L167="","",IF(INDEX(ExpWit,$L167)=0,"",INDEX(ExpWit,$L167)))</f>
        <v/>
      </c>
      <c r="I167" s="20">
        <f>IF($B167="","",IF($I166="",0,$I166)+IF($H167="",0,$H167)-IF($G167="",0,$G167))</f>
        <v/>
      </c>
      <c r="J167" s="18">
        <f>IF($L167="","",IF(INDEX(ExpNote,$L167)="","—",INDEX(ExpNote,$L167)))</f>
        <v/>
      </c>
      <c r="L167">
        <f>IFERROR(MATCH($C$5&amp;"|"&amp;RIGHT("000000"&amp;151,6),ExpRankKey,0),"")</f>
        <v/>
      </c>
    </row>
    <row r="168">
      <c r="A168" s="21" t="n">
        <v>152</v>
      </c>
      <c r="B168" s="22">
        <f>IF($L168="","",INDEX(ExpNorm,$L168))</f>
        <v/>
      </c>
      <c r="C168" s="22">
        <f>IF($L168="","",IF(INDEX(ExpTime,$L168)="","—",LEFT(INDEX(ExpTime,$L168),2)&amp;":"&amp;RIGHT(INDEX(ExpTime,$L168),2)))</f>
        <v/>
      </c>
      <c r="D168" s="22">
        <f>IF($L168="","",IF(INDEX(ExpBank,$L168)="","—",INDEX(ExpBank,$L168)))</f>
        <v/>
      </c>
      <c r="E168" s="23">
        <f>IF($L168="","",IF(INDEX(ExpParty,$L168)="","—",IFERROR(VLOOKUP(INDEX(ExpParty,$L168),AcctTbl,4,0),INDEX(ExpParty,$L168))))</f>
        <v/>
      </c>
      <c r="F168" s="22">
        <f>IF($L168="","",IF(INDEX(ExpType,$L168)="","—",INDEX(ExpType,$L168)))</f>
        <v/>
      </c>
      <c r="G168" s="24">
        <f>IF($L168="","",IF(INDEX(ExpDep,$L168)=0,"",INDEX(ExpDep,$L168)))</f>
        <v/>
      </c>
      <c r="H168" s="24">
        <f>IF($L168="","",IF(INDEX(ExpWit,$L168)=0,"",INDEX(ExpWit,$L168)))</f>
        <v/>
      </c>
      <c r="I168" s="25">
        <f>IF($B168="","",IF($I167="",0,$I167)+IF($H168="",0,$H168)-IF($G168="",0,$G168))</f>
        <v/>
      </c>
      <c r="J168" s="23">
        <f>IF($L168="","",IF(INDEX(ExpNote,$L168)="","—",INDEX(ExpNote,$L168)))</f>
        <v/>
      </c>
      <c r="L168">
        <f>IFERROR(MATCH($C$5&amp;"|"&amp;RIGHT("000000"&amp;152,6),ExpRankKey,0),"")</f>
        <v/>
      </c>
    </row>
    <row r="169">
      <c r="A169" s="16" t="n">
        <v>153</v>
      </c>
      <c r="B169" s="17">
        <f>IF($L169="","",INDEX(ExpNorm,$L169))</f>
        <v/>
      </c>
      <c r="C169" s="17">
        <f>IF($L169="","",IF(INDEX(ExpTime,$L169)="","—",LEFT(INDEX(ExpTime,$L169),2)&amp;":"&amp;RIGHT(INDEX(ExpTime,$L169),2)))</f>
        <v/>
      </c>
      <c r="D169" s="17">
        <f>IF($L169="","",IF(INDEX(ExpBank,$L169)="","—",INDEX(ExpBank,$L169)))</f>
        <v/>
      </c>
      <c r="E169" s="18">
        <f>IF($L169="","",IF(INDEX(ExpParty,$L169)="","—",IFERROR(VLOOKUP(INDEX(ExpParty,$L169),AcctTbl,4,0),INDEX(ExpParty,$L169))))</f>
        <v/>
      </c>
      <c r="F169" s="17">
        <f>IF($L169="","",IF(INDEX(ExpType,$L169)="","—",INDEX(ExpType,$L169)))</f>
        <v/>
      </c>
      <c r="G169" s="19">
        <f>IF($L169="","",IF(INDEX(ExpDep,$L169)=0,"",INDEX(ExpDep,$L169)))</f>
        <v/>
      </c>
      <c r="H169" s="19">
        <f>IF($L169="","",IF(INDEX(ExpWit,$L169)=0,"",INDEX(ExpWit,$L169)))</f>
        <v/>
      </c>
      <c r="I169" s="20">
        <f>IF($B169="","",IF($I168="",0,$I168)+IF($H169="",0,$H169)-IF($G169="",0,$G169))</f>
        <v/>
      </c>
      <c r="J169" s="18">
        <f>IF($L169="","",IF(INDEX(ExpNote,$L169)="","—",INDEX(ExpNote,$L169)))</f>
        <v/>
      </c>
      <c r="L169">
        <f>IFERROR(MATCH($C$5&amp;"|"&amp;RIGHT("000000"&amp;153,6),ExpRankKey,0),"")</f>
        <v/>
      </c>
    </row>
    <row r="170">
      <c r="A170" s="21" t="n">
        <v>154</v>
      </c>
      <c r="B170" s="22">
        <f>IF($L170="","",INDEX(ExpNorm,$L170))</f>
        <v/>
      </c>
      <c r="C170" s="22">
        <f>IF($L170="","",IF(INDEX(ExpTime,$L170)="","—",LEFT(INDEX(ExpTime,$L170),2)&amp;":"&amp;RIGHT(INDEX(ExpTime,$L170),2)))</f>
        <v/>
      </c>
      <c r="D170" s="22">
        <f>IF($L170="","",IF(INDEX(ExpBank,$L170)="","—",INDEX(ExpBank,$L170)))</f>
        <v/>
      </c>
      <c r="E170" s="23">
        <f>IF($L170="","",IF(INDEX(ExpParty,$L170)="","—",IFERROR(VLOOKUP(INDEX(ExpParty,$L170),AcctTbl,4,0),INDEX(ExpParty,$L170))))</f>
        <v/>
      </c>
      <c r="F170" s="22">
        <f>IF($L170="","",IF(INDEX(ExpType,$L170)="","—",INDEX(ExpType,$L170)))</f>
        <v/>
      </c>
      <c r="G170" s="24">
        <f>IF($L170="","",IF(INDEX(ExpDep,$L170)=0,"",INDEX(ExpDep,$L170)))</f>
        <v/>
      </c>
      <c r="H170" s="24">
        <f>IF($L170="","",IF(INDEX(ExpWit,$L170)=0,"",INDEX(ExpWit,$L170)))</f>
        <v/>
      </c>
      <c r="I170" s="25">
        <f>IF($B170="","",IF($I169="",0,$I169)+IF($H170="",0,$H170)-IF($G170="",0,$G170))</f>
        <v/>
      </c>
      <c r="J170" s="23">
        <f>IF($L170="","",IF(INDEX(ExpNote,$L170)="","—",INDEX(ExpNote,$L170)))</f>
        <v/>
      </c>
      <c r="L170">
        <f>IFERROR(MATCH($C$5&amp;"|"&amp;RIGHT("000000"&amp;154,6),ExpRankKey,0),"")</f>
        <v/>
      </c>
    </row>
    <row r="171">
      <c r="A171" s="16" t="n">
        <v>155</v>
      </c>
      <c r="B171" s="17">
        <f>IF($L171="","",INDEX(ExpNorm,$L171))</f>
        <v/>
      </c>
      <c r="C171" s="17">
        <f>IF($L171="","",IF(INDEX(ExpTime,$L171)="","—",LEFT(INDEX(ExpTime,$L171),2)&amp;":"&amp;RIGHT(INDEX(ExpTime,$L171),2)))</f>
        <v/>
      </c>
      <c r="D171" s="17">
        <f>IF($L171="","",IF(INDEX(ExpBank,$L171)="","—",INDEX(ExpBank,$L171)))</f>
        <v/>
      </c>
      <c r="E171" s="18">
        <f>IF($L171="","",IF(INDEX(ExpParty,$L171)="","—",IFERROR(VLOOKUP(INDEX(ExpParty,$L171),AcctTbl,4,0),INDEX(ExpParty,$L171))))</f>
        <v/>
      </c>
      <c r="F171" s="17">
        <f>IF($L171="","",IF(INDEX(ExpType,$L171)="","—",INDEX(ExpType,$L171)))</f>
        <v/>
      </c>
      <c r="G171" s="19">
        <f>IF($L171="","",IF(INDEX(ExpDep,$L171)=0,"",INDEX(ExpDep,$L171)))</f>
        <v/>
      </c>
      <c r="H171" s="19">
        <f>IF($L171="","",IF(INDEX(ExpWit,$L171)=0,"",INDEX(ExpWit,$L171)))</f>
        <v/>
      </c>
      <c r="I171" s="20">
        <f>IF($B171="","",IF($I170="",0,$I170)+IF($H171="",0,$H171)-IF($G171="",0,$G171))</f>
        <v/>
      </c>
      <c r="J171" s="18">
        <f>IF($L171="","",IF(INDEX(ExpNote,$L171)="","—",INDEX(ExpNote,$L171)))</f>
        <v/>
      </c>
      <c r="L171">
        <f>IFERROR(MATCH($C$5&amp;"|"&amp;RIGHT("000000"&amp;155,6),ExpRankKey,0),"")</f>
        <v/>
      </c>
    </row>
    <row r="172">
      <c r="A172" s="21" t="n">
        <v>156</v>
      </c>
      <c r="B172" s="22">
        <f>IF($L172="","",INDEX(ExpNorm,$L172))</f>
        <v/>
      </c>
      <c r="C172" s="22">
        <f>IF($L172="","",IF(INDEX(ExpTime,$L172)="","—",LEFT(INDEX(ExpTime,$L172),2)&amp;":"&amp;RIGHT(INDEX(ExpTime,$L172),2)))</f>
        <v/>
      </c>
      <c r="D172" s="22">
        <f>IF($L172="","",IF(INDEX(ExpBank,$L172)="","—",INDEX(ExpBank,$L172)))</f>
        <v/>
      </c>
      <c r="E172" s="23">
        <f>IF($L172="","",IF(INDEX(ExpParty,$L172)="","—",IFERROR(VLOOKUP(INDEX(ExpParty,$L172),AcctTbl,4,0),INDEX(ExpParty,$L172))))</f>
        <v/>
      </c>
      <c r="F172" s="22">
        <f>IF($L172="","",IF(INDEX(ExpType,$L172)="","—",INDEX(ExpType,$L172)))</f>
        <v/>
      </c>
      <c r="G172" s="24">
        <f>IF($L172="","",IF(INDEX(ExpDep,$L172)=0,"",INDEX(ExpDep,$L172)))</f>
        <v/>
      </c>
      <c r="H172" s="24">
        <f>IF($L172="","",IF(INDEX(ExpWit,$L172)=0,"",INDEX(ExpWit,$L172)))</f>
        <v/>
      </c>
      <c r="I172" s="25">
        <f>IF($B172="","",IF($I171="",0,$I171)+IF($H172="",0,$H172)-IF($G172="",0,$G172))</f>
        <v/>
      </c>
      <c r="J172" s="23">
        <f>IF($L172="","",IF(INDEX(ExpNote,$L172)="","—",INDEX(ExpNote,$L172)))</f>
        <v/>
      </c>
      <c r="L172">
        <f>IFERROR(MATCH($C$5&amp;"|"&amp;RIGHT("000000"&amp;156,6),ExpRankKey,0),"")</f>
        <v/>
      </c>
    </row>
    <row r="173">
      <c r="A173" s="16" t="n">
        <v>157</v>
      </c>
      <c r="B173" s="17">
        <f>IF($L173="","",INDEX(ExpNorm,$L173))</f>
        <v/>
      </c>
      <c r="C173" s="17">
        <f>IF($L173="","",IF(INDEX(ExpTime,$L173)="","—",LEFT(INDEX(ExpTime,$L173),2)&amp;":"&amp;RIGHT(INDEX(ExpTime,$L173),2)))</f>
        <v/>
      </c>
      <c r="D173" s="17">
        <f>IF($L173="","",IF(INDEX(ExpBank,$L173)="","—",INDEX(ExpBank,$L173)))</f>
        <v/>
      </c>
      <c r="E173" s="18">
        <f>IF($L173="","",IF(INDEX(ExpParty,$L173)="","—",IFERROR(VLOOKUP(INDEX(ExpParty,$L173),AcctTbl,4,0),INDEX(ExpParty,$L173))))</f>
        <v/>
      </c>
      <c r="F173" s="17">
        <f>IF($L173="","",IF(INDEX(ExpType,$L173)="","—",INDEX(ExpType,$L173)))</f>
        <v/>
      </c>
      <c r="G173" s="19">
        <f>IF($L173="","",IF(INDEX(ExpDep,$L173)=0,"",INDEX(ExpDep,$L173)))</f>
        <v/>
      </c>
      <c r="H173" s="19">
        <f>IF($L173="","",IF(INDEX(ExpWit,$L173)=0,"",INDEX(ExpWit,$L173)))</f>
        <v/>
      </c>
      <c r="I173" s="20">
        <f>IF($B173="","",IF($I172="",0,$I172)+IF($H173="",0,$H173)-IF($G173="",0,$G173))</f>
        <v/>
      </c>
      <c r="J173" s="18">
        <f>IF($L173="","",IF(INDEX(ExpNote,$L173)="","—",INDEX(ExpNote,$L173)))</f>
        <v/>
      </c>
      <c r="L173">
        <f>IFERROR(MATCH($C$5&amp;"|"&amp;RIGHT("000000"&amp;157,6),ExpRankKey,0),"")</f>
        <v/>
      </c>
    </row>
    <row r="174">
      <c r="A174" s="21" t="n">
        <v>158</v>
      </c>
      <c r="B174" s="22">
        <f>IF($L174="","",INDEX(ExpNorm,$L174))</f>
        <v/>
      </c>
      <c r="C174" s="22">
        <f>IF($L174="","",IF(INDEX(ExpTime,$L174)="","—",LEFT(INDEX(ExpTime,$L174),2)&amp;":"&amp;RIGHT(INDEX(ExpTime,$L174),2)))</f>
        <v/>
      </c>
      <c r="D174" s="22">
        <f>IF($L174="","",IF(INDEX(ExpBank,$L174)="","—",INDEX(ExpBank,$L174)))</f>
        <v/>
      </c>
      <c r="E174" s="23">
        <f>IF($L174="","",IF(INDEX(ExpParty,$L174)="","—",IFERROR(VLOOKUP(INDEX(ExpParty,$L174),AcctTbl,4,0),INDEX(ExpParty,$L174))))</f>
        <v/>
      </c>
      <c r="F174" s="22">
        <f>IF($L174="","",IF(INDEX(ExpType,$L174)="","—",INDEX(ExpType,$L174)))</f>
        <v/>
      </c>
      <c r="G174" s="24">
        <f>IF($L174="","",IF(INDEX(ExpDep,$L174)=0,"",INDEX(ExpDep,$L174)))</f>
        <v/>
      </c>
      <c r="H174" s="24">
        <f>IF($L174="","",IF(INDEX(ExpWit,$L174)=0,"",INDEX(ExpWit,$L174)))</f>
        <v/>
      </c>
      <c r="I174" s="25">
        <f>IF($B174="","",IF($I173="",0,$I173)+IF($H174="",0,$H174)-IF($G174="",0,$G174))</f>
        <v/>
      </c>
      <c r="J174" s="23">
        <f>IF($L174="","",IF(INDEX(ExpNote,$L174)="","—",INDEX(ExpNote,$L174)))</f>
        <v/>
      </c>
      <c r="L174">
        <f>IFERROR(MATCH($C$5&amp;"|"&amp;RIGHT("000000"&amp;158,6),ExpRankKey,0),"")</f>
        <v/>
      </c>
    </row>
    <row r="175">
      <c r="A175" s="16" t="n">
        <v>159</v>
      </c>
      <c r="B175" s="17">
        <f>IF($L175="","",INDEX(ExpNorm,$L175))</f>
        <v/>
      </c>
      <c r="C175" s="17">
        <f>IF($L175="","",IF(INDEX(ExpTime,$L175)="","—",LEFT(INDEX(ExpTime,$L175),2)&amp;":"&amp;RIGHT(INDEX(ExpTime,$L175),2)))</f>
        <v/>
      </c>
      <c r="D175" s="17">
        <f>IF($L175="","",IF(INDEX(ExpBank,$L175)="","—",INDEX(ExpBank,$L175)))</f>
        <v/>
      </c>
      <c r="E175" s="18">
        <f>IF($L175="","",IF(INDEX(ExpParty,$L175)="","—",IFERROR(VLOOKUP(INDEX(ExpParty,$L175),AcctTbl,4,0),INDEX(ExpParty,$L175))))</f>
        <v/>
      </c>
      <c r="F175" s="17">
        <f>IF($L175="","",IF(INDEX(ExpType,$L175)="","—",INDEX(ExpType,$L175)))</f>
        <v/>
      </c>
      <c r="G175" s="19">
        <f>IF($L175="","",IF(INDEX(ExpDep,$L175)=0,"",INDEX(ExpDep,$L175)))</f>
        <v/>
      </c>
      <c r="H175" s="19">
        <f>IF($L175="","",IF(INDEX(ExpWit,$L175)=0,"",INDEX(ExpWit,$L175)))</f>
        <v/>
      </c>
      <c r="I175" s="20">
        <f>IF($B175="","",IF($I174="",0,$I174)+IF($H175="",0,$H175)-IF($G175="",0,$G175))</f>
        <v/>
      </c>
      <c r="J175" s="18">
        <f>IF($L175="","",IF(INDEX(ExpNote,$L175)="","—",INDEX(ExpNote,$L175)))</f>
        <v/>
      </c>
      <c r="L175">
        <f>IFERROR(MATCH($C$5&amp;"|"&amp;RIGHT("000000"&amp;159,6),ExpRankKey,0),"")</f>
        <v/>
      </c>
    </row>
    <row r="176">
      <c r="A176" s="21" t="n">
        <v>160</v>
      </c>
      <c r="B176" s="22">
        <f>IF($L176="","",INDEX(ExpNorm,$L176))</f>
        <v/>
      </c>
      <c r="C176" s="22">
        <f>IF($L176="","",IF(INDEX(ExpTime,$L176)="","—",LEFT(INDEX(ExpTime,$L176),2)&amp;":"&amp;RIGHT(INDEX(ExpTime,$L176),2)))</f>
        <v/>
      </c>
      <c r="D176" s="22">
        <f>IF($L176="","",IF(INDEX(ExpBank,$L176)="","—",INDEX(ExpBank,$L176)))</f>
        <v/>
      </c>
      <c r="E176" s="23">
        <f>IF($L176="","",IF(INDEX(ExpParty,$L176)="","—",IFERROR(VLOOKUP(INDEX(ExpParty,$L176),AcctTbl,4,0),INDEX(ExpParty,$L176))))</f>
        <v/>
      </c>
      <c r="F176" s="22">
        <f>IF($L176="","",IF(INDEX(ExpType,$L176)="","—",INDEX(ExpType,$L176)))</f>
        <v/>
      </c>
      <c r="G176" s="24">
        <f>IF($L176="","",IF(INDEX(ExpDep,$L176)=0,"",INDEX(ExpDep,$L176)))</f>
        <v/>
      </c>
      <c r="H176" s="24">
        <f>IF($L176="","",IF(INDEX(ExpWit,$L176)=0,"",INDEX(ExpWit,$L176)))</f>
        <v/>
      </c>
      <c r="I176" s="25">
        <f>IF($B176="","",IF($I175="",0,$I175)+IF($H176="",0,$H176)-IF($G176="",0,$G176))</f>
        <v/>
      </c>
      <c r="J176" s="23">
        <f>IF($L176="","",IF(INDEX(ExpNote,$L176)="","—",INDEX(ExpNote,$L176)))</f>
        <v/>
      </c>
      <c r="L176">
        <f>IFERROR(MATCH($C$5&amp;"|"&amp;RIGHT("000000"&amp;160,6),ExpRankKey,0),"")</f>
        <v/>
      </c>
    </row>
    <row r="177">
      <c r="A177" s="16" t="n">
        <v>161</v>
      </c>
      <c r="B177" s="17">
        <f>IF($L177="","",INDEX(ExpNorm,$L177))</f>
        <v/>
      </c>
      <c r="C177" s="17">
        <f>IF($L177="","",IF(INDEX(ExpTime,$L177)="","—",LEFT(INDEX(ExpTime,$L177),2)&amp;":"&amp;RIGHT(INDEX(ExpTime,$L177),2)))</f>
        <v/>
      </c>
      <c r="D177" s="17">
        <f>IF($L177="","",IF(INDEX(ExpBank,$L177)="","—",INDEX(ExpBank,$L177)))</f>
        <v/>
      </c>
      <c r="E177" s="18">
        <f>IF($L177="","",IF(INDEX(ExpParty,$L177)="","—",IFERROR(VLOOKUP(INDEX(ExpParty,$L177),AcctTbl,4,0),INDEX(ExpParty,$L177))))</f>
        <v/>
      </c>
      <c r="F177" s="17">
        <f>IF($L177="","",IF(INDEX(ExpType,$L177)="","—",INDEX(ExpType,$L177)))</f>
        <v/>
      </c>
      <c r="G177" s="19">
        <f>IF($L177="","",IF(INDEX(ExpDep,$L177)=0,"",INDEX(ExpDep,$L177)))</f>
        <v/>
      </c>
      <c r="H177" s="19">
        <f>IF($L177="","",IF(INDEX(ExpWit,$L177)=0,"",INDEX(ExpWit,$L177)))</f>
        <v/>
      </c>
      <c r="I177" s="20">
        <f>IF($B177="","",IF($I176="",0,$I176)+IF($H177="",0,$H177)-IF($G177="",0,$G177))</f>
        <v/>
      </c>
      <c r="J177" s="18">
        <f>IF($L177="","",IF(INDEX(ExpNote,$L177)="","—",INDEX(ExpNote,$L177)))</f>
        <v/>
      </c>
      <c r="L177">
        <f>IFERROR(MATCH($C$5&amp;"|"&amp;RIGHT("000000"&amp;161,6),ExpRankKey,0),"")</f>
        <v/>
      </c>
    </row>
    <row r="178">
      <c r="A178" s="21" t="n">
        <v>162</v>
      </c>
      <c r="B178" s="22">
        <f>IF($L178="","",INDEX(ExpNorm,$L178))</f>
        <v/>
      </c>
      <c r="C178" s="22">
        <f>IF($L178="","",IF(INDEX(ExpTime,$L178)="","—",LEFT(INDEX(ExpTime,$L178),2)&amp;":"&amp;RIGHT(INDEX(ExpTime,$L178),2)))</f>
        <v/>
      </c>
      <c r="D178" s="22">
        <f>IF($L178="","",IF(INDEX(ExpBank,$L178)="","—",INDEX(ExpBank,$L178)))</f>
        <v/>
      </c>
      <c r="E178" s="23">
        <f>IF($L178="","",IF(INDEX(ExpParty,$L178)="","—",IFERROR(VLOOKUP(INDEX(ExpParty,$L178),AcctTbl,4,0),INDEX(ExpParty,$L178))))</f>
        <v/>
      </c>
      <c r="F178" s="22">
        <f>IF($L178="","",IF(INDEX(ExpType,$L178)="","—",INDEX(ExpType,$L178)))</f>
        <v/>
      </c>
      <c r="G178" s="24">
        <f>IF($L178="","",IF(INDEX(ExpDep,$L178)=0,"",INDEX(ExpDep,$L178)))</f>
        <v/>
      </c>
      <c r="H178" s="24">
        <f>IF($L178="","",IF(INDEX(ExpWit,$L178)=0,"",INDEX(ExpWit,$L178)))</f>
        <v/>
      </c>
      <c r="I178" s="25">
        <f>IF($B178="","",IF($I177="",0,$I177)+IF($H178="",0,$H178)-IF($G178="",0,$G178))</f>
        <v/>
      </c>
      <c r="J178" s="23">
        <f>IF($L178="","",IF(INDEX(ExpNote,$L178)="","—",INDEX(ExpNote,$L178)))</f>
        <v/>
      </c>
      <c r="L178">
        <f>IFERROR(MATCH($C$5&amp;"|"&amp;RIGHT("000000"&amp;162,6),ExpRankKey,0),"")</f>
        <v/>
      </c>
    </row>
    <row r="179">
      <c r="A179" s="16" t="n">
        <v>163</v>
      </c>
      <c r="B179" s="17">
        <f>IF($L179="","",INDEX(ExpNorm,$L179))</f>
        <v/>
      </c>
      <c r="C179" s="17">
        <f>IF($L179="","",IF(INDEX(ExpTime,$L179)="","—",LEFT(INDEX(ExpTime,$L179),2)&amp;":"&amp;RIGHT(INDEX(ExpTime,$L179),2)))</f>
        <v/>
      </c>
      <c r="D179" s="17">
        <f>IF($L179="","",IF(INDEX(ExpBank,$L179)="","—",INDEX(ExpBank,$L179)))</f>
        <v/>
      </c>
      <c r="E179" s="18">
        <f>IF($L179="","",IF(INDEX(ExpParty,$L179)="","—",IFERROR(VLOOKUP(INDEX(ExpParty,$L179),AcctTbl,4,0),INDEX(ExpParty,$L179))))</f>
        <v/>
      </c>
      <c r="F179" s="17">
        <f>IF($L179="","",IF(INDEX(ExpType,$L179)="","—",INDEX(ExpType,$L179)))</f>
        <v/>
      </c>
      <c r="G179" s="19">
        <f>IF($L179="","",IF(INDEX(ExpDep,$L179)=0,"",INDEX(ExpDep,$L179)))</f>
        <v/>
      </c>
      <c r="H179" s="19">
        <f>IF($L179="","",IF(INDEX(ExpWit,$L179)=0,"",INDEX(ExpWit,$L179)))</f>
        <v/>
      </c>
      <c r="I179" s="20">
        <f>IF($B179="","",IF($I178="",0,$I178)+IF($H179="",0,$H179)-IF($G179="",0,$G179))</f>
        <v/>
      </c>
      <c r="J179" s="18">
        <f>IF($L179="","",IF(INDEX(ExpNote,$L179)="","—",INDEX(ExpNote,$L179)))</f>
        <v/>
      </c>
      <c r="L179">
        <f>IFERROR(MATCH($C$5&amp;"|"&amp;RIGHT("000000"&amp;163,6),ExpRankKey,0),"")</f>
        <v/>
      </c>
    </row>
    <row r="180">
      <c r="A180" s="21" t="n">
        <v>164</v>
      </c>
      <c r="B180" s="22">
        <f>IF($L180="","",INDEX(ExpNorm,$L180))</f>
        <v/>
      </c>
      <c r="C180" s="22">
        <f>IF($L180="","",IF(INDEX(ExpTime,$L180)="","—",LEFT(INDEX(ExpTime,$L180),2)&amp;":"&amp;RIGHT(INDEX(ExpTime,$L180),2)))</f>
        <v/>
      </c>
      <c r="D180" s="22">
        <f>IF($L180="","",IF(INDEX(ExpBank,$L180)="","—",INDEX(ExpBank,$L180)))</f>
        <v/>
      </c>
      <c r="E180" s="23">
        <f>IF($L180="","",IF(INDEX(ExpParty,$L180)="","—",IFERROR(VLOOKUP(INDEX(ExpParty,$L180),AcctTbl,4,0),INDEX(ExpParty,$L180))))</f>
        <v/>
      </c>
      <c r="F180" s="22">
        <f>IF($L180="","",IF(INDEX(ExpType,$L180)="","—",INDEX(ExpType,$L180)))</f>
        <v/>
      </c>
      <c r="G180" s="24">
        <f>IF($L180="","",IF(INDEX(ExpDep,$L180)=0,"",INDEX(ExpDep,$L180)))</f>
        <v/>
      </c>
      <c r="H180" s="24">
        <f>IF($L180="","",IF(INDEX(ExpWit,$L180)=0,"",INDEX(ExpWit,$L180)))</f>
        <v/>
      </c>
      <c r="I180" s="25">
        <f>IF($B180="","",IF($I179="",0,$I179)+IF($H180="",0,$H180)-IF($G180="",0,$G180))</f>
        <v/>
      </c>
      <c r="J180" s="23">
        <f>IF($L180="","",IF(INDEX(ExpNote,$L180)="","—",INDEX(ExpNote,$L180)))</f>
        <v/>
      </c>
      <c r="L180">
        <f>IFERROR(MATCH($C$5&amp;"|"&amp;RIGHT("000000"&amp;164,6),ExpRankKey,0),"")</f>
        <v/>
      </c>
    </row>
    <row r="181">
      <c r="A181" s="16" t="n">
        <v>165</v>
      </c>
      <c r="B181" s="17">
        <f>IF($L181="","",INDEX(ExpNorm,$L181))</f>
        <v/>
      </c>
      <c r="C181" s="17">
        <f>IF($L181="","",IF(INDEX(ExpTime,$L181)="","—",LEFT(INDEX(ExpTime,$L181),2)&amp;":"&amp;RIGHT(INDEX(ExpTime,$L181),2)))</f>
        <v/>
      </c>
      <c r="D181" s="17">
        <f>IF($L181="","",IF(INDEX(ExpBank,$L181)="","—",INDEX(ExpBank,$L181)))</f>
        <v/>
      </c>
      <c r="E181" s="18">
        <f>IF($L181="","",IF(INDEX(ExpParty,$L181)="","—",IFERROR(VLOOKUP(INDEX(ExpParty,$L181),AcctTbl,4,0),INDEX(ExpParty,$L181))))</f>
        <v/>
      </c>
      <c r="F181" s="17">
        <f>IF($L181="","",IF(INDEX(ExpType,$L181)="","—",INDEX(ExpType,$L181)))</f>
        <v/>
      </c>
      <c r="G181" s="19">
        <f>IF($L181="","",IF(INDEX(ExpDep,$L181)=0,"",INDEX(ExpDep,$L181)))</f>
        <v/>
      </c>
      <c r="H181" s="19">
        <f>IF($L181="","",IF(INDEX(ExpWit,$L181)=0,"",INDEX(ExpWit,$L181)))</f>
        <v/>
      </c>
      <c r="I181" s="20">
        <f>IF($B181="","",IF($I180="",0,$I180)+IF($H181="",0,$H181)-IF($G181="",0,$G181))</f>
        <v/>
      </c>
      <c r="J181" s="18">
        <f>IF($L181="","",IF(INDEX(ExpNote,$L181)="","—",INDEX(ExpNote,$L181)))</f>
        <v/>
      </c>
      <c r="L181">
        <f>IFERROR(MATCH($C$5&amp;"|"&amp;RIGHT("000000"&amp;165,6),ExpRankKey,0),"")</f>
        <v/>
      </c>
    </row>
    <row r="182">
      <c r="A182" s="21" t="n">
        <v>166</v>
      </c>
      <c r="B182" s="22">
        <f>IF($L182="","",INDEX(ExpNorm,$L182))</f>
        <v/>
      </c>
      <c r="C182" s="22">
        <f>IF($L182="","",IF(INDEX(ExpTime,$L182)="","—",LEFT(INDEX(ExpTime,$L182),2)&amp;":"&amp;RIGHT(INDEX(ExpTime,$L182),2)))</f>
        <v/>
      </c>
      <c r="D182" s="22">
        <f>IF($L182="","",IF(INDEX(ExpBank,$L182)="","—",INDEX(ExpBank,$L182)))</f>
        <v/>
      </c>
      <c r="E182" s="23">
        <f>IF($L182="","",IF(INDEX(ExpParty,$L182)="","—",IFERROR(VLOOKUP(INDEX(ExpParty,$L182),AcctTbl,4,0),INDEX(ExpParty,$L182))))</f>
        <v/>
      </c>
      <c r="F182" s="22">
        <f>IF($L182="","",IF(INDEX(ExpType,$L182)="","—",INDEX(ExpType,$L182)))</f>
        <v/>
      </c>
      <c r="G182" s="24">
        <f>IF($L182="","",IF(INDEX(ExpDep,$L182)=0,"",INDEX(ExpDep,$L182)))</f>
        <v/>
      </c>
      <c r="H182" s="24">
        <f>IF($L182="","",IF(INDEX(ExpWit,$L182)=0,"",INDEX(ExpWit,$L182)))</f>
        <v/>
      </c>
      <c r="I182" s="25">
        <f>IF($B182="","",IF($I181="",0,$I181)+IF($H182="",0,$H182)-IF($G182="",0,$G182))</f>
        <v/>
      </c>
      <c r="J182" s="23">
        <f>IF($L182="","",IF(INDEX(ExpNote,$L182)="","—",INDEX(ExpNote,$L182)))</f>
        <v/>
      </c>
      <c r="L182">
        <f>IFERROR(MATCH($C$5&amp;"|"&amp;RIGHT("000000"&amp;166,6),ExpRankKey,0),"")</f>
        <v/>
      </c>
    </row>
    <row r="183">
      <c r="A183" s="16" t="n">
        <v>167</v>
      </c>
      <c r="B183" s="17">
        <f>IF($L183="","",INDEX(ExpNorm,$L183))</f>
        <v/>
      </c>
      <c r="C183" s="17">
        <f>IF($L183="","",IF(INDEX(ExpTime,$L183)="","—",LEFT(INDEX(ExpTime,$L183),2)&amp;":"&amp;RIGHT(INDEX(ExpTime,$L183),2)))</f>
        <v/>
      </c>
      <c r="D183" s="17">
        <f>IF($L183="","",IF(INDEX(ExpBank,$L183)="","—",INDEX(ExpBank,$L183)))</f>
        <v/>
      </c>
      <c r="E183" s="18">
        <f>IF($L183="","",IF(INDEX(ExpParty,$L183)="","—",IFERROR(VLOOKUP(INDEX(ExpParty,$L183),AcctTbl,4,0),INDEX(ExpParty,$L183))))</f>
        <v/>
      </c>
      <c r="F183" s="17">
        <f>IF($L183="","",IF(INDEX(ExpType,$L183)="","—",INDEX(ExpType,$L183)))</f>
        <v/>
      </c>
      <c r="G183" s="19">
        <f>IF($L183="","",IF(INDEX(ExpDep,$L183)=0,"",INDEX(ExpDep,$L183)))</f>
        <v/>
      </c>
      <c r="H183" s="19">
        <f>IF($L183="","",IF(INDEX(ExpWit,$L183)=0,"",INDEX(ExpWit,$L183)))</f>
        <v/>
      </c>
      <c r="I183" s="20">
        <f>IF($B183="","",IF($I182="",0,$I182)+IF($H183="",0,$H183)-IF($G183="",0,$G183))</f>
        <v/>
      </c>
      <c r="J183" s="18">
        <f>IF($L183="","",IF(INDEX(ExpNote,$L183)="","—",INDEX(ExpNote,$L183)))</f>
        <v/>
      </c>
      <c r="L183">
        <f>IFERROR(MATCH($C$5&amp;"|"&amp;RIGHT("000000"&amp;167,6),ExpRankKey,0),"")</f>
        <v/>
      </c>
    </row>
    <row r="184">
      <c r="A184" s="21" t="n">
        <v>168</v>
      </c>
      <c r="B184" s="22">
        <f>IF($L184="","",INDEX(ExpNorm,$L184))</f>
        <v/>
      </c>
      <c r="C184" s="22">
        <f>IF($L184="","",IF(INDEX(ExpTime,$L184)="","—",LEFT(INDEX(ExpTime,$L184),2)&amp;":"&amp;RIGHT(INDEX(ExpTime,$L184),2)))</f>
        <v/>
      </c>
      <c r="D184" s="22">
        <f>IF($L184="","",IF(INDEX(ExpBank,$L184)="","—",INDEX(ExpBank,$L184)))</f>
        <v/>
      </c>
      <c r="E184" s="23">
        <f>IF($L184="","",IF(INDEX(ExpParty,$L184)="","—",IFERROR(VLOOKUP(INDEX(ExpParty,$L184),AcctTbl,4,0),INDEX(ExpParty,$L184))))</f>
        <v/>
      </c>
      <c r="F184" s="22">
        <f>IF($L184="","",IF(INDEX(ExpType,$L184)="","—",INDEX(ExpType,$L184)))</f>
        <v/>
      </c>
      <c r="G184" s="24">
        <f>IF($L184="","",IF(INDEX(ExpDep,$L184)=0,"",INDEX(ExpDep,$L184)))</f>
        <v/>
      </c>
      <c r="H184" s="24">
        <f>IF($L184="","",IF(INDEX(ExpWit,$L184)=0,"",INDEX(ExpWit,$L184)))</f>
        <v/>
      </c>
      <c r="I184" s="25">
        <f>IF($B184="","",IF($I183="",0,$I183)+IF($H184="",0,$H184)-IF($G184="",0,$G184))</f>
        <v/>
      </c>
      <c r="J184" s="23">
        <f>IF($L184="","",IF(INDEX(ExpNote,$L184)="","—",INDEX(ExpNote,$L184)))</f>
        <v/>
      </c>
      <c r="L184">
        <f>IFERROR(MATCH($C$5&amp;"|"&amp;RIGHT("000000"&amp;168,6),ExpRankKey,0),"")</f>
        <v/>
      </c>
    </row>
    <row r="185">
      <c r="A185" s="16" t="n">
        <v>169</v>
      </c>
      <c r="B185" s="17">
        <f>IF($L185="","",INDEX(ExpNorm,$L185))</f>
        <v/>
      </c>
      <c r="C185" s="17">
        <f>IF($L185="","",IF(INDEX(ExpTime,$L185)="","—",LEFT(INDEX(ExpTime,$L185),2)&amp;":"&amp;RIGHT(INDEX(ExpTime,$L185),2)))</f>
        <v/>
      </c>
      <c r="D185" s="17">
        <f>IF($L185="","",IF(INDEX(ExpBank,$L185)="","—",INDEX(ExpBank,$L185)))</f>
        <v/>
      </c>
      <c r="E185" s="18">
        <f>IF($L185="","",IF(INDEX(ExpParty,$L185)="","—",IFERROR(VLOOKUP(INDEX(ExpParty,$L185),AcctTbl,4,0),INDEX(ExpParty,$L185))))</f>
        <v/>
      </c>
      <c r="F185" s="17">
        <f>IF($L185="","",IF(INDEX(ExpType,$L185)="","—",INDEX(ExpType,$L185)))</f>
        <v/>
      </c>
      <c r="G185" s="19">
        <f>IF($L185="","",IF(INDEX(ExpDep,$L185)=0,"",INDEX(ExpDep,$L185)))</f>
        <v/>
      </c>
      <c r="H185" s="19">
        <f>IF($L185="","",IF(INDEX(ExpWit,$L185)=0,"",INDEX(ExpWit,$L185)))</f>
        <v/>
      </c>
      <c r="I185" s="20">
        <f>IF($B185="","",IF($I184="",0,$I184)+IF($H185="",0,$H185)-IF($G185="",0,$G185))</f>
        <v/>
      </c>
      <c r="J185" s="18">
        <f>IF($L185="","",IF(INDEX(ExpNote,$L185)="","—",INDEX(ExpNote,$L185)))</f>
        <v/>
      </c>
      <c r="L185">
        <f>IFERROR(MATCH($C$5&amp;"|"&amp;RIGHT("000000"&amp;169,6),ExpRankKey,0),"")</f>
        <v/>
      </c>
    </row>
    <row r="186">
      <c r="A186" s="21" t="n">
        <v>170</v>
      </c>
      <c r="B186" s="22">
        <f>IF($L186="","",INDEX(ExpNorm,$L186))</f>
        <v/>
      </c>
      <c r="C186" s="22">
        <f>IF($L186="","",IF(INDEX(ExpTime,$L186)="","—",LEFT(INDEX(ExpTime,$L186),2)&amp;":"&amp;RIGHT(INDEX(ExpTime,$L186),2)))</f>
        <v/>
      </c>
      <c r="D186" s="22">
        <f>IF($L186="","",IF(INDEX(ExpBank,$L186)="","—",INDEX(ExpBank,$L186)))</f>
        <v/>
      </c>
      <c r="E186" s="23">
        <f>IF($L186="","",IF(INDEX(ExpParty,$L186)="","—",IFERROR(VLOOKUP(INDEX(ExpParty,$L186),AcctTbl,4,0),INDEX(ExpParty,$L186))))</f>
        <v/>
      </c>
      <c r="F186" s="22">
        <f>IF($L186="","",IF(INDEX(ExpType,$L186)="","—",INDEX(ExpType,$L186)))</f>
        <v/>
      </c>
      <c r="G186" s="24">
        <f>IF($L186="","",IF(INDEX(ExpDep,$L186)=0,"",INDEX(ExpDep,$L186)))</f>
        <v/>
      </c>
      <c r="H186" s="24">
        <f>IF($L186="","",IF(INDEX(ExpWit,$L186)=0,"",INDEX(ExpWit,$L186)))</f>
        <v/>
      </c>
      <c r="I186" s="25">
        <f>IF($B186="","",IF($I185="",0,$I185)+IF($H186="",0,$H186)-IF($G186="",0,$G186))</f>
        <v/>
      </c>
      <c r="J186" s="23">
        <f>IF($L186="","",IF(INDEX(ExpNote,$L186)="","—",INDEX(ExpNote,$L186)))</f>
        <v/>
      </c>
      <c r="L186">
        <f>IFERROR(MATCH($C$5&amp;"|"&amp;RIGHT("000000"&amp;170,6),ExpRankKey,0),"")</f>
        <v/>
      </c>
    </row>
    <row r="187">
      <c r="A187" s="16" t="n">
        <v>171</v>
      </c>
      <c r="B187" s="17">
        <f>IF($L187="","",INDEX(ExpNorm,$L187))</f>
        <v/>
      </c>
      <c r="C187" s="17">
        <f>IF($L187="","",IF(INDEX(ExpTime,$L187)="","—",LEFT(INDEX(ExpTime,$L187),2)&amp;":"&amp;RIGHT(INDEX(ExpTime,$L187),2)))</f>
        <v/>
      </c>
      <c r="D187" s="17">
        <f>IF($L187="","",IF(INDEX(ExpBank,$L187)="","—",INDEX(ExpBank,$L187)))</f>
        <v/>
      </c>
      <c r="E187" s="18">
        <f>IF($L187="","",IF(INDEX(ExpParty,$L187)="","—",IFERROR(VLOOKUP(INDEX(ExpParty,$L187),AcctTbl,4,0),INDEX(ExpParty,$L187))))</f>
        <v/>
      </c>
      <c r="F187" s="17">
        <f>IF($L187="","",IF(INDEX(ExpType,$L187)="","—",INDEX(ExpType,$L187)))</f>
        <v/>
      </c>
      <c r="G187" s="19">
        <f>IF($L187="","",IF(INDEX(ExpDep,$L187)=0,"",INDEX(ExpDep,$L187)))</f>
        <v/>
      </c>
      <c r="H187" s="19">
        <f>IF($L187="","",IF(INDEX(ExpWit,$L187)=0,"",INDEX(ExpWit,$L187)))</f>
        <v/>
      </c>
      <c r="I187" s="20">
        <f>IF($B187="","",IF($I186="",0,$I186)+IF($H187="",0,$H187)-IF($G187="",0,$G187))</f>
        <v/>
      </c>
      <c r="J187" s="18">
        <f>IF($L187="","",IF(INDEX(ExpNote,$L187)="","—",INDEX(ExpNote,$L187)))</f>
        <v/>
      </c>
      <c r="L187">
        <f>IFERROR(MATCH($C$5&amp;"|"&amp;RIGHT("000000"&amp;171,6),ExpRankKey,0),"")</f>
        <v/>
      </c>
    </row>
    <row r="188">
      <c r="A188" s="21" t="n">
        <v>172</v>
      </c>
      <c r="B188" s="22">
        <f>IF($L188="","",INDEX(ExpNorm,$L188))</f>
        <v/>
      </c>
      <c r="C188" s="22">
        <f>IF($L188="","",IF(INDEX(ExpTime,$L188)="","—",LEFT(INDEX(ExpTime,$L188),2)&amp;":"&amp;RIGHT(INDEX(ExpTime,$L188),2)))</f>
        <v/>
      </c>
      <c r="D188" s="22">
        <f>IF($L188="","",IF(INDEX(ExpBank,$L188)="","—",INDEX(ExpBank,$L188)))</f>
        <v/>
      </c>
      <c r="E188" s="23">
        <f>IF($L188="","",IF(INDEX(ExpParty,$L188)="","—",IFERROR(VLOOKUP(INDEX(ExpParty,$L188),AcctTbl,4,0),INDEX(ExpParty,$L188))))</f>
        <v/>
      </c>
      <c r="F188" s="22">
        <f>IF($L188="","",IF(INDEX(ExpType,$L188)="","—",INDEX(ExpType,$L188)))</f>
        <v/>
      </c>
      <c r="G188" s="24">
        <f>IF($L188="","",IF(INDEX(ExpDep,$L188)=0,"",INDEX(ExpDep,$L188)))</f>
        <v/>
      </c>
      <c r="H188" s="24">
        <f>IF($L188="","",IF(INDEX(ExpWit,$L188)=0,"",INDEX(ExpWit,$L188)))</f>
        <v/>
      </c>
      <c r="I188" s="25">
        <f>IF($B188="","",IF($I187="",0,$I187)+IF($H188="",0,$H188)-IF($G188="",0,$G188))</f>
        <v/>
      </c>
      <c r="J188" s="23">
        <f>IF($L188="","",IF(INDEX(ExpNote,$L188)="","—",INDEX(ExpNote,$L188)))</f>
        <v/>
      </c>
      <c r="L188">
        <f>IFERROR(MATCH($C$5&amp;"|"&amp;RIGHT("000000"&amp;172,6),ExpRankKey,0),"")</f>
        <v/>
      </c>
    </row>
    <row r="189">
      <c r="A189" s="16" t="n">
        <v>173</v>
      </c>
      <c r="B189" s="17">
        <f>IF($L189="","",INDEX(ExpNorm,$L189))</f>
        <v/>
      </c>
      <c r="C189" s="17">
        <f>IF($L189="","",IF(INDEX(ExpTime,$L189)="","—",LEFT(INDEX(ExpTime,$L189),2)&amp;":"&amp;RIGHT(INDEX(ExpTime,$L189),2)))</f>
        <v/>
      </c>
      <c r="D189" s="17">
        <f>IF($L189="","",IF(INDEX(ExpBank,$L189)="","—",INDEX(ExpBank,$L189)))</f>
        <v/>
      </c>
      <c r="E189" s="18">
        <f>IF($L189="","",IF(INDEX(ExpParty,$L189)="","—",IFERROR(VLOOKUP(INDEX(ExpParty,$L189),AcctTbl,4,0),INDEX(ExpParty,$L189))))</f>
        <v/>
      </c>
      <c r="F189" s="17">
        <f>IF($L189="","",IF(INDEX(ExpType,$L189)="","—",INDEX(ExpType,$L189)))</f>
        <v/>
      </c>
      <c r="G189" s="19">
        <f>IF($L189="","",IF(INDEX(ExpDep,$L189)=0,"",INDEX(ExpDep,$L189)))</f>
        <v/>
      </c>
      <c r="H189" s="19">
        <f>IF($L189="","",IF(INDEX(ExpWit,$L189)=0,"",INDEX(ExpWit,$L189)))</f>
        <v/>
      </c>
      <c r="I189" s="20">
        <f>IF($B189="","",IF($I188="",0,$I188)+IF($H189="",0,$H189)-IF($G189="",0,$G189))</f>
        <v/>
      </c>
      <c r="J189" s="18">
        <f>IF($L189="","",IF(INDEX(ExpNote,$L189)="","—",INDEX(ExpNote,$L189)))</f>
        <v/>
      </c>
      <c r="L189">
        <f>IFERROR(MATCH($C$5&amp;"|"&amp;RIGHT("000000"&amp;173,6),ExpRankKey,0),"")</f>
        <v/>
      </c>
    </row>
    <row r="190">
      <c r="A190" s="21" t="n">
        <v>174</v>
      </c>
      <c r="B190" s="22">
        <f>IF($L190="","",INDEX(ExpNorm,$L190))</f>
        <v/>
      </c>
      <c r="C190" s="22">
        <f>IF($L190="","",IF(INDEX(ExpTime,$L190)="","—",LEFT(INDEX(ExpTime,$L190),2)&amp;":"&amp;RIGHT(INDEX(ExpTime,$L190),2)))</f>
        <v/>
      </c>
      <c r="D190" s="22">
        <f>IF($L190="","",IF(INDEX(ExpBank,$L190)="","—",INDEX(ExpBank,$L190)))</f>
        <v/>
      </c>
      <c r="E190" s="23">
        <f>IF($L190="","",IF(INDEX(ExpParty,$L190)="","—",IFERROR(VLOOKUP(INDEX(ExpParty,$L190),AcctTbl,4,0),INDEX(ExpParty,$L190))))</f>
        <v/>
      </c>
      <c r="F190" s="22">
        <f>IF($L190="","",IF(INDEX(ExpType,$L190)="","—",INDEX(ExpType,$L190)))</f>
        <v/>
      </c>
      <c r="G190" s="24">
        <f>IF($L190="","",IF(INDEX(ExpDep,$L190)=0,"",INDEX(ExpDep,$L190)))</f>
        <v/>
      </c>
      <c r="H190" s="24">
        <f>IF($L190="","",IF(INDEX(ExpWit,$L190)=0,"",INDEX(ExpWit,$L190)))</f>
        <v/>
      </c>
      <c r="I190" s="25">
        <f>IF($B190="","",IF($I189="",0,$I189)+IF($H190="",0,$H190)-IF($G190="",0,$G190))</f>
        <v/>
      </c>
      <c r="J190" s="23">
        <f>IF($L190="","",IF(INDEX(ExpNote,$L190)="","—",INDEX(ExpNote,$L190)))</f>
        <v/>
      </c>
      <c r="L190">
        <f>IFERROR(MATCH($C$5&amp;"|"&amp;RIGHT("000000"&amp;174,6),ExpRankKey,0),"")</f>
        <v/>
      </c>
    </row>
    <row r="191">
      <c r="A191" s="16" t="n">
        <v>175</v>
      </c>
      <c r="B191" s="17">
        <f>IF($L191="","",INDEX(ExpNorm,$L191))</f>
        <v/>
      </c>
      <c r="C191" s="17">
        <f>IF($L191="","",IF(INDEX(ExpTime,$L191)="","—",LEFT(INDEX(ExpTime,$L191),2)&amp;":"&amp;RIGHT(INDEX(ExpTime,$L191),2)))</f>
        <v/>
      </c>
      <c r="D191" s="17">
        <f>IF($L191="","",IF(INDEX(ExpBank,$L191)="","—",INDEX(ExpBank,$L191)))</f>
        <v/>
      </c>
      <c r="E191" s="18">
        <f>IF($L191="","",IF(INDEX(ExpParty,$L191)="","—",IFERROR(VLOOKUP(INDEX(ExpParty,$L191),AcctTbl,4,0),INDEX(ExpParty,$L191))))</f>
        <v/>
      </c>
      <c r="F191" s="17">
        <f>IF($L191="","",IF(INDEX(ExpType,$L191)="","—",INDEX(ExpType,$L191)))</f>
        <v/>
      </c>
      <c r="G191" s="19">
        <f>IF($L191="","",IF(INDEX(ExpDep,$L191)=0,"",INDEX(ExpDep,$L191)))</f>
        <v/>
      </c>
      <c r="H191" s="19">
        <f>IF($L191="","",IF(INDEX(ExpWit,$L191)=0,"",INDEX(ExpWit,$L191)))</f>
        <v/>
      </c>
      <c r="I191" s="20">
        <f>IF($B191="","",IF($I190="",0,$I190)+IF($H191="",0,$H191)-IF($G191="",0,$G191))</f>
        <v/>
      </c>
      <c r="J191" s="18">
        <f>IF($L191="","",IF(INDEX(ExpNote,$L191)="","—",INDEX(ExpNote,$L191)))</f>
        <v/>
      </c>
      <c r="L191">
        <f>IFERROR(MATCH($C$5&amp;"|"&amp;RIGHT("000000"&amp;175,6),ExpRankKey,0),"")</f>
        <v/>
      </c>
    </row>
    <row r="192">
      <c r="A192" s="21" t="n">
        <v>176</v>
      </c>
      <c r="B192" s="22">
        <f>IF($L192="","",INDEX(ExpNorm,$L192))</f>
        <v/>
      </c>
      <c r="C192" s="22">
        <f>IF($L192="","",IF(INDEX(ExpTime,$L192)="","—",LEFT(INDEX(ExpTime,$L192),2)&amp;":"&amp;RIGHT(INDEX(ExpTime,$L192),2)))</f>
        <v/>
      </c>
      <c r="D192" s="22">
        <f>IF($L192="","",IF(INDEX(ExpBank,$L192)="","—",INDEX(ExpBank,$L192)))</f>
        <v/>
      </c>
      <c r="E192" s="23">
        <f>IF($L192="","",IF(INDEX(ExpParty,$L192)="","—",IFERROR(VLOOKUP(INDEX(ExpParty,$L192),AcctTbl,4,0),INDEX(ExpParty,$L192))))</f>
        <v/>
      </c>
      <c r="F192" s="22">
        <f>IF($L192="","",IF(INDEX(ExpType,$L192)="","—",INDEX(ExpType,$L192)))</f>
        <v/>
      </c>
      <c r="G192" s="24">
        <f>IF($L192="","",IF(INDEX(ExpDep,$L192)=0,"",INDEX(ExpDep,$L192)))</f>
        <v/>
      </c>
      <c r="H192" s="24">
        <f>IF($L192="","",IF(INDEX(ExpWit,$L192)=0,"",INDEX(ExpWit,$L192)))</f>
        <v/>
      </c>
      <c r="I192" s="25">
        <f>IF($B192="","",IF($I191="",0,$I191)+IF($H192="",0,$H192)-IF($G192="",0,$G192))</f>
        <v/>
      </c>
      <c r="J192" s="23">
        <f>IF($L192="","",IF(INDEX(ExpNote,$L192)="","—",INDEX(ExpNote,$L192)))</f>
        <v/>
      </c>
      <c r="L192">
        <f>IFERROR(MATCH($C$5&amp;"|"&amp;RIGHT("000000"&amp;176,6),ExpRankKey,0),"")</f>
        <v/>
      </c>
    </row>
    <row r="193">
      <c r="A193" s="16" t="n">
        <v>177</v>
      </c>
      <c r="B193" s="17">
        <f>IF($L193="","",INDEX(ExpNorm,$L193))</f>
        <v/>
      </c>
      <c r="C193" s="17">
        <f>IF($L193="","",IF(INDEX(ExpTime,$L193)="","—",LEFT(INDEX(ExpTime,$L193),2)&amp;":"&amp;RIGHT(INDEX(ExpTime,$L193),2)))</f>
        <v/>
      </c>
      <c r="D193" s="17">
        <f>IF($L193="","",IF(INDEX(ExpBank,$L193)="","—",INDEX(ExpBank,$L193)))</f>
        <v/>
      </c>
      <c r="E193" s="18">
        <f>IF($L193="","",IF(INDEX(ExpParty,$L193)="","—",IFERROR(VLOOKUP(INDEX(ExpParty,$L193),AcctTbl,4,0),INDEX(ExpParty,$L193))))</f>
        <v/>
      </c>
      <c r="F193" s="17">
        <f>IF($L193="","",IF(INDEX(ExpType,$L193)="","—",INDEX(ExpType,$L193)))</f>
        <v/>
      </c>
      <c r="G193" s="19">
        <f>IF($L193="","",IF(INDEX(ExpDep,$L193)=0,"",INDEX(ExpDep,$L193)))</f>
        <v/>
      </c>
      <c r="H193" s="19">
        <f>IF($L193="","",IF(INDEX(ExpWit,$L193)=0,"",INDEX(ExpWit,$L193)))</f>
        <v/>
      </c>
      <c r="I193" s="20">
        <f>IF($B193="","",IF($I192="",0,$I192)+IF($H193="",0,$H193)-IF($G193="",0,$G193))</f>
        <v/>
      </c>
      <c r="J193" s="18">
        <f>IF($L193="","",IF(INDEX(ExpNote,$L193)="","—",INDEX(ExpNote,$L193)))</f>
        <v/>
      </c>
      <c r="L193">
        <f>IFERROR(MATCH($C$5&amp;"|"&amp;RIGHT("000000"&amp;177,6),ExpRankKey,0),"")</f>
        <v/>
      </c>
    </row>
    <row r="194">
      <c r="A194" s="21" t="n">
        <v>178</v>
      </c>
      <c r="B194" s="22">
        <f>IF($L194="","",INDEX(ExpNorm,$L194))</f>
        <v/>
      </c>
      <c r="C194" s="22">
        <f>IF($L194="","",IF(INDEX(ExpTime,$L194)="","—",LEFT(INDEX(ExpTime,$L194),2)&amp;":"&amp;RIGHT(INDEX(ExpTime,$L194),2)))</f>
        <v/>
      </c>
      <c r="D194" s="22">
        <f>IF($L194="","",IF(INDEX(ExpBank,$L194)="","—",INDEX(ExpBank,$L194)))</f>
        <v/>
      </c>
      <c r="E194" s="23">
        <f>IF($L194="","",IF(INDEX(ExpParty,$L194)="","—",IFERROR(VLOOKUP(INDEX(ExpParty,$L194),AcctTbl,4,0),INDEX(ExpParty,$L194))))</f>
        <v/>
      </c>
      <c r="F194" s="22">
        <f>IF($L194="","",IF(INDEX(ExpType,$L194)="","—",INDEX(ExpType,$L194)))</f>
        <v/>
      </c>
      <c r="G194" s="24">
        <f>IF($L194="","",IF(INDEX(ExpDep,$L194)=0,"",INDEX(ExpDep,$L194)))</f>
        <v/>
      </c>
      <c r="H194" s="24">
        <f>IF($L194="","",IF(INDEX(ExpWit,$L194)=0,"",INDEX(ExpWit,$L194)))</f>
        <v/>
      </c>
      <c r="I194" s="25">
        <f>IF($B194="","",IF($I193="",0,$I193)+IF($H194="",0,$H194)-IF($G194="",0,$G194))</f>
        <v/>
      </c>
      <c r="J194" s="23">
        <f>IF($L194="","",IF(INDEX(ExpNote,$L194)="","—",INDEX(ExpNote,$L194)))</f>
        <v/>
      </c>
      <c r="L194">
        <f>IFERROR(MATCH($C$5&amp;"|"&amp;RIGHT("000000"&amp;178,6),ExpRankKey,0),"")</f>
        <v/>
      </c>
    </row>
    <row r="195">
      <c r="A195" s="16" t="n">
        <v>179</v>
      </c>
      <c r="B195" s="17">
        <f>IF($L195="","",INDEX(ExpNorm,$L195))</f>
        <v/>
      </c>
      <c r="C195" s="17">
        <f>IF($L195="","",IF(INDEX(ExpTime,$L195)="","—",LEFT(INDEX(ExpTime,$L195),2)&amp;":"&amp;RIGHT(INDEX(ExpTime,$L195),2)))</f>
        <v/>
      </c>
      <c r="D195" s="17">
        <f>IF($L195="","",IF(INDEX(ExpBank,$L195)="","—",INDEX(ExpBank,$L195)))</f>
        <v/>
      </c>
      <c r="E195" s="18">
        <f>IF($L195="","",IF(INDEX(ExpParty,$L195)="","—",IFERROR(VLOOKUP(INDEX(ExpParty,$L195),AcctTbl,4,0),INDEX(ExpParty,$L195))))</f>
        <v/>
      </c>
      <c r="F195" s="17">
        <f>IF($L195="","",IF(INDEX(ExpType,$L195)="","—",INDEX(ExpType,$L195)))</f>
        <v/>
      </c>
      <c r="G195" s="19">
        <f>IF($L195="","",IF(INDEX(ExpDep,$L195)=0,"",INDEX(ExpDep,$L195)))</f>
        <v/>
      </c>
      <c r="H195" s="19">
        <f>IF($L195="","",IF(INDEX(ExpWit,$L195)=0,"",INDEX(ExpWit,$L195)))</f>
        <v/>
      </c>
      <c r="I195" s="20">
        <f>IF($B195="","",IF($I194="",0,$I194)+IF($H195="",0,$H195)-IF($G195="",0,$G195))</f>
        <v/>
      </c>
      <c r="J195" s="18">
        <f>IF($L195="","",IF(INDEX(ExpNote,$L195)="","—",INDEX(ExpNote,$L195)))</f>
        <v/>
      </c>
      <c r="L195">
        <f>IFERROR(MATCH($C$5&amp;"|"&amp;RIGHT("000000"&amp;179,6),ExpRankKey,0),"")</f>
        <v/>
      </c>
    </row>
    <row r="196">
      <c r="A196" s="21" t="n">
        <v>180</v>
      </c>
      <c r="B196" s="22">
        <f>IF($L196="","",INDEX(ExpNorm,$L196))</f>
        <v/>
      </c>
      <c r="C196" s="22">
        <f>IF($L196="","",IF(INDEX(ExpTime,$L196)="","—",LEFT(INDEX(ExpTime,$L196),2)&amp;":"&amp;RIGHT(INDEX(ExpTime,$L196),2)))</f>
        <v/>
      </c>
      <c r="D196" s="22">
        <f>IF($L196="","",IF(INDEX(ExpBank,$L196)="","—",INDEX(ExpBank,$L196)))</f>
        <v/>
      </c>
      <c r="E196" s="23">
        <f>IF($L196="","",IF(INDEX(ExpParty,$L196)="","—",IFERROR(VLOOKUP(INDEX(ExpParty,$L196),AcctTbl,4,0),INDEX(ExpParty,$L196))))</f>
        <v/>
      </c>
      <c r="F196" s="22">
        <f>IF($L196="","",IF(INDEX(ExpType,$L196)="","—",INDEX(ExpType,$L196)))</f>
        <v/>
      </c>
      <c r="G196" s="24">
        <f>IF($L196="","",IF(INDEX(ExpDep,$L196)=0,"",INDEX(ExpDep,$L196)))</f>
        <v/>
      </c>
      <c r="H196" s="24">
        <f>IF($L196="","",IF(INDEX(ExpWit,$L196)=0,"",INDEX(ExpWit,$L196)))</f>
        <v/>
      </c>
      <c r="I196" s="25">
        <f>IF($B196="","",IF($I195="",0,$I195)+IF($H196="",0,$H196)-IF($G196="",0,$G196))</f>
        <v/>
      </c>
      <c r="J196" s="23">
        <f>IF($L196="","",IF(INDEX(ExpNote,$L196)="","—",INDEX(ExpNote,$L196)))</f>
        <v/>
      </c>
      <c r="L196">
        <f>IFERROR(MATCH($C$5&amp;"|"&amp;RIGHT("000000"&amp;180,6),ExpRankKey,0),"")</f>
        <v/>
      </c>
    </row>
    <row r="197">
      <c r="A197" s="16" t="n">
        <v>181</v>
      </c>
      <c r="B197" s="17">
        <f>IF($L197="","",INDEX(ExpNorm,$L197))</f>
        <v/>
      </c>
      <c r="C197" s="17">
        <f>IF($L197="","",IF(INDEX(ExpTime,$L197)="","—",LEFT(INDEX(ExpTime,$L197),2)&amp;":"&amp;RIGHT(INDEX(ExpTime,$L197),2)))</f>
        <v/>
      </c>
      <c r="D197" s="17">
        <f>IF($L197="","",IF(INDEX(ExpBank,$L197)="","—",INDEX(ExpBank,$L197)))</f>
        <v/>
      </c>
      <c r="E197" s="18">
        <f>IF($L197="","",IF(INDEX(ExpParty,$L197)="","—",IFERROR(VLOOKUP(INDEX(ExpParty,$L197),AcctTbl,4,0),INDEX(ExpParty,$L197))))</f>
        <v/>
      </c>
      <c r="F197" s="17">
        <f>IF($L197="","",IF(INDEX(ExpType,$L197)="","—",INDEX(ExpType,$L197)))</f>
        <v/>
      </c>
      <c r="G197" s="19">
        <f>IF($L197="","",IF(INDEX(ExpDep,$L197)=0,"",INDEX(ExpDep,$L197)))</f>
        <v/>
      </c>
      <c r="H197" s="19">
        <f>IF($L197="","",IF(INDEX(ExpWit,$L197)=0,"",INDEX(ExpWit,$L197)))</f>
        <v/>
      </c>
      <c r="I197" s="20">
        <f>IF($B197="","",IF($I196="",0,$I196)+IF($H197="",0,$H197)-IF($G197="",0,$G197))</f>
        <v/>
      </c>
      <c r="J197" s="18">
        <f>IF($L197="","",IF(INDEX(ExpNote,$L197)="","—",INDEX(ExpNote,$L197)))</f>
        <v/>
      </c>
      <c r="L197">
        <f>IFERROR(MATCH($C$5&amp;"|"&amp;RIGHT("000000"&amp;181,6),ExpRankKey,0),"")</f>
        <v/>
      </c>
    </row>
    <row r="198">
      <c r="A198" s="21" t="n">
        <v>182</v>
      </c>
      <c r="B198" s="22">
        <f>IF($L198="","",INDEX(ExpNorm,$L198))</f>
        <v/>
      </c>
      <c r="C198" s="22">
        <f>IF($L198="","",IF(INDEX(ExpTime,$L198)="","—",LEFT(INDEX(ExpTime,$L198),2)&amp;":"&amp;RIGHT(INDEX(ExpTime,$L198),2)))</f>
        <v/>
      </c>
      <c r="D198" s="22">
        <f>IF($L198="","",IF(INDEX(ExpBank,$L198)="","—",INDEX(ExpBank,$L198)))</f>
        <v/>
      </c>
      <c r="E198" s="23">
        <f>IF($L198="","",IF(INDEX(ExpParty,$L198)="","—",IFERROR(VLOOKUP(INDEX(ExpParty,$L198),AcctTbl,4,0),INDEX(ExpParty,$L198))))</f>
        <v/>
      </c>
      <c r="F198" s="22">
        <f>IF($L198="","",IF(INDEX(ExpType,$L198)="","—",INDEX(ExpType,$L198)))</f>
        <v/>
      </c>
      <c r="G198" s="24">
        <f>IF($L198="","",IF(INDEX(ExpDep,$L198)=0,"",INDEX(ExpDep,$L198)))</f>
        <v/>
      </c>
      <c r="H198" s="24">
        <f>IF($L198="","",IF(INDEX(ExpWit,$L198)=0,"",INDEX(ExpWit,$L198)))</f>
        <v/>
      </c>
      <c r="I198" s="25">
        <f>IF($B198="","",IF($I197="",0,$I197)+IF($H198="",0,$H198)-IF($G198="",0,$G198))</f>
        <v/>
      </c>
      <c r="J198" s="23">
        <f>IF($L198="","",IF(INDEX(ExpNote,$L198)="","—",INDEX(ExpNote,$L198)))</f>
        <v/>
      </c>
      <c r="L198">
        <f>IFERROR(MATCH($C$5&amp;"|"&amp;RIGHT("000000"&amp;182,6),ExpRankKey,0),"")</f>
        <v/>
      </c>
    </row>
    <row r="199">
      <c r="A199" s="16" t="n">
        <v>183</v>
      </c>
      <c r="B199" s="17">
        <f>IF($L199="","",INDEX(ExpNorm,$L199))</f>
        <v/>
      </c>
      <c r="C199" s="17">
        <f>IF($L199="","",IF(INDEX(ExpTime,$L199)="","—",LEFT(INDEX(ExpTime,$L199),2)&amp;":"&amp;RIGHT(INDEX(ExpTime,$L199),2)))</f>
        <v/>
      </c>
      <c r="D199" s="17">
        <f>IF($L199="","",IF(INDEX(ExpBank,$L199)="","—",INDEX(ExpBank,$L199)))</f>
        <v/>
      </c>
      <c r="E199" s="18">
        <f>IF($L199="","",IF(INDEX(ExpParty,$L199)="","—",IFERROR(VLOOKUP(INDEX(ExpParty,$L199),AcctTbl,4,0),INDEX(ExpParty,$L199))))</f>
        <v/>
      </c>
      <c r="F199" s="17">
        <f>IF($L199="","",IF(INDEX(ExpType,$L199)="","—",INDEX(ExpType,$L199)))</f>
        <v/>
      </c>
      <c r="G199" s="19">
        <f>IF($L199="","",IF(INDEX(ExpDep,$L199)=0,"",INDEX(ExpDep,$L199)))</f>
        <v/>
      </c>
      <c r="H199" s="19">
        <f>IF($L199="","",IF(INDEX(ExpWit,$L199)=0,"",INDEX(ExpWit,$L199)))</f>
        <v/>
      </c>
      <c r="I199" s="20">
        <f>IF($B199="","",IF($I198="",0,$I198)+IF($H199="",0,$H199)-IF($G199="",0,$G199))</f>
        <v/>
      </c>
      <c r="J199" s="18">
        <f>IF($L199="","",IF(INDEX(ExpNote,$L199)="","—",INDEX(ExpNote,$L199)))</f>
        <v/>
      </c>
      <c r="L199">
        <f>IFERROR(MATCH($C$5&amp;"|"&amp;RIGHT("000000"&amp;183,6),ExpRankKey,0),"")</f>
        <v/>
      </c>
    </row>
    <row r="200">
      <c r="A200" s="21" t="n">
        <v>184</v>
      </c>
      <c r="B200" s="22">
        <f>IF($L200="","",INDEX(ExpNorm,$L200))</f>
        <v/>
      </c>
      <c r="C200" s="22">
        <f>IF($L200="","",IF(INDEX(ExpTime,$L200)="","—",LEFT(INDEX(ExpTime,$L200),2)&amp;":"&amp;RIGHT(INDEX(ExpTime,$L200),2)))</f>
        <v/>
      </c>
      <c r="D200" s="22">
        <f>IF($L200="","",IF(INDEX(ExpBank,$L200)="","—",INDEX(ExpBank,$L200)))</f>
        <v/>
      </c>
      <c r="E200" s="23">
        <f>IF($L200="","",IF(INDEX(ExpParty,$L200)="","—",IFERROR(VLOOKUP(INDEX(ExpParty,$L200),AcctTbl,4,0),INDEX(ExpParty,$L200))))</f>
        <v/>
      </c>
      <c r="F200" s="22">
        <f>IF($L200="","",IF(INDEX(ExpType,$L200)="","—",INDEX(ExpType,$L200)))</f>
        <v/>
      </c>
      <c r="G200" s="24">
        <f>IF($L200="","",IF(INDEX(ExpDep,$L200)=0,"",INDEX(ExpDep,$L200)))</f>
        <v/>
      </c>
      <c r="H200" s="24">
        <f>IF($L200="","",IF(INDEX(ExpWit,$L200)=0,"",INDEX(ExpWit,$L200)))</f>
        <v/>
      </c>
      <c r="I200" s="25">
        <f>IF($B200="","",IF($I199="",0,$I199)+IF($H200="",0,$H200)-IF($G200="",0,$G200))</f>
        <v/>
      </c>
      <c r="J200" s="23">
        <f>IF($L200="","",IF(INDEX(ExpNote,$L200)="","—",INDEX(ExpNote,$L200)))</f>
        <v/>
      </c>
      <c r="L200">
        <f>IFERROR(MATCH($C$5&amp;"|"&amp;RIGHT("000000"&amp;184,6),ExpRankKey,0),"")</f>
        <v/>
      </c>
    </row>
    <row r="201">
      <c r="A201" s="16" t="n">
        <v>185</v>
      </c>
      <c r="B201" s="17">
        <f>IF($L201="","",INDEX(ExpNorm,$L201))</f>
        <v/>
      </c>
      <c r="C201" s="17">
        <f>IF($L201="","",IF(INDEX(ExpTime,$L201)="","—",LEFT(INDEX(ExpTime,$L201),2)&amp;":"&amp;RIGHT(INDEX(ExpTime,$L201),2)))</f>
        <v/>
      </c>
      <c r="D201" s="17">
        <f>IF($L201="","",IF(INDEX(ExpBank,$L201)="","—",INDEX(ExpBank,$L201)))</f>
        <v/>
      </c>
      <c r="E201" s="18">
        <f>IF($L201="","",IF(INDEX(ExpParty,$L201)="","—",IFERROR(VLOOKUP(INDEX(ExpParty,$L201),AcctTbl,4,0),INDEX(ExpParty,$L201))))</f>
        <v/>
      </c>
      <c r="F201" s="17">
        <f>IF($L201="","",IF(INDEX(ExpType,$L201)="","—",INDEX(ExpType,$L201)))</f>
        <v/>
      </c>
      <c r="G201" s="19">
        <f>IF($L201="","",IF(INDEX(ExpDep,$L201)=0,"",INDEX(ExpDep,$L201)))</f>
        <v/>
      </c>
      <c r="H201" s="19">
        <f>IF($L201="","",IF(INDEX(ExpWit,$L201)=0,"",INDEX(ExpWit,$L201)))</f>
        <v/>
      </c>
      <c r="I201" s="20">
        <f>IF($B201="","",IF($I200="",0,$I200)+IF($H201="",0,$H201)-IF($G201="",0,$G201))</f>
        <v/>
      </c>
      <c r="J201" s="18">
        <f>IF($L201="","",IF(INDEX(ExpNote,$L201)="","—",INDEX(ExpNote,$L201)))</f>
        <v/>
      </c>
      <c r="L201">
        <f>IFERROR(MATCH($C$5&amp;"|"&amp;RIGHT("000000"&amp;185,6),ExpRankKey,0),"")</f>
        <v/>
      </c>
    </row>
    <row r="202">
      <c r="A202" s="21" t="n">
        <v>186</v>
      </c>
      <c r="B202" s="22">
        <f>IF($L202="","",INDEX(ExpNorm,$L202))</f>
        <v/>
      </c>
      <c r="C202" s="22">
        <f>IF($L202="","",IF(INDEX(ExpTime,$L202)="","—",LEFT(INDEX(ExpTime,$L202),2)&amp;":"&amp;RIGHT(INDEX(ExpTime,$L202),2)))</f>
        <v/>
      </c>
      <c r="D202" s="22">
        <f>IF($L202="","",IF(INDEX(ExpBank,$L202)="","—",INDEX(ExpBank,$L202)))</f>
        <v/>
      </c>
      <c r="E202" s="23">
        <f>IF($L202="","",IF(INDEX(ExpParty,$L202)="","—",IFERROR(VLOOKUP(INDEX(ExpParty,$L202),AcctTbl,4,0),INDEX(ExpParty,$L202))))</f>
        <v/>
      </c>
      <c r="F202" s="22">
        <f>IF($L202="","",IF(INDEX(ExpType,$L202)="","—",INDEX(ExpType,$L202)))</f>
        <v/>
      </c>
      <c r="G202" s="24">
        <f>IF($L202="","",IF(INDEX(ExpDep,$L202)=0,"",INDEX(ExpDep,$L202)))</f>
        <v/>
      </c>
      <c r="H202" s="24">
        <f>IF($L202="","",IF(INDEX(ExpWit,$L202)=0,"",INDEX(ExpWit,$L202)))</f>
        <v/>
      </c>
      <c r="I202" s="25">
        <f>IF($B202="","",IF($I201="",0,$I201)+IF($H202="",0,$H202)-IF($G202="",0,$G202))</f>
        <v/>
      </c>
      <c r="J202" s="23">
        <f>IF($L202="","",IF(INDEX(ExpNote,$L202)="","—",INDEX(ExpNote,$L202)))</f>
        <v/>
      </c>
      <c r="L202">
        <f>IFERROR(MATCH($C$5&amp;"|"&amp;RIGHT("000000"&amp;186,6),ExpRankKey,0),"")</f>
        <v/>
      </c>
    </row>
    <row r="203">
      <c r="A203" s="16" t="n">
        <v>187</v>
      </c>
      <c r="B203" s="17">
        <f>IF($L203="","",INDEX(ExpNorm,$L203))</f>
        <v/>
      </c>
      <c r="C203" s="17">
        <f>IF($L203="","",IF(INDEX(ExpTime,$L203)="","—",LEFT(INDEX(ExpTime,$L203),2)&amp;":"&amp;RIGHT(INDEX(ExpTime,$L203),2)))</f>
        <v/>
      </c>
      <c r="D203" s="17">
        <f>IF($L203="","",IF(INDEX(ExpBank,$L203)="","—",INDEX(ExpBank,$L203)))</f>
        <v/>
      </c>
      <c r="E203" s="18">
        <f>IF($L203="","",IF(INDEX(ExpParty,$L203)="","—",IFERROR(VLOOKUP(INDEX(ExpParty,$L203),AcctTbl,4,0),INDEX(ExpParty,$L203))))</f>
        <v/>
      </c>
      <c r="F203" s="17">
        <f>IF($L203="","",IF(INDEX(ExpType,$L203)="","—",INDEX(ExpType,$L203)))</f>
        <v/>
      </c>
      <c r="G203" s="19">
        <f>IF($L203="","",IF(INDEX(ExpDep,$L203)=0,"",INDEX(ExpDep,$L203)))</f>
        <v/>
      </c>
      <c r="H203" s="19">
        <f>IF($L203="","",IF(INDEX(ExpWit,$L203)=0,"",INDEX(ExpWit,$L203)))</f>
        <v/>
      </c>
      <c r="I203" s="20">
        <f>IF($B203="","",IF($I202="",0,$I202)+IF($H203="",0,$H203)-IF($G203="",0,$G203))</f>
        <v/>
      </c>
      <c r="J203" s="18">
        <f>IF($L203="","",IF(INDEX(ExpNote,$L203)="","—",INDEX(ExpNote,$L203)))</f>
        <v/>
      </c>
      <c r="L203">
        <f>IFERROR(MATCH($C$5&amp;"|"&amp;RIGHT("000000"&amp;187,6),ExpRankKey,0),"")</f>
        <v/>
      </c>
    </row>
    <row r="204">
      <c r="A204" s="21" t="n">
        <v>188</v>
      </c>
      <c r="B204" s="22">
        <f>IF($L204="","",INDEX(ExpNorm,$L204))</f>
        <v/>
      </c>
      <c r="C204" s="22">
        <f>IF($L204="","",IF(INDEX(ExpTime,$L204)="","—",LEFT(INDEX(ExpTime,$L204),2)&amp;":"&amp;RIGHT(INDEX(ExpTime,$L204),2)))</f>
        <v/>
      </c>
      <c r="D204" s="22">
        <f>IF($L204="","",IF(INDEX(ExpBank,$L204)="","—",INDEX(ExpBank,$L204)))</f>
        <v/>
      </c>
      <c r="E204" s="23">
        <f>IF($L204="","",IF(INDEX(ExpParty,$L204)="","—",IFERROR(VLOOKUP(INDEX(ExpParty,$L204),AcctTbl,4,0),INDEX(ExpParty,$L204))))</f>
        <v/>
      </c>
      <c r="F204" s="22">
        <f>IF($L204="","",IF(INDEX(ExpType,$L204)="","—",INDEX(ExpType,$L204)))</f>
        <v/>
      </c>
      <c r="G204" s="24">
        <f>IF($L204="","",IF(INDEX(ExpDep,$L204)=0,"",INDEX(ExpDep,$L204)))</f>
        <v/>
      </c>
      <c r="H204" s="24">
        <f>IF($L204="","",IF(INDEX(ExpWit,$L204)=0,"",INDEX(ExpWit,$L204)))</f>
        <v/>
      </c>
      <c r="I204" s="25">
        <f>IF($B204="","",IF($I203="",0,$I203)+IF($H204="",0,$H204)-IF($G204="",0,$G204))</f>
        <v/>
      </c>
      <c r="J204" s="23">
        <f>IF($L204="","",IF(INDEX(ExpNote,$L204)="","—",INDEX(ExpNote,$L204)))</f>
        <v/>
      </c>
      <c r="L204">
        <f>IFERROR(MATCH($C$5&amp;"|"&amp;RIGHT("000000"&amp;188,6),ExpRankKey,0),"")</f>
        <v/>
      </c>
    </row>
    <row r="205">
      <c r="A205" s="16" t="n">
        <v>189</v>
      </c>
      <c r="B205" s="17">
        <f>IF($L205="","",INDEX(ExpNorm,$L205))</f>
        <v/>
      </c>
      <c r="C205" s="17">
        <f>IF($L205="","",IF(INDEX(ExpTime,$L205)="","—",LEFT(INDEX(ExpTime,$L205),2)&amp;":"&amp;RIGHT(INDEX(ExpTime,$L205),2)))</f>
        <v/>
      </c>
      <c r="D205" s="17">
        <f>IF($L205="","",IF(INDEX(ExpBank,$L205)="","—",INDEX(ExpBank,$L205)))</f>
        <v/>
      </c>
      <c r="E205" s="18">
        <f>IF($L205="","",IF(INDEX(ExpParty,$L205)="","—",IFERROR(VLOOKUP(INDEX(ExpParty,$L205),AcctTbl,4,0),INDEX(ExpParty,$L205))))</f>
        <v/>
      </c>
      <c r="F205" s="17">
        <f>IF($L205="","",IF(INDEX(ExpType,$L205)="","—",INDEX(ExpType,$L205)))</f>
        <v/>
      </c>
      <c r="G205" s="19">
        <f>IF($L205="","",IF(INDEX(ExpDep,$L205)=0,"",INDEX(ExpDep,$L205)))</f>
        <v/>
      </c>
      <c r="H205" s="19">
        <f>IF($L205="","",IF(INDEX(ExpWit,$L205)=0,"",INDEX(ExpWit,$L205)))</f>
        <v/>
      </c>
      <c r="I205" s="20">
        <f>IF($B205="","",IF($I204="",0,$I204)+IF($H205="",0,$H205)-IF($G205="",0,$G205))</f>
        <v/>
      </c>
      <c r="J205" s="18">
        <f>IF($L205="","",IF(INDEX(ExpNote,$L205)="","—",INDEX(ExpNote,$L205)))</f>
        <v/>
      </c>
      <c r="L205">
        <f>IFERROR(MATCH($C$5&amp;"|"&amp;RIGHT("000000"&amp;189,6),ExpRankKey,0),"")</f>
        <v/>
      </c>
    </row>
    <row r="206">
      <c r="A206" s="21" t="n">
        <v>190</v>
      </c>
      <c r="B206" s="22">
        <f>IF($L206="","",INDEX(ExpNorm,$L206))</f>
        <v/>
      </c>
      <c r="C206" s="22">
        <f>IF($L206="","",IF(INDEX(ExpTime,$L206)="","—",LEFT(INDEX(ExpTime,$L206),2)&amp;":"&amp;RIGHT(INDEX(ExpTime,$L206),2)))</f>
        <v/>
      </c>
      <c r="D206" s="22">
        <f>IF($L206="","",IF(INDEX(ExpBank,$L206)="","—",INDEX(ExpBank,$L206)))</f>
        <v/>
      </c>
      <c r="E206" s="23">
        <f>IF($L206="","",IF(INDEX(ExpParty,$L206)="","—",IFERROR(VLOOKUP(INDEX(ExpParty,$L206),AcctTbl,4,0),INDEX(ExpParty,$L206))))</f>
        <v/>
      </c>
      <c r="F206" s="22">
        <f>IF($L206="","",IF(INDEX(ExpType,$L206)="","—",INDEX(ExpType,$L206)))</f>
        <v/>
      </c>
      <c r="G206" s="24">
        <f>IF($L206="","",IF(INDEX(ExpDep,$L206)=0,"",INDEX(ExpDep,$L206)))</f>
        <v/>
      </c>
      <c r="H206" s="24">
        <f>IF($L206="","",IF(INDEX(ExpWit,$L206)=0,"",INDEX(ExpWit,$L206)))</f>
        <v/>
      </c>
      <c r="I206" s="25">
        <f>IF($B206="","",IF($I205="",0,$I205)+IF($H206="",0,$H206)-IF($G206="",0,$G206))</f>
        <v/>
      </c>
      <c r="J206" s="23">
        <f>IF($L206="","",IF(INDEX(ExpNote,$L206)="","—",INDEX(ExpNote,$L206)))</f>
        <v/>
      </c>
      <c r="L206">
        <f>IFERROR(MATCH($C$5&amp;"|"&amp;RIGHT("000000"&amp;190,6),ExpRankKey,0),"")</f>
        <v/>
      </c>
    </row>
    <row r="207">
      <c r="A207" s="16" t="n">
        <v>191</v>
      </c>
      <c r="B207" s="17">
        <f>IF($L207="","",INDEX(ExpNorm,$L207))</f>
        <v/>
      </c>
      <c r="C207" s="17">
        <f>IF($L207="","",IF(INDEX(ExpTime,$L207)="","—",LEFT(INDEX(ExpTime,$L207),2)&amp;":"&amp;RIGHT(INDEX(ExpTime,$L207),2)))</f>
        <v/>
      </c>
      <c r="D207" s="17">
        <f>IF($L207="","",IF(INDEX(ExpBank,$L207)="","—",INDEX(ExpBank,$L207)))</f>
        <v/>
      </c>
      <c r="E207" s="18">
        <f>IF($L207="","",IF(INDEX(ExpParty,$L207)="","—",IFERROR(VLOOKUP(INDEX(ExpParty,$L207),AcctTbl,4,0),INDEX(ExpParty,$L207))))</f>
        <v/>
      </c>
      <c r="F207" s="17">
        <f>IF($L207="","",IF(INDEX(ExpType,$L207)="","—",INDEX(ExpType,$L207)))</f>
        <v/>
      </c>
      <c r="G207" s="19">
        <f>IF($L207="","",IF(INDEX(ExpDep,$L207)=0,"",INDEX(ExpDep,$L207)))</f>
        <v/>
      </c>
      <c r="H207" s="19">
        <f>IF($L207="","",IF(INDEX(ExpWit,$L207)=0,"",INDEX(ExpWit,$L207)))</f>
        <v/>
      </c>
      <c r="I207" s="20">
        <f>IF($B207="","",IF($I206="",0,$I206)+IF($H207="",0,$H207)-IF($G207="",0,$G207))</f>
        <v/>
      </c>
      <c r="J207" s="18">
        <f>IF($L207="","",IF(INDEX(ExpNote,$L207)="","—",INDEX(ExpNote,$L207)))</f>
        <v/>
      </c>
      <c r="L207">
        <f>IFERROR(MATCH($C$5&amp;"|"&amp;RIGHT("000000"&amp;191,6),ExpRankKey,0),"")</f>
        <v/>
      </c>
    </row>
    <row r="208">
      <c r="A208" s="21" t="n">
        <v>192</v>
      </c>
      <c r="B208" s="22">
        <f>IF($L208="","",INDEX(ExpNorm,$L208))</f>
        <v/>
      </c>
      <c r="C208" s="22">
        <f>IF($L208="","",IF(INDEX(ExpTime,$L208)="","—",LEFT(INDEX(ExpTime,$L208),2)&amp;":"&amp;RIGHT(INDEX(ExpTime,$L208),2)))</f>
        <v/>
      </c>
      <c r="D208" s="22">
        <f>IF($L208="","",IF(INDEX(ExpBank,$L208)="","—",INDEX(ExpBank,$L208)))</f>
        <v/>
      </c>
      <c r="E208" s="23">
        <f>IF($L208="","",IF(INDEX(ExpParty,$L208)="","—",IFERROR(VLOOKUP(INDEX(ExpParty,$L208),AcctTbl,4,0),INDEX(ExpParty,$L208))))</f>
        <v/>
      </c>
      <c r="F208" s="22">
        <f>IF($L208="","",IF(INDEX(ExpType,$L208)="","—",INDEX(ExpType,$L208)))</f>
        <v/>
      </c>
      <c r="G208" s="24">
        <f>IF($L208="","",IF(INDEX(ExpDep,$L208)=0,"",INDEX(ExpDep,$L208)))</f>
        <v/>
      </c>
      <c r="H208" s="24">
        <f>IF($L208="","",IF(INDEX(ExpWit,$L208)=0,"",INDEX(ExpWit,$L208)))</f>
        <v/>
      </c>
      <c r="I208" s="25">
        <f>IF($B208="","",IF($I207="",0,$I207)+IF($H208="",0,$H208)-IF($G208="",0,$G208))</f>
        <v/>
      </c>
      <c r="J208" s="23">
        <f>IF($L208="","",IF(INDEX(ExpNote,$L208)="","—",INDEX(ExpNote,$L208)))</f>
        <v/>
      </c>
      <c r="L208">
        <f>IFERROR(MATCH($C$5&amp;"|"&amp;RIGHT("000000"&amp;192,6),ExpRankKey,0),"")</f>
        <v/>
      </c>
    </row>
    <row r="209">
      <c r="A209" s="16" t="n">
        <v>193</v>
      </c>
      <c r="B209" s="17">
        <f>IF($L209="","",INDEX(ExpNorm,$L209))</f>
        <v/>
      </c>
      <c r="C209" s="17">
        <f>IF($L209="","",IF(INDEX(ExpTime,$L209)="","—",LEFT(INDEX(ExpTime,$L209),2)&amp;":"&amp;RIGHT(INDEX(ExpTime,$L209),2)))</f>
        <v/>
      </c>
      <c r="D209" s="17">
        <f>IF($L209="","",IF(INDEX(ExpBank,$L209)="","—",INDEX(ExpBank,$L209)))</f>
        <v/>
      </c>
      <c r="E209" s="18">
        <f>IF($L209="","",IF(INDEX(ExpParty,$L209)="","—",IFERROR(VLOOKUP(INDEX(ExpParty,$L209),AcctTbl,4,0),INDEX(ExpParty,$L209))))</f>
        <v/>
      </c>
      <c r="F209" s="17">
        <f>IF($L209="","",IF(INDEX(ExpType,$L209)="","—",INDEX(ExpType,$L209)))</f>
        <v/>
      </c>
      <c r="G209" s="19">
        <f>IF($L209="","",IF(INDEX(ExpDep,$L209)=0,"",INDEX(ExpDep,$L209)))</f>
        <v/>
      </c>
      <c r="H209" s="19">
        <f>IF($L209="","",IF(INDEX(ExpWit,$L209)=0,"",INDEX(ExpWit,$L209)))</f>
        <v/>
      </c>
      <c r="I209" s="20">
        <f>IF($B209="","",IF($I208="",0,$I208)+IF($H209="",0,$H209)-IF($G209="",0,$G209))</f>
        <v/>
      </c>
      <c r="J209" s="18">
        <f>IF($L209="","",IF(INDEX(ExpNote,$L209)="","—",INDEX(ExpNote,$L209)))</f>
        <v/>
      </c>
      <c r="L209">
        <f>IFERROR(MATCH($C$5&amp;"|"&amp;RIGHT("000000"&amp;193,6),ExpRankKey,0),"")</f>
        <v/>
      </c>
    </row>
    <row r="210">
      <c r="A210" s="21" t="n">
        <v>194</v>
      </c>
      <c r="B210" s="22">
        <f>IF($L210="","",INDEX(ExpNorm,$L210))</f>
        <v/>
      </c>
      <c r="C210" s="22">
        <f>IF($L210="","",IF(INDEX(ExpTime,$L210)="","—",LEFT(INDEX(ExpTime,$L210),2)&amp;":"&amp;RIGHT(INDEX(ExpTime,$L210),2)))</f>
        <v/>
      </c>
      <c r="D210" s="22">
        <f>IF($L210="","",IF(INDEX(ExpBank,$L210)="","—",INDEX(ExpBank,$L210)))</f>
        <v/>
      </c>
      <c r="E210" s="23">
        <f>IF($L210="","",IF(INDEX(ExpParty,$L210)="","—",IFERROR(VLOOKUP(INDEX(ExpParty,$L210),AcctTbl,4,0),INDEX(ExpParty,$L210))))</f>
        <v/>
      </c>
      <c r="F210" s="22">
        <f>IF($L210="","",IF(INDEX(ExpType,$L210)="","—",INDEX(ExpType,$L210)))</f>
        <v/>
      </c>
      <c r="G210" s="24">
        <f>IF($L210="","",IF(INDEX(ExpDep,$L210)=0,"",INDEX(ExpDep,$L210)))</f>
        <v/>
      </c>
      <c r="H210" s="24">
        <f>IF($L210="","",IF(INDEX(ExpWit,$L210)=0,"",INDEX(ExpWit,$L210)))</f>
        <v/>
      </c>
      <c r="I210" s="25">
        <f>IF($B210="","",IF($I209="",0,$I209)+IF($H210="",0,$H210)-IF($G210="",0,$G210))</f>
        <v/>
      </c>
      <c r="J210" s="23">
        <f>IF($L210="","",IF(INDEX(ExpNote,$L210)="","—",INDEX(ExpNote,$L210)))</f>
        <v/>
      </c>
      <c r="L210">
        <f>IFERROR(MATCH($C$5&amp;"|"&amp;RIGHT("000000"&amp;194,6),ExpRankKey,0),"")</f>
        <v/>
      </c>
    </row>
    <row r="211">
      <c r="A211" s="16" t="n">
        <v>195</v>
      </c>
      <c r="B211" s="17">
        <f>IF($L211="","",INDEX(ExpNorm,$L211))</f>
        <v/>
      </c>
      <c r="C211" s="17">
        <f>IF($L211="","",IF(INDEX(ExpTime,$L211)="","—",LEFT(INDEX(ExpTime,$L211),2)&amp;":"&amp;RIGHT(INDEX(ExpTime,$L211),2)))</f>
        <v/>
      </c>
      <c r="D211" s="17">
        <f>IF($L211="","",IF(INDEX(ExpBank,$L211)="","—",INDEX(ExpBank,$L211)))</f>
        <v/>
      </c>
      <c r="E211" s="18">
        <f>IF($L211="","",IF(INDEX(ExpParty,$L211)="","—",IFERROR(VLOOKUP(INDEX(ExpParty,$L211),AcctTbl,4,0),INDEX(ExpParty,$L211))))</f>
        <v/>
      </c>
      <c r="F211" s="17">
        <f>IF($L211="","",IF(INDEX(ExpType,$L211)="","—",INDEX(ExpType,$L211)))</f>
        <v/>
      </c>
      <c r="G211" s="19">
        <f>IF($L211="","",IF(INDEX(ExpDep,$L211)=0,"",INDEX(ExpDep,$L211)))</f>
        <v/>
      </c>
      <c r="H211" s="19">
        <f>IF($L211="","",IF(INDEX(ExpWit,$L211)=0,"",INDEX(ExpWit,$L211)))</f>
        <v/>
      </c>
      <c r="I211" s="20">
        <f>IF($B211="","",IF($I210="",0,$I210)+IF($H211="",0,$H211)-IF($G211="",0,$G211))</f>
        <v/>
      </c>
      <c r="J211" s="18">
        <f>IF($L211="","",IF(INDEX(ExpNote,$L211)="","—",INDEX(ExpNote,$L211)))</f>
        <v/>
      </c>
      <c r="L211">
        <f>IFERROR(MATCH($C$5&amp;"|"&amp;RIGHT("000000"&amp;195,6),ExpRankKey,0),"")</f>
        <v/>
      </c>
    </row>
    <row r="212">
      <c r="A212" s="21" t="n">
        <v>196</v>
      </c>
      <c r="B212" s="22">
        <f>IF($L212="","",INDEX(ExpNorm,$L212))</f>
        <v/>
      </c>
      <c r="C212" s="22">
        <f>IF($L212="","",IF(INDEX(ExpTime,$L212)="","—",LEFT(INDEX(ExpTime,$L212),2)&amp;":"&amp;RIGHT(INDEX(ExpTime,$L212),2)))</f>
        <v/>
      </c>
      <c r="D212" s="22">
        <f>IF($L212="","",IF(INDEX(ExpBank,$L212)="","—",INDEX(ExpBank,$L212)))</f>
        <v/>
      </c>
      <c r="E212" s="23">
        <f>IF($L212="","",IF(INDEX(ExpParty,$L212)="","—",IFERROR(VLOOKUP(INDEX(ExpParty,$L212),AcctTbl,4,0),INDEX(ExpParty,$L212))))</f>
        <v/>
      </c>
      <c r="F212" s="22">
        <f>IF($L212="","",IF(INDEX(ExpType,$L212)="","—",INDEX(ExpType,$L212)))</f>
        <v/>
      </c>
      <c r="G212" s="24">
        <f>IF($L212="","",IF(INDEX(ExpDep,$L212)=0,"",INDEX(ExpDep,$L212)))</f>
        <v/>
      </c>
      <c r="H212" s="24">
        <f>IF($L212="","",IF(INDEX(ExpWit,$L212)=0,"",INDEX(ExpWit,$L212)))</f>
        <v/>
      </c>
      <c r="I212" s="25">
        <f>IF($B212="","",IF($I211="",0,$I211)+IF($H212="",0,$H212)-IF($G212="",0,$G212))</f>
        <v/>
      </c>
      <c r="J212" s="23">
        <f>IF($L212="","",IF(INDEX(ExpNote,$L212)="","—",INDEX(ExpNote,$L212)))</f>
        <v/>
      </c>
      <c r="L212">
        <f>IFERROR(MATCH($C$5&amp;"|"&amp;RIGHT("000000"&amp;196,6),ExpRankKey,0),"")</f>
        <v/>
      </c>
    </row>
    <row r="213">
      <c r="A213" s="16" t="n">
        <v>197</v>
      </c>
      <c r="B213" s="17">
        <f>IF($L213="","",INDEX(ExpNorm,$L213))</f>
        <v/>
      </c>
      <c r="C213" s="17">
        <f>IF($L213="","",IF(INDEX(ExpTime,$L213)="","—",LEFT(INDEX(ExpTime,$L213),2)&amp;":"&amp;RIGHT(INDEX(ExpTime,$L213),2)))</f>
        <v/>
      </c>
      <c r="D213" s="17">
        <f>IF($L213="","",IF(INDEX(ExpBank,$L213)="","—",INDEX(ExpBank,$L213)))</f>
        <v/>
      </c>
      <c r="E213" s="18">
        <f>IF($L213="","",IF(INDEX(ExpParty,$L213)="","—",IFERROR(VLOOKUP(INDEX(ExpParty,$L213),AcctTbl,4,0),INDEX(ExpParty,$L213))))</f>
        <v/>
      </c>
      <c r="F213" s="17">
        <f>IF($L213="","",IF(INDEX(ExpType,$L213)="","—",INDEX(ExpType,$L213)))</f>
        <v/>
      </c>
      <c r="G213" s="19">
        <f>IF($L213="","",IF(INDEX(ExpDep,$L213)=0,"",INDEX(ExpDep,$L213)))</f>
        <v/>
      </c>
      <c r="H213" s="19">
        <f>IF($L213="","",IF(INDEX(ExpWit,$L213)=0,"",INDEX(ExpWit,$L213)))</f>
        <v/>
      </c>
      <c r="I213" s="20">
        <f>IF($B213="","",IF($I212="",0,$I212)+IF($H213="",0,$H213)-IF($G213="",0,$G213))</f>
        <v/>
      </c>
      <c r="J213" s="18">
        <f>IF($L213="","",IF(INDEX(ExpNote,$L213)="","—",INDEX(ExpNote,$L213)))</f>
        <v/>
      </c>
      <c r="L213">
        <f>IFERROR(MATCH($C$5&amp;"|"&amp;RIGHT("000000"&amp;197,6),ExpRankKey,0),"")</f>
        <v/>
      </c>
    </row>
    <row r="214">
      <c r="A214" s="21" t="n">
        <v>198</v>
      </c>
      <c r="B214" s="22">
        <f>IF($L214="","",INDEX(ExpNorm,$L214))</f>
        <v/>
      </c>
      <c r="C214" s="22">
        <f>IF($L214="","",IF(INDEX(ExpTime,$L214)="","—",LEFT(INDEX(ExpTime,$L214),2)&amp;":"&amp;RIGHT(INDEX(ExpTime,$L214),2)))</f>
        <v/>
      </c>
      <c r="D214" s="22">
        <f>IF($L214="","",IF(INDEX(ExpBank,$L214)="","—",INDEX(ExpBank,$L214)))</f>
        <v/>
      </c>
      <c r="E214" s="23">
        <f>IF($L214="","",IF(INDEX(ExpParty,$L214)="","—",IFERROR(VLOOKUP(INDEX(ExpParty,$L214),AcctTbl,4,0),INDEX(ExpParty,$L214))))</f>
        <v/>
      </c>
      <c r="F214" s="22">
        <f>IF($L214="","",IF(INDEX(ExpType,$L214)="","—",INDEX(ExpType,$L214)))</f>
        <v/>
      </c>
      <c r="G214" s="24">
        <f>IF($L214="","",IF(INDEX(ExpDep,$L214)=0,"",INDEX(ExpDep,$L214)))</f>
        <v/>
      </c>
      <c r="H214" s="24">
        <f>IF($L214="","",IF(INDEX(ExpWit,$L214)=0,"",INDEX(ExpWit,$L214)))</f>
        <v/>
      </c>
      <c r="I214" s="25">
        <f>IF($B214="","",IF($I213="",0,$I213)+IF($H214="",0,$H214)-IF($G214="",0,$G214))</f>
        <v/>
      </c>
      <c r="J214" s="23">
        <f>IF($L214="","",IF(INDEX(ExpNote,$L214)="","—",INDEX(ExpNote,$L214)))</f>
        <v/>
      </c>
      <c r="L214">
        <f>IFERROR(MATCH($C$5&amp;"|"&amp;RIGHT("000000"&amp;198,6),ExpRankKey,0),"")</f>
        <v/>
      </c>
    </row>
    <row r="215">
      <c r="A215" s="16" t="n">
        <v>199</v>
      </c>
      <c r="B215" s="17">
        <f>IF($L215="","",INDEX(ExpNorm,$L215))</f>
        <v/>
      </c>
      <c r="C215" s="17">
        <f>IF($L215="","",IF(INDEX(ExpTime,$L215)="","—",LEFT(INDEX(ExpTime,$L215),2)&amp;":"&amp;RIGHT(INDEX(ExpTime,$L215),2)))</f>
        <v/>
      </c>
      <c r="D215" s="17">
        <f>IF($L215="","",IF(INDEX(ExpBank,$L215)="","—",INDEX(ExpBank,$L215)))</f>
        <v/>
      </c>
      <c r="E215" s="18">
        <f>IF($L215="","",IF(INDEX(ExpParty,$L215)="","—",IFERROR(VLOOKUP(INDEX(ExpParty,$L215),AcctTbl,4,0),INDEX(ExpParty,$L215))))</f>
        <v/>
      </c>
      <c r="F215" s="17">
        <f>IF($L215="","",IF(INDEX(ExpType,$L215)="","—",INDEX(ExpType,$L215)))</f>
        <v/>
      </c>
      <c r="G215" s="19">
        <f>IF($L215="","",IF(INDEX(ExpDep,$L215)=0,"",INDEX(ExpDep,$L215)))</f>
        <v/>
      </c>
      <c r="H215" s="19">
        <f>IF($L215="","",IF(INDEX(ExpWit,$L215)=0,"",INDEX(ExpWit,$L215)))</f>
        <v/>
      </c>
      <c r="I215" s="20">
        <f>IF($B215="","",IF($I214="",0,$I214)+IF($H215="",0,$H215)-IF($G215="",0,$G215))</f>
        <v/>
      </c>
      <c r="J215" s="18">
        <f>IF($L215="","",IF(INDEX(ExpNote,$L215)="","—",INDEX(ExpNote,$L215)))</f>
        <v/>
      </c>
      <c r="L215">
        <f>IFERROR(MATCH($C$5&amp;"|"&amp;RIGHT("000000"&amp;199,6),ExpRankKey,0),"")</f>
        <v/>
      </c>
    </row>
    <row r="216">
      <c r="A216" s="21" t="n">
        <v>200</v>
      </c>
      <c r="B216" s="22">
        <f>IF($L216="","",INDEX(ExpNorm,$L216))</f>
        <v/>
      </c>
      <c r="C216" s="22">
        <f>IF($L216="","",IF(INDEX(ExpTime,$L216)="","—",LEFT(INDEX(ExpTime,$L216),2)&amp;":"&amp;RIGHT(INDEX(ExpTime,$L216),2)))</f>
        <v/>
      </c>
      <c r="D216" s="22">
        <f>IF($L216="","",IF(INDEX(ExpBank,$L216)="","—",INDEX(ExpBank,$L216)))</f>
        <v/>
      </c>
      <c r="E216" s="23">
        <f>IF($L216="","",IF(INDEX(ExpParty,$L216)="","—",IFERROR(VLOOKUP(INDEX(ExpParty,$L216),AcctTbl,4,0),INDEX(ExpParty,$L216))))</f>
        <v/>
      </c>
      <c r="F216" s="22">
        <f>IF($L216="","",IF(INDEX(ExpType,$L216)="","—",INDEX(ExpType,$L216)))</f>
        <v/>
      </c>
      <c r="G216" s="24">
        <f>IF($L216="","",IF(INDEX(ExpDep,$L216)=0,"",INDEX(ExpDep,$L216)))</f>
        <v/>
      </c>
      <c r="H216" s="24">
        <f>IF($L216="","",IF(INDEX(ExpWit,$L216)=0,"",INDEX(ExpWit,$L216)))</f>
        <v/>
      </c>
      <c r="I216" s="25">
        <f>IF($B216="","",IF($I215="",0,$I215)+IF($H216="",0,$H216)-IF($G216="",0,$G216))</f>
        <v/>
      </c>
      <c r="J216" s="23">
        <f>IF($L216="","",IF(INDEX(ExpNote,$L216)="","—",INDEX(ExpNote,$L216)))</f>
        <v/>
      </c>
      <c r="L216">
        <f>IFERROR(MATCH($C$5&amp;"|"&amp;RIGHT("000000"&amp;200,6),ExpRankKey,0),"")</f>
        <v/>
      </c>
    </row>
    <row r="217">
      <c r="A217" s="16" t="n">
        <v>201</v>
      </c>
      <c r="B217" s="17">
        <f>IF($L217="","",INDEX(ExpNorm,$L217))</f>
        <v/>
      </c>
      <c r="C217" s="17">
        <f>IF($L217="","",IF(INDEX(ExpTime,$L217)="","—",LEFT(INDEX(ExpTime,$L217),2)&amp;":"&amp;RIGHT(INDEX(ExpTime,$L217),2)))</f>
        <v/>
      </c>
      <c r="D217" s="17">
        <f>IF($L217="","",IF(INDEX(ExpBank,$L217)="","—",INDEX(ExpBank,$L217)))</f>
        <v/>
      </c>
      <c r="E217" s="18">
        <f>IF($L217="","",IF(INDEX(ExpParty,$L217)="","—",IFERROR(VLOOKUP(INDEX(ExpParty,$L217),AcctTbl,4,0),INDEX(ExpParty,$L217))))</f>
        <v/>
      </c>
      <c r="F217" s="17">
        <f>IF($L217="","",IF(INDEX(ExpType,$L217)="","—",INDEX(ExpType,$L217)))</f>
        <v/>
      </c>
      <c r="G217" s="19">
        <f>IF($L217="","",IF(INDEX(ExpDep,$L217)=0,"",INDEX(ExpDep,$L217)))</f>
        <v/>
      </c>
      <c r="H217" s="19">
        <f>IF($L217="","",IF(INDEX(ExpWit,$L217)=0,"",INDEX(ExpWit,$L217)))</f>
        <v/>
      </c>
      <c r="I217" s="20">
        <f>IF($B217="","",IF($I216="",0,$I216)+IF($H217="",0,$H217)-IF($G217="",0,$G217))</f>
        <v/>
      </c>
      <c r="J217" s="18">
        <f>IF($L217="","",IF(INDEX(ExpNote,$L217)="","—",INDEX(ExpNote,$L217)))</f>
        <v/>
      </c>
      <c r="L217">
        <f>IFERROR(MATCH($C$5&amp;"|"&amp;RIGHT("000000"&amp;201,6),ExpRankKey,0),"")</f>
        <v/>
      </c>
    </row>
    <row r="218">
      <c r="A218" s="21" t="n">
        <v>202</v>
      </c>
      <c r="B218" s="22">
        <f>IF($L218="","",INDEX(ExpNorm,$L218))</f>
        <v/>
      </c>
      <c r="C218" s="22">
        <f>IF($L218="","",IF(INDEX(ExpTime,$L218)="","—",LEFT(INDEX(ExpTime,$L218),2)&amp;":"&amp;RIGHT(INDEX(ExpTime,$L218),2)))</f>
        <v/>
      </c>
      <c r="D218" s="22">
        <f>IF($L218="","",IF(INDEX(ExpBank,$L218)="","—",INDEX(ExpBank,$L218)))</f>
        <v/>
      </c>
      <c r="E218" s="23">
        <f>IF($L218="","",IF(INDEX(ExpParty,$L218)="","—",IFERROR(VLOOKUP(INDEX(ExpParty,$L218),AcctTbl,4,0),INDEX(ExpParty,$L218))))</f>
        <v/>
      </c>
      <c r="F218" s="22">
        <f>IF($L218="","",IF(INDEX(ExpType,$L218)="","—",INDEX(ExpType,$L218)))</f>
        <v/>
      </c>
      <c r="G218" s="24">
        <f>IF($L218="","",IF(INDEX(ExpDep,$L218)=0,"",INDEX(ExpDep,$L218)))</f>
        <v/>
      </c>
      <c r="H218" s="24">
        <f>IF($L218="","",IF(INDEX(ExpWit,$L218)=0,"",INDEX(ExpWit,$L218)))</f>
        <v/>
      </c>
      <c r="I218" s="25">
        <f>IF($B218="","",IF($I217="",0,$I217)+IF($H218="",0,$H218)-IF($G218="",0,$G218))</f>
        <v/>
      </c>
      <c r="J218" s="23">
        <f>IF($L218="","",IF(INDEX(ExpNote,$L218)="","—",INDEX(ExpNote,$L218)))</f>
        <v/>
      </c>
      <c r="L218">
        <f>IFERROR(MATCH($C$5&amp;"|"&amp;RIGHT("000000"&amp;202,6),ExpRankKey,0),"")</f>
        <v/>
      </c>
    </row>
    <row r="219">
      <c r="A219" s="16" t="n">
        <v>203</v>
      </c>
      <c r="B219" s="17">
        <f>IF($L219="","",INDEX(ExpNorm,$L219))</f>
        <v/>
      </c>
      <c r="C219" s="17">
        <f>IF($L219="","",IF(INDEX(ExpTime,$L219)="","—",LEFT(INDEX(ExpTime,$L219),2)&amp;":"&amp;RIGHT(INDEX(ExpTime,$L219),2)))</f>
        <v/>
      </c>
      <c r="D219" s="17">
        <f>IF($L219="","",IF(INDEX(ExpBank,$L219)="","—",INDEX(ExpBank,$L219)))</f>
        <v/>
      </c>
      <c r="E219" s="18">
        <f>IF($L219="","",IF(INDEX(ExpParty,$L219)="","—",IFERROR(VLOOKUP(INDEX(ExpParty,$L219),AcctTbl,4,0),INDEX(ExpParty,$L219))))</f>
        <v/>
      </c>
      <c r="F219" s="17">
        <f>IF($L219="","",IF(INDEX(ExpType,$L219)="","—",INDEX(ExpType,$L219)))</f>
        <v/>
      </c>
      <c r="G219" s="19">
        <f>IF($L219="","",IF(INDEX(ExpDep,$L219)=0,"",INDEX(ExpDep,$L219)))</f>
        <v/>
      </c>
      <c r="H219" s="19">
        <f>IF($L219="","",IF(INDEX(ExpWit,$L219)=0,"",INDEX(ExpWit,$L219)))</f>
        <v/>
      </c>
      <c r="I219" s="20">
        <f>IF($B219="","",IF($I218="",0,$I218)+IF($H219="",0,$H219)-IF($G219="",0,$G219))</f>
        <v/>
      </c>
      <c r="J219" s="18">
        <f>IF($L219="","",IF(INDEX(ExpNote,$L219)="","—",INDEX(ExpNote,$L219)))</f>
        <v/>
      </c>
      <c r="L219">
        <f>IFERROR(MATCH($C$5&amp;"|"&amp;RIGHT("000000"&amp;203,6),ExpRankKey,0),"")</f>
        <v/>
      </c>
    </row>
    <row r="220">
      <c r="A220" s="21" t="n">
        <v>204</v>
      </c>
      <c r="B220" s="22">
        <f>IF($L220="","",INDEX(ExpNorm,$L220))</f>
        <v/>
      </c>
      <c r="C220" s="22">
        <f>IF($L220="","",IF(INDEX(ExpTime,$L220)="","—",LEFT(INDEX(ExpTime,$L220),2)&amp;":"&amp;RIGHT(INDEX(ExpTime,$L220),2)))</f>
        <v/>
      </c>
      <c r="D220" s="22">
        <f>IF($L220="","",IF(INDEX(ExpBank,$L220)="","—",INDEX(ExpBank,$L220)))</f>
        <v/>
      </c>
      <c r="E220" s="23">
        <f>IF($L220="","",IF(INDEX(ExpParty,$L220)="","—",IFERROR(VLOOKUP(INDEX(ExpParty,$L220),AcctTbl,4,0),INDEX(ExpParty,$L220))))</f>
        <v/>
      </c>
      <c r="F220" s="22">
        <f>IF($L220="","",IF(INDEX(ExpType,$L220)="","—",INDEX(ExpType,$L220)))</f>
        <v/>
      </c>
      <c r="G220" s="24">
        <f>IF($L220="","",IF(INDEX(ExpDep,$L220)=0,"",INDEX(ExpDep,$L220)))</f>
        <v/>
      </c>
      <c r="H220" s="24">
        <f>IF($L220="","",IF(INDEX(ExpWit,$L220)=0,"",INDEX(ExpWit,$L220)))</f>
        <v/>
      </c>
      <c r="I220" s="25">
        <f>IF($B220="","",IF($I219="",0,$I219)+IF($H220="",0,$H220)-IF($G220="",0,$G220))</f>
        <v/>
      </c>
      <c r="J220" s="23">
        <f>IF($L220="","",IF(INDEX(ExpNote,$L220)="","—",INDEX(ExpNote,$L220)))</f>
        <v/>
      </c>
      <c r="L220">
        <f>IFERROR(MATCH($C$5&amp;"|"&amp;RIGHT("000000"&amp;204,6),ExpRankKey,0),"")</f>
        <v/>
      </c>
    </row>
    <row r="221">
      <c r="A221" s="16" t="n">
        <v>205</v>
      </c>
      <c r="B221" s="17">
        <f>IF($L221="","",INDEX(ExpNorm,$L221))</f>
        <v/>
      </c>
      <c r="C221" s="17">
        <f>IF($L221="","",IF(INDEX(ExpTime,$L221)="","—",LEFT(INDEX(ExpTime,$L221),2)&amp;":"&amp;RIGHT(INDEX(ExpTime,$L221),2)))</f>
        <v/>
      </c>
      <c r="D221" s="17">
        <f>IF($L221="","",IF(INDEX(ExpBank,$L221)="","—",INDEX(ExpBank,$L221)))</f>
        <v/>
      </c>
      <c r="E221" s="18">
        <f>IF($L221="","",IF(INDEX(ExpParty,$L221)="","—",IFERROR(VLOOKUP(INDEX(ExpParty,$L221),AcctTbl,4,0),INDEX(ExpParty,$L221))))</f>
        <v/>
      </c>
      <c r="F221" s="17">
        <f>IF($L221="","",IF(INDEX(ExpType,$L221)="","—",INDEX(ExpType,$L221)))</f>
        <v/>
      </c>
      <c r="G221" s="19">
        <f>IF($L221="","",IF(INDEX(ExpDep,$L221)=0,"",INDEX(ExpDep,$L221)))</f>
        <v/>
      </c>
      <c r="H221" s="19">
        <f>IF($L221="","",IF(INDEX(ExpWit,$L221)=0,"",INDEX(ExpWit,$L221)))</f>
        <v/>
      </c>
      <c r="I221" s="20">
        <f>IF($B221="","",IF($I220="",0,$I220)+IF($H221="",0,$H221)-IF($G221="",0,$G221))</f>
        <v/>
      </c>
      <c r="J221" s="18">
        <f>IF($L221="","",IF(INDEX(ExpNote,$L221)="","—",INDEX(ExpNote,$L221)))</f>
        <v/>
      </c>
      <c r="L221">
        <f>IFERROR(MATCH($C$5&amp;"|"&amp;RIGHT("000000"&amp;205,6),ExpRankKey,0),"")</f>
        <v/>
      </c>
    </row>
    <row r="222">
      <c r="A222" s="21" t="n">
        <v>206</v>
      </c>
      <c r="B222" s="22">
        <f>IF($L222="","",INDEX(ExpNorm,$L222))</f>
        <v/>
      </c>
      <c r="C222" s="22">
        <f>IF($L222="","",IF(INDEX(ExpTime,$L222)="","—",LEFT(INDEX(ExpTime,$L222),2)&amp;":"&amp;RIGHT(INDEX(ExpTime,$L222),2)))</f>
        <v/>
      </c>
      <c r="D222" s="22">
        <f>IF($L222="","",IF(INDEX(ExpBank,$L222)="","—",INDEX(ExpBank,$L222)))</f>
        <v/>
      </c>
      <c r="E222" s="23">
        <f>IF($L222="","",IF(INDEX(ExpParty,$L222)="","—",IFERROR(VLOOKUP(INDEX(ExpParty,$L222),AcctTbl,4,0),INDEX(ExpParty,$L222))))</f>
        <v/>
      </c>
      <c r="F222" s="22">
        <f>IF($L222="","",IF(INDEX(ExpType,$L222)="","—",INDEX(ExpType,$L222)))</f>
        <v/>
      </c>
      <c r="G222" s="24">
        <f>IF($L222="","",IF(INDEX(ExpDep,$L222)=0,"",INDEX(ExpDep,$L222)))</f>
        <v/>
      </c>
      <c r="H222" s="24">
        <f>IF($L222="","",IF(INDEX(ExpWit,$L222)=0,"",INDEX(ExpWit,$L222)))</f>
        <v/>
      </c>
      <c r="I222" s="25">
        <f>IF($B222="","",IF($I221="",0,$I221)+IF($H222="",0,$H222)-IF($G222="",0,$G222))</f>
        <v/>
      </c>
      <c r="J222" s="23">
        <f>IF($L222="","",IF(INDEX(ExpNote,$L222)="","—",INDEX(ExpNote,$L222)))</f>
        <v/>
      </c>
      <c r="L222">
        <f>IFERROR(MATCH($C$5&amp;"|"&amp;RIGHT("000000"&amp;206,6),ExpRankKey,0),"")</f>
        <v/>
      </c>
    </row>
    <row r="223">
      <c r="A223" s="16" t="n">
        <v>207</v>
      </c>
      <c r="B223" s="17">
        <f>IF($L223="","",INDEX(ExpNorm,$L223))</f>
        <v/>
      </c>
      <c r="C223" s="17">
        <f>IF($L223="","",IF(INDEX(ExpTime,$L223)="","—",LEFT(INDEX(ExpTime,$L223),2)&amp;":"&amp;RIGHT(INDEX(ExpTime,$L223),2)))</f>
        <v/>
      </c>
      <c r="D223" s="17">
        <f>IF($L223="","",IF(INDEX(ExpBank,$L223)="","—",INDEX(ExpBank,$L223)))</f>
        <v/>
      </c>
      <c r="E223" s="18">
        <f>IF($L223="","",IF(INDEX(ExpParty,$L223)="","—",IFERROR(VLOOKUP(INDEX(ExpParty,$L223),AcctTbl,4,0),INDEX(ExpParty,$L223))))</f>
        <v/>
      </c>
      <c r="F223" s="17">
        <f>IF($L223="","",IF(INDEX(ExpType,$L223)="","—",INDEX(ExpType,$L223)))</f>
        <v/>
      </c>
      <c r="G223" s="19">
        <f>IF($L223="","",IF(INDEX(ExpDep,$L223)=0,"",INDEX(ExpDep,$L223)))</f>
        <v/>
      </c>
      <c r="H223" s="19">
        <f>IF($L223="","",IF(INDEX(ExpWit,$L223)=0,"",INDEX(ExpWit,$L223)))</f>
        <v/>
      </c>
      <c r="I223" s="20">
        <f>IF($B223="","",IF($I222="",0,$I222)+IF($H223="",0,$H223)-IF($G223="",0,$G223))</f>
        <v/>
      </c>
      <c r="J223" s="18">
        <f>IF($L223="","",IF(INDEX(ExpNote,$L223)="","—",INDEX(ExpNote,$L223)))</f>
        <v/>
      </c>
      <c r="L223">
        <f>IFERROR(MATCH($C$5&amp;"|"&amp;RIGHT("000000"&amp;207,6),ExpRankKey,0),"")</f>
        <v/>
      </c>
    </row>
    <row r="224">
      <c r="A224" s="21" t="n">
        <v>208</v>
      </c>
      <c r="B224" s="22">
        <f>IF($L224="","",INDEX(ExpNorm,$L224))</f>
        <v/>
      </c>
      <c r="C224" s="22">
        <f>IF($L224="","",IF(INDEX(ExpTime,$L224)="","—",LEFT(INDEX(ExpTime,$L224),2)&amp;":"&amp;RIGHT(INDEX(ExpTime,$L224),2)))</f>
        <v/>
      </c>
      <c r="D224" s="22">
        <f>IF($L224="","",IF(INDEX(ExpBank,$L224)="","—",INDEX(ExpBank,$L224)))</f>
        <v/>
      </c>
      <c r="E224" s="23">
        <f>IF($L224="","",IF(INDEX(ExpParty,$L224)="","—",IFERROR(VLOOKUP(INDEX(ExpParty,$L224),AcctTbl,4,0),INDEX(ExpParty,$L224))))</f>
        <v/>
      </c>
      <c r="F224" s="22">
        <f>IF($L224="","",IF(INDEX(ExpType,$L224)="","—",INDEX(ExpType,$L224)))</f>
        <v/>
      </c>
      <c r="G224" s="24">
        <f>IF($L224="","",IF(INDEX(ExpDep,$L224)=0,"",INDEX(ExpDep,$L224)))</f>
        <v/>
      </c>
      <c r="H224" s="24">
        <f>IF($L224="","",IF(INDEX(ExpWit,$L224)=0,"",INDEX(ExpWit,$L224)))</f>
        <v/>
      </c>
      <c r="I224" s="25">
        <f>IF($B224="","",IF($I223="",0,$I223)+IF($H224="",0,$H224)-IF($G224="",0,$G224))</f>
        <v/>
      </c>
      <c r="J224" s="23">
        <f>IF($L224="","",IF(INDEX(ExpNote,$L224)="","—",INDEX(ExpNote,$L224)))</f>
        <v/>
      </c>
      <c r="L224">
        <f>IFERROR(MATCH($C$5&amp;"|"&amp;RIGHT("000000"&amp;208,6),ExpRankKey,0),"")</f>
        <v/>
      </c>
    </row>
    <row r="225">
      <c r="A225" s="16" t="n">
        <v>209</v>
      </c>
      <c r="B225" s="17">
        <f>IF($L225="","",INDEX(ExpNorm,$L225))</f>
        <v/>
      </c>
      <c r="C225" s="17">
        <f>IF($L225="","",IF(INDEX(ExpTime,$L225)="","—",LEFT(INDEX(ExpTime,$L225),2)&amp;":"&amp;RIGHT(INDEX(ExpTime,$L225),2)))</f>
        <v/>
      </c>
      <c r="D225" s="17">
        <f>IF($L225="","",IF(INDEX(ExpBank,$L225)="","—",INDEX(ExpBank,$L225)))</f>
        <v/>
      </c>
      <c r="E225" s="18">
        <f>IF($L225="","",IF(INDEX(ExpParty,$L225)="","—",IFERROR(VLOOKUP(INDEX(ExpParty,$L225),AcctTbl,4,0),INDEX(ExpParty,$L225))))</f>
        <v/>
      </c>
      <c r="F225" s="17">
        <f>IF($L225="","",IF(INDEX(ExpType,$L225)="","—",INDEX(ExpType,$L225)))</f>
        <v/>
      </c>
      <c r="G225" s="19">
        <f>IF($L225="","",IF(INDEX(ExpDep,$L225)=0,"",INDEX(ExpDep,$L225)))</f>
        <v/>
      </c>
      <c r="H225" s="19">
        <f>IF($L225="","",IF(INDEX(ExpWit,$L225)=0,"",INDEX(ExpWit,$L225)))</f>
        <v/>
      </c>
      <c r="I225" s="20">
        <f>IF($B225="","",IF($I224="",0,$I224)+IF($H225="",0,$H225)-IF($G225="",0,$G225))</f>
        <v/>
      </c>
      <c r="J225" s="18">
        <f>IF($L225="","",IF(INDEX(ExpNote,$L225)="","—",INDEX(ExpNote,$L225)))</f>
        <v/>
      </c>
      <c r="L225">
        <f>IFERROR(MATCH($C$5&amp;"|"&amp;RIGHT("000000"&amp;209,6),ExpRankKey,0),"")</f>
        <v/>
      </c>
    </row>
    <row r="226">
      <c r="A226" s="21" t="n">
        <v>210</v>
      </c>
      <c r="B226" s="22">
        <f>IF($L226="","",INDEX(ExpNorm,$L226))</f>
        <v/>
      </c>
      <c r="C226" s="22">
        <f>IF($L226="","",IF(INDEX(ExpTime,$L226)="","—",LEFT(INDEX(ExpTime,$L226),2)&amp;":"&amp;RIGHT(INDEX(ExpTime,$L226),2)))</f>
        <v/>
      </c>
      <c r="D226" s="22">
        <f>IF($L226="","",IF(INDEX(ExpBank,$L226)="","—",INDEX(ExpBank,$L226)))</f>
        <v/>
      </c>
      <c r="E226" s="23">
        <f>IF($L226="","",IF(INDEX(ExpParty,$L226)="","—",IFERROR(VLOOKUP(INDEX(ExpParty,$L226),AcctTbl,4,0),INDEX(ExpParty,$L226))))</f>
        <v/>
      </c>
      <c r="F226" s="22">
        <f>IF($L226="","",IF(INDEX(ExpType,$L226)="","—",INDEX(ExpType,$L226)))</f>
        <v/>
      </c>
      <c r="G226" s="24">
        <f>IF($L226="","",IF(INDEX(ExpDep,$L226)=0,"",INDEX(ExpDep,$L226)))</f>
        <v/>
      </c>
      <c r="H226" s="24">
        <f>IF($L226="","",IF(INDEX(ExpWit,$L226)=0,"",INDEX(ExpWit,$L226)))</f>
        <v/>
      </c>
      <c r="I226" s="25">
        <f>IF($B226="","",IF($I225="",0,$I225)+IF($H226="",0,$H226)-IF($G226="",0,$G226))</f>
        <v/>
      </c>
      <c r="J226" s="23">
        <f>IF($L226="","",IF(INDEX(ExpNote,$L226)="","—",INDEX(ExpNote,$L226)))</f>
        <v/>
      </c>
      <c r="L226">
        <f>IFERROR(MATCH($C$5&amp;"|"&amp;RIGHT("000000"&amp;210,6),ExpRankKey,0),"")</f>
        <v/>
      </c>
    </row>
    <row r="227">
      <c r="A227" s="16" t="n">
        <v>211</v>
      </c>
      <c r="B227" s="17">
        <f>IF($L227="","",INDEX(ExpNorm,$L227))</f>
        <v/>
      </c>
      <c r="C227" s="17">
        <f>IF($L227="","",IF(INDEX(ExpTime,$L227)="","—",LEFT(INDEX(ExpTime,$L227),2)&amp;":"&amp;RIGHT(INDEX(ExpTime,$L227),2)))</f>
        <v/>
      </c>
      <c r="D227" s="17">
        <f>IF($L227="","",IF(INDEX(ExpBank,$L227)="","—",INDEX(ExpBank,$L227)))</f>
        <v/>
      </c>
      <c r="E227" s="18">
        <f>IF($L227="","",IF(INDEX(ExpParty,$L227)="","—",IFERROR(VLOOKUP(INDEX(ExpParty,$L227),AcctTbl,4,0),INDEX(ExpParty,$L227))))</f>
        <v/>
      </c>
      <c r="F227" s="17">
        <f>IF($L227="","",IF(INDEX(ExpType,$L227)="","—",INDEX(ExpType,$L227)))</f>
        <v/>
      </c>
      <c r="G227" s="19">
        <f>IF($L227="","",IF(INDEX(ExpDep,$L227)=0,"",INDEX(ExpDep,$L227)))</f>
        <v/>
      </c>
      <c r="H227" s="19">
        <f>IF($L227="","",IF(INDEX(ExpWit,$L227)=0,"",INDEX(ExpWit,$L227)))</f>
        <v/>
      </c>
      <c r="I227" s="20">
        <f>IF($B227="","",IF($I226="",0,$I226)+IF($H227="",0,$H227)-IF($G227="",0,$G227))</f>
        <v/>
      </c>
      <c r="J227" s="18">
        <f>IF($L227="","",IF(INDEX(ExpNote,$L227)="","—",INDEX(ExpNote,$L227)))</f>
        <v/>
      </c>
      <c r="L227">
        <f>IFERROR(MATCH($C$5&amp;"|"&amp;RIGHT("000000"&amp;211,6),ExpRankKey,0),"")</f>
        <v/>
      </c>
    </row>
    <row r="228">
      <c r="A228" s="21" t="n">
        <v>212</v>
      </c>
      <c r="B228" s="22">
        <f>IF($L228="","",INDEX(ExpNorm,$L228))</f>
        <v/>
      </c>
      <c r="C228" s="22">
        <f>IF($L228="","",IF(INDEX(ExpTime,$L228)="","—",LEFT(INDEX(ExpTime,$L228),2)&amp;":"&amp;RIGHT(INDEX(ExpTime,$L228),2)))</f>
        <v/>
      </c>
      <c r="D228" s="22">
        <f>IF($L228="","",IF(INDEX(ExpBank,$L228)="","—",INDEX(ExpBank,$L228)))</f>
        <v/>
      </c>
      <c r="E228" s="23">
        <f>IF($L228="","",IF(INDEX(ExpParty,$L228)="","—",IFERROR(VLOOKUP(INDEX(ExpParty,$L228),AcctTbl,4,0),INDEX(ExpParty,$L228))))</f>
        <v/>
      </c>
      <c r="F228" s="22">
        <f>IF($L228="","",IF(INDEX(ExpType,$L228)="","—",INDEX(ExpType,$L228)))</f>
        <v/>
      </c>
      <c r="G228" s="24">
        <f>IF($L228="","",IF(INDEX(ExpDep,$L228)=0,"",INDEX(ExpDep,$L228)))</f>
        <v/>
      </c>
      <c r="H228" s="24">
        <f>IF($L228="","",IF(INDEX(ExpWit,$L228)=0,"",INDEX(ExpWit,$L228)))</f>
        <v/>
      </c>
      <c r="I228" s="25">
        <f>IF($B228="","",IF($I227="",0,$I227)+IF($H228="",0,$H228)-IF($G228="",0,$G228))</f>
        <v/>
      </c>
      <c r="J228" s="23">
        <f>IF($L228="","",IF(INDEX(ExpNote,$L228)="","—",INDEX(ExpNote,$L228)))</f>
        <v/>
      </c>
      <c r="L228">
        <f>IFERROR(MATCH($C$5&amp;"|"&amp;RIGHT("000000"&amp;212,6),ExpRankKey,0),"")</f>
        <v/>
      </c>
    </row>
    <row r="229">
      <c r="A229" s="16" t="n">
        <v>213</v>
      </c>
      <c r="B229" s="17">
        <f>IF($L229="","",INDEX(ExpNorm,$L229))</f>
        <v/>
      </c>
      <c r="C229" s="17">
        <f>IF($L229="","",IF(INDEX(ExpTime,$L229)="","—",LEFT(INDEX(ExpTime,$L229),2)&amp;":"&amp;RIGHT(INDEX(ExpTime,$L229),2)))</f>
        <v/>
      </c>
      <c r="D229" s="17">
        <f>IF($L229="","",IF(INDEX(ExpBank,$L229)="","—",INDEX(ExpBank,$L229)))</f>
        <v/>
      </c>
      <c r="E229" s="18">
        <f>IF($L229="","",IF(INDEX(ExpParty,$L229)="","—",IFERROR(VLOOKUP(INDEX(ExpParty,$L229),AcctTbl,4,0),INDEX(ExpParty,$L229))))</f>
        <v/>
      </c>
      <c r="F229" s="17">
        <f>IF($L229="","",IF(INDEX(ExpType,$L229)="","—",INDEX(ExpType,$L229)))</f>
        <v/>
      </c>
      <c r="G229" s="19">
        <f>IF($L229="","",IF(INDEX(ExpDep,$L229)=0,"",INDEX(ExpDep,$L229)))</f>
        <v/>
      </c>
      <c r="H229" s="19">
        <f>IF($L229="","",IF(INDEX(ExpWit,$L229)=0,"",INDEX(ExpWit,$L229)))</f>
        <v/>
      </c>
      <c r="I229" s="20">
        <f>IF($B229="","",IF($I228="",0,$I228)+IF($H229="",0,$H229)-IF($G229="",0,$G229))</f>
        <v/>
      </c>
      <c r="J229" s="18">
        <f>IF($L229="","",IF(INDEX(ExpNote,$L229)="","—",INDEX(ExpNote,$L229)))</f>
        <v/>
      </c>
      <c r="L229">
        <f>IFERROR(MATCH($C$5&amp;"|"&amp;RIGHT("000000"&amp;213,6),ExpRankKey,0),"")</f>
        <v/>
      </c>
    </row>
    <row r="230">
      <c r="A230" s="21" t="n">
        <v>214</v>
      </c>
      <c r="B230" s="22">
        <f>IF($L230="","",INDEX(ExpNorm,$L230))</f>
        <v/>
      </c>
      <c r="C230" s="22">
        <f>IF($L230="","",IF(INDEX(ExpTime,$L230)="","—",LEFT(INDEX(ExpTime,$L230),2)&amp;":"&amp;RIGHT(INDEX(ExpTime,$L230),2)))</f>
        <v/>
      </c>
      <c r="D230" s="22">
        <f>IF($L230="","",IF(INDEX(ExpBank,$L230)="","—",INDEX(ExpBank,$L230)))</f>
        <v/>
      </c>
      <c r="E230" s="23">
        <f>IF($L230="","",IF(INDEX(ExpParty,$L230)="","—",IFERROR(VLOOKUP(INDEX(ExpParty,$L230),AcctTbl,4,0),INDEX(ExpParty,$L230))))</f>
        <v/>
      </c>
      <c r="F230" s="22">
        <f>IF($L230="","",IF(INDEX(ExpType,$L230)="","—",INDEX(ExpType,$L230)))</f>
        <v/>
      </c>
      <c r="G230" s="24">
        <f>IF($L230="","",IF(INDEX(ExpDep,$L230)=0,"",INDEX(ExpDep,$L230)))</f>
        <v/>
      </c>
      <c r="H230" s="24">
        <f>IF($L230="","",IF(INDEX(ExpWit,$L230)=0,"",INDEX(ExpWit,$L230)))</f>
        <v/>
      </c>
      <c r="I230" s="25">
        <f>IF($B230="","",IF($I229="",0,$I229)+IF($H230="",0,$H230)-IF($G230="",0,$G230))</f>
        <v/>
      </c>
      <c r="J230" s="23">
        <f>IF($L230="","",IF(INDEX(ExpNote,$L230)="","—",INDEX(ExpNote,$L230)))</f>
        <v/>
      </c>
      <c r="L230">
        <f>IFERROR(MATCH($C$5&amp;"|"&amp;RIGHT("000000"&amp;214,6),ExpRankKey,0),"")</f>
        <v/>
      </c>
    </row>
    <row r="231">
      <c r="A231" s="16" t="n">
        <v>215</v>
      </c>
      <c r="B231" s="17">
        <f>IF($L231="","",INDEX(ExpNorm,$L231))</f>
        <v/>
      </c>
      <c r="C231" s="17">
        <f>IF($L231="","",IF(INDEX(ExpTime,$L231)="","—",LEFT(INDEX(ExpTime,$L231),2)&amp;":"&amp;RIGHT(INDEX(ExpTime,$L231),2)))</f>
        <v/>
      </c>
      <c r="D231" s="17">
        <f>IF($L231="","",IF(INDEX(ExpBank,$L231)="","—",INDEX(ExpBank,$L231)))</f>
        <v/>
      </c>
      <c r="E231" s="18">
        <f>IF($L231="","",IF(INDEX(ExpParty,$L231)="","—",IFERROR(VLOOKUP(INDEX(ExpParty,$L231),AcctTbl,4,0),INDEX(ExpParty,$L231))))</f>
        <v/>
      </c>
      <c r="F231" s="17">
        <f>IF($L231="","",IF(INDEX(ExpType,$L231)="","—",INDEX(ExpType,$L231)))</f>
        <v/>
      </c>
      <c r="G231" s="19">
        <f>IF($L231="","",IF(INDEX(ExpDep,$L231)=0,"",INDEX(ExpDep,$L231)))</f>
        <v/>
      </c>
      <c r="H231" s="19">
        <f>IF($L231="","",IF(INDEX(ExpWit,$L231)=0,"",INDEX(ExpWit,$L231)))</f>
        <v/>
      </c>
      <c r="I231" s="20">
        <f>IF($B231="","",IF($I230="",0,$I230)+IF($H231="",0,$H231)-IF($G231="",0,$G231))</f>
        <v/>
      </c>
      <c r="J231" s="18">
        <f>IF($L231="","",IF(INDEX(ExpNote,$L231)="","—",INDEX(ExpNote,$L231)))</f>
        <v/>
      </c>
      <c r="L231">
        <f>IFERROR(MATCH($C$5&amp;"|"&amp;RIGHT("000000"&amp;215,6),ExpRankKey,0),"")</f>
        <v/>
      </c>
    </row>
    <row r="232">
      <c r="A232" s="21" t="n">
        <v>216</v>
      </c>
      <c r="B232" s="22">
        <f>IF($L232="","",INDEX(ExpNorm,$L232))</f>
        <v/>
      </c>
      <c r="C232" s="22">
        <f>IF($L232="","",IF(INDEX(ExpTime,$L232)="","—",LEFT(INDEX(ExpTime,$L232),2)&amp;":"&amp;RIGHT(INDEX(ExpTime,$L232),2)))</f>
        <v/>
      </c>
      <c r="D232" s="22">
        <f>IF($L232="","",IF(INDEX(ExpBank,$L232)="","—",INDEX(ExpBank,$L232)))</f>
        <v/>
      </c>
      <c r="E232" s="23">
        <f>IF($L232="","",IF(INDEX(ExpParty,$L232)="","—",IFERROR(VLOOKUP(INDEX(ExpParty,$L232),AcctTbl,4,0),INDEX(ExpParty,$L232))))</f>
        <v/>
      </c>
      <c r="F232" s="22">
        <f>IF($L232="","",IF(INDEX(ExpType,$L232)="","—",INDEX(ExpType,$L232)))</f>
        <v/>
      </c>
      <c r="G232" s="24">
        <f>IF($L232="","",IF(INDEX(ExpDep,$L232)=0,"",INDEX(ExpDep,$L232)))</f>
        <v/>
      </c>
      <c r="H232" s="24">
        <f>IF($L232="","",IF(INDEX(ExpWit,$L232)=0,"",INDEX(ExpWit,$L232)))</f>
        <v/>
      </c>
      <c r="I232" s="25">
        <f>IF($B232="","",IF($I231="",0,$I231)+IF($H232="",0,$H232)-IF($G232="",0,$G232))</f>
        <v/>
      </c>
      <c r="J232" s="23">
        <f>IF($L232="","",IF(INDEX(ExpNote,$L232)="","—",INDEX(ExpNote,$L232)))</f>
        <v/>
      </c>
      <c r="L232">
        <f>IFERROR(MATCH($C$5&amp;"|"&amp;RIGHT("000000"&amp;216,6),ExpRankKey,0),"")</f>
        <v/>
      </c>
    </row>
    <row r="233">
      <c r="A233" s="16" t="n">
        <v>217</v>
      </c>
      <c r="B233" s="17">
        <f>IF($L233="","",INDEX(ExpNorm,$L233))</f>
        <v/>
      </c>
      <c r="C233" s="17">
        <f>IF($L233="","",IF(INDEX(ExpTime,$L233)="","—",LEFT(INDEX(ExpTime,$L233),2)&amp;":"&amp;RIGHT(INDEX(ExpTime,$L233),2)))</f>
        <v/>
      </c>
      <c r="D233" s="17">
        <f>IF($L233="","",IF(INDEX(ExpBank,$L233)="","—",INDEX(ExpBank,$L233)))</f>
        <v/>
      </c>
      <c r="E233" s="18">
        <f>IF($L233="","",IF(INDEX(ExpParty,$L233)="","—",IFERROR(VLOOKUP(INDEX(ExpParty,$L233),AcctTbl,4,0),INDEX(ExpParty,$L233))))</f>
        <v/>
      </c>
      <c r="F233" s="17">
        <f>IF($L233="","",IF(INDEX(ExpType,$L233)="","—",INDEX(ExpType,$L233)))</f>
        <v/>
      </c>
      <c r="G233" s="19">
        <f>IF($L233="","",IF(INDEX(ExpDep,$L233)=0,"",INDEX(ExpDep,$L233)))</f>
        <v/>
      </c>
      <c r="H233" s="19">
        <f>IF($L233="","",IF(INDEX(ExpWit,$L233)=0,"",INDEX(ExpWit,$L233)))</f>
        <v/>
      </c>
      <c r="I233" s="20">
        <f>IF($B233="","",IF($I232="",0,$I232)+IF($H233="",0,$H233)-IF($G233="",0,$G233))</f>
        <v/>
      </c>
      <c r="J233" s="18">
        <f>IF($L233="","",IF(INDEX(ExpNote,$L233)="","—",INDEX(ExpNote,$L233)))</f>
        <v/>
      </c>
      <c r="L233">
        <f>IFERROR(MATCH($C$5&amp;"|"&amp;RIGHT("000000"&amp;217,6),ExpRankKey,0),"")</f>
        <v/>
      </c>
    </row>
    <row r="234">
      <c r="A234" s="21" t="n">
        <v>218</v>
      </c>
      <c r="B234" s="22">
        <f>IF($L234="","",INDEX(ExpNorm,$L234))</f>
        <v/>
      </c>
      <c r="C234" s="22">
        <f>IF($L234="","",IF(INDEX(ExpTime,$L234)="","—",LEFT(INDEX(ExpTime,$L234),2)&amp;":"&amp;RIGHT(INDEX(ExpTime,$L234),2)))</f>
        <v/>
      </c>
      <c r="D234" s="22">
        <f>IF($L234="","",IF(INDEX(ExpBank,$L234)="","—",INDEX(ExpBank,$L234)))</f>
        <v/>
      </c>
      <c r="E234" s="23">
        <f>IF($L234="","",IF(INDEX(ExpParty,$L234)="","—",IFERROR(VLOOKUP(INDEX(ExpParty,$L234),AcctTbl,4,0),INDEX(ExpParty,$L234))))</f>
        <v/>
      </c>
      <c r="F234" s="22">
        <f>IF($L234="","",IF(INDEX(ExpType,$L234)="","—",INDEX(ExpType,$L234)))</f>
        <v/>
      </c>
      <c r="G234" s="24">
        <f>IF($L234="","",IF(INDEX(ExpDep,$L234)=0,"",INDEX(ExpDep,$L234)))</f>
        <v/>
      </c>
      <c r="H234" s="24">
        <f>IF($L234="","",IF(INDEX(ExpWit,$L234)=0,"",INDEX(ExpWit,$L234)))</f>
        <v/>
      </c>
      <c r="I234" s="25">
        <f>IF($B234="","",IF($I233="",0,$I233)+IF($H234="",0,$H234)-IF($G234="",0,$G234))</f>
        <v/>
      </c>
      <c r="J234" s="23">
        <f>IF($L234="","",IF(INDEX(ExpNote,$L234)="","—",INDEX(ExpNote,$L234)))</f>
        <v/>
      </c>
      <c r="L234">
        <f>IFERROR(MATCH($C$5&amp;"|"&amp;RIGHT("000000"&amp;218,6),ExpRankKey,0),"")</f>
        <v/>
      </c>
    </row>
    <row r="235">
      <c r="A235" s="16" t="n">
        <v>219</v>
      </c>
      <c r="B235" s="17">
        <f>IF($L235="","",INDEX(ExpNorm,$L235))</f>
        <v/>
      </c>
      <c r="C235" s="17">
        <f>IF($L235="","",IF(INDEX(ExpTime,$L235)="","—",LEFT(INDEX(ExpTime,$L235),2)&amp;":"&amp;RIGHT(INDEX(ExpTime,$L235),2)))</f>
        <v/>
      </c>
      <c r="D235" s="17">
        <f>IF($L235="","",IF(INDEX(ExpBank,$L235)="","—",INDEX(ExpBank,$L235)))</f>
        <v/>
      </c>
      <c r="E235" s="18">
        <f>IF($L235="","",IF(INDEX(ExpParty,$L235)="","—",IFERROR(VLOOKUP(INDEX(ExpParty,$L235),AcctTbl,4,0),INDEX(ExpParty,$L235))))</f>
        <v/>
      </c>
      <c r="F235" s="17">
        <f>IF($L235="","",IF(INDEX(ExpType,$L235)="","—",INDEX(ExpType,$L235)))</f>
        <v/>
      </c>
      <c r="G235" s="19">
        <f>IF($L235="","",IF(INDEX(ExpDep,$L235)=0,"",INDEX(ExpDep,$L235)))</f>
        <v/>
      </c>
      <c r="H235" s="19">
        <f>IF($L235="","",IF(INDEX(ExpWit,$L235)=0,"",INDEX(ExpWit,$L235)))</f>
        <v/>
      </c>
      <c r="I235" s="20">
        <f>IF($B235="","",IF($I234="",0,$I234)+IF($H235="",0,$H235)-IF($G235="",0,$G235))</f>
        <v/>
      </c>
      <c r="J235" s="18">
        <f>IF($L235="","",IF(INDEX(ExpNote,$L235)="","—",INDEX(ExpNote,$L235)))</f>
        <v/>
      </c>
      <c r="L235">
        <f>IFERROR(MATCH($C$5&amp;"|"&amp;RIGHT("000000"&amp;219,6),ExpRankKey,0),"")</f>
        <v/>
      </c>
    </row>
    <row r="236">
      <c r="A236" s="21" t="n">
        <v>220</v>
      </c>
      <c r="B236" s="22">
        <f>IF($L236="","",INDEX(ExpNorm,$L236))</f>
        <v/>
      </c>
      <c r="C236" s="22">
        <f>IF($L236="","",IF(INDEX(ExpTime,$L236)="","—",LEFT(INDEX(ExpTime,$L236),2)&amp;":"&amp;RIGHT(INDEX(ExpTime,$L236),2)))</f>
        <v/>
      </c>
      <c r="D236" s="22">
        <f>IF($L236="","",IF(INDEX(ExpBank,$L236)="","—",INDEX(ExpBank,$L236)))</f>
        <v/>
      </c>
      <c r="E236" s="23">
        <f>IF($L236="","",IF(INDEX(ExpParty,$L236)="","—",IFERROR(VLOOKUP(INDEX(ExpParty,$L236),AcctTbl,4,0),INDEX(ExpParty,$L236))))</f>
        <v/>
      </c>
      <c r="F236" s="22">
        <f>IF($L236="","",IF(INDEX(ExpType,$L236)="","—",INDEX(ExpType,$L236)))</f>
        <v/>
      </c>
      <c r="G236" s="24">
        <f>IF($L236="","",IF(INDEX(ExpDep,$L236)=0,"",INDEX(ExpDep,$L236)))</f>
        <v/>
      </c>
      <c r="H236" s="24">
        <f>IF($L236="","",IF(INDEX(ExpWit,$L236)=0,"",INDEX(ExpWit,$L236)))</f>
        <v/>
      </c>
      <c r="I236" s="25">
        <f>IF($B236="","",IF($I235="",0,$I235)+IF($H236="",0,$H236)-IF($G236="",0,$G236))</f>
        <v/>
      </c>
      <c r="J236" s="23">
        <f>IF($L236="","",IF(INDEX(ExpNote,$L236)="","—",INDEX(ExpNote,$L236)))</f>
        <v/>
      </c>
      <c r="L236">
        <f>IFERROR(MATCH($C$5&amp;"|"&amp;RIGHT("000000"&amp;220,6),ExpRankKey,0),"")</f>
        <v/>
      </c>
    </row>
    <row r="237">
      <c r="A237" s="16" t="n">
        <v>221</v>
      </c>
      <c r="B237" s="17">
        <f>IF($L237="","",INDEX(ExpNorm,$L237))</f>
        <v/>
      </c>
      <c r="C237" s="17">
        <f>IF($L237="","",IF(INDEX(ExpTime,$L237)="","—",LEFT(INDEX(ExpTime,$L237),2)&amp;":"&amp;RIGHT(INDEX(ExpTime,$L237),2)))</f>
        <v/>
      </c>
      <c r="D237" s="17">
        <f>IF($L237="","",IF(INDEX(ExpBank,$L237)="","—",INDEX(ExpBank,$L237)))</f>
        <v/>
      </c>
      <c r="E237" s="18">
        <f>IF($L237="","",IF(INDEX(ExpParty,$L237)="","—",IFERROR(VLOOKUP(INDEX(ExpParty,$L237),AcctTbl,4,0),INDEX(ExpParty,$L237))))</f>
        <v/>
      </c>
      <c r="F237" s="17">
        <f>IF($L237="","",IF(INDEX(ExpType,$L237)="","—",INDEX(ExpType,$L237)))</f>
        <v/>
      </c>
      <c r="G237" s="19">
        <f>IF($L237="","",IF(INDEX(ExpDep,$L237)=0,"",INDEX(ExpDep,$L237)))</f>
        <v/>
      </c>
      <c r="H237" s="19">
        <f>IF($L237="","",IF(INDEX(ExpWit,$L237)=0,"",INDEX(ExpWit,$L237)))</f>
        <v/>
      </c>
      <c r="I237" s="20">
        <f>IF($B237="","",IF($I236="",0,$I236)+IF($H237="",0,$H237)-IF($G237="",0,$G237))</f>
        <v/>
      </c>
      <c r="J237" s="18">
        <f>IF($L237="","",IF(INDEX(ExpNote,$L237)="","—",INDEX(ExpNote,$L237)))</f>
        <v/>
      </c>
      <c r="L237">
        <f>IFERROR(MATCH($C$5&amp;"|"&amp;RIGHT("000000"&amp;221,6),ExpRankKey,0),"")</f>
        <v/>
      </c>
    </row>
    <row r="238">
      <c r="A238" s="21" t="n">
        <v>222</v>
      </c>
      <c r="B238" s="22">
        <f>IF($L238="","",INDEX(ExpNorm,$L238))</f>
        <v/>
      </c>
      <c r="C238" s="22">
        <f>IF($L238="","",IF(INDEX(ExpTime,$L238)="","—",LEFT(INDEX(ExpTime,$L238),2)&amp;":"&amp;RIGHT(INDEX(ExpTime,$L238),2)))</f>
        <v/>
      </c>
      <c r="D238" s="22">
        <f>IF($L238="","",IF(INDEX(ExpBank,$L238)="","—",INDEX(ExpBank,$L238)))</f>
        <v/>
      </c>
      <c r="E238" s="23">
        <f>IF($L238="","",IF(INDEX(ExpParty,$L238)="","—",IFERROR(VLOOKUP(INDEX(ExpParty,$L238),AcctTbl,4,0),INDEX(ExpParty,$L238))))</f>
        <v/>
      </c>
      <c r="F238" s="22">
        <f>IF($L238="","",IF(INDEX(ExpType,$L238)="","—",INDEX(ExpType,$L238)))</f>
        <v/>
      </c>
      <c r="G238" s="24">
        <f>IF($L238="","",IF(INDEX(ExpDep,$L238)=0,"",INDEX(ExpDep,$L238)))</f>
        <v/>
      </c>
      <c r="H238" s="24">
        <f>IF($L238="","",IF(INDEX(ExpWit,$L238)=0,"",INDEX(ExpWit,$L238)))</f>
        <v/>
      </c>
      <c r="I238" s="25">
        <f>IF($B238="","",IF($I237="",0,$I237)+IF($H238="",0,$H238)-IF($G238="",0,$G238))</f>
        <v/>
      </c>
      <c r="J238" s="23">
        <f>IF($L238="","",IF(INDEX(ExpNote,$L238)="","—",INDEX(ExpNote,$L238)))</f>
        <v/>
      </c>
      <c r="L238">
        <f>IFERROR(MATCH($C$5&amp;"|"&amp;RIGHT("000000"&amp;222,6),ExpRankKey,0),"")</f>
        <v/>
      </c>
    </row>
    <row r="239">
      <c r="A239" s="16" t="n">
        <v>223</v>
      </c>
      <c r="B239" s="17">
        <f>IF($L239="","",INDEX(ExpNorm,$L239))</f>
        <v/>
      </c>
      <c r="C239" s="17">
        <f>IF($L239="","",IF(INDEX(ExpTime,$L239)="","—",LEFT(INDEX(ExpTime,$L239),2)&amp;":"&amp;RIGHT(INDEX(ExpTime,$L239),2)))</f>
        <v/>
      </c>
      <c r="D239" s="17">
        <f>IF($L239="","",IF(INDEX(ExpBank,$L239)="","—",INDEX(ExpBank,$L239)))</f>
        <v/>
      </c>
      <c r="E239" s="18">
        <f>IF($L239="","",IF(INDEX(ExpParty,$L239)="","—",IFERROR(VLOOKUP(INDEX(ExpParty,$L239),AcctTbl,4,0),INDEX(ExpParty,$L239))))</f>
        <v/>
      </c>
      <c r="F239" s="17">
        <f>IF($L239="","",IF(INDEX(ExpType,$L239)="","—",INDEX(ExpType,$L239)))</f>
        <v/>
      </c>
      <c r="G239" s="19">
        <f>IF($L239="","",IF(INDEX(ExpDep,$L239)=0,"",INDEX(ExpDep,$L239)))</f>
        <v/>
      </c>
      <c r="H239" s="19">
        <f>IF($L239="","",IF(INDEX(ExpWit,$L239)=0,"",INDEX(ExpWit,$L239)))</f>
        <v/>
      </c>
      <c r="I239" s="20">
        <f>IF($B239="","",IF($I238="",0,$I238)+IF($H239="",0,$H239)-IF($G239="",0,$G239))</f>
        <v/>
      </c>
      <c r="J239" s="18">
        <f>IF($L239="","",IF(INDEX(ExpNote,$L239)="","—",INDEX(ExpNote,$L239)))</f>
        <v/>
      </c>
      <c r="L239">
        <f>IFERROR(MATCH($C$5&amp;"|"&amp;RIGHT("000000"&amp;223,6),ExpRankKey,0),"")</f>
        <v/>
      </c>
    </row>
    <row r="240">
      <c r="A240" s="21" t="n">
        <v>224</v>
      </c>
      <c r="B240" s="22">
        <f>IF($L240="","",INDEX(ExpNorm,$L240))</f>
        <v/>
      </c>
      <c r="C240" s="22">
        <f>IF($L240="","",IF(INDEX(ExpTime,$L240)="","—",LEFT(INDEX(ExpTime,$L240),2)&amp;":"&amp;RIGHT(INDEX(ExpTime,$L240),2)))</f>
        <v/>
      </c>
      <c r="D240" s="22">
        <f>IF($L240="","",IF(INDEX(ExpBank,$L240)="","—",INDEX(ExpBank,$L240)))</f>
        <v/>
      </c>
      <c r="E240" s="23">
        <f>IF($L240="","",IF(INDEX(ExpParty,$L240)="","—",IFERROR(VLOOKUP(INDEX(ExpParty,$L240),AcctTbl,4,0),INDEX(ExpParty,$L240))))</f>
        <v/>
      </c>
      <c r="F240" s="22">
        <f>IF($L240="","",IF(INDEX(ExpType,$L240)="","—",INDEX(ExpType,$L240)))</f>
        <v/>
      </c>
      <c r="G240" s="24">
        <f>IF($L240="","",IF(INDEX(ExpDep,$L240)=0,"",INDEX(ExpDep,$L240)))</f>
        <v/>
      </c>
      <c r="H240" s="24">
        <f>IF($L240="","",IF(INDEX(ExpWit,$L240)=0,"",INDEX(ExpWit,$L240)))</f>
        <v/>
      </c>
      <c r="I240" s="25">
        <f>IF($B240="","",IF($I239="",0,$I239)+IF($H240="",0,$H240)-IF($G240="",0,$G240))</f>
        <v/>
      </c>
      <c r="J240" s="23">
        <f>IF($L240="","",IF(INDEX(ExpNote,$L240)="","—",INDEX(ExpNote,$L240)))</f>
        <v/>
      </c>
      <c r="L240">
        <f>IFERROR(MATCH($C$5&amp;"|"&amp;RIGHT("000000"&amp;224,6),ExpRankKey,0),"")</f>
        <v/>
      </c>
    </row>
    <row r="241">
      <c r="A241" s="16" t="n">
        <v>225</v>
      </c>
      <c r="B241" s="17">
        <f>IF($L241="","",INDEX(ExpNorm,$L241))</f>
        <v/>
      </c>
      <c r="C241" s="17">
        <f>IF($L241="","",IF(INDEX(ExpTime,$L241)="","—",LEFT(INDEX(ExpTime,$L241),2)&amp;":"&amp;RIGHT(INDEX(ExpTime,$L241),2)))</f>
        <v/>
      </c>
      <c r="D241" s="17">
        <f>IF($L241="","",IF(INDEX(ExpBank,$L241)="","—",INDEX(ExpBank,$L241)))</f>
        <v/>
      </c>
      <c r="E241" s="18">
        <f>IF($L241="","",IF(INDEX(ExpParty,$L241)="","—",IFERROR(VLOOKUP(INDEX(ExpParty,$L241),AcctTbl,4,0),INDEX(ExpParty,$L241))))</f>
        <v/>
      </c>
      <c r="F241" s="17">
        <f>IF($L241="","",IF(INDEX(ExpType,$L241)="","—",INDEX(ExpType,$L241)))</f>
        <v/>
      </c>
      <c r="G241" s="19">
        <f>IF($L241="","",IF(INDEX(ExpDep,$L241)=0,"",INDEX(ExpDep,$L241)))</f>
        <v/>
      </c>
      <c r="H241" s="19">
        <f>IF($L241="","",IF(INDEX(ExpWit,$L241)=0,"",INDEX(ExpWit,$L241)))</f>
        <v/>
      </c>
      <c r="I241" s="20">
        <f>IF($B241="","",IF($I240="",0,$I240)+IF($H241="",0,$H241)-IF($G241="",0,$G241))</f>
        <v/>
      </c>
      <c r="J241" s="18">
        <f>IF($L241="","",IF(INDEX(ExpNote,$L241)="","—",INDEX(ExpNote,$L241)))</f>
        <v/>
      </c>
      <c r="L241">
        <f>IFERROR(MATCH($C$5&amp;"|"&amp;RIGHT("000000"&amp;225,6),ExpRankKey,0),"")</f>
        <v/>
      </c>
    </row>
    <row r="242">
      <c r="A242" s="21" t="n">
        <v>226</v>
      </c>
      <c r="B242" s="22">
        <f>IF($L242="","",INDEX(ExpNorm,$L242))</f>
        <v/>
      </c>
      <c r="C242" s="22">
        <f>IF($L242="","",IF(INDEX(ExpTime,$L242)="","—",LEFT(INDEX(ExpTime,$L242),2)&amp;":"&amp;RIGHT(INDEX(ExpTime,$L242),2)))</f>
        <v/>
      </c>
      <c r="D242" s="22">
        <f>IF($L242="","",IF(INDEX(ExpBank,$L242)="","—",INDEX(ExpBank,$L242)))</f>
        <v/>
      </c>
      <c r="E242" s="23">
        <f>IF($L242="","",IF(INDEX(ExpParty,$L242)="","—",IFERROR(VLOOKUP(INDEX(ExpParty,$L242),AcctTbl,4,0),INDEX(ExpParty,$L242))))</f>
        <v/>
      </c>
      <c r="F242" s="22">
        <f>IF($L242="","",IF(INDEX(ExpType,$L242)="","—",INDEX(ExpType,$L242)))</f>
        <v/>
      </c>
      <c r="G242" s="24">
        <f>IF($L242="","",IF(INDEX(ExpDep,$L242)=0,"",INDEX(ExpDep,$L242)))</f>
        <v/>
      </c>
      <c r="H242" s="24">
        <f>IF($L242="","",IF(INDEX(ExpWit,$L242)=0,"",INDEX(ExpWit,$L242)))</f>
        <v/>
      </c>
      <c r="I242" s="25">
        <f>IF($B242="","",IF($I241="",0,$I241)+IF($H242="",0,$H242)-IF($G242="",0,$G242))</f>
        <v/>
      </c>
      <c r="J242" s="23">
        <f>IF($L242="","",IF(INDEX(ExpNote,$L242)="","—",INDEX(ExpNote,$L242)))</f>
        <v/>
      </c>
      <c r="L242">
        <f>IFERROR(MATCH($C$5&amp;"|"&amp;RIGHT("000000"&amp;226,6),ExpRankKey,0),"")</f>
        <v/>
      </c>
    </row>
    <row r="243">
      <c r="A243" s="16" t="n">
        <v>227</v>
      </c>
      <c r="B243" s="17">
        <f>IF($L243="","",INDEX(ExpNorm,$L243))</f>
        <v/>
      </c>
      <c r="C243" s="17">
        <f>IF($L243="","",IF(INDEX(ExpTime,$L243)="","—",LEFT(INDEX(ExpTime,$L243),2)&amp;":"&amp;RIGHT(INDEX(ExpTime,$L243),2)))</f>
        <v/>
      </c>
      <c r="D243" s="17">
        <f>IF($L243="","",IF(INDEX(ExpBank,$L243)="","—",INDEX(ExpBank,$L243)))</f>
        <v/>
      </c>
      <c r="E243" s="18">
        <f>IF($L243="","",IF(INDEX(ExpParty,$L243)="","—",IFERROR(VLOOKUP(INDEX(ExpParty,$L243),AcctTbl,4,0),INDEX(ExpParty,$L243))))</f>
        <v/>
      </c>
      <c r="F243" s="17">
        <f>IF($L243="","",IF(INDEX(ExpType,$L243)="","—",INDEX(ExpType,$L243)))</f>
        <v/>
      </c>
      <c r="G243" s="19">
        <f>IF($L243="","",IF(INDEX(ExpDep,$L243)=0,"",INDEX(ExpDep,$L243)))</f>
        <v/>
      </c>
      <c r="H243" s="19">
        <f>IF($L243="","",IF(INDEX(ExpWit,$L243)=0,"",INDEX(ExpWit,$L243)))</f>
        <v/>
      </c>
      <c r="I243" s="20">
        <f>IF($B243="","",IF($I242="",0,$I242)+IF($H243="",0,$H243)-IF($G243="",0,$G243))</f>
        <v/>
      </c>
      <c r="J243" s="18">
        <f>IF($L243="","",IF(INDEX(ExpNote,$L243)="","—",INDEX(ExpNote,$L243)))</f>
        <v/>
      </c>
      <c r="L243">
        <f>IFERROR(MATCH($C$5&amp;"|"&amp;RIGHT("000000"&amp;227,6),ExpRankKey,0),"")</f>
        <v/>
      </c>
    </row>
    <row r="244">
      <c r="A244" s="21" t="n">
        <v>228</v>
      </c>
      <c r="B244" s="22">
        <f>IF($L244="","",INDEX(ExpNorm,$L244))</f>
        <v/>
      </c>
      <c r="C244" s="22">
        <f>IF($L244="","",IF(INDEX(ExpTime,$L244)="","—",LEFT(INDEX(ExpTime,$L244),2)&amp;":"&amp;RIGHT(INDEX(ExpTime,$L244),2)))</f>
        <v/>
      </c>
      <c r="D244" s="22">
        <f>IF($L244="","",IF(INDEX(ExpBank,$L244)="","—",INDEX(ExpBank,$L244)))</f>
        <v/>
      </c>
      <c r="E244" s="23">
        <f>IF($L244="","",IF(INDEX(ExpParty,$L244)="","—",IFERROR(VLOOKUP(INDEX(ExpParty,$L244),AcctTbl,4,0),INDEX(ExpParty,$L244))))</f>
        <v/>
      </c>
      <c r="F244" s="22">
        <f>IF($L244="","",IF(INDEX(ExpType,$L244)="","—",INDEX(ExpType,$L244)))</f>
        <v/>
      </c>
      <c r="G244" s="24">
        <f>IF($L244="","",IF(INDEX(ExpDep,$L244)=0,"",INDEX(ExpDep,$L244)))</f>
        <v/>
      </c>
      <c r="H244" s="24">
        <f>IF($L244="","",IF(INDEX(ExpWit,$L244)=0,"",INDEX(ExpWit,$L244)))</f>
        <v/>
      </c>
      <c r="I244" s="25">
        <f>IF($B244="","",IF($I243="",0,$I243)+IF($H244="",0,$H244)-IF($G244="",0,$G244))</f>
        <v/>
      </c>
      <c r="J244" s="23">
        <f>IF($L244="","",IF(INDEX(ExpNote,$L244)="","—",INDEX(ExpNote,$L244)))</f>
        <v/>
      </c>
      <c r="L244">
        <f>IFERROR(MATCH($C$5&amp;"|"&amp;RIGHT("000000"&amp;228,6),ExpRankKey,0),"")</f>
        <v/>
      </c>
    </row>
    <row r="245">
      <c r="A245" s="16" t="n">
        <v>229</v>
      </c>
      <c r="B245" s="17">
        <f>IF($L245="","",INDEX(ExpNorm,$L245))</f>
        <v/>
      </c>
      <c r="C245" s="17">
        <f>IF($L245="","",IF(INDEX(ExpTime,$L245)="","—",LEFT(INDEX(ExpTime,$L245),2)&amp;":"&amp;RIGHT(INDEX(ExpTime,$L245),2)))</f>
        <v/>
      </c>
      <c r="D245" s="17">
        <f>IF($L245="","",IF(INDEX(ExpBank,$L245)="","—",INDEX(ExpBank,$L245)))</f>
        <v/>
      </c>
      <c r="E245" s="18">
        <f>IF($L245="","",IF(INDEX(ExpParty,$L245)="","—",IFERROR(VLOOKUP(INDEX(ExpParty,$L245),AcctTbl,4,0),INDEX(ExpParty,$L245))))</f>
        <v/>
      </c>
      <c r="F245" s="17">
        <f>IF($L245="","",IF(INDEX(ExpType,$L245)="","—",INDEX(ExpType,$L245)))</f>
        <v/>
      </c>
      <c r="G245" s="19">
        <f>IF($L245="","",IF(INDEX(ExpDep,$L245)=0,"",INDEX(ExpDep,$L245)))</f>
        <v/>
      </c>
      <c r="H245" s="19">
        <f>IF($L245="","",IF(INDEX(ExpWit,$L245)=0,"",INDEX(ExpWit,$L245)))</f>
        <v/>
      </c>
      <c r="I245" s="20">
        <f>IF($B245="","",IF($I244="",0,$I244)+IF($H245="",0,$H245)-IF($G245="",0,$G245))</f>
        <v/>
      </c>
      <c r="J245" s="18">
        <f>IF($L245="","",IF(INDEX(ExpNote,$L245)="","—",INDEX(ExpNote,$L245)))</f>
        <v/>
      </c>
      <c r="L245">
        <f>IFERROR(MATCH($C$5&amp;"|"&amp;RIGHT("000000"&amp;229,6),ExpRankKey,0),"")</f>
        <v/>
      </c>
    </row>
    <row r="246">
      <c r="A246" s="21" t="n">
        <v>230</v>
      </c>
      <c r="B246" s="22">
        <f>IF($L246="","",INDEX(ExpNorm,$L246))</f>
        <v/>
      </c>
      <c r="C246" s="22">
        <f>IF($L246="","",IF(INDEX(ExpTime,$L246)="","—",LEFT(INDEX(ExpTime,$L246),2)&amp;":"&amp;RIGHT(INDEX(ExpTime,$L246),2)))</f>
        <v/>
      </c>
      <c r="D246" s="22">
        <f>IF($L246="","",IF(INDEX(ExpBank,$L246)="","—",INDEX(ExpBank,$L246)))</f>
        <v/>
      </c>
      <c r="E246" s="23">
        <f>IF($L246="","",IF(INDEX(ExpParty,$L246)="","—",IFERROR(VLOOKUP(INDEX(ExpParty,$L246),AcctTbl,4,0),INDEX(ExpParty,$L246))))</f>
        <v/>
      </c>
      <c r="F246" s="22">
        <f>IF($L246="","",IF(INDEX(ExpType,$L246)="","—",INDEX(ExpType,$L246)))</f>
        <v/>
      </c>
      <c r="G246" s="24">
        <f>IF($L246="","",IF(INDEX(ExpDep,$L246)=0,"",INDEX(ExpDep,$L246)))</f>
        <v/>
      </c>
      <c r="H246" s="24">
        <f>IF($L246="","",IF(INDEX(ExpWit,$L246)=0,"",INDEX(ExpWit,$L246)))</f>
        <v/>
      </c>
      <c r="I246" s="25">
        <f>IF($B246="","",IF($I245="",0,$I245)+IF($H246="",0,$H246)-IF($G246="",0,$G246))</f>
        <v/>
      </c>
      <c r="J246" s="23">
        <f>IF($L246="","",IF(INDEX(ExpNote,$L246)="","—",INDEX(ExpNote,$L246)))</f>
        <v/>
      </c>
      <c r="L246">
        <f>IFERROR(MATCH($C$5&amp;"|"&amp;RIGHT("000000"&amp;230,6),ExpRankKey,0),"")</f>
        <v/>
      </c>
    </row>
    <row r="247">
      <c r="A247" s="16" t="n">
        <v>231</v>
      </c>
      <c r="B247" s="17">
        <f>IF($L247="","",INDEX(ExpNorm,$L247))</f>
        <v/>
      </c>
      <c r="C247" s="17">
        <f>IF($L247="","",IF(INDEX(ExpTime,$L247)="","—",LEFT(INDEX(ExpTime,$L247),2)&amp;":"&amp;RIGHT(INDEX(ExpTime,$L247),2)))</f>
        <v/>
      </c>
      <c r="D247" s="17">
        <f>IF($L247="","",IF(INDEX(ExpBank,$L247)="","—",INDEX(ExpBank,$L247)))</f>
        <v/>
      </c>
      <c r="E247" s="18">
        <f>IF($L247="","",IF(INDEX(ExpParty,$L247)="","—",IFERROR(VLOOKUP(INDEX(ExpParty,$L247),AcctTbl,4,0),INDEX(ExpParty,$L247))))</f>
        <v/>
      </c>
      <c r="F247" s="17">
        <f>IF($L247="","",IF(INDEX(ExpType,$L247)="","—",INDEX(ExpType,$L247)))</f>
        <v/>
      </c>
      <c r="G247" s="19">
        <f>IF($L247="","",IF(INDEX(ExpDep,$L247)=0,"",INDEX(ExpDep,$L247)))</f>
        <v/>
      </c>
      <c r="H247" s="19">
        <f>IF($L247="","",IF(INDEX(ExpWit,$L247)=0,"",INDEX(ExpWit,$L247)))</f>
        <v/>
      </c>
      <c r="I247" s="20">
        <f>IF($B247="","",IF($I246="",0,$I246)+IF($H247="",0,$H247)-IF($G247="",0,$G247))</f>
        <v/>
      </c>
      <c r="J247" s="18">
        <f>IF($L247="","",IF(INDEX(ExpNote,$L247)="","—",INDEX(ExpNote,$L247)))</f>
        <v/>
      </c>
      <c r="L247">
        <f>IFERROR(MATCH($C$5&amp;"|"&amp;RIGHT("000000"&amp;231,6),ExpRankKey,0),"")</f>
        <v/>
      </c>
    </row>
    <row r="248">
      <c r="A248" s="21" t="n">
        <v>232</v>
      </c>
      <c r="B248" s="22">
        <f>IF($L248="","",INDEX(ExpNorm,$L248))</f>
        <v/>
      </c>
      <c r="C248" s="22">
        <f>IF($L248="","",IF(INDEX(ExpTime,$L248)="","—",LEFT(INDEX(ExpTime,$L248),2)&amp;":"&amp;RIGHT(INDEX(ExpTime,$L248),2)))</f>
        <v/>
      </c>
      <c r="D248" s="22">
        <f>IF($L248="","",IF(INDEX(ExpBank,$L248)="","—",INDEX(ExpBank,$L248)))</f>
        <v/>
      </c>
      <c r="E248" s="23">
        <f>IF($L248="","",IF(INDEX(ExpParty,$L248)="","—",IFERROR(VLOOKUP(INDEX(ExpParty,$L248),AcctTbl,4,0),INDEX(ExpParty,$L248))))</f>
        <v/>
      </c>
      <c r="F248" s="22">
        <f>IF($L248="","",IF(INDEX(ExpType,$L248)="","—",INDEX(ExpType,$L248)))</f>
        <v/>
      </c>
      <c r="G248" s="24">
        <f>IF($L248="","",IF(INDEX(ExpDep,$L248)=0,"",INDEX(ExpDep,$L248)))</f>
        <v/>
      </c>
      <c r="H248" s="24">
        <f>IF($L248="","",IF(INDEX(ExpWit,$L248)=0,"",INDEX(ExpWit,$L248)))</f>
        <v/>
      </c>
      <c r="I248" s="25">
        <f>IF($B248="","",IF($I247="",0,$I247)+IF($H248="",0,$H248)-IF($G248="",0,$G248))</f>
        <v/>
      </c>
      <c r="J248" s="23">
        <f>IF($L248="","",IF(INDEX(ExpNote,$L248)="","—",INDEX(ExpNote,$L248)))</f>
        <v/>
      </c>
      <c r="L248">
        <f>IFERROR(MATCH($C$5&amp;"|"&amp;RIGHT("000000"&amp;232,6),ExpRankKey,0),"")</f>
        <v/>
      </c>
    </row>
    <row r="249">
      <c r="A249" s="16" t="n">
        <v>233</v>
      </c>
      <c r="B249" s="17">
        <f>IF($L249="","",INDEX(ExpNorm,$L249))</f>
        <v/>
      </c>
      <c r="C249" s="17">
        <f>IF($L249="","",IF(INDEX(ExpTime,$L249)="","—",LEFT(INDEX(ExpTime,$L249),2)&amp;":"&amp;RIGHT(INDEX(ExpTime,$L249),2)))</f>
        <v/>
      </c>
      <c r="D249" s="17">
        <f>IF($L249="","",IF(INDEX(ExpBank,$L249)="","—",INDEX(ExpBank,$L249)))</f>
        <v/>
      </c>
      <c r="E249" s="18">
        <f>IF($L249="","",IF(INDEX(ExpParty,$L249)="","—",IFERROR(VLOOKUP(INDEX(ExpParty,$L249),AcctTbl,4,0),INDEX(ExpParty,$L249))))</f>
        <v/>
      </c>
      <c r="F249" s="17">
        <f>IF($L249="","",IF(INDEX(ExpType,$L249)="","—",INDEX(ExpType,$L249)))</f>
        <v/>
      </c>
      <c r="G249" s="19">
        <f>IF($L249="","",IF(INDEX(ExpDep,$L249)=0,"",INDEX(ExpDep,$L249)))</f>
        <v/>
      </c>
      <c r="H249" s="19">
        <f>IF($L249="","",IF(INDEX(ExpWit,$L249)=0,"",INDEX(ExpWit,$L249)))</f>
        <v/>
      </c>
      <c r="I249" s="20">
        <f>IF($B249="","",IF($I248="",0,$I248)+IF($H249="",0,$H249)-IF($G249="",0,$G249))</f>
        <v/>
      </c>
      <c r="J249" s="18">
        <f>IF($L249="","",IF(INDEX(ExpNote,$L249)="","—",INDEX(ExpNote,$L249)))</f>
        <v/>
      </c>
      <c r="L249">
        <f>IFERROR(MATCH($C$5&amp;"|"&amp;RIGHT("000000"&amp;233,6),ExpRankKey,0),"")</f>
        <v/>
      </c>
    </row>
    <row r="250">
      <c r="A250" s="21" t="n">
        <v>234</v>
      </c>
      <c r="B250" s="22">
        <f>IF($L250="","",INDEX(ExpNorm,$L250))</f>
        <v/>
      </c>
      <c r="C250" s="22">
        <f>IF($L250="","",IF(INDEX(ExpTime,$L250)="","—",LEFT(INDEX(ExpTime,$L250),2)&amp;":"&amp;RIGHT(INDEX(ExpTime,$L250),2)))</f>
        <v/>
      </c>
      <c r="D250" s="22">
        <f>IF($L250="","",IF(INDEX(ExpBank,$L250)="","—",INDEX(ExpBank,$L250)))</f>
        <v/>
      </c>
      <c r="E250" s="23">
        <f>IF($L250="","",IF(INDEX(ExpParty,$L250)="","—",IFERROR(VLOOKUP(INDEX(ExpParty,$L250),AcctTbl,4,0),INDEX(ExpParty,$L250))))</f>
        <v/>
      </c>
      <c r="F250" s="22">
        <f>IF($L250="","",IF(INDEX(ExpType,$L250)="","—",INDEX(ExpType,$L250)))</f>
        <v/>
      </c>
      <c r="G250" s="24">
        <f>IF($L250="","",IF(INDEX(ExpDep,$L250)=0,"",INDEX(ExpDep,$L250)))</f>
        <v/>
      </c>
      <c r="H250" s="24">
        <f>IF($L250="","",IF(INDEX(ExpWit,$L250)=0,"",INDEX(ExpWit,$L250)))</f>
        <v/>
      </c>
      <c r="I250" s="25">
        <f>IF($B250="","",IF($I249="",0,$I249)+IF($H250="",0,$H250)-IF($G250="",0,$G250))</f>
        <v/>
      </c>
      <c r="J250" s="23">
        <f>IF($L250="","",IF(INDEX(ExpNote,$L250)="","—",INDEX(ExpNote,$L250)))</f>
        <v/>
      </c>
      <c r="L250">
        <f>IFERROR(MATCH($C$5&amp;"|"&amp;RIGHT("000000"&amp;234,6),ExpRankKey,0),"")</f>
        <v/>
      </c>
    </row>
    <row r="251">
      <c r="A251" s="16" t="n">
        <v>235</v>
      </c>
      <c r="B251" s="17">
        <f>IF($L251="","",INDEX(ExpNorm,$L251))</f>
        <v/>
      </c>
      <c r="C251" s="17">
        <f>IF($L251="","",IF(INDEX(ExpTime,$L251)="","—",LEFT(INDEX(ExpTime,$L251),2)&amp;":"&amp;RIGHT(INDEX(ExpTime,$L251),2)))</f>
        <v/>
      </c>
      <c r="D251" s="17">
        <f>IF($L251="","",IF(INDEX(ExpBank,$L251)="","—",INDEX(ExpBank,$L251)))</f>
        <v/>
      </c>
      <c r="E251" s="18">
        <f>IF($L251="","",IF(INDEX(ExpParty,$L251)="","—",IFERROR(VLOOKUP(INDEX(ExpParty,$L251),AcctTbl,4,0),INDEX(ExpParty,$L251))))</f>
        <v/>
      </c>
      <c r="F251" s="17">
        <f>IF($L251="","",IF(INDEX(ExpType,$L251)="","—",INDEX(ExpType,$L251)))</f>
        <v/>
      </c>
      <c r="G251" s="19">
        <f>IF($L251="","",IF(INDEX(ExpDep,$L251)=0,"",INDEX(ExpDep,$L251)))</f>
        <v/>
      </c>
      <c r="H251" s="19">
        <f>IF($L251="","",IF(INDEX(ExpWit,$L251)=0,"",INDEX(ExpWit,$L251)))</f>
        <v/>
      </c>
      <c r="I251" s="20">
        <f>IF($B251="","",IF($I250="",0,$I250)+IF($H251="",0,$H251)-IF($G251="",0,$G251))</f>
        <v/>
      </c>
      <c r="J251" s="18">
        <f>IF($L251="","",IF(INDEX(ExpNote,$L251)="","—",INDEX(ExpNote,$L251)))</f>
        <v/>
      </c>
      <c r="L251">
        <f>IFERROR(MATCH($C$5&amp;"|"&amp;RIGHT("000000"&amp;235,6),ExpRankKey,0),"")</f>
        <v/>
      </c>
    </row>
    <row r="252">
      <c r="A252" s="21" t="n">
        <v>236</v>
      </c>
      <c r="B252" s="22">
        <f>IF($L252="","",INDEX(ExpNorm,$L252))</f>
        <v/>
      </c>
      <c r="C252" s="22">
        <f>IF($L252="","",IF(INDEX(ExpTime,$L252)="","—",LEFT(INDEX(ExpTime,$L252),2)&amp;":"&amp;RIGHT(INDEX(ExpTime,$L252),2)))</f>
        <v/>
      </c>
      <c r="D252" s="22">
        <f>IF($L252="","",IF(INDEX(ExpBank,$L252)="","—",INDEX(ExpBank,$L252)))</f>
        <v/>
      </c>
      <c r="E252" s="23">
        <f>IF($L252="","",IF(INDEX(ExpParty,$L252)="","—",IFERROR(VLOOKUP(INDEX(ExpParty,$L252),AcctTbl,4,0),INDEX(ExpParty,$L252))))</f>
        <v/>
      </c>
      <c r="F252" s="22">
        <f>IF($L252="","",IF(INDEX(ExpType,$L252)="","—",INDEX(ExpType,$L252)))</f>
        <v/>
      </c>
      <c r="G252" s="24">
        <f>IF($L252="","",IF(INDEX(ExpDep,$L252)=0,"",INDEX(ExpDep,$L252)))</f>
        <v/>
      </c>
      <c r="H252" s="24">
        <f>IF($L252="","",IF(INDEX(ExpWit,$L252)=0,"",INDEX(ExpWit,$L252)))</f>
        <v/>
      </c>
      <c r="I252" s="25">
        <f>IF($B252="","",IF($I251="",0,$I251)+IF($H252="",0,$H252)-IF($G252="",0,$G252))</f>
        <v/>
      </c>
      <c r="J252" s="23">
        <f>IF($L252="","",IF(INDEX(ExpNote,$L252)="","—",INDEX(ExpNote,$L252)))</f>
        <v/>
      </c>
      <c r="L252">
        <f>IFERROR(MATCH($C$5&amp;"|"&amp;RIGHT("000000"&amp;236,6),ExpRankKey,0),"")</f>
        <v/>
      </c>
    </row>
    <row r="253">
      <c r="A253" s="16" t="n">
        <v>237</v>
      </c>
      <c r="B253" s="17">
        <f>IF($L253="","",INDEX(ExpNorm,$L253))</f>
        <v/>
      </c>
      <c r="C253" s="17">
        <f>IF($L253="","",IF(INDEX(ExpTime,$L253)="","—",LEFT(INDEX(ExpTime,$L253),2)&amp;":"&amp;RIGHT(INDEX(ExpTime,$L253),2)))</f>
        <v/>
      </c>
      <c r="D253" s="17">
        <f>IF($L253="","",IF(INDEX(ExpBank,$L253)="","—",INDEX(ExpBank,$L253)))</f>
        <v/>
      </c>
      <c r="E253" s="18">
        <f>IF($L253="","",IF(INDEX(ExpParty,$L253)="","—",IFERROR(VLOOKUP(INDEX(ExpParty,$L253),AcctTbl,4,0),INDEX(ExpParty,$L253))))</f>
        <v/>
      </c>
      <c r="F253" s="17">
        <f>IF($L253="","",IF(INDEX(ExpType,$L253)="","—",INDEX(ExpType,$L253)))</f>
        <v/>
      </c>
      <c r="G253" s="19">
        <f>IF($L253="","",IF(INDEX(ExpDep,$L253)=0,"",INDEX(ExpDep,$L253)))</f>
        <v/>
      </c>
      <c r="H253" s="19">
        <f>IF($L253="","",IF(INDEX(ExpWit,$L253)=0,"",INDEX(ExpWit,$L253)))</f>
        <v/>
      </c>
      <c r="I253" s="20">
        <f>IF($B253="","",IF($I252="",0,$I252)+IF($H253="",0,$H253)-IF($G253="",0,$G253))</f>
        <v/>
      </c>
      <c r="J253" s="18">
        <f>IF($L253="","",IF(INDEX(ExpNote,$L253)="","—",INDEX(ExpNote,$L253)))</f>
        <v/>
      </c>
      <c r="L253">
        <f>IFERROR(MATCH($C$5&amp;"|"&amp;RIGHT("000000"&amp;237,6),ExpRankKey,0),"")</f>
        <v/>
      </c>
    </row>
    <row r="254">
      <c r="A254" s="21" t="n">
        <v>238</v>
      </c>
      <c r="B254" s="22">
        <f>IF($L254="","",INDEX(ExpNorm,$L254))</f>
        <v/>
      </c>
      <c r="C254" s="22">
        <f>IF($L254="","",IF(INDEX(ExpTime,$L254)="","—",LEFT(INDEX(ExpTime,$L254),2)&amp;":"&amp;RIGHT(INDEX(ExpTime,$L254),2)))</f>
        <v/>
      </c>
      <c r="D254" s="22">
        <f>IF($L254="","",IF(INDEX(ExpBank,$L254)="","—",INDEX(ExpBank,$L254)))</f>
        <v/>
      </c>
      <c r="E254" s="23">
        <f>IF($L254="","",IF(INDEX(ExpParty,$L254)="","—",IFERROR(VLOOKUP(INDEX(ExpParty,$L254),AcctTbl,4,0),INDEX(ExpParty,$L254))))</f>
        <v/>
      </c>
      <c r="F254" s="22">
        <f>IF($L254="","",IF(INDEX(ExpType,$L254)="","—",INDEX(ExpType,$L254)))</f>
        <v/>
      </c>
      <c r="G254" s="24">
        <f>IF($L254="","",IF(INDEX(ExpDep,$L254)=0,"",INDEX(ExpDep,$L254)))</f>
        <v/>
      </c>
      <c r="H254" s="24">
        <f>IF($L254="","",IF(INDEX(ExpWit,$L254)=0,"",INDEX(ExpWit,$L254)))</f>
        <v/>
      </c>
      <c r="I254" s="25">
        <f>IF($B254="","",IF($I253="",0,$I253)+IF($H254="",0,$H254)-IF($G254="",0,$G254))</f>
        <v/>
      </c>
      <c r="J254" s="23">
        <f>IF($L254="","",IF(INDEX(ExpNote,$L254)="","—",INDEX(ExpNote,$L254)))</f>
        <v/>
      </c>
      <c r="L254">
        <f>IFERROR(MATCH($C$5&amp;"|"&amp;RIGHT("000000"&amp;238,6),ExpRankKey,0),"")</f>
        <v/>
      </c>
    </row>
    <row r="255">
      <c r="A255" s="16" t="n">
        <v>239</v>
      </c>
      <c r="B255" s="17">
        <f>IF($L255="","",INDEX(ExpNorm,$L255))</f>
        <v/>
      </c>
      <c r="C255" s="17">
        <f>IF($L255="","",IF(INDEX(ExpTime,$L255)="","—",LEFT(INDEX(ExpTime,$L255),2)&amp;":"&amp;RIGHT(INDEX(ExpTime,$L255),2)))</f>
        <v/>
      </c>
      <c r="D255" s="17">
        <f>IF($L255="","",IF(INDEX(ExpBank,$L255)="","—",INDEX(ExpBank,$L255)))</f>
        <v/>
      </c>
      <c r="E255" s="18">
        <f>IF($L255="","",IF(INDEX(ExpParty,$L255)="","—",IFERROR(VLOOKUP(INDEX(ExpParty,$L255),AcctTbl,4,0),INDEX(ExpParty,$L255))))</f>
        <v/>
      </c>
      <c r="F255" s="17">
        <f>IF($L255="","",IF(INDEX(ExpType,$L255)="","—",INDEX(ExpType,$L255)))</f>
        <v/>
      </c>
      <c r="G255" s="19">
        <f>IF($L255="","",IF(INDEX(ExpDep,$L255)=0,"",INDEX(ExpDep,$L255)))</f>
        <v/>
      </c>
      <c r="H255" s="19">
        <f>IF($L255="","",IF(INDEX(ExpWit,$L255)=0,"",INDEX(ExpWit,$L255)))</f>
        <v/>
      </c>
      <c r="I255" s="20">
        <f>IF($B255="","",IF($I254="",0,$I254)+IF($H255="",0,$H255)-IF($G255="",0,$G255))</f>
        <v/>
      </c>
      <c r="J255" s="18">
        <f>IF($L255="","",IF(INDEX(ExpNote,$L255)="","—",INDEX(ExpNote,$L255)))</f>
        <v/>
      </c>
      <c r="L255">
        <f>IFERROR(MATCH($C$5&amp;"|"&amp;RIGHT("000000"&amp;239,6),ExpRankKey,0),"")</f>
        <v/>
      </c>
    </row>
    <row r="256">
      <c r="A256" s="21" t="n">
        <v>240</v>
      </c>
      <c r="B256" s="22">
        <f>IF($L256="","",INDEX(ExpNorm,$L256))</f>
        <v/>
      </c>
      <c r="C256" s="22">
        <f>IF($L256="","",IF(INDEX(ExpTime,$L256)="","—",LEFT(INDEX(ExpTime,$L256),2)&amp;":"&amp;RIGHT(INDEX(ExpTime,$L256),2)))</f>
        <v/>
      </c>
      <c r="D256" s="22">
        <f>IF($L256="","",IF(INDEX(ExpBank,$L256)="","—",INDEX(ExpBank,$L256)))</f>
        <v/>
      </c>
      <c r="E256" s="23">
        <f>IF($L256="","",IF(INDEX(ExpParty,$L256)="","—",IFERROR(VLOOKUP(INDEX(ExpParty,$L256),AcctTbl,4,0),INDEX(ExpParty,$L256))))</f>
        <v/>
      </c>
      <c r="F256" s="22">
        <f>IF($L256="","",IF(INDEX(ExpType,$L256)="","—",INDEX(ExpType,$L256)))</f>
        <v/>
      </c>
      <c r="G256" s="24">
        <f>IF($L256="","",IF(INDEX(ExpDep,$L256)=0,"",INDEX(ExpDep,$L256)))</f>
        <v/>
      </c>
      <c r="H256" s="24">
        <f>IF($L256="","",IF(INDEX(ExpWit,$L256)=0,"",INDEX(ExpWit,$L256)))</f>
        <v/>
      </c>
      <c r="I256" s="25">
        <f>IF($B256="","",IF($I255="",0,$I255)+IF($H256="",0,$H256)-IF($G256="",0,$G256))</f>
        <v/>
      </c>
      <c r="J256" s="23">
        <f>IF($L256="","",IF(INDEX(ExpNote,$L256)="","—",INDEX(ExpNote,$L256)))</f>
        <v/>
      </c>
      <c r="L256">
        <f>IFERROR(MATCH($C$5&amp;"|"&amp;RIGHT("000000"&amp;240,6),ExpRankKey,0),"")</f>
        <v/>
      </c>
    </row>
    <row r="257">
      <c r="A257" s="16" t="n">
        <v>241</v>
      </c>
      <c r="B257" s="17">
        <f>IF($L257="","",INDEX(ExpNorm,$L257))</f>
        <v/>
      </c>
      <c r="C257" s="17">
        <f>IF($L257="","",IF(INDEX(ExpTime,$L257)="","—",LEFT(INDEX(ExpTime,$L257),2)&amp;":"&amp;RIGHT(INDEX(ExpTime,$L257),2)))</f>
        <v/>
      </c>
      <c r="D257" s="17">
        <f>IF($L257="","",IF(INDEX(ExpBank,$L257)="","—",INDEX(ExpBank,$L257)))</f>
        <v/>
      </c>
      <c r="E257" s="18">
        <f>IF($L257="","",IF(INDEX(ExpParty,$L257)="","—",IFERROR(VLOOKUP(INDEX(ExpParty,$L257),AcctTbl,4,0),INDEX(ExpParty,$L257))))</f>
        <v/>
      </c>
      <c r="F257" s="17">
        <f>IF($L257="","",IF(INDEX(ExpType,$L257)="","—",INDEX(ExpType,$L257)))</f>
        <v/>
      </c>
      <c r="G257" s="19">
        <f>IF($L257="","",IF(INDEX(ExpDep,$L257)=0,"",INDEX(ExpDep,$L257)))</f>
        <v/>
      </c>
      <c r="H257" s="19">
        <f>IF($L257="","",IF(INDEX(ExpWit,$L257)=0,"",INDEX(ExpWit,$L257)))</f>
        <v/>
      </c>
      <c r="I257" s="20">
        <f>IF($B257="","",IF($I256="",0,$I256)+IF($H257="",0,$H257)-IF($G257="",0,$G257))</f>
        <v/>
      </c>
      <c r="J257" s="18">
        <f>IF($L257="","",IF(INDEX(ExpNote,$L257)="","—",INDEX(ExpNote,$L257)))</f>
        <v/>
      </c>
      <c r="L257">
        <f>IFERROR(MATCH($C$5&amp;"|"&amp;RIGHT("000000"&amp;241,6),ExpRankKey,0),"")</f>
        <v/>
      </c>
    </row>
    <row r="258">
      <c r="A258" s="21" t="n">
        <v>242</v>
      </c>
      <c r="B258" s="22">
        <f>IF($L258="","",INDEX(ExpNorm,$L258))</f>
        <v/>
      </c>
      <c r="C258" s="22">
        <f>IF($L258="","",IF(INDEX(ExpTime,$L258)="","—",LEFT(INDEX(ExpTime,$L258),2)&amp;":"&amp;RIGHT(INDEX(ExpTime,$L258),2)))</f>
        <v/>
      </c>
      <c r="D258" s="22">
        <f>IF($L258="","",IF(INDEX(ExpBank,$L258)="","—",INDEX(ExpBank,$L258)))</f>
        <v/>
      </c>
      <c r="E258" s="23">
        <f>IF($L258="","",IF(INDEX(ExpParty,$L258)="","—",IFERROR(VLOOKUP(INDEX(ExpParty,$L258),AcctTbl,4,0),INDEX(ExpParty,$L258))))</f>
        <v/>
      </c>
      <c r="F258" s="22">
        <f>IF($L258="","",IF(INDEX(ExpType,$L258)="","—",INDEX(ExpType,$L258)))</f>
        <v/>
      </c>
      <c r="G258" s="24">
        <f>IF($L258="","",IF(INDEX(ExpDep,$L258)=0,"",INDEX(ExpDep,$L258)))</f>
        <v/>
      </c>
      <c r="H258" s="24">
        <f>IF($L258="","",IF(INDEX(ExpWit,$L258)=0,"",INDEX(ExpWit,$L258)))</f>
        <v/>
      </c>
      <c r="I258" s="25">
        <f>IF($B258="","",IF($I257="",0,$I257)+IF($H258="",0,$H258)-IF($G258="",0,$G258))</f>
        <v/>
      </c>
      <c r="J258" s="23">
        <f>IF($L258="","",IF(INDEX(ExpNote,$L258)="","—",INDEX(ExpNote,$L258)))</f>
        <v/>
      </c>
      <c r="L258">
        <f>IFERROR(MATCH($C$5&amp;"|"&amp;RIGHT("000000"&amp;242,6),ExpRankKey,0),"")</f>
        <v/>
      </c>
    </row>
    <row r="259">
      <c r="A259" s="16" t="n">
        <v>243</v>
      </c>
      <c r="B259" s="17">
        <f>IF($L259="","",INDEX(ExpNorm,$L259))</f>
        <v/>
      </c>
      <c r="C259" s="17">
        <f>IF($L259="","",IF(INDEX(ExpTime,$L259)="","—",LEFT(INDEX(ExpTime,$L259),2)&amp;":"&amp;RIGHT(INDEX(ExpTime,$L259),2)))</f>
        <v/>
      </c>
      <c r="D259" s="17">
        <f>IF($L259="","",IF(INDEX(ExpBank,$L259)="","—",INDEX(ExpBank,$L259)))</f>
        <v/>
      </c>
      <c r="E259" s="18">
        <f>IF($L259="","",IF(INDEX(ExpParty,$L259)="","—",IFERROR(VLOOKUP(INDEX(ExpParty,$L259),AcctTbl,4,0),INDEX(ExpParty,$L259))))</f>
        <v/>
      </c>
      <c r="F259" s="17">
        <f>IF($L259="","",IF(INDEX(ExpType,$L259)="","—",INDEX(ExpType,$L259)))</f>
        <v/>
      </c>
      <c r="G259" s="19">
        <f>IF($L259="","",IF(INDEX(ExpDep,$L259)=0,"",INDEX(ExpDep,$L259)))</f>
        <v/>
      </c>
      <c r="H259" s="19">
        <f>IF($L259="","",IF(INDEX(ExpWit,$L259)=0,"",INDEX(ExpWit,$L259)))</f>
        <v/>
      </c>
      <c r="I259" s="20">
        <f>IF($B259="","",IF($I258="",0,$I258)+IF($H259="",0,$H259)-IF($G259="",0,$G259))</f>
        <v/>
      </c>
      <c r="J259" s="18">
        <f>IF($L259="","",IF(INDEX(ExpNote,$L259)="","—",INDEX(ExpNote,$L259)))</f>
        <v/>
      </c>
      <c r="L259">
        <f>IFERROR(MATCH($C$5&amp;"|"&amp;RIGHT("000000"&amp;243,6),ExpRankKey,0),"")</f>
        <v/>
      </c>
    </row>
    <row r="260">
      <c r="A260" s="21" t="n">
        <v>244</v>
      </c>
      <c r="B260" s="22">
        <f>IF($L260="","",INDEX(ExpNorm,$L260))</f>
        <v/>
      </c>
      <c r="C260" s="22">
        <f>IF($L260="","",IF(INDEX(ExpTime,$L260)="","—",LEFT(INDEX(ExpTime,$L260),2)&amp;":"&amp;RIGHT(INDEX(ExpTime,$L260),2)))</f>
        <v/>
      </c>
      <c r="D260" s="22">
        <f>IF($L260="","",IF(INDEX(ExpBank,$L260)="","—",INDEX(ExpBank,$L260)))</f>
        <v/>
      </c>
      <c r="E260" s="23">
        <f>IF($L260="","",IF(INDEX(ExpParty,$L260)="","—",IFERROR(VLOOKUP(INDEX(ExpParty,$L260),AcctTbl,4,0),INDEX(ExpParty,$L260))))</f>
        <v/>
      </c>
      <c r="F260" s="22">
        <f>IF($L260="","",IF(INDEX(ExpType,$L260)="","—",INDEX(ExpType,$L260)))</f>
        <v/>
      </c>
      <c r="G260" s="24">
        <f>IF($L260="","",IF(INDEX(ExpDep,$L260)=0,"",INDEX(ExpDep,$L260)))</f>
        <v/>
      </c>
      <c r="H260" s="24">
        <f>IF($L260="","",IF(INDEX(ExpWit,$L260)=0,"",INDEX(ExpWit,$L260)))</f>
        <v/>
      </c>
      <c r="I260" s="25">
        <f>IF($B260="","",IF($I259="",0,$I259)+IF($H260="",0,$H260)-IF($G260="",0,$G260))</f>
        <v/>
      </c>
      <c r="J260" s="23">
        <f>IF($L260="","",IF(INDEX(ExpNote,$L260)="","—",INDEX(ExpNote,$L260)))</f>
        <v/>
      </c>
      <c r="L260">
        <f>IFERROR(MATCH($C$5&amp;"|"&amp;RIGHT("000000"&amp;244,6),ExpRankKey,0),"")</f>
        <v/>
      </c>
    </row>
    <row r="261">
      <c r="A261" s="16" t="n">
        <v>245</v>
      </c>
      <c r="B261" s="17">
        <f>IF($L261="","",INDEX(ExpNorm,$L261))</f>
        <v/>
      </c>
      <c r="C261" s="17">
        <f>IF($L261="","",IF(INDEX(ExpTime,$L261)="","—",LEFT(INDEX(ExpTime,$L261),2)&amp;":"&amp;RIGHT(INDEX(ExpTime,$L261),2)))</f>
        <v/>
      </c>
      <c r="D261" s="17">
        <f>IF($L261="","",IF(INDEX(ExpBank,$L261)="","—",INDEX(ExpBank,$L261)))</f>
        <v/>
      </c>
      <c r="E261" s="18">
        <f>IF($L261="","",IF(INDEX(ExpParty,$L261)="","—",IFERROR(VLOOKUP(INDEX(ExpParty,$L261),AcctTbl,4,0),INDEX(ExpParty,$L261))))</f>
        <v/>
      </c>
      <c r="F261" s="17">
        <f>IF($L261="","",IF(INDEX(ExpType,$L261)="","—",INDEX(ExpType,$L261)))</f>
        <v/>
      </c>
      <c r="G261" s="19">
        <f>IF($L261="","",IF(INDEX(ExpDep,$L261)=0,"",INDEX(ExpDep,$L261)))</f>
        <v/>
      </c>
      <c r="H261" s="19">
        <f>IF($L261="","",IF(INDEX(ExpWit,$L261)=0,"",INDEX(ExpWit,$L261)))</f>
        <v/>
      </c>
      <c r="I261" s="20">
        <f>IF($B261="","",IF($I260="",0,$I260)+IF($H261="",0,$H261)-IF($G261="",0,$G261))</f>
        <v/>
      </c>
      <c r="J261" s="18">
        <f>IF($L261="","",IF(INDEX(ExpNote,$L261)="","—",INDEX(ExpNote,$L261)))</f>
        <v/>
      </c>
      <c r="L261">
        <f>IFERROR(MATCH($C$5&amp;"|"&amp;RIGHT("000000"&amp;245,6),ExpRankKey,0),"")</f>
        <v/>
      </c>
    </row>
    <row r="262">
      <c r="A262" s="21" t="n">
        <v>246</v>
      </c>
      <c r="B262" s="22">
        <f>IF($L262="","",INDEX(ExpNorm,$L262))</f>
        <v/>
      </c>
      <c r="C262" s="22">
        <f>IF($L262="","",IF(INDEX(ExpTime,$L262)="","—",LEFT(INDEX(ExpTime,$L262),2)&amp;":"&amp;RIGHT(INDEX(ExpTime,$L262),2)))</f>
        <v/>
      </c>
      <c r="D262" s="22">
        <f>IF($L262="","",IF(INDEX(ExpBank,$L262)="","—",INDEX(ExpBank,$L262)))</f>
        <v/>
      </c>
      <c r="E262" s="23">
        <f>IF($L262="","",IF(INDEX(ExpParty,$L262)="","—",IFERROR(VLOOKUP(INDEX(ExpParty,$L262),AcctTbl,4,0),INDEX(ExpParty,$L262))))</f>
        <v/>
      </c>
      <c r="F262" s="22">
        <f>IF($L262="","",IF(INDEX(ExpType,$L262)="","—",INDEX(ExpType,$L262)))</f>
        <v/>
      </c>
      <c r="G262" s="24">
        <f>IF($L262="","",IF(INDEX(ExpDep,$L262)=0,"",INDEX(ExpDep,$L262)))</f>
        <v/>
      </c>
      <c r="H262" s="24">
        <f>IF($L262="","",IF(INDEX(ExpWit,$L262)=0,"",INDEX(ExpWit,$L262)))</f>
        <v/>
      </c>
      <c r="I262" s="25">
        <f>IF($B262="","",IF($I261="",0,$I261)+IF($H262="",0,$H262)-IF($G262="",0,$G262))</f>
        <v/>
      </c>
      <c r="J262" s="23">
        <f>IF($L262="","",IF(INDEX(ExpNote,$L262)="","—",INDEX(ExpNote,$L262)))</f>
        <v/>
      </c>
      <c r="L262">
        <f>IFERROR(MATCH($C$5&amp;"|"&amp;RIGHT("000000"&amp;246,6),ExpRankKey,0),"")</f>
        <v/>
      </c>
    </row>
    <row r="263">
      <c r="A263" s="16" t="n">
        <v>247</v>
      </c>
      <c r="B263" s="17">
        <f>IF($L263="","",INDEX(ExpNorm,$L263))</f>
        <v/>
      </c>
      <c r="C263" s="17">
        <f>IF($L263="","",IF(INDEX(ExpTime,$L263)="","—",LEFT(INDEX(ExpTime,$L263),2)&amp;":"&amp;RIGHT(INDEX(ExpTime,$L263),2)))</f>
        <v/>
      </c>
      <c r="D263" s="17">
        <f>IF($L263="","",IF(INDEX(ExpBank,$L263)="","—",INDEX(ExpBank,$L263)))</f>
        <v/>
      </c>
      <c r="E263" s="18">
        <f>IF($L263="","",IF(INDEX(ExpParty,$L263)="","—",IFERROR(VLOOKUP(INDEX(ExpParty,$L263),AcctTbl,4,0),INDEX(ExpParty,$L263))))</f>
        <v/>
      </c>
      <c r="F263" s="17">
        <f>IF($L263="","",IF(INDEX(ExpType,$L263)="","—",INDEX(ExpType,$L263)))</f>
        <v/>
      </c>
      <c r="G263" s="19">
        <f>IF($L263="","",IF(INDEX(ExpDep,$L263)=0,"",INDEX(ExpDep,$L263)))</f>
        <v/>
      </c>
      <c r="H263" s="19">
        <f>IF($L263="","",IF(INDEX(ExpWit,$L263)=0,"",INDEX(ExpWit,$L263)))</f>
        <v/>
      </c>
      <c r="I263" s="20">
        <f>IF($B263="","",IF($I262="",0,$I262)+IF($H263="",0,$H263)-IF($G263="",0,$G263))</f>
        <v/>
      </c>
      <c r="J263" s="18">
        <f>IF($L263="","",IF(INDEX(ExpNote,$L263)="","—",INDEX(ExpNote,$L263)))</f>
        <v/>
      </c>
      <c r="L263">
        <f>IFERROR(MATCH($C$5&amp;"|"&amp;RIGHT("000000"&amp;247,6),ExpRankKey,0),"")</f>
        <v/>
      </c>
    </row>
    <row r="264">
      <c r="A264" s="21" t="n">
        <v>248</v>
      </c>
      <c r="B264" s="22">
        <f>IF($L264="","",INDEX(ExpNorm,$L264))</f>
        <v/>
      </c>
      <c r="C264" s="22">
        <f>IF($L264="","",IF(INDEX(ExpTime,$L264)="","—",LEFT(INDEX(ExpTime,$L264),2)&amp;":"&amp;RIGHT(INDEX(ExpTime,$L264),2)))</f>
        <v/>
      </c>
      <c r="D264" s="22">
        <f>IF($L264="","",IF(INDEX(ExpBank,$L264)="","—",INDEX(ExpBank,$L264)))</f>
        <v/>
      </c>
      <c r="E264" s="23">
        <f>IF($L264="","",IF(INDEX(ExpParty,$L264)="","—",IFERROR(VLOOKUP(INDEX(ExpParty,$L264),AcctTbl,4,0),INDEX(ExpParty,$L264))))</f>
        <v/>
      </c>
      <c r="F264" s="22">
        <f>IF($L264="","",IF(INDEX(ExpType,$L264)="","—",INDEX(ExpType,$L264)))</f>
        <v/>
      </c>
      <c r="G264" s="24">
        <f>IF($L264="","",IF(INDEX(ExpDep,$L264)=0,"",INDEX(ExpDep,$L264)))</f>
        <v/>
      </c>
      <c r="H264" s="24">
        <f>IF($L264="","",IF(INDEX(ExpWit,$L264)=0,"",INDEX(ExpWit,$L264)))</f>
        <v/>
      </c>
      <c r="I264" s="25">
        <f>IF($B264="","",IF($I263="",0,$I263)+IF($H264="",0,$H264)-IF($G264="",0,$G264))</f>
        <v/>
      </c>
      <c r="J264" s="23">
        <f>IF($L264="","",IF(INDEX(ExpNote,$L264)="","—",INDEX(ExpNote,$L264)))</f>
        <v/>
      </c>
      <c r="L264">
        <f>IFERROR(MATCH($C$5&amp;"|"&amp;RIGHT("000000"&amp;248,6),ExpRankKey,0),"")</f>
        <v/>
      </c>
    </row>
    <row r="265">
      <c r="A265" s="16" t="n">
        <v>249</v>
      </c>
      <c r="B265" s="17">
        <f>IF($L265="","",INDEX(ExpNorm,$L265))</f>
        <v/>
      </c>
      <c r="C265" s="17">
        <f>IF($L265="","",IF(INDEX(ExpTime,$L265)="","—",LEFT(INDEX(ExpTime,$L265),2)&amp;":"&amp;RIGHT(INDEX(ExpTime,$L265),2)))</f>
        <v/>
      </c>
      <c r="D265" s="17">
        <f>IF($L265="","",IF(INDEX(ExpBank,$L265)="","—",INDEX(ExpBank,$L265)))</f>
        <v/>
      </c>
      <c r="E265" s="18">
        <f>IF($L265="","",IF(INDEX(ExpParty,$L265)="","—",IFERROR(VLOOKUP(INDEX(ExpParty,$L265),AcctTbl,4,0),INDEX(ExpParty,$L265))))</f>
        <v/>
      </c>
      <c r="F265" s="17">
        <f>IF($L265="","",IF(INDEX(ExpType,$L265)="","—",INDEX(ExpType,$L265)))</f>
        <v/>
      </c>
      <c r="G265" s="19">
        <f>IF($L265="","",IF(INDEX(ExpDep,$L265)=0,"",INDEX(ExpDep,$L265)))</f>
        <v/>
      </c>
      <c r="H265" s="19">
        <f>IF($L265="","",IF(INDEX(ExpWit,$L265)=0,"",INDEX(ExpWit,$L265)))</f>
        <v/>
      </c>
      <c r="I265" s="20">
        <f>IF($B265="","",IF($I264="",0,$I264)+IF($H265="",0,$H265)-IF($G265="",0,$G265))</f>
        <v/>
      </c>
      <c r="J265" s="18">
        <f>IF($L265="","",IF(INDEX(ExpNote,$L265)="","—",INDEX(ExpNote,$L265)))</f>
        <v/>
      </c>
      <c r="L265">
        <f>IFERROR(MATCH($C$5&amp;"|"&amp;RIGHT("000000"&amp;249,6),ExpRankKey,0),"")</f>
        <v/>
      </c>
    </row>
    <row r="266">
      <c r="A266" s="21" t="n">
        <v>250</v>
      </c>
      <c r="B266" s="22">
        <f>IF($L266="","",INDEX(ExpNorm,$L266))</f>
        <v/>
      </c>
      <c r="C266" s="22">
        <f>IF($L266="","",IF(INDEX(ExpTime,$L266)="","—",LEFT(INDEX(ExpTime,$L266),2)&amp;":"&amp;RIGHT(INDEX(ExpTime,$L266),2)))</f>
        <v/>
      </c>
      <c r="D266" s="22">
        <f>IF($L266="","",IF(INDEX(ExpBank,$L266)="","—",INDEX(ExpBank,$L266)))</f>
        <v/>
      </c>
      <c r="E266" s="23">
        <f>IF($L266="","",IF(INDEX(ExpParty,$L266)="","—",IFERROR(VLOOKUP(INDEX(ExpParty,$L266),AcctTbl,4,0),INDEX(ExpParty,$L266))))</f>
        <v/>
      </c>
      <c r="F266" s="22">
        <f>IF($L266="","",IF(INDEX(ExpType,$L266)="","—",INDEX(ExpType,$L266)))</f>
        <v/>
      </c>
      <c r="G266" s="24">
        <f>IF($L266="","",IF(INDEX(ExpDep,$L266)=0,"",INDEX(ExpDep,$L266)))</f>
        <v/>
      </c>
      <c r="H266" s="24">
        <f>IF($L266="","",IF(INDEX(ExpWit,$L266)=0,"",INDEX(ExpWit,$L266)))</f>
        <v/>
      </c>
      <c r="I266" s="25">
        <f>IF($B266="","",IF($I265="",0,$I265)+IF($H266="",0,$H266)-IF($G266="",0,$G266))</f>
        <v/>
      </c>
      <c r="J266" s="23">
        <f>IF($L266="","",IF(INDEX(ExpNote,$L266)="","—",INDEX(ExpNote,$L266)))</f>
        <v/>
      </c>
      <c r="L266">
        <f>IFERROR(MATCH($C$5&amp;"|"&amp;RIGHT("000000"&amp;250,6),ExpRankKey,0),"")</f>
        <v/>
      </c>
    </row>
    <row r="267">
      <c r="A267" s="16" t="n">
        <v>251</v>
      </c>
      <c r="B267" s="17">
        <f>IF($L267="","",INDEX(ExpNorm,$L267))</f>
        <v/>
      </c>
      <c r="C267" s="17">
        <f>IF($L267="","",IF(INDEX(ExpTime,$L267)="","—",LEFT(INDEX(ExpTime,$L267),2)&amp;":"&amp;RIGHT(INDEX(ExpTime,$L267),2)))</f>
        <v/>
      </c>
      <c r="D267" s="17">
        <f>IF($L267="","",IF(INDEX(ExpBank,$L267)="","—",INDEX(ExpBank,$L267)))</f>
        <v/>
      </c>
      <c r="E267" s="18">
        <f>IF($L267="","",IF(INDEX(ExpParty,$L267)="","—",IFERROR(VLOOKUP(INDEX(ExpParty,$L267),AcctTbl,4,0),INDEX(ExpParty,$L267))))</f>
        <v/>
      </c>
      <c r="F267" s="17">
        <f>IF($L267="","",IF(INDEX(ExpType,$L267)="","—",INDEX(ExpType,$L267)))</f>
        <v/>
      </c>
      <c r="G267" s="19">
        <f>IF($L267="","",IF(INDEX(ExpDep,$L267)=0,"",INDEX(ExpDep,$L267)))</f>
        <v/>
      </c>
      <c r="H267" s="19">
        <f>IF($L267="","",IF(INDEX(ExpWit,$L267)=0,"",INDEX(ExpWit,$L267)))</f>
        <v/>
      </c>
      <c r="I267" s="20">
        <f>IF($B267="","",IF($I266="",0,$I266)+IF($H267="",0,$H267)-IF($G267="",0,$G267))</f>
        <v/>
      </c>
      <c r="J267" s="18">
        <f>IF($L267="","",IF(INDEX(ExpNote,$L267)="","—",INDEX(ExpNote,$L267)))</f>
        <v/>
      </c>
      <c r="L267">
        <f>IFERROR(MATCH($C$5&amp;"|"&amp;RIGHT("000000"&amp;251,6),ExpRankKey,0),"")</f>
        <v/>
      </c>
    </row>
    <row r="268">
      <c r="A268" s="21" t="n">
        <v>252</v>
      </c>
      <c r="B268" s="22">
        <f>IF($L268="","",INDEX(ExpNorm,$L268))</f>
        <v/>
      </c>
      <c r="C268" s="22">
        <f>IF($L268="","",IF(INDEX(ExpTime,$L268)="","—",LEFT(INDEX(ExpTime,$L268),2)&amp;":"&amp;RIGHT(INDEX(ExpTime,$L268),2)))</f>
        <v/>
      </c>
      <c r="D268" s="22">
        <f>IF($L268="","",IF(INDEX(ExpBank,$L268)="","—",INDEX(ExpBank,$L268)))</f>
        <v/>
      </c>
      <c r="E268" s="23">
        <f>IF($L268="","",IF(INDEX(ExpParty,$L268)="","—",IFERROR(VLOOKUP(INDEX(ExpParty,$L268),AcctTbl,4,0),INDEX(ExpParty,$L268))))</f>
        <v/>
      </c>
      <c r="F268" s="22">
        <f>IF($L268="","",IF(INDEX(ExpType,$L268)="","—",INDEX(ExpType,$L268)))</f>
        <v/>
      </c>
      <c r="G268" s="24">
        <f>IF($L268="","",IF(INDEX(ExpDep,$L268)=0,"",INDEX(ExpDep,$L268)))</f>
        <v/>
      </c>
      <c r="H268" s="24">
        <f>IF($L268="","",IF(INDEX(ExpWit,$L268)=0,"",INDEX(ExpWit,$L268)))</f>
        <v/>
      </c>
      <c r="I268" s="25">
        <f>IF($B268="","",IF($I267="",0,$I267)+IF($H268="",0,$H268)-IF($G268="",0,$G268))</f>
        <v/>
      </c>
      <c r="J268" s="23">
        <f>IF($L268="","",IF(INDEX(ExpNote,$L268)="","—",INDEX(ExpNote,$L268)))</f>
        <v/>
      </c>
      <c r="L268">
        <f>IFERROR(MATCH($C$5&amp;"|"&amp;RIGHT("000000"&amp;252,6),ExpRankKey,0),"")</f>
        <v/>
      </c>
    </row>
    <row r="269">
      <c r="A269" s="16" t="n">
        <v>253</v>
      </c>
      <c r="B269" s="17">
        <f>IF($L269="","",INDEX(ExpNorm,$L269))</f>
        <v/>
      </c>
      <c r="C269" s="17">
        <f>IF($L269="","",IF(INDEX(ExpTime,$L269)="","—",LEFT(INDEX(ExpTime,$L269),2)&amp;":"&amp;RIGHT(INDEX(ExpTime,$L269),2)))</f>
        <v/>
      </c>
      <c r="D269" s="17">
        <f>IF($L269="","",IF(INDEX(ExpBank,$L269)="","—",INDEX(ExpBank,$L269)))</f>
        <v/>
      </c>
      <c r="E269" s="18">
        <f>IF($L269="","",IF(INDEX(ExpParty,$L269)="","—",IFERROR(VLOOKUP(INDEX(ExpParty,$L269),AcctTbl,4,0),INDEX(ExpParty,$L269))))</f>
        <v/>
      </c>
      <c r="F269" s="17">
        <f>IF($L269="","",IF(INDEX(ExpType,$L269)="","—",INDEX(ExpType,$L269)))</f>
        <v/>
      </c>
      <c r="G269" s="19">
        <f>IF($L269="","",IF(INDEX(ExpDep,$L269)=0,"",INDEX(ExpDep,$L269)))</f>
        <v/>
      </c>
      <c r="H269" s="19">
        <f>IF($L269="","",IF(INDEX(ExpWit,$L269)=0,"",INDEX(ExpWit,$L269)))</f>
        <v/>
      </c>
      <c r="I269" s="20">
        <f>IF($B269="","",IF($I268="",0,$I268)+IF($H269="",0,$H269)-IF($G269="",0,$G269))</f>
        <v/>
      </c>
      <c r="J269" s="18">
        <f>IF($L269="","",IF(INDEX(ExpNote,$L269)="","—",INDEX(ExpNote,$L269)))</f>
        <v/>
      </c>
      <c r="L269">
        <f>IFERROR(MATCH($C$5&amp;"|"&amp;RIGHT("000000"&amp;253,6),ExpRankKey,0),"")</f>
        <v/>
      </c>
    </row>
    <row r="270">
      <c r="A270" s="21" t="n">
        <v>254</v>
      </c>
      <c r="B270" s="22">
        <f>IF($L270="","",INDEX(ExpNorm,$L270))</f>
        <v/>
      </c>
      <c r="C270" s="22">
        <f>IF($L270="","",IF(INDEX(ExpTime,$L270)="","—",LEFT(INDEX(ExpTime,$L270),2)&amp;":"&amp;RIGHT(INDEX(ExpTime,$L270),2)))</f>
        <v/>
      </c>
      <c r="D270" s="22">
        <f>IF($L270="","",IF(INDEX(ExpBank,$L270)="","—",INDEX(ExpBank,$L270)))</f>
        <v/>
      </c>
      <c r="E270" s="23">
        <f>IF($L270="","",IF(INDEX(ExpParty,$L270)="","—",IFERROR(VLOOKUP(INDEX(ExpParty,$L270),AcctTbl,4,0),INDEX(ExpParty,$L270))))</f>
        <v/>
      </c>
      <c r="F270" s="22">
        <f>IF($L270="","",IF(INDEX(ExpType,$L270)="","—",INDEX(ExpType,$L270)))</f>
        <v/>
      </c>
      <c r="G270" s="24">
        <f>IF($L270="","",IF(INDEX(ExpDep,$L270)=0,"",INDEX(ExpDep,$L270)))</f>
        <v/>
      </c>
      <c r="H270" s="24">
        <f>IF($L270="","",IF(INDEX(ExpWit,$L270)=0,"",INDEX(ExpWit,$L270)))</f>
        <v/>
      </c>
      <c r="I270" s="25">
        <f>IF($B270="","",IF($I269="",0,$I269)+IF($H270="",0,$H270)-IF($G270="",0,$G270))</f>
        <v/>
      </c>
      <c r="J270" s="23">
        <f>IF($L270="","",IF(INDEX(ExpNote,$L270)="","—",INDEX(ExpNote,$L270)))</f>
        <v/>
      </c>
      <c r="L270">
        <f>IFERROR(MATCH($C$5&amp;"|"&amp;RIGHT("000000"&amp;254,6),ExpRankKey,0),"")</f>
        <v/>
      </c>
    </row>
    <row r="271">
      <c r="A271" s="16" t="n">
        <v>255</v>
      </c>
      <c r="B271" s="17">
        <f>IF($L271="","",INDEX(ExpNorm,$L271))</f>
        <v/>
      </c>
      <c r="C271" s="17">
        <f>IF($L271="","",IF(INDEX(ExpTime,$L271)="","—",LEFT(INDEX(ExpTime,$L271),2)&amp;":"&amp;RIGHT(INDEX(ExpTime,$L271),2)))</f>
        <v/>
      </c>
      <c r="D271" s="17">
        <f>IF($L271="","",IF(INDEX(ExpBank,$L271)="","—",INDEX(ExpBank,$L271)))</f>
        <v/>
      </c>
      <c r="E271" s="18">
        <f>IF($L271="","",IF(INDEX(ExpParty,$L271)="","—",IFERROR(VLOOKUP(INDEX(ExpParty,$L271),AcctTbl,4,0),INDEX(ExpParty,$L271))))</f>
        <v/>
      </c>
      <c r="F271" s="17">
        <f>IF($L271="","",IF(INDEX(ExpType,$L271)="","—",INDEX(ExpType,$L271)))</f>
        <v/>
      </c>
      <c r="G271" s="19">
        <f>IF($L271="","",IF(INDEX(ExpDep,$L271)=0,"",INDEX(ExpDep,$L271)))</f>
        <v/>
      </c>
      <c r="H271" s="19">
        <f>IF($L271="","",IF(INDEX(ExpWit,$L271)=0,"",INDEX(ExpWit,$L271)))</f>
        <v/>
      </c>
      <c r="I271" s="20">
        <f>IF($B271="","",IF($I270="",0,$I270)+IF($H271="",0,$H271)-IF($G271="",0,$G271))</f>
        <v/>
      </c>
      <c r="J271" s="18">
        <f>IF($L271="","",IF(INDEX(ExpNote,$L271)="","—",INDEX(ExpNote,$L271)))</f>
        <v/>
      </c>
      <c r="L271">
        <f>IFERROR(MATCH($C$5&amp;"|"&amp;RIGHT("000000"&amp;255,6),ExpRankKey,0),"")</f>
        <v/>
      </c>
    </row>
    <row r="272">
      <c r="A272" s="21" t="n">
        <v>256</v>
      </c>
      <c r="B272" s="22">
        <f>IF($L272="","",INDEX(ExpNorm,$L272))</f>
        <v/>
      </c>
      <c r="C272" s="22">
        <f>IF($L272="","",IF(INDEX(ExpTime,$L272)="","—",LEFT(INDEX(ExpTime,$L272),2)&amp;":"&amp;RIGHT(INDEX(ExpTime,$L272),2)))</f>
        <v/>
      </c>
      <c r="D272" s="22">
        <f>IF($L272="","",IF(INDEX(ExpBank,$L272)="","—",INDEX(ExpBank,$L272)))</f>
        <v/>
      </c>
      <c r="E272" s="23">
        <f>IF($L272="","",IF(INDEX(ExpParty,$L272)="","—",IFERROR(VLOOKUP(INDEX(ExpParty,$L272),AcctTbl,4,0),INDEX(ExpParty,$L272))))</f>
        <v/>
      </c>
      <c r="F272" s="22">
        <f>IF($L272="","",IF(INDEX(ExpType,$L272)="","—",INDEX(ExpType,$L272)))</f>
        <v/>
      </c>
      <c r="G272" s="24">
        <f>IF($L272="","",IF(INDEX(ExpDep,$L272)=0,"",INDEX(ExpDep,$L272)))</f>
        <v/>
      </c>
      <c r="H272" s="24">
        <f>IF($L272="","",IF(INDEX(ExpWit,$L272)=0,"",INDEX(ExpWit,$L272)))</f>
        <v/>
      </c>
      <c r="I272" s="25">
        <f>IF($B272="","",IF($I271="",0,$I271)+IF($H272="",0,$H272)-IF($G272="",0,$G272))</f>
        <v/>
      </c>
      <c r="J272" s="23">
        <f>IF($L272="","",IF(INDEX(ExpNote,$L272)="","—",INDEX(ExpNote,$L272)))</f>
        <v/>
      </c>
      <c r="L272">
        <f>IFERROR(MATCH($C$5&amp;"|"&amp;RIGHT("000000"&amp;256,6),ExpRankKey,0),"")</f>
        <v/>
      </c>
    </row>
    <row r="273">
      <c r="A273" s="16" t="n">
        <v>257</v>
      </c>
      <c r="B273" s="17">
        <f>IF($L273="","",INDEX(ExpNorm,$L273))</f>
        <v/>
      </c>
      <c r="C273" s="17">
        <f>IF($L273="","",IF(INDEX(ExpTime,$L273)="","—",LEFT(INDEX(ExpTime,$L273),2)&amp;":"&amp;RIGHT(INDEX(ExpTime,$L273),2)))</f>
        <v/>
      </c>
      <c r="D273" s="17">
        <f>IF($L273="","",IF(INDEX(ExpBank,$L273)="","—",INDEX(ExpBank,$L273)))</f>
        <v/>
      </c>
      <c r="E273" s="18">
        <f>IF($L273="","",IF(INDEX(ExpParty,$L273)="","—",IFERROR(VLOOKUP(INDEX(ExpParty,$L273),AcctTbl,4,0),INDEX(ExpParty,$L273))))</f>
        <v/>
      </c>
      <c r="F273" s="17">
        <f>IF($L273="","",IF(INDEX(ExpType,$L273)="","—",INDEX(ExpType,$L273)))</f>
        <v/>
      </c>
      <c r="G273" s="19">
        <f>IF($L273="","",IF(INDEX(ExpDep,$L273)=0,"",INDEX(ExpDep,$L273)))</f>
        <v/>
      </c>
      <c r="H273" s="19">
        <f>IF($L273="","",IF(INDEX(ExpWit,$L273)=0,"",INDEX(ExpWit,$L273)))</f>
        <v/>
      </c>
      <c r="I273" s="20">
        <f>IF($B273="","",IF($I272="",0,$I272)+IF($H273="",0,$H273)-IF($G273="",0,$G273))</f>
        <v/>
      </c>
      <c r="J273" s="18">
        <f>IF($L273="","",IF(INDEX(ExpNote,$L273)="","—",INDEX(ExpNote,$L273)))</f>
        <v/>
      </c>
      <c r="L273">
        <f>IFERROR(MATCH($C$5&amp;"|"&amp;RIGHT("000000"&amp;257,6),ExpRankKey,0),"")</f>
        <v/>
      </c>
    </row>
    <row r="274">
      <c r="A274" s="21" t="n">
        <v>258</v>
      </c>
      <c r="B274" s="22">
        <f>IF($L274="","",INDEX(ExpNorm,$L274))</f>
        <v/>
      </c>
      <c r="C274" s="22">
        <f>IF($L274="","",IF(INDEX(ExpTime,$L274)="","—",LEFT(INDEX(ExpTime,$L274),2)&amp;":"&amp;RIGHT(INDEX(ExpTime,$L274),2)))</f>
        <v/>
      </c>
      <c r="D274" s="22">
        <f>IF($L274="","",IF(INDEX(ExpBank,$L274)="","—",INDEX(ExpBank,$L274)))</f>
        <v/>
      </c>
      <c r="E274" s="23">
        <f>IF($L274="","",IF(INDEX(ExpParty,$L274)="","—",IFERROR(VLOOKUP(INDEX(ExpParty,$L274),AcctTbl,4,0),INDEX(ExpParty,$L274))))</f>
        <v/>
      </c>
      <c r="F274" s="22">
        <f>IF($L274="","",IF(INDEX(ExpType,$L274)="","—",INDEX(ExpType,$L274)))</f>
        <v/>
      </c>
      <c r="G274" s="24">
        <f>IF($L274="","",IF(INDEX(ExpDep,$L274)=0,"",INDEX(ExpDep,$L274)))</f>
        <v/>
      </c>
      <c r="H274" s="24">
        <f>IF($L274="","",IF(INDEX(ExpWit,$L274)=0,"",INDEX(ExpWit,$L274)))</f>
        <v/>
      </c>
      <c r="I274" s="25">
        <f>IF($B274="","",IF($I273="",0,$I273)+IF($H274="",0,$H274)-IF($G274="",0,$G274))</f>
        <v/>
      </c>
      <c r="J274" s="23">
        <f>IF($L274="","",IF(INDEX(ExpNote,$L274)="","—",INDEX(ExpNote,$L274)))</f>
        <v/>
      </c>
      <c r="L274">
        <f>IFERROR(MATCH($C$5&amp;"|"&amp;RIGHT("000000"&amp;258,6),ExpRankKey,0),"")</f>
        <v/>
      </c>
    </row>
    <row r="275">
      <c r="A275" s="16" t="n">
        <v>259</v>
      </c>
      <c r="B275" s="17">
        <f>IF($L275="","",INDEX(ExpNorm,$L275))</f>
        <v/>
      </c>
      <c r="C275" s="17">
        <f>IF($L275="","",IF(INDEX(ExpTime,$L275)="","—",LEFT(INDEX(ExpTime,$L275),2)&amp;":"&amp;RIGHT(INDEX(ExpTime,$L275),2)))</f>
        <v/>
      </c>
      <c r="D275" s="17">
        <f>IF($L275="","",IF(INDEX(ExpBank,$L275)="","—",INDEX(ExpBank,$L275)))</f>
        <v/>
      </c>
      <c r="E275" s="18">
        <f>IF($L275="","",IF(INDEX(ExpParty,$L275)="","—",IFERROR(VLOOKUP(INDEX(ExpParty,$L275),AcctTbl,4,0),INDEX(ExpParty,$L275))))</f>
        <v/>
      </c>
      <c r="F275" s="17">
        <f>IF($L275="","",IF(INDEX(ExpType,$L275)="","—",INDEX(ExpType,$L275)))</f>
        <v/>
      </c>
      <c r="G275" s="19">
        <f>IF($L275="","",IF(INDEX(ExpDep,$L275)=0,"",INDEX(ExpDep,$L275)))</f>
        <v/>
      </c>
      <c r="H275" s="19">
        <f>IF($L275="","",IF(INDEX(ExpWit,$L275)=0,"",INDEX(ExpWit,$L275)))</f>
        <v/>
      </c>
      <c r="I275" s="20">
        <f>IF($B275="","",IF($I274="",0,$I274)+IF($H275="",0,$H275)-IF($G275="",0,$G275))</f>
        <v/>
      </c>
      <c r="J275" s="18">
        <f>IF($L275="","",IF(INDEX(ExpNote,$L275)="","—",INDEX(ExpNote,$L275)))</f>
        <v/>
      </c>
      <c r="L275">
        <f>IFERROR(MATCH($C$5&amp;"|"&amp;RIGHT("000000"&amp;259,6),ExpRankKey,0),"")</f>
        <v/>
      </c>
    </row>
    <row r="276">
      <c r="A276" s="21" t="n">
        <v>260</v>
      </c>
      <c r="B276" s="22">
        <f>IF($L276="","",INDEX(ExpNorm,$L276))</f>
        <v/>
      </c>
      <c r="C276" s="22">
        <f>IF($L276="","",IF(INDEX(ExpTime,$L276)="","—",LEFT(INDEX(ExpTime,$L276),2)&amp;":"&amp;RIGHT(INDEX(ExpTime,$L276),2)))</f>
        <v/>
      </c>
      <c r="D276" s="22">
        <f>IF($L276="","",IF(INDEX(ExpBank,$L276)="","—",INDEX(ExpBank,$L276)))</f>
        <v/>
      </c>
      <c r="E276" s="23">
        <f>IF($L276="","",IF(INDEX(ExpParty,$L276)="","—",IFERROR(VLOOKUP(INDEX(ExpParty,$L276),AcctTbl,4,0),INDEX(ExpParty,$L276))))</f>
        <v/>
      </c>
      <c r="F276" s="22">
        <f>IF($L276="","",IF(INDEX(ExpType,$L276)="","—",INDEX(ExpType,$L276)))</f>
        <v/>
      </c>
      <c r="G276" s="24">
        <f>IF($L276="","",IF(INDEX(ExpDep,$L276)=0,"",INDEX(ExpDep,$L276)))</f>
        <v/>
      </c>
      <c r="H276" s="24">
        <f>IF($L276="","",IF(INDEX(ExpWit,$L276)=0,"",INDEX(ExpWit,$L276)))</f>
        <v/>
      </c>
      <c r="I276" s="25">
        <f>IF($B276="","",IF($I275="",0,$I275)+IF($H276="",0,$H276)-IF($G276="",0,$G276))</f>
        <v/>
      </c>
      <c r="J276" s="23">
        <f>IF($L276="","",IF(INDEX(ExpNote,$L276)="","—",INDEX(ExpNote,$L276)))</f>
        <v/>
      </c>
      <c r="L276">
        <f>IFERROR(MATCH($C$5&amp;"|"&amp;RIGHT("000000"&amp;260,6),ExpRankKey,0),"")</f>
        <v/>
      </c>
    </row>
    <row r="277">
      <c r="A277" s="16" t="n">
        <v>261</v>
      </c>
      <c r="B277" s="17">
        <f>IF($L277="","",INDEX(ExpNorm,$L277))</f>
        <v/>
      </c>
      <c r="C277" s="17">
        <f>IF($L277="","",IF(INDEX(ExpTime,$L277)="","—",LEFT(INDEX(ExpTime,$L277),2)&amp;":"&amp;RIGHT(INDEX(ExpTime,$L277),2)))</f>
        <v/>
      </c>
      <c r="D277" s="17">
        <f>IF($L277="","",IF(INDEX(ExpBank,$L277)="","—",INDEX(ExpBank,$L277)))</f>
        <v/>
      </c>
      <c r="E277" s="18">
        <f>IF($L277="","",IF(INDEX(ExpParty,$L277)="","—",IFERROR(VLOOKUP(INDEX(ExpParty,$L277),AcctTbl,4,0),INDEX(ExpParty,$L277))))</f>
        <v/>
      </c>
      <c r="F277" s="17">
        <f>IF($L277="","",IF(INDEX(ExpType,$L277)="","—",INDEX(ExpType,$L277)))</f>
        <v/>
      </c>
      <c r="G277" s="19">
        <f>IF($L277="","",IF(INDEX(ExpDep,$L277)=0,"",INDEX(ExpDep,$L277)))</f>
        <v/>
      </c>
      <c r="H277" s="19">
        <f>IF($L277="","",IF(INDEX(ExpWit,$L277)=0,"",INDEX(ExpWit,$L277)))</f>
        <v/>
      </c>
      <c r="I277" s="20">
        <f>IF($B277="","",IF($I276="",0,$I276)+IF($H277="",0,$H277)-IF($G277="",0,$G277))</f>
        <v/>
      </c>
      <c r="J277" s="18">
        <f>IF($L277="","",IF(INDEX(ExpNote,$L277)="","—",INDEX(ExpNote,$L277)))</f>
        <v/>
      </c>
      <c r="L277">
        <f>IFERROR(MATCH($C$5&amp;"|"&amp;RIGHT("000000"&amp;261,6),ExpRankKey,0),"")</f>
        <v/>
      </c>
    </row>
    <row r="278">
      <c r="A278" s="21" t="n">
        <v>262</v>
      </c>
      <c r="B278" s="22">
        <f>IF($L278="","",INDEX(ExpNorm,$L278))</f>
        <v/>
      </c>
      <c r="C278" s="22">
        <f>IF($L278="","",IF(INDEX(ExpTime,$L278)="","—",LEFT(INDEX(ExpTime,$L278),2)&amp;":"&amp;RIGHT(INDEX(ExpTime,$L278),2)))</f>
        <v/>
      </c>
      <c r="D278" s="22">
        <f>IF($L278="","",IF(INDEX(ExpBank,$L278)="","—",INDEX(ExpBank,$L278)))</f>
        <v/>
      </c>
      <c r="E278" s="23">
        <f>IF($L278="","",IF(INDEX(ExpParty,$L278)="","—",IFERROR(VLOOKUP(INDEX(ExpParty,$L278),AcctTbl,4,0),INDEX(ExpParty,$L278))))</f>
        <v/>
      </c>
      <c r="F278" s="22">
        <f>IF($L278="","",IF(INDEX(ExpType,$L278)="","—",INDEX(ExpType,$L278)))</f>
        <v/>
      </c>
      <c r="G278" s="24">
        <f>IF($L278="","",IF(INDEX(ExpDep,$L278)=0,"",INDEX(ExpDep,$L278)))</f>
        <v/>
      </c>
      <c r="H278" s="24">
        <f>IF($L278="","",IF(INDEX(ExpWit,$L278)=0,"",INDEX(ExpWit,$L278)))</f>
        <v/>
      </c>
      <c r="I278" s="25">
        <f>IF($B278="","",IF($I277="",0,$I277)+IF($H278="",0,$H278)-IF($G278="",0,$G278))</f>
        <v/>
      </c>
      <c r="J278" s="23">
        <f>IF($L278="","",IF(INDEX(ExpNote,$L278)="","—",INDEX(ExpNote,$L278)))</f>
        <v/>
      </c>
      <c r="L278">
        <f>IFERROR(MATCH($C$5&amp;"|"&amp;RIGHT("000000"&amp;262,6),ExpRankKey,0),"")</f>
        <v/>
      </c>
    </row>
    <row r="279">
      <c r="A279" s="16" t="n">
        <v>263</v>
      </c>
      <c r="B279" s="17">
        <f>IF($L279="","",INDEX(ExpNorm,$L279))</f>
        <v/>
      </c>
      <c r="C279" s="17">
        <f>IF($L279="","",IF(INDEX(ExpTime,$L279)="","—",LEFT(INDEX(ExpTime,$L279),2)&amp;":"&amp;RIGHT(INDEX(ExpTime,$L279),2)))</f>
        <v/>
      </c>
      <c r="D279" s="17">
        <f>IF($L279="","",IF(INDEX(ExpBank,$L279)="","—",INDEX(ExpBank,$L279)))</f>
        <v/>
      </c>
      <c r="E279" s="18">
        <f>IF($L279="","",IF(INDEX(ExpParty,$L279)="","—",IFERROR(VLOOKUP(INDEX(ExpParty,$L279),AcctTbl,4,0),INDEX(ExpParty,$L279))))</f>
        <v/>
      </c>
      <c r="F279" s="17">
        <f>IF($L279="","",IF(INDEX(ExpType,$L279)="","—",INDEX(ExpType,$L279)))</f>
        <v/>
      </c>
      <c r="G279" s="19">
        <f>IF($L279="","",IF(INDEX(ExpDep,$L279)=0,"",INDEX(ExpDep,$L279)))</f>
        <v/>
      </c>
      <c r="H279" s="19">
        <f>IF($L279="","",IF(INDEX(ExpWit,$L279)=0,"",INDEX(ExpWit,$L279)))</f>
        <v/>
      </c>
      <c r="I279" s="20">
        <f>IF($B279="","",IF($I278="",0,$I278)+IF($H279="",0,$H279)-IF($G279="",0,$G279))</f>
        <v/>
      </c>
      <c r="J279" s="18">
        <f>IF($L279="","",IF(INDEX(ExpNote,$L279)="","—",INDEX(ExpNote,$L279)))</f>
        <v/>
      </c>
      <c r="L279">
        <f>IFERROR(MATCH($C$5&amp;"|"&amp;RIGHT("000000"&amp;263,6),ExpRankKey,0),"")</f>
        <v/>
      </c>
    </row>
    <row r="280">
      <c r="A280" s="21" t="n">
        <v>264</v>
      </c>
      <c r="B280" s="22">
        <f>IF($L280="","",INDEX(ExpNorm,$L280))</f>
        <v/>
      </c>
      <c r="C280" s="22">
        <f>IF($L280="","",IF(INDEX(ExpTime,$L280)="","—",LEFT(INDEX(ExpTime,$L280),2)&amp;":"&amp;RIGHT(INDEX(ExpTime,$L280),2)))</f>
        <v/>
      </c>
      <c r="D280" s="22">
        <f>IF($L280="","",IF(INDEX(ExpBank,$L280)="","—",INDEX(ExpBank,$L280)))</f>
        <v/>
      </c>
      <c r="E280" s="23">
        <f>IF($L280="","",IF(INDEX(ExpParty,$L280)="","—",IFERROR(VLOOKUP(INDEX(ExpParty,$L280),AcctTbl,4,0),INDEX(ExpParty,$L280))))</f>
        <v/>
      </c>
      <c r="F280" s="22">
        <f>IF($L280="","",IF(INDEX(ExpType,$L280)="","—",INDEX(ExpType,$L280)))</f>
        <v/>
      </c>
      <c r="G280" s="24">
        <f>IF($L280="","",IF(INDEX(ExpDep,$L280)=0,"",INDEX(ExpDep,$L280)))</f>
        <v/>
      </c>
      <c r="H280" s="24">
        <f>IF($L280="","",IF(INDEX(ExpWit,$L280)=0,"",INDEX(ExpWit,$L280)))</f>
        <v/>
      </c>
      <c r="I280" s="25">
        <f>IF($B280="","",IF($I279="",0,$I279)+IF($H280="",0,$H280)-IF($G280="",0,$G280))</f>
        <v/>
      </c>
      <c r="J280" s="23">
        <f>IF($L280="","",IF(INDEX(ExpNote,$L280)="","—",INDEX(ExpNote,$L280)))</f>
        <v/>
      </c>
      <c r="L280">
        <f>IFERROR(MATCH($C$5&amp;"|"&amp;RIGHT("000000"&amp;264,6),ExpRankKey,0),"")</f>
        <v/>
      </c>
    </row>
    <row r="281">
      <c r="A281" s="16" t="n">
        <v>265</v>
      </c>
      <c r="B281" s="17">
        <f>IF($L281="","",INDEX(ExpNorm,$L281))</f>
        <v/>
      </c>
      <c r="C281" s="17">
        <f>IF($L281="","",IF(INDEX(ExpTime,$L281)="","—",LEFT(INDEX(ExpTime,$L281),2)&amp;":"&amp;RIGHT(INDEX(ExpTime,$L281),2)))</f>
        <v/>
      </c>
      <c r="D281" s="17">
        <f>IF($L281="","",IF(INDEX(ExpBank,$L281)="","—",INDEX(ExpBank,$L281)))</f>
        <v/>
      </c>
      <c r="E281" s="18">
        <f>IF($L281="","",IF(INDEX(ExpParty,$L281)="","—",IFERROR(VLOOKUP(INDEX(ExpParty,$L281),AcctTbl,4,0),INDEX(ExpParty,$L281))))</f>
        <v/>
      </c>
      <c r="F281" s="17">
        <f>IF($L281="","",IF(INDEX(ExpType,$L281)="","—",INDEX(ExpType,$L281)))</f>
        <v/>
      </c>
      <c r="G281" s="19">
        <f>IF($L281="","",IF(INDEX(ExpDep,$L281)=0,"",INDEX(ExpDep,$L281)))</f>
        <v/>
      </c>
      <c r="H281" s="19">
        <f>IF($L281="","",IF(INDEX(ExpWit,$L281)=0,"",INDEX(ExpWit,$L281)))</f>
        <v/>
      </c>
      <c r="I281" s="20">
        <f>IF($B281="","",IF($I280="",0,$I280)+IF($H281="",0,$H281)-IF($G281="",0,$G281))</f>
        <v/>
      </c>
      <c r="J281" s="18">
        <f>IF($L281="","",IF(INDEX(ExpNote,$L281)="","—",INDEX(ExpNote,$L281)))</f>
        <v/>
      </c>
      <c r="L281">
        <f>IFERROR(MATCH($C$5&amp;"|"&amp;RIGHT("000000"&amp;265,6),ExpRankKey,0),"")</f>
        <v/>
      </c>
    </row>
    <row r="282">
      <c r="A282" s="21" t="n">
        <v>266</v>
      </c>
      <c r="B282" s="22">
        <f>IF($L282="","",INDEX(ExpNorm,$L282))</f>
        <v/>
      </c>
      <c r="C282" s="22">
        <f>IF($L282="","",IF(INDEX(ExpTime,$L282)="","—",LEFT(INDEX(ExpTime,$L282),2)&amp;":"&amp;RIGHT(INDEX(ExpTime,$L282),2)))</f>
        <v/>
      </c>
      <c r="D282" s="22">
        <f>IF($L282="","",IF(INDEX(ExpBank,$L282)="","—",INDEX(ExpBank,$L282)))</f>
        <v/>
      </c>
      <c r="E282" s="23">
        <f>IF($L282="","",IF(INDEX(ExpParty,$L282)="","—",IFERROR(VLOOKUP(INDEX(ExpParty,$L282),AcctTbl,4,0),INDEX(ExpParty,$L282))))</f>
        <v/>
      </c>
      <c r="F282" s="22">
        <f>IF($L282="","",IF(INDEX(ExpType,$L282)="","—",INDEX(ExpType,$L282)))</f>
        <v/>
      </c>
      <c r="G282" s="24">
        <f>IF($L282="","",IF(INDEX(ExpDep,$L282)=0,"",INDEX(ExpDep,$L282)))</f>
        <v/>
      </c>
      <c r="H282" s="24">
        <f>IF($L282="","",IF(INDEX(ExpWit,$L282)=0,"",INDEX(ExpWit,$L282)))</f>
        <v/>
      </c>
      <c r="I282" s="25">
        <f>IF($B282="","",IF($I281="",0,$I281)+IF($H282="",0,$H282)-IF($G282="",0,$G282))</f>
        <v/>
      </c>
      <c r="J282" s="23">
        <f>IF($L282="","",IF(INDEX(ExpNote,$L282)="","—",INDEX(ExpNote,$L282)))</f>
        <v/>
      </c>
      <c r="L282">
        <f>IFERROR(MATCH($C$5&amp;"|"&amp;RIGHT("000000"&amp;266,6),ExpRankKey,0),"")</f>
        <v/>
      </c>
    </row>
    <row r="283">
      <c r="A283" s="16" t="n">
        <v>267</v>
      </c>
      <c r="B283" s="17">
        <f>IF($L283="","",INDEX(ExpNorm,$L283))</f>
        <v/>
      </c>
      <c r="C283" s="17">
        <f>IF($L283="","",IF(INDEX(ExpTime,$L283)="","—",LEFT(INDEX(ExpTime,$L283),2)&amp;":"&amp;RIGHT(INDEX(ExpTime,$L283),2)))</f>
        <v/>
      </c>
      <c r="D283" s="17">
        <f>IF($L283="","",IF(INDEX(ExpBank,$L283)="","—",INDEX(ExpBank,$L283)))</f>
        <v/>
      </c>
      <c r="E283" s="18">
        <f>IF($L283="","",IF(INDEX(ExpParty,$L283)="","—",IFERROR(VLOOKUP(INDEX(ExpParty,$L283),AcctTbl,4,0),INDEX(ExpParty,$L283))))</f>
        <v/>
      </c>
      <c r="F283" s="17">
        <f>IF($L283="","",IF(INDEX(ExpType,$L283)="","—",INDEX(ExpType,$L283)))</f>
        <v/>
      </c>
      <c r="G283" s="19">
        <f>IF($L283="","",IF(INDEX(ExpDep,$L283)=0,"",INDEX(ExpDep,$L283)))</f>
        <v/>
      </c>
      <c r="H283" s="19">
        <f>IF($L283="","",IF(INDEX(ExpWit,$L283)=0,"",INDEX(ExpWit,$L283)))</f>
        <v/>
      </c>
      <c r="I283" s="20">
        <f>IF($B283="","",IF($I282="",0,$I282)+IF($H283="",0,$H283)-IF($G283="",0,$G283))</f>
        <v/>
      </c>
      <c r="J283" s="18">
        <f>IF($L283="","",IF(INDEX(ExpNote,$L283)="","—",INDEX(ExpNote,$L283)))</f>
        <v/>
      </c>
      <c r="L283">
        <f>IFERROR(MATCH($C$5&amp;"|"&amp;RIGHT("000000"&amp;267,6),ExpRankKey,0),"")</f>
        <v/>
      </c>
    </row>
    <row r="284">
      <c r="A284" s="21" t="n">
        <v>268</v>
      </c>
      <c r="B284" s="22">
        <f>IF($L284="","",INDEX(ExpNorm,$L284))</f>
        <v/>
      </c>
      <c r="C284" s="22">
        <f>IF($L284="","",IF(INDEX(ExpTime,$L284)="","—",LEFT(INDEX(ExpTime,$L284),2)&amp;":"&amp;RIGHT(INDEX(ExpTime,$L284),2)))</f>
        <v/>
      </c>
      <c r="D284" s="22">
        <f>IF($L284="","",IF(INDEX(ExpBank,$L284)="","—",INDEX(ExpBank,$L284)))</f>
        <v/>
      </c>
      <c r="E284" s="23">
        <f>IF($L284="","",IF(INDEX(ExpParty,$L284)="","—",IFERROR(VLOOKUP(INDEX(ExpParty,$L284),AcctTbl,4,0),INDEX(ExpParty,$L284))))</f>
        <v/>
      </c>
      <c r="F284" s="22">
        <f>IF($L284="","",IF(INDEX(ExpType,$L284)="","—",INDEX(ExpType,$L284)))</f>
        <v/>
      </c>
      <c r="G284" s="24">
        <f>IF($L284="","",IF(INDEX(ExpDep,$L284)=0,"",INDEX(ExpDep,$L284)))</f>
        <v/>
      </c>
      <c r="H284" s="24">
        <f>IF($L284="","",IF(INDEX(ExpWit,$L284)=0,"",INDEX(ExpWit,$L284)))</f>
        <v/>
      </c>
      <c r="I284" s="25">
        <f>IF($B284="","",IF($I283="",0,$I283)+IF($H284="",0,$H284)-IF($G284="",0,$G284))</f>
        <v/>
      </c>
      <c r="J284" s="23">
        <f>IF($L284="","",IF(INDEX(ExpNote,$L284)="","—",INDEX(ExpNote,$L284)))</f>
        <v/>
      </c>
      <c r="L284">
        <f>IFERROR(MATCH($C$5&amp;"|"&amp;RIGHT("000000"&amp;268,6),ExpRankKey,0),"")</f>
        <v/>
      </c>
    </row>
    <row r="285">
      <c r="A285" s="16" t="n">
        <v>269</v>
      </c>
      <c r="B285" s="17">
        <f>IF($L285="","",INDEX(ExpNorm,$L285))</f>
        <v/>
      </c>
      <c r="C285" s="17">
        <f>IF($L285="","",IF(INDEX(ExpTime,$L285)="","—",LEFT(INDEX(ExpTime,$L285),2)&amp;":"&amp;RIGHT(INDEX(ExpTime,$L285),2)))</f>
        <v/>
      </c>
      <c r="D285" s="17">
        <f>IF($L285="","",IF(INDEX(ExpBank,$L285)="","—",INDEX(ExpBank,$L285)))</f>
        <v/>
      </c>
      <c r="E285" s="18">
        <f>IF($L285="","",IF(INDEX(ExpParty,$L285)="","—",IFERROR(VLOOKUP(INDEX(ExpParty,$L285),AcctTbl,4,0),INDEX(ExpParty,$L285))))</f>
        <v/>
      </c>
      <c r="F285" s="17">
        <f>IF($L285="","",IF(INDEX(ExpType,$L285)="","—",INDEX(ExpType,$L285)))</f>
        <v/>
      </c>
      <c r="G285" s="19">
        <f>IF($L285="","",IF(INDEX(ExpDep,$L285)=0,"",INDEX(ExpDep,$L285)))</f>
        <v/>
      </c>
      <c r="H285" s="19">
        <f>IF($L285="","",IF(INDEX(ExpWit,$L285)=0,"",INDEX(ExpWit,$L285)))</f>
        <v/>
      </c>
      <c r="I285" s="20">
        <f>IF($B285="","",IF($I284="",0,$I284)+IF($H285="",0,$H285)-IF($G285="",0,$G285))</f>
        <v/>
      </c>
      <c r="J285" s="18">
        <f>IF($L285="","",IF(INDEX(ExpNote,$L285)="","—",INDEX(ExpNote,$L285)))</f>
        <v/>
      </c>
      <c r="L285">
        <f>IFERROR(MATCH($C$5&amp;"|"&amp;RIGHT("000000"&amp;269,6),ExpRankKey,0),"")</f>
        <v/>
      </c>
    </row>
    <row r="286">
      <c r="A286" s="21" t="n">
        <v>270</v>
      </c>
      <c r="B286" s="22">
        <f>IF($L286="","",INDEX(ExpNorm,$L286))</f>
        <v/>
      </c>
      <c r="C286" s="22">
        <f>IF($L286="","",IF(INDEX(ExpTime,$L286)="","—",LEFT(INDEX(ExpTime,$L286),2)&amp;":"&amp;RIGHT(INDEX(ExpTime,$L286),2)))</f>
        <v/>
      </c>
      <c r="D286" s="22">
        <f>IF($L286="","",IF(INDEX(ExpBank,$L286)="","—",INDEX(ExpBank,$L286)))</f>
        <v/>
      </c>
      <c r="E286" s="23">
        <f>IF($L286="","",IF(INDEX(ExpParty,$L286)="","—",IFERROR(VLOOKUP(INDEX(ExpParty,$L286),AcctTbl,4,0),INDEX(ExpParty,$L286))))</f>
        <v/>
      </c>
      <c r="F286" s="22">
        <f>IF($L286="","",IF(INDEX(ExpType,$L286)="","—",INDEX(ExpType,$L286)))</f>
        <v/>
      </c>
      <c r="G286" s="24">
        <f>IF($L286="","",IF(INDEX(ExpDep,$L286)=0,"",INDEX(ExpDep,$L286)))</f>
        <v/>
      </c>
      <c r="H286" s="24">
        <f>IF($L286="","",IF(INDEX(ExpWit,$L286)=0,"",INDEX(ExpWit,$L286)))</f>
        <v/>
      </c>
      <c r="I286" s="25">
        <f>IF($B286="","",IF($I285="",0,$I285)+IF($H286="",0,$H286)-IF($G286="",0,$G286))</f>
        <v/>
      </c>
      <c r="J286" s="23">
        <f>IF($L286="","",IF(INDEX(ExpNote,$L286)="","—",INDEX(ExpNote,$L286)))</f>
        <v/>
      </c>
      <c r="L286">
        <f>IFERROR(MATCH($C$5&amp;"|"&amp;RIGHT("000000"&amp;270,6),ExpRankKey,0),"")</f>
        <v/>
      </c>
    </row>
    <row r="287">
      <c r="A287" s="16" t="n">
        <v>271</v>
      </c>
      <c r="B287" s="17">
        <f>IF($L287="","",INDEX(ExpNorm,$L287))</f>
        <v/>
      </c>
      <c r="C287" s="17">
        <f>IF($L287="","",IF(INDEX(ExpTime,$L287)="","—",LEFT(INDEX(ExpTime,$L287),2)&amp;":"&amp;RIGHT(INDEX(ExpTime,$L287),2)))</f>
        <v/>
      </c>
      <c r="D287" s="17">
        <f>IF($L287="","",IF(INDEX(ExpBank,$L287)="","—",INDEX(ExpBank,$L287)))</f>
        <v/>
      </c>
      <c r="E287" s="18">
        <f>IF($L287="","",IF(INDEX(ExpParty,$L287)="","—",IFERROR(VLOOKUP(INDEX(ExpParty,$L287),AcctTbl,4,0),INDEX(ExpParty,$L287))))</f>
        <v/>
      </c>
      <c r="F287" s="17">
        <f>IF($L287="","",IF(INDEX(ExpType,$L287)="","—",INDEX(ExpType,$L287)))</f>
        <v/>
      </c>
      <c r="G287" s="19">
        <f>IF($L287="","",IF(INDEX(ExpDep,$L287)=0,"",INDEX(ExpDep,$L287)))</f>
        <v/>
      </c>
      <c r="H287" s="19">
        <f>IF($L287="","",IF(INDEX(ExpWit,$L287)=0,"",INDEX(ExpWit,$L287)))</f>
        <v/>
      </c>
      <c r="I287" s="20">
        <f>IF($B287="","",IF($I286="",0,$I286)+IF($H287="",0,$H287)-IF($G287="",0,$G287))</f>
        <v/>
      </c>
      <c r="J287" s="18">
        <f>IF($L287="","",IF(INDEX(ExpNote,$L287)="","—",INDEX(ExpNote,$L287)))</f>
        <v/>
      </c>
      <c r="L287">
        <f>IFERROR(MATCH($C$5&amp;"|"&amp;RIGHT("000000"&amp;271,6),ExpRankKey,0),"")</f>
        <v/>
      </c>
    </row>
    <row r="288">
      <c r="A288" s="21" t="n">
        <v>272</v>
      </c>
      <c r="B288" s="22">
        <f>IF($L288="","",INDEX(ExpNorm,$L288))</f>
        <v/>
      </c>
      <c r="C288" s="22">
        <f>IF($L288="","",IF(INDEX(ExpTime,$L288)="","—",LEFT(INDEX(ExpTime,$L288),2)&amp;":"&amp;RIGHT(INDEX(ExpTime,$L288),2)))</f>
        <v/>
      </c>
      <c r="D288" s="22">
        <f>IF($L288="","",IF(INDEX(ExpBank,$L288)="","—",INDEX(ExpBank,$L288)))</f>
        <v/>
      </c>
      <c r="E288" s="23">
        <f>IF($L288="","",IF(INDEX(ExpParty,$L288)="","—",IFERROR(VLOOKUP(INDEX(ExpParty,$L288),AcctTbl,4,0),INDEX(ExpParty,$L288))))</f>
        <v/>
      </c>
      <c r="F288" s="22">
        <f>IF($L288="","",IF(INDEX(ExpType,$L288)="","—",INDEX(ExpType,$L288)))</f>
        <v/>
      </c>
      <c r="G288" s="24">
        <f>IF($L288="","",IF(INDEX(ExpDep,$L288)=0,"",INDEX(ExpDep,$L288)))</f>
        <v/>
      </c>
      <c r="H288" s="24">
        <f>IF($L288="","",IF(INDEX(ExpWit,$L288)=0,"",INDEX(ExpWit,$L288)))</f>
        <v/>
      </c>
      <c r="I288" s="25">
        <f>IF($B288="","",IF($I287="",0,$I287)+IF($H288="",0,$H288)-IF($G288="",0,$G288))</f>
        <v/>
      </c>
      <c r="J288" s="23">
        <f>IF($L288="","",IF(INDEX(ExpNote,$L288)="","—",INDEX(ExpNote,$L288)))</f>
        <v/>
      </c>
      <c r="L288">
        <f>IFERROR(MATCH($C$5&amp;"|"&amp;RIGHT("000000"&amp;272,6),ExpRankKey,0),"")</f>
        <v/>
      </c>
    </row>
    <row r="289">
      <c r="A289" s="16" t="n">
        <v>273</v>
      </c>
      <c r="B289" s="17">
        <f>IF($L289="","",INDEX(ExpNorm,$L289))</f>
        <v/>
      </c>
      <c r="C289" s="17">
        <f>IF($L289="","",IF(INDEX(ExpTime,$L289)="","—",LEFT(INDEX(ExpTime,$L289),2)&amp;":"&amp;RIGHT(INDEX(ExpTime,$L289),2)))</f>
        <v/>
      </c>
      <c r="D289" s="17">
        <f>IF($L289="","",IF(INDEX(ExpBank,$L289)="","—",INDEX(ExpBank,$L289)))</f>
        <v/>
      </c>
      <c r="E289" s="18">
        <f>IF($L289="","",IF(INDEX(ExpParty,$L289)="","—",IFERROR(VLOOKUP(INDEX(ExpParty,$L289),AcctTbl,4,0),INDEX(ExpParty,$L289))))</f>
        <v/>
      </c>
      <c r="F289" s="17">
        <f>IF($L289="","",IF(INDEX(ExpType,$L289)="","—",INDEX(ExpType,$L289)))</f>
        <v/>
      </c>
      <c r="G289" s="19">
        <f>IF($L289="","",IF(INDEX(ExpDep,$L289)=0,"",INDEX(ExpDep,$L289)))</f>
        <v/>
      </c>
      <c r="H289" s="19">
        <f>IF($L289="","",IF(INDEX(ExpWit,$L289)=0,"",INDEX(ExpWit,$L289)))</f>
        <v/>
      </c>
      <c r="I289" s="20">
        <f>IF($B289="","",IF($I288="",0,$I288)+IF($H289="",0,$H289)-IF($G289="",0,$G289))</f>
        <v/>
      </c>
      <c r="J289" s="18">
        <f>IF($L289="","",IF(INDEX(ExpNote,$L289)="","—",INDEX(ExpNote,$L289)))</f>
        <v/>
      </c>
      <c r="L289">
        <f>IFERROR(MATCH($C$5&amp;"|"&amp;RIGHT("000000"&amp;273,6),ExpRankKey,0),"")</f>
        <v/>
      </c>
    </row>
    <row r="290">
      <c r="A290" s="21" t="n">
        <v>274</v>
      </c>
      <c r="B290" s="22">
        <f>IF($L290="","",INDEX(ExpNorm,$L290))</f>
        <v/>
      </c>
      <c r="C290" s="22">
        <f>IF($L290="","",IF(INDEX(ExpTime,$L290)="","—",LEFT(INDEX(ExpTime,$L290),2)&amp;":"&amp;RIGHT(INDEX(ExpTime,$L290),2)))</f>
        <v/>
      </c>
      <c r="D290" s="22">
        <f>IF($L290="","",IF(INDEX(ExpBank,$L290)="","—",INDEX(ExpBank,$L290)))</f>
        <v/>
      </c>
      <c r="E290" s="23">
        <f>IF($L290="","",IF(INDEX(ExpParty,$L290)="","—",IFERROR(VLOOKUP(INDEX(ExpParty,$L290),AcctTbl,4,0),INDEX(ExpParty,$L290))))</f>
        <v/>
      </c>
      <c r="F290" s="22">
        <f>IF($L290="","",IF(INDEX(ExpType,$L290)="","—",INDEX(ExpType,$L290)))</f>
        <v/>
      </c>
      <c r="G290" s="24">
        <f>IF($L290="","",IF(INDEX(ExpDep,$L290)=0,"",INDEX(ExpDep,$L290)))</f>
        <v/>
      </c>
      <c r="H290" s="24">
        <f>IF($L290="","",IF(INDEX(ExpWit,$L290)=0,"",INDEX(ExpWit,$L290)))</f>
        <v/>
      </c>
      <c r="I290" s="25">
        <f>IF($B290="","",IF($I289="",0,$I289)+IF($H290="",0,$H290)-IF($G290="",0,$G290))</f>
        <v/>
      </c>
      <c r="J290" s="23">
        <f>IF($L290="","",IF(INDEX(ExpNote,$L290)="","—",INDEX(ExpNote,$L290)))</f>
        <v/>
      </c>
      <c r="L290">
        <f>IFERROR(MATCH($C$5&amp;"|"&amp;RIGHT("000000"&amp;274,6),ExpRankKey,0),"")</f>
        <v/>
      </c>
    </row>
    <row r="291">
      <c r="A291" s="16" t="n">
        <v>275</v>
      </c>
      <c r="B291" s="17">
        <f>IF($L291="","",INDEX(ExpNorm,$L291))</f>
        <v/>
      </c>
      <c r="C291" s="17">
        <f>IF($L291="","",IF(INDEX(ExpTime,$L291)="","—",LEFT(INDEX(ExpTime,$L291),2)&amp;":"&amp;RIGHT(INDEX(ExpTime,$L291),2)))</f>
        <v/>
      </c>
      <c r="D291" s="17">
        <f>IF($L291="","",IF(INDEX(ExpBank,$L291)="","—",INDEX(ExpBank,$L291)))</f>
        <v/>
      </c>
      <c r="E291" s="18">
        <f>IF($L291="","",IF(INDEX(ExpParty,$L291)="","—",IFERROR(VLOOKUP(INDEX(ExpParty,$L291),AcctTbl,4,0),INDEX(ExpParty,$L291))))</f>
        <v/>
      </c>
      <c r="F291" s="17">
        <f>IF($L291="","",IF(INDEX(ExpType,$L291)="","—",INDEX(ExpType,$L291)))</f>
        <v/>
      </c>
      <c r="G291" s="19">
        <f>IF($L291="","",IF(INDEX(ExpDep,$L291)=0,"",INDEX(ExpDep,$L291)))</f>
        <v/>
      </c>
      <c r="H291" s="19">
        <f>IF($L291="","",IF(INDEX(ExpWit,$L291)=0,"",INDEX(ExpWit,$L291)))</f>
        <v/>
      </c>
      <c r="I291" s="20">
        <f>IF($B291="","",IF($I290="",0,$I290)+IF($H291="",0,$H291)-IF($G291="",0,$G291))</f>
        <v/>
      </c>
      <c r="J291" s="18">
        <f>IF($L291="","",IF(INDEX(ExpNote,$L291)="","—",INDEX(ExpNote,$L291)))</f>
        <v/>
      </c>
      <c r="L291">
        <f>IFERROR(MATCH($C$5&amp;"|"&amp;RIGHT("000000"&amp;275,6),ExpRankKey,0),"")</f>
        <v/>
      </c>
    </row>
    <row r="292">
      <c r="A292" s="21" t="n">
        <v>276</v>
      </c>
      <c r="B292" s="22">
        <f>IF($L292="","",INDEX(ExpNorm,$L292))</f>
        <v/>
      </c>
      <c r="C292" s="22">
        <f>IF($L292="","",IF(INDEX(ExpTime,$L292)="","—",LEFT(INDEX(ExpTime,$L292),2)&amp;":"&amp;RIGHT(INDEX(ExpTime,$L292),2)))</f>
        <v/>
      </c>
      <c r="D292" s="22">
        <f>IF($L292="","",IF(INDEX(ExpBank,$L292)="","—",INDEX(ExpBank,$L292)))</f>
        <v/>
      </c>
      <c r="E292" s="23">
        <f>IF($L292="","",IF(INDEX(ExpParty,$L292)="","—",IFERROR(VLOOKUP(INDEX(ExpParty,$L292),AcctTbl,4,0),INDEX(ExpParty,$L292))))</f>
        <v/>
      </c>
      <c r="F292" s="22">
        <f>IF($L292="","",IF(INDEX(ExpType,$L292)="","—",INDEX(ExpType,$L292)))</f>
        <v/>
      </c>
      <c r="G292" s="24">
        <f>IF($L292="","",IF(INDEX(ExpDep,$L292)=0,"",INDEX(ExpDep,$L292)))</f>
        <v/>
      </c>
      <c r="H292" s="24">
        <f>IF($L292="","",IF(INDEX(ExpWit,$L292)=0,"",INDEX(ExpWit,$L292)))</f>
        <v/>
      </c>
      <c r="I292" s="25">
        <f>IF($B292="","",IF($I291="",0,$I291)+IF($H292="",0,$H292)-IF($G292="",0,$G292))</f>
        <v/>
      </c>
      <c r="J292" s="23">
        <f>IF($L292="","",IF(INDEX(ExpNote,$L292)="","—",INDEX(ExpNote,$L292)))</f>
        <v/>
      </c>
      <c r="L292">
        <f>IFERROR(MATCH($C$5&amp;"|"&amp;RIGHT("000000"&amp;276,6),ExpRankKey,0),"")</f>
        <v/>
      </c>
    </row>
    <row r="293">
      <c r="A293" s="16" t="n">
        <v>277</v>
      </c>
      <c r="B293" s="17">
        <f>IF($L293="","",INDEX(ExpNorm,$L293))</f>
        <v/>
      </c>
      <c r="C293" s="17">
        <f>IF($L293="","",IF(INDEX(ExpTime,$L293)="","—",LEFT(INDEX(ExpTime,$L293),2)&amp;":"&amp;RIGHT(INDEX(ExpTime,$L293),2)))</f>
        <v/>
      </c>
      <c r="D293" s="17">
        <f>IF($L293="","",IF(INDEX(ExpBank,$L293)="","—",INDEX(ExpBank,$L293)))</f>
        <v/>
      </c>
      <c r="E293" s="18">
        <f>IF($L293="","",IF(INDEX(ExpParty,$L293)="","—",IFERROR(VLOOKUP(INDEX(ExpParty,$L293),AcctTbl,4,0),INDEX(ExpParty,$L293))))</f>
        <v/>
      </c>
      <c r="F293" s="17">
        <f>IF($L293="","",IF(INDEX(ExpType,$L293)="","—",INDEX(ExpType,$L293)))</f>
        <v/>
      </c>
      <c r="G293" s="19">
        <f>IF($L293="","",IF(INDEX(ExpDep,$L293)=0,"",INDEX(ExpDep,$L293)))</f>
        <v/>
      </c>
      <c r="H293" s="19">
        <f>IF($L293="","",IF(INDEX(ExpWit,$L293)=0,"",INDEX(ExpWit,$L293)))</f>
        <v/>
      </c>
      <c r="I293" s="20">
        <f>IF($B293="","",IF($I292="",0,$I292)+IF($H293="",0,$H293)-IF($G293="",0,$G293))</f>
        <v/>
      </c>
      <c r="J293" s="18">
        <f>IF($L293="","",IF(INDEX(ExpNote,$L293)="","—",INDEX(ExpNote,$L293)))</f>
        <v/>
      </c>
      <c r="L293">
        <f>IFERROR(MATCH($C$5&amp;"|"&amp;RIGHT("000000"&amp;277,6),ExpRankKey,0),"")</f>
        <v/>
      </c>
    </row>
    <row r="294">
      <c r="A294" s="21" t="n">
        <v>278</v>
      </c>
      <c r="B294" s="22">
        <f>IF($L294="","",INDEX(ExpNorm,$L294))</f>
        <v/>
      </c>
      <c r="C294" s="22">
        <f>IF($L294="","",IF(INDEX(ExpTime,$L294)="","—",LEFT(INDEX(ExpTime,$L294),2)&amp;":"&amp;RIGHT(INDEX(ExpTime,$L294),2)))</f>
        <v/>
      </c>
      <c r="D294" s="22">
        <f>IF($L294="","",IF(INDEX(ExpBank,$L294)="","—",INDEX(ExpBank,$L294)))</f>
        <v/>
      </c>
      <c r="E294" s="23">
        <f>IF($L294="","",IF(INDEX(ExpParty,$L294)="","—",IFERROR(VLOOKUP(INDEX(ExpParty,$L294),AcctTbl,4,0),INDEX(ExpParty,$L294))))</f>
        <v/>
      </c>
      <c r="F294" s="22">
        <f>IF($L294="","",IF(INDEX(ExpType,$L294)="","—",INDEX(ExpType,$L294)))</f>
        <v/>
      </c>
      <c r="G294" s="24">
        <f>IF($L294="","",IF(INDEX(ExpDep,$L294)=0,"",INDEX(ExpDep,$L294)))</f>
        <v/>
      </c>
      <c r="H294" s="24">
        <f>IF($L294="","",IF(INDEX(ExpWit,$L294)=0,"",INDEX(ExpWit,$L294)))</f>
        <v/>
      </c>
      <c r="I294" s="25">
        <f>IF($B294="","",IF($I293="",0,$I293)+IF($H294="",0,$H294)-IF($G294="",0,$G294))</f>
        <v/>
      </c>
      <c r="J294" s="23">
        <f>IF($L294="","",IF(INDEX(ExpNote,$L294)="","—",INDEX(ExpNote,$L294)))</f>
        <v/>
      </c>
      <c r="L294">
        <f>IFERROR(MATCH($C$5&amp;"|"&amp;RIGHT("000000"&amp;278,6),ExpRankKey,0),"")</f>
        <v/>
      </c>
    </row>
    <row r="295">
      <c r="A295" s="16" t="n">
        <v>279</v>
      </c>
      <c r="B295" s="17">
        <f>IF($L295="","",INDEX(ExpNorm,$L295))</f>
        <v/>
      </c>
      <c r="C295" s="17">
        <f>IF($L295="","",IF(INDEX(ExpTime,$L295)="","—",LEFT(INDEX(ExpTime,$L295),2)&amp;":"&amp;RIGHT(INDEX(ExpTime,$L295),2)))</f>
        <v/>
      </c>
      <c r="D295" s="17">
        <f>IF($L295="","",IF(INDEX(ExpBank,$L295)="","—",INDEX(ExpBank,$L295)))</f>
        <v/>
      </c>
      <c r="E295" s="18">
        <f>IF($L295="","",IF(INDEX(ExpParty,$L295)="","—",IFERROR(VLOOKUP(INDEX(ExpParty,$L295),AcctTbl,4,0),INDEX(ExpParty,$L295))))</f>
        <v/>
      </c>
      <c r="F295" s="17">
        <f>IF($L295="","",IF(INDEX(ExpType,$L295)="","—",INDEX(ExpType,$L295)))</f>
        <v/>
      </c>
      <c r="G295" s="19">
        <f>IF($L295="","",IF(INDEX(ExpDep,$L295)=0,"",INDEX(ExpDep,$L295)))</f>
        <v/>
      </c>
      <c r="H295" s="19">
        <f>IF($L295="","",IF(INDEX(ExpWit,$L295)=0,"",INDEX(ExpWit,$L295)))</f>
        <v/>
      </c>
      <c r="I295" s="20">
        <f>IF($B295="","",IF($I294="",0,$I294)+IF($H295="",0,$H295)-IF($G295="",0,$G295))</f>
        <v/>
      </c>
      <c r="J295" s="18">
        <f>IF($L295="","",IF(INDEX(ExpNote,$L295)="","—",INDEX(ExpNote,$L295)))</f>
        <v/>
      </c>
      <c r="L295">
        <f>IFERROR(MATCH($C$5&amp;"|"&amp;RIGHT("000000"&amp;279,6),ExpRankKey,0),"")</f>
        <v/>
      </c>
    </row>
    <row r="296">
      <c r="A296" s="21" t="n">
        <v>280</v>
      </c>
      <c r="B296" s="22">
        <f>IF($L296="","",INDEX(ExpNorm,$L296))</f>
        <v/>
      </c>
      <c r="C296" s="22">
        <f>IF($L296="","",IF(INDEX(ExpTime,$L296)="","—",LEFT(INDEX(ExpTime,$L296),2)&amp;":"&amp;RIGHT(INDEX(ExpTime,$L296),2)))</f>
        <v/>
      </c>
      <c r="D296" s="22">
        <f>IF($L296="","",IF(INDEX(ExpBank,$L296)="","—",INDEX(ExpBank,$L296)))</f>
        <v/>
      </c>
      <c r="E296" s="23">
        <f>IF($L296="","",IF(INDEX(ExpParty,$L296)="","—",IFERROR(VLOOKUP(INDEX(ExpParty,$L296),AcctTbl,4,0),INDEX(ExpParty,$L296))))</f>
        <v/>
      </c>
      <c r="F296" s="22">
        <f>IF($L296="","",IF(INDEX(ExpType,$L296)="","—",INDEX(ExpType,$L296)))</f>
        <v/>
      </c>
      <c r="G296" s="24">
        <f>IF($L296="","",IF(INDEX(ExpDep,$L296)=0,"",INDEX(ExpDep,$L296)))</f>
        <v/>
      </c>
      <c r="H296" s="24">
        <f>IF($L296="","",IF(INDEX(ExpWit,$L296)=0,"",INDEX(ExpWit,$L296)))</f>
        <v/>
      </c>
      <c r="I296" s="25">
        <f>IF($B296="","",IF($I295="",0,$I295)+IF($H296="",0,$H296)-IF($G296="",0,$G296))</f>
        <v/>
      </c>
      <c r="J296" s="23">
        <f>IF($L296="","",IF(INDEX(ExpNote,$L296)="","—",INDEX(ExpNote,$L296)))</f>
        <v/>
      </c>
      <c r="L296">
        <f>IFERROR(MATCH($C$5&amp;"|"&amp;RIGHT("000000"&amp;280,6),ExpRankKey,0),"")</f>
        <v/>
      </c>
    </row>
    <row r="297">
      <c r="A297" s="16" t="n">
        <v>281</v>
      </c>
      <c r="B297" s="17">
        <f>IF($L297="","",INDEX(ExpNorm,$L297))</f>
        <v/>
      </c>
      <c r="C297" s="17">
        <f>IF($L297="","",IF(INDEX(ExpTime,$L297)="","—",LEFT(INDEX(ExpTime,$L297),2)&amp;":"&amp;RIGHT(INDEX(ExpTime,$L297),2)))</f>
        <v/>
      </c>
      <c r="D297" s="17">
        <f>IF($L297="","",IF(INDEX(ExpBank,$L297)="","—",INDEX(ExpBank,$L297)))</f>
        <v/>
      </c>
      <c r="E297" s="18">
        <f>IF($L297="","",IF(INDEX(ExpParty,$L297)="","—",IFERROR(VLOOKUP(INDEX(ExpParty,$L297),AcctTbl,4,0),INDEX(ExpParty,$L297))))</f>
        <v/>
      </c>
      <c r="F297" s="17">
        <f>IF($L297="","",IF(INDEX(ExpType,$L297)="","—",INDEX(ExpType,$L297)))</f>
        <v/>
      </c>
      <c r="G297" s="19">
        <f>IF($L297="","",IF(INDEX(ExpDep,$L297)=0,"",INDEX(ExpDep,$L297)))</f>
        <v/>
      </c>
      <c r="H297" s="19">
        <f>IF($L297="","",IF(INDEX(ExpWit,$L297)=0,"",INDEX(ExpWit,$L297)))</f>
        <v/>
      </c>
      <c r="I297" s="20">
        <f>IF($B297="","",IF($I296="",0,$I296)+IF($H297="",0,$H297)-IF($G297="",0,$G297))</f>
        <v/>
      </c>
      <c r="J297" s="18">
        <f>IF($L297="","",IF(INDEX(ExpNote,$L297)="","—",INDEX(ExpNote,$L297)))</f>
        <v/>
      </c>
      <c r="L297">
        <f>IFERROR(MATCH($C$5&amp;"|"&amp;RIGHT("000000"&amp;281,6),ExpRankKey,0),"")</f>
        <v/>
      </c>
    </row>
    <row r="298">
      <c r="A298" s="21" t="n">
        <v>282</v>
      </c>
      <c r="B298" s="22">
        <f>IF($L298="","",INDEX(ExpNorm,$L298))</f>
        <v/>
      </c>
      <c r="C298" s="22">
        <f>IF($L298="","",IF(INDEX(ExpTime,$L298)="","—",LEFT(INDEX(ExpTime,$L298),2)&amp;":"&amp;RIGHT(INDEX(ExpTime,$L298),2)))</f>
        <v/>
      </c>
      <c r="D298" s="22">
        <f>IF($L298="","",IF(INDEX(ExpBank,$L298)="","—",INDEX(ExpBank,$L298)))</f>
        <v/>
      </c>
      <c r="E298" s="23">
        <f>IF($L298="","",IF(INDEX(ExpParty,$L298)="","—",IFERROR(VLOOKUP(INDEX(ExpParty,$L298),AcctTbl,4,0),INDEX(ExpParty,$L298))))</f>
        <v/>
      </c>
      <c r="F298" s="22">
        <f>IF($L298="","",IF(INDEX(ExpType,$L298)="","—",INDEX(ExpType,$L298)))</f>
        <v/>
      </c>
      <c r="G298" s="24">
        <f>IF($L298="","",IF(INDEX(ExpDep,$L298)=0,"",INDEX(ExpDep,$L298)))</f>
        <v/>
      </c>
      <c r="H298" s="24">
        <f>IF($L298="","",IF(INDEX(ExpWit,$L298)=0,"",INDEX(ExpWit,$L298)))</f>
        <v/>
      </c>
      <c r="I298" s="25">
        <f>IF($B298="","",IF($I297="",0,$I297)+IF($H298="",0,$H298)-IF($G298="",0,$G298))</f>
        <v/>
      </c>
      <c r="J298" s="23">
        <f>IF($L298="","",IF(INDEX(ExpNote,$L298)="","—",INDEX(ExpNote,$L298)))</f>
        <v/>
      </c>
      <c r="L298">
        <f>IFERROR(MATCH($C$5&amp;"|"&amp;RIGHT("000000"&amp;282,6),ExpRankKey,0),"")</f>
        <v/>
      </c>
    </row>
    <row r="299">
      <c r="A299" s="16" t="n">
        <v>283</v>
      </c>
      <c r="B299" s="17">
        <f>IF($L299="","",INDEX(ExpNorm,$L299))</f>
        <v/>
      </c>
      <c r="C299" s="17">
        <f>IF($L299="","",IF(INDEX(ExpTime,$L299)="","—",LEFT(INDEX(ExpTime,$L299),2)&amp;":"&amp;RIGHT(INDEX(ExpTime,$L299),2)))</f>
        <v/>
      </c>
      <c r="D299" s="17">
        <f>IF($L299="","",IF(INDEX(ExpBank,$L299)="","—",INDEX(ExpBank,$L299)))</f>
        <v/>
      </c>
      <c r="E299" s="18">
        <f>IF($L299="","",IF(INDEX(ExpParty,$L299)="","—",IFERROR(VLOOKUP(INDEX(ExpParty,$L299),AcctTbl,4,0),INDEX(ExpParty,$L299))))</f>
        <v/>
      </c>
      <c r="F299" s="17">
        <f>IF($L299="","",IF(INDEX(ExpType,$L299)="","—",INDEX(ExpType,$L299)))</f>
        <v/>
      </c>
      <c r="G299" s="19">
        <f>IF($L299="","",IF(INDEX(ExpDep,$L299)=0,"",INDEX(ExpDep,$L299)))</f>
        <v/>
      </c>
      <c r="H299" s="19">
        <f>IF($L299="","",IF(INDEX(ExpWit,$L299)=0,"",INDEX(ExpWit,$L299)))</f>
        <v/>
      </c>
      <c r="I299" s="20">
        <f>IF($B299="","",IF($I298="",0,$I298)+IF($H299="",0,$H299)-IF($G299="",0,$G299))</f>
        <v/>
      </c>
      <c r="J299" s="18">
        <f>IF($L299="","",IF(INDEX(ExpNote,$L299)="","—",INDEX(ExpNote,$L299)))</f>
        <v/>
      </c>
      <c r="L299">
        <f>IFERROR(MATCH($C$5&amp;"|"&amp;RIGHT("000000"&amp;283,6),ExpRankKey,0),"")</f>
        <v/>
      </c>
    </row>
    <row r="300">
      <c r="A300" s="21" t="n">
        <v>284</v>
      </c>
      <c r="B300" s="22">
        <f>IF($L300="","",INDEX(ExpNorm,$L300))</f>
        <v/>
      </c>
      <c r="C300" s="22">
        <f>IF($L300="","",IF(INDEX(ExpTime,$L300)="","—",LEFT(INDEX(ExpTime,$L300),2)&amp;":"&amp;RIGHT(INDEX(ExpTime,$L300),2)))</f>
        <v/>
      </c>
      <c r="D300" s="22">
        <f>IF($L300="","",IF(INDEX(ExpBank,$L300)="","—",INDEX(ExpBank,$L300)))</f>
        <v/>
      </c>
      <c r="E300" s="23">
        <f>IF($L300="","",IF(INDEX(ExpParty,$L300)="","—",IFERROR(VLOOKUP(INDEX(ExpParty,$L300),AcctTbl,4,0),INDEX(ExpParty,$L300))))</f>
        <v/>
      </c>
      <c r="F300" s="22">
        <f>IF($L300="","",IF(INDEX(ExpType,$L300)="","—",INDEX(ExpType,$L300)))</f>
        <v/>
      </c>
      <c r="G300" s="24">
        <f>IF($L300="","",IF(INDEX(ExpDep,$L300)=0,"",INDEX(ExpDep,$L300)))</f>
        <v/>
      </c>
      <c r="H300" s="24">
        <f>IF($L300="","",IF(INDEX(ExpWit,$L300)=0,"",INDEX(ExpWit,$L300)))</f>
        <v/>
      </c>
      <c r="I300" s="25">
        <f>IF($B300="","",IF($I299="",0,$I299)+IF($H300="",0,$H300)-IF($G300="",0,$G300))</f>
        <v/>
      </c>
      <c r="J300" s="23">
        <f>IF($L300="","",IF(INDEX(ExpNote,$L300)="","—",INDEX(ExpNote,$L300)))</f>
        <v/>
      </c>
      <c r="L300">
        <f>IFERROR(MATCH($C$5&amp;"|"&amp;RIGHT("000000"&amp;284,6),ExpRankKey,0),"")</f>
        <v/>
      </c>
    </row>
    <row r="301">
      <c r="A301" s="16" t="n">
        <v>285</v>
      </c>
      <c r="B301" s="17">
        <f>IF($L301="","",INDEX(ExpNorm,$L301))</f>
        <v/>
      </c>
      <c r="C301" s="17">
        <f>IF($L301="","",IF(INDEX(ExpTime,$L301)="","—",LEFT(INDEX(ExpTime,$L301),2)&amp;":"&amp;RIGHT(INDEX(ExpTime,$L301),2)))</f>
        <v/>
      </c>
      <c r="D301" s="17">
        <f>IF($L301="","",IF(INDEX(ExpBank,$L301)="","—",INDEX(ExpBank,$L301)))</f>
        <v/>
      </c>
      <c r="E301" s="18">
        <f>IF($L301="","",IF(INDEX(ExpParty,$L301)="","—",IFERROR(VLOOKUP(INDEX(ExpParty,$L301),AcctTbl,4,0),INDEX(ExpParty,$L301))))</f>
        <v/>
      </c>
      <c r="F301" s="17">
        <f>IF($L301="","",IF(INDEX(ExpType,$L301)="","—",INDEX(ExpType,$L301)))</f>
        <v/>
      </c>
      <c r="G301" s="19">
        <f>IF($L301="","",IF(INDEX(ExpDep,$L301)=0,"",INDEX(ExpDep,$L301)))</f>
        <v/>
      </c>
      <c r="H301" s="19">
        <f>IF($L301="","",IF(INDEX(ExpWit,$L301)=0,"",INDEX(ExpWit,$L301)))</f>
        <v/>
      </c>
      <c r="I301" s="20">
        <f>IF($B301="","",IF($I300="",0,$I300)+IF($H301="",0,$H301)-IF($G301="",0,$G301))</f>
        <v/>
      </c>
      <c r="J301" s="18">
        <f>IF($L301="","",IF(INDEX(ExpNote,$L301)="","—",INDEX(ExpNote,$L301)))</f>
        <v/>
      </c>
      <c r="L301">
        <f>IFERROR(MATCH($C$5&amp;"|"&amp;RIGHT("000000"&amp;285,6),ExpRankKey,0),"")</f>
        <v/>
      </c>
    </row>
    <row r="302">
      <c r="A302" s="21" t="n">
        <v>286</v>
      </c>
      <c r="B302" s="22">
        <f>IF($L302="","",INDEX(ExpNorm,$L302))</f>
        <v/>
      </c>
      <c r="C302" s="22">
        <f>IF($L302="","",IF(INDEX(ExpTime,$L302)="","—",LEFT(INDEX(ExpTime,$L302),2)&amp;":"&amp;RIGHT(INDEX(ExpTime,$L302),2)))</f>
        <v/>
      </c>
      <c r="D302" s="22">
        <f>IF($L302="","",IF(INDEX(ExpBank,$L302)="","—",INDEX(ExpBank,$L302)))</f>
        <v/>
      </c>
      <c r="E302" s="23">
        <f>IF($L302="","",IF(INDEX(ExpParty,$L302)="","—",IFERROR(VLOOKUP(INDEX(ExpParty,$L302),AcctTbl,4,0),INDEX(ExpParty,$L302))))</f>
        <v/>
      </c>
      <c r="F302" s="22">
        <f>IF($L302="","",IF(INDEX(ExpType,$L302)="","—",INDEX(ExpType,$L302)))</f>
        <v/>
      </c>
      <c r="G302" s="24">
        <f>IF($L302="","",IF(INDEX(ExpDep,$L302)=0,"",INDEX(ExpDep,$L302)))</f>
        <v/>
      </c>
      <c r="H302" s="24">
        <f>IF($L302="","",IF(INDEX(ExpWit,$L302)=0,"",INDEX(ExpWit,$L302)))</f>
        <v/>
      </c>
      <c r="I302" s="25">
        <f>IF($B302="","",IF($I301="",0,$I301)+IF($H302="",0,$H302)-IF($G302="",0,$G302))</f>
        <v/>
      </c>
      <c r="J302" s="23">
        <f>IF($L302="","",IF(INDEX(ExpNote,$L302)="","—",INDEX(ExpNote,$L302)))</f>
        <v/>
      </c>
      <c r="L302">
        <f>IFERROR(MATCH($C$5&amp;"|"&amp;RIGHT("000000"&amp;286,6),ExpRankKey,0),"")</f>
        <v/>
      </c>
    </row>
    <row r="303">
      <c r="A303" s="16" t="n">
        <v>287</v>
      </c>
      <c r="B303" s="17">
        <f>IF($L303="","",INDEX(ExpNorm,$L303))</f>
        <v/>
      </c>
      <c r="C303" s="17">
        <f>IF($L303="","",IF(INDEX(ExpTime,$L303)="","—",LEFT(INDEX(ExpTime,$L303),2)&amp;":"&amp;RIGHT(INDEX(ExpTime,$L303),2)))</f>
        <v/>
      </c>
      <c r="D303" s="17">
        <f>IF($L303="","",IF(INDEX(ExpBank,$L303)="","—",INDEX(ExpBank,$L303)))</f>
        <v/>
      </c>
      <c r="E303" s="18">
        <f>IF($L303="","",IF(INDEX(ExpParty,$L303)="","—",IFERROR(VLOOKUP(INDEX(ExpParty,$L303),AcctTbl,4,0),INDEX(ExpParty,$L303))))</f>
        <v/>
      </c>
      <c r="F303" s="17">
        <f>IF($L303="","",IF(INDEX(ExpType,$L303)="","—",INDEX(ExpType,$L303)))</f>
        <v/>
      </c>
      <c r="G303" s="19">
        <f>IF($L303="","",IF(INDEX(ExpDep,$L303)=0,"",INDEX(ExpDep,$L303)))</f>
        <v/>
      </c>
      <c r="H303" s="19">
        <f>IF($L303="","",IF(INDEX(ExpWit,$L303)=0,"",INDEX(ExpWit,$L303)))</f>
        <v/>
      </c>
      <c r="I303" s="20">
        <f>IF($B303="","",IF($I302="",0,$I302)+IF($H303="",0,$H303)-IF($G303="",0,$G303))</f>
        <v/>
      </c>
      <c r="J303" s="18">
        <f>IF($L303="","",IF(INDEX(ExpNote,$L303)="","—",INDEX(ExpNote,$L303)))</f>
        <v/>
      </c>
      <c r="L303">
        <f>IFERROR(MATCH($C$5&amp;"|"&amp;RIGHT("000000"&amp;287,6),ExpRankKey,0),"")</f>
        <v/>
      </c>
    </row>
    <row r="304">
      <c r="A304" s="21" t="n">
        <v>288</v>
      </c>
      <c r="B304" s="22">
        <f>IF($L304="","",INDEX(ExpNorm,$L304))</f>
        <v/>
      </c>
      <c r="C304" s="22">
        <f>IF($L304="","",IF(INDEX(ExpTime,$L304)="","—",LEFT(INDEX(ExpTime,$L304),2)&amp;":"&amp;RIGHT(INDEX(ExpTime,$L304),2)))</f>
        <v/>
      </c>
      <c r="D304" s="22">
        <f>IF($L304="","",IF(INDEX(ExpBank,$L304)="","—",INDEX(ExpBank,$L304)))</f>
        <v/>
      </c>
      <c r="E304" s="23">
        <f>IF($L304="","",IF(INDEX(ExpParty,$L304)="","—",IFERROR(VLOOKUP(INDEX(ExpParty,$L304),AcctTbl,4,0),INDEX(ExpParty,$L304))))</f>
        <v/>
      </c>
      <c r="F304" s="22">
        <f>IF($L304="","",IF(INDEX(ExpType,$L304)="","—",INDEX(ExpType,$L304)))</f>
        <v/>
      </c>
      <c r="G304" s="24">
        <f>IF($L304="","",IF(INDEX(ExpDep,$L304)=0,"",INDEX(ExpDep,$L304)))</f>
        <v/>
      </c>
      <c r="H304" s="24">
        <f>IF($L304="","",IF(INDEX(ExpWit,$L304)=0,"",INDEX(ExpWit,$L304)))</f>
        <v/>
      </c>
      <c r="I304" s="25">
        <f>IF($B304="","",IF($I303="",0,$I303)+IF($H304="",0,$H304)-IF($G304="",0,$G304))</f>
        <v/>
      </c>
      <c r="J304" s="23">
        <f>IF($L304="","",IF(INDEX(ExpNote,$L304)="","—",INDEX(ExpNote,$L304)))</f>
        <v/>
      </c>
      <c r="L304">
        <f>IFERROR(MATCH($C$5&amp;"|"&amp;RIGHT("000000"&amp;288,6),ExpRankKey,0),"")</f>
        <v/>
      </c>
    </row>
    <row r="305">
      <c r="A305" s="16" t="n">
        <v>289</v>
      </c>
      <c r="B305" s="17">
        <f>IF($L305="","",INDEX(ExpNorm,$L305))</f>
        <v/>
      </c>
      <c r="C305" s="17">
        <f>IF($L305="","",IF(INDEX(ExpTime,$L305)="","—",LEFT(INDEX(ExpTime,$L305),2)&amp;":"&amp;RIGHT(INDEX(ExpTime,$L305),2)))</f>
        <v/>
      </c>
      <c r="D305" s="17">
        <f>IF($L305="","",IF(INDEX(ExpBank,$L305)="","—",INDEX(ExpBank,$L305)))</f>
        <v/>
      </c>
      <c r="E305" s="18">
        <f>IF($L305="","",IF(INDEX(ExpParty,$L305)="","—",IFERROR(VLOOKUP(INDEX(ExpParty,$L305),AcctTbl,4,0),INDEX(ExpParty,$L305))))</f>
        <v/>
      </c>
      <c r="F305" s="17">
        <f>IF($L305="","",IF(INDEX(ExpType,$L305)="","—",INDEX(ExpType,$L305)))</f>
        <v/>
      </c>
      <c r="G305" s="19">
        <f>IF($L305="","",IF(INDEX(ExpDep,$L305)=0,"",INDEX(ExpDep,$L305)))</f>
        <v/>
      </c>
      <c r="H305" s="19">
        <f>IF($L305="","",IF(INDEX(ExpWit,$L305)=0,"",INDEX(ExpWit,$L305)))</f>
        <v/>
      </c>
      <c r="I305" s="20">
        <f>IF($B305="","",IF($I304="",0,$I304)+IF($H305="",0,$H305)-IF($G305="",0,$G305))</f>
        <v/>
      </c>
      <c r="J305" s="18">
        <f>IF($L305="","",IF(INDEX(ExpNote,$L305)="","—",INDEX(ExpNote,$L305)))</f>
        <v/>
      </c>
      <c r="L305">
        <f>IFERROR(MATCH($C$5&amp;"|"&amp;RIGHT("000000"&amp;289,6),ExpRankKey,0),"")</f>
        <v/>
      </c>
    </row>
    <row r="306">
      <c r="A306" s="21" t="n">
        <v>290</v>
      </c>
      <c r="B306" s="22">
        <f>IF($L306="","",INDEX(ExpNorm,$L306))</f>
        <v/>
      </c>
      <c r="C306" s="22">
        <f>IF($L306="","",IF(INDEX(ExpTime,$L306)="","—",LEFT(INDEX(ExpTime,$L306),2)&amp;":"&amp;RIGHT(INDEX(ExpTime,$L306),2)))</f>
        <v/>
      </c>
      <c r="D306" s="22">
        <f>IF($L306="","",IF(INDEX(ExpBank,$L306)="","—",INDEX(ExpBank,$L306)))</f>
        <v/>
      </c>
      <c r="E306" s="23">
        <f>IF($L306="","",IF(INDEX(ExpParty,$L306)="","—",IFERROR(VLOOKUP(INDEX(ExpParty,$L306),AcctTbl,4,0),INDEX(ExpParty,$L306))))</f>
        <v/>
      </c>
      <c r="F306" s="22">
        <f>IF($L306="","",IF(INDEX(ExpType,$L306)="","—",INDEX(ExpType,$L306)))</f>
        <v/>
      </c>
      <c r="G306" s="24">
        <f>IF($L306="","",IF(INDEX(ExpDep,$L306)=0,"",INDEX(ExpDep,$L306)))</f>
        <v/>
      </c>
      <c r="H306" s="24">
        <f>IF($L306="","",IF(INDEX(ExpWit,$L306)=0,"",INDEX(ExpWit,$L306)))</f>
        <v/>
      </c>
      <c r="I306" s="25">
        <f>IF($B306="","",IF($I305="",0,$I305)+IF($H306="",0,$H306)-IF($G306="",0,$G306))</f>
        <v/>
      </c>
      <c r="J306" s="23">
        <f>IF($L306="","",IF(INDEX(ExpNote,$L306)="","—",INDEX(ExpNote,$L306)))</f>
        <v/>
      </c>
      <c r="L306">
        <f>IFERROR(MATCH($C$5&amp;"|"&amp;RIGHT("000000"&amp;290,6),ExpRankKey,0),"")</f>
        <v/>
      </c>
    </row>
    <row r="307">
      <c r="A307" s="16" t="n">
        <v>291</v>
      </c>
      <c r="B307" s="17">
        <f>IF($L307="","",INDEX(ExpNorm,$L307))</f>
        <v/>
      </c>
      <c r="C307" s="17">
        <f>IF($L307="","",IF(INDEX(ExpTime,$L307)="","—",LEFT(INDEX(ExpTime,$L307),2)&amp;":"&amp;RIGHT(INDEX(ExpTime,$L307),2)))</f>
        <v/>
      </c>
      <c r="D307" s="17">
        <f>IF($L307="","",IF(INDEX(ExpBank,$L307)="","—",INDEX(ExpBank,$L307)))</f>
        <v/>
      </c>
      <c r="E307" s="18">
        <f>IF($L307="","",IF(INDEX(ExpParty,$L307)="","—",IFERROR(VLOOKUP(INDEX(ExpParty,$L307),AcctTbl,4,0),INDEX(ExpParty,$L307))))</f>
        <v/>
      </c>
      <c r="F307" s="17">
        <f>IF($L307="","",IF(INDEX(ExpType,$L307)="","—",INDEX(ExpType,$L307)))</f>
        <v/>
      </c>
      <c r="G307" s="19">
        <f>IF($L307="","",IF(INDEX(ExpDep,$L307)=0,"",INDEX(ExpDep,$L307)))</f>
        <v/>
      </c>
      <c r="H307" s="19">
        <f>IF($L307="","",IF(INDEX(ExpWit,$L307)=0,"",INDEX(ExpWit,$L307)))</f>
        <v/>
      </c>
      <c r="I307" s="20">
        <f>IF($B307="","",IF($I306="",0,$I306)+IF($H307="",0,$H307)-IF($G307="",0,$G307))</f>
        <v/>
      </c>
      <c r="J307" s="18">
        <f>IF($L307="","",IF(INDEX(ExpNote,$L307)="","—",INDEX(ExpNote,$L307)))</f>
        <v/>
      </c>
      <c r="L307">
        <f>IFERROR(MATCH($C$5&amp;"|"&amp;RIGHT("000000"&amp;291,6),ExpRankKey,0),"")</f>
        <v/>
      </c>
    </row>
    <row r="308">
      <c r="A308" s="21" t="n">
        <v>292</v>
      </c>
      <c r="B308" s="22">
        <f>IF($L308="","",INDEX(ExpNorm,$L308))</f>
        <v/>
      </c>
      <c r="C308" s="22">
        <f>IF($L308="","",IF(INDEX(ExpTime,$L308)="","—",LEFT(INDEX(ExpTime,$L308),2)&amp;":"&amp;RIGHT(INDEX(ExpTime,$L308),2)))</f>
        <v/>
      </c>
      <c r="D308" s="22">
        <f>IF($L308="","",IF(INDEX(ExpBank,$L308)="","—",INDEX(ExpBank,$L308)))</f>
        <v/>
      </c>
      <c r="E308" s="23">
        <f>IF($L308="","",IF(INDEX(ExpParty,$L308)="","—",IFERROR(VLOOKUP(INDEX(ExpParty,$L308),AcctTbl,4,0),INDEX(ExpParty,$L308))))</f>
        <v/>
      </c>
      <c r="F308" s="22">
        <f>IF($L308="","",IF(INDEX(ExpType,$L308)="","—",INDEX(ExpType,$L308)))</f>
        <v/>
      </c>
      <c r="G308" s="24">
        <f>IF($L308="","",IF(INDEX(ExpDep,$L308)=0,"",INDEX(ExpDep,$L308)))</f>
        <v/>
      </c>
      <c r="H308" s="24">
        <f>IF($L308="","",IF(INDEX(ExpWit,$L308)=0,"",INDEX(ExpWit,$L308)))</f>
        <v/>
      </c>
      <c r="I308" s="25">
        <f>IF($B308="","",IF($I307="",0,$I307)+IF($H308="",0,$H308)-IF($G308="",0,$G308))</f>
        <v/>
      </c>
      <c r="J308" s="23">
        <f>IF($L308="","",IF(INDEX(ExpNote,$L308)="","—",INDEX(ExpNote,$L308)))</f>
        <v/>
      </c>
      <c r="L308">
        <f>IFERROR(MATCH($C$5&amp;"|"&amp;RIGHT("000000"&amp;292,6),ExpRankKey,0),"")</f>
        <v/>
      </c>
    </row>
    <row r="309">
      <c r="A309" s="16" t="n">
        <v>293</v>
      </c>
      <c r="B309" s="17">
        <f>IF($L309="","",INDEX(ExpNorm,$L309))</f>
        <v/>
      </c>
      <c r="C309" s="17">
        <f>IF($L309="","",IF(INDEX(ExpTime,$L309)="","—",LEFT(INDEX(ExpTime,$L309),2)&amp;":"&amp;RIGHT(INDEX(ExpTime,$L309),2)))</f>
        <v/>
      </c>
      <c r="D309" s="17">
        <f>IF($L309="","",IF(INDEX(ExpBank,$L309)="","—",INDEX(ExpBank,$L309)))</f>
        <v/>
      </c>
      <c r="E309" s="18">
        <f>IF($L309="","",IF(INDEX(ExpParty,$L309)="","—",IFERROR(VLOOKUP(INDEX(ExpParty,$L309),AcctTbl,4,0),INDEX(ExpParty,$L309))))</f>
        <v/>
      </c>
      <c r="F309" s="17">
        <f>IF($L309="","",IF(INDEX(ExpType,$L309)="","—",INDEX(ExpType,$L309)))</f>
        <v/>
      </c>
      <c r="G309" s="19">
        <f>IF($L309="","",IF(INDEX(ExpDep,$L309)=0,"",INDEX(ExpDep,$L309)))</f>
        <v/>
      </c>
      <c r="H309" s="19">
        <f>IF($L309="","",IF(INDEX(ExpWit,$L309)=0,"",INDEX(ExpWit,$L309)))</f>
        <v/>
      </c>
      <c r="I309" s="20">
        <f>IF($B309="","",IF($I308="",0,$I308)+IF($H309="",0,$H309)-IF($G309="",0,$G309))</f>
        <v/>
      </c>
      <c r="J309" s="18">
        <f>IF($L309="","",IF(INDEX(ExpNote,$L309)="","—",INDEX(ExpNote,$L309)))</f>
        <v/>
      </c>
      <c r="L309">
        <f>IFERROR(MATCH($C$5&amp;"|"&amp;RIGHT("000000"&amp;293,6),ExpRankKey,0),"")</f>
        <v/>
      </c>
    </row>
    <row r="310">
      <c r="A310" s="21" t="n">
        <v>294</v>
      </c>
      <c r="B310" s="22">
        <f>IF($L310="","",INDEX(ExpNorm,$L310))</f>
        <v/>
      </c>
      <c r="C310" s="22">
        <f>IF($L310="","",IF(INDEX(ExpTime,$L310)="","—",LEFT(INDEX(ExpTime,$L310),2)&amp;":"&amp;RIGHT(INDEX(ExpTime,$L310),2)))</f>
        <v/>
      </c>
      <c r="D310" s="22">
        <f>IF($L310="","",IF(INDEX(ExpBank,$L310)="","—",INDEX(ExpBank,$L310)))</f>
        <v/>
      </c>
      <c r="E310" s="23">
        <f>IF($L310="","",IF(INDEX(ExpParty,$L310)="","—",IFERROR(VLOOKUP(INDEX(ExpParty,$L310),AcctTbl,4,0),INDEX(ExpParty,$L310))))</f>
        <v/>
      </c>
      <c r="F310" s="22">
        <f>IF($L310="","",IF(INDEX(ExpType,$L310)="","—",INDEX(ExpType,$L310)))</f>
        <v/>
      </c>
      <c r="G310" s="24">
        <f>IF($L310="","",IF(INDEX(ExpDep,$L310)=0,"",INDEX(ExpDep,$L310)))</f>
        <v/>
      </c>
      <c r="H310" s="24">
        <f>IF($L310="","",IF(INDEX(ExpWit,$L310)=0,"",INDEX(ExpWit,$L310)))</f>
        <v/>
      </c>
      <c r="I310" s="25">
        <f>IF($B310="","",IF($I309="",0,$I309)+IF($H310="",0,$H310)-IF($G310="",0,$G310))</f>
        <v/>
      </c>
      <c r="J310" s="23">
        <f>IF($L310="","",IF(INDEX(ExpNote,$L310)="","—",INDEX(ExpNote,$L310)))</f>
        <v/>
      </c>
      <c r="L310">
        <f>IFERROR(MATCH($C$5&amp;"|"&amp;RIGHT("000000"&amp;294,6),ExpRankKey,0),"")</f>
        <v/>
      </c>
    </row>
    <row r="311">
      <c r="A311" s="16" t="n">
        <v>295</v>
      </c>
      <c r="B311" s="17">
        <f>IF($L311="","",INDEX(ExpNorm,$L311))</f>
        <v/>
      </c>
      <c r="C311" s="17">
        <f>IF($L311="","",IF(INDEX(ExpTime,$L311)="","—",LEFT(INDEX(ExpTime,$L311),2)&amp;":"&amp;RIGHT(INDEX(ExpTime,$L311),2)))</f>
        <v/>
      </c>
      <c r="D311" s="17">
        <f>IF($L311="","",IF(INDEX(ExpBank,$L311)="","—",INDEX(ExpBank,$L311)))</f>
        <v/>
      </c>
      <c r="E311" s="18">
        <f>IF($L311="","",IF(INDEX(ExpParty,$L311)="","—",IFERROR(VLOOKUP(INDEX(ExpParty,$L311),AcctTbl,4,0),INDEX(ExpParty,$L311))))</f>
        <v/>
      </c>
      <c r="F311" s="17">
        <f>IF($L311="","",IF(INDEX(ExpType,$L311)="","—",INDEX(ExpType,$L311)))</f>
        <v/>
      </c>
      <c r="G311" s="19">
        <f>IF($L311="","",IF(INDEX(ExpDep,$L311)=0,"",INDEX(ExpDep,$L311)))</f>
        <v/>
      </c>
      <c r="H311" s="19">
        <f>IF($L311="","",IF(INDEX(ExpWit,$L311)=0,"",INDEX(ExpWit,$L311)))</f>
        <v/>
      </c>
      <c r="I311" s="20">
        <f>IF($B311="","",IF($I310="",0,$I310)+IF($H311="",0,$H311)-IF($G311="",0,$G311))</f>
        <v/>
      </c>
      <c r="J311" s="18">
        <f>IF($L311="","",IF(INDEX(ExpNote,$L311)="","—",INDEX(ExpNote,$L311)))</f>
        <v/>
      </c>
      <c r="L311">
        <f>IFERROR(MATCH($C$5&amp;"|"&amp;RIGHT("000000"&amp;295,6),ExpRankKey,0),"")</f>
        <v/>
      </c>
    </row>
    <row r="312">
      <c r="A312" s="21" t="n">
        <v>296</v>
      </c>
      <c r="B312" s="22">
        <f>IF($L312="","",INDEX(ExpNorm,$L312))</f>
        <v/>
      </c>
      <c r="C312" s="22">
        <f>IF($L312="","",IF(INDEX(ExpTime,$L312)="","—",LEFT(INDEX(ExpTime,$L312),2)&amp;":"&amp;RIGHT(INDEX(ExpTime,$L312),2)))</f>
        <v/>
      </c>
      <c r="D312" s="22">
        <f>IF($L312="","",IF(INDEX(ExpBank,$L312)="","—",INDEX(ExpBank,$L312)))</f>
        <v/>
      </c>
      <c r="E312" s="23">
        <f>IF($L312="","",IF(INDEX(ExpParty,$L312)="","—",IFERROR(VLOOKUP(INDEX(ExpParty,$L312),AcctTbl,4,0),INDEX(ExpParty,$L312))))</f>
        <v/>
      </c>
      <c r="F312" s="22">
        <f>IF($L312="","",IF(INDEX(ExpType,$L312)="","—",INDEX(ExpType,$L312)))</f>
        <v/>
      </c>
      <c r="G312" s="24">
        <f>IF($L312="","",IF(INDEX(ExpDep,$L312)=0,"",INDEX(ExpDep,$L312)))</f>
        <v/>
      </c>
      <c r="H312" s="24">
        <f>IF($L312="","",IF(INDEX(ExpWit,$L312)=0,"",INDEX(ExpWit,$L312)))</f>
        <v/>
      </c>
      <c r="I312" s="25">
        <f>IF($B312="","",IF($I311="",0,$I311)+IF($H312="",0,$H312)-IF($G312="",0,$G312))</f>
        <v/>
      </c>
      <c r="J312" s="23">
        <f>IF($L312="","",IF(INDEX(ExpNote,$L312)="","—",INDEX(ExpNote,$L312)))</f>
        <v/>
      </c>
      <c r="L312">
        <f>IFERROR(MATCH($C$5&amp;"|"&amp;RIGHT("000000"&amp;296,6),ExpRankKey,0),"")</f>
        <v/>
      </c>
    </row>
    <row r="313">
      <c r="A313" s="16" t="n">
        <v>297</v>
      </c>
      <c r="B313" s="17">
        <f>IF($L313="","",INDEX(ExpNorm,$L313))</f>
        <v/>
      </c>
      <c r="C313" s="17">
        <f>IF($L313="","",IF(INDEX(ExpTime,$L313)="","—",LEFT(INDEX(ExpTime,$L313),2)&amp;":"&amp;RIGHT(INDEX(ExpTime,$L313),2)))</f>
        <v/>
      </c>
      <c r="D313" s="17">
        <f>IF($L313="","",IF(INDEX(ExpBank,$L313)="","—",INDEX(ExpBank,$L313)))</f>
        <v/>
      </c>
      <c r="E313" s="18">
        <f>IF($L313="","",IF(INDEX(ExpParty,$L313)="","—",IFERROR(VLOOKUP(INDEX(ExpParty,$L313),AcctTbl,4,0),INDEX(ExpParty,$L313))))</f>
        <v/>
      </c>
      <c r="F313" s="17">
        <f>IF($L313="","",IF(INDEX(ExpType,$L313)="","—",INDEX(ExpType,$L313)))</f>
        <v/>
      </c>
      <c r="G313" s="19">
        <f>IF($L313="","",IF(INDEX(ExpDep,$L313)=0,"",INDEX(ExpDep,$L313)))</f>
        <v/>
      </c>
      <c r="H313" s="19">
        <f>IF($L313="","",IF(INDEX(ExpWit,$L313)=0,"",INDEX(ExpWit,$L313)))</f>
        <v/>
      </c>
      <c r="I313" s="20">
        <f>IF($B313="","",IF($I312="",0,$I312)+IF($H313="",0,$H313)-IF($G313="",0,$G313))</f>
        <v/>
      </c>
      <c r="J313" s="18">
        <f>IF($L313="","",IF(INDEX(ExpNote,$L313)="","—",INDEX(ExpNote,$L313)))</f>
        <v/>
      </c>
      <c r="L313">
        <f>IFERROR(MATCH($C$5&amp;"|"&amp;RIGHT("000000"&amp;297,6),ExpRankKey,0),"")</f>
        <v/>
      </c>
    </row>
    <row r="314">
      <c r="A314" s="21" t="n">
        <v>298</v>
      </c>
      <c r="B314" s="22">
        <f>IF($L314="","",INDEX(ExpNorm,$L314))</f>
        <v/>
      </c>
      <c r="C314" s="22">
        <f>IF($L314="","",IF(INDEX(ExpTime,$L314)="","—",LEFT(INDEX(ExpTime,$L314),2)&amp;":"&amp;RIGHT(INDEX(ExpTime,$L314),2)))</f>
        <v/>
      </c>
      <c r="D314" s="22">
        <f>IF($L314="","",IF(INDEX(ExpBank,$L314)="","—",INDEX(ExpBank,$L314)))</f>
        <v/>
      </c>
      <c r="E314" s="23">
        <f>IF($L314="","",IF(INDEX(ExpParty,$L314)="","—",IFERROR(VLOOKUP(INDEX(ExpParty,$L314),AcctTbl,4,0),INDEX(ExpParty,$L314))))</f>
        <v/>
      </c>
      <c r="F314" s="22">
        <f>IF($L314="","",IF(INDEX(ExpType,$L314)="","—",INDEX(ExpType,$L314)))</f>
        <v/>
      </c>
      <c r="G314" s="24">
        <f>IF($L314="","",IF(INDEX(ExpDep,$L314)=0,"",INDEX(ExpDep,$L314)))</f>
        <v/>
      </c>
      <c r="H314" s="24">
        <f>IF($L314="","",IF(INDEX(ExpWit,$L314)=0,"",INDEX(ExpWit,$L314)))</f>
        <v/>
      </c>
      <c r="I314" s="25">
        <f>IF($B314="","",IF($I313="",0,$I313)+IF($H314="",0,$H314)-IF($G314="",0,$G314))</f>
        <v/>
      </c>
      <c r="J314" s="23">
        <f>IF($L314="","",IF(INDEX(ExpNote,$L314)="","—",INDEX(ExpNote,$L314)))</f>
        <v/>
      </c>
      <c r="L314">
        <f>IFERROR(MATCH($C$5&amp;"|"&amp;RIGHT("000000"&amp;298,6),ExpRankKey,0),"")</f>
        <v/>
      </c>
    </row>
    <row r="315">
      <c r="A315" s="16" t="n">
        <v>299</v>
      </c>
      <c r="B315" s="17">
        <f>IF($L315="","",INDEX(ExpNorm,$L315))</f>
        <v/>
      </c>
      <c r="C315" s="17">
        <f>IF($L315="","",IF(INDEX(ExpTime,$L315)="","—",LEFT(INDEX(ExpTime,$L315),2)&amp;":"&amp;RIGHT(INDEX(ExpTime,$L315),2)))</f>
        <v/>
      </c>
      <c r="D315" s="17">
        <f>IF($L315="","",IF(INDEX(ExpBank,$L315)="","—",INDEX(ExpBank,$L315)))</f>
        <v/>
      </c>
      <c r="E315" s="18">
        <f>IF($L315="","",IF(INDEX(ExpParty,$L315)="","—",IFERROR(VLOOKUP(INDEX(ExpParty,$L315),AcctTbl,4,0),INDEX(ExpParty,$L315))))</f>
        <v/>
      </c>
      <c r="F315" s="17">
        <f>IF($L315="","",IF(INDEX(ExpType,$L315)="","—",INDEX(ExpType,$L315)))</f>
        <v/>
      </c>
      <c r="G315" s="19">
        <f>IF($L315="","",IF(INDEX(ExpDep,$L315)=0,"",INDEX(ExpDep,$L315)))</f>
        <v/>
      </c>
      <c r="H315" s="19">
        <f>IF($L315="","",IF(INDEX(ExpWit,$L315)=0,"",INDEX(ExpWit,$L315)))</f>
        <v/>
      </c>
      <c r="I315" s="20">
        <f>IF($B315="","",IF($I314="",0,$I314)+IF($H315="",0,$H315)-IF($G315="",0,$G315))</f>
        <v/>
      </c>
      <c r="J315" s="18">
        <f>IF($L315="","",IF(INDEX(ExpNote,$L315)="","—",INDEX(ExpNote,$L315)))</f>
        <v/>
      </c>
      <c r="L315">
        <f>IFERROR(MATCH($C$5&amp;"|"&amp;RIGHT("000000"&amp;299,6),ExpRankKey,0),"")</f>
        <v/>
      </c>
    </row>
    <row r="316">
      <c r="A316" s="21" t="n">
        <v>300</v>
      </c>
      <c r="B316" s="22">
        <f>IF($L316="","",INDEX(ExpNorm,$L316))</f>
        <v/>
      </c>
      <c r="C316" s="22">
        <f>IF($L316="","",IF(INDEX(ExpTime,$L316)="","—",LEFT(INDEX(ExpTime,$L316),2)&amp;":"&amp;RIGHT(INDEX(ExpTime,$L316),2)))</f>
        <v/>
      </c>
      <c r="D316" s="22">
        <f>IF($L316="","",IF(INDEX(ExpBank,$L316)="","—",INDEX(ExpBank,$L316)))</f>
        <v/>
      </c>
      <c r="E316" s="23">
        <f>IF($L316="","",IF(INDEX(ExpParty,$L316)="","—",IFERROR(VLOOKUP(INDEX(ExpParty,$L316),AcctTbl,4,0),INDEX(ExpParty,$L316))))</f>
        <v/>
      </c>
      <c r="F316" s="22">
        <f>IF($L316="","",IF(INDEX(ExpType,$L316)="","—",INDEX(ExpType,$L316)))</f>
        <v/>
      </c>
      <c r="G316" s="24">
        <f>IF($L316="","",IF(INDEX(ExpDep,$L316)=0,"",INDEX(ExpDep,$L316)))</f>
        <v/>
      </c>
      <c r="H316" s="24">
        <f>IF($L316="","",IF(INDEX(ExpWit,$L316)=0,"",INDEX(ExpWit,$L316)))</f>
        <v/>
      </c>
      <c r="I316" s="25">
        <f>IF($B316="","",IF($I315="",0,$I315)+IF($H316="",0,$H316)-IF($G316="",0,$G316))</f>
        <v/>
      </c>
      <c r="J316" s="23">
        <f>IF($L316="","",IF(INDEX(ExpNote,$L316)="","—",INDEX(ExpNote,$L316)))</f>
        <v/>
      </c>
      <c r="L316">
        <f>IFERROR(MATCH($C$5&amp;"|"&amp;RIGHT("000000"&amp;300,6),ExpRankKey,0),"")</f>
        <v/>
      </c>
    </row>
    <row r="317">
      <c r="A317" s="16" t="n">
        <v>301</v>
      </c>
      <c r="B317" s="17">
        <f>IF($L317="","",INDEX(ExpNorm,$L317))</f>
        <v/>
      </c>
      <c r="C317" s="17">
        <f>IF($L317="","",IF(INDEX(ExpTime,$L317)="","—",LEFT(INDEX(ExpTime,$L317),2)&amp;":"&amp;RIGHT(INDEX(ExpTime,$L317),2)))</f>
        <v/>
      </c>
      <c r="D317" s="17">
        <f>IF($L317="","",IF(INDEX(ExpBank,$L317)="","—",INDEX(ExpBank,$L317)))</f>
        <v/>
      </c>
      <c r="E317" s="18">
        <f>IF($L317="","",IF(INDEX(ExpParty,$L317)="","—",IFERROR(VLOOKUP(INDEX(ExpParty,$L317),AcctTbl,4,0),INDEX(ExpParty,$L317))))</f>
        <v/>
      </c>
      <c r="F317" s="17">
        <f>IF($L317="","",IF(INDEX(ExpType,$L317)="","—",INDEX(ExpType,$L317)))</f>
        <v/>
      </c>
      <c r="G317" s="19">
        <f>IF($L317="","",IF(INDEX(ExpDep,$L317)=0,"",INDEX(ExpDep,$L317)))</f>
        <v/>
      </c>
      <c r="H317" s="19">
        <f>IF($L317="","",IF(INDEX(ExpWit,$L317)=0,"",INDEX(ExpWit,$L317)))</f>
        <v/>
      </c>
      <c r="I317" s="20">
        <f>IF($B317="","",IF($I316="",0,$I316)+IF($H317="",0,$H317)-IF($G317="",0,$G317))</f>
        <v/>
      </c>
      <c r="J317" s="18">
        <f>IF($L317="","",IF(INDEX(ExpNote,$L317)="","—",INDEX(ExpNote,$L317)))</f>
        <v/>
      </c>
      <c r="L317">
        <f>IFERROR(MATCH($C$5&amp;"|"&amp;RIGHT("000000"&amp;301,6),ExpRankKey,0),"")</f>
        <v/>
      </c>
    </row>
    <row r="318">
      <c r="A318" s="21" t="n">
        <v>302</v>
      </c>
      <c r="B318" s="22">
        <f>IF($L318="","",INDEX(ExpNorm,$L318))</f>
        <v/>
      </c>
      <c r="C318" s="22">
        <f>IF($L318="","",IF(INDEX(ExpTime,$L318)="","—",LEFT(INDEX(ExpTime,$L318),2)&amp;":"&amp;RIGHT(INDEX(ExpTime,$L318),2)))</f>
        <v/>
      </c>
      <c r="D318" s="22">
        <f>IF($L318="","",IF(INDEX(ExpBank,$L318)="","—",INDEX(ExpBank,$L318)))</f>
        <v/>
      </c>
      <c r="E318" s="23">
        <f>IF($L318="","",IF(INDEX(ExpParty,$L318)="","—",IFERROR(VLOOKUP(INDEX(ExpParty,$L318),AcctTbl,4,0),INDEX(ExpParty,$L318))))</f>
        <v/>
      </c>
      <c r="F318" s="22">
        <f>IF($L318="","",IF(INDEX(ExpType,$L318)="","—",INDEX(ExpType,$L318)))</f>
        <v/>
      </c>
      <c r="G318" s="24">
        <f>IF($L318="","",IF(INDEX(ExpDep,$L318)=0,"",INDEX(ExpDep,$L318)))</f>
        <v/>
      </c>
      <c r="H318" s="24">
        <f>IF($L318="","",IF(INDEX(ExpWit,$L318)=0,"",INDEX(ExpWit,$L318)))</f>
        <v/>
      </c>
      <c r="I318" s="25">
        <f>IF($B318="","",IF($I317="",0,$I317)+IF($H318="",0,$H318)-IF($G318="",0,$G318))</f>
        <v/>
      </c>
      <c r="J318" s="23">
        <f>IF($L318="","",IF(INDEX(ExpNote,$L318)="","—",INDEX(ExpNote,$L318)))</f>
        <v/>
      </c>
      <c r="L318">
        <f>IFERROR(MATCH($C$5&amp;"|"&amp;RIGHT("000000"&amp;302,6),ExpRankKey,0),"")</f>
        <v/>
      </c>
    </row>
    <row r="319">
      <c r="A319" s="16" t="n">
        <v>303</v>
      </c>
      <c r="B319" s="17">
        <f>IF($L319="","",INDEX(ExpNorm,$L319))</f>
        <v/>
      </c>
      <c r="C319" s="17">
        <f>IF($L319="","",IF(INDEX(ExpTime,$L319)="","—",LEFT(INDEX(ExpTime,$L319),2)&amp;":"&amp;RIGHT(INDEX(ExpTime,$L319),2)))</f>
        <v/>
      </c>
      <c r="D319" s="17">
        <f>IF($L319="","",IF(INDEX(ExpBank,$L319)="","—",INDEX(ExpBank,$L319)))</f>
        <v/>
      </c>
      <c r="E319" s="18">
        <f>IF($L319="","",IF(INDEX(ExpParty,$L319)="","—",IFERROR(VLOOKUP(INDEX(ExpParty,$L319),AcctTbl,4,0),INDEX(ExpParty,$L319))))</f>
        <v/>
      </c>
      <c r="F319" s="17">
        <f>IF($L319="","",IF(INDEX(ExpType,$L319)="","—",INDEX(ExpType,$L319)))</f>
        <v/>
      </c>
      <c r="G319" s="19">
        <f>IF($L319="","",IF(INDEX(ExpDep,$L319)=0,"",INDEX(ExpDep,$L319)))</f>
        <v/>
      </c>
      <c r="H319" s="19">
        <f>IF($L319="","",IF(INDEX(ExpWit,$L319)=0,"",INDEX(ExpWit,$L319)))</f>
        <v/>
      </c>
      <c r="I319" s="20">
        <f>IF($B319="","",IF($I318="",0,$I318)+IF($H319="",0,$H319)-IF($G319="",0,$G319))</f>
        <v/>
      </c>
      <c r="J319" s="18">
        <f>IF($L319="","",IF(INDEX(ExpNote,$L319)="","—",INDEX(ExpNote,$L319)))</f>
        <v/>
      </c>
      <c r="L319">
        <f>IFERROR(MATCH($C$5&amp;"|"&amp;RIGHT("000000"&amp;303,6),ExpRankKey,0),"")</f>
        <v/>
      </c>
    </row>
    <row r="320">
      <c r="A320" s="21" t="n">
        <v>304</v>
      </c>
      <c r="B320" s="22">
        <f>IF($L320="","",INDEX(ExpNorm,$L320))</f>
        <v/>
      </c>
      <c r="C320" s="22">
        <f>IF($L320="","",IF(INDEX(ExpTime,$L320)="","—",LEFT(INDEX(ExpTime,$L320),2)&amp;":"&amp;RIGHT(INDEX(ExpTime,$L320),2)))</f>
        <v/>
      </c>
      <c r="D320" s="22">
        <f>IF($L320="","",IF(INDEX(ExpBank,$L320)="","—",INDEX(ExpBank,$L320)))</f>
        <v/>
      </c>
      <c r="E320" s="23">
        <f>IF($L320="","",IF(INDEX(ExpParty,$L320)="","—",IFERROR(VLOOKUP(INDEX(ExpParty,$L320),AcctTbl,4,0),INDEX(ExpParty,$L320))))</f>
        <v/>
      </c>
      <c r="F320" s="22">
        <f>IF($L320="","",IF(INDEX(ExpType,$L320)="","—",INDEX(ExpType,$L320)))</f>
        <v/>
      </c>
      <c r="G320" s="24">
        <f>IF($L320="","",IF(INDEX(ExpDep,$L320)=0,"",INDEX(ExpDep,$L320)))</f>
        <v/>
      </c>
      <c r="H320" s="24">
        <f>IF($L320="","",IF(INDEX(ExpWit,$L320)=0,"",INDEX(ExpWit,$L320)))</f>
        <v/>
      </c>
      <c r="I320" s="25">
        <f>IF($B320="","",IF($I319="",0,$I319)+IF($H320="",0,$H320)-IF($G320="",0,$G320))</f>
        <v/>
      </c>
      <c r="J320" s="23">
        <f>IF($L320="","",IF(INDEX(ExpNote,$L320)="","—",INDEX(ExpNote,$L320)))</f>
        <v/>
      </c>
      <c r="L320">
        <f>IFERROR(MATCH($C$5&amp;"|"&amp;RIGHT("000000"&amp;304,6),ExpRankKey,0),"")</f>
        <v/>
      </c>
    </row>
    <row r="321">
      <c r="A321" s="16" t="n">
        <v>305</v>
      </c>
      <c r="B321" s="17">
        <f>IF($L321="","",INDEX(ExpNorm,$L321))</f>
        <v/>
      </c>
      <c r="C321" s="17">
        <f>IF($L321="","",IF(INDEX(ExpTime,$L321)="","—",LEFT(INDEX(ExpTime,$L321),2)&amp;":"&amp;RIGHT(INDEX(ExpTime,$L321),2)))</f>
        <v/>
      </c>
      <c r="D321" s="17">
        <f>IF($L321="","",IF(INDEX(ExpBank,$L321)="","—",INDEX(ExpBank,$L321)))</f>
        <v/>
      </c>
      <c r="E321" s="18">
        <f>IF($L321="","",IF(INDEX(ExpParty,$L321)="","—",IFERROR(VLOOKUP(INDEX(ExpParty,$L321),AcctTbl,4,0),INDEX(ExpParty,$L321))))</f>
        <v/>
      </c>
      <c r="F321" s="17">
        <f>IF($L321="","",IF(INDEX(ExpType,$L321)="","—",INDEX(ExpType,$L321)))</f>
        <v/>
      </c>
      <c r="G321" s="19">
        <f>IF($L321="","",IF(INDEX(ExpDep,$L321)=0,"",INDEX(ExpDep,$L321)))</f>
        <v/>
      </c>
      <c r="H321" s="19">
        <f>IF($L321="","",IF(INDEX(ExpWit,$L321)=0,"",INDEX(ExpWit,$L321)))</f>
        <v/>
      </c>
      <c r="I321" s="20">
        <f>IF($B321="","",IF($I320="",0,$I320)+IF($H321="",0,$H321)-IF($G321="",0,$G321))</f>
        <v/>
      </c>
      <c r="J321" s="18">
        <f>IF($L321="","",IF(INDEX(ExpNote,$L321)="","—",INDEX(ExpNote,$L321)))</f>
        <v/>
      </c>
      <c r="L321">
        <f>IFERROR(MATCH($C$5&amp;"|"&amp;RIGHT("000000"&amp;305,6),ExpRankKey,0),"")</f>
        <v/>
      </c>
    </row>
    <row r="322">
      <c r="A322" s="21" t="n">
        <v>306</v>
      </c>
      <c r="B322" s="22">
        <f>IF($L322="","",INDEX(ExpNorm,$L322))</f>
        <v/>
      </c>
      <c r="C322" s="22">
        <f>IF($L322="","",IF(INDEX(ExpTime,$L322)="","—",LEFT(INDEX(ExpTime,$L322),2)&amp;":"&amp;RIGHT(INDEX(ExpTime,$L322),2)))</f>
        <v/>
      </c>
      <c r="D322" s="22">
        <f>IF($L322="","",IF(INDEX(ExpBank,$L322)="","—",INDEX(ExpBank,$L322)))</f>
        <v/>
      </c>
      <c r="E322" s="23">
        <f>IF($L322="","",IF(INDEX(ExpParty,$L322)="","—",IFERROR(VLOOKUP(INDEX(ExpParty,$L322),AcctTbl,4,0),INDEX(ExpParty,$L322))))</f>
        <v/>
      </c>
      <c r="F322" s="22">
        <f>IF($L322="","",IF(INDEX(ExpType,$L322)="","—",INDEX(ExpType,$L322)))</f>
        <v/>
      </c>
      <c r="G322" s="24">
        <f>IF($L322="","",IF(INDEX(ExpDep,$L322)=0,"",INDEX(ExpDep,$L322)))</f>
        <v/>
      </c>
      <c r="H322" s="24">
        <f>IF($L322="","",IF(INDEX(ExpWit,$L322)=0,"",INDEX(ExpWit,$L322)))</f>
        <v/>
      </c>
      <c r="I322" s="25">
        <f>IF($B322="","",IF($I321="",0,$I321)+IF($H322="",0,$H322)-IF($G322="",0,$G322))</f>
        <v/>
      </c>
      <c r="J322" s="23">
        <f>IF($L322="","",IF(INDEX(ExpNote,$L322)="","—",INDEX(ExpNote,$L322)))</f>
        <v/>
      </c>
      <c r="L322">
        <f>IFERROR(MATCH($C$5&amp;"|"&amp;RIGHT("000000"&amp;306,6),ExpRankKey,0),"")</f>
        <v/>
      </c>
    </row>
    <row r="323">
      <c r="A323" s="16" t="n">
        <v>307</v>
      </c>
      <c r="B323" s="17">
        <f>IF($L323="","",INDEX(ExpNorm,$L323))</f>
        <v/>
      </c>
      <c r="C323" s="17">
        <f>IF($L323="","",IF(INDEX(ExpTime,$L323)="","—",LEFT(INDEX(ExpTime,$L323),2)&amp;":"&amp;RIGHT(INDEX(ExpTime,$L323),2)))</f>
        <v/>
      </c>
      <c r="D323" s="17">
        <f>IF($L323="","",IF(INDEX(ExpBank,$L323)="","—",INDEX(ExpBank,$L323)))</f>
        <v/>
      </c>
      <c r="E323" s="18">
        <f>IF($L323="","",IF(INDEX(ExpParty,$L323)="","—",IFERROR(VLOOKUP(INDEX(ExpParty,$L323),AcctTbl,4,0),INDEX(ExpParty,$L323))))</f>
        <v/>
      </c>
      <c r="F323" s="17">
        <f>IF($L323="","",IF(INDEX(ExpType,$L323)="","—",INDEX(ExpType,$L323)))</f>
        <v/>
      </c>
      <c r="G323" s="19">
        <f>IF($L323="","",IF(INDEX(ExpDep,$L323)=0,"",INDEX(ExpDep,$L323)))</f>
        <v/>
      </c>
      <c r="H323" s="19">
        <f>IF($L323="","",IF(INDEX(ExpWit,$L323)=0,"",INDEX(ExpWit,$L323)))</f>
        <v/>
      </c>
      <c r="I323" s="20">
        <f>IF($B323="","",IF($I322="",0,$I322)+IF($H323="",0,$H323)-IF($G323="",0,$G323))</f>
        <v/>
      </c>
      <c r="J323" s="18">
        <f>IF($L323="","",IF(INDEX(ExpNote,$L323)="","—",INDEX(ExpNote,$L323)))</f>
        <v/>
      </c>
      <c r="L323">
        <f>IFERROR(MATCH($C$5&amp;"|"&amp;RIGHT("000000"&amp;307,6),ExpRankKey,0),"")</f>
        <v/>
      </c>
    </row>
    <row r="324">
      <c r="A324" s="21" t="n">
        <v>308</v>
      </c>
      <c r="B324" s="22">
        <f>IF($L324="","",INDEX(ExpNorm,$L324))</f>
        <v/>
      </c>
      <c r="C324" s="22">
        <f>IF($L324="","",IF(INDEX(ExpTime,$L324)="","—",LEFT(INDEX(ExpTime,$L324),2)&amp;":"&amp;RIGHT(INDEX(ExpTime,$L324),2)))</f>
        <v/>
      </c>
      <c r="D324" s="22">
        <f>IF($L324="","",IF(INDEX(ExpBank,$L324)="","—",INDEX(ExpBank,$L324)))</f>
        <v/>
      </c>
      <c r="E324" s="23">
        <f>IF($L324="","",IF(INDEX(ExpParty,$L324)="","—",IFERROR(VLOOKUP(INDEX(ExpParty,$L324),AcctTbl,4,0),INDEX(ExpParty,$L324))))</f>
        <v/>
      </c>
      <c r="F324" s="22">
        <f>IF($L324="","",IF(INDEX(ExpType,$L324)="","—",INDEX(ExpType,$L324)))</f>
        <v/>
      </c>
      <c r="G324" s="24">
        <f>IF($L324="","",IF(INDEX(ExpDep,$L324)=0,"",INDEX(ExpDep,$L324)))</f>
        <v/>
      </c>
      <c r="H324" s="24">
        <f>IF($L324="","",IF(INDEX(ExpWit,$L324)=0,"",INDEX(ExpWit,$L324)))</f>
        <v/>
      </c>
      <c r="I324" s="25">
        <f>IF($B324="","",IF($I323="",0,$I323)+IF($H324="",0,$H324)-IF($G324="",0,$G324))</f>
        <v/>
      </c>
      <c r="J324" s="23">
        <f>IF($L324="","",IF(INDEX(ExpNote,$L324)="","—",INDEX(ExpNote,$L324)))</f>
        <v/>
      </c>
      <c r="L324">
        <f>IFERROR(MATCH($C$5&amp;"|"&amp;RIGHT("000000"&amp;308,6),ExpRankKey,0),"")</f>
        <v/>
      </c>
    </row>
    <row r="325">
      <c r="A325" s="16" t="n">
        <v>309</v>
      </c>
      <c r="B325" s="17">
        <f>IF($L325="","",INDEX(ExpNorm,$L325))</f>
        <v/>
      </c>
      <c r="C325" s="17">
        <f>IF($L325="","",IF(INDEX(ExpTime,$L325)="","—",LEFT(INDEX(ExpTime,$L325),2)&amp;":"&amp;RIGHT(INDEX(ExpTime,$L325),2)))</f>
        <v/>
      </c>
      <c r="D325" s="17">
        <f>IF($L325="","",IF(INDEX(ExpBank,$L325)="","—",INDEX(ExpBank,$L325)))</f>
        <v/>
      </c>
      <c r="E325" s="18">
        <f>IF($L325="","",IF(INDEX(ExpParty,$L325)="","—",IFERROR(VLOOKUP(INDEX(ExpParty,$L325),AcctTbl,4,0),INDEX(ExpParty,$L325))))</f>
        <v/>
      </c>
      <c r="F325" s="17">
        <f>IF($L325="","",IF(INDEX(ExpType,$L325)="","—",INDEX(ExpType,$L325)))</f>
        <v/>
      </c>
      <c r="G325" s="19">
        <f>IF($L325="","",IF(INDEX(ExpDep,$L325)=0,"",INDEX(ExpDep,$L325)))</f>
        <v/>
      </c>
      <c r="H325" s="19">
        <f>IF($L325="","",IF(INDEX(ExpWit,$L325)=0,"",INDEX(ExpWit,$L325)))</f>
        <v/>
      </c>
      <c r="I325" s="20">
        <f>IF($B325="","",IF($I324="",0,$I324)+IF($H325="",0,$H325)-IF($G325="",0,$G325))</f>
        <v/>
      </c>
      <c r="J325" s="18">
        <f>IF($L325="","",IF(INDEX(ExpNote,$L325)="","—",INDEX(ExpNote,$L325)))</f>
        <v/>
      </c>
      <c r="L325">
        <f>IFERROR(MATCH($C$5&amp;"|"&amp;RIGHT("000000"&amp;309,6),ExpRankKey,0),"")</f>
        <v/>
      </c>
    </row>
    <row r="326">
      <c r="A326" s="21" t="n">
        <v>310</v>
      </c>
      <c r="B326" s="22">
        <f>IF($L326="","",INDEX(ExpNorm,$L326))</f>
        <v/>
      </c>
      <c r="C326" s="22">
        <f>IF($L326="","",IF(INDEX(ExpTime,$L326)="","—",LEFT(INDEX(ExpTime,$L326),2)&amp;":"&amp;RIGHT(INDEX(ExpTime,$L326),2)))</f>
        <v/>
      </c>
      <c r="D326" s="22">
        <f>IF($L326="","",IF(INDEX(ExpBank,$L326)="","—",INDEX(ExpBank,$L326)))</f>
        <v/>
      </c>
      <c r="E326" s="23">
        <f>IF($L326="","",IF(INDEX(ExpParty,$L326)="","—",IFERROR(VLOOKUP(INDEX(ExpParty,$L326),AcctTbl,4,0),INDEX(ExpParty,$L326))))</f>
        <v/>
      </c>
      <c r="F326" s="22">
        <f>IF($L326="","",IF(INDEX(ExpType,$L326)="","—",INDEX(ExpType,$L326)))</f>
        <v/>
      </c>
      <c r="G326" s="24">
        <f>IF($L326="","",IF(INDEX(ExpDep,$L326)=0,"",INDEX(ExpDep,$L326)))</f>
        <v/>
      </c>
      <c r="H326" s="24">
        <f>IF($L326="","",IF(INDEX(ExpWit,$L326)=0,"",INDEX(ExpWit,$L326)))</f>
        <v/>
      </c>
      <c r="I326" s="25">
        <f>IF($B326="","",IF($I325="",0,$I325)+IF($H326="",0,$H326)-IF($G326="",0,$G326))</f>
        <v/>
      </c>
      <c r="J326" s="23">
        <f>IF($L326="","",IF(INDEX(ExpNote,$L326)="","—",INDEX(ExpNote,$L326)))</f>
        <v/>
      </c>
      <c r="L326">
        <f>IFERROR(MATCH($C$5&amp;"|"&amp;RIGHT("000000"&amp;310,6),ExpRankKey,0),"")</f>
        <v/>
      </c>
    </row>
    <row r="327">
      <c r="A327" s="16" t="n">
        <v>311</v>
      </c>
      <c r="B327" s="17">
        <f>IF($L327="","",INDEX(ExpNorm,$L327))</f>
        <v/>
      </c>
      <c r="C327" s="17">
        <f>IF($L327="","",IF(INDEX(ExpTime,$L327)="","—",LEFT(INDEX(ExpTime,$L327),2)&amp;":"&amp;RIGHT(INDEX(ExpTime,$L327),2)))</f>
        <v/>
      </c>
      <c r="D327" s="17">
        <f>IF($L327="","",IF(INDEX(ExpBank,$L327)="","—",INDEX(ExpBank,$L327)))</f>
        <v/>
      </c>
      <c r="E327" s="18">
        <f>IF($L327="","",IF(INDEX(ExpParty,$L327)="","—",IFERROR(VLOOKUP(INDEX(ExpParty,$L327),AcctTbl,4,0),INDEX(ExpParty,$L327))))</f>
        <v/>
      </c>
      <c r="F327" s="17">
        <f>IF($L327="","",IF(INDEX(ExpType,$L327)="","—",INDEX(ExpType,$L327)))</f>
        <v/>
      </c>
      <c r="G327" s="19">
        <f>IF($L327="","",IF(INDEX(ExpDep,$L327)=0,"",INDEX(ExpDep,$L327)))</f>
        <v/>
      </c>
      <c r="H327" s="19">
        <f>IF($L327="","",IF(INDEX(ExpWit,$L327)=0,"",INDEX(ExpWit,$L327)))</f>
        <v/>
      </c>
      <c r="I327" s="20">
        <f>IF($B327="","",IF($I326="",0,$I326)+IF($H327="",0,$H327)-IF($G327="",0,$G327))</f>
        <v/>
      </c>
      <c r="J327" s="18">
        <f>IF($L327="","",IF(INDEX(ExpNote,$L327)="","—",INDEX(ExpNote,$L327)))</f>
        <v/>
      </c>
      <c r="L327">
        <f>IFERROR(MATCH($C$5&amp;"|"&amp;RIGHT("000000"&amp;311,6),ExpRankKey,0),"")</f>
        <v/>
      </c>
    </row>
    <row r="328">
      <c r="A328" s="21" t="n">
        <v>312</v>
      </c>
      <c r="B328" s="22">
        <f>IF($L328="","",INDEX(ExpNorm,$L328))</f>
        <v/>
      </c>
      <c r="C328" s="22">
        <f>IF($L328="","",IF(INDEX(ExpTime,$L328)="","—",LEFT(INDEX(ExpTime,$L328),2)&amp;":"&amp;RIGHT(INDEX(ExpTime,$L328),2)))</f>
        <v/>
      </c>
      <c r="D328" s="22">
        <f>IF($L328="","",IF(INDEX(ExpBank,$L328)="","—",INDEX(ExpBank,$L328)))</f>
        <v/>
      </c>
      <c r="E328" s="23">
        <f>IF($L328="","",IF(INDEX(ExpParty,$L328)="","—",IFERROR(VLOOKUP(INDEX(ExpParty,$L328),AcctTbl,4,0),INDEX(ExpParty,$L328))))</f>
        <v/>
      </c>
      <c r="F328" s="22">
        <f>IF($L328="","",IF(INDEX(ExpType,$L328)="","—",INDEX(ExpType,$L328)))</f>
        <v/>
      </c>
      <c r="G328" s="24">
        <f>IF($L328="","",IF(INDEX(ExpDep,$L328)=0,"",INDEX(ExpDep,$L328)))</f>
        <v/>
      </c>
      <c r="H328" s="24">
        <f>IF($L328="","",IF(INDEX(ExpWit,$L328)=0,"",INDEX(ExpWit,$L328)))</f>
        <v/>
      </c>
      <c r="I328" s="25">
        <f>IF($B328="","",IF($I327="",0,$I327)+IF($H328="",0,$H328)-IF($G328="",0,$G328))</f>
        <v/>
      </c>
      <c r="J328" s="23">
        <f>IF($L328="","",IF(INDEX(ExpNote,$L328)="","—",INDEX(ExpNote,$L328)))</f>
        <v/>
      </c>
      <c r="L328">
        <f>IFERROR(MATCH($C$5&amp;"|"&amp;RIGHT("000000"&amp;312,6),ExpRankKey,0),"")</f>
        <v/>
      </c>
    </row>
    <row r="329">
      <c r="A329" s="16" t="n">
        <v>313</v>
      </c>
      <c r="B329" s="17">
        <f>IF($L329="","",INDEX(ExpNorm,$L329))</f>
        <v/>
      </c>
      <c r="C329" s="17">
        <f>IF($L329="","",IF(INDEX(ExpTime,$L329)="","—",LEFT(INDEX(ExpTime,$L329),2)&amp;":"&amp;RIGHT(INDEX(ExpTime,$L329),2)))</f>
        <v/>
      </c>
      <c r="D329" s="17">
        <f>IF($L329="","",IF(INDEX(ExpBank,$L329)="","—",INDEX(ExpBank,$L329)))</f>
        <v/>
      </c>
      <c r="E329" s="18">
        <f>IF($L329="","",IF(INDEX(ExpParty,$L329)="","—",IFERROR(VLOOKUP(INDEX(ExpParty,$L329),AcctTbl,4,0),INDEX(ExpParty,$L329))))</f>
        <v/>
      </c>
      <c r="F329" s="17">
        <f>IF($L329="","",IF(INDEX(ExpType,$L329)="","—",INDEX(ExpType,$L329)))</f>
        <v/>
      </c>
      <c r="G329" s="19">
        <f>IF($L329="","",IF(INDEX(ExpDep,$L329)=0,"",INDEX(ExpDep,$L329)))</f>
        <v/>
      </c>
      <c r="H329" s="19">
        <f>IF($L329="","",IF(INDEX(ExpWit,$L329)=0,"",INDEX(ExpWit,$L329)))</f>
        <v/>
      </c>
      <c r="I329" s="20">
        <f>IF($B329="","",IF($I328="",0,$I328)+IF($H329="",0,$H329)-IF($G329="",0,$G329))</f>
        <v/>
      </c>
      <c r="J329" s="18">
        <f>IF($L329="","",IF(INDEX(ExpNote,$L329)="","—",INDEX(ExpNote,$L329)))</f>
        <v/>
      </c>
      <c r="L329">
        <f>IFERROR(MATCH($C$5&amp;"|"&amp;RIGHT("000000"&amp;313,6),ExpRankKey,0),"")</f>
        <v/>
      </c>
    </row>
    <row r="330">
      <c r="A330" s="21" t="n">
        <v>314</v>
      </c>
      <c r="B330" s="22">
        <f>IF($L330="","",INDEX(ExpNorm,$L330))</f>
        <v/>
      </c>
      <c r="C330" s="22">
        <f>IF($L330="","",IF(INDEX(ExpTime,$L330)="","—",LEFT(INDEX(ExpTime,$L330),2)&amp;":"&amp;RIGHT(INDEX(ExpTime,$L330),2)))</f>
        <v/>
      </c>
      <c r="D330" s="22">
        <f>IF($L330="","",IF(INDEX(ExpBank,$L330)="","—",INDEX(ExpBank,$L330)))</f>
        <v/>
      </c>
      <c r="E330" s="23">
        <f>IF($L330="","",IF(INDEX(ExpParty,$L330)="","—",IFERROR(VLOOKUP(INDEX(ExpParty,$L330),AcctTbl,4,0),INDEX(ExpParty,$L330))))</f>
        <v/>
      </c>
      <c r="F330" s="22">
        <f>IF($L330="","",IF(INDEX(ExpType,$L330)="","—",INDEX(ExpType,$L330)))</f>
        <v/>
      </c>
      <c r="G330" s="24">
        <f>IF($L330="","",IF(INDEX(ExpDep,$L330)=0,"",INDEX(ExpDep,$L330)))</f>
        <v/>
      </c>
      <c r="H330" s="24">
        <f>IF($L330="","",IF(INDEX(ExpWit,$L330)=0,"",INDEX(ExpWit,$L330)))</f>
        <v/>
      </c>
      <c r="I330" s="25">
        <f>IF($B330="","",IF($I329="",0,$I329)+IF($H330="",0,$H330)-IF($G330="",0,$G330))</f>
        <v/>
      </c>
      <c r="J330" s="23">
        <f>IF($L330="","",IF(INDEX(ExpNote,$L330)="","—",INDEX(ExpNote,$L330)))</f>
        <v/>
      </c>
      <c r="L330">
        <f>IFERROR(MATCH($C$5&amp;"|"&amp;RIGHT("000000"&amp;314,6),ExpRankKey,0),"")</f>
        <v/>
      </c>
    </row>
    <row r="331">
      <c r="A331" s="16" t="n">
        <v>315</v>
      </c>
      <c r="B331" s="17">
        <f>IF($L331="","",INDEX(ExpNorm,$L331))</f>
        <v/>
      </c>
      <c r="C331" s="17">
        <f>IF($L331="","",IF(INDEX(ExpTime,$L331)="","—",LEFT(INDEX(ExpTime,$L331),2)&amp;":"&amp;RIGHT(INDEX(ExpTime,$L331),2)))</f>
        <v/>
      </c>
      <c r="D331" s="17">
        <f>IF($L331="","",IF(INDEX(ExpBank,$L331)="","—",INDEX(ExpBank,$L331)))</f>
        <v/>
      </c>
      <c r="E331" s="18">
        <f>IF($L331="","",IF(INDEX(ExpParty,$L331)="","—",IFERROR(VLOOKUP(INDEX(ExpParty,$L331),AcctTbl,4,0),INDEX(ExpParty,$L331))))</f>
        <v/>
      </c>
      <c r="F331" s="17">
        <f>IF($L331="","",IF(INDEX(ExpType,$L331)="","—",INDEX(ExpType,$L331)))</f>
        <v/>
      </c>
      <c r="G331" s="19">
        <f>IF($L331="","",IF(INDEX(ExpDep,$L331)=0,"",INDEX(ExpDep,$L331)))</f>
        <v/>
      </c>
      <c r="H331" s="19">
        <f>IF($L331="","",IF(INDEX(ExpWit,$L331)=0,"",INDEX(ExpWit,$L331)))</f>
        <v/>
      </c>
      <c r="I331" s="20">
        <f>IF($B331="","",IF($I330="",0,$I330)+IF($H331="",0,$H331)-IF($G331="",0,$G331))</f>
        <v/>
      </c>
      <c r="J331" s="18">
        <f>IF($L331="","",IF(INDEX(ExpNote,$L331)="","—",INDEX(ExpNote,$L331)))</f>
        <v/>
      </c>
      <c r="L331">
        <f>IFERROR(MATCH($C$5&amp;"|"&amp;RIGHT("000000"&amp;315,6),ExpRankKey,0),"")</f>
        <v/>
      </c>
    </row>
    <row r="332">
      <c r="A332" s="21" t="n">
        <v>316</v>
      </c>
      <c r="B332" s="22">
        <f>IF($L332="","",INDEX(ExpNorm,$L332))</f>
        <v/>
      </c>
      <c r="C332" s="22">
        <f>IF($L332="","",IF(INDEX(ExpTime,$L332)="","—",LEFT(INDEX(ExpTime,$L332),2)&amp;":"&amp;RIGHT(INDEX(ExpTime,$L332),2)))</f>
        <v/>
      </c>
      <c r="D332" s="22">
        <f>IF($L332="","",IF(INDEX(ExpBank,$L332)="","—",INDEX(ExpBank,$L332)))</f>
        <v/>
      </c>
      <c r="E332" s="23">
        <f>IF($L332="","",IF(INDEX(ExpParty,$L332)="","—",IFERROR(VLOOKUP(INDEX(ExpParty,$L332),AcctTbl,4,0),INDEX(ExpParty,$L332))))</f>
        <v/>
      </c>
      <c r="F332" s="22">
        <f>IF($L332="","",IF(INDEX(ExpType,$L332)="","—",INDEX(ExpType,$L332)))</f>
        <v/>
      </c>
      <c r="G332" s="24">
        <f>IF($L332="","",IF(INDEX(ExpDep,$L332)=0,"",INDEX(ExpDep,$L332)))</f>
        <v/>
      </c>
      <c r="H332" s="24">
        <f>IF($L332="","",IF(INDEX(ExpWit,$L332)=0,"",INDEX(ExpWit,$L332)))</f>
        <v/>
      </c>
      <c r="I332" s="25">
        <f>IF($B332="","",IF($I331="",0,$I331)+IF($H332="",0,$H332)-IF($G332="",0,$G332))</f>
        <v/>
      </c>
      <c r="J332" s="23">
        <f>IF($L332="","",IF(INDEX(ExpNote,$L332)="","—",INDEX(ExpNote,$L332)))</f>
        <v/>
      </c>
      <c r="L332">
        <f>IFERROR(MATCH($C$5&amp;"|"&amp;RIGHT("000000"&amp;316,6),ExpRankKey,0),"")</f>
        <v/>
      </c>
    </row>
    <row r="333">
      <c r="A333" s="16" t="n">
        <v>317</v>
      </c>
      <c r="B333" s="17">
        <f>IF($L333="","",INDEX(ExpNorm,$L333))</f>
        <v/>
      </c>
      <c r="C333" s="17">
        <f>IF($L333="","",IF(INDEX(ExpTime,$L333)="","—",LEFT(INDEX(ExpTime,$L333),2)&amp;":"&amp;RIGHT(INDEX(ExpTime,$L333),2)))</f>
        <v/>
      </c>
      <c r="D333" s="17">
        <f>IF($L333="","",IF(INDEX(ExpBank,$L333)="","—",INDEX(ExpBank,$L333)))</f>
        <v/>
      </c>
      <c r="E333" s="18">
        <f>IF($L333="","",IF(INDEX(ExpParty,$L333)="","—",IFERROR(VLOOKUP(INDEX(ExpParty,$L333),AcctTbl,4,0),INDEX(ExpParty,$L333))))</f>
        <v/>
      </c>
      <c r="F333" s="17">
        <f>IF($L333="","",IF(INDEX(ExpType,$L333)="","—",INDEX(ExpType,$L333)))</f>
        <v/>
      </c>
      <c r="G333" s="19">
        <f>IF($L333="","",IF(INDEX(ExpDep,$L333)=0,"",INDEX(ExpDep,$L333)))</f>
        <v/>
      </c>
      <c r="H333" s="19">
        <f>IF($L333="","",IF(INDEX(ExpWit,$L333)=0,"",INDEX(ExpWit,$L333)))</f>
        <v/>
      </c>
      <c r="I333" s="20">
        <f>IF($B333="","",IF($I332="",0,$I332)+IF($H333="",0,$H333)-IF($G333="",0,$G333))</f>
        <v/>
      </c>
      <c r="J333" s="18">
        <f>IF($L333="","",IF(INDEX(ExpNote,$L333)="","—",INDEX(ExpNote,$L333)))</f>
        <v/>
      </c>
      <c r="L333">
        <f>IFERROR(MATCH($C$5&amp;"|"&amp;RIGHT("000000"&amp;317,6),ExpRankKey,0),"")</f>
        <v/>
      </c>
    </row>
    <row r="334">
      <c r="A334" s="21" t="n">
        <v>318</v>
      </c>
      <c r="B334" s="22">
        <f>IF($L334="","",INDEX(ExpNorm,$L334))</f>
        <v/>
      </c>
      <c r="C334" s="22">
        <f>IF($L334="","",IF(INDEX(ExpTime,$L334)="","—",LEFT(INDEX(ExpTime,$L334),2)&amp;":"&amp;RIGHT(INDEX(ExpTime,$L334),2)))</f>
        <v/>
      </c>
      <c r="D334" s="22">
        <f>IF($L334="","",IF(INDEX(ExpBank,$L334)="","—",INDEX(ExpBank,$L334)))</f>
        <v/>
      </c>
      <c r="E334" s="23">
        <f>IF($L334="","",IF(INDEX(ExpParty,$L334)="","—",IFERROR(VLOOKUP(INDEX(ExpParty,$L334),AcctTbl,4,0),INDEX(ExpParty,$L334))))</f>
        <v/>
      </c>
      <c r="F334" s="22">
        <f>IF($L334="","",IF(INDEX(ExpType,$L334)="","—",INDEX(ExpType,$L334)))</f>
        <v/>
      </c>
      <c r="G334" s="24">
        <f>IF($L334="","",IF(INDEX(ExpDep,$L334)=0,"",INDEX(ExpDep,$L334)))</f>
        <v/>
      </c>
      <c r="H334" s="24">
        <f>IF($L334="","",IF(INDEX(ExpWit,$L334)=0,"",INDEX(ExpWit,$L334)))</f>
        <v/>
      </c>
      <c r="I334" s="25">
        <f>IF($B334="","",IF($I333="",0,$I333)+IF($H334="",0,$H334)-IF($G334="",0,$G334))</f>
        <v/>
      </c>
      <c r="J334" s="23">
        <f>IF($L334="","",IF(INDEX(ExpNote,$L334)="","—",INDEX(ExpNote,$L334)))</f>
        <v/>
      </c>
      <c r="L334">
        <f>IFERROR(MATCH($C$5&amp;"|"&amp;RIGHT("000000"&amp;318,6),ExpRankKey,0),"")</f>
        <v/>
      </c>
    </row>
    <row r="335">
      <c r="A335" s="16" t="n">
        <v>319</v>
      </c>
      <c r="B335" s="17">
        <f>IF($L335="","",INDEX(ExpNorm,$L335))</f>
        <v/>
      </c>
      <c r="C335" s="17">
        <f>IF($L335="","",IF(INDEX(ExpTime,$L335)="","—",LEFT(INDEX(ExpTime,$L335),2)&amp;":"&amp;RIGHT(INDEX(ExpTime,$L335),2)))</f>
        <v/>
      </c>
      <c r="D335" s="17">
        <f>IF($L335="","",IF(INDEX(ExpBank,$L335)="","—",INDEX(ExpBank,$L335)))</f>
        <v/>
      </c>
      <c r="E335" s="18">
        <f>IF($L335="","",IF(INDEX(ExpParty,$L335)="","—",IFERROR(VLOOKUP(INDEX(ExpParty,$L335),AcctTbl,4,0),INDEX(ExpParty,$L335))))</f>
        <v/>
      </c>
      <c r="F335" s="17">
        <f>IF($L335="","",IF(INDEX(ExpType,$L335)="","—",INDEX(ExpType,$L335)))</f>
        <v/>
      </c>
      <c r="G335" s="19">
        <f>IF($L335="","",IF(INDEX(ExpDep,$L335)=0,"",INDEX(ExpDep,$L335)))</f>
        <v/>
      </c>
      <c r="H335" s="19">
        <f>IF($L335="","",IF(INDEX(ExpWit,$L335)=0,"",INDEX(ExpWit,$L335)))</f>
        <v/>
      </c>
      <c r="I335" s="20">
        <f>IF($B335="","",IF($I334="",0,$I334)+IF($H335="",0,$H335)-IF($G335="",0,$G335))</f>
        <v/>
      </c>
      <c r="J335" s="18">
        <f>IF($L335="","",IF(INDEX(ExpNote,$L335)="","—",INDEX(ExpNote,$L335)))</f>
        <v/>
      </c>
      <c r="L335">
        <f>IFERROR(MATCH($C$5&amp;"|"&amp;RIGHT("000000"&amp;319,6),ExpRankKey,0),"")</f>
        <v/>
      </c>
    </row>
    <row r="336">
      <c r="A336" s="21" t="n">
        <v>320</v>
      </c>
      <c r="B336" s="22">
        <f>IF($L336="","",INDEX(ExpNorm,$L336))</f>
        <v/>
      </c>
      <c r="C336" s="22">
        <f>IF($L336="","",IF(INDEX(ExpTime,$L336)="","—",LEFT(INDEX(ExpTime,$L336),2)&amp;":"&amp;RIGHT(INDEX(ExpTime,$L336),2)))</f>
        <v/>
      </c>
      <c r="D336" s="22">
        <f>IF($L336="","",IF(INDEX(ExpBank,$L336)="","—",INDEX(ExpBank,$L336)))</f>
        <v/>
      </c>
      <c r="E336" s="23">
        <f>IF($L336="","",IF(INDEX(ExpParty,$L336)="","—",IFERROR(VLOOKUP(INDEX(ExpParty,$L336),AcctTbl,4,0),INDEX(ExpParty,$L336))))</f>
        <v/>
      </c>
      <c r="F336" s="22">
        <f>IF($L336="","",IF(INDEX(ExpType,$L336)="","—",INDEX(ExpType,$L336)))</f>
        <v/>
      </c>
      <c r="G336" s="24">
        <f>IF($L336="","",IF(INDEX(ExpDep,$L336)=0,"",INDEX(ExpDep,$L336)))</f>
        <v/>
      </c>
      <c r="H336" s="24">
        <f>IF($L336="","",IF(INDEX(ExpWit,$L336)=0,"",INDEX(ExpWit,$L336)))</f>
        <v/>
      </c>
      <c r="I336" s="25">
        <f>IF($B336="","",IF($I335="",0,$I335)+IF($H336="",0,$H336)-IF($G336="",0,$G336))</f>
        <v/>
      </c>
      <c r="J336" s="23">
        <f>IF($L336="","",IF(INDEX(ExpNote,$L336)="","—",INDEX(ExpNote,$L336)))</f>
        <v/>
      </c>
      <c r="L336">
        <f>IFERROR(MATCH($C$5&amp;"|"&amp;RIGHT("000000"&amp;320,6),ExpRankKey,0),"")</f>
        <v/>
      </c>
    </row>
    <row r="337">
      <c r="A337" s="16" t="n">
        <v>321</v>
      </c>
      <c r="B337" s="17">
        <f>IF($L337="","",INDEX(ExpNorm,$L337))</f>
        <v/>
      </c>
      <c r="C337" s="17">
        <f>IF($L337="","",IF(INDEX(ExpTime,$L337)="","—",LEFT(INDEX(ExpTime,$L337),2)&amp;":"&amp;RIGHT(INDEX(ExpTime,$L337),2)))</f>
        <v/>
      </c>
      <c r="D337" s="17">
        <f>IF($L337="","",IF(INDEX(ExpBank,$L337)="","—",INDEX(ExpBank,$L337)))</f>
        <v/>
      </c>
      <c r="E337" s="18">
        <f>IF($L337="","",IF(INDEX(ExpParty,$L337)="","—",IFERROR(VLOOKUP(INDEX(ExpParty,$L337),AcctTbl,4,0),INDEX(ExpParty,$L337))))</f>
        <v/>
      </c>
      <c r="F337" s="17">
        <f>IF($L337="","",IF(INDEX(ExpType,$L337)="","—",INDEX(ExpType,$L337)))</f>
        <v/>
      </c>
      <c r="G337" s="19">
        <f>IF($L337="","",IF(INDEX(ExpDep,$L337)=0,"",INDEX(ExpDep,$L337)))</f>
        <v/>
      </c>
      <c r="H337" s="19">
        <f>IF($L337="","",IF(INDEX(ExpWit,$L337)=0,"",INDEX(ExpWit,$L337)))</f>
        <v/>
      </c>
      <c r="I337" s="20">
        <f>IF($B337="","",IF($I336="",0,$I336)+IF($H337="",0,$H337)-IF($G337="",0,$G337))</f>
        <v/>
      </c>
      <c r="J337" s="18">
        <f>IF($L337="","",IF(INDEX(ExpNote,$L337)="","—",INDEX(ExpNote,$L337)))</f>
        <v/>
      </c>
      <c r="L337">
        <f>IFERROR(MATCH($C$5&amp;"|"&amp;RIGHT("000000"&amp;321,6),ExpRankKey,0),"")</f>
        <v/>
      </c>
    </row>
    <row r="338">
      <c r="A338" s="21" t="n">
        <v>322</v>
      </c>
      <c r="B338" s="22">
        <f>IF($L338="","",INDEX(ExpNorm,$L338))</f>
        <v/>
      </c>
      <c r="C338" s="22">
        <f>IF($L338="","",IF(INDEX(ExpTime,$L338)="","—",LEFT(INDEX(ExpTime,$L338),2)&amp;":"&amp;RIGHT(INDEX(ExpTime,$L338),2)))</f>
        <v/>
      </c>
      <c r="D338" s="22">
        <f>IF($L338="","",IF(INDEX(ExpBank,$L338)="","—",INDEX(ExpBank,$L338)))</f>
        <v/>
      </c>
      <c r="E338" s="23">
        <f>IF($L338="","",IF(INDEX(ExpParty,$L338)="","—",IFERROR(VLOOKUP(INDEX(ExpParty,$L338),AcctTbl,4,0),INDEX(ExpParty,$L338))))</f>
        <v/>
      </c>
      <c r="F338" s="22">
        <f>IF($L338="","",IF(INDEX(ExpType,$L338)="","—",INDEX(ExpType,$L338)))</f>
        <v/>
      </c>
      <c r="G338" s="24">
        <f>IF($L338="","",IF(INDEX(ExpDep,$L338)=0,"",INDEX(ExpDep,$L338)))</f>
        <v/>
      </c>
      <c r="H338" s="24">
        <f>IF($L338="","",IF(INDEX(ExpWit,$L338)=0,"",INDEX(ExpWit,$L338)))</f>
        <v/>
      </c>
      <c r="I338" s="25">
        <f>IF($B338="","",IF($I337="",0,$I337)+IF($H338="",0,$H338)-IF($G338="",0,$G338))</f>
        <v/>
      </c>
      <c r="J338" s="23">
        <f>IF($L338="","",IF(INDEX(ExpNote,$L338)="","—",INDEX(ExpNote,$L338)))</f>
        <v/>
      </c>
      <c r="L338">
        <f>IFERROR(MATCH($C$5&amp;"|"&amp;RIGHT("000000"&amp;322,6),ExpRankKey,0),"")</f>
        <v/>
      </c>
    </row>
    <row r="339">
      <c r="A339" s="16" t="n">
        <v>323</v>
      </c>
      <c r="B339" s="17">
        <f>IF($L339="","",INDEX(ExpNorm,$L339))</f>
        <v/>
      </c>
      <c r="C339" s="17">
        <f>IF($L339="","",IF(INDEX(ExpTime,$L339)="","—",LEFT(INDEX(ExpTime,$L339),2)&amp;":"&amp;RIGHT(INDEX(ExpTime,$L339),2)))</f>
        <v/>
      </c>
      <c r="D339" s="17">
        <f>IF($L339="","",IF(INDEX(ExpBank,$L339)="","—",INDEX(ExpBank,$L339)))</f>
        <v/>
      </c>
      <c r="E339" s="18">
        <f>IF($L339="","",IF(INDEX(ExpParty,$L339)="","—",IFERROR(VLOOKUP(INDEX(ExpParty,$L339),AcctTbl,4,0),INDEX(ExpParty,$L339))))</f>
        <v/>
      </c>
      <c r="F339" s="17">
        <f>IF($L339="","",IF(INDEX(ExpType,$L339)="","—",INDEX(ExpType,$L339)))</f>
        <v/>
      </c>
      <c r="G339" s="19">
        <f>IF($L339="","",IF(INDEX(ExpDep,$L339)=0,"",INDEX(ExpDep,$L339)))</f>
        <v/>
      </c>
      <c r="H339" s="19">
        <f>IF($L339="","",IF(INDEX(ExpWit,$L339)=0,"",INDEX(ExpWit,$L339)))</f>
        <v/>
      </c>
      <c r="I339" s="20">
        <f>IF($B339="","",IF($I338="",0,$I338)+IF($H339="",0,$H339)-IF($G339="",0,$G339))</f>
        <v/>
      </c>
      <c r="J339" s="18">
        <f>IF($L339="","",IF(INDEX(ExpNote,$L339)="","—",INDEX(ExpNote,$L339)))</f>
        <v/>
      </c>
      <c r="L339">
        <f>IFERROR(MATCH($C$5&amp;"|"&amp;RIGHT("000000"&amp;323,6),ExpRankKey,0),"")</f>
        <v/>
      </c>
    </row>
    <row r="340">
      <c r="A340" s="21" t="n">
        <v>324</v>
      </c>
      <c r="B340" s="22">
        <f>IF($L340="","",INDEX(ExpNorm,$L340))</f>
        <v/>
      </c>
      <c r="C340" s="22">
        <f>IF($L340="","",IF(INDEX(ExpTime,$L340)="","—",LEFT(INDEX(ExpTime,$L340),2)&amp;":"&amp;RIGHT(INDEX(ExpTime,$L340),2)))</f>
        <v/>
      </c>
      <c r="D340" s="22">
        <f>IF($L340="","",IF(INDEX(ExpBank,$L340)="","—",INDEX(ExpBank,$L340)))</f>
        <v/>
      </c>
      <c r="E340" s="23">
        <f>IF($L340="","",IF(INDEX(ExpParty,$L340)="","—",IFERROR(VLOOKUP(INDEX(ExpParty,$L340),AcctTbl,4,0),INDEX(ExpParty,$L340))))</f>
        <v/>
      </c>
      <c r="F340" s="22">
        <f>IF($L340="","",IF(INDEX(ExpType,$L340)="","—",INDEX(ExpType,$L340)))</f>
        <v/>
      </c>
      <c r="G340" s="24">
        <f>IF($L340="","",IF(INDEX(ExpDep,$L340)=0,"",INDEX(ExpDep,$L340)))</f>
        <v/>
      </c>
      <c r="H340" s="24">
        <f>IF($L340="","",IF(INDEX(ExpWit,$L340)=0,"",INDEX(ExpWit,$L340)))</f>
        <v/>
      </c>
      <c r="I340" s="25">
        <f>IF($B340="","",IF($I339="",0,$I339)+IF($H340="",0,$H340)-IF($G340="",0,$G340))</f>
        <v/>
      </c>
      <c r="J340" s="23">
        <f>IF($L340="","",IF(INDEX(ExpNote,$L340)="","—",INDEX(ExpNote,$L340)))</f>
        <v/>
      </c>
      <c r="L340">
        <f>IFERROR(MATCH($C$5&amp;"|"&amp;RIGHT("000000"&amp;324,6),ExpRankKey,0),"")</f>
        <v/>
      </c>
    </row>
    <row r="341">
      <c r="A341" s="16" t="n">
        <v>325</v>
      </c>
      <c r="B341" s="17">
        <f>IF($L341="","",INDEX(ExpNorm,$L341))</f>
        <v/>
      </c>
      <c r="C341" s="17">
        <f>IF($L341="","",IF(INDEX(ExpTime,$L341)="","—",LEFT(INDEX(ExpTime,$L341),2)&amp;":"&amp;RIGHT(INDEX(ExpTime,$L341),2)))</f>
        <v/>
      </c>
      <c r="D341" s="17">
        <f>IF($L341="","",IF(INDEX(ExpBank,$L341)="","—",INDEX(ExpBank,$L341)))</f>
        <v/>
      </c>
      <c r="E341" s="18">
        <f>IF($L341="","",IF(INDEX(ExpParty,$L341)="","—",IFERROR(VLOOKUP(INDEX(ExpParty,$L341),AcctTbl,4,0),INDEX(ExpParty,$L341))))</f>
        <v/>
      </c>
      <c r="F341" s="17">
        <f>IF($L341="","",IF(INDEX(ExpType,$L341)="","—",INDEX(ExpType,$L341)))</f>
        <v/>
      </c>
      <c r="G341" s="19">
        <f>IF($L341="","",IF(INDEX(ExpDep,$L341)=0,"",INDEX(ExpDep,$L341)))</f>
        <v/>
      </c>
      <c r="H341" s="19">
        <f>IF($L341="","",IF(INDEX(ExpWit,$L341)=0,"",INDEX(ExpWit,$L341)))</f>
        <v/>
      </c>
      <c r="I341" s="20">
        <f>IF($B341="","",IF($I340="",0,$I340)+IF($H341="",0,$H341)-IF($G341="",0,$G341))</f>
        <v/>
      </c>
      <c r="J341" s="18">
        <f>IF($L341="","",IF(INDEX(ExpNote,$L341)="","—",INDEX(ExpNote,$L341)))</f>
        <v/>
      </c>
      <c r="L341">
        <f>IFERROR(MATCH($C$5&amp;"|"&amp;RIGHT("000000"&amp;325,6),ExpRankKey,0),"")</f>
        <v/>
      </c>
    </row>
    <row r="342">
      <c r="A342" s="21" t="n">
        <v>326</v>
      </c>
      <c r="B342" s="22">
        <f>IF($L342="","",INDEX(ExpNorm,$L342))</f>
        <v/>
      </c>
      <c r="C342" s="22">
        <f>IF($L342="","",IF(INDEX(ExpTime,$L342)="","—",LEFT(INDEX(ExpTime,$L342),2)&amp;":"&amp;RIGHT(INDEX(ExpTime,$L342),2)))</f>
        <v/>
      </c>
      <c r="D342" s="22">
        <f>IF($L342="","",IF(INDEX(ExpBank,$L342)="","—",INDEX(ExpBank,$L342)))</f>
        <v/>
      </c>
      <c r="E342" s="23">
        <f>IF($L342="","",IF(INDEX(ExpParty,$L342)="","—",IFERROR(VLOOKUP(INDEX(ExpParty,$L342),AcctTbl,4,0),INDEX(ExpParty,$L342))))</f>
        <v/>
      </c>
      <c r="F342" s="22">
        <f>IF($L342="","",IF(INDEX(ExpType,$L342)="","—",INDEX(ExpType,$L342)))</f>
        <v/>
      </c>
      <c r="G342" s="24">
        <f>IF($L342="","",IF(INDEX(ExpDep,$L342)=0,"",INDEX(ExpDep,$L342)))</f>
        <v/>
      </c>
      <c r="H342" s="24">
        <f>IF($L342="","",IF(INDEX(ExpWit,$L342)=0,"",INDEX(ExpWit,$L342)))</f>
        <v/>
      </c>
      <c r="I342" s="25">
        <f>IF($B342="","",IF($I341="",0,$I341)+IF($H342="",0,$H342)-IF($G342="",0,$G342))</f>
        <v/>
      </c>
      <c r="J342" s="23">
        <f>IF($L342="","",IF(INDEX(ExpNote,$L342)="","—",INDEX(ExpNote,$L342)))</f>
        <v/>
      </c>
      <c r="L342">
        <f>IFERROR(MATCH($C$5&amp;"|"&amp;RIGHT("000000"&amp;326,6),ExpRankKey,0),"")</f>
        <v/>
      </c>
    </row>
    <row r="343">
      <c r="A343" s="16" t="n">
        <v>327</v>
      </c>
      <c r="B343" s="17">
        <f>IF($L343="","",INDEX(ExpNorm,$L343))</f>
        <v/>
      </c>
      <c r="C343" s="17">
        <f>IF($L343="","",IF(INDEX(ExpTime,$L343)="","—",LEFT(INDEX(ExpTime,$L343),2)&amp;":"&amp;RIGHT(INDEX(ExpTime,$L343),2)))</f>
        <v/>
      </c>
      <c r="D343" s="17">
        <f>IF($L343="","",IF(INDEX(ExpBank,$L343)="","—",INDEX(ExpBank,$L343)))</f>
        <v/>
      </c>
      <c r="E343" s="18">
        <f>IF($L343="","",IF(INDEX(ExpParty,$L343)="","—",IFERROR(VLOOKUP(INDEX(ExpParty,$L343),AcctTbl,4,0),INDEX(ExpParty,$L343))))</f>
        <v/>
      </c>
      <c r="F343" s="17">
        <f>IF($L343="","",IF(INDEX(ExpType,$L343)="","—",INDEX(ExpType,$L343)))</f>
        <v/>
      </c>
      <c r="G343" s="19">
        <f>IF($L343="","",IF(INDEX(ExpDep,$L343)=0,"",INDEX(ExpDep,$L343)))</f>
        <v/>
      </c>
      <c r="H343" s="19">
        <f>IF($L343="","",IF(INDEX(ExpWit,$L343)=0,"",INDEX(ExpWit,$L343)))</f>
        <v/>
      </c>
      <c r="I343" s="20">
        <f>IF($B343="","",IF($I342="",0,$I342)+IF($H343="",0,$H343)-IF($G343="",0,$G343))</f>
        <v/>
      </c>
      <c r="J343" s="18">
        <f>IF($L343="","",IF(INDEX(ExpNote,$L343)="","—",INDEX(ExpNote,$L343)))</f>
        <v/>
      </c>
      <c r="L343">
        <f>IFERROR(MATCH($C$5&amp;"|"&amp;RIGHT("000000"&amp;327,6),ExpRankKey,0),"")</f>
        <v/>
      </c>
    </row>
    <row r="344">
      <c r="A344" s="21" t="n">
        <v>328</v>
      </c>
      <c r="B344" s="22">
        <f>IF($L344="","",INDEX(ExpNorm,$L344))</f>
        <v/>
      </c>
      <c r="C344" s="22">
        <f>IF($L344="","",IF(INDEX(ExpTime,$L344)="","—",LEFT(INDEX(ExpTime,$L344),2)&amp;":"&amp;RIGHT(INDEX(ExpTime,$L344),2)))</f>
        <v/>
      </c>
      <c r="D344" s="22">
        <f>IF($L344="","",IF(INDEX(ExpBank,$L344)="","—",INDEX(ExpBank,$L344)))</f>
        <v/>
      </c>
      <c r="E344" s="23">
        <f>IF($L344="","",IF(INDEX(ExpParty,$L344)="","—",IFERROR(VLOOKUP(INDEX(ExpParty,$L344),AcctTbl,4,0),INDEX(ExpParty,$L344))))</f>
        <v/>
      </c>
      <c r="F344" s="22">
        <f>IF($L344="","",IF(INDEX(ExpType,$L344)="","—",INDEX(ExpType,$L344)))</f>
        <v/>
      </c>
      <c r="G344" s="24">
        <f>IF($L344="","",IF(INDEX(ExpDep,$L344)=0,"",INDEX(ExpDep,$L344)))</f>
        <v/>
      </c>
      <c r="H344" s="24">
        <f>IF($L344="","",IF(INDEX(ExpWit,$L344)=0,"",INDEX(ExpWit,$L344)))</f>
        <v/>
      </c>
      <c r="I344" s="25">
        <f>IF($B344="","",IF($I343="",0,$I343)+IF($H344="",0,$H344)-IF($G344="",0,$G344))</f>
        <v/>
      </c>
      <c r="J344" s="23">
        <f>IF($L344="","",IF(INDEX(ExpNote,$L344)="","—",INDEX(ExpNote,$L344)))</f>
        <v/>
      </c>
      <c r="L344">
        <f>IFERROR(MATCH($C$5&amp;"|"&amp;RIGHT("000000"&amp;328,6),ExpRankKey,0),"")</f>
        <v/>
      </c>
    </row>
    <row r="345">
      <c r="A345" s="16" t="n">
        <v>329</v>
      </c>
      <c r="B345" s="17">
        <f>IF($L345="","",INDEX(ExpNorm,$L345))</f>
        <v/>
      </c>
      <c r="C345" s="17">
        <f>IF($L345="","",IF(INDEX(ExpTime,$L345)="","—",LEFT(INDEX(ExpTime,$L345),2)&amp;":"&amp;RIGHT(INDEX(ExpTime,$L345),2)))</f>
        <v/>
      </c>
      <c r="D345" s="17">
        <f>IF($L345="","",IF(INDEX(ExpBank,$L345)="","—",INDEX(ExpBank,$L345)))</f>
        <v/>
      </c>
      <c r="E345" s="18">
        <f>IF($L345="","",IF(INDEX(ExpParty,$L345)="","—",IFERROR(VLOOKUP(INDEX(ExpParty,$L345),AcctTbl,4,0),INDEX(ExpParty,$L345))))</f>
        <v/>
      </c>
      <c r="F345" s="17">
        <f>IF($L345="","",IF(INDEX(ExpType,$L345)="","—",INDEX(ExpType,$L345)))</f>
        <v/>
      </c>
      <c r="G345" s="19">
        <f>IF($L345="","",IF(INDEX(ExpDep,$L345)=0,"",INDEX(ExpDep,$L345)))</f>
        <v/>
      </c>
      <c r="H345" s="19">
        <f>IF($L345="","",IF(INDEX(ExpWit,$L345)=0,"",INDEX(ExpWit,$L345)))</f>
        <v/>
      </c>
      <c r="I345" s="20">
        <f>IF($B345="","",IF($I344="",0,$I344)+IF($H345="",0,$H345)-IF($G345="",0,$G345))</f>
        <v/>
      </c>
      <c r="J345" s="18">
        <f>IF($L345="","",IF(INDEX(ExpNote,$L345)="","—",INDEX(ExpNote,$L345)))</f>
        <v/>
      </c>
      <c r="L345">
        <f>IFERROR(MATCH($C$5&amp;"|"&amp;RIGHT("000000"&amp;329,6),ExpRankKey,0),"")</f>
        <v/>
      </c>
    </row>
    <row r="346">
      <c r="A346" s="21" t="n">
        <v>330</v>
      </c>
      <c r="B346" s="22">
        <f>IF($L346="","",INDEX(ExpNorm,$L346))</f>
        <v/>
      </c>
      <c r="C346" s="22">
        <f>IF($L346="","",IF(INDEX(ExpTime,$L346)="","—",LEFT(INDEX(ExpTime,$L346),2)&amp;":"&amp;RIGHT(INDEX(ExpTime,$L346),2)))</f>
        <v/>
      </c>
      <c r="D346" s="22">
        <f>IF($L346="","",IF(INDEX(ExpBank,$L346)="","—",INDEX(ExpBank,$L346)))</f>
        <v/>
      </c>
      <c r="E346" s="23">
        <f>IF($L346="","",IF(INDEX(ExpParty,$L346)="","—",IFERROR(VLOOKUP(INDEX(ExpParty,$L346),AcctTbl,4,0),INDEX(ExpParty,$L346))))</f>
        <v/>
      </c>
      <c r="F346" s="22">
        <f>IF($L346="","",IF(INDEX(ExpType,$L346)="","—",INDEX(ExpType,$L346)))</f>
        <v/>
      </c>
      <c r="G346" s="24">
        <f>IF($L346="","",IF(INDEX(ExpDep,$L346)=0,"",INDEX(ExpDep,$L346)))</f>
        <v/>
      </c>
      <c r="H346" s="24">
        <f>IF($L346="","",IF(INDEX(ExpWit,$L346)=0,"",INDEX(ExpWit,$L346)))</f>
        <v/>
      </c>
      <c r="I346" s="25">
        <f>IF($B346="","",IF($I345="",0,$I345)+IF($H346="",0,$H346)-IF($G346="",0,$G346))</f>
        <v/>
      </c>
      <c r="J346" s="23">
        <f>IF($L346="","",IF(INDEX(ExpNote,$L346)="","—",INDEX(ExpNote,$L346)))</f>
        <v/>
      </c>
      <c r="L346">
        <f>IFERROR(MATCH($C$5&amp;"|"&amp;RIGHT("000000"&amp;330,6),ExpRankKey,0),"")</f>
        <v/>
      </c>
    </row>
    <row r="347">
      <c r="A347" s="16" t="n">
        <v>331</v>
      </c>
      <c r="B347" s="17">
        <f>IF($L347="","",INDEX(ExpNorm,$L347))</f>
        <v/>
      </c>
      <c r="C347" s="17">
        <f>IF($L347="","",IF(INDEX(ExpTime,$L347)="","—",LEFT(INDEX(ExpTime,$L347),2)&amp;":"&amp;RIGHT(INDEX(ExpTime,$L347),2)))</f>
        <v/>
      </c>
      <c r="D347" s="17">
        <f>IF($L347="","",IF(INDEX(ExpBank,$L347)="","—",INDEX(ExpBank,$L347)))</f>
        <v/>
      </c>
      <c r="E347" s="18">
        <f>IF($L347="","",IF(INDEX(ExpParty,$L347)="","—",IFERROR(VLOOKUP(INDEX(ExpParty,$L347),AcctTbl,4,0),INDEX(ExpParty,$L347))))</f>
        <v/>
      </c>
      <c r="F347" s="17">
        <f>IF($L347="","",IF(INDEX(ExpType,$L347)="","—",INDEX(ExpType,$L347)))</f>
        <v/>
      </c>
      <c r="G347" s="19">
        <f>IF($L347="","",IF(INDEX(ExpDep,$L347)=0,"",INDEX(ExpDep,$L347)))</f>
        <v/>
      </c>
      <c r="H347" s="19">
        <f>IF($L347="","",IF(INDEX(ExpWit,$L347)=0,"",INDEX(ExpWit,$L347)))</f>
        <v/>
      </c>
      <c r="I347" s="20">
        <f>IF($B347="","",IF($I346="",0,$I346)+IF($H347="",0,$H347)-IF($G347="",0,$G347))</f>
        <v/>
      </c>
      <c r="J347" s="18">
        <f>IF($L347="","",IF(INDEX(ExpNote,$L347)="","—",INDEX(ExpNote,$L347)))</f>
        <v/>
      </c>
      <c r="L347">
        <f>IFERROR(MATCH($C$5&amp;"|"&amp;RIGHT("000000"&amp;331,6),ExpRankKey,0),"")</f>
        <v/>
      </c>
    </row>
    <row r="348">
      <c r="A348" s="21" t="n">
        <v>332</v>
      </c>
      <c r="B348" s="22">
        <f>IF($L348="","",INDEX(ExpNorm,$L348))</f>
        <v/>
      </c>
      <c r="C348" s="22">
        <f>IF($L348="","",IF(INDEX(ExpTime,$L348)="","—",LEFT(INDEX(ExpTime,$L348),2)&amp;":"&amp;RIGHT(INDEX(ExpTime,$L348),2)))</f>
        <v/>
      </c>
      <c r="D348" s="22">
        <f>IF($L348="","",IF(INDEX(ExpBank,$L348)="","—",INDEX(ExpBank,$L348)))</f>
        <v/>
      </c>
      <c r="E348" s="23">
        <f>IF($L348="","",IF(INDEX(ExpParty,$L348)="","—",IFERROR(VLOOKUP(INDEX(ExpParty,$L348),AcctTbl,4,0),INDEX(ExpParty,$L348))))</f>
        <v/>
      </c>
      <c r="F348" s="22">
        <f>IF($L348="","",IF(INDEX(ExpType,$L348)="","—",INDEX(ExpType,$L348)))</f>
        <v/>
      </c>
      <c r="G348" s="24">
        <f>IF($L348="","",IF(INDEX(ExpDep,$L348)=0,"",INDEX(ExpDep,$L348)))</f>
        <v/>
      </c>
      <c r="H348" s="24">
        <f>IF($L348="","",IF(INDEX(ExpWit,$L348)=0,"",INDEX(ExpWit,$L348)))</f>
        <v/>
      </c>
      <c r="I348" s="25">
        <f>IF($B348="","",IF($I347="",0,$I347)+IF($H348="",0,$H348)-IF($G348="",0,$G348))</f>
        <v/>
      </c>
      <c r="J348" s="23">
        <f>IF($L348="","",IF(INDEX(ExpNote,$L348)="","—",INDEX(ExpNote,$L348)))</f>
        <v/>
      </c>
      <c r="L348">
        <f>IFERROR(MATCH($C$5&amp;"|"&amp;RIGHT("000000"&amp;332,6),ExpRankKey,0),"")</f>
        <v/>
      </c>
    </row>
    <row r="349">
      <c r="A349" s="16" t="n">
        <v>333</v>
      </c>
      <c r="B349" s="17">
        <f>IF($L349="","",INDEX(ExpNorm,$L349))</f>
        <v/>
      </c>
      <c r="C349" s="17">
        <f>IF($L349="","",IF(INDEX(ExpTime,$L349)="","—",LEFT(INDEX(ExpTime,$L349),2)&amp;":"&amp;RIGHT(INDEX(ExpTime,$L349),2)))</f>
        <v/>
      </c>
      <c r="D349" s="17">
        <f>IF($L349="","",IF(INDEX(ExpBank,$L349)="","—",INDEX(ExpBank,$L349)))</f>
        <v/>
      </c>
      <c r="E349" s="18">
        <f>IF($L349="","",IF(INDEX(ExpParty,$L349)="","—",IFERROR(VLOOKUP(INDEX(ExpParty,$L349),AcctTbl,4,0),INDEX(ExpParty,$L349))))</f>
        <v/>
      </c>
      <c r="F349" s="17">
        <f>IF($L349="","",IF(INDEX(ExpType,$L349)="","—",INDEX(ExpType,$L349)))</f>
        <v/>
      </c>
      <c r="G349" s="19">
        <f>IF($L349="","",IF(INDEX(ExpDep,$L349)=0,"",INDEX(ExpDep,$L349)))</f>
        <v/>
      </c>
      <c r="H349" s="19">
        <f>IF($L349="","",IF(INDEX(ExpWit,$L349)=0,"",INDEX(ExpWit,$L349)))</f>
        <v/>
      </c>
      <c r="I349" s="20">
        <f>IF($B349="","",IF($I348="",0,$I348)+IF($H349="",0,$H349)-IF($G349="",0,$G349))</f>
        <v/>
      </c>
      <c r="J349" s="18">
        <f>IF($L349="","",IF(INDEX(ExpNote,$L349)="","—",INDEX(ExpNote,$L349)))</f>
        <v/>
      </c>
      <c r="L349">
        <f>IFERROR(MATCH($C$5&amp;"|"&amp;RIGHT("000000"&amp;333,6),ExpRankKey,0),"")</f>
        <v/>
      </c>
    </row>
    <row r="350">
      <c r="A350" s="21" t="n">
        <v>334</v>
      </c>
      <c r="B350" s="22">
        <f>IF($L350="","",INDEX(ExpNorm,$L350))</f>
        <v/>
      </c>
      <c r="C350" s="22">
        <f>IF($L350="","",IF(INDEX(ExpTime,$L350)="","—",LEFT(INDEX(ExpTime,$L350),2)&amp;":"&amp;RIGHT(INDEX(ExpTime,$L350),2)))</f>
        <v/>
      </c>
      <c r="D350" s="22">
        <f>IF($L350="","",IF(INDEX(ExpBank,$L350)="","—",INDEX(ExpBank,$L350)))</f>
        <v/>
      </c>
      <c r="E350" s="23">
        <f>IF($L350="","",IF(INDEX(ExpParty,$L350)="","—",IFERROR(VLOOKUP(INDEX(ExpParty,$L350),AcctTbl,4,0),INDEX(ExpParty,$L350))))</f>
        <v/>
      </c>
      <c r="F350" s="22">
        <f>IF($L350="","",IF(INDEX(ExpType,$L350)="","—",INDEX(ExpType,$L350)))</f>
        <v/>
      </c>
      <c r="G350" s="24">
        <f>IF($L350="","",IF(INDEX(ExpDep,$L350)=0,"",INDEX(ExpDep,$L350)))</f>
        <v/>
      </c>
      <c r="H350" s="24">
        <f>IF($L350="","",IF(INDEX(ExpWit,$L350)=0,"",INDEX(ExpWit,$L350)))</f>
        <v/>
      </c>
      <c r="I350" s="25">
        <f>IF($B350="","",IF($I349="",0,$I349)+IF($H350="",0,$H350)-IF($G350="",0,$G350))</f>
        <v/>
      </c>
      <c r="J350" s="23">
        <f>IF($L350="","",IF(INDEX(ExpNote,$L350)="","—",INDEX(ExpNote,$L350)))</f>
        <v/>
      </c>
      <c r="L350">
        <f>IFERROR(MATCH($C$5&amp;"|"&amp;RIGHT("000000"&amp;334,6),ExpRankKey,0),"")</f>
        <v/>
      </c>
    </row>
    <row r="351">
      <c r="A351" s="16" t="n">
        <v>335</v>
      </c>
      <c r="B351" s="17">
        <f>IF($L351="","",INDEX(ExpNorm,$L351))</f>
        <v/>
      </c>
      <c r="C351" s="17">
        <f>IF($L351="","",IF(INDEX(ExpTime,$L351)="","—",LEFT(INDEX(ExpTime,$L351),2)&amp;":"&amp;RIGHT(INDEX(ExpTime,$L351),2)))</f>
        <v/>
      </c>
      <c r="D351" s="17">
        <f>IF($L351="","",IF(INDEX(ExpBank,$L351)="","—",INDEX(ExpBank,$L351)))</f>
        <v/>
      </c>
      <c r="E351" s="18">
        <f>IF($L351="","",IF(INDEX(ExpParty,$L351)="","—",IFERROR(VLOOKUP(INDEX(ExpParty,$L351),AcctTbl,4,0),INDEX(ExpParty,$L351))))</f>
        <v/>
      </c>
      <c r="F351" s="17">
        <f>IF($L351="","",IF(INDEX(ExpType,$L351)="","—",INDEX(ExpType,$L351)))</f>
        <v/>
      </c>
      <c r="G351" s="19">
        <f>IF($L351="","",IF(INDEX(ExpDep,$L351)=0,"",INDEX(ExpDep,$L351)))</f>
        <v/>
      </c>
      <c r="H351" s="19">
        <f>IF($L351="","",IF(INDEX(ExpWit,$L351)=0,"",INDEX(ExpWit,$L351)))</f>
        <v/>
      </c>
      <c r="I351" s="20">
        <f>IF($B351="","",IF($I350="",0,$I350)+IF($H351="",0,$H351)-IF($G351="",0,$G351))</f>
        <v/>
      </c>
      <c r="J351" s="18">
        <f>IF($L351="","",IF(INDEX(ExpNote,$L351)="","—",INDEX(ExpNote,$L351)))</f>
        <v/>
      </c>
      <c r="L351">
        <f>IFERROR(MATCH($C$5&amp;"|"&amp;RIGHT("000000"&amp;335,6),ExpRankKey,0),"")</f>
        <v/>
      </c>
    </row>
    <row r="352">
      <c r="A352" s="21" t="n">
        <v>336</v>
      </c>
      <c r="B352" s="22">
        <f>IF($L352="","",INDEX(ExpNorm,$L352))</f>
        <v/>
      </c>
      <c r="C352" s="22">
        <f>IF($L352="","",IF(INDEX(ExpTime,$L352)="","—",LEFT(INDEX(ExpTime,$L352),2)&amp;":"&amp;RIGHT(INDEX(ExpTime,$L352),2)))</f>
        <v/>
      </c>
      <c r="D352" s="22">
        <f>IF($L352="","",IF(INDEX(ExpBank,$L352)="","—",INDEX(ExpBank,$L352)))</f>
        <v/>
      </c>
      <c r="E352" s="23">
        <f>IF($L352="","",IF(INDEX(ExpParty,$L352)="","—",IFERROR(VLOOKUP(INDEX(ExpParty,$L352),AcctTbl,4,0),INDEX(ExpParty,$L352))))</f>
        <v/>
      </c>
      <c r="F352" s="22">
        <f>IF($L352="","",IF(INDEX(ExpType,$L352)="","—",INDEX(ExpType,$L352)))</f>
        <v/>
      </c>
      <c r="G352" s="24">
        <f>IF($L352="","",IF(INDEX(ExpDep,$L352)=0,"",INDEX(ExpDep,$L352)))</f>
        <v/>
      </c>
      <c r="H352" s="24">
        <f>IF($L352="","",IF(INDEX(ExpWit,$L352)=0,"",INDEX(ExpWit,$L352)))</f>
        <v/>
      </c>
      <c r="I352" s="25">
        <f>IF($B352="","",IF($I351="",0,$I351)+IF($H352="",0,$H352)-IF($G352="",0,$G352))</f>
        <v/>
      </c>
      <c r="J352" s="23">
        <f>IF($L352="","",IF(INDEX(ExpNote,$L352)="","—",INDEX(ExpNote,$L352)))</f>
        <v/>
      </c>
      <c r="L352">
        <f>IFERROR(MATCH($C$5&amp;"|"&amp;RIGHT("000000"&amp;336,6),ExpRankKey,0),"")</f>
        <v/>
      </c>
    </row>
    <row r="353">
      <c r="A353" s="16" t="n">
        <v>337</v>
      </c>
      <c r="B353" s="17">
        <f>IF($L353="","",INDEX(ExpNorm,$L353))</f>
        <v/>
      </c>
      <c r="C353" s="17">
        <f>IF($L353="","",IF(INDEX(ExpTime,$L353)="","—",LEFT(INDEX(ExpTime,$L353),2)&amp;":"&amp;RIGHT(INDEX(ExpTime,$L353),2)))</f>
        <v/>
      </c>
      <c r="D353" s="17">
        <f>IF($L353="","",IF(INDEX(ExpBank,$L353)="","—",INDEX(ExpBank,$L353)))</f>
        <v/>
      </c>
      <c r="E353" s="18">
        <f>IF($L353="","",IF(INDEX(ExpParty,$L353)="","—",IFERROR(VLOOKUP(INDEX(ExpParty,$L353),AcctTbl,4,0),INDEX(ExpParty,$L353))))</f>
        <v/>
      </c>
      <c r="F353" s="17">
        <f>IF($L353="","",IF(INDEX(ExpType,$L353)="","—",INDEX(ExpType,$L353)))</f>
        <v/>
      </c>
      <c r="G353" s="19">
        <f>IF($L353="","",IF(INDEX(ExpDep,$L353)=0,"",INDEX(ExpDep,$L353)))</f>
        <v/>
      </c>
      <c r="H353" s="19">
        <f>IF($L353="","",IF(INDEX(ExpWit,$L353)=0,"",INDEX(ExpWit,$L353)))</f>
        <v/>
      </c>
      <c r="I353" s="20">
        <f>IF($B353="","",IF($I352="",0,$I352)+IF($H353="",0,$H353)-IF($G353="",0,$G353))</f>
        <v/>
      </c>
      <c r="J353" s="18">
        <f>IF($L353="","",IF(INDEX(ExpNote,$L353)="","—",INDEX(ExpNote,$L353)))</f>
        <v/>
      </c>
      <c r="L353">
        <f>IFERROR(MATCH($C$5&amp;"|"&amp;RIGHT("000000"&amp;337,6),ExpRankKey,0),"")</f>
        <v/>
      </c>
    </row>
    <row r="354">
      <c r="A354" s="21" t="n">
        <v>338</v>
      </c>
      <c r="B354" s="22">
        <f>IF($L354="","",INDEX(ExpNorm,$L354))</f>
        <v/>
      </c>
      <c r="C354" s="22">
        <f>IF($L354="","",IF(INDEX(ExpTime,$L354)="","—",LEFT(INDEX(ExpTime,$L354),2)&amp;":"&amp;RIGHT(INDEX(ExpTime,$L354),2)))</f>
        <v/>
      </c>
      <c r="D354" s="22">
        <f>IF($L354="","",IF(INDEX(ExpBank,$L354)="","—",INDEX(ExpBank,$L354)))</f>
        <v/>
      </c>
      <c r="E354" s="23">
        <f>IF($L354="","",IF(INDEX(ExpParty,$L354)="","—",IFERROR(VLOOKUP(INDEX(ExpParty,$L354),AcctTbl,4,0),INDEX(ExpParty,$L354))))</f>
        <v/>
      </c>
      <c r="F354" s="22">
        <f>IF($L354="","",IF(INDEX(ExpType,$L354)="","—",INDEX(ExpType,$L354)))</f>
        <v/>
      </c>
      <c r="G354" s="24">
        <f>IF($L354="","",IF(INDEX(ExpDep,$L354)=0,"",INDEX(ExpDep,$L354)))</f>
        <v/>
      </c>
      <c r="H354" s="24">
        <f>IF($L354="","",IF(INDEX(ExpWit,$L354)=0,"",INDEX(ExpWit,$L354)))</f>
        <v/>
      </c>
      <c r="I354" s="25">
        <f>IF($B354="","",IF($I353="",0,$I353)+IF($H354="",0,$H354)-IF($G354="",0,$G354))</f>
        <v/>
      </c>
      <c r="J354" s="23">
        <f>IF($L354="","",IF(INDEX(ExpNote,$L354)="","—",INDEX(ExpNote,$L354)))</f>
        <v/>
      </c>
      <c r="L354">
        <f>IFERROR(MATCH($C$5&amp;"|"&amp;RIGHT("000000"&amp;338,6),ExpRankKey,0),"")</f>
        <v/>
      </c>
    </row>
    <row r="355">
      <c r="A355" s="16" t="n">
        <v>339</v>
      </c>
      <c r="B355" s="17">
        <f>IF($L355="","",INDEX(ExpNorm,$L355))</f>
        <v/>
      </c>
      <c r="C355" s="17">
        <f>IF($L355="","",IF(INDEX(ExpTime,$L355)="","—",LEFT(INDEX(ExpTime,$L355),2)&amp;":"&amp;RIGHT(INDEX(ExpTime,$L355),2)))</f>
        <v/>
      </c>
      <c r="D355" s="17">
        <f>IF($L355="","",IF(INDEX(ExpBank,$L355)="","—",INDEX(ExpBank,$L355)))</f>
        <v/>
      </c>
      <c r="E355" s="18">
        <f>IF($L355="","",IF(INDEX(ExpParty,$L355)="","—",IFERROR(VLOOKUP(INDEX(ExpParty,$L355),AcctTbl,4,0),INDEX(ExpParty,$L355))))</f>
        <v/>
      </c>
      <c r="F355" s="17">
        <f>IF($L355="","",IF(INDEX(ExpType,$L355)="","—",INDEX(ExpType,$L355)))</f>
        <v/>
      </c>
      <c r="G355" s="19">
        <f>IF($L355="","",IF(INDEX(ExpDep,$L355)=0,"",INDEX(ExpDep,$L355)))</f>
        <v/>
      </c>
      <c r="H355" s="19">
        <f>IF($L355="","",IF(INDEX(ExpWit,$L355)=0,"",INDEX(ExpWit,$L355)))</f>
        <v/>
      </c>
      <c r="I355" s="20">
        <f>IF($B355="","",IF($I354="",0,$I354)+IF($H355="",0,$H355)-IF($G355="",0,$G355))</f>
        <v/>
      </c>
      <c r="J355" s="18">
        <f>IF($L355="","",IF(INDEX(ExpNote,$L355)="","—",INDEX(ExpNote,$L355)))</f>
        <v/>
      </c>
      <c r="L355">
        <f>IFERROR(MATCH($C$5&amp;"|"&amp;RIGHT("000000"&amp;339,6),ExpRankKey,0),"")</f>
        <v/>
      </c>
    </row>
    <row r="356">
      <c r="A356" s="21" t="n">
        <v>340</v>
      </c>
      <c r="B356" s="22">
        <f>IF($L356="","",INDEX(ExpNorm,$L356))</f>
        <v/>
      </c>
      <c r="C356" s="22">
        <f>IF($L356="","",IF(INDEX(ExpTime,$L356)="","—",LEFT(INDEX(ExpTime,$L356),2)&amp;":"&amp;RIGHT(INDEX(ExpTime,$L356),2)))</f>
        <v/>
      </c>
      <c r="D356" s="22">
        <f>IF($L356="","",IF(INDEX(ExpBank,$L356)="","—",INDEX(ExpBank,$L356)))</f>
        <v/>
      </c>
      <c r="E356" s="23">
        <f>IF($L356="","",IF(INDEX(ExpParty,$L356)="","—",IFERROR(VLOOKUP(INDEX(ExpParty,$L356),AcctTbl,4,0),INDEX(ExpParty,$L356))))</f>
        <v/>
      </c>
      <c r="F356" s="22">
        <f>IF($L356="","",IF(INDEX(ExpType,$L356)="","—",INDEX(ExpType,$L356)))</f>
        <v/>
      </c>
      <c r="G356" s="24">
        <f>IF($L356="","",IF(INDEX(ExpDep,$L356)=0,"",INDEX(ExpDep,$L356)))</f>
        <v/>
      </c>
      <c r="H356" s="24">
        <f>IF($L356="","",IF(INDEX(ExpWit,$L356)=0,"",INDEX(ExpWit,$L356)))</f>
        <v/>
      </c>
      <c r="I356" s="25">
        <f>IF($B356="","",IF($I355="",0,$I355)+IF($H356="",0,$H356)-IF($G356="",0,$G356))</f>
        <v/>
      </c>
      <c r="J356" s="23">
        <f>IF($L356="","",IF(INDEX(ExpNote,$L356)="","—",INDEX(ExpNote,$L356)))</f>
        <v/>
      </c>
      <c r="L356">
        <f>IFERROR(MATCH($C$5&amp;"|"&amp;RIGHT("000000"&amp;340,6),ExpRankKey,0),"")</f>
        <v/>
      </c>
    </row>
    <row r="357">
      <c r="A357" s="16" t="n">
        <v>341</v>
      </c>
      <c r="B357" s="17">
        <f>IF($L357="","",INDEX(ExpNorm,$L357))</f>
        <v/>
      </c>
      <c r="C357" s="17">
        <f>IF($L357="","",IF(INDEX(ExpTime,$L357)="","—",LEFT(INDEX(ExpTime,$L357),2)&amp;":"&amp;RIGHT(INDEX(ExpTime,$L357),2)))</f>
        <v/>
      </c>
      <c r="D357" s="17">
        <f>IF($L357="","",IF(INDEX(ExpBank,$L357)="","—",INDEX(ExpBank,$L357)))</f>
        <v/>
      </c>
      <c r="E357" s="18">
        <f>IF($L357="","",IF(INDEX(ExpParty,$L357)="","—",IFERROR(VLOOKUP(INDEX(ExpParty,$L357),AcctTbl,4,0),INDEX(ExpParty,$L357))))</f>
        <v/>
      </c>
      <c r="F357" s="17">
        <f>IF($L357="","",IF(INDEX(ExpType,$L357)="","—",INDEX(ExpType,$L357)))</f>
        <v/>
      </c>
      <c r="G357" s="19">
        <f>IF($L357="","",IF(INDEX(ExpDep,$L357)=0,"",INDEX(ExpDep,$L357)))</f>
        <v/>
      </c>
      <c r="H357" s="19">
        <f>IF($L357="","",IF(INDEX(ExpWit,$L357)=0,"",INDEX(ExpWit,$L357)))</f>
        <v/>
      </c>
      <c r="I357" s="20">
        <f>IF($B357="","",IF($I356="",0,$I356)+IF($H357="",0,$H357)-IF($G357="",0,$G357))</f>
        <v/>
      </c>
      <c r="J357" s="18">
        <f>IF($L357="","",IF(INDEX(ExpNote,$L357)="","—",INDEX(ExpNote,$L357)))</f>
        <v/>
      </c>
      <c r="L357">
        <f>IFERROR(MATCH($C$5&amp;"|"&amp;RIGHT("000000"&amp;341,6),ExpRankKey,0),"")</f>
        <v/>
      </c>
    </row>
    <row r="358">
      <c r="A358" s="21" t="n">
        <v>342</v>
      </c>
      <c r="B358" s="22">
        <f>IF($L358="","",INDEX(ExpNorm,$L358))</f>
        <v/>
      </c>
      <c r="C358" s="22">
        <f>IF($L358="","",IF(INDEX(ExpTime,$L358)="","—",LEFT(INDEX(ExpTime,$L358),2)&amp;":"&amp;RIGHT(INDEX(ExpTime,$L358),2)))</f>
        <v/>
      </c>
      <c r="D358" s="22">
        <f>IF($L358="","",IF(INDEX(ExpBank,$L358)="","—",INDEX(ExpBank,$L358)))</f>
        <v/>
      </c>
      <c r="E358" s="23">
        <f>IF($L358="","",IF(INDEX(ExpParty,$L358)="","—",IFERROR(VLOOKUP(INDEX(ExpParty,$L358),AcctTbl,4,0),INDEX(ExpParty,$L358))))</f>
        <v/>
      </c>
      <c r="F358" s="22">
        <f>IF($L358="","",IF(INDEX(ExpType,$L358)="","—",INDEX(ExpType,$L358)))</f>
        <v/>
      </c>
      <c r="G358" s="24">
        <f>IF($L358="","",IF(INDEX(ExpDep,$L358)=0,"",INDEX(ExpDep,$L358)))</f>
        <v/>
      </c>
      <c r="H358" s="24">
        <f>IF($L358="","",IF(INDEX(ExpWit,$L358)=0,"",INDEX(ExpWit,$L358)))</f>
        <v/>
      </c>
      <c r="I358" s="25">
        <f>IF($B358="","",IF($I357="",0,$I357)+IF($H358="",0,$H358)-IF($G358="",0,$G358))</f>
        <v/>
      </c>
      <c r="J358" s="23">
        <f>IF($L358="","",IF(INDEX(ExpNote,$L358)="","—",INDEX(ExpNote,$L358)))</f>
        <v/>
      </c>
      <c r="L358">
        <f>IFERROR(MATCH($C$5&amp;"|"&amp;RIGHT("000000"&amp;342,6),ExpRankKey,0),"")</f>
        <v/>
      </c>
    </row>
    <row r="359">
      <c r="A359" s="16" t="n">
        <v>343</v>
      </c>
      <c r="B359" s="17">
        <f>IF($L359="","",INDEX(ExpNorm,$L359))</f>
        <v/>
      </c>
      <c r="C359" s="17">
        <f>IF($L359="","",IF(INDEX(ExpTime,$L359)="","—",LEFT(INDEX(ExpTime,$L359),2)&amp;":"&amp;RIGHT(INDEX(ExpTime,$L359),2)))</f>
        <v/>
      </c>
      <c r="D359" s="17">
        <f>IF($L359="","",IF(INDEX(ExpBank,$L359)="","—",INDEX(ExpBank,$L359)))</f>
        <v/>
      </c>
      <c r="E359" s="18">
        <f>IF($L359="","",IF(INDEX(ExpParty,$L359)="","—",IFERROR(VLOOKUP(INDEX(ExpParty,$L359),AcctTbl,4,0),INDEX(ExpParty,$L359))))</f>
        <v/>
      </c>
      <c r="F359" s="17">
        <f>IF($L359="","",IF(INDEX(ExpType,$L359)="","—",INDEX(ExpType,$L359)))</f>
        <v/>
      </c>
      <c r="G359" s="19">
        <f>IF($L359="","",IF(INDEX(ExpDep,$L359)=0,"",INDEX(ExpDep,$L359)))</f>
        <v/>
      </c>
      <c r="H359" s="19">
        <f>IF($L359="","",IF(INDEX(ExpWit,$L359)=0,"",INDEX(ExpWit,$L359)))</f>
        <v/>
      </c>
      <c r="I359" s="20">
        <f>IF($B359="","",IF($I358="",0,$I358)+IF($H359="",0,$H359)-IF($G359="",0,$G359))</f>
        <v/>
      </c>
      <c r="J359" s="18">
        <f>IF($L359="","",IF(INDEX(ExpNote,$L359)="","—",INDEX(ExpNote,$L359)))</f>
        <v/>
      </c>
      <c r="L359">
        <f>IFERROR(MATCH($C$5&amp;"|"&amp;RIGHT("000000"&amp;343,6),ExpRankKey,0),"")</f>
        <v/>
      </c>
    </row>
    <row r="360">
      <c r="A360" s="21" t="n">
        <v>344</v>
      </c>
      <c r="B360" s="22">
        <f>IF($L360="","",INDEX(ExpNorm,$L360))</f>
        <v/>
      </c>
      <c r="C360" s="22">
        <f>IF($L360="","",IF(INDEX(ExpTime,$L360)="","—",LEFT(INDEX(ExpTime,$L360),2)&amp;":"&amp;RIGHT(INDEX(ExpTime,$L360),2)))</f>
        <v/>
      </c>
      <c r="D360" s="22">
        <f>IF($L360="","",IF(INDEX(ExpBank,$L360)="","—",INDEX(ExpBank,$L360)))</f>
        <v/>
      </c>
      <c r="E360" s="23">
        <f>IF($L360="","",IF(INDEX(ExpParty,$L360)="","—",IFERROR(VLOOKUP(INDEX(ExpParty,$L360),AcctTbl,4,0),INDEX(ExpParty,$L360))))</f>
        <v/>
      </c>
      <c r="F360" s="22">
        <f>IF($L360="","",IF(INDEX(ExpType,$L360)="","—",INDEX(ExpType,$L360)))</f>
        <v/>
      </c>
      <c r="G360" s="24">
        <f>IF($L360="","",IF(INDEX(ExpDep,$L360)=0,"",INDEX(ExpDep,$L360)))</f>
        <v/>
      </c>
      <c r="H360" s="24">
        <f>IF($L360="","",IF(INDEX(ExpWit,$L360)=0,"",INDEX(ExpWit,$L360)))</f>
        <v/>
      </c>
      <c r="I360" s="25">
        <f>IF($B360="","",IF($I359="",0,$I359)+IF($H360="",0,$H360)-IF($G360="",0,$G360))</f>
        <v/>
      </c>
      <c r="J360" s="23">
        <f>IF($L360="","",IF(INDEX(ExpNote,$L360)="","—",INDEX(ExpNote,$L360)))</f>
        <v/>
      </c>
      <c r="L360">
        <f>IFERROR(MATCH($C$5&amp;"|"&amp;RIGHT("000000"&amp;344,6),ExpRankKey,0),"")</f>
        <v/>
      </c>
    </row>
    <row r="361">
      <c r="A361" s="16" t="n">
        <v>345</v>
      </c>
      <c r="B361" s="17">
        <f>IF($L361="","",INDEX(ExpNorm,$L361))</f>
        <v/>
      </c>
      <c r="C361" s="17">
        <f>IF($L361="","",IF(INDEX(ExpTime,$L361)="","—",LEFT(INDEX(ExpTime,$L361),2)&amp;":"&amp;RIGHT(INDEX(ExpTime,$L361),2)))</f>
        <v/>
      </c>
      <c r="D361" s="17">
        <f>IF($L361="","",IF(INDEX(ExpBank,$L361)="","—",INDEX(ExpBank,$L361)))</f>
        <v/>
      </c>
      <c r="E361" s="18">
        <f>IF($L361="","",IF(INDEX(ExpParty,$L361)="","—",IFERROR(VLOOKUP(INDEX(ExpParty,$L361),AcctTbl,4,0),INDEX(ExpParty,$L361))))</f>
        <v/>
      </c>
      <c r="F361" s="17">
        <f>IF($L361="","",IF(INDEX(ExpType,$L361)="","—",INDEX(ExpType,$L361)))</f>
        <v/>
      </c>
      <c r="G361" s="19">
        <f>IF($L361="","",IF(INDEX(ExpDep,$L361)=0,"",INDEX(ExpDep,$L361)))</f>
        <v/>
      </c>
      <c r="H361" s="19">
        <f>IF($L361="","",IF(INDEX(ExpWit,$L361)=0,"",INDEX(ExpWit,$L361)))</f>
        <v/>
      </c>
      <c r="I361" s="20">
        <f>IF($B361="","",IF($I360="",0,$I360)+IF($H361="",0,$H361)-IF($G361="",0,$G361))</f>
        <v/>
      </c>
      <c r="J361" s="18">
        <f>IF($L361="","",IF(INDEX(ExpNote,$L361)="","—",INDEX(ExpNote,$L361)))</f>
        <v/>
      </c>
      <c r="L361">
        <f>IFERROR(MATCH($C$5&amp;"|"&amp;RIGHT("000000"&amp;345,6),ExpRankKey,0),"")</f>
        <v/>
      </c>
    </row>
    <row r="362">
      <c r="A362" s="21" t="n">
        <v>346</v>
      </c>
      <c r="B362" s="22">
        <f>IF($L362="","",INDEX(ExpNorm,$L362))</f>
        <v/>
      </c>
      <c r="C362" s="22">
        <f>IF($L362="","",IF(INDEX(ExpTime,$L362)="","—",LEFT(INDEX(ExpTime,$L362),2)&amp;":"&amp;RIGHT(INDEX(ExpTime,$L362),2)))</f>
        <v/>
      </c>
      <c r="D362" s="22">
        <f>IF($L362="","",IF(INDEX(ExpBank,$L362)="","—",INDEX(ExpBank,$L362)))</f>
        <v/>
      </c>
      <c r="E362" s="23">
        <f>IF($L362="","",IF(INDEX(ExpParty,$L362)="","—",IFERROR(VLOOKUP(INDEX(ExpParty,$L362),AcctTbl,4,0),INDEX(ExpParty,$L362))))</f>
        <v/>
      </c>
      <c r="F362" s="22">
        <f>IF($L362="","",IF(INDEX(ExpType,$L362)="","—",INDEX(ExpType,$L362)))</f>
        <v/>
      </c>
      <c r="G362" s="24">
        <f>IF($L362="","",IF(INDEX(ExpDep,$L362)=0,"",INDEX(ExpDep,$L362)))</f>
        <v/>
      </c>
      <c r="H362" s="24">
        <f>IF($L362="","",IF(INDEX(ExpWit,$L362)=0,"",INDEX(ExpWit,$L362)))</f>
        <v/>
      </c>
      <c r="I362" s="25">
        <f>IF($B362="","",IF($I361="",0,$I361)+IF($H362="",0,$H362)-IF($G362="",0,$G362))</f>
        <v/>
      </c>
      <c r="J362" s="23">
        <f>IF($L362="","",IF(INDEX(ExpNote,$L362)="","—",INDEX(ExpNote,$L362)))</f>
        <v/>
      </c>
      <c r="L362">
        <f>IFERROR(MATCH($C$5&amp;"|"&amp;RIGHT("000000"&amp;346,6),ExpRankKey,0),"")</f>
        <v/>
      </c>
    </row>
    <row r="363">
      <c r="A363" s="16" t="n">
        <v>347</v>
      </c>
      <c r="B363" s="17">
        <f>IF($L363="","",INDEX(ExpNorm,$L363))</f>
        <v/>
      </c>
      <c r="C363" s="17">
        <f>IF($L363="","",IF(INDEX(ExpTime,$L363)="","—",LEFT(INDEX(ExpTime,$L363),2)&amp;":"&amp;RIGHT(INDEX(ExpTime,$L363),2)))</f>
        <v/>
      </c>
      <c r="D363" s="17">
        <f>IF($L363="","",IF(INDEX(ExpBank,$L363)="","—",INDEX(ExpBank,$L363)))</f>
        <v/>
      </c>
      <c r="E363" s="18">
        <f>IF($L363="","",IF(INDEX(ExpParty,$L363)="","—",IFERROR(VLOOKUP(INDEX(ExpParty,$L363),AcctTbl,4,0),INDEX(ExpParty,$L363))))</f>
        <v/>
      </c>
      <c r="F363" s="17">
        <f>IF($L363="","",IF(INDEX(ExpType,$L363)="","—",INDEX(ExpType,$L363)))</f>
        <v/>
      </c>
      <c r="G363" s="19">
        <f>IF($L363="","",IF(INDEX(ExpDep,$L363)=0,"",INDEX(ExpDep,$L363)))</f>
        <v/>
      </c>
      <c r="H363" s="19">
        <f>IF($L363="","",IF(INDEX(ExpWit,$L363)=0,"",INDEX(ExpWit,$L363)))</f>
        <v/>
      </c>
      <c r="I363" s="20">
        <f>IF($B363="","",IF($I362="",0,$I362)+IF($H363="",0,$H363)-IF($G363="",0,$G363))</f>
        <v/>
      </c>
      <c r="J363" s="18">
        <f>IF($L363="","",IF(INDEX(ExpNote,$L363)="","—",INDEX(ExpNote,$L363)))</f>
        <v/>
      </c>
      <c r="L363">
        <f>IFERROR(MATCH($C$5&amp;"|"&amp;RIGHT("000000"&amp;347,6),ExpRankKey,0),"")</f>
        <v/>
      </c>
    </row>
    <row r="364">
      <c r="A364" s="21" t="n">
        <v>348</v>
      </c>
      <c r="B364" s="22">
        <f>IF($L364="","",INDEX(ExpNorm,$L364))</f>
        <v/>
      </c>
      <c r="C364" s="22">
        <f>IF($L364="","",IF(INDEX(ExpTime,$L364)="","—",LEFT(INDEX(ExpTime,$L364),2)&amp;":"&amp;RIGHT(INDEX(ExpTime,$L364),2)))</f>
        <v/>
      </c>
      <c r="D364" s="22">
        <f>IF($L364="","",IF(INDEX(ExpBank,$L364)="","—",INDEX(ExpBank,$L364)))</f>
        <v/>
      </c>
      <c r="E364" s="23">
        <f>IF($L364="","",IF(INDEX(ExpParty,$L364)="","—",IFERROR(VLOOKUP(INDEX(ExpParty,$L364),AcctTbl,4,0),INDEX(ExpParty,$L364))))</f>
        <v/>
      </c>
      <c r="F364" s="22">
        <f>IF($L364="","",IF(INDEX(ExpType,$L364)="","—",INDEX(ExpType,$L364)))</f>
        <v/>
      </c>
      <c r="G364" s="24">
        <f>IF($L364="","",IF(INDEX(ExpDep,$L364)=0,"",INDEX(ExpDep,$L364)))</f>
        <v/>
      </c>
      <c r="H364" s="24">
        <f>IF($L364="","",IF(INDEX(ExpWit,$L364)=0,"",INDEX(ExpWit,$L364)))</f>
        <v/>
      </c>
      <c r="I364" s="25">
        <f>IF($B364="","",IF($I363="",0,$I363)+IF($H364="",0,$H364)-IF($G364="",0,$G364))</f>
        <v/>
      </c>
      <c r="J364" s="23">
        <f>IF($L364="","",IF(INDEX(ExpNote,$L364)="","—",INDEX(ExpNote,$L364)))</f>
        <v/>
      </c>
      <c r="L364">
        <f>IFERROR(MATCH($C$5&amp;"|"&amp;RIGHT("000000"&amp;348,6),ExpRankKey,0),"")</f>
        <v/>
      </c>
    </row>
    <row r="365">
      <c r="A365" s="16" t="n">
        <v>349</v>
      </c>
      <c r="B365" s="17">
        <f>IF($L365="","",INDEX(ExpNorm,$L365))</f>
        <v/>
      </c>
      <c r="C365" s="17">
        <f>IF($L365="","",IF(INDEX(ExpTime,$L365)="","—",LEFT(INDEX(ExpTime,$L365),2)&amp;":"&amp;RIGHT(INDEX(ExpTime,$L365),2)))</f>
        <v/>
      </c>
      <c r="D365" s="17">
        <f>IF($L365="","",IF(INDEX(ExpBank,$L365)="","—",INDEX(ExpBank,$L365)))</f>
        <v/>
      </c>
      <c r="E365" s="18">
        <f>IF($L365="","",IF(INDEX(ExpParty,$L365)="","—",IFERROR(VLOOKUP(INDEX(ExpParty,$L365),AcctTbl,4,0),INDEX(ExpParty,$L365))))</f>
        <v/>
      </c>
      <c r="F365" s="17">
        <f>IF($L365="","",IF(INDEX(ExpType,$L365)="","—",INDEX(ExpType,$L365)))</f>
        <v/>
      </c>
      <c r="G365" s="19">
        <f>IF($L365="","",IF(INDEX(ExpDep,$L365)=0,"",INDEX(ExpDep,$L365)))</f>
        <v/>
      </c>
      <c r="H365" s="19">
        <f>IF($L365="","",IF(INDEX(ExpWit,$L365)=0,"",INDEX(ExpWit,$L365)))</f>
        <v/>
      </c>
      <c r="I365" s="20">
        <f>IF($B365="","",IF($I364="",0,$I364)+IF($H365="",0,$H365)-IF($G365="",0,$G365))</f>
        <v/>
      </c>
      <c r="J365" s="18">
        <f>IF($L365="","",IF(INDEX(ExpNote,$L365)="","—",INDEX(ExpNote,$L365)))</f>
        <v/>
      </c>
      <c r="L365">
        <f>IFERROR(MATCH($C$5&amp;"|"&amp;RIGHT("000000"&amp;349,6),ExpRankKey,0),"")</f>
        <v/>
      </c>
    </row>
    <row r="366">
      <c r="A366" s="21" t="n">
        <v>350</v>
      </c>
      <c r="B366" s="22">
        <f>IF($L366="","",INDEX(ExpNorm,$L366))</f>
        <v/>
      </c>
      <c r="C366" s="22">
        <f>IF($L366="","",IF(INDEX(ExpTime,$L366)="","—",LEFT(INDEX(ExpTime,$L366),2)&amp;":"&amp;RIGHT(INDEX(ExpTime,$L366),2)))</f>
        <v/>
      </c>
      <c r="D366" s="22">
        <f>IF($L366="","",IF(INDEX(ExpBank,$L366)="","—",INDEX(ExpBank,$L366)))</f>
        <v/>
      </c>
      <c r="E366" s="23">
        <f>IF($L366="","",IF(INDEX(ExpParty,$L366)="","—",IFERROR(VLOOKUP(INDEX(ExpParty,$L366),AcctTbl,4,0),INDEX(ExpParty,$L366))))</f>
        <v/>
      </c>
      <c r="F366" s="22">
        <f>IF($L366="","",IF(INDEX(ExpType,$L366)="","—",INDEX(ExpType,$L366)))</f>
        <v/>
      </c>
      <c r="G366" s="24">
        <f>IF($L366="","",IF(INDEX(ExpDep,$L366)=0,"",INDEX(ExpDep,$L366)))</f>
        <v/>
      </c>
      <c r="H366" s="24">
        <f>IF($L366="","",IF(INDEX(ExpWit,$L366)=0,"",INDEX(ExpWit,$L366)))</f>
        <v/>
      </c>
      <c r="I366" s="25">
        <f>IF($B366="","",IF($I365="",0,$I365)+IF($H366="",0,$H366)-IF($G366="",0,$G366))</f>
        <v/>
      </c>
      <c r="J366" s="23">
        <f>IF($L366="","",IF(INDEX(ExpNote,$L366)="","—",INDEX(ExpNote,$L366)))</f>
        <v/>
      </c>
      <c r="L366">
        <f>IFERROR(MATCH($C$5&amp;"|"&amp;RIGHT("000000"&amp;350,6),ExpRankKey,0),"")</f>
        <v/>
      </c>
    </row>
    <row r="367">
      <c r="A367" s="16" t="n">
        <v>351</v>
      </c>
      <c r="B367" s="17">
        <f>IF($L367="","",INDEX(ExpNorm,$L367))</f>
        <v/>
      </c>
      <c r="C367" s="17">
        <f>IF($L367="","",IF(INDEX(ExpTime,$L367)="","—",LEFT(INDEX(ExpTime,$L367),2)&amp;":"&amp;RIGHT(INDEX(ExpTime,$L367),2)))</f>
        <v/>
      </c>
      <c r="D367" s="17">
        <f>IF($L367="","",IF(INDEX(ExpBank,$L367)="","—",INDEX(ExpBank,$L367)))</f>
        <v/>
      </c>
      <c r="E367" s="18">
        <f>IF($L367="","",IF(INDEX(ExpParty,$L367)="","—",IFERROR(VLOOKUP(INDEX(ExpParty,$L367),AcctTbl,4,0),INDEX(ExpParty,$L367))))</f>
        <v/>
      </c>
      <c r="F367" s="17">
        <f>IF($L367="","",IF(INDEX(ExpType,$L367)="","—",INDEX(ExpType,$L367)))</f>
        <v/>
      </c>
      <c r="G367" s="19">
        <f>IF($L367="","",IF(INDEX(ExpDep,$L367)=0,"",INDEX(ExpDep,$L367)))</f>
        <v/>
      </c>
      <c r="H367" s="19">
        <f>IF($L367="","",IF(INDEX(ExpWit,$L367)=0,"",INDEX(ExpWit,$L367)))</f>
        <v/>
      </c>
      <c r="I367" s="20">
        <f>IF($B367="","",IF($I366="",0,$I366)+IF($H367="",0,$H367)-IF($G367="",0,$G367))</f>
        <v/>
      </c>
      <c r="J367" s="18">
        <f>IF($L367="","",IF(INDEX(ExpNote,$L367)="","—",INDEX(ExpNote,$L367)))</f>
        <v/>
      </c>
      <c r="L367">
        <f>IFERROR(MATCH($C$5&amp;"|"&amp;RIGHT("000000"&amp;351,6),ExpRankKey,0),"")</f>
        <v/>
      </c>
    </row>
    <row r="368">
      <c r="A368" s="21" t="n">
        <v>352</v>
      </c>
      <c r="B368" s="22">
        <f>IF($L368="","",INDEX(ExpNorm,$L368))</f>
        <v/>
      </c>
      <c r="C368" s="22">
        <f>IF($L368="","",IF(INDEX(ExpTime,$L368)="","—",LEFT(INDEX(ExpTime,$L368),2)&amp;":"&amp;RIGHT(INDEX(ExpTime,$L368),2)))</f>
        <v/>
      </c>
      <c r="D368" s="22">
        <f>IF($L368="","",IF(INDEX(ExpBank,$L368)="","—",INDEX(ExpBank,$L368)))</f>
        <v/>
      </c>
      <c r="E368" s="23">
        <f>IF($L368="","",IF(INDEX(ExpParty,$L368)="","—",IFERROR(VLOOKUP(INDEX(ExpParty,$L368),AcctTbl,4,0),INDEX(ExpParty,$L368))))</f>
        <v/>
      </c>
      <c r="F368" s="22">
        <f>IF($L368="","",IF(INDEX(ExpType,$L368)="","—",INDEX(ExpType,$L368)))</f>
        <v/>
      </c>
      <c r="G368" s="24">
        <f>IF($L368="","",IF(INDEX(ExpDep,$L368)=0,"",INDEX(ExpDep,$L368)))</f>
        <v/>
      </c>
      <c r="H368" s="24">
        <f>IF($L368="","",IF(INDEX(ExpWit,$L368)=0,"",INDEX(ExpWit,$L368)))</f>
        <v/>
      </c>
      <c r="I368" s="25">
        <f>IF($B368="","",IF($I367="",0,$I367)+IF($H368="",0,$H368)-IF($G368="",0,$G368))</f>
        <v/>
      </c>
      <c r="J368" s="23">
        <f>IF($L368="","",IF(INDEX(ExpNote,$L368)="","—",INDEX(ExpNote,$L368)))</f>
        <v/>
      </c>
      <c r="L368">
        <f>IFERROR(MATCH($C$5&amp;"|"&amp;RIGHT("000000"&amp;352,6),ExpRankKey,0),"")</f>
        <v/>
      </c>
    </row>
    <row r="369">
      <c r="A369" s="16" t="n">
        <v>353</v>
      </c>
      <c r="B369" s="17">
        <f>IF($L369="","",INDEX(ExpNorm,$L369))</f>
        <v/>
      </c>
      <c r="C369" s="17">
        <f>IF($L369="","",IF(INDEX(ExpTime,$L369)="","—",LEFT(INDEX(ExpTime,$L369),2)&amp;":"&amp;RIGHT(INDEX(ExpTime,$L369),2)))</f>
        <v/>
      </c>
      <c r="D369" s="17">
        <f>IF($L369="","",IF(INDEX(ExpBank,$L369)="","—",INDEX(ExpBank,$L369)))</f>
        <v/>
      </c>
      <c r="E369" s="18">
        <f>IF($L369="","",IF(INDEX(ExpParty,$L369)="","—",IFERROR(VLOOKUP(INDEX(ExpParty,$L369),AcctTbl,4,0),INDEX(ExpParty,$L369))))</f>
        <v/>
      </c>
      <c r="F369" s="17">
        <f>IF($L369="","",IF(INDEX(ExpType,$L369)="","—",INDEX(ExpType,$L369)))</f>
        <v/>
      </c>
      <c r="G369" s="19">
        <f>IF($L369="","",IF(INDEX(ExpDep,$L369)=0,"",INDEX(ExpDep,$L369)))</f>
        <v/>
      </c>
      <c r="H369" s="19">
        <f>IF($L369="","",IF(INDEX(ExpWit,$L369)=0,"",INDEX(ExpWit,$L369)))</f>
        <v/>
      </c>
      <c r="I369" s="20">
        <f>IF($B369="","",IF($I368="",0,$I368)+IF($H369="",0,$H369)-IF($G369="",0,$G369))</f>
        <v/>
      </c>
      <c r="J369" s="18">
        <f>IF($L369="","",IF(INDEX(ExpNote,$L369)="","—",INDEX(ExpNote,$L369)))</f>
        <v/>
      </c>
      <c r="L369">
        <f>IFERROR(MATCH($C$5&amp;"|"&amp;RIGHT("000000"&amp;353,6),ExpRankKey,0),"")</f>
        <v/>
      </c>
    </row>
    <row r="370">
      <c r="A370" s="21" t="n">
        <v>354</v>
      </c>
      <c r="B370" s="22">
        <f>IF($L370="","",INDEX(ExpNorm,$L370))</f>
        <v/>
      </c>
      <c r="C370" s="22">
        <f>IF($L370="","",IF(INDEX(ExpTime,$L370)="","—",LEFT(INDEX(ExpTime,$L370),2)&amp;":"&amp;RIGHT(INDEX(ExpTime,$L370),2)))</f>
        <v/>
      </c>
      <c r="D370" s="22">
        <f>IF($L370="","",IF(INDEX(ExpBank,$L370)="","—",INDEX(ExpBank,$L370)))</f>
        <v/>
      </c>
      <c r="E370" s="23">
        <f>IF($L370="","",IF(INDEX(ExpParty,$L370)="","—",IFERROR(VLOOKUP(INDEX(ExpParty,$L370),AcctTbl,4,0),INDEX(ExpParty,$L370))))</f>
        <v/>
      </c>
      <c r="F370" s="22">
        <f>IF($L370="","",IF(INDEX(ExpType,$L370)="","—",INDEX(ExpType,$L370)))</f>
        <v/>
      </c>
      <c r="G370" s="24">
        <f>IF($L370="","",IF(INDEX(ExpDep,$L370)=0,"",INDEX(ExpDep,$L370)))</f>
        <v/>
      </c>
      <c r="H370" s="24">
        <f>IF($L370="","",IF(INDEX(ExpWit,$L370)=0,"",INDEX(ExpWit,$L370)))</f>
        <v/>
      </c>
      <c r="I370" s="25">
        <f>IF($B370="","",IF($I369="",0,$I369)+IF($H370="",0,$H370)-IF($G370="",0,$G370))</f>
        <v/>
      </c>
      <c r="J370" s="23">
        <f>IF($L370="","",IF(INDEX(ExpNote,$L370)="","—",INDEX(ExpNote,$L370)))</f>
        <v/>
      </c>
      <c r="L370">
        <f>IFERROR(MATCH($C$5&amp;"|"&amp;RIGHT("000000"&amp;354,6),ExpRankKey,0),"")</f>
        <v/>
      </c>
    </row>
    <row r="371">
      <c r="A371" s="16" t="n">
        <v>355</v>
      </c>
      <c r="B371" s="17">
        <f>IF($L371="","",INDEX(ExpNorm,$L371))</f>
        <v/>
      </c>
      <c r="C371" s="17">
        <f>IF($L371="","",IF(INDEX(ExpTime,$L371)="","—",LEFT(INDEX(ExpTime,$L371),2)&amp;":"&amp;RIGHT(INDEX(ExpTime,$L371),2)))</f>
        <v/>
      </c>
      <c r="D371" s="17">
        <f>IF($L371="","",IF(INDEX(ExpBank,$L371)="","—",INDEX(ExpBank,$L371)))</f>
        <v/>
      </c>
      <c r="E371" s="18">
        <f>IF($L371="","",IF(INDEX(ExpParty,$L371)="","—",IFERROR(VLOOKUP(INDEX(ExpParty,$L371),AcctTbl,4,0),INDEX(ExpParty,$L371))))</f>
        <v/>
      </c>
      <c r="F371" s="17">
        <f>IF($L371="","",IF(INDEX(ExpType,$L371)="","—",INDEX(ExpType,$L371)))</f>
        <v/>
      </c>
      <c r="G371" s="19">
        <f>IF($L371="","",IF(INDEX(ExpDep,$L371)=0,"",INDEX(ExpDep,$L371)))</f>
        <v/>
      </c>
      <c r="H371" s="19">
        <f>IF($L371="","",IF(INDEX(ExpWit,$L371)=0,"",INDEX(ExpWit,$L371)))</f>
        <v/>
      </c>
      <c r="I371" s="20">
        <f>IF($B371="","",IF($I370="",0,$I370)+IF($H371="",0,$H371)-IF($G371="",0,$G371))</f>
        <v/>
      </c>
      <c r="J371" s="18">
        <f>IF($L371="","",IF(INDEX(ExpNote,$L371)="","—",INDEX(ExpNote,$L371)))</f>
        <v/>
      </c>
      <c r="L371">
        <f>IFERROR(MATCH($C$5&amp;"|"&amp;RIGHT("000000"&amp;355,6),ExpRankKey,0),"")</f>
        <v/>
      </c>
    </row>
    <row r="372">
      <c r="A372" s="21" t="n">
        <v>356</v>
      </c>
      <c r="B372" s="22">
        <f>IF($L372="","",INDEX(ExpNorm,$L372))</f>
        <v/>
      </c>
      <c r="C372" s="22">
        <f>IF($L372="","",IF(INDEX(ExpTime,$L372)="","—",LEFT(INDEX(ExpTime,$L372),2)&amp;":"&amp;RIGHT(INDEX(ExpTime,$L372),2)))</f>
        <v/>
      </c>
      <c r="D372" s="22">
        <f>IF($L372="","",IF(INDEX(ExpBank,$L372)="","—",INDEX(ExpBank,$L372)))</f>
        <v/>
      </c>
      <c r="E372" s="23">
        <f>IF($L372="","",IF(INDEX(ExpParty,$L372)="","—",IFERROR(VLOOKUP(INDEX(ExpParty,$L372),AcctTbl,4,0),INDEX(ExpParty,$L372))))</f>
        <v/>
      </c>
      <c r="F372" s="22">
        <f>IF($L372="","",IF(INDEX(ExpType,$L372)="","—",INDEX(ExpType,$L372)))</f>
        <v/>
      </c>
      <c r="G372" s="24">
        <f>IF($L372="","",IF(INDEX(ExpDep,$L372)=0,"",INDEX(ExpDep,$L372)))</f>
        <v/>
      </c>
      <c r="H372" s="24">
        <f>IF($L372="","",IF(INDEX(ExpWit,$L372)=0,"",INDEX(ExpWit,$L372)))</f>
        <v/>
      </c>
      <c r="I372" s="25">
        <f>IF($B372="","",IF($I371="",0,$I371)+IF($H372="",0,$H372)-IF($G372="",0,$G372))</f>
        <v/>
      </c>
      <c r="J372" s="23">
        <f>IF($L372="","",IF(INDEX(ExpNote,$L372)="","—",INDEX(ExpNote,$L372)))</f>
        <v/>
      </c>
      <c r="L372">
        <f>IFERROR(MATCH($C$5&amp;"|"&amp;RIGHT("000000"&amp;356,6),ExpRankKey,0),"")</f>
        <v/>
      </c>
    </row>
    <row r="373">
      <c r="A373" s="16" t="n">
        <v>357</v>
      </c>
      <c r="B373" s="17">
        <f>IF($L373="","",INDEX(ExpNorm,$L373))</f>
        <v/>
      </c>
      <c r="C373" s="17">
        <f>IF($L373="","",IF(INDEX(ExpTime,$L373)="","—",LEFT(INDEX(ExpTime,$L373),2)&amp;":"&amp;RIGHT(INDEX(ExpTime,$L373),2)))</f>
        <v/>
      </c>
      <c r="D373" s="17">
        <f>IF($L373="","",IF(INDEX(ExpBank,$L373)="","—",INDEX(ExpBank,$L373)))</f>
        <v/>
      </c>
      <c r="E373" s="18">
        <f>IF($L373="","",IF(INDEX(ExpParty,$L373)="","—",IFERROR(VLOOKUP(INDEX(ExpParty,$L373),AcctTbl,4,0),INDEX(ExpParty,$L373))))</f>
        <v/>
      </c>
      <c r="F373" s="17">
        <f>IF($L373="","",IF(INDEX(ExpType,$L373)="","—",INDEX(ExpType,$L373)))</f>
        <v/>
      </c>
      <c r="G373" s="19">
        <f>IF($L373="","",IF(INDEX(ExpDep,$L373)=0,"",INDEX(ExpDep,$L373)))</f>
        <v/>
      </c>
      <c r="H373" s="19">
        <f>IF($L373="","",IF(INDEX(ExpWit,$L373)=0,"",INDEX(ExpWit,$L373)))</f>
        <v/>
      </c>
      <c r="I373" s="20">
        <f>IF($B373="","",IF($I372="",0,$I372)+IF($H373="",0,$H373)-IF($G373="",0,$G373))</f>
        <v/>
      </c>
      <c r="J373" s="18">
        <f>IF($L373="","",IF(INDEX(ExpNote,$L373)="","—",INDEX(ExpNote,$L373)))</f>
        <v/>
      </c>
      <c r="L373">
        <f>IFERROR(MATCH($C$5&amp;"|"&amp;RIGHT("000000"&amp;357,6),ExpRankKey,0),"")</f>
        <v/>
      </c>
    </row>
    <row r="374">
      <c r="A374" s="21" t="n">
        <v>358</v>
      </c>
      <c r="B374" s="22">
        <f>IF($L374="","",INDEX(ExpNorm,$L374))</f>
        <v/>
      </c>
      <c r="C374" s="22">
        <f>IF($L374="","",IF(INDEX(ExpTime,$L374)="","—",LEFT(INDEX(ExpTime,$L374),2)&amp;":"&amp;RIGHT(INDEX(ExpTime,$L374),2)))</f>
        <v/>
      </c>
      <c r="D374" s="22">
        <f>IF($L374="","",IF(INDEX(ExpBank,$L374)="","—",INDEX(ExpBank,$L374)))</f>
        <v/>
      </c>
      <c r="E374" s="23">
        <f>IF($L374="","",IF(INDEX(ExpParty,$L374)="","—",IFERROR(VLOOKUP(INDEX(ExpParty,$L374),AcctTbl,4,0),INDEX(ExpParty,$L374))))</f>
        <v/>
      </c>
      <c r="F374" s="22">
        <f>IF($L374="","",IF(INDEX(ExpType,$L374)="","—",INDEX(ExpType,$L374)))</f>
        <v/>
      </c>
      <c r="G374" s="24">
        <f>IF($L374="","",IF(INDEX(ExpDep,$L374)=0,"",INDEX(ExpDep,$L374)))</f>
        <v/>
      </c>
      <c r="H374" s="24">
        <f>IF($L374="","",IF(INDEX(ExpWit,$L374)=0,"",INDEX(ExpWit,$L374)))</f>
        <v/>
      </c>
      <c r="I374" s="25">
        <f>IF($B374="","",IF($I373="",0,$I373)+IF($H374="",0,$H374)-IF($G374="",0,$G374))</f>
        <v/>
      </c>
      <c r="J374" s="23">
        <f>IF($L374="","",IF(INDEX(ExpNote,$L374)="","—",INDEX(ExpNote,$L374)))</f>
        <v/>
      </c>
      <c r="L374">
        <f>IFERROR(MATCH($C$5&amp;"|"&amp;RIGHT("000000"&amp;358,6),ExpRankKey,0),"")</f>
        <v/>
      </c>
    </row>
    <row r="375">
      <c r="A375" s="16" t="n">
        <v>359</v>
      </c>
      <c r="B375" s="17">
        <f>IF($L375="","",INDEX(ExpNorm,$L375))</f>
        <v/>
      </c>
      <c r="C375" s="17">
        <f>IF($L375="","",IF(INDEX(ExpTime,$L375)="","—",LEFT(INDEX(ExpTime,$L375),2)&amp;":"&amp;RIGHT(INDEX(ExpTime,$L375),2)))</f>
        <v/>
      </c>
      <c r="D375" s="17">
        <f>IF($L375="","",IF(INDEX(ExpBank,$L375)="","—",INDEX(ExpBank,$L375)))</f>
        <v/>
      </c>
      <c r="E375" s="18">
        <f>IF($L375="","",IF(INDEX(ExpParty,$L375)="","—",IFERROR(VLOOKUP(INDEX(ExpParty,$L375),AcctTbl,4,0),INDEX(ExpParty,$L375))))</f>
        <v/>
      </c>
      <c r="F375" s="17">
        <f>IF($L375="","",IF(INDEX(ExpType,$L375)="","—",INDEX(ExpType,$L375)))</f>
        <v/>
      </c>
      <c r="G375" s="19">
        <f>IF($L375="","",IF(INDEX(ExpDep,$L375)=0,"",INDEX(ExpDep,$L375)))</f>
        <v/>
      </c>
      <c r="H375" s="19">
        <f>IF($L375="","",IF(INDEX(ExpWit,$L375)=0,"",INDEX(ExpWit,$L375)))</f>
        <v/>
      </c>
      <c r="I375" s="20">
        <f>IF($B375="","",IF($I374="",0,$I374)+IF($H375="",0,$H375)-IF($G375="",0,$G375))</f>
        <v/>
      </c>
      <c r="J375" s="18">
        <f>IF($L375="","",IF(INDEX(ExpNote,$L375)="","—",INDEX(ExpNote,$L375)))</f>
        <v/>
      </c>
      <c r="L375">
        <f>IFERROR(MATCH($C$5&amp;"|"&amp;RIGHT("000000"&amp;359,6),ExpRankKey,0),"")</f>
        <v/>
      </c>
    </row>
    <row r="376">
      <c r="A376" s="21" t="n">
        <v>360</v>
      </c>
      <c r="B376" s="22">
        <f>IF($L376="","",INDEX(ExpNorm,$L376))</f>
        <v/>
      </c>
      <c r="C376" s="22">
        <f>IF($L376="","",IF(INDEX(ExpTime,$L376)="","—",LEFT(INDEX(ExpTime,$L376),2)&amp;":"&amp;RIGHT(INDEX(ExpTime,$L376),2)))</f>
        <v/>
      </c>
      <c r="D376" s="22">
        <f>IF($L376="","",IF(INDEX(ExpBank,$L376)="","—",INDEX(ExpBank,$L376)))</f>
        <v/>
      </c>
      <c r="E376" s="23">
        <f>IF($L376="","",IF(INDEX(ExpParty,$L376)="","—",IFERROR(VLOOKUP(INDEX(ExpParty,$L376),AcctTbl,4,0),INDEX(ExpParty,$L376))))</f>
        <v/>
      </c>
      <c r="F376" s="22">
        <f>IF($L376="","",IF(INDEX(ExpType,$L376)="","—",INDEX(ExpType,$L376)))</f>
        <v/>
      </c>
      <c r="G376" s="24">
        <f>IF($L376="","",IF(INDEX(ExpDep,$L376)=0,"",INDEX(ExpDep,$L376)))</f>
        <v/>
      </c>
      <c r="H376" s="24">
        <f>IF($L376="","",IF(INDEX(ExpWit,$L376)=0,"",INDEX(ExpWit,$L376)))</f>
        <v/>
      </c>
      <c r="I376" s="25">
        <f>IF($B376="","",IF($I375="",0,$I375)+IF($H376="",0,$H376)-IF($G376="",0,$G376))</f>
        <v/>
      </c>
      <c r="J376" s="23">
        <f>IF($L376="","",IF(INDEX(ExpNote,$L376)="","—",INDEX(ExpNote,$L376)))</f>
        <v/>
      </c>
      <c r="L376">
        <f>IFERROR(MATCH($C$5&amp;"|"&amp;RIGHT("000000"&amp;360,6),ExpRankKey,0),"")</f>
        <v/>
      </c>
    </row>
    <row r="377">
      <c r="A377" s="16" t="n">
        <v>361</v>
      </c>
      <c r="B377" s="17">
        <f>IF($L377="","",INDEX(ExpNorm,$L377))</f>
        <v/>
      </c>
      <c r="C377" s="17">
        <f>IF($L377="","",IF(INDEX(ExpTime,$L377)="","—",LEFT(INDEX(ExpTime,$L377),2)&amp;":"&amp;RIGHT(INDEX(ExpTime,$L377),2)))</f>
        <v/>
      </c>
      <c r="D377" s="17">
        <f>IF($L377="","",IF(INDEX(ExpBank,$L377)="","—",INDEX(ExpBank,$L377)))</f>
        <v/>
      </c>
      <c r="E377" s="18">
        <f>IF($L377="","",IF(INDEX(ExpParty,$L377)="","—",IFERROR(VLOOKUP(INDEX(ExpParty,$L377),AcctTbl,4,0),INDEX(ExpParty,$L377))))</f>
        <v/>
      </c>
      <c r="F377" s="17">
        <f>IF($L377="","",IF(INDEX(ExpType,$L377)="","—",INDEX(ExpType,$L377)))</f>
        <v/>
      </c>
      <c r="G377" s="19">
        <f>IF($L377="","",IF(INDEX(ExpDep,$L377)=0,"",INDEX(ExpDep,$L377)))</f>
        <v/>
      </c>
      <c r="H377" s="19">
        <f>IF($L377="","",IF(INDEX(ExpWit,$L377)=0,"",INDEX(ExpWit,$L377)))</f>
        <v/>
      </c>
      <c r="I377" s="20">
        <f>IF($B377="","",IF($I376="",0,$I376)+IF($H377="",0,$H377)-IF($G377="",0,$G377))</f>
        <v/>
      </c>
      <c r="J377" s="18">
        <f>IF($L377="","",IF(INDEX(ExpNote,$L377)="","—",INDEX(ExpNote,$L377)))</f>
        <v/>
      </c>
      <c r="L377">
        <f>IFERROR(MATCH($C$5&amp;"|"&amp;RIGHT("000000"&amp;361,6),ExpRankKey,0),"")</f>
        <v/>
      </c>
    </row>
    <row r="378">
      <c r="A378" s="21" t="n">
        <v>362</v>
      </c>
      <c r="B378" s="22">
        <f>IF($L378="","",INDEX(ExpNorm,$L378))</f>
        <v/>
      </c>
      <c r="C378" s="22">
        <f>IF($L378="","",IF(INDEX(ExpTime,$L378)="","—",LEFT(INDEX(ExpTime,$L378),2)&amp;":"&amp;RIGHT(INDEX(ExpTime,$L378),2)))</f>
        <v/>
      </c>
      <c r="D378" s="22">
        <f>IF($L378="","",IF(INDEX(ExpBank,$L378)="","—",INDEX(ExpBank,$L378)))</f>
        <v/>
      </c>
      <c r="E378" s="23">
        <f>IF($L378="","",IF(INDEX(ExpParty,$L378)="","—",IFERROR(VLOOKUP(INDEX(ExpParty,$L378),AcctTbl,4,0),INDEX(ExpParty,$L378))))</f>
        <v/>
      </c>
      <c r="F378" s="22">
        <f>IF($L378="","",IF(INDEX(ExpType,$L378)="","—",INDEX(ExpType,$L378)))</f>
        <v/>
      </c>
      <c r="G378" s="24">
        <f>IF($L378="","",IF(INDEX(ExpDep,$L378)=0,"",INDEX(ExpDep,$L378)))</f>
        <v/>
      </c>
      <c r="H378" s="24">
        <f>IF($L378="","",IF(INDEX(ExpWit,$L378)=0,"",INDEX(ExpWit,$L378)))</f>
        <v/>
      </c>
      <c r="I378" s="25">
        <f>IF($B378="","",IF($I377="",0,$I377)+IF($H378="",0,$H378)-IF($G378="",0,$G378))</f>
        <v/>
      </c>
      <c r="J378" s="23">
        <f>IF($L378="","",IF(INDEX(ExpNote,$L378)="","—",INDEX(ExpNote,$L378)))</f>
        <v/>
      </c>
      <c r="L378">
        <f>IFERROR(MATCH($C$5&amp;"|"&amp;RIGHT("000000"&amp;362,6),ExpRankKey,0),"")</f>
        <v/>
      </c>
    </row>
    <row r="379">
      <c r="A379" s="16" t="n">
        <v>363</v>
      </c>
      <c r="B379" s="17">
        <f>IF($L379="","",INDEX(ExpNorm,$L379))</f>
        <v/>
      </c>
      <c r="C379" s="17">
        <f>IF($L379="","",IF(INDEX(ExpTime,$L379)="","—",LEFT(INDEX(ExpTime,$L379),2)&amp;":"&amp;RIGHT(INDEX(ExpTime,$L379),2)))</f>
        <v/>
      </c>
      <c r="D379" s="17">
        <f>IF($L379="","",IF(INDEX(ExpBank,$L379)="","—",INDEX(ExpBank,$L379)))</f>
        <v/>
      </c>
      <c r="E379" s="18">
        <f>IF($L379="","",IF(INDEX(ExpParty,$L379)="","—",IFERROR(VLOOKUP(INDEX(ExpParty,$L379),AcctTbl,4,0),INDEX(ExpParty,$L379))))</f>
        <v/>
      </c>
      <c r="F379" s="17">
        <f>IF($L379="","",IF(INDEX(ExpType,$L379)="","—",INDEX(ExpType,$L379)))</f>
        <v/>
      </c>
      <c r="G379" s="19">
        <f>IF($L379="","",IF(INDEX(ExpDep,$L379)=0,"",INDEX(ExpDep,$L379)))</f>
        <v/>
      </c>
      <c r="H379" s="19">
        <f>IF($L379="","",IF(INDEX(ExpWit,$L379)=0,"",INDEX(ExpWit,$L379)))</f>
        <v/>
      </c>
      <c r="I379" s="20">
        <f>IF($B379="","",IF($I378="",0,$I378)+IF($H379="",0,$H379)-IF($G379="",0,$G379))</f>
        <v/>
      </c>
      <c r="J379" s="18">
        <f>IF($L379="","",IF(INDEX(ExpNote,$L379)="","—",INDEX(ExpNote,$L379)))</f>
        <v/>
      </c>
      <c r="L379">
        <f>IFERROR(MATCH($C$5&amp;"|"&amp;RIGHT("000000"&amp;363,6),ExpRankKey,0),"")</f>
        <v/>
      </c>
    </row>
    <row r="380">
      <c r="A380" s="21" t="n">
        <v>364</v>
      </c>
      <c r="B380" s="22">
        <f>IF($L380="","",INDEX(ExpNorm,$L380))</f>
        <v/>
      </c>
      <c r="C380" s="22">
        <f>IF($L380="","",IF(INDEX(ExpTime,$L380)="","—",LEFT(INDEX(ExpTime,$L380),2)&amp;":"&amp;RIGHT(INDEX(ExpTime,$L380),2)))</f>
        <v/>
      </c>
      <c r="D380" s="22">
        <f>IF($L380="","",IF(INDEX(ExpBank,$L380)="","—",INDEX(ExpBank,$L380)))</f>
        <v/>
      </c>
      <c r="E380" s="23">
        <f>IF($L380="","",IF(INDEX(ExpParty,$L380)="","—",IFERROR(VLOOKUP(INDEX(ExpParty,$L380),AcctTbl,4,0),INDEX(ExpParty,$L380))))</f>
        <v/>
      </c>
      <c r="F380" s="22">
        <f>IF($L380="","",IF(INDEX(ExpType,$L380)="","—",INDEX(ExpType,$L380)))</f>
        <v/>
      </c>
      <c r="G380" s="24">
        <f>IF($L380="","",IF(INDEX(ExpDep,$L380)=0,"",INDEX(ExpDep,$L380)))</f>
        <v/>
      </c>
      <c r="H380" s="24">
        <f>IF($L380="","",IF(INDEX(ExpWit,$L380)=0,"",INDEX(ExpWit,$L380)))</f>
        <v/>
      </c>
      <c r="I380" s="25">
        <f>IF($B380="","",IF($I379="",0,$I379)+IF($H380="",0,$H380)-IF($G380="",0,$G380))</f>
        <v/>
      </c>
      <c r="J380" s="23">
        <f>IF($L380="","",IF(INDEX(ExpNote,$L380)="","—",INDEX(ExpNote,$L380)))</f>
        <v/>
      </c>
      <c r="L380">
        <f>IFERROR(MATCH($C$5&amp;"|"&amp;RIGHT("000000"&amp;364,6),ExpRankKey,0),"")</f>
        <v/>
      </c>
    </row>
    <row r="381">
      <c r="A381" s="16" t="n">
        <v>365</v>
      </c>
      <c r="B381" s="17">
        <f>IF($L381="","",INDEX(ExpNorm,$L381))</f>
        <v/>
      </c>
      <c r="C381" s="17">
        <f>IF($L381="","",IF(INDEX(ExpTime,$L381)="","—",LEFT(INDEX(ExpTime,$L381),2)&amp;":"&amp;RIGHT(INDEX(ExpTime,$L381),2)))</f>
        <v/>
      </c>
      <c r="D381" s="17">
        <f>IF($L381="","",IF(INDEX(ExpBank,$L381)="","—",INDEX(ExpBank,$L381)))</f>
        <v/>
      </c>
      <c r="E381" s="18">
        <f>IF($L381="","",IF(INDEX(ExpParty,$L381)="","—",IFERROR(VLOOKUP(INDEX(ExpParty,$L381),AcctTbl,4,0),INDEX(ExpParty,$L381))))</f>
        <v/>
      </c>
      <c r="F381" s="17">
        <f>IF($L381="","",IF(INDEX(ExpType,$L381)="","—",INDEX(ExpType,$L381)))</f>
        <v/>
      </c>
      <c r="G381" s="19">
        <f>IF($L381="","",IF(INDEX(ExpDep,$L381)=0,"",INDEX(ExpDep,$L381)))</f>
        <v/>
      </c>
      <c r="H381" s="19">
        <f>IF($L381="","",IF(INDEX(ExpWit,$L381)=0,"",INDEX(ExpWit,$L381)))</f>
        <v/>
      </c>
      <c r="I381" s="20">
        <f>IF($B381="","",IF($I380="",0,$I380)+IF($H381="",0,$H381)-IF($G381="",0,$G381))</f>
        <v/>
      </c>
      <c r="J381" s="18">
        <f>IF($L381="","",IF(INDEX(ExpNote,$L381)="","—",INDEX(ExpNote,$L381)))</f>
        <v/>
      </c>
      <c r="L381">
        <f>IFERROR(MATCH($C$5&amp;"|"&amp;RIGHT("000000"&amp;365,6),ExpRankKey,0),"")</f>
        <v/>
      </c>
    </row>
    <row r="382">
      <c r="A382" s="21" t="n">
        <v>366</v>
      </c>
      <c r="B382" s="22">
        <f>IF($L382="","",INDEX(ExpNorm,$L382))</f>
        <v/>
      </c>
      <c r="C382" s="22">
        <f>IF($L382="","",IF(INDEX(ExpTime,$L382)="","—",LEFT(INDEX(ExpTime,$L382),2)&amp;":"&amp;RIGHT(INDEX(ExpTime,$L382),2)))</f>
        <v/>
      </c>
      <c r="D382" s="22">
        <f>IF($L382="","",IF(INDEX(ExpBank,$L382)="","—",INDEX(ExpBank,$L382)))</f>
        <v/>
      </c>
      <c r="E382" s="23">
        <f>IF($L382="","",IF(INDEX(ExpParty,$L382)="","—",IFERROR(VLOOKUP(INDEX(ExpParty,$L382),AcctTbl,4,0),INDEX(ExpParty,$L382))))</f>
        <v/>
      </c>
      <c r="F382" s="22">
        <f>IF($L382="","",IF(INDEX(ExpType,$L382)="","—",INDEX(ExpType,$L382)))</f>
        <v/>
      </c>
      <c r="G382" s="24">
        <f>IF($L382="","",IF(INDEX(ExpDep,$L382)=0,"",INDEX(ExpDep,$L382)))</f>
        <v/>
      </c>
      <c r="H382" s="24">
        <f>IF($L382="","",IF(INDEX(ExpWit,$L382)=0,"",INDEX(ExpWit,$L382)))</f>
        <v/>
      </c>
      <c r="I382" s="25">
        <f>IF($B382="","",IF($I381="",0,$I381)+IF($H382="",0,$H382)-IF($G382="",0,$G382))</f>
        <v/>
      </c>
      <c r="J382" s="23">
        <f>IF($L382="","",IF(INDEX(ExpNote,$L382)="","—",INDEX(ExpNote,$L382)))</f>
        <v/>
      </c>
      <c r="L382">
        <f>IFERROR(MATCH($C$5&amp;"|"&amp;RIGHT("000000"&amp;366,6),ExpRankKey,0),"")</f>
        <v/>
      </c>
    </row>
    <row r="383">
      <c r="A383" s="16" t="n">
        <v>367</v>
      </c>
      <c r="B383" s="17">
        <f>IF($L383="","",INDEX(ExpNorm,$L383))</f>
        <v/>
      </c>
      <c r="C383" s="17">
        <f>IF($L383="","",IF(INDEX(ExpTime,$L383)="","—",LEFT(INDEX(ExpTime,$L383),2)&amp;":"&amp;RIGHT(INDEX(ExpTime,$L383),2)))</f>
        <v/>
      </c>
      <c r="D383" s="17">
        <f>IF($L383="","",IF(INDEX(ExpBank,$L383)="","—",INDEX(ExpBank,$L383)))</f>
        <v/>
      </c>
      <c r="E383" s="18">
        <f>IF($L383="","",IF(INDEX(ExpParty,$L383)="","—",IFERROR(VLOOKUP(INDEX(ExpParty,$L383),AcctTbl,4,0),INDEX(ExpParty,$L383))))</f>
        <v/>
      </c>
      <c r="F383" s="17">
        <f>IF($L383="","",IF(INDEX(ExpType,$L383)="","—",INDEX(ExpType,$L383)))</f>
        <v/>
      </c>
      <c r="G383" s="19">
        <f>IF($L383="","",IF(INDEX(ExpDep,$L383)=0,"",INDEX(ExpDep,$L383)))</f>
        <v/>
      </c>
      <c r="H383" s="19">
        <f>IF($L383="","",IF(INDEX(ExpWit,$L383)=0,"",INDEX(ExpWit,$L383)))</f>
        <v/>
      </c>
      <c r="I383" s="20">
        <f>IF($B383="","",IF($I382="",0,$I382)+IF($H383="",0,$H383)-IF($G383="",0,$G383))</f>
        <v/>
      </c>
      <c r="J383" s="18">
        <f>IF($L383="","",IF(INDEX(ExpNote,$L383)="","—",INDEX(ExpNote,$L383)))</f>
        <v/>
      </c>
      <c r="L383">
        <f>IFERROR(MATCH($C$5&amp;"|"&amp;RIGHT("000000"&amp;367,6),ExpRankKey,0),"")</f>
        <v/>
      </c>
    </row>
    <row r="384">
      <c r="A384" s="21" t="n">
        <v>368</v>
      </c>
      <c r="B384" s="22">
        <f>IF($L384="","",INDEX(ExpNorm,$L384))</f>
        <v/>
      </c>
      <c r="C384" s="22">
        <f>IF($L384="","",IF(INDEX(ExpTime,$L384)="","—",LEFT(INDEX(ExpTime,$L384),2)&amp;":"&amp;RIGHT(INDEX(ExpTime,$L384),2)))</f>
        <v/>
      </c>
      <c r="D384" s="22">
        <f>IF($L384="","",IF(INDEX(ExpBank,$L384)="","—",INDEX(ExpBank,$L384)))</f>
        <v/>
      </c>
      <c r="E384" s="23">
        <f>IF($L384="","",IF(INDEX(ExpParty,$L384)="","—",IFERROR(VLOOKUP(INDEX(ExpParty,$L384),AcctTbl,4,0),INDEX(ExpParty,$L384))))</f>
        <v/>
      </c>
      <c r="F384" s="22">
        <f>IF($L384="","",IF(INDEX(ExpType,$L384)="","—",INDEX(ExpType,$L384)))</f>
        <v/>
      </c>
      <c r="G384" s="24">
        <f>IF($L384="","",IF(INDEX(ExpDep,$L384)=0,"",INDEX(ExpDep,$L384)))</f>
        <v/>
      </c>
      <c r="H384" s="24">
        <f>IF($L384="","",IF(INDEX(ExpWit,$L384)=0,"",INDEX(ExpWit,$L384)))</f>
        <v/>
      </c>
      <c r="I384" s="25">
        <f>IF($B384="","",IF($I383="",0,$I383)+IF($H384="",0,$H384)-IF($G384="",0,$G384))</f>
        <v/>
      </c>
      <c r="J384" s="23">
        <f>IF($L384="","",IF(INDEX(ExpNote,$L384)="","—",INDEX(ExpNote,$L384)))</f>
        <v/>
      </c>
      <c r="L384">
        <f>IFERROR(MATCH($C$5&amp;"|"&amp;RIGHT("000000"&amp;368,6),ExpRankKey,0),"")</f>
        <v/>
      </c>
    </row>
    <row r="385">
      <c r="A385" s="16" t="n">
        <v>369</v>
      </c>
      <c r="B385" s="17">
        <f>IF($L385="","",INDEX(ExpNorm,$L385))</f>
        <v/>
      </c>
      <c r="C385" s="17">
        <f>IF($L385="","",IF(INDEX(ExpTime,$L385)="","—",LEFT(INDEX(ExpTime,$L385),2)&amp;":"&amp;RIGHT(INDEX(ExpTime,$L385),2)))</f>
        <v/>
      </c>
      <c r="D385" s="17">
        <f>IF($L385="","",IF(INDEX(ExpBank,$L385)="","—",INDEX(ExpBank,$L385)))</f>
        <v/>
      </c>
      <c r="E385" s="18">
        <f>IF($L385="","",IF(INDEX(ExpParty,$L385)="","—",IFERROR(VLOOKUP(INDEX(ExpParty,$L385),AcctTbl,4,0),INDEX(ExpParty,$L385))))</f>
        <v/>
      </c>
      <c r="F385" s="17">
        <f>IF($L385="","",IF(INDEX(ExpType,$L385)="","—",INDEX(ExpType,$L385)))</f>
        <v/>
      </c>
      <c r="G385" s="19">
        <f>IF($L385="","",IF(INDEX(ExpDep,$L385)=0,"",INDEX(ExpDep,$L385)))</f>
        <v/>
      </c>
      <c r="H385" s="19">
        <f>IF($L385="","",IF(INDEX(ExpWit,$L385)=0,"",INDEX(ExpWit,$L385)))</f>
        <v/>
      </c>
      <c r="I385" s="20">
        <f>IF($B385="","",IF($I384="",0,$I384)+IF($H385="",0,$H385)-IF($G385="",0,$G385))</f>
        <v/>
      </c>
      <c r="J385" s="18">
        <f>IF($L385="","",IF(INDEX(ExpNote,$L385)="","—",INDEX(ExpNote,$L385)))</f>
        <v/>
      </c>
      <c r="L385">
        <f>IFERROR(MATCH($C$5&amp;"|"&amp;RIGHT("000000"&amp;369,6),ExpRankKey,0),"")</f>
        <v/>
      </c>
    </row>
    <row r="386">
      <c r="A386" s="21" t="n">
        <v>370</v>
      </c>
      <c r="B386" s="22">
        <f>IF($L386="","",INDEX(ExpNorm,$L386))</f>
        <v/>
      </c>
      <c r="C386" s="22">
        <f>IF($L386="","",IF(INDEX(ExpTime,$L386)="","—",LEFT(INDEX(ExpTime,$L386),2)&amp;":"&amp;RIGHT(INDEX(ExpTime,$L386),2)))</f>
        <v/>
      </c>
      <c r="D386" s="22">
        <f>IF($L386="","",IF(INDEX(ExpBank,$L386)="","—",INDEX(ExpBank,$L386)))</f>
        <v/>
      </c>
      <c r="E386" s="23">
        <f>IF($L386="","",IF(INDEX(ExpParty,$L386)="","—",IFERROR(VLOOKUP(INDEX(ExpParty,$L386),AcctTbl,4,0),INDEX(ExpParty,$L386))))</f>
        <v/>
      </c>
      <c r="F386" s="22">
        <f>IF($L386="","",IF(INDEX(ExpType,$L386)="","—",INDEX(ExpType,$L386)))</f>
        <v/>
      </c>
      <c r="G386" s="24">
        <f>IF($L386="","",IF(INDEX(ExpDep,$L386)=0,"",INDEX(ExpDep,$L386)))</f>
        <v/>
      </c>
      <c r="H386" s="24">
        <f>IF($L386="","",IF(INDEX(ExpWit,$L386)=0,"",INDEX(ExpWit,$L386)))</f>
        <v/>
      </c>
      <c r="I386" s="25">
        <f>IF($B386="","",IF($I385="",0,$I385)+IF($H386="",0,$H386)-IF($G386="",0,$G386))</f>
        <v/>
      </c>
      <c r="J386" s="23">
        <f>IF($L386="","",IF(INDEX(ExpNote,$L386)="","—",INDEX(ExpNote,$L386)))</f>
        <v/>
      </c>
      <c r="L386">
        <f>IFERROR(MATCH($C$5&amp;"|"&amp;RIGHT("000000"&amp;370,6),ExpRankKey,0),"")</f>
        <v/>
      </c>
    </row>
    <row r="387">
      <c r="A387" s="16" t="n">
        <v>371</v>
      </c>
      <c r="B387" s="17">
        <f>IF($L387="","",INDEX(ExpNorm,$L387))</f>
        <v/>
      </c>
      <c r="C387" s="17">
        <f>IF($L387="","",IF(INDEX(ExpTime,$L387)="","—",LEFT(INDEX(ExpTime,$L387),2)&amp;":"&amp;RIGHT(INDEX(ExpTime,$L387),2)))</f>
        <v/>
      </c>
      <c r="D387" s="17">
        <f>IF($L387="","",IF(INDEX(ExpBank,$L387)="","—",INDEX(ExpBank,$L387)))</f>
        <v/>
      </c>
      <c r="E387" s="18">
        <f>IF($L387="","",IF(INDEX(ExpParty,$L387)="","—",IFERROR(VLOOKUP(INDEX(ExpParty,$L387),AcctTbl,4,0),INDEX(ExpParty,$L387))))</f>
        <v/>
      </c>
      <c r="F387" s="17">
        <f>IF($L387="","",IF(INDEX(ExpType,$L387)="","—",INDEX(ExpType,$L387)))</f>
        <v/>
      </c>
      <c r="G387" s="19">
        <f>IF($L387="","",IF(INDEX(ExpDep,$L387)=0,"",INDEX(ExpDep,$L387)))</f>
        <v/>
      </c>
      <c r="H387" s="19">
        <f>IF($L387="","",IF(INDEX(ExpWit,$L387)=0,"",INDEX(ExpWit,$L387)))</f>
        <v/>
      </c>
      <c r="I387" s="20">
        <f>IF($B387="","",IF($I386="",0,$I386)+IF($H387="",0,$H387)-IF($G387="",0,$G387))</f>
        <v/>
      </c>
      <c r="J387" s="18">
        <f>IF($L387="","",IF(INDEX(ExpNote,$L387)="","—",INDEX(ExpNote,$L387)))</f>
        <v/>
      </c>
      <c r="L387">
        <f>IFERROR(MATCH($C$5&amp;"|"&amp;RIGHT("000000"&amp;371,6),ExpRankKey,0),"")</f>
        <v/>
      </c>
    </row>
    <row r="388">
      <c r="A388" s="21" t="n">
        <v>372</v>
      </c>
      <c r="B388" s="22">
        <f>IF($L388="","",INDEX(ExpNorm,$L388))</f>
        <v/>
      </c>
      <c r="C388" s="22">
        <f>IF($L388="","",IF(INDEX(ExpTime,$L388)="","—",LEFT(INDEX(ExpTime,$L388),2)&amp;":"&amp;RIGHT(INDEX(ExpTime,$L388),2)))</f>
        <v/>
      </c>
      <c r="D388" s="22">
        <f>IF($L388="","",IF(INDEX(ExpBank,$L388)="","—",INDEX(ExpBank,$L388)))</f>
        <v/>
      </c>
      <c r="E388" s="23">
        <f>IF($L388="","",IF(INDEX(ExpParty,$L388)="","—",IFERROR(VLOOKUP(INDEX(ExpParty,$L388),AcctTbl,4,0),INDEX(ExpParty,$L388))))</f>
        <v/>
      </c>
      <c r="F388" s="22">
        <f>IF($L388="","",IF(INDEX(ExpType,$L388)="","—",INDEX(ExpType,$L388)))</f>
        <v/>
      </c>
      <c r="G388" s="24">
        <f>IF($L388="","",IF(INDEX(ExpDep,$L388)=0,"",INDEX(ExpDep,$L388)))</f>
        <v/>
      </c>
      <c r="H388" s="24">
        <f>IF($L388="","",IF(INDEX(ExpWit,$L388)=0,"",INDEX(ExpWit,$L388)))</f>
        <v/>
      </c>
      <c r="I388" s="25">
        <f>IF($B388="","",IF($I387="",0,$I387)+IF($H388="",0,$H388)-IF($G388="",0,$G388))</f>
        <v/>
      </c>
      <c r="J388" s="23">
        <f>IF($L388="","",IF(INDEX(ExpNote,$L388)="","—",INDEX(ExpNote,$L388)))</f>
        <v/>
      </c>
      <c r="L388">
        <f>IFERROR(MATCH($C$5&amp;"|"&amp;RIGHT("000000"&amp;372,6),ExpRankKey,0),"")</f>
        <v/>
      </c>
    </row>
    <row r="389">
      <c r="A389" s="16" t="n">
        <v>373</v>
      </c>
      <c r="B389" s="17">
        <f>IF($L389="","",INDEX(ExpNorm,$L389))</f>
        <v/>
      </c>
      <c r="C389" s="17">
        <f>IF($L389="","",IF(INDEX(ExpTime,$L389)="","—",LEFT(INDEX(ExpTime,$L389),2)&amp;":"&amp;RIGHT(INDEX(ExpTime,$L389),2)))</f>
        <v/>
      </c>
      <c r="D389" s="17">
        <f>IF($L389="","",IF(INDEX(ExpBank,$L389)="","—",INDEX(ExpBank,$L389)))</f>
        <v/>
      </c>
      <c r="E389" s="18">
        <f>IF($L389="","",IF(INDEX(ExpParty,$L389)="","—",IFERROR(VLOOKUP(INDEX(ExpParty,$L389),AcctTbl,4,0),INDEX(ExpParty,$L389))))</f>
        <v/>
      </c>
      <c r="F389" s="17">
        <f>IF($L389="","",IF(INDEX(ExpType,$L389)="","—",INDEX(ExpType,$L389)))</f>
        <v/>
      </c>
      <c r="G389" s="19">
        <f>IF($L389="","",IF(INDEX(ExpDep,$L389)=0,"",INDEX(ExpDep,$L389)))</f>
        <v/>
      </c>
      <c r="H389" s="19">
        <f>IF($L389="","",IF(INDEX(ExpWit,$L389)=0,"",INDEX(ExpWit,$L389)))</f>
        <v/>
      </c>
      <c r="I389" s="20">
        <f>IF($B389="","",IF($I388="",0,$I388)+IF($H389="",0,$H389)-IF($G389="",0,$G389))</f>
        <v/>
      </c>
      <c r="J389" s="18">
        <f>IF($L389="","",IF(INDEX(ExpNote,$L389)="","—",INDEX(ExpNote,$L389)))</f>
        <v/>
      </c>
      <c r="L389">
        <f>IFERROR(MATCH($C$5&amp;"|"&amp;RIGHT("000000"&amp;373,6),ExpRankKey,0),"")</f>
        <v/>
      </c>
    </row>
    <row r="390">
      <c r="A390" s="21" t="n">
        <v>374</v>
      </c>
      <c r="B390" s="22">
        <f>IF($L390="","",INDEX(ExpNorm,$L390))</f>
        <v/>
      </c>
      <c r="C390" s="22">
        <f>IF($L390="","",IF(INDEX(ExpTime,$L390)="","—",LEFT(INDEX(ExpTime,$L390),2)&amp;":"&amp;RIGHT(INDEX(ExpTime,$L390),2)))</f>
        <v/>
      </c>
      <c r="D390" s="22">
        <f>IF($L390="","",IF(INDEX(ExpBank,$L390)="","—",INDEX(ExpBank,$L390)))</f>
        <v/>
      </c>
      <c r="E390" s="23">
        <f>IF($L390="","",IF(INDEX(ExpParty,$L390)="","—",IFERROR(VLOOKUP(INDEX(ExpParty,$L390),AcctTbl,4,0),INDEX(ExpParty,$L390))))</f>
        <v/>
      </c>
      <c r="F390" s="22">
        <f>IF($L390="","",IF(INDEX(ExpType,$L390)="","—",INDEX(ExpType,$L390)))</f>
        <v/>
      </c>
      <c r="G390" s="24">
        <f>IF($L390="","",IF(INDEX(ExpDep,$L390)=0,"",INDEX(ExpDep,$L390)))</f>
        <v/>
      </c>
      <c r="H390" s="24">
        <f>IF($L390="","",IF(INDEX(ExpWit,$L390)=0,"",INDEX(ExpWit,$L390)))</f>
        <v/>
      </c>
      <c r="I390" s="25">
        <f>IF($B390="","",IF($I389="",0,$I389)+IF($H390="",0,$H390)-IF($G390="",0,$G390))</f>
        <v/>
      </c>
      <c r="J390" s="23">
        <f>IF($L390="","",IF(INDEX(ExpNote,$L390)="","—",INDEX(ExpNote,$L390)))</f>
        <v/>
      </c>
      <c r="L390">
        <f>IFERROR(MATCH($C$5&amp;"|"&amp;RIGHT("000000"&amp;374,6),ExpRankKey,0),"")</f>
        <v/>
      </c>
    </row>
    <row r="391">
      <c r="A391" s="16" t="n">
        <v>375</v>
      </c>
      <c r="B391" s="17">
        <f>IF($L391="","",INDEX(ExpNorm,$L391))</f>
        <v/>
      </c>
      <c r="C391" s="17">
        <f>IF($L391="","",IF(INDEX(ExpTime,$L391)="","—",LEFT(INDEX(ExpTime,$L391),2)&amp;":"&amp;RIGHT(INDEX(ExpTime,$L391),2)))</f>
        <v/>
      </c>
      <c r="D391" s="17">
        <f>IF($L391="","",IF(INDEX(ExpBank,$L391)="","—",INDEX(ExpBank,$L391)))</f>
        <v/>
      </c>
      <c r="E391" s="18">
        <f>IF($L391="","",IF(INDEX(ExpParty,$L391)="","—",IFERROR(VLOOKUP(INDEX(ExpParty,$L391),AcctTbl,4,0),INDEX(ExpParty,$L391))))</f>
        <v/>
      </c>
      <c r="F391" s="17">
        <f>IF($L391="","",IF(INDEX(ExpType,$L391)="","—",INDEX(ExpType,$L391)))</f>
        <v/>
      </c>
      <c r="G391" s="19">
        <f>IF($L391="","",IF(INDEX(ExpDep,$L391)=0,"",INDEX(ExpDep,$L391)))</f>
        <v/>
      </c>
      <c r="H391" s="19">
        <f>IF($L391="","",IF(INDEX(ExpWit,$L391)=0,"",INDEX(ExpWit,$L391)))</f>
        <v/>
      </c>
      <c r="I391" s="20">
        <f>IF($B391="","",IF($I390="",0,$I390)+IF($H391="",0,$H391)-IF($G391="",0,$G391))</f>
        <v/>
      </c>
      <c r="J391" s="18">
        <f>IF($L391="","",IF(INDEX(ExpNote,$L391)="","—",INDEX(ExpNote,$L391)))</f>
        <v/>
      </c>
      <c r="L391">
        <f>IFERROR(MATCH($C$5&amp;"|"&amp;RIGHT("000000"&amp;375,6),ExpRankKey,0),"")</f>
        <v/>
      </c>
    </row>
    <row r="392">
      <c r="A392" s="21" t="n">
        <v>376</v>
      </c>
      <c r="B392" s="22">
        <f>IF($L392="","",INDEX(ExpNorm,$L392))</f>
        <v/>
      </c>
      <c r="C392" s="22">
        <f>IF($L392="","",IF(INDEX(ExpTime,$L392)="","—",LEFT(INDEX(ExpTime,$L392),2)&amp;":"&amp;RIGHT(INDEX(ExpTime,$L392),2)))</f>
        <v/>
      </c>
      <c r="D392" s="22">
        <f>IF($L392="","",IF(INDEX(ExpBank,$L392)="","—",INDEX(ExpBank,$L392)))</f>
        <v/>
      </c>
      <c r="E392" s="23">
        <f>IF($L392="","",IF(INDEX(ExpParty,$L392)="","—",IFERROR(VLOOKUP(INDEX(ExpParty,$L392),AcctTbl,4,0),INDEX(ExpParty,$L392))))</f>
        <v/>
      </c>
      <c r="F392" s="22">
        <f>IF($L392="","",IF(INDEX(ExpType,$L392)="","—",INDEX(ExpType,$L392)))</f>
        <v/>
      </c>
      <c r="G392" s="24">
        <f>IF($L392="","",IF(INDEX(ExpDep,$L392)=0,"",INDEX(ExpDep,$L392)))</f>
        <v/>
      </c>
      <c r="H392" s="24">
        <f>IF($L392="","",IF(INDEX(ExpWit,$L392)=0,"",INDEX(ExpWit,$L392)))</f>
        <v/>
      </c>
      <c r="I392" s="25">
        <f>IF($B392="","",IF($I391="",0,$I391)+IF($H392="",0,$H392)-IF($G392="",0,$G392))</f>
        <v/>
      </c>
      <c r="J392" s="23">
        <f>IF($L392="","",IF(INDEX(ExpNote,$L392)="","—",INDEX(ExpNote,$L392)))</f>
        <v/>
      </c>
      <c r="L392">
        <f>IFERROR(MATCH($C$5&amp;"|"&amp;RIGHT("000000"&amp;376,6),ExpRankKey,0),"")</f>
        <v/>
      </c>
    </row>
    <row r="393">
      <c r="A393" s="16" t="n">
        <v>377</v>
      </c>
      <c r="B393" s="17">
        <f>IF($L393="","",INDEX(ExpNorm,$L393))</f>
        <v/>
      </c>
      <c r="C393" s="17">
        <f>IF($L393="","",IF(INDEX(ExpTime,$L393)="","—",LEFT(INDEX(ExpTime,$L393),2)&amp;":"&amp;RIGHT(INDEX(ExpTime,$L393),2)))</f>
        <v/>
      </c>
      <c r="D393" s="17">
        <f>IF($L393="","",IF(INDEX(ExpBank,$L393)="","—",INDEX(ExpBank,$L393)))</f>
        <v/>
      </c>
      <c r="E393" s="18">
        <f>IF($L393="","",IF(INDEX(ExpParty,$L393)="","—",IFERROR(VLOOKUP(INDEX(ExpParty,$L393),AcctTbl,4,0),INDEX(ExpParty,$L393))))</f>
        <v/>
      </c>
      <c r="F393" s="17">
        <f>IF($L393="","",IF(INDEX(ExpType,$L393)="","—",INDEX(ExpType,$L393)))</f>
        <v/>
      </c>
      <c r="G393" s="19">
        <f>IF($L393="","",IF(INDEX(ExpDep,$L393)=0,"",INDEX(ExpDep,$L393)))</f>
        <v/>
      </c>
      <c r="H393" s="19">
        <f>IF($L393="","",IF(INDEX(ExpWit,$L393)=0,"",INDEX(ExpWit,$L393)))</f>
        <v/>
      </c>
      <c r="I393" s="20">
        <f>IF($B393="","",IF($I392="",0,$I392)+IF($H393="",0,$H393)-IF($G393="",0,$G393))</f>
        <v/>
      </c>
      <c r="J393" s="18">
        <f>IF($L393="","",IF(INDEX(ExpNote,$L393)="","—",INDEX(ExpNote,$L393)))</f>
        <v/>
      </c>
      <c r="L393">
        <f>IFERROR(MATCH($C$5&amp;"|"&amp;RIGHT("000000"&amp;377,6),ExpRankKey,0),"")</f>
        <v/>
      </c>
    </row>
    <row r="394">
      <c r="A394" s="21" t="n">
        <v>378</v>
      </c>
      <c r="B394" s="22">
        <f>IF($L394="","",INDEX(ExpNorm,$L394))</f>
        <v/>
      </c>
      <c r="C394" s="22">
        <f>IF($L394="","",IF(INDEX(ExpTime,$L394)="","—",LEFT(INDEX(ExpTime,$L394),2)&amp;":"&amp;RIGHT(INDEX(ExpTime,$L394),2)))</f>
        <v/>
      </c>
      <c r="D394" s="22">
        <f>IF($L394="","",IF(INDEX(ExpBank,$L394)="","—",INDEX(ExpBank,$L394)))</f>
        <v/>
      </c>
      <c r="E394" s="23">
        <f>IF($L394="","",IF(INDEX(ExpParty,$L394)="","—",IFERROR(VLOOKUP(INDEX(ExpParty,$L394),AcctTbl,4,0),INDEX(ExpParty,$L394))))</f>
        <v/>
      </c>
      <c r="F394" s="22">
        <f>IF($L394="","",IF(INDEX(ExpType,$L394)="","—",INDEX(ExpType,$L394)))</f>
        <v/>
      </c>
      <c r="G394" s="24">
        <f>IF($L394="","",IF(INDEX(ExpDep,$L394)=0,"",INDEX(ExpDep,$L394)))</f>
        <v/>
      </c>
      <c r="H394" s="24">
        <f>IF($L394="","",IF(INDEX(ExpWit,$L394)=0,"",INDEX(ExpWit,$L394)))</f>
        <v/>
      </c>
      <c r="I394" s="25">
        <f>IF($B394="","",IF($I393="",0,$I393)+IF($H394="",0,$H394)-IF($G394="",0,$G394))</f>
        <v/>
      </c>
      <c r="J394" s="23">
        <f>IF($L394="","",IF(INDEX(ExpNote,$L394)="","—",INDEX(ExpNote,$L394)))</f>
        <v/>
      </c>
      <c r="L394">
        <f>IFERROR(MATCH($C$5&amp;"|"&amp;RIGHT("000000"&amp;378,6),ExpRankKey,0),"")</f>
        <v/>
      </c>
    </row>
    <row r="395">
      <c r="A395" s="16" t="n">
        <v>379</v>
      </c>
      <c r="B395" s="17">
        <f>IF($L395="","",INDEX(ExpNorm,$L395))</f>
        <v/>
      </c>
      <c r="C395" s="17">
        <f>IF($L395="","",IF(INDEX(ExpTime,$L395)="","—",LEFT(INDEX(ExpTime,$L395),2)&amp;":"&amp;RIGHT(INDEX(ExpTime,$L395),2)))</f>
        <v/>
      </c>
      <c r="D395" s="17">
        <f>IF($L395="","",IF(INDEX(ExpBank,$L395)="","—",INDEX(ExpBank,$L395)))</f>
        <v/>
      </c>
      <c r="E395" s="18">
        <f>IF($L395="","",IF(INDEX(ExpParty,$L395)="","—",IFERROR(VLOOKUP(INDEX(ExpParty,$L395),AcctTbl,4,0),INDEX(ExpParty,$L395))))</f>
        <v/>
      </c>
      <c r="F395" s="17">
        <f>IF($L395="","",IF(INDEX(ExpType,$L395)="","—",INDEX(ExpType,$L395)))</f>
        <v/>
      </c>
      <c r="G395" s="19">
        <f>IF($L395="","",IF(INDEX(ExpDep,$L395)=0,"",INDEX(ExpDep,$L395)))</f>
        <v/>
      </c>
      <c r="H395" s="19">
        <f>IF($L395="","",IF(INDEX(ExpWit,$L395)=0,"",INDEX(ExpWit,$L395)))</f>
        <v/>
      </c>
      <c r="I395" s="20">
        <f>IF($B395="","",IF($I394="",0,$I394)+IF($H395="",0,$H395)-IF($G395="",0,$G395))</f>
        <v/>
      </c>
      <c r="J395" s="18">
        <f>IF($L395="","",IF(INDEX(ExpNote,$L395)="","—",INDEX(ExpNote,$L395)))</f>
        <v/>
      </c>
      <c r="L395">
        <f>IFERROR(MATCH($C$5&amp;"|"&amp;RIGHT("000000"&amp;379,6),ExpRankKey,0),"")</f>
        <v/>
      </c>
    </row>
    <row r="396">
      <c r="A396" s="21" t="n">
        <v>380</v>
      </c>
      <c r="B396" s="22">
        <f>IF($L396="","",INDEX(ExpNorm,$L396))</f>
        <v/>
      </c>
      <c r="C396" s="22">
        <f>IF($L396="","",IF(INDEX(ExpTime,$L396)="","—",LEFT(INDEX(ExpTime,$L396),2)&amp;":"&amp;RIGHT(INDEX(ExpTime,$L396),2)))</f>
        <v/>
      </c>
      <c r="D396" s="22">
        <f>IF($L396="","",IF(INDEX(ExpBank,$L396)="","—",INDEX(ExpBank,$L396)))</f>
        <v/>
      </c>
      <c r="E396" s="23">
        <f>IF($L396="","",IF(INDEX(ExpParty,$L396)="","—",IFERROR(VLOOKUP(INDEX(ExpParty,$L396),AcctTbl,4,0),INDEX(ExpParty,$L396))))</f>
        <v/>
      </c>
      <c r="F396" s="22">
        <f>IF($L396="","",IF(INDEX(ExpType,$L396)="","—",INDEX(ExpType,$L396)))</f>
        <v/>
      </c>
      <c r="G396" s="24">
        <f>IF($L396="","",IF(INDEX(ExpDep,$L396)=0,"",INDEX(ExpDep,$L396)))</f>
        <v/>
      </c>
      <c r="H396" s="24">
        <f>IF($L396="","",IF(INDEX(ExpWit,$L396)=0,"",INDEX(ExpWit,$L396)))</f>
        <v/>
      </c>
      <c r="I396" s="25">
        <f>IF($B396="","",IF($I395="",0,$I395)+IF($H396="",0,$H396)-IF($G396="",0,$G396))</f>
        <v/>
      </c>
      <c r="J396" s="23">
        <f>IF($L396="","",IF(INDEX(ExpNote,$L396)="","—",INDEX(ExpNote,$L396)))</f>
        <v/>
      </c>
      <c r="L396">
        <f>IFERROR(MATCH($C$5&amp;"|"&amp;RIGHT("000000"&amp;380,6),ExpRankKey,0),"")</f>
        <v/>
      </c>
    </row>
    <row r="397">
      <c r="A397" s="16" t="n">
        <v>381</v>
      </c>
      <c r="B397" s="17">
        <f>IF($L397="","",INDEX(ExpNorm,$L397))</f>
        <v/>
      </c>
      <c r="C397" s="17">
        <f>IF($L397="","",IF(INDEX(ExpTime,$L397)="","—",LEFT(INDEX(ExpTime,$L397),2)&amp;":"&amp;RIGHT(INDEX(ExpTime,$L397),2)))</f>
        <v/>
      </c>
      <c r="D397" s="17">
        <f>IF($L397="","",IF(INDEX(ExpBank,$L397)="","—",INDEX(ExpBank,$L397)))</f>
        <v/>
      </c>
      <c r="E397" s="18">
        <f>IF($L397="","",IF(INDEX(ExpParty,$L397)="","—",IFERROR(VLOOKUP(INDEX(ExpParty,$L397),AcctTbl,4,0),INDEX(ExpParty,$L397))))</f>
        <v/>
      </c>
      <c r="F397" s="17">
        <f>IF($L397="","",IF(INDEX(ExpType,$L397)="","—",INDEX(ExpType,$L397)))</f>
        <v/>
      </c>
      <c r="G397" s="19">
        <f>IF($L397="","",IF(INDEX(ExpDep,$L397)=0,"",INDEX(ExpDep,$L397)))</f>
        <v/>
      </c>
      <c r="H397" s="19">
        <f>IF($L397="","",IF(INDEX(ExpWit,$L397)=0,"",INDEX(ExpWit,$L397)))</f>
        <v/>
      </c>
      <c r="I397" s="20">
        <f>IF($B397="","",IF($I396="",0,$I396)+IF($H397="",0,$H397)-IF($G397="",0,$G397))</f>
        <v/>
      </c>
      <c r="J397" s="18">
        <f>IF($L397="","",IF(INDEX(ExpNote,$L397)="","—",INDEX(ExpNote,$L397)))</f>
        <v/>
      </c>
      <c r="L397">
        <f>IFERROR(MATCH($C$5&amp;"|"&amp;RIGHT("000000"&amp;381,6),ExpRankKey,0),"")</f>
        <v/>
      </c>
    </row>
    <row r="398">
      <c r="A398" s="21" t="n">
        <v>382</v>
      </c>
      <c r="B398" s="22">
        <f>IF($L398="","",INDEX(ExpNorm,$L398))</f>
        <v/>
      </c>
      <c r="C398" s="22">
        <f>IF($L398="","",IF(INDEX(ExpTime,$L398)="","—",LEFT(INDEX(ExpTime,$L398),2)&amp;":"&amp;RIGHT(INDEX(ExpTime,$L398),2)))</f>
        <v/>
      </c>
      <c r="D398" s="22">
        <f>IF($L398="","",IF(INDEX(ExpBank,$L398)="","—",INDEX(ExpBank,$L398)))</f>
        <v/>
      </c>
      <c r="E398" s="23">
        <f>IF($L398="","",IF(INDEX(ExpParty,$L398)="","—",IFERROR(VLOOKUP(INDEX(ExpParty,$L398),AcctTbl,4,0),INDEX(ExpParty,$L398))))</f>
        <v/>
      </c>
      <c r="F398" s="22">
        <f>IF($L398="","",IF(INDEX(ExpType,$L398)="","—",INDEX(ExpType,$L398)))</f>
        <v/>
      </c>
      <c r="G398" s="24">
        <f>IF($L398="","",IF(INDEX(ExpDep,$L398)=0,"",INDEX(ExpDep,$L398)))</f>
        <v/>
      </c>
      <c r="H398" s="24">
        <f>IF($L398="","",IF(INDEX(ExpWit,$L398)=0,"",INDEX(ExpWit,$L398)))</f>
        <v/>
      </c>
      <c r="I398" s="25">
        <f>IF($B398="","",IF($I397="",0,$I397)+IF($H398="",0,$H398)-IF($G398="",0,$G398))</f>
        <v/>
      </c>
      <c r="J398" s="23">
        <f>IF($L398="","",IF(INDEX(ExpNote,$L398)="","—",INDEX(ExpNote,$L398)))</f>
        <v/>
      </c>
      <c r="L398">
        <f>IFERROR(MATCH($C$5&amp;"|"&amp;RIGHT("000000"&amp;382,6),ExpRankKey,0),"")</f>
        <v/>
      </c>
    </row>
    <row r="399">
      <c r="A399" s="16" t="n">
        <v>383</v>
      </c>
      <c r="B399" s="17">
        <f>IF($L399="","",INDEX(ExpNorm,$L399))</f>
        <v/>
      </c>
      <c r="C399" s="17">
        <f>IF($L399="","",IF(INDEX(ExpTime,$L399)="","—",LEFT(INDEX(ExpTime,$L399),2)&amp;":"&amp;RIGHT(INDEX(ExpTime,$L399),2)))</f>
        <v/>
      </c>
      <c r="D399" s="17">
        <f>IF($L399="","",IF(INDEX(ExpBank,$L399)="","—",INDEX(ExpBank,$L399)))</f>
        <v/>
      </c>
      <c r="E399" s="18">
        <f>IF($L399="","",IF(INDEX(ExpParty,$L399)="","—",IFERROR(VLOOKUP(INDEX(ExpParty,$L399),AcctTbl,4,0),INDEX(ExpParty,$L399))))</f>
        <v/>
      </c>
      <c r="F399" s="17">
        <f>IF($L399="","",IF(INDEX(ExpType,$L399)="","—",INDEX(ExpType,$L399)))</f>
        <v/>
      </c>
      <c r="G399" s="19">
        <f>IF($L399="","",IF(INDEX(ExpDep,$L399)=0,"",INDEX(ExpDep,$L399)))</f>
        <v/>
      </c>
      <c r="H399" s="19">
        <f>IF($L399="","",IF(INDEX(ExpWit,$L399)=0,"",INDEX(ExpWit,$L399)))</f>
        <v/>
      </c>
      <c r="I399" s="20">
        <f>IF($B399="","",IF($I398="",0,$I398)+IF($H399="",0,$H399)-IF($G399="",0,$G399))</f>
        <v/>
      </c>
      <c r="J399" s="18">
        <f>IF($L399="","",IF(INDEX(ExpNote,$L399)="","—",INDEX(ExpNote,$L399)))</f>
        <v/>
      </c>
      <c r="L399">
        <f>IFERROR(MATCH($C$5&amp;"|"&amp;RIGHT("000000"&amp;383,6),ExpRankKey,0),"")</f>
        <v/>
      </c>
    </row>
    <row r="400">
      <c r="A400" s="21" t="n">
        <v>384</v>
      </c>
      <c r="B400" s="22">
        <f>IF($L400="","",INDEX(ExpNorm,$L400))</f>
        <v/>
      </c>
      <c r="C400" s="22">
        <f>IF($L400="","",IF(INDEX(ExpTime,$L400)="","—",LEFT(INDEX(ExpTime,$L400),2)&amp;":"&amp;RIGHT(INDEX(ExpTime,$L400),2)))</f>
        <v/>
      </c>
      <c r="D400" s="22">
        <f>IF($L400="","",IF(INDEX(ExpBank,$L400)="","—",INDEX(ExpBank,$L400)))</f>
        <v/>
      </c>
      <c r="E400" s="23">
        <f>IF($L400="","",IF(INDEX(ExpParty,$L400)="","—",IFERROR(VLOOKUP(INDEX(ExpParty,$L400),AcctTbl,4,0),INDEX(ExpParty,$L400))))</f>
        <v/>
      </c>
      <c r="F400" s="22">
        <f>IF($L400="","",IF(INDEX(ExpType,$L400)="","—",INDEX(ExpType,$L400)))</f>
        <v/>
      </c>
      <c r="G400" s="24">
        <f>IF($L400="","",IF(INDEX(ExpDep,$L400)=0,"",INDEX(ExpDep,$L400)))</f>
        <v/>
      </c>
      <c r="H400" s="24">
        <f>IF($L400="","",IF(INDEX(ExpWit,$L400)=0,"",INDEX(ExpWit,$L400)))</f>
        <v/>
      </c>
      <c r="I400" s="25">
        <f>IF($B400="","",IF($I399="",0,$I399)+IF($H400="",0,$H400)-IF($G400="",0,$G400))</f>
        <v/>
      </c>
      <c r="J400" s="23">
        <f>IF($L400="","",IF(INDEX(ExpNote,$L400)="","—",INDEX(ExpNote,$L400)))</f>
        <v/>
      </c>
      <c r="L400">
        <f>IFERROR(MATCH($C$5&amp;"|"&amp;RIGHT("000000"&amp;384,6),ExpRankKey,0),"")</f>
        <v/>
      </c>
    </row>
    <row r="401">
      <c r="A401" s="16" t="n">
        <v>385</v>
      </c>
      <c r="B401" s="17">
        <f>IF($L401="","",INDEX(ExpNorm,$L401))</f>
        <v/>
      </c>
      <c r="C401" s="17">
        <f>IF($L401="","",IF(INDEX(ExpTime,$L401)="","—",LEFT(INDEX(ExpTime,$L401),2)&amp;":"&amp;RIGHT(INDEX(ExpTime,$L401),2)))</f>
        <v/>
      </c>
      <c r="D401" s="17">
        <f>IF($L401="","",IF(INDEX(ExpBank,$L401)="","—",INDEX(ExpBank,$L401)))</f>
        <v/>
      </c>
      <c r="E401" s="18">
        <f>IF($L401="","",IF(INDEX(ExpParty,$L401)="","—",IFERROR(VLOOKUP(INDEX(ExpParty,$L401),AcctTbl,4,0),INDEX(ExpParty,$L401))))</f>
        <v/>
      </c>
      <c r="F401" s="17">
        <f>IF($L401="","",IF(INDEX(ExpType,$L401)="","—",INDEX(ExpType,$L401)))</f>
        <v/>
      </c>
      <c r="G401" s="19">
        <f>IF($L401="","",IF(INDEX(ExpDep,$L401)=0,"",INDEX(ExpDep,$L401)))</f>
        <v/>
      </c>
      <c r="H401" s="19">
        <f>IF($L401="","",IF(INDEX(ExpWit,$L401)=0,"",INDEX(ExpWit,$L401)))</f>
        <v/>
      </c>
      <c r="I401" s="20">
        <f>IF($B401="","",IF($I400="",0,$I400)+IF($H401="",0,$H401)-IF($G401="",0,$G401))</f>
        <v/>
      </c>
      <c r="J401" s="18">
        <f>IF($L401="","",IF(INDEX(ExpNote,$L401)="","—",INDEX(ExpNote,$L401)))</f>
        <v/>
      </c>
      <c r="L401">
        <f>IFERROR(MATCH($C$5&amp;"|"&amp;RIGHT("000000"&amp;385,6),ExpRankKey,0),"")</f>
        <v/>
      </c>
    </row>
    <row r="402">
      <c r="A402" s="21" t="n">
        <v>386</v>
      </c>
      <c r="B402" s="22">
        <f>IF($L402="","",INDEX(ExpNorm,$L402))</f>
        <v/>
      </c>
      <c r="C402" s="22">
        <f>IF($L402="","",IF(INDEX(ExpTime,$L402)="","—",LEFT(INDEX(ExpTime,$L402),2)&amp;":"&amp;RIGHT(INDEX(ExpTime,$L402),2)))</f>
        <v/>
      </c>
      <c r="D402" s="22">
        <f>IF($L402="","",IF(INDEX(ExpBank,$L402)="","—",INDEX(ExpBank,$L402)))</f>
        <v/>
      </c>
      <c r="E402" s="23">
        <f>IF($L402="","",IF(INDEX(ExpParty,$L402)="","—",IFERROR(VLOOKUP(INDEX(ExpParty,$L402),AcctTbl,4,0),INDEX(ExpParty,$L402))))</f>
        <v/>
      </c>
      <c r="F402" s="22">
        <f>IF($L402="","",IF(INDEX(ExpType,$L402)="","—",INDEX(ExpType,$L402)))</f>
        <v/>
      </c>
      <c r="G402" s="24">
        <f>IF($L402="","",IF(INDEX(ExpDep,$L402)=0,"",INDEX(ExpDep,$L402)))</f>
        <v/>
      </c>
      <c r="H402" s="24">
        <f>IF($L402="","",IF(INDEX(ExpWit,$L402)=0,"",INDEX(ExpWit,$L402)))</f>
        <v/>
      </c>
      <c r="I402" s="25">
        <f>IF($B402="","",IF($I401="",0,$I401)+IF($H402="",0,$H402)-IF($G402="",0,$G402))</f>
        <v/>
      </c>
      <c r="J402" s="23">
        <f>IF($L402="","",IF(INDEX(ExpNote,$L402)="","—",INDEX(ExpNote,$L402)))</f>
        <v/>
      </c>
      <c r="L402">
        <f>IFERROR(MATCH($C$5&amp;"|"&amp;RIGHT("000000"&amp;386,6),ExpRankKey,0),"")</f>
        <v/>
      </c>
    </row>
    <row r="403">
      <c r="A403" s="16" t="n">
        <v>387</v>
      </c>
      <c r="B403" s="17">
        <f>IF($L403="","",INDEX(ExpNorm,$L403))</f>
        <v/>
      </c>
      <c r="C403" s="17">
        <f>IF($L403="","",IF(INDEX(ExpTime,$L403)="","—",LEFT(INDEX(ExpTime,$L403),2)&amp;":"&amp;RIGHT(INDEX(ExpTime,$L403),2)))</f>
        <v/>
      </c>
      <c r="D403" s="17">
        <f>IF($L403="","",IF(INDEX(ExpBank,$L403)="","—",INDEX(ExpBank,$L403)))</f>
        <v/>
      </c>
      <c r="E403" s="18">
        <f>IF($L403="","",IF(INDEX(ExpParty,$L403)="","—",IFERROR(VLOOKUP(INDEX(ExpParty,$L403),AcctTbl,4,0),INDEX(ExpParty,$L403))))</f>
        <v/>
      </c>
      <c r="F403" s="17">
        <f>IF($L403="","",IF(INDEX(ExpType,$L403)="","—",INDEX(ExpType,$L403)))</f>
        <v/>
      </c>
      <c r="G403" s="19">
        <f>IF($L403="","",IF(INDEX(ExpDep,$L403)=0,"",INDEX(ExpDep,$L403)))</f>
        <v/>
      </c>
      <c r="H403" s="19">
        <f>IF($L403="","",IF(INDEX(ExpWit,$L403)=0,"",INDEX(ExpWit,$L403)))</f>
        <v/>
      </c>
      <c r="I403" s="20">
        <f>IF($B403="","",IF($I402="",0,$I402)+IF($H403="",0,$H403)-IF($G403="",0,$G403))</f>
        <v/>
      </c>
      <c r="J403" s="18">
        <f>IF($L403="","",IF(INDEX(ExpNote,$L403)="","—",INDEX(ExpNote,$L403)))</f>
        <v/>
      </c>
      <c r="L403">
        <f>IFERROR(MATCH($C$5&amp;"|"&amp;RIGHT("000000"&amp;387,6),ExpRankKey,0),"")</f>
        <v/>
      </c>
    </row>
    <row r="404">
      <c r="A404" s="21" t="n">
        <v>388</v>
      </c>
      <c r="B404" s="22">
        <f>IF($L404="","",INDEX(ExpNorm,$L404))</f>
        <v/>
      </c>
      <c r="C404" s="22">
        <f>IF($L404="","",IF(INDEX(ExpTime,$L404)="","—",LEFT(INDEX(ExpTime,$L404),2)&amp;":"&amp;RIGHT(INDEX(ExpTime,$L404),2)))</f>
        <v/>
      </c>
      <c r="D404" s="22">
        <f>IF($L404="","",IF(INDEX(ExpBank,$L404)="","—",INDEX(ExpBank,$L404)))</f>
        <v/>
      </c>
      <c r="E404" s="23">
        <f>IF($L404="","",IF(INDEX(ExpParty,$L404)="","—",IFERROR(VLOOKUP(INDEX(ExpParty,$L404),AcctTbl,4,0),INDEX(ExpParty,$L404))))</f>
        <v/>
      </c>
      <c r="F404" s="22">
        <f>IF($L404="","",IF(INDEX(ExpType,$L404)="","—",INDEX(ExpType,$L404)))</f>
        <v/>
      </c>
      <c r="G404" s="24">
        <f>IF($L404="","",IF(INDEX(ExpDep,$L404)=0,"",INDEX(ExpDep,$L404)))</f>
        <v/>
      </c>
      <c r="H404" s="24">
        <f>IF($L404="","",IF(INDEX(ExpWit,$L404)=0,"",INDEX(ExpWit,$L404)))</f>
        <v/>
      </c>
      <c r="I404" s="25">
        <f>IF($B404="","",IF($I403="",0,$I403)+IF($H404="",0,$H404)-IF($G404="",0,$G404))</f>
        <v/>
      </c>
      <c r="J404" s="23">
        <f>IF($L404="","",IF(INDEX(ExpNote,$L404)="","—",INDEX(ExpNote,$L404)))</f>
        <v/>
      </c>
      <c r="L404">
        <f>IFERROR(MATCH($C$5&amp;"|"&amp;RIGHT("000000"&amp;388,6),ExpRankKey,0),"")</f>
        <v/>
      </c>
    </row>
    <row r="405">
      <c r="A405" s="16" t="n">
        <v>389</v>
      </c>
      <c r="B405" s="17">
        <f>IF($L405="","",INDEX(ExpNorm,$L405))</f>
        <v/>
      </c>
      <c r="C405" s="17">
        <f>IF($L405="","",IF(INDEX(ExpTime,$L405)="","—",LEFT(INDEX(ExpTime,$L405),2)&amp;":"&amp;RIGHT(INDEX(ExpTime,$L405),2)))</f>
        <v/>
      </c>
      <c r="D405" s="17">
        <f>IF($L405="","",IF(INDEX(ExpBank,$L405)="","—",INDEX(ExpBank,$L405)))</f>
        <v/>
      </c>
      <c r="E405" s="18">
        <f>IF($L405="","",IF(INDEX(ExpParty,$L405)="","—",IFERROR(VLOOKUP(INDEX(ExpParty,$L405),AcctTbl,4,0),INDEX(ExpParty,$L405))))</f>
        <v/>
      </c>
      <c r="F405" s="17">
        <f>IF($L405="","",IF(INDEX(ExpType,$L405)="","—",INDEX(ExpType,$L405)))</f>
        <v/>
      </c>
      <c r="G405" s="19">
        <f>IF($L405="","",IF(INDEX(ExpDep,$L405)=0,"",INDEX(ExpDep,$L405)))</f>
        <v/>
      </c>
      <c r="H405" s="19">
        <f>IF($L405="","",IF(INDEX(ExpWit,$L405)=0,"",INDEX(ExpWit,$L405)))</f>
        <v/>
      </c>
      <c r="I405" s="20">
        <f>IF($B405="","",IF($I404="",0,$I404)+IF($H405="",0,$H405)-IF($G405="",0,$G405))</f>
        <v/>
      </c>
      <c r="J405" s="18">
        <f>IF($L405="","",IF(INDEX(ExpNote,$L405)="","—",INDEX(ExpNote,$L405)))</f>
        <v/>
      </c>
      <c r="L405">
        <f>IFERROR(MATCH($C$5&amp;"|"&amp;RIGHT("000000"&amp;389,6),ExpRankKey,0),"")</f>
        <v/>
      </c>
    </row>
    <row r="406">
      <c r="A406" s="21" t="n">
        <v>390</v>
      </c>
      <c r="B406" s="22">
        <f>IF($L406="","",INDEX(ExpNorm,$L406))</f>
        <v/>
      </c>
      <c r="C406" s="22">
        <f>IF($L406="","",IF(INDEX(ExpTime,$L406)="","—",LEFT(INDEX(ExpTime,$L406),2)&amp;":"&amp;RIGHT(INDEX(ExpTime,$L406),2)))</f>
        <v/>
      </c>
      <c r="D406" s="22">
        <f>IF($L406="","",IF(INDEX(ExpBank,$L406)="","—",INDEX(ExpBank,$L406)))</f>
        <v/>
      </c>
      <c r="E406" s="23">
        <f>IF($L406="","",IF(INDEX(ExpParty,$L406)="","—",IFERROR(VLOOKUP(INDEX(ExpParty,$L406),AcctTbl,4,0),INDEX(ExpParty,$L406))))</f>
        <v/>
      </c>
      <c r="F406" s="22">
        <f>IF($L406="","",IF(INDEX(ExpType,$L406)="","—",INDEX(ExpType,$L406)))</f>
        <v/>
      </c>
      <c r="G406" s="24">
        <f>IF($L406="","",IF(INDEX(ExpDep,$L406)=0,"",INDEX(ExpDep,$L406)))</f>
        <v/>
      </c>
      <c r="H406" s="24">
        <f>IF($L406="","",IF(INDEX(ExpWit,$L406)=0,"",INDEX(ExpWit,$L406)))</f>
        <v/>
      </c>
      <c r="I406" s="25">
        <f>IF($B406="","",IF($I405="",0,$I405)+IF($H406="",0,$H406)-IF($G406="",0,$G406))</f>
        <v/>
      </c>
      <c r="J406" s="23">
        <f>IF($L406="","",IF(INDEX(ExpNote,$L406)="","—",INDEX(ExpNote,$L406)))</f>
        <v/>
      </c>
      <c r="L406">
        <f>IFERROR(MATCH($C$5&amp;"|"&amp;RIGHT("000000"&amp;390,6),ExpRankKey,0),"")</f>
        <v/>
      </c>
    </row>
    <row r="407">
      <c r="A407" s="16" t="n">
        <v>391</v>
      </c>
      <c r="B407" s="17">
        <f>IF($L407="","",INDEX(ExpNorm,$L407))</f>
        <v/>
      </c>
      <c r="C407" s="17">
        <f>IF($L407="","",IF(INDEX(ExpTime,$L407)="","—",LEFT(INDEX(ExpTime,$L407),2)&amp;":"&amp;RIGHT(INDEX(ExpTime,$L407),2)))</f>
        <v/>
      </c>
      <c r="D407" s="17">
        <f>IF($L407="","",IF(INDEX(ExpBank,$L407)="","—",INDEX(ExpBank,$L407)))</f>
        <v/>
      </c>
      <c r="E407" s="18">
        <f>IF($L407="","",IF(INDEX(ExpParty,$L407)="","—",IFERROR(VLOOKUP(INDEX(ExpParty,$L407),AcctTbl,4,0),INDEX(ExpParty,$L407))))</f>
        <v/>
      </c>
      <c r="F407" s="17">
        <f>IF($L407="","",IF(INDEX(ExpType,$L407)="","—",INDEX(ExpType,$L407)))</f>
        <v/>
      </c>
      <c r="G407" s="19">
        <f>IF($L407="","",IF(INDEX(ExpDep,$L407)=0,"",INDEX(ExpDep,$L407)))</f>
        <v/>
      </c>
      <c r="H407" s="19">
        <f>IF($L407="","",IF(INDEX(ExpWit,$L407)=0,"",INDEX(ExpWit,$L407)))</f>
        <v/>
      </c>
      <c r="I407" s="20">
        <f>IF($B407="","",IF($I406="",0,$I406)+IF($H407="",0,$H407)-IF($G407="",0,$G407))</f>
        <v/>
      </c>
      <c r="J407" s="18">
        <f>IF($L407="","",IF(INDEX(ExpNote,$L407)="","—",INDEX(ExpNote,$L407)))</f>
        <v/>
      </c>
      <c r="L407">
        <f>IFERROR(MATCH($C$5&amp;"|"&amp;RIGHT("000000"&amp;391,6),ExpRankKey,0),"")</f>
        <v/>
      </c>
    </row>
    <row r="408">
      <c r="A408" s="21" t="n">
        <v>392</v>
      </c>
      <c r="B408" s="22">
        <f>IF($L408="","",INDEX(ExpNorm,$L408))</f>
        <v/>
      </c>
      <c r="C408" s="22">
        <f>IF($L408="","",IF(INDEX(ExpTime,$L408)="","—",LEFT(INDEX(ExpTime,$L408),2)&amp;":"&amp;RIGHT(INDEX(ExpTime,$L408),2)))</f>
        <v/>
      </c>
      <c r="D408" s="22">
        <f>IF($L408="","",IF(INDEX(ExpBank,$L408)="","—",INDEX(ExpBank,$L408)))</f>
        <v/>
      </c>
      <c r="E408" s="23">
        <f>IF($L408="","",IF(INDEX(ExpParty,$L408)="","—",IFERROR(VLOOKUP(INDEX(ExpParty,$L408),AcctTbl,4,0),INDEX(ExpParty,$L408))))</f>
        <v/>
      </c>
      <c r="F408" s="22">
        <f>IF($L408="","",IF(INDEX(ExpType,$L408)="","—",INDEX(ExpType,$L408)))</f>
        <v/>
      </c>
      <c r="G408" s="24">
        <f>IF($L408="","",IF(INDEX(ExpDep,$L408)=0,"",INDEX(ExpDep,$L408)))</f>
        <v/>
      </c>
      <c r="H408" s="24">
        <f>IF($L408="","",IF(INDEX(ExpWit,$L408)=0,"",INDEX(ExpWit,$L408)))</f>
        <v/>
      </c>
      <c r="I408" s="25">
        <f>IF($B408="","",IF($I407="",0,$I407)+IF($H408="",0,$H408)-IF($G408="",0,$G408))</f>
        <v/>
      </c>
      <c r="J408" s="23">
        <f>IF($L408="","",IF(INDEX(ExpNote,$L408)="","—",INDEX(ExpNote,$L408)))</f>
        <v/>
      </c>
      <c r="L408">
        <f>IFERROR(MATCH($C$5&amp;"|"&amp;RIGHT("000000"&amp;392,6),ExpRankKey,0),"")</f>
        <v/>
      </c>
    </row>
    <row r="409">
      <c r="A409" s="16" t="n">
        <v>393</v>
      </c>
      <c r="B409" s="17">
        <f>IF($L409="","",INDEX(ExpNorm,$L409))</f>
        <v/>
      </c>
      <c r="C409" s="17">
        <f>IF($L409="","",IF(INDEX(ExpTime,$L409)="","—",LEFT(INDEX(ExpTime,$L409),2)&amp;":"&amp;RIGHT(INDEX(ExpTime,$L409),2)))</f>
        <v/>
      </c>
      <c r="D409" s="17">
        <f>IF($L409="","",IF(INDEX(ExpBank,$L409)="","—",INDEX(ExpBank,$L409)))</f>
        <v/>
      </c>
      <c r="E409" s="18">
        <f>IF($L409="","",IF(INDEX(ExpParty,$L409)="","—",IFERROR(VLOOKUP(INDEX(ExpParty,$L409),AcctTbl,4,0),INDEX(ExpParty,$L409))))</f>
        <v/>
      </c>
      <c r="F409" s="17">
        <f>IF($L409="","",IF(INDEX(ExpType,$L409)="","—",INDEX(ExpType,$L409)))</f>
        <v/>
      </c>
      <c r="G409" s="19">
        <f>IF($L409="","",IF(INDEX(ExpDep,$L409)=0,"",INDEX(ExpDep,$L409)))</f>
        <v/>
      </c>
      <c r="H409" s="19">
        <f>IF($L409="","",IF(INDEX(ExpWit,$L409)=0,"",INDEX(ExpWit,$L409)))</f>
        <v/>
      </c>
      <c r="I409" s="20">
        <f>IF($B409="","",IF($I408="",0,$I408)+IF($H409="",0,$H409)-IF($G409="",0,$G409))</f>
        <v/>
      </c>
      <c r="J409" s="18">
        <f>IF($L409="","",IF(INDEX(ExpNote,$L409)="","—",INDEX(ExpNote,$L409)))</f>
        <v/>
      </c>
      <c r="L409">
        <f>IFERROR(MATCH($C$5&amp;"|"&amp;RIGHT("000000"&amp;393,6),ExpRankKey,0),"")</f>
        <v/>
      </c>
    </row>
    <row r="410">
      <c r="A410" s="21" t="n">
        <v>394</v>
      </c>
      <c r="B410" s="22">
        <f>IF($L410="","",INDEX(ExpNorm,$L410))</f>
        <v/>
      </c>
      <c r="C410" s="22">
        <f>IF($L410="","",IF(INDEX(ExpTime,$L410)="","—",LEFT(INDEX(ExpTime,$L410),2)&amp;":"&amp;RIGHT(INDEX(ExpTime,$L410),2)))</f>
        <v/>
      </c>
      <c r="D410" s="22">
        <f>IF($L410="","",IF(INDEX(ExpBank,$L410)="","—",INDEX(ExpBank,$L410)))</f>
        <v/>
      </c>
      <c r="E410" s="23">
        <f>IF($L410="","",IF(INDEX(ExpParty,$L410)="","—",IFERROR(VLOOKUP(INDEX(ExpParty,$L410),AcctTbl,4,0),INDEX(ExpParty,$L410))))</f>
        <v/>
      </c>
      <c r="F410" s="22">
        <f>IF($L410="","",IF(INDEX(ExpType,$L410)="","—",INDEX(ExpType,$L410)))</f>
        <v/>
      </c>
      <c r="G410" s="24">
        <f>IF($L410="","",IF(INDEX(ExpDep,$L410)=0,"",INDEX(ExpDep,$L410)))</f>
        <v/>
      </c>
      <c r="H410" s="24">
        <f>IF($L410="","",IF(INDEX(ExpWit,$L410)=0,"",INDEX(ExpWit,$L410)))</f>
        <v/>
      </c>
      <c r="I410" s="25">
        <f>IF($B410="","",IF($I409="",0,$I409)+IF($H410="",0,$H410)-IF($G410="",0,$G410))</f>
        <v/>
      </c>
      <c r="J410" s="23">
        <f>IF($L410="","",IF(INDEX(ExpNote,$L410)="","—",INDEX(ExpNote,$L410)))</f>
        <v/>
      </c>
      <c r="L410">
        <f>IFERROR(MATCH($C$5&amp;"|"&amp;RIGHT("000000"&amp;394,6),ExpRankKey,0),"")</f>
        <v/>
      </c>
    </row>
    <row r="411">
      <c r="A411" s="16" t="n">
        <v>395</v>
      </c>
      <c r="B411" s="17">
        <f>IF($L411="","",INDEX(ExpNorm,$L411))</f>
        <v/>
      </c>
      <c r="C411" s="17">
        <f>IF($L411="","",IF(INDEX(ExpTime,$L411)="","—",LEFT(INDEX(ExpTime,$L411),2)&amp;":"&amp;RIGHT(INDEX(ExpTime,$L411),2)))</f>
        <v/>
      </c>
      <c r="D411" s="17">
        <f>IF($L411="","",IF(INDEX(ExpBank,$L411)="","—",INDEX(ExpBank,$L411)))</f>
        <v/>
      </c>
      <c r="E411" s="18">
        <f>IF($L411="","",IF(INDEX(ExpParty,$L411)="","—",IFERROR(VLOOKUP(INDEX(ExpParty,$L411),AcctTbl,4,0),INDEX(ExpParty,$L411))))</f>
        <v/>
      </c>
      <c r="F411" s="17">
        <f>IF($L411="","",IF(INDEX(ExpType,$L411)="","—",INDEX(ExpType,$L411)))</f>
        <v/>
      </c>
      <c r="G411" s="19">
        <f>IF($L411="","",IF(INDEX(ExpDep,$L411)=0,"",INDEX(ExpDep,$L411)))</f>
        <v/>
      </c>
      <c r="H411" s="19">
        <f>IF($L411="","",IF(INDEX(ExpWit,$L411)=0,"",INDEX(ExpWit,$L411)))</f>
        <v/>
      </c>
      <c r="I411" s="20">
        <f>IF($B411="","",IF($I410="",0,$I410)+IF($H411="",0,$H411)-IF($G411="",0,$G411))</f>
        <v/>
      </c>
      <c r="J411" s="18">
        <f>IF($L411="","",IF(INDEX(ExpNote,$L411)="","—",INDEX(ExpNote,$L411)))</f>
        <v/>
      </c>
      <c r="L411">
        <f>IFERROR(MATCH($C$5&amp;"|"&amp;RIGHT("000000"&amp;395,6),ExpRankKey,0),"")</f>
        <v/>
      </c>
    </row>
    <row r="412">
      <c r="A412" s="21" t="n">
        <v>396</v>
      </c>
      <c r="B412" s="22">
        <f>IF($L412="","",INDEX(ExpNorm,$L412))</f>
        <v/>
      </c>
      <c r="C412" s="22">
        <f>IF($L412="","",IF(INDEX(ExpTime,$L412)="","—",LEFT(INDEX(ExpTime,$L412),2)&amp;":"&amp;RIGHT(INDEX(ExpTime,$L412),2)))</f>
        <v/>
      </c>
      <c r="D412" s="22">
        <f>IF($L412="","",IF(INDEX(ExpBank,$L412)="","—",INDEX(ExpBank,$L412)))</f>
        <v/>
      </c>
      <c r="E412" s="23">
        <f>IF($L412="","",IF(INDEX(ExpParty,$L412)="","—",IFERROR(VLOOKUP(INDEX(ExpParty,$L412),AcctTbl,4,0),INDEX(ExpParty,$L412))))</f>
        <v/>
      </c>
      <c r="F412" s="22">
        <f>IF($L412="","",IF(INDEX(ExpType,$L412)="","—",INDEX(ExpType,$L412)))</f>
        <v/>
      </c>
      <c r="G412" s="24">
        <f>IF($L412="","",IF(INDEX(ExpDep,$L412)=0,"",INDEX(ExpDep,$L412)))</f>
        <v/>
      </c>
      <c r="H412" s="24">
        <f>IF($L412="","",IF(INDEX(ExpWit,$L412)=0,"",INDEX(ExpWit,$L412)))</f>
        <v/>
      </c>
      <c r="I412" s="25">
        <f>IF($B412="","",IF($I411="",0,$I411)+IF($H412="",0,$H412)-IF($G412="",0,$G412))</f>
        <v/>
      </c>
      <c r="J412" s="23">
        <f>IF($L412="","",IF(INDEX(ExpNote,$L412)="","—",INDEX(ExpNote,$L412)))</f>
        <v/>
      </c>
      <c r="L412">
        <f>IFERROR(MATCH($C$5&amp;"|"&amp;RIGHT("000000"&amp;396,6),ExpRankKey,0),"")</f>
        <v/>
      </c>
    </row>
    <row r="413">
      <c r="A413" s="16" t="n">
        <v>397</v>
      </c>
      <c r="B413" s="17">
        <f>IF($L413="","",INDEX(ExpNorm,$L413))</f>
        <v/>
      </c>
      <c r="C413" s="17">
        <f>IF($L413="","",IF(INDEX(ExpTime,$L413)="","—",LEFT(INDEX(ExpTime,$L413),2)&amp;":"&amp;RIGHT(INDEX(ExpTime,$L413),2)))</f>
        <v/>
      </c>
      <c r="D413" s="17">
        <f>IF($L413="","",IF(INDEX(ExpBank,$L413)="","—",INDEX(ExpBank,$L413)))</f>
        <v/>
      </c>
      <c r="E413" s="18">
        <f>IF($L413="","",IF(INDEX(ExpParty,$L413)="","—",IFERROR(VLOOKUP(INDEX(ExpParty,$L413),AcctTbl,4,0),INDEX(ExpParty,$L413))))</f>
        <v/>
      </c>
      <c r="F413" s="17">
        <f>IF($L413="","",IF(INDEX(ExpType,$L413)="","—",INDEX(ExpType,$L413)))</f>
        <v/>
      </c>
      <c r="G413" s="19">
        <f>IF($L413="","",IF(INDEX(ExpDep,$L413)=0,"",INDEX(ExpDep,$L413)))</f>
        <v/>
      </c>
      <c r="H413" s="19">
        <f>IF($L413="","",IF(INDEX(ExpWit,$L413)=0,"",INDEX(ExpWit,$L413)))</f>
        <v/>
      </c>
      <c r="I413" s="20">
        <f>IF($B413="","",IF($I412="",0,$I412)+IF($H413="",0,$H413)-IF($G413="",0,$G413))</f>
        <v/>
      </c>
      <c r="J413" s="18">
        <f>IF($L413="","",IF(INDEX(ExpNote,$L413)="","—",INDEX(ExpNote,$L413)))</f>
        <v/>
      </c>
      <c r="L413">
        <f>IFERROR(MATCH($C$5&amp;"|"&amp;RIGHT("000000"&amp;397,6),ExpRankKey,0),"")</f>
        <v/>
      </c>
    </row>
    <row r="414">
      <c r="A414" s="21" t="n">
        <v>398</v>
      </c>
      <c r="B414" s="22">
        <f>IF($L414="","",INDEX(ExpNorm,$L414))</f>
        <v/>
      </c>
      <c r="C414" s="22">
        <f>IF($L414="","",IF(INDEX(ExpTime,$L414)="","—",LEFT(INDEX(ExpTime,$L414),2)&amp;":"&amp;RIGHT(INDEX(ExpTime,$L414),2)))</f>
        <v/>
      </c>
      <c r="D414" s="22">
        <f>IF($L414="","",IF(INDEX(ExpBank,$L414)="","—",INDEX(ExpBank,$L414)))</f>
        <v/>
      </c>
      <c r="E414" s="23">
        <f>IF($L414="","",IF(INDEX(ExpParty,$L414)="","—",IFERROR(VLOOKUP(INDEX(ExpParty,$L414),AcctTbl,4,0),INDEX(ExpParty,$L414))))</f>
        <v/>
      </c>
      <c r="F414" s="22">
        <f>IF($L414="","",IF(INDEX(ExpType,$L414)="","—",INDEX(ExpType,$L414)))</f>
        <v/>
      </c>
      <c r="G414" s="24">
        <f>IF($L414="","",IF(INDEX(ExpDep,$L414)=0,"",INDEX(ExpDep,$L414)))</f>
        <v/>
      </c>
      <c r="H414" s="24">
        <f>IF($L414="","",IF(INDEX(ExpWit,$L414)=0,"",INDEX(ExpWit,$L414)))</f>
        <v/>
      </c>
      <c r="I414" s="25">
        <f>IF($B414="","",IF($I413="",0,$I413)+IF($H414="",0,$H414)-IF($G414="",0,$G414))</f>
        <v/>
      </c>
      <c r="J414" s="23">
        <f>IF($L414="","",IF(INDEX(ExpNote,$L414)="","—",INDEX(ExpNote,$L414)))</f>
        <v/>
      </c>
      <c r="L414">
        <f>IFERROR(MATCH($C$5&amp;"|"&amp;RIGHT("000000"&amp;398,6),ExpRankKey,0),"")</f>
        <v/>
      </c>
    </row>
    <row r="415">
      <c r="A415" s="16" t="n">
        <v>399</v>
      </c>
      <c r="B415" s="17">
        <f>IF($L415="","",INDEX(ExpNorm,$L415))</f>
        <v/>
      </c>
      <c r="C415" s="17">
        <f>IF($L415="","",IF(INDEX(ExpTime,$L415)="","—",LEFT(INDEX(ExpTime,$L415),2)&amp;":"&amp;RIGHT(INDEX(ExpTime,$L415),2)))</f>
        <v/>
      </c>
      <c r="D415" s="17">
        <f>IF($L415="","",IF(INDEX(ExpBank,$L415)="","—",INDEX(ExpBank,$L415)))</f>
        <v/>
      </c>
      <c r="E415" s="18">
        <f>IF($L415="","",IF(INDEX(ExpParty,$L415)="","—",IFERROR(VLOOKUP(INDEX(ExpParty,$L415),AcctTbl,4,0),INDEX(ExpParty,$L415))))</f>
        <v/>
      </c>
      <c r="F415" s="17">
        <f>IF($L415="","",IF(INDEX(ExpType,$L415)="","—",INDEX(ExpType,$L415)))</f>
        <v/>
      </c>
      <c r="G415" s="19">
        <f>IF($L415="","",IF(INDEX(ExpDep,$L415)=0,"",INDEX(ExpDep,$L415)))</f>
        <v/>
      </c>
      <c r="H415" s="19">
        <f>IF($L415="","",IF(INDEX(ExpWit,$L415)=0,"",INDEX(ExpWit,$L415)))</f>
        <v/>
      </c>
      <c r="I415" s="20">
        <f>IF($B415="","",IF($I414="",0,$I414)+IF($H415="",0,$H415)-IF($G415="",0,$G415))</f>
        <v/>
      </c>
      <c r="J415" s="18">
        <f>IF($L415="","",IF(INDEX(ExpNote,$L415)="","—",INDEX(ExpNote,$L415)))</f>
        <v/>
      </c>
      <c r="L415">
        <f>IFERROR(MATCH($C$5&amp;"|"&amp;RIGHT("000000"&amp;399,6),ExpRankKey,0),"")</f>
        <v/>
      </c>
    </row>
    <row r="416">
      <c r="A416" s="21" t="n">
        <v>400</v>
      </c>
      <c r="B416" s="22">
        <f>IF($L416="","",INDEX(ExpNorm,$L416))</f>
        <v/>
      </c>
      <c r="C416" s="22">
        <f>IF($L416="","",IF(INDEX(ExpTime,$L416)="","—",LEFT(INDEX(ExpTime,$L416),2)&amp;":"&amp;RIGHT(INDEX(ExpTime,$L416),2)))</f>
        <v/>
      </c>
      <c r="D416" s="22">
        <f>IF($L416="","",IF(INDEX(ExpBank,$L416)="","—",INDEX(ExpBank,$L416)))</f>
        <v/>
      </c>
      <c r="E416" s="23">
        <f>IF($L416="","",IF(INDEX(ExpParty,$L416)="","—",IFERROR(VLOOKUP(INDEX(ExpParty,$L416),AcctTbl,4,0),INDEX(ExpParty,$L416))))</f>
        <v/>
      </c>
      <c r="F416" s="22">
        <f>IF($L416="","",IF(INDEX(ExpType,$L416)="","—",INDEX(ExpType,$L416)))</f>
        <v/>
      </c>
      <c r="G416" s="24">
        <f>IF($L416="","",IF(INDEX(ExpDep,$L416)=0,"",INDEX(ExpDep,$L416)))</f>
        <v/>
      </c>
      <c r="H416" s="24">
        <f>IF($L416="","",IF(INDEX(ExpWit,$L416)=0,"",INDEX(ExpWit,$L416)))</f>
        <v/>
      </c>
      <c r="I416" s="25">
        <f>IF($B416="","",IF($I415="",0,$I415)+IF($H416="",0,$H416)-IF($G416="",0,$G416))</f>
        <v/>
      </c>
      <c r="J416" s="23">
        <f>IF($L416="","",IF(INDEX(ExpNote,$L416)="","—",INDEX(ExpNote,$L416)))</f>
        <v/>
      </c>
      <c r="L416">
        <f>IFERROR(MATCH($C$5&amp;"|"&amp;RIGHT("000000"&amp;400,6),ExpRankKey,0),"")</f>
        <v/>
      </c>
    </row>
    <row r="417">
      <c r="A417" s="16" t="n">
        <v>401</v>
      </c>
      <c r="B417" s="17">
        <f>IF($L417="","",INDEX(ExpNorm,$L417))</f>
        <v/>
      </c>
      <c r="C417" s="17">
        <f>IF($L417="","",IF(INDEX(ExpTime,$L417)="","—",LEFT(INDEX(ExpTime,$L417),2)&amp;":"&amp;RIGHT(INDEX(ExpTime,$L417),2)))</f>
        <v/>
      </c>
      <c r="D417" s="17">
        <f>IF($L417="","",IF(INDEX(ExpBank,$L417)="","—",INDEX(ExpBank,$L417)))</f>
        <v/>
      </c>
      <c r="E417" s="18">
        <f>IF($L417="","",IF(INDEX(ExpParty,$L417)="","—",IFERROR(VLOOKUP(INDEX(ExpParty,$L417),AcctTbl,4,0),INDEX(ExpParty,$L417))))</f>
        <v/>
      </c>
      <c r="F417" s="17">
        <f>IF($L417="","",IF(INDEX(ExpType,$L417)="","—",INDEX(ExpType,$L417)))</f>
        <v/>
      </c>
      <c r="G417" s="19">
        <f>IF($L417="","",IF(INDEX(ExpDep,$L417)=0,"",INDEX(ExpDep,$L417)))</f>
        <v/>
      </c>
      <c r="H417" s="19">
        <f>IF($L417="","",IF(INDEX(ExpWit,$L417)=0,"",INDEX(ExpWit,$L417)))</f>
        <v/>
      </c>
      <c r="I417" s="20">
        <f>IF($B417="","",IF($I416="",0,$I416)+IF($H417="",0,$H417)-IF($G417="",0,$G417))</f>
        <v/>
      </c>
      <c r="J417" s="18">
        <f>IF($L417="","",IF(INDEX(ExpNote,$L417)="","—",INDEX(ExpNote,$L417)))</f>
        <v/>
      </c>
      <c r="L417">
        <f>IFERROR(MATCH($C$5&amp;"|"&amp;RIGHT("000000"&amp;401,6),ExpRankKey,0),"")</f>
        <v/>
      </c>
    </row>
    <row r="418">
      <c r="A418" s="21" t="n">
        <v>402</v>
      </c>
      <c r="B418" s="22">
        <f>IF($L418="","",INDEX(ExpNorm,$L418))</f>
        <v/>
      </c>
      <c r="C418" s="22">
        <f>IF($L418="","",IF(INDEX(ExpTime,$L418)="","—",LEFT(INDEX(ExpTime,$L418),2)&amp;":"&amp;RIGHT(INDEX(ExpTime,$L418),2)))</f>
        <v/>
      </c>
      <c r="D418" s="22">
        <f>IF($L418="","",IF(INDEX(ExpBank,$L418)="","—",INDEX(ExpBank,$L418)))</f>
        <v/>
      </c>
      <c r="E418" s="23">
        <f>IF($L418="","",IF(INDEX(ExpParty,$L418)="","—",IFERROR(VLOOKUP(INDEX(ExpParty,$L418),AcctTbl,4,0),INDEX(ExpParty,$L418))))</f>
        <v/>
      </c>
      <c r="F418" s="22">
        <f>IF($L418="","",IF(INDEX(ExpType,$L418)="","—",INDEX(ExpType,$L418)))</f>
        <v/>
      </c>
      <c r="G418" s="24">
        <f>IF($L418="","",IF(INDEX(ExpDep,$L418)=0,"",INDEX(ExpDep,$L418)))</f>
        <v/>
      </c>
      <c r="H418" s="24">
        <f>IF($L418="","",IF(INDEX(ExpWit,$L418)=0,"",INDEX(ExpWit,$L418)))</f>
        <v/>
      </c>
      <c r="I418" s="25">
        <f>IF($B418="","",IF($I417="",0,$I417)+IF($H418="",0,$H418)-IF($G418="",0,$G418))</f>
        <v/>
      </c>
      <c r="J418" s="23">
        <f>IF($L418="","",IF(INDEX(ExpNote,$L418)="","—",INDEX(ExpNote,$L418)))</f>
        <v/>
      </c>
      <c r="L418">
        <f>IFERROR(MATCH($C$5&amp;"|"&amp;RIGHT("000000"&amp;402,6),ExpRankKey,0),"")</f>
        <v/>
      </c>
    </row>
    <row r="419">
      <c r="A419" s="16" t="n">
        <v>403</v>
      </c>
      <c r="B419" s="17">
        <f>IF($L419="","",INDEX(ExpNorm,$L419))</f>
        <v/>
      </c>
      <c r="C419" s="17">
        <f>IF($L419="","",IF(INDEX(ExpTime,$L419)="","—",LEFT(INDEX(ExpTime,$L419),2)&amp;":"&amp;RIGHT(INDEX(ExpTime,$L419),2)))</f>
        <v/>
      </c>
      <c r="D419" s="17">
        <f>IF($L419="","",IF(INDEX(ExpBank,$L419)="","—",INDEX(ExpBank,$L419)))</f>
        <v/>
      </c>
      <c r="E419" s="18">
        <f>IF($L419="","",IF(INDEX(ExpParty,$L419)="","—",IFERROR(VLOOKUP(INDEX(ExpParty,$L419),AcctTbl,4,0),INDEX(ExpParty,$L419))))</f>
        <v/>
      </c>
      <c r="F419" s="17">
        <f>IF($L419="","",IF(INDEX(ExpType,$L419)="","—",INDEX(ExpType,$L419)))</f>
        <v/>
      </c>
      <c r="G419" s="19">
        <f>IF($L419="","",IF(INDEX(ExpDep,$L419)=0,"",INDEX(ExpDep,$L419)))</f>
        <v/>
      </c>
      <c r="H419" s="19">
        <f>IF($L419="","",IF(INDEX(ExpWit,$L419)=0,"",INDEX(ExpWit,$L419)))</f>
        <v/>
      </c>
      <c r="I419" s="20">
        <f>IF($B419="","",IF($I418="",0,$I418)+IF($H419="",0,$H419)-IF($G419="",0,$G419))</f>
        <v/>
      </c>
      <c r="J419" s="18">
        <f>IF($L419="","",IF(INDEX(ExpNote,$L419)="","—",INDEX(ExpNote,$L419)))</f>
        <v/>
      </c>
      <c r="L419">
        <f>IFERROR(MATCH($C$5&amp;"|"&amp;RIGHT("000000"&amp;403,6),ExpRankKey,0),"")</f>
        <v/>
      </c>
    </row>
    <row r="420">
      <c r="A420" s="21" t="n">
        <v>404</v>
      </c>
      <c r="B420" s="22">
        <f>IF($L420="","",INDEX(ExpNorm,$L420))</f>
        <v/>
      </c>
      <c r="C420" s="22">
        <f>IF($L420="","",IF(INDEX(ExpTime,$L420)="","—",LEFT(INDEX(ExpTime,$L420),2)&amp;":"&amp;RIGHT(INDEX(ExpTime,$L420),2)))</f>
        <v/>
      </c>
      <c r="D420" s="22">
        <f>IF($L420="","",IF(INDEX(ExpBank,$L420)="","—",INDEX(ExpBank,$L420)))</f>
        <v/>
      </c>
      <c r="E420" s="23">
        <f>IF($L420="","",IF(INDEX(ExpParty,$L420)="","—",IFERROR(VLOOKUP(INDEX(ExpParty,$L420),AcctTbl,4,0),INDEX(ExpParty,$L420))))</f>
        <v/>
      </c>
      <c r="F420" s="22">
        <f>IF($L420="","",IF(INDEX(ExpType,$L420)="","—",INDEX(ExpType,$L420)))</f>
        <v/>
      </c>
      <c r="G420" s="24">
        <f>IF($L420="","",IF(INDEX(ExpDep,$L420)=0,"",INDEX(ExpDep,$L420)))</f>
        <v/>
      </c>
      <c r="H420" s="24">
        <f>IF($L420="","",IF(INDEX(ExpWit,$L420)=0,"",INDEX(ExpWit,$L420)))</f>
        <v/>
      </c>
      <c r="I420" s="25">
        <f>IF($B420="","",IF($I419="",0,$I419)+IF($H420="",0,$H420)-IF($G420="",0,$G420))</f>
        <v/>
      </c>
      <c r="J420" s="23">
        <f>IF($L420="","",IF(INDEX(ExpNote,$L420)="","—",INDEX(ExpNote,$L420)))</f>
        <v/>
      </c>
      <c r="L420">
        <f>IFERROR(MATCH($C$5&amp;"|"&amp;RIGHT("000000"&amp;404,6),ExpRankKey,0),"")</f>
        <v/>
      </c>
    </row>
    <row r="421">
      <c r="A421" s="16" t="n">
        <v>405</v>
      </c>
      <c r="B421" s="17">
        <f>IF($L421="","",INDEX(ExpNorm,$L421))</f>
        <v/>
      </c>
      <c r="C421" s="17">
        <f>IF($L421="","",IF(INDEX(ExpTime,$L421)="","—",LEFT(INDEX(ExpTime,$L421),2)&amp;":"&amp;RIGHT(INDEX(ExpTime,$L421),2)))</f>
        <v/>
      </c>
      <c r="D421" s="17">
        <f>IF($L421="","",IF(INDEX(ExpBank,$L421)="","—",INDEX(ExpBank,$L421)))</f>
        <v/>
      </c>
      <c r="E421" s="18">
        <f>IF($L421="","",IF(INDEX(ExpParty,$L421)="","—",IFERROR(VLOOKUP(INDEX(ExpParty,$L421),AcctTbl,4,0),INDEX(ExpParty,$L421))))</f>
        <v/>
      </c>
      <c r="F421" s="17">
        <f>IF($L421="","",IF(INDEX(ExpType,$L421)="","—",INDEX(ExpType,$L421)))</f>
        <v/>
      </c>
      <c r="G421" s="19">
        <f>IF($L421="","",IF(INDEX(ExpDep,$L421)=0,"",INDEX(ExpDep,$L421)))</f>
        <v/>
      </c>
      <c r="H421" s="19">
        <f>IF($L421="","",IF(INDEX(ExpWit,$L421)=0,"",INDEX(ExpWit,$L421)))</f>
        <v/>
      </c>
      <c r="I421" s="20">
        <f>IF($B421="","",IF($I420="",0,$I420)+IF($H421="",0,$H421)-IF($G421="",0,$G421))</f>
        <v/>
      </c>
      <c r="J421" s="18">
        <f>IF($L421="","",IF(INDEX(ExpNote,$L421)="","—",INDEX(ExpNote,$L421)))</f>
        <v/>
      </c>
      <c r="L421">
        <f>IFERROR(MATCH($C$5&amp;"|"&amp;RIGHT("000000"&amp;405,6),ExpRankKey,0),"")</f>
        <v/>
      </c>
    </row>
    <row r="422">
      <c r="A422" s="21" t="n">
        <v>406</v>
      </c>
      <c r="B422" s="22">
        <f>IF($L422="","",INDEX(ExpNorm,$L422))</f>
        <v/>
      </c>
      <c r="C422" s="22">
        <f>IF($L422="","",IF(INDEX(ExpTime,$L422)="","—",LEFT(INDEX(ExpTime,$L422),2)&amp;":"&amp;RIGHT(INDEX(ExpTime,$L422),2)))</f>
        <v/>
      </c>
      <c r="D422" s="22">
        <f>IF($L422="","",IF(INDEX(ExpBank,$L422)="","—",INDEX(ExpBank,$L422)))</f>
        <v/>
      </c>
      <c r="E422" s="23">
        <f>IF($L422="","",IF(INDEX(ExpParty,$L422)="","—",IFERROR(VLOOKUP(INDEX(ExpParty,$L422),AcctTbl,4,0),INDEX(ExpParty,$L422))))</f>
        <v/>
      </c>
      <c r="F422" s="22">
        <f>IF($L422="","",IF(INDEX(ExpType,$L422)="","—",INDEX(ExpType,$L422)))</f>
        <v/>
      </c>
      <c r="G422" s="24">
        <f>IF($L422="","",IF(INDEX(ExpDep,$L422)=0,"",INDEX(ExpDep,$L422)))</f>
        <v/>
      </c>
      <c r="H422" s="24">
        <f>IF($L422="","",IF(INDEX(ExpWit,$L422)=0,"",INDEX(ExpWit,$L422)))</f>
        <v/>
      </c>
      <c r="I422" s="25">
        <f>IF($B422="","",IF($I421="",0,$I421)+IF($H422="",0,$H422)-IF($G422="",0,$G422))</f>
        <v/>
      </c>
      <c r="J422" s="23">
        <f>IF($L422="","",IF(INDEX(ExpNote,$L422)="","—",INDEX(ExpNote,$L422)))</f>
        <v/>
      </c>
      <c r="L422">
        <f>IFERROR(MATCH($C$5&amp;"|"&amp;RIGHT("000000"&amp;406,6),ExpRankKey,0),"")</f>
        <v/>
      </c>
    </row>
    <row r="423">
      <c r="A423" s="16" t="n">
        <v>407</v>
      </c>
      <c r="B423" s="17">
        <f>IF($L423="","",INDEX(ExpNorm,$L423))</f>
        <v/>
      </c>
      <c r="C423" s="17">
        <f>IF($L423="","",IF(INDEX(ExpTime,$L423)="","—",LEFT(INDEX(ExpTime,$L423),2)&amp;":"&amp;RIGHT(INDEX(ExpTime,$L423),2)))</f>
        <v/>
      </c>
      <c r="D423" s="17">
        <f>IF($L423="","",IF(INDEX(ExpBank,$L423)="","—",INDEX(ExpBank,$L423)))</f>
        <v/>
      </c>
      <c r="E423" s="18">
        <f>IF($L423="","",IF(INDEX(ExpParty,$L423)="","—",IFERROR(VLOOKUP(INDEX(ExpParty,$L423),AcctTbl,4,0),INDEX(ExpParty,$L423))))</f>
        <v/>
      </c>
      <c r="F423" s="17">
        <f>IF($L423="","",IF(INDEX(ExpType,$L423)="","—",INDEX(ExpType,$L423)))</f>
        <v/>
      </c>
      <c r="G423" s="19">
        <f>IF($L423="","",IF(INDEX(ExpDep,$L423)=0,"",INDEX(ExpDep,$L423)))</f>
        <v/>
      </c>
      <c r="H423" s="19">
        <f>IF($L423="","",IF(INDEX(ExpWit,$L423)=0,"",INDEX(ExpWit,$L423)))</f>
        <v/>
      </c>
      <c r="I423" s="20">
        <f>IF($B423="","",IF($I422="",0,$I422)+IF($H423="",0,$H423)-IF($G423="",0,$G423))</f>
        <v/>
      </c>
      <c r="J423" s="18">
        <f>IF($L423="","",IF(INDEX(ExpNote,$L423)="","—",INDEX(ExpNote,$L423)))</f>
        <v/>
      </c>
      <c r="L423">
        <f>IFERROR(MATCH($C$5&amp;"|"&amp;RIGHT("000000"&amp;407,6),ExpRankKey,0),"")</f>
        <v/>
      </c>
    </row>
    <row r="424">
      <c r="A424" s="21" t="n">
        <v>408</v>
      </c>
      <c r="B424" s="22">
        <f>IF($L424="","",INDEX(ExpNorm,$L424))</f>
        <v/>
      </c>
      <c r="C424" s="22">
        <f>IF($L424="","",IF(INDEX(ExpTime,$L424)="","—",LEFT(INDEX(ExpTime,$L424),2)&amp;":"&amp;RIGHT(INDEX(ExpTime,$L424),2)))</f>
        <v/>
      </c>
      <c r="D424" s="22">
        <f>IF($L424="","",IF(INDEX(ExpBank,$L424)="","—",INDEX(ExpBank,$L424)))</f>
        <v/>
      </c>
      <c r="E424" s="23">
        <f>IF($L424="","",IF(INDEX(ExpParty,$L424)="","—",IFERROR(VLOOKUP(INDEX(ExpParty,$L424),AcctTbl,4,0),INDEX(ExpParty,$L424))))</f>
        <v/>
      </c>
      <c r="F424" s="22">
        <f>IF($L424="","",IF(INDEX(ExpType,$L424)="","—",INDEX(ExpType,$L424)))</f>
        <v/>
      </c>
      <c r="G424" s="24">
        <f>IF($L424="","",IF(INDEX(ExpDep,$L424)=0,"",INDEX(ExpDep,$L424)))</f>
        <v/>
      </c>
      <c r="H424" s="24">
        <f>IF($L424="","",IF(INDEX(ExpWit,$L424)=0,"",INDEX(ExpWit,$L424)))</f>
        <v/>
      </c>
      <c r="I424" s="25">
        <f>IF($B424="","",IF($I423="",0,$I423)+IF($H424="",0,$H424)-IF($G424="",0,$G424))</f>
        <v/>
      </c>
      <c r="J424" s="23">
        <f>IF($L424="","",IF(INDEX(ExpNote,$L424)="","—",INDEX(ExpNote,$L424)))</f>
        <v/>
      </c>
      <c r="L424">
        <f>IFERROR(MATCH($C$5&amp;"|"&amp;RIGHT("000000"&amp;408,6),ExpRankKey,0),"")</f>
        <v/>
      </c>
    </row>
    <row r="425">
      <c r="A425" s="16" t="n">
        <v>409</v>
      </c>
      <c r="B425" s="17">
        <f>IF($L425="","",INDEX(ExpNorm,$L425))</f>
        <v/>
      </c>
      <c r="C425" s="17">
        <f>IF($L425="","",IF(INDEX(ExpTime,$L425)="","—",LEFT(INDEX(ExpTime,$L425),2)&amp;":"&amp;RIGHT(INDEX(ExpTime,$L425),2)))</f>
        <v/>
      </c>
      <c r="D425" s="17">
        <f>IF($L425="","",IF(INDEX(ExpBank,$L425)="","—",INDEX(ExpBank,$L425)))</f>
        <v/>
      </c>
      <c r="E425" s="18">
        <f>IF($L425="","",IF(INDEX(ExpParty,$L425)="","—",IFERROR(VLOOKUP(INDEX(ExpParty,$L425),AcctTbl,4,0),INDEX(ExpParty,$L425))))</f>
        <v/>
      </c>
      <c r="F425" s="17">
        <f>IF($L425="","",IF(INDEX(ExpType,$L425)="","—",INDEX(ExpType,$L425)))</f>
        <v/>
      </c>
      <c r="G425" s="19">
        <f>IF($L425="","",IF(INDEX(ExpDep,$L425)=0,"",INDEX(ExpDep,$L425)))</f>
        <v/>
      </c>
      <c r="H425" s="19">
        <f>IF($L425="","",IF(INDEX(ExpWit,$L425)=0,"",INDEX(ExpWit,$L425)))</f>
        <v/>
      </c>
      <c r="I425" s="20">
        <f>IF($B425="","",IF($I424="",0,$I424)+IF($H425="",0,$H425)-IF($G425="",0,$G425))</f>
        <v/>
      </c>
      <c r="J425" s="18">
        <f>IF($L425="","",IF(INDEX(ExpNote,$L425)="","—",INDEX(ExpNote,$L425)))</f>
        <v/>
      </c>
      <c r="L425">
        <f>IFERROR(MATCH($C$5&amp;"|"&amp;RIGHT("000000"&amp;409,6),ExpRankKey,0),"")</f>
        <v/>
      </c>
    </row>
    <row r="426">
      <c r="A426" s="21" t="n">
        <v>410</v>
      </c>
      <c r="B426" s="22">
        <f>IF($L426="","",INDEX(ExpNorm,$L426))</f>
        <v/>
      </c>
      <c r="C426" s="22">
        <f>IF($L426="","",IF(INDEX(ExpTime,$L426)="","—",LEFT(INDEX(ExpTime,$L426),2)&amp;":"&amp;RIGHT(INDEX(ExpTime,$L426),2)))</f>
        <v/>
      </c>
      <c r="D426" s="22">
        <f>IF($L426="","",IF(INDEX(ExpBank,$L426)="","—",INDEX(ExpBank,$L426)))</f>
        <v/>
      </c>
      <c r="E426" s="23">
        <f>IF($L426="","",IF(INDEX(ExpParty,$L426)="","—",IFERROR(VLOOKUP(INDEX(ExpParty,$L426),AcctTbl,4,0),INDEX(ExpParty,$L426))))</f>
        <v/>
      </c>
      <c r="F426" s="22">
        <f>IF($L426="","",IF(INDEX(ExpType,$L426)="","—",INDEX(ExpType,$L426)))</f>
        <v/>
      </c>
      <c r="G426" s="24">
        <f>IF($L426="","",IF(INDEX(ExpDep,$L426)=0,"",INDEX(ExpDep,$L426)))</f>
        <v/>
      </c>
      <c r="H426" s="24">
        <f>IF($L426="","",IF(INDEX(ExpWit,$L426)=0,"",INDEX(ExpWit,$L426)))</f>
        <v/>
      </c>
      <c r="I426" s="25">
        <f>IF($B426="","",IF($I425="",0,$I425)+IF($H426="",0,$H426)-IF($G426="",0,$G426))</f>
        <v/>
      </c>
      <c r="J426" s="23">
        <f>IF($L426="","",IF(INDEX(ExpNote,$L426)="","—",INDEX(ExpNote,$L426)))</f>
        <v/>
      </c>
      <c r="L426">
        <f>IFERROR(MATCH($C$5&amp;"|"&amp;RIGHT("000000"&amp;410,6),ExpRankKey,0),"")</f>
        <v/>
      </c>
    </row>
    <row r="427">
      <c r="A427" s="16" t="n">
        <v>411</v>
      </c>
      <c r="B427" s="17">
        <f>IF($L427="","",INDEX(ExpNorm,$L427))</f>
        <v/>
      </c>
      <c r="C427" s="17">
        <f>IF($L427="","",IF(INDEX(ExpTime,$L427)="","—",LEFT(INDEX(ExpTime,$L427),2)&amp;":"&amp;RIGHT(INDEX(ExpTime,$L427),2)))</f>
        <v/>
      </c>
      <c r="D427" s="17">
        <f>IF($L427="","",IF(INDEX(ExpBank,$L427)="","—",INDEX(ExpBank,$L427)))</f>
        <v/>
      </c>
      <c r="E427" s="18">
        <f>IF($L427="","",IF(INDEX(ExpParty,$L427)="","—",IFERROR(VLOOKUP(INDEX(ExpParty,$L427),AcctTbl,4,0),INDEX(ExpParty,$L427))))</f>
        <v/>
      </c>
      <c r="F427" s="17">
        <f>IF($L427="","",IF(INDEX(ExpType,$L427)="","—",INDEX(ExpType,$L427)))</f>
        <v/>
      </c>
      <c r="G427" s="19">
        <f>IF($L427="","",IF(INDEX(ExpDep,$L427)=0,"",INDEX(ExpDep,$L427)))</f>
        <v/>
      </c>
      <c r="H427" s="19">
        <f>IF($L427="","",IF(INDEX(ExpWit,$L427)=0,"",INDEX(ExpWit,$L427)))</f>
        <v/>
      </c>
      <c r="I427" s="20">
        <f>IF($B427="","",IF($I426="",0,$I426)+IF($H427="",0,$H427)-IF($G427="",0,$G427))</f>
        <v/>
      </c>
      <c r="J427" s="18">
        <f>IF($L427="","",IF(INDEX(ExpNote,$L427)="","—",INDEX(ExpNote,$L427)))</f>
        <v/>
      </c>
      <c r="L427">
        <f>IFERROR(MATCH($C$5&amp;"|"&amp;RIGHT("000000"&amp;411,6),ExpRankKey,0),"")</f>
        <v/>
      </c>
    </row>
    <row r="428">
      <c r="A428" s="21" t="n">
        <v>412</v>
      </c>
      <c r="B428" s="22">
        <f>IF($L428="","",INDEX(ExpNorm,$L428))</f>
        <v/>
      </c>
      <c r="C428" s="22">
        <f>IF($L428="","",IF(INDEX(ExpTime,$L428)="","—",LEFT(INDEX(ExpTime,$L428),2)&amp;":"&amp;RIGHT(INDEX(ExpTime,$L428),2)))</f>
        <v/>
      </c>
      <c r="D428" s="22">
        <f>IF($L428="","",IF(INDEX(ExpBank,$L428)="","—",INDEX(ExpBank,$L428)))</f>
        <v/>
      </c>
      <c r="E428" s="23">
        <f>IF($L428="","",IF(INDEX(ExpParty,$L428)="","—",IFERROR(VLOOKUP(INDEX(ExpParty,$L428),AcctTbl,4,0),INDEX(ExpParty,$L428))))</f>
        <v/>
      </c>
      <c r="F428" s="22">
        <f>IF($L428="","",IF(INDEX(ExpType,$L428)="","—",INDEX(ExpType,$L428)))</f>
        <v/>
      </c>
      <c r="G428" s="24">
        <f>IF($L428="","",IF(INDEX(ExpDep,$L428)=0,"",INDEX(ExpDep,$L428)))</f>
        <v/>
      </c>
      <c r="H428" s="24">
        <f>IF($L428="","",IF(INDEX(ExpWit,$L428)=0,"",INDEX(ExpWit,$L428)))</f>
        <v/>
      </c>
      <c r="I428" s="25">
        <f>IF($B428="","",IF($I427="",0,$I427)+IF($H428="",0,$H428)-IF($G428="",0,$G428))</f>
        <v/>
      </c>
      <c r="J428" s="23">
        <f>IF($L428="","",IF(INDEX(ExpNote,$L428)="","—",INDEX(ExpNote,$L428)))</f>
        <v/>
      </c>
      <c r="L428">
        <f>IFERROR(MATCH($C$5&amp;"|"&amp;RIGHT("000000"&amp;412,6),ExpRankKey,0),"")</f>
        <v/>
      </c>
    </row>
    <row r="429">
      <c r="A429" s="16" t="n">
        <v>413</v>
      </c>
      <c r="B429" s="17">
        <f>IF($L429="","",INDEX(ExpNorm,$L429))</f>
        <v/>
      </c>
      <c r="C429" s="17">
        <f>IF($L429="","",IF(INDEX(ExpTime,$L429)="","—",LEFT(INDEX(ExpTime,$L429),2)&amp;":"&amp;RIGHT(INDEX(ExpTime,$L429),2)))</f>
        <v/>
      </c>
      <c r="D429" s="17">
        <f>IF($L429="","",IF(INDEX(ExpBank,$L429)="","—",INDEX(ExpBank,$L429)))</f>
        <v/>
      </c>
      <c r="E429" s="18">
        <f>IF($L429="","",IF(INDEX(ExpParty,$L429)="","—",IFERROR(VLOOKUP(INDEX(ExpParty,$L429),AcctTbl,4,0),INDEX(ExpParty,$L429))))</f>
        <v/>
      </c>
      <c r="F429" s="17">
        <f>IF($L429="","",IF(INDEX(ExpType,$L429)="","—",INDEX(ExpType,$L429)))</f>
        <v/>
      </c>
      <c r="G429" s="19">
        <f>IF($L429="","",IF(INDEX(ExpDep,$L429)=0,"",INDEX(ExpDep,$L429)))</f>
        <v/>
      </c>
      <c r="H429" s="19">
        <f>IF($L429="","",IF(INDEX(ExpWit,$L429)=0,"",INDEX(ExpWit,$L429)))</f>
        <v/>
      </c>
      <c r="I429" s="20">
        <f>IF($B429="","",IF($I428="",0,$I428)+IF($H429="",0,$H429)-IF($G429="",0,$G429))</f>
        <v/>
      </c>
      <c r="J429" s="18">
        <f>IF($L429="","",IF(INDEX(ExpNote,$L429)="","—",INDEX(ExpNote,$L429)))</f>
        <v/>
      </c>
      <c r="L429">
        <f>IFERROR(MATCH($C$5&amp;"|"&amp;RIGHT("000000"&amp;413,6),ExpRankKey,0),"")</f>
        <v/>
      </c>
    </row>
    <row r="430">
      <c r="A430" s="21" t="n">
        <v>414</v>
      </c>
      <c r="B430" s="22">
        <f>IF($L430="","",INDEX(ExpNorm,$L430))</f>
        <v/>
      </c>
      <c r="C430" s="22">
        <f>IF($L430="","",IF(INDEX(ExpTime,$L430)="","—",LEFT(INDEX(ExpTime,$L430),2)&amp;":"&amp;RIGHT(INDEX(ExpTime,$L430),2)))</f>
        <v/>
      </c>
      <c r="D430" s="22">
        <f>IF($L430="","",IF(INDEX(ExpBank,$L430)="","—",INDEX(ExpBank,$L430)))</f>
        <v/>
      </c>
      <c r="E430" s="23">
        <f>IF($L430="","",IF(INDEX(ExpParty,$L430)="","—",IFERROR(VLOOKUP(INDEX(ExpParty,$L430),AcctTbl,4,0),INDEX(ExpParty,$L430))))</f>
        <v/>
      </c>
      <c r="F430" s="22">
        <f>IF($L430="","",IF(INDEX(ExpType,$L430)="","—",INDEX(ExpType,$L430)))</f>
        <v/>
      </c>
      <c r="G430" s="24">
        <f>IF($L430="","",IF(INDEX(ExpDep,$L430)=0,"",INDEX(ExpDep,$L430)))</f>
        <v/>
      </c>
      <c r="H430" s="24">
        <f>IF($L430="","",IF(INDEX(ExpWit,$L430)=0,"",INDEX(ExpWit,$L430)))</f>
        <v/>
      </c>
      <c r="I430" s="25">
        <f>IF($B430="","",IF($I429="",0,$I429)+IF($H430="",0,$H430)-IF($G430="",0,$G430))</f>
        <v/>
      </c>
      <c r="J430" s="23">
        <f>IF($L430="","",IF(INDEX(ExpNote,$L430)="","—",INDEX(ExpNote,$L430)))</f>
        <v/>
      </c>
      <c r="L430">
        <f>IFERROR(MATCH($C$5&amp;"|"&amp;RIGHT("000000"&amp;414,6),ExpRankKey,0),"")</f>
        <v/>
      </c>
    </row>
    <row r="431">
      <c r="A431" s="16" t="n">
        <v>415</v>
      </c>
      <c r="B431" s="17">
        <f>IF($L431="","",INDEX(ExpNorm,$L431))</f>
        <v/>
      </c>
      <c r="C431" s="17">
        <f>IF($L431="","",IF(INDEX(ExpTime,$L431)="","—",LEFT(INDEX(ExpTime,$L431),2)&amp;":"&amp;RIGHT(INDEX(ExpTime,$L431),2)))</f>
        <v/>
      </c>
      <c r="D431" s="17">
        <f>IF($L431="","",IF(INDEX(ExpBank,$L431)="","—",INDEX(ExpBank,$L431)))</f>
        <v/>
      </c>
      <c r="E431" s="18">
        <f>IF($L431="","",IF(INDEX(ExpParty,$L431)="","—",IFERROR(VLOOKUP(INDEX(ExpParty,$L431),AcctTbl,4,0),INDEX(ExpParty,$L431))))</f>
        <v/>
      </c>
      <c r="F431" s="17">
        <f>IF($L431="","",IF(INDEX(ExpType,$L431)="","—",INDEX(ExpType,$L431)))</f>
        <v/>
      </c>
      <c r="G431" s="19">
        <f>IF($L431="","",IF(INDEX(ExpDep,$L431)=0,"",INDEX(ExpDep,$L431)))</f>
        <v/>
      </c>
      <c r="H431" s="19">
        <f>IF($L431="","",IF(INDEX(ExpWit,$L431)=0,"",INDEX(ExpWit,$L431)))</f>
        <v/>
      </c>
      <c r="I431" s="20">
        <f>IF($B431="","",IF($I430="",0,$I430)+IF($H431="",0,$H431)-IF($G431="",0,$G431))</f>
        <v/>
      </c>
      <c r="J431" s="18">
        <f>IF($L431="","",IF(INDEX(ExpNote,$L431)="","—",INDEX(ExpNote,$L431)))</f>
        <v/>
      </c>
      <c r="L431">
        <f>IFERROR(MATCH($C$5&amp;"|"&amp;RIGHT("000000"&amp;415,6),ExpRankKey,0),"")</f>
        <v/>
      </c>
    </row>
    <row r="432">
      <c r="A432" s="21" t="n">
        <v>416</v>
      </c>
      <c r="B432" s="22">
        <f>IF($L432="","",INDEX(ExpNorm,$L432))</f>
        <v/>
      </c>
      <c r="C432" s="22">
        <f>IF($L432="","",IF(INDEX(ExpTime,$L432)="","—",LEFT(INDEX(ExpTime,$L432),2)&amp;":"&amp;RIGHT(INDEX(ExpTime,$L432),2)))</f>
        <v/>
      </c>
      <c r="D432" s="22">
        <f>IF($L432="","",IF(INDEX(ExpBank,$L432)="","—",INDEX(ExpBank,$L432)))</f>
        <v/>
      </c>
      <c r="E432" s="23">
        <f>IF($L432="","",IF(INDEX(ExpParty,$L432)="","—",IFERROR(VLOOKUP(INDEX(ExpParty,$L432),AcctTbl,4,0),INDEX(ExpParty,$L432))))</f>
        <v/>
      </c>
      <c r="F432" s="22">
        <f>IF($L432="","",IF(INDEX(ExpType,$L432)="","—",INDEX(ExpType,$L432)))</f>
        <v/>
      </c>
      <c r="G432" s="24">
        <f>IF($L432="","",IF(INDEX(ExpDep,$L432)=0,"",INDEX(ExpDep,$L432)))</f>
        <v/>
      </c>
      <c r="H432" s="24">
        <f>IF($L432="","",IF(INDEX(ExpWit,$L432)=0,"",INDEX(ExpWit,$L432)))</f>
        <v/>
      </c>
      <c r="I432" s="25">
        <f>IF($B432="","",IF($I431="",0,$I431)+IF($H432="",0,$H432)-IF($G432="",0,$G432))</f>
        <v/>
      </c>
      <c r="J432" s="23">
        <f>IF($L432="","",IF(INDEX(ExpNote,$L432)="","—",INDEX(ExpNote,$L432)))</f>
        <v/>
      </c>
      <c r="L432">
        <f>IFERROR(MATCH($C$5&amp;"|"&amp;RIGHT("000000"&amp;416,6),ExpRankKey,0),"")</f>
        <v/>
      </c>
    </row>
    <row r="433">
      <c r="A433" s="16" t="n">
        <v>417</v>
      </c>
      <c r="B433" s="17">
        <f>IF($L433="","",INDEX(ExpNorm,$L433))</f>
        <v/>
      </c>
      <c r="C433" s="17">
        <f>IF($L433="","",IF(INDEX(ExpTime,$L433)="","—",LEFT(INDEX(ExpTime,$L433),2)&amp;":"&amp;RIGHT(INDEX(ExpTime,$L433),2)))</f>
        <v/>
      </c>
      <c r="D433" s="17">
        <f>IF($L433="","",IF(INDEX(ExpBank,$L433)="","—",INDEX(ExpBank,$L433)))</f>
        <v/>
      </c>
      <c r="E433" s="18">
        <f>IF($L433="","",IF(INDEX(ExpParty,$L433)="","—",IFERROR(VLOOKUP(INDEX(ExpParty,$L433),AcctTbl,4,0),INDEX(ExpParty,$L433))))</f>
        <v/>
      </c>
      <c r="F433" s="17">
        <f>IF($L433="","",IF(INDEX(ExpType,$L433)="","—",INDEX(ExpType,$L433)))</f>
        <v/>
      </c>
      <c r="G433" s="19">
        <f>IF($L433="","",IF(INDEX(ExpDep,$L433)=0,"",INDEX(ExpDep,$L433)))</f>
        <v/>
      </c>
      <c r="H433" s="19">
        <f>IF($L433="","",IF(INDEX(ExpWit,$L433)=0,"",INDEX(ExpWit,$L433)))</f>
        <v/>
      </c>
      <c r="I433" s="20">
        <f>IF($B433="","",IF($I432="",0,$I432)+IF($H433="",0,$H433)-IF($G433="",0,$G433))</f>
        <v/>
      </c>
      <c r="J433" s="18">
        <f>IF($L433="","",IF(INDEX(ExpNote,$L433)="","—",INDEX(ExpNote,$L433)))</f>
        <v/>
      </c>
      <c r="L433">
        <f>IFERROR(MATCH($C$5&amp;"|"&amp;RIGHT("000000"&amp;417,6),ExpRankKey,0),"")</f>
        <v/>
      </c>
    </row>
    <row r="434">
      <c r="A434" s="21" t="n">
        <v>418</v>
      </c>
      <c r="B434" s="22">
        <f>IF($L434="","",INDEX(ExpNorm,$L434))</f>
        <v/>
      </c>
      <c r="C434" s="22">
        <f>IF($L434="","",IF(INDEX(ExpTime,$L434)="","—",LEFT(INDEX(ExpTime,$L434),2)&amp;":"&amp;RIGHT(INDEX(ExpTime,$L434),2)))</f>
        <v/>
      </c>
      <c r="D434" s="22">
        <f>IF($L434="","",IF(INDEX(ExpBank,$L434)="","—",INDEX(ExpBank,$L434)))</f>
        <v/>
      </c>
      <c r="E434" s="23">
        <f>IF($L434="","",IF(INDEX(ExpParty,$L434)="","—",IFERROR(VLOOKUP(INDEX(ExpParty,$L434),AcctTbl,4,0),INDEX(ExpParty,$L434))))</f>
        <v/>
      </c>
      <c r="F434" s="22">
        <f>IF($L434="","",IF(INDEX(ExpType,$L434)="","—",INDEX(ExpType,$L434)))</f>
        <v/>
      </c>
      <c r="G434" s="24">
        <f>IF($L434="","",IF(INDEX(ExpDep,$L434)=0,"",INDEX(ExpDep,$L434)))</f>
        <v/>
      </c>
      <c r="H434" s="24">
        <f>IF($L434="","",IF(INDEX(ExpWit,$L434)=0,"",INDEX(ExpWit,$L434)))</f>
        <v/>
      </c>
      <c r="I434" s="25">
        <f>IF($B434="","",IF($I433="",0,$I433)+IF($H434="",0,$H434)-IF($G434="",0,$G434))</f>
        <v/>
      </c>
      <c r="J434" s="23">
        <f>IF($L434="","",IF(INDEX(ExpNote,$L434)="","—",INDEX(ExpNote,$L434)))</f>
        <v/>
      </c>
      <c r="L434">
        <f>IFERROR(MATCH($C$5&amp;"|"&amp;RIGHT("000000"&amp;418,6),ExpRankKey,0),"")</f>
        <v/>
      </c>
    </row>
    <row r="435">
      <c r="A435" s="16" t="n">
        <v>419</v>
      </c>
      <c r="B435" s="17">
        <f>IF($L435="","",INDEX(ExpNorm,$L435))</f>
        <v/>
      </c>
      <c r="C435" s="17">
        <f>IF($L435="","",IF(INDEX(ExpTime,$L435)="","—",LEFT(INDEX(ExpTime,$L435),2)&amp;":"&amp;RIGHT(INDEX(ExpTime,$L435),2)))</f>
        <v/>
      </c>
      <c r="D435" s="17">
        <f>IF($L435="","",IF(INDEX(ExpBank,$L435)="","—",INDEX(ExpBank,$L435)))</f>
        <v/>
      </c>
      <c r="E435" s="18">
        <f>IF($L435="","",IF(INDEX(ExpParty,$L435)="","—",IFERROR(VLOOKUP(INDEX(ExpParty,$L435),AcctTbl,4,0),INDEX(ExpParty,$L435))))</f>
        <v/>
      </c>
      <c r="F435" s="17">
        <f>IF($L435="","",IF(INDEX(ExpType,$L435)="","—",INDEX(ExpType,$L435)))</f>
        <v/>
      </c>
      <c r="G435" s="19">
        <f>IF($L435="","",IF(INDEX(ExpDep,$L435)=0,"",INDEX(ExpDep,$L435)))</f>
        <v/>
      </c>
      <c r="H435" s="19">
        <f>IF($L435="","",IF(INDEX(ExpWit,$L435)=0,"",INDEX(ExpWit,$L435)))</f>
        <v/>
      </c>
      <c r="I435" s="20">
        <f>IF($B435="","",IF($I434="",0,$I434)+IF($H435="",0,$H435)-IF($G435="",0,$G435))</f>
        <v/>
      </c>
      <c r="J435" s="18">
        <f>IF($L435="","",IF(INDEX(ExpNote,$L435)="","—",INDEX(ExpNote,$L435)))</f>
        <v/>
      </c>
      <c r="L435">
        <f>IFERROR(MATCH($C$5&amp;"|"&amp;RIGHT("000000"&amp;419,6),ExpRankKey,0),"")</f>
        <v/>
      </c>
    </row>
    <row r="436">
      <c r="A436" s="21" t="n">
        <v>420</v>
      </c>
      <c r="B436" s="22">
        <f>IF($L436="","",INDEX(ExpNorm,$L436))</f>
        <v/>
      </c>
      <c r="C436" s="22">
        <f>IF($L436="","",IF(INDEX(ExpTime,$L436)="","—",LEFT(INDEX(ExpTime,$L436),2)&amp;":"&amp;RIGHT(INDEX(ExpTime,$L436),2)))</f>
        <v/>
      </c>
      <c r="D436" s="22">
        <f>IF($L436="","",IF(INDEX(ExpBank,$L436)="","—",INDEX(ExpBank,$L436)))</f>
        <v/>
      </c>
      <c r="E436" s="23">
        <f>IF($L436="","",IF(INDEX(ExpParty,$L436)="","—",IFERROR(VLOOKUP(INDEX(ExpParty,$L436),AcctTbl,4,0),INDEX(ExpParty,$L436))))</f>
        <v/>
      </c>
      <c r="F436" s="22">
        <f>IF($L436="","",IF(INDEX(ExpType,$L436)="","—",INDEX(ExpType,$L436)))</f>
        <v/>
      </c>
      <c r="G436" s="24">
        <f>IF($L436="","",IF(INDEX(ExpDep,$L436)=0,"",INDEX(ExpDep,$L436)))</f>
        <v/>
      </c>
      <c r="H436" s="24">
        <f>IF($L436="","",IF(INDEX(ExpWit,$L436)=0,"",INDEX(ExpWit,$L436)))</f>
        <v/>
      </c>
      <c r="I436" s="25">
        <f>IF($B436="","",IF($I435="",0,$I435)+IF($H436="",0,$H436)-IF($G436="",0,$G436))</f>
        <v/>
      </c>
      <c r="J436" s="23">
        <f>IF($L436="","",IF(INDEX(ExpNote,$L436)="","—",INDEX(ExpNote,$L436)))</f>
        <v/>
      </c>
      <c r="L436">
        <f>IFERROR(MATCH($C$5&amp;"|"&amp;RIGHT("000000"&amp;420,6),ExpRankKey,0),"")</f>
        <v/>
      </c>
    </row>
    <row r="437">
      <c r="A437" s="16" t="n">
        <v>421</v>
      </c>
      <c r="B437" s="17">
        <f>IF($L437="","",INDEX(ExpNorm,$L437))</f>
        <v/>
      </c>
      <c r="C437" s="17">
        <f>IF($L437="","",IF(INDEX(ExpTime,$L437)="","—",LEFT(INDEX(ExpTime,$L437),2)&amp;":"&amp;RIGHT(INDEX(ExpTime,$L437),2)))</f>
        <v/>
      </c>
      <c r="D437" s="17">
        <f>IF($L437="","",IF(INDEX(ExpBank,$L437)="","—",INDEX(ExpBank,$L437)))</f>
        <v/>
      </c>
      <c r="E437" s="18">
        <f>IF($L437="","",IF(INDEX(ExpParty,$L437)="","—",IFERROR(VLOOKUP(INDEX(ExpParty,$L437),AcctTbl,4,0),INDEX(ExpParty,$L437))))</f>
        <v/>
      </c>
      <c r="F437" s="17">
        <f>IF($L437="","",IF(INDEX(ExpType,$L437)="","—",INDEX(ExpType,$L437)))</f>
        <v/>
      </c>
      <c r="G437" s="19">
        <f>IF($L437="","",IF(INDEX(ExpDep,$L437)=0,"",INDEX(ExpDep,$L437)))</f>
        <v/>
      </c>
      <c r="H437" s="19">
        <f>IF($L437="","",IF(INDEX(ExpWit,$L437)=0,"",INDEX(ExpWit,$L437)))</f>
        <v/>
      </c>
      <c r="I437" s="20">
        <f>IF($B437="","",IF($I436="",0,$I436)+IF($H437="",0,$H437)-IF($G437="",0,$G437))</f>
        <v/>
      </c>
      <c r="J437" s="18">
        <f>IF($L437="","",IF(INDEX(ExpNote,$L437)="","—",INDEX(ExpNote,$L437)))</f>
        <v/>
      </c>
      <c r="L437">
        <f>IFERROR(MATCH($C$5&amp;"|"&amp;RIGHT("000000"&amp;421,6),ExpRankKey,0),"")</f>
        <v/>
      </c>
    </row>
    <row r="438">
      <c r="A438" s="21" t="n">
        <v>422</v>
      </c>
      <c r="B438" s="22">
        <f>IF($L438="","",INDEX(ExpNorm,$L438))</f>
        <v/>
      </c>
      <c r="C438" s="22">
        <f>IF($L438="","",IF(INDEX(ExpTime,$L438)="","—",LEFT(INDEX(ExpTime,$L438),2)&amp;":"&amp;RIGHT(INDEX(ExpTime,$L438),2)))</f>
        <v/>
      </c>
      <c r="D438" s="22">
        <f>IF($L438="","",IF(INDEX(ExpBank,$L438)="","—",INDEX(ExpBank,$L438)))</f>
        <v/>
      </c>
      <c r="E438" s="23">
        <f>IF($L438="","",IF(INDEX(ExpParty,$L438)="","—",IFERROR(VLOOKUP(INDEX(ExpParty,$L438),AcctTbl,4,0),INDEX(ExpParty,$L438))))</f>
        <v/>
      </c>
      <c r="F438" s="22">
        <f>IF($L438="","",IF(INDEX(ExpType,$L438)="","—",INDEX(ExpType,$L438)))</f>
        <v/>
      </c>
      <c r="G438" s="24">
        <f>IF($L438="","",IF(INDEX(ExpDep,$L438)=0,"",INDEX(ExpDep,$L438)))</f>
        <v/>
      </c>
      <c r="H438" s="24">
        <f>IF($L438="","",IF(INDEX(ExpWit,$L438)=0,"",INDEX(ExpWit,$L438)))</f>
        <v/>
      </c>
      <c r="I438" s="25">
        <f>IF($B438="","",IF($I437="",0,$I437)+IF($H438="",0,$H438)-IF($G438="",0,$G438))</f>
        <v/>
      </c>
      <c r="J438" s="23">
        <f>IF($L438="","",IF(INDEX(ExpNote,$L438)="","—",INDEX(ExpNote,$L438)))</f>
        <v/>
      </c>
      <c r="L438">
        <f>IFERROR(MATCH($C$5&amp;"|"&amp;RIGHT("000000"&amp;422,6),ExpRankKey,0),"")</f>
        <v/>
      </c>
    </row>
    <row r="439">
      <c r="A439" s="16" t="n">
        <v>423</v>
      </c>
      <c r="B439" s="17">
        <f>IF($L439="","",INDEX(ExpNorm,$L439))</f>
        <v/>
      </c>
      <c r="C439" s="17">
        <f>IF($L439="","",IF(INDEX(ExpTime,$L439)="","—",LEFT(INDEX(ExpTime,$L439),2)&amp;":"&amp;RIGHT(INDEX(ExpTime,$L439),2)))</f>
        <v/>
      </c>
      <c r="D439" s="17">
        <f>IF($L439="","",IF(INDEX(ExpBank,$L439)="","—",INDEX(ExpBank,$L439)))</f>
        <v/>
      </c>
      <c r="E439" s="18">
        <f>IF($L439="","",IF(INDEX(ExpParty,$L439)="","—",IFERROR(VLOOKUP(INDEX(ExpParty,$L439),AcctTbl,4,0),INDEX(ExpParty,$L439))))</f>
        <v/>
      </c>
      <c r="F439" s="17">
        <f>IF($L439="","",IF(INDEX(ExpType,$L439)="","—",INDEX(ExpType,$L439)))</f>
        <v/>
      </c>
      <c r="G439" s="19">
        <f>IF($L439="","",IF(INDEX(ExpDep,$L439)=0,"",INDEX(ExpDep,$L439)))</f>
        <v/>
      </c>
      <c r="H439" s="19">
        <f>IF($L439="","",IF(INDEX(ExpWit,$L439)=0,"",INDEX(ExpWit,$L439)))</f>
        <v/>
      </c>
      <c r="I439" s="20">
        <f>IF($B439="","",IF($I438="",0,$I438)+IF($H439="",0,$H439)-IF($G439="",0,$G439))</f>
        <v/>
      </c>
      <c r="J439" s="18">
        <f>IF($L439="","",IF(INDEX(ExpNote,$L439)="","—",INDEX(ExpNote,$L439)))</f>
        <v/>
      </c>
      <c r="L439">
        <f>IFERROR(MATCH($C$5&amp;"|"&amp;RIGHT("000000"&amp;423,6),ExpRankKey,0),"")</f>
        <v/>
      </c>
    </row>
    <row r="440">
      <c r="A440" s="21" t="n">
        <v>424</v>
      </c>
      <c r="B440" s="22">
        <f>IF($L440="","",INDEX(ExpNorm,$L440))</f>
        <v/>
      </c>
      <c r="C440" s="22">
        <f>IF($L440="","",IF(INDEX(ExpTime,$L440)="","—",LEFT(INDEX(ExpTime,$L440),2)&amp;":"&amp;RIGHT(INDEX(ExpTime,$L440),2)))</f>
        <v/>
      </c>
      <c r="D440" s="22">
        <f>IF($L440="","",IF(INDEX(ExpBank,$L440)="","—",INDEX(ExpBank,$L440)))</f>
        <v/>
      </c>
      <c r="E440" s="23">
        <f>IF($L440="","",IF(INDEX(ExpParty,$L440)="","—",IFERROR(VLOOKUP(INDEX(ExpParty,$L440),AcctTbl,4,0),INDEX(ExpParty,$L440))))</f>
        <v/>
      </c>
      <c r="F440" s="22">
        <f>IF($L440="","",IF(INDEX(ExpType,$L440)="","—",INDEX(ExpType,$L440)))</f>
        <v/>
      </c>
      <c r="G440" s="24">
        <f>IF($L440="","",IF(INDEX(ExpDep,$L440)=0,"",INDEX(ExpDep,$L440)))</f>
        <v/>
      </c>
      <c r="H440" s="24">
        <f>IF($L440="","",IF(INDEX(ExpWit,$L440)=0,"",INDEX(ExpWit,$L440)))</f>
        <v/>
      </c>
      <c r="I440" s="25">
        <f>IF($B440="","",IF($I439="",0,$I439)+IF($H440="",0,$H440)-IF($G440="",0,$G440))</f>
        <v/>
      </c>
      <c r="J440" s="23">
        <f>IF($L440="","",IF(INDEX(ExpNote,$L440)="","—",INDEX(ExpNote,$L440)))</f>
        <v/>
      </c>
      <c r="L440">
        <f>IFERROR(MATCH($C$5&amp;"|"&amp;RIGHT("000000"&amp;424,6),ExpRankKey,0),"")</f>
        <v/>
      </c>
    </row>
    <row r="441">
      <c r="A441" s="16" t="n">
        <v>425</v>
      </c>
      <c r="B441" s="17">
        <f>IF($L441="","",INDEX(ExpNorm,$L441))</f>
        <v/>
      </c>
      <c r="C441" s="17">
        <f>IF($L441="","",IF(INDEX(ExpTime,$L441)="","—",LEFT(INDEX(ExpTime,$L441),2)&amp;":"&amp;RIGHT(INDEX(ExpTime,$L441),2)))</f>
        <v/>
      </c>
      <c r="D441" s="17">
        <f>IF($L441="","",IF(INDEX(ExpBank,$L441)="","—",INDEX(ExpBank,$L441)))</f>
        <v/>
      </c>
      <c r="E441" s="18">
        <f>IF($L441="","",IF(INDEX(ExpParty,$L441)="","—",IFERROR(VLOOKUP(INDEX(ExpParty,$L441),AcctTbl,4,0),INDEX(ExpParty,$L441))))</f>
        <v/>
      </c>
      <c r="F441" s="17">
        <f>IF($L441="","",IF(INDEX(ExpType,$L441)="","—",INDEX(ExpType,$L441)))</f>
        <v/>
      </c>
      <c r="G441" s="19">
        <f>IF($L441="","",IF(INDEX(ExpDep,$L441)=0,"",INDEX(ExpDep,$L441)))</f>
        <v/>
      </c>
      <c r="H441" s="19">
        <f>IF($L441="","",IF(INDEX(ExpWit,$L441)=0,"",INDEX(ExpWit,$L441)))</f>
        <v/>
      </c>
      <c r="I441" s="20">
        <f>IF($B441="","",IF($I440="",0,$I440)+IF($H441="",0,$H441)-IF($G441="",0,$G441))</f>
        <v/>
      </c>
      <c r="J441" s="18">
        <f>IF($L441="","",IF(INDEX(ExpNote,$L441)="","—",INDEX(ExpNote,$L441)))</f>
        <v/>
      </c>
      <c r="L441">
        <f>IFERROR(MATCH($C$5&amp;"|"&amp;RIGHT("000000"&amp;425,6),ExpRankKey,0),"")</f>
        <v/>
      </c>
    </row>
    <row r="442">
      <c r="A442" s="21" t="n">
        <v>426</v>
      </c>
      <c r="B442" s="22">
        <f>IF($L442="","",INDEX(ExpNorm,$L442))</f>
        <v/>
      </c>
      <c r="C442" s="22">
        <f>IF($L442="","",IF(INDEX(ExpTime,$L442)="","—",LEFT(INDEX(ExpTime,$L442),2)&amp;":"&amp;RIGHT(INDEX(ExpTime,$L442),2)))</f>
        <v/>
      </c>
      <c r="D442" s="22">
        <f>IF($L442="","",IF(INDEX(ExpBank,$L442)="","—",INDEX(ExpBank,$L442)))</f>
        <v/>
      </c>
      <c r="E442" s="23">
        <f>IF($L442="","",IF(INDEX(ExpParty,$L442)="","—",IFERROR(VLOOKUP(INDEX(ExpParty,$L442),AcctTbl,4,0),INDEX(ExpParty,$L442))))</f>
        <v/>
      </c>
      <c r="F442" s="22">
        <f>IF($L442="","",IF(INDEX(ExpType,$L442)="","—",INDEX(ExpType,$L442)))</f>
        <v/>
      </c>
      <c r="G442" s="24">
        <f>IF($L442="","",IF(INDEX(ExpDep,$L442)=0,"",INDEX(ExpDep,$L442)))</f>
        <v/>
      </c>
      <c r="H442" s="24">
        <f>IF($L442="","",IF(INDEX(ExpWit,$L442)=0,"",INDEX(ExpWit,$L442)))</f>
        <v/>
      </c>
      <c r="I442" s="25">
        <f>IF($B442="","",IF($I441="",0,$I441)+IF($H442="",0,$H442)-IF($G442="",0,$G442))</f>
        <v/>
      </c>
      <c r="J442" s="23">
        <f>IF($L442="","",IF(INDEX(ExpNote,$L442)="","—",INDEX(ExpNote,$L442)))</f>
        <v/>
      </c>
      <c r="L442">
        <f>IFERROR(MATCH($C$5&amp;"|"&amp;RIGHT("000000"&amp;426,6),ExpRankKey,0),"")</f>
        <v/>
      </c>
    </row>
    <row r="443">
      <c r="A443" s="16" t="n">
        <v>427</v>
      </c>
      <c r="B443" s="17">
        <f>IF($L443="","",INDEX(ExpNorm,$L443))</f>
        <v/>
      </c>
      <c r="C443" s="17">
        <f>IF($L443="","",IF(INDEX(ExpTime,$L443)="","—",LEFT(INDEX(ExpTime,$L443),2)&amp;":"&amp;RIGHT(INDEX(ExpTime,$L443),2)))</f>
        <v/>
      </c>
      <c r="D443" s="17">
        <f>IF($L443="","",IF(INDEX(ExpBank,$L443)="","—",INDEX(ExpBank,$L443)))</f>
        <v/>
      </c>
      <c r="E443" s="18">
        <f>IF($L443="","",IF(INDEX(ExpParty,$L443)="","—",IFERROR(VLOOKUP(INDEX(ExpParty,$L443),AcctTbl,4,0),INDEX(ExpParty,$L443))))</f>
        <v/>
      </c>
      <c r="F443" s="17">
        <f>IF($L443="","",IF(INDEX(ExpType,$L443)="","—",INDEX(ExpType,$L443)))</f>
        <v/>
      </c>
      <c r="G443" s="19">
        <f>IF($L443="","",IF(INDEX(ExpDep,$L443)=0,"",INDEX(ExpDep,$L443)))</f>
        <v/>
      </c>
      <c r="H443" s="19">
        <f>IF($L443="","",IF(INDEX(ExpWit,$L443)=0,"",INDEX(ExpWit,$L443)))</f>
        <v/>
      </c>
      <c r="I443" s="20">
        <f>IF($B443="","",IF($I442="",0,$I442)+IF($H443="",0,$H443)-IF($G443="",0,$G443))</f>
        <v/>
      </c>
      <c r="J443" s="18">
        <f>IF($L443="","",IF(INDEX(ExpNote,$L443)="","—",INDEX(ExpNote,$L443)))</f>
        <v/>
      </c>
      <c r="L443">
        <f>IFERROR(MATCH($C$5&amp;"|"&amp;RIGHT("000000"&amp;427,6),ExpRankKey,0),"")</f>
        <v/>
      </c>
    </row>
    <row r="444">
      <c r="A444" s="21" t="n">
        <v>428</v>
      </c>
      <c r="B444" s="22">
        <f>IF($L444="","",INDEX(ExpNorm,$L444))</f>
        <v/>
      </c>
      <c r="C444" s="22">
        <f>IF($L444="","",IF(INDEX(ExpTime,$L444)="","—",LEFT(INDEX(ExpTime,$L444),2)&amp;":"&amp;RIGHT(INDEX(ExpTime,$L444),2)))</f>
        <v/>
      </c>
      <c r="D444" s="22">
        <f>IF($L444="","",IF(INDEX(ExpBank,$L444)="","—",INDEX(ExpBank,$L444)))</f>
        <v/>
      </c>
      <c r="E444" s="23">
        <f>IF($L444="","",IF(INDEX(ExpParty,$L444)="","—",IFERROR(VLOOKUP(INDEX(ExpParty,$L444),AcctTbl,4,0),INDEX(ExpParty,$L444))))</f>
        <v/>
      </c>
      <c r="F444" s="22">
        <f>IF($L444="","",IF(INDEX(ExpType,$L444)="","—",INDEX(ExpType,$L444)))</f>
        <v/>
      </c>
      <c r="G444" s="24">
        <f>IF($L444="","",IF(INDEX(ExpDep,$L444)=0,"",INDEX(ExpDep,$L444)))</f>
        <v/>
      </c>
      <c r="H444" s="24">
        <f>IF($L444="","",IF(INDEX(ExpWit,$L444)=0,"",INDEX(ExpWit,$L444)))</f>
        <v/>
      </c>
      <c r="I444" s="25">
        <f>IF($B444="","",IF($I443="",0,$I443)+IF($H444="",0,$H444)-IF($G444="",0,$G444))</f>
        <v/>
      </c>
      <c r="J444" s="23">
        <f>IF($L444="","",IF(INDEX(ExpNote,$L444)="","—",INDEX(ExpNote,$L444)))</f>
        <v/>
      </c>
      <c r="L444">
        <f>IFERROR(MATCH($C$5&amp;"|"&amp;RIGHT("000000"&amp;428,6),ExpRankKey,0),"")</f>
        <v/>
      </c>
    </row>
    <row r="445">
      <c r="A445" s="16" t="n">
        <v>429</v>
      </c>
      <c r="B445" s="17">
        <f>IF($L445="","",INDEX(ExpNorm,$L445))</f>
        <v/>
      </c>
      <c r="C445" s="17">
        <f>IF($L445="","",IF(INDEX(ExpTime,$L445)="","—",LEFT(INDEX(ExpTime,$L445),2)&amp;":"&amp;RIGHT(INDEX(ExpTime,$L445),2)))</f>
        <v/>
      </c>
      <c r="D445" s="17">
        <f>IF($L445="","",IF(INDEX(ExpBank,$L445)="","—",INDEX(ExpBank,$L445)))</f>
        <v/>
      </c>
      <c r="E445" s="18">
        <f>IF($L445="","",IF(INDEX(ExpParty,$L445)="","—",IFERROR(VLOOKUP(INDEX(ExpParty,$L445),AcctTbl,4,0),INDEX(ExpParty,$L445))))</f>
        <v/>
      </c>
      <c r="F445" s="17">
        <f>IF($L445="","",IF(INDEX(ExpType,$L445)="","—",INDEX(ExpType,$L445)))</f>
        <v/>
      </c>
      <c r="G445" s="19">
        <f>IF($L445="","",IF(INDEX(ExpDep,$L445)=0,"",INDEX(ExpDep,$L445)))</f>
        <v/>
      </c>
      <c r="H445" s="19">
        <f>IF($L445="","",IF(INDEX(ExpWit,$L445)=0,"",INDEX(ExpWit,$L445)))</f>
        <v/>
      </c>
      <c r="I445" s="20">
        <f>IF($B445="","",IF($I444="",0,$I444)+IF($H445="",0,$H445)-IF($G445="",0,$G445))</f>
        <v/>
      </c>
      <c r="J445" s="18">
        <f>IF($L445="","",IF(INDEX(ExpNote,$L445)="","—",INDEX(ExpNote,$L445)))</f>
        <v/>
      </c>
      <c r="L445">
        <f>IFERROR(MATCH($C$5&amp;"|"&amp;RIGHT("000000"&amp;429,6),ExpRankKey,0),"")</f>
        <v/>
      </c>
    </row>
    <row r="446">
      <c r="A446" s="21" t="n">
        <v>430</v>
      </c>
      <c r="B446" s="22">
        <f>IF($L446="","",INDEX(ExpNorm,$L446))</f>
        <v/>
      </c>
      <c r="C446" s="22">
        <f>IF($L446="","",IF(INDEX(ExpTime,$L446)="","—",LEFT(INDEX(ExpTime,$L446),2)&amp;":"&amp;RIGHT(INDEX(ExpTime,$L446),2)))</f>
        <v/>
      </c>
      <c r="D446" s="22">
        <f>IF($L446="","",IF(INDEX(ExpBank,$L446)="","—",INDEX(ExpBank,$L446)))</f>
        <v/>
      </c>
      <c r="E446" s="23">
        <f>IF($L446="","",IF(INDEX(ExpParty,$L446)="","—",IFERROR(VLOOKUP(INDEX(ExpParty,$L446),AcctTbl,4,0),INDEX(ExpParty,$L446))))</f>
        <v/>
      </c>
      <c r="F446" s="22">
        <f>IF($L446="","",IF(INDEX(ExpType,$L446)="","—",INDEX(ExpType,$L446)))</f>
        <v/>
      </c>
      <c r="G446" s="24">
        <f>IF($L446="","",IF(INDEX(ExpDep,$L446)=0,"",INDEX(ExpDep,$L446)))</f>
        <v/>
      </c>
      <c r="H446" s="24">
        <f>IF($L446="","",IF(INDEX(ExpWit,$L446)=0,"",INDEX(ExpWit,$L446)))</f>
        <v/>
      </c>
      <c r="I446" s="25">
        <f>IF($B446="","",IF($I445="",0,$I445)+IF($H446="",0,$H446)-IF($G446="",0,$G446))</f>
        <v/>
      </c>
      <c r="J446" s="23">
        <f>IF($L446="","",IF(INDEX(ExpNote,$L446)="","—",INDEX(ExpNote,$L446)))</f>
        <v/>
      </c>
      <c r="L446">
        <f>IFERROR(MATCH($C$5&amp;"|"&amp;RIGHT("000000"&amp;430,6),ExpRankKey,0),"")</f>
        <v/>
      </c>
    </row>
    <row r="447">
      <c r="A447" s="16" t="n">
        <v>431</v>
      </c>
      <c r="B447" s="17">
        <f>IF($L447="","",INDEX(ExpNorm,$L447))</f>
        <v/>
      </c>
      <c r="C447" s="17">
        <f>IF($L447="","",IF(INDEX(ExpTime,$L447)="","—",LEFT(INDEX(ExpTime,$L447),2)&amp;":"&amp;RIGHT(INDEX(ExpTime,$L447),2)))</f>
        <v/>
      </c>
      <c r="D447" s="17">
        <f>IF($L447="","",IF(INDEX(ExpBank,$L447)="","—",INDEX(ExpBank,$L447)))</f>
        <v/>
      </c>
      <c r="E447" s="18">
        <f>IF($L447="","",IF(INDEX(ExpParty,$L447)="","—",IFERROR(VLOOKUP(INDEX(ExpParty,$L447),AcctTbl,4,0),INDEX(ExpParty,$L447))))</f>
        <v/>
      </c>
      <c r="F447" s="17">
        <f>IF($L447="","",IF(INDEX(ExpType,$L447)="","—",INDEX(ExpType,$L447)))</f>
        <v/>
      </c>
      <c r="G447" s="19">
        <f>IF($L447="","",IF(INDEX(ExpDep,$L447)=0,"",INDEX(ExpDep,$L447)))</f>
        <v/>
      </c>
      <c r="H447" s="19">
        <f>IF($L447="","",IF(INDEX(ExpWit,$L447)=0,"",INDEX(ExpWit,$L447)))</f>
        <v/>
      </c>
      <c r="I447" s="20">
        <f>IF($B447="","",IF($I446="",0,$I446)+IF($H447="",0,$H447)-IF($G447="",0,$G447))</f>
        <v/>
      </c>
      <c r="J447" s="18">
        <f>IF($L447="","",IF(INDEX(ExpNote,$L447)="","—",INDEX(ExpNote,$L447)))</f>
        <v/>
      </c>
      <c r="L447">
        <f>IFERROR(MATCH($C$5&amp;"|"&amp;RIGHT("000000"&amp;431,6),ExpRankKey,0),"")</f>
        <v/>
      </c>
    </row>
    <row r="448">
      <c r="A448" s="21" t="n">
        <v>432</v>
      </c>
      <c r="B448" s="22">
        <f>IF($L448="","",INDEX(ExpNorm,$L448))</f>
        <v/>
      </c>
      <c r="C448" s="22">
        <f>IF($L448="","",IF(INDEX(ExpTime,$L448)="","—",LEFT(INDEX(ExpTime,$L448),2)&amp;":"&amp;RIGHT(INDEX(ExpTime,$L448),2)))</f>
        <v/>
      </c>
      <c r="D448" s="22">
        <f>IF($L448="","",IF(INDEX(ExpBank,$L448)="","—",INDEX(ExpBank,$L448)))</f>
        <v/>
      </c>
      <c r="E448" s="23">
        <f>IF($L448="","",IF(INDEX(ExpParty,$L448)="","—",IFERROR(VLOOKUP(INDEX(ExpParty,$L448),AcctTbl,4,0),INDEX(ExpParty,$L448))))</f>
        <v/>
      </c>
      <c r="F448" s="22">
        <f>IF($L448="","",IF(INDEX(ExpType,$L448)="","—",INDEX(ExpType,$L448)))</f>
        <v/>
      </c>
      <c r="G448" s="24">
        <f>IF($L448="","",IF(INDEX(ExpDep,$L448)=0,"",INDEX(ExpDep,$L448)))</f>
        <v/>
      </c>
      <c r="H448" s="24">
        <f>IF($L448="","",IF(INDEX(ExpWit,$L448)=0,"",INDEX(ExpWit,$L448)))</f>
        <v/>
      </c>
      <c r="I448" s="25">
        <f>IF($B448="","",IF($I447="",0,$I447)+IF($H448="",0,$H448)-IF($G448="",0,$G448))</f>
        <v/>
      </c>
      <c r="J448" s="23">
        <f>IF($L448="","",IF(INDEX(ExpNote,$L448)="","—",INDEX(ExpNote,$L448)))</f>
        <v/>
      </c>
      <c r="L448">
        <f>IFERROR(MATCH($C$5&amp;"|"&amp;RIGHT("000000"&amp;432,6),ExpRankKey,0),"")</f>
        <v/>
      </c>
    </row>
    <row r="449">
      <c r="A449" s="16" t="n">
        <v>433</v>
      </c>
      <c r="B449" s="17">
        <f>IF($L449="","",INDEX(ExpNorm,$L449))</f>
        <v/>
      </c>
      <c r="C449" s="17">
        <f>IF($L449="","",IF(INDEX(ExpTime,$L449)="","—",LEFT(INDEX(ExpTime,$L449),2)&amp;":"&amp;RIGHT(INDEX(ExpTime,$L449),2)))</f>
        <v/>
      </c>
      <c r="D449" s="17">
        <f>IF($L449="","",IF(INDEX(ExpBank,$L449)="","—",INDEX(ExpBank,$L449)))</f>
        <v/>
      </c>
      <c r="E449" s="18">
        <f>IF($L449="","",IF(INDEX(ExpParty,$L449)="","—",IFERROR(VLOOKUP(INDEX(ExpParty,$L449),AcctTbl,4,0),INDEX(ExpParty,$L449))))</f>
        <v/>
      </c>
      <c r="F449" s="17">
        <f>IF($L449="","",IF(INDEX(ExpType,$L449)="","—",INDEX(ExpType,$L449)))</f>
        <v/>
      </c>
      <c r="G449" s="19">
        <f>IF($L449="","",IF(INDEX(ExpDep,$L449)=0,"",INDEX(ExpDep,$L449)))</f>
        <v/>
      </c>
      <c r="H449" s="19">
        <f>IF($L449="","",IF(INDEX(ExpWit,$L449)=0,"",INDEX(ExpWit,$L449)))</f>
        <v/>
      </c>
      <c r="I449" s="20">
        <f>IF($B449="","",IF($I448="",0,$I448)+IF($H449="",0,$H449)-IF($G449="",0,$G449))</f>
        <v/>
      </c>
      <c r="J449" s="18">
        <f>IF($L449="","",IF(INDEX(ExpNote,$L449)="","—",INDEX(ExpNote,$L449)))</f>
        <v/>
      </c>
      <c r="L449">
        <f>IFERROR(MATCH($C$5&amp;"|"&amp;RIGHT("000000"&amp;433,6),ExpRankKey,0),"")</f>
        <v/>
      </c>
    </row>
    <row r="450">
      <c r="A450" s="21" t="n">
        <v>434</v>
      </c>
      <c r="B450" s="22">
        <f>IF($L450="","",INDEX(ExpNorm,$L450))</f>
        <v/>
      </c>
      <c r="C450" s="22">
        <f>IF($L450="","",IF(INDEX(ExpTime,$L450)="","—",LEFT(INDEX(ExpTime,$L450),2)&amp;":"&amp;RIGHT(INDEX(ExpTime,$L450),2)))</f>
        <v/>
      </c>
      <c r="D450" s="22">
        <f>IF($L450="","",IF(INDEX(ExpBank,$L450)="","—",INDEX(ExpBank,$L450)))</f>
        <v/>
      </c>
      <c r="E450" s="23">
        <f>IF($L450="","",IF(INDEX(ExpParty,$L450)="","—",IFERROR(VLOOKUP(INDEX(ExpParty,$L450),AcctTbl,4,0),INDEX(ExpParty,$L450))))</f>
        <v/>
      </c>
      <c r="F450" s="22">
        <f>IF($L450="","",IF(INDEX(ExpType,$L450)="","—",INDEX(ExpType,$L450)))</f>
        <v/>
      </c>
      <c r="G450" s="24">
        <f>IF($L450="","",IF(INDEX(ExpDep,$L450)=0,"",INDEX(ExpDep,$L450)))</f>
        <v/>
      </c>
      <c r="H450" s="24">
        <f>IF($L450="","",IF(INDEX(ExpWit,$L450)=0,"",INDEX(ExpWit,$L450)))</f>
        <v/>
      </c>
      <c r="I450" s="25">
        <f>IF($B450="","",IF($I449="",0,$I449)+IF($H450="",0,$H450)-IF($G450="",0,$G450))</f>
        <v/>
      </c>
      <c r="J450" s="23">
        <f>IF($L450="","",IF(INDEX(ExpNote,$L450)="","—",INDEX(ExpNote,$L450)))</f>
        <v/>
      </c>
      <c r="L450">
        <f>IFERROR(MATCH($C$5&amp;"|"&amp;RIGHT("000000"&amp;434,6),ExpRankKey,0),"")</f>
        <v/>
      </c>
    </row>
    <row r="451">
      <c r="A451" s="16" t="n">
        <v>435</v>
      </c>
      <c r="B451" s="17">
        <f>IF($L451="","",INDEX(ExpNorm,$L451))</f>
        <v/>
      </c>
      <c r="C451" s="17">
        <f>IF($L451="","",IF(INDEX(ExpTime,$L451)="","—",LEFT(INDEX(ExpTime,$L451),2)&amp;":"&amp;RIGHT(INDEX(ExpTime,$L451),2)))</f>
        <v/>
      </c>
      <c r="D451" s="17">
        <f>IF($L451="","",IF(INDEX(ExpBank,$L451)="","—",INDEX(ExpBank,$L451)))</f>
        <v/>
      </c>
      <c r="E451" s="18">
        <f>IF($L451="","",IF(INDEX(ExpParty,$L451)="","—",IFERROR(VLOOKUP(INDEX(ExpParty,$L451),AcctTbl,4,0),INDEX(ExpParty,$L451))))</f>
        <v/>
      </c>
      <c r="F451" s="17">
        <f>IF($L451="","",IF(INDEX(ExpType,$L451)="","—",INDEX(ExpType,$L451)))</f>
        <v/>
      </c>
      <c r="G451" s="19">
        <f>IF($L451="","",IF(INDEX(ExpDep,$L451)=0,"",INDEX(ExpDep,$L451)))</f>
        <v/>
      </c>
      <c r="H451" s="19">
        <f>IF($L451="","",IF(INDEX(ExpWit,$L451)=0,"",INDEX(ExpWit,$L451)))</f>
        <v/>
      </c>
      <c r="I451" s="20">
        <f>IF($B451="","",IF($I450="",0,$I450)+IF($H451="",0,$H451)-IF($G451="",0,$G451))</f>
        <v/>
      </c>
      <c r="J451" s="18">
        <f>IF($L451="","",IF(INDEX(ExpNote,$L451)="","—",INDEX(ExpNote,$L451)))</f>
        <v/>
      </c>
      <c r="L451">
        <f>IFERROR(MATCH($C$5&amp;"|"&amp;RIGHT("000000"&amp;435,6),ExpRankKey,0),"")</f>
        <v/>
      </c>
    </row>
    <row r="452">
      <c r="A452" s="21" t="n">
        <v>436</v>
      </c>
      <c r="B452" s="22">
        <f>IF($L452="","",INDEX(ExpNorm,$L452))</f>
        <v/>
      </c>
      <c r="C452" s="22">
        <f>IF($L452="","",IF(INDEX(ExpTime,$L452)="","—",LEFT(INDEX(ExpTime,$L452),2)&amp;":"&amp;RIGHT(INDEX(ExpTime,$L452),2)))</f>
        <v/>
      </c>
      <c r="D452" s="22">
        <f>IF($L452="","",IF(INDEX(ExpBank,$L452)="","—",INDEX(ExpBank,$L452)))</f>
        <v/>
      </c>
      <c r="E452" s="23">
        <f>IF($L452="","",IF(INDEX(ExpParty,$L452)="","—",IFERROR(VLOOKUP(INDEX(ExpParty,$L452),AcctTbl,4,0),INDEX(ExpParty,$L452))))</f>
        <v/>
      </c>
      <c r="F452" s="22">
        <f>IF($L452="","",IF(INDEX(ExpType,$L452)="","—",INDEX(ExpType,$L452)))</f>
        <v/>
      </c>
      <c r="G452" s="24">
        <f>IF($L452="","",IF(INDEX(ExpDep,$L452)=0,"",INDEX(ExpDep,$L452)))</f>
        <v/>
      </c>
      <c r="H452" s="24">
        <f>IF($L452="","",IF(INDEX(ExpWit,$L452)=0,"",INDEX(ExpWit,$L452)))</f>
        <v/>
      </c>
      <c r="I452" s="25">
        <f>IF($B452="","",IF($I451="",0,$I451)+IF($H452="",0,$H452)-IF($G452="",0,$G452))</f>
        <v/>
      </c>
      <c r="J452" s="23">
        <f>IF($L452="","",IF(INDEX(ExpNote,$L452)="","—",INDEX(ExpNote,$L452)))</f>
        <v/>
      </c>
      <c r="L452">
        <f>IFERROR(MATCH($C$5&amp;"|"&amp;RIGHT("000000"&amp;436,6),ExpRankKey,0),"")</f>
        <v/>
      </c>
    </row>
    <row r="453">
      <c r="A453" s="16" t="n">
        <v>437</v>
      </c>
      <c r="B453" s="17">
        <f>IF($L453="","",INDEX(ExpNorm,$L453))</f>
        <v/>
      </c>
      <c r="C453" s="17">
        <f>IF($L453="","",IF(INDEX(ExpTime,$L453)="","—",LEFT(INDEX(ExpTime,$L453),2)&amp;":"&amp;RIGHT(INDEX(ExpTime,$L453),2)))</f>
        <v/>
      </c>
      <c r="D453" s="17">
        <f>IF($L453="","",IF(INDEX(ExpBank,$L453)="","—",INDEX(ExpBank,$L453)))</f>
        <v/>
      </c>
      <c r="E453" s="18">
        <f>IF($L453="","",IF(INDEX(ExpParty,$L453)="","—",IFERROR(VLOOKUP(INDEX(ExpParty,$L453),AcctTbl,4,0),INDEX(ExpParty,$L453))))</f>
        <v/>
      </c>
      <c r="F453" s="17">
        <f>IF($L453="","",IF(INDEX(ExpType,$L453)="","—",INDEX(ExpType,$L453)))</f>
        <v/>
      </c>
      <c r="G453" s="19">
        <f>IF($L453="","",IF(INDEX(ExpDep,$L453)=0,"",INDEX(ExpDep,$L453)))</f>
        <v/>
      </c>
      <c r="H453" s="19">
        <f>IF($L453="","",IF(INDEX(ExpWit,$L453)=0,"",INDEX(ExpWit,$L453)))</f>
        <v/>
      </c>
      <c r="I453" s="20">
        <f>IF($B453="","",IF($I452="",0,$I452)+IF($H453="",0,$H453)-IF($G453="",0,$G453))</f>
        <v/>
      </c>
      <c r="J453" s="18">
        <f>IF($L453="","",IF(INDEX(ExpNote,$L453)="","—",INDEX(ExpNote,$L453)))</f>
        <v/>
      </c>
      <c r="L453">
        <f>IFERROR(MATCH($C$5&amp;"|"&amp;RIGHT("000000"&amp;437,6),ExpRankKey,0),"")</f>
        <v/>
      </c>
    </row>
    <row r="454">
      <c r="A454" s="21" t="n">
        <v>438</v>
      </c>
      <c r="B454" s="22">
        <f>IF($L454="","",INDEX(ExpNorm,$L454))</f>
        <v/>
      </c>
      <c r="C454" s="22">
        <f>IF($L454="","",IF(INDEX(ExpTime,$L454)="","—",LEFT(INDEX(ExpTime,$L454),2)&amp;":"&amp;RIGHT(INDEX(ExpTime,$L454),2)))</f>
        <v/>
      </c>
      <c r="D454" s="22">
        <f>IF($L454="","",IF(INDEX(ExpBank,$L454)="","—",INDEX(ExpBank,$L454)))</f>
        <v/>
      </c>
      <c r="E454" s="23">
        <f>IF($L454="","",IF(INDEX(ExpParty,$L454)="","—",IFERROR(VLOOKUP(INDEX(ExpParty,$L454),AcctTbl,4,0),INDEX(ExpParty,$L454))))</f>
        <v/>
      </c>
      <c r="F454" s="22">
        <f>IF($L454="","",IF(INDEX(ExpType,$L454)="","—",INDEX(ExpType,$L454)))</f>
        <v/>
      </c>
      <c r="G454" s="24">
        <f>IF($L454="","",IF(INDEX(ExpDep,$L454)=0,"",INDEX(ExpDep,$L454)))</f>
        <v/>
      </c>
      <c r="H454" s="24">
        <f>IF($L454="","",IF(INDEX(ExpWit,$L454)=0,"",INDEX(ExpWit,$L454)))</f>
        <v/>
      </c>
      <c r="I454" s="25">
        <f>IF($B454="","",IF($I453="",0,$I453)+IF($H454="",0,$H454)-IF($G454="",0,$G454))</f>
        <v/>
      </c>
      <c r="J454" s="23">
        <f>IF($L454="","",IF(INDEX(ExpNote,$L454)="","—",INDEX(ExpNote,$L454)))</f>
        <v/>
      </c>
      <c r="L454">
        <f>IFERROR(MATCH($C$5&amp;"|"&amp;RIGHT("000000"&amp;438,6),ExpRankKey,0),"")</f>
        <v/>
      </c>
    </row>
    <row r="455">
      <c r="A455" s="16" t="n">
        <v>439</v>
      </c>
      <c r="B455" s="17">
        <f>IF($L455="","",INDEX(ExpNorm,$L455))</f>
        <v/>
      </c>
      <c r="C455" s="17">
        <f>IF($L455="","",IF(INDEX(ExpTime,$L455)="","—",LEFT(INDEX(ExpTime,$L455),2)&amp;":"&amp;RIGHT(INDEX(ExpTime,$L455),2)))</f>
        <v/>
      </c>
      <c r="D455" s="17">
        <f>IF($L455="","",IF(INDEX(ExpBank,$L455)="","—",INDEX(ExpBank,$L455)))</f>
        <v/>
      </c>
      <c r="E455" s="18">
        <f>IF($L455="","",IF(INDEX(ExpParty,$L455)="","—",IFERROR(VLOOKUP(INDEX(ExpParty,$L455),AcctTbl,4,0),INDEX(ExpParty,$L455))))</f>
        <v/>
      </c>
      <c r="F455" s="17">
        <f>IF($L455="","",IF(INDEX(ExpType,$L455)="","—",INDEX(ExpType,$L455)))</f>
        <v/>
      </c>
      <c r="G455" s="19">
        <f>IF($L455="","",IF(INDEX(ExpDep,$L455)=0,"",INDEX(ExpDep,$L455)))</f>
        <v/>
      </c>
      <c r="H455" s="19">
        <f>IF($L455="","",IF(INDEX(ExpWit,$L455)=0,"",INDEX(ExpWit,$L455)))</f>
        <v/>
      </c>
      <c r="I455" s="20">
        <f>IF($B455="","",IF($I454="",0,$I454)+IF($H455="",0,$H455)-IF($G455="",0,$G455))</f>
        <v/>
      </c>
      <c r="J455" s="18">
        <f>IF($L455="","",IF(INDEX(ExpNote,$L455)="","—",INDEX(ExpNote,$L455)))</f>
        <v/>
      </c>
      <c r="L455">
        <f>IFERROR(MATCH($C$5&amp;"|"&amp;RIGHT("000000"&amp;439,6),ExpRankKey,0),"")</f>
        <v/>
      </c>
    </row>
    <row r="456">
      <c r="A456" s="21" t="n">
        <v>440</v>
      </c>
      <c r="B456" s="22">
        <f>IF($L456="","",INDEX(ExpNorm,$L456))</f>
        <v/>
      </c>
      <c r="C456" s="22">
        <f>IF($L456="","",IF(INDEX(ExpTime,$L456)="","—",LEFT(INDEX(ExpTime,$L456),2)&amp;":"&amp;RIGHT(INDEX(ExpTime,$L456),2)))</f>
        <v/>
      </c>
      <c r="D456" s="22">
        <f>IF($L456="","",IF(INDEX(ExpBank,$L456)="","—",INDEX(ExpBank,$L456)))</f>
        <v/>
      </c>
      <c r="E456" s="23">
        <f>IF($L456="","",IF(INDEX(ExpParty,$L456)="","—",IFERROR(VLOOKUP(INDEX(ExpParty,$L456),AcctTbl,4,0),INDEX(ExpParty,$L456))))</f>
        <v/>
      </c>
      <c r="F456" s="22">
        <f>IF($L456="","",IF(INDEX(ExpType,$L456)="","—",INDEX(ExpType,$L456)))</f>
        <v/>
      </c>
      <c r="G456" s="24">
        <f>IF($L456="","",IF(INDEX(ExpDep,$L456)=0,"",INDEX(ExpDep,$L456)))</f>
        <v/>
      </c>
      <c r="H456" s="24">
        <f>IF($L456="","",IF(INDEX(ExpWit,$L456)=0,"",INDEX(ExpWit,$L456)))</f>
        <v/>
      </c>
      <c r="I456" s="25">
        <f>IF($B456="","",IF($I455="",0,$I455)+IF($H456="",0,$H456)-IF($G456="",0,$G456))</f>
        <v/>
      </c>
      <c r="J456" s="23">
        <f>IF($L456="","",IF(INDEX(ExpNote,$L456)="","—",INDEX(ExpNote,$L456)))</f>
        <v/>
      </c>
      <c r="L456">
        <f>IFERROR(MATCH($C$5&amp;"|"&amp;RIGHT("000000"&amp;440,6),ExpRankKey,0),"")</f>
        <v/>
      </c>
    </row>
    <row r="457">
      <c r="A457" s="16" t="n">
        <v>441</v>
      </c>
      <c r="B457" s="17">
        <f>IF($L457="","",INDEX(ExpNorm,$L457))</f>
        <v/>
      </c>
      <c r="C457" s="17">
        <f>IF($L457="","",IF(INDEX(ExpTime,$L457)="","—",LEFT(INDEX(ExpTime,$L457),2)&amp;":"&amp;RIGHT(INDEX(ExpTime,$L457),2)))</f>
        <v/>
      </c>
      <c r="D457" s="17">
        <f>IF($L457="","",IF(INDEX(ExpBank,$L457)="","—",INDEX(ExpBank,$L457)))</f>
        <v/>
      </c>
      <c r="E457" s="18">
        <f>IF($L457="","",IF(INDEX(ExpParty,$L457)="","—",IFERROR(VLOOKUP(INDEX(ExpParty,$L457),AcctTbl,4,0),INDEX(ExpParty,$L457))))</f>
        <v/>
      </c>
      <c r="F457" s="17">
        <f>IF($L457="","",IF(INDEX(ExpType,$L457)="","—",INDEX(ExpType,$L457)))</f>
        <v/>
      </c>
      <c r="G457" s="19">
        <f>IF($L457="","",IF(INDEX(ExpDep,$L457)=0,"",INDEX(ExpDep,$L457)))</f>
        <v/>
      </c>
      <c r="H457" s="19">
        <f>IF($L457="","",IF(INDEX(ExpWit,$L457)=0,"",INDEX(ExpWit,$L457)))</f>
        <v/>
      </c>
      <c r="I457" s="20">
        <f>IF($B457="","",IF($I456="",0,$I456)+IF($H457="",0,$H457)-IF($G457="",0,$G457))</f>
        <v/>
      </c>
      <c r="J457" s="18">
        <f>IF($L457="","",IF(INDEX(ExpNote,$L457)="","—",INDEX(ExpNote,$L457)))</f>
        <v/>
      </c>
      <c r="L457">
        <f>IFERROR(MATCH($C$5&amp;"|"&amp;RIGHT("000000"&amp;441,6),ExpRankKey,0),"")</f>
        <v/>
      </c>
    </row>
    <row r="458">
      <c r="A458" s="21" t="n">
        <v>442</v>
      </c>
      <c r="B458" s="22">
        <f>IF($L458="","",INDEX(ExpNorm,$L458))</f>
        <v/>
      </c>
      <c r="C458" s="22">
        <f>IF($L458="","",IF(INDEX(ExpTime,$L458)="","—",LEFT(INDEX(ExpTime,$L458),2)&amp;":"&amp;RIGHT(INDEX(ExpTime,$L458),2)))</f>
        <v/>
      </c>
      <c r="D458" s="22">
        <f>IF($L458="","",IF(INDEX(ExpBank,$L458)="","—",INDEX(ExpBank,$L458)))</f>
        <v/>
      </c>
      <c r="E458" s="23">
        <f>IF($L458="","",IF(INDEX(ExpParty,$L458)="","—",IFERROR(VLOOKUP(INDEX(ExpParty,$L458),AcctTbl,4,0),INDEX(ExpParty,$L458))))</f>
        <v/>
      </c>
      <c r="F458" s="22">
        <f>IF($L458="","",IF(INDEX(ExpType,$L458)="","—",INDEX(ExpType,$L458)))</f>
        <v/>
      </c>
      <c r="G458" s="24">
        <f>IF($L458="","",IF(INDEX(ExpDep,$L458)=0,"",INDEX(ExpDep,$L458)))</f>
        <v/>
      </c>
      <c r="H458" s="24">
        <f>IF($L458="","",IF(INDEX(ExpWit,$L458)=0,"",INDEX(ExpWit,$L458)))</f>
        <v/>
      </c>
      <c r="I458" s="25">
        <f>IF($B458="","",IF($I457="",0,$I457)+IF($H458="",0,$H458)-IF($G458="",0,$G458))</f>
        <v/>
      </c>
      <c r="J458" s="23">
        <f>IF($L458="","",IF(INDEX(ExpNote,$L458)="","—",INDEX(ExpNote,$L458)))</f>
        <v/>
      </c>
      <c r="L458">
        <f>IFERROR(MATCH($C$5&amp;"|"&amp;RIGHT("000000"&amp;442,6),ExpRankKey,0),"")</f>
        <v/>
      </c>
    </row>
    <row r="459">
      <c r="A459" s="16" t="n">
        <v>443</v>
      </c>
      <c r="B459" s="17">
        <f>IF($L459="","",INDEX(ExpNorm,$L459))</f>
        <v/>
      </c>
      <c r="C459" s="17">
        <f>IF($L459="","",IF(INDEX(ExpTime,$L459)="","—",LEFT(INDEX(ExpTime,$L459),2)&amp;":"&amp;RIGHT(INDEX(ExpTime,$L459),2)))</f>
        <v/>
      </c>
      <c r="D459" s="17">
        <f>IF($L459="","",IF(INDEX(ExpBank,$L459)="","—",INDEX(ExpBank,$L459)))</f>
        <v/>
      </c>
      <c r="E459" s="18">
        <f>IF($L459="","",IF(INDEX(ExpParty,$L459)="","—",IFERROR(VLOOKUP(INDEX(ExpParty,$L459),AcctTbl,4,0),INDEX(ExpParty,$L459))))</f>
        <v/>
      </c>
      <c r="F459" s="17">
        <f>IF($L459="","",IF(INDEX(ExpType,$L459)="","—",INDEX(ExpType,$L459)))</f>
        <v/>
      </c>
      <c r="G459" s="19">
        <f>IF($L459="","",IF(INDEX(ExpDep,$L459)=0,"",INDEX(ExpDep,$L459)))</f>
        <v/>
      </c>
      <c r="H459" s="19">
        <f>IF($L459="","",IF(INDEX(ExpWit,$L459)=0,"",INDEX(ExpWit,$L459)))</f>
        <v/>
      </c>
      <c r="I459" s="20">
        <f>IF($B459="","",IF($I458="",0,$I458)+IF($H459="",0,$H459)-IF($G459="",0,$G459))</f>
        <v/>
      </c>
      <c r="J459" s="18">
        <f>IF($L459="","",IF(INDEX(ExpNote,$L459)="","—",INDEX(ExpNote,$L459)))</f>
        <v/>
      </c>
      <c r="L459">
        <f>IFERROR(MATCH($C$5&amp;"|"&amp;RIGHT("000000"&amp;443,6),ExpRankKey,0),"")</f>
        <v/>
      </c>
    </row>
    <row r="460">
      <c r="A460" s="21" t="n">
        <v>444</v>
      </c>
      <c r="B460" s="22">
        <f>IF($L460="","",INDEX(ExpNorm,$L460))</f>
        <v/>
      </c>
      <c r="C460" s="22">
        <f>IF($L460="","",IF(INDEX(ExpTime,$L460)="","—",LEFT(INDEX(ExpTime,$L460),2)&amp;":"&amp;RIGHT(INDEX(ExpTime,$L460),2)))</f>
        <v/>
      </c>
      <c r="D460" s="22">
        <f>IF($L460="","",IF(INDEX(ExpBank,$L460)="","—",INDEX(ExpBank,$L460)))</f>
        <v/>
      </c>
      <c r="E460" s="23">
        <f>IF($L460="","",IF(INDEX(ExpParty,$L460)="","—",IFERROR(VLOOKUP(INDEX(ExpParty,$L460),AcctTbl,4,0),INDEX(ExpParty,$L460))))</f>
        <v/>
      </c>
      <c r="F460" s="22">
        <f>IF($L460="","",IF(INDEX(ExpType,$L460)="","—",INDEX(ExpType,$L460)))</f>
        <v/>
      </c>
      <c r="G460" s="24">
        <f>IF($L460="","",IF(INDEX(ExpDep,$L460)=0,"",INDEX(ExpDep,$L460)))</f>
        <v/>
      </c>
      <c r="H460" s="24">
        <f>IF($L460="","",IF(INDEX(ExpWit,$L460)=0,"",INDEX(ExpWit,$L460)))</f>
        <v/>
      </c>
      <c r="I460" s="25">
        <f>IF($B460="","",IF($I459="",0,$I459)+IF($H460="",0,$H460)-IF($G460="",0,$G460))</f>
        <v/>
      </c>
      <c r="J460" s="23">
        <f>IF($L460="","",IF(INDEX(ExpNote,$L460)="","—",INDEX(ExpNote,$L460)))</f>
        <v/>
      </c>
      <c r="L460">
        <f>IFERROR(MATCH($C$5&amp;"|"&amp;RIGHT("000000"&amp;444,6),ExpRankKey,0),"")</f>
        <v/>
      </c>
    </row>
    <row r="461">
      <c r="A461" s="16" t="n">
        <v>445</v>
      </c>
      <c r="B461" s="17">
        <f>IF($L461="","",INDEX(ExpNorm,$L461))</f>
        <v/>
      </c>
      <c r="C461" s="17">
        <f>IF($L461="","",IF(INDEX(ExpTime,$L461)="","—",LEFT(INDEX(ExpTime,$L461),2)&amp;":"&amp;RIGHT(INDEX(ExpTime,$L461),2)))</f>
        <v/>
      </c>
      <c r="D461" s="17">
        <f>IF($L461="","",IF(INDEX(ExpBank,$L461)="","—",INDEX(ExpBank,$L461)))</f>
        <v/>
      </c>
      <c r="E461" s="18">
        <f>IF($L461="","",IF(INDEX(ExpParty,$L461)="","—",IFERROR(VLOOKUP(INDEX(ExpParty,$L461),AcctTbl,4,0),INDEX(ExpParty,$L461))))</f>
        <v/>
      </c>
      <c r="F461" s="17">
        <f>IF($L461="","",IF(INDEX(ExpType,$L461)="","—",INDEX(ExpType,$L461)))</f>
        <v/>
      </c>
      <c r="G461" s="19">
        <f>IF($L461="","",IF(INDEX(ExpDep,$L461)=0,"",INDEX(ExpDep,$L461)))</f>
        <v/>
      </c>
      <c r="H461" s="19">
        <f>IF($L461="","",IF(INDEX(ExpWit,$L461)=0,"",INDEX(ExpWit,$L461)))</f>
        <v/>
      </c>
      <c r="I461" s="20">
        <f>IF($B461="","",IF($I460="",0,$I460)+IF($H461="",0,$H461)-IF($G461="",0,$G461))</f>
        <v/>
      </c>
      <c r="J461" s="18">
        <f>IF($L461="","",IF(INDEX(ExpNote,$L461)="","—",INDEX(ExpNote,$L461)))</f>
        <v/>
      </c>
      <c r="L461">
        <f>IFERROR(MATCH($C$5&amp;"|"&amp;RIGHT("000000"&amp;445,6),ExpRankKey,0),"")</f>
        <v/>
      </c>
    </row>
    <row r="462">
      <c r="A462" s="21" t="n">
        <v>446</v>
      </c>
      <c r="B462" s="22">
        <f>IF($L462="","",INDEX(ExpNorm,$L462))</f>
        <v/>
      </c>
      <c r="C462" s="22">
        <f>IF($L462="","",IF(INDEX(ExpTime,$L462)="","—",LEFT(INDEX(ExpTime,$L462),2)&amp;":"&amp;RIGHT(INDEX(ExpTime,$L462),2)))</f>
        <v/>
      </c>
      <c r="D462" s="22">
        <f>IF($L462="","",IF(INDEX(ExpBank,$L462)="","—",INDEX(ExpBank,$L462)))</f>
        <v/>
      </c>
      <c r="E462" s="23">
        <f>IF($L462="","",IF(INDEX(ExpParty,$L462)="","—",IFERROR(VLOOKUP(INDEX(ExpParty,$L462),AcctTbl,4,0),INDEX(ExpParty,$L462))))</f>
        <v/>
      </c>
      <c r="F462" s="22">
        <f>IF($L462="","",IF(INDEX(ExpType,$L462)="","—",INDEX(ExpType,$L462)))</f>
        <v/>
      </c>
      <c r="G462" s="24">
        <f>IF($L462="","",IF(INDEX(ExpDep,$L462)=0,"",INDEX(ExpDep,$L462)))</f>
        <v/>
      </c>
      <c r="H462" s="24">
        <f>IF($L462="","",IF(INDEX(ExpWit,$L462)=0,"",INDEX(ExpWit,$L462)))</f>
        <v/>
      </c>
      <c r="I462" s="25">
        <f>IF($B462="","",IF($I461="",0,$I461)+IF($H462="",0,$H462)-IF($G462="",0,$G462))</f>
        <v/>
      </c>
      <c r="J462" s="23">
        <f>IF($L462="","",IF(INDEX(ExpNote,$L462)="","—",INDEX(ExpNote,$L462)))</f>
        <v/>
      </c>
      <c r="L462">
        <f>IFERROR(MATCH($C$5&amp;"|"&amp;RIGHT("000000"&amp;446,6),ExpRankKey,0),"")</f>
        <v/>
      </c>
    </row>
    <row r="463">
      <c r="A463" s="16" t="n">
        <v>447</v>
      </c>
      <c r="B463" s="17">
        <f>IF($L463="","",INDEX(ExpNorm,$L463))</f>
        <v/>
      </c>
      <c r="C463" s="17">
        <f>IF($L463="","",IF(INDEX(ExpTime,$L463)="","—",LEFT(INDEX(ExpTime,$L463),2)&amp;":"&amp;RIGHT(INDEX(ExpTime,$L463),2)))</f>
        <v/>
      </c>
      <c r="D463" s="17">
        <f>IF($L463="","",IF(INDEX(ExpBank,$L463)="","—",INDEX(ExpBank,$L463)))</f>
        <v/>
      </c>
      <c r="E463" s="18">
        <f>IF($L463="","",IF(INDEX(ExpParty,$L463)="","—",IFERROR(VLOOKUP(INDEX(ExpParty,$L463),AcctTbl,4,0),INDEX(ExpParty,$L463))))</f>
        <v/>
      </c>
      <c r="F463" s="17">
        <f>IF($L463="","",IF(INDEX(ExpType,$L463)="","—",INDEX(ExpType,$L463)))</f>
        <v/>
      </c>
      <c r="G463" s="19">
        <f>IF($L463="","",IF(INDEX(ExpDep,$L463)=0,"",INDEX(ExpDep,$L463)))</f>
        <v/>
      </c>
      <c r="H463" s="19">
        <f>IF($L463="","",IF(INDEX(ExpWit,$L463)=0,"",INDEX(ExpWit,$L463)))</f>
        <v/>
      </c>
      <c r="I463" s="20">
        <f>IF($B463="","",IF($I462="",0,$I462)+IF($H463="",0,$H463)-IF($G463="",0,$G463))</f>
        <v/>
      </c>
      <c r="J463" s="18">
        <f>IF($L463="","",IF(INDEX(ExpNote,$L463)="","—",INDEX(ExpNote,$L463)))</f>
        <v/>
      </c>
      <c r="L463">
        <f>IFERROR(MATCH($C$5&amp;"|"&amp;RIGHT("000000"&amp;447,6),ExpRankKey,0),"")</f>
        <v/>
      </c>
    </row>
    <row r="464">
      <c r="A464" s="21" t="n">
        <v>448</v>
      </c>
      <c r="B464" s="22">
        <f>IF($L464="","",INDEX(ExpNorm,$L464))</f>
        <v/>
      </c>
      <c r="C464" s="22">
        <f>IF($L464="","",IF(INDEX(ExpTime,$L464)="","—",LEFT(INDEX(ExpTime,$L464),2)&amp;":"&amp;RIGHT(INDEX(ExpTime,$L464),2)))</f>
        <v/>
      </c>
      <c r="D464" s="22">
        <f>IF($L464="","",IF(INDEX(ExpBank,$L464)="","—",INDEX(ExpBank,$L464)))</f>
        <v/>
      </c>
      <c r="E464" s="23">
        <f>IF($L464="","",IF(INDEX(ExpParty,$L464)="","—",IFERROR(VLOOKUP(INDEX(ExpParty,$L464),AcctTbl,4,0),INDEX(ExpParty,$L464))))</f>
        <v/>
      </c>
      <c r="F464" s="22">
        <f>IF($L464="","",IF(INDEX(ExpType,$L464)="","—",INDEX(ExpType,$L464)))</f>
        <v/>
      </c>
      <c r="G464" s="24">
        <f>IF($L464="","",IF(INDEX(ExpDep,$L464)=0,"",INDEX(ExpDep,$L464)))</f>
        <v/>
      </c>
      <c r="H464" s="24">
        <f>IF($L464="","",IF(INDEX(ExpWit,$L464)=0,"",INDEX(ExpWit,$L464)))</f>
        <v/>
      </c>
      <c r="I464" s="25">
        <f>IF($B464="","",IF($I463="",0,$I463)+IF($H464="",0,$H464)-IF($G464="",0,$G464))</f>
        <v/>
      </c>
      <c r="J464" s="23">
        <f>IF($L464="","",IF(INDEX(ExpNote,$L464)="","—",INDEX(ExpNote,$L464)))</f>
        <v/>
      </c>
      <c r="L464">
        <f>IFERROR(MATCH($C$5&amp;"|"&amp;RIGHT("000000"&amp;448,6),ExpRankKey,0),"")</f>
        <v/>
      </c>
    </row>
    <row r="465">
      <c r="A465" s="16" t="n">
        <v>449</v>
      </c>
      <c r="B465" s="17">
        <f>IF($L465="","",INDEX(ExpNorm,$L465))</f>
        <v/>
      </c>
      <c r="C465" s="17">
        <f>IF($L465="","",IF(INDEX(ExpTime,$L465)="","—",LEFT(INDEX(ExpTime,$L465),2)&amp;":"&amp;RIGHT(INDEX(ExpTime,$L465),2)))</f>
        <v/>
      </c>
      <c r="D465" s="17">
        <f>IF($L465="","",IF(INDEX(ExpBank,$L465)="","—",INDEX(ExpBank,$L465)))</f>
        <v/>
      </c>
      <c r="E465" s="18">
        <f>IF($L465="","",IF(INDEX(ExpParty,$L465)="","—",IFERROR(VLOOKUP(INDEX(ExpParty,$L465),AcctTbl,4,0),INDEX(ExpParty,$L465))))</f>
        <v/>
      </c>
      <c r="F465" s="17">
        <f>IF($L465="","",IF(INDEX(ExpType,$L465)="","—",INDEX(ExpType,$L465)))</f>
        <v/>
      </c>
      <c r="G465" s="19">
        <f>IF($L465="","",IF(INDEX(ExpDep,$L465)=0,"",INDEX(ExpDep,$L465)))</f>
        <v/>
      </c>
      <c r="H465" s="19">
        <f>IF($L465="","",IF(INDEX(ExpWit,$L465)=0,"",INDEX(ExpWit,$L465)))</f>
        <v/>
      </c>
      <c r="I465" s="20">
        <f>IF($B465="","",IF($I464="",0,$I464)+IF($H465="",0,$H465)-IF($G465="",0,$G465))</f>
        <v/>
      </c>
      <c r="J465" s="18">
        <f>IF($L465="","",IF(INDEX(ExpNote,$L465)="","—",INDEX(ExpNote,$L465)))</f>
        <v/>
      </c>
      <c r="L465">
        <f>IFERROR(MATCH($C$5&amp;"|"&amp;RIGHT("000000"&amp;449,6),ExpRankKey,0),"")</f>
        <v/>
      </c>
    </row>
    <row r="466">
      <c r="A466" s="21" t="n">
        <v>450</v>
      </c>
      <c r="B466" s="22">
        <f>IF($L466="","",INDEX(ExpNorm,$L466))</f>
        <v/>
      </c>
      <c r="C466" s="22">
        <f>IF($L466="","",IF(INDEX(ExpTime,$L466)="","—",LEFT(INDEX(ExpTime,$L466),2)&amp;":"&amp;RIGHT(INDEX(ExpTime,$L466),2)))</f>
        <v/>
      </c>
      <c r="D466" s="22">
        <f>IF($L466="","",IF(INDEX(ExpBank,$L466)="","—",INDEX(ExpBank,$L466)))</f>
        <v/>
      </c>
      <c r="E466" s="23">
        <f>IF($L466="","",IF(INDEX(ExpParty,$L466)="","—",IFERROR(VLOOKUP(INDEX(ExpParty,$L466),AcctTbl,4,0),INDEX(ExpParty,$L466))))</f>
        <v/>
      </c>
      <c r="F466" s="22">
        <f>IF($L466="","",IF(INDEX(ExpType,$L466)="","—",INDEX(ExpType,$L466)))</f>
        <v/>
      </c>
      <c r="G466" s="24">
        <f>IF($L466="","",IF(INDEX(ExpDep,$L466)=0,"",INDEX(ExpDep,$L466)))</f>
        <v/>
      </c>
      <c r="H466" s="24">
        <f>IF($L466="","",IF(INDEX(ExpWit,$L466)=0,"",INDEX(ExpWit,$L466)))</f>
        <v/>
      </c>
      <c r="I466" s="25">
        <f>IF($B466="","",IF($I465="",0,$I465)+IF($H466="",0,$H466)-IF($G466="",0,$G466))</f>
        <v/>
      </c>
      <c r="J466" s="23">
        <f>IF($L466="","",IF(INDEX(ExpNote,$L466)="","—",INDEX(ExpNote,$L466)))</f>
        <v/>
      </c>
      <c r="L466">
        <f>IFERROR(MATCH($C$5&amp;"|"&amp;RIGHT("000000"&amp;450,6),ExpRankKey,0),"")</f>
        <v/>
      </c>
    </row>
    <row r="467">
      <c r="A467" s="16" t="n">
        <v>451</v>
      </c>
      <c r="B467" s="17">
        <f>IF($L467="","",INDEX(ExpNorm,$L467))</f>
        <v/>
      </c>
      <c r="C467" s="17">
        <f>IF($L467="","",IF(INDEX(ExpTime,$L467)="","—",LEFT(INDEX(ExpTime,$L467),2)&amp;":"&amp;RIGHT(INDEX(ExpTime,$L467),2)))</f>
        <v/>
      </c>
      <c r="D467" s="17">
        <f>IF($L467="","",IF(INDEX(ExpBank,$L467)="","—",INDEX(ExpBank,$L467)))</f>
        <v/>
      </c>
      <c r="E467" s="18">
        <f>IF($L467="","",IF(INDEX(ExpParty,$L467)="","—",IFERROR(VLOOKUP(INDEX(ExpParty,$L467),AcctTbl,4,0),INDEX(ExpParty,$L467))))</f>
        <v/>
      </c>
      <c r="F467" s="17">
        <f>IF($L467="","",IF(INDEX(ExpType,$L467)="","—",INDEX(ExpType,$L467)))</f>
        <v/>
      </c>
      <c r="G467" s="19">
        <f>IF($L467="","",IF(INDEX(ExpDep,$L467)=0,"",INDEX(ExpDep,$L467)))</f>
        <v/>
      </c>
      <c r="H467" s="19">
        <f>IF($L467="","",IF(INDEX(ExpWit,$L467)=0,"",INDEX(ExpWit,$L467)))</f>
        <v/>
      </c>
      <c r="I467" s="20">
        <f>IF($B467="","",IF($I466="",0,$I466)+IF($H467="",0,$H467)-IF($G467="",0,$G467))</f>
        <v/>
      </c>
      <c r="J467" s="18">
        <f>IF($L467="","",IF(INDEX(ExpNote,$L467)="","—",INDEX(ExpNote,$L467)))</f>
        <v/>
      </c>
      <c r="L467">
        <f>IFERROR(MATCH($C$5&amp;"|"&amp;RIGHT("000000"&amp;451,6),ExpRankKey,0),"")</f>
        <v/>
      </c>
    </row>
    <row r="468">
      <c r="A468" s="21" t="n">
        <v>452</v>
      </c>
      <c r="B468" s="22">
        <f>IF($L468="","",INDEX(ExpNorm,$L468))</f>
        <v/>
      </c>
      <c r="C468" s="22">
        <f>IF($L468="","",IF(INDEX(ExpTime,$L468)="","—",LEFT(INDEX(ExpTime,$L468),2)&amp;":"&amp;RIGHT(INDEX(ExpTime,$L468),2)))</f>
        <v/>
      </c>
      <c r="D468" s="22">
        <f>IF($L468="","",IF(INDEX(ExpBank,$L468)="","—",INDEX(ExpBank,$L468)))</f>
        <v/>
      </c>
      <c r="E468" s="23">
        <f>IF($L468="","",IF(INDEX(ExpParty,$L468)="","—",IFERROR(VLOOKUP(INDEX(ExpParty,$L468),AcctTbl,4,0),INDEX(ExpParty,$L468))))</f>
        <v/>
      </c>
      <c r="F468" s="22">
        <f>IF($L468="","",IF(INDEX(ExpType,$L468)="","—",INDEX(ExpType,$L468)))</f>
        <v/>
      </c>
      <c r="G468" s="24">
        <f>IF($L468="","",IF(INDEX(ExpDep,$L468)=0,"",INDEX(ExpDep,$L468)))</f>
        <v/>
      </c>
      <c r="H468" s="24">
        <f>IF($L468="","",IF(INDEX(ExpWit,$L468)=0,"",INDEX(ExpWit,$L468)))</f>
        <v/>
      </c>
      <c r="I468" s="25">
        <f>IF($B468="","",IF($I467="",0,$I467)+IF($H468="",0,$H468)-IF($G468="",0,$G468))</f>
        <v/>
      </c>
      <c r="J468" s="23">
        <f>IF($L468="","",IF(INDEX(ExpNote,$L468)="","—",INDEX(ExpNote,$L468)))</f>
        <v/>
      </c>
      <c r="L468">
        <f>IFERROR(MATCH($C$5&amp;"|"&amp;RIGHT("000000"&amp;452,6),ExpRankKey,0),"")</f>
        <v/>
      </c>
    </row>
    <row r="469">
      <c r="A469" s="16" t="n">
        <v>453</v>
      </c>
      <c r="B469" s="17">
        <f>IF($L469="","",INDEX(ExpNorm,$L469))</f>
        <v/>
      </c>
      <c r="C469" s="17">
        <f>IF($L469="","",IF(INDEX(ExpTime,$L469)="","—",LEFT(INDEX(ExpTime,$L469),2)&amp;":"&amp;RIGHT(INDEX(ExpTime,$L469),2)))</f>
        <v/>
      </c>
      <c r="D469" s="17">
        <f>IF($L469="","",IF(INDEX(ExpBank,$L469)="","—",INDEX(ExpBank,$L469)))</f>
        <v/>
      </c>
      <c r="E469" s="18">
        <f>IF($L469="","",IF(INDEX(ExpParty,$L469)="","—",IFERROR(VLOOKUP(INDEX(ExpParty,$L469),AcctTbl,4,0),INDEX(ExpParty,$L469))))</f>
        <v/>
      </c>
      <c r="F469" s="17">
        <f>IF($L469="","",IF(INDEX(ExpType,$L469)="","—",INDEX(ExpType,$L469)))</f>
        <v/>
      </c>
      <c r="G469" s="19">
        <f>IF($L469="","",IF(INDEX(ExpDep,$L469)=0,"",INDEX(ExpDep,$L469)))</f>
        <v/>
      </c>
      <c r="H469" s="19">
        <f>IF($L469="","",IF(INDEX(ExpWit,$L469)=0,"",INDEX(ExpWit,$L469)))</f>
        <v/>
      </c>
      <c r="I469" s="20">
        <f>IF($B469="","",IF($I468="",0,$I468)+IF($H469="",0,$H469)-IF($G469="",0,$G469))</f>
        <v/>
      </c>
      <c r="J469" s="18">
        <f>IF($L469="","",IF(INDEX(ExpNote,$L469)="","—",INDEX(ExpNote,$L469)))</f>
        <v/>
      </c>
      <c r="L469">
        <f>IFERROR(MATCH($C$5&amp;"|"&amp;RIGHT("000000"&amp;453,6),ExpRankKey,0),"")</f>
        <v/>
      </c>
    </row>
    <row r="470">
      <c r="A470" s="21" t="n">
        <v>454</v>
      </c>
      <c r="B470" s="22">
        <f>IF($L470="","",INDEX(ExpNorm,$L470))</f>
        <v/>
      </c>
      <c r="C470" s="22">
        <f>IF($L470="","",IF(INDEX(ExpTime,$L470)="","—",LEFT(INDEX(ExpTime,$L470),2)&amp;":"&amp;RIGHT(INDEX(ExpTime,$L470),2)))</f>
        <v/>
      </c>
      <c r="D470" s="22">
        <f>IF($L470="","",IF(INDEX(ExpBank,$L470)="","—",INDEX(ExpBank,$L470)))</f>
        <v/>
      </c>
      <c r="E470" s="23">
        <f>IF($L470="","",IF(INDEX(ExpParty,$L470)="","—",IFERROR(VLOOKUP(INDEX(ExpParty,$L470),AcctTbl,4,0),INDEX(ExpParty,$L470))))</f>
        <v/>
      </c>
      <c r="F470" s="22">
        <f>IF($L470="","",IF(INDEX(ExpType,$L470)="","—",INDEX(ExpType,$L470)))</f>
        <v/>
      </c>
      <c r="G470" s="24">
        <f>IF($L470="","",IF(INDEX(ExpDep,$L470)=0,"",INDEX(ExpDep,$L470)))</f>
        <v/>
      </c>
      <c r="H470" s="24">
        <f>IF($L470="","",IF(INDEX(ExpWit,$L470)=0,"",INDEX(ExpWit,$L470)))</f>
        <v/>
      </c>
      <c r="I470" s="25">
        <f>IF($B470="","",IF($I469="",0,$I469)+IF($H470="",0,$H470)-IF($G470="",0,$G470))</f>
        <v/>
      </c>
      <c r="J470" s="23">
        <f>IF($L470="","",IF(INDEX(ExpNote,$L470)="","—",INDEX(ExpNote,$L470)))</f>
        <v/>
      </c>
      <c r="L470">
        <f>IFERROR(MATCH($C$5&amp;"|"&amp;RIGHT("000000"&amp;454,6),ExpRankKey,0),"")</f>
        <v/>
      </c>
    </row>
    <row r="471">
      <c r="A471" s="16" t="n">
        <v>455</v>
      </c>
      <c r="B471" s="17">
        <f>IF($L471="","",INDEX(ExpNorm,$L471))</f>
        <v/>
      </c>
      <c r="C471" s="17">
        <f>IF($L471="","",IF(INDEX(ExpTime,$L471)="","—",LEFT(INDEX(ExpTime,$L471),2)&amp;":"&amp;RIGHT(INDEX(ExpTime,$L471),2)))</f>
        <v/>
      </c>
      <c r="D471" s="17">
        <f>IF($L471="","",IF(INDEX(ExpBank,$L471)="","—",INDEX(ExpBank,$L471)))</f>
        <v/>
      </c>
      <c r="E471" s="18">
        <f>IF($L471="","",IF(INDEX(ExpParty,$L471)="","—",IFERROR(VLOOKUP(INDEX(ExpParty,$L471),AcctTbl,4,0),INDEX(ExpParty,$L471))))</f>
        <v/>
      </c>
      <c r="F471" s="17">
        <f>IF($L471="","",IF(INDEX(ExpType,$L471)="","—",INDEX(ExpType,$L471)))</f>
        <v/>
      </c>
      <c r="G471" s="19">
        <f>IF($L471="","",IF(INDEX(ExpDep,$L471)=0,"",INDEX(ExpDep,$L471)))</f>
        <v/>
      </c>
      <c r="H471" s="19">
        <f>IF($L471="","",IF(INDEX(ExpWit,$L471)=0,"",INDEX(ExpWit,$L471)))</f>
        <v/>
      </c>
      <c r="I471" s="20">
        <f>IF($B471="","",IF($I470="",0,$I470)+IF($H471="",0,$H471)-IF($G471="",0,$G471))</f>
        <v/>
      </c>
      <c r="J471" s="18">
        <f>IF($L471="","",IF(INDEX(ExpNote,$L471)="","—",INDEX(ExpNote,$L471)))</f>
        <v/>
      </c>
      <c r="L471">
        <f>IFERROR(MATCH($C$5&amp;"|"&amp;RIGHT("000000"&amp;455,6),ExpRankKey,0),"")</f>
        <v/>
      </c>
    </row>
    <row r="472">
      <c r="A472" s="21" t="n">
        <v>456</v>
      </c>
      <c r="B472" s="22">
        <f>IF($L472="","",INDEX(ExpNorm,$L472))</f>
        <v/>
      </c>
      <c r="C472" s="22">
        <f>IF($L472="","",IF(INDEX(ExpTime,$L472)="","—",LEFT(INDEX(ExpTime,$L472),2)&amp;":"&amp;RIGHT(INDEX(ExpTime,$L472),2)))</f>
        <v/>
      </c>
      <c r="D472" s="22">
        <f>IF($L472="","",IF(INDEX(ExpBank,$L472)="","—",INDEX(ExpBank,$L472)))</f>
        <v/>
      </c>
      <c r="E472" s="23">
        <f>IF($L472="","",IF(INDEX(ExpParty,$L472)="","—",IFERROR(VLOOKUP(INDEX(ExpParty,$L472),AcctTbl,4,0),INDEX(ExpParty,$L472))))</f>
        <v/>
      </c>
      <c r="F472" s="22">
        <f>IF($L472="","",IF(INDEX(ExpType,$L472)="","—",INDEX(ExpType,$L472)))</f>
        <v/>
      </c>
      <c r="G472" s="24">
        <f>IF($L472="","",IF(INDEX(ExpDep,$L472)=0,"",INDEX(ExpDep,$L472)))</f>
        <v/>
      </c>
      <c r="H472" s="24">
        <f>IF($L472="","",IF(INDEX(ExpWit,$L472)=0,"",INDEX(ExpWit,$L472)))</f>
        <v/>
      </c>
      <c r="I472" s="25">
        <f>IF($B472="","",IF($I471="",0,$I471)+IF($H472="",0,$H472)-IF($G472="",0,$G472))</f>
        <v/>
      </c>
      <c r="J472" s="23">
        <f>IF($L472="","",IF(INDEX(ExpNote,$L472)="","—",INDEX(ExpNote,$L472)))</f>
        <v/>
      </c>
      <c r="L472">
        <f>IFERROR(MATCH($C$5&amp;"|"&amp;RIGHT("000000"&amp;456,6),ExpRankKey,0),"")</f>
        <v/>
      </c>
    </row>
    <row r="473">
      <c r="A473" s="16" t="n">
        <v>457</v>
      </c>
      <c r="B473" s="17">
        <f>IF($L473="","",INDEX(ExpNorm,$L473))</f>
        <v/>
      </c>
      <c r="C473" s="17">
        <f>IF($L473="","",IF(INDEX(ExpTime,$L473)="","—",LEFT(INDEX(ExpTime,$L473),2)&amp;":"&amp;RIGHT(INDEX(ExpTime,$L473),2)))</f>
        <v/>
      </c>
      <c r="D473" s="17">
        <f>IF($L473="","",IF(INDEX(ExpBank,$L473)="","—",INDEX(ExpBank,$L473)))</f>
        <v/>
      </c>
      <c r="E473" s="18">
        <f>IF($L473="","",IF(INDEX(ExpParty,$L473)="","—",IFERROR(VLOOKUP(INDEX(ExpParty,$L473),AcctTbl,4,0),INDEX(ExpParty,$L473))))</f>
        <v/>
      </c>
      <c r="F473" s="17">
        <f>IF($L473="","",IF(INDEX(ExpType,$L473)="","—",INDEX(ExpType,$L473)))</f>
        <v/>
      </c>
      <c r="G473" s="19">
        <f>IF($L473="","",IF(INDEX(ExpDep,$L473)=0,"",INDEX(ExpDep,$L473)))</f>
        <v/>
      </c>
      <c r="H473" s="19">
        <f>IF($L473="","",IF(INDEX(ExpWit,$L473)=0,"",INDEX(ExpWit,$L473)))</f>
        <v/>
      </c>
      <c r="I473" s="20">
        <f>IF($B473="","",IF($I472="",0,$I472)+IF($H473="",0,$H473)-IF($G473="",0,$G473))</f>
        <v/>
      </c>
      <c r="J473" s="18">
        <f>IF($L473="","",IF(INDEX(ExpNote,$L473)="","—",INDEX(ExpNote,$L473)))</f>
        <v/>
      </c>
      <c r="L473">
        <f>IFERROR(MATCH($C$5&amp;"|"&amp;RIGHT("000000"&amp;457,6),ExpRankKey,0),"")</f>
        <v/>
      </c>
    </row>
    <row r="474">
      <c r="A474" s="21" t="n">
        <v>458</v>
      </c>
      <c r="B474" s="22">
        <f>IF($L474="","",INDEX(ExpNorm,$L474))</f>
        <v/>
      </c>
      <c r="C474" s="22">
        <f>IF($L474="","",IF(INDEX(ExpTime,$L474)="","—",LEFT(INDEX(ExpTime,$L474),2)&amp;":"&amp;RIGHT(INDEX(ExpTime,$L474),2)))</f>
        <v/>
      </c>
      <c r="D474" s="22">
        <f>IF($L474="","",IF(INDEX(ExpBank,$L474)="","—",INDEX(ExpBank,$L474)))</f>
        <v/>
      </c>
      <c r="E474" s="23">
        <f>IF($L474="","",IF(INDEX(ExpParty,$L474)="","—",IFERROR(VLOOKUP(INDEX(ExpParty,$L474),AcctTbl,4,0),INDEX(ExpParty,$L474))))</f>
        <v/>
      </c>
      <c r="F474" s="22">
        <f>IF($L474="","",IF(INDEX(ExpType,$L474)="","—",INDEX(ExpType,$L474)))</f>
        <v/>
      </c>
      <c r="G474" s="24">
        <f>IF($L474="","",IF(INDEX(ExpDep,$L474)=0,"",INDEX(ExpDep,$L474)))</f>
        <v/>
      </c>
      <c r="H474" s="24">
        <f>IF($L474="","",IF(INDEX(ExpWit,$L474)=0,"",INDEX(ExpWit,$L474)))</f>
        <v/>
      </c>
      <c r="I474" s="25">
        <f>IF($B474="","",IF($I473="",0,$I473)+IF($H474="",0,$H474)-IF($G474="",0,$G474))</f>
        <v/>
      </c>
      <c r="J474" s="23">
        <f>IF($L474="","",IF(INDEX(ExpNote,$L474)="","—",INDEX(ExpNote,$L474)))</f>
        <v/>
      </c>
      <c r="L474">
        <f>IFERROR(MATCH($C$5&amp;"|"&amp;RIGHT("000000"&amp;458,6),ExpRankKey,0),"")</f>
        <v/>
      </c>
    </row>
    <row r="475">
      <c r="A475" s="16" t="n">
        <v>459</v>
      </c>
      <c r="B475" s="17">
        <f>IF($L475="","",INDEX(ExpNorm,$L475))</f>
        <v/>
      </c>
      <c r="C475" s="17">
        <f>IF($L475="","",IF(INDEX(ExpTime,$L475)="","—",LEFT(INDEX(ExpTime,$L475),2)&amp;":"&amp;RIGHT(INDEX(ExpTime,$L475),2)))</f>
        <v/>
      </c>
      <c r="D475" s="17">
        <f>IF($L475="","",IF(INDEX(ExpBank,$L475)="","—",INDEX(ExpBank,$L475)))</f>
        <v/>
      </c>
      <c r="E475" s="18">
        <f>IF($L475="","",IF(INDEX(ExpParty,$L475)="","—",IFERROR(VLOOKUP(INDEX(ExpParty,$L475),AcctTbl,4,0),INDEX(ExpParty,$L475))))</f>
        <v/>
      </c>
      <c r="F475" s="17">
        <f>IF($L475="","",IF(INDEX(ExpType,$L475)="","—",INDEX(ExpType,$L475)))</f>
        <v/>
      </c>
      <c r="G475" s="19">
        <f>IF($L475="","",IF(INDEX(ExpDep,$L475)=0,"",INDEX(ExpDep,$L475)))</f>
        <v/>
      </c>
      <c r="H475" s="19">
        <f>IF($L475="","",IF(INDEX(ExpWit,$L475)=0,"",INDEX(ExpWit,$L475)))</f>
        <v/>
      </c>
      <c r="I475" s="20">
        <f>IF($B475="","",IF($I474="",0,$I474)+IF($H475="",0,$H475)-IF($G475="",0,$G475))</f>
        <v/>
      </c>
      <c r="J475" s="18">
        <f>IF($L475="","",IF(INDEX(ExpNote,$L475)="","—",INDEX(ExpNote,$L475)))</f>
        <v/>
      </c>
      <c r="L475">
        <f>IFERROR(MATCH($C$5&amp;"|"&amp;RIGHT("000000"&amp;459,6),ExpRankKey,0),"")</f>
        <v/>
      </c>
    </row>
    <row r="476">
      <c r="A476" s="21" t="n">
        <v>460</v>
      </c>
      <c r="B476" s="22">
        <f>IF($L476="","",INDEX(ExpNorm,$L476))</f>
        <v/>
      </c>
      <c r="C476" s="22">
        <f>IF($L476="","",IF(INDEX(ExpTime,$L476)="","—",LEFT(INDEX(ExpTime,$L476),2)&amp;":"&amp;RIGHT(INDEX(ExpTime,$L476),2)))</f>
        <v/>
      </c>
      <c r="D476" s="22">
        <f>IF($L476="","",IF(INDEX(ExpBank,$L476)="","—",INDEX(ExpBank,$L476)))</f>
        <v/>
      </c>
      <c r="E476" s="23">
        <f>IF($L476="","",IF(INDEX(ExpParty,$L476)="","—",IFERROR(VLOOKUP(INDEX(ExpParty,$L476),AcctTbl,4,0),INDEX(ExpParty,$L476))))</f>
        <v/>
      </c>
      <c r="F476" s="22">
        <f>IF($L476="","",IF(INDEX(ExpType,$L476)="","—",INDEX(ExpType,$L476)))</f>
        <v/>
      </c>
      <c r="G476" s="24">
        <f>IF($L476="","",IF(INDEX(ExpDep,$L476)=0,"",INDEX(ExpDep,$L476)))</f>
        <v/>
      </c>
      <c r="H476" s="24">
        <f>IF($L476="","",IF(INDEX(ExpWit,$L476)=0,"",INDEX(ExpWit,$L476)))</f>
        <v/>
      </c>
      <c r="I476" s="25">
        <f>IF($B476="","",IF($I475="",0,$I475)+IF($H476="",0,$H476)-IF($G476="",0,$G476))</f>
        <v/>
      </c>
      <c r="J476" s="23">
        <f>IF($L476="","",IF(INDEX(ExpNote,$L476)="","—",INDEX(ExpNote,$L476)))</f>
        <v/>
      </c>
      <c r="L476">
        <f>IFERROR(MATCH($C$5&amp;"|"&amp;RIGHT("000000"&amp;460,6),ExpRankKey,0),"")</f>
        <v/>
      </c>
    </row>
    <row r="477">
      <c r="A477" s="16" t="n">
        <v>461</v>
      </c>
      <c r="B477" s="17">
        <f>IF($L477="","",INDEX(ExpNorm,$L477))</f>
        <v/>
      </c>
      <c r="C477" s="17">
        <f>IF($L477="","",IF(INDEX(ExpTime,$L477)="","—",LEFT(INDEX(ExpTime,$L477),2)&amp;":"&amp;RIGHT(INDEX(ExpTime,$L477),2)))</f>
        <v/>
      </c>
      <c r="D477" s="17">
        <f>IF($L477="","",IF(INDEX(ExpBank,$L477)="","—",INDEX(ExpBank,$L477)))</f>
        <v/>
      </c>
      <c r="E477" s="18">
        <f>IF($L477="","",IF(INDEX(ExpParty,$L477)="","—",IFERROR(VLOOKUP(INDEX(ExpParty,$L477),AcctTbl,4,0),INDEX(ExpParty,$L477))))</f>
        <v/>
      </c>
      <c r="F477" s="17">
        <f>IF($L477="","",IF(INDEX(ExpType,$L477)="","—",INDEX(ExpType,$L477)))</f>
        <v/>
      </c>
      <c r="G477" s="19">
        <f>IF($L477="","",IF(INDEX(ExpDep,$L477)=0,"",INDEX(ExpDep,$L477)))</f>
        <v/>
      </c>
      <c r="H477" s="19">
        <f>IF($L477="","",IF(INDEX(ExpWit,$L477)=0,"",INDEX(ExpWit,$L477)))</f>
        <v/>
      </c>
      <c r="I477" s="20">
        <f>IF($B477="","",IF($I476="",0,$I476)+IF($H477="",0,$H477)-IF($G477="",0,$G477))</f>
        <v/>
      </c>
      <c r="J477" s="18">
        <f>IF($L477="","",IF(INDEX(ExpNote,$L477)="","—",INDEX(ExpNote,$L477)))</f>
        <v/>
      </c>
      <c r="L477">
        <f>IFERROR(MATCH($C$5&amp;"|"&amp;RIGHT("000000"&amp;461,6),ExpRankKey,0),"")</f>
        <v/>
      </c>
    </row>
    <row r="478">
      <c r="A478" s="21" t="n">
        <v>462</v>
      </c>
      <c r="B478" s="22">
        <f>IF($L478="","",INDEX(ExpNorm,$L478))</f>
        <v/>
      </c>
      <c r="C478" s="22">
        <f>IF($L478="","",IF(INDEX(ExpTime,$L478)="","—",LEFT(INDEX(ExpTime,$L478),2)&amp;":"&amp;RIGHT(INDEX(ExpTime,$L478),2)))</f>
        <v/>
      </c>
      <c r="D478" s="22">
        <f>IF($L478="","",IF(INDEX(ExpBank,$L478)="","—",INDEX(ExpBank,$L478)))</f>
        <v/>
      </c>
      <c r="E478" s="23">
        <f>IF($L478="","",IF(INDEX(ExpParty,$L478)="","—",IFERROR(VLOOKUP(INDEX(ExpParty,$L478),AcctTbl,4,0),INDEX(ExpParty,$L478))))</f>
        <v/>
      </c>
      <c r="F478" s="22">
        <f>IF($L478="","",IF(INDEX(ExpType,$L478)="","—",INDEX(ExpType,$L478)))</f>
        <v/>
      </c>
      <c r="G478" s="24">
        <f>IF($L478="","",IF(INDEX(ExpDep,$L478)=0,"",INDEX(ExpDep,$L478)))</f>
        <v/>
      </c>
      <c r="H478" s="24">
        <f>IF($L478="","",IF(INDEX(ExpWit,$L478)=0,"",INDEX(ExpWit,$L478)))</f>
        <v/>
      </c>
      <c r="I478" s="25">
        <f>IF($B478="","",IF($I477="",0,$I477)+IF($H478="",0,$H478)-IF($G478="",0,$G478))</f>
        <v/>
      </c>
      <c r="J478" s="23">
        <f>IF($L478="","",IF(INDEX(ExpNote,$L478)="","—",INDEX(ExpNote,$L478)))</f>
        <v/>
      </c>
      <c r="L478">
        <f>IFERROR(MATCH($C$5&amp;"|"&amp;RIGHT("000000"&amp;462,6),ExpRankKey,0),"")</f>
        <v/>
      </c>
    </row>
    <row r="479">
      <c r="A479" s="16" t="n">
        <v>463</v>
      </c>
      <c r="B479" s="17">
        <f>IF($L479="","",INDEX(ExpNorm,$L479))</f>
        <v/>
      </c>
      <c r="C479" s="17">
        <f>IF($L479="","",IF(INDEX(ExpTime,$L479)="","—",LEFT(INDEX(ExpTime,$L479),2)&amp;":"&amp;RIGHT(INDEX(ExpTime,$L479),2)))</f>
        <v/>
      </c>
      <c r="D479" s="17">
        <f>IF($L479="","",IF(INDEX(ExpBank,$L479)="","—",INDEX(ExpBank,$L479)))</f>
        <v/>
      </c>
      <c r="E479" s="18">
        <f>IF($L479="","",IF(INDEX(ExpParty,$L479)="","—",IFERROR(VLOOKUP(INDEX(ExpParty,$L479),AcctTbl,4,0),INDEX(ExpParty,$L479))))</f>
        <v/>
      </c>
      <c r="F479" s="17">
        <f>IF($L479="","",IF(INDEX(ExpType,$L479)="","—",INDEX(ExpType,$L479)))</f>
        <v/>
      </c>
      <c r="G479" s="19">
        <f>IF($L479="","",IF(INDEX(ExpDep,$L479)=0,"",INDEX(ExpDep,$L479)))</f>
        <v/>
      </c>
      <c r="H479" s="19">
        <f>IF($L479="","",IF(INDEX(ExpWit,$L479)=0,"",INDEX(ExpWit,$L479)))</f>
        <v/>
      </c>
      <c r="I479" s="20">
        <f>IF($B479="","",IF($I478="",0,$I478)+IF($H479="",0,$H479)-IF($G479="",0,$G479))</f>
        <v/>
      </c>
      <c r="J479" s="18">
        <f>IF($L479="","",IF(INDEX(ExpNote,$L479)="","—",INDEX(ExpNote,$L479)))</f>
        <v/>
      </c>
      <c r="L479">
        <f>IFERROR(MATCH($C$5&amp;"|"&amp;RIGHT("000000"&amp;463,6),ExpRankKey,0),"")</f>
        <v/>
      </c>
    </row>
    <row r="480">
      <c r="A480" s="21" t="n">
        <v>464</v>
      </c>
      <c r="B480" s="22">
        <f>IF($L480="","",INDEX(ExpNorm,$L480))</f>
        <v/>
      </c>
      <c r="C480" s="22">
        <f>IF($L480="","",IF(INDEX(ExpTime,$L480)="","—",LEFT(INDEX(ExpTime,$L480),2)&amp;":"&amp;RIGHT(INDEX(ExpTime,$L480),2)))</f>
        <v/>
      </c>
      <c r="D480" s="22">
        <f>IF($L480="","",IF(INDEX(ExpBank,$L480)="","—",INDEX(ExpBank,$L480)))</f>
        <v/>
      </c>
      <c r="E480" s="23">
        <f>IF($L480="","",IF(INDEX(ExpParty,$L480)="","—",IFERROR(VLOOKUP(INDEX(ExpParty,$L480),AcctTbl,4,0),INDEX(ExpParty,$L480))))</f>
        <v/>
      </c>
      <c r="F480" s="22">
        <f>IF($L480="","",IF(INDEX(ExpType,$L480)="","—",INDEX(ExpType,$L480)))</f>
        <v/>
      </c>
      <c r="G480" s="24">
        <f>IF($L480="","",IF(INDEX(ExpDep,$L480)=0,"",INDEX(ExpDep,$L480)))</f>
        <v/>
      </c>
      <c r="H480" s="24">
        <f>IF($L480="","",IF(INDEX(ExpWit,$L480)=0,"",INDEX(ExpWit,$L480)))</f>
        <v/>
      </c>
      <c r="I480" s="25">
        <f>IF($B480="","",IF($I479="",0,$I479)+IF($H480="",0,$H480)-IF($G480="",0,$G480))</f>
        <v/>
      </c>
      <c r="J480" s="23">
        <f>IF($L480="","",IF(INDEX(ExpNote,$L480)="","—",INDEX(ExpNote,$L480)))</f>
        <v/>
      </c>
      <c r="L480">
        <f>IFERROR(MATCH($C$5&amp;"|"&amp;RIGHT("000000"&amp;464,6),ExpRankKey,0),"")</f>
        <v/>
      </c>
    </row>
    <row r="481">
      <c r="A481" s="16" t="n">
        <v>465</v>
      </c>
      <c r="B481" s="17">
        <f>IF($L481="","",INDEX(ExpNorm,$L481))</f>
        <v/>
      </c>
      <c r="C481" s="17">
        <f>IF($L481="","",IF(INDEX(ExpTime,$L481)="","—",LEFT(INDEX(ExpTime,$L481),2)&amp;":"&amp;RIGHT(INDEX(ExpTime,$L481),2)))</f>
        <v/>
      </c>
      <c r="D481" s="17">
        <f>IF($L481="","",IF(INDEX(ExpBank,$L481)="","—",INDEX(ExpBank,$L481)))</f>
        <v/>
      </c>
      <c r="E481" s="18">
        <f>IF($L481="","",IF(INDEX(ExpParty,$L481)="","—",IFERROR(VLOOKUP(INDEX(ExpParty,$L481),AcctTbl,4,0),INDEX(ExpParty,$L481))))</f>
        <v/>
      </c>
      <c r="F481" s="17">
        <f>IF($L481="","",IF(INDEX(ExpType,$L481)="","—",INDEX(ExpType,$L481)))</f>
        <v/>
      </c>
      <c r="G481" s="19">
        <f>IF($L481="","",IF(INDEX(ExpDep,$L481)=0,"",INDEX(ExpDep,$L481)))</f>
        <v/>
      </c>
      <c r="H481" s="19">
        <f>IF($L481="","",IF(INDEX(ExpWit,$L481)=0,"",INDEX(ExpWit,$L481)))</f>
        <v/>
      </c>
      <c r="I481" s="20">
        <f>IF($B481="","",IF($I480="",0,$I480)+IF($H481="",0,$H481)-IF($G481="",0,$G481))</f>
        <v/>
      </c>
      <c r="J481" s="18">
        <f>IF($L481="","",IF(INDEX(ExpNote,$L481)="","—",INDEX(ExpNote,$L481)))</f>
        <v/>
      </c>
      <c r="L481">
        <f>IFERROR(MATCH($C$5&amp;"|"&amp;RIGHT("000000"&amp;465,6),ExpRankKey,0),"")</f>
        <v/>
      </c>
    </row>
    <row r="482">
      <c r="A482" s="21" t="n">
        <v>466</v>
      </c>
      <c r="B482" s="22">
        <f>IF($L482="","",INDEX(ExpNorm,$L482))</f>
        <v/>
      </c>
      <c r="C482" s="22">
        <f>IF($L482="","",IF(INDEX(ExpTime,$L482)="","—",LEFT(INDEX(ExpTime,$L482),2)&amp;":"&amp;RIGHT(INDEX(ExpTime,$L482),2)))</f>
        <v/>
      </c>
      <c r="D482" s="22">
        <f>IF($L482="","",IF(INDEX(ExpBank,$L482)="","—",INDEX(ExpBank,$L482)))</f>
        <v/>
      </c>
      <c r="E482" s="23">
        <f>IF($L482="","",IF(INDEX(ExpParty,$L482)="","—",IFERROR(VLOOKUP(INDEX(ExpParty,$L482),AcctTbl,4,0),INDEX(ExpParty,$L482))))</f>
        <v/>
      </c>
      <c r="F482" s="22">
        <f>IF($L482="","",IF(INDEX(ExpType,$L482)="","—",INDEX(ExpType,$L482)))</f>
        <v/>
      </c>
      <c r="G482" s="24">
        <f>IF($L482="","",IF(INDEX(ExpDep,$L482)=0,"",INDEX(ExpDep,$L482)))</f>
        <v/>
      </c>
      <c r="H482" s="24">
        <f>IF($L482="","",IF(INDEX(ExpWit,$L482)=0,"",INDEX(ExpWit,$L482)))</f>
        <v/>
      </c>
      <c r="I482" s="25">
        <f>IF($B482="","",IF($I481="",0,$I481)+IF($H482="",0,$H482)-IF($G482="",0,$G482))</f>
        <v/>
      </c>
      <c r="J482" s="23">
        <f>IF($L482="","",IF(INDEX(ExpNote,$L482)="","—",INDEX(ExpNote,$L482)))</f>
        <v/>
      </c>
      <c r="L482">
        <f>IFERROR(MATCH($C$5&amp;"|"&amp;RIGHT("000000"&amp;466,6),ExpRankKey,0),"")</f>
        <v/>
      </c>
    </row>
    <row r="483">
      <c r="A483" s="16" t="n">
        <v>467</v>
      </c>
      <c r="B483" s="17">
        <f>IF($L483="","",INDEX(ExpNorm,$L483))</f>
        <v/>
      </c>
      <c r="C483" s="17">
        <f>IF($L483="","",IF(INDEX(ExpTime,$L483)="","—",LEFT(INDEX(ExpTime,$L483),2)&amp;":"&amp;RIGHT(INDEX(ExpTime,$L483),2)))</f>
        <v/>
      </c>
      <c r="D483" s="17">
        <f>IF($L483="","",IF(INDEX(ExpBank,$L483)="","—",INDEX(ExpBank,$L483)))</f>
        <v/>
      </c>
      <c r="E483" s="18">
        <f>IF($L483="","",IF(INDEX(ExpParty,$L483)="","—",IFERROR(VLOOKUP(INDEX(ExpParty,$L483),AcctTbl,4,0),INDEX(ExpParty,$L483))))</f>
        <v/>
      </c>
      <c r="F483" s="17">
        <f>IF($L483="","",IF(INDEX(ExpType,$L483)="","—",INDEX(ExpType,$L483)))</f>
        <v/>
      </c>
      <c r="G483" s="19">
        <f>IF($L483="","",IF(INDEX(ExpDep,$L483)=0,"",INDEX(ExpDep,$L483)))</f>
        <v/>
      </c>
      <c r="H483" s="19">
        <f>IF($L483="","",IF(INDEX(ExpWit,$L483)=0,"",INDEX(ExpWit,$L483)))</f>
        <v/>
      </c>
      <c r="I483" s="20">
        <f>IF($B483="","",IF($I482="",0,$I482)+IF($H483="",0,$H483)-IF($G483="",0,$G483))</f>
        <v/>
      </c>
      <c r="J483" s="18">
        <f>IF($L483="","",IF(INDEX(ExpNote,$L483)="","—",INDEX(ExpNote,$L483)))</f>
        <v/>
      </c>
      <c r="L483">
        <f>IFERROR(MATCH($C$5&amp;"|"&amp;RIGHT("000000"&amp;467,6),ExpRankKey,0),"")</f>
        <v/>
      </c>
    </row>
    <row r="484">
      <c r="A484" s="21" t="n">
        <v>468</v>
      </c>
      <c r="B484" s="22">
        <f>IF($L484="","",INDEX(ExpNorm,$L484))</f>
        <v/>
      </c>
      <c r="C484" s="22">
        <f>IF($L484="","",IF(INDEX(ExpTime,$L484)="","—",LEFT(INDEX(ExpTime,$L484),2)&amp;":"&amp;RIGHT(INDEX(ExpTime,$L484),2)))</f>
        <v/>
      </c>
      <c r="D484" s="22">
        <f>IF($L484="","",IF(INDEX(ExpBank,$L484)="","—",INDEX(ExpBank,$L484)))</f>
        <v/>
      </c>
      <c r="E484" s="23">
        <f>IF($L484="","",IF(INDEX(ExpParty,$L484)="","—",IFERROR(VLOOKUP(INDEX(ExpParty,$L484),AcctTbl,4,0),INDEX(ExpParty,$L484))))</f>
        <v/>
      </c>
      <c r="F484" s="22">
        <f>IF($L484="","",IF(INDEX(ExpType,$L484)="","—",INDEX(ExpType,$L484)))</f>
        <v/>
      </c>
      <c r="G484" s="24">
        <f>IF($L484="","",IF(INDEX(ExpDep,$L484)=0,"",INDEX(ExpDep,$L484)))</f>
        <v/>
      </c>
      <c r="H484" s="24">
        <f>IF($L484="","",IF(INDEX(ExpWit,$L484)=0,"",INDEX(ExpWit,$L484)))</f>
        <v/>
      </c>
      <c r="I484" s="25">
        <f>IF($B484="","",IF($I483="",0,$I483)+IF($H484="",0,$H484)-IF($G484="",0,$G484))</f>
        <v/>
      </c>
      <c r="J484" s="23">
        <f>IF($L484="","",IF(INDEX(ExpNote,$L484)="","—",INDEX(ExpNote,$L484)))</f>
        <v/>
      </c>
      <c r="L484">
        <f>IFERROR(MATCH($C$5&amp;"|"&amp;RIGHT("000000"&amp;468,6),ExpRankKey,0),"")</f>
        <v/>
      </c>
    </row>
    <row r="485">
      <c r="A485" s="16" t="n">
        <v>469</v>
      </c>
      <c r="B485" s="17">
        <f>IF($L485="","",INDEX(ExpNorm,$L485))</f>
        <v/>
      </c>
      <c r="C485" s="17">
        <f>IF($L485="","",IF(INDEX(ExpTime,$L485)="","—",LEFT(INDEX(ExpTime,$L485),2)&amp;":"&amp;RIGHT(INDEX(ExpTime,$L485),2)))</f>
        <v/>
      </c>
      <c r="D485" s="17">
        <f>IF($L485="","",IF(INDEX(ExpBank,$L485)="","—",INDEX(ExpBank,$L485)))</f>
        <v/>
      </c>
      <c r="E485" s="18">
        <f>IF($L485="","",IF(INDEX(ExpParty,$L485)="","—",IFERROR(VLOOKUP(INDEX(ExpParty,$L485),AcctTbl,4,0),INDEX(ExpParty,$L485))))</f>
        <v/>
      </c>
      <c r="F485" s="17">
        <f>IF($L485="","",IF(INDEX(ExpType,$L485)="","—",INDEX(ExpType,$L485)))</f>
        <v/>
      </c>
      <c r="G485" s="19">
        <f>IF($L485="","",IF(INDEX(ExpDep,$L485)=0,"",INDEX(ExpDep,$L485)))</f>
        <v/>
      </c>
      <c r="H485" s="19">
        <f>IF($L485="","",IF(INDEX(ExpWit,$L485)=0,"",INDEX(ExpWit,$L485)))</f>
        <v/>
      </c>
      <c r="I485" s="20">
        <f>IF($B485="","",IF($I484="",0,$I484)+IF($H485="",0,$H485)-IF($G485="",0,$G485))</f>
        <v/>
      </c>
      <c r="J485" s="18">
        <f>IF($L485="","",IF(INDEX(ExpNote,$L485)="","—",INDEX(ExpNote,$L485)))</f>
        <v/>
      </c>
      <c r="L485">
        <f>IFERROR(MATCH($C$5&amp;"|"&amp;RIGHT("000000"&amp;469,6),ExpRankKey,0),"")</f>
        <v/>
      </c>
    </row>
    <row r="486">
      <c r="A486" s="21" t="n">
        <v>470</v>
      </c>
      <c r="B486" s="22">
        <f>IF($L486="","",INDEX(ExpNorm,$L486))</f>
        <v/>
      </c>
      <c r="C486" s="22">
        <f>IF($L486="","",IF(INDEX(ExpTime,$L486)="","—",LEFT(INDEX(ExpTime,$L486),2)&amp;":"&amp;RIGHT(INDEX(ExpTime,$L486),2)))</f>
        <v/>
      </c>
      <c r="D486" s="22">
        <f>IF($L486="","",IF(INDEX(ExpBank,$L486)="","—",INDEX(ExpBank,$L486)))</f>
        <v/>
      </c>
      <c r="E486" s="23">
        <f>IF($L486="","",IF(INDEX(ExpParty,$L486)="","—",IFERROR(VLOOKUP(INDEX(ExpParty,$L486),AcctTbl,4,0),INDEX(ExpParty,$L486))))</f>
        <v/>
      </c>
      <c r="F486" s="22">
        <f>IF($L486="","",IF(INDEX(ExpType,$L486)="","—",INDEX(ExpType,$L486)))</f>
        <v/>
      </c>
      <c r="G486" s="24">
        <f>IF($L486="","",IF(INDEX(ExpDep,$L486)=0,"",INDEX(ExpDep,$L486)))</f>
        <v/>
      </c>
      <c r="H486" s="24">
        <f>IF($L486="","",IF(INDEX(ExpWit,$L486)=0,"",INDEX(ExpWit,$L486)))</f>
        <v/>
      </c>
      <c r="I486" s="25">
        <f>IF($B486="","",IF($I485="",0,$I485)+IF($H486="",0,$H486)-IF($G486="",0,$G486))</f>
        <v/>
      </c>
      <c r="J486" s="23">
        <f>IF($L486="","",IF(INDEX(ExpNote,$L486)="","—",INDEX(ExpNote,$L486)))</f>
        <v/>
      </c>
      <c r="L486">
        <f>IFERROR(MATCH($C$5&amp;"|"&amp;RIGHT("000000"&amp;470,6),ExpRankKey,0),"")</f>
        <v/>
      </c>
    </row>
    <row r="487">
      <c r="A487" s="16" t="n">
        <v>471</v>
      </c>
      <c r="B487" s="17">
        <f>IF($L487="","",INDEX(ExpNorm,$L487))</f>
        <v/>
      </c>
      <c r="C487" s="17">
        <f>IF($L487="","",IF(INDEX(ExpTime,$L487)="","—",LEFT(INDEX(ExpTime,$L487),2)&amp;":"&amp;RIGHT(INDEX(ExpTime,$L487),2)))</f>
        <v/>
      </c>
      <c r="D487" s="17">
        <f>IF($L487="","",IF(INDEX(ExpBank,$L487)="","—",INDEX(ExpBank,$L487)))</f>
        <v/>
      </c>
      <c r="E487" s="18">
        <f>IF($L487="","",IF(INDEX(ExpParty,$L487)="","—",IFERROR(VLOOKUP(INDEX(ExpParty,$L487),AcctTbl,4,0),INDEX(ExpParty,$L487))))</f>
        <v/>
      </c>
      <c r="F487" s="17">
        <f>IF($L487="","",IF(INDEX(ExpType,$L487)="","—",INDEX(ExpType,$L487)))</f>
        <v/>
      </c>
      <c r="G487" s="19">
        <f>IF($L487="","",IF(INDEX(ExpDep,$L487)=0,"",INDEX(ExpDep,$L487)))</f>
        <v/>
      </c>
      <c r="H487" s="19">
        <f>IF($L487="","",IF(INDEX(ExpWit,$L487)=0,"",INDEX(ExpWit,$L487)))</f>
        <v/>
      </c>
      <c r="I487" s="20">
        <f>IF($B487="","",IF($I486="",0,$I486)+IF($H487="",0,$H487)-IF($G487="",0,$G487))</f>
        <v/>
      </c>
      <c r="J487" s="18">
        <f>IF($L487="","",IF(INDEX(ExpNote,$L487)="","—",INDEX(ExpNote,$L487)))</f>
        <v/>
      </c>
      <c r="L487">
        <f>IFERROR(MATCH($C$5&amp;"|"&amp;RIGHT("000000"&amp;471,6),ExpRankKey,0),"")</f>
        <v/>
      </c>
    </row>
    <row r="488">
      <c r="A488" s="21" t="n">
        <v>472</v>
      </c>
      <c r="B488" s="22">
        <f>IF($L488="","",INDEX(ExpNorm,$L488))</f>
        <v/>
      </c>
      <c r="C488" s="22">
        <f>IF($L488="","",IF(INDEX(ExpTime,$L488)="","—",LEFT(INDEX(ExpTime,$L488),2)&amp;":"&amp;RIGHT(INDEX(ExpTime,$L488),2)))</f>
        <v/>
      </c>
      <c r="D488" s="22">
        <f>IF($L488="","",IF(INDEX(ExpBank,$L488)="","—",INDEX(ExpBank,$L488)))</f>
        <v/>
      </c>
      <c r="E488" s="23">
        <f>IF($L488="","",IF(INDEX(ExpParty,$L488)="","—",IFERROR(VLOOKUP(INDEX(ExpParty,$L488),AcctTbl,4,0),INDEX(ExpParty,$L488))))</f>
        <v/>
      </c>
      <c r="F488" s="22">
        <f>IF($L488="","",IF(INDEX(ExpType,$L488)="","—",INDEX(ExpType,$L488)))</f>
        <v/>
      </c>
      <c r="G488" s="24">
        <f>IF($L488="","",IF(INDEX(ExpDep,$L488)=0,"",INDEX(ExpDep,$L488)))</f>
        <v/>
      </c>
      <c r="H488" s="24">
        <f>IF($L488="","",IF(INDEX(ExpWit,$L488)=0,"",INDEX(ExpWit,$L488)))</f>
        <v/>
      </c>
      <c r="I488" s="25">
        <f>IF($B488="","",IF($I487="",0,$I487)+IF($H488="",0,$H488)-IF($G488="",0,$G488))</f>
        <v/>
      </c>
      <c r="J488" s="23">
        <f>IF($L488="","",IF(INDEX(ExpNote,$L488)="","—",INDEX(ExpNote,$L488)))</f>
        <v/>
      </c>
      <c r="L488">
        <f>IFERROR(MATCH($C$5&amp;"|"&amp;RIGHT("000000"&amp;472,6),ExpRankKey,0),"")</f>
        <v/>
      </c>
    </row>
    <row r="489">
      <c r="A489" s="16" t="n">
        <v>473</v>
      </c>
      <c r="B489" s="17">
        <f>IF($L489="","",INDEX(ExpNorm,$L489))</f>
        <v/>
      </c>
      <c r="C489" s="17">
        <f>IF($L489="","",IF(INDEX(ExpTime,$L489)="","—",LEFT(INDEX(ExpTime,$L489),2)&amp;":"&amp;RIGHT(INDEX(ExpTime,$L489),2)))</f>
        <v/>
      </c>
      <c r="D489" s="17">
        <f>IF($L489="","",IF(INDEX(ExpBank,$L489)="","—",INDEX(ExpBank,$L489)))</f>
        <v/>
      </c>
      <c r="E489" s="18">
        <f>IF($L489="","",IF(INDEX(ExpParty,$L489)="","—",IFERROR(VLOOKUP(INDEX(ExpParty,$L489),AcctTbl,4,0),INDEX(ExpParty,$L489))))</f>
        <v/>
      </c>
      <c r="F489" s="17">
        <f>IF($L489="","",IF(INDEX(ExpType,$L489)="","—",INDEX(ExpType,$L489)))</f>
        <v/>
      </c>
      <c r="G489" s="19">
        <f>IF($L489="","",IF(INDEX(ExpDep,$L489)=0,"",INDEX(ExpDep,$L489)))</f>
        <v/>
      </c>
      <c r="H489" s="19">
        <f>IF($L489="","",IF(INDEX(ExpWit,$L489)=0,"",INDEX(ExpWit,$L489)))</f>
        <v/>
      </c>
      <c r="I489" s="20">
        <f>IF($B489="","",IF($I488="",0,$I488)+IF($H489="",0,$H489)-IF($G489="",0,$G489))</f>
        <v/>
      </c>
      <c r="J489" s="18">
        <f>IF($L489="","",IF(INDEX(ExpNote,$L489)="","—",INDEX(ExpNote,$L489)))</f>
        <v/>
      </c>
      <c r="L489">
        <f>IFERROR(MATCH($C$5&amp;"|"&amp;RIGHT("000000"&amp;473,6),ExpRankKey,0),"")</f>
        <v/>
      </c>
    </row>
    <row r="490">
      <c r="A490" s="21" t="n">
        <v>474</v>
      </c>
      <c r="B490" s="22">
        <f>IF($L490="","",INDEX(ExpNorm,$L490))</f>
        <v/>
      </c>
      <c r="C490" s="22">
        <f>IF($L490="","",IF(INDEX(ExpTime,$L490)="","—",LEFT(INDEX(ExpTime,$L490),2)&amp;":"&amp;RIGHT(INDEX(ExpTime,$L490),2)))</f>
        <v/>
      </c>
      <c r="D490" s="22">
        <f>IF($L490="","",IF(INDEX(ExpBank,$L490)="","—",INDEX(ExpBank,$L490)))</f>
        <v/>
      </c>
      <c r="E490" s="23">
        <f>IF($L490="","",IF(INDEX(ExpParty,$L490)="","—",IFERROR(VLOOKUP(INDEX(ExpParty,$L490),AcctTbl,4,0),INDEX(ExpParty,$L490))))</f>
        <v/>
      </c>
      <c r="F490" s="22">
        <f>IF($L490="","",IF(INDEX(ExpType,$L490)="","—",INDEX(ExpType,$L490)))</f>
        <v/>
      </c>
      <c r="G490" s="24">
        <f>IF($L490="","",IF(INDEX(ExpDep,$L490)=0,"",INDEX(ExpDep,$L490)))</f>
        <v/>
      </c>
      <c r="H490" s="24">
        <f>IF($L490="","",IF(INDEX(ExpWit,$L490)=0,"",INDEX(ExpWit,$L490)))</f>
        <v/>
      </c>
      <c r="I490" s="25">
        <f>IF($B490="","",IF($I489="",0,$I489)+IF($H490="",0,$H490)-IF($G490="",0,$G490))</f>
        <v/>
      </c>
      <c r="J490" s="23">
        <f>IF($L490="","",IF(INDEX(ExpNote,$L490)="","—",INDEX(ExpNote,$L490)))</f>
        <v/>
      </c>
      <c r="L490">
        <f>IFERROR(MATCH($C$5&amp;"|"&amp;RIGHT("000000"&amp;474,6),ExpRankKey,0),"")</f>
        <v/>
      </c>
    </row>
    <row r="491">
      <c r="A491" s="16" t="n">
        <v>475</v>
      </c>
      <c r="B491" s="17">
        <f>IF($L491="","",INDEX(ExpNorm,$L491))</f>
        <v/>
      </c>
      <c r="C491" s="17">
        <f>IF($L491="","",IF(INDEX(ExpTime,$L491)="","—",LEFT(INDEX(ExpTime,$L491),2)&amp;":"&amp;RIGHT(INDEX(ExpTime,$L491),2)))</f>
        <v/>
      </c>
      <c r="D491" s="17">
        <f>IF($L491="","",IF(INDEX(ExpBank,$L491)="","—",INDEX(ExpBank,$L491)))</f>
        <v/>
      </c>
      <c r="E491" s="18">
        <f>IF($L491="","",IF(INDEX(ExpParty,$L491)="","—",IFERROR(VLOOKUP(INDEX(ExpParty,$L491),AcctTbl,4,0),INDEX(ExpParty,$L491))))</f>
        <v/>
      </c>
      <c r="F491" s="17">
        <f>IF($L491="","",IF(INDEX(ExpType,$L491)="","—",INDEX(ExpType,$L491)))</f>
        <v/>
      </c>
      <c r="G491" s="19">
        <f>IF($L491="","",IF(INDEX(ExpDep,$L491)=0,"",INDEX(ExpDep,$L491)))</f>
        <v/>
      </c>
      <c r="H491" s="19">
        <f>IF($L491="","",IF(INDEX(ExpWit,$L491)=0,"",INDEX(ExpWit,$L491)))</f>
        <v/>
      </c>
      <c r="I491" s="20">
        <f>IF($B491="","",IF($I490="",0,$I490)+IF($H491="",0,$H491)-IF($G491="",0,$G491))</f>
        <v/>
      </c>
      <c r="J491" s="18">
        <f>IF($L491="","",IF(INDEX(ExpNote,$L491)="","—",INDEX(ExpNote,$L491)))</f>
        <v/>
      </c>
      <c r="L491">
        <f>IFERROR(MATCH($C$5&amp;"|"&amp;RIGHT("000000"&amp;475,6),ExpRankKey,0),"")</f>
        <v/>
      </c>
    </row>
    <row r="492">
      <c r="A492" s="21" t="n">
        <v>476</v>
      </c>
      <c r="B492" s="22">
        <f>IF($L492="","",INDEX(ExpNorm,$L492))</f>
        <v/>
      </c>
      <c r="C492" s="22">
        <f>IF($L492="","",IF(INDEX(ExpTime,$L492)="","—",LEFT(INDEX(ExpTime,$L492),2)&amp;":"&amp;RIGHT(INDEX(ExpTime,$L492),2)))</f>
        <v/>
      </c>
      <c r="D492" s="22">
        <f>IF($L492="","",IF(INDEX(ExpBank,$L492)="","—",INDEX(ExpBank,$L492)))</f>
        <v/>
      </c>
      <c r="E492" s="23">
        <f>IF($L492="","",IF(INDEX(ExpParty,$L492)="","—",IFERROR(VLOOKUP(INDEX(ExpParty,$L492),AcctTbl,4,0),INDEX(ExpParty,$L492))))</f>
        <v/>
      </c>
      <c r="F492" s="22">
        <f>IF($L492="","",IF(INDEX(ExpType,$L492)="","—",INDEX(ExpType,$L492)))</f>
        <v/>
      </c>
      <c r="G492" s="24">
        <f>IF($L492="","",IF(INDEX(ExpDep,$L492)=0,"",INDEX(ExpDep,$L492)))</f>
        <v/>
      </c>
      <c r="H492" s="24">
        <f>IF($L492="","",IF(INDEX(ExpWit,$L492)=0,"",INDEX(ExpWit,$L492)))</f>
        <v/>
      </c>
      <c r="I492" s="25">
        <f>IF($B492="","",IF($I491="",0,$I491)+IF($H492="",0,$H492)-IF($G492="",0,$G492))</f>
        <v/>
      </c>
      <c r="J492" s="23">
        <f>IF($L492="","",IF(INDEX(ExpNote,$L492)="","—",INDEX(ExpNote,$L492)))</f>
        <v/>
      </c>
      <c r="L492">
        <f>IFERROR(MATCH($C$5&amp;"|"&amp;RIGHT("000000"&amp;476,6),ExpRankKey,0),"")</f>
        <v/>
      </c>
    </row>
    <row r="493">
      <c r="A493" s="16" t="n">
        <v>477</v>
      </c>
      <c r="B493" s="17">
        <f>IF($L493="","",INDEX(ExpNorm,$L493))</f>
        <v/>
      </c>
      <c r="C493" s="17">
        <f>IF($L493="","",IF(INDEX(ExpTime,$L493)="","—",LEFT(INDEX(ExpTime,$L493),2)&amp;":"&amp;RIGHT(INDEX(ExpTime,$L493),2)))</f>
        <v/>
      </c>
      <c r="D493" s="17">
        <f>IF($L493="","",IF(INDEX(ExpBank,$L493)="","—",INDEX(ExpBank,$L493)))</f>
        <v/>
      </c>
      <c r="E493" s="18">
        <f>IF($L493="","",IF(INDEX(ExpParty,$L493)="","—",IFERROR(VLOOKUP(INDEX(ExpParty,$L493),AcctTbl,4,0),INDEX(ExpParty,$L493))))</f>
        <v/>
      </c>
      <c r="F493" s="17">
        <f>IF($L493="","",IF(INDEX(ExpType,$L493)="","—",INDEX(ExpType,$L493)))</f>
        <v/>
      </c>
      <c r="G493" s="19">
        <f>IF($L493="","",IF(INDEX(ExpDep,$L493)=0,"",INDEX(ExpDep,$L493)))</f>
        <v/>
      </c>
      <c r="H493" s="19">
        <f>IF($L493="","",IF(INDEX(ExpWit,$L493)=0,"",INDEX(ExpWit,$L493)))</f>
        <v/>
      </c>
      <c r="I493" s="20">
        <f>IF($B493="","",IF($I492="",0,$I492)+IF($H493="",0,$H493)-IF($G493="",0,$G493))</f>
        <v/>
      </c>
      <c r="J493" s="18">
        <f>IF($L493="","",IF(INDEX(ExpNote,$L493)="","—",INDEX(ExpNote,$L493)))</f>
        <v/>
      </c>
      <c r="L493">
        <f>IFERROR(MATCH($C$5&amp;"|"&amp;RIGHT("000000"&amp;477,6),ExpRankKey,0),"")</f>
        <v/>
      </c>
    </row>
    <row r="494">
      <c r="A494" s="21" t="n">
        <v>478</v>
      </c>
      <c r="B494" s="22">
        <f>IF($L494="","",INDEX(ExpNorm,$L494))</f>
        <v/>
      </c>
      <c r="C494" s="22">
        <f>IF($L494="","",IF(INDEX(ExpTime,$L494)="","—",LEFT(INDEX(ExpTime,$L494),2)&amp;":"&amp;RIGHT(INDEX(ExpTime,$L494),2)))</f>
        <v/>
      </c>
      <c r="D494" s="22">
        <f>IF($L494="","",IF(INDEX(ExpBank,$L494)="","—",INDEX(ExpBank,$L494)))</f>
        <v/>
      </c>
      <c r="E494" s="23">
        <f>IF($L494="","",IF(INDEX(ExpParty,$L494)="","—",IFERROR(VLOOKUP(INDEX(ExpParty,$L494),AcctTbl,4,0),INDEX(ExpParty,$L494))))</f>
        <v/>
      </c>
      <c r="F494" s="22">
        <f>IF($L494="","",IF(INDEX(ExpType,$L494)="","—",INDEX(ExpType,$L494)))</f>
        <v/>
      </c>
      <c r="G494" s="24">
        <f>IF($L494="","",IF(INDEX(ExpDep,$L494)=0,"",INDEX(ExpDep,$L494)))</f>
        <v/>
      </c>
      <c r="H494" s="24">
        <f>IF($L494="","",IF(INDEX(ExpWit,$L494)=0,"",INDEX(ExpWit,$L494)))</f>
        <v/>
      </c>
      <c r="I494" s="25">
        <f>IF($B494="","",IF($I493="",0,$I493)+IF($H494="",0,$H494)-IF($G494="",0,$G494))</f>
        <v/>
      </c>
      <c r="J494" s="23">
        <f>IF($L494="","",IF(INDEX(ExpNote,$L494)="","—",INDEX(ExpNote,$L494)))</f>
        <v/>
      </c>
      <c r="L494">
        <f>IFERROR(MATCH($C$5&amp;"|"&amp;RIGHT("000000"&amp;478,6),ExpRankKey,0),"")</f>
        <v/>
      </c>
    </row>
    <row r="495">
      <c r="A495" s="16" t="n">
        <v>479</v>
      </c>
      <c r="B495" s="17">
        <f>IF($L495="","",INDEX(ExpNorm,$L495))</f>
        <v/>
      </c>
      <c r="C495" s="17">
        <f>IF($L495="","",IF(INDEX(ExpTime,$L495)="","—",LEFT(INDEX(ExpTime,$L495),2)&amp;":"&amp;RIGHT(INDEX(ExpTime,$L495),2)))</f>
        <v/>
      </c>
      <c r="D495" s="17">
        <f>IF($L495="","",IF(INDEX(ExpBank,$L495)="","—",INDEX(ExpBank,$L495)))</f>
        <v/>
      </c>
      <c r="E495" s="18">
        <f>IF($L495="","",IF(INDEX(ExpParty,$L495)="","—",IFERROR(VLOOKUP(INDEX(ExpParty,$L495),AcctTbl,4,0),INDEX(ExpParty,$L495))))</f>
        <v/>
      </c>
      <c r="F495" s="17">
        <f>IF($L495="","",IF(INDEX(ExpType,$L495)="","—",INDEX(ExpType,$L495)))</f>
        <v/>
      </c>
      <c r="G495" s="19">
        <f>IF($L495="","",IF(INDEX(ExpDep,$L495)=0,"",INDEX(ExpDep,$L495)))</f>
        <v/>
      </c>
      <c r="H495" s="19">
        <f>IF($L495="","",IF(INDEX(ExpWit,$L495)=0,"",INDEX(ExpWit,$L495)))</f>
        <v/>
      </c>
      <c r="I495" s="20">
        <f>IF($B495="","",IF($I494="",0,$I494)+IF($H495="",0,$H495)-IF($G495="",0,$G495))</f>
        <v/>
      </c>
      <c r="J495" s="18">
        <f>IF($L495="","",IF(INDEX(ExpNote,$L495)="","—",INDEX(ExpNote,$L495)))</f>
        <v/>
      </c>
      <c r="L495">
        <f>IFERROR(MATCH($C$5&amp;"|"&amp;RIGHT("000000"&amp;479,6),ExpRankKey,0),"")</f>
        <v/>
      </c>
    </row>
    <row r="496">
      <c r="A496" s="21" t="n">
        <v>480</v>
      </c>
      <c r="B496" s="22">
        <f>IF($L496="","",INDEX(ExpNorm,$L496))</f>
        <v/>
      </c>
      <c r="C496" s="22">
        <f>IF($L496="","",IF(INDEX(ExpTime,$L496)="","—",LEFT(INDEX(ExpTime,$L496),2)&amp;":"&amp;RIGHT(INDEX(ExpTime,$L496),2)))</f>
        <v/>
      </c>
      <c r="D496" s="22">
        <f>IF($L496="","",IF(INDEX(ExpBank,$L496)="","—",INDEX(ExpBank,$L496)))</f>
        <v/>
      </c>
      <c r="E496" s="23">
        <f>IF($L496="","",IF(INDEX(ExpParty,$L496)="","—",IFERROR(VLOOKUP(INDEX(ExpParty,$L496),AcctTbl,4,0),INDEX(ExpParty,$L496))))</f>
        <v/>
      </c>
      <c r="F496" s="22">
        <f>IF($L496="","",IF(INDEX(ExpType,$L496)="","—",INDEX(ExpType,$L496)))</f>
        <v/>
      </c>
      <c r="G496" s="24">
        <f>IF($L496="","",IF(INDEX(ExpDep,$L496)=0,"",INDEX(ExpDep,$L496)))</f>
        <v/>
      </c>
      <c r="H496" s="24">
        <f>IF($L496="","",IF(INDEX(ExpWit,$L496)=0,"",INDEX(ExpWit,$L496)))</f>
        <v/>
      </c>
      <c r="I496" s="25">
        <f>IF($B496="","",IF($I495="",0,$I495)+IF($H496="",0,$H496)-IF($G496="",0,$G496))</f>
        <v/>
      </c>
      <c r="J496" s="23">
        <f>IF($L496="","",IF(INDEX(ExpNote,$L496)="","—",INDEX(ExpNote,$L496)))</f>
        <v/>
      </c>
      <c r="L496">
        <f>IFERROR(MATCH($C$5&amp;"|"&amp;RIGHT("000000"&amp;480,6),ExpRankKey,0),"")</f>
        <v/>
      </c>
    </row>
    <row r="497">
      <c r="A497" s="16" t="n">
        <v>481</v>
      </c>
      <c r="B497" s="17">
        <f>IF($L497="","",INDEX(ExpNorm,$L497))</f>
        <v/>
      </c>
      <c r="C497" s="17">
        <f>IF($L497="","",IF(INDEX(ExpTime,$L497)="","—",LEFT(INDEX(ExpTime,$L497),2)&amp;":"&amp;RIGHT(INDEX(ExpTime,$L497),2)))</f>
        <v/>
      </c>
      <c r="D497" s="17">
        <f>IF($L497="","",IF(INDEX(ExpBank,$L497)="","—",INDEX(ExpBank,$L497)))</f>
        <v/>
      </c>
      <c r="E497" s="18">
        <f>IF($L497="","",IF(INDEX(ExpParty,$L497)="","—",IFERROR(VLOOKUP(INDEX(ExpParty,$L497),AcctTbl,4,0),INDEX(ExpParty,$L497))))</f>
        <v/>
      </c>
      <c r="F497" s="17">
        <f>IF($L497="","",IF(INDEX(ExpType,$L497)="","—",INDEX(ExpType,$L497)))</f>
        <v/>
      </c>
      <c r="G497" s="19">
        <f>IF($L497="","",IF(INDEX(ExpDep,$L497)=0,"",INDEX(ExpDep,$L497)))</f>
        <v/>
      </c>
      <c r="H497" s="19">
        <f>IF($L497="","",IF(INDEX(ExpWit,$L497)=0,"",INDEX(ExpWit,$L497)))</f>
        <v/>
      </c>
      <c r="I497" s="20">
        <f>IF($B497="","",IF($I496="",0,$I496)+IF($H497="",0,$H497)-IF($G497="",0,$G497))</f>
        <v/>
      </c>
      <c r="J497" s="18">
        <f>IF($L497="","",IF(INDEX(ExpNote,$L497)="","—",INDEX(ExpNote,$L497)))</f>
        <v/>
      </c>
      <c r="L497">
        <f>IFERROR(MATCH($C$5&amp;"|"&amp;RIGHT("000000"&amp;481,6),ExpRankKey,0),"")</f>
        <v/>
      </c>
    </row>
    <row r="498">
      <c r="A498" s="21" t="n">
        <v>482</v>
      </c>
      <c r="B498" s="22">
        <f>IF($L498="","",INDEX(ExpNorm,$L498))</f>
        <v/>
      </c>
      <c r="C498" s="22">
        <f>IF($L498="","",IF(INDEX(ExpTime,$L498)="","—",LEFT(INDEX(ExpTime,$L498),2)&amp;":"&amp;RIGHT(INDEX(ExpTime,$L498),2)))</f>
        <v/>
      </c>
      <c r="D498" s="22">
        <f>IF($L498="","",IF(INDEX(ExpBank,$L498)="","—",INDEX(ExpBank,$L498)))</f>
        <v/>
      </c>
      <c r="E498" s="23">
        <f>IF($L498="","",IF(INDEX(ExpParty,$L498)="","—",IFERROR(VLOOKUP(INDEX(ExpParty,$L498),AcctTbl,4,0),INDEX(ExpParty,$L498))))</f>
        <v/>
      </c>
      <c r="F498" s="22">
        <f>IF($L498="","",IF(INDEX(ExpType,$L498)="","—",INDEX(ExpType,$L498)))</f>
        <v/>
      </c>
      <c r="G498" s="24">
        <f>IF($L498="","",IF(INDEX(ExpDep,$L498)=0,"",INDEX(ExpDep,$L498)))</f>
        <v/>
      </c>
      <c r="H498" s="24">
        <f>IF($L498="","",IF(INDEX(ExpWit,$L498)=0,"",INDEX(ExpWit,$L498)))</f>
        <v/>
      </c>
      <c r="I498" s="25">
        <f>IF($B498="","",IF($I497="",0,$I497)+IF($H498="",0,$H498)-IF($G498="",0,$G498))</f>
        <v/>
      </c>
      <c r="J498" s="23">
        <f>IF($L498="","",IF(INDEX(ExpNote,$L498)="","—",INDEX(ExpNote,$L498)))</f>
        <v/>
      </c>
      <c r="L498">
        <f>IFERROR(MATCH($C$5&amp;"|"&amp;RIGHT("000000"&amp;482,6),ExpRankKey,0),"")</f>
        <v/>
      </c>
    </row>
    <row r="499">
      <c r="A499" s="16" t="n">
        <v>483</v>
      </c>
      <c r="B499" s="17">
        <f>IF($L499="","",INDEX(ExpNorm,$L499))</f>
        <v/>
      </c>
      <c r="C499" s="17">
        <f>IF($L499="","",IF(INDEX(ExpTime,$L499)="","—",LEFT(INDEX(ExpTime,$L499),2)&amp;":"&amp;RIGHT(INDEX(ExpTime,$L499),2)))</f>
        <v/>
      </c>
      <c r="D499" s="17">
        <f>IF($L499="","",IF(INDEX(ExpBank,$L499)="","—",INDEX(ExpBank,$L499)))</f>
        <v/>
      </c>
      <c r="E499" s="18">
        <f>IF($L499="","",IF(INDEX(ExpParty,$L499)="","—",IFERROR(VLOOKUP(INDEX(ExpParty,$L499),AcctTbl,4,0),INDEX(ExpParty,$L499))))</f>
        <v/>
      </c>
      <c r="F499" s="17">
        <f>IF($L499="","",IF(INDEX(ExpType,$L499)="","—",INDEX(ExpType,$L499)))</f>
        <v/>
      </c>
      <c r="G499" s="19">
        <f>IF($L499="","",IF(INDEX(ExpDep,$L499)=0,"",INDEX(ExpDep,$L499)))</f>
        <v/>
      </c>
      <c r="H499" s="19">
        <f>IF($L499="","",IF(INDEX(ExpWit,$L499)=0,"",INDEX(ExpWit,$L499)))</f>
        <v/>
      </c>
      <c r="I499" s="20">
        <f>IF($B499="","",IF($I498="",0,$I498)+IF($H499="",0,$H499)-IF($G499="",0,$G499))</f>
        <v/>
      </c>
      <c r="J499" s="18">
        <f>IF($L499="","",IF(INDEX(ExpNote,$L499)="","—",INDEX(ExpNote,$L499)))</f>
        <v/>
      </c>
      <c r="L499">
        <f>IFERROR(MATCH($C$5&amp;"|"&amp;RIGHT("000000"&amp;483,6),ExpRankKey,0),"")</f>
        <v/>
      </c>
    </row>
    <row r="500">
      <c r="A500" s="21" t="n">
        <v>484</v>
      </c>
      <c r="B500" s="22">
        <f>IF($L500="","",INDEX(ExpNorm,$L500))</f>
        <v/>
      </c>
      <c r="C500" s="22">
        <f>IF($L500="","",IF(INDEX(ExpTime,$L500)="","—",LEFT(INDEX(ExpTime,$L500),2)&amp;":"&amp;RIGHT(INDEX(ExpTime,$L500),2)))</f>
        <v/>
      </c>
      <c r="D500" s="22">
        <f>IF($L500="","",IF(INDEX(ExpBank,$L500)="","—",INDEX(ExpBank,$L500)))</f>
        <v/>
      </c>
      <c r="E500" s="23">
        <f>IF($L500="","",IF(INDEX(ExpParty,$L500)="","—",IFERROR(VLOOKUP(INDEX(ExpParty,$L500),AcctTbl,4,0),INDEX(ExpParty,$L500))))</f>
        <v/>
      </c>
      <c r="F500" s="22">
        <f>IF($L500="","",IF(INDEX(ExpType,$L500)="","—",INDEX(ExpType,$L500)))</f>
        <v/>
      </c>
      <c r="G500" s="24">
        <f>IF($L500="","",IF(INDEX(ExpDep,$L500)=0,"",INDEX(ExpDep,$L500)))</f>
        <v/>
      </c>
      <c r="H500" s="24">
        <f>IF($L500="","",IF(INDEX(ExpWit,$L500)=0,"",INDEX(ExpWit,$L500)))</f>
        <v/>
      </c>
      <c r="I500" s="25">
        <f>IF($B500="","",IF($I499="",0,$I499)+IF($H500="",0,$H500)-IF($G500="",0,$G500))</f>
        <v/>
      </c>
      <c r="J500" s="23">
        <f>IF($L500="","",IF(INDEX(ExpNote,$L500)="","—",INDEX(ExpNote,$L500)))</f>
        <v/>
      </c>
      <c r="L500">
        <f>IFERROR(MATCH($C$5&amp;"|"&amp;RIGHT("000000"&amp;484,6),ExpRankKey,0),"")</f>
        <v/>
      </c>
    </row>
    <row r="501">
      <c r="A501" s="16" t="n">
        <v>485</v>
      </c>
      <c r="B501" s="17">
        <f>IF($L501="","",INDEX(ExpNorm,$L501))</f>
        <v/>
      </c>
      <c r="C501" s="17">
        <f>IF($L501="","",IF(INDEX(ExpTime,$L501)="","—",LEFT(INDEX(ExpTime,$L501),2)&amp;":"&amp;RIGHT(INDEX(ExpTime,$L501),2)))</f>
        <v/>
      </c>
      <c r="D501" s="17">
        <f>IF($L501="","",IF(INDEX(ExpBank,$L501)="","—",INDEX(ExpBank,$L501)))</f>
        <v/>
      </c>
      <c r="E501" s="18">
        <f>IF($L501="","",IF(INDEX(ExpParty,$L501)="","—",IFERROR(VLOOKUP(INDEX(ExpParty,$L501),AcctTbl,4,0),INDEX(ExpParty,$L501))))</f>
        <v/>
      </c>
      <c r="F501" s="17">
        <f>IF($L501="","",IF(INDEX(ExpType,$L501)="","—",INDEX(ExpType,$L501)))</f>
        <v/>
      </c>
      <c r="G501" s="19">
        <f>IF($L501="","",IF(INDEX(ExpDep,$L501)=0,"",INDEX(ExpDep,$L501)))</f>
        <v/>
      </c>
      <c r="H501" s="19">
        <f>IF($L501="","",IF(INDEX(ExpWit,$L501)=0,"",INDEX(ExpWit,$L501)))</f>
        <v/>
      </c>
      <c r="I501" s="20">
        <f>IF($B501="","",IF($I500="",0,$I500)+IF($H501="",0,$H501)-IF($G501="",0,$G501))</f>
        <v/>
      </c>
      <c r="J501" s="18">
        <f>IF($L501="","",IF(INDEX(ExpNote,$L501)="","—",INDEX(ExpNote,$L501)))</f>
        <v/>
      </c>
      <c r="L501">
        <f>IFERROR(MATCH($C$5&amp;"|"&amp;RIGHT("000000"&amp;485,6),ExpRankKey,0),"")</f>
        <v/>
      </c>
    </row>
    <row r="502">
      <c r="A502" s="21" t="n">
        <v>486</v>
      </c>
      <c r="B502" s="22">
        <f>IF($L502="","",INDEX(ExpNorm,$L502))</f>
        <v/>
      </c>
      <c r="C502" s="22">
        <f>IF($L502="","",IF(INDEX(ExpTime,$L502)="","—",LEFT(INDEX(ExpTime,$L502),2)&amp;":"&amp;RIGHT(INDEX(ExpTime,$L502),2)))</f>
        <v/>
      </c>
      <c r="D502" s="22">
        <f>IF($L502="","",IF(INDEX(ExpBank,$L502)="","—",INDEX(ExpBank,$L502)))</f>
        <v/>
      </c>
      <c r="E502" s="23">
        <f>IF($L502="","",IF(INDEX(ExpParty,$L502)="","—",IFERROR(VLOOKUP(INDEX(ExpParty,$L502),AcctTbl,4,0),INDEX(ExpParty,$L502))))</f>
        <v/>
      </c>
      <c r="F502" s="22">
        <f>IF($L502="","",IF(INDEX(ExpType,$L502)="","—",INDEX(ExpType,$L502)))</f>
        <v/>
      </c>
      <c r="G502" s="24">
        <f>IF($L502="","",IF(INDEX(ExpDep,$L502)=0,"",INDEX(ExpDep,$L502)))</f>
        <v/>
      </c>
      <c r="H502" s="24">
        <f>IF($L502="","",IF(INDEX(ExpWit,$L502)=0,"",INDEX(ExpWit,$L502)))</f>
        <v/>
      </c>
      <c r="I502" s="25">
        <f>IF($B502="","",IF($I501="",0,$I501)+IF($H502="",0,$H502)-IF($G502="",0,$G502))</f>
        <v/>
      </c>
      <c r="J502" s="23">
        <f>IF($L502="","",IF(INDEX(ExpNote,$L502)="","—",INDEX(ExpNote,$L502)))</f>
        <v/>
      </c>
      <c r="L502">
        <f>IFERROR(MATCH($C$5&amp;"|"&amp;RIGHT("000000"&amp;486,6),ExpRankKey,0),"")</f>
        <v/>
      </c>
    </row>
    <row r="503">
      <c r="A503" s="16" t="n">
        <v>487</v>
      </c>
      <c r="B503" s="17">
        <f>IF($L503="","",INDEX(ExpNorm,$L503))</f>
        <v/>
      </c>
      <c r="C503" s="17">
        <f>IF($L503="","",IF(INDEX(ExpTime,$L503)="","—",LEFT(INDEX(ExpTime,$L503),2)&amp;":"&amp;RIGHT(INDEX(ExpTime,$L503),2)))</f>
        <v/>
      </c>
      <c r="D503" s="17">
        <f>IF($L503="","",IF(INDEX(ExpBank,$L503)="","—",INDEX(ExpBank,$L503)))</f>
        <v/>
      </c>
      <c r="E503" s="18">
        <f>IF($L503="","",IF(INDEX(ExpParty,$L503)="","—",IFERROR(VLOOKUP(INDEX(ExpParty,$L503),AcctTbl,4,0),INDEX(ExpParty,$L503))))</f>
        <v/>
      </c>
      <c r="F503" s="17">
        <f>IF($L503="","",IF(INDEX(ExpType,$L503)="","—",INDEX(ExpType,$L503)))</f>
        <v/>
      </c>
      <c r="G503" s="19">
        <f>IF($L503="","",IF(INDEX(ExpDep,$L503)=0,"",INDEX(ExpDep,$L503)))</f>
        <v/>
      </c>
      <c r="H503" s="19">
        <f>IF($L503="","",IF(INDEX(ExpWit,$L503)=0,"",INDEX(ExpWit,$L503)))</f>
        <v/>
      </c>
      <c r="I503" s="20">
        <f>IF($B503="","",IF($I502="",0,$I502)+IF($H503="",0,$H503)-IF($G503="",0,$G503))</f>
        <v/>
      </c>
      <c r="J503" s="18">
        <f>IF($L503="","",IF(INDEX(ExpNote,$L503)="","—",INDEX(ExpNote,$L503)))</f>
        <v/>
      </c>
      <c r="L503">
        <f>IFERROR(MATCH($C$5&amp;"|"&amp;RIGHT("000000"&amp;487,6),ExpRankKey,0),"")</f>
        <v/>
      </c>
    </row>
    <row r="504">
      <c r="A504" s="21" t="n">
        <v>488</v>
      </c>
      <c r="B504" s="22">
        <f>IF($L504="","",INDEX(ExpNorm,$L504))</f>
        <v/>
      </c>
      <c r="C504" s="22">
        <f>IF($L504="","",IF(INDEX(ExpTime,$L504)="","—",LEFT(INDEX(ExpTime,$L504),2)&amp;":"&amp;RIGHT(INDEX(ExpTime,$L504),2)))</f>
        <v/>
      </c>
      <c r="D504" s="22">
        <f>IF($L504="","",IF(INDEX(ExpBank,$L504)="","—",INDEX(ExpBank,$L504)))</f>
        <v/>
      </c>
      <c r="E504" s="23">
        <f>IF($L504="","",IF(INDEX(ExpParty,$L504)="","—",IFERROR(VLOOKUP(INDEX(ExpParty,$L504),AcctTbl,4,0),INDEX(ExpParty,$L504))))</f>
        <v/>
      </c>
      <c r="F504" s="22">
        <f>IF($L504="","",IF(INDEX(ExpType,$L504)="","—",INDEX(ExpType,$L504)))</f>
        <v/>
      </c>
      <c r="G504" s="24">
        <f>IF($L504="","",IF(INDEX(ExpDep,$L504)=0,"",INDEX(ExpDep,$L504)))</f>
        <v/>
      </c>
      <c r="H504" s="24">
        <f>IF($L504="","",IF(INDEX(ExpWit,$L504)=0,"",INDEX(ExpWit,$L504)))</f>
        <v/>
      </c>
      <c r="I504" s="25">
        <f>IF($B504="","",IF($I503="",0,$I503)+IF($H504="",0,$H504)-IF($G504="",0,$G504))</f>
        <v/>
      </c>
      <c r="J504" s="23">
        <f>IF($L504="","",IF(INDEX(ExpNote,$L504)="","—",INDEX(ExpNote,$L504)))</f>
        <v/>
      </c>
      <c r="L504">
        <f>IFERROR(MATCH($C$5&amp;"|"&amp;RIGHT("000000"&amp;488,6),ExpRankKey,0),"")</f>
        <v/>
      </c>
    </row>
    <row r="505">
      <c r="A505" s="16" t="n">
        <v>489</v>
      </c>
      <c r="B505" s="17">
        <f>IF($L505="","",INDEX(ExpNorm,$L505))</f>
        <v/>
      </c>
      <c r="C505" s="17">
        <f>IF($L505="","",IF(INDEX(ExpTime,$L505)="","—",LEFT(INDEX(ExpTime,$L505),2)&amp;":"&amp;RIGHT(INDEX(ExpTime,$L505),2)))</f>
        <v/>
      </c>
      <c r="D505" s="17">
        <f>IF($L505="","",IF(INDEX(ExpBank,$L505)="","—",INDEX(ExpBank,$L505)))</f>
        <v/>
      </c>
      <c r="E505" s="18">
        <f>IF($L505="","",IF(INDEX(ExpParty,$L505)="","—",IFERROR(VLOOKUP(INDEX(ExpParty,$L505),AcctTbl,4,0),INDEX(ExpParty,$L505))))</f>
        <v/>
      </c>
      <c r="F505" s="17">
        <f>IF($L505="","",IF(INDEX(ExpType,$L505)="","—",INDEX(ExpType,$L505)))</f>
        <v/>
      </c>
      <c r="G505" s="19">
        <f>IF($L505="","",IF(INDEX(ExpDep,$L505)=0,"",INDEX(ExpDep,$L505)))</f>
        <v/>
      </c>
      <c r="H505" s="19">
        <f>IF($L505="","",IF(INDEX(ExpWit,$L505)=0,"",INDEX(ExpWit,$L505)))</f>
        <v/>
      </c>
      <c r="I505" s="20">
        <f>IF($B505="","",IF($I504="",0,$I504)+IF($H505="",0,$H505)-IF($G505="",0,$G505))</f>
        <v/>
      </c>
      <c r="J505" s="18">
        <f>IF($L505="","",IF(INDEX(ExpNote,$L505)="","—",INDEX(ExpNote,$L505)))</f>
        <v/>
      </c>
      <c r="L505">
        <f>IFERROR(MATCH($C$5&amp;"|"&amp;RIGHT("000000"&amp;489,6),ExpRankKey,0),"")</f>
        <v/>
      </c>
    </row>
    <row r="506">
      <c r="A506" s="21" t="n">
        <v>490</v>
      </c>
      <c r="B506" s="22">
        <f>IF($L506="","",INDEX(ExpNorm,$L506))</f>
        <v/>
      </c>
      <c r="C506" s="22">
        <f>IF($L506="","",IF(INDEX(ExpTime,$L506)="","—",LEFT(INDEX(ExpTime,$L506),2)&amp;":"&amp;RIGHT(INDEX(ExpTime,$L506),2)))</f>
        <v/>
      </c>
      <c r="D506" s="22">
        <f>IF($L506="","",IF(INDEX(ExpBank,$L506)="","—",INDEX(ExpBank,$L506)))</f>
        <v/>
      </c>
      <c r="E506" s="23">
        <f>IF($L506="","",IF(INDEX(ExpParty,$L506)="","—",IFERROR(VLOOKUP(INDEX(ExpParty,$L506),AcctTbl,4,0),INDEX(ExpParty,$L506))))</f>
        <v/>
      </c>
      <c r="F506" s="22">
        <f>IF($L506="","",IF(INDEX(ExpType,$L506)="","—",INDEX(ExpType,$L506)))</f>
        <v/>
      </c>
      <c r="G506" s="24">
        <f>IF($L506="","",IF(INDEX(ExpDep,$L506)=0,"",INDEX(ExpDep,$L506)))</f>
        <v/>
      </c>
      <c r="H506" s="24">
        <f>IF($L506="","",IF(INDEX(ExpWit,$L506)=0,"",INDEX(ExpWit,$L506)))</f>
        <v/>
      </c>
      <c r="I506" s="25">
        <f>IF($B506="","",IF($I505="",0,$I505)+IF($H506="",0,$H506)-IF($G506="",0,$G506))</f>
        <v/>
      </c>
      <c r="J506" s="23">
        <f>IF($L506="","",IF(INDEX(ExpNote,$L506)="","—",INDEX(ExpNote,$L506)))</f>
        <v/>
      </c>
      <c r="L506">
        <f>IFERROR(MATCH($C$5&amp;"|"&amp;RIGHT("000000"&amp;490,6),ExpRankKey,0),"")</f>
        <v/>
      </c>
    </row>
    <row r="507">
      <c r="A507" s="16" t="n">
        <v>491</v>
      </c>
      <c r="B507" s="17">
        <f>IF($L507="","",INDEX(ExpNorm,$L507))</f>
        <v/>
      </c>
      <c r="C507" s="17">
        <f>IF($L507="","",IF(INDEX(ExpTime,$L507)="","—",LEFT(INDEX(ExpTime,$L507),2)&amp;":"&amp;RIGHT(INDEX(ExpTime,$L507),2)))</f>
        <v/>
      </c>
      <c r="D507" s="17">
        <f>IF($L507="","",IF(INDEX(ExpBank,$L507)="","—",INDEX(ExpBank,$L507)))</f>
        <v/>
      </c>
      <c r="E507" s="18">
        <f>IF($L507="","",IF(INDEX(ExpParty,$L507)="","—",IFERROR(VLOOKUP(INDEX(ExpParty,$L507),AcctTbl,4,0),INDEX(ExpParty,$L507))))</f>
        <v/>
      </c>
      <c r="F507" s="17">
        <f>IF($L507="","",IF(INDEX(ExpType,$L507)="","—",INDEX(ExpType,$L507)))</f>
        <v/>
      </c>
      <c r="G507" s="19">
        <f>IF($L507="","",IF(INDEX(ExpDep,$L507)=0,"",INDEX(ExpDep,$L507)))</f>
        <v/>
      </c>
      <c r="H507" s="19">
        <f>IF($L507="","",IF(INDEX(ExpWit,$L507)=0,"",INDEX(ExpWit,$L507)))</f>
        <v/>
      </c>
      <c r="I507" s="20">
        <f>IF($B507="","",IF($I506="",0,$I506)+IF($H507="",0,$H507)-IF($G507="",0,$G507))</f>
        <v/>
      </c>
      <c r="J507" s="18">
        <f>IF($L507="","",IF(INDEX(ExpNote,$L507)="","—",INDEX(ExpNote,$L507)))</f>
        <v/>
      </c>
      <c r="L507">
        <f>IFERROR(MATCH($C$5&amp;"|"&amp;RIGHT("000000"&amp;491,6),ExpRankKey,0),"")</f>
        <v/>
      </c>
    </row>
    <row r="508">
      <c r="A508" s="21" t="n">
        <v>492</v>
      </c>
      <c r="B508" s="22">
        <f>IF($L508="","",INDEX(ExpNorm,$L508))</f>
        <v/>
      </c>
      <c r="C508" s="22">
        <f>IF($L508="","",IF(INDEX(ExpTime,$L508)="","—",LEFT(INDEX(ExpTime,$L508),2)&amp;":"&amp;RIGHT(INDEX(ExpTime,$L508),2)))</f>
        <v/>
      </c>
      <c r="D508" s="22">
        <f>IF($L508="","",IF(INDEX(ExpBank,$L508)="","—",INDEX(ExpBank,$L508)))</f>
        <v/>
      </c>
      <c r="E508" s="23">
        <f>IF($L508="","",IF(INDEX(ExpParty,$L508)="","—",IFERROR(VLOOKUP(INDEX(ExpParty,$L508),AcctTbl,4,0),INDEX(ExpParty,$L508))))</f>
        <v/>
      </c>
      <c r="F508" s="22">
        <f>IF($L508="","",IF(INDEX(ExpType,$L508)="","—",INDEX(ExpType,$L508)))</f>
        <v/>
      </c>
      <c r="G508" s="24">
        <f>IF($L508="","",IF(INDEX(ExpDep,$L508)=0,"",INDEX(ExpDep,$L508)))</f>
        <v/>
      </c>
      <c r="H508" s="24">
        <f>IF($L508="","",IF(INDEX(ExpWit,$L508)=0,"",INDEX(ExpWit,$L508)))</f>
        <v/>
      </c>
      <c r="I508" s="25">
        <f>IF($B508="","",IF($I507="",0,$I507)+IF($H508="",0,$H508)-IF($G508="",0,$G508))</f>
        <v/>
      </c>
      <c r="J508" s="23">
        <f>IF($L508="","",IF(INDEX(ExpNote,$L508)="","—",INDEX(ExpNote,$L508)))</f>
        <v/>
      </c>
      <c r="L508">
        <f>IFERROR(MATCH($C$5&amp;"|"&amp;RIGHT("000000"&amp;492,6),ExpRankKey,0),"")</f>
        <v/>
      </c>
    </row>
    <row r="509">
      <c r="A509" s="16" t="n">
        <v>493</v>
      </c>
      <c r="B509" s="17">
        <f>IF($L509="","",INDEX(ExpNorm,$L509))</f>
        <v/>
      </c>
      <c r="C509" s="17">
        <f>IF($L509="","",IF(INDEX(ExpTime,$L509)="","—",LEFT(INDEX(ExpTime,$L509),2)&amp;":"&amp;RIGHT(INDEX(ExpTime,$L509),2)))</f>
        <v/>
      </c>
      <c r="D509" s="17">
        <f>IF($L509="","",IF(INDEX(ExpBank,$L509)="","—",INDEX(ExpBank,$L509)))</f>
        <v/>
      </c>
      <c r="E509" s="18">
        <f>IF($L509="","",IF(INDEX(ExpParty,$L509)="","—",IFERROR(VLOOKUP(INDEX(ExpParty,$L509),AcctTbl,4,0),INDEX(ExpParty,$L509))))</f>
        <v/>
      </c>
      <c r="F509" s="17">
        <f>IF($L509="","",IF(INDEX(ExpType,$L509)="","—",INDEX(ExpType,$L509)))</f>
        <v/>
      </c>
      <c r="G509" s="19">
        <f>IF($L509="","",IF(INDEX(ExpDep,$L509)=0,"",INDEX(ExpDep,$L509)))</f>
        <v/>
      </c>
      <c r="H509" s="19">
        <f>IF($L509="","",IF(INDEX(ExpWit,$L509)=0,"",INDEX(ExpWit,$L509)))</f>
        <v/>
      </c>
      <c r="I509" s="20">
        <f>IF($B509="","",IF($I508="",0,$I508)+IF($H509="",0,$H509)-IF($G509="",0,$G509))</f>
        <v/>
      </c>
      <c r="J509" s="18">
        <f>IF($L509="","",IF(INDEX(ExpNote,$L509)="","—",INDEX(ExpNote,$L509)))</f>
        <v/>
      </c>
      <c r="L509">
        <f>IFERROR(MATCH($C$5&amp;"|"&amp;RIGHT("000000"&amp;493,6),ExpRankKey,0),"")</f>
        <v/>
      </c>
    </row>
    <row r="510">
      <c r="A510" s="21" t="n">
        <v>494</v>
      </c>
      <c r="B510" s="22">
        <f>IF($L510="","",INDEX(ExpNorm,$L510))</f>
        <v/>
      </c>
      <c r="C510" s="22">
        <f>IF($L510="","",IF(INDEX(ExpTime,$L510)="","—",LEFT(INDEX(ExpTime,$L510),2)&amp;":"&amp;RIGHT(INDEX(ExpTime,$L510),2)))</f>
        <v/>
      </c>
      <c r="D510" s="22">
        <f>IF($L510="","",IF(INDEX(ExpBank,$L510)="","—",INDEX(ExpBank,$L510)))</f>
        <v/>
      </c>
      <c r="E510" s="23">
        <f>IF($L510="","",IF(INDEX(ExpParty,$L510)="","—",IFERROR(VLOOKUP(INDEX(ExpParty,$L510),AcctTbl,4,0),INDEX(ExpParty,$L510))))</f>
        <v/>
      </c>
      <c r="F510" s="22">
        <f>IF($L510="","",IF(INDEX(ExpType,$L510)="","—",INDEX(ExpType,$L510)))</f>
        <v/>
      </c>
      <c r="G510" s="24">
        <f>IF($L510="","",IF(INDEX(ExpDep,$L510)=0,"",INDEX(ExpDep,$L510)))</f>
        <v/>
      </c>
      <c r="H510" s="24">
        <f>IF($L510="","",IF(INDEX(ExpWit,$L510)=0,"",INDEX(ExpWit,$L510)))</f>
        <v/>
      </c>
      <c r="I510" s="25">
        <f>IF($B510="","",IF($I509="",0,$I509)+IF($H510="",0,$H510)-IF($G510="",0,$G510))</f>
        <v/>
      </c>
      <c r="J510" s="23">
        <f>IF($L510="","",IF(INDEX(ExpNote,$L510)="","—",INDEX(ExpNote,$L510)))</f>
        <v/>
      </c>
      <c r="L510">
        <f>IFERROR(MATCH($C$5&amp;"|"&amp;RIGHT("000000"&amp;494,6),ExpRankKey,0),"")</f>
        <v/>
      </c>
    </row>
    <row r="511">
      <c r="A511" s="16" t="n">
        <v>495</v>
      </c>
      <c r="B511" s="17">
        <f>IF($L511="","",INDEX(ExpNorm,$L511))</f>
        <v/>
      </c>
      <c r="C511" s="17">
        <f>IF($L511="","",IF(INDEX(ExpTime,$L511)="","—",LEFT(INDEX(ExpTime,$L511),2)&amp;":"&amp;RIGHT(INDEX(ExpTime,$L511),2)))</f>
        <v/>
      </c>
      <c r="D511" s="17">
        <f>IF($L511="","",IF(INDEX(ExpBank,$L511)="","—",INDEX(ExpBank,$L511)))</f>
        <v/>
      </c>
      <c r="E511" s="18">
        <f>IF($L511="","",IF(INDEX(ExpParty,$L511)="","—",IFERROR(VLOOKUP(INDEX(ExpParty,$L511),AcctTbl,4,0),INDEX(ExpParty,$L511))))</f>
        <v/>
      </c>
      <c r="F511" s="17">
        <f>IF($L511="","",IF(INDEX(ExpType,$L511)="","—",INDEX(ExpType,$L511)))</f>
        <v/>
      </c>
      <c r="G511" s="19">
        <f>IF($L511="","",IF(INDEX(ExpDep,$L511)=0,"",INDEX(ExpDep,$L511)))</f>
        <v/>
      </c>
      <c r="H511" s="19">
        <f>IF($L511="","",IF(INDEX(ExpWit,$L511)=0,"",INDEX(ExpWit,$L511)))</f>
        <v/>
      </c>
      <c r="I511" s="20">
        <f>IF($B511="","",IF($I510="",0,$I510)+IF($H511="",0,$H511)-IF($G511="",0,$G511))</f>
        <v/>
      </c>
      <c r="J511" s="18">
        <f>IF($L511="","",IF(INDEX(ExpNote,$L511)="","—",INDEX(ExpNote,$L511)))</f>
        <v/>
      </c>
      <c r="L511">
        <f>IFERROR(MATCH($C$5&amp;"|"&amp;RIGHT("000000"&amp;495,6),ExpRankKey,0),"")</f>
        <v/>
      </c>
    </row>
    <row r="512">
      <c r="A512" s="21" t="n">
        <v>496</v>
      </c>
      <c r="B512" s="22">
        <f>IF($L512="","",INDEX(ExpNorm,$L512))</f>
        <v/>
      </c>
      <c r="C512" s="22">
        <f>IF($L512="","",IF(INDEX(ExpTime,$L512)="","—",LEFT(INDEX(ExpTime,$L512),2)&amp;":"&amp;RIGHT(INDEX(ExpTime,$L512),2)))</f>
        <v/>
      </c>
      <c r="D512" s="22">
        <f>IF($L512="","",IF(INDEX(ExpBank,$L512)="","—",INDEX(ExpBank,$L512)))</f>
        <v/>
      </c>
      <c r="E512" s="23">
        <f>IF($L512="","",IF(INDEX(ExpParty,$L512)="","—",IFERROR(VLOOKUP(INDEX(ExpParty,$L512),AcctTbl,4,0),INDEX(ExpParty,$L512))))</f>
        <v/>
      </c>
      <c r="F512" s="22">
        <f>IF($L512="","",IF(INDEX(ExpType,$L512)="","—",INDEX(ExpType,$L512)))</f>
        <v/>
      </c>
      <c r="G512" s="24">
        <f>IF($L512="","",IF(INDEX(ExpDep,$L512)=0,"",INDEX(ExpDep,$L512)))</f>
        <v/>
      </c>
      <c r="H512" s="24">
        <f>IF($L512="","",IF(INDEX(ExpWit,$L512)=0,"",INDEX(ExpWit,$L512)))</f>
        <v/>
      </c>
      <c r="I512" s="25">
        <f>IF($B512="","",IF($I511="",0,$I511)+IF($H512="",0,$H512)-IF($G512="",0,$G512))</f>
        <v/>
      </c>
      <c r="J512" s="23">
        <f>IF($L512="","",IF(INDEX(ExpNote,$L512)="","—",INDEX(ExpNote,$L512)))</f>
        <v/>
      </c>
      <c r="L512">
        <f>IFERROR(MATCH($C$5&amp;"|"&amp;RIGHT("000000"&amp;496,6),ExpRankKey,0),"")</f>
        <v/>
      </c>
    </row>
    <row r="513">
      <c r="A513" s="16" t="n">
        <v>497</v>
      </c>
      <c r="B513" s="17">
        <f>IF($L513="","",INDEX(ExpNorm,$L513))</f>
        <v/>
      </c>
      <c r="C513" s="17">
        <f>IF($L513="","",IF(INDEX(ExpTime,$L513)="","—",LEFT(INDEX(ExpTime,$L513),2)&amp;":"&amp;RIGHT(INDEX(ExpTime,$L513),2)))</f>
        <v/>
      </c>
      <c r="D513" s="17">
        <f>IF($L513="","",IF(INDEX(ExpBank,$L513)="","—",INDEX(ExpBank,$L513)))</f>
        <v/>
      </c>
      <c r="E513" s="18">
        <f>IF($L513="","",IF(INDEX(ExpParty,$L513)="","—",IFERROR(VLOOKUP(INDEX(ExpParty,$L513),AcctTbl,4,0),INDEX(ExpParty,$L513))))</f>
        <v/>
      </c>
      <c r="F513" s="17">
        <f>IF($L513="","",IF(INDEX(ExpType,$L513)="","—",INDEX(ExpType,$L513)))</f>
        <v/>
      </c>
      <c r="G513" s="19">
        <f>IF($L513="","",IF(INDEX(ExpDep,$L513)=0,"",INDEX(ExpDep,$L513)))</f>
        <v/>
      </c>
      <c r="H513" s="19">
        <f>IF($L513="","",IF(INDEX(ExpWit,$L513)=0,"",INDEX(ExpWit,$L513)))</f>
        <v/>
      </c>
      <c r="I513" s="20">
        <f>IF($B513="","",IF($I512="",0,$I512)+IF($H513="",0,$H513)-IF($G513="",0,$G513))</f>
        <v/>
      </c>
      <c r="J513" s="18">
        <f>IF($L513="","",IF(INDEX(ExpNote,$L513)="","—",INDEX(ExpNote,$L513)))</f>
        <v/>
      </c>
      <c r="L513">
        <f>IFERROR(MATCH($C$5&amp;"|"&amp;RIGHT("000000"&amp;497,6),ExpRankKey,0),"")</f>
        <v/>
      </c>
    </row>
    <row r="514">
      <c r="A514" s="21" t="n">
        <v>498</v>
      </c>
      <c r="B514" s="22">
        <f>IF($L514="","",INDEX(ExpNorm,$L514))</f>
        <v/>
      </c>
      <c r="C514" s="22">
        <f>IF($L514="","",IF(INDEX(ExpTime,$L514)="","—",LEFT(INDEX(ExpTime,$L514),2)&amp;":"&amp;RIGHT(INDEX(ExpTime,$L514),2)))</f>
        <v/>
      </c>
      <c r="D514" s="22">
        <f>IF($L514="","",IF(INDEX(ExpBank,$L514)="","—",INDEX(ExpBank,$L514)))</f>
        <v/>
      </c>
      <c r="E514" s="23">
        <f>IF($L514="","",IF(INDEX(ExpParty,$L514)="","—",IFERROR(VLOOKUP(INDEX(ExpParty,$L514),AcctTbl,4,0),INDEX(ExpParty,$L514))))</f>
        <v/>
      </c>
      <c r="F514" s="22">
        <f>IF($L514="","",IF(INDEX(ExpType,$L514)="","—",INDEX(ExpType,$L514)))</f>
        <v/>
      </c>
      <c r="G514" s="24">
        <f>IF($L514="","",IF(INDEX(ExpDep,$L514)=0,"",INDEX(ExpDep,$L514)))</f>
        <v/>
      </c>
      <c r="H514" s="24">
        <f>IF($L514="","",IF(INDEX(ExpWit,$L514)=0,"",INDEX(ExpWit,$L514)))</f>
        <v/>
      </c>
      <c r="I514" s="25">
        <f>IF($B514="","",IF($I513="",0,$I513)+IF($H514="",0,$H514)-IF($G514="",0,$G514))</f>
        <v/>
      </c>
      <c r="J514" s="23">
        <f>IF($L514="","",IF(INDEX(ExpNote,$L514)="","—",INDEX(ExpNote,$L514)))</f>
        <v/>
      </c>
      <c r="L514">
        <f>IFERROR(MATCH($C$5&amp;"|"&amp;RIGHT("000000"&amp;498,6),ExpRankKey,0),"")</f>
        <v/>
      </c>
    </row>
    <row r="515">
      <c r="A515" s="16" t="n">
        <v>499</v>
      </c>
      <c r="B515" s="17">
        <f>IF($L515="","",INDEX(ExpNorm,$L515))</f>
        <v/>
      </c>
      <c r="C515" s="17">
        <f>IF($L515="","",IF(INDEX(ExpTime,$L515)="","—",LEFT(INDEX(ExpTime,$L515),2)&amp;":"&amp;RIGHT(INDEX(ExpTime,$L515),2)))</f>
        <v/>
      </c>
      <c r="D515" s="17">
        <f>IF($L515="","",IF(INDEX(ExpBank,$L515)="","—",INDEX(ExpBank,$L515)))</f>
        <v/>
      </c>
      <c r="E515" s="18">
        <f>IF($L515="","",IF(INDEX(ExpParty,$L515)="","—",IFERROR(VLOOKUP(INDEX(ExpParty,$L515),AcctTbl,4,0),INDEX(ExpParty,$L515))))</f>
        <v/>
      </c>
      <c r="F515" s="17">
        <f>IF($L515="","",IF(INDEX(ExpType,$L515)="","—",INDEX(ExpType,$L515)))</f>
        <v/>
      </c>
      <c r="G515" s="19">
        <f>IF($L515="","",IF(INDEX(ExpDep,$L515)=0,"",INDEX(ExpDep,$L515)))</f>
        <v/>
      </c>
      <c r="H515" s="19">
        <f>IF($L515="","",IF(INDEX(ExpWit,$L515)=0,"",INDEX(ExpWit,$L515)))</f>
        <v/>
      </c>
      <c r="I515" s="20">
        <f>IF($B515="","",IF($I514="",0,$I514)+IF($H515="",0,$H515)-IF($G515="",0,$G515))</f>
        <v/>
      </c>
      <c r="J515" s="18">
        <f>IF($L515="","",IF(INDEX(ExpNote,$L515)="","—",INDEX(ExpNote,$L515)))</f>
        <v/>
      </c>
      <c r="L515">
        <f>IFERROR(MATCH($C$5&amp;"|"&amp;RIGHT("000000"&amp;499,6),ExpRankKey,0),"")</f>
        <v/>
      </c>
    </row>
    <row r="516">
      <c r="A516" s="21" t="n">
        <v>500</v>
      </c>
      <c r="B516" s="22">
        <f>IF($L516="","",INDEX(ExpNorm,$L516))</f>
        <v/>
      </c>
      <c r="C516" s="22">
        <f>IF($L516="","",IF(INDEX(ExpTime,$L516)="","—",LEFT(INDEX(ExpTime,$L516),2)&amp;":"&amp;RIGHT(INDEX(ExpTime,$L516),2)))</f>
        <v/>
      </c>
      <c r="D516" s="22">
        <f>IF($L516="","",IF(INDEX(ExpBank,$L516)="","—",INDEX(ExpBank,$L516)))</f>
        <v/>
      </c>
      <c r="E516" s="23">
        <f>IF($L516="","",IF(INDEX(ExpParty,$L516)="","—",IFERROR(VLOOKUP(INDEX(ExpParty,$L516),AcctTbl,4,0),INDEX(ExpParty,$L516))))</f>
        <v/>
      </c>
      <c r="F516" s="22">
        <f>IF($L516="","",IF(INDEX(ExpType,$L516)="","—",INDEX(ExpType,$L516)))</f>
        <v/>
      </c>
      <c r="G516" s="24">
        <f>IF($L516="","",IF(INDEX(ExpDep,$L516)=0,"",INDEX(ExpDep,$L516)))</f>
        <v/>
      </c>
      <c r="H516" s="24">
        <f>IF($L516="","",IF(INDEX(ExpWit,$L516)=0,"",INDEX(ExpWit,$L516)))</f>
        <v/>
      </c>
      <c r="I516" s="25">
        <f>IF($B516="","",IF($I515="",0,$I515)+IF($H516="",0,$H516)-IF($G516="",0,$G516))</f>
        <v/>
      </c>
      <c r="J516" s="23">
        <f>IF($L516="","",IF(INDEX(ExpNote,$L516)="","—",INDEX(ExpNote,$L516)))</f>
        <v/>
      </c>
      <c r="L516">
        <f>IFERROR(MATCH($C$5&amp;"|"&amp;RIGHT("000000"&amp;500,6),ExpRankKey,0),"")</f>
        <v/>
      </c>
    </row>
    <row r="517">
      <c r="A517" s="16" t="n">
        <v>501</v>
      </c>
      <c r="B517" s="17">
        <f>IF($L517="","",INDEX(ExpNorm,$L517))</f>
        <v/>
      </c>
      <c r="C517" s="17">
        <f>IF($L517="","",IF(INDEX(ExpTime,$L517)="","—",LEFT(INDEX(ExpTime,$L517),2)&amp;":"&amp;RIGHT(INDEX(ExpTime,$L517),2)))</f>
        <v/>
      </c>
      <c r="D517" s="17">
        <f>IF($L517="","",IF(INDEX(ExpBank,$L517)="","—",INDEX(ExpBank,$L517)))</f>
        <v/>
      </c>
      <c r="E517" s="18">
        <f>IF($L517="","",IF(INDEX(ExpParty,$L517)="","—",IFERROR(VLOOKUP(INDEX(ExpParty,$L517),AcctTbl,4,0),INDEX(ExpParty,$L517))))</f>
        <v/>
      </c>
      <c r="F517" s="17">
        <f>IF($L517="","",IF(INDEX(ExpType,$L517)="","—",INDEX(ExpType,$L517)))</f>
        <v/>
      </c>
      <c r="G517" s="19">
        <f>IF($L517="","",IF(INDEX(ExpDep,$L517)=0,"",INDEX(ExpDep,$L517)))</f>
        <v/>
      </c>
      <c r="H517" s="19">
        <f>IF($L517="","",IF(INDEX(ExpWit,$L517)=0,"",INDEX(ExpWit,$L517)))</f>
        <v/>
      </c>
      <c r="I517" s="20">
        <f>IF($B517="","",IF($I516="",0,$I516)+IF($H517="",0,$H517)-IF($G517="",0,$G517))</f>
        <v/>
      </c>
      <c r="J517" s="18">
        <f>IF($L517="","",IF(INDEX(ExpNote,$L517)="","—",INDEX(ExpNote,$L517)))</f>
        <v/>
      </c>
      <c r="L517">
        <f>IFERROR(MATCH($C$5&amp;"|"&amp;RIGHT("000000"&amp;501,6),ExpRankKey,0),"")</f>
        <v/>
      </c>
    </row>
    <row r="518">
      <c r="A518" s="21" t="n">
        <v>502</v>
      </c>
      <c r="B518" s="22">
        <f>IF($L518="","",INDEX(ExpNorm,$L518))</f>
        <v/>
      </c>
      <c r="C518" s="22">
        <f>IF($L518="","",IF(INDEX(ExpTime,$L518)="","—",LEFT(INDEX(ExpTime,$L518),2)&amp;":"&amp;RIGHT(INDEX(ExpTime,$L518),2)))</f>
        <v/>
      </c>
      <c r="D518" s="22">
        <f>IF($L518="","",IF(INDEX(ExpBank,$L518)="","—",INDEX(ExpBank,$L518)))</f>
        <v/>
      </c>
      <c r="E518" s="23">
        <f>IF($L518="","",IF(INDEX(ExpParty,$L518)="","—",IFERROR(VLOOKUP(INDEX(ExpParty,$L518),AcctTbl,4,0),INDEX(ExpParty,$L518))))</f>
        <v/>
      </c>
      <c r="F518" s="22">
        <f>IF($L518="","",IF(INDEX(ExpType,$L518)="","—",INDEX(ExpType,$L518)))</f>
        <v/>
      </c>
      <c r="G518" s="24">
        <f>IF($L518="","",IF(INDEX(ExpDep,$L518)=0,"",INDEX(ExpDep,$L518)))</f>
        <v/>
      </c>
      <c r="H518" s="24">
        <f>IF($L518="","",IF(INDEX(ExpWit,$L518)=0,"",INDEX(ExpWit,$L518)))</f>
        <v/>
      </c>
      <c r="I518" s="25">
        <f>IF($B518="","",IF($I517="",0,$I517)+IF($H518="",0,$H518)-IF($G518="",0,$G518))</f>
        <v/>
      </c>
      <c r="J518" s="23">
        <f>IF($L518="","",IF(INDEX(ExpNote,$L518)="","—",INDEX(ExpNote,$L518)))</f>
        <v/>
      </c>
      <c r="L518">
        <f>IFERROR(MATCH($C$5&amp;"|"&amp;RIGHT("000000"&amp;502,6),ExpRankKey,0),"")</f>
        <v/>
      </c>
    </row>
    <row r="519">
      <c r="A519" s="16" t="n">
        <v>503</v>
      </c>
      <c r="B519" s="17">
        <f>IF($L519="","",INDEX(ExpNorm,$L519))</f>
        <v/>
      </c>
      <c r="C519" s="17">
        <f>IF($L519="","",IF(INDEX(ExpTime,$L519)="","—",LEFT(INDEX(ExpTime,$L519),2)&amp;":"&amp;RIGHT(INDEX(ExpTime,$L519),2)))</f>
        <v/>
      </c>
      <c r="D519" s="17">
        <f>IF($L519="","",IF(INDEX(ExpBank,$L519)="","—",INDEX(ExpBank,$L519)))</f>
        <v/>
      </c>
      <c r="E519" s="18">
        <f>IF($L519="","",IF(INDEX(ExpParty,$L519)="","—",IFERROR(VLOOKUP(INDEX(ExpParty,$L519),AcctTbl,4,0),INDEX(ExpParty,$L519))))</f>
        <v/>
      </c>
      <c r="F519" s="17">
        <f>IF($L519="","",IF(INDEX(ExpType,$L519)="","—",INDEX(ExpType,$L519)))</f>
        <v/>
      </c>
      <c r="G519" s="19">
        <f>IF($L519="","",IF(INDEX(ExpDep,$L519)=0,"",INDEX(ExpDep,$L519)))</f>
        <v/>
      </c>
      <c r="H519" s="19">
        <f>IF($L519="","",IF(INDEX(ExpWit,$L519)=0,"",INDEX(ExpWit,$L519)))</f>
        <v/>
      </c>
      <c r="I519" s="20">
        <f>IF($B519="","",IF($I518="",0,$I518)+IF($H519="",0,$H519)-IF($G519="",0,$G519))</f>
        <v/>
      </c>
      <c r="J519" s="18">
        <f>IF($L519="","",IF(INDEX(ExpNote,$L519)="","—",INDEX(ExpNote,$L519)))</f>
        <v/>
      </c>
      <c r="L519">
        <f>IFERROR(MATCH($C$5&amp;"|"&amp;RIGHT("000000"&amp;503,6),ExpRankKey,0),"")</f>
        <v/>
      </c>
    </row>
    <row r="520">
      <c r="A520" s="21" t="n">
        <v>504</v>
      </c>
      <c r="B520" s="22">
        <f>IF($L520="","",INDEX(ExpNorm,$L520))</f>
        <v/>
      </c>
      <c r="C520" s="22">
        <f>IF($L520="","",IF(INDEX(ExpTime,$L520)="","—",LEFT(INDEX(ExpTime,$L520),2)&amp;":"&amp;RIGHT(INDEX(ExpTime,$L520),2)))</f>
        <v/>
      </c>
      <c r="D520" s="22">
        <f>IF($L520="","",IF(INDEX(ExpBank,$L520)="","—",INDEX(ExpBank,$L520)))</f>
        <v/>
      </c>
      <c r="E520" s="23">
        <f>IF($L520="","",IF(INDEX(ExpParty,$L520)="","—",IFERROR(VLOOKUP(INDEX(ExpParty,$L520),AcctTbl,4,0),INDEX(ExpParty,$L520))))</f>
        <v/>
      </c>
      <c r="F520" s="22">
        <f>IF($L520="","",IF(INDEX(ExpType,$L520)="","—",INDEX(ExpType,$L520)))</f>
        <v/>
      </c>
      <c r="G520" s="24">
        <f>IF($L520="","",IF(INDEX(ExpDep,$L520)=0,"",INDEX(ExpDep,$L520)))</f>
        <v/>
      </c>
      <c r="H520" s="24">
        <f>IF($L520="","",IF(INDEX(ExpWit,$L520)=0,"",INDEX(ExpWit,$L520)))</f>
        <v/>
      </c>
      <c r="I520" s="25">
        <f>IF($B520="","",IF($I519="",0,$I519)+IF($H520="",0,$H520)-IF($G520="",0,$G520))</f>
        <v/>
      </c>
      <c r="J520" s="23">
        <f>IF($L520="","",IF(INDEX(ExpNote,$L520)="","—",INDEX(ExpNote,$L520)))</f>
        <v/>
      </c>
      <c r="L520">
        <f>IFERROR(MATCH($C$5&amp;"|"&amp;RIGHT("000000"&amp;504,6),ExpRankKey,0),"")</f>
        <v/>
      </c>
    </row>
    <row r="521">
      <c r="A521" s="16" t="n">
        <v>505</v>
      </c>
      <c r="B521" s="17">
        <f>IF($L521="","",INDEX(ExpNorm,$L521))</f>
        <v/>
      </c>
      <c r="C521" s="17">
        <f>IF($L521="","",IF(INDEX(ExpTime,$L521)="","—",LEFT(INDEX(ExpTime,$L521),2)&amp;":"&amp;RIGHT(INDEX(ExpTime,$L521),2)))</f>
        <v/>
      </c>
      <c r="D521" s="17">
        <f>IF($L521="","",IF(INDEX(ExpBank,$L521)="","—",INDEX(ExpBank,$L521)))</f>
        <v/>
      </c>
      <c r="E521" s="18">
        <f>IF($L521="","",IF(INDEX(ExpParty,$L521)="","—",IFERROR(VLOOKUP(INDEX(ExpParty,$L521),AcctTbl,4,0),INDEX(ExpParty,$L521))))</f>
        <v/>
      </c>
      <c r="F521" s="17">
        <f>IF($L521="","",IF(INDEX(ExpType,$L521)="","—",INDEX(ExpType,$L521)))</f>
        <v/>
      </c>
      <c r="G521" s="19">
        <f>IF($L521="","",IF(INDEX(ExpDep,$L521)=0,"",INDEX(ExpDep,$L521)))</f>
        <v/>
      </c>
      <c r="H521" s="19">
        <f>IF($L521="","",IF(INDEX(ExpWit,$L521)=0,"",INDEX(ExpWit,$L521)))</f>
        <v/>
      </c>
      <c r="I521" s="20">
        <f>IF($B521="","",IF($I520="",0,$I520)+IF($H521="",0,$H521)-IF($G521="",0,$G521))</f>
        <v/>
      </c>
      <c r="J521" s="18">
        <f>IF($L521="","",IF(INDEX(ExpNote,$L521)="","—",INDEX(ExpNote,$L521)))</f>
        <v/>
      </c>
      <c r="L521">
        <f>IFERROR(MATCH($C$5&amp;"|"&amp;RIGHT("000000"&amp;505,6),ExpRankKey,0),"")</f>
        <v/>
      </c>
    </row>
    <row r="522">
      <c r="A522" s="21" t="n">
        <v>506</v>
      </c>
      <c r="B522" s="22">
        <f>IF($L522="","",INDEX(ExpNorm,$L522))</f>
        <v/>
      </c>
      <c r="C522" s="22">
        <f>IF($L522="","",IF(INDEX(ExpTime,$L522)="","—",LEFT(INDEX(ExpTime,$L522),2)&amp;":"&amp;RIGHT(INDEX(ExpTime,$L522),2)))</f>
        <v/>
      </c>
      <c r="D522" s="22">
        <f>IF($L522="","",IF(INDEX(ExpBank,$L522)="","—",INDEX(ExpBank,$L522)))</f>
        <v/>
      </c>
      <c r="E522" s="23">
        <f>IF($L522="","",IF(INDEX(ExpParty,$L522)="","—",IFERROR(VLOOKUP(INDEX(ExpParty,$L522),AcctTbl,4,0),INDEX(ExpParty,$L522))))</f>
        <v/>
      </c>
      <c r="F522" s="22">
        <f>IF($L522="","",IF(INDEX(ExpType,$L522)="","—",INDEX(ExpType,$L522)))</f>
        <v/>
      </c>
      <c r="G522" s="24">
        <f>IF($L522="","",IF(INDEX(ExpDep,$L522)=0,"",INDEX(ExpDep,$L522)))</f>
        <v/>
      </c>
      <c r="H522" s="24">
        <f>IF($L522="","",IF(INDEX(ExpWit,$L522)=0,"",INDEX(ExpWit,$L522)))</f>
        <v/>
      </c>
      <c r="I522" s="25">
        <f>IF($B522="","",IF($I521="",0,$I521)+IF($H522="",0,$H522)-IF($G522="",0,$G522))</f>
        <v/>
      </c>
      <c r="J522" s="23">
        <f>IF($L522="","",IF(INDEX(ExpNote,$L522)="","—",INDEX(ExpNote,$L522)))</f>
        <v/>
      </c>
      <c r="L522">
        <f>IFERROR(MATCH($C$5&amp;"|"&amp;RIGHT("000000"&amp;506,6),ExpRankKey,0),"")</f>
        <v/>
      </c>
    </row>
    <row r="523">
      <c r="A523" s="16" t="n">
        <v>507</v>
      </c>
      <c r="B523" s="17">
        <f>IF($L523="","",INDEX(ExpNorm,$L523))</f>
        <v/>
      </c>
      <c r="C523" s="17">
        <f>IF($L523="","",IF(INDEX(ExpTime,$L523)="","—",LEFT(INDEX(ExpTime,$L523),2)&amp;":"&amp;RIGHT(INDEX(ExpTime,$L523),2)))</f>
        <v/>
      </c>
      <c r="D523" s="17">
        <f>IF($L523="","",IF(INDEX(ExpBank,$L523)="","—",INDEX(ExpBank,$L523)))</f>
        <v/>
      </c>
      <c r="E523" s="18">
        <f>IF($L523="","",IF(INDEX(ExpParty,$L523)="","—",IFERROR(VLOOKUP(INDEX(ExpParty,$L523),AcctTbl,4,0),INDEX(ExpParty,$L523))))</f>
        <v/>
      </c>
      <c r="F523" s="17">
        <f>IF($L523="","",IF(INDEX(ExpType,$L523)="","—",INDEX(ExpType,$L523)))</f>
        <v/>
      </c>
      <c r="G523" s="19">
        <f>IF($L523="","",IF(INDEX(ExpDep,$L523)=0,"",INDEX(ExpDep,$L523)))</f>
        <v/>
      </c>
      <c r="H523" s="19">
        <f>IF($L523="","",IF(INDEX(ExpWit,$L523)=0,"",INDEX(ExpWit,$L523)))</f>
        <v/>
      </c>
      <c r="I523" s="20">
        <f>IF($B523="","",IF($I522="",0,$I522)+IF($H523="",0,$H523)-IF($G523="",0,$G523))</f>
        <v/>
      </c>
      <c r="J523" s="18">
        <f>IF($L523="","",IF(INDEX(ExpNote,$L523)="","—",INDEX(ExpNote,$L523)))</f>
        <v/>
      </c>
      <c r="L523">
        <f>IFERROR(MATCH($C$5&amp;"|"&amp;RIGHT("000000"&amp;507,6),ExpRankKey,0),"")</f>
        <v/>
      </c>
    </row>
    <row r="524">
      <c r="A524" s="21" t="n">
        <v>508</v>
      </c>
      <c r="B524" s="22">
        <f>IF($L524="","",INDEX(ExpNorm,$L524))</f>
        <v/>
      </c>
      <c r="C524" s="22">
        <f>IF($L524="","",IF(INDEX(ExpTime,$L524)="","—",LEFT(INDEX(ExpTime,$L524),2)&amp;":"&amp;RIGHT(INDEX(ExpTime,$L524),2)))</f>
        <v/>
      </c>
      <c r="D524" s="22">
        <f>IF($L524="","",IF(INDEX(ExpBank,$L524)="","—",INDEX(ExpBank,$L524)))</f>
        <v/>
      </c>
      <c r="E524" s="23">
        <f>IF($L524="","",IF(INDEX(ExpParty,$L524)="","—",IFERROR(VLOOKUP(INDEX(ExpParty,$L524),AcctTbl,4,0),INDEX(ExpParty,$L524))))</f>
        <v/>
      </c>
      <c r="F524" s="22">
        <f>IF($L524="","",IF(INDEX(ExpType,$L524)="","—",INDEX(ExpType,$L524)))</f>
        <v/>
      </c>
      <c r="G524" s="24">
        <f>IF($L524="","",IF(INDEX(ExpDep,$L524)=0,"",INDEX(ExpDep,$L524)))</f>
        <v/>
      </c>
      <c r="H524" s="24">
        <f>IF($L524="","",IF(INDEX(ExpWit,$L524)=0,"",INDEX(ExpWit,$L524)))</f>
        <v/>
      </c>
      <c r="I524" s="25">
        <f>IF($B524="","",IF($I523="",0,$I523)+IF($H524="",0,$H524)-IF($G524="",0,$G524))</f>
        <v/>
      </c>
      <c r="J524" s="23">
        <f>IF($L524="","",IF(INDEX(ExpNote,$L524)="","—",INDEX(ExpNote,$L524)))</f>
        <v/>
      </c>
      <c r="L524">
        <f>IFERROR(MATCH($C$5&amp;"|"&amp;RIGHT("000000"&amp;508,6),ExpRankKey,0),"")</f>
        <v/>
      </c>
    </row>
    <row r="525">
      <c r="A525" s="16" t="n">
        <v>509</v>
      </c>
      <c r="B525" s="17">
        <f>IF($L525="","",INDEX(ExpNorm,$L525))</f>
        <v/>
      </c>
      <c r="C525" s="17">
        <f>IF($L525="","",IF(INDEX(ExpTime,$L525)="","—",LEFT(INDEX(ExpTime,$L525),2)&amp;":"&amp;RIGHT(INDEX(ExpTime,$L525),2)))</f>
        <v/>
      </c>
      <c r="D525" s="17">
        <f>IF($L525="","",IF(INDEX(ExpBank,$L525)="","—",INDEX(ExpBank,$L525)))</f>
        <v/>
      </c>
      <c r="E525" s="18">
        <f>IF($L525="","",IF(INDEX(ExpParty,$L525)="","—",IFERROR(VLOOKUP(INDEX(ExpParty,$L525),AcctTbl,4,0),INDEX(ExpParty,$L525))))</f>
        <v/>
      </c>
      <c r="F525" s="17">
        <f>IF($L525="","",IF(INDEX(ExpType,$L525)="","—",INDEX(ExpType,$L525)))</f>
        <v/>
      </c>
      <c r="G525" s="19">
        <f>IF($L525="","",IF(INDEX(ExpDep,$L525)=0,"",INDEX(ExpDep,$L525)))</f>
        <v/>
      </c>
      <c r="H525" s="19">
        <f>IF($L525="","",IF(INDEX(ExpWit,$L525)=0,"",INDEX(ExpWit,$L525)))</f>
        <v/>
      </c>
      <c r="I525" s="20">
        <f>IF($B525="","",IF($I524="",0,$I524)+IF($H525="",0,$H525)-IF($G525="",0,$G525))</f>
        <v/>
      </c>
      <c r="J525" s="18">
        <f>IF($L525="","",IF(INDEX(ExpNote,$L525)="","—",INDEX(ExpNote,$L525)))</f>
        <v/>
      </c>
      <c r="L525">
        <f>IFERROR(MATCH($C$5&amp;"|"&amp;RIGHT("000000"&amp;509,6),ExpRankKey,0),"")</f>
        <v/>
      </c>
    </row>
    <row r="526">
      <c r="A526" s="21" t="n">
        <v>510</v>
      </c>
      <c r="B526" s="22">
        <f>IF($L526="","",INDEX(ExpNorm,$L526))</f>
        <v/>
      </c>
      <c r="C526" s="22">
        <f>IF($L526="","",IF(INDEX(ExpTime,$L526)="","—",LEFT(INDEX(ExpTime,$L526),2)&amp;":"&amp;RIGHT(INDEX(ExpTime,$L526),2)))</f>
        <v/>
      </c>
      <c r="D526" s="22">
        <f>IF($L526="","",IF(INDEX(ExpBank,$L526)="","—",INDEX(ExpBank,$L526)))</f>
        <v/>
      </c>
      <c r="E526" s="23">
        <f>IF($L526="","",IF(INDEX(ExpParty,$L526)="","—",IFERROR(VLOOKUP(INDEX(ExpParty,$L526),AcctTbl,4,0),INDEX(ExpParty,$L526))))</f>
        <v/>
      </c>
      <c r="F526" s="22">
        <f>IF($L526="","",IF(INDEX(ExpType,$L526)="","—",INDEX(ExpType,$L526)))</f>
        <v/>
      </c>
      <c r="G526" s="24">
        <f>IF($L526="","",IF(INDEX(ExpDep,$L526)=0,"",INDEX(ExpDep,$L526)))</f>
        <v/>
      </c>
      <c r="H526" s="24">
        <f>IF($L526="","",IF(INDEX(ExpWit,$L526)=0,"",INDEX(ExpWit,$L526)))</f>
        <v/>
      </c>
      <c r="I526" s="25">
        <f>IF($B526="","",IF($I525="",0,$I525)+IF($H526="",0,$H526)-IF($G526="",0,$G526))</f>
        <v/>
      </c>
      <c r="J526" s="23">
        <f>IF($L526="","",IF(INDEX(ExpNote,$L526)="","—",INDEX(ExpNote,$L526)))</f>
        <v/>
      </c>
      <c r="L526">
        <f>IFERROR(MATCH($C$5&amp;"|"&amp;RIGHT("000000"&amp;510,6),ExpRankKey,0),"")</f>
        <v/>
      </c>
    </row>
    <row r="527">
      <c r="A527" s="16" t="n">
        <v>511</v>
      </c>
      <c r="B527" s="17">
        <f>IF($L527="","",INDEX(ExpNorm,$L527))</f>
        <v/>
      </c>
      <c r="C527" s="17">
        <f>IF($L527="","",IF(INDEX(ExpTime,$L527)="","—",LEFT(INDEX(ExpTime,$L527),2)&amp;":"&amp;RIGHT(INDEX(ExpTime,$L527),2)))</f>
        <v/>
      </c>
      <c r="D527" s="17">
        <f>IF($L527="","",IF(INDEX(ExpBank,$L527)="","—",INDEX(ExpBank,$L527)))</f>
        <v/>
      </c>
      <c r="E527" s="18">
        <f>IF($L527="","",IF(INDEX(ExpParty,$L527)="","—",IFERROR(VLOOKUP(INDEX(ExpParty,$L527),AcctTbl,4,0),INDEX(ExpParty,$L527))))</f>
        <v/>
      </c>
      <c r="F527" s="17">
        <f>IF($L527="","",IF(INDEX(ExpType,$L527)="","—",INDEX(ExpType,$L527)))</f>
        <v/>
      </c>
      <c r="G527" s="19">
        <f>IF($L527="","",IF(INDEX(ExpDep,$L527)=0,"",INDEX(ExpDep,$L527)))</f>
        <v/>
      </c>
      <c r="H527" s="19">
        <f>IF($L527="","",IF(INDEX(ExpWit,$L527)=0,"",INDEX(ExpWit,$L527)))</f>
        <v/>
      </c>
      <c r="I527" s="20">
        <f>IF($B527="","",IF($I526="",0,$I526)+IF($H527="",0,$H527)-IF($G527="",0,$G527))</f>
        <v/>
      </c>
      <c r="J527" s="18">
        <f>IF($L527="","",IF(INDEX(ExpNote,$L527)="","—",INDEX(ExpNote,$L527)))</f>
        <v/>
      </c>
      <c r="L527">
        <f>IFERROR(MATCH($C$5&amp;"|"&amp;RIGHT("000000"&amp;511,6),ExpRankKey,0),"")</f>
        <v/>
      </c>
    </row>
    <row r="528">
      <c r="A528" s="21" t="n">
        <v>512</v>
      </c>
      <c r="B528" s="22">
        <f>IF($L528="","",INDEX(ExpNorm,$L528))</f>
        <v/>
      </c>
      <c r="C528" s="22">
        <f>IF($L528="","",IF(INDEX(ExpTime,$L528)="","—",LEFT(INDEX(ExpTime,$L528),2)&amp;":"&amp;RIGHT(INDEX(ExpTime,$L528),2)))</f>
        <v/>
      </c>
      <c r="D528" s="22">
        <f>IF($L528="","",IF(INDEX(ExpBank,$L528)="","—",INDEX(ExpBank,$L528)))</f>
        <v/>
      </c>
      <c r="E528" s="23">
        <f>IF($L528="","",IF(INDEX(ExpParty,$L528)="","—",IFERROR(VLOOKUP(INDEX(ExpParty,$L528),AcctTbl,4,0),INDEX(ExpParty,$L528))))</f>
        <v/>
      </c>
      <c r="F528" s="22">
        <f>IF($L528="","",IF(INDEX(ExpType,$L528)="","—",INDEX(ExpType,$L528)))</f>
        <v/>
      </c>
      <c r="G528" s="24">
        <f>IF($L528="","",IF(INDEX(ExpDep,$L528)=0,"",INDEX(ExpDep,$L528)))</f>
        <v/>
      </c>
      <c r="H528" s="24">
        <f>IF($L528="","",IF(INDEX(ExpWit,$L528)=0,"",INDEX(ExpWit,$L528)))</f>
        <v/>
      </c>
      <c r="I528" s="25">
        <f>IF($B528="","",IF($I527="",0,$I527)+IF($H528="",0,$H528)-IF($G528="",0,$G528))</f>
        <v/>
      </c>
      <c r="J528" s="23">
        <f>IF($L528="","",IF(INDEX(ExpNote,$L528)="","—",INDEX(ExpNote,$L528)))</f>
        <v/>
      </c>
      <c r="L528">
        <f>IFERROR(MATCH($C$5&amp;"|"&amp;RIGHT("000000"&amp;512,6),ExpRankKey,0),"")</f>
        <v/>
      </c>
    </row>
    <row r="529">
      <c r="A529" s="16" t="n">
        <v>513</v>
      </c>
      <c r="B529" s="17">
        <f>IF($L529="","",INDEX(ExpNorm,$L529))</f>
        <v/>
      </c>
      <c r="C529" s="17">
        <f>IF($L529="","",IF(INDEX(ExpTime,$L529)="","—",LEFT(INDEX(ExpTime,$L529),2)&amp;":"&amp;RIGHT(INDEX(ExpTime,$L529),2)))</f>
        <v/>
      </c>
      <c r="D529" s="17">
        <f>IF($L529="","",IF(INDEX(ExpBank,$L529)="","—",INDEX(ExpBank,$L529)))</f>
        <v/>
      </c>
      <c r="E529" s="18">
        <f>IF($L529="","",IF(INDEX(ExpParty,$L529)="","—",IFERROR(VLOOKUP(INDEX(ExpParty,$L529),AcctTbl,4,0),INDEX(ExpParty,$L529))))</f>
        <v/>
      </c>
      <c r="F529" s="17">
        <f>IF($L529="","",IF(INDEX(ExpType,$L529)="","—",INDEX(ExpType,$L529)))</f>
        <v/>
      </c>
      <c r="G529" s="19">
        <f>IF($L529="","",IF(INDEX(ExpDep,$L529)=0,"",INDEX(ExpDep,$L529)))</f>
        <v/>
      </c>
      <c r="H529" s="19">
        <f>IF($L529="","",IF(INDEX(ExpWit,$L529)=0,"",INDEX(ExpWit,$L529)))</f>
        <v/>
      </c>
      <c r="I529" s="20">
        <f>IF($B529="","",IF($I528="",0,$I528)+IF($H529="",0,$H529)-IF($G529="",0,$G529))</f>
        <v/>
      </c>
      <c r="J529" s="18">
        <f>IF($L529="","",IF(INDEX(ExpNote,$L529)="","—",INDEX(ExpNote,$L529)))</f>
        <v/>
      </c>
      <c r="L529">
        <f>IFERROR(MATCH($C$5&amp;"|"&amp;RIGHT("000000"&amp;513,6),ExpRankKey,0),"")</f>
        <v/>
      </c>
    </row>
    <row r="530">
      <c r="A530" s="21" t="n">
        <v>514</v>
      </c>
      <c r="B530" s="22">
        <f>IF($L530="","",INDEX(ExpNorm,$L530))</f>
        <v/>
      </c>
      <c r="C530" s="22">
        <f>IF($L530="","",IF(INDEX(ExpTime,$L530)="","—",LEFT(INDEX(ExpTime,$L530),2)&amp;":"&amp;RIGHT(INDEX(ExpTime,$L530),2)))</f>
        <v/>
      </c>
      <c r="D530" s="22">
        <f>IF($L530="","",IF(INDEX(ExpBank,$L530)="","—",INDEX(ExpBank,$L530)))</f>
        <v/>
      </c>
      <c r="E530" s="23">
        <f>IF($L530="","",IF(INDEX(ExpParty,$L530)="","—",IFERROR(VLOOKUP(INDEX(ExpParty,$L530),AcctTbl,4,0),INDEX(ExpParty,$L530))))</f>
        <v/>
      </c>
      <c r="F530" s="22">
        <f>IF($L530="","",IF(INDEX(ExpType,$L530)="","—",INDEX(ExpType,$L530)))</f>
        <v/>
      </c>
      <c r="G530" s="24">
        <f>IF($L530="","",IF(INDEX(ExpDep,$L530)=0,"",INDEX(ExpDep,$L530)))</f>
        <v/>
      </c>
      <c r="H530" s="24">
        <f>IF($L530="","",IF(INDEX(ExpWit,$L530)=0,"",INDEX(ExpWit,$L530)))</f>
        <v/>
      </c>
      <c r="I530" s="25">
        <f>IF($B530="","",IF($I529="",0,$I529)+IF($H530="",0,$H530)-IF($G530="",0,$G530))</f>
        <v/>
      </c>
      <c r="J530" s="23">
        <f>IF($L530="","",IF(INDEX(ExpNote,$L530)="","—",INDEX(ExpNote,$L530)))</f>
        <v/>
      </c>
      <c r="L530">
        <f>IFERROR(MATCH($C$5&amp;"|"&amp;RIGHT("000000"&amp;514,6),ExpRankKey,0),"")</f>
        <v/>
      </c>
    </row>
    <row r="531">
      <c r="A531" s="16" t="n">
        <v>515</v>
      </c>
      <c r="B531" s="17">
        <f>IF($L531="","",INDEX(ExpNorm,$L531))</f>
        <v/>
      </c>
      <c r="C531" s="17">
        <f>IF($L531="","",IF(INDEX(ExpTime,$L531)="","—",LEFT(INDEX(ExpTime,$L531),2)&amp;":"&amp;RIGHT(INDEX(ExpTime,$L531),2)))</f>
        <v/>
      </c>
      <c r="D531" s="17">
        <f>IF($L531="","",IF(INDEX(ExpBank,$L531)="","—",INDEX(ExpBank,$L531)))</f>
        <v/>
      </c>
      <c r="E531" s="18">
        <f>IF($L531="","",IF(INDEX(ExpParty,$L531)="","—",IFERROR(VLOOKUP(INDEX(ExpParty,$L531),AcctTbl,4,0),INDEX(ExpParty,$L531))))</f>
        <v/>
      </c>
      <c r="F531" s="17">
        <f>IF($L531="","",IF(INDEX(ExpType,$L531)="","—",INDEX(ExpType,$L531)))</f>
        <v/>
      </c>
      <c r="G531" s="19">
        <f>IF($L531="","",IF(INDEX(ExpDep,$L531)=0,"",INDEX(ExpDep,$L531)))</f>
        <v/>
      </c>
      <c r="H531" s="19">
        <f>IF($L531="","",IF(INDEX(ExpWit,$L531)=0,"",INDEX(ExpWit,$L531)))</f>
        <v/>
      </c>
      <c r="I531" s="20">
        <f>IF($B531="","",IF($I530="",0,$I530)+IF($H531="",0,$H531)-IF($G531="",0,$G531))</f>
        <v/>
      </c>
      <c r="J531" s="18">
        <f>IF($L531="","",IF(INDEX(ExpNote,$L531)="","—",INDEX(ExpNote,$L531)))</f>
        <v/>
      </c>
      <c r="L531">
        <f>IFERROR(MATCH($C$5&amp;"|"&amp;RIGHT("000000"&amp;515,6),ExpRankKey,0),"")</f>
        <v/>
      </c>
    </row>
    <row r="532">
      <c r="A532" s="21" t="n">
        <v>516</v>
      </c>
      <c r="B532" s="22">
        <f>IF($L532="","",INDEX(ExpNorm,$L532))</f>
        <v/>
      </c>
      <c r="C532" s="22">
        <f>IF($L532="","",IF(INDEX(ExpTime,$L532)="","—",LEFT(INDEX(ExpTime,$L532),2)&amp;":"&amp;RIGHT(INDEX(ExpTime,$L532),2)))</f>
        <v/>
      </c>
      <c r="D532" s="22">
        <f>IF($L532="","",IF(INDEX(ExpBank,$L532)="","—",INDEX(ExpBank,$L532)))</f>
        <v/>
      </c>
      <c r="E532" s="23">
        <f>IF($L532="","",IF(INDEX(ExpParty,$L532)="","—",IFERROR(VLOOKUP(INDEX(ExpParty,$L532),AcctTbl,4,0),INDEX(ExpParty,$L532))))</f>
        <v/>
      </c>
      <c r="F532" s="22">
        <f>IF($L532="","",IF(INDEX(ExpType,$L532)="","—",INDEX(ExpType,$L532)))</f>
        <v/>
      </c>
      <c r="G532" s="24">
        <f>IF($L532="","",IF(INDEX(ExpDep,$L532)=0,"",INDEX(ExpDep,$L532)))</f>
        <v/>
      </c>
      <c r="H532" s="24">
        <f>IF($L532="","",IF(INDEX(ExpWit,$L532)=0,"",INDEX(ExpWit,$L532)))</f>
        <v/>
      </c>
      <c r="I532" s="25">
        <f>IF($B532="","",IF($I531="",0,$I531)+IF($H532="",0,$H532)-IF($G532="",0,$G532))</f>
        <v/>
      </c>
      <c r="J532" s="23">
        <f>IF($L532="","",IF(INDEX(ExpNote,$L532)="","—",INDEX(ExpNote,$L532)))</f>
        <v/>
      </c>
      <c r="L532">
        <f>IFERROR(MATCH($C$5&amp;"|"&amp;RIGHT("000000"&amp;516,6),ExpRankKey,0),"")</f>
        <v/>
      </c>
    </row>
    <row r="533">
      <c r="A533" s="16" t="n">
        <v>517</v>
      </c>
      <c r="B533" s="17">
        <f>IF($L533="","",INDEX(ExpNorm,$L533))</f>
        <v/>
      </c>
      <c r="C533" s="17">
        <f>IF($L533="","",IF(INDEX(ExpTime,$L533)="","—",LEFT(INDEX(ExpTime,$L533),2)&amp;":"&amp;RIGHT(INDEX(ExpTime,$L533),2)))</f>
        <v/>
      </c>
      <c r="D533" s="17">
        <f>IF($L533="","",IF(INDEX(ExpBank,$L533)="","—",INDEX(ExpBank,$L533)))</f>
        <v/>
      </c>
      <c r="E533" s="18">
        <f>IF($L533="","",IF(INDEX(ExpParty,$L533)="","—",IFERROR(VLOOKUP(INDEX(ExpParty,$L533),AcctTbl,4,0),INDEX(ExpParty,$L533))))</f>
        <v/>
      </c>
      <c r="F533" s="17">
        <f>IF($L533="","",IF(INDEX(ExpType,$L533)="","—",INDEX(ExpType,$L533)))</f>
        <v/>
      </c>
      <c r="G533" s="19">
        <f>IF($L533="","",IF(INDEX(ExpDep,$L533)=0,"",INDEX(ExpDep,$L533)))</f>
        <v/>
      </c>
      <c r="H533" s="19">
        <f>IF($L533="","",IF(INDEX(ExpWit,$L533)=0,"",INDEX(ExpWit,$L533)))</f>
        <v/>
      </c>
      <c r="I533" s="20">
        <f>IF($B533="","",IF($I532="",0,$I532)+IF($H533="",0,$H533)-IF($G533="",0,$G533))</f>
        <v/>
      </c>
      <c r="J533" s="18">
        <f>IF($L533="","",IF(INDEX(ExpNote,$L533)="","—",INDEX(ExpNote,$L533)))</f>
        <v/>
      </c>
      <c r="L533">
        <f>IFERROR(MATCH($C$5&amp;"|"&amp;RIGHT("000000"&amp;517,6),ExpRankKey,0),"")</f>
        <v/>
      </c>
    </row>
    <row r="534">
      <c r="A534" s="21" t="n">
        <v>518</v>
      </c>
      <c r="B534" s="22">
        <f>IF($L534="","",INDEX(ExpNorm,$L534))</f>
        <v/>
      </c>
      <c r="C534" s="22">
        <f>IF($L534="","",IF(INDEX(ExpTime,$L534)="","—",LEFT(INDEX(ExpTime,$L534),2)&amp;":"&amp;RIGHT(INDEX(ExpTime,$L534),2)))</f>
        <v/>
      </c>
      <c r="D534" s="22">
        <f>IF($L534="","",IF(INDEX(ExpBank,$L534)="","—",INDEX(ExpBank,$L534)))</f>
        <v/>
      </c>
      <c r="E534" s="23">
        <f>IF($L534="","",IF(INDEX(ExpParty,$L534)="","—",IFERROR(VLOOKUP(INDEX(ExpParty,$L534),AcctTbl,4,0),INDEX(ExpParty,$L534))))</f>
        <v/>
      </c>
      <c r="F534" s="22">
        <f>IF($L534="","",IF(INDEX(ExpType,$L534)="","—",INDEX(ExpType,$L534)))</f>
        <v/>
      </c>
      <c r="G534" s="24">
        <f>IF($L534="","",IF(INDEX(ExpDep,$L534)=0,"",INDEX(ExpDep,$L534)))</f>
        <v/>
      </c>
      <c r="H534" s="24">
        <f>IF($L534="","",IF(INDEX(ExpWit,$L534)=0,"",INDEX(ExpWit,$L534)))</f>
        <v/>
      </c>
      <c r="I534" s="25">
        <f>IF($B534="","",IF($I533="",0,$I533)+IF($H534="",0,$H534)-IF($G534="",0,$G534))</f>
        <v/>
      </c>
      <c r="J534" s="23">
        <f>IF($L534="","",IF(INDEX(ExpNote,$L534)="","—",INDEX(ExpNote,$L534)))</f>
        <v/>
      </c>
      <c r="L534">
        <f>IFERROR(MATCH($C$5&amp;"|"&amp;RIGHT("000000"&amp;518,6),ExpRankKey,0),"")</f>
        <v/>
      </c>
    </row>
    <row r="535">
      <c r="A535" s="16" t="n">
        <v>519</v>
      </c>
      <c r="B535" s="17">
        <f>IF($L535="","",INDEX(ExpNorm,$L535))</f>
        <v/>
      </c>
      <c r="C535" s="17">
        <f>IF($L535="","",IF(INDEX(ExpTime,$L535)="","—",LEFT(INDEX(ExpTime,$L535),2)&amp;":"&amp;RIGHT(INDEX(ExpTime,$L535),2)))</f>
        <v/>
      </c>
      <c r="D535" s="17">
        <f>IF($L535="","",IF(INDEX(ExpBank,$L535)="","—",INDEX(ExpBank,$L535)))</f>
        <v/>
      </c>
      <c r="E535" s="18">
        <f>IF($L535="","",IF(INDEX(ExpParty,$L535)="","—",IFERROR(VLOOKUP(INDEX(ExpParty,$L535),AcctTbl,4,0),INDEX(ExpParty,$L535))))</f>
        <v/>
      </c>
      <c r="F535" s="17">
        <f>IF($L535="","",IF(INDEX(ExpType,$L535)="","—",INDEX(ExpType,$L535)))</f>
        <v/>
      </c>
      <c r="G535" s="19">
        <f>IF($L535="","",IF(INDEX(ExpDep,$L535)=0,"",INDEX(ExpDep,$L535)))</f>
        <v/>
      </c>
      <c r="H535" s="19">
        <f>IF($L535="","",IF(INDEX(ExpWit,$L535)=0,"",INDEX(ExpWit,$L535)))</f>
        <v/>
      </c>
      <c r="I535" s="20">
        <f>IF($B535="","",IF($I534="",0,$I534)+IF($H535="",0,$H535)-IF($G535="",0,$G535))</f>
        <v/>
      </c>
      <c r="J535" s="18">
        <f>IF($L535="","",IF(INDEX(ExpNote,$L535)="","—",INDEX(ExpNote,$L535)))</f>
        <v/>
      </c>
      <c r="L535">
        <f>IFERROR(MATCH($C$5&amp;"|"&amp;RIGHT("000000"&amp;519,6),ExpRankKey,0),"")</f>
        <v/>
      </c>
    </row>
    <row r="536">
      <c r="A536" s="21" t="n">
        <v>520</v>
      </c>
      <c r="B536" s="22">
        <f>IF($L536="","",INDEX(ExpNorm,$L536))</f>
        <v/>
      </c>
      <c r="C536" s="22">
        <f>IF($L536="","",IF(INDEX(ExpTime,$L536)="","—",LEFT(INDEX(ExpTime,$L536),2)&amp;":"&amp;RIGHT(INDEX(ExpTime,$L536),2)))</f>
        <v/>
      </c>
      <c r="D536" s="22">
        <f>IF($L536="","",IF(INDEX(ExpBank,$L536)="","—",INDEX(ExpBank,$L536)))</f>
        <v/>
      </c>
      <c r="E536" s="23">
        <f>IF($L536="","",IF(INDEX(ExpParty,$L536)="","—",IFERROR(VLOOKUP(INDEX(ExpParty,$L536),AcctTbl,4,0),INDEX(ExpParty,$L536))))</f>
        <v/>
      </c>
      <c r="F536" s="22">
        <f>IF($L536="","",IF(INDEX(ExpType,$L536)="","—",INDEX(ExpType,$L536)))</f>
        <v/>
      </c>
      <c r="G536" s="24">
        <f>IF($L536="","",IF(INDEX(ExpDep,$L536)=0,"",INDEX(ExpDep,$L536)))</f>
        <v/>
      </c>
      <c r="H536" s="24">
        <f>IF($L536="","",IF(INDEX(ExpWit,$L536)=0,"",INDEX(ExpWit,$L536)))</f>
        <v/>
      </c>
      <c r="I536" s="25">
        <f>IF($B536="","",IF($I535="",0,$I535)+IF($H536="",0,$H536)-IF($G536="",0,$G536))</f>
        <v/>
      </c>
      <c r="J536" s="23">
        <f>IF($L536="","",IF(INDEX(ExpNote,$L536)="","—",INDEX(ExpNote,$L536)))</f>
        <v/>
      </c>
      <c r="L536">
        <f>IFERROR(MATCH($C$5&amp;"|"&amp;RIGHT("000000"&amp;520,6),ExpRankKey,0),"")</f>
        <v/>
      </c>
    </row>
    <row r="537">
      <c r="A537" s="16" t="n">
        <v>521</v>
      </c>
      <c r="B537" s="17">
        <f>IF($L537="","",INDEX(ExpNorm,$L537))</f>
        <v/>
      </c>
      <c r="C537" s="17">
        <f>IF($L537="","",IF(INDEX(ExpTime,$L537)="","—",LEFT(INDEX(ExpTime,$L537),2)&amp;":"&amp;RIGHT(INDEX(ExpTime,$L537),2)))</f>
        <v/>
      </c>
      <c r="D537" s="17">
        <f>IF($L537="","",IF(INDEX(ExpBank,$L537)="","—",INDEX(ExpBank,$L537)))</f>
        <v/>
      </c>
      <c r="E537" s="18">
        <f>IF($L537="","",IF(INDEX(ExpParty,$L537)="","—",IFERROR(VLOOKUP(INDEX(ExpParty,$L537),AcctTbl,4,0),INDEX(ExpParty,$L537))))</f>
        <v/>
      </c>
      <c r="F537" s="17">
        <f>IF($L537="","",IF(INDEX(ExpType,$L537)="","—",INDEX(ExpType,$L537)))</f>
        <v/>
      </c>
      <c r="G537" s="19">
        <f>IF($L537="","",IF(INDEX(ExpDep,$L537)=0,"",INDEX(ExpDep,$L537)))</f>
        <v/>
      </c>
      <c r="H537" s="19">
        <f>IF($L537="","",IF(INDEX(ExpWit,$L537)=0,"",INDEX(ExpWit,$L537)))</f>
        <v/>
      </c>
      <c r="I537" s="20">
        <f>IF($B537="","",IF($I536="",0,$I536)+IF($H537="",0,$H537)-IF($G537="",0,$G537))</f>
        <v/>
      </c>
      <c r="J537" s="18">
        <f>IF($L537="","",IF(INDEX(ExpNote,$L537)="","—",INDEX(ExpNote,$L537)))</f>
        <v/>
      </c>
      <c r="L537">
        <f>IFERROR(MATCH($C$5&amp;"|"&amp;RIGHT("000000"&amp;521,6),ExpRankKey,0),"")</f>
        <v/>
      </c>
    </row>
    <row r="538">
      <c r="A538" s="21" t="n">
        <v>522</v>
      </c>
      <c r="B538" s="22">
        <f>IF($L538="","",INDEX(ExpNorm,$L538))</f>
        <v/>
      </c>
      <c r="C538" s="22">
        <f>IF($L538="","",IF(INDEX(ExpTime,$L538)="","—",LEFT(INDEX(ExpTime,$L538),2)&amp;":"&amp;RIGHT(INDEX(ExpTime,$L538),2)))</f>
        <v/>
      </c>
      <c r="D538" s="22">
        <f>IF($L538="","",IF(INDEX(ExpBank,$L538)="","—",INDEX(ExpBank,$L538)))</f>
        <v/>
      </c>
      <c r="E538" s="23">
        <f>IF($L538="","",IF(INDEX(ExpParty,$L538)="","—",IFERROR(VLOOKUP(INDEX(ExpParty,$L538),AcctTbl,4,0),INDEX(ExpParty,$L538))))</f>
        <v/>
      </c>
      <c r="F538" s="22">
        <f>IF($L538="","",IF(INDEX(ExpType,$L538)="","—",INDEX(ExpType,$L538)))</f>
        <v/>
      </c>
      <c r="G538" s="24">
        <f>IF($L538="","",IF(INDEX(ExpDep,$L538)=0,"",INDEX(ExpDep,$L538)))</f>
        <v/>
      </c>
      <c r="H538" s="24">
        <f>IF($L538="","",IF(INDEX(ExpWit,$L538)=0,"",INDEX(ExpWit,$L538)))</f>
        <v/>
      </c>
      <c r="I538" s="25">
        <f>IF($B538="","",IF($I537="",0,$I537)+IF($H538="",0,$H538)-IF($G538="",0,$G538))</f>
        <v/>
      </c>
      <c r="J538" s="23">
        <f>IF($L538="","",IF(INDEX(ExpNote,$L538)="","—",INDEX(ExpNote,$L538)))</f>
        <v/>
      </c>
      <c r="L538">
        <f>IFERROR(MATCH($C$5&amp;"|"&amp;RIGHT("000000"&amp;522,6),ExpRankKey,0),"")</f>
        <v/>
      </c>
    </row>
    <row r="539">
      <c r="A539" s="16" t="n">
        <v>523</v>
      </c>
      <c r="B539" s="17">
        <f>IF($L539="","",INDEX(ExpNorm,$L539))</f>
        <v/>
      </c>
      <c r="C539" s="17">
        <f>IF($L539="","",IF(INDEX(ExpTime,$L539)="","—",LEFT(INDEX(ExpTime,$L539),2)&amp;":"&amp;RIGHT(INDEX(ExpTime,$L539),2)))</f>
        <v/>
      </c>
      <c r="D539" s="17">
        <f>IF($L539="","",IF(INDEX(ExpBank,$L539)="","—",INDEX(ExpBank,$L539)))</f>
        <v/>
      </c>
      <c r="E539" s="18">
        <f>IF($L539="","",IF(INDEX(ExpParty,$L539)="","—",IFERROR(VLOOKUP(INDEX(ExpParty,$L539),AcctTbl,4,0),INDEX(ExpParty,$L539))))</f>
        <v/>
      </c>
      <c r="F539" s="17">
        <f>IF($L539="","",IF(INDEX(ExpType,$L539)="","—",INDEX(ExpType,$L539)))</f>
        <v/>
      </c>
      <c r="G539" s="19">
        <f>IF($L539="","",IF(INDEX(ExpDep,$L539)=0,"",INDEX(ExpDep,$L539)))</f>
        <v/>
      </c>
      <c r="H539" s="19">
        <f>IF($L539="","",IF(INDEX(ExpWit,$L539)=0,"",INDEX(ExpWit,$L539)))</f>
        <v/>
      </c>
      <c r="I539" s="20">
        <f>IF($B539="","",IF($I538="",0,$I538)+IF($H539="",0,$H539)-IF($G539="",0,$G539))</f>
        <v/>
      </c>
      <c r="J539" s="18">
        <f>IF($L539="","",IF(INDEX(ExpNote,$L539)="","—",INDEX(ExpNote,$L539)))</f>
        <v/>
      </c>
      <c r="L539">
        <f>IFERROR(MATCH($C$5&amp;"|"&amp;RIGHT("000000"&amp;523,6),ExpRankKey,0),"")</f>
        <v/>
      </c>
    </row>
    <row r="540">
      <c r="A540" s="21" t="n">
        <v>524</v>
      </c>
      <c r="B540" s="22">
        <f>IF($L540="","",INDEX(ExpNorm,$L540))</f>
        <v/>
      </c>
      <c r="C540" s="22">
        <f>IF($L540="","",IF(INDEX(ExpTime,$L540)="","—",LEFT(INDEX(ExpTime,$L540),2)&amp;":"&amp;RIGHT(INDEX(ExpTime,$L540),2)))</f>
        <v/>
      </c>
      <c r="D540" s="22">
        <f>IF($L540="","",IF(INDEX(ExpBank,$L540)="","—",INDEX(ExpBank,$L540)))</f>
        <v/>
      </c>
      <c r="E540" s="23">
        <f>IF($L540="","",IF(INDEX(ExpParty,$L540)="","—",IFERROR(VLOOKUP(INDEX(ExpParty,$L540),AcctTbl,4,0),INDEX(ExpParty,$L540))))</f>
        <v/>
      </c>
      <c r="F540" s="22">
        <f>IF($L540="","",IF(INDEX(ExpType,$L540)="","—",INDEX(ExpType,$L540)))</f>
        <v/>
      </c>
      <c r="G540" s="24">
        <f>IF($L540="","",IF(INDEX(ExpDep,$L540)=0,"",INDEX(ExpDep,$L540)))</f>
        <v/>
      </c>
      <c r="H540" s="24">
        <f>IF($L540="","",IF(INDEX(ExpWit,$L540)=0,"",INDEX(ExpWit,$L540)))</f>
        <v/>
      </c>
      <c r="I540" s="25">
        <f>IF($B540="","",IF($I539="",0,$I539)+IF($H540="",0,$H540)-IF($G540="",0,$G540))</f>
        <v/>
      </c>
      <c r="J540" s="23">
        <f>IF($L540="","",IF(INDEX(ExpNote,$L540)="","—",INDEX(ExpNote,$L540)))</f>
        <v/>
      </c>
      <c r="L540">
        <f>IFERROR(MATCH($C$5&amp;"|"&amp;RIGHT("000000"&amp;524,6),ExpRankKey,0),"")</f>
        <v/>
      </c>
    </row>
    <row r="541">
      <c r="A541" s="16" t="n">
        <v>525</v>
      </c>
      <c r="B541" s="17">
        <f>IF($L541="","",INDEX(ExpNorm,$L541))</f>
        <v/>
      </c>
      <c r="C541" s="17">
        <f>IF($L541="","",IF(INDEX(ExpTime,$L541)="","—",LEFT(INDEX(ExpTime,$L541),2)&amp;":"&amp;RIGHT(INDEX(ExpTime,$L541),2)))</f>
        <v/>
      </c>
      <c r="D541" s="17">
        <f>IF($L541="","",IF(INDEX(ExpBank,$L541)="","—",INDEX(ExpBank,$L541)))</f>
        <v/>
      </c>
      <c r="E541" s="18">
        <f>IF($L541="","",IF(INDEX(ExpParty,$L541)="","—",IFERROR(VLOOKUP(INDEX(ExpParty,$L541),AcctTbl,4,0),INDEX(ExpParty,$L541))))</f>
        <v/>
      </c>
      <c r="F541" s="17">
        <f>IF($L541="","",IF(INDEX(ExpType,$L541)="","—",INDEX(ExpType,$L541)))</f>
        <v/>
      </c>
      <c r="G541" s="19">
        <f>IF($L541="","",IF(INDEX(ExpDep,$L541)=0,"",INDEX(ExpDep,$L541)))</f>
        <v/>
      </c>
      <c r="H541" s="19">
        <f>IF($L541="","",IF(INDEX(ExpWit,$L541)=0,"",INDEX(ExpWit,$L541)))</f>
        <v/>
      </c>
      <c r="I541" s="20">
        <f>IF($B541="","",IF($I540="",0,$I540)+IF($H541="",0,$H541)-IF($G541="",0,$G541))</f>
        <v/>
      </c>
      <c r="J541" s="18">
        <f>IF($L541="","",IF(INDEX(ExpNote,$L541)="","—",INDEX(ExpNote,$L541)))</f>
        <v/>
      </c>
      <c r="L541">
        <f>IFERROR(MATCH($C$5&amp;"|"&amp;RIGHT("000000"&amp;525,6),ExpRankKey,0),"")</f>
        <v/>
      </c>
    </row>
    <row r="542">
      <c r="A542" s="21" t="n">
        <v>526</v>
      </c>
      <c r="B542" s="22">
        <f>IF($L542="","",INDEX(ExpNorm,$L542))</f>
        <v/>
      </c>
      <c r="C542" s="22">
        <f>IF($L542="","",IF(INDEX(ExpTime,$L542)="","—",LEFT(INDEX(ExpTime,$L542),2)&amp;":"&amp;RIGHT(INDEX(ExpTime,$L542),2)))</f>
        <v/>
      </c>
      <c r="D542" s="22">
        <f>IF($L542="","",IF(INDEX(ExpBank,$L542)="","—",INDEX(ExpBank,$L542)))</f>
        <v/>
      </c>
      <c r="E542" s="23">
        <f>IF($L542="","",IF(INDEX(ExpParty,$L542)="","—",IFERROR(VLOOKUP(INDEX(ExpParty,$L542),AcctTbl,4,0),INDEX(ExpParty,$L542))))</f>
        <v/>
      </c>
      <c r="F542" s="22">
        <f>IF($L542="","",IF(INDEX(ExpType,$L542)="","—",INDEX(ExpType,$L542)))</f>
        <v/>
      </c>
      <c r="G542" s="24">
        <f>IF($L542="","",IF(INDEX(ExpDep,$L542)=0,"",INDEX(ExpDep,$L542)))</f>
        <v/>
      </c>
      <c r="H542" s="24">
        <f>IF($L542="","",IF(INDEX(ExpWit,$L542)=0,"",INDEX(ExpWit,$L542)))</f>
        <v/>
      </c>
      <c r="I542" s="25">
        <f>IF($B542="","",IF($I541="",0,$I541)+IF($H542="",0,$H542)-IF($G542="",0,$G542))</f>
        <v/>
      </c>
      <c r="J542" s="23">
        <f>IF($L542="","",IF(INDEX(ExpNote,$L542)="","—",INDEX(ExpNote,$L542)))</f>
        <v/>
      </c>
      <c r="L542">
        <f>IFERROR(MATCH($C$5&amp;"|"&amp;RIGHT("000000"&amp;526,6),ExpRankKey,0),"")</f>
        <v/>
      </c>
    </row>
    <row r="543">
      <c r="A543" s="16" t="n">
        <v>527</v>
      </c>
      <c r="B543" s="17">
        <f>IF($L543="","",INDEX(ExpNorm,$L543))</f>
        <v/>
      </c>
      <c r="C543" s="17">
        <f>IF($L543="","",IF(INDEX(ExpTime,$L543)="","—",LEFT(INDEX(ExpTime,$L543),2)&amp;":"&amp;RIGHT(INDEX(ExpTime,$L543),2)))</f>
        <v/>
      </c>
      <c r="D543" s="17">
        <f>IF($L543="","",IF(INDEX(ExpBank,$L543)="","—",INDEX(ExpBank,$L543)))</f>
        <v/>
      </c>
      <c r="E543" s="18">
        <f>IF($L543="","",IF(INDEX(ExpParty,$L543)="","—",IFERROR(VLOOKUP(INDEX(ExpParty,$L543),AcctTbl,4,0),INDEX(ExpParty,$L543))))</f>
        <v/>
      </c>
      <c r="F543" s="17">
        <f>IF($L543="","",IF(INDEX(ExpType,$L543)="","—",INDEX(ExpType,$L543)))</f>
        <v/>
      </c>
      <c r="G543" s="19">
        <f>IF($L543="","",IF(INDEX(ExpDep,$L543)=0,"",INDEX(ExpDep,$L543)))</f>
        <v/>
      </c>
      <c r="H543" s="19">
        <f>IF($L543="","",IF(INDEX(ExpWit,$L543)=0,"",INDEX(ExpWit,$L543)))</f>
        <v/>
      </c>
      <c r="I543" s="20">
        <f>IF($B543="","",IF($I542="",0,$I542)+IF($H543="",0,$H543)-IF($G543="",0,$G543))</f>
        <v/>
      </c>
      <c r="J543" s="18">
        <f>IF($L543="","",IF(INDEX(ExpNote,$L543)="","—",INDEX(ExpNote,$L543)))</f>
        <v/>
      </c>
      <c r="L543">
        <f>IFERROR(MATCH($C$5&amp;"|"&amp;RIGHT("000000"&amp;527,6),ExpRankKey,0),"")</f>
        <v/>
      </c>
    </row>
    <row r="544">
      <c r="A544" s="21" t="n">
        <v>528</v>
      </c>
      <c r="B544" s="22">
        <f>IF($L544="","",INDEX(ExpNorm,$L544))</f>
        <v/>
      </c>
      <c r="C544" s="22">
        <f>IF($L544="","",IF(INDEX(ExpTime,$L544)="","—",LEFT(INDEX(ExpTime,$L544),2)&amp;":"&amp;RIGHT(INDEX(ExpTime,$L544),2)))</f>
        <v/>
      </c>
      <c r="D544" s="22">
        <f>IF($L544="","",IF(INDEX(ExpBank,$L544)="","—",INDEX(ExpBank,$L544)))</f>
        <v/>
      </c>
      <c r="E544" s="23">
        <f>IF($L544="","",IF(INDEX(ExpParty,$L544)="","—",IFERROR(VLOOKUP(INDEX(ExpParty,$L544),AcctTbl,4,0),INDEX(ExpParty,$L544))))</f>
        <v/>
      </c>
      <c r="F544" s="22">
        <f>IF($L544="","",IF(INDEX(ExpType,$L544)="","—",INDEX(ExpType,$L544)))</f>
        <v/>
      </c>
      <c r="G544" s="24">
        <f>IF($L544="","",IF(INDEX(ExpDep,$L544)=0,"",INDEX(ExpDep,$L544)))</f>
        <v/>
      </c>
      <c r="H544" s="24">
        <f>IF($L544="","",IF(INDEX(ExpWit,$L544)=0,"",INDEX(ExpWit,$L544)))</f>
        <v/>
      </c>
      <c r="I544" s="25">
        <f>IF($B544="","",IF($I543="",0,$I543)+IF($H544="",0,$H544)-IF($G544="",0,$G544))</f>
        <v/>
      </c>
      <c r="J544" s="23">
        <f>IF($L544="","",IF(INDEX(ExpNote,$L544)="","—",INDEX(ExpNote,$L544)))</f>
        <v/>
      </c>
      <c r="L544">
        <f>IFERROR(MATCH($C$5&amp;"|"&amp;RIGHT("000000"&amp;528,6),ExpRankKey,0),"")</f>
        <v/>
      </c>
    </row>
    <row r="545">
      <c r="A545" s="16" t="n">
        <v>529</v>
      </c>
      <c r="B545" s="17">
        <f>IF($L545="","",INDEX(ExpNorm,$L545))</f>
        <v/>
      </c>
      <c r="C545" s="17">
        <f>IF($L545="","",IF(INDEX(ExpTime,$L545)="","—",LEFT(INDEX(ExpTime,$L545),2)&amp;":"&amp;RIGHT(INDEX(ExpTime,$L545),2)))</f>
        <v/>
      </c>
      <c r="D545" s="17">
        <f>IF($L545="","",IF(INDEX(ExpBank,$L545)="","—",INDEX(ExpBank,$L545)))</f>
        <v/>
      </c>
      <c r="E545" s="18">
        <f>IF($L545="","",IF(INDEX(ExpParty,$L545)="","—",IFERROR(VLOOKUP(INDEX(ExpParty,$L545),AcctTbl,4,0),INDEX(ExpParty,$L545))))</f>
        <v/>
      </c>
      <c r="F545" s="17">
        <f>IF($L545="","",IF(INDEX(ExpType,$L545)="","—",INDEX(ExpType,$L545)))</f>
        <v/>
      </c>
      <c r="G545" s="19">
        <f>IF($L545="","",IF(INDEX(ExpDep,$L545)=0,"",INDEX(ExpDep,$L545)))</f>
        <v/>
      </c>
      <c r="H545" s="19">
        <f>IF($L545="","",IF(INDEX(ExpWit,$L545)=0,"",INDEX(ExpWit,$L545)))</f>
        <v/>
      </c>
      <c r="I545" s="20">
        <f>IF($B545="","",IF($I544="",0,$I544)+IF($H545="",0,$H545)-IF($G545="",0,$G545))</f>
        <v/>
      </c>
      <c r="J545" s="18">
        <f>IF($L545="","",IF(INDEX(ExpNote,$L545)="","—",INDEX(ExpNote,$L545)))</f>
        <v/>
      </c>
      <c r="L545">
        <f>IFERROR(MATCH($C$5&amp;"|"&amp;RIGHT("000000"&amp;529,6),ExpRankKey,0),"")</f>
        <v/>
      </c>
    </row>
    <row r="546">
      <c r="A546" s="21" t="n">
        <v>530</v>
      </c>
      <c r="B546" s="22">
        <f>IF($L546="","",INDEX(ExpNorm,$L546))</f>
        <v/>
      </c>
      <c r="C546" s="22">
        <f>IF($L546="","",IF(INDEX(ExpTime,$L546)="","—",LEFT(INDEX(ExpTime,$L546),2)&amp;":"&amp;RIGHT(INDEX(ExpTime,$L546),2)))</f>
        <v/>
      </c>
      <c r="D546" s="22">
        <f>IF($L546="","",IF(INDEX(ExpBank,$L546)="","—",INDEX(ExpBank,$L546)))</f>
        <v/>
      </c>
      <c r="E546" s="23">
        <f>IF($L546="","",IF(INDEX(ExpParty,$L546)="","—",IFERROR(VLOOKUP(INDEX(ExpParty,$L546),AcctTbl,4,0),INDEX(ExpParty,$L546))))</f>
        <v/>
      </c>
      <c r="F546" s="22">
        <f>IF($L546="","",IF(INDEX(ExpType,$L546)="","—",INDEX(ExpType,$L546)))</f>
        <v/>
      </c>
      <c r="G546" s="24">
        <f>IF($L546="","",IF(INDEX(ExpDep,$L546)=0,"",INDEX(ExpDep,$L546)))</f>
        <v/>
      </c>
      <c r="H546" s="24">
        <f>IF($L546="","",IF(INDEX(ExpWit,$L546)=0,"",INDEX(ExpWit,$L546)))</f>
        <v/>
      </c>
      <c r="I546" s="25">
        <f>IF($B546="","",IF($I545="",0,$I545)+IF($H546="",0,$H546)-IF($G546="",0,$G546))</f>
        <v/>
      </c>
      <c r="J546" s="23">
        <f>IF($L546="","",IF(INDEX(ExpNote,$L546)="","—",INDEX(ExpNote,$L546)))</f>
        <v/>
      </c>
      <c r="L546">
        <f>IFERROR(MATCH($C$5&amp;"|"&amp;RIGHT("000000"&amp;530,6),ExpRankKey,0),"")</f>
        <v/>
      </c>
    </row>
    <row r="547">
      <c r="A547" s="16" t="n">
        <v>531</v>
      </c>
      <c r="B547" s="17">
        <f>IF($L547="","",INDEX(ExpNorm,$L547))</f>
        <v/>
      </c>
      <c r="C547" s="17">
        <f>IF($L547="","",IF(INDEX(ExpTime,$L547)="","—",LEFT(INDEX(ExpTime,$L547),2)&amp;":"&amp;RIGHT(INDEX(ExpTime,$L547),2)))</f>
        <v/>
      </c>
      <c r="D547" s="17">
        <f>IF($L547="","",IF(INDEX(ExpBank,$L547)="","—",INDEX(ExpBank,$L547)))</f>
        <v/>
      </c>
      <c r="E547" s="18">
        <f>IF($L547="","",IF(INDEX(ExpParty,$L547)="","—",IFERROR(VLOOKUP(INDEX(ExpParty,$L547),AcctTbl,4,0),INDEX(ExpParty,$L547))))</f>
        <v/>
      </c>
      <c r="F547" s="17">
        <f>IF($L547="","",IF(INDEX(ExpType,$L547)="","—",INDEX(ExpType,$L547)))</f>
        <v/>
      </c>
      <c r="G547" s="19">
        <f>IF($L547="","",IF(INDEX(ExpDep,$L547)=0,"",INDEX(ExpDep,$L547)))</f>
        <v/>
      </c>
      <c r="H547" s="19">
        <f>IF($L547="","",IF(INDEX(ExpWit,$L547)=0,"",INDEX(ExpWit,$L547)))</f>
        <v/>
      </c>
      <c r="I547" s="20">
        <f>IF($B547="","",IF($I546="",0,$I546)+IF($H547="",0,$H547)-IF($G547="",0,$G547))</f>
        <v/>
      </c>
      <c r="J547" s="18">
        <f>IF($L547="","",IF(INDEX(ExpNote,$L547)="","—",INDEX(ExpNote,$L547)))</f>
        <v/>
      </c>
      <c r="L547">
        <f>IFERROR(MATCH($C$5&amp;"|"&amp;RIGHT("000000"&amp;531,6),ExpRankKey,0),"")</f>
        <v/>
      </c>
    </row>
    <row r="548">
      <c r="A548" s="21" t="n">
        <v>532</v>
      </c>
      <c r="B548" s="22">
        <f>IF($L548="","",INDEX(ExpNorm,$L548))</f>
        <v/>
      </c>
      <c r="C548" s="22">
        <f>IF($L548="","",IF(INDEX(ExpTime,$L548)="","—",LEFT(INDEX(ExpTime,$L548),2)&amp;":"&amp;RIGHT(INDEX(ExpTime,$L548),2)))</f>
        <v/>
      </c>
      <c r="D548" s="22">
        <f>IF($L548="","",IF(INDEX(ExpBank,$L548)="","—",INDEX(ExpBank,$L548)))</f>
        <v/>
      </c>
      <c r="E548" s="23">
        <f>IF($L548="","",IF(INDEX(ExpParty,$L548)="","—",IFERROR(VLOOKUP(INDEX(ExpParty,$L548),AcctTbl,4,0),INDEX(ExpParty,$L548))))</f>
        <v/>
      </c>
      <c r="F548" s="22">
        <f>IF($L548="","",IF(INDEX(ExpType,$L548)="","—",INDEX(ExpType,$L548)))</f>
        <v/>
      </c>
      <c r="G548" s="24">
        <f>IF($L548="","",IF(INDEX(ExpDep,$L548)=0,"",INDEX(ExpDep,$L548)))</f>
        <v/>
      </c>
      <c r="H548" s="24">
        <f>IF($L548="","",IF(INDEX(ExpWit,$L548)=0,"",INDEX(ExpWit,$L548)))</f>
        <v/>
      </c>
      <c r="I548" s="25">
        <f>IF($B548="","",IF($I547="",0,$I547)+IF($H548="",0,$H548)-IF($G548="",0,$G548))</f>
        <v/>
      </c>
      <c r="J548" s="23">
        <f>IF($L548="","",IF(INDEX(ExpNote,$L548)="","—",INDEX(ExpNote,$L548)))</f>
        <v/>
      </c>
      <c r="L548">
        <f>IFERROR(MATCH($C$5&amp;"|"&amp;RIGHT("000000"&amp;532,6),ExpRankKey,0),"")</f>
        <v/>
      </c>
    </row>
    <row r="549">
      <c r="A549" s="16" t="n">
        <v>533</v>
      </c>
      <c r="B549" s="17">
        <f>IF($L549="","",INDEX(ExpNorm,$L549))</f>
        <v/>
      </c>
      <c r="C549" s="17">
        <f>IF($L549="","",IF(INDEX(ExpTime,$L549)="","—",LEFT(INDEX(ExpTime,$L549),2)&amp;":"&amp;RIGHT(INDEX(ExpTime,$L549),2)))</f>
        <v/>
      </c>
      <c r="D549" s="17">
        <f>IF($L549="","",IF(INDEX(ExpBank,$L549)="","—",INDEX(ExpBank,$L549)))</f>
        <v/>
      </c>
      <c r="E549" s="18">
        <f>IF($L549="","",IF(INDEX(ExpParty,$L549)="","—",IFERROR(VLOOKUP(INDEX(ExpParty,$L549),AcctTbl,4,0),INDEX(ExpParty,$L549))))</f>
        <v/>
      </c>
      <c r="F549" s="17">
        <f>IF($L549="","",IF(INDEX(ExpType,$L549)="","—",INDEX(ExpType,$L549)))</f>
        <v/>
      </c>
      <c r="G549" s="19">
        <f>IF($L549="","",IF(INDEX(ExpDep,$L549)=0,"",INDEX(ExpDep,$L549)))</f>
        <v/>
      </c>
      <c r="H549" s="19">
        <f>IF($L549="","",IF(INDEX(ExpWit,$L549)=0,"",INDEX(ExpWit,$L549)))</f>
        <v/>
      </c>
      <c r="I549" s="20">
        <f>IF($B549="","",IF($I548="",0,$I548)+IF($H549="",0,$H549)-IF($G549="",0,$G549))</f>
        <v/>
      </c>
      <c r="J549" s="18">
        <f>IF($L549="","",IF(INDEX(ExpNote,$L549)="","—",INDEX(ExpNote,$L549)))</f>
        <v/>
      </c>
      <c r="L549">
        <f>IFERROR(MATCH($C$5&amp;"|"&amp;RIGHT("000000"&amp;533,6),ExpRankKey,0),"")</f>
        <v/>
      </c>
    </row>
    <row r="550">
      <c r="A550" s="21" t="n">
        <v>534</v>
      </c>
      <c r="B550" s="22">
        <f>IF($L550="","",INDEX(ExpNorm,$L550))</f>
        <v/>
      </c>
      <c r="C550" s="22">
        <f>IF($L550="","",IF(INDEX(ExpTime,$L550)="","—",LEFT(INDEX(ExpTime,$L550),2)&amp;":"&amp;RIGHT(INDEX(ExpTime,$L550),2)))</f>
        <v/>
      </c>
      <c r="D550" s="22">
        <f>IF($L550="","",IF(INDEX(ExpBank,$L550)="","—",INDEX(ExpBank,$L550)))</f>
        <v/>
      </c>
      <c r="E550" s="23">
        <f>IF($L550="","",IF(INDEX(ExpParty,$L550)="","—",IFERROR(VLOOKUP(INDEX(ExpParty,$L550),AcctTbl,4,0),INDEX(ExpParty,$L550))))</f>
        <v/>
      </c>
      <c r="F550" s="22">
        <f>IF($L550="","",IF(INDEX(ExpType,$L550)="","—",INDEX(ExpType,$L550)))</f>
        <v/>
      </c>
      <c r="G550" s="24">
        <f>IF($L550="","",IF(INDEX(ExpDep,$L550)=0,"",INDEX(ExpDep,$L550)))</f>
        <v/>
      </c>
      <c r="H550" s="24">
        <f>IF($L550="","",IF(INDEX(ExpWit,$L550)=0,"",INDEX(ExpWit,$L550)))</f>
        <v/>
      </c>
      <c r="I550" s="25">
        <f>IF($B550="","",IF($I549="",0,$I549)+IF($H550="",0,$H550)-IF($G550="",0,$G550))</f>
        <v/>
      </c>
      <c r="J550" s="23">
        <f>IF($L550="","",IF(INDEX(ExpNote,$L550)="","—",INDEX(ExpNote,$L550)))</f>
        <v/>
      </c>
      <c r="L550">
        <f>IFERROR(MATCH($C$5&amp;"|"&amp;RIGHT("000000"&amp;534,6),ExpRankKey,0),"")</f>
        <v/>
      </c>
    </row>
    <row r="551">
      <c r="A551" s="16" t="n">
        <v>535</v>
      </c>
      <c r="B551" s="17">
        <f>IF($L551="","",INDEX(ExpNorm,$L551))</f>
        <v/>
      </c>
      <c r="C551" s="17">
        <f>IF($L551="","",IF(INDEX(ExpTime,$L551)="","—",LEFT(INDEX(ExpTime,$L551),2)&amp;":"&amp;RIGHT(INDEX(ExpTime,$L551),2)))</f>
        <v/>
      </c>
      <c r="D551" s="17">
        <f>IF($L551="","",IF(INDEX(ExpBank,$L551)="","—",INDEX(ExpBank,$L551)))</f>
        <v/>
      </c>
      <c r="E551" s="18">
        <f>IF($L551="","",IF(INDEX(ExpParty,$L551)="","—",IFERROR(VLOOKUP(INDEX(ExpParty,$L551),AcctTbl,4,0),INDEX(ExpParty,$L551))))</f>
        <v/>
      </c>
      <c r="F551" s="17">
        <f>IF($L551="","",IF(INDEX(ExpType,$L551)="","—",INDEX(ExpType,$L551)))</f>
        <v/>
      </c>
      <c r="G551" s="19">
        <f>IF($L551="","",IF(INDEX(ExpDep,$L551)=0,"",INDEX(ExpDep,$L551)))</f>
        <v/>
      </c>
      <c r="H551" s="19">
        <f>IF($L551="","",IF(INDEX(ExpWit,$L551)=0,"",INDEX(ExpWit,$L551)))</f>
        <v/>
      </c>
      <c r="I551" s="20">
        <f>IF($B551="","",IF($I550="",0,$I550)+IF($H551="",0,$H551)-IF($G551="",0,$G551))</f>
        <v/>
      </c>
      <c r="J551" s="18">
        <f>IF($L551="","",IF(INDEX(ExpNote,$L551)="","—",INDEX(ExpNote,$L551)))</f>
        <v/>
      </c>
      <c r="L551">
        <f>IFERROR(MATCH($C$5&amp;"|"&amp;RIGHT("000000"&amp;535,6),ExpRankKey,0),"")</f>
        <v/>
      </c>
    </row>
    <row r="552">
      <c r="A552" s="21" t="n">
        <v>536</v>
      </c>
      <c r="B552" s="22">
        <f>IF($L552="","",INDEX(ExpNorm,$L552))</f>
        <v/>
      </c>
      <c r="C552" s="22">
        <f>IF($L552="","",IF(INDEX(ExpTime,$L552)="","—",LEFT(INDEX(ExpTime,$L552),2)&amp;":"&amp;RIGHT(INDEX(ExpTime,$L552),2)))</f>
        <v/>
      </c>
      <c r="D552" s="22">
        <f>IF($L552="","",IF(INDEX(ExpBank,$L552)="","—",INDEX(ExpBank,$L552)))</f>
        <v/>
      </c>
      <c r="E552" s="23">
        <f>IF($L552="","",IF(INDEX(ExpParty,$L552)="","—",IFERROR(VLOOKUP(INDEX(ExpParty,$L552),AcctTbl,4,0),INDEX(ExpParty,$L552))))</f>
        <v/>
      </c>
      <c r="F552" s="22">
        <f>IF($L552="","",IF(INDEX(ExpType,$L552)="","—",INDEX(ExpType,$L552)))</f>
        <v/>
      </c>
      <c r="G552" s="24">
        <f>IF($L552="","",IF(INDEX(ExpDep,$L552)=0,"",INDEX(ExpDep,$L552)))</f>
        <v/>
      </c>
      <c r="H552" s="24">
        <f>IF($L552="","",IF(INDEX(ExpWit,$L552)=0,"",INDEX(ExpWit,$L552)))</f>
        <v/>
      </c>
      <c r="I552" s="25">
        <f>IF($B552="","",IF($I551="",0,$I551)+IF($H552="",0,$H552)-IF($G552="",0,$G552))</f>
        <v/>
      </c>
      <c r="J552" s="23">
        <f>IF($L552="","",IF(INDEX(ExpNote,$L552)="","—",INDEX(ExpNote,$L552)))</f>
        <v/>
      </c>
      <c r="L552">
        <f>IFERROR(MATCH($C$5&amp;"|"&amp;RIGHT("000000"&amp;536,6),ExpRankKey,0),"")</f>
        <v/>
      </c>
    </row>
    <row r="553">
      <c r="A553" s="16" t="n">
        <v>537</v>
      </c>
      <c r="B553" s="17">
        <f>IF($L553="","",INDEX(ExpNorm,$L553))</f>
        <v/>
      </c>
      <c r="C553" s="17">
        <f>IF($L553="","",IF(INDEX(ExpTime,$L553)="","—",LEFT(INDEX(ExpTime,$L553),2)&amp;":"&amp;RIGHT(INDEX(ExpTime,$L553),2)))</f>
        <v/>
      </c>
      <c r="D553" s="17">
        <f>IF($L553="","",IF(INDEX(ExpBank,$L553)="","—",INDEX(ExpBank,$L553)))</f>
        <v/>
      </c>
      <c r="E553" s="18">
        <f>IF($L553="","",IF(INDEX(ExpParty,$L553)="","—",IFERROR(VLOOKUP(INDEX(ExpParty,$L553),AcctTbl,4,0),INDEX(ExpParty,$L553))))</f>
        <v/>
      </c>
      <c r="F553" s="17">
        <f>IF($L553="","",IF(INDEX(ExpType,$L553)="","—",INDEX(ExpType,$L553)))</f>
        <v/>
      </c>
      <c r="G553" s="19">
        <f>IF($L553="","",IF(INDEX(ExpDep,$L553)=0,"",INDEX(ExpDep,$L553)))</f>
        <v/>
      </c>
      <c r="H553" s="19">
        <f>IF($L553="","",IF(INDEX(ExpWit,$L553)=0,"",INDEX(ExpWit,$L553)))</f>
        <v/>
      </c>
      <c r="I553" s="20">
        <f>IF($B553="","",IF($I552="",0,$I552)+IF($H553="",0,$H553)-IF($G553="",0,$G553))</f>
        <v/>
      </c>
      <c r="J553" s="18">
        <f>IF($L553="","",IF(INDEX(ExpNote,$L553)="","—",INDEX(ExpNote,$L553)))</f>
        <v/>
      </c>
      <c r="L553">
        <f>IFERROR(MATCH($C$5&amp;"|"&amp;RIGHT("000000"&amp;537,6),ExpRankKey,0),"")</f>
        <v/>
      </c>
    </row>
    <row r="554">
      <c r="A554" s="21" t="n">
        <v>538</v>
      </c>
      <c r="B554" s="22">
        <f>IF($L554="","",INDEX(ExpNorm,$L554))</f>
        <v/>
      </c>
      <c r="C554" s="22">
        <f>IF($L554="","",IF(INDEX(ExpTime,$L554)="","—",LEFT(INDEX(ExpTime,$L554),2)&amp;":"&amp;RIGHT(INDEX(ExpTime,$L554),2)))</f>
        <v/>
      </c>
      <c r="D554" s="22">
        <f>IF($L554="","",IF(INDEX(ExpBank,$L554)="","—",INDEX(ExpBank,$L554)))</f>
        <v/>
      </c>
      <c r="E554" s="23">
        <f>IF($L554="","",IF(INDEX(ExpParty,$L554)="","—",IFERROR(VLOOKUP(INDEX(ExpParty,$L554),AcctTbl,4,0),INDEX(ExpParty,$L554))))</f>
        <v/>
      </c>
      <c r="F554" s="22">
        <f>IF($L554="","",IF(INDEX(ExpType,$L554)="","—",INDEX(ExpType,$L554)))</f>
        <v/>
      </c>
      <c r="G554" s="24">
        <f>IF($L554="","",IF(INDEX(ExpDep,$L554)=0,"",INDEX(ExpDep,$L554)))</f>
        <v/>
      </c>
      <c r="H554" s="24">
        <f>IF($L554="","",IF(INDEX(ExpWit,$L554)=0,"",INDEX(ExpWit,$L554)))</f>
        <v/>
      </c>
      <c r="I554" s="25">
        <f>IF($B554="","",IF($I553="",0,$I553)+IF($H554="",0,$H554)-IF($G554="",0,$G554))</f>
        <v/>
      </c>
      <c r="J554" s="23">
        <f>IF($L554="","",IF(INDEX(ExpNote,$L554)="","—",INDEX(ExpNote,$L554)))</f>
        <v/>
      </c>
      <c r="L554">
        <f>IFERROR(MATCH($C$5&amp;"|"&amp;RIGHT("000000"&amp;538,6),ExpRankKey,0),"")</f>
        <v/>
      </c>
    </row>
    <row r="555">
      <c r="A555" s="16" t="n">
        <v>539</v>
      </c>
      <c r="B555" s="17">
        <f>IF($L555="","",INDEX(ExpNorm,$L555))</f>
        <v/>
      </c>
      <c r="C555" s="17">
        <f>IF($L555="","",IF(INDEX(ExpTime,$L555)="","—",LEFT(INDEX(ExpTime,$L555),2)&amp;":"&amp;RIGHT(INDEX(ExpTime,$L555),2)))</f>
        <v/>
      </c>
      <c r="D555" s="17">
        <f>IF($L555="","",IF(INDEX(ExpBank,$L555)="","—",INDEX(ExpBank,$L555)))</f>
        <v/>
      </c>
      <c r="E555" s="18">
        <f>IF($L555="","",IF(INDEX(ExpParty,$L555)="","—",IFERROR(VLOOKUP(INDEX(ExpParty,$L555),AcctTbl,4,0),INDEX(ExpParty,$L555))))</f>
        <v/>
      </c>
      <c r="F555" s="17">
        <f>IF($L555="","",IF(INDEX(ExpType,$L555)="","—",INDEX(ExpType,$L555)))</f>
        <v/>
      </c>
      <c r="G555" s="19">
        <f>IF($L555="","",IF(INDEX(ExpDep,$L555)=0,"",INDEX(ExpDep,$L555)))</f>
        <v/>
      </c>
      <c r="H555" s="19">
        <f>IF($L555="","",IF(INDEX(ExpWit,$L555)=0,"",INDEX(ExpWit,$L555)))</f>
        <v/>
      </c>
      <c r="I555" s="20">
        <f>IF($B555="","",IF($I554="",0,$I554)+IF($H555="",0,$H555)-IF($G555="",0,$G555))</f>
        <v/>
      </c>
      <c r="J555" s="18">
        <f>IF($L555="","",IF(INDEX(ExpNote,$L555)="","—",INDEX(ExpNote,$L555)))</f>
        <v/>
      </c>
      <c r="L555">
        <f>IFERROR(MATCH($C$5&amp;"|"&amp;RIGHT("000000"&amp;539,6),ExpRankKey,0),"")</f>
        <v/>
      </c>
    </row>
    <row r="556">
      <c r="A556" s="21" t="n">
        <v>540</v>
      </c>
      <c r="B556" s="22">
        <f>IF($L556="","",INDEX(ExpNorm,$L556))</f>
        <v/>
      </c>
      <c r="C556" s="22">
        <f>IF($L556="","",IF(INDEX(ExpTime,$L556)="","—",LEFT(INDEX(ExpTime,$L556),2)&amp;":"&amp;RIGHT(INDEX(ExpTime,$L556),2)))</f>
        <v/>
      </c>
      <c r="D556" s="22">
        <f>IF($L556="","",IF(INDEX(ExpBank,$L556)="","—",INDEX(ExpBank,$L556)))</f>
        <v/>
      </c>
      <c r="E556" s="23">
        <f>IF($L556="","",IF(INDEX(ExpParty,$L556)="","—",IFERROR(VLOOKUP(INDEX(ExpParty,$L556),AcctTbl,4,0),INDEX(ExpParty,$L556))))</f>
        <v/>
      </c>
      <c r="F556" s="22">
        <f>IF($L556="","",IF(INDEX(ExpType,$L556)="","—",INDEX(ExpType,$L556)))</f>
        <v/>
      </c>
      <c r="G556" s="24">
        <f>IF($L556="","",IF(INDEX(ExpDep,$L556)=0,"",INDEX(ExpDep,$L556)))</f>
        <v/>
      </c>
      <c r="H556" s="24">
        <f>IF($L556="","",IF(INDEX(ExpWit,$L556)=0,"",INDEX(ExpWit,$L556)))</f>
        <v/>
      </c>
      <c r="I556" s="25">
        <f>IF($B556="","",IF($I555="",0,$I555)+IF($H556="",0,$H556)-IF($G556="",0,$G556))</f>
        <v/>
      </c>
      <c r="J556" s="23">
        <f>IF($L556="","",IF(INDEX(ExpNote,$L556)="","—",INDEX(ExpNote,$L556)))</f>
        <v/>
      </c>
      <c r="L556">
        <f>IFERROR(MATCH($C$5&amp;"|"&amp;RIGHT("000000"&amp;540,6),ExpRankKey,0),"")</f>
        <v/>
      </c>
    </row>
    <row r="557">
      <c r="A557" s="16" t="n">
        <v>541</v>
      </c>
      <c r="B557" s="17">
        <f>IF($L557="","",INDEX(ExpNorm,$L557))</f>
        <v/>
      </c>
      <c r="C557" s="17">
        <f>IF($L557="","",IF(INDEX(ExpTime,$L557)="","—",LEFT(INDEX(ExpTime,$L557),2)&amp;":"&amp;RIGHT(INDEX(ExpTime,$L557),2)))</f>
        <v/>
      </c>
      <c r="D557" s="17">
        <f>IF($L557="","",IF(INDEX(ExpBank,$L557)="","—",INDEX(ExpBank,$L557)))</f>
        <v/>
      </c>
      <c r="E557" s="18">
        <f>IF($L557="","",IF(INDEX(ExpParty,$L557)="","—",IFERROR(VLOOKUP(INDEX(ExpParty,$L557),AcctTbl,4,0),INDEX(ExpParty,$L557))))</f>
        <v/>
      </c>
      <c r="F557" s="17">
        <f>IF($L557="","",IF(INDEX(ExpType,$L557)="","—",INDEX(ExpType,$L557)))</f>
        <v/>
      </c>
      <c r="G557" s="19">
        <f>IF($L557="","",IF(INDEX(ExpDep,$L557)=0,"",INDEX(ExpDep,$L557)))</f>
        <v/>
      </c>
      <c r="H557" s="19">
        <f>IF($L557="","",IF(INDEX(ExpWit,$L557)=0,"",INDEX(ExpWit,$L557)))</f>
        <v/>
      </c>
      <c r="I557" s="20">
        <f>IF($B557="","",IF($I556="",0,$I556)+IF($H557="",0,$H557)-IF($G557="",0,$G557))</f>
        <v/>
      </c>
      <c r="J557" s="18">
        <f>IF($L557="","",IF(INDEX(ExpNote,$L557)="","—",INDEX(ExpNote,$L557)))</f>
        <v/>
      </c>
      <c r="L557">
        <f>IFERROR(MATCH($C$5&amp;"|"&amp;RIGHT("000000"&amp;541,6),ExpRankKey,0),"")</f>
        <v/>
      </c>
    </row>
    <row r="558">
      <c r="A558" s="21" t="n">
        <v>542</v>
      </c>
      <c r="B558" s="22">
        <f>IF($L558="","",INDEX(ExpNorm,$L558))</f>
        <v/>
      </c>
      <c r="C558" s="22">
        <f>IF($L558="","",IF(INDEX(ExpTime,$L558)="","—",LEFT(INDEX(ExpTime,$L558),2)&amp;":"&amp;RIGHT(INDEX(ExpTime,$L558),2)))</f>
        <v/>
      </c>
      <c r="D558" s="22">
        <f>IF($L558="","",IF(INDEX(ExpBank,$L558)="","—",INDEX(ExpBank,$L558)))</f>
        <v/>
      </c>
      <c r="E558" s="23">
        <f>IF($L558="","",IF(INDEX(ExpParty,$L558)="","—",IFERROR(VLOOKUP(INDEX(ExpParty,$L558),AcctTbl,4,0),INDEX(ExpParty,$L558))))</f>
        <v/>
      </c>
      <c r="F558" s="22">
        <f>IF($L558="","",IF(INDEX(ExpType,$L558)="","—",INDEX(ExpType,$L558)))</f>
        <v/>
      </c>
      <c r="G558" s="24">
        <f>IF($L558="","",IF(INDEX(ExpDep,$L558)=0,"",INDEX(ExpDep,$L558)))</f>
        <v/>
      </c>
      <c r="H558" s="24">
        <f>IF($L558="","",IF(INDEX(ExpWit,$L558)=0,"",INDEX(ExpWit,$L558)))</f>
        <v/>
      </c>
      <c r="I558" s="25">
        <f>IF($B558="","",IF($I557="",0,$I557)+IF($H558="",0,$H558)-IF($G558="",0,$G558))</f>
        <v/>
      </c>
      <c r="J558" s="23">
        <f>IF($L558="","",IF(INDEX(ExpNote,$L558)="","—",INDEX(ExpNote,$L558)))</f>
        <v/>
      </c>
      <c r="L558">
        <f>IFERROR(MATCH($C$5&amp;"|"&amp;RIGHT("000000"&amp;542,6),ExpRankKey,0),"")</f>
        <v/>
      </c>
    </row>
    <row r="559">
      <c r="A559" s="16" t="n">
        <v>543</v>
      </c>
      <c r="B559" s="17">
        <f>IF($L559="","",INDEX(ExpNorm,$L559))</f>
        <v/>
      </c>
      <c r="C559" s="17">
        <f>IF($L559="","",IF(INDEX(ExpTime,$L559)="","—",LEFT(INDEX(ExpTime,$L559),2)&amp;":"&amp;RIGHT(INDEX(ExpTime,$L559),2)))</f>
        <v/>
      </c>
      <c r="D559" s="17">
        <f>IF($L559="","",IF(INDEX(ExpBank,$L559)="","—",INDEX(ExpBank,$L559)))</f>
        <v/>
      </c>
      <c r="E559" s="18">
        <f>IF($L559="","",IF(INDEX(ExpParty,$L559)="","—",IFERROR(VLOOKUP(INDEX(ExpParty,$L559),AcctTbl,4,0),INDEX(ExpParty,$L559))))</f>
        <v/>
      </c>
      <c r="F559" s="17">
        <f>IF($L559="","",IF(INDEX(ExpType,$L559)="","—",INDEX(ExpType,$L559)))</f>
        <v/>
      </c>
      <c r="G559" s="19">
        <f>IF($L559="","",IF(INDEX(ExpDep,$L559)=0,"",INDEX(ExpDep,$L559)))</f>
        <v/>
      </c>
      <c r="H559" s="19">
        <f>IF($L559="","",IF(INDEX(ExpWit,$L559)=0,"",INDEX(ExpWit,$L559)))</f>
        <v/>
      </c>
      <c r="I559" s="20">
        <f>IF($B559="","",IF($I558="",0,$I558)+IF($H559="",0,$H559)-IF($G559="",0,$G559))</f>
        <v/>
      </c>
      <c r="J559" s="18">
        <f>IF($L559="","",IF(INDEX(ExpNote,$L559)="","—",INDEX(ExpNote,$L559)))</f>
        <v/>
      </c>
      <c r="L559">
        <f>IFERROR(MATCH($C$5&amp;"|"&amp;RIGHT("000000"&amp;543,6),ExpRankKey,0),"")</f>
        <v/>
      </c>
    </row>
    <row r="560">
      <c r="A560" s="21" t="n">
        <v>544</v>
      </c>
      <c r="B560" s="22">
        <f>IF($L560="","",INDEX(ExpNorm,$L560))</f>
        <v/>
      </c>
      <c r="C560" s="22">
        <f>IF($L560="","",IF(INDEX(ExpTime,$L560)="","—",LEFT(INDEX(ExpTime,$L560),2)&amp;":"&amp;RIGHT(INDEX(ExpTime,$L560),2)))</f>
        <v/>
      </c>
      <c r="D560" s="22">
        <f>IF($L560="","",IF(INDEX(ExpBank,$L560)="","—",INDEX(ExpBank,$L560)))</f>
        <v/>
      </c>
      <c r="E560" s="23">
        <f>IF($L560="","",IF(INDEX(ExpParty,$L560)="","—",IFERROR(VLOOKUP(INDEX(ExpParty,$L560),AcctTbl,4,0),INDEX(ExpParty,$L560))))</f>
        <v/>
      </c>
      <c r="F560" s="22">
        <f>IF($L560="","",IF(INDEX(ExpType,$L560)="","—",INDEX(ExpType,$L560)))</f>
        <v/>
      </c>
      <c r="G560" s="24">
        <f>IF($L560="","",IF(INDEX(ExpDep,$L560)=0,"",INDEX(ExpDep,$L560)))</f>
        <v/>
      </c>
      <c r="H560" s="24">
        <f>IF($L560="","",IF(INDEX(ExpWit,$L560)=0,"",INDEX(ExpWit,$L560)))</f>
        <v/>
      </c>
      <c r="I560" s="25">
        <f>IF($B560="","",IF($I559="",0,$I559)+IF($H560="",0,$H560)-IF($G560="",0,$G560))</f>
        <v/>
      </c>
      <c r="J560" s="23">
        <f>IF($L560="","",IF(INDEX(ExpNote,$L560)="","—",INDEX(ExpNote,$L560)))</f>
        <v/>
      </c>
      <c r="L560">
        <f>IFERROR(MATCH($C$5&amp;"|"&amp;RIGHT("000000"&amp;544,6),ExpRankKey,0),"")</f>
        <v/>
      </c>
    </row>
    <row r="561">
      <c r="A561" s="16" t="n">
        <v>545</v>
      </c>
      <c r="B561" s="17">
        <f>IF($L561="","",INDEX(ExpNorm,$L561))</f>
        <v/>
      </c>
      <c r="C561" s="17">
        <f>IF($L561="","",IF(INDEX(ExpTime,$L561)="","—",LEFT(INDEX(ExpTime,$L561),2)&amp;":"&amp;RIGHT(INDEX(ExpTime,$L561),2)))</f>
        <v/>
      </c>
      <c r="D561" s="17">
        <f>IF($L561="","",IF(INDEX(ExpBank,$L561)="","—",INDEX(ExpBank,$L561)))</f>
        <v/>
      </c>
      <c r="E561" s="18">
        <f>IF($L561="","",IF(INDEX(ExpParty,$L561)="","—",IFERROR(VLOOKUP(INDEX(ExpParty,$L561),AcctTbl,4,0),INDEX(ExpParty,$L561))))</f>
        <v/>
      </c>
      <c r="F561" s="17">
        <f>IF($L561="","",IF(INDEX(ExpType,$L561)="","—",INDEX(ExpType,$L561)))</f>
        <v/>
      </c>
      <c r="G561" s="19">
        <f>IF($L561="","",IF(INDEX(ExpDep,$L561)=0,"",INDEX(ExpDep,$L561)))</f>
        <v/>
      </c>
      <c r="H561" s="19">
        <f>IF($L561="","",IF(INDEX(ExpWit,$L561)=0,"",INDEX(ExpWit,$L561)))</f>
        <v/>
      </c>
      <c r="I561" s="20">
        <f>IF($B561="","",IF($I560="",0,$I560)+IF($H561="",0,$H561)-IF($G561="",0,$G561))</f>
        <v/>
      </c>
      <c r="J561" s="18">
        <f>IF($L561="","",IF(INDEX(ExpNote,$L561)="","—",INDEX(ExpNote,$L561)))</f>
        <v/>
      </c>
      <c r="L561">
        <f>IFERROR(MATCH($C$5&amp;"|"&amp;RIGHT("000000"&amp;545,6),ExpRankKey,0),"")</f>
        <v/>
      </c>
    </row>
    <row r="562">
      <c r="A562" s="21" t="n">
        <v>546</v>
      </c>
      <c r="B562" s="22">
        <f>IF($L562="","",INDEX(ExpNorm,$L562))</f>
        <v/>
      </c>
      <c r="C562" s="22">
        <f>IF($L562="","",IF(INDEX(ExpTime,$L562)="","—",LEFT(INDEX(ExpTime,$L562),2)&amp;":"&amp;RIGHT(INDEX(ExpTime,$L562),2)))</f>
        <v/>
      </c>
      <c r="D562" s="22">
        <f>IF($L562="","",IF(INDEX(ExpBank,$L562)="","—",INDEX(ExpBank,$L562)))</f>
        <v/>
      </c>
      <c r="E562" s="23">
        <f>IF($L562="","",IF(INDEX(ExpParty,$L562)="","—",IFERROR(VLOOKUP(INDEX(ExpParty,$L562),AcctTbl,4,0),INDEX(ExpParty,$L562))))</f>
        <v/>
      </c>
      <c r="F562" s="22">
        <f>IF($L562="","",IF(INDEX(ExpType,$L562)="","—",INDEX(ExpType,$L562)))</f>
        <v/>
      </c>
      <c r="G562" s="24">
        <f>IF($L562="","",IF(INDEX(ExpDep,$L562)=0,"",INDEX(ExpDep,$L562)))</f>
        <v/>
      </c>
      <c r="H562" s="24">
        <f>IF($L562="","",IF(INDEX(ExpWit,$L562)=0,"",INDEX(ExpWit,$L562)))</f>
        <v/>
      </c>
      <c r="I562" s="25">
        <f>IF($B562="","",IF($I561="",0,$I561)+IF($H562="",0,$H562)-IF($G562="",0,$G562))</f>
        <v/>
      </c>
      <c r="J562" s="23">
        <f>IF($L562="","",IF(INDEX(ExpNote,$L562)="","—",INDEX(ExpNote,$L562)))</f>
        <v/>
      </c>
      <c r="L562">
        <f>IFERROR(MATCH($C$5&amp;"|"&amp;RIGHT("000000"&amp;546,6),ExpRankKey,0),"")</f>
        <v/>
      </c>
    </row>
    <row r="563">
      <c r="A563" s="16" t="n">
        <v>547</v>
      </c>
      <c r="B563" s="17">
        <f>IF($L563="","",INDEX(ExpNorm,$L563))</f>
        <v/>
      </c>
      <c r="C563" s="17">
        <f>IF($L563="","",IF(INDEX(ExpTime,$L563)="","—",LEFT(INDEX(ExpTime,$L563),2)&amp;":"&amp;RIGHT(INDEX(ExpTime,$L563),2)))</f>
        <v/>
      </c>
      <c r="D563" s="17">
        <f>IF($L563="","",IF(INDEX(ExpBank,$L563)="","—",INDEX(ExpBank,$L563)))</f>
        <v/>
      </c>
      <c r="E563" s="18">
        <f>IF($L563="","",IF(INDEX(ExpParty,$L563)="","—",IFERROR(VLOOKUP(INDEX(ExpParty,$L563),AcctTbl,4,0),INDEX(ExpParty,$L563))))</f>
        <v/>
      </c>
      <c r="F563" s="17">
        <f>IF($L563="","",IF(INDEX(ExpType,$L563)="","—",INDEX(ExpType,$L563)))</f>
        <v/>
      </c>
      <c r="G563" s="19">
        <f>IF($L563="","",IF(INDEX(ExpDep,$L563)=0,"",INDEX(ExpDep,$L563)))</f>
        <v/>
      </c>
      <c r="H563" s="19">
        <f>IF($L563="","",IF(INDEX(ExpWit,$L563)=0,"",INDEX(ExpWit,$L563)))</f>
        <v/>
      </c>
      <c r="I563" s="20">
        <f>IF($B563="","",IF($I562="",0,$I562)+IF($H563="",0,$H563)-IF($G563="",0,$G563))</f>
        <v/>
      </c>
      <c r="J563" s="18">
        <f>IF($L563="","",IF(INDEX(ExpNote,$L563)="","—",INDEX(ExpNote,$L563)))</f>
        <v/>
      </c>
      <c r="L563">
        <f>IFERROR(MATCH($C$5&amp;"|"&amp;RIGHT("000000"&amp;547,6),ExpRankKey,0),"")</f>
        <v/>
      </c>
    </row>
    <row r="564">
      <c r="A564" s="21" t="n">
        <v>548</v>
      </c>
      <c r="B564" s="22">
        <f>IF($L564="","",INDEX(ExpNorm,$L564))</f>
        <v/>
      </c>
      <c r="C564" s="22">
        <f>IF($L564="","",IF(INDEX(ExpTime,$L564)="","—",LEFT(INDEX(ExpTime,$L564),2)&amp;":"&amp;RIGHT(INDEX(ExpTime,$L564),2)))</f>
        <v/>
      </c>
      <c r="D564" s="22">
        <f>IF($L564="","",IF(INDEX(ExpBank,$L564)="","—",INDEX(ExpBank,$L564)))</f>
        <v/>
      </c>
      <c r="E564" s="23">
        <f>IF($L564="","",IF(INDEX(ExpParty,$L564)="","—",IFERROR(VLOOKUP(INDEX(ExpParty,$L564),AcctTbl,4,0),INDEX(ExpParty,$L564))))</f>
        <v/>
      </c>
      <c r="F564" s="22">
        <f>IF($L564="","",IF(INDEX(ExpType,$L564)="","—",INDEX(ExpType,$L564)))</f>
        <v/>
      </c>
      <c r="G564" s="24">
        <f>IF($L564="","",IF(INDEX(ExpDep,$L564)=0,"",INDEX(ExpDep,$L564)))</f>
        <v/>
      </c>
      <c r="H564" s="24">
        <f>IF($L564="","",IF(INDEX(ExpWit,$L564)=0,"",INDEX(ExpWit,$L564)))</f>
        <v/>
      </c>
      <c r="I564" s="25">
        <f>IF($B564="","",IF($I563="",0,$I563)+IF($H564="",0,$H564)-IF($G564="",0,$G564))</f>
        <v/>
      </c>
      <c r="J564" s="23">
        <f>IF($L564="","",IF(INDEX(ExpNote,$L564)="","—",INDEX(ExpNote,$L564)))</f>
        <v/>
      </c>
      <c r="L564">
        <f>IFERROR(MATCH($C$5&amp;"|"&amp;RIGHT("000000"&amp;548,6),ExpRankKey,0),"")</f>
        <v/>
      </c>
    </row>
    <row r="565">
      <c r="A565" s="16" t="n">
        <v>549</v>
      </c>
      <c r="B565" s="17">
        <f>IF($L565="","",INDEX(ExpNorm,$L565))</f>
        <v/>
      </c>
      <c r="C565" s="17">
        <f>IF($L565="","",IF(INDEX(ExpTime,$L565)="","—",LEFT(INDEX(ExpTime,$L565),2)&amp;":"&amp;RIGHT(INDEX(ExpTime,$L565),2)))</f>
        <v/>
      </c>
      <c r="D565" s="17">
        <f>IF($L565="","",IF(INDEX(ExpBank,$L565)="","—",INDEX(ExpBank,$L565)))</f>
        <v/>
      </c>
      <c r="E565" s="18">
        <f>IF($L565="","",IF(INDEX(ExpParty,$L565)="","—",IFERROR(VLOOKUP(INDEX(ExpParty,$L565),AcctTbl,4,0),INDEX(ExpParty,$L565))))</f>
        <v/>
      </c>
      <c r="F565" s="17">
        <f>IF($L565="","",IF(INDEX(ExpType,$L565)="","—",INDEX(ExpType,$L565)))</f>
        <v/>
      </c>
      <c r="G565" s="19">
        <f>IF($L565="","",IF(INDEX(ExpDep,$L565)=0,"",INDEX(ExpDep,$L565)))</f>
        <v/>
      </c>
      <c r="H565" s="19">
        <f>IF($L565="","",IF(INDEX(ExpWit,$L565)=0,"",INDEX(ExpWit,$L565)))</f>
        <v/>
      </c>
      <c r="I565" s="20">
        <f>IF($B565="","",IF($I564="",0,$I564)+IF($H565="",0,$H565)-IF($G565="",0,$G565))</f>
        <v/>
      </c>
      <c r="J565" s="18">
        <f>IF($L565="","",IF(INDEX(ExpNote,$L565)="","—",INDEX(ExpNote,$L565)))</f>
        <v/>
      </c>
      <c r="L565">
        <f>IFERROR(MATCH($C$5&amp;"|"&amp;RIGHT("000000"&amp;549,6),ExpRankKey,0),"")</f>
        <v/>
      </c>
    </row>
    <row r="566">
      <c r="A566" s="21" t="n">
        <v>550</v>
      </c>
      <c r="B566" s="22">
        <f>IF($L566="","",INDEX(ExpNorm,$L566))</f>
        <v/>
      </c>
      <c r="C566" s="22">
        <f>IF($L566="","",IF(INDEX(ExpTime,$L566)="","—",LEFT(INDEX(ExpTime,$L566),2)&amp;":"&amp;RIGHT(INDEX(ExpTime,$L566),2)))</f>
        <v/>
      </c>
      <c r="D566" s="22">
        <f>IF($L566="","",IF(INDEX(ExpBank,$L566)="","—",INDEX(ExpBank,$L566)))</f>
        <v/>
      </c>
      <c r="E566" s="23">
        <f>IF($L566="","",IF(INDEX(ExpParty,$L566)="","—",IFERROR(VLOOKUP(INDEX(ExpParty,$L566),AcctTbl,4,0),INDEX(ExpParty,$L566))))</f>
        <v/>
      </c>
      <c r="F566" s="22">
        <f>IF($L566="","",IF(INDEX(ExpType,$L566)="","—",INDEX(ExpType,$L566)))</f>
        <v/>
      </c>
      <c r="G566" s="24">
        <f>IF($L566="","",IF(INDEX(ExpDep,$L566)=0,"",INDEX(ExpDep,$L566)))</f>
        <v/>
      </c>
      <c r="H566" s="24">
        <f>IF($L566="","",IF(INDEX(ExpWit,$L566)=0,"",INDEX(ExpWit,$L566)))</f>
        <v/>
      </c>
      <c r="I566" s="25">
        <f>IF($B566="","",IF($I565="",0,$I565)+IF($H566="",0,$H566)-IF($G566="",0,$G566))</f>
        <v/>
      </c>
      <c r="J566" s="23">
        <f>IF($L566="","",IF(INDEX(ExpNote,$L566)="","—",INDEX(ExpNote,$L566)))</f>
        <v/>
      </c>
      <c r="L566">
        <f>IFERROR(MATCH($C$5&amp;"|"&amp;RIGHT("000000"&amp;550,6),ExpRankKey,0),"")</f>
        <v/>
      </c>
    </row>
    <row r="567">
      <c r="A567" s="16" t="n">
        <v>551</v>
      </c>
      <c r="B567" s="17">
        <f>IF($L567="","",INDEX(ExpNorm,$L567))</f>
        <v/>
      </c>
      <c r="C567" s="17">
        <f>IF($L567="","",IF(INDEX(ExpTime,$L567)="","—",LEFT(INDEX(ExpTime,$L567),2)&amp;":"&amp;RIGHT(INDEX(ExpTime,$L567),2)))</f>
        <v/>
      </c>
      <c r="D567" s="17">
        <f>IF($L567="","",IF(INDEX(ExpBank,$L567)="","—",INDEX(ExpBank,$L567)))</f>
        <v/>
      </c>
      <c r="E567" s="18">
        <f>IF($L567="","",IF(INDEX(ExpParty,$L567)="","—",IFERROR(VLOOKUP(INDEX(ExpParty,$L567),AcctTbl,4,0),INDEX(ExpParty,$L567))))</f>
        <v/>
      </c>
      <c r="F567" s="17">
        <f>IF($L567="","",IF(INDEX(ExpType,$L567)="","—",INDEX(ExpType,$L567)))</f>
        <v/>
      </c>
      <c r="G567" s="19">
        <f>IF($L567="","",IF(INDEX(ExpDep,$L567)=0,"",INDEX(ExpDep,$L567)))</f>
        <v/>
      </c>
      <c r="H567" s="19">
        <f>IF($L567="","",IF(INDEX(ExpWit,$L567)=0,"",INDEX(ExpWit,$L567)))</f>
        <v/>
      </c>
      <c r="I567" s="20">
        <f>IF($B567="","",IF($I566="",0,$I566)+IF($H567="",0,$H567)-IF($G567="",0,$G567))</f>
        <v/>
      </c>
      <c r="J567" s="18">
        <f>IF($L567="","",IF(INDEX(ExpNote,$L567)="","—",INDEX(ExpNote,$L567)))</f>
        <v/>
      </c>
      <c r="L567">
        <f>IFERROR(MATCH($C$5&amp;"|"&amp;RIGHT("000000"&amp;551,6),ExpRankKey,0),"")</f>
        <v/>
      </c>
    </row>
    <row r="568">
      <c r="A568" s="21" t="n">
        <v>552</v>
      </c>
      <c r="B568" s="22">
        <f>IF($L568="","",INDEX(ExpNorm,$L568))</f>
        <v/>
      </c>
      <c r="C568" s="22">
        <f>IF($L568="","",IF(INDEX(ExpTime,$L568)="","—",LEFT(INDEX(ExpTime,$L568),2)&amp;":"&amp;RIGHT(INDEX(ExpTime,$L568),2)))</f>
        <v/>
      </c>
      <c r="D568" s="22">
        <f>IF($L568="","",IF(INDEX(ExpBank,$L568)="","—",INDEX(ExpBank,$L568)))</f>
        <v/>
      </c>
      <c r="E568" s="23">
        <f>IF($L568="","",IF(INDEX(ExpParty,$L568)="","—",IFERROR(VLOOKUP(INDEX(ExpParty,$L568),AcctTbl,4,0),INDEX(ExpParty,$L568))))</f>
        <v/>
      </c>
      <c r="F568" s="22">
        <f>IF($L568="","",IF(INDEX(ExpType,$L568)="","—",INDEX(ExpType,$L568)))</f>
        <v/>
      </c>
      <c r="G568" s="24">
        <f>IF($L568="","",IF(INDEX(ExpDep,$L568)=0,"",INDEX(ExpDep,$L568)))</f>
        <v/>
      </c>
      <c r="H568" s="24">
        <f>IF($L568="","",IF(INDEX(ExpWit,$L568)=0,"",INDEX(ExpWit,$L568)))</f>
        <v/>
      </c>
      <c r="I568" s="25">
        <f>IF($B568="","",IF($I567="",0,$I567)+IF($H568="",0,$H568)-IF($G568="",0,$G568))</f>
        <v/>
      </c>
      <c r="J568" s="23">
        <f>IF($L568="","",IF(INDEX(ExpNote,$L568)="","—",INDEX(ExpNote,$L568)))</f>
        <v/>
      </c>
      <c r="L568">
        <f>IFERROR(MATCH($C$5&amp;"|"&amp;RIGHT("000000"&amp;552,6),ExpRankKey,0),"")</f>
        <v/>
      </c>
    </row>
    <row r="569">
      <c r="A569" s="16" t="n">
        <v>553</v>
      </c>
      <c r="B569" s="17">
        <f>IF($L569="","",INDEX(ExpNorm,$L569))</f>
        <v/>
      </c>
      <c r="C569" s="17">
        <f>IF($L569="","",IF(INDEX(ExpTime,$L569)="","—",LEFT(INDEX(ExpTime,$L569),2)&amp;":"&amp;RIGHT(INDEX(ExpTime,$L569),2)))</f>
        <v/>
      </c>
      <c r="D569" s="17">
        <f>IF($L569="","",IF(INDEX(ExpBank,$L569)="","—",INDEX(ExpBank,$L569)))</f>
        <v/>
      </c>
      <c r="E569" s="18">
        <f>IF($L569="","",IF(INDEX(ExpParty,$L569)="","—",IFERROR(VLOOKUP(INDEX(ExpParty,$L569),AcctTbl,4,0),INDEX(ExpParty,$L569))))</f>
        <v/>
      </c>
      <c r="F569" s="17">
        <f>IF($L569="","",IF(INDEX(ExpType,$L569)="","—",INDEX(ExpType,$L569)))</f>
        <v/>
      </c>
      <c r="G569" s="19">
        <f>IF($L569="","",IF(INDEX(ExpDep,$L569)=0,"",INDEX(ExpDep,$L569)))</f>
        <v/>
      </c>
      <c r="H569" s="19">
        <f>IF($L569="","",IF(INDEX(ExpWit,$L569)=0,"",INDEX(ExpWit,$L569)))</f>
        <v/>
      </c>
      <c r="I569" s="20">
        <f>IF($B569="","",IF($I568="",0,$I568)+IF($H569="",0,$H569)-IF($G569="",0,$G569))</f>
        <v/>
      </c>
      <c r="J569" s="18">
        <f>IF($L569="","",IF(INDEX(ExpNote,$L569)="","—",INDEX(ExpNote,$L569)))</f>
        <v/>
      </c>
      <c r="L569">
        <f>IFERROR(MATCH($C$5&amp;"|"&amp;RIGHT("000000"&amp;553,6),ExpRankKey,0),"")</f>
        <v/>
      </c>
    </row>
    <row r="570">
      <c r="A570" s="21" t="n">
        <v>554</v>
      </c>
      <c r="B570" s="22">
        <f>IF($L570="","",INDEX(ExpNorm,$L570))</f>
        <v/>
      </c>
      <c r="C570" s="22">
        <f>IF($L570="","",IF(INDEX(ExpTime,$L570)="","—",LEFT(INDEX(ExpTime,$L570),2)&amp;":"&amp;RIGHT(INDEX(ExpTime,$L570),2)))</f>
        <v/>
      </c>
      <c r="D570" s="22">
        <f>IF($L570="","",IF(INDEX(ExpBank,$L570)="","—",INDEX(ExpBank,$L570)))</f>
        <v/>
      </c>
      <c r="E570" s="23">
        <f>IF($L570="","",IF(INDEX(ExpParty,$L570)="","—",IFERROR(VLOOKUP(INDEX(ExpParty,$L570),AcctTbl,4,0),INDEX(ExpParty,$L570))))</f>
        <v/>
      </c>
      <c r="F570" s="22">
        <f>IF($L570="","",IF(INDEX(ExpType,$L570)="","—",INDEX(ExpType,$L570)))</f>
        <v/>
      </c>
      <c r="G570" s="24">
        <f>IF($L570="","",IF(INDEX(ExpDep,$L570)=0,"",INDEX(ExpDep,$L570)))</f>
        <v/>
      </c>
      <c r="H570" s="24">
        <f>IF($L570="","",IF(INDEX(ExpWit,$L570)=0,"",INDEX(ExpWit,$L570)))</f>
        <v/>
      </c>
      <c r="I570" s="25">
        <f>IF($B570="","",IF($I569="",0,$I569)+IF($H570="",0,$H570)-IF($G570="",0,$G570))</f>
        <v/>
      </c>
      <c r="J570" s="23">
        <f>IF($L570="","",IF(INDEX(ExpNote,$L570)="","—",INDEX(ExpNote,$L570)))</f>
        <v/>
      </c>
      <c r="L570">
        <f>IFERROR(MATCH($C$5&amp;"|"&amp;RIGHT("000000"&amp;554,6),ExpRankKey,0),"")</f>
        <v/>
      </c>
    </row>
    <row r="571">
      <c r="A571" s="16" t="n">
        <v>555</v>
      </c>
      <c r="B571" s="17">
        <f>IF($L571="","",INDEX(ExpNorm,$L571))</f>
        <v/>
      </c>
      <c r="C571" s="17">
        <f>IF($L571="","",IF(INDEX(ExpTime,$L571)="","—",LEFT(INDEX(ExpTime,$L571),2)&amp;":"&amp;RIGHT(INDEX(ExpTime,$L571),2)))</f>
        <v/>
      </c>
      <c r="D571" s="17">
        <f>IF($L571="","",IF(INDEX(ExpBank,$L571)="","—",INDEX(ExpBank,$L571)))</f>
        <v/>
      </c>
      <c r="E571" s="18">
        <f>IF($L571="","",IF(INDEX(ExpParty,$L571)="","—",IFERROR(VLOOKUP(INDEX(ExpParty,$L571),AcctTbl,4,0),INDEX(ExpParty,$L571))))</f>
        <v/>
      </c>
      <c r="F571" s="17">
        <f>IF($L571="","",IF(INDEX(ExpType,$L571)="","—",INDEX(ExpType,$L571)))</f>
        <v/>
      </c>
      <c r="G571" s="19">
        <f>IF($L571="","",IF(INDEX(ExpDep,$L571)=0,"",INDEX(ExpDep,$L571)))</f>
        <v/>
      </c>
      <c r="H571" s="19">
        <f>IF($L571="","",IF(INDEX(ExpWit,$L571)=0,"",INDEX(ExpWit,$L571)))</f>
        <v/>
      </c>
      <c r="I571" s="20">
        <f>IF($B571="","",IF($I570="",0,$I570)+IF($H571="",0,$H571)-IF($G571="",0,$G571))</f>
        <v/>
      </c>
      <c r="J571" s="18">
        <f>IF($L571="","",IF(INDEX(ExpNote,$L571)="","—",INDEX(ExpNote,$L571)))</f>
        <v/>
      </c>
      <c r="L571">
        <f>IFERROR(MATCH($C$5&amp;"|"&amp;RIGHT("000000"&amp;555,6),ExpRankKey,0),"")</f>
        <v/>
      </c>
    </row>
    <row r="572">
      <c r="A572" s="21" t="n">
        <v>556</v>
      </c>
      <c r="B572" s="22">
        <f>IF($L572="","",INDEX(ExpNorm,$L572))</f>
        <v/>
      </c>
      <c r="C572" s="22">
        <f>IF($L572="","",IF(INDEX(ExpTime,$L572)="","—",LEFT(INDEX(ExpTime,$L572),2)&amp;":"&amp;RIGHT(INDEX(ExpTime,$L572),2)))</f>
        <v/>
      </c>
      <c r="D572" s="22">
        <f>IF($L572="","",IF(INDEX(ExpBank,$L572)="","—",INDEX(ExpBank,$L572)))</f>
        <v/>
      </c>
      <c r="E572" s="23">
        <f>IF($L572="","",IF(INDEX(ExpParty,$L572)="","—",IFERROR(VLOOKUP(INDEX(ExpParty,$L572),AcctTbl,4,0),INDEX(ExpParty,$L572))))</f>
        <v/>
      </c>
      <c r="F572" s="22">
        <f>IF($L572="","",IF(INDEX(ExpType,$L572)="","—",INDEX(ExpType,$L572)))</f>
        <v/>
      </c>
      <c r="G572" s="24">
        <f>IF($L572="","",IF(INDEX(ExpDep,$L572)=0,"",INDEX(ExpDep,$L572)))</f>
        <v/>
      </c>
      <c r="H572" s="24">
        <f>IF($L572="","",IF(INDEX(ExpWit,$L572)=0,"",INDEX(ExpWit,$L572)))</f>
        <v/>
      </c>
      <c r="I572" s="25">
        <f>IF($B572="","",IF($I571="",0,$I571)+IF($H572="",0,$H572)-IF($G572="",0,$G572))</f>
        <v/>
      </c>
      <c r="J572" s="23">
        <f>IF($L572="","",IF(INDEX(ExpNote,$L572)="","—",INDEX(ExpNote,$L572)))</f>
        <v/>
      </c>
      <c r="L572">
        <f>IFERROR(MATCH($C$5&amp;"|"&amp;RIGHT("000000"&amp;556,6),ExpRankKey,0),"")</f>
        <v/>
      </c>
    </row>
    <row r="573">
      <c r="A573" s="16" t="n">
        <v>557</v>
      </c>
      <c r="B573" s="17">
        <f>IF($L573="","",INDEX(ExpNorm,$L573))</f>
        <v/>
      </c>
      <c r="C573" s="17">
        <f>IF($L573="","",IF(INDEX(ExpTime,$L573)="","—",LEFT(INDEX(ExpTime,$L573),2)&amp;":"&amp;RIGHT(INDEX(ExpTime,$L573),2)))</f>
        <v/>
      </c>
      <c r="D573" s="17">
        <f>IF($L573="","",IF(INDEX(ExpBank,$L573)="","—",INDEX(ExpBank,$L573)))</f>
        <v/>
      </c>
      <c r="E573" s="18">
        <f>IF($L573="","",IF(INDEX(ExpParty,$L573)="","—",IFERROR(VLOOKUP(INDEX(ExpParty,$L573),AcctTbl,4,0),INDEX(ExpParty,$L573))))</f>
        <v/>
      </c>
      <c r="F573" s="17">
        <f>IF($L573="","",IF(INDEX(ExpType,$L573)="","—",INDEX(ExpType,$L573)))</f>
        <v/>
      </c>
      <c r="G573" s="19">
        <f>IF($L573="","",IF(INDEX(ExpDep,$L573)=0,"",INDEX(ExpDep,$L573)))</f>
        <v/>
      </c>
      <c r="H573" s="19">
        <f>IF($L573="","",IF(INDEX(ExpWit,$L573)=0,"",INDEX(ExpWit,$L573)))</f>
        <v/>
      </c>
      <c r="I573" s="20">
        <f>IF($B573="","",IF($I572="",0,$I572)+IF($H573="",0,$H573)-IF($G573="",0,$G573))</f>
        <v/>
      </c>
      <c r="J573" s="18">
        <f>IF($L573="","",IF(INDEX(ExpNote,$L573)="","—",INDEX(ExpNote,$L573)))</f>
        <v/>
      </c>
      <c r="L573">
        <f>IFERROR(MATCH($C$5&amp;"|"&amp;RIGHT("000000"&amp;557,6),ExpRankKey,0),"")</f>
        <v/>
      </c>
    </row>
    <row r="574">
      <c r="A574" s="21" t="n">
        <v>558</v>
      </c>
      <c r="B574" s="22">
        <f>IF($L574="","",INDEX(ExpNorm,$L574))</f>
        <v/>
      </c>
      <c r="C574" s="22">
        <f>IF($L574="","",IF(INDEX(ExpTime,$L574)="","—",LEFT(INDEX(ExpTime,$L574),2)&amp;":"&amp;RIGHT(INDEX(ExpTime,$L574),2)))</f>
        <v/>
      </c>
      <c r="D574" s="22">
        <f>IF($L574="","",IF(INDEX(ExpBank,$L574)="","—",INDEX(ExpBank,$L574)))</f>
        <v/>
      </c>
      <c r="E574" s="23">
        <f>IF($L574="","",IF(INDEX(ExpParty,$L574)="","—",IFERROR(VLOOKUP(INDEX(ExpParty,$L574),AcctTbl,4,0),INDEX(ExpParty,$L574))))</f>
        <v/>
      </c>
      <c r="F574" s="22">
        <f>IF($L574="","",IF(INDEX(ExpType,$L574)="","—",INDEX(ExpType,$L574)))</f>
        <v/>
      </c>
      <c r="G574" s="24">
        <f>IF($L574="","",IF(INDEX(ExpDep,$L574)=0,"",INDEX(ExpDep,$L574)))</f>
        <v/>
      </c>
      <c r="H574" s="24">
        <f>IF($L574="","",IF(INDEX(ExpWit,$L574)=0,"",INDEX(ExpWit,$L574)))</f>
        <v/>
      </c>
      <c r="I574" s="25">
        <f>IF($B574="","",IF($I573="",0,$I573)+IF($H574="",0,$H574)-IF($G574="",0,$G574))</f>
        <v/>
      </c>
      <c r="J574" s="23">
        <f>IF($L574="","",IF(INDEX(ExpNote,$L574)="","—",INDEX(ExpNote,$L574)))</f>
        <v/>
      </c>
      <c r="L574">
        <f>IFERROR(MATCH($C$5&amp;"|"&amp;RIGHT("000000"&amp;558,6),ExpRankKey,0),"")</f>
        <v/>
      </c>
    </row>
    <row r="575">
      <c r="A575" s="16" t="n">
        <v>559</v>
      </c>
      <c r="B575" s="17">
        <f>IF($L575="","",INDEX(ExpNorm,$L575))</f>
        <v/>
      </c>
      <c r="C575" s="17">
        <f>IF($L575="","",IF(INDEX(ExpTime,$L575)="","—",LEFT(INDEX(ExpTime,$L575),2)&amp;":"&amp;RIGHT(INDEX(ExpTime,$L575),2)))</f>
        <v/>
      </c>
      <c r="D575" s="17">
        <f>IF($L575="","",IF(INDEX(ExpBank,$L575)="","—",INDEX(ExpBank,$L575)))</f>
        <v/>
      </c>
      <c r="E575" s="18">
        <f>IF($L575="","",IF(INDEX(ExpParty,$L575)="","—",IFERROR(VLOOKUP(INDEX(ExpParty,$L575),AcctTbl,4,0),INDEX(ExpParty,$L575))))</f>
        <v/>
      </c>
      <c r="F575" s="17">
        <f>IF($L575="","",IF(INDEX(ExpType,$L575)="","—",INDEX(ExpType,$L575)))</f>
        <v/>
      </c>
      <c r="G575" s="19">
        <f>IF($L575="","",IF(INDEX(ExpDep,$L575)=0,"",INDEX(ExpDep,$L575)))</f>
        <v/>
      </c>
      <c r="H575" s="19">
        <f>IF($L575="","",IF(INDEX(ExpWit,$L575)=0,"",INDEX(ExpWit,$L575)))</f>
        <v/>
      </c>
      <c r="I575" s="20">
        <f>IF($B575="","",IF($I574="",0,$I574)+IF($H575="",0,$H575)-IF($G575="",0,$G575))</f>
        <v/>
      </c>
      <c r="J575" s="18">
        <f>IF($L575="","",IF(INDEX(ExpNote,$L575)="","—",INDEX(ExpNote,$L575)))</f>
        <v/>
      </c>
      <c r="L575">
        <f>IFERROR(MATCH($C$5&amp;"|"&amp;RIGHT("000000"&amp;559,6),ExpRankKey,0),"")</f>
        <v/>
      </c>
    </row>
    <row r="576">
      <c r="A576" s="21" t="n">
        <v>560</v>
      </c>
      <c r="B576" s="22">
        <f>IF($L576="","",INDEX(ExpNorm,$L576))</f>
        <v/>
      </c>
      <c r="C576" s="22">
        <f>IF($L576="","",IF(INDEX(ExpTime,$L576)="","—",LEFT(INDEX(ExpTime,$L576),2)&amp;":"&amp;RIGHT(INDEX(ExpTime,$L576),2)))</f>
        <v/>
      </c>
      <c r="D576" s="22">
        <f>IF($L576="","",IF(INDEX(ExpBank,$L576)="","—",INDEX(ExpBank,$L576)))</f>
        <v/>
      </c>
      <c r="E576" s="23">
        <f>IF($L576="","",IF(INDEX(ExpParty,$L576)="","—",IFERROR(VLOOKUP(INDEX(ExpParty,$L576),AcctTbl,4,0),INDEX(ExpParty,$L576))))</f>
        <v/>
      </c>
      <c r="F576" s="22">
        <f>IF($L576="","",IF(INDEX(ExpType,$L576)="","—",INDEX(ExpType,$L576)))</f>
        <v/>
      </c>
      <c r="G576" s="24">
        <f>IF($L576="","",IF(INDEX(ExpDep,$L576)=0,"",INDEX(ExpDep,$L576)))</f>
        <v/>
      </c>
      <c r="H576" s="24">
        <f>IF($L576="","",IF(INDEX(ExpWit,$L576)=0,"",INDEX(ExpWit,$L576)))</f>
        <v/>
      </c>
      <c r="I576" s="25">
        <f>IF($B576="","",IF($I575="",0,$I575)+IF($H576="",0,$H576)-IF($G576="",0,$G576))</f>
        <v/>
      </c>
      <c r="J576" s="23">
        <f>IF($L576="","",IF(INDEX(ExpNote,$L576)="","—",INDEX(ExpNote,$L576)))</f>
        <v/>
      </c>
      <c r="L576">
        <f>IFERROR(MATCH($C$5&amp;"|"&amp;RIGHT("000000"&amp;560,6),ExpRankKey,0),"")</f>
        <v/>
      </c>
    </row>
    <row r="577">
      <c r="A577" s="16" t="n">
        <v>561</v>
      </c>
      <c r="B577" s="17">
        <f>IF($L577="","",INDEX(ExpNorm,$L577))</f>
        <v/>
      </c>
      <c r="C577" s="17">
        <f>IF($L577="","",IF(INDEX(ExpTime,$L577)="","—",LEFT(INDEX(ExpTime,$L577),2)&amp;":"&amp;RIGHT(INDEX(ExpTime,$L577),2)))</f>
        <v/>
      </c>
      <c r="D577" s="17">
        <f>IF($L577="","",IF(INDEX(ExpBank,$L577)="","—",INDEX(ExpBank,$L577)))</f>
        <v/>
      </c>
      <c r="E577" s="18">
        <f>IF($L577="","",IF(INDEX(ExpParty,$L577)="","—",IFERROR(VLOOKUP(INDEX(ExpParty,$L577),AcctTbl,4,0),INDEX(ExpParty,$L577))))</f>
        <v/>
      </c>
      <c r="F577" s="17">
        <f>IF($L577="","",IF(INDEX(ExpType,$L577)="","—",INDEX(ExpType,$L577)))</f>
        <v/>
      </c>
      <c r="G577" s="19">
        <f>IF($L577="","",IF(INDEX(ExpDep,$L577)=0,"",INDEX(ExpDep,$L577)))</f>
        <v/>
      </c>
      <c r="H577" s="19">
        <f>IF($L577="","",IF(INDEX(ExpWit,$L577)=0,"",INDEX(ExpWit,$L577)))</f>
        <v/>
      </c>
      <c r="I577" s="20">
        <f>IF($B577="","",IF($I576="",0,$I576)+IF($H577="",0,$H577)-IF($G577="",0,$G577))</f>
        <v/>
      </c>
      <c r="J577" s="18">
        <f>IF($L577="","",IF(INDEX(ExpNote,$L577)="","—",INDEX(ExpNote,$L577)))</f>
        <v/>
      </c>
      <c r="L577">
        <f>IFERROR(MATCH($C$5&amp;"|"&amp;RIGHT("000000"&amp;561,6),ExpRankKey,0),"")</f>
        <v/>
      </c>
    </row>
    <row r="578">
      <c r="A578" s="21" t="n">
        <v>562</v>
      </c>
      <c r="B578" s="22">
        <f>IF($L578="","",INDEX(ExpNorm,$L578))</f>
        <v/>
      </c>
      <c r="C578" s="22">
        <f>IF($L578="","",IF(INDEX(ExpTime,$L578)="","—",LEFT(INDEX(ExpTime,$L578),2)&amp;":"&amp;RIGHT(INDEX(ExpTime,$L578),2)))</f>
        <v/>
      </c>
      <c r="D578" s="22">
        <f>IF($L578="","",IF(INDEX(ExpBank,$L578)="","—",INDEX(ExpBank,$L578)))</f>
        <v/>
      </c>
      <c r="E578" s="23">
        <f>IF($L578="","",IF(INDEX(ExpParty,$L578)="","—",IFERROR(VLOOKUP(INDEX(ExpParty,$L578),AcctTbl,4,0),INDEX(ExpParty,$L578))))</f>
        <v/>
      </c>
      <c r="F578" s="22">
        <f>IF($L578="","",IF(INDEX(ExpType,$L578)="","—",INDEX(ExpType,$L578)))</f>
        <v/>
      </c>
      <c r="G578" s="24">
        <f>IF($L578="","",IF(INDEX(ExpDep,$L578)=0,"",INDEX(ExpDep,$L578)))</f>
        <v/>
      </c>
      <c r="H578" s="24">
        <f>IF($L578="","",IF(INDEX(ExpWit,$L578)=0,"",INDEX(ExpWit,$L578)))</f>
        <v/>
      </c>
      <c r="I578" s="25">
        <f>IF($B578="","",IF($I577="",0,$I577)+IF($H578="",0,$H578)-IF($G578="",0,$G578))</f>
        <v/>
      </c>
      <c r="J578" s="23">
        <f>IF($L578="","",IF(INDEX(ExpNote,$L578)="","—",INDEX(ExpNote,$L578)))</f>
        <v/>
      </c>
      <c r="L578">
        <f>IFERROR(MATCH($C$5&amp;"|"&amp;RIGHT("000000"&amp;562,6),ExpRankKey,0),"")</f>
        <v/>
      </c>
    </row>
    <row r="579">
      <c r="A579" s="16" t="n">
        <v>563</v>
      </c>
      <c r="B579" s="17">
        <f>IF($L579="","",INDEX(ExpNorm,$L579))</f>
        <v/>
      </c>
      <c r="C579" s="17">
        <f>IF($L579="","",IF(INDEX(ExpTime,$L579)="","—",LEFT(INDEX(ExpTime,$L579),2)&amp;":"&amp;RIGHT(INDEX(ExpTime,$L579),2)))</f>
        <v/>
      </c>
      <c r="D579" s="17">
        <f>IF($L579="","",IF(INDEX(ExpBank,$L579)="","—",INDEX(ExpBank,$L579)))</f>
        <v/>
      </c>
      <c r="E579" s="18">
        <f>IF($L579="","",IF(INDEX(ExpParty,$L579)="","—",IFERROR(VLOOKUP(INDEX(ExpParty,$L579),AcctTbl,4,0),INDEX(ExpParty,$L579))))</f>
        <v/>
      </c>
      <c r="F579" s="17">
        <f>IF($L579="","",IF(INDEX(ExpType,$L579)="","—",INDEX(ExpType,$L579)))</f>
        <v/>
      </c>
      <c r="G579" s="19">
        <f>IF($L579="","",IF(INDEX(ExpDep,$L579)=0,"",INDEX(ExpDep,$L579)))</f>
        <v/>
      </c>
      <c r="H579" s="19">
        <f>IF($L579="","",IF(INDEX(ExpWit,$L579)=0,"",INDEX(ExpWit,$L579)))</f>
        <v/>
      </c>
      <c r="I579" s="20">
        <f>IF($B579="","",IF($I578="",0,$I578)+IF($H579="",0,$H579)-IF($G579="",0,$G579))</f>
        <v/>
      </c>
      <c r="J579" s="18">
        <f>IF($L579="","",IF(INDEX(ExpNote,$L579)="","—",INDEX(ExpNote,$L579)))</f>
        <v/>
      </c>
      <c r="L579">
        <f>IFERROR(MATCH($C$5&amp;"|"&amp;RIGHT("000000"&amp;563,6),ExpRankKey,0),"")</f>
        <v/>
      </c>
    </row>
    <row r="580">
      <c r="A580" s="21" t="n">
        <v>564</v>
      </c>
      <c r="B580" s="22">
        <f>IF($L580="","",INDEX(ExpNorm,$L580))</f>
        <v/>
      </c>
      <c r="C580" s="22">
        <f>IF($L580="","",IF(INDEX(ExpTime,$L580)="","—",LEFT(INDEX(ExpTime,$L580),2)&amp;":"&amp;RIGHT(INDEX(ExpTime,$L580),2)))</f>
        <v/>
      </c>
      <c r="D580" s="22">
        <f>IF($L580="","",IF(INDEX(ExpBank,$L580)="","—",INDEX(ExpBank,$L580)))</f>
        <v/>
      </c>
      <c r="E580" s="23">
        <f>IF($L580="","",IF(INDEX(ExpParty,$L580)="","—",IFERROR(VLOOKUP(INDEX(ExpParty,$L580),AcctTbl,4,0),INDEX(ExpParty,$L580))))</f>
        <v/>
      </c>
      <c r="F580" s="22">
        <f>IF($L580="","",IF(INDEX(ExpType,$L580)="","—",INDEX(ExpType,$L580)))</f>
        <v/>
      </c>
      <c r="G580" s="24">
        <f>IF($L580="","",IF(INDEX(ExpDep,$L580)=0,"",INDEX(ExpDep,$L580)))</f>
        <v/>
      </c>
      <c r="H580" s="24">
        <f>IF($L580="","",IF(INDEX(ExpWit,$L580)=0,"",INDEX(ExpWit,$L580)))</f>
        <v/>
      </c>
      <c r="I580" s="25">
        <f>IF($B580="","",IF($I579="",0,$I579)+IF($H580="",0,$H580)-IF($G580="",0,$G580))</f>
        <v/>
      </c>
      <c r="J580" s="23">
        <f>IF($L580="","",IF(INDEX(ExpNote,$L580)="","—",INDEX(ExpNote,$L580)))</f>
        <v/>
      </c>
      <c r="L580">
        <f>IFERROR(MATCH($C$5&amp;"|"&amp;RIGHT("000000"&amp;564,6),ExpRankKey,0),"")</f>
        <v/>
      </c>
    </row>
    <row r="581">
      <c r="A581" s="16" t="n">
        <v>565</v>
      </c>
      <c r="B581" s="17">
        <f>IF($L581="","",INDEX(ExpNorm,$L581))</f>
        <v/>
      </c>
      <c r="C581" s="17">
        <f>IF($L581="","",IF(INDEX(ExpTime,$L581)="","—",LEFT(INDEX(ExpTime,$L581),2)&amp;":"&amp;RIGHT(INDEX(ExpTime,$L581),2)))</f>
        <v/>
      </c>
      <c r="D581" s="17">
        <f>IF($L581="","",IF(INDEX(ExpBank,$L581)="","—",INDEX(ExpBank,$L581)))</f>
        <v/>
      </c>
      <c r="E581" s="18">
        <f>IF($L581="","",IF(INDEX(ExpParty,$L581)="","—",IFERROR(VLOOKUP(INDEX(ExpParty,$L581),AcctTbl,4,0),INDEX(ExpParty,$L581))))</f>
        <v/>
      </c>
      <c r="F581" s="17">
        <f>IF($L581="","",IF(INDEX(ExpType,$L581)="","—",INDEX(ExpType,$L581)))</f>
        <v/>
      </c>
      <c r="G581" s="19">
        <f>IF($L581="","",IF(INDEX(ExpDep,$L581)=0,"",INDEX(ExpDep,$L581)))</f>
        <v/>
      </c>
      <c r="H581" s="19">
        <f>IF($L581="","",IF(INDEX(ExpWit,$L581)=0,"",INDEX(ExpWit,$L581)))</f>
        <v/>
      </c>
      <c r="I581" s="20">
        <f>IF($B581="","",IF($I580="",0,$I580)+IF($H581="",0,$H581)-IF($G581="",0,$G581))</f>
        <v/>
      </c>
      <c r="J581" s="18">
        <f>IF($L581="","",IF(INDEX(ExpNote,$L581)="","—",INDEX(ExpNote,$L581)))</f>
        <v/>
      </c>
      <c r="L581">
        <f>IFERROR(MATCH($C$5&amp;"|"&amp;RIGHT("000000"&amp;565,6),ExpRankKey,0),"")</f>
        <v/>
      </c>
    </row>
    <row r="582">
      <c r="A582" s="21" t="n">
        <v>566</v>
      </c>
      <c r="B582" s="22">
        <f>IF($L582="","",INDEX(ExpNorm,$L582))</f>
        <v/>
      </c>
      <c r="C582" s="22">
        <f>IF($L582="","",IF(INDEX(ExpTime,$L582)="","—",LEFT(INDEX(ExpTime,$L582),2)&amp;":"&amp;RIGHT(INDEX(ExpTime,$L582),2)))</f>
        <v/>
      </c>
      <c r="D582" s="22">
        <f>IF($L582="","",IF(INDEX(ExpBank,$L582)="","—",INDEX(ExpBank,$L582)))</f>
        <v/>
      </c>
      <c r="E582" s="23">
        <f>IF($L582="","",IF(INDEX(ExpParty,$L582)="","—",IFERROR(VLOOKUP(INDEX(ExpParty,$L582),AcctTbl,4,0),INDEX(ExpParty,$L582))))</f>
        <v/>
      </c>
      <c r="F582" s="22">
        <f>IF($L582="","",IF(INDEX(ExpType,$L582)="","—",INDEX(ExpType,$L582)))</f>
        <v/>
      </c>
      <c r="G582" s="24">
        <f>IF($L582="","",IF(INDEX(ExpDep,$L582)=0,"",INDEX(ExpDep,$L582)))</f>
        <v/>
      </c>
      <c r="H582" s="24">
        <f>IF($L582="","",IF(INDEX(ExpWit,$L582)=0,"",INDEX(ExpWit,$L582)))</f>
        <v/>
      </c>
      <c r="I582" s="25">
        <f>IF($B582="","",IF($I581="",0,$I581)+IF($H582="",0,$H582)-IF($G582="",0,$G582))</f>
        <v/>
      </c>
      <c r="J582" s="23">
        <f>IF($L582="","",IF(INDEX(ExpNote,$L582)="","—",INDEX(ExpNote,$L582)))</f>
        <v/>
      </c>
      <c r="L582">
        <f>IFERROR(MATCH($C$5&amp;"|"&amp;RIGHT("000000"&amp;566,6),ExpRankKey,0),"")</f>
        <v/>
      </c>
    </row>
    <row r="583">
      <c r="A583" s="16" t="n">
        <v>567</v>
      </c>
      <c r="B583" s="17">
        <f>IF($L583="","",INDEX(ExpNorm,$L583))</f>
        <v/>
      </c>
      <c r="C583" s="17">
        <f>IF($L583="","",IF(INDEX(ExpTime,$L583)="","—",LEFT(INDEX(ExpTime,$L583),2)&amp;":"&amp;RIGHT(INDEX(ExpTime,$L583),2)))</f>
        <v/>
      </c>
      <c r="D583" s="17">
        <f>IF($L583="","",IF(INDEX(ExpBank,$L583)="","—",INDEX(ExpBank,$L583)))</f>
        <v/>
      </c>
      <c r="E583" s="18">
        <f>IF($L583="","",IF(INDEX(ExpParty,$L583)="","—",IFERROR(VLOOKUP(INDEX(ExpParty,$L583),AcctTbl,4,0),INDEX(ExpParty,$L583))))</f>
        <v/>
      </c>
      <c r="F583" s="17">
        <f>IF($L583="","",IF(INDEX(ExpType,$L583)="","—",INDEX(ExpType,$L583)))</f>
        <v/>
      </c>
      <c r="G583" s="19">
        <f>IF($L583="","",IF(INDEX(ExpDep,$L583)=0,"",INDEX(ExpDep,$L583)))</f>
        <v/>
      </c>
      <c r="H583" s="19">
        <f>IF($L583="","",IF(INDEX(ExpWit,$L583)=0,"",INDEX(ExpWit,$L583)))</f>
        <v/>
      </c>
      <c r="I583" s="20">
        <f>IF($B583="","",IF($I582="",0,$I582)+IF($H583="",0,$H583)-IF($G583="",0,$G583))</f>
        <v/>
      </c>
      <c r="J583" s="18">
        <f>IF($L583="","",IF(INDEX(ExpNote,$L583)="","—",INDEX(ExpNote,$L583)))</f>
        <v/>
      </c>
      <c r="L583">
        <f>IFERROR(MATCH($C$5&amp;"|"&amp;RIGHT("000000"&amp;567,6),ExpRankKey,0),"")</f>
        <v/>
      </c>
    </row>
    <row r="584">
      <c r="A584" s="21" t="n">
        <v>568</v>
      </c>
      <c r="B584" s="22">
        <f>IF($L584="","",INDEX(ExpNorm,$L584))</f>
        <v/>
      </c>
      <c r="C584" s="22">
        <f>IF($L584="","",IF(INDEX(ExpTime,$L584)="","—",LEFT(INDEX(ExpTime,$L584),2)&amp;":"&amp;RIGHT(INDEX(ExpTime,$L584),2)))</f>
        <v/>
      </c>
      <c r="D584" s="22">
        <f>IF($L584="","",IF(INDEX(ExpBank,$L584)="","—",INDEX(ExpBank,$L584)))</f>
        <v/>
      </c>
      <c r="E584" s="23">
        <f>IF($L584="","",IF(INDEX(ExpParty,$L584)="","—",IFERROR(VLOOKUP(INDEX(ExpParty,$L584),AcctTbl,4,0),INDEX(ExpParty,$L584))))</f>
        <v/>
      </c>
      <c r="F584" s="22">
        <f>IF($L584="","",IF(INDEX(ExpType,$L584)="","—",INDEX(ExpType,$L584)))</f>
        <v/>
      </c>
      <c r="G584" s="24">
        <f>IF($L584="","",IF(INDEX(ExpDep,$L584)=0,"",INDEX(ExpDep,$L584)))</f>
        <v/>
      </c>
      <c r="H584" s="24">
        <f>IF($L584="","",IF(INDEX(ExpWit,$L584)=0,"",INDEX(ExpWit,$L584)))</f>
        <v/>
      </c>
      <c r="I584" s="25">
        <f>IF($B584="","",IF($I583="",0,$I583)+IF($H584="",0,$H584)-IF($G584="",0,$G584))</f>
        <v/>
      </c>
      <c r="J584" s="23">
        <f>IF($L584="","",IF(INDEX(ExpNote,$L584)="","—",INDEX(ExpNote,$L584)))</f>
        <v/>
      </c>
      <c r="L584">
        <f>IFERROR(MATCH($C$5&amp;"|"&amp;RIGHT("000000"&amp;568,6),ExpRankKey,0),"")</f>
        <v/>
      </c>
    </row>
    <row r="585">
      <c r="A585" s="16" t="n">
        <v>569</v>
      </c>
      <c r="B585" s="17">
        <f>IF($L585="","",INDEX(ExpNorm,$L585))</f>
        <v/>
      </c>
      <c r="C585" s="17">
        <f>IF($L585="","",IF(INDEX(ExpTime,$L585)="","—",LEFT(INDEX(ExpTime,$L585),2)&amp;":"&amp;RIGHT(INDEX(ExpTime,$L585),2)))</f>
        <v/>
      </c>
      <c r="D585" s="17">
        <f>IF($L585="","",IF(INDEX(ExpBank,$L585)="","—",INDEX(ExpBank,$L585)))</f>
        <v/>
      </c>
      <c r="E585" s="18">
        <f>IF($L585="","",IF(INDEX(ExpParty,$L585)="","—",IFERROR(VLOOKUP(INDEX(ExpParty,$L585),AcctTbl,4,0),INDEX(ExpParty,$L585))))</f>
        <v/>
      </c>
      <c r="F585" s="17">
        <f>IF($L585="","",IF(INDEX(ExpType,$L585)="","—",INDEX(ExpType,$L585)))</f>
        <v/>
      </c>
      <c r="G585" s="19">
        <f>IF($L585="","",IF(INDEX(ExpDep,$L585)=0,"",INDEX(ExpDep,$L585)))</f>
        <v/>
      </c>
      <c r="H585" s="19">
        <f>IF($L585="","",IF(INDEX(ExpWit,$L585)=0,"",INDEX(ExpWit,$L585)))</f>
        <v/>
      </c>
      <c r="I585" s="20">
        <f>IF($B585="","",IF($I584="",0,$I584)+IF($H585="",0,$H585)-IF($G585="",0,$G585))</f>
        <v/>
      </c>
      <c r="J585" s="18">
        <f>IF($L585="","",IF(INDEX(ExpNote,$L585)="","—",INDEX(ExpNote,$L585)))</f>
        <v/>
      </c>
      <c r="L585">
        <f>IFERROR(MATCH($C$5&amp;"|"&amp;RIGHT("000000"&amp;569,6),ExpRankKey,0),"")</f>
        <v/>
      </c>
    </row>
    <row r="586">
      <c r="A586" s="21" t="n">
        <v>570</v>
      </c>
      <c r="B586" s="22">
        <f>IF($L586="","",INDEX(ExpNorm,$L586))</f>
        <v/>
      </c>
      <c r="C586" s="22">
        <f>IF($L586="","",IF(INDEX(ExpTime,$L586)="","—",LEFT(INDEX(ExpTime,$L586),2)&amp;":"&amp;RIGHT(INDEX(ExpTime,$L586),2)))</f>
        <v/>
      </c>
      <c r="D586" s="22">
        <f>IF($L586="","",IF(INDEX(ExpBank,$L586)="","—",INDEX(ExpBank,$L586)))</f>
        <v/>
      </c>
      <c r="E586" s="23">
        <f>IF($L586="","",IF(INDEX(ExpParty,$L586)="","—",IFERROR(VLOOKUP(INDEX(ExpParty,$L586),AcctTbl,4,0),INDEX(ExpParty,$L586))))</f>
        <v/>
      </c>
      <c r="F586" s="22">
        <f>IF($L586="","",IF(INDEX(ExpType,$L586)="","—",INDEX(ExpType,$L586)))</f>
        <v/>
      </c>
      <c r="G586" s="24">
        <f>IF($L586="","",IF(INDEX(ExpDep,$L586)=0,"",INDEX(ExpDep,$L586)))</f>
        <v/>
      </c>
      <c r="H586" s="24">
        <f>IF($L586="","",IF(INDEX(ExpWit,$L586)=0,"",INDEX(ExpWit,$L586)))</f>
        <v/>
      </c>
      <c r="I586" s="25">
        <f>IF($B586="","",IF($I585="",0,$I585)+IF($H586="",0,$H586)-IF($G586="",0,$G586))</f>
        <v/>
      </c>
      <c r="J586" s="23">
        <f>IF($L586="","",IF(INDEX(ExpNote,$L586)="","—",INDEX(ExpNote,$L586)))</f>
        <v/>
      </c>
      <c r="L586">
        <f>IFERROR(MATCH($C$5&amp;"|"&amp;RIGHT("000000"&amp;570,6),ExpRankKey,0),"")</f>
        <v/>
      </c>
    </row>
    <row r="587">
      <c r="A587" s="16" t="n">
        <v>571</v>
      </c>
      <c r="B587" s="17">
        <f>IF($L587="","",INDEX(ExpNorm,$L587))</f>
        <v/>
      </c>
      <c r="C587" s="17">
        <f>IF($L587="","",IF(INDEX(ExpTime,$L587)="","—",LEFT(INDEX(ExpTime,$L587),2)&amp;":"&amp;RIGHT(INDEX(ExpTime,$L587),2)))</f>
        <v/>
      </c>
      <c r="D587" s="17">
        <f>IF($L587="","",IF(INDEX(ExpBank,$L587)="","—",INDEX(ExpBank,$L587)))</f>
        <v/>
      </c>
      <c r="E587" s="18">
        <f>IF($L587="","",IF(INDEX(ExpParty,$L587)="","—",IFERROR(VLOOKUP(INDEX(ExpParty,$L587),AcctTbl,4,0),INDEX(ExpParty,$L587))))</f>
        <v/>
      </c>
      <c r="F587" s="17">
        <f>IF($L587="","",IF(INDEX(ExpType,$L587)="","—",INDEX(ExpType,$L587)))</f>
        <v/>
      </c>
      <c r="G587" s="19">
        <f>IF($L587="","",IF(INDEX(ExpDep,$L587)=0,"",INDEX(ExpDep,$L587)))</f>
        <v/>
      </c>
      <c r="H587" s="19">
        <f>IF($L587="","",IF(INDEX(ExpWit,$L587)=0,"",INDEX(ExpWit,$L587)))</f>
        <v/>
      </c>
      <c r="I587" s="20">
        <f>IF($B587="","",IF($I586="",0,$I586)+IF($H587="",0,$H587)-IF($G587="",0,$G587))</f>
        <v/>
      </c>
      <c r="J587" s="18">
        <f>IF($L587="","",IF(INDEX(ExpNote,$L587)="","—",INDEX(ExpNote,$L587)))</f>
        <v/>
      </c>
      <c r="L587">
        <f>IFERROR(MATCH($C$5&amp;"|"&amp;RIGHT("000000"&amp;571,6),ExpRankKey,0),"")</f>
        <v/>
      </c>
    </row>
    <row r="588">
      <c r="A588" s="21" t="n">
        <v>572</v>
      </c>
      <c r="B588" s="22">
        <f>IF($L588="","",INDEX(ExpNorm,$L588))</f>
        <v/>
      </c>
      <c r="C588" s="22">
        <f>IF($L588="","",IF(INDEX(ExpTime,$L588)="","—",LEFT(INDEX(ExpTime,$L588),2)&amp;":"&amp;RIGHT(INDEX(ExpTime,$L588),2)))</f>
        <v/>
      </c>
      <c r="D588" s="22">
        <f>IF($L588="","",IF(INDEX(ExpBank,$L588)="","—",INDEX(ExpBank,$L588)))</f>
        <v/>
      </c>
      <c r="E588" s="23">
        <f>IF($L588="","",IF(INDEX(ExpParty,$L588)="","—",IFERROR(VLOOKUP(INDEX(ExpParty,$L588),AcctTbl,4,0),INDEX(ExpParty,$L588))))</f>
        <v/>
      </c>
      <c r="F588" s="22">
        <f>IF($L588="","",IF(INDEX(ExpType,$L588)="","—",INDEX(ExpType,$L588)))</f>
        <v/>
      </c>
      <c r="G588" s="24">
        <f>IF($L588="","",IF(INDEX(ExpDep,$L588)=0,"",INDEX(ExpDep,$L588)))</f>
        <v/>
      </c>
      <c r="H588" s="24">
        <f>IF($L588="","",IF(INDEX(ExpWit,$L588)=0,"",INDEX(ExpWit,$L588)))</f>
        <v/>
      </c>
      <c r="I588" s="25">
        <f>IF($B588="","",IF($I587="",0,$I587)+IF($H588="",0,$H588)-IF($G588="",0,$G588))</f>
        <v/>
      </c>
      <c r="J588" s="23">
        <f>IF($L588="","",IF(INDEX(ExpNote,$L588)="","—",INDEX(ExpNote,$L588)))</f>
        <v/>
      </c>
      <c r="L588">
        <f>IFERROR(MATCH($C$5&amp;"|"&amp;RIGHT("000000"&amp;572,6),ExpRankKey,0),"")</f>
        <v/>
      </c>
    </row>
    <row r="589">
      <c r="A589" s="16" t="n">
        <v>573</v>
      </c>
      <c r="B589" s="17">
        <f>IF($L589="","",INDEX(ExpNorm,$L589))</f>
        <v/>
      </c>
      <c r="C589" s="17">
        <f>IF($L589="","",IF(INDEX(ExpTime,$L589)="","—",LEFT(INDEX(ExpTime,$L589),2)&amp;":"&amp;RIGHT(INDEX(ExpTime,$L589),2)))</f>
        <v/>
      </c>
      <c r="D589" s="17">
        <f>IF($L589="","",IF(INDEX(ExpBank,$L589)="","—",INDEX(ExpBank,$L589)))</f>
        <v/>
      </c>
      <c r="E589" s="18">
        <f>IF($L589="","",IF(INDEX(ExpParty,$L589)="","—",IFERROR(VLOOKUP(INDEX(ExpParty,$L589),AcctTbl,4,0),INDEX(ExpParty,$L589))))</f>
        <v/>
      </c>
      <c r="F589" s="17">
        <f>IF($L589="","",IF(INDEX(ExpType,$L589)="","—",INDEX(ExpType,$L589)))</f>
        <v/>
      </c>
      <c r="G589" s="19">
        <f>IF($L589="","",IF(INDEX(ExpDep,$L589)=0,"",INDEX(ExpDep,$L589)))</f>
        <v/>
      </c>
      <c r="H589" s="19">
        <f>IF($L589="","",IF(INDEX(ExpWit,$L589)=0,"",INDEX(ExpWit,$L589)))</f>
        <v/>
      </c>
      <c r="I589" s="20">
        <f>IF($B589="","",IF($I588="",0,$I588)+IF($H589="",0,$H589)-IF($G589="",0,$G589))</f>
        <v/>
      </c>
      <c r="J589" s="18">
        <f>IF($L589="","",IF(INDEX(ExpNote,$L589)="","—",INDEX(ExpNote,$L589)))</f>
        <v/>
      </c>
      <c r="L589">
        <f>IFERROR(MATCH($C$5&amp;"|"&amp;RIGHT("000000"&amp;573,6),ExpRankKey,0),"")</f>
        <v/>
      </c>
    </row>
    <row r="590">
      <c r="A590" s="21" t="n">
        <v>574</v>
      </c>
      <c r="B590" s="22">
        <f>IF($L590="","",INDEX(ExpNorm,$L590))</f>
        <v/>
      </c>
      <c r="C590" s="22">
        <f>IF($L590="","",IF(INDEX(ExpTime,$L590)="","—",LEFT(INDEX(ExpTime,$L590),2)&amp;":"&amp;RIGHT(INDEX(ExpTime,$L590),2)))</f>
        <v/>
      </c>
      <c r="D590" s="22">
        <f>IF($L590="","",IF(INDEX(ExpBank,$L590)="","—",INDEX(ExpBank,$L590)))</f>
        <v/>
      </c>
      <c r="E590" s="23">
        <f>IF($L590="","",IF(INDEX(ExpParty,$L590)="","—",IFERROR(VLOOKUP(INDEX(ExpParty,$L590),AcctTbl,4,0),INDEX(ExpParty,$L590))))</f>
        <v/>
      </c>
      <c r="F590" s="22">
        <f>IF($L590="","",IF(INDEX(ExpType,$L590)="","—",INDEX(ExpType,$L590)))</f>
        <v/>
      </c>
      <c r="G590" s="24">
        <f>IF($L590="","",IF(INDEX(ExpDep,$L590)=0,"",INDEX(ExpDep,$L590)))</f>
        <v/>
      </c>
      <c r="H590" s="24">
        <f>IF($L590="","",IF(INDEX(ExpWit,$L590)=0,"",INDEX(ExpWit,$L590)))</f>
        <v/>
      </c>
      <c r="I590" s="25">
        <f>IF($B590="","",IF($I589="",0,$I589)+IF($H590="",0,$H590)-IF($G590="",0,$G590))</f>
        <v/>
      </c>
      <c r="J590" s="23">
        <f>IF($L590="","",IF(INDEX(ExpNote,$L590)="","—",INDEX(ExpNote,$L590)))</f>
        <v/>
      </c>
      <c r="L590">
        <f>IFERROR(MATCH($C$5&amp;"|"&amp;RIGHT("000000"&amp;574,6),ExpRankKey,0),"")</f>
        <v/>
      </c>
    </row>
    <row r="591">
      <c r="A591" s="16" t="n">
        <v>575</v>
      </c>
      <c r="B591" s="17">
        <f>IF($L591="","",INDEX(ExpNorm,$L591))</f>
        <v/>
      </c>
      <c r="C591" s="17">
        <f>IF($L591="","",IF(INDEX(ExpTime,$L591)="","—",LEFT(INDEX(ExpTime,$L591),2)&amp;":"&amp;RIGHT(INDEX(ExpTime,$L591),2)))</f>
        <v/>
      </c>
      <c r="D591" s="17">
        <f>IF($L591="","",IF(INDEX(ExpBank,$L591)="","—",INDEX(ExpBank,$L591)))</f>
        <v/>
      </c>
      <c r="E591" s="18">
        <f>IF($L591="","",IF(INDEX(ExpParty,$L591)="","—",IFERROR(VLOOKUP(INDEX(ExpParty,$L591),AcctTbl,4,0),INDEX(ExpParty,$L591))))</f>
        <v/>
      </c>
      <c r="F591" s="17">
        <f>IF($L591="","",IF(INDEX(ExpType,$L591)="","—",INDEX(ExpType,$L591)))</f>
        <v/>
      </c>
      <c r="G591" s="19">
        <f>IF($L591="","",IF(INDEX(ExpDep,$L591)=0,"",INDEX(ExpDep,$L591)))</f>
        <v/>
      </c>
      <c r="H591" s="19">
        <f>IF($L591="","",IF(INDEX(ExpWit,$L591)=0,"",INDEX(ExpWit,$L591)))</f>
        <v/>
      </c>
      <c r="I591" s="20">
        <f>IF($B591="","",IF($I590="",0,$I590)+IF($H591="",0,$H591)-IF($G591="",0,$G591))</f>
        <v/>
      </c>
      <c r="J591" s="18">
        <f>IF($L591="","",IF(INDEX(ExpNote,$L591)="","—",INDEX(ExpNote,$L591)))</f>
        <v/>
      </c>
      <c r="L591">
        <f>IFERROR(MATCH($C$5&amp;"|"&amp;RIGHT("000000"&amp;575,6),ExpRankKey,0),"")</f>
        <v/>
      </c>
    </row>
    <row r="592">
      <c r="A592" s="21" t="n">
        <v>576</v>
      </c>
      <c r="B592" s="22">
        <f>IF($L592="","",INDEX(ExpNorm,$L592))</f>
        <v/>
      </c>
      <c r="C592" s="22">
        <f>IF($L592="","",IF(INDEX(ExpTime,$L592)="","—",LEFT(INDEX(ExpTime,$L592),2)&amp;":"&amp;RIGHT(INDEX(ExpTime,$L592),2)))</f>
        <v/>
      </c>
      <c r="D592" s="22">
        <f>IF($L592="","",IF(INDEX(ExpBank,$L592)="","—",INDEX(ExpBank,$L592)))</f>
        <v/>
      </c>
      <c r="E592" s="23">
        <f>IF($L592="","",IF(INDEX(ExpParty,$L592)="","—",IFERROR(VLOOKUP(INDEX(ExpParty,$L592),AcctTbl,4,0),INDEX(ExpParty,$L592))))</f>
        <v/>
      </c>
      <c r="F592" s="22">
        <f>IF($L592="","",IF(INDEX(ExpType,$L592)="","—",INDEX(ExpType,$L592)))</f>
        <v/>
      </c>
      <c r="G592" s="24">
        <f>IF($L592="","",IF(INDEX(ExpDep,$L592)=0,"",INDEX(ExpDep,$L592)))</f>
        <v/>
      </c>
      <c r="H592" s="24">
        <f>IF($L592="","",IF(INDEX(ExpWit,$L592)=0,"",INDEX(ExpWit,$L592)))</f>
        <v/>
      </c>
      <c r="I592" s="25">
        <f>IF($B592="","",IF($I591="",0,$I591)+IF($H592="",0,$H592)-IF($G592="",0,$G592))</f>
        <v/>
      </c>
      <c r="J592" s="23">
        <f>IF($L592="","",IF(INDEX(ExpNote,$L592)="","—",INDEX(ExpNote,$L592)))</f>
        <v/>
      </c>
      <c r="L592">
        <f>IFERROR(MATCH($C$5&amp;"|"&amp;RIGHT("000000"&amp;576,6),ExpRankKey,0),"")</f>
        <v/>
      </c>
    </row>
    <row r="593">
      <c r="A593" s="16" t="n">
        <v>577</v>
      </c>
      <c r="B593" s="17">
        <f>IF($L593="","",INDEX(ExpNorm,$L593))</f>
        <v/>
      </c>
      <c r="C593" s="17">
        <f>IF($L593="","",IF(INDEX(ExpTime,$L593)="","—",LEFT(INDEX(ExpTime,$L593),2)&amp;":"&amp;RIGHT(INDEX(ExpTime,$L593),2)))</f>
        <v/>
      </c>
      <c r="D593" s="17">
        <f>IF($L593="","",IF(INDEX(ExpBank,$L593)="","—",INDEX(ExpBank,$L593)))</f>
        <v/>
      </c>
      <c r="E593" s="18">
        <f>IF($L593="","",IF(INDEX(ExpParty,$L593)="","—",IFERROR(VLOOKUP(INDEX(ExpParty,$L593),AcctTbl,4,0),INDEX(ExpParty,$L593))))</f>
        <v/>
      </c>
      <c r="F593" s="17">
        <f>IF($L593="","",IF(INDEX(ExpType,$L593)="","—",INDEX(ExpType,$L593)))</f>
        <v/>
      </c>
      <c r="G593" s="19">
        <f>IF($L593="","",IF(INDEX(ExpDep,$L593)=0,"",INDEX(ExpDep,$L593)))</f>
        <v/>
      </c>
      <c r="H593" s="19">
        <f>IF($L593="","",IF(INDEX(ExpWit,$L593)=0,"",INDEX(ExpWit,$L593)))</f>
        <v/>
      </c>
      <c r="I593" s="20">
        <f>IF($B593="","",IF($I592="",0,$I592)+IF($H593="",0,$H593)-IF($G593="",0,$G593))</f>
        <v/>
      </c>
      <c r="J593" s="18">
        <f>IF($L593="","",IF(INDEX(ExpNote,$L593)="","—",INDEX(ExpNote,$L593)))</f>
        <v/>
      </c>
      <c r="L593">
        <f>IFERROR(MATCH($C$5&amp;"|"&amp;RIGHT("000000"&amp;577,6),ExpRankKey,0),"")</f>
        <v/>
      </c>
    </row>
    <row r="594">
      <c r="A594" s="21" t="n">
        <v>578</v>
      </c>
      <c r="B594" s="22">
        <f>IF($L594="","",INDEX(ExpNorm,$L594))</f>
        <v/>
      </c>
      <c r="C594" s="22">
        <f>IF($L594="","",IF(INDEX(ExpTime,$L594)="","—",LEFT(INDEX(ExpTime,$L594),2)&amp;":"&amp;RIGHT(INDEX(ExpTime,$L594),2)))</f>
        <v/>
      </c>
      <c r="D594" s="22">
        <f>IF($L594="","",IF(INDEX(ExpBank,$L594)="","—",INDEX(ExpBank,$L594)))</f>
        <v/>
      </c>
      <c r="E594" s="23">
        <f>IF($L594="","",IF(INDEX(ExpParty,$L594)="","—",IFERROR(VLOOKUP(INDEX(ExpParty,$L594),AcctTbl,4,0),INDEX(ExpParty,$L594))))</f>
        <v/>
      </c>
      <c r="F594" s="22">
        <f>IF($L594="","",IF(INDEX(ExpType,$L594)="","—",INDEX(ExpType,$L594)))</f>
        <v/>
      </c>
      <c r="G594" s="24">
        <f>IF($L594="","",IF(INDEX(ExpDep,$L594)=0,"",INDEX(ExpDep,$L594)))</f>
        <v/>
      </c>
      <c r="H594" s="24">
        <f>IF($L594="","",IF(INDEX(ExpWit,$L594)=0,"",INDEX(ExpWit,$L594)))</f>
        <v/>
      </c>
      <c r="I594" s="25">
        <f>IF($B594="","",IF($I593="",0,$I593)+IF($H594="",0,$H594)-IF($G594="",0,$G594))</f>
        <v/>
      </c>
      <c r="J594" s="23">
        <f>IF($L594="","",IF(INDEX(ExpNote,$L594)="","—",INDEX(ExpNote,$L594)))</f>
        <v/>
      </c>
      <c r="L594">
        <f>IFERROR(MATCH($C$5&amp;"|"&amp;RIGHT("000000"&amp;578,6),ExpRankKey,0),"")</f>
        <v/>
      </c>
    </row>
    <row r="595">
      <c r="A595" s="16" t="n">
        <v>579</v>
      </c>
      <c r="B595" s="17">
        <f>IF($L595="","",INDEX(ExpNorm,$L595))</f>
        <v/>
      </c>
      <c r="C595" s="17">
        <f>IF($L595="","",IF(INDEX(ExpTime,$L595)="","—",LEFT(INDEX(ExpTime,$L595),2)&amp;":"&amp;RIGHT(INDEX(ExpTime,$L595),2)))</f>
        <v/>
      </c>
      <c r="D595" s="17">
        <f>IF($L595="","",IF(INDEX(ExpBank,$L595)="","—",INDEX(ExpBank,$L595)))</f>
        <v/>
      </c>
      <c r="E595" s="18">
        <f>IF($L595="","",IF(INDEX(ExpParty,$L595)="","—",IFERROR(VLOOKUP(INDEX(ExpParty,$L595),AcctTbl,4,0),INDEX(ExpParty,$L595))))</f>
        <v/>
      </c>
      <c r="F595" s="17">
        <f>IF($L595="","",IF(INDEX(ExpType,$L595)="","—",INDEX(ExpType,$L595)))</f>
        <v/>
      </c>
      <c r="G595" s="19">
        <f>IF($L595="","",IF(INDEX(ExpDep,$L595)=0,"",INDEX(ExpDep,$L595)))</f>
        <v/>
      </c>
      <c r="H595" s="19">
        <f>IF($L595="","",IF(INDEX(ExpWit,$L595)=0,"",INDEX(ExpWit,$L595)))</f>
        <v/>
      </c>
      <c r="I595" s="20">
        <f>IF($B595="","",IF($I594="",0,$I594)+IF($H595="",0,$H595)-IF($G595="",0,$G595))</f>
        <v/>
      </c>
      <c r="J595" s="18">
        <f>IF($L595="","",IF(INDEX(ExpNote,$L595)="","—",INDEX(ExpNote,$L595)))</f>
        <v/>
      </c>
      <c r="L595">
        <f>IFERROR(MATCH($C$5&amp;"|"&amp;RIGHT("000000"&amp;579,6),ExpRankKey,0),"")</f>
        <v/>
      </c>
    </row>
    <row r="596">
      <c r="A596" s="21" t="n">
        <v>580</v>
      </c>
      <c r="B596" s="22">
        <f>IF($L596="","",INDEX(ExpNorm,$L596))</f>
        <v/>
      </c>
      <c r="C596" s="22">
        <f>IF($L596="","",IF(INDEX(ExpTime,$L596)="","—",LEFT(INDEX(ExpTime,$L596),2)&amp;":"&amp;RIGHT(INDEX(ExpTime,$L596),2)))</f>
        <v/>
      </c>
      <c r="D596" s="22">
        <f>IF($L596="","",IF(INDEX(ExpBank,$L596)="","—",INDEX(ExpBank,$L596)))</f>
        <v/>
      </c>
      <c r="E596" s="23">
        <f>IF($L596="","",IF(INDEX(ExpParty,$L596)="","—",IFERROR(VLOOKUP(INDEX(ExpParty,$L596),AcctTbl,4,0),INDEX(ExpParty,$L596))))</f>
        <v/>
      </c>
      <c r="F596" s="22">
        <f>IF($L596="","",IF(INDEX(ExpType,$L596)="","—",INDEX(ExpType,$L596)))</f>
        <v/>
      </c>
      <c r="G596" s="24">
        <f>IF($L596="","",IF(INDEX(ExpDep,$L596)=0,"",INDEX(ExpDep,$L596)))</f>
        <v/>
      </c>
      <c r="H596" s="24">
        <f>IF($L596="","",IF(INDEX(ExpWit,$L596)=0,"",INDEX(ExpWit,$L596)))</f>
        <v/>
      </c>
      <c r="I596" s="25">
        <f>IF($B596="","",IF($I595="",0,$I595)+IF($H596="",0,$H596)-IF($G596="",0,$G596))</f>
        <v/>
      </c>
      <c r="J596" s="23">
        <f>IF($L596="","",IF(INDEX(ExpNote,$L596)="","—",INDEX(ExpNote,$L596)))</f>
        <v/>
      </c>
      <c r="L596">
        <f>IFERROR(MATCH($C$5&amp;"|"&amp;RIGHT("000000"&amp;580,6),ExpRankKey,0),"")</f>
        <v/>
      </c>
    </row>
    <row r="597">
      <c r="A597" s="16" t="n">
        <v>581</v>
      </c>
      <c r="B597" s="17">
        <f>IF($L597="","",INDEX(ExpNorm,$L597))</f>
        <v/>
      </c>
      <c r="C597" s="17">
        <f>IF($L597="","",IF(INDEX(ExpTime,$L597)="","—",LEFT(INDEX(ExpTime,$L597),2)&amp;":"&amp;RIGHT(INDEX(ExpTime,$L597),2)))</f>
        <v/>
      </c>
      <c r="D597" s="17">
        <f>IF($L597="","",IF(INDEX(ExpBank,$L597)="","—",INDEX(ExpBank,$L597)))</f>
        <v/>
      </c>
      <c r="E597" s="18">
        <f>IF($L597="","",IF(INDEX(ExpParty,$L597)="","—",IFERROR(VLOOKUP(INDEX(ExpParty,$L597),AcctTbl,4,0),INDEX(ExpParty,$L597))))</f>
        <v/>
      </c>
      <c r="F597" s="17">
        <f>IF($L597="","",IF(INDEX(ExpType,$L597)="","—",INDEX(ExpType,$L597)))</f>
        <v/>
      </c>
      <c r="G597" s="19">
        <f>IF($L597="","",IF(INDEX(ExpDep,$L597)=0,"",INDEX(ExpDep,$L597)))</f>
        <v/>
      </c>
      <c r="H597" s="19">
        <f>IF($L597="","",IF(INDEX(ExpWit,$L597)=0,"",INDEX(ExpWit,$L597)))</f>
        <v/>
      </c>
      <c r="I597" s="20">
        <f>IF($B597="","",IF($I596="",0,$I596)+IF($H597="",0,$H597)-IF($G597="",0,$G597))</f>
        <v/>
      </c>
      <c r="J597" s="18">
        <f>IF($L597="","",IF(INDEX(ExpNote,$L597)="","—",INDEX(ExpNote,$L597)))</f>
        <v/>
      </c>
      <c r="L597">
        <f>IFERROR(MATCH($C$5&amp;"|"&amp;RIGHT("000000"&amp;581,6),ExpRankKey,0),"")</f>
        <v/>
      </c>
    </row>
    <row r="598">
      <c r="A598" s="21" t="n">
        <v>582</v>
      </c>
      <c r="B598" s="22">
        <f>IF($L598="","",INDEX(ExpNorm,$L598))</f>
        <v/>
      </c>
      <c r="C598" s="22">
        <f>IF($L598="","",IF(INDEX(ExpTime,$L598)="","—",LEFT(INDEX(ExpTime,$L598),2)&amp;":"&amp;RIGHT(INDEX(ExpTime,$L598),2)))</f>
        <v/>
      </c>
      <c r="D598" s="22">
        <f>IF($L598="","",IF(INDEX(ExpBank,$L598)="","—",INDEX(ExpBank,$L598)))</f>
        <v/>
      </c>
      <c r="E598" s="23">
        <f>IF($L598="","",IF(INDEX(ExpParty,$L598)="","—",IFERROR(VLOOKUP(INDEX(ExpParty,$L598),AcctTbl,4,0),INDEX(ExpParty,$L598))))</f>
        <v/>
      </c>
      <c r="F598" s="22">
        <f>IF($L598="","",IF(INDEX(ExpType,$L598)="","—",INDEX(ExpType,$L598)))</f>
        <v/>
      </c>
      <c r="G598" s="24">
        <f>IF($L598="","",IF(INDEX(ExpDep,$L598)=0,"",INDEX(ExpDep,$L598)))</f>
        <v/>
      </c>
      <c r="H598" s="24">
        <f>IF($L598="","",IF(INDEX(ExpWit,$L598)=0,"",INDEX(ExpWit,$L598)))</f>
        <v/>
      </c>
      <c r="I598" s="25">
        <f>IF($B598="","",IF($I597="",0,$I597)+IF($H598="",0,$H598)-IF($G598="",0,$G598))</f>
        <v/>
      </c>
      <c r="J598" s="23">
        <f>IF($L598="","",IF(INDEX(ExpNote,$L598)="","—",INDEX(ExpNote,$L598)))</f>
        <v/>
      </c>
      <c r="L598">
        <f>IFERROR(MATCH($C$5&amp;"|"&amp;RIGHT("000000"&amp;582,6),ExpRankKey,0),"")</f>
        <v/>
      </c>
    </row>
    <row r="599">
      <c r="A599" s="16" t="n">
        <v>583</v>
      </c>
      <c r="B599" s="17">
        <f>IF($L599="","",INDEX(ExpNorm,$L599))</f>
        <v/>
      </c>
      <c r="C599" s="17">
        <f>IF($L599="","",IF(INDEX(ExpTime,$L599)="","—",LEFT(INDEX(ExpTime,$L599),2)&amp;":"&amp;RIGHT(INDEX(ExpTime,$L599),2)))</f>
        <v/>
      </c>
      <c r="D599" s="17">
        <f>IF($L599="","",IF(INDEX(ExpBank,$L599)="","—",INDEX(ExpBank,$L599)))</f>
        <v/>
      </c>
      <c r="E599" s="18">
        <f>IF($L599="","",IF(INDEX(ExpParty,$L599)="","—",IFERROR(VLOOKUP(INDEX(ExpParty,$L599),AcctTbl,4,0),INDEX(ExpParty,$L599))))</f>
        <v/>
      </c>
      <c r="F599" s="17">
        <f>IF($L599="","",IF(INDEX(ExpType,$L599)="","—",INDEX(ExpType,$L599)))</f>
        <v/>
      </c>
      <c r="G599" s="19">
        <f>IF($L599="","",IF(INDEX(ExpDep,$L599)=0,"",INDEX(ExpDep,$L599)))</f>
        <v/>
      </c>
      <c r="H599" s="19">
        <f>IF($L599="","",IF(INDEX(ExpWit,$L599)=0,"",INDEX(ExpWit,$L599)))</f>
        <v/>
      </c>
      <c r="I599" s="20">
        <f>IF($B599="","",IF($I598="",0,$I598)+IF($H599="",0,$H599)-IF($G599="",0,$G599))</f>
        <v/>
      </c>
      <c r="J599" s="18">
        <f>IF($L599="","",IF(INDEX(ExpNote,$L599)="","—",INDEX(ExpNote,$L599)))</f>
        <v/>
      </c>
      <c r="L599">
        <f>IFERROR(MATCH($C$5&amp;"|"&amp;RIGHT("000000"&amp;583,6),ExpRankKey,0),"")</f>
        <v/>
      </c>
    </row>
    <row r="600">
      <c r="A600" s="21" t="n">
        <v>584</v>
      </c>
      <c r="B600" s="22">
        <f>IF($L600="","",INDEX(ExpNorm,$L600))</f>
        <v/>
      </c>
      <c r="C600" s="22">
        <f>IF($L600="","",IF(INDEX(ExpTime,$L600)="","—",LEFT(INDEX(ExpTime,$L600),2)&amp;":"&amp;RIGHT(INDEX(ExpTime,$L600),2)))</f>
        <v/>
      </c>
      <c r="D600" s="22">
        <f>IF($L600="","",IF(INDEX(ExpBank,$L600)="","—",INDEX(ExpBank,$L600)))</f>
        <v/>
      </c>
      <c r="E600" s="23">
        <f>IF($L600="","",IF(INDEX(ExpParty,$L600)="","—",IFERROR(VLOOKUP(INDEX(ExpParty,$L600),AcctTbl,4,0),INDEX(ExpParty,$L600))))</f>
        <v/>
      </c>
      <c r="F600" s="22">
        <f>IF($L600="","",IF(INDEX(ExpType,$L600)="","—",INDEX(ExpType,$L600)))</f>
        <v/>
      </c>
      <c r="G600" s="24">
        <f>IF($L600="","",IF(INDEX(ExpDep,$L600)=0,"",INDEX(ExpDep,$L600)))</f>
        <v/>
      </c>
      <c r="H600" s="24">
        <f>IF($L600="","",IF(INDEX(ExpWit,$L600)=0,"",INDEX(ExpWit,$L600)))</f>
        <v/>
      </c>
      <c r="I600" s="25">
        <f>IF($B600="","",IF($I599="",0,$I599)+IF($H600="",0,$H600)-IF($G600="",0,$G600))</f>
        <v/>
      </c>
      <c r="J600" s="23">
        <f>IF($L600="","",IF(INDEX(ExpNote,$L600)="","—",INDEX(ExpNote,$L600)))</f>
        <v/>
      </c>
      <c r="L600">
        <f>IFERROR(MATCH($C$5&amp;"|"&amp;RIGHT("000000"&amp;584,6),ExpRankKey,0),"")</f>
        <v/>
      </c>
    </row>
    <row r="601">
      <c r="A601" s="16" t="n">
        <v>585</v>
      </c>
      <c r="B601" s="17">
        <f>IF($L601="","",INDEX(ExpNorm,$L601))</f>
        <v/>
      </c>
      <c r="C601" s="17">
        <f>IF($L601="","",IF(INDEX(ExpTime,$L601)="","—",LEFT(INDEX(ExpTime,$L601),2)&amp;":"&amp;RIGHT(INDEX(ExpTime,$L601),2)))</f>
        <v/>
      </c>
      <c r="D601" s="17">
        <f>IF($L601="","",IF(INDEX(ExpBank,$L601)="","—",INDEX(ExpBank,$L601)))</f>
        <v/>
      </c>
      <c r="E601" s="18">
        <f>IF($L601="","",IF(INDEX(ExpParty,$L601)="","—",IFERROR(VLOOKUP(INDEX(ExpParty,$L601),AcctTbl,4,0),INDEX(ExpParty,$L601))))</f>
        <v/>
      </c>
      <c r="F601" s="17">
        <f>IF($L601="","",IF(INDEX(ExpType,$L601)="","—",INDEX(ExpType,$L601)))</f>
        <v/>
      </c>
      <c r="G601" s="19">
        <f>IF($L601="","",IF(INDEX(ExpDep,$L601)=0,"",INDEX(ExpDep,$L601)))</f>
        <v/>
      </c>
      <c r="H601" s="19">
        <f>IF($L601="","",IF(INDEX(ExpWit,$L601)=0,"",INDEX(ExpWit,$L601)))</f>
        <v/>
      </c>
      <c r="I601" s="20">
        <f>IF($B601="","",IF($I600="",0,$I600)+IF($H601="",0,$H601)-IF($G601="",0,$G601))</f>
        <v/>
      </c>
      <c r="J601" s="18">
        <f>IF($L601="","",IF(INDEX(ExpNote,$L601)="","—",INDEX(ExpNote,$L601)))</f>
        <v/>
      </c>
      <c r="L601">
        <f>IFERROR(MATCH($C$5&amp;"|"&amp;RIGHT("000000"&amp;585,6),ExpRankKey,0),"")</f>
        <v/>
      </c>
    </row>
    <row r="602">
      <c r="A602" s="21" t="n">
        <v>586</v>
      </c>
      <c r="B602" s="22">
        <f>IF($L602="","",INDEX(ExpNorm,$L602))</f>
        <v/>
      </c>
      <c r="C602" s="22">
        <f>IF($L602="","",IF(INDEX(ExpTime,$L602)="","—",LEFT(INDEX(ExpTime,$L602),2)&amp;":"&amp;RIGHT(INDEX(ExpTime,$L602),2)))</f>
        <v/>
      </c>
      <c r="D602" s="22">
        <f>IF($L602="","",IF(INDEX(ExpBank,$L602)="","—",INDEX(ExpBank,$L602)))</f>
        <v/>
      </c>
      <c r="E602" s="23">
        <f>IF($L602="","",IF(INDEX(ExpParty,$L602)="","—",IFERROR(VLOOKUP(INDEX(ExpParty,$L602),AcctTbl,4,0),INDEX(ExpParty,$L602))))</f>
        <v/>
      </c>
      <c r="F602" s="22">
        <f>IF($L602="","",IF(INDEX(ExpType,$L602)="","—",INDEX(ExpType,$L602)))</f>
        <v/>
      </c>
      <c r="G602" s="24">
        <f>IF($L602="","",IF(INDEX(ExpDep,$L602)=0,"",INDEX(ExpDep,$L602)))</f>
        <v/>
      </c>
      <c r="H602" s="24">
        <f>IF($L602="","",IF(INDEX(ExpWit,$L602)=0,"",INDEX(ExpWit,$L602)))</f>
        <v/>
      </c>
      <c r="I602" s="25">
        <f>IF($B602="","",IF($I601="",0,$I601)+IF($H602="",0,$H602)-IF($G602="",0,$G602))</f>
        <v/>
      </c>
      <c r="J602" s="23">
        <f>IF($L602="","",IF(INDEX(ExpNote,$L602)="","—",INDEX(ExpNote,$L602)))</f>
        <v/>
      </c>
      <c r="L602">
        <f>IFERROR(MATCH($C$5&amp;"|"&amp;RIGHT("000000"&amp;586,6),ExpRankKey,0),"")</f>
        <v/>
      </c>
    </row>
    <row r="603">
      <c r="A603" s="16" t="n">
        <v>587</v>
      </c>
      <c r="B603" s="17">
        <f>IF($L603="","",INDEX(ExpNorm,$L603))</f>
        <v/>
      </c>
      <c r="C603" s="17">
        <f>IF($L603="","",IF(INDEX(ExpTime,$L603)="","—",LEFT(INDEX(ExpTime,$L603),2)&amp;":"&amp;RIGHT(INDEX(ExpTime,$L603),2)))</f>
        <v/>
      </c>
      <c r="D603" s="17">
        <f>IF($L603="","",IF(INDEX(ExpBank,$L603)="","—",INDEX(ExpBank,$L603)))</f>
        <v/>
      </c>
      <c r="E603" s="18">
        <f>IF($L603="","",IF(INDEX(ExpParty,$L603)="","—",IFERROR(VLOOKUP(INDEX(ExpParty,$L603),AcctTbl,4,0),INDEX(ExpParty,$L603))))</f>
        <v/>
      </c>
      <c r="F603" s="17">
        <f>IF($L603="","",IF(INDEX(ExpType,$L603)="","—",INDEX(ExpType,$L603)))</f>
        <v/>
      </c>
      <c r="G603" s="19">
        <f>IF($L603="","",IF(INDEX(ExpDep,$L603)=0,"",INDEX(ExpDep,$L603)))</f>
        <v/>
      </c>
      <c r="H603" s="19">
        <f>IF($L603="","",IF(INDEX(ExpWit,$L603)=0,"",INDEX(ExpWit,$L603)))</f>
        <v/>
      </c>
      <c r="I603" s="20">
        <f>IF($B603="","",IF($I602="",0,$I602)+IF($H603="",0,$H603)-IF($G603="",0,$G603))</f>
        <v/>
      </c>
      <c r="J603" s="18">
        <f>IF($L603="","",IF(INDEX(ExpNote,$L603)="","—",INDEX(ExpNote,$L603)))</f>
        <v/>
      </c>
      <c r="L603">
        <f>IFERROR(MATCH($C$5&amp;"|"&amp;RIGHT("000000"&amp;587,6),ExpRankKey,0),"")</f>
        <v/>
      </c>
    </row>
    <row r="604">
      <c r="A604" s="21" t="n">
        <v>588</v>
      </c>
      <c r="B604" s="22">
        <f>IF($L604="","",INDEX(ExpNorm,$L604))</f>
        <v/>
      </c>
      <c r="C604" s="22">
        <f>IF($L604="","",IF(INDEX(ExpTime,$L604)="","—",LEFT(INDEX(ExpTime,$L604),2)&amp;":"&amp;RIGHT(INDEX(ExpTime,$L604),2)))</f>
        <v/>
      </c>
      <c r="D604" s="22">
        <f>IF($L604="","",IF(INDEX(ExpBank,$L604)="","—",INDEX(ExpBank,$L604)))</f>
        <v/>
      </c>
      <c r="E604" s="23">
        <f>IF($L604="","",IF(INDEX(ExpParty,$L604)="","—",IFERROR(VLOOKUP(INDEX(ExpParty,$L604),AcctTbl,4,0),INDEX(ExpParty,$L604))))</f>
        <v/>
      </c>
      <c r="F604" s="22">
        <f>IF($L604="","",IF(INDEX(ExpType,$L604)="","—",INDEX(ExpType,$L604)))</f>
        <v/>
      </c>
      <c r="G604" s="24">
        <f>IF($L604="","",IF(INDEX(ExpDep,$L604)=0,"",INDEX(ExpDep,$L604)))</f>
        <v/>
      </c>
      <c r="H604" s="24">
        <f>IF($L604="","",IF(INDEX(ExpWit,$L604)=0,"",INDEX(ExpWit,$L604)))</f>
        <v/>
      </c>
      <c r="I604" s="25">
        <f>IF($B604="","",IF($I603="",0,$I603)+IF($H604="",0,$H604)-IF($G604="",0,$G604))</f>
        <v/>
      </c>
      <c r="J604" s="23">
        <f>IF($L604="","",IF(INDEX(ExpNote,$L604)="","—",INDEX(ExpNote,$L604)))</f>
        <v/>
      </c>
      <c r="L604">
        <f>IFERROR(MATCH($C$5&amp;"|"&amp;RIGHT("000000"&amp;588,6),ExpRankKey,0),"")</f>
        <v/>
      </c>
    </row>
    <row r="605">
      <c r="A605" s="16" t="n">
        <v>589</v>
      </c>
      <c r="B605" s="17">
        <f>IF($L605="","",INDEX(ExpNorm,$L605))</f>
        <v/>
      </c>
      <c r="C605" s="17">
        <f>IF($L605="","",IF(INDEX(ExpTime,$L605)="","—",LEFT(INDEX(ExpTime,$L605),2)&amp;":"&amp;RIGHT(INDEX(ExpTime,$L605),2)))</f>
        <v/>
      </c>
      <c r="D605" s="17">
        <f>IF($L605="","",IF(INDEX(ExpBank,$L605)="","—",INDEX(ExpBank,$L605)))</f>
        <v/>
      </c>
      <c r="E605" s="18">
        <f>IF($L605="","",IF(INDEX(ExpParty,$L605)="","—",IFERROR(VLOOKUP(INDEX(ExpParty,$L605),AcctTbl,4,0),INDEX(ExpParty,$L605))))</f>
        <v/>
      </c>
      <c r="F605" s="17">
        <f>IF($L605="","",IF(INDEX(ExpType,$L605)="","—",INDEX(ExpType,$L605)))</f>
        <v/>
      </c>
      <c r="G605" s="19">
        <f>IF($L605="","",IF(INDEX(ExpDep,$L605)=0,"",INDEX(ExpDep,$L605)))</f>
        <v/>
      </c>
      <c r="H605" s="19">
        <f>IF($L605="","",IF(INDEX(ExpWit,$L605)=0,"",INDEX(ExpWit,$L605)))</f>
        <v/>
      </c>
      <c r="I605" s="20">
        <f>IF($B605="","",IF($I604="",0,$I604)+IF($H605="",0,$H605)-IF($G605="",0,$G605))</f>
        <v/>
      </c>
      <c r="J605" s="18">
        <f>IF($L605="","",IF(INDEX(ExpNote,$L605)="","—",INDEX(ExpNote,$L605)))</f>
        <v/>
      </c>
      <c r="L605">
        <f>IFERROR(MATCH($C$5&amp;"|"&amp;RIGHT("000000"&amp;589,6),ExpRankKey,0),"")</f>
        <v/>
      </c>
    </row>
    <row r="606">
      <c r="A606" s="21" t="n">
        <v>590</v>
      </c>
      <c r="B606" s="22">
        <f>IF($L606="","",INDEX(ExpNorm,$L606))</f>
        <v/>
      </c>
      <c r="C606" s="22">
        <f>IF($L606="","",IF(INDEX(ExpTime,$L606)="","—",LEFT(INDEX(ExpTime,$L606),2)&amp;":"&amp;RIGHT(INDEX(ExpTime,$L606),2)))</f>
        <v/>
      </c>
      <c r="D606" s="22">
        <f>IF($L606="","",IF(INDEX(ExpBank,$L606)="","—",INDEX(ExpBank,$L606)))</f>
        <v/>
      </c>
      <c r="E606" s="23">
        <f>IF($L606="","",IF(INDEX(ExpParty,$L606)="","—",IFERROR(VLOOKUP(INDEX(ExpParty,$L606),AcctTbl,4,0),INDEX(ExpParty,$L606))))</f>
        <v/>
      </c>
      <c r="F606" s="22">
        <f>IF($L606="","",IF(INDEX(ExpType,$L606)="","—",INDEX(ExpType,$L606)))</f>
        <v/>
      </c>
      <c r="G606" s="24">
        <f>IF($L606="","",IF(INDEX(ExpDep,$L606)=0,"",INDEX(ExpDep,$L606)))</f>
        <v/>
      </c>
      <c r="H606" s="24">
        <f>IF($L606="","",IF(INDEX(ExpWit,$L606)=0,"",INDEX(ExpWit,$L606)))</f>
        <v/>
      </c>
      <c r="I606" s="25">
        <f>IF($B606="","",IF($I605="",0,$I605)+IF($H606="",0,$H606)-IF($G606="",0,$G606))</f>
        <v/>
      </c>
      <c r="J606" s="23">
        <f>IF($L606="","",IF(INDEX(ExpNote,$L606)="","—",INDEX(ExpNote,$L606)))</f>
        <v/>
      </c>
      <c r="L606">
        <f>IFERROR(MATCH($C$5&amp;"|"&amp;RIGHT("000000"&amp;590,6),ExpRankKey,0),"")</f>
        <v/>
      </c>
    </row>
    <row r="607">
      <c r="A607" s="16" t="n">
        <v>591</v>
      </c>
      <c r="B607" s="17">
        <f>IF($L607="","",INDEX(ExpNorm,$L607))</f>
        <v/>
      </c>
      <c r="C607" s="17">
        <f>IF($L607="","",IF(INDEX(ExpTime,$L607)="","—",LEFT(INDEX(ExpTime,$L607),2)&amp;":"&amp;RIGHT(INDEX(ExpTime,$L607),2)))</f>
        <v/>
      </c>
      <c r="D607" s="17">
        <f>IF($L607="","",IF(INDEX(ExpBank,$L607)="","—",INDEX(ExpBank,$L607)))</f>
        <v/>
      </c>
      <c r="E607" s="18">
        <f>IF($L607="","",IF(INDEX(ExpParty,$L607)="","—",IFERROR(VLOOKUP(INDEX(ExpParty,$L607),AcctTbl,4,0),INDEX(ExpParty,$L607))))</f>
        <v/>
      </c>
      <c r="F607" s="17">
        <f>IF($L607="","",IF(INDEX(ExpType,$L607)="","—",INDEX(ExpType,$L607)))</f>
        <v/>
      </c>
      <c r="G607" s="19">
        <f>IF($L607="","",IF(INDEX(ExpDep,$L607)=0,"",INDEX(ExpDep,$L607)))</f>
        <v/>
      </c>
      <c r="H607" s="19">
        <f>IF($L607="","",IF(INDEX(ExpWit,$L607)=0,"",INDEX(ExpWit,$L607)))</f>
        <v/>
      </c>
      <c r="I607" s="20">
        <f>IF($B607="","",IF($I606="",0,$I606)+IF($H607="",0,$H607)-IF($G607="",0,$G607))</f>
        <v/>
      </c>
      <c r="J607" s="18">
        <f>IF($L607="","",IF(INDEX(ExpNote,$L607)="","—",INDEX(ExpNote,$L607)))</f>
        <v/>
      </c>
      <c r="L607">
        <f>IFERROR(MATCH($C$5&amp;"|"&amp;RIGHT("000000"&amp;591,6),ExpRankKey,0),"")</f>
        <v/>
      </c>
    </row>
    <row r="608">
      <c r="A608" s="21" t="n">
        <v>592</v>
      </c>
      <c r="B608" s="22">
        <f>IF($L608="","",INDEX(ExpNorm,$L608))</f>
        <v/>
      </c>
      <c r="C608" s="22">
        <f>IF($L608="","",IF(INDEX(ExpTime,$L608)="","—",LEFT(INDEX(ExpTime,$L608),2)&amp;":"&amp;RIGHT(INDEX(ExpTime,$L608),2)))</f>
        <v/>
      </c>
      <c r="D608" s="22">
        <f>IF($L608="","",IF(INDEX(ExpBank,$L608)="","—",INDEX(ExpBank,$L608)))</f>
        <v/>
      </c>
      <c r="E608" s="23">
        <f>IF($L608="","",IF(INDEX(ExpParty,$L608)="","—",IFERROR(VLOOKUP(INDEX(ExpParty,$L608),AcctTbl,4,0),INDEX(ExpParty,$L608))))</f>
        <v/>
      </c>
      <c r="F608" s="22">
        <f>IF($L608="","",IF(INDEX(ExpType,$L608)="","—",INDEX(ExpType,$L608)))</f>
        <v/>
      </c>
      <c r="G608" s="24">
        <f>IF($L608="","",IF(INDEX(ExpDep,$L608)=0,"",INDEX(ExpDep,$L608)))</f>
        <v/>
      </c>
      <c r="H608" s="24">
        <f>IF($L608="","",IF(INDEX(ExpWit,$L608)=0,"",INDEX(ExpWit,$L608)))</f>
        <v/>
      </c>
      <c r="I608" s="25">
        <f>IF($B608="","",IF($I607="",0,$I607)+IF($H608="",0,$H608)-IF($G608="",0,$G608))</f>
        <v/>
      </c>
      <c r="J608" s="23">
        <f>IF($L608="","",IF(INDEX(ExpNote,$L608)="","—",INDEX(ExpNote,$L608)))</f>
        <v/>
      </c>
      <c r="L608">
        <f>IFERROR(MATCH($C$5&amp;"|"&amp;RIGHT("000000"&amp;592,6),ExpRankKey,0),"")</f>
        <v/>
      </c>
    </row>
    <row r="609">
      <c r="A609" s="16" t="n">
        <v>593</v>
      </c>
      <c r="B609" s="17">
        <f>IF($L609="","",INDEX(ExpNorm,$L609))</f>
        <v/>
      </c>
      <c r="C609" s="17">
        <f>IF($L609="","",IF(INDEX(ExpTime,$L609)="","—",LEFT(INDEX(ExpTime,$L609),2)&amp;":"&amp;RIGHT(INDEX(ExpTime,$L609),2)))</f>
        <v/>
      </c>
      <c r="D609" s="17">
        <f>IF($L609="","",IF(INDEX(ExpBank,$L609)="","—",INDEX(ExpBank,$L609)))</f>
        <v/>
      </c>
      <c r="E609" s="18">
        <f>IF($L609="","",IF(INDEX(ExpParty,$L609)="","—",IFERROR(VLOOKUP(INDEX(ExpParty,$L609),AcctTbl,4,0),INDEX(ExpParty,$L609))))</f>
        <v/>
      </c>
      <c r="F609" s="17">
        <f>IF($L609="","",IF(INDEX(ExpType,$L609)="","—",INDEX(ExpType,$L609)))</f>
        <v/>
      </c>
      <c r="G609" s="19">
        <f>IF($L609="","",IF(INDEX(ExpDep,$L609)=0,"",INDEX(ExpDep,$L609)))</f>
        <v/>
      </c>
      <c r="H609" s="19">
        <f>IF($L609="","",IF(INDEX(ExpWit,$L609)=0,"",INDEX(ExpWit,$L609)))</f>
        <v/>
      </c>
      <c r="I609" s="20">
        <f>IF($B609="","",IF($I608="",0,$I608)+IF($H609="",0,$H609)-IF($G609="",0,$G609))</f>
        <v/>
      </c>
      <c r="J609" s="18">
        <f>IF($L609="","",IF(INDEX(ExpNote,$L609)="","—",INDEX(ExpNote,$L609)))</f>
        <v/>
      </c>
      <c r="L609">
        <f>IFERROR(MATCH($C$5&amp;"|"&amp;RIGHT("000000"&amp;593,6),ExpRankKey,0),"")</f>
        <v/>
      </c>
    </row>
    <row r="610">
      <c r="A610" s="21" t="n">
        <v>594</v>
      </c>
      <c r="B610" s="22">
        <f>IF($L610="","",INDEX(ExpNorm,$L610))</f>
        <v/>
      </c>
      <c r="C610" s="22">
        <f>IF($L610="","",IF(INDEX(ExpTime,$L610)="","—",LEFT(INDEX(ExpTime,$L610),2)&amp;":"&amp;RIGHT(INDEX(ExpTime,$L610),2)))</f>
        <v/>
      </c>
      <c r="D610" s="22">
        <f>IF($L610="","",IF(INDEX(ExpBank,$L610)="","—",INDEX(ExpBank,$L610)))</f>
        <v/>
      </c>
      <c r="E610" s="23">
        <f>IF($L610="","",IF(INDEX(ExpParty,$L610)="","—",IFERROR(VLOOKUP(INDEX(ExpParty,$L610),AcctTbl,4,0),INDEX(ExpParty,$L610))))</f>
        <v/>
      </c>
      <c r="F610" s="22">
        <f>IF($L610="","",IF(INDEX(ExpType,$L610)="","—",INDEX(ExpType,$L610)))</f>
        <v/>
      </c>
      <c r="G610" s="24">
        <f>IF($L610="","",IF(INDEX(ExpDep,$L610)=0,"",INDEX(ExpDep,$L610)))</f>
        <v/>
      </c>
      <c r="H610" s="24">
        <f>IF($L610="","",IF(INDEX(ExpWit,$L610)=0,"",INDEX(ExpWit,$L610)))</f>
        <v/>
      </c>
      <c r="I610" s="25">
        <f>IF($B610="","",IF($I609="",0,$I609)+IF($H610="",0,$H610)-IF($G610="",0,$G610))</f>
        <v/>
      </c>
      <c r="J610" s="23">
        <f>IF($L610="","",IF(INDEX(ExpNote,$L610)="","—",INDEX(ExpNote,$L610)))</f>
        <v/>
      </c>
      <c r="L610">
        <f>IFERROR(MATCH($C$5&amp;"|"&amp;RIGHT("000000"&amp;594,6),ExpRankKey,0),"")</f>
        <v/>
      </c>
    </row>
    <row r="611">
      <c r="A611" s="16" t="n">
        <v>595</v>
      </c>
      <c r="B611" s="17">
        <f>IF($L611="","",INDEX(ExpNorm,$L611))</f>
        <v/>
      </c>
      <c r="C611" s="17">
        <f>IF($L611="","",IF(INDEX(ExpTime,$L611)="","—",LEFT(INDEX(ExpTime,$L611),2)&amp;":"&amp;RIGHT(INDEX(ExpTime,$L611),2)))</f>
        <v/>
      </c>
      <c r="D611" s="17">
        <f>IF($L611="","",IF(INDEX(ExpBank,$L611)="","—",INDEX(ExpBank,$L611)))</f>
        <v/>
      </c>
      <c r="E611" s="18">
        <f>IF($L611="","",IF(INDEX(ExpParty,$L611)="","—",IFERROR(VLOOKUP(INDEX(ExpParty,$L611),AcctTbl,4,0),INDEX(ExpParty,$L611))))</f>
        <v/>
      </c>
      <c r="F611" s="17">
        <f>IF($L611="","",IF(INDEX(ExpType,$L611)="","—",INDEX(ExpType,$L611)))</f>
        <v/>
      </c>
      <c r="G611" s="19">
        <f>IF($L611="","",IF(INDEX(ExpDep,$L611)=0,"",INDEX(ExpDep,$L611)))</f>
        <v/>
      </c>
      <c r="H611" s="19">
        <f>IF($L611="","",IF(INDEX(ExpWit,$L611)=0,"",INDEX(ExpWit,$L611)))</f>
        <v/>
      </c>
      <c r="I611" s="20">
        <f>IF($B611="","",IF($I610="",0,$I610)+IF($H611="",0,$H611)-IF($G611="",0,$G611))</f>
        <v/>
      </c>
      <c r="J611" s="18">
        <f>IF($L611="","",IF(INDEX(ExpNote,$L611)="","—",INDEX(ExpNote,$L611)))</f>
        <v/>
      </c>
      <c r="L611">
        <f>IFERROR(MATCH($C$5&amp;"|"&amp;RIGHT("000000"&amp;595,6),ExpRankKey,0),"")</f>
        <v/>
      </c>
    </row>
    <row r="612">
      <c r="A612" s="21" t="n">
        <v>596</v>
      </c>
      <c r="B612" s="22">
        <f>IF($L612="","",INDEX(ExpNorm,$L612))</f>
        <v/>
      </c>
      <c r="C612" s="22">
        <f>IF($L612="","",IF(INDEX(ExpTime,$L612)="","—",LEFT(INDEX(ExpTime,$L612),2)&amp;":"&amp;RIGHT(INDEX(ExpTime,$L612),2)))</f>
        <v/>
      </c>
      <c r="D612" s="22">
        <f>IF($L612="","",IF(INDEX(ExpBank,$L612)="","—",INDEX(ExpBank,$L612)))</f>
        <v/>
      </c>
      <c r="E612" s="23">
        <f>IF($L612="","",IF(INDEX(ExpParty,$L612)="","—",IFERROR(VLOOKUP(INDEX(ExpParty,$L612),AcctTbl,4,0),INDEX(ExpParty,$L612))))</f>
        <v/>
      </c>
      <c r="F612" s="22">
        <f>IF($L612="","",IF(INDEX(ExpType,$L612)="","—",INDEX(ExpType,$L612)))</f>
        <v/>
      </c>
      <c r="G612" s="24">
        <f>IF($L612="","",IF(INDEX(ExpDep,$L612)=0,"",INDEX(ExpDep,$L612)))</f>
        <v/>
      </c>
      <c r="H612" s="24">
        <f>IF($L612="","",IF(INDEX(ExpWit,$L612)=0,"",INDEX(ExpWit,$L612)))</f>
        <v/>
      </c>
      <c r="I612" s="25">
        <f>IF($B612="","",IF($I611="",0,$I611)+IF($H612="",0,$H612)-IF($G612="",0,$G612))</f>
        <v/>
      </c>
      <c r="J612" s="23">
        <f>IF($L612="","",IF(INDEX(ExpNote,$L612)="","—",INDEX(ExpNote,$L612)))</f>
        <v/>
      </c>
      <c r="L612">
        <f>IFERROR(MATCH($C$5&amp;"|"&amp;RIGHT("000000"&amp;596,6),ExpRankKey,0),"")</f>
        <v/>
      </c>
    </row>
    <row r="613">
      <c r="A613" s="16" t="n">
        <v>597</v>
      </c>
      <c r="B613" s="17">
        <f>IF($L613="","",INDEX(ExpNorm,$L613))</f>
        <v/>
      </c>
      <c r="C613" s="17">
        <f>IF($L613="","",IF(INDEX(ExpTime,$L613)="","—",LEFT(INDEX(ExpTime,$L613),2)&amp;":"&amp;RIGHT(INDEX(ExpTime,$L613),2)))</f>
        <v/>
      </c>
      <c r="D613" s="17">
        <f>IF($L613="","",IF(INDEX(ExpBank,$L613)="","—",INDEX(ExpBank,$L613)))</f>
        <v/>
      </c>
      <c r="E613" s="18">
        <f>IF($L613="","",IF(INDEX(ExpParty,$L613)="","—",IFERROR(VLOOKUP(INDEX(ExpParty,$L613),AcctTbl,4,0),INDEX(ExpParty,$L613))))</f>
        <v/>
      </c>
      <c r="F613" s="17">
        <f>IF($L613="","",IF(INDEX(ExpType,$L613)="","—",INDEX(ExpType,$L613)))</f>
        <v/>
      </c>
      <c r="G613" s="19">
        <f>IF($L613="","",IF(INDEX(ExpDep,$L613)=0,"",INDEX(ExpDep,$L613)))</f>
        <v/>
      </c>
      <c r="H613" s="19">
        <f>IF($L613="","",IF(INDEX(ExpWit,$L613)=0,"",INDEX(ExpWit,$L613)))</f>
        <v/>
      </c>
      <c r="I613" s="20">
        <f>IF($B613="","",IF($I612="",0,$I612)+IF($H613="",0,$H613)-IF($G613="",0,$G613))</f>
        <v/>
      </c>
      <c r="J613" s="18">
        <f>IF($L613="","",IF(INDEX(ExpNote,$L613)="","—",INDEX(ExpNote,$L613)))</f>
        <v/>
      </c>
      <c r="L613">
        <f>IFERROR(MATCH($C$5&amp;"|"&amp;RIGHT("000000"&amp;597,6),ExpRankKey,0),"")</f>
        <v/>
      </c>
    </row>
    <row r="614">
      <c r="A614" s="21" t="n">
        <v>598</v>
      </c>
      <c r="B614" s="22">
        <f>IF($L614="","",INDEX(ExpNorm,$L614))</f>
        <v/>
      </c>
      <c r="C614" s="22">
        <f>IF($L614="","",IF(INDEX(ExpTime,$L614)="","—",LEFT(INDEX(ExpTime,$L614),2)&amp;":"&amp;RIGHT(INDEX(ExpTime,$L614),2)))</f>
        <v/>
      </c>
      <c r="D614" s="22">
        <f>IF($L614="","",IF(INDEX(ExpBank,$L614)="","—",INDEX(ExpBank,$L614)))</f>
        <v/>
      </c>
      <c r="E614" s="23">
        <f>IF($L614="","",IF(INDEX(ExpParty,$L614)="","—",IFERROR(VLOOKUP(INDEX(ExpParty,$L614),AcctTbl,4,0),INDEX(ExpParty,$L614))))</f>
        <v/>
      </c>
      <c r="F614" s="22">
        <f>IF($L614="","",IF(INDEX(ExpType,$L614)="","—",INDEX(ExpType,$L614)))</f>
        <v/>
      </c>
      <c r="G614" s="24">
        <f>IF($L614="","",IF(INDEX(ExpDep,$L614)=0,"",INDEX(ExpDep,$L614)))</f>
        <v/>
      </c>
      <c r="H614" s="24">
        <f>IF($L614="","",IF(INDEX(ExpWit,$L614)=0,"",INDEX(ExpWit,$L614)))</f>
        <v/>
      </c>
      <c r="I614" s="25">
        <f>IF($B614="","",IF($I613="",0,$I613)+IF($H614="",0,$H614)-IF($G614="",0,$G614))</f>
        <v/>
      </c>
      <c r="J614" s="23">
        <f>IF($L614="","",IF(INDEX(ExpNote,$L614)="","—",INDEX(ExpNote,$L614)))</f>
        <v/>
      </c>
      <c r="L614">
        <f>IFERROR(MATCH($C$5&amp;"|"&amp;RIGHT("000000"&amp;598,6),ExpRankKey,0),"")</f>
        <v/>
      </c>
    </row>
    <row r="615">
      <c r="A615" s="16" t="n">
        <v>599</v>
      </c>
      <c r="B615" s="17">
        <f>IF($L615="","",INDEX(ExpNorm,$L615))</f>
        <v/>
      </c>
      <c r="C615" s="17">
        <f>IF($L615="","",IF(INDEX(ExpTime,$L615)="","—",LEFT(INDEX(ExpTime,$L615),2)&amp;":"&amp;RIGHT(INDEX(ExpTime,$L615),2)))</f>
        <v/>
      </c>
      <c r="D615" s="17">
        <f>IF($L615="","",IF(INDEX(ExpBank,$L615)="","—",INDEX(ExpBank,$L615)))</f>
        <v/>
      </c>
      <c r="E615" s="18">
        <f>IF($L615="","",IF(INDEX(ExpParty,$L615)="","—",IFERROR(VLOOKUP(INDEX(ExpParty,$L615),AcctTbl,4,0),INDEX(ExpParty,$L615))))</f>
        <v/>
      </c>
      <c r="F615" s="17">
        <f>IF($L615="","",IF(INDEX(ExpType,$L615)="","—",INDEX(ExpType,$L615)))</f>
        <v/>
      </c>
      <c r="G615" s="19">
        <f>IF($L615="","",IF(INDEX(ExpDep,$L615)=0,"",INDEX(ExpDep,$L615)))</f>
        <v/>
      </c>
      <c r="H615" s="19">
        <f>IF($L615="","",IF(INDEX(ExpWit,$L615)=0,"",INDEX(ExpWit,$L615)))</f>
        <v/>
      </c>
      <c r="I615" s="20">
        <f>IF($B615="","",IF($I614="",0,$I614)+IF($H615="",0,$H615)-IF($G615="",0,$G615))</f>
        <v/>
      </c>
      <c r="J615" s="18">
        <f>IF($L615="","",IF(INDEX(ExpNote,$L615)="","—",INDEX(ExpNote,$L615)))</f>
        <v/>
      </c>
      <c r="L615">
        <f>IFERROR(MATCH($C$5&amp;"|"&amp;RIGHT("000000"&amp;599,6),ExpRankKey,0),"")</f>
        <v/>
      </c>
    </row>
    <row r="616">
      <c r="A616" s="21" t="n">
        <v>600</v>
      </c>
      <c r="B616" s="22">
        <f>IF($L616="","",INDEX(ExpNorm,$L616))</f>
        <v/>
      </c>
      <c r="C616" s="22">
        <f>IF($L616="","",IF(INDEX(ExpTime,$L616)="","—",LEFT(INDEX(ExpTime,$L616),2)&amp;":"&amp;RIGHT(INDEX(ExpTime,$L616),2)))</f>
        <v/>
      </c>
      <c r="D616" s="22">
        <f>IF($L616="","",IF(INDEX(ExpBank,$L616)="","—",INDEX(ExpBank,$L616)))</f>
        <v/>
      </c>
      <c r="E616" s="23">
        <f>IF($L616="","",IF(INDEX(ExpParty,$L616)="","—",IFERROR(VLOOKUP(INDEX(ExpParty,$L616),AcctTbl,4,0),INDEX(ExpParty,$L616))))</f>
        <v/>
      </c>
      <c r="F616" s="22">
        <f>IF($L616="","",IF(INDEX(ExpType,$L616)="","—",INDEX(ExpType,$L616)))</f>
        <v/>
      </c>
      <c r="G616" s="24">
        <f>IF($L616="","",IF(INDEX(ExpDep,$L616)=0,"",INDEX(ExpDep,$L616)))</f>
        <v/>
      </c>
      <c r="H616" s="24">
        <f>IF($L616="","",IF(INDEX(ExpWit,$L616)=0,"",INDEX(ExpWit,$L616)))</f>
        <v/>
      </c>
      <c r="I616" s="25">
        <f>IF($B616="","",IF($I615="",0,$I615)+IF($H616="",0,$H616)-IF($G616="",0,$G616))</f>
        <v/>
      </c>
      <c r="J616" s="23">
        <f>IF($L616="","",IF(INDEX(ExpNote,$L616)="","—",INDEX(ExpNote,$L616)))</f>
        <v/>
      </c>
      <c r="L616">
        <f>IFERROR(MATCH($C$5&amp;"|"&amp;RIGHT("000000"&amp;600,6),ExpRankKey,0),"")</f>
        <v/>
      </c>
    </row>
    <row r="617">
      <c r="A617" s="16" t="n">
        <v>601</v>
      </c>
      <c r="B617" s="17">
        <f>IF($L617="","",INDEX(ExpNorm,$L617))</f>
        <v/>
      </c>
      <c r="C617" s="17">
        <f>IF($L617="","",IF(INDEX(ExpTime,$L617)="","—",LEFT(INDEX(ExpTime,$L617),2)&amp;":"&amp;RIGHT(INDEX(ExpTime,$L617),2)))</f>
        <v/>
      </c>
      <c r="D617" s="17">
        <f>IF($L617="","",IF(INDEX(ExpBank,$L617)="","—",INDEX(ExpBank,$L617)))</f>
        <v/>
      </c>
      <c r="E617" s="18">
        <f>IF($L617="","",IF(INDEX(ExpParty,$L617)="","—",IFERROR(VLOOKUP(INDEX(ExpParty,$L617),AcctTbl,4,0),INDEX(ExpParty,$L617))))</f>
        <v/>
      </c>
      <c r="F617" s="17">
        <f>IF($L617="","",IF(INDEX(ExpType,$L617)="","—",INDEX(ExpType,$L617)))</f>
        <v/>
      </c>
      <c r="G617" s="19">
        <f>IF($L617="","",IF(INDEX(ExpDep,$L617)=0,"",INDEX(ExpDep,$L617)))</f>
        <v/>
      </c>
      <c r="H617" s="19">
        <f>IF($L617="","",IF(INDEX(ExpWit,$L617)=0,"",INDEX(ExpWit,$L617)))</f>
        <v/>
      </c>
      <c r="I617" s="20">
        <f>IF($B617="","",IF($I616="",0,$I616)+IF($H617="",0,$H617)-IF($G617="",0,$G617))</f>
        <v/>
      </c>
      <c r="J617" s="18">
        <f>IF($L617="","",IF(INDEX(ExpNote,$L617)="","—",INDEX(ExpNote,$L617)))</f>
        <v/>
      </c>
      <c r="L617">
        <f>IFERROR(MATCH($C$5&amp;"|"&amp;RIGHT("000000"&amp;601,6),ExpRankKey,0),"")</f>
        <v/>
      </c>
    </row>
    <row r="618">
      <c r="A618" s="21" t="n">
        <v>602</v>
      </c>
      <c r="B618" s="22">
        <f>IF($L618="","",INDEX(ExpNorm,$L618))</f>
        <v/>
      </c>
      <c r="C618" s="22">
        <f>IF($L618="","",IF(INDEX(ExpTime,$L618)="","—",LEFT(INDEX(ExpTime,$L618),2)&amp;":"&amp;RIGHT(INDEX(ExpTime,$L618),2)))</f>
        <v/>
      </c>
      <c r="D618" s="22">
        <f>IF($L618="","",IF(INDEX(ExpBank,$L618)="","—",INDEX(ExpBank,$L618)))</f>
        <v/>
      </c>
      <c r="E618" s="23">
        <f>IF($L618="","",IF(INDEX(ExpParty,$L618)="","—",IFERROR(VLOOKUP(INDEX(ExpParty,$L618),AcctTbl,4,0),INDEX(ExpParty,$L618))))</f>
        <v/>
      </c>
      <c r="F618" s="22">
        <f>IF($L618="","",IF(INDEX(ExpType,$L618)="","—",INDEX(ExpType,$L618)))</f>
        <v/>
      </c>
      <c r="G618" s="24">
        <f>IF($L618="","",IF(INDEX(ExpDep,$L618)=0,"",INDEX(ExpDep,$L618)))</f>
        <v/>
      </c>
      <c r="H618" s="24">
        <f>IF($L618="","",IF(INDEX(ExpWit,$L618)=0,"",INDEX(ExpWit,$L618)))</f>
        <v/>
      </c>
      <c r="I618" s="25">
        <f>IF($B618="","",IF($I617="",0,$I617)+IF($H618="",0,$H618)-IF($G618="",0,$G618))</f>
        <v/>
      </c>
      <c r="J618" s="23">
        <f>IF($L618="","",IF(INDEX(ExpNote,$L618)="","—",INDEX(ExpNote,$L618)))</f>
        <v/>
      </c>
      <c r="L618">
        <f>IFERROR(MATCH($C$5&amp;"|"&amp;RIGHT("000000"&amp;602,6),ExpRankKey,0),"")</f>
        <v/>
      </c>
    </row>
    <row r="619">
      <c r="A619" s="16" t="n">
        <v>603</v>
      </c>
      <c r="B619" s="17">
        <f>IF($L619="","",INDEX(ExpNorm,$L619))</f>
        <v/>
      </c>
      <c r="C619" s="17">
        <f>IF($L619="","",IF(INDEX(ExpTime,$L619)="","—",LEFT(INDEX(ExpTime,$L619),2)&amp;":"&amp;RIGHT(INDEX(ExpTime,$L619),2)))</f>
        <v/>
      </c>
      <c r="D619" s="17">
        <f>IF($L619="","",IF(INDEX(ExpBank,$L619)="","—",INDEX(ExpBank,$L619)))</f>
        <v/>
      </c>
      <c r="E619" s="18">
        <f>IF($L619="","",IF(INDEX(ExpParty,$L619)="","—",IFERROR(VLOOKUP(INDEX(ExpParty,$L619),AcctTbl,4,0),INDEX(ExpParty,$L619))))</f>
        <v/>
      </c>
      <c r="F619" s="17">
        <f>IF($L619="","",IF(INDEX(ExpType,$L619)="","—",INDEX(ExpType,$L619)))</f>
        <v/>
      </c>
      <c r="G619" s="19">
        <f>IF($L619="","",IF(INDEX(ExpDep,$L619)=0,"",INDEX(ExpDep,$L619)))</f>
        <v/>
      </c>
      <c r="H619" s="19">
        <f>IF($L619="","",IF(INDEX(ExpWit,$L619)=0,"",INDEX(ExpWit,$L619)))</f>
        <v/>
      </c>
      <c r="I619" s="20">
        <f>IF($B619="","",IF($I618="",0,$I618)+IF($H619="",0,$H619)-IF($G619="",0,$G619))</f>
        <v/>
      </c>
      <c r="J619" s="18">
        <f>IF($L619="","",IF(INDEX(ExpNote,$L619)="","—",INDEX(ExpNote,$L619)))</f>
        <v/>
      </c>
      <c r="L619">
        <f>IFERROR(MATCH($C$5&amp;"|"&amp;RIGHT("000000"&amp;603,6),ExpRankKey,0),"")</f>
        <v/>
      </c>
    </row>
    <row r="620">
      <c r="A620" s="21" t="n">
        <v>604</v>
      </c>
      <c r="B620" s="22">
        <f>IF($L620="","",INDEX(ExpNorm,$L620))</f>
        <v/>
      </c>
      <c r="C620" s="22">
        <f>IF($L620="","",IF(INDEX(ExpTime,$L620)="","—",LEFT(INDEX(ExpTime,$L620),2)&amp;":"&amp;RIGHT(INDEX(ExpTime,$L620),2)))</f>
        <v/>
      </c>
      <c r="D620" s="22">
        <f>IF($L620="","",IF(INDEX(ExpBank,$L620)="","—",INDEX(ExpBank,$L620)))</f>
        <v/>
      </c>
      <c r="E620" s="23">
        <f>IF($L620="","",IF(INDEX(ExpParty,$L620)="","—",IFERROR(VLOOKUP(INDEX(ExpParty,$L620),AcctTbl,4,0),INDEX(ExpParty,$L620))))</f>
        <v/>
      </c>
      <c r="F620" s="22">
        <f>IF($L620="","",IF(INDEX(ExpType,$L620)="","—",INDEX(ExpType,$L620)))</f>
        <v/>
      </c>
      <c r="G620" s="24">
        <f>IF($L620="","",IF(INDEX(ExpDep,$L620)=0,"",INDEX(ExpDep,$L620)))</f>
        <v/>
      </c>
      <c r="H620" s="24">
        <f>IF($L620="","",IF(INDEX(ExpWit,$L620)=0,"",INDEX(ExpWit,$L620)))</f>
        <v/>
      </c>
      <c r="I620" s="25">
        <f>IF($B620="","",IF($I619="",0,$I619)+IF($H620="",0,$H620)-IF($G620="",0,$G620))</f>
        <v/>
      </c>
      <c r="J620" s="23">
        <f>IF($L620="","",IF(INDEX(ExpNote,$L620)="","—",INDEX(ExpNote,$L620)))</f>
        <v/>
      </c>
      <c r="L620">
        <f>IFERROR(MATCH($C$5&amp;"|"&amp;RIGHT("000000"&amp;604,6),ExpRankKey,0),"")</f>
        <v/>
      </c>
    </row>
    <row r="621">
      <c r="A621" s="16" t="n">
        <v>605</v>
      </c>
      <c r="B621" s="17">
        <f>IF($L621="","",INDEX(ExpNorm,$L621))</f>
        <v/>
      </c>
      <c r="C621" s="17">
        <f>IF($L621="","",IF(INDEX(ExpTime,$L621)="","—",LEFT(INDEX(ExpTime,$L621),2)&amp;":"&amp;RIGHT(INDEX(ExpTime,$L621),2)))</f>
        <v/>
      </c>
      <c r="D621" s="17">
        <f>IF($L621="","",IF(INDEX(ExpBank,$L621)="","—",INDEX(ExpBank,$L621)))</f>
        <v/>
      </c>
      <c r="E621" s="18">
        <f>IF($L621="","",IF(INDEX(ExpParty,$L621)="","—",IFERROR(VLOOKUP(INDEX(ExpParty,$L621),AcctTbl,4,0),INDEX(ExpParty,$L621))))</f>
        <v/>
      </c>
      <c r="F621" s="17">
        <f>IF($L621="","",IF(INDEX(ExpType,$L621)="","—",INDEX(ExpType,$L621)))</f>
        <v/>
      </c>
      <c r="G621" s="19">
        <f>IF($L621="","",IF(INDEX(ExpDep,$L621)=0,"",INDEX(ExpDep,$L621)))</f>
        <v/>
      </c>
      <c r="H621" s="19">
        <f>IF($L621="","",IF(INDEX(ExpWit,$L621)=0,"",INDEX(ExpWit,$L621)))</f>
        <v/>
      </c>
      <c r="I621" s="20">
        <f>IF($B621="","",IF($I620="",0,$I620)+IF($H621="",0,$H621)-IF($G621="",0,$G621))</f>
        <v/>
      </c>
      <c r="J621" s="18">
        <f>IF($L621="","",IF(INDEX(ExpNote,$L621)="","—",INDEX(ExpNote,$L621)))</f>
        <v/>
      </c>
      <c r="L621">
        <f>IFERROR(MATCH($C$5&amp;"|"&amp;RIGHT("000000"&amp;605,6),ExpRankKey,0),"")</f>
        <v/>
      </c>
    </row>
    <row r="622">
      <c r="A622" s="21" t="n">
        <v>606</v>
      </c>
      <c r="B622" s="22">
        <f>IF($L622="","",INDEX(ExpNorm,$L622))</f>
        <v/>
      </c>
      <c r="C622" s="22">
        <f>IF($L622="","",IF(INDEX(ExpTime,$L622)="","—",LEFT(INDEX(ExpTime,$L622),2)&amp;":"&amp;RIGHT(INDEX(ExpTime,$L622),2)))</f>
        <v/>
      </c>
      <c r="D622" s="22">
        <f>IF($L622="","",IF(INDEX(ExpBank,$L622)="","—",INDEX(ExpBank,$L622)))</f>
        <v/>
      </c>
      <c r="E622" s="23">
        <f>IF($L622="","",IF(INDEX(ExpParty,$L622)="","—",IFERROR(VLOOKUP(INDEX(ExpParty,$L622),AcctTbl,4,0),INDEX(ExpParty,$L622))))</f>
        <v/>
      </c>
      <c r="F622" s="22">
        <f>IF($L622="","",IF(INDEX(ExpType,$L622)="","—",INDEX(ExpType,$L622)))</f>
        <v/>
      </c>
      <c r="G622" s="24">
        <f>IF($L622="","",IF(INDEX(ExpDep,$L622)=0,"",INDEX(ExpDep,$L622)))</f>
        <v/>
      </c>
      <c r="H622" s="24">
        <f>IF($L622="","",IF(INDEX(ExpWit,$L622)=0,"",INDEX(ExpWit,$L622)))</f>
        <v/>
      </c>
      <c r="I622" s="25">
        <f>IF($B622="","",IF($I621="",0,$I621)+IF($H622="",0,$H622)-IF($G622="",0,$G622))</f>
        <v/>
      </c>
      <c r="J622" s="23">
        <f>IF($L622="","",IF(INDEX(ExpNote,$L622)="","—",INDEX(ExpNote,$L622)))</f>
        <v/>
      </c>
      <c r="L622">
        <f>IFERROR(MATCH($C$5&amp;"|"&amp;RIGHT("000000"&amp;606,6),ExpRankKey,0),"")</f>
        <v/>
      </c>
    </row>
    <row r="623">
      <c r="A623" s="16" t="n">
        <v>607</v>
      </c>
      <c r="B623" s="17">
        <f>IF($L623="","",INDEX(ExpNorm,$L623))</f>
        <v/>
      </c>
      <c r="C623" s="17">
        <f>IF($L623="","",IF(INDEX(ExpTime,$L623)="","—",LEFT(INDEX(ExpTime,$L623),2)&amp;":"&amp;RIGHT(INDEX(ExpTime,$L623),2)))</f>
        <v/>
      </c>
      <c r="D623" s="17">
        <f>IF($L623="","",IF(INDEX(ExpBank,$L623)="","—",INDEX(ExpBank,$L623)))</f>
        <v/>
      </c>
      <c r="E623" s="18">
        <f>IF($L623="","",IF(INDEX(ExpParty,$L623)="","—",IFERROR(VLOOKUP(INDEX(ExpParty,$L623),AcctTbl,4,0),INDEX(ExpParty,$L623))))</f>
        <v/>
      </c>
      <c r="F623" s="17">
        <f>IF($L623="","",IF(INDEX(ExpType,$L623)="","—",INDEX(ExpType,$L623)))</f>
        <v/>
      </c>
      <c r="G623" s="19">
        <f>IF($L623="","",IF(INDEX(ExpDep,$L623)=0,"",INDEX(ExpDep,$L623)))</f>
        <v/>
      </c>
      <c r="H623" s="19">
        <f>IF($L623="","",IF(INDEX(ExpWit,$L623)=0,"",INDEX(ExpWit,$L623)))</f>
        <v/>
      </c>
      <c r="I623" s="20">
        <f>IF($B623="","",IF($I622="",0,$I622)+IF($H623="",0,$H623)-IF($G623="",0,$G623))</f>
        <v/>
      </c>
      <c r="J623" s="18">
        <f>IF($L623="","",IF(INDEX(ExpNote,$L623)="","—",INDEX(ExpNote,$L623)))</f>
        <v/>
      </c>
      <c r="L623">
        <f>IFERROR(MATCH($C$5&amp;"|"&amp;RIGHT("000000"&amp;607,6),ExpRankKey,0),"")</f>
        <v/>
      </c>
    </row>
    <row r="624">
      <c r="A624" s="21" t="n">
        <v>608</v>
      </c>
      <c r="B624" s="22">
        <f>IF($L624="","",INDEX(ExpNorm,$L624))</f>
        <v/>
      </c>
      <c r="C624" s="22">
        <f>IF($L624="","",IF(INDEX(ExpTime,$L624)="","—",LEFT(INDEX(ExpTime,$L624),2)&amp;":"&amp;RIGHT(INDEX(ExpTime,$L624),2)))</f>
        <v/>
      </c>
      <c r="D624" s="22">
        <f>IF($L624="","",IF(INDEX(ExpBank,$L624)="","—",INDEX(ExpBank,$L624)))</f>
        <v/>
      </c>
      <c r="E624" s="23">
        <f>IF($L624="","",IF(INDEX(ExpParty,$L624)="","—",IFERROR(VLOOKUP(INDEX(ExpParty,$L624),AcctTbl,4,0),INDEX(ExpParty,$L624))))</f>
        <v/>
      </c>
      <c r="F624" s="22">
        <f>IF($L624="","",IF(INDEX(ExpType,$L624)="","—",INDEX(ExpType,$L624)))</f>
        <v/>
      </c>
      <c r="G624" s="24">
        <f>IF($L624="","",IF(INDEX(ExpDep,$L624)=0,"",INDEX(ExpDep,$L624)))</f>
        <v/>
      </c>
      <c r="H624" s="24">
        <f>IF($L624="","",IF(INDEX(ExpWit,$L624)=0,"",INDEX(ExpWit,$L624)))</f>
        <v/>
      </c>
      <c r="I624" s="25">
        <f>IF($B624="","",IF($I623="",0,$I623)+IF($H624="",0,$H624)-IF($G624="",0,$G624))</f>
        <v/>
      </c>
      <c r="J624" s="23">
        <f>IF($L624="","",IF(INDEX(ExpNote,$L624)="","—",INDEX(ExpNote,$L624)))</f>
        <v/>
      </c>
      <c r="L624">
        <f>IFERROR(MATCH($C$5&amp;"|"&amp;RIGHT("000000"&amp;608,6),ExpRankKey,0),"")</f>
        <v/>
      </c>
    </row>
    <row r="625">
      <c r="A625" s="16" t="n">
        <v>609</v>
      </c>
      <c r="B625" s="17">
        <f>IF($L625="","",INDEX(ExpNorm,$L625))</f>
        <v/>
      </c>
      <c r="C625" s="17">
        <f>IF($L625="","",IF(INDEX(ExpTime,$L625)="","—",LEFT(INDEX(ExpTime,$L625),2)&amp;":"&amp;RIGHT(INDEX(ExpTime,$L625),2)))</f>
        <v/>
      </c>
      <c r="D625" s="17">
        <f>IF($L625="","",IF(INDEX(ExpBank,$L625)="","—",INDEX(ExpBank,$L625)))</f>
        <v/>
      </c>
      <c r="E625" s="18">
        <f>IF($L625="","",IF(INDEX(ExpParty,$L625)="","—",IFERROR(VLOOKUP(INDEX(ExpParty,$L625),AcctTbl,4,0),INDEX(ExpParty,$L625))))</f>
        <v/>
      </c>
      <c r="F625" s="17">
        <f>IF($L625="","",IF(INDEX(ExpType,$L625)="","—",INDEX(ExpType,$L625)))</f>
        <v/>
      </c>
      <c r="G625" s="19">
        <f>IF($L625="","",IF(INDEX(ExpDep,$L625)=0,"",INDEX(ExpDep,$L625)))</f>
        <v/>
      </c>
      <c r="H625" s="19">
        <f>IF($L625="","",IF(INDEX(ExpWit,$L625)=0,"",INDEX(ExpWit,$L625)))</f>
        <v/>
      </c>
      <c r="I625" s="20">
        <f>IF($B625="","",IF($I624="",0,$I624)+IF($H625="",0,$H625)-IF($G625="",0,$G625))</f>
        <v/>
      </c>
      <c r="J625" s="18">
        <f>IF($L625="","",IF(INDEX(ExpNote,$L625)="","—",INDEX(ExpNote,$L625)))</f>
        <v/>
      </c>
      <c r="L625">
        <f>IFERROR(MATCH($C$5&amp;"|"&amp;RIGHT("000000"&amp;609,6),ExpRankKey,0),"")</f>
        <v/>
      </c>
    </row>
    <row r="626">
      <c r="A626" s="21" t="n">
        <v>610</v>
      </c>
      <c r="B626" s="22">
        <f>IF($L626="","",INDEX(ExpNorm,$L626))</f>
        <v/>
      </c>
      <c r="C626" s="22">
        <f>IF($L626="","",IF(INDEX(ExpTime,$L626)="","—",LEFT(INDEX(ExpTime,$L626),2)&amp;":"&amp;RIGHT(INDEX(ExpTime,$L626),2)))</f>
        <v/>
      </c>
      <c r="D626" s="22">
        <f>IF($L626="","",IF(INDEX(ExpBank,$L626)="","—",INDEX(ExpBank,$L626)))</f>
        <v/>
      </c>
      <c r="E626" s="23">
        <f>IF($L626="","",IF(INDEX(ExpParty,$L626)="","—",IFERROR(VLOOKUP(INDEX(ExpParty,$L626),AcctTbl,4,0),INDEX(ExpParty,$L626))))</f>
        <v/>
      </c>
      <c r="F626" s="22">
        <f>IF($L626="","",IF(INDEX(ExpType,$L626)="","—",INDEX(ExpType,$L626)))</f>
        <v/>
      </c>
      <c r="G626" s="24">
        <f>IF($L626="","",IF(INDEX(ExpDep,$L626)=0,"",INDEX(ExpDep,$L626)))</f>
        <v/>
      </c>
      <c r="H626" s="24">
        <f>IF($L626="","",IF(INDEX(ExpWit,$L626)=0,"",INDEX(ExpWit,$L626)))</f>
        <v/>
      </c>
      <c r="I626" s="25">
        <f>IF($B626="","",IF($I625="",0,$I625)+IF($H626="",0,$H626)-IF($G626="",0,$G626))</f>
        <v/>
      </c>
      <c r="J626" s="23">
        <f>IF($L626="","",IF(INDEX(ExpNote,$L626)="","—",INDEX(ExpNote,$L626)))</f>
        <v/>
      </c>
      <c r="L626">
        <f>IFERROR(MATCH($C$5&amp;"|"&amp;RIGHT("000000"&amp;610,6),ExpRankKey,0),"")</f>
        <v/>
      </c>
    </row>
    <row r="627">
      <c r="A627" s="16" t="n">
        <v>611</v>
      </c>
      <c r="B627" s="17">
        <f>IF($L627="","",INDEX(ExpNorm,$L627))</f>
        <v/>
      </c>
      <c r="C627" s="17">
        <f>IF($L627="","",IF(INDEX(ExpTime,$L627)="","—",LEFT(INDEX(ExpTime,$L627),2)&amp;":"&amp;RIGHT(INDEX(ExpTime,$L627),2)))</f>
        <v/>
      </c>
      <c r="D627" s="17">
        <f>IF($L627="","",IF(INDEX(ExpBank,$L627)="","—",INDEX(ExpBank,$L627)))</f>
        <v/>
      </c>
      <c r="E627" s="18">
        <f>IF($L627="","",IF(INDEX(ExpParty,$L627)="","—",IFERROR(VLOOKUP(INDEX(ExpParty,$L627),AcctTbl,4,0),INDEX(ExpParty,$L627))))</f>
        <v/>
      </c>
      <c r="F627" s="17">
        <f>IF($L627="","",IF(INDEX(ExpType,$L627)="","—",INDEX(ExpType,$L627)))</f>
        <v/>
      </c>
      <c r="G627" s="19">
        <f>IF($L627="","",IF(INDEX(ExpDep,$L627)=0,"",INDEX(ExpDep,$L627)))</f>
        <v/>
      </c>
      <c r="H627" s="19">
        <f>IF($L627="","",IF(INDEX(ExpWit,$L627)=0,"",INDEX(ExpWit,$L627)))</f>
        <v/>
      </c>
      <c r="I627" s="20">
        <f>IF($B627="","",IF($I626="",0,$I626)+IF($H627="",0,$H627)-IF($G627="",0,$G627))</f>
        <v/>
      </c>
      <c r="J627" s="18">
        <f>IF($L627="","",IF(INDEX(ExpNote,$L627)="","—",INDEX(ExpNote,$L627)))</f>
        <v/>
      </c>
      <c r="L627">
        <f>IFERROR(MATCH($C$5&amp;"|"&amp;RIGHT("000000"&amp;611,6),ExpRankKey,0),"")</f>
        <v/>
      </c>
    </row>
    <row r="628">
      <c r="A628" s="21" t="n">
        <v>612</v>
      </c>
      <c r="B628" s="22">
        <f>IF($L628="","",INDEX(ExpNorm,$L628))</f>
        <v/>
      </c>
      <c r="C628" s="22">
        <f>IF($L628="","",IF(INDEX(ExpTime,$L628)="","—",LEFT(INDEX(ExpTime,$L628),2)&amp;":"&amp;RIGHT(INDEX(ExpTime,$L628),2)))</f>
        <v/>
      </c>
      <c r="D628" s="22">
        <f>IF($L628="","",IF(INDEX(ExpBank,$L628)="","—",INDEX(ExpBank,$L628)))</f>
        <v/>
      </c>
      <c r="E628" s="23">
        <f>IF($L628="","",IF(INDEX(ExpParty,$L628)="","—",IFERROR(VLOOKUP(INDEX(ExpParty,$L628),AcctTbl,4,0),INDEX(ExpParty,$L628))))</f>
        <v/>
      </c>
      <c r="F628" s="22">
        <f>IF($L628="","",IF(INDEX(ExpType,$L628)="","—",INDEX(ExpType,$L628)))</f>
        <v/>
      </c>
      <c r="G628" s="24">
        <f>IF($L628="","",IF(INDEX(ExpDep,$L628)=0,"",INDEX(ExpDep,$L628)))</f>
        <v/>
      </c>
      <c r="H628" s="24">
        <f>IF($L628="","",IF(INDEX(ExpWit,$L628)=0,"",INDEX(ExpWit,$L628)))</f>
        <v/>
      </c>
      <c r="I628" s="25">
        <f>IF($B628="","",IF($I627="",0,$I627)+IF($H628="",0,$H628)-IF($G628="",0,$G628))</f>
        <v/>
      </c>
      <c r="J628" s="23">
        <f>IF($L628="","",IF(INDEX(ExpNote,$L628)="","—",INDEX(ExpNote,$L628)))</f>
        <v/>
      </c>
      <c r="L628">
        <f>IFERROR(MATCH($C$5&amp;"|"&amp;RIGHT("000000"&amp;612,6),ExpRankKey,0),"")</f>
        <v/>
      </c>
    </row>
    <row r="629">
      <c r="A629" s="16" t="n">
        <v>613</v>
      </c>
      <c r="B629" s="17">
        <f>IF($L629="","",INDEX(ExpNorm,$L629))</f>
        <v/>
      </c>
      <c r="C629" s="17">
        <f>IF($L629="","",IF(INDEX(ExpTime,$L629)="","—",LEFT(INDEX(ExpTime,$L629),2)&amp;":"&amp;RIGHT(INDEX(ExpTime,$L629),2)))</f>
        <v/>
      </c>
      <c r="D629" s="17">
        <f>IF($L629="","",IF(INDEX(ExpBank,$L629)="","—",INDEX(ExpBank,$L629)))</f>
        <v/>
      </c>
      <c r="E629" s="18">
        <f>IF($L629="","",IF(INDEX(ExpParty,$L629)="","—",IFERROR(VLOOKUP(INDEX(ExpParty,$L629),AcctTbl,4,0),INDEX(ExpParty,$L629))))</f>
        <v/>
      </c>
      <c r="F629" s="17">
        <f>IF($L629="","",IF(INDEX(ExpType,$L629)="","—",INDEX(ExpType,$L629)))</f>
        <v/>
      </c>
      <c r="G629" s="19">
        <f>IF($L629="","",IF(INDEX(ExpDep,$L629)=0,"",INDEX(ExpDep,$L629)))</f>
        <v/>
      </c>
      <c r="H629" s="19">
        <f>IF($L629="","",IF(INDEX(ExpWit,$L629)=0,"",INDEX(ExpWit,$L629)))</f>
        <v/>
      </c>
      <c r="I629" s="20">
        <f>IF($B629="","",IF($I628="",0,$I628)+IF($H629="",0,$H629)-IF($G629="",0,$G629))</f>
        <v/>
      </c>
      <c r="J629" s="18">
        <f>IF($L629="","",IF(INDEX(ExpNote,$L629)="","—",INDEX(ExpNote,$L629)))</f>
        <v/>
      </c>
      <c r="L629">
        <f>IFERROR(MATCH($C$5&amp;"|"&amp;RIGHT("000000"&amp;613,6),ExpRankKey,0),"")</f>
        <v/>
      </c>
    </row>
    <row r="630">
      <c r="A630" s="21" t="n">
        <v>614</v>
      </c>
      <c r="B630" s="22">
        <f>IF($L630="","",INDEX(ExpNorm,$L630))</f>
        <v/>
      </c>
      <c r="C630" s="22">
        <f>IF($L630="","",IF(INDEX(ExpTime,$L630)="","—",LEFT(INDEX(ExpTime,$L630),2)&amp;":"&amp;RIGHT(INDEX(ExpTime,$L630),2)))</f>
        <v/>
      </c>
      <c r="D630" s="22">
        <f>IF($L630="","",IF(INDEX(ExpBank,$L630)="","—",INDEX(ExpBank,$L630)))</f>
        <v/>
      </c>
      <c r="E630" s="23">
        <f>IF($L630="","",IF(INDEX(ExpParty,$L630)="","—",IFERROR(VLOOKUP(INDEX(ExpParty,$L630),AcctTbl,4,0),INDEX(ExpParty,$L630))))</f>
        <v/>
      </c>
      <c r="F630" s="22">
        <f>IF($L630="","",IF(INDEX(ExpType,$L630)="","—",INDEX(ExpType,$L630)))</f>
        <v/>
      </c>
      <c r="G630" s="24">
        <f>IF($L630="","",IF(INDEX(ExpDep,$L630)=0,"",INDEX(ExpDep,$L630)))</f>
        <v/>
      </c>
      <c r="H630" s="24">
        <f>IF($L630="","",IF(INDEX(ExpWit,$L630)=0,"",INDEX(ExpWit,$L630)))</f>
        <v/>
      </c>
      <c r="I630" s="25">
        <f>IF($B630="","",IF($I629="",0,$I629)+IF($H630="",0,$H630)-IF($G630="",0,$G630))</f>
        <v/>
      </c>
      <c r="J630" s="23">
        <f>IF($L630="","",IF(INDEX(ExpNote,$L630)="","—",INDEX(ExpNote,$L630)))</f>
        <v/>
      </c>
      <c r="L630">
        <f>IFERROR(MATCH($C$5&amp;"|"&amp;RIGHT("000000"&amp;614,6),ExpRankKey,0),"")</f>
        <v/>
      </c>
    </row>
    <row r="631">
      <c r="A631" s="16" t="n">
        <v>615</v>
      </c>
      <c r="B631" s="17">
        <f>IF($L631="","",INDEX(ExpNorm,$L631))</f>
        <v/>
      </c>
      <c r="C631" s="17">
        <f>IF($L631="","",IF(INDEX(ExpTime,$L631)="","—",LEFT(INDEX(ExpTime,$L631),2)&amp;":"&amp;RIGHT(INDEX(ExpTime,$L631),2)))</f>
        <v/>
      </c>
      <c r="D631" s="17">
        <f>IF($L631="","",IF(INDEX(ExpBank,$L631)="","—",INDEX(ExpBank,$L631)))</f>
        <v/>
      </c>
      <c r="E631" s="18">
        <f>IF($L631="","",IF(INDEX(ExpParty,$L631)="","—",IFERROR(VLOOKUP(INDEX(ExpParty,$L631),AcctTbl,4,0),INDEX(ExpParty,$L631))))</f>
        <v/>
      </c>
      <c r="F631" s="17">
        <f>IF($L631="","",IF(INDEX(ExpType,$L631)="","—",INDEX(ExpType,$L631)))</f>
        <v/>
      </c>
      <c r="G631" s="19">
        <f>IF($L631="","",IF(INDEX(ExpDep,$L631)=0,"",INDEX(ExpDep,$L631)))</f>
        <v/>
      </c>
      <c r="H631" s="19">
        <f>IF($L631="","",IF(INDEX(ExpWit,$L631)=0,"",INDEX(ExpWit,$L631)))</f>
        <v/>
      </c>
      <c r="I631" s="20">
        <f>IF($B631="","",IF($I630="",0,$I630)+IF($H631="",0,$H631)-IF($G631="",0,$G631))</f>
        <v/>
      </c>
      <c r="J631" s="18">
        <f>IF($L631="","",IF(INDEX(ExpNote,$L631)="","—",INDEX(ExpNote,$L631)))</f>
        <v/>
      </c>
      <c r="L631">
        <f>IFERROR(MATCH($C$5&amp;"|"&amp;RIGHT("000000"&amp;615,6),ExpRankKey,0),"")</f>
        <v/>
      </c>
    </row>
    <row r="632">
      <c r="A632" s="21" t="n">
        <v>616</v>
      </c>
      <c r="B632" s="22">
        <f>IF($L632="","",INDEX(ExpNorm,$L632))</f>
        <v/>
      </c>
      <c r="C632" s="22">
        <f>IF($L632="","",IF(INDEX(ExpTime,$L632)="","—",LEFT(INDEX(ExpTime,$L632),2)&amp;":"&amp;RIGHT(INDEX(ExpTime,$L632),2)))</f>
        <v/>
      </c>
      <c r="D632" s="22">
        <f>IF($L632="","",IF(INDEX(ExpBank,$L632)="","—",INDEX(ExpBank,$L632)))</f>
        <v/>
      </c>
      <c r="E632" s="23">
        <f>IF($L632="","",IF(INDEX(ExpParty,$L632)="","—",IFERROR(VLOOKUP(INDEX(ExpParty,$L632),AcctTbl,4,0),INDEX(ExpParty,$L632))))</f>
        <v/>
      </c>
      <c r="F632" s="22">
        <f>IF($L632="","",IF(INDEX(ExpType,$L632)="","—",INDEX(ExpType,$L632)))</f>
        <v/>
      </c>
      <c r="G632" s="24">
        <f>IF($L632="","",IF(INDEX(ExpDep,$L632)=0,"",INDEX(ExpDep,$L632)))</f>
        <v/>
      </c>
      <c r="H632" s="24">
        <f>IF($L632="","",IF(INDEX(ExpWit,$L632)=0,"",INDEX(ExpWit,$L632)))</f>
        <v/>
      </c>
      <c r="I632" s="25">
        <f>IF($B632="","",IF($I631="",0,$I631)+IF($H632="",0,$H632)-IF($G632="",0,$G632))</f>
        <v/>
      </c>
      <c r="J632" s="23">
        <f>IF($L632="","",IF(INDEX(ExpNote,$L632)="","—",INDEX(ExpNote,$L632)))</f>
        <v/>
      </c>
      <c r="L632">
        <f>IFERROR(MATCH($C$5&amp;"|"&amp;RIGHT("000000"&amp;616,6),ExpRankKey,0),"")</f>
        <v/>
      </c>
    </row>
    <row r="633">
      <c r="A633" s="16" t="n">
        <v>617</v>
      </c>
      <c r="B633" s="17">
        <f>IF($L633="","",INDEX(ExpNorm,$L633))</f>
        <v/>
      </c>
      <c r="C633" s="17">
        <f>IF($L633="","",IF(INDEX(ExpTime,$L633)="","—",LEFT(INDEX(ExpTime,$L633),2)&amp;":"&amp;RIGHT(INDEX(ExpTime,$L633),2)))</f>
        <v/>
      </c>
      <c r="D633" s="17">
        <f>IF($L633="","",IF(INDEX(ExpBank,$L633)="","—",INDEX(ExpBank,$L633)))</f>
        <v/>
      </c>
      <c r="E633" s="18">
        <f>IF($L633="","",IF(INDEX(ExpParty,$L633)="","—",IFERROR(VLOOKUP(INDEX(ExpParty,$L633),AcctTbl,4,0),INDEX(ExpParty,$L633))))</f>
        <v/>
      </c>
      <c r="F633" s="17">
        <f>IF($L633="","",IF(INDEX(ExpType,$L633)="","—",INDEX(ExpType,$L633)))</f>
        <v/>
      </c>
      <c r="G633" s="19">
        <f>IF($L633="","",IF(INDEX(ExpDep,$L633)=0,"",INDEX(ExpDep,$L633)))</f>
        <v/>
      </c>
      <c r="H633" s="19">
        <f>IF($L633="","",IF(INDEX(ExpWit,$L633)=0,"",INDEX(ExpWit,$L633)))</f>
        <v/>
      </c>
      <c r="I633" s="20">
        <f>IF($B633="","",IF($I632="",0,$I632)+IF($H633="",0,$H633)-IF($G633="",0,$G633))</f>
        <v/>
      </c>
      <c r="J633" s="18">
        <f>IF($L633="","",IF(INDEX(ExpNote,$L633)="","—",INDEX(ExpNote,$L633)))</f>
        <v/>
      </c>
      <c r="L633">
        <f>IFERROR(MATCH($C$5&amp;"|"&amp;RIGHT("000000"&amp;617,6),ExpRankKey,0),"")</f>
        <v/>
      </c>
    </row>
    <row r="634">
      <c r="A634" s="21" t="n">
        <v>618</v>
      </c>
      <c r="B634" s="22">
        <f>IF($L634="","",INDEX(ExpNorm,$L634))</f>
        <v/>
      </c>
      <c r="C634" s="22">
        <f>IF($L634="","",IF(INDEX(ExpTime,$L634)="","—",LEFT(INDEX(ExpTime,$L634),2)&amp;":"&amp;RIGHT(INDEX(ExpTime,$L634),2)))</f>
        <v/>
      </c>
      <c r="D634" s="22">
        <f>IF($L634="","",IF(INDEX(ExpBank,$L634)="","—",INDEX(ExpBank,$L634)))</f>
        <v/>
      </c>
      <c r="E634" s="23">
        <f>IF($L634="","",IF(INDEX(ExpParty,$L634)="","—",IFERROR(VLOOKUP(INDEX(ExpParty,$L634),AcctTbl,4,0),INDEX(ExpParty,$L634))))</f>
        <v/>
      </c>
      <c r="F634" s="22">
        <f>IF($L634="","",IF(INDEX(ExpType,$L634)="","—",INDEX(ExpType,$L634)))</f>
        <v/>
      </c>
      <c r="G634" s="24">
        <f>IF($L634="","",IF(INDEX(ExpDep,$L634)=0,"",INDEX(ExpDep,$L634)))</f>
        <v/>
      </c>
      <c r="H634" s="24">
        <f>IF($L634="","",IF(INDEX(ExpWit,$L634)=0,"",INDEX(ExpWit,$L634)))</f>
        <v/>
      </c>
      <c r="I634" s="25">
        <f>IF($B634="","",IF($I633="",0,$I633)+IF($H634="",0,$H634)-IF($G634="",0,$G634))</f>
        <v/>
      </c>
      <c r="J634" s="23">
        <f>IF($L634="","",IF(INDEX(ExpNote,$L634)="","—",INDEX(ExpNote,$L634)))</f>
        <v/>
      </c>
      <c r="L634">
        <f>IFERROR(MATCH($C$5&amp;"|"&amp;RIGHT("000000"&amp;618,6),ExpRankKey,0),"")</f>
        <v/>
      </c>
    </row>
    <row r="635">
      <c r="A635" s="16" t="n">
        <v>619</v>
      </c>
      <c r="B635" s="17">
        <f>IF($L635="","",INDEX(ExpNorm,$L635))</f>
        <v/>
      </c>
      <c r="C635" s="17">
        <f>IF($L635="","",IF(INDEX(ExpTime,$L635)="","—",LEFT(INDEX(ExpTime,$L635),2)&amp;":"&amp;RIGHT(INDEX(ExpTime,$L635),2)))</f>
        <v/>
      </c>
      <c r="D635" s="17">
        <f>IF($L635="","",IF(INDEX(ExpBank,$L635)="","—",INDEX(ExpBank,$L635)))</f>
        <v/>
      </c>
      <c r="E635" s="18">
        <f>IF($L635="","",IF(INDEX(ExpParty,$L635)="","—",IFERROR(VLOOKUP(INDEX(ExpParty,$L635),AcctTbl,4,0),INDEX(ExpParty,$L635))))</f>
        <v/>
      </c>
      <c r="F635" s="17">
        <f>IF($L635="","",IF(INDEX(ExpType,$L635)="","—",INDEX(ExpType,$L635)))</f>
        <v/>
      </c>
      <c r="G635" s="19">
        <f>IF($L635="","",IF(INDEX(ExpDep,$L635)=0,"",INDEX(ExpDep,$L635)))</f>
        <v/>
      </c>
      <c r="H635" s="19">
        <f>IF($L635="","",IF(INDEX(ExpWit,$L635)=0,"",INDEX(ExpWit,$L635)))</f>
        <v/>
      </c>
      <c r="I635" s="20">
        <f>IF($B635="","",IF($I634="",0,$I634)+IF($H635="",0,$H635)-IF($G635="",0,$G635))</f>
        <v/>
      </c>
      <c r="J635" s="18">
        <f>IF($L635="","",IF(INDEX(ExpNote,$L635)="","—",INDEX(ExpNote,$L635)))</f>
        <v/>
      </c>
      <c r="L635">
        <f>IFERROR(MATCH($C$5&amp;"|"&amp;RIGHT("000000"&amp;619,6),ExpRankKey,0),"")</f>
        <v/>
      </c>
    </row>
    <row r="636">
      <c r="A636" s="21" t="n">
        <v>620</v>
      </c>
      <c r="B636" s="22">
        <f>IF($L636="","",INDEX(ExpNorm,$L636))</f>
        <v/>
      </c>
      <c r="C636" s="22">
        <f>IF($L636="","",IF(INDEX(ExpTime,$L636)="","—",LEFT(INDEX(ExpTime,$L636),2)&amp;":"&amp;RIGHT(INDEX(ExpTime,$L636),2)))</f>
        <v/>
      </c>
      <c r="D636" s="22">
        <f>IF($L636="","",IF(INDEX(ExpBank,$L636)="","—",INDEX(ExpBank,$L636)))</f>
        <v/>
      </c>
      <c r="E636" s="23">
        <f>IF($L636="","",IF(INDEX(ExpParty,$L636)="","—",IFERROR(VLOOKUP(INDEX(ExpParty,$L636),AcctTbl,4,0),INDEX(ExpParty,$L636))))</f>
        <v/>
      </c>
      <c r="F636" s="22">
        <f>IF($L636="","",IF(INDEX(ExpType,$L636)="","—",INDEX(ExpType,$L636)))</f>
        <v/>
      </c>
      <c r="G636" s="24">
        <f>IF($L636="","",IF(INDEX(ExpDep,$L636)=0,"",INDEX(ExpDep,$L636)))</f>
        <v/>
      </c>
      <c r="H636" s="24">
        <f>IF($L636="","",IF(INDEX(ExpWit,$L636)=0,"",INDEX(ExpWit,$L636)))</f>
        <v/>
      </c>
      <c r="I636" s="25">
        <f>IF($B636="","",IF($I635="",0,$I635)+IF($H636="",0,$H636)-IF($G636="",0,$G636))</f>
        <v/>
      </c>
      <c r="J636" s="23">
        <f>IF($L636="","",IF(INDEX(ExpNote,$L636)="","—",INDEX(ExpNote,$L636)))</f>
        <v/>
      </c>
      <c r="L636">
        <f>IFERROR(MATCH($C$5&amp;"|"&amp;RIGHT("000000"&amp;620,6),ExpRankKey,0),"")</f>
        <v/>
      </c>
    </row>
    <row r="637">
      <c r="A637" s="16" t="n">
        <v>621</v>
      </c>
      <c r="B637" s="17">
        <f>IF($L637="","",INDEX(ExpNorm,$L637))</f>
        <v/>
      </c>
      <c r="C637" s="17">
        <f>IF($L637="","",IF(INDEX(ExpTime,$L637)="","—",LEFT(INDEX(ExpTime,$L637),2)&amp;":"&amp;RIGHT(INDEX(ExpTime,$L637),2)))</f>
        <v/>
      </c>
      <c r="D637" s="17">
        <f>IF($L637="","",IF(INDEX(ExpBank,$L637)="","—",INDEX(ExpBank,$L637)))</f>
        <v/>
      </c>
      <c r="E637" s="18">
        <f>IF($L637="","",IF(INDEX(ExpParty,$L637)="","—",IFERROR(VLOOKUP(INDEX(ExpParty,$L637),AcctTbl,4,0),INDEX(ExpParty,$L637))))</f>
        <v/>
      </c>
      <c r="F637" s="17">
        <f>IF($L637="","",IF(INDEX(ExpType,$L637)="","—",INDEX(ExpType,$L637)))</f>
        <v/>
      </c>
      <c r="G637" s="19">
        <f>IF($L637="","",IF(INDEX(ExpDep,$L637)=0,"",INDEX(ExpDep,$L637)))</f>
        <v/>
      </c>
      <c r="H637" s="19">
        <f>IF($L637="","",IF(INDEX(ExpWit,$L637)=0,"",INDEX(ExpWit,$L637)))</f>
        <v/>
      </c>
      <c r="I637" s="20">
        <f>IF($B637="","",IF($I636="",0,$I636)+IF($H637="",0,$H637)-IF($G637="",0,$G637))</f>
        <v/>
      </c>
      <c r="J637" s="18">
        <f>IF($L637="","",IF(INDEX(ExpNote,$L637)="","—",INDEX(ExpNote,$L637)))</f>
        <v/>
      </c>
      <c r="L637">
        <f>IFERROR(MATCH($C$5&amp;"|"&amp;RIGHT("000000"&amp;621,6),ExpRankKey,0),"")</f>
        <v/>
      </c>
    </row>
    <row r="638">
      <c r="A638" s="21" t="n">
        <v>622</v>
      </c>
      <c r="B638" s="22">
        <f>IF($L638="","",INDEX(ExpNorm,$L638))</f>
        <v/>
      </c>
      <c r="C638" s="22">
        <f>IF($L638="","",IF(INDEX(ExpTime,$L638)="","—",LEFT(INDEX(ExpTime,$L638),2)&amp;":"&amp;RIGHT(INDEX(ExpTime,$L638),2)))</f>
        <v/>
      </c>
      <c r="D638" s="22">
        <f>IF($L638="","",IF(INDEX(ExpBank,$L638)="","—",INDEX(ExpBank,$L638)))</f>
        <v/>
      </c>
      <c r="E638" s="23">
        <f>IF($L638="","",IF(INDEX(ExpParty,$L638)="","—",IFERROR(VLOOKUP(INDEX(ExpParty,$L638),AcctTbl,4,0),INDEX(ExpParty,$L638))))</f>
        <v/>
      </c>
      <c r="F638" s="22">
        <f>IF($L638="","",IF(INDEX(ExpType,$L638)="","—",INDEX(ExpType,$L638)))</f>
        <v/>
      </c>
      <c r="G638" s="24">
        <f>IF($L638="","",IF(INDEX(ExpDep,$L638)=0,"",INDEX(ExpDep,$L638)))</f>
        <v/>
      </c>
      <c r="H638" s="24">
        <f>IF($L638="","",IF(INDEX(ExpWit,$L638)=0,"",INDEX(ExpWit,$L638)))</f>
        <v/>
      </c>
      <c r="I638" s="25">
        <f>IF($B638="","",IF($I637="",0,$I637)+IF($H638="",0,$H638)-IF($G638="",0,$G638))</f>
        <v/>
      </c>
      <c r="J638" s="23">
        <f>IF($L638="","",IF(INDEX(ExpNote,$L638)="","—",INDEX(ExpNote,$L638)))</f>
        <v/>
      </c>
      <c r="L638">
        <f>IFERROR(MATCH($C$5&amp;"|"&amp;RIGHT("000000"&amp;622,6),ExpRankKey,0),"")</f>
        <v/>
      </c>
    </row>
    <row r="639">
      <c r="A639" s="16" t="n">
        <v>623</v>
      </c>
      <c r="B639" s="17">
        <f>IF($L639="","",INDEX(ExpNorm,$L639))</f>
        <v/>
      </c>
      <c r="C639" s="17">
        <f>IF($L639="","",IF(INDEX(ExpTime,$L639)="","—",LEFT(INDEX(ExpTime,$L639),2)&amp;":"&amp;RIGHT(INDEX(ExpTime,$L639),2)))</f>
        <v/>
      </c>
      <c r="D639" s="17">
        <f>IF($L639="","",IF(INDEX(ExpBank,$L639)="","—",INDEX(ExpBank,$L639)))</f>
        <v/>
      </c>
      <c r="E639" s="18">
        <f>IF($L639="","",IF(INDEX(ExpParty,$L639)="","—",IFERROR(VLOOKUP(INDEX(ExpParty,$L639),AcctTbl,4,0),INDEX(ExpParty,$L639))))</f>
        <v/>
      </c>
      <c r="F639" s="17">
        <f>IF($L639="","",IF(INDEX(ExpType,$L639)="","—",INDEX(ExpType,$L639)))</f>
        <v/>
      </c>
      <c r="G639" s="19">
        <f>IF($L639="","",IF(INDEX(ExpDep,$L639)=0,"",INDEX(ExpDep,$L639)))</f>
        <v/>
      </c>
      <c r="H639" s="19">
        <f>IF($L639="","",IF(INDEX(ExpWit,$L639)=0,"",INDEX(ExpWit,$L639)))</f>
        <v/>
      </c>
      <c r="I639" s="20">
        <f>IF($B639="","",IF($I638="",0,$I638)+IF($H639="",0,$H639)-IF($G639="",0,$G639))</f>
        <v/>
      </c>
      <c r="J639" s="18">
        <f>IF($L639="","",IF(INDEX(ExpNote,$L639)="","—",INDEX(ExpNote,$L639)))</f>
        <v/>
      </c>
      <c r="L639">
        <f>IFERROR(MATCH($C$5&amp;"|"&amp;RIGHT("000000"&amp;623,6),ExpRankKey,0),"")</f>
        <v/>
      </c>
    </row>
    <row r="640">
      <c r="A640" s="21" t="n">
        <v>624</v>
      </c>
      <c r="B640" s="22">
        <f>IF($L640="","",INDEX(ExpNorm,$L640))</f>
        <v/>
      </c>
      <c r="C640" s="22">
        <f>IF($L640="","",IF(INDEX(ExpTime,$L640)="","—",LEFT(INDEX(ExpTime,$L640),2)&amp;":"&amp;RIGHT(INDEX(ExpTime,$L640),2)))</f>
        <v/>
      </c>
      <c r="D640" s="22">
        <f>IF($L640="","",IF(INDEX(ExpBank,$L640)="","—",INDEX(ExpBank,$L640)))</f>
        <v/>
      </c>
      <c r="E640" s="23">
        <f>IF($L640="","",IF(INDEX(ExpParty,$L640)="","—",IFERROR(VLOOKUP(INDEX(ExpParty,$L640),AcctTbl,4,0),INDEX(ExpParty,$L640))))</f>
        <v/>
      </c>
      <c r="F640" s="22">
        <f>IF($L640="","",IF(INDEX(ExpType,$L640)="","—",INDEX(ExpType,$L640)))</f>
        <v/>
      </c>
      <c r="G640" s="24">
        <f>IF($L640="","",IF(INDEX(ExpDep,$L640)=0,"",INDEX(ExpDep,$L640)))</f>
        <v/>
      </c>
      <c r="H640" s="24">
        <f>IF($L640="","",IF(INDEX(ExpWit,$L640)=0,"",INDEX(ExpWit,$L640)))</f>
        <v/>
      </c>
      <c r="I640" s="25">
        <f>IF($B640="","",IF($I639="",0,$I639)+IF($H640="",0,$H640)-IF($G640="",0,$G640))</f>
        <v/>
      </c>
      <c r="J640" s="23">
        <f>IF($L640="","",IF(INDEX(ExpNote,$L640)="","—",INDEX(ExpNote,$L640)))</f>
        <v/>
      </c>
      <c r="L640">
        <f>IFERROR(MATCH($C$5&amp;"|"&amp;RIGHT("000000"&amp;624,6),ExpRankKey,0),"")</f>
        <v/>
      </c>
    </row>
    <row r="641">
      <c r="A641" s="16" t="n">
        <v>625</v>
      </c>
      <c r="B641" s="17">
        <f>IF($L641="","",INDEX(ExpNorm,$L641))</f>
        <v/>
      </c>
      <c r="C641" s="17">
        <f>IF($L641="","",IF(INDEX(ExpTime,$L641)="","—",LEFT(INDEX(ExpTime,$L641),2)&amp;":"&amp;RIGHT(INDEX(ExpTime,$L641),2)))</f>
        <v/>
      </c>
      <c r="D641" s="17">
        <f>IF($L641="","",IF(INDEX(ExpBank,$L641)="","—",INDEX(ExpBank,$L641)))</f>
        <v/>
      </c>
      <c r="E641" s="18">
        <f>IF($L641="","",IF(INDEX(ExpParty,$L641)="","—",IFERROR(VLOOKUP(INDEX(ExpParty,$L641),AcctTbl,4,0),INDEX(ExpParty,$L641))))</f>
        <v/>
      </c>
      <c r="F641" s="17">
        <f>IF($L641="","",IF(INDEX(ExpType,$L641)="","—",INDEX(ExpType,$L641)))</f>
        <v/>
      </c>
      <c r="G641" s="19">
        <f>IF($L641="","",IF(INDEX(ExpDep,$L641)=0,"",INDEX(ExpDep,$L641)))</f>
        <v/>
      </c>
      <c r="H641" s="19">
        <f>IF($L641="","",IF(INDEX(ExpWit,$L641)=0,"",INDEX(ExpWit,$L641)))</f>
        <v/>
      </c>
      <c r="I641" s="20">
        <f>IF($B641="","",IF($I640="",0,$I640)+IF($H641="",0,$H641)-IF($G641="",0,$G641))</f>
        <v/>
      </c>
      <c r="J641" s="18">
        <f>IF($L641="","",IF(INDEX(ExpNote,$L641)="","—",INDEX(ExpNote,$L641)))</f>
        <v/>
      </c>
      <c r="L641">
        <f>IFERROR(MATCH($C$5&amp;"|"&amp;RIGHT("000000"&amp;625,6),ExpRankKey,0),"")</f>
        <v/>
      </c>
    </row>
    <row r="642">
      <c r="A642" s="21" t="n">
        <v>626</v>
      </c>
      <c r="B642" s="22">
        <f>IF($L642="","",INDEX(ExpNorm,$L642))</f>
        <v/>
      </c>
      <c r="C642" s="22">
        <f>IF($L642="","",IF(INDEX(ExpTime,$L642)="","—",LEFT(INDEX(ExpTime,$L642),2)&amp;":"&amp;RIGHT(INDEX(ExpTime,$L642),2)))</f>
        <v/>
      </c>
      <c r="D642" s="22">
        <f>IF($L642="","",IF(INDEX(ExpBank,$L642)="","—",INDEX(ExpBank,$L642)))</f>
        <v/>
      </c>
      <c r="E642" s="23">
        <f>IF($L642="","",IF(INDEX(ExpParty,$L642)="","—",IFERROR(VLOOKUP(INDEX(ExpParty,$L642),AcctTbl,4,0),INDEX(ExpParty,$L642))))</f>
        <v/>
      </c>
      <c r="F642" s="22">
        <f>IF($L642="","",IF(INDEX(ExpType,$L642)="","—",INDEX(ExpType,$L642)))</f>
        <v/>
      </c>
      <c r="G642" s="24">
        <f>IF($L642="","",IF(INDEX(ExpDep,$L642)=0,"",INDEX(ExpDep,$L642)))</f>
        <v/>
      </c>
      <c r="H642" s="24">
        <f>IF($L642="","",IF(INDEX(ExpWit,$L642)=0,"",INDEX(ExpWit,$L642)))</f>
        <v/>
      </c>
      <c r="I642" s="25">
        <f>IF($B642="","",IF($I641="",0,$I641)+IF($H642="",0,$H642)-IF($G642="",0,$G642))</f>
        <v/>
      </c>
      <c r="J642" s="23">
        <f>IF($L642="","",IF(INDEX(ExpNote,$L642)="","—",INDEX(ExpNote,$L642)))</f>
        <v/>
      </c>
      <c r="L642">
        <f>IFERROR(MATCH($C$5&amp;"|"&amp;RIGHT("000000"&amp;626,6),ExpRankKey,0),"")</f>
        <v/>
      </c>
    </row>
    <row r="643">
      <c r="A643" s="16" t="n">
        <v>627</v>
      </c>
      <c r="B643" s="17">
        <f>IF($L643="","",INDEX(ExpNorm,$L643))</f>
        <v/>
      </c>
      <c r="C643" s="17">
        <f>IF($L643="","",IF(INDEX(ExpTime,$L643)="","—",LEFT(INDEX(ExpTime,$L643),2)&amp;":"&amp;RIGHT(INDEX(ExpTime,$L643),2)))</f>
        <v/>
      </c>
      <c r="D643" s="17">
        <f>IF($L643="","",IF(INDEX(ExpBank,$L643)="","—",INDEX(ExpBank,$L643)))</f>
        <v/>
      </c>
      <c r="E643" s="18">
        <f>IF($L643="","",IF(INDEX(ExpParty,$L643)="","—",IFERROR(VLOOKUP(INDEX(ExpParty,$L643),AcctTbl,4,0),INDEX(ExpParty,$L643))))</f>
        <v/>
      </c>
      <c r="F643" s="17">
        <f>IF($L643="","",IF(INDEX(ExpType,$L643)="","—",INDEX(ExpType,$L643)))</f>
        <v/>
      </c>
      <c r="G643" s="19">
        <f>IF($L643="","",IF(INDEX(ExpDep,$L643)=0,"",INDEX(ExpDep,$L643)))</f>
        <v/>
      </c>
      <c r="H643" s="19">
        <f>IF($L643="","",IF(INDEX(ExpWit,$L643)=0,"",INDEX(ExpWit,$L643)))</f>
        <v/>
      </c>
      <c r="I643" s="20">
        <f>IF($B643="","",IF($I642="",0,$I642)+IF($H643="",0,$H643)-IF($G643="",0,$G643))</f>
        <v/>
      </c>
      <c r="J643" s="18">
        <f>IF($L643="","",IF(INDEX(ExpNote,$L643)="","—",INDEX(ExpNote,$L643)))</f>
        <v/>
      </c>
      <c r="L643">
        <f>IFERROR(MATCH($C$5&amp;"|"&amp;RIGHT("000000"&amp;627,6),ExpRankKey,0),"")</f>
        <v/>
      </c>
    </row>
    <row r="644">
      <c r="A644" s="21" t="n">
        <v>628</v>
      </c>
      <c r="B644" s="22">
        <f>IF($L644="","",INDEX(ExpNorm,$L644))</f>
        <v/>
      </c>
      <c r="C644" s="22">
        <f>IF($L644="","",IF(INDEX(ExpTime,$L644)="","—",LEFT(INDEX(ExpTime,$L644),2)&amp;":"&amp;RIGHT(INDEX(ExpTime,$L644),2)))</f>
        <v/>
      </c>
      <c r="D644" s="22">
        <f>IF($L644="","",IF(INDEX(ExpBank,$L644)="","—",INDEX(ExpBank,$L644)))</f>
        <v/>
      </c>
      <c r="E644" s="23">
        <f>IF($L644="","",IF(INDEX(ExpParty,$L644)="","—",IFERROR(VLOOKUP(INDEX(ExpParty,$L644),AcctTbl,4,0),INDEX(ExpParty,$L644))))</f>
        <v/>
      </c>
      <c r="F644" s="22">
        <f>IF($L644="","",IF(INDEX(ExpType,$L644)="","—",INDEX(ExpType,$L644)))</f>
        <v/>
      </c>
      <c r="G644" s="24">
        <f>IF($L644="","",IF(INDEX(ExpDep,$L644)=0,"",INDEX(ExpDep,$L644)))</f>
        <v/>
      </c>
      <c r="H644" s="24">
        <f>IF($L644="","",IF(INDEX(ExpWit,$L644)=0,"",INDEX(ExpWit,$L644)))</f>
        <v/>
      </c>
      <c r="I644" s="25">
        <f>IF($B644="","",IF($I643="",0,$I643)+IF($H644="",0,$H644)-IF($G644="",0,$G644))</f>
        <v/>
      </c>
      <c r="J644" s="23">
        <f>IF($L644="","",IF(INDEX(ExpNote,$L644)="","—",INDEX(ExpNote,$L644)))</f>
        <v/>
      </c>
      <c r="L644">
        <f>IFERROR(MATCH($C$5&amp;"|"&amp;RIGHT("000000"&amp;628,6),ExpRankKey,0),"")</f>
        <v/>
      </c>
    </row>
    <row r="645">
      <c r="A645" s="16" t="n">
        <v>629</v>
      </c>
      <c r="B645" s="17">
        <f>IF($L645="","",INDEX(ExpNorm,$L645))</f>
        <v/>
      </c>
      <c r="C645" s="17">
        <f>IF($L645="","",IF(INDEX(ExpTime,$L645)="","—",LEFT(INDEX(ExpTime,$L645),2)&amp;":"&amp;RIGHT(INDEX(ExpTime,$L645),2)))</f>
        <v/>
      </c>
      <c r="D645" s="17">
        <f>IF($L645="","",IF(INDEX(ExpBank,$L645)="","—",INDEX(ExpBank,$L645)))</f>
        <v/>
      </c>
      <c r="E645" s="18">
        <f>IF($L645="","",IF(INDEX(ExpParty,$L645)="","—",IFERROR(VLOOKUP(INDEX(ExpParty,$L645),AcctTbl,4,0),INDEX(ExpParty,$L645))))</f>
        <v/>
      </c>
      <c r="F645" s="17">
        <f>IF($L645="","",IF(INDEX(ExpType,$L645)="","—",INDEX(ExpType,$L645)))</f>
        <v/>
      </c>
      <c r="G645" s="19">
        <f>IF($L645="","",IF(INDEX(ExpDep,$L645)=0,"",INDEX(ExpDep,$L645)))</f>
        <v/>
      </c>
      <c r="H645" s="19">
        <f>IF($L645="","",IF(INDEX(ExpWit,$L645)=0,"",INDEX(ExpWit,$L645)))</f>
        <v/>
      </c>
      <c r="I645" s="20">
        <f>IF($B645="","",IF($I644="",0,$I644)+IF($H645="",0,$H645)-IF($G645="",0,$G645))</f>
        <v/>
      </c>
      <c r="J645" s="18">
        <f>IF($L645="","",IF(INDEX(ExpNote,$L645)="","—",INDEX(ExpNote,$L645)))</f>
        <v/>
      </c>
      <c r="L645">
        <f>IFERROR(MATCH($C$5&amp;"|"&amp;RIGHT("000000"&amp;629,6),ExpRankKey,0),"")</f>
        <v/>
      </c>
    </row>
    <row r="646">
      <c r="A646" s="21" t="n">
        <v>630</v>
      </c>
      <c r="B646" s="22">
        <f>IF($L646="","",INDEX(ExpNorm,$L646))</f>
        <v/>
      </c>
      <c r="C646" s="22">
        <f>IF($L646="","",IF(INDEX(ExpTime,$L646)="","—",LEFT(INDEX(ExpTime,$L646),2)&amp;":"&amp;RIGHT(INDEX(ExpTime,$L646),2)))</f>
        <v/>
      </c>
      <c r="D646" s="22">
        <f>IF($L646="","",IF(INDEX(ExpBank,$L646)="","—",INDEX(ExpBank,$L646)))</f>
        <v/>
      </c>
      <c r="E646" s="23">
        <f>IF($L646="","",IF(INDEX(ExpParty,$L646)="","—",IFERROR(VLOOKUP(INDEX(ExpParty,$L646),AcctTbl,4,0),INDEX(ExpParty,$L646))))</f>
        <v/>
      </c>
      <c r="F646" s="22">
        <f>IF($L646="","",IF(INDEX(ExpType,$L646)="","—",INDEX(ExpType,$L646)))</f>
        <v/>
      </c>
      <c r="G646" s="24">
        <f>IF($L646="","",IF(INDEX(ExpDep,$L646)=0,"",INDEX(ExpDep,$L646)))</f>
        <v/>
      </c>
      <c r="H646" s="24">
        <f>IF($L646="","",IF(INDEX(ExpWit,$L646)=0,"",INDEX(ExpWit,$L646)))</f>
        <v/>
      </c>
      <c r="I646" s="25">
        <f>IF($B646="","",IF($I645="",0,$I645)+IF($H646="",0,$H646)-IF($G646="",0,$G646))</f>
        <v/>
      </c>
      <c r="J646" s="23">
        <f>IF($L646="","",IF(INDEX(ExpNote,$L646)="","—",INDEX(ExpNote,$L646)))</f>
        <v/>
      </c>
      <c r="L646">
        <f>IFERROR(MATCH($C$5&amp;"|"&amp;RIGHT("000000"&amp;630,6),ExpRankKey,0),"")</f>
        <v/>
      </c>
    </row>
    <row r="647">
      <c r="A647" s="16" t="n">
        <v>631</v>
      </c>
      <c r="B647" s="17">
        <f>IF($L647="","",INDEX(ExpNorm,$L647))</f>
        <v/>
      </c>
      <c r="C647" s="17">
        <f>IF($L647="","",IF(INDEX(ExpTime,$L647)="","—",LEFT(INDEX(ExpTime,$L647),2)&amp;":"&amp;RIGHT(INDEX(ExpTime,$L647),2)))</f>
        <v/>
      </c>
      <c r="D647" s="17">
        <f>IF($L647="","",IF(INDEX(ExpBank,$L647)="","—",INDEX(ExpBank,$L647)))</f>
        <v/>
      </c>
      <c r="E647" s="18">
        <f>IF($L647="","",IF(INDEX(ExpParty,$L647)="","—",IFERROR(VLOOKUP(INDEX(ExpParty,$L647),AcctTbl,4,0),INDEX(ExpParty,$L647))))</f>
        <v/>
      </c>
      <c r="F647" s="17">
        <f>IF($L647="","",IF(INDEX(ExpType,$L647)="","—",INDEX(ExpType,$L647)))</f>
        <v/>
      </c>
      <c r="G647" s="19">
        <f>IF($L647="","",IF(INDEX(ExpDep,$L647)=0,"",INDEX(ExpDep,$L647)))</f>
        <v/>
      </c>
      <c r="H647" s="19">
        <f>IF($L647="","",IF(INDEX(ExpWit,$L647)=0,"",INDEX(ExpWit,$L647)))</f>
        <v/>
      </c>
      <c r="I647" s="20">
        <f>IF($B647="","",IF($I646="",0,$I646)+IF($H647="",0,$H647)-IF($G647="",0,$G647))</f>
        <v/>
      </c>
      <c r="J647" s="18">
        <f>IF($L647="","",IF(INDEX(ExpNote,$L647)="","—",INDEX(ExpNote,$L647)))</f>
        <v/>
      </c>
      <c r="L647">
        <f>IFERROR(MATCH($C$5&amp;"|"&amp;RIGHT("000000"&amp;631,6),ExpRankKey,0),"")</f>
        <v/>
      </c>
    </row>
    <row r="648">
      <c r="A648" s="21" t="n">
        <v>632</v>
      </c>
      <c r="B648" s="22">
        <f>IF($L648="","",INDEX(ExpNorm,$L648))</f>
        <v/>
      </c>
      <c r="C648" s="22">
        <f>IF($L648="","",IF(INDEX(ExpTime,$L648)="","—",LEFT(INDEX(ExpTime,$L648),2)&amp;":"&amp;RIGHT(INDEX(ExpTime,$L648),2)))</f>
        <v/>
      </c>
      <c r="D648" s="22">
        <f>IF($L648="","",IF(INDEX(ExpBank,$L648)="","—",INDEX(ExpBank,$L648)))</f>
        <v/>
      </c>
      <c r="E648" s="23">
        <f>IF($L648="","",IF(INDEX(ExpParty,$L648)="","—",IFERROR(VLOOKUP(INDEX(ExpParty,$L648),AcctTbl,4,0),INDEX(ExpParty,$L648))))</f>
        <v/>
      </c>
      <c r="F648" s="22">
        <f>IF($L648="","",IF(INDEX(ExpType,$L648)="","—",INDEX(ExpType,$L648)))</f>
        <v/>
      </c>
      <c r="G648" s="24">
        <f>IF($L648="","",IF(INDEX(ExpDep,$L648)=0,"",INDEX(ExpDep,$L648)))</f>
        <v/>
      </c>
      <c r="H648" s="24">
        <f>IF($L648="","",IF(INDEX(ExpWit,$L648)=0,"",INDEX(ExpWit,$L648)))</f>
        <v/>
      </c>
      <c r="I648" s="25">
        <f>IF($B648="","",IF($I647="",0,$I647)+IF($H648="",0,$H648)-IF($G648="",0,$G648))</f>
        <v/>
      </c>
      <c r="J648" s="23">
        <f>IF($L648="","",IF(INDEX(ExpNote,$L648)="","—",INDEX(ExpNote,$L648)))</f>
        <v/>
      </c>
      <c r="L648">
        <f>IFERROR(MATCH($C$5&amp;"|"&amp;RIGHT("000000"&amp;632,6),ExpRankKey,0),"")</f>
        <v/>
      </c>
    </row>
    <row r="649">
      <c r="A649" s="16" t="n">
        <v>633</v>
      </c>
      <c r="B649" s="17">
        <f>IF($L649="","",INDEX(ExpNorm,$L649))</f>
        <v/>
      </c>
      <c r="C649" s="17">
        <f>IF($L649="","",IF(INDEX(ExpTime,$L649)="","—",LEFT(INDEX(ExpTime,$L649),2)&amp;":"&amp;RIGHT(INDEX(ExpTime,$L649),2)))</f>
        <v/>
      </c>
      <c r="D649" s="17">
        <f>IF($L649="","",IF(INDEX(ExpBank,$L649)="","—",INDEX(ExpBank,$L649)))</f>
        <v/>
      </c>
      <c r="E649" s="18">
        <f>IF($L649="","",IF(INDEX(ExpParty,$L649)="","—",IFERROR(VLOOKUP(INDEX(ExpParty,$L649),AcctTbl,4,0),INDEX(ExpParty,$L649))))</f>
        <v/>
      </c>
      <c r="F649" s="17">
        <f>IF($L649="","",IF(INDEX(ExpType,$L649)="","—",INDEX(ExpType,$L649)))</f>
        <v/>
      </c>
      <c r="G649" s="19">
        <f>IF($L649="","",IF(INDEX(ExpDep,$L649)=0,"",INDEX(ExpDep,$L649)))</f>
        <v/>
      </c>
      <c r="H649" s="19">
        <f>IF($L649="","",IF(INDEX(ExpWit,$L649)=0,"",INDEX(ExpWit,$L649)))</f>
        <v/>
      </c>
      <c r="I649" s="20">
        <f>IF($B649="","",IF($I648="",0,$I648)+IF($H649="",0,$H649)-IF($G649="",0,$G649))</f>
        <v/>
      </c>
      <c r="J649" s="18">
        <f>IF($L649="","",IF(INDEX(ExpNote,$L649)="","—",INDEX(ExpNote,$L649)))</f>
        <v/>
      </c>
      <c r="L649">
        <f>IFERROR(MATCH($C$5&amp;"|"&amp;RIGHT("000000"&amp;633,6),ExpRankKey,0),"")</f>
        <v/>
      </c>
    </row>
    <row r="650">
      <c r="A650" s="21" t="n">
        <v>634</v>
      </c>
      <c r="B650" s="22">
        <f>IF($L650="","",INDEX(ExpNorm,$L650))</f>
        <v/>
      </c>
      <c r="C650" s="22">
        <f>IF($L650="","",IF(INDEX(ExpTime,$L650)="","—",LEFT(INDEX(ExpTime,$L650),2)&amp;":"&amp;RIGHT(INDEX(ExpTime,$L650),2)))</f>
        <v/>
      </c>
      <c r="D650" s="22">
        <f>IF($L650="","",IF(INDEX(ExpBank,$L650)="","—",INDEX(ExpBank,$L650)))</f>
        <v/>
      </c>
      <c r="E650" s="23">
        <f>IF($L650="","",IF(INDEX(ExpParty,$L650)="","—",IFERROR(VLOOKUP(INDEX(ExpParty,$L650),AcctTbl,4,0),INDEX(ExpParty,$L650))))</f>
        <v/>
      </c>
      <c r="F650" s="22">
        <f>IF($L650="","",IF(INDEX(ExpType,$L650)="","—",INDEX(ExpType,$L650)))</f>
        <v/>
      </c>
      <c r="G650" s="24">
        <f>IF($L650="","",IF(INDEX(ExpDep,$L650)=0,"",INDEX(ExpDep,$L650)))</f>
        <v/>
      </c>
      <c r="H650" s="24">
        <f>IF($L650="","",IF(INDEX(ExpWit,$L650)=0,"",INDEX(ExpWit,$L650)))</f>
        <v/>
      </c>
      <c r="I650" s="25">
        <f>IF($B650="","",IF($I649="",0,$I649)+IF($H650="",0,$H650)-IF($G650="",0,$G650))</f>
        <v/>
      </c>
      <c r="J650" s="23">
        <f>IF($L650="","",IF(INDEX(ExpNote,$L650)="","—",INDEX(ExpNote,$L650)))</f>
        <v/>
      </c>
      <c r="L650">
        <f>IFERROR(MATCH($C$5&amp;"|"&amp;RIGHT("000000"&amp;634,6),ExpRankKey,0),"")</f>
        <v/>
      </c>
    </row>
    <row r="651">
      <c r="A651" s="16" t="n">
        <v>635</v>
      </c>
      <c r="B651" s="17">
        <f>IF($L651="","",INDEX(ExpNorm,$L651))</f>
        <v/>
      </c>
      <c r="C651" s="17">
        <f>IF($L651="","",IF(INDEX(ExpTime,$L651)="","—",LEFT(INDEX(ExpTime,$L651),2)&amp;":"&amp;RIGHT(INDEX(ExpTime,$L651),2)))</f>
        <v/>
      </c>
      <c r="D651" s="17">
        <f>IF($L651="","",IF(INDEX(ExpBank,$L651)="","—",INDEX(ExpBank,$L651)))</f>
        <v/>
      </c>
      <c r="E651" s="18">
        <f>IF($L651="","",IF(INDEX(ExpParty,$L651)="","—",IFERROR(VLOOKUP(INDEX(ExpParty,$L651),AcctTbl,4,0),INDEX(ExpParty,$L651))))</f>
        <v/>
      </c>
      <c r="F651" s="17">
        <f>IF($L651="","",IF(INDEX(ExpType,$L651)="","—",INDEX(ExpType,$L651)))</f>
        <v/>
      </c>
      <c r="G651" s="19">
        <f>IF($L651="","",IF(INDEX(ExpDep,$L651)=0,"",INDEX(ExpDep,$L651)))</f>
        <v/>
      </c>
      <c r="H651" s="19">
        <f>IF($L651="","",IF(INDEX(ExpWit,$L651)=0,"",INDEX(ExpWit,$L651)))</f>
        <v/>
      </c>
      <c r="I651" s="20">
        <f>IF($B651="","",IF($I650="",0,$I650)+IF($H651="",0,$H651)-IF($G651="",0,$G651))</f>
        <v/>
      </c>
      <c r="J651" s="18">
        <f>IF($L651="","",IF(INDEX(ExpNote,$L651)="","—",INDEX(ExpNote,$L651)))</f>
        <v/>
      </c>
      <c r="L651">
        <f>IFERROR(MATCH($C$5&amp;"|"&amp;RIGHT("000000"&amp;635,6),ExpRankKey,0),"")</f>
        <v/>
      </c>
    </row>
    <row r="652">
      <c r="A652" s="21" t="n">
        <v>636</v>
      </c>
      <c r="B652" s="22">
        <f>IF($L652="","",INDEX(ExpNorm,$L652))</f>
        <v/>
      </c>
      <c r="C652" s="22">
        <f>IF($L652="","",IF(INDEX(ExpTime,$L652)="","—",LEFT(INDEX(ExpTime,$L652),2)&amp;":"&amp;RIGHT(INDEX(ExpTime,$L652),2)))</f>
        <v/>
      </c>
      <c r="D652" s="22">
        <f>IF($L652="","",IF(INDEX(ExpBank,$L652)="","—",INDEX(ExpBank,$L652)))</f>
        <v/>
      </c>
      <c r="E652" s="23">
        <f>IF($L652="","",IF(INDEX(ExpParty,$L652)="","—",IFERROR(VLOOKUP(INDEX(ExpParty,$L652),AcctTbl,4,0),INDEX(ExpParty,$L652))))</f>
        <v/>
      </c>
      <c r="F652" s="22">
        <f>IF($L652="","",IF(INDEX(ExpType,$L652)="","—",INDEX(ExpType,$L652)))</f>
        <v/>
      </c>
      <c r="G652" s="24">
        <f>IF($L652="","",IF(INDEX(ExpDep,$L652)=0,"",INDEX(ExpDep,$L652)))</f>
        <v/>
      </c>
      <c r="H652" s="24">
        <f>IF($L652="","",IF(INDEX(ExpWit,$L652)=0,"",INDEX(ExpWit,$L652)))</f>
        <v/>
      </c>
      <c r="I652" s="25">
        <f>IF($B652="","",IF($I651="",0,$I651)+IF($H652="",0,$H652)-IF($G652="",0,$G652))</f>
        <v/>
      </c>
      <c r="J652" s="23">
        <f>IF($L652="","",IF(INDEX(ExpNote,$L652)="","—",INDEX(ExpNote,$L652)))</f>
        <v/>
      </c>
      <c r="L652">
        <f>IFERROR(MATCH($C$5&amp;"|"&amp;RIGHT("000000"&amp;636,6),ExpRankKey,0),"")</f>
        <v/>
      </c>
    </row>
    <row r="653">
      <c r="A653" s="16" t="n">
        <v>637</v>
      </c>
      <c r="B653" s="17">
        <f>IF($L653="","",INDEX(ExpNorm,$L653))</f>
        <v/>
      </c>
      <c r="C653" s="17">
        <f>IF($L653="","",IF(INDEX(ExpTime,$L653)="","—",LEFT(INDEX(ExpTime,$L653),2)&amp;":"&amp;RIGHT(INDEX(ExpTime,$L653),2)))</f>
        <v/>
      </c>
      <c r="D653" s="17">
        <f>IF($L653="","",IF(INDEX(ExpBank,$L653)="","—",INDEX(ExpBank,$L653)))</f>
        <v/>
      </c>
      <c r="E653" s="18">
        <f>IF($L653="","",IF(INDEX(ExpParty,$L653)="","—",IFERROR(VLOOKUP(INDEX(ExpParty,$L653),AcctTbl,4,0),INDEX(ExpParty,$L653))))</f>
        <v/>
      </c>
      <c r="F653" s="17">
        <f>IF($L653="","",IF(INDEX(ExpType,$L653)="","—",INDEX(ExpType,$L653)))</f>
        <v/>
      </c>
      <c r="G653" s="19">
        <f>IF($L653="","",IF(INDEX(ExpDep,$L653)=0,"",INDEX(ExpDep,$L653)))</f>
        <v/>
      </c>
      <c r="H653" s="19">
        <f>IF($L653="","",IF(INDEX(ExpWit,$L653)=0,"",INDEX(ExpWit,$L653)))</f>
        <v/>
      </c>
      <c r="I653" s="20">
        <f>IF($B653="","",IF($I652="",0,$I652)+IF($H653="",0,$H653)-IF($G653="",0,$G653))</f>
        <v/>
      </c>
      <c r="J653" s="18">
        <f>IF($L653="","",IF(INDEX(ExpNote,$L653)="","—",INDEX(ExpNote,$L653)))</f>
        <v/>
      </c>
      <c r="L653">
        <f>IFERROR(MATCH($C$5&amp;"|"&amp;RIGHT("000000"&amp;637,6),ExpRankKey,0),"")</f>
        <v/>
      </c>
    </row>
    <row r="654">
      <c r="A654" s="21" t="n">
        <v>638</v>
      </c>
      <c r="B654" s="22">
        <f>IF($L654="","",INDEX(ExpNorm,$L654))</f>
        <v/>
      </c>
      <c r="C654" s="22">
        <f>IF($L654="","",IF(INDEX(ExpTime,$L654)="","—",LEFT(INDEX(ExpTime,$L654),2)&amp;":"&amp;RIGHT(INDEX(ExpTime,$L654),2)))</f>
        <v/>
      </c>
      <c r="D654" s="22">
        <f>IF($L654="","",IF(INDEX(ExpBank,$L654)="","—",INDEX(ExpBank,$L654)))</f>
        <v/>
      </c>
      <c r="E654" s="23">
        <f>IF($L654="","",IF(INDEX(ExpParty,$L654)="","—",IFERROR(VLOOKUP(INDEX(ExpParty,$L654),AcctTbl,4,0),INDEX(ExpParty,$L654))))</f>
        <v/>
      </c>
      <c r="F654" s="22">
        <f>IF($L654="","",IF(INDEX(ExpType,$L654)="","—",INDEX(ExpType,$L654)))</f>
        <v/>
      </c>
      <c r="G654" s="24">
        <f>IF($L654="","",IF(INDEX(ExpDep,$L654)=0,"",INDEX(ExpDep,$L654)))</f>
        <v/>
      </c>
      <c r="H654" s="24">
        <f>IF($L654="","",IF(INDEX(ExpWit,$L654)=0,"",INDEX(ExpWit,$L654)))</f>
        <v/>
      </c>
      <c r="I654" s="25">
        <f>IF($B654="","",IF($I653="",0,$I653)+IF($H654="",0,$H654)-IF($G654="",0,$G654))</f>
        <v/>
      </c>
      <c r="J654" s="23">
        <f>IF($L654="","",IF(INDEX(ExpNote,$L654)="","—",INDEX(ExpNote,$L654)))</f>
        <v/>
      </c>
      <c r="L654">
        <f>IFERROR(MATCH($C$5&amp;"|"&amp;RIGHT("000000"&amp;638,6),ExpRankKey,0),"")</f>
        <v/>
      </c>
    </row>
    <row r="655">
      <c r="A655" s="16" t="n">
        <v>639</v>
      </c>
      <c r="B655" s="17">
        <f>IF($L655="","",INDEX(ExpNorm,$L655))</f>
        <v/>
      </c>
      <c r="C655" s="17">
        <f>IF($L655="","",IF(INDEX(ExpTime,$L655)="","—",LEFT(INDEX(ExpTime,$L655),2)&amp;":"&amp;RIGHT(INDEX(ExpTime,$L655),2)))</f>
        <v/>
      </c>
      <c r="D655" s="17">
        <f>IF($L655="","",IF(INDEX(ExpBank,$L655)="","—",INDEX(ExpBank,$L655)))</f>
        <v/>
      </c>
      <c r="E655" s="18">
        <f>IF($L655="","",IF(INDEX(ExpParty,$L655)="","—",IFERROR(VLOOKUP(INDEX(ExpParty,$L655),AcctTbl,4,0),INDEX(ExpParty,$L655))))</f>
        <v/>
      </c>
      <c r="F655" s="17">
        <f>IF($L655="","",IF(INDEX(ExpType,$L655)="","—",INDEX(ExpType,$L655)))</f>
        <v/>
      </c>
      <c r="G655" s="19">
        <f>IF($L655="","",IF(INDEX(ExpDep,$L655)=0,"",INDEX(ExpDep,$L655)))</f>
        <v/>
      </c>
      <c r="H655" s="19">
        <f>IF($L655="","",IF(INDEX(ExpWit,$L655)=0,"",INDEX(ExpWit,$L655)))</f>
        <v/>
      </c>
      <c r="I655" s="20">
        <f>IF($B655="","",IF($I654="",0,$I654)+IF($H655="",0,$H655)-IF($G655="",0,$G655))</f>
        <v/>
      </c>
      <c r="J655" s="18">
        <f>IF($L655="","",IF(INDEX(ExpNote,$L655)="","—",INDEX(ExpNote,$L655)))</f>
        <v/>
      </c>
      <c r="L655">
        <f>IFERROR(MATCH($C$5&amp;"|"&amp;RIGHT("000000"&amp;639,6),ExpRankKey,0),"")</f>
        <v/>
      </c>
    </row>
    <row r="656">
      <c r="A656" s="21" t="n">
        <v>640</v>
      </c>
      <c r="B656" s="22">
        <f>IF($L656="","",INDEX(ExpNorm,$L656))</f>
        <v/>
      </c>
      <c r="C656" s="22">
        <f>IF($L656="","",IF(INDEX(ExpTime,$L656)="","—",LEFT(INDEX(ExpTime,$L656),2)&amp;":"&amp;RIGHT(INDEX(ExpTime,$L656),2)))</f>
        <v/>
      </c>
      <c r="D656" s="22">
        <f>IF($L656="","",IF(INDEX(ExpBank,$L656)="","—",INDEX(ExpBank,$L656)))</f>
        <v/>
      </c>
      <c r="E656" s="23">
        <f>IF($L656="","",IF(INDEX(ExpParty,$L656)="","—",IFERROR(VLOOKUP(INDEX(ExpParty,$L656),AcctTbl,4,0),INDEX(ExpParty,$L656))))</f>
        <v/>
      </c>
      <c r="F656" s="22">
        <f>IF($L656="","",IF(INDEX(ExpType,$L656)="","—",INDEX(ExpType,$L656)))</f>
        <v/>
      </c>
      <c r="G656" s="24">
        <f>IF($L656="","",IF(INDEX(ExpDep,$L656)=0,"",INDEX(ExpDep,$L656)))</f>
        <v/>
      </c>
      <c r="H656" s="24">
        <f>IF($L656="","",IF(INDEX(ExpWit,$L656)=0,"",INDEX(ExpWit,$L656)))</f>
        <v/>
      </c>
      <c r="I656" s="25">
        <f>IF($B656="","",IF($I655="",0,$I655)+IF($H656="",0,$H656)-IF($G656="",0,$G656))</f>
        <v/>
      </c>
      <c r="J656" s="23">
        <f>IF($L656="","",IF(INDEX(ExpNote,$L656)="","—",INDEX(ExpNote,$L656)))</f>
        <v/>
      </c>
      <c r="L656">
        <f>IFERROR(MATCH($C$5&amp;"|"&amp;RIGHT("000000"&amp;640,6),ExpRankKey,0),"")</f>
        <v/>
      </c>
    </row>
    <row r="657">
      <c r="A657" s="16" t="n">
        <v>641</v>
      </c>
      <c r="B657" s="17">
        <f>IF($L657="","",INDEX(ExpNorm,$L657))</f>
        <v/>
      </c>
      <c r="C657" s="17">
        <f>IF($L657="","",IF(INDEX(ExpTime,$L657)="","—",LEFT(INDEX(ExpTime,$L657),2)&amp;":"&amp;RIGHT(INDEX(ExpTime,$L657),2)))</f>
        <v/>
      </c>
      <c r="D657" s="17">
        <f>IF($L657="","",IF(INDEX(ExpBank,$L657)="","—",INDEX(ExpBank,$L657)))</f>
        <v/>
      </c>
      <c r="E657" s="18">
        <f>IF($L657="","",IF(INDEX(ExpParty,$L657)="","—",IFERROR(VLOOKUP(INDEX(ExpParty,$L657),AcctTbl,4,0),INDEX(ExpParty,$L657))))</f>
        <v/>
      </c>
      <c r="F657" s="17">
        <f>IF($L657="","",IF(INDEX(ExpType,$L657)="","—",INDEX(ExpType,$L657)))</f>
        <v/>
      </c>
      <c r="G657" s="19">
        <f>IF($L657="","",IF(INDEX(ExpDep,$L657)=0,"",INDEX(ExpDep,$L657)))</f>
        <v/>
      </c>
      <c r="H657" s="19">
        <f>IF($L657="","",IF(INDEX(ExpWit,$L657)=0,"",INDEX(ExpWit,$L657)))</f>
        <v/>
      </c>
      <c r="I657" s="20">
        <f>IF($B657="","",IF($I656="",0,$I656)+IF($H657="",0,$H657)-IF($G657="",0,$G657))</f>
        <v/>
      </c>
      <c r="J657" s="18">
        <f>IF($L657="","",IF(INDEX(ExpNote,$L657)="","—",INDEX(ExpNote,$L657)))</f>
        <v/>
      </c>
      <c r="L657">
        <f>IFERROR(MATCH($C$5&amp;"|"&amp;RIGHT("000000"&amp;641,6),ExpRankKey,0),"")</f>
        <v/>
      </c>
    </row>
    <row r="658">
      <c r="A658" s="21" t="n">
        <v>642</v>
      </c>
      <c r="B658" s="22">
        <f>IF($L658="","",INDEX(ExpNorm,$L658))</f>
        <v/>
      </c>
      <c r="C658" s="22">
        <f>IF($L658="","",IF(INDEX(ExpTime,$L658)="","—",LEFT(INDEX(ExpTime,$L658),2)&amp;":"&amp;RIGHT(INDEX(ExpTime,$L658),2)))</f>
        <v/>
      </c>
      <c r="D658" s="22">
        <f>IF($L658="","",IF(INDEX(ExpBank,$L658)="","—",INDEX(ExpBank,$L658)))</f>
        <v/>
      </c>
      <c r="E658" s="23">
        <f>IF($L658="","",IF(INDEX(ExpParty,$L658)="","—",IFERROR(VLOOKUP(INDEX(ExpParty,$L658),AcctTbl,4,0),INDEX(ExpParty,$L658))))</f>
        <v/>
      </c>
      <c r="F658" s="22">
        <f>IF($L658="","",IF(INDEX(ExpType,$L658)="","—",INDEX(ExpType,$L658)))</f>
        <v/>
      </c>
      <c r="G658" s="24">
        <f>IF($L658="","",IF(INDEX(ExpDep,$L658)=0,"",INDEX(ExpDep,$L658)))</f>
        <v/>
      </c>
      <c r="H658" s="24">
        <f>IF($L658="","",IF(INDEX(ExpWit,$L658)=0,"",INDEX(ExpWit,$L658)))</f>
        <v/>
      </c>
      <c r="I658" s="25">
        <f>IF($B658="","",IF($I657="",0,$I657)+IF($H658="",0,$H658)-IF($G658="",0,$G658))</f>
        <v/>
      </c>
      <c r="J658" s="23">
        <f>IF($L658="","",IF(INDEX(ExpNote,$L658)="","—",INDEX(ExpNote,$L658)))</f>
        <v/>
      </c>
      <c r="L658">
        <f>IFERROR(MATCH($C$5&amp;"|"&amp;RIGHT("000000"&amp;642,6),ExpRankKey,0),"")</f>
        <v/>
      </c>
    </row>
    <row r="659">
      <c r="A659" s="16" t="n">
        <v>643</v>
      </c>
      <c r="B659" s="17">
        <f>IF($L659="","",INDEX(ExpNorm,$L659))</f>
        <v/>
      </c>
      <c r="C659" s="17">
        <f>IF($L659="","",IF(INDEX(ExpTime,$L659)="","—",LEFT(INDEX(ExpTime,$L659),2)&amp;":"&amp;RIGHT(INDEX(ExpTime,$L659),2)))</f>
        <v/>
      </c>
      <c r="D659" s="17">
        <f>IF($L659="","",IF(INDEX(ExpBank,$L659)="","—",INDEX(ExpBank,$L659)))</f>
        <v/>
      </c>
      <c r="E659" s="18">
        <f>IF($L659="","",IF(INDEX(ExpParty,$L659)="","—",IFERROR(VLOOKUP(INDEX(ExpParty,$L659),AcctTbl,4,0),INDEX(ExpParty,$L659))))</f>
        <v/>
      </c>
      <c r="F659" s="17">
        <f>IF($L659="","",IF(INDEX(ExpType,$L659)="","—",INDEX(ExpType,$L659)))</f>
        <v/>
      </c>
      <c r="G659" s="19">
        <f>IF($L659="","",IF(INDEX(ExpDep,$L659)=0,"",INDEX(ExpDep,$L659)))</f>
        <v/>
      </c>
      <c r="H659" s="19">
        <f>IF($L659="","",IF(INDEX(ExpWit,$L659)=0,"",INDEX(ExpWit,$L659)))</f>
        <v/>
      </c>
      <c r="I659" s="20">
        <f>IF($B659="","",IF($I658="",0,$I658)+IF($H659="",0,$H659)-IF($G659="",0,$G659))</f>
        <v/>
      </c>
      <c r="J659" s="18">
        <f>IF($L659="","",IF(INDEX(ExpNote,$L659)="","—",INDEX(ExpNote,$L659)))</f>
        <v/>
      </c>
      <c r="L659">
        <f>IFERROR(MATCH($C$5&amp;"|"&amp;RIGHT("000000"&amp;643,6),ExpRankKey,0),"")</f>
        <v/>
      </c>
    </row>
    <row r="660">
      <c r="A660" s="21" t="n">
        <v>644</v>
      </c>
      <c r="B660" s="22">
        <f>IF($L660="","",INDEX(ExpNorm,$L660))</f>
        <v/>
      </c>
      <c r="C660" s="22">
        <f>IF($L660="","",IF(INDEX(ExpTime,$L660)="","—",LEFT(INDEX(ExpTime,$L660),2)&amp;":"&amp;RIGHT(INDEX(ExpTime,$L660),2)))</f>
        <v/>
      </c>
      <c r="D660" s="22">
        <f>IF($L660="","",IF(INDEX(ExpBank,$L660)="","—",INDEX(ExpBank,$L660)))</f>
        <v/>
      </c>
      <c r="E660" s="23">
        <f>IF($L660="","",IF(INDEX(ExpParty,$L660)="","—",IFERROR(VLOOKUP(INDEX(ExpParty,$L660),AcctTbl,4,0),INDEX(ExpParty,$L660))))</f>
        <v/>
      </c>
      <c r="F660" s="22">
        <f>IF($L660="","",IF(INDEX(ExpType,$L660)="","—",INDEX(ExpType,$L660)))</f>
        <v/>
      </c>
      <c r="G660" s="24">
        <f>IF($L660="","",IF(INDEX(ExpDep,$L660)=0,"",INDEX(ExpDep,$L660)))</f>
        <v/>
      </c>
      <c r="H660" s="24">
        <f>IF($L660="","",IF(INDEX(ExpWit,$L660)=0,"",INDEX(ExpWit,$L660)))</f>
        <v/>
      </c>
      <c r="I660" s="25">
        <f>IF($B660="","",IF($I659="",0,$I659)+IF($H660="",0,$H660)-IF($G660="",0,$G660))</f>
        <v/>
      </c>
      <c r="J660" s="23">
        <f>IF($L660="","",IF(INDEX(ExpNote,$L660)="","—",INDEX(ExpNote,$L660)))</f>
        <v/>
      </c>
      <c r="L660">
        <f>IFERROR(MATCH($C$5&amp;"|"&amp;RIGHT("000000"&amp;644,6),ExpRankKey,0),"")</f>
        <v/>
      </c>
    </row>
    <row r="661">
      <c r="A661" s="16" t="n">
        <v>645</v>
      </c>
      <c r="B661" s="17">
        <f>IF($L661="","",INDEX(ExpNorm,$L661))</f>
        <v/>
      </c>
      <c r="C661" s="17">
        <f>IF($L661="","",IF(INDEX(ExpTime,$L661)="","—",LEFT(INDEX(ExpTime,$L661),2)&amp;":"&amp;RIGHT(INDEX(ExpTime,$L661),2)))</f>
        <v/>
      </c>
      <c r="D661" s="17">
        <f>IF($L661="","",IF(INDEX(ExpBank,$L661)="","—",INDEX(ExpBank,$L661)))</f>
        <v/>
      </c>
      <c r="E661" s="18">
        <f>IF($L661="","",IF(INDEX(ExpParty,$L661)="","—",IFERROR(VLOOKUP(INDEX(ExpParty,$L661),AcctTbl,4,0),INDEX(ExpParty,$L661))))</f>
        <v/>
      </c>
      <c r="F661" s="17">
        <f>IF($L661="","",IF(INDEX(ExpType,$L661)="","—",INDEX(ExpType,$L661)))</f>
        <v/>
      </c>
      <c r="G661" s="19">
        <f>IF($L661="","",IF(INDEX(ExpDep,$L661)=0,"",INDEX(ExpDep,$L661)))</f>
        <v/>
      </c>
      <c r="H661" s="19">
        <f>IF($L661="","",IF(INDEX(ExpWit,$L661)=0,"",INDEX(ExpWit,$L661)))</f>
        <v/>
      </c>
      <c r="I661" s="20">
        <f>IF($B661="","",IF($I660="",0,$I660)+IF($H661="",0,$H661)-IF($G661="",0,$G661))</f>
        <v/>
      </c>
      <c r="J661" s="18">
        <f>IF($L661="","",IF(INDEX(ExpNote,$L661)="","—",INDEX(ExpNote,$L661)))</f>
        <v/>
      </c>
      <c r="L661">
        <f>IFERROR(MATCH($C$5&amp;"|"&amp;RIGHT("000000"&amp;645,6),ExpRankKey,0),"")</f>
        <v/>
      </c>
    </row>
    <row r="662">
      <c r="A662" s="21" t="n">
        <v>646</v>
      </c>
      <c r="B662" s="22">
        <f>IF($L662="","",INDEX(ExpNorm,$L662))</f>
        <v/>
      </c>
      <c r="C662" s="22">
        <f>IF($L662="","",IF(INDEX(ExpTime,$L662)="","—",LEFT(INDEX(ExpTime,$L662),2)&amp;":"&amp;RIGHT(INDEX(ExpTime,$L662),2)))</f>
        <v/>
      </c>
      <c r="D662" s="22">
        <f>IF($L662="","",IF(INDEX(ExpBank,$L662)="","—",INDEX(ExpBank,$L662)))</f>
        <v/>
      </c>
      <c r="E662" s="23">
        <f>IF($L662="","",IF(INDEX(ExpParty,$L662)="","—",IFERROR(VLOOKUP(INDEX(ExpParty,$L662),AcctTbl,4,0),INDEX(ExpParty,$L662))))</f>
        <v/>
      </c>
      <c r="F662" s="22">
        <f>IF($L662="","",IF(INDEX(ExpType,$L662)="","—",INDEX(ExpType,$L662)))</f>
        <v/>
      </c>
      <c r="G662" s="24">
        <f>IF($L662="","",IF(INDEX(ExpDep,$L662)=0,"",INDEX(ExpDep,$L662)))</f>
        <v/>
      </c>
      <c r="H662" s="24">
        <f>IF($L662="","",IF(INDEX(ExpWit,$L662)=0,"",INDEX(ExpWit,$L662)))</f>
        <v/>
      </c>
      <c r="I662" s="25">
        <f>IF($B662="","",IF($I661="",0,$I661)+IF($H662="",0,$H662)-IF($G662="",0,$G662))</f>
        <v/>
      </c>
      <c r="J662" s="23">
        <f>IF($L662="","",IF(INDEX(ExpNote,$L662)="","—",INDEX(ExpNote,$L662)))</f>
        <v/>
      </c>
      <c r="L662">
        <f>IFERROR(MATCH($C$5&amp;"|"&amp;RIGHT("000000"&amp;646,6),ExpRankKey,0),"")</f>
        <v/>
      </c>
    </row>
    <row r="663">
      <c r="A663" s="16" t="n">
        <v>647</v>
      </c>
      <c r="B663" s="17">
        <f>IF($L663="","",INDEX(ExpNorm,$L663))</f>
        <v/>
      </c>
      <c r="C663" s="17">
        <f>IF($L663="","",IF(INDEX(ExpTime,$L663)="","—",LEFT(INDEX(ExpTime,$L663),2)&amp;":"&amp;RIGHT(INDEX(ExpTime,$L663),2)))</f>
        <v/>
      </c>
      <c r="D663" s="17">
        <f>IF($L663="","",IF(INDEX(ExpBank,$L663)="","—",INDEX(ExpBank,$L663)))</f>
        <v/>
      </c>
      <c r="E663" s="18">
        <f>IF($L663="","",IF(INDEX(ExpParty,$L663)="","—",IFERROR(VLOOKUP(INDEX(ExpParty,$L663),AcctTbl,4,0),INDEX(ExpParty,$L663))))</f>
        <v/>
      </c>
      <c r="F663" s="17">
        <f>IF($L663="","",IF(INDEX(ExpType,$L663)="","—",INDEX(ExpType,$L663)))</f>
        <v/>
      </c>
      <c r="G663" s="19">
        <f>IF($L663="","",IF(INDEX(ExpDep,$L663)=0,"",INDEX(ExpDep,$L663)))</f>
        <v/>
      </c>
      <c r="H663" s="19">
        <f>IF($L663="","",IF(INDEX(ExpWit,$L663)=0,"",INDEX(ExpWit,$L663)))</f>
        <v/>
      </c>
      <c r="I663" s="20">
        <f>IF($B663="","",IF($I662="",0,$I662)+IF($H663="",0,$H663)-IF($G663="",0,$G663))</f>
        <v/>
      </c>
      <c r="J663" s="18">
        <f>IF($L663="","",IF(INDEX(ExpNote,$L663)="","—",INDEX(ExpNote,$L663)))</f>
        <v/>
      </c>
      <c r="L663">
        <f>IFERROR(MATCH($C$5&amp;"|"&amp;RIGHT("000000"&amp;647,6),ExpRankKey,0),"")</f>
        <v/>
      </c>
    </row>
    <row r="664">
      <c r="A664" s="21" t="n">
        <v>648</v>
      </c>
      <c r="B664" s="22">
        <f>IF($L664="","",INDEX(ExpNorm,$L664))</f>
        <v/>
      </c>
      <c r="C664" s="22">
        <f>IF($L664="","",IF(INDEX(ExpTime,$L664)="","—",LEFT(INDEX(ExpTime,$L664),2)&amp;":"&amp;RIGHT(INDEX(ExpTime,$L664),2)))</f>
        <v/>
      </c>
      <c r="D664" s="22">
        <f>IF($L664="","",IF(INDEX(ExpBank,$L664)="","—",INDEX(ExpBank,$L664)))</f>
        <v/>
      </c>
      <c r="E664" s="23">
        <f>IF($L664="","",IF(INDEX(ExpParty,$L664)="","—",IFERROR(VLOOKUP(INDEX(ExpParty,$L664),AcctTbl,4,0),INDEX(ExpParty,$L664))))</f>
        <v/>
      </c>
      <c r="F664" s="22">
        <f>IF($L664="","",IF(INDEX(ExpType,$L664)="","—",INDEX(ExpType,$L664)))</f>
        <v/>
      </c>
      <c r="G664" s="24">
        <f>IF($L664="","",IF(INDEX(ExpDep,$L664)=0,"",INDEX(ExpDep,$L664)))</f>
        <v/>
      </c>
      <c r="H664" s="24">
        <f>IF($L664="","",IF(INDEX(ExpWit,$L664)=0,"",INDEX(ExpWit,$L664)))</f>
        <v/>
      </c>
      <c r="I664" s="25">
        <f>IF($B664="","",IF($I663="",0,$I663)+IF($H664="",0,$H664)-IF($G664="",0,$G664))</f>
        <v/>
      </c>
      <c r="J664" s="23">
        <f>IF($L664="","",IF(INDEX(ExpNote,$L664)="","—",INDEX(ExpNote,$L664)))</f>
        <v/>
      </c>
      <c r="L664">
        <f>IFERROR(MATCH($C$5&amp;"|"&amp;RIGHT("000000"&amp;648,6),ExpRankKey,0),"")</f>
        <v/>
      </c>
    </row>
    <row r="665">
      <c r="A665" s="16" t="n">
        <v>649</v>
      </c>
      <c r="B665" s="17">
        <f>IF($L665="","",INDEX(ExpNorm,$L665))</f>
        <v/>
      </c>
      <c r="C665" s="17">
        <f>IF($L665="","",IF(INDEX(ExpTime,$L665)="","—",LEFT(INDEX(ExpTime,$L665),2)&amp;":"&amp;RIGHT(INDEX(ExpTime,$L665),2)))</f>
        <v/>
      </c>
      <c r="D665" s="17">
        <f>IF($L665="","",IF(INDEX(ExpBank,$L665)="","—",INDEX(ExpBank,$L665)))</f>
        <v/>
      </c>
      <c r="E665" s="18">
        <f>IF($L665="","",IF(INDEX(ExpParty,$L665)="","—",IFERROR(VLOOKUP(INDEX(ExpParty,$L665),AcctTbl,4,0),INDEX(ExpParty,$L665))))</f>
        <v/>
      </c>
      <c r="F665" s="17">
        <f>IF($L665="","",IF(INDEX(ExpType,$L665)="","—",INDEX(ExpType,$L665)))</f>
        <v/>
      </c>
      <c r="G665" s="19">
        <f>IF($L665="","",IF(INDEX(ExpDep,$L665)=0,"",INDEX(ExpDep,$L665)))</f>
        <v/>
      </c>
      <c r="H665" s="19">
        <f>IF($L665="","",IF(INDEX(ExpWit,$L665)=0,"",INDEX(ExpWit,$L665)))</f>
        <v/>
      </c>
      <c r="I665" s="20">
        <f>IF($B665="","",IF($I664="",0,$I664)+IF($H665="",0,$H665)-IF($G665="",0,$G665))</f>
        <v/>
      </c>
      <c r="J665" s="18">
        <f>IF($L665="","",IF(INDEX(ExpNote,$L665)="","—",INDEX(ExpNote,$L665)))</f>
        <v/>
      </c>
      <c r="L665">
        <f>IFERROR(MATCH($C$5&amp;"|"&amp;RIGHT("000000"&amp;649,6),ExpRankKey,0),"")</f>
        <v/>
      </c>
    </row>
    <row r="666">
      <c r="A666" s="21" t="n">
        <v>650</v>
      </c>
      <c r="B666" s="22">
        <f>IF($L666="","",INDEX(ExpNorm,$L666))</f>
        <v/>
      </c>
      <c r="C666" s="22">
        <f>IF($L666="","",IF(INDEX(ExpTime,$L666)="","—",LEFT(INDEX(ExpTime,$L666),2)&amp;":"&amp;RIGHT(INDEX(ExpTime,$L666),2)))</f>
        <v/>
      </c>
      <c r="D666" s="22">
        <f>IF($L666="","",IF(INDEX(ExpBank,$L666)="","—",INDEX(ExpBank,$L666)))</f>
        <v/>
      </c>
      <c r="E666" s="23">
        <f>IF($L666="","",IF(INDEX(ExpParty,$L666)="","—",IFERROR(VLOOKUP(INDEX(ExpParty,$L666),AcctTbl,4,0),INDEX(ExpParty,$L666))))</f>
        <v/>
      </c>
      <c r="F666" s="22">
        <f>IF($L666="","",IF(INDEX(ExpType,$L666)="","—",INDEX(ExpType,$L666)))</f>
        <v/>
      </c>
      <c r="G666" s="24">
        <f>IF($L666="","",IF(INDEX(ExpDep,$L666)=0,"",INDEX(ExpDep,$L666)))</f>
        <v/>
      </c>
      <c r="H666" s="24">
        <f>IF($L666="","",IF(INDEX(ExpWit,$L666)=0,"",INDEX(ExpWit,$L666)))</f>
        <v/>
      </c>
      <c r="I666" s="25">
        <f>IF($B666="","",IF($I665="",0,$I665)+IF($H666="",0,$H666)-IF($G666="",0,$G666))</f>
        <v/>
      </c>
      <c r="J666" s="23">
        <f>IF($L666="","",IF(INDEX(ExpNote,$L666)="","—",INDEX(ExpNote,$L666)))</f>
        <v/>
      </c>
      <c r="L666">
        <f>IFERROR(MATCH($C$5&amp;"|"&amp;RIGHT("000000"&amp;650,6),ExpRankKey,0),"")</f>
        <v/>
      </c>
    </row>
    <row r="667">
      <c r="A667" s="16" t="n">
        <v>651</v>
      </c>
      <c r="B667" s="17">
        <f>IF($L667="","",INDEX(ExpNorm,$L667))</f>
        <v/>
      </c>
      <c r="C667" s="17">
        <f>IF($L667="","",IF(INDEX(ExpTime,$L667)="","—",LEFT(INDEX(ExpTime,$L667),2)&amp;":"&amp;RIGHT(INDEX(ExpTime,$L667),2)))</f>
        <v/>
      </c>
      <c r="D667" s="17">
        <f>IF($L667="","",IF(INDEX(ExpBank,$L667)="","—",INDEX(ExpBank,$L667)))</f>
        <v/>
      </c>
      <c r="E667" s="18">
        <f>IF($L667="","",IF(INDEX(ExpParty,$L667)="","—",IFERROR(VLOOKUP(INDEX(ExpParty,$L667),AcctTbl,4,0),INDEX(ExpParty,$L667))))</f>
        <v/>
      </c>
      <c r="F667" s="17">
        <f>IF($L667="","",IF(INDEX(ExpType,$L667)="","—",INDEX(ExpType,$L667)))</f>
        <v/>
      </c>
      <c r="G667" s="19">
        <f>IF($L667="","",IF(INDEX(ExpDep,$L667)=0,"",INDEX(ExpDep,$L667)))</f>
        <v/>
      </c>
      <c r="H667" s="19">
        <f>IF($L667="","",IF(INDEX(ExpWit,$L667)=0,"",INDEX(ExpWit,$L667)))</f>
        <v/>
      </c>
      <c r="I667" s="20">
        <f>IF($B667="","",IF($I666="",0,$I666)+IF($H667="",0,$H667)-IF($G667="",0,$G667))</f>
        <v/>
      </c>
      <c r="J667" s="18">
        <f>IF($L667="","",IF(INDEX(ExpNote,$L667)="","—",INDEX(ExpNote,$L667)))</f>
        <v/>
      </c>
      <c r="L667">
        <f>IFERROR(MATCH($C$5&amp;"|"&amp;RIGHT("000000"&amp;651,6),ExpRankKey,0),"")</f>
        <v/>
      </c>
    </row>
    <row r="668">
      <c r="A668" s="21" t="n">
        <v>652</v>
      </c>
      <c r="B668" s="22">
        <f>IF($L668="","",INDEX(ExpNorm,$L668))</f>
        <v/>
      </c>
      <c r="C668" s="22">
        <f>IF($L668="","",IF(INDEX(ExpTime,$L668)="","—",LEFT(INDEX(ExpTime,$L668),2)&amp;":"&amp;RIGHT(INDEX(ExpTime,$L668),2)))</f>
        <v/>
      </c>
      <c r="D668" s="22">
        <f>IF($L668="","",IF(INDEX(ExpBank,$L668)="","—",INDEX(ExpBank,$L668)))</f>
        <v/>
      </c>
      <c r="E668" s="23">
        <f>IF($L668="","",IF(INDEX(ExpParty,$L668)="","—",IFERROR(VLOOKUP(INDEX(ExpParty,$L668),AcctTbl,4,0),INDEX(ExpParty,$L668))))</f>
        <v/>
      </c>
      <c r="F668" s="22">
        <f>IF($L668="","",IF(INDEX(ExpType,$L668)="","—",INDEX(ExpType,$L668)))</f>
        <v/>
      </c>
      <c r="G668" s="24">
        <f>IF($L668="","",IF(INDEX(ExpDep,$L668)=0,"",INDEX(ExpDep,$L668)))</f>
        <v/>
      </c>
      <c r="H668" s="24">
        <f>IF($L668="","",IF(INDEX(ExpWit,$L668)=0,"",INDEX(ExpWit,$L668)))</f>
        <v/>
      </c>
      <c r="I668" s="25">
        <f>IF($B668="","",IF($I667="",0,$I667)+IF($H668="",0,$H668)-IF($G668="",0,$G668))</f>
        <v/>
      </c>
      <c r="J668" s="23">
        <f>IF($L668="","",IF(INDEX(ExpNote,$L668)="","—",INDEX(ExpNote,$L668)))</f>
        <v/>
      </c>
      <c r="L668">
        <f>IFERROR(MATCH($C$5&amp;"|"&amp;RIGHT("000000"&amp;652,6),ExpRankKey,0),"")</f>
        <v/>
      </c>
    </row>
    <row r="669">
      <c r="A669" s="16" t="n">
        <v>653</v>
      </c>
      <c r="B669" s="17">
        <f>IF($L669="","",INDEX(ExpNorm,$L669))</f>
        <v/>
      </c>
      <c r="C669" s="17">
        <f>IF($L669="","",IF(INDEX(ExpTime,$L669)="","—",LEFT(INDEX(ExpTime,$L669),2)&amp;":"&amp;RIGHT(INDEX(ExpTime,$L669),2)))</f>
        <v/>
      </c>
      <c r="D669" s="17">
        <f>IF($L669="","",IF(INDEX(ExpBank,$L669)="","—",INDEX(ExpBank,$L669)))</f>
        <v/>
      </c>
      <c r="E669" s="18">
        <f>IF($L669="","",IF(INDEX(ExpParty,$L669)="","—",IFERROR(VLOOKUP(INDEX(ExpParty,$L669),AcctTbl,4,0),INDEX(ExpParty,$L669))))</f>
        <v/>
      </c>
      <c r="F669" s="17">
        <f>IF($L669="","",IF(INDEX(ExpType,$L669)="","—",INDEX(ExpType,$L669)))</f>
        <v/>
      </c>
      <c r="G669" s="19">
        <f>IF($L669="","",IF(INDEX(ExpDep,$L669)=0,"",INDEX(ExpDep,$L669)))</f>
        <v/>
      </c>
      <c r="H669" s="19">
        <f>IF($L669="","",IF(INDEX(ExpWit,$L669)=0,"",INDEX(ExpWit,$L669)))</f>
        <v/>
      </c>
      <c r="I669" s="20">
        <f>IF($B669="","",IF($I668="",0,$I668)+IF($H669="",0,$H669)-IF($G669="",0,$G669))</f>
        <v/>
      </c>
      <c r="J669" s="18">
        <f>IF($L669="","",IF(INDEX(ExpNote,$L669)="","—",INDEX(ExpNote,$L669)))</f>
        <v/>
      </c>
      <c r="L669">
        <f>IFERROR(MATCH($C$5&amp;"|"&amp;RIGHT("000000"&amp;653,6),ExpRankKey,0),"")</f>
        <v/>
      </c>
    </row>
    <row r="670">
      <c r="A670" s="21" t="n">
        <v>654</v>
      </c>
      <c r="B670" s="22">
        <f>IF($L670="","",INDEX(ExpNorm,$L670))</f>
        <v/>
      </c>
      <c r="C670" s="22">
        <f>IF($L670="","",IF(INDEX(ExpTime,$L670)="","—",LEFT(INDEX(ExpTime,$L670),2)&amp;":"&amp;RIGHT(INDEX(ExpTime,$L670),2)))</f>
        <v/>
      </c>
      <c r="D670" s="22">
        <f>IF($L670="","",IF(INDEX(ExpBank,$L670)="","—",INDEX(ExpBank,$L670)))</f>
        <v/>
      </c>
      <c r="E670" s="23">
        <f>IF($L670="","",IF(INDEX(ExpParty,$L670)="","—",IFERROR(VLOOKUP(INDEX(ExpParty,$L670),AcctTbl,4,0),INDEX(ExpParty,$L670))))</f>
        <v/>
      </c>
      <c r="F670" s="22">
        <f>IF($L670="","",IF(INDEX(ExpType,$L670)="","—",INDEX(ExpType,$L670)))</f>
        <v/>
      </c>
      <c r="G670" s="24">
        <f>IF($L670="","",IF(INDEX(ExpDep,$L670)=0,"",INDEX(ExpDep,$L670)))</f>
        <v/>
      </c>
      <c r="H670" s="24">
        <f>IF($L670="","",IF(INDEX(ExpWit,$L670)=0,"",INDEX(ExpWit,$L670)))</f>
        <v/>
      </c>
      <c r="I670" s="25">
        <f>IF($B670="","",IF($I669="",0,$I669)+IF($H670="",0,$H670)-IF($G670="",0,$G670))</f>
        <v/>
      </c>
      <c r="J670" s="23">
        <f>IF($L670="","",IF(INDEX(ExpNote,$L670)="","—",INDEX(ExpNote,$L670)))</f>
        <v/>
      </c>
      <c r="L670">
        <f>IFERROR(MATCH($C$5&amp;"|"&amp;RIGHT("000000"&amp;654,6),ExpRankKey,0),"")</f>
        <v/>
      </c>
    </row>
    <row r="671">
      <c r="A671" s="16" t="n">
        <v>655</v>
      </c>
      <c r="B671" s="17">
        <f>IF($L671="","",INDEX(ExpNorm,$L671))</f>
        <v/>
      </c>
      <c r="C671" s="17">
        <f>IF($L671="","",IF(INDEX(ExpTime,$L671)="","—",LEFT(INDEX(ExpTime,$L671),2)&amp;":"&amp;RIGHT(INDEX(ExpTime,$L671),2)))</f>
        <v/>
      </c>
      <c r="D671" s="17">
        <f>IF($L671="","",IF(INDEX(ExpBank,$L671)="","—",INDEX(ExpBank,$L671)))</f>
        <v/>
      </c>
      <c r="E671" s="18">
        <f>IF($L671="","",IF(INDEX(ExpParty,$L671)="","—",IFERROR(VLOOKUP(INDEX(ExpParty,$L671),AcctTbl,4,0),INDEX(ExpParty,$L671))))</f>
        <v/>
      </c>
      <c r="F671" s="17">
        <f>IF($L671="","",IF(INDEX(ExpType,$L671)="","—",INDEX(ExpType,$L671)))</f>
        <v/>
      </c>
      <c r="G671" s="19">
        <f>IF($L671="","",IF(INDEX(ExpDep,$L671)=0,"",INDEX(ExpDep,$L671)))</f>
        <v/>
      </c>
      <c r="H671" s="19">
        <f>IF($L671="","",IF(INDEX(ExpWit,$L671)=0,"",INDEX(ExpWit,$L671)))</f>
        <v/>
      </c>
      <c r="I671" s="20">
        <f>IF($B671="","",IF($I670="",0,$I670)+IF($H671="",0,$H671)-IF($G671="",0,$G671))</f>
        <v/>
      </c>
      <c r="J671" s="18">
        <f>IF($L671="","",IF(INDEX(ExpNote,$L671)="","—",INDEX(ExpNote,$L671)))</f>
        <v/>
      </c>
      <c r="L671">
        <f>IFERROR(MATCH($C$5&amp;"|"&amp;RIGHT("000000"&amp;655,6),ExpRankKey,0),"")</f>
        <v/>
      </c>
    </row>
    <row r="672">
      <c r="A672" s="21" t="n">
        <v>656</v>
      </c>
      <c r="B672" s="22">
        <f>IF($L672="","",INDEX(ExpNorm,$L672))</f>
        <v/>
      </c>
      <c r="C672" s="22">
        <f>IF($L672="","",IF(INDEX(ExpTime,$L672)="","—",LEFT(INDEX(ExpTime,$L672),2)&amp;":"&amp;RIGHT(INDEX(ExpTime,$L672),2)))</f>
        <v/>
      </c>
      <c r="D672" s="22">
        <f>IF($L672="","",IF(INDEX(ExpBank,$L672)="","—",INDEX(ExpBank,$L672)))</f>
        <v/>
      </c>
      <c r="E672" s="23">
        <f>IF($L672="","",IF(INDEX(ExpParty,$L672)="","—",IFERROR(VLOOKUP(INDEX(ExpParty,$L672),AcctTbl,4,0),INDEX(ExpParty,$L672))))</f>
        <v/>
      </c>
      <c r="F672" s="22">
        <f>IF($L672="","",IF(INDEX(ExpType,$L672)="","—",INDEX(ExpType,$L672)))</f>
        <v/>
      </c>
      <c r="G672" s="24">
        <f>IF($L672="","",IF(INDEX(ExpDep,$L672)=0,"",INDEX(ExpDep,$L672)))</f>
        <v/>
      </c>
      <c r="H672" s="24">
        <f>IF($L672="","",IF(INDEX(ExpWit,$L672)=0,"",INDEX(ExpWit,$L672)))</f>
        <v/>
      </c>
      <c r="I672" s="25">
        <f>IF($B672="","",IF($I671="",0,$I671)+IF($H672="",0,$H672)-IF($G672="",0,$G672))</f>
        <v/>
      </c>
      <c r="J672" s="23">
        <f>IF($L672="","",IF(INDEX(ExpNote,$L672)="","—",INDEX(ExpNote,$L672)))</f>
        <v/>
      </c>
      <c r="L672">
        <f>IFERROR(MATCH($C$5&amp;"|"&amp;RIGHT("000000"&amp;656,6),ExpRankKey,0),"")</f>
        <v/>
      </c>
    </row>
    <row r="673">
      <c r="A673" s="16" t="n">
        <v>657</v>
      </c>
      <c r="B673" s="17">
        <f>IF($L673="","",INDEX(ExpNorm,$L673))</f>
        <v/>
      </c>
      <c r="C673" s="17">
        <f>IF($L673="","",IF(INDEX(ExpTime,$L673)="","—",LEFT(INDEX(ExpTime,$L673),2)&amp;":"&amp;RIGHT(INDEX(ExpTime,$L673),2)))</f>
        <v/>
      </c>
      <c r="D673" s="17">
        <f>IF($L673="","",IF(INDEX(ExpBank,$L673)="","—",INDEX(ExpBank,$L673)))</f>
        <v/>
      </c>
      <c r="E673" s="18">
        <f>IF($L673="","",IF(INDEX(ExpParty,$L673)="","—",IFERROR(VLOOKUP(INDEX(ExpParty,$L673),AcctTbl,4,0),INDEX(ExpParty,$L673))))</f>
        <v/>
      </c>
      <c r="F673" s="17">
        <f>IF($L673="","",IF(INDEX(ExpType,$L673)="","—",INDEX(ExpType,$L673)))</f>
        <v/>
      </c>
      <c r="G673" s="19">
        <f>IF($L673="","",IF(INDEX(ExpDep,$L673)=0,"",INDEX(ExpDep,$L673)))</f>
        <v/>
      </c>
      <c r="H673" s="19">
        <f>IF($L673="","",IF(INDEX(ExpWit,$L673)=0,"",INDEX(ExpWit,$L673)))</f>
        <v/>
      </c>
      <c r="I673" s="20">
        <f>IF($B673="","",IF($I672="",0,$I672)+IF($H673="",0,$H673)-IF($G673="",0,$G673))</f>
        <v/>
      </c>
      <c r="J673" s="18">
        <f>IF($L673="","",IF(INDEX(ExpNote,$L673)="","—",INDEX(ExpNote,$L673)))</f>
        <v/>
      </c>
      <c r="L673">
        <f>IFERROR(MATCH($C$5&amp;"|"&amp;RIGHT("000000"&amp;657,6),ExpRankKey,0),"")</f>
        <v/>
      </c>
    </row>
    <row r="674">
      <c r="A674" s="21" t="n">
        <v>658</v>
      </c>
      <c r="B674" s="22">
        <f>IF($L674="","",INDEX(ExpNorm,$L674))</f>
        <v/>
      </c>
      <c r="C674" s="22">
        <f>IF($L674="","",IF(INDEX(ExpTime,$L674)="","—",LEFT(INDEX(ExpTime,$L674),2)&amp;":"&amp;RIGHT(INDEX(ExpTime,$L674),2)))</f>
        <v/>
      </c>
      <c r="D674" s="22">
        <f>IF($L674="","",IF(INDEX(ExpBank,$L674)="","—",INDEX(ExpBank,$L674)))</f>
        <v/>
      </c>
      <c r="E674" s="23">
        <f>IF($L674="","",IF(INDEX(ExpParty,$L674)="","—",IFERROR(VLOOKUP(INDEX(ExpParty,$L674),AcctTbl,4,0),INDEX(ExpParty,$L674))))</f>
        <v/>
      </c>
      <c r="F674" s="22">
        <f>IF($L674="","",IF(INDEX(ExpType,$L674)="","—",INDEX(ExpType,$L674)))</f>
        <v/>
      </c>
      <c r="G674" s="24">
        <f>IF($L674="","",IF(INDEX(ExpDep,$L674)=0,"",INDEX(ExpDep,$L674)))</f>
        <v/>
      </c>
      <c r="H674" s="24">
        <f>IF($L674="","",IF(INDEX(ExpWit,$L674)=0,"",INDEX(ExpWit,$L674)))</f>
        <v/>
      </c>
      <c r="I674" s="25">
        <f>IF($B674="","",IF($I673="",0,$I673)+IF($H674="",0,$H674)-IF($G674="",0,$G674))</f>
        <v/>
      </c>
      <c r="J674" s="23">
        <f>IF($L674="","",IF(INDEX(ExpNote,$L674)="","—",INDEX(ExpNote,$L674)))</f>
        <v/>
      </c>
      <c r="L674">
        <f>IFERROR(MATCH($C$5&amp;"|"&amp;RIGHT("000000"&amp;658,6),ExpRankKey,0),"")</f>
        <v/>
      </c>
    </row>
    <row r="675">
      <c r="A675" s="16" t="n">
        <v>659</v>
      </c>
      <c r="B675" s="17">
        <f>IF($L675="","",INDEX(ExpNorm,$L675))</f>
        <v/>
      </c>
      <c r="C675" s="17">
        <f>IF($L675="","",IF(INDEX(ExpTime,$L675)="","—",LEFT(INDEX(ExpTime,$L675),2)&amp;":"&amp;RIGHT(INDEX(ExpTime,$L675),2)))</f>
        <v/>
      </c>
      <c r="D675" s="17">
        <f>IF($L675="","",IF(INDEX(ExpBank,$L675)="","—",INDEX(ExpBank,$L675)))</f>
        <v/>
      </c>
      <c r="E675" s="18">
        <f>IF($L675="","",IF(INDEX(ExpParty,$L675)="","—",IFERROR(VLOOKUP(INDEX(ExpParty,$L675),AcctTbl,4,0),INDEX(ExpParty,$L675))))</f>
        <v/>
      </c>
      <c r="F675" s="17">
        <f>IF($L675="","",IF(INDEX(ExpType,$L675)="","—",INDEX(ExpType,$L675)))</f>
        <v/>
      </c>
      <c r="G675" s="19">
        <f>IF($L675="","",IF(INDEX(ExpDep,$L675)=0,"",INDEX(ExpDep,$L675)))</f>
        <v/>
      </c>
      <c r="H675" s="19">
        <f>IF($L675="","",IF(INDEX(ExpWit,$L675)=0,"",INDEX(ExpWit,$L675)))</f>
        <v/>
      </c>
      <c r="I675" s="20">
        <f>IF($B675="","",IF($I674="",0,$I674)+IF($H675="",0,$H675)-IF($G675="",0,$G675))</f>
        <v/>
      </c>
      <c r="J675" s="18">
        <f>IF($L675="","",IF(INDEX(ExpNote,$L675)="","—",INDEX(ExpNote,$L675)))</f>
        <v/>
      </c>
      <c r="L675">
        <f>IFERROR(MATCH($C$5&amp;"|"&amp;RIGHT("000000"&amp;659,6),ExpRankKey,0),"")</f>
        <v/>
      </c>
    </row>
    <row r="676">
      <c r="A676" s="21" t="n">
        <v>660</v>
      </c>
      <c r="B676" s="22">
        <f>IF($L676="","",INDEX(ExpNorm,$L676))</f>
        <v/>
      </c>
      <c r="C676" s="22">
        <f>IF($L676="","",IF(INDEX(ExpTime,$L676)="","—",LEFT(INDEX(ExpTime,$L676),2)&amp;":"&amp;RIGHT(INDEX(ExpTime,$L676),2)))</f>
        <v/>
      </c>
      <c r="D676" s="22">
        <f>IF($L676="","",IF(INDEX(ExpBank,$L676)="","—",INDEX(ExpBank,$L676)))</f>
        <v/>
      </c>
      <c r="E676" s="23">
        <f>IF($L676="","",IF(INDEX(ExpParty,$L676)="","—",IFERROR(VLOOKUP(INDEX(ExpParty,$L676),AcctTbl,4,0),INDEX(ExpParty,$L676))))</f>
        <v/>
      </c>
      <c r="F676" s="22">
        <f>IF($L676="","",IF(INDEX(ExpType,$L676)="","—",INDEX(ExpType,$L676)))</f>
        <v/>
      </c>
      <c r="G676" s="24">
        <f>IF($L676="","",IF(INDEX(ExpDep,$L676)=0,"",INDEX(ExpDep,$L676)))</f>
        <v/>
      </c>
      <c r="H676" s="24">
        <f>IF($L676="","",IF(INDEX(ExpWit,$L676)=0,"",INDEX(ExpWit,$L676)))</f>
        <v/>
      </c>
      <c r="I676" s="25">
        <f>IF($B676="","",IF($I675="",0,$I675)+IF($H676="",0,$H676)-IF($G676="",0,$G676))</f>
        <v/>
      </c>
      <c r="J676" s="23">
        <f>IF($L676="","",IF(INDEX(ExpNote,$L676)="","—",INDEX(ExpNote,$L676)))</f>
        <v/>
      </c>
      <c r="L676">
        <f>IFERROR(MATCH($C$5&amp;"|"&amp;RIGHT("000000"&amp;660,6),ExpRankKey,0),"")</f>
        <v/>
      </c>
    </row>
    <row r="677">
      <c r="A677" s="16" t="n">
        <v>661</v>
      </c>
      <c r="B677" s="17">
        <f>IF($L677="","",INDEX(ExpNorm,$L677))</f>
        <v/>
      </c>
      <c r="C677" s="17">
        <f>IF($L677="","",IF(INDEX(ExpTime,$L677)="","—",LEFT(INDEX(ExpTime,$L677),2)&amp;":"&amp;RIGHT(INDEX(ExpTime,$L677),2)))</f>
        <v/>
      </c>
      <c r="D677" s="17">
        <f>IF($L677="","",IF(INDEX(ExpBank,$L677)="","—",INDEX(ExpBank,$L677)))</f>
        <v/>
      </c>
      <c r="E677" s="18">
        <f>IF($L677="","",IF(INDEX(ExpParty,$L677)="","—",IFERROR(VLOOKUP(INDEX(ExpParty,$L677),AcctTbl,4,0),INDEX(ExpParty,$L677))))</f>
        <v/>
      </c>
      <c r="F677" s="17">
        <f>IF($L677="","",IF(INDEX(ExpType,$L677)="","—",INDEX(ExpType,$L677)))</f>
        <v/>
      </c>
      <c r="G677" s="19">
        <f>IF($L677="","",IF(INDEX(ExpDep,$L677)=0,"",INDEX(ExpDep,$L677)))</f>
        <v/>
      </c>
      <c r="H677" s="19">
        <f>IF($L677="","",IF(INDEX(ExpWit,$L677)=0,"",INDEX(ExpWit,$L677)))</f>
        <v/>
      </c>
      <c r="I677" s="20">
        <f>IF($B677="","",IF($I676="",0,$I676)+IF($H677="",0,$H677)-IF($G677="",0,$G677))</f>
        <v/>
      </c>
      <c r="J677" s="18">
        <f>IF($L677="","",IF(INDEX(ExpNote,$L677)="","—",INDEX(ExpNote,$L677)))</f>
        <v/>
      </c>
      <c r="L677">
        <f>IFERROR(MATCH($C$5&amp;"|"&amp;RIGHT("000000"&amp;661,6),ExpRankKey,0),"")</f>
        <v/>
      </c>
    </row>
    <row r="678">
      <c r="A678" s="21" t="n">
        <v>662</v>
      </c>
      <c r="B678" s="22">
        <f>IF($L678="","",INDEX(ExpNorm,$L678))</f>
        <v/>
      </c>
      <c r="C678" s="22">
        <f>IF($L678="","",IF(INDEX(ExpTime,$L678)="","—",LEFT(INDEX(ExpTime,$L678),2)&amp;":"&amp;RIGHT(INDEX(ExpTime,$L678),2)))</f>
        <v/>
      </c>
      <c r="D678" s="22">
        <f>IF($L678="","",IF(INDEX(ExpBank,$L678)="","—",INDEX(ExpBank,$L678)))</f>
        <v/>
      </c>
      <c r="E678" s="23">
        <f>IF($L678="","",IF(INDEX(ExpParty,$L678)="","—",IFERROR(VLOOKUP(INDEX(ExpParty,$L678),AcctTbl,4,0),INDEX(ExpParty,$L678))))</f>
        <v/>
      </c>
      <c r="F678" s="22">
        <f>IF($L678="","",IF(INDEX(ExpType,$L678)="","—",INDEX(ExpType,$L678)))</f>
        <v/>
      </c>
      <c r="G678" s="24">
        <f>IF($L678="","",IF(INDEX(ExpDep,$L678)=0,"",INDEX(ExpDep,$L678)))</f>
        <v/>
      </c>
      <c r="H678" s="24">
        <f>IF($L678="","",IF(INDEX(ExpWit,$L678)=0,"",INDEX(ExpWit,$L678)))</f>
        <v/>
      </c>
      <c r="I678" s="25">
        <f>IF($B678="","",IF($I677="",0,$I677)+IF($H678="",0,$H678)-IF($G678="",0,$G678))</f>
        <v/>
      </c>
      <c r="J678" s="23">
        <f>IF($L678="","",IF(INDEX(ExpNote,$L678)="","—",INDEX(ExpNote,$L678)))</f>
        <v/>
      </c>
      <c r="L678">
        <f>IFERROR(MATCH($C$5&amp;"|"&amp;RIGHT("000000"&amp;662,6),ExpRankKey,0),"")</f>
        <v/>
      </c>
    </row>
    <row r="679">
      <c r="A679" s="16" t="n">
        <v>663</v>
      </c>
      <c r="B679" s="17">
        <f>IF($L679="","",INDEX(ExpNorm,$L679))</f>
        <v/>
      </c>
      <c r="C679" s="17">
        <f>IF($L679="","",IF(INDEX(ExpTime,$L679)="","—",LEFT(INDEX(ExpTime,$L679),2)&amp;":"&amp;RIGHT(INDEX(ExpTime,$L679),2)))</f>
        <v/>
      </c>
      <c r="D679" s="17">
        <f>IF($L679="","",IF(INDEX(ExpBank,$L679)="","—",INDEX(ExpBank,$L679)))</f>
        <v/>
      </c>
      <c r="E679" s="18">
        <f>IF($L679="","",IF(INDEX(ExpParty,$L679)="","—",IFERROR(VLOOKUP(INDEX(ExpParty,$L679),AcctTbl,4,0),INDEX(ExpParty,$L679))))</f>
        <v/>
      </c>
      <c r="F679" s="17">
        <f>IF($L679="","",IF(INDEX(ExpType,$L679)="","—",INDEX(ExpType,$L679)))</f>
        <v/>
      </c>
      <c r="G679" s="19">
        <f>IF($L679="","",IF(INDEX(ExpDep,$L679)=0,"",INDEX(ExpDep,$L679)))</f>
        <v/>
      </c>
      <c r="H679" s="19">
        <f>IF($L679="","",IF(INDEX(ExpWit,$L679)=0,"",INDEX(ExpWit,$L679)))</f>
        <v/>
      </c>
      <c r="I679" s="20">
        <f>IF($B679="","",IF($I678="",0,$I678)+IF($H679="",0,$H679)-IF($G679="",0,$G679))</f>
        <v/>
      </c>
      <c r="J679" s="18">
        <f>IF($L679="","",IF(INDEX(ExpNote,$L679)="","—",INDEX(ExpNote,$L679)))</f>
        <v/>
      </c>
      <c r="L679">
        <f>IFERROR(MATCH($C$5&amp;"|"&amp;RIGHT("000000"&amp;663,6),ExpRankKey,0),"")</f>
        <v/>
      </c>
    </row>
    <row r="680">
      <c r="A680" s="21" t="n">
        <v>664</v>
      </c>
      <c r="B680" s="22">
        <f>IF($L680="","",INDEX(ExpNorm,$L680))</f>
        <v/>
      </c>
      <c r="C680" s="22">
        <f>IF($L680="","",IF(INDEX(ExpTime,$L680)="","—",LEFT(INDEX(ExpTime,$L680),2)&amp;":"&amp;RIGHT(INDEX(ExpTime,$L680),2)))</f>
        <v/>
      </c>
      <c r="D680" s="22">
        <f>IF($L680="","",IF(INDEX(ExpBank,$L680)="","—",INDEX(ExpBank,$L680)))</f>
        <v/>
      </c>
      <c r="E680" s="23">
        <f>IF($L680="","",IF(INDEX(ExpParty,$L680)="","—",IFERROR(VLOOKUP(INDEX(ExpParty,$L680),AcctTbl,4,0),INDEX(ExpParty,$L680))))</f>
        <v/>
      </c>
      <c r="F680" s="22">
        <f>IF($L680="","",IF(INDEX(ExpType,$L680)="","—",INDEX(ExpType,$L680)))</f>
        <v/>
      </c>
      <c r="G680" s="24">
        <f>IF($L680="","",IF(INDEX(ExpDep,$L680)=0,"",INDEX(ExpDep,$L680)))</f>
        <v/>
      </c>
      <c r="H680" s="24">
        <f>IF($L680="","",IF(INDEX(ExpWit,$L680)=0,"",INDEX(ExpWit,$L680)))</f>
        <v/>
      </c>
      <c r="I680" s="25">
        <f>IF($B680="","",IF($I679="",0,$I679)+IF($H680="",0,$H680)-IF($G680="",0,$G680))</f>
        <v/>
      </c>
      <c r="J680" s="23">
        <f>IF($L680="","",IF(INDEX(ExpNote,$L680)="","—",INDEX(ExpNote,$L680)))</f>
        <v/>
      </c>
      <c r="L680">
        <f>IFERROR(MATCH($C$5&amp;"|"&amp;RIGHT("000000"&amp;664,6),ExpRankKey,0),"")</f>
        <v/>
      </c>
    </row>
    <row r="681">
      <c r="A681" s="16" t="n">
        <v>665</v>
      </c>
      <c r="B681" s="17">
        <f>IF($L681="","",INDEX(ExpNorm,$L681))</f>
        <v/>
      </c>
      <c r="C681" s="17">
        <f>IF($L681="","",IF(INDEX(ExpTime,$L681)="","—",LEFT(INDEX(ExpTime,$L681),2)&amp;":"&amp;RIGHT(INDEX(ExpTime,$L681),2)))</f>
        <v/>
      </c>
      <c r="D681" s="17">
        <f>IF($L681="","",IF(INDEX(ExpBank,$L681)="","—",INDEX(ExpBank,$L681)))</f>
        <v/>
      </c>
      <c r="E681" s="18">
        <f>IF($L681="","",IF(INDEX(ExpParty,$L681)="","—",IFERROR(VLOOKUP(INDEX(ExpParty,$L681),AcctTbl,4,0),INDEX(ExpParty,$L681))))</f>
        <v/>
      </c>
      <c r="F681" s="17">
        <f>IF($L681="","",IF(INDEX(ExpType,$L681)="","—",INDEX(ExpType,$L681)))</f>
        <v/>
      </c>
      <c r="G681" s="19">
        <f>IF($L681="","",IF(INDEX(ExpDep,$L681)=0,"",INDEX(ExpDep,$L681)))</f>
        <v/>
      </c>
      <c r="H681" s="19">
        <f>IF($L681="","",IF(INDEX(ExpWit,$L681)=0,"",INDEX(ExpWit,$L681)))</f>
        <v/>
      </c>
      <c r="I681" s="20">
        <f>IF($B681="","",IF($I680="",0,$I680)+IF($H681="",0,$H681)-IF($G681="",0,$G681))</f>
        <v/>
      </c>
      <c r="J681" s="18">
        <f>IF($L681="","",IF(INDEX(ExpNote,$L681)="","—",INDEX(ExpNote,$L681)))</f>
        <v/>
      </c>
      <c r="L681">
        <f>IFERROR(MATCH($C$5&amp;"|"&amp;RIGHT("000000"&amp;665,6),ExpRankKey,0),"")</f>
        <v/>
      </c>
    </row>
    <row r="682">
      <c r="A682" s="21" t="n">
        <v>666</v>
      </c>
      <c r="B682" s="22">
        <f>IF($L682="","",INDEX(ExpNorm,$L682))</f>
        <v/>
      </c>
      <c r="C682" s="22">
        <f>IF($L682="","",IF(INDEX(ExpTime,$L682)="","—",LEFT(INDEX(ExpTime,$L682),2)&amp;":"&amp;RIGHT(INDEX(ExpTime,$L682),2)))</f>
        <v/>
      </c>
      <c r="D682" s="22">
        <f>IF($L682="","",IF(INDEX(ExpBank,$L682)="","—",INDEX(ExpBank,$L682)))</f>
        <v/>
      </c>
      <c r="E682" s="23">
        <f>IF($L682="","",IF(INDEX(ExpParty,$L682)="","—",IFERROR(VLOOKUP(INDEX(ExpParty,$L682),AcctTbl,4,0),INDEX(ExpParty,$L682))))</f>
        <v/>
      </c>
      <c r="F682" s="22">
        <f>IF($L682="","",IF(INDEX(ExpType,$L682)="","—",INDEX(ExpType,$L682)))</f>
        <v/>
      </c>
      <c r="G682" s="24">
        <f>IF($L682="","",IF(INDEX(ExpDep,$L682)=0,"",INDEX(ExpDep,$L682)))</f>
        <v/>
      </c>
      <c r="H682" s="24">
        <f>IF($L682="","",IF(INDEX(ExpWit,$L682)=0,"",INDEX(ExpWit,$L682)))</f>
        <v/>
      </c>
      <c r="I682" s="25">
        <f>IF($B682="","",IF($I681="",0,$I681)+IF($H682="",0,$H682)-IF($G682="",0,$G682))</f>
        <v/>
      </c>
      <c r="J682" s="23">
        <f>IF($L682="","",IF(INDEX(ExpNote,$L682)="","—",INDEX(ExpNote,$L682)))</f>
        <v/>
      </c>
      <c r="L682">
        <f>IFERROR(MATCH($C$5&amp;"|"&amp;RIGHT("000000"&amp;666,6),ExpRankKey,0),"")</f>
        <v/>
      </c>
    </row>
    <row r="683">
      <c r="A683" s="16" t="n">
        <v>667</v>
      </c>
      <c r="B683" s="17">
        <f>IF($L683="","",INDEX(ExpNorm,$L683))</f>
        <v/>
      </c>
      <c r="C683" s="17">
        <f>IF($L683="","",IF(INDEX(ExpTime,$L683)="","—",LEFT(INDEX(ExpTime,$L683),2)&amp;":"&amp;RIGHT(INDEX(ExpTime,$L683),2)))</f>
        <v/>
      </c>
      <c r="D683" s="17">
        <f>IF($L683="","",IF(INDEX(ExpBank,$L683)="","—",INDEX(ExpBank,$L683)))</f>
        <v/>
      </c>
      <c r="E683" s="18">
        <f>IF($L683="","",IF(INDEX(ExpParty,$L683)="","—",IFERROR(VLOOKUP(INDEX(ExpParty,$L683),AcctTbl,4,0),INDEX(ExpParty,$L683))))</f>
        <v/>
      </c>
      <c r="F683" s="17">
        <f>IF($L683="","",IF(INDEX(ExpType,$L683)="","—",INDEX(ExpType,$L683)))</f>
        <v/>
      </c>
      <c r="G683" s="19">
        <f>IF($L683="","",IF(INDEX(ExpDep,$L683)=0,"",INDEX(ExpDep,$L683)))</f>
        <v/>
      </c>
      <c r="H683" s="19">
        <f>IF($L683="","",IF(INDEX(ExpWit,$L683)=0,"",INDEX(ExpWit,$L683)))</f>
        <v/>
      </c>
      <c r="I683" s="20">
        <f>IF($B683="","",IF($I682="",0,$I682)+IF($H683="",0,$H683)-IF($G683="",0,$G683))</f>
        <v/>
      </c>
      <c r="J683" s="18">
        <f>IF($L683="","",IF(INDEX(ExpNote,$L683)="","—",INDEX(ExpNote,$L683)))</f>
        <v/>
      </c>
      <c r="L683">
        <f>IFERROR(MATCH($C$5&amp;"|"&amp;RIGHT("000000"&amp;667,6),ExpRankKey,0),"")</f>
        <v/>
      </c>
    </row>
    <row r="684">
      <c r="A684" s="21" t="n">
        <v>668</v>
      </c>
      <c r="B684" s="22">
        <f>IF($L684="","",INDEX(ExpNorm,$L684))</f>
        <v/>
      </c>
      <c r="C684" s="22">
        <f>IF($L684="","",IF(INDEX(ExpTime,$L684)="","—",LEFT(INDEX(ExpTime,$L684),2)&amp;":"&amp;RIGHT(INDEX(ExpTime,$L684),2)))</f>
        <v/>
      </c>
      <c r="D684" s="22">
        <f>IF($L684="","",IF(INDEX(ExpBank,$L684)="","—",INDEX(ExpBank,$L684)))</f>
        <v/>
      </c>
      <c r="E684" s="23">
        <f>IF($L684="","",IF(INDEX(ExpParty,$L684)="","—",IFERROR(VLOOKUP(INDEX(ExpParty,$L684),AcctTbl,4,0),INDEX(ExpParty,$L684))))</f>
        <v/>
      </c>
      <c r="F684" s="22">
        <f>IF($L684="","",IF(INDEX(ExpType,$L684)="","—",INDEX(ExpType,$L684)))</f>
        <v/>
      </c>
      <c r="G684" s="24">
        <f>IF($L684="","",IF(INDEX(ExpDep,$L684)=0,"",INDEX(ExpDep,$L684)))</f>
        <v/>
      </c>
      <c r="H684" s="24">
        <f>IF($L684="","",IF(INDEX(ExpWit,$L684)=0,"",INDEX(ExpWit,$L684)))</f>
        <v/>
      </c>
      <c r="I684" s="25">
        <f>IF($B684="","",IF($I683="",0,$I683)+IF($H684="",0,$H684)-IF($G684="",0,$G684))</f>
        <v/>
      </c>
      <c r="J684" s="23">
        <f>IF($L684="","",IF(INDEX(ExpNote,$L684)="","—",INDEX(ExpNote,$L684)))</f>
        <v/>
      </c>
      <c r="L684">
        <f>IFERROR(MATCH($C$5&amp;"|"&amp;RIGHT("000000"&amp;668,6),ExpRankKey,0),"")</f>
        <v/>
      </c>
    </row>
    <row r="685">
      <c r="A685" s="16" t="n">
        <v>669</v>
      </c>
      <c r="B685" s="17">
        <f>IF($L685="","",INDEX(ExpNorm,$L685))</f>
        <v/>
      </c>
      <c r="C685" s="17">
        <f>IF($L685="","",IF(INDEX(ExpTime,$L685)="","—",LEFT(INDEX(ExpTime,$L685),2)&amp;":"&amp;RIGHT(INDEX(ExpTime,$L685),2)))</f>
        <v/>
      </c>
      <c r="D685" s="17">
        <f>IF($L685="","",IF(INDEX(ExpBank,$L685)="","—",INDEX(ExpBank,$L685)))</f>
        <v/>
      </c>
      <c r="E685" s="18">
        <f>IF($L685="","",IF(INDEX(ExpParty,$L685)="","—",IFERROR(VLOOKUP(INDEX(ExpParty,$L685),AcctTbl,4,0),INDEX(ExpParty,$L685))))</f>
        <v/>
      </c>
      <c r="F685" s="17">
        <f>IF($L685="","",IF(INDEX(ExpType,$L685)="","—",INDEX(ExpType,$L685)))</f>
        <v/>
      </c>
      <c r="G685" s="19">
        <f>IF($L685="","",IF(INDEX(ExpDep,$L685)=0,"",INDEX(ExpDep,$L685)))</f>
        <v/>
      </c>
      <c r="H685" s="19">
        <f>IF($L685="","",IF(INDEX(ExpWit,$L685)=0,"",INDEX(ExpWit,$L685)))</f>
        <v/>
      </c>
      <c r="I685" s="20">
        <f>IF($B685="","",IF($I684="",0,$I684)+IF($H685="",0,$H685)-IF($G685="",0,$G685))</f>
        <v/>
      </c>
      <c r="J685" s="18">
        <f>IF($L685="","",IF(INDEX(ExpNote,$L685)="","—",INDEX(ExpNote,$L685)))</f>
        <v/>
      </c>
      <c r="L685">
        <f>IFERROR(MATCH($C$5&amp;"|"&amp;RIGHT("000000"&amp;669,6),ExpRankKey,0),"")</f>
        <v/>
      </c>
    </row>
    <row r="686">
      <c r="A686" s="21" t="n">
        <v>670</v>
      </c>
      <c r="B686" s="22">
        <f>IF($L686="","",INDEX(ExpNorm,$L686))</f>
        <v/>
      </c>
      <c r="C686" s="22">
        <f>IF($L686="","",IF(INDEX(ExpTime,$L686)="","—",LEFT(INDEX(ExpTime,$L686),2)&amp;":"&amp;RIGHT(INDEX(ExpTime,$L686),2)))</f>
        <v/>
      </c>
      <c r="D686" s="22">
        <f>IF($L686="","",IF(INDEX(ExpBank,$L686)="","—",INDEX(ExpBank,$L686)))</f>
        <v/>
      </c>
      <c r="E686" s="23">
        <f>IF($L686="","",IF(INDEX(ExpParty,$L686)="","—",IFERROR(VLOOKUP(INDEX(ExpParty,$L686),AcctTbl,4,0),INDEX(ExpParty,$L686))))</f>
        <v/>
      </c>
      <c r="F686" s="22">
        <f>IF($L686="","",IF(INDEX(ExpType,$L686)="","—",INDEX(ExpType,$L686)))</f>
        <v/>
      </c>
      <c r="G686" s="24">
        <f>IF($L686="","",IF(INDEX(ExpDep,$L686)=0,"",INDEX(ExpDep,$L686)))</f>
        <v/>
      </c>
      <c r="H686" s="24">
        <f>IF($L686="","",IF(INDEX(ExpWit,$L686)=0,"",INDEX(ExpWit,$L686)))</f>
        <v/>
      </c>
      <c r="I686" s="25">
        <f>IF($B686="","",IF($I685="",0,$I685)+IF($H686="",0,$H686)-IF($G686="",0,$G686))</f>
        <v/>
      </c>
      <c r="J686" s="23">
        <f>IF($L686="","",IF(INDEX(ExpNote,$L686)="","—",INDEX(ExpNote,$L686)))</f>
        <v/>
      </c>
      <c r="L686">
        <f>IFERROR(MATCH($C$5&amp;"|"&amp;RIGHT("000000"&amp;670,6),ExpRankKey,0),"")</f>
        <v/>
      </c>
    </row>
    <row r="687">
      <c r="A687" s="16" t="n">
        <v>671</v>
      </c>
      <c r="B687" s="17">
        <f>IF($L687="","",INDEX(ExpNorm,$L687))</f>
        <v/>
      </c>
      <c r="C687" s="17">
        <f>IF($L687="","",IF(INDEX(ExpTime,$L687)="","—",LEFT(INDEX(ExpTime,$L687),2)&amp;":"&amp;RIGHT(INDEX(ExpTime,$L687),2)))</f>
        <v/>
      </c>
      <c r="D687" s="17">
        <f>IF($L687="","",IF(INDEX(ExpBank,$L687)="","—",INDEX(ExpBank,$L687)))</f>
        <v/>
      </c>
      <c r="E687" s="18">
        <f>IF($L687="","",IF(INDEX(ExpParty,$L687)="","—",IFERROR(VLOOKUP(INDEX(ExpParty,$L687),AcctTbl,4,0),INDEX(ExpParty,$L687))))</f>
        <v/>
      </c>
      <c r="F687" s="17">
        <f>IF($L687="","",IF(INDEX(ExpType,$L687)="","—",INDEX(ExpType,$L687)))</f>
        <v/>
      </c>
      <c r="G687" s="19">
        <f>IF($L687="","",IF(INDEX(ExpDep,$L687)=0,"",INDEX(ExpDep,$L687)))</f>
        <v/>
      </c>
      <c r="H687" s="19">
        <f>IF($L687="","",IF(INDEX(ExpWit,$L687)=0,"",INDEX(ExpWit,$L687)))</f>
        <v/>
      </c>
      <c r="I687" s="20">
        <f>IF($B687="","",IF($I686="",0,$I686)+IF($H687="",0,$H687)-IF($G687="",0,$G687))</f>
        <v/>
      </c>
      <c r="J687" s="18">
        <f>IF($L687="","",IF(INDEX(ExpNote,$L687)="","—",INDEX(ExpNote,$L687)))</f>
        <v/>
      </c>
      <c r="L687">
        <f>IFERROR(MATCH($C$5&amp;"|"&amp;RIGHT("000000"&amp;671,6),ExpRankKey,0),"")</f>
        <v/>
      </c>
    </row>
    <row r="688">
      <c r="A688" s="21" t="n">
        <v>672</v>
      </c>
      <c r="B688" s="22">
        <f>IF($L688="","",INDEX(ExpNorm,$L688))</f>
        <v/>
      </c>
      <c r="C688" s="22">
        <f>IF($L688="","",IF(INDEX(ExpTime,$L688)="","—",LEFT(INDEX(ExpTime,$L688),2)&amp;":"&amp;RIGHT(INDEX(ExpTime,$L688),2)))</f>
        <v/>
      </c>
      <c r="D688" s="22">
        <f>IF($L688="","",IF(INDEX(ExpBank,$L688)="","—",INDEX(ExpBank,$L688)))</f>
        <v/>
      </c>
      <c r="E688" s="23">
        <f>IF($L688="","",IF(INDEX(ExpParty,$L688)="","—",IFERROR(VLOOKUP(INDEX(ExpParty,$L688),AcctTbl,4,0),INDEX(ExpParty,$L688))))</f>
        <v/>
      </c>
      <c r="F688" s="22">
        <f>IF($L688="","",IF(INDEX(ExpType,$L688)="","—",INDEX(ExpType,$L688)))</f>
        <v/>
      </c>
      <c r="G688" s="24">
        <f>IF($L688="","",IF(INDEX(ExpDep,$L688)=0,"",INDEX(ExpDep,$L688)))</f>
        <v/>
      </c>
      <c r="H688" s="24">
        <f>IF($L688="","",IF(INDEX(ExpWit,$L688)=0,"",INDEX(ExpWit,$L688)))</f>
        <v/>
      </c>
      <c r="I688" s="25">
        <f>IF($B688="","",IF($I687="",0,$I687)+IF($H688="",0,$H688)-IF($G688="",0,$G688))</f>
        <v/>
      </c>
      <c r="J688" s="23">
        <f>IF($L688="","",IF(INDEX(ExpNote,$L688)="","—",INDEX(ExpNote,$L688)))</f>
        <v/>
      </c>
      <c r="L688">
        <f>IFERROR(MATCH($C$5&amp;"|"&amp;RIGHT("000000"&amp;672,6),ExpRankKey,0),"")</f>
        <v/>
      </c>
    </row>
    <row r="689">
      <c r="A689" s="16" t="n">
        <v>673</v>
      </c>
      <c r="B689" s="17">
        <f>IF($L689="","",INDEX(ExpNorm,$L689))</f>
        <v/>
      </c>
      <c r="C689" s="17">
        <f>IF($L689="","",IF(INDEX(ExpTime,$L689)="","—",LEFT(INDEX(ExpTime,$L689),2)&amp;":"&amp;RIGHT(INDEX(ExpTime,$L689),2)))</f>
        <v/>
      </c>
      <c r="D689" s="17">
        <f>IF($L689="","",IF(INDEX(ExpBank,$L689)="","—",INDEX(ExpBank,$L689)))</f>
        <v/>
      </c>
      <c r="E689" s="18">
        <f>IF($L689="","",IF(INDEX(ExpParty,$L689)="","—",IFERROR(VLOOKUP(INDEX(ExpParty,$L689),AcctTbl,4,0),INDEX(ExpParty,$L689))))</f>
        <v/>
      </c>
      <c r="F689" s="17">
        <f>IF($L689="","",IF(INDEX(ExpType,$L689)="","—",INDEX(ExpType,$L689)))</f>
        <v/>
      </c>
      <c r="G689" s="19">
        <f>IF($L689="","",IF(INDEX(ExpDep,$L689)=0,"",INDEX(ExpDep,$L689)))</f>
        <v/>
      </c>
      <c r="H689" s="19">
        <f>IF($L689="","",IF(INDEX(ExpWit,$L689)=0,"",INDEX(ExpWit,$L689)))</f>
        <v/>
      </c>
      <c r="I689" s="20">
        <f>IF($B689="","",IF($I688="",0,$I688)+IF($H689="",0,$H689)-IF($G689="",0,$G689))</f>
        <v/>
      </c>
      <c r="J689" s="18">
        <f>IF($L689="","",IF(INDEX(ExpNote,$L689)="","—",INDEX(ExpNote,$L689)))</f>
        <v/>
      </c>
      <c r="L689">
        <f>IFERROR(MATCH($C$5&amp;"|"&amp;RIGHT("000000"&amp;673,6),ExpRankKey,0),"")</f>
        <v/>
      </c>
    </row>
    <row r="690">
      <c r="A690" s="21" t="n">
        <v>674</v>
      </c>
      <c r="B690" s="22">
        <f>IF($L690="","",INDEX(ExpNorm,$L690))</f>
        <v/>
      </c>
      <c r="C690" s="22">
        <f>IF($L690="","",IF(INDEX(ExpTime,$L690)="","—",LEFT(INDEX(ExpTime,$L690),2)&amp;":"&amp;RIGHT(INDEX(ExpTime,$L690),2)))</f>
        <v/>
      </c>
      <c r="D690" s="22">
        <f>IF($L690="","",IF(INDEX(ExpBank,$L690)="","—",INDEX(ExpBank,$L690)))</f>
        <v/>
      </c>
      <c r="E690" s="23">
        <f>IF($L690="","",IF(INDEX(ExpParty,$L690)="","—",IFERROR(VLOOKUP(INDEX(ExpParty,$L690),AcctTbl,4,0),INDEX(ExpParty,$L690))))</f>
        <v/>
      </c>
      <c r="F690" s="22">
        <f>IF($L690="","",IF(INDEX(ExpType,$L690)="","—",INDEX(ExpType,$L690)))</f>
        <v/>
      </c>
      <c r="G690" s="24">
        <f>IF($L690="","",IF(INDEX(ExpDep,$L690)=0,"",INDEX(ExpDep,$L690)))</f>
        <v/>
      </c>
      <c r="H690" s="24">
        <f>IF($L690="","",IF(INDEX(ExpWit,$L690)=0,"",INDEX(ExpWit,$L690)))</f>
        <v/>
      </c>
      <c r="I690" s="25">
        <f>IF($B690="","",IF($I689="",0,$I689)+IF($H690="",0,$H690)-IF($G690="",0,$G690))</f>
        <v/>
      </c>
      <c r="J690" s="23">
        <f>IF($L690="","",IF(INDEX(ExpNote,$L690)="","—",INDEX(ExpNote,$L690)))</f>
        <v/>
      </c>
      <c r="L690">
        <f>IFERROR(MATCH($C$5&amp;"|"&amp;RIGHT("000000"&amp;674,6),ExpRankKey,0),"")</f>
        <v/>
      </c>
    </row>
    <row r="691">
      <c r="A691" s="16" t="n">
        <v>675</v>
      </c>
      <c r="B691" s="17">
        <f>IF($L691="","",INDEX(ExpNorm,$L691))</f>
        <v/>
      </c>
      <c r="C691" s="17">
        <f>IF($L691="","",IF(INDEX(ExpTime,$L691)="","—",LEFT(INDEX(ExpTime,$L691),2)&amp;":"&amp;RIGHT(INDEX(ExpTime,$L691),2)))</f>
        <v/>
      </c>
      <c r="D691" s="17">
        <f>IF($L691="","",IF(INDEX(ExpBank,$L691)="","—",INDEX(ExpBank,$L691)))</f>
        <v/>
      </c>
      <c r="E691" s="18">
        <f>IF($L691="","",IF(INDEX(ExpParty,$L691)="","—",IFERROR(VLOOKUP(INDEX(ExpParty,$L691),AcctTbl,4,0),INDEX(ExpParty,$L691))))</f>
        <v/>
      </c>
      <c r="F691" s="17">
        <f>IF($L691="","",IF(INDEX(ExpType,$L691)="","—",INDEX(ExpType,$L691)))</f>
        <v/>
      </c>
      <c r="G691" s="19">
        <f>IF($L691="","",IF(INDEX(ExpDep,$L691)=0,"",INDEX(ExpDep,$L691)))</f>
        <v/>
      </c>
      <c r="H691" s="19">
        <f>IF($L691="","",IF(INDEX(ExpWit,$L691)=0,"",INDEX(ExpWit,$L691)))</f>
        <v/>
      </c>
      <c r="I691" s="20">
        <f>IF($B691="","",IF($I690="",0,$I690)+IF($H691="",0,$H691)-IF($G691="",0,$G691))</f>
        <v/>
      </c>
      <c r="J691" s="18">
        <f>IF($L691="","",IF(INDEX(ExpNote,$L691)="","—",INDEX(ExpNote,$L691)))</f>
        <v/>
      </c>
      <c r="L691">
        <f>IFERROR(MATCH($C$5&amp;"|"&amp;RIGHT("000000"&amp;675,6),ExpRankKey,0),"")</f>
        <v/>
      </c>
    </row>
    <row r="692">
      <c r="A692" s="21" t="n">
        <v>676</v>
      </c>
      <c r="B692" s="22">
        <f>IF($L692="","",INDEX(ExpNorm,$L692))</f>
        <v/>
      </c>
      <c r="C692" s="22">
        <f>IF($L692="","",IF(INDEX(ExpTime,$L692)="","—",LEFT(INDEX(ExpTime,$L692),2)&amp;":"&amp;RIGHT(INDEX(ExpTime,$L692),2)))</f>
        <v/>
      </c>
      <c r="D692" s="22">
        <f>IF($L692="","",IF(INDEX(ExpBank,$L692)="","—",INDEX(ExpBank,$L692)))</f>
        <v/>
      </c>
      <c r="E692" s="23">
        <f>IF($L692="","",IF(INDEX(ExpParty,$L692)="","—",IFERROR(VLOOKUP(INDEX(ExpParty,$L692),AcctTbl,4,0),INDEX(ExpParty,$L692))))</f>
        <v/>
      </c>
      <c r="F692" s="22">
        <f>IF($L692="","",IF(INDEX(ExpType,$L692)="","—",INDEX(ExpType,$L692)))</f>
        <v/>
      </c>
      <c r="G692" s="24">
        <f>IF($L692="","",IF(INDEX(ExpDep,$L692)=0,"",INDEX(ExpDep,$L692)))</f>
        <v/>
      </c>
      <c r="H692" s="24">
        <f>IF($L692="","",IF(INDEX(ExpWit,$L692)=0,"",INDEX(ExpWit,$L692)))</f>
        <v/>
      </c>
      <c r="I692" s="25">
        <f>IF($B692="","",IF($I691="",0,$I691)+IF($H692="",0,$H692)-IF($G692="",0,$G692))</f>
        <v/>
      </c>
      <c r="J692" s="23">
        <f>IF($L692="","",IF(INDEX(ExpNote,$L692)="","—",INDEX(ExpNote,$L692)))</f>
        <v/>
      </c>
      <c r="L692">
        <f>IFERROR(MATCH($C$5&amp;"|"&amp;RIGHT("000000"&amp;676,6),ExpRankKey,0),"")</f>
        <v/>
      </c>
    </row>
    <row r="693">
      <c r="A693" s="16" t="n">
        <v>677</v>
      </c>
      <c r="B693" s="17">
        <f>IF($L693="","",INDEX(ExpNorm,$L693))</f>
        <v/>
      </c>
      <c r="C693" s="17">
        <f>IF($L693="","",IF(INDEX(ExpTime,$L693)="","—",LEFT(INDEX(ExpTime,$L693),2)&amp;":"&amp;RIGHT(INDEX(ExpTime,$L693),2)))</f>
        <v/>
      </c>
      <c r="D693" s="17">
        <f>IF($L693="","",IF(INDEX(ExpBank,$L693)="","—",INDEX(ExpBank,$L693)))</f>
        <v/>
      </c>
      <c r="E693" s="18">
        <f>IF($L693="","",IF(INDEX(ExpParty,$L693)="","—",IFERROR(VLOOKUP(INDEX(ExpParty,$L693),AcctTbl,4,0),INDEX(ExpParty,$L693))))</f>
        <v/>
      </c>
      <c r="F693" s="17">
        <f>IF($L693="","",IF(INDEX(ExpType,$L693)="","—",INDEX(ExpType,$L693)))</f>
        <v/>
      </c>
      <c r="G693" s="19">
        <f>IF($L693="","",IF(INDEX(ExpDep,$L693)=0,"",INDEX(ExpDep,$L693)))</f>
        <v/>
      </c>
      <c r="H693" s="19">
        <f>IF($L693="","",IF(INDEX(ExpWit,$L693)=0,"",INDEX(ExpWit,$L693)))</f>
        <v/>
      </c>
      <c r="I693" s="20">
        <f>IF($B693="","",IF($I692="",0,$I692)+IF($H693="",0,$H693)-IF($G693="",0,$G693))</f>
        <v/>
      </c>
      <c r="J693" s="18">
        <f>IF($L693="","",IF(INDEX(ExpNote,$L693)="","—",INDEX(ExpNote,$L693)))</f>
        <v/>
      </c>
      <c r="L693">
        <f>IFERROR(MATCH($C$5&amp;"|"&amp;RIGHT("000000"&amp;677,6),ExpRankKey,0),"")</f>
        <v/>
      </c>
    </row>
    <row r="694">
      <c r="A694" s="21" t="n">
        <v>678</v>
      </c>
      <c r="B694" s="22">
        <f>IF($L694="","",INDEX(ExpNorm,$L694))</f>
        <v/>
      </c>
      <c r="C694" s="22">
        <f>IF($L694="","",IF(INDEX(ExpTime,$L694)="","—",LEFT(INDEX(ExpTime,$L694),2)&amp;":"&amp;RIGHT(INDEX(ExpTime,$L694),2)))</f>
        <v/>
      </c>
      <c r="D694" s="22">
        <f>IF($L694="","",IF(INDEX(ExpBank,$L694)="","—",INDEX(ExpBank,$L694)))</f>
        <v/>
      </c>
      <c r="E694" s="23">
        <f>IF($L694="","",IF(INDEX(ExpParty,$L694)="","—",IFERROR(VLOOKUP(INDEX(ExpParty,$L694),AcctTbl,4,0),INDEX(ExpParty,$L694))))</f>
        <v/>
      </c>
      <c r="F694" s="22">
        <f>IF($L694="","",IF(INDEX(ExpType,$L694)="","—",INDEX(ExpType,$L694)))</f>
        <v/>
      </c>
      <c r="G694" s="24">
        <f>IF($L694="","",IF(INDEX(ExpDep,$L694)=0,"",INDEX(ExpDep,$L694)))</f>
        <v/>
      </c>
      <c r="H694" s="24">
        <f>IF($L694="","",IF(INDEX(ExpWit,$L694)=0,"",INDEX(ExpWit,$L694)))</f>
        <v/>
      </c>
      <c r="I694" s="25">
        <f>IF($B694="","",IF($I693="",0,$I693)+IF($H694="",0,$H694)-IF($G694="",0,$G694))</f>
        <v/>
      </c>
      <c r="J694" s="23">
        <f>IF($L694="","",IF(INDEX(ExpNote,$L694)="","—",INDEX(ExpNote,$L694)))</f>
        <v/>
      </c>
      <c r="L694">
        <f>IFERROR(MATCH($C$5&amp;"|"&amp;RIGHT("000000"&amp;678,6),ExpRankKey,0),"")</f>
        <v/>
      </c>
    </row>
    <row r="695">
      <c r="A695" s="16" t="n">
        <v>679</v>
      </c>
      <c r="B695" s="17">
        <f>IF($L695="","",INDEX(ExpNorm,$L695))</f>
        <v/>
      </c>
      <c r="C695" s="17">
        <f>IF($L695="","",IF(INDEX(ExpTime,$L695)="","—",LEFT(INDEX(ExpTime,$L695),2)&amp;":"&amp;RIGHT(INDEX(ExpTime,$L695),2)))</f>
        <v/>
      </c>
      <c r="D695" s="17">
        <f>IF($L695="","",IF(INDEX(ExpBank,$L695)="","—",INDEX(ExpBank,$L695)))</f>
        <v/>
      </c>
      <c r="E695" s="18">
        <f>IF($L695="","",IF(INDEX(ExpParty,$L695)="","—",IFERROR(VLOOKUP(INDEX(ExpParty,$L695),AcctTbl,4,0),INDEX(ExpParty,$L695))))</f>
        <v/>
      </c>
      <c r="F695" s="17">
        <f>IF($L695="","",IF(INDEX(ExpType,$L695)="","—",INDEX(ExpType,$L695)))</f>
        <v/>
      </c>
      <c r="G695" s="19">
        <f>IF($L695="","",IF(INDEX(ExpDep,$L695)=0,"",INDEX(ExpDep,$L695)))</f>
        <v/>
      </c>
      <c r="H695" s="19">
        <f>IF($L695="","",IF(INDEX(ExpWit,$L695)=0,"",INDEX(ExpWit,$L695)))</f>
        <v/>
      </c>
      <c r="I695" s="20">
        <f>IF($B695="","",IF($I694="",0,$I694)+IF($H695="",0,$H695)-IF($G695="",0,$G695))</f>
        <v/>
      </c>
      <c r="J695" s="18">
        <f>IF($L695="","",IF(INDEX(ExpNote,$L695)="","—",INDEX(ExpNote,$L695)))</f>
        <v/>
      </c>
      <c r="L695">
        <f>IFERROR(MATCH($C$5&amp;"|"&amp;RIGHT("000000"&amp;679,6),ExpRankKey,0),"")</f>
        <v/>
      </c>
    </row>
    <row r="696">
      <c r="A696" s="21" t="n">
        <v>680</v>
      </c>
      <c r="B696" s="22">
        <f>IF($L696="","",INDEX(ExpNorm,$L696))</f>
        <v/>
      </c>
      <c r="C696" s="22">
        <f>IF($L696="","",IF(INDEX(ExpTime,$L696)="","—",LEFT(INDEX(ExpTime,$L696),2)&amp;":"&amp;RIGHT(INDEX(ExpTime,$L696),2)))</f>
        <v/>
      </c>
      <c r="D696" s="22">
        <f>IF($L696="","",IF(INDEX(ExpBank,$L696)="","—",INDEX(ExpBank,$L696)))</f>
        <v/>
      </c>
      <c r="E696" s="23">
        <f>IF($L696="","",IF(INDEX(ExpParty,$L696)="","—",IFERROR(VLOOKUP(INDEX(ExpParty,$L696),AcctTbl,4,0),INDEX(ExpParty,$L696))))</f>
        <v/>
      </c>
      <c r="F696" s="22">
        <f>IF($L696="","",IF(INDEX(ExpType,$L696)="","—",INDEX(ExpType,$L696)))</f>
        <v/>
      </c>
      <c r="G696" s="24">
        <f>IF($L696="","",IF(INDEX(ExpDep,$L696)=0,"",INDEX(ExpDep,$L696)))</f>
        <v/>
      </c>
      <c r="H696" s="24">
        <f>IF($L696="","",IF(INDEX(ExpWit,$L696)=0,"",INDEX(ExpWit,$L696)))</f>
        <v/>
      </c>
      <c r="I696" s="25">
        <f>IF($B696="","",IF($I695="",0,$I695)+IF($H696="",0,$H696)-IF($G696="",0,$G696))</f>
        <v/>
      </c>
      <c r="J696" s="23">
        <f>IF($L696="","",IF(INDEX(ExpNote,$L696)="","—",INDEX(ExpNote,$L696)))</f>
        <v/>
      </c>
      <c r="L696">
        <f>IFERROR(MATCH($C$5&amp;"|"&amp;RIGHT("000000"&amp;680,6),ExpRankKey,0),"")</f>
        <v/>
      </c>
    </row>
    <row r="697">
      <c r="A697" s="16" t="n">
        <v>681</v>
      </c>
      <c r="B697" s="17">
        <f>IF($L697="","",INDEX(ExpNorm,$L697))</f>
        <v/>
      </c>
      <c r="C697" s="17">
        <f>IF($L697="","",IF(INDEX(ExpTime,$L697)="","—",LEFT(INDEX(ExpTime,$L697),2)&amp;":"&amp;RIGHT(INDEX(ExpTime,$L697),2)))</f>
        <v/>
      </c>
      <c r="D697" s="17">
        <f>IF($L697="","",IF(INDEX(ExpBank,$L697)="","—",INDEX(ExpBank,$L697)))</f>
        <v/>
      </c>
      <c r="E697" s="18">
        <f>IF($L697="","",IF(INDEX(ExpParty,$L697)="","—",IFERROR(VLOOKUP(INDEX(ExpParty,$L697),AcctTbl,4,0),INDEX(ExpParty,$L697))))</f>
        <v/>
      </c>
      <c r="F697" s="17">
        <f>IF($L697="","",IF(INDEX(ExpType,$L697)="","—",INDEX(ExpType,$L697)))</f>
        <v/>
      </c>
      <c r="G697" s="19">
        <f>IF($L697="","",IF(INDEX(ExpDep,$L697)=0,"",INDEX(ExpDep,$L697)))</f>
        <v/>
      </c>
      <c r="H697" s="19">
        <f>IF($L697="","",IF(INDEX(ExpWit,$L697)=0,"",INDEX(ExpWit,$L697)))</f>
        <v/>
      </c>
      <c r="I697" s="20">
        <f>IF($B697="","",IF($I696="",0,$I696)+IF($H697="",0,$H697)-IF($G697="",0,$G697))</f>
        <v/>
      </c>
      <c r="J697" s="18">
        <f>IF($L697="","",IF(INDEX(ExpNote,$L697)="","—",INDEX(ExpNote,$L697)))</f>
        <v/>
      </c>
      <c r="L697">
        <f>IFERROR(MATCH($C$5&amp;"|"&amp;RIGHT("000000"&amp;681,6),ExpRankKey,0),"")</f>
        <v/>
      </c>
    </row>
    <row r="698">
      <c r="A698" s="21" t="n">
        <v>682</v>
      </c>
      <c r="B698" s="22">
        <f>IF($L698="","",INDEX(ExpNorm,$L698))</f>
        <v/>
      </c>
      <c r="C698" s="22">
        <f>IF($L698="","",IF(INDEX(ExpTime,$L698)="","—",LEFT(INDEX(ExpTime,$L698),2)&amp;":"&amp;RIGHT(INDEX(ExpTime,$L698),2)))</f>
        <v/>
      </c>
      <c r="D698" s="22">
        <f>IF($L698="","",IF(INDEX(ExpBank,$L698)="","—",INDEX(ExpBank,$L698)))</f>
        <v/>
      </c>
      <c r="E698" s="23">
        <f>IF($L698="","",IF(INDEX(ExpParty,$L698)="","—",IFERROR(VLOOKUP(INDEX(ExpParty,$L698),AcctTbl,4,0),INDEX(ExpParty,$L698))))</f>
        <v/>
      </c>
      <c r="F698" s="22">
        <f>IF($L698="","",IF(INDEX(ExpType,$L698)="","—",INDEX(ExpType,$L698)))</f>
        <v/>
      </c>
      <c r="G698" s="24">
        <f>IF($L698="","",IF(INDEX(ExpDep,$L698)=0,"",INDEX(ExpDep,$L698)))</f>
        <v/>
      </c>
      <c r="H698" s="24">
        <f>IF($L698="","",IF(INDEX(ExpWit,$L698)=0,"",INDEX(ExpWit,$L698)))</f>
        <v/>
      </c>
      <c r="I698" s="25">
        <f>IF($B698="","",IF($I697="",0,$I697)+IF($H698="",0,$H698)-IF($G698="",0,$G698))</f>
        <v/>
      </c>
      <c r="J698" s="23">
        <f>IF($L698="","",IF(INDEX(ExpNote,$L698)="","—",INDEX(ExpNote,$L698)))</f>
        <v/>
      </c>
      <c r="L698">
        <f>IFERROR(MATCH($C$5&amp;"|"&amp;RIGHT("000000"&amp;682,6),ExpRankKey,0),"")</f>
        <v/>
      </c>
    </row>
    <row r="699">
      <c r="A699" s="16" t="n">
        <v>683</v>
      </c>
      <c r="B699" s="17">
        <f>IF($L699="","",INDEX(ExpNorm,$L699))</f>
        <v/>
      </c>
      <c r="C699" s="17">
        <f>IF($L699="","",IF(INDEX(ExpTime,$L699)="","—",LEFT(INDEX(ExpTime,$L699),2)&amp;":"&amp;RIGHT(INDEX(ExpTime,$L699),2)))</f>
        <v/>
      </c>
      <c r="D699" s="17">
        <f>IF($L699="","",IF(INDEX(ExpBank,$L699)="","—",INDEX(ExpBank,$L699)))</f>
        <v/>
      </c>
      <c r="E699" s="18">
        <f>IF($L699="","",IF(INDEX(ExpParty,$L699)="","—",IFERROR(VLOOKUP(INDEX(ExpParty,$L699),AcctTbl,4,0),INDEX(ExpParty,$L699))))</f>
        <v/>
      </c>
      <c r="F699" s="17">
        <f>IF($L699="","",IF(INDEX(ExpType,$L699)="","—",INDEX(ExpType,$L699)))</f>
        <v/>
      </c>
      <c r="G699" s="19">
        <f>IF($L699="","",IF(INDEX(ExpDep,$L699)=0,"",INDEX(ExpDep,$L699)))</f>
        <v/>
      </c>
      <c r="H699" s="19">
        <f>IF($L699="","",IF(INDEX(ExpWit,$L699)=0,"",INDEX(ExpWit,$L699)))</f>
        <v/>
      </c>
      <c r="I699" s="20">
        <f>IF($B699="","",IF($I698="",0,$I698)+IF($H699="",0,$H699)-IF($G699="",0,$G699))</f>
        <v/>
      </c>
      <c r="J699" s="18">
        <f>IF($L699="","",IF(INDEX(ExpNote,$L699)="","—",INDEX(ExpNote,$L699)))</f>
        <v/>
      </c>
      <c r="L699">
        <f>IFERROR(MATCH($C$5&amp;"|"&amp;RIGHT("000000"&amp;683,6),ExpRankKey,0),"")</f>
        <v/>
      </c>
    </row>
    <row r="700">
      <c r="A700" s="21" t="n">
        <v>684</v>
      </c>
      <c r="B700" s="22">
        <f>IF($L700="","",INDEX(ExpNorm,$L700))</f>
        <v/>
      </c>
      <c r="C700" s="22">
        <f>IF($L700="","",IF(INDEX(ExpTime,$L700)="","—",LEFT(INDEX(ExpTime,$L700),2)&amp;":"&amp;RIGHT(INDEX(ExpTime,$L700),2)))</f>
        <v/>
      </c>
      <c r="D700" s="22">
        <f>IF($L700="","",IF(INDEX(ExpBank,$L700)="","—",INDEX(ExpBank,$L700)))</f>
        <v/>
      </c>
      <c r="E700" s="23">
        <f>IF($L700="","",IF(INDEX(ExpParty,$L700)="","—",IFERROR(VLOOKUP(INDEX(ExpParty,$L700),AcctTbl,4,0),INDEX(ExpParty,$L700))))</f>
        <v/>
      </c>
      <c r="F700" s="22">
        <f>IF($L700="","",IF(INDEX(ExpType,$L700)="","—",INDEX(ExpType,$L700)))</f>
        <v/>
      </c>
      <c r="G700" s="24">
        <f>IF($L700="","",IF(INDEX(ExpDep,$L700)=0,"",INDEX(ExpDep,$L700)))</f>
        <v/>
      </c>
      <c r="H700" s="24">
        <f>IF($L700="","",IF(INDEX(ExpWit,$L700)=0,"",INDEX(ExpWit,$L700)))</f>
        <v/>
      </c>
      <c r="I700" s="25">
        <f>IF($B700="","",IF($I699="",0,$I699)+IF($H700="",0,$H700)-IF($G700="",0,$G700))</f>
        <v/>
      </c>
      <c r="J700" s="23">
        <f>IF($L700="","",IF(INDEX(ExpNote,$L700)="","—",INDEX(ExpNote,$L700)))</f>
        <v/>
      </c>
      <c r="L700">
        <f>IFERROR(MATCH($C$5&amp;"|"&amp;RIGHT("000000"&amp;684,6),ExpRankKey,0),"")</f>
        <v/>
      </c>
    </row>
    <row r="701">
      <c r="A701" s="16" t="n">
        <v>685</v>
      </c>
      <c r="B701" s="17">
        <f>IF($L701="","",INDEX(ExpNorm,$L701))</f>
        <v/>
      </c>
      <c r="C701" s="17">
        <f>IF($L701="","",IF(INDEX(ExpTime,$L701)="","—",LEFT(INDEX(ExpTime,$L701),2)&amp;":"&amp;RIGHT(INDEX(ExpTime,$L701),2)))</f>
        <v/>
      </c>
      <c r="D701" s="17">
        <f>IF($L701="","",IF(INDEX(ExpBank,$L701)="","—",INDEX(ExpBank,$L701)))</f>
        <v/>
      </c>
      <c r="E701" s="18">
        <f>IF($L701="","",IF(INDEX(ExpParty,$L701)="","—",IFERROR(VLOOKUP(INDEX(ExpParty,$L701),AcctTbl,4,0),INDEX(ExpParty,$L701))))</f>
        <v/>
      </c>
      <c r="F701" s="17">
        <f>IF($L701="","",IF(INDEX(ExpType,$L701)="","—",INDEX(ExpType,$L701)))</f>
        <v/>
      </c>
      <c r="G701" s="19">
        <f>IF($L701="","",IF(INDEX(ExpDep,$L701)=0,"",INDEX(ExpDep,$L701)))</f>
        <v/>
      </c>
      <c r="H701" s="19">
        <f>IF($L701="","",IF(INDEX(ExpWit,$L701)=0,"",INDEX(ExpWit,$L701)))</f>
        <v/>
      </c>
      <c r="I701" s="20">
        <f>IF($B701="","",IF($I700="",0,$I700)+IF($H701="",0,$H701)-IF($G701="",0,$G701))</f>
        <v/>
      </c>
      <c r="J701" s="18">
        <f>IF($L701="","",IF(INDEX(ExpNote,$L701)="","—",INDEX(ExpNote,$L701)))</f>
        <v/>
      </c>
      <c r="L701">
        <f>IFERROR(MATCH($C$5&amp;"|"&amp;RIGHT("000000"&amp;685,6),ExpRankKey,0),"")</f>
        <v/>
      </c>
    </row>
    <row r="702">
      <c r="A702" s="21" t="n">
        <v>686</v>
      </c>
      <c r="B702" s="22">
        <f>IF($L702="","",INDEX(ExpNorm,$L702))</f>
        <v/>
      </c>
      <c r="C702" s="22">
        <f>IF($L702="","",IF(INDEX(ExpTime,$L702)="","—",LEFT(INDEX(ExpTime,$L702),2)&amp;":"&amp;RIGHT(INDEX(ExpTime,$L702),2)))</f>
        <v/>
      </c>
      <c r="D702" s="22">
        <f>IF($L702="","",IF(INDEX(ExpBank,$L702)="","—",INDEX(ExpBank,$L702)))</f>
        <v/>
      </c>
      <c r="E702" s="23">
        <f>IF($L702="","",IF(INDEX(ExpParty,$L702)="","—",IFERROR(VLOOKUP(INDEX(ExpParty,$L702),AcctTbl,4,0),INDEX(ExpParty,$L702))))</f>
        <v/>
      </c>
      <c r="F702" s="22">
        <f>IF($L702="","",IF(INDEX(ExpType,$L702)="","—",INDEX(ExpType,$L702)))</f>
        <v/>
      </c>
      <c r="G702" s="24">
        <f>IF($L702="","",IF(INDEX(ExpDep,$L702)=0,"",INDEX(ExpDep,$L702)))</f>
        <v/>
      </c>
      <c r="H702" s="24">
        <f>IF($L702="","",IF(INDEX(ExpWit,$L702)=0,"",INDEX(ExpWit,$L702)))</f>
        <v/>
      </c>
      <c r="I702" s="25">
        <f>IF($B702="","",IF($I701="",0,$I701)+IF($H702="",0,$H702)-IF($G702="",0,$G702))</f>
        <v/>
      </c>
      <c r="J702" s="23">
        <f>IF($L702="","",IF(INDEX(ExpNote,$L702)="","—",INDEX(ExpNote,$L702)))</f>
        <v/>
      </c>
      <c r="L702">
        <f>IFERROR(MATCH($C$5&amp;"|"&amp;RIGHT("000000"&amp;686,6),ExpRankKey,0),"")</f>
        <v/>
      </c>
    </row>
    <row r="703">
      <c r="A703" s="16" t="n">
        <v>687</v>
      </c>
      <c r="B703" s="17">
        <f>IF($L703="","",INDEX(ExpNorm,$L703))</f>
        <v/>
      </c>
      <c r="C703" s="17">
        <f>IF($L703="","",IF(INDEX(ExpTime,$L703)="","—",LEFT(INDEX(ExpTime,$L703),2)&amp;":"&amp;RIGHT(INDEX(ExpTime,$L703),2)))</f>
        <v/>
      </c>
      <c r="D703" s="17">
        <f>IF($L703="","",IF(INDEX(ExpBank,$L703)="","—",INDEX(ExpBank,$L703)))</f>
        <v/>
      </c>
      <c r="E703" s="18">
        <f>IF($L703="","",IF(INDEX(ExpParty,$L703)="","—",IFERROR(VLOOKUP(INDEX(ExpParty,$L703),AcctTbl,4,0),INDEX(ExpParty,$L703))))</f>
        <v/>
      </c>
      <c r="F703" s="17">
        <f>IF($L703="","",IF(INDEX(ExpType,$L703)="","—",INDEX(ExpType,$L703)))</f>
        <v/>
      </c>
      <c r="G703" s="19">
        <f>IF($L703="","",IF(INDEX(ExpDep,$L703)=0,"",INDEX(ExpDep,$L703)))</f>
        <v/>
      </c>
      <c r="H703" s="19">
        <f>IF($L703="","",IF(INDEX(ExpWit,$L703)=0,"",INDEX(ExpWit,$L703)))</f>
        <v/>
      </c>
      <c r="I703" s="20">
        <f>IF($B703="","",IF($I702="",0,$I702)+IF($H703="",0,$H703)-IF($G703="",0,$G703))</f>
        <v/>
      </c>
      <c r="J703" s="18">
        <f>IF($L703="","",IF(INDEX(ExpNote,$L703)="","—",INDEX(ExpNote,$L703)))</f>
        <v/>
      </c>
      <c r="L703">
        <f>IFERROR(MATCH($C$5&amp;"|"&amp;RIGHT("000000"&amp;687,6),ExpRankKey,0),"")</f>
        <v/>
      </c>
    </row>
    <row r="704">
      <c r="A704" s="21" t="n">
        <v>688</v>
      </c>
      <c r="B704" s="22">
        <f>IF($L704="","",INDEX(ExpNorm,$L704))</f>
        <v/>
      </c>
      <c r="C704" s="22">
        <f>IF($L704="","",IF(INDEX(ExpTime,$L704)="","—",LEFT(INDEX(ExpTime,$L704),2)&amp;":"&amp;RIGHT(INDEX(ExpTime,$L704),2)))</f>
        <v/>
      </c>
      <c r="D704" s="22">
        <f>IF($L704="","",IF(INDEX(ExpBank,$L704)="","—",INDEX(ExpBank,$L704)))</f>
        <v/>
      </c>
      <c r="E704" s="23">
        <f>IF($L704="","",IF(INDEX(ExpParty,$L704)="","—",IFERROR(VLOOKUP(INDEX(ExpParty,$L704),AcctTbl,4,0),INDEX(ExpParty,$L704))))</f>
        <v/>
      </c>
      <c r="F704" s="22">
        <f>IF($L704="","",IF(INDEX(ExpType,$L704)="","—",INDEX(ExpType,$L704)))</f>
        <v/>
      </c>
      <c r="G704" s="24">
        <f>IF($L704="","",IF(INDEX(ExpDep,$L704)=0,"",INDEX(ExpDep,$L704)))</f>
        <v/>
      </c>
      <c r="H704" s="24">
        <f>IF($L704="","",IF(INDEX(ExpWit,$L704)=0,"",INDEX(ExpWit,$L704)))</f>
        <v/>
      </c>
      <c r="I704" s="25">
        <f>IF($B704="","",IF($I703="",0,$I703)+IF($H704="",0,$H704)-IF($G704="",0,$G704))</f>
        <v/>
      </c>
      <c r="J704" s="23">
        <f>IF($L704="","",IF(INDEX(ExpNote,$L704)="","—",INDEX(ExpNote,$L704)))</f>
        <v/>
      </c>
      <c r="L704">
        <f>IFERROR(MATCH($C$5&amp;"|"&amp;RIGHT("000000"&amp;688,6),ExpRankKey,0),"")</f>
        <v/>
      </c>
    </row>
    <row r="705">
      <c r="A705" s="16" t="n">
        <v>689</v>
      </c>
      <c r="B705" s="17">
        <f>IF($L705="","",INDEX(ExpNorm,$L705))</f>
        <v/>
      </c>
      <c r="C705" s="17">
        <f>IF($L705="","",IF(INDEX(ExpTime,$L705)="","—",LEFT(INDEX(ExpTime,$L705),2)&amp;":"&amp;RIGHT(INDEX(ExpTime,$L705),2)))</f>
        <v/>
      </c>
      <c r="D705" s="17">
        <f>IF($L705="","",IF(INDEX(ExpBank,$L705)="","—",INDEX(ExpBank,$L705)))</f>
        <v/>
      </c>
      <c r="E705" s="18">
        <f>IF($L705="","",IF(INDEX(ExpParty,$L705)="","—",IFERROR(VLOOKUP(INDEX(ExpParty,$L705),AcctTbl,4,0),INDEX(ExpParty,$L705))))</f>
        <v/>
      </c>
      <c r="F705" s="17">
        <f>IF($L705="","",IF(INDEX(ExpType,$L705)="","—",INDEX(ExpType,$L705)))</f>
        <v/>
      </c>
      <c r="G705" s="19">
        <f>IF($L705="","",IF(INDEX(ExpDep,$L705)=0,"",INDEX(ExpDep,$L705)))</f>
        <v/>
      </c>
      <c r="H705" s="19">
        <f>IF($L705="","",IF(INDEX(ExpWit,$L705)=0,"",INDEX(ExpWit,$L705)))</f>
        <v/>
      </c>
      <c r="I705" s="20">
        <f>IF($B705="","",IF($I704="",0,$I704)+IF($H705="",0,$H705)-IF($G705="",0,$G705))</f>
        <v/>
      </c>
      <c r="J705" s="18">
        <f>IF($L705="","",IF(INDEX(ExpNote,$L705)="","—",INDEX(ExpNote,$L705)))</f>
        <v/>
      </c>
      <c r="L705">
        <f>IFERROR(MATCH($C$5&amp;"|"&amp;RIGHT("000000"&amp;689,6),ExpRankKey,0),"")</f>
        <v/>
      </c>
    </row>
    <row r="706">
      <c r="A706" s="21" t="n">
        <v>690</v>
      </c>
      <c r="B706" s="22">
        <f>IF($L706="","",INDEX(ExpNorm,$L706))</f>
        <v/>
      </c>
      <c r="C706" s="22">
        <f>IF($L706="","",IF(INDEX(ExpTime,$L706)="","—",LEFT(INDEX(ExpTime,$L706),2)&amp;":"&amp;RIGHT(INDEX(ExpTime,$L706),2)))</f>
        <v/>
      </c>
      <c r="D706" s="22">
        <f>IF($L706="","",IF(INDEX(ExpBank,$L706)="","—",INDEX(ExpBank,$L706)))</f>
        <v/>
      </c>
      <c r="E706" s="23">
        <f>IF($L706="","",IF(INDEX(ExpParty,$L706)="","—",IFERROR(VLOOKUP(INDEX(ExpParty,$L706),AcctTbl,4,0),INDEX(ExpParty,$L706))))</f>
        <v/>
      </c>
      <c r="F706" s="22">
        <f>IF($L706="","",IF(INDEX(ExpType,$L706)="","—",INDEX(ExpType,$L706)))</f>
        <v/>
      </c>
      <c r="G706" s="24">
        <f>IF($L706="","",IF(INDEX(ExpDep,$L706)=0,"",INDEX(ExpDep,$L706)))</f>
        <v/>
      </c>
      <c r="H706" s="24">
        <f>IF($L706="","",IF(INDEX(ExpWit,$L706)=0,"",INDEX(ExpWit,$L706)))</f>
        <v/>
      </c>
      <c r="I706" s="25">
        <f>IF($B706="","",IF($I705="",0,$I705)+IF($H706="",0,$H706)-IF($G706="",0,$G706))</f>
        <v/>
      </c>
      <c r="J706" s="23">
        <f>IF($L706="","",IF(INDEX(ExpNote,$L706)="","—",INDEX(ExpNote,$L706)))</f>
        <v/>
      </c>
      <c r="L706">
        <f>IFERROR(MATCH($C$5&amp;"|"&amp;RIGHT("000000"&amp;690,6),ExpRankKey,0),"")</f>
        <v/>
      </c>
    </row>
    <row r="707">
      <c r="A707" s="16" t="n">
        <v>691</v>
      </c>
      <c r="B707" s="17">
        <f>IF($L707="","",INDEX(ExpNorm,$L707))</f>
        <v/>
      </c>
      <c r="C707" s="17">
        <f>IF($L707="","",IF(INDEX(ExpTime,$L707)="","—",LEFT(INDEX(ExpTime,$L707),2)&amp;":"&amp;RIGHT(INDEX(ExpTime,$L707),2)))</f>
        <v/>
      </c>
      <c r="D707" s="17">
        <f>IF($L707="","",IF(INDEX(ExpBank,$L707)="","—",INDEX(ExpBank,$L707)))</f>
        <v/>
      </c>
      <c r="E707" s="18">
        <f>IF($L707="","",IF(INDEX(ExpParty,$L707)="","—",IFERROR(VLOOKUP(INDEX(ExpParty,$L707),AcctTbl,4,0),INDEX(ExpParty,$L707))))</f>
        <v/>
      </c>
      <c r="F707" s="17">
        <f>IF($L707="","",IF(INDEX(ExpType,$L707)="","—",INDEX(ExpType,$L707)))</f>
        <v/>
      </c>
      <c r="G707" s="19">
        <f>IF($L707="","",IF(INDEX(ExpDep,$L707)=0,"",INDEX(ExpDep,$L707)))</f>
        <v/>
      </c>
      <c r="H707" s="19">
        <f>IF($L707="","",IF(INDEX(ExpWit,$L707)=0,"",INDEX(ExpWit,$L707)))</f>
        <v/>
      </c>
      <c r="I707" s="20">
        <f>IF($B707="","",IF($I706="",0,$I706)+IF($H707="",0,$H707)-IF($G707="",0,$G707))</f>
        <v/>
      </c>
      <c r="J707" s="18">
        <f>IF($L707="","",IF(INDEX(ExpNote,$L707)="","—",INDEX(ExpNote,$L707)))</f>
        <v/>
      </c>
      <c r="L707">
        <f>IFERROR(MATCH($C$5&amp;"|"&amp;RIGHT("000000"&amp;691,6),ExpRankKey,0),"")</f>
        <v/>
      </c>
    </row>
    <row r="708">
      <c r="A708" s="21" t="n">
        <v>692</v>
      </c>
      <c r="B708" s="22">
        <f>IF($L708="","",INDEX(ExpNorm,$L708))</f>
        <v/>
      </c>
      <c r="C708" s="22">
        <f>IF($L708="","",IF(INDEX(ExpTime,$L708)="","—",LEFT(INDEX(ExpTime,$L708),2)&amp;":"&amp;RIGHT(INDEX(ExpTime,$L708),2)))</f>
        <v/>
      </c>
      <c r="D708" s="22">
        <f>IF($L708="","",IF(INDEX(ExpBank,$L708)="","—",INDEX(ExpBank,$L708)))</f>
        <v/>
      </c>
      <c r="E708" s="23">
        <f>IF($L708="","",IF(INDEX(ExpParty,$L708)="","—",IFERROR(VLOOKUP(INDEX(ExpParty,$L708),AcctTbl,4,0),INDEX(ExpParty,$L708))))</f>
        <v/>
      </c>
      <c r="F708" s="22">
        <f>IF($L708="","",IF(INDEX(ExpType,$L708)="","—",INDEX(ExpType,$L708)))</f>
        <v/>
      </c>
      <c r="G708" s="24">
        <f>IF($L708="","",IF(INDEX(ExpDep,$L708)=0,"",INDEX(ExpDep,$L708)))</f>
        <v/>
      </c>
      <c r="H708" s="24">
        <f>IF($L708="","",IF(INDEX(ExpWit,$L708)=0,"",INDEX(ExpWit,$L708)))</f>
        <v/>
      </c>
      <c r="I708" s="25">
        <f>IF($B708="","",IF($I707="",0,$I707)+IF($H708="",0,$H708)-IF($G708="",0,$G708))</f>
        <v/>
      </c>
      <c r="J708" s="23">
        <f>IF($L708="","",IF(INDEX(ExpNote,$L708)="","—",INDEX(ExpNote,$L708)))</f>
        <v/>
      </c>
      <c r="L708">
        <f>IFERROR(MATCH($C$5&amp;"|"&amp;RIGHT("000000"&amp;692,6),ExpRankKey,0),"")</f>
        <v/>
      </c>
    </row>
    <row r="709">
      <c r="A709" s="16" t="n">
        <v>693</v>
      </c>
      <c r="B709" s="17">
        <f>IF($L709="","",INDEX(ExpNorm,$L709))</f>
        <v/>
      </c>
      <c r="C709" s="17">
        <f>IF($L709="","",IF(INDEX(ExpTime,$L709)="","—",LEFT(INDEX(ExpTime,$L709),2)&amp;":"&amp;RIGHT(INDEX(ExpTime,$L709),2)))</f>
        <v/>
      </c>
      <c r="D709" s="17">
        <f>IF($L709="","",IF(INDEX(ExpBank,$L709)="","—",INDEX(ExpBank,$L709)))</f>
        <v/>
      </c>
      <c r="E709" s="18">
        <f>IF($L709="","",IF(INDEX(ExpParty,$L709)="","—",IFERROR(VLOOKUP(INDEX(ExpParty,$L709),AcctTbl,4,0),INDEX(ExpParty,$L709))))</f>
        <v/>
      </c>
      <c r="F709" s="17">
        <f>IF($L709="","",IF(INDEX(ExpType,$L709)="","—",INDEX(ExpType,$L709)))</f>
        <v/>
      </c>
      <c r="G709" s="19">
        <f>IF($L709="","",IF(INDEX(ExpDep,$L709)=0,"",INDEX(ExpDep,$L709)))</f>
        <v/>
      </c>
      <c r="H709" s="19">
        <f>IF($L709="","",IF(INDEX(ExpWit,$L709)=0,"",INDEX(ExpWit,$L709)))</f>
        <v/>
      </c>
      <c r="I709" s="20">
        <f>IF($B709="","",IF($I708="",0,$I708)+IF($H709="",0,$H709)-IF($G709="",0,$G709))</f>
        <v/>
      </c>
      <c r="J709" s="18">
        <f>IF($L709="","",IF(INDEX(ExpNote,$L709)="","—",INDEX(ExpNote,$L709)))</f>
        <v/>
      </c>
      <c r="L709">
        <f>IFERROR(MATCH($C$5&amp;"|"&amp;RIGHT("000000"&amp;693,6),ExpRankKey,0),"")</f>
        <v/>
      </c>
    </row>
    <row r="710">
      <c r="A710" s="21" t="n">
        <v>694</v>
      </c>
      <c r="B710" s="22">
        <f>IF($L710="","",INDEX(ExpNorm,$L710))</f>
        <v/>
      </c>
      <c r="C710" s="22">
        <f>IF($L710="","",IF(INDEX(ExpTime,$L710)="","—",LEFT(INDEX(ExpTime,$L710),2)&amp;":"&amp;RIGHT(INDEX(ExpTime,$L710),2)))</f>
        <v/>
      </c>
      <c r="D710" s="22">
        <f>IF($L710="","",IF(INDEX(ExpBank,$L710)="","—",INDEX(ExpBank,$L710)))</f>
        <v/>
      </c>
      <c r="E710" s="23">
        <f>IF($L710="","",IF(INDEX(ExpParty,$L710)="","—",IFERROR(VLOOKUP(INDEX(ExpParty,$L710),AcctTbl,4,0),INDEX(ExpParty,$L710))))</f>
        <v/>
      </c>
      <c r="F710" s="22">
        <f>IF($L710="","",IF(INDEX(ExpType,$L710)="","—",INDEX(ExpType,$L710)))</f>
        <v/>
      </c>
      <c r="G710" s="24">
        <f>IF($L710="","",IF(INDEX(ExpDep,$L710)=0,"",INDEX(ExpDep,$L710)))</f>
        <v/>
      </c>
      <c r="H710" s="24">
        <f>IF($L710="","",IF(INDEX(ExpWit,$L710)=0,"",INDEX(ExpWit,$L710)))</f>
        <v/>
      </c>
      <c r="I710" s="25">
        <f>IF($B710="","",IF($I709="",0,$I709)+IF($H710="",0,$H710)-IF($G710="",0,$G710))</f>
        <v/>
      </c>
      <c r="J710" s="23">
        <f>IF($L710="","",IF(INDEX(ExpNote,$L710)="","—",INDEX(ExpNote,$L710)))</f>
        <v/>
      </c>
      <c r="L710">
        <f>IFERROR(MATCH($C$5&amp;"|"&amp;RIGHT("000000"&amp;694,6),ExpRankKey,0),"")</f>
        <v/>
      </c>
    </row>
    <row r="711">
      <c r="A711" s="16" t="n">
        <v>695</v>
      </c>
      <c r="B711" s="17">
        <f>IF($L711="","",INDEX(ExpNorm,$L711))</f>
        <v/>
      </c>
      <c r="C711" s="17">
        <f>IF($L711="","",IF(INDEX(ExpTime,$L711)="","—",LEFT(INDEX(ExpTime,$L711),2)&amp;":"&amp;RIGHT(INDEX(ExpTime,$L711),2)))</f>
        <v/>
      </c>
      <c r="D711" s="17">
        <f>IF($L711="","",IF(INDEX(ExpBank,$L711)="","—",INDEX(ExpBank,$L711)))</f>
        <v/>
      </c>
      <c r="E711" s="18">
        <f>IF($L711="","",IF(INDEX(ExpParty,$L711)="","—",IFERROR(VLOOKUP(INDEX(ExpParty,$L711),AcctTbl,4,0),INDEX(ExpParty,$L711))))</f>
        <v/>
      </c>
      <c r="F711" s="17">
        <f>IF($L711="","",IF(INDEX(ExpType,$L711)="","—",INDEX(ExpType,$L711)))</f>
        <v/>
      </c>
      <c r="G711" s="19">
        <f>IF($L711="","",IF(INDEX(ExpDep,$L711)=0,"",INDEX(ExpDep,$L711)))</f>
        <v/>
      </c>
      <c r="H711" s="19">
        <f>IF($L711="","",IF(INDEX(ExpWit,$L711)=0,"",INDEX(ExpWit,$L711)))</f>
        <v/>
      </c>
      <c r="I711" s="20">
        <f>IF($B711="","",IF($I710="",0,$I710)+IF($H711="",0,$H711)-IF($G711="",0,$G711))</f>
        <v/>
      </c>
      <c r="J711" s="18">
        <f>IF($L711="","",IF(INDEX(ExpNote,$L711)="","—",INDEX(ExpNote,$L711)))</f>
        <v/>
      </c>
      <c r="L711">
        <f>IFERROR(MATCH($C$5&amp;"|"&amp;RIGHT("000000"&amp;695,6),ExpRankKey,0),"")</f>
        <v/>
      </c>
    </row>
    <row r="712">
      <c r="A712" s="21" t="n">
        <v>696</v>
      </c>
      <c r="B712" s="22">
        <f>IF($L712="","",INDEX(ExpNorm,$L712))</f>
        <v/>
      </c>
      <c r="C712" s="22">
        <f>IF($L712="","",IF(INDEX(ExpTime,$L712)="","—",LEFT(INDEX(ExpTime,$L712),2)&amp;":"&amp;RIGHT(INDEX(ExpTime,$L712),2)))</f>
        <v/>
      </c>
      <c r="D712" s="22">
        <f>IF($L712="","",IF(INDEX(ExpBank,$L712)="","—",INDEX(ExpBank,$L712)))</f>
        <v/>
      </c>
      <c r="E712" s="23">
        <f>IF($L712="","",IF(INDEX(ExpParty,$L712)="","—",IFERROR(VLOOKUP(INDEX(ExpParty,$L712),AcctTbl,4,0),INDEX(ExpParty,$L712))))</f>
        <v/>
      </c>
      <c r="F712" s="22">
        <f>IF($L712="","",IF(INDEX(ExpType,$L712)="","—",INDEX(ExpType,$L712)))</f>
        <v/>
      </c>
      <c r="G712" s="24">
        <f>IF($L712="","",IF(INDEX(ExpDep,$L712)=0,"",INDEX(ExpDep,$L712)))</f>
        <v/>
      </c>
      <c r="H712" s="24">
        <f>IF($L712="","",IF(INDEX(ExpWit,$L712)=0,"",INDEX(ExpWit,$L712)))</f>
        <v/>
      </c>
      <c r="I712" s="25">
        <f>IF($B712="","",IF($I711="",0,$I711)+IF($H712="",0,$H712)-IF($G712="",0,$G712))</f>
        <v/>
      </c>
      <c r="J712" s="23">
        <f>IF($L712="","",IF(INDEX(ExpNote,$L712)="","—",INDEX(ExpNote,$L712)))</f>
        <v/>
      </c>
      <c r="L712">
        <f>IFERROR(MATCH($C$5&amp;"|"&amp;RIGHT("000000"&amp;696,6),ExpRankKey,0),"")</f>
        <v/>
      </c>
    </row>
    <row r="713">
      <c r="A713" s="16" t="n">
        <v>697</v>
      </c>
      <c r="B713" s="17">
        <f>IF($L713="","",INDEX(ExpNorm,$L713))</f>
        <v/>
      </c>
      <c r="C713" s="17">
        <f>IF($L713="","",IF(INDEX(ExpTime,$L713)="","—",LEFT(INDEX(ExpTime,$L713),2)&amp;":"&amp;RIGHT(INDEX(ExpTime,$L713),2)))</f>
        <v/>
      </c>
      <c r="D713" s="17">
        <f>IF($L713="","",IF(INDEX(ExpBank,$L713)="","—",INDEX(ExpBank,$L713)))</f>
        <v/>
      </c>
      <c r="E713" s="18">
        <f>IF($L713="","",IF(INDEX(ExpParty,$L713)="","—",IFERROR(VLOOKUP(INDEX(ExpParty,$L713),AcctTbl,4,0),INDEX(ExpParty,$L713))))</f>
        <v/>
      </c>
      <c r="F713" s="17">
        <f>IF($L713="","",IF(INDEX(ExpType,$L713)="","—",INDEX(ExpType,$L713)))</f>
        <v/>
      </c>
      <c r="G713" s="19">
        <f>IF($L713="","",IF(INDEX(ExpDep,$L713)=0,"",INDEX(ExpDep,$L713)))</f>
        <v/>
      </c>
      <c r="H713" s="19">
        <f>IF($L713="","",IF(INDEX(ExpWit,$L713)=0,"",INDEX(ExpWit,$L713)))</f>
        <v/>
      </c>
      <c r="I713" s="20">
        <f>IF($B713="","",IF($I712="",0,$I712)+IF($H713="",0,$H713)-IF($G713="",0,$G713))</f>
        <v/>
      </c>
      <c r="J713" s="18">
        <f>IF($L713="","",IF(INDEX(ExpNote,$L713)="","—",INDEX(ExpNote,$L713)))</f>
        <v/>
      </c>
      <c r="L713">
        <f>IFERROR(MATCH($C$5&amp;"|"&amp;RIGHT("000000"&amp;697,6),ExpRankKey,0),"")</f>
        <v/>
      </c>
    </row>
    <row r="714">
      <c r="A714" s="21" t="n">
        <v>698</v>
      </c>
      <c r="B714" s="22">
        <f>IF($L714="","",INDEX(ExpNorm,$L714))</f>
        <v/>
      </c>
      <c r="C714" s="22">
        <f>IF($L714="","",IF(INDEX(ExpTime,$L714)="","—",LEFT(INDEX(ExpTime,$L714),2)&amp;":"&amp;RIGHT(INDEX(ExpTime,$L714),2)))</f>
        <v/>
      </c>
      <c r="D714" s="22">
        <f>IF($L714="","",IF(INDEX(ExpBank,$L714)="","—",INDEX(ExpBank,$L714)))</f>
        <v/>
      </c>
      <c r="E714" s="23">
        <f>IF($L714="","",IF(INDEX(ExpParty,$L714)="","—",IFERROR(VLOOKUP(INDEX(ExpParty,$L714),AcctTbl,4,0),INDEX(ExpParty,$L714))))</f>
        <v/>
      </c>
      <c r="F714" s="22">
        <f>IF($L714="","",IF(INDEX(ExpType,$L714)="","—",INDEX(ExpType,$L714)))</f>
        <v/>
      </c>
      <c r="G714" s="24">
        <f>IF($L714="","",IF(INDEX(ExpDep,$L714)=0,"",INDEX(ExpDep,$L714)))</f>
        <v/>
      </c>
      <c r="H714" s="24">
        <f>IF($L714="","",IF(INDEX(ExpWit,$L714)=0,"",INDEX(ExpWit,$L714)))</f>
        <v/>
      </c>
      <c r="I714" s="25">
        <f>IF($B714="","",IF($I713="",0,$I713)+IF($H714="",0,$H714)-IF($G714="",0,$G714))</f>
        <v/>
      </c>
      <c r="J714" s="23">
        <f>IF($L714="","",IF(INDEX(ExpNote,$L714)="","—",INDEX(ExpNote,$L714)))</f>
        <v/>
      </c>
      <c r="L714">
        <f>IFERROR(MATCH($C$5&amp;"|"&amp;RIGHT("000000"&amp;698,6),ExpRankKey,0),"")</f>
        <v/>
      </c>
    </row>
    <row r="715">
      <c r="A715" s="16" t="n">
        <v>699</v>
      </c>
      <c r="B715" s="17">
        <f>IF($L715="","",INDEX(ExpNorm,$L715))</f>
        <v/>
      </c>
      <c r="C715" s="17">
        <f>IF($L715="","",IF(INDEX(ExpTime,$L715)="","—",LEFT(INDEX(ExpTime,$L715),2)&amp;":"&amp;RIGHT(INDEX(ExpTime,$L715),2)))</f>
        <v/>
      </c>
      <c r="D715" s="17">
        <f>IF($L715="","",IF(INDEX(ExpBank,$L715)="","—",INDEX(ExpBank,$L715)))</f>
        <v/>
      </c>
      <c r="E715" s="18">
        <f>IF($L715="","",IF(INDEX(ExpParty,$L715)="","—",IFERROR(VLOOKUP(INDEX(ExpParty,$L715),AcctTbl,4,0),INDEX(ExpParty,$L715))))</f>
        <v/>
      </c>
      <c r="F715" s="17">
        <f>IF($L715="","",IF(INDEX(ExpType,$L715)="","—",INDEX(ExpType,$L715)))</f>
        <v/>
      </c>
      <c r="G715" s="19">
        <f>IF($L715="","",IF(INDEX(ExpDep,$L715)=0,"",INDEX(ExpDep,$L715)))</f>
        <v/>
      </c>
      <c r="H715" s="19">
        <f>IF($L715="","",IF(INDEX(ExpWit,$L715)=0,"",INDEX(ExpWit,$L715)))</f>
        <v/>
      </c>
      <c r="I715" s="20">
        <f>IF($B715="","",IF($I714="",0,$I714)+IF($H715="",0,$H715)-IF($G715="",0,$G715))</f>
        <v/>
      </c>
      <c r="J715" s="18">
        <f>IF($L715="","",IF(INDEX(ExpNote,$L715)="","—",INDEX(ExpNote,$L715)))</f>
        <v/>
      </c>
      <c r="L715">
        <f>IFERROR(MATCH($C$5&amp;"|"&amp;RIGHT("000000"&amp;699,6),ExpRankKey,0),"")</f>
        <v/>
      </c>
    </row>
    <row r="716">
      <c r="A716" s="21" t="n">
        <v>700</v>
      </c>
      <c r="B716" s="22">
        <f>IF($L716="","",INDEX(ExpNorm,$L716))</f>
        <v/>
      </c>
      <c r="C716" s="22">
        <f>IF($L716="","",IF(INDEX(ExpTime,$L716)="","—",LEFT(INDEX(ExpTime,$L716),2)&amp;":"&amp;RIGHT(INDEX(ExpTime,$L716),2)))</f>
        <v/>
      </c>
      <c r="D716" s="22">
        <f>IF($L716="","",IF(INDEX(ExpBank,$L716)="","—",INDEX(ExpBank,$L716)))</f>
        <v/>
      </c>
      <c r="E716" s="23">
        <f>IF($L716="","",IF(INDEX(ExpParty,$L716)="","—",IFERROR(VLOOKUP(INDEX(ExpParty,$L716),AcctTbl,4,0),INDEX(ExpParty,$L716))))</f>
        <v/>
      </c>
      <c r="F716" s="22">
        <f>IF($L716="","",IF(INDEX(ExpType,$L716)="","—",INDEX(ExpType,$L716)))</f>
        <v/>
      </c>
      <c r="G716" s="24">
        <f>IF($L716="","",IF(INDEX(ExpDep,$L716)=0,"",INDEX(ExpDep,$L716)))</f>
        <v/>
      </c>
      <c r="H716" s="24">
        <f>IF($L716="","",IF(INDEX(ExpWit,$L716)=0,"",INDEX(ExpWit,$L716)))</f>
        <v/>
      </c>
      <c r="I716" s="25">
        <f>IF($B716="","",IF($I715="",0,$I715)+IF($H716="",0,$H716)-IF($G716="",0,$G716))</f>
        <v/>
      </c>
      <c r="J716" s="23">
        <f>IF($L716="","",IF(INDEX(ExpNote,$L716)="","—",INDEX(ExpNote,$L716)))</f>
        <v/>
      </c>
      <c r="L716">
        <f>IFERROR(MATCH($C$5&amp;"|"&amp;RIGHT("000000"&amp;700,6),ExpRankKey,0),"")</f>
        <v/>
      </c>
    </row>
    <row r="717">
      <c r="A717" s="16" t="n">
        <v>701</v>
      </c>
      <c r="B717" s="17">
        <f>IF($L717="","",INDEX(ExpNorm,$L717))</f>
        <v/>
      </c>
      <c r="C717" s="17">
        <f>IF($L717="","",IF(INDEX(ExpTime,$L717)="","—",LEFT(INDEX(ExpTime,$L717),2)&amp;":"&amp;RIGHT(INDEX(ExpTime,$L717),2)))</f>
        <v/>
      </c>
      <c r="D717" s="17">
        <f>IF($L717="","",IF(INDEX(ExpBank,$L717)="","—",INDEX(ExpBank,$L717)))</f>
        <v/>
      </c>
      <c r="E717" s="18">
        <f>IF($L717="","",IF(INDEX(ExpParty,$L717)="","—",IFERROR(VLOOKUP(INDEX(ExpParty,$L717),AcctTbl,4,0),INDEX(ExpParty,$L717))))</f>
        <v/>
      </c>
      <c r="F717" s="17">
        <f>IF($L717="","",IF(INDEX(ExpType,$L717)="","—",INDEX(ExpType,$L717)))</f>
        <v/>
      </c>
      <c r="G717" s="19">
        <f>IF($L717="","",IF(INDEX(ExpDep,$L717)=0,"",INDEX(ExpDep,$L717)))</f>
        <v/>
      </c>
      <c r="H717" s="19">
        <f>IF($L717="","",IF(INDEX(ExpWit,$L717)=0,"",INDEX(ExpWit,$L717)))</f>
        <v/>
      </c>
      <c r="I717" s="20">
        <f>IF($B717="","",IF($I716="",0,$I716)+IF($H717="",0,$H717)-IF($G717="",0,$G717))</f>
        <v/>
      </c>
      <c r="J717" s="18">
        <f>IF($L717="","",IF(INDEX(ExpNote,$L717)="","—",INDEX(ExpNote,$L717)))</f>
        <v/>
      </c>
      <c r="L717">
        <f>IFERROR(MATCH($C$5&amp;"|"&amp;RIGHT("000000"&amp;701,6),ExpRankKey,0),"")</f>
        <v/>
      </c>
    </row>
    <row r="718">
      <c r="A718" s="21" t="n">
        <v>702</v>
      </c>
      <c r="B718" s="22">
        <f>IF($L718="","",INDEX(ExpNorm,$L718))</f>
        <v/>
      </c>
      <c r="C718" s="22">
        <f>IF($L718="","",IF(INDEX(ExpTime,$L718)="","—",LEFT(INDEX(ExpTime,$L718),2)&amp;":"&amp;RIGHT(INDEX(ExpTime,$L718),2)))</f>
        <v/>
      </c>
      <c r="D718" s="22">
        <f>IF($L718="","",IF(INDEX(ExpBank,$L718)="","—",INDEX(ExpBank,$L718)))</f>
        <v/>
      </c>
      <c r="E718" s="23">
        <f>IF($L718="","",IF(INDEX(ExpParty,$L718)="","—",IFERROR(VLOOKUP(INDEX(ExpParty,$L718),AcctTbl,4,0),INDEX(ExpParty,$L718))))</f>
        <v/>
      </c>
      <c r="F718" s="22">
        <f>IF($L718="","",IF(INDEX(ExpType,$L718)="","—",INDEX(ExpType,$L718)))</f>
        <v/>
      </c>
      <c r="G718" s="24">
        <f>IF($L718="","",IF(INDEX(ExpDep,$L718)=0,"",INDEX(ExpDep,$L718)))</f>
        <v/>
      </c>
      <c r="H718" s="24">
        <f>IF($L718="","",IF(INDEX(ExpWit,$L718)=0,"",INDEX(ExpWit,$L718)))</f>
        <v/>
      </c>
      <c r="I718" s="25">
        <f>IF($B718="","",IF($I717="",0,$I717)+IF($H718="",0,$H718)-IF($G718="",0,$G718))</f>
        <v/>
      </c>
      <c r="J718" s="23">
        <f>IF($L718="","",IF(INDEX(ExpNote,$L718)="","—",INDEX(ExpNote,$L718)))</f>
        <v/>
      </c>
      <c r="L718">
        <f>IFERROR(MATCH($C$5&amp;"|"&amp;RIGHT("000000"&amp;702,6),ExpRankKey,0),"")</f>
        <v/>
      </c>
    </row>
    <row r="719">
      <c r="A719" s="16" t="n">
        <v>703</v>
      </c>
      <c r="B719" s="17">
        <f>IF($L719="","",INDEX(ExpNorm,$L719))</f>
        <v/>
      </c>
      <c r="C719" s="17">
        <f>IF($L719="","",IF(INDEX(ExpTime,$L719)="","—",LEFT(INDEX(ExpTime,$L719),2)&amp;":"&amp;RIGHT(INDEX(ExpTime,$L719),2)))</f>
        <v/>
      </c>
      <c r="D719" s="17">
        <f>IF($L719="","",IF(INDEX(ExpBank,$L719)="","—",INDEX(ExpBank,$L719)))</f>
        <v/>
      </c>
      <c r="E719" s="18">
        <f>IF($L719="","",IF(INDEX(ExpParty,$L719)="","—",IFERROR(VLOOKUP(INDEX(ExpParty,$L719),AcctTbl,4,0),INDEX(ExpParty,$L719))))</f>
        <v/>
      </c>
      <c r="F719" s="17">
        <f>IF($L719="","",IF(INDEX(ExpType,$L719)="","—",INDEX(ExpType,$L719)))</f>
        <v/>
      </c>
      <c r="G719" s="19">
        <f>IF($L719="","",IF(INDEX(ExpDep,$L719)=0,"",INDEX(ExpDep,$L719)))</f>
        <v/>
      </c>
      <c r="H719" s="19">
        <f>IF($L719="","",IF(INDEX(ExpWit,$L719)=0,"",INDEX(ExpWit,$L719)))</f>
        <v/>
      </c>
      <c r="I719" s="20">
        <f>IF($B719="","",IF($I718="",0,$I718)+IF($H719="",0,$H719)-IF($G719="",0,$G719))</f>
        <v/>
      </c>
      <c r="J719" s="18">
        <f>IF($L719="","",IF(INDEX(ExpNote,$L719)="","—",INDEX(ExpNote,$L719)))</f>
        <v/>
      </c>
      <c r="L719">
        <f>IFERROR(MATCH($C$5&amp;"|"&amp;RIGHT("000000"&amp;703,6),ExpRankKey,0),"")</f>
        <v/>
      </c>
    </row>
    <row r="720">
      <c r="A720" s="21" t="n">
        <v>704</v>
      </c>
      <c r="B720" s="22">
        <f>IF($L720="","",INDEX(ExpNorm,$L720))</f>
        <v/>
      </c>
      <c r="C720" s="22">
        <f>IF($L720="","",IF(INDEX(ExpTime,$L720)="","—",LEFT(INDEX(ExpTime,$L720),2)&amp;":"&amp;RIGHT(INDEX(ExpTime,$L720),2)))</f>
        <v/>
      </c>
      <c r="D720" s="22">
        <f>IF($L720="","",IF(INDEX(ExpBank,$L720)="","—",INDEX(ExpBank,$L720)))</f>
        <v/>
      </c>
      <c r="E720" s="23">
        <f>IF($L720="","",IF(INDEX(ExpParty,$L720)="","—",IFERROR(VLOOKUP(INDEX(ExpParty,$L720),AcctTbl,4,0),INDEX(ExpParty,$L720))))</f>
        <v/>
      </c>
      <c r="F720" s="22">
        <f>IF($L720="","",IF(INDEX(ExpType,$L720)="","—",INDEX(ExpType,$L720)))</f>
        <v/>
      </c>
      <c r="G720" s="24">
        <f>IF($L720="","",IF(INDEX(ExpDep,$L720)=0,"",INDEX(ExpDep,$L720)))</f>
        <v/>
      </c>
      <c r="H720" s="24">
        <f>IF($L720="","",IF(INDEX(ExpWit,$L720)=0,"",INDEX(ExpWit,$L720)))</f>
        <v/>
      </c>
      <c r="I720" s="25">
        <f>IF($B720="","",IF($I719="",0,$I719)+IF($H720="",0,$H720)-IF($G720="",0,$G720))</f>
        <v/>
      </c>
      <c r="J720" s="23">
        <f>IF($L720="","",IF(INDEX(ExpNote,$L720)="","—",INDEX(ExpNote,$L720)))</f>
        <v/>
      </c>
      <c r="L720">
        <f>IFERROR(MATCH($C$5&amp;"|"&amp;RIGHT("000000"&amp;704,6),ExpRankKey,0),"")</f>
        <v/>
      </c>
    </row>
    <row r="721">
      <c r="A721" s="16" t="n">
        <v>705</v>
      </c>
      <c r="B721" s="17">
        <f>IF($L721="","",INDEX(ExpNorm,$L721))</f>
        <v/>
      </c>
      <c r="C721" s="17">
        <f>IF($L721="","",IF(INDEX(ExpTime,$L721)="","—",LEFT(INDEX(ExpTime,$L721),2)&amp;":"&amp;RIGHT(INDEX(ExpTime,$L721),2)))</f>
        <v/>
      </c>
      <c r="D721" s="17">
        <f>IF($L721="","",IF(INDEX(ExpBank,$L721)="","—",INDEX(ExpBank,$L721)))</f>
        <v/>
      </c>
      <c r="E721" s="18">
        <f>IF($L721="","",IF(INDEX(ExpParty,$L721)="","—",IFERROR(VLOOKUP(INDEX(ExpParty,$L721),AcctTbl,4,0),INDEX(ExpParty,$L721))))</f>
        <v/>
      </c>
      <c r="F721" s="17">
        <f>IF($L721="","",IF(INDEX(ExpType,$L721)="","—",INDEX(ExpType,$L721)))</f>
        <v/>
      </c>
      <c r="G721" s="19">
        <f>IF($L721="","",IF(INDEX(ExpDep,$L721)=0,"",INDEX(ExpDep,$L721)))</f>
        <v/>
      </c>
      <c r="H721" s="19">
        <f>IF($L721="","",IF(INDEX(ExpWit,$L721)=0,"",INDEX(ExpWit,$L721)))</f>
        <v/>
      </c>
      <c r="I721" s="20">
        <f>IF($B721="","",IF($I720="",0,$I720)+IF($H721="",0,$H721)-IF($G721="",0,$G721))</f>
        <v/>
      </c>
      <c r="J721" s="18">
        <f>IF($L721="","",IF(INDEX(ExpNote,$L721)="","—",INDEX(ExpNote,$L721)))</f>
        <v/>
      </c>
      <c r="L721">
        <f>IFERROR(MATCH($C$5&amp;"|"&amp;RIGHT("000000"&amp;705,6),ExpRankKey,0),"")</f>
        <v/>
      </c>
    </row>
    <row r="722">
      <c r="A722" s="21" t="n">
        <v>706</v>
      </c>
      <c r="B722" s="22">
        <f>IF($L722="","",INDEX(ExpNorm,$L722))</f>
        <v/>
      </c>
      <c r="C722" s="22">
        <f>IF($L722="","",IF(INDEX(ExpTime,$L722)="","—",LEFT(INDEX(ExpTime,$L722),2)&amp;":"&amp;RIGHT(INDEX(ExpTime,$L722),2)))</f>
        <v/>
      </c>
      <c r="D722" s="22">
        <f>IF($L722="","",IF(INDEX(ExpBank,$L722)="","—",INDEX(ExpBank,$L722)))</f>
        <v/>
      </c>
      <c r="E722" s="23">
        <f>IF($L722="","",IF(INDEX(ExpParty,$L722)="","—",IFERROR(VLOOKUP(INDEX(ExpParty,$L722),AcctTbl,4,0),INDEX(ExpParty,$L722))))</f>
        <v/>
      </c>
      <c r="F722" s="22">
        <f>IF($L722="","",IF(INDEX(ExpType,$L722)="","—",INDEX(ExpType,$L722)))</f>
        <v/>
      </c>
      <c r="G722" s="24">
        <f>IF($L722="","",IF(INDEX(ExpDep,$L722)=0,"",INDEX(ExpDep,$L722)))</f>
        <v/>
      </c>
      <c r="H722" s="24">
        <f>IF($L722="","",IF(INDEX(ExpWit,$L722)=0,"",INDEX(ExpWit,$L722)))</f>
        <v/>
      </c>
      <c r="I722" s="25">
        <f>IF($B722="","",IF($I721="",0,$I721)+IF($H722="",0,$H722)-IF($G722="",0,$G722))</f>
        <v/>
      </c>
      <c r="J722" s="23">
        <f>IF($L722="","",IF(INDEX(ExpNote,$L722)="","—",INDEX(ExpNote,$L722)))</f>
        <v/>
      </c>
      <c r="L722">
        <f>IFERROR(MATCH($C$5&amp;"|"&amp;RIGHT("000000"&amp;706,6),ExpRankKey,0),"")</f>
        <v/>
      </c>
    </row>
    <row r="723">
      <c r="A723" s="16" t="n">
        <v>707</v>
      </c>
      <c r="B723" s="17">
        <f>IF($L723="","",INDEX(ExpNorm,$L723))</f>
        <v/>
      </c>
      <c r="C723" s="17">
        <f>IF($L723="","",IF(INDEX(ExpTime,$L723)="","—",LEFT(INDEX(ExpTime,$L723),2)&amp;":"&amp;RIGHT(INDEX(ExpTime,$L723),2)))</f>
        <v/>
      </c>
      <c r="D723" s="17">
        <f>IF($L723="","",IF(INDEX(ExpBank,$L723)="","—",INDEX(ExpBank,$L723)))</f>
        <v/>
      </c>
      <c r="E723" s="18">
        <f>IF($L723="","",IF(INDEX(ExpParty,$L723)="","—",IFERROR(VLOOKUP(INDEX(ExpParty,$L723),AcctTbl,4,0),INDEX(ExpParty,$L723))))</f>
        <v/>
      </c>
      <c r="F723" s="17">
        <f>IF($L723="","",IF(INDEX(ExpType,$L723)="","—",INDEX(ExpType,$L723)))</f>
        <v/>
      </c>
      <c r="G723" s="19">
        <f>IF($L723="","",IF(INDEX(ExpDep,$L723)=0,"",INDEX(ExpDep,$L723)))</f>
        <v/>
      </c>
      <c r="H723" s="19">
        <f>IF($L723="","",IF(INDEX(ExpWit,$L723)=0,"",INDEX(ExpWit,$L723)))</f>
        <v/>
      </c>
      <c r="I723" s="20">
        <f>IF($B723="","",IF($I722="",0,$I722)+IF($H723="",0,$H723)-IF($G723="",0,$G723))</f>
        <v/>
      </c>
      <c r="J723" s="18">
        <f>IF($L723="","",IF(INDEX(ExpNote,$L723)="","—",INDEX(ExpNote,$L723)))</f>
        <v/>
      </c>
      <c r="L723">
        <f>IFERROR(MATCH($C$5&amp;"|"&amp;RIGHT("000000"&amp;707,6),ExpRankKey,0),"")</f>
        <v/>
      </c>
    </row>
    <row r="724">
      <c r="A724" s="21" t="n">
        <v>708</v>
      </c>
      <c r="B724" s="22">
        <f>IF($L724="","",INDEX(ExpNorm,$L724))</f>
        <v/>
      </c>
      <c r="C724" s="22">
        <f>IF($L724="","",IF(INDEX(ExpTime,$L724)="","—",LEFT(INDEX(ExpTime,$L724),2)&amp;":"&amp;RIGHT(INDEX(ExpTime,$L724),2)))</f>
        <v/>
      </c>
      <c r="D724" s="22">
        <f>IF($L724="","",IF(INDEX(ExpBank,$L724)="","—",INDEX(ExpBank,$L724)))</f>
        <v/>
      </c>
      <c r="E724" s="23">
        <f>IF($L724="","",IF(INDEX(ExpParty,$L724)="","—",IFERROR(VLOOKUP(INDEX(ExpParty,$L724),AcctTbl,4,0),INDEX(ExpParty,$L724))))</f>
        <v/>
      </c>
      <c r="F724" s="22">
        <f>IF($L724="","",IF(INDEX(ExpType,$L724)="","—",INDEX(ExpType,$L724)))</f>
        <v/>
      </c>
      <c r="G724" s="24">
        <f>IF($L724="","",IF(INDEX(ExpDep,$L724)=0,"",INDEX(ExpDep,$L724)))</f>
        <v/>
      </c>
      <c r="H724" s="24">
        <f>IF($L724="","",IF(INDEX(ExpWit,$L724)=0,"",INDEX(ExpWit,$L724)))</f>
        <v/>
      </c>
      <c r="I724" s="25">
        <f>IF($B724="","",IF($I723="",0,$I723)+IF($H724="",0,$H724)-IF($G724="",0,$G724))</f>
        <v/>
      </c>
      <c r="J724" s="23">
        <f>IF($L724="","",IF(INDEX(ExpNote,$L724)="","—",INDEX(ExpNote,$L724)))</f>
        <v/>
      </c>
      <c r="L724">
        <f>IFERROR(MATCH($C$5&amp;"|"&amp;RIGHT("000000"&amp;708,6),ExpRankKey,0),"")</f>
        <v/>
      </c>
    </row>
    <row r="725">
      <c r="A725" s="16" t="n">
        <v>709</v>
      </c>
      <c r="B725" s="17">
        <f>IF($L725="","",INDEX(ExpNorm,$L725))</f>
        <v/>
      </c>
      <c r="C725" s="17">
        <f>IF($L725="","",IF(INDEX(ExpTime,$L725)="","—",LEFT(INDEX(ExpTime,$L725),2)&amp;":"&amp;RIGHT(INDEX(ExpTime,$L725),2)))</f>
        <v/>
      </c>
      <c r="D725" s="17">
        <f>IF($L725="","",IF(INDEX(ExpBank,$L725)="","—",INDEX(ExpBank,$L725)))</f>
        <v/>
      </c>
      <c r="E725" s="18">
        <f>IF($L725="","",IF(INDEX(ExpParty,$L725)="","—",IFERROR(VLOOKUP(INDEX(ExpParty,$L725),AcctTbl,4,0),INDEX(ExpParty,$L725))))</f>
        <v/>
      </c>
      <c r="F725" s="17">
        <f>IF($L725="","",IF(INDEX(ExpType,$L725)="","—",INDEX(ExpType,$L725)))</f>
        <v/>
      </c>
      <c r="G725" s="19">
        <f>IF($L725="","",IF(INDEX(ExpDep,$L725)=0,"",INDEX(ExpDep,$L725)))</f>
        <v/>
      </c>
      <c r="H725" s="19">
        <f>IF($L725="","",IF(INDEX(ExpWit,$L725)=0,"",INDEX(ExpWit,$L725)))</f>
        <v/>
      </c>
      <c r="I725" s="20">
        <f>IF($B725="","",IF($I724="",0,$I724)+IF($H725="",0,$H725)-IF($G725="",0,$G725))</f>
        <v/>
      </c>
      <c r="J725" s="18">
        <f>IF($L725="","",IF(INDEX(ExpNote,$L725)="","—",INDEX(ExpNote,$L725)))</f>
        <v/>
      </c>
      <c r="L725">
        <f>IFERROR(MATCH($C$5&amp;"|"&amp;RIGHT("000000"&amp;709,6),ExpRankKey,0),"")</f>
        <v/>
      </c>
    </row>
    <row r="726">
      <c r="A726" s="21" t="n">
        <v>710</v>
      </c>
      <c r="B726" s="22">
        <f>IF($L726="","",INDEX(ExpNorm,$L726))</f>
        <v/>
      </c>
      <c r="C726" s="22">
        <f>IF($L726="","",IF(INDEX(ExpTime,$L726)="","—",LEFT(INDEX(ExpTime,$L726),2)&amp;":"&amp;RIGHT(INDEX(ExpTime,$L726),2)))</f>
        <v/>
      </c>
      <c r="D726" s="22">
        <f>IF($L726="","",IF(INDEX(ExpBank,$L726)="","—",INDEX(ExpBank,$L726)))</f>
        <v/>
      </c>
      <c r="E726" s="23">
        <f>IF($L726="","",IF(INDEX(ExpParty,$L726)="","—",IFERROR(VLOOKUP(INDEX(ExpParty,$L726),AcctTbl,4,0),INDEX(ExpParty,$L726))))</f>
        <v/>
      </c>
      <c r="F726" s="22">
        <f>IF($L726="","",IF(INDEX(ExpType,$L726)="","—",INDEX(ExpType,$L726)))</f>
        <v/>
      </c>
      <c r="G726" s="24">
        <f>IF($L726="","",IF(INDEX(ExpDep,$L726)=0,"",INDEX(ExpDep,$L726)))</f>
        <v/>
      </c>
      <c r="H726" s="24">
        <f>IF($L726="","",IF(INDEX(ExpWit,$L726)=0,"",INDEX(ExpWit,$L726)))</f>
        <v/>
      </c>
      <c r="I726" s="25">
        <f>IF($B726="","",IF($I725="",0,$I725)+IF($H726="",0,$H726)-IF($G726="",0,$G726))</f>
        <v/>
      </c>
      <c r="J726" s="23">
        <f>IF($L726="","",IF(INDEX(ExpNote,$L726)="","—",INDEX(ExpNote,$L726)))</f>
        <v/>
      </c>
      <c r="L726">
        <f>IFERROR(MATCH($C$5&amp;"|"&amp;RIGHT("000000"&amp;710,6),ExpRankKey,0),"")</f>
        <v/>
      </c>
    </row>
    <row r="727">
      <c r="A727" s="16" t="n">
        <v>711</v>
      </c>
      <c r="B727" s="17">
        <f>IF($L727="","",INDEX(ExpNorm,$L727))</f>
        <v/>
      </c>
      <c r="C727" s="17">
        <f>IF($L727="","",IF(INDEX(ExpTime,$L727)="","—",LEFT(INDEX(ExpTime,$L727),2)&amp;":"&amp;RIGHT(INDEX(ExpTime,$L727),2)))</f>
        <v/>
      </c>
      <c r="D727" s="17">
        <f>IF($L727="","",IF(INDEX(ExpBank,$L727)="","—",INDEX(ExpBank,$L727)))</f>
        <v/>
      </c>
      <c r="E727" s="18">
        <f>IF($L727="","",IF(INDEX(ExpParty,$L727)="","—",IFERROR(VLOOKUP(INDEX(ExpParty,$L727),AcctTbl,4,0),INDEX(ExpParty,$L727))))</f>
        <v/>
      </c>
      <c r="F727" s="17">
        <f>IF($L727="","",IF(INDEX(ExpType,$L727)="","—",INDEX(ExpType,$L727)))</f>
        <v/>
      </c>
      <c r="G727" s="19">
        <f>IF($L727="","",IF(INDEX(ExpDep,$L727)=0,"",INDEX(ExpDep,$L727)))</f>
        <v/>
      </c>
      <c r="H727" s="19">
        <f>IF($L727="","",IF(INDEX(ExpWit,$L727)=0,"",INDEX(ExpWit,$L727)))</f>
        <v/>
      </c>
      <c r="I727" s="20">
        <f>IF($B727="","",IF($I726="",0,$I726)+IF($H727="",0,$H727)-IF($G727="",0,$G727))</f>
        <v/>
      </c>
      <c r="J727" s="18">
        <f>IF($L727="","",IF(INDEX(ExpNote,$L727)="","—",INDEX(ExpNote,$L727)))</f>
        <v/>
      </c>
      <c r="L727">
        <f>IFERROR(MATCH($C$5&amp;"|"&amp;RIGHT("000000"&amp;711,6),ExpRankKey,0),"")</f>
        <v/>
      </c>
    </row>
    <row r="728">
      <c r="A728" s="21" t="n">
        <v>712</v>
      </c>
      <c r="B728" s="22">
        <f>IF($L728="","",INDEX(ExpNorm,$L728))</f>
        <v/>
      </c>
      <c r="C728" s="22">
        <f>IF($L728="","",IF(INDEX(ExpTime,$L728)="","—",LEFT(INDEX(ExpTime,$L728),2)&amp;":"&amp;RIGHT(INDEX(ExpTime,$L728),2)))</f>
        <v/>
      </c>
      <c r="D728" s="22">
        <f>IF($L728="","",IF(INDEX(ExpBank,$L728)="","—",INDEX(ExpBank,$L728)))</f>
        <v/>
      </c>
      <c r="E728" s="23">
        <f>IF($L728="","",IF(INDEX(ExpParty,$L728)="","—",IFERROR(VLOOKUP(INDEX(ExpParty,$L728),AcctTbl,4,0),INDEX(ExpParty,$L728))))</f>
        <v/>
      </c>
      <c r="F728" s="22">
        <f>IF($L728="","",IF(INDEX(ExpType,$L728)="","—",INDEX(ExpType,$L728)))</f>
        <v/>
      </c>
      <c r="G728" s="24">
        <f>IF($L728="","",IF(INDEX(ExpDep,$L728)=0,"",INDEX(ExpDep,$L728)))</f>
        <v/>
      </c>
      <c r="H728" s="24">
        <f>IF($L728="","",IF(INDEX(ExpWit,$L728)=0,"",INDEX(ExpWit,$L728)))</f>
        <v/>
      </c>
      <c r="I728" s="25">
        <f>IF($B728="","",IF($I727="",0,$I727)+IF($H728="",0,$H728)-IF($G728="",0,$G728))</f>
        <v/>
      </c>
      <c r="J728" s="23">
        <f>IF($L728="","",IF(INDEX(ExpNote,$L728)="","—",INDEX(ExpNote,$L728)))</f>
        <v/>
      </c>
      <c r="L728">
        <f>IFERROR(MATCH($C$5&amp;"|"&amp;RIGHT("000000"&amp;712,6),ExpRankKey,0),"")</f>
        <v/>
      </c>
    </row>
    <row r="729">
      <c r="A729" s="16" t="n">
        <v>713</v>
      </c>
      <c r="B729" s="17">
        <f>IF($L729="","",INDEX(ExpNorm,$L729))</f>
        <v/>
      </c>
      <c r="C729" s="17">
        <f>IF($L729="","",IF(INDEX(ExpTime,$L729)="","—",LEFT(INDEX(ExpTime,$L729),2)&amp;":"&amp;RIGHT(INDEX(ExpTime,$L729),2)))</f>
        <v/>
      </c>
      <c r="D729" s="17">
        <f>IF($L729="","",IF(INDEX(ExpBank,$L729)="","—",INDEX(ExpBank,$L729)))</f>
        <v/>
      </c>
      <c r="E729" s="18">
        <f>IF($L729="","",IF(INDEX(ExpParty,$L729)="","—",IFERROR(VLOOKUP(INDEX(ExpParty,$L729),AcctTbl,4,0),INDEX(ExpParty,$L729))))</f>
        <v/>
      </c>
      <c r="F729" s="17">
        <f>IF($L729="","",IF(INDEX(ExpType,$L729)="","—",INDEX(ExpType,$L729)))</f>
        <v/>
      </c>
      <c r="G729" s="19">
        <f>IF($L729="","",IF(INDEX(ExpDep,$L729)=0,"",INDEX(ExpDep,$L729)))</f>
        <v/>
      </c>
      <c r="H729" s="19">
        <f>IF($L729="","",IF(INDEX(ExpWit,$L729)=0,"",INDEX(ExpWit,$L729)))</f>
        <v/>
      </c>
      <c r="I729" s="20">
        <f>IF($B729="","",IF($I728="",0,$I728)+IF($H729="",0,$H729)-IF($G729="",0,$G729))</f>
        <v/>
      </c>
      <c r="J729" s="18">
        <f>IF($L729="","",IF(INDEX(ExpNote,$L729)="","—",INDEX(ExpNote,$L729)))</f>
        <v/>
      </c>
      <c r="L729">
        <f>IFERROR(MATCH($C$5&amp;"|"&amp;RIGHT("000000"&amp;713,6),ExpRankKey,0),"")</f>
        <v/>
      </c>
    </row>
    <row r="730">
      <c r="A730" s="21" t="n">
        <v>714</v>
      </c>
      <c r="B730" s="22">
        <f>IF($L730="","",INDEX(ExpNorm,$L730))</f>
        <v/>
      </c>
      <c r="C730" s="22">
        <f>IF($L730="","",IF(INDEX(ExpTime,$L730)="","—",LEFT(INDEX(ExpTime,$L730),2)&amp;":"&amp;RIGHT(INDEX(ExpTime,$L730),2)))</f>
        <v/>
      </c>
      <c r="D730" s="22">
        <f>IF($L730="","",IF(INDEX(ExpBank,$L730)="","—",INDEX(ExpBank,$L730)))</f>
        <v/>
      </c>
      <c r="E730" s="23">
        <f>IF($L730="","",IF(INDEX(ExpParty,$L730)="","—",IFERROR(VLOOKUP(INDEX(ExpParty,$L730),AcctTbl,4,0),INDEX(ExpParty,$L730))))</f>
        <v/>
      </c>
      <c r="F730" s="22">
        <f>IF($L730="","",IF(INDEX(ExpType,$L730)="","—",INDEX(ExpType,$L730)))</f>
        <v/>
      </c>
      <c r="G730" s="24">
        <f>IF($L730="","",IF(INDEX(ExpDep,$L730)=0,"",INDEX(ExpDep,$L730)))</f>
        <v/>
      </c>
      <c r="H730" s="24">
        <f>IF($L730="","",IF(INDEX(ExpWit,$L730)=0,"",INDEX(ExpWit,$L730)))</f>
        <v/>
      </c>
      <c r="I730" s="25">
        <f>IF($B730="","",IF($I729="",0,$I729)+IF($H730="",0,$H730)-IF($G730="",0,$G730))</f>
        <v/>
      </c>
      <c r="J730" s="23">
        <f>IF($L730="","",IF(INDEX(ExpNote,$L730)="","—",INDEX(ExpNote,$L730)))</f>
        <v/>
      </c>
      <c r="L730">
        <f>IFERROR(MATCH($C$5&amp;"|"&amp;RIGHT("000000"&amp;714,6),ExpRankKey,0),"")</f>
        <v/>
      </c>
    </row>
    <row r="731">
      <c r="A731" s="16" t="n">
        <v>715</v>
      </c>
      <c r="B731" s="17">
        <f>IF($L731="","",INDEX(ExpNorm,$L731))</f>
        <v/>
      </c>
      <c r="C731" s="17">
        <f>IF($L731="","",IF(INDEX(ExpTime,$L731)="","—",LEFT(INDEX(ExpTime,$L731),2)&amp;":"&amp;RIGHT(INDEX(ExpTime,$L731),2)))</f>
        <v/>
      </c>
      <c r="D731" s="17">
        <f>IF($L731="","",IF(INDEX(ExpBank,$L731)="","—",INDEX(ExpBank,$L731)))</f>
        <v/>
      </c>
      <c r="E731" s="18">
        <f>IF($L731="","",IF(INDEX(ExpParty,$L731)="","—",IFERROR(VLOOKUP(INDEX(ExpParty,$L731),AcctTbl,4,0),INDEX(ExpParty,$L731))))</f>
        <v/>
      </c>
      <c r="F731" s="17">
        <f>IF($L731="","",IF(INDEX(ExpType,$L731)="","—",INDEX(ExpType,$L731)))</f>
        <v/>
      </c>
      <c r="G731" s="19">
        <f>IF($L731="","",IF(INDEX(ExpDep,$L731)=0,"",INDEX(ExpDep,$L731)))</f>
        <v/>
      </c>
      <c r="H731" s="19">
        <f>IF($L731="","",IF(INDEX(ExpWit,$L731)=0,"",INDEX(ExpWit,$L731)))</f>
        <v/>
      </c>
      <c r="I731" s="20">
        <f>IF($B731="","",IF($I730="",0,$I730)+IF($H731="",0,$H731)-IF($G731="",0,$G731))</f>
        <v/>
      </c>
      <c r="J731" s="18">
        <f>IF($L731="","",IF(INDEX(ExpNote,$L731)="","—",INDEX(ExpNote,$L731)))</f>
        <v/>
      </c>
      <c r="L731">
        <f>IFERROR(MATCH($C$5&amp;"|"&amp;RIGHT("000000"&amp;715,6),ExpRankKey,0),"")</f>
        <v/>
      </c>
    </row>
    <row r="732">
      <c r="A732" s="21" t="n">
        <v>716</v>
      </c>
      <c r="B732" s="22">
        <f>IF($L732="","",INDEX(ExpNorm,$L732))</f>
        <v/>
      </c>
      <c r="C732" s="22">
        <f>IF($L732="","",IF(INDEX(ExpTime,$L732)="","—",LEFT(INDEX(ExpTime,$L732),2)&amp;":"&amp;RIGHT(INDEX(ExpTime,$L732),2)))</f>
        <v/>
      </c>
      <c r="D732" s="22">
        <f>IF($L732="","",IF(INDEX(ExpBank,$L732)="","—",INDEX(ExpBank,$L732)))</f>
        <v/>
      </c>
      <c r="E732" s="23">
        <f>IF($L732="","",IF(INDEX(ExpParty,$L732)="","—",IFERROR(VLOOKUP(INDEX(ExpParty,$L732),AcctTbl,4,0),INDEX(ExpParty,$L732))))</f>
        <v/>
      </c>
      <c r="F732" s="22">
        <f>IF($L732="","",IF(INDEX(ExpType,$L732)="","—",INDEX(ExpType,$L732)))</f>
        <v/>
      </c>
      <c r="G732" s="24">
        <f>IF($L732="","",IF(INDEX(ExpDep,$L732)=0,"",INDEX(ExpDep,$L732)))</f>
        <v/>
      </c>
      <c r="H732" s="24">
        <f>IF($L732="","",IF(INDEX(ExpWit,$L732)=0,"",INDEX(ExpWit,$L732)))</f>
        <v/>
      </c>
      <c r="I732" s="25">
        <f>IF($B732="","",IF($I731="",0,$I731)+IF($H732="",0,$H732)-IF($G732="",0,$G732))</f>
        <v/>
      </c>
      <c r="J732" s="23">
        <f>IF($L732="","",IF(INDEX(ExpNote,$L732)="","—",INDEX(ExpNote,$L732)))</f>
        <v/>
      </c>
      <c r="L732">
        <f>IFERROR(MATCH($C$5&amp;"|"&amp;RIGHT("000000"&amp;716,6),ExpRankKey,0),"")</f>
        <v/>
      </c>
    </row>
    <row r="733">
      <c r="A733" s="16" t="n">
        <v>717</v>
      </c>
      <c r="B733" s="17">
        <f>IF($L733="","",INDEX(ExpNorm,$L733))</f>
        <v/>
      </c>
      <c r="C733" s="17">
        <f>IF($L733="","",IF(INDEX(ExpTime,$L733)="","—",LEFT(INDEX(ExpTime,$L733),2)&amp;":"&amp;RIGHT(INDEX(ExpTime,$L733),2)))</f>
        <v/>
      </c>
      <c r="D733" s="17">
        <f>IF($L733="","",IF(INDEX(ExpBank,$L733)="","—",INDEX(ExpBank,$L733)))</f>
        <v/>
      </c>
      <c r="E733" s="18">
        <f>IF($L733="","",IF(INDEX(ExpParty,$L733)="","—",IFERROR(VLOOKUP(INDEX(ExpParty,$L733),AcctTbl,4,0),INDEX(ExpParty,$L733))))</f>
        <v/>
      </c>
      <c r="F733" s="17">
        <f>IF($L733="","",IF(INDEX(ExpType,$L733)="","—",INDEX(ExpType,$L733)))</f>
        <v/>
      </c>
      <c r="G733" s="19">
        <f>IF($L733="","",IF(INDEX(ExpDep,$L733)=0,"",INDEX(ExpDep,$L733)))</f>
        <v/>
      </c>
      <c r="H733" s="19">
        <f>IF($L733="","",IF(INDEX(ExpWit,$L733)=0,"",INDEX(ExpWit,$L733)))</f>
        <v/>
      </c>
      <c r="I733" s="20">
        <f>IF($B733="","",IF($I732="",0,$I732)+IF($H733="",0,$H733)-IF($G733="",0,$G733))</f>
        <v/>
      </c>
      <c r="J733" s="18">
        <f>IF($L733="","",IF(INDEX(ExpNote,$L733)="","—",INDEX(ExpNote,$L733)))</f>
        <v/>
      </c>
      <c r="L733">
        <f>IFERROR(MATCH($C$5&amp;"|"&amp;RIGHT("000000"&amp;717,6),ExpRankKey,0),"")</f>
        <v/>
      </c>
    </row>
    <row r="734">
      <c r="A734" s="21" t="n">
        <v>718</v>
      </c>
      <c r="B734" s="22">
        <f>IF($L734="","",INDEX(ExpNorm,$L734))</f>
        <v/>
      </c>
      <c r="C734" s="22">
        <f>IF($L734="","",IF(INDEX(ExpTime,$L734)="","—",LEFT(INDEX(ExpTime,$L734),2)&amp;":"&amp;RIGHT(INDEX(ExpTime,$L734),2)))</f>
        <v/>
      </c>
      <c r="D734" s="22">
        <f>IF($L734="","",IF(INDEX(ExpBank,$L734)="","—",INDEX(ExpBank,$L734)))</f>
        <v/>
      </c>
      <c r="E734" s="23">
        <f>IF($L734="","",IF(INDEX(ExpParty,$L734)="","—",IFERROR(VLOOKUP(INDEX(ExpParty,$L734),AcctTbl,4,0),INDEX(ExpParty,$L734))))</f>
        <v/>
      </c>
      <c r="F734" s="22">
        <f>IF($L734="","",IF(INDEX(ExpType,$L734)="","—",INDEX(ExpType,$L734)))</f>
        <v/>
      </c>
      <c r="G734" s="24">
        <f>IF($L734="","",IF(INDEX(ExpDep,$L734)=0,"",INDEX(ExpDep,$L734)))</f>
        <v/>
      </c>
      <c r="H734" s="24">
        <f>IF($L734="","",IF(INDEX(ExpWit,$L734)=0,"",INDEX(ExpWit,$L734)))</f>
        <v/>
      </c>
      <c r="I734" s="25">
        <f>IF($B734="","",IF($I733="",0,$I733)+IF($H734="",0,$H734)-IF($G734="",0,$G734))</f>
        <v/>
      </c>
      <c r="J734" s="23">
        <f>IF($L734="","",IF(INDEX(ExpNote,$L734)="","—",INDEX(ExpNote,$L734)))</f>
        <v/>
      </c>
      <c r="L734">
        <f>IFERROR(MATCH($C$5&amp;"|"&amp;RIGHT("000000"&amp;718,6),ExpRankKey,0),"")</f>
        <v/>
      </c>
    </row>
    <row r="735">
      <c r="A735" s="16" t="n">
        <v>719</v>
      </c>
      <c r="B735" s="17">
        <f>IF($L735="","",INDEX(ExpNorm,$L735))</f>
        <v/>
      </c>
      <c r="C735" s="17">
        <f>IF($L735="","",IF(INDEX(ExpTime,$L735)="","—",LEFT(INDEX(ExpTime,$L735),2)&amp;":"&amp;RIGHT(INDEX(ExpTime,$L735),2)))</f>
        <v/>
      </c>
      <c r="D735" s="17">
        <f>IF($L735="","",IF(INDEX(ExpBank,$L735)="","—",INDEX(ExpBank,$L735)))</f>
        <v/>
      </c>
      <c r="E735" s="18">
        <f>IF($L735="","",IF(INDEX(ExpParty,$L735)="","—",IFERROR(VLOOKUP(INDEX(ExpParty,$L735),AcctTbl,4,0),INDEX(ExpParty,$L735))))</f>
        <v/>
      </c>
      <c r="F735" s="17">
        <f>IF($L735="","",IF(INDEX(ExpType,$L735)="","—",INDEX(ExpType,$L735)))</f>
        <v/>
      </c>
      <c r="G735" s="19">
        <f>IF($L735="","",IF(INDEX(ExpDep,$L735)=0,"",INDEX(ExpDep,$L735)))</f>
        <v/>
      </c>
      <c r="H735" s="19">
        <f>IF($L735="","",IF(INDEX(ExpWit,$L735)=0,"",INDEX(ExpWit,$L735)))</f>
        <v/>
      </c>
      <c r="I735" s="20">
        <f>IF($B735="","",IF($I734="",0,$I734)+IF($H735="",0,$H735)-IF($G735="",0,$G735))</f>
        <v/>
      </c>
      <c r="J735" s="18">
        <f>IF($L735="","",IF(INDEX(ExpNote,$L735)="","—",INDEX(ExpNote,$L735)))</f>
        <v/>
      </c>
      <c r="L735">
        <f>IFERROR(MATCH($C$5&amp;"|"&amp;RIGHT("000000"&amp;719,6),ExpRankKey,0),"")</f>
        <v/>
      </c>
    </row>
    <row r="736">
      <c r="A736" s="21" t="n">
        <v>720</v>
      </c>
      <c r="B736" s="22">
        <f>IF($L736="","",INDEX(ExpNorm,$L736))</f>
        <v/>
      </c>
      <c r="C736" s="22">
        <f>IF($L736="","",IF(INDEX(ExpTime,$L736)="","—",LEFT(INDEX(ExpTime,$L736),2)&amp;":"&amp;RIGHT(INDEX(ExpTime,$L736),2)))</f>
        <v/>
      </c>
      <c r="D736" s="22">
        <f>IF($L736="","",IF(INDEX(ExpBank,$L736)="","—",INDEX(ExpBank,$L736)))</f>
        <v/>
      </c>
      <c r="E736" s="23">
        <f>IF($L736="","",IF(INDEX(ExpParty,$L736)="","—",IFERROR(VLOOKUP(INDEX(ExpParty,$L736),AcctTbl,4,0),INDEX(ExpParty,$L736))))</f>
        <v/>
      </c>
      <c r="F736" s="22">
        <f>IF($L736="","",IF(INDEX(ExpType,$L736)="","—",INDEX(ExpType,$L736)))</f>
        <v/>
      </c>
      <c r="G736" s="24">
        <f>IF($L736="","",IF(INDEX(ExpDep,$L736)=0,"",INDEX(ExpDep,$L736)))</f>
        <v/>
      </c>
      <c r="H736" s="24">
        <f>IF($L736="","",IF(INDEX(ExpWit,$L736)=0,"",INDEX(ExpWit,$L736)))</f>
        <v/>
      </c>
      <c r="I736" s="25">
        <f>IF($B736="","",IF($I735="",0,$I735)+IF($H736="",0,$H736)-IF($G736="",0,$G736))</f>
        <v/>
      </c>
      <c r="J736" s="23">
        <f>IF($L736="","",IF(INDEX(ExpNote,$L736)="","—",INDEX(ExpNote,$L736)))</f>
        <v/>
      </c>
      <c r="L736">
        <f>IFERROR(MATCH($C$5&amp;"|"&amp;RIGHT("000000"&amp;720,6),ExpRankKey,0),"")</f>
        <v/>
      </c>
    </row>
    <row r="737">
      <c r="A737" s="16" t="n">
        <v>721</v>
      </c>
      <c r="B737" s="17">
        <f>IF($L737="","",INDEX(ExpNorm,$L737))</f>
        <v/>
      </c>
      <c r="C737" s="17">
        <f>IF($L737="","",IF(INDEX(ExpTime,$L737)="","—",LEFT(INDEX(ExpTime,$L737),2)&amp;":"&amp;RIGHT(INDEX(ExpTime,$L737),2)))</f>
        <v/>
      </c>
      <c r="D737" s="17">
        <f>IF($L737="","",IF(INDEX(ExpBank,$L737)="","—",INDEX(ExpBank,$L737)))</f>
        <v/>
      </c>
      <c r="E737" s="18">
        <f>IF($L737="","",IF(INDEX(ExpParty,$L737)="","—",IFERROR(VLOOKUP(INDEX(ExpParty,$L737),AcctTbl,4,0),INDEX(ExpParty,$L737))))</f>
        <v/>
      </c>
      <c r="F737" s="17">
        <f>IF($L737="","",IF(INDEX(ExpType,$L737)="","—",INDEX(ExpType,$L737)))</f>
        <v/>
      </c>
      <c r="G737" s="19">
        <f>IF($L737="","",IF(INDEX(ExpDep,$L737)=0,"",INDEX(ExpDep,$L737)))</f>
        <v/>
      </c>
      <c r="H737" s="19">
        <f>IF($L737="","",IF(INDEX(ExpWit,$L737)=0,"",INDEX(ExpWit,$L737)))</f>
        <v/>
      </c>
      <c r="I737" s="20">
        <f>IF($B737="","",IF($I736="",0,$I736)+IF($H737="",0,$H737)-IF($G737="",0,$G737))</f>
        <v/>
      </c>
      <c r="J737" s="18">
        <f>IF($L737="","",IF(INDEX(ExpNote,$L737)="","—",INDEX(ExpNote,$L737)))</f>
        <v/>
      </c>
      <c r="L737">
        <f>IFERROR(MATCH($C$5&amp;"|"&amp;RIGHT("000000"&amp;721,6),ExpRankKey,0),"")</f>
        <v/>
      </c>
    </row>
    <row r="738">
      <c r="A738" s="21" t="n">
        <v>722</v>
      </c>
      <c r="B738" s="22">
        <f>IF($L738="","",INDEX(ExpNorm,$L738))</f>
        <v/>
      </c>
      <c r="C738" s="22">
        <f>IF($L738="","",IF(INDEX(ExpTime,$L738)="","—",LEFT(INDEX(ExpTime,$L738),2)&amp;":"&amp;RIGHT(INDEX(ExpTime,$L738),2)))</f>
        <v/>
      </c>
      <c r="D738" s="22">
        <f>IF($L738="","",IF(INDEX(ExpBank,$L738)="","—",INDEX(ExpBank,$L738)))</f>
        <v/>
      </c>
      <c r="E738" s="23">
        <f>IF($L738="","",IF(INDEX(ExpParty,$L738)="","—",IFERROR(VLOOKUP(INDEX(ExpParty,$L738),AcctTbl,4,0),INDEX(ExpParty,$L738))))</f>
        <v/>
      </c>
      <c r="F738" s="22">
        <f>IF($L738="","",IF(INDEX(ExpType,$L738)="","—",INDEX(ExpType,$L738)))</f>
        <v/>
      </c>
      <c r="G738" s="24">
        <f>IF($L738="","",IF(INDEX(ExpDep,$L738)=0,"",INDEX(ExpDep,$L738)))</f>
        <v/>
      </c>
      <c r="H738" s="24">
        <f>IF($L738="","",IF(INDEX(ExpWit,$L738)=0,"",INDEX(ExpWit,$L738)))</f>
        <v/>
      </c>
      <c r="I738" s="25">
        <f>IF($B738="","",IF($I737="",0,$I737)+IF($H738="",0,$H738)-IF($G738="",0,$G738))</f>
        <v/>
      </c>
      <c r="J738" s="23">
        <f>IF($L738="","",IF(INDEX(ExpNote,$L738)="","—",INDEX(ExpNote,$L738)))</f>
        <v/>
      </c>
      <c r="L738">
        <f>IFERROR(MATCH($C$5&amp;"|"&amp;RIGHT("000000"&amp;722,6),ExpRankKey,0),"")</f>
        <v/>
      </c>
    </row>
    <row r="739">
      <c r="A739" s="16" t="n">
        <v>723</v>
      </c>
      <c r="B739" s="17">
        <f>IF($L739="","",INDEX(ExpNorm,$L739))</f>
        <v/>
      </c>
      <c r="C739" s="17">
        <f>IF($L739="","",IF(INDEX(ExpTime,$L739)="","—",LEFT(INDEX(ExpTime,$L739),2)&amp;":"&amp;RIGHT(INDEX(ExpTime,$L739),2)))</f>
        <v/>
      </c>
      <c r="D739" s="17">
        <f>IF($L739="","",IF(INDEX(ExpBank,$L739)="","—",INDEX(ExpBank,$L739)))</f>
        <v/>
      </c>
      <c r="E739" s="18">
        <f>IF($L739="","",IF(INDEX(ExpParty,$L739)="","—",IFERROR(VLOOKUP(INDEX(ExpParty,$L739),AcctTbl,4,0),INDEX(ExpParty,$L739))))</f>
        <v/>
      </c>
      <c r="F739" s="17">
        <f>IF($L739="","",IF(INDEX(ExpType,$L739)="","—",INDEX(ExpType,$L739)))</f>
        <v/>
      </c>
      <c r="G739" s="19">
        <f>IF($L739="","",IF(INDEX(ExpDep,$L739)=0,"",INDEX(ExpDep,$L739)))</f>
        <v/>
      </c>
      <c r="H739" s="19">
        <f>IF($L739="","",IF(INDEX(ExpWit,$L739)=0,"",INDEX(ExpWit,$L739)))</f>
        <v/>
      </c>
      <c r="I739" s="20">
        <f>IF($B739="","",IF($I738="",0,$I738)+IF($H739="",0,$H739)-IF($G739="",0,$G739))</f>
        <v/>
      </c>
      <c r="J739" s="18">
        <f>IF($L739="","",IF(INDEX(ExpNote,$L739)="","—",INDEX(ExpNote,$L739)))</f>
        <v/>
      </c>
      <c r="L739">
        <f>IFERROR(MATCH($C$5&amp;"|"&amp;RIGHT("000000"&amp;723,6),ExpRankKey,0),"")</f>
        <v/>
      </c>
    </row>
    <row r="740">
      <c r="A740" s="21" t="n">
        <v>724</v>
      </c>
      <c r="B740" s="22">
        <f>IF($L740="","",INDEX(ExpNorm,$L740))</f>
        <v/>
      </c>
      <c r="C740" s="22">
        <f>IF($L740="","",IF(INDEX(ExpTime,$L740)="","—",LEFT(INDEX(ExpTime,$L740),2)&amp;":"&amp;RIGHT(INDEX(ExpTime,$L740),2)))</f>
        <v/>
      </c>
      <c r="D740" s="22">
        <f>IF($L740="","",IF(INDEX(ExpBank,$L740)="","—",INDEX(ExpBank,$L740)))</f>
        <v/>
      </c>
      <c r="E740" s="23">
        <f>IF($L740="","",IF(INDEX(ExpParty,$L740)="","—",IFERROR(VLOOKUP(INDEX(ExpParty,$L740),AcctTbl,4,0),INDEX(ExpParty,$L740))))</f>
        <v/>
      </c>
      <c r="F740" s="22">
        <f>IF($L740="","",IF(INDEX(ExpType,$L740)="","—",INDEX(ExpType,$L740)))</f>
        <v/>
      </c>
      <c r="G740" s="24">
        <f>IF($L740="","",IF(INDEX(ExpDep,$L740)=0,"",INDEX(ExpDep,$L740)))</f>
        <v/>
      </c>
      <c r="H740" s="24">
        <f>IF($L740="","",IF(INDEX(ExpWit,$L740)=0,"",INDEX(ExpWit,$L740)))</f>
        <v/>
      </c>
      <c r="I740" s="25">
        <f>IF($B740="","",IF($I739="",0,$I739)+IF($H740="",0,$H740)-IF($G740="",0,$G740))</f>
        <v/>
      </c>
      <c r="J740" s="23">
        <f>IF($L740="","",IF(INDEX(ExpNote,$L740)="","—",INDEX(ExpNote,$L740)))</f>
        <v/>
      </c>
      <c r="L740">
        <f>IFERROR(MATCH($C$5&amp;"|"&amp;RIGHT("000000"&amp;724,6),ExpRankKey,0),"")</f>
        <v/>
      </c>
    </row>
    <row r="741">
      <c r="A741" s="16" t="n">
        <v>725</v>
      </c>
      <c r="B741" s="17">
        <f>IF($L741="","",INDEX(ExpNorm,$L741))</f>
        <v/>
      </c>
      <c r="C741" s="17">
        <f>IF($L741="","",IF(INDEX(ExpTime,$L741)="","—",LEFT(INDEX(ExpTime,$L741),2)&amp;":"&amp;RIGHT(INDEX(ExpTime,$L741),2)))</f>
        <v/>
      </c>
      <c r="D741" s="17">
        <f>IF($L741="","",IF(INDEX(ExpBank,$L741)="","—",INDEX(ExpBank,$L741)))</f>
        <v/>
      </c>
      <c r="E741" s="18">
        <f>IF($L741="","",IF(INDEX(ExpParty,$L741)="","—",IFERROR(VLOOKUP(INDEX(ExpParty,$L741),AcctTbl,4,0),INDEX(ExpParty,$L741))))</f>
        <v/>
      </c>
      <c r="F741" s="17">
        <f>IF($L741="","",IF(INDEX(ExpType,$L741)="","—",INDEX(ExpType,$L741)))</f>
        <v/>
      </c>
      <c r="G741" s="19">
        <f>IF($L741="","",IF(INDEX(ExpDep,$L741)=0,"",INDEX(ExpDep,$L741)))</f>
        <v/>
      </c>
      <c r="H741" s="19">
        <f>IF($L741="","",IF(INDEX(ExpWit,$L741)=0,"",INDEX(ExpWit,$L741)))</f>
        <v/>
      </c>
      <c r="I741" s="20">
        <f>IF($B741="","",IF($I740="",0,$I740)+IF($H741="",0,$H741)-IF($G741="",0,$G741))</f>
        <v/>
      </c>
      <c r="J741" s="18">
        <f>IF($L741="","",IF(INDEX(ExpNote,$L741)="","—",INDEX(ExpNote,$L741)))</f>
        <v/>
      </c>
      <c r="L741">
        <f>IFERROR(MATCH($C$5&amp;"|"&amp;RIGHT("000000"&amp;725,6),ExpRankKey,0),"")</f>
        <v/>
      </c>
    </row>
    <row r="742">
      <c r="A742" s="21" t="n">
        <v>726</v>
      </c>
      <c r="B742" s="22">
        <f>IF($L742="","",INDEX(ExpNorm,$L742))</f>
        <v/>
      </c>
      <c r="C742" s="22">
        <f>IF($L742="","",IF(INDEX(ExpTime,$L742)="","—",LEFT(INDEX(ExpTime,$L742),2)&amp;":"&amp;RIGHT(INDEX(ExpTime,$L742),2)))</f>
        <v/>
      </c>
      <c r="D742" s="22">
        <f>IF($L742="","",IF(INDEX(ExpBank,$L742)="","—",INDEX(ExpBank,$L742)))</f>
        <v/>
      </c>
      <c r="E742" s="23">
        <f>IF($L742="","",IF(INDEX(ExpParty,$L742)="","—",IFERROR(VLOOKUP(INDEX(ExpParty,$L742),AcctTbl,4,0),INDEX(ExpParty,$L742))))</f>
        <v/>
      </c>
      <c r="F742" s="22">
        <f>IF($L742="","",IF(INDEX(ExpType,$L742)="","—",INDEX(ExpType,$L742)))</f>
        <v/>
      </c>
      <c r="G742" s="24">
        <f>IF($L742="","",IF(INDEX(ExpDep,$L742)=0,"",INDEX(ExpDep,$L742)))</f>
        <v/>
      </c>
      <c r="H742" s="24">
        <f>IF($L742="","",IF(INDEX(ExpWit,$L742)=0,"",INDEX(ExpWit,$L742)))</f>
        <v/>
      </c>
      <c r="I742" s="25">
        <f>IF($B742="","",IF($I741="",0,$I741)+IF($H742="",0,$H742)-IF($G742="",0,$G742))</f>
        <v/>
      </c>
      <c r="J742" s="23">
        <f>IF($L742="","",IF(INDEX(ExpNote,$L742)="","—",INDEX(ExpNote,$L742)))</f>
        <v/>
      </c>
      <c r="L742">
        <f>IFERROR(MATCH($C$5&amp;"|"&amp;RIGHT("000000"&amp;726,6),ExpRankKey,0),"")</f>
        <v/>
      </c>
    </row>
    <row r="743">
      <c r="A743" s="16" t="n">
        <v>727</v>
      </c>
      <c r="B743" s="17">
        <f>IF($L743="","",INDEX(ExpNorm,$L743))</f>
        <v/>
      </c>
      <c r="C743" s="17">
        <f>IF($L743="","",IF(INDEX(ExpTime,$L743)="","—",LEFT(INDEX(ExpTime,$L743),2)&amp;":"&amp;RIGHT(INDEX(ExpTime,$L743),2)))</f>
        <v/>
      </c>
      <c r="D743" s="17">
        <f>IF($L743="","",IF(INDEX(ExpBank,$L743)="","—",INDEX(ExpBank,$L743)))</f>
        <v/>
      </c>
      <c r="E743" s="18">
        <f>IF($L743="","",IF(INDEX(ExpParty,$L743)="","—",IFERROR(VLOOKUP(INDEX(ExpParty,$L743),AcctTbl,4,0),INDEX(ExpParty,$L743))))</f>
        <v/>
      </c>
      <c r="F743" s="17">
        <f>IF($L743="","",IF(INDEX(ExpType,$L743)="","—",INDEX(ExpType,$L743)))</f>
        <v/>
      </c>
      <c r="G743" s="19">
        <f>IF($L743="","",IF(INDEX(ExpDep,$L743)=0,"",INDEX(ExpDep,$L743)))</f>
        <v/>
      </c>
      <c r="H743" s="19">
        <f>IF($L743="","",IF(INDEX(ExpWit,$L743)=0,"",INDEX(ExpWit,$L743)))</f>
        <v/>
      </c>
      <c r="I743" s="20">
        <f>IF($B743="","",IF($I742="",0,$I742)+IF($H743="",0,$H743)-IF($G743="",0,$G743))</f>
        <v/>
      </c>
      <c r="J743" s="18">
        <f>IF($L743="","",IF(INDEX(ExpNote,$L743)="","—",INDEX(ExpNote,$L743)))</f>
        <v/>
      </c>
      <c r="L743">
        <f>IFERROR(MATCH($C$5&amp;"|"&amp;RIGHT("000000"&amp;727,6),ExpRankKey,0),"")</f>
        <v/>
      </c>
    </row>
    <row r="744">
      <c r="A744" s="21" t="n">
        <v>728</v>
      </c>
      <c r="B744" s="22">
        <f>IF($L744="","",INDEX(ExpNorm,$L744))</f>
        <v/>
      </c>
      <c r="C744" s="22">
        <f>IF($L744="","",IF(INDEX(ExpTime,$L744)="","—",LEFT(INDEX(ExpTime,$L744),2)&amp;":"&amp;RIGHT(INDEX(ExpTime,$L744),2)))</f>
        <v/>
      </c>
      <c r="D744" s="22">
        <f>IF($L744="","",IF(INDEX(ExpBank,$L744)="","—",INDEX(ExpBank,$L744)))</f>
        <v/>
      </c>
      <c r="E744" s="23">
        <f>IF($L744="","",IF(INDEX(ExpParty,$L744)="","—",IFERROR(VLOOKUP(INDEX(ExpParty,$L744),AcctTbl,4,0),INDEX(ExpParty,$L744))))</f>
        <v/>
      </c>
      <c r="F744" s="22">
        <f>IF($L744="","",IF(INDEX(ExpType,$L744)="","—",INDEX(ExpType,$L744)))</f>
        <v/>
      </c>
      <c r="G744" s="24">
        <f>IF($L744="","",IF(INDEX(ExpDep,$L744)=0,"",INDEX(ExpDep,$L744)))</f>
        <v/>
      </c>
      <c r="H744" s="24">
        <f>IF($L744="","",IF(INDEX(ExpWit,$L744)=0,"",INDEX(ExpWit,$L744)))</f>
        <v/>
      </c>
      <c r="I744" s="25">
        <f>IF($B744="","",IF($I743="",0,$I743)+IF($H744="",0,$H744)-IF($G744="",0,$G744))</f>
        <v/>
      </c>
      <c r="J744" s="23">
        <f>IF($L744="","",IF(INDEX(ExpNote,$L744)="","—",INDEX(ExpNote,$L744)))</f>
        <v/>
      </c>
      <c r="L744">
        <f>IFERROR(MATCH($C$5&amp;"|"&amp;RIGHT("000000"&amp;728,6),ExpRankKey,0),"")</f>
        <v/>
      </c>
    </row>
    <row r="745">
      <c r="A745" s="16" t="n">
        <v>729</v>
      </c>
      <c r="B745" s="17">
        <f>IF($L745="","",INDEX(ExpNorm,$L745))</f>
        <v/>
      </c>
      <c r="C745" s="17">
        <f>IF($L745="","",IF(INDEX(ExpTime,$L745)="","—",LEFT(INDEX(ExpTime,$L745),2)&amp;":"&amp;RIGHT(INDEX(ExpTime,$L745),2)))</f>
        <v/>
      </c>
      <c r="D745" s="17">
        <f>IF($L745="","",IF(INDEX(ExpBank,$L745)="","—",INDEX(ExpBank,$L745)))</f>
        <v/>
      </c>
      <c r="E745" s="18">
        <f>IF($L745="","",IF(INDEX(ExpParty,$L745)="","—",IFERROR(VLOOKUP(INDEX(ExpParty,$L745),AcctTbl,4,0),INDEX(ExpParty,$L745))))</f>
        <v/>
      </c>
      <c r="F745" s="17">
        <f>IF($L745="","",IF(INDEX(ExpType,$L745)="","—",INDEX(ExpType,$L745)))</f>
        <v/>
      </c>
      <c r="G745" s="19">
        <f>IF($L745="","",IF(INDEX(ExpDep,$L745)=0,"",INDEX(ExpDep,$L745)))</f>
        <v/>
      </c>
      <c r="H745" s="19">
        <f>IF($L745="","",IF(INDEX(ExpWit,$L745)=0,"",INDEX(ExpWit,$L745)))</f>
        <v/>
      </c>
      <c r="I745" s="20">
        <f>IF($B745="","",IF($I744="",0,$I744)+IF($H745="",0,$H745)-IF($G745="",0,$G745))</f>
        <v/>
      </c>
      <c r="J745" s="18">
        <f>IF($L745="","",IF(INDEX(ExpNote,$L745)="","—",INDEX(ExpNote,$L745)))</f>
        <v/>
      </c>
      <c r="L745">
        <f>IFERROR(MATCH($C$5&amp;"|"&amp;RIGHT("000000"&amp;729,6),ExpRankKey,0),"")</f>
        <v/>
      </c>
    </row>
    <row r="746">
      <c r="A746" s="21" t="n">
        <v>730</v>
      </c>
      <c r="B746" s="22">
        <f>IF($L746="","",INDEX(ExpNorm,$L746))</f>
        <v/>
      </c>
      <c r="C746" s="22">
        <f>IF($L746="","",IF(INDEX(ExpTime,$L746)="","—",LEFT(INDEX(ExpTime,$L746),2)&amp;":"&amp;RIGHT(INDEX(ExpTime,$L746),2)))</f>
        <v/>
      </c>
      <c r="D746" s="22">
        <f>IF($L746="","",IF(INDEX(ExpBank,$L746)="","—",INDEX(ExpBank,$L746)))</f>
        <v/>
      </c>
      <c r="E746" s="23">
        <f>IF($L746="","",IF(INDEX(ExpParty,$L746)="","—",IFERROR(VLOOKUP(INDEX(ExpParty,$L746),AcctTbl,4,0),INDEX(ExpParty,$L746))))</f>
        <v/>
      </c>
      <c r="F746" s="22">
        <f>IF($L746="","",IF(INDEX(ExpType,$L746)="","—",INDEX(ExpType,$L746)))</f>
        <v/>
      </c>
      <c r="G746" s="24">
        <f>IF($L746="","",IF(INDEX(ExpDep,$L746)=0,"",INDEX(ExpDep,$L746)))</f>
        <v/>
      </c>
      <c r="H746" s="24">
        <f>IF($L746="","",IF(INDEX(ExpWit,$L746)=0,"",INDEX(ExpWit,$L746)))</f>
        <v/>
      </c>
      <c r="I746" s="25">
        <f>IF($B746="","",IF($I745="",0,$I745)+IF($H746="",0,$H746)-IF($G746="",0,$G746))</f>
        <v/>
      </c>
      <c r="J746" s="23">
        <f>IF($L746="","",IF(INDEX(ExpNote,$L746)="","—",INDEX(ExpNote,$L746)))</f>
        <v/>
      </c>
      <c r="L746">
        <f>IFERROR(MATCH($C$5&amp;"|"&amp;RIGHT("000000"&amp;730,6),ExpRankKey,0),"")</f>
        <v/>
      </c>
    </row>
    <row r="747">
      <c r="A747" s="16" t="n">
        <v>731</v>
      </c>
      <c r="B747" s="17">
        <f>IF($L747="","",INDEX(ExpNorm,$L747))</f>
        <v/>
      </c>
      <c r="C747" s="17">
        <f>IF($L747="","",IF(INDEX(ExpTime,$L747)="","—",LEFT(INDEX(ExpTime,$L747),2)&amp;":"&amp;RIGHT(INDEX(ExpTime,$L747),2)))</f>
        <v/>
      </c>
      <c r="D747" s="17">
        <f>IF($L747="","",IF(INDEX(ExpBank,$L747)="","—",INDEX(ExpBank,$L747)))</f>
        <v/>
      </c>
      <c r="E747" s="18">
        <f>IF($L747="","",IF(INDEX(ExpParty,$L747)="","—",IFERROR(VLOOKUP(INDEX(ExpParty,$L747),AcctTbl,4,0),INDEX(ExpParty,$L747))))</f>
        <v/>
      </c>
      <c r="F747" s="17">
        <f>IF($L747="","",IF(INDEX(ExpType,$L747)="","—",INDEX(ExpType,$L747)))</f>
        <v/>
      </c>
      <c r="G747" s="19">
        <f>IF($L747="","",IF(INDEX(ExpDep,$L747)=0,"",INDEX(ExpDep,$L747)))</f>
        <v/>
      </c>
      <c r="H747" s="19">
        <f>IF($L747="","",IF(INDEX(ExpWit,$L747)=0,"",INDEX(ExpWit,$L747)))</f>
        <v/>
      </c>
      <c r="I747" s="20">
        <f>IF($B747="","",IF($I746="",0,$I746)+IF($H747="",0,$H747)-IF($G747="",0,$G747))</f>
        <v/>
      </c>
      <c r="J747" s="18">
        <f>IF($L747="","",IF(INDEX(ExpNote,$L747)="","—",INDEX(ExpNote,$L747)))</f>
        <v/>
      </c>
      <c r="L747">
        <f>IFERROR(MATCH($C$5&amp;"|"&amp;RIGHT("000000"&amp;731,6),ExpRankKey,0),"")</f>
        <v/>
      </c>
    </row>
    <row r="748">
      <c r="A748" s="21" t="n">
        <v>732</v>
      </c>
      <c r="B748" s="22">
        <f>IF($L748="","",INDEX(ExpNorm,$L748))</f>
        <v/>
      </c>
      <c r="C748" s="22">
        <f>IF($L748="","",IF(INDEX(ExpTime,$L748)="","—",LEFT(INDEX(ExpTime,$L748),2)&amp;":"&amp;RIGHT(INDEX(ExpTime,$L748),2)))</f>
        <v/>
      </c>
      <c r="D748" s="22">
        <f>IF($L748="","",IF(INDEX(ExpBank,$L748)="","—",INDEX(ExpBank,$L748)))</f>
        <v/>
      </c>
      <c r="E748" s="23">
        <f>IF($L748="","",IF(INDEX(ExpParty,$L748)="","—",IFERROR(VLOOKUP(INDEX(ExpParty,$L748),AcctTbl,4,0),INDEX(ExpParty,$L748))))</f>
        <v/>
      </c>
      <c r="F748" s="22">
        <f>IF($L748="","",IF(INDEX(ExpType,$L748)="","—",INDEX(ExpType,$L748)))</f>
        <v/>
      </c>
      <c r="G748" s="24">
        <f>IF($L748="","",IF(INDEX(ExpDep,$L748)=0,"",INDEX(ExpDep,$L748)))</f>
        <v/>
      </c>
      <c r="H748" s="24">
        <f>IF($L748="","",IF(INDEX(ExpWit,$L748)=0,"",INDEX(ExpWit,$L748)))</f>
        <v/>
      </c>
      <c r="I748" s="25">
        <f>IF($B748="","",IF($I747="",0,$I747)+IF($H748="",0,$H748)-IF($G748="",0,$G748))</f>
        <v/>
      </c>
      <c r="J748" s="23">
        <f>IF($L748="","",IF(INDEX(ExpNote,$L748)="","—",INDEX(ExpNote,$L748)))</f>
        <v/>
      </c>
      <c r="L748">
        <f>IFERROR(MATCH($C$5&amp;"|"&amp;RIGHT("000000"&amp;732,6),ExpRankKey,0),"")</f>
        <v/>
      </c>
    </row>
    <row r="749">
      <c r="A749" s="16" t="n">
        <v>733</v>
      </c>
      <c r="B749" s="17">
        <f>IF($L749="","",INDEX(ExpNorm,$L749))</f>
        <v/>
      </c>
      <c r="C749" s="17">
        <f>IF($L749="","",IF(INDEX(ExpTime,$L749)="","—",LEFT(INDEX(ExpTime,$L749),2)&amp;":"&amp;RIGHT(INDEX(ExpTime,$L749),2)))</f>
        <v/>
      </c>
      <c r="D749" s="17">
        <f>IF($L749="","",IF(INDEX(ExpBank,$L749)="","—",INDEX(ExpBank,$L749)))</f>
        <v/>
      </c>
      <c r="E749" s="18">
        <f>IF($L749="","",IF(INDEX(ExpParty,$L749)="","—",IFERROR(VLOOKUP(INDEX(ExpParty,$L749),AcctTbl,4,0),INDEX(ExpParty,$L749))))</f>
        <v/>
      </c>
      <c r="F749" s="17">
        <f>IF($L749="","",IF(INDEX(ExpType,$L749)="","—",INDEX(ExpType,$L749)))</f>
        <v/>
      </c>
      <c r="G749" s="19">
        <f>IF($L749="","",IF(INDEX(ExpDep,$L749)=0,"",INDEX(ExpDep,$L749)))</f>
        <v/>
      </c>
      <c r="H749" s="19">
        <f>IF($L749="","",IF(INDEX(ExpWit,$L749)=0,"",INDEX(ExpWit,$L749)))</f>
        <v/>
      </c>
      <c r="I749" s="20">
        <f>IF($B749="","",IF($I748="",0,$I748)+IF($H749="",0,$H749)-IF($G749="",0,$G749))</f>
        <v/>
      </c>
      <c r="J749" s="18">
        <f>IF($L749="","",IF(INDEX(ExpNote,$L749)="","—",INDEX(ExpNote,$L749)))</f>
        <v/>
      </c>
      <c r="L749">
        <f>IFERROR(MATCH($C$5&amp;"|"&amp;RIGHT("000000"&amp;733,6),ExpRankKey,0),"")</f>
        <v/>
      </c>
    </row>
    <row r="750">
      <c r="A750" s="21" t="n">
        <v>734</v>
      </c>
      <c r="B750" s="22">
        <f>IF($L750="","",INDEX(ExpNorm,$L750))</f>
        <v/>
      </c>
      <c r="C750" s="22">
        <f>IF($L750="","",IF(INDEX(ExpTime,$L750)="","—",LEFT(INDEX(ExpTime,$L750),2)&amp;":"&amp;RIGHT(INDEX(ExpTime,$L750),2)))</f>
        <v/>
      </c>
      <c r="D750" s="22">
        <f>IF($L750="","",IF(INDEX(ExpBank,$L750)="","—",INDEX(ExpBank,$L750)))</f>
        <v/>
      </c>
      <c r="E750" s="23">
        <f>IF($L750="","",IF(INDEX(ExpParty,$L750)="","—",IFERROR(VLOOKUP(INDEX(ExpParty,$L750),AcctTbl,4,0),INDEX(ExpParty,$L750))))</f>
        <v/>
      </c>
      <c r="F750" s="22">
        <f>IF($L750="","",IF(INDEX(ExpType,$L750)="","—",INDEX(ExpType,$L750)))</f>
        <v/>
      </c>
      <c r="G750" s="24">
        <f>IF($L750="","",IF(INDEX(ExpDep,$L750)=0,"",INDEX(ExpDep,$L750)))</f>
        <v/>
      </c>
      <c r="H750" s="24">
        <f>IF($L750="","",IF(INDEX(ExpWit,$L750)=0,"",INDEX(ExpWit,$L750)))</f>
        <v/>
      </c>
      <c r="I750" s="25">
        <f>IF($B750="","",IF($I749="",0,$I749)+IF($H750="",0,$H750)-IF($G750="",0,$G750))</f>
        <v/>
      </c>
      <c r="J750" s="23">
        <f>IF($L750="","",IF(INDEX(ExpNote,$L750)="","—",INDEX(ExpNote,$L750)))</f>
        <v/>
      </c>
      <c r="L750">
        <f>IFERROR(MATCH($C$5&amp;"|"&amp;RIGHT("000000"&amp;734,6),ExpRankKey,0),"")</f>
        <v/>
      </c>
    </row>
    <row r="751">
      <c r="A751" s="16" t="n">
        <v>735</v>
      </c>
      <c r="B751" s="17">
        <f>IF($L751="","",INDEX(ExpNorm,$L751))</f>
        <v/>
      </c>
      <c r="C751" s="17">
        <f>IF($L751="","",IF(INDEX(ExpTime,$L751)="","—",LEFT(INDEX(ExpTime,$L751),2)&amp;":"&amp;RIGHT(INDEX(ExpTime,$L751),2)))</f>
        <v/>
      </c>
      <c r="D751" s="17">
        <f>IF($L751="","",IF(INDEX(ExpBank,$L751)="","—",INDEX(ExpBank,$L751)))</f>
        <v/>
      </c>
      <c r="E751" s="18">
        <f>IF($L751="","",IF(INDEX(ExpParty,$L751)="","—",IFERROR(VLOOKUP(INDEX(ExpParty,$L751),AcctTbl,4,0),INDEX(ExpParty,$L751))))</f>
        <v/>
      </c>
      <c r="F751" s="17">
        <f>IF($L751="","",IF(INDEX(ExpType,$L751)="","—",INDEX(ExpType,$L751)))</f>
        <v/>
      </c>
      <c r="G751" s="19">
        <f>IF($L751="","",IF(INDEX(ExpDep,$L751)=0,"",INDEX(ExpDep,$L751)))</f>
        <v/>
      </c>
      <c r="H751" s="19">
        <f>IF($L751="","",IF(INDEX(ExpWit,$L751)=0,"",INDEX(ExpWit,$L751)))</f>
        <v/>
      </c>
      <c r="I751" s="20">
        <f>IF($B751="","",IF($I750="",0,$I750)+IF($H751="",0,$H751)-IF($G751="",0,$G751))</f>
        <v/>
      </c>
      <c r="J751" s="18">
        <f>IF($L751="","",IF(INDEX(ExpNote,$L751)="","—",INDEX(ExpNote,$L751)))</f>
        <v/>
      </c>
      <c r="L751">
        <f>IFERROR(MATCH($C$5&amp;"|"&amp;RIGHT("000000"&amp;735,6),ExpRankKey,0),"")</f>
        <v/>
      </c>
    </row>
    <row r="752">
      <c r="A752" s="21" t="n">
        <v>736</v>
      </c>
      <c r="B752" s="22">
        <f>IF($L752="","",INDEX(ExpNorm,$L752))</f>
        <v/>
      </c>
      <c r="C752" s="22">
        <f>IF($L752="","",IF(INDEX(ExpTime,$L752)="","—",LEFT(INDEX(ExpTime,$L752),2)&amp;":"&amp;RIGHT(INDEX(ExpTime,$L752),2)))</f>
        <v/>
      </c>
      <c r="D752" s="22">
        <f>IF($L752="","",IF(INDEX(ExpBank,$L752)="","—",INDEX(ExpBank,$L752)))</f>
        <v/>
      </c>
      <c r="E752" s="23">
        <f>IF($L752="","",IF(INDEX(ExpParty,$L752)="","—",IFERROR(VLOOKUP(INDEX(ExpParty,$L752),AcctTbl,4,0),INDEX(ExpParty,$L752))))</f>
        <v/>
      </c>
      <c r="F752" s="22">
        <f>IF($L752="","",IF(INDEX(ExpType,$L752)="","—",INDEX(ExpType,$L752)))</f>
        <v/>
      </c>
      <c r="G752" s="24">
        <f>IF($L752="","",IF(INDEX(ExpDep,$L752)=0,"",INDEX(ExpDep,$L752)))</f>
        <v/>
      </c>
      <c r="H752" s="24">
        <f>IF($L752="","",IF(INDEX(ExpWit,$L752)=0,"",INDEX(ExpWit,$L752)))</f>
        <v/>
      </c>
      <c r="I752" s="25">
        <f>IF($B752="","",IF($I751="",0,$I751)+IF($H752="",0,$H752)-IF($G752="",0,$G752))</f>
        <v/>
      </c>
      <c r="J752" s="23">
        <f>IF($L752="","",IF(INDEX(ExpNote,$L752)="","—",INDEX(ExpNote,$L752)))</f>
        <v/>
      </c>
      <c r="L752">
        <f>IFERROR(MATCH($C$5&amp;"|"&amp;RIGHT("000000"&amp;736,6),ExpRankKey,0),"")</f>
        <v/>
      </c>
    </row>
    <row r="753">
      <c r="A753" s="16" t="n">
        <v>737</v>
      </c>
      <c r="B753" s="17">
        <f>IF($L753="","",INDEX(ExpNorm,$L753))</f>
        <v/>
      </c>
      <c r="C753" s="17">
        <f>IF($L753="","",IF(INDEX(ExpTime,$L753)="","—",LEFT(INDEX(ExpTime,$L753),2)&amp;":"&amp;RIGHT(INDEX(ExpTime,$L753),2)))</f>
        <v/>
      </c>
      <c r="D753" s="17">
        <f>IF($L753="","",IF(INDEX(ExpBank,$L753)="","—",INDEX(ExpBank,$L753)))</f>
        <v/>
      </c>
      <c r="E753" s="18">
        <f>IF($L753="","",IF(INDEX(ExpParty,$L753)="","—",IFERROR(VLOOKUP(INDEX(ExpParty,$L753),AcctTbl,4,0),INDEX(ExpParty,$L753))))</f>
        <v/>
      </c>
      <c r="F753" s="17">
        <f>IF($L753="","",IF(INDEX(ExpType,$L753)="","—",INDEX(ExpType,$L753)))</f>
        <v/>
      </c>
      <c r="G753" s="19">
        <f>IF($L753="","",IF(INDEX(ExpDep,$L753)=0,"",INDEX(ExpDep,$L753)))</f>
        <v/>
      </c>
      <c r="H753" s="19">
        <f>IF($L753="","",IF(INDEX(ExpWit,$L753)=0,"",INDEX(ExpWit,$L753)))</f>
        <v/>
      </c>
      <c r="I753" s="20">
        <f>IF($B753="","",IF($I752="",0,$I752)+IF($H753="",0,$H753)-IF($G753="",0,$G753))</f>
        <v/>
      </c>
      <c r="J753" s="18">
        <f>IF($L753="","",IF(INDEX(ExpNote,$L753)="","—",INDEX(ExpNote,$L753)))</f>
        <v/>
      </c>
      <c r="L753">
        <f>IFERROR(MATCH($C$5&amp;"|"&amp;RIGHT("000000"&amp;737,6),ExpRankKey,0),"")</f>
        <v/>
      </c>
    </row>
    <row r="754">
      <c r="A754" s="21" t="n">
        <v>738</v>
      </c>
      <c r="B754" s="22">
        <f>IF($L754="","",INDEX(ExpNorm,$L754))</f>
        <v/>
      </c>
      <c r="C754" s="22">
        <f>IF($L754="","",IF(INDEX(ExpTime,$L754)="","—",LEFT(INDEX(ExpTime,$L754),2)&amp;":"&amp;RIGHT(INDEX(ExpTime,$L754),2)))</f>
        <v/>
      </c>
      <c r="D754" s="22">
        <f>IF($L754="","",IF(INDEX(ExpBank,$L754)="","—",INDEX(ExpBank,$L754)))</f>
        <v/>
      </c>
      <c r="E754" s="23">
        <f>IF($L754="","",IF(INDEX(ExpParty,$L754)="","—",IFERROR(VLOOKUP(INDEX(ExpParty,$L754),AcctTbl,4,0),INDEX(ExpParty,$L754))))</f>
        <v/>
      </c>
      <c r="F754" s="22">
        <f>IF($L754="","",IF(INDEX(ExpType,$L754)="","—",INDEX(ExpType,$L754)))</f>
        <v/>
      </c>
      <c r="G754" s="24">
        <f>IF($L754="","",IF(INDEX(ExpDep,$L754)=0,"",INDEX(ExpDep,$L754)))</f>
        <v/>
      </c>
      <c r="H754" s="24">
        <f>IF($L754="","",IF(INDEX(ExpWit,$L754)=0,"",INDEX(ExpWit,$L754)))</f>
        <v/>
      </c>
      <c r="I754" s="25">
        <f>IF($B754="","",IF($I753="",0,$I753)+IF($H754="",0,$H754)-IF($G754="",0,$G754))</f>
        <v/>
      </c>
      <c r="J754" s="23">
        <f>IF($L754="","",IF(INDEX(ExpNote,$L754)="","—",INDEX(ExpNote,$L754)))</f>
        <v/>
      </c>
      <c r="L754">
        <f>IFERROR(MATCH($C$5&amp;"|"&amp;RIGHT("000000"&amp;738,6),ExpRankKey,0),"")</f>
        <v/>
      </c>
    </row>
    <row r="755">
      <c r="A755" s="16" t="n">
        <v>739</v>
      </c>
      <c r="B755" s="17">
        <f>IF($L755="","",INDEX(ExpNorm,$L755))</f>
        <v/>
      </c>
      <c r="C755" s="17">
        <f>IF($L755="","",IF(INDEX(ExpTime,$L755)="","—",LEFT(INDEX(ExpTime,$L755),2)&amp;":"&amp;RIGHT(INDEX(ExpTime,$L755),2)))</f>
        <v/>
      </c>
      <c r="D755" s="17">
        <f>IF($L755="","",IF(INDEX(ExpBank,$L755)="","—",INDEX(ExpBank,$L755)))</f>
        <v/>
      </c>
      <c r="E755" s="18">
        <f>IF($L755="","",IF(INDEX(ExpParty,$L755)="","—",IFERROR(VLOOKUP(INDEX(ExpParty,$L755),AcctTbl,4,0),INDEX(ExpParty,$L755))))</f>
        <v/>
      </c>
      <c r="F755" s="17">
        <f>IF($L755="","",IF(INDEX(ExpType,$L755)="","—",INDEX(ExpType,$L755)))</f>
        <v/>
      </c>
      <c r="G755" s="19">
        <f>IF($L755="","",IF(INDEX(ExpDep,$L755)=0,"",INDEX(ExpDep,$L755)))</f>
        <v/>
      </c>
      <c r="H755" s="19">
        <f>IF($L755="","",IF(INDEX(ExpWit,$L755)=0,"",INDEX(ExpWit,$L755)))</f>
        <v/>
      </c>
      <c r="I755" s="20">
        <f>IF($B755="","",IF($I754="",0,$I754)+IF($H755="",0,$H755)-IF($G755="",0,$G755))</f>
        <v/>
      </c>
      <c r="J755" s="18">
        <f>IF($L755="","",IF(INDEX(ExpNote,$L755)="","—",INDEX(ExpNote,$L755)))</f>
        <v/>
      </c>
      <c r="L755">
        <f>IFERROR(MATCH($C$5&amp;"|"&amp;RIGHT("000000"&amp;739,6),ExpRankKey,0),"")</f>
        <v/>
      </c>
    </row>
    <row r="756">
      <c r="A756" s="21" t="n">
        <v>740</v>
      </c>
      <c r="B756" s="22">
        <f>IF($L756="","",INDEX(ExpNorm,$L756))</f>
        <v/>
      </c>
      <c r="C756" s="22">
        <f>IF($L756="","",IF(INDEX(ExpTime,$L756)="","—",LEFT(INDEX(ExpTime,$L756),2)&amp;":"&amp;RIGHT(INDEX(ExpTime,$L756),2)))</f>
        <v/>
      </c>
      <c r="D756" s="22">
        <f>IF($L756="","",IF(INDEX(ExpBank,$L756)="","—",INDEX(ExpBank,$L756)))</f>
        <v/>
      </c>
      <c r="E756" s="23">
        <f>IF($L756="","",IF(INDEX(ExpParty,$L756)="","—",IFERROR(VLOOKUP(INDEX(ExpParty,$L756),AcctTbl,4,0),INDEX(ExpParty,$L756))))</f>
        <v/>
      </c>
      <c r="F756" s="22">
        <f>IF($L756="","",IF(INDEX(ExpType,$L756)="","—",INDEX(ExpType,$L756)))</f>
        <v/>
      </c>
      <c r="G756" s="24">
        <f>IF($L756="","",IF(INDEX(ExpDep,$L756)=0,"",INDEX(ExpDep,$L756)))</f>
        <v/>
      </c>
      <c r="H756" s="24">
        <f>IF($L756="","",IF(INDEX(ExpWit,$L756)=0,"",INDEX(ExpWit,$L756)))</f>
        <v/>
      </c>
      <c r="I756" s="25">
        <f>IF($B756="","",IF($I755="",0,$I755)+IF($H756="",0,$H756)-IF($G756="",0,$G756))</f>
        <v/>
      </c>
      <c r="J756" s="23">
        <f>IF($L756="","",IF(INDEX(ExpNote,$L756)="","—",INDEX(ExpNote,$L756)))</f>
        <v/>
      </c>
      <c r="L756">
        <f>IFERROR(MATCH($C$5&amp;"|"&amp;RIGHT("000000"&amp;740,6),ExpRankKey,0),"")</f>
        <v/>
      </c>
    </row>
    <row r="757">
      <c r="A757" s="16" t="n">
        <v>741</v>
      </c>
      <c r="B757" s="17">
        <f>IF($L757="","",INDEX(ExpNorm,$L757))</f>
        <v/>
      </c>
      <c r="C757" s="17">
        <f>IF($L757="","",IF(INDEX(ExpTime,$L757)="","—",LEFT(INDEX(ExpTime,$L757),2)&amp;":"&amp;RIGHT(INDEX(ExpTime,$L757),2)))</f>
        <v/>
      </c>
      <c r="D757" s="17">
        <f>IF($L757="","",IF(INDEX(ExpBank,$L757)="","—",INDEX(ExpBank,$L757)))</f>
        <v/>
      </c>
      <c r="E757" s="18">
        <f>IF($L757="","",IF(INDEX(ExpParty,$L757)="","—",IFERROR(VLOOKUP(INDEX(ExpParty,$L757),AcctTbl,4,0),INDEX(ExpParty,$L757))))</f>
        <v/>
      </c>
      <c r="F757" s="17">
        <f>IF($L757="","",IF(INDEX(ExpType,$L757)="","—",INDEX(ExpType,$L757)))</f>
        <v/>
      </c>
      <c r="G757" s="19">
        <f>IF($L757="","",IF(INDEX(ExpDep,$L757)=0,"",INDEX(ExpDep,$L757)))</f>
        <v/>
      </c>
      <c r="H757" s="19">
        <f>IF($L757="","",IF(INDEX(ExpWit,$L757)=0,"",INDEX(ExpWit,$L757)))</f>
        <v/>
      </c>
      <c r="I757" s="20">
        <f>IF($B757="","",IF($I756="",0,$I756)+IF($H757="",0,$H757)-IF($G757="",0,$G757))</f>
        <v/>
      </c>
      <c r="J757" s="18">
        <f>IF($L757="","",IF(INDEX(ExpNote,$L757)="","—",INDEX(ExpNote,$L757)))</f>
        <v/>
      </c>
      <c r="L757">
        <f>IFERROR(MATCH($C$5&amp;"|"&amp;RIGHT("000000"&amp;741,6),ExpRankKey,0),"")</f>
        <v/>
      </c>
    </row>
    <row r="758">
      <c r="A758" s="21" t="n">
        <v>742</v>
      </c>
      <c r="B758" s="22">
        <f>IF($L758="","",INDEX(ExpNorm,$L758))</f>
        <v/>
      </c>
      <c r="C758" s="22">
        <f>IF($L758="","",IF(INDEX(ExpTime,$L758)="","—",LEFT(INDEX(ExpTime,$L758),2)&amp;":"&amp;RIGHT(INDEX(ExpTime,$L758),2)))</f>
        <v/>
      </c>
      <c r="D758" s="22">
        <f>IF($L758="","",IF(INDEX(ExpBank,$L758)="","—",INDEX(ExpBank,$L758)))</f>
        <v/>
      </c>
      <c r="E758" s="23">
        <f>IF($L758="","",IF(INDEX(ExpParty,$L758)="","—",IFERROR(VLOOKUP(INDEX(ExpParty,$L758),AcctTbl,4,0),INDEX(ExpParty,$L758))))</f>
        <v/>
      </c>
      <c r="F758" s="22">
        <f>IF($L758="","",IF(INDEX(ExpType,$L758)="","—",INDEX(ExpType,$L758)))</f>
        <v/>
      </c>
      <c r="G758" s="24">
        <f>IF($L758="","",IF(INDEX(ExpDep,$L758)=0,"",INDEX(ExpDep,$L758)))</f>
        <v/>
      </c>
      <c r="H758" s="24">
        <f>IF($L758="","",IF(INDEX(ExpWit,$L758)=0,"",INDEX(ExpWit,$L758)))</f>
        <v/>
      </c>
      <c r="I758" s="25">
        <f>IF($B758="","",IF($I757="",0,$I757)+IF($H758="",0,$H758)-IF($G758="",0,$G758))</f>
        <v/>
      </c>
      <c r="J758" s="23">
        <f>IF($L758="","",IF(INDEX(ExpNote,$L758)="","—",INDEX(ExpNote,$L758)))</f>
        <v/>
      </c>
      <c r="L758">
        <f>IFERROR(MATCH($C$5&amp;"|"&amp;RIGHT("000000"&amp;742,6),ExpRankKey,0),"")</f>
        <v/>
      </c>
    </row>
    <row r="759">
      <c r="A759" s="16" t="n">
        <v>743</v>
      </c>
      <c r="B759" s="17">
        <f>IF($L759="","",INDEX(ExpNorm,$L759))</f>
        <v/>
      </c>
      <c r="C759" s="17">
        <f>IF($L759="","",IF(INDEX(ExpTime,$L759)="","—",LEFT(INDEX(ExpTime,$L759),2)&amp;":"&amp;RIGHT(INDEX(ExpTime,$L759),2)))</f>
        <v/>
      </c>
      <c r="D759" s="17">
        <f>IF($L759="","",IF(INDEX(ExpBank,$L759)="","—",INDEX(ExpBank,$L759)))</f>
        <v/>
      </c>
      <c r="E759" s="18">
        <f>IF($L759="","",IF(INDEX(ExpParty,$L759)="","—",IFERROR(VLOOKUP(INDEX(ExpParty,$L759),AcctTbl,4,0),INDEX(ExpParty,$L759))))</f>
        <v/>
      </c>
      <c r="F759" s="17">
        <f>IF($L759="","",IF(INDEX(ExpType,$L759)="","—",INDEX(ExpType,$L759)))</f>
        <v/>
      </c>
      <c r="G759" s="19">
        <f>IF($L759="","",IF(INDEX(ExpDep,$L759)=0,"",INDEX(ExpDep,$L759)))</f>
        <v/>
      </c>
      <c r="H759" s="19">
        <f>IF($L759="","",IF(INDEX(ExpWit,$L759)=0,"",INDEX(ExpWit,$L759)))</f>
        <v/>
      </c>
      <c r="I759" s="20">
        <f>IF($B759="","",IF($I758="",0,$I758)+IF($H759="",0,$H759)-IF($G759="",0,$G759))</f>
        <v/>
      </c>
      <c r="J759" s="18">
        <f>IF($L759="","",IF(INDEX(ExpNote,$L759)="","—",INDEX(ExpNote,$L759)))</f>
        <v/>
      </c>
      <c r="L759">
        <f>IFERROR(MATCH($C$5&amp;"|"&amp;RIGHT("000000"&amp;743,6),ExpRankKey,0),"")</f>
        <v/>
      </c>
    </row>
    <row r="760">
      <c r="A760" s="21" t="n">
        <v>744</v>
      </c>
      <c r="B760" s="22">
        <f>IF($L760="","",INDEX(ExpNorm,$L760))</f>
        <v/>
      </c>
      <c r="C760" s="22">
        <f>IF($L760="","",IF(INDEX(ExpTime,$L760)="","—",LEFT(INDEX(ExpTime,$L760),2)&amp;":"&amp;RIGHT(INDEX(ExpTime,$L760),2)))</f>
        <v/>
      </c>
      <c r="D760" s="22">
        <f>IF($L760="","",IF(INDEX(ExpBank,$L760)="","—",INDEX(ExpBank,$L760)))</f>
        <v/>
      </c>
      <c r="E760" s="23">
        <f>IF($L760="","",IF(INDEX(ExpParty,$L760)="","—",IFERROR(VLOOKUP(INDEX(ExpParty,$L760),AcctTbl,4,0),INDEX(ExpParty,$L760))))</f>
        <v/>
      </c>
      <c r="F760" s="22">
        <f>IF($L760="","",IF(INDEX(ExpType,$L760)="","—",INDEX(ExpType,$L760)))</f>
        <v/>
      </c>
      <c r="G760" s="24">
        <f>IF($L760="","",IF(INDEX(ExpDep,$L760)=0,"",INDEX(ExpDep,$L760)))</f>
        <v/>
      </c>
      <c r="H760" s="24">
        <f>IF($L760="","",IF(INDEX(ExpWit,$L760)=0,"",INDEX(ExpWit,$L760)))</f>
        <v/>
      </c>
      <c r="I760" s="25">
        <f>IF($B760="","",IF($I759="",0,$I759)+IF($H760="",0,$H760)-IF($G760="",0,$G760))</f>
        <v/>
      </c>
      <c r="J760" s="23">
        <f>IF($L760="","",IF(INDEX(ExpNote,$L760)="","—",INDEX(ExpNote,$L760)))</f>
        <v/>
      </c>
      <c r="L760">
        <f>IFERROR(MATCH($C$5&amp;"|"&amp;RIGHT("000000"&amp;744,6),ExpRankKey,0),"")</f>
        <v/>
      </c>
    </row>
    <row r="761">
      <c r="A761" s="16" t="n">
        <v>745</v>
      </c>
      <c r="B761" s="17">
        <f>IF($L761="","",INDEX(ExpNorm,$L761))</f>
        <v/>
      </c>
      <c r="C761" s="17">
        <f>IF($L761="","",IF(INDEX(ExpTime,$L761)="","—",LEFT(INDEX(ExpTime,$L761),2)&amp;":"&amp;RIGHT(INDEX(ExpTime,$L761),2)))</f>
        <v/>
      </c>
      <c r="D761" s="17">
        <f>IF($L761="","",IF(INDEX(ExpBank,$L761)="","—",INDEX(ExpBank,$L761)))</f>
        <v/>
      </c>
      <c r="E761" s="18">
        <f>IF($L761="","",IF(INDEX(ExpParty,$L761)="","—",IFERROR(VLOOKUP(INDEX(ExpParty,$L761),AcctTbl,4,0),INDEX(ExpParty,$L761))))</f>
        <v/>
      </c>
      <c r="F761" s="17">
        <f>IF($L761="","",IF(INDEX(ExpType,$L761)="","—",INDEX(ExpType,$L761)))</f>
        <v/>
      </c>
      <c r="G761" s="19">
        <f>IF($L761="","",IF(INDEX(ExpDep,$L761)=0,"",INDEX(ExpDep,$L761)))</f>
        <v/>
      </c>
      <c r="H761" s="19">
        <f>IF($L761="","",IF(INDEX(ExpWit,$L761)=0,"",INDEX(ExpWit,$L761)))</f>
        <v/>
      </c>
      <c r="I761" s="20">
        <f>IF($B761="","",IF($I760="",0,$I760)+IF($H761="",0,$H761)-IF($G761="",0,$G761))</f>
        <v/>
      </c>
      <c r="J761" s="18">
        <f>IF($L761="","",IF(INDEX(ExpNote,$L761)="","—",INDEX(ExpNote,$L761)))</f>
        <v/>
      </c>
      <c r="L761">
        <f>IFERROR(MATCH($C$5&amp;"|"&amp;RIGHT("000000"&amp;745,6),ExpRankKey,0),"")</f>
        <v/>
      </c>
    </row>
    <row r="762">
      <c r="A762" s="21" t="n">
        <v>746</v>
      </c>
      <c r="B762" s="22">
        <f>IF($L762="","",INDEX(ExpNorm,$L762))</f>
        <v/>
      </c>
      <c r="C762" s="22">
        <f>IF($L762="","",IF(INDEX(ExpTime,$L762)="","—",LEFT(INDEX(ExpTime,$L762),2)&amp;":"&amp;RIGHT(INDEX(ExpTime,$L762),2)))</f>
        <v/>
      </c>
      <c r="D762" s="22">
        <f>IF($L762="","",IF(INDEX(ExpBank,$L762)="","—",INDEX(ExpBank,$L762)))</f>
        <v/>
      </c>
      <c r="E762" s="23">
        <f>IF($L762="","",IF(INDEX(ExpParty,$L762)="","—",IFERROR(VLOOKUP(INDEX(ExpParty,$L762),AcctTbl,4,0),INDEX(ExpParty,$L762))))</f>
        <v/>
      </c>
      <c r="F762" s="22">
        <f>IF($L762="","",IF(INDEX(ExpType,$L762)="","—",INDEX(ExpType,$L762)))</f>
        <v/>
      </c>
      <c r="G762" s="24">
        <f>IF($L762="","",IF(INDEX(ExpDep,$L762)=0,"",INDEX(ExpDep,$L762)))</f>
        <v/>
      </c>
      <c r="H762" s="24">
        <f>IF($L762="","",IF(INDEX(ExpWit,$L762)=0,"",INDEX(ExpWit,$L762)))</f>
        <v/>
      </c>
      <c r="I762" s="25">
        <f>IF($B762="","",IF($I761="",0,$I761)+IF($H762="",0,$H762)-IF($G762="",0,$G762))</f>
        <v/>
      </c>
      <c r="J762" s="23">
        <f>IF($L762="","",IF(INDEX(ExpNote,$L762)="","—",INDEX(ExpNote,$L762)))</f>
        <v/>
      </c>
      <c r="L762">
        <f>IFERROR(MATCH($C$5&amp;"|"&amp;RIGHT("000000"&amp;746,6),ExpRankKey,0),"")</f>
        <v/>
      </c>
    </row>
    <row r="763">
      <c r="A763" s="16" t="n">
        <v>747</v>
      </c>
      <c r="B763" s="17">
        <f>IF($L763="","",INDEX(ExpNorm,$L763))</f>
        <v/>
      </c>
      <c r="C763" s="17">
        <f>IF($L763="","",IF(INDEX(ExpTime,$L763)="","—",LEFT(INDEX(ExpTime,$L763),2)&amp;":"&amp;RIGHT(INDEX(ExpTime,$L763),2)))</f>
        <v/>
      </c>
      <c r="D763" s="17">
        <f>IF($L763="","",IF(INDEX(ExpBank,$L763)="","—",INDEX(ExpBank,$L763)))</f>
        <v/>
      </c>
      <c r="E763" s="18">
        <f>IF($L763="","",IF(INDEX(ExpParty,$L763)="","—",IFERROR(VLOOKUP(INDEX(ExpParty,$L763),AcctTbl,4,0),INDEX(ExpParty,$L763))))</f>
        <v/>
      </c>
      <c r="F763" s="17">
        <f>IF($L763="","",IF(INDEX(ExpType,$L763)="","—",INDEX(ExpType,$L763)))</f>
        <v/>
      </c>
      <c r="G763" s="19">
        <f>IF($L763="","",IF(INDEX(ExpDep,$L763)=0,"",INDEX(ExpDep,$L763)))</f>
        <v/>
      </c>
      <c r="H763" s="19">
        <f>IF($L763="","",IF(INDEX(ExpWit,$L763)=0,"",INDEX(ExpWit,$L763)))</f>
        <v/>
      </c>
      <c r="I763" s="20">
        <f>IF($B763="","",IF($I762="",0,$I762)+IF($H763="",0,$H763)-IF($G763="",0,$G763))</f>
        <v/>
      </c>
      <c r="J763" s="18">
        <f>IF($L763="","",IF(INDEX(ExpNote,$L763)="","—",INDEX(ExpNote,$L763)))</f>
        <v/>
      </c>
      <c r="L763">
        <f>IFERROR(MATCH($C$5&amp;"|"&amp;RIGHT("000000"&amp;747,6),ExpRankKey,0),"")</f>
        <v/>
      </c>
    </row>
    <row r="764">
      <c r="A764" s="21" t="n">
        <v>748</v>
      </c>
      <c r="B764" s="22">
        <f>IF($L764="","",INDEX(ExpNorm,$L764))</f>
        <v/>
      </c>
      <c r="C764" s="22">
        <f>IF($L764="","",IF(INDEX(ExpTime,$L764)="","—",LEFT(INDEX(ExpTime,$L764),2)&amp;":"&amp;RIGHT(INDEX(ExpTime,$L764),2)))</f>
        <v/>
      </c>
      <c r="D764" s="22">
        <f>IF($L764="","",IF(INDEX(ExpBank,$L764)="","—",INDEX(ExpBank,$L764)))</f>
        <v/>
      </c>
      <c r="E764" s="23">
        <f>IF($L764="","",IF(INDEX(ExpParty,$L764)="","—",IFERROR(VLOOKUP(INDEX(ExpParty,$L764),AcctTbl,4,0),INDEX(ExpParty,$L764))))</f>
        <v/>
      </c>
      <c r="F764" s="22">
        <f>IF($L764="","",IF(INDEX(ExpType,$L764)="","—",INDEX(ExpType,$L764)))</f>
        <v/>
      </c>
      <c r="G764" s="24">
        <f>IF($L764="","",IF(INDEX(ExpDep,$L764)=0,"",INDEX(ExpDep,$L764)))</f>
        <v/>
      </c>
      <c r="H764" s="24">
        <f>IF($L764="","",IF(INDEX(ExpWit,$L764)=0,"",INDEX(ExpWit,$L764)))</f>
        <v/>
      </c>
      <c r="I764" s="25">
        <f>IF($B764="","",IF($I763="",0,$I763)+IF($H764="",0,$H764)-IF($G764="",0,$G764))</f>
        <v/>
      </c>
      <c r="J764" s="23">
        <f>IF($L764="","",IF(INDEX(ExpNote,$L764)="","—",INDEX(ExpNote,$L764)))</f>
        <v/>
      </c>
      <c r="L764">
        <f>IFERROR(MATCH($C$5&amp;"|"&amp;RIGHT("000000"&amp;748,6),ExpRankKey,0),"")</f>
        <v/>
      </c>
    </row>
    <row r="765">
      <c r="A765" s="16" t="n">
        <v>749</v>
      </c>
      <c r="B765" s="17">
        <f>IF($L765="","",INDEX(ExpNorm,$L765))</f>
        <v/>
      </c>
      <c r="C765" s="17">
        <f>IF($L765="","",IF(INDEX(ExpTime,$L765)="","—",LEFT(INDEX(ExpTime,$L765),2)&amp;":"&amp;RIGHT(INDEX(ExpTime,$L765),2)))</f>
        <v/>
      </c>
      <c r="D765" s="17">
        <f>IF($L765="","",IF(INDEX(ExpBank,$L765)="","—",INDEX(ExpBank,$L765)))</f>
        <v/>
      </c>
      <c r="E765" s="18">
        <f>IF($L765="","",IF(INDEX(ExpParty,$L765)="","—",IFERROR(VLOOKUP(INDEX(ExpParty,$L765),AcctTbl,4,0),INDEX(ExpParty,$L765))))</f>
        <v/>
      </c>
      <c r="F765" s="17">
        <f>IF($L765="","",IF(INDEX(ExpType,$L765)="","—",INDEX(ExpType,$L765)))</f>
        <v/>
      </c>
      <c r="G765" s="19">
        <f>IF($L765="","",IF(INDEX(ExpDep,$L765)=0,"",INDEX(ExpDep,$L765)))</f>
        <v/>
      </c>
      <c r="H765" s="19">
        <f>IF($L765="","",IF(INDEX(ExpWit,$L765)=0,"",INDEX(ExpWit,$L765)))</f>
        <v/>
      </c>
      <c r="I765" s="20">
        <f>IF($B765="","",IF($I764="",0,$I764)+IF($H765="",0,$H765)-IF($G765="",0,$G765))</f>
        <v/>
      </c>
      <c r="J765" s="18">
        <f>IF($L765="","",IF(INDEX(ExpNote,$L765)="","—",INDEX(ExpNote,$L765)))</f>
        <v/>
      </c>
      <c r="L765">
        <f>IFERROR(MATCH($C$5&amp;"|"&amp;RIGHT("000000"&amp;749,6),ExpRankKey,0),"")</f>
        <v/>
      </c>
    </row>
    <row r="766">
      <c r="A766" s="21" t="n">
        <v>750</v>
      </c>
      <c r="B766" s="22">
        <f>IF($L766="","",INDEX(ExpNorm,$L766))</f>
        <v/>
      </c>
      <c r="C766" s="22">
        <f>IF($L766="","",IF(INDEX(ExpTime,$L766)="","—",LEFT(INDEX(ExpTime,$L766),2)&amp;":"&amp;RIGHT(INDEX(ExpTime,$L766),2)))</f>
        <v/>
      </c>
      <c r="D766" s="22">
        <f>IF($L766="","",IF(INDEX(ExpBank,$L766)="","—",INDEX(ExpBank,$L766)))</f>
        <v/>
      </c>
      <c r="E766" s="23">
        <f>IF($L766="","",IF(INDEX(ExpParty,$L766)="","—",IFERROR(VLOOKUP(INDEX(ExpParty,$L766),AcctTbl,4,0),INDEX(ExpParty,$L766))))</f>
        <v/>
      </c>
      <c r="F766" s="22">
        <f>IF($L766="","",IF(INDEX(ExpType,$L766)="","—",INDEX(ExpType,$L766)))</f>
        <v/>
      </c>
      <c r="G766" s="24">
        <f>IF($L766="","",IF(INDEX(ExpDep,$L766)=0,"",INDEX(ExpDep,$L766)))</f>
        <v/>
      </c>
      <c r="H766" s="24">
        <f>IF($L766="","",IF(INDEX(ExpWit,$L766)=0,"",INDEX(ExpWit,$L766)))</f>
        <v/>
      </c>
      <c r="I766" s="25">
        <f>IF($B766="","",IF($I765="",0,$I765)+IF($H766="",0,$H766)-IF($G766="",0,$G766))</f>
        <v/>
      </c>
      <c r="J766" s="23">
        <f>IF($L766="","",IF(INDEX(ExpNote,$L766)="","—",INDEX(ExpNote,$L766)))</f>
        <v/>
      </c>
      <c r="L766">
        <f>IFERROR(MATCH($C$5&amp;"|"&amp;RIGHT("000000"&amp;750,6),ExpRankKey,0),"")</f>
        <v/>
      </c>
    </row>
    <row r="767">
      <c r="A767" s="16" t="n">
        <v>751</v>
      </c>
      <c r="B767" s="17">
        <f>IF($L767="","",INDEX(ExpNorm,$L767))</f>
        <v/>
      </c>
      <c r="C767" s="17">
        <f>IF($L767="","",IF(INDEX(ExpTime,$L767)="","—",LEFT(INDEX(ExpTime,$L767),2)&amp;":"&amp;RIGHT(INDEX(ExpTime,$L767),2)))</f>
        <v/>
      </c>
      <c r="D767" s="17">
        <f>IF($L767="","",IF(INDEX(ExpBank,$L767)="","—",INDEX(ExpBank,$L767)))</f>
        <v/>
      </c>
      <c r="E767" s="18">
        <f>IF($L767="","",IF(INDEX(ExpParty,$L767)="","—",IFERROR(VLOOKUP(INDEX(ExpParty,$L767),AcctTbl,4,0),INDEX(ExpParty,$L767))))</f>
        <v/>
      </c>
      <c r="F767" s="17">
        <f>IF($L767="","",IF(INDEX(ExpType,$L767)="","—",INDEX(ExpType,$L767)))</f>
        <v/>
      </c>
      <c r="G767" s="19">
        <f>IF($L767="","",IF(INDEX(ExpDep,$L767)=0,"",INDEX(ExpDep,$L767)))</f>
        <v/>
      </c>
      <c r="H767" s="19">
        <f>IF($L767="","",IF(INDEX(ExpWit,$L767)=0,"",INDEX(ExpWit,$L767)))</f>
        <v/>
      </c>
      <c r="I767" s="20">
        <f>IF($B767="","",IF($I766="",0,$I766)+IF($H767="",0,$H767)-IF($G767="",0,$G767))</f>
        <v/>
      </c>
      <c r="J767" s="18">
        <f>IF($L767="","",IF(INDEX(ExpNote,$L767)="","—",INDEX(ExpNote,$L767)))</f>
        <v/>
      </c>
      <c r="L767">
        <f>IFERROR(MATCH($C$5&amp;"|"&amp;RIGHT("000000"&amp;751,6),ExpRankKey,0),"")</f>
        <v/>
      </c>
    </row>
    <row r="768">
      <c r="A768" s="21" t="n">
        <v>752</v>
      </c>
      <c r="B768" s="22">
        <f>IF($L768="","",INDEX(ExpNorm,$L768))</f>
        <v/>
      </c>
      <c r="C768" s="22">
        <f>IF($L768="","",IF(INDEX(ExpTime,$L768)="","—",LEFT(INDEX(ExpTime,$L768),2)&amp;":"&amp;RIGHT(INDEX(ExpTime,$L768),2)))</f>
        <v/>
      </c>
      <c r="D768" s="22">
        <f>IF($L768="","",IF(INDEX(ExpBank,$L768)="","—",INDEX(ExpBank,$L768)))</f>
        <v/>
      </c>
      <c r="E768" s="23">
        <f>IF($L768="","",IF(INDEX(ExpParty,$L768)="","—",IFERROR(VLOOKUP(INDEX(ExpParty,$L768),AcctTbl,4,0),INDEX(ExpParty,$L768))))</f>
        <v/>
      </c>
      <c r="F768" s="22">
        <f>IF($L768="","",IF(INDEX(ExpType,$L768)="","—",INDEX(ExpType,$L768)))</f>
        <v/>
      </c>
      <c r="G768" s="24">
        <f>IF($L768="","",IF(INDEX(ExpDep,$L768)=0,"",INDEX(ExpDep,$L768)))</f>
        <v/>
      </c>
      <c r="H768" s="24">
        <f>IF($L768="","",IF(INDEX(ExpWit,$L768)=0,"",INDEX(ExpWit,$L768)))</f>
        <v/>
      </c>
      <c r="I768" s="25">
        <f>IF($B768="","",IF($I767="",0,$I767)+IF($H768="",0,$H768)-IF($G768="",0,$G768))</f>
        <v/>
      </c>
      <c r="J768" s="23">
        <f>IF($L768="","",IF(INDEX(ExpNote,$L768)="","—",INDEX(ExpNote,$L768)))</f>
        <v/>
      </c>
      <c r="L768">
        <f>IFERROR(MATCH($C$5&amp;"|"&amp;RIGHT("000000"&amp;752,6),ExpRankKey,0),"")</f>
        <v/>
      </c>
    </row>
    <row r="769">
      <c r="A769" s="16" t="n">
        <v>753</v>
      </c>
      <c r="B769" s="17">
        <f>IF($L769="","",INDEX(ExpNorm,$L769))</f>
        <v/>
      </c>
      <c r="C769" s="17">
        <f>IF($L769="","",IF(INDEX(ExpTime,$L769)="","—",LEFT(INDEX(ExpTime,$L769),2)&amp;":"&amp;RIGHT(INDEX(ExpTime,$L769),2)))</f>
        <v/>
      </c>
      <c r="D769" s="17">
        <f>IF($L769="","",IF(INDEX(ExpBank,$L769)="","—",INDEX(ExpBank,$L769)))</f>
        <v/>
      </c>
      <c r="E769" s="18">
        <f>IF($L769="","",IF(INDEX(ExpParty,$L769)="","—",IFERROR(VLOOKUP(INDEX(ExpParty,$L769),AcctTbl,4,0),INDEX(ExpParty,$L769))))</f>
        <v/>
      </c>
      <c r="F769" s="17">
        <f>IF($L769="","",IF(INDEX(ExpType,$L769)="","—",INDEX(ExpType,$L769)))</f>
        <v/>
      </c>
      <c r="G769" s="19">
        <f>IF($L769="","",IF(INDEX(ExpDep,$L769)=0,"",INDEX(ExpDep,$L769)))</f>
        <v/>
      </c>
      <c r="H769" s="19">
        <f>IF($L769="","",IF(INDEX(ExpWit,$L769)=0,"",INDEX(ExpWit,$L769)))</f>
        <v/>
      </c>
      <c r="I769" s="20">
        <f>IF($B769="","",IF($I768="",0,$I768)+IF($H769="",0,$H769)-IF($G769="",0,$G769))</f>
        <v/>
      </c>
      <c r="J769" s="18">
        <f>IF($L769="","",IF(INDEX(ExpNote,$L769)="","—",INDEX(ExpNote,$L769)))</f>
        <v/>
      </c>
      <c r="L769">
        <f>IFERROR(MATCH($C$5&amp;"|"&amp;RIGHT("000000"&amp;753,6),ExpRankKey,0),"")</f>
        <v/>
      </c>
    </row>
    <row r="770">
      <c r="A770" s="21" t="n">
        <v>754</v>
      </c>
      <c r="B770" s="22">
        <f>IF($L770="","",INDEX(ExpNorm,$L770))</f>
        <v/>
      </c>
      <c r="C770" s="22">
        <f>IF($L770="","",IF(INDEX(ExpTime,$L770)="","—",LEFT(INDEX(ExpTime,$L770),2)&amp;":"&amp;RIGHT(INDEX(ExpTime,$L770),2)))</f>
        <v/>
      </c>
      <c r="D770" s="22">
        <f>IF($L770="","",IF(INDEX(ExpBank,$L770)="","—",INDEX(ExpBank,$L770)))</f>
        <v/>
      </c>
      <c r="E770" s="23">
        <f>IF($L770="","",IF(INDEX(ExpParty,$L770)="","—",IFERROR(VLOOKUP(INDEX(ExpParty,$L770),AcctTbl,4,0),INDEX(ExpParty,$L770))))</f>
        <v/>
      </c>
      <c r="F770" s="22">
        <f>IF($L770="","",IF(INDEX(ExpType,$L770)="","—",INDEX(ExpType,$L770)))</f>
        <v/>
      </c>
      <c r="G770" s="24">
        <f>IF($L770="","",IF(INDEX(ExpDep,$L770)=0,"",INDEX(ExpDep,$L770)))</f>
        <v/>
      </c>
      <c r="H770" s="24">
        <f>IF($L770="","",IF(INDEX(ExpWit,$L770)=0,"",INDEX(ExpWit,$L770)))</f>
        <v/>
      </c>
      <c r="I770" s="25">
        <f>IF($B770="","",IF($I769="",0,$I769)+IF($H770="",0,$H770)-IF($G770="",0,$G770))</f>
        <v/>
      </c>
      <c r="J770" s="23">
        <f>IF($L770="","",IF(INDEX(ExpNote,$L770)="","—",INDEX(ExpNote,$L770)))</f>
        <v/>
      </c>
      <c r="L770">
        <f>IFERROR(MATCH($C$5&amp;"|"&amp;RIGHT("000000"&amp;754,6),ExpRankKey,0),"")</f>
        <v/>
      </c>
    </row>
    <row r="771">
      <c r="A771" s="16" t="n">
        <v>755</v>
      </c>
      <c r="B771" s="17">
        <f>IF($L771="","",INDEX(ExpNorm,$L771))</f>
        <v/>
      </c>
      <c r="C771" s="17">
        <f>IF($L771="","",IF(INDEX(ExpTime,$L771)="","—",LEFT(INDEX(ExpTime,$L771),2)&amp;":"&amp;RIGHT(INDEX(ExpTime,$L771),2)))</f>
        <v/>
      </c>
      <c r="D771" s="17">
        <f>IF($L771="","",IF(INDEX(ExpBank,$L771)="","—",INDEX(ExpBank,$L771)))</f>
        <v/>
      </c>
      <c r="E771" s="18">
        <f>IF($L771="","",IF(INDEX(ExpParty,$L771)="","—",IFERROR(VLOOKUP(INDEX(ExpParty,$L771),AcctTbl,4,0),INDEX(ExpParty,$L771))))</f>
        <v/>
      </c>
      <c r="F771" s="17">
        <f>IF($L771="","",IF(INDEX(ExpType,$L771)="","—",INDEX(ExpType,$L771)))</f>
        <v/>
      </c>
      <c r="G771" s="19">
        <f>IF($L771="","",IF(INDEX(ExpDep,$L771)=0,"",INDEX(ExpDep,$L771)))</f>
        <v/>
      </c>
      <c r="H771" s="19">
        <f>IF($L771="","",IF(INDEX(ExpWit,$L771)=0,"",INDEX(ExpWit,$L771)))</f>
        <v/>
      </c>
      <c r="I771" s="20">
        <f>IF($B771="","",IF($I770="",0,$I770)+IF($H771="",0,$H771)-IF($G771="",0,$G771))</f>
        <v/>
      </c>
      <c r="J771" s="18">
        <f>IF($L771="","",IF(INDEX(ExpNote,$L771)="","—",INDEX(ExpNote,$L771)))</f>
        <v/>
      </c>
      <c r="L771">
        <f>IFERROR(MATCH($C$5&amp;"|"&amp;RIGHT("000000"&amp;755,6),ExpRankKey,0),"")</f>
        <v/>
      </c>
    </row>
    <row r="772">
      <c r="A772" s="21" t="n">
        <v>756</v>
      </c>
      <c r="B772" s="22">
        <f>IF($L772="","",INDEX(ExpNorm,$L772))</f>
        <v/>
      </c>
      <c r="C772" s="22">
        <f>IF($L772="","",IF(INDEX(ExpTime,$L772)="","—",LEFT(INDEX(ExpTime,$L772),2)&amp;":"&amp;RIGHT(INDEX(ExpTime,$L772),2)))</f>
        <v/>
      </c>
      <c r="D772" s="22">
        <f>IF($L772="","",IF(INDEX(ExpBank,$L772)="","—",INDEX(ExpBank,$L772)))</f>
        <v/>
      </c>
      <c r="E772" s="23">
        <f>IF($L772="","",IF(INDEX(ExpParty,$L772)="","—",IFERROR(VLOOKUP(INDEX(ExpParty,$L772),AcctTbl,4,0),INDEX(ExpParty,$L772))))</f>
        <v/>
      </c>
      <c r="F772" s="22">
        <f>IF($L772="","",IF(INDEX(ExpType,$L772)="","—",INDEX(ExpType,$L772)))</f>
        <v/>
      </c>
      <c r="G772" s="24">
        <f>IF($L772="","",IF(INDEX(ExpDep,$L772)=0,"",INDEX(ExpDep,$L772)))</f>
        <v/>
      </c>
      <c r="H772" s="24">
        <f>IF($L772="","",IF(INDEX(ExpWit,$L772)=0,"",INDEX(ExpWit,$L772)))</f>
        <v/>
      </c>
      <c r="I772" s="25">
        <f>IF($B772="","",IF($I771="",0,$I771)+IF($H772="",0,$H772)-IF($G772="",0,$G772))</f>
        <v/>
      </c>
      <c r="J772" s="23">
        <f>IF($L772="","",IF(INDEX(ExpNote,$L772)="","—",INDEX(ExpNote,$L772)))</f>
        <v/>
      </c>
      <c r="L772">
        <f>IFERROR(MATCH($C$5&amp;"|"&amp;RIGHT("000000"&amp;756,6),ExpRankKey,0),"")</f>
        <v/>
      </c>
    </row>
    <row r="773">
      <c r="A773" s="16" t="n">
        <v>757</v>
      </c>
      <c r="B773" s="17">
        <f>IF($L773="","",INDEX(ExpNorm,$L773))</f>
        <v/>
      </c>
      <c r="C773" s="17">
        <f>IF($L773="","",IF(INDEX(ExpTime,$L773)="","—",LEFT(INDEX(ExpTime,$L773),2)&amp;":"&amp;RIGHT(INDEX(ExpTime,$L773),2)))</f>
        <v/>
      </c>
      <c r="D773" s="17">
        <f>IF($L773="","",IF(INDEX(ExpBank,$L773)="","—",INDEX(ExpBank,$L773)))</f>
        <v/>
      </c>
      <c r="E773" s="18">
        <f>IF($L773="","",IF(INDEX(ExpParty,$L773)="","—",IFERROR(VLOOKUP(INDEX(ExpParty,$L773),AcctTbl,4,0),INDEX(ExpParty,$L773))))</f>
        <v/>
      </c>
      <c r="F773" s="17">
        <f>IF($L773="","",IF(INDEX(ExpType,$L773)="","—",INDEX(ExpType,$L773)))</f>
        <v/>
      </c>
      <c r="G773" s="19">
        <f>IF($L773="","",IF(INDEX(ExpDep,$L773)=0,"",INDEX(ExpDep,$L773)))</f>
        <v/>
      </c>
      <c r="H773" s="19">
        <f>IF($L773="","",IF(INDEX(ExpWit,$L773)=0,"",INDEX(ExpWit,$L773)))</f>
        <v/>
      </c>
      <c r="I773" s="20">
        <f>IF($B773="","",IF($I772="",0,$I772)+IF($H773="",0,$H773)-IF($G773="",0,$G773))</f>
        <v/>
      </c>
      <c r="J773" s="18">
        <f>IF($L773="","",IF(INDEX(ExpNote,$L773)="","—",INDEX(ExpNote,$L773)))</f>
        <v/>
      </c>
      <c r="L773">
        <f>IFERROR(MATCH($C$5&amp;"|"&amp;RIGHT("000000"&amp;757,6),ExpRankKey,0),"")</f>
        <v/>
      </c>
    </row>
    <row r="774">
      <c r="A774" s="21" t="n">
        <v>758</v>
      </c>
      <c r="B774" s="22">
        <f>IF($L774="","",INDEX(ExpNorm,$L774))</f>
        <v/>
      </c>
      <c r="C774" s="22">
        <f>IF($L774="","",IF(INDEX(ExpTime,$L774)="","—",LEFT(INDEX(ExpTime,$L774),2)&amp;":"&amp;RIGHT(INDEX(ExpTime,$L774),2)))</f>
        <v/>
      </c>
      <c r="D774" s="22">
        <f>IF($L774="","",IF(INDEX(ExpBank,$L774)="","—",INDEX(ExpBank,$L774)))</f>
        <v/>
      </c>
      <c r="E774" s="23">
        <f>IF($L774="","",IF(INDEX(ExpParty,$L774)="","—",IFERROR(VLOOKUP(INDEX(ExpParty,$L774),AcctTbl,4,0),INDEX(ExpParty,$L774))))</f>
        <v/>
      </c>
      <c r="F774" s="22">
        <f>IF($L774="","",IF(INDEX(ExpType,$L774)="","—",INDEX(ExpType,$L774)))</f>
        <v/>
      </c>
      <c r="G774" s="24">
        <f>IF($L774="","",IF(INDEX(ExpDep,$L774)=0,"",INDEX(ExpDep,$L774)))</f>
        <v/>
      </c>
      <c r="H774" s="24">
        <f>IF($L774="","",IF(INDEX(ExpWit,$L774)=0,"",INDEX(ExpWit,$L774)))</f>
        <v/>
      </c>
      <c r="I774" s="25">
        <f>IF($B774="","",IF($I773="",0,$I773)+IF($H774="",0,$H774)-IF($G774="",0,$G774))</f>
        <v/>
      </c>
      <c r="J774" s="23">
        <f>IF($L774="","",IF(INDEX(ExpNote,$L774)="","—",INDEX(ExpNote,$L774)))</f>
        <v/>
      </c>
      <c r="L774">
        <f>IFERROR(MATCH($C$5&amp;"|"&amp;RIGHT("000000"&amp;758,6),ExpRankKey,0),"")</f>
        <v/>
      </c>
    </row>
    <row r="775">
      <c r="A775" s="16" t="n">
        <v>759</v>
      </c>
      <c r="B775" s="17">
        <f>IF($L775="","",INDEX(ExpNorm,$L775))</f>
        <v/>
      </c>
      <c r="C775" s="17">
        <f>IF($L775="","",IF(INDEX(ExpTime,$L775)="","—",LEFT(INDEX(ExpTime,$L775),2)&amp;":"&amp;RIGHT(INDEX(ExpTime,$L775),2)))</f>
        <v/>
      </c>
      <c r="D775" s="17">
        <f>IF($L775="","",IF(INDEX(ExpBank,$L775)="","—",INDEX(ExpBank,$L775)))</f>
        <v/>
      </c>
      <c r="E775" s="18">
        <f>IF($L775="","",IF(INDEX(ExpParty,$L775)="","—",IFERROR(VLOOKUP(INDEX(ExpParty,$L775),AcctTbl,4,0),INDEX(ExpParty,$L775))))</f>
        <v/>
      </c>
      <c r="F775" s="17">
        <f>IF($L775="","",IF(INDEX(ExpType,$L775)="","—",INDEX(ExpType,$L775)))</f>
        <v/>
      </c>
      <c r="G775" s="19">
        <f>IF($L775="","",IF(INDEX(ExpDep,$L775)=0,"",INDEX(ExpDep,$L775)))</f>
        <v/>
      </c>
      <c r="H775" s="19">
        <f>IF($L775="","",IF(INDEX(ExpWit,$L775)=0,"",INDEX(ExpWit,$L775)))</f>
        <v/>
      </c>
      <c r="I775" s="20">
        <f>IF($B775="","",IF($I774="",0,$I774)+IF($H775="",0,$H775)-IF($G775="",0,$G775))</f>
        <v/>
      </c>
      <c r="J775" s="18">
        <f>IF($L775="","",IF(INDEX(ExpNote,$L775)="","—",INDEX(ExpNote,$L775)))</f>
        <v/>
      </c>
      <c r="L775">
        <f>IFERROR(MATCH($C$5&amp;"|"&amp;RIGHT("000000"&amp;759,6),ExpRankKey,0),"")</f>
        <v/>
      </c>
    </row>
    <row r="776">
      <c r="A776" s="21" t="n">
        <v>760</v>
      </c>
      <c r="B776" s="22">
        <f>IF($L776="","",INDEX(ExpNorm,$L776))</f>
        <v/>
      </c>
      <c r="C776" s="22">
        <f>IF($L776="","",IF(INDEX(ExpTime,$L776)="","—",LEFT(INDEX(ExpTime,$L776),2)&amp;":"&amp;RIGHT(INDEX(ExpTime,$L776),2)))</f>
        <v/>
      </c>
      <c r="D776" s="22">
        <f>IF($L776="","",IF(INDEX(ExpBank,$L776)="","—",INDEX(ExpBank,$L776)))</f>
        <v/>
      </c>
      <c r="E776" s="23">
        <f>IF($L776="","",IF(INDEX(ExpParty,$L776)="","—",IFERROR(VLOOKUP(INDEX(ExpParty,$L776),AcctTbl,4,0),INDEX(ExpParty,$L776))))</f>
        <v/>
      </c>
      <c r="F776" s="22">
        <f>IF($L776="","",IF(INDEX(ExpType,$L776)="","—",INDEX(ExpType,$L776)))</f>
        <v/>
      </c>
      <c r="G776" s="24">
        <f>IF($L776="","",IF(INDEX(ExpDep,$L776)=0,"",INDEX(ExpDep,$L776)))</f>
        <v/>
      </c>
      <c r="H776" s="24">
        <f>IF($L776="","",IF(INDEX(ExpWit,$L776)=0,"",INDEX(ExpWit,$L776)))</f>
        <v/>
      </c>
      <c r="I776" s="25">
        <f>IF($B776="","",IF($I775="",0,$I775)+IF($H776="",0,$H776)-IF($G776="",0,$G776))</f>
        <v/>
      </c>
      <c r="J776" s="23">
        <f>IF($L776="","",IF(INDEX(ExpNote,$L776)="","—",INDEX(ExpNote,$L776)))</f>
        <v/>
      </c>
      <c r="L776">
        <f>IFERROR(MATCH($C$5&amp;"|"&amp;RIGHT("000000"&amp;760,6),ExpRankKey,0),"")</f>
        <v/>
      </c>
    </row>
    <row r="777">
      <c r="A777" s="16" t="n">
        <v>761</v>
      </c>
      <c r="B777" s="17">
        <f>IF($L777="","",INDEX(ExpNorm,$L777))</f>
        <v/>
      </c>
      <c r="C777" s="17">
        <f>IF($L777="","",IF(INDEX(ExpTime,$L777)="","—",LEFT(INDEX(ExpTime,$L777),2)&amp;":"&amp;RIGHT(INDEX(ExpTime,$L777),2)))</f>
        <v/>
      </c>
      <c r="D777" s="17">
        <f>IF($L777="","",IF(INDEX(ExpBank,$L777)="","—",INDEX(ExpBank,$L777)))</f>
        <v/>
      </c>
      <c r="E777" s="18">
        <f>IF($L777="","",IF(INDEX(ExpParty,$L777)="","—",IFERROR(VLOOKUP(INDEX(ExpParty,$L777),AcctTbl,4,0),INDEX(ExpParty,$L777))))</f>
        <v/>
      </c>
      <c r="F777" s="17">
        <f>IF($L777="","",IF(INDEX(ExpType,$L777)="","—",INDEX(ExpType,$L777)))</f>
        <v/>
      </c>
      <c r="G777" s="19">
        <f>IF($L777="","",IF(INDEX(ExpDep,$L777)=0,"",INDEX(ExpDep,$L777)))</f>
        <v/>
      </c>
      <c r="H777" s="19">
        <f>IF($L777="","",IF(INDEX(ExpWit,$L777)=0,"",INDEX(ExpWit,$L777)))</f>
        <v/>
      </c>
      <c r="I777" s="20">
        <f>IF($B777="","",IF($I776="",0,$I776)+IF($H777="",0,$H777)-IF($G777="",0,$G777))</f>
        <v/>
      </c>
      <c r="J777" s="18">
        <f>IF($L777="","",IF(INDEX(ExpNote,$L777)="","—",INDEX(ExpNote,$L777)))</f>
        <v/>
      </c>
      <c r="L777">
        <f>IFERROR(MATCH($C$5&amp;"|"&amp;RIGHT("000000"&amp;761,6),ExpRankKey,0),"")</f>
        <v/>
      </c>
    </row>
    <row r="778">
      <c r="A778" s="21" t="n">
        <v>762</v>
      </c>
      <c r="B778" s="22">
        <f>IF($L778="","",INDEX(ExpNorm,$L778))</f>
        <v/>
      </c>
      <c r="C778" s="22">
        <f>IF($L778="","",IF(INDEX(ExpTime,$L778)="","—",LEFT(INDEX(ExpTime,$L778),2)&amp;":"&amp;RIGHT(INDEX(ExpTime,$L778),2)))</f>
        <v/>
      </c>
      <c r="D778" s="22">
        <f>IF($L778="","",IF(INDEX(ExpBank,$L778)="","—",INDEX(ExpBank,$L778)))</f>
        <v/>
      </c>
      <c r="E778" s="23">
        <f>IF($L778="","",IF(INDEX(ExpParty,$L778)="","—",IFERROR(VLOOKUP(INDEX(ExpParty,$L778),AcctTbl,4,0),INDEX(ExpParty,$L778))))</f>
        <v/>
      </c>
      <c r="F778" s="22">
        <f>IF($L778="","",IF(INDEX(ExpType,$L778)="","—",INDEX(ExpType,$L778)))</f>
        <v/>
      </c>
      <c r="G778" s="24">
        <f>IF($L778="","",IF(INDEX(ExpDep,$L778)=0,"",INDEX(ExpDep,$L778)))</f>
        <v/>
      </c>
      <c r="H778" s="24">
        <f>IF($L778="","",IF(INDEX(ExpWit,$L778)=0,"",INDEX(ExpWit,$L778)))</f>
        <v/>
      </c>
      <c r="I778" s="25">
        <f>IF($B778="","",IF($I777="",0,$I777)+IF($H778="",0,$H778)-IF($G778="",0,$G778))</f>
        <v/>
      </c>
      <c r="J778" s="23">
        <f>IF($L778="","",IF(INDEX(ExpNote,$L778)="","—",INDEX(ExpNote,$L778)))</f>
        <v/>
      </c>
      <c r="L778">
        <f>IFERROR(MATCH($C$5&amp;"|"&amp;RIGHT("000000"&amp;762,6),ExpRankKey,0),"")</f>
        <v/>
      </c>
    </row>
    <row r="779">
      <c r="A779" s="16" t="n">
        <v>763</v>
      </c>
      <c r="B779" s="17">
        <f>IF($L779="","",INDEX(ExpNorm,$L779))</f>
        <v/>
      </c>
      <c r="C779" s="17">
        <f>IF($L779="","",IF(INDEX(ExpTime,$L779)="","—",LEFT(INDEX(ExpTime,$L779),2)&amp;":"&amp;RIGHT(INDEX(ExpTime,$L779),2)))</f>
        <v/>
      </c>
      <c r="D779" s="17">
        <f>IF($L779="","",IF(INDEX(ExpBank,$L779)="","—",INDEX(ExpBank,$L779)))</f>
        <v/>
      </c>
      <c r="E779" s="18">
        <f>IF($L779="","",IF(INDEX(ExpParty,$L779)="","—",IFERROR(VLOOKUP(INDEX(ExpParty,$L779),AcctTbl,4,0),INDEX(ExpParty,$L779))))</f>
        <v/>
      </c>
      <c r="F779" s="17">
        <f>IF($L779="","",IF(INDEX(ExpType,$L779)="","—",INDEX(ExpType,$L779)))</f>
        <v/>
      </c>
      <c r="G779" s="19">
        <f>IF($L779="","",IF(INDEX(ExpDep,$L779)=0,"",INDEX(ExpDep,$L779)))</f>
        <v/>
      </c>
      <c r="H779" s="19">
        <f>IF($L779="","",IF(INDEX(ExpWit,$L779)=0,"",INDEX(ExpWit,$L779)))</f>
        <v/>
      </c>
      <c r="I779" s="20">
        <f>IF($B779="","",IF($I778="",0,$I778)+IF($H779="",0,$H779)-IF($G779="",0,$G779))</f>
        <v/>
      </c>
      <c r="J779" s="18">
        <f>IF($L779="","",IF(INDEX(ExpNote,$L779)="","—",INDEX(ExpNote,$L779)))</f>
        <v/>
      </c>
      <c r="L779">
        <f>IFERROR(MATCH($C$5&amp;"|"&amp;RIGHT("000000"&amp;763,6),ExpRankKey,0),"")</f>
        <v/>
      </c>
    </row>
    <row r="780">
      <c r="A780" s="21" t="n">
        <v>764</v>
      </c>
      <c r="B780" s="22">
        <f>IF($L780="","",INDEX(ExpNorm,$L780))</f>
        <v/>
      </c>
      <c r="C780" s="22">
        <f>IF($L780="","",IF(INDEX(ExpTime,$L780)="","—",LEFT(INDEX(ExpTime,$L780),2)&amp;":"&amp;RIGHT(INDEX(ExpTime,$L780),2)))</f>
        <v/>
      </c>
      <c r="D780" s="22">
        <f>IF($L780="","",IF(INDEX(ExpBank,$L780)="","—",INDEX(ExpBank,$L780)))</f>
        <v/>
      </c>
      <c r="E780" s="23">
        <f>IF($L780="","",IF(INDEX(ExpParty,$L780)="","—",IFERROR(VLOOKUP(INDEX(ExpParty,$L780),AcctTbl,4,0),INDEX(ExpParty,$L780))))</f>
        <v/>
      </c>
      <c r="F780" s="22">
        <f>IF($L780="","",IF(INDEX(ExpType,$L780)="","—",INDEX(ExpType,$L780)))</f>
        <v/>
      </c>
      <c r="G780" s="24">
        <f>IF($L780="","",IF(INDEX(ExpDep,$L780)=0,"",INDEX(ExpDep,$L780)))</f>
        <v/>
      </c>
      <c r="H780" s="24">
        <f>IF($L780="","",IF(INDEX(ExpWit,$L780)=0,"",INDEX(ExpWit,$L780)))</f>
        <v/>
      </c>
      <c r="I780" s="25">
        <f>IF($B780="","",IF($I779="",0,$I779)+IF($H780="",0,$H780)-IF($G780="",0,$G780))</f>
        <v/>
      </c>
      <c r="J780" s="23">
        <f>IF($L780="","",IF(INDEX(ExpNote,$L780)="","—",INDEX(ExpNote,$L780)))</f>
        <v/>
      </c>
      <c r="L780">
        <f>IFERROR(MATCH($C$5&amp;"|"&amp;RIGHT("000000"&amp;764,6),ExpRankKey,0),"")</f>
        <v/>
      </c>
    </row>
    <row r="781">
      <c r="A781" s="16" t="n">
        <v>765</v>
      </c>
      <c r="B781" s="17">
        <f>IF($L781="","",INDEX(ExpNorm,$L781))</f>
        <v/>
      </c>
      <c r="C781" s="17">
        <f>IF($L781="","",IF(INDEX(ExpTime,$L781)="","—",LEFT(INDEX(ExpTime,$L781),2)&amp;":"&amp;RIGHT(INDEX(ExpTime,$L781),2)))</f>
        <v/>
      </c>
      <c r="D781" s="17">
        <f>IF($L781="","",IF(INDEX(ExpBank,$L781)="","—",INDEX(ExpBank,$L781)))</f>
        <v/>
      </c>
      <c r="E781" s="18">
        <f>IF($L781="","",IF(INDEX(ExpParty,$L781)="","—",IFERROR(VLOOKUP(INDEX(ExpParty,$L781),AcctTbl,4,0),INDEX(ExpParty,$L781))))</f>
        <v/>
      </c>
      <c r="F781" s="17">
        <f>IF($L781="","",IF(INDEX(ExpType,$L781)="","—",INDEX(ExpType,$L781)))</f>
        <v/>
      </c>
      <c r="G781" s="19">
        <f>IF($L781="","",IF(INDEX(ExpDep,$L781)=0,"",INDEX(ExpDep,$L781)))</f>
        <v/>
      </c>
      <c r="H781" s="19">
        <f>IF($L781="","",IF(INDEX(ExpWit,$L781)=0,"",INDEX(ExpWit,$L781)))</f>
        <v/>
      </c>
      <c r="I781" s="20">
        <f>IF($B781="","",IF($I780="",0,$I780)+IF($H781="",0,$H781)-IF($G781="",0,$G781))</f>
        <v/>
      </c>
      <c r="J781" s="18">
        <f>IF($L781="","",IF(INDEX(ExpNote,$L781)="","—",INDEX(ExpNote,$L781)))</f>
        <v/>
      </c>
      <c r="L781">
        <f>IFERROR(MATCH($C$5&amp;"|"&amp;RIGHT("000000"&amp;765,6),ExpRankKey,0),"")</f>
        <v/>
      </c>
    </row>
    <row r="782">
      <c r="A782" s="21" t="n">
        <v>766</v>
      </c>
      <c r="B782" s="22">
        <f>IF($L782="","",INDEX(ExpNorm,$L782))</f>
        <v/>
      </c>
      <c r="C782" s="22">
        <f>IF($L782="","",IF(INDEX(ExpTime,$L782)="","—",LEFT(INDEX(ExpTime,$L782),2)&amp;":"&amp;RIGHT(INDEX(ExpTime,$L782),2)))</f>
        <v/>
      </c>
      <c r="D782" s="22">
        <f>IF($L782="","",IF(INDEX(ExpBank,$L782)="","—",INDEX(ExpBank,$L782)))</f>
        <v/>
      </c>
      <c r="E782" s="23">
        <f>IF($L782="","",IF(INDEX(ExpParty,$L782)="","—",IFERROR(VLOOKUP(INDEX(ExpParty,$L782),AcctTbl,4,0),INDEX(ExpParty,$L782))))</f>
        <v/>
      </c>
      <c r="F782" s="22">
        <f>IF($L782="","",IF(INDEX(ExpType,$L782)="","—",INDEX(ExpType,$L782)))</f>
        <v/>
      </c>
      <c r="G782" s="24">
        <f>IF($L782="","",IF(INDEX(ExpDep,$L782)=0,"",INDEX(ExpDep,$L782)))</f>
        <v/>
      </c>
      <c r="H782" s="24">
        <f>IF($L782="","",IF(INDEX(ExpWit,$L782)=0,"",INDEX(ExpWit,$L782)))</f>
        <v/>
      </c>
      <c r="I782" s="25">
        <f>IF($B782="","",IF($I781="",0,$I781)+IF($H782="",0,$H782)-IF($G782="",0,$G782))</f>
        <v/>
      </c>
      <c r="J782" s="23">
        <f>IF($L782="","",IF(INDEX(ExpNote,$L782)="","—",INDEX(ExpNote,$L782)))</f>
        <v/>
      </c>
      <c r="L782">
        <f>IFERROR(MATCH($C$5&amp;"|"&amp;RIGHT("000000"&amp;766,6),ExpRankKey,0),"")</f>
        <v/>
      </c>
    </row>
    <row r="783">
      <c r="A783" s="16" t="n">
        <v>767</v>
      </c>
      <c r="B783" s="17">
        <f>IF($L783="","",INDEX(ExpNorm,$L783))</f>
        <v/>
      </c>
      <c r="C783" s="17">
        <f>IF($L783="","",IF(INDEX(ExpTime,$L783)="","—",LEFT(INDEX(ExpTime,$L783),2)&amp;":"&amp;RIGHT(INDEX(ExpTime,$L783),2)))</f>
        <v/>
      </c>
      <c r="D783" s="17">
        <f>IF($L783="","",IF(INDEX(ExpBank,$L783)="","—",INDEX(ExpBank,$L783)))</f>
        <v/>
      </c>
      <c r="E783" s="18">
        <f>IF($L783="","",IF(INDEX(ExpParty,$L783)="","—",IFERROR(VLOOKUP(INDEX(ExpParty,$L783),AcctTbl,4,0),INDEX(ExpParty,$L783))))</f>
        <v/>
      </c>
      <c r="F783" s="17">
        <f>IF($L783="","",IF(INDEX(ExpType,$L783)="","—",INDEX(ExpType,$L783)))</f>
        <v/>
      </c>
      <c r="G783" s="19">
        <f>IF($L783="","",IF(INDEX(ExpDep,$L783)=0,"",INDEX(ExpDep,$L783)))</f>
        <v/>
      </c>
      <c r="H783" s="19">
        <f>IF($L783="","",IF(INDEX(ExpWit,$L783)=0,"",INDEX(ExpWit,$L783)))</f>
        <v/>
      </c>
      <c r="I783" s="20">
        <f>IF($B783="","",IF($I782="",0,$I782)+IF($H783="",0,$H783)-IF($G783="",0,$G783))</f>
        <v/>
      </c>
      <c r="J783" s="18">
        <f>IF($L783="","",IF(INDEX(ExpNote,$L783)="","—",INDEX(ExpNote,$L783)))</f>
        <v/>
      </c>
      <c r="L783">
        <f>IFERROR(MATCH($C$5&amp;"|"&amp;RIGHT("000000"&amp;767,6),ExpRankKey,0),"")</f>
        <v/>
      </c>
    </row>
    <row r="784">
      <c r="A784" s="21" t="n">
        <v>768</v>
      </c>
      <c r="B784" s="22">
        <f>IF($L784="","",INDEX(ExpNorm,$L784))</f>
        <v/>
      </c>
      <c r="C784" s="22">
        <f>IF($L784="","",IF(INDEX(ExpTime,$L784)="","—",LEFT(INDEX(ExpTime,$L784),2)&amp;":"&amp;RIGHT(INDEX(ExpTime,$L784),2)))</f>
        <v/>
      </c>
      <c r="D784" s="22">
        <f>IF($L784="","",IF(INDEX(ExpBank,$L784)="","—",INDEX(ExpBank,$L784)))</f>
        <v/>
      </c>
      <c r="E784" s="23">
        <f>IF($L784="","",IF(INDEX(ExpParty,$L784)="","—",IFERROR(VLOOKUP(INDEX(ExpParty,$L784),AcctTbl,4,0),INDEX(ExpParty,$L784))))</f>
        <v/>
      </c>
      <c r="F784" s="22">
        <f>IF($L784="","",IF(INDEX(ExpType,$L784)="","—",INDEX(ExpType,$L784)))</f>
        <v/>
      </c>
      <c r="G784" s="24">
        <f>IF($L784="","",IF(INDEX(ExpDep,$L784)=0,"",INDEX(ExpDep,$L784)))</f>
        <v/>
      </c>
      <c r="H784" s="24">
        <f>IF($L784="","",IF(INDEX(ExpWit,$L784)=0,"",INDEX(ExpWit,$L784)))</f>
        <v/>
      </c>
      <c r="I784" s="25">
        <f>IF($B784="","",IF($I783="",0,$I783)+IF($H784="",0,$H784)-IF($G784="",0,$G784))</f>
        <v/>
      </c>
      <c r="J784" s="23">
        <f>IF($L784="","",IF(INDEX(ExpNote,$L784)="","—",INDEX(ExpNote,$L784)))</f>
        <v/>
      </c>
      <c r="L784">
        <f>IFERROR(MATCH($C$5&amp;"|"&amp;RIGHT("000000"&amp;768,6),ExpRankKey,0),"")</f>
        <v/>
      </c>
    </row>
    <row r="785">
      <c r="A785" s="16" t="n">
        <v>769</v>
      </c>
      <c r="B785" s="17">
        <f>IF($L785="","",INDEX(ExpNorm,$L785))</f>
        <v/>
      </c>
      <c r="C785" s="17">
        <f>IF($L785="","",IF(INDEX(ExpTime,$L785)="","—",LEFT(INDEX(ExpTime,$L785),2)&amp;":"&amp;RIGHT(INDEX(ExpTime,$L785),2)))</f>
        <v/>
      </c>
      <c r="D785" s="17">
        <f>IF($L785="","",IF(INDEX(ExpBank,$L785)="","—",INDEX(ExpBank,$L785)))</f>
        <v/>
      </c>
      <c r="E785" s="18">
        <f>IF($L785="","",IF(INDEX(ExpParty,$L785)="","—",IFERROR(VLOOKUP(INDEX(ExpParty,$L785),AcctTbl,4,0),INDEX(ExpParty,$L785))))</f>
        <v/>
      </c>
      <c r="F785" s="17">
        <f>IF($L785="","",IF(INDEX(ExpType,$L785)="","—",INDEX(ExpType,$L785)))</f>
        <v/>
      </c>
      <c r="G785" s="19">
        <f>IF($L785="","",IF(INDEX(ExpDep,$L785)=0,"",INDEX(ExpDep,$L785)))</f>
        <v/>
      </c>
      <c r="H785" s="19">
        <f>IF($L785="","",IF(INDEX(ExpWit,$L785)=0,"",INDEX(ExpWit,$L785)))</f>
        <v/>
      </c>
      <c r="I785" s="20">
        <f>IF($B785="","",IF($I784="",0,$I784)+IF($H785="",0,$H785)-IF($G785="",0,$G785))</f>
        <v/>
      </c>
      <c r="J785" s="18">
        <f>IF($L785="","",IF(INDEX(ExpNote,$L785)="","—",INDEX(ExpNote,$L785)))</f>
        <v/>
      </c>
      <c r="L785">
        <f>IFERROR(MATCH($C$5&amp;"|"&amp;RIGHT("000000"&amp;769,6),ExpRankKey,0),"")</f>
        <v/>
      </c>
    </row>
    <row r="786">
      <c r="A786" s="21" t="n">
        <v>770</v>
      </c>
      <c r="B786" s="22">
        <f>IF($L786="","",INDEX(ExpNorm,$L786))</f>
        <v/>
      </c>
      <c r="C786" s="22">
        <f>IF($L786="","",IF(INDEX(ExpTime,$L786)="","—",LEFT(INDEX(ExpTime,$L786),2)&amp;":"&amp;RIGHT(INDEX(ExpTime,$L786),2)))</f>
        <v/>
      </c>
      <c r="D786" s="22">
        <f>IF($L786="","",IF(INDEX(ExpBank,$L786)="","—",INDEX(ExpBank,$L786)))</f>
        <v/>
      </c>
      <c r="E786" s="23">
        <f>IF($L786="","",IF(INDEX(ExpParty,$L786)="","—",IFERROR(VLOOKUP(INDEX(ExpParty,$L786),AcctTbl,4,0),INDEX(ExpParty,$L786))))</f>
        <v/>
      </c>
      <c r="F786" s="22">
        <f>IF($L786="","",IF(INDEX(ExpType,$L786)="","—",INDEX(ExpType,$L786)))</f>
        <v/>
      </c>
      <c r="G786" s="24">
        <f>IF($L786="","",IF(INDEX(ExpDep,$L786)=0,"",INDEX(ExpDep,$L786)))</f>
        <v/>
      </c>
      <c r="H786" s="24">
        <f>IF($L786="","",IF(INDEX(ExpWit,$L786)=0,"",INDEX(ExpWit,$L786)))</f>
        <v/>
      </c>
      <c r="I786" s="25">
        <f>IF($B786="","",IF($I785="",0,$I785)+IF($H786="",0,$H786)-IF($G786="",0,$G786))</f>
        <v/>
      </c>
      <c r="J786" s="23">
        <f>IF($L786="","",IF(INDEX(ExpNote,$L786)="","—",INDEX(ExpNote,$L786)))</f>
        <v/>
      </c>
      <c r="L786">
        <f>IFERROR(MATCH($C$5&amp;"|"&amp;RIGHT("000000"&amp;770,6),ExpRankKey,0),"")</f>
        <v/>
      </c>
    </row>
    <row r="787">
      <c r="A787" s="16" t="n">
        <v>771</v>
      </c>
      <c r="B787" s="17">
        <f>IF($L787="","",INDEX(ExpNorm,$L787))</f>
        <v/>
      </c>
      <c r="C787" s="17">
        <f>IF($L787="","",IF(INDEX(ExpTime,$L787)="","—",LEFT(INDEX(ExpTime,$L787),2)&amp;":"&amp;RIGHT(INDEX(ExpTime,$L787),2)))</f>
        <v/>
      </c>
      <c r="D787" s="17">
        <f>IF($L787="","",IF(INDEX(ExpBank,$L787)="","—",INDEX(ExpBank,$L787)))</f>
        <v/>
      </c>
      <c r="E787" s="18">
        <f>IF($L787="","",IF(INDEX(ExpParty,$L787)="","—",IFERROR(VLOOKUP(INDEX(ExpParty,$L787),AcctTbl,4,0),INDEX(ExpParty,$L787))))</f>
        <v/>
      </c>
      <c r="F787" s="17">
        <f>IF($L787="","",IF(INDEX(ExpType,$L787)="","—",INDEX(ExpType,$L787)))</f>
        <v/>
      </c>
      <c r="G787" s="19">
        <f>IF($L787="","",IF(INDEX(ExpDep,$L787)=0,"",INDEX(ExpDep,$L787)))</f>
        <v/>
      </c>
      <c r="H787" s="19">
        <f>IF($L787="","",IF(INDEX(ExpWit,$L787)=0,"",INDEX(ExpWit,$L787)))</f>
        <v/>
      </c>
      <c r="I787" s="20">
        <f>IF($B787="","",IF($I786="",0,$I786)+IF($H787="",0,$H787)-IF($G787="",0,$G787))</f>
        <v/>
      </c>
      <c r="J787" s="18">
        <f>IF($L787="","",IF(INDEX(ExpNote,$L787)="","—",INDEX(ExpNote,$L787)))</f>
        <v/>
      </c>
      <c r="L787">
        <f>IFERROR(MATCH($C$5&amp;"|"&amp;RIGHT("000000"&amp;771,6),ExpRankKey,0),"")</f>
        <v/>
      </c>
    </row>
    <row r="788">
      <c r="A788" s="21" t="n">
        <v>772</v>
      </c>
      <c r="B788" s="22">
        <f>IF($L788="","",INDEX(ExpNorm,$L788))</f>
        <v/>
      </c>
      <c r="C788" s="22">
        <f>IF($L788="","",IF(INDEX(ExpTime,$L788)="","—",LEFT(INDEX(ExpTime,$L788),2)&amp;":"&amp;RIGHT(INDEX(ExpTime,$L788),2)))</f>
        <v/>
      </c>
      <c r="D788" s="22">
        <f>IF($L788="","",IF(INDEX(ExpBank,$L788)="","—",INDEX(ExpBank,$L788)))</f>
        <v/>
      </c>
      <c r="E788" s="23">
        <f>IF($L788="","",IF(INDEX(ExpParty,$L788)="","—",IFERROR(VLOOKUP(INDEX(ExpParty,$L788),AcctTbl,4,0),INDEX(ExpParty,$L788))))</f>
        <v/>
      </c>
      <c r="F788" s="22">
        <f>IF($L788="","",IF(INDEX(ExpType,$L788)="","—",INDEX(ExpType,$L788)))</f>
        <v/>
      </c>
      <c r="G788" s="24">
        <f>IF($L788="","",IF(INDEX(ExpDep,$L788)=0,"",INDEX(ExpDep,$L788)))</f>
        <v/>
      </c>
      <c r="H788" s="24">
        <f>IF($L788="","",IF(INDEX(ExpWit,$L788)=0,"",INDEX(ExpWit,$L788)))</f>
        <v/>
      </c>
      <c r="I788" s="25">
        <f>IF($B788="","",IF($I787="",0,$I787)+IF($H788="",0,$H788)-IF($G788="",0,$G788))</f>
        <v/>
      </c>
      <c r="J788" s="23">
        <f>IF($L788="","",IF(INDEX(ExpNote,$L788)="","—",INDEX(ExpNote,$L788)))</f>
        <v/>
      </c>
      <c r="L788">
        <f>IFERROR(MATCH($C$5&amp;"|"&amp;RIGHT("000000"&amp;772,6),ExpRankKey,0),"")</f>
        <v/>
      </c>
    </row>
    <row r="789">
      <c r="A789" s="16" t="n">
        <v>773</v>
      </c>
      <c r="B789" s="17">
        <f>IF($L789="","",INDEX(ExpNorm,$L789))</f>
        <v/>
      </c>
      <c r="C789" s="17">
        <f>IF($L789="","",IF(INDEX(ExpTime,$L789)="","—",LEFT(INDEX(ExpTime,$L789),2)&amp;":"&amp;RIGHT(INDEX(ExpTime,$L789),2)))</f>
        <v/>
      </c>
      <c r="D789" s="17">
        <f>IF($L789="","",IF(INDEX(ExpBank,$L789)="","—",INDEX(ExpBank,$L789)))</f>
        <v/>
      </c>
      <c r="E789" s="18">
        <f>IF($L789="","",IF(INDEX(ExpParty,$L789)="","—",IFERROR(VLOOKUP(INDEX(ExpParty,$L789),AcctTbl,4,0),INDEX(ExpParty,$L789))))</f>
        <v/>
      </c>
      <c r="F789" s="17">
        <f>IF($L789="","",IF(INDEX(ExpType,$L789)="","—",INDEX(ExpType,$L789)))</f>
        <v/>
      </c>
      <c r="G789" s="19">
        <f>IF($L789="","",IF(INDEX(ExpDep,$L789)=0,"",INDEX(ExpDep,$L789)))</f>
        <v/>
      </c>
      <c r="H789" s="19">
        <f>IF($L789="","",IF(INDEX(ExpWit,$L789)=0,"",INDEX(ExpWit,$L789)))</f>
        <v/>
      </c>
      <c r="I789" s="20">
        <f>IF($B789="","",IF($I788="",0,$I788)+IF($H789="",0,$H789)-IF($G789="",0,$G789))</f>
        <v/>
      </c>
      <c r="J789" s="18">
        <f>IF($L789="","",IF(INDEX(ExpNote,$L789)="","—",INDEX(ExpNote,$L789)))</f>
        <v/>
      </c>
      <c r="L789">
        <f>IFERROR(MATCH($C$5&amp;"|"&amp;RIGHT("000000"&amp;773,6),ExpRankKey,0),"")</f>
        <v/>
      </c>
    </row>
    <row r="790">
      <c r="A790" s="21" t="n">
        <v>774</v>
      </c>
      <c r="B790" s="22">
        <f>IF($L790="","",INDEX(ExpNorm,$L790))</f>
        <v/>
      </c>
      <c r="C790" s="22">
        <f>IF($L790="","",IF(INDEX(ExpTime,$L790)="","—",LEFT(INDEX(ExpTime,$L790),2)&amp;":"&amp;RIGHT(INDEX(ExpTime,$L790),2)))</f>
        <v/>
      </c>
      <c r="D790" s="22">
        <f>IF($L790="","",IF(INDEX(ExpBank,$L790)="","—",INDEX(ExpBank,$L790)))</f>
        <v/>
      </c>
      <c r="E790" s="23">
        <f>IF($L790="","",IF(INDEX(ExpParty,$L790)="","—",IFERROR(VLOOKUP(INDEX(ExpParty,$L790),AcctTbl,4,0),INDEX(ExpParty,$L790))))</f>
        <v/>
      </c>
      <c r="F790" s="22">
        <f>IF($L790="","",IF(INDEX(ExpType,$L790)="","—",INDEX(ExpType,$L790)))</f>
        <v/>
      </c>
      <c r="G790" s="24">
        <f>IF($L790="","",IF(INDEX(ExpDep,$L790)=0,"",INDEX(ExpDep,$L790)))</f>
        <v/>
      </c>
      <c r="H790" s="24">
        <f>IF($L790="","",IF(INDEX(ExpWit,$L790)=0,"",INDEX(ExpWit,$L790)))</f>
        <v/>
      </c>
      <c r="I790" s="25">
        <f>IF($B790="","",IF($I789="",0,$I789)+IF($H790="",0,$H790)-IF($G790="",0,$G790))</f>
        <v/>
      </c>
      <c r="J790" s="23">
        <f>IF($L790="","",IF(INDEX(ExpNote,$L790)="","—",INDEX(ExpNote,$L790)))</f>
        <v/>
      </c>
      <c r="L790">
        <f>IFERROR(MATCH($C$5&amp;"|"&amp;RIGHT("000000"&amp;774,6),ExpRankKey,0),"")</f>
        <v/>
      </c>
    </row>
    <row r="791">
      <c r="A791" s="16" t="n">
        <v>775</v>
      </c>
      <c r="B791" s="17">
        <f>IF($L791="","",INDEX(ExpNorm,$L791))</f>
        <v/>
      </c>
      <c r="C791" s="17">
        <f>IF($L791="","",IF(INDEX(ExpTime,$L791)="","—",LEFT(INDEX(ExpTime,$L791),2)&amp;":"&amp;RIGHT(INDEX(ExpTime,$L791),2)))</f>
        <v/>
      </c>
      <c r="D791" s="17">
        <f>IF($L791="","",IF(INDEX(ExpBank,$L791)="","—",INDEX(ExpBank,$L791)))</f>
        <v/>
      </c>
      <c r="E791" s="18">
        <f>IF($L791="","",IF(INDEX(ExpParty,$L791)="","—",IFERROR(VLOOKUP(INDEX(ExpParty,$L791),AcctTbl,4,0),INDEX(ExpParty,$L791))))</f>
        <v/>
      </c>
      <c r="F791" s="17">
        <f>IF($L791="","",IF(INDEX(ExpType,$L791)="","—",INDEX(ExpType,$L791)))</f>
        <v/>
      </c>
      <c r="G791" s="19">
        <f>IF($L791="","",IF(INDEX(ExpDep,$L791)=0,"",INDEX(ExpDep,$L791)))</f>
        <v/>
      </c>
      <c r="H791" s="19">
        <f>IF($L791="","",IF(INDEX(ExpWit,$L791)=0,"",INDEX(ExpWit,$L791)))</f>
        <v/>
      </c>
      <c r="I791" s="20">
        <f>IF($B791="","",IF($I790="",0,$I790)+IF($H791="",0,$H791)-IF($G791="",0,$G791))</f>
        <v/>
      </c>
      <c r="J791" s="18">
        <f>IF($L791="","",IF(INDEX(ExpNote,$L791)="","—",INDEX(ExpNote,$L791)))</f>
        <v/>
      </c>
      <c r="L791">
        <f>IFERROR(MATCH($C$5&amp;"|"&amp;RIGHT("000000"&amp;775,6),ExpRankKey,0),"")</f>
        <v/>
      </c>
    </row>
    <row r="792">
      <c r="A792" s="21" t="n">
        <v>776</v>
      </c>
      <c r="B792" s="22">
        <f>IF($L792="","",INDEX(ExpNorm,$L792))</f>
        <v/>
      </c>
      <c r="C792" s="22">
        <f>IF($L792="","",IF(INDEX(ExpTime,$L792)="","—",LEFT(INDEX(ExpTime,$L792),2)&amp;":"&amp;RIGHT(INDEX(ExpTime,$L792),2)))</f>
        <v/>
      </c>
      <c r="D792" s="22">
        <f>IF($L792="","",IF(INDEX(ExpBank,$L792)="","—",INDEX(ExpBank,$L792)))</f>
        <v/>
      </c>
      <c r="E792" s="23">
        <f>IF($L792="","",IF(INDEX(ExpParty,$L792)="","—",IFERROR(VLOOKUP(INDEX(ExpParty,$L792),AcctTbl,4,0),INDEX(ExpParty,$L792))))</f>
        <v/>
      </c>
      <c r="F792" s="22">
        <f>IF($L792="","",IF(INDEX(ExpType,$L792)="","—",INDEX(ExpType,$L792)))</f>
        <v/>
      </c>
      <c r="G792" s="24">
        <f>IF($L792="","",IF(INDEX(ExpDep,$L792)=0,"",INDEX(ExpDep,$L792)))</f>
        <v/>
      </c>
      <c r="H792" s="24">
        <f>IF($L792="","",IF(INDEX(ExpWit,$L792)=0,"",INDEX(ExpWit,$L792)))</f>
        <v/>
      </c>
      <c r="I792" s="25">
        <f>IF($B792="","",IF($I791="",0,$I791)+IF($H792="",0,$H792)-IF($G792="",0,$G792))</f>
        <v/>
      </c>
      <c r="J792" s="23">
        <f>IF($L792="","",IF(INDEX(ExpNote,$L792)="","—",INDEX(ExpNote,$L792)))</f>
        <v/>
      </c>
      <c r="L792">
        <f>IFERROR(MATCH($C$5&amp;"|"&amp;RIGHT("000000"&amp;776,6),ExpRankKey,0),"")</f>
        <v/>
      </c>
    </row>
    <row r="793">
      <c r="A793" s="16" t="n">
        <v>777</v>
      </c>
      <c r="B793" s="17">
        <f>IF($L793="","",INDEX(ExpNorm,$L793))</f>
        <v/>
      </c>
      <c r="C793" s="17">
        <f>IF($L793="","",IF(INDEX(ExpTime,$L793)="","—",LEFT(INDEX(ExpTime,$L793),2)&amp;":"&amp;RIGHT(INDEX(ExpTime,$L793),2)))</f>
        <v/>
      </c>
      <c r="D793" s="17">
        <f>IF($L793="","",IF(INDEX(ExpBank,$L793)="","—",INDEX(ExpBank,$L793)))</f>
        <v/>
      </c>
      <c r="E793" s="18">
        <f>IF($L793="","",IF(INDEX(ExpParty,$L793)="","—",IFERROR(VLOOKUP(INDEX(ExpParty,$L793),AcctTbl,4,0),INDEX(ExpParty,$L793))))</f>
        <v/>
      </c>
      <c r="F793" s="17">
        <f>IF($L793="","",IF(INDEX(ExpType,$L793)="","—",INDEX(ExpType,$L793)))</f>
        <v/>
      </c>
      <c r="G793" s="19">
        <f>IF($L793="","",IF(INDEX(ExpDep,$L793)=0,"",INDEX(ExpDep,$L793)))</f>
        <v/>
      </c>
      <c r="H793" s="19">
        <f>IF($L793="","",IF(INDEX(ExpWit,$L793)=0,"",INDEX(ExpWit,$L793)))</f>
        <v/>
      </c>
      <c r="I793" s="20">
        <f>IF($B793="","",IF($I792="",0,$I792)+IF($H793="",0,$H793)-IF($G793="",0,$G793))</f>
        <v/>
      </c>
      <c r="J793" s="18">
        <f>IF($L793="","",IF(INDEX(ExpNote,$L793)="","—",INDEX(ExpNote,$L793)))</f>
        <v/>
      </c>
      <c r="L793">
        <f>IFERROR(MATCH($C$5&amp;"|"&amp;RIGHT("000000"&amp;777,6),ExpRankKey,0),"")</f>
        <v/>
      </c>
    </row>
    <row r="794">
      <c r="A794" s="21" t="n">
        <v>778</v>
      </c>
      <c r="B794" s="22">
        <f>IF($L794="","",INDEX(ExpNorm,$L794))</f>
        <v/>
      </c>
      <c r="C794" s="22">
        <f>IF($L794="","",IF(INDEX(ExpTime,$L794)="","—",LEFT(INDEX(ExpTime,$L794),2)&amp;":"&amp;RIGHT(INDEX(ExpTime,$L794),2)))</f>
        <v/>
      </c>
      <c r="D794" s="22">
        <f>IF($L794="","",IF(INDEX(ExpBank,$L794)="","—",INDEX(ExpBank,$L794)))</f>
        <v/>
      </c>
      <c r="E794" s="23">
        <f>IF($L794="","",IF(INDEX(ExpParty,$L794)="","—",IFERROR(VLOOKUP(INDEX(ExpParty,$L794),AcctTbl,4,0),INDEX(ExpParty,$L794))))</f>
        <v/>
      </c>
      <c r="F794" s="22">
        <f>IF($L794="","",IF(INDEX(ExpType,$L794)="","—",INDEX(ExpType,$L794)))</f>
        <v/>
      </c>
      <c r="G794" s="24">
        <f>IF($L794="","",IF(INDEX(ExpDep,$L794)=0,"",INDEX(ExpDep,$L794)))</f>
        <v/>
      </c>
      <c r="H794" s="24">
        <f>IF($L794="","",IF(INDEX(ExpWit,$L794)=0,"",INDEX(ExpWit,$L794)))</f>
        <v/>
      </c>
      <c r="I794" s="25">
        <f>IF($B794="","",IF($I793="",0,$I793)+IF($H794="",0,$H794)-IF($G794="",0,$G794))</f>
        <v/>
      </c>
      <c r="J794" s="23">
        <f>IF($L794="","",IF(INDEX(ExpNote,$L794)="","—",INDEX(ExpNote,$L794)))</f>
        <v/>
      </c>
      <c r="L794">
        <f>IFERROR(MATCH($C$5&amp;"|"&amp;RIGHT("000000"&amp;778,6),ExpRankKey,0),"")</f>
        <v/>
      </c>
    </row>
    <row r="795">
      <c r="A795" s="16" t="n">
        <v>779</v>
      </c>
      <c r="B795" s="17">
        <f>IF($L795="","",INDEX(ExpNorm,$L795))</f>
        <v/>
      </c>
      <c r="C795" s="17">
        <f>IF($L795="","",IF(INDEX(ExpTime,$L795)="","—",LEFT(INDEX(ExpTime,$L795),2)&amp;":"&amp;RIGHT(INDEX(ExpTime,$L795),2)))</f>
        <v/>
      </c>
      <c r="D795" s="17">
        <f>IF($L795="","",IF(INDEX(ExpBank,$L795)="","—",INDEX(ExpBank,$L795)))</f>
        <v/>
      </c>
      <c r="E795" s="18">
        <f>IF($L795="","",IF(INDEX(ExpParty,$L795)="","—",IFERROR(VLOOKUP(INDEX(ExpParty,$L795),AcctTbl,4,0),INDEX(ExpParty,$L795))))</f>
        <v/>
      </c>
      <c r="F795" s="17">
        <f>IF($L795="","",IF(INDEX(ExpType,$L795)="","—",INDEX(ExpType,$L795)))</f>
        <v/>
      </c>
      <c r="G795" s="19">
        <f>IF($L795="","",IF(INDEX(ExpDep,$L795)=0,"",INDEX(ExpDep,$L795)))</f>
        <v/>
      </c>
      <c r="H795" s="19">
        <f>IF($L795="","",IF(INDEX(ExpWit,$L795)=0,"",INDEX(ExpWit,$L795)))</f>
        <v/>
      </c>
      <c r="I795" s="20">
        <f>IF($B795="","",IF($I794="",0,$I794)+IF($H795="",0,$H795)-IF($G795="",0,$G795))</f>
        <v/>
      </c>
      <c r="J795" s="18">
        <f>IF($L795="","",IF(INDEX(ExpNote,$L795)="","—",INDEX(ExpNote,$L795)))</f>
        <v/>
      </c>
      <c r="L795">
        <f>IFERROR(MATCH($C$5&amp;"|"&amp;RIGHT("000000"&amp;779,6),ExpRankKey,0),"")</f>
        <v/>
      </c>
    </row>
    <row r="796">
      <c r="A796" s="21" t="n">
        <v>780</v>
      </c>
      <c r="B796" s="22">
        <f>IF($L796="","",INDEX(ExpNorm,$L796))</f>
        <v/>
      </c>
      <c r="C796" s="22">
        <f>IF($L796="","",IF(INDEX(ExpTime,$L796)="","—",LEFT(INDEX(ExpTime,$L796),2)&amp;":"&amp;RIGHT(INDEX(ExpTime,$L796),2)))</f>
        <v/>
      </c>
      <c r="D796" s="22">
        <f>IF($L796="","",IF(INDEX(ExpBank,$L796)="","—",INDEX(ExpBank,$L796)))</f>
        <v/>
      </c>
      <c r="E796" s="23">
        <f>IF($L796="","",IF(INDEX(ExpParty,$L796)="","—",IFERROR(VLOOKUP(INDEX(ExpParty,$L796),AcctTbl,4,0),INDEX(ExpParty,$L796))))</f>
        <v/>
      </c>
      <c r="F796" s="22">
        <f>IF($L796="","",IF(INDEX(ExpType,$L796)="","—",INDEX(ExpType,$L796)))</f>
        <v/>
      </c>
      <c r="G796" s="24">
        <f>IF($L796="","",IF(INDEX(ExpDep,$L796)=0,"",INDEX(ExpDep,$L796)))</f>
        <v/>
      </c>
      <c r="H796" s="24">
        <f>IF($L796="","",IF(INDEX(ExpWit,$L796)=0,"",INDEX(ExpWit,$L796)))</f>
        <v/>
      </c>
      <c r="I796" s="25">
        <f>IF($B796="","",IF($I795="",0,$I795)+IF($H796="",0,$H796)-IF($G796="",0,$G796))</f>
        <v/>
      </c>
      <c r="J796" s="23">
        <f>IF($L796="","",IF(INDEX(ExpNote,$L796)="","—",INDEX(ExpNote,$L796)))</f>
        <v/>
      </c>
      <c r="L796">
        <f>IFERROR(MATCH($C$5&amp;"|"&amp;RIGHT("000000"&amp;780,6),ExpRankKey,0),"")</f>
        <v/>
      </c>
    </row>
    <row r="797">
      <c r="A797" s="16" t="n">
        <v>781</v>
      </c>
      <c r="B797" s="17">
        <f>IF($L797="","",INDEX(ExpNorm,$L797))</f>
        <v/>
      </c>
      <c r="C797" s="17">
        <f>IF($L797="","",IF(INDEX(ExpTime,$L797)="","—",LEFT(INDEX(ExpTime,$L797),2)&amp;":"&amp;RIGHT(INDEX(ExpTime,$L797),2)))</f>
        <v/>
      </c>
      <c r="D797" s="17">
        <f>IF($L797="","",IF(INDEX(ExpBank,$L797)="","—",INDEX(ExpBank,$L797)))</f>
        <v/>
      </c>
      <c r="E797" s="18">
        <f>IF($L797="","",IF(INDEX(ExpParty,$L797)="","—",IFERROR(VLOOKUP(INDEX(ExpParty,$L797),AcctTbl,4,0),INDEX(ExpParty,$L797))))</f>
        <v/>
      </c>
      <c r="F797" s="17">
        <f>IF($L797="","",IF(INDEX(ExpType,$L797)="","—",INDEX(ExpType,$L797)))</f>
        <v/>
      </c>
      <c r="G797" s="19">
        <f>IF($L797="","",IF(INDEX(ExpDep,$L797)=0,"",INDEX(ExpDep,$L797)))</f>
        <v/>
      </c>
      <c r="H797" s="19">
        <f>IF($L797="","",IF(INDEX(ExpWit,$L797)=0,"",INDEX(ExpWit,$L797)))</f>
        <v/>
      </c>
      <c r="I797" s="20">
        <f>IF($B797="","",IF($I796="",0,$I796)+IF($H797="",0,$H797)-IF($G797="",0,$G797))</f>
        <v/>
      </c>
      <c r="J797" s="18">
        <f>IF($L797="","",IF(INDEX(ExpNote,$L797)="","—",INDEX(ExpNote,$L797)))</f>
        <v/>
      </c>
      <c r="L797">
        <f>IFERROR(MATCH($C$5&amp;"|"&amp;RIGHT("000000"&amp;781,6),ExpRankKey,0),"")</f>
        <v/>
      </c>
    </row>
    <row r="798">
      <c r="A798" s="21" t="n">
        <v>782</v>
      </c>
      <c r="B798" s="22">
        <f>IF($L798="","",INDEX(ExpNorm,$L798))</f>
        <v/>
      </c>
      <c r="C798" s="22">
        <f>IF($L798="","",IF(INDEX(ExpTime,$L798)="","—",LEFT(INDEX(ExpTime,$L798),2)&amp;":"&amp;RIGHT(INDEX(ExpTime,$L798),2)))</f>
        <v/>
      </c>
      <c r="D798" s="22">
        <f>IF($L798="","",IF(INDEX(ExpBank,$L798)="","—",INDEX(ExpBank,$L798)))</f>
        <v/>
      </c>
      <c r="E798" s="23">
        <f>IF($L798="","",IF(INDEX(ExpParty,$L798)="","—",IFERROR(VLOOKUP(INDEX(ExpParty,$L798),AcctTbl,4,0),INDEX(ExpParty,$L798))))</f>
        <v/>
      </c>
      <c r="F798" s="22">
        <f>IF($L798="","",IF(INDEX(ExpType,$L798)="","—",INDEX(ExpType,$L798)))</f>
        <v/>
      </c>
      <c r="G798" s="24">
        <f>IF($L798="","",IF(INDEX(ExpDep,$L798)=0,"",INDEX(ExpDep,$L798)))</f>
        <v/>
      </c>
      <c r="H798" s="24">
        <f>IF($L798="","",IF(INDEX(ExpWit,$L798)=0,"",INDEX(ExpWit,$L798)))</f>
        <v/>
      </c>
      <c r="I798" s="25">
        <f>IF($B798="","",IF($I797="",0,$I797)+IF($H798="",0,$H798)-IF($G798="",0,$G798))</f>
        <v/>
      </c>
      <c r="J798" s="23">
        <f>IF($L798="","",IF(INDEX(ExpNote,$L798)="","—",INDEX(ExpNote,$L798)))</f>
        <v/>
      </c>
      <c r="L798">
        <f>IFERROR(MATCH($C$5&amp;"|"&amp;RIGHT("000000"&amp;782,6),ExpRankKey,0),"")</f>
        <v/>
      </c>
    </row>
    <row r="799">
      <c r="A799" s="16" t="n">
        <v>783</v>
      </c>
      <c r="B799" s="17">
        <f>IF($L799="","",INDEX(ExpNorm,$L799))</f>
        <v/>
      </c>
      <c r="C799" s="17">
        <f>IF($L799="","",IF(INDEX(ExpTime,$L799)="","—",LEFT(INDEX(ExpTime,$L799),2)&amp;":"&amp;RIGHT(INDEX(ExpTime,$L799),2)))</f>
        <v/>
      </c>
      <c r="D799" s="17">
        <f>IF($L799="","",IF(INDEX(ExpBank,$L799)="","—",INDEX(ExpBank,$L799)))</f>
        <v/>
      </c>
      <c r="E799" s="18">
        <f>IF($L799="","",IF(INDEX(ExpParty,$L799)="","—",IFERROR(VLOOKUP(INDEX(ExpParty,$L799),AcctTbl,4,0),INDEX(ExpParty,$L799))))</f>
        <v/>
      </c>
      <c r="F799" s="17">
        <f>IF($L799="","",IF(INDEX(ExpType,$L799)="","—",INDEX(ExpType,$L799)))</f>
        <v/>
      </c>
      <c r="G799" s="19">
        <f>IF($L799="","",IF(INDEX(ExpDep,$L799)=0,"",INDEX(ExpDep,$L799)))</f>
        <v/>
      </c>
      <c r="H799" s="19">
        <f>IF($L799="","",IF(INDEX(ExpWit,$L799)=0,"",INDEX(ExpWit,$L799)))</f>
        <v/>
      </c>
      <c r="I799" s="20">
        <f>IF($B799="","",IF($I798="",0,$I798)+IF($H799="",0,$H799)-IF($G799="",0,$G799))</f>
        <v/>
      </c>
      <c r="J799" s="18">
        <f>IF($L799="","",IF(INDEX(ExpNote,$L799)="","—",INDEX(ExpNote,$L799)))</f>
        <v/>
      </c>
      <c r="L799">
        <f>IFERROR(MATCH($C$5&amp;"|"&amp;RIGHT("000000"&amp;783,6),ExpRankKey,0),"")</f>
        <v/>
      </c>
    </row>
    <row r="800">
      <c r="A800" s="21" t="n">
        <v>784</v>
      </c>
      <c r="B800" s="22">
        <f>IF($L800="","",INDEX(ExpNorm,$L800))</f>
        <v/>
      </c>
      <c r="C800" s="22">
        <f>IF($L800="","",IF(INDEX(ExpTime,$L800)="","—",LEFT(INDEX(ExpTime,$L800),2)&amp;":"&amp;RIGHT(INDEX(ExpTime,$L800),2)))</f>
        <v/>
      </c>
      <c r="D800" s="22">
        <f>IF($L800="","",IF(INDEX(ExpBank,$L800)="","—",INDEX(ExpBank,$L800)))</f>
        <v/>
      </c>
      <c r="E800" s="23">
        <f>IF($L800="","",IF(INDEX(ExpParty,$L800)="","—",IFERROR(VLOOKUP(INDEX(ExpParty,$L800),AcctTbl,4,0),INDEX(ExpParty,$L800))))</f>
        <v/>
      </c>
      <c r="F800" s="22">
        <f>IF($L800="","",IF(INDEX(ExpType,$L800)="","—",INDEX(ExpType,$L800)))</f>
        <v/>
      </c>
      <c r="G800" s="24">
        <f>IF($L800="","",IF(INDEX(ExpDep,$L800)=0,"",INDEX(ExpDep,$L800)))</f>
        <v/>
      </c>
      <c r="H800" s="24">
        <f>IF($L800="","",IF(INDEX(ExpWit,$L800)=0,"",INDEX(ExpWit,$L800)))</f>
        <v/>
      </c>
      <c r="I800" s="25">
        <f>IF($B800="","",IF($I799="",0,$I799)+IF($H800="",0,$H800)-IF($G800="",0,$G800))</f>
        <v/>
      </c>
      <c r="J800" s="23">
        <f>IF($L800="","",IF(INDEX(ExpNote,$L800)="","—",INDEX(ExpNote,$L800)))</f>
        <v/>
      </c>
      <c r="L800">
        <f>IFERROR(MATCH($C$5&amp;"|"&amp;RIGHT("000000"&amp;784,6),ExpRankKey,0),"")</f>
        <v/>
      </c>
    </row>
    <row r="801">
      <c r="A801" s="16" t="n">
        <v>785</v>
      </c>
      <c r="B801" s="17">
        <f>IF($L801="","",INDEX(ExpNorm,$L801))</f>
        <v/>
      </c>
      <c r="C801" s="17">
        <f>IF($L801="","",IF(INDEX(ExpTime,$L801)="","—",LEFT(INDEX(ExpTime,$L801),2)&amp;":"&amp;RIGHT(INDEX(ExpTime,$L801),2)))</f>
        <v/>
      </c>
      <c r="D801" s="17">
        <f>IF($L801="","",IF(INDEX(ExpBank,$L801)="","—",INDEX(ExpBank,$L801)))</f>
        <v/>
      </c>
      <c r="E801" s="18">
        <f>IF($L801="","",IF(INDEX(ExpParty,$L801)="","—",IFERROR(VLOOKUP(INDEX(ExpParty,$L801),AcctTbl,4,0),INDEX(ExpParty,$L801))))</f>
        <v/>
      </c>
      <c r="F801" s="17">
        <f>IF($L801="","",IF(INDEX(ExpType,$L801)="","—",INDEX(ExpType,$L801)))</f>
        <v/>
      </c>
      <c r="G801" s="19">
        <f>IF($L801="","",IF(INDEX(ExpDep,$L801)=0,"",INDEX(ExpDep,$L801)))</f>
        <v/>
      </c>
      <c r="H801" s="19">
        <f>IF($L801="","",IF(INDEX(ExpWit,$L801)=0,"",INDEX(ExpWit,$L801)))</f>
        <v/>
      </c>
      <c r="I801" s="20">
        <f>IF($B801="","",IF($I800="",0,$I800)+IF($H801="",0,$H801)-IF($G801="",0,$G801))</f>
        <v/>
      </c>
      <c r="J801" s="18">
        <f>IF($L801="","",IF(INDEX(ExpNote,$L801)="","—",INDEX(ExpNote,$L801)))</f>
        <v/>
      </c>
      <c r="L801">
        <f>IFERROR(MATCH($C$5&amp;"|"&amp;RIGHT("000000"&amp;785,6),ExpRankKey,0),"")</f>
        <v/>
      </c>
    </row>
    <row r="802">
      <c r="A802" s="21" t="n">
        <v>786</v>
      </c>
      <c r="B802" s="22">
        <f>IF($L802="","",INDEX(ExpNorm,$L802))</f>
        <v/>
      </c>
      <c r="C802" s="22">
        <f>IF($L802="","",IF(INDEX(ExpTime,$L802)="","—",LEFT(INDEX(ExpTime,$L802),2)&amp;":"&amp;RIGHT(INDEX(ExpTime,$L802),2)))</f>
        <v/>
      </c>
      <c r="D802" s="22">
        <f>IF($L802="","",IF(INDEX(ExpBank,$L802)="","—",INDEX(ExpBank,$L802)))</f>
        <v/>
      </c>
      <c r="E802" s="23">
        <f>IF($L802="","",IF(INDEX(ExpParty,$L802)="","—",IFERROR(VLOOKUP(INDEX(ExpParty,$L802),AcctTbl,4,0),INDEX(ExpParty,$L802))))</f>
        <v/>
      </c>
      <c r="F802" s="22">
        <f>IF($L802="","",IF(INDEX(ExpType,$L802)="","—",INDEX(ExpType,$L802)))</f>
        <v/>
      </c>
      <c r="G802" s="24">
        <f>IF($L802="","",IF(INDEX(ExpDep,$L802)=0,"",INDEX(ExpDep,$L802)))</f>
        <v/>
      </c>
      <c r="H802" s="24">
        <f>IF($L802="","",IF(INDEX(ExpWit,$L802)=0,"",INDEX(ExpWit,$L802)))</f>
        <v/>
      </c>
      <c r="I802" s="25">
        <f>IF($B802="","",IF($I801="",0,$I801)+IF($H802="",0,$H802)-IF($G802="",0,$G802))</f>
        <v/>
      </c>
      <c r="J802" s="23">
        <f>IF($L802="","",IF(INDEX(ExpNote,$L802)="","—",INDEX(ExpNote,$L802)))</f>
        <v/>
      </c>
      <c r="L802">
        <f>IFERROR(MATCH($C$5&amp;"|"&amp;RIGHT("000000"&amp;786,6),ExpRankKey,0),"")</f>
        <v/>
      </c>
    </row>
    <row r="803">
      <c r="A803" s="16" t="n">
        <v>787</v>
      </c>
      <c r="B803" s="17">
        <f>IF($L803="","",INDEX(ExpNorm,$L803))</f>
        <v/>
      </c>
      <c r="C803" s="17">
        <f>IF($L803="","",IF(INDEX(ExpTime,$L803)="","—",LEFT(INDEX(ExpTime,$L803),2)&amp;":"&amp;RIGHT(INDEX(ExpTime,$L803),2)))</f>
        <v/>
      </c>
      <c r="D803" s="17">
        <f>IF($L803="","",IF(INDEX(ExpBank,$L803)="","—",INDEX(ExpBank,$L803)))</f>
        <v/>
      </c>
      <c r="E803" s="18">
        <f>IF($L803="","",IF(INDEX(ExpParty,$L803)="","—",IFERROR(VLOOKUP(INDEX(ExpParty,$L803),AcctTbl,4,0),INDEX(ExpParty,$L803))))</f>
        <v/>
      </c>
      <c r="F803" s="17">
        <f>IF($L803="","",IF(INDEX(ExpType,$L803)="","—",INDEX(ExpType,$L803)))</f>
        <v/>
      </c>
      <c r="G803" s="19">
        <f>IF($L803="","",IF(INDEX(ExpDep,$L803)=0,"",INDEX(ExpDep,$L803)))</f>
        <v/>
      </c>
      <c r="H803" s="19">
        <f>IF($L803="","",IF(INDEX(ExpWit,$L803)=0,"",INDEX(ExpWit,$L803)))</f>
        <v/>
      </c>
      <c r="I803" s="20">
        <f>IF($B803="","",IF($I802="",0,$I802)+IF($H803="",0,$H803)-IF($G803="",0,$G803))</f>
        <v/>
      </c>
      <c r="J803" s="18">
        <f>IF($L803="","",IF(INDEX(ExpNote,$L803)="","—",INDEX(ExpNote,$L803)))</f>
        <v/>
      </c>
      <c r="L803">
        <f>IFERROR(MATCH($C$5&amp;"|"&amp;RIGHT("000000"&amp;787,6),ExpRankKey,0),"")</f>
        <v/>
      </c>
    </row>
    <row r="804">
      <c r="A804" s="21" t="n">
        <v>788</v>
      </c>
      <c r="B804" s="22">
        <f>IF($L804="","",INDEX(ExpNorm,$L804))</f>
        <v/>
      </c>
      <c r="C804" s="22">
        <f>IF($L804="","",IF(INDEX(ExpTime,$L804)="","—",LEFT(INDEX(ExpTime,$L804),2)&amp;":"&amp;RIGHT(INDEX(ExpTime,$L804),2)))</f>
        <v/>
      </c>
      <c r="D804" s="22">
        <f>IF($L804="","",IF(INDEX(ExpBank,$L804)="","—",INDEX(ExpBank,$L804)))</f>
        <v/>
      </c>
      <c r="E804" s="23">
        <f>IF($L804="","",IF(INDEX(ExpParty,$L804)="","—",IFERROR(VLOOKUP(INDEX(ExpParty,$L804),AcctTbl,4,0),INDEX(ExpParty,$L804))))</f>
        <v/>
      </c>
      <c r="F804" s="22">
        <f>IF($L804="","",IF(INDEX(ExpType,$L804)="","—",INDEX(ExpType,$L804)))</f>
        <v/>
      </c>
      <c r="G804" s="24">
        <f>IF($L804="","",IF(INDEX(ExpDep,$L804)=0,"",INDEX(ExpDep,$L804)))</f>
        <v/>
      </c>
      <c r="H804" s="24">
        <f>IF($L804="","",IF(INDEX(ExpWit,$L804)=0,"",INDEX(ExpWit,$L804)))</f>
        <v/>
      </c>
      <c r="I804" s="25">
        <f>IF($B804="","",IF($I803="",0,$I803)+IF($H804="",0,$H804)-IF($G804="",0,$G804))</f>
        <v/>
      </c>
      <c r="J804" s="23">
        <f>IF($L804="","",IF(INDEX(ExpNote,$L804)="","—",INDEX(ExpNote,$L804)))</f>
        <v/>
      </c>
      <c r="L804">
        <f>IFERROR(MATCH($C$5&amp;"|"&amp;RIGHT("000000"&amp;788,6),ExpRankKey,0),"")</f>
        <v/>
      </c>
    </row>
    <row r="805">
      <c r="A805" s="16" t="n">
        <v>789</v>
      </c>
      <c r="B805" s="17">
        <f>IF($L805="","",INDEX(ExpNorm,$L805))</f>
        <v/>
      </c>
      <c r="C805" s="17">
        <f>IF($L805="","",IF(INDEX(ExpTime,$L805)="","—",LEFT(INDEX(ExpTime,$L805),2)&amp;":"&amp;RIGHT(INDEX(ExpTime,$L805),2)))</f>
        <v/>
      </c>
      <c r="D805" s="17">
        <f>IF($L805="","",IF(INDEX(ExpBank,$L805)="","—",INDEX(ExpBank,$L805)))</f>
        <v/>
      </c>
      <c r="E805" s="18">
        <f>IF($L805="","",IF(INDEX(ExpParty,$L805)="","—",IFERROR(VLOOKUP(INDEX(ExpParty,$L805),AcctTbl,4,0),INDEX(ExpParty,$L805))))</f>
        <v/>
      </c>
      <c r="F805" s="17">
        <f>IF($L805="","",IF(INDEX(ExpType,$L805)="","—",INDEX(ExpType,$L805)))</f>
        <v/>
      </c>
      <c r="G805" s="19">
        <f>IF($L805="","",IF(INDEX(ExpDep,$L805)=0,"",INDEX(ExpDep,$L805)))</f>
        <v/>
      </c>
      <c r="H805" s="19">
        <f>IF($L805="","",IF(INDEX(ExpWit,$L805)=0,"",INDEX(ExpWit,$L805)))</f>
        <v/>
      </c>
      <c r="I805" s="20">
        <f>IF($B805="","",IF($I804="",0,$I804)+IF($H805="",0,$H805)-IF($G805="",0,$G805))</f>
        <v/>
      </c>
      <c r="J805" s="18">
        <f>IF($L805="","",IF(INDEX(ExpNote,$L805)="","—",INDEX(ExpNote,$L805)))</f>
        <v/>
      </c>
      <c r="L805">
        <f>IFERROR(MATCH($C$5&amp;"|"&amp;RIGHT("000000"&amp;789,6),ExpRankKey,0),"")</f>
        <v/>
      </c>
    </row>
    <row r="806">
      <c r="A806" s="21" t="n">
        <v>790</v>
      </c>
      <c r="B806" s="22">
        <f>IF($L806="","",INDEX(ExpNorm,$L806))</f>
        <v/>
      </c>
      <c r="C806" s="22">
        <f>IF($L806="","",IF(INDEX(ExpTime,$L806)="","—",LEFT(INDEX(ExpTime,$L806),2)&amp;":"&amp;RIGHT(INDEX(ExpTime,$L806),2)))</f>
        <v/>
      </c>
      <c r="D806" s="22">
        <f>IF($L806="","",IF(INDEX(ExpBank,$L806)="","—",INDEX(ExpBank,$L806)))</f>
        <v/>
      </c>
      <c r="E806" s="23">
        <f>IF($L806="","",IF(INDEX(ExpParty,$L806)="","—",IFERROR(VLOOKUP(INDEX(ExpParty,$L806),AcctTbl,4,0),INDEX(ExpParty,$L806))))</f>
        <v/>
      </c>
      <c r="F806" s="22">
        <f>IF($L806="","",IF(INDEX(ExpType,$L806)="","—",INDEX(ExpType,$L806)))</f>
        <v/>
      </c>
      <c r="G806" s="24">
        <f>IF($L806="","",IF(INDEX(ExpDep,$L806)=0,"",INDEX(ExpDep,$L806)))</f>
        <v/>
      </c>
      <c r="H806" s="24">
        <f>IF($L806="","",IF(INDEX(ExpWit,$L806)=0,"",INDEX(ExpWit,$L806)))</f>
        <v/>
      </c>
      <c r="I806" s="25">
        <f>IF($B806="","",IF($I805="",0,$I805)+IF($H806="",0,$H806)-IF($G806="",0,$G806))</f>
        <v/>
      </c>
      <c r="J806" s="23">
        <f>IF($L806="","",IF(INDEX(ExpNote,$L806)="","—",INDEX(ExpNote,$L806)))</f>
        <v/>
      </c>
      <c r="L806">
        <f>IFERROR(MATCH($C$5&amp;"|"&amp;RIGHT("000000"&amp;790,6),ExpRankKey,0),"")</f>
        <v/>
      </c>
    </row>
    <row r="807">
      <c r="A807" s="16" t="n">
        <v>791</v>
      </c>
      <c r="B807" s="17">
        <f>IF($L807="","",INDEX(ExpNorm,$L807))</f>
        <v/>
      </c>
      <c r="C807" s="17">
        <f>IF($L807="","",IF(INDEX(ExpTime,$L807)="","—",LEFT(INDEX(ExpTime,$L807),2)&amp;":"&amp;RIGHT(INDEX(ExpTime,$L807),2)))</f>
        <v/>
      </c>
      <c r="D807" s="17">
        <f>IF($L807="","",IF(INDEX(ExpBank,$L807)="","—",INDEX(ExpBank,$L807)))</f>
        <v/>
      </c>
      <c r="E807" s="18">
        <f>IF($L807="","",IF(INDEX(ExpParty,$L807)="","—",IFERROR(VLOOKUP(INDEX(ExpParty,$L807),AcctTbl,4,0),INDEX(ExpParty,$L807))))</f>
        <v/>
      </c>
      <c r="F807" s="17">
        <f>IF($L807="","",IF(INDEX(ExpType,$L807)="","—",INDEX(ExpType,$L807)))</f>
        <v/>
      </c>
      <c r="G807" s="19">
        <f>IF($L807="","",IF(INDEX(ExpDep,$L807)=0,"",INDEX(ExpDep,$L807)))</f>
        <v/>
      </c>
      <c r="H807" s="19">
        <f>IF($L807="","",IF(INDEX(ExpWit,$L807)=0,"",INDEX(ExpWit,$L807)))</f>
        <v/>
      </c>
      <c r="I807" s="20">
        <f>IF($B807="","",IF($I806="",0,$I806)+IF($H807="",0,$H807)-IF($G807="",0,$G807))</f>
        <v/>
      </c>
      <c r="J807" s="18">
        <f>IF($L807="","",IF(INDEX(ExpNote,$L807)="","—",INDEX(ExpNote,$L807)))</f>
        <v/>
      </c>
      <c r="L807">
        <f>IFERROR(MATCH($C$5&amp;"|"&amp;RIGHT("000000"&amp;791,6),ExpRankKey,0),"")</f>
        <v/>
      </c>
    </row>
    <row r="808">
      <c r="A808" s="21" t="n">
        <v>792</v>
      </c>
      <c r="B808" s="22">
        <f>IF($L808="","",INDEX(ExpNorm,$L808))</f>
        <v/>
      </c>
      <c r="C808" s="22">
        <f>IF($L808="","",IF(INDEX(ExpTime,$L808)="","—",LEFT(INDEX(ExpTime,$L808),2)&amp;":"&amp;RIGHT(INDEX(ExpTime,$L808),2)))</f>
        <v/>
      </c>
      <c r="D808" s="22">
        <f>IF($L808="","",IF(INDEX(ExpBank,$L808)="","—",INDEX(ExpBank,$L808)))</f>
        <v/>
      </c>
      <c r="E808" s="23">
        <f>IF($L808="","",IF(INDEX(ExpParty,$L808)="","—",IFERROR(VLOOKUP(INDEX(ExpParty,$L808),AcctTbl,4,0),INDEX(ExpParty,$L808))))</f>
        <v/>
      </c>
      <c r="F808" s="22">
        <f>IF($L808="","",IF(INDEX(ExpType,$L808)="","—",INDEX(ExpType,$L808)))</f>
        <v/>
      </c>
      <c r="G808" s="24">
        <f>IF($L808="","",IF(INDEX(ExpDep,$L808)=0,"",INDEX(ExpDep,$L808)))</f>
        <v/>
      </c>
      <c r="H808" s="24">
        <f>IF($L808="","",IF(INDEX(ExpWit,$L808)=0,"",INDEX(ExpWit,$L808)))</f>
        <v/>
      </c>
      <c r="I808" s="25">
        <f>IF($B808="","",IF($I807="",0,$I807)+IF($H808="",0,$H808)-IF($G808="",0,$G808))</f>
        <v/>
      </c>
      <c r="J808" s="23">
        <f>IF($L808="","",IF(INDEX(ExpNote,$L808)="","—",INDEX(ExpNote,$L808)))</f>
        <v/>
      </c>
      <c r="L808">
        <f>IFERROR(MATCH($C$5&amp;"|"&amp;RIGHT("000000"&amp;792,6),ExpRankKey,0),"")</f>
        <v/>
      </c>
    </row>
    <row r="809">
      <c r="A809" s="16" t="n">
        <v>793</v>
      </c>
      <c r="B809" s="17">
        <f>IF($L809="","",INDEX(ExpNorm,$L809))</f>
        <v/>
      </c>
      <c r="C809" s="17">
        <f>IF($L809="","",IF(INDEX(ExpTime,$L809)="","—",LEFT(INDEX(ExpTime,$L809),2)&amp;":"&amp;RIGHT(INDEX(ExpTime,$L809),2)))</f>
        <v/>
      </c>
      <c r="D809" s="17">
        <f>IF($L809="","",IF(INDEX(ExpBank,$L809)="","—",INDEX(ExpBank,$L809)))</f>
        <v/>
      </c>
      <c r="E809" s="18">
        <f>IF($L809="","",IF(INDEX(ExpParty,$L809)="","—",IFERROR(VLOOKUP(INDEX(ExpParty,$L809),AcctTbl,4,0),INDEX(ExpParty,$L809))))</f>
        <v/>
      </c>
      <c r="F809" s="17">
        <f>IF($L809="","",IF(INDEX(ExpType,$L809)="","—",INDEX(ExpType,$L809)))</f>
        <v/>
      </c>
      <c r="G809" s="19">
        <f>IF($L809="","",IF(INDEX(ExpDep,$L809)=0,"",INDEX(ExpDep,$L809)))</f>
        <v/>
      </c>
      <c r="H809" s="19">
        <f>IF($L809="","",IF(INDEX(ExpWit,$L809)=0,"",INDEX(ExpWit,$L809)))</f>
        <v/>
      </c>
      <c r="I809" s="20">
        <f>IF($B809="","",IF($I808="",0,$I808)+IF($H809="",0,$H809)-IF($G809="",0,$G809))</f>
        <v/>
      </c>
      <c r="J809" s="18">
        <f>IF($L809="","",IF(INDEX(ExpNote,$L809)="","—",INDEX(ExpNote,$L809)))</f>
        <v/>
      </c>
      <c r="L809">
        <f>IFERROR(MATCH($C$5&amp;"|"&amp;RIGHT("000000"&amp;793,6),ExpRankKey,0),"")</f>
        <v/>
      </c>
    </row>
    <row r="810">
      <c r="A810" s="21" t="n">
        <v>794</v>
      </c>
      <c r="B810" s="22">
        <f>IF($L810="","",INDEX(ExpNorm,$L810))</f>
        <v/>
      </c>
      <c r="C810" s="22">
        <f>IF($L810="","",IF(INDEX(ExpTime,$L810)="","—",LEFT(INDEX(ExpTime,$L810),2)&amp;":"&amp;RIGHT(INDEX(ExpTime,$L810),2)))</f>
        <v/>
      </c>
      <c r="D810" s="22">
        <f>IF($L810="","",IF(INDEX(ExpBank,$L810)="","—",INDEX(ExpBank,$L810)))</f>
        <v/>
      </c>
      <c r="E810" s="23">
        <f>IF($L810="","",IF(INDEX(ExpParty,$L810)="","—",IFERROR(VLOOKUP(INDEX(ExpParty,$L810),AcctTbl,4,0),INDEX(ExpParty,$L810))))</f>
        <v/>
      </c>
      <c r="F810" s="22">
        <f>IF($L810="","",IF(INDEX(ExpType,$L810)="","—",INDEX(ExpType,$L810)))</f>
        <v/>
      </c>
      <c r="G810" s="24">
        <f>IF($L810="","",IF(INDEX(ExpDep,$L810)=0,"",INDEX(ExpDep,$L810)))</f>
        <v/>
      </c>
      <c r="H810" s="24">
        <f>IF($L810="","",IF(INDEX(ExpWit,$L810)=0,"",INDEX(ExpWit,$L810)))</f>
        <v/>
      </c>
      <c r="I810" s="25">
        <f>IF($B810="","",IF($I809="",0,$I809)+IF($H810="",0,$H810)-IF($G810="",0,$G810))</f>
        <v/>
      </c>
      <c r="J810" s="23">
        <f>IF($L810="","",IF(INDEX(ExpNote,$L810)="","—",INDEX(ExpNote,$L810)))</f>
        <v/>
      </c>
      <c r="L810">
        <f>IFERROR(MATCH($C$5&amp;"|"&amp;RIGHT("000000"&amp;794,6),ExpRankKey,0),"")</f>
        <v/>
      </c>
    </row>
    <row r="811">
      <c r="A811" s="16" t="n">
        <v>795</v>
      </c>
      <c r="B811" s="17">
        <f>IF($L811="","",INDEX(ExpNorm,$L811))</f>
        <v/>
      </c>
      <c r="C811" s="17">
        <f>IF($L811="","",IF(INDEX(ExpTime,$L811)="","—",LEFT(INDEX(ExpTime,$L811),2)&amp;":"&amp;RIGHT(INDEX(ExpTime,$L811),2)))</f>
        <v/>
      </c>
      <c r="D811" s="17">
        <f>IF($L811="","",IF(INDEX(ExpBank,$L811)="","—",INDEX(ExpBank,$L811)))</f>
        <v/>
      </c>
      <c r="E811" s="18">
        <f>IF($L811="","",IF(INDEX(ExpParty,$L811)="","—",IFERROR(VLOOKUP(INDEX(ExpParty,$L811),AcctTbl,4,0),INDEX(ExpParty,$L811))))</f>
        <v/>
      </c>
      <c r="F811" s="17">
        <f>IF($L811="","",IF(INDEX(ExpType,$L811)="","—",INDEX(ExpType,$L811)))</f>
        <v/>
      </c>
      <c r="G811" s="19">
        <f>IF($L811="","",IF(INDEX(ExpDep,$L811)=0,"",INDEX(ExpDep,$L811)))</f>
        <v/>
      </c>
      <c r="H811" s="19">
        <f>IF($L811="","",IF(INDEX(ExpWit,$L811)=0,"",INDEX(ExpWit,$L811)))</f>
        <v/>
      </c>
      <c r="I811" s="20">
        <f>IF($B811="","",IF($I810="",0,$I810)+IF($H811="",0,$H811)-IF($G811="",0,$G811))</f>
        <v/>
      </c>
      <c r="J811" s="18">
        <f>IF($L811="","",IF(INDEX(ExpNote,$L811)="","—",INDEX(ExpNote,$L811)))</f>
        <v/>
      </c>
      <c r="L811">
        <f>IFERROR(MATCH($C$5&amp;"|"&amp;RIGHT("000000"&amp;795,6),ExpRankKey,0),"")</f>
        <v/>
      </c>
    </row>
    <row r="812">
      <c r="A812" s="21" t="n">
        <v>796</v>
      </c>
      <c r="B812" s="22">
        <f>IF($L812="","",INDEX(ExpNorm,$L812))</f>
        <v/>
      </c>
      <c r="C812" s="22">
        <f>IF($L812="","",IF(INDEX(ExpTime,$L812)="","—",LEFT(INDEX(ExpTime,$L812),2)&amp;":"&amp;RIGHT(INDEX(ExpTime,$L812),2)))</f>
        <v/>
      </c>
      <c r="D812" s="22">
        <f>IF($L812="","",IF(INDEX(ExpBank,$L812)="","—",INDEX(ExpBank,$L812)))</f>
        <v/>
      </c>
      <c r="E812" s="23">
        <f>IF($L812="","",IF(INDEX(ExpParty,$L812)="","—",IFERROR(VLOOKUP(INDEX(ExpParty,$L812),AcctTbl,4,0),INDEX(ExpParty,$L812))))</f>
        <v/>
      </c>
      <c r="F812" s="22">
        <f>IF($L812="","",IF(INDEX(ExpType,$L812)="","—",INDEX(ExpType,$L812)))</f>
        <v/>
      </c>
      <c r="G812" s="24">
        <f>IF($L812="","",IF(INDEX(ExpDep,$L812)=0,"",INDEX(ExpDep,$L812)))</f>
        <v/>
      </c>
      <c r="H812" s="24">
        <f>IF($L812="","",IF(INDEX(ExpWit,$L812)=0,"",INDEX(ExpWit,$L812)))</f>
        <v/>
      </c>
      <c r="I812" s="25">
        <f>IF($B812="","",IF($I811="",0,$I811)+IF($H812="",0,$H812)-IF($G812="",0,$G812))</f>
        <v/>
      </c>
      <c r="J812" s="23">
        <f>IF($L812="","",IF(INDEX(ExpNote,$L812)="","—",INDEX(ExpNote,$L812)))</f>
        <v/>
      </c>
      <c r="L812">
        <f>IFERROR(MATCH($C$5&amp;"|"&amp;RIGHT("000000"&amp;796,6),ExpRankKey,0),"")</f>
        <v/>
      </c>
    </row>
    <row r="813">
      <c r="A813" s="16" t="n">
        <v>797</v>
      </c>
      <c r="B813" s="17">
        <f>IF($L813="","",INDEX(ExpNorm,$L813))</f>
        <v/>
      </c>
      <c r="C813" s="17">
        <f>IF($L813="","",IF(INDEX(ExpTime,$L813)="","—",LEFT(INDEX(ExpTime,$L813),2)&amp;":"&amp;RIGHT(INDEX(ExpTime,$L813),2)))</f>
        <v/>
      </c>
      <c r="D813" s="17">
        <f>IF($L813="","",IF(INDEX(ExpBank,$L813)="","—",INDEX(ExpBank,$L813)))</f>
        <v/>
      </c>
      <c r="E813" s="18">
        <f>IF($L813="","",IF(INDEX(ExpParty,$L813)="","—",IFERROR(VLOOKUP(INDEX(ExpParty,$L813),AcctTbl,4,0),INDEX(ExpParty,$L813))))</f>
        <v/>
      </c>
      <c r="F813" s="17">
        <f>IF($L813="","",IF(INDEX(ExpType,$L813)="","—",INDEX(ExpType,$L813)))</f>
        <v/>
      </c>
      <c r="G813" s="19">
        <f>IF($L813="","",IF(INDEX(ExpDep,$L813)=0,"",INDEX(ExpDep,$L813)))</f>
        <v/>
      </c>
      <c r="H813" s="19">
        <f>IF($L813="","",IF(INDEX(ExpWit,$L813)=0,"",INDEX(ExpWit,$L813)))</f>
        <v/>
      </c>
      <c r="I813" s="20">
        <f>IF($B813="","",IF($I812="",0,$I812)+IF($H813="",0,$H813)-IF($G813="",0,$G813))</f>
        <v/>
      </c>
      <c r="J813" s="18">
        <f>IF($L813="","",IF(INDEX(ExpNote,$L813)="","—",INDEX(ExpNote,$L813)))</f>
        <v/>
      </c>
      <c r="L813">
        <f>IFERROR(MATCH($C$5&amp;"|"&amp;RIGHT("000000"&amp;797,6),ExpRankKey,0),"")</f>
        <v/>
      </c>
    </row>
    <row r="814">
      <c r="A814" s="21" t="n">
        <v>798</v>
      </c>
      <c r="B814" s="22">
        <f>IF($L814="","",INDEX(ExpNorm,$L814))</f>
        <v/>
      </c>
      <c r="C814" s="22">
        <f>IF($L814="","",IF(INDEX(ExpTime,$L814)="","—",LEFT(INDEX(ExpTime,$L814),2)&amp;":"&amp;RIGHT(INDEX(ExpTime,$L814),2)))</f>
        <v/>
      </c>
      <c r="D814" s="22">
        <f>IF($L814="","",IF(INDEX(ExpBank,$L814)="","—",INDEX(ExpBank,$L814)))</f>
        <v/>
      </c>
      <c r="E814" s="23">
        <f>IF($L814="","",IF(INDEX(ExpParty,$L814)="","—",IFERROR(VLOOKUP(INDEX(ExpParty,$L814),AcctTbl,4,0),INDEX(ExpParty,$L814))))</f>
        <v/>
      </c>
      <c r="F814" s="22">
        <f>IF($L814="","",IF(INDEX(ExpType,$L814)="","—",INDEX(ExpType,$L814)))</f>
        <v/>
      </c>
      <c r="G814" s="24">
        <f>IF($L814="","",IF(INDEX(ExpDep,$L814)=0,"",INDEX(ExpDep,$L814)))</f>
        <v/>
      </c>
      <c r="H814" s="24">
        <f>IF($L814="","",IF(INDEX(ExpWit,$L814)=0,"",INDEX(ExpWit,$L814)))</f>
        <v/>
      </c>
      <c r="I814" s="25">
        <f>IF($B814="","",IF($I813="",0,$I813)+IF($H814="",0,$H814)-IF($G814="",0,$G814))</f>
        <v/>
      </c>
      <c r="J814" s="23">
        <f>IF($L814="","",IF(INDEX(ExpNote,$L814)="","—",INDEX(ExpNote,$L814)))</f>
        <v/>
      </c>
      <c r="L814">
        <f>IFERROR(MATCH($C$5&amp;"|"&amp;RIGHT("000000"&amp;798,6),ExpRankKey,0),"")</f>
        <v/>
      </c>
    </row>
    <row r="815">
      <c r="A815" s="16" t="n">
        <v>799</v>
      </c>
      <c r="B815" s="17">
        <f>IF($L815="","",INDEX(ExpNorm,$L815))</f>
        <v/>
      </c>
      <c r="C815" s="17">
        <f>IF($L815="","",IF(INDEX(ExpTime,$L815)="","—",LEFT(INDEX(ExpTime,$L815),2)&amp;":"&amp;RIGHT(INDEX(ExpTime,$L815),2)))</f>
        <v/>
      </c>
      <c r="D815" s="17">
        <f>IF($L815="","",IF(INDEX(ExpBank,$L815)="","—",INDEX(ExpBank,$L815)))</f>
        <v/>
      </c>
      <c r="E815" s="18">
        <f>IF($L815="","",IF(INDEX(ExpParty,$L815)="","—",IFERROR(VLOOKUP(INDEX(ExpParty,$L815),AcctTbl,4,0),INDEX(ExpParty,$L815))))</f>
        <v/>
      </c>
      <c r="F815" s="17">
        <f>IF($L815="","",IF(INDEX(ExpType,$L815)="","—",INDEX(ExpType,$L815)))</f>
        <v/>
      </c>
      <c r="G815" s="19">
        <f>IF($L815="","",IF(INDEX(ExpDep,$L815)=0,"",INDEX(ExpDep,$L815)))</f>
        <v/>
      </c>
      <c r="H815" s="19">
        <f>IF($L815="","",IF(INDEX(ExpWit,$L815)=0,"",INDEX(ExpWit,$L815)))</f>
        <v/>
      </c>
      <c r="I815" s="20">
        <f>IF($B815="","",IF($I814="",0,$I814)+IF($H815="",0,$H815)-IF($G815="",0,$G815))</f>
        <v/>
      </c>
      <c r="J815" s="18">
        <f>IF($L815="","",IF(INDEX(ExpNote,$L815)="","—",INDEX(ExpNote,$L815)))</f>
        <v/>
      </c>
      <c r="L815">
        <f>IFERROR(MATCH($C$5&amp;"|"&amp;RIGHT("000000"&amp;799,6),ExpRankKey,0),"")</f>
        <v/>
      </c>
    </row>
    <row r="816">
      <c r="A816" s="21" t="n">
        <v>800</v>
      </c>
      <c r="B816" s="22">
        <f>IF($L816="","",INDEX(ExpNorm,$L816))</f>
        <v/>
      </c>
      <c r="C816" s="22">
        <f>IF($L816="","",IF(INDEX(ExpTime,$L816)="","—",LEFT(INDEX(ExpTime,$L816),2)&amp;":"&amp;RIGHT(INDEX(ExpTime,$L816),2)))</f>
        <v/>
      </c>
      <c r="D816" s="22">
        <f>IF($L816="","",IF(INDEX(ExpBank,$L816)="","—",INDEX(ExpBank,$L816)))</f>
        <v/>
      </c>
      <c r="E816" s="23">
        <f>IF($L816="","",IF(INDEX(ExpParty,$L816)="","—",IFERROR(VLOOKUP(INDEX(ExpParty,$L816),AcctTbl,4,0),INDEX(ExpParty,$L816))))</f>
        <v/>
      </c>
      <c r="F816" s="22">
        <f>IF($L816="","",IF(INDEX(ExpType,$L816)="","—",INDEX(ExpType,$L816)))</f>
        <v/>
      </c>
      <c r="G816" s="24">
        <f>IF($L816="","",IF(INDEX(ExpDep,$L816)=0,"",INDEX(ExpDep,$L816)))</f>
        <v/>
      </c>
      <c r="H816" s="24">
        <f>IF($L816="","",IF(INDEX(ExpWit,$L816)=0,"",INDEX(ExpWit,$L816)))</f>
        <v/>
      </c>
      <c r="I816" s="25">
        <f>IF($B816="","",IF($I815="",0,$I815)+IF($H816="",0,$H816)-IF($G816="",0,$G816))</f>
        <v/>
      </c>
      <c r="J816" s="23">
        <f>IF($L816="","",IF(INDEX(ExpNote,$L816)="","—",INDEX(ExpNote,$L816)))</f>
        <v/>
      </c>
      <c r="L816">
        <f>IFERROR(MATCH($C$5&amp;"|"&amp;RIGHT("000000"&amp;800,6),ExpRankKey,0),"")</f>
        <v/>
      </c>
    </row>
    <row r="817">
      <c r="A817" s="16" t="n">
        <v>801</v>
      </c>
      <c r="B817" s="17">
        <f>IF($L817="","",INDEX(ExpNorm,$L817))</f>
        <v/>
      </c>
      <c r="C817" s="17">
        <f>IF($L817="","",IF(INDEX(ExpTime,$L817)="","—",LEFT(INDEX(ExpTime,$L817),2)&amp;":"&amp;RIGHT(INDEX(ExpTime,$L817),2)))</f>
        <v/>
      </c>
      <c r="D817" s="17">
        <f>IF($L817="","",IF(INDEX(ExpBank,$L817)="","—",INDEX(ExpBank,$L817)))</f>
        <v/>
      </c>
      <c r="E817" s="18">
        <f>IF($L817="","",IF(INDEX(ExpParty,$L817)="","—",IFERROR(VLOOKUP(INDEX(ExpParty,$L817),AcctTbl,4,0),INDEX(ExpParty,$L817))))</f>
        <v/>
      </c>
      <c r="F817" s="17">
        <f>IF($L817="","",IF(INDEX(ExpType,$L817)="","—",INDEX(ExpType,$L817)))</f>
        <v/>
      </c>
      <c r="G817" s="19">
        <f>IF($L817="","",IF(INDEX(ExpDep,$L817)=0,"",INDEX(ExpDep,$L817)))</f>
        <v/>
      </c>
      <c r="H817" s="19">
        <f>IF($L817="","",IF(INDEX(ExpWit,$L817)=0,"",INDEX(ExpWit,$L817)))</f>
        <v/>
      </c>
      <c r="I817" s="20">
        <f>IF($B817="","",IF($I816="",0,$I816)+IF($H817="",0,$H817)-IF($G817="",0,$G817))</f>
        <v/>
      </c>
      <c r="J817" s="18">
        <f>IF($L817="","",IF(INDEX(ExpNote,$L817)="","—",INDEX(ExpNote,$L817)))</f>
        <v/>
      </c>
      <c r="L817">
        <f>IFERROR(MATCH($C$5&amp;"|"&amp;RIGHT("000000"&amp;801,6),ExpRankKey,0),"")</f>
        <v/>
      </c>
    </row>
    <row r="818">
      <c r="A818" s="21" t="n">
        <v>802</v>
      </c>
      <c r="B818" s="22">
        <f>IF($L818="","",INDEX(ExpNorm,$L818))</f>
        <v/>
      </c>
      <c r="C818" s="22">
        <f>IF($L818="","",IF(INDEX(ExpTime,$L818)="","—",LEFT(INDEX(ExpTime,$L818),2)&amp;":"&amp;RIGHT(INDEX(ExpTime,$L818),2)))</f>
        <v/>
      </c>
      <c r="D818" s="22">
        <f>IF($L818="","",IF(INDEX(ExpBank,$L818)="","—",INDEX(ExpBank,$L818)))</f>
        <v/>
      </c>
      <c r="E818" s="23">
        <f>IF($L818="","",IF(INDEX(ExpParty,$L818)="","—",IFERROR(VLOOKUP(INDEX(ExpParty,$L818),AcctTbl,4,0),INDEX(ExpParty,$L818))))</f>
        <v/>
      </c>
      <c r="F818" s="22">
        <f>IF($L818="","",IF(INDEX(ExpType,$L818)="","—",INDEX(ExpType,$L818)))</f>
        <v/>
      </c>
      <c r="G818" s="24">
        <f>IF($L818="","",IF(INDEX(ExpDep,$L818)=0,"",INDEX(ExpDep,$L818)))</f>
        <v/>
      </c>
      <c r="H818" s="24">
        <f>IF($L818="","",IF(INDEX(ExpWit,$L818)=0,"",INDEX(ExpWit,$L818)))</f>
        <v/>
      </c>
      <c r="I818" s="25">
        <f>IF($B818="","",IF($I817="",0,$I817)+IF($H818="",0,$H818)-IF($G818="",0,$G818))</f>
        <v/>
      </c>
      <c r="J818" s="23">
        <f>IF($L818="","",IF(INDEX(ExpNote,$L818)="","—",INDEX(ExpNote,$L818)))</f>
        <v/>
      </c>
      <c r="L818">
        <f>IFERROR(MATCH($C$5&amp;"|"&amp;RIGHT("000000"&amp;802,6),ExpRankKey,0),"")</f>
        <v/>
      </c>
    </row>
    <row r="819">
      <c r="A819" s="16" t="n">
        <v>803</v>
      </c>
      <c r="B819" s="17">
        <f>IF($L819="","",INDEX(ExpNorm,$L819))</f>
        <v/>
      </c>
      <c r="C819" s="17">
        <f>IF($L819="","",IF(INDEX(ExpTime,$L819)="","—",LEFT(INDEX(ExpTime,$L819),2)&amp;":"&amp;RIGHT(INDEX(ExpTime,$L819),2)))</f>
        <v/>
      </c>
      <c r="D819" s="17">
        <f>IF($L819="","",IF(INDEX(ExpBank,$L819)="","—",INDEX(ExpBank,$L819)))</f>
        <v/>
      </c>
      <c r="E819" s="18">
        <f>IF($L819="","",IF(INDEX(ExpParty,$L819)="","—",IFERROR(VLOOKUP(INDEX(ExpParty,$L819),AcctTbl,4,0),INDEX(ExpParty,$L819))))</f>
        <v/>
      </c>
      <c r="F819" s="17">
        <f>IF($L819="","",IF(INDEX(ExpType,$L819)="","—",INDEX(ExpType,$L819)))</f>
        <v/>
      </c>
      <c r="G819" s="19">
        <f>IF($L819="","",IF(INDEX(ExpDep,$L819)=0,"",INDEX(ExpDep,$L819)))</f>
        <v/>
      </c>
      <c r="H819" s="19">
        <f>IF($L819="","",IF(INDEX(ExpWit,$L819)=0,"",INDEX(ExpWit,$L819)))</f>
        <v/>
      </c>
      <c r="I819" s="20">
        <f>IF($B819="","",IF($I818="",0,$I818)+IF($H819="",0,$H819)-IF($G819="",0,$G819))</f>
        <v/>
      </c>
      <c r="J819" s="18">
        <f>IF($L819="","",IF(INDEX(ExpNote,$L819)="","—",INDEX(ExpNote,$L819)))</f>
        <v/>
      </c>
      <c r="L819">
        <f>IFERROR(MATCH($C$5&amp;"|"&amp;RIGHT("000000"&amp;803,6),ExpRankKey,0),"")</f>
        <v/>
      </c>
    </row>
    <row r="820">
      <c r="A820" s="21" t="n">
        <v>804</v>
      </c>
      <c r="B820" s="22">
        <f>IF($L820="","",INDEX(ExpNorm,$L820))</f>
        <v/>
      </c>
      <c r="C820" s="22">
        <f>IF($L820="","",IF(INDEX(ExpTime,$L820)="","—",LEFT(INDEX(ExpTime,$L820),2)&amp;":"&amp;RIGHT(INDEX(ExpTime,$L820),2)))</f>
        <v/>
      </c>
      <c r="D820" s="22">
        <f>IF($L820="","",IF(INDEX(ExpBank,$L820)="","—",INDEX(ExpBank,$L820)))</f>
        <v/>
      </c>
      <c r="E820" s="23">
        <f>IF($L820="","",IF(INDEX(ExpParty,$L820)="","—",IFERROR(VLOOKUP(INDEX(ExpParty,$L820),AcctTbl,4,0),INDEX(ExpParty,$L820))))</f>
        <v/>
      </c>
      <c r="F820" s="22">
        <f>IF($L820="","",IF(INDEX(ExpType,$L820)="","—",INDEX(ExpType,$L820)))</f>
        <v/>
      </c>
      <c r="G820" s="24">
        <f>IF($L820="","",IF(INDEX(ExpDep,$L820)=0,"",INDEX(ExpDep,$L820)))</f>
        <v/>
      </c>
      <c r="H820" s="24">
        <f>IF($L820="","",IF(INDEX(ExpWit,$L820)=0,"",INDEX(ExpWit,$L820)))</f>
        <v/>
      </c>
      <c r="I820" s="25">
        <f>IF($B820="","",IF($I819="",0,$I819)+IF($H820="",0,$H820)-IF($G820="",0,$G820))</f>
        <v/>
      </c>
      <c r="J820" s="23">
        <f>IF($L820="","",IF(INDEX(ExpNote,$L820)="","—",INDEX(ExpNote,$L820)))</f>
        <v/>
      </c>
      <c r="L820">
        <f>IFERROR(MATCH($C$5&amp;"|"&amp;RIGHT("000000"&amp;804,6),ExpRankKey,0),"")</f>
        <v/>
      </c>
    </row>
    <row r="821">
      <c r="A821" s="16" t="n">
        <v>805</v>
      </c>
      <c r="B821" s="17">
        <f>IF($L821="","",INDEX(ExpNorm,$L821))</f>
        <v/>
      </c>
      <c r="C821" s="17">
        <f>IF($L821="","",IF(INDEX(ExpTime,$L821)="","—",LEFT(INDEX(ExpTime,$L821),2)&amp;":"&amp;RIGHT(INDEX(ExpTime,$L821),2)))</f>
        <v/>
      </c>
      <c r="D821" s="17">
        <f>IF($L821="","",IF(INDEX(ExpBank,$L821)="","—",INDEX(ExpBank,$L821)))</f>
        <v/>
      </c>
      <c r="E821" s="18">
        <f>IF($L821="","",IF(INDEX(ExpParty,$L821)="","—",IFERROR(VLOOKUP(INDEX(ExpParty,$L821),AcctTbl,4,0),INDEX(ExpParty,$L821))))</f>
        <v/>
      </c>
      <c r="F821" s="17">
        <f>IF($L821="","",IF(INDEX(ExpType,$L821)="","—",INDEX(ExpType,$L821)))</f>
        <v/>
      </c>
      <c r="G821" s="19">
        <f>IF($L821="","",IF(INDEX(ExpDep,$L821)=0,"",INDEX(ExpDep,$L821)))</f>
        <v/>
      </c>
      <c r="H821" s="19">
        <f>IF($L821="","",IF(INDEX(ExpWit,$L821)=0,"",INDEX(ExpWit,$L821)))</f>
        <v/>
      </c>
      <c r="I821" s="20">
        <f>IF($B821="","",IF($I820="",0,$I820)+IF($H821="",0,$H821)-IF($G821="",0,$G821))</f>
        <v/>
      </c>
      <c r="J821" s="18">
        <f>IF($L821="","",IF(INDEX(ExpNote,$L821)="","—",INDEX(ExpNote,$L821)))</f>
        <v/>
      </c>
      <c r="L821">
        <f>IFERROR(MATCH($C$5&amp;"|"&amp;RIGHT("000000"&amp;805,6),ExpRankKey,0),"")</f>
        <v/>
      </c>
    </row>
    <row r="822">
      <c r="A822" s="21" t="n">
        <v>806</v>
      </c>
      <c r="B822" s="22">
        <f>IF($L822="","",INDEX(ExpNorm,$L822))</f>
        <v/>
      </c>
      <c r="C822" s="22">
        <f>IF($L822="","",IF(INDEX(ExpTime,$L822)="","—",LEFT(INDEX(ExpTime,$L822),2)&amp;":"&amp;RIGHT(INDEX(ExpTime,$L822),2)))</f>
        <v/>
      </c>
      <c r="D822" s="22">
        <f>IF($L822="","",IF(INDEX(ExpBank,$L822)="","—",INDEX(ExpBank,$L822)))</f>
        <v/>
      </c>
      <c r="E822" s="23">
        <f>IF($L822="","",IF(INDEX(ExpParty,$L822)="","—",IFERROR(VLOOKUP(INDEX(ExpParty,$L822),AcctTbl,4,0),INDEX(ExpParty,$L822))))</f>
        <v/>
      </c>
      <c r="F822" s="22">
        <f>IF($L822="","",IF(INDEX(ExpType,$L822)="","—",INDEX(ExpType,$L822)))</f>
        <v/>
      </c>
      <c r="G822" s="24">
        <f>IF($L822="","",IF(INDEX(ExpDep,$L822)=0,"",INDEX(ExpDep,$L822)))</f>
        <v/>
      </c>
      <c r="H822" s="24">
        <f>IF($L822="","",IF(INDEX(ExpWit,$L822)=0,"",INDEX(ExpWit,$L822)))</f>
        <v/>
      </c>
      <c r="I822" s="25">
        <f>IF($B822="","",IF($I821="",0,$I821)+IF($H822="",0,$H822)-IF($G822="",0,$G822))</f>
        <v/>
      </c>
      <c r="J822" s="23">
        <f>IF($L822="","",IF(INDEX(ExpNote,$L822)="","—",INDEX(ExpNote,$L822)))</f>
        <v/>
      </c>
      <c r="L822">
        <f>IFERROR(MATCH($C$5&amp;"|"&amp;RIGHT("000000"&amp;806,6),ExpRankKey,0),"")</f>
        <v/>
      </c>
    </row>
    <row r="823">
      <c r="A823" s="16" t="n">
        <v>807</v>
      </c>
      <c r="B823" s="17">
        <f>IF($L823="","",INDEX(ExpNorm,$L823))</f>
        <v/>
      </c>
      <c r="C823" s="17">
        <f>IF($L823="","",IF(INDEX(ExpTime,$L823)="","—",LEFT(INDEX(ExpTime,$L823),2)&amp;":"&amp;RIGHT(INDEX(ExpTime,$L823),2)))</f>
        <v/>
      </c>
      <c r="D823" s="17">
        <f>IF($L823="","",IF(INDEX(ExpBank,$L823)="","—",INDEX(ExpBank,$L823)))</f>
        <v/>
      </c>
      <c r="E823" s="18">
        <f>IF($L823="","",IF(INDEX(ExpParty,$L823)="","—",IFERROR(VLOOKUP(INDEX(ExpParty,$L823),AcctTbl,4,0),INDEX(ExpParty,$L823))))</f>
        <v/>
      </c>
      <c r="F823" s="17">
        <f>IF($L823="","",IF(INDEX(ExpType,$L823)="","—",INDEX(ExpType,$L823)))</f>
        <v/>
      </c>
      <c r="G823" s="19">
        <f>IF($L823="","",IF(INDEX(ExpDep,$L823)=0,"",INDEX(ExpDep,$L823)))</f>
        <v/>
      </c>
      <c r="H823" s="19">
        <f>IF($L823="","",IF(INDEX(ExpWit,$L823)=0,"",INDEX(ExpWit,$L823)))</f>
        <v/>
      </c>
      <c r="I823" s="20">
        <f>IF($B823="","",IF($I822="",0,$I822)+IF($H823="",0,$H823)-IF($G823="",0,$G823))</f>
        <v/>
      </c>
      <c r="J823" s="18">
        <f>IF($L823="","",IF(INDEX(ExpNote,$L823)="","—",INDEX(ExpNote,$L823)))</f>
        <v/>
      </c>
      <c r="L823">
        <f>IFERROR(MATCH($C$5&amp;"|"&amp;RIGHT("000000"&amp;807,6),ExpRankKey,0),"")</f>
        <v/>
      </c>
    </row>
    <row r="824">
      <c r="A824" s="21" t="n">
        <v>808</v>
      </c>
      <c r="B824" s="22">
        <f>IF($L824="","",INDEX(ExpNorm,$L824))</f>
        <v/>
      </c>
      <c r="C824" s="22">
        <f>IF($L824="","",IF(INDEX(ExpTime,$L824)="","—",LEFT(INDEX(ExpTime,$L824),2)&amp;":"&amp;RIGHT(INDEX(ExpTime,$L824),2)))</f>
        <v/>
      </c>
      <c r="D824" s="22">
        <f>IF($L824="","",IF(INDEX(ExpBank,$L824)="","—",INDEX(ExpBank,$L824)))</f>
        <v/>
      </c>
      <c r="E824" s="23">
        <f>IF($L824="","",IF(INDEX(ExpParty,$L824)="","—",IFERROR(VLOOKUP(INDEX(ExpParty,$L824),AcctTbl,4,0),INDEX(ExpParty,$L824))))</f>
        <v/>
      </c>
      <c r="F824" s="22">
        <f>IF($L824="","",IF(INDEX(ExpType,$L824)="","—",INDEX(ExpType,$L824)))</f>
        <v/>
      </c>
      <c r="G824" s="24">
        <f>IF($L824="","",IF(INDEX(ExpDep,$L824)=0,"",INDEX(ExpDep,$L824)))</f>
        <v/>
      </c>
      <c r="H824" s="24">
        <f>IF($L824="","",IF(INDEX(ExpWit,$L824)=0,"",INDEX(ExpWit,$L824)))</f>
        <v/>
      </c>
      <c r="I824" s="25">
        <f>IF($B824="","",IF($I823="",0,$I823)+IF($H824="",0,$H824)-IF($G824="",0,$G824))</f>
        <v/>
      </c>
      <c r="J824" s="23">
        <f>IF($L824="","",IF(INDEX(ExpNote,$L824)="","—",INDEX(ExpNote,$L824)))</f>
        <v/>
      </c>
      <c r="L824">
        <f>IFERROR(MATCH($C$5&amp;"|"&amp;RIGHT("000000"&amp;808,6),ExpRankKey,0),"")</f>
        <v/>
      </c>
    </row>
    <row r="825">
      <c r="A825" s="16" t="n">
        <v>809</v>
      </c>
      <c r="B825" s="17">
        <f>IF($L825="","",INDEX(ExpNorm,$L825))</f>
        <v/>
      </c>
      <c r="C825" s="17">
        <f>IF($L825="","",IF(INDEX(ExpTime,$L825)="","—",LEFT(INDEX(ExpTime,$L825),2)&amp;":"&amp;RIGHT(INDEX(ExpTime,$L825),2)))</f>
        <v/>
      </c>
      <c r="D825" s="17">
        <f>IF($L825="","",IF(INDEX(ExpBank,$L825)="","—",INDEX(ExpBank,$L825)))</f>
        <v/>
      </c>
      <c r="E825" s="18">
        <f>IF($L825="","",IF(INDEX(ExpParty,$L825)="","—",IFERROR(VLOOKUP(INDEX(ExpParty,$L825),AcctTbl,4,0),INDEX(ExpParty,$L825))))</f>
        <v/>
      </c>
      <c r="F825" s="17">
        <f>IF($L825="","",IF(INDEX(ExpType,$L825)="","—",INDEX(ExpType,$L825)))</f>
        <v/>
      </c>
      <c r="G825" s="19">
        <f>IF($L825="","",IF(INDEX(ExpDep,$L825)=0,"",INDEX(ExpDep,$L825)))</f>
        <v/>
      </c>
      <c r="H825" s="19">
        <f>IF($L825="","",IF(INDEX(ExpWit,$L825)=0,"",INDEX(ExpWit,$L825)))</f>
        <v/>
      </c>
      <c r="I825" s="20">
        <f>IF($B825="","",IF($I824="",0,$I824)+IF($H825="",0,$H825)-IF($G825="",0,$G825))</f>
        <v/>
      </c>
      <c r="J825" s="18">
        <f>IF($L825="","",IF(INDEX(ExpNote,$L825)="","—",INDEX(ExpNote,$L825)))</f>
        <v/>
      </c>
      <c r="L825">
        <f>IFERROR(MATCH($C$5&amp;"|"&amp;RIGHT("000000"&amp;809,6),ExpRankKey,0),"")</f>
        <v/>
      </c>
    </row>
    <row r="826">
      <c r="A826" s="21" t="n">
        <v>810</v>
      </c>
      <c r="B826" s="22">
        <f>IF($L826="","",INDEX(ExpNorm,$L826))</f>
        <v/>
      </c>
      <c r="C826" s="22">
        <f>IF($L826="","",IF(INDEX(ExpTime,$L826)="","—",LEFT(INDEX(ExpTime,$L826),2)&amp;":"&amp;RIGHT(INDEX(ExpTime,$L826),2)))</f>
        <v/>
      </c>
      <c r="D826" s="22">
        <f>IF($L826="","",IF(INDEX(ExpBank,$L826)="","—",INDEX(ExpBank,$L826)))</f>
        <v/>
      </c>
      <c r="E826" s="23">
        <f>IF($L826="","",IF(INDEX(ExpParty,$L826)="","—",IFERROR(VLOOKUP(INDEX(ExpParty,$L826),AcctTbl,4,0),INDEX(ExpParty,$L826))))</f>
        <v/>
      </c>
      <c r="F826" s="22">
        <f>IF($L826="","",IF(INDEX(ExpType,$L826)="","—",INDEX(ExpType,$L826)))</f>
        <v/>
      </c>
      <c r="G826" s="24">
        <f>IF($L826="","",IF(INDEX(ExpDep,$L826)=0,"",INDEX(ExpDep,$L826)))</f>
        <v/>
      </c>
      <c r="H826" s="24">
        <f>IF($L826="","",IF(INDEX(ExpWit,$L826)=0,"",INDEX(ExpWit,$L826)))</f>
        <v/>
      </c>
      <c r="I826" s="25">
        <f>IF($B826="","",IF($I825="",0,$I825)+IF($H826="",0,$H826)-IF($G826="",0,$G826))</f>
        <v/>
      </c>
      <c r="J826" s="23">
        <f>IF($L826="","",IF(INDEX(ExpNote,$L826)="","—",INDEX(ExpNote,$L826)))</f>
        <v/>
      </c>
      <c r="L826">
        <f>IFERROR(MATCH($C$5&amp;"|"&amp;RIGHT("000000"&amp;810,6),ExpRankKey,0),"")</f>
        <v/>
      </c>
    </row>
    <row r="827">
      <c r="A827" s="16" t="n">
        <v>811</v>
      </c>
      <c r="B827" s="17">
        <f>IF($L827="","",INDEX(ExpNorm,$L827))</f>
        <v/>
      </c>
      <c r="C827" s="17">
        <f>IF($L827="","",IF(INDEX(ExpTime,$L827)="","—",LEFT(INDEX(ExpTime,$L827),2)&amp;":"&amp;RIGHT(INDEX(ExpTime,$L827),2)))</f>
        <v/>
      </c>
      <c r="D827" s="17">
        <f>IF($L827="","",IF(INDEX(ExpBank,$L827)="","—",INDEX(ExpBank,$L827)))</f>
        <v/>
      </c>
      <c r="E827" s="18">
        <f>IF($L827="","",IF(INDEX(ExpParty,$L827)="","—",IFERROR(VLOOKUP(INDEX(ExpParty,$L827),AcctTbl,4,0),INDEX(ExpParty,$L827))))</f>
        <v/>
      </c>
      <c r="F827" s="17">
        <f>IF($L827="","",IF(INDEX(ExpType,$L827)="","—",INDEX(ExpType,$L827)))</f>
        <v/>
      </c>
      <c r="G827" s="19">
        <f>IF($L827="","",IF(INDEX(ExpDep,$L827)=0,"",INDEX(ExpDep,$L827)))</f>
        <v/>
      </c>
      <c r="H827" s="19">
        <f>IF($L827="","",IF(INDEX(ExpWit,$L827)=0,"",INDEX(ExpWit,$L827)))</f>
        <v/>
      </c>
      <c r="I827" s="20">
        <f>IF($B827="","",IF($I826="",0,$I826)+IF($H827="",0,$H827)-IF($G827="",0,$G827))</f>
        <v/>
      </c>
      <c r="J827" s="18">
        <f>IF($L827="","",IF(INDEX(ExpNote,$L827)="","—",INDEX(ExpNote,$L827)))</f>
        <v/>
      </c>
      <c r="L827">
        <f>IFERROR(MATCH($C$5&amp;"|"&amp;RIGHT("000000"&amp;811,6),ExpRankKey,0),"")</f>
        <v/>
      </c>
    </row>
    <row r="828">
      <c r="A828" s="21" t="n">
        <v>812</v>
      </c>
      <c r="B828" s="22">
        <f>IF($L828="","",INDEX(ExpNorm,$L828))</f>
        <v/>
      </c>
      <c r="C828" s="22">
        <f>IF($L828="","",IF(INDEX(ExpTime,$L828)="","—",LEFT(INDEX(ExpTime,$L828),2)&amp;":"&amp;RIGHT(INDEX(ExpTime,$L828),2)))</f>
        <v/>
      </c>
      <c r="D828" s="22">
        <f>IF($L828="","",IF(INDEX(ExpBank,$L828)="","—",INDEX(ExpBank,$L828)))</f>
        <v/>
      </c>
      <c r="E828" s="23">
        <f>IF($L828="","",IF(INDEX(ExpParty,$L828)="","—",IFERROR(VLOOKUP(INDEX(ExpParty,$L828),AcctTbl,4,0),INDEX(ExpParty,$L828))))</f>
        <v/>
      </c>
      <c r="F828" s="22">
        <f>IF($L828="","",IF(INDEX(ExpType,$L828)="","—",INDEX(ExpType,$L828)))</f>
        <v/>
      </c>
      <c r="G828" s="24">
        <f>IF($L828="","",IF(INDEX(ExpDep,$L828)=0,"",INDEX(ExpDep,$L828)))</f>
        <v/>
      </c>
      <c r="H828" s="24">
        <f>IF($L828="","",IF(INDEX(ExpWit,$L828)=0,"",INDEX(ExpWit,$L828)))</f>
        <v/>
      </c>
      <c r="I828" s="25">
        <f>IF($B828="","",IF($I827="",0,$I827)+IF($H828="",0,$H828)-IF($G828="",0,$G828))</f>
        <v/>
      </c>
      <c r="J828" s="23">
        <f>IF($L828="","",IF(INDEX(ExpNote,$L828)="","—",INDEX(ExpNote,$L828)))</f>
        <v/>
      </c>
      <c r="L828">
        <f>IFERROR(MATCH($C$5&amp;"|"&amp;RIGHT("000000"&amp;812,6),ExpRankKey,0),"")</f>
        <v/>
      </c>
    </row>
    <row r="829">
      <c r="A829" s="16" t="n">
        <v>813</v>
      </c>
      <c r="B829" s="17">
        <f>IF($L829="","",INDEX(ExpNorm,$L829))</f>
        <v/>
      </c>
      <c r="C829" s="17">
        <f>IF($L829="","",IF(INDEX(ExpTime,$L829)="","—",LEFT(INDEX(ExpTime,$L829),2)&amp;":"&amp;RIGHT(INDEX(ExpTime,$L829),2)))</f>
        <v/>
      </c>
      <c r="D829" s="17">
        <f>IF($L829="","",IF(INDEX(ExpBank,$L829)="","—",INDEX(ExpBank,$L829)))</f>
        <v/>
      </c>
      <c r="E829" s="18">
        <f>IF($L829="","",IF(INDEX(ExpParty,$L829)="","—",IFERROR(VLOOKUP(INDEX(ExpParty,$L829),AcctTbl,4,0),INDEX(ExpParty,$L829))))</f>
        <v/>
      </c>
      <c r="F829" s="17">
        <f>IF($L829="","",IF(INDEX(ExpType,$L829)="","—",INDEX(ExpType,$L829)))</f>
        <v/>
      </c>
      <c r="G829" s="19">
        <f>IF($L829="","",IF(INDEX(ExpDep,$L829)=0,"",INDEX(ExpDep,$L829)))</f>
        <v/>
      </c>
      <c r="H829" s="19">
        <f>IF($L829="","",IF(INDEX(ExpWit,$L829)=0,"",INDEX(ExpWit,$L829)))</f>
        <v/>
      </c>
      <c r="I829" s="20">
        <f>IF($B829="","",IF($I828="",0,$I828)+IF($H829="",0,$H829)-IF($G829="",0,$G829))</f>
        <v/>
      </c>
      <c r="J829" s="18">
        <f>IF($L829="","",IF(INDEX(ExpNote,$L829)="","—",INDEX(ExpNote,$L829)))</f>
        <v/>
      </c>
      <c r="L829">
        <f>IFERROR(MATCH($C$5&amp;"|"&amp;RIGHT("000000"&amp;813,6),ExpRankKey,0),"")</f>
        <v/>
      </c>
    </row>
    <row r="830">
      <c r="A830" s="21" t="n">
        <v>814</v>
      </c>
      <c r="B830" s="22">
        <f>IF($L830="","",INDEX(ExpNorm,$L830))</f>
        <v/>
      </c>
      <c r="C830" s="22">
        <f>IF($L830="","",IF(INDEX(ExpTime,$L830)="","—",LEFT(INDEX(ExpTime,$L830),2)&amp;":"&amp;RIGHT(INDEX(ExpTime,$L830),2)))</f>
        <v/>
      </c>
      <c r="D830" s="22">
        <f>IF($L830="","",IF(INDEX(ExpBank,$L830)="","—",INDEX(ExpBank,$L830)))</f>
        <v/>
      </c>
      <c r="E830" s="23">
        <f>IF($L830="","",IF(INDEX(ExpParty,$L830)="","—",IFERROR(VLOOKUP(INDEX(ExpParty,$L830),AcctTbl,4,0),INDEX(ExpParty,$L830))))</f>
        <v/>
      </c>
      <c r="F830" s="22">
        <f>IF($L830="","",IF(INDEX(ExpType,$L830)="","—",INDEX(ExpType,$L830)))</f>
        <v/>
      </c>
      <c r="G830" s="24">
        <f>IF($L830="","",IF(INDEX(ExpDep,$L830)=0,"",INDEX(ExpDep,$L830)))</f>
        <v/>
      </c>
      <c r="H830" s="24">
        <f>IF($L830="","",IF(INDEX(ExpWit,$L830)=0,"",INDEX(ExpWit,$L830)))</f>
        <v/>
      </c>
      <c r="I830" s="25">
        <f>IF($B830="","",IF($I829="",0,$I829)+IF($H830="",0,$H830)-IF($G830="",0,$G830))</f>
        <v/>
      </c>
      <c r="J830" s="23">
        <f>IF($L830="","",IF(INDEX(ExpNote,$L830)="","—",INDEX(ExpNote,$L830)))</f>
        <v/>
      </c>
      <c r="L830">
        <f>IFERROR(MATCH($C$5&amp;"|"&amp;RIGHT("000000"&amp;814,6),ExpRankKey,0),"")</f>
        <v/>
      </c>
    </row>
    <row r="831">
      <c r="A831" s="16" t="n">
        <v>815</v>
      </c>
      <c r="B831" s="17">
        <f>IF($L831="","",INDEX(ExpNorm,$L831))</f>
        <v/>
      </c>
      <c r="C831" s="17">
        <f>IF($L831="","",IF(INDEX(ExpTime,$L831)="","—",LEFT(INDEX(ExpTime,$L831),2)&amp;":"&amp;RIGHT(INDEX(ExpTime,$L831),2)))</f>
        <v/>
      </c>
      <c r="D831" s="17">
        <f>IF($L831="","",IF(INDEX(ExpBank,$L831)="","—",INDEX(ExpBank,$L831)))</f>
        <v/>
      </c>
      <c r="E831" s="18">
        <f>IF($L831="","",IF(INDEX(ExpParty,$L831)="","—",IFERROR(VLOOKUP(INDEX(ExpParty,$L831),AcctTbl,4,0),INDEX(ExpParty,$L831))))</f>
        <v/>
      </c>
      <c r="F831" s="17">
        <f>IF($L831="","",IF(INDEX(ExpType,$L831)="","—",INDEX(ExpType,$L831)))</f>
        <v/>
      </c>
      <c r="G831" s="19">
        <f>IF($L831="","",IF(INDEX(ExpDep,$L831)=0,"",INDEX(ExpDep,$L831)))</f>
        <v/>
      </c>
      <c r="H831" s="19">
        <f>IF($L831="","",IF(INDEX(ExpWit,$L831)=0,"",INDEX(ExpWit,$L831)))</f>
        <v/>
      </c>
      <c r="I831" s="20">
        <f>IF($B831="","",IF($I830="",0,$I830)+IF($H831="",0,$H831)-IF($G831="",0,$G831))</f>
        <v/>
      </c>
      <c r="J831" s="18">
        <f>IF($L831="","",IF(INDEX(ExpNote,$L831)="","—",INDEX(ExpNote,$L831)))</f>
        <v/>
      </c>
      <c r="L831">
        <f>IFERROR(MATCH($C$5&amp;"|"&amp;RIGHT("000000"&amp;815,6),ExpRankKey,0),"")</f>
        <v/>
      </c>
    </row>
    <row r="832">
      <c r="A832" s="21" t="n">
        <v>816</v>
      </c>
      <c r="B832" s="22">
        <f>IF($L832="","",INDEX(ExpNorm,$L832))</f>
        <v/>
      </c>
      <c r="C832" s="22">
        <f>IF($L832="","",IF(INDEX(ExpTime,$L832)="","—",LEFT(INDEX(ExpTime,$L832),2)&amp;":"&amp;RIGHT(INDEX(ExpTime,$L832),2)))</f>
        <v/>
      </c>
      <c r="D832" s="22">
        <f>IF($L832="","",IF(INDEX(ExpBank,$L832)="","—",INDEX(ExpBank,$L832)))</f>
        <v/>
      </c>
      <c r="E832" s="23">
        <f>IF($L832="","",IF(INDEX(ExpParty,$L832)="","—",IFERROR(VLOOKUP(INDEX(ExpParty,$L832),AcctTbl,4,0),INDEX(ExpParty,$L832))))</f>
        <v/>
      </c>
      <c r="F832" s="22">
        <f>IF($L832="","",IF(INDEX(ExpType,$L832)="","—",INDEX(ExpType,$L832)))</f>
        <v/>
      </c>
      <c r="G832" s="24">
        <f>IF($L832="","",IF(INDEX(ExpDep,$L832)=0,"",INDEX(ExpDep,$L832)))</f>
        <v/>
      </c>
      <c r="H832" s="24">
        <f>IF($L832="","",IF(INDEX(ExpWit,$L832)=0,"",INDEX(ExpWit,$L832)))</f>
        <v/>
      </c>
      <c r="I832" s="25">
        <f>IF($B832="","",IF($I831="",0,$I831)+IF($H832="",0,$H832)-IF($G832="",0,$G832))</f>
        <v/>
      </c>
      <c r="J832" s="23">
        <f>IF($L832="","",IF(INDEX(ExpNote,$L832)="","—",INDEX(ExpNote,$L832)))</f>
        <v/>
      </c>
      <c r="L832">
        <f>IFERROR(MATCH($C$5&amp;"|"&amp;RIGHT("000000"&amp;816,6),ExpRankKey,0),"")</f>
        <v/>
      </c>
    </row>
    <row r="833">
      <c r="A833" s="16" t="n">
        <v>817</v>
      </c>
      <c r="B833" s="17">
        <f>IF($L833="","",INDEX(ExpNorm,$L833))</f>
        <v/>
      </c>
      <c r="C833" s="17">
        <f>IF($L833="","",IF(INDEX(ExpTime,$L833)="","—",LEFT(INDEX(ExpTime,$L833),2)&amp;":"&amp;RIGHT(INDEX(ExpTime,$L833),2)))</f>
        <v/>
      </c>
      <c r="D833" s="17">
        <f>IF($L833="","",IF(INDEX(ExpBank,$L833)="","—",INDEX(ExpBank,$L833)))</f>
        <v/>
      </c>
      <c r="E833" s="18">
        <f>IF($L833="","",IF(INDEX(ExpParty,$L833)="","—",IFERROR(VLOOKUP(INDEX(ExpParty,$L833),AcctTbl,4,0),INDEX(ExpParty,$L833))))</f>
        <v/>
      </c>
      <c r="F833" s="17">
        <f>IF($L833="","",IF(INDEX(ExpType,$L833)="","—",INDEX(ExpType,$L833)))</f>
        <v/>
      </c>
      <c r="G833" s="19">
        <f>IF($L833="","",IF(INDEX(ExpDep,$L833)=0,"",INDEX(ExpDep,$L833)))</f>
        <v/>
      </c>
      <c r="H833" s="19">
        <f>IF($L833="","",IF(INDEX(ExpWit,$L833)=0,"",INDEX(ExpWit,$L833)))</f>
        <v/>
      </c>
      <c r="I833" s="20">
        <f>IF($B833="","",IF($I832="",0,$I832)+IF($H833="",0,$H833)-IF($G833="",0,$G833))</f>
        <v/>
      </c>
      <c r="J833" s="18">
        <f>IF($L833="","",IF(INDEX(ExpNote,$L833)="","—",INDEX(ExpNote,$L833)))</f>
        <v/>
      </c>
      <c r="L833">
        <f>IFERROR(MATCH($C$5&amp;"|"&amp;RIGHT("000000"&amp;817,6),ExpRankKey,0),"")</f>
        <v/>
      </c>
    </row>
    <row r="834">
      <c r="A834" s="21" t="n">
        <v>818</v>
      </c>
      <c r="B834" s="22">
        <f>IF($L834="","",INDEX(ExpNorm,$L834))</f>
        <v/>
      </c>
      <c r="C834" s="22">
        <f>IF($L834="","",IF(INDEX(ExpTime,$L834)="","—",LEFT(INDEX(ExpTime,$L834),2)&amp;":"&amp;RIGHT(INDEX(ExpTime,$L834),2)))</f>
        <v/>
      </c>
      <c r="D834" s="22">
        <f>IF($L834="","",IF(INDEX(ExpBank,$L834)="","—",INDEX(ExpBank,$L834)))</f>
        <v/>
      </c>
      <c r="E834" s="23">
        <f>IF($L834="","",IF(INDEX(ExpParty,$L834)="","—",IFERROR(VLOOKUP(INDEX(ExpParty,$L834),AcctTbl,4,0),INDEX(ExpParty,$L834))))</f>
        <v/>
      </c>
      <c r="F834" s="22">
        <f>IF($L834="","",IF(INDEX(ExpType,$L834)="","—",INDEX(ExpType,$L834)))</f>
        <v/>
      </c>
      <c r="G834" s="24">
        <f>IF($L834="","",IF(INDEX(ExpDep,$L834)=0,"",INDEX(ExpDep,$L834)))</f>
        <v/>
      </c>
      <c r="H834" s="24">
        <f>IF($L834="","",IF(INDEX(ExpWit,$L834)=0,"",INDEX(ExpWit,$L834)))</f>
        <v/>
      </c>
      <c r="I834" s="25">
        <f>IF($B834="","",IF($I833="",0,$I833)+IF($H834="",0,$H834)-IF($G834="",0,$G834))</f>
        <v/>
      </c>
      <c r="J834" s="23">
        <f>IF($L834="","",IF(INDEX(ExpNote,$L834)="","—",INDEX(ExpNote,$L834)))</f>
        <v/>
      </c>
      <c r="L834">
        <f>IFERROR(MATCH($C$5&amp;"|"&amp;RIGHT("000000"&amp;818,6),ExpRankKey,0),"")</f>
        <v/>
      </c>
    </row>
    <row r="835">
      <c r="A835" s="16" t="n">
        <v>819</v>
      </c>
      <c r="B835" s="17">
        <f>IF($L835="","",INDEX(ExpNorm,$L835))</f>
        <v/>
      </c>
      <c r="C835" s="17">
        <f>IF($L835="","",IF(INDEX(ExpTime,$L835)="","—",LEFT(INDEX(ExpTime,$L835),2)&amp;":"&amp;RIGHT(INDEX(ExpTime,$L835),2)))</f>
        <v/>
      </c>
      <c r="D835" s="17">
        <f>IF($L835="","",IF(INDEX(ExpBank,$L835)="","—",INDEX(ExpBank,$L835)))</f>
        <v/>
      </c>
      <c r="E835" s="18">
        <f>IF($L835="","",IF(INDEX(ExpParty,$L835)="","—",IFERROR(VLOOKUP(INDEX(ExpParty,$L835),AcctTbl,4,0),INDEX(ExpParty,$L835))))</f>
        <v/>
      </c>
      <c r="F835" s="17">
        <f>IF($L835="","",IF(INDEX(ExpType,$L835)="","—",INDEX(ExpType,$L835)))</f>
        <v/>
      </c>
      <c r="G835" s="19">
        <f>IF($L835="","",IF(INDEX(ExpDep,$L835)=0,"",INDEX(ExpDep,$L835)))</f>
        <v/>
      </c>
      <c r="H835" s="19">
        <f>IF($L835="","",IF(INDEX(ExpWit,$L835)=0,"",INDEX(ExpWit,$L835)))</f>
        <v/>
      </c>
      <c r="I835" s="20">
        <f>IF($B835="","",IF($I834="",0,$I834)+IF($H835="",0,$H835)-IF($G835="",0,$G835))</f>
        <v/>
      </c>
      <c r="J835" s="18">
        <f>IF($L835="","",IF(INDEX(ExpNote,$L835)="","—",INDEX(ExpNote,$L835)))</f>
        <v/>
      </c>
      <c r="L835">
        <f>IFERROR(MATCH($C$5&amp;"|"&amp;RIGHT("000000"&amp;819,6),ExpRankKey,0),"")</f>
        <v/>
      </c>
    </row>
    <row r="836">
      <c r="A836" s="21" t="n">
        <v>820</v>
      </c>
      <c r="B836" s="22">
        <f>IF($L836="","",INDEX(ExpNorm,$L836))</f>
        <v/>
      </c>
      <c r="C836" s="22">
        <f>IF($L836="","",IF(INDEX(ExpTime,$L836)="","—",LEFT(INDEX(ExpTime,$L836),2)&amp;":"&amp;RIGHT(INDEX(ExpTime,$L836),2)))</f>
        <v/>
      </c>
      <c r="D836" s="22">
        <f>IF($L836="","",IF(INDEX(ExpBank,$L836)="","—",INDEX(ExpBank,$L836)))</f>
        <v/>
      </c>
      <c r="E836" s="23">
        <f>IF($L836="","",IF(INDEX(ExpParty,$L836)="","—",IFERROR(VLOOKUP(INDEX(ExpParty,$L836),AcctTbl,4,0),INDEX(ExpParty,$L836))))</f>
        <v/>
      </c>
      <c r="F836" s="22">
        <f>IF($L836="","",IF(INDEX(ExpType,$L836)="","—",INDEX(ExpType,$L836)))</f>
        <v/>
      </c>
      <c r="G836" s="24">
        <f>IF($L836="","",IF(INDEX(ExpDep,$L836)=0,"",INDEX(ExpDep,$L836)))</f>
        <v/>
      </c>
      <c r="H836" s="24">
        <f>IF($L836="","",IF(INDEX(ExpWit,$L836)=0,"",INDEX(ExpWit,$L836)))</f>
        <v/>
      </c>
      <c r="I836" s="25">
        <f>IF($B836="","",IF($I835="",0,$I835)+IF($H836="",0,$H836)-IF($G836="",0,$G836))</f>
        <v/>
      </c>
      <c r="J836" s="23">
        <f>IF($L836="","",IF(INDEX(ExpNote,$L836)="","—",INDEX(ExpNote,$L836)))</f>
        <v/>
      </c>
      <c r="L836">
        <f>IFERROR(MATCH($C$5&amp;"|"&amp;RIGHT("000000"&amp;820,6),ExpRankKey,0),"")</f>
        <v/>
      </c>
    </row>
    <row r="837">
      <c r="A837" s="16" t="n">
        <v>821</v>
      </c>
      <c r="B837" s="17">
        <f>IF($L837="","",INDEX(ExpNorm,$L837))</f>
        <v/>
      </c>
      <c r="C837" s="17">
        <f>IF($L837="","",IF(INDEX(ExpTime,$L837)="","—",LEFT(INDEX(ExpTime,$L837),2)&amp;":"&amp;RIGHT(INDEX(ExpTime,$L837),2)))</f>
        <v/>
      </c>
      <c r="D837" s="17">
        <f>IF($L837="","",IF(INDEX(ExpBank,$L837)="","—",INDEX(ExpBank,$L837)))</f>
        <v/>
      </c>
      <c r="E837" s="18">
        <f>IF($L837="","",IF(INDEX(ExpParty,$L837)="","—",IFERROR(VLOOKUP(INDEX(ExpParty,$L837),AcctTbl,4,0),INDEX(ExpParty,$L837))))</f>
        <v/>
      </c>
      <c r="F837" s="17">
        <f>IF($L837="","",IF(INDEX(ExpType,$L837)="","—",INDEX(ExpType,$L837)))</f>
        <v/>
      </c>
      <c r="G837" s="19">
        <f>IF($L837="","",IF(INDEX(ExpDep,$L837)=0,"",INDEX(ExpDep,$L837)))</f>
        <v/>
      </c>
      <c r="H837" s="19">
        <f>IF($L837="","",IF(INDEX(ExpWit,$L837)=0,"",INDEX(ExpWit,$L837)))</f>
        <v/>
      </c>
      <c r="I837" s="20">
        <f>IF($B837="","",IF($I836="",0,$I836)+IF($H837="",0,$H837)-IF($G837="",0,$G837))</f>
        <v/>
      </c>
      <c r="J837" s="18">
        <f>IF($L837="","",IF(INDEX(ExpNote,$L837)="","—",INDEX(ExpNote,$L837)))</f>
        <v/>
      </c>
      <c r="L837">
        <f>IFERROR(MATCH($C$5&amp;"|"&amp;RIGHT("000000"&amp;821,6),ExpRankKey,0),"")</f>
        <v/>
      </c>
    </row>
    <row r="838">
      <c r="A838" s="21" t="n">
        <v>822</v>
      </c>
      <c r="B838" s="22">
        <f>IF($L838="","",INDEX(ExpNorm,$L838))</f>
        <v/>
      </c>
      <c r="C838" s="22">
        <f>IF($L838="","",IF(INDEX(ExpTime,$L838)="","—",LEFT(INDEX(ExpTime,$L838),2)&amp;":"&amp;RIGHT(INDEX(ExpTime,$L838),2)))</f>
        <v/>
      </c>
      <c r="D838" s="22">
        <f>IF($L838="","",IF(INDEX(ExpBank,$L838)="","—",INDEX(ExpBank,$L838)))</f>
        <v/>
      </c>
      <c r="E838" s="23">
        <f>IF($L838="","",IF(INDEX(ExpParty,$L838)="","—",IFERROR(VLOOKUP(INDEX(ExpParty,$L838),AcctTbl,4,0),INDEX(ExpParty,$L838))))</f>
        <v/>
      </c>
      <c r="F838" s="22">
        <f>IF($L838="","",IF(INDEX(ExpType,$L838)="","—",INDEX(ExpType,$L838)))</f>
        <v/>
      </c>
      <c r="G838" s="24">
        <f>IF($L838="","",IF(INDEX(ExpDep,$L838)=0,"",INDEX(ExpDep,$L838)))</f>
        <v/>
      </c>
      <c r="H838" s="24">
        <f>IF($L838="","",IF(INDEX(ExpWit,$L838)=0,"",INDEX(ExpWit,$L838)))</f>
        <v/>
      </c>
      <c r="I838" s="25">
        <f>IF($B838="","",IF($I837="",0,$I837)+IF($H838="",0,$H838)-IF($G838="",0,$G838))</f>
        <v/>
      </c>
      <c r="J838" s="23">
        <f>IF($L838="","",IF(INDEX(ExpNote,$L838)="","—",INDEX(ExpNote,$L838)))</f>
        <v/>
      </c>
      <c r="L838">
        <f>IFERROR(MATCH($C$5&amp;"|"&amp;RIGHT("000000"&amp;822,6),ExpRankKey,0),"")</f>
        <v/>
      </c>
    </row>
    <row r="839">
      <c r="A839" s="16" t="n">
        <v>823</v>
      </c>
      <c r="B839" s="17">
        <f>IF($L839="","",INDEX(ExpNorm,$L839))</f>
        <v/>
      </c>
      <c r="C839" s="17">
        <f>IF($L839="","",IF(INDEX(ExpTime,$L839)="","—",LEFT(INDEX(ExpTime,$L839),2)&amp;":"&amp;RIGHT(INDEX(ExpTime,$L839),2)))</f>
        <v/>
      </c>
      <c r="D839" s="17">
        <f>IF($L839="","",IF(INDEX(ExpBank,$L839)="","—",INDEX(ExpBank,$L839)))</f>
        <v/>
      </c>
      <c r="E839" s="18">
        <f>IF($L839="","",IF(INDEX(ExpParty,$L839)="","—",IFERROR(VLOOKUP(INDEX(ExpParty,$L839),AcctTbl,4,0),INDEX(ExpParty,$L839))))</f>
        <v/>
      </c>
      <c r="F839" s="17">
        <f>IF($L839="","",IF(INDEX(ExpType,$L839)="","—",INDEX(ExpType,$L839)))</f>
        <v/>
      </c>
      <c r="G839" s="19">
        <f>IF($L839="","",IF(INDEX(ExpDep,$L839)=0,"",INDEX(ExpDep,$L839)))</f>
        <v/>
      </c>
      <c r="H839" s="19">
        <f>IF($L839="","",IF(INDEX(ExpWit,$L839)=0,"",INDEX(ExpWit,$L839)))</f>
        <v/>
      </c>
      <c r="I839" s="20">
        <f>IF($B839="","",IF($I838="",0,$I838)+IF($H839="",0,$H839)-IF($G839="",0,$G839))</f>
        <v/>
      </c>
      <c r="J839" s="18">
        <f>IF($L839="","",IF(INDEX(ExpNote,$L839)="","—",INDEX(ExpNote,$L839)))</f>
        <v/>
      </c>
      <c r="L839">
        <f>IFERROR(MATCH($C$5&amp;"|"&amp;RIGHT("000000"&amp;823,6),ExpRankKey,0),"")</f>
        <v/>
      </c>
    </row>
    <row r="840">
      <c r="A840" s="21" t="n">
        <v>824</v>
      </c>
      <c r="B840" s="22">
        <f>IF($L840="","",INDEX(ExpNorm,$L840))</f>
        <v/>
      </c>
      <c r="C840" s="22">
        <f>IF($L840="","",IF(INDEX(ExpTime,$L840)="","—",LEFT(INDEX(ExpTime,$L840),2)&amp;":"&amp;RIGHT(INDEX(ExpTime,$L840),2)))</f>
        <v/>
      </c>
      <c r="D840" s="22">
        <f>IF($L840="","",IF(INDEX(ExpBank,$L840)="","—",INDEX(ExpBank,$L840)))</f>
        <v/>
      </c>
      <c r="E840" s="23">
        <f>IF($L840="","",IF(INDEX(ExpParty,$L840)="","—",IFERROR(VLOOKUP(INDEX(ExpParty,$L840),AcctTbl,4,0),INDEX(ExpParty,$L840))))</f>
        <v/>
      </c>
      <c r="F840" s="22">
        <f>IF($L840="","",IF(INDEX(ExpType,$L840)="","—",INDEX(ExpType,$L840)))</f>
        <v/>
      </c>
      <c r="G840" s="24">
        <f>IF($L840="","",IF(INDEX(ExpDep,$L840)=0,"",INDEX(ExpDep,$L840)))</f>
        <v/>
      </c>
      <c r="H840" s="24">
        <f>IF($L840="","",IF(INDEX(ExpWit,$L840)=0,"",INDEX(ExpWit,$L840)))</f>
        <v/>
      </c>
      <c r="I840" s="25">
        <f>IF($B840="","",IF($I839="",0,$I839)+IF($H840="",0,$H840)-IF($G840="",0,$G840))</f>
        <v/>
      </c>
      <c r="J840" s="23">
        <f>IF($L840="","",IF(INDEX(ExpNote,$L840)="","—",INDEX(ExpNote,$L840)))</f>
        <v/>
      </c>
      <c r="L840">
        <f>IFERROR(MATCH($C$5&amp;"|"&amp;RIGHT("000000"&amp;824,6),ExpRankKey,0),"")</f>
        <v/>
      </c>
    </row>
    <row r="841">
      <c r="A841" s="16" t="n">
        <v>825</v>
      </c>
      <c r="B841" s="17">
        <f>IF($L841="","",INDEX(ExpNorm,$L841))</f>
        <v/>
      </c>
      <c r="C841" s="17">
        <f>IF($L841="","",IF(INDEX(ExpTime,$L841)="","—",LEFT(INDEX(ExpTime,$L841),2)&amp;":"&amp;RIGHT(INDEX(ExpTime,$L841),2)))</f>
        <v/>
      </c>
      <c r="D841" s="17">
        <f>IF($L841="","",IF(INDEX(ExpBank,$L841)="","—",INDEX(ExpBank,$L841)))</f>
        <v/>
      </c>
      <c r="E841" s="18">
        <f>IF($L841="","",IF(INDEX(ExpParty,$L841)="","—",IFERROR(VLOOKUP(INDEX(ExpParty,$L841),AcctTbl,4,0),INDEX(ExpParty,$L841))))</f>
        <v/>
      </c>
      <c r="F841" s="17">
        <f>IF($L841="","",IF(INDEX(ExpType,$L841)="","—",INDEX(ExpType,$L841)))</f>
        <v/>
      </c>
      <c r="G841" s="19">
        <f>IF($L841="","",IF(INDEX(ExpDep,$L841)=0,"",INDEX(ExpDep,$L841)))</f>
        <v/>
      </c>
      <c r="H841" s="19">
        <f>IF($L841="","",IF(INDEX(ExpWit,$L841)=0,"",INDEX(ExpWit,$L841)))</f>
        <v/>
      </c>
      <c r="I841" s="20">
        <f>IF($B841="","",IF($I840="",0,$I840)+IF($H841="",0,$H841)-IF($G841="",0,$G841))</f>
        <v/>
      </c>
      <c r="J841" s="18">
        <f>IF($L841="","",IF(INDEX(ExpNote,$L841)="","—",INDEX(ExpNote,$L841)))</f>
        <v/>
      </c>
      <c r="L841">
        <f>IFERROR(MATCH($C$5&amp;"|"&amp;RIGHT("000000"&amp;825,6),ExpRankKey,0),"")</f>
        <v/>
      </c>
    </row>
    <row r="842">
      <c r="A842" s="21" t="n">
        <v>826</v>
      </c>
      <c r="B842" s="22">
        <f>IF($L842="","",INDEX(ExpNorm,$L842))</f>
        <v/>
      </c>
      <c r="C842" s="22">
        <f>IF($L842="","",IF(INDEX(ExpTime,$L842)="","—",LEFT(INDEX(ExpTime,$L842),2)&amp;":"&amp;RIGHT(INDEX(ExpTime,$L842),2)))</f>
        <v/>
      </c>
      <c r="D842" s="22">
        <f>IF($L842="","",IF(INDEX(ExpBank,$L842)="","—",INDEX(ExpBank,$L842)))</f>
        <v/>
      </c>
      <c r="E842" s="23">
        <f>IF($L842="","",IF(INDEX(ExpParty,$L842)="","—",IFERROR(VLOOKUP(INDEX(ExpParty,$L842),AcctTbl,4,0),INDEX(ExpParty,$L842))))</f>
        <v/>
      </c>
      <c r="F842" s="22">
        <f>IF($L842="","",IF(INDEX(ExpType,$L842)="","—",INDEX(ExpType,$L842)))</f>
        <v/>
      </c>
      <c r="G842" s="24">
        <f>IF($L842="","",IF(INDEX(ExpDep,$L842)=0,"",INDEX(ExpDep,$L842)))</f>
        <v/>
      </c>
      <c r="H842" s="24">
        <f>IF($L842="","",IF(INDEX(ExpWit,$L842)=0,"",INDEX(ExpWit,$L842)))</f>
        <v/>
      </c>
      <c r="I842" s="25">
        <f>IF($B842="","",IF($I841="",0,$I841)+IF($H842="",0,$H842)-IF($G842="",0,$G842))</f>
        <v/>
      </c>
      <c r="J842" s="23">
        <f>IF($L842="","",IF(INDEX(ExpNote,$L842)="","—",INDEX(ExpNote,$L842)))</f>
        <v/>
      </c>
      <c r="L842">
        <f>IFERROR(MATCH($C$5&amp;"|"&amp;RIGHT("000000"&amp;826,6),ExpRankKey,0),"")</f>
        <v/>
      </c>
    </row>
    <row r="843">
      <c r="A843" s="16" t="n">
        <v>827</v>
      </c>
      <c r="B843" s="17">
        <f>IF($L843="","",INDEX(ExpNorm,$L843))</f>
        <v/>
      </c>
      <c r="C843" s="17">
        <f>IF($L843="","",IF(INDEX(ExpTime,$L843)="","—",LEFT(INDEX(ExpTime,$L843),2)&amp;":"&amp;RIGHT(INDEX(ExpTime,$L843),2)))</f>
        <v/>
      </c>
      <c r="D843" s="17">
        <f>IF($L843="","",IF(INDEX(ExpBank,$L843)="","—",INDEX(ExpBank,$L843)))</f>
        <v/>
      </c>
      <c r="E843" s="18">
        <f>IF($L843="","",IF(INDEX(ExpParty,$L843)="","—",IFERROR(VLOOKUP(INDEX(ExpParty,$L843),AcctTbl,4,0),INDEX(ExpParty,$L843))))</f>
        <v/>
      </c>
      <c r="F843" s="17">
        <f>IF($L843="","",IF(INDEX(ExpType,$L843)="","—",INDEX(ExpType,$L843)))</f>
        <v/>
      </c>
      <c r="G843" s="19">
        <f>IF($L843="","",IF(INDEX(ExpDep,$L843)=0,"",INDEX(ExpDep,$L843)))</f>
        <v/>
      </c>
      <c r="H843" s="19">
        <f>IF($L843="","",IF(INDEX(ExpWit,$L843)=0,"",INDEX(ExpWit,$L843)))</f>
        <v/>
      </c>
      <c r="I843" s="20">
        <f>IF($B843="","",IF($I842="",0,$I842)+IF($H843="",0,$H843)-IF($G843="",0,$G843))</f>
        <v/>
      </c>
      <c r="J843" s="18">
        <f>IF($L843="","",IF(INDEX(ExpNote,$L843)="","—",INDEX(ExpNote,$L843)))</f>
        <v/>
      </c>
      <c r="L843">
        <f>IFERROR(MATCH($C$5&amp;"|"&amp;RIGHT("000000"&amp;827,6),ExpRankKey,0),"")</f>
        <v/>
      </c>
    </row>
    <row r="844">
      <c r="A844" s="21" t="n">
        <v>828</v>
      </c>
      <c r="B844" s="22">
        <f>IF($L844="","",INDEX(ExpNorm,$L844))</f>
        <v/>
      </c>
      <c r="C844" s="22">
        <f>IF($L844="","",IF(INDEX(ExpTime,$L844)="","—",LEFT(INDEX(ExpTime,$L844),2)&amp;":"&amp;RIGHT(INDEX(ExpTime,$L844),2)))</f>
        <v/>
      </c>
      <c r="D844" s="22">
        <f>IF($L844="","",IF(INDEX(ExpBank,$L844)="","—",INDEX(ExpBank,$L844)))</f>
        <v/>
      </c>
      <c r="E844" s="23">
        <f>IF($L844="","",IF(INDEX(ExpParty,$L844)="","—",IFERROR(VLOOKUP(INDEX(ExpParty,$L844),AcctTbl,4,0),INDEX(ExpParty,$L844))))</f>
        <v/>
      </c>
      <c r="F844" s="22">
        <f>IF($L844="","",IF(INDEX(ExpType,$L844)="","—",INDEX(ExpType,$L844)))</f>
        <v/>
      </c>
      <c r="G844" s="24">
        <f>IF($L844="","",IF(INDEX(ExpDep,$L844)=0,"",INDEX(ExpDep,$L844)))</f>
        <v/>
      </c>
      <c r="H844" s="24">
        <f>IF($L844="","",IF(INDEX(ExpWit,$L844)=0,"",INDEX(ExpWit,$L844)))</f>
        <v/>
      </c>
      <c r="I844" s="25">
        <f>IF($B844="","",IF($I843="",0,$I843)+IF($H844="",0,$H844)-IF($G844="",0,$G844))</f>
        <v/>
      </c>
      <c r="J844" s="23">
        <f>IF($L844="","",IF(INDEX(ExpNote,$L844)="","—",INDEX(ExpNote,$L844)))</f>
        <v/>
      </c>
      <c r="L844">
        <f>IFERROR(MATCH($C$5&amp;"|"&amp;RIGHT("000000"&amp;828,6),ExpRankKey,0),"")</f>
        <v/>
      </c>
    </row>
    <row r="845">
      <c r="A845" s="16" t="n">
        <v>829</v>
      </c>
      <c r="B845" s="17">
        <f>IF($L845="","",INDEX(ExpNorm,$L845))</f>
        <v/>
      </c>
      <c r="C845" s="17">
        <f>IF($L845="","",IF(INDEX(ExpTime,$L845)="","—",LEFT(INDEX(ExpTime,$L845),2)&amp;":"&amp;RIGHT(INDEX(ExpTime,$L845),2)))</f>
        <v/>
      </c>
      <c r="D845" s="17">
        <f>IF($L845="","",IF(INDEX(ExpBank,$L845)="","—",INDEX(ExpBank,$L845)))</f>
        <v/>
      </c>
      <c r="E845" s="18">
        <f>IF($L845="","",IF(INDEX(ExpParty,$L845)="","—",IFERROR(VLOOKUP(INDEX(ExpParty,$L845),AcctTbl,4,0),INDEX(ExpParty,$L845))))</f>
        <v/>
      </c>
      <c r="F845" s="17">
        <f>IF($L845="","",IF(INDEX(ExpType,$L845)="","—",INDEX(ExpType,$L845)))</f>
        <v/>
      </c>
      <c r="G845" s="19">
        <f>IF($L845="","",IF(INDEX(ExpDep,$L845)=0,"",INDEX(ExpDep,$L845)))</f>
        <v/>
      </c>
      <c r="H845" s="19">
        <f>IF($L845="","",IF(INDEX(ExpWit,$L845)=0,"",INDEX(ExpWit,$L845)))</f>
        <v/>
      </c>
      <c r="I845" s="20">
        <f>IF($B845="","",IF($I844="",0,$I844)+IF($H845="",0,$H845)-IF($G845="",0,$G845))</f>
        <v/>
      </c>
      <c r="J845" s="18">
        <f>IF($L845="","",IF(INDEX(ExpNote,$L845)="","—",INDEX(ExpNote,$L845)))</f>
        <v/>
      </c>
      <c r="L845">
        <f>IFERROR(MATCH($C$5&amp;"|"&amp;RIGHT("000000"&amp;829,6),ExpRankKey,0),"")</f>
        <v/>
      </c>
    </row>
    <row r="846">
      <c r="A846" s="21" t="n">
        <v>830</v>
      </c>
      <c r="B846" s="22">
        <f>IF($L846="","",INDEX(ExpNorm,$L846))</f>
        <v/>
      </c>
      <c r="C846" s="22">
        <f>IF($L846="","",IF(INDEX(ExpTime,$L846)="","—",LEFT(INDEX(ExpTime,$L846),2)&amp;":"&amp;RIGHT(INDEX(ExpTime,$L846),2)))</f>
        <v/>
      </c>
      <c r="D846" s="22">
        <f>IF($L846="","",IF(INDEX(ExpBank,$L846)="","—",INDEX(ExpBank,$L846)))</f>
        <v/>
      </c>
      <c r="E846" s="23">
        <f>IF($L846="","",IF(INDEX(ExpParty,$L846)="","—",IFERROR(VLOOKUP(INDEX(ExpParty,$L846),AcctTbl,4,0),INDEX(ExpParty,$L846))))</f>
        <v/>
      </c>
      <c r="F846" s="22">
        <f>IF($L846="","",IF(INDEX(ExpType,$L846)="","—",INDEX(ExpType,$L846)))</f>
        <v/>
      </c>
      <c r="G846" s="24">
        <f>IF($L846="","",IF(INDEX(ExpDep,$L846)=0,"",INDEX(ExpDep,$L846)))</f>
        <v/>
      </c>
      <c r="H846" s="24">
        <f>IF($L846="","",IF(INDEX(ExpWit,$L846)=0,"",INDEX(ExpWit,$L846)))</f>
        <v/>
      </c>
      <c r="I846" s="25">
        <f>IF($B846="","",IF($I845="",0,$I845)+IF($H846="",0,$H846)-IF($G846="",0,$G846))</f>
        <v/>
      </c>
      <c r="J846" s="23">
        <f>IF($L846="","",IF(INDEX(ExpNote,$L846)="","—",INDEX(ExpNote,$L846)))</f>
        <v/>
      </c>
      <c r="L846">
        <f>IFERROR(MATCH($C$5&amp;"|"&amp;RIGHT("000000"&amp;830,6),ExpRankKey,0),"")</f>
        <v/>
      </c>
    </row>
    <row r="847">
      <c r="A847" s="16" t="n">
        <v>831</v>
      </c>
      <c r="B847" s="17">
        <f>IF($L847="","",INDEX(ExpNorm,$L847))</f>
        <v/>
      </c>
      <c r="C847" s="17">
        <f>IF($L847="","",IF(INDEX(ExpTime,$L847)="","—",LEFT(INDEX(ExpTime,$L847),2)&amp;":"&amp;RIGHT(INDEX(ExpTime,$L847),2)))</f>
        <v/>
      </c>
      <c r="D847" s="17">
        <f>IF($L847="","",IF(INDEX(ExpBank,$L847)="","—",INDEX(ExpBank,$L847)))</f>
        <v/>
      </c>
      <c r="E847" s="18">
        <f>IF($L847="","",IF(INDEX(ExpParty,$L847)="","—",IFERROR(VLOOKUP(INDEX(ExpParty,$L847),AcctTbl,4,0),INDEX(ExpParty,$L847))))</f>
        <v/>
      </c>
      <c r="F847" s="17">
        <f>IF($L847="","",IF(INDEX(ExpType,$L847)="","—",INDEX(ExpType,$L847)))</f>
        <v/>
      </c>
      <c r="G847" s="19">
        <f>IF($L847="","",IF(INDEX(ExpDep,$L847)=0,"",INDEX(ExpDep,$L847)))</f>
        <v/>
      </c>
      <c r="H847" s="19">
        <f>IF($L847="","",IF(INDEX(ExpWit,$L847)=0,"",INDEX(ExpWit,$L847)))</f>
        <v/>
      </c>
      <c r="I847" s="20">
        <f>IF($B847="","",IF($I846="",0,$I846)+IF($H847="",0,$H847)-IF($G847="",0,$G847))</f>
        <v/>
      </c>
      <c r="J847" s="18">
        <f>IF($L847="","",IF(INDEX(ExpNote,$L847)="","—",INDEX(ExpNote,$L847)))</f>
        <v/>
      </c>
      <c r="L847">
        <f>IFERROR(MATCH($C$5&amp;"|"&amp;RIGHT("000000"&amp;831,6),ExpRankKey,0),"")</f>
        <v/>
      </c>
    </row>
    <row r="848">
      <c r="A848" s="21" t="n">
        <v>832</v>
      </c>
      <c r="B848" s="22">
        <f>IF($L848="","",INDEX(ExpNorm,$L848))</f>
        <v/>
      </c>
      <c r="C848" s="22">
        <f>IF($L848="","",IF(INDEX(ExpTime,$L848)="","—",LEFT(INDEX(ExpTime,$L848),2)&amp;":"&amp;RIGHT(INDEX(ExpTime,$L848),2)))</f>
        <v/>
      </c>
      <c r="D848" s="22">
        <f>IF($L848="","",IF(INDEX(ExpBank,$L848)="","—",INDEX(ExpBank,$L848)))</f>
        <v/>
      </c>
      <c r="E848" s="23">
        <f>IF($L848="","",IF(INDEX(ExpParty,$L848)="","—",IFERROR(VLOOKUP(INDEX(ExpParty,$L848),AcctTbl,4,0),INDEX(ExpParty,$L848))))</f>
        <v/>
      </c>
      <c r="F848" s="22">
        <f>IF($L848="","",IF(INDEX(ExpType,$L848)="","—",INDEX(ExpType,$L848)))</f>
        <v/>
      </c>
      <c r="G848" s="24">
        <f>IF($L848="","",IF(INDEX(ExpDep,$L848)=0,"",INDEX(ExpDep,$L848)))</f>
        <v/>
      </c>
      <c r="H848" s="24">
        <f>IF($L848="","",IF(INDEX(ExpWit,$L848)=0,"",INDEX(ExpWit,$L848)))</f>
        <v/>
      </c>
      <c r="I848" s="25">
        <f>IF($B848="","",IF($I847="",0,$I847)+IF($H848="",0,$H848)-IF($G848="",0,$G848))</f>
        <v/>
      </c>
      <c r="J848" s="23">
        <f>IF($L848="","",IF(INDEX(ExpNote,$L848)="","—",INDEX(ExpNote,$L848)))</f>
        <v/>
      </c>
      <c r="L848">
        <f>IFERROR(MATCH($C$5&amp;"|"&amp;RIGHT("000000"&amp;832,6),ExpRankKey,0),"")</f>
        <v/>
      </c>
    </row>
    <row r="849">
      <c r="A849" s="16" t="n">
        <v>833</v>
      </c>
      <c r="B849" s="17">
        <f>IF($L849="","",INDEX(ExpNorm,$L849))</f>
        <v/>
      </c>
      <c r="C849" s="17">
        <f>IF($L849="","",IF(INDEX(ExpTime,$L849)="","—",LEFT(INDEX(ExpTime,$L849),2)&amp;":"&amp;RIGHT(INDEX(ExpTime,$L849),2)))</f>
        <v/>
      </c>
      <c r="D849" s="17">
        <f>IF($L849="","",IF(INDEX(ExpBank,$L849)="","—",INDEX(ExpBank,$L849)))</f>
        <v/>
      </c>
      <c r="E849" s="18">
        <f>IF($L849="","",IF(INDEX(ExpParty,$L849)="","—",IFERROR(VLOOKUP(INDEX(ExpParty,$L849),AcctTbl,4,0),INDEX(ExpParty,$L849))))</f>
        <v/>
      </c>
      <c r="F849" s="17">
        <f>IF($L849="","",IF(INDEX(ExpType,$L849)="","—",INDEX(ExpType,$L849)))</f>
        <v/>
      </c>
      <c r="G849" s="19">
        <f>IF($L849="","",IF(INDEX(ExpDep,$L849)=0,"",INDEX(ExpDep,$L849)))</f>
        <v/>
      </c>
      <c r="H849" s="19">
        <f>IF($L849="","",IF(INDEX(ExpWit,$L849)=0,"",INDEX(ExpWit,$L849)))</f>
        <v/>
      </c>
      <c r="I849" s="20">
        <f>IF($B849="","",IF($I848="",0,$I848)+IF($H849="",0,$H849)-IF($G849="",0,$G849))</f>
        <v/>
      </c>
      <c r="J849" s="18">
        <f>IF($L849="","",IF(INDEX(ExpNote,$L849)="","—",INDEX(ExpNote,$L849)))</f>
        <v/>
      </c>
      <c r="L849">
        <f>IFERROR(MATCH($C$5&amp;"|"&amp;RIGHT("000000"&amp;833,6),ExpRankKey,0),"")</f>
        <v/>
      </c>
    </row>
    <row r="850">
      <c r="A850" s="21" t="n">
        <v>834</v>
      </c>
      <c r="B850" s="22">
        <f>IF($L850="","",INDEX(ExpNorm,$L850))</f>
        <v/>
      </c>
      <c r="C850" s="22">
        <f>IF($L850="","",IF(INDEX(ExpTime,$L850)="","—",LEFT(INDEX(ExpTime,$L850),2)&amp;":"&amp;RIGHT(INDEX(ExpTime,$L850),2)))</f>
        <v/>
      </c>
      <c r="D850" s="22">
        <f>IF($L850="","",IF(INDEX(ExpBank,$L850)="","—",INDEX(ExpBank,$L850)))</f>
        <v/>
      </c>
      <c r="E850" s="23">
        <f>IF($L850="","",IF(INDEX(ExpParty,$L850)="","—",IFERROR(VLOOKUP(INDEX(ExpParty,$L850),AcctTbl,4,0),INDEX(ExpParty,$L850))))</f>
        <v/>
      </c>
      <c r="F850" s="22">
        <f>IF($L850="","",IF(INDEX(ExpType,$L850)="","—",INDEX(ExpType,$L850)))</f>
        <v/>
      </c>
      <c r="G850" s="24">
        <f>IF($L850="","",IF(INDEX(ExpDep,$L850)=0,"",INDEX(ExpDep,$L850)))</f>
        <v/>
      </c>
      <c r="H850" s="24">
        <f>IF($L850="","",IF(INDEX(ExpWit,$L850)=0,"",INDEX(ExpWit,$L850)))</f>
        <v/>
      </c>
      <c r="I850" s="25">
        <f>IF($B850="","",IF($I849="",0,$I849)+IF($H850="",0,$H850)-IF($G850="",0,$G850))</f>
        <v/>
      </c>
      <c r="J850" s="23">
        <f>IF($L850="","",IF(INDEX(ExpNote,$L850)="","—",INDEX(ExpNote,$L850)))</f>
        <v/>
      </c>
      <c r="L850">
        <f>IFERROR(MATCH($C$5&amp;"|"&amp;RIGHT("000000"&amp;834,6),ExpRankKey,0),"")</f>
        <v/>
      </c>
    </row>
    <row r="851">
      <c r="A851" s="16" t="n">
        <v>835</v>
      </c>
      <c r="B851" s="17">
        <f>IF($L851="","",INDEX(ExpNorm,$L851))</f>
        <v/>
      </c>
      <c r="C851" s="17">
        <f>IF($L851="","",IF(INDEX(ExpTime,$L851)="","—",LEFT(INDEX(ExpTime,$L851),2)&amp;":"&amp;RIGHT(INDEX(ExpTime,$L851),2)))</f>
        <v/>
      </c>
      <c r="D851" s="17">
        <f>IF($L851="","",IF(INDEX(ExpBank,$L851)="","—",INDEX(ExpBank,$L851)))</f>
        <v/>
      </c>
      <c r="E851" s="18">
        <f>IF($L851="","",IF(INDEX(ExpParty,$L851)="","—",IFERROR(VLOOKUP(INDEX(ExpParty,$L851),AcctTbl,4,0),INDEX(ExpParty,$L851))))</f>
        <v/>
      </c>
      <c r="F851" s="17">
        <f>IF($L851="","",IF(INDEX(ExpType,$L851)="","—",INDEX(ExpType,$L851)))</f>
        <v/>
      </c>
      <c r="G851" s="19">
        <f>IF($L851="","",IF(INDEX(ExpDep,$L851)=0,"",INDEX(ExpDep,$L851)))</f>
        <v/>
      </c>
      <c r="H851" s="19">
        <f>IF($L851="","",IF(INDEX(ExpWit,$L851)=0,"",INDEX(ExpWit,$L851)))</f>
        <v/>
      </c>
      <c r="I851" s="20">
        <f>IF($B851="","",IF($I850="",0,$I850)+IF($H851="",0,$H851)-IF($G851="",0,$G851))</f>
        <v/>
      </c>
      <c r="J851" s="18">
        <f>IF($L851="","",IF(INDEX(ExpNote,$L851)="","—",INDEX(ExpNote,$L851)))</f>
        <v/>
      </c>
      <c r="L851">
        <f>IFERROR(MATCH($C$5&amp;"|"&amp;RIGHT("000000"&amp;835,6),ExpRankKey,0),"")</f>
        <v/>
      </c>
    </row>
    <row r="852">
      <c r="A852" s="21" t="n">
        <v>836</v>
      </c>
      <c r="B852" s="22">
        <f>IF($L852="","",INDEX(ExpNorm,$L852))</f>
        <v/>
      </c>
      <c r="C852" s="22">
        <f>IF($L852="","",IF(INDEX(ExpTime,$L852)="","—",LEFT(INDEX(ExpTime,$L852),2)&amp;":"&amp;RIGHT(INDEX(ExpTime,$L852),2)))</f>
        <v/>
      </c>
      <c r="D852" s="22">
        <f>IF($L852="","",IF(INDEX(ExpBank,$L852)="","—",INDEX(ExpBank,$L852)))</f>
        <v/>
      </c>
      <c r="E852" s="23">
        <f>IF($L852="","",IF(INDEX(ExpParty,$L852)="","—",IFERROR(VLOOKUP(INDEX(ExpParty,$L852),AcctTbl,4,0),INDEX(ExpParty,$L852))))</f>
        <v/>
      </c>
      <c r="F852" s="22">
        <f>IF($L852="","",IF(INDEX(ExpType,$L852)="","—",INDEX(ExpType,$L852)))</f>
        <v/>
      </c>
      <c r="G852" s="24">
        <f>IF($L852="","",IF(INDEX(ExpDep,$L852)=0,"",INDEX(ExpDep,$L852)))</f>
        <v/>
      </c>
      <c r="H852" s="24">
        <f>IF($L852="","",IF(INDEX(ExpWit,$L852)=0,"",INDEX(ExpWit,$L852)))</f>
        <v/>
      </c>
      <c r="I852" s="25">
        <f>IF($B852="","",IF($I851="",0,$I851)+IF($H852="",0,$H852)-IF($G852="",0,$G852))</f>
        <v/>
      </c>
      <c r="J852" s="23">
        <f>IF($L852="","",IF(INDEX(ExpNote,$L852)="","—",INDEX(ExpNote,$L852)))</f>
        <v/>
      </c>
      <c r="L852">
        <f>IFERROR(MATCH($C$5&amp;"|"&amp;RIGHT("000000"&amp;836,6),ExpRankKey,0),"")</f>
        <v/>
      </c>
    </row>
    <row r="853">
      <c r="A853" s="16" t="n">
        <v>837</v>
      </c>
      <c r="B853" s="17">
        <f>IF($L853="","",INDEX(ExpNorm,$L853))</f>
        <v/>
      </c>
      <c r="C853" s="17">
        <f>IF($L853="","",IF(INDEX(ExpTime,$L853)="","—",LEFT(INDEX(ExpTime,$L853),2)&amp;":"&amp;RIGHT(INDEX(ExpTime,$L853),2)))</f>
        <v/>
      </c>
      <c r="D853" s="17">
        <f>IF($L853="","",IF(INDEX(ExpBank,$L853)="","—",INDEX(ExpBank,$L853)))</f>
        <v/>
      </c>
      <c r="E853" s="18">
        <f>IF($L853="","",IF(INDEX(ExpParty,$L853)="","—",IFERROR(VLOOKUP(INDEX(ExpParty,$L853),AcctTbl,4,0),INDEX(ExpParty,$L853))))</f>
        <v/>
      </c>
      <c r="F853" s="17">
        <f>IF($L853="","",IF(INDEX(ExpType,$L853)="","—",INDEX(ExpType,$L853)))</f>
        <v/>
      </c>
      <c r="G853" s="19">
        <f>IF($L853="","",IF(INDEX(ExpDep,$L853)=0,"",INDEX(ExpDep,$L853)))</f>
        <v/>
      </c>
      <c r="H853" s="19">
        <f>IF($L853="","",IF(INDEX(ExpWit,$L853)=0,"",INDEX(ExpWit,$L853)))</f>
        <v/>
      </c>
      <c r="I853" s="20">
        <f>IF($B853="","",IF($I852="",0,$I852)+IF($H853="",0,$H853)-IF($G853="",0,$G853))</f>
        <v/>
      </c>
      <c r="J853" s="18">
        <f>IF($L853="","",IF(INDEX(ExpNote,$L853)="","—",INDEX(ExpNote,$L853)))</f>
        <v/>
      </c>
      <c r="L853">
        <f>IFERROR(MATCH($C$5&amp;"|"&amp;RIGHT("000000"&amp;837,6),ExpRankKey,0),"")</f>
        <v/>
      </c>
    </row>
    <row r="854">
      <c r="A854" s="21" t="n">
        <v>838</v>
      </c>
      <c r="B854" s="22">
        <f>IF($L854="","",INDEX(ExpNorm,$L854))</f>
        <v/>
      </c>
      <c r="C854" s="22">
        <f>IF($L854="","",IF(INDEX(ExpTime,$L854)="","—",LEFT(INDEX(ExpTime,$L854),2)&amp;":"&amp;RIGHT(INDEX(ExpTime,$L854),2)))</f>
        <v/>
      </c>
      <c r="D854" s="22">
        <f>IF($L854="","",IF(INDEX(ExpBank,$L854)="","—",INDEX(ExpBank,$L854)))</f>
        <v/>
      </c>
      <c r="E854" s="23">
        <f>IF($L854="","",IF(INDEX(ExpParty,$L854)="","—",IFERROR(VLOOKUP(INDEX(ExpParty,$L854),AcctTbl,4,0),INDEX(ExpParty,$L854))))</f>
        <v/>
      </c>
      <c r="F854" s="22">
        <f>IF($L854="","",IF(INDEX(ExpType,$L854)="","—",INDEX(ExpType,$L854)))</f>
        <v/>
      </c>
      <c r="G854" s="24">
        <f>IF($L854="","",IF(INDEX(ExpDep,$L854)=0,"",INDEX(ExpDep,$L854)))</f>
        <v/>
      </c>
      <c r="H854" s="24">
        <f>IF($L854="","",IF(INDEX(ExpWit,$L854)=0,"",INDEX(ExpWit,$L854)))</f>
        <v/>
      </c>
      <c r="I854" s="25">
        <f>IF($B854="","",IF($I853="",0,$I853)+IF($H854="",0,$H854)-IF($G854="",0,$G854))</f>
        <v/>
      </c>
      <c r="J854" s="23">
        <f>IF($L854="","",IF(INDEX(ExpNote,$L854)="","—",INDEX(ExpNote,$L854)))</f>
        <v/>
      </c>
      <c r="L854">
        <f>IFERROR(MATCH($C$5&amp;"|"&amp;RIGHT("000000"&amp;838,6),ExpRankKey,0),"")</f>
        <v/>
      </c>
    </row>
    <row r="855">
      <c r="A855" s="16" t="n">
        <v>839</v>
      </c>
      <c r="B855" s="17">
        <f>IF($L855="","",INDEX(ExpNorm,$L855))</f>
        <v/>
      </c>
      <c r="C855" s="17">
        <f>IF($L855="","",IF(INDEX(ExpTime,$L855)="","—",LEFT(INDEX(ExpTime,$L855),2)&amp;":"&amp;RIGHT(INDEX(ExpTime,$L855),2)))</f>
        <v/>
      </c>
      <c r="D855" s="17">
        <f>IF($L855="","",IF(INDEX(ExpBank,$L855)="","—",INDEX(ExpBank,$L855)))</f>
        <v/>
      </c>
      <c r="E855" s="18">
        <f>IF($L855="","",IF(INDEX(ExpParty,$L855)="","—",IFERROR(VLOOKUP(INDEX(ExpParty,$L855),AcctTbl,4,0),INDEX(ExpParty,$L855))))</f>
        <v/>
      </c>
      <c r="F855" s="17">
        <f>IF($L855="","",IF(INDEX(ExpType,$L855)="","—",INDEX(ExpType,$L855)))</f>
        <v/>
      </c>
      <c r="G855" s="19">
        <f>IF($L855="","",IF(INDEX(ExpDep,$L855)=0,"",INDEX(ExpDep,$L855)))</f>
        <v/>
      </c>
      <c r="H855" s="19">
        <f>IF($L855="","",IF(INDEX(ExpWit,$L855)=0,"",INDEX(ExpWit,$L855)))</f>
        <v/>
      </c>
      <c r="I855" s="20">
        <f>IF($B855="","",IF($I854="",0,$I854)+IF($H855="",0,$H855)-IF($G855="",0,$G855))</f>
        <v/>
      </c>
      <c r="J855" s="18">
        <f>IF($L855="","",IF(INDEX(ExpNote,$L855)="","—",INDEX(ExpNote,$L855)))</f>
        <v/>
      </c>
      <c r="L855">
        <f>IFERROR(MATCH($C$5&amp;"|"&amp;RIGHT("000000"&amp;839,6),ExpRankKey,0),"")</f>
        <v/>
      </c>
    </row>
    <row r="856">
      <c r="A856" s="21" t="n">
        <v>840</v>
      </c>
      <c r="B856" s="22">
        <f>IF($L856="","",INDEX(ExpNorm,$L856))</f>
        <v/>
      </c>
      <c r="C856" s="22">
        <f>IF($L856="","",IF(INDEX(ExpTime,$L856)="","—",LEFT(INDEX(ExpTime,$L856),2)&amp;":"&amp;RIGHT(INDEX(ExpTime,$L856),2)))</f>
        <v/>
      </c>
      <c r="D856" s="22">
        <f>IF($L856="","",IF(INDEX(ExpBank,$L856)="","—",INDEX(ExpBank,$L856)))</f>
        <v/>
      </c>
      <c r="E856" s="23">
        <f>IF($L856="","",IF(INDEX(ExpParty,$L856)="","—",IFERROR(VLOOKUP(INDEX(ExpParty,$L856),AcctTbl,4,0),INDEX(ExpParty,$L856))))</f>
        <v/>
      </c>
      <c r="F856" s="22">
        <f>IF($L856="","",IF(INDEX(ExpType,$L856)="","—",INDEX(ExpType,$L856)))</f>
        <v/>
      </c>
      <c r="G856" s="24">
        <f>IF($L856="","",IF(INDEX(ExpDep,$L856)=0,"",INDEX(ExpDep,$L856)))</f>
        <v/>
      </c>
      <c r="H856" s="24">
        <f>IF($L856="","",IF(INDEX(ExpWit,$L856)=0,"",INDEX(ExpWit,$L856)))</f>
        <v/>
      </c>
      <c r="I856" s="25">
        <f>IF($B856="","",IF($I855="",0,$I855)+IF($H856="",0,$H856)-IF($G856="",0,$G856))</f>
        <v/>
      </c>
      <c r="J856" s="23">
        <f>IF($L856="","",IF(INDEX(ExpNote,$L856)="","—",INDEX(ExpNote,$L856)))</f>
        <v/>
      </c>
      <c r="L856">
        <f>IFERROR(MATCH($C$5&amp;"|"&amp;RIGHT("000000"&amp;840,6),ExpRankKey,0),"")</f>
        <v/>
      </c>
    </row>
    <row r="857">
      <c r="A857" s="16" t="n">
        <v>841</v>
      </c>
      <c r="B857" s="17">
        <f>IF($L857="","",INDEX(ExpNorm,$L857))</f>
        <v/>
      </c>
      <c r="C857" s="17">
        <f>IF($L857="","",IF(INDEX(ExpTime,$L857)="","—",LEFT(INDEX(ExpTime,$L857),2)&amp;":"&amp;RIGHT(INDEX(ExpTime,$L857),2)))</f>
        <v/>
      </c>
      <c r="D857" s="17">
        <f>IF($L857="","",IF(INDEX(ExpBank,$L857)="","—",INDEX(ExpBank,$L857)))</f>
        <v/>
      </c>
      <c r="E857" s="18">
        <f>IF($L857="","",IF(INDEX(ExpParty,$L857)="","—",IFERROR(VLOOKUP(INDEX(ExpParty,$L857),AcctTbl,4,0),INDEX(ExpParty,$L857))))</f>
        <v/>
      </c>
      <c r="F857" s="17">
        <f>IF($L857="","",IF(INDEX(ExpType,$L857)="","—",INDEX(ExpType,$L857)))</f>
        <v/>
      </c>
      <c r="G857" s="19">
        <f>IF($L857="","",IF(INDEX(ExpDep,$L857)=0,"",INDEX(ExpDep,$L857)))</f>
        <v/>
      </c>
      <c r="H857" s="19">
        <f>IF($L857="","",IF(INDEX(ExpWit,$L857)=0,"",INDEX(ExpWit,$L857)))</f>
        <v/>
      </c>
      <c r="I857" s="20">
        <f>IF($B857="","",IF($I856="",0,$I856)+IF($H857="",0,$H857)-IF($G857="",0,$G857))</f>
        <v/>
      </c>
      <c r="J857" s="18">
        <f>IF($L857="","",IF(INDEX(ExpNote,$L857)="","—",INDEX(ExpNote,$L857)))</f>
        <v/>
      </c>
      <c r="L857">
        <f>IFERROR(MATCH($C$5&amp;"|"&amp;RIGHT("000000"&amp;841,6),ExpRankKey,0),"")</f>
        <v/>
      </c>
    </row>
    <row r="858">
      <c r="A858" s="21" t="n">
        <v>842</v>
      </c>
      <c r="B858" s="22">
        <f>IF($L858="","",INDEX(ExpNorm,$L858))</f>
        <v/>
      </c>
      <c r="C858" s="22">
        <f>IF($L858="","",IF(INDEX(ExpTime,$L858)="","—",LEFT(INDEX(ExpTime,$L858),2)&amp;":"&amp;RIGHT(INDEX(ExpTime,$L858),2)))</f>
        <v/>
      </c>
      <c r="D858" s="22">
        <f>IF($L858="","",IF(INDEX(ExpBank,$L858)="","—",INDEX(ExpBank,$L858)))</f>
        <v/>
      </c>
      <c r="E858" s="23">
        <f>IF($L858="","",IF(INDEX(ExpParty,$L858)="","—",IFERROR(VLOOKUP(INDEX(ExpParty,$L858),AcctTbl,4,0),INDEX(ExpParty,$L858))))</f>
        <v/>
      </c>
      <c r="F858" s="22">
        <f>IF($L858="","",IF(INDEX(ExpType,$L858)="","—",INDEX(ExpType,$L858)))</f>
        <v/>
      </c>
      <c r="G858" s="24">
        <f>IF($L858="","",IF(INDEX(ExpDep,$L858)=0,"",INDEX(ExpDep,$L858)))</f>
        <v/>
      </c>
      <c r="H858" s="24">
        <f>IF($L858="","",IF(INDEX(ExpWit,$L858)=0,"",INDEX(ExpWit,$L858)))</f>
        <v/>
      </c>
      <c r="I858" s="25">
        <f>IF($B858="","",IF($I857="",0,$I857)+IF($H858="",0,$H858)-IF($G858="",0,$G858))</f>
        <v/>
      </c>
      <c r="J858" s="23">
        <f>IF($L858="","",IF(INDEX(ExpNote,$L858)="","—",INDEX(ExpNote,$L858)))</f>
        <v/>
      </c>
      <c r="L858">
        <f>IFERROR(MATCH($C$5&amp;"|"&amp;RIGHT("000000"&amp;842,6),ExpRankKey,0),"")</f>
        <v/>
      </c>
    </row>
    <row r="859">
      <c r="A859" s="16" t="n">
        <v>843</v>
      </c>
      <c r="B859" s="17">
        <f>IF($L859="","",INDEX(ExpNorm,$L859))</f>
        <v/>
      </c>
      <c r="C859" s="17">
        <f>IF($L859="","",IF(INDEX(ExpTime,$L859)="","—",LEFT(INDEX(ExpTime,$L859),2)&amp;":"&amp;RIGHT(INDEX(ExpTime,$L859),2)))</f>
        <v/>
      </c>
      <c r="D859" s="17">
        <f>IF($L859="","",IF(INDEX(ExpBank,$L859)="","—",INDEX(ExpBank,$L859)))</f>
        <v/>
      </c>
      <c r="E859" s="18">
        <f>IF($L859="","",IF(INDEX(ExpParty,$L859)="","—",IFERROR(VLOOKUP(INDEX(ExpParty,$L859),AcctTbl,4,0),INDEX(ExpParty,$L859))))</f>
        <v/>
      </c>
      <c r="F859" s="17">
        <f>IF($L859="","",IF(INDEX(ExpType,$L859)="","—",INDEX(ExpType,$L859)))</f>
        <v/>
      </c>
      <c r="G859" s="19">
        <f>IF($L859="","",IF(INDEX(ExpDep,$L859)=0,"",INDEX(ExpDep,$L859)))</f>
        <v/>
      </c>
      <c r="H859" s="19">
        <f>IF($L859="","",IF(INDEX(ExpWit,$L859)=0,"",INDEX(ExpWit,$L859)))</f>
        <v/>
      </c>
      <c r="I859" s="20">
        <f>IF($B859="","",IF($I858="",0,$I858)+IF($H859="",0,$H859)-IF($G859="",0,$G859))</f>
        <v/>
      </c>
      <c r="J859" s="18">
        <f>IF($L859="","",IF(INDEX(ExpNote,$L859)="","—",INDEX(ExpNote,$L859)))</f>
        <v/>
      </c>
      <c r="L859">
        <f>IFERROR(MATCH($C$5&amp;"|"&amp;RIGHT("000000"&amp;843,6),ExpRankKey,0),"")</f>
        <v/>
      </c>
    </row>
    <row r="860">
      <c r="A860" s="21" t="n">
        <v>844</v>
      </c>
      <c r="B860" s="22">
        <f>IF($L860="","",INDEX(ExpNorm,$L860))</f>
        <v/>
      </c>
      <c r="C860" s="22">
        <f>IF($L860="","",IF(INDEX(ExpTime,$L860)="","—",LEFT(INDEX(ExpTime,$L860),2)&amp;":"&amp;RIGHT(INDEX(ExpTime,$L860),2)))</f>
        <v/>
      </c>
      <c r="D860" s="22">
        <f>IF($L860="","",IF(INDEX(ExpBank,$L860)="","—",INDEX(ExpBank,$L860)))</f>
        <v/>
      </c>
      <c r="E860" s="23">
        <f>IF($L860="","",IF(INDEX(ExpParty,$L860)="","—",IFERROR(VLOOKUP(INDEX(ExpParty,$L860),AcctTbl,4,0),INDEX(ExpParty,$L860))))</f>
        <v/>
      </c>
      <c r="F860" s="22">
        <f>IF($L860="","",IF(INDEX(ExpType,$L860)="","—",INDEX(ExpType,$L860)))</f>
        <v/>
      </c>
      <c r="G860" s="24">
        <f>IF($L860="","",IF(INDEX(ExpDep,$L860)=0,"",INDEX(ExpDep,$L860)))</f>
        <v/>
      </c>
      <c r="H860" s="24">
        <f>IF($L860="","",IF(INDEX(ExpWit,$L860)=0,"",INDEX(ExpWit,$L860)))</f>
        <v/>
      </c>
      <c r="I860" s="25">
        <f>IF($B860="","",IF($I859="",0,$I859)+IF($H860="",0,$H860)-IF($G860="",0,$G860))</f>
        <v/>
      </c>
      <c r="J860" s="23">
        <f>IF($L860="","",IF(INDEX(ExpNote,$L860)="","—",INDEX(ExpNote,$L860)))</f>
        <v/>
      </c>
      <c r="L860">
        <f>IFERROR(MATCH($C$5&amp;"|"&amp;RIGHT("000000"&amp;844,6),ExpRankKey,0),"")</f>
        <v/>
      </c>
    </row>
    <row r="861">
      <c r="A861" s="16" t="n">
        <v>845</v>
      </c>
      <c r="B861" s="17">
        <f>IF($L861="","",INDEX(ExpNorm,$L861))</f>
        <v/>
      </c>
      <c r="C861" s="17">
        <f>IF($L861="","",IF(INDEX(ExpTime,$L861)="","—",LEFT(INDEX(ExpTime,$L861),2)&amp;":"&amp;RIGHT(INDEX(ExpTime,$L861),2)))</f>
        <v/>
      </c>
      <c r="D861" s="17">
        <f>IF($L861="","",IF(INDEX(ExpBank,$L861)="","—",INDEX(ExpBank,$L861)))</f>
        <v/>
      </c>
      <c r="E861" s="18">
        <f>IF($L861="","",IF(INDEX(ExpParty,$L861)="","—",IFERROR(VLOOKUP(INDEX(ExpParty,$L861),AcctTbl,4,0),INDEX(ExpParty,$L861))))</f>
        <v/>
      </c>
      <c r="F861" s="17">
        <f>IF($L861="","",IF(INDEX(ExpType,$L861)="","—",INDEX(ExpType,$L861)))</f>
        <v/>
      </c>
      <c r="G861" s="19">
        <f>IF($L861="","",IF(INDEX(ExpDep,$L861)=0,"",INDEX(ExpDep,$L861)))</f>
        <v/>
      </c>
      <c r="H861" s="19">
        <f>IF($L861="","",IF(INDEX(ExpWit,$L861)=0,"",INDEX(ExpWit,$L861)))</f>
        <v/>
      </c>
      <c r="I861" s="20">
        <f>IF($B861="","",IF($I860="",0,$I860)+IF($H861="",0,$H861)-IF($G861="",0,$G861))</f>
        <v/>
      </c>
      <c r="J861" s="18">
        <f>IF($L861="","",IF(INDEX(ExpNote,$L861)="","—",INDEX(ExpNote,$L861)))</f>
        <v/>
      </c>
      <c r="L861">
        <f>IFERROR(MATCH($C$5&amp;"|"&amp;RIGHT("000000"&amp;845,6),ExpRankKey,0),"")</f>
        <v/>
      </c>
    </row>
    <row r="862">
      <c r="A862" s="21" t="n">
        <v>846</v>
      </c>
      <c r="B862" s="22">
        <f>IF($L862="","",INDEX(ExpNorm,$L862))</f>
        <v/>
      </c>
      <c r="C862" s="22">
        <f>IF($L862="","",IF(INDEX(ExpTime,$L862)="","—",LEFT(INDEX(ExpTime,$L862),2)&amp;":"&amp;RIGHT(INDEX(ExpTime,$L862),2)))</f>
        <v/>
      </c>
      <c r="D862" s="22">
        <f>IF($L862="","",IF(INDEX(ExpBank,$L862)="","—",INDEX(ExpBank,$L862)))</f>
        <v/>
      </c>
      <c r="E862" s="23">
        <f>IF($L862="","",IF(INDEX(ExpParty,$L862)="","—",IFERROR(VLOOKUP(INDEX(ExpParty,$L862),AcctTbl,4,0),INDEX(ExpParty,$L862))))</f>
        <v/>
      </c>
      <c r="F862" s="22">
        <f>IF($L862="","",IF(INDEX(ExpType,$L862)="","—",INDEX(ExpType,$L862)))</f>
        <v/>
      </c>
      <c r="G862" s="24">
        <f>IF($L862="","",IF(INDEX(ExpDep,$L862)=0,"",INDEX(ExpDep,$L862)))</f>
        <v/>
      </c>
      <c r="H862" s="24">
        <f>IF($L862="","",IF(INDEX(ExpWit,$L862)=0,"",INDEX(ExpWit,$L862)))</f>
        <v/>
      </c>
      <c r="I862" s="25">
        <f>IF($B862="","",IF($I861="",0,$I861)+IF($H862="",0,$H862)-IF($G862="",0,$G862))</f>
        <v/>
      </c>
      <c r="J862" s="23">
        <f>IF($L862="","",IF(INDEX(ExpNote,$L862)="","—",INDEX(ExpNote,$L862)))</f>
        <v/>
      </c>
      <c r="L862">
        <f>IFERROR(MATCH($C$5&amp;"|"&amp;RIGHT("000000"&amp;846,6),ExpRankKey,0),"")</f>
        <v/>
      </c>
    </row>
    <row r="863">
      <c r="A863" s="16" t="n">
        <v>847</v>
      </c>
      <c r="B863" s="17">
        <f>IF($L863="","",INDEX(ExpNorm,$L863))</f>
        <v/>
      </c>
      <c r="C863" s="17">
        <f>IF($L863="","",IF(INDEX(ExpTime,$L863)="","—",LEFT(INDEX(ExpTime,$L863),2)&amp;":"&amp;RIGHT(INDEX(ExpTime,$L863),2)))</f>
        <v/>
      </c>
      <c r="D863" s="17">
        <f>IF($L863="","",IF(INDEX(ExpBank,$L863)="","—",INDEX(ExpBank,$L863)))</f>
        <v/>
      </c>
      <c r="E863" s="18">
        <f>IF($L863="","",IF(INDEX(ExpParty,$L863)="","—",IFERROR(VLOOKUP(INDEX(ExpParty,$L863),AcctTbl,4,0),INDEX(ExpParty,$L863))))</f>
        <v/>
      </c>
      <c r="F863" s="17">
        <f>IF($L863="","",IF(INDEX(ExpType,$L863)="","—",INDEX(ExpType,$L863)))</f>
        <v/>
      </c>
      <c r="G863" s="19">
        <f>IF($L863="","",IF(INDEX(ExpDep,$L863)=0,"",INDEX(ExpDep,$L863)))</f>
        <v/>
      </c>
      <c r="H863" s="19">
        <f>IF($L863="","",IF(INDEX(ExpWit,$L863)=0,"",INDEX(ExpWit,$L863)))</f>
        <v/>
      </c>
      <c r="I863" s="20">
        <f>IF($B863="","",IF($I862="",0,$I862)+IF($H863="",0,$H863)-IF($G863="",0,$G863))</f>
        <v/>
      </c>
      <c r="J863" s="18">
        <f>IF($L863="","",IF(INDEX(ExpNote,$L863)="","—",INDEX(ExpNote,$L863)))</f>
        <v/>
      </c>
      <c r="L863">
        <f>IFERROR(MATCH($C$5&amp;"|"&amp;RIGHT("000000"&amp;847,6),ExpRankKey,0),"")</f>
        <v/>
      </c>
    </row>
    <row r="864">
      <c r="A864" s="21" t="n">
        <v>848</v>
      </c>
      <c r="B864" s="22">
        <f>IF($L864="","",INDEX(ExpNorm,$L864))</f>
        <v/>
      </c>
      <c r="C864" s="22">
        <f>IF($L864="","",IF(INDEX(ExpTime,$L864)="","—",LEFT(INDEX(ExpTime,$L864),2)&amp;":"&amp;RIGHT(INDEX(ExpTime,$L864),2)))</f>
        <v/>
      </c>
      <c r="D864" s="22">
        <f>IF($L864="","",IF(INDEX(ExpBank,$L864)="","—",INDEX(ExpBank,$L864)))</f>
        <v/>
      </c>
      <c r="E864" s="23">
        <f>IF($L864="","",IF(INDEX(ExpParty,$L864)="","—",IFERROR(VLOOKUP(INDEX(ExpParty,$L864),AcctTbl,4,0),INDEX(ExpParty,$L864))))</f>
        <v/>
      </c>
      <c r="F864" s="22">
        <f>IF($L864="","",IF(INDEX(ExpType,$L864)="","—",INDEX(ExpType,$L864)))</f>
        <v/>
      </c>
      <c r="G864" s="24">
        <f>IF($L864="","",IF(INDEX(ExpDep,$L864)=0,"",INDEX(ExpDep,$L864)))</f>
        <v/>
      </c>
      <c r="H864" s="24">
        <f>IF($L864="","",IF(INDEX(ExpWit,$L864)=0,"",INDEX(ExpWit,$L864)))</f>
        <v/>
      </c>
      <c r="I864" s="25">
        <f>IF($B864="","",IF($I863="",0,$I863)+IF($H864="",0,$H864)-IF($G864="",0,$G864))</f>
        <v/>
      </c>
      <c r="J864" s="23">
        <f>IF($L864="","",IF(INDEX(ExpNote,$L864)="","—",INDEX(ExpNote,$L864)))</f>
        <v/>
      </c>
      <c r="L864">
        <f>IFERROR(MATCH($C$5&amp;"|"&amp;RIGHT("000000"&amp;848,6),ExpRankKey,0),"")</f>
        <v/>
      </c>
    </row>
    <row r="865">
      <c r="A865" s="16" t="n">
        <v>849</v>
      </c>
      <c r="B865" s="17">
        <f>IF($L865="","",INDEX(ExpNorm,$L865))</f>
        <v/>
      </c>
      <c r="C865" s="17">
        <f>IF($L865="","",IF(INDEX(ExpTime,$L865)="","—",LEFT(INDEX(ExpTime,$L865),2)&amp;":"&amp;RIGHT(INDEX(ExpTime,$L865),2)))</f>
        <v/>
      </c>
      <c r="D865" s="17">
        <f>IF($L865="","",IF(INDEX(ExpBank,$L865)="","—",INDEX(ExpBank,$L865)))</f>
        <v/>
      </c>
      <c r="E865" s="18">
        <f>IF($L865="","",IF(INDEX(ExpParty,$L865)="","—",IFERROR(VLOOKUP(INDEX(ExpParty,$L865),AcctTbl,4,0),INDEX(ExpParty,$L865))))</f>
        <v/>
      </c>
      <c r="F865" s="17">
        <f>IF($L865="","",IF(INDEX(ExpType,$L865)="","—",INDEX(ExpType,$L865)))</f>
        <v/>
      </c>
      <c r="G865" s="19">
        <f>IF($L865="","",IF(INDEX(ExpDep,$L865)=0,"",INDEX(ExpDep,$L865)))</f>
        <v/>
      </c>
      <c r="H865" s="19">
        <f>IF($L865="","",IF(INDEX(ExpWit,$L865)=0,"",INDEX(ExpWit,$L865)))</f>
        <v/>
      </c>
      <c r="I865" s="20">
        <f>IF($B865="","",IF($I864="",0,$I864)+IF($H865="",0,$H865)-IF($G865="",0,$G865))</f>
        <v/>
      </c>
      <c r="J865" s="18">
        <f>IF($L865="","",IF(INDEX(ExpNote,$L865)="","—",INDEX(ExpNote,$L865)))</f>
        <v/>
      </c>
      <c r="L865">
        <f>IFERROR(MATCH($C$5&amp;"|"&amp;RIGHT("000000"&amp;849,6),ExpRankKey,0),"")</f>
        <v/>
      </c>
    </row>
    <row r="866">
      <c r="A866" s="21" t="n">
        <v>850</v>
      </c>
      <c r="B866" s="22">
        <f>IF($L866="","",INDEX(ExpNorm,$L866))</f>
        <v/>
      </c>
      <c r="C866" s="22">
        <f>IF($L866="","",IF(INDEX(ExpTime,$L866)="","—",LEFT(INDEX(ExpTime,$L866),2)&amp;":"&amp;RIGHT(INDEX(ExpTime,$L866),2)))</f>
        <v/>
      </c>
      <c r="D866" s="22">
        <f>IF($L866="","",IF(INDEX(ExpBank,$L866)="","—",INDEX(ExpBank,$L866)))</f>
        <v/>
      </c>
      <c r="E866" s="23">
        <f>IF($L866="","",IF(INDEX(ExpParty,$L866)="","—",IFERROR(VLOOKUP(INDEX(ExpParty,$L866),AcctTbl,4,0),INDEX(ExpParty,$L866))))</f>
        <v/>
      </c>
      <c r="F866" s="22">
        <f>IF($L866="","",IF(INDEX(ExpType,$L866)="","—",INDEX(ExpType,$L866)))</f>
        <v/>
      </c>
      <c r="G866" s="24">
        <f>IF($L866="","",IF(INDEX(ExpDep,$L866)=0,"",INDEX(ExpDep,$L866)))</f>
        <v/>
      </c>
      <c r="H866" s="24">
        <f>IF($L866="","",IF(INDEX(ExpWit,$L866)=0,"",INDEX(ExpWit,$L866)))</f>
        <v/>
      </c>
      <c r="I866" s="25">
        <f>IF($B866="","",IF($I865="",0,$I865)+IF($H866="",0,$H866)-IF($G866="",0,$G866))</f>
        <v/>
      </c>
      <c r="J866" s="23">
        <f>IF($L866="","",IF(INDEX(ExpNote,$L866)="","—",INDEX(ExpNote,$L866)))</f>
        <v/>
      </c>
      <c r="L866">
        <f>IFERROR(MATCH($C$5&amp;"|"&amp;RIGHT("000000"&amp;850,6),ExpRankKey,0),"")</f>
        <v/>
      </c>
    </row>
    <row r="867">
      <c r="A867" s="16" t="n">
        <v>851</v>
      </c>
      <c r="B867" s="17">
        <f>IF($L867="","",INDEX(ExpNorm,$L867))</f>
        <v/>
      </c>
      <c r="C867" s="17">
        <f>IF($L867="","",IF(INDEX(ExpTime,$L867)="","—",LEFT(INDEX(ExpTime,$L867),2)&amp;":"&amp;RIGHT(INDEX(ExpTime,$L867),2)))</f>
        <v/>
      </c>
      <c r="D867" s="17">
        <f>IF($L867="","",IF(INDEX(ExpBank,$L867)="","—",INDEX(ExpBank,$L867)))</f>
        <v/>
      </c>
      <c r="E867" s="18">
        <f>IF($L867="","",IF(INDEX(ExpParty,$L867)="","—",IFERROR(VLOOKUP(INDEX(ExpParty,$L867),AcctTbl,4,0),INDEX(ExpParty,$L867))))</f>
        <v/>
      </c>
      <c r="F867" s="17">
        <f>IF($L867="","",IF(INDEX(ExpType,$L867)="","—",INDEX(ExpType,$L867)))</f>
        <v/>
      </c>
      <c r="G867" s="19">
        <f>IF($L867="","",IF(INDEX(ExpDep,$L867)=0,"",INDEX(ExpDep,$L867)))</f>
        <v/>
      </c>
      <c r="H867" s="19">
        <f>IF($L867="","",IF(INDEX(ExpWit,$L867)=0,"",INDEX(ExpWit,$L867)))</f>
        <v/>
      </c>
      <c r="I867" s="20">
        <f>IF($B867="","",IF($I866="",0,$I866)+IF($H867="",0,$H867)-IF($G867="",0,$G867))</f>
        <v/>
      </c>
      <c r="J867" s="18">
        <f>IF($L867="","",IF(INDEX(ExpNote,$L867)="","—",INDEX(ExpNote,$L867)))</f>
        <v/>
      </c>
      <c r="L867">
        <f>IFERROR(MATCH($C$5&amp;"|"&amp;RIGHT("000000"&amp;851,6),ExpRankKey,0),"")</f>
        <v/>
      </c>
    </row>
    <row r="868">
      <c r="A868" s="21" t="n">
        <v>852</v>
      </c>
      <c r="B868" s="22">
        <f>IF($L868="","",INDEX(ExpNorm,$L868))</f>
        <v/>
      </c>
      <c r="C868" s="22">
        <f>IF($L868="","",IF(INDEX(ExpTime,$L868)="","—",LEFT(INDEX(ExpTime,$L868),2)&amp;":"&amp;RIGHT(INDEX(ExpTime,$L868),2)))</f>
        <v/>
      </c>
      <c r="D868" s="22">
        <f>IF($L868="","",IF(INDEX(ExpBank,$L868)="","—",INDEX(ExpBank,$L868)))</f>
        <v/>
      </c>
      <c r="E868" s="23">
        <f>IF($L868="","",IF(INDEX(ExpParty,$L868)="","—",IFERROR(VLOOKUP(INDEX(ExpParty,$L868),AcctTbl,4,0),INDEX(ExpParty,$L868))))</f>
        <v/>
      </c>
      <c r="F868" s="22">
        <f>IF($L868="","",IF(INDEX(ExpType,$L868)="","—",INDEX(ExpType,$L868)))</f>
        <v/>
      </c>
      <c r="G868" s="24">
        <f>IF($L868="","",IF(INDEX(ExpDep,$L868)=0,"",INDEX(ExpDep,$L868)))</f>
        <v/>
      </c>
      <c r="H868" s="24">
        <f>IF($L868="","",IF(INDEX(ExpWit,$L868)=0,"",INDEX(ExpWit,$L868)))</f>
        <v/>
      </c>
      <c r="I868" s="25">
        <f>IF($B868="","",IF($I867="",0,$I867)+IF($H868="",0,$H868)-IF($G868="",0,$G868))</f>
        <v/>
      </c>
      <c r="J868" s="23">
        <f>IF($L868="","",IF(INDEX(ExpNote,$L868)="","—",INDEX(ExpNote,$L868)))</f>
        <v/>
      </c>
      <c r="L868">
        <f>IFERROR(MATCH($C$5&amp;"|"&amp;RIGHT("000000"&amp;852,6),ExpRankKey,0),"")</f>
        <v/>
      </c>
    </row>
    <row r="869">
      <c r="A869" s="16" t="n">
        <v>853</v>
      </c>
      <c r="B869" s="17">
        <f>IF($L869="","",INDEX(ExpNorm,$L869))</f>
        <v/>
      </c>
      <c r="C869" s="17">
        <f>IF($L869="","",IF(INDEX(ExpTime,$L869)="","—",LEFT(INDEX(ExpTime,$L869),2)&amp;":"&amp;RIGHT(INDEX(ExpTime,$L869),2)))</f>
        <v/>
      </c>
      <c r="D869" s="17">
        <f>IF($L869="","",IF(INDEX(ExpBank,$L869)="","—",INDEX(ExpBank,$L869)))</f>
        <v/>
      </c>
      <c r="E869" s="18">
        <f>IF($L869="","",IF(INDEX(ExpParty,$L869)="","—",IFERROR(VLOOKUP(INDEX(ExpParty,$L869),AcctTbl,4,0),INDEX(ExpParty,$L869))))</f>
        <v/>
      </c>
      <c r="F869" s="17">
        <f>IF($L869="","",IF(INDEX(ExpType,$L869)="","—",INDEX(ExpType,$L869)))</f>
        <v/>
      </c>
      <c r="G869" s="19">
        <f>IF($L869="","",IF(INDEX(ExpDep,$L869)=0,"",INDEX(ExpDep,$L869)))</f>
        <v/>
      </c>
      <c r="H869" s="19">
        <f>IF($L869="","",IF(INDEX(ExpWit,$L869)=0,"",INDEX(ExpWit,$L869)))</f>
        <v/>
      </c>
      <c r="I869" s="20">
        <f>IF($B869="","",IF($I868="",0,$I868)+IF($H869="",0,$H869)-IF($G869="",0,$G869))</f>
        <v/>
      </c>
      <c r="J869" s="18">
        <f>IF($L869="","",IF(INDEX(ExpNote,$L869)="","—",INDEX(ExpNote,$L869)))</f>
        <v/>
      </c>
      <c r="L869">
        <f>IFERROR(MATCH($C$5&amp;"|"&amp;RIGHT("000000"&amp;853,6),ExpRankKey,0),"")</f>
        <v/>
      </c>
    </row>
    <row r="870">
      <c r="A870" s="21" t="n">
        <v>854</v>
      </c>
      <c r="B870" s="22">
        <f>IF($L870="","",INDEX(ExpNorm,$L870))</f>
        <v/>
      </c>
      <c r="C870" s="22">
        <f>IF($L870="","",IF(INDEX(ExpTime,$L870)="","—",LEFT(INDEX(ExpTime,$L870),2)&amp;":"&amp;RIGHT(INDEX(ExpTime,$L870),2)))</f>
        <v/>
      </c>
      <c r="D870" s="22">
        <f>IF($L870="","",IF(INDEX(ExpBank,$L870)="","—",INDEX(ExpBank,$L870)))</f>
        <v/>
      </c>
      <c r="E870" s="23">
        <f>IF($L870="","",IF(INDEX(ExpParty,$L870)="","—",IFERROR(VLOOKUP(INDEX(ExpParty,$L870),AcctTbl,4,0),INDEX(ExpParty,$L870))))</f>
        <v/>
      </c>
      <c r="F870" s="22">
        <f>IF($L870="","",IF(INDEX(ExpType,$L870)="","—",INDEX(ExpType,$L870)))</f>
        <v/>
      </c>
      <c r="G870" s="24">
        <f>IF($L870="","",IF(INDEX(ExpDep,$L870)=0,"",INDEX(ExpDep,$L870)))</f>
        <v/>
      </c>
      <c r="H870" s="24">
        <f>IF($L870="","",IF(INDEX(ExpWit,$L870)=0,"",INDEX(ExpWit,$L870)))</f>
        <v/>
      </c>
      <c r="I870" s="25">
        <f>IF($B870="","",IF($I869="",0,$I869)+IF($H870="",0,$H870)-IF($G870="",0,$G870))</f>
        <v/>
      </c>
      <c r="J870" s="23">
        <f>IF($L870="","",IF(INDEX(ExpNote,$L870)="","—",INDEX(ExpNote,$L870)))</f>
        <v/>
      </c>
      <c r="L870">
        <f>IFERROR(MATCH($C$5&amp;"|"&amp;RIGHT("000000"&amp;854,6),ExpRankKey,0),"")</f>
        <v/>
      </c>
    </row>
    <row r="871">
      <c r="A871" s="16" t="n">
        <v>855</v>
      </c>
      <c r="B871" s="17">
        <f>IF($L871="","",INDEX(ExpNorm,$L871))</f>
        <v/>
      </c>
      <c r="C871" s="17">
        <f>IF($L871="","",IF(INDEX(ExpTime,$L871)="","—",LEFT(INDEX(ExpTime,$L871),2)&amp;":"&amp;RIGHT(INDEX(ExpTime,$L871),2)))</f>
        <v/>
      </c>
      <c r="D871" s="17">
        <f>IF($L871="","",IF(INDEX(ExpBank,$L871)="","—",INDEX(ExpBank,$L871)))</f>
        <v/>
      </c>
      <c r="E871" s="18">
        <f>IF($L871="","",IF(INDEX(ExpParty,$L871)="","—",IFERROR(VLOOKUP(INDEX(ExpParty,$L871),AcctTbl,4,0),INDEX(ExpParty,$L871))))</f>
        <v/>
      </c>
      <c r="F871" s="17">
        <f>IF($L871="","",IF(INDEX(ExpType,$L871)="","—",INDEX(ExpType,$L871)))</f>
        <v/>
      </c>
      <c r="G871" s="19">
        <f>IF($L871="","",IF(INDEX(ExpDep,$L871)=0,"",INDEX(ExpDep,$L871)))</f>
        <v/>
      </c>
      <c r="H871" s="19">
        <f>IF($L871="","",IF(INDEX(ExpWit,$L871)=0,"",INDEX(ExpWit,$L871)))</f>
        <v/>
      </c>
      <c r="I871" s="20">
        <f>IF($B871="","",IF($I870="",0,$I870)+IF($H871="",0,$H871)-IF($G871="",0,$G871))</f>
        <v/>
      </c>
      <c r="J871" s="18">
        <f>IF($L871="","",IF(INDEX(ExpNote,$L871)="","—",INDEX(ExpNote,$L871)))</f>
        <v/>
      </c>
      <c r="L871">
        <f>IFERROR(MATCH($C$5&amp;"|"&amp;RIGHT("000000"&amp;855,6),ExpRankKey,0),"")</f>
        <v/>
      </c>
    </row>
    <row r="872">
      <c r="A872" s="21" t="n">
        <v>856</v>
      </c>
      <c r="B872" s="22">
        <f>IF($L872="","",INDEX(ExpNorm,$L872))</f>
        <v/>
      </c>
      <c r="C872" s="22">
        <f>IF($L872="","",IF(INDEX(ExpTime,$L872)="","—",LEFT(INDEX(ExpTime,$L872),2)&amp;":"&amp;RIGHT(INDEX(ExpTime,$L872),2)))</f>
        <v/>
      </c>
      <c r="D872" s="22">
        <f>IF($L872="","",IF(INDEX(ExpBank,$L872)="","—",INDEX(ExpBank,$L872)))</f>
        <v/>
      </c>
      <c r="E872" s="23">
        <f>IF($L872="","",IF(INDEX(ExpParty,$L872)="","—",IFERROR(VLOOKUP(INDEX(ExpParty,$L872),AcctTbl,4,0),INDEX(ExpParty,$L872))))</f>
        <v/>
      </c>
      <c r="F872" s="22">
        <f>IF($L872="","",IF(INDEX(ExpType,$L872)="","—",INDEX(ExpType,$L872)))</f>
        <v/>
      </c>
      <c r="G872" s="24">
        <f>IF($L872="","",IF(INDEX(ExpDep,$L872)=0,"",INDEX(ExpDep,$L872)))</f>
        <v/>
      </c>
      <c r="H872" s="24">
        <f>IF($L872="","",IF(INDEX(ExpWit,$L872)=0,"",INDEX(ExpWit,$L872)))</f>
        <v/>
      </c>
      <c r="I872" s="25">
        <f>IF($B872="","",IF($I871="",0,$I871)+IF($H872="",0,$H872)-IF($G872="",0,$G872))</f>
        <v/>
      </c>
      <c r="J872" s="23">
        <f>IF($L872="","",IF(INDEX(ExpNote,$L872)="","—",INDEX(ExpNote,$L872)))</f>
        <v/>
      </c>
      <c r="L872">
        <f>IFERROR(MATCH($C$5&amp;"|"&amp;RIGHT("000000"&amp;856,6),ExpRankKey,0),"")</f>
        <v/>
      </c>
    </row>
    <row r="873">
      <c r="A873" s="16" t="n">
        <v>857</v>
      </c>
      <c r="B873" s="17">
        <f>IF($L873="","",INDEX(ExpNorm,$L873))</f>
        <v/>
      </c>
      <c r="C873" s="17">
        <f>IF($L873="","",IF(INDEX(ExpTime,$L873)="","—",LEFT(INDEX(ExpTime,$L873),2)&amp;":"&amp;RIGHT(INDEX(ExpTime,$L873),2)))</f>
        <v/>
      </c>
      <c r="D873" s="17">
        <f>IF($L873="","",IF(INDEX(ExpBank,$L873)="","—",INDEX(ExpBank,$L873)))</f>
        <v/>
      </c>
      <c r="E873" s="18">
        <f>IF($L873="","",IF(INDEX(ExpParty,$L873)="","—",IFERROR(VLOOKUP(INDEX(ExpParty,$L873),AcctTbl,4,0),INDEX(ExpParty,$L873))))</f>
        <v/>
      </c>
      <c r="F873" s="17">
        <f>IF($L873="","",IF(INDEX(ExpType,$L873)="","—",INDEX(ExpType,$L873)))</f>
        <v/>
      </c>
      <c r="G873" s="19">
        <f>IF($L873="","",IF(INDEX(ExpDep,$L873)=0,"",INDEX(ExpDep,$L873)))</f>
        <v/>
      </c>
      <c r="H873" s="19">
        <f>IF($L873="","",IF(INDEX(ExpWit,$L873)=0,"",INDEX(ExpWit,$L873)))</f>
        <v/>
      </c>
      <c r="I873" s="20">
        <f>IF($B873="","",IF($I872="",0,$I872)+IF($H873="",0,$H873)-IF($G873="",0,$G873))</f>
        <v/>
      </c>
      <c r="J873" s="18">
        <f>IF($L873="","",IF(INDEX(ExpNote,$L873)="","—",INDEX(ExpNote,$L873)))</f>
        <v/>
      </c>
      <c r="L873">
        <f>IFERROR(MATCH($C$5&amp;"|"&amp;RIGHT("000000"&amp;857,6),ExpRankKey,0),"")</f>
        <v/>
      </c>
    </row>
    <row r="874">
      <c r="A874" s="21" t="n">
        <v>858</v>
      </c>
      <c r="B874" s="22">
        <f>IF($L874="","",INDEX(ExpNorm,$L874))</f>
        <v/>
      </c>
      <c r="C874" s="22">
        <f>IF($L874="","",IF(INDEX(ExpTime,$L874)="","—",LEFT(INDEX(ExpTime,$L874),2)&amp;":"&amp;RIGHT(INDEX(ExpTime,$L874),2)))</f>
        <v/>
      </c>
      <c r="D874" s="22">
        <f>IF($L874="","",IF(INDEX(ExpBank,$L874)="","—",INDEX(ExpBank,$L874)))</f>
        <v/>
      </c>
      <c r="E874" s="23">
        <f>IF($L874="","",IF(INDEX(ExpParty,$L874)="","—",IFERROR(VLOOKUP(INDEX(ExpParty,$L874),AcctTbl,4,0),INDEX(ExpParty,$L874))))</f>
        <v/>
      </c>
      <c r="F874" s="22">
        <f>IF($L874="","",IF(INDEX(ExpType,$L874)="","—",INDEX(ExpType,$L874)))</f>
        <v/>
      </c>
      <c r="G874" s="24">
        <f>IF($L874="","",IF(INDEX(ExpDep,$L874)=0,"",INDEX(ExpDep,$L874)))</f>
        <v/>
      </c>
      <c r="H874" s="24">
        <f>IF($L874="","",IF(INDEX(ExpWit,$L874)=0,"",INDEX(ExpWit,$L874)))</f>
        <v/>
      </c>
      <c r="I874" s="25">
        <f>IF($B874="","",IF($I873="",0,$I873)+IF($H874="",0,$H874)-IF($G874="",0,$G874))</f>
        <v/>
      </c>
      <c r="J874" s="23">
        <f>IF($L874="","",IF(INDEX(ExpNote,$L874)="","—",INDEX(ExpNote,$L874)))</f>
        <v/>
      </c>
      <c r="L874">
        <f>IFERROR(MATCH($C$5&amp;"|"&amp;RIGHT("000000"&amp;858,6),ExpRankKey,0),"")</f>
        <v/>
      </c>
    </row>
    <row r="875">
      <c r="A875" s="16" t="n">
        <v>859</v>
      </c>
      <c r="B875" s="17">
        <f>IF($L875="","",INDEX(ExpNorm,$L875))</f>
        <v/>
      </c>
      <c r="C875" s="17">
        <f>IF($L875="","",IF(INDEX(ExpTime,$L875)="","—",LEFT(INDEX(ExpTime,$L875),2)&amp;":"&amp;RIGHT(INDEX(ExpTime,$L875),2)))</f>
        <v/>
      </c>
      <c r="D875" s="17">
        <f>IF($L875="","",IF(INDEX(ExpBank,$L875)="","—",INDEX(ExpBank,$L875)))</f>
        <v/>
      </c>
      <c r="E875" s="18">
        <f>IF($L875="","",IF(INDEX(ExpParty,$L875)="","—",IFERROR(VLOOKUP(INDEX(ExpParty,$L875),AcctTbl,4,0),INDEX(ExpParty,$L875))))</f>
        <v/>
      </c>
      <c r="F875" s="17">
        <f>IF($L875="","",IF(INDEX(ExpType,$L875)="","—",INDEX(ExpType,$L875)))</f>
        <v/>
      </c>
      <c r="G875" s="19">
        <f>IF($L875="","",IF(INDEX(ExpDep,$L875)=0,"",INDEX(ExpDep,$L875)))</f>
        <v/>
      </c>
      <c r="H875" s="19">
        <f>IF($L875="","",IF(INDEX(ExpWit,$L875)=0,"",INDEX(ExpWit,$L875)))</f>
        <v/>
      </c>
      <c r="I875" s="20">
        <f>IF($B875="","",IF($I874="",0,$I874)+IF($H875="",0,$H875)-IF($G875="",0,$G875))</f>
        <v/>
      </c>
      <c r="J875" s="18">
        <f>IF($L875="","",IF(INDEX(ExpNote,$L875)="","—",INDEX(ExpNote,$L875)))</f>
        <v/>
      </c>
      <c r="L875">
        <f>IFERROR(MATCH($C$5&amp;"|"&amp;RIGHT("000000"&amp;859,6),ExpRankKey,0),"")</f>
        <v/>
      </c>
    </row>
    <row r="876">
      <c r="A876" s="21" t="n">
        <v>860</v>
      </c>
      <c r="B876" s="22">
        <f>IF($L876="","",INDEX(ExpNorm,$L876))</f>
        <v/>
      </c>
      <c r="C876" s="22">
        <f>IF($L876="","",IF(INDEX(ExpTime,$L876)="","—",LEFT(INDEX(ExpTime,$L876),2)&amp;":"&amp;RIGHT(INDEX(ExpTime,$L876),2)))</f>
        <v/>
      </c>
      <c r="D876" s="22">
        <f>IF($L876="","",IF(INDEX(ExpBank,$L876)="","—",INDEX(ExpBank,$L876)))</f>
        <v/>
      </c>
      <c r="E876" s="23">
        <f>IF($L876="","",IF(INDEX(ExpParty,$L876)="","—",IFERROR(VLOOKUP(INDEX(ExpParty,$L876),AcctTbl,4,0),INDEX(ExpParty,$L876))))</f>
        <v/>
      </c>
      <c r="F876" s="22">
        <f>IF($L876="","",IF(INDEX(ExpType,$L876)="","—",INDEX(ExpType,$L876)))</f>
        <v/>
      </c>
      <c r="G876" s="24">
        <f>IF($L876="","",IF(INDEX(ExpDep,$L876)=0,"",INDEX(ExpDep,$L876)))</f>
        <v/>
      </c>
      <c r="H876" s="24">
        <f>IF($L876="","",IF(INDEX(ExpWit,$L876)=0,"",INDEX(ExpWit,$L876)))</f>
        <v/>
      </c>
      <c r="I876" s="25">
        <f>IF($B876="","",IF($I875="",0,$I875)+IF($H876="",0,$H876)-IF($G876="",0,$G876))</f>
        <v/>
      </c>
      <c r="J876" s="23">
        <f>IF($L876="","",IF(INDEX(ExpNote,$L876)="","—",INDEX(ExpNote,$L876)))</f>
        <v/>
      </c>
      <c r="L876">
        <f>IFERROR(MATCH($C$5&amp;"|"&amp;RIGHT("000000"&amp;860,6),ExpRankKey,0),"")</f>
        <v/>
      </c>
    </row>
    <row r="877">
      <c r="A877" s="16" t="n">
        <v>861</v>
      </c>
      <c r="B877" s="17">
        <f>IF($L877="","",INDEX(ExpNorm,$L877))</f>
        <v/>
      </c>
      <c r="C877" s="17">
        <f>IF($L877="","",IF(INDEX(ExpTime,$L877)="","—",LEFT(INDEX(ExpTime,$L877),2)&amp;":"&amp;RIGHT(INDEX(ExpTime,$L877),2)))</f>
        <v/>
      </c>
      <c r="D877" s="17">
        <f>IF($L877="","",IF(INDEX(ExpBank,$L877)="","—",INDEX(ExpBank,$L877)))</f>
        <v/>
      </c>
      <c r="E877" s="18">
        <f>IF($L877="","",IF(INDEX(ExpParty,$L877)="","—",IFERROR(VLOOKUP(INDEX(ExpParty,$L877),AcctTbl,4,0),INDEX(ExpParty,$L877))))</f>
        <v/>
      </c>
      <c r="F877" s="17">
        <f>IF($L877="","",IF(INDEX(ExpType,$L877)="","—",INDEX(ExpType,$L877)))</f>
        <v/>
      </c>
      <c r="G877" s="19">
        <f>IF($L877="","",IF(INDEX(ExpDep,$L877)=0,"",INDEX(ExpDep,$L877)))</f>
        <v/>
      </c>
      <c r="H877" s="19">
        <f>IF($L877="","",IF(INDEX(ExpWit,$L877)=0,"",INDEX(ExpWit,$L877)))</f>
        <v/>
      </c>
      <c r="I877" s="20">
        <f>IF($B877="","",IF($I876="",0,$I876)+IF($H877="",0,$H877)-IF($G877="",0,$G877))</f>
        <v/>
      </c>
      <c r="J877" s="18">
        <f>IF($L877="","",IF(INDEX(ExpNote,$L877)="","—",INDEX(ExpNote,$L877)))</f>
        <v/>
      </c>
      <c r="L877">
        <f>IFERROR(MATCH($C$5&amp;"|"&amp;RIGHT("000000"&amp;861,6),ExpRankKey,0),"")</f>
        <v/>
      </c>
    </row>
    <row r="878">
      <c r="A878" s="21" t="n">
        <v>862</v>
      </c>
      <c r="B878" s="22">
        <f>IF($L878="","",INDEX(ExpNorm,$L878))</f>
        <v/>
      </c>
      <c r="C878" s="22">
        <f>IF($L878="","",IF(INDEX(ExpTime,$L878)="","—",LEFT(INDEX(ExpTime,$L878),2)&amp;":"&amp;RIGHT(INDEX(ExpTime,$L878),2)))</f>
        <v/>
      </c>
      <c r="D878" s="22">
        <f>IF($L878="","",IF(INDEX(ExpBank,$L878)="","—",INDEX(ExpBank,$L878)))</f>
        <v/>
      </c>
      <c r="E878" s="23">
        <f>IF($L878="","",IF(INDEX(ExpParty,$L878)="","—",IFERROR(VLOOKUP(INDEX(ExpParty,$L878),AcctTbl,4,0),INDEX(ExpParty,$L878))))</f>
        <v/>
      </c>
      <c r="F878" s="22">
        <f>IF($L878="","",IF(INDEX(ExpType,$L878)="","—",INDEX(ExpType,$L878)))</f>
        <v/>
      </c>
      <c r="G878" s="24">
        <f>IF($L878="","",IF(INDEX(ExpDep,$L878)=0,"",INDEX(ExpDep,$L878)))</f>
        <v/>
      </c>
      <c r="H878" s="24">
        <f>IF($L878="","",IF(INDEX(ExpWit,$L878)=0,"",INDEX(ExpWit,$L878)))</f>
        <v/>
      </c>
      <c r="I878" s="25">
        <f>IF($B878="","",IF($I877="",0,$I877)+IF($H878="",0,$H878)-IF($G878="",0,$G878))</f>
        <v/>
      </c>
      <c r="J878" s="23">
        <f>IF($L878="","",IF(INDEX(ExpNote,$L878)="","—",INDEX(ExpNote,$L878)))</f>
        <v/>
      </c>
      <c r="L878">
        <f>IFERROR(MATCH($C$5&amp;"|"&amp;RIGHT("000000"&amp;862,6),ExpRankKey,0),"")</f>
        <v/>
      </c>
    </row>
    <row r="879">
      <c r="A879" s="16" t="n">
        <v>863</v>
      </c>
      <c r="B879" s="17">
        <f>IF($L879="","",INDEX(ExpNorm,$L879))</f>
        <v/>
      </c>
      <c r="C879" s="17">
        <f>IF($L879="","",IF(INDEX(ExpTime,$L879)="","—",LEFT(INDEX(ExpTime,$L879),2)&amp;":"&amp;RIGHT(INDEX(ExpTime,$L879),2)))</f>
        <v/>
      </c>
      <c r="D879" s="17">
        <f>IF($L879="","",IF(INDEX(ExpBank,$L879)="","—",INDEX(ExpBank,$L879)))</f>
        <v/>
      </c>
      <c r="E879" s="18">
        <f>IF($L879="","",IF(INDEX(ExpParty,$L879)="","—",IFERROR(VLOOKUP(INDEX(ExpParty,$L879),AcctTbl,4,0),INDEX(ExpParty,$L879))))</f>
        <v/>
      </c>
      <c r="F879" s="17">
        <f>IF($L879="","",IF(INDEX(ExpType,$L879)="","—",INDEX(ExpType,$L879)))</f>
        <v/>
      </c>
      <c r="G879" s="19">
        <f>IF($L879="","",IF(INDEX(ExpDep,$L879)=0,"",INDEX(ExpDep,$L879)))</f>
        <v/>
      </c>
      <c r="H879" s="19">
        <f>IF($L879="","",IF(INDEX(ExpWit,$L879)=0,"",INDEX(ExpWit,$L879)))</f>
        <v/>
      </c>
      <c r="I879" s="20">
        <f>IF($B879="","",IF($I878="",0,$I878)+IF($H879="",0,$H879)-IF($G879="",0,$G879))</f>
        <v/>
      </c>
      <c r="J879" s="18">
        <f>IF($L879="","",IF(INDEX(ExpNote,$L879)="","—",INDEX(ExpNote,$L879)))</f>
        <v/>
      </c>
      <c r="L879">
        <f>IFERROR(MATCH($C$5&amp;"|"&amp;RIGHT("000000"&amp;863,6),ExpRankKey,0),"")</f>
        <v/>
      </c>
    </row>
    <row r="880">
      <c r="A880" s="21" t="n">
        <v>864</v>
      </c>
      <c r="B880" s="22">
        <f>IF($L880="","",INDEX(ExpNorm,$L880))</f>
        <v/>
      </c>
      <c r="C880" s="22">
        <f>IF($L880="","",IF(INDEX(ExpTime,$L880)="","—",LEFT(INDEX(ExpTime,$L880),2)&amp;":"&amp;RIGHT(INDEX(ExpTime,$L880),2)))</f>
        <v/>
      </c>
      <c r="D880" s="22">
        <f>IF($L880="","",IF(INDEX(ExpBank,$L880)="","—",INDEX(ExpBank,$L880)))</f>
        <v/>
      </c>
      <c r="E880" s="23">
        <f>IF($L880="","",IF(INDEX(ExpParty,$L880)="","—",IFERROR(VLOOKUP(INDEX(ExpParty,$L880),AcctTbl,4,0),INDEX(ExpParty,$L880))))</f>
        <v/>
      </c>
      <c r="F880" s="22">
        <f>IF($L880="","",IF(INDEX(ExpType,$L880)="","—",INDEX(ExpType,$L880)))</f>
        <v/>
      </c>
      <c r="G880" s="24">
        <f>IF($L880="","",IF(INDEX(ExpDep,$L880)=0,"",INDEX(ExpDep,$L880)))</f>
        <v/>
      </c>
      <c r="H880" s="24">
        <f>IF($L880="","",IF(INDEX(ExpWit,$L880)=0,"",INDEX(ExpWit,$L880)))</f>
        <v/>
      </c>
      <c r="I880" s="25">
        <f>IF($B880="","",IF($I879="",0,$I879)+IF($H880="",0,$H880)-IF($G880="",0,$G880))</f>
        <v/>
      </c>
      <c r="J880" s="23">
        <f>IF($L880="","",IF(INDEX(ExpNote,$L880)="","—",INDEX(ExpNote,$L880)))</f>
        <v/>
      </c>
      <c r="L880">
        <f>IFERROR(MATCH($C$5&amp;"|"&amp;RIGHT("000000"&amp;864,6),ExpRankKey,0),"")</f>
        <v/>
      </c>
    </row>
    <row r="881">
      <c r="A881" s="16" t="n">
        <v>865</v>
      </c>
      <c r="B881" s="17">
        <f>IF($L881="","",INDEX(ExpNorm,$L881))</f>
        <v/>
      </c>
      <c r="C881" s="17">
        <f>IF($L881="","",IF(INDEX(ExpTime,$L881)="","—",LEFT(INDEX(ExpTime,$L881),2)&amp;":"&amp;RIGHT(INDEX(ExpTime,$L881),2)))</f>
        <v/>
      </c>
      <c r="D881" s="17">
        <f>IF($L881="","",IF(INDEX(ExpBank,$L881)="","—",INDEX(ExpBank,$L881)))</f>
        <v/>
      </c>
      <c r="E881" s="18">
        <f>IF($L881="","",IF(INDEX(ExpParty,$L881)="","—",IFERROR(VLOOKUP(INDEX(ExpParty,$L881),AcctTbl,4,0),INDEX(ExpParty,$L881))))</f>
        <v/>
      </c>
      <c r="F881" s="17">
        <f>IF($L881="","",IF(INDEX(ExpType,$L881)="","—",INDEX(ExpType,$L881)))</f>
        <v/>
      </c>
      <c r="G881" s="19">
        <f>IF($L881="","",IF(INDEX(ExpDep,$L881)=0,"",INDEX(ExpDep,$L881)))</f>
        <v/>
      </c>
      <c r="H881" s="19">
        <f>IF($L881="","",IF(INDEX(ExpWit,$L881)=0,"",INDEX(ExpWit,$L881)))</f>
        <v/>
      </c>
      <c r="I881" s="20">
        <f>IF($B881="","",IF($I880="",0,$I880)+IF($H881="",0,$H881)-IF($G881="",0,$G881))</f>
        <v/>
      </c>
      <c r="J881" s="18">
        <f>IF($L881="","",IF(INDEX(ExpNote,$L881)="","—",INDEX(ExpNote,$L881)))</f>
        <v/>
      </c>
      <c r="L881">
        <f>IFERROR(MATCH($C$5&amp;"|"&amp;RIGHT("000000"&amp;865,6),ExpRankKey,0),"")</f>
        <v/>
      </c>
    </row>
    <row r="882">
      <c r="A882" s="21" t="n">
        <v>866</v>
      </c>
      <c r="B882" s="22">
        <f>IF($L882="","",INDEX(ExpNorm,$L882))</f>
        <v/>
      </c>
      <c r="C882" s="22">
        <f>IF($L882="","",IF(INDEX(ExpTime,$L882)="","—",LEFT(INDEX(ExpTime,$L882),2)&amp;":"&amp;RIGHT(INDEX(ExpTime,$L882),2)))</f>
        <v/>
      </c>
      <c r="D882" s="22">
        <f>IF($L882="","",IF(INDEX(ExpBank,$L882)="","—",INDEX(ExpBank,$L882)))</f>
        <v/>
      </c>
      <c r="E882" s="23">
        <f>IF($L882="","",IF(INDEX(ExpParty,$L882)="","—",IFERROR(VLOOKUP(INDEX(ExpParty,$L882),AcctTbl,4,0),INDEX(ExpParty,$L882))))</f>
        <v/>
      </c>
      <c r="F882" s="22">
        <f>IF($L882="","",IF(INDEX(ExpType,$L882)="","—",INDEX(ExpType,$L882)))</f>
        <v/>
      </c>
      <c r="G882" s="24">
        <f>IF($L882="","",IF(INDEX(ExpDep,$L882)=0,"",INDEX(ExpDep,$L882)))</f>
        <v/>
      </c>
      <c r="H882" s="24">
        <f>IF($L882="","",IF(INDEX(ExpWit,$L882)=0,"",INDEX(ExpWit,$L882)))</f>
        <v/>
      </c>
      <c r="I882" s="25">
        <f>IF($B882="","",IF($I881="",0,$I881)+IF($H882="",0,$H882)-IF($G882="",0,$G882))</f>
        <v/>
      </c>
      <c r="J882" s="23">
        <f>IF($L882="","",IF(INDEX(ExpNote,$L882)="","—",INDEX(ExpNote,$L882)))</f>
        <v/>
      </c>
      <c r="L882">
        <f>IFERROR(MATCH($C$5&amp;"|"&amp;RIGHT("000000"&amp;866,6),ExpRankKey,0),"")</f>
        <v/>
      </c>
    </row>
    <row r="883">
      <c r="A883" s="16" t="n">
        <v>867</v>
      </c>
      <c r="B883" s="17">
        <f>IF($L883="","",INDEX(ExpNorm,$L883))</f>
        <v/>
      </c>
      <c r="C883" s="17">
        <f>IF($L883="","",IF(INDEX(ExpTime,$L883)="","—",LEFT(INDEX(ExpTime,$L883),2)&amp;":"&amp;RIGHT(INDEX(ExpTime,$L883),2)))</f>
        <v/>
      </c>
      <c r="D883" s="17">
        <f>IF($L883="","",IF(INDEX(ExpBank,$L883)="","—",INDEX(ExpBank,$L883)))</f>
        <v/>
      </c>
      <c r="E883" s="18">
        <f>IF($L883="","",IF(INDEX(ExpParty,$L883)="","—",IFERROR(VLOOKUP(INDEX(ExpParty,$L883),AcctTbl,4,0),INDEX(ExpParty,$L883))))</f>
        <v/>
      </c>
      <c r="F883" s="17">
        <f>IF($L883="","",IF(INDEX(ExpType,$L883)="","—",INDEX(ExpType,$L883)))</f>
        <v/>
      </c>
      <c r="G883" s="19">
        <f>IF($L883="","",IF(INDEX(ExpDep,$L883)=0,"",INDEX(ExpDep,$L883)))</f>
        <v/>
      </c>
      <c r="H883" s="19">
        <f>IF($L883="","",IF(INDEX(ExpWit,$L883)=0,"",INDEX(ExpWit,$L883)))</f>
        <v/>
      </c>
      <c r="I883" s="20">
        <f>IF($B883="","",IF($I882="",0,$I882)+IF($H883="",0,$H883)-IF($G883="",0,$G883))</f>
        <v/>
      </c>
      <c r="J883" s="18">
        <f>IF($L883="","",IF(INDEX(ExpNote,$L883)="","—",INDEX(ExpNote,$L883)))</f>
        <v/>
      </c>
      <c r="L883">
        <f>IFERROR(MATCH($C$5&amp;"|"&amp;RIGHT("000000"&amp;867,6),ExpRankKey,0),"")</f>
        <v/>
      </c>
    </row>
    <row r="884">
      <c r="A884" s="21" t="n">
        <v>868</v>
      </c>
      <c r="B884" s="22">
        <f>IF($L884="","",INDEX(ExpNorm,$L884))</f>
        <v/>
      </c>
      <c r="C884" s="22">
        <f>IF($L884="","",IF(INDEX(ExpTime,$L884)="","—",LEFT(INDEX(ExpTime,$L884),2)&amp;":"&amp;RIGHT(INDEX(ExpTime,$L884),2)))</f>
        <v/>
      </c>
      <c r="D884" s="22">
        <f>IF($L884="","",IF(INDEX(ExpBank,$L884)="","—",INDEX(ExpBank,$L884)))</f>
        <v/>
      </c>
      <c r="E884" s="23">
        <f>IF($L884="","",IF(INDEX(ExpParty,$L884)="","—",IFERROR(VLOOKUP(INDEX(ExpParty,$L884),AcctTbl,4,0),INDEX(ExpParty,$L884))))</f>
        <v/>
      </c>
      <c r="F884" s="22">
        <f>IF($L884="","",IF(INDEX(ExpType,$L884)="","—",INDEX(ExpType,$L884)))</f>
        <v/>
      </c>
      <c r="G884" s="24">
        <f>IF($L884="","",IF(INDEX(ExpDep,$L884)=0,"",INDEX(ExpDep,$L884)))</f>
        <v/>
      </c>
      <c r="H884" s="24">
        <f>IF($L884="","",IF(INDEX(ExpWit,$L884)=0,"",INDEX(ExpWit,$L884)))</f>
        <v/>
      </c>
      <c r="I884" s="25">
        <f>IF($B884="","",IF($I883="",0,$I883)+IF($H884="",0,$H884)-IF($G884="",0,$G884))</f>
        <v/>
      </c>
      <c r="J884" s="23">
        <f>IF($L884="","",IF(INDEX(ExpNote,$L884)="","—",INDEX(ExpNote,$L884)))</f>
        <v/>
      </c>
      <c r="L884">
        <f>IFERROR(MATCH($C$5&amp;"|"&amp;RIGHT("000000"&amp;868,6),ExpRankKey,0),"")</f>
        <v/>
      </c>
    </row>
    <row r="885">
      <c r="A885" s="16" t="n">
        <v>869</v>
      </c>
      <c r="B885" s="17">
        <f>IF($L885="","",INDEX(ExpNorm,$L885))</f>
        <v/>
      </c>
      <c r="C885" s="17">
        <f>IF($L885="","",IF(INDEX(ExpTime,$L885)="","—",LEFT(INDEX(ExpTime,$L885),2)&amp;":"&amp;RIGHT(INDEX(ExpTime,$L885),2)))</f>
        <v/>
      </c>
      <c r="D885" s="17">
        <f>IF($L885="","",IF(INDEX(ExpBank,$L885)="","—",INDEX(ExpBank,$L885)))</f>
        <v/>
      </c>
      <c r="E885" s="18">
        <f>IF($L885="","",IF(INDEX(ExpParty,$L885)="","—",IFERROR(VLOOKUP(INDEX(ExpParty,$L885),AcctTbl,4,0),INDEX(ExpParty,$L885))))</f>
        <v/>
      </c>
      <c r="F885" s="17">
        <f>IF($L885="","",IF(INDEX(ExpType,$L885)="","—",INDEX(ExpType,$L885)))</f>
        <v/>
      </c>
      <c r="G885" s="19">
        <f>IF($L885="","",IF(INDEX(ExpDep,$L885)=0,"",INDEX(ExpDep,$L885)))</f>
        <v/>
      </c>
      <c r="H885" s="19">
        <f>IF($L885="","",IF(INDEX(ExpWit,$L885)=0,"",INDEX(ExpWit,$L885)))</f>
        <v/>
      </c>
      <c r="I885" s="20">
        <f>IF($B885="","",IF($I884="",0,$I884)+IF($H885="",0,$H885)-IF($G885="",0,$G885))</f>
        <v/>
      </c>
      <c r="J885" s="18">
        <f>IF($L885="","",IF(INDEX(ExpNote,$L885)="","—",INDEX(ExpNote,$L885)))</f>
        <v/>
      </c>
      <c r="L885">
        <f>IFERROR(MATCH($C$5&amp;"|"&amp;RIGHT("000000"&amp;869,6),ExpRankKey,0),"")</f>
        <v/>
      </c>
    </row>
    <row r="886">
      <c r="A886" s="21" t="n">
        <v>870</v>
      </c>
      <c r="B886" s="22">
        <f>IF($L886="","",INDEX(ExpNorm,$L886))</f>
        <v/>
      </c>
      <c r="C886" s="22">
        <f>IF($L886="","",IF(INDEX(ExpTime,$L886)="","—",LEFT(INDEX(ExpTime,$L886),2)&amp;":"&amp;RIGHT(INDEX(ExpTime,$L886),2)))</f>
        <v/>
      </c>
      <c r="D886" s="22">
        <f>IF($L886="","",IF(INDEX(ExpBank,$L886)="","—",INDEX(ExpBank,$L886)))</f>
        <v/>
      </c>
      <c r="E886" s="23">
        <f>IF($L886="","",IF(INDEX(ExpParty,$L886)="","—",IFERROR(VLOOKUP(INDEX(ExpParty,$L886),AcctTbl,4,0),INDEX(ExpParty,$L886))))</f>
        <v/>
      </c>
      <c r="F886" s="22">
        <f>IF($L886="","",IF(INDEX(ExpType,$L886)="","—",INDEX(ExpType,$L886)))</f>
        <v/>
      </c>
      <c r="G886" s="24">
        <f>IF($L886="","",IF(INDEX(ExpDep,$L886)=0,"",INDEX(ExpDep,$L886)))</f>
        <v/>
      </c>
      <c r="H886" s="24">
        <f>IF($L886="","",IF(INDEX(ExpWit,$L886)=0,"",INDEX(ExpWit,$L886)))</f>
        <v/>
      </c>
      <c r="I886" s="25">
        <f>IF($B886="","",IF($I885="",0,$I885)+IF($H886="",0,$H886)-IF($G886="",0,$G886))</f>
        <v/>
      </c>
      <c r="J886" s="23">
        <f>IF($L886="","",IF(INDEX(ExpNote,$L886)="","—",INDEX(ExpNote,$L886)))</f>
        <v/>
      </c>
      <c r="L886">
        <f>IFERROR(MATCH($C$5&amp;"|"&amp;RIGHT("000000"&amp;870,6),ExpRankKey,0),"")</f>
        <v/>
      </c>
    </row>
    <row r="887">
      <c r="A887" s="16" t="n">
        <v>871</v>
      </c>
      <c r="B887" s="17">
        <f>IF($L887="","",INDEX(ExpNorm,$L887))</f>
        <v/>
      </c>
      <c r="C887" s="17">
        <f>IF($L887="","",IF(INDEX(ExpTime,$L887)="","—",LEFT(INDEX(ExpTime,$L887),2)&amp;":"&amp;RIGHT(INDEX(ExpTime,$L887),2)))</f>
        <v/>
      </c>
      <c r="D887" s="17">
        <f>IF($L887="","",IF(INDEX(ExpBank,$L887)="","—",INDEX(ExpBank,$L887)))</f>
        <v/>
      </c>
      <c r="E887" s="18">
        <f>IF($L887="","",IF(INDEX(ExpParty,$L887)="","—",IFERROR(VLOOKUP(INDEX(ExpParty,$L887),AcctTbl,4,0),INDEX(ExpParty,$L887))))</f>
        <v/>
      </c>
      <c r="F887" s="17">
        <f>IF($L887="","",IF(INDEX(ExpType,$L887)="","—",INDEX(ExpType,$L887)))</f>
        <v/>
      </c>
      <c r="G887" s="19">
        <f>IF($L887="","",IF(INDEX(ExpDep,$L887)=0,"",INDEX(ExpDep,$L887)))</f>
        <v/>
      </c>
      <c r="H887" s="19">
        <f>IF($L887="","",IF(INDEX(ExpWit,$L887)=0,"",INDEX(ExpWit,$L887)))</f>
        <v/>
      </c>
      <c r="I887" s="20">
        <f>IF($B887="","",IF($I886="",0,$I886)+IF($H887="",0,$H887)-IF($G887="",0,$G887))</f>
        <v/>
      </c>
      <c r="J887" s="18">
        <f>IF($L887="","",IF(INDEX(ExpNote,$L887)="","—",INDEX(ExpNote,$L887)))</f>
        <v/>
      </c>
      <c r="L887">
        <f>IFERROR(MATCH($C$5&amp;"|"&amp;RIGHT("000000"&amp;871,6),ExpRankKey,0),"")</f>
        <v/>
      </c>
    </row>
    <row r="888">
      <c r="A888" s="21" t="n">
        <v>872</v>
      </c>
      <c r="B888" s="22">
        <f>IF($L888="","",INDEX(ExpNorm,$L888))</f>
        <v/>
      </c>
      <c r="C888" s="22">
        <f>IF($L888="","",IF(INDEX(ExpTime,$L888)="","—",LEFT(INDEX(ExpTime,$L888),2)&amp;":"&amp;RIGHT(INDEX(ExpTime,$L888),2)))</f>
        <v/>
      </c>
      <c r="D888" s="22">
        <f>IF($L888="","",IF(INDEX(ExpBank,$L888)="","—",INDEX(ExpBank,$L888)))</f>
        <v/>
      </c>
      <c r="E888" s="23">
        <f>IF($L888="","",IF(INDEX(ExpParty,$L888)="","—",IFERROR(VLOOKUP(INDEX(ExpParty,$L888),AcctTbl,4,0),INDEX(ExpParty,$L888))))</f>
        <v/>
      </c>
      <c r="F888" s="22">
        <f>IF($L888="","",IF(INDEX(ExpType,$L888)="","—",INDEX(ExpType,$L888)))</f>
        <v/>
      </c>
      <c r="G888" s="24">
        <f>IF($L888="","",IF(INDEX(ExpDep,$L888)=0,"",INDEX(ExpDep,$L888)))</f>
        <v/>
      </c>
      <c r="H888" s="24">
        <f>IF($L888="","",IF(INDEX(ExpWit,$L888)=0,"",INDEX(ExpWit,$L888)))</f>
        <v/>
      </c>
      <c r="I888" s="25">
        <f>IF($B888="","",IF($I887="",0,$I887)+IF($H888="",0,$H888)-IF($G888="",0,$G888))</f>
        <v/>
      </c>
      <c r="J888" s="23">
        <f>IF($L888="","",IF(INDEX(ExpNote,$L888)="","—",INDEX(ExpNote,$L888)))</f>
        <v/>
      </c>
      <c r="L888">
        <f>IFERROR(MATCH($C$5&amp;"|"&amp;RIGHT("000000"&amp;872,6),ExpRankKey,0),"")</f>
        <v/>
      </c>
    </row>
    <row r="889">
      <c r="A889" s="16" t="n">
        <v>873</v>
      </c>
      <c r="B889" s="17">
        <f>IF($L889="","",INDEX(ExpNorm,$L889))</f>
        <v/>
      </c>
      <c r="C889" s="17">
        <f>IF($L889="","",IF(INDEX(ExpTime,$L889)="","—",LEFT(INDEX(ExpTime,$L889),2)&amp;":"&amp;RIGHT(INDEX(ExpTime,$L889),2)))</f>
        <v/>
      </c>
      <c r="D889" s="17">
        <f>IF($L889="","",IF(INDEX(ExpBank,$L889)="","—",INDEX(ExpBank,$L889)))</f>
        <v/>
      </c>
      <c r="E889" s="18">
        <f>IF($L889="","",IF(INDEX(ExpParty,$L889)="","—",IFERROR(VLOOKUP(INDEX(ExpParty,$L889),AcctTbl,4,0),INDEX(ExpParty,$L889))))</f>
        <v/>
      </c>
      <c r="F889" s="17">
        <f>IF($L889="","",IF(INDEX(ExpType,$L889)="","—",INDEX(ExpType,$L889)))</f>
        <v/>
      </c>
      <c r="G889" s="19">
        <f>IF($L889="","",IF(INDEX(ExpDep,$L889)=0,"",INDEX(ExpDep,$L889)))</f>
        <v/>
      </c>
      <c r="H889" s="19">
        <f>IF($L889="","",IF(INDEX(ExpWit,$L889)=0,"",INDEX(ExpWit,$L889)))</f>
        <v/>
      </c>
      <c r="I889" s="20">
        <f>IF($B889="","",IF($I888="",0,$I888)+IF($H889="",0,$H889)-IF($G889="",0,$G889))</f>
        <v/>
      </c>
      <c r="J889" s="18">
        <f>IF($L889="","",IF(INDEX(ExpNote,$L889)="","—",INDEX(ExpNote,$L889)))</f>
        <v/>
      </c>
      <c r="L889">
        <f>IFERROR(MATCH($C$5&amp;"|"&amp;RIGHT("000000"&amp;873,6),ExpRankKey,0),"")</f>
        <v/>
      </c>
    </row>
    <row r="890">
      <c r="A890" s="21" t="n">
        <v>874</v>
      </c>
      <c r="B890" s="22">
        <f>IF($L890="","",INDEX(ExpNorm,$L890))</f>
        <v/>
      </c>
      <c r="C890" s="22">
        <f>IF($L890="","",IF(INDEX(ExpTime,$L890)="","—",LEFT(INDEX(ExpTime,$L890),2)&amp;":"&amp;RIGHT(INDEX(ExpTime,$L890),2)))</f>
        <v/>
      </c>
      <c r="D890" s="22">
        <f>IF($L890="","",IF(INDEX(ExpBank,$L890)="","—",INDEX(ExpBank,$L890)))</f>
        <v/>
      </c>
      <c r="E890" s="23">
        <f>IF($L890="","",IF(INDEX(ExpParty,$L890)="","—",IFERROR(VLOOKUP(INDEX(ExpParty,$L890),AcctTbl,4,0),INDEX(ExpParty,$L890))))</f>
        <v/>
      </c>
      <c r="F890" s="22">
        <f>IF($L890="","",IF(INDEX(ExpType,$L890)="","—",INDEX(ExpType,$L890)))</f>
        <v/>
      </c>
      <c r="G890" s="24">
        <f>IF($L890="","",IF(INDEX(ExpDep,$L890)=0,"",INDEX(ExpDep,$L890)))</f>
        <v/>
      </c>
      <c r="H890" s="24">
        <f>IF($L890="","",IF(INDEX(ExpWit,$L890)=0,"",INDEX(ExpWit,$L890)))</f>
        <v/>
      </c>
      <c r="I890" s="25">
        <f>IF($B890="","",IF($I889="",0,$I889)+IF($H890="",0,$H890)-IF($G890="",0,$G890))</f>
        <v/>
      </c>
      <c r="J890" s="23">
        <f>IF($L890="","",IF(INDEX(ExpNote,$L890)="","—",INDEX(ExpNote,$L890)))</f>
        <v/>
      </c>
      <c r="L890">
        <f>IFERROR(MATCH($C$5&amp;"|"&amp;RIGHT("000000"&amp;874,6),ExpRankKey,0),"")</f>
        <v/>
      </c>
    </row>
    <row r="891">
      <c r="A891" s="16" t="n">
        <v>875</v>
      </c>
      <c r="B891" s="17">
        <f>IF($L891="","",INDEX(ExpNorm,$L891))</f>
        <v/>
      </c>
      <c r="C891" s="17">
        <f>IF($L891="","",IF(INDEX(ExpTime,$L891)="","—",LEFT(INDEX(ExpTime,$L891),2)&amp;":"&amp;RIGHT(INDEX(ExpTime,$L891),2)))</f>
        <v/>
      </c>
      <c r="D891" s="17">
        <f>IF($L891="","",IF(INDEX(ExpBank,$L891)="","—",INDEX(ExpBank,$L891)))</f>
        <v/>
      </c>
      <c r="E891" s="18">
        <f>IF($L891="","",IF(INDEX(ExpParty,$L891)="","—",IFERROR(VLOOKUP(INDEX(ExpParty,$L891),AcctTbl,4,0),INDEX(ExpParty,$L891))))</f>
        <v/>
      </c>
      <c r="F891" s="17">
        <f>IF($L891="","",IF(INDEX(ExpType,$L891)="","—",INDEX(ExpType,$L891)))</f>
        <v/>
      </c>
      <c r="G891" s="19">
        <f>IF($L891="","",IF(INDEX(ExpDep,$L891)=0,"",INDEX(ExpDep,$L891)))</f>
        <v/>
      </c>
      <c r="H891" s="19">
        <f>IF($L891="","",IF(INDEX(ExpWit,$L891)=0,"",INDEX(ExpWit,$L891)))</f>
        <v/>
      </c>
      <c r="I891" s="20">
        <f>IF($B891="","",IF($I890="",0,$I890)+IF($H891="",0,$H891)-IF($G891="",0,$G891))</f>
        <v/>
      </c>
      <c r="J891" s="18">
        <f>IF($L891="","",IF(INDEX(ExpNote,$L891)="","—",INDEX(ExpNote,$L891)))</f>
        <v/>
      </c>
      <c r="L891">
        <f>IFERROR(MATCH($C$5&amp;"|"&amp;RIGHT("000000"&amp;875,6),ExpRankKey,0),"")</f>
        <v/>
      </c>
    </row>
    <row r="892">
      <c r="A892" s="21" t="n">
        <v>876</v>
      </c>
      <c r="B892" s="22">
        <f>IF($L892="","",INDEX(ExpNorm,$L892))</f>
        <v/>
      </c>
      <c r="C892" s="22">
        <f>IF($L892="","",IF(INDEX(ExpTime,$L892)="","—",LEFT(INDEX(ExpTime,$L892),2)&amp;":"&amp;RIGHT(INDEX(ExpTime,$L892),2)))</f>
        <v/>
      </c>
      <c r="D892" s="22">
        <f>IF($L892="","",IF(INDEX(ExpBank,$L892)="","—",INDEX(ExpBank,$L892)))</f>
        <v/>
      </c>
      <c r="E892" s="23">
        <f>IF($L892="","",IF(INDEX(ExpParty,$L892)="","—",IFERROR(VLOOKUP(INDEX(ExpParty,$L892),AcctTbl,4,0),INDEX(ExpParty,$L892))))</f>
        <v/>
      </c>
      <c r="F892" s="22">
        <f>IF($L892="","",IF(INDEX(ExpType,$L892)="","—",INDEX(ExpType,$L892)))</f>
        <v/>
      </c>
      <c r="G892" s="24">
        <f>IF($L892="","",IF(INDEX(ExpDep,$L892)=0,"",INDEX(ExpDep,$L892)))</f>
        <v/>
      </c>
      <c r="H892" s="24">
        <f>IF($L892="","",IF(INDEX(ExpWit,$L892)=0,"",INDEX(ExpWit,$L892)))</f>
        <v/>
      </c>
      <c r="I892" s="25">
        <f>IF($B892="","",IF($I891="",0,$I891)+IF($H892="",0,$H892)-IF($G892="",0,$G892))</f>
        <v/>
      </c>
      <c r="J892" s="23">
        <f>IF($L892="","",IF(INDEX(ExpNote,$L892)="","—",INDEX(ExpNote,$L892)))</f>
        <v/>
      </c>
      <c r="L892">
        <f>IFERROR(MATCH($C$5&amp;"|"&amp;RIGHT("000000"&amp;876,6),ExpRankKey,0),"")</f>
        <v/>
      </c>
    </row>
    <row r="893">
      <c r="A893" s="16" t="n">
        <v>877</v>
      </c>
      <c r="B893" s="17">
        <f>IF($L893="","",INDEX(ExpNorm,$L893))</f>
        <v/>
      </c>
      <c r="C893" s="17">
        <f>IF($L893="","",IF(INDEX(ExpTime,$L893)="","—",LEFT(INDEX(ExpTime,$L893),2)&amp;":"&amp;RIGHT(INDEX(ExpTime,$L893),2)))</f>
        <v/>
      </c>
      <c r="D893" s="17">
        <f>IF($L893="","",IF(INDEX(ExpBank,$L893)="","—",INDEX(ExpBank,$L893)))</f>
        <v/>
      </c>
      <c r="E893" s="18">
        <f>IF($L893="","",IF(INDEX(ExpParty,$L893)="","—",IFERROR(VLOOKUP(INDEX(ExpParty,$L893),AcctTbl,4,0),INDEX(ExpParty,$L893))))</f>
        <v/>
      </c>
      <c r="F893" s="17">
        <f>IF($L893="","",IF(INDEX(ExpType,$L893)="","—",INDEX(ExpType,$L893)))</f>
        <v/>
      </c>
      <c r="G893" s="19">
        <f>IF($L893="","",IF(INDEX(ExpDep,$L893)=0,"",INDEX(ExpDep,$L893)))</f>
        <v/>
      </c>
      <c r="H893" s="19">
        <f>IF($L893="","",IF(INDEX(ExpWit,$L893)=0,"",INDEX(ExpWit,$L893)))</f>
        <v/>
      </c>
      <c r="I893" s="20">
        <f>IF($B893="","",IF($I892="",0,$I892)+IF($H893="",0,$H893)-IF($G893="",0,$G893))</f>
        <v/>
      </c>
      <c r="J893" s="18">
        <f>IF($L893="","",IF(INDEX(ExpNote,$L893)="","—",INDEX(ExpNote,$L893)))</f>
        <v/>
      </c>
      <c r="L893">
        <f>IFERROR(MATCH($C$5&amp;"|"&amp;RIGHT("000000"&amp;877,6),ExpRankKey,0),"")</f>
        <v/>
      </c>
    </row>
    <row r="894">
      <c r="A894" s="21" t="n">
        <v>878</v>
      </c>
      <c r="B894" s="22">
        <f>IF($L894="","",INDEX(ExpNorm,$L894))</f>
        <v/>
      </c>
      <c r="C894" s="22">
        <f>IF($L894="","",IF(INDEX(ExpTime,$L894)="","—",LEFT(INDEX(ExpTime,$L894),2)&amp;":"&amp;RIGHT(INDEX(ExpTime,$L894),2)))</f>
        <v/>
      </c>
      <c r="D894" s="22">
        <f>IF($L894="","",IF(INDEX(ExpBank,$L894)="","—",INDEX(ExpBank,$L894)))</f>
        <v/>
      </c>
      <c r="E894" s="23">
        <f>IF($L894="","",IF(INDEX(ExpParty,$L894)="","—",IFERROR(VLOOKUP(INDEX(ExpParty,$L894),AcctTbl,4,0),INDEX(ExpParty,$L894))))</f>
        <v/>
      </c>
      <c r="F894" s="22">
        <f>IF($L894="","",IF(INDEX(ExpType,$L894)="","—",INDEX(ExpType,$L894)))</f>
        <v/>
      </c>
      <c r="G894" s="24">
        <f>IF($L894="","",IF(INDEX(ExpDep,$L894)=0,"",INDEX(ExpDep,$L894)))</f>
        <v/>
      </c>
      <c r="H894" s="24">
        <f>IF($L894="","",IF(INDEX(ExpWit,$L894)=0,"",INDEX(ExpWit,$L894)))</f>
        <v/>
      </c>
      <c r="I894" s="25">
        <f>IF($B894="","",IF($I893="",0,$I893)+IF($H894="",0,$H894)-IF($G894="",0,$G894))</f>
        <v/>
      </c>
      <c r="J894" s="23">
        <f>IF($L894="","",IF(INDEX(ExpNote,$L894)="","—",INDEX(ExpNote,$L894)))</f>
        <v/>
      </c>
      <c r="L894">
        <f>IFERROR(MATCH($C$5&amp;"|"&amp;RIGHT("000000"&amp;878,6),ExpRankKey,0),"")</f>
        <v/>
      </c>
    </row>
    <row r="895">
      <c r="A895" s="16" t="n">
        <v>879</v>
      </c>
      <c r="B895" s="17">
        <f>IF($L895="","",INDEX(ExpNorm,$L895))</f>
        <v/>
      </c>
      <c r="C895" s="17">
        <f>IF($L895="","",IF(INDEX(ExpTime,$L895)="","—",LEFT(INDEX(ExpTime,$L895),2)&amp;":"&amp;RIGHT(INDEX(ExpTime,$L895),2)))</f>
        <v/>
      </c>
      <c r="D895" s="17">
        <f>IF($L895="","",IF(INDEX(ExpBank,$L895)="","—",INDEX(ExpBank,$L895)))</f>
        <v/>
      </c>
      <c r="E895" s="18">
        <f>IF($L895="","",IF(INDEX(ExpParty,$L895)="","—",IFERROR(VLOOKUP(INDEX(ExpParty,$L895),AcctTbl,4,0),INDEX(ExpParty,$L895))))</f>
        <v/>
      </c>
      <c r="F895" s="17">
        <f>IF($L895="","",IF(INDEX(ExpType,$L895)="","—",INDEX(ExpType,$L895)))</f>
        <v/>
      </c>
      <c r="G895" s="19">
        <f>IF($L895="","",IF(INDEX(ExpDep,$L895)=0,"",INDEX(ExpDep,$L895)))</f>
        <v/>
      </c>
      <c r="H895" s="19">
        <f>IF($L895="","",IF(INDEX(ExpWit,$L895)=0,"",INDEX(ExpWit,$L895)))</f>
        <v/>
      </c>
      <c r="I895" s="20">
        <f>IF($B895="","",IF($I894="",0,$I894)+IF($H895="",0,$H895)-IF($G895="",0,$G895))</f>
        <v/>
      </c>
      <c r="J895" s="18">
        <f>IF($L895="","",IF(INDEX(ExpNote,$L895)="","—",INDEX(ExpNote,$L895)))</f>
        <v/>
      </c>
      <c r="L895">
        <f>IFERROR(MATCH($C$5&amp;"|"&amp;RIGHT("000000"&amp;879,6),ExpRankKey,0),"")</f>
        <v/>
      </c>
    </row>
    <row r="896">
      <c r="A896" s="21" t="n">
        <v>880</v>
      </c>
      <c r="B896" s="22">
        <f>IF($L896="","",INDEX(ExpNorm,$L896))</f>
        <v/>
      </c>
      <c r="C896" s="22">
        <f>IF($L896="","",IF(INDEX(ExpTime,$L896)="","—",LEFT(INDEX(ExpTime,$L896),2)&amp;":"&amp;RIGHT(INDEX(ExpTime,$L896),2)))</f>
        <v/>
      </c>
      <c r="D896" s="22">
        <f>IF($L896="","",IF(INDEX(ExpBank,$L896)="","—",INDEX(ExpBank,$L896)))</f>
        <v/>
      </c>
      <c r="E896" s="23">
        <f>IF($L896="","",IF(INDEX(ExpParty,$L896)="","—",IFERROR(VLOOKUP(INDEX(ExpParty,$L896),AcctTbl,4,0),INDEX(ExpParty,$L896))))</f>
        <v/>
      </c>
      <c r="F896" s="22">
        <f>IF($L896="","",IF(INDEX(ExpType,$L896)="","—",INDEX(ExpType,$L896)))</f>
        <v/>
      </c>
      <c r="G896" s="24">
        <f>IF($L896="","",IF(INDEX(ExpDep,$L896)=0,"",INDEX(ExpDep,$L896)))</f>
        <v/>
      </c>
      <c r="H896" s="24">
        <f>IF($L896="","",IF(INDEX(ExpWit,$L896)=0,"",INDEX(ExpWit,$L896)))</f>
        <v/>
      </c>
      <c r="I896" s="25">
        <f>IF($B896="","",IF($I895="",0,$I895)+IF($H896="",0,$H896)-IF($G896="",0,$G896))</f>
        <v/>
      </c>
      <c r="J896" s="23">
        <f>IF($L896="","",IF(INDEX(ExpNote,$L896)="","—",INDEX(ExpNote,$L896)))</f>
        <v/>
      </c>
      <c r="L896">
        <f>IFERROR(MATCH($C$5&amp;"|"&amp;RIGHT("000000"&amp;880,6),ExpRankKey,0),"")</f>
        <v/>
      </c>
    </row>
    <row r="897">
      <c r="A897" s="16" t="n">
        <v>881</v>
      </c>
      <c r="B897" s="17">
        <f>IF($L897="","",INDEX(ExpNorm,$L897))</f>
        <v/>
      </c>
      <c r="C897" s="17">
        <f>IF($L897="","",IF(INDEX(ExpTime,$L897)="","—",LEFT(INDEX(ExpTime,$L897),2)&amp;":"&amp;RIGHT(INDEX(ExpTime,$L897),2)))</f>
        <v/>
      </c>
      <c r="D897" s="17">
        <f>IF($L897="","",IF(INDEX(ExpBank,$L897)="","—",INDEX(ExpBank,$L897)))</f>
        <v/>
      </c>
      <c r="E897" s="18">
        <f>IF($L897="","",IF(INDEX(ExpParty,$L897)="","—",IFERROR(VLOOKUP(INDEX(ExpParty,$L897),AcctTbl,4,0),INDEX(ExpParty,$L897))))</f>
        <v/>
      </c>
      <c r="F897" s="17">
        <f>IF($L897="","",IF(INDEX(ExpType,$L897)="","—",INDEX(ExpType,$L897)))</f>
        <v/>
      </c>
      <c r="G897" s="19">
        <f>IF($L897="","",IF(INDEX(ExpDep,$L897)=0,"",INDEX(ExpDep,$L897)))</f>
        <v/>
      </c>
      <c r="H897" s="19">
        <f>IF($L897="","",IF(INDEX(ExpWit,$L897)=0,"",INDEX(ExpWit,$L897)))</f>
        <v/>
      </c>
      <c r="I897" s="20">
        <f>IF($B897="","",IF($I896="",0,$I896)+IF($H897="",0,$H897)-IF($G897="",0,$G897))</f>
        <v/>
      </c>
      <c r="J897" s="18">
        <f>IF($L897="","",IF(INDEX(ExpNote,$L897)="","—",INDEX(ExpNote,$L897)))</f>
        <v/>
      </c>
      <c r="L897">
        <f>IFERROR(MATCH($C$5&amp;"|"&amp;RIGHT("000000"&amp;881,6),ExpRankKey,0),"")</f>
        <v/>
      </c>
    </row>
    <row r="898">
      <c r="A898" s="21" t="n">
        <v>882</v>
      </c>
      <c r="B898" s="22">
        <f>IF($L898="","",INDEX(ExpNorm,$L898))</f>
        <v/>
      </c>
      <c r="C898" s="22">
        <f>IF($L898="","",IF(INDEX(ExpTime,$L898)="","—",LEFT(INDEX(ExpTime,$L898),2)&amp;":"&amp;RIGHT(INDEX(ExpTime,$L898),2)))</f>
        <v/>
      </c>
      <c r="D898" s="22">
        <f>IF($L898="","",IF(INDEX(ExpBank,$L898)="","—",INDEX(ExpBank,$L898)))</f>
        <v/>
      </c>
      <c r="E898" s="23">
        <f>IF($L898="","",IF(INDEX(ExpParty,$L898)="","—",IFERROR(VLOOKUP(INDEX(ExpParty,$L898),AcctTbl,4,0),INDEX(ExpParty,$L898))))</f>
        <v/>
      </c>
      <c r="F898" s="22">
        <f>IF($L898="","",IF(INDEX(ExpType,$L898)="","—",INDEX(ExpType,$L898)))</f>
        <v/>
      </c>
      <c r="G898" s="24">
        <f>IF($L898="","",IF(INDEX(ExpDep,$L898)=0,"",INDEX(ExpDep,$L898)))</f>
        <v/>
      </c>
      <c r="H898" s="24">
        <f>IF($L898="","",IF(INDEX(ExpWit,$L898)=0,"",INDEX(ExpWit,$L898)))</f>
        <v/>
      </c>
      <c r="I898" s="25">
        <f>IF($B898="","",IF($I897="",0,$I897)+IF($H898="",0,$H898)-IF($G898="",0,$G898))</f>
        <v/>
      </c>
      <c r="J898" s="23">
        <f>IF($L898="","",IF(INDEX(ExpNote,$L898)="","—",INDEX(ExpNote,$L898)))</f>
        <v/>
      </c>
      <c r="L898">
        <f>IFERROR(MATCH($C$5&amp;"|"&amp;RIGHT("000000"&amp;882,6),ExpRankKey,0),"")</f>
        <v/>
      </c>
    </row>
    <row r="899">
      <c r="A899" s="16" t="n">
        <v>883</v>
      </c>
      <c r="B899" s="17">
        <f>IF($L899="","",INDEX(ExpNorm,$L899))</f>
        <v/>
      </c>
      <c r="C899" s="17">
        <f>IF($L899="","",IF(INDEX(ExpTime,$L899)="","—",LEFT(INDEX(ExpTime,$L899),2)&amp;":"&amp;RIGHT(INDEX(ExpTime,$L899),2)))</f>
        <v/>
      </c>
      <c r="D899" s="17">
        <f>IF($L899="","",IF(INDEX(ExpBank,$L899)="","—",INDEX(ExpBank,$L899)))</f>
        <v/>
      </c>
      <c r="E899" s="18">
        <f>IF($L899="","",IF(INDEX(ExpParty,$L899)="","—",IFERROR(VLOOKUP(INDEX(ExpParty,$L899),AcctTbl,4,0),INDEX(ExpParty,$L899))))</f>
        <v/>
      </c>
      <c r="F899" s="17">
        <f>IF($L899="","",IF(INDEX(ExpType,$L899)="","—",INDEX(ExpType,$L899)))</f>
        <v/>
      </c>
      <c r="G899" s="19">
        <f>IF($L899="","",IF(INDEX(ExpDep,$L899)=0,"",INDEX(ExpDep,$L899)))</f>
        <v/>
      </c>
      <c r="H899" s="19">
        <f>IF($L899="","",IF(INDEX(ExpWit,$L899)=0,"",INDEX(ExpWit,$L899)))</f>
        <v/>
      </c>
      <c r="I899" s="20">
        <f>IF($B899="","",IF($I898="",0,$I898)+IF($H899="",0,$H899)-IF($G899="",0,$G899))</f>
        <v/>
      </c>
      <c r="J899" s="18">
        <f>IF($L899="","",IF(INDEX(ExpNote,$L899)="","—",INDEX(ExpNote,$L899)))</f>
        <v/>
      </c>
      <c r="L899">
        <f>IFERROR(MATCH($C$5&amp;"|"&amp;RIGHT("000000"&amp;883,6),ExpRankKey,0),"")</f>
        <v/>
      </c>
    </row>
    <row r="900">
      <c r="A900" s="21" t="n">
        <v>884</v>
      </c>
      <c r="B900" s="22">
        <f>IF($L900="","",INDEX(ExpNorm,$L900))</f>
        <v/>
      </c>
      <c r="C900" s="22">
        <f>IF($L900="","",IF(INDEX(ExpTime,$L900)="","—",LEFT(INDEX(ExpTime,$L900),2)&amp;":"&amp;RIGHT(INDEX(ExpTime,$L900),2)))</f>
        <v/>
      </c>
      <c r="D900" s="22">
        <f>IF($L900="","",IF(INDEX(ExpBank,$L900)="","—",INDEX(ExpBank,$L900)))</f>
        <v/>
      </c>
      <c r="E900" s="23">
        <f>IF($L900="","",IF(INDEX(ExpParty,$L900)="","—",IFERROR(VLOOKUP(INDEX(ExpParty,$L900),AcctTbl,4,0),INDEX(ExpParty,$L900))))</f>
        <v/>
      </c>
      <c r="F900" s="22">
        <f>IF($L900="","",IF(INDEX(ExpType,$L900)="","—",INDEX(ExpType,$L900)))</f>
        <v/>
      </c>
      <c r="G900" s="24">
        <f>IF($L900="","",IF(INDEX(ExpDep,$L900)=0,"",INDEX(ExpDep,$L900)))</f>
        <v/>
      </c>
      <c r="H900" s="24">
        <f>IF($L900="","",IF(INDEX(ExpWit,$L900)=0,"",INDEX(ExpWit,$L900)))</f>
        <v/>
      </c>
      <c r="I900" s="25">
        <f>IF($B900="","",IF($I899="",0,$I899)+IF($H900="",0,$H900)-IF($G900="",0,$G900))</f>
        <v/>
      </c>
      <c r="J900" s="23">
        <f>IF($L900="","",IF(INDEX(ExpNote,$L900)="","—",INDEX(ExpNote,$L900)))</f>
        <v/>
      </c>
      <c r="L900">
        <f>IFERROR(MATCH($C$5&amp;"|"&amp;RIGHT("000000"&amp;884,6),ExpRankKey,0),"")</f>
        <v/>
      </c>
    </row>
    <row r="901">
      <c r="A901" s="16" t="n">
        <v>885</v>
      </c>
      <c r="B901" s="17">
        <f>IF($L901="","",INDEX(ExpNorm,$L901))</f>
        <v/>
      </c>
      <c r="C901" s="17">
        <f>IF($L901="","",IF(INDEX(ExpTime,$L901)="","—",LEFT(INDEX(ExpTime,$L901),2)&amp;":"&amp;RIGHT(INDEX(ExpTime,$L901),2)))</f>
        <v/>
      </c>
      <c r="D901" s="17">
        <f>IF($L901="","",IF(INDEX(ExpBank,$L901)="","—",INDEX(ExpBank,$L901)))</f>
        <v/>
      </c>
      <c r="E901" s="18">
        <f>IF($L901="","",IF(INDEX(ExpParty,$L901)="","—",IFERROR(VLOOKUP(INDEX(ExpParty,$L901),AcctTbl,4,0),INDEX(ExpParty,$L901))))</f>
        <v/>
      </c>
      <c r="F901" s="17">
        <f>IF($L901="","",IF(INDEX(ExpType,$L901)="","—",INDEX(ExpType,$L901)))</f>
        <v/>
      </c>
      <c r="G901" s="19">
        <f>IF($L901="","",IF(INDEX(ExpDep,$L901)=0,"",INDEX(ExpDep,$L901)))</f>
        <v/>
      </c>
      <c r="H901" s="19">
        <f>IF($L901="","",IF(INDEX(ExpWit,$L901)=0,"",INDEX(ExpWit,$L901)))</f>
        <v/>
      </c>
      <c r="I901" s="20">
        <f>IF($B901="","",IF($I900="",0,$I900)+IF($H901="",0,$H901)-IF($G901="",0,$G901))</f>
        <v/>
      </c>
      <c r="J901" s="18">
        <f>IF($L901="","",IF(INDEX(ExpNote,$L901)="","—",INDEX(ExpNote,$L901)))</f>
        <v/>
      </c>
      <c r="L901">
        <f>IFERROR(MATCH($C$5&amp;"|"&amp;RIGHT("000000"&amp;885,6),ExpRankKey,0),"")</f>
        <v/>
      </c>
    </row>
    <row r="902">
      <c r="A902" s="21" t="n">
        <v>886</v>
      </c>
      <c r="B902" s="22">
        <f>IF($L902="","",INDEX(ExpNorm,$L902))</f>
        <v/>
      </c>
      <c r="C902" s="22">
        <f>IF($L902="","",IF(INDEX(ExpTime,$L902)="","—",LEFT(INDEX(ExpTime,$L902),2)&amp;":"&amp;RIGHT(INDEX(ExpTime,$L902),2)))</f>
        <v/>
      </c>
      <c r="D902" s="22">
        <f>IF($L902="","",IF(INDEX(ExpBank,$L902)="","—",INDEX(ExpBank,$L902)))</f>
        <v/>
      </c>
      <c r="E902" s="23">
        <f>IF($L902="","",IF(INDEX(ExpParty,$L902)="","—",IFERROR(VLOOKUP(INDEX(ExpParty,$L902),AcctTbl,4,0),INDEX(ExpParty,$L902))))</f>
        <v/>
      </c>
      <c r="F902" s="22">
        <f>IF($L902="","",IF(INDEX(ExpType,$L902)="","—",INDEX(ExpType,$L902)))</f>
        <v/>
      </c>
      <c r="G902" s="24">
        <f>IF($L902="","",IF(INDEX(ExpDep,$L902)=0,"",INDEX(ExpDep,$L902)))</f>
        <v/>
      </c>
      <c r="H902" s="24">
        <f>IF($L902="","",IF(INDEX(ExpWit,$L902)=0,"",INDEX(ExpWit,$L902)))</f>
        <v/>
      </c>
      <c r="I902" s="25">
        <f>IF($B902="","",IF($I901="",0,$I901)+IF($H902="",0,$H902)-IF($G902="",0,$G902))</f>
        <v/>
      </c>
      <c r="J902" s="23">
        <f>IF($L902="","",IF(INDEX(ExpNote,$L902)="","—",INDEX(ExpNote,$L902)))</f>
        <v/>
      </c>
      <c r="L902">
        <f>IFERROR(MATCH($C$5&amp;"|"&amp;RIGHT("000000"&amp;886,6),ExpRankKey,0),"")</f>
        <v/>
      </c>
    </row>
    <row r="903">
      <c r="A903" s="16" t="n">
        <v>887</v>
      </c>
      <c r="B903" s="17">
        <f>IF($L903="","",INDEX(ExpNorm,$L903))</f>
        <v/>
      </c>
      <c r="C903" s="17">
        <f>IF($L903="","",IF(INDEX(ExpTime,$L903)="","—",LEFT(INDEX(ExpTime,$L903),2)&amp;":"&amp;RIGHT(INDEX(ExpTime,$L903),2)))</f>
        <v/>
      </c>
      <c r="D903" s="17">
        <f>IF($L903="","",IF(INDEX(ExpBank,$L903)="","—",INDEX(ExpBank,$L903)))</f>
        <v/>
      </c>
      <c r="E903" s="18">
        <f>IF($L903="","",IF(INDEX(ExpParty,$L903)="","—",IFERROR(VLOOKUP(INDEX(ExpParty,$L903),AcctTbl,4,0),INDEX(ExpParty,$L903))))</f>
        <v/>
      </c>
      <c r="F903" s="17">
        <f>IF($L903="","",IF(INDEX(ExpType,$L903)="","—",INDEX(ExpType,$L903)))</f>
        <v/>
      </c>
      <c r="G903" s="19">
        <f>IF($L903="","",IF(INDEX(ExpDep,$L903)=0,"",INDEX(ExpDep,$L903)))</f>
        <v/>
      </c>
      <c r="H903" s="19">
        <f>IF($L903="","",IF(INDEX(ExpWit,$L903)=0,"",INDEX(ExpWit,$L903)))</f>
        <v/>
      </c>
      <c r="I903" s="20">
        <f>IF($B903="","",IF($I902="",0,$I902)+IF($H903="",0,$H903)-IF($G903="",0,$G903))</f>
        <v/>
      </c>
      <c r="J903" s="18">
        <f>IF($L903="","",IF(INDEX(ExpNote,$L903)="","—",INDEX(ExpNote,$L903)))</f>
        <v/>
      </c>
      <c r="L903">
        <f>IFERROR(MATCH($C$5&amp;"|"&amp;RIGHT("000000"&amp;887,6),ExpRankKey,0),"")</f>
        <v/>
      </c>
    </row>
    <row r="904">
      <c r="A904" s="21" t="n">
        <v>888</v>
      </c>
      <c r="B904" s="22">
        <f>IF($L904="","",INDEX(ExpNorm,$L904))</f>
        <v/>
      </c>
      <c r="C904" s="22">
        <f>IF($L904="","",IF(INDEX(ExpTime,$L904)="","—",LEFT(INDEX(ExpTime,$L904),2)&amp;":"&amp;RIGHT(INDEX(ExpTime,$L904),2)))</f>
        <v/>
      </c>
      <c r="D904" s="22">
        <f>IF($L904="","",IF(INDEX(ExpBank,$L904)="","—",INDEX(ExpBank,$L904)))</f>
        <v/>
      </c>
      <c r="E904" s="23">
        <f>IF($L904="","",IF(INDEX(ExpParty,$L904)="","—",IFERROR(VLOOKUP(INDEX(ExpParty,$L904),AcctTbl,4,0),INDEX(ExpParty,$L904))))</f>
        <v/>
      </c>
      <c r="F904" s="22">
        <f>IF($L904="","",IF(INDEX(ExpType,$L904)="","—",INDEX(ExpType,$L904)))</f>
        <v/>
      </c>
      <c r="G904" s="24">
        <f>IF($L904="","",IF(INDEX(ExpDep,$L904)=0,"",INDEX(ExpDep,$L904)))</f>
        <v/>
      </c>
      <c r="H904" s="24">
        <f>IF($L904="","",IF(INDEX(ExpWit,$L904)=0,"",INDEX(ExpWit,$L904)))</f>
        <v/>
      </c>
      <c r="I904" s="25">
        <f>IF($B904="","",IF($I903="",0,$I903)+IF($H904="",0,$H904)-IF($G904="",0,$G904))</f>
        <v/>
      </c>
      <c r="J904" s="23">
        <f>IF($L904="","",IF(INDEX(ExpNote,$L904)="","—",INDEX(ExpNote,$L904)))</f>
        <v/>
      </c>
      <c r="L904">
        <f>IFERROR(MATCH($C$5&amp;"|"&amp;RIGHT("000000"&amp;888,6),ExpRankKey,0),"")</f>
        <v/>
      </c>
    </row>
    <row r="905">
      <c r="A905" s="16" t="n">
        <v>889</v>
      </c>
      <c r="B905" s="17">
        <f>IF($L905="","",INDEX(ExpNorm,$L905))</f>
        <v/>
      </c>
      <c r="C905" s="17">
        <f>IF($L905="","",IF(INDEX(ExpTime,$L905)="","—",LEFT(INDEX(ExpTime,$L905),2)&amp;":"&amp;RIGHT(INDEX(ExpTime,$L905),2)))</f>
        <v/>
      </c>
      <c r="D905" s="17">
        <f>IF($L905="","",IF(INDEX(ExpBank,$L905)="","—",INDEX(ExpBank,$L905)))</f>
        <v/>
      </c>
      <c r="E905" s="18">
        <f>IF($L905="","",IF(INDEX(ExpParty,$L905)="","—",IFERROR(VLOOKUP(INDEX(ExpParty,$L905),AcctTbl,4,0),INDEX(ExpParty,$L905))))</f>
        <v/>
      </c>
      <c r="F905" s="17">
        <f>IF($L905="","",IF(INDEX(ExpType,$L905)="","—",INDEX(ExpType,$L905)))</f>
        <v/>
      </c>
      <c r="G905" s="19">
        <f>IF($L905="","",IF(INDEX(ExpDep,$L905)=0,"",INDEX(ExpDep,$L905)))</f>
        <v/>
      </c>
      <c r="H905" s="19">
        <f>IF($L905="","",IF(INDEX(ExpWit,$L905)=0,"",INDEX(ExpWit,$L905)))</f>
        <v/>
      </c>
      <c r="I905" s="20">
        <f>IF($B905="","",IF($I904="",0,$I904)+IF($H905="",0,$H905)-IF($G905="",0,$G905))</f>
        <v/>
      </c>
      <c r="J905" s="18">
        <f>IF($L905="","",IF(INDEX(ExpNote,$L905)="","—",INDEX(ExpNote,$L905)))</f>
        <v/>
      </c>
      <c r="L905">
        <f>IFERROR(MATCH($C$5&amp;"|"&amp;RIGHT("000000"&amp;889,6),ExpRankKey,0),"")</f>
        <v/>
      </c>
    </row>
    <row r="906">
      <c r="A906" s="21" t="n">
        <v>890</v>
      </c>
      <c r="B906" s="22">
        <f>IF($L906="","",INDEX(ExpNorm,$L906))</f>
        <v/>
      </c>
      <c r="C906" s="22">
        <f>IF($L906="","",IF(INDEX(ExpTime,$L906)="","—",LEFT(INDEX(ExpTime,$L906),2)&amp;":"&amp;RIGHT(INDEX(ExpTime,$L906),2)))</f>
        <v/>
      </c>
      <c r="D906" s="22">
        <f>IF($L906="","",IF(INDEX(ExpBank,$L906)="","—",INDEX(ExpBank,$L906)))</f>
        <v/>
      </c>
      <c r="E906" s="23">
        <f>IF($L906="","",IF(INDEX(ExpParty,$L906)="","—",IFERROR(VLOOKUP(INDEX(ExpParty,$L906),AcctTbl,4,0),INDEX(ExpParty,$L906))))</f>
        <v/>
      </c>
      <c r="F906" s="22">
        <f>IF($L906="","",IF(INDEX(ExpType,$L906)="","—",INDEX(ExpType,$L906)))</f>
        <v/>
      </c>
      <c r="G906" s="24">
        <f>IF($L906="","",IF(INDEX(ExpDep,$L906)=0,"",INDEX(ExpDep,$L906)))</f>
        <v/>
      </c>
      <c r="H906" s="24">
        <f>IF($L906="","",IF(INDEX(ExpWit,$L906)=0,"",INDEX(ExpWit,$L906)))</f>
        <v/>
      </c>
      <c r="I906" s="25">
        <f>IF($B906="","",IF($I905="",0,$I905)+IF($H906="",0,$H906)-IF($G906="",0,$G906))</f>
        <v/>
      </c>
      <c r="J906" s="23">
        <f>IF($L906="","",IF(INDEX(ExpNote,$L906)="","—",INDEX(ExpNote,$L906)))</f>
        <v/>
      </c>
      <c r="L906">
        <f>IFERROR(MATCH($C$5&amp;"|"&amp;RIGHT("000000"&amp;890,6),ExpRankKey,0),"")</f>
        <v/>
      </c>
    </row>
    <row r="907">
      <c r="A907" s="16" t="n">
        <v>891</v>
      </c>
      <c r="B907" s="17">
        <f>IF($L907="","",INDEX(ExpNorm,$L907))</f>
        <v/>
      </c>
      <c r="C907" s="17">
        <f>IF($L907="","",IF(INDEX(ExpTime,$L907)="","—",LEFT(INDEX(ExpTime,$L907),2)&amp;":"&amp;RIGHT(INDEX(ExpTime,$L907),2)))</f>
        <v/>
      </c>
      <c r="D907" s="17">
        <f>IF($L907="","",IF(INDEX(ExpBank,$L907)="","—",INDEX(ExpBank,$L907)))</f>
        <v/>
      </c>
      <c r="E907" s="18">
        <f>IF($L907="","",IF(INDEX(ExpParty,$L907)="","—",IFERROR(VLOOKUP(INDEX(ExpParty,$L907),AcctTbl,4,0),INDEX(ExpParty,$L907))))</f>
        <v/>
      </c>
      <c r="F907" s="17">
        <f>IF($L907="","",IF(INDEX(ExpType,$L907)="","—",INDEX(ExpType,$L907)))</f>
        <v/>
      </c>
      <c r="G907" s="19">
        <f>IF($L907="","",IF(INDEX(ExpDep,$L907)=0,"",INDEX(ExpDep,$L907)))</f>
        <v/>
      </c>
      <c r="H907" s="19">
        <f>IF($L907="","",IF(INDEX(ExpWit,$L907)=0,"",INDEX(ExpWit,$L907)))</f>
        <v/>
      </c>
      <c r="I907" s="20">
        <f>IF($B907="","",IF($I906="",0,$I906)+IF($H907="",0,$H907)-IF($G907="",0,$G907))</f>
        <v/>
      </c>
      <c r="J907" s="18">
        <f>IF($L907="","",IF(INDEX(ExpNote,$L907)="","—",INDEX(ExpNote,$L907)))</f>
        <v/>
      </c>
      <c r="L907">
        <f>IFERROR(MATCH($C$5&amp;"|"&amp;RIGHT("000000"&amp;891,6),ExpRankKey,0),"")</f>
        <v/>
      </c>
    </row>
    <row r="908">
      <c r="A908" s="21" t="n">
        <v>892</v>
      </c>
      <c r="B908" s="22">
        <f>IF($L908="","",INDEX(ExpNorm,$L908))</f>
        <v/>
      </c>
      <c r="C908" s="22">
        <f>IF($L908="","",IF(INDEX(ExpTime,$L908)="","—",LEFT(INDEX(ExpTime,$L908),2)&amp;":"&amp;RIGHT(INDEX(ExpTime,$L908),2)))</f>
        <v/>
      </c>
      <c r="D908" s="22">
        <f>IF($L908="","",IF(INDEX(ExpBank,$L908)="","—",INDEX(ExpBank,$L908)))</f>
        <v/>
      </c>
      <c r="E908" s="23">
        <f>IF($L908="","",IF(INDEX(ExpParty,$L908)="","—",IFERROR(VLOOKUP(INDEX(ExpParty,$L908),AcctTbl,4,0),INDEX(ExpParty,$L908))))</f>
        <v/>
      </c>
      <c r="F908" s="22">
        <f>IF($L908="","",IF(INDEX(ExpType,$L908)="","—",INDEX(ExpType,$L908)))</f>
        <v/>
      </c>
      <c r="G908" s="24">
        <f>IF($L908="","",IF(INDEX(ExpDep,$L908)=0,"",INDEX(ExpDep,$L908)))</f>
        <v/>
      </c>
      <c r="H908" s="24">
        <f>IF($L908="","",IF(INDEX(ExpWit,$L908)=0,"",INDEX(ExpWit,$L908)))</f>
        <v/>
      </c>
      <c r="I908" s="25">
        <f>IF($B908="","",IF($I907="",0,$I907)+IF($H908="",0,$H908)-IF($G908="",0,$G908))</f>
        <v/>
      </c>
      <c r="J908" s="23">
        <f>IF($L908="","",IF(INDEX(ExpNote,$L908)="","—",INDEX(ExpNote,$L908)))</f>
        <v/>
      </c>
      <c r="L908">
        <f>IFERROR(MATCH($C$5&amp;"|"&amp;RIGHT("000000"&amp;892,6),ExpRankKey,0),"")</f>
        <v/>
      </c>
    </row>
    <row r="909">
      <c r="A909" s="16" t="n">
        <v>893</v>
      </c>
      <c r="B909" s="17">
        <f>IF($L909="","",INDEX(ExpNorm,$L909))</f>
        <v/>
      </c>
      <c r="C909" s="17">
        <f>IF($L909="","",IF(INDEX(ExpTime,$L909)="","—",LEFT(INDEX(ExpTime,$L909),2)&amp;":"&amp;RIGHT(INDEX(ExpTime,$L909),2)))</f>
        <v/>
      </c>
      <c r="D909" s="17">
        <f>IF($L909="","",IF(INDEX(ExpBank,$L909)="","—",INDEX(ExpBank,$L909)))</f>
        <v/>
      </c>
      <c r="E909" s="18">
        <f>IF($L909="","",IF(INDEX(ExpParty,$L909)="","—",IFERROR(VLOOKUP(INDEX(ExpParty,$L909),AcctTbl,4,0),INDEX(ExpParty,$L909))))</f>
        <v/>
      </c>
      <c r="F909" s="17">
        <f>IF($L909="","",IF(INDEX(ExpType,$L909)="","—",INDEX(ExpType,$L909)))</f>
        <v/>
      </c>
      <c r="G909" s="19">
        <f>IF($L909="","",IF(INDEX(ExpDep,$L909)=0,"",INDEX(ExpDep,$L909)))</f>
        <v/>
      </c>
      <c r="H909" s="19">
        <f>IF($L909="","",IF(INDEX(ExpWit,$L909)=0,"",INDEX(ExpWit,$L909)))</f>
        <v/>
      </c>
      <c r="I909" s="20">
        <f>IF($B909="","",IF($I908="",0,$I908)+IF($H909="",0,$H909)-IF($G909="",0,$G909))</f>
        <v/>
      </c>
      <c r="J909" s="18">
        <f>IF($L909="","",IF(INDEX(ExpNote,$L909)="","—",INDEX(ExpNote,$L909)))</f>
        <v/>
      </c>
      <c r="L909">
        <f>IFERROR(MATCH($C$5&amp;"|"&amp;RIGHT("000000"&amp;893,6),ExpRankKey,0),"")</f>
        <v/>
      </c>
    </row>
    <row r="910">
      <c r="A910" s="21" t="n">
        <v>894</v>
      </c>
      <c r="B910" s="22">
        <f>IF($L910="","",INDEX(ExpNorm,$L910))</f>
        <v/>
      </c>
      <c r="C910" s="22">
        <f>IF($L910="","",IF(INDEX(ExpTime,$L910)="","—",LEFT(INDEX(ExpTime,$L910),2)&amp;":"&amp;RIGHT(INDEX(ExpTime,$L910),2)))</f>
        <v/>
      </c>
      <c r="D910" s="22">
        <f>IF($L910="","",IF(INDEX(ExpBank,$L910)="","—",INDEX(ExpBank,$L910)))</f>
        <v/>
      </c>
      <c r="E910" s="23">
        <f>IF($L910="","",IF(INDEX(ExpParty,$L910)="","—",IFERROR(VLOOKUP(INDEX(ExpParty,$L910),AcctTbl,4,0),INDEX(ExpParty,$L910))))</f>
        <v/>
      </c>
      <c r="F910" s="22">
        <f>IF($L910="","",IF(INDEX(ExpType,$L910)="","—",INDEX(ExpType,$L910)))</f>
        <v/>
      </c>
      <c r="G910" s="24">
        <f>IF($L910="","",IF(INDEX(ExpDep,$L910)=0,"",INDEX(ExpDep,$L910)))</f>
        <v/>
      </c>
      <c r="H910" s="24">
        <f>IF($L910="","",IF(INDEX(ExpWit,$L910)=0,"",INDEX(ExpWit,$L910)))</f>
        <v/>
      </c>
      <c r="I910" s="25">
        <f>IF($B910="","",IF($I909="",0,$I909)+IF($H910="",0,$H910)-IF($G910="",0,$G910))</f>
        <v/>
      </c>
      <c r="J910" s="23">
        <f>IF($L910="","",IF(INDEX(ExpNote,$L910)="","—",INDEX(ExpNote,$L910)))</f>
        <v/>
      </c>
      <c r="L910">
        <f>IFERROR(MATCH($C$5&amp;"|"&amp;RIGHT("000000"&amp;894,6),ExpRankKey,0),"")</f>
        <v/>
      </c>
    </row>
    <row r="911">
      <c r="A911" s="16" t="n">
        <v>895</v>
      </c>
      <c r="B911" s="17">
        <f>IF($L911="","",INDEX(ExpNorm,$L911))</f>
        <v/>
      </c>
      <c r="C911" s="17">
        <f>IF($L911="","",IF(INDEX(ExpTime,$L911)="","—",LEFT(INDEX(ExpTime,$L911),2)&amp;":"&amp;RIGHT(INDEX(ExpTime,$L911),2)))</f>
        <v/>
      </c>
      <c r="D911" s="17">
        <f>IF($L911="","",IF(INDEX(ExpBank,$L911)="","—",INDEX(ExpBank,$L911)))</f>
        <v/>
      </c>
      <c r="E911" s="18">
        <f>IF($L911="","",IF(INDEX(ExpParty,$L911)="","—",IFERROR(VLOOKUP(INDEX(ExpParty,$L911),AcctTbl,4,0),INDEX(ExpParty,$L911))))</f>
        <v/>
      </c>
      <c r="F911" s="17">
        <f>IF($L911="","",IF(INDEX(ExpType,$L911)="","—",INDEX(ExpType,$L911)))</f>
        <v/>
      </c>
      <c r="G911" s="19">
        <f>IF($L911="","",IF(INDEX(ExpDep,$L911)=0,"",INDEX(ExpDep,$L911)))</f>
        <v/>
      </c>
      <c r="H911" s="19">
        <f>IF($L911="","",IF(INDEX(ExpWit,$L911)=0,"",INDEX(ExpWit,$L911)))</f>
        <v/>
      </c>
      <c r="I911" s="20">
        <f>IF($B911="","",IF($I910="",0,$I910)+IF($H911="",0,$H911)-IF($G911="",0,$G911))</f>
        <v/>
      </c>
      <c r="J911" s="18">
        <f>IF($L911="","",IF(INDEX(ExpNote,$L911)="","—",INDEX(ExpNote,$L911)))</f>
        <v/>
      </c>
      <c r="L911">
        <f>IFERROR(MATCH($C$5&amp;"|"&amp;RIGHT("000000"&amp;895,6),ExpRankKey,0),"")</f>
        <v/>
      </c>
    </row>
    <row r="912">
      <c r="A912" s="21" t="n">
        <v>896</v>
      </c>
      <c r="B912" s="22">
        <f>IF($L912="","",INDEX(ExpNorm,$L912))</f>
        <v/>
      </c>
      <c r="C912" s="22">
        <f>IF($L912="","",IF(INDEX(ExpTime,$L912)="","—",LEFT(INDEX(ExpTime,$L912),2)&amp;":"&amp;RIGHT(INDEX(ExpTime,$L912),2)))</f>
        <v/>
      </c>
      <c r="D912" s="22">
        <f>IF($L912="","",IF(INDEX(ExpBank,$L912)="","—",INDEX(ExpBank,$L912)))</f>
        <v/>
      </c>
      <c r="E912" s="23">
        <f>IF($L912="","",IF(INDEX(ExpParty,$L912)="","—",IFERROR(VLOOKUP(INDEX(ExpParty,$L912),AcctTbl,4,0),INDEX(ExpParty,$L912))))</f>
        <v/>
      </c>
      <c r="F912" s="22">
        <f>IF($L912="","",IF(INDEX(ExpType,$L912)="","—",INDEX(ExpType,$L912)))</f>
        <v/>
      </c>
      <c r="G912" s="24">
        <f>IF($L912="","",IF(INDEX(ExpDep,$L912)=0,"",INDEX(ExpDep,$L912)))</f>
        <v/>
      </c>
      <c r="H912" s="24">
        <f>IF($L912="","",IF(INDEX(ExpWit,$L912)=0,"",INDEX(ExpWit,$L912)))</f>
        <v/>
      </c>
      <c r="I912" s="25">
        <f>IF($B912="","",IF($I911="",0,$I911)+IF($H912="",0,$H912)-IF($G912="",0,$G912))</f>
        <v/>
      </c>
      <c r="J912" s="23">
        <f>IF($L912="","",IF(INDEX(ExpNote,$L912)="","—",INDEX(ExpNote,$L912)))</f>
        <v/>
      </c>
      <c r="L912">
        <f>IFERROR(MATCH($C$5&amp;"|"&amp;RIGHT("000000"&amp;896,6),ExpRankKey,0),"")</f>
        <v/>
      </c>
    </row>
    <row r="913">
      <c r="A913" s="16" t="n">
        <v>897</v>
      </c>
      <c r="B913" s="17">
        <f>IF($L913="","",INDEX(ExpNorm,$L913))</f>
        <v/>
      </c>
      <c r="C913" s="17">
        <f>IF($L913="","",IF(INDEX(ExpTime,$L913)="","—",LEFT(INDEX(ExpTime,$L913),2)&amp;":"&amp;RIGHT(INDEX(ExpTime,$L913),2)))</f>
        <v/>
      </c>
      <c r="D913" s="17">
        <f>IF($L913="","",IF(INDEX(ExpBank,$L913)="","—",INDEX(ExpBank,$L913)))</f>
        <v/>
      </c>
      <c r="E913" s="18">
        <f>IF($L913="","",IF(INDEX(ExpParty,$L913)="","—",IFERROR(VLOOKUP(INDEX(ExpParty,$L913),AcctTbl,4,0),INDEX(ExpParty,$L913))))</f>
        <v/>
      </c>
      <c r="F913" s="17">
        <f>IF($L913="","",IF(INDEX(ExpType,$L913)="","—",INDEX(ExpType,$L913)))</f>
        <v/>
      </c>
      <c r="G913" s="19">
        <f>IF($L913="","",IF(INDEX(ExpDep,$L913)=0,"",INDEX(ExpDep,$L913)))</f>
        <v/>
      </c>
      <c r="H913" s="19">
        <f>IF($L913="","",IF(INDEX(ExpWit,$L913)=0,"",INDEX(ExpWit,$L913)))</f>
        <v/>
      </c>
      <c r="I913" s="20">
        <f>IF($B913="","",IF($I912="",0,$I912)+IF($H913="",0,$H913)-IF($G913="",0,$G913))</f>
        <v/>
      </c>
      <c r="J913" s="18">
        <f>IF($L913="","",IF(INDEX(ExpNote,$L913)="","—",INDEX(ExpNote,$L913)))</f>
        <v/>
      </c>
      <c r="L913">
        <f>IFERROR(MATCH($C$5&amp;"|"&amp;RIGHT("000000"&amp;897,6),ExpRankKey,0),"")</f>
        <v/>
      </c>
    </row>
    <row r="914">
      <c r="A914" s="21" t="n">
        <v>898</v>
      </c>
      <c r="B914" s="22">
        <f>IF($L914="","",INDEX(ExpNorm,$L914))</f>
        <v/>
      </c>
      <c r="C914" s="22">
        <f>IF($L914="","",IF(INDEX(ExpTime,$L914)="","—",LEFT(INDEX(ExpTime,$L914),2)&amp;":"&amp;RIGHT(INDEX(ExpTime,$L914),2)))</f>
        <v/>
      </c>
      <c r="D914" s="22">
        <f>IF($L914="","",IF(INDEX(ExpBank,$L914)="","—",INDEX(ExpBank,$L914)))</f>
        <v/>
      </c>
      <c r="E914" s="23">
        <f>IF($L914="","",IF(INDEX(ExpParty,$L914)="","—",IFERROR(VLOOKUP(INDEX(ExpParty,$L914),AcctTbl,4,0),INDEX(ExpParty,$L914))))</f>
        <v/>
      </c>
      <c r="F914" s="22">
        <f>IF($L914="","",IF(INDEX(ExpType,$L914)="","—",INDEX(ExpType,$L914)))</f>
        <v/>
      </c>
      <c r="G914" s="24">
        <f>IF($L914="","",IF(INDEX(ExpDep,$L914)=0,"",INDEX(ExpDep,$L914)))</f>
        <v/>
      </c>
      <c r="H914" s="24">
        <f>IF($L914="","",IF(INDEX(ExpWit,$L914)=0,"",INDEX(ExpWit,$L914)))</f>
        <v/>
      </c>
      <c r="I914" s="25">
        <f>IF($B914="","",IF($I913="",0,$I913)+IF($H914="",0,$H914)-IF($G914="",0,$G914))</f>
        <v/>
      </c>
      <c r="J914" s="23">
        <f>IF($L914="","",IF(INDEX(ExpNote,$L914)="","—",INDEX(ExpNote,$L914)))</f>
        <v/>
      </c>
      <c r="L914">
        <f>IFERROR(MATCH($C$5&amp;"|"&amp;RIGHT("000000"&amp;898,6),ExpRankKey,0),"")</f>
        <v/>
      </c>
    </row>
    <row r="915">
      <c r="A915" s="16" t="n">
        <v>899</v>
      </c>
      <c r="B915" s="17">
        <f>IF($L915="","",INDEX(ExpNorm,$L915))</f>
        <v/>
      </c>
      <c r="C915" s="17">
        <f>IF($L915="","",IF(INDEX(ExpTime,$L915)="","—",LEFT(INDEX(ExpTime,$L915),2)&amp;":"&amp;RIGHT(INDEX(ExpTime,$L915),2)))</f>
        <v/>
      </c>
      <c r="D915" s="17">
        <f>IF($L915="","",IF(INDEX(ExpBank,$L915)="","—",INDEX(ExpBank,$L915)))</f>
        <v/>
      </c>
      <c r="E915" s="18">
        <f>IF($L915="","",IF(INDEX(ExpParty,$L915)="","—",IFERROR(VLOOKUP(INDEX(ExpParty,$L915),AcctTbl,4,0),INDEX(ExpParty,$L915))))</f>
        <v/>
      </c>
      <c r="F915" s="17">
        <f>IF($L915="","",IF(INDEX(ExpType,$L915)="","—",INDEX(ExpType,$L915)))</f>
        <v/>
      </c>
      <c r="G915" s="19">
        <f>IF($L915="","",IF(INDEX(ExpDep,$L915)=0,"",INDEX(ExpDep,$L915)))</f>
        <v/>
      </c>
      <c r="H915" s="19">
        <f>IF($L915="","",IF(INDEX(ExpWit,$L915)=0,"",INDEX(ExpWit,$L915)))</f>
        <v/>
      </c>
      <c r="I915" s="20">
        <f>IF($B915="","",IF($I914="",0,$I914)+IF($H915="",0,$H915)-IF($G915="",0,$G915))</f>
        <v/>
      </c>
      <c r="J915" s="18">
        <f>IF($L915="","",IF(INDEX(ExpNote,$L915)="","—",INDEX(ExpNote,$L915)))</f>
        <v/>
      </c>
      <c r="L915">
        <f>IFERROR(MATCH($C$5&amp;"|"&amp;RIGHT("000000"&amp;899,6),ExpRankKey,0),"")</f>
        <v/>
      </c>
    </row>
    <row r="916">
      <c r="A916" s="21" t="n">
        <v>900</v>
      </c>
      <c r="B916" s="22">
        <f>IF($L916="","",INDEX(ExpNorm,$L916))</f>
        <v/>
      </c>
      <c r="C916" s="22">
        <f>IF($L916="","",IF(INDEX(ExpTime,$L916)="","—",LEFT(INDEX(ExpTime,$L916),2)&amp;":"&amp;RIGHT(INDEX(ExpTime,$L916),2)))</f>
        <v/>
      </c>
      <c r="D916" s="22">
        <f>IF($L916="","",IF(INDEX(ExpBank,$L916)="","—",INDEX(ExpBank,$L916)))</f>
        <v/>
      </c>
      <c r="E916" s="23">
        <f>IF($L916="","",IF(INDEX(ExpParty,$L916)="","—",IFERROR(VLOOKUP(INDEX(ExpParty,$L916),AcctTbl,4,0),INDEX(ExpParty,$L916))))</f>
        <v/>
      </c>
      <c r="F916" s="22">
        <f>IF($L916="","",IF(INDEX(ExpType,$L916)="","—",INDEX(ExpType,$L916)))</f>
        <v/>
      </c>
      <c r="G916" s="24">
        <f>IF($L916="","",IF(INDEX(ExpDep,$L916)=0,"",INDEX(ExpDep,$L916)))</f>
        <v/>
      </c>
      <c r="H916" s="24">
        <f>IF($L916="","",IF(INDEX(ExpWit,$L916)=0,"",INDEX(ExpWit,$L916)))</f>
        <v/>
      </c>
      <c r="I916" s="25">
        <f>IF($B916="","",IF($I915="",0,$I915)+IF($H916="",0,$H916)-IF($G916="",0,$G916))</f>
        <v/>
      </c>
      <c r="J916" s="23">
        <f>IF($L916="","",IF(INDEX(ExpNote,$L916)="","—",INDEX(ExpNote,$L916)))</f>
        <v/>
      </c>
      <c r="L916">
        <f>IFERROR(MATCH($C$5&amp;"|"&amp;RIGHT("000000"&amp;900,6),ExpRankKey,0),"")</f>
        <v/>
      </c>
    </row>
    <row r="917">
      <c r="A917" s="16" t="n">
        <v>901</v>
      </c>
      <c r="B917" s="17">
        <f>IF($L917="","",INDEX(ExpNorm,$L917))</f>
        <v/>
      </c>
      <c r="C917" s="17">
        <f>IF($L917="","",IF(INDEX(ExpTime,$L917)="","—",LEFT(INDEX(ExpTime,$L917),2)&amp;":"&amp;RIGHT(INDEX(ExpTime,$L917),2)))</f>
        <v/>
      </c>
      <c r="D917" s="17">
        <f>IF($L917="","",IF(INDEX(ExpBank,$L917)="","—",INDEX(ExpBank,$L917)))</f>
        <v/>
      </c>
      <c r="E917" s="18">
        <f>IF($L917="","",IF(INDEX(ExpParty,$L917)="","—",IFERROR(VLOOKUP(INDEX(ExpParty,$L917),AcctTbl,4,0),INDEX(ExpParty,$L917))))</f>
        <v/>
      </c>
      <c r="F917" s="17">
        <f>IF($L917="","",IF(INDEX(ExpType,$L917)="","—",INDEX(ExpType,$L917)))</f>
        <v/>
      </c>
      <c r="G917" s="19">
        <f>IF($L917="","",IF(INDEX(ExpDep,$L917)=0,"",INDEX(ExpDep,$L917)))</f>
        <v/>
      </c>
      <c r="H917" s="19">
        <f>IF($L917="","",IF(INDEX(ExpWit,$L917)=0,"",INDEX(ExpWit,$L917)))</f>
        <v/>
      </c>
      <c r="I917" s="20">
        <f>IF($B917="","",IF($I916="",0,$I916)+IF($H917="",0,$H917)-IF($G917="",0,$G917))</f>
        <v/>
      </c>
      <c r="J917" s="18">
        <f>IF($L917="","",IF(INDEX(ExpNote,$L917)="","—",INDEX(ExpNote,$L917)))</f>
        <v/>
      </c>
      <c r="L917">
        <f>IFERROR(MATCH($C$5&amp;"|"&amp;RIGHT("000000"&amp;901,6),ExpRankKey,0),"")</f>
        <v/>
      </c>
    </row>
    <row r="918">
      <c r="A918" s="21" t="n">
        <v>902</v>
      </c>
      <c r="B918" s="22">
        <f>IF($L918="","",INDEX(ExpNorm,$L918))</f>
        <v/>
      </c>
      <c r="C918" s="22">
        <f>IF($L918="","",IF(INDEX(ExpTime,$L918)="","—",LEFT(INDEX(ExpTime,$L918),2)&amp;":"&amp;RIGHT(INDEX(ExpTime,$L918),2)))</f>
        <v/>
      </c>
      <c r="D918" s="22">
        <f>IF($L918="","",IF(INDEX(ExpBank,$L918)="","—",INDEX(ExpBank,$L918)))</f>
        <v/>
      </c>
      <c r="E918" s="23">
        <f>IF($L918="","",IF(INDEX(ExpParty,$L918)="","—",IFERROR(VLOOKUP(INDEX(ExpParty,$L918),AcctTbl,4,0),INDEX(ExpParty,$L918))))</f>
        <v/>
      </c>
      <c r="F918" s="22">
        <f>IF($L918="","",IF(INDEX(ExpType,$L918)="","—",INDEX(ExpType,$L918)))</f>
        <v/>
      </c>
      <c r="G918" s="24">
        <f>IF($L918="","",IF(INDEX(ExpDep,$L918)=0,"",INDEX(ExpDep,$L918)))</f>
        <v/>
      </c>
      <c r="H918" s="24">
        <f>IF($L918="","",IF(INDEX(ExpWit,$L918)=0,"",INDEX(ExpWit,$L918)))</f>
        <v/>
      </c>
      <c r="I918" s="25">
        <f>IF($B918="","",IF($I917="",0,$I917)+IF($H918="",0,$H918)-IF($G918="",0,$G918))</f>
        <v/>
      </c>
      <c r="J918" s="23">
        <f>IF($L918="","",IF(INDEX(ExpNote,$L918)="","—",INDEX(ExpNote,$L918)))</f>
        <v/>
      </c>
      <c r="L918">
        <f>IFERROR(MATCH($C$5&amp;"|"&amp;RIGHT("000000"&amp;902,6),ExpRankKey,0),"")</f>
        <v/>
      </c>
    </row>
    <row r="919">
      <c r="A919" s="16" t="n">
        <v>903</v>
      </c>
      <c r="B919" s="17">
        <f>IF($L919="","",INDEX(ExpNorm,$L919))</f>
        <v/>
      </c>
      <c r="C919" s="17">
        <f>IF($L919="","",IF(INDEX(ExpTime,$L919)="","—",LEFT(INDEX(ExpTime,$L919),2)&amp;":"&amp;RIGHT(INDEX(ExpTime,$L919),2)))</f>
        <v/>
      </c>
      <c r="D919" s="17">
        <f>IF($L919="","",IF(INDEX(ExpBank,$L919)="","—",INDEX(ExpBank,$L919)))</f>
        <v/>
      </c>
      <c r="E919" s="18">
        <f>IF($L919="","",IF(INDEX(ExpParty,$L919)="","—",IFERROR(VLOOKUP(INDEX(ExpParty,$L919),AcctTbl,4,0),INDEX(ExpParty,$L919))))</f>
        <v/>
      </c>
      <c r="F919" s="17">
        <f>IF($L919="","",IF(INDEX(ExpType,$L919)="","—",INDEX(ExpType,$L919)))</f>
        <v/>
      </c>
      <c r="G919" s="19">
        <f>IF($L919="","",IF(INDEX(ExpDep,$L919)=0,"",INDEX(ExpDep,$L919)))</f>
        <v/>
      </c>
      <c r="H919" s="19">
        <f>IF($L919="","",IF(INDEX(ExpWit,$L919)=0,"",INDEX(ExpWit,$L919)))</f>
        <v/>
      </c>
      <c r="I919" s="20">
        <f>IF($B919="","",IF($I918="",0,$I918)+IF($H919="",0,$H919)-IF($G919="",0,$G919))</f>
        <v/>
      </c>
      <c r="J919" s="18">
        <f>IF($L919="","",IF(INDEX(ExpNote,$L919)="","—",INDEX(ExpNote,$L919)))</f>
        <v/>
      </c>
      <c r="L919">
        <f>IFERROR(MATCH($C$5&amp;"|"&amp;RIGHT("000000"&amp;903,6),ExpRankKey,0),"")</f>
        <v/>
      </c>
    </row>
    <row r="920">
      <c r="A920" s="21" t="n">
        <v>904</v>
      </c>
      <c r="B920" s="22">
        <f>IF($L920="","",INDEX(ExpNorm,$L920))</f>
        <v/>
      </c>
      <c r="C920" s="22">
        <f>IF($L920="","",IF(INDEX(ExpTime,$L920)="","—",LEFT(INDEX(ExpTime,$L920),2)&amp;":"&amp;RIGHT(INDEX(ExpTime,$L920),2)))</f>
        <v/>
      </c>
      <c r="D920" s="22">
        <f>IF($L920="","",IF(INDEX(ExpBank,$L920)="","—",INDEX(ExpBank,$L920)))</f>
        <v/>
      </c>
      <c r="E920" s="23">
        <f>IF($L920="","",IF(INDEX(ExpParty,$L920)="","—",IFERROR(VLOOKUP(INDEX(ExpParty,$L920),AcctTbl,4,0),INDEX(ExpParty,$L920))))</f>
        <v/>
      </c>
      <c r="F920" s="22">
        <f>IF($L920="","",IF(INDEX(ExpType,$L920)="","—",INDEX(ExpType,$L920)))</f>
        <v/>
      </c>
      <c r="G920" s="24">
        <f>IF($L920="","",IF(INDEX(ExpDep,$L920)=0,"",INDEX(ExpDep,$L920)))</f>
        <v/>
      </c>
      <c r="H920" s="24">
        <f>IF($L920="","",IF(INDEX(ExpWit,$L920)=0,"",INDEX(ExpWit,$L920)))</f>
        <v/>
      </c>
      <c r="I920" s="25">
        <f>IF($B920="","",IF($I919="",0,$I919)+IF($H920="",0,$H920)-IF($G920="",0,$G920))</f>
        <v/>
      </c>
      <c r="J920" s="23">
        <f>IF($L920="","",IF(INDEX(ExpNote,$L920)="","—",INDEX(ExpNote,$L920)))</f>
        <v/>
      </c>
      <c r="L920">
        <f>IFERROR(MATCH($C$5&amp;"|"&amp;RIGHT("000000"&amp;904,6),ExpRankKey,0),"")</f>
        <v/>
      </c>
    </row>
    <row r="921">
      <c r="A921" s="16" t="n">
        <v>905</v>
      </c>
      <c r="B921" s="17">
        <f>IF($L921="","",INDEX(ExpNorm,$L921))</f>
        <v/>
      </c>
      <c r="C921" s="17">
        <f>IF($L921="","",IF(INDEX(ExpTime,$L921)="","—",LEFT(INDEX(ExpTime,$L921),2)&amp;":"&amp;RIGHT(INDEX(ExpTime,$L921),2)))</f>
        <v/>
      </c>
      <c r="D921" s="17">
        <f>IF($L921="","",IF(INDEX(ExpBank,$L921)="","—",INDEX(ExpBank,$L921)))</f>
        <v/>
      </c>
      <c r="E921" s="18">
        <f>IF($L921="","",IF(INDEX(ExpParty,$L921)="","—",IFERROR(VLOOKUP(INDEX(ExpParty,$L921),AcctTbl,4,0),INDEX(ExpParty,$L921))))</f>
        <v/>
      </c>
      <c r="F921" s="17">
        <f>IF($L921="","",IF(INDEX(ExpType,$L921)="","—",INDEX(ExpType,$L921)))</f>
        <v/>
      </c>
      <c r="G921" s="19">
        <f>IF($L921="","",IF(INDEX(ExpDep,$L921)=0,"",INDEX(ExpDep,$L921)))</f>
        <v/>
      </c>
      <c r="H921" s="19">
        <f>IF($L921="","",IF(INDEX(ExpWit,$L921)=0,"",INDEX(ExpWit,$L921)))</f>
        <v/>
      </c>
      <c r="I921" s="20">
        <f>IF($B921="","",IF($I920="",0,$I920)+IF($H921="",0,$H921)-IF($G921="",0,$G921))</f>
        <v/>
      </c>
      <c r="J921" s="18">
        <f>IF($L921="","",IF(INDEX(ExpNote,$L921)="","—",INDEX(ExpNote,$L921)))</f>
        <v/>
      </c>
      <c r="L921">
        <f>IFERROR(MATCH($C$5&amp;"|"&amp;RIGHT("000000"&amp;905,6),ExpRankKey,0),"")</f>
        <v/>
      </c>
    </row>
    <row r="922">
      <c r="A922" s="21" t="n">
        <v>906</v>
      </c>
      <c r="B922" s="22">
        <f>IF($L922="","",INDEX(ExpNorm,$L922))</f>
        <v/>
      </c>
      <c r="C922" s="22">
        <f>IF($L922="","",IF(INDEX(ExpTime,$L922)="","—",LEFT(INDEX(ExpTime,$L922),2)&amp;":"&amp;RIGHT(INDEX(ExpTime,$L922),2)))</f>
        <v/>
      </c>
      <c r="D922" s="22">
        <f>IF($L922="","",IF(INDEX(ExpBank,$L922)="","—",INDEX(ExpBank,$L922)))</f>
        <v/>
      </c>
      <c r="E922" s="23">
        <f>IF($L922="","",IF(INDEX(ExpParty,$L922)="","—",IFERROR(VLOOKUP(INDEX(ExpParty,$L922),AcctTbl,4,0),INDEX(ExpParty,$L922))))</f>
        <v/>
      </c>
      <c r="F922" s="22">
        <f>IF($L922="","",IF(INDEX(ExpType,$L922)="","—",INDEX(ExpType,$L922)))</f>
        <v/>
      </c>
      <c r="G922" s="24">
        <f>IF($L922="","",IF(INDEX(ExpDep,$L922)=0,"",INDEX(ExpDep,$L922)))</f>
        <v/>
      </c>
      <c r="H922" s="24">
        <f>IF($L922="","",IF(INDEX(ExpWit,$L922)=0,"",INDEX(ExpWit,$L922)))</f>
        <v/>
      </c>
      <c r="I922" s="25">
        <f>IF($B922="","",IF($I921="",0,$I921)+IF($H922="",0,$H922)-IF($G922="",0,$G922))</f>
        <v/>
      </c>
      <c r="J922" s="23">
        <f>IF($L922="","",IF(INDEX(ExpNote,$L922)="","—",INDEX(ExpNote,$L922)))</f>
        <v/>
      </c>
      <c r="L922">
        <f>IFERROR(MATCH($C$5&amp;"|"&amp;RIGHT("000000"&amp;906,6),ExpRankKey,0),"")</f>
        <v/>
      </c>
    </row>
    <row r="923">
      <c r="A923" s="16" t="n">
        <v>907</v>
      </c>
      <c r="B923" s="17">
        <f>IF($L923="","",INDEX(ExpNorm,$L923))</f>
        <v/>
      </c>
      <c r="C923" s="17">
        <f>IF($L923="","",IF(INDEX(ExpTime,$L923)="","—",LEFT(INDEX(ExpTime,$L923),2)&amp;":"&amp;RIGHT(INDEX(ExpTime,$L923),2)))</f>
        <v/>
      </c>
      <c r="D923" s="17">
        <f>IF($L923="","",IF(INDEX(ExpBank,$L923)="","—",INDEX(ExpBank,$L923)))</f>
        <v/>
      </c>
      <c r="E923" s="18">
        <f>IF($L923="","",IF(INDEX(ExpParty,$L923)="","—",IFERROR(VLOOKUP(INDEX(ExpParty,$L923),AcctTbl,4,0),INDEX(ExpParty,$L923))))</f>
        <v/>
      </c>
      <c r="F923" s="17">
        <f>IF($L923="","",IF(INDEX(ExpType,$L923)="","—",INDEX(ExpType,$L923)))</f>
        <v/>
      </c>
      <c r="G923" s="19">
        <f>IF($L923="","",IF(INDEX(ExpDep,$L923)=0,"",INDEX(ExpDep,$L923)))</f>
        <v/>
      </c>
      <c r="H923" s="19">
        <f>IF($L923="","",IF(INDEX(ExpWit,$L923)=0,"",INDEX(ExpWit,$L923)))</f>
        <v/>
      </c>
      <c r="I923" s="20">
        <f>IF($B923="","",IF($I922="",0,$I922)+IF($H923="",0,$H923)-IF($G923="",0,$G923))</f>
        <v/>
      </c>
      <c r="J923" s="18">
        <f>IF($L923="","",IF(INDEX(ExpNote,$L923)="","—",INDEX(ExpNote,$L923)))</f>
        <v/>
      </c>
      <c r="L923">
        <f>IFERROR(MATCH($C$5&amp;"|"&amp;RIGHT("000000"&amp;907,6),ExpRankKey,0),"")</f>
        <v/>
      </c>
    </row>
    <row r="924">
      <c r="A924" s="21" t="n">
        <v>908</v>
      </c>
      <c r="B924" s="22">
        <f>IF($L924="","",INDEX(ExpNorm,$L924))</f>
        <v/>
      </c>
      <c r="C924" s="22">
        <f>IF($L924="","",IF(INDEX(ExpTime,$L924)="","—",LEFT(INDEX(ExpTime,$L924),2)&amp;":"&amp;RIGHT(INDEX(ExpTime,$L924),2)))</f>
        <v/>
      </c>
      <c r="D924" s="22">
        <f>IF($L924="","",IF(INDEX(ExpBank,$L924)="","—",INDEX(ExpBank,$L924)))</f>
        <v/>
      </c>
      <c r="E924" s="23">
        <f>IF($L924="","",IF(INDEX(ExpParty,$L924)="","—",IFERROR(VLOOKUP(INDEX(ExpParty,$L924),AcctTbl,4,0),INDEX(ExpParty,$L924))))</f>
        <v/>
      </c>
      <c r="F924" s="22">
        <f>IF($L924="","",IF(INDEX(ExpType,$L924)="","—",INDEX(ExpType,$L924)))</f>
        <v/>
      </c>
      <c r="G924" s="24">
        <f>IF($L924="","",IF(INDEX(ExpDep,$L924)=0,"",INDEX(ExpDep,$L924)))</f>
        <v/>
      </c>
      <c r="H924" s="24">
        <f>IF($L924="","",IF(INDEX(ExpWit,$L924)=0,"",INDEX(ExpWit,$L924)))</f>
        <v/>
      </c>
      <c r="I924" s="25">
        <f>IF($B924="","",IF($I923="",0,$I923)+IF($H924="",0,$H924)-IF($G924="",0,$G924))</f>
        <v/>
      </c>
      <c r="J924" s="23">
        <f>IF($L924="","",IF(INDEX(ExpNote,$L924)="","—",INDEX(ExpNote,$L924)))</f>
        <v/>
      </c>
      <c r="L924">
        <f>IFERROR(MATCH($C$5&amp;"|"&amp;RIGHT("000000"&amp;908,6),ExpRankKey,0),"")</f>
        <v/>
      </c>
    </row>
    <row r="925">
      <c r="A925" s="16" t="n">
        <v>909</v>
      </c>
      <c r="B925" s="17">
        <f>IF($L925="","",INDEX(ExpNorm,$L925))</f>
        <v/>
      </c>
      <c r="C925" s="17">
        <f>IF($L925="","",IF(INDEX(ExpTime,$L925)="","—",LEFT(INDEX(ExpTime,$L925),2)&amp;":"&amp;RIGHT(INDEX(ExpTime,$L925),2)))</f>
        <v/>
      </c>
      <c r="D925" s="17">
        <f>IF($L925="","",IF(INDEX(ExpBank,$L925)="","—",INDEX(ExpBank,$L925)))</f>
        <v/>
      </c>
      <c r="E925" s="18">
        <f>IF($L925="","",IF(INDEX(ExpParty,$L925)="","—",IFERROR(VLOOKUP(INDEX(ExpParty,$L925),AcctTbl,4,0),INDEX(ExpParty,$L925))))</f>
        <v/>
      </c>
      <c r="F925" s="17">
        <f>IF($L925="","",IF(INDEX(ExpType,$L925)="","—",INDEX(ExpType,$L925)))</f>
        <v/>
      </c>
      <c r="G925" s="19">
        <f>IF($L925="","",IF(INDEX(ExpDep,$L925)=0,"",INDEX(ExpDep,$L925)))</f>
        <v/>
      </c>
      <c r="H925" s="19">
        <f>IF($L925="","",IF(INDEX(ExpWit,$L925)=0,"",INDEX(ExpWit,$L925)))</f>
        <v/>
      </c>
      <c r="I925" s="20">
        <f>IF($B925="","",IF($I924="",0,$I924)+IF($H925="",0,$H925)-IF($G925="",0,$G925))</f>
        <v/>
      </c>
      <c r="J925" s="18">
        <f>IF($L925="","",IF(INDEX(ExpNote,$L925)="","—",INDEX(ExpNote,$L925)))</f>
        <v/>
      </c>
      <c r="L925">
        <f>IFERROR(MATCH($C$5&amp;"|"&amp;RIGHT("000000"&amp;909,6),ExpRankKey,0),"")</f>
        <v/>
      </c>
    </row>
    <row r="926">
      <c r="A926" s="21" t="n">
        <v>910</v>
      </c>
      <c r="B926" s="22">
        <f>IF($L926="","",INDEX(ExpNorm,$L926))</f>
        <v/>
      </c>
      <c r="C926" s="22">
        <f>IF($L926="","",IF(INDEX(ExpTime,$L926)="","—",LEFT(INDEX(ExpTime,$L926),2)&amp;":"&amp;RIGHT(INDEX(ExpTime,$L926),2)))</f>
        <v/>
      </c>
      <c r="D926" s="22">
        <f>IF($L926="","",IF(INDEX(ExpBank,$L926)="","—",INDEX(ExpBank,$L926)))</f>
        <v/>
      </c>
      <c r="E926" s="23">
        <f>IF($L926="","",IF(INDEX(ExpParty,$L926)="","—",IFERROR(VLOOKUP(INDEX(ExpParty,$L926),AcctTbl,4,0),INDEX(ExpParty,$L926))))</f>
        <v/>
      </c>
      <c r="F926" s="22">
        <f>IF($L926="","",IF(INDEX(ExpType,$L926)="","—",INDEX(ExpType,$L926)))</f>
        <v/>
      </c>
      <c r="G926" s="24">
        <f>IF($L926="","",IF(INDEX(ExpDep,$L926)=0,"",INDEX(ExpDep,$L926)))</f>
        <v/>
      </c>
      <c r="H926" s="24">
        <f>IF($L926="","",IF(INDEX(ExpWit,$L926)=0,"",INDEX(ExpWit,$L926)))</f>
        <v/>
      </c>
      <c r="I926" s="25">
        <f>IF($B926="","",IF($I925="",0,$I925)+IF($H926="",0,$H926)-IF($G926="",0,$G926))</f>
        <v/>
      </c>
      <c r="J926" s="23">
        <f>IF($L926="","",IF(INDEX(ExpNote,$L926)="","—",INDEX(ExpNote,$L926)))</f>
        <v/>
      </c>
      <c r="L926">
        <f>IFERROR(MATCH($C$5&amp;"|"&amp;RIGHT("000000"&amp;910,6),ExpRankKey,0),"")</f>
        <v/>
      </c>
    </row>
    <row r="927">
      <c r="A927" s="16" t="n">
        <v>911</v>
      </c>
      <c r="B927" s="17">
        <f>IF($L927="","",INDEX(ExpNorm,$L927))</f>
        <v/>
      </c>
      <c r="C927" s="17">
        <f>IF($L927="","",IF(INDEX(ExpTime,$L927)="","—",LEFT(INDEX(ExpTime,$L927),2)&amp;":"&amp;RIGHT(INDEX(ExpTime,$L927),2)))</f>
        <v/>
      </c>
      <c r="D927" s="17">
        <f>IF($L927="","",IF(INDEX(ExpBank,$L927)="","—",INDEX(ExpBank,$L927)))</f>
        <v/>
      </c>
      <c r="E927" s="18">
        <f>IF($L927="","",IF(INDEX(ExpParty,$L927)="","—",IFERROR(VLOOKUP(INDEX(ExpParty,$L927),AcctTbl,4,0),INDEX(ExpParty,$L927))))</f>
        <v/>
      </c>
      <c r="F927" s="17">
        <f>IF($L927="","",IF(INDEX(ExpType,$L927)="","—",INDEX(ExpType,$L927)))</f>
        <v/>
      </c>
      <c r="G927" s="19">
        <f>IF($L927="","",IF(INDEX(ExpDep,$L927)=0,"",INDEX(ExpDep,$L927)))</f>
        <v/>
      </c>
      <c r="H927" s="19">
        <f>IF($L927="","",IF(INDEX(ExpWit,$L927)=0,"",INDEX(ExpWit,$L927)))</f>
        <v/>
      </c>
      <c r="I927" s="20">
        <f>IF($B927="","",IF($I926="",0,$I926)+IF($H927="",0,$H927)-IF($G927="",0,$G927))</f>
        <v/>
      </c>
      <c r="J927" s="18">
        <f>IF($L927="","",IF(INDEX(ExpNote,$L927)="","—",INDEX(ExpNote,$L927)))</f>
        <v/>
      </c>
      <c r="L927">
        <f>IFERROR(MATCH($C$5&amp;"|"&amp;RIGHT("000000"&amp;911,6),ExpRankKey,0),"")</f>
        <v/>
      </c>
    </row>
    <row r="928">
      <c r="A928" s="21" t="n">
        <v>912</v>
      </c>
      <c r="B928" s="22">
        <f>IF($L928="","",INDEX(ExpNorm,$L928))</f>
        <v/>
      </c>
      <c r="C928" s="22">
        <f>IF($L928="","",IF(INDEX(ExpTime,$L928)="","—",LEFT(INDEX(ExpTime,$L928),2)&amp;":"&amp;RIGHT(INDEX(ExpTime,$L928),2)))</f>
        <v/>
      </c>
      <c r="D928" s="22">
        <f>IF($L928="","",IF(INDEX(ExpBank,$L928)="","—",INDEX(ExpBank,$L928)))</f>
        <v/>
      </c>
      <c r="E928" s="23">
        <f>IF($L928="","",IF(INDEX(ExpParty,$L928)="","—",IFERROR(VLOOKUP(INDEX(ExpParty,$L928),AcctTbl,4,0),INDEX(ExpParty,$L928))))</f>
        <v/>
      </c>
      <c r="F928" s="22">
        <f>IF($L928="","",IF(INDEX(ExpType,$L928)="","—",INDEX(ExpType,$L928)))</f>
        <v/>
      </c>
      <c r="G928" s="24">
        <f>IF($L928="","",IF(INDEX(ExpDep,$L928)=0,"",INDEX(ExpDep,$L928)))</f>
        <v/>
      </c>
      <c r="H928" s="24">
        <f>IF($L928="","",IF(INDEX(ExpWit,$L928)=0,"",INDEX(ExpWit,$L928)))</f>
        <v/>
      </c>
      <c r="I928" s="25">
        <f>IF($B928="","",IF($I927="",0,$I927)+IF($H928="",0,$H928)-IF($G928="",0,$G928))</f>
        <v/>
      </c>
      <c r="J928" s="23">
        <f>IF($L928="","",IF(INDEX(ExpNote,$L928)="","—",INDEX(ExpNote,$L928)))</f>
        <v/>
      </c>
      <c r="L928">
        <f>IFERROR(MATCH($C$5&amp;"|"&amp;RIGHT("000000"&amp;912,6),ExpRankKey,0),"")</f>
        <v/>
      </c>
    </row>
    <row r="929">
      <c r="A929" s="16" t="n">
        <v>913</v>
      </c>
      <c r="B929" s="17">
        <f>IF($L929="","",INDEX(ExpNorm,$L929))</f>
        <v/>
      </c>
      <c r="C929" s="17">
        <f>IF($L929="","",IF(INDEX(ExpTime,$L929)="","—",LEFT(INDEX(ExpTime,$L929),2)&amp;":"&amp;RIGHT(INDEX(ExpTime,$L929),2)))</f>
        <v/>
      </c>
      <c r="D929" s="17">
        <f>IF($L929="","",IF(INDEX(ExpBank,$L929)="","—",INDEX(ExpBank,$L929)))</f>
        <v/>
      </c>
      <c r="E929" s="18">
        <f>IF($L929="","",IF(INDEX(ExpParty,$L929)="","—",IFERROR(VLOOKUP(INDEX(ExpParty,$L929),AcctTbl,4,0),INDEX(ExpParty,$L929))))</f>
        <v/>
      </c>
      <c r="F929" s="17">
        <f>IF($L929="","",IF(INDEX(ExpType,$L929)="","—",INDEX(ExpType,$L929)))</f>
        <v/>
      </c>
      <c r="G929" s="19">
        <f>IF($L929="","",IF(INDEX(ExpDep,$L929)=0,"",INDEX(ExpDep,$L929)))</f>
        <v/>
      </c>
      <c r="H929" s="19">
        <f>IF($L929="","",IF(INDEX(ExpWit,$L929)=0,"",INDEX(ExpWit,$L929)))</f>
        <v/>
      </c>
      <c r="I929" s="20">
        <f>IF($B929="","",IF($I928="",0,$I928)+IF($H929="",0,$H929)-IF($G929="",0,$G929))</f>
        <v/>
      </c>
      <c r="J929" s="18">
        <f>IF($L929="","",IF(INDEX(ExpNote,$L929)="","—",INDEX(ExpNote,$L929)))</f>
        <v/>
      </c>
      <c r="L929">
        <f>IFERROR(MATCH($C$5&amp;"|"&amp;RIGHT("000000"&amp;913,6),ExpRankKey,0),"")</f>
        <v/>
      </c>
    </row>
    <row r="930">
      <c r="A930" s="21" t="n">
        <v>914</v>
      </c>
      <c r="B930" s="22">
        <f>IF($L930="","",INDEX(ExpNorm,$L930))</f>
        <v/>
      </c>
      <c r="C930" s="22">
        <f>IF($L930="","",IF(INDEX(ExpTime,$L930)="","—",LEFT(INDEX(ExpTime,$L930),2)&amp;":"&amp;RIGHT(INDEX(ExpTime,$L930),2)))</f>
        <v/>
      </c>
      <c r="D930" s="22">
        <f>IF($L930="","",IF(INDEX(ExpBank,$L930)="","—",INDEX(ExpBank,$L930)))</f>
        <v/>
      </c>
      <c r="E930" s="23">
        <f>IF($L930="","",IF(INDEX(ExpParty,$L930)="","—",IFERROR(VLOOKUP(INDEX(ExpParty,$L930),AcctTbl,4,0),INDEX(ExpParty,$L930))))</f>
        <v/>
      </c>
      <c r="F930" s="22">
        <f>IF($L930="","",IF(INDEX(ExpType,$L930)="","—",INDEX(ExpType,$L930)))</f>
        <v/>
      </c>
      <c r="G930" s="24">
        <f>IF($L930="","",IF(INDEX(ExpDep,$L930)=0,"",INDEX(ExpDep,$L930)))</f>
        <v/>
      </c>
      <c r="H930" s="24">
        <f>IF($L930="","",IF(INDEX(ExpWit,$L930)=0,"",INDEX(ExpWit,$L930)))</f>
        <v/>
      </c>
      <c r="I930" s="25">
        <f>IF($B930="","",IF($I929="",0,$I929)+IF($H930="",0,$H930)-IF($G930="",0,$G930))</f>
        <v/>
      </c>
      <c r="J930" s="23">
        <f>IF($L930="","",IF(INDEX(ExpNote,$L930)="","—",INDEX(ExpNote,$L930)))</f>
        <v/>
      </c>
      <c r="L930">
        <f>IFERROR(MATCH($C$5&amp;"|"&amp;RIGHT("000000"&amp;914,6),ExpRankKey,0),"")</f>
        <v/>
      </c>
    </row>
    <row r="931">
      <c r="A931" s="16" t="n">
        <v>915</v>
      </c>
      <c r="B931" s="17">
        <f>IF($L931="","",INDEX(ExpNorm,$L931))</f>
        <v/>
      </c>
      <c r="C931" s="17">
        <f>IF($L931="","",IF(INDEX(ExpTime,$L931)="","—",LEFT(INDEX(ExpTime,$L931),2)&amp;":"&amp;RIGHT(INDEX(ExpTime,$L931),2)))</f>
        <v/>
      </c>
      <c r="D931" s="17">
        <f>IF($L931="","",IF(INDEX(ExpBank,$L931)="","—",INDEX(ExpBank,$L931)))</f>
        <v/>
      </c>
      <c r="E931" s="18">
        <f>IF($L931="","",IF(INDEX(ExpParty,$L931)="","—",IFERROR(VLOOKUP(INDEX(ExpParty,$L931),AcctTbl,4,0),INDEX(ExpParty,$L931))))</f>
        <v/>
      </c>
      <c r="F931" s="17">
        <f>IF($L931="","",IF(INDEX(ExpType,$L931)="","—",INDEX(ExpType,$L931)))</f>
        <v/>
      </c>
      <c r="G931" s="19">
        <f>IF($L931="","",IF(INDEX(ExpDep,$L931)=0,"",INDEX(ExpDep,$L931)))</f>
        <v/>
      </c>
      <c r="H931" s="19">
        <f>IF($L931="","",IF(INDEX(ExpWit,$L931)=0,"",INDEX(ExpWit,$L931)))</f>
        <v/>
      </c>
      <c r="I931" s="20">
        <f>IF($B931="","",IF($I930="",0,$I930)+IF($H931="",0,$H931)-IF($G931="",0,$G931))</f>
        <v/>
      </c>
      <c r="J931" s="18">
        <f>IF($L931="","",IF(INDEX(ExpNote,$L931)="","—",INDEX(ExpNote,$L931)))</f>
        <v/>
      </c>
      <c r="L931">
        <f>IFERROR(MATCH($C$5&amp;"|"&amp;RIGHT("000000"&amp;915,6),ExpRankKey,0),"")</f>
        <v/>
      </c>
    </row>
    <row r="932">
      <c r="A932" s="21" t="n">
        <v>916</v>
      </c>
      <c r="B932" s="22">
        <f>IF($L932="","",INDEX(ExpNorm,$L932))</f>
        <v/>
      </c>
      <c r="C932" s="22">
        <f>IF($L932="","",IF(INDEX(ExpTime,$L932)="","—",LEFT(INDEX(ExpTime,$L932),2)&amp;":"&amp;RIGHT(INDEX(ExpTime,$L932),2)))</f>
        <v/>
      </c>
      <c r="D932" s="22">
        <f>IF($L932="","",IF(INDEX(ExpBank,$L932)="","—",INDEX(ExpBank,$L932)))</f>
        <v/>
      </c>
      <c r="E932" s="23">
        <f>IF($L932="","",IF(INDEX(ExpParty,$L932)="","—",IFERROR(VLOOKUP(INDEX(ExpParty,$L932),AcctTbl,4,0),INDEX(ExpParty,$L932))))</f>
        <v/>
      </c>
      <c r="F932" s="22">
        <f>IF($L932="","",IF(INDEX(ExpType,$L932)="","—",INDEX(ExpType,$L932)))</f>
        <v/>
      </c>
      <c r="G932" s="24">
        <f>IF($L932="","",IF(INDEX(ExpDep,$L932)=0,"",INDEX(ExpDep,$L932)))</f>
        <v/>
      </c>
      <c r="H932" s="24">
        <f>IF($L932="","",IF(INDEX(ExpWit,$L932)=0,"",INDEX(ExpWit,$L932)))</f>
        <v/>
      </c>
      <c r="I932" s="25">
        <f>IF($B932="","",IF($I931="",0,$I931)+IF($H932="",0,$H932)-IF($G932="",0,$G932))</f>
        <v/>
      </c>
      <c r="J932" s="23">
        <f>IF($L932="","",IF(INDEX(ExpNote,$L932)="","—",INDEX(ExpNote,$L932)))</f>
        <v/>
      </c>
      <c r="L932">
        <f>IFERROR(MATCH($C$5&amp;"|"&amp;RIGHT("000000"&amp;916,6),ExpRankKey,0),"")</f>
        <v/>
      </c>
    </row>
    <row r="933">
      <c r="A933" s="16" t="n">
        <v>917</v>
      </c>
      <c r="B933" s="17">
        <f>IF($L933="","",INDEX(ExpNorm,$L933))</f>
        <v/>
      </c>
      <c r="C933" s="17">
        <f>IF($L933="","",IF(INDEX(ExpTime,$L933)="","—",LEFT(INDEX(ExpTime,$L933),2)&amp;":"&amp;RIGHT(INDEX(ExpTime,$L933),2)))</f>
        <v/>
      </c>
      <c r="D933" s="17">
        <f>IF($L933="","",IF(INDEX(ExpBank,$L933)="","—",INDEX(ExpBank,$L933)))</f>
        <v/>
      </c>
      <c r="E933" s="18">
        <f>IF($L933="","",IF(INDEX(ExpParty,$L933)="","—",IFERROR(VLOOKUP(INDEX(ExpParty,$L933),AcctTbl,4,0),INDEX(ExpParty,$L933))))</f>
        <v/>
      </c>
      <c r="F933" s="17">
        <f>IF($L933="","",IF(INDEX(ExpType,$L933)="","—",INDEX(ExpType,$L933)))</f>
        <v/>
      </c>
      <c r="G933" s="19">
        <f>IF($L933="","",IF(INDEX(ExpDep,$L933)=0,"",INDEX(ExpDep,$L933)))</f>
        <v/>
      </c>
      <c r="H933" s="19">
        <f>IF($L933="","",IF(INDEX(ExpWit,$L933)=0,"",INDEX(ExpWit,$L933)))</f>
        <v/>
      </c>
      <c r="I933" s="20">
        <f>IF($B933="","",IF($I932="",0,$I932)+IF($H933="",0,$H933)-IF($G933="",0,$G933))</f>
        <v/>
      </c>
      <c r="J933" s="18">
        <f>IF($L933="","",IF(INDEX(ExpNote,$L933)="","—",INDEX(ExpNote,$L933)))</f>
        <v/>
      </c>
      <c r="L933">
        <f>IFERROR(MATCH($C$5&amp;"|"&amp;RIGHT("000000"&amp;917,6),ExpRankKey,0),"")</f>
        <v/>
      </c>
    </row>
    <row r="934">
      <c r="A934" s="21" t="n">
        <v>918</v>
      </c>
      <c r="B934" s="22">
        <f>IF($L934="","",INDEX(ExpNorm,$L934))</f>
        <v/>
      </c>
      <c r="C934" s="22">
        <f>IF($L934="","",IF(INDEX(ExpTime,$L934)="","—",LEFT(INDEX(ExpTime,$L934),2)&amp;":"&amp;RIGHT(INDEX(ExpTime,$L934),2)))</f>
        <v/>
      </c>
      <c r="D934" s="22">
        <f>IF($L934="","",IF(INDEX(ExpBank,$L934)="","—",INDEX(ExpBank,$L934)))</f>
        <v/>
      </c>
      <c r="E934" s="23">
        <f>IF($L934="","",IF(INDEX(ExpParty,$L934)="","—",IFERROR(VLOOKUP(INDEX(ExpParty,$L934),AcctTbl,4,0),INDEX(ExpParty,$L934))))</f>
        <v/>
      </c>
      <c r="F934" s="22">
        <f>IF($L934="","",IF(INDEX(ExpType,$L934)="","—",INDEX(ExpType,$L934)))</f>
        <v/>
      </c>
      <c r="G934" s="24">
        <f>IF($L934="","",IF(INDEX(ExpDep,$L934)=0,"",INDEX(ExpDep,$L934)))</f>
        <v/>
      </c>
      <c r="H934" s="24">
        <f>IF($L934="","",IF(INDEX(ExpWit,$L934)=0,"",INDEX(ExpWit,$L934)))</f>
        <v/>
      </c>
      <c r="I934" s="25">
        <f>IF($B934="","",IF($I933="",0,$I933)+IF($H934="",0,$H934)-IF($G934="",0,$G934))</f>
        <v/>
      </c>
      <c r="J934" s="23">
        <f>IF($L934="","",IF(INDEX(ExpNote,$L934)="","—",INDEX(ExpNote,$L934)))</f>
        <v/>
      </c>
      <c r="L934">
        <f>IFERROR(MATCH($C$5&amp;"|"&amp;RIGHT("000000"&amp;918,6),ExpRankKey,0),"")</f>
        <v/>
      </c>
    </row>
    <row r="935">
      <c r="A935" s="16" t="n">
        <v>919</v>
      </c>
      <c r="B935" s="17">
        <f>IF($L935="","",INDEX(ExpNorm,$L935))</f>
        <v/>
      </c>
      <c r="C935" s="17">
        <f>IF($L935="","",IF(INDEX(ExpTime,$L935)="","—",LEFT(INDEX(ExpTime,$L935),2)&amp;":"&amp;RIGHT(INDEX(ExpTime,$L935),2)))</f>
        <v/>
      </c>
      <c r="D935" s="17">
        <f>IF($L935="","",IF(INDEX(ExpBank,$L935)="","—",INDEX(ExpBank,$L935)))</f>
        <v/>
      </c>
      <c r="E935" s="18">
        <f>IF($L935="","",IF(INDEX(ExpParty,$L935)="","—",IFERROR(VLOOKUP(INDEX(ExpParty,$L935),AcctTbl,4,0),INDEX(ExpParty,$L935))))</f>
        <v/>
      </c>
      <c r="F935" s="17">
        <f>IF($L935="","",IF(INDEX(ExpType,$L935)="","—",INDEX(ExpType,$L935)))</f>
        <v/>
      </c>
      <c r="G935" s="19">
        <f>IF($L935="","",IF(INDEX(ExpDep,$L935)=0,"",INDEX(ExpDep,$L935)))</f>
        <v/>
      </c>
      <c r="H935" s="19">
        <f>IF($L935="","",IF(INDEX(ExpWit,$L935)=0,"",INDEX(ExpWit,$L935)))</f>
        <v/>
      </c>
      <c r="I935" s="20">
        <f>IF($B935="","",IF($I934="",0,$I934)+IF($H935="",0,$H935)-IF($G935="",0,$G935))</f>
        <v/>
      </c>
      <c r="J935" s="18">
        <f>IF($L935="","",IF(INDEX(ExpNote,$L935)="","—",INDEX(ExpNote,$L935)))</f>
        <v/>
      </c>
      <c r="L935">
        <f>IFERROR(MATCH($C$5&amp;"|"&amp;RIGHT("000000"&amp;919,6),ExpRankKey,0),"")</f>
        <v/>
      </c>
    </row>
    <row r="936">
      <c r="A936" s="21" t="n">
        <v>920</v>
      </c>
      <c r="B936" s="22">
        <f>IF($L936="","",INDEX(ExpNorm,$L936))</f>
        <v/>
      </c>
      <c r="C936" s="22">
        <f>IF($L936="","",IF(INDEX(ExpTime,$L936)="","—",LEFT(INDEX(ExpTime,$L936),2)&amp;":"&amp;RIGHT(INDEX(ExpTime,$L936),2)))</f>
        <v/>
      </c>
      <c r="D936" s="22">
        <f>IF($L936="","",IF(INDEX(ExpBank,$L936)="","—",INDEX(ExpBank,$L936)))</f>
        <v/>
      </c>
      <c r="E936" s="23">
        <f>IF($L936="","",IF(INDEX(ExpParty,$L936)="","—",IFERROR(VLOOKUP(INDEX(ExpParty,$L936),AcctTbl,4,0),INDEX(ExpParty,$L936))))</f>
        <v/>
      </c>
      <c r="F936" s="22">
        <f>IF($L936="","",IF(INDEX(ExpType,$L936)="","—",INDEX(ExpType,$L936)))</f>
        <v/>
      </c>
      <c r="G936" s="24">
        <f>IF($L936="","",IF(INDEX(ExpDep,$L936)=0,"",INDEX(ExpDep,$L936)))</f>
        <v/>
      </c>
      <c r="H936" s="24">
        <f>IF($L936="","",IF(INDEX(ExpWit,$L936)=0,"",INDEX(ExpWit,$L936)))</f>
        <v/>
      </c>
      <c r="I936" s="25">
        <f>IF($B936="","",IF($I935="",0,$I935)+IF($H936="",0,$H936)-IF($G936="",0,$G936))</f>
        <v/>
      </c>
      <c r="J936" s="23">
        <f>IF($L936="","",IF(INDEX(ExpNote,$L936)="","—",INDEX(ExpNote,$L936)))</f>
        <v/>
      </c>
      <c r="L936">
        <f>IFERROR(MATCH($C$5&amp;"|"&amp;RIGHT("000000"&amp;920,6),ExpRankKey,0),"")</f>
        <v/>
      </c>
    </row>
    <row r="937">
      <c r="A937" s="16" t="n">
        <v>921</v>
      </c>
      <c r="B937" s="17">
        <f>IF($L937="","",INDEX(ExpNorm,$L937))</f>
        <v/>
      </c>
      <c r="C937" s="17">
        <f>IF($L937="","",IF(INDEX(ExpTime,$L937)="","—",LEFT(INDEX(ExpTime,$L937),2)&amp;":"&amp;RIGHT(INDEX(ExpTime,$L937),2)))</f>
        <v/>
      </c>
      <c r="D937" s="17">
        <f>IF($L937="","",IF(INDEX(ExpBank,$L937)="","—",INDEX(ExpBank,$L937)))</f>
        <v/>
      </c>
      <c r="E937" s="18">
        <f>IF($L937="","",IF(INDEX(ExpParty,$L937)="","—",IFERROR(VLOOKUP(INDEX(ExpParty,$L937),AcctTbl,4,0),INDEX(ExpParty,$L937))))</f>
        <v/>
      </c>
      <c r="F937" s="17">
        <f>IF($L937="","",IF(INDEX(ExpType,$L937)="","—",INDEX(ExpType,$L937)))</f>
        <v/>
      </c>
      <c r="G937" s="19">
        <f>IF($L937="","",IF(INDEX(ExpDep,$L937)=0,"",INDEX(ExpDep,$L937)))</f>
        <v/>
      </c>
      <c r="H937" s="19">
        <f>IF($L937="","",IF(INDEX(ExpWit,$L937)=0,"",INDEX(ExpWit,$L937)))</f>
        <v/>
      </c>
      <c r="I937" s="20">
        <f>IF($B937="","",IF($I936="",0,$I936)+IF($H937="",0,$H937)-IF($G937="",0,$G937))</f>
        <v/>
      </c>
      <c r="J937" s="18">
        <f>IF($L937="","",IF(INDEX(ExpNote,$L937)="","—",INDEX(ExpNote,$L937)))</f>
        <v/>
      </c>
      <c r="L937">
        <f>IFERROR(MATCH($C$5&amp;"|"&amp;RIGHT("000000"&amp;921,6),ExpRankKey,0),"")</f>
        <v/>
      </c>
    </row>
    <row r="938">
      <c r="A938" s="21" t="n">
        <v>922</v>
      </c>
      <c r="B938" s="22">
        <f>IF($L938="","",INDEX(ExpNorm,$L938))</f>
        <v/>
      </c>
      <c r="C938" s="22">
        <f>IF($L938="","",IF(INDEX(ExpTime,$L938)="","—",LEFT(INDEX(ExpTime,$L938),2)&amp;":"&amp;RIGHT(INDEX(ExpTime,$L938),2)))</f>
        <v/>
      </c>
      <c r="D938" s="22">
        <f>IF($L938="","",IF(INDEX(ExpBank,$L938)="","—",INDEX(ExpBank,$L938)))</f>
        <v/>
      </c>
      <c r="E938" s="23">
        <f>IF($L938="","",IF(INDEX(ExpParty,$L938)="","—",IFERROR(VLOOKUP(INDEX(ExpParty,$L938),AcctTbl,4,0),INDEX(ExpParty,$L938))))</f>
        <v/>
      </c>
      <c r="F938" s="22">
        <f>IF($L938="","",IF(INDEX(ExpType,$L938)="","—",INDEX(ExpType,$L938)))</f>
        <v/>
      </c>
      <c r="G938" s="24">
        <f>IF($L938="","",IF(INDEX(ExpDep,$L938)=0,"",INDEX(ExpDep,$L938)))</f>
        <v/>
      </c>
      <c r="H938" s="24">
        <f>IF($L938="","",IF(INDEX(ExpWit,$L938)=0,"",INDEX(ExpWit,$L938)))</f>
        <v/>
      </c>
      <c r="I938" s="25">
        <f>IF($B938="","",IF($I937="",0,$I937)+IF($H938="",0,$H938)-IF($G938="",0,$G938))</f>
        <v/>
      </c>
      <c r="J938" s="23">
        <f>IF($L938="","",IF(INDEX(ExpNote,$L938)="","—",INDEX(ExpNote,$L938)))</f>
        <v/>
      </c>
      <c r="L938">
        <f>IFERROR(MATCH($C$5&amp;"|"&amp;RIGHT("000000"&amp;922,6),ExpRankKey,0),"")</f>
        <v/>
      </c>
    </row>
    <row r="939">
      <c r="A939" s="16" t="n">
        <v>923</v>
      </c>
      <c r="B939" s="17">
        <f>IF($L939="","",INDEX(ExpNorm,$L939))</f>
        <v/>
      </c>
      <c r="C939" s="17">
        <f>IF($L939="","",IF(INDEX(ExpTime,$L939)="","—",LEFT(INDEX(ExpTime,$L939),2)&amp;":"&amp;RIGHT(INDEX(ExpTime,$L939),2)))</f>
        <v/>
      </c>
      <c r="D939" s="17">
        <f>IF($L939="","",IF(INDEX(ExpBank,$L939)="","—",INDEX(ExpBank,$L939)))</f>
        <v/>
      </c>
      <c r="E939" s="18">
        <f>IF($L939="","",IF(INDEX(ExpParty,$L939)="","—",IFERROR(VLOOKUP(INDEX(ExpParty,$L939),AcctTbl,4,0),INDEX(ExpParty,$L939))))</f>
        <v/>
      </c>
      <c r="F939" s="17">
        <f>IF($L939="","",IF(INDEX(ExpType,$L939)="","—",INDEX(ExpType,$L939)))</f>
        <v/>
      </c>
      <c r="G939" s="19">
        <f>IF($L939="","",IF(INDEX(ExpDep,$L939)=0,"",INDEX(ExpDep,$L939)))</f>
        <v/>
      </c>
      <c r="H939" s="19">
        <f>IF($L939="","",IF(INDEX(ExpWit,$L939)=0,"",INDEX(ExpWit,$L939)))</f>
        <v/>
      </c>
      <c r="I939" s="20">
        <f>IF($B939="","",IF($I938="",0,$I938)+IF($H939="",0,$H939)-IF($G939="",0,$G939))</f>
        <v/>
      </c>
      <c r="J939" s="18">
        <f>IF($L939="","",IF(INDEX(ExpNote,$L939)="","—",INDEX(ExpNote,$L939)))</f>
        <v/>
      </c>
      <c r="L939">
        <f>IFERROR(MATCH($C$5&amp;"|"&amp;RIGHT("000000"&amp;923,6),ExpRankKey,0),"")</f>
        <v/>
      </c>
    </row>
    <row r="940">
      <c r="A940" s="21" t="n">
        <v>924</v>
      </c>
      <c r="B940" s="22">
        <f>IF($L940="","",INDEX(ExpNorm,$L940))</f>
        <v/>
      </c>
      <c r="C940" s="22">
        <f>IF($L940="","",IF(INDEX(ExpTime,$L940)="","—",LEFT(INDEX(ExpTime,$L940),2)&amp;":"&amp;RIGHT(INDEX(ExpTime,$L940),2)))</f>
        <v/>
      </c>
      <c r="D940" s="22">
        <f>IF($L940="","",IF(INDEX(ExpBank,$L940)="","—",INDEX(ExpBank,$L940)))</f>
        <v/>
      </c>
      <c r="E940" s="23">
        <f>IF($L940="","",IF(INDEX(ExpParty,$L940)="","—",IFERROR(VLOOKUP(INDEX(ExpParty,$L940),AcctTbl,4,0),INDEX(ExpParty,$L940))))</f>
        <v/>
      </c>
      <c r="F940" s="22">
        <f>IF($L940="","",IF(INDEX(ExpType,$L940)="","—",INDEX(ExpType,$L940)))</f>
        <v/>
      </c>
      <c r="G940" s="24">
        <f>IF($L940="","",IF(INDEX(ExpDep,$L940)=0,"",INDEX(ExpDep,$L940)))</f>
        <v/>
      </c>
      <c r="H940" s="24">
        <f>IF($L940="","",IF(INDEX(ExpWit,$L940)=0,"",INDEX(ExpWit,$L940)))</f>
        <v/>
      </c>
      <c r="I940" s="25">
        <f>IF($B940="","",IF($I939="",0,$I939)+IF($H940="",0,$H940)-IF($G940="",0,$G940))</f>
        <v/>
      </c>
      <c r="J940" s="23">
        <f>IF($L940="","",IF(INDEX(ExpNote,$L940)="","—",INDEX(ExpNote,$L940)))</f>
        <v/>
      </c>
      <c r="L940">
        <f>IFERROR(MATCH($C$5&amp;"|"&amp;RIGHT("000000"&amp;924,6),ExpRankKey,0),"")</f>
        <v/>
      </c>
    </row>
    <row r="941">
      <c r="A941" s="16" t="n">
        <v>925</v>
      </c>
      <c r="B941" s="17">
        <f>IF($L941="","",INDEX(ExpNorm,$L941))</f>
        <v/>
      </c>
      <c r="C941" s="17">
        <f>IF($L941="","",IF(INDEX(ExpTime,$L941)="","—",LEFT(INDEX(ExpTime,$L941),2)&amp;":"&amp;RIGHT(INDEX(ExpTime,$L941),2)))</f>
        <v/>
      </c>
      <c r="D941" s="17">
        <f>IF($L941="","",IF(INDEX(ExpBank,$L941)="","—",INDEX(ExpBank,$L941)))</f>
        <v/>
      </c>
      <c r="E941" s="18">
        <f>IF($L941="","",IF(INDEX(ExpParty,$L941)="","—",IFERROR(VLOOKUP(INDEX(ExpParty,$L941),AcctTbl,4,0),INDEX(ExpParty,$L941))))</f>
        <v/>
      </c>
      <c r="F941" s="17">
        <f>IF($L941="","",IF(INDEX(ExpType,$L941)="","—",INDEX(ExpType,$L941)))</f>
        <v/>
      </c>
      <c r="G941" s="19">
        <f>IF($L941="","",IF(INDEX(ExpDep,$L941)=0,"",INDEX(ExpDep,$L941)))</f>
        <v/>
      </c>
      <c r="H941" s="19">
        <f>IF($L941="","",IF(INDEX(ExpWit,$L941)=0,"",INDEX(ExpWit,$L941)))</f>
        <v/>
      </c>
      <c r="I941" s="20">
        <f>IF($B941="","",IF($I940="",0,$I940)+IF($H941="",0,$H941)-IF($G941="",0,$G941))</f>
        <v/>
      </c>
      <c r="J941" s="18">
        <f>IF($L941="","",IF(INDEX(ExpNote,$L941)="","—",INDEX(ExpNote,$L941)))</f>
        <v/>
      </c>
      <c r="L941">
        <f>IFERROR(MATCH($C$5&amp;"|"&amp;RIGHT("000000"&amp;925,6),ExpRankKey,0),"")</f>
        <v/>
      </c>
    </row>
    <row r="942">
      <c r="A942" s="21" t="n">
        <v>926</v>
      </c>
      <c r="B942" s="22">
        <f>IF($L942="","",INDEX(ExpNorm,$L942))</f>
        <v/>
      </c>
      <c r="C942" s="22">
        <f>IF($L942="","",IF(INDEX(ExpTime,$L942)="","—",LEFT(INDEX(ExpTime,$L942),2)&amp;":"&amp;RIGHT(INDEX(ExpTime,$L942),2)))</f>
        <v/>
      </c>
      <c r="D942" s="22">
        <f>IF($L942="","",IF(INDEX(ExpBank,$L942)="","—",INDEX(ExpBank,$L942)))</f>
        <v/>
      </c>
      <c r="E942" s="23">
        <f>IF($L942="","",IF(INDEX(ExpParty,$L942)="","—",IFERROR(VLOOKUP(INDEX(ExpParty,$L942),AcctTbl,4,0),INDEX(ExpParty,$L942))))</f>
        <v/>
      </c>
      <c r="F942" s="22">
        <f>IF($L942="","",IF(INDEX(ExpType,$L942)="","—",INDEX(ExpType,$L942)))</f>
        <v/>
      </c>
      <c r="G942" s="24">
        <f>IF($L942="","",IF(INDEX(ExpDep,$L942)=0,"",INDEX(ExpDep,$L942)))</f>
        <v/>
      </c>
      <c r="H942" s="24">
        <f>IF($L942="","",IF(INDEX(ExpWit,$L942)=0,"",INDEX(ExpWit,$L942)))</f>
        <v/>
      </c>
      <c r="I942" s="25">
        <f>IF($B942="","",IF($I941="",0,$I941)+IF($H942="",0,$H942)-IF($G942="",0,$G942))</f>
        <v/>
      </c>
      <c r="J942" s="23">
        <f>IF($L942="","",IF(INDEX(ExpNote,$L942)="","—",INDEX(ExpNote,$L942)))</f>
        <v/>
      </c>
      <c r="L942">
        <f>IFERROR(MATCH($C$5&amp;"|"&amp;RIGHT("000000"&amp;926,6),ExpRankKey,0),"")</f>
        <v/>
      </c>
    </row>
    <row r="943">
      <c r="A943" s="16" t="n">
        <v>927</v>
      </c>
      <c r="B943" s="17">
        <f>IF($L943="","",INDEX(ExpNorm,$L943))</f>
        <v/>
      </c>
      <c r="C943" s="17">
        <f>IF($L943="","",IF(INDEX(ExpTime,$L943)="","—",LEFT(INDEX(ExpTime,$L943),2)&amp;":"&amp;RIGHT(INDEX(ExpTime,$L943),2)))</f>
        <v/>
      </c>
      <c r="D943" s="17">
        <f>IF($L943="","",IF(INDEX(ExpBank,$L943)="","—",INDEX(ExpBank,$L943)))</f>
        <v/>
      </c>
      <c r="E943" s="18">
        <f>IF($L943="","",IF(INDEX(ExpParty,$L943)="","—",IFERROR(VLOOKUP(INDEX(ExpParty,$L943),AcctTbl,4,0),INDEX(ExpParty,$L943))))</f>
        <v/>
      </c>
      <c r="F943" s="17">
        <f>IF($L943="","",IF(INDEX(ExpType,$L943)="","—",INDEX(ExpType,$L943)))</f>
        <v/>
      </c>
      <c r="G943" s="19">
        <f>IF($L943="","",IF(INDEX(ExpDep,$L943)=0,"",INDEX(ExpDep,$L943)))</f>
        <v/>
      </c>
      <c r="H943" s="19">
        <f>IF($L943="","",IF(INDEX(ExpWit,$L943)=0,"",INDEX(ExpWit,$L943)))</f>
        <v/>
      </c>
      <c r="I943" s="20">
        <f>IF($B943="","",IF($I942="",0,$I942)+IF($H943="",0,$H943)-IF($G943="",0,$G943))</f>
        <v/>
      </c>
      <c r="J943" s="18">
        <f>IF($L943="","",IF(INDEX(ExpNote,$L943)="","—",INDEX(ExpNote,$L943)))</f>
        <v/>
      </c>
      <c r="L943">
        <f>IFERROR(MATCH($C$5&amp;"|"&amp;RIGHT("000000"&amp;927,6),ExpRankKey,0),"")</f>
        <v/>
      </c>
    </row>
    <row r="944">
      <c r="A944" s="21" t="n">
        <v>928</v>
      </c>
      <c r="B944" s="22">
        <f>IF($L944="","",INDEX(ExpNorm,$L944))</f>
        <v/>
      </c>
      <c r="C944" s="22">
        <f>IF($L944="","",IF(INDEX(ExpTime,$L944)="","—",LEFT(INDEX(ExpTime,$L944),2)&amp;":"&amp;RIGHT(INDEX(ExpTime,$L944),2)))</f>
        <v/>
      </c>
      <c r="D944" s="22">
        <f>IF($L944="","",IF(INDEX(ExpBank,$L944)="","—",INDEX(ExpBank,$L944)))</f>
        <v/>
      </c>
      <c r="E944" s="23">
        <f>IF($L944="","",IF(INDEX(ExpParty,$L944)="","—",IFERROR(VLOOKUP(INDEX(ExpParty,$L944),AcctTbl,4,0),INDEX(ExpParty,$L944))))</f>
        <v/>
      </c>
      <c r="F944" s="22">
        <f>IF($L944="","",IF(INDEX(ExpType,$L944)="","—",INDEX(ExpType,$L944)))</f>
        <v/>
      </c>
      <c r="G944" s="24">
        <f>IF($L944="","",IF(INDEX(ExpDep,$L944)=0,"",INDEX(ExpDep,$L944)))</f>
        <v/>
      </c>
      <c r="H944" s="24">
        <f>IF($L944="","",IF(INDEX(ExpWit,$L944)=0,"",INDEX(ExpWit,$L944)))</f>
        <v/>
      </c>
      <c r="I944" s="25">
        <f>IF($B944="","",IF($I943="",0,$I943)+IF($H944="",0,$H944)-IF($G944="",0,$G944))</f>
        <v/>
      </c>
      <c r="J944" s="23">
        <f>IF($L944="","",IF(INDEX(ExpNote,$L944)="","—",INDEX(ExpNote,$L944)))</f>
        <v/>
      </c>
      <c r="L944">
        <f>IFERROR(MATCH($C$5&amp;"|"&amp;RIGHT("000000"&amp;928,6),ExpRankKey,0),"")</f>
        <v/>
      </c>
    </row>
    <row r="945">
      <c r="A945" s="16" t="n">
        <v>929</v>
      </c>
      <c r="B945" s="17">
        <f>IF($L945="","",INDEX(ExpNorm,$L945))</f>
        <v/>
      </c>
      <c r="C945" s="17">
        <f>IF($L945="","",IF(INDEX(ExpTime,$L945)="","—",LEFT(INDEX(ExpTime,$L945),2)&amp;":"&amp;RIGHT(INDEX(ExpTime,$L945),2)))</f>
        <v/>
      </c>
      <c r="D945" s="17">
        <f>IF($L945="","",IF(INDEX(ExpBank,$L945)="","—",INDEX(ExpBank,$L945)))</f>
        <v/>
      </c>
      <c r="E945" s="18">
        <f>IF($L945="","",IF(INDEX(ExpParty,$L945)="","—",IFERROR(VLOOKUP(INDEX(ExpParty,$L945),AcctTbl,4,0),INDEX(ExpParty,$L945))))</f>
        <v/>
      </c>
      <c r="F945" s="17">
        <f>IF($L945="","",IF(INDEX(ExpType,$L945)="","—",INDEX(ExpType,$L945)))</f>
        <v/>
      </c>
      <c r="G945" s="19">
        <f>IF($L945="","",IF(INDEX(ExpDep,$L945)=0,"",INDEX(ExpDep,$L945)))</f>
        <v/>
      </c>
      <c r="H945" s="19">
        <f>IF($L945="","",IF(INDEX(ExpWit,$L945)=0,"",INDEX(ExpWit,$L945)))</f>
        <v/>
      </c>
      <c r="I945" s="20">
        <f>IF($B945="","",IF($I944="",0,$I944)+IF($H945="",0,$H945)-IF($G945="",0,$G945))</f>
        <v/>
      </c>
      <c r="J945" s="18">
        <f>IF($L945="","",IF(INDEX(ExpNote,$L945)="","—",INDEX(ExpNote,$L945)))</f>
        <v/>
      </c>
      <c r="L945">
        <f>IFERROR(MATCH($C$5&amp;"|"&amp;RIGHT("000000"&amp;929,6),ExpRankKey,0),"")</f>
        <v/>
      </c>
    </row>
    <row r="946">
      <c r="A946" s="21" t="n">
        <v>930</v>
      </c>
      <c r="B946" s="22">
        <f>IF($L946="","",INDEX(ExpNorm,$L946))</f>
        <v/>
      </c>
      <c r="C946" s="22">
        <f>IF($L946="","",IF(INDEX(ExpTime,$L946)="","—",LEFT(INDEX(ExpTime,$L946),2)&amp;":"&amp;RIGHT(INDEX(ExpTime,$L946),2)))</f>
        <v/>
      </c>
      <c r="D946" s="22">
        <f>IF($L946="","",IF(INDEX(ExpBank,$L946)="","—",INDEX(ExpBank,$L946)))</f>
        <v/>
      </c>
      <c r="E946" s="23">
        <f>IF($L946="","",IF(INDEX(ExpParty,$L946)="","—",IFERROR(VLOOKUP(INDEX(ExpParty,$L946),AcctTbl,4,0),INDEX(ExpParty,$L946))))</f>
        <v/>
      </c>
      <c r="F946" s="22">
        <f>IF($L946="","",IF(INDEX(ExpType,$L946)="","—",INDEX(ExpType,$L946)))</f>
        <v/>
      </c>
      <c r="G946" s="24">
        <f>IF($L946="","",IF(INDEX(ExpDep,$L946)=0,"",INDEX(ExpDep,$L946)))</f>
        <v/>
      </c>
      <c r="H946" s="24">
        <f>IF($L946="","",IF(INDEX(ExpWit,$L946)=0,"",INDEX(ExpWit,$L946)))</f>
        <v/>
      </c>
      <c r="I946" s="25">
        <f>IF($B946="","",IF($I945="",0,$I945)+IF($H946="",0,$H946)-IF($G946="",0,$G946))</f>
        <v/>
      </c>
      <c r="J946" s="23">
        <f>IF($L946="","",IF(INDEX(ExpNote,$L946)="","—",INDEX(ExpNote,$L946)))</f>
        <v/>
      </c>
      <c r="L946">
        <f>IFERROR(MATCH($C$5&amp;"|"&amp;RIGHT("000000"&amp;930,6),ExpRankKey,0),"")</f>
        <v/>
      </c>
    </row>
    <row r="947">
      <c r="A947" s="16" t="n">
        <v>931</v>
      </c>
      <c r="B947" s="17">
        <f>IF($L947="","",INDEX(ExpNorm,$L947))</f>
        <v/>
      </c>
      <c r="C947" s="17">
        <f>IF($L947="","",IF(INDEX(ExpTime,$L947)="","—",LEFT(INDEX(ExpTime,$L947),2)&amp;":"&amp;RIGHT(INDEX(ExpTime,$L947),2)))</f>
        <v/>
      </c>
      <c r="D947" s="17">
        <f>IF($L947="","",IF(INDEX(ExpBank,$L947)="","—",INDEX(ExpBank,$L947)))</f>
        <v/>
      </c>
      <c r="E947" s="18">
        <f>IF($L947="","",IF(INDEX(ExpParty,$L947)="","—",IFERROR(VLOOKUP(INDEX(ExpParty,$L947),AcctTbl,4,0),INDEX(ExpParty,$L947))))</f>
        <v/>
      </c>
      <c r="F947" s="17">
        <f>IF($L947="","",IF(INDEX(ExpType,$L947)="","—",INDEX(ExpType,$L947)))</f>
        <v/>
      </c>
      <c r="G947" s="19">
        <f>IF($L947="","",IF(INDEX(ExpDep,$L947)=0,"",INDEX(ExpDep,$L947)))</f>
        <v/>
      </c>
      <c r="H947" s="19">
        <f>IF($L947="","",IF(INDEX(ExpWit,$L947)=0,"",INDEX(ExpWit,$L947)))</f>
        <v/>
      </c>
      <c r="I947" s="20">
        <f>IF($B947="","",IF($I946="",0,$I946)+IF($H947="",0,$H947)-IF($G947="",0,$G947))</f>
        <v/>
      </c>
      <c r="J947" s="18">
        <f>IF($L947="","",IF(INDEX(ExpNote,$L947)="","—",INDEX(ExpNote,$L947)))</f>
        <v/>
      </c>
      <c r="L947">
        <f>IFERROR(MATCH($C$5&amp;"|"&amp;RIGHT("000000"&amp;931,6),ExpRankKey,0),"")</f>
        <v/>
      </c>
    </row>
    <row r="948">
      <c r="A948" s="21" t="n">
        <v>932</v>
      </c>
      <c r="B948" s="22">
        <f>IF($L948="","",INDEX(ExpNorm,$L948))</f>
        <v/>
      </c>
      <c r="C948" s="22">
        <f>IF($L948="","",IF(INDEX(ExpTime,$L948)="","—",LEFT(INDEX(ExpTime,$L948),2)&amp;":"&amp;RIGHT(INDEX(ExpTime,$L948),2)))</f>
        <v/>
      </c>
      <c r="D948" s="22">
        <f>IF($L948="","",IF(INDEX(ExpBank,$L948)="","—",INDEX(ExpBank,$L948)))</f>
        <v/>
      </c>
      <c r="E948" s="23">
        <f>IF($L948="","",IF(INDEX(ExpParty,$L948)="","—",IFERROR(VLOOKUP(INDEX(ExpParty,$L948),AcctTbl,4,0),INDEX(ExpParty,$L948))))</f>
        <v/>
      </c>
      <c r="F948" s="22">
        <f>IF($L948="","",IF(INDEX(ExpType,$L948)="","—",INDEX(ExpType,$L948)))</f>
        <v/>
      </c>
      <c r="G948" s="24">
        <f>IF($L948="","",IF(INDEX(ExpDep,$L948)=0,"",INDEX(ExpDep,$L948)))</f>
        <v/>
      </c>
      <c r="H948" s="24">
        <f>IF($L948="","",IF(INDEX(ExpWit,$L948)=0,"",INDEX(ExpWit,$L948)))</f>
        <v/>
      </c>
      <c r="I948" s="25">
        <f>IF($B948="","",IF($I947="",0,$I947)+IF($H948="",0,$H948)-IF($G948="",0,$G948))</f>
        <v/>
      </c>
      <c r="J948" s="23">
        <f>IF($L948="","",IF(INDEX(ExpNote,$L948)="","—",INDEX(ExpNote,$L948)))</f>
        <v/>
      </c>
      <c r="L948">
        <f>IFERROR(MATCH($C$5&amp;"|"&amp;RIGHT("000000"&amp;932,6),ExpRankKey,0),"")</f>
        <v/>
      </c>
    </row>
    <row r="949">
      <c r="A949" s="16" t="n">
        <v>933</v>
      </c>
      <c r="B949" s="17">
        <f>IF($L949="","",INDEX(ExpNorm,$L949))</f>
        <v/>
      </c>
      <c r="C949" s="17">
        <f>IF($L949="","",IF(INDEX(ExpTime,$L949)="","—",LEFT(INDEX(ExpTime,$L949),2)&amp;":"&amp;RIGHT(INDEX(ExpTime,$L949),2)))</f>
        <v/>
      </c>
      <c r="D949" s="17">
        <f>IF($L949="","",IF(INDEX(ExpBank,$L949)="","—",INDEX(ExpBank,$L949)))</f>
        <v/>
      </c>
      <c r="E949" s="18">
        <f>IF($L949="","",IF(INDEX(ExpParty,$L949)="","—",IFERROR(VLOOKUP(INDEX(ExpParty,$L949),AcctTbl,4,0),INDEX(ExpParty,$L949))))</f>
        <v/>
      </c>
      <c r="F949" s="17">
        <f>IF($L949="","",IF(INDEX(ExpType,$L949)="","—",INDEX(ExpType,$L949)))</f>
        <v/>
      </c>
      <c r="G949" s="19">
        <f>IF($L949="","",IF(INDEX(ExpDep,$L949)=0,"",INDEX(ExpDep,$L949)))</f>
        <v/>
      </c>
      <c r="H949" s="19">
        <f>IF($L949="","",IF(INDEX(ExpWit,$L949)=0,"",INDEX(ExpWit,$L949)))</f>
        <v/>
      </c>
      <c r="I949" s="20">
        <f>IF($B949="","",IF($I948="",0,$I948)+IF($H949="",0,$H949)-IF($G949="",0,$G949))</f>
        <v/>
      </c>
      <c r="J949" s="18">
        <f>IF($L949="","",IF(INDEX(ExpNote,$L949)="","—",INDEX(ExpNote,$L949)))</f>
        <v/>
      </c>
      <c r="L949">
        <f>IFERROR(MATCH($C$5&amp;"|"&amp;RIGHT("000000"&amp;933,6),ExpRankKey,0),"")</f>
        <v/>
      </c>
    </row>
    <row r="950">
      <c r="A950" s="21" t="n">
        <v>934</v>
      </c>
      <c r="B950" s="22">
        <f>IF($L950="","",INDEX(ExpNorm,$L950))</f>
        <v/>
      </c>
      <c r="C950" s="22">
        <f>IF($L950="","",IF(INDEX(ExpTime,$L950)="","—",LEFT(INDEX(ExpTime,$L950),2)&amp;":"&amp;RIGHT(INDEX(ExpTime,$L950),2)))</f>
        <v/>
      </c>
      <c r="D950" s="22">
        <f>IF($L950="","",IF(INDEX(ExpBank,$L950)="","—",INDEX(ExpBank,$L950)))</f>
        <v/>
      </c>
      <c r="E950" s="23">
        <f>IF($L950="","",IF(INDEX(ExpParty,$L950)="","—",IFERROR(VLOOKUP(INDEX(ExpParty,$L950),AcctTbl,4,0),INDEX(ExpParty,$L950))))</f>
        <v/>
      </c>
      <c r="F950" s="22">
        <f>IF($L950="","",IF(INDEX(ExpType,$L950)="","—",INDEX(ExpType,$L950)))</f>
        <v/>
      </c>
      <c r="G950" s="24">
        <f>IF($L950="","",IF(INDEX(ExpDep,$L950)=0,"",INDEX(ExpDep,$L950)))</f>
        <v/>
      </c>
      <c r="H950" s="24">
        <f>IF($L950="","",IF(INDEX(ExpWit,$L950)=0,"",INDEX(ExpWit,$L950)))</f>
        <v/>
      </c>
      <c r="I950" s="25">
        <f>IF($B950="","",IF($I949="",0,$I949)+IF($H950="",0,$H950)-IF($G950="",0,$G950))</f>
        <v/>
      </c>
      <c r="J950" s="23">
        <f>IF($L950="","",IF(INDEX(ExpNote,$L950)="","—",INDEX(ExpNote,$L950)))</f>
        <v/>
      </c>
      <c r="L950">
        <f>IFERROR(MATCH($C$5&amp;"|"&amp;RIGHT("000000"&amp;934,6),ExpRankKey,0),"")</f>
        <v/>
      </c>
    </row>
    <row r="951">
      <c r="A951" s="16" t="n">
        <v>935</v>
      </c>
      <c r="B951" s="17">
        <f>IF($L951="","",INDEX(ExpNorm,$L951))</f>
        <v/>
      </c>
      <c r="C951" s="17">
        <f>IF($L951="","",IF(INDEX(ExpTime,$L951)="","—",LEFT(INDEX(ExpTime,$L951),2)&amp;":"&amp;RIGHT(INDEX(ExpTime,$L951),2)))</f>
        <v/>
      </c>
      <c r="D951" s="17">
        <f>IF($L951="","",IF(INDEX(ExpBank,$L951)="","—",INDEX(ExpBank,$L951)))</f>
        <v/>
      </c>
      <c r="E951" s="18">
        <f>IF($L951="","",IF(INDEX(ExpParty,$L951)="","—",IFERROR(VLOOKUP(INDEX(ExpParty,$L951),AcctTbl,4,0),INDEX(ExpParty,$L951))))</f>
        <v/>
      </c>
      <c r="F951" s="17">
        <f>IF($L951="","",IF(INDEX(ExpType,$L951)="","—",INDEX(ExpType,$L951)))</f>
        <v/>
      </c>
      <c r="G951" s="19">
        <f>IF($L951="","",IF(INDEX(ExpDep,$L951)=0,"",INDEX(ExpDep,$L951)))</f>
        <v/>
      </c>
      <c r="H951" s="19">
        <f>IF($L951="","",IF(INDEX(ExpWit,$L951)=0,"",INDEX(ExpWit,$L951)))</f>
        <v/>
      </c>
      <c r="I951" s="20">
        <f>IF($B951="","",IF($I950="",0,$I950)+IF($H951="",0,$H951)-IF($G951="",0,$G951))</f>
        <v/>
      </c>
      <c r="J951" s="18">
        <f>IF($L951="","",IF(INDEX(ExpNote,$L951)="","—",INDEX(ExpNote,$L951)))</f>
        <v/>
      </c>
      <c r="L951">
        <f>IFERROR(MATCH($C$5&amp;"|"&amp;RIGHT("000000"&amp;935,6),ExpRankKey,0),"")</f>
        <v/>
      </c>
    </row>
    <row r="952">
      <c r="A952" s="21" t="n">
        <v>936</v>
      </c>
      <c r="B952" s="22">
        <f>IF($L952="","",INDEX(ExpNorm,$L952))</f>
        <v/>
      </c>
      <c r="C952" s="22">
        <f>IF($L952="","",IF(INDEX(ExpTime,$L952)="","—",LEFT(INDEX(ExpTime,$L952),2)&amp;":"&amp;RIGHT(INDEX(ExpTime,$L952),2)))</f>
        <v/>
      </c>
      <c r="D952" s="22">
        <f>IF($L952="","",IF(INDEX(ExpBank,$L952)="","—",INDEX(ExpBank,$L952)))</f>
        <v/>
      </c>
      <c r="E952" s="23">
        <f>IF($L952="","",IF(INDEX(ExpParty,$L952)="","—",IFERROR(VLOOKUP(INDEX(ExpParty,$L952),AcctTbl,4,0),INDEX(ExpParty,$L952))))</f>
        <v/>
      </c>
      <c r="F952" s="22">
        <f>IF($L952="","",IF(INDEX(ExpType,$L952)="","—",INDEX(ExpType,$L952)))</f>
        <v/>
      </c>
      <c r="G952" s="24">
        <f>IF($L952="","",IF(INDEX(ExpDep,$L952)=0,"",INDEX(ExpDep,$L952)))</f>
        <v/>
      </c>
      <c r="H952" s="24">
        <f>IF($L952="","",IF(INDEX(ExpWit,$L952)=0,"",INDEX(ExpWit,$L952)))</f>
        <v/>
      </c>
      <c r="I952" s="25">
        <f>IF($B952="","",IF($I951="",0,$I951)+IF($H952="",0,$H952)-IF($G952="",0,$G952))</f>
        <v/>
      </c>
      <c r="J952" s="23">
        <f>IF($L952="","",IF(INDEX(ExpNote,$L952)="","—",INDEX(ExpNote,$L952)))</f>
        <v/>
      </c>
      <c r="L952">
        <f>IFERROR(MATCH($C$5&amp;"|"&amp;RIGHT("000000"&amp;936,6),ExpRankKey,0),"")</f>
        <v/>
      </c>
    </row>
    <row r="953">
      <c r="A953" s="16" t="n">
        <v>937</v>
      </c>
      <c r="B953" s="17">
        <f>IF($L953="","",INDEX(ExpNorm,$L953))</f>
        <v/>
      </c>
      <c r="C953" s="17">
        <f>IF($L953="","",IF(INDEX(ExpTime,$L953)="","—",LEFT(INDEX(ExpTime,$L953),2)&amp;":"&amp;RIGHT(INDEX(ExpTime,$L953),2)))</f>
        <v/>
      </c>
      <c r="D953" s="17">
        <f>IF($L953="","",IF(INDEX(ExpBank,$L953)="","—",INDEX(ExpBank,$L953)))</f>
        <v/>
      </c>
      <c r="E953" s="18">
        <f>IF($L953="","",IF(INDEX(ExpParty,$L953)="","—",IFERROR(VLOOKUP(INDEX(ExpParty,$L953),AcctTbl,4,0),INDEX(ExpParty,$L953))))</f>
        <v/>
      </c>
      <c r="F953" s="17">
        <f>IF($L953="","",IF(INDEX(ExpType,$L953)="","—",INDEX(ExpType,$L953)))</f>
        <v/>
      </c>
      <c r="G953" s="19">
        <f>IF($L953="","",IF(INDEX(ExpDep,$L953)=0,"",INDEX(ExpDep,$L953)))</f>
        <v/>
      </c>
      <c r="H953" s="19">
        <f>IF($L953="","",IF(INDEX(ExpWit,$L953)=0,"",INDEX(ExpWit,$L953)))</f>
        <v/>
      </c>
      <c r="I953" s="20">
        <f>IF($B953="","",IF($I952="",0,$I952)+IF($H953="",0,$H953)-IF($G953="",0,$G953))</f>
        <v/>
      </c>
      <c r="J953" s="18">
        <f>IF($L953="","",IF(INDEX(ExpNote,$L953)="","—",INDEX(ExpNote,$L953)))</f>
        <v/>
      </c>
      <c r="L953">
        <f>IFERROR(MATCH($C$5&amp;"|"&amp;RIGHT("000000"&amp;937,6),ExpRankKey,0),"")</f>
        <v/>
      </c>
    </row>
    <row r="954">
      <c r="A954" s="21" t="n">
        <v>938</v>
      </c>
      <c r="B954" s="22">
        <f>IF($L954="","",INDEX(ExpNorm,$L954))</f>
        <v/>
      </c>
      <c r="C954" s="22">
        <f>IF($L954="","",IF(INDEX(ExpTime,$L954)="","—",LEFT(INDEX(ExpTime,$L954),2)&amp;":"&amp;RIGHT(INDEX(ExpTime,$L954),2)))</f>
        <v/>
      </c>
      <c r="D954" s="22">
        <f>IF($L954="","",IF(INDEX(ExpBank,$L954)="","—",INDEX(ExpBank,$L954)))</f>
        <v/>
      </c>
      <c r="E954" s="23">
        <f>IF($L954="","",IF(INDEX(ExpParty,$L954)="","—",IFERROR(VLOOKUP(INDEX(ExpParty,$L954),AcctTbl,4,0),INDEX(ExpParty,$L954))))</f>
        <v/>
      </c>
      <c r="F954" s="22">
        <f>IF($L954="","",IF(INDEX(ExpType,$L954)="","—",INDEX(ExpType,$L954)))</f>
        <v/>
      </c>
      <c r="G954" s="24">
        <f>IF($L954="","",IF(INDEX(ExpDep,$L954)=0,"",INDEX(ExpDep,$L954)))</f>
        <v/>
      </c>
      <c r="H954" s="24">
        <f>IF($L954="","",IF(INDEX(ExpWit,$L954)=0,"",INDEX(ExpWit,$L954)))</f>
        <v/>
      </c>
      <c r="I954" s="25">
        <f>IF($B954="","",IF($I953="",0,$I953)+IF($H954="",0,$H954)-IF($G954="",0,$G954))</f>
        <v/>
      </c>
      <c r="J954" s="23">
        <f>IF($L954="","",IF(INDEX(ExpNote,$L954)="","—",INDEX(ExpNote,$L954)))</f>
        <v/>
      </c>
      <c r="L954">
        <f>IFERROR(MATCH($C$5&amp;"|"&amp;RIGHT("000000"&amp;938,6),ExpRankKey,0),"")</f>
        <v/>
      </c>
    </row>
    <row r="955">
      <c r="A955" s="16" t="n">
        <v>939</v>
      </c>
      <c r="B955" s="17">
        <f>IF($L955="","",INDEX(ExpNorm,$L955))</f>
        <v/>
      </c>
      <c r="C955" s="17">
        <f>IF($L955="","",IF(INDEX(ExpTime,$L955)="","—",LEFT(INDEX(ExpTime,$L955),2)&amp;":"&amp;RIGHT(INDEX(ExpTime,$L955),2)))</f>
        <v/>
      </c>
      <c r="D955" s="17">
        <f>IF($L955="","",IF(INDEX(ExpBank,$L955)="","—",INDEX(ExpBank,$L955)))</f>
        <v/>
      </c>
      <c r="E955" s="18">
        <f>IF($L955="","",IF(INDEX(ExpParty,$L955)="","—",IFERROR(VLOOKUP(INDEX(ExpParty,$L955),AcctTbl,4,0),INDEX(ExpParty,$L955))))</f>
        <v/>
      </c>
      <c r="F955" s="17">
        <f>IF($L955="","",IF(INDEX(ExpType,$L955)="","—",INDEX(ExpType,$L955)))</f>
        <v/>
      </c>
      <c r="G955" s="19">
        <f>IF($L955="","",IF(INDEX(ExpDep,$L955)=0,"",INDEX(ExpDep,$L955)))</f>
        <v/>
      </c>
      <c r="H955" s="19">
        <f>IF($L955="","",IF(INDEX(ExpWit,$L955)=0,"",INDEX(ExpWit,$L955)))</f>
        <v/>
      </c>
      <c r="I955" s="20">
        <f>IF($B955="","",IF($I954="",0,$I954)+IF($H955="",0,$H955)-IF($G955="",0,$G955))</f>
        <v/>
      </c>
      <c r="J955" s="18">
        <f>IF($L955="","",IF(INDEX(ExpNote,$L955)="","—",INDEX(ExpNote,$L955)))</f>
        <v/>
      </c>
      <c r="L955">
        <f>IFERROR(MATCH($C$5&amp;"|"&amp;RIGHT("000000"&amp;939,6),ExpRankKey,0),"")</f>
        <v/>
      </c>
    </row>
    <row r="956">
      <c r="A956" s="21" t="n">
        <v>940</v>
      </c>
      <c r="B956" s="22">
        <f>IF($L956="","",INDEX(ExpNorm,$L956))</f>
        <v/>
      </c>
      <c r="C956" s="22">
        <f>IF($L956="","",IF(INDEX(ExpTime,$L956)="","—",LEFT(INDEX(ExpTime,$L956),2)&amp;":"&amp;RIGHT(INDEX(ExpTime,$L956),2)))</f>
        <v/>
      </c>
      <c r="D956" s="22">
        <f>IF($L956="","",IF(INDEX(ExpBank,$L956)="","—",INDEX(ExpBank,$L956)))</f>
        <v/>
      </c>
      <c r="E956" s="23">
        <f>IF($L956="","",IF(INDEX(ExpParty,$L956)="","—",IFERROR(VLOOKUP(INDEX(ExpParty,$L956),AcctTbl,4,0),INDEX(ExpParty,$L956))))</f>
        <v/>
      </c>
      <c r="F956" s="22">
        <f>IF($L956="","",IF(INDEX(ExpType,$L956)="","—",INDEX(ExpType,$L956)))</f>
        <v/>
      </c>
      <c r="G956" s="24">
        <f>IF($L956="","",IF(INDEX(ExpDep,$L956)=0,"",INDEX(ExpDep,$L956)))</f>
        <v/>
      </c>
      <c r="H956" s="24">
        <f>IF($L956="","",IF(INDEX(ExpWit,$L956)=0,"",INDEX(ExpWit,$L956)))</f>
        <v/>
      </c>
      <c r="I956" s="25">
        <f>IF($B956="","",IF($I955="",0,$I955)+IF($H956="",0,$H956)-IF($G956="",0,$G956))</f>
        <v/>
      </c>
      <c r="J956" s="23">
        <f>IF($L956="","",IF(INDEX(ExpNote,$L956)="","—",INDEX(ExpNote,$L956)))</f>
        <v/>
      </c>
      <c r="L956">
        <f>IFERROR(MATCH($C$5&amp;"|"&amp;RIGHT("000000"&amp;940,6),ExpRankKey,0),"")</f>
        <v/>
      </c>
    </row>
    <row r="957">
      <c r="A957" s="16" t="n">
        <v>941</v>
      </c>
      <c r="B957" s="17">
        <f>IF($L957="","",INDEX(ExpNorm,$L957))</f>
        <v/>
      </c>
      <c r="C957" s="17">
        <f>IF($L957="","",IF(INDEX(ExpTime,$L957)="","—",LEFT(INDEX(ExpTime,$L957),2)&amp;":"&amp;RIGHT(INDEX(ExpTime,$L957),2)))</f>
        <v/>
      </c>
      <c r="D957" s="17">
        <f>IF($L957="","",IF(INDEX(ExpBank,$L957)="","—",INDEX(ExpBank,$L957)))</f>
        <v/>
      </c>
      <c r="E957" s="18">
        <f>IF($L957="","",IF(INDEX(ExpParty,$L957)="","—",IFERROR(VLOOKUP(INDEX(ExpParty,$L957),AcctTbl,4,0),INDEX(ExpParty,$L957))))</f>
        <v/>
      </c>
      <c r="F957" s="17">
        <f>IF($L957="","",IF(INDEX(ExpType,$L957)="","—",INDEX(ExpType,$L957)))</f>
        <v/>
      </c>
      <c r="G957" s="19">
        <f>IF($L957="","",IF(INDEX(ExpDep,$L957)=0,"",INDEX(ExpDep,$L957)))</f>
        <v/>
      </c>
      <c r="H957" s="19">
        <f>IF($L957="","",IF(INDEX(ExpWit,$L957)=0,"",INDEX(ExpWit,$L957)))</f>
        <v/>
      </c>
      <c r="I957" s="20">
        <f>IF($B957="","",IF($I956="",0,$I956)+IF($H957="",0,$H957)-IF($G957="",0,$G957))</f>
        <v/>
      </c>
      <c r="J957" s="18">
        <f>IF($L957="","",IF(INDEX(ExpNote,$L957)="","—",INDEX(ExpNote,$L957)))</f>
        <v/>
      </c>
      <c r="L957">
        <f>IFERROR(MATCH($C$5&amp;"|"&amp;RIGHT("000000"&amp;941,6),ExpRankKey,0),"")</f>
        <v/>
      </c>
    </row>
    <row r="958">
      <c r="A958" s="21" t="n">
        <v>942</v>
      </c>
      <c r="B958" s="22">
        <f>IF($L958="","",INDEX(ExpNorm,$L958))</f>
        <v/>
      </c>
      <c r="C958" s="22">
        <f>IF($L958="","",IF(INDEX(ExpTime,$L958)="","—",LEFT(INDEX(ExpTime,$L958),2)&amp;":"&amp;RIGHT(INDEX(ExpTime,$L958),2)))</f>
        <v/>
      </c>
      <c r="D958" s="22">
        <f>IF($L958="","",IF(INDEX(ExpBank,$L958)="","—",INDEX(ExpBank,$L958)))</f>
        <v/>
      </c>
      <c r="E958" s="23">
        <f>IF($L958="","",IF(INDEX(ExpParty,$L958)="","—",IFERROR(VLOOKUP(INDEX(ExpParty,$L958),AcctTbl,4,0),INDEX(ExpParty,$L958))))</f>
        <v/>
      </c>
      <c r="F958" s="22">
        <f>IF($L958="","",IF(INDEX(ExpType,$L958)="","—",INDEX(ExpType,$L958)))</f>
        <v/>
      </c>
      <c r="G958" s="24">
        <f>IF($L958="","",IF(INDEX(ExpDep,$L958)=0,"",INDEX(ExpDep,$L958)))</f>
        <v/>
      </c>
      <c r="H958" s="24">
        <f>IF($L958="","",IF(INDEX(ExpWit,$L958)=0,"",INDEX(ExpWit,$L958)))</f>
        <v/>
      </c>
      <c r="I958" s="25">
        <f>IF($B958="","",IF($I957="",0,$I957)+IF($H958="",0,$H958)-IF($G958="",0,$G958))</f>
        <v/>
      </c>
      <c r="J958" s="23">
        <f>IF($L958="","",IF(INDEX(ExpNote,$L958)="","—",INDEX(ExpNote,$L958)))</f>
        <v/>
      </c>
      <c r="L958">
        <f>IFERROR(MATCH($C$5&amp;"|"&amp;RIGHT("000000"&amp;942,6),ExpRankKey,0),"")</f>
        <v/>
      </c>
    </row>
    <row r="959">
      <c r="A959" s="16" t="n">
        <v>943</v>
      </c>
      <c r="B959" s="17">
        <f>IF($L959="","",INDEX(ExpNorm,$L959))</f>
        <v/>
      </c>
      <c r="C959" s="17">
        <f>IF($L959="","",IF(INDEX(ExpTime,$L959)="","—",LEFT(INDEX(ExpTime,$L959),2)&amp;":"&amp;RIGHT(INDEX(ExpTime,$L959),2)))</f>
        <v/>
      </c>
      <c r="D959" s="17">
        <f>IF($L959="","",IF(INDEX(ExpBank,$L959)="","—",INDEX(ExpBank,$L959)))</f>
        <v/>
      </c>
      <c r="E959" s="18">
        <f>IF($L959="","",IF(INDEX(ExpParty,$L959)="","—",IFERROR(VLOOKUP(INDEX(ExpParty,$L959),AcctTbl,4,0),INDEX(ExpParty,$L959))))</f>
        <v/>
      </c>
      <c r="F959" s="17">
        <f>IF($L959="","",IF(INDEX(ExpType,$L959)="","—",INDEX(ExpType,$L959)))</f>
        <v/>
      </c>
      <c r="G959" s="19">
        <f>IF($L959="","",IF(INDEX(ExpDep,$L959)=0,"",INDEX(ExpDep,$L959)))</f>
        <v/>
      </c>
      <c r="H959" s="19">
        <f>IF($L959="","",IF(INDEX(ExpWit,$L959)=0,"",INDEX(ExpWit,$L959)))</f>
        <v/>
      </c>
      <c r="I959" s="20">
        <f>IF($B959="","",IF($I958="",0,$I958)+IF($H959="",0,$H959)-IF($G959="",0,$G959))</f>
        <v/>
      </c>
      <c r="J959" s="18">
        <f>IF($L959="","",IF(INDEX(ExpNote,$L959)="","—",INDEX(ExpNote,$L959)))</f>
        <v/>
      </c>
      <c r="L959">
        <f>IFERROR(MATCH($C$5&amp;"|"&amp;RIGHT("000000"&amp;943,6),ExpRankKey,0),"")</f>
        <v/>
      </c>
    </row>
    <row r="960">
      <c r="A960" s="21" t="n">
        <v>944</v>
      </c>
      <c r="B960" s="22">
        <f>IF($L960="","",INDEX(ExpNorm,$L960))</f>
        <v/>
      </c>
      <c r="C960" s="22">
        <f>IF($L960="","",IF(INDEX(ExpTime,$L960)="","—",LEFT(INDEX(ExpTime,$L960),2)&amp;":"&amp;RIGHT(INDEX(ExpTime,$L960),2)))</f>
        <v/>
      </c>
      <c r="D960" s="22">
        <f>IF($L960="","",IF(INDEX(ExpBank,$L960)="","—",INDEX(ExpBank,$L960)))</f>
        <v/>
      </c>
      <c r="E960" s="23">
        <f>IF($L960="","",IF(INDEX(ExpParty,$L960)="","—",IFERROR(VLOOKUP(INDEX(ExpParty,$L960),AcctTbl,4,0),INDEX(ExpParty,$L960))))</f>
        <v/>
      </c>
      <c r="F960" s="22">
        <f>IF($L960="","",IF(INDEX(ExpType,$L960)="","—",INDEX(ExpType,$L960)))</f>
        <v/>
      </c>
      <c r="G960" s="24">
        <f>IF($L960="","",IF(INDEX(ExpDep,$L960)=0,"",INDEX(ExpDep,$L960)))</f>
        <v/>
      </c>
      <c r="H960" s="24">
        <f>IF($L960="","",IF(INDEX(ExpWit,$L960)=0,"",INDEX(ExpWit,$L960)))</f>
        <v/>
      </c>
      <c r="I960" s="25">
        <f>IF($B960="","",IF($I959="",0,$I959)+IF($H960="",0,$H960)-IF($G960="",0,$G960))</f>
        <v/>
      </c>
      <c r="J960" s="23">
        <f>IF($L960="","",IF(INDEX(ExpNote,$L960)="","—",INDEX(ExpNote,$L960)))</f>
        <v/>
      </c>
      <c r="L960">
        <f>IFERROR(MATCH($C$5&amp;"|"&amp;RIGHT("000000"&amp;944,6),ExpRankKey,0),"")</f>
        <v/>
      </c>
    </row>
    <row r="961">
      <c r="A961" s="16" t="n">
        <v>945</v>
      </c>
      <c r="B961" s="17">
        <f>IF($L961="","",INDEX(ExpNorm,$L961))</f>
        <v/>
      </c>
      <c r="C961" s="17">
        <f>IF($L961="","",IF(INDEX(ExpTime,$L961)="","—",LEFT(INDEX(ExpTime,$L961),2)&amp;":"&amp;RIGHT(INDEX(ExpTime,$L961),2)))</f>
        <v/>
      </c>
      <c r="D961" s="17">
        <f>IF($L961="","",IF(INDEX(ExpBank,$L961)="","—",INDEX(ExpBank,$L961)))</f>
        <v/>
      </c>
      <c r="E961" s="18">
        <f>IF($L961="","",IF(INDEX(ExpParty,$L961)="","—",IFERROR(VLOOKUP(INDEX(ExpParty,$L961),AcctTbl,4,0),INDEX(ExpParty,$L961))))</f>
        <v/>
      </c>
      <c r="F961" s="17">
        <f>IF($L961="","",IF(INDEX(ExpType,$L961)="","—",INDEX(ExpType,$L961)))</f>
        <v/>
      </c>
      <c r="G961" s="19">
        <f>IF($L961="","",IF(INDEX(ExpDep,$L961)=0,"",INDEX(ExpDep,$L961)))</f>
        <v/>
      </c>
      <c r="H961" s="19">
        <f>IF($L961="","",IF(INDEX(ExpWit,$L961)=0,"",INDEX(ExpWit,$L961)))</f>
        <v/>
      </c>
      <c r="I961" s="20">
        <f>IF($B961="","",IF($I960="",0,$I960)+IF($H961="",0,$H961)-IF($G961="",0,$G961))</f>
        <v/>
      </c>
      <c r="J961" s="18">
        <f>IF($L961="","",IF(INDEX(ExpNote,$L961)="","—",INDEX(ExpNote,$L961)))</f>
        <v/>
      </c>
      <c r="L961">
        <f>IFERROR(MATCH($C$5&amp;"|"&amp;RIGHT("000000"&amp;945,6),ExpRankKey,0),"")</f>
        <v/>
      </c>
    </row>
    <row r="962">
      <c r="A962" s="21" t="n">
        <v>946</v>
      </c>
      <c r="B962" s="22">
        <f>IF($L962="","",INDEX(ExpNorm,$L962))</f>
        <v/>
      </c>
      <c r="C962" s="22">
        <f>IF($L962="","",IF(INDEX(ExpTime,$L962)="","—",LEFT(INDEX(ExpTime,$L962),2)&amp;":"&amp;RIGHT(INDEX(ExpTime,$L962),2)))</f>
        <v/>
      </c>
      <c r="D962" s="22">
        <f>IF($L962="","",IF(INDEX(ExpBank,$L962)="","—",INDEX(ExpBank,$L962)))</f>
        <v/>
      </c>
      <c r="E962" s="23">
        <f>IF($L962="","",IF(INDEX(ExpParty,$L962)="","—",IFERROR(VLOOKUP(INDEX(ExpParty,$L962),AcctTbl,4,0),INDEX(ExpParty,$L962))))</f>
        <v/>
      </c>
      <c r="F962" s="22">
        <f>IF($L962="","",IF(INDEX(ExpType,$L962)="","—",INDEX(ExpType,$L962)))</f>
        <v/>
      </c>
      <c r="G962" s="24">
        <f>IF($L962="","",IF(INDEX(ExpDep,$L962)=0,"",INDEX(ExpDep,$L962)))</f>
        <v/>
      </c>
      <c r="H962" s="24">
        <f>IF($L962="","",IF(INDEX(ExpWit,$L962)=0,"",INDEX(ExpWit,$L962)))</f>
        <v/>
      </c>
      <c r="I962" s="25">
        <f>IF($B962="","",IF($I961="",0,$I961)+IF($H962="",0,$H962)-IF($G962="",0,$G962))</f>
        <v/>
      </c>
      <c r="J962" s="23">
        <f>IF($L962="","",IF(INDEX(ExpNote,$L962)="","—",INDEX(ExpNote,$L962)))</f>
        <v/>
      </c>
      <c r="L962">
        <f>IFERROR(MATCH($C$5&amp;"|"&amp;RIGHT("000000"&amp;946,6),ExpRankKey,0),"")</f>
        <v/>
      </c>
    </row>
    <row r="963">
      <c r="A963" s="16" t="n">
        <v>947</v>
      </c>
      <c r="B963" s="17">
        <f>IF($L963="","",INDEX(ExpNorm,$L963))</f>
        <v/>
      </c>
      <c r="C963" s="17">
        <f>IF($L963="","",IF(INDEX(ExpTime,$L963)="","—",LEFT(INDEX(ExpTime,$L963),2)&amp;":"&amp;RIGHT(INDEX(ExpTime,$L963),2)))</f>
        <v/>
      </c>
      <c r="D963" s="17">
        <f>IF($L963="","",IF(INDEX(ExpBank,$L963)="","—",INDEX(ExpBank,$L963)))</f>
        <v/>
      </c>
      <c r="E963" s="18">
        <f>IF($L963="","",IF(INDEX(ExpParty,$L963)="","—",IFERROR(VLOOKUP(INDEX(ExpParty,$L963),AcctTbl,4,0),INDEX(ExpParty,$L963))))</f>
        <v/>
      </c>
      <c r="F963" s="17">
        <f>IF($L963="","",IF(INDEX(ExpType,$L963)="","—",INDEX(ExpType,$L963)))</f>
        <v/>
      </c>
      <c r="G963" s="19">
        <f>IF($L963="","",IF(INDEX(ExpDep,$L963)=0,"",INDEX(ExpDep,$L963)))</f>
        <v/>
      </c>
      <c r="H963" s="19">
        <f>IF($L963="","",IF(INDEX(ExpWit,$L963)=0,"",INDEX(ExpWit,$L963)))</f>
        <v/>
      </c>
      <c r="I963" s="20">
        <f>IF($B963="","",IF($I962="",0,$I962)+IF($H963="",0,$H963)-IF($G963="",0,$G963))</f>
        <v/>
      </c>
      <c r="J963" s="18">
        <f>IF($L963="","",IF(INDEX(ExpNote,$L963)="","—",INDEX(ExpNote,$L963)))</f>
        <v/>
      </c>
      <c r="L963">
        <f>IFERROR(MATCH($C$5&amp;"|"&amp;RIGHT("000000"&amp;947,6),ExpRankKey,0),"")</f>
        <v/>
      </c>
    </row>
    <row r="964">
      <c r="A964" s="21" t="n">
        <v>948</v>
      </c>
      <c r="B964" s="22">
        <f>IF($L964="","",INDEX(ExpNorm,$L964))</f>
        <v/>
      </c>
      <c r="C964" s="22">
        <f>IF($L964="","",IF(INDEX(ExpTime,$L964)="","—",LEFT(INDEX(ExpTime,$L964),2)&amp;":"&amp;RIGHT(INDEX(ExpTime,$L964),2)))</f>
        <v/>
      </c>
      <c r="D964" s="22">
        <f>IF($L964="","",IF(INDEX(ExpBank,$L964)="","—",INDEX(ExpBank,$L964)))</f>
        <v/>
      </c>
      <c r="E964" s="23">
        <f>IF($L964="","",IF(INDEX(ExpParty,$L964)="","—",IFERROR(VLOOKUP(INDEX(ExpParty,$L964),AcctTbl,4,0),INDEX(ExpParty,$L964))))</f>
        <v/>
      </c>
      <c r="F964" s="22">
        <f>IF($L964="","",IF(INDEX(ExpType,$L964)="","—",INDEX(ExpType,$L964)))</f>
        <v/>
      </c>
      <c r="G964" s="24">
        <f>IF($L964="","",IF(INDEX(ExpDep,$L964)=0,"",INDEX(ExpDep,$L964)))</f>
        <v/>
      </c>
      <c r="H964" s="24">
        <f>IF($L964="","",IF(INDEX(ExpWit,$L964)=0,"",INDEX(ExpWit,$L964)))</f>
        <v/>
      </c>
      <c r="I964" s="25">
        <f>IF($B964="","",IF($I963="",0,$I963)+IF($H964="",0,$H964)-IF($G964="",0,$G964))</f>
        <v/>
      </c>
      <c r="J964" s="23">
        <f>IF($L964="","",IF(INDEX(ExpNote,$L964)="","—",INDEX(ExpNote,$L964)))</f>
        <v/>
      </c>
      <c r="L964">
        <f>IFERROR(MATCH($C$5&amp;"|"&amp;RIGHT("000000"&amp;948,6),ExpRankKey,0),"")</f>
        <v/>
      </c>
    </row>
    <row r="965">
      <c r="A965" s="16" t="n">
        <v>949</v>
      </c>
      <c r="B965" s="17">
        <f>IF($L965="","",INDEX(ExpNorm,$L965))</f>
        <v/>
      </c>
      <c r="C965" s="17">
        <f>IF($L965="","",IF(INDEX(ExpTime,$L965)="","—",LEFT(INDEX(ExpTime,$L965),2)&amp;":"&amp;RIGHT(INDEX(ExpTime,$L965),2)))</f>
        <v/>
      </c>
      <c r="D965" s="17">
        <f>IF($L965="","",IF(INDEX(ExpBank,$L965)="","—",INDEX(ExpBank,$L965)))</f>
        <v/>
      </c>
      <c r="E965" s="18">
        <f>IF($L965="","",IF(INDEX(ExpParty,$L965)="","—",IFERROR(VLOOKUP(INDEX(ExpParty,$L965),AcctTbl,4,0),INDEX(ExpParty,$L965))))</f>
        <v/>
      </c>
      <c r="F965" s="17">
        <f>IF($L965="","",IF(INDEX(ExpType,$L965)="","—",INDEX(ExpType,$L965)))</f>
        <v/>
      </c>
      <c r="G965" s="19">
        <f>IF($L965="","",IF(INDEX(ExpDep,$L965)=0,"",INDEX(ExpDep,$L965)))</f>
        <v/>
      </c>
      <c r="H965" s="19">
        <f>IF($L965="","",IF(INDEX(ExpWit,$L965)=0,"",INDEX(ExpWit,$L965)))</f>
        <v/>
      </c>
      <c r="I965" s="20">
        <f>IF($B965="","",IF($I964="",0,$I964)+IF($H965="",0,$H965)-IF($G965="",0,$G965))</f>
        <v/>
      </c>
      <c r="J965" s="18">
        <f>IF($L965="","",IF(INDEX(ExpNote,$L965)="","—",INDEX(ExpNote,$L965)))</f>
        <v/>
      </c>
      <c r="L965">
        <f>IFERROR(MATCH($C$5&amp;"|"&amp;RIGHT("000000"&amp;949,6),ExpRankKey,0),"")</f>
        <v/>
      </c>
    </row>
    <row r="966">
      <c r="A966" s="21" t="n">
        <v>950</v>
      </c>
      <c r="B966" s="22">
        <f>IF($L966="","",INDEX(ExpNorm,$L966))</f>
        <v/>
      </c>
      <c r="C966" s="22">
        <f>IF($L966="","",IF(INDEX(ExpTime,$L966)="","—",LEFT(INDEX(ExpTime,$L966),2)&amp;":"&amp;RIGHT(INDEX(ExpTime,$L966),2)))</f>
        <v/>
      </c>
      <c r="D966" s="22">
        <f>IF($L966="","",IF(INDEX(ExpBank,$L966)="","—",INDEX(ExpBank,$L966)))</f>
        <v/>
      </c>
      <c r="E966" s="23">
        <f>IF($L966="","",IF(INDEX(ExpParty,$L966)="","—",IFERROR(VLOOKUP(INDEX(ExpParty,$L966),AcctTbl,4,0),INDEX(ExpParty,$L966))))</f>
        <v/>
      </c>
      <c r="F966" s="22">
        <f>IF($L966="","",IF(INDEX(ExpType,$L966)="","—",INDEX(ExpType,$L966)))</f>
        <v/>
      </c>
      <c r="G966" s="24">
        <f>IF($L966="","",IF(INDEX(ExpDep,$L966)=0,"",INDEX(ExpDep,$L966)))</f>
        <v/>
      </c>
      <c r="H966" s="24">
        <f>IF($L966="","",IF(INDEX(ExpWit,$L966)=0,"",INDEX(ExpWit,$L966)))</f>
        <v/>
      </c>
      <c r="I966" s="25">
        <f>IF($B966="","",IF($I965="",0,$I965)+IF($H966="",0,$H966)-IF($G966="",0,$G966))</f>
        <v/>
      </c>
      <c r="J966" s="23">
        <f>IF($L966="","",IF(INDEX(ExpNote,$L966)="","—",INDEX(ExpNote,$L966)))</f>
        <v/>
      </c>
      <c r="L966">
        <f>IFERROR(MATCH($C$5&amp;"|"&amp;RIGHT("000000"&amp;950,6),ExpRankKey,0),"")</f>
        <v/>
      </c>
    </row>
    <row r="967">
      <c r="A967" s="16" t="n">
        <v>951</v>
      </c>
      <c r="B967" s="17">
        <f>IF($L967="","",INDEX(ExpNorm,$L967))</f>
        <v/>
      </c>
      <c r="C967" s="17">
        <f>IF($L967="","",IF(INDEX(ExpTime,$L967)="","—",LEFT(INDEX(ExpTime,$L967),2)&amp;":"&amp;RIGHT(INDEX(ExpTime,$L967),2)))</f>
        <v/>
      </c>
      <c r="D967" s="17">
        <f>IF($L967="","",IF(INDEX(ExpBank,$L967)="","—",INDEX(ExpBank,$L967)))</f>
        <v/>
      </c>
      <c r="E967" s="18">
        <f>IF($L967="","",IF(INDEX(ExpParty,$L967)="","—",IFERROR(VLOOKUP(INDEX(ExpParty,$L967),AcctTbl,4,0),INDEX(ExpParty,$L967))))</f>
        <v/>
      </c>
      <c r="F967" s="17">
        <f>IF($L967="","",IF(INDEX(ExpType,$L967)="","—",INDEX(ExpType,$L967)))</f>
        <v/>
      </c>
      <c r="G967" s="19">
        <f>IF($L967="","",IF(INDEX(ExpDep,$L967)=0,"",INDEX(ExpDep,$L967)))</f>
        <v/>
      </c>
      <c r="H967" s="19">
        <f>IF($L967="","",IF(INDEX(ExpWit,$L967)=0,"",INDEX(ExpWit,$L967)))</f>
        <v/>
      </c>
      <c r="I967" s="20">
        <f>IF($B967="","",IF($I966="",0,$I966)+IF($H967="",0,$H967)-IF($G967="",0,$G967))</f>
        <v/>
      </c>
      <c r="J967" s="18">
        <f>IF($L967="","",IF(INDEX(ExpNote,$L967)="","—",INDEX(ExpNote,$L967)))</f>
        <v/>
      </c>
      <c r="L967">
        <f>IFERROR(MATCH($C$5&amp;"|"&amp;RIGHT("000000"&amp;951,6),ExpRankKey,0),"")</f>
        <v/>
      </c>
    </row>
    <row r="968">
      <c r="A968" s="21" t="n">
        <v>952</v>
      </c>
      <c r="B968" s="22">
        <f>IF($L968="","",INDEX(ExpNorm,$L968))</f>
        <v/>
      </c>
      <c r="C968" s="22">
        <f>IF($L968="","",IF(INDEX(ExpTime,$L968)="","—",LEFT(INDEX(ExpTime,$L968),2)&amp;":"&amp;RIGHT(INDEX(ExpTime,$L968),2)))</f>
        <v/>
      </c>
      <c r="D968" s="22">
        <f>IF($L968="","",IF(INDEX(ExpBank,$L968)="","—",INDEX(ExpBank,$L968)))</f>
        <v/>
      </c>
      <c r="E968" s="23">
        <f>IF($L968="","",IF(INDEX(ExpParty,$L968)="","—",IFERROR(VLOOKUP(INDEX(ExpParty,$L968),AcctTbl,4,0),INDEX(ExpParty,$L968))))</f>
        <v/>
      </c>
      <c r="F968" s="22">
        <f>IF($L968="","",IF(INDEX(ExpType,$L968)="","—",INDEX(ExpType,$L968)))</f>
        <v/>
      </c>
      <c r="G968" s="24">
        <f>IF($L968="","",IF(INDEX(ExpDep,$L968)=0,"",INDEX(ExpDep,$L968)))</f>
        <v/>
      </c>
      <c r="H968" s="24">
        <f>IF($L968="","",IF(INDEX(ExpWit,$L968)=0,"",INDEX(ExpWit,$L968)))</f>
        <v/>
      </c>
      <c r="I968" s="25">
        <f>IF($B968="","",IF($I967="",0,$I967)+IF($H968="",0,$H968)-IF($G968="",0,$G968))</f>
        <v/>
      </c>
      <c r="J968" s="23">
        <f>IF($L968="","",IF(INDEX(ExpNote,$L968)="","—",INDEX(ExpNote,$L968)))</f>
        <v/>
      </c>
      <c r="L968">
        <f>IFERROR(MATCH($C$5&amp;"|"&amp;RIGHT("000000"&amp;952,6),ExpRankKey,0),"")</f>
        <v/>
      </c>
    </row>
    <row r="969">
      <c r="A969" s="16" t="n">
        <v>953</v>
      </c>
      <c r="B969" s="17">
        <f>IF($L969="","",INDEX(ExpNorm,$L969))</f>
        <v/>
      </c>
      <c r="C969" s="17">
        <f>IF($L969="","",IF(INDEX(ExpTime,$L969)="","—",LEFT(INDEX(ExpTime,$L969),2)&amp;":"&amp;RIGHT(INDEX(ExpTime,$L969),2)))</f>
        <v/>
      </c>
      <c r="D969" s="17">
        <f>IF($L969="","",IF(INDEX(ExpBank,$L969)="","—",INDEX(ExpBank,$L969)))</f>
        <v/>
      </c>
      <c r="E969" s="18">
        <f>IF($L969="","",IF(INDEX(ExpParty,$L969)="","—",IFERROR(VLOOKUP(INDEX(ExpParty,$L969),AcctTbl,4,0),INDEX(ExpParty,$L969))))</f>
        <v/>
      </c>
      <c r="F969" s="17">
        <f>IF($L969="","",IF(INDEX(ExpType,$L969)="","—",INDEX(ExpType,$L969)))</f>
        <v/>
      </c>
      <c r="G969" s="19">
        <f>IF($L969="","",IF(INDEX(ExpDep,$L969)=0,"",INDEX(ExpDep,$L969)))</f>
        <v/>
      </c>
      <c r="H969" s="19">
        <f>IF($L969="","",IF(INDEX(ExpWit,$L969)=0,"",INDEX(ExpWit,$L969)))</f>
        <v/>
      </c>
      <c r="I969" s="20">
        <f>IF($B969="","",IF($I968="",0,$I968)+IF($H969="",0,$H969)-IF($G969="",0,$G969))</f>
        <v/>
      </c>
      <c r="J969" s="18">
        <f>IF($L969="","",IF(INDEX(ExpNote,$L969)="","—",INDEX(ExpNote,$L969)))</f>
        <v/>
      </c>
      <c r="L969">
        <f>IFERROR(MATCH($C$5&amp;"|"&amp;RIGHT("000000"&amp;953,6),ExpRankKey,0),"")</f>
        <v/>
      </c>
    </row>
    <row r="970">
      <c r="A970" s="21" t="n">
        <v>954</v>
      </c>
      <c r="B970" s="22">
        <f>IF($L970="","",INDEX(ExpNorm,$L970))</f>
        <v/>
      </c>
      <c r="C970" s="22">
        <f>IF($L970="","",IF(INDEX(ExpTime,$L970)="","—",LEFT(INDEX(ExpTime,$L970),2)&amp;":"&amp;RIGHT(INDEX(ExpTime,$L970),2)))</f>
        <v/>
      </c>
      <c r="D970" s="22">
        <f>IF($L970="","",IF(INDEX(ExpBank,$L970)="","—",INDEX(ExpBank,$L970)))</f>
        <v/>
      </c>
      <c r="E970" s="23">
        <f>IF($L970="","",IF(INDEX(ExpParty,$L970)="","—",IFERROR(VLOOKUP(INDEX(ExpParty,$L970),AcctTbl,4,0),INDEX(ExpParty,$L970))))</f>
        <v/>
      </c>
      <c r="F970" s="22">
        <f>IF($L970="","",IF(INDEX(ExpType,$L970)="","—",INDEX(ExpType,$L970)))</f>
        <v/>
      </c>
      <c r="G970" s="24">
        <f>IF($L970="","",IF(INDEX(ExpDep,$L970)=0,"",INDEX(ExpDep,$L970)))</f>
        <v/>
      </c>
      <c r="H970" s="24">
        <f>IF($L970="","",IF(INDEX(ExpWit,$L970)=0,"",INDEX(ExpWit,$L970)))</f>
        <v/>
      </c>
      <c r="I970" s="25">
        <f>IF($B970="","",IF($I969="",0,$I969)+IF($H970="",0,$H970)-IF($G970="",0,$G970))</f>
        <v/>
      </c>
      <c r="J970" s="23">
        <f>IF($L970="","",IF(INDEX(ExpNote,$L970)="","—",INDEX(ExpNote,$L970)))</f>
        <v/>
      </c>
      <c r="L970">
        <f>IFERROR(MATCH($C$5&amp;"|"&amp;RIGHT("000000"&amp;954,6),ExpRankKey,0),"")</f>
        <v/>
      </c>
    </row>
    <row r="971">
      <c r="A971" s="16" t="n">
        <v>955</v>
      </c>
      <c r="B971" s="17">
        <f>IF($L971="","",INDEX(ExpNorm,$L971))</f>
        <v/>
      </c>
      <c r="C971" s="17">
        <f>IF($L971="","",IF(INDEX(ExpTime,$L971)="","—",LEFT(INDEX(ExpTime,$L971),2)&amp;":"&amp;RIGHT(INDEX(ExpTime,$L971),2)))</f>
        <v/>
      </c>
      <c r="D971" s="17">
        <f>IF($L971="","",IF(INDEX(ExpBank,$L971)="","—",INDEX(ExpBank,$L971)))</f>
        <v/>
      </c>
      <c r="E971" s="18">
        <f>IF($L971="","",IF(INDEX(ExpParty,$L971)="","—",IFERROR(VLOOKUP(INDEX(ExpParty,$L971),AcctTbl,4,0),INDEX(ExpParty,$L971))))</f>
        <v/>
      </c>
      <c r="F971" s="17">
        <f>IF($L971="","",IF(INDEX(ExpType,$L971)="","—",INDEX(ExpType,$L971)))</f>
        <v/>
      </c>
      <c r="G971" s="19">
        <f>IF($L971="","",IF(INDEX(ExpDep,$L971)=0,"",INDEX(ExpDep,$L971)))</f>
        <v/>
      </c>
      <c r="H971" s="19">
        <f>IF($L971="","",IF(INDEX(ExpWit,$L971)=0,"",INDEX(ExpWit,$L971)))</f>
        <v/>
      </c>
      <c r="I971" s="20">
        <f>IF($B971="","",IF($I970="",0,$I970)+IF($H971="",0,$H971)-IF($G971="",0,$G971))</f>
        <v/>
      </c>
      <c r="J971" s="18">
        <f>IF($L971="","",IF(INDEX(ExpNote,$L971)="","—",INDEX(ExpNote,$L971)))</f>
        <v/>
      </c>
      <c r="L971">
        <f>IFERROR(MATCH($C$5&amp;"|"&amp;RIGHT("000000"&amp;955,6),ExpRankKey,0),"")</f>
        <v/>
      </c>
    </row>
    <row r="972">
      <c r="A972" s="21" t="n">
        <v>956</v>
      </c>
      <c r="B972" s="22">
        <f>IF($L972="","",INDEX(ExpNorm,$L972))</f>
        <v/>
      </c>
      <c r="C972" s="22">
        <f>IF($L972="","",IF(INDEX(ExpTime,$L972)="","—",LEFT(INDEX(ExpTime,$L972),2)&amp;":"&amp;RIGHT(INDEX(ExpTime,$L972),2)))</f>
        <v/>
      </c>
      <c r="D972" s="22">
        <f>IF($L972="","",IF(INDEX(ExpBank,$L972)="","—",INDEX(ExpBank,$L972)))</f>
        <v/>
      </c>
      <c r="E972" s="23">
        <f>IF($L972="","",IF(INDEX(ExpParty,$L972)="","—",IFERROR(VLOOKUP(INDEX(ExpParty,$L972),AcctTbl,4,0),INDEX(ExpParty,$L972))))</f>
        <v/>
      </c>
      <c r="F972" s="22">
        <f>IF($L972="","",IF(INDEX(ExpType,$L972)="","—",INDEX(ExpType,$L972)))</f>
        <v/>
      </c>
      <c r="G972" s="24">
        <f>IF($L972="","",IF(INDEX(ExpDep,$L972)=0,"",INDEX(ExpDep,$L972)))</f>
        <v/>
      </c>
      <c r="H972" s="24">
        <f>IF($L972="","",IF(INDEX(ExpWit,$L972)=0,"",INDEX(ExpWit,$L972)))</f>
        <v/>
      </c>
      <c r="I972" s="25">
        <f>IF($B972="","",IF($I971="",0,$I971)+IF($H972="",0,$H972)-IF($G972="",0,$G972))</f>
        <v/>
      </c>
      <c r="J972" s="23">
        <f>IF($L972="","",IF(INDEX(ExpNote,$L972)="","—",INDEX(ExpNote,$L972)))</f>
        <v/>
      </c>
      <c r="L972">
        <f>IFERROR(MATCH($C$5&amp;"|"&amp;RIGHT("000000"&amp;956,6),ExpRankKey,0),"")</f>
        <v/>
      </c>
    </row>
    <row r="973">
      <c r="A973" s="16" t="n">
        <v>957</v>
      </c>
      <c r="B973" s="17">
        <f>IF($L973="","",INDEX(ExpNorm,$L973))</f>
        <v/>
      </c>
      <c r="C973" s="17">
        <f>IF($L973="","",IF(INDEX(ExpTime,$L973)="","—",LEFT(INDEX(ExpTime,$L973),2)&amp;":"&amp;RIGHT(INDEX(ExpTime,$L973),2)))</f>
        <v/>
      </c>
      <c r="D973" s="17">
        <f>IF($L973="","",IF(INDEX(ExpBank,$L973)="","—",INDEX(ExpBank,$L973)))</f>
        <v/>
      </c>
      <c r="E973" s="18">
        <f>IF($L973="","",IF(INDEX(ExpParty,$L973)="","—",IFERROR(VLOOKUP(INDEX(ExpParty,$L973),AcctTbl,4,0),INDEX(ExpParty,$L973))))</f>
        <v/>
      </c>
      <c r="F973" s="17">
        <f>IF($L973="","",IF(INDEX(ExpType,$L973)="","—",INDEX(ExpType,$L973)))</f>
        <v/>
      </c>
      <c r="G973" s="19">
        <f>IF($L973="","",IF(INDEX(ExpDep,$L973)=0,"",INDEX(ExpDep,$L973)))</f>
        <v/>
      </c>
      <c r="H973" s="19">
        <f>IF($L973="","",IF(INDEX(ExpWit,$L973)=0,"",INDEX(ExpWit,$L973)))</f>
        <v/>
      </c>
      <c r="I973" s="20">
        <f>IF($B973="","",IF($I972="",0,$I972)+IF($H973="",0,$H973)-IF($G973="",0,$G973))</f>
        <v/>
      </c>
      <c r="J973" s="18">
        <f>IF($L973="","",IF(INDEX(ExpNote,$L973)="","—",INDEX(ExpNote,$L973)))</f>
        <v/>
      </c>
      <c r="L973">
        <f>IFERROR(MATCH($C$5&amp;"|"&amp;RIGHT("000000"&amp;957,6),ExpRankKey,0),"")</f>
        <v/>
      </c>
    </row>
    <row r="974">
      <c r="A974" s="21" t="n">
        <v>958</v>
      </c>
      <c r="B974" s="22">
        <f>IF($L974="","",INDEX(ExpNorm,$L974))</f>
        <v/>
      </c>
      <c r="C974" s="22">
        <f>IF($L974="","",IF(INDEX(ExpTime,$L974)="","—",LEFT(INDEX(ExpTime,$L974),2)&amp;":"&amp;RIGHT(INDEX(ExpTime,$L974),2)))</f>
        <v/>
      </c>
      <c r="D974" s="22">
        <f>IF($L974="","",IF(INDEX(ExpBank,$L974)="","—",INDEX(ExpBank,$L974)))</f>
        <v/>
      </c>
      <c r="E974" s="23">
        <f>IF($L974="","",IF(INDEX(ExpParty,$L974)="","—",IFERROR(VLOOKUP(INDEX(ExpParty,$L974),AcctTbl,4,0),INDEX(ExpParty,$L974))))</f>
        <v/>
      </c>
      <c r="F974" s="22">
        <f>IF($L974="","",IF(INDEX(ExpType,$L974)="","—",INDEX(ExpType,$L974)))</f>
        <v/>
      </c>
      <c r="G974" s="24">
        <f>IF($L974="","",IF(INDEX(ExpDep,$L974)=0,"",INDEX(ExpDep,$L974)))</f>
        <v/>
      </c>
      <c r="H974" s="24">
        <f>IF($L974="","",IF(INDEX(ExpWit,$L974)=0,"",INDEX(ExpWit,$L974)))</f>
        <v/>
      </c>
      <c r="I974" s="25">
        <f>IF($B974="","",IF($I973="",0,$I973)+IF($H974="",0,$H974)-IF($G974="",0,$G974))</f>
        <v/>
      </c>
      <c r="J974" s="23">
        <f>IF($L974="","",IF(INDEX(ExpNote,$L974)="","—",INDEX(ExpNote,$L974)))</f>
        <v/>
      </c>
      <c r="L974">
        <f>IFERROR(MATCH($C$5&amp;"|"&amp;RIGHT("000000"&amp;958,6),ExpRankKey,0),"")</f>
        <v/>
      </c>
    </row>
    <row r="975">
      <c r="A975" s="16" t="n">
        <v>959</v>
      </c>
      <c r="B975" s="17">
        <f>IF($L975="","",INDEX(ExpNorm,$L975))</f>
        <v/>
      </c>
      <c r="C975" s="17">
        <f>IF($L975="","",IF(INDEX(ExpTime,$L975)="","—",LEFT(INDEX(ExpTime,$L975),2)&amp;":"&amp;RIGHT(INDEX(ExpTime,$L975),2)))</f>
        <v/>
      </c>
      <c r="D975" s="17">
        <f>IF($L975="","",IF(INDEX(ExpBank,$L975)="","—",INDEX(ExpBank,$L975)))</f>
        <v/>
      </c>
      <c r="E975" s="18">
        <f>IF($L975="","",IF(INDEX(ExpParty,$L975)="","—",IFERROR(VLOOKUP(INDEX(ExpParty,$L975),AcctTbl,4,0),INDEX(ExpParty,$L975))))</f>
        <v/>
      </c>
      <c r="F975" s="17">
        <f>IF($L975="","",IF(INDEX(ExpType,$L975)="","—",INDEX(ExpType,$L975)))</f>
        <v/>
      </c>
      <c r="G975" s="19">
        <f>IF($L975="","",IF(INDEX(ExpDep,$L975)=0,"",INDEX(ExpDep,$L975)))</f>
        <v/>
      </c>
      <c r="H975" s="19">
        <f>IF($L975="","",IF(INDEX(ExpWit,$L975)=0,"",INDEX(ExpWit,$L975)))</f>
        <v/>
      </c>
      <c r="I975" s="20">
        <f>IF($B975="","",IF($I974="",0,$I974)+IF($H975="",0,$H975)-IF($G975="",0,$G975))</f>
        <v/>
      </c>
      <c r="J975" s="18">
        <f>IF($L975="","",IF(INDEX(ExpNote,$L975)="","—",INDEX(ExpNote,$L975)))</f>
        <v/>
      </c>
      <c r="L975">
        <f>IFERROR(MATCH($C$5&amp;"|"&amp;RIGHT("000000"&amp;959,6),ExpRankKey,0),"")</f>
        <v/>
      </c>
    </row>
    <row r="976">
      <c r="A976" s="21" t="n">
        <v>960</v>
      </c>
      <c r="B976" s="22">
        <f>IF($L976="","",INDEX(ExpNorm,$L976))</f>
        <v/>
      </c>
      <c r="C976" s="22">
        <f>IF($L976="","",IF(INDEX(ExpTime,$L976)="","—",LEFT(INDEX(ExpTime,$L976),2)&amp;":"&amp;RIGHT(INDEX(ExpTime,$L976),2)))</f>
        <v/>
      </c>
      <c r="D976" s="22">
        <f>IF($L976="","",IF(INDEX(ExpBank,$L976)="","—",INDEX(ExpBank,$L976)))</f>
        <v/>
      </c>
      <c r="E976" s="23">
        <f>IF($L976="","",IF(INDEX(ExpParty,$L976)="","—",IFERROR(VLOOKUP(INDEX(ExpParty,$L976),AcctTbl,4,0),INDEX(ExpParty,$L976))))</f>
        <v/>
      </c>
      <c r="F976" s="22">
        <f>IF($L976="","",IF(INDEX(ExpType,$L976)="","—",INDEX(ExpType,$L976)))</f>
        <v/>
      </c>
      <c r="G976" s="24">
        <f>IF($L976="","",IF(INDEX(ExpDep,$L976)=0,"",INDEX(ExpDep,$L976)))</f>
        <v/>
      </c>
      <c r="H976" s="24">
        <f>IF($L976="","",IF(INDEX(ExpWit,$L976)=0,"",INDEX(ExpWit,$L976)))</f>
        <v/>
      </c>
      <c r="I976" s="25">
        <f>IF($B976="","",IF($I975="",0,$I975)+IF($H976="",0,$H976)-IF($G976="",0,$G976))</f>
        <v/>
      </c>
      <c r="J976" s="23">
        <f>IF($L976="","",IF(INDEX(ExpNote,$L976)="","—",INDEX(ExpNote,$L976)))</f>
        <v/>
      </c>
      <c r="L976">
        <f>IFERROR(MATCH($C$5&amp;"|"&amp;RIGHT("000000"&amp;960,6),ExpRankKey,0),"")</f>
        <v/>
      </c>
    </row>
    <row r="977">
      <c r="A977" s="16" t="n">
        <v>961</v>
      </c>
      <c r="B977" s="17">
        <f>IF($L977="","",INDEX(ExpNorm,$L977))</f>
        <v/>
      </c>
      <c r="C977" s="17">
        <f>IF($L977="","",IF(INDEX(ExpTime,$L977)="","—",LEFT(INDEX(ExpTime,$L977),2)&amp;":"&amp;RIGHT(INDEX(ExpTime,$L977),2)))</f>
        <v/>
      </c>
      <c r="D977" s="17">
        <f>IF($L977="","",IF(INDEX(ExpBank,$L977)="","—",INDEX(ExpBank,$L977)))</f>
        <v/>
      </c>
      <c r="E977" s="18">
        <f>IF($L977="","",IF(INDEX(ExpParty,$L977)="","—",IFERROR(VLOOKUP(INDEX(ExpParty,$L977),AcctTbl,4,0),INDEX(ExpParty,$L977))))</f>
        <v/>
      </c>
      <c r="F977" s="17">
        <f>IF($L977="","",IF(INDEX(ExpType,$L977)="","—",INDEX(ExpType,$L977)))</f>
        <v/>
      </c>
      <c r="G977" s="19">
        <f>IF($L977="","",IF(INDEX(ExpDep,$L977)=0,"",INDEX(ExpDep,$L977)))</f>
        <v/>
      </c>
      <c r="H977" s="19">
        <f>IF($L977="","",IF(INDEX(ExpWit,$L977)=0,"",INDEX(ExpWit,$L977)))</f>
        <v/>
      </c>
      <c r="I977" s="20">
        <f>IF($B977="","",IF($I976="",0,$I976)+IF($H977="",0,$H977)-IF($G977="",0,$G977))</f>
        <v/>
      </c>
      <c r="J977" s="18">
        <f>IF($L977="","",IF(INDEX(ExpNote,$L977)="","—",INDEX(ExpNote,$L977)))</f>
        <v/>
      </c>
      <c r="L977">
        <f>IFERROR(MATCH($C$5&amp;"|"&amp;RIGHT("000000"&amp;961,6),ExpRankKey,0),"")</f>
        <v/>
      </c>
    </row>
    <row r="978">
      <c r="A978" s="21" t="n">
        <v>962</v>
      </c>
      <c r="B978" s="22">
        <f>IF($L978="","",INDEX(ExpNorm,$L978))</f>
        <v/>
      </c>
      <c r="C978" s="22">
        <f>IF($L978="","",IF(INDEX(ExpTime,$L978)="","—",LEFT(INDEX(ExpTime,$L978),2)&amp;":"&amp;RIGHT(INDEX(ExpTime,$L978),2)))</f>
        <v/>
      </c>
      <c r="D978" s="22">
        <f>IF($L978="","",IF(INDEX(ExpBank,$L978)="","—",INDEX(ExpBank,$L978)))</f>
        <v/>
      </c>
      <c r="E978" s="23">
        <f>IF($L978="","",IF(INDEX(ExpParty,$L978)="","—",IFERROR(VLOOKUP(INDEX(ExpParty,$L978),AcctTbl,4,0),INDEX(ExpParty,$L978))))</f>
        <v/>
      </c>
      <c r="F978" s="22">
        <f>IF($L978="","",IF(INDEX(ExpType,$L978)="","—",INDEX(ExpType,$L978)))</f>
        <v/>
      </c>
      <c r="G978" s="24">
        <f>IF($L978="","",IF(INDEX(ExpDep,$L978)=0,"",INDEX(ExpDep,$L978)))</f>
        <v/>
      </c>
      <c r="H978" s="24">
        <f>IF($L978="","",IF(INDEX(ExpWit,$L978)=0,"",INDEX(ExpWit,$L978)))</f>
        <v/>
      </c>
      <c r="I978" s="25">
        <f>IF($B978="","",IF($I977="",0,$I977)+IF($H978="",0,$H978)-IF($G978="",0,$G978))</f>
        <v/>
      </c>
      <c r="J978" s="23">
        <f>IF($L978="","",IF(INDEX(ExpNote,$L978)="","—",INDEX(ExpNote,$L978)))</f>
        <v/>
      </c>
      <c r="L978">
        <f>IFERROR(MATCH($C$5&amp;"|"&amp;RIGHT("000000"&amp;962,6),ExpRankKey,0),"")</f>
        <v/>
      </c>
    </row>
    <row r="979">
      <c r="A979" s="16" t="n">
        <v>963</v>
      </c>
      <c r="B979" s="17">
        <f>IF($L979="","",INDEX(ExpNorm,$L979))</f>
        <v/>
      </c>
      <c r="C979" s="17">
        <f>IF($L979="","",IF(INDEX(ExpTime,$L979)="","—",LEFT(INDEX(ExpTime,$L979),2)&amp;":"&amp;RIGHT(INDEX(ExpTime,$L979),2)))</f>
        <v/>
      </c>
      <c r="D979" s="17">
        <f>IF($L979="","",IF(INDEX(ExpBank,$L979)="","—",INDEX(ExpBank,$L979)))</f>
        <v/>
      </c>
      <c r="E979" s="18">
        <f>IF($L979="","",IF(INDEX(ExpParty,$L979)="","—",IFERROR(VLOOKUP(INDEX(ExpParty,$L979),AcctTbl,4,0),INDEX(ExpParty,$L979))))</f>
        <v/>
      </c>
      <c r="F979" s="17">
        <f>IF($L979="","",IF(INDEX(ExpType,$L979)="","—",INDEX(ExpType,$L979)))</f>
        <v/>
      </c>
      <c r="G979" s="19">
        <f>IF($L979="","",IF(INDEX(ExpDep,$L979)=0,"",INDEX(ExpDep,$L979)))</f>
        <v/>
      </c>
      <c r="H979" s="19">
        <f>IF($L979="","",IF(INDEX(ExpWit,$L979)=0,"",INDEX(ExpWit,$L979)))</f>
        <v/>
      </c>
      <c r="I979" s="20">
        <f>IF($B979="","",IF($I978="",0,$I978)+IF($H979="",0,$H979)-IF($G979="",0,$G979))</f>
        <v/>
      </c>
      <c r="J979" s="18">
        <f>IF($L979="","",IF(INDEX(ExpNote,$L979)="","—",INDEX(ExpNote,$L979)))</f>
        <v/>
      </c>
      <c r="L979">
        <f>IFERROR(MATCH($C$5&amp;"|"&amp;RIGHT("000000"&amp;963,6),ExpRankKey,0),"")</f>
        <v/>
      </c>
    </row>
    <row r="980">
      <c r="A980" s="21" t="n">
        <v>964</v>
      </c>
      <c r="B980" s="22">
        <f>IF($L980="","",INDEX(ExpNorm,$L980))</f>
        <v/>
      </c>
      <c r="C980" s="22">
        <f>IF($L980="","",IF(INDEX(ExpTime,$L980)="","—",LEFT(INDEX(ExpTime,$L980),2)&amp;":"&amp;RIGHT(INDEX(ExpTime,$L980),2)))</f>
        <v/>
      </c>
      <c r="D980" s="22">
        <f>IF($L980="","",IF(INDEX(ExpBank,$L980)="","—",INDEX(ExpBank,$L980)))</f>
        <v/>
      </c>
      <c r="E980" s="23">
        <f>IF($L980="","",IF(INDEX(ExpParty,$L980)="","—",IFERROR(VLOOKUP(INDEX(ExpParty,$L980),AcctTbl,4,0),INDEX(ExpParty,$L980))))</f>
        <v/>
      </c>
      <c r="F980" s="22">
        <f>IF($L980="","",IF(INDEX(ExpType,$L980)="","—",INDEX(ExpType,$L980)))</f>
        <v/>
      </c>
      <c r="G980" s="24">
        <f>IF($L980="","",IF(INDEX(ExpDep,$L980)=0,"",INDEX(ExpDep,$L980)))</f>
        <v/>
      </c>
      <c r="H980" s="24">
        <f>IF($L980="","",IF(INDEX(ExpWit,$L980)=0,"",INDEX(ExpWit,$L980)))</f>
        <v/>
      </c>
      <c r="I980" s="25">
        <f>IF($B980="","",IF($I979="",0,$I979)+IF($H980="",0,$H980)-IF($G980="",0,$G980))</f>
        <v/>
      </c>
      <c r="J980" s="23">
        <f>IF($L980="","",IF(INDEX(ExpNote,$L980)="","—",INDEX(ExpNote,$L980)))</f>
        <v/>
      </c>
      <c r="L980">
        <f>IFERROR(MATCH($C$5&amp;"|"&amp;RIGHT("000000"&amp;964,6),ExpRankKey,0),"")</f>
        <v/>
      </c>
    </row>
    <row r="981">
      <c r="A981" s="16" t="n">
        <v>965</v>
      </c>
      <c r="B981" s="17">
        <f>IF($L981="","",INDEX(ExpNorm,$L981))</f>
        <v/>
      </c>
      <c r="C981" s="17">
        <f>IF($L981="","",IF(INDEX(ExpTime,$L981)="","—",LEFT(INDEX(ExpTime,$L981),2)&amp;":"&amp;RIGHT(INDEX(ExpTime,$L981),2)))</f>
        <v/>
      </c>
      <c r="D981" s="17">
        <f>IF($L981="","",IF(INDEX(ExpBank,$L981)="","—",INDEX(ExpBank,$L981)))</f>
        <v/>
      </c>
      <c r="E981" s="18">
        <f>IF($L981="","",IF(INDEX(ExpParty,$L981)="","—",IFERROR(VLOOKUP(INDEX(ExpParty,$L981),AcctTbl,4,0),INDEX(ExpParty,$L981))))</f>
        <v/>
      </c>
      <c r="F981" s="17">
        <f>IF($L981="","",IF(INDEX(ExpType,$L981)="","—",INDEX(ExpType,$L981)))</f>
        <v/>
      </c>
      <c r="G981" s="19">
        <f>IF($L981="","",IF(INDEX(ExpDep,$L981)=0,"",INDEX(ExpDep,$L981)))</f>
        <v/>
      </c>
      <c r="H981" s="19">
        <f>IF($L981="","",IF(INDEX(ExpWit,$L981)=0,"",INDEX(ExpWit,$L981)))</f>
        <v/>
      </c>
      <c r="I981" s="20">
        <f>IF($B981="","",IF($I980="",0,$I980)+IF($H981="",0,$H981)-IF($G981="",0,$G981))</f>
        <v/>
      </c>
      <c r="J981" s="18">
        <f>IF($L981="","",IF(INDEX(ExpNote,$L981)="","—",INDEX(ExpNote,$L981)))</f>
        <v/>
      </c>
      <c r="L981">
        <f>IFERROR(MATCH($C$5&amp;"|"&amp;RIGHT("000000"&amp;965,6),ExpRankKey,0),"")</f>
        <v/>
      </c>
    </row>
    <row r="982">
      <c r="A982" s="21" t="n">
        <v>966</v>
      </c>
      <c r="B982" s="22">
        <f>IF($L982="","",INDEX(ExpNorm,$L982))</f>
        <v/>
      </c>
      <c r="C982" s="22">
        <f>IF($L982="","",IF(INDEX(ExpTime,$L982)="","—",LEFT(INDEX(ExpTime,$L982),2)&amp;":"&amp;RIGHT(INDEX(ExpTime,$L982),2)))</f>
        <v/>
      </c>
      <c r="D982" s="22">
        <f>IF($L982="","",IF(INDEX(ExpBank,$L982)="","—",INDEX(ExpBank,$L982)))</f>
        <v/>
      </c>
      <c r="E982" s="23">
        <f>IF($L982="","",IF(INDEX(ExpParty,$L982)="","—",IFERROR(VLOOKUP(INDEX(ExpParty,$L982),AcctTbl,4,0),INDEX(ExpParty,$L982))))</f>
        <v/>
      </c>
      <c r="F982" s="22">
        <f>IF($L982="","",IF(INDEX(ExpType,$L982)="","—",INDEX(ExpType,$L982)))</f>
        <v/>
      </c>
      <c r="G982" s="24">
        <f>IF($L982="","",IF(INDEX(ExpDep,$L982)=0,"",INDEX(ExpDep,$L982)))</f>
        <v/>
      </c>
      <c r="H982" s="24">
        <f>IF($L982="","",IF(INDEX(ExpWit,$L982)=0,"",INDEX(ExpWit,$L982)))</f>
        <v/>
      </c>
      <c r="I982" s="25">
        <f>IF($B982="","",IF($I981="",0,$I981)+IF($H982="",0,$H982)-IF($G982="",0,$G982))</f>
        <v/>
      </c>
      <c r="J982" s="23">
        <f>IF($L982="","",IF(INDEX(ExpNote,$L982)="","—",INDEX(ExpNote,$L982)))</f>
        <v/>
      </c>
      <c r="L982">
        <f>IFERROR(MATCH($C$5&amp;"|"&amp;RIGHT("000000"&amp;966,6),ExpRankKey,0),"")</f>
        <v/>
      </c>
    </row>
    <row r="983">
      <c r="A983" s="16" t="n">
        <v>967</v>
      </c>
      <c r="B983" s="17">
        <f>IF($L983="","",INDEX(ExpNorm,$L983))</f>
        <v/>
      </c>
      <c r="C983" s="17">
        <f>IF($L983="","",IF(INDEX(ExpTime,$L983)="","—",LEFT(INDEX(ExpTime,$L983),2)&amp;":"&amp;RIGHT(INDEX(ExpTime,$L983),2)))</f>
        <v/>
      </c>
      <c r="D983" s="17">
        <f>IF($L983="","",IF(INDEX(ExpBank,$L983)="","—",INDEX(ExpBank,$L983)))</f>
        <v/>
      </c>
      <c r="E983" s="18">
        <f>IF($L983="","",IF(INDEX(ExpParty,$L983)="","—",IFERROR(VLOOKUP(INDEX(ExpParty,$L983),AcctTbl,4,0),INDEX(ExpParty,$L983))))</f>
        <v/>
      </c>
      <c r="F983" s="17">
        <f>IF($L983="","",IF(INDEX(ExpType,$L983)="","—",INDEX(ExpType,$L983)))</f>
        <v/>
      </c>
      <c r="G983" s="19">
        <f>IF($L983="","",IF(INDEX(ExpDep,$L983)=0,"",INDEX(ExpDep,$L983)))</f>
        <v/>
      </c>
      <c r="H983" s="19">
        <f>IF($L983="","",IF(INDEX(ExpWit,$L983)=0,"",INDEX(ExpWit,$L983)))</f>
        <v/>
      </c>
      <c r="I983" s="20">
        <f>IF($B983="","",IF($I982="",0,$I982)+IF($H983="",0,$H983)-IF($G983="",0,$G983))</f>
        <v/>
      </c>
      <c r="J983" s="18">
        <f>IF($L983="","",IF(INDEX(ExpNote,$L983)="","—",INDEX(ExpNote,$L983)))</f>
        <v/>
      </c>
      <c r="L983">
        <f>IFERROR(MATCH($C$5&amp;"|"&amp;RIGHT("000000"&amp;967,6),ExpRankKey,0),"")</f>
        <v/>
      </c>
    </row>
    <row r="984">
      <c r="A984" s="21" t="n">
        <v>968</v>
      </c>
      <c r="B984" s="22">
        <f>IF($L984="","",INDEX(ExpNorm,$L984))</f>
        <v/>
      </c>
      <c r="C984" s="22">
        <f>IF($L984="","",IF(INDEX(ExpTime,$L984)="","—",LEFT(INDEX(ExpTime,$L984),2)&amp;":"&amp;RIGHT(INDEX(ExpTime,$L984),2)))</f>
        <v/>
      </c>
      <c r="D984" s="22">
        <f>IF($L984="","",IF(INDEX(ExpBank,$L984)="","—",INDEX(ExpBank,$L984)))</f>
        <v/>
      </c>
      <c r="E984" s="23">
        <f>IF($L984="","",IF(INDEX(ExpParty,$L984)="","—",IFERROR(VLOOKUP(INDEX(ExpParty,$L984),AcctTbl,4,0),INDEX(ExpParty,$L984))))</f>
        <v/>
      </c>
      <c r="F984" s="22">
        <f>IF($L984="","",IF(INDEX(ExpType,$L984)="","—",INDEX(ExpType,$L984)))</f>
        <v/>
      </c>
      <c r="G984" s="24">
        <f>IF($L984="","",IF(INDEX(ExpDep,$L984)=0,"",INDEX(ExpDep,$L984)))</f>
        <v/>
      </c>
      <c r="H984" s="24">
        <f>IF($L984="","",IF(INDEX(ExpWit,$L984)=0,"",INDEX(ExpWit,$L984)))</f>
        <v/>
      </c>
      <c r="I984" s="25">
        <f>IF($B984="","",IF($I983="",0,$I983)+IF($H984="",0,$H984)-IF($G984="",0,$G984))</f>
        <v/>
      </c>
      <c r="J984" s="23">
        <f>IF($L984="","",IF(INDEX(ExpNote,$L984)="","—",INDEX(ExpNote,$L984)))</f>
        <v/>
      </c>
      <c r="L984">
        <f>IFERROR(MATCH($C$5&amp;"|"&amp;RIGHT("000000"&amp;968,6),ExpRankKey,0),"")</f>
        <v/>
      </c>
    </row>
    <row r="985">
      <c r="A985" s="16" t="n">
        <v>969</v>
      </c>
      <c r="B985" s="17">
        <f>IF($L985="","",INDEX(ExpNorm,$L985))</f>
        <v/>
      </c>
      <c r="C985" s="17">
        <f>IF($L985="","",IF(INDEX(ExpTime,$L985)="","—",LEFT(INDEX(ExpTime,$L985),2)&amp;":"&amp;RIGHT(INDEX(ExpTime,$L985),2)))</f>
        <v/>
      </c>
      <c r="D985" s="17">
        <f>IF($L985="","",IF(INDEX(ExpBank,$L985)="","—",INDEX(ExpBank,$L985)))</f>
        <v/>
      </c>
      <c r="E985" s="18">
        <f>IF($L985="","",IF(INDEX(ExpParty,$L985)="","—",IFERROR(VLOOKUP(INDEX(ExpParty,$L985),AcctTbl,4,0),INDEX(ExpParty,$L985))))</f>
        <v/>
      </c>
      <c r="F985" s="17">
        <f>IF($L985="","",IF(INDEX(ExpType,$L985)="","—",INDEX(ExpType,$L985)))</f>
        <v/>
      </c>
      <c r="G985" s="19">
        <f>IF($L985="","",IF(INDEX(ExpDep,$L985)=0,"",INDEX(ExpDep,$L985)))</f>
        <v/>
      </c>
      <c r="H985" s="19">
        <f>IF($L985="","",IF(INDEX(ExpWit,$L985)=0,"",INDEX(ExpWit,$L985)))</f>
        <v/>
      </c>
      <c r="I985" s="20">
        <f>IF($B985="","",IF($I984="",0,$I984)+IF($H985="",0,$H985)-IF($G985="",0,$G985))</f>
        <v/>
      </c>
      <c r="J985" s="18">
        <f>IF($L985="","",IF(INDEX(ExpNote,$L985)="","—",INDEX(ExpNote,$L985)))</f>
        <v/>
      </c>
      <c r="L985">
        <f>IFERROR(MATCH($C$5&amp;"|"&amp;RIGHT("000000"&amp;969,6),ExpRankKey,0),"")</f>
        <v/>
      </c>
    </row>
    <row r="986">
      <c r="A986" s="21" t="n">
        <v>970</v>
      </c>
      <c r="B986" s="22">
        <f>IF($L986="","",INDEX(ExpNorm,$L986))</f>
        <v/>
      </c>
      <c r="C986" s="22">
        <f>IF($L986="","",IF(INDEX(ExpTime,$L986)="","—",LEFT(INDEX(ExpTime,$L986),2)&amp;":"&amp;RIGHT(INDEX(ExpTime,$L986),2)))</f>
        <v/>
      </c>
      <c r="D986" s="22">
        <f>IF($L986="","",IF(INDEX(ExpBank,$L986)="","—",INDEX(ExpBank,$L986)))</f>
        <v/>
      </c>
      <c r="E986" s="23">
        <f>IF($L986="","",IF(INDEX(ExpParty,$L986)="","—",IFERROR(VLOOKUP(INDEX(ExpParty,$L986),AcctTbl,4,0),INDEX(ExpParty,$L986))))</f>
        <v/>
      </c>
      <c r="F986" s="22">
        <f>IF($L986="","",IF(INDEX(ExpType,$L986)="","—",INDEX(ExpType,$L986)))</f>
        <v/>
      </c>
      <c r="G986" s="24">
        <f>IF($L986="","",IF(INDEX(ExpDep,$L986)=0,"",INDEX(ExpDep,$L986)))</f>
        <v/>
      </c>
      <c r="H986" s="24">
        <f>IF($L986="","",IF(INDEX(ExpWit,$L986)=0,"",INDEX(ExpWit,$L986)))</f>
        <v/>
      </c>
      <c r="I986" s="25">
        <f>IF($B986="","",IF($I985="",0,$I985)+IF($H986="",0,$H986)-IF($G986="",0,$G986))</f>
        <v/>
      </c>
      <c r="J986" s="23">
        <f>IF($L986="","",IF(INDEX(ExpNote,$L986)="","—",INDEX(ExpNote,$L986)))</f>
        <v/>
      </c>
      <c r="L986">
        <f>IFERROR(MATCH($C$5&amp;"|"&amp;RIGHT("000000"&amp;970,6),ExpRankKey,0),"")</f>
        <v/>
      </c>
    </row>
    <row r="987">
      <c r="A987" s="16" t="n">
        <v>971</v>
      </c>
      <c r="B987" s="17">
        <f>IF($L987="","",INDEX(ExpNorm,$L987))</f>
        <v/>
      </c>
      <c r="C987" s="17">
        <f>IF($L987="","",IF(INDEX(ExpTime,$L987)="","—",LEFT(INDEX(ExpTime,$L987),2)&amp;":"&amp;RIGHT(INDEX(ExpTime,$L987),2)))</f>
        <v/>
      </c>
      <c r="D987" s="17">
        <f>IF($L987="","",IF(INDEX(ExpBank,$L987)="","—",INDEX(ExpBank,$L987)))</f>
        <v/>
      </c>
      <c r="E987" s="18">
        <f>IF($L987="","",IF(INDEX(ExpParty,$L987)="","—",IFERROR(VLOOKUP(INDEX(ExpParty,$L987),AcctTbl,4,0),INDEX(ExpParty,$L987))))</f>
        <v/>
      </c>
      <c r="F987" s="17">
        <f>IF($L987="","",IF(INDEX(ExpType,$L987)="","—",INDEX(ExpType,$L987)))</f>
        <v/>
      </c>
      <c r="G987" s="19">
        <f>IF($L987="","",IF(INDEX(ExpDep,$L987)=0,"",INDEX(ExpDep,$L987)))</f>
        <v/>
      </c>
      <c r="H987" s="19">
        <f>IF($L987="","",IF(INDEX(ExpWit,$L987)=0,"",INDEX(ExpWit,$L987)))</f>
        <v/>
      </c>
      <c r="I987" s="20">
        <f>IF($B987="","",IF($I986="",0,$I986)+IF($H987="",0,$H987)-IF($G987="",0,$G987))</f>
        <v/>
      </c>
      <c r="J987" s="18">
        <f>IF($L987="","",IF(INDEX(ExpNote,$L987)="","—",INDEX(ExpNote,$L987)))</f>
        <v/>
      </c>
      <c r="L987">
        <f>IFERROR(MATCH($C$5&amp;"|"&amp;RIGHT("000000"&amp;971,6),ExpRankKey,0),"")</f>
        <v/>
      </c>
    </row>
    <row r="988">
      <c r="A988" s="21" t="n">
        <v>972</v>
      </c>
      <c r="B988" s="22">
        <f>IF($L988="","",INDEX(ExpNorm,$L988))</f>
        <v/>
      </c>
      <c r="C988" s="22">
        <f>IF($L988="","",IF(INDEX(ExpTime,$L988)="","—",LEFT(INDEX(ExpTime,$L988),2)&amp;":"&amp;RIGHT(INDEX(ExpTime,$L988),2)))</f>
        <v/>
      </c>
      <c r="D988" s="22">
        <f>IF($L988="","",IF(INDEX(ExpBank,$L988)="","—",INDEX(ExpBank,$L988)))</f>
        <v/>
      </c>
      <c r="E988" s="23">
        <f>IF($L988="","",IF(INDEX(ExpParty,$L988)="","—",IFERROR(VLOOKUP(INDEX(ExpParty,$L988),AcctTbl,4,0),INDEX(ExpParty,$L988))))</f>
        <v/>
      </c>
      <c r="F988" s="22">
        <f>IF($L988="","",IF(INDEX(ExpType,$L988)="","—",INDEX(ExpType,$L988)))</f>
        <v/>
      </c>
      <c r="G988" s="24">
        <f>IF($L988="","",IF(INDEX(ExpDep,$L988)=0,"",INDEX(ExpDep,$L988)))</f>
        <v/>
      </c>
      <c r="H988" s="24">
        <f>IF($L988="","",IF(INDEX(ExpWit,$L988)=0,"",INDEX(ExpWit,$L988)))</f>
        <v/>
      </c>
      <c r="I988" s="25">
        <f>IF($B988="","",IF($I987="",0,$I987)+IF($H988="",0,$H988)-IF($G988="",0,$G988))</f>
        <v/>
      </c>
      <c r="J988" s="23">
        <f>IF($L988="","",IF(INDEX(ExpNote,$L988)="","—",INDEX(ExpNote,$L988)))</f>
        <v/>
      </c>
      <c r="L988">
        <f>IFERROR(MATCH($C$5&amp;"|"&amp;RIGHT("000000"&amp;972,6),ExpRankKey,0),"")</f>
        <v/>
      </c>
    </row>
    <row r="989">
      <c r="A989" s="16" t="n">
        <v>973</v>
      </c>
      <c r="B989" s="17">
        <f>IF($L989="","",INDEX(ExpNorm,$L989))</f>
        <v/>
      </c>
      <c r="C989" s="17">
        <f>IF($L989="","",IF(INDEX(ExpTime,$L989)="","—",LEFT(INDEX(ExpTime,$L989),2)&amp;":"&amp;RIGHT(INDEX(ExpTime,$L989),2)))</f>
        <v/>
      </c>
      <c r="D989" s="17">
        <f>IF($L989="","",IF(INDEX(ExpBank,$L989)="","—",INDEX(ExpBank,$L989)))</f>
        <v/>
      </c>
      <c r="E989" s="18">
        <f>IF($L989="","",IF(INDEX(ExpParty,$L989)="","—",IFERROR(VLOOKUP(INDEX(ExpParty,$L989),AcctTbl,4,0),INDEX(ExpParty,$L989))))</f>
        <v/>
      </c>
      <c r="F989" s="17">
        <f>IF($L989="","",IF(INDEX(ExpType,$L989)="","—",INDEX(ExpType,$L989)))</f>
        <v/>
      </c>
      <c r="G989" s="19">
        <f>IF($L989="","",IF(INDEX(ExpDep,$L989)=0,"",INDEX(ExpDep,$L989)))</f>
        <v/>
      </c>
      <c r="H989" s="19">
        <f>IF($L989="","",IF(INDEX(ExpWit,$L989)=0,"",INDEX(ExpWit,$L989)))</f>
        <v/>
      </c>
      <c r="I989" s="20">
        <f>IF($B989="","",IF($I988="",0,$I988)+IF($H989="",0,$H989)-IF($G989="",0,$G989))</f>
        <v/>
      </c>
      <c r="J989" s="18">
        <f>IF($L989="","",IF(INDEX(ExpNote,$L989)="","—",INDEX(ExpNote,$L989)))</f>
        <v/>
      </c>
      <c r="L989">
        <f>IFERROR(MATCH($C$5&amp;"|"&amp;RIGHT("000000"&amp;973,6),ExpRankKey,0),"")</f>
        <v/>
      </c>
    </row>
    <row r="990">
      <c r="A990" s="21" t="n">
        <v>974</v>
      </c>
      <c r="B990" s="22">
        <f>IF($L990="","",INDEX(ExpNorm,$L990))</f>
        <v/>
      </c>
      <c r="C990" s="22">
        <f>IF($L990="","",IF(INDEX(ExpTime,$L990)="","—",LEFT(INDEX(ExpTime,$L990),2)&amp;":"&amp;RIGHT(INDEX(ExpTime,$L990),2)))</f>
        <v/>
      </c>
      <c r="D990" s="22">
        <f>IF($L990="","",IF(INDEX(ExpBank,$L990)="","—",INDEX(ExpBank,$L990)))</f>
        <v/>
      </c>
      <c r="E990" s="23">
        <f>IF($L990="","",IF(INDEX(ExpParty,$L990)="","—",IFERROR(VLOOKUP(INDEX(ExpParty,$L990),AcctTbl,4,0),INDEX(ExpParty,$L990))))</f>
        <v/>
      </c>
      <c r="F990" s="22">
        <f>IF($L990="","",IF(INDEX(ExpType,$L990)="","—",INDEX(ExpType,$L990)))</f>
        <v/>
      </c>
      <c r="G990" s="24">
        <f>IF($L990="","",IF(INDEX(ExpDep,$L990)=0,"",INDEX(ExpDep,$L990)))</f>
        <v/>
      </c>
      <c r="H990" s="24">
        <f>IF($L990="","",IF(INDEX(ExpWit,$L990)=0,"",INDEX(ExpWit,$L990)))</f>
        <v/>
      </c>
      <c r="I990" s="25">
        <f>IF($B990="","",IF($I989="",0,$I989)+IF($H990="",0,$H990)-IF($G990="",0,$G990))</f>
        <v/>
      </c>
      <c r="J990" s="23">
        <f>IF($L990="","",IF(INDEX(ExpNote,$L990)="","—",INDEX(ExpNote,$L990)))</f>
        <v/>
      </c>
      <c r="L990">
        <f>IFERROR(MATCH($C$5&amp;"|"&amp;RIGHT("000000"&amp;974,6),ExpRankKey,0),"")</f>
        <v/>
      </c>
    </row>
    <row r="991">
      <c r="A991" s="16" t="n">
        <v>975</v>
      </c>
      <c r="B991" s="17">
        <f>IF($L991="","",INDEX(ExpNorm,$L991))</f>
        <v/>
      </c>
      <c r="C991" s="17">
        <f>IF($L991="","",IF(INDEX(ExpTime,$L991)="","—",LEFT(INDEX(ExpTime,$L991),2)&amp;":"&amp;RIGHT(INDEX(ExpTime,$L991),2)))</f>
        <v/>
      </c>
      <c r="D991" s="17">
        <f>IF($L991="","",IF(INDEX(ExpBank,$L991)="","—",INDEX(ExpBank,$L991)))</f>
        <v/>
      </c>
      <c r="E991" s="18">
        <f>IF($L991="","",IF(INDEX(ExpParty,$L991)="","—",IFERROR(VLOOKUP(INDEX(ExpParty,$L991),AcctTbl,4,0),INDEX(ExpParty,$L991))))</f>
        <v/>
      </c>
      <c r="F991" s="17">
        <f>IF($L991="","",IF(INDEX(ExpType,$L991)="","—",INDEX(ExpType,$L991)))</f>
        <v/>
      </c>
      <c r="G991" s="19">
        <f>IF($L991="","",IF(INDEX(ExpDep,$L991)=0,"",INDEX(ExpDep,$L991)))</f>
        <v/>
      </c>
      <c r="H991" s="19">
        <f>IF($L991="","",IF(INDEX(ExpWit,$L991)=0,"",INDEX(ExpWit,$L991)))</f>
        <v/>
      </c>
      <c r="I991" s="20">
        <f>IF($B991="","",IF($I990="",0,$I990)+IF($H991="",0,$H991)-IF($G991="",0,$G991))</f>
        <v/>
      </c>
      <c r="J991" s="18">
        <f>IF($L991="","",IF(INDEX(ExpNote,$L991)="","—",INDEX(ExpNote,$L991)))</f>
        <v/>
      </c>
      <c r="L991">
        <f>IFERROR(MATCH($C$5&amp;"|"&amp;RIGHT("000000"&amp;975,6),ExpRankKey,0),"")</f>
        <v/>
      </c>
    </row>
    <row r="992">
      <c r="A992" s="21" t="n">
        <v>976</v>
      </c>
      <c r="B992" s="22">
        <f>IF($L992="","",INDEX(ExpNorm,$L992))</f>
        <v/>
      </c>
      <c r="C992" s="22">
        <f>IF($L992="","",IF(INDEX(ExpTime,$L992)="","—",LEFT(INDEX(ExpTime,$L992),2)&amp;":"&amp;RIGHT(INDEX(ExpTime,$L992),2)))</f>
        <v/>
      </c>
      <c r="D992" s="22">
        <f>IF($L992="","",IF(INDEX(ExpBank,$L992)="","—",INDEX(ExpBank,$L992)))</f>
        <v/>
      </c>
      <c r="E992" s="23">
        <f>IF($L992="","",IF(INDEX(ExpParty,$L992)="","—",IFERROR(VLOOKUP(INDEX(ExpParty,$L992),AcctTbl,4,0),INDEX(ExpParty,$L992))))</f>
        <v/>
      </c>
      <c r="F992" s="22">
        <f>IF($L992="","",IF(INDEX(ExpType,$L992)="","—",INDEX(ExpType,$L992)))</f>
        <v/>
      </c>
      <c r="G992" s="24">
        <f>IF($L992="","",IF(INDEX(ExpDep,$L992)=0,"",INDEX(ExpDep,$L992)))</f>
        <v/>
      </c>
      <c r="H992" s="24">
        <f>IF($L992="","",IF(INDEX(ExpWit,$L992)=0,"",INDEX(ExpWit,$L992)))</f>
        <v/>
      </c>
      <c r="I992" s="25">
        <f>IF($B992="","",IF($I991="",0,$I991)+IF($H992="",0,$H992)-IF($G992="",0,$G992))</f>
        <v/>
      </c>
      <c r="J992" s="23">
        <f>IF($L992="","",IF(INDEX(ExpNote,$L992)="","—",INDEX(ExpNote,$L992)))</f>
        <v/>
      </c>
      <c r="L992">
        <f>IFERROR(MATCH($C$5&amp;"|"&amp;RIGHT("000000"&amp;976,6),ExpRankKey,0),"")</f>
        <v/>
      </c>
    </row>
    <row r="993">
      <c r="A993" s="16" t="n">
        <v>977</v>
      </c>
      <c r="B993" s="17">
        <f>IF($L993="","",INDEX(ExpNorm,$L993))</f>
        <v/>
      </c>
      <c r="C993" s="17">
        <f>IF($L993="","",IF(INDEX(ExpTime,$L993)="","—",LEFT(INDEX(ExpTime,$L993),2)&amp;":"&amp;RIGHT(INDEX(ExpTime,$L993),2)))</f>
        <v/>
      </c>
      <c r="D993" s="17">
        <f>IF($L993="","",IF(INDEX(ExpBank,$L993)="","—",INDEX(ExpBank,$L993)))</f>
        <v/>
      </c>
      <c r="E993" s="18">
        <f>IF($L993="","",IF(INDEX(ExpParty,$L993)="","—",IFERROR(VLOOKUP(INDEX(ExpParty,$L993),AcctTbl,4,0),INDEX(ExpParty,$L993))))</f>
        <v/>
      </c>
      <c r="F993" s="17">
        <f>IF($L993="","",IF(INDEX(ExpType,$L993)="","—",INDEX(ExpType,$L993)))</f>
        <v/>
      </c>
      <c r="G993" s="19">
        <f>IF($L993="","",IF(INDEX(ExpDep,$L993)=0,"",INDEX(ExpDep,$L993)))</f>
        <v/>
      </c>
      <c r="H993" s="19">
        <f>IF($L993="","",IF(INDEX(ExpWit,$L993)=0,"",INDEX(ExpWit,$L993)))</f>
        <v/>
      </c>
      <c r="I993" s="20">
        <f>IF($B993="","",IF($I992="",0,$I992)+IF($H993="",0,$H993)-IF($G993="",0,$G993))</f>
        <v/>
      </c>
      <c r="J993" s="18">
        <f>IF($L993="","",IF(INDEX(ExpNote,$L993)="","—",INDEX(ExpNote,$L993)))</f>
        <v/>
      </c>
      <c r="L993">
        <f>IFERROR(MATCH($C$5&amp;"|"&amp;RIGHT("000000"&amp;977,6),ExpRankKey,0),"")</f>
        <v/>
      </c>
    </row>
    <row r="994">
      <c r="A994" s="21" t="n">
        <v>978</v>
      </c>
      <c r="B994" s="22">
        <f>IF($L994="","",INDEX(ExpNorm,$L994))</f>
        <v/>
      </c>
      <c r="C994" s="22">
        <f>IF($L994="","",IF(INDEX(ExpTime,$L994)="","—",LEFT(INDEX(ExpTime,$L994),2)&amp;":"&amp;RIGHT(INDEX(ExpTime,$L994),2)))</f>
        <v/>
      </c>
      <c r="D994" s="22">
        <f>IF($L994="","",IF(INDEX(ExpBank,$L994)="","—",INDEX(ExpBank,$L994)))</f>
        <v/>
      </c>
      <c r="E994" s="23">
        <f>IF($L994="","",IF(INDEX(ExpParty,$L994)="","—",IFERROR(VLOOKUP(INDEX(ExpParty,$L994),AcctTbl,4,0),INDEX(ExpParty,$L994))))</f>
        <v/>
      </c>
      <c r="F994" s="22">
        <f>IF($L994="","",IF(INDEX(ExpType,$L994)="","—",INDEX(ExpType,$L994)))</f>
        <v/>
      </c>
      <c r="G994" s="24">
        <f>IF($L994="","",IF(INDEX(ExpDep,$L994)=0,"",INDEX(ExpDep,$L994)))</f>
        <v/>
      </c>
      <c r="H994" s="24">
        <f>IF($L994="","",IF(INDEX(ExpWit,$L994)=0,"",INDEX(ExpWit,$L994)))</f>
        <v/>
      </c>
      <c r="I994" s="25">
        <f>IF($B994="","",IF($I993="",0,$I993)+IF($H994="",0,$H994)-IF($G994="",0,$G994))</f>
        <v/>
      </c>
      <c r="J994" s="23">
        <f>IF($L994="","",IF(INDEX(ExpNote,$L994)="","—",INDEX(ExpNote,$L994)))</f>
        <v/>
      </c>
      <c r="L994">
        <f>IFERROR(MATCH($C$5&amp;"|"&amp;RIGHT("000000"&amp;978,6),ExpRankKey,0),"")</f>
        <v/>
      </c>
    </row>
    <row r="995">
      <c r="A995" s="16" t="n">
        <v>979</v>
      </c>
      <c r="B995" s="17">
        <f>IF($L995="","",INDEX(ExpNorm,$L995))</f>
        <v/>
      </c>
      <c r="C995" s="17">
        <f>IF($L995="","",IF(INDEX(ExpTime,$L995)="","—",LEFT(INDEX(ExpTime,$L995),2)&amp;":"&amp;RIGHT(INDEX(ExpTime,$L995),2)))</f>
        <v/>
      </c>
      <c r="D995" s="17">
        <f>IF($L995="","",IF(INDEX(ExpBank,$L995)="","—",INDEX(ExpBank,$L995)))</f>
        <v/>
      </c>
      <c r="E995" s="18">
        <f>IF($L995="","",IF(INDEX(ExpParty,$L995)="","—",IFERROR(VLOOKUP(INDEX(ExpParty,$L995),AcctTbl,4,0),INDEX(ExpParty,$L995))))</f>
        <v/>
      </c>
      <c r="F995" s="17">
        <f>IF($L995="","",IF(INDEX(ExpType,$L995)="","—",INDEX(ExpType,$L995)))</f>
        <v/>
      </c>
      <c r="G995" s="19">
        <f>IF($L995="","",IF(INDEX(ExpDep,$L995)=0,"",INDEX(ExpDep,$L995)))</f>
        <v/>
      </c>
      <c r="H995" s="19">
        <f>IF($L995="","",IF(INDEX(ExpWit,$L995)=0,"",INDEX(ExpWit,$L995)))</f>
        <v/>
      </c>
      <c r="I995" s="20">
        <f>IF($B995="","",IF($I994="",0,$I994)+IF($H995="",0,$H995)-IF($G995="",0,$G995))</f>
        <v/>
      </c>
      <c r="J995" s="18">
        <f>IF($L995="","",IF(INDEX(ExpNote,$L995)="","—",INDEX(ExpNote,$L995)))</f>
        <v/>
      </c>
      <c r="L995">
        <f>IFERROR(MATCH($C$5&amp;"|"&amp;RIGHT("000000"&amp;979,6),ExpRankKey,0),"")</f>
        <v/>
      </c>
    </row>
    <row r="996">
      <c r="A996" s="21" t="n">
        <v>980</v>
      </c>
      <c r="B996" s="22">
        <f>IF($L996="","",INDEX(ExpNorm,$L996))</f>
        <v/>
      </c>
      <c r="C996" s="22">
        <f>IF($L996="","",IF(INDEX(ExpTime,$L996)="","—",LEFT(INDEX(ExpTime,$L996),2)&amp;":"&amp;RIGHT(INDEX(ExpTime,$L996),2)))</f>
        <v/>
      </c>
      <c r="D996" s="22">
        <f>IF($L996="","",IF(INDEX(ExpBank,$L996)="","—",INDEX(ExpBank,$L996)))</f>
        <v/>
      </c>
      <c r="E996" s="23">
        <f>IF($L996="","",IF(INDEX(ExpParty,$L996)="","—",IFERROR(VLOOKUP(INDEX(ExpParty,$L996),AcctTbl,4,0),INDEX(ExpParty,$L996))))</f>
        <v/>
      </c>
      <c r="F996" s="22">
        <f>IF($L996="","",IF(INDEX(ExpType,$L996)="","—",INDEX(ExpType,$L996)))</f>
        <v/>
      </c>
      <c r="G996" s="24">
        <f>IF($L996="","",IF(INDEX(ExpDep,$L996)=0,"",INDEX(ExpDep,$L996)))</f>
        <v/>
      </c>
      <c r="H996" s="24">
        <f>IF($L996="","",IF(INDEX(ExpWit,$L996)=0,"",INDEX(ExpWit,$L996)))</f>
        <v/>
      </c>
      <c r="I996" s="25">
        <f>IF($B996="","",IF($I995="",0,$I995)+IF($H996="",0,$H996)-IF($G996="",0,$G996))</f>
        <v/>
      </c>
      <c r="J996" s="23">
        <f>IF($L996="","",IF(INDEX(ExpNote,$L996)="","—",INDEX(ExpNote,$L996)))</f>
        <v/>
      </c>
      <c r="L996">
        <f>IFERROR(MATCH($C$5&amp;"|"&amp;RIGHT("000000"&amp;980,6),ExpRankKey,0),"")</f>
        <v/>
      </c>
    </row>
    <row r="997">
      <c r="A997" s="16" t="n">
        <v>981</v>
      </c>
      <c r="B997" s="17">
        <f>IF($L997="","",INDEX(ExpNorm,$L997))</f>
        <v/>
      </c>
      <c r="C997" s="17">
        <f>IF($L997="","",IF(INDEX(ExpTime,$L997)="","—",LEFT(INDEX(ExpTime,$L997),2)&amp;":"&amp;RIGHT(INDEX(ExpTime,$L997),2)))</f>
        <v/>
      </c>
      <c r="D997" s="17">
        <f>IF($L997="","",IF(INDEX(ExpBank,$L997)="","—",INDEX(ExpBank,$L997)))</f>
        <v/>
      </c>
      <c r="E997" s="18">
        <f>IF($L997="","",IF(INDEX(ExpParty,$L997)="","—",IFERROR(VLOOKUP(INDEX(ExpParty,$L997),AcctTbl,4,0),INDEX(ExpParty,$L997))))</f>
        <v/>
      </c>
      <c r="F997" s="17">
        <f>IF($L997="","",IF(INDEX(ExpType,$L997)="","—",INDEX(ExpType,$L997)))</f>
        <v/>
      </c>
      <c r="G997" s="19">
        <f>IF($L997="","",IF(INDEX(ExpDep,$L997)=0,"",INDEX(ExpDep,$L997)))</f>
        <v/>
      </c>
      <c r="H997" s="19">
        <f>IF($L997="","",IF(INDEX(ExpWit,$L997)=0,"",INDEX(ExpWit,$L997)))</f>
        <v/>
      </c>
      <c r="I997" s="20">
        <f>IF($B997="","",IF($I996="",0,$I996)+IF($H997="",0,$H997)-IF($G997="",0,$G997))</f>
        <v/>
      </c>
      <c r="J997" s="18">
        <f>IF($L997="","",IF(INDEX(ExpNote,$L997)="","—",INDEX(ExpNote,$L997)))</f>
        <v/>
      </c>
      <c r="L997">
        <f>IFERROR(MATCH($C$5&amp;"|"&amp;RIGHT("000000"&amp;981,6),ExpRankKey,0),"")</f>
        <v/>
      </c>
    </row>
    <row r="998">
      <c r="A998" s="21" t="n">
        <v>982</v>
      </c>
      <c r="B998" s="22">
        <f>IF($L998="","",INDEX(ExpNorm,$L998))</f>
        <v/>
      </c>
      <c r="C998" s="22">
        <f>IF($L998="","",IF(INDEX(ExpTime,$L998)="","—",LEFT(INDEX(ExpTime,$L998),2)&amp;":"&amp;RIGHT(INDEX(ExpTime,$L998),2)))</f>
        <v/>
      </c>
      <c r="D998" s="22">
        <f>IF($L998="","",IF(INDEX(ExpBank,$L998)="","—",INDEX(ExpBank,$L998)))</f>
        <v/>
      </c>
      <c r="E998" s="23">
        <f>IF($L998="","",IF(INDEX(ExpParty,$L998)="","—",IFERROR(VLOOKUP(INDEX(ExpParty,$L998),AcctTbl,4,0),INDEX(ExpParty,$L998))))</f>
        <v/>
      </c>
      <c r="F998" s="22">
        <f>IF($L998="","",IF(INDEX(ExpType,$L998)="","—",INDEX(ExpType,$L998)))</f>
        <v/>
      </c>
      <c r="G998" s="24">
        <f>IF($L998="","",IF(INDEX(ExpDep,$L998)=0,"",INDEX(ExpDep,$L998)))</f>
        <v/>
      </c>
      <c r="H998" s="24">
        <f>IF($L998="","",IF(INDEX(ExpWit,$L998)=0,"",INDEX(ExpWit,$L998)))</f>
        <v/>
      </c>
      <c r="I998" s="25">
        <f>IF($B998="","",IF($I997="",0,$I997)+IF($H998="",0,$H998)-IF($G998="",0,$G998))</f>
        <v/>
      </c>
      <c r="J998" s="23">
        <f>IF($L998="","",IF(INDEX(ExpNote,$L998)="","—",INDEX(ExpNote,$L998)))</f>
        <v/>
      </c>
      <c r="L998">
        <f>IFERROR(MATCH($C$5&amp;"|"&amp;RIGHT("000000"&amp;982,6),ExpRankKey,0),"")</f>
        <v/>
      </c>
    </row>
    <row r="999">
      <c r="A999" s="16" t="n">
        <v>983</v>
      </c>
      <c r="B999" s="17">
        <f>IF($L999="","",INDEX(ExpNorm,$L999))</f>
        <v/>
      </c>
      <c r="C999" s="17">
        <f>IF($L999="","",IF(INDEX(ExpTime,$L999)="","—",LEFT(INDEX(ExpTime,$L999),2)&amp;":"&amp;RIGHT(INDEX(ExpTime,$L999),2)))</f>
        <v/>
      </c>
      <c r="D999" s="17">
        <f>IF($L999="","",IF(INDEX(ExpBank,$L999)="","—",INDEX(ExpBank,$L999)))</f>
        <v/>
      </c>
      <c r="E999" s="18">
        <f>IF($L999="","",IF(INDEX(ExpParty,$L999)="","—",IFERROR(VLOOKUP(INDEX(ExpParty,$L999),AcctTbl,4,0),INDEX(ExpParty,$L999))))</f>
        <v/>
      </c>
      <c r="F999" s="17">
        <f>IF($L999="","",IF(INDEX(ExpType,$L999)="","—",INDEX(ExpType,$L999)))</f>
        <v/>
      </c>
      <c r="G999" s="19">
        <f>IF($L999="","",IF(INDEX(ExpDep,$L999)=0,"",INDEX(ExpDep,$L999)))</f>
        <v/>
      </c>
      <c r="H999" s="19">
        <f>IF($L999="","",IF(INDEX(ExpWit,$L999)=0,"",INDEX(ExpWit,$L999)))</f>
        <v/>
      </c>
      <c r="I999" s="20">
        <f>IF($B999="","",IF($I998="",0,$I998)+IF($H999="",0,$H999)-IF($G999="",0,$G999))</f>
        <v/>
      </c>
      <c r="J999" s="18">
        <f>IF($L999="","",IF(INDEX(ExpNote,$L999)="","—",INDEX(ExpNote,$L999)))</f>
        <v/>
      </c>
      <c r="L999">
        <f>IFERROR(MATCH($C$5&amp;"|"&amp;RIGHT("000000"&amp;983,6),ExpRankKey,0),"")</f>
        <v/>
      </c>
    </row>
    <row r="1000">
      <c r="A1000" s="21" t="n">
        <v>984</v>
      </c>
      <c r="B1000" s="22">
        <f>IF($L1000="","",INDEX(ExpNorm,$L1000))</f>
        <v/>
      </c>
      <c r="C1000" s="22">
        <f>IF($L1000="","",IF(INDEX(ExpTime,$L1000)="","—",LEFT(INDEX(ExpTime,$L1000),2)&amp;":"&amp;RIGHT(INDEX(ExpTime,$L1000),2)))</f>
        <v/>
      </c>
      <c r="D1000" s="22">
        <f>IF($L1000="","",IF(INDEX(ExpBank,$L1000)="","—",INDEX(ExpBank,$L1000)))</f>
        <v/>
      </c>
      <c r="E1000" s="23">
        <f>IF($L1000="","",IF(INDEX(ExpParty,$L1000)="","—",IFERROR(VLOOKUP(INDEX(ExpParty,$L1000),AcctTbl,4,0),INDEX(ExpParty,$L1000))))</f>
        <v/>
      </c>
      <c r="F1000" s="22">
        <f>IF($L1000="","",IF(INDEX(ExpType,$L1000)="","—",INDEX(ExpType,$L1000)))</f>
        <v/>
      </c>
      <c r="G1000" s="24">
        <f>IF($L1000="","",IF(INDEX(ExpDep,$L1000)=0,"",INDEX(ExpDep,$L1000)))</f>
        <v/>
      </c>
      <c r="H1000" s="24">
        <f>IF($L1000="","",IF(INDEX(ExpWit,$L1000)=0,"",INDEX(ExpWit,$L1000)))</f>
        <v/>
      </c>
      <c r="I1000" s="25">
        <f>IF($B1000="","",IF($I999="",0,$I999)+IF($H1000="",0,$H1000)-IF($G1000="",0,$G1000))</f>
        <v/>
      </c>
      <c r="J1000" s="23">
        <f>IF($L1000="","",IF(INDEX(ExpNote,$L1000)="","—",INDEX(ExpNote,$L1000)))</f>
        <v/>
      </c>
      <c r="L1000">
        <f>IFERROR(MATCH($C$5&amp;"|"&amp;RIGHT("000000"&amp;984,6),ExpRankKey,0),"")</f>
        <v/>
      </c>
    </row>
    <row r="1001">
      <c r="A1001" s="16" t="n">
        <v>985</v>
      </c>
      <c r="B1001" s="17">
        <f>IF($L1001="","",INDEX(ExpNorm,$L1001))</f>
        <v/>
      </c>
      <c r="C1001" s="17">
        <f>IF($L1001="","",IF(INDEX(ExpTime,$L1001)="","—",LEFT(INDEX(ExpTime,$L1001),2)&amp;":"&amp;RIGHT(INDEX(ExpTime,$L1001),2)))</f>
        <v/>
      </c>
      <c r="D1001" s="17">
        <f>IF($L1001="","",IF(INDEX(ExpBank,$L1001)="","—",INDEX(ExpBank,$L1001)))</f>
        <v/>
      </c>
      <c r="E1001" s="18">
        <f>IF($L1001="","",IF(INDEX(ExpParty,$L1001)="","—",IFERROR(VLOOKUP(INDEX(ExpParty,$L1001),AcctTbl,4,0),INDEX(ExpParty,$L1001))))</f>
        <v/>
      </c>
      <c r="F1001" s="17">
        <f>IF($L1001="","",IF(INDEX(ExpType,$L1001)="","—",INDEX(ExpType,$L1001)))</f>
        <v/>
      </c>
      <c r="G1001" s="19">
        <f>IF($L1001="","",IF(INDEX(ExpDep,$L1001)=0,"",INDEX(ExpDep,$L1001)))</f>
        <v/>
      </c>
      <c r="H1001" s="19">
        <f>IF($L1001="","",IF(INDEX(ExpWit,$L1001)=0,"",INDEX(ExpWit,$L1001)))</f>
        <v/>
      </c>
      <c r="I1001" s="20">
        <f>IF($B1001="","",IF($I1000="",0,$I1000)+IF($H1001="",0,$H1001)-IF($G1001="",0,$G1001))</f>
        <v/>
      </c>
      <c r="J1001" s="18">
        <f>IF($L1001="","",IF(INDEX(ExpNote,$L1001)="","—",INDEX(ExpNote,$L1001)))</f>
        <v/>
      </c>
      <c r="L1001">
        <f>IFERROR(MATCH($C$5&amp;"|"&amp;RIGHT("000000"&amp;985,6),ExpRankKey,0),"")</f>
        <v/>
      </c>
    </row>
    <row r="1002">
      <c r="A1002" s="21" t="n">
        <v>986</v>
      </c>
      <c r="B1002" s="22">
        <f>IF($L1002="","",INDEX(ExpNorm,$L1002))</f>
        <v/>
      </c>
      <c r="C1002" s="22">
        <f>IF($L1002="","",IF(INDEX(ExpTime,$L1002)="","—",LEFT(INDEX(ExpTime,$L1002),2)&amp;":"&amp;RIGHT(INDEX(ExpTime,$L1002),2)))</f>
        <v/>
      </c>
      <c r="D1002" s="22">
        <f>IF($L1002="","",IF(INDEX(ExpBank,$L1002)="","—",INDEX(ExpBank,$L1002)))</f>
        <v/>
      </c>
      <c r="E1002" s="23">
        <f>IF($L1002="","",IF(INDEX(ExpParty,$L1002)="","—",IFERROR(VLOOKUP(INDEX(ExpParty,$L1002),AcctTbl,4,0),INDEX(ExpParty,$L1002))))</f>
        <v/>
      </c>
      <c r="F1002" s="22">
        <f>IF($L1002="","",IF(INDEX(ExpType,$L1002)="","—",INDEX(ExpType,$L1002)))</f>
        <v/>
      </c>
      <c r="G1002" s="24">
        <f>IF($L1002="","",IF(INDEX(ExpDep,$L1002)=0,"",INDEX(ExpDep,$L1002)))</f>
        <v/>
      </c>
      <c r="H1002" s="24">
        <f>IF($L1002="","",IF(INDEX(ExpWit,$L1002)=0,"",INDEX(ExpWit,$L1002)))</f>
        <v/>
      </c>
      <c r="I1002" s="25">
        <f>IF($B1002="","",IF($I1001="",0,$I1001)+IF($H1002="",0,$H1002)-IF($G1002="",0,$G1002))</f>
        <v/>
      </c>
      <c r="J1002" s="23">
        <f>IF($L1002="","",IF(INDEX(ExpNote,$L1002)="","—",INDEX(ExpNote,$L1002)))</f>
        <v/>
      </c>
      <c r="L1002">
        <f>IFERROR(MATCH($C$5&amp;"|"&amp;RIGHT("000000"&amp;986,6),ExpRankKey,0),"")</f>
        <v/>
      </c>
    </row>
    <row r="1003">
      <c r="A1003" s="16" t="n">
        <v>987</v>
      </c>
      <c r="B1003" s="17">
        <f>IF($L1003="","",INDEX(ExpNorm,$L1003))</f>
        <v/>
      </c>
      <c r="C1003" s="17">
        <f>IF($L1003="","",IF(INDEX(ExpTime,$L1003)="","—",LEFT(INDEX(ExpTime,$L1003),2)&amp;":"&amp;RIGHT(INDEX(ExpTime,$L1003),2)))</f>
        <v/>
      </c>
      <c r="D1003" s="17">
        <f>IF($L1003="","",IF(INDEX(ExpBank,$L1003)="","—",INDEX(ExpBank,$L1003)))</f>
        <v/>
      </c>
      <c r="E1003" s="18">
        <f>IF($L1003="","",IF(INDEX(ExpParty,$L1003)="","—",IFERROR(VLOOKUP(INDEX(ExpParty,$L1003),AcctTbl,4,0),INDEX(ExpParty,$L1003))))</f>
        <v/>
      </c>
      <c r="F1003" s="17">
        <f>IF($L1003="","",IF(INDEX(ExpType,$L1003)="","—",INDEX(ExpType,$L1003)))</f>
        <v/>
      </c>
      <c r="G1003" s="19">
        <f>IF($L1003="","",IF(INDEX(ExpDep,$L1003)=0,"",INDEX(ExpDep,$L1003)))</f>
        <v/>
      </c>
      <c r="H1003" s="19">
        <f>IF($L1003="","",IF(INDEX(ExpWit,$L1003)=0,"",INDEX(ExpWit,$L1003)))</f>
        <v/>
      </c>
      <c r="I1003" s="20">
        <f>IF($B1003="","",IF($I1002="",0,$I1002)+IF($H1003="",0,$H1003)-IF($G1003="",0,$G1003))</f>
        <v/>
      </c>
      <c r="J1003" s="18">
        <f>IF($L1003="","",IF(INDEX(ExpNote,$L1003)="","—",INDEX(ExpNote,$L1003)))</f>
        <v/>
      </c>
      <c r="L1003">
        <f>IFERROR(MATCH($C$5&amp;"|"&amp;RIGHT("000000"&amp;987,6),ExpRankKey,0),"")</f>
        <v/>
      </c>
    </row>
    <row r="1004">
      <c r="A1004" s="21" t="n">
        <v>988</v>
      </c>
      <c r="B1004" s="22">
        <f>IF($L1004="","",INDEX(ExpNorm,$L1004))</f>
        <v/>
      </c>
      <c r="C1004" s="22">
        <f>IF($L1004="","",IF(INDEX(ExpTime,$L1004)="","—",LEFT(INDEX(ExpTime,$L1004),2)&amp;":"&amp;RIGHT(INDEX(ExpTime,$L1004),2)))</f>
        <v/>
      </c>
      <c r="D1004" s="22">
        <f>IF($L1004="","",IF(INDEX(ExpBank,$L1004)="","—",INDEX(ExpBank,$L1004)))</f>
        <v/>
      </c>
      <c r="E1004" s="23">
        <f>IF($L1004="","",IF(INDEX(ExpParty,$L1004)="","—",IFERROR(VLOOKUP(INDEX(ExpParty,$L1004),AcctTbl,4,0),INDEX(ExpParty,$L1004))))</f>
        <v/>
      </c>
      <c r="F1004" s="22">
        <f>IF($L1004="","",IF(INDEX(ExpType,$L1004)="","—",INDEX(ExpType,$L1004)))</f>
        <v/>
      </c>
      <c r="G1004" s="24">
        <f>IF($L1004="","",IF(INDEX(ExpDep,$L1004)=0,"",INDEX(ExpDep,$L1004)))</f>
        <v/>
      </c>
      <c r="H1004" s="24">
        <f>IF($L1004="","",IF(INDEX(ExpWit,$L1004)=0,"",INDEX(ExpWit,$L1004)))</f>
        <v/>
      </c>
      <c r="I1004" s="25">
        <f>IF($B1004="","",IF($I1003="",0,$I1003)+IF($H1004="",0,$H1004)-IF($G1004="",0,$G1004))</f>
        <v/>
      </c>
      <c r="J1004" s="23">
        <f>IF($L1004="","",IF(INDEX(ExpNote,$L1004)="","—",INDEX(ExpNote,$L1004)))</f>
        <v/>
      </c>
      <c r="L1004">
        <f>IFERROR(MATCH($C$5&amp;"|"&amp;RIGHT("000000"&amp;988,6),ExpRankKey,0),"")</f>
        <v/>
      </c>
    </row>
    <row r="1005">
      <c r="A1005" s="16" t="n">
        <v>989</v>
      </c>
      <c r="B1005" s="17">
        <f>IF($L1005="","",INDEX(ExpNorm,$L1005))</f>
        <v/>
      </c>
      <c r="C1005" s="17">
        <f>IF($L1005="","",IF(INDEX(ExpTime,$L1005)="","—",LEFT(INDEX(ExpTime,$L1005),2)&amp;":"&amp;RIGHT(INDEX(ExpTime,$L1005),2)))</f>
        <v/>
      </c>
      <c r="D1005" s="17">
        <f>IF($L1005="","",IF(INDEX(ExpBank,$L1005)="","—",INDEX(ExpBank,$L1005)))</f>
        <v/>
      </c>
      <c r="E1005" s="18">
        <f>IF($L1005="","",IF(INDEX(ExpParty,$L1005)="","—",IFERROR(VLOOKUP(INDEX(ExpParty,$L1005),AcctTbl,4,0),INDEX(ExpParty,$L1005))))</f>
        <v/>
      </c>
      <c r="F1005" s="17">
        <f>IF($L1005="","",IF(INDEX(ExpType,$L1005)="","—",INDEX(ExpType,$L1005)))</f>
        <v/>
      </c>
      <c r="G1005" s="19">
        <f>IF($L1005="","",IF(INDEX(ExpDep,$L1005)=0,"",INDEX(ExpDep,$L1005)))</f>
        <v/>
      </c>
      <c r="H1005" s="19">
        <f>IF($L1005="","",IF(INDEX(ExpWit,$L1005)=0,"",INDEX(ExpWit,$L1005)))</f>
        <v/>
      </c>
      <c r="I1005" s="20">
        <f>IF($B1005="","",IF($I1004="",0,$I1004)+IF($H1005="",0,$H1005)-IF($G1005="",0,$G1005))</f>
        <v/>
      </c>
      <c r="J1005" s="18">
        <f>IF($L1005="","",IF(INDEX(ExpNote,$L1005)="","—",INDEX(ExpNote,$L1005)))</f>
        <v/>
      </c>
      <c r="L1005">
        <f>IFERROR(MATCH($C$5&amp;"|"&amp;RIGHT("000000"&amp;989,6),ExpRankKey,0),"")</f>
        <v/>
      </c>
    </row>
    <row r="1006">
      <c r="A1006" s="21" t="n">
        <v>990</v>
      </c>
      <c r="B1006" s="22">
        <f>IF($L1006="","",INDEX(ExpNorm,$L1006))</f>
        <v/>
      </c>
      <c r="C1006" s="22">
        <f>IF($L1006="","",IF(INDEX(ExpTime,$L1006)="","—",LEFT(INDEX(ExpTime,$L1006),2)&amp;":"&amp;RIGHT(INDEX(ExpTime,$L1006),2)))</f>
        <v/>
      </c>
      <c r="D1006" s="22">
        <f>IF($L1006="","",IF(INDEX(ExpBank,$L1006)="","—",INDEX(ExpBank,$L1006)))</f>
        <v/>
      </c>
      <c r="E1006" s="23">
        <f>IF($L1006="","",IF(INDEX(ExpParty,$L1006)="","—",IFERROR(VLOOKUP(INDEX(ExpParty,$L1006),AcctTbl,4,0),INDEX(ExpParty,$L1006))))</f>
        <v/>
      </c>
      <c r="F1006" s="22">
        <f>IF($L1006="","",IF(INDEX(ExpType,$L1006)="","—",INDEX(ExpType,$L1006)))</f>
        <v/>
      </c>
      <c r="G1006" s="24">
        <f>IF($L1006="","",IF(INDEX(ExpDep,$L1006)=0,"",INDEX(ExpDep,$L1006)))</f>
        <v/>
      </c>
      <c r="H1006" s="24">
        <f>IF($L1006="","",IF(INDEX(ExpWit,$L1006)=0,"",INDEX(ExpWit,$L1006)))</f>
        <v/>
      </c>
      <c r="I1006" s="25">
        <f>IF($B1006="","",IF($I1005="",0,$I1005)+IF($H1006="",0,$H1006)-IF($G1006="",0,$G1006))</f>
        <v/>
      </c>
      <c r="J1006" s="23">
        <f>IF($L1006="","",IF(INDEX(ExpNote,$L1006)="","—",INDEX(ExpNote,$L1006)))</f>
        <v/>
      </c>
      <c r="L1006">
        <f>IFERROR(MATCH($C$5&amp;"|"&amp;RIGHT("000000"&amp;990,6),ExpRankKey,0),"")</f>
        <v/>
      </c>
    </row>
    <row r="1007">
      <c r="A1007" s="16" t="n">
        <v>991</v>
      </c>
      <c r="B1007" s="17">
        <f>IF($L1007="","",INDEX(ExpNorm,$L1007))</f>
        <v/>
      </c>
      <c r="C1007" s="17">
        <f>IF($L1007="","",IF(INDEX(ExpTime,$L1007)="","—",LEFT(INDEX(ExpTime,$L1007),2)&amp;":"&amp;RIGHT(INDEX(ExpTime,$L1007),2)))</f>
        <v/>
      </c>
      <c r="D1007" s="17">
        <f>IF($L1007="","",IF(INDEX(ExpBank,$L1007)="","—",INDEX(ExpBank,$L1007)))</f>
        <v/>
      </c>
      <c r="E1007" s="18">
        <f>IF($L1007="","",IF(INDEX(ExpParty,$L1007)="","—",IFERROR(VLOOKUP(INDEX(ExpParty,$L1007),AcctTbl,4,0),INDEX(ExpParty,$L1007))))</f>
        <v/>
      </c>
      <c r="F1007" s="17">
        <f>IF($L1007="","",IF(INDEX(ExpType,$L1007)="","—",INDEX(ExpType,$L1007)))</f>
        <v/>
      </c>
      <c r="G1007" s="19">
        <f>IF($L1007="","",IF(INDEX(ExpDep,$L1007)=0,"",INDEX(ExpDep,$L1007)))</f>
        <v/>
      </c>
      <c r="H1007" s="19">
        <f>IF($L1007="","",IF(INDEX(ExpWit,$L1007)=0,"",INDEX(ExpWit,$L1007)))</f>
        <v/>
      </c>
      <c r="I1007" s="20">
        <f>IF($B1007="","",IF($I1006="",0,$I1006)+IF($H1007="",0,$H1007)-IF($G1007="",0,$G1007))</f>
        <v/>
      </c>
      <c r="J1007" s="18">
        <f>IF($L1007="","",IF(INDEX(ExpNote,$L1007)="","—",INDEX(ExpNote,$L1007)))</f>
        <v/>
      </c>
      <c r="L1007">
        <f>IFERROR(MATCH($C$5&amp;"|"&amp;RIGHT("000000"&amp;991,6),ExpRankKey,0),"")</f>
        <v/>
      </c>
    </row>
    <row r="1008">
      <c r="A1008" s="21" t="n">
        <v>992</v>
      </c>
      <c r="B1008" s="22">
        <f>IF($L1008="","",INDEX(ExpNorm,$L1008))</f>
        <v/>
      </c>
      <c r="C1008" s="22">
        <f>IF($L1008="","",IF(INDEX(ExpTime,$L1008)="","—",LEFT(INDEX(ExpTime,$L1008),2)&amp;":"&amp;RIGHT(INDEX(ExpTime,$L1008),2)))</f>
        <v/>
      </c>
      <c r="D1008" s="22">
        <f>IF($L1008="","",IF(INDEX(ExpBank,$L1008)="","—",INDEX(ExpBank,$L1008)))</f>
        <v/>
      </c>
      <c r="E1008" s="23">
        <f>IF($L1008="","",IF(INDEX(ExpParty,$L1008)="","—",IFERROR(VLOOKUP(INDEX(ExpParty,$L1008),AcctTbl,4,0),INDEX(ExpParty,$L1008))))</f>
        <v/>
      </c>
      <c r="F1008" s="22">
        <f>IF($L1008="","",IF(INDEX(ExpType,$L1008)="","—",INDEX(ExpType,$L1008)))</f>
        <v/>
      </c>
      <c r="G1008" s="24">
        <f>IF($L1008="","",IF(INDEX(ExpDep,$L1008)=0,"",INDEX(ExpDep,$L1008)))</f>
        <v/>
      </c>
      <c r="H1008" s="24">
        <f>IF($L1008="","",IF(INDEX(ExpWit,$L1008)=0,"",INDEX(ExpWit,$L1008)))</f>
        <v/>
      </c>
      <c r="I1008" s="25">
        <f>IF($B1008="","",IF($I1007="",0,$I1007)+IF($H1008="",0,$H1008)-IF($G1008="",0,$G1008))</f>
        <v/>
      </c>
      <c r="J1008" s="23">
        <f>IF($L1008="","",IF(INDEX(ExpNote,$L1008)="","—",INDEX(ExpNote,$L1008)))</f>
        <v/>
      </c>
      <c r="L1008">
        <f>IFERROR(MATCH($C$5&amp;"|"&amp;RIGHT("000000"&amp;992,6),ExpRankKey,0),"")</f>
        <v/>
      </c>
    </row>
    <row r="1009">
      <c r="A1009" s="16" t="n">
        <v>993</v>
      </c>
      <c r="B1009" s="17">
        <f>IF($L1009="","",INDEX(ExpNorm,$L1009))</f>
        <v/>
      </c>
      <c r="C1009" s="17">
        <f>IF($L1009="","",IF(INDEX(ExpTime,$L1009)="","—",LEFT(INDEX(ExpTime,$L1009),2)&amp;":"&amp;RIGHT(INDEX(ExpTime,$L1009),2)))</f>
        <v/>
      </c>
      <c r="D1009" s="17">
        <f>IF($L1009="","",IF(INDEX(ExpBank,$L1009)="","—",INDEX(ExpBank,$L1009)))</f>
        <v/>
      </c>
      <c r="E1009" s="18">
        <f>IF($L1009="","",IF(INDEX(ExpParty,$L1009)="","—",IFERROR(VLOOKUP(INDEX(ExpParty,$L1009),AcctTbl,4,0),INDEX(ExpParty,$L1009))))</f>
        <v/>
      </c>
      <c r="F1009" s="17">
        <f>IF($L1009="","",IF(INDEX(ExpType,$L1009)="","—",INDEX(ExpType,$L1009)))</f>
        <v/>
      </c>
      <c r="G1009" s="19">
        <f>IF($L1009="","",IF(INDEX(ExpDep,$L1009)=0,"",INDEX(ExpDep,$L1009)))</f>
        <v/>
      </c>
      <c r="H1009" s="19">
        <f>IF($L1009="","",IF(INDEX(ExpWit,$L1009)=0,"",INDEX(ExpWit,$L1009)))</f>
        <v/>
      </c>
      <c r="I1009" s="20">
        <f>IF($B1009="","",IF($I1008="",0,$I1008)+IF($H1009="",0,$H1009)-IF($G1009="",0,$G1009))</f>
        <v/>
      </c>
      <c r="J1009" s="18">
        <f>IF($L1009="","",IF(INDEX(ExpNote,$L1009)="","—",INDEX(ExpNote,$L1009)))</f>
        <v/>
      </c>
      <c r="L1009">
        <f>IFERROR(MATCH($C$5&amp;"|"&amp;RIGHT("000000"&amp;993,6),ExpRankKey,0),"")</f>
        <v/>
      </c>
    </row>
    <row r="1010">
      <c r="A1010" s="21" t="n">
        <v>994</v>
      </c>
      <c r="B1010" s="22">
        <f>IF($L1010="","",INDEX(ExpNorm,$L1010))</f>
        <v/>
      </c>
      <c r="C1010" s="22">
        <f>IF($L1010="","",IF(INDEX(ExpTime,$L1010)="","—",LEFT(INDEX(ExpTime,$L1010),2)&amp;":"&amp;RIGHT(INDEX(ExpTime,$L1010),2)))</f>
        <v/>
      </c>
      <c r="D1010" s="22">
        <f>IF($L1010="","",IF(INDEX(ExpBank,$L1010)="","—",INDEX(ExpBank,$L1010)))</f>
        <v/>
      </c>
      <c r="E1010" s="23">
        <f>IF($L1010="","",IF(INDEX(ExpParty,$L1010)="","—",IFERROR(VLOOKUP(INDEX(ExpParty,$L1010),AcctTbl,4,0),INDEX(ExpParty,$L1010))))</f>
        <v/>
      </c>
      <c r="F1010" s="22">
        <f>IF($L1010="","",IF(INDEX(ExpType,$L1010)="","—",INDEX(ExpType,$L1010)))</f>
        <v/>
      </c>
      <c r="G1010" s="24">
        <f>IF($L1010="","",IF(INDEX(ExpDep,$L1010)=0,"",INDEX(ExpDep,$L1010)))</f>
        <v/>
      </c>
      <c r="H1010" s="24">
        <f>IF($L1010="","",IF(INDEX(ExpWit,$L1010)=0,"",INDEX(ExpWit,$L1010)))</f>
        <v/>
      </c>
      <c r="I1010" s="25">
        <f>IF($B1010="","",IF($I1009="",0,$I1009)+IF($H1010="",0,$H1010)-IF($G1010="",0,$G1010))</f>
        <v/>
      </c>
      <c r="J1010" s="23">
        <f>IF($L1010="","",IF(INDEX(ExpNote,$L1010)="","—",INDEX(ExpNote,$L1010)))</f>
        <v/>
      </c>
      <c r="L1010">
        <f>IFERROR(MATCH($C$5&amp;"|"&amp;RIGHT("000000"&amp;994,6),ExpRankKey,0),"")</f>
        <v/>
      </c>
    </row>
    <row r="1011">
      <c r="A1011" s="16" t="n">
        <v>995</v>
      </c>
      <c r="B1011" s="17">
        <f>IF($L1011="","",INDEX(ExpNorm,$L1011))</f>
        <v/>
      </c>
      <c r="C1011" s="17">
        <f>IF($L1011="","",IF(INDEX(ExpTime,$L1011)="","—",LEFT(INDEX(ExpTime,$L1011),2)&amp;":"&amp;RIGHT(INDEX(ExpTime,$L1011),2)))</f>
        <v/>
      </c>
      <c r="D1011" s="17">
        <f>IF($L1011="","",IF(INDEX(ExpBank,$L1011)="","—",INDEX(ExpBank,$L1011)))</f>
        <v/>
      </c>
      <c r="E1011" s="18">
        <f>IF($L1011="","",IF(INDEX(ExpParty,$L1011)="","—",IFERROR(VLOOKUP(INDEX(ExpParty,$L1011),AcctTbl,4,0),INDEX(ExpParty,$L1011))))</f>
        <v/>
      </c>
      <c r="F1011" s="17">
        <f>IF($L1011="","",IF(INDEX(ExpType,$L1011)="","—",INDEX(ExpType,$L1011)))</f>
        <v/>
      </c>
      <c r="G1011" s="19">
        <f>IF($L1011="","",IF(INDEX(ExpDep,$L1011)=0,"",INDEX(ExpDep,$L1011)))</f>
        <v/>
      </c>
      <c r="H1011" s="19">
        <f>IF($L1011="","",IF(INDEX(ExpWit,$L1011)=0,"",INDEX(ExpWit,$L1011)))</f>
        <v/>
      </c>
      <c r="I1011" s="20">
        <f>IF($B1011="","",IF($I1010="",0,$I1010)+IF($H1011="",0,$H1011)-IF($G1011="",0,$G1011))</f>
        <v/>
      </c>
      <c r="J1011" s="18">
        <f>IF($L1011="","",IF(INDEX(ExpNote,$L1011)="","—",INDEX(ExpNote,$L1011)))</f>
        <v/>
      </c>
      <c r="L1011">
        <f>IFERROR(MATCH($C$5&amp;"|"&amp;RIGHT("000000"&amp;995,6),ExpRankKey,0),"")</f>
        <v/>
      </c>
    </row>
    <row r="1012">
      <c r="A1012" s="21" t="n">
        <v>996</v>
      </c>
      <c r="B1012" s="22">
        <f>IF($L1012="","",INDEX(ExpNorm,$L1012))</f>
        <v/>
      </c>
      <c r="C1012" s="22">
        <f>IF($L1012="","",IF(INDEX(ExpTime,$L1012)="","—",LEFT(INDEX(ExpTime,$L1012),2)&amp;":"&amp;RIGHT(INDEX(ExpTime,$L1012),2)))</f>
        <v/>
      </c>
      <c r="D1012" s="22">
        <f>IF($L1012="","",IF(INDEX(ExpBank,$L1012)="","—",INDEX(ExpBank,$L1012)))</f>
        <v/>
      </c>
      <c r="E1012" s="23">
        <f>IF($L1012="","",IF(INDEX(ExpParty,$L1012)="","—",IFERROR(VLOOKUP(INDEX(ExpParty,$L1012),AcctTbl,4,0),INDEX(ExpParty,$L1012))))</f>
        <v/>
      </c>
      <c r="F1012" s="22">
        <f>IF($L1012="","",IF(INDEX(ExpType,$L1012)="","—",INDEX(ExpType,$L1012)))</f>
        <v/>
      </c>
      <c r="G1012" s="24">
        <f>IF($L1012="","",IF(INDEX(ExpDep,$L1012)=0,"",INDEX(ExpDep,$L1012)))</f>
        <v/>
      </c>
      <c r="H1012" s="24">
        <f>IF($L1012="","",IF(INDEX(ExpWit,$L1012)=0,"",INDEX(ExpWit,$L1012)))</f>
        <v/>
      </c>
      <c r="I1012" s="25">
        <f>IF($B1012="","",IF($I1011="",0,$I1011)+IF($H1012="",0,$H1012)-IF($G1012="",0,$G1012))</f>
        <v/>
      </c>
      <c r="J1012" s="23">
        <f>IF($L1012="","",IF(INDEX(ExpNote,$L1012)="","—",INDEX(ExpNote,$L1012)))</f>
        <v/>
      </c>
      <c r="L1012">
        <f>IFERROR(MATCH($C$5&amp;"|"&amp;RIGHT("000000"&amp;996,6),ExpRankKey,0),"")</f>
        <v/>
      </c>
    </row>
    <row r="1013">
      <c r="A1013" s="16" t="n">
        <v>997</v>
      </c>
      <c r="B1013" s="17">
        <f>IF($L1013="","",INDEX(ExpNorm,$L1013))</f>
        <v/>
      </c>
      <c r="C1013" s="17">
        <f>IF($L1013="","",IF(INDEX(ExpTime,$L1013)="","—",LEFT(INDEX(ExpTime,$L1013),2)&amp;":"&amp;RIGHT(INDEX(ExpTime,$L1013),2)))</f>
        <v/>
      </c>
      <c r="D1013" s="17">
        <f>IF($L1013="","",IF(INDEX(ExpBank,$L1013)="","—",INDEX(ExpBank,$L1013)))</f>
        <v/>
      </c>
      <c r="E1013" s="18">
        <f>IF($L1013="","",IF(INDEX(ExpParty,$L1013)="","—",IFERROR(VLOOKUP(INDEX(ExpParty,$L1013),AcctTbl,4,0),INDEX(ExpParty,$L1013))))</f>
        <v/>
      </c>
      <c r="F1013" s="17">
        <f>IF($L1013="","",IF(INDEX(ExpType,$L1013)="","—",INDEX(ExpType,$L1013)))</f>
        <v/>
      </c>
      <c r="G1013" s="19">
        <f>IF($L1013="","",IF(INDEX(ExpDep,$L1013)=0,"",INDEX(ExpDep,$L1013)))</f>
        <v/>
      </c>
      <c r="H1013" s="19">
        <f>IF($L1013="","",IF(INDEX(ExpWit,$L1013)=0,"",INDEX(ExpWit,$L1013)))</f>
        <v/>
      </c>
      <c r="I1013" s="20">
        <f>IF($B1013="","",IF($I1012="",0,$I1012)+IF($H1013="",0,$H1013)-IF($G1013="",0,$G1013))</f>
        <v/>
      </c>
      <c r="J1013" s="18">
        <f>IF($L1013="","",IF(INDEX(ExpNote,$L1013)="","—",INDEX(ExpNote,$L1013)))</f>
        <v/>
      </c>
      <c r="L1013">
        <f>IFERROR(MATCH($C$5&amp;"|"&amp;RIGHT("000000"&amp;997,6),ExpRankKey,0),"")</f>
        <v/>
      </c>
    </row>
    <row r="1014">
      <c r="A1014" s="21" t="n">
        <v>998</v>
      </c>
      <c r="B1014" s="22">
        <f>IF($L1014="","",INDEX(ExpNorm,$L1014))</f>
        <v/>
      </c>
      <c r="C1014" s="22">
        <f>IF($L1014="","",IF(INDEX(ExpTime,$L1014)="","—",LEFT(INDEX(ExpTime,$L1014),2)&amp;":"&amp;RIGHT(INDEX(ExpTime,$L1014),2)))</f>
        <v/>
      </c>
      <c r="D1014" s="22">
        <f>IF($L1014="","",IF(INDEX(ExpBank,$L1014)="","—",INDEX(ExpBank,$L1014)))</f>
        <v/>
      </c>
      <c r="E1014" s="23">
        <f>IF($L1014="","",IF(INDEX(ExpParty,$L1014)="","—",IFERROR(VLOOKUP(INDEX(ExpParty,$L1014),AcctTbl,4,0),INDEX(ExpParty,$L1014))))</f>
        <v/>
      </c>
      <c r="F1014" s="22">
        <f>IF($L1014="","",IF(INDEX(ExpType,$L1014)="","—",INDEX(ExpType,$L1014)))</f>
        <v/>
      </c>
      <c r="G1014" s="24">
        <f>IF($L1014="","",IF(INDEX(ExpDep,$L1014)=0,"",INDEX(ExpDep,$L1014)))</f>
        <v/>
      </c>
      <c r="H1014" s="24">
        <f>IF($L1014="","",IF(INDEX(ExpWit,$L1014)=0,"",INDEX(ExpWit,$L1014)))</f>
        <v/>
      </c>
      <c r="I1014" s="25">
        <f>IF($B1014="","",IF($I1013="",0,$I1013)+IF($H1014="",0,$H1014)-IF($G1014="",0,$G1014))</f>
        <v/>
      </c>
      <c r="J1014" s="23">
        <f>IF($L1014="","",IF(INDEX(ExpNote,$L1014)="","—",INDEX(ExpNote,$L1014)))</f>
        <v/>
      </c>
      <c r="L1014">
        <f>IFERROR(MATCH($C$5&amp;"|"&amp;RIGHT("000000"&amp;998,6),ExpRankKey,0),"")</f>
        <v/>
      </c>
    </row>
    <row r="1015">
      <c r="A1015" s="16" t="n">
        <v>999</v>
      </c>
      <c r="B1015" s="17">
        <f>IF($L1015="","",INDEX(ExpNorm,$L1015))</f>
        <v/>
      </c>
      <c r="C1015" s="17">
        <f>IF($L1015="","",IF(INDEX(ExpTime,$L1015)="","—",LEFT(INDEX(ExpTime,$L1015),2)&amp;":"&amp;RIGHT(INDEX(ExpTime,$L1015),2)))</f>
        <v/>
      </c>
      <c r="D1015" s="17">
        <f>IF($L1015="","",IF(INDEX(ExpBank,$L1015)="","—",INDEX(ExpBank,$L1015)))</f>
        <v/>
      </c>
      <c r="E1015" s="18">
        <f>IF($L1015="","",IF(INDEX(ExpParty,$L1015)="","—",IFERROR(VLOOKUP(INDEX(ExpParty,$L1015),AcctTbl,4,0),INDEX(ExpParty,$L1015))))</f>
        <v/>
      </c>
      <c r="F1015" s="17">
        <f>IF($L1015="","",IF(INDEX(ExpType,$L1015)="","—",INDEX(ExpType,$L1015)))</f>
        <v/>
      </c>
      <c r="G1015" s="19">
        <f>IF($L1015="","",IF(INDEX(ExpDep,$L1015)=0,"",INDEX(ExpDep,$L1015)))</f>
        <v/>
      </c>
      <c r="H1015" s="19">
        <f>IF($L1015="","",IF(INDEX(ExpWit,$L1015)=0,"",INDEX(ExpWit,$L1015)))</f>
        <v/>
      </c>
      <c r="I1015" s="20">
        <f>IF($B1015="","",IF($I1014="",0,$I1014)+IF($H1015="",0,$H1015)-IF($G1015="",0,$G1015))</f>
        <v/>
      </c>
      <c r="J1015" s="18">
        <f>IF($L1015="","",IF(INDEX(ExpNote,$L1015)="","—",INDEX(ExpNote,$L1015)))</f>
        <v/>
      </c>
      <c r="L1015">
        <f>IFERROR(MATCH($C$5&amp;"|"&amp;RIGHT("000000"&amp;999,6),ExpRankKey,0),"")</f>
        <v/>
      </c>
    </row>
    <row r="1016">
      <c r="A1016" s="21" t="n">
        <v>1000</v>
      </c>
      <c r="B1016" s="22">
        <f>IF($L1016="","",INDEX(ExpNorm,$L1016))</f>
        <v/>
      </c>
      <c r="C1016" s="22">
        <f>IF($L1016="","",IF(INDEX(ExpTime,$L1016)="","—",LEFT(INDEX(ExpTime,$L1016),2)&amp;":"&amp;RIGHT(INDEX(ExpTime,$L1016),2)))</f>
        <v/>
      </c>
      <c r="D1016" s="22">
        <f>IF($L1016="","",IF(INDEX(ExpBank,$L1016)="","—",INDEX(ExpBank,$L1016)))</f>
        <v/>
      </c>
      <c r="E1016" s="23">
        <f>IF($L1016="","",IF(INDEX(ExpParty,$L1016)="","—",IFERROR(VLOOKUP(INDEX(ExpParty,$L1016),AcctTbl,4,0),INDEX(ExpParty,$L1016))))</f>
        <v/>
      </c>
      <c r="F1016" s="22">
        <f>IF($L1016="","",IF(INDEX(ExpType,$L1016)="","—",INDEX(ExpType,$L1016)))</f>
        <v/>
      </c>
      <c r="G1016" s="24">
        <f>IF($L1016="","",IF(INDEX(ExpDep,$L1016)=0,"",INDEX(ExpDep,$L1016)))</f>
        <v/>
      </c>
      <c r="H1016" s="24">
        <f>IF($L1016="","",IF(INDEX(ExpWit,$L1016)=0,"",INDEX(ExpWit,$L1016)))</f>
        <v/>
      </c>
      <c r="I1016" s="25">
        <f>IF($B1016="","",IF($I1015="",0,$I1015)+IF($H1016="",0,$H1016)-IF($G1016="",0,$G1016))</f>
        <v/>
      </c>
      <c r="J1016" s="23">
        <f>IF($L1016="","",IF(INDEX(ExpNote,$L1016)="","—",INDEX(ExpNote,$L1016)))</f>
        <v/>
      </c>
      <c r="L1016">
        <f>IFERROR(MATCH($C$5&amp;"|"&amp;RIGHT("000000"&amp;1000,6),ExpRankKey,0),"")</f>
        <v/>
      </c>
    </row>
    <row r="1017">
      <c r="A1017" s="16" t="n">
        <v>1001</v>
      </c>
      <c r="B1017" s="17">
        <f>IF($L1017="","",INDEX(ExpNorm,$L1017))</f>
        <v/>
      </c>
      <c r="C1017" s="17">
        <f>IF($L1017="","",IF(INDEX(ExpTime,$L1017)="","—",LEFT(INDEX(ExpTime,$L1017),2)&amp;":"&amp;RIGHT(INDEX(ExpTime,$L1017),2)))</f>
        <v/>
      </c>
      <c r="D1017" s="17">
        <f>IF($L1017="","",IF(INDEX(ExpBank,$L1017)="","—",INDEX(ExpBank,$L1017)))</f>
        <v/>
      </c>
      <c r="E1017" s="18">
        <f>IF($L1017="","",IF(INDEX(ExpParty,$L1017)="","—",IFERROR(VLOOKUP(INDEX(ExpParty,$L1017),AcctTbl,4,0),INDEX(ExpParty,$L1017))))</f>
        <v/>
      </c>
      <c r="F1017" s="17">
        <f>IF($L1017="","",IF(INDEX(ExpType,$L1017)="","—",INDEX(ExpType,$L1017)))</f>
        <v/>
      </c>
      <c r="G1017" s="19">
        <f>IF($L1017="","",IF(INDEX(ExpDep,$L1017)=0,"",INDEX(ExpDep,$L1017)))</f>
        <v/>
      </c>
      <c r="H1017" s="19">
        <f>IF($L1017="","",IF(INDEX(ExpWit,$L1017)=0,"",INDEX(ExpWit,$L1017)))</f>
        <v/>
      </c>
      <c r="I1017" s="20">
        <f>IF($B1017="","",IF($I1016="",0,$I1016)+IF($H1017="",0,$H1017)-IF($G1017="",0,$G1017))</f>
        <v/>
      </c>
      <c r="J1017" s="18">
        <f>IF($L1017="","",IF(INDEX(ExpNote,$L1017)="","—",INDEX(ExpNote,$L1017)))</f>
        <v/>
      </c>
      <c r="L1017">
        <f>IFERROR(MATCH($C$5&amp;"|"&amp;RIGHT("000000"&amp;1001,6),ExpRankKey,0),"")</f>
        <v/>
      </c>
    </row>
    <row r="1018">
      <c r="A1018" s="21" t="n">
        <v>1002</v>
      </c>
      <c r="B1018" s="22">
        <f>IF($L1018="","",INDEX(ExpNorm,$L1018))</f>
        <v/>
      </c>
      <c r="C1018" s="22">
        <f>IF($L1018="","",IF(INDEX(ExpTime,$L1018)="","—",LEFT(INDEX(ExpTime,$L1018),2)&amp;":"&amp;RIGHT(INDEX(ExpTime,$L1018),2)))</f>
        <v/>
      </c>
      <c r="D1018" s="22">
        <f>IF($L1018="","",IF(INDEX(ExpBank,$L1018)="","—",INDEX(ExpBank,$L1018)))</f>
        <v/>
      </c>
      <c r="E1018" s="23">
        <f>IF($L1018="","",IF(INDEX(ExpParty,$L1018)="","—",IFERROR(VLOOKUP(INDEX(ExpParty,$L1018),AcctTbl,4,0),INDEX(ExpParty,$L1018))))</f>
        <v/>
      </c>
      <c r="F1018" s="22">
        <f>IF($L1018="","",IF(INDEX(ExpType,$L1018)="","—",INDEX(ExpType,$L1018)))</f>
        <v/>
      </c>
      <c r="G1018" s="24">
        <f>IF($L1018="","",IF(INDEX(ExpDep,$L1018)=0,"",INDEX(ExpDep,$L1018)))</f>
        <v/>
      </c>
      <c r="H1018" s="24">
        <f>IF($L1018="","",IF(INDEX(ExpWit,$L1018)=0,"",INDEX(ExpWit,$L1018)))</f>
        <v/>
      </c>
      <c r="I1018" s="25">
        <f>IF($B1018="","",IF($I1017="",0,$I1017)+IF($H1018="",0,$H1018)-IF($G1018="",0,$G1018))</f>
        <v/>
      </c>
      <c r="J1018" s="23">
        <f>IF($L1018="","",IF(INDEX(ExpNote,$L1018)="","—",INDEX(ExpNote,$L1018)))</f>
        <v/>
      </c>
      <c r="L1018">
        <f>IFERROR(MATCH($C$5&amp;"|"&amp;RIGHT("000000"&amp;1002,6),ExpRankKey,0),"")</f>
        <v/>
      </c>
    </row>
    <row r="1019">
      <c r="A1019" s="16" t="n">
        <v>1003</v>
      </c>
      <c r="B1019" s="17">
        <f>IF($L1019="","",INDEX(ExpNorm,$L1019))</f>
        <v/>
      </c>
      <c r="C1019" s="17">
        <f>IF($L1019="","",IF(INDEX(ExpTime,$L1019)="","—",LEFT(INDEX(ExpTime,$L1019),2)&amp;":"&amp;RIGHT(INDEX(ExpTime,$L1019),2)))</f>
        <v/>
      </c>
      <c r="D1019" s="17">
        <f>IF($L1019="","",IF(INDEX(ExpBank,$L1019)="","—",INDEX(ExpBank,$L1019)))</f>
        <v/>
      </c>
      <c r="E1019" s="18">
        <f>IF($L1019="","",IF(INDEX(ExpParty,$L1019)="","—",IFERROR(VLOOKUP(INDEX(ExpParty,$L1019),AcctTbl,4,0),INDEX(ExpParty,$L1019))))</f>
        <v/>
      </c>
      <c r="F1019" s="17">
        <f>IF($L1019="","",IF(INDEX(ExpType,$L1019)="","—",INDEX(ExpType,$L1019)))</f>
        <v/>
      </c>
      <c r="G1019" s="19">
        <f>IF($L1019="","",IF(INDEX(ExpDep,$L1019)=0,"",INDEX(ExpDep,$L1019)))</f>
        <v/>
      </c>
      <c r="H1019" s="19">
        <f>IF($L1019="","",IF(INDEX(ExpWit,$L1019)=0,"",INDEX(ExpWit,$L1019)))</f>
        <v/>
      </c>
      <c r="I1019" s="20">
        <f>IF($B1019="","",IF($I1018="",0,$I1018)+IF($H1019="",0,$H1019)-IF($G1019="",0,$G1019))</f>
        <v/>
      </c>
      <c r="J1019" s="18">
        <f>IF($L1019="","",IF(INDEX(ExpNote,$L1019)="","—",INDEX(ExpNote,$L1019)))</f>
        <v/>
      </c>
      <c r="L1019">
        <f>IFERROR(MATCH($C$5&amp;"|"&amp;RIGHT("000000"&amp;1003,6),ExpRankKey,0),"")</f>
        <v/>
      </c>
    </row>
    <row r="1020">
      <c r="A1020" s="21" t="n">
        <v>1004</v>
      </c>
      <c r="B1020" s="22">
        <f>IF($L1020="","",INDEX(ExpNorm,$L1020))</f>
        <v/>
      </c>
      <c r="C1020" s="22">
        <f>IF($L1020="","",IF(INDEX(ExpTime,$L1020)="","—",LEFT(INDEX(ExpTime,$L1020),2)&amp;":"&amp;RIGHT(INDEX(ExpTime,$L1020),2)))</f>
        <v/>
      </c>
      <c r="D1020" s="22">
        <f>IF($L1020="","",IF(INDEX(ExpBank,$L1020)="","—",INDEX(ExpBank,$L1020)))</f>
        <v/>
      </c>
      <c r="E1020" s="23">
        <f>IF($L1020="","",IF(INDEX(ExpParty,$L1020)="","—",IFERROR(VLOOKUP(INDEX(ExpParty,$L1020),AcctTbl,4,0),INDEX(ExpParty,$L1020))))</f>
        <v/>
      </c>
      <c r="F1020" s="22">
        <f>IF($L1020="","",IF(INDEX(ExpType,$L1020)="","—",INDEX(ExpType,$L1020)))</f>
        <v/>
      </c>
      <c r="G1020" s="24">
        <f>IF($L1020="","",IF(INDEX(ExpDep,$L1020)=0,"",INDEX(ExpDep,$L1020)))</f>
        <v/>
      </c>
      <c r="H1020" s="24">
        <f>IF($L1020="","",IF(INDEX(ExpWit,$L1020)=0,"",INDEX(ExpWit,$L1020)))</f>
        <v/>
      </c>
      <c r="I1020" s="25">
        <f>IF($B1020="","",IF($I1019="",0,$I1019)+IF($H1020="",0,$H1020)-IF($G1020="",0,$G1020))</f>
        <v/>
      </c>
      <c r="J1020" s="23">
        <f>IF($L1020="","",IF(INDEX(ExpNote,$L1020)="","—",INDEX(ExpNote,$L1020)))</f>
        <v/>
      </c>
      <c r="L1020">
        <f>IFERROR(MATCH($C$5&amp;"|"&amp;RIGHT("000000"&amp;1004,6),ExpRankKey,0),"")</f>
        <v/>
      </c>
    </row>
    <row r="1021">
      <c r="A1021" s="16" t="n">
        <v>1005</v>
      </c>
      <c r="B1021" s="17">
        <f>IF($L1021="","",INDEX(ExpNorm,$L1021))</f>
        <v/>
      </c>
      <c r="C1021" s="17">
        <f>IF($L1021="","",IF(INDEX(ExpTime,$L1021)="","—",LEFT(INDEX(ExpTime,$L1021),2)&amp;":"&amp;RIGHT(INDEX(ExpTime,$L1021),2)))</f>
        <v/>
      </c>
      <c r="D1021" s="17">
        <f>IF($L1021="","",IF(INDEX(ExpBank,$L1021)="","—",INDEX(ExpBank,$L1021)))</f>
        <v/>
      </c>
      <c r="E1021" s="18">
        <f>IF($L1021="","",IF(INDEX(ExpParty,$L1021)="","—",IFERROR(VLOOKUP(INDEX(ExpParty,$L1021),AcctTbl,4,0),INDEX(ExpParty,$L1021))))</f>
        <v/>
      </c>
      <c r="F1021" s="17">
        <f>IF($L1021="","",IF(INDEX(ExpType,$L1021)="","—",INDEX(ExpType,$L1021)))</f>
        <v/>
      </c>
      <c r="G1021" s="19">
        <f>IF($L1021="","",IF(INDEX(ExpDep,$L1021)=0,"",INDEX(ExpDep,$L1021)))</f>
        <v/>
      </c>
      <c r="H1021" s="19">
        <f>IF($L1021="","",IF(INDEX(ExpWit,$L1021)=0,"",INDEX(ExpWit,$L1021)))</f>
        <v/>
      </c>
      <c r="I1021" s="20">
        <f>IF($B1021="","",IF($I1020="",0,$I1020)+IF($H1021="",0,$H1021)-IF($G1021="",0,$G1021))</f>
        <v/>
      </c>
      <c r="J1021" s="18">
        <f>IF($L1021="","",IF(INDEX(ExpNote,$L1021)="","—",INDEX(ExpNote,$L1021)))</f>
        <v/>
      </c>
      <c r="L1021">
        <f>IFERROR(MATCH($C$5&amp;"|"&amp;RIGHT("000000"&amp;1005,6),ExpRankKey,0),"")</f>
        <v/>
      </c>
    </row>
    <row r="1022">
      <c r="A1022" s="21" t="n">
        <v>1006</v>
      </c>
      <c r="B1022" s="22">
        <f>IF($L1022="","",INDEX(ExpNorm,$L1022))</f>
        <v/>
      </c>
      <c r="C1022" s="22">
        <f>IF($L1022="","",IF(INDEX(ExpTime,$L1022)="","—",LEFT(INDEX(ExpTime,$L1022),2)&amp;":"&amp;RIGHT(INDEX(ExpTime,$L1022),2)))</f>
        <v/>
      </c>
      <c r="D1022" s="22">
        <f>IF($L1022="","",IF(INDEX(ExpBank,$L1022)="","—",INDEX(ExpBank,$L1022)))</f>
        <v/>
      </c>
      <c r="E1022" s="23">
        <f>IF($L1022="","",IF(INDEX(ExpParty,$L1022)="","—",IFERROR(VLOOKUP(INDEX(ExpParty,$L1022),AcctTbl,4,0),INDEX(ExpParty,$L1022))))</f>
        <v/>
      </c>
      <c r="F1022" s="22">
        <f>IF($L1022="","",IF(INDEX(ExpType,$L1022)="","—",INDEX(ExpType,$L1022)))</f>
        <v/>
      </c>
      <c r="G1022" s="24">
        <f>IF($L1022="","",IF(INDEX(ExpDep,$L1022)=0,"",INDEX(ExpDep,$L1022)))</f>
        <v/>
      </c>
      <c r="H1022" s="24">
        <f>IF($L1022="","",IF(INDEX(ExpWit,$L1022)=0,"",INDEX(ExpWit,$L1022)))</f>
        <v/>
      </c>
      <c r="I1022" s="25">
        <f>IF($B1022="","",IF($I1021="",0,$I1021)+IF($H1022="",0,$H1022)-IF($G1022="",0,$G1022))</f>
        <v/>
      </c>
      <c r="J1022" s="23">
        <f>IF($L1022="","",IF(INDEX(ExpNote,$L1022)="","—",INDEX(ExpNote,$L1022)))</f>
        <v/>
      </c>
      <c r="L1022">
        <f>IFERROR(MATCH($C$5&amp;"|"&amp;RIGHT("000000"&amp;1006,6),ExpRankKey,0),"")</f>
        <v/>
      </c>
    </row>
    <row r="1023">
      <c r="A1023" s="16" t="n">
        <v>1007</v>
      </c>
      <c r="B1023" s="17">
        <f>IF($L1023="","",INDEX(ExpNorm,$L1023))</f>
        <v/>
      </c>
      <c r="C1023" s="17">
        <f>IF($L1023="","",IF(INDEX(ExpTime,$L1023)="","—",LEFT(INDEX(ExpTime,$L1023),2)&amp;":"&amp;RIGHT(INDEX(ExpTime,$L1023),2)))</f>
        <v/>
      </c>
      <c r="D1023" s="17">
        <f>IF($L1023="","",IF(INDEX(ExpBank,$L1023)="","—",INDEX(ExpBank,$L1023)))</f>
        <v/>
      </c>
      <c r="E1023" s="18">
        <f>IF($L1023="","",IF(INDEX(ExpParty,$L1023)="","—",IFERROR(VLOOKUP(INDEX(ExpParty,$L1023),AcctTbl,4,0),INDEX(ExpParty,$L1023))))</f>
        <v/>
      </c>
      <c r="F1023" s="17">
        <f>IF($L1023="","",IF(INDEX(ExpType,$L1023)="","—",INDEX(ExpType,$L1023)))</f>
        <v/>
      </c>
      <c r="G1023" s="19">
        <f>IF($L1023="","",IF(INDEX(ExpDep,$L1023)=0,"",INDEX(ExpDep,$L1023)))</f>
        <v/>
      </c>
      <c r="H1023" s="19">
        <f>IF($L1023="","",IF(INDEX(ExpWit,$L1023)=0,"",INDEX(ExpWit,$L1023)))</f>
        <v/>
      </c>
      <c r="I1023" s="20">
        <f>IF($B1023="","",IF($I1022="",0,$I1022)+IF($H1023="",0,$H1023)-IF($G1023="",0,$G1023))</f>
        <v/>
      </c>
      <c r="J1023" s="18">
        <f>IF($L1023="","",IF(INDEX(ExpNote,$L1023)="","—",INDEX(ExpNote,$L1023)))</f>
        <v/>
      </c>
      <c r="L1023">
        <f>IFERROR(MATCH($C$5&amp;"|"&amp;RIGHT("000000"&amp;1007,6),ExpRankKey,0),"")</f>
        <v/>
      </c>
    </row>
    <row r="1024">
      <c r="A1024" s="21" t="n">
        <v>1008</v>
      </c>
      <c r="B1024" s="22">
        <f>IF($L1024="","",INDEX(ExpNorm,$L1024))</f>
        <v/>
      </c>
      <c r="C1024" s="22">
        <f>IF($L1024="","",IF(INDEX(ExpTime,$L1024)="","—",LEFT(INDEX(ExpTime,$L1024),2)&amp;":"&amp;RIGHT(INDEX(ExpTime,$L1024),2)))</f>
        <v/>
      </c>
      <c r="D1024" s="22">
        <f>IF($L1024="","",IF(INDEX(ExpBank,$L1024)="","—",INDEX(ExpBank,$L1024)))</f>
        <v/>
      </c>
      <c r="E1024" s="23">
        <f>IF($L1024="","",IF(INDEX(ExpParty,$L1024)="","—",IFERROR(VLOOKUP(INDEX(ExpParty,$L1024),AcctTbl,4,0),INDEX(ExpParty,$L1024))))</f>
        <v/>
      </c>
      <c r="F1024" s="22">
        <f>IF($L1024="","",IF(INDEX(ExpType,$L1024)="","—",INDEX(ExpType,$L1024)))</f>
        <v/>
      </c>
      <c r="G1024" s="24">
        <f>IF($L1024="","",IF(INDEX(ExpDep,$L1024)=0,"",INDEX(ExpDep,$L1024)))</f>
        <v/>
      </c>
      <c r="H1024" s="24">
        <f>IF($L1024="","",IF(INDEX(ExpWit,$L1024)=0,"",INDEX(ExpWit,$L1024)))</f>
        <v/>
      </c>
      <c r="I1024" s="25">
        <f>IF($B1024="","",IF($I1023="",0,$I1023)+IF($H1024="",0,$H1024)-IF($G1024="",0,$G1024))</f>
        <v/>
      </c>
      <c r="J1024" s="23">
        <f>IF($L1024="","",IF(INDEX(ExpNote,$L1024)="","—",INDEX(ExpNote,$L1024)))</f>
        <v/>
      </c>
      <c r="L1024">
        <f>IFERROR(MATCH($C$5&amp;"|"&amp;RIGHT("000000"&amp;1008,6),ExpRankKey,0),"")</f>
        <v/>
      </c>
    </row>
    <row r="1025">
      <c r="A1025" s="16" t="n">
        <v>1009</v>
      </c>
      <c r="B1025" s="17">
        <f>IF($L1025="","",INDEX(ExpNorm,$L1025))</f>
        <v/>
      </c>
      <c r="C1025" s="17">
        <f>IF($L1025="","",IF(INDEX(ExpTime,$L1025)="","—",LEFT(INDEX(ExpTime,$L1025),2)&amp;":"&amp;RIGHT(INDEX(ExpTime,$L1025),2)))</f>
        <v/>
      </c>
      <c r="D1025" s="17">
        <f>IF($L1025="","",IF(INDEX(ExpBank,$L1025)="","—",INDEX(ExpBank,$L1025)))</f>
        <v/>
      </c>
      <c r="E1025" s="18">
        <f>IF($L1025="","",IF(INDEX(ExpParty,$L1025)="","—",IFERROR(VLOOKUP(INDEX(ExpParty,$L1025),AcctTbl,4,0),INDEX(ExpParty,$L1025))))</f>
        <v/>
      </c>
      <c r="F1025" s="17">
        <f>IF($L1025="","",IF(INDEX(ExpType,$L1025)="","—",INDEX(ExpType,$L1025)))</f>
        <v/>
      </c>
      <c r="G1025" s="19">
        <f>IF($L1025="","",IF(INDEX(ExpDep,$L1025)=0,"",INDEX(ExpDep,$L1025)))</f>
        <v/>
      </c>
      <c r="H1025" s="19">
        <f>IF($L1025="","",IF(INDEX(ExpWit,$L1025)=0,"",INDEX(ExpWit,$L1025)))</f>
        <v/>
      </c>
      <c r="I1025" s="20">
        <f>IF($B1025="","",IF($I1024="",0,$I1024)+IF($H1025="",0,$H1025)-IF($G1025="",0,$G1025))</f>
        <v/>
      </c>
      <c r="J1025" s="18">
        <f>IF($L1025="","",IF(INDEX(ExpNote,$L1025)="","—",INDEX(ExpNote,$L1025)))</f>
        <v/>
      </c>
      <c r="L1025">
        <f>IFERROR(MATCH($C$5&amp;"|"&amp;RIGHT("000000"&amp;1009,6),ExpRankKey,0),"")</f>
        <v/>
      </c>
    </row>
    <row r="1026">
      <c r="A1026" s="21" t="n">
        <v>1010</v>
      </c>
      <c r="B1026" s="22">
        <f>IF($L1026="","",INDEX(ExpNorm,$L1026))</f>
        <v/>
      </c>
      <c r="C1026" s="22">
        <f>IF($L1026="","",IF(INDEX(ExpTime,$L1026)="","—",LEFT(INDEX(ExpTime,$L1026),2)&amp;":"&amp;RIGHT(INDEX(ExpTime,$L1026),2)))</f>
        <v/>
      </c>
      <c r="D1026" s="22">
        <f>IF($L1026="","",IF(INDEX(ExpBank,$L1026)="","—",INDEX(ExpBank,$L1026)))</f>
        <v/>
      </c>
      <c r="E1026" s="23">
        <f>IF($L1026="","",IF(INDEX(ExpParty,$L1026)="","—",IFERROR(VLOOKUP(INDEX(ExpParty,$L1026),AcctTbl,4,0),INDEX(ExpParty,$L1026))))</f>
        <v/>
      </c>
      <c r="F1026" s="22">
        <f>IF($L1026="","",IF(INDEX(ExpType,$L1026)="","—",INDEX(ExpType,$L1026)))</f>
        <v/>
      </c>
      <c r="G1026" s="24">
        <f>IF($L1026="","",IF(INDEX(ExpDep,$L1026)=0,"",INDEX(ExpDep,$L1026)))</f>
        <v/>
      </c>
      <c r="H1026" s="24">
        <f>IF($L1026="","",IF(INDEX(ExpWit,$L1026)=0,"",INDEX(ExpWit,$L1026)))</f>
        <v/>
      </c>
      <c r="I1026" s="25">
        <f>IF($B1026="","",IF($I1025="",0,$I1025)+IF($H1026="",0,$H1026)-IF($G1026="",0,$G1026))</f>
        <v/>
      </c>
      <c r="J1026" s="23">
        <f>IF($L1026="","",IF(INDEX(ExpNote,$L1026)="","—",INDEX(ExpNote,$L1026)))</f>
        <v/>
      </c>
      <c r="L1026">
        <f>IFERROR(MATCH($C$5&amp;"|"&amp;RIGHT("000000"&amp;1010,6),ExpRankKey,0),"")</f>
        <v/>
      </c>
    </row>
    <row r="1027">
      <c r="A1027" s="16" t="n">
        <v>1011</v>
      </c>
      <c r="B1027" s="17">
        <f>IF($L1027="","",INDEX(ExpNorm,$L1027))</f>
        <v/>
      </c>
      <c r="C1027" s="17">
        <f>IF($L1027="","",IF(INDEX(ExpTime,$L1027)="","—",LEFT(INDEX(ExpTime,$L1027),2)&amp;":"&amp;RIGHT(INDEX(ExpTime,$L1027),2)))</f>
        <v/>
      </c>
      <c r="D1027" s="17">
        <f>IF($L1027="","",IF(INDEX(ExpBank,$L1027)="","—",INDEX(ExpBank,$L1027)))</f>
        <v/>
      </c>
      <c r="E1027" s="18">
        <f>IF($L1027="","",IF(INDEX(ExpParty,$L1027)="","—",IFERROR(VLOOKUP(INDEX(ExpParty,$L1027),AcctTbl,4,0),INDEX(ExpParty,$L1027))))</f>
        <v/>
      </c>
      <c r="F1027" s="17">
        <f>IF($L1027="","",IF(INDEX(ExpType,$L1027)="","—",INDEX(ExpType,$L1027)))</f>
        <v/>
      </c>
      <c r="G1027" s="19">
        <f>IF($L1027="","",IF(INDEX(ExpDep,$L1027)=0,"",INDEX(ExpDep,$L1027)))</f>
        <v/>
      </c>
      <c r="H1027" s="19">
        <f>IF($L1027="","",IF(INDEX(ExpWit,$L1027)=0,"",INDEX(ExpWit,$L1027)))</f>
        <v/>
      </c>
      <c r="I1027" s="20">
        <f>IF($B1027="","",IF($I1026="",0,$I1026)+IF($H1027="",0,$H1027)-IF($G1027="",0,$G1027))</f>
        <v/>
      </c>
      <c r="J1027" s="18">
        <f>IF($L1027="","",IF(INDEX(ExpNote,$L1027)="","—",INDEX(ExpNote,$L1027)))</f>
        <v/>
      </c>
      <c r="L1027">
        <f>IFERROR(MATCH($C$5&amp;"|"&amp;RIGHT("000000"&amp;1011,6),ExpRankKey,0),"")</f>
        <v/>
      </c>
    </row>
    <row r="1028">
      <c r="A1028" s="21" t="n">
        <v>1012</v>
      </c>
      <c r="B1028" s="22">
        <f>IF($L1028="","",INDEX(ExpNorm,$L1028))</f>
        <v/>
      </c>
      <c r="C1028" s="22">
        <f>IF($L1028="","",IF(INDEX(ExpTime,$L1028)="","—",LEFT(INDEX(ExpTime,$L1028),2)&amp;":"&amp;RIGHT(INDEX(ExpTime,$L1028),2)))</f>
        <v/>
      </c>
      <c r="D1028" s="22">
        <f>IF($L1028="","",IF(INDEX(ExpBank,$L1028)="","—",INDEX(ExpBank,$L1028)))</f>
        <v/>
      </c>
      <c r="E1028" s="23">
        <f>IF($L1028="","",IF(INDEX(ExpParty,$L1028)="","—",IFERROR(VLOOKUP(INDEX(ExpParty,$L1028),AcctTbl,4,0),INDEX(ExpParty,$L1028))))</f>
        <v/>
      </c>
      <c r="F1028" s="22">
        <f>IF($L1028="","",IF(INDEX(ExpType,$L1028)="","—",INDEX(ExpType,$L1028)))</f>
        <v/>
      </c>
      <c r="G1028" s="24">
        <f>IF($L1028="","",IF(INDEX(ExpDep,$L1028)=0,"",INDEX(ExpDep,$L1028)))</f>
        <v/>
      </c>
      <c r="H1028" s="24">
        <f>IF($L1028="","",IF(INDEX(ExpWit,$L1028)=0,"",INDEX(ExpWit,$L1028)))</f>
        <v/>
      </c>
      <c r="I1028" s="25">
        <f>IF($B1028="","",IF($I1027="",0,$I1027)+IF($H1028="",0,$H1028)-IF($G1028="",0,$G1028))</f>
        <v/>
      </c>
      <c r="J1028" s="23">
        <f>IF($L1028="","",IF(INDEX(ExpNote,$L1028)="","—",INDEX(ExpNote,$L1028)))</f>
        <v/>
      </c>
      <c r="L1028">
        <f>IFERROR(MATCH($C$5&amp;"|"&amp;RIGHT("000000"&amp;1012,6),ExpRankKey,0),"")</f>
        <v/>
      </c>
    </row>
    <row r="1029">
      <c r="A1029" s="16" t="n">
        <v>1013</v>
      </c>
      <c r="B1029" s="17">
        <f>IF($L1029="","",INDEX(ExpNorm,$L1029))</f>
        <v/>
      </c>
      <c r="C1029" s="17">
        <f>IF($L1029="","",IF(INDEX(ExpTime,$L1029)="","—",LEFT(INDEX(ExpTime,$L1029),2)&amp;":"&amp;RIGHT(INDEX(ExpTime,$L1029),2)))</f>
        <v/>
      </c>
      <c r="D1029" s="17">
        <f>IF($L1029="","",IF(INDEX(ExpBank,$L1029)="","—",INDEX(ExpBank,$L1029)))</f>
        <v/>
      </c>
      <c r="E1029" s="18">
        <f>IF($L1029="","",IF(INDEX(ExpParty,$L1029)="","—",IFERROR(VLOOKUP(INDEX(ExpParty,$L1029),AcctTbl,4,0),INDEX(ExpParty,$L1029))))</f>
        <v/>
      </c>
      <c r="F1029" s="17">
        <f>IF($L1029="","",IF(INDEX(ExpType,$L1029)="","—",INDEX(ExpType,$L1029)))</f>
        <v/>
      </c>
      <c r="G1029" s="19">
        <f>IF($L1029="","",IF(INDEX(ExpDep,$L1029)=0,"",INDEX(ExpDep,$L1029)))</f>
        <v/>
      </c>
      <c r="H1029" s="19">
        <f>IF($L1029="","",IF(INDEX(ExpWit,$L1029)=0,"",INDEX(ExpWit,$L1029)))</f>
        <v/>
      </c>
      <c r="I1029" s="20">
        <f>IF($B1029="","",IF($I1028="",0,$I1028)+IF($H1029="",0,$H1029)-IF($G1029="",0,$G1029))</f>
        <v/>
      </c>
      <c r="J1029" s="18">
        <f>IF($L1029="","",IF(INDEX(ExpNote,$L1029)="","—",INDEX(ExpNote,$L1029)))</f>
        <v/>
      </c>
      <c r="L1029">
        <f>IFERROR(MATCH($C$5&amp;"|"&amp;RIGHT("000000"&amp;1013,6),ExpRankKey,0),"")</f>
        <v/>
      </c>
    </row>
    <row r="1030">
      <c r="A1030" s="21" t="n">
        <v>1014</v>
      </c>
      <c r="B1030" s="22">
        <f>IF($L1030="","",INDEX(ExpNorm,$L1030))</f>
        <v/>
      </c>
      <c r="C1030" s="22">
        <f>IF($L1030="","",IF(INDEX(ExpTime,$L1030)="","—",LEFT(INDEX(ExpTime,$L1030),2)&amp;":"&amp;RIGHT(INDEX(ExpTime,$L1030),2)))</f>
        <v/>
      </c>
      <c r="D1030" s="22">
        <f>IF($L1030="","",IF(INDEX(ExpBank,$L1030)="","—",INDEX(ExpBank,$L1030)))</f>
        <v/>
      </c>
      <c r="E1030" s="23">
        <f>IF($L1030="","",IF(INDEX(ExpParty,$L1030)="","—",IFERROR(VLOOKUP(INDEX(ExpParty,$L1030),AcctTbl,4,0),INDEX(ExpParty,$L1030))))</f>
        <v/>
      </c>
      <c r="F1030" s="22">
        <f>IF($L1030="","",IF(INDEX(ExpType,$L1030)="","—",INDEX(ExpType,$L1030)))</f>
        <v/>
      </c>
      <c r="G1030" s="24">
        <f>IF($L1030="","",IF(INDEX(ExpDep,$L1030)=0,"",INDEX(ExpDep,$L1030)))</f>
        <v/>
      </c>
      <c r="H1030" s="24">
        <f>IF($L1030="","",IF(INDEX(ExpWit,$L1030)=0,"",INDEX(ExpWit,$L1030)))</f>
        <v/>
      </c>
      <c r="I1030" s="25">
        <f>IF($B1030="","",IF($I1029="",0,$I1029)+IF($H1030="",0,$H1030)-IF($G1030="",0,$G1030))</f>
        <v/>
      </c>
      <c r="J1030" s="23">
        <f>IF($L1030="","",IF(INDEX(ExpNote,$L1030)="","—",INDEX(ExpNote,$L1030)))</f>
        <v/>
      </c>
      <c r="L1030">
        <f>IFERROR(MATCH($C$5&amp;"|"&amp;RIGHT("000000"&amp;1014,6),ExpRankKey,0),"")</f>
        <v/>
      </c>
    </row>
    <row r="1031">
      <c r="A1031" s="16" t="n">
        <v>1015</v>
      </c>
      <c r="B1031" s="17">
        <f>IF($L1031="","",INDEX(ExpNorm,$L1031))</f>
        <v/>
      </c>
      <c r="C1031" s="17">
        <f>IF($L1031="","",IF(INDEX(ExpTime,$L1031)="","—",LEFT(INDEX(ExpTime,$L1031),2)&amp;":"&amp;RIGHT(INDEX(ExpTime,$L1031),2)))</f>
        <v/>
      </c>
      <c r="D1031" s="17">
        <f>IF($L1031="","",IF(INDEX(ExpBank,$L1031)="","—",INDEX(ExpBank,$L1031)))</f>
        <v/>
      </c>
      <c r="E1031" s="18">
        <f>IF($L1031="","",IF(INDEX(ExpParty,$L1031)="","—",IFERROR(VLOOKUP(INDEX(ExpParty,$L1031),AcctTbl,4,0),INDEX(ExpParty,$L1031))))</f>
        <v/>
      </c>
      <c r="F1031" s="17">
        <f>IF($L1031="","",IF(INDEX(ExpType,$L1031)="","—",INDEX(ExpType,$L1031)))</f>
        <v/>
      </c>
      <c r="G1031" s="19">
        <f>IF($L1031="","",IF(INDEX(ExpDep,$L1031)=0,"",INDEX(ExpDep,$L1031)))</f>
        <v/>
      </c>
      <c r="H1031" s="19">
        <f>IF($L1031="","",IF(INDEX(ExpWit,$L1031)=0,"",INDEX(ExpWit,$L1031)))</f>
        <v/>
      </c>
      <c r="I1031" s="20">
        <f>IF($B1031="","",IF($I1030="",0,$I1030)+IF($H1031="",0,$H1031)-IF($G1031="",0,$G1031))</f>
        <v/>
      </c>
      <c r="J1031" s="18">
        <f>IF($L1031="","",IF(INDEX(ExpNote,$L1031)="","—",INDEX(ExpNote,$L1031)))</f>
        <v/>
      </c>
      <c r="L1031">
        <f>IFERROR(MATCH($C$5&amp;"|"&amp;RIGHT("000000"&amp;1015,6),ExpRankKey,0),"")</f>
        <v/>
      </c>
    </row>
    <row r="1032">
      <c r="A1032" s="21" t="n">
        <v>1016</v>
      </c>
      <c r="B1032" s="22">
        <f>IF($L1032="","",INDEX(ExpNorm,$L1032))</f>
        <v/>
      </c>
      <c r="C1032" s="22">
        <f>IF($L1032="","",IF(INDEX(ExpTime,$L1032)="","—",LEFT(INDEX(ExpTime,$L1032),2)&amp;":"&amp;RIGHT(INDEX(ExpTime,$L1032),2)))</f>
        <v/>
      </c>
      <c r="D1032" s="22">
        <f>IF($L1032="","",IF(INDEX(ExpBank,$L1032)="","—",INDEX(ExpBank,$L1032)))</f>
        <v/>
      </c>
      <c r="E1032" s="23">
        <f>IF($L1032="","",IF(INDEX(ExpParty,$L1032)="","—",IFERROR(VLOOKUP(INDEX(ExpParty,$L1032),AcctTbl,4,0),INDEX(ExpParty,$L1032))))</f>
        <v/>
      </c>
      <c r="F1032" s="22">
        <f>IF($L1032="","",IF(INDEX(ExpType,$L1032)="","—",INDEX(ExpType,$L1032)))</f>
        <v/>
      </c>
      <c r="G1032" s="24">
        <f>IF($L1032="","",IF(INDEX(ExpDep,$L1032)=0,"",INDEX(ExpDep,$L1032)))</f>
        <v/>
      </c>
      <c r="H1032" s="24">
        <f>IF($L1032="","",IF(INDEX(ExpWit,$L1032)=0,"",INDEX(ExpWit,$L1032)))</f>
        <v/>
      </c>
      <c r="I1032" s="25">
        <f>IF($B1032="","",IF($I1031="",0,$I1031)+IF($H1032="",0,$H1032)-IF($G1032="",0,$G1032))</f>
        <v/>
      </c>
      <c r="J1032" s="23">
        <f>IF($L1032="","",IF(INDEX(ExpNote,$L1032)="","—",INDEX(ExpNote,$L1032)))</f>
        <v/>
      </c>
      <c r="L1032">
        <f>IFERROR(MATCH($C$5&amp;"|"&amp;RIGHT("000000"&amp;1016,6),ExpRankKey,0),"")</f>
        <v/>
      </c>
    </row>
    <row r="1033">
      <c r="A1033" s="16" t="n">
        <v>1017</v>
      </c>
      <c r="B1033" s="17">
        <f>IF($L1033="","",INDEX(ExpNorm,$L1033))</f>
        <v/>
      </c>
      <c r="C1033" s="17">
        <f>IF($L1033="","",IF(INDEX(ExpTime,$L1033)="","—",LEFT(INDEX(ExpTime,$L1033),2)&amp;":"&amp;RIGHT(INDEX(ExpTime,$L1033),2)))</f>
        <v/>
      </c>
      <c r="D1033" s="17">
        <f>IF($L1033="","",IF(INDEX(ExpBank,$L1033)="","—",INDEX(ExpBank,$L1033)))</f>
        <v/>
      </c>
      <c r="E1033" s="18">
        <f>IF($L1033="","",IF(INDEX(ExpParty,$L1033)="","—",IFERROR(VLOOKUP(INDEX(ExpParty,$L1033),AcctTbl,4,0),INDEX(ExpParty,$L1033))))</f>
        <v/>
      </c>
      <c r="F1033" s="17">
        <f>IF($L1033="","",IF(INDEX(ExpType,$L1033)="","—",INDEX(ExpType,$L1033)))</f>
        <v/>
      </c>
      <c r="G1033" s="19">
        <f>IF($L1033="","",IF(INDEX(ExpDep,$L1033)=0,"",INDEX(ExpDep,$L1033)))</f>
        <v/>
      </c>
      <c r="H1033" s="19">
        <f>IF($L1033="","",IF(INDEX(ExpWit,$L1033)=0,"",INDEX(ExpWit,$L1033)))</f>
        <v/>
      </c>
      <c r="I1033" s="20">
        <f>IF($B1033="","",IF($I1032="",0,$I1032)+IF($H1033="",0,$H1033)-IF($G1033="",0,$G1033))</f>
        <v/>
      </c>
      <c r="J1033" s="18">
        <f>IF($L1033="","",IF(INDEX(ExpNote,$L1033)="","—",INDEX(ExpNote,$L1033)))</f>
        <v/>
      </c>
      <c r="L1033">
        <f>IFERROR(MATCH($C$5&amp;"|"&amp;RIGHT("000000"&amp;1017,6),ExpRankKey,0),"")</f>
        <v/>
      </c>
    </row>
    <row r="1034">
      <c r="A1034" s="21" t="n">
        <v>1018</v>
      </c>
      <c r="B1034" s="22">
        <f>IF($L1034="","",INDEX(ExpNorm,$L1034))</f>
        <v/>
      </c>
      <c r="C1034" s="22">
        <f>IF($L1034="","",IF(INDEX(ExpTime,$L1034)="","—",LEFT(INDEX(ExpTime,$L1034),2)&amp;":"&amp;RIGHT(INDEX(ExpTime,$L1034),2)))</f>
        <v/>
      </c>
      <c r="D1034" s="22">
        <f>IF($L1034="","",IF(INDEX(ExpBank,$L1034)="","—",INDEX(ExpBank,$L1034)))</f>
        <v/>
      </c>
      <c r="E1034" s="23">
        <f>IF($L1034="","",IF(INDEX(ExpParty,$L1034)="","—",IFERROR(VLOOKUP(INDEX(ExpParty,$L1034),AcctTbl,4,0),INDEX(ExpParty,$L1034))))</f>
        <v/>
      </c>
      <c r="F1034" s="22">
        <f>IF($L1034="","",IF(INDEX(ExpType,$L1034)="","—",INDEX(ExpType,$L1034)))</f>
        <v/>
      </c>
      <c r="G1034" s="24">
        <f>IF($L1034="","",IF(INDEX(ExpDep,$L1034)=0,"",INDEX(ExpDep,$L1034)))</f>
        <v/>
      </c>
      <c r="H1034" s="24">
        <f>IF($L1034="","",IF(INDEX(ExpWit,$L1034)=0,"",INDEX(ExpWit,$L1034)))</f>
        <v/>
      </c>
      <c r="I1034" s="25">
        <f>IF($B1034="","",IF($I1033="",0,$I1033)+IF($H1034="",0,$H1034)-IF($G1034="",0,$G1034))</f>
        <v/>
      </c>
      <c r="J1034" s="23">
        <f>IF($L1034="","",IF(INDEX(ExpNote,$L1034)="","—",INDEX(ExpNote,$L1034)))</f>
        <v/>
      </c>
      <c r="L1034">
        <f>IFERROR(MATCH($C$5&amp;"|"&amp;RIGHT("000000"&amp;1018,6),ExpRankKey,0),"")</f>
        <v/>
      </c>
    </row>
    <row r="1035">
      <c r="A1035" s="16" t="n">
        <v>1019</v>
      </c>
      <c r="B1035" s="17">
        <f>IF($L1035="","",INDEX(ExpNorm,$L1035))</f>
        <v/>
      </c>
      <c r="C1035" s="17">
        <f>IF($L1035="","",IF(INDEX(ExpTime,$L1035)="","—",LEFT(INDEX(ExpTime,$L1035),2)&amp;":"&amp;RIGHT(INDEX(ExpTime,$L1035),2)))</f>
        <v/>
      </c>
      <c r="D1035" s="17">
        <f>IF($L1035="","",IF(INDEX(ExpBank,$L1035)="","—",INDEX(ExpBank,$L1035)))</f>
        <v/>
      </c>
      <c r="E1035" s="18">
        <f>IF($L1035="","",IF(INDEX(ExpParty,$L1035)="","—",IFERROR(VLOOKUP(INDEX(ExpParty,$L1035),AcctTbl,4,0),INDEX(ExpParty,$L1035))))</f>
        <v/>
      </c>
      <c r="F1035" s="17">
        <f>IF($L1035="","",IF(INDEX(ExpType,$L1035)="","—",INDEX(ExpType,$L1035)))</f>
        <v/>
      </c>
      <c r="G1035" s="19">
        <f>IF($L1035="","",IF(INDEX(ExpDep,$L1035)=0,"",INDEX(ExpDep,$L1035)))</f>
        <v/>
      </c>
      <c r="H1035" s="19">
        <f>IF($L1035="","",IF(INDEX(ExpWit,$L1035)=0,"",INDEX(ExpWit,$L1035)))</f>
        <v/>
      </c>
      <c r="I1035" s="20">
        <f>IF($B1035="","",IF($I1034="",0,$I1034)+IF($H1035="",0,$H1035)-IF($G1035="",0,$G1035))</f>
        <v/>
      </c>
      <c r="J1035" s="18">
        <f>IF($L1035="","",IF(INDEX(ExpNote,$L1035)="","—",INDEX(ExpNote,$L1035)))</f>
        <v/>
      </c>
      <c r="L1035">
        <f>IFERROR(MATCH($C$5&amp;"|"&amp;RIGHT("000000"&amp;1019,6),ExpRankKey,0),"")</f>
        <v/>
      </c>
    </row>
    <row r="1036">
      <c r="A1036" s="21" t="n">
        <v>1020</v>
      </c>
      <c r="B1036" s="22">
        <f>IF($L1036="","",INDEX(ExpNorm,$L1036))</f>
        <v/>
      </c>
      <c r="C1036" s="22">
        <f>IF($L1036="","",IF(INDEX(ExpTime,$L1036)="","—",LEFT(INDEX(ExpTime,$L1036),2)&amp;":"&amp;RIGHT(INDEX(ExpTime,$L1036),2)))</f>
        <v/>
      </c>
      <c r="D1036" s="22">
        <f>IF($L1036="","",IF(INDEX(ExpBank,$L1036)="","—",INDEX(ExpBank,$L1036)))</f>
        <v/>
      </c>
      <c r="E1036" s="23">
        <f>IF($L1036="","",IF(INDEX(ExpParty,$L1036)="","—",IFERROR(VLOOKUP(INDEX(ExpParty,$L1036),AcctTbl,4,0),INDEX(ExpParty,$L1036))))</f>
        <v/>
      </c>
      <c r="F1036" s="22">
        <f>IF($L1036="","",IF(INDEX(ExpType,$L1036)="","—",INDEX(ExpType,$L1036)))</f>
        <v/>
      </c>
      <c r="G1036" s="24">
        <f>IF($L1036="","",IF(INDEX(ExpDep,$L1036)=0,"",INDEX(ExpDep,$L1036)))</f>
        <v/>
      </c>
      <c r="H1036" s="24">
        <f>IF($L1036="","",IF(INDEX(ExpWit,$L1036)=0,"",INDEX(ExpWit,$L1036)))</f>
        <v/>
      </c>
      <c r="I1036" s="25">
        <f>IF($B1036="","",IF($I1035="",0,$I1035)+IF($H1036="",0,$H1036)-IF($G1036="",0,$G1036))</f>
        <v/>
      </c>
      <c r="J1036" s="23">
        <f>IF($L1036="","",IF(INDEX(ExpNote,$L1036)="","—",INDEX(ExpNote,$L1036)))</f>
        <v/>
      </c>
      <c r="L1036">
        <f>IFERROR(MATCH($C$5&amp;"|"&amp;RIGHT("000000"&amp;1020,6),ExpRankKey,0),"")</f>
        <v/>
      </c>
    </row>
    <row r="1037">
      <c r="A1037" s="16" t="n">
        <v>1021</v>
      </c>
      <c r="B1037" s="17">
        <f>IF($L1037="","",INDEX(ExpNorm,$L1037))</f>
        <v/>
      </c>
      <c r="C1037" s="17">
        <f>IF($L1037="","",IF(INDEX(ExpTime,$L1037)="","—",LEFT(INDEX(ExpTime,$L1037),2)&amp;":"&amp;RIGHT(INDEX(ExpTime,$L1037),2)))</f>
        <v/>
      </c>
      <c r="D1037" s="17">
        <f>IF($L1037="","",IF(INDEX(ExpBank,$L1037)="","—",INDEX(ExpBank,$L1037)))</f>
        <v/>
      </c>
      <c r="E1037" s="18">
        <f>IF($L1037="","",IF(INDEX(ExpParty,$L1037)="","—",IFERROR(VLOOKUP(INDEX(ExpParty,$L1037),AcctTbl,4,0),INDEX(ExpParty,$L1037))))</f>
        <v/>
      </c>
      <c r="F1037" s="17">
        <f>IF($L1037="","",IF(INDEX(ExpType,$L1037)="","—",INDEX(ExpType,$L1037)))</f>
        <v/>
      </c>
      <c r="G1037" s="19">
        <f>IF($L1037="","",IF(INDEX(ExpDep,$L1037)=0,"",INDEX(ExpDep,$L1037)))</f>
        <v/>
      </c>
      <c r="H1037" s="19">
        <f>IF($L1037="","",IF(INDEX(ExpWit,$L1037)=0,"",INDEX(ExpWit,$L1037)))</f>
        <v/>
      </c>
      <c r="I1037" s="20">
        <f>IF($B1037="","",IF($I1036="",0,$I1036)+IF($H1037="",0,$H1037)-IF($G1037="",0,$G1037))</f>
        <v/>
      </c>
      <c r="J1037" s="18">
        <f>IF($L1037="","",IF(INDEX(ExpNote,$L1037)="","—",INDEX(ExpNote,$L1037)))</f>
        <v/>
      </c>
      <c r="L1037">
        <f>IFERROR(MATCH($C$5&amp;"|"&amp;RIGHT("000000"&amp;1021,6),ExpRankKey,0),"")</f>
        <v/>
      </c>
    </row>
    <row r="1038">
      <c r="A1038" s="21" t="n">
        <v>1022</v>
      </c>
      <c r="B1038" s="22">
        <f>IF($L1038="","",INDEX(ExpNorm,$L1038))</f>
        <v/>
      </c>
      <c r="C1038" s="22">
        <f>IF($L1038="","",IF(INDEX(ExpTime,$L1038)="","—",LEFT(INDEX(ExpTime,$L1038),2)&amp;":"&amp;RIGHT(INDEX(ExpTime,$L1038),2)))</f>
        <v/>
      </c>
      <c r="D1038" s="22">
        <f>IF($L1038="","",IF(INDEX(ExpBank,$L1038)="","—",INDEX(ExpBank,$L1038)))</f>
        <v/>
      </c>
      <c r="E1038" s="23">
        <f>IF($L1038="","",IF(INDEX(ExpParty,$L1038)="","—",IFERROR(VLOOKUP(INDEX(ExpParty,$L1038),AcctTbl,4,0),INDEX(ExpParty,$L1038))))</f>
        <v/>
      </c>
      <c r="F1038" s="22">
        <f>IF($L1038="","",IF(INDEX(ExpType,$L1038)="","—",INDEX(ExpType,$L1038)))</f>
        <v/>
      </c>
      <c r="G1038" s="24">
        <f>IF($L1038="","",IF(INDEX(ExpDep,$L1038)=0,"",INDEX(ExpDep,$L1038)))</f>
        <v/>
      </c>
      <c r="H1038" s="24">
        <f>IF($L1038="","",IF(INDEX(ExpWit,$L1038)=0,"",INDEX(ExpWit,$L1038)))</f>
        <v/>
      </c>
      <c r="I1038" s="25">
        <f>IF($B1038="","",IF($I1037="",0,$I1037)+IF($H1038="",0,$H1038)-IF($G1038="",0,$G1038))</f>
        <v/>
      </c>
      <c r="J1038" s="23">
        <f>IF($L1038="","",IF(INDEX(ExpNote,$L1038)="","—",INDEX(ExpNote,$L1038)))</f>
        <v/>
      </c>
      <c r="L1038">
        <f>IFERROR(MATCH($C$5&amp;"|"&amp;RIGHT("000000"&amp;1022,6),ExpRankKey,0),"")</f>
        <v/>
      </c>
    </row>
    <row r="1039">
      <c r="A1039" s="16" t="n">
        <v>1023</v>
      </c>
      <c r="B1039" s="17">
        <f>IF($L1039="","",INDEX(ExpNorm,$L1039))</f>
        <v/>
      </c>
      <c r="C1039" s="17">
        <f>IF($L1039="","",IF(INDEX(ExpTime,$L1039)="","—",LEFT(INDEX(ExpTime,$L1039),2)&amp;":"&amp;RIGHT(INDEX(ExpTime,$L1039),2)))</f>
        <v/>
      </c>
      <c r="D1039" s="17">
        <f>IF($L1039="","",IF(INDEX(ExpBank,$L1039)="","—",INDEX(ExpBank,$L1039)))</f>
        <v/>
      </c>
      <c r="E1039" s="18">
        <f>IF($L1039="","",IF(INDEX(ExpParty,$L1039)="","—",IFERROR(VLOOKUP(INDEX(ExpParty,$L1039),AcctTbl,4,0),INDEX(ExpParty,$L1039))))</f>
        <v/>
      </c>
      <c r="F1039" s="17">
        <f>IF($L1039="","",IF(INDEX(ExpType,$L1039)="","—",INDEX(ExpType,$L1039)))</f>
        <v/>
      </c>
      <c r="G1039" s="19">
        <f>IF($L1039="","",IF(INDEX(ExpDep,$L1039)=0,"",INDEX(ExpDep,$L1039)))</f>
        <v/>
      </c>
      <c r="H1039" s="19">
        <f>IF($L1039="","",IF(INDEX(ExpWit,$L1039)=0,"",INDEX(ExpWit,$L1039)))</f>
        <v/>
      </c>
      <c r="I1039" s="20">
        <f>IF($B1039="","",IF($I1038="",0,$I1038)+IF($H1039="",0,$H1039)-IF($G1039="",0,$G1039))</f>
        <v/>
      </c>
      <c r="J1039" s="18">
        <f>IF($L1039="","",IF(INDEX(ExpNote,$L1039)="","—",INDEX(ExpNote,$L1039)))</f>
        <v/>
      </c>
      <c r="L1039">
        <f>IFERROR(MATCH($C$5&amp;"|"&amp;RIGHT("000000"&amp;1023,6),ExpRankKey,0),"")</f>
        <v/>
      </c>
    </row>
    <row r="1040">
      <c r="A1040" s="21" t="n">
        <v>1024</v>
      </c>
      <c r="B1040" s="22">
        <f>IF($L1040="","",INDEX(ExpNorm,$L1040))</f>
        <v/>
      </c>
      <c r="C1040" s="22">
        <f>IF($L1040="","",IF(INDEX(ExpTime,$L1040)="","—",LEFT(INDEX(ExpTime,$L1040),2)&amp;":"&amp;RIGHT(INDEX(ExpTime,$L1040),2)))</f>
        <v/>
      </c>
      <c r="D1040" s="22">
        <f>IF($L1040="","",IF(INDEX(ExpBank,$L1040)="","—",INDEX(ExpBank,$L1040)))</f>
        <v/>
      </c>
      <c r="E1040" s="23">
        <f>IF($L1040="","",IF(INDEX(ExpParty,$L1040)="","—",IFERROR(VLOOKUP(INDEX(ExpParty,$L1040),AcctTbl,4,0),INDEX(ExpParty,$L1040))))</f>
        <v/>
      </c>
      <c r="F1040" s="22">
        <f>IF($L1040="","",IF(INDEX(ExpType,$L1040)="","—",INDEX(ExpType,$L1040)))</f>
        <v/>
      </c>
      <c r="G1040" s="24">
        <f>IF($L1040="","",IF(INDEX(ExpDep,$L1040)=0,"",INDEX(ExpDep,$L1040)))</f>
        <v/>
      </c>
      <c r="H1040" s="24">
        <f>IF($L1040="","",IF(INDEX(ExpWit,$L1040)=0,"",INDEX(ExpWit,$L1040)))</f>
        <v/>
      </c>
      <c r="I1040" s="25">
        <f>IF($B1040="","",IF($I1039="",0,$I1039)+IF($H1040="",0,$H1040)-IF($G1040="",0,$G1040))</f>
        <v/>
      </c>
      <c r="J1040" s="23">
        <f>IF($L1040="","",IF(INDEX(ExpNote,$L1040)="","—",INDEX(ExpNote,$L1040)))</f>
        <v/>
      </c>
      <c r="L1040">
        <f>IFERROR(MATCH($C$5&amp;"|"&amp;RIGHT("000000"&amp;1024,6),ExpRankKey,0),"")</f>
        <v/>
      </c>
    </row>
    <row r="1041">
      <c r="A1041" s="16" t="n">
        <v>1025</v>
      </c>
      <c r="B1041" s="17">
        <f>IF($L1041="","",INDEX(ExpNorm,$L1041))</f>
        <v/>
      </c>
      <c r="C1041" s="17">
        <f>IF($L1041="","",IF(INDEX(ExpTime,$L1041)="","—",LEFT(INDEX(ExpTime,$L1041),2)&amp;":"&amp;RIGHT(INDEX(ExpTime,$L1041),2)))</f>
        <v/>
      </c>
      <c r="D1041" s="17">
        <f>IF($L1041="","",IF(INDEX(ExpBank,$L1041)="","—",INDEX(ExpBank,$L1041)))</f>
        <v/>
      </c>
      <c r="E1041" s="18">
        <f>IF($L1041="","",IF(INDEX(ExpParty,$L1041)="","—",IFERROR(VLOOKUP(INDEX(ExpParty,$L1041),AcctTbl,4,0),INDEX(ExpParty,$L1041))))</f>
        <v/>
      </c>
      <c r="F1041" s="17">
        <f>IF($L1041="","",IF(INDEX(ExpType,$L1041)="","—",INDEX(ExpType,$L1041)))</f>
        <v/>
      </c>
      <c r="G1041" s="19">
        <f>IF($L1041="","",IF(INDEX(ExpDep,$L1041)=0,"",INDEX(ExpDep,$L1041)))</f>
        <v/>
      </c>
      <c r="H1041" s="19">
        <f>IF($L1041="","",IF(INDEX(ExpWit,$L1041)=0,"",INDEX(ExpWit,$L1041)))</f>
        <v/>
      </c>
      <c r="I1041" s="20">
        <f>IF($B1041="","",IF($I1040="",0,$I1040)+IF($H1041="",0,$H1041)-IF($G1041="",0,$G1041))</f>
        <v/>
      </c>
      <c r="J1041" s="18">
        <f>IF($L1041="","",IF(INDEX(ExpNote,$L1041)="","—",INDEX(ExpNote,$L1041)))</f>
        <v/>
      </c>
      <c r="L1041">
        <f>IFERROR(MATCH($C$5&amp;"|"&amp;RIGHT("000000"&amp;1025,6),ExpRankKey,0),"")</f>
        <v/>
      </c>
    </row>
    <row r="1042">
      <c r="A1042" s="21" t="n">
        <v>1026</v>
      </c>
      <c r="B1042" s="22">
        <f>IF($L1042="","",INDEX(ExpNorm,$L1042))</f>
        <v/>
      </c>
      <c r="C1042" s="22">
        <f>IF($L1042="","",IF(INDEX(ExpTime,$L1042)="","—",LEFT(INDEX(ExpTime,$L1042),2)&amp;":"&amp;RIGHT(INDEX(ExpTime,$L1042),2)))</f>
        <v/>
      </c>
      <c r="D1042" s="22">
        <f>IF($L1042="","",IF(INDEX(ExpBank,$L1042)="","—",INDEX(ExpBank,$L1042)))</f>
        <v/>
      </c>
      <c r="E1042" s="23">
        <f>IF($L1042="","",IF(INDEX(ExpParty,$L1042)="","—",IFERROR(VLOOKUP(INDEX(ExpParty,$L1042),AcctTbl,4,0),INDEX(ExpParty,$L1042))))</f>
        <v/>
      </c>
      <c r="F1042" s="22">
        <f>IF($L1042="","",IF(INDEX(ExpType,$L1042)="","—",INDEX(ExpType,$L1042)))</f>
        <v/>
      </c>
      <c r="G1042" s="24">
        <f>IF($L1042="","",IF(INDEX(ExpDep,$L1042)=0,"",INDEX(ExpDep,$L1042)))</f>
        <v/>
      </c>
      <c r="H1042" s="24">
        <f>IF($L1042="","",IF(INDEX(ExpWit,$L1042)=0,"",INDEX(ExpWit,$L1042)))</f>
        <v/>
      </c>
      <c r="I1042" s="25">
        <f>IF($B1042="","",IF($I1041="",0,$I1041)+IF($H1042="",0,$H1042)-IF($G1042="",0,$G1042))</f>
        <v/>
      </c>
      <c r="J1042" s="23">
        <f>IF($L1042="","",IF(INDEX(ExpNote,$L1042)="","—",INDEX(ExpNote,$L1042)))</f>
        <v/>
      </c>
      <c r="L1042">
        <f>IFERROR(MATCH($C$5&amp;"|"&amp;RIGHT("000000"&amp;1026,6),ExpRankKey,0),"")</f>
        <v/>
      </c>
    </row>
    <row r="1043">
      <c r="A1043" s="16" t="n">
        <v>1027</v>
      </c>
      <c r="B1043" s="17">
        <f>IF($L1043="","",INDEX(ExpNorm,$L1043))</f>
        <v/>
      </c>
      <c r="C1043" s="17">
        <f>IF($L1043="","",IF(INDEX(ExpTime,$L1043)="","—",LEFT(INDEX(ExpTime,$L1043),2)&amp;":"&amp;RIGHT(INDEX(ExpTime,$L1043),2)))</f>
        <v/>
      </c>
      <c r="D1043" s="17">
        <f>IF($L1043="","",IF(INDEX(ExpBank,$L1043)="","—",INDEX(ExpBank,$L1043)))</f>
        <v/>
      </c>
      <c r="E1043" s="18">
        <f>IF($L1043="","",IF(INDEX(ExpParty,$L1043)="","—",IFERROR(VLOOKUP(INDEX(ExpParty,$L1043),AcctTbl,4,0),INDEX(ExpParty,$L1043))))</f>
        <v/>
      </c>
      <c r="F1043" s="17">
        <f>IF($L1043="","",IF(INDEX(ExpType,$L1043)="","—",INDEX(ExpType,$L1043)))</f>
        <v/>
      </c>
      <c r="G1043" s="19">
        <f>IF($L1043="","",IF(INDEX(ExpDep,$L1043)=0,"",INDEX(ExpDep,$L1043)))</f>
        <v/>
      </c>
      <c r="H1043" s="19">
        <f>IF($L1043="","",IF(INDEX(ExpWit,$L1043)=0,"",INDEX(ExpWit,$L1043)))</f>
        <v/>
      </c>
      <c r="I1043" s="20">
        <f>IF($B1043="","",IF($I1042="",0,$I1042)+IF($H1043="",0,$H1043)-IF($G1043="",0,$G1043))</f>
        <v/>
      </c>
      <c r="J1043" s="18">
        <f>IF($L1043="","",IF(INDEX(ExpNote,$L1043)="","—",INDEX(ExpNote,$L1043)))</f>
        <v/>
      </c>
      <c r="L1043">
        <f>IFERROR(MATCH($C$5&amp;"|"&amp;RIGHT("000000"&amp;1027,6),ExpRankKey,0),"")</f>
        <v/>
      </c>
    </row>
    <row r="1044">
      <c r="A1044" s="21" t="n">
        <v>1028</v>
      </c>
      <c r="B1044" s="22">
        <f>IF($L1044="","",INDEX(ExpNorm,$L1044))</f>
        <v/>
      </c>
      <c r="C1044" s="22">
        <f>IF($L1044="","",IF(INDEX(ExpTime,$L1044)="","—",LEFT(INDEX(ExpTime,$L1044),2)&amp;":"&amp;RIGHT(INDEX(ExpTime,$L1044),2)))</f>
        <v/>
      </c>
      <c r="D1044" s="22">
        <f>IF($L1044="","",IF(INDEX(ExpBank,$L1044)="","—",INDEX(ExpBank,$L1044)))</f>
        <v/>
      </c>
      <c r="E1044" s="23">
        <f>IF($L1044="","",IF(INDEX(ExpParty,$L1044)="","—",IFERROR(VLOOKUP(INDEX(ExpParty,$L1044),AcctTbl,4,0),INDEX(ExpParty,$L1044))))</f>
        <v/>
      </c>
      <c r="F1044" s="22">
        <f>IF($L1044="","",IF(INDEX(ExpType,$L1044)="","—",INDEX(ExpType,$L1044)))</f>
        <v/>
      </c>
      <c r="G1044" s="24">
        <f>IF($L1044="","",IF(INDEX(ExpDep,$L1044)=0,"",INDEX(ExpDep,$L1044)))</f>
        <v/>
      </c>
      <c r="H1044" s="24">
        <f>IF($L1044="","",IF(INDEX(ExpWit,$L1044)=0,"",INDEX(ExpWit,$L1044)))</f>
        <v/>
      </c>
      <c r="I1044" s="25">
        <f>IF($B1044="","",IF($I1043="",0,$I1043)+IF($H1044="",0,$H1044)-IF($G1044="",0,$G1044))</f>
        <v/>
      </c>
      <c r="J1044" s="23">
        <f>IF($L1044="","",IF(INDEX(ExpNote,$L1044)="","—",INDEX(ExpNote,$L1044)))</f>
        <v/>
      </c>
      <c r="L1044">
        <f>IFERROR(MATCH($C$5&amp;"|"&amp;RIGHT("000000"&amp;1028,6),ExpRankKey,0),"")</f>
        <v/>
      </c>
    </row>
    <row r="1045">
      <c r="A1045" s="16" t="n">
        <v>1029</v>
      </c>
      <c r="B1045" s="17">
        <f>IF($L1045="","",INDEX(ExpNorm,$L1045))</f>
        <v/>
      </c>
      <c r="C1045" s="17">
        <f>IF($L1045="","",IF(INDEX(ExpTime,$L1045)="","—",LEFT(INDEX(ExpTime,$L1045),2)&amp;":"&amp;RIGHT(INDEX(ExpTime,$L1045),2)))</f>
        <v/>
      </c>
      <c r="D1045" s="17">
        <f>IF($L1045="","",IF(INDEX(ExpBank,$L1045)="","—",INDEX(ExpBank,$L1045)))</f>
        <v/>
      </c>
      <c r="E1045" s="18">
        <f>IF($L1045="","",IF(INDEX(ExpParty,$L1045)="","—",IFERROR(VLOOKUP(INDEX(ExpParty,$L1045),AcctTbl,4,0),INDEX(ExpParty,$L1045))))</f>
        <v/>
      </c>
      <c r="F1045" s="17">
        <f>IF($L1045="","",IF(INDEX(ExpType,$L1045)="","—",INDEX(ExpType,$L1045)))</f>
        <v/>
      </c>
      <c r="G1045" s="19">
        <f>IF($L1045="","",IF(INDEX(ExpDep,$L1045)=0,"",INDEX(ExpDep,$L1045)))</f>
        <v/>
      </c>
      <c r="H1045" s="19">
        <f>IF($L1045="","",IF(INDEX(ExpWit,$L1045)=0,"",INDEX(ExpWit,$L1045)))</f>
        <v/>
      </c>
      <c r="I1045" s="20">
        <f>IF($B1045="","",IF($I1044="",0,$I1044)+IF($H1045="",0,$H1045)-IF($G1045="",0,$G1045))</f>
        <v/>
      </c>
      <c r="J1045" s="18">
        <f>IF($L1045="","",IF(INDEX(ExpNote,$L1045)="","—",INDEX(ExpNote,$L1045)))</f>
        <v/>
      </c>
      <c r="L1045">
        <f>IFERROR(MATCH($C$5&amp;"|"&amp;RIGHT("000000"&amp;1029,6),ExpRankKey,0),"")</f>
        <v/>
      </c>
    </row>
    <row r="1046">
      <c r="A1046" s="21" t="n">
        <v>1030</v>
      </c>
      <c r="B1046" s="22">
        <f>IF($L1046="","",INDEX(ExpNorm,$L1046))</f>
        <v/>
      </c>
      <c r="C1046" s="22">
        <f>IF($L1046="","",IF(INDEX(ExpTime,$L1046)="","—",LEFT(INDEX(ExpTime,$L1046),2)&amp;":"&amp;RIGHT(INDEX(ExpTime,$L1046),2)))</f>
        <v/>
      </c>
      <c r="D1046" s="22">
        <f>IF($L1046="","",IF(INDEX(ExpBank,$L1046)="","—",INDEX(ExpBank,$L1046)))</f>
        <v/>
      </c>
      <c r="E1046" s="23">
        <f>IF($L1046="","",IF(INDEX(ExpParty,$L1046)="","—",IFERROR(VLOOKUP(INDEX(ExpParty,$L1046),AcctTbl,4,0),INDEX(ExpParty,$L1046))))</f>
        <v/>
      </c>
      <c r="F1046" s="22">
        <f>IF($L1046="","",IF(INDEX(ExpType,$L1046)="","—",INDEX(ExpType,$L1046)))</f>
        <v/>
      </c>
      <c r="G1046" s="24">
        <f>IF($L1046="","",IF(INDEX(ExpDep,$L1046)=0,"",INDEX(ExpDep,$L1046)))</f>
        <v/>
      </c>
      <c r="H1046" s="24">
        <f>IF($L1046="","",IF(INDEX(ExpWit,$L1046)=0,"",INDEX(ExpWit,$L1046)))</f>
        <v/>
      </c>
      <c r="I1046" s="25">
        <f>IF($B1046="","",IF($I1045="",0,$I1045)+IF($H1046="",0,$H1046)-IF($G1046="",0,$G1046))</f>
        <v/>
      </c>
      <c r="J1046" s="23">
        <f>IF($L1046="","",IF(INDEX(ExpNote,$L1046)="","—",INDEX(ExpNote,$L1046)))</f>
        <v/>
      </c>
      <c r="L1046">
        <f>IFERROR(MATCH($C$5&amp;"|"&amp;RIGHT("000000"&amp;1030,6),ExpRankKey,0),"")</f>
        <v/>
      </c>
    </row>
    <row r="1047">
      <c r="A1047" s="16" t="n">
        <v>1031</v>
      </c>
      <c r="B1047" s="17">
        <f>IF($L1047="","",INDEX(ExpNorm,$L1047))</f>
        <v/>
      </c>
      <c r="C1047" s="17">
        <f>IF($L1047="","",IF(INDEX(ExpTime,$L1047)="","—",LEFT(INDEX(ExpTime,$L1047),2)&amp;":"&amp;RIGHT(INDEX(ExpTime,$L1047),2)))</f>
        <v/>
      </c>
      <c r="D1047" s="17">
        <f>IF($L1047="","",IF(INDEX(ExpBank,$L1047)="","—",INDEX(ExpBank,$L1047)))</f>
        <v/>
      </c>
      <c r="E1047" s="18">
        <f>IF($L1047="","",IF(INDEX(ExpParty,$L1047)="","—",IFERROR(VLOOKUP(INDEX(ExpParty,$L1047),AcctTbl,4,0),INDEX(ExpParty,$L1047))))</f>
        <v/>
      </c>
      <c r="F1047" s="17">
        <f>IF($L1047="","",IF(INDEX(ExpType,$L1047)="","—",INDEX(ExpType,$L1047)))</f>
        <v/>
      </c>
      <c r="G1047" s="19">
        <f>IF($L1047="","",IF(INDEX(ExpDep,$L1047)=0,"",INDEX(ExpDep,$L1047)))</f>
        <v/>
      </c>
      <c r="H1047" s="19">
        <f>IF($L1047="","",IF(INDEX(ExpWit,$L1047)=0,"",INDEX(ExpWit,$L1047)))</f>
        <v/>
      </c>
      <c r="I1047" s="20">
        <f>IF($B1047="","",IF($I1046="",0,$I1046)+IF($H1047="",0,$H1047)-IF($G1047="",0,$G1047))</f>
        <v/>
      </c>
      <c r="J1047" s="18">
        <f>IF($L1047="","",IF(INDEX(ExpNote,$L1047)="","—",INDEX(ExpNote,$L1047)))</f>
        <v/>
      </c>
      <c r="L1047">
        <f>IFERROR(MATCH($C$5&amp;"|"&amp;RIGHT("000000"&amp;1031,6),ExpRankKey,0),"")</f>
        <v/>
      </c>
    </row>
    <row r="1048">
      <c r="A1048" s="21" t="n">
        <v>1032</v>
      </c>
      <c r="B1048" s="22">
        <f>IF($L1048="","",INDEX(ExpNorm,$L1048))</f>
        <v/>
      </c>
      <c r="C1048" s="22">
        <f>IF($L1048="","",IF(INDEX(ExpTime,$L1048)="","—",LEFT(INDEX(ExpTime,$L1048),2)&amp;":"&amp;RIGHT(INDEX(ExpTime,$L1048),2)))</f>
        <v/>
      </c>
      <c r="D1048" s="22">
        <f>IF($L1048="","",IF(INDEX(ExpBank,$L1048)="","—",INDEX(ExpBank,$L1048)))</f>
        <v/>
      </c>
      <c r="E1048" s="23">
        <f>IF($L1048="","",IF(INDEX(ExpParty,$L1048)="","—",IFERROR(VLOOKUP(INDEX(ExpParty,$L1048),AcctTbl,4,0),INDEX(ExpParty,$L1048))))</f>
        <v/>
      </c>
      <c r="F1048" s="22">
        <f>IF($L1048="","",IF(INDEX(ExpType,$L1048)="","—",INDEX(ExpType,$L1048)))</f>
        <v/>
      </c>
      <c r="G1048" s="24">
        <f>IF($L1048="","",IF(INDEX(ExpDep,$L1048)=0,"",INDEX(ExpDep,$L1048)))</f>
        <v/>
      </c>
      <c r="H1048" s="24">
        <f>IF($L1048="","",IF(INDEX(ExpWit,$L1048)=0,"",INDEX(ExpWit,$L1048)))</f>
        <v/>
      </c>
      <c r="I1048" s="25">
        <f>IF($B1048="","",IF($I1047="",0,$I1047)+IF($H1048="",0,$H1048)-IF($G1048="",0,$G1048))</f>
        <v/>
      </c>
      <c r="J1048" s="23">
        <f>IF($L1048="","",IF(INDEX(ExpNote,$L1048)="","—",INDEX(ExpNote,$L1048)))</f>
        <v/>
      </c>
      <c r="L1048">
        <f>IFERROR(MATCH($C$5&amp;"|"&amp;RIGHT("000000"&amp;1032,6),ExpRankKey,0),"")</f>
        <v/>
      </c>
    </row>
    <row r="1049">
      <c r="A1049" s="16" t="n">
        <v>1033</v>
      </c>
      <c r="B1049" s="17">
        <f>IF($L1049="","",INDEX(ExpNorm,$L1049))</f>
        <v/>
      </c>
      <c r="C1049" s="17">
        <f>IF($L1049="","",IF(INDEX(ExpTime,$L1049)="","—",LEFT(INDEX(ExpTime,$L1049),2)&amp;":"&amp;RIGHT(INDEX(ExpTime,$L1049),2)))</f>
        <v/>
      </c>
      <c r="D1049" s="17">
        <f>IF($L1049="","",IF(INDEX(ExpBank,$L1049)="","—",INDEX(ExpBank,$L1049)))</f>
        <v/>
      </c>
      <c r="E1049" s="18">
        <f>IF($L1049="","",IF(INDEX(ExpParty,$L1049)="","—",IFERROR(VLOOKUP(INDEX(ExpParty,$L1049),AcctTbl,4,0),INDEX(ExpParty,$L1049))))</f>
        <v/>
      </c>
      <c r="F1049" s="17">
        <f>IF($L1049="","",IF(INDEX(ExpType,$L1049)="","—",INDEX(ExpType,$L1049)))</f>
        <v/>
      </c>
      <c r="G1049" s="19">
        <f>IF($L1049="","",IF(INDEX(ExpDep,$L1049)=0,"",INDEX(ExpDep,$L1049)))</f>
        <v/>
      </c>
      <c r="H1049" s="19">
        <f>IF($L1049="","",IF(INDEX(ExpWit,$L1049)=0,"",INDEX(ExpWit,$L1049)))</f>
        <v/>
      </c>
      <c r="I1049" s="20">
        <f>IF($B1049="","",IF($I1048="",0,$I1048)+IF($H1049="",0,$H1049)-IF($G1049="",0,$G1049))</f>
        <v/>
      </c>
      <c r="J1049" s="18">
        <f>IF($L1049="","",IF(INDEX(ExpNote,$L1049)="","—",INDEX(ExpNote,$L1049)))</f>
        <v/>
      </c>
      <c r="L1049">
        <f>IFERROR(MATCH($C$5&amp;"|"&amp;RIGHT("000000"&amp;1033,6),ExpRankKey,0),"")</f>
        <v/>
      </c>
    </row>
    <row r="1050">
      <c r="A1050" s="21" t="n">
        <v>1034</v>
      </c>
      <c r="B1050" s="22">
        <f>IF($L1050="","",INDEX(ExpNorm,$L1050))</f>
        <v/>
      </c>
      <c r="C1050" s="22">
        <f>IF($L1050="","",IF(INDEX(ExpTime,$L1050)="","—",LEFT(INDEX(ExpTime,$L1050),2)&amp;":"&amp;RIGHT(INDEX(ExpTime,$L1050),2)))</f>
        <v/>
      </c>
      <c r="D1050" s="22">
        <f>IF($L1050="","",IF(INDEX(ExpBank,$L1050)="","—",INDEX(ExpBank,$L1050)))</f>
        <v/>
      </c>
      <c r="E1050" s="23">
        <f>IF($L1050="","",IF(INDEX(ExpParty,$L1050)="","—",IFERROR(VLOOKUP(INDEX(ExpParty,$L1050),AcctTbl,4,0),INDEX(ExpParty,$L1050))))</f>
        <v/>
      </c>
      <c r="F1050" s="22">
        <f>IF($L1050="","",IF(INDEX(ExpType,$L1050)="","—",INDEX(ExpType,$L1050)))</f>
        <v/>
      </c>
      <c r="G1050" s="24">
        <f>IF($L1050="","",IF(INDEX(ExpDep,$L1050)=0,"",INDEX(ExpDep,$L1050)))</f>
        <v/>
      </c>
      <c r="H1050" s="24">
        <f>IF($L1050="","",IF(INDEX(ExpWit,$L1050)=0,"",INDEX(ExpWit,$L1050)))</f>
        <v/>
      </c>
      <c r="I1050" s="25">
        <f>IF($B1050="","",IF($I1049="",0,$I1049)+IF($H1050="",0,$H1050)-IF($G1050="",0,$G1050))</f>
        <v/>
      </c>
      <c r="J1050" s="23">
        <f>IF($L1050="","",IF(INDEX(ExpNote,$L1050)="","—",INDEX(ExpNote,$L1050)))</f>
        <v/>
      </c>
      <c r="L1050">
        <f>IFERROR(MATCH($C$5&amp;"|"&amp;RIGHT("000000"&amp;1034,6),ExpRankKey,0),"")</f>
        <v/>
      </c>
    </row>
    <row r="1051">
      <c r="A1051" s="16" t="n">
        <v>1035</v>
      </c>
      <c r="B1051" s="17">
        <f>IF($L1051="","",INDEX(ExpNorm,$L1051))</f>
        <v/>
      </c>
      <c r="C1051" s="17">
        <f>IF($L1051="","",IF(INDEX(ExpTime,$L1051)="","—",LEFT(INDEX(ExpTime,$L1051),2)&amp;":"&amp;RIGHT(INDEX(ExpTime,$L1051),2)))</f>
        <v/>
      </c>
      <c r="D1051" s="17">
        <f>IF($L1051="","",IF(INDEX(ExpBank,$L1051)="","—",INDEX(ExpBank,$L1051)))</f>
        <v/>
      </c>
      <c r="E1051" s="18">
        <f>IF($L1051="","",IF(INDEX(ExpParty,$L1051)="","—",IFERROR(VLOOKUP(INDEX(ExpParty,$L1051),AcctTbl,4,0),INDEX(ExpParty,$L1051))))</f>
        <v/>
      </c>
      <c r="F1051" s="17">
        <f>IF($L1051="","",IF(INDEX(ExpType,$L1051)="","—",INDEX(ExpType,$L1051)))</f>
        <v/>
      </c>
      <c r="G1051" s="19">
        <f>IF($L1051="","",IF(INDEX(ExpDep,$L1051)=0,"",INDEX(ExpDep,$L1051)))</f>
        <v/>
      </c>
      <c r="H1051" s="19">
        <f>IF($L1051="","",IF(INDEX(ExpWit,$L1051)=0,"",INDEX(ExpWit,$L1051)))</f>
        <v/>
      </c>
      <c r="I1051" s="20">
        <f>IF($B1051="","",IF($I1050="",0,$I1050)+IF($H1051="",0,$H1051)-IF($G1051="",0,$G1051))</f>
        <v/>
      </c>
      <c r="J1051" s="18">
        <f>IF($L1051="","",IF(INDEX(ExpNote,$L1051)="","—",INDEX(ExpNote,$L1051)))</f>
        <v/>
      </c>
      <c r="L1051">
        <f>IFERROR(MATCH($C$5&amp;"|"&amp;RIGHT("000000"&amp;1035,6),ExpRankKey,0),"")</f>
        <v/>
      </c>
    </row>
    <row r="1052">
      <c r="A1052" s="21" t="n">
        <v>1036</v>
      </c>
      <c r="B1052" s="22">
        <f>IF($L1052="","",INDEX(ExpNorm,$L1052))</f>
        <v/>
      </c>
      <c r="C1052" s="22">
        <f>IF($L1052="","",IF(INDEX(ExpTime,$L1052)="","—",LEFT(INDEX(ExpTime,$L1052),2)&amp;":"&amp;RIGHT(INDEX(ExpTime,$L1052),2)))</f>
        <v/>
      </c>
      <c r="D1052" s="22">
        <f>IF($L1052="","",IF(INDEX(ExpBank,$L1052)="","—",INDEX(ExpBank,$L1052)))</f>
        <v/>
      </c>
      <c r="E1052" s="23">
        <f>IF($L1052="","",IF(INDEX(ExpParty,$L1052)="","—",IFERROR(VLOOKUP(INDEX(ExpParty,$L1052),AcctTbl,4,0),INDEX(ExpParty,$L1052))))</f>
        <v/>
      </c>
      <c r="F1052" s="22">
        <f>IF($L1052="","",IF(INDEX(ExpType,$L1052)="","—",INDEX(ExpType,$L1052)))</f>
        <v/>
      </c>
      <c r="G1052" s="24">
        <f>IF($L1052="","",IF(INDEX(ExpDep,$L1052)=0,"",INDEX(ExpDep,$L1052)))</f>
        <v/>
      </c>
      <c r="H1052" s="24">
        <f>IF($L1052="","",IF(INDEX(ExpWit,$L1052)=0,"",INDEX(ExpWit,$L1052)))</f>
        <v/>
      </c>
      <c r="I1052" s="25">
        <f>IF($B1052="","",IF($I1051="",0,$I1051)+IF($H1052="",0,$H1052)-IF($G1052="",0,$G1052))</f>
        <v/>
      </c>
      <c r="J1052" s="23">
        <f>IF($L1052="","",IF(INDEX(ExpNote,$L1052)="","—",INDEX(ExpNote,$L1052)))</f>
        <v/>
      </c>
      <c r="L1052">
        <f>IFERROR(MATCH($C$5&amp;"|"&amp;RIGHT("000000"&amp;1036,6),ExpRankKey,0),"")</f>
        <v/>
      </c>
    </row>
    <row r="1053">
      <c r="A1053" s="16" t="n">
        <v>1037</v>
      </c>
      <c r="B1053" s="17">
        <f>IF($L1053="","",INDEX(ExpNorm,$L1053))</f>
        <v/>
      </c>
      <c r="C1053" s="17">
        <f>IF($L1053="","",IF(INDEX(ExpTime,$L1053)="","—",LEFT(INDEX(ExpTime,$L1053),2)&amp;":"&amp;RIGHT(INDEX(ExpTime,$L1053),2)))</f>
        <v/>
      </c>
      <c r="D1053" s="17">
        <f>IF($L1053="","",IF(INDEX(ExpBank,$L1053)="","—",INDEX(ExpBank,$L1053)))</f>
        <v/>
      </c>
      <c r="E1053" s="18">
        <f>IF($L1053="","",IF(INDEX(ExpParty,$L1053)="","—",IFERROR(VLOOKUP(INDEX(ExpParty,$L1053),AcctTbl,4,0),INDEX(ExpParty,$L1053))))</f>
        <v/>
      </c>
      <c r="F1053" s="17">
        <f>IF($L1053="","",IF(INDEX(ExpType,$L1053)="","—",INDEX(ExpType,$L1053)))</f>
        <v/>
      </c>
      <c r="G1053" s="19">
        <f>IF($L1053="","",IF(INDEX(ExpDep,$L1053)=0,"",INDEX(ExpDep,$L1053)))</f>
        <v/>
      </c>
      <c r="H1053" s="19">
        <f>IF($L1053="","",IF(INDEX(ExpWit,$L1053)=0,"",INDEX(ExpWit,$L1053)))</f>
        <v/>
      </c>
      <c r="I1053" s="20">
        <f>IF($B1053="","",IF($I1052="",0,$I1052)+IF($H1053="",0,$H1053)-IF($G1053="",0,$G1053))</f>
        <v/>
      </c>
      <c r="J1053" s="18">
        <f>IF($L1053="","",IF(INDEX(ExpNote,$L1053)="","—",INDEX(ExpNote,$L1053)))</f>
        <v/>
      </c>
      <c r="L1053">
        <f>IFERROR(MATCH($C$5&amp;"|"&amp;RIGHT("000000"&amp;1037,6),ExpRankKey,0),"")</f>
        <v/>
      </c>
    </row>
    <row r="1054">
      <c r="A1054" s="21" t="n">
        <v>1038</v>
      </c>
      <c r="B1054" s="22">
        <f>IF($L1054="","",INDEX(ExpNorm,$L1054))</f>
        <v/>
      </c>
      <c r="C1054" s="22">
        <f>IF($L1054="","",IF(INDEX(ExpTime,$L1054)="","—",LEFT(INDEX(ExpTime,$L1054),2)&amp;":"&amp;RIGHT(INDEX(ExpTime,$L1054),2)))</f>
        <v/>
      </c>
      <c r="D1054" s="22">
        <f>IF($L1054="","",IF(INDEX(ExpBank,$L1054)="","—",INDEX(ExpBank,$L1054)))</f>
        <v/>
      </c>
      <c r="E1054" s="23">
        <f>IF($L1054="","",IF(INDEX(ExpParty,$L1054)="","—",IFERROR(VLOOKUP(INDEX(ExpParty,$L1054),AcctTbl,4,0),INDEX(ExpParty,$L1054))))</f>
        <v/>
      </c>
      <c r="F1054" s="22">
        <f>IF($L1054="","",IF(INDEX(ExpType,$L1054)="","—",INDEX(ExpType,$L1054)))</f>
        <v/>
      </c>
      <c r="G1054" s="24">
        <f>IF($L1054="","",IF(INDEX(ExpDep,$L1054)=0,"",INDEX(ExpDep,$L1054)))</f>
        <v/>
      </c>
      <c r="H1054" s="24">
        <f>IF($L1054="","",IF(INDEX(ExpWit,$L1054)=0,"",INDEX(ExpWit,$L1054)))</f>
        <v/>
      </c>
      <c r="I1054" s="25">
        <f>IF($B1054="","",IF($I1053="",0,$I1053)+IF($H1054="",0,$H1054)-IF($G1054="",0,$G1054))</f>
        <v/>
      </c>
      <c r="J1054" s="23">
        <f>IF($L1054="","",IF(INDEX(ExpNote,$L1054)="","—",INDEX(ExpNote,$L1054)))</f>
        <v/>
      </c>
      <c r="L1054">
        <f>IFERROR(MATCH($C$5&amp;"|"&amp;RIGHT("000000"&amp;1038,6),ExpRankKey,0),"")</f>
        <v/>
      </c>
    </row>
    <row r="1055">
      <c r="A1055" s="16" t="n">
        <v>1039</v>
      </c>
      <c r="B1055" s="17">
        <f>IF($L1055="","",INDEX(ExpNorm,$L1055))</f>
        <v/>
      </c>
      <c r="C1055" s="17">
        <f>IF($L1055="","",IF(INDEX(ExpTime,$L1055)="","—",LEFT(INDEX(ExpTime,$L1055),2)&amp;":"&amp;RIGHT(INDEX(ExpTime,$L1055),2)))</f>
        <v/>
      </c>
      <c r="D1055" s="17">
        <f>IF($L1055="","",IF(INDEX(ExpBank,$L1055)="","—",INDEX(ExpBank,$L1055)))</f>
        <v/>
      </c>
      <c r="E1055" s="18">
        <f>IF($L1055="","",IF(INDEX(ExpParty,$L1055)="","—",IFERROR(VLOOKUP(INDEX(ExpParty,$L1055),AcctTbl,4,0),INDEX(ExpParty,$L1055))))</f>
        <v/>
      </c>
      <c r="F1055" s="17">
        <f>IF($L1055="","",IF(INDEX(ExpType,$L1055)="","—",INDEX(ExpType,$L1055)))</f>
        <v/>
      </c>
      <c r="G1055" s="19">
        <f>IF($L1055="","",IF(INDEX(ExpDep,$L1055)=0,"",INDEX(ExpDep,$L1055)))</f>
        <v/>
      </c>
      <c r="H1055" s="19">
        <f>IF($L1055="","",IF(INDEX(ExpWit,$L1055)=0,"",INDEX(ExpWit,$L1055)))</f>
        <v/>
      </c>
      <c r="I1055" s="20">
        <f>IF($B1055="","",IF($I1054="",0,$I1054)+IF($H1055="",0,$H1055)-IF($G1055="",0,$G1055))</f>
        <v/>
      </c>
      <c r="J1055" s="18">
        <f>IF($L1055="","",IF(INDEX(ExpNote,$L1055)="","—",INDEX(ExpNote,$L1055)))</f>
        <v/>
      </c>
      <c r="L1055">
        <f>IFERROR(MATCH($C$5&amp;"|"&amp;RIGHT("000000"&amp;1039,6),ExpRankKey,0),"")</f>
        <v/>
      </c>
    </row>
    <row r="1056">
      <c r="A1056" s="21" t="n">
        <v>1040</v>
      </c>
      <c r="B1056" s="22">
        <f>IF($L1056="","",INDEX(ExpNorm,$L1056))</f>
        <v/>
      </c>
      <c r="C1056" s="22">
        <f>IF($L1056="","",IF(INDEX(ExpTime,$L1056)="","—",LEFT(INDEX(ExpTime,$L1056),2)&amp;":"&amp;RIGHT(INDEX(ExpTime,$L1056),2)))</f>
        <v/>
      </c>
      <c r="D1056" s="22">
        <f>IF($L1056="","",IF(INDEX(ExpBank,$L1056)="","—",INDEX(ExpBank,$L1056)))</f>
        <v/>
      </c>
      <c r="E1056" s="23">
        <f>IF($L1056="","",IF(INDEX(ExpParty,$L1056)="","—",IFERROR(VLOOKUP(INDEX(ExpParty,$L1056),AcctTbl,4,0),INDEX(ExpParty,$L1056))))</f>
        <v/>
      </c>
      <c r="F1056" s="22">
        <f>IF($L1056="","",IF(INDEX(ExpType,$L1056)="","—",INDEX(ExpType,$L1056)))</f>
        <v/>
      </c>
      <c r="G1056" s="24">
        <f>IF($L1056="","",IF(INDEX(ExpDep,$L1056)=0,"",INDEX(ExpDep,$L1056)))</f>
        <v/>
      </c>
      <c r="H1056" s="24">
        <f>IF($L1056="","",IF(INDEX(ExpWit,$L1056)=0,"",INDEX(ExpWit,$L1056)))</f>
        <v/>
      </c>
      <c r="I1056" s="25">
        <f>IF($B1056="","",IF($I1055="",0,$I1055)+IF($H1056="",0,$H1056)-IF($G1056="",0,$G1056))</f>
        <v/>
      </c>
      <c r="J1056" s="23">
        <f>IF($L1056="","",IF(INDEX(ExpNote,$L1056)="","—",INDEX(ExpNote,$L1056)))</f>
        <v/>
      </c>
      <c r="L1056">
        <f>IFERROR(MATCH($C$5&amp;"|"&amp;RIGHT("000000"&amp;1040,6),ExpRankKey,0),"")</f>
        <v/>
      </c>
    </row>
    <row r="1057">
      <c r="A1057" s="16" t="n">
        <v>1041</v>
      </c>
      <c r="B1057" s="17">
        <f>IF($L1057="","",INDEX(ExpNorm,$L1057))</f>
        <v/>
      </c>
      <c r="C1057" s="17">
        <f>IF($L1057="","",IF(INDEX(ExpTime,$L1057)="","—",LEFT(INDEX(ExpTime,$L1057),2)&amp;":"&amp;RIGHT(INDEX(ExpTime,$L1057),2)))</f>
        <v/>
      </c>
      <c r="D1057" s="17">
        <f>IF($L1057="","",IF(INDEX(ExpBank,$L1057)="","—",INDEX(ExpBank,$L1057)))</f>
        <v/>
      </c>
      <c r="E1057" s="18">
        <f>IF($L1057="","",IF(INDEX(ExpParty,$L1057)="","—",IFERROR(VLOOKUP(INDEX(ExpParty,$L1057),AcctTbl,4,0),INDEX(ExpParty,$L1057))))</f>
        <v/>
      </c>
      <c r="F1057" s="17">
        <f>IF($L1057="","",IF(INDEX(ExpType,$L1057)="","—",INDEX(ExpType,$L1057)))</f>
        <v/>
      </c>
      <c r="G1057" s="19">
        <f>IF($L1057="","",IF(INDEX(ExpDep,$L1057)=0,"",INDEX(ExpDep,$L1057)))</f>
        <v/>
      </c>
      <c r="H1057" s="19">
        <f>IF($L1057="","",IF(INDEX(ExpWit,$L1057)=0,"",INDEX(ExpWit,$L1057)))</f>
        <v/>
      </c>
      <c r="I1057" s="20">
        <f>IF($B1057="","",IF($I1056="",0,$I1056)+IF($H1057="",0,$H1057)-IF($G1057="",0,$G1057))</f>
        <v/>
      </c>
      <c r="J1057" s="18">
        <f>IF($L1057="","",IF(INDEX(ExpNote,$L1057)="","—",INDEX(ExpNote,$L1057)))</f>
        <v/>
      </c>
      <c r="L1057">
        <f>IFERROR(MATCH($C$5&amp;"|"&amp;RIGHT("000000"&amp;1041,6),ExpRankKey,0),"")</f>
        <v/>
      </c>
    </row>
    <row r="1058">
      <c r="A1058" s="21" t="n">
        <v>1042</v>
      </c>
      <c r="B1058" s="22">
        <f>IF($L1058="","",INDEX(ExpNorm,$L1058))</f>
        <v/>
      </c>
      <c r="C1058" s="22">
        <f>IF($L1058="","",IF(INDEX(ExpTime,$L1058)="","—",LEFT(INDEX(ExpTime,$L1058),2)&amp;":"&amp;RIGHT(INDEX(ExpTime,$L1058),2)))</f>
        <v/>
      </c>
      <c r="D1058" s="22">
        <f>IF($L1058="","",IF(INDEX(ExpBank,$L1058)="","—",INDEX(ExpBank,$L1058)))</f>
        <v/>
      </c>
      <c r="E1058" s="23">
        <f>IF($L1058="","",IF(INDEX(ExpParty,$L1058)="","—",IFERROR(VLOOKUP(INDEX(ExpParty,$L1058),AcctTbl,4,0),INDEX(ExpParty,$L1058))))</f>
        <v/>
      </c>
      <c r="F1058" s="22">
        <f>IF($L1058="","",IF(INDEX(ExpType,$L1058)="","—",INDEX(ExpType,$L1058)))</f>
        <v/>
      </c>
      <c r="G1058" s="24">
        <f>IF($L1058="","",IF(INDEX(ExpDep,$L1058)=0,"",INDEX(ExpDep,$L1058)))</f>
        <v/>
      </c>
      <c r="H1058" s="24">
        <f>IF($L1058="","",IF(INDEX(ExpWit,$L1058)=0,"",INDEX(ExpWit,$L1058)))</f>
        <v/>
      </c>
      <c r="I1058" s="25">
        <f>IF($B1058="","",IF($I1057="",0,$I1057)+IF($H1058="",0,$H1058)-IF($G1058="",0,$G1058))</f>
        <v/>
      </c>
      <c r="J1058" s="23">
        <f>IF($L1058="","",IF(INDEX(ExpNote,$L1058)="","—",INDEX(ExpNote,$L1058)))</f>
        <v/>
      </c>
      <c r="L1058">
        <f>IFERROR(MATCH($C$5&amp;"|"&amp;RIGHT("000000"&amp;1042,6),ExpRankKey,0),"")</f>
        <v/>
      </c>
    </row>
    <row r="1059">
      <c r="A1059" s="16" t="n">
        <v>1043</v>
      </c>
      <c r="B1059" s="17">
        <f>IF($L1059="","",INDEX(ExpNorm,$L1059))</f>
        <v/>
      </c>
      <c r="C1059" s="17">
        <f>IF($L1059="","",IF(INDEX(ExpTime,$L1059)="","—",LEFT(INDEX(ExpTime,$L1059),2)&amp;":"&amp;RIGHT(INDEX(ExpTime,$L1059),2)))</f>
        <v/>
      </c>
      <c r="D1059" s="17">
        <f>IF($L1059="","",IF(INDEX(ExpBank,$L1059)="","—",INDEX(ExpBank,$L1059)))</f>
        <v/>
      </c>
      <c r="E1059" s="18">
        <f>IF($L1059="","",IF(INDEX(ExpParty,$L1059)="","—",IFERROR(VLOOKUP(INDEX(ExpParty,$L1059),AcctTbl,4,0),INDEX(ExpParty,$L1059))))</f>
        <v/>
      </c>
      <c r="F1059" s="17">
        <f>IF($L1059="","",IF(INDEX(ExpType,$L1059)="","—",INDEX(ExpType,$L1059)))</f>
        <v/>
      </c>
      <c r="G1059" s="19">
        <f>IF($L1059="","",IF(INDEX(ExpDep,$L1059)=0,"",INDEX(ExpDep,$L1059)))</f>
        <v/>
      </c>
      <c r="H1059" s="19">
        <f>IF($L1059="","",IF(INDEX(ExpWit,$L1059)=0,"",INDEX(ExpWit,$L1059)))</f>
        <v/>
      </c>
      <c r="I1059" s="20">
        <f>IF($B1059="","",IF($I1058="",0,$I1058)+IF($H1059="",0,$H1059)-IF($G1059="",0,$G1059))</f>
        <v/>
      </c>
      <c r="J1059" s="18">
        <f>IF($L1059="","",IF(INDEX(ExpNote,$L1059)="","—",INDEX(ExpNote,$L1059)))</f>
        <v/>
      </c>
      <c r="L1059">
        <f>IFERROR(MATCH($C$5&amp;"|"&amp;RIGHT("000000"&amp;1043,6),ExpRankKey,0),"")</f>
        <v/>
      </c>
    </row>
    <row r="1060">
      <c r="A1060" s="21" t="n">
        <v>1044</v>
      </c>
      <c r="B1060" s="22">
        <f>IF($L1060="","",INDEX(ExpNorm,$L1060))</f>
        <v/>
      </c>
      <c r="C1060" s="22">
        <f>IF($L1060="","",IF(INDEX(ExpTime,$L1060)="","—",LEFT(INDEX(ExpTime,$L1060),2)&amp;":"&amp;RIGHT(INDEX(ExpTime,$L1060),2)))</f>
        <v/>
      </c>
      <c r="D1060" s="22">
        <f>IF($L1060="","",IF(INDEX(ExpBank,$L1060)="","—",INDEX(ExpBank,$L1060)))</f>
        <v/>
      </c>
      <c r="E1060" s="23">
        <f>IF($L1060="","",IF(INDEX(ExpParty,$L1060)="","—",IFERROR(VLOOKUP(INDEX(ExpParty,$L1060),AcctTbl,4,0),INDEX(ExpParty,$L1060))))</f>
        <v/>
      </c>
      <c r="F1060" s="22">
        <f>IF($L1060="","",IF(INDEX(ExpType,$L1060)="","—",INDEX(ExpType,$L1060)))</f>
        <v/>
      </c>
      <c r="G1060" s="24">
        <f>IF($L1060="","",IF(INDEX(ExpDep,$L1060)=0,"",INDEX(ExpDep,$L1060)))</f>
        <v/>
      </c>
      <c r="H1060" s="24">
        <f>IF($L1060="","",IF(INDEX(ExpWit,$L1060)=0,"",INDEX(ExpWit,$L1060)))</f>
        <v/>
      </c>
      <c r="I1060" s="25">
        <f>IF($B1060="","",IF($I1059="",0,$I1059)+IF($H1060="",0,$H1060)-IF($G1060="",0,$G1060))</f>
        <v/>
      </c>
      <c r="J1060" s="23">
        <f>IF($L1060="","",IF(INDEX(ExpNote,$L1060)="","—",INDEX(ExpNote,$L1060)))</f>
        <v/>
      </c>
      <c r="L1060">
        <f>IFERROR(MATCH($C$5&amp;"|"&amp;RIGHT("000000"&amp;1044,6),ExpRankKey,0),"")</f>
        <v/>
      </c>
    </row>
    <row r="1061">
      <c r="A1061" s="16" t="n">
        <v>1045</v>
      </c>
      <c r="B1061" s="17">
        <f>IF($L1061="","",INDEX(ExpNorm,$L1061))</f>
        <v/>
      </c>
      <c r="C1061" s="17">
        <f>IF($L1061="","",IF(INDEX(ExpTime,$L1061)="","—",LEFT(INDEX(ExpTime,$L1061),2)&amp;":"&amp;RIGHT(INDEX(ExpTime,$L1061),2)))</f>
        <v/>
      </c>
      <c r="D1061" s="17">
        <f>IF($L1061="","",IF(INDEX(ExpBank,$L1061)="","—",INDEX(ExpBank,$L1061)))</f>
        <v/>
      </c>
      <c r="E1061" s="18">
        <f>IF($L1061="","",IF(INDEX(ExpParty,$L1061)="","—",IFERROR(VLOOKUP(INDEX(ExpParty,$L1061),AcctTbl,4,0),INDEX(ExpParty,$L1061))))</f>
        <v/>
      </c>
      <c r="F1061" s="17">
        <f>IF($L1061="","",IF(INDEX(ExpType,$L1061)="","—",INDEX(ExpType,$L1061)))</f>
        <v/>
      </c>
      <c r="G1061" s="19">
        <f>IF($L1061="","",IF(INDEX(ExpDep,$L1061)=0,"",INDEX(ExpDep,$L1061)))</f>
        <v/>
      </c>
      <c r="H1061" s="19">
        <f>IF($L1061="","",IF(INDEX(ExpWit,$L1061)=0,"",INDEX(ExpWit,$L1061)))</f>
        <v/>
      </c>
      <c r="I1061" s="20">
        <f>IF($B1061="","",IF($I1060="",0,$I1060)+IF($H1061="",0,$H1061)-IF($G1061="",0,$G1061))</f>
        <v/>
      </c>
      <c r="J1061" s="18">
        <f>IF($L1061="","",IF(INDEX(ExpNote,$L1061)="","—",INDEX(ExpNote,$L1061)))</f>
        <v/>
      </c>
      <c r="L1061">
        <f>IFERROR(MATCH($C$5&amp;"|"&amp;RIGHT("000000"&amp;1045,6),ExpRankKey,0),"")</f>
        <v/>
      </c>
    </row>
    <row r="1062">
      <c r="A1062" s="21" t="n">
        <v>1046</v>
      </c>
      <c r="B1062" s="22">
        <f>IF($L1062="","",INDEX(ExpNorm,$L1062))</f>
        <v/>
      </c>
      <c r="C1062" s="22">
        <f>IF($L1062="","",IF(INDEX(ExpTime,$L1062)="","—",LEFT(INDEX(ExpTime,$L1062),2)&amp;":"&amp;RIGHT(INDEX(ExpTime,$L1062),2)))</f>
        <v/>
      </c>
      <c r="D1062" s="22">
        <f>IF($L1062="","",IF(INDEX(ExpBank,$L1062)="","—",INDEX(ExpBank,$L1062)))</f>
        <v/>
      </c>
      <c r="E1062" s="23">
        <f>IF($L1062="","",IF(INDEX(ExpParty,$L1062)="","—",IFERROR(VLOOKUP(INDEX(ExpParty,$L1062),AcctTbl,4,0),INDEX(ExpParty,$L1062))))</f>
        <v/>
      </c>
      <c r="F1062" s="22">
        <f>IF($L1062="","",IF(INDEX(ExpType,$L1062)="","—",INDEX(ExpType,$L1062)))</f>
        <v/>
      </c>
      <c r="G1062" s="24">
        <f>IF($L1062="","",IF(INDEX(ExpDep,$L1062)=0,"",INDEX(ExpDep,$L1062)))</f>
        <v/>
      </c>
      <c r="H1062" s="24">
        <f>IF($L1062="","",IF(INDEX(ExpWit,$L1062)=0,"",INDEX(ExpWit,$L1062)))</f>
        <v/>
      </c>
      <c r="I1062" s="25">
        <f>IF($B1062="","",IF($I1061="",0,$I1061)+IF($H1062="",0,$H1062)-IF($G1062="",0,$G1062))</f>
        <v/>
      </c>
      <c r="J1062" s="23">
        <f>IF($L1062="","",IF(INDEX(ExpNote,$L1062)="","—",INDEX(ExpNote,$L1062)))</f>
        <v/>
      </c>
      <c r="L1062">
        <f>IFERROR(MATCH($C$5&amp;"|"&amp;RIGHT("000000"&amp;1046,6),ExpRankKey,0),"")</f>
        <v/>
      </c>
    </row>
    <row r="1063">
      <c r="A1063" s="16" t="n">
        <v>1047</v>
      </c>
      <c r="B1063" s="17">
        <f>IF($L1063="","",INDEX(ExpNorm,$L1063))</f>
        <v/>
      </c>
      <c r="C1063" s="17">
        <f>IF($L1063="","",IF(INDEX(ExpTime,$L1063)="","—",LEFT(INDEX(ExpTime,$L1063),2)&amp;":"&amp;RIGHT(INDEX(ExpTime,$L1063),2)))</f>
        <v/>
      </c>
      <c r="D1063" s="17">
        <f>IF($L1063="","",IF(INDEX(ExpBank,$L1063)="","—",INDEX(ExpBank,$L1063)))</f>
        <v/>
      </c>
      <c r="E1063" s="18">
        <f>IF($L1063="","",IF(INDEX(ExpParty,$L1063)="","—",IFERROR(VLOOKUP(INDEX(ExpParty,$L1063),AcctTbl,4,0),INDEX(ExpParty,$L1063))))</f>
        <v/>
      </c>
      <c r="F1063" s="17">
        <f>IF($L1063="","",IF(INDEX(ExpType,$L1063)="","—",INDEX(ExpType,$L1063)))</f>
        <v/>
      </c>
      <c r="G1063" s="19">
        <f>IF($L1063="","",IF(INDEX(ExpDep,$L1063)=0,"",INDEX(ExpDep,$L1063)))</f>
        <v/>
      </c>
      <c r="H1063" s="19">
        <f>IF($L1063="","",IF(INDEX(ExpWit,$L1063)=0,"",INDEX(ExpWit,$L1063)))</f>
        <v/>
      </c>
      <c r="I1063" s="20">
        <f>IF($B1063="","",IF($I1062="",0,$I1062)+IF($H1063="",0,$H1063)-IF($G1063="",0,$G1063))</f>
        <v/>
      </c>
      <c r="J1063" s="18">
        <f>IF($L1063="","",IF(INDEX(ExpNote,$L1063)="","—",INDEX(ExpNote,$L1063)))</f>
        <v/>
      </c>
      <c r="L1063">
        <f>IFERROR(MATCH($C$5&amp;"|"&amp;RIGHT("000000"&amp;1047,6),ExpRankKey,0),"")</f>
        <v/>
      </c>
    </row>
    <row r="1064">
      <c r="A1064" s="21" t="n">
        <v>1048</v>
      </c>
      <c r="B1064" s="22">
        <f>IF($L1064="","",INDEX(ExpNorm,$L1064))</f>
        <v/>
      </c>
      <c r="C1064" s="22">
        <f>IF($L1064="","",IF(INDEX(ExpTime,$L1064)="","—",LEFT(INDEX(ExpTime,$L1064),2)&amp;":"&amp;RIGHT(INDEX(ExpTime,$L1064),2)))</f>
        <v/>
      </c>
      <c r="D1064" s="22">
        <f>IF($L1064="","",IF(INDEX(ExpBank,$L1064)="","—",INDEX(ExpBank,$L1064)))</f>
        <v/>
      </c>
      <c r="E1064" s="23">
        <f>IF($L1064="","",IF(INDEX(ExpParty,$L1064)="","—",IFERROR(VLOOKUP(INDEX(ExpParty,$L1064),AcctTbl,4,0),INDEX(ExpParty,$L1064))))</f>
        <v/>
      </c>
      <c r="F1064" s="22">
        <f>IF($L1064="","",IF(INDEX(ExpType,$L1064)="","—",INDEX(ExpType,$L1064)))</f>
        <v/>
      </c>
      <c r="G1064" s="24">
        <f>IF($L1064="","",IF(INDEX(ExpDep,$L1064)=0,"",INDEX(ExpDep,$L1064)))</f>
        <v/>
      </c>
      <c r="H1064" s="24">
        <f>IF($L1064="","",IF(INDEX(ExpWit,$L1064)=0,"",INDEX(ExpWit,$L1064)))</f>
        <v/>
      </c>
      <c r="I1064" s="25">
        <f>IF($B1064="","",IF($I1063="",0,$I1063)+IF($H1064="",0,$H1064)-IF($G1064="",0,$G1064))</f>
        <v/>
      </c>
      <c r="J1064" s="23">
        <f>IF($L1064="","",IF(INDEX(ExpNote,$L1064)="","—",INDEX(ExpNote,$L1064)))</f>
        <v/>
      </c>
      <c r="L1064">
        <f>IFERROR(MATCH($C$5&amp;"|"&amp;RIGHT("000000"&amp;1048,6),ExpRankKey,0),"")</f>
        <v/>
      </c>
    </row>
    <row r="1065">
      <c r="A1065" s="16" t="n">
        <v>1049</v>
      </c>
      <c r="B1065" s="17">
        <f>IF($L1065="","",INDEX(ExpNorm,$L1065))</f>
        <v/>
      </c>
      <c r="C1065" s="17">
        <f>IF($L1065="","",IF(INDEX(ExpTime,$L1065)="","—",LEFT(INDEX(ExpTime,$L1065),2)&amp;":"&amp;RIGHT(INDEX(ExpTime,$L1065),2)))</f>
        <v/>
      </c>
      <c r="D1065" s="17">
        <f>IF($L1065="","",IF(INDEX(ExpBank,$L1065)="","—",INDEX(ExpBank,$L1065)))</f>
        <v/>
      </c>
      <c r="E1065" s="18">
        <f>IF($L1065="","",IF(INDEX(ExpParty,$L1065)="","—",IFERROR(VLOOKUP(INDEX(ExpParty,$L1065),AcctTbl,4,0),INDEX(ExpParty,$L1065))))</f>
        <v/>
      </c>
      <c r="F1065" s="17">
        <f>IF($L1065="","",IF(INDEX(ExpType,$L1065)="","—",INDEX(ExpType,$L1065)))</f>
        <v/>
      </c>
      <c r="G1065" s="19">
        <f>IF($L1065="","",IF(INDEX(ExpDep,$L1065)=0,"",INDEX(ExpDep,$L1065)))</f>
        <v/>
      </c>
      <c r="H1065" s="19">
        <f>IF($L1065="","",IF(INDEX(ExpWit,$L1065)=0,"",INDEX(ExpWit,$L1065)))</f>
        <v/>
      </c>
      <c r="I1065" s="20">
        <f>IF($B1065="","",IF($I1064="",0,$I1064)+IF($H1065="",0,$H1065)-IF($G1065="",0,$G1065))</f>
        <v/>
      </c>
      <c r="J1065" s="18">
        <f>IF($L1065="","",IF(INDEX(ExpNote,$L1065)="","—",INDEX(ExpNote,$L1065)))</f>
        <v/>
      </c>
      <c r="L1065">
        <f>IFERROR(MATCH($C$5&amp;"|"&amp;RIGHT("000000"&amp;1049,6),ExpRankKey,0),"")</f>
        <v/>
      </c>
    </row>
    <row r="1066">
      <c r="A1066" s="21" t="n">
        <v>1050</v>
      </c>
      <c r="B1066" s="22">
        <f>IF($L1066="","",INDEX(ExpNorm,$L1066))</f>
        <v/>
      </c>
      <c r="C1066" s="22">
        <f>IF($L1066="","",IF(INDEX(ExpTime,$L1066)="","—",LEFT(INDEX(ExpTime,$L1066),2)&amp;":"&amp;RIGHT(INDEX(ExpTime,$L1066),2)))</f>
        <v/>
      </c>
      <c r="D1066" s="22">
        <f>IF($L1066="","",IF(INDEX(ExpBank,$L1066)="","—",INDEX(ExpBank,$L1066)))</f>
        <v/>
      </c>
      <c r="E1066" s="23">
        <f>IF($L1066="","",IF(INDEX(ExpParty,$L1066)="","—",IFERROR(VLOOKUP(INDEX(ExpParty,$L1066),AcctTbl,4,0),INDEX(ExpParty,$L1066))))</f>
        <v/>
      </c>
      <c r="F1066" s="22">
        <f>IF($L1066="","",IF(INDEX(ExpType,$L1066)="","—",INDEX(ExpType,$L1066)))</f>
        <v/>
      </c>
      <c r="G1066" s="24">
        <f>IF($L1066="","",IF(INDEX(ExpDep,$L1066)=0,"",INDEX(ExpDep,$L1066)))</f>
        <v/>
      </c>
      <c r="H1066" s="24">
        <f>IF($L1066="","",IF(INDEX(ExpWit,$L1066)=0,"",INDEX(ExpWit,$L1066)))</f>
        <v/>
      </c>
      <c r="I1066" s="25">
        <f>IF($B1066="","",IF($I1065="",0,$I1065)+IF($H1066="",0,$H1066)-IF($G1066="",0,$G1066))</f>
        <v/>
      </c>
      <c r="J1066" s="23">
        <f>IF($L1066="","",IF(INDEX(ExpNote,$L1066)="","—",INDEX(ExpNote,$L1066)))</f>
        <v/>
      </c>
      <c r="L1066">
        <f>IFERROR(MATCH($C$5&amp;"|"&amp;RIGHT("000000"&amp;1050,6),ExpRankKey,0),"")</f>
        <v/>
      </c>
    </row>
    <row r="1067">
      <c r="A1067" s="16" t="n">
        <v>1051</v>
      </c>
      <c r="B1067" s="17">
        <f>IF($L1067="","",INDEX(ExpNorm,$L1067))</f>
        <v/>
      </c>
      <c r="C1067" s="17">
        <f>IF($L1067="","",IF(INDEX(ExpTime,$L1067)="","—",LEFT(INDEX(ExpTime,$L1067),2)&amp;":"&amp;RIGHT(INDEX(ExpTime,$L1067),2)))</f>
        <v/>
      </c>
      <c r="D1067" s="17">
        <f>IF($L1067="","",IF(INDEX(ExpBank,$L1067)="","—",INDEX(ExpBank,$L1067)))</f>
        <v/>
      </c>
      <c r="E1067" s="18">
        <f>IF($L1067="","",IF(INDEX(ExpParty,$L1067)="","—",IFERROR(VLOOKUP(INDEX(ExpParty,$L1067),AcctTbl,4,0),INDEX(ExpParty,$L1067))))</f>
        <v/>
      </c>
      <c r="F1067" s="17">
        <f>IF($L1067="","",IF(INDEX(ExpType,$L1067)="","—",INDEX(ExpType,$L1067)))</f>
        <v/>
      </c>
      <c r="G1067" s="19">
        <f>IF($L1067="","",IF(INDEX(ExpDep,$L1067)=0,"",INDEX(ExpDep,$L1067)))</f>
        <v/>
      </c>
      <c r="H1067" s="19">
        <f>IF($L1067="","",IF(INDEX(ExpWit,$L1067)=0,"",INDEX(ExpWit,$L1067)))</f>
        <v/>
      </c>
      <c r="I1067" s="20">
        <f>IF($B1067="","",IF($I1066="",0,$I1066)+IF($H1067="",0,$H1067)-IF($G1067="",0,$G1067))</f>
        <v/>
      </c>
      <c r="J1067" s="18">
        <f>IF($L1067="","",IF(INDEX(ExpNote,$L1067)="","—",INDEX(ExpNote,$L1067)))</f>
        <v/>
      </c>
      <c r="L1067">
        <f>IFERROR(MATCH($C$5&amp;"|"&amp;RIGHT("000000"&amp;1051,6),ExpRankKey,0),"")</f>
        <v/>
      </c>
    </row>
    <row r="1068">
      <c r="A1068" s="21" t="n">
        <v>1052</v>
      </c>
      <c r="B1068" s="22">
        <f>IF($L1068="","",INDEX(ExpNorm,$L1068))</f>
        <v/>
      </c>
      <c r="C1068" s="22">
        <f>IF($L1068="","",IF(INDEX(ExpTime,$L1068)="","—",LEFT(INDEX(ExpTime,$L1068),2)&amp;":"&amp;RIGHT(INDEX(ExpTime,$L1068),2)))</f>
        <v/>
      </c>
      <c r="D1068" s="22">
        <f>IF($L1068="","",IF(INDEX(ExpBank,$L1068)="","—",INDEX(ExpBank,$L1068)))</f>
        <v/>
      </c>
      <c r="E1068" s="23">
        <f>IF($L1068="","",IF(INDEX(ExpParty,$L1068)="","—",IFERROR(VLOOKUP(INDEX(ExpParty,$L1068),AcctTbl,4,0),INDEX(ExpParty,$L1068))))</f>
        <v/>
      </c>
      <c r="F1068" s="22">
        <f>IF($L1068="","",IF(INDEX(ExpType,$L1068)="","—",INDEX(ExpType,$L1068)))</f>
        <v/>
      </c>
      <c r="G1068" s="24">
        <f>IF($L1068="","",IF(INDEX(ExpDep,$L1068)=0,"",INDEX(ExpDep,$L1068)))</f>
        <v/>
      </c>
      <c r="H1068" s="24">
        <f>IF($L1068="","",IF(INDEX(ExpWit,$L1068)=0,"",INDEX(ExpWit,$L1068)))</f>
        <v/>
      </c>
      <c r="I1068" s="25">
        <f>IF($B1068="","",IF($I1067="",0,$I1067)+IF($H1068="",0,$H1068)-IF($G1068="",0,$G1068))</f>
        <v/>
      </c>
      <c r="J1068" s="23">
        <f>IF($L1068="","",IF(INDEX(ExpNote,$L1068)="","—",INDEX(ExpNote,$L1068)))</f>
        <v/>
      </c>
      <c r="L1068">
        <f>IFERROR(MATCH($C$5&amp;"|"&amp;RIGHT("000000"&amp;1052,6),ExpRankKey,0),"")</f>
        <v/>
      </c>
    </row>
    <row r="1069">
      <c r="A1069" s="16" t="n">
        <v>1053</v>
      </c>
      <c r="B1069" s="17">
        <f>IF($L1069="","",INDEX(ExpNorm,$L1069))</f>
        <v/>
      </c>
      <c r="C1069" s="17">
        <f>IF($L1069="","",IF(INDEX(ExpTime,$L1069)="","—",LEFT(INDEX(ExpTime,$L1069),2)&amp;":"&amp;RIGHT(INDEX(ExpTime,$L1069),2)))</f>
        <v/>
      </c>
      <c r="D1069" s="17">
        <f>IF($L1069="","",IF(INDEX(ExpBank,$L1069)="","—",INDEX(ExpBank,$L1069)))</f>
        <v/>
      </c>
      <c r="E1069" s="18">
        <f>IF($L1069="","",IF(INDEX(ExpParty,$L1069)="","—",IFERROR(VLOOKUP(INDEX(ExpParty,$L1069),AcctTbl,4,0),INDEX(ExpParty,$L1069))))</f>
        <v/>
      </c>
      <c r="F1069" s="17">
        <f>IF($L1069="","",IF(INDEX(ExpType,$L1069)="","—",INDEX(ExpType,$L1069)))</f>
        <v/>
      </c>
      <c r="G1069" s="19">
        <f>IF($L1069="","",IF(INDEX(ExpDep,$L1069)=0,"",INDEX(ExpDep,$L1069)))</f>
        <v/>
      </c>
      <c r="H1069" s="19">
        <f>IF($L1069="","",IF(INDEX(ExpWit,$L1069)=0,"",INDEX(ExpWit,$L1069)))</f>
        <v/>
      </c>
      <c r="I1069" s="20">
        <f>IF($B1069="","",IF($I1068="",0,$I1068)+IF($H1069="",0,$H1069)-IF($G1069="",0,$G1069))</f>
        <v/>
      </c>
      <c r="J1069" s="18">
        <f>IF($L1069="","",IF(INDEX(ExpNote,$L1069)="","—",INDEX(ExpNote,$L1069)))</f>
        <v/>
      </c>
      <c r="L1069">
        <f>IFERROR(MATCH($C$5&amp;"|"&amp;RIGHT("000000"&amp;1053,6),ExpRankKey,0),"")</f>
        <v/>
      </c>
    </row>
    <row r="1070">
      <c r="A1070" s="21" t="n">
        <v>1054</v>
      </c>
      <c r="B1070" s="22">
        <f>IF($L1070="","",INDEX(ExpNorm,$L1070))</f>
        <v/>
      </c>
      <c r="C1070" s="22">
        <f>IF($L1070="","",IF(INDEX(ExpTime,$L1070)="","—",LEFT(INDEX(ExpTime,$L1070),2)&amp;":"&amp;RIGHT(INDEX(ExpTime,$L1070),2)))</f>
        <v/>
      </c>
      <c r="D1070" s="22">
        <f>IF($L1070="","",IF(INDEX(ExpBank,$L1070)="","—",INDEX(ExpBank,$L1070)))</f>
        <v/>
      </c>
      <c r="E1070" s="23">
        <f>IF($L1070="","",IF(INDEX(ExpParty,$L1070)="","—",IFERROR(VLOOKUP(INDEX(ExpParty,$L1070),AcctTbl,4,0),INDEX(ExpParty,$L1070))))</f>
        <v/>
      </c>
      <c r="F1070" s="22">
        <f>IF($L1070="","",IF(INDEX(ExpType,$L1070)="","—",INDEX(ExpType,$L1070)))</f>
        <v/>
      </c>
      <c r="G1070" s="24">
        <f>IF($L1070="","",IF(INDEX(ExpDep,$L1070)=0,"",INDEX(ExpDep,$L1070)))</f>
        <v/>
      </c>
      <c r="H1070" s="24">
        <f>IF($L1070="","",IF(INDEX(ExpWit,$L1070)=0,"",INDEX(ExpWit,$L1070)))</f>
        <v/>
      </c>
      <c r="I1070" s="25">
        <f>IF($B1070="","",IF($I1069="",0,$I1069)+IF($H1070="",0,$H1070)-IF($G1070="",0,$G1070))</f>
        <v/>
      </c>
      <c r="J1070" s="23">
        <f>IF($L1070="","",IF(INDEX(ExpNote,$L1070)="","—",INDEX(ExpNote,$L1070)))</f>
        <v/>
      </c>
      <c r="L1070">
        <f>IFERROR(MATCH($C$5&amp;"|"&amp;RIGHT("000000"&amp;1054,6),ExpRankKey,0),"")</f>
        <v/>
      </c>
    </row>
    <row r="1071">
      <c r="A1071" s="16" t="n">
        <v>1055</v>
      </c>
      <c r="B1071" s="17">
        <f>IF($L1071="","",INDEX(ExpNorm,$L1071))</f>
        <v/>
      </c>
      <c r="C1071" s="17">
        <f>IF($L1071="","",IF(INDEX(ExpTime,$L1071)="","—",LEFT(INDEX(ExpTime,$L1071),2)&amp;":"&amp;RIGHT(INDEX(ExpTime,$L1071),2)))</f>
        <v/>
      </c>
      <c r="D1071" s="17">
        <f>IF($L1071="","",IF(INDEX(ExpBank,$L1071)="","—",INDEX(ExpBank,$L1071)))</f>
        <v/>
      </c>
      <c r="E1071" s="18">
        <f>IF($L1071="","",IF(INDEX(ExpParty,$L1071)="","—",IFERROR(VLOOKUP(INDEX(ExpParty,$L1071),AcctTbl,4,0),INDEX(ExpParty,$L1071))))</f>
        <v/>
      </c>
      <c r="F1071" s="17">
        <f>IF($L1071="","",IF(INDEX(ExpType,$L1071)="","—",INDEX(ExpType,$L1071)))</f>
        <v/>
      </c>
      <c r="G1071" s="19">
        <f>IF($L1071="","",IF(INDEX(ExpDep,$L1071)=0,"",INDEX(ExpDep,$L1071)))</f>
        <v/>
      </c>
      <c r="H1071" s="19">
        <f>IF($L1071="","",IF(INDEX(ExpWit,$L1071)=0,"",INDEX(ExpWit,$L1071)))</f>
        <v/>
      </c>
      <c r="I1071" s="20">
        <f>IF($B1071="","",IF($I1070="",0,$I1070)+IF($H1071="",0,$H1071)-IF($G1071="",0,$G1071))</f>
        <v/>
      </c>
      <c r="J1071" s="18">
        <f>IF($L1071="","",IF(INDEX(ExpNote,$L1071)="","—",INDEX(ExpNote,$L1071)))</f>
        <v/>
      </c>
      <c r="L1071">
        <f>IFERROR(MATCH($C$5&amp;"|"&amp;RIGHT("000000"&amp;1055,6),ExpRankKey,0),"")</f>
        <v/>
      </c>
    </row>
    <row r="1072">
      <c r="A1072" s="21" t="n">
        <v>1056</v>
      </c>
      <c r="B1072" s="22">
        <f>IF($L1072="","",INDEX(ExpNorm,$L1072))</f>
        <v/>
      </c>
      <c r="C1072" s="22">
        <f>IF($L1072="","",IF(INDEX(ExpTime,$L1072)="","—",LEFT(INDEX(ExpTime,$L1072),2)&amp;":"&amp;RIGHT(INDEX(ExpTime,$L1072),2)))</f>
        <v/>
      </c>
      <c r="D1072" s="22">
        <f>IF($L1072="","",IF(INDEX(ExpBank,$L1072)="","—",INDEX(ExpBank,$L1072)))</f>
        <v/>
      </c>
      <c r="E1072" s="23">
        <f>IF($L1072="","",IF(INDEX(ExpParty,$L1072)="","—",IFERROR(VLOOKUP(INDEX(ExpParty,$L1072),AcctTbl,4,0),INDEX(ExpParty,$L1072))))</f>
        <v/>
      </c>
      <c r="F1072" s="22">
        <f>IF($L1072="","",IF(INDEX(ExpType,$L1072)="","—",INDEX(ExpType,$L1072)))</f>
        <v/>
      </c>
      <c r="G1072" s="24">
        <f>IF($L1072="","",IF(INDEX(ExpDep,$L1072)=0,"",INDEX(ExpDep,$L1072)))</f>
        <v/>
      </c>
      <c r="H1072" s="24">
        <f>IF($L1072="","",IF(INDEX(ExpWit,$L1072)=0,"",INDEX(ExpWit,$L1072)))</f>
        <v/>
      </c>
      <c r="I1072" s="25">
        <f>IF($B1072="","",IF($I1071="",0,$I1071)+IF($H1072="",0,$H1072)-IF($G1072="",0,$G1072))</f>
        <v/>
      </c>
      <c r="J1072" s="23">
        <f>IF($L1072="","",IF(INDEX(ExpNote,$L1072)="","—",INDEX(ExpNote,$L1072)))</f>
        <v/>
      </c>
      <c r="L1072">
        <f>IFERROR(MATCH($C$5&amp;"|"&amp;RIGHT("000000"&amp;1056,6),ExpRankKey,0),"")</f>
        <v/>
      </c>
    </row>
    <row r="1073">
      <c r="A1073" s="16" t="n">
        <v>1057</v>
      </c>
      <c r="B1073" s="17">
        <f>IF($L1073="","",INDEX(ExpNorm,$L1073))</f>
        <v/>
      </c>
      <c r="C1073" s="17">
        <f>IF($L1073="","",IF(INDEX(ExpTime,$L1073)="","—",LEFT(INDEX(ExpTime,$L1073),2)&amp;":"&amp;RIGHT(INDEX(ExpTime,$L1073),2)))</f>
        <v/>
      </c>
      <c r="D1073" s="17">
        <f>IF($L1073="","",IF(INDEX(ExpBank,$L1073)="","—",INDEX(ExpBank,$L1073)))</f>
        <v/>
      </c>
      <c r="E1073" s="18">
        <f>IF($L1073="","",IF(INDEX(ExpParty,$L1073)="","—",IFERROR(VLOOKUP(INDEX(ExpParty,$L1073),AcctTbl,4,0),INDEX(ExpParty,$L1073))))</f>
        <v/>
      </c>
      <c r="F1073" s="17">
        <f>IF($L1073="","",IF(INDEX(ExpType,$L1073)="","—",INDEX(ExpType,$L1073)))</f>
        <v/>
      </c>
      <c r="G1073" s="19">
        <f>IF($L1073="","",IF(INDEX(ExpDep,$L1073)=0,"",INDEX(ExpDep,$L1073)))</f>
        <v/>
      </c>
      <c r="H1073" s="19">
        <f>IF($L1073="","",IF(INDEX(ExpWit,$L1073)=0,"",INDEX(ExpWit,$L1073)))</f>
        <v/>
      </c>
      <c r="I1073" s="20">
        <f>IF($B1073="","",IF($I1072="",0,$I1072)+IF($H1073="",0,$H1073)-IF($G1073="",0,$G1073))</f>
        <v/>
      </c>
      <c r="J1073" s="18">
        <f>IF($L1073="","",IF(INDEX(ExpNote,$L1073)="","—",INDEX(ExpNote,$L1073)))</f>
        <v/>
      </c>
      <c r="L1073">
        <f>IFERROR(MATCH($C$5&amp;"|"&amp;RIGHT("000000"&amp;1057,6),ExpRankKey,0),"")</f>
        <v/>
      </c>
    </row>
    <row r="1074">
      <c r="A1074" s="21" t="n">
        <v>1058</v>
      </c>
      <c r="B1074" s="22">
        <f>IF($L1074="","",INDEX(ExpNorm,$L1074))</f>
        <v/>
      </c>
      <c r="C1074" s="22">
        <f>IF($L1074="","",IF(INDEX(ExpTime,$L1074)="","—",LEFT(INDEX(ExpTime,$L1074),2)&amp;":"&amp;RIGHT(INDEX(ExpTime,$L1074),2)))</f>
        <v/>
      </c>
      <c r="D1074" s="22">
        <f>IF($L1074="","",IF(INDEX(ExpBank,$L1074)="","—",INDEX(ExpBank,$L1074)))</f>
        <v/>
      </c>
      <c r="E1074" s="23">
        <f>IF($L1074="","",IF(INDEX(ExpParty,$L1074)="","—",IFERROR(VLOOKUP(INDEX(ExpParty,$L1074),AcctTbl,4,0),INDEX(ExpParty,$L1074))))</f>
        <v/>
      </c>
      <c r="F1074" s="22">
        <f>IF($L1074="","",IF(INDEX(ExpType,$L1074)="","—",INDEX(ExpType,$L1074)))</f>
        <v/>
      </c>
      <c r="G1074" s="24">
        <f>IF($L1074="","",IF(INDEX(ExpDep,$L1074)=0,"",INDEX(ExpDep,$L1074)))</f>
        <v/>
      </c>
      <c r="H1074" s="24">
        <f>IF($L1074="","",IF(INDEX(ExpWit,$L1074)=0,"",INDEX(ExpWit,$L1074)))</f>
        <v/>
      </c>
      <c r="I1074" s="25">
        <f>IF($B1074="","",IF($I1073="",0,$I1073)+IF($H1074="",0,$H1074)-IF($G1074="",0,$G1074))</f>
        <v/>
      </c>
      <c r="J1074" s="23">
        <f>IF($L1074="","",IF(INDEX(ExpNote,$L1074)="","—",INDEX(ExpNote,$L1074)))</f>
        <v/>
      </c>
      <c r="L1074">
        <f>IFERROR(MATCH($C$5&amp;"|"&amp;RIGHT("000000"&amp;1058,6),ExpRankKey,0),"")</f>
        <v/>
      </c>
    </row>
    <row r="1075">
      <c r="A1075" s="16" t="n">
        <v>1059</v>
      </c>
      <c r="B1075" s="17">
        <f>IF($L1075="","",INDEX(ExpNorm,$L1075))</f>
        <v/>
      </c>
      <c r="C1075" s="17">
        <f>IF($L1075="","",IF(INDEX(ExpTime,$L1075)="","—",LEFT(INDEX(ExpTime,$L1075),2)&amp;":"&amp;RIGHT(INDEX(ExpTime,$L1075),2)))</f>
        <v/>
      </c>
      <c r="D1075" s="17">
        <f>IF($L1075="","",IF(INDEX(ExpBank,$L1075)="","—",INDEX(ExpBank,$L1075)))</f>
        <v/>
      </c>
      <c r="E1075" s="18">
        <f>IF($L1075="","",IF(INDEX(ExpParty,$L1075)="","—",IFERROR(VLOOKUP(INDEX(ExpParty,$L1075),AcctTbl,4,0),INDEX(ExpParty,$L1075))))</f>
        <v/>
      </c>
      <c r="F1075" s="17">
        <f>IF($L1075="","",IF(INDEX(ExpType,$L1075)="","—",INDEX(ExpType,$L1075)))</f>
        <v/>
      </c>
      <c r="G1075" s="19">
        <f>IF($L1075="","",IF(INDEX(ExpDep,$L1075)=0,"",INDEX(ExpDep,$L1075)))</f>
        <v/>
      </c>
      <c r="H1075" s="19">
        <f>IF($L1075="","",IF(INDEX(ExpWit,$L1075)=0,"",INDEX(ExpWit,$L1075)))</f>
        <v/>
      </c>
      <c r="I1075" s="20">
        <f>IF($B1075="","",IF($I1074="",0,$I1074)+IF($H1075="",0,$H1075)-IF($G1075="",0,$G1075))</f>
        <v/>
      </c>
      <c r="J1075" s="18">
        <f>IF($L1075="","",IF(INDEX(ExpNote,$L1075)="","—",INDEX(ExpNote,$L1075)))</f>
        <v/>
      </c>
      <c r="L1075">
        <f>IFERROR(MATCH($C$5&amp;"|"&amp;RIGHT("000000"&amp;1059,6),ExpRankKey,0),"")</f>
        <v/>
      </c>
    </row>
    <row r="1076">
      <c r="A1076" s="21" t="n">
        <v>1060</v>
      </c>
      <c r="B1076" s="22">
        <f>IF($L1076="","",INDEX(ExpNorm,$L1076))</f>
        <v/>
      </c>
      <c r="C1076" s="22">
        <f>IF($L1076="","",IF(INDEX(ExpTime,$L1076)="","—",LEFT(INDEX(ExpTime,$L1076),2)&amp;":"&amp;RIGHT(INDEX(ExpTime,$L1076),2)))</f>
        <v/>
      </c>
      <c r="D1076" s="22">
        <f>IF($L1076="","",IF(INDEX(ExpBank,$L1076)="","—",INDEX(ExpBank,$L1076)))</f>
        <v/>
      </c>
      <c r="E1076" s="23">
        <f>IF($L1076="","",IF(INDEX(ExpParty,$L1076)="","—",IFERROR(VLOOKUP(INDEX(ExpParty,$L1076),AcctTbl,4,0),INDEX(ExpParty,$L1076))))</f>
        <v/>
      </c>
      <c r="F1076" s="22">
        <f>IF($L1076="","",IF(INDEX(ExpType,$L1076)="","—",INDEX(ExpType,$L1076)))</f>
        <v/>
      </c>
      <c r="G1076" s="24">
        <f>IF($L1076="","",IF(INDEX(ExpDep,$L1076)=0,"",INDEX(ExpDep,$L1076)))</f>
        <v/>
      </c>
      <c r="H1076" s="24">
        <f>IF($L1076="","",IF(INDEX(ExpWit,$L1076)=0,"",INDEX(ExpWit,$L1076)))</f>
        <v/>
      </c>
      <c r="I1076" s="25">
        <f>IF($B1076="","",IF($I1075="",0,$I1075)+IF($H1076="",0,$H1076)-IF($G1076="",0,$G1076))</f>
        <v/>
      </c>
      <c r="J1076" s="23">
        <f>IF($L1076="","",IF(INDEX(ExpNote,$L1076)="","—",INDEX(ExpNote,$L1076)))</f>
        <v/>
      </c>
      <c r="L1076">
        <f>IFERROR(MATCH($C$5&amp;"|"&amp;RIGHT("000000"&amp;1060,6),ExpRankKey,0),"")</f>
        <v/>
      </c>
    </row>
    <row r="1077">
      <c r="A1077" s="16" t="n">
        <v>1061</v>
      </c>
      <c r="B1077" s="17">
        <f>IF($L1077="","",INDEX(ExpNorm,$L1077))</f>
        <v/>
      </c>
      <c r="C1077" s="17">
        <f>IF($L1077="","",IF(INDEX(ExpTime,$L1077)="","—",LEFT(INDEX(ExpTime,$L1077),2)&amp;":"&amp;RIGHT(INDEX(ExpTime,$L1077),2)))</f>
        <v/>
      </c>
      <c r="D1077" s="17">
        <f>IF($L1077="","",IF(INDEX(ExpBank,$L1077)="","—",INDEX(ExpBank,$L1077)))</f>
        <v/>
      </c>
      <c r="E1077" s="18">
        <f>IF($L1077="","",IF(INDEX(ExpParty,$L1077)="","—",IFERROR(VLOOKUP(INDEX(ExpParty,$L1077),AcctTbl,4,0),INDEX(ExpParty,$L1077))))</f>
        <v/>
      </c>
      <c r="F1077" s="17">
        <f>IF($L1077="","",IF(INDEX(ExpType,$L1077)="","—",INDEX(ExpType,$L1077)))</f>
        <v/>
      </c>
      <c r="G1077" s="19">
        <f>IF($L1077="","",IF(INDEX(ExpDep,$L1077)=0,"",INDEX(ExpDep,$L1077)))</f>
        <v/>
      </c>
      <c r="H1077" s="19">
        <f>IF($L1077="","",IF(INDEX(ExpWit,$L1077)=0,"",INDEX(ExpWit,$L1077)))</f>
        <v/>
      </c>
      <c r="I1077" s="20">
        <f>IF($B1077="","",IF($I1076="",0,$I1076)+IF($H1077="",0,$H1077)-IF($G1077="",0,$G1077))</f>
        <v/>
      </c>
      <c r="J1077" s="18">
        <f>IF($L1077="","",IF(INDEX(ExpNote,$L1077)="","—",INDEX(ExpNote,$L1077)))</f>
        <v/>
      </c>
      <c r="L1077">
        <f>IFERROR(MATCH($C$5&amp;"|"&amp;RIGHT("000000"&amp;1061,6),ExpRankKey,0),"")</f>
        <v/>
      </c>
    </row>
    <row r="1078">
      <c r="A1078" s="21" t="n">
        <v>1062</v>
      </c>
      <c r="B1078" s="22">
        <f>IF($L1078="","",INDEX(ExpNorm,$L1078))</f>
        <v/>
      </c>
      <c r="C1078" s="22">
        <f>IF($L1078="","",IF(INDEX(ExpTime,$L1078)="","—",LEFT(INDEX(ExpTime,$L1078),2)&amp;":"&amp;RIGHT(INDEX(ExpTime,$L1078),2)))</f>
        <v/>
      </c>
      <c r="D1078" s="22">
        <f>IF($L1078="","",IF(INDEX(ExpBank,$L1078)="","—",INDEX(ExpBank,$L1078)))</f>
        <v/>
      </c>
      <c r="E1078" s="23">
        <f>IF($L1078="","",IF(INDEX(ExpParty,$L1078)="","—",IFERROR(VLOOKUP(INDEX(ExpParty,$L1078),AcctTbl,4,0),INDEX(ExpParty,$L1078))))</f>
        <v/>
      </c>
      <c r="F1078" s="22">
        <f>IF($L1078="","",IF(INDEX(ExpType,$L1078)="","—",INDEX(ExpType,$L1078)))</f>
        <v/>
      </c>
      <c r="G1078" s="24">
        <f>IF($L1078="","",IF(INDEX(ExpDep,$L1078)=0,"",INDEX(ExpDep,$L1078)))</f>
        <v/>
      </c>
      <c r="H1078" s="24">
        <f>IF($L1078="","",IF(INDEX(ExpWit,$L1078)=0,"",INDEX(ExpWit,$L1078)))</f>
        <v/>
      </c>
      <c r="I1078" s="25">
        <f>IF($B1078="","",IF($I1077="",0,$I1077)+IF($H1078="",0,$H1078)-IF($G1078="",0,$G1078))</f>
        <v/>
      </c>
      <c r="J1078" s="23">
        <f>IF($L1078="","",IF(INDEX(ExpNote,$L1078)="","—",INDEX(ExpNote,$L1078)))</f>
        <v/>
      </c>
      <c r="L1078">
        <f>IFERROR(MATCH($C$5&amp;"|"&amp;RIGHT("000000"&amp;1062,6),ExpRankKey,0),"")</f>
        <v/>
      </c>
    </row>
    <row r="1079">
      <c r="A1079" s="16" t="n">
        <v>1063</v>
      </c>
      <c r="B1079" s="17">
        <f>IF($L1079="","",INDEX(ExpNorm,$L1079))</f>
        <v/>
      </c>
      <c r="C1079" s="17">
        <f>IF($L1079="","",IF(INDEX(ExpTime,$L1079)="","—",LEFT(INDEX(ExpTime,$L1079),2)&amp;":"&amp;RIGHT(INDEX(ExpTime,$L1079),2)))</f>
        <v/>
      </c>
      <c r="D1079" s="17">
        <f>IF($L1079="","",IF(INDEX(ExpBank,$L1079)="","—",INDEX(ExpBank,$L1079)))</f>
        <v/>
      </c>
      <c r="E1079" s="18">
        <f>IF($L1079="","",IF(INDEX(ExpParty,$L1079)="","—",IFERROR(VLOOKUP(INDEX(ExpParty,$L1079),AcctTbl,4,0),INDEX(ExpParty,$L1079))))</f>
        <v/>
      </c>
      <c r="F1079" s="17">
        <f>IF($L1079="","",IF(INDEX(ExpType,$L1079)="","—",INDEX(ExpType,$L1079)))</f>
        <v/>
      </c>
      <c r="G1079" s="19">
        <f>IF($L1079="","",IF(INDEX(ExpDep,$L1079)=0,"",INDEX(ExpDep,$L1079)))</f>
        <v/>
      </c>
      <c r="H1079" s="19">
        <f>IF($L1079="","",IF(INDEX(ExpWit,$L1079)=0,"",INDEX(ExpWit,$L1079)))</f>
        <v/>
      </c>
      <c r="I1079" s="20">
        <f>IF($B1079="","",IF($I1078="",0,$I1078)+IF($H1079="",0,$H1079)-IF($G1079="",0,$G1079))</f>
        <v/>
      </c>
      <c r="J1079" s="18">
        <f>IF($L1079="","",IF(INDEX(ExpNote,$L1079)="","—",INDEX(ExpNote,$L1079)))</f>
        <v/>
      </c>
      <c r="L1079">
        <f>IFERROR(MATCH($C$5&amp;"|"&amp;RIGHT("000000"&amp;1063,6),ExpRankKey,0),"")</f>
        <v/>
      </c>
    </row>
    <row r="1080">
      <c r="A1080" s="21" t="n">
        <v>1064</v>
      </c>
      <c r="B1080" s="22">
        <f>IF($L1080="","",INDEX(ExpNorm,$L1080))</f>
        <v/>
      </c>
      <c r="C1080" s="22">
        <f>IF($L1080="","",IF(INDEX(ExpTime,$L1080)="","—",LEFT(INDEX(ExpTime,$L1080),2)&amp;":"&amp;RIGHT(INDEX(ExpTime,$L1080),2)))</f>
        <v/>
      </c>
      <c r="D1080" s="22">
        <f>IF($L1080="","",IF(INDEX(ExpBank,$L1080)="","—",INDEX(ExpBank,$L1080)))</f>
        <v/>
      </c>
      <c r="E1080" s="23">
        <f>IF($L1080="","",IF(INDEX(ExpParty,$L1080)="","—",IFERROR(VLOOKUP(INDEX(ExpParty,$L1080),AcctTbl,4,0),INDEX(ExpParty,$L1080))))</f>
        <v/>
      </c>
      <c r="F1080" s="22">
        <f>IF($L1080="","",IF(INDEX(ExpType,$L1080)="","—",INDEX(ExpType,$L1080)))</f>
        <v/>
      </c>
      <c r="G1080" s="24">
        <f>IF($L1080="","",IF(INDEX(ExpDep,$L1080)=0,"",INDEX(ExpDep,$L1080)))</f>
        <v/>
      </c>
      <c r="H1080" s="24">
        <f>IF($L1080="","",IF(INDEX(ExpWit,$L1080)=0,"",INDEX(ExpWit,$L1080)))</f>
        <v/>
      </c>
      <c r="I1080" s="25">
        <f>IF($B1080="","",IF($I1079="",0,$I1079)+IF($H1080="",0,$H1080)-IF($G1080="",0,$G1080))</f>
        <v/>
      </c>
      <c r="J1080" s="23">
        <f>IF($L1080="","",IF(INDEX(ExpNote,$L1080)="","—",INDEX(ExpNote,$L1080)))</f>
        <v/>
      </c>
      <c r="L1080">
        <f>IFERROR(MATCH($C$5&amp;"|"&amp;RIGHT("000000"&amp;1064,6),ExpRankKey,0),"")</f>
        <v/>
      </c>
    </row>
    <row r="1081">
      <c r="A1081" s="16" t="n">
        <v>1065</v>
      </c>
      <c r="B1081" s="17">
        <f>IF($L1081="","",INDEX(ExpNorm,$L1081))</f>
        <v/>
      </c>
      <c r="C1081" s="17">
        <f>IF($L1081="","",IF(INDEX(ExpTime,$L1081)="","—",LEFT(INDEX(ExpTime,$L1081),2)&amp;":"&amp;RIGHT(INDEX(ExpTime,$L1081),2)))</f>
        <v/>
      </c>
      <c r="D1081" s="17">
        <f>IF($L1081="","",IF(INDEX(ExpBank,$L1081)="","—",INDEX(ExpBank,$L1081)))</f>
        <v/>
      </c>
      <c r="E1081" s="18">
        <f>IF($L1081="","",IF(INDEX(ExpParty,$L1081)="","—",IFERROR(VLOOKUP(INDEX(ExpParty,$L1081),AcctTbl,4,0),INDEX(ExpParty,$L1081))))</f>
        <v/>
      </c>
      <c r="F1081" s="17">
        <f>IF($L1081="","",IF(INDEX(ExpType,$L1081)="","—",INDEX(ExpType,$L1081)))</f>
        <v/>
      </c>
      <c r="G1081" s="19">
        <f>IF($L1081="","",IF(INDEX(ExpDep,$L1081)=0,"",INDEX(ExpDep,$L1081)))</f>
        <v/>
      </c>
      <c r="H1081" s="19">
        <f>IF($L1081="","",IF(INDEX(ExpWit,$L1081)=0,"",INDEX(ExpWit,$L1081)))</f>
        <v/>
      </c>
      <c r="I1081" s="20">
        <f>IF($B1081="","",IF($I1080="",0,$I1080)+IF($H1081="",0,$H1081)-IF($G1081="",0,$G1081))</f>
        <v/>
      </c>
      <c r="J1081" s="18">
        <f>IF($L1081="","",IF(INDEX(ExpNote,$L1081)="","—",INDEX(ExpNote,$L1081)))</f>
        <v/>
      </c>
      <c r="L1081">
        <f>IFERROR(MATCH($C$5&amp;"|"&amp;RIGHT("000000"&amp;1065,6),ExpRankKey,0),"")</f>
        <v/>
      </c>
    </row>
    <row r="1082">
      <c r="A1082" s="21" t="n">
        <v>1066</v>
      </c>
      <c r="B1082" s="22">
        <f>IF($L1082="","",INDEX(ExpNorm,$L1082))</f>
        <v/>
      </c>
      <c r="C1082" s="22">
        <f>IF($L1082="","",IF(INDEX(ExpTime,$L1082)="","—",LEFT(INDEX(ExpTime,$L1082),2)&amp;":"&amp;RIGHT(INDEX(ExpTime,$L1082),2)))</f>
        <v/>
      </c>
      <c r="D1082" s="22">
        <f>IF($L1082="","",IF(INDEX(ExpBank,$L1082)="","—",INDEX(ExpBank,$L1082)))</f>
        <v/>
      </c>
      <c r="E1082" s="23">
        <f>IF($L1082="","",IF(INDEX(ExpParty,$L1082)="","—",IFERROR(VLOOKUP(INDEX(ExpParty,$L1082),AcctTbl,4,0),INDEX(ExpParty,$L1082))))</f>
        <v/>
      </c>
      <c r="F1082" s="22">
        <f>IF($L1082="","",IF(INDEX(ExpType,$L1082)="","—",INDEX(ExpType,$L1082)))</f>
        <v/>
      </c>
      <c r="G1082" s="24">
        <f>IF($L1082="","",IF(INDEX(ExpDep,$L1082)=0,"",INDEX(ExpDep,$L1082)))</f>
        <v/>
      </c>
      <c r="H1082" s="24">
        <f>IF($L1082="","",IF(INDEX(ExpWit,$L1082)=0,"",INDEX(ExpWit,$L1082)))</f>
        <v/>
      </c>
      <c r="I1082" s="25">
        <f>IF($B1082="","",IF($I1081="",0,$I1081)+IF($H1082="",0,$H1082)-IF($G1082="",0,$G1082))</f>
        <v/>
      </c>
      <c r="J1082" s="23">
        <f>IF($L1082="","",IF(INDEX(ExpNote,$L1082)="","—",INDEX(ExpNote,$L1082)))</f>
        <v/>
      </c>
      <c r="L1082">
        <f>IFERROR(MATCH($C$5&amp;"|"&amp;RIGHT("000000"&amp;1066,6),ExpRankKey,0),"")</f>
        <v/>
      </c>
    </row>
    <row r="1083">
      <c r="A1083" s="16" t="n">
        <v>1067</v>
      </c>
      <c r="B1083" s="17">
        <f>IF($L1083="","",INDEX(ExpNorm,$L1083))</f>
        <v/>
      </c>
      <c r="C1083" s="17">
        <f>IF($L1083="","",IF(INDEX(ExpTime,$L1083)="","—",LEFT(INDEX(ExpTime,$L1083),2)&amp;":"&amp;RIGHT(INDEX(ExpTime,$L1083),2)))</f>
        <v/>
      </c>
      <c r="D1083" s="17">
        <f>IF($L1083="","",IF(INDEX(ExpBank,$L1083)="","—",INDEX(ExpBank,$L1083)))</f>
        <v/>
      </c>
      <c r="E1083" s="18">
        <f>IF($L1083="","",IF(INDEX(ExpParty,$L1083)="","—",IFERROR(VLOOKUP(INDEX(ExpParty,$L1083),AcctTbl,4,0),INDEX(ExpParty,$L1083))))</f>
        <v/>
      </c>
      <c r="F1083" s="17">
        <f>IF($L1083="","",IF(INDEX(ExpType,$L1083)="","—",INDEX(ExpType,$L1083)))</f>
        <v/>
      </c>
      <c r="G1083" s="19">
        <f>IF($L1083="","",IF(INDEX(ExpDep,$L1083)=0,"",INDEX(ExpDep,$L1083)))</f>
        <v/>
      </c>
      <c r="H1083" s="19">
        <f>IF($L1083="","",IF(INDEX(ExpWit,$L1083)=0,"",INDEX(ExpWit,$L1083)))</f>
        <v/>
      </c>
      <c r="I1083" s="20">
        <f>IF($B1083="","",IF($I1082="",0,$I1082)+IF($H1083="",0,$H1083)-IF($G1083="",0,$G1083))</f>
        <v/>
      </c>
      <c r="J1083" s="18">
        <f>IF($L1083="","",IF(INDEX(ExpNote,$L1083)="","—",INDEX(ExpNote,$L1083)))</f>
        <v/>
      </c>
      <c r="L1083">
        <f>IFERROR(MATCH($C$5&amp;"|"&amp;RIGHT("000000"&amp;1067,6),ExpRankKey,0),"")</f>
        <v/>
      </c>
    </row>
    <row r="1084">
      <c r="A1084" s="21" t="n">
        <v>1068</v>
      </c>
      <c r="B1084" s="22">
        <f>IF($L1084="","",INDEX(ExpNorm,$L1084))</f>
        <v/>
      </c>
      <c r="C1084" s="22">
        <f>IF($L1084="","",IF(INDEX(ExpTime,$L1084)="","—",LEFT(INDEX(ExpTime,$L1084),2)&amp;":"&amp;RIGHT(INDEX(ExpTime,$L1084),2)))</f>
        <v/>
      </c>
      <c r="D1084" s="22">
        <f>IF($L1084="","",IF(INDEX(ExpBank,$L1084)="","—",INDEX(ExpBank,$L1084)))</f>
        <v/>
      </c>
      <c r="E1084" s="23">
        <f>IF($L1084="","",IF(INDEX(ExpParty,$L1084)="","—",IFERROR(VLOOKUP(INDEX(ExpParty,$L1084),AcctTbl,4,0),INDEX(ExpParty,$L1084))))</f>
        <v/>
      </c>
      <c r="F1084" s="22">
        <f>IF($L1084="","",IF(INDEX(ExpType,$L1084)="","—",INDEX(ExpType,$L1084)))</f>
        <v/>
      </c>
      <c r="G1084" s="24">
        <f>IF($L1084="","",IF(INDEX(ExpDep,$L1084)=0,"",INDEX(ExpDep,$L1084)))</f>
        <v/>
      </c>
      <c r="H1084" s="24">
        <f>IF($L1084="","",IF(INDEX(ExpWit,$L1084)=0,"",INDEX(ExpWit,$L1084)))</f>
        <v/>
      </c>
      <c r="I1084" s="25">
        <f>IF($B1084="","",IF($I1083="",0,$I1083)+IF($H1084="",0,$H1084)-IF($G1084="",0,$G1084))</f>
        <v/>
      </c>
      <c r="J1084" s="23">
        <f>IF($L1084="","",IF(INDEX(ExpNote,$L1084)="","—",INDEX(ExpNote,$L1084)))</f>
        <v/>
      </c>
      <c r="L1084">
        <f>IFERROR(MATCH($C$5&amp;"|"&amp;RIGHT("000000"&amp;1068,6),ExpRankKey,0),"")</f>
        <v/>
      </c>
    </row>
    <row r="1085">
      <c r="A1085" s="16" t="n">
        <v>1069</v>
      </c>
      <c r="B1085" s="17">
        <f>IF($L1085="","",INDEX(ExpNorm,$L1085))</f>
        <v/>
      </c>
      <c r="C1085" s="17">
        <f>IF($L1085="","",IF(INDEX(ExpTime,$L1085)="","—",LEFT(INDEX(ExpTime,$L1085),2)&amp;":"&amp;RIGHT(INDEX(ExpTime,$L1085),2)))</f>
        <v/>
      </c>
      <c r="D1085" s="17">
        <f>IF($L1085="","",IF(INDEX(ExpBank,$L1085)="","—",INDEX(ExpBank,$L1085)))</f>
        <v/>
      </c>
      <c r="E1085" s="18">
        <f>IF($L1085="","",IF(INDEX(ExpParty,$L1085)="","—",IFERROR(VLOOKUP(INDEX(ExpParty,$L1085),AcctTbl,4,0),INDEX(ExpParty,$L1085))))</f>
        <v/>
      </c>
      <c r="F1085" s="17">
        <f>IF($L1085="","",IF(INDEX(ExpType,$L1085)="","—",INDEX(ExpType,$L1085)))</f>
        <v/>
      </c>
      <c r="G1085" s="19">
        <f>IF($L1085="","",IF(INDEX(ExpDep,$L1085)=0,"",INDEX(ExpDep,$L1085)))</f>
        <v/>
      </c>
      <c r="H1085" s="19">
        <f>IF($L1085="","",IF(INDEX(ExpWit,$L1085)=0,"",INDEX(ExpWit,$L1085)))</f>
        <v/>
      </c>
      <c r="I1085" s="20">
        <f>IF($B1085="","",IF($I1084="",0,$I1084)+IF($H1085="",0,$H1085)-IF($G1085="",0,$G1085))</f>
        <v/>
      </c>
      <c r="J1085" s="18">
        <f>IF($L1085="","",IF(INDEX(ExpNote,$L1085)="","—",INDEX(ExpNote,$L1085)))</f>
        <v/>
      </c>
      <c r="L1085">
        <f>IFERROR(MATCH($C$5&amp;"|"&amp;RIGHT("000000"&amp;1069,6),ExpRankKey,0),"")</f>
        <v/>
      </c>
    </row>
    <row r="1086">
      <c r="A1086" s="21" t="n">
        <v>1070</v>
      </c>
      <c r="B1086" s="22">
        <f>IF($L1086="","",INDEX(ExpNorm,$L1086))</f>
        <v/>
      </c>
      <c r="C1086" s="22">
        <f>IF($L1086="","",IF(INDEX(ExpTime,$L1086)="","—",LEFT(INDEX(ExpTime,$L1086),2)&amp;":"&amp;RIGHT(INDEX(ExpTime,$L1086),2)))</f>
        <v/>
      </c>
      <c r="D1086" s="22">
        <f>IF($L1086="","",IF(INDEX(ExpBank,$L1086)="","—",INDEX(ExpBank,$L1086)))</f>
        <v/>
      </c>
      <c r="E1086" s="23">
        <f>IF($L1086="","",IF(INDEX(ExpParty,$L1086)="","—",IFERROR(VLOOKUP(INDEX(ExpParty,$L1086),AcctTbl,4,0),INDEX(ExpParty,$L1086))))</f>
        <v/>
      </c>
      <c r="F1086" s="22">
        <f>IF($L1086="","",IF(INDEX(ExpType,$L1086)="","—",INDEX(ExpType,$L1086)))</f>
        <v/>
      </c>
      <c r="G1086" s="24">
        <f>IF($L1086="","",IF(INDEX(ExpDep,$L1086)=0,"",INDEX(ExpDep,$L1086)))</f>
        <v/>
      </c>
      <c r="H1086" s="24">
        <f>IF($L1086="","",IF(INDEX(ExpWit,$L1086)=0,"",INDEX(ExpWit,$L1086)))</f>
        <v/>
      </c>
      <c r="I1086" s="25">
        <f>IF($B1086="","",IF($I1085="",0,$I1085)+IF($H1086="",0,$H1086)-IF($G1086="",0,$G1086))</f>
        <v/>
      </c>
      <c r="J1086" s="23">
        <f>IF($L1086="","",IF(INDEX(ExpNote,$L1086)="","—",INDEX(ExpNote,$L1086)))</f>
        <v/>
      </c>
      <c r="L1086">
        <f>IFERROR(MATCH($C$5&amp;"|"&amp;RIGHT("000000"&amp;1070,6),ExpRankKey,0),"")</f>
        <v/>
      </c>
    </row>
    <row r="1087">
      <c r="A1087" s="16" t="n">
        <v>1071</v>
      </c>
      <c r="B1087" s="17">
        <f>IF($L1087="","",INDEX(ExpNorm,$L1087))</f>
        <v/>
      </c>
      <c r="C1087" s="17">
        <f>IF($L1087="","",IF(INDEX(ExpTime,$L1087)="","—",LEFT(INDEX(ExpTime,$L1087),2)&amp;":"&amp;RIGHT(INDEX(ExpTime,$L1087),2)))</f>
        <v/>
      </c>
      <c r="D1087" s="17">
        <f>IF($L1087="","",IF(INDEX(ExpBank,$L1087)="","—",INDEX(ExpBank,$L1087)))</f>
        <v/>
      </c>
      <c r="E1087" s="18">
        <f>IF($L1087="","",IF(INDEX(ExpParty,$L1087)="","—",IFERROR(VLOOKUP(INDEX(ExpParty,$L1087),AcctTbl,4,0),INDEX(ExpParty,$L1087))))</f>
        <v/>
      </c>
      <c r="F1087" s="17">
        <f>IF($L1087="","",IF(INDEX(ExpType,$L1087)="","—",INDEX(ExpType,$L1087)))</f>
        <v/>
      </c>
      <c r="G1087" s="19">
        <f>IF($L1087="","",IF(INDEX(ExpDep,$L1087)=0,"",INDEX(ExpDep,$L1087)))</f>
        <v/>
      </c>
      <c r="H1087" s="19">
        <f>IF($L1087="","",IF(INDEX(ExpWit,$L1087)=0,"",INDEX(ExpWit,$L1087)))</f>
        <v/>
      </c>
      <c r="I1087" s="20">
        <f>IF($B1087="","",IF($I1086="",0,$I1086)+IF($H1087="",0,$H1087)-IF($G1087="",0,$G1087))</f>
        <v/>
      </c>
      <c r="J1087" s="18">
        <f>IF($L1087="","",IF(INDEX(ExpNote,$L1087)="","—",INDEX(ExpNote,$L1087)))</f>
        <v/>
      </c>
      <c r="L1087">
        <f>IFERROR(MATCH($C$5&amp;"|"&amp;RIGHT("000000"&amp;1071,6),ExpRankKey,0),"")</f>
        <v/>
      </c>
    </row>
    <row r="1088">
      <c r="A1088" s="21" t="n">
        <v>1072</v>
      </c>
      <c r="B1088" s="22">
        <f>IF($L1088="","",INDEX(ExpNorm,$L1088))</f>
        <v/>
      </c>
      <c r="C1088" s="22">
        <f>IF($L1088="","",IF(INDEX(ExpTime,$L1088)="","—",LEFT(INDEX(ExpTime,$L1088),2)&amp;":"&amp;RIGHT(INDEX(ExpTime,$L1088),2)))</f>
        <v/>
      </c>
      <c r="D1088" s="22">
        <f>IF($L1088="","",IF(INDEX(ExpBank,$L1088)="","—",INDEX(ExpBank,$L1088)))</f>
        <v/>
      </c>
      <c r="E1088" s="23">
        <f>IF($L1088="","",IF(INDEX(ExpParty,$L1088)="","—",IFERROR(VLOOKUP(INDEX(ExpParty,$L1088),AcctTbl,4,0),INDEX(ExpParty,$L1088))))</f>
        <v/>
      </c>
      <c r="F1088" s="22">
        <f>IF($L1088="","",IF(INDEX(ExpType,$L1088)="","—",INDEX(ExpType,$L1088)))</f>
        <v/>
      </c>
      <c r="G1088" s="24">
        <f>IF($L1088="","",IF(INDEX(ExpDep,$L1088)=0,"",INDEX(ExpDep,$L1088)))</f>
        <v/>
      </c>
      <c r="H1088" s="24">
        <f>IF($L1088="","",IF(INDEX(ExpWit,$L1088)=0,"",INDEX(ExpWit,$L1088)))</f>
        <v/>
      </c>
      <c r="I1088" s="25">
        <f>IF($B1088="","",IF($I1087="",0,$I1087)+IF($H1088="",0,$H1088)-IF($G1088="",0,$G1088))</f>
        <v/>
      </c>
      <c r="J1088" s="23">
        <f>IF($L1088="","",IF(INDEX(ExpNote,$L1088)="","—",INDEX(ExpNote,$L1088)))</f>
        <v/>
      </c>
      <c r="L1088">
        <f>IFERROR(MATCH($C$5&amp;"|"&amp;RIGHT("000000"&amp;1072,6),ExpRankKey,0),"")</f>
        <v/>
      </c>
    </row>
    <row r="1089">
      <c r="A1089" s="16" t="n">
        <v>1073</v>
      </c>
      <c r="B1089" s="17">
        <f>IF($L1089="","",INDEX(ExpNorm,$L1089))</f>
        <v/>
      </c>
      <c r="C1089" s="17">
        <f>IF($L1089="","",IF(INDEX(ExpTime,$L1089)="","—",LEFT(INDEX(ExpTime,$L1089),2)&amp;":"&amp;RIGHT(INDEX(ExpTime,$L1089),2)))</f>
        <v/>
      </c>
      <c r="D1089" s="17">
        <f>IF($L1089="","",IF(INDEX(ExpBank,$L1089)="","—",INDEX(ExpBank,$L1089)))</f>
        <v/>
      </c>
      <c r="E1089" s="18">
        <f>IF($L1089="","",IF(INDEX(ExpParty,$L1089)="","—",IFERROR(VLOOKUP(INDEX(ExpParty,$L1089),AcctTbl,4,0),INDEX(ExpParty,$L1089))))</f>
        <v/>
      </c>
      <c r="F1089" s="17">
        <f>IF($L1089="","",IF(INDEX(ExpType,$L1089)="","—",INDEX(ExpType,$L1089)))</f>
        <v/>
      </c>
      <c r="G1089" s="19">
        <f>IF($L1089="","",IF(INDEX(ExpDep,$L1089)=0,"",INDEX(ExpDep,$L1089)))</f>
        <v/>
      </c>
      <c r="H1089" s="19">
        <f>IF($L1089="","",IF(INDEX(ExpWit,$L1089)=0,"",INDEX(ExpWit,$L1089)))</f>
        <v/>
      </c>
      <c r="I1089" s="20">
        <f>IF($B1089="","",IF($I1088="",0,$I1088)+IF($H1089="",0,$H1089)-IF($G1089="",0,$G1089))</f>
        <v/>
      </c>
      <c r="J1089" s="18">
        <f>IF($L1089="","",IF(INDEX(ExpNote,$L1089)="","—",INDEX(ExpNote,$L1089)))</f>
        <v/>
      </c>
      <c r="L1089">
        <f>IFERROR(MATCH($C$5&amp;"|"&amp;RIGHT("000000"&amp;1073,6),ExpRankKey,0),"")</f>
        <v/>
      </c>
    </row>
    <row r="1090">
      <c r="A1090" s="21" t="n">
        <v>1074</v>
      </c>
      <c r="B1090" s="22">
        <f>IF($L1090="","",INDEX(ExpNorm,$L1090))</f>
        <v/>
      </c>
      <c r="C1090" s="22">
        <f>IF($L1090="","",IF(INDEX(ExpTime,$L1090)="","—",LEFT(INDEX(ExpTime,$L1090),2)&amp;":"&amp;RIGHT(INDEX(ExpTime,$L1090),2)))</f>
        <v/>
      </c>
      <c r="D1090" s="22">
        <f>IF($L1090="","",IF(INDEX(ExpBank,$L1090)="","—",INDEX(ExpBank,$L1090)))</f>
        <v/>
      </c>
      <c r="E1090" s="23">
        <f>IF($L1090="","",IF(INDEX(ExpParty,$L1090)="","—",IFERROR(VLOOKUP(INDEX(ExpParty,$L1090),AcctTbl,4,0),INDEX(ExpParty,$L1090))))</f>
        <v/>
      </c>
      <c r="F1090" s="22">
        <f>IF($L1090="","",IF(INDEX(ExpType,$L1090)="","—",INDEX(ExpType,$L1090)))</f>
        <v/>
      </c>
      <c r="G1090" s="24">
        <f>IF($L1090="","",IF(INDEX(ExpDep,$L1090)=0,"",INDEX(ExpDep,$L1090)))</f>
        <v/>
      </c>
      <c r="H1090" s="24">
        <f>IF($L1090="","",IF(INDEX(ExpWit,$L1090)=0,"",INDEX(ExpWit,$L1090)))</f>
        <v/>
      </c>
      <c r="I1090" s="25">
        <f>IF($B1090="","",IF($I1089="",0,$I1089)+IF($H1090="",0,$H1090)-IF($G1090="",0,$G1090))</f>
        <v/>
      </c>
      <c r="J1090" s="23">
        <f>IF($L1090="","",IF(INDEX(ExpNote,$L1090)="","—",INDEX(ExpNote,$L1090)))</f>
        <v/>
      </c>
      <c r="L1090">
        <f>IFERROR(MATCH($C$5&amp;"|"&amp;RIGHT("000000"&amp;1074,6),ExpRankKey,0),"")</f>
        <v/>
      </c>
    </row>
    <row r="1091">
      <c r="A1091" s="16" t="n">
        <v>1075</v>
      </c>
      <c r="B1091" s="17">
        <f>IF($L1091="","",INDEX(ExpNorm,$L1091))</f>
        <v/>
      </c>
      <c r="C1091" s="17">
        <f>IF($L1091="","",IF(INDEX(ExpTime,$L1091)="","—",LEFT(INDEX(ExpTime,$L1091),2)&amp;":"&amp;RIGHT(INDEX(ExpTime,$L1091),2)))</f>
        <v/>
      </c>
      <c r="D1091" s="17">
        <f>IF($L1091="","",IF(INDEX(ExpBank,$L1091)="","—",INDEX(ExpBank,$L1091)))</f>
        <v/>
      </c>
      <c r="E1091" s="18">
        <f>IF($L1091="","",IF(INDEX(ExpParty,$L1091)="","—",IFERROR(VLOOKUP(INDEX(ExpParty,$L1091),AcctTbl,4,0),INDEX(ExpParty,$L1091))))</f>
        <v/>
      </c>
      <c r="F1091" s="17">
        <f>IF($L1091="","",IF(INDEX(ExpType,$L1091)="","—",INDEX(ExpType,$L1091)))</f>
        <v/>
      </c>
      <c r="G1091" s="19">
        <f>IF($L1091="","",IF(INDEX(ExpDep,$L1091)=0,"",INDEX(ExpDep,$L1091)))</f>
        <v/>
      </c>
      <c r="H1091" s="19">
        <f>IF($L1091="","",IF(INDEX(ExpWit,$L1091)=0,"",INDEX(ExpWit,$L1091)))</f>
        <v/>
      </c>
      <c r="I1091" s="20">
        <f>IF($B1091="","",IF($I1090="",0,$I1090)+IF($H1091="",0,$H1091)-IF($G1091="",0,$G1091))</f>
        <v/>
      </c>
      <c r="J1091" s="18">
        <f>IF($L1091="","",IF(INDEX(ExpNote,$L1091)="","—",INDEX(ExpNote,$L1091)))</f>
        <v/>
      </c>
      <c r="L1091">
        <f>IFERROR(MATCH($C$5&amp;"|"&amp;RIGHT("000000"&amp;1075,6),ExpRankKey,0),"")</f>
        <v/>
      </c>
    </row>
    <row r="1092">
      <c r="A1092" s="21" t="n">
        <v>1076</v>
      </c>
      <c r="B1092" s="22">
        <f>IF($L1092="","",INDEX(ExpNorm,$L1092))</f>
        <v/>
      </c>
      <c r="C1092" s="22">
        <f>IF($L1092="","",IF(INDEX(ExpTime,$L1092)="","—",LEFT(INDEX(ExpTime,$L1092),2)&amp;":"&amp;RIGHT(INDEX(ExpTime,$L1092),2)))</f>
        <v/>
      </c>
      <c r="D1092" s="22">
        <f>IF($L1092="","",IF(INDEX(ExpBank,$L1092)="","—",INDEX(ExpBank,$L1092)))</f>
        <v/>
      </c>
      <c r="E1092" s="23">
        <f>IF($L1092="","",IF(INDEX(ExpParty,$L1092)="","—",IFERROR(VLOOKUP(INDEX(ExpParty,$L1092),AcctTbl,4,0),INDEX(ExpParty,$L1092))))</f>
        <v/>
      </c>
      <c r="F1092" s="22">
        <f>IF($L1092="","",IF(INDEX(ExpType,$L1092)="","—",INDEX(ExpType,$L1092)))</f>
        <v/>
      </c>
      <c r="G1092" s="24">
        <f>IF($L1092="","",IF(INDEX(ExpDep,$L1092)=0,"",INDEX(ExpDep,$L1092)))</f>
        <v/>
      </c>
      <c r="H1092" s="24">
        <f>IF($L1092="","",IF(INDEX(ExpWit,$L1092)=0,"",INDEX(ExpWit,$L1092)))</f>
        <v/>
      </c>
      <c r="I1092" s="25">
        <f>IF($B1092="","",IF($I1091="",0,$I1091)+IF($H1092="",0,$H1092)-IF($G1092="",0,$G1092))</f>
        <v/>
      </c>
      <c r="J1092" s="23">
        <f>IF($L1092="","",IF(INDEX(ExpNote,$L1092)="","—",INDEX(ExpNote,$L1092)))</f>
        <v/>
      </c>
      <c r="L1092">
        <f>IFERROR(MATCH($C$5&amp;"|"&amp;RIGHT("000000"&amp;1076,6),ExpRankKey,0),"")</f>
        <v/>
      </c>
    </row>
    <row r="1093">
      <c r="A1093" s="16" t="n">
        <v>1077</v>
      </c>
      <c r="B1093" s="17">
        <f>IF($L1093="","",INDEX(ExpNorm,$L1093))</f>
        <v/>
      </c>
      <c r="C1093" s="17">
        <f>IF($L1093="","",IF(INDEX(ExpTime,$L1093)="","—",LEFT(INDEX(ExpTime,$L1093),2)&amp;":"&amp;RIGHT(INDEX(ExpTime,$L1093),2)))</f>
        <v/>
      </c>
      <c r="D1093" s="17">
        <f>IF($L1093="","",IF(INDEX(ExpBank,$L1093)="","—",INDEX(ExpBank,$L1093)))</f>
        <v/>
      </c>
      <c r="E1093" s="18">
        <f>IF($L1093="","",IF(INDEX(ExpParty,$L1093)="","—",IFERROR(VLOOKUP(INDEX(ExpParty,$L1093),AcctTbl,4,0),INDEX(ExpParty,$L1093))))</f>
        <v/>
      </c>
      <c r="F1093" s="17">
        <f>IF($L1093="","",IF(INDEX(ExpType,$L1093)="","—",INDEX(ExpType,$L1093)))</f>
        <v/>
      </c>
      <c r="G1093" s="19">
        <f>IF($L1093="","",IF(INDEX(ExpDep,$L1093)=0,"",INDEX(ExpDep,$L1093)))</f>
        <v/>
      </c>
      <c r="H1093" s="19">
        <f>IF($L1093="","",IF(INDEX(ExpWit,$L1093)=0,"",INDEX(ExpWit,$L1093)))</f>
        <v/>
      </c>
      <c r="I1093" s="20">
        <f>IF($B1093="","",IF($I1092="",0,$I1092)+IF($H1093="",0,$H1093)-IF($G1093="",0,$G1093))</f>
        <v/>
      </c>
      <c r="J1093" s="18">
        <f>IF($L1093="","",IF(INDEX(ExpNote,$L1093)="","—",INDEX(ExpNote,$L1093)))</f>
        <v/>
      </c>
      <c r="L1093">
        <f>IFERROR(MATCH($C$5&amp;"|"&amp;RIGHT("000000"&amp;1077,6),ExpRankKey,0),"")</f>
        <v/>
      </c>
    </row>
    <row r="1094">
      <c r="A1094" s="21" t="n">
        <v>1078</v>
      </c>
      <c r="B1094" s="22">
        <f>IF($L1094="","",INDEX(ExpNorm,$L1094))</f>
        <v/>
      </c>
      <c r="C1094" s="22">
        <f>IF($L1094="","",IF(INDEX(ExpTime,$L1094)="","—",LEFT(INDEX(ExpTime,$L1094),2)&amp;":"&amp;RIGHT(INDEX(ExpTime,$L1094),2)))</f>
        <v/>
      </c>
      <c r="D1094" s="22">
        <f>IF($L1094="","",IF(INDEX(ExpBank,$L1094)="","—",INDEX(ExpBank,$L1094)))</f>
        <v/>
      </c>
      <c r="E1094" s="23">
        <f>IF($L1094="","",IF(INDEX(ExpParty,$L1094)="","—",IFERROR(VLOOKUP(INDEX(ExpParty,$L1094),AcctTbl,4,0),INDEX(ExpParty,$L1094))))</f>
        <v/>
      </c>
      <c r="F1094" s="22">
        <f>IF($L1094="","",IF(INDEX(ExpType,$L1094)="","—",INDEX(ExpType,$L1094)))</f>
        <v/>
      </c>
      <c r="G1094" s="24">
        <f>IF($L1094="","",IF(INDEX(ExpDep,$L1094)=0,"",INDEX(ExpDep,$L1094)))</f>
        <v/>
      </c>
      <c r="H1094" s="24">
        <f>IF($L1094="","",IF(INDEX(ExpWit,$L1094)=0,"",INDEX(ExpWit,$L1094)))</f>
        <v/>
      </c>
      <c r="I1094" s="25">
        <f>IF($B1094="","",IF($I1093="",0,$I1093)+IF($H1094="",0,$H1094)-IF($G1094="",0,$G1094))</f>
        <v/>
      </c>
      <c r="J1094" s="23">
        <f>IF($L1094="","",IF(INDEX(ExpNote,$L1094)="","—",INDEX(ExpNote,$L1094)))</f>
        <v/>
      </c>
      <c r="L1094">
        <f>IFERROR(MATCH($C$5&amp;"|"&amp;RIGHT("000000"&amp;1078,6),ExpRankKey,0),"")</f>
        <v/>
      </c>
    </row>
    <row r="1095">
      <c r="A1095" s="16" t="n">
        <v>1079</v>
      </c>
      <c r="B1095" s="17">
        <f>IF($L1095="","",INDEX(ExpNorm,$L1095))</f>
        <v/>
      </c>
      <c r="C1095" s="17">
        <f>IF($L1095="","",IF(INDEX(ExpTime,$L1095)="","—",LEFT(INDEX(ExpTime,$L1095),2)&amp;":"&amp;RIGHT(INDEX(ExpTime,$L1095),2)))</f>
        <v/>
      </c>
      <c r="D1095" s="17">
        <f>IF($L1095="","",IF(INDEX(ExpBank,$L1095)="","—",INDEX(ExpBank,$L1095)))</f>
        <v/>
      </c>
      <c r="E1095" s="18">
        <f>IF($L1095="","",IF(INDEX(ExpParty,$L1095)="","—",IFERROR(VLOOKUP(INDEX(ExpParty,$L1095),AcctTbl,4,0),INDEX(ExpParty,$L1095))))</f>
        <v/>
      </c>
      <c r="F1095" s="17">
        <f>IF($L1095="","",IF(INDEX(ExpType,$L1095)="","—",INDEX(ExpType,$L1095)))</f>
        <v/>
      </c>
      <c r="G1095" s="19">
        <f>IF($L1095="","",IF(INDEX(ExpDep,$L1095)=0,"",INDEX(ExpDep,$L1095)))</f>
        <v/>
      </c>
      <c r="H1095" s="19">
        <f>IF($L1095="","",IF(INDEX(ExpWit,$L1095)=0,"",INDEX(ExpWit,$L1095)))</f>
        <v/>
      </c>
      <c r="I1095" s="20">
        <f>IF($B1095="","",IF($I1094="",0,$I1094)+IF($H1095="",0,$H1095)-IF($G1095="",0,$G1095))</f>
        <v/>
      </c>
      <c r="J1095" s="18">
        <f>IF($L1095="","",IF(INDEX(ExpNote,$L1095)="","—",INDEX(ExpNote,$L1095)))</f>
        <v/>
      </c>
      <c r="L1095">
        <f>IFERROR(MATCH($C$5&amp;"|"&amp;RIGHT("000000"&amp;1079,6),ExpRankKey,0),"")</f>
        <v/>
      </c>
    </row>
    <row r="1096">
      <c r="A1096" s="21" t="n">
        <v>1080</v>
      </c>
      <c r="B1096" s="22">
        <f>IF($L1096="","",INDEX(ExpNorm,$L1096))</f>
        <v/>
      </c>
      <c r="C1096" s="22">
        <f>IF($L1096="","",IF(INDEX(ExpTime,$L1096)="","—",LEFT(INDEX(ExpTime,$L1096),2)&amp;":"&amp;RIGHT(INDEX(ExpTime,$L1096),2)))</f>
        <v/>
      </c>
      <c r="D1096" s="22">
        <f>IF($L1096="","",IF(INDEX(ExpBank,$L1096)="","—",INDEX(ExpBank,$L1096)))</f>
        <v/>
      </c>
      <c r="E1096" s="23">
        <f>IF($L1096="","",IF(INDEX(ExpParty,$L1096)="","—",IFERROR(VLOOKUP(INDEX(ExpParty,$L1096),AcctTbl,4,0),INDEX(ExpParty,$L1096))))</f>
        <v/>
      </c>
      <c r="F1096" s="22">
        <f>IF($L1096="","",IF(INDEX(ExpType,$L1096)="","—",INDEX(ExpType,$L1096)))</f>
        <v/>
      </c>
      <c r="G1096" s="24">
        <f>IF($L1096="","",IF(INDEX(ExpDep,$L1096)=0,"",INDEX(ExpDep,$L1096)))</f>
        <v/>
      </c>
      <c r="H1096" s="24">
        <f>IF($L1096="","",IF(INDEX(ExpWit,$L1096)=0,"",INDEX(ExpWit,$L1096)))</f>
        <v/>
      </c>
      <c r="I1096" s="25">
        <f>IF($B1096="","",IF($I1095="",0,$I1095)+IF($H1096="",0,$H1096)-IF($G1096="",0,$G1096))</f>
        <v/>
      </c>
      <c r="J1096" s="23">
        <f>IF($L1096="","",IF(INDEX(ExpNote,$L1096)="","—",INDEX(ExpNote,$L1096)))</f>
        <v/>
      </c>
      <c r="L1096">
        <f>IFERROR(MATCH($C$5&amp;"|"&amp;RIGHT("000000"&amp;1080,6),ExpRankKey,0),"")</f>
        <v/>
      </c>
    </row>
    <row r="1097">
      <c r="A1097" s="16" t="n">
        <v>1081</v>
      </c>
      <c r="B1097" s="17">
        <f>IF($L1097="","",INDEX(ExpNorm,$L1097))</f>
        <v/>
      </c>
      <c r="C1097" s="17">
        <f>IF($L1097="","",IF(INDEX(ExpTime,$L1097)="","—",LEFT(INDEX(ExpTime,$L1097),2)&amp;":"&amp;RIGHT(INDEX(ExpTime,$L1097),2)))</f>
        <v/>
      </c>
      <c r="D1097" s="17">
        <f>IF($L1097="","",IF(INDEX(ExpBank,$L1097)="","—",INDEX(ExpBank,$L1097)))</f>
        <v/>
      </c>
      <c r="E1097" s="18">
        <f>IF($L1097="","",IF(INDEX(ExpParty,$L1097)="","—",IFERROR(VLOOKUP(INDEX(ExpParty,$L1097),AcctTbl,4,0),INDEX(ExpParty,$L1097))))</f>
        <v/>
      </c>
      <c r="F1097" s="17">
        <f>IF($L1097="","",IF(INDEX(ExpType,$L1097)="","—",INDEX(ExpType,$L1097)))</f>
        <v/>
      </c>
      <c r="G1097" s="19">
        <f>IF($L1097="","",IF(INDEX(ExpDep,$L1097)=0,"",INDEX(ExpDep,$L1097)))</f>
        <v/>
      </c>
      <c r="H1097" s="19">
        <f>IF($L1097="","",IF(INDEX(ExpWit,$L1097)=0,"",INDEX(ExpWit,$L1097)))</f>
        <v/>
      </c>
      <c r="I1097" s="20">
        <f>IF($B1097="","",IF($I1096="",0,$I1096)+IF($H1097="",0,$H1097)-IF($G1097="",0,$G1097))</f>
        <v/>
      </c>
      <c r="J1097" s="18">
        <f>IF($L1097="","",IF(INDEX(ExpNote,$L1097)="","—",INDEX(ExpNote,$L1097)))</f>
        <v/>
      </c>
      <c r="L1097">
        <f>IFERROR(MATCH($C$5&amp;"|"&amp;RIGHT("000000"&amp;1081,6),ExpRankKey,0),"")</f>
        <v/>
      </c>
    </row>
    <row r="1098">
      <c r="A1098" s="21" t="n">
        <v>1082</v>
      </c>
      <c r="B1098" s="22">
        <f>IF($L1098="","",INDEX(ExpNorm,$L1098))</f>
        <v/>
      </c>
      <c r="C1098" s="22">
        <f>IF($L1098="","",IF(INDEX(ExpTime,$L1098)="","—",LEFT(INDEX(ExpTime,$L1098),2)&amp;":"&amp;RIGHT(INDEX(ExpTime,$L1098),2)))</f>
        <v/>
      </c>
      <c r="D1098" s="22">
        <f>IF($L1098="","",IF(INDEX(ExpBank,$L1098)="","—",INDEX(ExpBank,$L1098)))</f>
        <v/>
      </c>
      <c r="E1098" s="23">
        <f>IF($L1098="","",IF(INDEX(ExpParty,$L1098)="","—",IFERROR(VLOOKUP(INDEX(ExpParty,$L1098),AcctTbl,4,0),INDEX(ExpParty,$L1098))))</f>
        <v/>
      </c>
      <c r="F1098" s="22">
        <f>IF($L1098="","",IF(INDEX(ExpType,$L1098)="","—",INDEX(ExpType,$L1098)))</f>
        <v/>
      </c>
      <c r="G1098" s="24">
        <f>IF($L1098="","",IF(INDEX(ExpDep,$L1098)=0,"",INDEX(ExpDep,$L1098)))</f>
        <v/>
      </c>
      <c r="H1098" s="24">
        <f>IF($L1098="","",IF(INDEX(ExpWit,$L1098)=0,"",INDEX(ExpWit,$L1098)))</f>
        <v/>
      </c>
      <c r="I1098" s="25">
        <f>IF($B1098="","",IF($I1097="",0,$I1097)+IF($H1098="",0,$H1098)-IF($G1098="",0,$G1098))</f>
        <v/>
      </c>
      <c r="J1098" s="23">
        <f>IF($L1098="","",IF(INDEX(ExpNote,$L1098)="","—",INDEX(ExpNote,$L1098)))</f>
        <v/>
      </c>
      <c r="L1098">
        <f>IFERROR(MATCH($C$5&amp;"|"&amp;RIGHT("000000"&amp;1082,6),ExpRankKey,0),"")</f>
        <v/>
      </c>
    </row>
    <row r="1099">
      <c r="A1099" s="16" t="n">
        <v>1083</v>
      </c>
      <c r="B1099" s="17">
        <f>IF($L1099="","",INDEX(ExpNorm,$L1099))</f>
        <v/>
      </c>
      <c r="C1099" s="17">
        <f>IF($L1099="","",IF(INDEX(ExpTime,$L1099)="","—",LEFT(INDEX(ExpTime,$L1099),2)&amp;":"&amp;RIGHT(INDEX(ExpTime,$L1099),2)))</f>
        <v/>
      </c>
      <c r="D1099" s="17">
        <f>IF($L1099="","",IF(INDEX(ExpBank,$L1099)="","—",INDEX(ExpBank,$L1099)))</f>
        <v/>
      </c>
      <c r="E1099" s="18">
        <f>IF($L1099="","",IF(INDEX(ExpParty,$L1099)="","—",IFERROR(VLOOKUP(INDEX(ExpParty,$L1099),AcctTbl,4,0),INDEX(ExpParty,$L1099))))</f>
        <v/>
      </c>
      <c r="F1099" s="17">
        <f>IF($L1099="","",IF(INDEX(ExpType,$L1099)="","—",INDEX(ExpType,$L1099)))</f>
        <v/>
      </c>
      <c r="G1099" s="19">
        <f>IF($L1099="","",IF(INDEX(ExpDep,$L1099)=0,"",INDEX(ExpDep,$L1099)))</f>
        <v/>
      </c>
      <c r="H1099" s="19">
        <f>IF($L1099="","",IF(INDEX(ExpWit,$L1099)=0,"",INDEX(ExpWit,$L1099)))</f>
        <v/>
      </c>
      <c r="I1099" s="20">
        <f>IF($B1099="","",IF($I1098="",0,$I1098)+IF($H1099="",0,$H1099)-IF($G1099="",0,$G1099))</f>
        <v/>
      </c>
      <c r="J1099" s="18">
        <f>IF($L1099="","",IF(INDEX(ExpNote,$L1099)="","—",INDEX(ExpNote,$L1099)))</f>
        <v/>
      </c>
      <c r="L1099">
        <f>IFERROR(MATCH($C$5&amp;"|"&amp;RIGHT("000000"&amp;1083,6),ExpRankKey,0),"")</f>
        <v/>
      </c>
    </row>
    <row r="1100">
      <c r="A1100" s="21" t="n">
        <v>1084</v>
      </c>
      <c r="B1100" s="22">
        <f>IF($L1100="","",INDEX(ExpNorm,$L1100))</f>
        <v/>
      </c>
      <c r="C1100" s="22">
        <f>IF($L1100="","",IF(INDEX(ExpTime,$L1100)="","—",LEFT(INDEX(ExpTime,$L1100),2)&amp;":"&amp;RIGHT(INDEX(ExpTime,$L1100),2)))</f>
        <v/>
      </c>
      <c r="D1100" s="22">
        <f>IF($L1100="","",IF(INDEX(ExpBank,$L1100)="","—",INDEX(ExpBank,$L1100)))</f>
        <v/>
      </c>
      <c r="E1100" s="23">
        <f>IF($L1100="","",IF(INDEX(ExpParty,$L1100)="","—",IFERROR(VLOOKUP(INDEX(ExpParty,$L1100),AcctTbl,4,0),INDEX(ExpParty,$L1100))))</f>
        <v/>
      </c>
      <c r="F1100" s="22">
        <f>IF($L1100="","",IF(INDEX(ExpType,$L1100)="","—",INDEX(ExpType,$L1100)))</f>
        <v/>
      </c>
      <c r="G1100" s="24">
        <f>IF($L1100="","",IF(INDEX(ExpDep,$L1100)=0,"",INDEX(ExpDep,$L1100)))</f>
        <v/>
      </c>
      <c r="H1100" s="24">
        <f>IF($L1100="","",IF(INDEX(ExpWit,$L1100)=0,"",INDEX(ExpWit,$L1100)))</f>
        <v/>
      </c>
      <c r="I1100" s="25">
        <f>IF($B1100="","",IF($I1099="",0,$I1099)+IF($H1100="",0,$H1100)-IF($G1100="",0,$G1100))</f>
        <v/>
      </c>
      <c r="J1100" s="23">
        <f>IF($L1100="","",IF(INDEX(ExpNote,$L1100)="","—",INDEX(ExpNote,$L1100)))</f>
        <v/>
      </c>
      <c r="L1100">
        <f>IFERROR(MATCH($C$5&amp;"|"&amp;RIGHT("000000"&amp;1084,6),ExpRankKey,0),"")</f>
        <v/>
      </c>
    </row>
    <row r="1101">
      <c r="A1101" s="16" t="n">
        <v>1085</v>
      </c>
      <c r="B1101" s="17">
        <f>IF($L1101="","",INDEX(ExpNorm,$L1101))</f>
        <v/>
      </c>
      <c r="C1101" s="17">
        <f>IF($L1101="","",IF(INDEX(ExpTime,$L1101)="","—",LEFT(INDEX(ExpTime,$L1101),2)&amp;":"&amp;RIGHT(INDEX(ExpTime,$L1101),2)))</f>
        <v/>
      </c>
      <c r="D1101" s="17">
        <f>IF($L1101="","",IF(INDEX(ExpBank,$L1101)="","—",INDEX(ExpBank,$L1101)))</f>
        <v/>
      </c>
      <c r="E1101" s="18">
        <f>IF($L1101="","",IF(INDEX(ExpParty,$L1101)="","—",IFERROR(VLOOKUP(INDEX(ExpParty,$L1101),AcctTbl,4,0),INDEX(ExpParty,$L1101))))</f>
        <v/>
      </c>
      <c r="F1101" s="17">
        <f>IF($L1101="","",IF(INDEX(ExpType,$L1101)="","—",INDEX(ExpType,$L1101)))</f>
        <v/>
      </c>
      <c r="G1101" s="19">
        <f>IF($L1101="","",IF(INDEX(ExpDep,$L1101)=0,"",INDEX(ExpDep,$L1101)))</f>
        <v/>
      </c>
      <c r="H1101" s="19">
        <f>IF($L1101="","",IF(INDEX(ExpWit,$L1101)=0,"",INDEX(ExpWit,$L1101)))</f>
        <v/>
      </c>
      <c r="I1101" s="20">
        <f>IF($B1101="","",IF($I1100="",0,$I1100)+IF($H1101="",0,$H1101)-IF($G1101="",0,$G1101))</f>
        <v/>
      </c>
      <c r="J1101" s="18">
        <f>IF($L1101="","",IF(INDEX(ExpNote,$L1101)="","—",INDEX(ExpNote,$L1101)))</f>
        <v/>
      </c>
      <c r="L1101">
        <f>IFERROR(MATCH($C$5&amp;"|"&amp;RIGHT("000000"&amp;1085,6),ExpRankKey,0),"")</f>
        <v/>
      </c>
    </row>
    <row r="1102">
      <c r="A1102" s="21" t="n">
        <v>1086</v>
      </c>
      <c r="B1102" s="22">
        <f>IF($L1102="","",INDEX(ExpNorm,$L1102))</f>
        <v/>
      </c>
      <c r="C1102" s="22">
        <f>IF($L1102="","",IF(INDEX(ExpTime,$L1102)="","—",LEFT(INDEX(ExpTime,$L1102),2)&amp;":"&amp;RIGHT(INDEX(ExpTime,$L1102),2)))</f>
        <v/>
      </c>
      <c r="D1102" s="22">
        <f>IF($L1102="","",IF(INDEX(ExpBank,$L1102)="","—",INDEX(ExpBank,$L1102)))</f>
        <v/>
      </c>
      <c r="E1102" s="23">
        <f>IF($L1102="","",IF(INDEX(ExpParty,$L1102)="","—",IFERROR(VLOOKUP(INDEX(ExpParty,$L1102),AcctTbl,4,0),INDEX(ExpParty,$L1102))))</f>
        <v/>
      </c>
      <c r="F1102" s="22">
        <f>IF($L1102="","",IF(INDEX(ExpType,$L1102)="","—",INDEX(ExpType,$L1102)))</f>
        <v/>
      </c>
      <c r="G1102" s="24">
        <f>IF($L1102="","",IF(INDEX(ExpDep,$L1102)=0,"",INDEX(ExpDep,$L1102)))</f>
        <v/>
      </c>
      <c r="H1102" s="24">
        <f>IF($L1102="","",IF(INDEX(ExpWit,$L1102)=0,"",INDEX(ExpWit,$L1102)))</f>
        <v/>
      </c>
      <c r="I1102" s="25">
        <f>IF($B1102="","",IF($I1101="",0,$I1101)+IF($H1102="",0,$H1102)-IF($G1102="",0,$G1102))</f>
        <v/>
      </c>
      <c r="J1102" s="23">
        <f>IF($L1102="","",IF(INDEX(ExpNote,$L1102)="","—",INDEX(ExpNote,$L1102)))</f>
        <v/>
      </c>
      <c r="L1102">
        <f>IFERROR(MATCH($C$5&amp;"|"&amp;RIGHT("000000"&amp;1086,6),ExpRankKey,0),"")</f>
        <v/>
      </c>
    </row>
    <row r="1103">
      <c r="A1103" s="16" t="n">
        <v>1087</v>
      </c>
      <c r="B1103" s="17">
        <f>IF($L1103="","",INDEX(ExpNorm,$L1103))</f>
        <v/>
      </c>
      <c r="C1103" s="17">
        <f>IF($L1103="","",IF(INDEX(ExpTime,$L1103)="","—",LEFT(INDEX(ExpTime,$L1103),2)&amp;":"&amp;RIGHT(INDEX(ExpTime,$L1103),2)))</f>
        <v/>
      </c>
      <c r="D1103" s="17">
        <f>IF($L1103="","",IF(INDEX(ExpBank,$L1103)="","—",INDEX(ExpBank,$L1103)))</f>
        <v/>
      </c>
      <c r="E1103" s="18">
        <f>IF($L1103="","",IF(INDEX(ExpParty,$L1103)="","—",IFERROR(VLOOKUP(INDEX(ExpParty,$L1103),AcctTbl,4,0),INDEX(ExpParty,$L1103))))</f>
        <v/>
      </c>
      <c r="F1103" s="17">
        <f>IF($L1103="","",IF(INDEX(ExpType,$L1103)="","—",INDEX(ExpType,$L1103)))</f>
        <v/>
      </c>
      <c r="G1103" s="19">
        <f>IF($L1103="","",IF(INDEX(ExpDep,$L1103)=0,"",INDEX(ExpDep,$L1103)))</f>
        <v/>
      </c>
      <c r="H1103" s="19">
        <f>IF($L1103="","",IF(INDEX(ExpWit,$L1103)=0,"",INDEX(ExpWit,$L1103)))</f>
        <v/>
      </c>
      <c r="I1103" s="20">
        <f>IF($B1103="","",IF($I1102="",0,$I1102)+IF($H1103="",0,$H1103)-IF($G1103="",0,$G1103))</f>
        <v/>
      </c>
      <c r="J1103" s="18">
        <f>IF($L1103="","",IF(INDEX(ExpNote,$L1103)="","—",INDEX(ExpNote,$L1103)))</f>
        <v/>
      </c>
      <c r="L1103">
        <f>IFERROR(MATCH($C$5&amp;"|"&amp;RIGHT("000000"&amp;1087,6),ExpRankKey,0),"")</f>
        <v/>
      </c>
    </row>
    <row r="1104">
      <c r="A1104" s="21" t="n">
        <v>1088</v>
      </c>
      <c r="B1104" s="22">
        <f>IF($L1104="","",INDEX(ExpNorm,$L1104))</f>
        <v/>
      </c>
      <c r="C1104" s="22">
        <f>IF($L1104="","",IF(INDEX(ExpTime,$L1104)="","—",LEFT(INDEX(ExpTime,$L1104),2)&amp;":"&amp;RIGHT(INDEX(ExpTime,$L1104),2)))</f>
        <v/>
      </c>
      <c r="D1104" s="22">
        <f>IF($L1104="","",IF(INDEX(ExpBank,$L1104)="","—",INDEX(ExpBank,$L1104)))</f>
        <v/>
      </c>
      <c r="E1104" s="23">
        <f>IF($L1104="","",IF(INDEX(ExpParty,$L1104)="","—",IFERROR(VLOOKUP(INDEX(ExpParty,$L1104),AcctTbl,4,0),INDEX(ExpParty,$L1104))))</f>
        <v/>
      </c>
      <c r="F1104" s="22">
        <f>IF($L1104="","",IF(INDEX(ExpType,$L1104)="","—",INDEX(ExpType,$L1104)))</f>
        <v/>
      </c>
      <c r="G1104" s="24">
        <f>IF($L1104="","",IF(INDEX(ExpDep,$L1104)=0,"",INDEX(ExpDep,$L1104)))</f>
        <v/>
      </c>
      <c r="H1104" s="24">
        <f>IF($L1104="","",IF(INDEX(ExpWit,$L1104)=0,"",INDEX(ExpWit,$L1104)))</f>
        <v/>
      </c>
      <c r="I1104" s="25">
        <f>IF($B1104="","",IF($I1103="",0,$I1103)+IF($H1104="",0,$H1104)-IF($G1104="",0,$G1104))</f>
        <v/>
      </c>
      <c r="J1104" s="23">
        <f>IF($L1104="","",IF(INDEX(ExpNote,$L1104)="","—",INDEX(ExpNote,$L1104)))</f>
        <v/>
      </c>
      <c r="L1104">
        <f>IFERROR(MATCH($C$5&amp;"|"&amp;RIGHT("000000"&amp;1088,6),ExpRankKey,0),"")</f>
        <v/>
      </c>
    </row>
    <row r="1105">
      <c r="A1105" s="16" t="n">
        <v>1089</v>
      </c>
      <c r="B1105" s="17">
        <f>IF($L1105="","",INDEX(ExpNorm,$L1105))</f>
        <v/>
      </c>
      <c r="C1105" s="17">
        <f>IF($L1105="","",IF(INDEX(ExpTime,$L1105)="","—",LEFT(INDEX(ExpTime,$L1105),2)&amp;":"&amp;RIGHT(INDEX(ExpTime,$L1105),2)))</f>
        <v/>
      </c>
      <c r="D1105" s="17">
        <f>IF($L1105="","",IF(INDEX(ExpBank,$L1105)="","—",INDEX(ExpBank,$L1105)))</f>
        <v/>
      </c>
      <c r="E1105" s="18">
        <f>IF($L1105="","",IF(INDEX(ExpParty,$L1105)="","—",IFERROR(VLOOKUP(INDEX(ExpParty,$L1105),AcctTbl,4,0),INDEX(ExpParty,$L1105))))</f>
        <v/>
      </c>
      <c r="F1105" s="17">
        <f>IF($L1105="","",IF(INDEX(ExpType,$L1105)="","—",INDEX(ExpType,$L1105)))</f>
        <v/>
      </c>
      <c r="G1105" s="19">
        <f>IF($L1105="","",IF(INDEX(ExpDep,$L1105)=0,"",INDEX(ExpDep,$L1105)))</f>
        <v/>
      </c>
      <c r="H1105" s="19">
        <f>IF($L1105="","",IF(INDEX(ExpWit,$L1105)=0,"",INDEX(ExpWit,$L1105)))</f>
        <v/>
      </c>
      <c r="I1105" s="20">
        <f>IF($B1105="","",IF($I1104="",0,$I1104)+IF($H1105="",0,$H1105)-IF($G1105="",0,$G1105))</f>
        <v/>
      </c>
      <c r="J1105" s="18">
        <f>IF($L1105="","",IF(INDEX(ExpNote,$L1105)="","—",INDEX(ExpNote,$L1105)))</f>
        <v/>
      </c>
      <c r="L1105">
        <f>IFERROR(MATCH($C$5&amp;"|"&amp;RIGHT("000000"&amp;1089,6),ExpRankKey,0),"")</f>
        <v/>
      </c>
    </row>
    <row r="1106">
      <c r="A1106" s="21" t="n">
        <v>1090</v>
      </c>
      <c r="B1106" s="22">
        <f>IF($L1106="","",INDEX(ExpNorm,$L1106))</f>
        <v/>
      </c>
      <c r="C1106" s="22">
        <f>IF($L1106="","",IF(INDEX(ExpTime,$L1106)="","—",LEFT(INDEX(ExpTime,$L1106),2)&amp;":"&amp;RIGHT(INDEX(ExpTime,$L1106),2)))</f>
        <v/>
      </c>
      <c r="D1106" s="22">
        <f>IF($L1106="","",IF(INDEX(ExpBank,$L1106)="","—",INDEX(ExpBank,$L1106)))</f>
        <v/>
      </c>
      <c r="E1106" s="23">
        <f>IF($L1106="","",IF(INDEX(ExpParty,$L1106)="","—",IFERROR(VLOOKUP(INDEX(ExpParty,$L1106),AcctTbl,4,0),INDEX(ExpParty,$L1106))))</f>
        <v/>
      </c>
      <c r="F1106" s="22">
        <f>IF($L1106="","",IF(INDEX(ExpType,$L1106)="","—",INDEX(ExpType,$L1106)))</f>
        <v/>
      </c>
      <c r="G1106" s="24">
        <f>IF($L1106="","",IF(INDEX(ExpDep,$L1106)=0,"",INDEX(ExpDep,$L1106)))</f>
        <v/>
      </c>
      <c r="H1106" s="24">
        <f>IF($L1106="","",IF(INDEX(ExpWit,$L1106)=0,"",INDEX(ExpWit,$L1106)))</f>
        <v/>
      </c>
      <c r="I1106" s="25">
        <f>IF($B1106="","",IF($I1105="",0,$I1105)+IF($H1106="",0,$H1106)-IF($G1106="",0,$G1106))</f>
        <v/>
      </c>
      <c r="J1106" s="23">
        <f>IF($L1106="","",IF(INDEX(ExpNote,$L1106)="","—",INDEX(ExpNote,$L1106)))</f>
        <v/>
      </c>
      <c r="L1106">
        <f>IFERROR(MATCH($C$5&amp;"|"&amp;RIGHT("000000"&amp;1090,6),ExpRankKey,0),"")</f>
        <v/>
      </c>
    </row>
    <row r="1107">
      <c r="A1107" s="16" t="n">
        <v>1091</v>
      </c>
      <c r="B1107" s="17">
        <f>IF($L1107="","",INDEX(ExpNorm,$L1107))</f>
        <v/>
      </c>
      <c r="C1107" s="17">
        <f>IF($L1107="","",IF(INDEX(ExpTime,$L1107)="","—",LEFT(INDEX(ExpTime,$L1107),2)&amp;":"&amp;RIGHT(INDEX(ExpTime,$L1107),2)))</f>
        <v/>
      </c>
      <c r="D1107" s="17">
        <f>IF($L1107="","",IF(INDEX(ExpBank,$L1107)="","—",INDEX(ExpBank,$L1107)))</f>
        <v/>
      </c>
      <c r="E1107" s="18">
        <f>IF($L1107="","",IF(INDEX(ExpParty,$L1107)="","—",IFERROR(VLOOKUP(INDEX(ExpParty,$L1107),AcctTbl,4,0),INDEX(ExpParty,$L1107))))</f>
        <v/>
      </c>
      <c r="F1107" s="17">
        <f>IF($L1107="","",IF(INDEX(ExpType,$L1107)="","—",INDEX(ExpType,$L1107)))</f>
        <v/>
      </c>
      <c r="G1107" s="19">
        <f>IF($L1107="","",IF(INDEX(ExpDep,$L1107)=0,"",INDEX(ExpDep,$L1107)))</f>
        <v/>
      </c>
      <c r="H1107" s="19">
        <f>IF($L1107="","",IF(INDEX(ExpWit,$L1107)=0,"",INDEX(ExpWit,$L1107)))</f>
        <v/>
      </c>
      <c r="I1107" s="20">
        <f>IF($B1107="","",IF($I1106="",0,$I1106)+IF($H1107="",0,$H1107)-IF($G1107="",0,$G1107))</f>
        <v/>
      </c>
      <c r="J1107" s="18">
        <f>IF($L1107="","",IF(INDEX(ExpNote,$L1107)="","—",INDEX(ExpNote,$L1107)))</f>
        <v/>
      </c>
      <c r="L1107">
        <f>IFERROR(MATCH($C$5&amp;"|"&amp;RIGHT("000000"&amp;1091,6),ExpRankKey,0),"")</f>
        <v/>
      </c>
    </row>
    <row r="1108">
      <c r="A1108" s="21" t="n">
        <v>1092</v>
      </c>
      <c r="B1108" s="22">
        <f>IF($L1108="","",INDEX(ExpNorm,$L1108))</f>
        <v/>
      </c>
      <c r="C1108" s="22">
        <f>IF($L1108="","",IF(INDEX(ExpTime,$L1108)="","—",LEFT(INDEX(ExpTime,$L1108),2)&amp;":"&amp;RIGHT(INDEX(ExpTime,$L1108),2)))</f>
        <v/>
      </c>
      <c r="D1108" s="22">
        <f>IF($L1108="","",IF(INDEX(ExpBank,$L1108)="","—",INDEX(ExpBank,$L1108)))</f>
        <v/>
      </c>
      <c r="E1108" s="23">
        <f>IF($L1108="","",IF(INDEX(ExpParty,$L1108)="","—",IFERROR(VLOOKUP(INDEX(ExpParty,$L1108),AcctTbl,4,0),INDEX(ExpParty,$L1108))))</f>
        <v/>
      </c>
      <c r="F1108" s="22">
        <f>IF($L1108="","",IF(INDEX(ExpType,$L1108)="","—",INDEX(ExpType,$L1108)))</f>
        <v/>
      </c>
      <c r="G1108" s="24">
        <f>IF($L1108="","",IF(INDEX(ExpDep,$L1108)=0,"",INDEX(ExpDep,$L1108)))</f>
        <v/>
      </c>
      <c r="H1108" s="24">
        <f>IF($L1108="","",IF(INDEX(ExpWit,$L1108)=0,"",INDEX(ExpWit,$L1108)))</f>
        <v/>
      </c>
      <c r="I1108" s="25">
        <f>IF($B1108="","",IF($I1107="",0,$I1107)+IF($H1108="",0,$H1108)-IF($G1108="",0,$G1108))</f>
        <v/>
      </c>
      <c r="J1108" s="23">
        <f>IF($L1108="","",IF(INDEX(ExpNote,$L1108)="","—",INDEX(ExpNote,$L1108)))</f>
        <v/>
      </c>
      <c r="L1108">
        <f>IFERROR(MATCH($C$5&amp;"|"&amp;RIGHT("000000"&amp;1092,6),ExpRankKey,0),"")</f>
        <v/>
      </c>
    </row>
    <row r="1109">
      <c r="A1109" s="16" t="n">
        <v>1093</v>
      </c>
      <c r="B1109" s="17">
        <f>IF($L1109="","",INDEX(ExpNorm,$L1109))</f>
        <v/>
      </c>
      <c r="C1109" s="17">
        <f>IF($L1109="","",IF(INDEX(ExpTime,$L1109)="","—",LEFT(INDEX(ExpTime,$L1109),2)&amp;":"&amp;RIGHT(INDEX(ExpTime,$L1109),2)))</f>
        <v/>
      </c>
      <c r="D1109" s="17">
        <f>IF($L1109="","",IF(INDEX(ExpBank,$L1109)="","—",INDEX(ExpBank,$L1109)))</f>
        <v/>
      </c>
      <c r="E1109" s="18">
        <f>IF($L1109="","",IF(INDEX(ExpParty,$L1109)="","—",IFERROR(VLOOKUP(INDEX(ExpParty,$L1109),AcctTbl,4,0),INDEX(ExpParty,$L1109))))</f>
        <v/>
      </c>
      <c r="F1109" s="17">
        <f>IF($L1109="","",IF(INDEX(ExpType,$L1109)="","—",INDEX(ExpType,$L1109)))</f>
        <v/>
      </c>
      <c r="G1109" s="19">
        <f>IF($L1109="","",IF(INDEX(ExpDep,$L1109)=0,"",INDEX(ExpDep,$L1109)))</f>
        <v/>
      </c>
      <c r="H1109" s="19">
        <f>IF($L1109="","",IF(INDEX(ExpWit,$L1109)=0,"",INDEX(ExpWit,$L1109)))</f>
        <v/>
      </c>
      <c r="I1109" s="20">
        <f>IF($B1109="","",IF($I1108="",0,$I1108)+IF($H1109="",0,$H1109)-IF($G1109="",0,$G1109))</f>
        <v/>
      </c>
      <c r="J1109" s="18">
        <f>IF($L1109="","",IF(INDEX(ExpNote,$L1109)="","—",INDEX(ExpNote,$L1109)))</f>
        <v/>
      </c>
      <c r="L1109">
        <f>IFERROR(MATCH($C$5&amp;"|"&amp;RIGHT("000000"&amp;1093,6),ExpRankKey,0),"")</f>
        <v/>
      </c>
    </row>
    <row r="1110">
      <c r="A1110" s="21" t="n">
        <v>1094</v>
      </c>
      <c r="B1110" s="22">
        <f>IF($L1110="","",INDEX(ExpNorm,$L1110))</f>
        <v/>
      </c>
      <c r="C1110" s="22">
        <f>IF($L1110="","",IF(INDEX(ExpTime,$L1110)="","—",LEFT(INDEX(ExpTime,$L1110),2)&amp;":"&amp;RIGHT(INDEX(ExpTime,$L1110),2)))</f>
        <v/>
      </c>
      <c r="D1110" s="22">
        <f>IF($L1110="","",IF(INDEX(ExpBank,$L1110)="","—",INDEX(ExpBank,$L1110)))</f>
        <v/>
      </c>
      <c r="E1110" s="23">
        <f>IF($L1110="","",IF(INDEX(ExpParty,$L1110)="","—",IFERROR(VLOOKUP(INDEX(ExpParty,$L1110),AcctTbl,4,0),INDEX(ExpParty,$L1110))))</f>
        <v/>
      </c>
      <c r="F1110" s="22">
        <f>IF($L1110="","",IF(INDEX(ExpType,$L1110)="","—",INDEX(ExpType,$L1110)))</f>
        <v/>
      </c>
      <c r="G1110" s="24">
        <f>IF($L1110="","",IF(INDEX(ExpDep,$L1110)=0,"",INDEX(ExpDep,$L1110)))</f>
        <v/>
      </c>
      <c r="H1110" s="24">
        <f>IF($L1110="","",IF(INDEX(ExpWit,$L1110)=0,"",INDEX(ExpWit,$L1110)))</f>
        <v/>
      </c>
      <c r="I1110" s="25">
        <f>IF($B1110="","",IF($I1109="",0,$I1109)+IF($H1110="",0,$H1110)-IF($G1110="",0,$G1110))</f>
        <v/>
      </c>
      <c r="J1110" s="23">
        <f>IF($L1110="","",IF(INDEX(ExpNote,$L1110)="","—",INDEX(ExpNote,$L1110)))</f>
        <v/>
      </c>
      <c r="L1110">
        <f>IFERROR(MATCH($C$5&amp;"|"&amp;RIGHT("000000"&amp;1094,6),ExpRankKey,0),"")</f>
        <v/>
      </c>
    </row>
    <row r="1111">
      <c r="A1111" s="16" t="n">
        <v>1095</v>
      </c>
      <c r="B1111" s="17">
        <f>IF($L1111="","",INDEX(ExpNorm,$L1111))</f>
        <v/>
      </c>
      <c r="C1111" s="17">
        <f>IF($L1111="","",IF(INDEX(ExpTime,$L1111)="","—",LEFT(INDEX(ExpTime,$L1111),2)&amp;":"&amp;RIGHT(INDEX(ExpTime,$L1111),2)))</f>
        <v/>
      </c>
      <c r="D1111" s="17">
        <f>IF($L1111="","",IF(INDEX(ExpBank,$L1111)="","—",INDEX(ExpBank,$L1111)))</f>
        <v/>
      </c>
      <c r="E1111" s="18">
        <f>IF($L1111="","",IF(INDEX(ExpParty,$L1111)="","—",IFERROR(VLOOKUP(INDEX(ExpParty,$L1111),AcctTbl,4,0),INDEX(ExpParty,$L1111))))</f>
        <v/>
      </c>
      <c r="F1111" s="17">
        <f>IF($L1111="","",IF(INDEX(ExpType,$L1111)="","—",INDEX(ExpType,$L1111)))</f>
        <v/>
      </c>
      <c r="G1111" s="19">
        <f>IF($L1111="","",IF(INDEX(ExpDep,$L1111)=0,"",INDEX(ExpDep,$L1111)))</f>
        <v/>
      </c>
      <c r="H1111" s="19">
        <f>IF($L1111="","",IF(INDEX(ExpWit,$L1111)=0,"",INDEX(ExpWit,$L1111)))</f>
        <v/>
      </c>
      <c r="I1111" s="20">
        <f>IF($B1111="","",IF($I1110="",0,$I1110)+IF($H1111="",0,$H1111)-IF($G1111="",0,$G1111))</f>
        <v/>
      </c>
      <c r="J1111" s="18">
        <f>IF($L1111="","",IF(INDEX(ExpNote,$L1111)="","—",INDEX(ExpNote,$L1111)))</f>
        <v/>
      </c>
      <c r="L1111">
        <f>IFERROR(MATCH($C$5&amp;"|"&amp;RIGHT("000000"&amp;1095,6),ExpRankKey,0),"")</f>
        <v/>
      </c>
    </row>
    <row r="1112">
      <c r="A1112" s="21" t="n">
        <v>1096</v>
      </c>
      <c r="B1112" s="22">
        <f>IF($L1112="","",INDEX(ExpNorm,$L1112))</f>
        <v/>
      </c>
      <c r="C1112" s="22">
        <f>IF($L1112="","",IF(INDEX(ExpTime,$L1112)="","—",LEFT(INDEX(ExpTime,$L1112),2)&amp;":"&amp;RIGHT(INDEX(ExpTime,$L1112),2)))</f>
        <v/>
      </c>
      <c r="D1112" s="22">
        <f>IF($L1112="","",IF(INDEX(ExpBank,$L1112)="","—",INDEX(ExpBank,$L1112)))</f>
        <v/>
      </c>
      <c r="E1112" s="23">
        <f>IF($L1112="","",IF(INDEX(ExpParty,$L1112)="","—",IFERROR(VLOOKUP(INDEX(ExpParty,$L1112),AcctTbl,4,0),INDEX(ExpParty,$L1112))))</f>
        <v/>
      </c>
      <c r="F1112" s="22">
        <f>IF($L1112="","",IF(INDEX(ExpType,$L1112)="","—",INDEX(ExpType,$L1112)))</f>
        <v/>
      </c>
      <c r="G1112" s="24">
        <f>IF($L1112="","",IF(INDEX(ExpDep,$L1112)=0,"",INDEX(ExpDep,$L1112)))</f>
        <v/>
      </c>
      <c r="H1112" s="24">
        <f>IF($L1112="","",IF(INDEX(ExpWit,$L1112)=0,"",INDEX(ExpWit,$L1112)))</f>
        <v/>
      </c>
      <c r="I1112" s="25">
        <f>IF($B1112="","",IF($I1111="",0,$I1111)+IF($H1112="",0,$H1112)-IF($G1112="",0,$G1112))</f>
        <v/>
      </c>
      <c r="J1112" s="23">
        <f>IF($L1112="","",IF(INDEX(ExpNote,$L1112)="","—",INDEX(ExpNote,$L1112)))</f>
        <v/>
      </c>
      <c r="L1112">
        <f>IFERROR(MATCH($C$5&amp;"|"&amp;RIGHT("000000"&amp;1096,6),ExpRankKey,0),"")</f>
        <v/>
      </c>
    </row>
    <row r="1113">
      <c r="A1113" s="16" t="n">
        <v>1097</v>
      </c>
      <c r="B1113" s="17">
        <f>IF($L1113="","",INDEX(ExpNorm,$L1113))</f>
        <v/>
      </c>
      <c r="C1113" s="17">
        <f>IF($L1113="","",IF(INDEX(ExpTime,$L1113)="","—",LEFT(INDEX(ExpTime,$L1113),2)&amp;":"&amp;RIGHT(INDEX(ExpTime,$L1113),2)))</f>
        <v/>
      </c>
      <c r="D1113" s="17">
        <f>IF($L1113="","",IF(INDEX(ExpBank,$L1113)="","—",INDEX(ExpBank,$L1113)))</f>
        <v/>
      </c>
      <c r="E1113" s="18">
        <f>IF($L1113="","",IF(INDEX(ExpParty,$L1113)="","—",IFERROR(VLOOKUP(INDEX(ExpParty,$L1113),AcctTbl,4,0),INDEX(ExpParty,$L1113))))</f>
        <v/>
      </c>
      <c r="F1113" s="17">
        <f>IF($L1113="","",IF(INDEX(ExpType,$L1113)="","—",INDEX(ExpType,$L1113)))</f>
        <v/>
      </c>
      <c r="G1113" s="19">
        <f>IF($L1113="","",IF(INDEX(ExpDep,$L1113)=0,"",INDEX(ExpDep,$L1113)))</f>
        <v/>
      </c>
      <c r="H1113" s="19">
        <f>IF($L1113="","",IF(INDEX(ExpWit,$L1113)=0,"",INDEX(ExpWit,$L1113)))</f>
        <v/>
      </c>
      <c r="I1113" s="20">
        <f>IF($B1113="","",IF($I1112="",0,$I1112)+IF($H1113="",0,$H1113)-IF($G1113="",0,$G1113))</f>
        <v/>
      </c>
      <c r="J1113" s="18">
        <f>IF($L1113="","",IF(INDEX(ExpNote,$L1113)="","—",INDEX(ExpNote,$L1113)))</f>
        <v/>
      </c>
      <c r="L1113">
        <f>IFERROR(MATCH($C$5&amp;"|"&amp;RIGHT("000000"&amp;1097,6),ExpRankKey,0),"")</f>
        <v/>
      </c>
    </row>
    <row r="1114">
      <c r="A1114" s="21" t="n">
        <v>1098</v>
      </c>
      <c r="B1114" s="22">
        <f>IF($L1114="","",INDEX(ExpNorm,$L1114))</f>
        <v/>
      </c>
      <c r="C1114" s="22">
        <f>IF($L1114="","",IF(INDEX(ExpTime,$L1114)="","—",LEFT(INDEX(ExpTime,$L1114),2)&amp;":"&amp;RIGHT(INDEX(ExpTime,$L1114),2)))</f>
        <v/>
      </c>
      <c r="D1114" s="22">
        <f>IF($L1114="","",IF(INDEX(ExpBank,$L1114)="","—",INDEX(ExpBank,$L1114)))</f>
        <v/>
      </c>
      <c r="E1114" s="23">
        <f>IF($L1114="","",IF(INDEX(ExpParty,$L1114)="","—",IFERROR(VLOOKUP(INDEX(ExpParty,$L1114),AcctTbl,4,0),INDEX(ExpParty,$L1114))))</f>
        <v/>
      </c>
      <c r="F1114" s="22">
        <f>IF($L1114="","",IF(INDEX(ExpType,$L1114)="","—",INDEX(ExpType,$L1114)))</f>
        <v/>
      </c>
      <c r="G1114" s="24">
        <f>IF($L1114="","",IF(INDEX(ExpDep,$L1114)=0,"",INDEX(ExpDep,$L1114)))</f>
        <v/>
      </c>
      <c r="H1114" s="24">
        <f>IF($L1114="","",IF(INDEX(ExpWit,$L1114)=0,"",INDEX(ExpWit,$L1114)))</f>
        <v/>
      </c>
      <c r="I1114" s="25">
        <f>IF($B1114="","",IF($I1113="",0,$I1113)+IF($H1114="",0,$H1114)-IF($G1114="",0,$G1114))</f>
        <v/>
      </c>
      <c r="J1114" s="23">
        <f>IF($L1114="","",IF(INDEX(ExpNote,$L1114)="","—",INDEX(ExpNote,$L1114)))</f>
        <v/>
      </c>
      <c r="L1114">
        <f>IFERROR(MATCH($C$5&amp;"|"&amp;RIGHT("000000"&amp;1098,6),ExpRankKey,0),"")</f>
        <v/>
      </c>
    </row>
    <row r="1115">
      <c r="A1115" s="16" t="n">
        <v>1099</v>
      </c>
      <c r="B1115" s="17">
        <f>IF($L1115="","",INDEX(ExpNorm,$L1115))</f>
        <v/>
      </c>
      <c r="C1115" s="17">
        <f>IF($L1115="","",IF(INDEX(ExpTime,$L1115)="","—",LEFT(INDEX(ExpTime,$L1115),2)&amp;":"&amp;RIGHT(INDEX(ExpTime,$L1115),2)))</f>
        <v/>
      </c>
      <c r="D1115" s="17">
        <f>IF($L1115="","",IF(INDEX(ExpBank,$L1115)="","—",INDEX(ExpBank,$L1115)))</f>
        <v/>
      </c>
      <c r="E1115" s="18">
        <f>IF($L1115="","",IF(INDEX(ExpParty,$L1115)="","—",IFERROR(VLOOKUP(INDEX(ExpParty,$L1115),AcctTbl,4,0),INDEX(ExpParty,$L1115))))</f>
        <v/>
      </c>
      <c r="F1115" s="17">
        <f>IF($L1115="","",IF(INDEX(ExpType,$L1115)="","—",INDEX(ExpType,$L1115)))</f>
        <v/>
      </c>
      <c r="G1115" s="19">
        <f>IF($L1115="","",IF(INDEX(ExpDep,$L1115)=0,"",INDEX(ExpDep,$L1115)))</f>
        <v/>
      </c>
      <c r="H1115" s="19">
        <f>IF($L1115="","",IF(INDEX(ExpWit,$L1115)=0,"",INDEX(ExpWit,$L1115)))</f>
        <v/>
      </c>
      <c r="I1115" s="20">
        <f>IF($B1115="","",IF($I1114="",0,$I1114)+IF($H1115="",0,$H1115)-IF($G1115="",0,$G1115))</f>
        <v/>
      </c>
      <c r="J1115" s="18">
        <f>IF($L1115="","",IF(INDEX(ExpNote,$L1115)="","—",INDEX(ExpNote,$L1115)))</f>
        <v/>
      </c>
      <c r="L1115">
        <f>IFERROR(MATCH($C$5&amp;"|"&amp;RIGHT("000000"&amp;1099,6),ExpRankKey,0),"")</f>
        <v/>
      </c>
    </row>
    <row r="1116">
      <c r="A1116" s="21" t="n">
        <v>1100</v>
      </c>
      <c r="B1116" s="22">
        <f>IF($L1116="","",INDEX(ExpNorm,$L1116))</f>
        <v/>
      </c>
      <c r="C1116" s="22">
        <f>IF($L1116="","",IF(INDEX(ExpTime,$L1116)="","—",LEFT(INDEX(ExpTime,$L1116),2)&amp;":"&amp;RIGHT(INDEX(ExpTime,$L1116),2)))</f>
        <v/>
      </c>
      <c r="D1116" s="22">
        <f>IF($L1116="","",IF(INDEX(ExpBank,$L1116)="","—",INDEX(ExpBank,$L1116)))</f>
        <v/>
      </c>
      <c r="E1116" s="23">
        <f>IF($L1116="","",IF(INDEX(ExpParty,$L1116)="","—",IFERROR(VLOOKUP(INDEX(ExpParty,$L1116),AcctTbl,4,0),INDEX(ExpParty,$L1116))))</f>
        <v/>
      </c>
      <c r="F1116" s="22">
        <f>IF($L1116="","",IF(INDEX(ExpType,$L1116)="","—",INDEX(ExpType,$L1116)))</f>
        <v/>
      </c>
      <c r="G1116" s="24">
        <f>IF($L1116="","",IF(INDEX(ExpDep,$L1116)=0,"",INDEX(ExpDep,$L1116)))</f>
        <v/>
      </c>
      <c r="H1116" s="24">
        <f>IF($L1116="","",IF(INDEX(ExpWit,$L1116)=0,"",INDEX(ExpWit,$L1116)))</f>
        <v/>
      </c>
      <c r="I1116" s="25">
        <f>IF($B1116="","",IF($I1115="",0,$I1115)+IF($H1116="",0,$H1116)-IF($G1116="",0,$G1116))</f>
        <v/>
      </c>
      <c r="J1116" s="23">
        <f>IF($L1116="","",IF(INDEX(ExpNote,$L1116)="","—",INDEX(ExpNote,$L1116)))</f>
        <v/>
      </c>
      <c r="L1116">
        <f>IFERROR(MATCH($C$5&amp;"|"&amp;RIGHT("000000"&amp;1100,6),ExpRankKey,0),"")</f>
        <v/>
      </c>
    </row>
    <row r="1117">
      <c r="A1117" s="16" t="n">
        <v>1101</v>
      </c>
      <c r="B1117" s="17">
        <f>IF($L1117="","",INDEX(ExpNorm,$L1117))</f>
        <v/>
      </c>
      <c r="C1117" s="17">
        <f>IF($L1117="","",IF(INDEX(ExpTime,$L1117)="","—",LEFT(INDEX(ExpTime,$L1117),2)&amp;":"&amp;RIGHT(INDEX(ExpTime,$L1117),2)))</f>
        <v/>
      </c>
      <c r="D1117" s="17">
        <f>IF($L1117="","",IF(INDEX(ExpBank,$L1117)="","—",INDEX(ExpBank,$L1117)))</f>
        <v/>
      </c>
      <c r="E1117" s="18">
        <f>IF($L1117="","",IF(INDEX(ExpParty,$L1117)="","—",IFERROR(VLOOKUP(INDEX(ExpParty,$L1117),AcctTbl,4,0),INDEX(ExpParty,$L1117))))</f>
        <v/>
      </c>
      <c r="F1117" s="17">
        <f>IF($L1117="","",IF(INDEX(ExpType,$L1117)="","—",INDEX(ExpType,$L1117)))</f>
        <v/>
      </c>
      <c r="G1117" s="19">
        <f>IF($L1117="","",IF(INDEX(ExpDep,$L1117)=0,"",INDEX(ExpDep,$L1117)))</f>
        <v/>
      </c>
      <c r="H1117" s="19">
        <f>IF($L1117="","",IF(INDEX(ExpWit,$L1117)=0,"",INDEX(ExpWit,$L1117)))</f>
        <v/>
      </c>
      <c r="I1117" s="20">
        <f>IF($B1117="","",IF($I1116="",0,$I1116)+IF($H1117="",0,$H1117)-IF($G1117="",0,$G1117))</f>
        <v/>
      </c>
      <c r="J1117" s="18">
        <f>IF($L1117="","",IF(INDEX(ExpNote,$L1117)="","—",INDEX(ExpNote,$L1117)))</f>
        <v/>
      </c>
      <c r="L1117">
        <f>IFERROR(MATCH($C$5&amp;"|"&amp;RIGHT("000000"&amp;1101,6),ExpRankKey,0),"")</f>
        <v/>
      </c>
    </row>
    <row r="1118">
      <c r="A1118" s="21" t="n">
        <v>1102</v>
      </c>
      <c r="B1118" s="22">
        <f>IF($L1118="","",INDEX(ExpNorm,$L1118))</f>
        <v/>
      </c>
      <c r="C1118" s="22">
        <f>IF($L1118="","",IF(INDEX(ExpTime,$L1118)="","—",LEFT(INDEX(ExpTime,$L1118),2)&amp;":"&amp;RIGHT(INDEX(ExpTime,$L1118),2)))</f>
        <v/>
      </c>
      <c r="D1118" s="22">
        <f>IF($L1118="","",IF(INDEX(ExpBank,$L1118)="","—",INDEX(ExpBank,$L1118)))</f>
        <v/>
      </c>
      <c r="E1118" s="23">
        <f>IF($L1118="","",IF(INDEX(ExpParty,$L1118)="","—",IFERROR(VLOOKUP(INDEX(ExpParty,$L1118),AcctTbl,4,0),INDEX(ExpParty,$L1118))))</f>
        <v/>
      </c>
      <c r="F1118" s="22">
        <f>IF($L1118="","",IF(INDEX(ExpType,$L1118)="","—",INDEX(ExpType,$L1118)))</f>
        <v/>
      </c>
      <c r="G1118" s="24">
        <f>IF($L1118="","",IF(INDEX(ExpDep,$L1118)=0,"",INDEX(ExpDep,$L1118)))</f>
        <v/>
      </c>
      <c r="H1118" s="24">
        <f>IF($L1118="","",IF(INDEX(ExpWit,$L1118)=0,"",INDEX(ExpWit,$L1118)))</f>
        <v/>
      </c>
      <c r="I1118" s="25">
        <f>IF($B1118="","",IF($I1117="",0,$I1117)+IF($H1118="",0,$H1118)-IF($G1118="",0,$G1118))</f>
        <v/>
      </c>
      <c r="J1118" s="23">
        <f>IF($L1118="","",IF(INDEX(ExpNote,$L1118)="","—",INDEX(ExpNote,$L1118)))</f>
        <v/>
      </c>
      <c r="L1118">
        <f>IFERROR(MATCH($C$5&amp;"|"&amp;RIGHT("000000"&amp;1102,6),ExpRankKey,0),"")</f>
        <v/>
      </c>
    </row>
    <row r="1119">
      <c r="A1119" s="16" t="n">
        <v>1103</v>
      </c>
      <c r="B1119" s="17">
        <f>IF($L1119="","",INDEX(ExpNorm,$L1119))</f>
        <v/>
      </c>
      <c r="C1119" s="17">
        <f>IF($L1119="","",IF(INDEX(ExpTime,$L1119)="","—",LEFT(INDEX(ExpTime,$L1119),2)&amp;":"&amp;RIGHT(INDEX(ExpTime,$L1119),2)))</f>
        <v/>
      </c>
      <c r="D1119" s="17">
        <f>IF($L1119="","",IF(INDEX(ExpBank,$L1119)="","—",INDEX(ExpBank,$L1119)))</f>
        <v/>
      </c>
      <c r="E1119" s="18">
        <f>IF($L1119="","",IF(INDEX(ExpParty,$L1119)="","—",IFERROR(VLOOKUP(INDEX(ExpParty,$L1119),AcctTbl,4,0),INDEX(ExpParty,$L1119))))</f>
        <v/>
      </c>
      <c r="F1119" s="17">
        <f>IF($L1119="","",IF(INDEX(ExpType,$L1119)="","—",INDEX(ExpType,$L1119)))</f>
        <v/>
      </c>
      <c r="G1119" s="19">
        <f>IF($L1119="","",IF(INDEX(ExpDep,$L1119)=0,"",INDEX(ExpDep,$L1119)))</f>
        <v/>
      </c>
      <c r="H1119" s="19">
        <f>IF($L1119="","",IF(INDEX(ExpWit,$L1119)=0,"",INDEX(ExpWit,$L1119)))</f>
        <v/>
      </c>
      <c r="I1119" s="20">
        <f>IF($B1119="","",IF($I1118="",0,$I1118)+IF($H1119="",0,$H1119)-IF($G1119="",0,$G1119))</f>
        <v/>
      </c>
      <c r="J1119" s="18">
        <f>IF($L1119="","",IF(INDEX(ExpNote,$L1119)="","—",INDEX(ExpNote,$L1119)))</f>
        <v/>
      </c>
      <c r="L1119">
        <f>IFERROR(MATCH($C$5&amp;"|"&amp;RIGHT("000000"&amp;1103,6),ExpRankKey,0),"")</f>
        <v/>
      </c>
    </row>
    <row r="1120">
      <c r="A1120" s="21" t="n">
        <v>1104</v>
      </c>
      <c r="B1120" s="22">
        <f>IF($L1120="","",INDEX(ExpNorm,$L1120))</f>
        <v/>
      </c>
      <c r="C1120" s="22">
        <f>IF($L1120="","",IF(INDEX(ExpTime,$L1120)="","—",LEFT(INDEX(ExpTime,$L1120),2)&amp;":"&amp;RIGHT(INDEX(ExpTime,$L1120),2)))</f>
        <v/>
      </c>
      <c r="D1120" s="22">
        <f>IF($L1120="","",IF(INDEX(ExpBank,$L1120)="","—",INDEX(ExpBank,$L1120)))</f>
        <v/>
      </c>
      <c r="E1120" s="23">
        <f>IF($L1120="","",IF(INDEX(ExpParty,$L1120)="","—",IFERROR(VLOOKUP(INDEX(ExpParty,$L1120),AcctTbl,4,0),INDEX(ExpParty,$L1120))))</f>
        <v/>
      </c>
      <c r="F1120" s="22">
        <f>IF($L1120="","",IF(INDEX(ExpType,$L1120)="","—",INDEX(ExpType,$L1120)))</f>
        <v/>
      </c>
      <c r="G1120" s="24">
        <f>IF($L1120="","",IF(INDEX(ExpDep,$L1120)=0,"",INDEX(ExpDep,$L1120)))</f>
        <v/>
      </c>
      <c r="H1120" s="24">
        <f>IF($L1120="","",IF(INDEX(ExpWit,$L1120)=0,"",INDEX(ExpWit,$L1120)))</f>
        <v/>
      </c>
      <c r="I1120" s="25">
        <f>IF($B1120="","",IF($I1119="",0,$I1119)+IF($H1120="",0,$H1120)-IF($G1120="",0,$G1120))</f>
        <v/>
      </c>
      <c r="J1120" s="23">
        <f>IF($L1120="","",IF(INDEX(ExpNote,$L1120)="","—",INDEX(ExpNote,$L1120)))</f>
        <v/>
      </c>
      <c r="L1120">
        <f>IFERROR(MATCH($C$5&amp;"|"&amp;RIGHT("000000"&amp;1104,6),ExpRankKey,0),"")</f>
        <v/>
      </c>
    </row>
    <row r="1121">
      <c r="A1121" s="16" t="n">
        <v>1105</v>
      </c>
      <c r="B1121" s="17">
        <f>IF($L1121="","",INDEX(ExpNorm,$L1121))</f>
        <v/>
      </c>
      <c r="C1121" s="17">
        <f>IF($L1121="","",IF(INDEX(ExpTime,$L1121)="","—",LEFT(INDEX(ExpTime,$L1121),2)&amp;":"&amp;RIGHT(INDEX(ExpTime,$L1121),2)))</f>
        <v/>
      </c>
      <c r="D1121" s="17">
        <f>IF($L1121="","",IF(INDEX(ExpBank,$L1121)="","—",INDEX(ExpBank,$L1121)))</f>
        <v/>
      </c>
      <c r="E1121" s="18">
        <f>IF($L1121="","",IF(INDEX(ExpParty,$L1121)="","—",IFERROR(VLOOKUP(INDEX(ExpParty,$L1121),AcctTbl,4,0),INDEX(ExpParty,$L1121))))</f>
        <v/>
      </c>
      <c r="F1121" s="17">
        <f>IF($L1121="","",IF(INDEX(ExpType,$L1121)="","—",INDEX(ExpType,$L1121)))</f>
        <v/>
      </c>
      <c r="G1121" s="19">
        <f>IF($L1121="","",IF(INDEX(ExpDep,$L1121)=0,"",INDEX(ExpDep,$L1121)))</f>
        <v/>
      </c>
      <c r="H1121" s="19">
        <f>IF($L1121="","",IF(INDEX(ExpWit,$L1121)=0,"",INDEX(ExpWit,$L1121)))</f>
        <v/>
      </c>
      <c r="I1121" s="20">
        <f>IF($B1121="","",IF($I1120="",0,$I1120)+IF($H1121="",0,$H1121)-IF($G1121="",0,$G1121))</f>
        <v/>
      </c>
      <c r="J1121" s="18">
        <f>IF($L1121="","",IF(INDEX(ExpNote,$L1121)="","—",INDEX(ExpNote,$L1121)))</f>
        <v/>
      </c>
      <c r="L1121">
        <f>IFERROR(MATCH($C$5&amp;"|"&amp;RIGHT("000000"&amp;1105,6),ExpRankKey,0),"")</f>
        <v/>
      </c>
    </row>
    <row r="1122">
      <c r="A1122" s="21" t="n">
        <v>1106</v>
      </c>
      <c r="B1122" s="22">
        <f>IF($L1122="","",INDEX(ExpNorm,$L1122))</f>
        <v/>
      </c>
      <c r="C1122" s="22">
        <f>IF($L1122="","",IF(INDEX(ExpTime,$L1122)="","—",LEFT(INDEX(ExpTime,$L1122),2)&amp;":"&amp;RIGHT(INDEX(ExpTime,$L1122),2)))</f>
        <v/>
      </c>
      <c r="D1122" s="22">
        <f>IF($L1122="","",IF(INDEX(ExpBank,$L1122)="","—",INDEX(ExpBank,$L1122)))</f>
        <v/>
      </c>
      <c r="E1122" s="23">
        <f>IF($L1122="","",IF(INDEX(ExpParty,$L1122)="","—",IFERROR(VLOOKUP(INDEX(ExpParty,$L1122),AcctTbl,4,0),INDEX(ExpParty,$L1122))))</f>
        <v/>
      </c>
      <c r="F1122" s="22">
        <f>IF($L1122="","",IF(INDEX(ExpType,$L1122)="","—",INDEX(ExpType,$L1122)))</f>
        <v/>
      </c>
      <c r="G1122" s="24">
        <f>IF($L1122="","",IF(INDEX(ExpDep,$L1122)=0,"",INDEX(ExpDep,$L1122)))</f>
        <v/>
      </c>
      <c r="H1122" s="24">
        <f>IF($L1122="","",IF(INDEX(ExpWit,$L1122)=0,"",INDEX(ExpWit,$L1122)))</f>
        <v/>
      </c>
      <c r="I1122" s="25">
        <f>IF($B1122="","",IF($I1121="",0,$I1121)+IF($H1122="",0,$H1122)-IF($G1122="",0,$G1122))</f>
        <v/>
      </c>
      <c r="J1122" s="23">
        <f>IF($L1122="","",IF(INDEX(ExpNote,$L1122)="","—",INDEX(ExpNote,$L1122)))</f>
        <v/>
      </c>
      <c r="L1122">
        <f>IFERROR(MATCH($C$5&amp;"|"&amp;RIGHT("000000"&amp;1106,6),ExpRankKey,0),"")</f>
        <v/>
      </c>
    </row>
    <row r="1123">
      <c r="A1123" s="16" t="n">
        <v>1107</v>
      </c>
      <c r="B1123" s="17">
        <f>IF($L1123="","",INDEX(ExpNorm,$L1123))</f>
        <v/>
      </c>
      <c r="C1123" s="17">
        <f>IF($L1123="","",IF(INDEX(ExpTime,$L1123)="","—",LEFT(INDEX(ExpTime,$L1123),2)&amp;":"&amp;RIGHT(INDEX(ExpTime,$L1123),2)))</f>
        <v/>
      </c>
      <c r="D1123" s="17">
        <f>IF($L1123="","",IF(INDEX(ExpBank,$L1123)="","—",INDEX(ExpBank,$L1123)))</f>
        <v/>
      </c>
      <c r="E1123" s="18">
        <f>IF($L1123="","",IF(INDEX(ExpParty,$L1123)="","—",IFERROR(VLOOKUP(INDEX(ExpParty,$L1123),AcctTbl,4,0),INDEX(ExpParty,$L1123))))</f>
        <v/>
      </c>
      <c r="F1123" s="17">
        <f>IF($L1123="","",IF(INDEX(ExpType,$L1123)="","—",INDEX(ExpType,$L1123)))</f>
        <v/>
      </c>
      <c r="G1123" s="19">
        <f>IF($L1123="","",IF(INDEX(ExpDep,$L1123)=0,"",INDEX(ExpDep,$L1123)))</f>
        <v/>
      </c>
      <c r="H1123" s="19">
        <f>IF($L1123="","",IF(INDEX(ExpWit,$L1123)=0,"",INDEX(ExpWit,$L1123)))</f>
        <v/>
      </c>
      <c r="I1123" s="20">
        <f>IF($B1123="","",IF($I1122="",0,$I1122)+IF($H1123="",0,$H1123)-IF($G1123="",0,$G1123))</f>
        <v/>
      </c>
      <c r="J1123" s="18">
        <f>IF($L1123="","",IF(INDEX(ExpNote,$L1123)="","—",INDEX(ExpNote,$L1123)))</f>
        <v/>
      </c>
      <c r="L1123">
        <f>IFERROR(MATCH($C$5&amp;"|"&amp;RIGHT("000000"&amp;1107,6),ExpRankKey,0),"")</f>
        <v/>
      </c>
    </row>
    <row r="1124">
      <c r="A1124" s="21" t="n">
        <v>1108</v>
      </c>
      <c r="B1124" s="22">
        <f>IF($L1124="","",INDEX(ExpNorm,$L1124))</f>
        <v/>
      </c>
      <c r="C1124" s="22">
        <f>IF($L1124="","",IF(INDEX(ExpTime,$L1124)="","—",LEFT(INDEX(ExpTime,$L1124),2)&amp;":"&amp;RIGHT(INDEX(ExpTime,$L1124),2)))</f>
        <v/>
      </c>
      <c r="D1124" s="22">
        <f>IF($L1124="","",IF(INDEX(ExpBank,$L1124)="","—",INDEX(ExpBank,$L1124)))</f>
        <v/>
      </c>
      <c r="E1124" s="23">
        <f>IF($L1124="","",IF(INDEX(ExpParty,$L1124)="","—",IFERROR(VLOOKUP(INDEX(ExpParty,$L1124),AcctTbl,4,0),INDEX(ExpParty,$L1124))))</f>
        <v/>
      </c>
      <c r="F1124" s="22">
        <f>IF($L1124="","",IF(INDEX(ExpType,$L1124)="","—",INDEX(ExpType,$L1124)))</f>
        <v/>
      </c>
      <c r="G1124" s="24">
        <f>IF($L1124="","",IF(INDEX(ExpDep,$L1124)=0,"",INDEX(ExpDep,$L1124)))</f>
        <v/>
      </c>
      <c r="H1124" s="24">
        <f>IF($L1124="","",IF(INDEX(ExpWit,$L1124)=0,"",INDEX(ExpWit,$L1124)))</f>
        <v/>
      </c>
      <c r="I1124" s="25">
        <f>IF($B1124="","",IF($I1123="",0,$I1123)+IF($H1124="",0,$H1124)-IF($G1124="",0,$G1124))</f>
        <v/>
      </c>
      <c r="J1124" s="23">
        <f>IF($L1124="","",IF(INDEX(ExpNote,$L1124)="","—",INDEX(ExpNote,$L1124)))</f>
        <v/>
      </c>
      <c r="L1124">
        <f>IFERROR(MATCH($C$5&amp;"|"&amp;RIGHT("000000"&amp;1108,6),ExpRankKey,0),"")</f>
        <v/>
      </c>
    </row>
    <row r="1125">
      <c r="A1125" s="16" t="n">
        <v>1109</v>
      </c>
      <c r="B1125" s="17">
        <f>IF($L1125="","",INDEX(ExpNorm,$L1125))</f>
        <v/>
      </c>
      <c r="C1125" s="17">
        <f>IF($L1125="","",IF(INDEX(ExpTime,$L1125)="","—",LEFT(INDEX(ExpTime,$L1125),2)&amp;":"&amp;RIGHT(INDEX(ExpTime,$L1125),2)))</f>
        <v/>
      </c>
      <c r="D1125" s="17">
        <f>IF($L1125="","",IF(INDEX(ExpBank,$L1125)="","—",INDEX(ExpBank,$L1125)))</f>
        <v/>
      </c>
      <c r="E1125" s="18">
        <f>IF($L1125="","",IF(INDEX(ExpParty,$L1125)="","—",IFERROR(VLOOKUP(INDEX(ExpParty,$L1125),AcctTbl,4,0),INDEX(ExpParty,$L1125))))</f>
        <v/>
      </c>
      <c r="F1125" s="17">
        <f>IF($L1125="","",IF(INDEX(ExpType,$L1125)="","—",INDEX(ExpType,$L1125)))</f>
        <v/>
      </c>
      <c r="G1125" s="19">
        <f>IF($L1125="","",IF(INDEX(ExpDep,$L1125)=0,"",INDEX(ExpDep,$L1125)))</f>
        <v/>
      </c>
      <c r="H1125" s="19">
        <f>IF($L1125="","",IF(INDEX(ExpWit,$L1125)=0,"",INDEX(ExpWit,$L1125)))</f>
        <v/>
      </c>
      <c r="I1125" s="20">
        <f>IF($B1125="","",IF($I1124="",0,$I1124)+IF($H1125="",0,$H1125)-IF($G1125="",0,$G1125))</f>
        <v/>
      </c>
      <c r="J1125" s="18">
        <f>IF($L1125="","",IF(INDEX(ExpNote,$L1125)="","—",INDEX(ExpNote,$L1125)))</f>
        <v/>
      </c>
      <c r="L1125">
        <f>IFERROR(MATCH($C$5&amp;"|"&amp;RIGHT("000000"&amp;1109,6),ExpRankKey,0),"")</f>
        <v/>
      </c>
    </row>
    <row r="1126">
      <c r="A1126" s="21" t="n">
        <v>1110</v>
      </c>
      <c r="B1126" s="22">
        <f>IF($L1126="","",INDEX(ExpNorm,$L1126))</f>
        <v/>
      </c>
      <c r="C1126" s="22">
        <f>IF($L1126="","",IF(INDEX(ExpTime,$L1126)="","—",LEFT(INDEX(ExpTime,$L1126),2)&amp;":"&amp;RIGHT(INDEX(ExpTime,$L1126),2)))</f>
        <v/>
      </c>
      <c r="D1126" s="22">
        <f>IF($L1126="","",IF(INDEX(ExpBank,$L1126)="","—",INDEX(ExpBank,$L1126)))</f>
        <v/>
      </c>
      <c r="E1126" s="23">
        <f>IF($L1126="","",IF(INDEX(ExpParty,$L1126)="","—",IFERROR(VLOOKUP(INDEX(ExpParty,$L1126),AcctTbl,4,0),INDEX(ExpParty,$L1126))))</f>
        <v/>
      </c>
      <c r="F1126" s="22">
        <f>IF($L1126="","",IF(INDEX(ExpType,$L1126)="","—",INDEX(ExpType,$L1126)))</f>
        <v/>
      </c>
      <c r="G1126" s="24">
        <f>IF($L1126="","",IF(INDEX(ExpDep,$L1126)=0,"",INDEX(ExpDep,$L1126)))</f>
        <v/>
      </c>
      <c r="H1126" s="24">
        <f>IF($L1126="","",IF(INDEX(ExpWit,$L1126)=0,"",INDEX(ExpWit,$L1126)))</f>
        <v/>
      </c>
      <c r="I1126" s="25">
        <f>IF($B1126="","",IF($I1125="",0,$I1125)+IF($H1126="",0,$H1126)-IF($G1126="",0,$G1126))</f>
        <v/>
      </c>
      <c r="J1126" s="23">
        <f>IF($L1126="","",IF(INDEX(ExpNote,$L1126)="","—",INDEX(ExpNote,$L1126)))</f>
        <v/>
      </c>
      <c r="L1126">
        <f>IFERROR(MATCH($C$5&amp;"|"&amp;RIGHT("000000"&amp;1110,6),ExpRankKey,0),"")</f>
        <v/>
      </c>
    </row>
    <row r="1127">
      <c r="A1127" s="16" t="n">
        <v>1111</v>
      </c>
      <c r="B1127" s="17">
        <f>IF($L1127="","",INDEX(ExpNorm,$L1127))</f>
        <v/>
      </c>
      <c r="C1127" s="17">
        <f>IF($L1127="","",IF(INDEX(ExpTime,$L1127)="","—",LEFT(INDEX(ExpTime,$L1127),2)&amp;":"&amp;RIGHT(INDEX(ExpTime,$L1127),2)))</f>
        <v/>
      </c>
      <c r="D1127" s="17">
        <f>IF($L1127="","",IF(INDEX(ExpBank,$L1127)="","—",INDEX(ExpBank,$L1127)))</f>
        <v/>
      </c>
      <c r="E1127" s="18">
        <f>IF($L1127="","",IF(INDEX(ExpParty,$L1127)="","—",IFERROR(VLOOKUP(INDEX(ExpParty,$L1127),AcctTbl,4,0),INDEX(ExpParty,$L1127))))</f>
        <v/>
      </c>
      <c r="F1127" s="17">
        <f>IF($L1127="","",IF(INDEX(ExpType,$L1127)="","—",INDEX(ExpType,$L1127)))</f>
        <v/>
      </c>
      <c r="G1127" s="19">
        <f>IF($L1127="","",IF(INDEX(ExpDep,$L1127)=0,"",INDEX(ExpDep,$L1127)))</f>
        <v/>
      </c>
      <c r="H1127" s="19">
        <f>IF($L1127="","",IF(INDEX(ExpWit,$L1127)=0,"",INDEX(ExpWit,$L1127)))</f>
        <v/>
      </c>
      <c r="I1127" s="20">
        <f>IF($B1127="","",IF($I1126="",0,$I1126)+IF($H1127="",0,$H1127)-IF($G1127="",0,$G1127))</f>
        <v/>
      </c>
      <c r="J1127" s="18">
        <f>IF($L1127="","",IF(INDEX(ExpNote,$L1127)="","—",INDEX(ExpNote,$L1127)))</f>
        <v/>
      </c>
      <c r="L1127">
        <f>IFERROR(MATCH($C$5&amp;"|"&amp;RIGHT("000000"&amp;1111,6),ExpRankKey,0),"")</f>
        <v/>
      </c>
    </row>
    <row r="1128">
      <c r="A1128" s="21" t="n">
        <v>1112</v>
      </c>
      <c r="B1128" s="22">
        <f>IF($L1128="","",INDEX(ExpNorm,$L1128))</f>
        <v/>
      </c>
      <c r="C1128" s="22">
        <f>IF($L1128="","",IF(INDEX(ExpTime,$L1128)="","—",LEFT(INDEX(ExpTime,$L1128),2)&amp;":"&amp;RIGHT(INDEX(ExpTime,$L1128),2)))</f>
        <v/>
      </c>
      <c r="D1128" s="22">
        <f>IF($L1128="","",IF(INDEX(ExpBank,$L1128)="","—",INDEX(ExpBank,$L1128)))</f>
        <v/>
      </c>
      <c r="E1128" s="23">
        <f>IF($L1128="","",IF(INDEX(ExpParty,$L1128)="","—",IFERROR(VLOOKUP(INDEX(ExpParty,$L1128),AcctTbl,4,0),INDEX(ExpParty,$L1128))))</f>
        <v/>
      </c>
      <c r="F1128" s="22">
        <f>IF($L1128="","",IF(INDEX(ExpType,$L1128)="","—",INDEX(ExpType,$L1128)))</f>
        <v/>
      </c>
      <c r="G1128" s="24">
        <f>IF($L1128="","",IF(INDEX(ExpDep,$L1128)=0,"",INDEX(ExpDep,$L1128)))</f>
        <v/>
      </c>
      <c r="H1128" s="24">
        <f>IF($L1128="","",IF(INDEX(ExpWit,$L1128)=0,"",INDEX(ExpWit,$L1128)))</f>
        <v/>
      </c>
      <c r="I1128" s="25">
        <f>IF($B1128="","",IF($I1127="",0,$I1127)+IF($H1128="",0,$H1128)-IF($G1128="",0,$G1128))</f>
        <v/>
      </c>
      <c r="J1128" s="23">
        <f>IF($L1128="","",IF(INDEX(ExpNote,$L1128)="","—",INDEX(ExpNote,$L1128)))</f>
        <v/>
      </c>
      <c r="L1128">
        <f>IFERROR(MATCH($C$5&amp;"|"&amp;RIGHT("000000"&amp;1112,6),ExpRankKey,0),"")</f>
        <v/>
      </c>
    </row>
    <row r="1129">
      <c r="A1129" s="16" t="n">
        <v>1113</v>
      </c>
      <c r="B1129" s="17">
        <f>IF($L1129="","",INDEX(ExpNorm,$L1129))</f>
        <v/>
      </c>
      <c r="C1129" s="17">
        <f>IF($L1129="","",IF(INDEX(ExpTime,$L1129)="","—",LEFT(INDEX(ExpTime,$L1129),2)&amp;":"&amp;RIGHT(INDEX(ExpTime,$L1129),2)))</f>
        <v/>
      </c>
      <c r="D1129" s="17">
        <f>IF($L1129="","",IF(INDEX(ExpBank,$L1129)="","—",INDEX(ExpBank,$L1129)))</f>
        <v/>
      </c>
      <c r="E1129" s="18">
        <f>IF($L1129="","",IF(INDEX(ExpParty,$L1129)="","—",IFERROR(VLOOKUP(INDEX(ExpParty,$L1129),AcctTbl,4,0),INDEX(ExpParty,$L1129))))</f>
        <v/>
      </c>
      <c r="F1129" s="17">
        <f>IF($L1129="","",IF(INDEX(ExpType,$L1129)="","—",INDEX(ExpType,$L1129)))</f>
        <v/>
      </c>
      <c r="G1129" s="19">
        <f>IF($L1129="","",IF(INDEX(ExpDep,$L1129)=0,"",INDEX(ExpDep,$L1129)))</f>
        <v/>
      </c>
      <c r="H1129" s="19">
        <f>IF($L1129="","",IF(INDEX(ExpWit,$L1129)=0,"",INDEX(ExpWit,$L1129)))</f>
        <v/>
      </c>
      <c r="I1129" s="20">
        <f>IF($B1129="","",IF($I1128="",0,$I1128)+IF($H1129="",0,$H1129)-IF($G1129="",0,$G1129))</f>
        <v/>
      </c>
      <c r="J1129" s="18">
        <f>IF($L1129="","",IF(INDEX(ExpNote,$L1129)="","—",INDEX(ExpNote,$L1129)))</f>
        <v/>
      </c>
      <c r="L1129">
        <f>IFERROR(MATCH($C$5&amp;"|"&amp;RIGHT("000000"&amp;1113,6),ExpRankKey,0),"")</f>
        <v/>
      </c>
    </row>
    <row r="1130">
      <c r="A1130" s="21" t="n">
        <v>1114</v>
      </c>
      <c r="B1130" s="22">
        <f>IF($L1130="","",INDEX(ExpNorm,$L1130))</f>
        <v/>
      </c>
      <c r="C1130" s="22">
        <f>IF($L1130="","",IF(INDEX(ExpTime,$L1130)="","—",LEFT(INDEX(ExpTime,$L1130),2)&amp;":"&amp;RIGHT(INDEX(ExpTime,$L1130),2)))</f>
        <v/>
      </c>
      <c r="D1130" s="22">
        <f>IF($L1130="","",IF(INDEX(ExpBank,$L1130)="","—",INDEX(ExpBank,$L1130)))</f>
        <v/>
      </c>
      <c r="E1130" s="23">
        <f>IF($L1130="","",IF(INDEX(ExpParty,$L1130)="","—",IFERROR(VLOOKUP(INDEX(ExpParty,$L1130),AcctTbl,4,0),INDEX(ExpParty,$L1130))))</f>
        <v/>
      </c>
      <c r="F1130" s="22">
        <f>IF($L1130="","",IF(INDEX(ExpType,$L1130)="","—",INDEX(ExpType,$L1130)))</f>
        <v/>
      </c>
      <c r="G1130" s="24">
        <f>IF($L1130="","",IF(INDEX(ExpDep,$L1130)=0,"",INDEX(ExpDep,$L1130)))</f>
        <v/>
      </c>
      <c r="H1130" s="24">
        <f>IF($L1130="","",IF(INDEX(ExpWit,$L1130)=0,"",INDEX(ExpWit,$L1130)))</f>
        <v/>
      </c>
      <c r="I1130" s="25">
        <f>IF($B1130="","",IF($I1129="",0,$I1129)+IF($H1130="",0,$H1130)-IF($G1130="",0,$G1130))</f>
        <v/>
      </c>
      <c r="J1130" s="23">
        <f>IF($L1130="","",IF(INDEX(ExpNote,$L1130)="","—",INDEX(ExpNote,$L1130)))</f>
        <v/>
      </c>
      <c r="L1130">
        <f>IFERROR(MATCH($C$5&amp;"|"&amp;RIGHT("000000"&amp;1114,6),ExpRankKey,0),"")</f>
        <v/>
      </c>
    </row>
    <row r="1131">
      <c r="A1131" s="16" t="n">
        <v>1115</v>
      </c>
      <c r="B1131" s="17">
        <f>IF($L1131="","",INDEX(ExpNorm,$L1131))</f>
        <v/>
      </c>
      <c r="C1131" s="17">
        <f>IF($L1131="","",IF(INDEX(ExpTime,$L1131)="","—",LEFT(INDEX(ExpTime,$L1131),2)&amp;":"&amp;RIGHT(INDEX(ExpTime,$L1131),2)))</f>
        <v/>
      </c>
      <c r="D1131" s="17">
        <f>IF($L1131="","",IF(INDEX(ExpBank,$L1131)="","—",INDEX(ExpBank,$L1131)))</f>
        <v/>
      </c>
      <c r="E1131" s="18">
        <f>IF($L1131="","",IF(INDEX(ExpParty,$L1131)="","—",IFERROR(VLOOKUP(INDEX(ExpParty,$L1131),AcctTbl,4,0),INDEX(ExpParty,$L1131))))</f>
        <v/>
      </c>
      <c r="F1131" s="17">
        <f>IF($L1131="","",IF(INDEX(ExpType,$L1131)="","—",INDEX(ExpType,$L1131)))</f>
        <v/>
      </c>
      <c r="G1131" s="19">
        <f>IF($L1131="","",IF(INDEX(ExpDep,$L1131)=0,"",INDEX(ExpDep,$L1131)))</f>
        <v/>
      </c>
      <c r="H1131" s="19">
        <f>IF($L1131="","",IF(INDEX(ExpWit,$L1131)=0,"",INDEX(ExpWit,$L1131)))</f>
        <v/>
      </c>
      <c r="I1131" s="20">
        <f>IF($B1131="","",IF($I1130="",0,$I1130)+IF($H1131="",0,$H1131)-IF($G1131="",0,$G1131))</f>
        <v/>
      </c>
      <c r="J1131" s="18">
        <f>IF($L1131="","",IF(INDEX(ExpNote,$L1131)="","—",INDEX(ExpNote,$L1131)))</f>
        <v/>
      </c>
      <c r="L1131">
        <f>IFERROR(MATCH($C$5&amp;"|"&amp;RIGHT("000000"&amp;1115,6),ExpRankKey,0),"")</f>
        <v/>
      </c>
    </row>
    <row r="1132">
      <c r="A1132" s="21" t="n">
        <v>1116</v>
      </c>
      <c r="B1132" s="22">
        <f>IF($L1132="","",INDEX(ExpNorm,$L1132))</f>
        <v/>
      </c>
      <c r="C1132" s="22">
        <f>IF($L1132="","",IF(INDEX(ExpTime,$L1132)="","—",LEFT(INDEX(ExpTime,$L1132),2)&amp;":"&amp;RIGHT(INDEX(ExpTime,$L1132),2)))</f>
        <v/>
      </c>
      <c r="D1132" s="22">
        <f>IF($L1132="","",IF(INDEX(ExpBank,$L1132)="","—",INDEX(ExpBank,$L1132)))</f>
        <v/>
      </c>
      <c r="E1132" s="23">
        <f>IF($L1132="","",IF(INDEX(ExpParty,$L1132)="","—",IFERROR(VLOOKUP(INDEX(ExpParty,$L1132),AcctTbl,4,0),INDEX(ExpParty,$L1132))))</f>
        <v/>
      </c>
      <c r="F1132" s="22">
        <f>IF($L1132="","",IF(INDEX(ExpType,$L1132)="","—",INDEX(ExpType,$L1132)))</f>
        <v/>
      </c>
      <c r="G1132" s="24">
        <f>IF($L1132="","",IF(INDEX(ExpDep,$L1132)=0,"",INDEX(ExpDep,$L1132)))</f>
        <v/>
      </c>
      <c r="H1132" s="24">
        <f>IF($L1132="","",IF(INDEX(ExpWit,$L1132)=0,"",INDEX(ExpWit,$L1132)))</f>
        <v/>
      </c>
      <c r="I1132" s="25">
        <f>IF($B1132="","",IF($I1131="",0,$I1131)+IF($H1132="",0,$H1132)-IF($G1132="",0,$G1132))</f>
        <v/>
      </c>
      <c r="J1132" s="23">
        <f>IF($L1132="","",IF(INDEX(ExpNote,$L1132)="","—",INDEX(ExpNote,$L1132)))</f>
        <v/>
      </c>
      <c r="L1132">
        <f>IFERROR(MATCH($C$5&amp;"|"&amp;RIGHT("000000"&amp;1116,6),ExpRankKey,0),"")</f>
        <v/>
      </c>
    </row>
    <row r="1133">
      <c r="A1133" s="16" t="n">
        <v>1117</v>
      </c>
      <c r="B1133" s="17">
        <f>IF($L1133="","",INDEX(ExpNorm,$L1133))</f>
        <v/>
      </c>
      <c r="C1133" s="17">
        <f>IF($L1133="","",IF(INDEX(ExpTime,$L1133)="","—",LEFT(INDEX(ExpTime,$L1133),2)&amp;":"&amp;RIGHT(INDEX(ExpTime,$L1133),2)))</f>
        <v/>
      </c>
      <c r="D1133" s="17">
        <f>IF($L1133="","",IF(INDEX(ExpBank,$L1133)="","—",INDEX(ExpBank,$L1133)))</f>
        <v/>
      </c>
      <c r="E1133" s="18">
        <f>IF($L1133="","",IF(INDEX(ExpParty,$L1133)="","—",IFERROR(VLOOKUP(INDEX(ExpParty,$L1133),AcctTbl,4,0),INDEX(ExpParty,$L1133))))</f>
        <v/>
      </c>
      <c r="F1133" s="17">
        <f>IF($L1133="","",IF(INDEX(ExpType,$L1133)="","—",INDEX(ExpType,$L1133)))</f>
        <v/>
      </c>
      <c r="G1133" s="19">
        <f>IF($L1133="","",IF(INDEX(ExpDep,$L1133)=0,"",INDEX(ExpDep,$L1133)))</f>
        <v/>
      </c>
      <c r="H1133" s="19">
        <f>IF($L1133="","",IF(INDEX(ExpWit,$L1133)=0,"",INDEX(ExpWit,$L1133)))</f>
        <v/>
      </c>
      <c r="I1133" s="20">
        <f>IF($B1133="","",IF($I1132="",0,$I1132)+IF($H1133="",0,$H1133)-IF($G1133="",0,$G1133))</f>
        <v/>
      </c>
      <c r="J1133" s="18">
        <f>IF($L1133="","",IF(INDEX(ExpNote,$L1133)="","—",INDEX(ExpNote,$L1133)))</f>
        <v/>
      </c>
      <c r="L1133">
        <f>IFERROR(MATCH($C$5&amp;"|"&amp;RIGHT("000000"&amp;1117,6),ExpRankKey,0),"")</f>
        <v/>
      </c>
    </row>
    <row r="1134">
      <c r="A1134" s="21" t="n">
        <v>1118</v>
      </c>
      <c r="B1134" s="22">
        <f>IF($L1134="","",INDEX(ExpNorm,$L1134))</f>
        <v/>
      </c>
      <c r="C1134" s="22">
        <f>IF($L1134="","",IF(INDEX(ExpTime,$L1134)="","—",LEFT(INDEX(ExpTime,$L1134),2)&amp;":"&amp;RIGHT(INDEX(ExpTime,$L1134),2)))</f>
        <v/>
      </c>
      <c r="D1134" s="22">
        <f>IF($L1134="","",IF(INDEX(ExpBank,$L1134)="","—",INDEX(ExpBank,$L1134)))</f>
        <v/>
      </c>
      <c r="E1134" s="23">
        <f>IF($L1134="","",IF(INDEX(ExpParty,$L1134)="","—",IFERROR(VLOOKUP(INDEX(ExpParty,$L1134),AcctTbl,4,0),INDEX(ExpParty,$L1134))))</f>
        <v/>
      </c>
      <c r="F1134" s="22">
        <f>IF($L1134="","",IF(INDEX(ExpType,$L1134)="","—",INDEX(ExpType,$L1134)))</f>
        <v/>
      </c>
      <c r="G1134" s="24">
        <f>IF($L1134="","",IF(INDEX(ExpDep,$L1134)=0,"",INDEX(ExpDep,$L1134)))</f>
        <v/>
      </c>
      <c r="H1134" s="24">
        <f>IF($L1134="","",IF(INDEX(ExpWit,$L1134)=0,"",INDEX(ExpWit,$L1134)))</f>
        <v/>
      </c>
      <c r="I1134" s="25">
        <f>IF($B1134="","",IF($I1133="",0,$I1133)+IF($H1134="",0,$H1134)-IF($G1134="",0,$G1134))</f>
        <v/>
      </c>
      <c r="J1134" s="23">
        <f>IF($L1134="","",IF(INDEX(ExpNote,$L1134)="","—",INDEX(ExpNote,$L1134)))</f>
        <v/>
      </c>
      <c r="L1134">
        <f>IFERROR(MATCH($C$5&amp;"|"&amp;RIGHT("000000"&amp;1118,6),ExpRankKey,0),"")</f>
        <v/>
      </c>
    </row>
    <row r="1135">
      <c r="A1135" s="16" t="n">
        <v>1119</v>
      </c>
      <c r="B1135" s="17">
        <f>IF($L1135="","",INDEX(ExpNorm,$L1135))</f>
        <v/>
      </c>
      <c r="C1135" s="17">
        <f>IF($L1135="","",IF(INDEX(ExpTime,$L1135)="","—",LEFT(INDEX(ExpTime,$L1135),2)&amp;":"&amp;RIGHT(INDEX(ExpTime,$L1135),2)))</f>
        <v/>
      </c>
      <c r="D1135" s="17">
        <f>IF($L1135="","",IF(INDEX(ExpBank,$L1135)="","—",INDEX(ExpBank,$L1135)))</f>
        <v/>
      </c>
      <c r="E1135" s="18">
        <f>IF($L1135="","",IF(INDEX(ExpParty,$L1135)="","—",IFERROR(VLOOKUP(INDEX(ExpParty,$L1135),AcctTbl,4,0),INDEX(ExpParty,$L1135))))</f>
        <v/>
      </c>
      <c r="F1135" s="17">
        <f>IF($L1135="","",IF(INDEX(ExpType,$L1135)="","—",INDEX(ExpType,$L1135)))</f>
        <v/>
      </c>
      <c r="G1135" s="19">
        <f>IF($L1135="","",IF(INDEX(ExpDep,$L1135)=0,"",INDEX(ExpDep,$L1135)))</f>
        <v/>
      </c>
      <c r="H1135" s="19">
        <f>IF($L1135="","",IF(INDEX(ExpWit,$L1135)=0,"",INDEX(ExpWit,$L1135)))</f>
        <v/>
      </c>
      <c r="I1135" s="20">
        <f>IF($B1135="","",IF($I1134="",0,$I1134)+IF($H1135="",0,$H1135)-IF($G1135="",0,$G1135))</f>
        <v/>
      </c>
      <c r="J1135" s="18">
        <f>IF($L1135="","",IF(INDEX(ExpNote,$L1135)="","—",INDEX(ExpNote,$L1135)))</f>
        <v/>
      </c>
      <c r="L1135">
        <f>IFERROR(MATCH($C$5&amp;"|"&amp;RIGHT("000000"&amp;1119,6),ExpRankKey,0),"")</f>
        <v/>
      </c>
    </row>
    <row r="1136">
      <c r="A1136" s="21" t="n">
        <v>1120</v>
      </c>
      <c r="B1136" s="22">
        <f>IF($L1136="","",INDEX(ExpNorm,$L1136))</f>
        <v/>
      </c>
      <c r="C1136" s="22">
        <f>IF($L1136="","",IF(INDEX(ExpTime,$L1136)="","—",LEFT(INDEX(ExpTime,$L1136),2)&amp;":"&amp;RIGHT(INDEX(ExpTime,$L1136),2)))</f>
        <v/>
      </c>
      <c r="D1136" s="22">
        <f>IF($L1136="","",IF(INDEX(ExpBank,$L1136)="","—",INDEX(ExpBank,$L1136)))</f>
        <v/>
      </c>
      <c r="E1136" s="23">
        <f>IF($L1136="","",IF(INDEX(ExpParty,$L1136)="","—",IFERROR(VLOOKUP(INDEX(ExpParty,$L1136),AcctTbl,4,0),INDEX(ExpParty,$L1136))))</f>
        <v/>
      </c>
      <c r="F1136" s="22">
        <f>IF($L1136="","",IF(INDEX(ExpType,$L1136)="","—",INDEX(ExpType,$L1136)))</f>
        <v/>
      </c>
      <c r="G1136" s="24">
        <f>IF($L1136="","",IF(INDEX(ExpDep,$L1136)=0,"",INDEX(ExpDep,$L1136)))</f>
        <v/>
      </c>
      <c r="H1136" s="24">
        <f>IF($L1136="","",IF(INDEX(ExpWit,$L1136)=0,"",INDEX(ExpWit,$L1136)))</f>
        <v/>
      </c>
      <c r="I1136" s="25">
        <f>IF($B1136="","",IF($I1135="",0,$I1135)+IF($H1136="",0,$H1136)-IF($G1136="",0,$G1136))</f>
        <v/>
      </c>
      <c r="J1136" s="23">
        <f>IF($L1136="","",IF(INDEX(ExpNote,$L1136)="","—",INDEX(ExpNote,$L1136)))</f>
        <v/>
      </c>
      <c r="L1136">
        <f>IFERROR(MATCH($C$5&amp;"|"&amp;RIGHT("000000"&amp;1120,6),ExpRankKey,0),"")</f>
        <v/>
      </c>
    </row>
    <row r="1137">
      <c r="A1137" s="16" t="n">
        <v>1121</v>
      </c>
      <c r="B1137" s="17">
        <f>IF($L1137="","",INDEX(ExpNorm,$L1137))</f>
        <v/>
      </c>
      <c r="C1137" s="17">
        <f>IF($L1137="","",IF(INDEX(ExpTime,$L1137)="","—",LEFT(INDEX(ExpTime,$L1137),2)&amp;":"&amp;RIGHT(INDEX(ExpTime,$L1137),2)))</f>
        <v/>
      </c>
      <c r="D1137" s="17">
        <f>IF($L1137="","",IF(INDEX(ExpBank,$L1137)="","—",INDEX(ExpBank,$L1137)))</f>
        <v/>
      </c>
      <c r="E1137" s="18">
        <f>IF($L1137="","",IF(INDEX(ExpParty,$L1137)="","—",IFERROR(VLOOKUP(INDEX(ExpParty,$L1137),AcctTbl,4,0),INDEX(ExpParty,$L1137))))</f>
        <v/>
      </c>
      <c r="F1137" s="17">
        <f>IF($L1137="","",IF(INDEX(ExpType,$L1137)="","—",INDEX(ExpType,$L1137)))</f>
        <v/>
      </c>
      <c r="G1137" s="19">
        <f>IF($L1137="","",IF(INDEX(ExpDep,$L1137)=0,"",INDEX(ExpDep,$L1137)))</f>
        <v/>
      </c>
      <c r="H1137" s="19">
        <f>IF($L1137="","",IF(INDEX(ExpWit,$L1137)=0,"",INDEX(ExpWit,$L1137)))</f>
        <v/>
      </c>
      <c r="I1137" s="20">
        <f>IF($B1137="","",IF($I1136="",0,$I1136)+IF($H1137="",0,$H1137)-IF($G1137="",0,$G1137))</f>
        <v/>
      </c>
      <c r="J1137" s="18">
        <f>IF($L1137="","",IF(INDEX(ExpNote,$L1137)="","—",INDEX(ExpNote,$L1137)))</f>
        <v/>
      </c>
      <c r="L1137">
        <f>IFERROR(MATCH($C$5&amp;"|"&amp;RIGHT("000000"&amp;1121,6),ExpRankKey,0),"")</f>
        <v/>
      </c>
    </row>
    <row r="1138">
      <c r="A1138" s="21" t="n">
        <v>1122</v>
      </c>
      <c r="B1138" s="22">
        <f>IF($L1138="","",INDEX(ExpNorm,$L1138))</f>
        <v/>
      </c>
      <c r="C1138" s="22">
        <f>IF($L1138="","",IF(INDEX(ExpTime,$L1138)="","—",LEFT(INDEX(ExpTime,$L1138),2)&amp;":"&amp;RIGHT(INDEX(ExpTime,$L1138),2)))</f>
        <v/>
      </c>
      <c r="D1138" s="22">
        <f>IF($L1138="","",IF(INDEX(ExpBank,$L1138)="","—",INDEX(ExpBank,$L1138)))</f>
        <v/>
      </c>
      <c r="E1138" s="23">
        <f>IF($L1138="","",IF(INDEX(ExpParty,$L1138)="","—",IFERROR(VLOOKUP(INDEX(ExpParty,$L1138),AcctTbl,4,0),INDEX(ExpParty,$L1138))))</f>
        <v/>
      </c>
      <c r="F1138" s="22">
        <f>IF($L1138="","",IF(INDEX(ExpType,$L1138)="","—",INDEX(ExpType,$L1138)))</f>
        <v/>
      </c>
      <c r="G1138" s="24">
        <f>IF($L1138="","",IF(INDEX(ExpDep,$L1138)=0,"",INDEX(ExpDep,$L1138)))</f>
        <v/>
      </c>
      <c r="H1138" s="24">
        <f>IF($L1138="","",IF(INDEX(ExpWit,$L1138)=0,"",INDEX(ExpWit,$L1138)))</f>
        <v/>
      </c>
      <c r="I1138" s="25">
        <f>IF($B1138="","",IF($I1137="",0,$I1137)+IF($H1138="",0,$H1138)-IF($G1138="",0,$G1138))</f>
        <v/>
      </c>
      <c r="J1138" s="23">
        <f>IF($L1138="","",IF(INDEX(ExpNote,$L1138)="","—",INDEX(ExpNote,$L1138)))</f>
        <v/>
      </c>
      <c r="L1138">
        <f>IFERROR(MATCH($C$5&amp;"|"&amp;RIGHT("000000"&amp;1122,6),ExpRankKey,0),"")</f>
        <v/>
      </c>
    </row>
    <row r="1139">
      <c r="A1139" s="16" t="n">
        <v>1123</v>
      </c>
      <c r="B1139" s="17">
        <f>IF($L1139="","",INDEX(ExpNorm,$L1139))</f>
        <v/>
      </c>
      <c r="C1139" s="17">
        <f>IF($L1139="","",IF(INDEX(ExpTime,$L1139)="","—",LEFT(INDEX(ExpTime,$L1139),2)&amp;":"&amp;RIGHT(INDEX(ExpTime,$L1139),2)))</f>
        <v/>
      </c>
      <c r="D1139" s="17">
        <f>IF($L1139="","",IF(INDEX(ExpBank,$L1139)="","—",INDEX(ExpBank,$L1139)))</f>
        <v/>
      </c>
      <c r="E1139" s="18">
        <f>IF($L1139="","",IF(INDEX(ExpParty,$L1139)="","—",IFERROR(VLOOKUP(INDEX(ExpParty,$L1139),AcctTbl,4,0),INDEX(ExpParty,$L1139))))</f>
        <v/>
      </c>
      <c r="F1139" s="17">
        <f>IF($L1139="","",IF(INDEX(ExpType,$L1139)="","—",INDEX(ExpType,$L1139)))</f>
        <v/>
      </c>
      <c r="G1139" s="19">
        <f>IF($L1139="","",IF(INDEX(ExpDep,$L1139)=0,"",INDEX(ExpDep,$L1139)))</f>
        <v/>
      </c>
      <c r="H1139" s="19">
        <f>IF($L1139="","",IF(INDEX(ExpWit,$L1139)=0,"",INDEX(ExpWit,$L1139)))</f>
        <v/>
      </c>
      <c r="I1139" s="20">
        <f>IF($B1139="","",IF($I1138="",0,$I1138)+IF($H1139="",0,$H1139)-IF($G1139="",0,$G1139))</f>
        <v/>
      </c>
      <c r="J1139" s="18">
        <f>IF($L1139="","",IF(INDEX(ExpNote,$L1139)="","—",INDEX(ExpNote,$L1139)))</f>
        <v/>
      </c>
      <c r="L1139">
        <f>IFERROR(MATCH($C$5&amp;"|"&amp;RIGHT("000000"&amp;1123,6),ExpRankKey,0),"")</f>
        <v/>
      </c>
    </row>
    <row r="1140">
      <c r="A1140" s="21" t="n">
        <v>1124</v>
      </c>
      <c r="B1140" s="22">
        <f>IF($L1140="","",INDEX(ExpNorm,$L1140))</f>
        <v/>
      </c>
      <c r="C1140" s="22">
        <f>IF($L1140="","",IF(INDEX(ExpTime,$L1140)="","—",LEFT(INDEX(ExpTime,$L1140),2)&amp;":"&amp;RIGHT(INDEX(ExpTime,$L1140),2)))</f>
        <v/>
      </c>
      <c r="D1140" s="22">
        <f>IF($L1140="","",IF(INDEX(ExpBank,$L1140)="","—",INDEX(ExpBank,$L1140)))</f>
        <v/>
      </c>
      <c r="E1140" s="23">
        <f>IF($L1140="","",IF(INDEX(ExpParty,$L1140)="","—",IFERROR(VLOOKUP(INDEX(ExpParty,$L1140),AcctTbl,4,0),INDEX(ExpParty,$L1140))))</f>
        <v/>
      </c>
      <c r="F1140" s="22">
        <f>IF($L1140="","",IF(INDEX(ExpType,$L1140)="","—",INDEX(ExpType,$L1140)))</f>
        <v/>
      </c>
      <c r="G1140" s="24">
        <f>IF($L1140="","",IF(INDEX(ExpDep,$L1140)=0,"",INDEX(ExpDep,$L1140)))</f>
        <v/>
      </c>
      <c r="H1140" s="24">
        <f>IF($L1140="","",IF(INDEX(ExpWit,$L1140)=0,"",INDEX(ExpWit,$L1140)))</f>
        <v/>
      </c>
      <c r="I1140" s="25">
        <f>IF($B1140="","",IF($I1139="",0,$I1139)+IF($H1140="",0,$H1140)-IF($G1140="",0,$G1140))</f>
        <v/>
      </c>
      <c r="J1140" s="23">
        <f>IF($L1140="","",IF(INDEX(ExpNote,$L1140)="","—",INDEX(ExpNote,$L1140)))</f>
        <v/>
      </c>
      <c r="L1140">
        <f>IFERROR(MATCH($C$5&amp;"|"&amp;RIGHT("000000"&amp;1124,6),ExpRankKey,0),"")</f>
        <v/>
      </c>
    </row>
    <row r="1141">
      <c r="A1141" s="16" t="n">
        <v>1125</v>
      </c>
      <c r="B1141" s="17">
        <f>IF($L1141="","",INDEX(ExpNorm,$L1141))</f>
        <v/>
      </c>
      <c r="C1141" s="17">
        <f>IF($L1141="","",IF(INDEX(ExpTime,$L1141)="","—",LEFT(INDEX(ExpTime,$L1141),2)&amp;":"&amp;RIGHT(INDEX(ExpTime,$L1141),2)))</f>
        <v/>
      </c>
      <c r="D1141" s="17">
        <f>IF($L1141="","",IF(INDEX(ExpBank,$L1141)="","—",INDEX(ExpBank,$L1141)))</f>
        <v/>
      </c>
      <c r="E1141" s="18">
        <f>IF($L1141="","",IF(INDEX(ExpParty,$L1141)="","—",IFERROR(VLOOKUP(INDEX(ExpParty,$L1141),AcctTbl,4,0),INDEX(ExpParty,$L1141))))</f>
        <v/>
      </c>
      <c r="F1141" s="17">
        <f>IF($L1141="","",IF(INDEX(ExpType,$L1141)="","—",INDEX(ExpType,$L1141)))</f>
        <v/>
      </c>
      <c r="G1141" s="19">
        <f>IF($L1141="","",IF(INDEX(ExpDep,$L1141)=0,"",INDEX(ExpDep,$L1141)))</f>
        <v/>
      </c>
      <c r="H1141" s="19">
        <f>IF($L1141="","",IF(INDEX(ExpWit,$L1141)=0,"",INDEX(ExpWit,$L1141)))</f>
        <v/>
      </c>
      <c r="I1141" s="20">
        <f>IF($B1141="","",IF($I1140="",0,$I1140)+IF($H1141="",0,$H1141)-IF($G1141="",0,$G1141))</f>
        <v/>
      </c>
      <c r="J1141" s="18">
        <f>IF($L1141="","",IF(INDEX(ExpNote,$L1141)="","—",INDEX(ExpNote,$L1141)))</f>
        <v/>
      </c>
      <c r="L1141">
        <f>IFERROR(MATCH($C$5&amp;"|"&amp;RIGHT("000000"&amp;1125,6),ExpRankKey,0),"")</f>
        <v/>
      </c>
    </row>
    <row r="1142">
      <c r="A1142" s="21" t="n">
        <v>1126</v>
      </c>
      <c r="B1142" s="22">
        <f>IF($L1142="","",INDEX(ExpNorm,$L1142))</f>
        <v/>
      </c>
      <c r="C1142" s="22">
        <f>IF($L1142="","",IF(INDEX(ExpTime,$L1142)="","—",LEFT(INDEX(ExpTime,$L1142),2)&amp;":"&amp;RIGHT(INDEX(ExpTime,$L1142),2)))</f>
        <v/>
      </c>
      <c r="D1142" s="22">
        <f>IF($L1142="","",IF(INDEX(ExpBank,$L1142)="","—",INDEX(ExpBank,$L1142)))</f>
        <v/>
      </c>
      <c r="E1142" s="23">
        <f>IF($L1142="","",IF(INDEX(ExpParty,$L1142)="","—",IFERROR(VLOOKUP(INDEX(ExpParty,$L1142),AcctTbl,4,0),INDEX(ExpParty,$L1142))))</f>
        <v/>
      </c>
      <c r="F1142" s="22">
        <f>IF($L1142="","",IF(INDEX(ExpType,$L1142)="","—",INDEX(ExpType,$L1142)))</f>
        <v/>
      </c>
      <c r="G1142" s="24">
        <f>IF($L1142="","",IF(INDEX(ExpDep,$L1142)=0,"",INDEX(ExpDep,$L1142)))</f>
        <v/>
      </c>
      <c r="H1142" s="24">
        <f>IF($L1142="","",IF(INDEX(ExpWit,$L1142)=0,"",INDEX(ExpWit,$L1142)))</f>
        <v/>
      </c>
      <c r="I1142" s="25">
        <f>IF($B1142="","",IF($I1141="",0,$I1141)+IF($H1142="",0,$H1142)-IF($G1142="",0,$G1142))</f>
        <v/>
      </c>
      <c r="J1142" s="23">
        <f>IF($L1142="","",IF(INDEX(ExpNote,$L1142)="","—",INDEX(ExpNote,$L1142)))</f>
        <v/>
      </c>
      <c r="L1142">
        <f>IFERROR(MATCH($C$5&amp;"|"&amp;RIGHT("000000"&amp;1126,6),ExpRankKey,0),"")</f>
        <v/>
      </c>
    </row>
    <row r="1143">
      <c r="A1143" s="16" t="n">
        <v>1127</v>
      </c>
      <c r="B1143" s="17">
        <f>IF($L1143="","",INDEX(ExpNorm,$L1143))</f>
        <v/>
      </c>
      <c r="C1143" s="17">
        <f>IF($L1143="","",IF(INDEX(ExpTime,$L1143)="","—",LEFT(INDEX(ExpTime,$L1143),2)&amp;":"&amp;RIGHT(INDEX(ExpTime,$L1143),2)))</f>
        <v/>
      </c>
      <c r="D1143" s="17">
        <f>IF($L1143="","",IF(INDEX(ExpBank,$L1143)="","—",INDEX(ExpBank,$L1143)))</f>
        <v/>
      </c>
      <c r="E1143" s="18">
        <f>IF($L1143="","",IF(INDEX(ExpParty,$L1143)="","—",IFERROR(VLOOKUP(INDEX(ExpParty,$L1143),AcctTbl,4,0),INDEX(ExpParty,$L1143))))</f>
        <v/>
      </c>
      <c r="F1143" s="17">
        <f>IF($L1143="","",IF(INDEX(ExpType,$L1143)="","—",INDEX(ExpType,$L1143)))</f>
        <v/>
      </c>
      <c r="G1143" s="19">
        <f>IF($L1143="","",IF(INDEX(ExpDep,$L1143)=0,"",INDEX(ExpDep,$L1143)))</f>
        <v/>
      </c>
      <c r="H1143" s="19">
        <f>IF($L1143="","",IF(INDEX(ExpWit,$L1143)=0,"",INDEX(ExpWit,$L1143)))</f>
        <v/>
      </c>
      <c r="I1143" s="20">
        <f>IF($B1143="","",IF($I1142="",0,$I1142)+IF($H1143="",0,$H1143)-IF($G1143="",0,$G1143))</f>
        <v/>
      </c>
      <c r="J1143" s="18">
        <f>IF($L1143="","",IF(INDEX(ExpNote,$L1143)="","—",INDEX(ExpNote,$L1143)))</f>
        <v/>
      </c>
      <c r="L1143">
        <f>IFERROR(MATCH($C$5&amp;"|"&amp;RIGHT("000000"&amp;1127,6),ExpRankKey,0),"")</f>
        <v/>
      </c>
    </row>
    <row r="1144">
      <c r="A1144" s="21" t="n">
        <v>1128</v>
      </c>
      <c r="B1144" s="22">
        <f>IF($L1144="","",INDEX(ExpNorm,$L1144))</f>
        <v/>
      </c>
      <c r="C1144" s="22">
        <f>IF($L1144="","",IF(INDEX(ExpTime,$L1144)="","—",LEFT(INDEX(ExpTime,$L1144),2)&amp;":"&amp;RIGHT(INDEX(ExpTime,$L1144),2)))</f>
        <v/>
      </c>
      <c r="D1144" s="22">
        <f>IF($L1144="","",IF(INDEX(ExpBank,$L1144)="","—",INDEX(ExpBank,$L1144)))</f>
        <v/>
      </c>
      <c r="E1144" s="23">
        <f>IF($L1144="","",IF(INDEX(ExpParty,$L1144)="","—",IFERROR(VLOOKUP(INDEX(ExpParty,$L1144),AcctTbl,4,0),INDEX(ExpParty,$L1144))))</f>
        <v/>
      </c>
      <c r="F1144" s="22">
        <f>IF($L1144="","",IF(INDEX(ExpType,$L1144)="","—",INDEX(ExpType,$L1144)))</f>
        <v/>
      </c>
      <c r="G1144" s="24">
        <f>IF($L1144="","",IF(INDEX(ExpDep,$L1144)=0,"",INDEX(ExpDep,$L1144)))</f>
        <v/>
      </c>
      <c r="H1144" s="24">
        <f>IF($L1144="","",IF(INDEX(ExpWit,$L1144)=0,"",INDEX(ExpWit,$L1144)))</f>
        <v/>
      </c>
      <c r="I1144" s="25">
        <f>IF($B1144="","",IF($I1143="",0,$I1143)+IF($H1144="",0,$H1144)-IF($G1144="",0,$G1144))</f>
        <v/>
      </c>
      <c r="J1144" s="23">
        <f>IF($L1144="","",IF(INDEX(ExpNote,$L1144)="","—",INDEX(ExpNote,$L1144)))</f>
        <v/>
      </c>
      <c r="L1144">
        <f>IFERROR(MATCH($C$5&amp;"|"&amp;RIGHT("000000"&amp;1128,6),ExpRankKey,0),"")</f>
        <v/>
      </c>
    </row>
    <row r="1145">
      <c r="A1145" s="16" t="n">
        <v>1129</v>
      </c>
      <c r="B1145" s="17">
        <f>IF($L1145="","",INDEX(ExpNorm,$L1145))</f>
        <v/>
      </c>
      <c r="C1145" s="17">
        <f>IF($L1145="","",IF(INDEX(ExpTime,$L1145)="","—",LEFT(INDEX(ExpTime,$L1145),2)&amp;":"&amp;RIGHT(INDEX(ExpTime,$L1145),2)))</f>
        <v/>
      </c>
      <c r="D1145" s="17">
        <f>IF($L1145="","",IF(INDEX(ExpBank,$L1145)="","—",INDEX(ExpBank,$L1145)))</f>
        <v/>
      </c>
      <c r="E1145" s="18">
        <f>IF($L1145="","",IF(INDEX(ExpParty,$L1145)="","—",IFERROR(VLOOKUP(INDEX(ExpParty,$L1145),AcctTbl,4,0),INDEX(ExpParty,$L1145))))</f>
        <v/>
      </c>
      <c r="F1145" s="17">
        <f>IF($L1145="","",IF(INDEX(ExpType,$L1145)="","—",INDEX(ExpType,$L1145)))</f>
        <v/>
      </c>
      <c r="G1145" s="19">
        <f>IF($L1145="","",IF(INDEX(ExpDep,$L1145)=0,"",INDEX(ExpDep,$L1145)))</f>
        <v/>
      </c>
      <c r="H1145" s="19">
        <f>IF($L1145="","",IF(INDEX(ExpWit,$L1145)=0,"",INDEX(ExpWit,$L1145)))</f>
        <v/>
      </c>
      <c r="I1145" s="20">
        <f>IF($B1145="","",IF($I1144="",0,$I1144)+IF($H1145="",0,$H1145)-IF($G1145="",0,$G1145))</f>
        <v/>
      </c>
      <c r="J1145" s="18">
        <f>IF($L1145="","",IF(INDEX(ExpNote,$L1145)="","—",INDEX(ExpNote,$L1145)))</f>
        <v/>
      </c>
      <c r="L1145">
        <f>IFERROR(MATCH($C$5&amp;"|"&amp;RIGHT("000000"&amp;1129,6),ExpRankKey,0),"")</f>
        <v/>
      </c>
    </row>
    <row r="1146">
      <c r="A1146" s="21" t="n">
        <v>1130</v>
      </c>
      <c r="B1146" s="22">
        <f>IF($L1146="","",INDEX(ExpNorm,$L1146))</f>
        <v/>
      </c>
      <c r="C1146" s="22">
        <f>IF($L1146="","",IF(INDEX(ExpTime,$L1146)="","—",LEFT(INDEX(ExpTime,$L1146),2)&amp;":"&amp;RIGHT(INDEX(ExpTime,$L1146),2)))</f>
        <v/>
      </c>
      <c r="D1146" s="22">
        <f>IF($L1146="","",IF(INDEX(ExpBank,$L1146)="","—",INDEX(ExpBank,$L1146)))</f>
        <v/>
      </c>
      <c r="E1146" s="23">
        <f>IF($L1146="","",IF(INDEX(ExpParty,$L1146)="","—",IFERROR(VLOOKUP(INDEX(ExpParty,$L1146),AcctTbl,4,0),INDEX(ExpParty,$L1146))))</f>
        <v/>
      </c>
      <c r="F1146" s="22">
        <f>IF($L1146="","",IF(INDEX(ExpType,$L1146)="","—",INDEX(ExpType,$L1146)))</f>
        <v/>
      </c>
      <c r="G1146" s="24">
        <f>IF($L1146="","",IF(INDEX(ExpDep,$L1146)=0,"",INDEX(ExpDep,$L1146)))</f>
        <v/>
      </c>
      <c r="H1146" s="24">
        <f>IF($L1146="","",IF(INDEX(ExpWit,$L1146)=0,"",INDEX(ExpWit,$L1146)))</f>
        <v/>
      </c>
      <c r="I1146" s="25">
        <f>IF($B1146="","",IF($I1145="",0,$I1145)+IF($H1146="",0,$H1146)-IF($G1146="",0,$G1146))</f>
        <v/>
      </c>
      <c r="J1146" s="23">
        <f>IF($L1146="","",IF(INDEX(ExpNote,$L1146)="","—",INDEX(ExpNote,$L1146)))</f>
        <v/>
      </c>
      <c r="L1146">
        <f>IFERROR(MATCH($C$5&amp;"|"&amp;RIGHT("000000"&amp;1130,6),ExpRankKey,0),"")</f>
        <v/>
      </c>
    </row>
    <row r="1147">
      <c r="A1147" s="16" t="n">
        <v>1131</v>
      </c>
      <c r="B1147" s="17">
        <f>IF($L1147="","",INDEX(ExpNorm,$L1147))</f>
        <v/>
      </c>
      <c r="C1147" s="17">
        <f>IF($L1147="","",IF(INDEX(ExpTime,$L1147)="","—",LEFT(INDEX(ExpTime,$L1147),2)&amp;":"&amp;RIGHT(INDEX(ExpTime,$L1147),2)))</f>
        <v/>
      </c>
      <c r="D1147" s="17">
        <f>IF($L1147="","",IF(INDEX(ExpBank,$L1147)="","—",INDEX(ExpBank,$L1147)))</f>
        <v/>
      </c>
      <c r="E1147" s="18">
        <f>IF($L1147="","",IF(INDEX(ExpParty,$L1147)="","—",IFERROR(VLOOKUP(INDEX(ExpParty,$L1147),AcctTbl,4,0),INDEX(ExpParty,$L1147))))</f>
        <v/>
      </c>
      <c r="F1147" s="17">
        <f>IF($L1147="","",IF(INDEX(ExpType,$L1147)="","—",INDEX(ExpType,$L1147)))</f>
        <v/>
      </c>
      <c r="G1147" s="19">
        <f>IF($L1147="","",IF(INDEX(ExpDep,$L1147)=0,"",INDEX(ExpDep,$L1147)))</f>
        <v/>
      </c>
      <c r="H1147" s="19">
        <f>IF($L1147="","",IF(INDEX(ExpWit,$L1147)=0,"",INDEX(ExpWit,$L1147)))</f>
        <v/>
      </c>
      <c r="I1147" s="20">
        <f>IF($B1147="","",IF($I1146="",0,$I1146)+IF($H1147="",0,$H1147)-IF($G1147="",0,$G1147))</f>
        <v/>
      </c>
      <c r="J1147" s="18">
        <f>IF($L1147="","",IF(INDEX(ExpNote,$L1147)="","—",INDEX(ExpNote,$L1147)))</f>
        <v/>
      </c>
      <c r="L1147">
        <f>IFERROR(MATCH($C$5&amp;"|"&amp;RIGHT("000000"&amp;1131,6),ExpRankKey,0),"")</f>
        <v/>
      </c>
    </row>
    <row r="1148">
      <c r="A1148" s="21" t="n">
        <v>1132</v>
      </c>
      <c r="B1148" s="22">
        <f>IF($L1148="","",INDEX(ExpNorm,$L1148))</f>
        <v/>
      </c>
      <c r="C1148" s="22">
        <f>IF($L1148="","",IF(INDEX(ExpTime,$L1148)="","—",LEFT(INDEX(ExpTime,$L1148),2)&amp;":"&amp;RIGHT(INDEX(ExpTime,$L1148),2)))</f>
        <v/>
      </c>
      <c r="D1148" s="22">
        <f>IF($L1148="","",IF(INDEX(ExpBank,$L1148)="","—",INDEX(ExpBank,$L1148)))</f>
        <v/>
      </c>
      <c r="E1148" s="23">
        <f>IF($L1148="","",IF(INDEX(ExpParty,$L1148)="","—",IFERROR(VLOOKUP(INDEX(ExpParty,$L1148),AcctTbl,4,0),INDEX(ExpParty,$L1148))))</f>
        <v/>
      </c>
      <c r="F1148" s="22">
        <f>IF($L1148="","",IF(INDEX(ExpType,$L1148)="","—",INDEX(ExpType,$L1148)))</f>
        <v/>
      </c>
      <c r="G1148" s="24">
        <f>IF($L1148="","",IF(INDEX(ExpDep,$L1148)=0,"",INDEX(ExpDep,$L1148)))</f>
        <v/>
      </c>
      <c r="H1148" s="24">
        <f>IF($L1148="","",IF(INDEX(ExpWit,$L1148)=0,"",INDEX(ExpWit,$L1148)))</f>
        <v/>
      </c>
      <c r="I1148" s="25">
        <f>IF($B1148="","",IF($I1147="",0,$I1147)+IF($H1148="",0,$H1148)-IF($G1148="",0,$G1148))</f>
        <v/>
      </c>
      <c r="J1148" s="23">
        <f>IF($L1148="","",IF(INDEX(ExpNote,$L1148)="","—",INDEX(ExpNote,$L1148)))</f>
        <v/>
      </c>
      <c r="L1148">
        <f>IFERROR(MATCH($C$5&amp;"|"&amp;RIGHT("000000"&amp;1132,6),ExpRankKey,0),"")</f>
        <v/>
      </c>
    </row>
    <row r="1149">
      <c r="A1149" s="16" t="n">
        <v>1133</v>
      </c>
      <c r="B1149" s="17">
        <f>IF($L1149="","",INDEX(ExpNorm,$L1149))</f>
        <v/>
      </c>
      <c r="C1149" s="17">
        <f>IF($L1149="","",IF(INDEX(ExpTime,$L1149)="","—",LEFT(INDEX(ExpTime,$L1149),2)&amp;":"&amp;RIGHT(INDEX(ExpTime,$L1149),2)))</f>
        <v/>
      </c>
      <c r="D1149" s="17">
        <f>IF($L1149="","",IF(INDEX(ExpBank,$L1149)="","—",INDEX(ExpBank,$L1149)))</f>
        <v/>
      </c>
      <c r="E1149" s="18">
        <f>IF($L1149="","",IF(INDEX(ExpParty,$L1149)="","—",IFERROR(VLOOKUP(INDEX(ExpParty,$L1149),AcctTbl,4,0),INDEX(ExpParty,$L1149))))</f>
        <v/>
      </c>
      <c r="F1149" s="17">
        <f>IF($L1149="","",IF(INDEX(ExpType,$L1149)="","—",INDEX(ExpType,$L1149)))</f>
        <v/>
      </c>
      <c r="G1149" s="19">
        <f>IF($L1149="","",IF(INDEX(ExpDep,$L1149)=0,"",INDEX(ExpDep,$L1149)))</f>
        <v/>
      </c>
      <c r="H1149" s="19">
        <f>IF($L1149="","",IF(INDEX(ExpWit,$L1149)=0,"",INDEX(ExpWit,$L1149)))</f>
        <v/>
      </c>
      <c r="I1149" s="20">
        <f>IF($B1149="","",IF($I1148="",0,$I1148)+IF($H1149="",0,$H1149)-IF($G1149="",0,$G1149))</f>
        <v/>
      </c>
      <c r="J1149" s="18">
        <f>IF($L1149="","",IF(INDEX(ExpNote,$L1149)="","—",INDEX(ExpNote,$L1149)))</f>
        <v/>
      </c>
      <c r="L1149">
        <f>IFERROR(MATCH($C$5&amp;"|"&amp;RIGHT("000000"&amp;1133,6),ExpRankKey,0),"")</f>
        <v/>
      </c>
    </row>
    <row r="1150">
      <c r="A1150" s="21" t="n">
        <v>1134</v>
      </c>
      <c r="B1150" s="22">
        <f>IF($L1150="","",INDEX(ExpNorm,$L1150))</f>
        <v/>
      </c>
      <c r="C1150" s="22">
        <f>IF($L1150="","",IF(INDEX(ExpTime,$L1150)="","—",LEFT(INDEX(ExpTime,$L1150),2)&amp;":"&amp;RIGHT(INDEX(ExpTime,$L1150),2)))</f>
        <v/>
      </c>
      <c r="D1150" s="22">
        <f>IF($L1150="","",IF(INDEX(ExpBank,$L1150)="","—",INDEX(ExpBank,$L1150)))</f>
        <v/>
      </c>
      <c r="E1150" s="23">
        <f>IF($L1150="","",IF(INDEX(ExpParty,$L1150)="","—",IFERROR(VLOOKUP(INDEX(ExpParty,$L1150),AcctTbl,4,0),INDEX(ExpParty,$L1150))))</f>
        <v/>
      </c>
      <c r="F1150" s="22">
        <f>IF($L1150="","",IF(INDEX(ExpType,$L1150)="","—",INDEX(ExpType,$L1150)))</f>
        <v/>
      </c>
      <c r="G1150" s="24">
        <f>IF($L1150="","",IF(INDEX(ExpDep,$L1150)=0,"",INDEX(ExpDep,$L1150)))</f>
        <v/>
      </c>
      <c r="H1150" s="24">
        <f>IF($L1150="","",IF(INDEX(ExpWit,$L1150)=0,"",INDEX(ExpWit,$L1150)))</f>
        <v/>
      </c>
      <c r="I1150" s="25">
        <f>IF($B1150="","",IF($I1149="",0,$I1149)+IF($H1150="",0,$H1150)-IF($G1150="",0,$G1150))</f>
        <v/>
      </c>
      <c r="J1150" s="23">
        <f>IF($L1150="","",IF(INDEX(ExpNote,$L1150)="","—",INDEX(ExpNote,$L1150)))</f>
        <v/>
      </c>
      <c r="L1150">
        <f>IFERROR(MATCH($C$5&amp;"|"&amp;RIGHT("000000"&amp;1134,6),ExpRankKey,0),"")</f>
        <v/>
      </c>
    </row>
    <row r="1151">
      <c r="A1151" s="16" t="n">
        <v>1135</v>
      </c>
      <c r="B1151" s="17">
        <f>IF($L1151="","",INDEX(ExpNorm,$L1151))</f>
        <v/>
      </c>
      <c r="C1151" s="17">
        <f>IF($L1151="","",IF(INDEX(ExpTime,$L1151)="","—",LEFT(INDEX(ExpTime,$L1151),2)&amp;":"&amp;RIGHT(INDEX(ExpTime,$L1151),2)))</f>
        <v/>
      </c>
      <c r="D1151" s="17">
        <f>IF($L1151="","",IF(INDEX(ExpBank,$L1151)="","—",INDEX(ExpBank,$L1151)))</f>
        <v/>
      </c>
      <c r="E1151" s="18">
        <f>IF($L1151="","",IF(INDEX(ExpParty,$L1151)="","—",IFERROR(VLOOKUP(INDEX(ExpParty,$L1151),AcctTbl,4,0),INDEX(ExpParty,$L1151))))</f>
        <v/>
      </c>
      <c r="F1151" s="17">
        <f>IF($L1151="","",IF(INDEX(ExpType,$L1151)="","—",INDEX(ExpType,$L1151)))</f>
        <v/>
      </c>
      <c r="G1151" s="19">
        <f>IF($L1151="","",IF(INDEX(ExpDep,$L1151)=0,"",INDEX(ExpDep,$L1151)))</f>
        <v/>
      </c>
      <c r="H1151" s="19">
        <f>IF($L1151="","",IF(INDEX(ExpWit,$L1151)=0,"",INDEX(ExpWit,$L1151)))</f>
        <v/>
      </c>
      <c r="I1151" s="20">
        <f>IF($B1151="","",IF($I1150="",0,$I1150)+IF($H1151="",0,$H1151)-IF($G1151="",0,$G1151))</f>
        <v/>
      </c>
      <c r="J1151" s="18">
        <f>IF($L1151="","",IF(INDEX(ExpNote,$L1151)="","—",INDEX(ExpNote,$L1151)))</f>
        <v/>
      </c>
      <c r="L1151">
        <f>IFERROR(MATCH($C$5&amp;"|"&amp;RIGHT("000000"&amp;1135,6),ExpRankKey,0),"")</f>
        <v/>
      </c>
    </row>
    <row r="1152">
      <c r="A1152" s="21" t="n">
        <v>1136</v>
      </c>
      <c r="B1152" s="22">
        <f>IF($L1152="","",INDEX(ExpNorm,$L1152))</f>
        <v/>
      </c>
      <c r="C1152" s="22">
        <f>IF($L1152="","",IF(INDEX(ExpTime,$L1152)="","—",LEFT(INDEX(ExpTime,$L1152),2)&amp;":"&amp;RIGHT(INDEX(ExpTime,$L1152),2)))</f>
        <v/>
      </c>
      <c r="D1152" s="22">
        <f>IF($L1152="","",IF(INDEX(ExpBank,$L1152)="","—",INDEX(ExpBank,$L1152)))</f>
        <v/>
      </c>
      <c r="E1152" s="23">
        <f>IF($L1152="","",IF(INDEX(ExpParty,$L1152)="","—",IFERROR(VLOOKUP(INDEX(ExpParty,$L1152),AcctTbl,4,0),INDEX(ExpParty,$L1152))))</f>
        <v/>
      </c>
      <c r="F1152" s="22">
        <f>IF($L1152="","",IF(INDEX(ExpType,$L1152)="","—",INDEX(ExpType,$L1152)))</f>
        <v/>
      </c>
      <c r="G1152" s="24">
        <f>IF($L1152="","",IF(INDEX(ExpDep,$L1152)=0,"",INDEX(ExpDep,$L1152)))</f>
        <v/>
      </c>
      <c r="H1152" s="24">
        <f>IF($L1152="","",IF(INDEX(ExpWit,$L1152)=0,"",INDEX(ExpWit,$L1152)))</f>
        <v/>
      </c>
      <c r="I1152" s="25">
        <f>IF($B1152="","",IF($I1151="",0,$I1151)+IF($H1152="",0,$H1152)-IF($G1152="",0,$G1152))</f>
        <v/>
      </c>
      <c r="J1152" s="23">
        <f>IF($L1152="","",IF(INDEX(ExpNote,$L1152)="","—",INDEX(ExpNote,$L1152)))</f>
        <v/>
      </c>
      <c r="L1152">
        <f>IFERROR(MATCH($C$5&amp;"|"&amp;RIGHT("000000"&amp;1136,6),ExpRankKey,0),"")</f>
        <v/>
      </c>
    </row>
    <row r="1153">
      <c r="A1153" s="16" t="n">
        <v>1137</v>
      </c>
      <c r="B1153" s="17">
        <f>IF($L1153="","",INDEX(ExpNorm,$L1153))</f>
        <v/>
      </c>
      <c r="C1153" s="17">
        <f>IF($L1153="","",IF(INDEX(ExpTime,$L1153)="","—",LEFT(INDEX(ExpTime,$L1153),2)&amp;":"&amp;RIGHT(INDEX(ExpTime,$L1153),2)))</f>
        <v/>
      </c>
      <c r="D1153" s="17">
        <f>IF($L1153="","",IF(INDEX(ExpBank,$L1153)="","—",INDEX(ExpBank,$L1153)))</f>
        <v/>
      </c>
      <c r="E1153" s="18">
        <f>IF($L1153="","",IF(INDEX(ExpParty,$L1153)="","—",IFERROR(VLOOKUP(INDEX(ExpParty,$L1153),AcctTbl,4,0),INDEX(ExpParty,$L1153))))</f>
        <v/>
      </c>
      <c r="F1153" s="17">
        <f>IF($L1153="","",IF(INDEX(ExpType,$L1153)="","—",INDEX(ExpType,$L1153)))</f>
        <v/>
      </c>
      <c r="G1153" s="19">
        <f>IF($L1153="","",IF(INDEX(ExpDep,$L1153)=0,"",INDEX(ExpDep,$L1153)))</f>
        <v/>
      </c>
      <c r="H1153" s="19">
        <f>IF($L1153="","",IF(INDEX(ExpWit,$L1153)=0,"",INDEX(ExpWit,$L1153)))</f>
        <v/>
      </c>
      <c r="I1153" s="20">
        <f>IF($B1153="","",IF($I1152="",0,$I1152)+IF($H1153="",0,$H1153)-IF($G1153="",0,$G1153))</f>
        <v/>
      </c>
      <c r="J1153" s="18">
        <f>IF($L1153="","",IF(INDEX(ExpNote,$L1153)="","—",INDEX(ExpNote,$L1153)))</f>
        <v/>
      </c>
      <c r="L1153">
        <f>IFERROR(MATCH($C$5&amp;"|"&amp;RIGHT("000000"&amp;1137,6),ExpRankKey,0),"")</f>
        <v/>
      </c>
    </row>
    <row r="1154">
      <c r="A1154" s="21" t="n">
        <v>1138</v>
      </c>
      <c r="B1154" s="22">
        <f>IF($L1154="","",INDEX(ExpNorm,$L1154))</f>
        <v/>
      </c>
      <c r="C1154" s="22">
        <f>IF($L1154="","",IF(INDEX(ExpTime,$L1154)="","—",LEFT(INDEX(ExpTime,$L1154),2)&amp;":"&amp;RIGHT(INDEX(ExpTime,$L1154),2)))</f>
        <v/>
      </c>
      <c r="D1154" s="22">
        <f>IF($L1154="","",IF(INDEX(ExpBank,$L1154)="","—",INDEX(ExpBank,$L1154)))</f>
        <v/>
      </c>
      <c r="E1154" s="23">
        <f>IF($L1154="","",IF(INDEX(ExpParty,$L1154)="","—",IFERROR(VLOOKUP(INDEX(ExpParty,$L1154),AcctTbl,4,0),INDEX(ExpParty,$L1154))))</f>
        <v/>
      </c>
      <c r="F1154" s="22">
        <f>IF($L1154="","",IF(INDEX(ExpType,$L1154)="","—",INDEX(ExpType,$L1154)))</f>
        <v/>
      </c>
      <c r="G1154" s="24">
        <f>IF($L1154="","",IF(INDEX(ExpDep,$L1154)=0,"",INDEX(ExpDep,$L1154)))</f>
        <v/>
      </c>
      <c r="H1154" s="24">
        <f>IF($L1154="","",IF(INDEX(ExpWit,$L1154)=0,"",INDEX(ExpWit,$L1154)))</f>
        <v/>
      </c>
      <c r="I1154" s="25">
        <f>IF($B1154="","",IF($I1153="",0,$I1153)+IF($H1154="",0,$H1154)-IF($G1154="",0,$G1154))</f>
        <v/>
      </c>
      <c r="J1154" s="23">
        <f>IF($L1154="","",IF(INDEX(ExpNote,$L1154)="","—",INDEX(ExpNote,$L1154)))</f>
        <v/>
      </c>
      <c r="L1154">
        <f>IFERROR(MATCH($C$5&amp;"|"&amp;RIGHT("000000"&amp;1138,6),ExpRankKey,0),"")</f>
        <v/>
      </c>
    </row>
    <row r="1155">
      <c r="A1155" s="16" t="n">
        <v>1139</v>
      </c>
      <c r="B1155" s="17">
        <f>IF($L1155="","",INDEX(ExpNorm,$L1155))</f>
        <v/>
      </c>
      <c r="C1155" s="17">
        <f>IF($L1155="","",IF(INDEX(ExpTime,$L1155)="","—",LEFT(INDEX(ExpTime,$L1155),2)&amp;":"&amp;RIGHT(INDEX(ExpTime,$L1155),2)))</f>
        <v/>
      </c>
      <c r="D1155" s="17">
        <f>IF($L1155="","",IF(INDEX(ExpBank,$L1155)="","—",INDEX(ExpBank,$L1155)))</f>
        <v/>
      </c>
      <c r="E1155" s="18">
        <f>IF($L1155="","",IF(INDEX(ExpParty,$L1155)="","—",IFERROR(VLOOKUP(INDEX(ExpParty,$L1155),AcctTbl,4,0),INDEX(ExpParty,$L1155))))</f>
        <v/>
      </c>
      <c r="F1155" s="17">
        <f>IF($L1155="","",IF(INDEX(ExpType,$L1155)="","—",INDEX(ExpType,$L1155)))</f>
        <v/>
      </c>
      <c r="G1155" s="19">
        <f>IF($L1155="","",IF(INDEX(ExpDep,$L1155)=0,"",INDEX(ExpDep,$L1155)))</f>
        <v/>
      </c>
      <c r="H1155" s="19">
        <f>IF($L1155="","",IF(INDEX(ExpWit,$L1155)=0,"",INDEX(ExpWit,$L1155)))</f>
        <v/>
      </c>
      <c r="I1155" s="20">
        <f>IF($B1155="","",IF($I1154="",0,$I1154)+IF($H1155="",0,$H1155)-IF($G1155="",0,$G1155))</f>
        <v/>
      </c>
      <c r="J1155" s="18">
        <f>IF($L1155="","",IF(INDEX(ExpNote,$L1155)="","—",INDEX(ExpNote,$L1155)))</f>
        <v/>
      </c>
      <c r="L1155">
        <f>IFERROR(MATCH($C$5&amp;"|"&amp;RIGHT("000000"&amp;1139,6),ExpRankKey,0),"")</f>
        <v/>
      </c>
    </row>
    <row r="1156">
      <c r="A1156" s="21" t="n">
        <v>1140</v>
      </c>
      <c r="B1156" s="22">
        <f>IF($L1156="","",INDEX(ExpNorm,$L1156))</f>
        <v/>
      </c>
      <c r="C1156" s="22">
        <f>IF($L1156="","",IF(INDEX(ExpTime,$L1156)="","—",LEFT(INDEX(ExpTime,$L1156),2)&amp;":"&amp;RIGHT(INDEX(ExpTime,$L1156),2)))</f>
        <v/>
      </c>
      <c r="D1156" s="22">
        <f>IF($L1156="","",IF(INDEX(ExpBank,$L1156)="","—",INDEX(ExpBank,$L1156)))</f>
        <v/>
      </c>
      <c r="E1156" s="23">
        <f>IF($L1156="","",IF(INDEX(ExpParty,$L1156)="","—",IFERROR(VLOOKUP(INDEX(ExpParty,$L1156),AcctTbl,4,0),INDEX(ExpParty,$L1156))))</f>
        <v/>
      </c>
      <c r="F1156" s="22">
        <f>IF($L1156="","",IF(INDEX(ExpType,$L1156)="","—",INDEX(ExpType,$L1156)))</f>
        <v/>
      </c>
      <c r="G1156" s="24">
        <f>IF($L1156="","",IF(INDEX(ExpDep,$L1156)=0,"",INDEX(ExpDep,$L1156)))</f>
        <v/>
      </c>
      <c r="H1156" s="24">
        <f>IF($L1156="","",IF(INDEX(ExpWit,$L1156)=0,"",INDEX(ExpWit,$L1156)))</f>
        <v/>
      </c>
      <c r="I1156" s="25">
        <f>IF($B1156="","",IF($I1155="",0,$I1155)+IF($H1156="",0,$H1156)-IF($G1156="",0,$G1156))</f>
        <v/>
      </c>
      <c r="J1156" s="23">
        <f>IF($L1156="","",IF(INDEX(ExpNote,$L1156)="","—",INDEX(ExpNote,$L1156)))</f>
        <v/>
      </c>
      <c r="L1156">
        <f>IFERROR(MATCH($C$5&amp;"|"&amp;RIGHT("000000"&amp;1140,6),ExpRankKey,0),"")</f>
        <v/>
      </c>
    </row>
    <row r="1157">
      <c r="A1157" s="16" t="n">
        <v>1141</v>
      </c>
      <c r="B1157" s="17">
        <f>IF($L1157="","",INDEX(ExpNorm,$L1157))</f>
        <v/>
      </c>
      <c r="C1157" s="17">
        <f>IF($L1157="","",IF(INDEX(ExpTime,$L1157)="","—",LEFT(INDEX(ExpTime,$L1157),2)&amp;":"&amp;RIGHT(INDEX(ExpTime,$L1157),2)))</f>
        <v/>
      </c>
      <c r="D1157" s="17">
        <f>IF($L1157="","",IF(INDEX(ExpBank,$L1157)="","—",INDEX(ExpBank,$L1157)))</f>
        <v/>
      </c>
      <c r="E1157" s="18">
        <f>IF($L1157="","",IF(INDEX(ExpParty,$L1157)="","—",IFERROR(VLOOKUP(INDEX(ExpParty,$L1157),AcctTbl,4,0),INDEX(ExpParty,$L1157))))</f>
        <v/>
      </c>
      <c r="F1157" s="17">
        <f>IF($L1157="","",IF(INDEX(ExpType,$L1157)="","—",INDEX(ExpType,$L1157)))</f>
        <v/>
      </c>
      <c r="G1157" s="19">
        <f>IF($L1157="","",IF(INDEX(ExpDep,$L1157)=0,"",INDEX(ExpDep,$L1157)))</f>
        <v/>
      </c>
      <c r="H1157" s="19">
        <f>IF($L1157="","",IF(INDEX(ExpWit,$L1157)=0,"",INDEX(ExpWit,$L1157)))</f>
        <v/>
      </c>
      <c r="I1157" s="20">
        <f>IF($B1157="","",IF($I1156="",0,$I1156)+IF($H1157="",0,$H1157)-IF($G1157="",0,$G1157))</f>
        <v/>
      </c>
      <c r="J1157" s="18">
        <f>IF($L1157="","",IF(INDEX(ExpNote,$L1157)="","—",INDEX(ExpNote,$L1157)))</f>
        <v/>
      </c>
      <c r="L1157">
        <f>IFERROR(MATCH($C$5&amp;"|"&amp;RIGHT("000000"&amp;1141,6),ExpRankKey,0),"")</f>
        <v/>
      </c>
    </row>
    <row r="1158">
      <c r="A1158" s="21" t="n">
        <v>1142</v>
      </c>
      <c r="B1158" s="22">
        <f>IF($L1158="","",INDEX(ExpNorm,$L1158))</f>
        <v/>
      </c>
      <c r="C1158" s="22">
        <f>IF($L1158="","",IF(INDEX(ExpTime,$L1158)="","—",LEFT(INDEX(ExpTime,$L1158),2)&amp;":"&amp;RIGHT(INDEX(ExpTime,$L1158),2)))</f>
        <v/>
      </c>
      <c r="D1158" s="22">
        <f>IF($L1158="","",IF(INDEX(ExpBank,$L1158)="","—",INDEX(ExpBank,$L1158)))</f>
        <v/>
      </c>
      <c r="E1158" s="23">
        <f>IF($L1158="","",IF(INDEX(ExpParty,$L1158)="","—",IFERROR(VLOOKUP(INDEX(ExpParty,$L1158),AcctTbl,4,0),INDEX(ExpParty,$L1158))))</f>
        <v/>
      </c>
      <c r="F1158" s="22">
        <f>IF($L1158="","",IF(INDEX(ExpType,$L1158)="","—",INDEX(ExpType,$L1158)))</f>
        <v/>
      </c>
      <c r="G1158" s="24">
        <f>IF($L1158="","",IF(INDEX(ExpDep,$L1158)=0,"",INDEX(ExpDep,$L1158)))</f>
        <v/>
      </c>
      <c r="H1158" s="24">
        <f>IF($L1158="","",IF(INDEX(ExpWit,$L1158)=0,"",INDEX(ExpWit,$L1158)))</f>
        <v/>
      </c>
      <c r="I1158" s="25">
        <f>IF($B1158="","",IF($I1157="",0,$I1157)+IF($H1158="",0,$H1158)-IF($G1158="",0,$G1158))</f>
        <v/>
      </c>
      <c r="J1158" s="23">
        <f>IF($L1158="","",IF(INDEX(ExpNote,$L1158)="","—",INDEX(ExpNote,$L1158)))</f>
        <v/>
      </c>
      <c r="L1158">
        <f>IFERROR(MATCH($C$5&amp;"|"&amp;RIGHT("000000"&amp;1142,6),ExpRankKey,0),"")</f>
        <v/>
      </c>
    </row>
    <row r="1159">
      <c r="A1159" s="16" t="n">
        <v>1143</v>
      </c>
      <c r="B1159" s="17">
        <f>IF($L1159="","",INDEX(ExpNorm,$L1159))</f>
        <v/>
      </c>
      <c r="C1159" s="17">
        <f>IF($L1159="","",IF(INDEX(ExpTime,$L1159)="","—",LEFT(INDEX(ExpTime,$L1159),2)&amp;":"&amp;RIGHT(INDEX(ExpTime,$L1159),2)))</f>
        <v/>
      </c>
      <c r="D1159" s="17">
        <f>IF($L1159="","",IF(INDEX(ExpBank,$L1159)="","—",INDEX(ExpBank,$L1159)))</f>
        <v/>
      </c>
      <c r="E1159" s="18">
        <f>IF($L1159="","",IF(INDEX(ExpParty,$L1159)="","—",IFERROR(VLOOKUP(INDEX(ExpParty,$L1159),AcctTbl,4,0),INDEX(ExpParty,$L1159))))</f>
        <v/>
      </c>
      <c r="F1159" s="17">
        <f>IF($L1159="","",IF(INDEX(ExpType,$L1159)="","—",INDEX(ExpType,$L1159)))</f>
        <v/>
      </c>
      <c r="G1159" s="19">
        <f>IF($L1159="","",IF(INDEX(ExpDep,$L1159)=0,"",INDEX(ExpDep,$L1159)))</f>
        <v/>
      </c>
      <c r="H1159" s="19">
        <f>IF($L1159="","",IF(INDEX(ExpWit,$L1159)=0,"",INDEX(ExpWit,$L1159)))</f>
        <v/>
      </c>
      <c r="I1159" s="20">
        <f>IF($B1159="","",IF($I1158="",0,$I1158)+IF($H1159="",0,$H1159)-IF($G1159="",0,$G1159))</f>
        <v/>
      </c>
      <c r="J1159" s="18">
        <f>IF($L1159="","",IF(INDEX(ExpNote,$L1159)="","—",INDEX(ExpNote,$L1159)))</f>
        <v/>
      </c>
      <c r="L1159">
        <f>IFERROR(MATCH($C$5&amp;"|"&amp;RIGHT("000000"&amp;1143,6),ExpRankKey,0),"")</f>
        <v/>
      </c>
    </row>
    <row r="1160">
      <c r="A1160" s="21" t="n">
        <v>1144</v>
      </c>
      <c r="B1160" s="22">
        <f>IF($L1160="","",INDEX(ExpNorm,$L1160))</f>
        <v/>
      </c>
      <c r="C1160" s="22">
        <f>IF($L1160="","",IF(INDEX(ExpTime,$L1160)="","—",LEFT(INDEX(ExpTime,$L1160),2)&amp;":"&amp;RIGHT(INDEX(ExpTime,$L1160),2)))</f>
        <v/>
      </c>
      <c r="D1160" s="22">
        <f>IF($L1160="","",IF(INDEX(ExpBank,$L1160)="","—",INDEX(ExpBank,$L1160)))</f>
        <v/>
      </c>
      <c r="E1160" s="23">
        <f>IF($L1160="","",IF(INDEX(ExpParty,$L1160)="","—",IFERROR(VLOOKUP(INDEX(ExpParty,$L1160),AcctTbl,4,0),INDEX(ExpParty,$L1160))))</f>
        <v/>
      </c>
      <c r="F1160" s="22">
        <f>IF($L1160="","",IF(INDEX(ExpType,$L1160)="","—",INDEX(ExpType,$L1160)))</f>
        <v/>
      </c>
      <c r="G1160" s="24">
        <f>IF($L1160="","",IF(INDEX(ExpDep,$L1160)=0,"",INDEX(ExpDep,$L1160)))</f>
        <v/>
      </c>
      <c r="H1160" s="24">
        <f>IF($L1160="","",IF(INDEX(ExpWit,$L1160)=0,"",INDEX(ExpWit,$L1160)))</f>
        <v/>
      </c>
      <c r="I1160" s="25">
        <f>IF($B1160="","",IF($I1159="",0,$I1159)+IF($H1160="",0,$H1160)-IF($G1160="",0,$G1160))</f>
        <v/>
      </c>
      <c r="J1160" s="23">
        <f>IF($L1160="","",IF(INDEX(ExpNote,$L1160)="","—",INDEX(ExpNote,$L1160)))</f>
        <v/>
      </c>
      <c r="L1160">
        <f>IFERROR(MATCH($C$5&amp;"|"&amp;RIGHT("000000"&amp;1144,6),ExpRankKey,0),"")</f>
        <v/>
      </c>
    </row>
    <row r="1161">
      <c r="A1161" s="16" t="n">
        <v>1145</v>
      </c>
      <c r="B1161" s="17">
        <f>IF($L1161="","",INDEX(ExpNorm,$L1161))</f>
        <v/>
      </c>
      <c r="C1161" s="17">
        <f>IF($L1161="","",IF(INDEX(ExpTime,$L1161)="","—",LEFT(INDEX(ExpTime,$L1161),2)&amp;":"&amp;RIGHT(INDEX(ExpTime,$L1161),2)))</f>
        <v/>
      </c>
      <c r="D1161" s="17">
        <f>IF($L1161="","",IF(INDEX(ExpBank,$L1161)="","—",INDEX(ExpBank,$L1161)))</f>
        <v/>
      </c>
      <c r="E1161" s="18">
        <f>IF($L1161="","",IF(INDEX(ExpParty,$L1161)="","—",IFERROR(VLOOKUP(INDEX(ExpParty,$L1161),AcctTbl,4,0),INDEX(ExpParty,$L1161))))</f>
        <v/>
      </c>
      <c r="F1161" s="17">
        <f>IF($L1161="","",IF(INDEX(ExpType,$L1161)="","—",INDEX(ExpType,$L1161)))</f>
        <v/>
      </c>
      <c r="G1161" s="19">
        <f>IF($L1161="","",IF(INDEX(ExpDep,$L1161)=0,"",INDEX(ExpDep,$L1161)))</f>
        <v/>
      </c>
      <c r="H1161" s="19">
        <f>IF($L1161="","",IF(INDEX(ExpWit,$L1161)=0,"",INDEX(ExpWit,$L1161)))</f>
        <v/>
      </c>
      <c r="I1161" s="20">
        <f>IF($B1161="","",IF($I1160="",0,$I1160)+IF($H1161="",0,$H1161)-IF($G1161="",0,$G1161))</f>
        <v/>
      </c>
      <c r="J1161" s="18">
        <f>IF($L1161="","",IF(INDEX(ExpNote,$L1161)="","—",INDEX(ExpNote,$L1161)))</f>
        <v/>
      </c>
      <c r="L1161">
        <f>IFERROR(MATCH($C$5&amp;"|"&amp;RIGHT("000000"&amp;1145,6),ExpRankKey,0),"")</f>
        <v/>
      </c>
    </row>
    <row r="1162">
      <c r="A1162" s="21" t="n">
        <v>1146</v>
      </c>
      <c r="B1162" s="22">
        <f>IF($L1162="","",INDEX(ExpNorm,$L1162))</f>
        <v/>
      </c>
      <c r="C1162" s="22">
        <f>IF($L1162="","",IF(INDEX(ExpTime,$L1162)="","—",LEFT(INDEX(ExpTime,$L1162),2)&amp;":"&amp;RIGHT(INDEX(ExpTime,$L1162),2)))</f>
        <v/>
      </c>
      <c r="D1162" s="22">
        <f>IF($L1162="","",IF(INDEX(ExpBank,$L1162)="","—",INDEX(ExpBank,$L1162)))</f>
        <v/>
      </c>
      <c r="E1162" s="23">
        <f>IF($L1162="","",IF(INDEX(ExpParty,$L1162)="","—",IFERROR(VLOOKUP(INDEX(ExpParty,$L1162),AcctTbl,4,0),INDEX(ExpParty,$L1162))))</f>
        <v/>
      </c>
      <c r="F1162" s="22">
        <f>IF($L1162="","",IF(INDEX(ExpType,$L1162)="","—",INDEX(ExpType,$L1162)))</f>
        <v/>
      </c>
      <c r="G1162" s="24">
        <f>IF($L1162="","",IF(INDEX(ExpDep,$L1162)=0,"",INDEX(ExpDep,$L1162)))</f>
        <v/>
      </c>
      <c r="H1162" s="24">
        <f>IF($L1162="","",IF(INDEX(ExpWit,$L1162)=0,"",INDEX(ExpWit,$L1162)))</f>
        <v/>
      </c>
      <c r="I1162" s="25">
        <f>IF($B1162="","",IF($I1161="",0,$I1161)+IF($H1162="",0,$H1162)-IF($G1162="",0,$G1162))</f>
        <v/>
      </c>
      <c r="J1162" s="23">
        <f>IF($L1162="","",IF(INDEX(ExpNote,$L1162)="","—",INDEX(ExpNote,$L1162)))</f>
        <v/>
      </c>
      <c r="L1162">
        <f>IFERROR(MATCH($C$5&amp;"|"&amp;RIGHT("000000"&amp;1146,6),ExpRankKey,0),"")</f>
        <v/>
      </c>
    </row>
    <row r="1163">
      <c r="A1163" s="16" t="n">
        <v>1147</v>
      </c>
      <c r="B1163" s="17">
        <f>IF($L1163="","",INDEX(ExpNorm,$L1163))</f>
        <v/>
      </c>
      <c r="C1163" s="17">
        <f>IF($L1163="","",IF(INDEX(ExpTime,$L1163)="","—",LEFT(INDEX(ExpTime,$L1163),2)&amp;":"&amp;RIGHT(INDEX(ExpTime,$L1163),2)))</f>
        <v/>
      </c>
      <c r="D1163" s="17">
        <f>IF($L1163="","",IF(INDEX(ExpBank,$L1163)="","—",INDEX(ExpBank,$L1163)))</f>
        <v/>
      </c>
      <c r="E1163" s="18">
        <f>IF($L1163="","",IF(INDEX(ExpParty,$L1163)="","—",IFERROR(VLOOKUP(INDEX(ExpParty,$L1163),AcctTbl,4,0),INDEX(ExpParty,$L1163))))</f>
        <v/>
      </c>
      <c r="F1163" s="17">
        <f>IF($L1163="","",IF(INDEX(ExpType,$L1163)="","—",INDEX(ExpType,$L1163)))</f>
        <v/>
      </c>
      <c r="G1163" s="19">
        <f>IF($L1163="","",IF(INDEX(ExpDep,$L1163)=0,"",INDEX(ExpDep,$L1163)))</f>
        <v/>
      </c>
      <c r="H1163" s="19">
        <f>IF($L1163="","",IF(INDEX(ExpWit,$L1163)=0,"",INDEX(ExpWit,$L1163)))</f>
        <v/>
      </c>
      <c r="I1163" s="20">
        <f>IF($B1163="","",IF($I1162="",0,$I1162)+IF($H1163="",0,$H1163)-IF($G1163="",0,$G1163))</f>
        <v/>
      </c>
      <c r="J1163" s="18">
        <f>IF($L1163="","",IF(INDEX(ExpNote,$L1163)="","—",INDEX(ExpNote,$L1163)))</f>
        <v/>
      </c>
      <c r="L1163">
        <f>IFERROR(MATCH($C$5&amp;"|"&amp;RIGHT("000000"&amp;1147,6),ExpRankKey,0),"")</f>
        <v/>
      </c>
    </row>
    <row r="1164">
      <c r="A1164" s="21" t="n">
        <v>1148</v>
      </c>
      <c r="B1164" s="22">
        <f>IF($L1164="","",INDEX(ExpNorm,$L1164))</f>
        <v/>
      </c>
      <c r="C1164" s="22">
        <f>IF($L1164="","",IF(INDEX(ExpTime,$L1164)="","—",LEFT(INDEX(ExpTime,$L1164),2)&amp;":"&amp;RIGHT(INDEX(ExpTime,$L1164),2)))</f>
        <v/>
      </c>
      <c r="D1164" s="22">
        <f>IF($L1164="","",IF(INDEX(ExpBank,$L1164)="","—",INDEX(ExpBank,$L1164)))</f>
        <v/>
      </c>
      <c r="E1164" s="23">
        <f>IF($L1164="","",IF(INDEX(ExpParty,$L1164)="","—",IFERROR(VLOOKUP(INDEX(ExpParty,$L1164),AcctTbl,4,0),INDEX(ExpParty,$L1164))))</f>
        <v/>
      </c>
      <c r="F1164" s="22">
        <f>IF($L1164="","",IF(INDEX(ExpType,$L1164)="","—",INDEX(ExpType,$L1164)))</f>
        <v/>
      </c>
      <c r="G1164" s="24">
        <f>IF($L1164="","",IF(INDEX(ExpDep,$L1164)=0,"",INDEX(ExpDep,$L1164)))</f>
        <v/>
      </c>
      <c r="H1164" s="24">
        <f>IF($L1164="","",IF(INDEX(ExpWit,$L1164)=0,"",INDEX(ExpWit,$L1164)))</f>
        <v/>
      </c>
      <c r="I1164" s="25">
        <f>IF($B1164="","",IF($I1163="",0,$I1163)+IF($H1164="",0,$H1164)-IF($G1164="",0,$G1164))</f>
        <v/>
      </c>
      <c r="J1164" s="23">
        <f>IF($L1164="","",IF(INDEX(ExpNote,$L1164)="","—",INDEX(ExpNote,$L1164)))</f>
        <v/>
      </c>
      <c r="L1164">
        <f>IFERROR(MATCH($C$5&amp;"|"&amp;RIGHT("000000"&amp;1148,6),ExpRankKey,0),"")</f>
        <v/>
      </c>
    </row>
    <row r="1165">
      <c r="A1165" s="16" t="n">
        <v>1149</v>
      </c>
      <c r="B1165" s="17">
        <f>IF($L1165="","",INDEX(ExpNorm,$L1165))</f>
        <v/>
      </c>
      <c r="C1165" s="17">
        <f>IF($L1165="","",IF(INDEX(ExpTime,$L1165)="","—",LEFT(INDEX(ExpTime,$L1165),2)&amp;":"&amp;RIGHT(INDEX(ExpTime,$L1165),2)))</f>
        <v/>
      </c>
      <c r="D1165" s="17">
        <f>IF($L1165="","",IF(INDEX(ExpBank,$L1165)="","—",INDEX(ExpBank,$L1165)))</f>
        <v/>
      </c>
      <c r="E1165" s="18">
        <f>IF($L1165="","",IF(INDEX(ExpParty,$L1165)="","—",IFERROR(VLOOKUP(INDEX(ExpParty,$L1165),AcctTbl,4,0),INDEX(ExpParty,$L1165))))</f>
        <v/>
      </c>
      <c r="F1165" s="17">
        <f>IF($L1165="","",IF(INDEX(ExpType,$L1165)="","—",INDEX(ExpType,$L1165)))</f>
        <v/>
      </c>
      <c r="G1165" s="19">
        <f>IF($L1165="","",IF(INDEX(ExpDep,$L1165)=0,"",INDEX(ExpDep,$L1165)))</f>
        <v/>
      </c>
      <c r="H1165" s="19">
        <f>IF($L1165="","",IF(INDEX(ExpWit,$L1165)=0,"",INDEX(ExpWit,$L1165)))</f>
        <v/>
      </c>
      <c r="I1165" s="20">
        <f>IF($B1165="","",IF($I1164="",0,$I1164)+IF($H1165="",0,$H1165)-IF($G1165="",0,$G1165))</f>
        <v/>
      </c>
      <c r="J1165" s="18">
        <f>IF($L1165="","",IF(INDEX(ExpNote,$L1165)="","—",INDEX(ExpNote,$L1165)))</f>
        <v/>
      </c>
      <c r="L1165">
        <f>IFERROR(MATCH($C$5&amp;"|"&amp;RIGHT("000000"&amp;1149,6),ExpRankKey,0),"")</f>
        <v/>
      </c>
    </row>
    <row r="1166">
      <c r="A1166" s="21" t="n">
        <v>1150</v>
      </c>
      <c r="B1166" s="22">
        <f>IF($L1166="","",INDEX(ExpNorm,$L1166))</f>
        <v/>
      </c>
      <c r="C1166" s="22">
        <f>IF($L1166="","",IF(INDEX(ExpTime,$L1166)="","—",LEFT(INDEX(ExpTime,$L1166),2)&amp;":"&amp;RIGHT(INDEX(ExpTime,$L1166),2)))</f>
        <v/>
      </c>
      <c r="D1166" s="22">
        <f>IF($L1166="","",IF(INDEX(ExpBank,$L1166)="","—",INDEX(ExpBank,$L1166)))</f>
        <v/>
      </c>
      <c r="E1166" s="23">
        <f>IF($L1166="","",IF(INDEX(ExpParty,$L1166)="","—",IFERROR(VLOOKUP(INDEX(ExpParty,$L1166),AcctTbl,4,0),INDEX(ExpParty,$L1166))))</f>
        <v/>
      </c>
      <c r="F1166" s="22">
        <f>IF($L1166="","",IF(INDEX(ExpType,$L1166)="","—",INDEX(ExpType,$L1166)))</f>
        <v/>
      </c>
      <c r="G1166" s="24">
        <f>IF($L1166="","",IF(INDEX(ExpDep,$L1166)=0,"",INDEX(ExpDep,$L1166)))</f>
        <v/>
      </c>
      <c r="H1166" s="24">
        <f>IF($L1166="","",IF(INDEX(ExpWit,$L1166)=0,"",INDEX(ExpWit,$L1166)))</f>
        <v/>
      </c>
      <c r="I1166" s="25">
        <f>IF($B1166="","",IF($I1165="",0,$I1165)+IF($H1166="",0,$H1166)-IF($G1166="",0,$G1166))</f>
        <v/>
      </c>
      <c r="J1166" s="23">
        <f>IF($L1166="","",IF(INDEX(ExpNote,$L1166)="","—",INDEX(ExpNote,$L1166)))</f>
        <v/>
      </c>
      <c r="L1166">
        <f>IFERROR(MATCH($C$5&amp;"|"&amp;RIGHT("000000"&amp;1150,6),ExpRankKey,0),"")</f>
        <v/>
      </c>
    </row>
    <row r="1167">
      <c r="A1167" s="16" t="n">
        <v>1151</v>
      </c>
      <c r="B1167" s="17">
        <f>IF($L1167="","",INDEX(ExpNorm,$L1167))</f>
        <v/>
      </c>
      <c r="C1167" s="17">
        <f>IF($L1167="","",IF(INDEX(ExpTime,$L1167)="","—",LEFT(INDEX(ExpTime,$L1167),2)&amp;":"&amp;RIGHT(INDEX(ExpTime,$L1167),2)))</f>
        <v/>
      </c>
      <c r="D1167" s="17">
        <f>IF($L1167="","",IF(INDEX(ExpBank,$L1167)="","—",INDEX(ExpBank,$L1167)))</f>
        <v/>
      </c>
      <c r="E1167" s="18">
        <f>IF($L1167="","",IF(INDEX(ExpParty,$L1167)="","—",IFERROR(VLOOKUP(INDEX(ExpParty,$L1167),AcctTbl,4,0),INDEX(ExpParty,$L1167))))</f>
        <v/>
      </c>
      <c r="F1167" s="17">
        <f>IF($L1167="","",IF(INDEX(ExpType,$L1167)="","—",INDEX(ExpType,$L1167)))</f>
        <v/>
      </c>
      <c r="G1167" s="19">
        <f>IF($L1167="","",IF(INDEX(ExpDep,$L1167)=0,"",INDEX(ExpDep,$L1167)))</f>
        <v/>
      </c>
      <c r="H1167" s="19">
        <f>IF($L1167="","",IF(INDEX(ExpWit,$L1167)=0,"",INDEX(ExpWit,$L1167)))</f>
        <v/>
      </c>
      <c r="I1167" s="20">
        <f>IF($B1167="","",IF($I1166="",0,$I1166)+IF($H1167="",0,$H1167)-IF($G1167="",0,$G1167))</f>
        <v/>
      </c>
      <c r="J1167" s="18">
        <f>IF($L1167="","",IF(INDEX(ExpNote,$L1167)="","—",INDEX(ExpNote,$L1167)))</f>
        <v/>
      </c>
      <c r="L1167">
        <f>IFERROR(MATCH($C$5&amp;"|"&amp;RIGHT("000000"&amp;1151,6),ExpRankKey,0),"")</f>
        <v/>
      </c>
    </row>
    <row r="1168">
      <c r="A1168" s="21" t="n">
        <v>1152</v>
      </c>
      <c r="B1168" s="22">
        <f>IF($L1168="","",INDEX(ExpNorm,$L1168))</f>
        <v/>
      </c>
      <c r="C1168" s="22">
        <f>IF($L1168="","",IF(INDEX(ExpTime,$L1168)="","—",LEFT(INDEX(ExpTime,$L1168),2)&amp;":"&amp;RIGHT(INDEX(ExpTime,$L1168),2)))</f>
        <v/>
      </c>
      <c r="D1168" s="22">
        <f>IF($L1168="","",IF(INDEX(ExpBank,$L1168)="","—",INDEX(ExpBank,$L1168)))</f>
        <v/>
      </c>
      <c r="E1168" s="23">
        <f>IF($L1168="","",IF(INDEX(ExpParty,$L1168)="","—",IFERROR(VLOOKUP(INDEX(ExpParty,$L1168),AcctTbl,4,0),INDEX(ExpParty,$L1168))))</f>
        <v/>
      </c>
      <c r="F1168" s="22">
        <f>IF($L1168="","",IF(INDEX(ExpType,$L1168)="","—",INDEX(ExpType,$L1168)))</f>
        <v/>
      </c>
      <c r="G1168" s="24">
        <f>IF($L1168="","",IF(INDEX(ExpDep,$L1168)=0,"",INDEX(ExpDep,$L1168)))</f>
        <v/>
      </c>
      <c r="H1168" s="24">
        <f>IF($L1168="","",IF(INDEX(ExpWit,$L1168)=0,"",INDEX(ExpWit,$L1168)))</f>
        <v/>
      </c>
      <c r="I1168" s="25">
        <f>IF($B1168="","",IF($I1167="",0,$I1167)+IF($H1168="",0,$H1168)-IF($G1168="",0,$G1168))</f>
        <v/>
      </c>
      <c r="J1168" s="23">
        <f>IF($L1168="","",IF(INDEX(ExpNote,$L1168)="","—",INDEX(ExpNote,$L1168)))</f>
        <v/>
      </c>
      <c r="L1168">
        <f>IFERROR(MATCH($C$5&amp;"|"&amp;RIGHT("000000"&amp;1152,6),ExpRankKey,0),"")</f>
        <v/>
      </c>
    </row>
    <row r="1169">
      <c r="A1169" s="16" t="n">
        <v>1153</v>
      </c>
      <c r="B1169" s="17">
        <f>IF($L1169="","",INDEX(ExpNorm,$L1169))</f>
        <v/>
      </c>
      <c r="C1169" s="17">
        <f>IF($L1169="","",IF(INDEX(ExpTime,$L1169)="","—",LEFT(INDEX(ExpTime,$L1169),2)&amp;":"&amp;RIGHT(INDEX(ExpTime,$L1169),2)))</f>
        <v/>
      </c>
      <c r="D1169" s="17">
        <f>IF($L1169="","",IF(INDEX(ExpBank,$L1169)="","—",INDEX(ExpBank,$L1169)))</f>
        <v/>
      </c>
      <c r="E1169" s="18">
        <f>IF($L1169="","",IF(INDEX(ExpParty,$L1169)="","—",IFERROR(VLOOKUP(INDEX(ExpParty,$L1169),AcctTbl,4,0),INDEX(ExpParty,$L1169))))</f>
        <v/>
      </c>
      <c r="F1169" s="17">
        <f>IF($L1169="","",IF(INDEX(ExpType,$L1169)="","—",INDEX(ExpType,$L1169)))</f>
        <v/>
      </c>
      <c r="G1169" s="19">
        <f>IF($L1169="","",IF(INDEX(ExpDep,$L1169)=0,"",INDEX(ExpDep,$L1169)))</f>
        <v/>
      </c>
      <c r="H1169" s="19">
        <f>IF($L1169="","",IF(INDEX(ExpWit,$L1169)=0,"",INDEX(ExpWit,$L1169)))</f>
        <v/>
      </c>
      <c r="I1169" s="20">
        <f>IF($B1169="","",IF($I1168="",0,$I1168)+IF($H1169="",0,$H1169)-IF($G1169="",0,$G1169))</f>
        <v/>
      </c>
      <c r="J1169" s="18">
        <f>IF($L1169="","",IF(INDEX(ExpNote,$L1169)="","—",INDEX(ExpNote,$L1169)))</f>
        <v/>
      </c>
      <c r="L1169">
        <f>IFERROR(MATCH($C$5&amp;"|"&amp;RIGHT("000000"&amp;1153,6),ExpRankKey,0),"")</f>
        <v/>
      </c>
    </row>
    <row r="1170">
      <c r="A1170" s="21" t="n">
        <v>1154</v>
      </c>
      <c r="B1170" s="22">
        <f>IF($L1170="","",INDEX(ExpNorm,$L1170))</f>
        <v/>
      </c>
      <c r="C1170" s="22">
        <f>IF($L1170="","",IF(INDEX(ExpTime,$L1170)="","—",LEFT(INDEX(ExpTime,$L1170),2)&amp;":"&amp;RIGHT(INDEX(ExpTime,$L1170),2)))</f>
        <v/>
      </c>
      <c r="D1170" s="22">
        <f>IF($L1170="","",IF(INDEX(ExpBank,$L1170)="","—",INDEX(ExpBank,$L1170)))</f>
        <v/>
      </c>
      <c r="E1170" s="23">
        <f>IF($L1170="","",IF(INDEX(ExpParty,$L1170)="","—",IFERROR(VLOOKUP(INDEX(ExpParty,$L1170),AcctTbl,4,0),INDEX(ExpParty,$L1170))))</f>
        <v/>
      </c>
      <c r="F1170" s="22">
        <f>IF($L1170="","",IF(INDEX(ExpType,$L1170)="","—",INDEX(ExpType,$L1170)))</f>
        <v/>
      </c>
      <c r="G1170" s="24">
        <f>IF($L1170="","",IF(INDEX(ExpDep,$L1170)=0,"",INDEX(ExpDep,$L1170)))</f>
        <v/>
      </c>
      <c r="H1170" s="24">
        <f>IF($L1170="","",IF(INDEX(ExpWit,$L1170)=0,"",INDEX(ExpWit,$L1170)))</f>
        <v/>
      </c>
      <c r="I1170" s="25">
        <f>IF($B1170="","",IF($I1169="",0,$I1169)+IF($H1170="",0,$H1170)-IF($G1170="",0,$G1170))</f>
        <v/>
      </c>
      <c r="J1170" s="23">
        <f>IF($L1170="","",IF(INDEX(ExpNote,$L1170)="","—",INDEX(ExpNote,$L1170)))</f>
        <v/>
      </c>
      <c r="L1170">
        <f>IFERROR(MATCH($C$5&amp;"|"&amp;RIGHT("000000"&amp;1154,6),ExpRankKey,0),"")</f>
        <v/>
      </c>
    </row>
    <row r="1171">
      <c r="A1171" s="16" t="n">
        <v>1155</v>
      </c>
      <c r="B1171" s="17">
        <f>IF($L1171="","",INDEX(ExpNorm,$L1171))</f>
        <v/>
      </c>
      <c r="C1171" s="17">
        <f>IF($L1171="","",IF(INDEX(ExpTime,$L1171)="","—",LEFT(INDEX(ExpTime,$L1171),2)&amp;":"&amp;RIGHT(INDEX(ExpTime,$L1171),2)))</f>
        <v/>
      </c>
      <c r="D1171" s="17">
        <f>IF($L1171="","",IF(INDEX(ExpBank,$L1171)="","—",INDEX(ExpBank,$L1171)))</f>
        <v/>
      </c>
      <c r="E1171" s="18">
        <f>IF($L1171="","",IF(INDEX(ExpParty,$L1171)="","—",IFERROR(VLOOKUP(INDEX(ExpParty,$L1171),AcctTbl,4,0),INDEX(ExpParty,$L1171))))</f>
        <v/>
      </c>
      <c r="F1171" s="17">
        <f>IF($L1171="","",IF(INDEX(ExpType,$L1171)="","—",INDEX(ExpType,$L1171)))</f>
        <v/>
      </c>
      <c r="G1171" s="19">
        <f>IF($L1171="","",IF(INDEX(ExpDep,$L1171)=0,"",INDEX(ExpDep,$L1171)))</f>
        <v/>
      </c>
      <c r="H1171" s="19">
        <f>IF($L1171="","",IF(INDEX(ExpWit,$L1171)=0,"",INDEX(ExpWit,$L1171)))</f>
        <v/>
      </c>
      <c r="I1171" s="20">
        <f>IF($B1171="","",IF($I1170="",0,$I1170)+IF($H1171="",0,$H1171)-IF($G1171="",0,$G1171))</f>
        <v/>
      </c>
      <c r="J1171" s="18">
        <f>IF($L1171="","",IF(INDEX(ExpNote,$L1171)="","—",INDEX(ExpNote,$L1171)))</f>
        <v/>
      </c>
      <c r="L1171">
        <f>IFERROR(MATCH($C$5&amp;"|"&amp;RIGHT("000000"&amp;1155,6),ExpRankKey,0),"")</f>
        <v/>
      </c>
    </row>
    <row r="1172">
      <c r="A1172" s="21" t="n">
        <v>1156</v>
      </c>
      <c r="B1172" s="22">
        <f>IF($L1172="","",INDEX(ExpNorm,$L1172))</f>
        <v/>
      </c>
      <c r="C1172" s="22">
        <f>IF($L1172="","",IF(INDEX(ExpTime,$L1172)="","—",LEFT(INDEX(ExpTime,$L1172),2)&amp;":"&amp;RIGHT(INDEX(ExpTime,$L1172),2)))</f>
        <v/>
      </c>
      <c r="D1172" s="22">
        <f>IF($L1172="","",IF(INDEX(ExpBank,$L1172)="","—",INDEX(ExpBank,$L1172)))</f>
        <v/>
      </c>
      <c r="E1172" s="23">
        <f>IF($L1172="","",IF(INDEX(ExpParty,$L1172)="","—",IFERROR(VLOOKUP(INDEX(ExpParty,$L1172),AcctTbl,4,0),INDEX(ExpParty,$L1172))))</f>
        <v/>
      </c>
      <c r="F1172" s="22">
        <f>IF($L1172="","",IF(INDEX(ExpType,$L1172)="","—",INDEX(ExpType,$L1172)))</f>
        <v/>
      </c>
      <c r="G1172" s="24">
        <f>IF($L1172="","",IF(INDEX(ExpDep,$L1172)=0,"",INDEX(ExpDep,$L1172)))</f>
        <v/>
      </c>
      <c r="H1172" s="24">
        <f>IF($L1172="","",IF(INDEX(ExpWit,$L1172)=0,"",INDEX(ExpWit,$L1172)))</f>
        <v/>
      </c>
      <c r="I1172" s="25">
        <f>IF($B1172="","",IF($I1171="",0,$I1171)+IF($H1172="",0,$H1172)-IF($G1172="",0,$G1172))</f>
        <v/>
      </c>
      <c r="J1172" s="23">
        <f>IF($L1172="","",IF(INDEX(ExpNote,$L1172)="","—",INDEX(ExpNote,$L1172)))</f>
        <v/>
      </c>
      <c r="L1172">
        <f>IFERROR(MATCH($C$5&amp;"|"&amp;RIGHT("000000"&amp;1156,6),ExpRankKey,0),"")</f>
        <v/>
      </c>
    </row>
    <row r="1173">
      <c r="A1173" s="16" t="n">
        <v>1157</v>
      </c>
      <c r="B1173" s="17">
        <f>IF($L1173="","",INDEX(ExpNorm,$L1173))</f>
        <v/>
      </c>
      <c r="C1173" s="17">
        <f>IF($L1173="","",IF(INDEX(ExpTime,$L1173)="","—",LEFT(INDEX(ExpTime,$L1173),2)&amp;":"&amp;RIGHT(INDEX(ExpTime,$L1173),2)))</f>
        <v/>
      </c>
      <c r="D1173" s="17">
        <f>IF($L1173="","",IF(INDEX(ExpBank,$L1173)="","—",INDEX(ExpBank,$L1173)))</f>
        <v/>
      </c>
      <c r="E1173" s="18">
        <f>IF($L1173="","",IF(INDEX(ExpParty,$L1173)="","—",IFERROR(VLOOKUP(INDEX(ExpParty,$L1173),AcctTbl,4,0),INDEX(ExpParty,$L1173))))</f>
        <v/>
      </c>
      <c r="F1173" s="17">
        <f>IF($L1173="","",IF(INDEX(ExpType,$L1173)="","—",INDEX(ExpType,$L1173)))</f>
        <v/>
      </c>
      <c r="G1173" s="19">
        <f>IF($L1173="","",IF(INDEX(ExpDep,$L1173)=0,"",INDEX(ExpDep,$L1173)))</f>
        <v/>
      </c>
      <c r="H1173" s="19">
        <f>IF($L1173="","",IF(INDEX(ExpWit,$L1173)=0,"",INDEX(ExpWit,$L1173)))</f>
        <v/>
      </c>
      <c r="I1173" s="20">
        <f>IF($B1173="","",IF($I1172="",0,$I1172)+IF($H1173="",0,$H1173)-IF($G1173="",0,$G1173))</f>
        <v/>
      </c>
      <c r="J1173" s="18">
        <f>IF($L1173="","",IF(INDEX(ExpNote,$L1173)="","—",INDEX(ExpNote,$L1173)))</f>
        <v/>
      </c>
      <c r="L1173">
        <f>IFERROR(MATCH($C$5&amp;"|"&amp;RIGHT("000000"&amp;1157,6),ExpRankKey,0),"")</f>
        <v/>
      </c>
    </row>
    <row r="1174">
      <c r="A1174" s="21" t="n">
        <v>1158</v>
      </c>
      <c r="B1174" s="22">
        <f>IF($L1174="","",INDEX(ExpNorm,$L1174))</f>
        <v/>
      </c>
      <c r="C1174" s="22">
        <f>IF($L1174="","",IF(INDEX(ExpTime,$L1174)="","—",LEFT(INDEX(ExpTime,$L1174),2)&amp;":"&amp;RIGHT(INDEX(ExpTime,$L1174),2)))</f>
        <v/>
      </c>
      <c r="D1174" s="22">
        <f>IF($L1174="","",IF(INDEX(ExpBank,$L1174)="","—",INDEX(ExpBank,$L1174)))</f>
        <v/>
      </c>
      <c r="E1174" s="23">
        <f>IF($L1174="","",IF(INDEX(ExpParty,$L1174)="","—",IFERROR(VLOOKUP(INDEX(ExpParty,$L1174),AcctTbl,4,0),INDEX(ExpParty,$L1174))))</f>
        <v/>
      </c>
      <c r="F1174" s="22">
        <f>IF($L1174="","",IF(INDEX(ExpType,$L1174)="","—",INDEX(ExpType,$L1174)))</f>
        <v/>
      </c>
      <c r="G1174" s="24">
        <f>IF($L1174="","",IF(INDEX(ExpDep,$L1174)=0,"",INDEX(ExpDep,$L1174)))</f>
        <v/>
      </c>
      <c r="H1174" s="24">
        <f>IF($L1174="","",IF(INDEX(ExpWit,$L1174)=0,"",INDEX(ExpWit,$L1174)))</f>
        <v/>
      </c>
      <c r="I1174" s="25">
        <f>IF($B1174="","",IF($I1173="",0,$I1173)+IF($H1174="",0,$H1174)-IF($G1174="",0,$G1174))</f>
        <v/>
      </c>
      <c r="J1174" s="23">
        <f>IF($L1174="","",IF(INDEX(ExpNote,$L1174)="","—",INDEX(ExpNote,$L1174)))</f>
        <v/>
      </c>
      <c r="L1174">
        <f>IFERROR(MATCH($C$5&amp;"|"&amp;RIGHT("000000"&amp;1158,6),ExpRankKey,0),"")</f>
        <v/>
      </c>
    </row>
    <row r="1175">
      <c r="A1175" s="16" t="n">
        <v>1159</v>
      </c>
      <c r="B1175" s="17">
        <f>IF($L1175="","",INDEX(ExpNorm,$L1175))</f>
        <v/>
      </c>
      <c r="C1175" s="17">
        <f>IF($L1175="","",IF(INDEX(ExpTime,$L1175)="","—",LEFT(INDEX(ExpTime,$L1175),2)&amp;":"&amp;RIGHT(INDEX(ExpTime,$L1175),2)))</f>
        <v/>
      </c>
      <c r="D1175" s="17">
        <f>IF($L1175="","",IF(INDEX(ExpBank,$L1175)="","—",INDEX(ExpBank,$L1175)))</f>
        <v/>
      </c>
      <c r="E1175" s="18">
        <f>IF($L1175="","",IF(INDEX(ExpParty,$L1175)="","—",IFERROR(VLOOKUP(INDEX(ExpParty,$L1175),AcctTbl,4,0),INDEX(ExpParty,$L1175))))</f>
        <v/>
      </c>
      <c r="F1175" s="17">
        <f>IF($L1175="","",IF(INDEX(ExpType,$L1175)="","—",INDEX(ExpType,$L1175)))</f>
        <v/>
      </c>
      <c r="G1175" s="19">
        <f>IF($L1175="","",IF(INDEX(ExpDep,$L1175)=0,"",INDEX(ExpDep,$L1175)))</f>
        <v/>
      </c>
      <c r="H1175" s="19">
        <f>IF($L1175="","",IF(INDEX(ExpWit,$L1175)=0,"",INDEX(ExpWit,$L1175)))</f>
        <v/>
      </c>
      <c r="I1175" s="20">
        <f>IF($B1175="","",IF($I1174="",0,$I1174)+IF($H1175="",0,$H1175)-IF($G1175="",0,$G1175))</f>
        <v/>
      </c>
      <c r="J1175" s="18">
        <f>IF($L1175="","",IF(INDEX(ExpNote,$L1175)="","—",INDEX(ExpNote,$L1175)))</f>
        <v/>
      </c>
      <c r="L1175">
        <f>IFERROR(MATCH($C$5&amp;"|"&amp;RIGHT("000000"&amp;1159,6),ExpRankKey,0),"")</f>
        <v/>
      </c>
    </row>
    <row r="1176">
      <c r="A1176" s="21" t="n">
        <v>1160</v>
      </c>
      <c r="B1176" s="22">
        <f>IF($L1176="","",INDEX(ExpNorm,$L1176))</f>
        <v/>
      </c>
      <c r="C1176" s="22">
        <f>IF($L1176="","",IF(INDEX(ExpTime,$L1176)="","—",LEFT(INDEX(ExpTime,$L1176),2)&amp;":"&amp;RIGHT(INDEX(ExpTime,$L1176),2)))</f>
        <v/>
      </c>
      <c r="D1176" s="22">
        <f>IF($L1176="","",IF(INDEX(ExpBank,$L1176)="","—",INDEX(ExpBank,$L1176)))</f>
        <v/>
      </c>
      <c r="E1176" s="23">
        <f>IF($L1176="","",IF(INDEX(ExpParty,$L1176)="","—",IFERROR(VLOOKUP(INDEX(ExpParty,$L1176),AcctTbl,4,0),INDEX(ExpParty,$L1176))))</f>
        <v/>
      </c>
      <c r="F1176" s="22">
        <f>IF($L1176="","",IF(INDEX(ExpType,$L1176)="","—",INDEX(ExpType,$L1176)))</f>
        <v/>
      </c>
      <c r="G1176" s="24">
        <f>IF($L1176="","",IF(INDEX(ExpDep,$L1176)=0,"",INDEX(ExpDep,$L1176)))</f>
        <v/>
      </c>
      <c r="H1176" s="24">
        <f>IF($L1176="","",IF(INDEX(ExpWit,$L1176)=0,"",INDEX(ExpWit,$L1176)))</f>
        <v/>
      </c>
      <c r="I1176" s="25">
        <f>IF($B1176="","",IF($I1175="",0,$I1175)+IF($H1176="",0,$H1176)-IF($G1176="",0,$G1176))</f>
        <v/>
      </c>
      <c r="J1176" s="23">
        <f>IF($L1176="","",IF(INDEX(ExpNote,$L1176)="","—",INDEX(ExpNote,$L1176)))</f>
        <v/>
      </c>
      <c r="L1176">
        <f>IFERROR(MATCH($C$5&amp;"|"&amp;RIGHT("000000"&amp;1160,6),ExpRankKey,0),"")</f>
        <v/>
      </c>
    </row>
    <row r="1177">
      <c r="A1177" s="16" t="n">
        <v>1161</v>
      </c>
      <c r="B1177" s="17">
        <f>IF($L1177="","",INDEX(ExpNorm,$L1177))</f>
        <v/>
      </c>
      <c r="C1177" s="17">
        <f>IF($L1177="","",IF(INDEX(ExpTime,$L1177)="","—",LEFT(INDEX(ExpTime,$L1177),2)&amp;":"&amp;RIGHT(INDEX(ExpTime,$L1177),2)))</f>
        <v/>
      </c>
      <c r="D1177" s="17">
        <f>IF($L1177="","",IF(INDEX(ExpBank,$L1177)="","—",INDEX(ExpBank,$L1177)))</f>
        <v/>
      </c>
      <c r="E1177" s="18">
        <f>IF($L1177="","",IF(INDEX(ExpParty,$L1177)="","—",IFERROR(VLOOKUP(INDEX(ExpParty,$L1177),AcctTbl,4,0),INDEX(ExpParty,$L1177))))</f>
        <v/>
      </c>
      <c r="F1177" s="17">
        <f>IF($L1177="","",IF(INDEX(ExpType,$L1177)="","—",INDEX(ExpType,$L1177)))</f>
        <v/>
      </c>
      <c r="G1177" s="19">
        <f>IF($L1177="","",IF(INDEX(ExpDep,$L1177)=0,"",INDEX(ExpDep,$L1177)))</f>
        <v/>
      </c>
      <c r="H1177" s="19">
        <f>IF($L1177="","",IF(INDEX(ExpWit,$L1177)=0,"",INDEX(ExpWit,$L1177)))</f>
        <v/>
      </c>
      <c r="I1177" s="20">
        <f>IF($B1177="","",IF($I1176="",0,$I1176)+IF($H1177="",0,$H1177)-IF($G1177="",0,$G1177))</f>
        <v/>
      </c>
      <c r="J1177" s="18">
        <f>IF($L1177="","",IF(INDEX(ExpNote,$L1177)="","—",INDEX(ExpNote,$L1177)))</f>
        <v/>
      </c>
      <c r="L1177">
        <f>IFERROR(MATCH($C$5&amp;"|"&amp;RIGHT("000000"&amp;1161,6),ExpRankKey,0),"")</f>
        <v/>
      </c>
    </row>
    <row r="1178">
      <c r="A1178" s="21" t="n">
        <v>1162</v>
      </c>
      <c r="B1178" s="22">
        <f>IF($L1178="","",INDEX(ExpNorm,$L1178))</f>
        <v/>
      </c>
      <c r="C1178" s="22">
        <f>IF($L1178="","",IF(INDEX(ExpTime,$L1178)="","—",LEFT(INDEX(ExpTime,$L1178),2)&amp;":"&amp;RIGHT(INDEX(ExpTime,$L1178),2)))</f>
        <v/>
      </c>
      <c r="D1178" s="22">
        <f>IF($L1178="","",IF(INDEX(ExpBank,$L1178)="","—",INDEX(ExpBank,$L1178)))</f>
        <v/>
      </c>
      <c r="E1178" s="23">
        <f>IF($L1178="","",IF(INDEX(ExpParty,$L1178)="","—",IFERROR(VLOOKUP(INDEX(ExpParty,$L1178),AcctTbl,4,0),INDEX(ExpParty,$L1178))))</f>
        <v/>
      </c>
      <c r="F1178" s="22">
        <f>IF($L1178="","",IF(INDEX(ExpType,$L1178)="","—",INDEX(ExpType,$L1178)))</f>
        <v/>
      </c>
      <c r="G1178" s="24">
        <f>IF($L1178="","",IF(INDEX(ExpDep,$L1178)=0,"",INDEX(ExpDep,$L1178)))</f>
        <v/>
      </c>
      <c r="H1178" s="24">
        <f>IF($L1178="","",IF(INDEX(ExpWit,$L1178)=0,"",INDEX(ExpWit,$L1178)))</f>
        <v/>
      </c>
      <c r="I1178" s="25">
        <f>IF($B1178="","",IF($I1177="",0,$I1177)+IF($H1178="",0,$H1178)-IF($G1178="",0,$G1178))</f>
        <v/>
      </c>
      <c r="J1178" s="23">
        <f>IF($L1178="","",IF(INDEX(ExpNote,$L1178)="","—",INDEX(ExpNote,$L1178)))</f>
        <v/>
      </c>
      <c r="L1178">
        <f>IFERROR(MATCH($C$5&amp;"|"&amp;RIGHT("000000"&amp;1162,6),ExpRankKey,0),"")</f>
        <v/>
      </c>
    </row>
    <row r="1179">
      <c r="A1179" s="16" t="n">
        <v>1163</v>
      </c>
      <c r="B1179" s="17">
        <f>IF($L1179="","",INDEX(ExpNorm,$L1179))</f>
        <v/>
      </c>
      <c r="C1179" s="17">
        <f>IF($L1179="","",IF(INDEX(ExpTime,$L1179)="","—",LEFT(INDEX(ExpTime,$L1179),2)&amp;":"&amp;RIGHT(INDEX(ExpTime,$L1179),2)))</f>
        <v/>
      </c>
      <c r="D1179" s="17">
        <f>IF($L1179="","",IF(INDEX(ExpBank,$L1179)="","—",INDEX(ExpBank,$L1179)))</f>
        <v/>
      </c>
      <c r="E1179" s="18">
        <f>IF($L1179="","",IF(INDEX(ExpParty,$L1179)="","—",IFERROR(VLOOKUP(INDEX(ExpParty,$L1179),AcctTbl,4,0),INDEX(ExpParty,$L1179))))</f>
        <v/>
      </c>
      <c r="F1179" s="17">
        <f>IF($L1179="","",IF(INDEX(ExpType,$L1179)="","—",INDEX(ExpType,$L1179)))</f>
        <v/>
      </c>
      <c r="G1179" s="19">
        <f>IF($L1179="","",IF(INDEX(ExpDep,$L1179)=0,"",INDEX(ExpDep,$L1179)))</f>
        <v/>
      </c>
      <c r="H1179" s="19">
        <f>IF($L1179="","",IF(INDEX(ExpWit,$L1179)=0,"",INDEX(ExpWit,$L1179)))</f>
        <v/>
      </c>
      <c r="I1179" s="20">
        <f>IF($B1179="","",IF($I1178="",0,$I1178)+IF($H1179="",0,$H1179)-IF($G1179="",0,$G1179))</f>
        <v/>
      </c>
      <c r="J1179" s="18">
        <f>IF($L1179="","",IF(INDEX(ExpNote,$L1179)="","—",INDEX(ExpNote,$L1179)))</f>
        <v/>
      </c>
      <c r="L1179">
        <f>IFERROR(MATCH($C$5&amp;"|"&amp;RIGHT("000000"&amp;1163,6),ExpRankKey,0),"")</f>
        <v/>
      </c>
    </row>
    <row r="1180">
      <c r="A1180" s="21" t="n">
        <v>1164</v>
      </c>
      <c r="B1180" s="22">
        <f>IF($L1180="","",INDEX(ExpNorm,$L1180))</f>
        <v/>
      </c>
      <c r="C1180" s="22">
        <f>IF($L1180="","",IF(INDEX(ExpTime,$L1180)="","—",LEFT(INDEX(ExpTime,$L1180),2)&amp;":"&amp;RIGHT(INDEX(ExpTime,$L1180),2)))</f>
        <v/>
      </c>
      <c r="D1180" s="22">
        <f>IF($L1180="","",IF(INDEX(ExpBank,$L1180)="","—",INDEX(ExpBank,$L1180)))</f>
        <v/>
      </c>
      <c r="E1180" s="23">
        <f>IF($L1180="","",IF(INDEX(ExpParty,$L1180)="","—",IFERROR(VLOOKUP(INDEX(ExpParty,$L1180),AcctTbl,4,0),INDEX(ExpParty,$L1180))))</f>
        <v/>
      </c>
      <c r="F1180" s="22">
        <f>IF($L1180="","",IF(INDEX(ExpType,$L1180)="","—",INDEX(ExpType,$L1180)))</f>
        <v/>
      </c>
      <c r="G1180" s="24">
        <f>IF($L1180="","",IF(INDEX(ExpDep,$L1180)=0,"",INDEX(ExpDep,$L1180)))</f>
        <v/>
      </c>
      <c r="H1180" s="24">
        <f>IF($L1180="","",IF(INDEX(ExpWit,$L1180)=0,"",INDEX(ExpWit,$L1180)))</f>
        <v/>
      </c>
      <c r="I1180" s="25">
        <f>IF($B1180="","",IF($I1179="",0,$I1179)+IF($H1180="",0,$H1180)-IF($G1180="",0,$G1180))</f>
        <v/>
      </c>
      <c r="J1180" s="23">
        <f>IF($L1180="","",IF(INDEX(ExpNote,$L1180)="","—",INDEX(ExpNote,$L1180)))</f>
        <v/>
      </c>
      <c r="L1180">
        <f>IFERROR(MATCH($C$5&amp;"|"&amp;RIGHT("000000"&amp;1164,6),ExpRankKey,0),"")</f>
        <v/>
      </c>
    </row>
    <row r="1181">
      <c r="A1181" s="16" t="n">
        <v>1165</v>
      </c>
      <c r="B1181" s="17">
        <f>IF($L1181="","",INDEX(ExpNorm,$L1181))</f>
        <v/>
      </c>
      <c r="C1181" s="17">
        <f>IF($L1181="","",IF(INDEX(ExpTime,$L1181)="","—",LEFT(INDEX(ExpTime,$L1181),2)&amp;":"&amp;RIGHT(INDEX(ExpTime,$L1181),2)))</f>
        <v/>
      </c>
      <c r="D1181" s="17">
        <f>IF($L1181="","",IF(INDEX(ExpBank,$L1181)="","—",INDEX(ExpBank,$L1181)))</f>
        <v/>
      </c>
      <c r="E1181" s="18">
        <f>IF($L1181="","",IF(INDEX(ExpParty,$L1181)="","—",IFERROR(VLOOKUP(INDEX(ExpParty,$L1181),AcctTbl,4,0),INDEX(ExpParty,$L1181))))</f>
        <v/>
      </c>
      <c r="F1181" s="17">
        <f>IF($L1181="","",IF(INDEX(ExpType,$L1181)="","—",INDEX(ExpType,$L1181)))</f>
        <v/>
      </c>
      <c r="G1181" s="19">
        <f>IF($L1181="","",IF(INDEX(ExpDep,$L1181)=0,"",INDEX(ExpDep,$L1181)))</f>
        <v/>
      </c>
      <c r="H1181" s="19">
        <f>IF($L1181="","",IF(INDEX(ExpWit,$L1181)=0,"",INDEX(ExpWit,$L1181)))</f>
        <v/>
      </c>
      <c r="I1181" s="20">
        <f>IF($B1181="","",IF($I1180="",0,$I1180)+IF($H1181="",0,$H1181)-IF($G1181="",0,$G1181))</f>
        <v/>
      </c>
      <c r="J1181" s="18">
        <f>IF($L1181="","",IF(INDEX(ExpNote,$L1181)="","—",INDEX(ExpNote,$L1181)))</f>
        <v/>
      </c>
      <c r="L1181">
        <f>IFERROR(MATCH($C$5&amp;"|"&amp;RIGHT("000000"&amp;1165,6),ExpRankKey,0),"")</f>
        <v/>
      </c>
    </row>
    <row r="1182">
      <c r="A1182" s="21" t="n">
        <v>1166</v>
      </c>
      <c r="B1182" s="22">
        <f>IF($L1182="","",INDEX(ExpNorm,$L1182))</f>
        <v/>
      </c>
      <c r="C1182" s="22">
        <f>IF($L1182="","",IF(INDEX(ExpTime,$L1182)="","—",LEFT(INDEX(ExpTime,$L1182),2)&amp;":"&amp;RIGHT(INDEX(ExpTime,$L1182),2)))</f>
        <v/>
      </c>
      <c r="D1182" s="22">
        <f>IF($L1182="","",IF(INDEX(ExpBank,$L1182)="","—",INDEX(ExpBank,$L1182)))</f>
        <v/>
      </c>
      <c r="E1182" s="23">
        <f>IF($L1182="","",IF(INDEX(ExpParty,$L1182)="","—",IFERROR(VLOOKUP(INDEX(ExpParty,$L1182),AcctTbl,4,0),INDEX(ExpParty,$L1182))))</f>
        <v/>
      </c>
      <c r="F1182" s="22">
        <f>IF($L1182="","",IF(INDEX(ExpType,$L1182)="","—",INDEX(ExpType,$L1182)))</f>
        <v/>
      </c>
      <c r="G1182" s="24">
        <f>IF($L1182="","",IF(INDEX(ExpDep,$L1182)=0,"",INDEX(ExpDep,$L1182)))</f>
        <v/>
      </c>
      <c r="H1182" s="24">
        <f>IF($L1182="","",IF(INDEX(ExpWit,$L1182)=0,"",INDEX(ExpWit,$L1182)))</f>
        <v/>
      </c>
      <c r="I1182" s="25">
        <f>IF($B1182="","",IF($I1181="",0,$I1181)+IF($H1182="",0,$H1182)-IF($G1182="",0,$G1182))</f>
        <v/>
      </c>
      <c r="J1182" s="23">
        <f>IF($L1182="","",IF(INDEX(ExpNote,$L1182)="","—",INDEX(ExpNote,$L1182)))</f>
        <v/>
      </c>
      <c r="L1182">
        <f>IFERROR(MATCH($C$5&amp;"|"&amp;RIGHT("000000"&amp;1166,6),ExpRankKey,0),"")</f>
        <v/>
      </c>
    </row>
    <row r="1183">
      <c r="A1183" s="16" t="n">
        <v>1167</v>
      </c>
      <c r="B1183" s="17">
        <f>IF($L1183="","",INDEX(ExpNorm,$L1183))</f>
        <v/>
      </c>
      <c r="C1183" s="17">
        <f>IF($L1183="","",IF(INDEX(ExpTime,$L1183)="","—",LEFT(INDEX(ExpTime,$L1183),2)&amp;":"&amp;RIGHT(INDEX(ExpTime,$L1183),2)))</f>
        <v/>
      </c>
      <c r="D1183" s="17">
        <f>IF($L1183="","",IF(INDEX(ExpBank,$L1183)="","—",INDEX(ExpBank,$L1183)))</f>
        <v/>
      </c>
      <c r="E1183" s="18">
        <f>IF($L1183="","",IF(INDEX(ExpParty,$L1183)="","—",IFERROR(VLOOKUP(INDEX(ExpParty,$L1183),AcctTbl,4,0),INDEX(ExpParty,$L1183))))</f>
        <v/>
      </c>
      <c r="F1183" s="17">
        <f>IF($L1183="","",IF(INDEX(ExpType,$L1183)="","—",INDEX(ExpType,$L1183)))</f>
        <v/>
      </c>
      <c r="G1183" s="19">
        <f>IF($L1183="","",IF(INDEX(ExpDep,$L1183)=0,"",INDEX(ExpDep,$L1183)))</f>
        <v/>
      </c>
      <c r="H1183" s="19">
        <f>IF($L1183="","",IF(INDEX(ExpWit,$L1183)=0,"",INDEX(ExpWit,$L1183)))</f>
        <v/>
      </c>
      <c r="I1183" s="20">
        <f>IF($B1183="","",IF($I1182="",0,$I1182)+IF($H1183="",0,$H1183)-IF($G1183="",0,$G1183))</f>
        <v/>
      </c>
      <c r="J1183" s="18">
        <f>IF($L1183="","",IF(INDEX(ExpNote,$L1183)="","—",INDEX(ExpNote,$L1183)))</f>
        <v/>
      </c>
      <c r="L1183">
        <f>IFERROR(MATCH($C$5&amp;"|"&amp;RIGHT("000000"&amp;1167,6),ExpRankKey,0),"")</f>
        <v/>
      </c>
    </row>
    <row r="1184">
      <c r="A1184" s="21" t="n">
        <v>1168</v>
      </c>
      <c r="B1184" s="22">
        <f>IF($L1184="","",INDEX(ExpNorm,$L1184))</f>
        <v/>
      </c>
      <c r="C1184" s="22">
        <f>IF($L1184="","",IF(INDEX(ExpTime,$L1184)="","—",LEFT(INDEX(ExpTime,$L1184),2)&amp;":"&amp;RIGHT(INDEX(ExpTime,$L1184),2)))</f>
        <v/>
      </c>
      <c r="D1184" s="22">
        <f>IF($L1184="","",IF(INDEX(ExpBank,$L1184)="","—",INDEX(ExpBank,$L1184)))</f>
        <v/>
      </c>
      <c r="E1184" s="23">
        <f>IF($L1184="","",IF(INDEX(ExpParty,$L1184)="","—",IFERROR(VLOOKUP(INDEX(ExpParty,$L1184),AcctTbl,4,0),INDEX(ExpParty,$L1184))))</f>
        <v/>
      </c>
      <c r="F1184" s="22">
        <f>IF($L1184="","",IF(INDEX(ExpType,$L1184)="","—",INDEX(ExpType,$L1184)))</f>
        <v/>
      </c>
      <c r="G1184" s="24">
        <f>IF($L1184="","",IF(INDEX(ExpDep,$L1184)=0,"",INDEX(ExpDep,$L1184)))</f>
        <v/>
      </c>
      <c r="H1184" s="24">
        <f>IF($L1184="","",IF(INDEX(ExpWit,$L1184)=0,"",INDEX(ExpWit,$L1184)))</f>
        <v/>
      </c>
      <c r="I1184" s="25">
        <f>IF($B1184="","",IF($I1183="",0,$I1183)+IF($H1184="",0,$H1184)-IF($G1184="",0,$G1184))</f>
        <v/>
      </c>
      <c r="J1184" s="23">
        <f>IF($L1184="","",IF(INDEX(ExpNote,$L1184)="","—",INDEX(ExpNote,$L1184)))</f>
        <v/>
      </c>
      <c r="L1184">
        <f>IFERROR(MATCH($C$5&amp;"|"&amp;RIGHT("000000"&amp;1168,6),ExpRankKey,0),"")</f>
        <v/>
      </c>
    </row>
    <row r="1185">
      <c r="A1185" s="16" t="n">
        <v>1169</v>
      </c>
      <c r="B1185" s="17">
        <f>IF($L1185="","",INDEX(ExpNorm,$L1185))</f>
        <v/>
      </c>
      <c r="C1185" s="17">
        <f>IF($L1185="","",IF(INDEX(ExpTime,$L1185)="","—",LEFT(INDEX(ExpTime,$L1185),2)&amp;":"&amp;RIGHT(INDEX(ExpTime,$L1185),2)))</f>
        <v/>
      </c>
      <c r="D1185" s="17">
        <f>IF($L1185="","",IF(INDEX(ExpBank,$L1185)="","—",INDEX(ExpBank,$L1185)))</f>
        <v/>
      </c>
      <c r="E1185" s="18">
        <f>IF($L1185="","",IF(INDEX(ExpParty,$L1185)="","—",IFERROR(VLOOKUP(INDEX(ExpParty,$L1185),AcctTbl,4,0),INDEX(ExpParty,$L1185))))</f>
        <v/>
      </c>
      <c r="F1185" s="17">
        <f>IF($L1185="","",IF(INDEX(ExpType,$L1185)="","—",INDEX(ExpType,$L1185)))</f>
        <v/>
      </c>
      <c r="G1185" s="19">
        <f>IF($L1185="","",IF(INDEX(ExpDep,$L1185)=0,"",INDEX(ExpDep,$L1185)))</f>
        <v/>
      </c>
      <c r="H1185" s="19">
        <f>IF($L1185="","",IF(INDEX(ExpWit,$L1185)=0,"",INDEX(ExpWit,$L1185)))</f>
        <v/>
      </c>
      <c r="I1185" s="20">
        <f>IF($B1185="","",IF($I1184="",0,$I1184)+IF($H1185="",0,$H1185)-IF($G1185="",0,$G1185))</f>
        <v/>
      </c>
      <c r="J1185" s="18">
        <f>IF($L1185="","",IF(INDEX(ExpNote,$L1185)="","—",INDEX(ExpNote,$L1185)))</f>
        <v/>
      </c>
      <c r="L1185">
        <f>IFERROR(MATCH($C$5&amp;"|"&amp;RIGHT("000000"&amp;1169,6),ExpRankKey,0),"")</f>
        <v/>
      </c>
    </row>
    <row r="1186">
      <c r="A1186" s="21" t="n">
        <v>1170</v>
      </c>
      <c r="B1186" s="22">
        <f>IF($L1186="","",INDEX(ExpNorm,$L1186))</f>
        <v/>
      </c>
      <c r="C1186" s="22">
        <f>IF($L1186="","",IF(INDEX(ExpTime,$L1186)="","—",LEFT(INDEX(ExpTime,$L1186),2)&amp;":"&amp;RIGHT(INDEX(ExpTime,$L1186),2)))</f>
        <v/>
      </c>
      <c r="D1186" s="22">
        <f>IF($L1186="","",IF(INDEX(ExpBank,$L1186)="","—",INDEX(ExpBank,$L1186)))</f>
        <v/>
      </c>
      <c r="E1186" s="23">
        <f>IF($L1186="","",IF(INDEX(ExpParty,$L1186)="","—",IFERROR(VLOOKUP(INDEX(ExpParty,$L1186),AcctTbl,4,0),INDEX(ExpParty,$L1186))))</f>
        <v/>
      </c>
      <c r="F1186" s="22">
        <f>IF($L1186="","",IF(INDEX(ExpType,$L1186)="","—",INDEX(ExpType,$L1186)))</f>
        <v/>
      </c>
      <c r="G1186" s="24">
        <f>IF($L1186="","",IF(INDEX(ExpDep,$L1186)=0,"",INDEX(ExpDep,$L1186)))</f>
        <v/>
      </c>
      <c r="H1186" s="24">
        <f>IF($L1186="","",IF(INDEX(ExpWit,$L1186)=0,"",INDEX(ExpWit,$L1186)))</f>
        <v/>
      </c>
      <c r="I1186" s="25">
        <f>IF($B1186="","",IF($I1185="",0,$I1185)+IF($H1186="",0,$H1186)-IF($G1186="",0,$G1186))</f>
        <v/>
      </c>
      <c r="J1186" s="23">
        <f>IF($L1186="","",IF(INDEX(ExpNote,$L1186)="","—",INDEX(ExpNote,$L1186)))</f>
        <v/>
      </c>
      <c r="L1186">
        <f>IFERROR(MATCH($C$5&amp;"|"&amp;RIGHT("000000"&amp;1170,6),ExpRankKey,0),"")</f>
        <v/>
      </c>
    </row>
    <row r="1187">
      <c r="A1187" s="16" t="n">
        <v>1171</v>
      </c>
      <c r="B1187" s="17">
        <f>IF($L1187="","",INDEX(ExpNorm,$L1187))</f>
        <v/>
      </c>
      <c r="C1187" s="17">
        <f>IF($L1187="","",IF(INDEX(ExpTime,$L1187)="","—",LEFT(INDEX(ExpTime,$L1187),2)&amp;":"&amp;RIGHT(INDEX(ExpTime,$L1187),2)))</f>
        <v/>
      </c>
      <c r="D1187" s="17">
        <f>IF($L1187="","",IF(INDEX(ExpBank,$L1187)="","—",INDEX(ExpBank,$L1187)))</f>
        <v/>
      </c>
      <c r="E1187" s="18">
        <f>IF($L1187="","",IF(INDEX(ExpParty,$L1187)="","—",IFERROR(VLOOKUP(INDEX(ExpParty,$L1187),AcctTbl,4,0),INDEX(ExpParty,$L1187))))</f>
        <v/>
      </c>
      <c r="F1187" s="17">
        <f>IF($L1187="","",IF(INDEX(ExpType,$L1187)="","—",INDEX(ExpType,$L1187)))</f>
        <v/>
      </c>
      <c r="G1187" s="19">
        <f>IF($L1187="","",IF(INDEX(ExpDep,$L1187)=0,"",INDEX(ExpDep,$L1187)))</f>
        <v/>
      </c>
      <c r="H1187" s="19">
        <f>IF($L1187="","",IF(INDEX(ExpWit,$L1187)=0,"",INDEX(ExpWit,$L1187)))</f>
        <v/>
      </c>
      <c r="I1187" s="20">
        <f>IF($B1187="","",IF($I1186="",0,$I1186)+IF($H1187="",0,$H1187)-IF($G1187="",0,$G1187))</f>
        <v/>
      </c>
      <c r="J1187" s="18">
        <f>IF($L1187="","",IF(INDEX(ExpNote,$L1187)="","—",INDEX(ExpNote,$L1187)))</f>
        <v/>
      </c>
      <c r="L1187">
        <f>IFERROR(MATCH($C$5&amp;"|"&amp;RIGHT("000000"&amp;1171,6),ExpRankKey,0),"")</f>
        <v/>
      </c>
    </row>
    <row r="1188">
      <c r="A1188" s="21" t="n">
        <v>1172</v>
      </c>
      <c r="B1188" s="22">
        <f>IF($L1188="","",INDEX(ExpNorm,$L1188))</f>
        <v/>
      </c>
      <c r="C1188" s="22">
        <f>IF($L1188="","",IF(INDEX(ExpTime,$L1188)="","—",LEFT(INDEX(ExpTime,$L1188),2)&amp;":"&amp;RIGHT(INDEX(ExpTime,$L1188),2)))</f>
        <v/>
      </c>
      <c r="D1188" s="22">
        <f>IF($L1188="","",IF(INDEX(ExpBank,$L1188)="","—",INDEX(ExpBank,$L1188)))</f>
        <v/>
      </c>
      <c r="E1188" s="23">
        <f>IF($L1188="","",IF(INDEX(ExpParty,$L1188)="","—",IFERROR(VLOOKUP(INDEX(ExpParty,$L1188),AcctTbl,4,0),INDEX(ExpParty,$L1188))))</f>
        <v/>
      </c>
      <c r="F1188" s="22">
        <f>IF($L1188="","",IF(INDEX(ExpType,$L1188)="","—",INDEX(ExpType,$L1188)))</f>
        <v/>
      </c>
      <c r="G1188" s="24">
        <f>IF($L1188="","",IF(INDEX(ExpDep,$L1188)=0,"",INDEX(ExpDep,$L1188)))</f>
        <v/>
      </c>
      <c r="H1188" s="24">
        <f>IF($L1188="","",IF(INDEX(ExpWit,$L1188)=0,"",INDEX(ExpWit,$L1188)))</f>
        <v/>
      </c>
      <c r="I1188" s="25">
        <f>IF($B1188="","",IF($I1187="",0,$I1187)+IF($H1188="",0,$H1188)-IF($G1188="",0,$G1188))</f>
        <v/>
      </c>
      <c r="J1188" s="23">
        <f>IF($L1188="","",IF(INDEX(ExpNote,$L1188)="","—",INDEX(ExpNote,$L1188)))</f>
        <v/>
      </c>
      <c r="L1188">
        <f>IFERROR(MATCH($C$5&amp;"|"&amp;RIGHT("000000"&amp;1172,6),ExpRankKey,0),"")</f>
        <v/>
      </c>
    </row>
    <row r="1189">
      <c r="A1189" s="16" t="n">
        <v>1173</v>
      </c>
      <c r="B1189" s="17">
        <f>IF($L1189="","",INDEX(ExpNorm,$L1189))</f>
        <v/>
      </c>
      <c r="C1189" s="17">
        <f>IF($L1189="","",IF(INDEX(ExpTime,$L1189)="","—",LEFT(INDEX(ExpTime,$L1189),2)&amp;":"&amp;RIGHT(INDEX(ExpTime,$L1189),2)))</f>
        <v/>
      </c>
      <c r="D1189" s="17">
        <f>IF($L1189="","",IF(INDEX(ExpBank,$L1189)="","—",INDEX(ExpBank,$L1189)))</f>
        <v/>
      </c>
      <c r="E1189" s="18">
        <f>IF($L1189="","",IF(INDEX(ExpParty,$L1189)="","—",IFERROR(VLOOKUP(INDEX(ExpParty,$L1189),AcctTbl,4,0),INDEX(ExpParty,$L1189))))</f>
        <v/>
      </c>
      <c r="F1189" s="17">
        <f>IF($L1189="","",IF(INDEX(ExpType,$L1189)="","—",INDEX(ExpType,$L1189)))</f>
        <v/>
      </c>
      <c r="G1189" s="19">
        <f>IF($L1189="","",IF(INDEX(ExpDep,$L1189)=0,"",INDEX(ExpDep,$L1189)))</f>
        <v/>
      </c>
      <c r="H1189" s="19">
        <f>IF($L1189="","",IF(INDEX(ExpWit,$L1189)=0,"",INDEX(ExpWit,$L1189)))</f>
        <v/>
      </c>
      <c r="I1189" s="20">
        <f>IF($B1189="","",IF($I1188="",0,$I1188)+IF($H1189="",0,$H1189)-IF($G1189="",0,$G1189))</f>
        <v/>
      </c>
      <c r="J1189" s="18">
        <f>IF($L1189="","",IF(INDEX(ExpNote,$L1189)="","—",INDEX(ExpNote,$L1189)))</f>
        <v/>
      </c>
      <c r="L1189">
        <f>IFERROR(MATCH($C$5&amp;"|"&amp;RIGHT("000000"&amp;1173,6),ExpRankKey,0),"")</f>
        <v/>
      </c>
    </row>
    <row r="1190">
      <c r="A1190" s="21" t="n">
        <v>1174</v>
      </c>
      <c r="B1190" s="22">
        <f>IF($L1190="","",INDEX(ExpNorm,$L1190))</f>
        <v/>
      </c>
      <c r="C1190" s="22">
        <f>IF($L1190="","",IF(INDEX(ExpTime,$L1190)="","—",LEFT(INDEX(ExpTime,$L1190),2)&amp;":"&amp;RIGHT(INDEX(ExpTime,$L1190),2)))</f>
        <v/>
      </c>
      <c r="D1190" s="22">
        <f>IF($L1190="","",IF(INDEX(ExpBank,$L1190)="","—",INDEX(ExpBank,$L1190)))</f>
        <v/>
      </c>
      <c r="E1190" s="23">
        <f>IF($L1190="","",IF(INDEX(ExpParty,$L1190)="","—",IFERROR(VLOOKUP(INDEX(ExpParty,$L1190),AcctTbl,4,0),INDEX(ExpParty,$L1190))))</f>
        <v/>
      </c>
      <c r="F1190" s="22">
        <f>IF($L1190="","",IF(INDEX(ExpType,$L1190)="","—",INDEX(ExpType,$L1190)))</f>
        <v/>
      </c>
      <c r="G1190" s="24">
        <f>IF($L1190="","",IF(INDEX(ExpDep,$L1190)=0,"",INDEX(ExpDep,$L1190)))</f>
        <v/>
      </c>
      <c r="H1190" s="24">
        <f>IF($L1190="","",IF(INDEX(ExpWit,$L1190)=0,"",INDEX(ExpWit,$L1190)))</f>
        <v/>
      </c>
      <c r="I1190" s="25">
        <f>IF($B1190="","",IF($I1189="",0,$I1189)+IF($H1190="",0,$H1190)-IF($G1190="",0,$G1190))</f>
        <v/>
      </c>
      <c r="J1190" s="23">
        <f>IF($L1190="","",IF(INDEX(ExpNote,$L1190)="","—",INDEX(ExpNote,$L1190)))</f>
        <v/>
      </c>
      <c r="L1190">
        <f>IFERROR(MATCH($C$5&amp;"|"&amp;RIGHT("000000"&amp;1174,6),ExpRankKey,0),"")</f>
        <v/>
      </c>
    </row>
    <row r="1191">
      <c r="A1191" s="16" t="n">
        <v>1175</v>
      </c>
      <c r="B1191" s="17">
        <f>IF($L1191="","",INDEX(ExpNorm,$L1191))</f>
        <v/>
      </c>
      <c r="C1191" s="17">
        <f>IF($L1191="","",IF(INDEX(ExpTime,$L1191)="","—",LEFT(INDEX(ExpTime,$L1191),2)&amp;":"&amp;RIGHT(INDEX(ExpTime,$L1191),2)))</f>
        <v/>
      </c>
      <c r="D1191" s="17">
        <f>IF($L1191="","",IF(INDEX(ExpBank,$L1191)="","—",INDEX(ExpBank,$L1191)))</f>
        <v/>
      </c>
      <c r="E1191" s="18">
        <f>IF($L1191="","",IF(INDEX(ExpParty,$L1191)="","—",IFERROR(VLOOKUP(INDEX(ExpParty,$L1191),AcctTbl,4,0),INDEX(ExpParty,$L1191))))</f>
        <v/>
      </c>
      <c r="F1191" s="17">
        <f>IF($L1191="","",IF(INDEX(ExpType,$L1191)="","—",INDEX(ExpType,$L1191)))</f>
        <v/>
      </c>
      <c r="G1191" s="19">
        <f>IF($L1191="","",IF(INDEX(ExpDep,$L1191)=0,"",INDEX(ExpDep,$L1191)))</f>
        <v/>
      </c>
      <c r="H1191" s="19">
        <f>IF($L1191="","",IF(INDEX(ExpWit,$L1191)=0,"",INDEX(ExpWit,$L1191)))</f>
        <v/>
      </c>
      <c r="I1191" s="20">
        <f>IF($B1191="","",IF($I1190="",0,$I1190)+IF($H1191="",0,$H1191)-IF($G1191="",0,$G1191))</f>
        <v/>
      </c>
      <c r="J1191" s="18">
        <f>IF($L1191="","",IF(INDEX(ExpNote,$L1191)="","—",INDEX(ExpNote,$L1191)))</f>
        <v/>
      </c>
      <c r="L1191">
        <f>IFERROR(MATCH($C$5&amp;"|"&amp;RIGHT("000000"&amp;1175,6),ExpRankKey,0),"")</f>
        <v/>
      </c>
    </row>
    <row r="1192">
      <c r="A1192" s="21" t="n">
        <v>1176</v>
      </c>
      <c r="B1192" s="22">
        <f>IF($L1192="","",INDEX(ExpNorm,$L1192))</f>
        <v/>
      </c>
      <c r="C1192" s="22">
        <f>IF($L1192="","",IF(INDEX(ExpTime,$L1192)="","—",LEFT(INDEX(ExpTime,$L1192),2)&amp;":"&amp;RIGHT(INDEX(ExpTime,$L1192),2)))</f>
        <v/>
      </c>
      <c r="D1192" s="22">
        <f>IF($L1192="","",IF(INDEX(ExpBank,$L1192)="","—",INDEX(ExpBank,$L1192)))</f>
        <v/>
      </c>
      <c r="E1192" s="23">
        <f>IF($L1192="","",IF(INDEX(ExpParty,$L1192)="","—",IFERROR(VLOOKUP(INDEX(ExpParty,$L1192),AcctTbl,4,0),INDEX(ExpParty,$L1192))))</f>
        <v/>
      </c>
      <c r="F1192" s="22">
        <f>IF($L1192="","",IF(INDEX(ExpType,$L1192)="","—",INDEX(ExpType,$L1192)))</f>
        <v/>
      </c>
      <c r="G1192" s="24">
        <f>IF($L1192="","",IF(INDEX(ExpDep,$L1192)=0,"",INDEX(ExpDep,$L1192)))</f>
        <v/>
      </c>
      <c r="H1192" s="24">
        <f>IF($L1192="","",IF(INDEX(ExpWit,$L1192)=0,"",INDEX(ExpWit,$L1192)))</f>
        <v/>
      </c>
      <c r="I1192" s="25">
        <f>IF($B1192="","",IF($I1191="",0,$I1191)+IF($H1192="",0,$H1192)-IF($G1192="",0,$G1192))</f>
        <v/>
      </c>
      <c r="J1192" s="23">
        <f>IF($L1192="","",IF(INDEX(ExpNote,$L1192)="","—",INDEX(ExpNote,$L1192)))</f>
        <v/>
      </c>
      <c r="L1192">
        <f>IFERROR(MATCH($C$5&amp;"|"&amp;RIGHT("000000"&amp;1176,6),ExpRankKey,0),"")</f>
        <v/>
      </c>
    </row>
    <row r="1193">
      <c r="A1193" s="16" t="n">
        <v>1177</v>
      </c>
      <c r="B1193" s="17">
        <f>IF($L1193="","",INDEX(ExpNorm,$L1193))</f>
        <v/>
      </c>
      <c r="C1193" s="17">
        <f>IF($L1193="","",IF(INDEX(ExpTime,$L1193)="","—",LEFT(INDEX(ExpTime,$L1193),2)&amp;":"&amp;RIGHT(INDEX(ExpTime,$L1193),2)))</f>
        <v/>
      </c>
      <c r="D1193" s="17">
        <f>IF($L1193="","",IF(INDEX(ExpBank,$L1193)="","—",INDEX(ExpBank,$L1193)))</f>
        <v/>
      </c>
      <c r="E1193" s="18">
        <f>IF($L1193="","",IF(INDEX(ExpParty,$L1193)="","—",IFERROR(VLOOKUP(INDEX(ExpParty,$L1193),AcctTbl,4,0),INDEX(ExpParty,$L1193))))</f>
        <v/>
      </c>
      <c r="F1193" s="17">
        <f>IF($L1193="","",IF(INDEX(ExpType,$L1193)="","—",INDEX(ExpType,$L1193)))</f>
        <v/>
      </c>
      <c r="G1193" s="19">
        <f>IF($L1193="","",IF(INDEX(ExpDep,$L1193)=0,"",INDEX(ExpDep,$L1193)))</f>
        <v/>
      </c>
      <c r="H1193" s="19">
        <f>IF($L1193="","",IF(INDEX(ExpWit,$L1193)=0,"",INDEX(ExpWit,$L1193)))</f>
        <v/>
      </c>
      <c r="I1193" s="20">
        <f>IF($B1193="","",IF($I1192="",0,$I1192)+IF($H1193="",0,$H1193)-IF($G1193="",0,$G1193))</f>
        <v/>
      </c>
      <c r="J1193" s="18">
        <f>IF($L1193="","",IF(INDEX(ExpNote,$L1193)="","—",INDEX(ExpNote,$L1193)))</f>
        <v/>
      </c>
      <c r="L1193">
        <f>IFERROR(MATCH($C$5&amp;"|"&amp;RIGHT("000000"&amp;1177,6),ExpRankKey,0),"")</f>
        <v/>
      </c>
    </row>
    <row r="1194">
      <c r="A1194" s="21" t="n">
        <v>1178</v>
      </c>
      <c r="B1194" s="22">
        <f>IF($L1194="","",INDEX(ExpNorm,$L1194))</f>
        <v/>
      </c>
      <c r="C1194" s="22">
        <f>IF($L1194="","",IF(INDEX(ExpTime,$L1194)="","—",LEFT(INDEX(ExpTime,$L1194),2)&amp;":"&amp;RIGHT(INDEX(ExpTime,$L1194),2)))</f>
        <v/>
      </c>
      <c r="D1194" s="22">
        <f>IF($L1194="","",IF(INDEX(ExpBank,$L1194)="","—",INDEX(ExpBank,$L1194)))</f>
        <v/>
      </c>
      <c r="E1194" s="23">
        <f>IF($L1194="","",IF(INDEX(ExpParty,$L1194)="","—",IFERROR(VLOOKUP(INDEX(ExpParty,$L1194),AcctTbl,4,0),INDEX(ExpParty,$L1194))))</f>
        <v/>
      </c>
      <c r="F1194" s="22">
        <f>IF($L1194="","",IF(INDEX(ExpType,$L1194)="","—",INDEX(ExpType,$L1194)))</f>
        <v/>
      </c>
      <c r="G1194" s="24">
        <f>IF($L1194="","",IF(INDEX(ExpDep,$L1194)=0,"",INDEX(ExpDep,$L1194)))</f>
        <v/>
      </c>
      <c r="H1194" s="24">
        <f>IF($L1194="","",IF(INDEX(ExpWit,$L1194)=0,"",INDEX(ExpWit,$L1194)))</f>
        <v/>
      </c>
      <c r="I1194" s="25">
        <f>IF($B1194="","",IF($I1193="",0,$I1193)+IF($H1194="",0,$H1194)-IF($G1194="",0,$G1194))</f>
        <v/>
      </c>
      <c r="J1194" s="23">
        <f>IF($L1194="","",IF(INDEX(ExpNote,$L1194)="","—",INDEX(ExpNote,$L1194)))</f>
        <v/>
      </c>
      <c r="L1194">
        <f>IFERROR(MATCH($C$5&amp;"|"&amp;RIGHT("000000"&amp;1178,6),ExpRankKey,0),"")</f>
        <v/>
      </c>
    </row>
    <row r="1195">
      <c r="A1195" s="16" t="n">
        <v>1179</v>
      </c>
      <c r="B1195" s="17">
        <f>IF($L1195="","",INDEX(ExpNorm,$L1195))</f>
        <v/>
      </c>
      <c r="C1195" s="17">
        <f>IF($L1195="","",IF(INDEX(ExpTime,$L1195)="","—",LEFT(INDEX(ExpTime,$L1195),2)&amp;":"&amp;RIGHT(INDEX(ExpTime,$L1195),2)))</f>
        <v/>
      </c>
      <c r="D1195" s="17">
        <f>IF($L1195="","",IF(INDEX(ExpBank,$L1195)="","—",INDEX(ExpBank,$L1195)))</f>
        <v/>
      </c>
      <c r="E1195" s="18">
        <f>IF($L1195="","",IF(INDEX(ExpParty,$L1195)="","—",IFERROR(VLOOKUP(INDEX(ExpParty,$L1195),AcctTbl,4,0),INDEX(ExpParty,$L1195))))</f>
        <v/>
      </c>
      <c r="F1195" s="17">
        <f>IF($L1195="","",IF(INDEX(ExpType,$L1195)="","—",INDEX(ExpType,$L1195)))</f>
        <v/>
      </c>
      <c r="G1195" s="19">
        <f>IF($L1195="","",IF(INDEX(ExpDep,$L1195)=0,"",INDEX(ExpDep,$L1195)))</f>
        <v/>
      </c>
      <c r="H1195" s="19">
        <f>IF($L1195="","",IF(INDEX(ExpWit,$L1195)=0,"",INDEX(ExpWit,$L1195)))</f>
        <v/>
      </c>
      <c r="I1195" s="20">
        <f>IF($B1195="","",IF($I1194="",0,$I1194)+IF($H1195="",0,$H1195)-IF($G1195="",0,$G1195))</f>
        <v/>
      </c>
      <c r="J1195" s="18">
        <f>IF($L1195="","",IF(INDEX(ExpNote,$L1195)="","—",INDEX(ExpNote,$L1195)))</f>
        <v/>
      </c>
      <c r="L1195">
        <f>IFERROR(MATCH($C$5&amp;"|"&amp;RIGHT("000000"&amp;1179,6),ExpRankKey,0),"")</f>
        <v/>
      </c>
    </row>
    <row r="1196">
      <c r="A1196" s="21" t="n">
        <v>1180</v>
      </c>
      <c r="B1196" s="22">
        <f>IF($L1196="","",INDEX(ExpNorm,$L1196))</f>
        <v/>
      </c>
      <c r="C1196" s="22">
        <f>IF($L1196="","",IF(INDEX(ExpTime,$L1196)="","—",LEFT(INDEX(ExpTime,$L1196),2)&amp;":"&amp;RIGHT(INDEX(ExpTime,$L1196),2)))</f>
        <v/>
      </c>
      <c r="D1196" s="22">
        <f>IF($L1196="","",IF(INDEX(ExpBank,$L1196)="","—",INDEX(ExpBank,$L1196)))</f>
        <v/>
      </c>
      <c r="E1196" s="23">
        <f>IF($L1196="","",IF(INDEX(ExpParty,$L1196)="","—",IFERROR(VLOOKUP(INDEX(ExpParty,$L1196),AcctTbl,4,0),INDEX(ExpParty,$L1196))))</f>
        <v/>
      </c>
      <c r="F1196" s="22">
        <f>IF($L1196="","",IF(INDEX(ExpType,$L1196)="","—",INDEX(ExpType,$L1196)))</f>
        <v/>
      </c>
      <c r="G1196" s="24">
        <f>IF($L1196="","",IF(INDEX(ExpDep,$L1196)=0,"",INDEX(ExpDep,$L1196)))</f>
        <v/>
      </c>
      <c r="H1196" s="24">
        <f>IF($L1196="","",IF(INDEX(ExpWit,$L1196)=0,"",INDEX(ExpWit,$L1196)))</f>
        <v/>
      </c>
      <c r="I1196" s="25">
        <f>IF($B1196="","",IF($I1195="",0,$I1195)+IF($H1196="",0,$H1196)-IF($G1196="",0,$G1196))</f>
        <v/>
      </c>
      <c r="J1196" s="23">
        <f>IF($L1196="","",IF(INDEX(ExpNote,$L1196)="","—",INDEX(ExpNote,$L1196)))</f>
        <v/>
      </c>
      <c r="L1196">
        <f>IFERROR(MATCH($C$5&amp;"|"&amp;RIGHT("000000"&amp;1180,6),ExpRankKey,0),"")</f>
        <v/>
      </c>
    </row>
    <row r="1197">
      <c r="A1197" s="16" t="n">
        <v>1181</v>
      </c>
      <c r="B1197" s="17">
        <f>IF($L1197="","",INDEX(ExpNorm,$L1197))</f>
        <v/>
      </c>
      <c r="C1197" s="17">
        <f>IF($L1197="","",IF(INDEX(ExpTime,$L1197)="","—",LEFT(INDEX(ExpTime,$L1197),2)&amp;":"&amp;RIGHT(INDEX(ExpTime,$L1197),2)))</f>
        <v/>
      </c>
      <c r="D1197" s="17">
        <f>IF($L1197="","",IF(INDEX(ExpBank,$L1197)="","—",INDEX(ExpBank,$L1197)))</f>
        <v/>
      </c>
      <c r="E1197" s="18">
        <f>IF($L1197="","",IF(INDEX(ExpParty,$L1197)="","—",IFERROR(VLOOKUP(INDEX(ExpParty,$L1197),AcctTbl,4,0),INDEX(ExpParty,$L1197))))</f>
        <v/>
      </c>
      <c r="F1197" s="17">
        <f>IF($L1197="","",IF(INDEX(ExpType,$L1197)="","—",INDEX(ExpType,$L1197)))</f>
        <v/>
      </c>
      <c r="G1197" s="19">
        <f>IF($L1197="","",IF(INDEX(ExpDep,$L1197)=0,"",INDEX(ExpDep,$L1197)))</f>
        <v/>
      </c>
      <c r="H1197" s="19">
        <f>IF($L1197="","",IF(INDEX(ExpWit,$L1197)=0,"",INDEX(ExpWit,$L1197)))</f>
        <v/>
      </c>
      <c r="I1197" s="20">
        <f>IF($B1197="","",IF($I1196="",0,$I1196)+IF($H1197="",0,$H1197)-IF($G1197="",0,$G1197))</f>
        <v/>
      </c>
      <c r="J1197" s="18">
        <f>IF($L1197="","",IF(INDEX(ExpNote,$L1197)="","—",INDEX(ExpNote,$L1197)))</f>
        <v/>
      </c>
      <c r="L1197">
        <f>IFERROR(MATCH($C$5&amp;"|"&amp;RIGHT("000000"&amp;1181,6),ExpRankKey,0),"")</f>
        <v/>
      </c>
    </row>
    <row r="1198">
      <c r="A1198" s="21" t="n">
        <v>1182</v>
      </c>
      <c r="B1198" s="22">
        <f>IF($L1198="","",INDEX(ExpNorm,$L1198))</f>
        <v/>
      </c>
      <c r="C1198" s="22">
        <f>IF($L1198="","",IF(INDEX(ExpTime,$L1198)="","—",LEFT(INDEX(ExpTime,$L1198),2)&amp;":"&amp;RIGHT(INDEX(ExpTime,$L1198),2)))</f>
        <v/>
      </c>
      <c r="D1198" s="22">
        <f>IF($L1198="","",IF(INDEX(ExpBank,$L1198)="","—",INDEX(ExpBank,$L1198)))</f>
        <v/>
      </c>
      <c r="E1198" s="23">
        <f>IF($L1198="","",IF(INDEX(ExpParty,$L1198)="","—",IFERROR(VLOOKUP(INDEX(ExpParty,$L1198),AcctTbl,4,0),INDEX(ExpParty,$L1198))))</f>
        <v/>
      </c>
      <c r="F1198" s="22">
        <f>IF($L1198="","",IF(INDEX(ExpType,$L1198)="","—",INDEX(ExpType,$L1198)))</f>
        <v/>
      </c>
      <c r="G1198" s="24">
        <f>IF($L1198="","",IF(INDEX(ExpDep,$L1198)=0,"",INDEX(ExpDep,$L1198)))</f>
        <v/>
      </c>
      <c r="H1198" s="24">
        <f>IF($L1198="","",IF(INDEX(ExpWit,$L1198)=0,"",INDEX(ExpWit,$L1198)))</f>
        <v/>
      </c>
      <c r="I1198" s="25">
        <f>IF($B1198="","",IF($I1197="",0,$I1197)+IF($H1198="",0,$H1198)-IF($G1198="",0,$G1198))</f>
        <v/>
      </c>
      <c r="J1198" s="23">
        <f>IF($L1198="","",IF(INDEX(ExpNote,$L1198)="","—",INDEX(ExpNote,$L1198)))</f>
        <v/>
      </c>
      <c r="L1198">
        <f>IFERROR(MATCH($C$5&amp;"|"&amp;RIGHT("000000"&amp;1182,6),ExpRankKey,0),"")</f>
        <v/>
      </c>
    </row>
    <row r="1199">
      <c r="A1199" s="16" t="n">
        <v>1183</v>
      </c>
      <c r="B1199" s="17">
        <f>IF($L1199="","",INDEX(ExpNorm,$L1199))</f>
        <v/>
      </c>
      <c r="C1199" s="17">
        <f>IF($L1199="","",IF(INDEX(ExpTime,$L1199)="","—",LEFT(INDEX(ExpTime,$L1199),2)&amp;":"&amp;RIGHT(INDEX(ExpTime,$L1199),2)))</f>
        <v/>
      </c>
      <c r="D1199" s="17">
        <f>IF($L1199="","",IF(INDEX(ExpBank,$L1199)="","—",INDEX(ExpBank,$L1199)))</f>
        <v/>
      </c>
      <c r="E1199" s="18">
        <f>IF($L1199="","",IF(INDEX(ExpParty,$L1199)="","—",IFERROR(VLOOKUP(INDEX(ExpParty,$L1199),AcctTbl,4,0),INDEX(ExpParty,$L1199))))</f>
        <v/>
      </c>
      <c r="F1199" s="17">
        <f>IF($L1199="","",IF(INDEX(ExpType,$L1199)="","—",INDEX(ExpType,$L1199)))</f>
        <v/>
      </c>
      <c r="G1199" s="19">
        <f>IF($L1199="","",IF(INDEX(ExpDep,$L1199)=0,"",INDEX(ExpDep,$L1199)))</f>
        <v/>
      </c>
      <c r="H1199" s="19">
        <f>IF($L1199="","",IF(INDEX(ExpWit,$L1199)=0,"",INDEX(ExpWit,$L1199)))</f>
        <v/>
      </c>
      <c r="I1199" s="20">
        <f>IF($B1199="","",IF($I1198="",0,$I1198)+IF($H1199="",0,$H1199)-IF($G1199="",0,$G1199))</f>
        <v/>
      </c>
      <c r="J1199" s="18">
        <f>IF($L1199="","",IF(INDEX(ExpNote,$L1199)="","—",INDEX(ExpNote,$L1199)))</f>
        <v/>
      </c>
      <c r="L1199">
        <f>IFERROR(MATCH($C$5&amp;"|"&amp;RIGHT("000000"&amp;1183,6),ExpRankKey,0),"")</f>
        <v/>
      </c>
    </row>
    <row r="1200">
      <c r="A1200" s="21" t="n">
        <v>1184</v>
      </c>
      <c r="B1200" s="22">
        <f>IF($L1200="","",INDEX(ExpNorm,$L1200))</f>
        <v/>
      </c>
      <c r="C1200" s="22">
        <f>IF($L1200="","",IF(INDEX(ExpTime,$L1200)="","—",LEFT(INDEX(ExpTime,$L1200),2)&amp;":"&amp;RIGHT(INDEX(ExpTime,$L1200),2)))</f>
        <v/>
      </c>
      <c r="D1200" s="22">
        <f>IF($L1200="","",IF(INDEX(ExpBank,$L1200)="","—",INDEX(ExpBank,$L1200)))</f>
        <v/>
      </c>
      <c r="E1200" s="23">
        <f>IF($L1200="","",IF(INDEX(ExpParty,$L1200)="","—",IFERROR(VLOOKUP(INDEX(ExpParty,$L1200),AcctTbl,4,0),INDEX(ExpParty,$L1200))))</f>
        <v/>
      </c>
      <c r="F1200" s="22">
        <f>IF($L1200="","",IF(INDEX(ExpType,$L1200)="","—",INDEX(ExpType,$L1200)))</f>
        <v/>
      </c>
      <c r="G1200" s="24">
        <f>IF($L1200="","",IF(INDEX(ExpDep,$L1200)=0,"",INDEX(ExpDep,$L1200)))</f>
        <v/>
      </c>
      <c r="H1200" s="24">
        <f>IF($L1200="","",IF(INDEX(ExpWit,$L1200)=0,"",INDEX(ExpWit,$L1200)))</f>
        <v/>
      </c>
      <c r="I1200" s="25">
        <f>IF($B1200="","",IF($I1199="",0,$I1199)+IF($H1200="",0,$H1200)-IF($G1200="",0,$G1200))</f>
        <v/>
      </c>
      <c r="J1200" s="23">
        <f>IF($L1200="","",IF(INDEX(ExpNote,$L1200)="","—",INDEX(ExpNote,$L1200)))</f>
        <v/>
      </c>
      <c r="L1200">
        <f>IFERROR(MATCH($C$5&amp;"|"&amp;RIGHT("000000"&amp;1184,6),ExpRankKey,0),"")</f>
        <v/>
      </c>
    </row>
    <row r="1201">
      <c r="A1201" s="16" t="n">
        <v>1185</v>
      </c>
      <c r="B1201" s="17">
        <f>IF($L1201="","",INDEX(ExpNorm,$L1201))</f>
        <v/>
      </c>
      <c r="C1201" s="17">
        <f>IF($L1201="","",IF(INDEX(ExpTime,$L1201)="","—",LEFT(INDEX(ExpTime,$L1201),2)&amp;":"&amp;RIGHT(INDEX(ExpTime,$L1201),2)))</f>
        <v/>
      </c>
      <c r="D1201" s="17">
        <f>IF($L1201="","",IF(INDEX(ExpBank,$L1201)="","—",INDEX(ExpBank,$L1201)))</f>
        <v/>
      </c>
      <c r="E1201" s="18">
        <f>IF($L1201="","",IF(INDEX(ExpParty,$L1201)="","—",IFERROR(VLOOKUP(INDEX(ExpParty,$L1201),AcctTbl,4,0),INDEX(ExpParty,$L1201))))</f>
        <v/>
      </c>
      <c r="F1201" s="17">
        <f>IF($L1201="","",IF(INDEX(ExpType,$L1201)="","—",INDEX(ExpType,$L1201)))</f>
        <v/>
      </c>
      <c r="G1201" s="19">
        <f>IF($L1201="","",IF(INDEX(ExpDep,$L1201)=0,"",INDEX(ExpDep,$L1201)))</f>
        <v/>
      </c>
      <c r="H1201" s="19">
        <f>IF($L1201="","",IF(INDEX(ExpWit,$L1201)=0,"",INDEX(ExpWit,$L1201)))</f>
        <v/>
      </c>
      <c r="I1201" s="20">
        <f>IF($B1201="","",IF($I1200="",0,$I1200)+IF($H1201="",0,$H1201)-IF($G1201="",0,$G1201))</f>
        <v/>
      </c>
      <c r="J1201" s="18">
        <f>IF($L1201="","",IF(INDEX(ExpNote,$L1201)="","—",INDEX(ExpNote,$L1201)))</f>
        <v/>
      </c>
      <c r="L1201">
        <f>IFERROR(MATCH($C$5&amp;"|"&amp;RIGHT("000000"&amp;1185,6),ExpRankKey,0),"")</f>
        <v/>
      </c>
    </row>
    <row r="1202">
      <c r="A1202" s="21" t="n">
        <v>1186</v>
      </c>
      <c r="B1202" s="22">
        <f>IF($L1202="","",INDEX(ExpNorm,$L1202))</f>
        <v/>
      </c>
      <c r="C1202" s="22">
        <f>IF($L1202="","",IF(INDEX(ExpTime,$L1202)="","—",LEFT(INDEX(ExpTime,$L1202),2)&amp;":"&amp;RIGHT(INDEX(ExpTime,$L1202),2)))</f>
        <v/>
      </c>
      <c r="D1202" s="22">
        <f>IF($L1202="","",IF(INDEX(ExpBank,$L1202)="","—",INDEX(ExpBank,$L1202)))</f>
        <v/>
      </c>
      <c r="E1202" s="23">
        <f>IF($L1202="","",IF(INDEX(ExpParty,$L1202)="","—",IFERROR(VLOOKUP(INDEX(ExpParty,$L1202),AcctTbl,4,0),INDEX(ExpParty,$L1202))))</f>
        <v/>
      </c>
      <c r="F1202" s="22">
        <f>IF($L1202="","",IF(INDEX(ExpType,$L1202)="","—",INDEX(ExpType,$L1202)))</f>
        <v/>
      </c>
      <c r="G1202" s="24">
        <f>IF($L1202="","",IF(INDEX(ExpDep,$L1202)=0,"",INDEX(ExpDep,$L1202)))</f>
        <v/>
      </c>
      <c r="H1202" s="24">
        <f>IF($L1202="","",IF(INDEX(ExpWit,$L1202)=0,"",INDEX(ExpWit,$L1202)))</f>
        <v/>
      </c>
      <c r="I1202" s="25">
        <f>IF($B1202="","",IF($I1201="",0,$I1201)+IF($H1202="",0,$H1202)-IF($G1202="",0,$G1202))</f>
        <v/>
      </c>
      <c r="J1202" s="23">
        <f>IF($L1202="","",IF(INDEX(ExpNote,$L1202)="","—",INDEX(ExpNote,$L1202)))</f>
        <v/>
      </c>
      <c r="L1202">
        <f>IFERROR(MATCH($C$5&amp;"|"&amp;RIGHT("000000"&amp;1186,6),ExpRankKey,0),"")</f>
        <v/>
      </c>
    </row>
    <row r="1203">
      <c r="A1203" s="16" t="n">
        <v>1187</v>
      </c>
      <c r="B1203" s="17">
        <f>IF($L1203="","",INDEX(ExpNorm,$L1203))</f>
        <v/>
      </c>
      <c r="C1203" s="17">
        <f>IF($L1203="","",IF(INDEX(ExpTime,$L1203)="","—",LEFT(INDEX(ExpTime,$L1203),2)&amp;":"&amp;RIGHT(INDEX(ExpTime,$L1203),2)))</f>
        <v/>
      </c>
      <c r="D1203" s="17">
        <f>IF($L1203="","",IF(INDEX(ExpBank,$L1203)="","—",INDEX(ExpBank,$L1203)))</f>
        <v/>
      </c>
      <c r="E1203" s="18">
        <f>IF($L1203="","",IF(INDEX(ExpParty,$L1203)="","—",IFERROR(VLOOKUP(INDEX(ExpParty,$L1203),AcctTbl,4,0),INDEX(ExpParty,$L1203))))</f>
        <v/>
      </c>
      <c r="F1203" s="17">
        <f>IF($L1203="","",IF(INDEX(ExpType,$L1203)="","—",INDEX(ExpType,$L1203)))</f>
        <v/>
      </c>
      <c r="G1203" s="19">
        <f>IF($L1203="","",IF(INDEX(ExpDep,$L1203)=0,"",INDEX(ExpDep,$L1203)))</f>
        <v/>
      </c>
      <c r="H1203" s="19">
        <f>IF($L1203="","",IF(INDEX(ExpWit,$L1203)=0,"",INDEX(ExpWit,$L1203)))</f>
        <v/>
      </c>
      <c r="I1203" s="20">
        <f>IF($B1203="","",IF($I1202="",0,$I1202)+IF($H1203="",0,$H1203)-IF($G1203="",0,$G1203))</f>
        <v/>
      </c>
      <c r="J1203" s="18">
        <f>IF($L1203="","",IF(INDEX(ExpNote,$L1203)="","—",INDEX(ExpNote,$L1203)))</f>
        <v/>
      </c>
      <c r="L1203">
        <f>IFERROR(MATCH($C$5&amp;"|"&amp;RIGHT("000000"&amp;1187,6),ExpRankKey,0),"")</f>
        <v/>
      </c>
    </row>
    <row r="1204">
      <c r="A1204" s="21" t="n">
        <v>1188</v>
      </c>
      <c r="B1204" s="22">
        <f>IF($L1204="","",INDEX(ExpNorm,$L1204))</f>
        <v/>
      </c>
      <c r="C1204" s="22">
        <f>IF($L1204="","",IF(INDEX(ExpTime,$L1204)="","—",LEFT(INDEX(ExpTime,$L1204),2)&amp;":"&amp;RIGHT(INDEX(ExpTime,$L1204),2)))</f>
        <v/>
      </c>
      <c r="D1204" s="22">
        <f>IF($L1204="","",IF(INDEX(ExpBank,$L1204)="","—",INDEX(ExpBank,$L1204)))</f>
        <v/>
      </c>
      <c r="E1204" s="23">
        <f>IF($L1204="","",IF(INDEX(ExpParty,$L1204)="","—",IFERROR(VLOOKUP(INDEX(ExpParty,$L1204),AcctTbl,4,0),INDEX(ExpParty,$L1204))))</f>
        <v/>
      </c>
      <c r="F1204" s="22">
        <f>IF($L1204="","",IF(INDEX(ExpType,$L1204)="","—",INDEX(ExpType,$L1204)))</f>
        <v/>
      </c>
      <c r="G1204" s="24">
        <f>IF($L1204="","",IF(INDEX(ExpDep,$L1204)=0,"",INDEX(ExpDep,$L1204)))</f>
        <v/>
      </c>
      <c r="H1204" s="24">
        <f>IF($L1204="","",IF(INDEX(ExpWit,$L1204)=0,"",INDEX(ExpWit,$L1204)))</f>
        <v/>
      </c>
      <c r="I1204" s="25">
        <f>IF($B1204="","",IF($I1203="",0,$I1203)+IF($H1204="",0,$H1204)-IF($G1204="",0,$G1204))</f>
        <v/>
      </c>
      <c r="J1204" s="23">
        <f>IF($L1204="","",IF(INDEX(ExpNote,$L1204)="","—",INDEX(ExpNote,$L1204)))</f>
        <v/>
      </c>
      <c r="L1204">
        <f>IFERROR(MATCH($C$5&amp;"|"&amp;RIGHT("000000"&amp;1188,6),ExpRankKey,0),"")</f>
        <v/>
      </c>
    </row>
    <row r="1205">
      <c r="A1205" s="16" t="n">
        <v>1189</v>
      </c>
      <c r="B1205" s="17">
        <f>IF($L1205="","",INDEX(ExpNorm,$L1205))</f>
        <v/>
      </c>
      <c r="C1205" s="17">
        <f>IF($L1205="","",IF(INDEX(ExpTime,$L1205)="","—",LEFT(INDEX(ExpTime,$L1205),2)&amp;":"&amp;RIGHT(INDEX(ExpTime,$L1205),2)))</f>
        <v/>
      </c>
      <c r="D1205" s="17">
        <f>IF($L1205="","",IF(INDEX(ExpBank,$L1205)="","—",INDEX(ExpBank,$L1205)))</f>
        <v/>
      </c>
      <c r="E1205" s="18">
        <f>IF($L1205="","",IF(INDEX(ExpParty,$L1205)="","—",IFERROR(VLOOKUP(INDEX(ExpParty,$L1205),AcctTbl,4,0),INDEX(ExpParty,$L1205))))</f>
        <v/>
      </c>
      <c r="F1205" s="17">
        <f>IF($L1205="","",IF(INDEX(ExpType,$L1205)="","—",INDEX(ExpType,$L1205)))</f>
        <v/>
      </c>
      <c r="G1205" s="19">
        <f>IF($L1205="","",IF(INDEX(ExpDep,$L1205)=0,"",INDEX(ExpDep,$L1205)))</f>
        <v/>
      </c>
      <c r="H1205" s="19">
        <f>IF($L1205="","",IF(INDEX(ExpWit,$L1205)=0,"",INDEX(ExpWit,$L1205)))</f>
        <v/>
      </c>
      <c r="I1205" s="20">
        <f>IF($B1205="","",IF($I1204="",0,$I1204)+IF($H1205="",0,$H1205)-IF($G1205="",0,$G1205))</f>
        <v/>
      </c>
      <c r="J1205" s="18">
        <f>IF($L1205="","",IF(INDEX(ExpNote,$L1205)="","—",INDEX(ExpNote,$L1205)))</f>
        <v/>
      </c>
      <c r="L1205">
        <f>IFERROR(MATCH($C$5&amp;"|"&amp;RIGHT("000000"&amp;1189,6),ExpRankKey,0),"")</f>
        <v/>
      </c>
    </row>
    <row r="1206">
      <c r="A1206" s="21" t="n">
        <v>1190</v>
      </c>
      <c r="B1206" s="22">
        <f>IF($L1206="","",INDEX(ExpNorm,$L1206))</f>
        <v/>
      </c>
      <c r="C1206" s="22">
        <f>IF($L1206="","",IF(INDEX(ExpTime,$L1206)="","—",LEFT(INDEX(ExpTime,$L1206),2)&amp;":"&amp;RIGHT(INDEX(ExpTime,$L1206),2)))</f>
        <v/>
      </c>
      <c r="D1206" s="22">
        <f>IF($L1206="","",IF(INDEX(ExpBank,$L1206)="","—",INDEX(ExpBank,$L1206)))</f>
        <v/>
      </c>
      <c r="E1206" s="23">
        <f>IF($L1206="","",IF(INDEX(ExpParty,$L1206)="","—",IFERROR(VLOOKUP(INDEX(ExpParty,$L1206),AcctTbl,4,0),INDEX(ExpParty,$L1206))))</f>
        <v/>
      </c>
      <c r="F1206" s="22">
        <f>IF($L1206="","",IF(INDEX(ExpType,$L1206)="","—",INDEX(ExpType,$L1206)))</f>
        <v/>
      </c>
      <c r="G1206" s="24">
        <f>IF($L1206="","",IF(INDEX(ExpDep,$L1206)=0,"",INDEX(ExpDep,$L1206)))</f>
        <v/>
      </c>
      <c r="H1206" s="24">
        <f>IF($L1206="","",IF(INDEX(ExpWit,$L1206)=0,"",INDEX(ExpWit,$L1206)))</f>
        <v/>
      </c>
      <c r="I1206" s="25">
        <f>IF($B1206="","",IF($I1205="",0,$I1205)+IF($H1206="",0,$H1206)-IF($G1206="",0,$G1206))</f>
        <v/>
      </c>
      <c r="J1206" s="23">
        <f>IF($L1206="","",IF(INDEX(ExpNote,$L1206)="","—",INDEX(ExpNote,$L1206)))</f>
        <v/>
      </c>
      <c r="L1206">
        <f>IFERROR(MATCH($C$5&amp;"|"&amp;RIGHT("000000"&amp;1190,6),ExpRankKey,0),"")</f>
        <v/>
      </c>
    </row>
    <row r="1207">
      <c r="A1207" s="16" t="n">
        <v>1191</v>
      </c>
      <c r="B1207" s="17">
        <f>IF($L1207="","",INDEX(ExpNorm,$L1207))</f>
        <v/>
      </c>
      <c r="C1207" s="17">
        <f>IF($L1207="","",IF(INDEX(ExpTime,$L1207)="","—",LEFT(INDEX(ExpTime,$L1207),2)&amp;":"&amp;RIGHT(INDEX(ExpTime,$L1207),2)))</f>
        <v/>
      </c>
      <c r="D1207" s="17">
        <f>IF($L1207="","",IF(INDEX(ExpBank,$L1207)="","—",INDEX(ExpBank,$L1207)))</f>
        <v/>
      </c>
      <c r="E1207" s="18">
        <f>IF($L1207="","",IF(INDEX(ExpParty,$L1207)="","—",IFERROR(VLOOKUP(INDEX(ExpParty,$L1207),AcctTbl,4,0),INDEX(ExpParty,$L1207))))</f>
        <v/>
      </c>
      <c r="F1207" s="17">
        <f>IF($L1207="","",IF(INDEX(ExpType,$L1207)="","—",INDEX(ExpType,$L1207)))</f>
        <v/>
      </c>
      <c r="G1207" s="19">
        <f>IF($L1207="","",IF(INDEX(ExpDep,$L1207)=0,"",INDEX(ExpDep,$L1207)))</f>
        <v/>
      </c>
      <c r="H1207" s="19">
        <f>IF($L1207="","",IF(INDEX(ExpWit,$L1207)=0,"",INDEX(ExpWit,$L1207)))</f>
        <v/>
      </c>
      <c r="I1207" s="20">
        <f>IF($B1207="","",IF($I1206="",0,$I1206)+IF($H1207="",0,$H1207)-IF($G1207="",0,$G1207))</f>
        <v/>
      </c>
      <c r="J1207" s="18">
        <f>IF($L1207="","",IF(INDEX(ExpNote,$L1207)="","—",INDEX(ExpNote,$L1207)))</f>
        <v/>
      </c>
      <c r="L1207">
        <f>IFERROR(MATCH($C$5&amp;"|"&amp;RIGHT("000000"&amp;1191,6),ExpRankKey,0),"")</f>
        <v/>
      </c>
    </row>
    <row r="1208">
      <c r="A1208" s="21" t="n">
        <v>1192</v>
      </c>
      <c r="B1208" s="22">
        <f>IF($L1208="","",INDEX(ExpNorm,$L1208))</f>
        <v/>
      </c>
      <c r="C1208" s="22">
        <f>IF($L1208="","",IF(INDEX(ExpTime,$L1208)="","—",LEFT(INDEX(ExpTime,$L1208),2)&amp;":"&amp;RIGHT(INDEX(ExpTime,$L1208),2)))</f>
        <v/>
      </c>
      <c r="D1208" s="22">
        <f>IF($L1208="","",IF(INDEX(ExpBank,$L1208)="","—",INDEX(ExpBank,$L1208)))</f>
        <v/>
      </c>
      <c r="E1208" s="23">
        <f>IF($L1208="","",IF(INDEX(ExpParty,$L1208)="","—",IFERROR(VLOOKUP(INDEX(ExpParty,$L1208),AcctTbl,4,0),INDEX(ExpParty,$L1208))))</f>
        <v/>
      </c>
      <c r="F1208" s="22">
        <f>IF($L1208="","",IF(INDEX(ExpType,$L1208)="","—",INDEX(ExpType,$L1208)))</f>
        <v/>
      </c>
      <c r="G1208" s="24">
        <f>IF($L1208="","",IF(INDEX(ExpDep,$L1208)=0,"",INDEX(ExpDep,$L1208)))</f>
        <v/>
      </c>
      <c r="H1208" s="24">
        <f>IF($L1208="","",IF(INDEX(ExpWit,$L1208)=0,"",INDEX(ExpWit,$L1208)))</f>
        <v/>
      </c>
      <c r="I1208" s="25">
        <f>IF($B1208="","",IF($I1207="",0,$I1207)+IF($H1208="",0,$H1208)-IF($G1208="",0,$G1208))</f>
        <v/>
      </c>
      <c r="J1208" s="23">
        <f>IF($L1208="","",IF(INDEX(ExpNote,$L1208)="","—",INDEX(ExpNote,$L1208)))</f>
        <v/>
      </c>
      <c r="L1208">
        <f>IFERROR(MATCH($C$5&amp;"|"&amp;RIGHT("000000"&amp;1192,6),ExpRankKey,0),"")</f>
        <v/>
      </c>
    </row>
    <row r="1209">
      <c r="A1209" s="16" t="n">
        <v>1193</v>
      </c>
      <c r="B1209" s="17">
        <f>IF($L1209="","",INDEX(ExpNorm,$L1209))</f>
        <v/>
      </c>
      <c r="C1209" s="17">
        <f>IF($L1209="","",IF(INDEX(ExpTime,$L1209)="","—",LEFT(INDEX(ExpTime,$L1209),2)&amp;":"&amp;RIGHT(INDEX(ExpTime,$L1209),2)))</f>
        <v/>
      </c>
      <c r="D1209" s="17">
        <f>IF($L1209="","",IF(INDEX(ExpBank,$L1209)="","—",INDEX(ExpBank,$L1209)))</f>
        <v/>
      </c>
      <c r="E1209" s="18">
        <f>IF($L1209="","",IF(INDEX(ExpParty,$L1209)="","—",IFERROR(VLOOKUP(INDEX(ExpParty,$L1209),AcctTbl,4,0),INDEX(ExpParty,$L1209))))</f>
        <v/>
      </c>
      <c r="F1209" s="17">
        <f>IF($L1209="","",IF(INDEX(ExpType,$L1209)="","—",INDEX(ExpType,$L1209)))</f>
        <v/>
      </c>
      <c r="G1209" s="19">
        <f>IF($L1209="","",IF(INDEX(ExpDep,$L1209)=0,"",INDEX(ExpDep,$L1209)))</f>
        <v/>
      </c>
      <c r="H1209" s="19">
        <f>IF($L1209="","",IF(INDEX(ExpWit,$L1209)=0,"",INDEX(ExpWit,$L1209)))</f>
        <v/>
      </c>
      <c r="I1209" s="20">
        <f>IF($B1209="","",IF($I1208="",0,$I1208)+IF($H1209="",0,$H1209)-IF($G1209="",0,$G1209))</f>
        <v/>
      </c>
      <c r="J1209" s="18">
        <f>IF($L1209="","",IF(INDEX(ExpNote,$L1209)="","—",INDEX(ExpNote,$L1209)))</f>
        <v/>
      </c>
      <c r="L1209">
        <f>IFERROR(MATCH($C$5&amp;"|"&amp;RIGHT("000000"&amp;1193,6),ExpRankKey,0),"")</f>
        <v/>
      </c>
    </row>
    <row r="1210">
      <c r="A1210" s="21" t="n">
        <v>1194</v>
      </c>
      <c r="B1210" s="22">
        <f>IF($L1210="","",INDEX(ExpNorm,$L1210))</f>
        <v/>
      </c>
      <c r="C1210" s="22">
        <f>IF($L1210="","",IF(INDEX(ExpTime,$L1210)="","—",LEFT(INDEX(ExpTime,$L1210),2)&amp;":"&amp;RIGHT(INDEX(ExpTime,$L1210),2)))</f>
        <v/>
      </c>
      <c r="D1210" s="22">
        <f>IF($L1210="","",IF(INDEX(ExpBank,$L1210)="","—",INDEX(ExpBank,$L1210)))</f>
        <v/>
      </c>
      <c r="E1210" s="23">
        <f>IF($L1210="","",IF(INDEX(ExpParty,$L1210)="","—",IFERROR(VLOOKUP(INDEX(ExpParty,$L1210),AcctTbl,4,0),INDEX(ExpParty,$L1210))))</f>
        <v/>
      </c>
      <c r="F1210" s="22">
        <f>IF($L1210="","",IF(INDEX(ExpType,$L1210)="","—",INDEX(ExpType,$L1210)))</f>
        <v/>
      </c>
      <c r="G1210" s="24">
        <f>IF($L1210="","",IF(INDEX(ExpDep,$L1210)=0,"",INDEX(ExpDep,$L1210)))</f>
        <v/>
      </c>
      <c r="H1210" s="24">
        <f>IF($L1210="","",IF(INDEX(ExpWit,$L1210)=0,"",INDEX(ExpWit,$L1210)))</f>
        <v/>
      </c>
      <c r="I1210" s="25">
        <f>IF($B1210="","",IF($I1209="",0,$I1209)+IF($H1210="",0,$H1210)-IF($G1210="",0,$G1210))</f>
        <v/>
      </c>
      <c r="J1210" s="23">
        <f>IF($L1210="","",IF(INDEX(ExpNote,$L1210)="","—",INDEX(ExpNote,$L1210)))</f>
        <v/>
      </c>
      <c r="L1210">
        <f>IFERROR(MATCH($C$5&amp;"|"&amp;RIGHT("000000"&amp;1194,6),ExpRankKey,0),"")</f>
        <v/>
      </c>
    </row>
    <row r="1211">
      <c r="A1211" s="16" t="n">
        <v>1195</v>
      </c>
      <c r="B1211" s="17">
        <f>IF($L1211="","",INDEX(ExpNorm,$L1211))</f>
        <v/>
      </c>
      <c r="C1211" s="17">
        <f>IF($L1211="","",IF(INDEX(ExpTime,$L1211)="","—",LEFT(INDEX(ExpTime,$L1211),2)&amp;":"&amp;RIGHT(INDEX(ExpTime,$L1211),2)))</f>
        <v/>
      </c>
      <c r="D1211" s="17">
        <f>IF($L1211="","",IF(INDEX(ExpBank,$L1211)="","—",INDEX(ExpBank,$L1211)))</f>
        <v/>
      </c>
      <c r="E1211" s="18">
        <f>IF($L1211="","",IF(INDEX(ExpParty,$L1211)="","—",IFERROR(VLOOKUP(INDEX(ExpParty,$L1211),AcctTbl,4,0),INDEX(ExpParty,$L1211))))</f>
        <v/>
      </c>
      <c r="F1211" s="17">
        <f>IF($L1211="","",IF(INDEX(ExpType,$L1211)="","—",INDEX(ExpType,$L1211)))</f>
        <v/>
      </c>
      <c r="G1211" s="19">
        <f>IF($L1211="","",IF(INDEX(ExpDep,$L1211)=0,"",INDEX(ExpDep,$L1211)))</f>
        <v/>
      </c>
      <c r="H1211" s="19">
        <f>IF($L1211="","",IF(INDEX(ExpWit,$L1211)=0,"",INDEX(ExpWit,$L1211)))</f>
        <v/>
      </c>
      <c r="I1211" s="20">
        <f>IF($B1211="","",IF($I1210="",0,$I1210)+IF($H1211="",0,$H1211)-IF($G1211="",0,$G1211))</f>
        <v/>
      </c>
      <c r="J1211" s="18">
        <f>IF($L1211="","",IF(INDEX(ExpNote,$L1211)="","—",INDEX(ExpNote,$L1211)))</f>
        <v/>
      </c>
      <c r="L1211">
        <f>IFERROR(MATCH($C$5&amp;"|"&amp;RIGHT("000000"&amp;1195,6),ExpRankKey,0),"")</f>
        <v/>
      </c>
    </row>
    <row r="1212">
      <c r="A1212" s="21" t="n">
        <v>1196</v>
      </c>
      <c r="B1212" s="22">
        <f>IF($L1212="","",INDEX(ExpNorm,$L1212))</f>
        <v/>
      </c>
      <c r="C1212" s="22">
        <f>IF($L1212="","",IF(INDEX(ExpTime,$L1212)="","—",LEFT(INDEX(ExpTime,$L1212),2)&amp;":"&amp;RIGHT(INDEX(ExpTime,$L1212),2)))</f>
        <v/>
      </c>
      <c r="D1212" s="22">
        <f>IF($L1212="","",IF(INDEX(ExpBank,$L1212)="","—",INDEX(ExpBank,$L1212)))</f>
        <v/>
      </c>
      <c r="E1212" s="23">
        <f>IF($L1212="","",IF(INDEX(ExpParty,$L1212)="","—",IFERROR(VLOOKUP(INDEX(ExpParty,$L1212),AcctTbl,4,0),INDEX(ExpParty,$L1212))))</f>
        <v/>
      </c>
      <c r="F1212" s="22">
        <f>IF($L1212="","",IF(INDEX(ExpType,$L1212)="","—",INDEX(ExpType,$L1212)))</f>
        <v/>
      </c>
      <c r="G1212" s="24">
        <f>IF($L1212="","",IF(INDEX(ExpDep,$L1212)=0,"",INDEX(ExpDep,$L1212)))</f>
        <v/>
      </c>
      <c r="H1212" s="24">
        <f>IF($L1212="","",IF(INDEX(ExpWit,$L1212)=0,"",INDEX(ExpWit,$L1212)))</f>
        <v/>
      </c>
      <c r="I1212" s="25">
        <f>IF($B1212="","",IF($I1211="",0,$I1211)+IF($H1212="",0,$H1212)-IF($G1212="",0,$G1212))</f>
        <v/>
      </c>
      <c r="J1212" s="23">
        <f>IF($L1212="","",IF(INDEX(ExpNote,$L1212)="","—",INDEX(ExpNote,$L1212)))</f>
        <v/>
      </c>
      <c r="L1212">
        <f>IFERROR(MATCH($C$5&amp;"|"&amp;RIGHT("000000"&amp;1196,6),ExpRankKey,0),"")</f>
        <v/>
      </c>
    </row>
    <row r="1213">
      <c r="A1213" s="16" t="n">
        <v>1197</v>
      </c>
      <c r="B1213" s="17">
        <f>IF($L1213="","",INDEX(ExpNorm,$L1213))</f>
        <v/>
      </c>
      <c r="C1213" s="17">
        <f>IF($L1213="","",IF(INDEX(ExpTime,$L1213)="","—",LEFT(INDEX(ExpTime,$L1213),2)&amp;":"&amp;RIGHT(INDEX(ExpTime,$L1213),2)))</f>
        <v/>
      </c>
      <c r="D1213" s="17">
        <f>IF($L1213="","",IF(INDEX(ExpBank,$L1213)="","—",INDEX(ExpBank,$L1213)))</f>
        <v/>
      </c>
      <c r="E1213" s="18">
        <f>IF($L1213="","",IF(INDEX(ExpParty,$L1213)="","—",IFERROR(VLOOKUP(INDEX(ExpParty,$L1213),AcctTbl,4,0),INDEX(ExpParty,$L1213))))</f>
        <v/>
      </c>
      <c r="F1213" s="17">
        <f>IF($L1213="","",IF(INDEX(ExpType,$L1213)="","—",INDEX(ExpType,$L1213)))</f>
        <v/>
      </c>
      <c r="G1213" s="19">
        <f>IF($L1213="","",IF(INDEX(ExpDep,$L1213)=0,"",INDEX(ExpDep,$L1213)))</f>
        <v/>
      </c>
      <c r="H1213" s="19">
        <f>IF($L1213="","",IF(INDEX(ExpWit,$L1213)=0,"",INDEX(ExpWit,$L1213)))</f>
        <v/>
      </c>
      <c r="I1213" s="20">
        <f>IF($B1213="","",IF($I1212="",0,$I1212)+IF($H1213="",0,$H1213)-IF($G1213="",0,$G1213))</f>
        <v/>
      </c>
      <c r="J1213" s="18">
        <f>IF($L1213="","",IF(INDEX(ExpNote,$L1213)="","—",INDEX(ExpNote,$L1213)))</f>
        <v/>
      </c>
      <c r="L1213">
        <f>IFERROR(MATCH($C$5&amp;"|"&amp;RIGHT("000000"&amp;1197,6),ExpRankKey,0),"")</f>
        <v/>
      </c>
    </row>
    <row r="1214">
      <c r="A1214" s="21" t="n">
        <v>1198</v>
      </c>
      <c r="B1214" s="22">
        <f>IF($L1214="","",INDEX(ExpNorm,$L1214))</f>
        <v/>
      </c>
      <c r="C1214" s="22">
        <f>IF($L1214="","",IF(INDEX(ExpTime,$L1214)="","—",LEFT(INDEX(ExpTime,$L1214),2)&amp;":"&amp;RIGHT(INDEX(ExpTime,$L1214),2)))</f>
        <v/>
      </c>
      <c r="D1214" s="22">
        <f>IF($L1214="","",IF(INDEX(ExpBank,$L1214)="","—",INDEX(ExpBank,$L1214)))</f>
        <v/>
      </c>
      <c r="E1214" s="23">
        <f>IF($L1214="","",IF(INDEX(ExpParty,$L1214)="","—",IFERROR(VLOOKUP(INDEX(ExpParty,$L1214),AcctTbl,4,0),INDEX(ExpParty,$L1214))))</f>
        <v/>
      </c>
      <c r="F1214" s="22">
        <f>IF($L1214="","",IF(INDEX(ExpType,$L1214)="","—",INDEX(ExpType,$L1214)))</f>
        <v/>
      </c>
      <c r="G1214" s="24">
        <f>IF($L1214="","",IF(INDEX(ExpDep,$L1214)=0,"",INDEX(ExpDep,$L1214)))</f>
        <v/>
      </c>
      <c r="H1214" s="24">
        <f>IF($L1214="","",IF(INDEX(ExpWit,$L1214)=0,"",INDEX(ExpWit,$L1214)))</f>
        <v/>
      </c>
      <c r="I1214" s="25">
        <f>IF($B1214="","",IF($I1213="",0,$I1213)+IF($H1214="",0,$H1214)-IF($G1214="",0,$G1214))</f>
        <v/>
      </c>
      <c r="J1214" s="23">
        <f>IF($L1214="","",IF(INDEX(ExpNote,$L1214)="","—",INDEX(ExpNote,$L1214)))</f>
        <v/>
      </c>
      <c r="L1214">
        <f>IFERROR(MATCH($C$5&amp;"|"&amp;RIGHT("000000"&amp;1198,6),ExpRankKey,0),"")</f>
        <v/>
      </c>
    </row>
    <row r="1215">
      <c r="A1215" s="16" t="n">
        <v>1199</v>
      </c>
      <c r="B1215" s="17">
        <f>IF($L1215="","",INDEX(ExpNorm,$L1215))</f>
        <v/>
      </c>
      <c r="C1215" s="17">
        <f>IF($L1215="","",IF(INDEX(ExpTime,$L1215)="","—",LEFT(INDEX(ExpTime,$L1215),2)&amp;":"&amp;RIGHT(INDEX(ExpTime,$L1215),2)))</f>
        <v/>
      </c>
      <c r="D1215" s="17">
        <f>IF($L1215="","",IF(INDEX(ExpBank,$L1215)="","—",INDEX(ExpBank,$L1215)))</f>
        <v/>
      </c>
      <c r="E1215" s="18">
        <f>IF($L1215="","",IF(INDEX(ExpParty,$L1215)="","—",IFERROR(VLOOKUP(INDEX(ExpParty,$L1215),AcctTbl,4,0),INDEX(ExpParty,$L1215))))</f>
        <v/>
      </c>
      <c r="F1215" s="17">
        <f>IF($L1215="","",IF(INDEX(ExpType,$L1215)="","—",INDEX(ExpType,$L1215)))</f>
        <v/>
      </c>
      <c r="G1215" s="19">
        <f>IF($L1215="","",IF(INDEX(ExpDep,$L1215)=0,"",INDEX(ExpDep,$L1215)))</f>
        <v/>
      </c>
      <c r="H1215" s="19">
        <f>IF($L1215="","",IF(INDEX(ExpWit,$L1215)=0,"",INDEX(ExpWit,$L1215)))</f>
        <v/>
      </c>
      <c r="I1215" s="20">
        <f>IF($B1215="","",IF($I1214="",0,$I1214)+IF($H1215="",0,$H1215)-IF($G1215="",0,$G1215))</f>
        <v/>
      </c>
      <c r="J1215" s="18">
        <f>IF($L1215="","",IF(INDEX(ExpNote,$L1215)="","—",INDEX(ExpNote,$L1215)))</f>
        <v/>
      </c>
      <c r="L1215">
        <f>IFERROR(MATCH($C$5&amp;"|"&amp;RIGHT("000000"&amp;1199,6),ExpRankKey,0),"")</f>
        <v/>
      </c>
    </row>
    <row r="1216">
      <c r="A1216" s="21" t="n">
        <v>1200</v>
      </c>
      <c r="B1216" s="22">
        <f>IF($L1216="","",INDEX(ExpNorm,$L1216))</f>
        <v/>
      </c>
      <c r="C1216" s="22">
        <f>IF($L1216="","",IF(INDEX(ExpTime,$L1216)="","—",LEFT(INDEX(ExpTime,$L1216),2)&amp;":"&amp;RIGHT(INDEX(ExpTime,$L1216),2)))</f>
        <v/>
      </c>
      <c r="D1216" s="22">
        <f>IF($L1216="","",IF(INDEX(ExpBank,$L1216)="","—",INDEX(ExpBank,$L1216)))</f>
        <v/>
      </c>
      <c r="E1216" s="23">
        <f>IF($L1216="","",IF(INDEX(ExpParty,$L1216)="","—",IFERROR(VLOOKUP(INDEX(ExpParty,$L1216),AcctTbl,4,0),INDEX(ExpParty,$L1216))))</f>
        <v/>
      </c>
      <c r="F1216" s="22">
        <f>IF($L1216="","",IF(INDEX(ExpType,$L1216)="","—",INDEX(ExpType,$L1216)))</f>
        <v/>
      </c>
      <c r="G1216" s="24">
        <f>IF($L1216="","",IF(INDEX(ExpDep,$L1216)=0,"",INDEX(ExpDep,$L1216)))</f>
        <v/>
      </c>
      <c r="H1216" s="24">
        <f>IF($L1216="","",IF(INDEX(ExpWit,$L1216)=0,"",INDEX(ExpWit,$L1216)))</f>
        <v/>
      </c>
      <c r="I1216" s="25">
        <f>IF($B1216="","",IF($I1215="",0,$I1215)+IF($H1216="",0,$H1216)-IF($G1216="",0,$G1216))</f>
        <v/>
      </c>
      <c r="J1216" s="23">
        <f>IF($L1216="","",IF(INDEX(ExpNote,$L1216)="","—",INDEX(ExpNote,$L1216)))</f>
        <v/>
      </c>
      <c r="L1216">
        <f>IFERROR(MATCH($C$5&amp;"|"&amp;RIGHT("000000"&amp;1200,6),ExpRankKey,0),"")</f>
        <v/>
      </c>
    </row>
    <row r="1217">
      <c r="A1217" s="16" t="n">
        <v>1201</v>
      </c>
      <c r="B1217" s="17">
        <f>IF($L1217="","",INDEX(ExpNorm,$L1217))</f>
        <v/>
      </c>
      <c r="C1217" s="17">
        <f>IF($L1217="","",IF(INDEX(ExpTime,$L1217)="","—",LEFT(INDEX(ExpTime,$L1217),2)&amp;":"&amp;RIGHT(INDEX(ExpTime,$L1217),2)))</f>
        <v/>
      </c>
      <c r="D1217" s="17">
        <f>IF($L1217="","",IF(INDEX(ExpBank,$L1217)="","—",INDEX(ExpBank,$L1217)))</f>
        <v/>
      </c>
      <c r="E1217" s="18">
        <f>IF($L1217="","",IF(INDEX(ExpParty,$L1217)="","—",IFERROR(VLOOKUP(INDEX(ExpParty,$L1217),AcctTbl,4,0),INDEX(ExpParty,$L1217))))</f>
        <v/>
      </c>
      <c r="F1217" s="17">
        <f>IF($L1217="","",IF(INDEX(ExpType,$L1217)="","—",INDEX(ExpType,$L1217)))</f>
        <v/>
      </c>
      <c r="G1217" s="19">
        <f>IF($L1217="","",IF(INDEX(ExpDep,$L1217)=0,"",INDEX(ExpDep,$L1217)))</f>
        <v/>
      </c>
      <c r="H1217" s="19">
        <f>IF($L1217="","",IF(INDEX(ExpWit,$L1217)=0,"",INDEX(ExpWit,$L1217)))</f>
        <v/>
      </c>
      <c r="I1217" s="20">
        <f>IF($B1217="","",IF($I1216="",0,$I1216)+IF($H1217="",0,$H1217)-IF($G1217="",0,$G1217))</f>
        <v/>
      </c>
      <c r="J1217" s="18">
        <f>IF($L1217="","",IF(INDEX(ExpNote,$L1217)="","—",INDEX(ExpNote,$L1217)))</f>
        <v/>
      </c>
      <c r="L1217">
        <f>IFERROR(MATCH($C$5&amp;"|"&amp;RIGHT("000000"&amp;1201,6),ExpRankKey,0),"")</f>
        <v/>
      </c>
    </row>
    <row r="1218">
      <c r="A1218" s="21" t="n">
        <v>1202</v>
      </c>
      <c r="B1218" s="22">
        <f>IF($L1218="","",INDEX(ExpNorm,$L1218))</f>
        <v/>
      </c>
      <c r="C1218" s="22">
        <f>IF($L1218="","",IF(INDEX(ExpTime,$L1218)="","—",LEFT(INDEX(ExpTime,$L1218),2)&amp;":"&amp;RIGHT(INDEX(ExpTime,$L1218),2)))</f>
        <v/>
      </c>
      <c r="D1218" s="22">
        <f>IF($L1218="","",IF(INDEX(ExpBank,$L1218)="","—",INDEX(ExpBank,$L1218)))</f>
        <v/>
      </c>
      <c r="E1218" s="23">
        <f>IF($L1218="","",IF(INDEX(ExpParty,$L1218)="","—",IFERROR(VLOOKUP(INDEX(ExpParty,$L1218),AcctTbl,4,0),INDEX(ExpParty,$L1218))))</f>
        <v/>
      </c>
      <c r="F1218" s="22">
        <f>IF($L1218="","",IF(INDEX(ExpType,$L1218)="","—",INDEX(ExpType,$L1218)))</f>
        <v/>
      </c>
      <c r="G1218" s="24">
        <f>IF($L1218="","",IF(INDEX(ExpDep,$L1218)=0,"",INDEX(ExpDep,$L1218)))</f>
        <v/>
      </c>
      <c r="H1218" s="24">
        <f>IF($L1218="","",IF(INDEX(ExpWit,$L1218)=0,"",INDEX(ExpWit,$L1218)))</f>
        <v/>
      </c>
      <c r="I1218" s="25">
        <f>IF($B1218="","",IF($I1217="",0,$I1217)+IF($H1218="",0,$H1218)-IF($G1218="",0,$G1218))</f>
        <v/>
      </c>
      <c r="J1218" s="23">
        <f>IF($L1218="","",IF(INDEX(ExpNote,$L1218)="","—",INDEX(ExpNote,$L1218)))</f>
        <v/>
      </c>
      <c r="L1218">
        <f>IFERROR(MATCH($C$5&amp;"|"&amp;RIGHT("000000"&amp;1202,6),ExpRankKey,0),"")</f>
        <v/>
      </c>
    </row>
    <row r="1219">
      <c r="A1219" s="16" t="n">
        <v>1203</v>
      </c>
      <c r="B1219" s="17">
        <f>IF($L1219="","",INDEX(ExpNorm,$L1219))</f>
        <v/>
      </c>
      <c r="C1219" s="17">
        <f>IF($L1219="","",IF(INDEX(ExpTime,$L1219)="","—",LEFT(INDEX(ExpTime,$L1219),2)&amp;":"&amp;RIGHT(INDEX(ExpTime,$L1219),2)))</f>
        <v/>
      </c>
      <c r="D1219" s="17">
        <f>IF($L1219="","",IF(INDEX(ExpBank,$L1219)="","—",INDEX(ExpBank,$L1219)))</f>
        <v/>
      </c>
      <c r="E1219" s="18">
        <f>IF($L1219="","",IF(INDEX(ExpParty,$L1219)="","—",IFERROR(VLOOKUP(INDEX(ExpParty,$L1219),AcctTbl,4,0),INDEX(ExpParty,$L1219))))</f>
        <v/>
      </c>
      <c r="F1219" s="17">
        <f>IF($L1219="","",IF(INDEX(ExpType,$L1219)="","—",INDEX(ExpType,$L1219)))</f>
        <v/>
      </c>
      <c r="G1219" s="19">
        <f>IF($L1219="","",IF(INDEX(ExpDep,$L1219)=0,"",INDEX(ExpDep,$L1219)))</f>
        <v/>
      </c>
      <c r="H1219" s="19">
        <f>IF($L1219="","",IF(INDEX(ExpWit,$L1219)=0,"",INDEX(ExpWit,$L1219)))</f>
        <v/>
      </c>
      <c r="I1219" s="20">
        <f>IF($B1219="","",IF($I1218="",0,$I1218)+IF($H1219="",0,$H1219)-IF($G1219="",0,$G1219))</f>
        <v/>
      </c>
      <c r="J1219" s="18">
        <f>IF($L1219="","",IF(INDEX(ExpNote,$L1219)="","—",INDEX(ExpNote,$L1219)))</f>
        <v/>
      </c>
      <c r="L1219">
        <f>IFERROR(MATCH($C$5&amp;"|"&amp;RIGHT("000000"&amp;1203,6),ExpRankKey,0),"")</f>
        <v/>
      </c>
    </row>
    <row r="1220">
      <c r="A1220" s="21" t="n">
        <v>1204</v>
      </c>
      <c r="B1220" s="22">
        <f>IF($L1220="","",INDEX(ExpNorm,$L1220))</f>
        <v/>
      </c>
      <c r="C1220" s="22">
        <f>IF($L1220="","",IF(INDEX(ExpTime,$L1220)="","—",LEFT(INDEX(ExpTime,$L1220),2)&amp;":"&amp;RIGHT(INDEX(ExpTime,$L1220),2)))</f>
        <v/>
      </c>
      <c r="D1220" s="22">
        <f>IF($L1220="","",IF(INDEX(ExpBank,$L1220)="","—",INDEX(ExpBank,$L1220)))</f>
        <v/>
      </c>
      <c r="E1220" s="23">
        <f>IF($L1220="","",IF(INDEX(ExpParty,$L1220)="","—",IFERROR(VLOOKUP(INDEX(ExpParty,$L1220),AcctTbl,4,0),INDEX(ExpParty,$L1220))))</f>
        <v/>
      </c>
      <c r="F1220" s="22">
        <f>IF($L1220="","",IF(INDEX(ExpType,$L1220)="","—",INDEX(ExpType,$L1220)))</f>
        <v/>
      </c>
      <c r="G1220" s="24">
        <f>IF($L1220="","",IF(INDEX(ExpDep,$L1220)=0,"",INDEX(ExpDep,$L1220)))</f>
        <v/>
      </c>
      <c r="H1220" s="24">
        <f>IF($L1220="","",IF(INDEX(ExpWit,$L1220)=0,"",INDEX(ExpWit,$L1220)))</f>
        <v/>
      </c>
      <c r="I1220" s="25">
        <f>IF($B1220="","",IF($I1219="",0,$I1219)+IF($H1220="",0,$H1220)-IF($G1220="",0,$G1220))</f>
        <v/>
      </c>
      <c r="J1220" s="23">
        <f>IF($L1220="","",IF(INDEX(ExpNote,$L1220)="","—",INDEX(ExpNote,$L1220)))</f>
        <v/>
      </c>
      <c r="L1220">
        <f>IFERROR(MATCH($C$5&amp;"|"&amp;RIGHT("000000"&amp;1204,6),ExpRankKey,0),"")</f>
        <v/>
      </c>
    </row>
    <row r="1221">
      <c r="A1221" s="16" t="n">
        <v>1205</v>
      </c>
      <c r="B1221" s="17">
        <f>IF($L1221="","",INDEX(ExpNorm,$L1221))</f>
        <v/>
      </c>
      <c r="C1221" s="17">
        <f>IF($L1221="","",IF(INDEX(ExpTime,$L1221)="","—",LEFT(INDEX(ExpTime,$L1221),2)&amp;":"&amp;RIGHT(INDEX(ExpTime,$L1221),2)))</f>
        <v/>
      </c>
      <c r="D1221" s="17">
        <f>IF($L1221="","",IF(INDEX(ExpBank,$L1221)="","—",INDEX(ExpBank,$L1221)))</f>
        <v/>
      </c>
      <c r="E1221" s="18">
        <f>IF($L1221="","",IF(INDEX(ExpParty,$L1221)="","—",IFERROR(VLOOKUP(INDEX(ExpParty,$L1221),AcctTbl,4,0),INDEX(ExpParty,$L1221))))</f>
        <v/>
      </c>
      <c r="F1221" s="17">
        <f>IF($L1221="","",IF(INDEX(ExpType,$L1221)="","—",INDEX(ExpType,$L1221)))</f>
        <v/>
      </c>
      <c r="G1221" s="19">
        <f>IF($L1221="","",IF(INDEX(ExpDep,$L1221)=0,"",INDEX(ExpDep,$L1221)))</f>
        <v/>
      </c>
      <c r="H1221" s="19">
        <f>IF($L1221="","",IF(INDEX(ExpWit,$L1221)=0,"",INDEX(ExpWit,$L1221)))</f>
        <v/>
      </c>
      <c r="I1221" s="20">
        <f>IF($B1221="","",IF($I1220="",0,$I1220)+IF($H1221="",0,$H1221)-IF($G1221="",0,$G1221))</f>
        <v/>
      </c>
      <c r="J1221" s="18">
        <f>IF($L1221="","",IF(INDEX(ExpNote,$L1221)="","—",INDEX(ExpNote,$L1221)))</f>
        <v/>
      </c>
      <c r="L1221">
        <f>IFERROR(MATCH($C$5&amp;"|"&amp;RIGHT("000000"&amp;1205,6),ExpRankKey,0),"")</f>
        <v/>
      </c>
    </row>
    <row r="1222">
      <c r="A1222" s="21" t="n">
        <v>1206</v>
      </c>
      <c r="B1222" s="22">
        <f>IF($L1222="","",INDEX(ExpNorm,$L1222))</f>
        <v/>
      </c>
      <c r="C1222" s="22">
        <f>IF($L1222="","",IF(INDEX(ExpTime,$L1222)="","—",LEFT(INDEX(ExpTime,$L1222),2)&amp;":"&amp;RIGHT(INDEX(ExpTime,$L1222),2)))</f>
        <v/>
      </c>
      <c r="D1222" s="22">
        <f>IF($L1222="","",IF(INDEX(ExpBank,$L1222)="","—",INDEX(ExpBank,$L1222)))</f>
        <v/>
      </c>
      <c r="E1222" s="23">
        <f>IF($L1222="","",IF(INDEX(ExpParty,$L1222)="","—",IFERROR(VLOOKUP(INDEX(ExpParty,$L1222),AcctTbl,4,0),INDEX(ExpParty,$L1222))))</f>
        <v/>
      </c>
      <c r="F1222" s="22">
        <f>IF($L1222="","",IF(INDEX(ExpType,$L1222)="","—",INDEX(ExpType,$L1222)))</f>
        <v/>
      </c>
      <c r="G1222" s="24">
        <f>IF($L1222="","",IF(INDEX(ExpDep,$L1222)=0,"",INDEX(ExpDep,$L1222)))</f>
        <v/>
      </c>
      <c r="H1222" s="24">
        <f>IF($L1222="","",IF(INDEX(ExpWit,$L1222)=0,"",INDEX(ExpWit,$L1222)))</f>
        <v/>
      </c>
      <c r="I1222" s="25">
        <f>IF($B1222="","",IF($I1221="",0,$I1221)+IF($H1222="",0,$H1222)-IF($G1222="",0,$G1222))</f>
        <v/>
      </c>
      <c r="J1222" s="23">
        <f>IF($L1222="","",IF(INDEX(ExpNote,$L1222)="","—",INDEX(ExpNote,$L1222)))</f>
        <v/>
      </c>
      <c r="L1222">
        <f>IFERROR(MATCH($C$5&amp;"|"&amp;RIGHT("000000"&amp;1206,6),ExpRankKey,0),"")</f>
        <v/>
      </c>
    </row>
    <row r="1223">
      <c r="A1223" s="16" t="n">
        <v>1207</v>
      </c>
      <c r="B1223" s="17">
        <f>IF($L1223="","",INDEX(ExpNorm,$L1223))</f>
        <v/>
      </c>
      <c r="C1223" s="17">
        <f>IF($L1223="","",IF(INDEX(ExpTime,$L1223)="","—",LEFT(INDEX(ExpTime,$L1223),2)&amp;":"&amp;RIGHT(INDEX(ExpTime,$L1223),2)))</f>
        <v/>
      </c>
      <c r="D1223" s="17">
        <f>IF($L1223="","",IF(INDEX(ExpBank,$L1223)="","—",INDEX(ExpBank,$L1223)))</f>
        <v/>
      </c>
      <c r="E1223" s="18">
        <f>IF($L1223="","",IF(INDEX(ExpParty,$L1223)="","—",IFERROR(VLOOKUP(INDEX(ExpParty,$L1223),AcctTbl,4,0),INDEX(ExpParty,$L1223))))</f>
        <v/>
      </c>
      <c r="F1223" s="17">
        <f>IF($L1223="","",IF(INDEX(ExpType,$L1223)="","—",INDEX(ExpType,$L1223)))</f>
        <v/>
      </c>
      <c r="G1223" s="19">
        <f>IF($L1223="","",IF(INDEX(ExpDep,$L1223)=0,"",INDEX(ExpDep,$L1223)))</f>
        <v/>
      </c>
      <c r="H1223" s="19">
        <f>IF($L1223="","",IF(INDEX(ExpWit,$L1223)=0,"",INDEX(ExpWit,$L1223)))</f>
        <v/>
      </c>
      <c r="I1223" s="20">
        <f>IF($B1223="","",IF($I1222="",0,$I1222)+IF($H1223="",0,$H1223)-IF($G1223="",0,$G1223))</f>
        <v/>
      </c>
      <c r="J1223" s="18">
        <f>IF($L1223="","",IF(INDEX(ExpNote,$L1223)="","—",INDEX(ExpNote,$L1223)))</f>
        <v/>
      </c>
      <c r="L1223">
        <f>IFERROR(MATCH($C$5&amp;"|"&amp;RIGHT("000000"&amp;1207,6),ExpRankKey,0),"")</f>
        <v/>
      </c>
    </row>
    <row r="1224">
      <c r="A1224" s="21" t="n">
        <v>1208</v>
      </c>
      <c r="B1224" s="22">
        <f>IF($L1224="","",INDEX(ExpNorm,$L1224))</f>
        <v/>
      </c>
      <c r="C1224" s="22">
        <f>IF($L1224="","",IF(INDEX(ExpTime,$L1224)="","—",LEFT(INDEX(ExpTime,$L1224),2)&amp;":"&amp;RIGHT(INDEX(ExpTime,$L1224),2)))</f>
        <v/>
      </c>
      <c r="D1224" s="22">
        <f>IF($L1224="","",IF(INDEX(ExpBank,$L1224)="","—",INDEX(ExpBank,$L1224)))</f>
        <v/>
      </c>
      <c r="E1224" s="23">
        <f>IF($L1224="","",IF(INDEX(ExpParty,$L1224)="","—",IFERROR(VLOOKUP(INDEX(ExpParty,$L1224),AcctTbl,4,0),INDEX(ExpParty,$L1224))))</f>
        <v/>
      </c>
      <c r="F1224" s="22">
        <f>IF($L1224="","",IF(INDEX(ExpType,$L1224)="","—",INDEX(ExpType,$L1224)))</f>
        <v/>
      </c>
      <c r="G1224" s="24">
        <f>IF($L1224="","",IF(INDEX(ExpDep,$L1224)=0,"",INDEX(ExpDep,$L1224)))</f>
        <v/>
      </c>
      <c r="H1224" s="24">
        <f>IF($L1224="","",IF(INDEX(ExpWit,$L1224)=0,"",INDEX(ExpWit,$L1224)))</f>
        <v/>
      </c>
      <c r="I1224" s="25">
        <f>IF($B1224="","",IF($I1223="",0,$I1223)+IF($H1224="",0,$H1224)-IF($G1224="",0,$G1224))</f>
        <v/>
      </c>
      <c r="J1224" s="23">
        <f>IF($L1224="","",IF(INDEX(ExpNote,$L1224)="","—",INDEX(ExpNote,$L1224)))</f>
        <v/>
      </c>
      <c r="L1224">
        <f>IFERROR(MATCH($C$5&amp;"|"&amp;RIGHT("000000"&amp;1208,6),ExpRankKey,0),"")</f>
        <v/>
      </c>
    </row>
    <row r="1225">
      <c r="A1225" s="16" t="n">
        <v>1209</v>
      </c>
      <c r="B1225" s="17">
        <f>IF($L1225="","",INDEX(ExpNorm,$L1225))</f>
        <v/>
      </c>
      <c r="C1225" s="17">
        <f>IF($L1225="","",IF(INDEX(ExpTime,$L1225)="","—",LEFT(INDEX(ExpTime,$L1225),2)&amp;":"&amp;RIGHT(INDEX(ExpTime,$L1225),2)))</f>
        <v/>
      </c>
      <c r="D1225" s="17">
        <f>IF($L1225="","",IF(INDEX(ExpBank,$L1225)="","—",INDEX(ExpBank,$L1225)))</f>
        <v/>
      </c>
      <c r="E1225" s="18">
        <f>IF($L1225="","",IF(INDEX(ExpParty,$L1225)="","—",IFERROR(VLOOKUP(INDEX(ExpParty,$L1225),AcctTbl,4,0),INDEX(ExpParty,$L1225))))</f>
        <v/>
      </c>
      <c r="F1225" s="17">
        <f>IF($L1225="","",IF(INDEX(ExpType,$L1225)="","—",INDEX(ExpType,$L1225)))</f>
        <v/>
      </c>
      <c r="G1225" s="19">
        <f>IF($L1225="","",IF(INDEX(ExpDep,$L1225)=0,"",INDEX(ExpDep,$L1225)))</f>
        <v/>
      </c>
      <c r="H1225" s="19">
        <f>IF($L1225="","",IF(INDEX(ExpWit,$L1225)=0,"",INDEX(ExpWit,$L1225)))</f>
        <v/>
      </c>
      <c r="I1225" s="20">
        <f>IF($B1225="","",IF($I1224="",0,$I1224)+IF($H1225="",0,$H1225)-IF($G1225="",0,$G1225))</f>
        <v/>
      </c>
      <c r="J1225" s="18">
        <f>IF($L1225="","",IF(INDEX(ExpNote,$L1225)="","—",INDEX(ExpNote,$L1225)))</f>
        <v/>
      </c>
      <c r="L1225">
        <f>IFERROR(MATCH($C$5&amp;"|"&amp;RIGHT("000000"&amp;1209,6),ExpRankKey,0),"")</f>
        <v/>
      </c>
    </row>
    <row r="1226">
      <c r="A1226" s="21" t="n">
        <v>1210</v>
      </c>
      <c r="B1226" s="22">
        <f>IF($L1226="","",INDEX(ExpNorm,$L1226))</f>
        <v/>
      </c>
      <c r="C1226" s="22">
        <f>IF($L1226="","",IF(INDEX(ExpTime,$L1226)="","—",LEFT(INDEX(ExpTime,$L1226),2)&amp;":"&amp;RIGHT(INDEX(ExpTime,$L1226),2)))</f>
        <v/>
      </c>
      <c r="D1226" s="22">
        <f>IF($L1226="","",IF(INDEX(ExpBank,$L1226)="","—",INDEX(ExpBank,$L1226)))</f>
        <v/>
      </c>
      <c r="E1226" s="23">
        <f>IF($L1226="","",IF(INDEX(ExpParty,$L1226)="","—",IFERROR(VLOOKUP(INDEX(ExpParty,$L1226),AcctTbl,4,0),INDEX(ExpParty,$L1226))))</f>
        <v/>
      </c>
      <c r="F1226" s="22">
        <f>IF($L1226="","",IF(INDEX(ExpType,$L1226)="","—",INDEX(ExpType,$L1226)))</f>
        <v/>
      </c>
      <c r="G1226" s="24">
        <f>IF($L1226="","",IF(INDEX(ExpDep,$L1226)=0,"",INDEX(ExpDep,$L1226)))</f>
        <v/>
      </c>
      <c r="H1226" s="24">
        <f>IF($L1226="","",IF(INDEX(ExpWit,$L1226)=0,"",INDEX(ExpWit,$L1226)))</f>
        <v/>
      </c>
      <c r="I1226" s="25">
        <f>IF($B1226="","",IF($I1225="",0,$I1225)+IF($H1226="",0,$H1226)-IF($G1226="",0,$G1226))</f>
        <v/>
      </c>
      <c r="J1226" s="23">
        <f>IF($L1226="","",IF(INDEX(ExpNote,$L1226)="","—",INDEX(ExpNote,$L1226)))</f>
        <v/>
      </c>
      <c r="L1226">
        <f>IFERROR(MATCH($C$5&amp;"|"&amp;RIGHT("000000"&amp;1210,6),ExpRankKey,0),"")</f>
        <v/>
      </c>
    </row>
    <row r="1227">
      <c r="A1227" s="16" t="n">
        <v>1211</v>
      </c>
      <c r="B1227" s="17">
        <f>IF($L1227="","",INDEX(ExpNorm,$L1227))</f>
        <v/>
      </c>
      <c r="C1227" s="17">
        <f>IF($L1227="","",IF(INDEX(ExpTime,$L1227)="","—",LEFT(INDEX(ExpTime,$L1227),2)&amp;":"&amp;RIGHT(INDEX(ExpTime,$L1227),2)))</f>
        <v/>
      </c>
      <c r="D1227" s="17">
        <f>IF($L1227="","",IF(INDEX(ExpBank,$L1227)="","—",INDEX(ExpBank,$L1227)))</f>
        <v/>
      </c>
      <c r="E1227" s="18">
        <f>IF($L1227="","",IF(INDEX(ExpParty,$L1227)="","—",IFERROR(VLOOKUP(INDEX(ExpParty,$L1227),AcctTbl,4,0),INDEX(ExpParty,$L1227))))</f>
        <v/>
      </c>
      <c r="F1227" s="17">
        <f>IF($L1227="","",IF(INDEX(ExpType,$L1227)="","—",INDEX(ExpType,$L1227)))</f>
        <v/>
      </c>
      <c r="G1227" s="19">
        <f>IF($L1227="","",IF(INDEX(ExpDep,$L1227)=0,"",INDEX(ExpDep,$L1227)))</f>
        <v/>
      </c>
      <c r="H1227" s="19">
        <f>IF($L1227="","",IF(INDEX(ExpWit,$L1227)=0,"",INDEX(ExpWit,$L1227)))</f>
        <v/>
      </c>
      <c r="I1227" s="20">
        <f>IF($B1227="","",IF($I1226="",0,$I1226)+IF($H1227="",0,$H1227)-IF($G1227="",0,$G1227))</f>
        <v/>
      </c>
      <c r="J1227" s="18">
        <f>IF($L1227="","",IF(INDEX(ExpNote,$L1227)="","—",INDEX(ExpNote,$L1227)))</f>
        <v/>
      </c>
      <c r="L1227">
        <f>IFERROR(MATCH($C$5&amp;"|"&amp;RIGHT("000000"&amp;1211,6),ExpRankKey,0),"")</f>
        <v/>
      </c>
    </row>
    <row r="1228">
      <c r="A1228" s="21" t="n">
        <v>1212</v>
      </c>
      <c r="B1228" s="22">
        <f>IF($L1228="","",INDEX(ExpNorm,$L1228))</f>
        <v/>
      </c>
      <c r="C1228" s="22">
        <f>IF($L1228="","",IF(INDEX(ExpTime,$L1228)="","—",LEFT(INDEX(ExpTime,$L1228),2)&amp;":"&amp;RIGHT(INDEX(ExpTime,$L1228),2)))</f>
        <v/>
      </c>
      <c r="D1228" s="22">
        <f>IF($L1228="","",IF(INDEX(ExpBank,$L1228)="","—",INDEX(ExpBank,$L1228)))</f>
        <v/>
      </c>
      <c r="E1228" s="23">
        <f>IF($L1228="","",IF(INDEX(ExpParty,$L1228)="","—",IFERROR(VLOOKUP(INDEX(ExpParty,$L1228),AcctTbl,4,0),INDEX(ExpParty,$L1228))))</f>
        <v/>
      </c>
      <c r="F1228" s="22">
        <f>IF($L1228="","",IF(INDEX(ExpType,$L1228)="","—",INDEX(ExpType,$L1228)))</f>
        <v/>
      </c>
      <c r="G1228" s="24">
        <f>IF($L1228="","",IF(INDEX(ExpDep,$L1228)=0,"",INDEX(ExpDep,$L1228)))</f>
        <v/>
      </c>
      <c r="H1228" s="24">
        <f>IF($L1228="","",IF(INDEX(ExpWit,$L1228)=0,"",INDEX(ExpWit,$L1228)))</f>
        <v/>
      </c>
      <c r="I1228" s="25">
        <f>IF($B1228="","",IF($I1227="",0,$I1227)+IF($H1228="",0,$H1228)-IF($G1228="",0,$G1228))</f>
        <v/>
      </c>
      <c r="J1228" s="23">
        <f>IF($L1228="","",IF(INDEX(ExpNote,$L1228)="","—",INDEX(ExpNote,$L1228)))</f>
        <v/>
      </c>
      <c r="L1228">
        <f>IFERROR(MATCH($C$5&amp;"|"&amp;RIGHT("000000"&amp;1212,6),ExpRankKey,0),"")</f>
        <v/>
      </c>
    </row>
    <row r="1229">
      <c r="A1229" s="16" t="n">
        <v>1213</v>
      </c>
      <c r="B1229" s="17">
        <f>IF($L1229="","",INDEX(ExpNorm,$L1229))</f>
        <v/>
      </c>
      <c r="C1229" s="17">
        <f>IF($L1229="","",IF(INDEX(ExpTime,$L1229)="","—",LEFT(INDEX(ExpTime,$L1229),2)&amp;":"&amp;RIGHT(INDEX(ExpTime,$L1229),2)))</f>
        <v/>
      </c>
      <c r="D1229" s="17">
        <f>IF($L1229="","",IF(INDEX(ExpBank,$L1229)="","—",INDEX(ExpBank,$L1229)))</f>
        <v/>
      </c>
      <c r="E1229" s="18">
        <f>IF($L1229="","",IF(INDEX(ExpParty,$L1229)="","—",IFERROR(VLOOKUP(INDEX(ExpParty,$L1229),AcctTbl,4,0),INDEX(ExpParty,$L1229))))</f>
        <v/>
      </c>
      <c r="F1229" s="17">
        <f>IF($L1229="","",IF(INDEX(ExpType,$L1229)="","—",INDEX(ExpType,$L1229)))</f>
        <v/>
      </c>
      <c r="G1229" s="19">
        <f>IF($L1229="","",IF(INDEX(ExpDep,$L1229)=0,"",INDEX(ExpDep,$L1229)))</f>
        <v/>
      </c>
      <c r="H1229" s="19">
        <f>IF($L1229="","",IF(INDEX(ExpWit,$L1229)=0,"",INDEX(ExpWit,$L1229)))</f>
        <v/>
      </c>
      <c r="I1229" s="20">
        <f>IF($B1229="","",IF($I1228="",0,$I1228)+IF($H1229="",0,$H1229)-IF($G1229="",0,$G1229))</f>
        <v/>
      </c>
      <c r="J1229" s="18">
        <f>IF($L1229="","",IF(INDEX(ExpNote,$L1229)="","—",INDEX(ExpNote,$L1229)))</f>
        <v/>
      </c>
      <c r="L1229">
        <f>IFERROR(MATCH($C$5&amp;"|"&amp;RIGHT("000000"&amp;1213,6),ExpRankKey,0),"")</f>
        <v/>
      </c>
    </row>
    <row r="1230">
      <c r="A1230" s="21" t="n">
        <v>1214</v>
      </c>
      <c r="B1230" s="22">
        <f>IF($L1230="","",INDEX(ExpNorm,$L1230))</f>
        <v/>
      </c>
      <c r="C1230" s="22">
        <f>IF($L1230="","",IF(INDEX(ExpTime,$L1230)="","—",LEFT(INDEX(ExpTime,$L1230),2)&amp;":"&amp;RIGHT(INDEX(ExpTime,$L1230),2)))</f>
        <v/>
      </c>
      <c r="D1230" s="22">
        <f>IF($L1230="","",IF(INDEX(ExpBank,$L1230)="","—",INDEX(ExpBank,$L1230)))</f>
        <v/>
      </c>
      <c r="E1230" s="23">
        <f>IF($L1230="","",IF(INDEX(ExpParty,$L1230)="","—",IFERROR(VLOOKUP(INDEX(ExpParty,$L1230),AcctTbl,4,0),INDEX(ExpParty,$L1230))))</f>
        <v/>
      </c>
      <c r="F1230" s="22">
        <f>IF($L1230="","",IF(INDEX(ExpType,$L1230)="","—",INDEX(ExpType,$L1230)))</f>
        <v/>
      </c>
      <c r="G1230" s="24">
        <f>IF($L1230="","",IF(INDEX(ExpDep,$L1230)=0,"",INDEX(ExpDep,$L1230)))</f>
        <v/>
      </c>
      <c r="H1230" s="24">
        <f>IF($L1230="","",IF(INDEX(ExpWit,$L1230)=0,"",INDEX(ExpWit,$L1230)))</f>
        <v/>
      </c>
      <c r="I1230" s="25">
        <f>IF($B1230="","",IF($I1229="",0,$I1229)+IF($H1230="",0,$H1230)-IF($G1230="",0,$G1230))</f>
        <v/>
      </c>
      <c r="J1230" s="23">
        <f>IF($L1230="","",IF(INDEX(ExpNote,$L1230)="","—",INDEX(ExpNote,$L1230)))</f>
        <v/>
      </c>
      <c r="L1230">
        <f>IFERROR(MATCH($C$5&amp;"|"&amp;RIGHT("000000"&amp;1214,6),ExpRankKey,0),"")</f>
        <v/>
      </c>
    </row>
    <row r="1231">
      <c r="A1231" s="16" t="n">
        <v>1215</v>
      </c>
      <c r="B1231" s="17">
        <f>IF($L1231="","",INDEX(ExpNorm,$L1231))</f>
        <v/>
      </c>
      <c r="C1231" s="17">
        <f>IF($L1231="","",IF(INDEX(ExpTime,$L1231)="","—",LEFT(INDEX(ExpTime,$L1231),2)&amp;":"&amp;RIGHT(INDEX(ExpTime,$L1231),2)))</f>
        <v/>
      </c>
      <c r="D1231" s="17">
        <f>IF($L1231="","",IF(INDEX(ExpBank,$L1231)="","—",INDEX(ExpBank,$L1231)))</f>
        <v/>
      </c>
      <c r="E1231" s="18">
        <f>IF($L1231="","",IF(INDEX(ExpParty,$L1231)="","—",IFERROR(VLOOKUP(INDEX(ExpParty,$L1231),AcctTbl,4,0),INDEX(ExpParty,$L1231))))</f>
        <v/>
      </c>
      <c r="F1231" s="17">
        <f>IF($L1231="","",IF(INDEX(ExpType,$L1231)="","—",INDEX(ExpType,$L1231)))</f>
        <v/>
      </c>
      <c r="G1231" s="19">
        <f>IF($L1231="","",IF(INDEX(ExpDep,$L1231)=0,"",INDEX(ExpDep,$L1231)))</f>
        <v/>
      </c>
      <c r="H1231" s="19">
        <f>IF($L1231="","",IF(INDEX(ExpWit,$L1231)=0,"",INDEX(ExpWit,$L1231)))</f>
        <v/>
      </c>
      <c r="I1231" s="20">
        <f>IF($B1231="","",IF($I1230="",0,$I1230)+IF($H1231="",0,$H1231)-IF($G1231="",0,$G1231))</f>
        <v/>
      </c>
      <c r="J1231" s="18">
        <f>IF($L1231="","",IF(INDEX(ExpNote,$L1231)="","—",INDEX(ExpNote,$L1231)))</f>
        <v/>
      </c>
      <c r="L1231">
        <f>IFERROR(MATCH($C$5&amp;"|"&amp;RIGHT("000000"&amp;1215,6),ExpRankKey,0),"")</f>
        <v/>
      </c>
    </row>
    <row r="1232">
      <c r="A1232" s="21" t="n">
        <v>1216</v>
      </c>
      <c r="B1232" s="22">
        <f>IF($L1232="","",INDEX(ExpNorm,$L1232))</f>
        <v/>
      </c>
      <c r="C1232" s="22">
        <f>IF($L1232="","",IF(INDEX(ExpTime,$L1232)="","—",LEFT(INDEX(ExpTime,$L1232),2)&amp;":"&amp;RIGHT(INDEX(ExpTime,$L1232),2)))</f>
        <v/>
      </c>
      <c r="D1232" s="22">
        <f>IF($L1232="","",IF(INDEX(ExpBank,$L1232)="","—",INDEX(ExpBank,$L1232)))</f>
        <v/>
      </c>
      <c r="E1232" s="23">
        <f>IF($L1232="","",IF(INDEX(ExpParty,$L1232)="","—",IFERROR(VLOOKUP(INDEX(ExpParty,$L1232),AcctTbl,4,0),INDEX(ExpParty,$L1232))))</f>
        <v/>
      </c>
      <c r="F1232" s="22">
        <f>IF($L1232="","",IF(INDEX(ExpType,$L1232)="","—",INDEX(ExpType,$L1232)))</f>
        <v/>
      </c>
      <c r="G1232" s="24">
        <f>IF($L1232="","",IF(INDEX(ExpDep,$L1232)=0,"",INDEX(ExpDep,$L1232)))</f>
        <v/>
      </c>
      <c r="H1232" s="24">
        <f>IF($L1232="","",IF(INDEX(ExpWit,$L1232)=0,"",INDEX(ExpWit,$L1232)))</f>
        <v/>
      </c>
      <c r="I1232" s="25">
        <f>IF($B1232="","",IF($I1231="",0,$I1231)+IF($H1232="",0,$H1232)-IF($G1232="",0,$G1232))</f>
        <v/>
      </c>
      <c r="J1232" s="23">
        <f>IF($L1232="","",IF(INDEX(ExpNote,$L1232)="","—",INDEX(ExpNote,$L1232)))</f>
        <v/>
      </c>
      <c r="L1232">
        <f>IFERROR(MATCH($C$5&amp;"|"&amp;RIGHT("000000"&amp;1216,6),ExpRankKey,0),"")</f>
        <v/>
      </c>
    </row>
    <row r="1233">
      <c r="A1233" s="16" t="n">
        <v>1217</v>
      </c>
      <c r="B1233" s="17">
        <f>IF($L1233="","",INDEX(ExpNorm,$L1233))</f>
        <v/>
      </c>
      <c r="C1233" s="17">
        <f>IF($L1233="","",IF(INDEX(ExpTime,$L1233)="","—",LEFT(INDEX(ExpTime,$L1233),2)&amp;":"&amp;RIGHT(INDEX(ExpTime,$L1233),2)))</f>
        <v/>
      </c>
      <c r="D1233" s="17">
        <f>IF($L1233="","",IF(INDEX(ExpBank,$L1233)="","—",INDEX(ExpBank,$L1233)))</f>
        <v/>
      </c>
      <c r="E1233" s="18">
        <f>IF($L1233="","",IF(INDEX(ExpParty,$L1233)="","—",IFERROR(VLOOKUP(INDEX(ExpParty,$L1233),AcctTbl,4,0),INDEX(ExpParty,$L1233))))</f>
        <v/>
      </c>
      <c r="F1233" s="17">
        <f>IF($L1233="","",IF(INDEX(ExpType,$L1233)="","—",INDEX(ExpType,$L1233)))</f>
        <v/>
      </c>
      <c r="G1233" s="19">
        <f>IF($L1233="","",IF(INDEX(ExpDep,$L1233)=0,"",INDEX(ExpDep,$L1233)))</f>
        <v/>
      </c>
      <c r="H1233" s="19">
        <f>IF($L1233="","",IF(INDEX(ExpWit,$L1233)=0,"",INDEX(ExpWit,$L1233)))</f>
        <v/>
      </c>
      <c r="I1233" s="20">
        <f>IF($B1233="","",IF($I1232="",0,$I1232)+IF($H1233="",0,$H1233)-IF($G1233="",0,$G1233))</f>
        <v/>
      </c>
      <c r="J1233" s="18">
        <f>IF($L1233="","",IF(INDEX(ExpNote,$L1233)="","—",INDEX(ExpNote,$L1233)))</f>
        <v/>
      </c>
      <c r="L1233">
        <f>IFERROR(MATCH($C$5&amp;"|"&amp;RIGHT("000000"&amp;1217,6),ExpRankKey,0),"")</f>
        <v/>
      </c>
    </row>
    <row r="1234">
      <c r="A1234" s="21" t="n">
        <v>1218</v>
      </c>
      <c r="B1234" s="22">
        <f>IF($L1234="","",INDEX(ExpNorm,$L1234))</f>
        <v/>
      </c>
      <c r="C1234" s="22">
        <f>IF($L1234="","",IF(INDEX(ExpTime,$L1234)="","—",LEFT(INDEX(ExpTime,$L1234),2)&amp;":"&amp;RIGHT(INDEX(ExpTime,$L1234),2)))</f>
        <v/>
      </c>
      <c r="D1234" s="22">
        <f>IF($L1234="","",IF(INDEX(ExpBank,$L1234)="","—",INDEX(ExpBank,$L1234)))</f>
        <v/>
      </c>
      <c r="E1234" s="23">
        <f>IF($L1234="","",IF(INDEX(ExpParty,$L1234)="","—",IFERROR(VLOOKUP(INDEX(ExpParty,$L1234),AcctTbl,4,0),INDEX(ExpParty,$L1234))))</f>
        <v/>
      </c>
      <c r="F1234" s="22">
        <f>IF($L1234="","",IF(INDEX(ExpType,$L1234)="","—",INDEX(ExpType,$L1234)))</f>
        <v/>
      </c>
      <c r="G1234" s="24">
        <f>IF($L1234="","",IF(INDEX(ExpDep,$L1234)=0,"",INDEX(ExpDep,$L1234)))</f>
        <v/>
      </c>
      <c r="H1234" s="24">
        <f>IF($L1234="","",IF(INDEX(ExpWit,$L1234)=0,"",INDEX(ExpWit,$L1234)))</f>
        <v/>
      </c>
      <c r="I1234" s="25">
        <f>IF($B1234="","",IF($I1233="",0,$I1233)+IF($H1234="",0,$H1234)-IF($G1234="",0,$G1234))</f>
        <v/>
      </c>
      <c r="J1234" s="23">
        <f>IF($L1234="","",IF(INDEX(ExpNote,$L1234)="","—",INDEX(ExpNote,$L1234)))</f>
        <v/>
      </c>
      <c r="L1234">
        <f>IFERROR(MATCH($C$5&amp;"|"&amp;RIGHT("000000"&amp;1218,6),ExpRankKey,0),"")</f>
        <v/>
      </c>
    </row>
    <row r="1235">
      <c r="A1235" s="16" t="n">
        <v>1219</v>
      </c>
      <c r="B1235" s="17">
        <f>IF($L1235="","",INDEX(ExpNorm,$L1235))</f>
        <v/>
      </c>
      <c r="C1235" s="17">
        <f>IF($L1235="","",IF(INDEX(ExpTime,$L1235)="","—",LEFT(INDEX(ExpTime,$L1235),2)&amp;":"&amp;RIGHT(INDEX(ExpTime,$L1235),2)))</f>
        <v/>
      </c>
      <c r="D1235" s="17">
        <f>IF($L1235="","",IF(INDEX(ExpBank,$L1235)="","—",INDEX(ExpBank,$L1235)))</f>
        <v/>
      </c>
      <c r="E1235" s="18">
        <f>IF($L1235="","",IF(INDEX(ExpParty,$L1235)="","—",IFERROR(VLOOKUP(INDEX(ExpParty,$L1235),AcctTbl,4,0),INDEX(ExpParty,$L1235))))</f>
        <v/>
      </c>
      <c r="F1235" s="17">
        <f>IF($L1235="","",IF(INDEX(ExpType,$L1235)="","—",INDEX(ExpType,$L1235)))</f>
        <v/>
      </c>
      <c r="G1235" s="19">
        <f>IF($L1235="","",IF(INDEX(ExpDep,$L1235)=0,"",INDEX(ExpDep,$L1235)))</f>
        <v/>
      </c>
      <c r="H1235" s="19">
        <f>IF($L1235="","",IF(INDEX(ExpWit,$L1235)=0,"",INDEX(ExpWit,$L1235)))</f>
        <v/>
      </c>
      <c r="I1235" s="20">
        <f>IF($B1235="","",IF($I1234="",0,$I1234)+IF($H1235="",0,$H1235)-IF($G1235="",0,$G1235))</f>
        <v/>
      </c>
      <c r="J1235" s="18">
        <f>IF($L1235="","",IF(INDEX(ExpNote,$L1235)="","—",INDEX(ExpNote,$L1235)))</f>
        <v/>
      </c>
      <c r="L1235">
        <f>IFERROR(MATCH($C$5&amp;"|"&amp;RIGHT("000000"&amp;1219,6),ExpRankKey,0),"")</f>
        <v/>
      </c>
    </row>
    <row r="1236">
      <c r="A1236" s="21" t="n">
        <v>1220</v>
      </c>
      <c r="B1236" s="22">
        <f>IF($L1236="","",INDEX(ExpNorm,$L1236))</f>
        <v/>
      </c>
      <c r="C1236" s="22">
        <f>IF($L1236="","",IF(INDEX(ExpTime,$L1236)="","—",LEFT(INDEX(ExpTime,$L1236),2)&amp;":"&amp;RIGHT(INDEX(ExpTime,$L1236),2)))</f>
        <v/>
      </c>
      <c r="D1236" s="22">
        <f>IF($L1236="","",IF(INDEX(ExpBank,$L1236)="","—",INDEX(ExpBank,$L1236)))</f>
        <v/>
      </c>
      <c r="E1236" s="23">
        <f>IF($L1236="","",IF(INDEX(ExpParty,$L1236)="","—",IFERROR(VLOOKUP(INDEX(ExpParty,$L1236),AcctTbl,4,0),INDEX(ExpParty,$L1236))))</f>
        <v/>
      </c>
      <c r="F1236" s="22">
        <f>IF($L1236="","",IF(INDEX(ExpType,$L1236)="","—",INDEX(ExpType,$L1236)))</f>
        <v/>
      </c>
      <c r="G1236" s="24">
        <f>IF($L1236="","",IF(INDEX(ExpDep,$L1236)=0,"",INDEX(ExpDep,$L1236)))</f>
        <v/>
      </c>
      <c r="H1236" s="24">
        <f>IF($L1236="","",IF(INDEX(ExpWit,$L1236)=0,"",INDEX(ExpWit,$L1236)))</f>
        <v/>
      </c>
      <c r="I1236" s="25">
        <f>IF($B1236="","",IF($I1235="",0,$I1235)+IF($H1236="",0,$H1236)-IF($G1236="",0,$G1236))</f>
        <v/>
      </c>
      <c r="J1236" s="23">
        <f>IF($L1236="","",IF(INDEX(ExpNote,$L1236)="","—",INDEX(ExpNote,$L1236)))</f>
        <v/>
      </c>
      <c r="L1236">
        <f>IFERROR(MATCH($C$5&amp;"|"&amp;RIGHT("000000"&amp;1220,6),ExpRankKey,0),"")</f>
        <v/>
      </c>
    </row>
    <row r="1237">
      <c r="A1237" s="16" t="n">
        <v>1221</v>
      </c>
      <c r="B1237" s="17">
        <f>IF($L1237="","",INDEX(ExpNorm,$L1237))</f>
        <v/>
      </c>
      <c r="C1237" s="17">
        <f>IF($L1237="","",IF(INDEX(ExpTime,$L1237)="","—",LEFT(INDEX(ExpTime,$L1237),2)&amp;":"&amp;RIGHT(INDEX(ExpTime,$L1237),2)))</f>
        <v/>
      </c>
      <c r="D1237" s="17">
        <f>IF($L1237="","",IF(INDEX(ExpBank,$L1237)="","—",INDEX(ExpBank,$L1237)))</f>
        <v/>
      </c>
      <c r="E1237" s="18">
        <f>IF($L1237="","",IF(INDEX(ExpParty,$L1237)="","—",IFERROR(VLOOKUP(INDEX(ExpParty,$L1237),AcctTbl,4,0),INDEX(ExpParty,$L1237))))</f>
        <v/>
      </c>
      <c r="F1237" s="17">
        <f>IF($L1237="","",IF(INDEX(ExpType,$L1237)="","—",INDEX(ExpType,$L1237)))</f>
        <v/>
      </c>
      <c r="G1237" s="19">
        <f>IF($L1237="","",IF(INDEX(ExpDep,$L1237)=0,"",INDEX(ExpDep,$L1237)))</f>
        <v/>
      </c>
      <c r="H1237" s="19">
        <f>IF($L1237="","",IF(INDEX(ExpWit,$L1237)=0,"",INDEX(ExpWit,$L1237)))</f>
        <v/>
      </c>
      <c r="I1237" s="20">
        <f>IF($B1237="","",IF($I1236="",0,$I1236)+IF($H1237="",0,$H1237)-IF($G1237="",0,$G1237))</f>
        <v/>
      </c>
      <c r="J1237" s="18">
        <f>IF($L1237="","",IF(INDEX(ExpNote,$L1237)="","—",INDEX(ExpNote,$L1237)))</f>
        <v/>
      </c>
      <c r="L1237">
        <f>IFERROR(MATCH($C$5&amp;"|"&amp;RIGHT("000000"&amp;1221,6),ExpRankKey,0),"")</f>
        <v/>
      </c>
    </row>
    <row r="1238">
      <c r="A1238" s="21" t="n">
        <v>1222</v>
      </c>
      <c r="B1238" s="22">
        <f>IF($L1238="","",INDEX(ExpNorm,$L1238))</f>
        <v/>
      </c>
      <c r="C1238" s="22">
        <f>IF($L1238="","",IF(INDEX(ExpTime,$L1238)="","—",LEFT(INDEX(ExpTime,$L1238),2)&amp;":"&amp;RIGHT(INDEX(ExpTime,$L1238),2)))</f>
        <v/>
      </c>
      <c r="D1238" s="22">
        <f>IF($L1238="","",IF(INDEX(ExpBank,$L1238)="","—",INDEX(ExpBank,$L1238)))</f>
        <v/>
      </c>
      <c r="E1238" s="23">
        <f>IF($L1238="","",IF(INDEX(ExpParty,$L1238)="","—",IFERROR(VLOOKUP(INDEX(ExpParty,$L1238),AcctTbl,4,0),INDEX(ExpParty,$L1238))))</f>
        <v/>
      </c>
      <c r="F1238" s="22">
        <f>IF($L1238="","",IF(INDEX(ExpType,$L1238)="","—",INDEX(ExpType,$L1238)))</f>
        <v/>
      </c>
      <c r="G1238" s="24">
        <f>IF($L1238="","",IF(INDEX(ExpDep,$L1238)=0,"",INDEX(ExpDep,$L1238)))</f>
        <v/>
      </c>
      <c r="H1238" s="24">
        <f>IF($L1238="","",IF(INDEX(ExpWit,$L1238)=0,"",INDEX(ExpWit,$L1238)))</f>
        <v/>
      </c>
      <c r="I1238" s="25">
        <f>IF($B1238="","",IF($I1237="",0,$I1237)+IF($H1238="",0,$H1238)-IF($G1238="",0,$G1238))</f>
        <v/>
      </c>
      <c r="J1238" s="23">
        <f>IF($L1238="","",IF(INDEX(ExpNote,$L1238)="","—",INDEX(ExpNote,$L1238)))</f>
        <v/>
      </c>
      <c r="L1238">
        <f>IFERROR(MATCH($C$5&amp;"|"&amp;RIGHT("000000"&amp;1222,6),ExpRankKey,0),"")</f>
        <v/>
      </c>
    </row>
    <row r="1239">
      <c r="A1239" s="16" t="n">
        <v>1223</v>
      </c>
      <c r="B1239" s="17">
        <f>IF($L1239="","",INDEX(ExpNorm,$L1239))</f>
        <v/>
      </c>
      <c r="C1239" s="17">
        <f>IF($L1239="","",IF(INDEX(ExpTime,$L1239)="","—",LEFT(INDEX(ExpTime,$L1239),2)&amp;":"&amp;RIGHT(INDEX(ExpTime,$L1239),2)))</f>
        <v/>
      </c>
      <c r="D1239" s="17">
        <f>IF($L1239="","",IF(INDEX(ExpBank,$L1239)="","—",INDEX(ExpBank,$L1239)))</f>
        <v/>
      </c>
      <c r="E1239" s="18">
        <f>IF($L1239="","",IF(INDEX(ExpParty,$L1239)="","—",IFERROR(VLOOKUP(INDEX(ExpParty,$L1239),AcctTbl,4,0),INDEX(ExpParty,$L1239))))</f>
        <v/>
      </c>
      <c r="F1239" s="17">
        <f>IF($L1239="","",IF(INDEX(ExpType,$L1239)="","—",INDEX(ExpType,$L1239)))</f>
        <v/>
      </c>
      <c r="G1239" s="19">
        <f>IF($L1239="","",IF(INDEX(ExpDep,$L1239)=0,"",INDEX(ExpDep,$L1239)))</f>
        <v/>
      </c>
      <c r="H1239" s="19">
        <f>IF($L1239="","",IF(INDEX(ExpWit,$L1239)=0,"",INDEX(ExpWit,$L1239)))</f>
        <v/>
      </c>
      <c r="I1239" s="20">
        <f>IF($B1239="","",IF($I1238="",0,$I1238)+IF($H1239="",0,$H1239)-IF($G1239="",0,$G1239))</f>
        <v/>
      </c>
      <c r="J1239" s="18">
        <f>IF($L1239="","",IF(INDEX(ExpNote,$L1239)="","—",INDEX(ExpNote,$L1239)))</f>
        <v/>
      </c>
      <c r="L1239">
        <f>IFERROR(MATCH($C$5&amp;"|"&amp;RIGHT("000000"&amp;1223,6),ExpRankKey,0),"")</f>
        <v/>
      </c>
    </row>
    <row r="1240">
      <c r="A1240" s="21" t="n">
        <v>1224</v>
      </c>
      <c r="B1240" s="22">
        <f>IF($L1240="","",INDEX(ExpNorm,$L1240))</f>
        <v/>
      </c>
      <c r="C1240" s="22">
        <f>IF($L1240="","",IF(INDEX(ExpTime,$L1240)="","—",LEFT(INDEX(ExpTime,$L1240),2)&amp;":"&amp;RIGHT(INDEX(ExpTime,$L1240),2)))</f>
        <v/>
      </c>
      <c r="D1240" s="22">
        <f>IF($L1240="","",IF(INDEX(ExpBank,$L1240)="","—",INDEX(ExpBank,$L1240)))</f>
        <v/>
      </c>
      <c r="E1240" s="23">
        <f>IF($L1240="","",IF(INDEX(ExpParty,$L1240)="","—",IFERROR(VLOOKUP(INDEX(ExpParty,$L1240),AcctTbl,4,0),INDEX(ExpParty,$L1240))))</f>
        <v/>
      </c>
      <c r="F1240" s="22">
        <f>IF($L1240="","",IF(INDEX(ExpType,$L1240)="","—",INDEX(ExpType,$L1240)))</f>
        <v/>
      </c>
      <c r="G1240" s="24">
        <f>IF($L1240="","",IF(INDEX(ExpDep,$L1240)=0,"",INDEX(ExpDep,$L1240)))</f>
        <v/>
      </c>
      <c r="H1240" s="24">
        <f>IF($L1240="","",IF(INDEX(ExpWit,$L1240)=0,"",INDEX(ExpWit,$L1240)))</f>
        <v/>
      </c>
      <c r="I1240" s="25">
        <f>IF($B1240="","",IF($I1239="",0,$I1239)+IF($H1240="",0,$H1240)-IF($G1240="",0,$G1240))</f>
        <v/>
      </c>
      <c r="J1240" s="23">
        <f>IF($L1240="","",IF(INDEX(ExpNote,$L1240)="","—",INDEX(ExpNote,$L1240)))</f>
        <v/>
      </c>
      <c r="L1240">
        <f>IFERROR(MATCH($C$5&amp;"|"&amp;RIGHT("000000"&amp;1224,6),ExpRankKey,0),"")</f>
        <v/>
      </c>
    </row>
    <row r="1241">
      <c r="A1241" s="16" t="n">
        <v>1225</v>
      </c>
      <c r="B1241" s="17">
        <f>IF($L1241="","",INDEX(ExpNorm,$L1241))</f>
        <v/>
      </c>
      <c r="C1241" s="17">
        <f>IF($L1241="","",IF(INDEX(ExpTime,$L1241)="","—",LEFT(INDEX(ExpTime,$L1241),2)&amp;":"&amp;RIGHT(INDEX(ExpTime,$L1241),2)))</f>
        <v/>
      </c>
      <c r="D1241" s="17">
        <f>IF($L1241="","",IF(INDEX(ExpBank,$L1241)="","—",INDEX(ExpBank,$L1241)))</f>
        <v/>
      </c>
      <c r="E1241" s="18">
        <f>IF($L1241="","",IF(INDEX(ExpParty,$L1241)="","—",IFERROR(VLOOKUP(INDEX(ExpParty,$L1241),AcctTbl,4,0),INDEX(ExpParty,$L1241))))</f>
        <v/>
      </c>
      <c r="F1241" s="17">
        <f>IF($L1241="","",IF(INDEX(ExpType,$L1241)="","—",INDEX(ExpType,$L1241)))</f>
        <v/>
      </c>
      <c r="G1241" s="19">
        <f>IF($L1241="","",IF(INDEX(ExpDep,$L1241)=0,"",INDEX(ExpDep,$L1241)))</f>
        <v/>
      </c>
      <c r="H1241" s="19">
        <f>IF($L1241="","",IF(INDEX(ExpWit,$L1241)=0,"",INDEX(ExpWit,$L1241)))</f>
        <v/>
      </c>
      <c r="I1241" s="20">
        <f>IF($B1241="","",IF($I1240="",0,$I1240)+IF($H1241="",0,$H1241)-IF($G1241="",0,$G1241))</f>
        <v/>
      </c>
      <c r="J1241" s="18">
        <f>IF($L1241="","",IF(INDEX(ExpNote,$L1241)="","—",INDEX(ExpNote,$L1241)))</f>
        <v/>
      </c>
      <c r="L1241">
        <f>IFERROR(MATCH($C$5&amp;"|"&amp;RIGHT("000000"&amp;1225,6),ExpRankKey,0),"")</f>
        <v/>
      </c>
    </row>
    <row r="1242">
      <c r="A1242" s="21" t="n">
        <v>1226</v>
      </c>
      <c r="B1242" s="22">
        <f>IF($L1242="","",INDEX(ExpNorm,$L1242))</f>
        <v/>
      </c>
      <c r="C1242" s="22">
        <f>IF($L1242="","",IF(INDEX(ExpTime,$L1242)="","—",LEFT(INDEX(ExpTime,$L1242),2)&amp;":"&amp;RIGHT(INDEX(ExpTime,$L1242),2)))</f>
        <v/>
      </c>
      <c r="D1242" s="22">
        <f>IF($L1242="","",IF(INDEX(ExpBank,$L1242)="","—",INDEX(ExpBank,$L1242)))</f>
        <v/>
      </c>
      <c r="E1242" s="23">
        <f>IF($L1242="","",IF(INDEX(ExpParty,$L1242)="","—",IFERROR(VLOOKUP(INDEX(ExpParty,$L1242),AcctTbl,4,0),INDEX(ExpParty,$L1242))))</f>
        <v/>
      </c>
      <c r="F1242" s="22">
        <f>IF($L1242="","",IF(INDEX(ExpType,$L1242)="","—",INDEX(ExpType,$L1242)))</f>
        <v/>
      </c>
      <c r="G1242" s="24">
        <f>IF($L1242="","",IF(INDEX(ExpDep,$L1242)=0,"",INDEX(ExpDep,$L1242)))</f>
        <v/>
      </c>
      <c r="H1242" s="24">
        <f>IF($L1242="","",IF(INDEX(ExpWit,$L1242)=0,"",INDEX(ExpWit,$L1242)))</f>
        <v/>
      </c>
      <c r="I1242" s="25">
        <f>IF($B1242="","",IF($I1241="",0,$I1241)+IF($H1242="",0,$H1242)-IF($G1242="",0,$G1242))</f>
        <v/>
      </c>
      <c r="J1242" s="23">
        <f>IF($L1242="","",IF(INDEX(ExpNote,$L1242)="","—",INDEX(ExpNote,$L1242)))</f>
        <v/>
      </c>
      <c r="L1242">
        <f>IFERROR(MATCH($C$5&amp;"|"&amp;RIGHT("000000"&amp;1226,6),ExpRankKey,0),"")</f>
        <v/>
      </c>
    </row>
    <row r="1243">
      <c r="A1243" s="16" t="n">
        <v>1227</v>
      </c>
      <c r="B1243" s="17">
        <f>IF($L1243="","",INDEX(ExpNorm,$L1243))</f>
        <v/>
      </c>
      <c r="C1243" s="17">
        <f>IF($L1243="","",IF(INDEX(ExpTime,$L1243)="","—",LEFT(INDEX(ExpTime,$L1243),2)&amp;":"&amp;RIGHT(INDEX(ExpTime,$L1243),2)))</f>
        <v/>
      </c>
      <c r="D1243" s="17">
        <f>IF($L1243="","",IF(INDEX(ExpBank,$L1243)="","—",INDEX(ExpBank,$L1243)))</f>
        <v/>
      </c>
      <c r="E1243" s="18">
        <f>IF($L1243="","",IF(INDEX(ExpParty,$L1243)="","—",IFERROR(VLOOKUP(INDEX(ExpParty,$L1243),AcctTbl,4,0),INDEX(ExpParty,$L1243))))</f>
        <v/>
      </c>
      <c r="F1243" s="17">
        <f>IF($L1243="","",IF(INDEX(ExpType,$L1243)="","—",INDEX(ExpType,$L1243)))</f>
        <v/>
      </c>
      <c r="G1243" s="19">
        <f>IF($L1243="","",IF(INDEX(ExpDep,$L1243)=0,"",INDEX(ExpDep,$L1243)))</f>
        <v/>
      </c>
      <c r="H1243" s="19">
        <f>IF($L1243="","",IF(INDEX(ExpWit,$L1243)=0,"",INDEX(ExpWit,$L1243)))</f>
        <v/>
      </c>
      <c r="I1243" s="20">
        <f>IF($B1243="","",IF($I1242="",0,$I1242)+IF($H1243="",0,$H1243)-IF($G1243="",0,$G1243))</f>
        <v/>
      </c>
      <c r="J1243" s="18">
        <f>IF($L1243="","",IF(INDEX(ExpNote,$L1243)="","—",INDEX(ExpNote,$L1243)))</f>
        <v/>
      </c>
      <c r="L1243">
        <f>IFERROR(MATCH($C$5&amp;"|"&amp;RIGHT("000000"&amp;1227,6),ExpRankKey,0),"")</f>
        <v/>
      </c>
    </row>
    <row r="1244">
      <c r="A1244" s="21" t="n">
        <v>1228</v>
      </c>
      <c r="B1244" s="22">
        <f>IF($L1244="","",INDEX(ExpNorm,$L1244))</f>
        <v/>
      </c>
      <c r="C1244" s="22">
        <f>IF($L1244="","",IF(INDEX(ExpTime,$L1244)="","—",LEFT(INDEX(ExpTime,$L1244),2)&amp;":"&amp;RIGHT(INDEX(ExpTime,$L1244),2)))</f>
        <v/>
      </c>
      <c r="D1244" s="22">
        <f>IF($L1244="","",IF(INDEX(ExpBank,$L1244)="","—",INDEX(ExpBank,$L1244)))</f>
        <v/>
      </c>
      <c r="E1244" s="23">
        <f>IF($L1244="","",IF(INDEX(ExpParty,$L1244)="","—",IFERROR(VLOOKUP(INDEX(ExpParty,$L1244),AcctTbl,4,0),INDEX(ExpParty,$L1244))))</f>
        <v/>
      </c>
      <c r="F1244" s="22">
        <f>IF($L1244="","",IF(INDEX(ExpType,$L1244)="","—",INDEX(ExpType,$L1244)))</f>
        <v/>
      </c>
      <c r="G1244" s="24">
        <f>IF($L1244="","",IF(INDEX(ExpDep,$L1244)=0,"",INDEX(ExpDep,$L1244)))</f>
        <v/>
      </c>
      <c r="H1244" s="24">
        <f>IF($L1244="","",IF(INDEX(ExpWit,$L1244)=0,"",INDEX(ExpWit,$L1244)))</f>
        <v/>
      </c>
      <c r="I1244" s="25">
        <f>IF($B1244="","",IF($I1243="",0,$I1243)+IF($H1244="",0,$H1244)-IF($G1244="",0,$G1244))</f>
        <v/>
      </c>
      <c r="J1244" s="23">
        <f>IF($L1244="","",IF(INDEX(ExpNote,$L1244)="","—",INDEX(ExpNote,$L1244)))</f>
        <v/>
      </c>
      <c r="L1244">
        <f>IFERROR(MATCH($C$5&amp;"|"&amp;RIGHT("000000"&amp;1228,6),ExpRankKey,0),"")</f>
        <v/>
      </c>
    </row>
    <row r="1245">
      <c r="A1245" s="16" t="n">
        <v>1229</v>
      </c>
      <c r="B1245" s="17">
        <f>IF($L1245="","",INDEX(ExpNorm,$L1245))</f>
        <v/>
      </c>
      <c r="C1245" s="17">
        <f>IF($L1245="","",IF(INDEX(ExpTime,$L1245)="","—",LEFT(INDEX(ExpTime,$L1245),2)&amp;":"&amp;RIGHT(INDEX(ExpTime,$L1245),2)))</f>
        <v/>
      </c>
      <c r="D1245" s="17">
        <f>IF($L1245="","",IF(INDEX(ExpBank,$L1245)="","—",INDEX(ExpBank,$L1245)))</f>
        <v/>
      </c>
      <c r="E1245" s="18">
        <f>IF($L1245="","",IF(INDEX(ExpParty,$L1245)="","—",IFERROR(VLOOKUP(INDEX(ExpParty,$L1245),AcctTbl,4,0),INDEX(ExpParty,$L1245))))</f>
        <v/>
      </c>
      <c r="F1245" s="17">
        <f>IF($L1245="","",IF(INDEX(ExpType,$L1245)="","—",INDEX(ExpType,$L1245)))</f>
        <v/>
      </c>
      <c r="G1245" s="19">
        <f>IF($L1245="","",IF(INDEX(ExpDep,$L1245)=0,"",INDEX(ExpDep,$L1245)))</f>
        <v/>
      </c>
      <c r="H1245" s="19">
        <f>IF($L1245="","",IF(INDEX(ExpWit,$L1245)=0,"",INDEX(ExpWit,$L1245)))</f>
        <v/>
      </c>
      <c r="I1245" s="20">
        <f>IF($B1245="","",IF($I1244="",0,$I1244)+IF($H1245="",0,$H1245)-IF($G1245="",0,$G1245))</f>
        <v/>
      </c>
      <c r="J1245" s="18">
        <f>IF($L1245="","",IF(INDEX(ExpNote,$L1245)="","—",INDEX(ExpNote,$L1245)))</f>
        <v/>
      </c>
      <c r="L1245">
        <f>IFERROR(MATCH($C$5&amp;"|"&amp;RIGHT("000000"&amp;1229,6),ExpRankKey,0),"")</f>
        <v/>
      </c>
    </row>
    <row r="1246">
      <c r="A1246" s="21" t="n">
        <v>1230</v>
      </c>
      <c r="B1246" s="22">
        <f>IF($L1246="","",INDEX(ExpNorm,$L1246))</f>
        <v/>
      </c>
      <c r="C1246" s="22">
        <f>IF($L1246="","",IF(INDEX(ExpTime,$L1246)="","—",LEFT(INDEX(ExpTime,$L1246),2)&amp;":"&amp;RIGHT(INDEX(ExpTime,$L1246),2)))</f>
        <v/>
      </c>
      <c r="D1246" s="22">
        <f>IF($L1246="","",IF(INDEX(ExpBank,$L1246)="","—",INDEX(ExpBank,$L1246)))</f>
        <v/>
      </c>
      <c r="E1246" s="23">
        <f>IF($L1246="","",IF(INDEX(ExpParty,$L1246)="","—",IFERROR(VLOOKUP(INDEX(ExpParty,$L1246),AcctTbl,4,0),INDEX(ExpParty,$L1246))))</f>
        <v/>
      </c>
      <c r="F1246" s="22">
        <f>IF($L1246="","",IF(INDEX(ExpType,$L1246)="","—",INDEX(ExpType,$L1246)))</f>
        <v/>
      </c>
      <c r="G1246" s="24">
        <f>IF($L1246="","",IF(INDEX(ExpDep,$L1246)=0,"",INDEX(ExpDep,$L1246)))</f>
        <v/>
      </c>
      <c r="H1246" s="24">
        <f>IF($L1246="","",IF(INDEX(ExpWit,$L1246)=0,"",INDEX(ExpWit,$L1246)))</f>
        <v/>
      </c>
      <c r="I1246" s="25">
        <f>IF($B1246="","",IF($I1245="",0,$I1245)+IF($H1246="",0,$H1246)-IF($G1246="",0,$G1246))</f>
        <v/>
      </c>
      <c r="J1246" s="23">
        <f>IF($L1246="","",IF(INDEX(ExpNote,$L1246)="","—",INDEX(ExpNote,$L1246)))</f>
        <v/>
      </c>
      <c r="L1246">
        <f>IFERROR(MATCH($C$5&amp;"|"&amp;RIGHT("000000"&amp;1230,6),ExpRankKey,0),"")</f>
        <v/>
      </c>
    </row>
    <row r="1247">
      <c r="A1247" s="16" t="n">
        <v>1231</v>
      </c>
      <c r="B1247" s="17">
        <f>IF($L1247="","",INDEX(ExpNorm,$L1247))</f>
        <v/>
      </c>
      <c r="C1247" s="17">
        <f>IF($L1247="","",IF(INDEX(ExpTime,$L1247)="","—",LEFT(INDEX(ExpTime,$L1247),2)&amp;":"&amp;RIGHT(INDEX(ExpTime,$L1247),2)))</f>
        <v/>
      </c>
      <c r="D1247" s="17">
        <f>IF($L1247="","",IF(INDEX(ExpBank,$L1247)="","—",INDEX(ExpBank,$L1247)))</f>
        <v/>
      </c>
      <c r="E1247" s="18">
        <f>IF($L1247="","",IF(INDEX(ExpParty,$L1247)="","—",IFERROR(VLOOKUP(INDEX(ExpParty,$L1247),AcctTbl,4,0),INDEX(ExpParty,$L1247))))</f>
        <v/>
      </c>
      <c r="F1247" s="17">
        <f>IF($L1247="","",IF(INDEX(ExpType,$L1247)="","—",INDEX(ExpType,$L1247)))</f>
        <v/>
      </c>
      <c r="G1247" s="19">
        <f>IF($L1247="","",IF(INDEX(ExpDep,$L1247)=0,"",INDEX(ExpDep,$L1247)))</f>
        <v/>
      </c>
      <c r="H1247" s="19">
        <f>IF($L1247="","",IF(INDEX(ExpWit,$L1247)=0,"",INDEX(ExpWit,$L1247)))</f>
        <v/>
      </c>
      <c r="I1247" s="20">
        <f>IF($B1247="","",IF($I1246="",0,$I1246)+IF($H1247="",0,$H1247)-IF($G1247="",0,$G1247))</f>
        <v/>
      </c>
      <c r="J1247" s="18">
        <f>IF($L1247="","",IF(INDEX(ExpNote,$L1247)="","—",INDEX(ExpNote,$L1247)))</f>
        <v/>
      </c>
      <c r="L1247">
        <f>IFERROR(MATCH($C$5&amp;"|"&amp;RIGHT("000000"&amp;1231,6),ExpRankKey,0),"")</f>
        <v/>
      </c>
    </row>
    <row r="1248">
      <c r="A1248" s="21" t="n">
        <v>1232</v>
      </c>
      <c r="B1248" s="22">
        <f>IF($L1248="","",INDEX(ExpNorm,$L1248))</f>
        <v/>
      </c>
      <c r="C1248" s="22">
        <f>IF($L1248="","",IF(INDEX(ExpTime,$L1248)="","—",LEFT(INDEX(ExpTime,$L1248),2)&amp;":"&amp;RIGHT(INDEX(ExpTime,$L1248),2)))</f>
        <v/>
      </c>
      <c r="D1248" s="22">
        <f>IF($L1248="","",IF(INDEX(ExpBank,$L1248)="","—",INDEX(ExpBank,$L1248)))</f>
        <v/>
      </c>
      <c r="E1248" s="23">
        <f>IF($L1248="","",IF(INDEX(ExpParty,$L1248)="","—",IFERROR(VLOOKUP(INDEX(ExpParty,$L1248),AcctTbl,4,0),INDEX(ExpParty,$L1248))))</f>
        <v/>
      </c>
      <c r="F1248" s="22">
        <f>IF($L1248="","",IF(INDEX(ExpType,$L1248)="","—",INDEX(ExpType,$L1248)))</f>
        <v/>
      </c>
      <c r="G1248" s="24">
        <f>IF($L1248="","",IF(INDEX(ExpDep,$L1248)=0,"",INDEX(ExpDep,$L1248)))</f>
        <v/>
      </c>
      <c r="H1248" s="24">
        <f>IF($L1248="","",IF(INDEX(ExpWit,$L1248)=0,"",INDEX(ExpWit,$L1248)))</f>
        <v/>
      </c>
      <c r="I1248" s="25">
        <f>IF($B1248="","",IF($I1247="",0,$I1247)+IF($H1248="",0,$H1248)-IF($G1248="",0,$G1248))</f>
        <v/>
      </c>
      <c r="J1248" s="23">
        <f>IF($L1248="","",IF(INDEX(ExpNote,$L1248)="","—",INDEX(ExpNote,$L1248)))</f>
        <v/>
      </c>
      <c r="L1248">
        <f>IFERROR(MATCH($C$5&amp;"|"&amp;RIGHT("000000"&amp;1232,6),ExpRankKey,0),"")</f>
        <v/>
      </c>
    </row>
    <row r="1249">
      <c r="A1249" s="16" t="n">
        <v>1233</v>
      </c>
      <c r="B1249" s="17">
        <f>IF($L1249="","",INDEX(ExpNorm,$L1249))</f>
        <v/>
      </c>
      <c r="C1249" s="17">
        <f>IF($L1249="","",IF(INDEX(ExpTime,$L1249)="","—",LEFT(INDEX(ExpTime,$L1249),2)&amp;":"&amp;RIGHT(INDEX(ExpTime,$L1249),2)))</f>
        <v/>
      </c>
      <c r="D1249" s="17">
        <f>IF($L1249="","",IF(INDEX(ExpBank,$L1249)="","—",INDEX(ExpBank,$L1249)))</f>
        <v/>
      </c>
      <c r="E1249" s="18">
        <f>IF($L1249="","",IF(INDEX(ExpParty,$L1249)="","—",IFERROR(VLOOKUP(INDEX(ExpParty,$L1249),AcctTbl,4,0),INDEX(ExpParty,$L1249))))</f>
        <v/>
      </c>
      <c r="F1249" s="17">
        <f>IF($L1249="","",IF(INDEX(ExpType,$L1249)="","—",INDEX(ExpType,$L1249)))</f>
        <v/>
      </c>
      <c r="G1249" s="19">
        <f>IF($L1249="","",IF(INDEX(ExpDep,$L1249)=0,"",INDEX(ExpDep,$L1249)))</f>
        <v/>
      </c>
      <c r="H1249" s="19">
        <f>IF($L1249="","",IF(INDEX(ExpWit,$L1249)=0,"",INDEX(ExpWit,$L1249)))</f>
        <v/>
      </c>
      <c r="I1249" s="20">
        <f>IF($B1249="","",IF($I1248="",0,$I1248)+IF($H1249="",0,$H1249)-IF($G1249="",0,$G1249))</f>
        <v/>
      </c>
      <c r="J1249" s="18">
        <f>IF($L1249="","",IF(INDEX(ExpNote,$L1249)="","—",INDEX(ExpNote,$L1249)))</f>
        <v/>
      </c>
      <c r="L1249">
        <f>IFERROR(MATCH($C$5&amp;"|"&amp;RIGHT("000000"&amp;1233,6),ExpRankKey,0),"")</f>
        <v/>
      </c>
    </row>
    <row r="1250">
      <c r="A1250" s="21" t="n">
        <v>1234</v>
      </c>
      <c r="B1250" s="22">
        <f>IF($L1250="","",INDEX(ExpNorm,$L1250))</f>
        <v/>
      </c>
      <c r="C1250" s="22">
        <f>IF($L1250="","",IF(INDEX(ExpTime,$L1250)="","—",LEFT(INDEX(ExpTime,$L1250),2)&amp;":"&amp;RIGHT(INDEX(ExpTime,$L1250),2)))</f>
        <v/>
      </c>
      <c r="D1250" s="22">
        <f>IF($L1250="","",IF(INDEX(ExpBank,$L1250)="","—",INDEX(ExpBank,$L1250)))</f>
        <v/>
      </c>
      <c r="E1250" s="23">
        <f>IF($L1250="","",IF(INDEX(ExpParty,$L1250)="","—",IFERROR(VLOOKUP(INDEX(ExpParty,$L1250),AcctTbl,4,0),INDEX(ExpParty,$L1250))))</f>
        <v/>
      </c>
      <c r="F1250" s="22">
        <f>IF($L1250="","",IF(INDEX(ExpType,$L1250)="","—",INDEX(ExpType,$L1250)))</f>
        <v/>
      </c>
      <c r="G1250" s="24">
        <f>IF($L1250="","",IF(INDEX(ExpDep,$L1250)=0,"",INDEX(ExpDep,$L1250)))</f>
        <v/>
      </c>
      <c r="H1250" s="24">
        <f>IF($L1250="","",IF(INDEX(ExpWit,$L1250)=0,"",INDEX(ExpWit,$L1250)))</f>
        <v/>
      </c>
      <c r="I1250" s="25">
        <f>IF($B1250="","",IF($I1249="",0,$I1249)+IF($H1250="",0,$H1250)-IF($G1250="",0,$G1250))</f>
        <v/>
      </c>
      <c r="J1250" s="23">
        <f>IF($L1250="","",IF(INDEX(ExpNote,$L1250)="","—",INDEX(ExpNote,$L1250)))</f>
        <v/>
      </c>
      <c r="L1250">
        <f>IFERROR(MATCH($C$5&amp;"|"&amp;RIGHT("000000"&amp;1234,6),ExpRankKey,0),"")</f>
        <v/>
      </c>
    </row>
    <row r="1251">
      <c r="A1251" s="16" t="n">
        <v>1235</v>
      </c>
      <c r="B1251" s="17">
        <f>IF($L1251="","",INDEX(ExpNorm,$L1251))</f>
        <v/>
      </c>
      <c r="C1251" s="17">
        <f>IF($L1251="","",IF(INDEX(ExpTime,$L1251)="","—",LEFT(INDEX(ExpTime,$L1251),2)&amp;":"&amp;RIGHT(INDEX(ExpTime,$L1251),2)))</f>
        <v/>
      </c>
      <c r="D1251" s="17">
        <f>IF($L1251="","",IF(INDEX(ExpBank,$L1251)="","—",INDEX(ExpBank,$L1251)))</f>
        <v/>
      </c>
      <c r="E1251" s="18">
        <f>IF($L1251="","",IF(INDEX(ExpParty,$L1251)="","—",IFERROR(VLOOKUP(INDEX(ExpParty,$L1251),AcctTbl,4,0),INDEX(ExpParty,$L1251))))</f>
        <v/>
      </c>
      <c r="F1251" s="17">
        <f>IF($L1251="","",IF(INDEX(ExpType,$L1251)="","—",INDEX(ExpType,$L1251)))</f>
        <v/>
      </c>
      <c r="G1251" s="19">
        <f>IF($L1251="","",IF(INDEX(ExpDep,$L1251)=0,"",INDEX(ExpDep,$L1251)))</f>
        <v/>
      </c>
      <c r="H1251" s="19">
        <f>IF($L1251="","",IF(INDEX(ExpWit,$L1251)=0,"",INDEX(ExpWit,$L1251)))</f>
        <v/>
      </c>
      <c r="I1251" s="20">
        <f>IF($B1251="","",IF($I1250="",0,$I1250)+IF($H1251="",0,$H1251)-IF($G1251="",0,$G1251))</f>
        <v/>
      </c>
      <c r="J1251" s="18">
        <f>IF($L1251="","",IF(INDEX(ExpNote,$L1251)="","—",INDEX(ExpNote,$L1251)))</f>
        <v/>
      </c>
      <c r="L1251">
        <f>IFERROR(MATCH($C$5&amp;"|"&amp;RIGHT("000000"&amp;1235,6),ExpRankKey,0),"")</f>
        <v/>
      </c>
    </row>
    <row r="1252">
      <c r="A1252" s="21" t="n">
        <v>1236</v>
      </c>
      <c r="B1252" s="22">
        <f>IF($L1252="","",INDEX(ExpNorm,$L1252))</f>
        <v/>
      </c>
      <c r="C1252" s="22">
        <f>IF($L1252="","",IF(INDEX(ExpTime,$L1252)="","—",LEFT(INDEX(ExpTime,$L1252),2)&amp;":"&amp;RIGHT(INDEX(ExpTime,$L1252),2)))</f>
        <v/>
      </c>
      <c r="D1252" s="22">
        <f>IF($L1252="","",IF(INDEX(ExpBank,$L1252)="","—",INDEX(ExpBank,$L1252)))</f>
        <v/>
      </c>
      <c r="E1252" s="23">
        <f>IF($L1252="","",IF(INDEX(ExpParty,$L1252)="","—",IFERROR(VLOOKUP(INDEX(ExpParty,$L1252),AcctTbl,4,0),INDEX(ExpParty,$L1252))))</f>
        <v/>
      </c>
      <c r="F1252" s="22">
        <f>IF($L1252="","",IF(INDEX(ExpType,$L1252)="","—",INDEX(ExpType,$L1252)))</f>
        <v/>
      </c>
      <c r="G1252" s="24">
        <f>IF($L1252="","",IF(INDEX(ExpDep,$L1252)=0,"",INDEX(ExpDep,$L1252)))</f>
        <v/>
      </c>
      <c r="H1252" s="24">
        <f>IF($L1252="","",IF(INDEX(ExpWit,$L1252)=0,"",INDEX(ExpWit,$L1252)))</f>
        <v/>
      </c>
      <c r="I1252" s="25">
        <f>IF($B1252="","",IF($I1251="",0,$I1251)+IF($H1252="",0,$H1252)-IF($G1252="",0,$G1252))</f>
        <v/>
      </c>
      <c r="J1252" s="23">
        <f>IF($L1252="","",IF(INDEX(ExpNote,$L1252)="","—",INDEX(ExpNote,$L1252)))</f>
        <v/>
      </c>
      <c r="L1252">
        <f>IFERROR(MATCH($C$5&amp;"|"&amp;RIGHT("000000"&amp;1236,6),ExpRankKey,0),"")</f>
        <v/>
      </c>
    </row>
    <row r="1253">
      <c r="A1253" s="16" t="n">
        <v>1237</v>
      </c>
      <c r="B1253" s="17">
        <f>IF($L1253="","",INDEX(ExpNorm,$L1253))</f>
        <v/>
      </c>
      <c r="C1253" s="17">
        <f>IF($L1253="","",IF(INDEX(ExpTime,$L1253)="","—",LEFT(INDEX(ExpTime,$L1253),2)&amp;":"&amp;RIGHT(INDEX(ExpTime,$L1253),2)))</f>
        <v/>
      </c>
      <c r="D1253" s="17">
        <f>IF($L1253="","",IF(INDEX(ExpBank,$L1253)="","—",INDEX(ExpBank,$L1253)))</f>
        <v/>
      </c>
      <c r="E1253" s="18">
        <f>IF($L1253="","",IF(INDEX(ExpParty,$L1253)="","—",IFERROR(VLOOKUP(INDEX(ExpParty,$L1253),AcctTbl,4,0),INDEX(ExpParty,$L1253))))</f>
        <v/>
      </c>
      <c r="F1253" s="17">
        <f>IF($L1253="","",IF(INDEX(ExpType,$L1253)="","—",INDEX(ExpType,$L1253)))</f>
        <v/>
      </c>
      <c r="G1253" s="19">
        <f>IF($L1253="","",IF(INDEX(ExpDep,$L1253)=0,"",INDEX(ExpDep,$L1253)))</f>
        <v/>
      </c>
      <c r="H1253" s="19">
        <f>IF($L1253="","",IF(INDEX(ExpWit,$L1253)=0,"",INDEX(ExpWit,$L1253)))</f>
        <v/>
      </c>
      <c r="I1253" s="20">
        <f>IF($B1253="","",IF($I1252="",0,$I1252)+IF($H1253="",0,$H1253)-IF($G1253="",0,$G1253))</f>
        <v/>
      </c>
      <c r="J1253" s="18">
        <f>IF($L1253="","",IF(INDEX(ExpNote,$L1253)="","—",INDEX(ExpNote,$L1253)))</f>
        <v/>
      </c>
      <c r="L1253">
        <f>IFERROR(MATCH($C$5&amp;"|"&amp;RIGHT("000000"&amp;1237,6),ExpRankKey,0),"")</f>
        <v/>
      </c>
    </row>
    <row r="1254">
      <c r="A1254" s="21" t="n">
        <v>1238</v>
      </c>
      <c r="B1254" s="22">
        <f>IF($L1254="","",INDEX(ExpNorm,$L1254))</f>
        <v/>
      </c>
      <c r="C1254" s="22">
        <f>IF($L1254="","",IF(INDEX(ExpTime,$L1254)="","—",LEFT(INDEX(ExpTime,$L1254),2)&amp;":"&amp;RIGHT(INDEX(ExpTime,$L1254),2)))</f>
        <v/>
      </c>
      <c r="D1254" s="22">
        <f>IF($L1254="","",IF(INDEX(ExpBank,$L1254)="","—",INDEX(ExpBank,$L1254)))</f>
        <v/>
      </c>
      <c r="E1254" s="23">
        <f>IF($L1254="","",IF(INDEX(ExpParty,$L1254)="","—",IFERROR(VLOOKUP(INDEX(ExpParty,$L1254),AcctTbl,4,0),INDEX(ExpParty,$L1254))))</f>
        <v/>
      </c>
      <c r="F1254" s="22">
        <f>IF($L1254="","",IF(INDEX(ExpType,$L1254)="","—",INDEX(ExpType,$L1254)))</f>
        <v/>
      </c>
      <c r="G1254" s="24">
        <f>IF($L1254="","",IF(INDEX(ExpDep,$L1254)=0,"",INDEX(ExpDep,$L1254)))</f>
        <v/>
      </c>
      <c r="H1254" s="24">
        <f>IF($L1254="","",IF(INDEX(ExpWit,$L1254)=0,"",INDEX(ExpWit,$L1254)))</f>
        <v/>
      </c>
      <c r="I1254" s="25">
        <f>IF($B1254="","",IF($I1253="",0,$I1253)+IF($H1254="",0,$H1254)-IF($G1254="",0,$G1254))</f>
        <v/>
      </c>
      <c r="J1254" s="23">
        <f>IF($L1254="","",IF(INDEX(ExpNote,$L1254)="","—",INDEX(ExpNote,$L1254)))</f>
        <v/>
      </c>
      <c r="L1254">
        <f>IFERROR(MATCH($C$5&amp;"|"&amp;RIGHT("000000"&amp;1238,6),ExpRankKey,0),"")</f>
        <v/>
      </c>
    </row>
    <row r="1255">
      <c r="A1255" s="16" t="n">
        <v>1239</v>
      </c>
      <c r="B1255" s="17">
        <f>IF($L1255="","",INDEX(ExpNorm,$L1255))</f>
        <v/>
      </c>
      <c r="C1255" s="17">
        <f>IF($L1255="","",IF(INDEX(ExpTime,$L1255)="","—",LEFT(INDEX(ExpTime,$L1255),2)&amp;":"&amp;RIGHT(INDEX(ExpTime,$L1255),2)))</f>
        <v/>
      </c>
      <c r="D1255" s="17">
        <f>IF($L1255="","",IF(INDEX(ExpBank,$L1255)="","—",INDEX(ExpBank,$L1255)))</f>
        <v/>
      </c>
      <c r="E1255" s="18">
        <f>IF($L1255="","",IF(INDEX(ExpParty,$L1255)="","—",IFERROR(VLOOKUP(INDEX(ExpParty,$L1255),AcctTbl,4,0),INDEX(ExpParty,$L1255))))</f>
        <v/>
      </c>
      <c r="F1255" s="17">
        <f>IF($L1255="","",IF(INDEX(ExpType,$L1255)="","—",INDEX(ExpType,$L1255)))</f>
        <v/>
      </c>
      <c r="G1255" s="19">
        <f>IF($L1255="","",IF(INDEX(ExpDep,$L1255)=0,"",INDEX(ExpDep,$L1255)))</f>
        <v/>
      </c>
      <c r="H1255" s="19">
        <f>IF($L1255="","",IF(INDEX(ExpWit,$L1255)=0,"",INDEX(ExpWit,$L1255)))</f>
        <v/>
      </c>
      <c r="I1255" s="20">
        <f>IF($B1255="","",IF($I1254="",0,$I1254)+IF($H1255="",0,$H1255)-IF($G1255="",0,$G1255))</f>
        <v/>
      </c>
      <c r="J1255" s="18">
        <f>IF($L1255="","",IF(INDEX(ExpNote,$L1255)="","—",INDEX(ExpNote,$L1255)))</f>
        <v/>
      </c>
      <c r="L1255">
        <f>IFERROR(MATCH($C$5&amp;"|"&amp;RIGHT("000000"&amp;1239,6),ExpRankKey,0),"")</f>
        <v/>
      </c>
    </row>
    <row r="1256">
      <c r="A1256" s="21" t="n">
        <v>1240</v>
      </c>
      <c r="B1256" s="22">
        <f>IF($L1256="","",INDEX(ExpNorm,$L1256))</f>
        <v/>
      </c>
      <c r="C1256" s="22">
        <f>IF($L1256="","",IF(INDEX(ExpTime,$L1256)="","—",LEFT(INDEX(ExpTime,$L1256),2)&amp;":"&amp;RIGHT(INDEX(ExpTime,$L1256),2)))</f>
        <v/>
      </c>
      <c r="D1256" s="22">
        <f>IF($L1256="","",IF(INDEX(ExpBank,$L1256)="","—",INDEX(ExpBank,$L1256)))</f>
        <v/>
      </c>
      <c r="E1256" s="23">
        <f>IF($L1256="","",IF(INDEX(ExpParty,$L1256)="","—",IFERROR(VLOOKUP(INDEX(ExpParty,$L1256),AcctTbl,4,0),INDEX(ExpParty,$L1256))))</f>
        <v/>
      </c>
      <c r="F1256" s="22">
        <f>IF($L1256="","",IF(INDEX(ExpType,$L1256)="","—",INDEX(ExpType,$L1256)))</f>
        <v/>
      </c>
      <c r="G1256" s="24">
        <f>IF($L1256="","",IF(INDEX(ExpDep,$L1256)=0,"",INDEX(ExpDep,$L1256)))</f>
        <v/>
      </c>
      <c r="H1256" s="24">
        <f>IF($L1256="","",IF(INDEX(ExpWit,$L1256)=0,"",INDEX(ExpWit,$L1256)))</f>
        <v/>
      </c>
      <c r="I1256" s="25">
        <f>IF($B1256="","",IF($I1255="",0,$I1255)+IF($H1256="",0,$H1256)-IF($G1256="",0,$G1256))</f>
        <v/>
      </c>
      <c r="J1256" s="23">
        <f>IF($L1256="","",IF(INDEX(ExpNote,$L1256)="","—",INDEX(ExpNote,$L1256)))</f>
        <v/>
      </c>
      <c r="L1256">
        <f>IFERROR(MATCH($C$5&amp;"|"&amp;RIGHT("000000"&amp;1240,6),ExpRankKey,0),"")</f>
        <v/>
      </c>
    </row>
    <row r="1257">
      <c r="A1257" s="16" t="n">
        <v>1241</v>
      </c>
      <c r="B1257" s="17">
        <f>IF($L1257="","",INDEX(ExpNorm,$L1257))</f>
        <v/>
      </c>
      <c r="C1257" s="17">
        <f>IF($L1257="","",IF(INDEX(ExpTime,$L1257)="","—",LEFT(INDEX(ExpTime,$L1257),2)&amp;":"&amp;RIGHT(INDEX(ExpTime,$L1257),2)))</f>
        <v/>
      </c>
      <c r="D1257" s="17">
        <f>IF($L1257="","",IF(INDEX(ExpBank,$L1257)="","—",INDEX(ExpBank,$L1257)))</f>
        <v/>
      </c>
      <c r="E1257" s="18">
        <f>IF($L1257="","",IF(INDEX(ExpParty,$L1257)="","—",IFERROR(VLOOKUP(INDEX(ExpParty,$L1257),AcctTbl,4,0),INDEX(ExpParty,$L1257))))</f>
        <v/>
      </c>
      <c r="F1257" s="17">
        <f>IF($L1257="","",IF(INDEX(ExpType,$L1257)="","—",INDEX(ExpType,$L1257)))</f>
        <v/>
      </c>
      <c r="G1257" s="19">
        <f>IF($L1257="","",IF(INDEX(ExpDep,$L1257)=0,"",INDEX(ExpDep,$L1257)))</f>
        <v/>
      </c>
      <c r="H1257" s="19">
        <f>IF($L1257="","",IF(INDEX(ExpWit,$L1257)=0,"",INDEX(ExpWit,$L1257)))</f>
        <v/>
      </c>
      <c r="I1257" s="20">
        <f>IF($B1257="","",IF($I1256="",0,$I1256)+IF($H1257="",0,$H1257)-IF($G1257="",0,$G1257))</f>
        <v/>
      </c>
      <c r="J1257" s="18">
        <f>IF($L1257="","",IF(INDEX(ExpNote,$L1257)="","—",INDEX(ExpNote,$L1257)))</f>
        <v/>
      </c>
      <c r="L1257">
        <f>IFERROR(MATCH($C$5&amp;"|"&amp;RIGHT("000000"&amp;1241,6),ExpRankKey,0),"")</f>
        <v/>
      </c>
    </row>
    <row r="1258">
      <c r="A1258" s="21" t="n">
        <v>1242</v>
      </c>
      <c r="B1258" s="22">
        <f>IF($L1258="","",INDEX(ExpNorm,$L1258))</f>
        <v/>
      </c>
      <c r="C1258" s="22">
        <f>IF($L1258="","",IF(INDEX(ExpTime,$L1258)="","—",LEFT(INDEX(ExpTime,$L1258),2)&amp;":"&amp;RIGHT(INDEX(ExpTime,$L1258),2)))</f>
        <v/>
      </c>
      <c r="D1258" s="22">
        <f>IF($L1258="","",IF(INDEX(ExpBank,$L1258)="","—",INDEX(ExpBank,$L1258)))</f>
        <v/>
      </c>
      <c r="E1258" s="23">
        <f>IF($L1258="","",IF(INDEX(ExpParty,$L1258)="","—",IFERROR(VLOOKUP(INDEX(ExpParty,$L1258),AcctTbl,4,0),INDEX(ExpParty,$L1258))))</f>
        <v/>
      </c>
      <c r="F1258" s="22">
        <f>IF($L1258="","",IF(INDEX(ExpType,$L1258)="","—",INDEX(ExpType,$L1258)))</f>
        <v/>
      </c>
      <c r="G1258" s="24">
        <f>IF($L1258="","",IF(INDEX(ExpDep,$L1258)=0,"",INDEX(ExpDep,$L1258)))</f>
        <v/>
      </c>
      <c r="H1258" s="24">
        <f>IF($L1258="","",IF(INDEX(ExpWit,$L1258)=0,"",INDEX(ExpWit,$L1258)))</f>
        <v/>
      </c>
      <c r="I1258" s="25">
        <f>IF($B1258="","",IF($I1257="",0,$I1257)+IF($H1258="",0,$H1258)-IF($G1258="",0,$G1258))</f>
        <v/>
      </c>
      <c r="J1258" s="23">
        <f>IF($L1258="","",IF(INDEX(ExpNote,$L1258)="","—",INDEX(ExpNote,$L1258)))</f>
        <v/>
      </c>
      <c r="L1258">
        <f>IFERROR(MATCH($C$5&amp;"|"&amp;RIGHT("000000"&amp;1242,6),ExpRankKey,0),"")</f>
        <v/>
      </c>
    </row>
    <row r="1259">
      <c r="A1259" s="16" t="n">
        <v>1243</v>
      </c>
      <c r="B1259" s="17">
        <f>IF($L1259="","",INDEX(ExpNorm,$L1259))</f>
        <v/>
      </c>
      <c r="C1259" s="17">
        <f>IF($L1259="","",IF(INDEX(ExpTime,$L1259)="","—",LEFT(INDEX(ExpTime,$L1259),2)&amp;":"&amp;RIGHT(INDEX(ExpTime,$L1259),2)))</f>
        <v/>
      </c>
      <c r="D1259" s="17">
        <f>IF($L1259="","",IF(INDEX(ExpBank,$L1259)="","—",INDEX(ExpBank,$L1259)))</f>
        <v/>
      </c>
      <c r="E1259" s="18">
        <f>IF($L1259="","",IF(INDEX(ExpParty,$L1259)="","—",IFERROR(VLOOKUP(INDEX(ExpParty,$L1259),AcctTbl,4,0),INDEX(ExpParty,$L1259))))</f>
        <v/>
      </c>
      <c r="F1259" s="17">
        <f>IF($L1259="","",IF(INDEX(ExpType,$L1259)="","—",INDEX(ExpType,$L1259)))</f>
        <v/>
      </c>
      <c r="G1259" s="19">
        <f>IF($L1259="","",IF(INDEX(ExpDep,$L1259)=0,"",INDEX(ExpDep,$L1259)))</f>
        <v/>
      </c>
      <c r="H1259" s="19">
        <f>IF($L1259="","",IF(INDEX(ExpWit,$L1259)=0,"",INDEX(ExpWit,$L1259)))</f>
        <v/>
      </c>
      <c r="I1259" s="20">
        <f>IF($B1259="","",IF($I1258="",0,$I1258)+IF($H1259="",0,$H1259)-IF($G1259="",0,$G1259))</f>
        <v/>
      </c>
      <c r="J1259" s="18">
        <f>IF($L1259="","",IF(INDEX(ExpNote,$L1259)="","—",INDEX(ExpNote,$L1259)))</f>
        <v/>
      </c>
      <c r="L1259">
        <f>IFERROR(MATCH($C$5&amp;"|"&amp;RIGHT("000000"&amp;1243,6),ExpRankKey,0),"")</f>
        <v/>
      </c>
    </row>
    <row r="1260">
      <c r="A1260" s="21" t="n">
        <v>1244</v>
      </c>
      <c r="B1260" s="22">
        <f>IF($L1260="","",INDEX(ExpNorm,$L1260))</f>
        <v/>
      </c>
      <c r="C1260" s="22">
        <f>IF($L1260="","",IF(INDEX(ExpTime,$L1260)="","—",LEFT(INDEX(ExpTime,$L1260),2)&amp;":"&amp;RIGHT(INDEX(ExpTime,$L1260),2)))</f>
        <v/>
      </c>
      <c r="D1260" s="22">
        <f>IF($L1260="","",IF(INDEX(ExpBank,$L1260)="","—",INDEX(ExpBank,$L1260)))</f>
        <v/>
      </c>
      <c r="E1260" s="23">
        <f>IF($L1260="","",IF(INDEX(ExpParty,$L1260)="","—",IFERROR(VLOOKUP(INDEX(ExpParty,$L1260),AcctTbl,4,0),INDEX(ExpParty,$L1260))))</f>
        <v/>
      </c>
      <c r="F1260" s="22">
        <f>IF($L1260="","",IF(INDEX(ExpType,$L1260)="","—",INDEX(ExpType,$L1260)))</f>
        <v/>
      </c>
      <c r="G1260" s="24">
        <f>IF($L1260="","",IF(INDEX(ExpDep,$L1260)=0,"",INDEX(ExpDep,$L1260)))</f>
        <v/>
      </c>
      <c r="H1260" s="24">
        <f>IF($L1260="","",IF(INDEX(ExpWit,$L1260)=0,"",INDEX(ExpWit,$L1260)))</f>
        <v/>
      </c>
      <c r="I1260" s="25">
        <f>IF($B1260="","",IF($I1259="",0,$I1259)+IF($H1260="",0,$H1260)-IF($G1260="",0,$G1260))</f>
        <v/>
      </c>
      <c r="J1260" s="23">
        <f>IF($L1260="","",IF(INDEX(ExpNote,$L1260)="","—",INDEX(ExpNote,$L1260)))</f>
        <v/>
      </c>
      <c r="L1260">
        <f>IFERROR(MATCH($C$5&amp;"|"&amp;RIGHT("000000"&amp;1244,6),ExpRankKey,0),"")</f>
        <v/>
      </c>
    </row>
    <row r="1261">
      <c r="A1261" s="16" t="n">
        <v>1245</v>
      </c>
      <c r="B1261" s="17">
        <f>IF($L1261="","",INDEX(ExpNorm,$L1261))</f>
        <v/>
      </c>
      <c r="C1261" s="17">
        <f>IF($L1261="","",IF(INDEX(ExpTime,$L1261)="","—",LEFT(INDEX(ExpTime,$L1261),2)&amp;":"&amp;RIGHT(INDEX(ExpTime,$L1261),2)))</f>
        <v/>
      </c>
      <c r="D1261" s="17">
        <f>IF($L1261="","",IF(INDEX(ExpBank,$L1261)="","—",INDEX(ExpBank,$L1261)))</f>
        <v/>
      </c>
      <c r="E1261" s="18">
        <f>IF($L1261="","",IF(INDEX(ExpParty,$L1261)="","—",IFERROR(VLOOKUP(INDEX(ExpParty,$L1261),AcctTbl,4,0),INDEX(ExpParty,$L1261))))</f>
        <v/>
      </c>
      <c r="F1261" s="17">
        <f>IF($L1261="","",IF(INDEX(ExpType,$L1261)="","—",INDEX(ExpType,$L1261)))</f>
        <v/>
      </c>
      <c r="G1261" s="19">
        <f>IF($L1261="","",IF(INDEX(ExpDep,$L1261)=0,"",INDEX(ExpDep,$L1261)))</f>
        <v/>
      </c>
      <c r="H1261" s="19">
        <f>IF($L1261="","",IF(INDEX(ExpWit,$L1261)=0,"",INDEX(ExpWit,$L1261)))</f>
        <v/>
      </c>
      <c r="I1261" s="20">
        <f>IF($B1261="","",IF($I1260="",0,$I1260)+IF($H1261="",0,$H1261)-IF($G1261="",0,$G1261))</f>
        <v/>
      </c>
      <c r="J1261" s="18">
        <f>IF($L1261="","",IF(INDEX(ExpNote,$L1261)="","—",INDEX(ExpNote,$L1261)))</f>
        <v/>
      </c>
      <c r="L1261">
        <f>IFERROR(MATCH($C$5&amp;"|"&amp;RIGHT("000000"&amp;1245,6),ExpRankKey,0),"")</f>
        <v/>
      </c>
    </row>
    <row r="1262">
      <c r="A1262" s="21" t="n">
        <v>1246</v>
      </c>
      <c r="B1262" s="22">
        <f>IF($L1262="","",INDEX(ExpNorm,$L1262))</f>
        <v/>
      </c>
      <c r="C1262" s="22">
        <f>IF($L1262="","",IF(INDEX(ExpTime,$L1262)="","—",LEFT(INDEX(ExpTime,$L1262),2)&amp;":"&amp;RIGHT(INDEX(ExpTime,$L1262),2)))</f>
        <v/>
      </c>
      <c r="D1262" s="22">
        <f>IF($L1262="","",IF(INDEX(ExpBank,$L1262)="","—",INDEX(ExpBank,$L1262)))</f>
        <v/>
      </c>
      <c r="E1262" s="23">
        <f>IF($L1262="","",IF(INDEX(ExpParty,$L1262)="","—",IFERROR(VLOOKUP(INDEX(ExpParty,$L1262),AcctTbl,4,0),INDEX(ExpParty,$L1262))))</f>
        <v/>
      </c>
      <c r="F1262" s="22">
        <f>IF($L1262="","",IF(INDEX(ExpType,$L1262)="","—",INDEX(ExpType,$L1262)))</f>
        <v/>
      </c>
      <c r="G1262" s="24">
        <f>IF($L1262="","",IF(INDEX(ExpDep,$L1262)=0,"",INDEX(ExpDep,$L1262)))</f>
        <v/>
      </c>
      <c r="H1262" s="24">
        <f>IF($L1262="","",IF(INDEX(ExpWit,$L1262)=0,"",INDEX(ExpWit,$L1262)))</f>
        <v/>
      </c>
      <c r="I1262" s="25">
        <f>IF($B1262="","",IF($I1261="",0,$I1261)+IF($H1262="",0,$H1262)-IF($G1262="",0,$G1262))</f>
        <v/>
      </c>
      <c r="J1262" s="23">
        <f>IF($L1262="","",IF(INDEX(ExpNote,$L1262)="","—",INDEX(ExpNote,$L1262)))</f>
        <v/>
      </c>
      <c r="L1262">
        <f>IFERROR(MATCH($C$5&amp;"|"&amp;RIGHT("000000"&amp;1246,6),ExpRankKey,0),"")</f>
        <v/>
      </c>
    </row>
    <row r="1263">
      <c r="A1263" s="16" t="n">
        <v>1247</v>
      </c>
      <c r="B1263" s="17">
        <f>IF($L1263="","",INDEX(ExpNorm,$L1263))</f>
        <v/>
      </c>
      <c r="C1263" s="17">
        <f>IF($L1263="","",IF(INDEX(ExpTime,$L1263)="","—",LEFT(INDEX(ExpTime,$L1263),2)&amp;":"&amp;RIGHT(INDEX(ExpTime,$L1263),2)))</f>
        <v/>
      </c>
      <c r="D1263" s="17">
        <f>IF($L1263="","",IF(INDEX(ExpBank,$L1263)="","—",INDEX(ExpBank,$L1263)))</f>
        <v/>
      </c>
      <c r="E1263" s="18">
        <f>IF($L1263="","",IF(INDEX(ExpParty,$L1263)="","—",IFERROR(VLOOKUP(INDEX(ExpParty,$L1263),AcctTbl,4,0),INDEX(ExpParty,$L1263))))</f>
        <v/>
      </c>
      <c r="F1263" s="17">
        <f>IF($L1263="","",IF(INDEX(ExpType,$L1263)="","—",INDEX(ExpType,$L1263)))</f>
        <v/>
      </c>
      <c r="G1263" s="19">
        <f>IF($L1263="","",IF(INDEX(ExpDep,$L1263)=0,"",INDEX(ExpDep,$L1263)))</f>
        <v/>
      </c>
      <c r="H1263" s="19">
        <f>IF($L1263="","",IF(INDEX(ExpWit,$L1263)=0,"",INDEX(ExpWit,$L1263)))</f>
        <v/>
      </c>
      <c r="I1263" s="20">
        <f>IF($B1263="","",IF($I1262="",0,$I1262)+IF($H1263="",0,$H1263)-IF($G1263="",0,$G1263))</f>
        <v/>
      </c>
      <c r="J1263" s="18">
        <f>IF($L1263="","",IF(INDEX(ExpNote,$L1263)="","—",INDEX(ExpNote,$L1263)))</f>
        <v/>
      </c>
      <c r="L1263">
        <f>IFERROR(MATCH($C$5&amp;"|"&amp;RIGHT("000000"&amp;1247,6),ExpRankKey,0),"")</f>
        <v/>
      </c>
    </row>
    <row r="1264">
      <c r="A1264" s="21" t="n">
        <v>1248</v>
      </c>
      <c r="B1264" s="22">
        <f>IF($L1264="","",INDEX(ExpNorm,$L1264))</f>
        <v/>
      </c>
      <c r="C1264" s="22">
        <f>IF($L1264="","",IF(INDEX(ExpTime,$L1264)="","—",LEFT(INDEX(ExpTime,$L1264),2)&amp;":"&amp;RIGHT(INDEX(ExpTime,$L1264),2)))</f>
        <v/>
      </c>
      <c r="D1264" s="22">
        <f>IF($L1264="","",IF(INDEX(ExpBank,$L1264)="","—",INDEX(ExpBank,$L1264)))</f>
        <v/>
      </c>
      <c r="E1264" s="23">
        <f>IF($L1264="","",IF(INDEX(ExpParty,$L1264)="","—",IFERROR(VLOOKUP(INDEX(ExpParty,$L1264),AcctTbl,4,0),INDEX(ExpParty,$L1264))))</f>
        <v/>
      </c>
      <c r="F1264" s="22">
        <f>IF($L1264="","",IF(INDEX(ExpType,$L1264)="","—",INDEX(ExpType,$L1264)))</f>
        <v/>
      </c>
      <c r="G1264" s="24">
        <f>IF($L1264="","",IF(INDEX(ExpDep,$L1264)=0,"",INDEX(ExpDep,$L1264)))</f>
        <v/>
      </c>
      <c r="H1264" s="24">
        <f>IF($L1264="","",IF(INDEX(ExpWit,$L1264)=0,"",INDEX(ExpWit,$L1264)))</f>
        <v/>
      </c>
      <c r="I1264" s="25">
        <f>IF($B1264="","",IF($I1263="",0,$I1263)+IF($H1264="",0,$H1264)-IF($G1264="",0,$G1264))</f>
        <v/>
      </c>
      <c r="J1264" s="23">
        <f>IF($L1264="","",IF(INDEX(ExpNote,$L1264)="","—",INDEX(ExpNote,$L1264)))</f>
        <v/>
      </c>
      <c r="L1264">
        <f>IFERROR(MATCH($C$5&amp;"|"&amp;RIGHT("000000"&amp;1248,6),ExpRankKey,0),"")</f>
        <v/>
      </c>
    </row>
    <row r="1265">
      <c r="A1265" s="16" t="n">
        <v>1249</v>
      </c>
      <c r="B1265" s="17">
        <f>IF($L1265="","",INDEX(ExpNorm,$L1265))</f>
        <v/>
      </c>
      <c r="C1265" s="17">
        <f>IF($L1265="","",IF(INDEX(ExpTime,$L1265)="","—",LEFT(INDEX(ExpTime,$L1265),2)&amp;":"&amp;RIGHT(INDEX(ExpTime,$L1265),2)))</f>
        <v/>
      </c>
      <c r="D1265" s="17">
        <f>IF($L1265="","",IF(INDEX(ExpBank,$L1265)="","—",INDEX(ExpBank,$L1265)))</f>
        <v/>
      </c>
      <c r="E1265" s="18">
        <f>IF($L1265="","",IF(INDEX(ExpParty,$L1265)="","—",IFERROR(VLOOKUP(INDEX(ExpParty,$L1265),AcctTbl,4,0),INDEX(ExpParty,$L1265))))</f>
        <v/>
      </c>
      <c r="F1265" s="17">
        <f>IF($L1265="","",IF(INDEX(ExpType,$L1265)="","—",INDEX(ExpType,$L1265)))</f>
        <v/>
      </c>
      <c r="G1265" s="19">
        <f>IF($L1265="","",IF(INDEX(ExpDep,$L1265)=0,"",INDEX(ExpDep,$L1265)))</f>
        <v/>
      </c>
      <c r="H1265" s="19">
        <f>IF($L1265="","",IF(INDEX(ExpWit,$L1265)=0,"",INDEX(ExpWit,$L1265)))</f>
        <v/>
      </c>
      <c r="I1265" s="20">
        <f>IF($B1265="","",IF($I1264="",0,$I1264)+IF($H1265="",0,$H1265)-IF($G1265="",0,$G1265))</f>
        <v/>
      </c>
      <c r="J1265" s="18">
        <f>IF($L1265="","",IF(INDEX(ExpNote,$L1265)="","—",INDEX(ExpNote,$L1265)))</f>
        <v/>
      </c>
      <c r="L1265">
        <f>IFERROR(MATCH($C$5&amp;"|"&amp;RIGHT("000000"&amp;1249,6),ExpRankKey,0),"")</f>
        <v/>
      </c>
    </row>
    <row r="1266">
      <c r="A1266" s="21" t="n">
        <v>1250</v>
      </c>
      <c r="B1266" s="22">
        <f>IF($L1266="","",INDEX(ExpNorm,$L1266))</f>
        <v/>
      </c>
      <c r="C1266" s="22">
        <f>IF($L1266="","",IF(INDEX(ExpTime,$L1266)="","—",LEFT(INDEX(ExpTime,$L1266),2)&amp;":"&amp;RIGHT(INDEX(ExpTime,$L1266),2)))</f>
        <v/>
      </c>
      <c r="D1266" s="22">
        <f>IF($L1266="","",IF(INDEX(ExpBank,$L1266)="","—",INDEX(ExpBank,$L1266)))</f>
        <v/>
      </c>
      <c r="E1266" s="23">
        <f>IF($L1266="","",IF(INDEX(ExpParty,$L1266)="","—",IFERROR(VLOOKUP(INDEX(ExpParty,$L1266),AcctTbl,4,0),INDEX(ExpParty,$L1266))))</f>
        <v/>
      </c>
      <c r="F1266" s="22">
        <f>IF($L1266="","",IF(INDEX(ExpType,$L1266)="","—",INDEX(ExpType,$L1266)))</f>
        <v/>
      </c>
      <c r="G1266" s="24">
        <f>IF($L1266="","",IF(INDEX(ExpDep,$L1266)=0,"",INDEX(ExpDep,$L1266)))</f>
        <v/>
      </c>
      <c r="H1266" s="24">
        <f>IF($L1266="","",IF(INDEX(ExpWit,$L1266)=0,"",INDEX(ExpWit,$L1266)))</f>
        <v/>
      </c>
      <c r="I1266" s="25">
        <f>IF($B1266="","",IF($I1265="",0,$I1265)+IF($H1266="",0,$H1266)-IF($G1266="",0,$G1266))</f>
        <v/>
      </c>
      <c r="J1266" s="23">
        <f>IF($L1266="","",IF(INDEX(ExpNote,$L1266)="","—",INDEX(ExpNote,$L1266)))</f>
        <v/>
      </c>
      <c r="L1266">
        <f>IFERROR(MATCH($C$5&amp;"|"&amp;RIGHT("000000"&amp;1250,6),ExpRankKey,0),"")</f>
        <v/>
      </c>
    </row>
    <row r="1267">
      <c r="A1267" s="16" t="n">
        <v>1251</v>
      </c>
      <c r="B1267" s="17">
        <f>IF($L1267="","",INDEX(ExpNorm,$L1267))</f>
        <v/>
      </c>
      <c r="C1267" s="17">
        <f>IF($L1267="","",IF(INDEX(ExpTime,$L1267)="","—",LEFT(INDEX(ExpTime,$L1267),2)&amp;":"&amp;RIGHT(INDEX(ExpTime,$L1267),2)))</f>
        <v/>
      </c>
      <c r="D1267" s="17">
        <f>IF($L1267="","",IF(INDEX(ExpBank,$L1267)="","—",INDEX(ExpBank,$L1267)))</f>
        <v/>
      </c>
      <c r="E1267" s="18">
        <f>IF($L1267="","",IF(INDEX(ExpParty,$L1267)="","—",IFERROR(VLOOKUP(INDEX(ExpParty,$L1267),AcctTbl,4,0),INDEX(ExpParty,$L1267))))</f>
        <v/>
      </c>
      <c r="F1267" s="17">
        <f>IF($L1267="","",IF(INDEX(ExpType,$L1267)="","—",INDEX(ExpType,$L1267)))</f>
        <v/>
      </c>
      <c r="G1267" s="19">
        <f>IF($L1267="","",IF(INDEX(ExpDep,$L1267)=0,"",INDEX(ExpDep,$L1267)))</f>
        <v/>
      </c>
      <c r="H1267" s="19">
        <f>IF($L1267="","",IF(INDEX(ExpWit,$L1267)=0,"",INDEX(ExpWit,$L1267)))</f>
        <v/>
      </c>
      <c r="I1267" s="20">
        <f>IF($B1267="","",IF($I1266="",0,$I1266)+IF($H1267="",0,$H1267)-IF($G1267="",0,$G1267))</f>
        <v/>
      </c>
      <c r="J1267" s="18">
        <f>IF($L1267="","",IF(INDEX(ExpNote,$L1267)="","—",INDEX(ExpNote,$L1267)))</f>
        <v/>
      </c>
      <c r="L1267">
        <f>IFERROR(MATCH($C$5&amp;"|"&amp;RIGHT("000000"&amp;1251,6),ExpRankKey,0),"")</f>
        <v/>
      </c>
    </row>
    <row r="1268">
      <c r="A1268" s="21" t="n">
        <v>1252</v>
      </c>
      <c r="B1268" s="22">
        <f>IF($L1268="","",INDEX(ExpNorm,$L1268))</f>
        <v/>
      </c>
      <c r="C1268" s="22">
        <f>IF($L1268="","",IF(INDEX(ExpTime,$L1268)="","—",LEFT(INDEX(ExpTime,$L1268),2)&amp;":"&amp;RIGHT(INDEX(ExpTime,$L1268),2)))</f>
        <v/>
      </c>
      <c r="D1268" s="22">
        <f>IF($L1268="","",IF(INDEX(ExpBank,$L1268)="","—",INDEX(ExpBank,$L1268)))</f>
        <v/>
      </c>
      <c r="E1268" s="23">
        <f>IF($L1268="","",IF(INDEX(ExpParty,$L1268)="","—",IFERROR(VLOOKUP(INDEX(ExpParty,$L1268),AcctTbl,4,0),INDEX(ExpParty,$L1268))))</f>
        <v/>
      </c>
      <c r="F1268" s="22">
        <f>IF($L1268="","",IF(INDEX(ExpType,$L1268)="","—",INDEX(ExpType,$L1268)))</f>
        <v/>
      </c>
      <c r="G1268" s="24">
        <f>IF($L1268="","",IF(INDEX(ExpDep,$L1268)=0,"",INDEX(ExpDep,$L1268)))</f>
        <v/>
      </c>
      <c r="H1268" s="24">
        <f>IF($L1268="","",IF(INDEX(ExpWit,$L1268)=0,"",INDEX(ExpWit,$L1268)))</f>
        <v/>
      </c>
      <c r="I1268" s="25">
        <f>IF($B1268="","",IF($I1267="",0,$I1267)+IF($H1268="",0,$H1268)-IF($G1268="",0,$G1268))</f>
        <v/>
      </c>
      <c r="J1268" s="23">
        <f>IF($L1268="","",IF(INDEX(ExpNote,$L1268)="","—",INDEX(ExpNote,$L1268)))</f>
        <v/>
      </c>
      <c r="L1268">
        <f>IFERROR(MATCH($C$5&amp;"|"&amp;RIGHT("000000"&amp;1252,6),ExpRankKey,0),"")</f>
        <v/>
      </c>
    </row>
    <row r="1269">
      <c r="A1269" s="16" t="n">
        <v>1253</v>
      </c>
      <c r="B1269" s="17">
        <f>IF($L1269="","",INDEX(ExpNorm,$L1269))</f>
        <v/>
      </c>
      <c r="C1269" s="17">
        <f>IF($L1269="","",IF(INDEX(ExpTime,$L1269)="","—",LEFT(INDEX(ExpTime,$L1269),2)&amp;":"&amp;RIGHT(INDEX(ExpTime,$L1269),2)))</f>
        <v/>
      </c>
      <c r="D1269" s="17">
        <f>IF($L1269="","",IF(INDEX(ExpBank,$L1269)="","—",INDEX(ExpBank,$L1269)))</f>
        <v/>
      </c>
      <c r="E1269" s="18">
        <f>IF($L1269="","",IF(INDEX(ExpParty,$L1269)="","—",IFERROR(VLOOKUP(INDEX(ExpParty,$L1269),AcctTbl,4,0),INDEX(ExpParty,$L1269))))</f>
        <v/>
      </c>
      <c r="F1269" s="17">
        <f>IF($L1269="","",IF(INDEX(ExpType,$L1269)="","—",INDEX(ExpType,$L1269)))</f>
        <v/>
      </c>
      <c r="G1269" s="19">
        <f>IF($L1269="","",IF(INDEX(ExpDep,$L1269)=0,"",INDEX(ExpDep,$L1269)))</f>
        <v/>
      </c>
      <c r="H1269" s="19">
        <f>IF($L1269="","",IF(INDEX(ExpWit,$L1269)=0,"",INDEX(ExpWit,$L1269)))</f>
        <v/>
      </c>
      <c r="I1269" s="20">
        <f>IF($B1269="","",IF($I1268="",0,$I1268)+IF($H1269="",0,$H1269)-IF($G1269="",0,$G1269))</f>
        <v/>
      </c>
      <c r="J1269" s="18">
        <f>IF($L1269="","",IF(INDEX(ExpNote,$L1269)="","—",INDEX(ExpNote,$L1269)))</f>
        <v/>
      </c>
      <c r="L1269">
        <f>IFERROR(MATCH($C$5&amp;"|"&amp;RIGHT("000000"&amp;1253,6),ExpRankKey,0),"")</f>
        <v/>
      </c>
    </row>
    <row r="1270">
      <c r="A1270" s="21" t="n">
        <v>1254</v>
      </c>
      <c r="B1270" s="22">
        <f>IF($L1270="","",INDEX(ExpNorm,$L1270))</f>
        <v/>
      </c>
      <c r="C1270" s="22">
        <f>IF($L1270="","",IF(INDEX(ExpTime,$L1270)="","—",LEFT(INDEX(ExpTime,$L1270),2)&amp;":"&amp;RIGHT(INDEX(ExpTime,$L1270),2)))</f>
        <v/>
      </c>
      <c r="D1270" s="22">
        <f>IF($L1270="","",IF(INDEX(ExpBank,$L1270)="","—",INDEX(ExpBank,$L1270)))</f>
        <v/>
      </c>
      <c r="E1270" s="23">
        <f>IF($L1270="","",IF(INDEX(ExpParty,$L1270)="","—",IFERROR(VLOOKUP(INDEX(ExpParty,$L1270),AcctTbl,4,0),INDEX(ExpParty,$L1270))))</f>
        <v/>
      </c>
      <c r="F1270" s="22">
        <f>IF($L1270="","",IF(INDEX(ExpType,$L1270)="","—",INDEX(ExpType,$L1270)))</f>
        <v/>
      </c>
      <c r="G1270" s="24">
        <f>IF($L1270="","",IF(INDEX(ExpDep,$L1270)=0,"",INDEX(ExpDep,$L1270)))</f>
        <v/>
      </c>
      <c r="H1270" s="24">
        <f>IF($L1270="","",IF(INDEX(ExpWit,$L1270)=0,"",INDEX(ExpWit,$L1270)))</f>
        <v/>
      </c>
      <c r="I1270" s="25">
        <f>IF($B1270="","",IF($I1269="",0,$I1269)+IF($H1270="",0,$H1270)-IF($G1270="",0,$G1270))</f>
        <v/>
      </c>
      <c r="J1270" s="23">
        <f>IF($L1270="","",IF(INDEX(ExpNote,$L1270)="","—",INDEX(ExpNote,$L1270)))</f>
        <v/>
      </c>
      <c r="L1270">
        <f>IFERROR(MATCH($C$5&amp;"|"&amp;RIGHT("000000"&amp;1254,6),ExpRankKey,0),"")</f>
        <v/>
      </c>
    </row>
    <row r="1271">
      <c r="A1271" s="16" t="n">
        <v>1255</v>
      </c>
      <c r="B1271" s="17">
        <f>IF($L1271="","",INDEX(ExpNorm,$L1271))</f>
        <v/>
      </c>
      <c r="C1271" s="17">
        <f>IF($L1271="","",IF(INDEX(ExpTime,$L1271)="","—",LEFT(INDEX(ExpTime,$L1271),2)&amp;":"&amp;RIGHT(INDEX(ExpTime,$L1271),2)))</f>
        <v/>
      </c>
      <c r="D1271" s="17">
        <f>IF($L1271="","",IF(INDEX(ExpBank,$L1271)="","—",INDEX(ExpBank,$L1271)))</f>
        <v/>
      </c>
      <c r="E1271" s="18">
        <f>IF($L1271="","",IF(INDEX(ExpParty,$L1271)="","—",IFERROR(VLOOKUP(INDEX(ExpParty,$L1271),AcctTbl,4,0),INDEX(ExpParty,$L1271))))</f>
        <v/>
      </c>
      <c r="F1271" s="17">
        <f>IF($L1271="","",IF(INDEX(ExpType,$L1271)="","—",INDEX(ExpType,$L1271)))</f>
        <v/>
      </c>
      <c r="G1271" s="19">
        <f>IF($L1271="","",IF(INDEX(ExpDep,$L1271)=0,"",INDEX(ExpDep,$L1271)))</f>
        <v/>
      </c>
      <c r="H1271" s="19">
        <f>IF($L1271="","",IF(INDEX(ExpWit,$L1271)=0,"",INDEX(ExpWit,$L1271)))</f>
        <v/>
      </c>
      <c r="I1271" s="20">
        <f>IF($B1271="","",IF($I1270="",0,$I1270)+IF($H1271="",0,$H1271)-IF($G1271="",0,$G1271))</f>
        <v/>
      </c>
      <c r="J1271" s="18">
        <f>IF($L1271="","",IF(INDEX(ExpNote,$L1271)="","—",INDEX(ExpNote,$L1271)))</f>
        <v/>
      </c>
      <c r="L1271">
        <f>IFERROR(MATCH($C$5&amp;"|"&amp;RIGHT("000000"&amp;1255,6),ExpRankKey,0),"")</f>
        <v/>
      </c>
    </row>
    <row r="1272">
      <c r="A1272" s="21" t="n">
        <v>1256</v>
      </c>
      <c r="B1272" s="22">
        <f>IF($L1272="","",INDEX(ExpNorm,$L1272))</f>
        <v/>
      </c>
      <c r="C1272" s="22">
        <f>IF($L1272="","",IF(INDEX(ExpTime,$L1272)="","—",LEFT(INDEX(ExpTime,$L1272),2)&amp;":"&amp;RIGHT(INDEX(ExpTime,$L1272),2)))</f>
        <v/>
      </c>
      <c r="D1272" s="22">
        <f>IF($L1272="","",IF(INDEX(ExpBank,$L1272)="","—",INDEX(ExpBank,$L1272)))</f>
        <v/>
      </c>
      <c r="E1272" s="23">
        <f>IF($L1272="","",IF(INDEX(ExpParty,$L1272)="","—",IFERROR(VLOOKUP(INDEX(ExpParty,$L1272),AcctTbl,4,0),INDEX(ExpParty,$L1272))))</f>
        <v/>
      </c>
      <c r="F1272" s="22">
        <f>IF($L1272="","",IF(INDEX(ExpType,$L1272)="","—",INDEX(ExpType,$L1272)))</f>
        <v/>
      </c>
      <c r="G1272" s="24">
        <f>IF($L1272="","",IF(INDEX(ExpDep,$L1272)=0,"",INDEX(ExpDep,$L1272)))</f>
        <v/>
      </c>
      <c r="H1272" s="24">
        <f>IF($L1272="","",IF(INDEX(ExpWit,$L1272)=0,"",INDEX(ExpWit,$L1272)))</f>
        <v/>
      </c>
      <c r="I1272" s="25">
        <f>IF($B1272="","",IF($I1271="",0,$I1271)+IF($H1272="",0,$H1272)-IF($G1272="",0,$G1272))</f>
        <v/>
      </c>
      <c r="J1272" s="23">
        <f>IF($L1272="","",IF(INDEX(ExpNote,$L1272)="","—",INDEX(ExpNote,$L1272)))</f>
        <v/>
      </c>
      <c r="L1272">
        <f>IFERROR(MATCH($C$5&amp;"|"&amp;RIGHT("000000"&amp;1256,6),ExpRankKey,0),"")</f>
        <v/>
      </c>
    </row>
    <row r="1273">
      <c r="A1273" s="16" t="n">
        <v>1257</v>
      </c>
      <c r="B1273" s="17">
        <f>IF($L1273="","",INDEX(ExpNorm,$L1273))</f>
        <v/>
      </c>
      <c r="C1273" s="17">
        <f>IF($L1273="","",IF(INDEX(ExpTime,$L1273)="","—",LEFT(INDEX(ExpTime,$L1273),2)&amp;":"&amp;RIGHT(INDEX(ExpTime,$L1273),2)))</f>
        <v/>
      </c>
      <c r="D1273" s="17">
        <f>IF($L1273="","",IF(INDEX(ExpBank,$L1273)="","—",INDEX(ExpBank,$L1273)))</f>
        <v/>
      </c>
      <c r="E1273" s="18">
        <f>IF($L1273="","",IF(INDEX(ExpParty,$L1273)="","—",IFERROR(VLOOKUP(INDEX(ExpParty,$L1273),AcctTbl,4,0),INDEX(ExpParty,$L1273))))</f>
        <v/>
      </c>
      <c r="F1273" s="17">
        <f>IF($L1273="","",IF(INDEX(ExpType,$L1273)="","—",INDEX(ExpType,$L1273)))</f>
        <v/>
      </c>
      <c r="G1273" s="19">
        <f>IF($L1273="","",IF(INDEX(ExpDep,$L1273)=0,"",INDEX(ExpDep,$L1273)))</f>
        <v/>
      </c>
      <c r="H1273" s="19">
        <f>IF($L1273="","",IF(INDEX(ExpWit,$L1273)=0,"",INDEX(ExpWit,$L1273)))</f>
        <v/>
      </c>
      <c r="I1273" s="20">
        <f>IF($B1273="","",IF($I1272="",0,$I1272)+IF($H1273="",0,$H1273)-IF($G1273="",0,$G1273))</f>
        <v/>
      </c>
      <c r="J1273" s="18">
        <f>IF($L1273="","",IF(INDEX(ExpNote,$L1273)="","—",INDEX(ExpNote,$L1273)))</f>
        <v/>
      </c>
      <c r="L1273">
        <f>IFERROR(MATCH($C$5&amp;"|"&amp;RIGHT("000000"&amp;1257,6),ExpRankKey,0),"")</f>
        <v/>
      </c>
    </row>
    <row r="1274">
      <c r="A1274" s="21" t="n">
        <v>1258</v>
      </c>
      <c r="B1274" s="22">
        <f>IF($L1274="","",INDEX(ExpNorm,$L1274))</f>
        <v/>
      </c>
      <c r="C1274" s="22">
        <f>IF($L1274="","",IF(INDEX(ExpTime,$L1274)="","—",LEFT(INDEX(ExpTime,$L1274),2)&amp;":"&amp;RIGHT(INDEX(ExpTime,$L1274),2)))</f>
        <v/>
      </c>
      <c r="D1274" s="22">
        <f>IF($L1274="","",IF(INDEX(ExpBank,$L1274)="","—",INDEX(ExpBank,$L1274)))</f>
        <v/>
      </c>
      <c r="E1274" s="23">
        <f>IF($L1274="","",IF(INDEX(ExpParty,$L1274)="","—",IFERROR(VLOOKUP(INDEX(ExpParty,$L1274),AcctTbl,4,0),INDEX(ExpParty,$L1274))))</f>
        <v/>
      </c>
      <c r="F1274" s="22">
        <f>IF($L1274="","",IF(INDEX(ExpType,$L1274)="","—",INDEX(ExpType,$L1274)))</f>
        <v/>
      </c>
      <c r="G1274" s="24">
        <f>IF($L1274="","",IF(INDEX(ExpDep,$L1274)=0,"",INDEX(ExpDep,$L1274)))</f>
        <v/>
      </c>
      <c r="H1274" s="24">
        <f>IF($L1274="","",IF(INDEX(ExpWit,$L1274)=0,"",INDEX(ExpWit,$L1274)))</f>
        <v/>
      </c>
      <c r="I1274" s="25">
        <f>IF($B1274="","",IF($I1273="",0,$I1273)+IF($H1274="",0,$H1274)-IF($G1274="",0,$G1274))</f>
        <v/>
      </c>
      <c r="J1274" s="23">
        <f>IF($L1274="","",IF(INDEX(ExpNote,$L1274)="","—",INDEX(ExpNote,$L1274)))</f>
        <v/>
      </c>
      <c r="L1274">
        <f>IFERROR(MATCH($C$5&amp;"|"&amp;RIGHT("000000"&amp;1258,6),ExpRankKey,0),"")</f>
        <v/>
      </c>
    </row>
    <row r="1275">
      <c r="A1275" s="16" t="n">
        <v>1259</v>
      </c>
      <c r="B1275" s="17">
        <f>IF($L1275="","",INDEX(ExpNorm,$L1275))</f>
        <v/>
      </c>
      <c r="C1275" s="17">
        <f>IF($L1275="","",IF(INDEX(ExpTime,$L1275)="","—",LEFT(INDEX(ExpTime,$L1275),2)&amp;":"&amp;RIGHT(INDEX(ExpTime,$L1275),2)))</f>
        <v/>
      </c>
      <c r="D1275" s="17">
        <f>IF($L1275="","",IF(INDEX(ExpBank,$L1275)="","—",INDEX(ExpBank,$L1275)))</f>
        <v/>
      </c>
      <c r="E1275" s="18">
        <f>IF($L1275="","",IF(INDEX(ExpParty,$L1275)="","—",IFERROR(VLOOKUP(INDEX(ExpParty,$L1275),AcctTbl,4,0),INDEX(ExpParty,$L1275))))</f>
        <v/>
      </c>
      <c r="F1275" s="17">
        <f>IF($L1275="","",IF(INDEX(ExpType,$L1275)="","—",INDEX(ExpType,$L1275)))</f>
        <v/>
      </c>
      <c r="G1275" s="19">
        <f>IF($L1275="","",IF(INDEX(ExpDep,$L1275)=0,"",INDEX(ExpDep,$L1275)))</f>
        <v/>
      </c>
      <c r="H1275" s="19">
        <f>IF($L1275="","",IF(INDEX(ExpWit,$L1275)=0,"",INDEX(ExpWit,$L1275)))</f>
        <v/>
      </c>
      <c r="I1275" s="20">
        <f>IF($B1275="","",IF($I1274="",0,$I1274)+IF($H1275="",0,$H1275)-IF($G1275="",0,$G1275))</f>
        <v/>
      </c>
      <c r="J1275" s="18">
        <f>IF($L1275="","",IF(INDEX(ExpNote,$L1275)="","—",INDEX(ExpNote,$L1275)))</f>
        <v/>
      </c>
      <c r="L1275">
        <f>IFERROR(MATCH($C$5&amp;"|"&amp;RIGHT("000000"&amp;1259,6),ExpRankKey,0),"")</f>
        <v/>
      </c>
    </row>
    <row r="1276">
      <c r="A1276" s="21" t="n">
        <v>1260</v>
      </c>
      <c r="B1276" s="22">
        <f>IF($L1276="","",INDEX(ExpNorm,$L1276))</f>
        <v/>
      </c>
      <c r="C1276" s="22">
        <f>IF($L1276="","",IF(INDEX(ExpTime,$L1276)="","—",LEFT(INDEX(ExpTime,$L1276),2)&amp;":"&amp;RIGHT(INDEX(ExpTime,$L1276),2)))</f>
        <v/>
      </c>
      <c r="D1276" s="22">
        <f>IF($L1276="","",IF(INDEX(ExpBank,$L1276)="","—",INDEX(ExpBank,$L1276)))</f>
        <v/>
      </c>
      <c r="E1276" s="23">
        <f>IF($L1276="","",IF(INDEX(ExpParty,$L1276)="","—",IFERROR(VLOOKUP(INDEX(ExpParty,$L1276),AcctTbl,4,0),INDEX(ExpParty,$L1276))))</f>
        <v/>
      </c>
      <c r="F1276" s="22">
        <f>IF($L1276="","",IF(INDEX(ExpType,$L1276)="","—",INDEX(ExpType,$L1276)))</f>
        <v/>
      </c>
      <c r="G1276" s="24">
        <f>IF($L1276="","",IF(INDEX(ExpDep,$L1276)=0,"",INDEX(ExpDep,$L1276)))</f>
        <v/>
      </c>
      <c r="H1276" s="24">
        <f>IF($L1276="","",IF(INDEX(ExpWit,$L1276)=0,"",INDEX(ExpWit,$L1276)))</f>
        <v/>
      </c>
      <c r="I1276" s="25">
        <f>IF($B1276="","",IF($I1275="",0,$I1275)+IF($H1276="",0,$H1276)-IF($G1276="",0,$G1276))</f>
        <v/>
      </c>
      <c r="J1276" s="23">
        <f>IF($L1276="","",IF(INDEX(ExpNote,$L1276)="","—",INDEX(ExpNote,$L1276)))</f>
        <v/>
      </c>
      <c r="L1276">
        <f>IFERROR(MATCH($C$5&amp;"|"&amp;RIGHT("000000"&amp;1260,6),ExpRankKey,0),"")</f>
        <v/>
      </c>
    </row>
    <row r="1277">
      <c r="A1277" s="16" t="n">
        <v>1261</v>
      </c>
      <c r="B1277" s="17">
        <f>IF($L1277="","",INDEX(ExpNorm,$L1277))</f>
        <v/>
      </c>
      <c r="C1277" s="17">
        <f>IF($L1277="","",IF(INDEX(ExpTime,$L1277)="","—",LEFT(INDEX(ExpTime,$L1277),2)&amp;":"&amp;RIGHT(INDEX(ExpTime,$L1277),2)))</f>
        <v/>
      </c>
      <c r="D1277" s="17">
        <f>IF($L1277="","",IF(INDEX(ExpBank,$L1277)="","—",INDEX(ExpBank,$L1277)))</f>
        <v/>
      </c>
      <c r="E1277" s="18">
        <f>IF($L1277="","",IF(INDEX(ExpParty,$L1277)="","—",IFERROR(VLOOKUP(INDEX(ExpParty,$L1277),AcctTbl,4,0),INDEX(ExpParty,$L1277))))</f>
        <v/>
      </c>
      <c r="F1277" s="17">
        <f>IF($L1277="","",IF(INDEX(ExpType,$L1277)="","—",INDEX(ExpType,$L1277)))</f>
        <v/>
      </c>
      <c r="G1277" s="19">
        <f>IF($L1277="","",IF(INDEX(ExpDep,$L1277)=0,"",INDEX(ExpDep,$L1277)))</f>
        <v/>
      </c>
      <c r="H1277" s="19">
        <f>IF($L1277="","",IF(INDEX(ExpWit,$L1277)=0,"",INDEX(ExpWit,$L1277)))</f>
        <v/>
      </c>
      <c r="I1277" s="20">
        <f>IF($B1277="","",IF($I1276="",0,$I1276)+IF($H1277="",0,$H1277)-IF($G1277="",0,$G1277))</f>
        <v/>
      </c>
      <c r="J1277" s="18">
        <f>IF($L1277="","",IF(INDEX(ExpNote,$L1277)="","—",INDEX(ExpNote,$L1277)))</f>
        <v/>
      </c>
      <c r="L1277">
        <f>IFERROR(MATCH($C$5&amp;"|"&amp;RIGHT("000000"&amp;1261,6),ExpRankKey,0),"")</f>
        <v/>
      </c>
    </row>
    <row r="1278">
      <c r="A1278" s="21" t="n">
        <v>1262</v>
      </c>
      <c r="B1278" s="22">
        <f>IF($L1278="","",INDEX(ExpNorm,$L1278))</f>
        <v/>
      </c>
      <c r="C1278" s="22">
        <f>IF($L1278="","",IF(INDEX(ExpTime,$L1278)="","—",LEFT(INDEX(ExpTime,$L1278),2)&amp;":"&amp;RIGHT(INDEX(ExpTime,$L1278),2)))</f>
        <v/>
      </c>
      <c r="D1278" s="22">
        <f>IF($L1278="","",IF(INDEX(ExpBank,$L1278)="","—",INDEX(ExpBank,$L1278)))</f>
        <v/>
      </c>
      <c r="E1278" s="23">
        <f>IF($L1278="","",IF(INDEX(ExpParty,$L1278)="","—",IFERROR(VLOOKUP(INDEX(ExpParty,$L1278),AcctTbl,4,0),INDEX(ExpParty,$L1278))))</f>
        <v/>
      </c>
      <c r="F1278" s="22">
        <f>IF($L1278="","",IF(INDEX(ExpType,$L1278)="","—",INDEX(ExpType,$L1278)))</f>
        <v/>
      </c>
      <c r="G1278" s="24">
        <f>IF($L1278="","",IF(INDEX(ExpDep,$L1278)=0,"",INDEX(ExpDep,$L1278)))</f>
        <v/>
      </c>
      <c r="H1278" s="24">
        <f>IF($L1278="","",IF(INDEX(ExpWit,$L1278)=0,"",INDEX(ExpWit,$L1278)))</f>
        <v/>
      </c>
      <c r="I1278" s="25">
        <f>IF($B1278="","",IF($I1277="",0,$I1277)+IF($H1278="",0,$H1278)-IF($G1278="",0,$G1278))</f>
        <v/>
      </c>
      <c r="J1278" s="23">
        <f>IF($L1278="","",IF(INDEX(ExpNote,$L1278)="","—",INDEX(ExpNote,$L1278)))</f>
        <v/>
      </c>
      <c r="L1278">
        <f>IFERROR(MATCH($C$5&amp;"|"&amp;RIGHT("000000"&amp;1262,6),ExpRankKey,0),"")</f>
        <v/>
      </c>
    </row>
    <row r="1279">
      <c r="A1279" s="16" t="n">
        <v>1263</v>
      </c>
      <c r="B1279" s="17">
        <f>IF($L1279="","",INDEX(ExpNorm,$L1279))</f>
        <v/>
      </c>
      <c r="C1279" s="17">
        <f>IF($L1279="","",IF(INDEX(ExpTime,$L1279)="","—",LEFT(INDEX(ExpTime,$L1279),2)&amp;":"&amp;RIGHT(INDEX(ExpTime,$L1279),2)))</f>
        <v/>
      </c>
      <c r="D1279" s="17">
        <f>IF($L1279="","",IF(INDEX(ExpBank,$L1279)="","—",INDEX(ExpBank,$L1279)))</f>
        <v/>
      </c>
      <c r="E1279" s="18">
        <f>IF($L1279="","",IF(INDEX(ExpParty,$L1279)="","—",IFERROR(VLOOKUP(INDEX(ExpParty,$L1279),AcctTbl,4,0),INDEX(ExpParty,$L1279))))</f>
        <v/>
      </c>
      <c r="F1279" s="17">
        <f>IF($L1279="","",IF(INDEX(ExpType,$L1279)="","—",INDEX(ExpType,$L1279)))</f>
        <v/>
      </c>
      <c r="G1279" s="19">
        <f>IF($L1279="","",IF(INDEX(ExpDep,$L1279)=0,"",INDEX(ExpDep,$L1279)))</f>
        <v/>
      </c>
      <c r="H1279" s="19">
        <f>IF($L1279="","",IF(INDEX(ExpWit,$L1279)=0,"",INDEX(ExpWit,$L1279)))</f>
        <v/>
      </c>
      <c r="I1279" s="20">
        <f>IF($B1279="","",IF($I1278="",0,$I1278)+IF($H1279="",0,$H1279)-IF($G1279="",0,$G1279))</f>
        <v/>
      </c>
      <c r="J1279" s="18">
        <f>IF($L1279="","",IF(INDEX(ExpNote,$L1279)="","—",INDEX(ExpNote,$L1279)))</f>
        <v/>
      </c>
      <c r="L1279">
        <f>IFERROR(MATCH($C$5&amp;"|"&amp;RIGHT("000000"&amp;1263,6),ExpRankKey,0),"")</f>
        <v/>
      </c>
    </row>
    <row r="1280">
      <c r="A1280" s="21" t="n">
        <v>1264</v>
      </c>
      <c r="B1280" s="22">
        <f>IF($L1280="","",INDEX(ExpNorm,$L1280))</f>
        <v/>
      </c>
      <c r="C1280" s="22">
        <f>IF($L1280="","",IF(INDEX(ExpTime,$L1280)="","—",LEFT(INDEX(ExpTime,$L1280),2)&amp;":"&amp;RIGHT(INDEX(ExpTime,$L1280),2)))</f>
        <v/>
      </c>
      <c r="D1280" s="22">
        <f>IF($L1280="","",IF(INDEX(ExpBank,$L1280)="","—",INDEX(ExpBank,$L1280)))</f>
        <v/>
      </c>
      <c r="E1280" s="23">
        <f>IF($L1280="","",IF(INDEX(ExpParty,$L1280)="","—",IFERROR(VLOOKUP(INDEX(ExpParty,$L1280),AcctTbl,4,0),INDEX(ExpParty,$L1280))))</f>
        <v/>
      </c>
      <c r="F1280" s="22">
        <f>IF($L1280="","",IF(INDEX(ExpType,$L1280)="","—",INDEX(ExpType,$L1280)))</f>
        <v/>
      </c>
      <c r="G1280" s="24">
        <f>IF($L1280="","",IF(INDEX(ExpDep,$L1280)=0,"",INDEX(ExpDep,$L1280)))</f>
        <v/>
      </c>
      <c r="H1280" s="24">
        <f>IF($L1280="","",IF(INDEX(ExpWit,$L1280)=0,"",INDEX(ExpWit,$L1280)))</f>
        <v/>
      </c>
      <c r="I1280" s="25">
        <f>IF($B1280="","",IF($I1279="",0,$I1279)+IF($H1280="",0,$H1280)-IF($G1280="",0,$G1280))</f>
        <v/>
      </c>
      <c r="J1280" s="23">
        <f>IF($L1280="","",IF(INDEX(ExpNote,$L1280)="","—",INDEX(ExpNote,$L1280)))</f>
        <v/>
      </c>
      <c r="L1280">
        <f>IFERROR(MATCH($C$5&amp;"|"&amp;RIGHT("000000"&amp;1264,6),ExpRankKey,0),"")</f>
        <v/>
      </c>
    </row>
    <row r="1281">
      <c r="A1281" s="16" t="n">
        <v>1265</v>
      </c>
      <c r="B1281" s="17">
        <f>IF($L1281="","",INDEX(ExpNorm,$L1281))</f>
        <v/>
      </c>
      <c r="C1281" s="17">
        <f>IF($L1281="","",IF(INDEX(ExpTime,$L1281)="","—",LEFT(INDEX(ExpTime,$L1281),2)&amp;":"&amp;RIGHT(INDEX(ExpTime,$L1281),2)))</f>
        <v/>
      </c>
      <c r="D1281" s="17">
        <f>IF($L1281="","",IF(INDEX(ExpBank,$L1281)="","—",INDEX(ExpBank,$L1281)))</f>
        <v/>
      </c>
      <c r="E1281" s="18">
        <f>IF($L1281="","",IF(INDEX(ExpParty,$L1281)="","—",IFERROR(VLOOKUP(INDEX(ExpParty,$L1281),AcctTbl,4,0),INDEX(ExpParty,$L1281))))</f>
        <v/>
      </c>
      <c r="F1281" s="17">
        <f>IF($L1281="","",IF(INDEX(ExpType,$L1281)="","—",INDEX(ExpType,$L1281)))</f>
        <v/>
      </c>
      <c r="G1281" s="19">
        <f>IF($L1281="","",IF(INDEX(ExpDep,$L1281)=0,"",INDEX(ExpDep,$L1281)))</f>
        <v/>
      </c>
      <c r="H1281" s="19">
        <f>IF($L1281="","",IF(INDEX(ExpWit,$L1281)=0,"",INDEX(ExpWit,$L1281)))</f>
        <v/>
      </c>
      <c r="I1281" s="20">
        <f>IF($B1281="","",IF($I1280="",0,$I1280)+IF($H1281="",0,$H1281)-IF($G1281="",0,$G1281))</f>
        <v/>
      </c>
      <c r="J1281" s="18">
        <f>IF($L1281="","",IF(INDEX(ExpNote,$L1281)="","—",INDEX(ExpNote,$L1281)))</f>
        <v/>
      </c>
      <c r="L1281">
        <f>IFERROR(MATCH($C$5&amp;"|"&amp;RIGHT("000000"&amp;1265,6),ExpRankKey,0),"")</f>
        <v/>
      </c>
    </row>
    <row r="1282">
      <c r="A1282" s="21" t="n">
        <v>1266</v>
      </c>
      <c r="B1282" s="22">
        <f>IF($L1282="","",INDEX(ExpNorm,$L1282))</f>
        <v/>
      </c>
      <c r="C1282" s="22">
        <f>IF($L1282="","",IF(INDEX(ExpTime,$L1282)="","—",LEFT(INDEX(ExpTime,$L1282),2)&amp;":"&amp;RIGHT(INDEX(ExpTime,$L1282),2)))</f>
        <v/>
      </c>
      <c r="D1282" s="22">
        <f>IF($L1282="","",IF(INDEX(ExpBank,$L1282)="","—",INDEX(ExpBank,$L1282)))</f>
        <v/>
      </c>
      <c r="E1282" s="23">
        <f>IF($L1282="","",IF(INDEX(ExpParty,$L1282)="","—",IFERROR(VLOOKUP(INDEX(ExpParty,$L1282),AcctTbl,4,0),INDEX(ExpParty,$L1282))))</f>
        <v/>
      </c>
      <c r="F1282" s="22">
        <f>IF($L1282="","",IF(INDEX(ExpType,$L1282)="","—",INDEX(ExpType,$L1282)))</f>
        <v/>
      </c>
      <c r="G1282" s="24">
        <f>IF($L1282="","",IF(INDEX(ExpDep,$L1282)=0,"",INDEX(ExpDep,$L1282)))</f>
        <v/>
      </c>
      <c r="H1282" s="24">
        <f>IF($L1282="","",IF(INDEX(ExpWit,$L1282)=0,"",INDEX(ExpWit,$L1282)))</f>
        <v/>
      </c>
      <c r="I1282" s="25">
        <f>IF($B1282="","",IF($I1281="",0,$I1281)+IF($H1282="",0,$H1282)-IF($G1282="",0,$G1282))</f>
        <v/>
      </c>
      <c r="J1282" s="23">
        <f>IF($L1282="","",IF(INDEX(ExpNote,$L1282)="","—",INDEX(ExpNote,$L1282)))</f>
        <v/>
      </c>
      <c r="L1282">
        <f>IFERROR(MATCH($C$5&amp;"|"&amp;RIGHT("000000"&amp;1266,6),ExpRankKey,0),"")</f>
        <v/>
      </c>
    </row>
    <row r="1283">
      <c r="A1283" s="16" t="n">
        <v>1267</v>
      </c>
      <c r="B1283" s="17">
        <f>IF($L1283="","",INDEX(ExpNorm,$L1283))</f>
        <v/>
      </c>
      <c r="C1283" s="17">
        <f>IF($L1283="","",IF(INDEX(ExpTime,$L1283)="","—",LEFT(INDEX(ExpTime,$L1283),2)&amp;":"&amp;RIGHT(INDEX(ExpTime,$L1283),2)))</f>
        <v/>
      </c>
      <c r="D1283" s="17">
        <f>IF($L1283="","",IF(INDEX(ExpBank,$L1283)="","—",INDEX(ExpBank,$L1283)))</f>
        <v/>
      </c>
      <c r="E1283" s="18">
        <f>IF($L1283="","",IF(INDEX(ExpParty,$L1283)="","—",IFERROR(VLOOKUP(INDEX(ExpParty,$L1283),AcctTbl,4,0),INDEX(ExpParty,$L1283))))</f>
        <v/>
      </c>
      <c r="F1283" s="17">
        <f>IF($L1283="","",IF(INDEX(ExpType,$L1283)="","—",INDEX(ExpType,$L1283)))</f>
        <v/>
      </c>
      <c r="G1283" s="19">
        <f>IF($L1283="","",IF(INDEX(ExpDep,$L1283)=0,"",INDEX(ExpDep,$L1283)))</f>
        <v/>
      </c>
      <c r="H1283" s="19">
        <f>IF($L1283="","",IF(INDEX(ExpWit,$L1283)=0,"",INDEX(ExpWit,$L1283)))</f>
        <v/>
      </c>
      <c r="I1283" s="20">
        <f>IF($B1283="","",IF($I1282="",0,$I1282)+IF($H1283="",0,$H1283)-IF($G1283="",0,$G1283))</f>
        <v/>
      </c>
      <c r="J1283" s="18">
        <f>IF($L1283="","",IF(INDEX(ExpNote,$L1283)="","—",INDEX(ExpNote,$L1283)))</f>
        <v/>
      </c>
      <c r="L1283">
        <f>IFERROR(MATCH($C$5&amp;"|"&amp;RIGHT("000000"&amp;1267,6),ExpRankKey,0),"")</f>
        <v/>
      </c>
    </row>
    <row r="1284">
      <c r="A1284" s="21" t="n">
        <v>1268</v>
      </c>
      <c r="B1284" s="22">
        <f>IF($L1284="","",INDEX(ExpNorm,$L1284))</f>
        <v/>
      </c>
      <c r="C1284" s="22">
        <f>IF($L1284="","",IF(INDEX(ExpTime,$L1284)="","—",LEFT(INDEX(ExpTime,$L1284),2)&amp;":"&amp;RIGHT(INDEX(ExpTime,$L1284),2)))</f>
        <v/>
      </c>
      <c r="D1284" s="22">
        <f>IF($L1284="","",IF(INDEX(ExpBank,$L1284)="","—",INDEX(ExpBank,$L1284)))</f>
        <v/>
      </c>
      <c r="E1284" s="23">
        <f>IF($L1284="","",IF(INDEX(ExpParty,$L1284)="","—",IFERROR(VLOOKUP(INDEX(ExpParty,$L1284),AcctTbl,4,0),INDEX(ExpParty,$L1284))))</f>
        <v/>
      </c>
      <c r="F1284" s="22">
        <f>IF($L1284="","",IF(INDEX(ExpType,$L1284)="","—",INDEX(ExpType,$L1284)))</f>
        <v/>
      </c>
      <c r="G1284" s="24">
        <f>IF($L1284="","",IF(INDEX(ExpDep,$L1284)=0,"",INDEX(ExpDep,$L1284)))</f>
        <v/>
      </c>
      <c r="H1284" s="24">
        <f>IF($L1284="","",IF(INDEX(ExpWit,$L1284)=0,"",INDEX(ExpWit,$L1284)))</f>
        <v/>
      </c>
      <c r="I1284" s="25">
        <f>IF($B1284="","",IF($I1283="",0,$I1283)+IF($H1284="",0,$H1284)-IF($G1284="",0,$G1284))</f>
        <v/>
      </c>
      <c r="J1284" s="23">
        <f>IF($L1284="","",IF(INDEX(ExpNote,$L1284)="","—",INDEX(ExpNote,$L1284)))</f>
        <v/>
      </c>
      <c r="L1284">
        <f>IFERROR(MATCH($C$5&amp;"|"&amp;RIGHT("000000"&amp;1268,6),ExpRankKey,0),"")</f>
        <v/>
      </c>
    </row>
    <row r="1285">
      <c r="A1285" s="16" t="n">
        <v>1269</v>
      </c>
      <c r="B1285" s="17">
        <f>IF($L1285="","",INDEX(ExpNorm,$L1285))</f>
        <v/>
      </c>
      <c r="C1285" s="17">
        <f>IF($L1285="","",IF(INDEX(ExpTime,$L1285)="","—",LEFT(INDEX(ExpTime,$L1285),2)&amp;":"&amp;RIGHT(INDEX(ExpTime,$L1285),2)))</f>
        <v/>
      </c>
      <c r="D1285" s="17">
        <f>IF($L1285="","",IF(INDEX(ExpBank,$L1285)="","—",INDEX(ExpBank,$L1285)))</f>
        <v/>
      </c>
      <c r="E1285" s="18">
        <f>IF($L1285="","",IF(INDEX(ExpParty,$L1285)="","—",IFERROR(VLOOKUP(INDEX(ExpParty,$L1285),AcctTbl,4,0),INDEX(ExpParty,$L1285))))</f>
        <v/>
      </c>
      <c r="F1285" s="17">
        <f>IF($L1285="","",IF(INDEX(ExpType,$L1285)="","—",INDEX(ExpType,$L1285)))</f>
        <v/>
      </c>
      <c r="G1285" s="19">
        <f>IF($L1285="","",IF(INDEX(ExpDep,$L1285)=0,"",INDEX(ExpDep,$L1285)))</f>
        <v/>
      </c>
      <c r="H1285" s="19">
        <f>IF($L1285="","",IF(INDEX(ExpWit,$L1285)=0,"",INDEX(ExpWit,$L1285)))</f>
        <v/>
      </c>
      <c r="I1285" s="20">
        <f>IF($B1285="","",IF($I1284="",0,$I1284)+IF($H1285="",0,$H1285)-IF($G1285="",0,$G1285))</f>
        <v/>
      </c>
      <c r="J1285" s="18">
        <f>IF($L1285="","",IF(INDEX(ExpNote,$L1285)="","—",INDEX(ExpNote,$L1285)))</f>
        <v/>
      </c>
      <c r="L1285">
        <f>IFERROR(MATCH($C$5&amp;"|"&amp;RIGHT("000000"&amp;1269,6),ExpRankKey,0),"")</f>
        <v/>
      </c>
    </row>
    <row r="1286">
      <c r="A1286" s="21" t="n">
        <v>1270</v>
      </c>
      <c r="B1286" s="22">
        <f>IF($L1286="","",INDEX(ExpNorm,$L1286))</f>
        <v/>
      </c>
      <c r="C1286" s="22">
        <f>IF($L1286="","",IF(INDEX(ExpTime,$L1286)="","—",LEFT(INDEX(ExpTime,$L1286),2)&amp;":"&amp;RIGHT(INDEX(ExpTime,$L1286),2)))</f>
        <v/>
      </c>
      <c r="D1286" s="22">
        <f>IF($L1286="","",IF(INDEX(ExpBank,$L1286)="","—",INDEX(ExpBank,$L1286)))</f>
        <v/>
      </c>
      <c r="E1286" s="23">
        <f>IF($L1286="","",IF(INDEX(ExpParty,$L1286)="","—",IFERROR(VLOOKUP(INDEX(ExpParty,$L1286),AcctTbl,4,0),INDEX(ExpParty,$L1286))))</f>
        <v/>
      </c>
      <c r="F1286" s="22">
        <f>IF($L1286="","",IF(INDEX(ExpType,$L1286)="","—",INDEX(ExpType,$L1286)))</f>
        <v/>
      </c>
      <c r="G1286" s="24">
        <f>IF($L1286="","",IF(INDEX(ExpDep,$L1286)=0,"",INDEX(ExpDep,$L1286)))</f>
        <v/>
      </c>
      <c r="H1286" s="24">
        <f>IF($L1286="","",IF(INDEX(ExpWit,$L1286)=0,"",INDEX(ExpWit,$L1286)))</f>
        <v/>
      </c>
      <c r="I1286" s="25">
        <f>IF($B1286="","",IF($I1285="",0,$I1285)+IF($H1286="",0,$H1286)-IF($G1286="",0,$G1286))</f>
        <v/>
      </c>
      <c r="J1286" s="23">
        <f>IF($L1286="","",IF(INDEX(ExpNote,$L1286)="","—",INDEX(ExpNote,$L1286)))</f>
        <v/>
      </c>
      <c r="L1286">
        <f>IFERROR(MATCH($C$5&amp;"|"&amp;RIGHT("000000"&amp;1270,6),ExpRankKey,0),"")</f>
        <v/>
      </c>
    </row>
    <row r="1287">
      <c r="A1287" s="16" t="n">
        <v>1271</v>
      </c>
      <c r="B1287" s="17">
        <f>IF($L1287="","",INDEX(ExpNorm,$L1287))</f>
        <v/>
      </c>
      <c r="C1287" s="17">
        <f>IF($L1287="","",IF(INDEX(ExpTime,$L1287)="","—",LEFT(INDEX(ExpTime,$L1287),2)&amp;":"&amp;RIGHT(INDEX(ExpTime,$L1287),2)))</f>
        <v/>
      </c>
      <c r="D1287" s="17">
        <f>IF($L1287="","",IF(INDEX(ExpBank,$L1287)="","—",INDEX(ExpBank,$L1287)))</f>
        <v/>
      </c>
      <c r="E1287" s="18">
        <f>IF($L1287="","",IF(INDEX(ExpParty,$L1287)="","—",IFERROR(VLOOKUP(INDEX(ExpParty,$L1287),AcctTbl,4,0),INDEX(ExpParty,$L1287))))</f>
        <v/>
      </c>
      <c r="F1287" s="17">
        <f>IF($L1287="","",IF(INDEX(ExpType,$L1287)="","—",INDEX(ExpType,$L1287)))</f>
        <v/>
      </c>
      <c r="G1287" s="19">
        <f>IF($L1287="","",IF(INDEX(ExpDep,$L1287)=0,"",INDEX(ExpDep,$L1287)))</f>
        <v/>
      </c>
      <c r="H1287" s="19">
        <f>IF($L1287="","",IF(INDEX(ExpWit,$L1287)=0,"",INDEX(ExpWit,$L1287)))</f>
        <v/>
      </c>
      <c r="I1287" s="20">
        <f>IF($B1287="","",IF($I1286="",0,$I1286)+IF($H1287="",0,$H1287)-IF($G1287="",0,$G1287))</f>
        <v/>
      </c>
      <c r="J1287" s="18">
        <f>IF($L1287="","",IF(INDEX(ExpNote,$L1287)="","—",INDEX(ExpNote,$L1287)))</f>
        <v/>
      </c>
      <c r="L1287">
        <f>IFERROR(MATCH($C$5&amp;"|"&amp;RIGHT("000000"&amp;1271,6),ExpRankKey,0),"")</f>
        <v/>
      </c>
    </row>
    <row r="1288">
      <c r="A1288" s="21" t="n">
        <v>1272</v>
      </c>
      <c r="B1288" s="22">
        <f>IF($L1288="","",INDEX(ExpNorm,$L1288))</f>
        <v/>
      </c>
      <c r="C1288" s="22">
        <f>IF($L1288="","",IF(INDEX(ExpTime,$L1288)="","—",LEFT(INDEX(ExpTime,$L1288),2)&amp;":"&amp;RIGHT(INDEX(ExpTime,$L1288),2)))</f>
        <v/>
      </c>
      <c r="D1288" s="22">
        <f>IF($L1288="","",IF(INDEX(ExpBank,$L1288)="","—",INDEX(ExpBank,$L1288)))</f>
        <v/>
      </c>
      <c r="E1288" s="23">
        <f>IF($L1288="","",IF(INDEX(ExpParty,$L1288)="","—",IFERROR(VLOOKUP(INDEX(ExpParty,$L1288),AcctTbl,4,0),INDEX(ExpParty,$L1288))))</f>
        <v/>
      </c>
      <c r="F1288" s="22">
        <f>IF($L1288="","",IF(INDEX(ExpType,$L1288)="","—",INDEX(ExpType,$L1288)))</f>
        <v/>
      </c>
      <c r="G1288" s="24">
        <f>IF($L1288="","",IF(INDEX(ExpDep,$L1288)=0,"",INDEX(ExpDep,$L1288)))</f>
        <v/>
      </c>
      <c r="H1288" s="24">
        <f>IF($L1288="","",IF(INDEX(ExpWit,$L1288)=0,"",INDEX(ExpWit,$L1288)))</f>
        <v/>
      </c>
      <c r="I1288" s="25">
        <f>IF($B1288="","",IF($I1287="",0,$I1287)+IF($H1288="",0,$H1288)-IF($G1288="",0,$G1288))</f>
        <v/>
      </c>
      <c r="J1288" s="23">
        <f>IF($L1288="","",IF(INDEX(ExpNote,$L1288)="","—",INDEX(ExpNote,$L1288)))</f>
        <v/>
      </c>
      <c r="L1288">
        <f>IFERROR(MATCH($C$5&amp;"|"&amp;RIGHT("000000"&amp;1272,6),ExpRankKey,0),"")</f>
        <v/>
      </c>
    </row>
    <row r="1289">
      <c r="A1289" s="16" t="n">
        <v>1273</v>
      </c>
      <c r="B1289" s="17">
        <f>IF($L1289="","",INDEX(ExpNorm,$L1289))</f>
        <v/>
      </c>
      <c r="C1289" s="17">
        <f>IF($L1289="","",IF(INDEX(ExpTime,$L1289)="","—",LEFT(INDEX(ExpTime,$L1289),2)&amp;":"&amp;RIGHT(INDEX(ExpTime,$L1289),2)))</f>
        <v/>
      </c>
      <c r="D1289" s="17">
        <f>IF($L1289="","",IF(INDEX(ExpBank,$L1289)="","—",INDEX(ExpBank,$L1289)))</f>
        <v/>
      </c>
      <c r="E1289" s="18">
        <f>IF($L1289="","",IF(INDEX(ExpParty,$L1289)="","—",IFERROR(VLOOKUP(INDEX(ExpParty,$L1289),AcctTbl,4,0),INDEX(ExpParty,$L1289))))</f>
        <v/>
      </c>
      <c r="F1289" s="17">
        <f>IF($L1289="","",IF(INDEX(ExpType,$L1289)="","—",INDEX(ExpType,$L1289)))</f>
        <v/>
      </c>
      <c r="G1289" s="19">
        <f>IF($L1289="","",IF(INDEX(ExpDep,$L1289)=0,"",INDEX(ExpDep,$L1289)))</f>
        <v/>
      </c>
      <c r="H1289" s="19">
        <f>IF($L1289="","",IF(INDEX(ExpWit,$L1289)=0,"",INDEX(ExpWit,$L1289)))</f>
        <v/>
      </c>
      <c r="I1289" s="20">
        <f>IF($B1289="","",IF($I1288="",0,$I1288)+IF($H1289="",0,$H1289)-IF($G1289="",0,$G1289))</f>
        <v/>
      </c>
      <c r="J1289" s="18">
        <f>IF($L1289="","",IF(INDEX(ExpNote,$L1289)="","—",INDEX(ExpNote,$L1289)))</f>
        <v/>
      </c>
      <c r="L1289">
        <f>IFERROR(MATCH($C$5&amp;"|"&amp;RIGHT("000000"&amp;1273,6),ExpRankKey,0),"")</f>
        <v/>
      </c>
    </row>
    <row r="1290">
      <c r="A1290" s="21" t="n">
        <v>1274</v>
      </c>
      <c r="B1290" s="22">
        <f>IF($L1290="","",INDEX(ExpNorm,$L1290))</f>
        <v/>
      </c>
      <c r="C1290" s="22">
        <f>IF($L1290="","",IF(INDEX(ExpTime,$L1290)="","—",LEFT(INDEX(ExpTime,$L1290),2)&amp;":"&amp;RIGHT(INDEX(ExpTime,$L1290),2)))</f>
        <v/>
      </c>
      <c r="D1290" s="22">
        <f>IF($L1290="","",IF(INDEX(ExpBank,$L1290)="","—",INDEX(ExpBank,$L1290)))</f>
        <v/>
      </c>
      <c r="E1290" s="23">
        <f>IF($L1290="","",IF(INDEX(ExpParty,$L1290)="","—",IFERROR(VLOOKUP(INDEX(ExpParty,$L1290),AcctTbl,4,0),INDEX(ExpParty,$L1290))))</f>
        <v/>
      </c>
      <c r="F1290" s="22">
        <f>IF($L1290="","",IF(INDEX(ExpType,$L1290)="","—",INDEX(ExpType,$L1290)))</f>
        <v/>
      </c>
      <c r="G1290" s="24">
        <f>IF($L1290="","",IF(INDEX(ExpDep,$L1290)=0,"",INDEX(ExpDep,$L1290)))</f>
        <v/>
      </c>
      <c r="H1290" s="24">
        <f>IF($L1290="","",IF(INDEX(ExpWit,$L1290)=0,"",INDEX(ExpWit,$L1290)))</f>
        <v/>
      </c>
      <c r="I1290" s="25">
        <f>IF($B1290="","",IF($I1289="",0,$I1289)+IF($H1290="",0,$H1290)-IF($G1290="",0,$G1290))</f>
        <v/>
      </c>
      <c r="J1290" s="23">
        <f>IF($L1290="","",IF(INDEX(ExpNote,$L1290)="","—",INDEX(ExpNote,$L1290)))</f>
        <v/>
      </c>
      <c r="L1290">
        <f>IFERROR(MATCH($C$5&amp;"|"&amp;RIGHT("000000"&amp;1274,6),ExpRankKey,0),"")</f>
        <v/>
      </c>
    </row>
    <row r="1291">
      <c r="A1291" s="16" t="n">
        <v>1275</v>
      </c>
      <c r="B1291" s="17">
        <f>IF($L1291="","",INDEX(ExpNorm,$L1291))</f>
        <v/>
      </c>
      <c r="C1291" s="17">
        <f>IF($L1291="","",IF(INDEX(ExpTime,$L1291)="","—",LEFT(INDEX(ExpTime,$L1291),2)&amp;":"&amp;RIGHT(INDEX(ExpTime,$L1291),2)))</f>
        <v/>
      </c>
      <c r="D1291" s="17">
        <f>IF($L1291="","",IF(INDEX(ExpBank,$L1291)="","—",INDEX(ExpBank,$L1291)))</f>
        <v/>
      </c>
      <c r="E1291" s="18">
        <f>IF($L1291="","",IF(INDEX(ExpParty,$L1291)="","—",IFERROR(VLOOKUP(INDEX(ExpParty,$L1291),AcctTbl,4,0),INDEX(ExpParty,$L1291))))</f>
        <v/>
      </c>
      <c r="F1291" s="17">
        <f>IF($L1291="","",IF(INDEX(ExpType,$L1291)="","—",INDEX(ExpType,$L1291)))</f>
        <v/>
      </c>
      <c r="G1291" s="19">
        <f>IF($L1291="","",IF(INDEX(ExpDep,$L1291)=0,"",INDEX(ExpDep,$L1291)))</f>
        <v/>
      </c>
      <c r="H1291" s="19">
        <f>IF($L1291="","",IF(INDEX(ExpWit,$L1291)=0,"",INDEX(ExpWit,$L1291)))</f>
        <v/>
      </c>
      <c r="I1291" s="20">
        <f>IF($B1291="","",IF($I1290="",0,$I1290)+IF($H1291="",0,$H1291)-IF($G1291="",0,$G1291))</f>
        <v/>
      </c>
      <c r="J1291" s="18">
        <f>IF($L1291="","",IF(INDEX(ExpNote,$L1291)="","—",INDEX(ExpNote,$L1291)))</f>
        <v/>
      </c>
      <c r="L1291">
        <f>IFERROR(MATCH($C$5&amp;"|"&amp;RIGHT("000000"&amp;1275,6),ExpRankKey,0),"")</f>
        <v/>
      </c>
    </row>
    <row r="1292">
      <c r="A1292" s="21" t="n">
        <v>1276</v>
      </c>
      <c r="B1292" s="22">
        <f>IF($L1292="","",INDEX(ExpNorm,$L1292))</f>
        <v/>
      </c>
      <c r="C1292" s="22">
        <f>IF($L1292="","",IF(INDEX(ExpTime,$L1292)="","—",LEFT(INDEX(ExpTime,$L1292),2)&amp;":"&amp;RIGHT(INDEX(ExpTime,$L1292),2)))</f>
        <v/>
      </c>
      <c r="D1292" s="22">
        <f>IF($L1292="","",IF(INDEX(ExpBank,$L1292)="","—",INDEX(ExpBank,$L1292)))</f>
        <v/>
      </c>
      <c r="E1292" s="23">
        <f>IF($L1292="","",IF(INDEX(ExpParty,$L1292)="","—",IFERROR(VLOOKUP(INDEX(ExpParty,$L1292),AcctTbl,4,0),INDEX(ExpParty,$L1292))))</f>
        <v/>
      </c>
      <c r="F1292" s="22">
        <f>IF($L1292="","",IF(INDEX(ExpType,$L1292)="","—",INDEX(ExpType,$L1292)))</f>
        <v/>
      </c>
      <c r="G1292" s="24">
        <f>IF($L1292="","",IF(INDEX(ExpDep,$L1292)=0,"",INDEX(ExpDep,$L1292)))</f>
        <v/>
      </c>
      <c r="H1292" s="24">
        <f>IF($L1292="","",IF(INDEX(ExpWit,$L1292)=0,"",INDEX(ExpWit,$L1292)))</f>
        <v/>
      </c>
      <c r="I1292" s="25">
        <f>IF($B1292="","",IF($I1291="",0,$I1291)+IF($H1292="",0,$H1292)-IF($G1292="",0,$G1292))</f>
        <v/>
      </c>
      <c r="J1292" s="23">
        <f>IF($L1292="","",IF(INDEX(ExpNote,$L1292)="","—",INDEX(ExpNote,$L1292)))</f>
        <v/>
      </c>
      <c r="L1292">
        <f>IFERROR(MATCH($C$5&amp;"|"&amp;RIGHT("000000"&amp;1276,6),ExpRankKey,0),"")</f>
        <v/>
      </c>
    </row>
    <row r="1293">
      <c r="A1293" s="16" t="n">
        <v>1277</v>
      </c>
      <c r="B1293" s="17">
        <f>IF($L1293="","",INDEX(ExpNorm,$L1293))</f>
        <v/>
      </c>
      <c r="C1293" s="17">
        <f>IF($L1293="","",IF(INDEX(ExpTime,$L1293)="","—",LEFT(INDEX(ExpTime,$L1293),2)&amp;":"&amp;RIGHT(INDEX(ExpTime,$L1293),2)))</f>
        <v/>
      </c>
      <c r="D1293" s="17">
        <f>IF($L1293="","",IF(INDEX(ExpBank,$L1293)="","—",INDEX(ExpBank,$L1293)))</f>
        <v/>
      </c>
      <c r="E1293" s="18">
        <f>IF($L1293="","",IF(INDEX(ExpParty,$L1293)="","—",IFERROR(VLOOKUP(INDEX(ExpParty,$L1293),AcctTbl,4,0),INDEX(ExpParty,$L1293))))</f>
        <v/>
      </c>
      <c r="F1293" s="17">
        <f>IF($L1293="","",IF(INDEX(ExpType,$L1293)="","—",INDEX(ExpType,$L1293)))</f>
        <v/>
      </c>
      <c r="G1293" s="19">
        <f>IF($L1293="","",IF(INDEX(ExpDep,$L1293)=0,"",INDEX(ExpDep,$L1293)))</f>
        <v/>
      </c>
      <c r="H1293" s="19">
        <f>IF($L1293="","",IF(INDEX(ExpWit,$L1293)=0,"",INDEX(ExpWit,$L1293)))</f>
        <v/>
      </c>
      <c r="I1293" s="20">
        <f>IF($B1293="","",IF($I1292="",0,$I1292)+IF($H1293="",0,$H1293)-IF($G1293="",0,$G1293))</f>
        <v/>
      </c>
      <c r="J1293" s="18">
        <f>IF($L1293="","",IF(INDEX(ExpNote,$L1293)="","—",INDEX(ExpNote,$L1293)))</f>
        <v/>
      </c>
      <c r="L1293">
        <f>IFERROR(MATCH($C$5&amp;"|"&amp;RIGHT("000000"&amp;1277,6),ExpRankKey,0),"")</f>
        <v/>
      </c>
    </row>
    <row r="1294">
      <c r="A1294" s="21" t="n">
        <v>1278</v>
      </c>
      <c r="B1294" s="22">
        <f>IF($L1294="","",INDEX(ExpNorm,$L1294))</f>
        <v/>
      </c>
      <c r="C1294" s="22">
        <f>IF($L1294="","",IF(INDEX(ExpTime,$L1294)="","—",LEFT(INDEX(ExpTime,$L1294),2)&amp;":"&amp;RIGHT(INDEX(ExpTime,$L1294),2)))</f>
        <v/>
      </c>
      <c r="D1294" s="22">
        <f>IF($L1294="","",IF(INDEX(ExpBank,$L1294)="","—",INDEX(ExpBank,$L1294)))</f>
        <v/>
      </c>
      <c r="E1294" s="23">
        <f>IF($L1294="","",IF(INDEX(ExpParty,$L1294)="","—",IFERROR(VLOOKUP(INDEX(ExpParty,$L1294),AcctTbl,4,0),INDEX(ExpParty,$L1294))))</f>
        <v/>
      </c>
      <c r="F1294" s="22">
        <f>IF($L1294="","",IF(INDEX(ExpType,$L1294)="","—",INDEX(ExpType,$L1294)))</f>
        <v/>
      </c>
      <c r="G1294" s="24">
        <f>IF($L1294="","",IF(INDEX(ExpDep,$L1294)=0,"",INDEX(ExpDep,$L1294)))</f>
        <v/>
      </c>
      <c r="H1294" s="24">
        <f>IF($L1294="","",IF(INDEX(ExpWit,$L1294)=0,"",INDEX(ExpWit,$L1294)))</f>
        <v/>
      </c>
      <c r="I1294" s="25">
        <f>IF($B1294="","",IF($I1293="",0,$I1293)+IF($H1294="",0,$H1294)-IF($G1294="",0,$G1294))</f>
        <v/>
      </c>
      <c r="J1294" s="23">
        <f>IF($L1294="","",IF(INDEX(ExpNote,$L1294)="","—",INDEX(ExpNote,$L1294)))</f>
        <v/>
      </c>
      <c r="L1294">
        <f>IFERROR(MATCH($C$5&amp;"|"&amp;RIGHT("000000"&amp;1278,6),ExpRankKey,0),"")</f>
        <v/>
      </c>
    </row>
    <row r="1295">
      <c r="A1295" s="16" t="n">
        <v>1279</v>
      </c>
      <c r="B1295" s="17">
        <f>IF($L1295="","",INDEX(ExpNorm,$L1295))</f>
        <v/>
      </c>
      <c r="C1295" s="17">
        <f>IF($L1295="","",IF(INDEX(ExpTime,$L1295)="","—",LEFT(INDEX(ExpTime,$L1295),2)&amp;":"&amp;RIGHT(INDEX(ExpTime,$L1295),2)))</f>
        <v/>
      </c>
      <c r="D1295" s="17">
        <f>IF($L1295="","",IF(INDEX(ExpBank,$L1295)="","—",INDEX(ExpBank,$L1295)))</f>
        <v/>
      </c>
      <c r="E1295" s="18">
        <f>IF($L1295="","",IF(INDEX(ExpParty,$L1295)="","—",IFERROR(VLOOKUP(INDEX(ExpParty,$L1295),AcctTbl,4,0),INDEX(ExpParty,$L1295))))</f>
        <v/>
      </c>
      <c r="F1295" s="17">
        <f>IF($L1295="","",IF(INDEX(ExpType,$L1295)="","—",INDEX(ExpType,$L1295)))</f>
        <v/>
      </c>
      <c r="G1295" s="19">
        <f>IF($L1295="","",IF(INDEX(ExpDep,$L1295)=0,"",INDEX(ExpDep,$L1295)))</f>
        <v/>
      </c>
      <c r="H1295" s="19">
        <f>IF($L1295="","",IF(INDEX(ExpWit,$L1295)=0,"",INDEX(ExpWit,$L1295)))</f>
        <v/>
      </c>
      <c r="I1295" s="20">
        <f>IF($B1295="","",IF($I1294="",0,$I1294)+IF($H1295="",0,$H1295)-IF($G1295="",0,$G1295))</f>
        <v/>
      </c>
      <c r="J1295" s="18">
        <f>IF($L1295="","",IF(INDEX(ExpNote,$L1295)="","—",INDEX(ExpNote,$L1295)))</f>
        <v/>
      </c>
      <c r="L1295">
        <f>IFERROR(MATCH($C$5&amp;"|"&amp;RIGHT("000000"&amp;1279,6),ExpRankKey,0),"")</f>
        <v/>
      </c>
    </row>
    <row r="1296">
      <c r="A1296" s="21" t="n">
        <v>1280</v>
      </c>
      <c r="B1296" s="22">
        <f>IF($L1296="","",INDEX(ExpNorm,$L1296))</f>
        <v/>
      </c>
      <c r="C1296" s="22">
        <f>IF($L1296="","",IF(INDEX(ExpTime,$L1296)="","—",LEFT(INDEX(ExpTime,$L1296),2)&amp;":"&amp;RIGHT(INDEX(ExpTime,$L1296),2)))</f>
        <v/>
      </c>
      <c r="D1296" s="22">
        <f>IF($L1296="","",IF(INDEX(ExpBank,$L1296)="","—",INDEX(ExpBank,$L1296)))</f>
        <v/>
      </c>
      <c r="E1296" s="23">
        <f>IF($L1296="","",IF(INDEX(ExpParty,$L1296)="","—",IFERROR(VLOOKUP(INDEX(ExpParty,$L1296),AcctTbl,4,0),INDEX(ExpParty,$L1296))))</f>
        <v/>
      </c>
      <c r="F1296" s="22">
        <f>IF($L1296="","",IF(INDEX(ExpType,$L1296)="","—",INDEX(ExpType,$L1296)))</f>
        <v/>
      </c>
      <c r="G1296" s="24">
        <f>IF($L1296="","",IF(INDEX(ExpDep,$L1296)=0,"",INDEX(ExpDep,$L1296)))</f>
        <v/>
      </c>
      <c r="H1296" s="24">
        <f>IF($L1296="","",IF(INDEX(ExpWit,$L1296)=0,"",INDEX(ExpWit,$L1296)))</f>
        <v/>
      </c>
      <c r="I1296" s="25">
        <f>IF($B1296="","",IF($I1295="",0,$I1295)+IF($H1296="",0,$H1296)-IF($G1296="",0,$G1296))</f>
        <v/>
      </c>
      <c r="J1296" s="23">
        <f>IF($L1296="","",IF(INDEX(ExpNote,$L1296)="","—",INDEX(ExpNote,$L1296)))</f>
        <v/>
      </c>
      <c r="L1296">
        <f>IFERROR(MATCH($C$5&amp;"|"&amp;RIGHT("000000"&amp;1280,6),ExpRankKey,0),"")</f>
        <v/>
      </c>
    </row>
    <row r="1297">
      <c r="A1297" s="16" t="n">
        <v>1281</v>
      </c>
      <c r="B1297" s="17">
        <f>IF($L1297="","",INDEX(ExpNorm,$L1297))</f>
        <v/>
      </c>
      <c r="C1297" s="17">
        <f>IF($L1297="","",IF(INDEX(ExpTime,$L1297)="","—",LEFT(INDEX(ExpTime,$L1297),2)&amp;":"&amp;RIGHT(INDEX(ExpTime,$L1297),2)))</f>
        <v/>
      </c>
      <c r="D1297" s="17">
        <f>IF($L1297="","",IF(INDEX(ExpBank,$L1297)="","—",INDEX(ExpBank,$L1297)))</f>
        <v/>
      </c>
      <c r="E1297" s="18">
        <f>IF($L1297="","",IF(INDEX(ExpParty,$L1297)="","—",IFERROR(VLOOKUP(INDEX(ExpParty,$L1297),AcctTbl,4,0),INDEX(ExpParty,$L1297))))</f>
        <v/>
      </c>
      <c r="F1297" s="17">
        <f>IF($L1297="","",IF(INDEX(ExpType,$L1297)="","—",INDEX(ExpType,$L1297)))</f>
        <v/>
      </c>
      <c r="G1297" s="19">
        <f>IF($L1297="","",IF(INDEX(ExpDep,$L1297)=0,"",INDEX(ExpDep,$L1297)))</f>
        <v/>
      </c>
      <c r="H1297" s="19">
        <f>IF($L1297="","",IF(INDEX(ExpWit,$L1297)=0,"",INDEX(ExpWit,$L1297)))</f>
        <v/>
      </c>
      <c r="I1297" s="20">
        <f>IF($B1297="","",IF($I1296="",0,$I1296)+IF($H1297="",0,$H1297)-IF($G1297="",0,$G1297))</f>
        <v/>
      </c>
      <c r="J1297" s="18">
        <f>IF($L1297="","",IF(INDEX(ExpNote,$L1297)="","—",INDEX(ExpNote,$L1297)))</f>
        <v/>
      </c>
      <c r="L1297">
        <f>IFERROR(MATCH($C$5&amp;"|"&amp;RIGHT("000000"&amp;1281,6),ExpRankKey,0),"")</f>
        <v/>
      </c>
    </row>
    <row r="1298">
      <c r="A1298" s="21" t="n">
        <v>1282</v>
      </c>
      <c r="B1298" s="22">
        <f>IF($L1298="","",INDEX(ExpNorm,$L1298))</f>
        <v/>
      </c>
      <c r="C1298" s="22">
        <f>IF($L1298="","",IF(INDEX(ExpTime,$L1298)="","—",LEFT(INDEX(ExpTime,$L1298),2)&amp;":"&amp;RIGHT(INDEX(ExpTime,$L1298),2)))</f>
        <v/>
      </c>
      <c r="D1298" s="22">
        <f>IF($L1298="","",IF(INDEX(ExpBank,$L1298)="","—",INDEX(ExpBank,$L1298)))</f>
        <v/>
      </c>
      <c r="E1298" s="23">
        <f>IF($L1298="","",IF(INDEX(ExpParty,$L1298)="","—",IFERROR(VLOOKUP(INDEX(ExpParty,$L1298),AcctTbl,4,0),INDEX(ExpParty,$L1298))))</f>
        <v/>
      </c>
      <c r="F1298" s="22">
        <f>IF($L1298="","",IF(INDEX(ExpType,$L1298)="","—",INDEX(ExpType,$L1298)))</f>
        <v/>
      </c>
      <c r="G1298" s="24">
        <f>IF($L1298="","",IF(INDEX(ExpDep,$L1298)=0,"",INDEX(ExpDep,$L1298)))</f>
        <v/>
      </c>
      <c r="H1298" s="24">
        <f>IF($L1298="","",IF(INDEX(ExpWit,$L1298)=0,"",INDEX(ExpWit,$L1298)))</f>
        <v/>
      </c>
      <c r="I1298" s="25">
        <f>IF($B1298="","",IF($I1297="",0,$I1297)+IF($H1298="",0,$H1298)-IF($G1298="",0,$G1298))</f>
        <v/>
      </c>
      <c r="J1298" s="23">
        <f>IF($L1298="","",IF(INDEX(ExpNote,$L1298)="","—",INDEX(ExpNote,$L1298)))</f>
        <v/>
      </c>
      <c r="L1298">
        <f>IFERROR(MATCH($C$5&amp;"|"&amp;RIGHT("000000"&amp;1282,6),ExpRankKey,0),"")</f>
        <v/>
      </c>
    </row>
    <row r="1299">
      <c r="A1299" s="16" t="n">
        <v>1283</v>
      </c>
      <c r="B1299" s="17">
        <f>IF($L1299="","",INDEX(ExpNorm,$L1299))</f>
        <v/>
      </c>
      <c r="C1299" s="17">
        <f>IF($L1299="","",IF(INDEX(ExpTime,$L1299)="","—",LEFT(INDEX(ExpTime,$L1299),2)&amp;":"&amp;RIGHT(INDEX(ExpTime,$L1299),2)))</f>
        <v/>
      </c>
      <c r="D1299" s="17">
        <f>IF($L1299="","",IF(INDEX(ExpBank,$L1299)="","—",INDEX(ExpBank,$L1299)))</f>
        <v/>
      </c>
      <c r="E1299" s="18">
        <f>IF($L1299="","",IF(INDEX(ExpParty,$L1299)="","—",IFERROR(VLOOKUP(INDEX(ExpParty,$L1299),AcctTbl,4,0),INDEX(ExpParty,$L1299))))</f>
        <v/>
      </c>
      <c r="F1299" s="17">
        <f>IF($L1299="","",IF(INDEX(ExpType,$L1299)="","—",INDEX(ExpType,$L1299)))</f>
        <v/>
      </c>
      <c r="G1299" s="19">
        <f>IF($L1299="","",IF(INDEX(ExpDep,$L1299)=0,"",INDEX(ExpDep,$L1299)))</f>
        <v/>
      </c>
      <c r="H1299" s="19">
        <f>IF($L1299="","",IF(INDEX(ExpWit,$L1299)=0,"",INDEX(ExpWit,$L1299)))</f>
        <v/>
      </c>
      <c r="I1299" s="20">
        <f>IF($B1299="","",IF($I1298="",0,$I1298)+IF($H1299="",0,$H1299)-IF($G1299="",0,$G1299))</f>
        <v/>
      </c>
      <c r="J1299" s="18">
        <f>IF($L1299="","",IF(INDEX(ExpNote,$L1299)="","—",INDEX(ExpNote,$L1299)))</f>
        <v/>
      </c>
      <c r="L1299">
        <f>IFERROR(MATCH($C$5&amp;"|"&amp;RIGHT("000000"&amp;1283,6),ExpRankKey,0),"")</f>
        <v/>
      </c>
    </row>
    <row r="1300">
      <c r="A1300" s="21" t="n">
        <v>1284</v>
      </c>
      <c r="B1300" s="22">
        <f>IF($L1300="","",INDEX(ExpNorm,$L1300))</f>
        <v/>
      </c>
      <c r="C1300" s="22">
        <f>IF($L1300="","",IF(INDEX(ExpTime,$L1300)="","—",LEFT(INDEX(ExpTime,$L1300),2)&amp;":"&amp;RIGHT(INDEX(ExpTime,$L1300),2)))</f>
        <v/>
      </c>
      <c r="D1300" s="22">
        <f>IF($L1300="","",IF(INDEX(ExpBank,$L1300)="","—",INDEX(ExpBank,$L1300)))</f>
        <v/>
      </c>
      <c r="E1300" s="23">
        <f>IF($L1300="","",IF(INDEX(ExpParty,$L1300)="","—",IFERROR(VLOOKUP(INDEX(ExpParty,$L1300),AcctTbl,4,0),INDEX(ExpParty,$L1300))))</f>
        <v/>
      </c>
      <c r="F1300" s="22">
        <f>IF($L1300="","",IF(INDEX(ExpType,$L1300)="","—",INDEX(ExpType,$L1300)))</f>
        <v/>
      </c>
      <c r="G1300" s="24">
        <f>IF($L1300="","",IF(INDEX(ExpDep,$L1300)=0,"",INDEX(ExpDep,$L1300)))</f>
        <v/>
      </c>
      <c r="H1300" s="24">
        <f>IF($L1300="","",IF(INDEX(ExpWit,$L1300)=0,"",INDEX(ExpWit,$L1300)))</f>
        <v/>
      </c>
      <c r="I1300" s="25">
        <f>IF($B1300="","",IF($I1299="",0,$I1299)+IF($H1300="",0,$H1300)-IF($G1300="",0,$G1300))</f>
        <v/>
      </c>
      <c r="J1300" s="23">
        <f>IF($L1300="","",IF(INDEX(ExpNote,$L1300)="","—",INDEX(ExpNote,$L1300)))</f>
        <v/>
      </c>
      <c r="L1300">
        <f>IFERROR(MATCH($C$5&amp;"|"&amp;RIGHT("000000"&amp;1284,6),ExpRankKey,0),"")</f>
        <v/>
      </c>
    </row>
    <row r="1301">
      <c r="A1301" s="16" t="n">
        <v>1285</v>
      </c>
      <c r="B1301" s="17">
        <f>IF($L1301="","",INDEX(ExpNorm,$L1301))</f>
        <v/>
      </c>
      <c r="C1301" s="17">
        <f>IF($L1301="","",IF(INDEX(ExpTime,$L1301)="","—",LEFT(INDEX(ExpTime,$L1301),2)&amp;":"&amp;RIGHT(INDEX(ExpTime,$L1301),2)))</f>
        <v/>
      </c>
      <c r="D1301" s="17">
        <f>IF($L1301="","",IF(INDEX(ExpBank,$L1301)="","—",INDEX(ExpBank,$L1301)))</f>
        <v/>
      </c>
      <c r="E1301" s="18">
        <f>IF($L1301="","",IF(INDEX(ExpParty,$L1301)="","—",IFERROR(VLOOKUP(INDEX(ExpParty,$L1301),AcctTbl,4,0),INDEX(ExpParty,$L1301))))</f>
        <v/>
      </c>
      <c r="F1301" s="17">
        <f>IF($L1301="","",IF(INDEX(ExpType,$L1301)="","—",INDEX(ExpType,$L1301)))</f>
        <v/>
      </c>
      <c r="G1301" s="19">
        <f>IF($L1301="","",IF(INDEX(ExpDep,$L1301)=0,"",INDEX(ExpDep,$L1301)))</f>
        <v/>
      </c>
      <c r="H1301" s="19">
        <f>IF($L1301="","",IF(INDEX(ExpWit,$L1301)=0,"",INDEX(ExpWit,$L1301)))</f>
        <v/>
      </c>
      <c r="I1301" s="20">
        <f>IF($B1301="","",IF($I1300="",0,$I1300)+IF($H1301="",0,$H1301)-IF($G1301="",0,$G1301))</f>
        <v/>
      </c>
      <c r="J1301" s="18">
        <f>IF($L1301="","",IF(INDEX(ExpNote,$L1301)="","—",INDEX(ExpNote,$L1301)))</f>
        <v/>
      </c>
      <c r="L1301">
        <f>IFERROR(MATCH($C$5&amp;"|"&amp;RIGHT("000000"&amp;1285,6),ExpRankKey,0),"")</f>
        <v/>
      </c>
    </row>
    <row r="1302">
      <c r="A1302" s="21" t="n">
        <v>1286</v>
      </c>
      <c r="B1302" s="22">
        <f>IF($L1302="","",INDEX(ExpNorm,$L1302))</f>
        <v/>
      </c>
      <c r="C1302" s="22">
        <f>IF($L1302="","",IF(INDEX(ExpTime,$L1302)="","—",LEFT(INDEX(ExpTime,$L1302),2)&amp;":"&amp;RIGHT(INDEX(ExpTime,$L1302),2)))</f>
        <v/>
      </c>
      <c r="D1302" s="22">
        <f>IF($L1302="","",IF(INDEX(ExpBank,$L1302)="","—",INDEX(ExpBank,$L1302)))</f>
        <v/>
      </c>
      <c r="E1302" s="23">
        <f>IF($L1302="","",IF(INDEX(ExpParty,$L1302)="","—",IFERROR(VLOOKUP(INDEX(ExpParty,$L1302),AcctTbl,4,0),INDEX(ExpParty,$L1302))))</f>
        <v/>
      </c>
      <c r="F1302" s="22">
        <f>IF($L1302="","",IF(INDEX(ExpType,$L1302)="","—",INDEX(ExpType,$L1302)))</f>
        <v/>
      </c>
      <c r="G1302" s="24">
        <f>IF($L1302="","",IF(INDEX(ExpDep,$L1302)=0,"",INDEX(ExpDep,$L1302)))</f>
        <v/>
      </c>
      <c r="H1302" s="24">
        <f>IF($L1302="","",IF(INDEX(ExpWit,$L1302)=0,"",INDEX(ExpWit,$L1302)))</f>
        <v/>
      </c>
      <c r="I1302" s="25">
        <f>IF($B1302="","",IF($I1301="",0,$I1301)+IF($H1302="",0,$H1302)-IF($G1302="",0,$G1302))</f>
        <v/>
      </c>
      <c r="J1302" s="23">
        <f>IF($L1302="","",IF(INDEX(ExpNote,$L1302)="","—",INDEX(ExpNote,$L1302)))</f>
        <v/>
      </c>
      <c r="L1302">
        <f>IFERROR(MATCH($C$5&amp;"|"&amp;RIGHT("000000"&amp;1286,6),ExpRankKey,0),"")</f>
        <v/>
      </c>
    </row>
    <row r="1303">
      <c r="A1303" s="16" t="n">
        <v>1287</v>
      </c>
      <c r="B1303" s="17">
        <f>IF($L1303="","",INDEX(ExpNorm,$L1303))</f>
        <v/>
      </c>
      <c r="C1303" s="17">
        <f>IF($L1303="","",IF(INDEX(ExpTime,$L1303)="","—",LEFT(INDEX(ExpTime,$L1303),2)&amp;":"&amp;RIGHT(INDEX(ExpTime,$L1303),2)))</f>
        <v/>
      </c>
      <c r="D1303" s="17">
        <f>IF($L1303="","",IF(INDEX(ExpBank,$L1303)="","—",INDEX(ExpBank,$L1303)))</f>
        <v/>
      </c>
      <c r="E1303" s="18">
        <f>IF($L1303="","",IF(INDEX(ExpParty,$L1303)="","—",IFERROR(VLOOKUP(INDEX(ExpParty,$L1303),AcctTbl,4,0),INDEX(ExpParty,$L1303))))</f>
        <v/>
      </c>
      <c r="F1303" s="17">
        <f>IF($L1303="","",IF(INDEX(ExpType,$L1303)="","—",INDEX(ExpType,$L1303)))</f>
        <v/>
      </c>
      <c r="G1303" s="19">
        <f>IF($L1303="","",IF(INDEX(ExpDep,$L1303)=0,"",INDEX(ExpDep,$L1303)))</f>
        <v/>
      </c>
      <c r="H1303" s="19">
        <f>IF($L1303="","",IF(INDEX(ExpWit,$L1303)=0,"",INDEX(ExpWit,$L1303)))</f>
        <v/>
      </c>
      <c r="I1303" s="20">
        <f>IF($B1303="","",IF($I1302="",0,$I1302)+IF($H1303="",0,$H1303)-IF($G1303="",0,$G1303))</f>
        <v/>
      </c>
      <c r="J1303" s="18">
        <f>IF($L1303="","",IF(INDEX(ExpNote,$L1303)="","—",INDEX(ExpNote,$L1303)))</f>
        <v/>
      </c>
      <c r="L1303">
        <f>IFERROR(MATCH($C$5&amp;"|"&amp;RIGHT("000000"&amp;1287,6),ExpRankKey,0),"")</f>
        <v/>
      </c>
    </row>
    <row r="1304">
      <c r="A1304" s="21" t="n">
        <v>1288</v>
      </c>
      <c r="B1304" s="22">
        <f>IF($L1304="","",INDEX(ExpNorm,$L1304))</f>
        <v/>
      </c>
      <c r="C1304" s="22">
        <f>IF($L1304="","",IF(INDEX(ExpTime,$L1304)="","—",LEFT(INDEX(ExpTime,$L1304),2)&amp;":"&amp;RIGHT(INDEX(ExpTime,$L1304),2)))</f>
        <v/>
      </c>
      <c r="D1304" s="22">
        <f>IF($L1304="","",IF(INDEX(ExpBank,$L1304)="","—",INDEX(ExpBank,$L1304)))</f>
        <v/>
      </c>
      <c r="E1304" s="23">
        <f>IF($L1304="","",IF(INDEX(ExpParty,$L1304)="","—",IFERROR(VLOOKUP(INDEX(ExpParty,$L1304),AcctTbl,4,0),INDEX(ExpParty,$L1304))))</f>
        <v/>
      </c>
      <c r="F1304" s="22">
        <f>IF($L1304="","",IF(INDEX(ExpType,$L1304)="","—",INDEX(ExpType,$L1304)))</f>
        <v/>
      </c>
      <c r="G1304" s="24">
        <f>IF($L1304="","",IF(INDEX(ExpDep,$L1304)=0,"",INDEX(ExpDep,$L1304)))</f>
        <v/>
      </c>
      <c r="H1304" s="24">
        <f>IF($L1304="","",IF(INDEX(ExpWit,$L1304)=0,"",INDEX(ExpWit,$L1304)))</f>
        <v/>
      </c>
      <c r="I1304" s="25">
        <f>IF($B1304="","",IF($I1303="",0,$I1303)+IF($H1304="",0,$H1304)-IF($G1304="",0,$G1304))</f>
        <v/>
      </c>
      <c r="J1304" s="23">
        <f>IF($L1304="","",IF(INDEX(ExpNote,$L1304)="","—",INDEX(ExpNote,$L1304)))</f>
        <v/>
      </c>
      <c r="L1304">
        <f>IFERROR(MATCH($C$5&amp;"|"&amp;RIGHT("000000"&amp;1288,6),ExpRankKey,0),"")</f>
        <v/>
      </c>
    </row>
    <row r="1305">
      <c r="A1305" s="16" t="n">
        <v>1289</v>
      </c>
      <c r="B1305" s="17">
        <f>IF($L1305="","",INDEX(ExpNorm,$L1305))</f>
        <v/>
      </c>
      <c r="C1305" s="17">
        <f>IF($L1305="","",IF(INDEX(ExpTime,$L1305)="","—",LEFT(INDEX(ExpTime,$L1305),2)&amp;":"&amp;RIGHT(INDEX(ExpTime,$L1305),2)))</f>
        <v/>
      </c>
      <c r="D1305" s="17">
        <f>IF($L1305="","",IF(INDEX(ExpBank,$L1305)="","—",INDEX(ExpBank,$L1305)))</f>
        <v/>
      </c>
      <c r="E1305" s="18">
        <f>IF($L1305="","",IF(INDEX(ExpParty,$L1305)="","—",IFERROR(VLOOKUP(INDEX(ExpParty,$L1305),AcctTbl,4,0),INDEX(ExpParty,$L1305))))</f>
        <v/>
      </c>
      <c r="F1305" s="17">
        <f>IF($L1305="","",IF(INDEX(ExpType,$L1305)="","—",INDEX(ExpType,$L1305)))</f>
        <v/>
      </c>
      <c r="G1305" s="19">
        <f>IF($L1305="","",IF(INDEX(ExpDep,$L1305)=0,"",INDEX(ExpDep,$L1305)))</f>
        <v/>
      </c>
      <c r="H1305" s="19">
        <f>IF($L1305="","",IF(INDEX(ExpWit,$L1305)=0,"",INDEX(ExpWit,$L1305)))</f>
        <v/>
      </c>
      <c r="I1305" s="20">
        <f>IF($B1305="","",IF($I1304="",0,$I1304)+IF($H1305="",0,$H1305)-IF($G1305="",0,$G1305))</f>
        <v/>
      </c>
      <c r="J1305" s="18">
        <f>IF($L1305="","",IF(INDEX(ExpNote,$L1305)="","—",INDEX(ExpNote,$L1305)))</f>
        <v/>
      </c>
      <c r="L1305">
        <f>IFERROR(MATCH($C$5&amp;"|"&amp;RIGHT("000000"&amp;1289,6),ExpRankKey,0),"")</f>
        <v/>
      </c>
    </row>
    <row r="1306">
      <c r="A1306" s="21" t="n">
        <v>1290</v>
      </c>
      <c r="B1306" s="22">
        <f>IF($L1306="","",INDEX(ExpNorm,$L1306))</f>
        <v/>
      </c>
      <c r="C1306" s="22">
        <f>IF($L1306="","",IF(INDEX(ExpTime,$L1306)="","—",LEFT(INDEX(ExpTime,$L1306),2)&amp;":"&amp;RIGHT(INDEX(ExpTime,$L1306),2)))</f>
        <v/>
      </c>
      <c r="D1306" s="22">
        <f>IF($L1306="","",IF(INDEX(ExpBank,$L1306)="","—",INDEX(ExpBank,$L1306)))</f>
        <v/>
      </c>
      <c r="E1306" s="23">
        <f>IF($L1306="","",IF(INDEX(ExpParty,$L1306)="","—",IFERROR(VLOOKUP(INDEX(ExpParty,$L1306),AcctTbl,4,0),INDEX(ExpParty,$L1306))))</f>
        <v/>
      </c>
      <c r="F1306" s="22">
        <f>IF($L1306="","",IF(INDEX(ExpType,$L1306)="","—",INDEX(ExpType,$L1306)))</f>
        <v/>
      </c>
      <c r="G1306" s="24">
        <f>IF($L1306="","",IF(INDEX(ExpDep,$L1306)=0,"",INDEX(ExpDep,$L1306)))</f>
        <v/>
      </c>
      <c r="H1306" s="24">
        <f>IF($L1306="","",IF(INDEX(ExpWit,$L1306)=0,"",INDEX(ExpWit,$L1306)))</f>
        <v/>
      </c>
      <c r="I1306" s="25">
        <f>IF($B1306="","",IF($I1305="",0,$I1305)+IF($H1306="",0,$H1306)-IF($G1306="",0,$G1306))</f>
        <v/>
      </c>
      <c r="J1306" s="23">
        <f>IF($L1306="","",IF(INDEX(ExpNote,$L1306)="","—",INDEX(ExpNote,$L1306)))</f>
        <v/>
      </c>
      <c r="L1306">
        <f>IFERROR(MATCH($C$5&amp;"|"&amp;RIGHT("000000"&amp;1290,6),ExpRankKey,0),"")</f>
        <v/>
      </c>
    </row>
    <row r="1307">
      <c r="A1307" s="16" t="n">
        <v>1291</v>
      </c>
      <c r="B1307" s="17">
        <f>IF($L1307="","",INDEX(ExpNorm,$L1307))</f>
        <v/>
      </c>
      <c r="C1307" s="17">
        <f>IF($L1307="","",IF(INDEX(ExpTime,$L1307)="","—",LEFT(INDEX(ExpTime,$L1307),2)&amp;":"&amp;RIGHT(INDEX(ExpTime,$L1307),2)))</f>
        <v/>
      </c>
      <c r="D1307" s="17">
        <f>IF($L1307="","",IF(INDEX(ExpBank,$L1307)="","—",INDEX(ExpBank,$L1307)))</f>
        <v/>
      </c>
      <c r="E1307" s="18">
        <f>IF($L1307="","",IF(INDEX(ExpParty,$L1307)="","—",IFERROR(VLOOKUP(INDEX(ExpParty,$L1307),AcctTbl,4,0),INDEX(ExpParty,$L1307))))</f>
        <v/>
      </c>
      <c r="F1307" s="17">
        <f>IF($L1307="","",IF(INDEX(ExpType,$L1307)="","—",INDEX(ExpType,$L1307)))</f>
        <v/>
      </c>
      <c r="G1307" s="19">
        <f>IF($L1307="","",IF(INDEX(ExpDep,$L1307)=0,"",INDEX(ExpDep,$L1307)))</f>
        <v/>
      </c>
      <c r="H1307" s="19">
        <f>IF($L1307="","",IF(INDEX(ExpWit,$L1307)=0,"",INDEX(ExpWit,$L1307)))</f>
        <v/>
      </c>
      <c r="I1307" s="20">
        <f>IF($B1307="","",IF($I1306="",0,$I1306)+IF($H1307="",0,$H1307)-IF($G1307="",0,$G1307))</f>
        <v/>
      </c>
      <c r="J1307" s="18">
        <f>IF($L1307="","",IF(INDEX(ExpNote,$L1307)="","—",INDEX(ExpNote,$L1307)))</f>
        <v/>
      </c>
      <c r="L1307">
        <f>IFERROR(MATCH($C$5&amp;"|"&amp;RIGHT("000000"&amp;1291,6),ExpRankKey,0),"")</f>
        <v/>
      </c>
    </row>
    <row r="1308">
      <c r="A1308" s="21" t="n">
        <v>1292</v>
      </c>
      <c r="B1308" s="22">
        <f>IF($L1308="","",INDEX(ExpNorm,$L1308))</f>
        <v/>
      </c>
      <c r="C1308" s="22">
        <f>IF($L1308="","",IF(INDEX(ExpTime,$L1308)="","—",LEFT(INDEX(ExpTime,$L1308),2)&amp;":"&amp;RIGHT(INDEX(ExpTime,$L1308),2)))</f>
        <v/>
      </c>
      <c r="D1308" s="22">
        <f>IF($L1308="","",IF(INDEX(ExpBank,$L1308)="","—",INDEX(ExpBank,$L1308)))</f>
        <v/>
      </c>
      <c r="E1308" s="23">
        <f>IF($L1308="","",IF(INDEX(ExpParty,$L1308)="","—",IFERROR(VLOOKUP(INDEX(ExpParty,$L1308),AcctTbl,4,0),INDEX(ExpParty,$L1308))))</f>
        <v/>
      </c>
      <c r="F1308" s="22">
        <f>IF($L1308="","",IF(INDEX(ExpType,$L1308)="","—",INDEX(ExpType,$L1308)))</f>
        <v/>
      </c>
      <c r="G1308" s="24">
        <f>IF($L1308="","",IF(INDEX(ExpDep,$L1308)=0,"",INDEX(ExpDep,$L1308)))</f>
        <v/>
      </c>
      <c r="H1308" s="24">
        <f>IF($L1308="","",IF(INDEX(ExpWit,$L1308)=0,"",INDEX(ExpWit,$L1308)))</f>
        <v/>
      </c>
      <c r="I1308" s="25">
        <f>IF($B1308="","",IF($I1307="",0,$I1307)+IF($H1308="",0,$H1308)-IF($G1308="",0,$G1308))</f>
        <v/>
      </c>
      <c r="J1308" s="23">
        <f>IF($L1308="","",IF(INDEX(ExpNote,$L1308)="","—",INDEX(ExpNote,$L1308)))</f>
        <v/>
      </c>
      <c r="L1308">
        <f>IFERROR(MATCH($C$5&amp;"|"&amp;RIGHT("000000"&amp;1292,6),ExpRankKey,0),"")</f>
        <v/>
      </c>
    </row>
    <row r="1309">
      <c r="A1309" s="16" t="n">
        <v>1293</v>
      </c>
      <c r="B1309" s="17">
        <f>IF($L1309="","",INDEX(ExpNorm,$L1309))</f>
        <v/>
      </c>
      <c r="C1309" s="17">
        <f>IF($L1309="","",IF(INDEX(ExpTime,$L1309)="","—",LEFT(INDEX(ExpTime,$L1309),2)&amp;":"&amp;RIGHT(INDEX(ExpTime,$L1309),2)))</f>
        <v/>
      </c>
      <c r="D1309" s="17">
        <f>IF($L1309="","",IF(INDEX(ExpBank,$L1309)="","—",INDEX(ExpBank,$L1309)))</f>
        <v/>
      </c>
      <c r="E1309" s="18">
        <f>IF($L1309="","",IF(INDEX(ExpParty,$L1309)="","—",IFERROR(VLOOKUP(INDEX(ExpParty,$L1309),AcctTbl,4,0),INDEX(ExpParty,$L1309))))</f>
        <v/>
      </c>
      <c r="F1309" s="17">
        <f>IF($L1309="","",IF(INDEX(ExpType,$L1309)="","—",INDEX(ExpType,$L1309)))</f>
        <v/>
      </c>
      <c r="G1309" s="19">
        <f>IF($L1309="","",IF(INDEX(ExpDep,$L1309)=0,"",INDEX(ExpDep,$L1309)))</f>
        <v/>
      </c>
      <c r="H1309" s="19">
        <f>IF($L1309="","",IF(INDEX(ExpWit,$L1309)=0,"",INDEX(ExpWit,$L1309)))</f>
        <v/>
      </c>
      <c r="I1309" s="20">
        <f>IF($B1309="","",IF($I1308="",0,$I1308)+IF($H1309="",0,$H1309)-IF($G1309="",0,$G1309))</f>
        <v/>
      </c>
      <c r="J1309" s="18">
        <f>IF($L1309="","",IF(INDEX(ExpNote,$L1309)="","—",INDEX(ExpNote,$L1309)))</f>
        <v/>
      </c>
      <c r="L1309">
        <f>IFERROR(MATCH($C$5&amp;"|"&amp;RIGHT("000000"&amp;1293,6),ExpRankKey,0),"")</f>
        <v/>
      </c>
    </row>
    <row r="1310">
      <c r="A1310" s="21" t="n">
        <v>1294</v>
      </c>
      <c r="B1310" s="22">
        <f>IF($L1310="","",INDEX(ExpNorm,$L1310))</f>
        <v/>
      </c>
      <c r="C1310" s="22">
        <f>IF($L1310="","",IF(INDEX(ExpTime,$L1310)="","—",LEFT(INDEX(ExpTime,$L1310),2)&amp;":"&amp;RIGHT(INDEX(ExpTime,$L1310),2)))</f>
        <v/>
      </c>
      <c r="D1310" s="22">
        <f>IF($L1310="","",IF(INDEX(ExpBank,$L1310)="","—",INDEX(ExpBank,$L1310)))</f>
        <v/>
      </c>
      <c r="E1310" s="23">
        <f>IF($L1310="","",IF(INDEX(ExpParty,$L1310)="","—",IFERROR(VLOOKUP(INDEX(ExpParty,$L1310),AcctTbl,4,0),INDEX(ExpParty,$L1310))))</f>
        <v/>
      </c>
      <c r="F1310" s="22">
        <f>IF($L1310="","",IF(INDEX(ExpType,$L1310)="","—",INDEX(ExpType,$L1310)))</f>
        <v/>
      </c>
      <c r="G1310" s="24">
        <f>IF($L1310="","",IF(INDEX(ExpDep,$L1310)=0,"",INDEX(ExpDep,$L1310)))</f>
        <v/>
      </c>
      <c r="H1310" s="24">
        <f>IF($L1310="","",IF(INDEX(ExpWit,$L1310)=0,"",INDEX(ExpWit,$L1310)))</f>
        <v/>
      </c>
      <c r="I1310" s="25">
        <f>IF($B1310="","",IF($I1309="",0,$I1309)+IF($H1310="",0,$H1310)-IF($G1310="",0,$G1310))</f>
        <v/>
      </c>
      <c r="J1310" s="23">
        <f>IF($L1310="","",IF(INDEX(ExpNote,$L1310)="","—",INDEX(ExpNote,$L1310)))</f>
        <v/>
      </c>
      <c r="L1310">
        <f>IFERROR(MATCH($C$5&amp;"|"&amp;RIGHT("000000"&amp;1294,6),ExpRankKey,0),"")</f>
        <v/>
      </c>
    </row>
    <row r="1311">
      <c r="A1311" s="16" t="n">
        <v>1295</v>
      </c>
      <c r="B1311" s="17">
        <f>IF($L1311="","",INDEX(ExpNorm,$L1311))</f>
        <v/>
      </c>
      <c r="C1311" s="17">
        <f>IF($L1311="","",IF(INDEX(ExpTime,$L1311)="","—",LEFT(INDEX(ExpTime,$L1311),2)&amp;":"&amp;RIGHT(INDEX(ExpTime,$L1311),2)))</f>
        <v/>
      </c>
      <c r="D1311" s="17">
        <f>IF($L1311="","",IF(INDEX(ExpBank,$L1311)="","—",INDEX(ExpBank,$L1311)))</f>
        <v/>
      </c>
      <c r="E1311" s="18">
        <f>IF($L1311="","",IF(INDEX(ExpParty,$L1311)="","—",IFERROR(VLOOKUP(INDEX(ExpParty,$L1311),AcctTbl,4,0),INDEX(ExpParty,$L1311))))</f>
        <v/>
      </c>
      <c r="F1311" s="17">
        <f>IF($L1311="","",IF(INDEX(ExpType,$L1311)="","—",INDEX(ExpType,$L1311)))</f>
        <v/>
      </c>
      <c r="G1311" s="19">
        <f>IF($L1311="","",IF(INDEX(ExpDep,$L1311)=0,"",INDEX(ExpDep,$L1311)))</f>
        <v/>
      </c>
      <c r="H1311" s="19">
        <f>IF($L1311="","",IF(INDEX(ExpWit,$L1311)=0,"",INDEX(ExpWit,$L1311)))</f>
        <v/>
      </c>
      <c r="I1311" s="20">
        <f>IF($B1311="","",IF($I1310="",0,$I1310)+IF($H1311="",0,$H1311)-IF($G1311="",0,$G1311))</f>
        <v/>
      </c>
      <c r="J1311" s="18">
        <f>IF($L1311="","",IF(INDEX(ExpNote,$L1311)="","—",INDEX(ExpNote,$L1311)))</f>
        <v/>
      </c>
      <c r="L1311">
        <f>IFERROR(MATCH($C$5&amp;"|"&amp;RIGHT("000000"&amp;1295,6),ExpRankKey,0),"")</f>
        <v/>
      </c>
    </row>
    <row r="1312">
      <c r="A1312" s="21" t="n">
        <v>1296</v>
      </c>
      <c r="B1312" s="22">
        <f>IF($L1312="","",INDEX(ExpNorm,$L1312))</f>
        <v/>
      </c>
      <c r="C1312" s="22">
        <f>IF($L1312="","",IF(INDEX(ExpTime,$L1312)="","—",LEFT(INDEX(ExpTime,$L1312),2)&amp;":"&amp;RIGHT(INDEX(ExpTime,$L1312),2)))</f>
        <v/>
      </c>
      <c r="D1312" s="22">
        <f>IF($L1312="","",IF(INDEX(ExpBank,$L1312)="","—",INDEX(ExpBank,$L1312)))</f>
        <v/>
      </c>
      <c r="E1312" s="23">
        <f>IF($L1312="","",IF(INDEX(ExpParty,$L1312)="","—",IFERROR(VLOOKUP(INDEX(ExpParty,$L1312),AcctTbl,4,0),INDEX(ExpParty,$L1312))))</f>
        <v/>
      </c>
      <c r="F1312" s="22">
        <f>IF($L1312="","",IF(INDEX(ExpType,$L1312)="","—",INDEX(ExpType,$L1312)))</f>
        <v/>
      </c>
      <c r="G1312" s="24">
        <f>IF($L1312="","",IF(INDEX(ExpDep,$L1312)=0,"",INDEX(ExpDep,$L1312)))</f>
        <v/>
      </c>
      <c r="H1312" s="24">
        <f>IF($L1312="","",IF(INDEX(ExpWit,$L1312)=0,"",INDEX(ExpWit,$L1312)))</f>
        <v/>
      </c>
      <c r="I1312" s="25">
        <f>IF($B1312="","",IF($I1311="",0,$I1311)+IF($H1312="",0,$H1312)-IF($G1312="",0,$G1312))</f>
        <v/>
      </c>
      <c r="J1312" s="23">
        <f>IF($L1312="","",IF(INDEX(ExpNote,$L1312)="","—",INDEX(ExpNote,$L1312)))</f>
        <v/>
      </c>
      <c r="L1312">
        <f>IFERROR(MATCH($C$5&amp;"|"&amp;RIGHT("000000"&amp;1296,6),ExpRankKey,0),"")</f>
        <v/>
      </c>
    </row>
    <row r="1313">
      <c r="A1313" s="16" t="n">
        <v>1297</v>
      </c>
      <c r="B1313" s="17">
        <f>IF($L1313="","",INDEX(ExpNorm,$L1313))</f>
        <v/>
      </c>
      <c r="C1313" s="17">
        <f>IF($L1313="","",IF(INDEX(ExpTime,$L1313)="","—",LEFT(INDEX(ExpTime,$L1313),2)&amp;":"&amp;RIGHT(INDEX(ExpTime,$L1313),2)))</f>
        <v/>
      </c>
      <c r="D1313" s="17">
        <f>IF($L1313="","",IF(INDEX(ExpBank,$L1313)="","—",INDEX(ExpBank,$L1313)))</f>
        <v/>
      </c>
      <c r="E1313" s="18">
        <f>IF($L1313="","",IF(INDEX(ExpParty,$L1313)="","—",IFERROR(VLOOKUP(INDEX(ExpParty,$L1313),AcctTbl,4,0),INDEX(ExpParty,$L1313))))</f>
        <v/>
      </c>
      <c r="F1313" s="17">
        <f>IF($L1313="","",IF(INDEX(ExpType,$L1313)="","—",INDEX(ExpType,$L1313)))</f>
        <v/>
      </c>
      <c r="G1313" s="19">
        <f>IF($L1313="","",IF(INDEX(ExpDep,$L1313)=0,"",INDEX(ExpDep,$L1313)))</f>
        <v/>
      </c>
      <c r="H1313" s="19">
        <f>IF($L1313="","",IF(INDEX(ExpWit,$L1313)=0,"",INDEX(ExpWit,$L1313)))</f>
        <v/>
      </c>
      <c r="I1313" s="20">
        <f>IF($B1313="","",IF($I1312="",0,$I1312)+IF($H1313="",0,$H1313)-IF($G1313="",0,$G1313))</f>
        <v/>
      </c>
      <c r="J1313" s="18">
        <f>IF($L1313="","",IF(INDEX(ExpNote,$L1313)="","—",INDEX(ExpNote,$L1313)))</f>
        <v/>
      </c>
      <c r="L1313">
        <f>IFERROR(MATCH($C$5&amp;"|"&amp;RIGHT("000000"&amp;1297,6),ExpRankKey,0),"")</f>
        <v/>
      </c>
    </row>
    <row r="1314">
      <c r="A1314" s="21" t="n">
        <v>1298</v>
      </c>
      <c r="B1314" s="22">
        <f>IF($L1314="","",INDEX(ExpNorm,$L1314))</f>
        <v/>
      </c>
      <c r="C1314" s="22">
        <f>IF($L1314="","",IF(INDEX(ExpTime,$L1314)="","—",LEFT(INDEX(ExpTime,$L1314),2)&amp;":"&amp;RIGHT(INDEX(ExpTime,$L1314),2)))</f>
        <v/>
      </c>
      <c r="D1314" s="22">
        <f>IF($L1314="","",IF(INDEX(ExpBank,$L1314)="","—",INDEX(ExpBank,$L1314)))</f>
        <v/>
      </c>
      <c r="E1314" s="23">
        <f>IF($L1314="","",IF(INDEX(ExpParty,$L1314)="","—",IFERROR(VLOOKUP(INDEX(ExpParty,$L1314),AcctTbl,4,0),INDEX(ExpParty,$L1314))))</f>
        <v/>
      </c>
      <c r="F1314" s="22">
        <f>IF($L1314="","",IF(INDEX(ExpType,$L1314)="","—",INDEX(ExpType,$L1314)))</f>
        <v/>
      </c>
      <c r="G1314" s="24">
        <f>IF($L1314="","",IF(INDEX(ExpDep,$L1314)=0,"",INDEX(ExpDep,$L1314)))</f>
        <v/>
      </c>
      <c r="H1314" s="24">
        <f>IF($L1314="","",IF(INDEX(ExpWit,$L1314)=0,"",INDEX(ExpWit,$L1314)))</f>
        <v/>
      </c>
      <c r="I1314" s="25">
        <f>IF($B1314="","",IF($I1313="",0,$I1313)+IF($H1314="",0,$H1314)-IF($G1314="",0,$G1314))</f>
        <v/>
      </c>
      <c r="J1314" s="23">
        <f>IF($L1314="","",IF(INDEX(ExpNote,$L1314)="","—",INDEX(ExpNote,$L1314)))</f>
        <v/>
      </c>
      <c r="L1314">
        <f>IFERROR(MATCH($C$5&amp;"|"&amp;RIGHT("000000"&amp;1298,6),ExpRankKey,0),"")</f>
        <v/>
      </c>
    </row>
    <row r="1315">
      <c r="A1315" s="16" t="n">
        <v>1299</v>
      </c>
      <c r="B1315" s="17">
        <f>IF($L1315="","",INDEX(ExpNorm,$L1315))</f>
        <v/>
      </c>
      <c r="C1315" s="17">
        <f>IF($L1315="","",IF(INDEX(ExpTime,$L1315)="","—",LEFT(INDEX(ExpTime,$L1315),2)&amp;":"&amp;RIGHT(INDEX(ExpTime,$L1315),2)))</f>
        <v/>
      </c>
      <c r="D1315" s="17">
        <f>IF($L1315="","",IF(INDEX(ExpBank,$L1315)="","—",INDEX(ExpBank,$L1315)))</f>
        <v/>
      </c>
      <c r="E1315" s="18">
        <f>IF($L1315="","",IF(INDEX(ExpParty,$L1315)="","—",IFERROR(VLOOKUP(INDEX(ExpParty,$L1315),AcctTbl,4,0),INDEX(ExpParty,$L1315))))</f>
        <v/>
      </c>
      <c r="F1315" s="17">
        <f>IF($L1315="","",IF(INDEX(ExpType,$L1315)="","—",INDEX(ExpType,$L1315)))</f>
        <v/>
      </c>
      <c r="G1315" s="19">
        <f>IF($L1315="","",IF(INDEX(ExpDep,$L1315)=0,"",INDEX(ExpDep,$L1315)))</f>
        <v/>
      </c>
      <c r="H1315" s="19">
        <f>IF($L1315="","",IF(INDEX(ExpWit,$L1315)=0,"",INDEX(ExpWit,$L1315)))</f>
        <v/>
      </c>
      <c r="I1315" s="20">
        <f>IF($B1315="","",IF($I1314="",0,$I1314)+IF($H1315="",0,$H1315)-IF($G1315="",0,$G1315))</f>
        <v/>
      </c>
      <c r="J1315" s="18">
        <f>IF($L1315="","",IF(INDEX(ExpNote,$L1315)="","—",INDEX(ExpNote,$L1315)))</f>
        <v/>
      </c>
      <c r="L1315">
        <f>IFERROR(MATCH($C$5&amp;"|"&amp;RIGHT("000000"&amp;1299,6),ExpRankKey,0),"")</f>
        <v/>
      </c>
    </row>
    <row r="1316">
      <c r="A1316" s="21" t="n">
        <v>1300</v>
      </c>
      <c r="B1316" s="22">
        <f>IF($L1316="","",INDEX(ExpNorm,$L1316))</f>
        <v/>
      </c>
      <c r="C1316" s="22">
        <f>IF($L1316="","",IF(INDEX(ExpTime,$L1316)="","—",LEFT(INDEX(ExpTime,$L1316),2)&amp;":"&amp;RIGHT(INDEX(ExpTime,$L1316),2)))</f>
        <v/>
      </c>
      <c r="D1316" s="22">
        <f>IF($L1316="","",IF(INDEX(ExpBank,$L1316)="","—",INDEX(ExpBank,$L1316)))</f>
        <v/>
      </c>
      <c r="E1316" s="23">
        <f>IF($L1316="","",IF(INDEX(ExpParty,$L1316)="","—",IFERROR(VLOOKUP(INDEX(ExpParty,$L1316),AcctTbl,4,0),INDEX(ExpParty,$L1316))))</f>
        <v/>
      </c>
      <c r="F1316" s="22">
        <f>IF($L1316="","",IF(INDEX(ExpType,$L1316)="","—",INDEX(ExpType,$L1316)))</f>
        <v/>
      </c>
      <c r="G1316" s="24">
        <f>IF($L1316="","",IF(INDEX(ExpDep,$L1316)=0,"",INDEX(ExpDep,$L1316)))</f>
        <v/>
      </c>
      <c r="H1316" s="24">
        <f>IF($L1316="","",IF(INDEX(ExpWit,$L1316)=0,"",INDEX(ExpWit,$L1316)))</f>
        <v/>
      </c>
      <c r="I1316" s="25">
        <f>IF($B1316="","",IF($I1315="",0,$I1315)+IF($H1316="",0,$H1316)-IF($G1316="",0,$G1316))</f>
        <v/>
      </c>
      <c r="J1316" s="23">
        <f>IF($L1316="","",IF(INDEX(ExpNote,$L1316)="","—",INDEX(ExpNote,$L1316)))</f>
        <v/>
      </c>
      <c r="L1316">
        <f>IFERROR(MATCH($C$5&amp;"|"&amp;RIGHT("000000"&amp;1300,6),ExpRankKey,0),"")</f>
        <v/>
      </c>
    </row>
    <row r="1317">
      <c r="A1317" s="16" t="n">
        <v>1301</v>
      </c>
      <c r="B1317" s="17">
        <f>IF($L1317="","",INDEX(ExpNorm,$L1317))</f>
        <v/>
      </c>
      <c r="C1317" s="17">
        <f>IF($L1317="","",IF(INDEX(ExpTime,$L1317)="","—",LEFT(INDEX(ExpTime,$L1317),2)&amp;":"&amp;RIGHT(INDEX(ExpTime,$L1317),2)))</f>
        <v/>
      </c>
      <c r="D1317" s="17">
        <f>IF($L1317="","",IF(INDEX(ExpBank,$L1317)="","—",INDEX(ExpBank,$L1317)))</f>
        <v/>
      </c>
      <c r="E1317" s="18">
        <f>IF($L1317="","",IF(INDEX(ExpParty,$L1317)="","—",IFERROR(VLOOKUP(INDEX(ExpParty,$L1317),AcctTbl,4,0),INDEX(ExpParty,$L1317))))</f>
        <v/>
      </c>
      <c r="F1317" s="17">
        <f>IF($L1317="","",IF(INDEX(ExpType,$L1317)="","—",INDEX(ExpType,$L1317)))</f>
        <v/>
      </c>
      <c r="G1317" s="19">
        <f>IF($L1317="","",IF(INDEX(ExpDep,$L1317)=0,"",INDEX(ExpDep,$L1317)))</f>
        <v/>
      </c>
      <c r="H1317" s="19">
        <f>IF($L1317="","",IF(INDEX(ExpWit,$L1317)=0,"",INDEX(ExpWit,$L1317)))</f>
        <v/>
      </c>
      <c r="I1317" s="20">
        <f>IF($B1317="","",IF($I1316="",0,$I1316)+IF($H1317="",0,$H1317)-IF($G1317="",0,$G1317))</f>
        <v/>
      </c>
      <c r="J1317" s="18">
        <f>IF($L1317="","",IF(INDEX(ExpNote,$L1317)="","—",INDEX(ExpNote,$L1317)))</f>
        <v/>
      </c>
      <c r="L1317">
        <f>IFERROR(MATCH($C$5&amp;"|"&amp;RIGHT("000000"&amp;1301,6),ExpRankKey,0),"")</f>
        <v/>
      </c>
    </row>
    <row r="1318">
      <c r="A1318" s="21" t="n">
        <v>1302</v>
      </c>
      <c r="B1318" s="22">
        <f>IF($L1318="","",INDEX(ExpNorm,$L1318))</f>
        <v/>
      </c>
      <c r="C1318" s="22">
        <f>IF($L1318="","",IF(INDEX(ExpTime,$L1318)="","—",LEFT(INDEX(ExpTime,$L1318),2)&amp;":"&amp;RIGHT(INDEX(ExpTime,$L1318),2)))</f>
        <v/>
      </c>
      <c r="D1318" s="22">
        <f>IF($L1318="","",IF(INDEX(ExpBank,$L1318)="","—",INDEX(ExpBank,$L1318)))</f>
        <v/>
      </c>
      <c r="E1318" s="23">
        <f>IF($L1318="","",IF(INDEX(ExpParty,$L1318)="","—",IFERROR(VLOOKUP(INDEX(ExpParty,$L1318),AcctTbl,4,0),INDEX(ExpParty,$L1318))))</f>
        <v/>
      </c>
      <c r="F1318" s="22">
        <f>IF($L1318="","",IF(INDEX(ExpType,$L1318)="","—",INDEX(ExpType,$L1318)))</f>
        <v/>
      </c>
      <c r="G1318" s="24">
        <f>IF($L1318="","",IF(INDEX(ExpDep,$L1318)=0,"",INDEX(ExpDep,$L1318)))</f>
        <v/>
      </c>
      <c r="H1318" s="24">
        <f>IF($L1318="","",IF(INDEX(ExpWit,$L1318)=0,"",INDEX(ExpWit,$L1318)))</f>
        <v/>
      </c>
      <c r="I1318" s="25">
        <f>IF($B1318="","",IF($I1317="",0,$I1317)+IF($H1318="",0,$H1318)-IF($G1318="",0,$G1318))</f>
        <v/>
      </c>
      <c r="J1318" s="23">
        <f>IF($L1318="","",IF(INDEX(ExpNote,$L1318)="","—",INDEX(ExpNote,$L1318)))</f>
        <v/>
      </c>
      <c r="L1318">
        <f>IFERROR(MATCH($C$5&amp;"|"&amp;RIGHT("000000"&amp;1302,6),ExpRankKey,0),"")</f>
        <v/>
      </c>
    </row>
    <row r="1319">
      <c r="A1319" s="16" t="n">
        <v>1303</v>
      </c>
      <c r="B1319" s="17">
        <f>IF($L1319="","",INDEX(ExpNorm,$L1319))</f>
        <v/>
      </c>
      <c r="C1319" s="17">
        <f>IF($L1319="","",IF(INDEX(ExpTime,$L1319)="","—",LEFT(INDEX(ExpTime,$L1319),2)&amp;":"&amp;RIGHT(INDEX(ExpTime,$L1319),2)))</f>
        <v/>
      </c>
      <c r="D1319" s="17">
        <f>IF($L1319="","",IF(INDEX(ExpBank,$L1319)="","—",INDEX(ExpBank,$L1319)))</f>
        <v/>
      </c>
      <c r="E1319" s="18">
        <f>IF($L1319="","",IF(INDEX(ExpParty,$L1319)="","—",IFERROR(VLOOKUP(INDEX(ExpParty,$L1319),AcctTbl,4,0),INDEX(ExpParty,$L1319))))</f>
        <v/>
      </c>
      <c r="F1319" s="17">
        <f>IF($L1319="","",IF(INDEX(ExpType,$L1319)="","—",INDEX(ExpType,$L1319)))</f>
        <v/>
      </c>
      <c r="G1319" s="19">
        <f>IF($L1319="","",IF(INDEX(ExpDep,$L1319)=0,"",INDEX(ExpDep,$L1319)))</f>
        <v/>
      </c>
      <c r="H1319" s="19">
        <f>IF($L1319="","",IF(INDEX(ExpWit,$L1319)=0,"",INDEX(ExpWit,$L1319)))</f>
        <v/>
      </c>
      <c r="I1319" s="20">
        <f>IF($B1319="","",IF($I1318="",0,$I1318)+IF($H1319="",0,$H1319)-IF($G1319="",0,$G1319))</f>
        <v/>
      </c>
      <c r="J1319" s="18">
        <f>IF($L1319="","",IF(INDEX(ExpNote,$L1319)="","—",INDEX(ExpNote,$L1319)))</f>
        <v/>
      </c>
      <c r="L1319">
        <f>IFERROR(MATCH($C$5&amp;"|"&amp;RIGHT("000000"&amp;1303,6),ExpRankKey,0),"")</f>
        <v/>
      </c>
    </row>
    <row r="1320">
      <c r="A1320" s="21" t="n">
        <v>1304</v>
      </c>
      <c r="B1320" s="22">
        <f>IF($L1320="","",INDEX(ExpNorm,$L1320))</f>
        <v/>
      </c>
      <c r="C1320" s="22">
        <f>IF($L1320="","",IF(INDEX(ExpTime,$L1320)="","—",LEFT(INDEX(ExpTime,$L1320),2)&amp;":"&amp;RIGHT(INDEX(ExpTime,$L1320),2)))</f>
        <v/>
      </c>
      <c r="D1320" s="22">
        <f>IF($L1320="","",IF(INDEX(ExpBank,$L1320)="","—",INDEX(ExpBank,$L1320)))</f>
        <v/>
      </c>
      <c r="E1320" s="23">
        <f>IF($L1320="","",IF(INDEX(ExpParty,$L1320)="","—",IFERROR(VLOOKUP(INDEX(ExpParty,$L1320),AcctTbl,4,0),INDEX(ExpParty,$L1320))))</f>
        <v/>
      </c>
      <c r="F1320" s="22">
        <f>IF($L1320="","",IF(INDEX(ExpType,$L1320)="","—",INDEX(ExpType,$L1320)))</f>
        <v/>
      </c>
      <c r="G1320" s="24">
        <f>IF($L1320="","",IF(INDEX(ExpDep,$L1320)=0,"",INDEX(ExpDep,$L1320)))</f>
        <v/>
      </c>
      <c r="H1320" s="24">
        <f>IF($L1320="","",IF(INDEX(ExpWit,$L1320)=0,"",INDEX(ExpWit,$L1320)))</f>
        <v/>
      </c>
      <c r="I1320" s="25">
        <f>IF($B1320="","",IF($I1319="",0,$I1319)+IF($H1320="",0,$H1320)-IF($G1320="",0,$G1320))</f>
        <v/>
      </c>
      <c r="J1320" s="23">
        <f>IF($L1320="","",IF(INDEX(ExpNote,$L1320)="","—",INDEX(ExpNote,$L1320)))</f>
        <v/>
      </c>
      <c r="L1320">
        <f>IFERROR(MATCH($C$5&amp;"|"&amp;RIGHT("000000"&amp;1304,6),ExpRankKey,0),"")</f>
        <v/>
      </c>
    </row>
    <row r="1321">
      <c r="A1321" s="16" t="n">
        <v>1305</v>
      </c>
      <c r="B1321" s="17">
        <f>IF($L1321="","",INDEX(ExpNorm,$L1321))</f>
        <v/>
      </c>
      <c r="C1321" s="17">
        <f>IF($L1321="","",IF(INDEX(ExpTime,$L1321)="","—",LEFT(INDEX(ExpTime,$L1321),2)&amp;":"&amp;RIGHT(INDEX(ExpTime,$L1321),2)))</f>
        <v/>
      </c>
      <c r="D1321" s="17">
        <f>IF($L1321="","",IF(INDEX(ExpBank,$L1321)="","—",INDEX(ExpBank,$L1321)))</f>
        <v/>
      </c>
      <c r="E1321" s="18">
        <f>IF($L1321="","",IF(INDEX(ExpParty,$L1321)="","—",IFERROR(VLOOKUP(INDEX(ExpParty,$L1321),AcctTbl,4,0),INDEX(ExpParty,$L1321))))</f>
        <v/>
      </c>
      <c r="F1321" s="17">
        <f>IF($L1321="","",IF(INDEX(ExpType,$L1321)="","—",INDEX(ExpType,$L1321)))</f>
        <v/>
      </c>
      <c r="G1321" s="19">
        <f>IF($L1321="","",IF(INDEX(ExpDep,$L1321)=0,"",INDEX(ExpDep,$L1321)))</f>
        <v/>
      </c>
      <c r="H1321" s="19">
        <f>IF($L1321="","",IF(INDEX(ExpWit,$L1321)=0,"",INDEX(ExpWit,$L1321)))</f>
        <v/>
      </c>
      <c r="I1321" s="20">
        <f>IF($B1321="","",IF($I1320="",0,$I1320)+IF($H1321="",0,$H1321)-IF($G1321="",0,$G1321))</f>
        <v/>
      </c>
      <c r="J1321" s="18">
        <f>IF($L1321="","",IF(INDEX(ExpNote,$L1321)="","—",INDEX(ExpNote,$L1321)))</f>
        <v/>
      </c>
      <c r="L1321">
        <f>IFERROR(MATCH($C$5&amp;"|"&amp;RIGHT("000000"&amp;1305,6),ExpRankKey,0),"")</f>
        <v/>
      </c>
    </row>
    <row r="1322">
      <c r="A1322" s="21" t="n">
        <v>1306</v>
      </c>
      <c r="B1322" s="22">
        <f>IF($L1322="","",INDEX(ExpNorm,$L1322))</f>
        <v/>
      </c>
      <c r="C1322" s="22">
        <f>IF($L1322="","",IF(INDEX(ExpTime,$L1322)="","—",LEFT(INDEX(ExpTime,$L1322),2)&amp;":"&amp;RIGHT(INDEX(ExpTime,$L1322),2)))</f>
        <v/>
      </c>
      <c r="D1322" s="22">
        <f>IF($L1322="","",IF(INDEX(ExpBank,$L1322)="","—",INDEX(ExpBank,$L1322)))</f>
        <v/>
      </c>
      <c r="E1322" s="23">
        <f>IF($L1322="","",IF(INDEX(ExpParty,$L1322)="","—",IFERROR(VLOOKUP(INDEX(ExpParty,$L1322),AcctTbl,4,0),INDEX(ExpParty,$L1322))))</f>
        <v/>
      </c>
      <c r="F1322" s="22">
        <f>IF($L1322="","",IF(INDEX(ExpType,$L1322)="","—",INDEX(ExpType,$L1322)))</f>
        <v/>
      </c>
      <c r="G1322" s="24">
        <f>IF($L1322="","",IF(INDEX(ExpDep,$L1322)=0,"",INDEX(ExpDep,$L1322)))</f>
        <v/>
      </c>
      <c r="H1322" s="24">
        <f>IF($L1322="","",IF(INDEX(ExpWit,$L1322)=0,"",INDEX(ExpWit,$L1322)))</f>
        <v/>
      </c>
      <c r="I1322" s="25">
        <f>IF($B1322="","",IF($I1321="",0,$I1321)+IF($H1322="",0,$H1322)-IF($G1322="",0,$G1322))</f>
        <v/>
      </c>
      <c r="J1322" s="23">
        <f>IF($L1322="","",IF(INDEX(ExpNote,$L1322)="","—",INDEX(ExpNote,$L1322)))</f>
        <v/>
      </c>
      <c r="L1322">
        <f>IFERROR(MATCH($C$5&amp;"|"&amp;RIGHT("000000"&amp;1306,6),ExpRankKey,0),"")</f>
        <v/>
      </c>
    </row>
    <row r="1323">
      <c r="A1323" s="16" t="n">
        <v>1307</v>
      </c>
      <c r="B1323" s="17">
        <f>IF($L1323="","",INDEX(ExpNorm,$L1323))</f>
        <v/>
      </c>
      <c r="C1323" s="17">
        <f>IF($L1323="","",IF(INDEX(ExpTime,$L1323)="","—",LEFT(INDEX(ExpTime,$L1323),2)&amp;":"&amp;RIGHT(INDEX(ExpTime,$L1323),2)))</f>
        <v/>
      </c>
      <c r="D1323" s="17">
        <f>IF($L1323="","",IF(INDEX(ExpBank,$L1323)="","—",INDEX(ExpBank,$L1323)))</f>
        <v/>
      </c>
      <c r="E1323" s="18">
        <f>IF($L1323="","",IF(INDEX(ExpParty,$L1323)="","—",IFERROR(VLOOKUP(INDEX(ExpParty,$L1323),AcctTbl,4,0),INDEX(ExpParty,$L1323))))</f>
        <v/>
      </c>
      <c r="F1323" s="17">
        <f>IF($L1323="","",IF(INDEX(ExpType,$L1323)="","—",INDEX(ExpType,$L1323)))</f>
        <v/>
      </c>
      <c r="G1323" s="19">
        <f>IF($L1323="","",IF(INDEX(ExpDep,$L1323)=0,"",INDEX(ExpDep,$L1323)))</f>
        <v/>
      </c>
      <c r="H1323" s="19">
        <f>IF($L1323="","",IF(INDEX(ExpWit,$L1323)=0,"",INDEX(ExpWit,$L1323)))</f>
        <v/>
      </c>
      <c r="I1323" s="20">
        <f>IF($B1323="","",IF($I1322="",0,$I1322)+IF($H1323="",0,$H1323)-IF($G1323="",0,$G1323))</f>
        <v/>
      </c>
      <c r="J1323" s="18">
        <f>IF($L1323="","",IF(INDEX(ExpNote,$L1323)="","—",INDEX(ExpNote,$L1323)))</f>
        <v/>
      </c>
      <c r="L1323">
        <f>IFERROR(MATCH($C$5&amp;"|"&amp;RIGHT("000000"&amp;1307,6),ExpRankKey,0),"")</f>
        <v/>
      </c>
    </row>
    <row r="1324">
      <c r="A1324" s="21" t="n">
        <v>1308</v>
      </c>
      <c r="B1324" s="22">
        <f>IF($L1324="","",INDEX(ExpNorm,$L1324))</f>
        <v/>
      </c>
      <c r="C1324" s="22">
        <f>IF($L1324="","",IF(INDEX(ExpTime,$L1324)="","—",LEFT(INDEX(ExpTime,$L1324),2)&amp;":"&amp;RIGHT(INDEX(ExpTime,$L1324),2)))</f>
        <v/>
      </c>
      <c r="D1324" s="22">
        <f>IF($L1324="","",IF(INDEX(ExpBank,$L1324)="","—",INDEX(ExpBank,$L1324)))</f>
        <v/>
      </c>
      <c r="E1324" s="23">
        <f>IF($L1324="","",IF(INDEX(ExpParty,$L1324)="","—",IFERROR(VLOOKUP(INDEX(ExpParty,$L1324),AcctTbl,4,0),INDEX(ExpParty,$L1324))))</f>
        <v/>
      </c>
      <c r="F1324" s="22">
        <f>IF($L1324="","",IF(INDEX(ExpType,$L1324)="","—",INDEX(ExpType,$L1324)))</f>
        <v/>
      </c>
      <c r="G1324" s="24">
        <f>IF($L1324="","",IF(INDEX(ExpDep,$L1324)=0,"",INDEX(ExpDep,$L1324)))</f>
        <v/>
      </c>
      <c r="H1324" s="24">
        <f>IF($L1324="","",IF(INDEX(ExpWit,$L1324)=0,"",INDEX(ExpWit,$L1324)))</f>
        <v/>
      </c>
      <c r="I1324" s="25">
        <f>IF($B1324="","",IF($I1323="",0,$I1323)+IF($H1324="",0,$H1324)-IF($G1324="",0,$G1324))</f>
        <v/>
      </c>
      <c r="J1324" s="23">
        <f>IF($L1324="","",IF(INDEX(ExpNote,$L1324)="","—",INDEX(ExpNote,$L1324)))</f>
        <v/>
      </c>
      <c r="L1324">
        <f>IFERROR(MATCH($C$5&amp;"|"&amp;RIGHT("000000"&amp;1308,6),ExpRankKey,0),"")</f>
        <v/>
      </c>
    </row>
    <row r="1325">
      <c r="A1325" s="16" t="n">
        <v>1309</v>
      </c>
      <c r="B1325" s="17">
        <f>IF($L1325="","",INDEX(ExpNorm,$L1325))</f>
        <v/>
      </c>
      <c r="C1325" s="17">
        <f>IF($L1325="","",IF(INDEX(ExpTime,$L1325)="","—",LEFT(INDEX(ExpTime,$L1325),2)&amp;":"&amp;RIGHT(INDEX(ExpTime,$L1325),2)))</f>
        <v/>
      </c>
      <c r="D1325" s="17">
        <f>IF($L1325="","",IF(INDEX(ExpBank,$L1325)="","—",INDEX(ExpBank,$L1325)))</f>
        <v/>
      </c>
      <c r="E1325" s="18">
        <f>IF($L1325="","",IF(INDEX(ExpParty,$L1325)="","—",IFERROR(VLOOKUP(INDEX(ExpParty,$L1325),AcctTbl,4,0),INDEX(ExpParty,$L1325))))</f>
        <v/>
      </c>
      <c r="F1325" s="17">
        <f>IF($L1325="","",IF(INDEX(ExpType,$L1325)="","—",INDEX(ExpType,$L1325)))</f>
        <v/>
      </c>
      <c r="G1325" s="19">
        <f>IF($L1325="","",IF(INDEX(ExpDep,$L1325)=0,"",INDEX(ExpDep,$L1325)))</f>
        <v/>
      </c>
      <c r="H1325" s="19">
        <f>IF($L1325="","",IF(INDEX(ExpWit,$L1325)=0,"",INDEX(ExpWit,$L1325)))</f>
        <v/>
      </c>
      <c r="I1325" s="20">
        <f>IF($B1325="","",IF($I1324="",0,$I1324)+IF($H1325="",0,$H1325)-IF($G1325="",0,$G1325))</f>
        <v/>
      </c>
      <c r="J1325" s="18">
        <f>IF($L1325="","",IF(INDEX(ExpNote,$L1325)="","—",INDEX(ExpNote,$L1325)))</f>
        <v/>
      </c>
      <c r="L1325">
        <f>IFERROR(MATCH($C$5&amp;"|"&amp;RIGHT("000000"&amp;1309,6),ExpRankKey,0),"")</f>
        <v/>
      </c>
    </row>
    <row r="1326">
      <c r="A1326" s="21" t="n">
        <v>1310</v>
      </c>
      <c r="B1326" s="22">
        <f>IF($L1326="","",INDEX(ExpNorm,$L1326))</f>
        <v/>
      </c>
      <c r="C1326" s="22">
        <f>IF($L1326="","",IF(INDEX(ExpTime,$L1326)="","—",LEFT(INDEX(ExpTime,$L1326),2)&amp;":"&amp;RIGHT(INDEX(ExpTime,$L1326),2)))</f>
        <v/>
      </c>
      <c r="D1326" s="22">
        <f>IF($L1326="","",IF(INDEX(ExpBank,$L1326)="","—",INDEX(ExpBank,$L1326)))</f>
        <v/>
      </c>
      <c r="E1326" s="23">
        <f>IF($L1326="","",IF(INDEX(ExpParty,$L1326)="","—",IFERROR(VLOOKUP(INDEX(ExpParty,$L1326),AcctTbl,4,0),INDEX(ExpParty,$L1326))))</f>
        <v/>
      </c>
      <c r="F1326" s="22">
        <f>IF($L1326="","",IF(INDEX(ExpType,$L1326)="","—",INDEX(ExpType,$L1326)))</f>
        <v/>
      </c>
      <c r="G1326" s="24">
        <f>IF($L1326="","",IF(INDEX(ExpDep,$L1326)=0,"",INDEX(ExpDep,$L1326)))</f>
        <v/>
      </c>
      <c r="H1326" s="24">
        <f>IF($L1326="","",IF(INDEX(ExpWit,$L1326)=0,"",INDEX(ExpWit,$L1326)))</f>
        <v/>
      </c>
      <c r="I1326" s="25">
        <f>IF($B1326="","",IF($I1325="",0,$I1325)+IF($H1326="",0,$H1326)-IF($G1326="",0,$G1326))</f>
        <v/>
      </c>
      <c r="J1326" s="23">
        <f>IF($L1326="","",IF(INDEX(ExpNote,$L1326)="","—",INDEX(ExpNote,$L1326)))</f>
        <v/>
      </c>
      <c r="L1326">
        <f>IFERROR(MATCH($C$5&amp;"|"&amp;RIGHT("000000"&amp;1310,6),ExpRankKey,0),"")</f>
        <v/>
      </c>
    </row>
    <row r="1327">
      <c r="A1327" s="16" t="n">
        <v>1311</v>
      </c>
      <c r="B1327" s="17">
        <f>IF($L1327="","",INDEX(ExpNorm,$L1327))</f>
        <v/>
      </c>
      <c r="C1327" s="17">
        <f>IF($L1327="","",IF(INDEX(ExpTime,$L1327)="","—",LEFT(INDEX(ExpTime,$L1327),2)&amp;":"&amp;RIGHT(INDEX(ExpTime,$L1327),2)))</f>
        <v/>
      </c>
      <c r="D1327" s="17">
        <f>IF($L1327="","",IF(INDEX(ExpBank,$L1327)="","—",INDEX(ExpBank,$L1327)))</f>
        <v/>
      </c>
      <c r="E1327" s="18">
        <f>IF($L1327="","",IF(INDEX(ExpParty,$L1327)="","—",IFERROR(VLOOKUP(INDEX(ExpParty,$L1327),AcctTbl,4,0),INDEX(ExpParty,$L1327))))</f>
        <v/>
      </c>
      <c r="F1327" s="17">
        <f>IF($L1327="","",IF(INDEX(ExpType,$L1327)="","—",INDEX(ExpType,$L1327)))</f>
        <v/>
      </c>
      <c r="G1327" s="19">
        <f>IF($L1327="","",IF(INDEX(ExpDep,$L1327)=0,"",INDEX(ExpDep,$L1327)))</f>
        <v/>
      </c>
      <c r="H1327" s="19">
        <f>IF($L1327="","",IF(INDEX(ExpWit,$L1327)=0,"",INDEX(ExpWit,$L1327)))</f>
        <v/>
      </c>
      <c r="I1327" s="20">
        <f>IF($B1327="","",IF($I1326="",0,$I1326)+IF($H1327="",0,$H1327)-IF($G1327="",0,$G1327))</f>
        <v/>
      </c>
      <c r="J1327" s="18">
        <f>IF($L1327="","",IF(INDEX(ExpNote,$L1327)="","—",INDEX(ExpNote,$L1327)))</f>
        <v/>
      </c>
      <c r="L1327">
        <f>IFERROR(MATCH($C$5&amp;"|"&amp;RIGHT("000000"&amp;1311,6),ExpRankKey,0),"")</f>
        <v/>
      </c>
    </row>
    <row r="1328">
      <c r="A1328" s="21" t="n">
        <v>1312</v>
      </c>
      <c r="B1328" s="22">
        <f>IF($L1328="","",INDEX(ExpNorm,$L1328))</f>
        <v/>
      </c>
      <c r="C1328" s="22">
        <f>IF($L1328="","",IF(INDEX(ExpTime,$L1328)="","—",LEFT(INDEX(ExpTime,$L1328),2)&amp;":"&amp;RIGHT(INDEX(ExpTime,$L1328),2)))</f>
        <v/>
      </c>
      <c r="D1328" s="22">
        <f>IF($L1328="","",IF(INDEX(ExpBank,$L1328)="","—",INDEX(ExpBank,$L1328)))</f>
        <v/>
      </c>
      <c r="E1328" s="23">
        <f>IF($L1328="","",IF(INDEX(ExpParty,$L1328)="","—",IFERROR(VLOOKUP(INDEX(ExpParty,$L1328),AcctTbl,4,0),INDEX(ExpParty,$L1328))))</f>
        <v/>
      </c>
      <c r="F1328" s="22">
        <f>IF($L1328="","",IF(INDEX(ExpType,$L1328)="","—",INDEX(ExpType,$L1328)))</f>
        <v/>
      </c>
      <c r="G1328" s="24">
        <f>IF($L1328="","",IF(INDEX(ExpDep,$L1328)=0,"",INDEX(ExpDep,$L1328)))</f>
        <v/>
      </c>
      <c r="H1328" s="24">
        <f>IF($L1328="","",IF(INDEX(ExpWit,$L1328)=0,"",INDEX(ExpWit,$L1328)))</f>
        <v/>
      </c>
      <c r="I1328" s="25">
        <f>IF($B1328="","",IF($I1327="",0,$I1327)+IF($H1328="",0,$H1328)-IF($G1328="",0,$G1328))</f>
        <v/>
      </c>
      <c r="J1328" s="23">
        <f>IF($L1328="","",IF(INDEX(ExpNote,$L1328)="","—",INDEX(ExpNote,$L1328)))</f>
        <v/>
      </c>
      <c r="L1328">
        <f>IFERROR(MATCH($C$5&amp;"|"&amp;RIGHT("000000"&amp;1312,6),ExpRankKey,0),"")</f>
        <v/>
      </c>
    </row>
    <row r="1329">
      <c r="A1329" s="16" t="n">
        <v>1313</v>
      </c>
      <c r="B1329" s="17">
        <f>IF($L1329="","",INDEX(ExpNorm,$L1329))</f>
        <v/>
      </c>
      <c r="C1329" s="17">
        <f>IF($L1329="","",IF(INDEX(ExpTime,$L1329)="","—",LEFT(INDEX(ExpTime,$L1329),2)&amp;":"&amp;RIGHT(INDEX(ExpTime,$L1329),2)))</f>
        <v/>
      </c>
      <c r="D1329" s="17">
        <f>IF($L1329="","",IF(INDEX(ExpBank,$L1329)="","—",INDEX(ExpBank,$L1329)))</f>
        <v/>
      </c>
      <c r="E1329" s="18">
        <f>IF($L1329="","",IF(INDEX(ExpParty,$L1329)="","—",IFERROR(VLOOKUP(INDEX(ExpParty,$L1329),AcctTbl,4,0),INDEX(ExpParty,$L1329))))</f>
        <v/>
      </c>
      <c r="F1329" s="17">
        <f>IF($L1329="","",IF(INDEX(ExpType,$L1329)="","—",INDEX(ExpType,$L1329)))</f>
        <v/>
      </c>
      <c r="G1329" s="19">
        <f>IF($L1329="","",IF(INDEX(ExpDep,$L1329)=0,"",INDEX(ExpDep,$L1329)))</f>
        <v/>
      </c>
      <c r="H1329" s="19">
        <f>IF($L1329="","",IF(INDEX(ExpWit,$L1329)=0,"",INDEX(ExpWit,$L1329)))</f>
        <v/>
      </c>
      <c r="I1329" s="20">
        <f>IF($B1329="","",IF($I1328="",0,$I1328)+IF($H1329="",0,$H1329)-IF($G1329="",0,$G1329))</f>
        <v/>
      </c>
      <c r="J1329" s="18">
        <f>IF($L1329="","",IF(INDEX(ExpNote,$L1329)="","—",INDEX(ExpNote,$L1329)))</f>
        <v/>
      </c>
      <c r="L1329">
        <f>IFERROR(MATCH($C$5&amp;"|"&amp;RIGHT("000000"&amp;1313,6),ExpRankKey,0),"")</f>
        <v/>
      </c>
    </row>
    <row r="1330">
      <c r="A1330" s="21" t="n">
        <v>1314</v>
      </c>
      <c r="B1330" s="22">
        <f>IF($L1330="","",INDEX(ExpNorm,$L1330))</f>
        <v/>
      </c>
      <c r="C1330" s="22">
        <f>IF($L1330="","",IF(INDEX(ExpTime,$L1330)="","—",LEFT(INDEX(ExpTime,$L1330),2)&amp;":"&amp;RIGHT(INDEX(ExpTime,$L1330),2)))</f>
        <v/>
      </c>
      <c r="D1330" s="22">
        <f>IF($L1330="","",IF(INDEX(ExpBank,$L1330)="","—",INDEX(ExpBank,$L1330)))</f>
        <v/>
      </c>
      <c r="E1330" s="23">
        <f>IF($L1330="","",IF(INDEX(ExpParty,$L1330)="","—",IFERROR(VLOOKUP(INDEX(ExpParty,$L1330),AcctTbl,4,0),INDEX(ExpParty,$L1330))))</f>
        <v/>
      </c>
      <c r="F1330" s="22">
        <f>IF($L1330="","",IF(INDEX(ExpType,$L1330)="","—",INDEX(ExpType,$L1330)))</f>
        <v/>
      </c>
      <c r="G1330" s="24">
        <f>IF($L1330="","",IF(INDEX(ExpDep,$L1330)=0,"",INDEX(ExpDep,$L1330)))</f>
        <v/>
      </c>
      <c r="H1330" s="24">
        <f>IF($L1330="","",IF(INDEX(ExpWit,$L1330)=0,"",INDEX(ExpWit,$L1330)))</f>
        <v/>
      </c>
      <c r="I1330" s="25">
        <f>IF($B1330="","",IF($I1329="",0,$I1329)+IF($H1330="",0,$H1330)-IF($G1330="",0,$G1330))</f>
        <v/>
      </c>
      <c r="J1330" s="23">
        <f>IF($L1330="","",IF(INDEX(ExpNote,$L1330)="","—",INDEX(ExpNote,$L1330)))</f>
        <v/>
      </c>
      <c r="L1330">
        <f>IFERROR(MATCH($C$5&amp;"|"&amp;RIGHT("000000"&amp;1314,6),ExpRankKey,0),"")</f>
        <v/>
      </c>
    </row>
    <row r="1331">
      <c r="A1331" s="16" t="n">
        <v>1315</v>
      </c>
      <c r="B1331" s="17">
        <f>IF($L1331="","",INDEX(ExpNorm,$L1331))</f>
        <v/>
      </c>
      <c r="C1331" s="17">
        <f>IF($L1331="","",IF(INDEX(ExpTime,$L1331)="","—",LEFT(INDEX(ExpTime,$L1331),2)&amp;":"&amp;RIGHT(INDEX(ExpTime,$L1331),2)))</f>
        <v/>
      </c>
      <c r="D1331" s="17">
        <f>IF($L1331="","",IF(INDEX(ExpBank,$L1331)="","—",INDEX(ExpBank,$L1331)))</f>
        <v/>
      </c>
      <c r="E1331" s="18">
        <f>IF($L1331="","",IF(INDEX(ExpParty,$L1331)="","—",IFERROR(VLOOKUP(INDEX(ExpParty,$L1331),AcctTbl,4,0),INDEX(ExpParty,$L1331))))</f>
        <v/>
      </c>
      <c r="F1331" s="17">
        <f>IF($L1331="","",IF(INDEX(ExpType,$L1331)="","—",INDEX(ExpType,$L1331)))</f>
        <v/>
      </c>
      <c r="G1331" s="19">
        <f>IF($L1331="","",IF(INDEX(ExpDep,$L1331)=0,"",INDEX(ExpDep,$L1331)))</f>
        <v/>
      </c>
      <c r="H1331" s="19">
        <f>IF($L1331="","",IF(INDEX(ExpWit,$L1331)=0,"",INDEX(ExpWit,$L1331)))</f>
        <v/>
      </c>
      <c r="I1331" s="20">
        <f>IF($B1331="","",IF($I1330="",0,$I1330)+IF($H1331="",0,$H1331)-IF($G1331="",0,$G1331))</f>
        <v/>
      </c>
      <c r="J1331" s="18">
        <f>IF($L1331="","",IF(INDEX(ExpNote,$L1331)="","—",INDEX(ExpNote,$L1331)))</f>
        <v/>
      </c>
      <c r="L1331">
        <f>IFERROR(MATCH($C$5&amp;"|"&amp;RIGHT("000000"&amp;1315,6),ExpRankKey,0),"")</f>
        <v/>
      </c>
    </row>
    <row r="1332">
      <c r="A1332" s="21" t="n">
        <v>1316</v>
      </c>
      <c r="B1332" s="22">
        <f>IF($L1332="","",INDEX(ExpNorm,$L1332))</f>
        <v/>
      </c>
      <c r="C1332" s="22">
        <f>IF($L1332="","",IF(INDEX(ExpTime,$L1332)="","—",LEFT(INDEX(ExpTime,$L1332),2)&amp;":"&amp;RIGHT(INDEX(ExpTime,$L1332),2)))</f>
        <v/>
      </c>
      <c r="D1332" s="22">
        <f>IF($L1332="","",IF(INDEX(ExpBank,$L1332)="","—",INDEX(ExpBank,$L1332)))</f>
        <v/>
      </c>
      <c r="E1332" s="23">
        <f>IF($L1332="","",IF(INDEX(ExpParty,$L1332)="","—",IFERROR(VLOOKUP(INDEX(ExpParty,$L1332),AcctTbl,4,0),INDEX(ExpParty,$L1332))))</f>
        <v/>
      </c>
      <c r="F1332" s="22">
        <f>IF($L1332="","",IF(INDEX(ExpType,$L1332)="","—",INDEX(ExpType,$L1332)))</f>
        <v/>
      </c>
      <c r="G1332" s="24">
        <f>IF($L1332="","",IF(INDEX(ExpDep,$L1332)=0,"",INDEX(ExpDep,$L1332)))</f>
        <v/>
      </c>
      <c r="H1332" s="24">
        <f>IF($L1332="","",IF(INDEX(ExpWit,$L1332)=0,"",INDEX(ExpWit,$L1332)))</f>
        <v/>
      </c>
      <c r="I1332" s="25">
        <f>IF($B1332="","",IF($I1331="",0,$I1331)+IF($H1332="",0,$H1332)-IF($G1332="",0,$G1332))</f>
        <v/>
      </c>
      <c r="J1332" s="23">
        <f>IF($L1332="","",IF(INDEX(ExpNote,$L1332)="","—",INDEX(ExpNote,$L1332)))</f>
        <v/>
      </c>
      <c r="L1332">
        <f>IFERROR(MATCH($C$5&amp;"|"&amp;RIGHT("000000"&amp;1316,6),ExpRankKey,0),"")</f>
        <v/>
      </c>
    </row>
    <row r="1333">
      <c r="A1333" s="16" t="n">
        <v>1317</v>
      </c>
      <c r="B1333" s="17">
        <f>IF($L1333="","",INDEX(ExpNorm,$L1333))</f>
        <v/>
      </c>
      <c r="C1333" s="17">
        <f>IF($L1333="","",IF(INDEX(ExpTime,$L1333)="","—",LEFT(INDEX(ExpTime,$L1333),2)&amp;":"&amp;RIGHT(INDEX(ExpTime,$L1333),2)))</f>
        <v/>
      </c>
      <c r="D1333" s="17">
        <f>IF($L1333="","",IF(INDEX(ExpBank,$L1333)="","—",INDEX(ExpBank,$L1333)))</f>
        <v/>
      </c>
      <c r="E1333" s="18">
        <f>IF($L1333="","",IF(INDEX(ExpParty,$L1333)="","—",IFERROR(VLOOKUP(INDEX(ExpParty,$L1333),AcctTbl,4,0),INDEX(ExpParty,$L1333))))</f>
        <v/>
      </c>
      <c r="F1333" s="17">
        <f>IF($L1333="","",IF(INDEX(ExpType,$L1333)="","—",INDEX(ExpType,$L1333)))</f>
        <v/>
      </c>
      <c r="G1333" s="19">
        <f>IF($L1333="","",IF(INDEX(ExpDep,$L1333)=0,"",INDEX(ExpDep,$L1333)))</f>
        <v/>
      </c>
      <c r="H1333" s="19">
        <f>IF($L1333="","",IF(INDEX(ExpWit,$L1333)=0,"",INDEX(ExpWit,$L1333)))</f>
        <v/>
      </c>
      <c r="I1333" s="20">
        <f>IF($B1333="","",IF($I1332="",0,$I1332)+IF($H1333="",0,$H1333)-IF($G1333="",0,$G1333))</f>
        <v/>
      </c>
      <c r="J1333" s="18">
        <f>IF($L1333="","",IF(INDEX(ExpNote,$L1333)="","—",INDEX(ExpNote,$L1333)))</f>
        <v/>
      </c>
      <c r="L1333">
        <f>IFERROR(MATCH($C$5&amp;"|"&amp;RIGHT("000000"&amp;1317,6),ExpRankKey,0),"")</f>
        <v/>
      </c>
    </row>
    <row r="1334">
      <c r="A1334" s="21" t="n">
        <v>1318</v>
      </c>
      <c r="B1334" s="22">
        <f>IF($L1334="","",INDEX(ExpNorm,$L1334))</f>
        <v/>
      </c>
      <c r="C1334" s="22">
        <f>IF($L1334="","",IF(INDEX(ExpTime,$L1334)="","—",LEFT(INDEX(ExpTime,$L1334),2)&amp;":"&amp;RIGHT(INDEX(ExpTime,$L1334),2)))</f>
        <v/>
      </c>
      <c r="D1334" s="22">
        <f>IF($L1334="","",IF(INDEX(ExpBank,$L1334)="","—",INDEX(ExpBank,$L1334)))</f>
        <v/>
      </c>
      <c r="E1334" s="23">
        <f>IF($L1334="","",IF(INDEX(ExpParty,$L1334)="","—",IFERROR(VLOOKUP(INDEX(ExpParty,$L1334),AcctTbl,4,0),INDEX(ExpParty,$L1334))))</f>
        <v/>
      </c>
      <c r="F1334" s="22">
        <f>IF($L1334="","",IF(INDEX(ExpType,$L1334)="","—",INDEX(ExpType,$L1334)))</f>
        <v/>
      </c>
      <c r="G1334" s="24">
        <f>IF($L1334="","",IF(INDEX(ExpDep,$L1334)=0,"",INDEX(ExpDep,$L1334)))</f>
        <v/>
      </c>
      <c r="H1334" s="24">
        <f>IF($L1334="","",IF(INDEX(ExpWit,$L1334)=0,"",INDEX(ExpWit,$L1334)))</f>
        <v/>
      </c>
      <c r="I1334" s="25">
        <f>IF($B1334="","",IF($I1333="",0,$I1333)+IF($H1334="",0,$H1334)-IF($G1334="",0,$G1334))</f>
        <v/>
      </c>
      <c r="J1334" s="23">
        <f>IF($L1334="","",IF(INDEX(ExpNote,$L1334)="","—",INDEX(ExpNote,$L1334)))</f>
        <v/>
      </c>
      <c r="L1334">
        <f>IFERROR(MATCH($C$5&amp;"|"&amp;RIGHT("000000"&amp;1318,6),ExpRankKey,0),"")</f>
        <v/>
      </c>
    </row>
    <row r="1335">
      <c r="A1335" s="16" t="n">
        <v>1319</v>
      </c>
      <c r="B1335" s="17">
        <f>IF($L1335="","",INDEX(ExpNorm,$L1335))</f>
        <v/>
      </c>
      <c r="C1335" s="17">
        <f>IF($L1335="","",IF(INDEX(ExpTime,$L1335)="","—",LEFT(INDEX(ExpTime,$L1335),2)&amp;":"&amp;RIGHT(INDEX(ExpTime,$L1335),2)))</f>
        <v/>
      </c>
      <c r="D1335" s="17">
        <f>IF($L1335="","",IF(INDEX(ExpBank,$L1335)="","—",INDEX(ExpBank,$L1335)))</f>
        <v/>
      </c>
      <c r="E1335" s="18">
        <f>IF($L1335="","",IF(INDEX(ExpParty,$L1335)="","—",IFERROR(VLOOKUP(INDEX(ExpParty,$L1335),AcctTbl,4,0),INDEX(ExpParty,$L1335))))</f>
        <v/>
      </c>
      <c r="F1335" s="17">
        <f>IF($L1335="","",IF(INDEX(ExpType,$L1335)="","—",INDEX(ExpType,$L1335)))</f>
        <v/>
      </c>
      <c r="G1335" s="19">
        <f>IF($L1335="","",IF(INDEX(ExpDep,$L1335)=0,"",INDEX(ExpDep,$L1335)))</f>
        <v/>
      </c>
      <c r="H1335" s="19">
        <f>IF($L1335="","",IF(INDEX(ExpWit,$L1335)=0,"",INDEX(ExpWit,$L1335)))</f>
        <v/>
      </c>
      <c r="I1335" s="20">
        <f>IF($B1335="","",IF($I1334="",0,$I1334)+IF($H1335="",0,$H1335)-IF($G1335="",0,$G1335))</f>
        <v/>
      </c>
      <c r="J1335" s="18">
        <f>IF($L1335="","",IF(INDEX(ExpNote,$L1335)="","—",INDEX(ExpNote,$L1335)))</f>
        <v/>
      </c>
      <c r="L1335">
        <f>IFERROR(MATCH($C$5&amp;"|"&amp;RIGHT("000000"&amp;1319,6),ExpRankKey,0),"")</f>
        <v/>
      </c>
    </row>
    <row r="1336">
      <c r="A1336" s="21" t="n">
        <v>1320</v>
      </c>
      <c r="B1336" s="22">
        <f>IF($L1336="","",INDEX(ExpNorm,$L1336))</f>
        <v/>
      </c>
      <c r="C1336" s="22">
        <f>IF($L1336="","",IF(INDEX(ExpTime,$L1336)="","—",LEFT(INDEX(ExpTime,$L1336),2)&amp;":"&amp;RIGHT(INDEX(ExpTime,$L1336),2)))</f>
        <v/>
      </c>
      <c r="D1336" s="22">
        <f>IF($L1336="","",IF(INDEX(ExpBank,$L1336)="","—",INDEX(ExpBank,$L1336)))</f>
        <v/>
      </c>
      <c r="E1336" s="23">
        <f>IF($L1336="","",IF(INDEX(ExpParty,$L1336)="","—",IFERROR(VLOOKUP(INDEX(ExpParty,$L1336),AcctTbl,4,0),INDEX(ExpParty,$L1336))))</f>
        <v/>
      </c>
      <c r="F1336" s="22">
        <f>IF($L1336="","",IF(INDEX(ExpType,$L1336)="","—",INDEX(ExpType,$L1336)))</f>
        <v/>
      </c>
      <c r="G1336" s="24">
        <f>IF($L1336="","",IF(INDEX(ExpDep,$L1336)=0,"",INDEX(ExpDep,$L1336)))</f>
        <v/>
      </c>
      <c r="H1336" s="24">
        <f>IF($L1336="","",IF(INDEX(ExpWit,$L1336)=0,"",INDEX(ExpWit,$L1336)))</f>
        <v/>
      </c>
      <c r="I1336" s="25">
        <f>IF($B1336="","",IF($I1335="",0,$I1335)+IF($H1336="",0,$H1336)-IF($G1336="",0,$G1336))</f>
        <v/>
      </c>
      <c r="J1336" s="23">
        <f>IF($L1336="","",IF(INDEX(ExpNote,$L1336)="","—",INDEX(ExpNote,$L1336)))</f>
        <v/>
      </c>
      <c r="L1336">
        <f>IFERROR(MATCH($C$5&amp;"|"&amp;RIGHT("000000"&amp;1320,6),ExpRankKey,0),"")</f>
        <v/>
      </c>
    </row>
    <row r="1337">
      <c r="A1337" s="16" t="n">
        <v>1321</v>
      </c>
      <c r="B1337" s="17">
        <f>IF($L1337="","",INDEX(ExpNorm,$L1337))</f>
        <v/>
      </c>
      <c r="C1337" s="17">
        <f>IF($L1337="","",IF(INDEX(ExpTime,$L1337)="","—",LEFT(INDEX(ExpTime,$L1337),2)&amp;":"&amp;RIGHT(INDEX(ExpTime,$L1337),2)))</f>
        <v/>
      </c>
      <c r="D1337" s="17">
        <f>IF($L1337="","",IF(INDEX(ExpBank,$L1337)="","—",INDEX(ExpBank,$L1337)))</f>
        <v/>
      </c>
      <c r="E1337" s="18">
        <f>IF($L1337="","",IF(INDEX(ExpParty,$L1337)="","—",IFERROR(VLOOKUP(INDEX(ExpParty,$L1337),AcctTbl,4,0),INDEX(ExpParty,$L1337))))</f>
        <v/>
      </c>
      <c r="F1337" s="17">
        <f>IF($L1337="","",IF(INDEX(ExpType,$L1337)="","—",INDEX(ExpType,$L1337)))</f>
        <v/>
      </c>
      <c r="G1337" s="19">
        <f>IF($L1337="","",IF(INDEX(ExpDep,$L1337)=0,"",INDEX(ExpDep,$L1337)))</f>
        <v/>
      </c>
      <c r="H1337" s="19">
        <f>IF($L1337="","",IF(INDEX(ExpWit,$L1337)=0,"",INDEX(ExpWit,$L1337)))</f>
        <v/>
      </c>
      <c r="I1337" s="20">
        <f>IF($B1337="","",IF($I1336="",0,$I1336)+IF($H1337="",0,$H1337)-IF($G1337="",0,$G1337))</f>
        <v/>
      </c>
      <c r="J1337" s="18">
        <f>IF($L1337="","",IF(INDEX(ExpNote,$L1337)="","—",INDEX(ExpNote,$L1337)))</f>
        <v/>
      </c>
      <c r="L1337">
        <f>IFERROR(MATCH($C$5&amp;"|"&amp;RIGHT("000000"&amp;1321,6),ExpRankKey,0),"")</f>
        <v/>
      </c>
    </row>
    <row r="1338">
      <c r="A1338" s="21" t="n">
        <v>1322</v>
      </c>
      <c r="B1338" s="22">
        <f>IF($L1338="","",INDEX(ExpNorm,$L1338))</f>
        <v/>
      </c>
      <c r="C1338" s="22">
        <f>IF($L1338="","",IF(INDEX(ExpTime,$L1338)="","—",LEFT(INDEX(ExpTime,$L1338),2)&amp;":"&amp;RIGHT(INDEX(ExpTime,$L1338),2)))</f>
        <v/>
      </c>
      <c r="D1338" s="22">
        <f>IF($L1338="","",IF(INDEX(ExpBank,$L1338)="","—",INDEX(ExpBank,$L1338)))</f>
        <v/>
      </c>
      <c r="E1338" s="23">
        <f>IF($L1338="","",IF(INDEX(ExpParty,$L1338)="","—",IFERROR(VLOOKUP(INDEX(ExpParty,$L1338),AcctTbl,4,0),INDEX(ExpParty,$L1338))))</f>
        <v/>
      </c>
      <c r="F1338" s="22">
        <f>IF($L1338="","",IF(INDEX(ExpType,$L1338)="","—",INDEX(ExpType,$L1338)))</f>
        <v/>
      </c>
      <c r="G1338" s="24">
        <f>IF($L1338="","",IF(INDEX(ExpDep,$L1338)=0,"",INDEX(ExpDep,$L1338)))</f>
        <v/>
      </c>
      <c r="H1338" s="24">
        <f>IF($L1338="","",IF(INDEX(ExpWit,$L1338)=0,"",INDEX(ExpWit,$L1338)))</f>
        <v/>
      </c>
      <c r="I1338" s="25">
        <f>IF($B1338="","",IF($I1337="",0,$I1337)+IF($H1338="",0,$H1338)-IF($G1338="",0,$G1338))</f>
        <v/>
      </c>
      <c r="J1338" s="23">
        <f>IF($L1338="","",IF(INDEX(ExpNote,$L1338)="","—",INDEX(ExpNote,$L1338)))</f>
        <v/>
      </c>
      <c r="L1338">
        <f>IFERROR(MATCH($C$5&amp;"|"&amp;RIGHT("000000"&amp;1322,6),ExpRankKey,0),"")</f>
        <v/>
      </c>
    </row>
    <row r="1339">
      <c r="A1339" s="16" t="n">
        <v>1323</v>
      </c>
      <c r="B1339" s="17">
        <f>IF($L1339="","",INDEX(ExpNorm,$L1339))</f>
        <v/>
      </c>
      <c r="C1339" s="17">
        <f>IF($L1339="","",IF(INDEX(ExpTime,$L1339)="","—",LEFT(INDEX(ExpTime,$L1339),2)&amp;":"&amp;RIGHT(INDEX(ExpTime,$L1339),2)))</f>
        <v/>
      </c>
      <c r="D1339" s="17">
        <f>IF($L1339="","",IF(INDEX(ExpBank,$L1339)="","—",INDEX(ExpBank,$L1339)))</f>
        <v/>
      </c>
      <c r="E1339" s="18">
        <f>IF($L1339="","",IF(INDEX(ExpParty,$L1339)="","—",IFERROR(VLOOKUP(INDEX(ExpParty,$L1339),AcctTbl,4,0),INDEX(ExpParty,$L1339))))</f>
        <v/>
      </c>
      <c r="F1339" s="17">
        <f>IF($L1339="","",IF(INDEX(ExpType,$L1339)="","—",INDEX(ExpType,$L1339)))</f>
        <v/>
      </c>
      <c r="G1339" s="19">
        <f>IF($L1339="","",IF(INDEX(ExpDep,$L1339)=0,"",INDEX(ExpDep,$L1339)))</f>
        <v/>
      </c>
      <c r="H1339" s="19">
        <f>IF($L1339="","",IF(INDEX(ExpWit,$L1339)=0,"",INDEX(ExpWit,$L1339)))</f>
        <v/>
      </c>
      <c r="I1339" s="20">
        <f>IF($B1339="","",IF($I1338="",0,$I1338)+IF($H1339="",0,$H1339)-IF($G1339="",0,$G1339))</f>
        <v/>
      </c>
      <c r="J1339" s="18">
        <f>IF($L1339="","",IF(INDEX(ExpNote,$L1339)="","—",INDEX(ExpNote,$L1339)))</f>
        <v/>
      </c>
      <c r="L1339">
        <f>IFERROR(MATCH($C$5&amp;"|"&amp;RIGHT("000000"&amp;1323,6),ExpRankKey,0),"")</f>
        <v/>
      </c>
    </row>
    <row r="1340">
      <c r="A1340" s="21" t="n">
        <v>1324</v>
      </c>
      <c r="B1340" s="22">
        <f>IF($L1340="","",INDEX(ExpNorm,$L1340))</f>
        <v/>
      </c>
      <c r="C1340" s="22">
        <f>IF($L1340="","",IF(INDEX(ExpTime,$L1340)="","—",LEFT(INDEX(ExpTime,$L1340),2)&amp;":"&amp;RIGHT(INDEX(ExpTime,$L1340),2)))</f>
        <v/>
      </c>
      <c r="D1340" s="22">
        <f>IF($L1340="","",IF(INDEX(ExpBank,$L1340)="","—",INDEX(ExpBank,$L1340)))</f>
        <v/>
      </c>
      <c r="E1340" s="23">
        <f>IF($L1340="","",IF(INDEX(ExpParty,$L1340)="","—",IFERROR(VLOOKUP(INDEX(ExpParty,$L1340),AcctTbl,4,0),INDEX(ExpParty,$L1340))))</f>
        <v/>
      </c>
      <c r="F1340" s="22">
        <f>IF($L1340="","",IF(INDEX(ExpType,$L1340)="","—",INDEX(ExpType,$L1340)))</f>
        <v/>
      </c>
      <c r="G1340" s="24">
        <f>IF($L1340="","",IF(INDEX(ExpDep,$L1340)=0,"",INDEX(ExpDep,$L1340)))</f>
        <v/>
      </c>
      <c r="H1340" s="24">
        <f>IF($L1340="","",IF(INDEX(ExpWit,$L1340)=0,"",INDEX(ExpWit,$L1340)))</f>
        <v/>
      </c>
      <c r="I1340" s="25">
        <f>IF($B1340="","",IF($I1339="",0,$I1339)+IF($H1340="",0,$H1340)-IF($G1340="",0,$G1340))</f>
        <v/>
      </c>
      <c r="J1340" s="23">
        <f>IF($L1340="","",IF(INDEX(ExpNote,$L1340)="","—",INDEX(ExpNote,$L1340)))</f>
        <v/>
      </c>
      <c r="L1340">
        <f>IFERROR(MATCH($C$5&amp;"|"&amp;RIGHT("000000"&amp;1324,6),ExpRankKey,0),"")</f>
        <v/>
      </c>
    </row>
    <row r="1341">
      <c r="A1341" s="16" t="n">
        <v>1325</v>
      </c>
      <c r="B1341" s="17">
        <f>IF($L1341="","",INDEX(ExpNorm,$L1341))</f>
        <v/>
      </c>
      <c r="C1341" s="17">
        <f>IF($L1341="","",IF(INDEX(ExpTime,$L1341)="","—",LEFT(INDEX(ExpTime,$L1341),2)&amp;":"&amp;RIGHT(INDEX(ExpTime,$L1341),2)))</f>
        <v/>
      </c>
      <c r="D1341" s="17">
        <f>IF($L1341="","",IF(INDEX(ExpBank,$L1341)="","—",INDEX(ExpBank,$L1341)))</f>
        <v/>
      </c>
      <c r="E1341" s="18">
        <f>IF($L1341="","",IF(INDEX(ExpParty,$L1341)="","—",IFERROR(VLOOKUP(INDEX(ExpParty,$L1341),AcctTbl,4,0),INDEX(ExpParty,$L1341))))</f>
        <v/>
      </c>
      <c r="F1341" s="17">
        <f>IF($L1341="","",IF(INDEX(ExpType,$L1341)="","—",INDEX(ExpType,$L1341)))</f>
        <v/>
      </c>
      <c r="G1341" s="19">
        <f>IF($L1341="","",IF(INDEX(ExpDep,$L1341)=0,"",INDEX(ExpDep,$L1341)))</f>
        <v/>
      </c>
      <c r="H1341" s="19">
        <f>IF($L1341="","",IF(INDEX(ExpWit,$L1341)=0,"",INDEX(ExpWit,$L1341)))</f>
        <v/>
      </c>
      <c r="I1341" s="20">
        <f>IF($B1341="","",IF($I1340="",0,$I1340)+IF($H1341="",0,$H1341)-IF($G1341="",0,$G1341))</f>
        <v/>
      </c>
      <c r="J1341" s="18">
        <f>IF($L1341="","",IF(INDEX(ExpNote,$L1341)="","—",INDEX(ExpNote,$L1341)))</f>
        <v/>
      </c>
      <c r="L1341">
        <f>IFERROR(MATCH($C$5&amp;"|"&amp;RIGHT("000000"&amp;1325,6),ExpRankKey,0),"")</f>
        <v/>
      </c>
    </row>
    <row r="1342">
      <c r="A1342" s="21" t="n">
        <v>1326</v>
      </c>
      <c r="B1342" s="22">
        <f>IF($L1342="","",INDEX(ExpNorm,$L1342))</f>
        <v/>
      </c>
      <c r="C1342" s="22">
        <f>IF($L1342="","",IF(INDEX(ExpTime,$L1342)="","—",LEFT(INDEX(ExpTime,$L1342),2)&amp;":"&amp;RIGHT(INDEX(ExpTime,$L1342),2)))</f>
        <v/>
      </c>
      <c r="D1342" s="22">
        <f>IF($L1342="","",IF(INDEX(ExpBank,$L1342)="","—",INDEX(ExpBank,$L1342)))</f>
        <v/>
      </c>
      <c r="E1342" s="23">
        <f>IF($L1342="","",IF(INDEX(ExpParty,$L1342)="","—",IFERROR(VLOOKUP(INDEX(ExpParty,$L1342),AcctTbl,4,0),INDEX(ExpParty,$L1342))))</f>
        <v/>
      </c>
      <c r="F1342" s="22">
        <f>IF($L1342="","",IF(INDEX(ExpType,$L1342)="","—",INDEX(ExpType,$L1342)))</f>
        <v/>
      </c>
      <c r="G1342" s="24">
        <f>IF($L1342="","",IF(INDEX(ExpDep,$L1342)=0,"",INDEX(ExpDep,$L1342)))</f>
        <v/>
      </c>
      <c r="H1342" s="24">
        <f>IF($L1342="","",IF(INDEX(ExpWit,$L1342)=0,"",INDEX(ExpWit,$L1342)))</f>
        <v/>
      </c>
      <c r="I1342" s="25">
        <f>IF($B1342="","",IF($I1341="",0,$I1341)+IF($H1342="",0,$H1342)-IF($G1342="",0,$G1342))</f>
        <v/>
      </c>
      <c r="J1342" s="23">
        <f>IF($L1342="","",IF(INDEX(ExpNote,$L1342)="","—",INDEX(ExpNote,$L1342)))</f>
        <v/>
      </c>
      <c r="L1342">
        <f>IFERROR(MATCH($C$5&amp;"|"&amp;RIGHT("000000"&amp;1326,6),ExpRankKey,0),"")</f>
        <v/>
      </c>
    </row>
    <row r="1343">
      <c r="A1343" s="16" t="n">
        <v>1327</v>
      </c>
      <c r="B1343" s="17">
        <f>IF($L1343="","",INDEX(ExpNorm,$L1343))</f>
        <v/>
      </c>
      <c r="C1343" s="17">
        <f>IF($L1343="","",IF(INDEX(ExpTime,$L1343)="","—",LEFT(INDEX(ExpTime,$L1343),2)&amp;":"&amp;RIGHT(INDEX(ExpTime,$L1343),2)))</f>
        <v/>
      </c>
      <c r="D1343" s="17">
        <f>IF($L1343="","",IF(INDEX(ExpBank,$L1343)="","—",INDEX(ExpBank,$L1343)))</f>
        <v/>
      </c>
      <c r="E1343" s="18">
        <f>IF($L1343="","",IF(INDEX(ExpParty,$L1343)="","—",IFERROR(VLOOKUP(INDEX(ExpParty,$L1343),AcctTbl,4,0),INDEX(ExpParty,$L1343))))</f>
        <v/>
      </c>
      <c r="F1343" s="17">
        <f>IF($L1343="","",IF(INDEX(ExpType,$L1343)="","—",INDEX(ExpType,$L1343)))</f>
        <v/>
      </c>
      <c r="G1343" s="19">
        <f>IF($L1343="","",IF(INDEX(ExpDep,$L1343)=0,"",INDEX(ExpDep,$L1343)))</f>
        <v/>
      </c>
      <c r="H1343" s="19">
        <f>IF($L1343="","",IF(INDEX(ExpWit,$L1343)=0,"",INDEX(ExpWit,$L1343)))</f>
        <v/>
      </c>
      <c r="I1343" s="20">
        <f>IF($B1343="","",IF($I1342="",0,$I1342)+IF($H1343="",0,$H1343)-IF($G1343="",0,$G1343))</f>
        <v/>
      </c>
      <c r="J1343" s="18">
        <f>IF($L1343="","",IF(INDEX(ExpNote,$L1343)="","—",INDEX(ExpNote,$L1343)))</f>
        <v/>
      </c>
      <c r="L1343">
        <f>IFERROR(MATCH($C$5&amp;"|"&amp;RIGHT("000000"&amp;1327,6),ExpRankKey,0),"")</f>
        <v/>
      </c>
    </row>
    <row r="1344">
      <c r="A1344" s="21" t="n">
        <v>1328</v>
      </c>
      <c r="B1344" s="22">
        <f>IF($L1344="","",INDEX(ExpNorm,$L1344))</f>
        <v/>
      </c>
      <c r="C1344" s="22">
        <f>IF($L1344="","",IF(INDEX(ExpTime,$L1344)="","—",LEFT(INDEX(ExpTime,$L1344),2)&amp;":"&amp;RIGHT(INDEX(ExpTime,$L1344),2)))</f>
        <v/>
      </c>
      <c r="D1344" s="22">
        <f>IF($L1344="","",IF(INDEX(ExpBank,$L1344)="","—",INDEX(ExpBank,$L1344)))</f>
        <v/>
      </c>
      <c r="E1344" s="23">
        <f>IF($L1344="","",IF(INDEX(ExpParty,$L1344)="","—",IFERROR(VLOOKUP(INDEX(ExpParty,$L1344),AcctTbl,4,0),INDEX(ExpParty,$L1344))))</f>
        <v/>
      </c>
      <c r="F1344" s="22">
        <f>IF($L1344="","",IF(INDEX(ExpType,$L1344)="","—",INDEX(ExpType,$L1344)))</f>
        <v/>
      </c>
      <c r="G1344" s="24">
        <f>IF($L1344="","",IF(INDEX(ExpDep,$L1344)=0,"",INDEX(ExpDep,$L1344)))</f>
        <v/>
      </c>
      <c r="H1344" s="24">
        <f>IF($L1344="","",IF(INDEX(ExpWit,$L1344)=0,"",INDEX(ExpWit,$L1344)))</f>
        <v/>
      </c>
      <c r="I1344" s="25">
        <f>IF($B1344="","",IF($I1343="",0,$I1343)+IF($H1344="",0,$H1344)-IF($G1344="",0,$G1344))</f>
        <v/>
      </c>
      <c r="J1344" s="23">
        <f>IF($L1344="","",IF(INDEX(ExpNote,$L1344)="","—",INDEX(ExpNote,$L1344)))</f>
        <v/>
      </c>
      <c r="L1344">
        <f>IFERROR(MATCH($C$5&amp;"|"&amp;RIGHT("000000"&amp;1328,6),ExpRankKey,0),"")</f>
        <v/>
      </c>
    </row>
    <row r="1345">
      <c r="A1345" s="16" t="n">
        <v>1329</v>
      </c>
      <c r="B1345" s="17">
        <f>IF($L1345="","",INDEX(ExpNorm,$L1345))</f>
        <v/>
      </c>
      <c r="C1345" s="17">
        <f>IF($L1345="","",IF(INDEX(ExpTime,$L1345)="","—",LEFT(INDEX(ExpTime,$L1345),2)&amp;":"&amp;RIGHT(INDEX(ExpTime,$L1345),2)))</f>
        <v/>
      </c>
      <c r="D1345" s="17">
        <f>IF($L1345="","",IF(INDEX(ExpBank,$L1345)="","—",INDEX(ExpBank,$L1345)))</f>
        <v/>
      </c>
      <c r="E1345" s="18">
        <f>IF($L1345="","",IF(INDEX(ExpParty,$L1345)="","—",IFERROR(VLOOKUP(INDEX(ExpParty,$L1345),AcctTbl,4,0),INDEX(ExpParty,$L1345))))</f>
        <v/>
      </c>
      <c r="F1345" s="17">
        <f>IF($L1345="","",IF(INDEX(ExpType,$L1345)="","—",INDEX(ExpType,$L1345)))</f>
        <v/>
      </c>
      <c r="G1345" s="19">
        <f>IF($L1345="","",IF(INDEX(ExpDep,$L1345)=0,"",INDEX(ExpDep,$L1345)))</f>
        <v/>
      </c>
      <c r="H1345" s="19">
        <f>IF($L1345="","",IF(INDEX(ExpWit,$L1345)=0,"",INDEX(ExpWit,$L1345)))</f>
        <v/>
      </c>
      <c r="I1345" s="20">
        <f>IF($B1345="","",IF($I1344="",0,$I1344)+IF($H1345="",0,$H1345)-IF($G1345="",0,$G1345))</f>
        <v/>
      </c>
      <c r="J1345" s="18">
        <f>IF($L1345="","",IF(INDEX(ExpNote,$L1345)="","—",INDEX(ExpNote,$L1345)))</f>
        <v/>
      </c>
      <c r="L1345">
        <f>IFERROR(MATCH($C$5&amp;"|"&amp;RIGHT("000000"&amp;1329,6),ExpRankKey,0),"")</f>
        <v/>
      </c>
    </row>
    <row r="1346">
      <c r="A1346" s="21" t="n">
        <v>1330</v>
      </c>
      <c r="B1346" s="22">
        <f>IF($L1346="","",INDEX(ExpNorm,$L1346))</f>
        <v/>
      </c>
      <c r="C1346" s="22">
        <f>IF($L1346="","",IF(INDEX(ExpTime,$L1346)="","—",LEFT(INDEX(ExpTime,$L1346),2)&amp;":"&amp;RIGHT(INDEX(ExpTime,$L1346),2)))</f>
        <v/>
      </c>
      <c r="D1346" s="22">
        <f>IF($L1346="","",IF(INDEX(ExpBank,$L1346)="","—",INDEX(ExpBank,$L1346)))</f>
        <v/>
      </c>
      <c r="E1346" s="23">
        <f>IF($L1346="","",IF(INDEX(ExpParty,$L1346)="","—",IFERROR(VLOOKUP(INDEX(ExpParty,$L1346),AcctTbl,4,0),INDEX(ExpParty,$L1346))))</f>
        <v/>
      </c>
      <c r="F1346" s="22">
        <f>IF($L1346="","",IF(INDEX(ExpType,$L1346)="","—",INDEX(ExpType,$L1346)))</f>
        <v/>
      </c>
      <c r="G1346" s="24">
        <f>IF($L1346="","",IF(INDEX(ExpDep,$L1346)=0,"",INDEX(ExpDep,$L1346)))</f>
        <v/>
      </c>
      <c r="H1346" s="24">
        <f>IF($L1346="","",IF(INDEX(ExpWit,$L1346)=0,"",INDEX(ExpWit,$L1346)))</f>
        <v/>
      </c>
      <c r="I1346" s="25">
        <f>IF($B1346="","",IF($I1345="",0,$I1345)+IF($H1346="",0,$H1346)-IF($G1346="",0,$G1346))</f>
        <v/>
      </c>
      <c r="J1346" s="23">
        <f>IF($L1346="","",IF(INDEX(ExpNote,$L1346)="","—",INDEX(ExpNote,$L1346)))</f>
        <v/>
      </c>
      <c r="L1346">
        <f>IFERROR(MATCH($C$5&amp;"|"&amp;RIGHT("000000"&amp;1330,6),ExpRankKey,0),"")</f>
        <v/>
      </c>
    </row>
    <row r="1347">
      <c r="A1347" s="16" t="n">
        <v>1331</v>
      </c>
      <c r="B1347" s="17">
        <f>IF($L1347="","",INDEX(ExpNorm,$L1347))</f>
        <v/>
      </c>
      <c r="C1347" s="17">
        <f>IF($L1347="","",IF(INDEX(ExpTime,$L1347)="","—",LEFT(INDEX(ExpTime,$L1347),2)&amp;":"&amp;RIGHT(INDEX(ExpTime,$L1347),2)))</f>
        <v/>
      </c>
      <c r="D1347" s="17">
        <f>IF($L1347="","",IF(INDEX(ExpBank,$L1347)="","—",INDEX(ExpBank,$L1347)))</f>
        <v/>
      </c>
      <c r="E1347" s="18">
        <f>IF($L1347="","",IF(INDEX(ExpParty,$L1347)="","—",IFERROR(VLOOKUP(INDEX(ExpParty,$L1347),AcctTbl,4,0),INDEX(ExpParty,$L1347))))</f>
        <v/>
      </c>
      <c r="F1347" s="17">
        <f>IF($L1347="","",IF(INDEX(ExpType,$L1347)="","—",INDEX(ExpType,$L1347)))</f>
        <v/>
      </c>
      <c r="G1347" s="19">
        <f>IF($L1347="","",IF(INDEX(ExpDep,$L1347)=0,"",INDEX(ExpDep,$L1347)))</f>
        <v/>
      </c>
      <c r="H1347" s="19">
        <f>IF($L1347="","",IF(INDEX(ExpWit,$L1347)=0,"",INDEX(ExpWit,$L1347)))</f>
        <v/>
      </c>
      <c r="I1347" s="20">
        <f>IF($B1347="","",IF($I1346="",0,$I1346)+IF($H1347="",0,$H1347)-IF($G1347="",0,$G1347))</f>
        <v/>
      </c>
      <c r="J1347" s="18">
        <f>IF($L1347="","",IF(INDEX(ExpNote,$L1347)="","—",INDEX(ExpNote,$L1347)))</f>
        <v/>
      </c>
      <c r="L1347">
        <f>IFERROR(MATCH($C$5&amp;"|"&amp;RIGHT("000000"&amp;1331,6),ExpRankKey,0),"")</f>
        <v/>
      </c>
    </row>
    <row r="1348">
      <c r="A1348" s="21" t="n">
        <v>1332</v>
      </c>
      <c r="B1348" s="22">
        <f>IF($L1348="","",INDEX(ExpNorm,$L1348))</f>
        <v/>
      </c>
      <c r="C1348" s="22">
        <f>IF($L1348="","",IF(INDEX(ExpTime,$L1348)="","—",LEFT(INDEX(ExpTime,$L1348),2)&amp;":"&amp;RIGHT(INDEX(ExpTime,$L1348),2)))</f>
        <v/>
      </c>
      <c r="D1348" s="22">
        <f>IF($L1348="","",IF(INDEX(ExpBank,$L1348)="","—",INDEX(ExpBank,$L1348)))</f>
        <v/>
      </c>
      <c r="E1348" s="23">
        <f>IF($L1348="","",IF(INDEX(ExpParty,$L1348)="","—",IFERROR(VLOOKUP(INDEX(ExpParty,$L1348),AcctTbl,4,0),INDEX(ExpParty,$L1348))))</f>
        <v/>
      </c>
      <c r="F1348" s="22">
        <f>IF($L1348="","",IF(INDEX(ExpType,$L1348)="","—",INDEX(ExpType,$L1348)))</f>
        <v/>
      </c>
      <c r="G1348" s="24">
        <f>IF($L1348="","",IF(INDEX(ExpDep,$L1348)=0,"",INDEX(ExpDep,$L1348)))</f>
        <v/>
      </c>
      <c r="H1348" s="24">
        <f>IF($L1348="","",IF(INDEX(ExpWit,$L1348)=0,"",INDEX(ExpWit,$L1348)))</f>
        <v/>
      </c>
      <c r="I1348" s="25">
        <f>IF($B1348="","",IF($I1347="",0,$I1347)+IF($H1348="",0,$H1348)-IF($G1348="",0,$G1348))</f>
        <v/>
      </c>
      <c r="J1348" s="23">
        <f>IF($L1348="","",IF(INDEX(ExpNote,$L1348)="","—",INDEX(ExpNote,$L1348)))</f>
        <v/>
      </c>
      <c r="L1348">
        <f>IFERROR(MATCH($C$5&amp;"|"&amp;RIGHT("000000"&amp;1332,6),ExpRankKey,0),"")</f>
        <v/>
      </c>
    </row>
    <row r="1349">
      <c r="A1349" s="16" t="n">
        <v>1333</v>
      </c>
      <c r="B1349" s="17">
        <f>IF($L1349="","",INDEX(ExpNorm,$L1349))</f>
        <v/>
      </c>
      <c r="C1349" s="17">
        <f>IF($L1349="","",IF(INDEX(ExpTime,$L1349)="","—",LEFT(INDEX(ExpTime,$L1349),2)&amp;":"&amp;RIGHT(INDEX(ExpTime,$L1349),2)))</f>
        <v/>
      </c>
      <c r="D1349" s="17">
        <f>IF($L1349="","",IF(INDEX(ExpBank,$L1349)="","—",INDEX(ExpBank,$L1349)))</f>
        <v/>
      </c>
      <c r="E1349" s="18">
        <f>IF($L1349="","",IF(INDEX(ExpParty,$L1349)="","—",IFERROR(VLOOKUP(INDEX(ExpParty,$L1349),AcctTbl,4,0),INDEX(ExpParty,$L1349))))</f>
        <v/>
      </c>
      <c r="F1349" s="17">
        <f>IF($L1349="","",IF(INDEX(ExpType,$L1349)="","—",INDEX(ExpType,$L1349)))</f>
        <v/>
      </c>
      <c r="G1349" s="19">
        <f>IF($L1349="","",IF(INDEX(ExpDep,$L1349)=0,"",INDEX(ExpDep,$L1349)))</f>
        <v/>
      </c>
      <c r="H1349" s="19">
        <f>IF($L1349="","",IF(INDEX(ExpWit,$L1349)=0,"",INDEX(ExpWit,$L1349)))</f>
        <v/>
      </c>
      <c r="I1349" s="20">
        <f>IF($B1349="","",IF($I1348="",0,$I1348)+IF($H1349="",0,$H1349)-IF($G1349="",0,$G1349))</f>
        <v/>
      </c>
      <c r="J1349" s="18">
        <f>IF($L1349="","",IF(INDEX(ExpNote,$L1349)="","—",INDEX(ExpNote,$L1349)))</f>
        <v/>
      </c>
      <c r="L1349">
        <f>IFERROR(MATCH($C$5&amp;"|"&amp;RIGHT("000000"&amp;1333,6),ExpRankKey,0),"")</f>
        <v/>
      </c>
    </row>
    <row r="1350">
      <c r="A1350" s="21" t="n">
        <v>1334</v>
      </c>
      <c r="B1350" s="22">
        <f>IF($L1350="","",INDEX(ExpNorm,$L1350))</f>
        <v/>
      </c>
      <c r="C1350" s="22">
        <f>IF($L1350="","",IF(INDEX(ExpTime,$L1350)="","—",LEFT(INDEX(ExpTime,$L1350),2)&amp;":"&amp;RIGHT(INDEX(ExpTime,$L1350),2)))</f>
        <v/>
      </c>
      <c r="D1350" s="22">
        <f>IF($L1350="","",IF(INDEX(ExpBank,$L1350)="","—",INDEX(ExpBank,$L1350)))</f>
        <v/>
      </c>
      <c r="E1350" s="23">
        <f>IF($L1350="","",IF(INDEX(ExpParty,$L1350)="","—",IFERROR(VLOOKUP(INDEX(ExpParty,$L1350),AcctTbl,4,0),INDEX(ExpParty,$L1350))))</f>
        <v/>
      </c>
      <c r="F1350" s="22">
        <f>IF($L1350="","",IF(INDEX(ExpType,$L1350)="","—",INDEX(ExpType,$L1350)))</f>
        <v/>
      </c>
      <c r="G1350" s="24">
        <f>IF($L1350="","",IF(INDEX(ExpDep,$L1350)=0,"",INDEX(ExpDep,$L1350)))</f>
        <v/>
      </c>
      <c r="H1350" s="24">
        <f>IF($L1350="","",IF(INDEX(ExpWit,$L1350)=0,"",INDEX(ExpWit,$L1350)))</f>
        <v/>
      </c>
      <c r="I1350" s="25">
        <f>IF($B1350="","",IF($I1349="",0,$I1349)+IF($H1350="",0,$H1350)-IF($G1350="",0,$G1350))</f>
        <v/>
      </c>
      <c r="J1350" s="23">
        <f>IF($L1350="","",IF(INDEX(ExpNote,$L1350)="","—",INDEX(ExpNote,$L1350)))</f>
        <v/>
      </c>
      <c r="L1350">
        <f>IFERROR(MATCH($C$5&amp;"|"&amp;RIGHT("000000"&amp;1334,6),ExpRankKey,0),"")</f>
        <v/>
      </c>
    </row>
    <row r="1351">
      <c r="A1351" s="16" t="n">
        <v>1335</v>
      </c>
      <c r="B1351" s="17">
        <f>IF($L1351="","",INDEX(ExpNorm,$L1351))</f>
        <v/>
      </c>
      <c r="C1351" s="17">
        <f>IF($L1351="","",IF(INDEX(ExpTime,$L1351)="","—",LEFT(INDEX(ExpTime,$L1351),2)&amp;":"&amp;RIGHT(INDEX(ExpTime,$L1351),2)))</f>
        <v/>
      </c>
      <c r="D1351" s="17">
        <f>IF($L1351="","",IF(INDEX(ExpBank,$L1351)="","—",INDEX(ExpBank,$L1351)))</f>
        <v/>
      </c>
      <c r="E1351" s="18">
        <f>IF($L1351="","",IF(INDEX(ExpParty,$L1351)="","—",IFERROR(VLOOKUP(INDEX(ExpParty,$L1351),AcctTbl,4,0),INDEX(ExpParty,$L1351))))</f>
        <v/>
      </c>
      <c r="F1351" s="17">
        <f>IF($L1351="","",IF(INDEX(ExpType,$L1351)="","—",INDEX(ExpType,$L1351)))</f>
        <v/>
      </c>
      <c r="G1351" s="19">
        <f>IF($L1351="","",IF(INDEX(ExpDep,$L1351)=0,"",INDEX(ExpDep,$L1351)))</f>
        <v/>
      </c>
      <c r="H1351" s="19">
        <f>IF($L1351="","",IF(INDEX(ExpWit,$L1351)=0,"",INDEX(ExpWit,$L1351)))</f>
        <v/>
      </c>
      <c r="I1351" s="20">
        <f>IF($B1351="","",IF($I1350="",0,$I1350)+IF($H1351="",0,$H1351)-IF($G1351="",0,$G1351))</f>
        <v/>
      </c>
      <c r="J1351" s="18">
        <f>IF($L1351="","",IF(INDEX(ExpNote,$L1351)="","—",INDEX(ExpNote,$L1351)))</f>
        <v/>
      </c>
      <c r="L1351">
        <f>IFERROR(MATCH($C$5&amp;"|"&amp;RIGHT("000000"&amp;1335,6),ExpRankKey,0),"")</f>
        <v/>
      </c>
    </row>
    <row r="1352">
      <c r="A1352" s="21" t="n">
        <v>1336</v>
      </c>
      <c r="B1352" s="22">
        <f>IF($L1352="","",INDEX(ExpNorm,$L1352))</f>
        <v/>
      </c>
      <c r="C1352" s="22">
        <f>IF($L1352="","",IF(INDEX(ExpTime,$L1352)="","—",LEFT(INDEX(ExpTime,$L1352),2)&amp;":"&amp;RIGHT(INDEX(ExpTime,$L1352),2)))</f>
        <v/>
      </c>
      <c r="D1352" s="22">
        <f>IF($L1352="","",IF(INDEX(ExpBank,$L1352)="","—",INDEX(ExpBank,$L1352)))</f>
        <v/>
      </c>
      <c r="E1352" s="23">
        <f>IF($L1352="","",IF(INDEX(ExpParty,$L1352)="","—",IFERROR(VLOOKUP(INDEX(ExpParty,$L1352),AcctTbl,4,0),INDEX(ExpParty,$L1352))))</f>
        <v/>
      </c>
      <c r="F1352" s="22">
        <f>IF($L1352="","",IF(INDEX(ExpType,$L1352)="","—",INDEX(ExpType,$L1352)))</f>
        <v/>
      </c>
      <c r="G1352" s="24">
        <f>IF($L1352="","",IF(INDEX(ExpDep,$L1352)=0,"",INDEX(ExpDep,$L1352)))</f>
        <v/>
      </c>
      <c r="H1352" s="24">
        <f>IF($L1352="","",IF(INDEX(ExpWit,$L1352)=0,"",INDEX(ExpWit,$L1352)))</f>
        <v/>
      </c>
      <c r="I1352" s="25">
        <f>IF($B1352="","",IF($I1351="",0,$I1351)+IF($H1352="",0,$H1352)-IF($G1352="",0,$G1352))</f>
        <v/>
      </c>
      <c r="J1352" s="23">
        <f>IF($L1352="","",IF(INDEX(ExpNote,$L1352)="","—",INDEX(ExpNote,$L1352)))</f>
        <v/>
      </c>
      <c r="L1352">
        <f>IFERROR(MATCH($C$5&amp;"|"&amp;RIGHT("000000"&amp;1336,6),ExpRankKey,0),"")</f>
        <v/>
      </c>
    </row>
    <row r="1353">
      <c r="A1353" s="16" t="n">
        <v>1337</v>
      </c>
      <c r="B1353" s="17">
        <f>IF($L1353="","",INDEX(ExpNorm,$L1353))</f>
        <v/>
      </c>
      <c r="C1353" s="17">
        <f>IF($L1353="","",IF(INDEX(ExpTime,$L1353)="","—",LEFT(INDEX(ExpTime,$L1353),2)&amp;":"&amp;RIGHT(INDEX(ExpTime,$L1353),2)))</f>
        <v/>
      </c>
      <c r="D1353" s="17">
        <f>IF($L1353="","",IF(INDEX(ExpBank,$L1353)="","—",INDEX(ExpBank,$L1353)))</f>
        <v/>
      </c>
      <c r="E1353" s="18">
        <f>IF($L1353="","",IF(INDEX(ExpParty,$L1353)="","—",IFERROR(VLOOKUP(INDEX(ExpParty,$L1353),AcctTbl,4,0),INDEX(ExpParty,$L1353))))</f>
        <v/>
      </c>
      <c r="F1353" s="17">
        <f>IF($L1353="","",IF(INDEX(ExpType,$L1353)="","—",INDEX(ExpType,$L1353)))</f>
        <v/>
      </c>
      <c r="G1353" s="19">
        <f>IF($L1353="","",IF(INDEX(ExpDep,$L1353)=0,"",INDEX(ExpDep,$L1353)))</f>
        <v/>
      </c>
      <c r="H1353" s="19">
        <f>IF($L1353="","",IF(INDEX(ExpWit,$L1353)=0,"",INDEX(ExpWit,$L1353)))</f>
        <v/>
      </c>
      <c r="I1353" s="20">
        <f>IF($B1353="","",IF($I1352="",0,$I1352)+IF($H1353="",0,$H1353)-IF($G1353="",0,$G1353))</f>
        <v/>
      </c>
      <c r="J1353" s="18">
        <f>IF($L1353="","",IF(INDEX(ExpNote,$L1353)="","—",INDEX(ExpNote,$L1353)))</f>
        <v/>
      </c>
      <c r="L1353">
        <f>IFERROR(MATCH($C$5&amp;"|"&amp;RIGHT("000000"&amp;1337,6),ExpRankKey,0),"")</f>
        <v/>
      </c>
    </row>
    <row r="1354">
      <c r="A1354" s="21" t="n">
        <v>1338</v>
      </c>
      <c r="B1354" s="22">
        <f>IF($L1354="","",INDEX(ExpNorm,$L1354))</f>
        <v/>
      </c>
      <c r="C1354" s="22">
        <f>IF($L1354="","",IF(INDEX(ExpTime,$L1354)="","—",LEFT(INDEX(ExpTime,$L1354),2)&amp;":"&amp;RIGHT(INDEX(ExpTime,$L1354),2)))</f>
        <v/>
      </c>
      <c r="D1354" s="22">
        <f>IF($L1354="","",IF(INDEX(ExpBank,$L1354)="","—",INDEX(ExpBank,$L1354)))</f>
        <v/>
      </c>
      <c r="E1354" s="23">
        <f>IF($L1354="","",IF(INDEX(ExpParty,$L1354)="","—",IFERROR(VLOOKUP(INDEX(ExpParty,$L1354),AcctTbl,4,0),INDEX(ExpParty,$L1354))))</f>
        <v/>
      </c>
      <c r="F1354" s="22">
        <f>IF($L1354="","",IF(INDEX(ExpType,$L1354)="","—",INDEX(ExpType,$L1354)))</f>
        <v/>
      </c>
      <c r="G1354" s="24">
        <f>IF($L1354="","",IF(INDEX(ExpDep,$L1354)=0,"",INDEX(ExpDep,$L1354)))</f>
        <v/>
      </c>
      <c r="H1354" s="24">
        <f>IF($L1354="","",IF(INDEX(ExpWit,$L1354)=0,"",INDEX(ExpWit,$L1354)))</f>
        <v/>
      </c>
      <c r="I1354" s="25">
        <f>IF($B1354="","",IF($I1353="",0,$I1353)+IF($H1354="",0,$H1354)-IF($G1354="",0,$G1354))</f>
        <v/>
      </c>
      <c r="J1354" s="23">
        <f>IF($L1354="","",IF(INDEX(ExpNote,$L1354)="","—",INDEX(ExpNote,$L1354)))</f>
        <v/>
      </c>
      <c r="L1354">
        <f>IFERROR(MATCH($C$5&amp;"|"&amp;RIGHT("000000"&amp;1338,6),ExpRankKey,0),"")</f>
        <v/>
      </c>
    </row>
    <row r="1355">
      <c r="A1355" s="16" t="n">
        <v>1339</v>
      </c>
      <c r="B1355" s="17">
        <f>IF($L1355="","",INDEX(ExpNorm,$L1355))</f>
        <v/>
      </c>
      <c r="C1355" s="17">
        <f>IF($L1355="","",IF(INDEX(ExpTime,$L1355)="","—",LEFT(INDEX(ExpTime,$L1355),2)&amp;":"&amp;RIGHT(INDEX(ExpTime,$L1355),2)))</f>
        <v/>
      </c>
      <c r="D1355" s="17">
        <f>IF($L1355="","",IF(INDEX(ExpBank,$L1355)="","—",INDEX(ExpBank,$L1355)))</f>
        <v/>
      </c>
      <c r="E1355" s="18">
        <f>IF($L1355="","",IF(INDEX(ExpParty,$L1355)="","—",IFERROR(VLOOKUP(INDEX(ExpParty,$L1355),AcctTbl,4,0),INDEX(ExpParty,$L1355))))</f>
        <v/>
      </c>
      <c r="F1355" s="17">
        <f>IF($L1355="","",IF(INDEX(ExpType,$L1355)="","—",INDEX(ExpType,$L1355)))</f>
        <v/>
      </c>
      <c r="G1355" s="19">
        <f>IF($L1355="","",IF(INDEX(ExpDep,$L1355)=0,"",INDEX(ExpDep,$L1355)))</f>
        <v/>
      </c>
      <c r="H1355" s="19">
        <f>IF($L1355="","",IF(INDEX(ExpWit,$L1355)=0,"",INDEX(ExpWit,$L1355)))</f>
        <v/>
      </c>
      <c r="I1355" s="20">
        <f>IF($B1355="","",IF($I1354="",0,$I1354)+IF($H1355="",0,$H1355)-IF($G1355="",0,$G1355))</f>
        <v/>
      </c>
      <c r="J1355" s="18">
        <f>IF($L1355="","",IF(INDEX(ExpNote,$L1355)="","—",INDEX(ExpNote,$L1355)))</f>
        <v/>
      </c>
      <c r="L1355">
        <f>IFERROR(MATCH($C$5&amp;"|"&amp;RIGHT("000000"&amp;1339,6),ExpRankKey,0),"")</f>
        <v/>
      </c>
    </row>
    <row r="1356">
      <c r="A1356" s="21" t="n">
        <v>1340</v>
      </c>
      <c r="B1356" s="22">
        <f>IF($L1356="","",INDEX(ExpNorm,$L1356))</f>
        <v/>
      </c>
      <c r="C1356" s="22">
        <f>IF($L1356="","",IF(INDEX(ExpTime,$L1356)="","—",LEFT(INDEX(ExpTime,$L1356),2)&amp;":"&amp;RIGHT(INDEX(ExpTime,$L1356),2)))</f>
        <v/>
      </c>
      <c r="D1356" s="22">
        <f>IF($L1356="","",IF(INDEX(ExpBank,$L1356)="","—",INDEX(ExpBank,$L1356)))</f>
        <v/>
      </c>
      <c r="E1356" s="23">
        <f>IF($L1356="","",IF(INDEX(ExpParty,$L1356)="","—",IFERROR(VLOOKUP(INDEX(ExpParty,$L1356),AcctTbl,4,0),INDEX(ExpParty,$L1356))))</f>
        <v/>
      </c>
      <c r="F1356" s="22">
        <f>IF($L1356="","",IF(INDEX(ExpType,$L1356)="","—",INDEX(ExpType,$L1356)))</f>
        <v/>
      </c>
      <c r="G1356" s="24">
        <f>IF($L1356="","",IF(INDEX(ExpDep,$L1356)=0,"",INDEX(ExpDep,$L1356)))</f>
        <v/>
      </c>
      <c r="H1356" s="24">
        <f>IF($L1356="","",IF(INDEX(ExpWit,$L1356)=0,"",INDEX(ExpWit,$L1356)))</f>
        <v/>
      </c>
      <c r="I1356" s="25">
        <f>IF($B1356="","",IF($I1355="",0,$I1355)+IF($H1356="",0,$H1356)-IF($G1356="",0,$G1356))</f>
        <v/>
      </c>
      <c r="J1356" s="23">
        <f>IF($L1356="","",IF(INDEX(ExpNote,$L1356)="","—",INDEX(ExpNote,$L1356)))</f>
        <v/>
      </c>
      <c r="L1356">
        <f>IFERROR(MATCH($C$5&amp;"|"&amp;RIGHT("000000"&amp;1340,6),ExpRankKey,0),"")</f>
        <v/>
      </c>
    </row>
    <row r="1357">
      <c r="A1357" s="16" t="n">
        <v>1341</v>
      </c>
      <c r="B1357" s="17">
        <f>IF($L1357="","",INDEX(ExpNorm,$L1357))</f>
        <v/>
      </c>
      <c r="C1357" s="17">
        <f>IF($L1357="","",IF(INDEX(ExpTime,$L1357)="","—",LEFT(INDEX(ExpTime,$L1357),2)&amp;":"&amp;RIGHT(INDEX(ExpTime,$L1357),2)))</f>
        <v/>
      </c>
      <c r="D1357" s="17">
        <f>IF($L1357="","",IF(INDEX(ExpBank,$L1357)="","—",INDEX(ExpBank,$L1357)))</f>
        <v/>
      </c>
      <c r="E1357" s="18">
        <f>IF($L1357="","",IF(INDEX(ExpParty,$L1357)="","—",IFERROR(VLOOKUP(INDEX(ExpParty,$L1357),AcctTbl,4,0),INDEX(ExpParty,$L1357))))</f>
        <v/>
      </c>
      <c r="F1357" s="17">
        <f>IF($L1357="","",IF(INDEX(ExpType,$L1357)="","—",INDEX(ExpType,$L1357)))</f>
        <v/>
      </c>
      <c r="G1357" s="19">
        <f>IF($L1357="","",IF(INDEX(ExpDep,$L1357)=0,"",INDEX(ExpDep,$L1357)))</f>
        <v/>
      </c>
      <c r="H1357" s="19">
        <f>IF($L1357="","",IF(INDEX(ExpWit,$L1357)=0,"",INDEX(ExpWit,$L1357)))</f>
        <v/>
      </c>
      <c r="I1357" s="20">
        <f>IF($B1357="","",IF($I1356="",0,$I1356)+IF($H1357="",0,$H1357)-IF($G1357="",0,$G1357))</f>
        <v/>
      </c>
      <c r="J1357" s="18">
        <f>IF($L1357="","",IF(INDEX(ExpNote,$L1357)="","—",INDEX(ExpNote,$L1357)))</f>
        <v/>
      </c>
      <c r="L1357">
        <f>IFERROR(MATCH($C$5&amp;"|"&amp;RIGHT("000000"&amp;1341,6),ExpRankKey,0),"")</f>
        <v/>
      </c>
    </row>
    <row r="1358">
      <c r="A1358" s="21" t="n">
        <v>1342</v>
      </c>
      <c r="B1358" s="22">
        <f>IF($L1358="","",INDEX(ExpNorm,$L1358))</f>
        <v/>
      </c>
      <c r="C1358" s="22">
        <f>IF($L1358="","",IF(INDEX(ExpTime,$L1358)="","—",LEFT(INDEX(ExpTime,$L1358),2)&amp;":"&amp;RIGHT(INDEX(ExpTime,$L1358),2)))</f>
        <v/>
      </c>
      <c r="D1358" s="22">
        <f>IF($L1358="","",IF(INDEX(ExpBank,$L1358)="","—",INDEX(ExpBank,$L1358)))</f>
        <v/>
      </c>
      <c r="E1358" s="23">
        <f>IF($L1358="","",IF(INDEX(ExpParty,$L1358)="","—",IFERROR(VLOOKUP(INDEX(ExpParty,$L1358),AcctTbl,4,0),INDEX(ExpParty,$L1358))))</f>
        <v/>
      </c>
      <c r="F1358" s="22">
        <f>IF($L1358="","",IF(INDEX(ExpType,$L1358)="","—",INDEX(ExpType,$L1358)))</f>
        <v/>
      </c>
      <c r="G1358" s="24">
        <f>IF($L1358="","",IF(INDEX(ExpDep,$L1358)=0,"",INDEX(ExpDep,$L1358)))</f>
        <v/>
      </c>
      <c r="H1358" s="24">
        <f>IF($L1358="","",IF(INDEX(ExpWit,$L1358)=0,"",INDEX(ExpWit,$L1358)))</f>
        <v/>
      </c>
      <c r="I1358" s="25">
        <f>IF($B1358="","",IF($I1357="",0,$I1357)+IF($H1358="",0,$H1358)-IF($G1358="",0,$G1358))</f>
        <v/>
      </c>
      <c r="J1358" s="23">
        <f>IF($L1358="","",IF(INDEX(ExpNote,$L1358)="","—",INDEX(ExpNote,$L1358)))</f>
        <v/>
      </c>
      <c r="L1358">
        <f>IFERROR(MATCH($C$5&amp;"|"&amp;RIGHT("000000"&amp;1342,6),ExpRankKey,0),"")</f>
        <v/>
      </c>
    </row>
    <row r="1359">
      <c r="A1359" s="16" t="n">
        <v>1343</v>
      </c>
      <c r="B1359" s="17">
        <f>IF($L1359="","",INDEX(ExpNorm,$L1359))</f>
        <v/>
      </c>
      <c r="C1359" s="17">
        <f>IF($L1359="","",IF(INDEX(ExpTime,$L1359)="","—",LEFT(INDEX(ExpTime,$L1359),2)&amp;":"&amp;RIGHT(INDEX(ExpTime,$L1359),2)))</f>
        <v/>
      </c>
      <c r="D1359" s="17">
        <f>IF($L1359="","",IF(INDEX(ExpBank,$L1359)="","—",INDEX(ExpBank,$L1359)))</f>
        <v/>
      </c>
      <c r="E1359" s="18">
        <f>IF($L1359="","",IF(INDEX(ExpParty,$L1359)="","—",IFERROR(VLOOKUP(INDEX(ExpParty,$L1359),AcctTbl,4,0),INDEX(ExpParty,$L1359))))</f>
        <v/>
      </c>
      <c r="F1359" s="17">
        <f>IF($L1359="","",IF(INDEX(ExpType,$L1359)="","—",INDEX(ExpType,$L1359)))</f>
        <v/>
      </c>
      <c r="G1359" s="19">
        <f>IF($L1359="","",IF(INDEX(ExpDep,$L1359)=0,"",INDEX(ExpDep,$L1359)))</f>
        <v/>
      </c>
      <c r="H1359" s="19">
        <f>IF($L1359="","",IF(INDEX(ExpWit,$L1359)=0,"",INDEX(ExpWit,$L1359)))</f>
        <v/>
      </c>
      <c r="I1359" s="20">
        <f>IF($B1359="","",IF($I1358="",0,$I1358)+IF($H1359="",0,$H1359)-IF($G1359="",0,$G1359))</f>
        <v/>
      </c>
      <c r="J1359" s="18">
        <f>IF($L1359="","",IF(INDEX(ExpNote,$L1359)="","—",INDEX(ExpNote,$L1359)))</f>
        <v/>
      </c>
      <c r="L1359">
        <f>IFERROR(MATCH($C$5&amp;"|"&amp;RIGHT("000000"&amp;1343,6),ExpRankKey,0),"")</f>
        <v/>
      </c>
    </row>
    <row r="1360">
      <c r="A1360" s="21" t="n">
        <v>1344</v>
      </c>
      <c r="B1360" s="22">
        <f>IF($L1360="","",INDEX(ExpNorm,$L1360))</f>
        <v/>
      </c>
      <c r="C1360" s="22">
        <f>IF($L1360="","",IF(INDEX(ExpTime,$L1360)="","—",LEFT(INDEX(ExpTime,$L1360),2)&amp;":"&amp;RIGHT(INDEX(ExpTime,$L1360),2)))</f>
        <v/>
      </c>
      <c r="D1360" s="22">
        <f>IF($L1360="","",IF(INDEX(ExpBank,$L1360)="","—",INDEX(ExpBank,$L1360)))</f>
        <v/>
      </c>
      <c r="E1360" s="23">
        <f>IF($L1360="","",IF(INDEX(ExpParty,$L1360)="","—",IFERROR(VLOOKUP(INDEX(ExpParty,$L1360),AcctTbl,4,0),INDEX(ExpParty,$L1360))))</f>
        <v/>
      </c>
      <c r="F1360" s="22">
        <f>IF($L1360="","",IF(INDEX(ExpType,$L1360)="","—",INDEX(ExpType,$L1360)))</f>
        <v/>
      </c>
      <c r="G1360" s="24">
        <f>IF($L1360="","",IF(INDEX(ExpDep,$L1360)=0,"",INDEX(ExpDep,$L1360)))</f>
        <v/>
      </c>
      <c r="H1360" s="24">
        <f>IF($L1360="","",IF(INDEX(ExpWit,$L1360)=0,"",INDEX(ExpWit,$L1360)))</f>
        <v/>
      </c>
      <c r="I1360" s="25">
        <f>IF($B1360="","",IF($I1359="",0,$I1359)+IF($H1360="",0,$H1360)-IF($G1360="",0,$G1360))</f>
        <v/>
      </c>
      <c r="J1360" s="23">
        <f>IF($L1360="","",IF(INDEX(ExpNote,$L1360)="","—",INDEX(ExpNote,$L1360)))</f>
        <v/>
      </c>
      <c r="L1360">
        <f>IFERROR(MATCH($C$5&amp;"|"&amp;RIGHT("000000"&amp;1344,6),ExpRankKey,0),"")</f>
        <v/>
      </c>
    </row>
    <row r="1361">
      <c r="A1361" s="16" t="n">
        <v>1345</v>
      </c>
      <c r="B1361" s="17">
        <f>IF($L1361="","",INDEX(ExpNorm,$L1361))</f>
        <v/>
      </c>
      <c r="C1361" s="17">
        <f>IF($L1361="","",IF(INDEX(ExpTime,$L1361)="","—",LEFT(INDEX(ExpTime,$L1361),2)&amp;":"&amp;RIGHT(INDEX(ExpTime,$L1361),2)))</f>
        <v/>
      </c>
      <c r="D1361" s="17">
        <f>IF($L1361="","",IF(INDEX(ExpBank,$L1361)="","—",INDEX(ExpBank,$L1361)))</f>
        <v/>
      </c>
      <c r="E1361" s="18">
        <f>IF($L1361="","",IF(INDEX(ExpParty,$L1361)="","—",IFERROR(VLOOKUP(INDEX(ExpParty,$L1361),AcctTbl,4,0),INDEX(ExpParty,$L1361))))</f>
        <v/>
      </c>
      <c r="F1361" s="17">
        <f>IF($L1361="","",IF(INDEX(ExpType,$L1361)="","—",INDEX(ExpType,$L1361)))</f>
        <v/>
      </c>
      <c r="G1361" s="19">
        <f>IF($L1361="","",IF(INDEX(ExpDep,$L1361)=0,"",INDEX(ExpDep,$L1361)))</f>
        <v/>
      </c>
      <c r="H1361" s="19">
        <f>IF($L1361="","",IF(INDEX(ExpWit,$L1361)=0,"",INDEX(ExpWit,$L1361)))</f>
        <v/>
      </c>
      <c r="I1361" s="20">
        <f>IF($B1361="","",IF($I1360="",0,$I1360)+IF($H1361="",0,$H1361)-IF($G1361="",0,$G1361))</f>
        <v/>
      </c>
      <c r="J1361" s="18">
        <f>IF($L1361="","",IF(INDEX(ExpNote,$L1361)="","—",INDEX(ExpNote,$L1361)))</f>
        <v/>
      </c>
      <c r="L1361">
        <f>IFERROR(MATCH($C$5&amp;"|"&amp;RIGHT("000000"&amp;1345,6),ExpRankKey,0),"")</f>
        <v/>
      </c>
    </row>
    <row r="1362">
      <c r="A1362" s="21" t="n">
        <v>1346</v>
      </c>
      <c r="B1362" s="22">
        <f>IF($L1362="","",INDEX(ExpNorm,$L1362))</f>
        <v/>
      </c>
      <c r="C1362" s="22">
        <f>IF($L1362="","",IF(INDEX(ExpTime,$L1362)="","—",LEFT(INDEX(ExpTime,$L1362),2)&amp;":"&amp;RIGHT(INDEX(ExpTime,$L1362),2)))</f>
        <v/>
      </c>
      <c r="D1362" s="22">
        <f>IF($L1362="","",IF(INDEX(ExpBank,$L1362)="","—",INDEX(ExpBank,$L1362)))</f>
        <v/>
      </c>
      <c r="E1362" s="23">
        <f>IF($L1362="","",IF(INDEX(ExpParty,$L1362)="","—",IFERROR(VLOOKUP(INDEX(ExpParty,$L1362),AcctTbl,4,0),INDEX(ExpParty,$L1362))))</f>
        <v/>
      </c>
      <c r="F1362" s="22">
        <f>IF($L1362="","",IF(INDEX(ExpType,$L1362)="","—",INDEX(ExpType,$L1362)))</f>
        <v/>
      </c>
      <c r="G1362" s="24">
        <f>IF($L1362="","",IF(INDEX(ExpDep,$L1362)=0,"",INDEX(ExpDep,$L1362)))</f>
        <v/>
      </c>
      <c r="H1362" s="24">
        <f>IF($L1362="","",IF(INDEX(ExpWit,$L1362)=0,"",INDEX(ExpWit,$L1362)))</f>
        <v/>
      </c>
      <c r="I1362" s="25">
        <f>IF($B1362="","",IF($I1361="",0,$I1361)+IF($H1362="",0,$H1362)-IF($G1362="",0,$G1362))</f>
        <v/>
      </c>
      <c r="J1362" s="23">
        <f>IF($L1362="","",IF(INDEX(ExpNote,$L1362)="","—",INDEX(ExpNote,$L1362)))</f>
        <v/>
      </c>
      <c r="L1362">
        <f>IFERROR(MATCH($C$5&amp;"|"&amp;RIGHT("000000"&amp;1346,6),ExpRankKey,0),"")</f>
        <v/>
      </c>
    </row>
    <row r="1363">
      <c r="A1363" s="16" t="n">
        <v>1347</v>
      </c>
      <c r="B1363" s="17">
        <f>IF($L1363="","",INDEX(ExpNorm,$L1363))</f>
        <v/>
      </c>
      <c r="C1363" s="17">
        <f>IF($L1363="","",IF(INDEX(ExpTime,$L1363)="","—",LEFT(INDEX(ExpTime,$L1363),2)&amp;":"&amp;RIGHT(INDEX(ExpTime,$L1363),2)))</f>
        <v/>
      </c>
      <c r="D1363" s="17">
        <f>IF($L1363="","",IF(INDEX(ExpBank,$L1363)="","—",INDEX(ExpBank,$L1363)))</f>
        <v/>
      </c>
      <c r="E1363" s="18">
        <f>IF($L1363="","",IF(INDEX(ExpParty,$L1363)="","—",IFERROR(VLOOKUP(INDEX(ExpParty,$L1363),AcctTbl,4,0),INDEX(ExpParty,$L1363))))</f>
        <v/>
      </c>
      <c r="F1363" s="17">
        <f>IF($L1363="","",IF(INDEX(ExpType,$L1363)="","—",INDEX(ExpType,$L1363)))</f>
        <v/>
      </c>
      <c r="G1363" s="19">
        <f>IF($L1363="","",IF(INDEX(ExpDep,$L1363)=0,"",INDEX(ExpDep,$L1363)))</f>
        <v/>
      </c>
      <c r="H1363" s="19">
        <f>IF($L1363="","",IF(INDEX(ExpWit,$L1363)=0,"",INDEX(ExpWit,$L1363)))</f>
        <v/>
      </c>
      <c r="I1363" s="20">
        <f>IF($B1363="","",IF($I1362="",0,$I1362)+IF($H1363="",0,$H1363)-IF($G1363="",0,$G1363))</f>
        <v/>
      </c>
      <c r="J1363" s="18">
        <f>IF($L1363="","",IF(INDEX(ExpNote,$L1363)="","—",INDEX(ExpNote,$L1363)))</f>
        <v/>
      </c>
      <c r="L1363">
        <f>IFERROR(MATCH($C$5&amp;"|"&amp;RIGHT("000000"&amp;1347,6),ExpRankKey,0),"")</f>
        <v/>
      </c>
    </row>
    <row r="1364">
      <c r="A1364" s="21" t="n">
        <v>1348</v>
      </c>
      <c r="B1364" s="22">
        <f>IF($L1364="","",INDEX(ExpNorm,$L1364))</f>
        <v/>
      </c>
      <c r="C1364" s="22">
        <f>IF($L1364="","",IF(INDEX(ExpTime,$L1364)="","—",LEFT(INDEX(ExpTime,$L1364),2)&amp;":"&amp;RIGHT(INDEX(ExpTime,$L1364),2)))</f>
        <v/>
      </c>
      <c r="D1364" s="22">
        <f>IF($L1364="","",IF(INDEX(ExpBank,$L1364)="","—",INDEX(ExpBank,$L1364)))</f>
        <v/>
      </c>
      <c r="E1364" s="23">
        <f>IF($L1364="","",IF(INDEX(ExpParty,$L1364)="","—",IFERROR(VLOOKUP(INDEX(ExpParty,$L1364),AcctTbl,4,0),INDEX(ExpParty,$L1364))))</f>
        <v/>
      </c>
      <c r="F1364" s="22">
        <f>IF($L1364="","",IF(INDEX(ExpType,$L1364)="","—",INDEX(ExpType,$L1364)))</f>
        <v/>
      </c>
      <c r="G1364" s="24">
        <f>IF($L1364="","",IF(INDEX(ExpDep,$L1364)=0,"",INDEX(ExpDep,$L1364)))</f>
        <v/>
      </c>
      <c r="H1364" s="24">
        <f>IF($L1364="","",IF(INDEX(ExpWit,$L1364)=0,"",INDEX(ExpWit,$L1364)))</f>
        <v/>
      </c>
      <c r="I1364" s="25">
        <f>IF($B1364="","",IF($I1363="",0,$I1363)+IF($H1364="",0,$H1364)-IF($G1364="",0,$G1364))</f>
        <v/>
      </c>
      <c r="J1364" s="23">
        <f>IF($L1364="","",IF(INDEX(ExpNote,$L1364)="","—",INDEX(ExpNote,$L1364)))</f>
        <v/>
      </c>
      <c r="L1364">
        <f>IFERROR(MATCH($C$5&amp;"|"&amp;RIGHT("000000"&amp;1348,6),ExpRankKey,0),"")</f>
        <v/>
      </c>
    </row>
    <row r="1365">
      <c r="A1365" s="16" t="n">
        <v>1349</v>
      </c>
      <c r="B1365" s="17">
        <f>IF($L1365="","",INDEX(ExpNorm,$L1365))</f>
        <v/>
      </c>
      <c r="C1365" s="17">
        <f>IF($L1365="","",IF(INDEX(ExpTime,$L1365)="","—",LEFT(INDEX(ExpTime,$L1365),2)&amp;":"&amp;RIGHT(INDEX(ExpTime,$L1365),2)))</f>
        <v/>
      </c>
      <c r="D1365" s="17">
        <f>IF($L1365="","",IF(INDEX(ExpBank,$L1365)="","—",INDEX(ExpBank,$L1365)))</f>
        <v/>
      </c>
      <c r="E1365" s="18">
        <f>IF($L1365="","",IF(INDEX(ExpParty,$L1365)="","—",IFERROR(VLOOKUP(INDEX(ExpParty,$L1365),AcctTbl,4,0),INDEX(ExpParty,$L1365))))</f>
        <v/>
      </c>
      <c r="F1365" s="17">
        <f>IF($L1365="","",IF(INDEX(ExpType,$L1365)="","—",INDEX(ExpType,$L1365)))</f>
        <v/>
      </c>
      <c r="G1365" s="19">
        <f>IF($L1365="","",IF(INDEX(ExpDep,$L1365)=0,"",INDEX(ExpDep,$L1365)))</f>
        <v/>
      </c>
      <c r="H1365" s="19">
        <f>IF($L1365="","",IF(INDEX(ExpWit,$L1365)=0,"",INDEX(ExpWit,$L1365)))</f>
        <v/>
      </c>
      <c r="I1365" s="20">
        <f>IF($B1365="","",IF($I1364="",0,$I1364)+IF($H1365="",0,$H1365)-IF($G1365="",0,$G1365))</f>
        <v/>
      </c>
      <c r="J1365" s="18">
        <f>IF($L1365="","",IF(INDEX(ExpNote,$L1365)="","—",INDEX(ExpNote,$L1365)))</f>
        <v/>
      </c>
      <c r="L1365">
        <f>IFERROR(MATCH($C$5&amp;"|"&amp;RIGHT("000000"&amp;1349,6),ExpRankKey,0),"")</f>
        <v/>
      </c>
    </row>
    <row r="1366">
      <c r="A1366" s="21" t="n">
        <v>1350</v>
      </c>
      <c r="B1366" s="22">
        <f>IF($L1366="","",INDEX(ExpNorm,$L1366))</f>
        <v/>
      </c>
      <c r="C1366" s="22">
        <f>IF($L1366="","",IF(INDEX(ExpTime,$L1366)="","—",LEFT(INDEX(ExpTime,$L1366),2)&amp;":"&amp;RIGHT(INDEX(ExpTime,$L1366),2)))</f>
        <v/>
      </c>
      <c r="D1366" s="22">
        <f>IF($L1366="","",IF(INDEX(ExpBank,$L1366)="","—",INDEX(ExpBank,$L1366)))</f>
        <v/>
      </c>
      <c r="E1366" s="23">
        <f>IF($L1366="","",IF(INDEX(ExpParty,$L1366)="","—",IFERROR(VLOOKUP(INDEX(ExpParty,$L1366),AcctTbl,4,0),INDEX(ExpParty,$L1366))))</f>
        <v/>
      </c>
      <c r="F1366" s="22">
        <f>IF($L1366="","",IF(INDEX(ExpType,$L1366)="","—",INDEX(ExpType,$L1366)))</f>
        <v/>
      </c>
      <c r="G1366" s="24">
        <f>IF($L1366="","",IF(INDEX(ExpDep,$L1366)=0,"",INDEX(ExpDep,$L1366)))</f>
        <v/>
      </c>
      <c r="H1366" s="24">
        <f>IF($L1366="","",IF(INDEX(ExpWit,$L1366)=0,"",INDEX(ExpWit,$L1366)))</f>
        <v/>
      </c>
      <c r="I1366" s="25">
        <f>IF($B1366="","",IF($I1365="",0,$I1365)+IF($H1366="",0,$H1366)-IF($G1366="",0,$G1366))</f>
        <v/>
      </c>
      <c r="J1366" s="23">
        <f>IF($L1366="","",IF(INDEX(ExpNote,$L1366)="","—",INDEX(ExpNote,$L1366)))</f>
        <v/>
      </c>
      <c r="L1366">
        <f>IFERROR(MATCH($C$5&amp;"|"&amp;RIGHT("000000"&amp;1350,6),ExpRankKey,0),"")</f>
        <v/>
      </c>
    </row>
    <row r="1367">
      <c r="A1367" s="16" t="n">
        <v>1351</v>
      </c>
      <c r="B1367" s="17">
        <f>IF($L1367="","",INDEX(ExpNorm,$L1367))</f>
        <v/>
      </c>
      <c r="C1367" s="17">
        <f>IF($L1367="","",IF(INDEX(ExpTime,$L1367)="","—",LEFT(INDEX(ExpTime,$L1367),2)&amp;":"&amp;RIGHT(INDEX(ExpTime,$L1367),2)))</f>
        <v/>
      </c>
      <c r="D1367" s="17">
        <f>IF($L1367="","",IF(INDEX(ExpBank,$L1367)="","—",INDEX(ExpBank,$L1367)))</f>
        <v/>
      </c>
      <c r="E1367" s="18">
        <f>IF($L1367="","",IF(INDEX(ExpParty,$L1367)="","—",IFERROR(VLOOKUP(INDEX(ExpParty,$L1367),AcctTbl,4,0),INDEX(ExpParty,$L1367))))</f>
        <v/>
      </c>
      <c r="F1367" s="17">
        <f>IF($L1367="","",IF(INDEX(ExpType,$L1367)="","—",INDEX(ExpType,$L1367)))</f>
        <v/>
      </c>
      <c r="G1367" s="19">
        <f>IF($L1367="","",IF(INDEX(ExpDep,$L1367)=0,"",INDEX(ExpDep,$L1367)))</f>
        <v/>
      </c>
      <c r="H1367" s="19">
        <f>IF($L1367="","",IF(INDEX(ExpWit,$L1367)=0,"",INDEX(ExpWit,$L1367)))</f>
        <v/>
      </c>
      <c r="I1367" s="20">
        <f>IF($B1367="","",IF($I1366="",0,$I1366)+IF($H1367="",0,$H1367)-IF($G1367="",0,$G1367))</f>
        <v/>
      </c>
      <c r="J1367" s="18">
        <f>IF($L1367="","",IF(INDEX(ExpNote,$L1367)="","—",INDEX(ExpNote,$L1367)))</f>
        <v/>
      </c>
      <c r="L1367">
        <f>IFERROR(MATCH($C$5&amp;"|"&amp;RIGHT("000000"&amp;1351,6),ExpRankKey,0),"")</f>
        <v/>
      </c>
    </row>
    <row r="1368">
      <c r="A1368" s="21" t="n">
        <v>1352</v>
      </c>
      <c r="B1368" s="22">
        <f>IF($L1368="","",INDEX(ExpNorm,$L1368))</f>
        <v/>
      </c>
      <c r="C1368" s="22">
        <f>IF($L1368="","",IF(INDEX(ExpTime,$L1368)="","—",LEFT(INDEX(ExpTime,$L1368),2)&amp;":"&amp;RIGHT(INDEX(ExpTime,$L1368),2)))</f>
        <v/>
      </c>
      <c r="D1368" s="22">
        <f>IF($L1368="","",IF(INDEX(ExpBank,$L1368)="","—",INDEX(ExpBank,$L1368)))</f>
        <v/>
      </c>
      <c r="E1368" s="23">
        <f>IF($L1368="","",IF(INDEX(ExpParty,$L1368)="","—",IFERROR(VLOOKUP(INDEX(ExpParty,$L1368),AcctTbl,4,0),INDEX(ExpParty,$L1368))))</f>
        <v/>
      </c>
      <c r="F1368" s="22">
        <f>IF($L1368="","",IF(INDEX(ExpType,$L1368)="","—",INDEX(ExpType,$L1368)))</f>
        <v/>
      </c>
      <c r="G1368" s="24">
        <f>IF($L1368="","",IF(INDEX(ExpDep,$L1368)=0,"",INDEX(ExpDep,$L1368)))</f>
        <v/>
      </c>
      <c r="H1368" s="24">
        <f>IF($L1368="","",IF(INDEX(ExpWit,$L1368)=0,"",INDEX(ExpWit,$L1368)))</f>
        <v/>
      </c>
      <c r="I1368" s="25">
        <f>IF($B1368="","",IF($I1367="",0,$I1367)+IF($H1368="",0,$H1368)-IF($G1368="",0,$G1368))</f>
        <v/>
      </c>
      <c r="J1368" s="23">
        <f>IF($L1368="","",IF(INDEX(ExpNote,$L1368)="","—",INDEX(ExpNote,$L1368)))</f>
        <v/>
      </c>
      <c r="L1368">
        <f>IFERROR(MATCH($C$5&amp;"|"&amp;RIGHT("000000"&amp;1352,6),ExpRankKey,0),"")</f>
        <v/>
      </c>
    </row>
    <row r="1369">
      <c r="A1369" s="16" t="n">
        <v>1353</v>
      </c>
      <c r="B1369" s="17">
        <f>IF($L1369="","",INDEX(ExpNorm,$L1369))</f>
        <v/>
      </c>
      <c r="C1369" s="17">
        <f>IF($L1369="","",IF(INDEX(ExpTime,$L1369)="","—",LEFT(INDEX(ExpTime,$L1369),2)&amp;":"&amp;RIGHT(INDEX(ExpTime,$L1369),2)))</f>
        <v/>
      </c>
      <c r="D1369" s="17">
        <f>IF($L1369="","",IF(INDEX(ExpBank,$L1369)="","—",INDEX(ExpBank,$L1369)))</f>
        <v/>
      </c>
      <c r="E1369" s="18">
        <f>IF($L1369="","",IF(INDEX(ExpParty,$L1369)="","—",IFERROR(VLOOKUP(INDEX(ExpParty,$L1369),AcctTbl,4,0),INDEX(ExpParty,$L1369))))</f>
        <v/>
      </c>
      <c r="F1369" s="17">
        <f>IF($L1369="","",IF(INDEX(ExpType,$L1369)="","—",INDEX(ExpType,$L1369)))</f>
        <v/>
      </c>
      <c r="G1369" s="19">
        <f>IF($L1369="","",IF(INDEX(ExpDep,$L1369)=0,"",INDEX(ExpDep,$L1369)))</f>
        <v/>
      </c>
      <c r="H1369" s="19">
        <f>IF($L1369="","",IF(INDEX(ExpWit,$L1369)=0,"",INDEX(ExpWit,$L1369)))</f>
        <v/>
      </c>
      <c r="I1369" s="20">
        <f>IF($B1369="","",IF($I1368="",0,$I1368)+IF($H1369="",0,$H1369)-IF($G1369="",0,$G1369))</f>
        <v/>
      </c>
      <c r="J1369" s="18">
        <f>IF($L1369="","",IF(INDEX(ExpNote,$L1369)="","—",INDEX(ExpNote,$L1369)))</f>
        <v/>
      </c>
      <c r="L1369">
        <f>IFERROR(MATCH($C$5&amp;"|"&amp;RIGHT("000000"&amp;1353,6),ExpRankKey,0),"")</f>
        <v/>
      </c>
    </row>
    <row r="1370">
      <c r="A1370" s="21" t="n">
        <v>1354</v>
      </c>
      <c r="B1370" s="22">
        <f>IF($L1370="","",INDEX(ExpNorm,$L1370))</f>
        <v/>
      </c>
      <c r="C1370" s="22">
        <f>IF($L1370="","",IF(INDEX(ExpTime,$L1370)="","—",LEFT(INDEX(ExpTime,$L1370),2)&amp;":"&amp;RIGHT(INDEX(ExpTime,$L1370),2)))</f>
        <v/>
      </c>
      <c r="D1370" s="22">
        <f>IF($L1370="","",IF(INDEX(ExpBank,$L1370)="","—",INDEX(ExpBank,$L1370)))</f>
        <v/>
      </c>
      <c r="E1370" s="23">
        <f>IF($L1370="","",IF(INDEX(ExpParty,$L1370)="","—",IFERROR(VLOOKUP(INDEX(ExpParty,$L1370),AcctTbl,4,0),INDEX(ExpParty,$L1370))))</f>
        <v/>
      </c>
      <c r="F1370" s="22">
        <f>IF($L1370="","",IF(INDEX(ExpType,$L1370)="","—",INDEX(ExpType,$L1370)))</f>
        <v/>
      </c>
      <c r="G1370" s="24">
        <f>IF($L1370="","",IF(INDEX(ExpDep,$L1370)=0,"",INDEX(ExpDep,$L1370)))</f>
        <v/>
      </c>
      <c r="H1370" s="24">
        <f>IF($L1370="","",IF(INDEX(ExpWit,$L1370)=0,"",INDEX(ExpWit,$L1370)))</f>
        <v/>
      </c>
      <c r="I1370" s="25">
        <f>IF($B1370="","",IF($I1369="",0,$I1369)+IF($H1370="",0,$H1370)-IF($G1370="",0,$G1370))</f>
        <v/>
      </c>
      <c r="J1370" s="23">
        <f>IF($L1370="","",IF(INDEX(ExpNote,$L1370)="","—",INDEX(ExpNote,$L1370)))</f>
        <v/>
      </c>
      <c r="L1370">
        <f>IFERROR(MATCH($C$5&amp;"|"&amp;RIGHT("000000"&amp;1354,6),ExpRankKey,0),"")</f>
        <v/>
      </c>
    </row>
    <row r="1371">
      <c r="A1371" s="16" t="n">
        <v>1355</v>
      </c>
      <c r="B1371" s="17">
        <f>IF($L1371="","",INDEX(ExpNorm,$L1371))</f>
        <v/>
      </c>
      <c r="C1371" s="17">
        <f>IF($L1371="","",IF(INDEX(ExpTime,$L1371)="","—",LEFT(INDEX(ExpTime,$L1371),2)&amp;":"&amp;RIGHT(INDEX(ExpTime,$L1371),2)))</f>
        <v/>
      </c>
      <c r="D1371" s="17">
        <f>IF($L1371="","",IF(INDEX(ExpBank,$L1371)="","—",INDEX(ExpBank,$L1371)))</f>
        <v/>
      </c>
      <c r="E1371" s="18">
        <f>IF($L1371="","",IF(INDEX(ExpParty,$L1371)="","—",IFERROR(VLOOKUP(INDEX(ExpParty,$L1371),AcctTbl,4,0),INDEX(ExpParty,$L1371))))</f>
        <v/>
      </c>
      <c r="F1371" s="17">
        <f>IF($L1371="","",IF(INDEX(ExpType,$L1371)="","—",INDEX(ExpType,$L1371)))</f>
        <v/>
      </c>
      <c r="G1371" s="19">
        <f>IF($L1371="","",IF(INDEX(ExpDep,$L1371)=0,"",INDEX(ExpDep,$L1371)))</f>
        <v/>
      </c>
      <c r="H1371" s="19">
        <f>IF($L1371="","",IF(INDEX(ExpWit,$L1371)=0,"",INDEX(ExpWit,$L1371)))</f>
        <v/>
      </c>
      <c r="I1371" s="20">
        <f>IF($B1371="","",IF($I1370="",0,$I1370)+IF($H1371="",0,$H1371)-IF($G1371="",0,$G1371))</f>
        <v/>
      </c>
      <c r="J1371" s="18">
        <f>IF($L1371="","",IF(INDEX(ExpNote,$L1371)="","—",INDEX(ExpNote,$L1371)))</f>
        <v/>
      </c>
      <c r="L1371">
        <f>IFERROR(MATCH($C$5&amp;"|"&amp;RIGHT("000000"&amp;1355,6),ExpRankKey,0),"")</f>
        <v/>
      </c>
    </row>
    <row r="1372">
      <c r="A1372" s="21" t="n">
        <v>1356</v>
      </c>
      <c r="B1372" s="22">
        <f>IF($L1372="","",INDEX(ExpNorm,$L1372))</f>
        <v/>
      </c>
      <c r="C1372" s="22">
        <f>IF($L1372="","",IF(INDEX(ExpTime,$L1372)="","—",LEFT(INDEX(ExpTime,$L1372),2)&amp;":"&amp;RIGHT(INDEX(ExpTime,$L1372),2)))</f>
        <v/>
      </c>
      <c r="D1372" s="22">
        <f>IF($L1372="","",IF(INDEX(ExpBank,$L1372)="","—",INDEX(ExpBank,$L1372)))</f>
        <v/>
      </c>
      <c r="E1372" s="23">
        <f>IF($L1372="","",IF(INDEX(ExpParty,$L1372)="","—",IFERROR(VLOOKUP(INDEX(ExpParty,$L1372),AcctTbl,4,0),INDEX(ExpParty,$L1372))))</f>
        <v/>
      </c>
      <c r="F1372" s="22">
        <f>IF($L1372="","",IF(INDEX(ExpType,$L1372)="","—",INDEX(ExpType,$L1372)))</f>
        <v/>
      </c>
      <c r="G1372" s="24">
        <f>IF($L1372="","",IF(INDEX(ExpDep,$L1372)=0,"",INDEX(ExpDep,$L1372)))</f>
        <v/>
      </c>
      <c r="H1372" s="24">
        <f>IF($L1372="","",IF(INDEX(ExpWit,$L1372)=0,"",INDEX(ExpWit,$L1372)))</f>
        <v/>
      </c>
      <c r="I1372" s="25">
        <f>IF($B1372="","",IF($I1371="",0,$I1371)+IF($H1372="",0,$H1372)-IF($G1372="",0,$G1372))</f>
        <v/>
      </c>
      <c r="J1372" s="23">
        <f>IF($L1372="","",IF(INDEX(ExpNote,$L1372)="","—",INDEX(ExpNote,$L1372)))</f>
        <v/>
      </c>
      <c r="L1372">
        <f>IFERROR(MATCH($C$5&amp;"|"&amp;RIGHT("000000"&amp;1356,6),ExpRankKey,0),"")</f>
        <v/>
      </c>
    </row>
    <row r="1373">
      <c r="A1373" s="16" t="n">
        <v>1357</v>
      </c>
      <c r="B1373" s="17">
        <f>IF($L1373="","",INDEX(ExpNorm,$L1373))</f>
        <v/>
      </c>
      <c r="C1373" s="17">
        <f>IF($L1373="","",IF(INDEX(ExpTime,$L1373)="","—",LEFT(INDEX(ExpTime,$L1373),2)&amp;":"&amp;RIGHT(INDEX(ExpTime,$L1373),2)))</f>
        <v/>
      </c>
      <c r="D1373" s="17">
        <f>IF($L1373="","",IF(INDEX(ExpBank,$L1373)="","—",INDEX(ExpBank,$L1373)))</f>
        <v/>
      </c>
      <c r="E1373" s="18">
        <f>IF($L1373="","",IF(INDEX(ExpParty,$L1373)="","—",IFERROR(VLOOKUP(INDEX(ExpParty,$L1373),AcctTbl,4,0),INDEX(ExpParty,$L1373))))</f>
        <v/>
      </c>
      <c r="F1373" s="17">
        <f>IF($L1373="","",IF(INDEX(ExpType,$L1373)="","—",INDEX(ExpType,$L1373)))</f>
        <v/>
      </c>
      <c r="G1373" s="19">
        <f>IF($L1373="","",IF(INDEX(ExpDep,$L1373)=0,"",INDEX(ExpDep,$L1373)))</f>
        <v/>
      </c>
      <c r="H1373" s="19">
        <f>IF($L1373="","",IF(INDEX(ExpWit,$L1373)=0,"",INDEX(ExpWit,$L1373)))</f>
        <v/>
      </c>
      <c r="I1373" s="20">
        <f>IF($B1373="","",IF($I1372="",0,$I1372)+IF($H1373="",0,$H1373)-IF($G1373="",0,$G1373))</f>
        <v/>
      </c>
      <c r="J1373" s="18">
        <f>IF($L1373="","",IF(INDEX(ExpNote,$L1373)="","—",INDEX(ExpNote,$L1373)))</f>
        <v/>
      </c>
      <c r="L1373">
        <f>IFERROR(MATCH($C$5&amp;"|"&amp;RIGHT("000000"&amp;1357,6),ExpRankKey,0),"")</f>
        <v/>
      </c>
    </row>
    <row r="1374">
      <c r="A1374" s="21" t="n">
        <v>1358</v>
      </c>
      <c r="B1374" s="22">
        <f>IF($L1374="","",INDEX(ExpNorm,$L1374))</f>
        <v/>
      </c>
      <c r="C1374" s="22">
        <f>IF($L1374="","",IF(INDEX(ExpTime,$L1374)="","—",LEFT(INDEX(ExpTime,$L1374),2)&amp;":"&amp;RIGHT(INDEX(ExpTime,$L1374),2)))</f>
        <v/>
      </c>
      <c r="D1374" s="22">
        <f>IF($L1374="","",IF(INDEX(ExpBank,$L1374)="","—",INDEX(ExpBank,$L1374)))</f>
        <v/>
      </c>
      <c r="E1374" s="23">
        <f>IF($L1374="","",IF(INDEX(ExpParty,$L1374)="","—",IFERROR(VLOOKUP(INDEX(ExpParty,$L1374),AcctTbl,4,0),INDEX(ExpParty,$L1374))))</f>
        <v/>
      </c>
      <c r="F1374" s="22">
        <f>IF($L1374="","",IF(INDEX(ExpType,$L1374)="","—",INDEX(ExpType,$L1374)))</f>
        <v/>
      </c>
      <c r="G1374" s="24">
        <f>IF($L1374="","",IF(INDEX(ExpDep,$L1374)=0,"",INDEX(ExpDep,$L1374)))</f>
        <v/>
      </c>
      <c r="H1374" s="24">
        <f>IF($L1374="","",IF(INDEX(ExpWit,$L1374)=0,"",INDEX(ExpWit,$L1374)))</f>
        <v/>
      </c>
      <c r="I1374" s="25">
        <f>IF($B1374="","",IF($I1373="",0,$I1373)+IF($H1374="",0,$H1374)-IF($G1374="",0,$G1374))</f>
        <v/>
      </c>
      <c r="J1374" s="23">
        <f>IF($L1374="","",IF(INDEX(ExpNote,$L1374)="","—",INDEX(ExpNote,$L1374)))</f>
        <v/>
      </c>
      <c r="L1374">
        <f>IFERROR(MATCH($C$5&amp;"|"&amp;RIGHT("000000"&amp;1358,6),ExpRankKey,0),"")</f>
        <v/>
      </c>
    </row>
    <row r="1375">
      <c r="A1375" s="16" t="n">
        <v>1359</v>
      </c>
      <c r="B1375" s="17">
        <f>IF($L1375="","",INDEX(ExpNorm,$L1375))</f>
        <v/>
      </c>
      <c r="C1375" s="17">
        <f>IF($L1375="","",IF(INDEX(ExpTime,$L1375)="","—",LEFT(INDEX(ExpTime,$L1375),2)&amp;":"&amp;RIGHT(INDEX(ExpTime,$L1375),2)))</f>
        <v/>
      </c>
      <c r="D1375" s="17">
        <f>IF($L1375="","",IF(INDEX(ExpBank,$L1375)="","—",INDEX(ExpBank,$L1375)))</f>
        <v/>
      </c>
      <c r="E1375" s="18">
        <f>IF($L1375="","",IF(INDEX(ExpParty,$L1375)="","—",IFERROR(VLOOKUP(INDEX(ExpParty,$L1375),AcctTbl,4,0),INDEX(ExpParty,$L1375))))</f>
        <v/>
      </c>
      <c r="F1375" s="17">
        <f>IF($L1375="","",IF(INDEX(ExpType,$L1375)="","—",INDEX(ExpType,$L1375)))</f>
        <v/>
      </c>
      <c r="G1375" s="19">
        <f>IF($L1375="","",IF(INDEX(ExpDep,$L1375)=0,"",INDEX(ExpDep,$L1375)))</f>
        <v/>
      </c>
      <c r="H1375" s="19">
        <f>IF($L1375="","",IF(INDEX(ExpWit,$L1375)=0,"",INDEX(ExpWit,$L1375)))</f>
        <v/>
      </c>
      <c r="I1375" s="20">
        <f>IF($B1375="","",IF($I1374="",0,$I1374)+IF($H1375="",0,$H1375)-IF($G1375="",0,$G1375))</f>
        <v/>
      </c>
      <c r="J1375" s="18">
        <f>IF($L1375="","",IF(INDEX(ExpNote,$L1375)="","—",INDEX(ExpNote,$L1375)))</f>
        <v/>
      </c>
      <c r="L1375">
        <f>IFERROR(MATCH($C$5&amp;"|"&amp;RIGHT("000000"&amp;1359,6),ExpRankKey,0),"")</f>
        <v/>
      </c>
    </row>
    <row r="1376">
      <c r="A1376" s="21" t="n">
        <v>1360</v>
      </c>
      <c r="B1376" s="22">
        <f>IF($L1376="","",INDEX(ExpNorm,$L1376))</f>
        <v/>
      </c>
      <c r="C1376" s="22">
        <f>IF($L1376="","",IF(INDEX(ExpTime,$L1376)="","—",LEFT(INDEX(ExpTime,$L1376),2)&amp;":"&amp;RIGHT(INDEX(ExpTime,$L1376),2)))</f>
        <v/>
      </c>
      <c r="D1376" s="22">
        <f>IF($L1376="","",IF(INDEX(ExpBank,$L1376)="","—",INDEX(ExpBank,$L1376)))</f>
        <v/>
      </c>
      <c r="E1376" s="23">
        <f>IF($L1376="","",IF(INDEX(ExpParty,$L1376)="","—",IFERROR(VLOOKUP(INDEX(ExpParty,$L1376),AcctTbl,4,0),INDEX(ExpParty,$L1376))))</f>
        <v/>
      </c>
      <c r="F1376" s="22">
        <f>IF($L1376="","",IF(INDEX(ExpType,$L1376)="","—",INDEX(ExpType,$L1376)))</f>
        <v/>
      </c>
      <c r="G1376" s="24">
        <f>IF($L1376="","",IF(INDEX(ExpDep,$L1376)=0,"",INDEX(ExpDep,$L1376)))</f>
        <v/>
      </c>
      <c r="H1376" s="24">
        <f>IF($L1376="","",IF(INDEX(ExpWit,$L1376)=0,"",INDEX(ExpWit,$L1376)))</f>
        <v/>
      </c>
      <c r="I1376" s="25">
        <f>IF($B1376="","",IF($I1375="",0,$I1375)+IF($H1376="",0,$H1376)-IF($G1376="",0,$G1376))</f>
        <v/>
      </c>
      <c r="J1376" s="23">
        <f>IF($L1376="","",IF(INDEX(ExpNote,$L1376)="","—",INDEX(ExpNote,$L1376)))</f>
        <v/>
      </c>
      <c r="L1376">
        <f>IFERROR(MATCH($C$5&amp;"|"&amp;RIGHT("000000"&amp;1360,6),ExpRankKey,0),"")</f>
        <v/>
      </c>
    </row>
    <row r="1377">
      <c r="A1377" s="16" t="n">
        <v>1361</v>
      </c>
      <c r="B1377" s="17">
        <f>IF($L1377="","",INDEX(ExpNorm,$L1377))</f>
        <v/>
      </c>
      <c r="C1377" s="17">
        <f>IF($L1377="","",IF(INDEX(ExpTime,$L1377)="","—",LEFT(INDEX(ExpTime,$L1377),2)&amp;":"&amp;RIGHT(INDEX(ExpTime,$L1377),2)))</f>
        <v/>
      </c>
      <c r="D1377" s="17">
        <f>IF($L1377="","",IF(INDEX(ExpBank,$L1377)="","—",INDEX(ExpBank,$L1377)))</f>
        <v/>
      </c>
      <c r="E1377" s="18">
        <f>IF($L1377="","",IF(INDEX(ExpParty,$L1377)="","—",IFERROR(VLOOKUP(INDEX(ExpParty,$L1377),AcctTbl,4,0),INDEX(ExpParty,$L1377))))</f>
        <v/>
      </c>
      <c r="F1377" s="17">
        <f>IF($L1377="","",IF(INDEX(ExpType,$L1377)="","—",INDEX(ExpType,$L1377)))</f>
        <v/>
      </c>
      <c r="G1377" s="19">
        <f>IF($L1377="","",IF(INDEX(ExpDep,$L1377)=0,"",INDEX(ExpDep,$L1377)))</f>
        <v/>
      </c>
      <c r="H1377" s="19">
        <f>IF($L1377="","",IF(INDEX(ExpWit,$L1377)=0,"",INDEX(ExpWit,$L1377)))</f>
        <v/>
      </c>
      <c r="I1377" s="20">
        <f>IF($B1377="","",IF($I1376="",0,$I1376)+IF($H1377="",0,$H1377)-IF($G1377="",0,$G1377))</f>
        <v/>
      </c>
      <c r="J1377" s="18">
        <f>IF($L1377="","",IF(INDEX(ExpNote,$L1377)="","—",INDEX(ExpNote,$L1377)))</f>
        <v/>
      </c>
      <c r="L1377">
        <f>IFERROR(MATCH($C$5&amp;"|"&amp;RIGHT("000000"&amp;1361,6),ExpRankKey,0),"")</f>
        <v/>
      </c>
    </row>
    <row r="1378">
      <c r="A1378" s="21" t="n">
        <v>1362</v>
      </c>
      <c r="B1378" s="22">
        <f>IF($L1378="","",INDEX(ExpNorm,$L1378))</f>
        <v/>
      </c>
      <c r="C1378" s="22">
        <f>IF($L1378="","",IF(INDEX(ExpTime,$L1378)="","—",LEFT(INDEX(ExpTime,$L1378),2)&amp;":"&amp;RIGHT(INDEX(ExpTime,$L1378),2)))</f>
        <v/>
      </c>
      <c r="D1378" s="22">
        <f>IF($L1378="","",IF(INDEX(ExpBank,$L1378)="","—",INDEX(ExpBank,$L1378)))</f>
        <v/>
      </c>
      <c r="E1378" s="23">
        <f>IF($L1378="","",IF(INDEX(ExpParty,$L1378)="","—",IFERROR(VLOOKUP(INDEX(ExpParty,$L1378),AcctTbl,4,0),INDEX(ExpParty,$L1378))))</f>
        <v/>
      </c>
      <c r="F1378" s="22">
        <f>IF($L1378="","",IF(INDEX(ExpType,$L1378)="","—",INDEX(ExpType,$L1378)))</f>
        <v/>
      </c>
      <c r="G1378" s="24">
        <f>IF($L1378="","",IF(INDEX(ExpDep,$L1378)=0,"",INDEX(ExpDep,$L1378)))</f>
        <v/>
      </c>
      <c r="H1378" s="24">
        <f>IF($L1378="","",IF(INDEX(ExpWit,$L1378)=0,"",INDEX(ExpWit,$L1378)))</f>
        <v/>
      </c>
      <c r="I1378" s="25">
        <f>IF($B1378="","",IF($I1377="",0,$I1377)+IF($H1378="",0,$H1378)-IF($G1378="",0,$G1378))</f>
        <v/>
      </c>
      <c r="J1378" s="23">
        <f>IF($L1378="","",IF(INDEX(ExpNote,$L1378)="","—",INDEX(ExpNote,$L1378)))</f>
        <v/>
      </c>
      <c r="L1378">
        <f>IFERROR(MATCH($C$5&amp;"|"&amp;RIGHT("000000"&amp;1362,6),ExpRankKey,0),"")</f>
        <v/>
      </c>
    </row>
    <row r="1379">
      <c r="A1379" s="16" t="n">
        <v>1363</v>
      </c>
      <c r="B1379" s="17">
        <f>IF($L1379="","",INDEX(ExpNorm,$L1379))</f>
        <v/>
      </c>
      <c r="C1379" s="17">
        <f>IF($L1379="","",IF(INDEX(ExpTime,$L1379)="","—",LEFT(INDEX(ExpTime,$L1379),2)&amp;":"&amp;RIGHT(INDEX(ExpTime,$L1379),2)))</f>
        <v/>
      </c>
      <c r="D1379" s="17">
        <f>IF($L1379="","",IF(INDEX(ExpBank,$L1379)="","—",INDEX(ExpBank,$L1379)))</f>
        <v/>
      </c>
      <c r="E1379" s="18">
        <f>IF($L1379="","",IF(INDEX(ExpParty,$L1379)="","—",IFERROR(VLOOKUP(INDEX(ExpParty,$L1379),AcctTbl,4,0),INDEX(ExpParty,$L1379))))</f>
        <v/>
      </c>
      <c r="F1379" s="17">
        <f>IF($L1379="","",IF(INDEX(ExpType,$L1379)="","—",INDEX(ExpType,$L1379)))</f>
        <v/>
      </c>
      <c r="G1379" s="19">
        <f>IF($L1379="","",IF(INDEX(ExpDep,$L1379)=0,"",INDEX(ExpDep,$L1379)))</f>
        <v/>
      </c>
      <c r="H1379" s="19">
        <f>IF($L1379="","",IF(INDEX(ExpWit,$L1379)=0,"",INDEX(ExpWit,$L1379)))</f>
        <v/>
      </c>
      <c r="I1379" s="20">
        <f>IF($B1379="","",IF($I1378="",0,$I1378)+IF($H1379="",0,$H1379)-IF($G1379="",0,$G1379))</f>
        <v/>
      </c>
      <c r="J1379" s="18">
        <f>IF($L1379="","",IF(INDEX(ExpNote,$L1379)="","—",INDEX(ExpNote,$L1379)))</f>
        <v/>
      </c>
      <c r="L1379">
        <f>IFERROR(MATCH($C$5&amp;"|"&amp;RIGHT("000000"&amp;1363,6),ExpRankKey,0),"")</f>
        <v/>
      </c>
    </row>
    <row r="1380">
      <c r="A1380" s="21" t="n">
        <v>1364</v>
      </c>
      <c r="B1380" s="22">
        <f>IF($L1380="","",INDEX(ExpNorm,$L1380))</f>
        <v/>
      </c>
      <c r="C1380" s="22">
        <f>IF($L1380="","",IF(INDEX(ExpTime,$L1380)="","—",LEFT(INDEX(ExpTime,$L1380),2)&amp;":"&amp;RIGHT(INDEX(ExpTime,$L1380),2)))</f>
        <v/>
      </c>
      <c r="D1380" s="22">
        <f>IF($L1380="","",IF(INDEX(ExpBank,$L1380)="","—",INDEX(ExpBank,$L1380)))</f>
        <v/>
      </c>
      <c r="E1380" s="23">
        <f>IF($L1380="","",IF(INDEX(ExpParty,$L1380)="","—",IFERROR(VLOOKUP(INDEX(ExpParty,$L1380),AcctTbl,4,0),INDEX(ExpParty,$L1380))))</f>
        <v/>
      </c>
      <c r="F1380" s="22">
        <f>IF($L1380="","",IF(INDEX(ExpType,$L1380)="","—",INDEX(ExpType,$L1380)))</f>
        <v/>
      </c>
      <c r="G1380" s="24">
        <f>IF($L1380="","",IF(INDEX(ExpDep,$L1380)=0,"",INDEX(ExpDep,$L1380)))</f>
        <v/>
      </c>
      <c r="H1380" s="24">
        <f>IF($L1380="","",IF(INDEX(ExpWit,$L1380)=0,"",INDEX(ExpWit,$L1380)))</f>
        <v/>
      </c>
      <c r="I1380" s="25">
        <f>IF($B1380="","",IF($I1379="",0,$I1379)+IF($H1380="",0,$H1380)-IF($G1380="",0,$G1380))</f>
        <v/>
      </c>
      <c r="J1380" s="23">
        <f>IF($L1380="","",IF(INDEX(ExpNote,$L1380)="","—",INDEX(ExpNote,$L1380)))</f>
        <v/>
      </c>
      <c r="L1380">
        <f>IFERROR(MATCH($C$5&amp;"|"&amp;RIGHT("000000"&amp;1364,6),ExpRankKey,0),"")</f>
        <v/>
      </c>
    </row>
    <row r="1381">
      <c r="A1381" s="16" t="n">
        <v>1365</v>
      </c>
      <c r="B1381" s="17">
        <f>IF($L1381="","",INDEX(ExpNorm,$L1381))</f>
        <v/>
      </c>
      <c r="C1381" s="17">
        <f>IF($L1381="","",IF(INDEX(ExpTime,$L1381)="","—",LEFT(INDEX(ExpTime,$L1381),2)&amp;":"&amp;RIGHT(INDEX(ExpTime,$L1381),2)))</f>
        <v/>
      </c>
      <c r="D1381" s="17">
        <f>IF($L1381="","",IF(INDEX(ExpBank,$L1381)="","—",INDEX(ExpBank,$L1381)))</f>
        <v/>
      </c>
      <c r="E1381" s="18">
        <f>IF($L1381="","",IF(INDEX(ExpParty,$L1381)="","—",IFERROR(VLOOKUP(INDEX(ExpParty,$L1381),AcctTbl,4,0),INDEX(ExpParty,$L1381))))</f>
        <v/>
      </c>
      <c r="F1381" s="17">
        <f>IF($L1381="","",IF(INDEX(ExpType,$L1381)="","—",INDEX(ExpType,$L1381)))</f>
        <v/>
      </c>
      <c r="G1381" s="19">
        <f>IF($L1381="","",IF(INDEX(ExpDep,$L1381)=0,"",INDEX(ExpDep,$L1381)))</f>
        <v/>
      </c>
      <c r="H1381" s="19">
        <f>IF($L1381="","",IF(INDEX(ExpWit,$L1381)=0,"",INDEX(ExpWit,$L1381)))</f>
        <v/>
      </c>
      <c r="I1381" s="20">
        <f>IF($B1381="","",IF($I1380="",0,$I1380)+IF($H1381="",0,$H1381)-IF($G1381="",0,$G1381))</f>
        <v/>
      </c>
      <c r="J1381" s="18">
        <f>IF($L1381="","",IF(INDEX(ExpNote,$L1381)="","—",INDEX(ExpNote,$L1381)))</f>
        <v/>
      </c>
      <c r="L1381">
        <f>IFERROR(MATCH($C$5&amp;"|"&amp;RIGHT("000000"&amp;1365,6),ExpRankKey,0),"")</f>
        <v/>
      </c>
    </row>
    <row r="1382">
      <c r="A1382" s="21" t="n">
        <v>1366</v>
      </c>
      <c r="B1382" s="22">
        <f>IF($L1382="","",INDEX(ExpNorm,$L1382))</f>
        <v/>
      </c>
      <c r="C1382" s="22">
        <f>IF($L1382="","",IF(INDEX(ExpTime,$L1382)="","—",LEFT(INDEX(ExpTime,$L1382),2)&amp;":"&amp;RIGHT(INDEX(ExpTime,$L1382),2)))</f>
        <v/>
      </c>
      <c r="D1382" s="22">
        <f>IF($L1382="","",IF(INDEX(ExpBank,$L1382)="","—",INDEX(ExpBank,$L1382)))</f>
        <v/>
      </c>
      <c r="E1382" s="23">
        <f>IF($L1382="","",IF(INDEX(ExpParty,$L1382)="","—",IFERROR(VLOOKUP(INDEX(ExpParty,$L1382),AcctTbl,4,0),INDEX(ExpParty,$L1382))))</f>
        <v/>
      </c>
      <c r="F1382" s="22">
        <f>IF($L1382="","",IF(INDEX(ExpType,$L1382)="","—",INDEX(ExpType,$L1382)))</f>
        <v/>
      </c>
      <c r="G1382" s="24">
        <f>IF($L1382="","",IF(INDEX(ExpDep,$L1382)=0,"",INDEX(ExpDep,$L1382)))</f>
        <v/>
      </c>
      <c r="H1382" s="24">
        <f>IF($L1382="","",IF(INDEX(ExpWit,$L1382)=0,"",INDEX(ExpWit,$L1382)))</f>
        <v/>
      </c>
      <c r="I1382" s="25">
        <f>IF($B1382="","",IF($I1381="",0,$I1381)+IF($H1382="",0,$H1382)-IF($G1382="",0,$G1382))</f>
        <v/>
      </c>
      <c r="J1382" s="23">
        <f>IF($L1382="","",IF(INDEX(ExpNote,$L1382)="","—",INDEX(ExpNote,$L1382)))</f>
        <v/>
      </c>
      <c r="L1382">
        <f>IFERROR(MATCH($C$5&amp;"|"&amp;RIGHT("000000"&amp;1366,6),ExpRankKey,0),"")</f>
        <v/>
      </c>
    </row>
    <row r="1383">
      <c r="A1383" s="16" t="n">
        <v>1367</v>
      </c>
      <c r="B1383" s="17">
        <f>IF($L1383="","",INDEX(ExpNorm,$L1383))</f>
        <v/>
      </c>
      <c r="C1383" s="17">
        <f>IF($L1383="","",IF(INDEX(ExpTime,$L1383)="","—",LEFT(INDEX(ExpTime,$L1383),2)&amp;":"&amp;RIGHT(INDEX(ExpTime,$L1383),2)))</f>
        <v/>
      </c>
      <c r="D1383" s="17">
        <f>IF($L1383="","",IF(INDEX(ExpBank,$L1383)="","—",INDEX(ExpBank,$L1383)))</f>
        <v/>
      </c>
      <c r="E1383" s="18">
        <f>IF($L1383="","",IF(INDEX(ExpParty,$L1383)="","—",IFERROR(VLOOKUP(INDEX(ExpParty,$L1383),AcctTbl,4,0),INDEX(ExpParty,$L1383))))</f>
        <v/>
      </c>
      <c r="F1383" s="17">
        <f>IF($L1383="","",IF(INDEX(ExpType,$L1383)="","—",INDEX(ExpType,$L1383)))</f>
        <v/>
      </c>
      <c r="G1383" s="19">
        <f>IF($L1383="","",IF(INDEX(ExpDep,$L1383)=0,"",INDEX(ExpDep,$L1383)))</f>
        <v/>
      </c>
      <c r="H1383" s="19">
        <f>IF($L1383="","",IF(INDEX(ExpWit,$L1383)=0,"",INDEX(ExpWit,$L1383)))</f>
        <v/>
      </c>
      <c r="I1383" s="20">
        <f>IF($B1383="","",IF($I1382="",0,$I1382)+IF($H1383="",0,$H1383)-IF($G1383="",0,$G1383))</f>
        <v/>
      </c>
      <c r="J1383" s="18">
        <f>IF($L1383="","",IF(INDEX(ExpNote,$L1383)="","—",INDEX(ExpNote,$L1383)))</f>
        <v/>
      </c>
      <c r="L1383">
        <f>IFERROR(MATCH($C$5&amp;"|"&amp;RIGHT("000000"&amp;1367,6),ExpRankKey,0),"")</f>
        <v/>
      </c>
    </row>
    <row r="1384">
      <c r="A1384" s="21" t="n">
        <v>1368</v>
      </c>
      <c r="B1384" s="22">
        <f>IF($L1384="","",INDEX(ExpNorm,$L1384))</f>
        <v/>
      </c>
      <c r="C1384" s="22">
        <f>IF($L1384="","",IF(INDEX(ExpTime,$L1384)="","—",LEFT(INDEX(ExpTime,$L1384),2)&amp;":"&amp;RIGHT(INDEX(ExpTime,$L1384),2)))</f>
        <v/>
      </c>
      <c r="D1384" s="22">
        <f>IF($L1384="","",IF(INDEX(ExpBank,$L1384)="","—",INDEX(ExpBank,$L1384)))</f>
        <v/>
      </c>
      <c r="E1384" s="23">
        <f>IF($L1384="","",IF(INDEX(ExpParty,$L1384)="","—",IFERROR(VLOOKUP(INDEX(ExpParty,$L1384),AcctTbl,4,0),INDEX(ExpParty,$L1384))))</f>
        <v/>
      </c>
      <c r="F1384" s="22">
        <f>IF($L1384="","",IF(INDEX(ExpType,$L1384)="","—",INDEX(ExpType,$L1384)))</f>
        <v/>
      </c>
      <c r="G1384" s="24">
        <f>IF($L1384="","",IF(INDEX(ExpDep,$L1384)=0,"",INDEX(ExpDep,$L1384)))</f>
        <v/>
      </c>
      <c r="H1384" s="24">
        <f>IF($L1384="","",IF(INDEX(ExpWit,$L1384)=0,"",INDEX(ExpWit,$L1384)))</f>
        <v/>
      </c>
      <c r="I1384" s="25">
        <f>IF($B1384="","",IF($I1383="",0,$I1383)+IF($H1384="",0,$H1384)-IF($G1384="",0,$G1384))</f>
        <v/>
      </c>
      <c r="J1384" s="23">
        <f>IF($L1384="","",IF(INDEX(ExpNote,$L1384)="","—",INDEX(ExpNote,$L1384)))</f>
        <v/>
      </c>
      <c r="L1384">
        <f>IFERROR(MATCH($C$5&amp;"|"&amp;RIGHT("000000"&amp;1368,6),ExpRankKey,0),"")</f>
        <v/>
      </c>
    </row>
    <row r="1385">
      <c r="A1385" s="16" t="n">
        <v>1369</v>
      </c>
      <c r="B1385" s="17">
        <f>IF($L1385="","",INDEX(ExpNorm,$L1385))</f>
        <v/>
      </c>
      <c r="C1385" s="17">
        <f>IF($L1385="","",IF(INDEX(ExpTime,$L1385)="","—",LEFT(INDEX(ExpTime,$L1385),2)&amp;":"&amp;RIGHT(INDEX(ExpTime,$L1385),2)))</f>
        <v/>
      </c>
      <c r="D1385" s="17">
        <f>IF($L1385="","",IF(INDEX(ExpBank,$L1385)="","—",INDEX(ExpBank,$L1385)))</f>
        <v/>
      </c>
      <c r="E1385" s="18">
        <f>IF($L1385="","",IF(INDEX(ExpParty,$L1385)="","—",IFERROR(VLOOKUP(INDEX(ExpParty,$L1385),AcctTbl,4,0),INDEX(ExpParty,$L1385))))</f>
        <v/>
      </c>
      <c r="F1385" s="17">
        <f>IF($L1385="","",IF(INDEX(ExpType,$L1385)="","—",INDEX(ExpType,$L1385)))</f>
        <v/>
      </c>
      <c r="G1385" s="19">
        <f>IF($L1385="","",IF(INDEX(ExpDep,$L1385)=0,"",INDEX(ExpDep,$L1385)))</f>
        <v/>
      </c>
      <c r="H1385" s="19">
        <f>IF($L1385="","",IF(INDEX(ExpWit,$L1385)=0,"",INDEX(ExpWit,$L1385)))</f>
        <v/>
      </c>
      <c r="I1385" s="20">
        <f>IF($B1385="","",IF($I1384="",0,$I1384)+IF($H1385="",0,$H1385)-IF($G1385="",0,$G1385))</f>
        <v/>
      </c>
      <c r="J1385" s="18">
        <f>IF($L1385="","",IF(INDEX(ExpNote,$L1385)="","—",INDEX(ExpNote,$L1385)))</f>
        <v/>
      </c>
      <c r="L1385">
        <f>IFERROR(MATCH($C$5&amp;"|"&amp;RIGHT("000000"&amp;1369,6),ExpRankKey,0),"")</f>
        <v/>
      </c>
    </row>
    <row r="1386">
      <c r="A1386" s="21" t="n">
        <v>1370</v>
      </c>
      <c r="B1386" s="22">
        <f>IF($L1386="","",INDEX(ExpNorm,$L1386))</f>
        <v/>
      </c>
      <c r="C1386" s="22">
        <f>IF($L1386="","",IF(INDEX(ExpTime,$L1386)="","—",LEFT(INDEX(ExpTime,$L1386),2)&amp;":"&amp;RIGHT(INDEX(ExpTime,$L1386),2)))</f>
        <v/>
      </c>
      <c r="D1386" s="22">
        <f>IF($L1386="","",IF(INDEX(ExpBank,$L1386)="","—",INDEX(ExpBank,$L1386)))</f>
        <v/>
      </c>
      <c r="E1386" s="23">
        <f>IF($L1386="","",IF(INDEX(ExpParty,$L1386)="","—",IFERROR(VLOOKUP(INDEX(ExpParty,$L1386),AcctTbl,4,0),INDEX(ExpParty,$L1386))))</f>
        <v/>
      </c>
      <c r="F1386" s="22">
        <f>IF($L1386="","",IF(INDEX(ExpType,$L1386)="","—",INDEX(ExpType,$L1386)))</f>
        <v/>
      </c>
      <c r="G1386" s="24">
        <f>IF($L1386="","",IF(INDEX(ExpDep,$L1386)=0,"",INDEX(ExpDep,$L1386)))</f>
        <v/>
      </c>
      <c r="H1386" s="24">
        <f>IF($L1386="","",IF(INDEX(ExpWit,$L1386)=0,"",INDEX(ExpWit,$L1386)))</f>
        <v/>
      </c>
      <c r="I1386" s="25">
        <f>IF($B1386="","",IF($I1385="",0,$I1385)+IF($H1386="",0,$H1386)-IF($G1386="",0,$G1386))</f>
        <v/>
      </c>
      <c r="J1386" s="23">
        <f>IF($L1386="","",IF(INDEX(ExpNote,$L1386)="","—",INDEX(ExpNote,$L1386)))</f>
        <v/>
      </c>
      <c r="L1386">
        <f>IFERROR(MATCH($C$5&amp;"|"&amp;RIGHT("000000"&amp;1370,6),ExpRankKey,0),"")</f>
        <v/>
      </c>
    </row>
    <row r="1387">
      <c r="A1387" s="16" t="n">
        <v>1371</v>
      </c>
      <c r="B1387" s="17">
        <f>IF($L1387="","",INDEX(ExpNorm,$L1387))</f>
        <v/>
      </c>
      <c r="C1387" s="17">
        <f>IF($L1387="","",IF(INDEX(ExpTime,$L1387)="","—",LEFT(INDEX(ExpTime,$L1387),2)&amp;":"&amp;RIGHT(INDEX(ExpTime,$L1387),2)))</f>
        <v/>
      </c>
      <c r="D1387" s="17">
        <f>IF($L1387="","",IF(INDEX(ExpBank,$L1387)="","—",INDEX(ExpBank,$L1387)))</f>
        <v/>
      </c>
      <c r="E1387" s="18">
        <f>IF($L1387="","",IF(INDEX(ExpParty,$L1387)="","—",IFERROR(VLOOKUP(INDEX(ExpParty,$L1387),AcctTbl,4,0),INDEX(ExpParty,$L1387))))</f>
        <v/>
      </c>
      <c r="F1387" s="17">
        <f>IF($L1387="","",IF(INDEX(ExpType,$L1387)="","—",INDEX(ExpType,$L1387)))</f>
        <v/>
      </c>
      <c r="G1387" s="19">
        <f>IF($L1387="","",IF(INDEX(ExpDep,$L1387)=0,"",INDEX(ExpDep,$L1387)))</f>
        <v/>
      </c>
      <c r="H1387" s="19">
        <f>IF($L1387="","",IF(INDEX(ExpWit,$L1387)=0,"",INDEX(ExpWit,$L1387)))</f>
        <v/>
      </c>
      <c r="I1387" s="20">
        <f>IF($B1387="","",IF($I1386="",0,$I1386)+IF($H1387="",0,$H1387)-IF($G1387="",0,$G1387))</f>
        <v/>
      </c>
      <c r="J1387" s="18">
        <f>IF($L1387="","",IF(INDEX(ExpNote,$L1387)="","—",INDEX(ExpNote,$L1387)))</f>
        <v/>
      </c>
      <c r="L1387">
        <f>IFERROR(MATCH($C$5&amp;"|"&amp;RIGHT("000000"&amp;1371,6),ExpRankKey,0),"")</f>
        <v/>
      </c>
    </row>
    <row r="1388">
      <c r="A1388" s="21" t="n">
        <v>1372</v>
      </c>
      <c r="B1388" s="22">
        <f>IF($L1388="","",INDEX(ExpNorm,$L1388))</f>
        <v/>
      </c>
      <c r="C1388" s="22">
        <f>IF($L1388="","",IF(INDEX(ExpTime,$L1388)="","—",LEFT(INDEX(ExpTime,$L1388),2)&amp;":"&amp;RIGHT(INDEX(ExpTime,$L1388),2)))</f>
        <v/>
      </c>
      <c r="D1388" s="22">
        <f>IF($L1388="","",IF(INDEX(ExpBank,$L1388)="","—",INDEX(ExpBank,$L1388)))</f>
        <v/>
      </c>
      <c r="E1388" s="23">
        <f>IF($L1388="","",IF(INDEX(ExpParty,$L1388)="","—",IFERROR(VLOOKUP(INDEX(ExpParty,$L1388),AcctTbl,4,0),INDEX(ExpParty,$L1388))))</f>
        <v/>
      </c>
      <c r="F1388" s="22">
        <f>IF($L1388="","",IF(INDEX(ExpType,$L1388)="","—",INDEX(ExpType,$L1388)))</f>
        <v/>
      </c>
      <c r="G1388" s="24">
        <f>IF($L1388="","",IF(INDEX(ExpDep,$L1388)=0,"",INDEX(ExpDep,$L1388)))</f>
        <v/>
      </c>
      <c r="H1388" s="24">
        <f>IF($L1388="","",IF(INDEX(ExpWit,$L1388)=0,"",INDEX(ExpWit,$L1388)))</f>
        <v/>
      </c>
      <c r="I1388" s="25">
        <f>IF($B1388="","",IF($I1387="",0,$I1387)+IF($H1388="",0,$H1388)-IF($G1388="",0,$G1388))</f>
        <v/>
      </c>
      <c r="J1388" s="23">
        <f>IF($L1388="","",IF(INDEX(ExpNote,$L1388)="","—",INDEX(ExpNote,$L1388)))</f>
        <v/>
      </c>
      <c r="L1388">
        <f>IFERROR(MATCH($C$5&amp;"|"&amp;RIGHT("000000"&amp;1372,6),ExpRankKey,0),"")</f>
        <v/>
      </c>
    </row>
    <row r="1389">
      <c r="A1389" s="16" t="n">
        <v>1373</v>
      </c>
      <c r="B1389" s="17">
        <f>IF($L1389="","",INDEX(ExpNorm,$L1389))</f>
        <v/>
      </c>
      <c r="C1389" s="17">
        <f>IF($L1389="","",IF(INDEX(ExpTime,$L1389)="","—",LEFT(INDEX(ExpTime,$L1389),2)&amp;":"&amp;RIGHT(INDEX(ExpTime,$L1389),2)))</f>
        <v/>
      </c>
      <c r="D1389" s="17">
        <f>IF($L1389="","",IF(INDEX(ExpBank,$L1389)="","—",INDEX(ExpBank,$L1389)))</f>
        <v/>
      </c>
      <c r="E1389" s="18">
        <f>IF($L1389="","",IF(INDEX(ExpParty,$L1389)="","—",IFERROR(VLOOKUP(INDEX(ExpParty,$L1389),AcctTbl,4,0),INDEX(ExpParty,$L1389))))</f>
        <v/>
      </c>
      <c r="F1389" s="17">
        <f>IF($L1389="","",IF(INDEX(ExpType,$L1389)="","—",INDEX(ExpType,$L1389)))</f>
        <v/>
      </c>
      <c r="G1389" s="19">
        <f>IF($L1389="","",IF(INDEX(ExpDep,$L1389)=0,"",INDEX(ExpDep,$L1389)))</f>
        <v/>
      </c>
      <c r="H1389" s="19">
        <f>IF($L1389="","",IF(INDEX(ExpWit,$L1389)=0,"",INDEX(ExpWit,$L1389)))</f>
        <v/>
      </c>
      <c r="I1389" s="20">
        <f>IF($B1389="","",IF($I1388="",0,$I1388)+IF($H1389="",0,$H1389)-IF($G1389="",0,$G1389))</f>
        <v/>
      </c>
      <c r="J1389" s="18">
        <f>IF($L1389="","",IF(INDEX(ExpNote,$L1389)="","—",INDEX(ExpNote,$L1389)))</f>
        <v/>
      </c>
      <c r="L1389">
        <f>IFERROR(MATCH($C$5&amp;"|"&amp;RIGHT("000000"&amp;1373,6),ExpRankKey,0),"")</f>
        <v/>
      </c>
    </row>
    <row r="1390">
      <c r="A1390" s="21" t="n">
        <v>1374</v>
      </c>
      <c r="B1390" s="22">
        <f>IF($L1390="","",INDEX(ExpNorm,$L1390))</f>
        <v/>
      </c>
      <c r="C1390" s="22">
        <f>IF($L1390="","",IF(INDEX(ExpTime,$L1390)="","—",LEFT(INDEX(ExpTime,$L1390),2)&amp;":"&amp;RIGHT(INDEX(ExpTime,$L1390),2)))</f>
        <v/>
      </c>
      <c r="D1390" s="22">
        <f>IF($L1390="","",IF(INDEX(ExpBank,$L1390)="","—",INDEX(ExpBank,$L1390)))</f>
        <v/>
      </c>
      <c r="E1390" s="23">
        <f>IF($L1390="","",IF(INDEX(ExpParty,$L1390)="","—",IFERROR(VLOOKUP(INDEX(ExpParty,$L1390),AcctTbl,4,0),INDEX(ExpParty,$L1390))))</f>
        <v/>
      </c>
      <c r="F1390" s="22">
        <f>IF($L1390="","",IF(INDEX(ExpType,$L1390)="","—",INDEX(ExpType,$L1390)))</f>
        <v/>
      </c>
      <c r="G1390" s="24">
        <f>IF($L1390="","",IF(INDEX(ExpDep,$L1390)=0,"",INDEX(ExpDep,$L1390)))</f>
        <v/>
      </c>
      <c r="H1390" s="24">
        <f>IF($L1390="","",IF(INDEX(ExpWit,$L1390)=0,"",INDEX(ExpWit,$L1390)))</f>
        <v/>
      </c>
      <c r="I1390" s="25">
        <f>IF($B1390="","",IF($I1389="",0,$I1389)+IF($H1390="",0,$H1390)-IF($G1390="",0,$G1390))</f>
        <v/>
      </c>
      <c r="J1390" s="23">
        <f>IF($L1390="","",IF(INDEX(ExpNote,$L1390)="","—",INDEX(ExpNote,$L1390)))</f>
        <v/>
      </c>
      <c r="L1390">
        <f>IFERROR(MATCH($C$5&amp;"|"&amp;RIGHT("000000"&amp;1374,6),ExpRankKey,0),"")</f>
        <v/>
      </c>
    </row>
    <row r="1391">
      <c r="A1391" s="16" t="n">
        <v>1375</v>
      </c>
      <c r="B1391" s="17">
        <f>IF($L1391="","",INDEX(ExpNorm,$L1391))</f>
        <v/>
      </c>
      <c r="C1391" s="17">
        <f>IF($L1391="","",IF(INDEX(ExpTime,$L1391)="","—",LEFT(INDEX(ExpTime,$L1391),2)&amp;":"&amp;RIGHT(INDEX(ExpTime,$L1391),2)))</f>
        <v/>
      </c>
      <c r="D1391" s="17">
        <f>IF($L1391="","",IF(INDEX(ExpBank,$L1391)="","—",INDEX(ExpBank,$L1391)))</f>
        <v/>
      </c>
      <c r="E1391" s="18">
        <f>IF($L1391="","",IF(INDEX(ExpParty,$L1391)="","—",IFERROR(VLOOKUP(INDEX(ExpParty,$L1391),AcctTbl,4,0),INDEX(ExpParty,$L1391))))</f>
        <v/>
      </c>
      <c r="F1391" s="17">
        <f>IF($L1391="","",IF(INDEX(ExpType,$L1391)="","—",INDEX(ExpType,$L1391)))</f>
        <v/>
      </c>
      <c r="G1391" s="19">
        <f>IF($L1391="","",IF(INDEX(ExpDep,$L1391)=0,"",INDEX(ExpDep,$L1391)))</f>
        <v/>
      </c>
      <c r="H1391" s="19">
        <f>IF($L1391="","",IF(INDEX(ExpWit,$L1391)=0,"",INDEX(ExpWit,$L1391)))</f>
        <v/>
      </c>
      <c r="I1391" s="20">
        <f>IF($B1391="","",IF($I1390="",0,$I1390)+IF($H1391="",0,$H1391)-IF($G1391="",0,$G1391))</f>
        <v/>
      </c>
      <c r="J1391" s="18">
        <f>IF($L1391="","",IF(INDEX(ExpNote,$L1391)="","—",INDEX(ExpNote,$L1391)))</f>
        <v/>
      </c>
      <c r="L1391">
        <f>IFERROR(MATCH($C$5&amp;"|"&amp;RIGHT("000000"&amp;1375,6),ExpRankKey,0),"")</f>
        <v/>
      </c>
    </row>
    <row r="1392">
      <c r="A1392" s="21" t="n">
        <v>1376</v>
      </c>
      <c r="B1392" s="22">
        <f>IF($L1392="","",INDEX(ExpNorm,$L1392))</f>
        <v/>
      </c>
      <c r="C1392" s="22">
        <f>IF($L1392="","",IF(INDEX(ExpTime,$L1392)="","—",LEFT(INDEX(ExpTime,$L1392),2)&amp;":"&amp;RIGHT(INDEX(ExpTime,$L1392),2)))</f>
        <v/>
      </c>
      <c r="D1392" s="22">
        <f>IF($L1392="","",IF(INDEX(ExpBank,$L1392)="","—",INDEX(ExpBank,$L1392)))</f>
        <v/>
      </c>
      <c r="E1392" s="23">
        <f>IF($L1392="","",IF(INDEX(ExpParty,$L1392)="","—",IFERROR(VLOOKUP(INDEX(ExpParty,$L1392),AcctTbl,4,0),INDEX(ExpParty,$L1392))))</f>
        <v/>
      </c>
      <c r="F1392" s="22">
        <f>IF($L1392="","",IF(INDEX(ExpType,$L1392)="","—",INDEX(ExpType,$L1392)))</f>
        <v/>
      </c>
      <c r="G1392" s="24">
        <f>IF($L1392="","",IF(INDEX(ExpDep,$L1392)=0,"",INDEX(ExpDep,$L1392)))</f>
        <v/>
      </c>
      <c r="H1392" s="24">
        <f>IF($L1392="","",IF(INDEX(ExpWit,$L1392)=0,"",INDEX(ExpWit,$L1392)))</f>
        <v/>
      </c>
      <c r="I1392" s="25">
        <f>IF($B1392="","",IF($I1391="",0,$I1391)+IF($H1392="",0,$H1392)-IF($G1392="",0,$G1392))</f>
        <v/>
      </c>
      <c r="J1392" s="23">
        <f>IF($L1392="","",IF(INDEX(ExpNote,$L1392)="","—",INDEX(ExpNote,$L1392)))</f>
        <v/>
      </c>
      <c r="L1392">
        <f>IFERROR(MATCH($C$5&amp;"|"&amp;RIGHT("000000"&amp;1376,6),ExpRankKey,0),"")</f>
        <v/>
      </c>
    </row>
    <row r="1393">
      <c r="A1393" s="16" t="n">
        <v>1377</v>
      </c>
      <c r="B1393" s="17">
        <f>IF($L1393="","",INDEX(ExpNorm,$L1393))</f>
        <v/>
      </c>
      <c r="C1393" s="17">
        <f>IF($L1393="","",IF(INDEX(ExpTime,$L1393)="","—",LEFT(INDEX(ExpTime,$L1393),2)&amp;":"&amp;RIGHT(INDEX(ExpTime,$L1393),2)))</f>
        <v/>
      </c>
      <c r="D1393" s="17">
        <f>IF($L1393="","",IF(INDEX(ExpBank,$L1393)="","—",INDEX(ExpBank,$L1393)))</f>
        <v/>
      </c>
      <c r="E1393" s="18">
        <f>IF($L1393="","",IF(INDEX(ExpParty,$L1393)="","—",IFERROR(VLOOKUP(INDEX(ExpParty,$L1393),AcctTbl,4,0),INDEX(ExpParty,$L1393))))</f>
        <v/>
      </c>
      <c r="F1393" s="17">
        <f>IF($L1393="","",IF(INDEX(ExpType,$L1393)="","—",INDEX(ExpType,$L1393)))</f>
        <v/>
      </c>
      <c r="G1393" s="19">
        <f>IF($L1393="","",IF(INDEX(ExpDep,$L1393)=0,"",INDEX(ExpDep,$L1393)))</f>
        <v/>
      </c>
      <c r="H1393" s="19">
        <f>IF($L1393="","",IF(INDEX(ExpWit,$L1393)=0,"",INDEX(ExpWit,$L1393)))</f>
        <v/>
      </c>
      <c r="I1393" s="20">
        <f>IF($B1393="","",IF($I1392="",0,$I1392)+IF($H1393="",0,$H1393)-IF($G1393="",0,$G1393))</f>
        <v/>
      </c>
      <c r="J1393" s="18">
        <f>IF($L1393="","",IF(INDEX(ExpNote,$L1393)="","—",INDEX(ExpNote,$L1393)))</f>
        <v/>
      </c>
      <c r="L1393">
        <f>IFERROR(MATCH($C$5&amp;"|"&amp;RIGHT("000000"&amp;1377,6),ExpRankKey,0),"")</f>
        <v/>
      </c>
    </row>
    <row r="1394">
      <c r="A1394" s="21" t="n">
        <v>1378</v>
      </c>
      <c r="B1394" s="22">
        <f>IF($L1394="","",INDEX(ExpNorm,$L1394))</f>
        <v/>
      </c>
      <c r="C1394" s="22">
        <f>IF($L1394="","",IF(INDEX(ExpTime,$L1394)="","—",LEFT(INDEX(ExpTime,$L1394),2)&amp;":"&amp;RIGHT(INDEX(ExpTime,$L1394),2)))</f>
        <v/>
      </c>
      <c r="D1394" s="22">
        <f>IF($L1394="","",IF(INDEX(ExpBank,$L1394)="","—",INDEX(ExpBank,$L1394)))</f>
        <v/>
      </c>
      <c r="E1394" s="23">
        <f>IF($L1394="","",IF(INDEX(ExpParty,$L1394)="","—",IFERROR(VLOOKUP(INDEX(ExpParty,$L1394),AcctTbl,4,0),INDEX(ExpParty,$L1394))))</f>
        <v/>
      </c>
      <c r="F1394" s="22">
        <f>IF($L1394="","",IF(INDEX(ExpType,$L1394)="","—",INDEX(ExpType,$L1394)))</f>
        <v/>
      </c>
      <c r="G1394" s="24">
        <f>IF($L1394="","",IF(INDEX(ExpDep,$L1394)=0,"",INDEX(ExpDep,$L1394)))</f>
        <v/>
      </c>
      <c r="H1394" s="24">
        <f>IF($L1394="","",IF(INDEX(ExpWit,$L1394)=0,"",INDEX(ExpWit,$L1394)))</f>
        <v/>
      </c>
      <c r="I1394" s="25">
        <f>IF($B1394="","",IF($I1393="",0,$I1393)+IF($H1394="",0,$H1394)-IF($G1394="",0,$G1394))</f>
        <v/>
      </c>
      <c r="J1394" s="23">
        <f>IF($L1394="","",IF(INDEX(ExpNote,$L1394)="","—",INDEX(ExpNote,$L1394)))</f>
        <v/>
      </c>
      <c r="L1394">
        <f>IFERROR(MATCH($C$5&amp;"|"&amp;RIGHT("000000"&amp;1378,6),ExpRankKey,0),"")</f>
        <v/>
      </c>
    </row>
    <row r="1395">
      <c r="A1395" s="16" t="n">
        <v>1379</v>
      </c>
      <c r="B1395" s="17">
        <f>IF($L1395="","",INDEX(ExpNorm,$L1395))</f>
        <v/>
      </c>
      <c r="C1395" s="17">
        <f>IF($L1395="","",IF(INDEX(ExpTime,$L1395)="","—",LEFT(INDEX(ExpTime,$L1395),2)&amp;":"&amp;RIGHT(INDEX(ExpTime,$L1395),2)))</f>
        <v/>
      </c>
      <c r="D1395" s="17">
        <f>IF($L1395="","",IF(INDEX(ExpBank,$L1395)="","—",INDEX(ExpBank,$L1395)))</f>
        <v/>
      </c>
      <c r="E1395" s="18">
        <f>IF($L1395="","",IF(INDEX(ExpParty,$L1395)="","—",IFERROR(VLOOKUP(INDEX(ExpParty,$L1395),AcctTbl,4,0),INDEX(ExpParty,$L1395))))</f>
        <v/>
      </c>
      <c r="F1395" s="17">
        <f>IF($L1395="","",IF(INDEX(ExpType,$L1395)="","—",INDEX(ExpType,$L1395)))</f>
        <v/>
      </c>
      <c r="G1395" s="19">
        <f>IF($L1395="","",IF(INDEX(ExpDep,$L1395)=0,"",INDEX(ExpDep,$L1395)))</f>
        <v/>
      </c>
      <c r="H1395" s="19">
        <f>IF($L1395="","",IF(INDEX(ExpWit,$L1395)=0,"",INDEX(ExpWit,$L1395)))</f>
        <v/>
      </c>
      <c r="I1395" s="20">
        <f>IF($B1395="","",IF($I1394="",0,$I1394)+IF($H1395="",0,$H1395)-IF($G1395="",0,$G1395))</f>
        <v/>
      </c>
      <c r="J1395" s="18">
        <f>IF($L1395="","",IF(INDEX(ExpNote,$L1395)="","—",INDEX(ExpNote,$L1395)))</f>
        <v/>
      </c>
      <c r="L1395">
        <f>IFERROR(MATCH($C$5&amp;"|"&amp;RIGHT("000000"&amp;1379,6),ExpRankKey,0),"")</f>
        <v/>
      </c>
    </row>
    <row r="1396">
      <c r="A1396" s="21" t="n">
        <v>1380</v>
      </c>
      <c r="B1396" s="22">
        <f>IF($L1396="","",INDEX(ExpNorm,$L1396))</f>
        <v/>
      </c>
      <c r="C1396" s="22">
        <f>IF($L1396="","",IF(INDEX(ExpTime,$L1396)="","—",LEFT(INDEX(ExpTime,$L1396),2)&amp;":"&amp;RIGHT(INDEX(ExpTime,$L1396),2)))</f>
        <v/>
      </c>
      <c r="D1396" s="22">
        <f>IF($L1396="","",IF(INDEX(ExpBank,$L1396)="","—",INDEX(ExpBank,$L1396)))</f>
        <v/>
      </c>
      <c r="E1396" s="23">
        <f>IF($L1396="","",IF(INDEX(ExpParty,$L1396)="","—",IFERROR(VLOOKUP(INDEX(ExpParty,$L1396),AcctTbl,4,0),INDEX(ExpParty,$L1396))))</f>
        <v/>
      </c>
      <c r="F1396" s="22">
        <f>IF($L1396="","",IF(INDEX(ExpType,$L1396)="","—",INDEX(ExpType,$L1396)))</f>
        <v/>
      </c>
      <c r="G1396" s="24">
        <f>IF($L1396="","",IF(INDEX(ExpDep,$L1396)=0,"",INDEX(ExpDep,$L1396)))</f>
        <v/>
      </c>
      <c r="H1396" s="24">
        <f>IF($L1396="","",IF(INDEX(ExpWit,$L1396)=0,"",INDEX(ExpWit,$L1396)))</f>
        <v/>
      </c>
      <c r="I1396" s="25">
        <f>IF($B1396="","",IF($I1395="",0,$I1395)+IF($H1396="",0,$H1396)-IF($G1396="",0,$G1396))</f>
        <v/>
      </c>
      <c r="J1396" s="23">
        <f>IF($L1396="","",IF(INDEX(ExpNote,$L1396)="","—",INDEX(ExpNote,$L1396)))</f>
        <v/>
      </c>
      <c r="L1396">
        <f>IFERROR(MATCH($C$5&amp;"|"&amp;RIGHT("000000"&amp;1380,6),ExpRankKey,0),"")</f>
        <v/>
      </c>
    </row>
    <row r="1397">
      <c r="A1397" s="16" t="n">
        <v>1381</v>
      </c>
      <c r="B1397" s="17">
        <f>IF($L1397="","",INDEX(ExpNorm,$L1397))</f>
        <v/>
      </c>
      <c r="C1397" s="17">
        <f>IF($L1397="","",IF(INDEX(ExpTime,$L1397)="","—",LEFT(INDEX(ExpTime,$L1397),2)&amp;":"&amp;RIGHT(INDEX(ExpTime,$L1397),2)))</f>
        <v/>
      </c>
      <c r="D1397" s="17">
        <f>IF($L1397="","",IF(INDEX(ExpBank,$L1397)="","—",INDEX(ExpBank,$L1397)))</f>
        <v/>
      </c>
      <c r="E1397" s="18">
        <f>IF($L1397="","",IF(INDEX(ExpParty,$L1397)="","—",IFERROR(VLOOKUP(INDEX(ExpParty,$L1397),AcctTbl,4,0),INDEX(ExpParty,$L1397))))</f>
        <v/>
      </c>
      <c r="F1397" s="17">
        <f>IF($L1397="","",IF(INDEX(ExpType,$L1397)="","—",INDEX(ExpType,$L1397)))</f>
        <v/>
      </c>
      <c r="G1397" s="19">
        <f>IF($L1397="","",IF(INDEX(ExpDep,$L1397)=0,"",INDEX(ExpDep,$L1397)))</f>
        <v/>
      </c>
      <c r="H1397" s="19">
        <f>IF($L1397="","",IF(INDEX(ExpWit,$L1397)=0,"",INDEX(ExpWit,$L1397)))</f>
        <v/>
      </c>
      <c r="I1397" s="20">
        <f>IF($B1397="","",IF($I1396="",0,$I1396)+IF($H1397="",0,$H1397)-IF($G1397="",0,$G1397))</f>
        <v/>
      </c>
      <c r="J1397" s="18">
        <f>IF($L1397="","",IF(INDEX(ExpNote,$L1397)="","—",INDEX(ExpNote,$L1397)))</f>
        <v/>
      </c>
      <c r="L1397">
        <f>IFERROR(MATCH($C$5&amp;"|"&amp;RIGHT("000000"&amp;1381,6),ExpRankKey,0),"")</f>
        <v/>
      </c>
    </row>
    <row r="1398">
      <c r="A1398" s="21" t="n">
        <v>1382</v>
      </c>
      <c r="B1398" s="22">
        <f>IF($L1398="","",INDEX(ExpNorm,$L1398))</f>
        <v/>
      </c>
      <c r="C1398" s="22">
        <f>IF($L1398="","",IF(INDEX(ExpTime,$L1398)="","—",LEFT(INDEX(ExpTime,$L1398),2)&amp;":"&amp;RIGHT(INDEX(ExpTime,$L1398),2)))</f>
        <v/>
      </c>
      <c r="D1398" s="22">
        <f>IF($L1398="","",IF(INDEX(ExpBank,$L1398)="","—",INDEX(ExpBank,$L1398)))</f>
        <v/>
      </c>
      <c r="E1398" s="23">
        <f>IF($L1398="","",IF(INDEX(ExpParty,$L1398)="","—",IFERROR(VLOOKUP(INDEX(ExpParty,$L1398),AcctTbl,4,0),INDEX(ExpParty,$L1398))))</f>
        <v/>
      </c>
      <c r="F1398" s="22">
        <f>IF($L1398="","",IF(INDEX(ExpType,$L1398)="","—",INDEX(ExpType,$L1398)))</f>
        <v/>
      </c>
      <c r="G1398" s="24">
        <f>IF($L1398="","",IF(INDEX(ExpDep,$L1398)=0,"",INDEX(ExpDep,$L1398)))</f>
        <v/>
      </c>
      <c r="H1398" s="24">
        <f>IF($L1398="","",IF(INDEX(ExpWit,$L1398)=0,"",INDEX(ExpWit,$L1398)))</f>
        <v/>
      </c>
      <c r="I1398" s="25">
        <f>IF($B1398="","",IF($I1397="",0,$I1397)+IF($H1398="",0,$H1398)-IF($G1398="",0,$G1398))</f>
        <v/>
      </c>
      <c r="J1398" s="23">
        <f>IF($L1398="","",IF(INDEX(ExpNote,$L1398)="","—",INDEX(ExpNote,$L1398)))</f>
        <v/>
      </c>
      <c r="L1398">
        <f>IFERROR(MATCH($C$5&amp;"|"&amp;RIGHT("000000"&amp;1382,6),ExpRankKey,0),"")</f>
        <v/>
      </c>
    </row>
    <row r="1399">
      <c r="A1399" s="16" t="n">
        <v>1383</v>
      </c>
      <c r="B1399" s="17">
        <f>IF($L1399="","",INDEX(ExpNorm,$L1399))</f>
        <v/>
      </c>
      <c r="C1399" s="17">
        <f>IF($L1399="","",IF(INDEX(ExpTime,$L1399)="","—",LEFT(INDEX(ExpTime,$L1399),2)&amp;":"&amp;RIGHT(INDEX(ExpTime,$L1399),2)))</f>
        <v/>
      </c>
      <c r="D1399" s="17">
        <f>IF($L1399="","",IF(INDEX(ExpBank,$L1399)="","—",INDEX(ExpBank,$L1399)))</f>
        <v/>
      </c>
      <c r="E1399" s="18">
        <f>IF($L1399="","",IF(INDEX(ExpParty,$L1399)="","—",IFERROR(VLOOKUP(INDEX(ExpParty,$L1399),AcctTbl,4,0),INDEX(ExpParty,$L1399))))</f>
        <v/>
      </c>
      <c r="F1399" s="17">
        <f>IF($L1399="","",IF(INDEX(ExpType,$L1399)="","—",INDEX(ExpType,$L1399)))</f>
        <v/>
      </c>
      <c r="G1399" s="19">
        <f>IF($L1399="","",IF(INDEX(ExpDep,$L1399)=0,"",INDEX(ExpDep,$L1399)))</f>
        <v/>
      </c>
      <c r="H1399" s="19">
        <f>IF($L1399="","",IF(INDEX(ExpWit,$L1399)=0,"",INDEX(ExpWit,$L1399)))</f>
        <v/>
      </c>
      <c r="I1399" s="20">
        <f>IF($B1399="","",IF($I1398="",0,$I1398)+IF($H1399="",0,$H1399)-IF($G1399="",0,$G1399))</f>
        <v/>
      </c>
      <c r="J1399" s="18">
        <f>IF($L1399="","",IF(INDEX(ExpNote,$L1399)="","—",INDEX(ExpNote,$L1399)))</f>
        <v/>
      </c>
      <c r="L1399">
        <f>IFERROR(MATCH($C$5&amp;"|"&amp;RIGHT("000000"&amp;1383,6),ExpRankKey,0),"")</f>
        <v/>
      </c>
    </row>
    <row r="1400">
      <c r="A1400" s="21" t="n">
        <v>1384</v>
      </c>
      <c r="B1400" s="22">
        <f>IF($L1400="","",INDEX(ExpNorm,$L1400))</f>
        <v/>
      </c>
      <c r="C1400" s="22">
        <f>IF($L1400="","",IF(INDEX(ExpTime,$L1400)="","—",LEFT(INDEX(ExpTime,$L1400),2)&amp;":"&amp;RIGHT(INDEX(ExpTime,$L1400),2)))</f>
        <v/>
      </c>
      <c r="D1400" s="22">
        <f>IF($L1400="","",IF(INDEX(ExpBank,$L1400)="","—",INDEX(ExpBank,$L1400)))</f>
        <v/>
      </c>
      <c r="E1400" s="23">
        <f>IF($L1400="","",IF(INDEX(ExpParty,$L1400)="","—",IFERROR(VLOOKUP(INDEX(ExpParty,$L1400),AcctTbl,4,0),INDEX(ExpParty,$L1400))))</f>
        <v/>
      </c>
      <c r="F1400" s="22">
        <f>IF($L1400="","",IF(INDEX(ExpType,$L1400)="","—",INDEX(ExpType,$L1400)))</f>
        <v/>
      </c>
      <c r="G1400" s="24">
        <f>IF($L1400="","",IF(INDEX(ExpDep,$L1400)=0,"",INDEX(ExpDep,$L1400)))</f>
        <v/>
      </c>
      <c r="H1400" s="24">
        <f>IF($L1400="","",IF(INDEX(ExpWit,$L1400)=0,"",INDEX(ExpWit,$L1400)))</f>
        <v/>
      </c>
      <c r="I1400" s="25">
        <f>IF($B1400="","",IF($I1399="",0,$I1399)+IF($H1400="",0,$H1400)-IF($G1400="",0,$G1400))</f>
        <v/>
      </c>
      <c r="J1400" s="23">
        <f>IF($L1400="","",IF(INDEX(ExpNote,$L1400)="","—",INDEX(ExpNote,$L1400)))</f>
        <v/>
      </c>
      <c r="L1400">
        <f>IFERROR(MATCH($C$5&amp;"|"&amp;RIGHT("000000"&amp;1384,6),ExpRankKey,0),"")</f>
        <v/>
      </c>
    </row>
    <row r="1401">
      <c r="A1401" s="16" t="n">
        <v>1385</v>
      </c>
      <c r="B1401" s="17">
        <f>IF($L1401="","",INDEX(ExpNorm,$L1401))</f>
        <v/>
      </c>
      <c r="C1401" s="17">
        <f>IF($L1401="","",IF(INDEX(ExpTime,$L1401)="","—",LEFT(INDEX(ExpTime,$L1401),2)&amp;":"&amp;RIGHT(INDEX(ExpTime,$L1401),2)))</f>
        <v/>
      </c>
      <c r="D1401" s="17">
        <f>IF($L1401="","",IF(INDEX(ExpBank,$L1401)="","—",INDEX(ExpBank,$L1401)))</f>
        <v/>
      </c>
      <c r="E1401" s="18">
        <f>IF($L1401="","",IF(INDEX(ExpParty,$L1401)="","—",IFERROR(VLOOKUP(INDEX(ExpParty,$L1401),AcctTbl,4,0),INDEX(ExpParty,$L1401))))</f>
        <v/>
      </c>
      <c r="F1401" s="17">
        <f>IF($L1401="","",IF(INDEX(ExpType,$L1401)="","—",INDEX(ExpType,$L1401)))</f>
        <v/>
      </c>
      <c r="G1401" s="19">
        <f>IF($L1401="","",IF(INDEX(ExpDep,$L1401)=0,"",INDEX(ExpDep,$L1401)))</f>
        <v/>
      </c>
      <c r="H1401" s="19">
        <f>IF($L1401="","",IF(INDEX(ExpWit,$L1401)=0,"",INDEX(ExpWit,$L1401)))</f>
        <v/>
      </c>
      <c r="I1401" s="20">
        <f>IF($B1401="","",IF($I1400="",0,$I1400)+IF($H1401="",0,$H1401)-IF($G1401="",0,$G1401))</f>
        <v/>
      </c>
      <c r="J1401" s="18">
        <f>IF($L1401="","",IF(INDEX(ExpNote,$L1401)="","—",INDEX(ExpNote,$L1401)))</f>
        <v/>
      </c>
      <c r="L1401">
        <f>IFERROR(MATCH($C$5&amp;"|"&amp;RIGHT("000000"&amp;1385,6),ExpRankKey,0),"")</f>
        <v/>
      </c>
    </row>
    <row r="1402">
      <c r="A1402" s="21" t="n">
        <v>1386</v>
      </c>
      <c r="B1402" s="22">
        <f>IF($L1402="","",INDEX(ExpNorm,$L1402))</f>
        <v/>
      </c>
      <c r="C1402" s="22">
        <f>IF($L1402="","",IF(INDEX(ExpTime,$L1402)="","—",LEFT(INDEX(ExpTime,$L1402),2)&amp;":"&amp;RIGHT(INDEX(ExpTime,$L1402),2)))</f>
        <v/>
      </c>
      <c r="D1402" s="22">
        <f>IF($L1402="","",IF(INDEX(ExpBank,$L1402)="","—",INDEX(ExpBank,$L1402)))</f>
        <v/>
      </c>
      <c r="E1402" s="23">
        <f>IF($L1402="","",IF(INDEX(ExpParty,$L1402)="","—",IFERROR(VLOOKUP(INDEX(ExpParty,$L1402),AcctTbl,4,0),INDEX(ExpParty,$L1402))))</f>
        <v/>
      </c>
      <c r="F1402" s="22">
        <f>IF($L1402="","",IF(INDEX(ExpType,$L1402)="","—",INDEX(ExpType,$L1402)))</f>
        <v/>
      </c>
      <c r="G1402" s="24">
        <f>IF($L1402="","",IF(INDEX(ExpDep,$L1402)=0,"",INDEX(ExpDep,$L1402)))</f>
        <v/>
      </c>
      <c r="H1402" s="24">
        <f>IF($L1402="","",IF(INDEX(ExpWit,$L1402)=0,"",INDEX(ExpWit,$L1402)))</f>
        <v/>
      </c>
      <c r="I1402" s="25">
        <f>IF($B1402="","",IF($I1401="",0,$I1401)+IF($H1402="",0,$H1402)-IF($G1402="",0,$G1402))</f>
        <v/>
      </c>
      <c r="J1402" s="23">
        <f>IF($L1402="","",IF(INDEX(ExpNote,$L1402)="","—",INDEX(ExpNote,$L1402)))</f>
        <v/>
      </c>
      <c r="L1402">
        <f>IFERROR(MATCH($C$5&amp;"|"&amp;RIGHT("000000"&amp;1386,6),ExpRankKey,0),"")</f>
        <v/>
      </c>
    </row>
    <row r="1403">
      <c r="A1403" s="16" t="n">
        <v>1387</v>
      </c>
      <c r="B1403" s="17">
        <f>IF($L1403="","",INDEX(ExpNorm,$L1403))</f>
        <v/>
      </c>
      <c r="C1403" s="17">
        <f>IF($L1403="","",IF(INDEX(ExpTime,$L1403)="","—",LEFT(INDEX(ExpTime,$L1403),2)&amp;":"&amp;RIGHT(INDEX(ExpTime,$L1403),2)))</f>
        <v/>
      </c>
      <c r="D1403" s="17">
        <f>IF($L1403="","",IF(INDEX(ExpBank,$L1403)="","—",INDEX(ExpBank,$L1403)))</f>
        <v/>
      </c>
      <c r="E1403" s="18">
        <f>IF($L1403="","",IF(INDEX(ExpParty,$L1403)="","—",IFERROR(VLOOKUP(INDEX(ExpParty,$L1403),AcctTbl,4,0),INDEX(ExpParty,$L1403))))</f>
        <v/>
      </c>
      <c r="F1403" s="17">
        <f>IF($L1403="","",IF(INDEX(ExpType,$L1403)="","—",INDEX(ExpType,$L1403)))</f>
        <v/>
      </c>
      <c r="G1403" s="19">
        <f>IF($L1403="","",IF(INDEX(ExpDep,$L1403)=0,"",INDEX(ExpDep,$L1403)))</f>
        <v/>
      </c>
      <c r="H1403" s="19">
        <f>IF($L1403="","",IF(INDEX(ExpWit,$L1403)=0,"",INDEX(ExpWit,$L1403)))</f>
        <v/>
      </c>
      <c r="I1403" s="20">
        <f>IF($B1403="","",IF($I1402="",0,$I1402)+IF($H1403="",0,$H1403)-IF($G1403="",0,$G1403))</f>
        <v/>
      </c>
      <c r="J1403" s="18">
        <f>IF($L1403="","",IF(INDEX(ExpNote,$L1403)="","—",INDEX(ExpNote,$L1403)))</f>
        <v/>
      </c>
      <c r="L1403">
        <f>IFERROR(MATCH($C$5&amp;"|"&amp;RIGHT("000000"&amp;1387,6),ExpRankKey,0),"")</f>
        <v/>
      </c>
    </row>
    <row r="1404">
      <c r="A1404" s="21" t="n">
        <v>1388</v>
      </c>
      <c r="B1404" s="22">
        <f>IF($L1404="","",INDEX(ExpNorm,$L1404))</f>
        <v/>
      </c>
      <c r="C1404" s="22">
        <f>IF($L1404="","",IF(INDEX(ExpTime,$L1404)="","—",LEFT(INDEX(ExpTime,$L1404),2)&amp;":"&amp;RIGHT(INDEX(ExpTime,$L1404),2)))</f>
        <v/>
      </c>
      <c r="D1404" s="22">
        <f>IF($L1404="","",IF(INDEX(ExpBank,$L1404)="","—",INDEX(ExpBank,$L1404)))</f>
        <v/>
      </c>
      <c r="E1404" s="23">
        <f>IF($L1404="","",IF(INDEX(ExpParty,$L1404)="","—",IFERROR(VLOOKUP(INDEX(ExpParty,$L1404),AcctTbl,4,0),INDEX(ExpParty,$L1404))))</f>
        <v/>
      </c>
      <c r="F1404" s="22">
        <f>IF($L1404="","",IF(INDEX(ExpType,$L1404)="","—",INDEX(ExpType,$L1404)))</f>
        <v/>
      </c>
      <c r="G1404" s="24">
        <f>IF($L1404="","",IF(INDEX(ExpDep,$L1404)=0,"",INDEX(ExpDep,$L1404)))</f>
        <v/>
      </c>
      <c r="H1404" s="24">
        <f>IF($L1404="","",IF(INDEX(ExpWit,$L1404)=0,"",INDEX(ExpWit,$L1404)))</f>
        <v/>
      </c>
      <c r="I1404" s="25">
        <f>IF($B1404="","",IF($I1403="",0,$I1403)+IF($H1404="",0,$H1404)-IF($G1404="",0,$G1404))</f>
        <v/>
      </c>
      <c r="J1404" s="23">
        <f>IF($L1404="","",IF(INDEX(ExpNote,$L1404)="","—",INDEX(ExpNote,$L1404)))</f>
        <v/>
      </c>
      <c r="L1404">
        <f>IFERROR(MATCH($C$5&amp;"|"&amp;RIGHT("000000"&amp;1388,6),ExpRankKey,0),"")</f>
        <v/>
      </c>
    </row>
    <row r="1405">
      <c r="A1405" s="16" t="n">
        <v>1389</v>
      </c>
      <c r="B1405" s="17">
        <f>IF($L1405="","",INDEX(ExpNorm,$L1405))</f>
        <v/>
      </c>
      <c r="C1405" s="17">
        <f>IF($L1405="","",IF(INDEX(ExpTime,$L1405)="","—",LEFT(INDEX(ExpTime,$L1405),2)&amp;":"&amp;RIGHT(INDEX(ExpTime,$L1405),2)))</f>
        <v/>
      </c>
      <c r="D1405" s="17">
        <f>IF($L1405="","",IF(INDEX(ExpBank,$L1405)="","—",INDEX(ExpBank,$L1405)))</f>
        <v/>
      </c>
      <c r="E1405" s="18">
        <f>IF($L1405="","",IF(INDEX(ExpParty,$L1405)="","—",IFERROR(VLOOKUP(INDEX(ExpParty,$L1405),AcctTbl,4,0),INDEX(ExpParty,$L1405))))</f>
        <v/>
      </c>
      <c r="F1405" s="17">
        <f>IF($L1405="","",IF(INDEX(ExpType,$L1405)="","—",INDEX(ExpType,$L1405)))</f>
        <v/>
      </c>
      <c r="G1405" s="19">
        <f>IF($L1405="","",IF(INDEX(ExpDep,$L1405)=0,"",INDEX(ExpDep,$L1405)))</f>
        <v/>
      </c>
      <c r="H1405" s="19">
        <f>IF($L1405="","",IF(INDEX(ExpWit,$L1405)=0,"",INDEX(ExpWit,$L1405)))</f>
        <v/>
      </c>
      <c r="I1405" s="20">
        <f>IF($B1405="","",IF($I1404="",0,$I1404)+IF($H1405="",0,$H1405)-IF($G1405="",0,$G1405))</f>
        <v/>
      </c>
      <c r="J1405" s="18">
        <f>IF($L1405="","",IF(INDEX(ExpNote,$L1405)="","—",INDEX(ExpNote,$L1405)))</f>
        <v/>
      </c>
      <c r="L1405">
        <f>IFERROR(MATCH($C$5&amp;"|"&amp;RIGHT("000000"&amp;1389,6),ExpRankKey,0),"")</f>
        <v/>
      </c>
    </row>
    <row r="1406">
      <c r="A1406" s="21" t="n">
        <v>1390</v>
      </c>
      <c r="B1406" s="22">
        <f>IF($L1406="","",INDEX(ExpNorm,$L1406))</f>
        <v/>
      </c>
      <c r="C1406" s="22">
        <f>IF($L1406="","",IF(INDEX(ExpTime,$L1406)="","—",LEFT(INDEX(ExpTime,$L1406),2)&amp;":"&amp;RIGHT(INDEX(ExpTime,$L1406),2)))</f>
        <v/>
      </c>
      <c r="D1406" s="22">
        <f>IF($L1406="","",IF(INDEX(ExpBank,$L1406)="","—",INDEX(ExpBank,$L1406)))</f>
        <v/>
      </c>
      <c r="E1406" s="23">
        <f>IF($L1406="","",IF(INDEX(ExpParty,$L1406)="","—",IFERROR(VLOOKUP(INDEX(ExpParty,$L1406),AcctTbl,4,0),INDEX(ExpParty,$L1406))))</f>
        <v/>
      </c>
      <c r="F1406" s="22">
        <f>IF($L1406="","",IF(INDEX(ExpType,$L1406)="","—",INDEX(ExpType,$L1406)))</f>
        <v/>
      </c>
      <c r="G1406" s="24">
        <f>IF($L1406="","",IF(INDEX(ExpDep,$L1406)=0,"",INDEX(ExpDep,$L1406)))</f>
        <v/>
      </c>
      <c r="H1406" s="24">
        <f>IF($L1406="","",IF(INDEX(ExpWit,$L1406)=0,"",INDEX(ExpWit,$L1406)))</f>
        <v/>
      </c>
      <c r="I1406" s="25">
        <f>IF($B1406="","",IF($I1405="",0,$I1405)+IF($H1406="",0,$H1406)-IF($G1406="",0,$G1406))</f>
        <v/>
      </c>
      <c r="J1406" s="23">
        <f>IF($L1406="","",IF(INDEX(ExpNote,$L1406)="","—",INDEX(ExpNote,$L1406)))</f>
        <v/>
      </c>
      <c r="L1406">
        <f>IFERROR(MATCH($C$5&amp;"|"&amp;RIGHT("000000"&amp;1390,6),ExpRankKey,0),"")</f>
        <v/>
      </c>
    </row>
    <row r="1407">
      <c r="A1407" s="16" t="n">
        <v>1391</v>
      </c>
      <c r="B1407" s="17">
        <f>IF($L1407="","",INDEX(ExpNorm,$L1407))</f>
        <v/>
      </c>
      <c r="C1407" s="17">
        <f>IF($L1407="","",IF(INDEX(ExpTime,$L1407)="","—",LEFT(INDEX(ExpTime,$L1407),2)&amp;":"&amp;RIGHT(INDEX(ExpTime,$L1407),2)))</f>
        <v/>
      </c>
      <c r="D1407" s="17">
        <f>IF($L1407="","",IF(INDEX(ExpBank,$L1407)="","—",INDEX(ExpBank,$L1407)))</f>
        <v/>
      </c>
      <c r="E1407" s="18">
        <f>IF($L1407="","",IF(INDEX(ExpParty,$L1407)="","—",IFERROR(VLOOKUP(INDEX(ExpParty,$L1407),AcctTbl,4,0),INDEX(ExpParty,$L1407))))</f>
        <v/>
      </c>
      <c r="F1407" s="17">
        <f>IF($L1407="","",IF(INDEX(ExpType,$L1407)="","—",INDEX(ExpType,$L1407)))</f>
        <v/>
      </c>
      <c r="G1407" s="19">
        <f>IF($L1407="","",IF(INDEX(ExpDep,$L1407)=0,"",INDEX(ExpDep,$L1407)))</f>
        <v/>
      </c>
      <c r="H1407" s="19">
        <f>IF($L1407="","",IF(INDEX(ExpWit,$L1407)=0,"",INDEX(ExpWit,$L1407)))</f>
        <v/>
      </c>
      <c r="I1407" s="20">
        <f>IF($B1407="","",IF($I1406="",0,$I1406)+IF($H1407="",0,$H1407)-IF($G1407="",0,$G1407))</f>
        <v/>
      </c>
      <c r="J1407" s="18">
        <f>IF($L1407="","",IF(INDEX(ExpNote,$L1407)="","—",INDEX(ExpNote,$L1407)))</f>
        <v/>
      </c>
      <c r="L1407">
        <f>IFERROR(MATCH($C$5&amp;"|"&amp;RIGHT("000000"&amp;1391,6),ExpRankKey,0),"")</f>
        <v/>
      </c>
    </row>
    <row r="1408">
      <c r="A1408" s="21" t="n">
        <v>1392</v>
      </c>
      <c r="B1408" s="22">
        <f>IF($L1408="","",INDEX(ExpNorm,$L1408))</f>
        <v/>
      </c>
      <c r="C1408" s="22">
        <f>IF($L1408="","",IF(INDEX(ExpTime,$L1408)="","—",LEFT(INDEX(ExpTime,$L1408),2)&amp;":"&amp;RIGHT(INDEX(ExpTime,$L1408),2)))</f>
        <v/>
      </c>
      <c r="D1408" s="22">
        <f>IF($L1408="","",IF(INDEX(ExpBank,$L1408)="","—",INDEX(ExpBank,$L1408)))</f>
        <v/>
      </c>
      <c r="E1408" s="23">
        <f>IF($L1408="","",IF(INDEX(ExpParty,$L1408)="","—",IFERROR(VLOOKUP(INDEX(ExpParty,$L1408),AcctTbl,4,0),INDEX(ExpParty,$L1408))))</f>
        <v/>
      </c>
      <c r="F1408" s="22">
        <f>IF($L1408="","",IF(INDEX(ExpType,$L1408)="","—",INDEX(ExpType,$L1408)))</f>
        <v/>
      </c>
      <c r="G1408" s="24">
        <f>IF($L1408="","",IF(INDEX(ExpDep,$L1408)=0,"",INDEX(ExpDep,$L1408)))</f>
        <v/>
      </c>
      <c r="H1408" s="24">
        <f>IF($L1408="","",IF(INDEX(ExpWit,$L1408)=0,"",INDEX(ExpWit,$L1408)))</f>
        <v/>
      </c>
      <c r="I1408" s="25">
        <f>IF($B1408="","",IF($I1407="",0,$I1407)+IF($H1408="",0,$H1408)-IF($G1408="",0,$G1408))</f>
        <v/>
      </c>
      <c r="J1408" s="23">
        <f>IF($L1408="","",IF(INDEX(ExpNote,$L1408)="","—",INDEX(ExpNote,$L1408)))</f>
        <v/>
      </c>
      <c r="L1408">
        <f>IFERROR(MATCH($C$5&amp;"|"&amp;RIGHT("000000"&amp;1392,6),ExpRankKey,0),"")</f>
        <v/>
      </c>
    </row>
    <row r="1409">
      <c r="A1409" s="16" t="n">
        <v>1393</v>
      </c>
      <c r="B1409" s="17">
        <f>IF($L1409="","",INDEX(ExpNorm,$L1409))</f>
        <v/>
      </c>
      <c r="C1409" s="17">
        <f>IF($L1409="","",IF(INDEX(ExpTime,$L1409)="","—",LEFT(INDEX(ExpTime,$L1409),2)&amp;":"&amp;RIGHT(INDEX(ExpTime,$L1409),2)))</f>
        <v/>
      </c>
      <c r="D1409" s="17">
        <f>IF($L1409="","",IF(INDEX(ExpBank,$L1409)="","—",INDEX(ExpBank,$L1409)))</f>
        <v/>
      </c>
      <c r="E1409" s="18">
        <f>IF($L1409="","",IF(INDEX(ExpParty,$L1409)="","—",IFERROR(VLOOKUP(INDEX(ExpParty,$L1409),AcctTbl,4,0),INDEX(ExpParty,$L1409))))</f>
        <v/>
      </c>
      <c r="F1409" s="17">
        <f>IF($L1409="","",IF(INDEX(ExpType,$L1409)="","—",INDEX(ExpType,$L1409)))</f>
        <v/>
      </c>
      <c r="G1409" s="19">
        <f>IF($L1409="","",IF(INDEX(ExpDep,$L1409)=0,"",INDEX(ExpDep,$L1409)))</f>
        <v/>
      </c>
      <c r="H1409" s="19">
        <f>IF($L1409="","",IF(INDEX(ExpWit,$L1409)=0,"",INDEX(ExpWit,$L1409)))</f>
        <v/>
      </c>
      <c r="I1409" s="20">
        <f>IF($B1409="","",IF($I1408="",0,$I1408)+IF($H1409="",0,$H1409)-IF($G1409="",0,$G1409))</f>
        <v/>
      </c>
      <c r="J1409" s="18">
        <f>IF($L1409="","",IF(INDEX(ExpNote,$L1409)="","—",INDEX(ExpNote,$L1409)))</f>
        <v/>
      </c>
      <c r="L1409">
        <f>IFERROR(MATCH($C$5&amp;"|"&amp;RIGHT("000000"&amp;1393,6),ExpRankKey,0),"")</f>
        <v/>
      </c>
    </row>
    <row r="1410">
      <c r="A1410" s="21" t="n">
        <v>1394</v>
      </c>
      <c r="B1410" s="22">
        <f>IF($L1410="","",INDEX(ExpNorm,$L1410))</f>
        <v/>
      </c>
      <c r="C1410" s="22">
        <f>IF($L1410="","",IF(INDEX(ExpTime,$L1410)="","—",LEFT(INDEX(ExpTime,$L1410),2)&amp;":"&amp;RIGHT(INDEX(ExpTime,$L1410),2)))</f>
        <v/>
      </c>
      <c r="D1410" s="22">
        <f>IF($L1410="","",IF(INDEX(ExpBank,$L1410)="","—",INDEX(ExpBank,$L1410)))</f>
        <v/>
      </c>
      <c r="E1410" s="23">
        <f>IF($L1410="","",IF(INDEX(ExpParty,$L1410)="","—",IFERROR(VLOOKUP(INDEX(ExpParty,$L1410),AcctTbl,4,0),INDEX(ExpParty,$L1410))))</f>
        <v/>
      </c>
      <c r="F1410" s="22">
        <f>IF($L1410="","",IF(INDEX(ExpType,$L1410)="","—",INDEX(ExpType,$L1410)))</f>
        <v/>
      </c>
      <c r="G1410" s="24">
        <f>IF($L1410="","",IF(INDEX(ExpDep,$L1410)=0,"",INDEX(ExpDep,$L1410)))</f>
        <v/>
      </c>
      <c r="H1410" s="24">
        <f>IF($L1410="","",IF(INDEX(ExpWit,$L1410)=0,"",INDEX(ExpWit,$L1410)))</f>
        <v/>
      </c>
      <c r="I1410" s="25">
        <f>IF($B1410="","",IF($I1409="",0,$I1409)+IF($H1410="",0,$H1410)-IF($G1410="",0,$G1410))</f>
        <v/>
      </c>
      <c r="J1410" s="23">
        <f>IF($L1410="","",IF(INDEX(ExpNote,$L1410)="","—",INDEX(ExpNote,$L1410)))</f>
        <v/>
      </c>
      <c r="L1410">
        <f>IFERROR(MATCH($C$5&amp;"|"&amp;RIGHT("000000"&amp;1394,6),ExpRankKey,0),"")</f>
        <v/>
      </c>
    </row>
    <row r="1411">
      <c r="A1411" s="16" t="n">
        <v>1395</v>
      </c>
      <c r="B1411" s="17">
        <f>IF($L1411="","",INDEX(ExpNorm,$L1411))</f>
        <v/>
      </c>
      <c r="C1411" s="17">
        <f>IF($L1411="","",IF(INDEX(ExpTime,$L1411)="","—",LEFT(INDEX(ExpTime,$L1411),2)&amp;":"&amp;RIGHT(INDEX(ExpTime,$L1411),2)))</f>
        <v/>
      </c>
      <c r="D1411" s="17">
        <f>IF($L1411="","",IF(INDEX(ExpBank,$L1411)="","—",INDEX(ExpBank,$L1411)))</f>
        <v/>
      </c>
      <c r="E1411" s="18">
        <f>IF($L1411="","",IF(INDEX(ExpParty,$L1411)="","—",IFERROR(VLOOKUP(INDEX(ExpParty,$L1411),AcctTbl,4,0),INDEX(ExpParty,$L1411))))</f>
        <v/>
      </c>
      <c r="F1411" s="17">
        <f>IF($L1411="","",IF(INDEX(ExpType,$L1411)="","—",INDEX(ExpType,$L1411)))</f>
        <v/>
      </c>
      <c r="G1411" s="19">
        <f>IF($L1411="","",IF(INDEX(ExpDep,$L1411)=0,"",INDEX(ExpDep,$L1411)))</f>
        <v/>
      </c>
      <c r="H1411" s="19">
        <f>IF($L1411="","",IF(INDEX(ExpWit,$L1411)=0,"",INDEX(ExpWit,$L1411)))</f>
        <v/>
      </c>
      <c r="I1411" s="20">
        <f>IF($B1411="","",IF($I1410="",0,$I1410)+IF($H1411="",0,$H1411)-IF($G1411="",0,$G1411))</f>
        <v/>
      </c>
      <c r="J1411" s="18">
        <f>IF($L1411="","",IF(INDEX(ExpNote,$L1411)="","—",INDEX(ExpNote,$L1411)))</f>
        <v/>
      </c>
      <c r="L1411">
        <f>IFERROR(MATCH($C$5&amp;"|"&amp;RIGHT("000000"&amp;1395,6),ExpRankKey,0),"")</f>
        <v/>
      </c>
    </row>
    <row r="1412">
      <c r="A1412" s="21" t="n">
        <v>1396</v>
      </c>
      <c r="B1412" s="22">
        <f>IF($L1412="","",INDEX(ExpNorm,$L1412))</f>
        <v/>
      </c>
      <c r="C1412" s="22">
        <f>IF($L1412="","",IF(INDEX(ExpTime,$L1412)="","—",LEFT(INDEX(ExpTime,$L1412),2)&amp;":"&amp;RIGHT(INDEX(ExpTime,$L1412),2)))</f>
        <v/>
      </c>
      <c r="D1412" s="22">
        <f>IF($L1412="","",IF(INDEX(ExpBank,$L1412)="","—",INDEX(ExpBank,$L1412)))</f>
        <v/>
      </c>
      <c r="E1412" s="23">
        <f>IF($L1412="","",IF(INDEX(ExpParty,$L1412)="","—",IFERROR(VLOOKUP(INDEX(ExpParty,$L1412),AcctTbl,4,0),INDEX(ExpParty,$L1412))))</f>
        <v/>
      </c>
      <c r="F1412" s="22">
        <f>IF($L1412="","",IF(INDEX(ExpType,$L1412)="","—",INDEX(ExpType,$L1412)))</f>
        <v/>
      </c>
      <c r="G1412" s="24">
        <f>IF($L1412="","",IF(INDEX(ExpDep,$L1412)=0,"",INDEX(ExpDep,$L1412)))</f>
        <v/>
      </c>
      <c r="H1412" s="24">
        <f>IF($L1412="","",IF(INDEX(ExpWit,$L1412)=0,"",INDEX(ExpWit,$L1412)))</f>
        <v/>
      </c>
      <c r="I1412" s="25">
        <f>IF($B1412="","",IF($I1411="",0,$I1411)+IF($H1412="",0,$H1412)-IF($G1412="",0,$G1412))</f>
        <v/>
      </c>
      <c r="J1412" s="23">
        <f>IF($L1412="","",IF(INDEX(ExpNote,$L1412)="","—",INDEX(ExpNote,$L1412)))</f>
        <v/>
      </c>
      <c r="L1412">
        <f>IFERROR(MATCH($C$5&amp;"|"&amp;RIGHT("000000"&amp;1396,6),ExpRankKey,0),"")</f>
        <v/>
      </c>
    </row>
    <row r="1413">
      <c r="A1413" s="16" t="n">
        <v>1397</v>
      </c>
      <c r="B1413" s="17">
        <f>IF($L1413="","",INDEX(ExpNorm,$L1413))</f>
        <v/>
      </c>
      <c r="C1413" s="17">
        <f>IF($L1413="","",IF(INDEX(ExpTime,$L1413)="","—",LEFT(INDEX(ExpTime,$L1413),2)&amp;":"&amp;RIGHT(INDEX(ExpTime,$L1413),2)))</f>
        <v/>
      </c>
      <c r="D1413" s="17">
        <f>IF($L1413="","",IF(INDEX(ExpBank,$L1413)="","—",INDEX(ExpBank,$L1413)))</f>
        <v/>
      </c>
      <c r="E1413" s="18">
        <f>IF($L1413="","",IF(INDEX(ExpParty,$L1413)="","—",IFERROR(VLOOKUP(INDEX(ExpParty,$L1413),AcctTbl,4,0),INDEX(ExpParty,$L1413))))</f>
        <v/>
      </c>
      <c r="F1413" s="17">
        <f>IF($L1413="","",IF(INDEX(ExpType,$L1413)="","—",INDEX(ExpType,$L1413)))</f>
        <v/>
      </c>
      <c r="G1413" s="19">
        <f>IF($L1413="","",IF(INDEX(ExpDep,$L1413)=0,"",INDEX(ExpDep,$L1413)))</f>
        <v/>
      </c>
      <c r="H1413" s="19">
        <f>IF($L1413="","",IF(INDEX(ExpWit,$L1413)=0,"",INDEX(ExpWit,$L1413)))</f>
        <v/>
      </c>
      <c r="I1413" s="20">
        <f>IF($B1413="","",IF($I1412="",0,$I1412)+IF($H1413="",0,$H1413)-IF($G1413="",0,$G1413))</f>
        <v/>
      </c>
      <c r="J1413" s="18">
        <f>IF($L1413="","",IF(INDEX(ExpNote,$L1413)="","—",INDEX(ExpNote,$L1413)))</f>
        <v/>
      </c>
      <c r="L1413">
        <f>IFERROR(MATCH($C$5&amp;"|"&amp;RIGHT("000000"&amp;1397,6),ExpRankKey,0),"")</f>
        <v/>
      </c>
    </row>
    <row r="1414">
      <c r="A1414" s="21" t="n">
        <v>1398</v>
      </c>
      <c r="B1414" s="22">
        <f>IF($L1414="","",INDEX(ExpNorm,$L1414))</f>
        <v/>
      </c>
      <c r="C1414" s="22">
        <f>IF($L1414="","",IF(INDEX(ExpTime,$L1414)="","—",LEFT(INDEX(ExpTime,$L1414),2)&amp;":"&amp;RIGHT(INDEX(ExpTime,$L1414),2)))</f>
        <v/>
      </c>
      <c r="D1414" s="22">
        <f>IF($L1414="","",IF(INDEX(ExpBank,$L1414)="","—",INDEX(ExpBank,$L1414)))</f>
        <v/>
      </c>
      <c r="E1414" s="23">
        <f>IF($L1414="","",IF(INDEX(ExpParty,$L1414)="","—",IFERROR(VLOOKUP(INDEX(ExpParty,$L1414),AcctTbl,4,0),INDEX(ExpParty,$L1414))))</f>
        <v/>
      </c>
      <c r="F1414" s="22">
        <f>IF($L1414="","",IF(INDEX(ExpType,$L1414)="","—",INDEX(ExpType,$L1414)))</f>
        <v/>
      </c>
      <c r="G1414" s="24">
        <f>IF($L1414="","",IF(INDEX(ExpDep,$L1414)=0,"",INDEX(ExpDep,$L1414)))</f>
        <v/>
      </c>
      <c r="H1414" s="24">
        <f>IF($L1414="","",IF(INDEX(ExpWit,$L1414)=0,"",INDEX(ExpWit,$L1414)))</f>
        <v/>
      </c>
      <c r="I1414" s="25">
        <f>IF($B1414="","",IF($I1413="",0,$I1413)+IF($H1414="",0,$H1414)-IF($G1414="",0,$G1414))</f>
        <v/>
      </c>
      <c r="J1414" s="23">
        <f>IF($L1414="","",IF(INDEX(ExpNote,$L1414)="","—",INDEX(ExpNote,$L1414)))</f>
        <v/>
      </c>
      <c r="L1414">
        <f>IFERROR(MATCH($C$5&amp;"|"&amp;RIGHT("000000"&amp;1398,6),ExpRankKey,0),"")</f>
        <v/>
      </c>
    </row>
    <row r="1415">
      <c r="A1415" s="16" t="n">
        <v>1399</v>
      </c>
      <c r="B1415" s="17">
        <f>IF($L1415="","",INDEX(ExpNorm,$L1415))</f>
        <v/>
      </c>
      <c r="C1415" s="17">
        <f>IF($L1415="","",IF(INDEX(ExpTime,$L1415)="","—",LEFT(INDEX(ExpTime,$L1415),2)&amp;":"&amp;RIGHT(INDEX(ExpTime,$L1415),2)))</f>
        <v/>
      </c>
      <c r="D1415" s="17">
        <f>IF($L1415="","",IF(INDEX(ExpBank,$L1415)="","—",INDEX(ExpBank,$L1415)))</f>
        <v/>
      </c>
      <c r="E1415" s="18">
        <f>IF($L1415="","",IF(INDEX(ExpParty,$L1415)="","—",IFERROR(VLOOKUP(INDEX(ExpParty,$L1415),AcctTbl,4,0),INDEX(ExpParty,$L1415))))</f>
        <v/>
      </c>
      <c r="F1415" s="17">
        <f>IF($L1415="","",IF(INDEX(ExpType,$L1415)="","—",INDEX(ExpType,$L1415)))</f>
        <v/>
      </c>
      <c r="G1415" s="19">
        <f>IF($L1415="","",IF(INDEX(ExpDep,$L1415)=0,"",INDEX(ExpDep,$L1415)))</f>
        <v/>
      </c>
      <c r="H1415" s="19">
        <f>IF($L1415="","",IF(INDEX(ExpWit,$L1415)=0,"",INDEX(ExpWit,$L1415)))</f>
        <v/>
      </c>
      <c r="I1415" s="20">
        <f>IF($B1415="","",IF($I1414="",0,$I1414)+IF($H1415="",0,$H1415)-IF($G1415="",0,$G1415))</f>
        <v/>
      </c>
      <c r="J1415" s="18">
        <f>IF($L1415="","",IF(INDEX(ExpNote,$L1415)="","—",INDEX(ExpNote,$L1415)))</f>
        <v/>
      </c>
      <c r="L1415">
        <f>IFERROR(MATCH($C$5&amp;"|"&amp;RIGHT("000000"&amp;1399,6),ExpRankKey,0),"")</f>
        <v/>
      </c>
    </row>
    <row r="1416">
      <c r="A1416" s="21" t="n">
        <v>1400</v>
      </c>
      <c r="B1416" s="22">
        <f>IF($L1416="","",INDEX(ExpNorm,$L1416))</f>
        <v/>
      </c>
      <c r="C1416" s="22">
        <f>IF($L1416="","",IF(INDEX(ExpTime,$L1416)="","—",LEFT(INDEX(ExpTime,$L1416),2)&amp;":"&amp;RIGHT(INDEX(ExpTime,$L1416),2)))</f>
        <v/>
      </c>
      <c r="D1416" s="22">
        <f>IF($L1416="","",IF(INDEX(ExpBank,$L1416)="","—",INDEX(ExpBank,$L1416)))</f>
        <v/>
      </c>
      <c r="E1416" s="23">
        <f>IF($L1416="","",IF(INDEX(ExpParty,$L1416)="","—",IFERROR(VLOOKUP(INDEX(ExpParty,$L1416),AcctTbl,4,0),INDEX(ExpParty,$L1416))))</f>
        <v/>
      </c>
      <c r="F1416" s="22">
        <f>IF($L1416="","",IF(INDEX(ExpType,$L1416)="","—",INDEX(ExpType,$L1416)))</f>
        <v/>
      </c>
      <c r="G1416" s="24">
        <f>IF($L1416="","",IF(INDEX(ExpDep,$L1416)=0,"",INDEX(ExpDep,$L1416)))</f>
        <v/>
      </c>
      <c r="H1416" s="24">
        <f>IF($L1416="","",IF(INDEX(ExpWit,$L1416)=0,"",INDEX(ExpWit,$L1416)))</f>
        <v/>
      </c>
      <c r="I1416" s="25">
        <f>IF($B1416="","",IF($I1415="",0,$I1415)+IF($H1416="",0,$H1416)-IF($G1416="",0,$G1416))</f>
        <v/>
      </c>
      <c r="J1416" s="23">
        <f>IF($L1416="","",IF(INDEX(ExpNote,$L1416)="","—",INDEX(ExpNote,$L1416)))</f>
        <v/>
      </c>
      <c r="L1416">
        <f>IFERROR(MATCH($C$5&amp;"|"&amp;RIGHT("000000"&amp;1400,6),ExpRankKey,0),"")</f>
        <v/>
      </c>
    </row>
    <row r="1417">
      <c r="A1417" s="16" t="n">
        <v>1401</v>
      </c>
      <c r="B1417" s="17">
        <f>IF($L1417="","",INDEX(ExpNorm,$L1417))</f>
        <v/>
      </c>
      <c r="C1417" s="17">
        <f>IF($L1417="","",IF(INDEX(ExpTime,$L1417)="","—",LEFT(INDEX(ExpTime,$L1417),2)&amp;":"&amp;RIGHT(INDEX(ExpTime,$L1417),2)))</f>
        <v/>
      </c>
      <c r="D1417" s="17">
        <f>IF($L1417="","",IF(INDEX(ExpBank,$L1417)="","—",INDEX(ExpBank,$L1417)))</f>
        <v/>
      </c>
      <c r="E1417" s="18">
        <f>IF($L1417="","",IF(INDEX(ExpParty,$L1417)="","—",IFERROR(VLOOKUP(INDEX(ExpParty,$L1417),AcctTbl,4,0),INDEX(ExpParty,$L1417))))</f>
        <v/>
      </c>
      <c r="F1417" s="17">
        <f>IF($L1417="","",IF(INDEX(ExpType,$L1417)="","—",INDEX(ExpType,$L1417)))</f>
        <v/>
      </c>
      <c r="G1417" s="19">
        <f>IF($L1417="","",IF(INDEX(ExpDep,$L1417)=0,"",INDEX(ExpDep,$L1417)))</f>
        <v/>
      </c>
      <c r="H1417" s="19">
        <f>IF($L1417="","",IF(INDEX(ExpWit,$L1417)=0,"",INDEX(ExpWit,$L1417)))</f>
        <v/>
      </c>
      <c r="I1417" s="20">
        <f>IF($B1417="","",IF($I1416="",0,$I1416)+IF($H1417="",0,$H1417)-IF($G1417="",0,$G1417))</f>
        <v/>
      </c>
      <c r="J1417" s="18">
        <f>IF($L1417="","",IF(INDEX(ExpNote,$L1417)="","—",INDEX(ExpNote,$L1417)))</f>
        <v/>
      </c>
      <c r="L1417">
        <f>IFERROR(MATCH($C$5&amp;"|"&amp;RIGHT("000000"&amp;1401,6),ExpRankKey,0),"")</f>
        <v/>
      </c>
    </row>
    <row r="1418">
      <c r="A1418" s="21" t="n">
        <v>1402</v>
      </c>
      <c r="B1418" s="22">
        <f>IF($L1418="","",INDEX(ExpNorm,$L1418))</f>
        <v/>
      </c>
      <c r="C1418" s="22">
        <f>IF($L1418="","",IF(INDEX(ExpTime,$L1418)="","—",LEFT(INDEX(ExpTime,$L1418),2)&amp;":"&amp;RIGHT(INDEX(ExpTime,$L1418),2)))</f>
        <v/>
      </c>
      <c r="D1418" s="22">
        <f>IF($L1418="","",IF(INDEX(ExpBank,$L1418)="","—",INDEX(ExpBank,$L1418)))</f>
        <v/>
      </c>
      <c r="E1418" s="23">
        <f>IF($L1418="","",IF(INDEX(ExpParty,$L1418)="","—",IFERROR(VLOOKUP(INDEX(ExpParty,$L1418),AcctTbl,4,0),INDEX(ExpParty,$L1418))))</f>
        <v/>
      </c>
      <c r="F1418" s="22">
        <f>IF($L1418="","",IF(INDEX(ExpType,$L1418)="","—",INDEX(ExpType,$L1418)))</f>
        <v/>
      </c>
      <c r="G1418" s="24">
        <f>IF($L1418="","",IF(INDEX(ExpDep,$L1418)=0,"",INDEX(ExpDep,$L1418)))</f>
        <v/>
      </c>
      <c r="H1418" s="24">
        <f>IF($L1418="","",IF(INDEX(ExpWit,$L1418)=0,"",INDEX(ExpWit,$L1418)))</f>
        <v/>
      </c>
      <c r="I1418" s="25">
        <f>IF($B1418="","",IF($I1417="",0,$I1417)+IF($H1418="",0,$H1418)-IF($G1418="",0,$G1418))</f>
        <v/>
      </c>
      <c r="J1418" s="23">
        <f>IF($L1418="","",IF(INDEX(ExpNote,$L1418)="","—",INDEX(ExpNote,$L1418)))</f>
        <v/>
      </c>
      <c r="L1418">
        <f>IFERROR(MATCH($C$5&amp;"|"&amp;RIGHT("000000"&amp;1402,6),ExpRankKey,0),"")</f>
        <v/>
      </c>
    </row>
    <row r="1419">
      <c r="A1419" s="16" t="n">
        <v>1403</v>
      </c>
      <c r="B1419" s="17">
        <f>IF($L1419="","",INDEX(ExpNorm,$L1419))</f>
        <v/>
      </c>
      <c r="C1419" s="17">
        <f>IF($L1419="","",IF(INDEX(ExpTime,$L1419)="","—",LEFT(INDEX(ExpTime,$L1419),2)&amp;":"&amp;RIGHT(INDEX(ExpTime,$L1419),2)))</f>
        <v/>
      </c>
      <c r="D1419" s="17">
        <f>IF($L1419="","",IF(INDEX(ExpBank,$L1419)="","—",INDEX(ExpBank,$L1419)))</f>
        <v/>
      </c>
      <c r="E1419" s="18">
        <f>IF($L1419="","",IF(INDEX(ExpParty,$L1419)="","—",IFERROR(VLOOKUP(INDEX(ExpParty,$L1419),AcctTbl,4,0),INDEX(ExpParty,$L1419))))</f>
        <v/>
      </c>
      <c r="F1419" s="17">
        <f>IF($L1419="","",IF(INDEX(ExpType,$L1419)="","—",INDEX(ExpType,$L1419)))</f>
        <v/>
      </c>
      <c r="G1419" s="19">
        <f>IF($L1419="","",IF(INDEX(ExpDep,$L1419)=0,"",INDEX(ExpDep,$L1419)))</f>
        <v/>
      </c>
      <c r="H1419" s="19">
        <f>IF($L1419="","",IF(INDEX(ExpWit,$L1419)=0,"",INDEX(ExpWit,$L1419)))</f>
        <v/>
      </c>
      <c r="I1419" s="20">
        <f>IF($B1419="","",IF($I1418="",0,$I1418)+IF($H1419="",0,$H1419)-IF($G1419="",0,$G1419))</f>
        <v/>
      </c>
      <c r="J1419" s="18">
        <f>IF($L1419="","",IF(INDEX(ExpNote,$L1419)="","—",INDEX(ExpNote,$L1419)))</f>
        <v/>
      </c>
      <c r="L1419">
        <f>IFERROR(MATCH($C$5&amp;"|"&amp;RIGHT("000000"&amp;1403,6),ExpRankKey,0),"")</f>
        <v/>
      </c>
    </row>
    <row r="1420">
      <c r="A1420" s="21" t="n">
        <v>1404</v>
      </c>
      <c r="B1420" s="22">
        <f>IF($L1420="","",INDEX(ExpNorm,$L1420))</f>
        <v/>
      </c>
      <c r="C1420" s="22">
        <f>IF($L1420="","",IF(INDEX(ExpTime,$L1420)="","—",LEFT(INDEX(ExpTime,$L1420),2)&amp;":"&amp;RIGHT(INDEX(ExpTime,$L1420),2)))</f>
        <v/>
      </c>
      <c r="D1420" s="22">
        <f>IF($L1420="","",IF(INDEX(ExpBank,$L1420)="","—",INDEX(ExpBank,$L1420)))</f>
        <v/>
      </c>
      <c r="E1420" s="23">
        <f>IF($L1420="","",IF(INDEX(ExpParty,$L1420)="","—",IFERROR(VLOOKUP(INDEX(ExpParty,$L1420),AcctTbl,4,0),INDEX(ExpParty,$L1420))))</f>
        <v/>
      </c>
      <c r="F1420" s="22">
        <f>IF($L1420="","",IF(INDEX(ExpType,$L1420)="","—",INDEX(ExpType,$L1420)))</f>
        <v/>
      </c>
      <c r="G1420" s="24">
        <f>IF($L1420="","",IF(INDEX(ExpDep,$L1420)=0,"",INDEX(ExpDep,$L1420)))</f>
        <v/>
      </c>
      <c r="H1420" s="24">
        <f>IF($L1420="","",IF(INDEX(ExpWit,$L1420)=0,"",INDEX(ExpWit,$L1420)))</f>
        <v/>
      </c>
      <c r="I1420" s="25">
        <f>IF($B1420="","",IF($I1419="",0,$I1419)+IF($H1420="",0,$H1420)-IF($G1420="",0,$G1420))</f>
        <v/>
      </c>
      <c r="J1420" s="23">
        <f>IF($L1420="","",IF(INDEX(ExpNote,$L1420)="","—",INDEX(ExpNote,$L1420)))</f>
        <v/>
      </c>
      <c r="L1420">
        <f>IFERROR(MATCH($C$5&amp;"|"&amp;RIGHT("000000"&amp;1404,6),ExpRankKey,0),"")</f>
        <v/>
      </c>
    </row>
    <row r="1421">
      <c r="A1421" s="16" t="n">
        <v>1405</v>
      </c>
      <c r="B1421" s="17">
        <f>IF($L1421="","",INDEX(ExpNorm,$L1421))</f>
        <v/>
      </c>
      <c r="C1421" s="17">
        <f>IF($L1421="","",IF(INDEX(ExpTime,$L1421)="","—",LEFT(INDEX(ExpTime,$L1421),2)&amp;":"&amp;RIGHT(INDEX(ExpTime,$L1421),2)))</f>
        <v/>
      </c>
      <c r="D1421" s="17">
        <f>IF($L1421="","",IF(INDEX(ExpBank,$L1421)="","—",INDEX(ExpBank,$L1421)))</f>
        <v/>
      </c>
      <c r="E1421" s="18">
        <f>IF($L1421="","",IF(INDEX(ExpParty,$L1421)="","—",IFERROR(VLOOKUP(INDEX(ExpParty,$L1421),AcctTbl,4,0),INDEX(ExpParty,$L1421))))</f>
        <v/>
      </c>
      <c r="F1421" s="17">
        <f>IF($L1421="","",IF(INDEX(ExpType,$L1421)="","—",INDEX(ExpType,$L1421)))</f>
        <v/>
      </c>
      <c r="G1421" s="19">
        <f>IF($L1421="","",IF(INDEX(ExpDep,$L1421)=0,"",INDEX(ExpDep,$L1421)))</f>
        <v/>
      </c>
      <c r="H1421" s="19">
        <f>IF($L1421="","",IF(INDEX(ExpWit,$L1421)=0,"",INDEX(ExpWit,$L1421)))</f>
        <v/>
      </c>
      <c r="I1421" s="20">
        <f>IF($B1421="","",IF($I1420="",0,$I1420)+IF($H1421="",0,$H1421)-IF($G1421="",0,$G1421))</f>
        <v/>
      </c>
      <c r="J1421" s="18">
        <f>IF($L1421="","",IF(INDEX(ExpNote,$L1421)="","—",INDEX(ExpNote,$L1421)))</f>
        <v/>
      </c>
      <c r="L1421">
        <f>IFERROR(MATCH($C$5&amp;"|"&amp;RIGHT("000000"&amp;1405,6),ExpRankKey,0),"")</f>
        <v/>
      </c>
    </row>
    <row r="1422">
      <c r="A1422" s="21" t="n">
        <v>1406</v>
      </c>
      <c r="B1422" s="22">
        <f>IF($L1422="","",INDEX(ExpNorm,$L1422))</f>
        <v/>
      </c>
      <c r="C1422" s="22">
        <f>IF($L1422="","",IF(INDEX(ExpTime,$L1422)="","—",LEFT(INDEX(ExpTime,$L1422),2)&amp;":"&amp;RIGHT(INDEX(ExpTime,$L1422),2)))</f>
        <v/>
      </c>
      <c r="D1422" s="22">
        <f>IF($L1422="","",IF(INDEX(ExpBank,$L1422)="","—",INDEX(ExpBank,$L1422)))</f>
        <v/>
      </c>
      <c r="E1422" s="23">
        <f>IF($L1422="","",IF(INDEX(ExpParty,$L1422)="","—",IFERROR(VLOOKUP(INDEX(ExpParty,$L1422),AcctTbl,4,0),INDEX(ExpParty,$L1422))))</f>
        <v/>
      </c>
      <c r="F1422" s="22">
        <f>IF($L1422="","",IF(INDEX(ExpType,$L1422)="","—",INDEX(ExpType,$L1422)))</f>
        <v/>
      </c>
      <c r="G1422" s="24">
        <f>IF($L1422="","",IF(INDEX(ExpDep,$L1422)=0,"",INDEX(ExpDep,$L1422)))</f>
        <v/>
      </c>
      <c r="H1422" s="24">
        <f>IF($L1422="","",IF(INDEX(ExpWit,$L1422)=0,"",INDEX(ExpWit,$L1422)))</f>
        <v/>
      </c>
      <c r="I1422" s="25">
        <f>IF($B1422="","",IF($I1421="",0,$I1421)+IF($H1422="",0,$H1422)-IF($G1422="",0,$G1422))</f>
        <v/>
      </c>
      <c r="J1422" s="23">
        <f>IF($L1422="","",IF(INDEX(ExpNote,$L1422)="","—",INDEX(ExpNote,$L1422)))</f>
        <v/>
      </c>
      <c r="L1422">
        <f>IFERROR(MATCH($C$5&amp;"|"&amp;RIGHT("000000"&amp;1406,6),ExpRankKey,0),"")</f>
        <v/>
      </c>
    </row>
    <row r="1423">
      <c r="A1423" s="16" t="n">
        <v>1407</v>
      </c>
      <c r="B1423" s="17">
        <f>IF($L1423="","",INDEX(ExpNorm,$L1423))</f>
        <v/>
      </c>
      <c r="C1423" s="17">
        <f>IF($L1423="","",IF(INDEX(ExpTime,$L1423)="","—",LEFT(INDEX(ExpTime,$L1423),2)&amp;":"&amp;RIGHT(INDEX(ExpTime,$L1423),2)))</f>
        <v/>
      </c>
      <c r="D1423" s="17">
        <f>IF($L1423="","",IF(INDEX(ExpBank,$L1423)="","—",INDEX(ExpBank,$L1423)))</f>
        <v/>
      </c>
      <c r="E1423" s="18">
        <f>IF($L1423="","",IF(INDEX(ExpParty,$L1423)="","—",IFERROR(VLOOKUP(INDEX(ExpParty,$L1423),AcctTbl,4,0),INDEX(ExpParty,$L1423))))</f>
        <v/>
      </c>
      <c r="F1423" s="17">
        <f>IF($L1423="","",IF(INDEX(ExpType,$L1423)="","—",INDEX(ExpType,$L1423)))</f>
        <v/>
      </c>
      <c r="G1423" s="19">
        <f>IF($L1423="","",IF(INDEX(ExpDep,$L1423)=0,"",INDEX(ExpDep,$L1423)))</f>
        <v/>
      </c>
      <c r="H1423" s="19">
        <f>IF($L1423="","",IF(INDEX(ExpWit,$L1423)=0,"",INDEX(ExpWit,$L1423)))</f>
        <v/>
      </c>
      <c r="I1423" s="20">
        <f>IF($B1423="","",IF($I1422="",0,$I1422)+IF($H1423="",0,$H1423)-IF($G1423="",0,$G1423))</f>
        <v/>
      </c>
      <c r="J1423" s="18">
        <f>IF($L1423="","",IF(INDEX(ExpNote,$L1423)="","—",INDEX(ExpNote,$L1423)))</f>
        <v/>
      </c>
      <c r="L1423">
        <f>IFERROR(MATCH($C$5&amp;"|"&amp;RIGHT("000000"&amp;1407,6),ExpRankKey,0),"")</f>
        <v/>
      </c>
    </row>
    <row r="1424">
      <c r="A1424" s="21" t="n">
        <v>1408</v>
      </c>
      <c r="B1424" s="22">
        <f>IF($L1424="","",INDEX(ExpNorm,$L1424))</f>
        <v/>
      </c>
      <c r="C1424" s="22">
        <f>IF($L1424="","",IF(INDEX(ExpTime,$L1424)="","—",LEFT(INDEX(ExpTime,$L1424),2)&amp;":"&amp;RIGHT(INDEX(ExpTime,$L1424),2)))</f>
        <v/>
      </c>
      <c r="D1424" s="22">
        <f>IF($L1424="","",IF(INDEX(ExpBank,$L1424)="","—",INDEX(ExpBank,$L1424)))</f>
        <v/>
      </c>
      <c r="E1424" s="23">
        <f>IF($L1424="","",IF(INDEX(ExpParty,$L1424)="","—",IFERROR(VLOOKUP(INDEX(ExpParty,$L1424),AcctTbl,4,0),INDEX(ExpParty,$L1424))))</f>
        <v/>
      </c>
      <c r="F1424" s="22">
        <f>IF($L1424="","",IF(INDEX(ExpType,$L1424)="","—",INDEX(ExpType,$L1424)))</f>
        <v/>
      </c>
      <c r="G1424" s="24">
        <f>IF($L1424="","",IF(INDEX(ExpDep,$L1424)=0,"",INDEX(ExpDep,$L1424)))</f>
        <v/>
      </c>
      <c r="H1424" s="24">
        <f>IF($L1424="","",IF(INDEX(ExpWit,$L1424)=0,"",INDEX(ExpWit,$L1424)))</f>
        <v/>
      </c>
      <c r="I1424" s="25">
        <f>IF($B1424="","",IF($I1423="",0,$I1423)+IF($H1424="",0,$H1424)-IF($G1424="",0,$G1424))</f>
        <v/>
      </c>
      <c r="J1424" s="23">
        <f>IF($L1424="","",IF(INDEX(ExpNote,$L1424)="","—",INDEX(ExpNote,$L1424)))</f>
        <v/>
      </c>
      <c r="L1424">
        <f>IFERROR(MATCH($C$5&amp;"|"&amp;RIGHT("000000"&amp;1408,6),ExpRankKey,0),"")</f>
        <v/>
      </c>
    </row>
    <row r="1425">
      <c r="A1425" s="16" t="n">
        <v>1409</v>
      </c>
      <c r="B1425" s="17">
        <f>IF($L1425="","",INDEX(ExpNorm,$L1425))</f>
        <v/>
      </c>
      <c r="C1425" s="17">
        <f>IF($L1425="","",IF(INDEX(ExpTime,$L1425)="","—",LEFT(INDEX(ExpTime,$L1425),2)&amp;":"&amp;RIGHT(INDEX(ExpTime,$L1425),2)))</f>
        <v/>
      </c>
      <c r="D1425" s="17">
        <f>IF($L1425="","",IF(INDEX(ExpBank,$L1425)="","—",INDEX(ExpBank,$L1425)))</f>
        <v/>
      </c>
      <c r="E1425" s="18">
        <f>IF($L1425="","",IF(INDEX(ExpParty,$L1425)="","—",IFERROR(VLOOKUP(INDEX(ExpParty,$L1425),AcctTbl,4,0),INDEX(ExpParty,$L1425))))</f>
        <v/>
      </c>
      <c r="F1425" s="17">
        <f>IF($L1425="","",IF(INDEX(ExpType,$L1425)="","—",INDEX(ExpType,$L1425)))</f>
        <v/>
      </c>
      <c r="G1425" s="19">
        <f>IF($L1425="","",IF(INDEX(ExpDep,$L1425)=0,"",INDEX(ExpDep,$L1425)))</f>
        <v/>
      </c>
      <c r="H1425" s="19">
        <f>IF($L1425="","",IF(INDEX(ExpWit,$L1425)=0,"",INDEX(ExpWit,$L1425)))</f>
        <v/>
      </c>
      <c r="I1425" s="20">
        <f>IF($B1425="","",IF($I1424="",0,$I1424)+IF($H1425="",0,$H1425)-IF($G1425="",0,$G1425))</f>
        <v/>
      </c>
      <c r="J1425" s="18">
        <f>IF($L1425="","",IF(INDEX(ExpNote,$L1425)="","—",INDEX(ExpNote,$L1425)))</f>
        <v/>
      </c>
      <c r="L1425">
        <f>IFERROR(MATCH($C$5&amp;"|"&amp;RIGHT("000000"&amp;1409,6),ExpRankKey,0),"")</f>
        <v/>
      </c>
    </row>
    <row r="1426">
      <c r="A1426" s="21" t="n">
        <v>1410</v>
      </c>
      <c r="B1426" s="22">
        <f>IF($L1426="","",INDEX(ExpNorm,$L1426))</f>
        <v/>
      </c>
      <c r="C1426" s="22">
        <f>IF($L1426="","",IF(INDEX(ExpTime,$L1426)="","—",LEFT(INDEX(ExpTime,$L1426),2)&amp;":"&amp;RIGHT(INDEX(ExpTime,$L1426),2)))</f>
        <v/>
      </c>
      <c r="D1426" s="22">
        <f>IF($L1426="","",IF(INDEX(ExpBank,$L1426)="","—",INDEX(ExpBank,$L1426)))</f>
        <v/>
      </c>
      <c r="E1426" s="23">
        <f>IF($L1426="","",IF(INDEX(ExpParty,$L1426)="","—",IFERROR(VLOOKUP(INDEX(ExpParty,$L1426),AcctTbl,4,0),INDEX(ExpParty,$L1426))))</f>
        <v/>
      </c>
      <c r="F1426" s="22">
        <f>IF($L1426="","",IF(INDEX(ExpType,$L1426)="","—",INDEX(ExpType,$L1426)))</f>
        <v/>
      </c>
      <c r="G1426" s="24">
        <f>IF($L1426="","",IF(INDEX(ExpDep,$L1426)=0,"",INDEX(ExpDep,$L1426)))</f>
        <v/>
      </c>
      <c r="H1426" s="24">
        <f>IF($L1426="","",IF(INDEX(ExpWit,$L1426)=0,"",INDEX(ExpWit,$L1426)))</f>
        <v/>
      </c>
      <c r="I1426" s="25">
        <f>IF($B1426="","",IF($I1425="",0,$I1425)+IF($H1426="",0,$H1426)-IF($G1426="",0,$G1426))</f>
        <v/>
      </c>
      <c r="J1426" s="23">
        <f>IF($L1426="","",IF(INDEX(ExpNote,$L1426)="","—",INDEX(ExpNote,$L1426)))</f>
        <v/>
      </c>
      <c r="L1426">
        <f>IFERROR(MATCH($C$5&amp;"|"&amp;RIGHT("000000"&amp;1410,6),ExpRankKey,0),"")</f>
        <v/>
      </c>
    </row>
    <row r="1427">
      <c r="A1427" s="16" t="n">
        <v>1411</v>
      </c>
      <c r="B1427" s="17">
        <f>IF($L1427="","",INDEX(ExpNorm,$L1427))</f>
        <v/>
      </c>
      <c r="C1427" s="17">
        <f>IF($L1427="","",IF(INDEX(ExpTime,$L1427)="","—",LEFT(INDEX(ExpTime,$L1427),2)&amp;":"&amp;RIGHT(INDEX(ExpTime,$L1427),2)))</f>
        <v/>
      </c>
      <c r="D1427" s="17">
        <f>IF($L1427="","",IF(INDEX(ExpBank,$L1427)="","—",INDEX(ExpBank,$L1427)))</f>
        <v/>
      </c>
      <c r="E1427" s="18">
        <f>IF($L1427="","",IF(INDEX(ExpParty,$L1427)="","—",IFERROR(VLOOKUP(INDEX(ExpParty,$L1427),AcctTbl,4,0),INDEX(ExpParty,$L1427))))</f>
        <v/>
      </c>
      <c r="F1427" s="17">
        <f>IF($L1427="","",IF(INDEX(ExpType,$L1427)="","—",INDEX(ExpType,$L1427)))</f>
        <v/>
      </c>
      <c r="G1427" s="19">
        <f>IF($L1427="","",IF(INDEX(ExpDep,$L1427)=0,"",INDEX(ExpDep,$L1427)))</f>
        <v/>
      </c>
      <c r="H1427" s="19">
        <f>IF($L1427="","",IF(INDEX(ExpWit,$L1427)=0,"",INDEX(ExpWit,$L1427)))</f>
        <v/>
      </c>
      <c r="I1427" s="20">
        <f>IF($B1427="","",IF($I1426="",0,$I1426)+IF($H1427="",0,$H1427)-IF($G1427="",0,$G1427))</f>
        <v/>
      </c>
      <c r="J1427" s="18">
        <f>IF($L1427="","",IF(INDEX(ExpNote,$L1427)="","—",INDEX(ExpNote,$L1427)))</f>
        <v/>
      </c>
      <c r="L1427">
        <f>IFERROR(MATCH($C$5&amp;"|"&amp;RIGHT("000000"&amp;1411,6),ExpRankKey,0),"")</f>
        <v/>
      </c>
    </row>
    <row r="1428">
      <c r="A1428" s="21" t="n">
        <v>1412</v>
      </c>
      <c r="B1428" s="22">
        <f>IF($L1428="","",INDEX(ExpNorm,$L1428))</f>
        <v/>
      </c>
      <c r="C1428" s="22">
        <f>IF($L1428="","",IF(INDEX(ExpTime,$L1428)="","—",LEFT(INDEX(ExpTime,$L1428),2)&amp;":"&amp;RIGHT(INDEX(ExpTime,$L1428),2)))</f>
        <v/>
      </c>
      <c r="D1428" s="22">
        <f>IF($L1428="","",IF(INDEX(ExpBank,$L1428)="","—",INDEX(ExpBank,$L1428)))</f>
        <v/>
      </c>
      <c r="E1428" s="23">
        <f>IF($L1428="","",IF(INDEX(ExpParty,$L1428)="","—",IFERROR(VLOOKUP(INDEX(ExpParty,$L1428),AcctTbl,4,0),INDEX(ExpParty,$L1428))))</f>
        <v/>
      </c>
      <c r="F1428" s="22">
        <f>IF($L1428="","",IF(INDEX(ExpType,$L1428)="","—",INDEX(ExpType,$L1428)))</f>
        <v/>
      </c>
      <c r="G1428" s="24">
        <f>IF($L1428="","",IF(INDEX(ExpDep,$L1428)=0,"",INDEX(ExpDep,$L1428)))</f>
        <v/>
      </c>
      <c r="H1428" s="24">
        <f>IF($L1428="","",IF(INDEX(ExpWit,$L1428)=0,"",INDEX(ExpWit,$L1428)))</f>
        <v/>
      </c>
      <c r="I1428" s="25">
        <f>IF($B1428="","",IF($I1427="",0,$I1427)+IF($H1428="",0,$H1428)-IF($G1428="",0,$G1428))</f>
        <v/>
      </c>
      <c r="J1428" s="23">
        <f>IF($L1428="","",IF(INDEX(ExpNote,$L1428)="","—",INDEX(ExpNote,$L1428)))</f>
        <v/>
      </c>
      <c r="L1428">
        <f>IFERROR(MATCH($C$5&amp;"|"&amp;RIGHT("000000"&amp;1412,6),ExpRankKey,0),"")</f>
        <v/>
      </c>
    </row>
    <row r="1429">
      <c r="A1429" s="16" t="n">
        <v>1413</v>
      </c>
      <c r="B1429" s="17">
        <f>IF($L1429="","",INDEX(ExpNorm,$L1429))</f>
        <v/>
      </c>
      <c r="C1429" s="17">
        <f>IF($L1429="","",IF(INDEX(ExpTime,$L1429)="","—",LEFT(INDEX(ExpTime,$L1429),2)&amp;":"&amp;RIGHT(INDEX(ExpTime,$L1429),2)))</f>
        <v/>
      </c>
      <c r="D1429" s="17">
        <f>IF($L1429="","",IF(INDEX(ExpBank,$L1429)="","—",INDEX(ExpBank,$L1429)))</f>
        <v/>
      </c>
      <c r="E1429" s="18">
        <f>IF($L1429="","",IF(INDEX(ExpParty,$L1429)="","—",IFERROR(VLOOKUP(INDEX(ExpParty,$L1429),AcctTbl,4,0),INDEX(ExpParty,$L1429))))</f>
        <v/>
      </c>
      <c r="F1429" s="17">
        <f>IF($L1429="","",IF(INDEX(ExpType,$L1429)="","—",INDEX(ExpType,$L1429)))</f>
        <v/>
      </c>
      <c r="G1429" s="19">
        <f>IF($L1429="","",IF(INDEX(ExpDep,$L1429)=0,"",INDEX(ExpDep,$L1429)))</f>
        <v/>
      </c>
      <c r="H1429" s="19">
        <f>IF($L1429="","",IF(INDEX(ExpWit,$L1429)=0,"",INDEX(ExpWit,$L1429)))</f>
        <v/>
      </c>
      <c r="I1429" s="20">
        <f>IF($B1429="","",IF($I1428="",0,$I1428)+IF($H1429="",0,$H1429)-IF($G1429="",0,$G1429))</f>
        <v/>
      </c>
      <c r="J1429" s="18">
        <f>IF($L1429="","",IF(INDEX(ExpNote,$L1429)="","—",INDEX(ExpNote,$L1429)))</f>
        <v/>
      </c>
      <c r="L1429">
        <f>IFERROR(MATCH($C$5&amp;"|"&amp;RIGHT("000000"&amp;1413,6),ExpRankKey,0),"")</f>
        <v/>
      </c>
    </row>
    <row r="1430">
      <c r="A1430" s="21" t="n">
        <v>1414</v>
      </c>
      <c r="B1430" s="22">
        <f>IF($L1430="","",INDEX(ExpNorm,$L1430))</f>
        <v/>
      </c>
      <c r="C1430" s="22">
        <f>IF($L1430="","",IF(INDEX(ExpTime,$L1430)="","—",LEFT(INDEX(ExpTime,$L1430),2)&amp;":"&amp;RIGHT(INDEX(ExpTime,$L1430),2)))</f>
        <v/>
      </c>
      <c r="D1430" s="22">
        <f>IF($L1430="","",IF(INDEX(ExpBank,$L1430)="","—",INDEX(ExpBank,$L1430)))</f>
        <v/>
      </c>
      <c r="E1430" s="23">
        <f>IF($L1430="","",IF(INDEX(ExpParty,$L1430)="","—",IFERROR(VLOOKUP(INDEX(ExpParty,$L1430),AcctTbl,4,0),INDEX(ExpParty,$L1430))))</f>
        <v/>
      </c>
      <c r="F1430" s="22">
        <f>IF($L1430="","",IF(INDEX(ExpType,$L1430)="","—",INDEX(ExpType,$L1430)))</f>
        <v/>
      </c>
      <c r="G1430" s="24">
        <f>IF($L1430="","",IF(INDEX(ExpDep,$L1430)=0,"",INDEX(ExpDep,$L1430)))</f>
        <v/>
      </c>
      <c r="H1430" s="24">
        <f>IF($L1430="","",IF(INDEX(ExpWit,$L1430)=0,"",INDEX(ExpWit,$L1430)))</f>
        <v/>
      </c>
      <c r="I1430" s="25">
        <f>IF($B1430="","",IF($I1429="",0,$I1429)+IF($H1430="",0,$H1430)-IF($G1430="",0,$G1430))</f>
        <v/>
      </c>
      <c r="J1430" s="23">
        <f>IF($L1430="","",IF(INDEX(ExpNote,$L1430)="","—",INDEX(ExpNote,$L1430)))</f>
        <v/>
      </c>
      <c r="L1430">
        <f>IFERROR(MATCH($C$5&amp;"|"&amp;RIGHT("000000"&amp;1414,6),ExpRankKey,0),"")</f>
        <v/>
      </c>
    </row>
    <row r="1431">
      <c r="A1431" s="16" t="n">
        <v>1415</v>
      </c>
      <c r="B1431" s="17">
        <f>IF($L1431="","",INDEX(ExpNorm,$L1431))</f>
        <v/>
      </c>
      <c r="C1431" s="17">
        <f>IF($L1431="","",IF(INDEX(ExpTime,$L1431)="","—",LEFT(INDEX(ExpTime,$L1431),2)&amp;":"&amp;RIGHT(INDEX(ExpTime,$L1431),2)))</f>
        <v/>
      </c>
      <c r="D1431" s="17">
        <f>IF($L1431="","",IF(INDEX(ExpBank,$L1431)="","—",INDEX(ExpBank,$L1431)))</f>
        <v/>
      </c>
      <c r="E1431" s="18">
        <f>IF($L1431="","",IF(INDEX(ExpParty,$L1431)="","—",IFERROR(VLOOKUP(INDEX(ExpParty,$L1431),AcctTbl,4,0),INDEX(ExpParty,$L1431))))</f>
        <v/>
      </c>
      <c r="F1431" s="17">
        <f>IF($L1431="","",IF(INDEX(ExpType,$L1431)="","—",INDEX(ExpType,$L1431)))</f>
        <v/>
      </c>
      <c r="G1431" s="19">
        <f>IF($L1431="","",IF(INDEX(ExpDep,$L1431)=0,"",INDEX(ExpDep,$L1431)))</f>
        <v/>
      </c>
      <c r="H1431" s="19">
        <f>IF($L1431="","",IF(INDEX(ExpWit,$L1431)=0,"",INDEX(ExpWit,$L1431)))</f>
        <v/>
      </c>
      <c r="I1431" s="20">
        <f>IF($B1431="","",IF($I1430="",0,$I1430)+IF($H1431="",0,$H1431)-IF($G1431="",0,$G1431))</f>
        <v/>
      </c>
      <c r="J1431" s="18">
        <f>IF($L1431="","",IF(INDEX(ExpNote,$L1431)="","—",INDEX(ExpNote,$L1431)))</f>
        <v/>
      </c>
      <c r="L1431">
        <f>IFERROR(MATCH($C$5&amp;"|"&amp;RIGHT("000000"&amp;1415,6),ExpRankKey,0),"")</f>
        <v/>
      </c>
    </row>
    <row r="1432">
      <c r="A1432" s="21" t="n">
        <v>1416</v>
      </c>
      <c r="B1432" s="22">
        <f>IF($L1432="","",INDEX(ExpNorm,$L1432))</f>
        <v/>
      </c>
      <c r="C1432" s="22">
        <f>IF($L1432="","",IF(INDEX(ExpTime,$L1432)="","—",LEFT(INDEX(ExpTime,$L1432),2)&amp;":"&amp;RIGHT(INDEX(ExpTime,$L1432),2)))</f>
        <v/>
      </c>
      <c r="D1432" s="22">
        <f>IF($L1432="","",IF(INDEX(ExpBank,$L1432)="","—",INDEX(ExpBank,$L1432)))</f>
        <v/>
      </c>
      <c r="E1432" s="23">
        <f>IF($L1432="","",IF(INDEX(ExpParty,$L1432)="","—",IFERROR(VLOOKUP(INDEX(ExpParty,$L1432),AcctTbl,4,0),INDEX(ExpParty,$L1432))))</f>
        <v/>
      </c>
      <c r="F1432" s="22">
        <f>IF($L1432="","",IF(INDEX(ExpType,$L1432)="","—",INDEX(ExpType,$L1432)))</f>
        <v/>
      </c>
      <c r="G1432" s="24">
        <f>IF($L1432="","",IF(INDEX(ExpDep,$L1432)=0,"",INDEX(ExpDep,$L1432)))</f>
        <v/>
      </c>
      <c r="H1432" s="24">
        <f>IF($L1432="","",IF(INDEX(ExpWit,$L1432)=0,"",INDEX(ExpWit,$L1432)))</f>
        <v/>
      </c>
      <c r="I1432" s="25">
        <f>IF($B1432="","",IF($I1431="",0,$I1431)+IF($H1432="",0,$H1432)-IF($G1432="",0,$G1432))</f>
        <v/>
      </c>
      <c r="J1432" s="23">
        <f>IF($L1432="","",IF(INDEX(ExpNote,$L1432)="","—",INDEX(ExpNote,$L1432)))</f>
        <v/>
      </c>
      <c r="L1432">
        <f>IFERROR(MATCH($C$5&amp;"|"&amp;RIGHT("000000"&amp;1416,6),ExpRankKey,0),"")</f>
        <v/>
      </c>
    </row>
    <row r="1433">
      <c r="A1433" s="16" t="n">
        <v>1417</v>
      </c>
      <c r="B1433" s="17">
        <f>IF($L1433="","",INDEX(ExpNorm,$L1433))</f>
        <v/>
      </c>
      <c r="C1433" s="17">
        <f>IF($L1433="","",IF(INDEX(ExpTime,$L1433)="","—",LEFT(INDEX(ExpTime,$L1433),2)&amp;":"&amp;RIGHT(INDEX(ExpTime,$L1433),2)))</f>
        <v/>
      </c>
      <c r="D1433" s="17">
        <f>IF($L1433="","",IF(INDEX(ExpBank,$L1433)="","—",INDEX(ExpBank,$L1433)))</f>
        <v/>
      </c>
      <c r="E1433" s="18">
        <f>IF($L1433="","",IF(INDEX(ExpParty,$L1433)="","—",IFERROR(VLOOKUP(INDEX(ExpParty,$L1433),AcctTbl,4,0),INDEX(ExpParty,$L1433))))</f>
        <v/>
      </c>
      <c r="F1433" s="17">
        <f>IF($L1433="","",IF(INDEX(ExpType,$L1433)="","—",INDEX(ExpType,$L1433)))</f>
        <v/>
      </c>
      <c r="G1433" s="19">
        <f>IF($L1433="","",IF(INDEX(ExpDep,$L1433)=0,"",INDEX(ExpDep,$L1433)))</f>
        <v/>
      </c>
      <c r="H1433" s="19">
        <f>IF($L1433="","",IF(INDEX(ExpWit,$L1433)=0,"",INDEX(ExpWit,$L1433)))</f>
        <v/>
      </c>
      <c r="I1433" s="20">
        <f>IF($B1433="","",IF($I1432="",0,$I1432)+IF($H1433="",0,$H1433)-IF($G1433="",0,$G1433))</f>
        <v/>
      </c>
      <c r="J1433" s="18">
        <f>IF($L1433="","",IF(INDEX(ExpNote,$L1433)="","—",INDEX(ExpNote,$L1433)))</f>
        <v/>
      </c>
      <c r="L1433">
        <f>IFERROR(MATCH($C$5&amp;"|"&amp;RIGHT("000000"&amp;1417,6),ExpRankKey,0),"")</f>
        <v/>
      </c>
    </row>
    <row r="1434">
      <c r="A1434" s="21" t="n">
        <v>1418</v>
      </c>
      <c r="B1434" s="22">
        <f>IF($L1434="","",INDEX(ExpNorm,$L1434))</f>
        <v/>
      </c>
      <c r="C1434" s="22">
        <f>IF($L1434="","",IF(INDEX(ExpTime,$L1434)="","—",LEFT(INDEX(ExpTime,$L1434),2)&amp;":"&amp;RIGHT(INDEX(ExpTime,$L1434),2)))</f>
        <v/>
      </c>
      <c r="D1434" s="22">
        <f>IF($L1434="","",IF(INDEX(ExpBank,$L1434)="","—",INDEX(ExpBank,$L1434)))</f>
        <v/>
      </c>
      <c r="E1434" s="23">
        <f>IF($L1434="","",IF(INDEX(ExpParty,$L1434)="","—",IFERROR(VLOOKUP(INDEX(ExpParty,$L1434),AcctTbl,4,0),INDEX(ExpParty,$L1434))))</f>
        <v/>
      </c>
      <c r="F1434" s="22">
        <f>IF($L1434="","",IF(INDEX(ExpType,$L1434)="","—",INDEX(ExpType,$L1434)))</f>
        <v/>
      </c>
      <c r="G1434" s="24">
        <f>IF($L1434="","",IF(INDEX(ExpDep,$L1434)=0,"",INDEX(ExpDep,$L1434)))</f>
        <v/>
      </c>
      <c r="H1434" s="24">
        <f>IF($L1434="","",IF(INDEX(ExpWit,$L1434)=0,"",INDEX(ExpWit,$L1434)))</f>
        <v/>
      </c>
      <c r="I1434" s="25">
        <f>IF($B1434="","",IF($I1433="",0,$I1433)+IF($H1434="",0,$H1434)-IF($G1434="",0,$G1434))</f>
        <v/>
      </c>
      <c r="J1434" s="23">
        <f>IF($L1434="","",IF(INDEX(ExpNote,$L1434)="","—",INDEX(ExpNote,$L1434)))</f>
        <v/>
      </c>
      <c r="L1434">
        <f>IFERROR(MATCH($C$5&amp;"|"&amp;RIGHT("000000"&amp;1418,6),ExpRankKey,0),"")</f>
        <v/>
      </c>
    </row>
    <row r="1435">
      <c r="A1435" s="16" t="n">
        <v>1419</v>
      </c>
      <c r="B1435" s="17">
        <f>IF($L1435="","",INDEX(ExpNorm,$L1435))</f>
        <v/>
      </c>
      <c r="C1435" s="17">
        <f>IF($L1435="","",IF(INDEX(ExpTime,$L1435)="","—",LEFT(INDEX(ExpTime,$L1435),2)&amp;":"&amp;RIGHT(INDEX(ExpTime,$L1435),2)))</f>
        <v/>
      </c>
      <c r="D1435" s="17">
        <f>IF($L1435="","",IF(INDEX(ExpBank,$L1435)="","—",INDEX(ExpBank,$L1435)))</f>
        <v/>
      </c>
      <c r="E1435" s="18">
        <f>IF($L1435="","",IF(INDEX(ExpParty,$L1435)="","—",IFERROR(VLOOKUP(INDEX(ExpParty,$L1435),AcctTbl,4,0),INDEX(ExpParty,$L1435))))</f>
        <v/>
      </c>
      <c r="F1435" s="17">
        <f>IF($L1435="","",IF(INDEX(ExpType,$L1435)="","—",INDEX(ExpType,$L1435)))</f>
        <v/>
      </c>
      <c r="G1435" s="19">
        <f>IF($L1435="","",IF(INDEX(ExpDep,$L1435)=0,"",INDEX(ExpDep,$L1435)))</f>
        <v/>
      </c>
      <c r="H1435" s="19">
        <f>IF($L1435="","",IF(INDEX(ExpWit,$L1435)=0,"",INDEX(ExpWit,$L1435)))</f>
        <v/>
      </c>
      <c r="I1435" s="20">
        <f>IF($B1435="","",IF($I1434="",0,$I1434)+IF($H1435="",0,$H1435)-IF($G1435="",0,$G1435))</f>
        <v/>
      </c>
      <c r="J1435" s="18">
        <f>IF($L1435="","",IF(INDEX(ExpNote,$L1435)="","—",INDEX(ExpNote,$L1435)))</f>
        <v/>
      </c>
      <c r="L1435">
        <f>IFERROR(MATCH($C$5&amp;"|"&amp;RIGHT("000000"&amp;1419,6),ExpRankKey,0),"")</f>
        <v/>
      </c>
    </row>
    <row r="1436">
      <c r="A1436" s="21" t="n">
        <v>1420</v>
      </c>
      <c r="B1436" s="22">
        <f>IF($L1436="","",INDEX(ExpNorm,$L1436))</f>
        <v/>
      </c>
      <c r="C1436" s="22">
        <f>IF($L1436="","",IF(INDEX(ExpTime,$L1436)="","—",LEFT(INDEX(ExpTime,$L1436),2)&amp;":"&amp;RIGHT(INDEX(ExpTime,$L1436),2)))</f>
        <v/>
      </c>
      <c r="D1436" s="22">
        <f>IF($L1436="","",IF(INDEX(ExpBank,$L1436)="","—",INDEX(ExpBank,$L1436)))</f>
        <v/>
      </c>
      <c r="E1436" s="23">
        <f>IF($L1436="","",IF(INDEX(ExpParty,$L1436)="","—",IFERROR(VLOOKUP(INDEX(ExpParty,$L1436),AcctTbl,4,0),INDEX(ExpParty,$L1436))))</f>
        <v/>
      </c>
      <c r="F1436" s="22">
        <f>IF($L1436="","",IF(INDEX(ExpType,$L1436)="","—",INDEX(ExpType,$L1436)))</f>
        <v/>
      </c>
      <c r="G1436" s="24">
        <f>IF($L1436="","",IF(INDEX(ExpDep,$L1436)=0,"",INDEX(ExpDep,$L1436)))</f>
        <v/>
      </c>
      <c r="H1436" s="24">
        <f>IF($L1436="","",IF(INDEX(ExpWit,$L1436)=0,"",INDEX(ExpWit,$L1436)))</f>
        <v/>
      </c>
      <c r="I1436" s="25">
        <f>IF($B1436="","",IF($I1435="",0,$I1435)+IF($H1436="",0,$H1436)-IF($G1436="",0,$G1436))</f>
        <v/>
      </c>
      <c r="J1436" s="23">
        <f>IF($L1436="","",IF(INDEX(ExpNote,$L1436)="","—",INDEX(ExpNote,$L1436)))</f>
        <v/>
      </c>
      <c r="L1436">
        <f>IFERROR(MATCH($C$5&amp;"|"&amp;RIGHT("000000"&amp;1420,6),ExpRankKey,0),"")</f>
        <v/>
      </c>
    </row>
    <row r="1437">
      <c r="A1437" s="16" t="n">
        <v>1421</v>
      </c>
      <c r="B1437" s="17">
        <f>IF($L1437="","",INDEX(ExpNorm,$L1437))</f>
        <v/>
      </c>
      <c r="C1437" s="17">
        <f>IF($L1437="","",IF(INDEX(ExpTime,$L1437)="","—",LEFT(INDEX(ExpTime,$L1437),2)&amp;":"&amp;RIGHT(INDEX(ExpTime,$L1437),2)))</f>
        <v/>
      </c>
      <c r="D1437" s="17">
        <f>IF($L1437="","",IF(INDEX(ExpBank,$L1437)="","—",INDEX(ExpBank,$L1437)))</f>
        <v/>
      </c>
      <c r="E1437" s="18">
        <f>IF($L1437="","",IF(INDEX(ExpParty,$L1437)="","—",IFERROR(VLOOKUP(INDEX(ExpParty,$L1437),AcctTbl,4,0),INDEX(ExpParty,$L1437))))</f>
        <v/>
      </c>
      <c r="F1437" s="17">
        <f>IF($L1437="","",IF(INDEX(ExpType,$L1437)="","—",INDEX(ExpType,$L1437)))</f>
        <v/>
      </c>
      <c r="G1437" s="19">
        <f>IF($L1437="","",IF(INDEX(ExpDep,$L1437)=0,"",INDEX(ExpDep,$L1437)))</f>
        <v/>
      </c>
      <c r="H1437" s="19">
        <f>IF($L1437="","",IF(INDEX(ExpWit,$L1437)=0,"",INDEX(ExpWit,$L1437)))</f>
        <v/>
      </c>
      <c r="I1437" s="20">
        <f>IF($B1437="","",IF($I1436="",0,$I1436)+IF($H1437="",0,$H1437)-IF($G1437="",0,$G1437))</f>
        <v/>
      </c>
      <c r="J1437" s="18">
        <f>IF($L1437="","",IF(INDEX(ExpNote,$L1437)="","—",INDEX(ExpNote,$L1437)))</f>
        <v/>
      </c>
      <c r="L1437">
        <f>IFERROR(MATCH($C$5&amp;"|"&amp;RIGHT("000000"&amp;1421,6),ExpRankKey,0),"")</f>
        <v/>
      </c>
    </row>
    <row r="1438">
      <c r="A1438" s="21" t="n">
        <v>1422</v>
      </c>
      <c r="B1438" s="22">
        <f>IF($L1438="","",INDEX(ExpNorm,$L1438))</f>
        <v/>
      </c>
      <c r="C1438" s="22">
        <f>IF($L1438="","",IF(INDEX(ExpTime,$L1438)="","—",LEFT(INDEX(ExpTime,$L1438),2)&amp;":"&amp;RIGHT(INDEX(ExpTime,$L1438),2)))</f>
        <v/>
      </c>
      <c r="D1438" s="22">
        <f>IF($L1438="","",IF(INDEX(ExpBank,$L1438)="","—",INDEX(ExpBank,$L1438)))</f>
        <v/>
      </c>
      <c r="E1438" s="23">
        <f>IF($L1438="","",IF(INDEX(ExpParty,$L1438)="","—",IFERROR(VLOOKUP(INDEX(ExpParty,$L1438),AcctTbl,4,0),INDEX(ExpParty,$L1438))))</f>
        <v/>
      </c>
      <c r="F1438" s="22">
        <f>IF($L1438="","",IF(INDEX(ExpType,$L1438)="","—",INDEX(ExpType,$L1438)))</f>
        <v/>
      </c>
      <c r="G1438" s="24">
        <f>IF($L1438="","",IF(INDEX(ExpDep,$L1438)=0,"",INDEX(ExpDep,$L1438)))</f>
        <v/>
      </c>
      <c r="H1438" s="24">
        <f>IF($L1438="","",IF(INDEX(ExpWit,$L1438)=0,"",INDEX(ExpWit,$L1438)))</f>
        <v/>
      </c>
      <c r="I1438" s="25">
        <f>IF($B1438="","",IF($I1437="",0,$I1437)+IF($H1438="",0,$H1438)-IF($G1438="",0,$G1438))</f>
        <v/>
      </c>
      <c r="J1438" s="23">
        <f>IF($L1438="","",IF(INDEX(ExpNote,$L1438)="","—",INDEX(ExpNote,$L1438)))</f>
        <v/>
      </c>
      <c r="L1438">
        <f>IFERROR(MATCH($C$5&amp;"|"&amp;RIGHT("000000"&amp;1422,6),ExpRankKey,0),"")</f>
        <v/>
      </c>
    </row>
    <row r="1439">
      <c r="A1439" s="16" t="n">
        <v>1423</v>
      </c>
      <c r="B1439" s="17">
        <f>IF($L1439="","",INDEX(ExpNorm,$L1439))</f>
        <v/>
      </c>
      <c r="C1439" s="17">
        <f>IF($L1439="","",IF(INDEX(ExpTime,$L1439)="","—",LEFT(INDEX(ExpTime,$L1439),2)&amp;":"&amp;RIGHT(INDEX(ExpTime,$L1439),2)))</f>
        <v/>
      </c>
      <c r="D1439" s="17">
        <f>IF($L1439="","",IF(INDEX(ExpBank,$L1439)="","—",INDEX(ExpBank,$L1439)))</f>
        <v/>
      </c>
      <c r="E1439" s="18">
        <f>IF($L1439="","",IF(INDEX(ExpParty,$L1439)="","—",IFERROR(VLOOKUP(INDEX(ExpParty,$L1439),AcctTbl,4,0),INDEX(ExpParty,$L1439))))</f>
        <v/>
      </c>
      <c r="F1439" s="17">
        <f>IF($L1439="","",IF(INDEX(ExpType,$L1439)="","—",INDEX(ExpType,$L1439)))</f>
        <v/>
      </c>
      <c r="G1439" s="19">
        <f>IF($L1439="","",IF(INDEX(ExpDep,$L1439)=0,"",INDEX(ExpDep,$L1439)))</f>
        <v/>
      </c>
      <c r="H1439" s="19">
        <f>IF($L1439="","",IF(INDEX(ExpWit,$L1439)=0,"",INDEX(ExpWit,$L1439)))</f>
        <v/>
      </c>
      <c r="I1439" s="20">
        <f>IF($B1439="","",IF($I1438="",0,$I1438)+IF($H1439="",0,$H1439)-IF($G1439="",0,$G1439))</f>
        <v/>
      </c>
      <c r="J1439" s="18">
        <f>IF($L1439="","",IF(INDEX(ExpNote,$L1439)="","—",INDEX(ExpNote,$L1439)))</f>
        <v/>
      </c>
      <c r="L1439">
        <f>IFERROR(MATCH($C$5&amp;"|"&amp;RIGHT("000000"&amp;1423,6),ExpRankKey,0),"")</f>
        <v/>
      </c>
    </row>
    <row r="1440">
      <c r="A1440" s="21" t="n">
        <v>1424</v>
      </c>
      <c r="B1440" s="22">
        <f>IF($L1440="","",INDEX(ExpNorm,$L1440))</f>
        <v/>
      </c>
      <c r="C1440" s="22">
        <f>IF($L1440="","",IF(INDEX(ExpTime,$L1440)="","—",LEFT(INDEX(ExpTime,$L1440),2)&amp;":"&amp;RIGHT(INDEX(ExpTime,$L1440),2)))</f>
        <v/>
      </c>
      <c r="D1440" s="22">
        <f>IF($L1440="","",IF(INDEX(ExpBank,$L1440)="","—",INDEX(ExpBank,$L1440)))</f>
        <v/>
      </c>
      <c r="E1440" s="23">
        <f>IF($L1440="","",IF(INDEX(ExpParty,$L1440)="","—",IFERROR(VLOOKUP(INDEX(ExpParty,$L1440),AcctTbl,4,0),INDEX(ExpParty,$L1440))))</f>
        <v/>
      </c>
      <c r="F1440" s="22">
        <f>IF($L1440="","",IF(INDEX(ExpType,$L1440)="","—",INDEX(ExpType,$L1440)))</f>
        <v/>
      </c>
      <c r="G1440" s="24">
        <f>IF($L1440="","",IF(INDEX(ExpDep,$L1440)=0,"",INDEX(ExpDep,$L1440)))</f>
        <v/>
      </c>
      <c r="H1440" s="24">
        <f>IF($L1440="","",IF(INDEX(ExpWit,$L1440)=0,"",INDEX(ExpWit,$L1440)))</f>
        <v/>
      </c>
      <c r="I1440" s="25">
        <f>IF($B1440="","",IF($I1439="",0,$I1439)+IF($H1440="",0,$H1440)-IF($G1440="",0,$G1440))</f>
        <v/>
      </c>
      <c r="J1440" s="23">
        <f>IF($L1440="","",IF(INDEX(ExpNote,$L1440)="","—",INDEX(ExpNote,$L1440)))</f>
        <v/>
      </c>
      <c r="L1440">
        <f>IFERROR(MATCH($C$5&amp;"|"&amp;RIGHT("000000"&amp;1424,6),ExpRankKey,0),"")</f>
        <v/>
      </c>
    </row>
    <row r="1441">
      <c r="A1441" s="16" t="n">
        <v>1425</v>
      </c>
      <c r="B1441" s="17">
        <f>IF($L1441="","",INDEX(ExpNorm,$L1441))</f>
        <v/>
      </c>
      <c r="C1441" s="17">
        <f>IF($L1441="","",IF(INDEX(ExpTime,$L1441)="","—",LEFT(INDEX(ExpTime,$L1441),2)&amp;":"&amp;RIGHT(INDEX(ExpTime,$L1441),2)))</f>
        <v/>
      </c>
      <c r="D1441" s="17">
        <f>IF($L1441="","",IF(INDEX(ExpBank,$L1441)="","—",INDEX(ExpBank,$L1441)))</f>
        <v/>
      </c>
      <c r="E1441" s="18">
        <f>IF($L1441="","",IF(INDEX(ExpParty,$L1441)="","—",IFERROR(VLOOKUP(INDEX(ExpParty,$L1441),AcctTbl,4,0),INDEX(ExpParty,$L1441))))</f>
        <v/>
      </c>
      <c r="F1441" s="17">
        <f>IF($L1441="","",IF(INDEX(ExpType,$L1441)="","—",INDEX(ExpType,$L1441)))</f>
        <v/>
      </c>
      <c r="G1441" s="19">
        <f>IF($L1441="","",IF(INDEX(ExpDep,$L1441)=0,"",INDEX(ExpDep,$L1441)))</f>
        <v/>
      </c>
      <c r="H1441" s="19">
        <f>IF($L1441="","",IF(INDEX(ExpWit,$L1441)=0,"",INDEX(ExpWit,$L1441)))</f>
        <v/>
      </c>
      <c r="I1441" s="20">
        <f>IF($B1441="","",IF($I1440="",0,$I1440)+IF($H1441="",0,$H1441)-IF($G1441="",0,$G1441))</f>
        <v/>
      </c>
      <c r="J1441" s="18">
        <f>IF($L1441="","",IF(INDEX(ExpNote,$L1441)="","—",INDEX(ExpNote,$L1441)))</f>
        <v/>
      </c>
      <c r="L1441">
        <f>IFERROR(MATCH($C$5&amp;"|"&amp;RIGHT("000000"&amp;1425,6),ExpRankKey,0),"")</f>
        <v/>
      </c>
    </row>
    <row r="1442">
      <c r="A1442" s="21" t="n">
        <v>1426</v>
      </c>
      <c r="B1442" s="22">
        <f>IF($L1442="","",INDEX(ExpNorm,$L1442))</f>
        <v/>
      </c>
      <c r="C1442" s="22">
        <f>IF($L1442="","",IF(INDEX(ExpTime,$L1442)="","—",LEFT(INDEX(ExpTime,$L1442),2)&amp;":"&amp;RIGHT(INDEX(ExpTime,$L1442),2)))</f>
        <v/>
      </c>
      <c r="D1442" s="22">
        <f>IF($L1442="","",IF(INDEX(ExpBank,$L1442)="","—",INDEX(ExpBank,$L1442)))</f>
        <v/>
      </c>
      <c r="E1442" s="23">
        <f>IF($L1442="","",IF(INDEX(ExpParty,$L1442)="","—",IFERROR(VLOOKUP(INDEX(ExpParty,$L1442),AcctTbl,4,0),INDEX(ExpParty,$L1442))))</f>
        <v/>
      </c>
      <c r="F1442" s="22">
        <f>IF($L1442="","",IF(INDEX(ExpType,$L1442)="","—",INDEX(ExpType,$L1442)))</f>
        <v/>
      </c>
      <c r="G1442" s="24">
        <f>IF($L1442="","",IF(INDEX(ExpDep,$L1442)=0,"",INDEX(ExpDep,$L1442)))</f>
        <v/>
      </c>
      <c r="H1442" s="24">
        <f>IF($L1442="","",IF(INDEX(ExpWit,$L1442)=0,"",INDEX(ExpWit,$L1442)))</f>
        <v/>
      </c>
      <c r="I1442" s="25">
        <f>IF($B1442="","",IF($I1441="",0,$I1441)+IF($H1442="",0,$H1442)-IF($G1442="",0,$G1442))</f>
        <v/>
      </c>
      <c r="J1442" s="23">
        <f>IF($L1442="","",IF(INDEX(ExpNote,$L1442)="","—",INDEX(ExpNote,$L1442)))</f>
        <v/>
      </c>
      <c r="L1442">
        <f>IFERROR(MATCH($C$5&amp;"|"&amp;RIGHT("000000"&amp;1426,6),ExpRankKey,0),"")</f>
        <v/>
      </c>
    </row>
    <row r="1443">
      <c r="A1443" s="16" t="n">
        <v>1427</v>
      </c>
      <c r="B1443" s="17">
        <f>IF($L1443="","",INDEX(ExpNorm,$L1443))</f>
        <v/>
      </c>
      <c r="C1443" s="17">
        <f>IF($L1443="","",IF(INDEX(ExpTime,$L1443)="","—",LEFT(INDEX(ExpTime,$L1443),2)&amp;":"&amp;RIGHT(INDEX(ExpTime,$L1443),2)))</f>
        <v/>
      </c>
      <c r="D1443" s="17">
        <f>IF($L1443="","",IF(INDEX(ExpBank,$L1443)="","—",INDEX(ExpBank,$L1443)))</f>
        <v/>
      </c>
      <c r="E1443" s="18">
        <f>IF($L1443="","",IF(INDEX(ExpParty,$L1443)="","—",IFERROR(VLOOKUP(INDEX(ExpParty,$L1443),AcctTbl,4,0),INDEX(ExpParty,$L1443))))</f>
        <v/>
      </c>
      <c r="F1443" s="17">
        <f>IF($L1443="","",IF(INDEX(ExpType,$L1443)="","—",INDEX(ExpType,$L1443)))</f>
        <v/>
      </c>
      <c r="G1443" s="19">
        <f>IF($L1443="","",IF(INDEX(ExpDep,$L1443)=0,"",INDEX(ExpDep,$L1443)))</f>
        <v/>
      </c>
      <c r="H1443" s="19">
        <f>IF($L1443="","",IF(INDEX(ExpWit,$L1443)=0,"",INDEX(ExpWit,$L1443)))</f>
        <v/>
      </c>
      <c r="I1443" s="20">
        <f>IF($B1443="","",IF($I1442="",0,$I1442)+IF($H1443="",0,$H1443)-IF($G1443="",0,$G1443))</f>
        <v/>
      </c>
      <c r="J1443" s="18">
        <f>IF($L1443="","",IF(INDEX(ExpNote,$L1443)="","—",INDEX(ExpNote,$L1443)))</f>
        <v/>
      </c>
      <c r="L1443">
        <f>IFERROR(MATCH($C$5&amp;"|"&amp;RIGHT("000000"&amp;1427,6),ExpRankKey,0),"")</f>
        <v/>
      </c>
    </row>
    <row r="1444">
      <c r="A1444" s="21" t="n">
        <v>1428</v>
      </c>
      <c r="B1444" s="22">
        <f>IF($L1444="","",INDEX(ExpNorm,$L1444))</f>
        <v/>
      </c>
      <c r="C1444" s="22">
        <f>IF($L1444="","",IF(INDEX(ExpTime,$L1444)="","—",LEFT(INDEX(ExpTime,$L1444),2)&amp;":"&amp;RIGHT(INDEX(ExpTime,$L1444),2)))</f>
        <v/>
      </c>
      <c r="D1444" s="22">
        <f>IF($L1444="","",IF(INDEX(ExpBank,$L1444)="","—",INDEX(ExpBank,$L1444)))</f>
        <v/>
      </c>
      <c r="E1444" s="23">
        <f>IF($L1444="","",IF(INDEX(ExpParty,$L1444)="","—",IFERROR(VLOOKUP(INDEX(ExpParty,$L1444),AcctTbl,4,0),INDEX(ExpParty,$L1444))))</f>
        <v/>
      </c>
      <c r="F1444" s="22">
        <f>IF($L1444="","",IF(INDEX(ExpType,$L1444)="","—",INDEX(ExpType,$L1444)))</f>
        <v/>
      </c>
      <c r="G1444" s="24">
        <f>IF($L1444="","",IF(INDEX(ExpDep,$L1444)=0,"",INDEX(ExpDep,$L1444)))</f>
        <v/>
      </c>
      <c r="H1444" s="24">
        <f>IF($L1444="","",IF(INDEX(ExpWit,$L1444)=0,"",INDEX(ExpWit,$L1444)))</f>
        <v/>
      </c>
      <c r="I1444" s="25">
        <f>IF($B1444="","",IF($I1443="",0,$I1443)+IF($H1444="",0,$H1444)-IF($G1444="",0,$G1444))</f>
        <v/>
      </c>
      <c r="J1444" s="23">
        <f>IF($L1444="","",IF(INDEX(ExpNote,$L1444)="","—",INDEX(ExpNote,$L1444)))</f>
        <v/>
      </c>
      <c r="L1444">
        <f>IFERROR(MATCH($C$5&amp;"|"&amp;RIGHT("000000"&amp;1428,6),ExpRankKey,0),"")</f>
        <v/>
      </c>
    </row>
    <row r="1445">
      <c r="A1445" s="16" t="n">
        <v>1429</v>
      </c>
      <c r="B1445" s="17">
        <f>IF($L1445="","",INDEX(ExpNorm,$L1445))</f>
        <v/>
      </c>
      <c r="C1445" s="17">
        <f>IF($L1445="","",IF(INDEX(ExpTime,$L1445)="","—",LEFT(INDEX(ExpTime,$L1445),2)&amp;":"&amp;RIGHT(INDEX(ExpTime,$L1445),2)))</f>
        <v/>
      </c>
      <c r="D1445" s="17">
        <f>IF($L1445="","",IF(INDEX(ExpBank,$L1445)="","—",INDEX(ExpBank,$L1445)))</f>
        <v/>
      </c>
      <c r="E1445" s="18">
        <f>IF($L1445="","",IF(INDEX(ExpParty,$L1445)="","—",IFERROR(VLOOKUP(INDEX(ExpParty,$L1445),AcctTbl,4,0),INDEX(ExpParty,$L1445))))</f>
        <v/>
      </c>
      <c r="F1445" s="17">
        <f>IF($L1445="","",IF(INDEX(ExpType,$L1445)="","—",INDEX(ExpType,$L1445)))</f>
        <v/>
      </c>
      <c r="G1445" s="19">
        <f>IF($L1445="","",IF(INDEX(ExpDep,$L1445)=0,"",INDEX(ExpDep,$L1445)))</f>
        <v/>
      </c>
      <c r="H1445" s="19">
        <f>IF($L1445="","",IF(INDEX(ExpWit,$L1445)=0,"",INDEX(ExpWit,$L1445)))</f>
        <v/>
      </c>
      <c r="I1445" s="20">
        <f>IF($B1445="","",IF($I1444="",0,$I1444)+IF($H1445="",0,$H1445)-IF($G1445="",0,$G1445))</f>
        <v/>
      </c>
      <c r="J1445" s="18">
        <f>IF($L1445="","",IF(INDEX(ExpNote,$L1445)="","—",INDEX(ExpNote,$L1445)))</f>
        <v/>
      </c>
      <c r="L1445">
        <f>IFERROR(MATCH($C$5&amp;"|"&amp;RIGHT("000000"&amp;1429,6),ExpRankKey,0),"")</f>
        <v/>
      </c>
    </row>
    <row r="1446">
      <c r="A1446" s="21" t="n">
        <v>1430</v>
      </c>
      <c r="B1446" s="22">
        <f>IF($L1446="","",INDEX(ExpNorm,$L1446))</f>
        <v/>
      </c>
      <c r="C1446" s="22">
        <f>IF($L1446="","",IF(INDEX(ExpTime,$L1446)="","—",LEFT(INDEX(ExpTime,$L1446),2)&amp;":"&amp;RIGHT(INDEX(ExpTime,$L1446),2)))</f>
        <v/>
      </c>
      <c r="D1446" s="22">
        <f>IF($L1446="","",IF(INDEX(ExpBank,$L1446)="","—",INDEX(ExpBank,$L1446)))</f>
        <v/>
      </c>
      <c r="E1446" s="23">
        <f>IF($L1446="","",IF(INDEX(ExpParty,$L1446)="","—",IFERROR(VLOOKUP(INDEX(ExpParty,$L1446),AcctTbl,4,0),INDEX(ExpParty,$L1446))))</f>
        <v/>
      </c>
      <c r="F1446" s="22">
        <f>IF($L1446="","",IF(INDEX(ExpType,$L1446)="","—",INDEX(ExpType,$L1446)))</f>
        <v/>
      </c>
      <c r="G1446" s="24">
        <f>IF($L1446="","",IF(INDEX(ExpDep,$L1446)=0,"",INDEX(ExpDep,$L1446)))</f>
        <v/>
      </c>
      <c r="H1446" s="24">
        <f>IF($L1446="","",IF(INDEX(ExpWit,$L1446)=0,"",INDEX(ExpWit,$L1446)))</f>
        <v/>
      </c>
      <c r="I1446" s="25">
        <f>IF($B1446="","",IF($I1445="",0,$I1445)+IF($H1446="",0,$H1446)-IF($G1446="",0,$G1446))</f>
        <v/>
      </c>
      <c r="J1446" s="23">
        <f>IF($L1446="","",IF(INDEX(ExpNote,$L1446)="","—",INDEX(ExpNote,$L1446)))</f>
        <v/>
      </c>
      <c r="L1446">
        <f>IFERROR(MATCH($C$5&amp;"|"&amp;RIGHT("000000"&amp;1430,6),ExpRankKey,0),"")</f>
        <v/>
      </c>
    </row>
    <row r="1447">
      <c r="A1447" s="16" t="n">
        <v>1431</v>
      </c>
      <c r="B1447" s="17">
        <f>IF($L1447="","",INDEX(ExpNorm,$L1447))</f>
        <v/>
      </c>
      <c r="C1447" s="17">
        <f>IF($L1447="","",IF(INDEX(ExpTime,$L1447)="","—",LEFT(INDEX(ExpTime,$L1447),2)&amp;":"&amp;RIGHT(INDEX(ExpTime,$L1447),2)))</f>
        <v/>
      </c>
      <c r="D1447" s="17">
        <f>IF($L1447="","",IF(INDEX(ExpBank,$L1447)="","—",INDEX(ExpBank,$L1447)))</f>
        <v/>
      </c>
      <c r="E1447" s="18">
        <f>IF($L1447="","",IF(INDEX(ExpParty,$L1447)="","—",IFERROR(VLOOKUP(INDEX(ExpParty,$L1447),AcctTbl,4,0),INDEX(ExpParty,$L1447))))</f>
        <v/>
      </c>
      <c r="F1447" s="17">
        <f>IF($L1447="","",IF(INDEX(ExpType,$L1447)="","—",INDEX(ExpType,$L1447)))</f>
        <v/>
      </c>
      <c r="G1447" s="19">
        <f>IF($L1447="","",IF(INDEX(ExpDep,$L1447)=0,"",INDEX(ExpDep,$L1447)))</f>
        <v/>
      </c>
      <c r="H1447" s="19">
        <f>IF($L1447="","",IF(INDEX(ExpWit,$L1447)=0,"",INDEX(ExpWit,$L1447)))</f>
        <v/>
      </c>
      <c r="I1447" s="20">
        <f>IF($B1447="","",IF($I1446="",0,$I1446)+IF($H1447="",0,$H1447)-IF($G1447="",0,$G1447))</f>
        <v/>
      </c>
      <c r="J1447" s="18">
        <f>IF($L1447="","",IF(INDEX(ExpNote,$L1447)="","—",INDEX(ExpNote,$L1447)))</f>
        <v/>
      </c>
      <c r="L1447">
        <f>IFERROR(MATCH($C$5&amp;"|"&amp;RIGHT("000000"&amp;1431,6),ExpRankKey,0),"")</f>
        <v/>
      </c>
    </row>
    <row r="1448">
      <c r="A1448" s="21" t="n">
        <v>1432</v>
      </c>
      <c r="B1448" s="22">
        <f>IF($L1448="","",INDEX(ExpNorm,$L1448))</f>
        <v/>
      </c>
      <c r="C1448" s="22">
        <f>IF($L1448="","",IF(INDEX(ExpTime,$L1448)="","—",LEFT(INDEX(ExpTime,$L1448),2)&amp;":"&amp;RIGHT(INDEX(ExpTime,$L1448),2)))</f>
        <v/>
      </c>
      <c r="D1448" s="22">
        <f>IF($L1448="","",IF(INDEX(ExpBank,$L1448)="","—",INDEX(ExpBank,$L1448)))</f>
        <v/>
      </c>
      <c r="E1448" s="23">
        <f>IF($L1448="","",IF(INDEX(ExpParty,$L1448)="","—",IFERROR(VLOOKUP(INDEX(ExpParty,$L1448),AcctTbl,4,0),INDEX(ExpParty,$L1448))))</f>
        <v/>
      </c>
      <c r="F1448" s="22">
        <f>IF($L1448="","",IF(INDEX(ExpType,$L1448)="","—",INDEX(ExpType,$L1448)))</f>
        <v/>
      </c>
      <c r="G1448" s="24">
        <f>IF($L1448="","",IF(INDEX(ExpDep,$L1448)=0,"",INDEX(ExpDep,$L1448)))</f>
        <v/>
      </c>
      <c r="H1448" s="24">
        <f>IF($L1448="","",IF(INDEX(ExpWit,$L1448)=0,"",INDEX(ExpWit,$L1448)))</f>
        <v/>
      </c>
      <c r="I1448" s="25">
        <f>IF($B1448="","",IF($I1447="",0,$I1447)+IF($H1448="",0,$H1448)-IF($G1448="",0,$G1448))</f>
        <v/>
      </c>
      <c r="J1448" s="23">
        <f>IF($L1448="","",IF(INDEX(ExpNote,$L1448)="","—",INDEX(ExpNote,$L1448)))</f>
        <v/>
      </c>
      <c r="L1448">
        <f>IFERROR(MATCH($C$5&amp;"|"&amp;RIGHT("000000"&amp;1432,6),ExpRankKey,0),"")</f>
        <v/>
      </c>
    </row>
    <row r="1449">
      <c r="A1449" s="16" t="n">
        <v>1433</v>
      </c>
      <c r="B1449" s="17">
        <f>IF($L1449="","",INDEX(ExpNorm,$L1449))</f>
        <v/>
      </c>
      <c r="C1449" s="17">
        <f>IF($L1449="","",IF(INDEX(ExpTime,$L1449)="","—",LEFT(INDEX(ExpTime,$L1449),2)&amp;":"&amp;RIGHT(INDEX(ExpTime,$L1449),2)))</f>
        <v/>
      </c>
      <c r="D1449" s="17">
        <f>IF($L1449="","",IF(INDEX(ExpBank,$L1449)="","—",INDEX(ExpBank,$L1449)))</f>
        <v/>
      </c>
      <c r="E1449" s="18">
        <f>IF($L1449="","",IF(INDEX(ExpParty,$L1449)="","—",IFERROR(VLOOKUP(INDEX(ExpParty,$L1449),AcctTbl,4,0),INDEX(ExpParty,$L1449))))</f>
        <v/>
      </c>
      <c r="F1449" s="17">
        <f>IF($L1449="","",IF(INDEX(ExpType,$L1449)="","—",INDEX(ExpType,$L1449)))</f>
        <v/>
      </c>
      <c r="G1449" s="19">
        <f>IF($L1449="","",IF(INDEX(ExpDep,$L1449)=0,"",INDEX(ExpDep,$L1449)))</f>
        <v/>
      </c>
      <c r="H1449" s="19">
        <f>IF($L1449="","",IF(INDEX(ExpWit,$L1449)=0,"",INDEX(ExpWit,$L1449)))</f>
        <v/>
      </c>
      <c r="I1449" s="20">
        <f>IF($B1449="","",IF($I1448="",0,$I1448)+IF($H1449="",0,$H1449)-IF($G1449="",0,$G1449))</f>
        <v/>
      </c>
      <c r="J1449" s="18">
        <f>IF($L1449="","",IF(INDEX(ExpNote,$L1449)="","—",INDEX(ExpNote,$L1449)))</f>
        <v/>
      </c>
      <c r="L1449">
        <f>IFERROR(MATCH($C$5&amp;"|"&amp;RIGHT("000000"&amp;1433,6),ExpRankKey,0),"")</f>
        <v/>
      </c>
    </row>
    <row r="1450">
      <c r="A1450" s="21" t="n">
        <v>1434</v>
      </c>
      <c r="B1450" s="22">
        <f>IF($L1450="","",INDEX(ExpNorm,$L1450))</f>
        <v/>
      </c>
      <c r="C1450" s="22">
        <f>IF($L1450="","",IF(INDEX(ExpTime,$L1450)="","—",LEFT(INDEX(ExpTime,$L1450),2)&amp;":"&amp;RIGHT(INDEX(ExpTime,$L1450),2)))</f>
        <v/>
      </c>
      <c r="D1450" s="22">
        <f>IF($L1450="","",IF(INDEX(ExpBank,$L1450)="","—",INDEX(ExpBank,$L1450)))</f>
        <v/>
      </c>
      <c r="E1450" s="23">
        <f>IF($L1450="","",IF(INDEX(ExpParty,$L1450)="","—",IFERROR(VLOOKUP(INDEX(ExpParty,$L1450),AcctTbl,4,0),INDEX(ExpParty,$L1450))))</f>
        <v/>
      </c>
      <c r="F1450" s="22">
        <f>IF($L1450="","",IF(INDEX(ExpType,$L1450)="","—",INDEX(ExpType,$L1450)))</f>
        <v/>
      </c>
      <c r="G1450" s="24">
        <f>IF($L1450="","",IF(INDEX(ExpDep,$L1450)=0,"",INDEX(ExpDep,$L1450)))</f>
        <v/>
      </c>
      <c r="H1450" s="24">
        <f>IF($L1450="","",IF(INDEX(ExpWit,$L1450)=0,"",INDEX(ExpWit,$L1450)))</f>
        <v/>
      </c>
      <c r="I1450" s="25">
        <f>IF($B1450="","",IF($I1449="",0,$I1449)+IF($H1450="",0,$H1450)-IF($G1450="",0,$G1450))</f>
        <v/>
      </c>
      <c r="J1450" s="23">
        <f>IF($L1450="","",IF(INDEX(ExpNote,$L1450)="","—",INDEX(ExpNote,$L1450)))</f>
        <v/>
      </c>
      <c r="L1450">
        <f>IFERROR(MATCH($C$5&amp;"|"&amp;RIGHT("000000"&amp;1434,6),ExpRankKey,0),"")</f>
        <v/>
      </c>
    </row>
    <row r="1451">
      <c r="A1451" s="16" t="n">
        <v>1435</v>
      </c>
      <c r="B1451" s="17">
        <f>IF($L1451="","",INDEX(ExpNorm,$L1451))</f>
        <v/>
      </c>
      <c r="C1451" s="17">
        <f>IF($L1451="","",IF(INDEX(ExpTime,$L1451)="","—",LEFT(INDEX(ExpTime,$L1451),2)&amp;":"&amp;RIGHT(INDEX(ExpTime,$L1451),2)))</f>
        <v/>
      </c>
      <c r="D1451" s="17">
        <f>IF($L1451="","",IF(INDEX(ExpBank,$L1451)="","—",INDEX(ExpBank,$L1451)))</f>
        <v/>
      </c>
      <c r="E1451" s="18">
        <f>IF($L1451="","",IF(INDEX(ExpParty,$L1451)="","—",IFERROR(VLOOKUP(INDEX(ExpParty,$L1451),AcctTbl,4,0),INDEX(ExpParty,$L1451))))</f>
        <v/>
      </c>
      <c r="F1451" s="17">
        <f>IF($L1451="","",IF(INDEX(ExpType,$L1451)="","—",INDEX(ExpType,$L1451)))</f>
        <v/>
      </c>
      <c r="G1451" s="19">
        <f>IF($L1451="","",IF(INDEX(ExpDep,$L1451)=0,"",INDEX(ExpDep,$L1451)))</f>
        <v/>
      </c>
      <c r="H1451" s="19">
        <f>IF($L1451="","",IF(INDEX(ExpWit,$L1451)=0,"",INDEX(ExpWit,$L1451)))</f>
        <v/>
      </c>
      <c r="I1451" s="20">
        <f>IF($B1451="","",IF($I1450="",0,$I1450)+IF($H1451="",0,$H1451)-IF($G1451="",0,$G1451))</f>
        <v/>
      </c>
      <c r="J1451" s="18">
        <f>IF($L1451="","",IF(INDEX(ExpNote,$L1451)="","—",INDEX(ExpNote,$L1451)))</f>
        <v/>
      </c>
      <c r="L1451">
        <f>IFERROR(MATCH($C$5&amp;"|"&amp;RIGHT("000000"&amp;1435,6),ExpRankKey,0),"")</f>
        <v/>
      </c>
    </row>
    <row r="1452">
      <c r="A1452" s="21" t="n">
        <v>1436</v>
      </c>
      <c r="B1452" s="22">
        <f>IF($L1452="","",INDEX(ExpNorm,$L1452))</f>
        <v/>
      </c>
      <c r="C1452" s="22">
        <f>IF($L1452="","",IF(INDEX(ExpTime,$L1452)="","—",LEFT(INDEX(ExpTime,$L1452),2)&amp;":"&amp;RIGHT(INDEX(ExpTime,$L1452),2)))</f>
        <v/>
      </c>
      <c r="D1452" s="22">
        <f>IF($L1452="","",IF(INDEX(ExpBank,$L1452)="","—",INDEX(ExpBank,$L1452)))</f>
        <v/>
      </c>
      <c r="E1452" s="23">
        <f>IF($L1452="","",IF(INDEX(ExpParty,$L1452)="","—",IFERROR(VLOOKUP(INDEX(ExpParty,$L1452),AcctTbl,4,0),INDEX(ExpParty,$L1452))))</f>
        <v/>
      </c>
      <c r="F1452" s="22">
        <f>IF($L1452="","",IF(INDEX(ExpType,$L1452)="","—",INDEX(ExpType,$L1452)))</f>
        <v/>
      </c>
      <c r="G1452" s="24">
        <f>IF($L1452="","",IF(INDEX(ExpDep,$L1452)=0,"",INDEX(ExpDep,$L1452)))</f>
        <v/>
      </c>
      <c r="H1452" s="24">
        <f>IF($L1452="","",IF(INDEX(ExpWit,$L1452)=0,"",INDEX(ExpWit,$L1452)))</f>
        <v/>
      </c>
      <c r="I1452" s="25">
        <f>IF($B1452="","",IF($I1451="",0,$I1451)+IF($H1452="",0,$H1452)-IF($G1452="",0,$G1452))</f>
        <v/>
      </c>
      <c r="J1452" s="23">
        <f>IF($L1452="","",IF(INDEX(ExpNote,$L1452)="","—",INDEX(ExpNote,$L1452)))</f>
        <v/>
      </c>
      <c r="L1452">
        <f>IFERROR(MATCH($C$5&amp;"|"&amp;RIGHT("000000"&amp;1436,6),ExpRankKey,0),"")</f>
        <v/>
      </c>
    </row>
    <row r="1453">
      <c r="A1453" s="16" t="n">
        <v>1437</v>
      </c>
      <c r="B1453" s="17">
        <f>IF($L1453="","",INDEX(ExpNorm,$L1453))</f>
        <v/>
      </c>
      <c r="C1453" s="17">
        <f>IF($L1453="","",IF(INDEX(ExpTime,$L1453)="","—",LEFT(INDEX(ExpTime,$L1453),2)&amp;":"&amp;RIGHT(INDEX(ExpTime,$L1453),2)))</f>
        <v/>
      </c>
      <c r="D1453" s="17">
        <f>IF($L1453="","",IF(INDEX(ExpBank,$L1453)="","—",INDEX(ExpBank,$L1453)))</f>
        <v/>
      </c>
      <c r="E1453" s="18">
        <f>IF($L1453="","",IF(INDEX(ExpParty,$L1453)="","—",IFERROR(VLOOKUP(INDEX(ExpParty,$L1453),AcctTbl,4,0),INDEX(ExpParty,$L1453))))</f>
        <v/>
      </c>
      <c r="F1453" s="17">
        <f>IF($L1453="","",IF(INDEX(ExpType,$L1453)="","—",INDEX(ExpType,$L1453)))</f>
        <v/>
      </c>
      <c r="G1453" s="19">
        <f>IF($L1453="","",IF(INDEX(ExpDep,$L1453)=0,"",INDEX(ExpDep,$L1453)))</f>
        <v/>
      </c>
      <c r="H1453" s="19">
        <f>IF($L1453="","",IF(INDEX(ExpWit,$L1453)=0,"",INDEX(ExpWit,$L1453)))</f>
        <v/>
      </c>
      <c r="I1453" s="20">
        <f>IF($B1453="","",IF($I1452="",0,$I1452)+IF($H1453="",0,$H1453)-IF($G1453="",0,$G1453))</f>
        <v/>
      </c>
      <c r="J1453" s="18">
        <f>IF($L1453="","",IF(INDEX(ExpNote,$L1453)="","—",INDEX(ExpNote,$L1453)))</f>
        <v/>
      </c>
      <c r="L1453">
        <f>IFERROR(MATCH($C$5&amp;"|"&amp;RIGHT("000000"&amp;1437,6),ExpRankKey,0),"")</f>
        <v/>
      </c>
    </row>
    <row r="1454">
      <c r="A1454" s="21" t="n">
        <v>1438</v>
      </c>
      <c r="B1454" s="22">
        <f>IF($L1454="","",INDEX(ExpNorm,$L1454))</f>
        <v/>
      </c>
      <c r="C1454" s="22">
        <f>IF($L1454="","",IF(INDEX(ExpTime,$L1454)="","—",LEFT(INDEX(ExpTime,$L1454),2)&amp;":"&amp;RIGHT(INDEX(ExpTime,$L1454),2)))</f>
        <v/>
      </c>
      <c r="D1454" s="22">
        <f>IF($L1454="","",IF(INDEX(ExpBank,$L1454)="","—",INDEX(ExpBank,$L1454)))</f>
        <v/>
      </c>
      <c r="E1454" s="23">
        <f>IF($L1454="","",IF(INDEX(ExpParty,$L1454)="","—",IFERROR(VLOOKUP(INDEX(ExpParty,$L1454),AcctTbl,4,0),INDEX(ExpParty,$L1454))))</f>
        <v/>
      </c>
      <c r="F1454" s="22">
        <f>IF($L1454="","",IF(INDEX(ExpType,$L1454)="","—",INDEX(ExpType,$L1454)))</f>
        <v/>
      </c>
      <c r="G1454" s="24">
        <f>IF($L1454="","",IF(INDEX(ExpDep,$L1454)=0,"",INDEX(ExpDep,$L1454)))</f>
        <v/>
      </c>
      <c r="H1454" s="24">
        <f>IF($L1454="","",IF(INDEX(ExpWit,$L1454)=0,"",INDEX(ExpWit,$L1454)))</f>
        <v/>
      </c>
      <c r="I1454" s="25">
        <f>IF($B1454="","",IF($I1453="",0,$I1453)+IF($H1454="",0,$H1454)-IF($G1454="",0,$G1454))</f>
        <v/>
      </c>
      <c r="J1454" s="23">
        <f>IF($L1454="","",IF(INDEX(ExpNote,$L1454)="","—",INDEX(ExpNote,$L1454)))</f>
        <v/>
      </c>
      <c r="L1454">
        <f>IFERROR(MATCH($C$5&amp;"|"&amp;RIGHT("000000"&amp;1438,6),ExpRankKey,0),"")</f>
        <v/>
      </c>
    </row>
    <row r="1455">
      <c r="A1455" s="16" t="n">
        <v>1439</v>
      </c>
      <c r="B1455" s="17">
        <f>IF($L1455="","",INDEX(ExpNorm,$L1455))</f>
        <v/>
      </c>
      <c r="C1455" s="17">
        <f>IF($L1455="","",IF(INDEX(ExpTime,$L1455)="","—",LEFT(INDEX(ExpTime,$L1455),2)&amp;":"&amp;RIGHT(INDEX(ExpTime,$L1455),2)))</f>
        <v/>
      </c>
      <c r="D1455" s="17">
        <f>IF($L1455="","",IF(INDEX(ExpBank,$L1455)="","—",INDEX(ExpBank,$L1455)))</f>
        <v/>
      </c>
      <c r="E1455" s="18">
        <f>IF($L1455="","",IF(INDEX(ExpParty,$L1455)="","—",IFERROR(VLOOKUP(INDEX(ExpParty,$L1455),AcctTbl,4,0),INDEX(ExpParty,$L1455))))</f>
        <v/>
      </c>
      <c r="F1455" s="17">
        <f>IF($L1455="","",IF(INDEX(ExpType,$L1455)="","—",INDEX(ExpType,$L1455)))</f>
        <v/>
      </c>
      <c r="G1455" s="19">
        <f>IF($L1455="","",IF(INDEX(ExpDep,$L1455)=0,"",INDEX(ExpDep,$L1455)))</f>
        <v/>
      </c>
      <c r="H1455" s="19">
        <f>IF($L1455="","",IF(INDEX(ExpWit,$L1455)=0,"",INDEX(ExpWit,$L1455)))</f>
        <v/>
      </c>
      <c r="I1455" s="20">
        <f>IF($B1455="","",IF($I1454="",0,$I1454)+IF($H1455="",0,$H1455)-IF($G1455="",0,$G1455))</f>
        <v/>
      </c>
      <c r="J1455" s="18">
        <f>IF($L1455="","",IF(INDEX(ExpNote,$L1455)="","—",INDEX(ExpNote,$L1455)))</f>
        <v/>
      </c>
      <c r="L1455">
        <f>IFERROR(MATCH($C$5&amp;"|"&amp;RIGHT("000000"&amp;1439,6),ExpRankKey,0),"")</f>
        <v/>
      </c>
    </row>
    <row r="1456">
      <c r="A1456" s="21" t="n">
        <v>1440</v>
      </c>
      <c r="B1456" s="22">
        <f>IF($L1456="","",INDEX(ExpNorm,$L1456))</f>
        <v/>
      </c>
      <c r="C1456" s="22">
        <f>IF($L1456="","",IF(INDEX(ExpTime,$L1456)="","—",LEFT(INDEX(ExpTime,$L1456),2)&amp;":"&amp;RIGHT(INDEX(ExpTime,$L1456),2)))</f>
        <v/>
      </c>
      <c r="D1456" s="22">
        <f>IF($L1456="","",IF(INDEX(ExpBank,$L1456)="","—",INDEX(ExpBank,$L1456)))</f>
        <v/>
      </c>
      <c r="E1456" s="23">
        <f>IF($L1456="","",IF(INDEX(ExpParty,$L1456)="","—",IFERROR(VLOOKUP(INDEX(ExpParty,$L1456),AcctTbl,4,0),INDEX(ExpParty,$L1456))))</f>
        <v/>
      </c>
      <c r="F1456" s="22">
        <f>IF($L1456="","",IF(INDEX(ExpType,$L1456)="","—",INDEX(ExpType,$L1456)))</f>
        <v/>
      </c>
      <c r="G1456" s="24">
        <f>IF($L1456="","",IF(INDEX(ExpDep,$L1456)=0,"",INDEX(ExpDep,$L1456)))</f>
        <v/>
      </c>
      <c r="H1456" s="24">
        <f>IF($L1456="","",IF(INDEX(ExpWit,$L1456)=0,"",INDEX(ExpWit,$L1456)))</f>
        <v/>
      </c>
      <c r="I1456" s="25">
        <f>IF($B1456="","",IF($I1455="",0,$I1455)+IF($H1456="",0,$H1456)-IF($G1456="",0,$G1456))</f>
        <v/>
      </c>
      <c r="J1456" s="23">
        <f>IF($L1456="","",IF(INDEX(ExpNote,$L1456)="","—",INDEX(ExpNote,$L1456)))</f>
        <v/>
      </c>
      <c r="L1456">
        <f>IFERROR(MATCH($C$5&amp;"|"&amp;RIGHT("000000"&amp;1440,6),ExpRankKey,0),"")</f>
        <v/>
      </c>
    </row>
    <row r="1457">
      <c r="A1457" s="16" t="n">
        <v>1441</v>
      </c>
      <c r="B1457" s="17">
        <f>IF($L1457="","",INDEX(ExpNorm,$L1457))</f>
        <v/>
      </c>
      <c r="C1457" s="17">
        <f>IF($L1457="","",IF(INDEX(ExpTime,$L1457)="","—",LEFT(INDEX(ExpTime,$L1457),2)&amp;":"&amp;RIGHT(INDEX(ExpTime,$L1457),2)))</f>
        <v/>
      </c>
      <c r="D1457" s="17">
        <f>IF($L1457="","",IF(INDEX(ExpBank,$L1457)="","—",INDEX(ExpBank,$L1457)))</f>
        <v/>
      </c>
      <c r="E1457" s="18">
        <f>IF($L1457="","",IF(INDEX(ExpParty,$L1457)="","—",IFERROR(VLOOKUP(INDEX(ExpParty,$L1457),AcctTbl,4,0),INDEX(ExpParty,$L1457))))</f>
        <v/>
      </c>
      <c r="F1457" s="17">
        <f>IF($L1457="","",IF(INDEX(ExpType,$L1457)="","—",INDEX(ExpType,$L1457)))</f>
        <v/>
      </c>
      <c r="G1457" s="19">
        <f>IF($L1457="","",IF(INDEX(ExpDep,$L1457)=0,"",INDEX(ExpDep,$L1457)))</f>
        <v/>
      </c>
      <c r="H1457" s="19">
        <f>IF($L1457="","",IF(INDEX(ExpWit,$L1457)=0,"",INDEX(ExpWit,$L1457)))</f>
        <v/>
      </c>
      <c r="I1457" s="20">
        <f>IF($B1457="","",IF($I1456="",0,$I1456)+IF($H1457="",0,$H1457)-IF($G1457="",0,$G1457))</f>
        <v/>
      </c>
      <c r="J1457" s="18">
        <f>IF($L1457="","",IF(INDEX(ExpNote,$L1457)="","—",INDEX(ExpNote,$L1457)))</f>
        <v/>
      </c>
      <c r="L1457">
        <f>IFERROR(MATCH($C$5&amp;"|"&amp;RIGHT("000000"&amp;1441,6),ExpRankKey,0),"")</f>
        <v/>
      </c>
    </row>
    <row r="1458">
      <c r="A1458" s="21" t="n">
        <v>1442</v>
      </c>
      <c r="B1458" s="22">
        <f>IF($L1458="","",INDEX(ExpNorm,$L1458))</f>
        <v/>
      </c>
      <c r="C1458" s="22">
        <f>IF($L1458="","",IF(INDEX(ExpTime,$L1458)="","—",LEFT(INDEX(ExpTime,$L1458),2)&amp;":"&amp;RIGHT(INDEX(ExpTime,$L1458),2)))</f>
        <v/>
      </c>
      <c r="D1458" s="22">
        <f>IF($L1458="","",IF(INDEX(ExpBank,$L1458)="","—",INDEX(ExpBank,$L1458)))</f>
        <v/>
      </c>
      <c r="E1458" s="23">
        <f>IF($L1458="","",IF(INDEX(ExpParty,$L1458)="","—",IFERROR(VLOOKUP(INDEX(ExpParty,$L1458),AcctTbl,4,0),INDEX(ExpParty,$L1458))))</f>
        <v/>
      </c>
      <c r="F1458" s="22">
        <f>IF($L1458="","",IF(INDEX(ExpType,$L1458)="","—",INDEX(ExpType,$L1458)))</f>
        <v/>
      </c>
      <c r="G1458" s="24">
        <f>IF($L1458="","",IF(INDEX(ExpDep,$L1458)=0,"",INDEX(ExpDep,$L1458)))</f>
        <v/>
      </c>
      <c r="H1458" s="24">
        <f>IF($L1458="","",IF(INDEX(ExpWit,$L1458)=0,"",INDEX(ExpWit,$L1458)))</f>
        <v/>
      </c>
      <c r="I1458" s="25">
        <f>IF($B1458="","",IF($I1457="",0,$I1457)+IF($H1458="",0,$H1458)-IF($G1458="",0,$G1458))</f>
        <v/>
      </c>
      <c r="J1458" s="23">
        <f>IF($L1458="","",IF(INDEX(ExpNote,$L1458)="","—",INDEX(ExpNote,$L1458)))</f>
        <v/>
      </c>
      <c r="L1458">
        <f>IFERROR(MATCH($C$5&amp;"|"&amp;RIGHT("000000"&amp;1442,6),ExpRankKey,0),"")</f>
        <v/>
      </c>
    </row>
    <row r="1459">
      <c r="A1459" s="16" t="n">
        <v>1443</v>
      </c>
      <c r="B1459" s="17">
        <f>IF($L1459="","",INDEX(ExpNorm,$L1459))</f>
        <v/>
      </c>
      <c r="C1459" s="17">
        <f>IF($L1459="","",IF(INDEX(ExpTime,$L1459)="","—",LEFT(INDEX(ExpTime,$L1459),2)&amp;":"&amp;RIGHT(INDEX(ExpTime,$L1459),2)))</f>
        <v/>
      </c>
      <c r="D1459" s="17">
        <f>IF($L1459="","",IF(INDEX(ExpBank,$L1459)="","—",INDEX(ExpBank,$L1459)))</f>
        <v/>
      </c>
      <c r="E1459" s="18">
        <f>IF($L1459="","",IF(INDEX(ExpParty,$L1459)="","—",IFERROR(VLOOKUP(INDEX(ExpParty,$L1459),AcctTbl,4,0),INDEX(ExpParty,$L1459))))</f>
        <v/>
      </c>
      <c r="F1459" s="17">
        <f>IF($L1459="","",IF(INDEX(ExpType,$L1459)="","—",INDEX(ExpType,$L1459)))</f>
        <v/>
      </c>
      <c r="G1459" s="19">
        <f>IF($L1459="","",IF(INDEX(ExpDep,$L1459)=0,"",INDEX(ExpDep,$L1459)))</f>
        <v/>
      </c>
      <c r="H1459" s="19">
        <f>IF($L1459="","",IF(INDEX(ExpWit,$L1459)=0,"",INDEX(ExpWit,$L1459)))</f>
        <v/>
      </c>
      <c r="I1459" s="20">
        <f>IF($B1459="","",IF($I1458="",0,$I1458)+IF($H1459="",0,$H1459)-IF($G1459="",0,$G1459))</f>
        <v/>
      </c>
      <c r="J1459" s="18">
        <f>IF($L1459="","",IF(INDEX(ExpNote,$L1459)="","—",INDEX(ExpNote,$L1459)))</f>
        <v/>
      </c>
      <c r="L1459">
        <f>IFERROR(MATCH($C$5&amp;"|"&amp;RIGHT("000000"&amp;1443,6),ExpRankKey,0),"")</f>
        <v/>
      </c>
    </row>
    <row r="1460">
      <c r="A1460" s="21" t="n">
        <v>1444</v>
      </c>
      <c r="B1460" s="22">
        <f>IF($L1460="","",INDEX(ExpNorm,$L1460))</f>
        <v/>
      </c>
      <c r="C1460" s="22">
        <f>IF($L1460="","",IF(INDEX(ExpTime,$L1460)="","—",LEFT(INDEX(ExpTime,$L1460),2)&amp;":"&amp;RIGHT(INDEX(ExpTime,$L1460),2)))</f>
        <v/>
      </c>
      <c r="D1460" s="22">
        <f>IF($L1460="","",IF(INDEX(ExpBank,$L1460)="","—",INDEX(ExpBank,$L1460)))</f>
        <v/>
      </c>
      <c r="E1460" s="23">
        <f>IF($L1460="","",IF(INDEX(ExpParty,$L1460)="","—",IFERROR(VLOOKUP(INDEX(ExpParty,$L1460),AcctTbl,4,0),INDEX(ExpParty,$L1460))))</f>
        <v/>
      </c>
      <c r="F1460" s="22">
        <f>IF($L1460="","",IF(INDEX(ExpType,$L1460)="","—",INDEX(ExpType,$L1460)))</f>
        <v/>
      </c>
      <c r="G1460" s="24">
        <f>IF($L1460="","",IF(INDEX(ExpDep,$L1460)=0,"",INDEX(ExpDep,$L1460)))</f>
        <v/>
      </c>
      <c r="H1460" s="24">
        <f>IF($L1460="","",IF(INDEX(ExpWit,$L1460)=0,"",INDEX(ExpWit,$L1460)))</f>
        <v/>
      </c>
      <c r="I1460" s="25">
        <f>IF($B1460="","",IF($I1459="",0,$I1459)+IF($H1460="",0,$H1460)-IF($G1460="",0,$G1460))</f>
        <v/>
      </c>
      <c r="J1460" s="23">
        <f>IF($L1460="","",IF(INDEX(ExpNote,$L1460)="","—",INDEX(ExpNote,$L1460)))</f>
        <v/>
      </c>
      <c r="L1460">
        <f>IFERROR(MATCH($C$5&amp;"|"&amp;RIGHT("000000"&amp;1444,6),ExpRankKey,0),"")</f>
        <v/>
      </c>
    </row>
    <row r="1461">
      <c r="A1461" s="16" t="n">
        <v>1445</v>
      </c>
      <c r="B1461" s="17">
        <f>IF($L1461="","",INDEX(ExpNorm,$L1461))</f>
        <v/>
      </c>
      <c r="C1461" s="17">
        <f>IF($L1461="","",IF(INDEX(ExpTime,$L1461)="","—",LEFT(INDEX(ExpTime,$L1461),2)&amp;":"&amp;RIGHT(INDEX(ExpTime,$L1461),2)))</f>
        <v/>
      </c>
      <c r="D1461" s="17">
        <f>IF($L1461="","",IF(INDEX(ExpBank,$L1461)="","—",INDEX(ExpBank,$L1461)))</f>
        <v/>
      </c>
      <c r="E1461" s="18">
        <f>IF($L1461="","",IF(INDEX(ExpParty,$L1461)="","—",IFERROR(VLOOKUP(INDEX(ExpParty,$L1461),AcctTbl,4,0),INDEX(ExpParty,$L1461))))</f>
        <v/>
      </c>
      <c r="F1461" s="17">
        <f>IF($L1461="","",IF(INDEX(ExpType,$L1461)="","—",INDEX(ExpType,$L1461)))</f>
        <v/>
      </c>
      <c r="G1461" s="19">
        <f>IF($L1461="","",IF(INDEX(ExpDep,$L1461)=0,"",INDEX(ExpDep,$L1461)))</f>
        <v/>
      </c>
      <c r="H1461" s="19">
        <f>IF($L1461="","",IF(INDEX(ExpWit,$L1461)=0,"",INDEX(ExpWit,$L1461)))</f>
        <v/>
      </c>
      <c r="I1461" s="20">
        <f>IF($B1461="","",IF($I1460="",0,$I1460)+IF($H1461="",0,$H1461)-IF($G1461="",0,$G1461))</f>
        <v/>
      </c>
      <c r="J1461" s="18">
        <f>IF($L1461="","",IF(INDEX(ExpNote,$L1461)="","—",INDEX(ExpNote,$L1461)))</f>
        <v/>
      </c>
      <c r="L1461">
        <f>IFERROR(MATCH($C$5&amp;"|"&amp;RIGHT("000000"&amp;1445,6),ExpRankKey,0),"")</f>
        <v/>
      </c>
    </row>
    <row r="1462">
      <c r="A1462" s="21" t="n">
        <v>1446</v>
      </c>
      <c r="B1462" s="22">
        <f>IF($L1462="","",INDEX(ExpNorm,$L1462))</f>
        <v/>
      </c>
      <c r="C1462" s="22">
        <f>IF($L1462="","",IF(INDEX(ExpTime,$L1462)="","—",LEFT(INDEX(ExpTime,$L1462),2)&amp;":"&amp;RIGHT(INDEX(ExpTime,$L1462),2)))</f>
        <v/>
      </c>
      <c r="D1462" s="22">
        <f>IF($L1462="","",IF(INDEX(ExpBank,$L1462)="","—",INDEX(ExpBank,$L1462)))</f>
        <v/>
      </c>
      <c r="E1462" s="23">
        <f>IF($L1462="","",IF(INDEX(ExpParty,$L1462)="","—",IFERROR(VLOOKUP(INDEX(ExpParty,$L1462),AcctTbl,4,0),INDEX(ExpParty,$L1462))))</f>
        <v/>
      </c>
      <c r="F1462" s="22">
        <f>IF($L1462="","",IF(INDEX(ExpType,$L1462)="","—",INDEX(ExpType,$L1462)))</f>
        <v/>
      </c>
      <c r="G1462" s="24">
        <f>IF($L1462="","",IF(INDEX(ExpDep,$L1462)=0,"",INDEX(ExpDep,$L1462)))</f>
        <v/>
      </c>
      <c r="H1462" s="24">
        <f>IF($L1462="","",IF(INDEX(ExpWit,$L1462)=0,"",INDEX(ExpWit,$L1462)))</f>
        <v/>
      </c>
      <c r="I1462" s="25">
        <f>IF($B1462="","",IF($I1461="",0,$I1461)+IF($H1462="",0,$H1462)-IF($G1462="",0,$G1462))</f>
        <v/>
      </c>
      <c r="J1462" s="23">
        <f>IF($L1462="","",IF(INDEX(ExpNote,$L1462)="","—",INDEX(ExpNote,$L1462)))</f>
        <v/>
      </c>
      <c r="L1462">
        <f>IFERROR(MATCH($C$5&amp;"|"&amp;RIGHT("000000"&amp;1446,6),ExpRankKey,0),"")</f>
        <v/>
      </c>
    </row>
    <row r="1463">
      <c r="A1463" s="16" t="n">
        <v>1447</v>
      </c>
      <c r="B1463" s="17">
        <f>IF($L1463="","",INDEX(ExpNorm,$L1463))</f>
        <v/>
      </c>
      <c r="C1463" s="17">
        <f>IF($L1463="","",IF(INDEX(ExpTime,$L1463)="","—",LEFT(INDEX(ExpTime,$L1463),2)&amp;":"&amp;RIGHT(INDEX(ExpTime,$L1463),2)))</f>
        <v/>
      </c>
      <c r="D1463" s="17">
        <f>IF($L1463="","",IF(INDEX(ExpBank,$L1463)="","—",INDEX(ExpBank,$L1463)))</f>
        <v/>
      </c>
      <c r="E1463" s="18">
        <f>IF($L1463="","",IF(INDEX(ExpParty,$L1463)="","—",IFERROR(VLOOKUP(INDEX(ExpParty,$L1463),AcctTbl,4,0),INDEX(ExpParty,$L1463))))</f>
        <v/>
      </c>
      <c r="F1463" s="17">
        <f>IF($L1463="","",IF(INDEX(ExpType,$L1463)="","—",INDEX(ExpType,$L1463)))</f>
        <v/>
      </c>
      <c r="G1463" s="19">
        <f>IF($L1463="","",IF(INDEX(ExpDep,$L1463)=0,"",INDEX(ExpDep,$L1463)))</f>
        <v/>
      </c>
      <c r="H1463" s="19">
        <f>IF($L1463="","",IF(INDEX(ExpWit,$L1463)=0,"",INDEX(ExpWit,$L1463)))</f>
        <v/>
      </c>
      <c r="I1463" s="20">
        <f>IF($B1463="","",IF($I1462="",0,$I1462)+IF($H1463="",0,$H1463)-IF($G1463="",0,$G1463))</f>
        <v/>
      </c>
      <c r="J1463" s="18">
        <f>IF($L1463="","",IF(INDEX(ExpNote,$L1463)="","—",INDEX(ExpNote,$L1463)))</f>
        <v/>
      </c>
      <c r="L1463">
        <f>IFERROR(MATCH($C$5&amp;"|"&amp;RIGHT("000000"&amp;1447,6),ExpRankKey,0),"")</f>
        <v/>
      </c>
    </row>
    <row r="1464">
      <c r="A1464" s="21" t="n">
        <v>1448</v>
      </c>
      <c r="B1464" s="22">
        <f>IF($L1464="","",INDEX(ExpNorm,$L1464))</f>
        <v/>
      </c>
      <c r="C1464" s="22">
        <f>IF($L1464="","",IF(INDEX(ExpTime,$L1464)="","—",LEFT(INDEX(ExpTime,$L1464),2)&amp;":"&amp;RIGHT(INDEX(ExpTime,$L1464),2)))</f>
        <v/>
      </c>
      <c r="D1464" s="22">
        <f>IF($L1464="","",IF(INDEX(ExpBank,$L1464)="","—",INDEX(ExpBank,$L1464)))</f>
        <v/>
      </c>
      <c r="E1464" s="23">
        <f>IF($L1464="","",IF(INDEX(ExpParty,$L1464)="","—",IFERROR(VLOOKUP(INDEX(ExpParty,$L1464),AcctTbl,4,0),INDEX(ExpParty,$L1464))))</f>
        <v/>
      </c>
      <c r="F1464" s="22">
        <f>IF($L1464="","",IF(INDEX(ExpType,$L1464)="","—",INDEX(ExpType,$L1464)))</f>
        <v/>
      </c>
      <c r="G1464" s="24">
        <f>IF($L1464="","",IF(INDEX(ExpDep,$L1464)=0,"",INDEX(ExpDep,$L1464)))</f>
        <v/>
      </c>
      <c r="H1464" s="24">
        <f>IF($L1464="","",IF(INDEX(ExpWit,$L1464)=0,"",INDEX(ExpWit,$L1464)))</f>
        <v/>
      </c>
      <c r="I1464" s="25">
        <f>IF($B1464="","",IF($I1463="",0,$I1463)+IF($H1464="",0,$H1464)-IF($G1464="",0,$G1464))</f>
        <v/>
      </c>
      <c r="J1464" s="23">
        <f>IF($L1464="","",IF(INDEX(ExpNote,$L1464)="","—",INDEX(ExpNote,$L1464)))</f>
        <v/>
      </c>
      <c r="L1464">
        <f>IFERROR(MATCH($C$5&amp;"|"&amp;RIGHT("000000"&amp;1448,6),ExpRankKey,0),"")</f>
        <v/>
      </c>
    </row>
    <row r="1465">
      <c r="A1465" s="16" t="n">
        <v>1449</v>
      </c>
      <c r="B1465" s="17">
        <f>IF($L1465="","",INDEX(ExpNorm,$L1465))</f>
        <v/>
      </c>
      <c r="C1465" s="17">
        <f>IF($L1465="","",IF(INDEX(ExpTime,$L1465)="","—",LEFT(INDEX(ExpTime,$L1465),2)&amp;":"&amp;RIGHT(INDEX(ExpTime,$L1465),2)))</f>
        <v/>
      </c>
      <c r="D1465" s="17">
        <f>IF($L1465="","",IF(INDEX(ExpBank,$L1465)="","—",INDEX(ExpBank,$L1465)))</f>
        <v/>
      </c>
      <c r="E1465" s="18">
        <f>IF($L1465="","",IF(INDEX(ExpParty,$L1465)="","—",IFERROR(VLOOKUP(INDEX(ExpParty,$L1465),AcctTbl,4,0),INDEX(ExpParty,$L1465))))</f>
        <v/>
      </c>
      <c r="F1465" s="17">
        <f>IF($L1465="","",IF(INDEX(ExpType,$L1465)="","—",INDEX(ExpType,$L1465)))</f>
        <v/>
      </c>
      <c r="G1465" s="19">
        <f>IF($L1465="","",IF(INDEX(ExpDep,$L1465)=0,"",INDEX(ExpDep,$L1465)))</f>
        <v/>
      </c>
      <c r="H1465" s="19">
        <f>IF($L1465="","",IF(INDEX(ExpWit,$L1465)=0,"",INDEX(ExpWit,$L1465)))</f>
        <v/>
      </c>
      <c r="I1465" s="20">
        <f>IF($B1465="","",IF($I1464="",0,$I1464)+IF($H1465="",0,$H1465)-IF($G1465="",0,$G1465))</f>
        <v/>
      </c>
      <c r="J1465" s="18">
        <f>IF($L1465="","",IF(INDEX(ExpNote,$L1465)="","—",INDEX(ExpNote,$L1465)))</f>
        <v/>
      </c>
      <c r="L1465">
        <f>IFERROR(MATCH($C$5&amp;"|"&amp;RIGHT("000000"&amp;1449,6),ExpRankKey,0),"")</f>
        <v/>
      </c>
    </row>
    <row r="1466">
      <c r="A1466" s="21" t="n">
        <v>1450</v>
      </c>
      <c r="B1466" s="22">
        <f>IF($L1466="","",INDEX(ExpNorm,$L1466))</f>
        <v/>
      </c>
      <c r="C1466" s="22">
        <f>IF($L1466="","",IF(INDEX(ExpTime,$L1466)="","—",LEFT(INDEX(ExpTime,$L1466),2)&amp;":"&amp;RIGHT(INDEX(ExpTime,$L1466),2)))</f>
        <v/>
      </c>
      <c r="D1466" s="22">
        <f>IF($L1466="","",IF(INDEX(ExpBank,$L1466)="","—",INDEX(ExpBank,$L1466)))</f>
        <v/>
      </c>
      <c r="E1466" s="23">
        <f>IF($L1466="","",IF(INDEX(ExpParty,$L1466)="","—",IFERROR(VLOOKUP(INDEX(ExpParty,$L1466),AcctTbl,4,0),INDEX(ExpParty,$L1466))))</f>
        <v/>
      </c>
      <c r="F1466" s="22">
        <f>IF($L1466="","",IF(INDEX(ExpType,$L1466)="","—",INDEX(ExpType,$L1466)))</f>
        <v/>
      </c>
      <c r="G1466" s="24">
        <f>IF($L1466="","",IF(INDEX(ExpDep,$L1466)=0,"",INDEX(ExpDep,$L1466)))</f>
        <v/>
      </c>
      <c r="H1466" s="24">
        <f>IF($L1466="","",IF(INDEX(ExpWit,$L1466)=0,"",INDEX(ExpWit,$L1466)))</f>
        <v/>
      </c>
      <c r="I1466" s="25">
        <f>IF($B1466="","",IF($I1465="",0,$I1465)+IF($H1466="",0,$H1466)-IF($G1466="",0,$G1466))</f>
        <v/>
      </c>
      <c r="J1466" s="23">
        <f>IF($L1466="","",IF(INDEX(ExpNote,$L1466)="","—",INDEX(ExpNote,$L1466)))</f>
        <v/>
      </c>
      <c r="L1466">
        <f>IFERROR(MATCH($C$5&amp;"|"&amp;RIGHT("000000"&amp;1450,6),ExpRankKey,0),"")</f>
        <v/>
      </c>
    </row>
    <row r="1467">
      <c r="A1467" s="16" t="n">
        <v>1451</v>
      </c>
      <c r="B1467" s="17">
        <f>IF($L1467="","",INDEX(ExpNorm,$L1467))</f>
        <v/>
      </c>
      <c r="C1467" s="17">
        <f>IF($L1467="","",IF(INDEX(ExpTime,$L1467)="","—",LEFT(INDEX(ExpTime,$L1467),2)&amp;":"&amp;RIGHT(INDEX(ExpTime,$L1467),2)))</f>
        <v/>
      </c>
      <c r="D1467" s="17">
        <f>IF($L1467="","",IF(INDEX(ExpBank,$L1467)="","—",INDEX(ExpBank,$L1467)))</f>
        <v/>
      </c>
      <c r="E1467" s="18">
        <f>IF($L1467="","",IF(INDEX(ExpParty,$L1467)="","—",IFERROR(VLOOKUP(INDEX(ExpParty,$L1467),AcctTbl,4,0),INDEX(ExpParty,$L1467))))</f>
        <v/>
      </c>
      <c r="F1467" s="17">
        <f>IF($L1467="","",IF(INDEX(ExpType,$L1467)="","—",INDEX(ExpType,$L1467)))</f>
        <v/>
      </c>
      <c r="G1467" s="19">
        <f>IF($L1467="","",IF(INDEX(ExpDep,$L1467)=0,"",INDEX(ExpDep,$L1467)))</f>
        <v/>
      </c>
      <c r="H1467" s="19">
        <f>IF($L1467="","",IF(INDEX(ExpWit,$L1467)=0,"",INDEX(ExpWit,$L1467)))</f>
        <v/>
      </c>
      <c r="I1467" s="20">
        <f>IF($B1467="","",IF($I1466="",0,$I1466)+IF($H1467="",0,$H1467)-IF($G1467="",0,$G1467))</f>
        <v/>
      </c>
      <c r="J1467" s="18">
        <f>IF($L1467="","",IF(INDEX(ExpNote,$L1467)="","—",INDEX(ExpNote,$L1467)))</f>
        <v/>
      </c>
      <c r="L1467">
        <f>IFERROR(MATCH($C$5&amp;"|"&amp;RIGHT("000000"&amp;1451,6),ExpRankKey,0),"")</f>
        <v/>
      </c>
    </row>
    <row r="1468">
      <c r="A1468" s="21" t="n">
        <v>1452</v>
      </c>
      <c r="B1468" s="22">
        <f>IF($L1468="","",INDEX(ExpNorm,$L1468))</f>
        <v/>
      </c>
      <c r="C1468" s="22">
        <f>IF($L1468="","",IF(INDEX(ExpTime,$L1468)="","—",LEFT(INDEX(ExpTime,$L1468),2)&amp;":"&amp;RIGHT(INDEX(ExpTime,$L1468),2)))</f>
        <v/>
      </c>
      <c r="D1468" s="22">
        <f>IF($L1468="","",IF(INDEX(ExpBank,$L1468)="","—",INDEX(ExpBank,$L1468)))</f>
        <v/>
      </c>
      <c r="E1468" s="23">
        <f>IF($L1468="","",IF(INDEX(ExpParty,$L1468)="","—",IFERROR(VLOOKUP(INDEX(ExpParty,$L1468),AcctTbl,4,0),INDEX(ExpParty,$L1468))))</f>
        <v/>
      </c>
      <c r="F1468" s="22">
        <f>IF($L1468="","",IF(INDEX(ExpType,$L1468)="","—",INDEX(ExpType,$L1468)))</f>
        <v/>
      </c>
      <c r="G1468" s="24">
        <f>IF($L1468="","",IF(INDEX(ExpDep,$L1468)=0,"",INDEX(ExpDep,$L1468)))</f>
        <v/>
      </c>
      <c r="H1468" s="24">
        <f>IF($L1468="","",IF(INDEX(ExpWit,$L1468)=0,"",INDEX(ExpWit,$L1468)))</f>
        <v/>
      </c>
      <c r="I1468" s="25">
        <f>IF($B1468="","",IF($I1467="",0,$I1467)+IF($H1468="",0,$H1468)-IF($G1468="",0,$G1468))</f>
        <v/>
      </c>
      <c r="J1468" s="23">
        <f>IF($L1468="","",IF(INDEX(ExpNote,$L1468)="","—",INDEX(ExpNote,$L1468)))</f>
        <v/>
      </c>
      <c r="L1468">
        <f>IFERROR(MATCH($C$5&amp;"|"&amp;RIGHT("000000"&amp;1452,6),ExpRankKey,0),"")</f>
        <v/>
      </c>
    </row>
    <row r="1469">
      <c r="A1469" s="16" t="n">
        <v>1453</v>
      </c>
      <c r="B1469" s="17">
        <f>IF($L1469="","",INDEX(ExpNorm,$L1469))</f>
        <v/>
      </c>
      <c r="C1469" s="17">
        <f>IF($L1469="","",IF(INDEX(ExpTime,$L1469)="","—",LEFT(INDEX(ExpTime,$L1469),2)&amp;":"&amp;RIGHT(INDEX(ExpTime,$L1469),2)))</f>
        <v/>
      </c>
      <c r="D1469" s="17">
        <f>IF($L1469="","",IF(INDEX(ExpBank,$L1469)="","—",INDEX(ExpBank,$L1469)))</f>
        <v/>
      </c>
      <c r="E1469" s="18">
        <f>IF($L1469="","",IF(INDEX(ExpParty,$L1469)="","—",IFERROR(VLOOKUP(INDEX(ExpParty,$L1469),AcctTbl,4,0),INDEX(ExpParty,$L1469))))</f>
        <v/>
      </c>
      <c r="F1469" s="17">
        <f>IF($L1469="","",IF(INDEX(ExpType,$L1469)="","—",INDEX(ExpType,$L1469)))</f>
        <v/>
      </c>
      <c r="G1469" s="19">
        <f>IF($L1469="","",IF(INDEX(ExpDep,$L1469)=0,"",INDEX(ExpDep,$L1469)))</f>
        <v/>
      </c>
      <c r="H1469" s="19">
        <f>IF($L1469="","",IF(INDEX(ExpWit,$L1469)=0,"",INDEX(ExpWit,$L1469)))</f>
        <v/>
      </c>
      <c r="I1469" s="20">
        <f>IF($B1469="","",IF($I1468="",0,$I1468)+IF($H1469="",0,$H1469)-IF($G1469="",0,$G1469))</f>
        <v/>
      </c>
      <c r="J1469" s="18">
        <f>IF($L1469="","",IF(INDEX(ExpNote,$L1469)="","—",INDEX(ExpNote,$L1469)))</f>
        <v/>
      </c>
      <c r="L1469">
        <f>IFERROR(MATCH($C$5&amp;"|"&amp;RIGHT("000000"&amp;1453,6),ExpRankKey,0),"")</f>
        <v/>
      </c>
    </row>
    <row r="1470">
      <c r="A1470" s="21" t="n">
        <v>1454</v>
      </c>
      <c r="B1470" s="22">
        <f>IF($L1470="","",INDEX(ExpNorm,$L1470))</f>
        <v/>
      </c>
      <c r="C1470" s="22">
        <f>IF($L1470="","",IF(INDEX(ExpTime,$L1470)="","—",LEFT(INDEX(ExpTime,$L1470),2)&amp;":"&amp;RIGHT(INDEX(ExpTime,$L1470),2)))</f>
        <v/>
      </c>
      <c r="D1470" s="22">
        <f>IF($L1470="","",IF(INDEX(ExpBank,$L1470)="","—",INDEX(ExpBank,$L1470)))</f>
        <v/>
      </c>
      <c r="E1470" s="23">
        <f>IF($L1470="","",IF(INDEX(ExpParty,$L1470)="","—",IFERROR(VLOOKUP(INDEX(ExpParty,$L1470),AcctTbl,4,0),INDEX(ExpParty,$L1470))))</f>
        <v/>
      </c>
      <c r="F1470" s="22">
        <f>IF($L1470="","",IF(INDEX(ExpType,$L1470)="","—",INDEX(ExpType,$L1470)))</f>
        <v/>
      </c>
      <c r="G1470" s="24">
        <f>IF($L1470="","",IF(INDEX(ExpDep,$L1470)=0,"",INDEX(ExpDep,$L1470)))</f>
        <v/>
      </c>
      <c r="H1470" s="24">
        <f>IF($L1470="","",IF(INDEX(ExpWit,$L1470)=0,"",INDEX(ExpWit,$L1470)))</f>
        <v/>
      </c>
      <c r="I1470" s="25">
        <f>IF($B1470="","",IF($I1469="",0,$I1469)+IF($H1470="",0,$H1470)-IF($G1470="",0,$G1470))</f>
        <v/>
      </c>
      <c r="J1470" s="23">
        <f>IF($L1470="","",IF(INDEX(ExpNote,$L1470)="","—",INDEX(ExpNote,$L1470)))</f>
        <v/>
      </c>
      <c r="L1470">
        <f>IFERROR(MATCH($C$5&amp;"|"&amp;RIGHT("000000"&amp;1454,6),ExpRankKey,0),"")</f>
        <v/>
      </c>
    </row>
    <row r="1471">
      <c r="A1471" s="16" t="n">
        <v>1455</v>
      </c>
      <c r="B1471" s="17">
        <f>IF($L1471="","",INDEX(ExpNorm,$L1471))</f>
        <v/>
      </c>
      <c r="C1471" s="17">
        <f>IF($L1471="","",IF(INDEX(ExpTime,$L1471)="","—",LEFT(INDEX(ExpTime,$L1471),2)&amp;":"&amp;RIGHT(INDEX(ExpTime,$L1471),2)))</f>
        <v/>
      </c>
      <c r="D1471" s="17">
        <f>IF($L1471="","",IF(INDEX(ExpBank,$L1471)="","—",INDEX(ExpBank,$L1471)))</f>
        <v/>
      </c>
      <c r="E1471" s="18">
        <f>IF($L1471="","",IF(INDEX(ExpParty,$L1471)="","—",IFERROR(VLOOKUP(INDEX(ExpParty,$L1471),AcctTbl,4,0),INDEX(ExpParty,$L1471))))</f>
        <v/>
      </c>
      <c r="F1471" s="17">
        <f>IF($L1471="","",IF(INDEX(ExpType,$L1471)="","—",INDEX(ExpType,$L1471)))</f>
        <v/>
      </c>
      <c r="G1471" s="19">
        <f>IF($L1471="","",IF(INDEX(ExpDep,$L1471)=0,"",INDEX(ExpDep,$L1471)))</f>
        <v/>
      </c>
      <c r="H1471" s="19">
        <f>IF($L1471="","",IF(INDEX(ExpWit,$L1471)=0,"",INDEX(ExpWit,$L1471)))</f>
        <v/>
      </c>
      <c r="I1471" s="20">
        <f>IF($B1471="","",IF($I1470="",0,$I1470)+IF($H1471="",0,$H1471)-IF($G1471="",0,$G1471))</f>
        <v/>
      </c>
      <c r="J1471" s="18">
        <f>IF($L1471="","",IF(INDEX(ExpNote,$L1471)="","—",INDEX(ExpNote,$L1471)))</f>
        <v/>
      </c>
      <c r="L1471">
        <f>IFERROR(MATCH($C$5&amp;"|"&amp;RIGHT("000000"&amp;1455,6),ExpRankKey,0),"")</f>
        <v/>
      </c>
    </row>
    <row r="1472">
      <c r="A1472" s="21" t="n">
        <v>1456</v>
      </c>
      <c r="B1472" s="22">
        <f>IF($L1472="","",INDEX(ExpNorm,$L1472))</f>
        <v/>
      </c>
      <c r="C1472" s="22">
        <f>IF($L1472="","",IF(INDEX(ExpTime,$L1472)="","—",LEFT(INDEX(ExpTime,$L1472),2)&amp;":"&amp;RIGHT(INDEX(ExpTime,$L1472),2)))</f>
        <v/>
      </c>
      <c r="D1472" s="22">
        <f>IF($L1472="","",IF(INDEX(ExpBank,$L1472)="","—",INDEX(ExpBank,$L1472)))</f>
        <v/>
      </c>
      <c r="E1472" s="23">
        <f>IF($L1472="","",IF(INDEX(ExpParty,$L1472)="","—",IFERROR(VLOOKUP(INDEX(ExpParty,$L1472),AcctTbl,4,0),INDEX(ExpParty,$L1472))))</f>
        <v/>
      </c>
      <c r="F1472" s="22">
        <f>IF($L1472="","",IF(INDEX(ExpType,$L1472)="","—",INDEX(ExpType,$L1472)))</f>
        <v/>
      </c>
      <c r="G1472" s="24">
        <f>IF($L1472="","",IF(INDEX(ExpDep,$L1472)=0,"",INDEX(ExpDep,$L1472)))</f>
        <v/>
      </c>
      <c r="H1472" s="24">
        <f>IF($L1472="","",IF(INDEX(ExpWit,$L1472)=0,"",INDEX(ExpWit,$L1472)))</f>
        <v/>
      </c>
      <c r="I1472" s="25">
        <f>IF($B1472="","",IF($I1471="",0,$I1471)+IF($H1472="",0,$H1472)-IF($G1472="",0,$G1472))</f>
        <v/>
      </c>
      <c r="J1472" s="23">
        <f>IF($L1472="","",IF(INDEX(ExpNote,$L1472)="","—",INDEX(ExpNote,$L1472)))</f>
        <v/>
      </c>
      <c r="L1472">
        <f>IFERROR(MATCH($C$5&amp;"|"&amp;RIGHT("000000"&amp;1456,6),ExpRankKey,0),"")</f>
        <v/>
      </c>
    </row>
    <row r="1473">
      <c r="A1473" s="16" t="n">
        <v>1457</v>
      </c>
      <c r="B1473" s="17">
        <f>IF($L1473="","",INDEX(ExpNorm,$L1473))</f>
        <v/>
      </c>
      <c r="C1473" s="17">
        <f>IF($L1473="","",IF(INDEX(ExpTime,$L1473)="","—",LEFT(INDEX(ExpTime,$L1473),2)&amp;":"&amp;RIGHT(INDEX(ExpTime,$L1473),2)))</f>
        <v/>
      </c>
      <c r="D1473" s="17">
        <f>IF($L1473="","",IF(INDEX(ExpBank,$L1473)="","—",INDEX(ExpBank,$L1473)))</f>
        <v/>
      </c>
      <c r="E1473" s="18">
        <f>IF($L1473="","",IF(INDEX(ExpParty,$L1473)="","—",IFERROR(VLOOKUP(INDEX(ExpParty,$L1473),AcctTbl,4,0),INDEX(ExpParty,$L1473))))</f>
        <v/>
      </c>
      <c r="F1473" s="17">
        <f>IF($L1473="","",IF(INDEX(ExpType,$L1473)="","—",INDEX(ExpType,$L1473)))</f>
        <v/>
      </c>
      <c r="G1473" s="19">
        <f>IF($L1473="","",IF(INDEX(ExpDep,$L1473)=0,"",INDEX(ExpDep,$L1473)))</f>
        <v/>
      </c>
      <c r="H1473" s="19">
        <f>IF($L1473="","",IF(INDEX(ExpWit,$L1473)=0,"",INDEX(ExpWit,$L1473)))</f>
        <v/>
      </c>
      <c r="I1473" s="20">
        <f>IF($B1473="","",IF($I1472="",0,$I1472)+IF($H1473="",0,$H1473)-IF($G1473="",0,$G1473))</f>
        <v/>
      </c>
      <c r="J1473" s="18">
        <f>IF($L1473="","",IF(INDEX(ExpNote,$L1473)="","—",INDEX(ExpNote,$L1473)))</f>
        <v/>
      </c>
      <c r="L1473">
        <f>IFERROR(MATCH($C$5&amp;"|"&amp;RIGHT("000000"&amp;1457,6),ExpRankKey,0),"")</f>
        <v/>
      </c>
    </row>
    <row r="1474">
      <c r="A1474" s="21" t="n">
        <v>1458</v>
      </c>
      <c r="B1474" s="22">
        <f>IF($L1474="","",INDEX(ExpNorm,$L1474))</f>
        <v/>
      </c>
      <c r="C1474" s="22">
        <f>IF($L1474="","",IF(INDEX(ExpTime,$L1474)="","—",LEFT(INDEX(ExpTime,$L1474),2)&amp;":"&amp;RIGHT(INDEX(ExpTime,$L1474),2)))</f>
        <v/>
      </c>
      <c r="D1474" s="22">
        <f>IF($L1474="","",IF(INDEX(ExpBank,$L1474)="","—",INDEX(ExpBank,$L1474)))</f>
        <v/>
      </c>
      <c r="E1474" s="23">
        <f>IF($L1474="","",IF(INDEX(ExpParty,$L1474)="","—",IFERROR(VLOOKUP(INDEX(ExpParty,$L1474),AcctTbl,4,0),INDEX(ExpParty,$L1474))))</f>
        <v/>
      </c>
      <c r="F1474" s="22">
        <f>IF($L1474="","",IF(INDEX(ExpType,$L1474)="","—",INDEX(ExpType,$L1474)))</f>
        <v/>
      </c>
      <c r="G1474" s="24">
        <f>IF($L1474="","",IF(INDEX(ExpDep,$L1474)=0,"",INDEX(ExpDep,$L1474)))</f>
        <v/>
      </c>
      <c r="H1474" s="24">
        <f>IF($L1474="","",IF(INDEX(ExpWit,$L1474)=0,"",INDEX(ExpWit,$L1474)))</f>
        <v/>
      </c>
      <c r="I1474" s="25">
        <f>IF($B1474="","",IF($I1473="",0,$I1473)+IF($H1474="",0,$H1474)-IF($G1474="",0,$G1474))</f>
        <v/>
      </c>
      <c r="J1474" s="23">
        <f>IF($L1474="","",IF(INDEX(ExpNote,$L1474)="","—",INDEX(ExpNote,$L1474)))</f>
        <v/>
      </c>
      <c r="L1474">
        <f>IFERROR(MATCH($C$5&amp;"|"&amp;RIGHT("000000"&amp;1458,6),ExpRankKey,0),"")</f>
        <v/>
      </c>
    </row>
    <row r="1475">
      <c r="A1475" s="16" t="n">
        <v>1459</v>
      </c>
      <c r="B1475" s="17">
        <f>IF($L1475="","",INDEX(ExpNorm,$L1475))</f>
        <v/>
      </c>
      <c r="C1475" s="17">
        <f>IF($L1475="","",IF(INDEX(ExpTime,$L1475)="","—",LEFT(INDEX(ExpTime,$L1475),2)&amp;":"&amp;RIGHT(INDEX(ExpTime,$L1475),2)))</f>
        <v/>
      </c>
      <c r="D1475" s="17">
        <f>IF($L1475="","",IF(INDEX(ExpBank,$L1475)="","—",INDEX(ExpBank,$L1475)))</f>
        <v/>
      </c>
      <c r="E1475" s="18">
        <f>IF($L1475="","",IF(INDEX(ExpParty,$L1475)="","—",IFERROR(VLOOKUP(INDEX(ExpParty,$L1475),AcctTbl,4,0),INDEX(ExpParty,$L1475))))</f>
        <v/>
      </c>
      <c r="F1475" s="17">
        <f>IF($L1475="","",IF(INDEX(ExpType,$L1475)="","—",INDEX(ExpType,$L1475)))</f>
        <v/>
      </c>
      <c r="G1475" s="19">
        <f>IF($L1475="","",IF(INDEX(ExpDep,$L1475)=0,"",INDEX(ExpDep,$L1475)))</f>
        <v/>
      </c>
      <c r="H1475" s="19">
        <f>IF($L1475="","",IF(INDEX(ExpWit,$L1475)=0,"",INDEX(ExpWit,$L1475)))</f>
        <v/>
      </c>
      <c r="I1475" s="20">
        <f>IF($B1475="","",IF($I1474="",0,$I1474)+IF($H1475="",0,$H1475)-IF($G1475="",0,$G1475))</f>
        <v/>
      </c>
      <c r="J1475" s="18">
        <f>IF($L1475="","",IF(INDEX(ExpNote,$L1475)="","—",INDEX(ExpNote,$L1475)))</f>
        <v/>
      </c>
      <c r="L1475">
        <f>IFERROR(MATCH($C$5&amp;"|"&amp;RIGHT("000000"&amp;1459,6),ExpRankKey,0),"")</f>
        <v/>
      </c>
    </row>
    <row r="1476">
      <c r="A1476" s="21" t="n">
        <v>1460</v>
      </c>
      <c r="B1476" s="22">
        <f>IF($L1476="","",INDEX(ExpNorm,$L1476))</f>
        <v/>
      </c>
      <c r="C1476" s="22">
        <f>IF($L1476="","",IF(INDEX(ExpTime,$L1476)="","—",LEFT(INDEX(ExpTime,$L1476),2)&amp;":"&amp;RIGHT(INDEX(ExpTime,$L1476),2)))</f>
        <v/>
      </c>
      <c r="D1476" s="22">
        <f>IF($L1476="","",IF(INDEX(ExpBank,$L1476)="","—",INDEX(ExpBank,$L1476)))</f>
        <v/>
      </c>
      <c r="E1476" s="23">
        <f>IF($L1476="","",IF(INDEX(ExpParty,$L1476)="","—",IFERROR(VLOOKUP(INDEX(ExpParty,$L1476),AcctTbl,4,0),INDEX(ExpParty,$L1476))))</f>
        <v/>
      </c>
      <c r="F1476" s="22">
        <f>IF($L1476="","",IF(INDEX(ExpType,$L1476)="","—",INDEX(ExpType,$L1476)))</f>
        <v/>
      </c>
      <c r="G1476" s="24">
        <f>IF($L1476="","",IF(INDEX(ExpDep,$L1476)=0,"",INDEX(ExpDep,$L1476)))</f>
        <v/>
      </c>
      <c r="H1476" s="24">
        <f>IF($L1476="","",IF(INDEX(ExpWit,$L1476)=0,"",INDEX(ExpWit,$L1476)))</f>
        <v/>
      </c>
      <c r="I1476" s="25">
        <f>IF($B1476="","",IF($I1475="",0,$I1475)+IF($H1476="",0,$H1476)-IF($G1476="",0,$G1476))</f>
        <v/>
      </c>
      <c r="J1476" s="23">
        <f>IF($L1476="","",IF(INDEX(ExpNote,$L1476)="","—",INDEX(ExpNote,$L1476)))</f>
        <v/>
      </c>
      <c r="L1476">
        <f>IFERROR(MATCH($C$5&amp;"|"&amp;RIGHT("000000"&amp;1460,6),ExpRankKey,0),"")</f>
        <v/>
      </c>
    </row>
    <row r="1477">
      <c r="A1477" s="16" t="n">
        <v>1461</v>
      </c>
      <c r="B1477" s="17">
        <f>IF($L1477="","",INDEX(ExpNorm,$L1477))</f>
        <v/>
      </c>
      <c r="C1477" s="17">
        <f>IF($L1477="","",IF(INDEX(ExpTime,$L1477)="","—",LEFT(INDEX(ExpTime,$L1477),2)&amp;":"&amp;RIGHT(INDEX(ExpTime,$L1477),2)))</f>
        <v/>
      </c>
      <c r="D1477" s="17">
        <f>IF($L1477="","",IF(INDEX(ExpBank,$L1477)="","—",INDEX(ExpBank,$L1477)))</f>
        <v/>
      </c>
      <c r="E1477" s="18">
        <f>IF($L1477="","",IF(INDEX(ExpParty,$L1477)="","—",IFERROR(VLOOKUP(INDEX(ExpParty,$L1477),AcctTbl,4,0),INDEX(ExpParty,$L1477))))</f>
        <v/>
      </c>
      <c r="F1477" s="17">
        <f>IF($L1477="","",IF(INDEX(ExpType,$L1477)="","—",INDEX(ExpType,$L1477)))</f>
        <v/>
      </c>
      <c r="G1477" s="19">
        <f>IF($L1477="","",IF(INDEX(ExpDep,$L1477)=0,"",INDEX(ExpDep,$L1477)))</f>
        <v/>
      </c>
      <c r="H1477" s="19">
        <f>IF($L1477="","",IF(INDEX(ExpWit,$L1477)=0,"",INDEX(ExpWit,$L1477)))</f>
        <v/>
      </c>
      <c r="I1477" s="20">
        <f>IF($B1477="","",IF($I1476="",0,$I1476)+IF($H1477="",0,$H1477)-IF($G1477="",0,$G1477))</f>
        <v/>
      </c>
      <c r="J1477" s="18">
        <f>IF($L1477="","",IF(INDEX(ExpNote,$L1477)="","—",INDEX(ExpNote,$L1477)))</f>
        <v/>
      </c>
      <c r="L1477">
        <f>IFERROR(MATCH($C$5&amp;"|"&amp;RIGHT("000000"&amp;1461,6),ExpRankKey,0),"")</f>
        <v/>
      </c>
    </row>
    <row r="1478">
      <c r="A1478" s="21" t="n">
        <v>1462</v>
      </c>
      <c r="B1478" s="22">
        <f>IF($L1478="","",INDEX(ExpNorm,$L1478))</f>
        <v/>
      </c>
      <c r="C1478" s="22">
        <f>IF($L1478="","",IF(INDEX(ExpTime,$L1478)="","—",LEFT(INDEX(ExpTime,$L1478),2)&amp;":"&amp;RIGHT(INDEX(ExpTime,$L1478),2)))</f>
        <v/>
      </c>
      <c r="D1478" s="22">
        <f>IF($L1478="","",IF(INDEX(ExpBank,$L1478)="","—",INDEX(ExpBank,$L1478)))</f>
        <v/>
      </c>
      <c r="E1478" s="23">
        <f>IF($L1478="","",IF(INDEX(ExpParty,$L1478)="","—",IFERROR(VLOOKUP(INDEX(ExpParty,$L1478),AcctTbl,4,0),INDEX(ExpParty,$L1478))))</f>
        <v/>
      </c>
      <c r="F1478" s="22">
        <f>IF($L1478="","",IF(INDEX(ExpType,$L1478)="","—",INDEX(ExpType,$L1478)))</f>
        <v/>
      </c>
      <c r="G1478" s="24">
        <f>IF($L1478="","",IF(INDEX(ExpDep,$L1478)=0,"",INDEX(ExpDep,$L1478)))</f>
        <v/>
      </c>
      <c r="H1478" s="24">
        <f>IF($L1478="","",IF(INDEX(ExpWit,$L1478)=0,"",INDEX(ExpWit,$L1478)))</f>
        <v/>
      </c>
      <c r="I1478" s="25">
        <f>IF($B1478="","",IF($I1477="",0,$I1477)+IF($H1478="",0,$H1478)-IF($G1478="",0,$G1478))</f>
        <v/>
      </c>
      <c r="J1478" s="23">
        <f>IF($L1478="","",IF(INDEX(ExpNote,$L1478)="","—",INDEX(ExpNote,$L1478)))</f>
        <v/>
      </c>
      <c r="L1478">
        <f>IFERROR(MATCH($C$5&amp;"|"&amp;RIGHT("000000"&amp;1462,6),ExpRankKey,0),"")</f>
        <v/>
      </c>
    </row>
    <row r="1479">
      <c r="A1479" s="16" t="n">
        <v>1463</v>
      </c>
      <c r="B1479" s="17">
        <f>IF($L1479="","",INDEX(ExpNorm,$L1479))</f>
        <v/>
      </c>
      <c r="C1479" s="17">
        <f>IF($L1479="","",IF(INDEX(ExpTime,$L1479)="","—",LEFT(INDEX(ExpTime,$L1479),2)&amp;":"&amp;RIGHT(INDEX(ExpTime,$L1479),2)))</f>
        <v/>
      </c>
      <c r="D1479" s="17">
        <f>IF($L1479="","",IF(INDEX(ExpBank,$L1479)="","—",INDEX(ExpBank,$L1479)))</f>
        <v/>
      </c>
      <c r="E1479" s="18">
        <f>IF($L1479="","",IF(INDEX(ExpParty,$L1479)="","—",IFERROR(VLOOKUP(INDEX(ExpParty,$L1479),AcctTbl,4,0),INDEX(ExpParty,$L1479))))</f>
        <v/>
      </c>
      <c r="F1479" s="17">
        <f>IF($L1479="","",IF(INDEX(ExpType,$L1479)="","—",INDEX(ExpType,$L1479)))</f>
        <v/>
      </c>
      <c r="G1479" s="19">
        <f>IF($L1479="","",IF(INDEX(ExpDep,$L1479)=0,"",INDEX(ExpDep,$L1479)))</f>
        <v/>
      </c>
      <c r="H1479" s="19">
        <f>IF($L1479="","",IF(INDEX(ExpWit,$L1479)=0,"",INDEX(ExpWit,$L1479)))</f>
        <v/>
      </c>
      <c r="I1479" s="20">
        <f>IF($B1479="","",IF($I1478="",0,$I1478)+IF($H1479="",0,$H1479)-IF($G1479="",0,$G1479))</f>
        <v/>
      </c>
      <c r="J1479" s="18">
        <f>IF($L1479="","",IF(INDEX(ExpNote,$L1479)="","—",INDEX(ExpNote,$L1479)))</f>
        <v/>
      </c>
      <c r="L1479">
        <f>IFERROR(MATCH($C$5&amp;"|"&amp;RIGHT("000000"&amp;1463,6),ExpRankKey,0),"")</f>
        <v/>
      </c>
    </row>
    <row r="1480">
      <c r="A1480" s="21" t="n">
        <v>1464</v>
      </c>
      <c r="B1480" s="22">
        <f>IF($L1480="","",INDEX(ExpNorm,$L1480))</f>
        <v/>
      </c>
      <c r="C1480" s="22">
        <f>IF($L1480="","",IF(INDEX(ExpTime,$L1480)="","—",LEFT(INDEX(ExpTime,$L1480),2)&amp;":"&amp;RIGHT(INDEX(ExpTime,$L1480),2)))</f>
        <v/>
      </c>
      <c r="D1480" s="22">
        <f>IF($L1480="","",IF(INDEX(ExpBank,$L1480)="","—",INDEX(ExpBank,$L1480)))</f>
        <v/>
      </c>
      <c r="E1480" s="23">
        <f>IF($L1480="","",IF(INDEX(ExpParty,$L1480)="","—",IFERROR(VLOOKUP(INDEX(ExpParty,$L1480),AcctTbl,4,0),INDEX(ExpParty,$L1480))))</f>
        <v/>
      </c>
      <c r="F1480" s="22">
        <f>IF($L1480="","",IF(INDEX(ExpType,$L1480)="","—",INDEX(ExpType,$L1480)))</f>
        <v/>
      </c>
      <c r="G1480" s="24">
        <f>IF($L1480="","",IF(INDEX(ExpDep,$L1480)=0,"",INDEX(ExpDep,$L1480)))</f>
        <v/>
      </c>
      <c r="H1480" s="24">
        <f>IF($L1480="","",IF(INDEX(ExpWit,$L1480)=0,"",INDEX(ExpWit,$L1480)))</f>
        <v/>
      </c>
      <c r="I1480" s="25">
        <f>IF($B1480="","",IF($I1479="",0,$I1479)+IF($H1480="",0,$H1480)-IF($G1480="",0,$G1480))</f>
        <v/>
      </c>
      <c r="J1480" s="23">
        <f>IF($L1480="","",IF(INDEX(ExpNote,$L1480)="","—",INDEX(ExpNote,$L1480)))</f>
        <v/>
      </c>
      <c r="L1480">
        <f>IFERROR(MATCH($C$5&amp;"|"&amp;RIGHT("000000"&amp;1464,6),ExpRankKey,0),"")</f>
        <v/>
      </c>
    </row>
    <row r="1481">
      <c r="A1481" s="16" t="n">
        <v>1465</v>
      </c>
      <c r="B1481" s="17">
        <f>IF($L1481="","",INDEX(ExpNorm,$L1481))</f>
        <v/>
      </c>
      <c r="C1481" s="17">
        <f>IF($L1481="","",IF(INDEX(ExpTime,$L1481)="","—",LEFT(INDEX(ExpTime,$L1481),2)&amp;":"&amp;RIGHT(INDEX(ExpTime,$L1481),2)))</f>
        <v/>
      </c>
      <c r="D1481" s="17">
        <f>IF($L1481="","",IF(INDEX(ExpBank,$L1481)="","—",INDEX(ExpBank,$L1481)))</f>
        <v/>
      </c>
      <c r="E1481" s="18">
        <f>IF($L1481="","",IF(INDEX(ExpParty,$L1481)="","—",IFERROR(VLOOKUP(INDEX(ExpParty,$L1481),AcctTbl,4,0),INDEX(ExpParty,$L1481))))</f>
        <v/>
      </c>
      <c r="F1481" s="17">
        <f>IF($L1481="","",IF(INDEX(ExpType,$L1481)="","—",INDEX(ExpType,$L1481)))</f>
        <v/>
      </c>
      <c r="G1481" s="19">
        <f>IF($L1481="","",IF(INDEX(ExpDep,$L1481)=0,"",INDEX(ExpDep,$L1481)))</f>
        <v/>
      </c>
      <c r="H1481" s="19">
        <f>IF($L1481="","",IF(INDEX(ExpWit,$L1481)=0,"",INDEX(ExpWit,$L1481)))</f>
        <v/>
      </c>
      <c r="I1481" s="20">
        <f>IF($B1481="","",IF($I1480="",0,$I1480)+IF($H1481="",0,$H1481)-IF($G1481="",0,$G1481))</f>
        <v/>
      </c>
      <c r="J1481" s="18">
        <f>IF($L1481="","",IF(INDEX(ExpNote,$L1481)="","—",INDEX(ExpNote,$L1481)))</f>
        <v/>
      </c>
      <c r="L1481">
        <f>IFERROR(MATCH($C$5&amp;"|"&amp;RIGHT("000000"&amp;1465,6),ExpRankKey,0),"")</f>
        <v/>
      </c>
    </row>
    <row r="1482">
      <c r="A1482" s="21" t="n">
        <v>1466</v>
      </c>
      <c r="B1482" s="22">
        <f>IF($L1482="","",INDEX(ExpNorm,$L1482))</f>
        <v/>
      </c>
      <c r="C1482" s="22">
        <f>IF($L1482="","",IF(INDEX(ExpTime,$L1482)="","—",LEFT(INDEX(ExpTime,$L1482),2)&amp;":"&amp;RIGHT(INDEX(ExpTime,$L1482),2)))</f>
        <v/>
      </c>
      <c r="D1482" s="22">
        <f>IF($L1482="","",IF(INDEX(ExpBank,$L1482)="","—",INDEX(ExpBank,$L1482)))</f>
        <v/>
      </c>
      <c r="E1482" s="23">
        <f>IF($L1482="","",IF(INDEX(ExpParty,$L1482)="","—",IFERROR(VLOOKUP(INDEX(ExpParty,$L1482),AcctTbl,4,0),INDEX(ExpParty,$L1482))))</f>
        <v/>
      </c>
      <c r="F1482" s="22">
        <f>IF($L1482="","",IF(INDEX(ExpType,$L1482)="","—",INDEX(ExpType,$L1482)))</f>
        <v/>
      </c>
      <c r="G1482" s="24">
        <f>IF($L1482="","",IF(INDEX(ExpDep,$L1482)=0,"",INDEX(ExpDep,$L1482)))</f>
        <v/>
      </c>
      <c r="H1482" s="24">
        <f>IF($L1482="","",IF(INDEX(ExpWit,$L1482)=0,"",INDEX(ExpWit,$L1482)))</f>
        <v/>
      </c>
      <c r="I1482" s="25">
        <f>IF($B1482="","",IF($I1481="",0,$I1481)+IF($H1482="",0,$H1482)-IF($G1482="",0,$G1482))</f>
        <v/>
      </c>
      <c r="J1482" s="23">
        <f>IF($L1482="","",IF(INDEX(ExpNote,$L1482)="","—",INDEX(ExpNote,$L1482)))</f>
        <v/>
      </c>
      <c r="L1482">
        <f>IFERROR(MATCH($C$5&amp;"|"&amp;RIGHT("000000"&amp;1466,6),ExpRankKey,0),"")</f>
        <v/>
      </c>
    </row>
    <row r="1483">
      <c r="A1483" s="16" t="n">
        <v>1467</v>
      </c>
      <c r="B1483" s="17">
        <f>IF($L1483="","",INDEX(ExpNorm,$L1483))</f>
        <v/>
      </c>
      <c r="C1483" s="17">
        <f>IF($L1483="","",IF(INDEX(ExpTime,$L1483)="","—",LEFT(INDEX(ExpTime,$L1483),2)&amp;":"&amp;RIGHT(INDEX(ExpTime,$L1483),2)))</f>
        <v/>
      </c>
      <c r="D1483" s="17">
        <f>IF($L1483="","",IF(INDEX(ExpBank,$L1483)="","—",INDEX(ExpBank,$L1483)))</f>
        <v/>
      </c>
      <c r="E1483" s="18">
        <f>IF($L1483="","",IF(INDEX(ExpParty,$L1483)="","—",IFERROR(VLOOKUP(INDEX(ExpParty,$L1483),AcctTbl,4,0),INDEX(ExpParty,$L1483))))</f>
        <v/>
      </c>
      <c r="F1483" s="17">
        <f>IF($L1483="","",IF(INDEX(ExpType,$L1483)="","—",INDEX(ExpType,$L1483)))</f>
        <v/>
      </c>
      <c r="G1483" s="19">
        <f>IF($L1483="","",IF(INDEX(ExpDep,$L1483)=0,"",INDEX(ExpDep,$L1483)))</f>
        <v/>
      </c>
      <c r="H1483" s="19">
        <f>IF($L1483="","",IF(INDEX(ExpWit,$L1483)=0,"",INDEX(ExpWit,$L1483)))</f>
        <v/>
      </c>
      <c r="I1483" s="20">
        <f>IF($B1483="","",IF($I1482="",0,$I1482)+IF($H1483="",0,$H1483)-IF($G1483="",0,$G1483))</f>
        <v/>
      </c>
      <c r="J1483" s="18">
        <f>IF($L1483="","",IF(INDEX(ExpNote,$L1483)="","—",INDEX(ExpNote,$L1483)))</f>
        <v/>
      </c>
      <c r="L1483">
        <f>IFERROR(MATCH($C$5&amp;"|"&amp;RIGHT("000000"&amp;1467,6),ExpRankKey,0),"")</f>
        <v/>
      </c>
    </row>
    <row r="1484">
      <c r="A1484" s="21" t="n">
        <v>1468</v>
      </c>
      <c r="B1484" s="22">
        <f>IF($L1484="","",INDEX(ExpNorm,$L1484))</f>
        <v/>
      </c>
      <c r="C1484" s="22">
        <f>IF($L1484="","",IF(INDEX(ExpTime,$L1484)="","—",LEFT(INDEX(ExpTime,$L1484),2)&amp;":"&amp;RIGHT(INDEX(ExpTime,$L1484),2)))</f>
        <v/>
      </c>
      <c r="D1484" s="22">
        <f>IF($L1484="","",IF(INDEX(ExpBank,$L1484)="","—",INDEX(ExpBank,$L1484)))</f>
        <v/>
      </c>
      <c r="E1484" s="23">
        <f>IF($L1484="","",IF(INDEX(ExpParty,$L1484)="","—",IFERROR(VLOOKUP(INDEX(ExpParty,$L1484),AcctTbl,4,0),INDEX(ExpParty,$L1484))))</f>
        <v/>
      </c>
      <c r="F1484" s="22">
        <f>IF($L1484="","",IF(INDEX(ExpType,$L1484)="","—",INDEX(ExpType,$L1484)))</f>
        <v/>
      </c>
      <c r="G1484" s="24">
        <f>IF($L1484="","",IF(INDEX(ExpDep,$L1484)=0,"",INDEX(ExpDep,$L1484)))</f>
        <v/>
      </c>
      <c r="H1484" s="24">
        <f>IF($L1484="","",IF(INDEX(ExpWit,$L1484)=0,"",INDEX(ExpWit,$L1484)))</f>
        <v/>
      </c>
      <c r="I1484" s="25">
        <f>IF($B1484="","",IF($I1483="",0,$I1483)+IF($H1484="",0,$H1484)-IF($G1484="",0,$G1484))</f>
        <v/>
      </c>
      <c r="J1484" s="23">
        <f>IF($L1484="","",IF(INDEX(ExpNote,$L1484)="","—",INDEX(ExpNote,$L1484)))</f>
        <v/>
      </c>
      <c r="L1484">
        <f>IFERROR(MATCH($C$5&amp;"|"&amp;RIGHT("000000"&amp;1468,6),ExpRankKey,0),"")</f>
        <v/>
      </c>
    </row>
    <row r="1485">
      <c r="A1485" s="16" t="n">
        <v>1469</v>
      </c>
      <c r="B1485" s="17">
        <f>IF($L1485="","",INDEX(ExpNorm,$L1485))</f>
        <v/>
      </c>
      <c r="C1485" s="17">
        <f>IF($L1485="","",IF(INDEX(ExpTime,$L1485)="","—",LEFT(INDEX(ExpTime,$L1485),2)&amp;":"&amp;RIGHT(INDEX(ExpTime,$L1485),2)))</f>
        <v/>
      </c>
      <c r="D1485" s="17">
        <f>IF($L1485="","",IF(INDEX(ExpBank,$L1485)="","—",INDEX(ExpBank,$L1485)))</f>
        <v/>
      </c>
      <c r="E1485" s="18">
        <f>IF($L1485="","",IF(INDEX(ExpParty,$L1485)="","—",IFERROR(VLOOKUP(INDEX(ExpParty,$L1485),AcctTbl,4,0),INDEX(ExpParty,$L1485))))</f>
        <v/>
      </c>
      <c r="F1485" s="17">
        <f>IF($L1485="","",IF(INDEX(ExpType,$L1485)="","—",INDEX(ExpType,$L1485)))</f>
        <v/>
      </c>
      <c r="G1485" s="19">
        <f>IF($L1485="","",IF(INDEX(ExpDep,$L1485)=0,"",INDEX(ExpDep,$L1485)))</f>
        <v/>
      </c>
      <c r="H1485" s="19">
        <f>IF($L1485="","",IF(INDEX(ExpWit,$L1485)=0,"",INDEX(ExpWit,$L1485)))</f>
        <v/>
      </c>
      <c r="I1485" s="20">
        <f>IF($B1485="","",IF($I1484="",0,$I1484)+IF($H1485="",0,$H1485)-IF($G1485="",0,$G1485))</f>
        <v/>
      </c>
      <c r="J1485" s="18">
        <f>IF($L1485="","",IF(INDEX(ExpNote,$L1485)="","—",INDEX(ExpNote,$L1485)))</f>
        <v/>
      </c>
      <c r="L1485">
        <f>IFERROR(MATCH($C$5&amp;"|"&amp;RIGHT("000000"&amp;1469,6),ExpRankKey,0),"")</f>
        <v/>
      </c>
    </row>
    <row r="1486">
      <c r="A1486" s="21" t="n">
        <v>1470</v>
      </c>
      <c r="B1486" s="22">
        <f>IF($L1486="","",INDEX(ExpNorm,$L1486))</f>
        <v/>
      </c>
      <c r="C1486" s="22">
        <f>IF($L1486="","",IF(INDEX(ExpTime,$L1486)="","—",LEFT(INDEX(ExpTime,$L1486),2)&amp;":"&amp;RIGHT(INDEX(ExpTime,$L1486),2)))</f>
        <v/>
      </c>
      <c r="D1486" s="22">
        <f>IF($L1486="","",IF(INDEX(ExpBank,$L1486)="","—",INDEX(ExpBank,$L1486)))</f>
        <v/>
      </c>
      <c r="E1486" s="23">
        <f>IF($L1486="","",IF(INDEX(ExpParty,$L1486)="","—",IFERROR(VLOOKUP(INDEX(ExpParty,$L1486),AcctTbl,4,0),INDEX(ExpParty,$L1486))))</f>
        <v/>
      </c>
      <c r="F1486" s="22">
        <f>IF($L1486="","",IF(INDEX(ExpType,$L1486)="","—",INDEX(ExpType,$L1486)))</f>
        <v/>
      </c>
      <c r="G1486" s="24">
        <f>IF($L1486="","",IF(INDEX(ExpDep,$L1486)=0,"",INDEX(ExpDep,$L1486)))</f>
        <v/>
      </c>
      <c r="H1486" s="24">
        <f>IF($L1486="","",IF(INDEX(ExpWit,$L1486)=0,"",INDEX(ExpWit,$L1486)))</f>
        <v/>
      </c>
      <c r="I1486" s="25">
        <f>IF($B1486="","",IF($I1485="",0,$I1485)+IF($H1486="",0,$H1486)-IF($G1486="",0,$G1486))</f>
        <v/>
      </c>
      <c r="J1486" s="23">
        <f>IF($L1486="","",IF(INDEX(ExpNote,$L1486)="","—",INDEX(ExpNote,$L1486)))</f>
        <v/>
      </c>
      <c r="L1486">
        <f>IFERROR(MATCH($C$5&amp;"|"&amp;RIGHT("000000"&amp;1470,6),ExpRankKey,0),"")</f>
        <v/>
      </c>
    </row>
    <row r="1487">
      <c r="A1487" s="16" t="n">
        <v>1471</v>
      </c>
      <c r="B1487" s="17">
        <f>IF($L1487="","",INDEX(ExpNorm,$L1487))</f>
        <v/>
      </c>
      <c r="C1487" s="17">
        <f>IF($L1487="","",IF(INDEX(ExpTime,$L1487)="","—",LEFT(INDEX(ExpTime,$L1487),2)&amp;":"&amp;RIGHT(INDEX(ExpTime,$L1487),2)))</f>
        <v/>
      </c>
      <c r="D1487" s="17">
        <f>IF($L1487="","",IF(INDEX(ExpBank,$L1487)="","—",INDEX(ExpBank,$L1487)))</f>
        <v/>
      </c>
      <c r="E1487" s="18">
        <f>IF($L1487="","",IF(INDEX(ExpParty,$L1487)="","—",IFERROR(VLOOKUP(INDEX(ExpParty,$L1487),AcctTbl,4,0),INDEX(ExpParty,$L1487))))</f>
        <v/>
      </c>
      <c r="F1487" s="17">
        <f>IF($L1487="","",IF(INDEX(ExpType,$L1487)="","—",INDEX(ExpType,$L1487)))</f>
        <v/>
      </c>
      <c r="G1487" s="19">
        <f>IF($L1487="","",IF(INDEX(ExpDep,$L1487)=0,"",INDEX(ExpDep,$L1487)))</f>
        <v/>
      </c>
      <c r="H1487" s="19">
        <f>IF($L1487="","",IF(INDEX(ExpWit,$L1487)=0,"",INDEX(ExpWit,$L1487)))</f>
        <v/>
      </c>
      <c r="I1487" s="20">
        <f>IF($B1487="","",IF($I1486="",0,$I1486)+IF($H1487="",0,$H1487)-IF($G1487="",0,$G1487))</f>
        <v/>
      </c>
      <c r="J1487" s="18">
        <f>IF($L1487="","",IF(INDEX(ExpNote,$L1487)="","—",INDEX(ExpNote,$L1487)))</f>
        <v/>
      </c>
      <c r="L1487">
        <f>IFERROR(MATCH($C$5&amp;"|"&amp;RIGHT("000000"&amp;1471,6),ExpRankKey,0),"")</f>
        <v/>
      </c>
    </row>
    <row r="1488">
      <c r="A1488" s="21" t="n">
        <v>1472</v>
      </c>
      <c r="B1488" s="22">
        <f>IF($L1488="","",INDEX(ExpNorm,$L1488))</f>
        <v/>
      </c>
      <c r="C1488" s="22">
        <f>IF($L1488="","",IF(INDEX(ExpTime,$L1488)="","—",LEFT(INDEX(ExpTime,$L1488),2)&amp;":"&amp;RIGHT(INDEX(ExpTime,$L1488),2)))</f>
        <v/>
      </c>
      <c r="D1488" s="22">
        <f>IF($L1488="","",IF(INDEX(ExpBank,$L1488)="","—",INDEX(ExpBank,$L1488)))</f>
        <v/>
      </c>
      <c r="E1488" s="23">
        <f>IF($L1488="","",IF(INDEX(ExpParty,$L1488)="","—",IFERROR(VLOOKUP(INDEX(ExpParty,$L1488),AcctTbl,4,0),INDEX(ExpParty,$L1488))))</f>
        <v/>
      </c>
      <c r="F1488" s="22">
        <f>IF($L1488="","",IF(INDEX(ExpType,$L1488)="","—",INDEX(ExpType,$L1488)))</f>
        <v/>
      </c>
      <c r="G1488" s="24">
        <f>IF($L1488="","",IF(INDEX(ExpDep,$L1488)=0,"",INDEX(ExpDep,$L1488)))</f>
        <v/>
      </c>
      <c r="H1488" s="24">
        <f>IF($L1488="","",IF(INDEX(ExpWit,$L1488)=0,"",INDEX(ExpWit,$L1488)))</f>
        <v/>
      </c>
      <c r="I1488" s="25">
        <f>IF($B1488="","",IF($I1487="",0,$I1487)+IF($H1488="",0,$H1488)-IF($G1488="",0,$G1488))</f>
        <v/>
      </c>
      <c r="J1488" s="23">
        <f>IF($L1488="","",IF(INDEX(ExpNote,$L1488)="","—",INDEX(ExpNote,$L1488)))</f>
        <v/>
      </c>
      <c r="L1488">
        <f>IFERROR(MATCH($C$5&amp;"|"&amp;RIGHT("000000"&amp;1472,6),ExpRankKey,0),"")</f>
        <v/>
      </c>
    </row>
    <row r="1489">
      <c r="A1489" s="16" t="n">
        <v>1473</v>
      </c>
      <c r="B1489" s="17">
        <f>IF($L1489="","",INDEX(ExpNorm,$L1489))</f>
        <v/>
      </c>
      <c r="C1489" s="17">
        <f>IF($L1489="","",IF(INDEX(ExpTime,$L1489)="","—",LEFT(INDEX(ExpTime,$L1489),2)&amp;":"&amp;RIGHT(INDEX(ExpTime,$L1489),2)))</f>
        <v/>
      </c>
      <c r="D1489" s="17">
        <f>IF($L1489="","",IF(INDEX(ExpBank,$L1489)="","—",INDEX(ExpBank,$L1489)))</f>
        <v/>
      </c>
      <c r="E1489" s="18">
        <f>IF($L1489="","",IF(INDEX(ExpParty,$L1489)="","—",IFERROR(VLOOKUP(INDEX(ExpParty,$L1489),AcctTbl,4,0),INDEX(ExpParty,$L1489))))</f>
        <v/>
      </c>
      <c r="F1489" s="17">
        <f>IF($L1489="","",IF(INDEX(ExpType,$L1489)="","—",INDEX(ExpType,$L1489)))</f>
        <v/>
      </c>
      <c r="G1489" s="19">
        <f>IF($L1489="","",IF(INDEX(ExpDep,$L1489)=0,"",INDEX(ExpDep,$L1489)))</f>
        <v/>
      </c>
      <c r="H1489" s="19">
        <f>IF($L1489="","",IF(INDEX(ExpWit,$L1489)=0,"",INDEX(ExpWit,$L1489)))</f>
        <v/>
      </c>
      <c r="I1489" s="20">
        <f>IF($B1489="","",IF($I1488="",0,$I1488)+IF($H1489="",0,$H1489)-IF($G1489="",0,$G1489))</f>
        <v/>
      </c>
      <c r="J1489" s="18">
        <f>IF($L1489="","",IF(INDEX(ExpNote,$L1489)="","—",INDEX(ExpNote,$L1489)))</f>
        <v/>
      </c>
      <c r="L1489">
        <f>IFERROR(MATCH($C$5&amp;"|"&amp;RIGHT("000000"&amp;1473,6),ExpRankKey,0),"")</f>
        <v/>
      </c>
    </row>
    <row r="1490">
      <c r="A1490" s="21" t="n">
        <v>1474</v>
      </c>
      <c r="B1490" s="22">
        <f>IF($L1490="","",INDEX(ExpNorm,$L1490))</f>
        <v/>
      </c>
      <c r="C1490" s="22">
        <f>IF($L1490="","",IF(INDEX(ExpTime,$L1490)="","—",LEFT(INDEX(ExpTime,$L1490),2)&amp;":"&amp;RIGHT(INDEX(ExpTime,$L1490),2)))</f>
        <v/>
      </c>
      <c r="D1490" s="22">
        <f>IF($L1490="","",IF(INDEX(ExpBank,$L1490)="","—",INDEX(ExpBank,$L1490)))</f>
        <v/>
      </c>
      <c r="E1490" s="23">
        <f>IF($L1490="","",IF(INDEX(ExpParty,$L1490)="","—",IFERROR(VLOOKUP(INDEX(ExpParty,$L1490),AcctTbl,4,0),INDEX(ExpParty,$L1490))))</f>
        <v/>
      </c>
      <c r="F1490" s="22">
        <f>IF($L1490="","",IF(INDEX(ExpType,$L1490)="","—",INDEX(ExpType,$L1490)))</f>
        <v/>
      </c>
      <c r="G1490" s="24">
        <f>IF($L1490="","",IF(INDEX(ExpDep,$L1490)=0,"",INDEX(ExpDep,$L1490)))</f>
        <v/>
      </c>
      <c r="H1490" s="24">
        <f>IF($L1490="","",IF(INDEX(ExpWit,$L1490)=0,"",INDEX(ExpWit,$L1490)))</f>
        <v/>
      </c>
      <c r="I1490" s="25">
        <f>IF($B1490="","",IF($I1489="",0,$I1489)+IF($H1490="",0,$H1490)-IF($G1490="",0,$G1490))</f>
        <v/>
      </c>
      <c r="J1490" s="23">
        <f>IF($L1490="","",IF(INDEX(ExpNote,$L1490)="","—",INDEX(ExpNote,$L1490)))</f>
        <v/>
      </c>
      <c r="L1490">
        <f>IFERROR(MATCH($C$5&amp;"|"&amp;RIGHT("000000"&amp;1474,6),ExpRankKey,0),"")</f>
        <v/>
      </c>
    </row>
    <row r="1491">
      <c r="A1491" s="16" t="n">
        <v>1475</v>
      </c>
      <c r="B1491" s="17">
        <f>IF($L1491="","",INDEX(ExpNorm,$L1491))</f>
        <v/>
      </c>
      <c r="C1491" s="17">
        <f>IF($L1491="","",IF(INDEX(ExpTime,$L1491)="","—",LEFT(INDEX(ExpTime,$L1491),2)&amp;":"&amp;RIGHT(INDEX(ExpTime,$L1491),2)))</f>
        <v/>
      </c>
      <c r="D1491" s="17">
        <f>IF($L1491="","",IF(INDEX(ExpBank,$L1491)="","—",INDEX(ExpBank,$L1491)))</f>
        <v/>
      </c>
      <c r="E1491" s="18">
        <f>IF($L1491="","",IF(INDEX(ExpParty,$L1491)="","—",IFERROR(VLOOKUP(INDEX(ExpParty,$L1491),AcctTbl,4,0),INDEX(ExpParty,$L1491))))</f>
        <v/>
      </c>
      <c r="F1491" s="17">
        <f>IF($L1491="","",IF(INDEX(ExpType,$L1491)="","—",INDEX(ExpType,$L1491)))</f>
        <v/>
      </c>
      <c r="G1491" s="19">
        <f>IF($L1491="","",IF(INDEX(ExpDep,$L1491)=0,"",INDEX(ExpDep,$L1491)))</f>
        <v/>
      </c>
      <c r="H1491" s="19">
        <f>IF($L1491="","",IF(INDEX(ExpWit,$L1491)=0,"",INDEX(ExpWit,$L1491)))</f>
        <v/>
      </c>
      <c r="I1491" s="20">
        <f>IF($B1491="","",IF($I1490="",0,$I1490)+IF($H1491="",0,$H1491)-IF($G1491="",0,$G1491))</f>
        <v/>
      </c>
      <c r="J1491" s="18">
        <f>IF($L1491="","",IF(INDEX(ExpNote,$L1491)="","—",INDEX(ExpNote,$L1491)))</f>
        <v/>
      </c>
      <c r="L1491">
        <f>IFERROR(MATCH($C$5&amp;"|"&amp;RIGHT("000000"&amp;1475,6),ExpRankKey,0),"")</f>
        <v/>
      </c>
    </row>
    <row r="1492">
      <c r="A1492" s="21" t="n">
        <v>1476</v>
      </c>
      <c r="B1492" s="22">
        <f>IF($L1492="","",INDEX(ExpNorm,$L1492))</f>
        <v/>
      </c>
      <c r="C1492" s="22">
        <f>IF($L1492="","",IF(INDEX(ExpTime,$L1492)="","—",LEFT(INDEX(ExpTime,$L1492),2)&amp;":"&amp;RIGHT(INDEX(ExpTime,$L1492),2)))</f>
        <v/>
      </c>
      <c r="D1492" s="22">
        <f>IF($L1492="","",IF(INDEX(ExpBank,$L1492)="","—",INDEX(ExpBank,$L1492)))</f>
        <v/>
      </c>
      <c r="E1492" s="23">
        <f>IF($L1492="","",IF(INDEX(ExpParty,$L1492)="","—",IFERROR(VLOOKUP(INDEX(ExpParty,$L1492),AcctTbl,4,0),INDEX(ExpParty,$L1492))))</f>
        <v/>
      </c>
      <c r="F1492" s="22">
        <f>IF($L1492="","",IF(INDEX(ExpType,$L1492)="","—",INDEX(ExpType,$L1492)))</f>
        <v/>
      </c>
      <c r="G1492" s="24">
        <f>IF($L1492="","",IF(INDEX(ExpDep,$L1492)=0,"",INDEX(ExpDep,$L1492)))</f>
        <v/>
      </c>
      <c r="H1492" s="24">
        <f>IF($L1492="","",IF(INDEX(ExpWit,$L1492)=0,"",INDEX(ExpWit,$L1492)))</f>
        <v/>
      </c>
      <c r="I1492" s="25">
        <f>IF($B1492="","",IF($I1491="",0,$I1491)+IF($H1492="",0,$H1492)-IF($G1492="",0,$G1492))</f>
        <v/>
      </c>
      <c r="J1492" s="23">
        <f>IF($L1492="","",IF(INDEX(ExpNote,$L1492)="","—",INDEX(ExpNote,$L1492)))</f>
        <v/>
      </c>
      <c r="L1492">
        <f>IFERROR(MATCH($C$5&amp;"|"&amp;RIGHT("000000"&amp;1476,6),ExpRankKey,0),"")</f>
        <v/>
      </c>
    </row>
    <row r="1493">
      <c r="A1493" s="16" t="n">
        <v>1477</v>
      </c>
      <c r="B1493" s="17">
        <f>IF($L1493="","",INDEX(ExpNorm,$L1493))</f>
        <v/>
      </c>
      <c r="C1493" s="17">
        <f>IF($L1493="","",IF(INDEX(ExpTime,$L1493)="","—",LEFT(INDEX(ExpTime,$L1493),2)&amp;":"&amp;RIGHT(INDEX(ExpTime,$L1493),2)))</f>
        <v/>
      </c>
      <c r="D1493" s="17">
        <f>IF($L1493="","",IF(INDEX(ExpBank,$L1493)="","—",INDEX(ExpBank,$L1493)))</f>
        <v/>
      </c>
      <c r="E1493" s="18">
        <f>IF($L1493="","",IF(INDEX(ExpParty,$L1493)="","—",IFERROR(VLOOKUP(INDEX(ExpParty,$L1493),AcctTbl,4,0),INDEX(ExpParty,$L1493))))</f>
        <v/>
      </c>
      <c r="F1493" s="17">
        <f>IF($L1493="","",IF(INDEX(ExpType,$L1493)="","—",INDEX(ExpType,$L1493)))</f>
        <v/>
      </c>
      <c r="G1493" s="19">
        <f>IF($L1493="","",IF(INDEX(ExpDep,$L1493)=0,"",INDEX(ExpDep,$L1493)))</f>
        <v/>
      </c>
      <c r="H1493" s="19">
        <f>IF($L1493="","",IF(INDEX(ExpWit,$L1493)=0,"",INDEX(ExpWit,$L1493)))</f>
        <v/>
      </c>
      <c r="I1493" s="20">
        <f>IF($B1493="","",IF($I1492="",0,$I1492)+IF($H1493="",0,$H1493)-IF($G1493="",0,$G1493))</f>
        <v/>
      </c>
      <c r="J1493" s="18">
        <f>IF($L1493="","",IF(INDEX(ExpNote,$L1493)="","—",INDEX(ExpNote,$L1493)))</f>
        <v/>
      </c>
      <c r="L1493">
        <f>IFERROR(MATCH($C$5&amp;"|"&amp;RIGHT("000000"&amp;1477,6),ExpRankKey,0),"")</f>
        <v/>
      </c>
    </row>
    <row r="1494">
      <c r="A1494" s="21" t="n">
        <v>1478</v>
      </c>
      <c r="B1494" s="22">
        <f>IF($L1494="","",INDEX(ExpNorm,$L1494))</f>
        <v/>
      </c>
      <c r="C1494" s="22">
        <f>IF($L1494="","",IF(INDEX(ExpTime,$L1494)="","—",LEFT(INDEX(ExpTime,$L1494),2)&amp;":"&amp;RIGHT(INDEX(ExpTime,$L1494),2)))</f>
        <v/>
      </c>
      <c r="D1494" s="22">
        <f>IF($L1494="","",IF(INDEX(ExpBank,$L1494)="","—",INDEX(ExpBank,$L1494)))</f>
        <v/>
      </c>
      <c r="E1494" s="23">
        <f>IF($L1494="","",IF(INDEX(ExpParty,$L1494)="","—",IFERROR(VLOOKUP(INDEX(ExpParty,$L1494),AcctTbl,4,0),INDEX(ExpParty,$L1494))))</f>
        <v/>
      </c>
      <c r="F1494" s="22">
        <f>IF($L1494="","",IF(INDEX(ExpType,$L1494)="","—",INDEX(ExpType,$L1494)))</f>
        <v/>
      </c>
      <c r="G1494" s="24">
        <f>IF($L1494="","",IF(INDEX(ExpDep,$L1494)=0,"",INDEX(ExpDep,$L1494)))</f>
        <v/>
      </c>
      <c r="H1494" s="24">
        <f>IF($L1494="","",IF(INDEX(ExpWit,$L1494)=0,"",INDEX(ExpWit,$L1494)))</f>
        <v/>
      </c>
      <c r="I1494" s="25">
        <f>IF($B1494="","",IF($I1493="",0,$I1493)+IF($H1494="",0,$H1494)-IF($G1494="",0,$G1494))</f>
        <v/>
      </c>
      <c r="J1494" s="23">
        <f>IF($L1494="","",IF(INDEX(ExpNote,$L1494)="","—",INDEX(ExpNote,$L1494)))</f>
        <v/>
      </c>
      <c r="L1494">
        <f>IFERROR(MATCH($C$5&amp;"|"&amp;RIGHT("000000"&amp;1478,6),ExpRankKey,0),"")</f>
        <v/>
      </c>
    </row>
    <row r="1495">
      <c r="A1495" s="16" t="n">
        <v>1479</v>
      </c>
      <c r="B1495" s="17">
        <f>IF($L1495="","",INDEX(ExpNorm,$L1495))</f>
        <v/>
      </c>
      <c r="C1495" s="17">
        <f>IF($L1495="","",IF(INDEX(ExpTime,$L1495)="","—",LEFT(INDEX(ExpTime,$L1495),2)&amp;":"&amp;RIGHT(INDEX(ExpTime,$L1495),2)))</f>
        <v/>
      </c>
      <c r="D1495" s="17">
        <f>IF($L1495="","",IF(INDEX(ExpBank,$L1495)="","—",INDEX(ExpBank,$L1495)))</f>
        <v/>
      </c>
      <c r="E1495" s="18">
        <f>IF($L1495="","",IF(INDEX(ExpParty,$L1495)="","—",IFERROR(VLOOKUP(INDEX(ExpParty,$L1495),AcctTbl,4,0),INDEX(ExpParty,$L1495))))</f>
        <v/>
      </c>
      <c r="F1495" s="17">
        <f>IF($L1495="","",IF(INDEX(ExpType,$L1495)="","—",INDEX(ExpType,$L1495)))</f>
        <v/>
      </c>
      <c r="G1495" s="19">
        <f>IF($L1495="","",IF(INDEX(ExpDep,$L1495)=0,"",INDEX(ExpDep,$L1495)))</f>
        <v/>
      </c>
      <c r="H1495" s="19">
        <f>IF($L1495="","",IF(INDEX(ExpWit,$L1495)=0,"",INDEX(ExpWit,$L1495)))</f>
        <v/>
      </c>
      <c r="I1495" s="20">
        <f>IF($B1495="","",IF($I1494="",0,$I1494)+IF($H1495="",0,$H1495)-IF($G1495="",0,$G1495))</f>
        <v/>
      </c>
      <c r="J1495" s="18">
        <f>IF($L1495="","",IF(INDEX(ExpNote,$L1495)="","—",INDEX(ExpNote,$L1495)))</f>
        <v/>
      </c>
      <c r="L1495">
        <f>IFERROR(MATCH($C$5&amp;"|"&amp;RIGHT("000000"&amp;1479,6),ExpRankKey,0),"")</f>
        <v/>
      </c>
    </row>
    <row r="1496">
      <c r="A1496" s="21" t="n">
        <v>1480</v>
      </c>
      <c r="B1496" s="22">
        <f>IF($L1496="","",INDEX(ExpNorm,$L1496))</f>
        <v/>
      </c>
      <c r="C1496" s="22">
        <f>IF($L1496="","",IF(INDEX(ExpTime,$L1496)="","—",LEFT(INDEX(ExpTime,$L1496),2)&amp;":"&amp;RIGHT(INDEX(ExpTime,$L1496),2)))</f>
        <v/>
      </c>
      <c r="D1496" s="22">
        <f>IF($L1496="","",IF(INDEX(ExpBank,$L1496)="","—",INDEX(ExpBank,$L1496)))</f>
        <v/>
      </c>
      <c r="E1496" s="23">
        <f>IF($L1496="","",IF(INDEX(ExpParty,$L1496)="","—",IFERROR(VLOOKUP(INDEX(ExpParty,$L1496),AcctTbl,4,0),INDEX(ExpParty,$L1496))))</f>
        <v/>
      </c>
      <c r="F1496" s="22">
        <f>IF($L1496="","",IF(INDEX(ExpType,$L1496)="","—",INDEX(ExpType,$L1496)))</f>
        <v/>
      </c>
      <c r="G1496" s="24">
        <f>IF($L1496="","",IF(INDEX(ExpDep,$L1496)=0,"",INDEX(ExpDep,$L1496)))</f>
        <v/>
      </c>
      <c r="H1496" s="24">
        <f>IF($L1496="","",IF(INDEX(ExpWit,$L1496)=0,"",INDEX(ExpWit,$L1496)))</f>
        <v/>
      </c>
      <c r="I1496" s="25">
        <f>IF($B1496="","",IF($I1495="",0,$I1495)+IF($H1496="",0,$H1496)-IF($G1496="",0,$G1496))</f>
        <v/>
      </c>
      <c r="J1496" s="23">
        <f>IF($L1496="","",IF(INDEX(ExpNote,$L1496)="","—",INDEX(ExpNote,$L1496)))</f>
        <v/>
      </c>
      <c r="L1496">
        <f>IFERROR(MATCH($C$5&amp;"|"&amp;RIGHT("000000"&amp;1480,6),ExpRankKey,0),"")</f>
        <v/>
      </c>
    </row>
    <row r="1497">
      <c r="A1497" s="16" t="n">
        <v>1481</v>
      </c>
      <c r="B1497" s="17">
        <f>IF($L1497="","",INDEX(ExpNorm,$L1497))</f>
        <v/>
      </c>
      <c r="C1497" s="17">
        <f>IF($L1497="","",IF(INDEX(ExpTime,$L1497)="","—",LEFT(INDEX(ExpTime,$L1497),2)&amp;":"&amp;RIGHT(INDEX(ExpTime,$L1497),2)))</f>
        <v/>
      </c>
      <c r="D1497" s="17">
        <f>IF($L1497="","",IF(INDEX(ExpBank,$L1497)="","—",INDEX(ExpBank,$L1497)))</f>
        <v/>
      </c>
      <c r="E1497" s="18">
        <f>IF($L1497="","",IF(INDEX(ExpParty,$L1497)="","—",IFERROR(VLOOKUP(INDEX(ExpParty,$L1497),AcctTbl,4,0),INDEX(ExpParty,$L1497))))</f>
        <v/>
      </c>
      <c r="F1497" s="17">
        <f>IF($L1497="","",IF(INDEX(ExpType,$L1497)="","—",INDEX(ExpType,$L1497)))</f>
        <v/>
      </c>
      <c r="G1497" s="19">
        <f>IF($L1497="","",IF(INDEX(ExpDep,$L1497)=0,"",INDEX(ExpDep,$L1497)))</f>
        <v/>
      </c>
      <c r="H1497" s="19">
        <f>IF($L1497="","",IF(INDEX(ExpWit,$L1497)=0,"",INDEX(ExpWit,$L1497)))</f>
        <v/>
      </c>
      <c r="I1497" s="20">
        <f>IF($B1497="","",IF($I1496="",0,$I1496)+IF($H1497="",0,$H1497)-IF($G1497="",0,$G1497))</f>
        <v/>
      </c>
      <c r="J1497" s="18">
        <f>IF($L1497="","",IF(INDEX(ExpNote,$L1497)="","—",INDEX(ExpNote,$L1497)))</f>
        <v/>
      </c>
      <c r="L1497">
        <f>IFERROR(MATCH($C$5&amp;"|"&amp;RIGHT("000000"&amp;1481,6),ExpRankKey,0),"")</f>
        <v/>
      </c>
    </row>
    <row r="1498">
      <c r="A1498" s="21" t="n">
        <v>1482</v>
      </c>
      <c r="B1498" s="22">
        <f>IF($L1498="","",INDEX(ExpNorm,$L1498))</f>
        <v/>
      </c>
      <c r="C1498" s="22">
        <f>IF($L1498="","",IF(INDEX(ExpTime,$L1498)="","—",LEFT(INDEX(ExpTime,$L1498),2)&amp;":"&amp;RIGHT(INDEX(ExpTime,$L1498),2)))</f>
        <v/>
      </c>
      <c r="D1498" s="22">
        <f>IF($L1498="","",IF(INDEX(ExpBank,$L1498)="","—",INDEX(ExpBank,$L1498)))</f>
        <v/>
      </c>
      <c r="E1498" s="23">
        <f>IF($L1498="","",IF(INDEX(ExpParty,$L1498)="","—",IFERROR(VLOOKUP(INDEX(ExpParty,$L1498),AcctTbl,4,0),INDEX(ExpParty,$L1498))))</f>
        <v/>
      </c>
      <c r="F1498" s="22">
        <f>IF($L1498="","",IF(INDEX(ExpType,$L1498)="","—",INDEX(ExpType,$L1498)))</f>
        <v/>
      </c>
      <c r="G1498" s="24">
        <f>IF($L1498="","",IF(INDEX(ExpDep,$L1498)=0,"",INDEX(ExpDep,$L1498)))</f>
        <v/>
      </c>
      <c r="H1498" s="24">
        <f>IF($L1498="","",IF(INDEX(ExpWit,$L1498)=0,"",INDEX(ExpWit,$L1498)))</f>
        <v/>
      </c>
      <c r="I1498" s="25">
        <f>IF($B1498="","",IF($I1497="",0,$I1497)+IF($H1498="",0,$H1498)-IF($G1498="",0,$G1498))</f>
        <v/>
      </c>
      <c r="J1498" s="23">
        <f>IF($L1498="","",IF(INDEX(ExpNote,$L1498)="","—",INDEX(ExpNote,$L1498)))</f>
        <v/>
      </c>
      <c r="L1498">
        <f>IFERROR(MATCH($C$5&amp;"|"&amp;RIGHT("000000"&amp;1482,6),ExpRankKey,0),"")</f>
        <v/>
      </c>
    </row>
    <row r="1499">
      <c r="A1499" s="16" t="n">
        <v>1483</v>
      </c>
      <c r="B1499" s="17">
        <f>IF($L1499="","",INDEX(ExpNorm,$L1499))</f>
        <v/>
      </c>
      <c r="C1499" s="17">
        <f>IF($L1499="","",IF(INDEX(ExpTime,$L1499)="","—",LEFT(INDEX(ExpTime,$L1499),2)&amp;":"&amp;RIGHT(INDEX(ExpTime,$L1499),2)))</f>
        <v/>
      </c>
      <c r="D1499" s="17">
        <f>IF($L1499="","",IF(INDEX(ExpBank,$L1499)="","—",INDEX(ExpBank,$L1499)))</f>
        <v/>
      </c>
      <c r="E1499" s="18">
        <f>IF($L1499="","",IF(INDEX(ExpParty,$L1499)="","—",IFERROR(VLOOKUP(INDEX(ExpParty,$L1499),AcctTbl,4,0),INDEX(ExpParty,$L1499))))</f>
        <v/>
      </c>
      <c r="F1499" s="17">
        <f>IF($L1499="","",IF(INDEX(ExpType,$L1499)="","—",INDEX(ExpType,$L1499)))</f>
        <v/>
      </c>
      <c r="G1499" s="19">
        <f>IF($L1499="","",IF(INDEX(ExpDep,$L1499)=0,"",INDEX(ExpDep,$L1499)))</f>
        <v/>
      </c>
      <c r="H1499" s="19">
        <f>IF($L1499="","",IF(INDEX(ExpWit,$L1499)=0,"",INDEX(ExpWit,$L1499)))</f>
        <v/>
      </c>
      <c r="I1499" s="20">
        <f>IF($B1499="","",IF($I1498="",0,$I1498)+IF($H1499="",0,$H1499)-IF($G1499="",0,$G1499))</f>
        <v/>
      </c>
      <c r="J1499" s="18">
        <f>IF($L1499="","",IF(INDEX(ExpNote,$L1499)="","—",INDEX(ExpNote,$L1499)))</f>
        <v/>
      </c>
      <c r="L1499">
        <f>IFERROR(MATCH($C$5&amp;"|"&amp;RIGHT("000000"&amp;1483,6),ExpRankKey,0),"")</f>
        <v/>
      </c>
    </row>
    <row r="1500">
      <c r="A1500" s="21" t="n">
        <v>1484</v>
      </c>
      <c r="B1500" s="22">
        <f>IF($L1500="","",INDEX(ExpNorm,$L1500))</f>
        <v/>
      </c>
      <c r="C1500" s="22">
        <f>IF($L1500="","",IF(INDEX(ExpTime,$L1500)="","—",LEFT(INDEX(ExpTime,$L1500),2)&amp;":"&amp;RIGHT(INDEX(ExpTime,$L1500),2)))</f>
        <v/>
      </c>
      <c r="D1500" s="22">
        <f>IF($L1500="","",IF(INDEX(ExpBank,$L1500)="","—",INDEX(ExpBank,$L1500)))</f>
        <v/>
      </c>
      <c r="E1500" s="23">
        <f>IF($L1500="","",IF(INDEX(ExpParty,$L1500)="","—",IFERROR(VLOOKUP(INDEX(ExpParty,$L1500),AcctTbl,4,0),INDEX(ExpParty,$L1500))))</f>
        <v/>
      </c>
      <c r="F1500" s="22">
        <f>IF($L1500="","",IF(INDEX(ExpType,$L1500)="","—",INDEX(ExpType,$L1500)))</f>
        <v/>
      </c>
      <c r="G1500" s="24">
        <f>IF($L1500="","",IF(INDEX(ExpDep,$L1500)=0,"",INDEX(ExpDep,$L1500)))</f>
        <v/>
      </c>
      <c r="H1500" s="24">
        <f>IF($L1500="","",IF(INDEX(ExpWit,$L1500)=0,"",INDEX(ExpWit,$L1500)))</f>
        <v/>
      </c>
      <c r="I1500" s="25">
        <f>IF($B1500="","",IF($I1499="",0,$I1499)+IF($H1500="",0,$H1500)-IF($G1500="",0,$G1500))</f>
        <v/>
      </c>
      <c r="J1500" s="23">
        <f>IF($L1500="","",IF(INDEX(ExpNote,$L1500)="","—",INDEX(ExpNote,$L1500)))</f>
        <v/>
      </c>
      <c r="L1500">
        <f>IFERROR(MATCH($C$5&amp;"|"&amp;RIGHT("000000"&amp;1484,6),ExpRankKey,0),"")</f>
        <v/>
      </c>
    </row>
    <row r="1501">
      <c r="A1501" s="16" t="n">
        <v>1485</v>
      </c>
      <c r="B1501" s="17">
        <f>IF($L1501="","",INDEX(ExpNorm,$L1501))</f>
        <v/>
      </c>
      <c r="C1501" s="17">
        <f>IF($L1501="","",IF(INDEX(ExpTime,$L1501)="","—",LEFT(INDEX(ExpTime,$L1501),2)&amp;":"&amp;RIGHT(INDEX(ExpTime,$L1501),2)))</f>
        <v/>
      </c>
      <c r="D1501" s="17">
        <f>IF($L1501="","",IF(INDEX(ExpBank,$L1501)="","—",INDEX(ExpBank,$L1501)))</f>
        <v/>
      </c>
      <c r="E1501" s="18">
        <f>IF($L1501="","",IF(INDEX(ExpParty,$L1501)="","—",IFERROR(VLOOKUP(INDEX(ExpParty,$L1501),AcctTbl,4,0),INDEX(ExpParty,$L1501))))</f>
        <v/>
      </c>
      <c r="F1501" s="17">
        <f>IF($L1501="","",IF(INDEX(ExpType,$L1501)="","—",INDEX(ExpType,$L1501)))</f>
        <v/>
      </c>
      <c r="G1501" s="19">
        <f>IF($L1501="","",IF(INDEX(ExpDep,$L1501)=0,"",INDEX(ExpDep,$L1501)))</f>
        <v/>
      </c>
      <c r="H1501" s="19">
        <f>IF($L1501="","",IF(INDEX(ExpWit,$L1501)=0,"",INDEX(ExpWit,$L1501)))</f>
        <v/>
      </c>
      <c r="I1501" s="20">
        <f>IF($B1501="","",IF($I1500="",0,$I1500)+IF($H1501="",0,$H1501)-IF($G1501="",0,$G1501))</f>
        <v/>
      </c>
      <c r="J1501" s="18">
        <f>IF($L1501="","",IF(INDEX(ExpNote,$L1501)="","—",INDEX(ExpNote,$L1501)))</f>
        <v/>
      </c>
      <c r="L1501">
        <f>IFERROR(MATCH($C$5&amp;"|"&amp;RIGHT("000000"&amp;1485,6),ExpRankKey,0),"")</f>
        <v/>
      </c>
    </row>
    <row r="1502">
      <c r="A1502" s="21" t="n">
        <v>1486</v>
      </c>
      <c r="B1502" s="22">
        <f>IF($L1502="","",INDEX(ExpNorm,$L1502))</f>
        <v/>
      </c>
      <c r="C1502" s="22">
        <f>IF($L1502="","",IF(INDEX(ExpTime,$L1502)="","—",LEFT(INDEX(ExpTime,$L1502),2)&amp;":"&amp;RIGHT(INDEX(ExpTime,$L1502),2)))</f>
        <v/>
      </c>
      <c r="D1502" s="22">
        <f>IF($L1502="","",IF(INDEX(ExpBank,$L1502)="","—",INDEX(ExpBank,$L1502)))</f>
        <v/>
      </c>
      <c r="E1502" s="23">
        <f>IF($L1502="","",IF(INDEX(ExpParty,$L1502)="","—",IFERROR(VLOOKUP(INDEX(ExpParty,$L1502),AcctTbl,4,0),INDEX(ExpParty,$L1502))))</f>
        <v/>
      </c>
      <c r="F1502" s="22">
        <f>IF($L1502="","",IF(INDEX(ExpType,$L1502)="","—",INDEX(ExpType,$L1502)))</f>
        <v/>
      </c>
      <c r="G1502" s="24">
        <f>IF($L1502="","",IF(INDEX(ExpDep,$L1502)=0,"",INDEX(ExpDep,$L1502)))</f>
        <v/>
      </c>
      <c r="H1502" s="24">
        <f>IF($L1502="","",IF(INDEX(ExpWit,$L1502)=0,"",INDEX(ExpWit,$L1502)))</f>
        <v/>
      </c>
      <c r="I1502" s="25">
        <f>IF($B1502="","",IF($I1501="",0,$I1501)+IF($H1502="",0,$H1502)-IF($G1502="",0,$G1502))</f>
        <v/>
      </c>
      <c r="J1502" s="23">
        <f>IF($L1502="","",IF(INDEX(ExpNote,$L1502)="","—",INDEX(ExpNote,$L1502)))</f>
        <v/>
      </c>
      <c r="L1502">
        <f>IFERROR(MATCH($C$5&amp;"|"&amp;RIGHT("000000"&amp;1486,6),ExpRankKey,0),"")</f>
        <v/>
      </c>
    </row>
    <row r="1503">
      <c r="A1503" s="16" t="n">
        <v>1487</v>
      </c>
      <c r="B1503" s="17">
        <f>IF($L1503="","",INDEX(ExpNorm,$L1503))</f>
        <v/>
      </c>
      <c r="C1503" s="17">
        <f>IF($L1503="","",IF(INDEX(ExpTime,$L1503)="","—",LEFT(INDEX(ExpTime,$L1503),2)&amp;":"&amp;RIGHT(INDEX(ExpTime,$L1503),2)))</f>
        <v/>
      </c>
      <c r="D1503" s="17">
        <f>IF($L1503="","",IF(INDEX(ExpBank,$L1503)="","—",INDEX(ExpBank,$L1503)))</f>
        <v/>
      </c>
      <c r="E1503" s="18">
        <f>IF($L1503="","",IF(INDEX(ExpParty,$L1503)="","—",IFERROR(VLOOKUP(INDEX(ExpParty,$L1503),AcctTbl,4,0),INDEX(ExpParty,$L1503))))</f>
        <v/>
      </c>
      <c r="F1503" s="17">
        <f>IF($L1503="","",IF(INDEX(ExpType,$L1503)="","—",INDEX(ExpType,$L1503)))</f>
        <v/>
      </c>
      <c r="G1503" s="19">
        <f>IF($L1503="","",IF(INDEX(ExpDep,$L1503)=0,"",INDEX(ExpDep,$L1503)))</f>
        <v/>
      </c>
      <c r="H1503" s="19">
        <f>IF($L1503="","",IF(INDEX(ExpWit,$L1503)=0,"",INDEX(ExpWit,$L1503)))</f>
        <v/>
      </c>
      <c r="I1503" s="20">
        <f>IF($B1503="","",IF($I1502="",0,$I1502)+IF($H1503="",0,$H1503)-IF($G1503="",0,$G1503))</f>
        <v/>
      </c>
      <c r="J1503" s="18">
        <f>IF($L1503="","",IF(INDEX(ExpNote,$L1503)="","—",INDEX(ExpNote,$L1503)))</f>
        <v/>
      </c>
      <c r="L1503">
        <f>IFERROR(MATCH($C$5&amp;"|"&amp;RIGHT("000000"&amp;1487,6),ExpRankKey,0),"")</f>
        <v/>
      </c>
    </row>
    <row r="1504">
      <c r="A1504" s="21" t="n">
        <v>1488</v>
      </c>
      <c r="B1504" s="22">
        <f>IF($L1504="","",INDEX(ExpNorm,$L1504))</f>
        <v/>
      </c>
      <c r="C1504" s="22">
        <f>IF($L1504="","",IF(INDEX(ExpTime,$L1504)="","—",LEFT(INDEX(ExpTime,$L1504),2)&amp;":"&amp;RIGHT(INDEX(ExpTime,$L1504),2)))</f>
        <v/>
      </c>
      <c r="D1504" s="22">
        <f>IF($L1504="","",IF(INDEX(ExpBank,$L1504)="","—",INDEX(ExpBank,$L1504)))</f>
        <v/>
      </c>
      <c r="E1504" s="23">
        <f>IF($L1504="","",IF(INDEX(ExpParty,$L1504)="","—",IFERROR(VLOOKUP(INDEX(ExpParty,$L1504),AcctTbl,4,0),INDEX(ExpParty,$L1504))))</f>
        <v/>
      </c>
      <c r="F1504" s="22">
        <f>IF($L1504="","",IF(INDEX(ExpType,$L1504)="","—",INDEX(ExpType,$L1504)))</f>
        <v/>
      </c>
      <c r="G1504" s="24">
        <f>IF($L1504="","",IF(INDEX(ExpDep,$L1504)=0,"",INDEX(ExpDep,$L1504)))</f>
        <v/>
      </c>
      <c r="H1504" s="24">
        <f>IF($L1504="","",IF(INDEX(ExpWit,$L1504)=0,"",INDEX(ExpWit,$L1504)))</f>
        <v/>
      </c>
      <c r="I1504" s="25">
        <f>IF($B1504="","",IF($I1503="",0,$I1503)+IF($H1504="",0,$H1504)-IF($G1504="",0,$G1504))</f>
        <v/>
      </c>
      <c r="J1504" s="23">
        <f>IF($L1504="","",IF(INDEX(ExpNote,$L1504)="","—",INDEX(ExpNote,$L1504)))</f>
        <v/>
      </c>
      <c r="L1504">
        <f>IFERROR(MATCH($C$5&amp;"|"&amp;RIGHT("000000"&amp;1488,6),ExpRankKey,0),"")</f>
        <v/>
      </c>
    </row>
    <row r="1505">
      <c r="A1505" s="16" t="n">
        <v>1489</v>
      </c>
      <c r="B1505" s="17">
        <f>IF($L1505="","",INDEX(ExpNorm,$L1505))</f>
        <v/>
      </c>
      <c r="C1505" s="17">
        <f>IF($L1505="","",IF(INDEX(ExpTime,$L1505)="","—",LEFT(INDEX(ExpTime,$L1505),2)&amp;":"&amp;RIGHT(INDEX(ExpTime,$L1505),2)))</f>
        <v/>
      </c>
      <c r="D1505" s="17">
        <f>IF($L1505="","",IF(INDEX(ExpBank,$L1505)="","—",INDEX(ExpBank,$L1505)))</f>
        <v/>
      </c>
      <c r="E1505" s="18">
        <f>IF($L1505="","",IF(INDEX(ExpParty,$L1505)="","—",IFERROR(VLOOKUP(INDEX(ExpParty,$L1505),AcctTbl,4,0),INDEX(ExpParty,$L1505))))</f>
        <v/>
      </c>
      <c r="F1505" s="17">
        <f>IF($L1505="","",IF(INDEX(ExpType,$L1505)="","—",INDEX(ExpType,$L1505)))</f>
        <v/>
      </c>
      <c r="G1505" s="19">
        <f>IF($L1505="","",IF(INDEX(ExpDep,$L1505)=0,"",INDEX(ExpDep,$L1505)))</f>
        <v/>
      </c>
      <c r="H1505" s="19">
        <f>IF($L1505="","",IF(INDEX(ExpWit,$L1505)=0,"",INDEX(ExpWit,$L1505)))</f>
        <v/>
      </c>
      <c r="I1505" s="20">
        <f>IF($B1505="","",IF($I1504="",0,$I1504)+IF($H1505="",0,$H1505)-IF($G1505="",0,$G1505))</f>
        <v/>
      </c>
      <c r="J1505" s="18">
        <f>IF($L1505="","",IF(INDEX(ExpNote,$L1505)="","—",INDEX(ExpNote,$L1505)))</f>
        <v/>
      </c>
      <c r="L1505">
        <f>IFERROR(MATCH($C$5&amp;"|"&amp;RIGHT("000000"&amp;1489,6),ExpRankKey,0),"")</f>
        <v/>
      </c>
    </row>
    <row r="1506">
      <c r="A1506" s="21" t="n">
        <v>1490</v>
      </c>
      <c r="B1506" s="22">
        <f>IF($L1506="","",INDEX(ExpNorm,$L1506))</f>
        <v/>
      </c>
      <c r="C1506" s="22">
        <f>IF($L1506="","",IF(INDEX(ExpTime,$L1506)="","—",LEFT(INDEX(ExpTime,$L1506),2)&amp;":"&amp;RIGHT(INDEX(ExpTime,$L1506),2)))</f>
        <v/>
      </c>
      <c r="D1506" s="22">
        <f>IF($L1506="","",IF(INDEX(ExpBank,$L1506)="","—",INDEX(ExpBank,$L1506)))</f>
        <v/>
      </c>
      <c r="E1506" s="23">
        <f>IF($L1506="","",IF(INDEX(ExpParty,$L1506)="","—",IFERROR(VLOOKUP(INDEX(ExpParty,$L1506),AcctTbl,4,0),INDEX(ExpParty,$L1506))))</f>
        <v/>
      </c>
      <c r="F1506" s="22">
        <f>IF($L1506="","",IF(INDEX(ExpType,$L1506)="","—",INDEX(ExpType,$L1506)))</f>
        <v/>
      </c>
      <c r="G1506" s="24">
        <f>IF($L1506="","",IF(INDEX(ExpDep,$L1506)=0,"",INDEX(ExpDep,$L1506)))</f>
        <v/>
      </c>
      <c r="H1506" s="24">
        <f>IF($L1506="","",IF(INDEX(ExpWit,$L1506)=0,"",INDEX(ExpWit,$L1506)))</f>
        <v/>
      </c>
      <c r="I1506" s="25">
        <f>IF($B1506="","",IF($I1505="",0,$I1505)+IF($H1506="",0,$H1506)-IF($G1506="",0,$G1506))</f>
        <v/>
      </c>
      <c r="J1506" s="23">
        <f>IF($L1506="","",IF(INDEX(ExpNote,$L1506)="","—",INDEX(ExpNote,$L1506)))</f>
        <v/>
      </c>
      <c r="L1506">
        <f>IFERROR(MATCH($C$5&amp;"|"&amp;RIGHT("000000"&amp;1490,6),ExpRankKey,0),"")</f>
        <v/>
      </c>
    </row>
    <row r="1507">
      <c r="A1507" s="16" t="n">
        <v>1491</v>
      </c>
      <c r="B1507" s="17">
        <f>IF($L1507="","",INDEX(ExpNorm,$L1507))</f>
        <v/>
      </c>
      <c r="C1507" s="17">
        <f>IF($L1507="","",IF(INDEX(ExpTime,$L1507)="","—",LEFT(INDEX(ExpTime,$L1507),2)&amp;":"&amp;RIGHT(INDEX(ExpTime,$L1507),2)))</f>
        <v/>
      </c>
      <c r="D1507" s="17">
        <f>IF($L1507="","",IF(INDEX(ExpBank,$L1507)="","—",INDEX(ExpBank,$L1507)))</f>
        <v/>
      </c>
      <c r="E1507" s="18">
        <f>IF($L1507="","",IF(INDEX(ExpParty,$L1507)="","—",IFERROR(VLOOKUP(INDEX(ExpParty,$L1507),AcctTbl,4,0),INDEX(ExpParty,$L1507))))</f>
        <v/>
      </c>
      <c r="F1507" s="17">
        <f>IF($L1507="","",IF(INDEX(ExpType,$L1507)="","—",INDEX(ExpType,$L1507)))</f>
        <v/>
      </c>
      <c r="G1507" s="19">
        <f>IF($L1507="","",IF(INDEX(ExpDep,$L1507)=0,"",INDEX(ExpDep,$L1507)))</f>
        <v/>
      </c>
      <c r="H1507" s="19">
        <f>IF($L1507="","",IF(INDEX(ExpWit,$L1507)=0,"",INDEX(ExpWit,$L1507)))</f>
        <v/>
      </c>
      <c r="I1507" s="20">
        <f>IF($B1507="","",IF($I1506="",0,$I1506)+IF($H1507="",0,$H1507)-IF($G1507="",0,$G1507))</f>
        <v/>
      </c>
      <c r="J1507" s="18">
        <f>IF($L1507="","",IF(INDEX(ExpNote,$L1507)="","—",INDEX(ExpNote,$L1507)))</f>
        <v/>
      </c>
      <c r="L1507">
        <f>IFERROR(MATCH($C$5&amp;"|"&amp;RIGHT("000000"&amp;1491,6),ExpRankKey,0),"")</f>
        <v/>
      </c>
    </row>
    <row r="1508">
      <c r="A1508" s="21" t="n">
        <v>1492</v>
      </c>
      <c r="B1508" s="22">
        <f>IF($L1508="","",INDEX(ExpNorm,$L1508))</f>
        <v/>
      </c>
      <c r="C1508" s="22">
        <f>IF($L1508="","",IF(INDEX(ExpTime,$L1508)="","—",LEFT(INDEX(ExpTime,$L1508),2)&amp;":"&amp;RIGHT(INDEX(ExpTime,$L1508),2)))</f>
        <v/>
      </c>
      <c r="D1508" s="22">
        <f>IF($L1508="","",IF(INDEX(ExpBank,$L1508)="","—",INDEX(ExpBank,$L1508)))</f>
        <v/>
      </c>
      <c r="E1508" s="23">
        <f>IF($L1508="","",IF(INDEX(ExpParty,$L1508)="","—",IFERROR(VLOOKUP(INDEX(ExpParty,$L1508),AcctTbl,4,0),INDEX(ExpParty,$L1508))))</f>
        <v/>
      </c>
      <c r="F1508" s="22">
        <f>IF($L1508="","",IF(INDEX(ExpType,$L1508)="","—",INDEX(ExpType,$L1508)))</f>
        <v/>
      </c>
      <c r="G1508" s="24">
        <f>IF($L1508="","",IF(INDEX(ExpDep,$L1508)=0,"",INDEX(ExpDep,$L1508)))</f>
        <v/>
      </c>
      <c r="H1508" s="24">
        <f>IF($L1508="","",IF(INDEX(ExpWit,$L1508)=0,"",INDEX(ExpWit,$L1508)))</f>
        <v/>
      </c>
      <c r="I1508" s="25">
        <f>IF($B1508="","",IF($I1507="",0,$I1507)+IF($H1508="",0,$H1508)-IF($G1508="",0,$G1508))</f>
        <v/>
      </c>
      <c r="J1508" s="23">
        <f>IF($L1508="","",IF(INDEX(ExpNote,$L1508)="","—",INDEX(ExpNote,$L1508)))</f>
        <v/>
      </c>
      <c r="L1508">
        <f>IFERROR(MATCH($C$5&amp;"|"&amp;RIGHT("000000"&amp;1492,6),ExpRankKey,0),"")</f>
        <v/>
      </c>
    </row>
    <row r="1509">
      <c r="A1509" s="16" t="n">
        <v>1493</v>
      </c>
      <c r="B1509" s="17">
        <f>IF($L1509="","",INDEX(ExpNorm,$L1509))</f>
        <v/>
      </c>
      <c r="C1509" s="17">
        <f>IF($L1509="","",IF(INDEX(ExpTime,$L1509)="","—",LEFT(INDEX(ExpTime,$L1509),2)&amp;":"&amp;RIGHT(INDEX(ExpTime,$L1509),2)))</f>
        <v/>
      </c>
      <c r="D1509" s="17">
        <f>IF($L1509="","",IF(INDEX(ExpBank,$L1509)="","—",INDEX(ExpBank,$L1509)))</f>
        <v/>
      </c>
      <c r="E1509" s="18">
        <f>IF($L1509="","",IF(INDEX(ExpParty,$L1509)="","—",IFERROR(VLOOKUP(INDEX(ExpParty,$L1509),AcctTbl,4,0),INDEX(ExpParty,$L1509))))</f>
        <v/>
      </c>
      <c r="F1509" s="17">
        <f>IF($L1509="","",IF(INDEX(ExpType,$L1509)="","—",INDEX(ExpType,$L1509)))</f>
        <v/>
      </c>
      <c r="G1509" s="19">
        <f>IF($L1509="","",IF(INDEX(ExpDep,$L1509)=0,"",INDEX(ExpDep,$L1509)))</f>
        <v/>
      </c>
      <c r="H1509" s="19">
        <f>IF($L1509="","",IF(INDEX(ExpWit,$L1509)=0,"",INDEX(ExpWit,$L1509)))</f>
        <v/>
      </c>
      <c r="I1509" s="20">
        <f>IF($B1509="","",IF($I1508="",0,$I1508)+IF($H1509="",0,$H1509)-IF($G1509="",0,$G1509))</f>
        <v/>
      </c>
      <c r="J1509" s="18">
        <f>IF($L1509="","",IF(INDEX(ExpNote,$L1509)="","—",INDEX(ExpNote,$L1509)))</f>
        <v/>
      </c>
      <c r="L1509">
        <f>IFERROR(MATCH($C$5&amp;"|"&amp;RIGHT("000000"&amp;1493,6),ExpRankKey,0),"")</f>
        <v/>
      </c>
    </row>
    <row r="1510">
      <c r="A1510" s="21" t="n">
        <v>1494</v>
      </c>
      <c r="B1510" s="22">
        <f>IF($L1510="","",INDEX(ExpNorm,$L1510))</f>
        <v/>
      </c>
      <c r="C1510" s="22">
        <f>IF($L1510="","",IF(INDEX(ExpTime,$L1510)="","—",LEFT(INDEX(ExpTime,$L1510),2)&amp;":"&amp;RIGHT(INDEX(ExpTime,$L1510),2)))</f>
        <v/>
      </c>
      <c r="D1510" s="22">
        <f>IF($L1510="","",IF(INDEX(ExpBank,$L1510)="","—",INDEX(ExpBank,$L1510)))</f>
        <v/>
      </c>
      <c r="E1510" s="23">
        <f>IF($L1510="","",IF(INDEX(ExpParty,$L1510)="","—",IFERROR(VLOOKUP(INDEX(ExpParty,$L1510),AcctTbl,4,0),INDEX(ExpParty,$L1510))))</f>
        <v/>
      </c>
      <c r="F1510" s="22">
        <f>IF($L1510="","",IF(INDEX(ExpType,$L1510)="","—",INDEX(ExpType,$L1510)))</f>
        <v/>
      </c>
      <c r="G1510" s="24">
        <f>IF($L1510="","",IF(INDEX(ExpDep,$L1510)=0,"",INDEX(ExpDep,$L1510)))</f>
        <v/>
      </c>
      <c r="H1510" s="24">
        <f>IF($L1510="","",IF(INDEX(ExpWit,$L1510)=0,"",INDEX(ExpWit,$L1510)))</f>
        <v/>
      </c>
      <c r="I1510" s="25">
        <f>IF($B1510="","",IF($I1509="",0,$I1509)+IF($H1510="",0,$H1510)-IF($G1510="",0,$G1510))</f>
        <v/>
      </c>
      <c r="J1510" s="23">
        <f>IF($L1510="","",IF(INDEX(ExpNote,$L1510)="","—",INDEX(ExpNote,$L1510)))</f>
        <v/>
      </c>
      <c r="L1510">
        <f>IFERROR(MATCH($C$5&amp;"|"&amp;RIGHT("000000"&amp;1494,6),ExpRankKey,0),"")</f>
        <v/>
      </c>
    </row>
    <row r="1511">
      <c r="A1511" s="16" t="n">
        <v>1495</v>
      </c>
      <c r="B1511" s="17">
        <f>IF($L1511="","",INDEX(ExpNorm,$L1511))</f>
        <v/>
      </c>
      <c r="C1511" s="17">
        <f>IF($L1511="","",IF(INDEX(ExpTime,$L1511)="","—",LEFT(INDEX(ExpTime,$L1511),2)&amp;":"&amp;RIGHT(INDEX(ExpTime,$L1511),2)))</f>
        <v/>
      </c>
      <c r="D1511" s="17">
        <f>IF($L1511="","",IF(INDEX(ExpBank,$L1511)="","—",INDEX(ExpBank,$L1511)))</f>
        <v/>
      </c>
      <c r="E1511" s="18">
        <f>IF($L1511="","",IF(INDEX(ExpParty,$L1511)="","—",IFERROR(VLOOKUP(INDEX(ExpParty,$L1511),AcctTbl,4,0),INDEX(ExpParty,$L1511))))</f>
        <v/>
      </c>
      <c r="F1511" s="17">
        <f>IF($L1511="","",IF(INDEX(ExpType,$L1511)="","—",INDEX(ExpType,$L1511)))</f>
        <v/>
      </c>
      <c r="G1511" s="19">
        <f>IF($L1511="","",IF(INDEX(ExpDep,$L1511)=0,"",INDEX(ExpDep,$L1511)))</f>
        <v/>
      </c>
      <c r="H1511" s="19">
        <f>IF($L1511="","",IF(INDEX(ExpWit,$L1511)=0,"",INDEX(ExpWit,$L1511)))</f>
        <v/>
      </c>
      <c r="I1511" s="20">
        <f>IF($B1511="","",IF($I1510="",0,$I1510)+IF($H1511="",0,$H1511)-IF($G1511="",0,$G1511))</f>
        <v/>
      </c>
      <c r="J1511" s="18">
        <f>IF($L1511="","",IF(INDEX(ExpNote,$L1511)="","—",INDEX(ExpNote,$L1511)))</f>
        <v/>
      </c>
      <c r="L1511">
        <f>IFERROR(MATCH($C$5&amp;"|"&amp;RIGHT("000000"&amp;1495,6),ExpRankKey,0),"")</f>
        <v/>
      </c>
    </row>
    <row r="1512">
      <c r="A1512" s="21" t="n">
        <v>1496</v>
      </c>
      <c r="B1512" s="22">
        <f>IF($L1512="","",INDEX(ExpNorm,$L1512))</f>
        <v/>
      </c>
      <c r="C1512" s="22">
        <f>IF($L1512="","",IF(INDEX(ExpTime,$L1512)="","—",LEFT(INDEX(ExpTime,$L1512),2)&amp;":"&amp;RIGHT(INDEX(ExpTime,$L1512),2)))</f>
        <v/>
      </c>
      <c r="D1512" s="22">
        <f>IF($L1512="","",IF(INDEX(ExpBank,$L1512)="","—",INDEX(ExpBank,$L1512)))</f>
        <v/>
      </c>
      <c r="E1512" s="23">
        <f>IF($L1512="","",IF(INDEX(ExpParty,$L1512)="","—",IFERROR(VLOOKUP(INDEX(ExpParty,$L1512),AcctTbl,4,0),INDEX(ExpParty,$L1512))))</f>
        <v/>
      </c>
      <c r="F1512" s="22">
        <f>IF($L1512="","",IF(INDEX(ExpType,$L1512)="","—",INDEX(ExpType,$L1512)))</f>
        <v/>
      </c>
      <c r="G1512" s="24">
        <f>IF($L1512="","",IF(INDEX(ExpDep,$L1512)=0,"",INDEX(ExpDep,$L1512)))</f>
        <v/>
      </c>
      <c r="H1512" s="24">
        <f>IF($L1512="","",IF(INDEX(ExpWit,$L1512)=0,"",INDEX(ExpWit,$L1512)))</f>
        <v/>
      </c>
      <c r="I1512" s="25">
        <f>IF($B1512="","",IF($I1511="",0,$I1511)+IF($H1512="",0,$H1512)-IF($G1512="",0,$G1512))</f>
        <v/>
      </c>
      <c r="J1512" s="23">
        <f>IF($L1512="","",IF(INDEX(ExpNote,$L1512)="","—",INDEX(ExpNote,$L1512)))</f>
        <v/>
      </c>
      <c r="L1512">
        <f>IFERROR(MATCH($C$5&amp;"|"&amp;RIGHT("000000"&amp;1496,6),ExpRankKey,0),"")</f>
        <v/>
      </c>
    </row>
    <row r="1513">
      <c r="A1513" s="16" t="n">
        <v>1497</v>
      </c>
      <c r="B1513" s="17">
        <f>IF($L1513="","",INDEX(ExpNorm,$L1513))</f>
        <v/>
      </c>
      <c r="C1513" s="17">
        <f>IF($L1513="","",IF(INDEX(ExpTime,$L1513)="","—",LEFT(INDEX(ExpTime,$L1513),2)&amp;":"&amp;RIGHT(INDEX(ExpTime,$L1513),2)))</f>
        <v/>
      </c>
      <c r="D1513" s="17">
        <f>IF($L1513="","",IF(INDEX(ExpBank,$L1513)="","—",INDEX(ExpBank,$L1513)))</f>
        <v/>
      </c>
      <c r="E1513" s="18">
        <f>IF($L1513="","",IF(INDEX(ExpParty,$L1513)="","—",IFERROR(VLOOKUP(INDEX(ExpParty,$L1513),AcctTbl,4,0),INDEX(ExpParty,$L1513))))</f>
        <v/>
      </c>
      <c r="F1513" s="17">
        <f>IF($L1513="","",IF(INDEX(ExpType,$L1513)="","—",INDEX(ExpType,$L1513)))</f>
        <v/>
      </c>
      <c r="G1513" s="19">
        <f>IF($L1513="","",IF(INDEX(ExpDep,$L1513)=0,"",INDEX(ExpDep,$L1513)))</f>
        <v/>
      </c>
      <c r="H1513" s="19">
        <f>IF($L1513="","",IF(INDEX(ExpWit,$L1513)=0,"",INDEX(ExpWit,$L1513)))</f>
        <v/>
      </c>
      <c r="I1513" s="20">
        <f>IF($B1513="","",IF($I1512="",0,$I1512)+IF($H1513="",0,$H1513)-IF($G1513="",0,$G1513))</f>
        <v/>
      </c>
      <c r="J1513" s="18">
        <f>IF($L1513="","",IF(INDEX(ExpNote,$L1513)="","—",INDEX(ExpNote,$L1513)))</f>
        <v/>
      </c>
      <c r="L1513">
        <f>IFERROR(MATCH($C$5&amp;"|"&amp;RIGHT("000000"&amp;1497,6),ExpRankKey,0),"")</f>
        <v/>
      </c>
    </row>
    <row r="1514">
      <c r="A1514" s="21" t="n">
        <v>1498</v>
      </c>
      <c r="B1514" s="22">
        <f>IF($L1514="","",INDEX(ExpNorm,$L1514))</f>
        <v/>
      </c>
      <c r="C1514" s="22">
        <f>IF($L1514="","",IF(INDEX(ExpTime,$L1514)="","—",LEFT(INDEX(ExpTime,$L1514),2)&amp;":"&amp;RIGHT(INDEX(ExpTime,$L1514),2)))</f>
        <v/>
      </c>
      <c r="D1514" s="22">
        <f>IF($L1514="","",IF(INDEX(ExpBank,$L1514)="","—",INDEX(ExpBank,$L1514)))</f>
        <v/>
      </c>
      <c r="E1514" s="23">
        <f>IF($L1514="","",IF(INDEX(ExpParty,$L1514)="","—",IFERROR(VLOOKUP(INDEX(ExpParty,$L1514),AcctTbl,4,0),INDEX(ExpParty,$L1514))))</f>
        <v/>
      </c>
      <c r="F1514" s="22">
        <f>IF($L1514="","",IF(INDEX(ExpType,$L1514)="","—",INDEX(ExpType,$L1514)))</f>
        <v/>
      </c>
      <c r="G1514" s="24">
        <f>IF($L1514="","",IF(INDEX(ExpDep,$L1514)=0,"",INDEX(ExpDep,$L1514)))</f>
        <v/>
      </c>
      <c r="H1514" s="24">
        <f>IF($L1514="","",IF(INDEX(ExpWit,$L1514)=0,"",INDEX(ExpWit,$L1514)))</f>
        <v/>
      </c>
      <c r="I1514" s="25">
        <f>IF($B1514="","",IF($I1513="",0,$I1513)+IF($H1514="",0,$H1514)-IF($G1514="",0,$G1514))</f>
        <v/>
      </c>
      <c r="J1514" s="23">
        <f>IF($L1514="","",IF(INDEX(ExpNote,$L1514)="","—",INDEX(ExpNote,$L1514)))</f>
        <v/>
      </c>
      <c r="L1514">
        <f>IFERROR(MATCH($C$5&amp;"|"&amp;RIGHT("000000"&amp;1498,6),ExpRankKey,0),"")</f>
        <v/>
      </c>
    </row>
    <row r="1515">
      <c r="A1515" s="16" t="n">
        <v>1499</v>
      </c>
      <c r="B1515" s="17">
        <f>IF($L1515="","",INDEX(ExpNorm,$L1515))</f>
        <v/>
      </c>
      <c r="C1515" s="17">
        <f>IF($L1515="","",IF(INDEX(ExpTime,$L1515)="","—",LEFT(INDEX(ExpTime,$L1515),2)&amp;":"&amp;RIGHT(INDEX(ExpTime,$L1515),2)))</f>
        <v/>
      </c>
      <c r="D1515" s="17">
        <f>IF($L1515="","",IF(INDEX(ExpBank,$L1515)="","—",INDEX(ExpBank,$L1515)))</f>
        <v/>
      </c>
      <c r="E1515" s="18">
        <f>IF($L1515="","",IF(INDEX(ExpParty,$L1515)="","—",IFERROR(VLOOKUP(INDEX(ExpParty,$L1515),AcctTbl,4,0),INDEX(ExpParty,$L1515))))</f>
        <v/>
      </c>
      <c r="F1515" s="17">
        <f>IF($L1515="","",IF(INDEX(ExpType,$L1515)="","—",INDEX(ExpType,$L1515)))</f>
        <v/>
      </c>
      <c r="G1515" s="19">
        <f>IF($L1515="","",IF(INDEX(ExpDep,$L1515)=0,"",INDEX(ExpDep,$L1515)))</f>
        <v/>
      </c>
      <c r="H1515" s="19">
        <f>IF($L1515="","",IF(INDEX(ExpWit,$L1515)=0,"",INDEX(ExpWit,$L1515)))</f>
        <v/>
      </c>
      <c r="I1515" s="20">
        <f>IF($B1515="","",IF($I1514="",0,$I1514)+IF($H1515="",0,$H1515)-IF($G1515="",0,$G1515))</f>
        <v/>
      </c>
      <c r="J1515" s="18">
        <f>IF($L1515="","",IF(INDEX(ExpNote,$L1515)="","—",INDEX(ExpNote,$L1515)))</f>
        <v/>
      </c>
      <c r="L1515">
        <f>IFERROR(MATCH($C$5&amp;"|"&amp;RIGHT("000000"&amp;1499,6),ExpRankKey,0),"")</f>
        <v/>
      </c>
    </row>
    <row r="1516">
      <c r="A1516" s="21" t="n">
        <v>1500</v>
      </c>
      <c r="B1516" s="22">
        <f>IF($L1516="","",INDEX(ExpNorm,$L1516))</f>
        <v/>
      </c>
      <c r="C1516" s="22">
        <f>IF($L1516="","",IF(INDEX(ExpTime,$L1516)="","—",LEFT(INDEX(ExpTime,$L1516),2)&amp;":"&amp;RIGHT(INDEX(ExpTime,$L1516),2)))</f>
        <v/>
      </c>
      <c r="D1516" s="22">
        <f>IF($L1516="","",IF(INDEX(ExpBank,$L1516)="","—",INDEX(ExpBank,$L1516)))</f>
        <v/>
      </c>
      <c r="E1516" s="23">
        <f>IF($L1516="","",IF(INDEX(ExpParty,$L1516)="","—",IFERROR(VLOOKUP(INDEX(ExpParty,$L1516),AcctTbl,4,0),INDEX(ExpParty,$L1516))))</f>
        <v/>
      </c>
      <c r="F1516" s="22">
        <f>IF($L1516="","",IF(INDEX(ExpType,$L1516)="","—",INDEX(ExpType,$L1516)))</f>
        <v/>
      </c>
      <c r="G1516" s="24">
        <f>IF($L1516="","",IF(INDEX(ExpDep,$L1516)=0,"",INDEX(ExpDep,$L1516)))</f>
        <v/>
      </c>
      <c r="H1516" s="24">
        <f>IF($L1516="","",IF(INDEX(ExpWit,$L1516)=0,"",INDEX(ExpWit,$L1516)))</f>
        <v/>
      </c>
      <c r="I1516" s="25">
        <f>IF($B1516="","",IF($I1515="",0,$I1515)+IF($H1516="",0,$H1516)-IF($G1516="",0,$G1516))</f>
        <v/>
      </c>
      <c r="J1516" s="23">
        <f>IF($L1516="","",IF(INDEX(ExpNote,$L1516)="","—",INDEX(ExpNote,$L1516)))</f>
        <v/>
      </c>
      <c r="L1516">
        <f>IFERROR(MATCH($C$5&amp;"|"&amp;RIGHT("000000"&amp;1500,6),ExpRankKey,0),"")</f>
        <v/>
      </c>
    </row>
    <row r="1517">
      <c r="A1517" s="16" t="n">
        <v>1501</v>
      </c>
      <c r="B1517" s="17">
        <f>IF($L1517="","",INDEX(ExpNorm,$L1517))</f>
        <v/>
      </c>
      <c r="C1517" s="17">
        <f>IF($L1517="","",IF(INDEX(ExpTime,$L1517)="","—",LEFT(INDEX(ExpTime,$L1517),2)&amp;":"&amp;RIGHT(INDEX(ExpTime,$L1517),2)))</f>
        <v/>
      </c>
      <c r="D1517" s="17">
        <f>IF($L1517="","",IF(INDEX(ExpBank,$L1517)="","—",INDEX(ExpBank,$L1517)))</f>
        <v/>
      </c>
      <c r="E1517" s="18">
        <f>IF($L1517="","",IF(INDEX(ExpParty,$L1517)="","—",IFERROR(VLOOKUP(INDEX(ExpParty,$L1517),AcctTbl,4,0),INDEX(ExpParty,$L1517))))</f>
        <v/>
      </c>
      <c r="F1517" s="17">
        <f>IF($L1517="","",IF(INDEX(ExpType,$L1517)="","—",INDEX(ExpType,$L1517)))</f>
        <v/>
      </c>
      <c r="G1517" s="19">
        <f>IF($L1517="","",IF(INDEX(ExpDep,$L1517)=0,"",INDEX(ExpDep,$L1517)))</f>
        <v/>
      </c>
      <c r="H1517" s="19">
        <f>IF($L1517="","",IF(INDEX(ExpWit,$L1517)=0,"",INDEX(ExpWit,$L1517)))</f>
        <v/>
      </c>
      <c r="I1517" s="20">
        <f>IF($B1517="","",IF($I1516="",0,$I1516)+IF($H1517="",0,$H1517)-IF($G1517="",0,$G1517))</f>
        <v/>
      </c>
      <c r="J1517" s="18">
        <f>IF($L1517="","",IF(INDEX(ExpNote,$L1517)="","—",INDEX(ExpNote,$L1517)))</f>
        <v/>
      </c>
      <c r="L1517">
        <f>IFERROR(MATCH($C$5&amp;"|"&amp;RIGHT("000000"&amp;1501,6),ExpRankKey,0),"")</f>
        <v/>
      </c>
    </row>
    <row r="1518">
      <c r="A1518" s="21" t="n">
        <v>1502</v>
      </c>
      <c r="B1518" s="22">
        <f>IF($L1518="","",INDEX(ExpNorm,$L1518))</f>
        <v/>
      </c>
      <c r="C1518" s="22">
        <f>IF($L1518="","",IF(INDEX(ExpTime,$L1518)="","—",LEFT(INDEX(ExpTime,$L1518),2)&amp;":"&amp;RIGHT(INDEX(ExpTime,$L1518),2)))</f>
        <v/>
      </c>
      <c r="D1518" s="22">
        <f>IF($L1518="","",IF(INDEX(ExpBank,$L1518)="","—",INDEX(ExpBank,$L1518)))</f>
        <v/>
      </c>
      <c r="E1518" s="23">
        <f>IF($L1518="","",IF(INDEX(ExpParty,$L1518)="","—",IFERROR(VLOOKUP(INDEX(ExpParty,$L1518),AcctTbl,4,0),INDEX(ExpParty,$L1518))))</f>
        <v/>
      </c>
      <c r="F1518" s="22">
        <f>IF($L1518="","",IF(INDEX(ExpType,$L1518)="","—",INDEX(ExpType,$L1518)))</f>
        <v/>
      </c>
      <c r="G1518" s="24">
        <f>IF($L1518="","",IF(INDEX(ExpDep,$L1518)=0,"",INDEX(ExpDep,$L1518)))</f>
        <v/>
      </c>
      <c r="H1518" s="24">
        <f>IF($L1518="","",IF(INDEX(ExpWit,$L1518)=0,"",INDEX(ExpWit,$L1518)))</f>
        <v/>
      </c>
      <c r="I1518" s="25">
        <f>IF($B1518="","",IF($I1517="",0,$I1517)+IF($H1518="",0,$H1518)-IF($G1518="",0,$G1518))</f>
        <v/>
      </c>
      <c r="J1518" s="23">
        <f>IF($L1518="","",IF(INDEX(ExpNote,$L1518)="","—",INDEX(ExpNote,$L1518)))</f>
        <v/>
      </c>
      <c r="L1518">
        <f>IFERROR(MATCH($C$5&amp;"|"&amp;RIGHT("000000"&amp;1502,6),ExpRankKey,0),"")</f>
        <v/>
      </c>
    </row>
    <row r="1519">
      <c r="A1519" s="16" t="n">
        <v>1503</v>
      </c>
      <c r="B1519" s="17">
        <f>IF($L1519="","",INDEX(ExpNorm,$L1519))</f>
        <v/>
      </c>
      <c r="C1519" s="17">
        <f>IF($L1519="","",IF(INDEX(ExpTime,$L1519)="","—",LEFT(INDEX(ExpTime,$L1519),2)&amp;":"&amp;RIGHT(INDEX(ExpTime,$L1519),2)))</f>
        <v/>
      </c>
      <c r="D1519" s="17">
        <f>IF($L1519="","",IF(INDEX(ExpBank,$L1519)="","—",INDEX(ExpBank,$L1519)))</f>
        <v/>
      </c>
      <c r="E1519" s="18">
        <f>IF($L1519="","",IF(INDEX(ExpParty,$L1519)="","—",IFERROR(VLOOKUP(INDEX(ExpParty,$L1519),AcctTbl,4,0),INDEX(ExpParty,$L1519))))</f>
        <v/>
      </c>
      <c r="F1519" s="17">
        <f>IF($L1519="","",IF(INDEX(ExpType,$L1519)="","—",INDEX(ExpType,$L1519)))</f>
        <v/>
      </c>
      <c r="G1519" s="19">
        <f>IF($L1519="","",IF(INDEX(ExpDep,$L1519)=0,"",INDEX(ExpDep,$L1519)))</f>
        <v/>
      </c>
      <c r="H1519" s="19">
        <f>IF($L1519="","",IF(INDEX(ExpWit,$L1519)=0,"",INDEX(ExpWit,$L1519)))</f>
        <v/>
      </c>
      <c r="I1519" s="20">
        <f>IF($B1519="","",IF($I1518="",0,$I1518)+IF($H1519="",0,$H1519)-IF($G1519="",0,$G1519))</f>
        <v/>
      </c>
      <c r="J1519" s="18">
        <f>IF($L1519="","",IF(INDEX(ExpNote,$L1519)="","—",INDEX(ExpNote,$L1519)))</f>
        <v/>
      </c>
      <c r="L1519">
        <f>IFERROR(MATCH($C$5&amp;"|"&amp;RIGHT("000000"&amp;1503,6),ExpRankKey,0),"")</f>
        <v/>
      </c>
    </row>
    <row r="1520">
      <c r="A1520" s="21" t="n">
        <v>1504</v>
      </c>
      <c r="B1520" s="22">
        <f>IF($L1520="","",INDEX(ExpNorm,$L1520))</f>
        <v/>
      </c>
      <c r="C1520" s="22">
        <f>IF($L1520="","",IF(INDEX(ExpTime,$L1520)="","—",LEFT(INDEX(ExpTime,$L1520),2)&amp;":"&amp;RIGHT(INDEX(ExpTime,$L1520),2)))</f>
        <v/>
      </c>
      <c r="D1520" s="22">
        <f>IF($L1520="","",IF(INDEX(ExpBank,$L1520)="","—",INDEX(ExpBank,$L1520)))</f>
        <v/>
      </c>
      <c r="E1520" s="23">
        <f>IF($L1520="","",IF(INDEX(ExpParty,$L1520)="","—",IFERROR(VLOOKUP(INDEX(ExpParty,$L1520),AcctTbl,4,0),INDEX(ExpParty,$L1520))))</f>
        <v/>
      </c>
      <c r="F1520" s="22">
        <f>IF($L1520="","",IF(INDEX(ExpType,$L1520)="","—",INDEX(ExpType,$L1520)))</f>
        <v/>
      </c>
      <c r="G1520" s="24">
        <f>IF($L1520="","",IF(INDEX(ExpDep,$L1520)=0,"",INDEX(ExpDep,$L1520)))</f>
        <v/>
      </c>
      <c r="H1520" s="24">
        <f>IF($L1520="","",IF(INDEX(ExpWit,$L1520)=0,"",INDEX(ExpWit,$L1520)))</f>
        <v/>
      </c>
      <c r="I1520" s="25">
        <f>IF($B1520="","",IF($I1519="",0,$I1519)+IF($H1520="",0,$H1520)-IF($G1520="",0,$G1520))</f>
        <v/>
      </c>
      <c r="J1520" s="23">
        <f>IF($L1520="","",IF(INDEX(ExpNote,$L1520)="","—",INDEX(ExpNote,$L1520)))</f>
        <v/>
      </c>
      <c r="L1520">
        <f>IFERROR(MATCH($C$5&amp;"|"&amp;RIGHT("000000"&amp;1504,6),ExpRankKey,0),"")</f>
        <v/>
      </c>
    </row>
    <row r="1521">
      <c r="A1521" s="16" t="n">
        <v>1505</v>
      </c>
      <c r="B1521" s="17">
        <f>IF($L1521="","",INDEX(ExpNorm,$L1521))</f>
        <v/>
      </c>
      <c r="C1521" s="17">
        <f>IF($L1521="","",IF(INDEX(ExpTime,$L1521)="","—",LEFT(INDEX(ExpTime,$L1521),2)&amp;":"&amp;RIGHT(INDEX(ExpTime,$L1521),2)))</f>
        <v/>
      </c>
      <c r="D1521" s="17">
        <f>IF($L1521="","",IF(INDEX(ExpBank,$L1521)="","—",INDEX(ExpBank,$L1521)))</f>
        <v/>
      </c>
      <c r="E1521" s="18">
        <f>IF($L1521="","",IF(INDEX(ExpParty,$L1521)="","—",IFERROR(VLOOKUP(INDEX(ExpParty,$L1521),AcctTbl,4,0),INDEX(ExpParty,$L1521))))</f>
        <v/>
      </c>
      <c r="F1521" s="17">
        <f>IF($L1521="","",IF(INDEX(ExpType,$L1521)="","—",INDEX(ExpType,$L1521)))</f>
        <v/>
      </c>
      <c r="G1521" s="19">
        <f>IF($L1521="","",IF(INDEX(ExpDep,$L1521)=0,"",INDEX(ExpDep,$L1521)))</f>
        <v/>
      </c>
      <c r="H1521" s="19">
        <f>IF($L1521="","",IF(INDEX(ExpWit,$L1521)=0,"",INDEX(ExpWit,$L1521)))</f>
        <v/>
      </c>
      <c r="I1521" s="20">
        <f>IF($B1521="","",IF($I1520="",0,$I1520)+IF($H1521="",0,$H1521)-IF($G1521="",0,$G1521))</f>
        <v/>
      </c>
      <c r="J1521" s="18">
        <f>IF($L1521="","",IF(INDEX(ExpNote,$L1521)="","—",INDEX(ExpNote,$L1521)))</f>
        <v/>
      </c>
      <c r="L1521">
        <f>IFERROR(MATCH($C$5&amp;"|"&amp;RIGHT("000000"&amp;1505,6),ExpRankKey,0),"")</f>
        <v/>
      </c>
    </row>
    <row r="1522">
      <c r="A1522" s="21" t="n">
        <v>1506</v>
      </c>
      <c r="B1522" s="22">
        <f>IF($L1522="","",INDEX(ExpNorm,$L1522))</f>
        <v/>
      </c>
      <c r="C1522" s="22">
        <f>IF($L1522="","",IF(INDEX(ExpTime,$L1522)="","—",LEFT(INDEX(ExpTime,$L1522),2)&amp;":"&amp;RIGHT(INDEX(ExpTime,$L1522),2)))</f>
        <v/>
      </c>
      <c r="D1522" s="22">
        <f>IF($L1522="","",IF(INDEX(ExpBank,$L1522)="","—",INDEX(ExpBank,$L1522)))</f>
        <v/>
      </c>
      <c r="E1522" s="23">
        <f>IF($L1522="","",IF(INDEX(ExpParty,$L1522)="","—",IFERROR(VLOOKUP(INDEX(ExpParty,$L1522),AcctTbl,4,0),INDEX(ExpParty,$L1522))))</f>
        <v/>
      </c>
      <c r="F1522" s="22">
        <f>IF($L1522="","",IF(INDEX(ExpType,$L1522)="","—",INDEX(ExpType,$L1522)))</f>
        <v/>
      </c>
      <c r="G1522" s="24">
        <f>IF($L1522="","",IF(INDEX(ExpDep,$L1522)=0,"",INDEX(ExpDep,$L1522)))</f>
        <v/>
      </c>
      <c r="H1522" s="24">
        <f>IF($L1522="","",IF(INDEX(ExpWit,$L1522)=0,"",INDEX(ExpWit,$L1522)))</f>
        <v/>
      </c>
      <c r="I1522" s="25">
        <f>IF($B1522="","",IF($I1521="",0,$I1521)+IF($H1522="",0,$H1522)-IF($G1522="",0,$G1522))</f>
        <v/>
      </c>
      <c r="J1522" s="23">
        <f>IF($L1522="","",IF(INDEX(ExpNote,$L1522)="","—",INDEX(ExpNote,$L1522)))</f>
        <v/>
      </c>
      <c r="L1522">
        <f>IFERROR(MATCH($C$5&amp;"|"&amp;RIGHT("000000"&amp;1506,6),ExpRankKey,0),"")</f>
        <v/>
      </c>
    </row>
    <row r="1523">
      <c r="A1523" s="16" t="n">
        <v>1507</v>
      </c>
      <c r="B1523" s="17">
        <f>IF($L1523="","",INDEX(ExpNorm,$L1523))</f>
        <v/>
      </c>
      <c r="C1523" s="17">
        <f>IF($L1523="","",IF(INDEX(ExpTime,$L1523)="","—",LEFT(INDEX(ExpTime,$L1523),2)&amp;":"&amp;RIGHT(INDEX(ExpTime,$L1523),2)))</f>
        <v/>
      </c>
      <c r="D1523" s="17">
        <f>IF($L1523="","",IF(INDEX(ExpBank,$L1523)="","—",INDEX(ExpBank,$L1523)))</f>
        <v/>
      </c>
      <c r="E1523" s="18">
        <f>IF($L1523="","",IF(INDEX(ExpParty,$L1523)="","—",IFERROR(VLOOKUP(INDEX(ExpParty,$L1523),AcctTbl,4,0),INDEX(ExpParty,$L1523))))</f>
        <v/>
      </c>
      <c r="F1523" s="17">
        <f>IF($L1523="","",IF(INDEX(ExpType,$L1523)="","—",INDEX(ExpType,$L1523)))</f>
        <v/>
      </c>
      <c r="G1523" s="19">
        <f>IF($L1523="","",IF(INDEX(ExpDep,$L1523)=0,"",INDEX(ExpDep,$L1523)))</f>
        <v/>
      </c>
      <c r="H1523" s="19">
        <f>IF($L1523="","",IF(INDEX(ExpWit,$L1523)=0,"",INDEX(ExpWit,$L1523)))</f>
        <v/>
      </c>
      <c r="I1523" s="20">
        <f>IF($B1523="","",IF($I1522="",0,$I1522)+IF($H1523="",0,$H1523)-IF($G1523="",0,$G1523))</f>
        <v/>
      </c>
      <c r="J1523" s="18">
        <f>IF($L1523="","",IF(INDEX(ExpNote,$L1523)="","—",INDEX(ExpNote,$L1523)))</f>
        <v/>
      </c>
      <c r="L1523">
        <f>IFERROR(MATCH($C$5&amp;"|"&amp;RIGHT("000000"&amp;1507,6),ExpRankKey,0),"")</f>
        <v/>
      </c>
    </row>
    <row r="1524">
      <c r="A1524" s="21" t="n">
        <v>1508</v>
      </c>
      <c r="B1524" s="22">
        <f>IF($L1524="","",INDEX(ExpNorm,$L1524))</f>
        <v/>
      </c>
      <c r="C1524" s="22">
        <f>IF($L1524="","",IF(INDEX(ExpTime,$L1524)="","—",LEFT(INDEX(ExpTime,$L1524),2)&amp;":"&amp;RIGHT(INDEX(ExpTime,$L1524),2)))</f>
        <v/>
      </c>
      <c r="D1524" s="22">
        <f>IF($L1524="","",IF(INDEX(ExpBank,$L1524)="","—",INDEX(ExpBank,$L1524)))</f>
        <v/>
      </c>
      <c r="E1524" s="23">
        <f>IF($L1524="","",IF(INDEX(ExpParty,$L1524)="","—",IFERROR(VLOOKUP(INDEX(ExpParty,$L1524),AcctTbl,4,0),INDEX(ExpParty,$L1524))))</f>
        <v/>
      </c>
      <c r="F1524" s="22">
        <f>IF($L1524="","",IF(INDEX(ExpType,$L1524)="","—",INDEX(ExpType,$L1524)))</f>
        <v/>
      </c>
      <c r="G1524" s="24">
        <f>IF($L1524="","",IF(INDEX(ExpDep,$L1524)=0,"",INDEX(ExpDep,$L1524)))</f>
        <v/>
      </c>
      <c r="H1524" s="24">
        <f>IF($L1524="","",IF(INDEX(ExpWit,$L1524)=0,"",INDEX(ExpWit,$L1524)))</f>
        <v/>
      </c>
      <c r="I1524" s="25">
        <f>IF($B1524="","",IF($I1523="",0,$I1523)+IF($H1524="",0,$H1524)-IF($G1524="",0,$G1524))</f>
        <v/>
      </c>
      <c r="J1524" s="23">
        <f>IF($L1524="","",IF(INDEX(ExpNote,$L1524)="","—",INDEX(ExpNote,$L1524)))</f>
        <v/>
      </c>
      <c r="L1524">
        <f>IFERROR(MATCH($C$5&amp;"|"&amp;RIGHT("000000"&amp;1508,6),ExpRankKey,0),"")</f>
        <v/>
      </c>
    </row>
    <row r="1525">
      <c r="A1525" s="16" t="n">
        <v>1509</v>
      </c>
      <c r="B1525" s="17">
        <f>IF($L1525="","",INDEX(ExpNorm,$L1525))</f>
        <v/>
      </c>
      <c r="C1525" s="17">
        <f>IF($L1525="","",IF(INDEX(ExpTime,$L1525)="","—",LEFT(INDEX(ExpTime,$L1525),2)&amp;":"&amp;RIGHT(INDEX(ExpTime,$L1525),2)))</f>
        <v/>
      </c>
      <c r="D1525" s="17">
        <f>IF($L1525="","",IF(INDEX(ExpBank,$L1525)="","—",INDEX(ExpBank,$L1525)))</f>
        <v/>
      </c>
      <c r="E1525" s="18">
        <f>IF($L1525="","",IF(INDEX(ExpParty,$L1525)="","—",IFERROR(VLOOKUP(INDEX(ExpParty,$L1525),AcctTbl,4,0),INDEX(ExpParty,$L1525))))</f>
        <v/>
      </c>
      <c r="F1525" s="17">
        <f>IF($L1525="","",IF(INDEX(ExpType,$L1525)="","—",INDEX(ExpType,$L1525)))</f>
        <v/>
      </c>
      <c r="G1525" s="19">
        <f>IF($L1525="","",IF(INDEX(ExpDep,$L1525)=0,"",INDEX(ExpDep,$L1525)))</f>
        <v/>
      </c>
      <c r="H1525" s="19">
        <f>IF($L1525="","",IF(INDEX(ExpWit,$L1525)=0,"",INDEX(ExpWit,$L1525)))</f>
        <v/>
      </c>
      <c r="I1525" s="20">
        <f>IF($B1525="","",IF($I1524="",0,$I1524)+IF($H1525="",0,$H1525)-IF($G1525="",0,$G1525))</f>
        <v/>
      </c>
      <c r="J1525" s="18">
        <f>IF($L1525="","",IF(INDEX(ExpNote,$L1525)="","—",INDEX(ExpNote,$L1525)))</f>
        <v/>
      </c>
      <c r="L1525">
        <f>IFERROR(MATCH($C$5&amp;"|"&amp;RIGHT("000000"&amp;1509,6),ExpRankKey,0),"")</f>
        <v/>
      </c>
    </row>
    <row r="1526">
      <c r="A1526" s="21" t="n">
        <v>1510</v>
      </c>
      <c r="B1526" s="22">
        <f>IF($L1526="","",INDEX(ExpNorm,$L1526))</f>
        <v/>
      </c>
      <c r="C1526" s="22">
        <f>IF($L1526="","",IF(INDEX(ExpTime,$L1526)="","—",LEFT(INDEX(ExpTime,$L1526),2)&amp;":"&amp;RIGHT(INDEX(ExpTime,$L1526),2)))</f>
        <v/>
      </c>
      <c r="D1526" s="22">
        <f>IF($L1526="","",IF(INDEX(ExpBank,$L1526)="","—",INDEX(ExpBank,$L1526)))</f>
        <v/>
      </c>
      <c r="E1526" s="23">
        <f>IF($L1526="","",IF(INDEX(ExpParty,$L1526)="","—",IFERROR(VLOOKUP(INDEX(ExpParty,$L1526),AcctTbl,4,0),INDEX(ExpParty,$L1526))))</f>
        <v/>
      </c>
      <c r="F1526" s="22">
        <f>IF($L1526="","",IF(INDEX(ExpType,$L1526)="","—",INDEX(ExpType,$L1526)))</f>
        <v/>
      </c>
      <c r="G1526" s="24">
        <f>IF($L1526="","",IF(INDEX(ExpDep,$L1526)=0,"",INDEX(ExpDep,$L1526)))</f>
        <v/>
      </c>
      <c r="H1526" s="24">
        <f>IF($L1526="","",IF(INDEX(ExpWit,$L1526)=0,"",INDEX(ExpWit,$L1526)))</f>
        <v/>
      </c>
      <c r="I1526" s="25">
        <f>IF($B1526="","",IF($I1525="",0,$I1525)+IF($H1526="",0,$H1526)-IF($G1526="",0,$G1526))</f>
        <v/>
      </c>
      <c r="J1526" s="23">
        <f>IF($L1526="","",IF(INDEX(ExpNote,$L1526)="","—",INDEX(ExpNote,$L1526)))</f>
        <v/>
      </c>
      <c r="L1526">
        <f>IFERROR(MATCH($C$5&amp;"|"&amp;RIGHT("000000"&amp;1510,6),ExpRankKey,0),"")</f>
        <v/>
      </c>
    </row>
    <row r="1527">
      <c r="A1527" s="16" t="n">
        <v>1511</v>
      </c>
      <c r="B1527" s="17">
        <f>IF($L1527="","",INDEX(ExpNorm,$L1527))</f>
        <v/>
      </c>
      <c r="C1527" s="17">
        <f>IF($L1527="","",IF(INDEX(ExpTime,$L1527)="","—",LEFT(INDEX(ExpTime,$L1527),2)&amp;":"&amp;RIGHT(INDEX(ExpTime,$L1527),2)))</f>
        <v/>
      </c>
      <c r="D1527" s="17">
        <f>IF($L1527="","",IF(INDEX(ExpBank,$L1527)="","—",INDEX(ExpBank,$L1527)))</f>
        <v/>
      </c>
      <c r="E1527" s="18">
        <f>IF($L1527="","",IF(INDEX(ExpParty,$L1527)="","—",IFERROR(VLOOKUP(INDEX(ExpParty,$L1527),AcctTbl,4,0),INDEX(ExpParty,$L1527))))</f>
        <v/>
      </c>
      <c r="F1527" s="17">
        <f>IF($L1527="","",IF(INDEX(ExpType,$L1527)="","—",INDEX(ExpType,$L1527)))</f>
        <v/>
      </c>
      <c r="G1527" s="19">
        <f>IF($L1527="","",IF(INDEX(ExpDep,$L1527)=0,"",INDEX(ExpDep,$L1527)))</f>
        <v/>
      </c>
      <c r="H1527" s="19">
        <f>IF($L1527="","",IF(INDEX(ExpWit,$L1527)=0,"",INDEX(ExpWit,$L1527)))</f>
        <v/>
      </c>
      <c r="I1527" s="20">
        <f>IF($B1527="","",IF($I1526="",0,$I1526)+IF($H1527="",0,$H1527)-IF($G1527="",0,$G1527))</f>
        <v/>
      </c>
      <c r="J1527" s="18">
        <f>IF($L1527="","",IF(INDEX(ExpNote,$L1527)="","—",INDEX(ExpNote,$L1527)))</f>
        <v/>
      </c>
      <c r="L1527">
        <f>IFERROR(MATCH($C$5&amp;"|"&amp;RIGHT("000000"&amp;1511,6),ExpRankKey,0),"")</f>
        <v/>
      </c>
    </row>
    <row r="1528">
      <c r="A1528" s="21" t="n">
        <v>1512</v>
      </c>
      <c r="B1528" s="22">
        <f>IF($L1528="","",INDEX(ExpNorm,$L1528))</f>
        <v/>
      </c>
      <c r="C1528" s="22">
        <f>IF($L1528="","",IF(INDEX(ExpTime,$L1528)="","—",LEFT(INDEX(ExpTime,$L1528),2)&amp;":"&amp;RIGHT(INDEX(ExpTime,$L1528),2)))</f>
        <v/>
      </c>
      <c r="D1528" s="22">
        <f>IF($L1528="","",IF(INDEX(ExpBank,$L1528)="","—",INDEX(ExpBank,$L1528)))</f>
        <v/>
      </c>
      <c r="E1528" s="23">
        <f>IF($L1528="","",IF(INDEX(ExpParty,$L1528)="","—",IFERROR(VLOOKUP(INDEX(ExpParty,$L1528),AcctTbl,4,0),INDEX(ExpParty,$L1528))))</f>
        <v/>
      </c>
      <c r="F1528" s="22">
        <f>IF($L1528="","",IF(INDEX(ExpType,$L1528)="","—",INDEX(ExpType,$L1528)))</f>
        <v/>
      </c>
      <c r="G1528" s="24">
        <f>IF($L1528="","",IF(INDEX(ExpDep,$L1528)=0,"",INDEX(ExpDep,$L1528)))</f>
        <v/>
      </c>
      <c r="H1528" s="24">
        <f>IF($L1528="","",IF(INDEX(ExpWit,$L1528)=0,"",INDEX(ExpWit,$L1528)))</f>
        <v/>
      </c>
      <c r="I1528" s="25">
        <f>IF($B1528="","",IF($I1527="",0,$I1527)+IF($H1528="",0,$H1528)-IF($G1528="",0,$G1528))</f>
        <v/>
      </c>
      <c r="J1528" s="23">
        <f>IF($L1528="","",IF(INDEX(ExpNote,$L1528)="","—",INDEX(ExpNote,$L1528)))</f>
        <v/>
      </c>
      <c r="L1528">
        <f>IFERROR(MATCH($C$5&amp;"|"&amp;RIGHT("000000"&amp;1512,6),ExpRankKey,0),"")</f>
        <v/>
      </c>
    </row>
    <row r="1529">
      <c r="A1529" s="16" t="n">
        <v>1513</v>
      </c>
      <c r="B1529" s="17">
        <f>IF($L1529="","",INDEX(ExpNorm,$L1529))</f>
        <v/>
      </c>
      <c r="C1529" s="17">
        <f>IF($L1529="","",IF(INDEX(ExpTime,$L1529)="","—",LEFT(INDEX(ExpTime,$L1529),2)&amp;":"&amp;RIGHT(INDEX(ExpTime,$L1529),2)))</f>
        <v/>
      </c>
      <c r="D1529" s="17">
        <f>IF($L1529="","",IF(INDEX(ExpBank,$L1529)="","—",INDEX(ExpBank,$L1529)))</f>
        <v/>
      </c>
      <c r="E1529" s="18">
        <f>IF($L1529="","",IF(INDEX(ExpParty,$L1529)="","—",IFERROR(VLOOKUP(INDEX(ExpParty,$L1529),AcctTbl,4,0),INDEX(ExpParty,$L1529))))</f>
        <v/>
      </c>
      <c r="F1529" s="17">
        <f>IF($L1529="","",IF(INDEX(ExpType,$L1529)="","—",INDEX(ExpType,$L1529)))</f>
        <v/>
      </c>
      <c r="G1529" s="19">
        <f>IF($L1529="","",IF(INDEX(ExpDep,$L1529)=0,"",INDEX(ExpDep,$L1529)))</f>
        <v/>
      </c>
      <c r="H1529" s="19">
        <f>IF($L1529="","",IF(INDEX(ExpWit,$L1529)=0,"",INDEX(ExpWit,$L1529)))</f>
        <v/>
      </c>
      <c r="I1529" s="20">
        <f>IF($B1529="","",IF($I1528="",0,$I1528)+IF($H1529="",0,$H1529)-IF($G1529="",0,$G1529))</f>
        <v/>
      </c>
      <c r="J1529" s="18">
        <f>IF($L1529="","",IF(INDEX(ExpNote,$L1529)="","—",INDEX(ExpNote,$L1529)))</f>
        <v/>
      </c>
      <c r="L1529">
        <f>IFERROR(MATCH($C$5&amp;"|"&amp;RIGHT("000000"&amp;1513,6),ExpRankKey,0),"")</f>
        <v/>
      </c>
    </row>
    <row r="1530">
      <c r="A1530" s="21" t="n">
        <v>1514</v>
      </c>
      <c r="B1530" s="22">
        <f>IF($L1530="","",INDEX(ExpNorm,$L1530))</f>
        <v/>
      </c>
      <c r="C1530" s="22">
        <f>IF($L1530="","",IF(INDEX(ExpTime,$L1530)="","—",LEFT(INDEX(ExpTime,$L1530),2)&amp;":"&amp;RIGHT(INDEX(ExpTime,$L1530),2)))</f>
        <v/>
      </c>
      <c r="D1530" s="22">
        <f>IF($L1530="","",IF(INDEX(ExpBank,$L1530)="","—",INDEX(ExpBank,$L1530)))</f>
        <v/>
      </c>
      <c r="E1530" s="23">
        <f>IF($L1530="","",IF(INDEX(ExpParty,$L1530)="","—",IFERROR(VLOOKUP(INDEX(ExpParty,$L1530),AcctTbl,4,0),INDEX(ExpParty,$L1530))))</f>
        <v/>
      </c>
      <c r="F1530" s="22">
        <f>IF($L1530="","",IF(INDEX(ExpType,$L1530)="","—",INDEX(ExpType,$L1530)))</f>
        <v/>
      </c>
      <c r="G1530" s="24">
        <f>IF($L1530="","",IF(INDEX(ExpDep,$L1530)=0,"",INDEX(ExpDep,$L1530)))</f>
        <v/>
      </c>
      <c r="H1530" s="24">
        <f>IF($L1530="","",IF(INDEX(ExpWit,$L1530)=0,"",INDEX(ExpWit,$L1530)))</f>
        <v/>
      </c>
      <c r="I1530" s="25">
        <f>IF($B1530="","",IF($I1529="",0,$I1529)+IF($H1530="",0,$H1530)-IF($G1530="",0,$G1530))</f>
        <v/>
      </c>
      <c r="J1530" s="23">
        <f>IF($L1530="","",IF(INDEX(ExpNote,$L1530)="","—",INDEX(ExpNote,$L1530)))</f>
        <v/>
      </c>
      <c r="L1530">
        <f>IFERROR(MATCH($C$5&amp;"|"&amp;RIGHT("000000"&amp;1514,6),ExpRankKey,0),"")</f>
        <v/>
      </c>
    </row>
    <row r="1531">
      <c r="A1531" s="16" t="n">
        <v>1515</v>
      </c>
      <c r="B1531" s="17">
        <f>IF($L1531="","",INDEX(ExpNorm,$L1531))</f>
        <v/>
      </c>
      <c r="C1531" s="17">
        <f>IF($L1531="","",IF(INDEX(ExpTime,$L1531)="","—",LEFT(INDEX(ExpTime,$L1531),2)&amp;":"&amp;RIGHT(INDEX(ExpTime,$L1531),2)))</f>
        <v/>
      </c>
      <c r="D1531" s="17">
        <f>IF($L1531="","",IF(INDEX(ExpBank,$L1531)="","—",INDEX(ExpBank,$L1531)))</f>
        <v/>
      </c>
      <c r="E1531" s="18">
        <f>IF($L1531="","",IF(INDEX(ExpParty,$L1531)="","—",IFERROR(VLOOKUP(INDEX(ExpParty,$L1531),AcctTbl,4,0),INDEX(ExpParty,$L1531))))</f>
        <v/>
      </c>
      <c r="F1531" s="17">
        <f>IF($L1531="","",IF(INDEX(ExpType,$L1531)="","—",INDEX(ExpType,$L1531)))</f>
        <v/>
      </c>
      <c r="G1531" s="19">
        <f>IF($L1531="","",IF(INDEX(ExpDep,$L1531)=0,"",INDEX(ExpDep,$L1531)))</f>
        <v/>
      </c>
      <c r="H1531" s="19">
        <f>IF($L1531="","",IF(INDEX(ExpWit,$L1531)=0,"",INDEX(ExpWit,$L1531)))</f>
        <v/>
      </c>
      <c r="I1531" s="20">
        <f>IF($B1531="","",IF($I1530="",0,$I1530)+IF($H1531="",0,$H1531)-IF($G1531="",0,$G1531))</f>
        <v/>
      </c>
      <c r="J1531" s="18">
        <f>IF($L1531="","",IF(INDEX(ExpNote,$L1531)="","—",INDEX(ExpNote,$L1531)))</f>
        <v/>
      </c>
      <c r="L1531">
        <f>IFERROR(MATCH($C$5&amp;"|"&amp;RIGHT("000000"&amp;1515,6),ExpRankKey,0),"")</f>
        <v/>
      </c>
    </row>
    <row r="1532">
      <c r="A1532" s="21" t="n">
        <v>1516</v>
      </c>
      <c r="B1532" s="22">
        <f>IF($L1532="","",INDEX(ExpNorm,$L1532))</f>
        <v/>
      </c>
      <c r="C1532" s="22">
        <f>IF($L1532="","",IF(INDEX(ExpTime,$L1532)="","—",LEFT(INDEX(ExpTime,$L1532),2)&amp;":"&amp;RIGHT(INDEX(ExpTime,$L1532),2)))</f>
        <v/>
      </c>
      <c r="D1532" s="22">
        <f>IF($L1532="","",IF(INDEX(ExpBank,$L1532)="","—",INDEX(ExpBank,$L1532)))</f>
        <v/>
      </c>
      <c r="E1532" s="23">
        <f>IF($L1532="","",IF(INDEX(ExpParty,$L1532)="","—",IFERROR(VLOOKUP(INDEX(ExpParty,$L1532),AcctTbl,4,0),INDEX(ExpParty,$L1532))))</f>
        <v/>
      </c>
      <c r="F1532" s="22">
        <f>IF($L1532="","",IF(INDEX(ExpType,$L1532)="","—",INDEX(ExpType,$L1532)))</f>
        <v/>
      </c>
      <c r="G1532" s="24">
        <f>IF($L1532="","",IF(INDEX(ExpDep,$L1532)=0,"",INDEX(ExpDep,$L1532)))</f>
        <v/>
      </c>
      <c r="H1532" s="24">
        <f>IF($L1532="","",IF(INDEX(ExpWit,$L1532)=0,"",INDEX(ExpWit,$L1532)))</f>
        <v/>
      </c>
      <c r="I1532" s="25">
        <f>IF($B1532="","",IF($I1531="",0,$I1531)+IF($H1532="",0,$H1532)-IF($G1532="",0,$G1532))</f>
        <v/>
      </c>
      <c r="J1532" s="23">
        <f>IF($L1532="","",IF(INDEX(ExpNote,$L1532)="","—",INDEX(ExpNote,$L1532)))</f>
        <v/>
      </c>
      <c r="L1532">
        <f>IFERROR(MATCH($C$5&amp;"|"&amp;RIGHT("000000"&amp;1516,6),ExpRankKey,0),"")</f>
        <v/>
      </c>
    </row>
    <row r="1533">
      <c r="A1533" s="16" t="n">
        <v>1517</v>
      </c>
      <c r="B1533" s="17">
        <f>IF($L1533="","",INDEX(ExpNorm,$L1533))</f>
        <v/>
      </c>
      <c r="C1533" s="17">
        <f>IF($L1533="","",IF(INDEX(ExpTime,$L1533)="","—",LEFT(INDEX(ExpTime,$L1533),2)&amp;":"&amp;RIGHT(INDEX(ExpTime,$L1533),2)))</f>
        <v/>
      </c>
      <c r="D1533" s="17">
        <f>IF($L1533="","",IF(INDEX(ExpBank,$L1533)="","—",INDEX(ExpBank,$L1533)))</f>
        <v/>
      </c>
      <c r="E1533" s="18">
        <f>IF($L1533="","",IF(INDEX(ExpParty,$L1533)="","—",IFERROR(VLOOKUP(INDEX(ExpParty,$L1533),AcctTbl,4,0),INDEX(ExpParty,$L1533))))</f>
        <v/>
      </c>
      <c r="F1533" s="17">
        <f>IF($L1533="","",IF(INDEX(ExpType,$L1533)="","—",INDEX(ExpType,$L1533)))</f>
        <v/>
      </c>
      <c r="G1533" s="19">
        <f>IF($L1533="","",IF(INDEX(ExpDep,$L1533)=0,"",INDEX(ExpDep,$L1533)))</f>
        <v/>
      </c>
      <c r="H1533" s="19">
        <f>IF($L1533="","",IF(INDEX(ExpWit,$L1533)=0,"",INDEX(ExpWit,$L1533)))</f>
        <v/>
      </c>
      <c r="I1533" s="20">
        <f>IF($B1533="","",IF($I1532="",0,$I1532)+IF($H1533="",0,$H1533)-IF($G1533="",0,$G1533))</f>
        <v/>
      </c>
      <c r="J1533" s="18">
        <f>IF($L1533="","",IF(INDEX(ExpNote,$L1533)="","—",INDEX(ExpNote,$L1533)))</f>
        <v/>
      </c>
      <c r="L1533">
        <f>IFERROR(MATCH($C$5&amp;"|"&amp;RIGHT("000000"&amp;1517,6),ExpRankKey,0),"")</f>
        <v/>
      </c>
    </row>
    <row r="1534">
      <c r="A1534" s="21" t="n">
        <v>1518</v>
      </c>
      <c r="B1534" s="22">
        <f>IF($L1534="","",INDEX(ExpNorm,$L1534))</f>
        <v/>
      </c>
      <c r="C1534" s="22">
        <f>IF($L1534="","",IF(INDEX(ExpTime,$L1534)="","—",LEFT(INDEX(ExpTime,$L1534),2)&amp;":"&amp;RIGHT(INDEX(ExpTime,$L1534),2)))</f>
        <v/>
      </c>
      <c r="D1534" s="22">
        <f>IF($L1534="","",IF(INDEX(ExpBank,$L1534)="","—",INDEX(ExpBank,$L1534)))</f>
        <v/>
      </c>
      <c r="E1534" s="23">
        <f>IF($L1534="","",IF(INDEX(ExpParty,$L1534)="","—",IFERROR(VLOOKUP(INDEX(ExpParty,$L1534),AcctTbl,4,0),INDEX(ExpParty,$L1534))))</f>
        <v/>
      </c>
      <c r="F1534" s="22">
        <f>IF($L1534="","",IF(INDEX(ExpType,$L1534)="","—",INDEX(ExpType,$L1534)))</f>
        <v/>
      </c>
      <c r="G1534" s="24">
        <f>IF($L1534="","",IF(INDEX(ExpDep,$L1534)=0,"",INDEX(ExpDep,$L1534)))</f>
        <v/>
      </c>
      <c r="H1534" s="24">
        <f>IF($L1534="","",IF(INDEX(ExpWit,$L1534)=0,"",INDEX(ExpWit,$L1534)))</f>
        <v/>
      </c>
      <c r="I1534" s="25">
        <f>IF($B1534="","",IF($I1533="",0,$I1533)+IF($H1534="",0,$H1534)-IF($G1534="",0,$G1534))</f>
        <v/>
      </c>
      <c r="J1534" s="23">
        <f>IF($L1534="","",IF(INDEX(ExpNote,$L1534)="","—",INDEX(ExpNote,$L1534)))</f>
        <v/>
      </c>
      <c r="L1534">
        <f>IFERROR(MATCH($C$5&amp;"|"&amp;RIGHT("000000"&amp;1518,6),ExpRankKey,0),"")</f>
        <v/>
      </c>
    </row>
    <row r="1535">
      <c r="A1535" s="16" t="n">
        <v>1519</v>
      </c>
      <c r="B1535" s="17">
        <f>IF($L1535="","",INDEX(ExpNorm,$L1535))</f>
        <v/>
      </c>
      <c r="C1535" s="17">
        <f>IF($L1535="","",IF(INDEX(ExpTime,$L1535)="","—",LEFT(INDEX(ExpTime,$L1535),2)&amp;":"&amp;RIGHT(INDEX(ExpTime,$L1535),2)))</f>
        <v/>
      </c>
      <c r="D1535" s="17">
        <f>IF($L1535="","",IF(INDEX(ExpBank,$L1535)="","—",INDEX(ExpBank,$L1535)))</f>
        <v/>
      </c>
      <c r="E1535" s="18">
        <f>IF($L1535="","",IF(INDEX(ExpParty,$L1535)="","—",IFERROR(VLOOKUP(INDEX(ExpParty,$L1535),AcctTbl,4,0),INDEX(ExpParty,$L1535))))</f>
        <v/>
      </c>
      <c r="F1535" s="17">
        <f>IF($L1535="","",IF(INDEX(ExpType,$L1535)="","—",INDEX(ExpType,$L1535)))</f>
        <v/>
      </c>
      <c r="G1535" s="19">
        <f>IF($L1535="","",IF(INDEX(ExpDep,$L1535)=0,"",INDEX(ExpDep,$L1535)))</f>
        <v/>
      </c>
      <c r="H1535" s="19">
        <f>IF($L1535="","",IF(INDEX(ExpWit,$L1535)=0,"",INDEX(ExpWit,$L1535)))</f>
        <v/>
      </c>
      <c r="I1535" s="20">
        <f>IF($B1535="","",IF($I1534="",0,$I1534)+IF($H1535="",0,$H1535)-IF($G1535="",0,$G1535))</f>
        <v/>
      </c>
      <c r="J1535" s="18">
        <f>IF($L1535="","",IF(INDEX(ExpNote,$L1535)="","—",INDEX(ExpNote,$L1535)))</f>
        <v/>
      </c>
      <c r="L1535">
        <f>IFERROR(MATCH($C$5&amp;"|"&amp;RIGHT("000000"&amp;1519,6),ExpRankKey,0),"")</f>
        <v/>
      </c>
    </row>
    <row r="1536">
      <c r="A1536" s="21" t="n">
        <v>1520</v>
      </c>
      <c r="B1536" s="22">
        <f>IF($L1536="","",INDEX(ExpNorm,$L1536))</f>
        <v/>
      </c>
      <c r="C1536" s="22">
        <f>IF($L1536="","",IF(INDEX(ExpTime,$L1536)="","—",LEFT(INDEX(ExpTime,$L1536),2)&amp;":"&amp;RIGHT(INDEX(ExpTime,$L1536),2)))</f>
        <v/>
      </c>
      <c r="D1536" s="22">
        <f>IF($L1536="","",IF(INDEX(ExpBank,$L1536)="","—",INDEX(ExpBank,$L1536)))</f>
        <v/>
      </c>
      <c r="E1536" s="23">
        <f>IF($L1536="","",IF(INDEX(ExpParty,$L1536)="","—",IFERROR(VLOOKUP(INDEX(ExpParty,$L1536),AcctTbl,4,0),INDEX(ExpParty,$L1536))))</f>
        <v/>
      </c>
      <c r="F1536" s="22">
        <f>IF($L1536="","",IF(INDEX(ExpType,$L1536)="","—",INDEX(ExpType,$L1536)))</f>
        <v/>
      </c>
      <c r="G1536" s="24">
        <f>IF($L1536="","",IF(INDEX(ExpDep,$L1536)=0,"",INDEX(ExpDep,$L1536)))</f>
        <v/>
      </c>
      <c r="H1536" s="24">
        <f>IF($L1536="","",IF(INDEX(ExpWit,$L1536)=0,"",INDEX(ExpWit,$L1536)))</f>
        <v/>
      </c>
      <c r="I1536" s="25">
        <f>IF($B1536="","",IF($I1535="",0,$I1535)+IF($H1536="",0,$H1536)-IF($G1536="",0,$G1536))</f>
        <v/>
      </c>
      <c r="J1536" s="23">
        <f>IF($L1536="","",IF(INDEX(ExpNote,$L1536)="","—",INDEX(ExpNote,$L1536)))</f>
        <v/>
      </c>
      <c r="L1536">
        <f>IFERROR(MATCH($C$5&amp;"|"&amp;RIGHT("000000"&amp;1520,6),ExpRankKey,0),"")</f>
        <v/>
      </c>
    </row>
    <row r="1537">
      <c r="A1537" s="16" t="n">
        <v>1521</v>
      </c>
      <c r="B1537" s="17">
        <f>IF($L1537="","",INDEX(ExpNorm,$L1537))</f>
        <v/>
      </c>
      <c r="C1537" s="17">
        <f>IF($L1537="","",IF(INDEX(ExpTime,$L1537)="","—",LEFT(INDEX(ExpTime,$L1537),2)&amp;":"&amp;RIGHT(INDEX(ExpTime,$L1537),2)))</f>
        <v/>
      </c>
      <c r="D1537" s="17">
        <f>IF($L1537="","",IF(INDEX(ExpBank,$L1537)="","—",INDEX(ExpBank,$L1537)))</f>
        <v/>
      </c>
      <c r="E1537" s="18">
        <f>IF($L1537="","",IF(INDEX(ExpParty,$L1537)="","—",IFERROR(VLOOKUP(INDEX(ExpParty,$L1537),AcctTbl,4,0),INDEX(ExpParty,$L1537))))</f>
        <v/>
      </c>
      <c r="F1537" s="17">
        <f>IF($L1537="","",IF(INDEX(ExpType,$L1537)="","—",INDEX(ExpType,$L1537)))</f>
        <v/>
      </c>
      <c r="G1537" s="19">
        <f>IF($L1537="","",IF(INDEX(ExpDep,$L1537)=0,"",INDEX(ExpDep,$L1537)))</f>
        <v/>
      </c>
      <c r="H1537" s="19">
        <f>IF($L1537="","",IF(INDEX(ExpWit,$L1537)=0,"",INDEX(ExpWit,$L1537)))</f>
        <v/>
      </c>
      <c r="I1537" s="20">
        <f>IF($B1537="","",IF($I1536="",0,$I1536)+IF($H1537="",0,$H1537)-IF($G1537="",0,$G1537))</f>
        <v/>
      </c>
      <c r="J1537" s="18">
        <f>IF($L1537="","",IF(INDEX(ExpNote,$L1537)="","—",INDEX(ExpNote,$L1537)))</f>
        <v/>
      </c>
      <c r="L1537">
        <f>IFERROR(MATCH($C$5&amp;"|"&amp;RIGHT("000000"&amp;1521,6),ExpRankKey,0),"")</f>
        <v/>
      </c>
    </row>
    <row r="1538">
      <c r="A1538" s="21" t="n">
        <v>1522</v>
      </c>
      <c r="B1538" s="22">
        <f>IF($L1538="","",INDEX(ExpNorm,$L1538))</f>
        <v/>
      </c>
      <c r="C1538" s="22">
        <f>IF($L1538="","",IF(INDEX(ExpTime,$L1538)="","—",LEFT(INDEX(ExpTime,$L1538),2)&amp;":"&amp;RIGHT(INDEX(ExpTime,$L1538),2)))</f>
        <v/>
      </c>
      <c r="D1538" s="22">
        <f>IF($L1538="","",IF(INDEX(ExpBank,$L1538)="","—",INDEX(ExpBank,$L1538)))</f>
        <v/>
      </c>
      <c r="E1538" s="23">
        <f>IF($L1538="","",IF(INDEX(ExpParty,$L1538)="","—",IFERROR(VLOOKUP(INDEX(ExpParty,$L1538),AcctTbl,4,0),INDEX(ExpParty,$L1538))))</f>
        <v/>
      </c>
      <c r="F1538" s="22">
        <f>IF($L1538="","",IF(INDEX(ExpType,$L1538)="","—",INDEX(ExpType,$L1538)))</f>
        <v/>
      </c>
      <c r="G1538" s="24">
        <f>IF($L1538="","",IF(INDEX(ExpDep,$L1538)=0,"",INDEX(ExpDep,$L1538)))</f>
        <v/>
      </c>
      <c r="H1538" s="24">
        <f>IF($L1538="","",IF(INDEX(ExpWit,$L1538)=0,"",INDEX(ExpWit,$L1538)))</f>
        <v/>
      </c>
      <c r="I1538" s="25">
        <f>IF($B1538="","",IF($I1537="",0,$I1537)+IF($H1538="",0,$H1538)-IF($G1538="",0,$G1538))</f>
        <v/>
      </c>
      <c r="J1538" s="23">
        <f>IF($L1538="","",IF(INDEX(ExpNote,$L1538)="","—",INDEX(ExpNote,$L1538)))</f>
        <v/>
      </c>
      <c r="L1538">
        <f>IFERROR(MATCH($C$5&amp;"|"&amp;RIGHT("000000"&amp;1522,6),ExpRankKey,0),"")</f>
        <v/>
      </c>
    </row>
    <row r="1539">
      <c r="A1539" s="16" t="n">
        <v>1523</v>
      </c>
      <c r="B1539" s="17">
        <f>IF($L1539="","",INDEX(ExpNorm,$L1539))</f>
        <v/>
      </c>
      <c r="C1539" s="17">
        <f>IF($L1539="","",IF(INDEX(ExpTime,$L1539)="","—",LEFT(INDEX(ExpTime,$L1539),2)&amp;":"&amp;RIGHT(INDEX(ExpTime,$L1539),2)))</f>
        <v/>
      </c>
      <c r="D1539" s="17">
        <f>IF($L1539="","",IF(INDEX(ExpBank,$L1539)="","—",INDEX(ExpBank,$L1539)))</f>
        <v/>
      </c>
      <c r="E1539" s="18">
        <f>IF($L1539="","",IF(INDEX(ExpParty,$L1539)="","—",IFERROR(VLOOKUP(INDEX(ExpParty,$L1539),AcctTbl,4,0),INDEX(ExpParty,$L1539))))</f>
        <v/>
      </c>
      <c r="F1539" s="17">
        <f>IF($L1539="","",IF(INDEX(ExpType,$L1539)="","—",INDEX(ExpType,$L1539)))</f>
        <v/>
      </c>
      <c r="G1539" s="19">
        <f>IF($L1539="","",IF(INDEX(ExpDep,$L1539)=0,"",INDEX(ExpDep,$L1539)))</f>
        <v/>
      </c>
      <c r="H1539" s="19">
        <f>IF($L1539="","",IF(INDEX(ExpWit,$L1539)=0,"",INDEX(ExpWit,$L1539)))</f>
        <v/>
      </c>
      <c r="I1539" s="20">
        <f>IF($B1539="","",IF($I1538="",0,$I1538)+IF($H1539="",0,$H1539)-IF($G1539="",0,$G1539))</f>
        <v/>
      </c>
      <c r="J1539" s="18">
        <f>IF($L1539="","",IF(INDEX(ExpNote,$L1539)="","—",INDEX(ExpNote,$L1539)))</f>
        <v/>
      </c>
      <c r="L1539">
        <f>IFERROR(MATCH($C$5&amp;"|"&amp;RIGHT("000000"&amp;1523,6),ExpRankKey,0),"")</f>
        <v/>
      </c>
    </row>
    <row r="1540">
      <c r="A1540" s="21" t="n">
        <v>1524</v>
      </c>
      <c r="B1540" s="22">
        <f>IF($L1540="","",INDEX(ExpNorm,$L1540))</f>
        <v/>
      </c>
      <c r="C1540" s="22">
        <f>IF($L1540="","",IF(INDEX(ExpTime,$L1540)="","—",LEFT(INDEX(ExpTime,$L1540),2)&amp;":"&amp;RIGHT(INDEX(ExpTime,$L1540),2)))</f>
        <v/>
      </c>
      <c r="D1540" s="22">
        <f>IF($L1540="","",IF(INDEX(ExpBank,$L1540)="","—",INDEX(ExpBank,$L1540)))</f>
        <v/>
      </c>
      <c r="E1540" s="23">
        <f>IF($L1540="","",IF(INDEX(ExpParty,$L1540)="","—",IFERROR(VLOOKUP(INDEX(ExpParty,$L1540),AcctTbl,4,0),INDEX(ExpParty,$L1540))))</f>
        <v/>
      </c>
      <c r="F1540" s="22">
        <f>IF($L1540="","",IF(INDEX(ExpType,$L1540)="","—",INDEX(ExpType,$L1540)))</f>
        <v/>
      </c>
      <c r="G1540" s="24">
        <f>IF($L1540="","",IF(INDEX(ExpDep,$L1540)=0,"",INDEX(ExpDep,$L1540)))</f>
        <v/>
      </c>
      <c r="H1540" s="24">
        <f>IF($L1540="","",IF(INDEX(ExpWit,$L1540)=0,"",INDEX(ExpWit,$L1540)))</f>
        <v/>
      </c>
      <c r="I1540" s="25">
        <f>IF($B1540="","",IF($I1539="",0,$I1539)+IF($H1540="",0,$H1540)-IF($G1540="",0,$G1540))</f>
        <v/>
      </c>
      <c r="J1540" s="23">
        <f>IF($L1540="","",IF(INDEX(ExpNote,$L1540)="","—",INDEX(ExpNote,$L1540)))</f>
        <v/>
      </c>
      <c r="L1540">
        <f>IFERROR(MATCH($C$5&amp;"|"&amp;RIGHT("000000"&amp;1524,6),ExpRankKey,0),"")</f>
        <v/>
      </c>
    </row>
    <row r="1541">
      <c r="A1541" s="16" t="n">
        <v>1525</v>
      </c>
      <c r="B1541" s="17">
        <f>IF($L1541="","",INDEX(ExpNorm,$L1541))</f>
        <v/>
      </c>
      <c r="C1541" s="17">
        <f>IF($L1541="","",IF(INDEX(ExpTime,$L1541)="","—",LEFT(INDEX(ExpTime,$L1541),2)&amp;":"&amp;RIGHT(INDEX(ExpTime,$L1541),2)))</f>
        <v/>
      </c>
      <c r="D1541" s="17">
        <f>IF($L1541="","",IF(INDEX(ExpBank,$L1541)="","—",INDEX(ExpBank,$L1541)))</f>
        <v/>
      </c>
      <c r="E1541" s="18">
        <f>IF($L1541="","",IF(INDEX(ExpParty,$L1541)="","—",IFERROR(VLOOKUP(INDEX(ExpParty,$L1541),AcctTbl,4,0),INDEX(ExpParty,$L1541))))</f>
        <v/>
      </c>
      <c r="F1541" s="17">
        <f>IF($L1541="","",IF(INDEX(ExpType,$L1541)="","—",INDEX(ExpType,$L1541)))</f>
        <v/>
      </c>
      <c r="G1541" s="19">
        <f>IF($L1541="","",IF(INDEX(ExpDep,$L1541)=0,"",INDEX(ExpDep,$L1541)))</f>
        <v/>
      </c>
      <c r="H1541" s="19">
        <f>IF($L1541="","",IF(INDEX(ExpWit,$L1541)=0,"",INDEX(ExpWit,$L1541)))</f>
        <v/>
      </c>
      <c r="I1541" s="20">
        <f>IF($B1541="","",IF($I1540="",0,$I1540)+IF($H1541="",0,$H1541)-IF($G1541="",0,$G1541))</f>
        <v/>
      </c>
      <c r="J1541" s="18">
        <f>IF($L1541="","",IF(INDEX(ExpNote,$L1541)="","—",INDEX(ExpNote,$L1541)))</f>
        <v/>
      </c>
      <c r="L1541">
        <f>IFERROR(MATCH($C$5&amp;"|"&amp;RIGHT("000000"&amp;1525,6),ExpRankKey,0),"")</f>
        <v/>
      </c>
    </row>
    <row r="1542">
      <c r="A1542" s="21" t="n">
        <v>1526</v>
      </c>
      <c r="B1542" s="22">
        <f>IF($L1542="","",INDEX(ExpNorm,$L1542))</f>
        <v/>
      </c>
      <c r="C1542" s="22">
        <f>IF($L1542="","",IF(INDEX(ExpTime,$L1542)="","—",LEFT(INDEX(ExpTime,$L1542),2)&amp;":"&amp;RIGHT(INDEX(ExpTime,$L1542),2)))</f>
        <v/>
      </c>
      <c r="D1542" s="22">
        <f>IF($L1542="","",IF(INDEX(ExpBank,$L1542)="","—",INDEX(ExpBank,$L1542)))</f>
        <v/>
      </c>
      <c r="E1542" s="23">
        <f>IF($L1542="","",IF(INDEX(ExpParty,$L1542)="","—",IFERROR(VLOOKUP(INDEX(ExpParty,$L1542),AcctTbl,4,0),INDEX(ExpParty,$L1542))))</f>
        <v/>
      </c>
      <c r="F1542" s="22">
        <f>IF($L1542="","",IF(INDEX(ExpType,$L1542)="","—",INDEX(ExpType,$L1542)))</f>
        <v/>
      </c>
      <c r="G1542" s="24">
        <f>IF($L1542="","",IF(INDEX(ExpDep,$L1542)=0,"",INDEX(ExpDep,$L1542)))</f>
        <v/>
      </c>
      <c r="H1542" s="24">
        <f>IF($L1542="","",IF(INDEX(ExpWit,$L1542)=0,"",INDEX(ExpWit,$L1542)))</f>
        <v/>
      </c>
      <c r="I1542" s="25">
        <f>IF($B1542="","",IF($I1541="",0,$I1541)+IF($H1542="",0,$H1542)-IF($G1542="",0,$G1542))</f>
        <v/>
      </c>
      <c r="J1542" s="23">
        <f>IF($L1542="","",IF(INDEX(ExpNote,$L1542)="","—",INDEX(ExpNote,$L1542)))</f>
        <v/>
      </c>
      <c r="L1542">
        <f>IFERROR(MATCH($C$5&amp;"|"&amp;RIGHT("000000"&amp;1526,6),ExpRankKey,0),"")</f>
        <v/>
      </c>
    </row>
    <row r="1543">
      <c r="A1543" s="16" t="n">
        <v>1527</v>
      </c>
      <c r="B1543" s="17">
        <f>IF($L1543="","",INDEX(ExpNorm,$L1543))</f>
        <v/>
      </c>
      <c r="C1543" s="17">
        <f>IF($L1543="","",IF(INDEX(ExpTime,$L1543)="","—",LEFT(INDEX(ExpTime,$L1543),2)&amp;":"&amp;RIGHT(INDEX(ExpTime,$L1543),2)))</f>
        <v/>
      </c>
      <c r="D1543" s="17">
        <f>IF($L1543="","",IF(INDEX(ExpBank,$L1543)="","—",INDEX(ExpBank,$L1543)))</f>
        <v/>
      </c>
      <c r="E1543" s="18">
        <f>IF($L1543="","",IF(INDEX(ExpParty,$L1543)="","—",IFERROR(VLOOKUP(INDEX(ExpParty,$L1543),AcctTbl,4,0),INDEX(ExpParty,$L1543))))</f>
        <v/>
      </c>
      <c r="F1543" s="17">
        <f>IF($L1543="","",IF(INDEX(ExpType,$L1543)="","—",INDEX(ExpType,$L1543)))</f>
        <v/>
      </c>
      <c r="G1543" s="19">
        <f>IF($L1543="","",IF(INDEX(ExpDep,$L1543)=0,"",INDEX(ExpDep,$L1543)))</f>
        <v/>
      </c>
      <c r="H1543" s="19">
        <f>IF($L1543="","",IF(INDEX(ExpWit,$L1543)=0,"",INDEX(ExpWit,$L1543)))</f>
        <v/>
      </c>
      <c r="I1543" s="20">
        <f>IF($B1543="","",IF($I1542="",0,$I1542)+IF($H1543="",0,$H1543)-IF($G1543="",0,$G1543))</f>
        <v/>
      </c>
      <c r="J1543" s="18">
        <f>IF($L1543="","",IF(INDEX(ExpNote,$L1543)="","—",INDEX(ExpNote,$L1543)))</f>
        <v/>
      </c>
      <c r="L1543">
        <f>IFERROR(MATCH($C$5&amp;"|"&amp;RIGHT("000000"&amp;1527,6),ExpRankKey,0),"")</f>
        <v/>
      </c>
    </row>
    <row r="1544">
      <c r="A1544" s="21" t="n">
        <v>1528</v>
      </c>
      <c r="B1544" s="22">
        <f>IF($L1544="","",INDEX(ExpNorm,$L1544))</f>
        <v/>
      </c>
      <c r="C1544" s="22">
        <f>IF($L1544="","",IF(INDEX(ExpTime,$L1544)="","—",LEFT(INDEX(ExpTime,$L1544),2)&amp;":"&amp;RIGHT(INDEX(ExpTime,$L1544),2)))</f>
        <v/>
      </c>
      <c r="D1544" s="22">
        <f>IF($L1544="","",IF(INDEX(ExpBank,$L1544)="","—",INDEX(ExpBank,$L1544)))</f>
        <v/>
      </c>
      <c r="E1544" s="23">
        <f>IF($L1544="","",IF(INDEX(ExpParty,$L1544)="","—",IFERROR(VLOOKUP(INDEX(ExpParty,$L1544),AcctTbl,4,0),INDEX(ExpParty,$L1544))))</f>
        <v/>
      </c>
      <c r="F1544" s="22">
        <f>IF($L1544="","",IF(INDEX(ExpType,$L1544)="","—",INDEX(ExpType,$L1544)))</f>
        <v/>
      </c>
      <c r="G1544" s="24">
        <f>IF($L1544="","",IF(INDEX(ExpDep,$L1544)=0,"",INDEX(ExpDep,$L1544)))</f>
        <v/>
      </c>
      <c r="H1544" s="24">
        <f>IF($L1544="","",IF(INDEX(ExpWit,$L1544)=0,"",INDEX(ExpWit,$L1544)))</f>
        <v/>
      </c>
      <c r="I1544" s="25">
        <f>IF($B1544="","",IF($I1543="",0,$I1543)+IF($H1544="",0,$H1544)-IF($G1544="",0,$G1544))</f>
        <v/>
      </c>
      <c r="J1544" s="23">
        <f>IF($L1544="","",IF(INDEX(ExpNote,$L1544)="","—",INDEX(ExpNote,$L1544)))</f>
        <v/>
      </c>
      <c r="L1544">
        <f>IFERROR(MATCH($C$5&amp;"|"&amp;RIGHT("000000"&amp;1528,6),ExpRankKey,0),"")</f>
        <v/>
      </c>
    </row>
    <row r="1545">
      <c r="A1545" s="16" t="n">
        <v>1529</v>
      </c>
      <c r="B1545" s="17">
        <f>IF($L1545="","",INDEX(ExpNorm,$L1545))</f>
        <v/>
      </c>
      <c r="C1545" s="17">
        <f>IF($L1545="","",IF(INDEX(ExpTime,$L1545)="","—",LEFT(INDEX(ExpTime,$L1545),2)&amp;":"&amp;RIGHT(INDEX(ExpTime,$L1545),2)))</f>
        <v/>
      </c>
      <c r="D1545" s="17">
        <f>IF($L1545="","",IF(INDEX(ExpBank,$L1545)="","—",INDEX(ExpBank,$L1545)))</f>
        <v/>
      </c>
      <c r="E1545" s="18">
        <f>IF($L1545="","",IF(INDEX(ExpParty,$L1545)="","—",IFERROR(VLOOKUP(INDEX(ExpParty,$L1545),AcctTbl,4,0),INDEX(ExpParty,$L1545))))</f>
        <v/>
      </c>
      <c r="F1545" s="17">
        <f>IF($L1545="","",IF(INDEX(ExpType,$L1545)="","—",INDEX(ExpType,$L1545)))</f>
        <v/>
      </c>
      <c r="G1545" s="19">
        <f>IF($L1545="","",IF(INDEX(ExpDep,$L1545)=0,"",INDEX(ExpDep,$L1545)))</f>
        <v/>
      </c>
      <c r="H1545" s="19">
        <f>IF($L1545="","",IF(INDEX(ExpWit,$L1545)=0,"",INDEX(ExpWit,$L1545)))</f>
        <v/>
      </c>
      <c r="I1545" s="20">
        <f>IF($B1545="","",IF($I1544="",0,$I1544)+IF($H1545="",0,$H1545)-IF($G1545="",0,$G1545))</f>
        <v/>
      </c>
      <c r="J1545" s="18">
        <f>IF($L1545="","",IF(INDEX(ExpNote,$L1545)="","—",INDEX(ExpNote,$L1545)))</f>
        <v/>
      </c>
      <c r="L1545">
        <f>IFERROR(MATCH($C$5&amp;"|"&amp;RIGHT("000000"&amp;1529,6),ExpRankKey,0),"")</f>
        <v/>
      </c>
    </row>
    <row r="1546">
      <c r="A1546" s="21" t="n">
        <v>1530</v>
      </c>
      <c r="B1546" s="22">
        <f>IF($L1546="","",INDEX(ExpNorm,$L1546))</f>
        <v/>
      </c>
      <c r="C1546" s="22">
        <f>IF($L1546="","",IF(INDEX(ExpTime,$L1546)="","—",LEFT(INDEX(ExpTime,$L1546),2)&amp;":"&amp;RIGHT(INDEX(ExpTime,$L1546),2)))</f>
        <v/>
      </c>
      <c r="D1546" s="22">
        <f>IF($L1546="","",IF(INDEX(ExpBank,$L1546)="","—",INDEX(ExpBank,$L1546)))</f>
        <v/>
      </c>
      <c r="E1546" s="23">
        <f>IF($L1546="","",IF(INDEX(ExpParty,$L1546)="","—",IFERROR(VLOOKUP(INDEX(ExpParty,$L1546),AcctTbl,4,0),INDEX(ExpParty,$L1546))))</f>
        <v/>
      </c>
      <c r="F1546" s="22">
        <f>IF($L1546="","",IF(INDEX(ExpType,$L1546)="","—",INDEX(ExpType,$L1546)))</f>
        <v/>
      </c>
      <c r="G1546" s="24">
        <f>IF($L1546="","",IF(INDEX(ExpDep,$L1546)=0,"",INDEX(ExpDep,$L1546)))</f>
        <v/>
      </c>
      <c r="H1546" s="24">
        <f>IF($L1546="","",IF(INDEX(ExpWit,$L1546)=0,"",INDEX(ExpWit,$L1546)))</f>
        <v/>
      </c>
      <c r="I1546" s="25">
        <f>IF($B1546="","",IF($I1545="",0,$I1545)+IF($H1546="",0,$H1546)-IF($G1546="",0,$G1546))</f>
        <v/>
      </c>
      <c r="J1546" s="23">
        <f>IF($L1546="","",IF(INDEX(ExpNote,$L1546)="","—",INDEX(ExpNote,$L1546)))</f>
        <v/>
      </c>
      <c r="L1546">
        <f>IFERROR(MATCH($C$5&amp;"|"&amp;RIGHT("000000"&amp;1530,6),ExpRankKey,0),"")</f>
        <v/>
      </c>
    </row>
    <row r="1547">
      <c r="A1547" s="16" t="n">
        <v>1531</v>
      </c>
      <c r="B1547" s="17">
        <f>IF($L1547="","",INDEX(ExpNorm,$L1547))</f>
        <v/>
      </c>
      <c r="C1547" s="17">
        <f>IF($L1547="","",IF(INDEX(ExpTime,$L1547)="","—",LEFT(INDEX(ExpTime,$L1547),2)&amp;":"&amp;RIGHT(INDEX(ExpTime,$L1547),2)))</f>
        <v/>
      </c>
      <c r="D1547" s="17">
        <f>IF($L1547="","",IF(INDEX(ExpBank,$L1547)="","—",INDEX(ExpBank,$L1547)))</f>
        <v/>
      </c>
      <c r="E1547" s="18">
        <f>IF($L1547="","",IF(INDEX(ExpParty,$L1547)="","—",IFERROR(VLOOKUP(INDEX(ExpParty,$L1547),AcctTbl,4,0),INDEX(ExpParty,$L1547))))</f>
        <v/>
      </c>
      <c r="F1547" s="17">
        <f>IF($L1547="","",IF(INDEX(ExpType,$L1547)="","—",INDEX(ExpType,$L1547)))</f>
        <v/>
      </c>
      <c r="G1547" s="19">
        <f>IF($L1547="","",IF(INDEX(ExpDep,$L1547)=0,"",INDEX(ExpDep,$L1547)))</f>
        <v/>
      </c>
      <c r="H1547" s="19">
        <f>IF($L1547="","",IF(INDEX(ExpWit,$L1547)=0,"",INDEX(ExpWit,$L1547)))</f>
        <v/>
      </c>
      <c r="I1547" s="20">
        <f>IF($B1547="","",IF($I1546="",0,$I1546)+IF($H1547="",0,$H1547)-IF($G1547="",0,$G1547))</f>
        <v/>
      </c>
      <c r="J1547" s="18">
        <f>IF($L1547="","",IF(INDEX(ExpNote,$L1547)="","—",INDEX(ExpNote,$L1547)))</f>
        <v/>
      </c>
      <c r="L1547">
        <f>IFERROR(MATCH($C$5&amp;"|"&amp;RIGHT("000000"&amp;1531,6),ExpRankKey,0),"")</f>
        <v/>
      </c>
    </row>
    <row r="1548">
      <c r="A1548" s="21" t="n">
        <v>1532</v>
      </c>
      <c r="B1548" s="22">
        <f>IF($L1548="","",INDEX(ExpNorm,$L1548))</f>
        <v/>
      </c>
      <c r="C1548" s="22">
        <f>IF($L1548="","",IF(INDEX(ExpTime,$L1548)="","—",LEFT(INDEX(ExpTime,$L1548),2)&amp;":"&amp;RIGHT(INDEX(ExpTime,$L1548),2)))</f>
        <v/>
      </c>
      <c r="D1548" s="22">
        <f>IF($L1548="","",IF(INDEX(ExpBank,$L1548)="","—",INDEX(ExpBank,$L1548)))</f>
        <v/>
      </c>
      <c r="E1548" s="23">
        <f>IF($L1548="","",IF(INDEX(ExpParty,$L1548)="","—",IFERROR(VLOOKUP(INDEX(ExpParty,$L1548),AcctTbl,4,0),INDEX(ExpParty,$L1548))))</f>
        <v/>
      </c>
      <c r="F1548" s="22">
        <f>IF($L1548="","",IF(INDEX(ExpType,$L1548)="","—",INDEX(ExpType,$L1548)))</f>
        <v/>
      </c>
      <c r="G1548" s="24">
        <f>IF($L1548="","",IF(INDEX(ExpDep,$L1548)=0,"",INDEX(ExpDep,$L1548)))</f>
        <v/>
      </c>
      <c r="H1548" s="24">
        <f>IF($L1548="","",IF(INDEX(ExpWit,$L1548)=0,"",INDEX(ExpWit,$L1548)))</f>
        <v/>
      </c>
      <c r="I1548" s="25">
        <f>IF($B1548="","",IF($I1547="",0,$I1547)+IF($H1548="",0,$H1548)-IF($G1548="",0,$G1548))</f>
        <v/>
      </c>
      <c r="J1548" s="23">
        <f>IF($L1548="","",IF(INDEX(ExpNote,$L1548)="","—",INDEX(ExpNote,$L1548)))</f>
        <v/>
      </c>
      <c r="L1548">
        <f>IFERROR(MATCH($C$5&amp;"|"&amp;RIGHT("000000"&amp;1532,6),ExpRankKey,0),"")</f>
        <v/>
      </c>
    </row>
    <row r="1549">
      <c r="A1549" s="16" t="n">
        <v>1533</v>
      </c>
      <c r="B1549" s="17">
        <f>IF($L1549="","",INDEX(ExpNorm,$L1549))</f>
        <v/>
      </c>
      <c r="C1549" s="17">
        <f>IF($L1549="","",IF(INDEX(ExpTime,$L1549)="","—",LEFT(INDEX(ExpTime,$L1549),2)&amp;":"&amp;RIGHT(INDEX(ExpTime,$L1549),2)))</f>
        <v/>
      </c>
      <c r="D1549" s="17">
        <f>IF($L1549="","",IF(INDEX(ExpBank,$L1549)="","—",INDEX(ExpBank,$L1549)))</f>
        <v/>
      </c>
      <c r="E1549" s="18">
        <f>IF($L1549="","",IF(INDEX(ExpParty,$L1549)="","—",IFERROR(VLOOKUP(INDEX(ExpParty,$L1549),AcctTbl,4,0),INDEX(ExpParty,$L1549))))</f>
        <v/>
      </c>
      <c r="F1549" s="17">
        <f>IF($L1549="","",IF(INDEX(ExpType,$L1549)="","—",INDEX(ExpType,$L1549)))</f>
        <v/>
      </c>
      <c r="G1549" s="19">
        <f>IF($L1549="","",IF(INDEX(ExpDep,$L1549)=0,"",INDEX(ExpDep,$L1549)))</f>
        <v/>
      </c>
      <c r="H1549" s="19">
        <f>IF($L1549="","",IF(INDEX(ExpWit,$L1549)=0,"",INDEX(ExpWit,$L1549)))</f>
        <v/>
      </c>
      <c r="I1549" s="20">
        <f>IF($B1549="","",IF($I1548="",0,$I1548)+IF($H1549="",0,$H1549)-IF($G1549="",0,$G1549))</f>
        <v/>
      </c>
      <c r="J1549" s="18">
        <f>IF($L1549="","",IF(INDEX(ExpNote,$L1549)="","—",INDEX(ExpNote,$L1549)))</f>
        <v/>
      </c>
      <c r="L1549">
        <f>IFERROR(MATCH($C$5&amp;"|"&amp;RIGHT("000000"&amp;1533,6),ExpRankKey,0),"")</f>
        <v/>
      </c>
    </row>
    <row r="1550">
      <c r="A1550" s="21" t="n">
        <v>1534</v>
      </c>
      <c r="B1550" s="22">
        <f>IF($L1550="","",INDEX(ExpNorm,$L1550))</f>
        <v/>
      </c>
      <c r="C1550" s="22">
        <f>IF($L1550="","",IF(INDEX(ExpTime,$L1550)="","—",LEFT(INDEX(ExpTime,$L1550),2)&amp;":"&amp;RIGHT(INDEX(ExpTime,$L1550),2)))</f>
        <v/>
      </c>
      <c r="D1550" s="22">
        <f>IF($L1550="","",IF(INDEX(ExpBank,$L1550)="","—",INDEX(ExpBank,$L1550)))</f>
        <v/>
      </c>
      <c r="E1550" s="23">
        <f>IF($L1550="","",IF(INDEX(ExpParty,$L1550)="","—",IFERROR(VLOOKUP(INDEX(ExpParty,$L1550),AcctTbl,4,0),INDEX(ExpParty,$L1550))))</f>
        <v/>
      </c>
      <c r="F1550" s="22">
        <f>IF($L1550="","",IF(INDEX(ExpType,$L1550)="","—",INDEX(ExpType,$L1550)))</f>
        <v/>
      </c>
      <c r="G1550" s="24">
        <f>IF($L1550="","",IF(INDEX(ExpDep,$L1550)=0,"",INDEX(ExpDep,$L1550)))</f>
        <v/>
      </c>
      <c r="H1550" s="24">
        <f>IF($L1550="","",IF(INDEX(ExpWit,$L1550)=0,"",INDEX(ExpWit,$L1550)))</f>
        <v/>
      </c>
      <c r="I1550" s="25">
        <f>IF($B1550="","",IF($I1549="",0,$I1549)+IF($H1550="",0,$H1550)-IF($G1550="",0,$G1550))</f>
        <v/>
      </c>
      <c r="J1550" s="23">
        <f>IF($L1550="","",IF(INDEX(ExpNote,$L1550)="","—",INDEX(ExpNote,$L1550)))</f>
        <v/>
      </c>
      <c r="L1550">
        <f>IFERROR(MATCH($C$5&amp;"|"&amp;RIGHT("000000"&amp;1534,6),ExpRankKey,0),"")</f>
        <v/>
      </c>
    </row>
    <row r="1551">
      <c r="A1551" s="16" t="n">
        <v>1535</v>
      </c>
      <c r="B1551" s="17">
        <f>IF($L1551="","",INDEX(ExpNorm,$L1551))</f>
        <v/>
      </c>
      <c r="C1551" s="17">
        <f>IF($L1551="","",IF(INDEX(ExpTime,$L1551)="","—",LEFT(INDEX(ExpTime,$L1551),2)&amp;":"&amp;RIGHT(INDEX(ExpTime,$L1551),2)))</f>
        <v/>
      </c>
      <c r="D1551" s="17">
        <f>IF($L1551="","",IF(INDEX(ExpBank,$L1551)="","—",INDEX(ExpBank,$L1551)))</f>
        <v/>
      </c>
      <c r="E1551" s="18">
        <f>IF($L1551="","",IF(INDEX(ExpParty,$L1551)="","—",IFERROR(VLOOKUP(INDEX(ExpParty,$L1551),AcctTbl,4,0),INDEX(ExpParty,$L1551))))</f>
        <v/>
      </c>
      <c r="F1551" s="17">
        <f>IF($L1551="","",IF(INDEX(ExpType,$L1551)="","—",INDEX(ExpType,$L1551)))</f>
        <v/>
      </c>
      <c r="G1551" s="19">
        <f>IF($L1551="","",IF(INDEX(ExpDep,$L1551)=0,"",INDEX(ExpDep,$L1551)))</f>
        <v/>
      </c>
      <c r="H1551" s="19">
        <f>IF($L1551="","",IF(INDEX(ExpWit,$L1551)=0,"",INDEX(ExpWit,$L1551)))</f>
        <v/>
      </c>
      <c r="I1551" s="20">
        <f>IF($B1551="","",IF($I1550="",0,$I1550)+IF($H1551="",0,$H1551)-IF($G1551="",0,$G1551))</f>
        <v/>
      </c>
      <c r="J1551" s="18">
        <f>IF($L1551="","",IF(INDEX(ExpNote,$L1551)="","—",INDEX(ExpNote,$L1551)))</f>
        <v/>
      </c>
      <c r="L1551">
        <f>IFERROR(MATCH($C$5&amp;"|"&amp;RIGHT("000000"&amp;1535,6),ExpRankKey,0),"")</f>
        <v/>
      </c>
    </row>
    <row r="1552">
      <c r="A1552" s="21" t="n">
        <v>1536</v>
      </c>
      <c r="B1552" s="22">
        <f>IF($L1552="","",INDEX(ExpNorm,$L1552))</f>
        <v/>
      </c>
      <c r="C1552" s="22">
        <f>IF($L1552="","",IF(INDEX(ExpTime,$L1552)="","—",LEFT(INDEX(ExpTime,$L1552),2)&amp;":"&amp;RIGHT(INDEX(ExpTime,$L1552),2)))</f>
        <v/>
      </c>
      <c r="D1552" s="22">
        <f>IF($L1552="","",IF(INDEX(ExpBank,$L1552)="","—",INDEX(ExpBank,$L1552)))</f>
        <v/>
      </c>
      <c r="E1552" s="23">
        <f>IF($L1552="","",IF(INDEX(ExpParty,$L1552)="","—",IFERROR(VLOOKUP(INDEX(ExpParty,$L1552),AcctTbl,4,0),INDEX(ExpParty,$L1552))))</f>
        <v/>
      </c>
      <c r="F1552" s="22">
        <f>IF($L1552="","",IF(INDEX(ExpType,$L1552)="","—",INDEX(ExpType,$L1552)))</f>
        <v/>
      </c>
      <c r="G1552" s="24">
        <f>IF($L1552="","",IF(INDEX(ExpDep,$L1552)=0,"",INDEX(ExpDep,$L1552)))</f>
        <v/>
      </c>
      <c r="H1552" s="24">
        <f>IF($L1552="","",IF(INDEX(ExpWit,$L1552)=0,"",INDEX(ExpWit,$L1552)))</f>
        <v/>
      </c>
      <c r="I1552" s="25">
        <f>IF($B1552="","",IF($I1551="",0,$I1551)+IF($H1552="",0,$H1552)-IF($G1552="",0,$G1552))</f>
        <v/>
      </c>
      <c r="J1552" s="23">
        <f>IF($L1552="","",IF(INDEX(ExpNote,$L1552)="","—",INDEX(ExpNote,$L1552)))</f>
        <v/>
      </c>
      <c r="L1552">
        <f>IFERROR(MATCH($C$5&amp;"|"&amp;RIGHT("000000"&amp;1536,6),ExpRankKey,0),"")</f>
        <v/>
      </c>
    </row>
    <row r="1553">
      <c r="A1553" s="16" t="n">
        <v>1537</v>
      </c>
      <c r="B1553" s="17">
        <f>IF($L1553="","",INDEX(ExpNorm,$L1553))</f>
        <v/>
      </c>
      <c r="C1553" s="17">
        <f>IF($L1553="","",IF(INDEX(ExpTime,$L1553)="","—",LEFT(INDEX(ExpTime,$L1553),2)&amp;":"&amp;RIGHT(INDEX(ExpTime,$L1553),2)))</f>
        <v/>
      </c>
      <c r="D1553" s="17">
        <f>IF($L1553="","",IF(INDEX(ExpBank,$L1553)="","—",INDEX(ExpBank,$L1553)))</f>
        <v/>
      </c>
      <c r="E1553" s="18">
        <f>IF($L1553="","",IF(INDEX(ExpParty,$L1553)="","—",IFERROR(VLOOKUP(INDEX(ExpParty,$L1553),AcctTbl,4,0),INDEX(ExpParty,$L1553))))</f>
        <v/>
      </c>
      <c r="F1553" s="17">
        <f>IF($L1553="","",IF(INDEX(ExpType,$L1553)="","—",INDEX(ExpType,$L1553)))</f>
        <v/>
      </c>
      <c r="G1553" s="19">
        <f>IF($L1553="","",IF(INDEX(ExpDep,$L1553)=0,"",INDEX(ExpDep,$L1553)))</f>
        <v/>
      </c>
      <c r="H1553" s="19">
        <f>IF($L1553="","",IF(INDEX(ExpWit,$L1553)=0,"",INDEX(ExpWit,$L1553)))</f>
        <v/>
      </c>
      <c r="I1553" s="20">
        <f>IF($B1553="","",IF($I1552="",0,$I1552)+IF($H1553="",0,$H1553)-IF($G1553="",0,$G1553))</f>
        <v/>
      </c>
      <c r="J1553" s="18">
        <f>IF($L1553="","",IF(INDEX(ExpNote,$L1553)="","—",INDEX(ExpNote,$L1553)))</f>
        <v/>
      </c>
      <c r="L1553">
        <f>IFERROR(MATCH($C$5&amp;"|"&amp;RIGHT("000000"&amp;1537,6),ExpRankKey,0),"")</f>
        <v/>
      </c>
    </row>
    <row r="1554">
      <c r="A1554" s="21" t="n">
        <v>1538</v>
      </c>
      <c r="B1554" s="22">
        <f>IF($L1554="","",INDEX(ExpNorm,$L1554))</f>
        <v/>
      </c>
      <c r="C1554" s="22">
        <f>IF($L1554="","",IF(INDEX(ExpTime,$L1554)="","—",LEFT(INDEX(ExpTime,$L1554),2)&amp;":"&amp;RIGHT(INDEX(ExpTime,$L1554),2)))</f>
        <v/>
      </c>
      <c r="D1554" s="22">
        <f>IF($L1554="","",IF(INDEX(ExpBank,$L1554)="","—",INDEX(ExpBank,$L1554)))</f>
        <v/>
      </c>
      <c r="E1554" s="23">
        <f>IF($L1554="","",IF(INDEX(ExpParty,$L1554)="","—",IFERROR(VLOOKUP(INDEX(ExpParty,$L1554),AcctTbl,4,0),INDEX(ExpParty,$L1554))))</f>
        <v/>
      </c>
      <c r="F1554" s="22">
        <f>IF($L1554="","",IF(INDEX(ExpType,$L1554)="","—",INDEX(ExpType,$L1554)))</f>
        <v/>
      </c>
      <c r="G1554" s="24">
        <f>IF($L1554="","",IF(INDEX(ExpDep,$L1554)=0,"",INDEX(ExpDep,$L1554)))</f>
        <v/>
      </c>
      <c r="H1554" s="24">
        <f>IF($L1554="","",IF(INDEX(ExpWit,$L1554)=0,"",INDEX(ExpWit,$L1554)))</f>
        <v/>
      </c>
      <c r="I1554" s="25">
        <f>IF($B1554="","",IF($I1553="",0,$I1553)+IF($H1554="",0,$H1554)-IF($G1554="",0,$G1554))</f>
        <v/>
      </c>
      <c r="J1554" s="23">
        <f>IF($L1554="","",IF(INDEX(ExpNote,$L1554)="","—",INDEX(ExpNote,$L1554)))</f>
        <v/>
      </c>
      <c r="L1554">
        <f>IFERROR(MATCH($C$5&amp;"|"&amp;RIGHT("000000"&amp;1538,6),ExpRankKey,0),"")</f>
        <v/>
      </c>
    </row>
    <row r="1555">
      <c r="A1555" s="16" t="n">
        <v>1539</v>
      </c>
      <c r="B1555" s="17">
        <f>IF($L1555="","",INDEX(ExpNorm,$L1555))</f>
        <v/>
      </c>
      <c r="C1555" s="17">
        <f>IF($L1555="","",IF(INDEX(ExpTime,$L1555)="","—",LEFT(INDEX(ExpTime,$L1555),2)&amp;":"&amp;RIGHT(INDEX(ExpTime,$L1555),2)))</f>
        <v/>
      </c>
      <c r="D1555" s="17">
        <f>IF($L1555="","",IF(INDEX(ExpBank,$L1555)="","—",INDEX(ExpBank,$L1555)))</f>
        <v/>
      </c>
      <c r="E1555" s="18">
        <f>IF($L1555="","",IF(INDEX(ExpParty,$L1555)="","—",IFERROR(VLOOKUP(INDEX(ExpParty,$L1555),AcctTbl,4,0),INDEX(ExpParty,$L1555))))</f>
        <v/>
      </c>
      <c r="F1555" s="17">
        <f>IF($L1555="","",IF(INDEX(ExpType,$L1555)="","—",INDEX(ExpType,$L1555)))</f>
        <v/>
      </c>
      <c r="G1555" s="19">
        <f>IF($L1555="","",IF(INDEX(ExpDep,$L1555)=0,"",INDEX(ExpDep,$L1555)))</f>
        <v/>
      </c>
      <c r="H1555" s="19">
        <f>IF($L1555="","",IF(INDEX(ExpWit,$L1555)=0,"",INDEX(ExpWit,$L1555)))</f>
        <v/>
      </c>
      <c r="I1555" s="20">
        <f>IF($B1555="","",IF($I1554="",0,$I1554)+IF($H1555="",0,$H1555)-IF($G1555="",0,$G1555))</f>
        <v/>
      </c>
      <c r="J1555" s="18">
        <f>IF($L1555="","",IF(INDEX(ExpNote,$L1555)="","—",INDEX(ExpNote,$L1555)))</f>
        <v/>
      </c>
      <c r="L1555">
        <f>IFERROR(MATCH($C$5&amp;"|"&amp;RIGHT("000000"&amp;1539,6),ExpRankKey,0),"")</f>
        <v/>
      </c>
    </row>
    <row r="1556">
      <c r="A1556" s="21" t="n">
        <v>1540</v>
      </c>
      <c r="B1556" s="22">
        <f>IF($L1556="","",INDEX(ExpNorm,$L1556))</f>
        <v/>
      </c>
      <c r="C1556" s="22">
        <f>IF($L1556="","",IF(INDEX(ExpTime,$L1556)="","—",LEFT(INDEX(ExpTime,$L1556),2)&amp;":"&amp;RIGHT(INDEX(ExpTime,$L1556),2)))</f>
        <v/>
      </c>
      <c r="D1556" s="22">
        <f>IF($L1556="","",IF(INDEX(ExpBank,$L1556)="","—",INDEX(ExpBank,$L1556)))</f>
        <v/>
      </c>
      <c r="E1556" s="23">
        <f>IF($L1556="","",IF(INDEX(ExpParty,$L1556)="","—",IFERROR(VLOOKUP(INDEX(ExpParty,$L1556),AcctTbl,4,0),INDEX(ExpParty,$L1556))))</f>
        <v/>
      </c>
      <c r="F1556" s="22">
        <f>IF($L1556="","",IF(INDEX(ExpType,$L1556)="","—",INDEX(ExpType,$L1556)))</f>
        <v/>
      </c>
      <c r="G1556" s="24">
        <f>IF($L1556="","",IF(INDEX(ExpDep,$L1556)=0,"",INDEX(ExpDep,$L1556)))</f>
        <v/>
      </c>
      <c r="H1556" s="24">
        <f>IF($L1556="","",IF(INDEX(ExpWit,$L1556)=0,"",INDEX(ExpWit,$L1556)))</f>
        <v/>
      </c>
      <c r="I1556" s="25">
        <f>IF($B1556="","",IF($I1555="",0,$I1555)+IF($H1556="",0,$H1556)-IF($G1556="",0,$G1556))</f>
        <v/>
      </c>
      <c r="J1556" s="23">
        <f>IF($L1556="","",IF(INDEX(ExpNote,$L1556)="","—",INDEX(ExpNote,$L1556)))</f>
        <v/>
      </c>
      <c r="L1556">
        <f>IFERROR(MATCH($C$5&amp;"|"&amp;RIGHT("000000"&amp;1540,6),ExpRankKey,0),"")</f>
        <v/>
      </c>
    </row>
    <row r="1557">
      <c r="A1557" s="16" t="n">
        <v>1541</v>
      </c>
      <c r="B1557" s="17">
        <f>IF($L1557="","",INDEX(ExpNorm,$L1557))</f>
        <v/>
      </c>
      <c r="C1557" s="17">
        <f>IF($L1557="","",IF(INDEX(ExpTime,$L1557)="","—",LEFT(INDEX(ExpTime,$L1557),2)&amp;":"&amp;RIGHT(INDEX(ExpTime,$L1557),2)))</f>
        <v/>
      </c>
      <c r="D1557" s="17">
        <f>IF($L1557="","",IF(INDEX(ExpBank,$L1557)="","—",INDEX(ExpBank,$L1557)))</f>
        <v/>
      </c>
      <c r="E1557" s="18">
        <f>IF($L1557="","",IF(INDEX(ExpParty,$L1557)="","—",IFERROR(VLOOKUP(INDEX(ExpParty,$L1557),AcctTbl,4,0),INDEX(ExpParty,$L1557))))</f>
        <v/>
      </c>
      <c r="F1557" s="17">
        <f>IF($L1557="","",IF(INDEX(ExpType,$L1557)="","—",INDEX(ExpType,$L1557)))</f>
        <v/>
      </c>
      <c r="G1557" s="19">
        <f>IF($L1557="","",IF(INDEX(ExpDep,$L1557)=0,"",INDEX(ExpDep,$L1557)))</f>
        <v/>
      </c>
      <c r="H1557" s="19">
        <f>IF($L1557="","",IF(INDEX(ExpWit,$L1557)=0,"",INDEX(ExpWit,$L1557)))</f>
        <v/>
      </c>
      <c r="I1557" s="20">
        <f>IF($B1557="","",IF($I1556="",0,$I1556)+IF($H1557="",0,$H1557)-IF($G1557="",0,$G1557))</f>
        <v/>
      </c>
      <c r="J1557" s="18">
        <f>IF($L1557="","",IF(INDEX(ExpNote,$L1557)="","—",INDEX(ExpNote,$L1557)))</f>
        <v/>
      </c>
      <c r="L1557">
        <f>IFERROR(MATCH($C$5&amp;"|"&amp;RIGHT("000000"&amp;1541,6),ExpRankKey,0),"")</f>
        <v/>
      </c>
    </row>
    <row r="1558">
      <c r="A1558" s="21" t="n">
        <v>1542</v>
      </c>
      <c r="B1558" s="22">
        <f>IF($L1558="","",INDEX(ExpNorm,$L1558))</f>
        <v/>
      </c>
      <c r="C1558" s="22">
        <f>IF($L1558="","",IF(INDEX(ExpTime,$L1558)="","—",LEFT(INDEX(ExpTime,$L1558),2)&amp;":"&amp;RIGHT(INDEX(ExpTime,$L1558),2)))</f>
        <v/>
      </c>
      <c r="D1558" s="22">
        <f>IF($L1558="","",IF(INDEX(ExpBank,$L1558)="","—",INDEX(ExpBank,$L1558)))</f>
        <v/>
      </c>
      <c r="E1558" s="23">
        <f>IF($L1558="","",IF(INDEX(ExpParty,$L1558)="","—",IFERROR(VLOOKUP(INDEX(ExpParty,$L1558),AcctTbl,4,0),INDEX(ExpParty,$L1558))))</f>
        <v/>
      </c>
      <c r="F1558" s="22">
        <f>IF($L1558="","",IF(INDEX(ExpType,$L1558)="","—",INDEX(ExpType,$L1558)))</f>
        <v/>
      </c>
      <c r="G1558" s="24">
        <f>IF($L1558="","",IF(INDEX(ExpDep,$L1558)=0,"",INDEX(ExpDep,$L1558)))</f>
        <v/>
      </c>
      <c r="H1558" s="24">
        <f>IF($L1558="","",IF(INDEX(ExpWit,$L1558)=0,"",INDEX(ExpWit,$L1558)))</f>
        <v/>
      </c>
      <c r="I1558" s="25">
        <f>IF($B1558="","",IF($I1557="",0,$I1557)+IF($H1558="",0,$H1558)-IF($G1558="",0,$G1558))</f>
        <v/>
      </c>
      <c r="J1558" s="23">
        <f>IF($L1558="","",IF(INDEX(ExpNote,$L1558)="","—",INDEX(ExpNote,$L1558)))</f>
        <v/>
      </c>
      <c r="L1558">
        <f>IFERROR(MATCH($C$5&amp;"|"&amp;RIGHT("000000"&amp;1542,6),ExpRankKey,0),"")</f>
        <v/>
      </c>
    </row>
    <row r="1559">
      <c r="A1559" s="16" t="n">
        <v>1543</v>
      </c>
      <c r="B1559" s="17">
        <f>IF($L1559="","",INDEX(ExpNorm,$L1559))</f>
        <v/>
      </c>
      <c r="C1559" s="17">
        <f>IF($L1559="","",IF(INDEX(ExpTime,$L1559)="","—",LEFT(INDEX(ExpTime,$L1559),2)&amp;":"&amp;RIGHT(INDEX(ExpTime,$L1559),2)))</f>
        <v/>
      </c>
      <c r="D1559" s="17">
        <f>IF($L1559="","",IF(INDEX(ExpBank,$L1559)="","—",INDEX(ExpBank,$L1559)))</f>
        <v/>
      </c>
      <c r="E1559" s="18">
        <f>IF($L1559="","",IF(INDEX(ExpParty,$L1559)="","—",IFERROR(VLOOKUP(INDEX(ExpParty,$L1559),AcctTbl,4,0),INDEX(ExpParty,$L1559))))</f>
        <v/>
      </c>
      <c r="F1559" s="17">
        <f>IF($L1559="","",IF(INDEX(ExpType,$L1559)="","—",INDEX(ExpType,$L1559)))</f>
        <v/>
      </c>
      <c r="G1559" s="19">
        <f>IF($L1559="","",IF(INDEX(ExpDep,$L1559)=0,"",INDEX(ExpDep,$L1559)))</f>
        <v/>
      </c>
      <c r="H1559" s="19">
        <f>IF($L1559="","",IF(INDEX(ExpWit,$L1559)=0,"",INDEX(ExpWit,$L1559)))</f>
        <v/>
      </c>
      <c r="I1559" s="20">
        <f>IF($B1559="","",IF($I1558="",0,$I1558)+IF($H1559="",0,$H1559)-IF($G1559="",0,$G1559))</f>
        <v/>
      </c>
      <c r="J1559" s="18">
        <f>IF($L1559="","",IF(INDEX(ExpNote,$L1559)="","—",INDEX(ExpNote,$L1559)))</f>
        <v/>
      </c>
      <c r="L1559">
        <f>IFERROR(MATCH($C$5&amp;"|"&amp;RIGHT("000000"&amp;1543,6),ExpRankKey,0),"")</f>
        <v/>
      </c>
    </row>
    <row r="1560">
      <c r="A1560" s="21" t="n">
        <v>1544</v>
      </c>
      <c r="B1560" s="22">
        <f>IF($L1560="","",INDEX(ExpNorm,$L1560))</f>
        <v/>
      </c>
      <c r="C1560" s="22">
        <f>IF($L1560="","",IF(INDEX(ExpTime,$L1560)="","—",LEFT(INDEX(ExpTime,$L1560),2)&amp;":"&amp;RIGHT(INDEX(ExpTime,$L1560),2)))</f>
        <v/>
      </c>
      <c r="D1560" s="22">
        <f>IF($L1560="","",IF(INDEX(ExpBank,$L1560)="","—",INDEX(ExpBank,$L1560)))</f>
        <v/>
      </c>
      <c r="E1560" s="23">
        <f>IF($L1560="","",IF(INDEX(ExpParty,$L1560)="","—",IFERROR(VLOOKUP(INDEX(ExpParty,$L1560),AcctTbl,4,0),INDEX(ExpParty,$L1560))))</f>
        <v/>
      </c>
      <c r="F1560" s="22">
        <f>IF($L1560="","",IF(INDEX(ExpType,$L1560)="","—",INDEX(ExpType,$L1560)))</f>
        <v/>
      </c>
      <c r="G1560" s="24">
        <f>IF($L1560="","",IF(INDEX(ExpDep,$L1560)=0,"",INDEX(ExpDep,$L1560)))</f>
        <v/>
      </c>
      <c r="H1560" s="24">
        <f>IF($L1560="","",IF(INDEX(ExpWit,$L1560)=0,"",INDEX(ExpWit,$L1560)))</f>
        <v/>
      </c>
      <c r="I1560" s="25">
        <f>IF($B1560="","",IF($I1559="",0,$I1559)+IF($H1560="",0,$H1560)-IF($G1560="",0,$G1560))</f>
        <v/>
      </c>
      <c r="J1560" s="23">
        <f>IF($L1560="","",IF(INDEX(ExpNote,$L1560)="","—",INDEX(ExpNote,$L1560)))</f>
        <v/>
      </c>
      <c r="L1560">
        <f>IFERROR(MATCH($C$5&amp;"|"&amp;RIGHT("000000"&amp;1544,6),ExpRankKey,0),"")</f>
        <v/>
      </c>
    </row>
    <row r="1561">
      <c r="A1561" s="16" t="n">
        <v>1545</v>
      </c>
      <c r="B1561" s="17">
        <f>IF($L1561="","",INDEX(ExpNorm,$L1561))</f>
        <v/>
      </c>
      <c r="C1561" s="17">
        <f>IF($L1561="","",IF(INDEX(ExpTime,$L1561)="","—",LEFT(INDEX(ExpTime,$L1561),2)&amp;":"&amp;RIGHT(INDEX(ExpTime,$L1561),2)))</f>
        <v/>
      </c>
      <c r="D1561" s="17">
        <f>IF($L1561="","",IF(INDEX(ExpBank,$L1561)="","—",INDEX(ExpBank,$L1561)))</f>
        <v/>
      </c>
      <c r="E1561" s="18">
        <f>IF($L1561="","",IF(INDEX(ExpParty,$L1561)="","—",IFERROR(VLOOKUP(INDEX(ExpParty,$L1561),AcctTbl,4,0),INDEX(ExpParty,$L1561))))</f>
        <v/>
      </c>
      <c r="F1561" s="17">
        <f>IF($L1561="","",IF(INDEX(ExpType,$L1561)="","—",INDEX(ExpType,$L1561)))</f>
        <v/>
      </c>
      <c r="G1561" s="19">
        <f>IF($L1561="","",IF(INDEX(ExpDep,$L1561)=0,"",INDEX(ExpDep,$L1561)))</f>
        <v/>
      </c>
      <c r="H1561" s="19">
        <f>IF($L1561="","",IF(INDEX(ExpWit,$L1561)=0,"",INDEX(ExpWit,$L1561)))</f>
        <v/>
      </c>
      <c r="I1561" s="20">
        <f>IF($B1561="","",IF($I1560="",0,$I1560)+IF($H1561="",0,$H1561)-IF($G1561="",0,$G1561))</f>
        <v/>
      </c>
      <c r="J1561" s="18">
        <f>IF($L1561="","",IF(INDEX(ExpNote,$L1561)="","—",INDEX(ExpNote,$L1561)))</f>
        <v/>
      </c>
      <c r="L1561">
        <f>IFERROR(MATCH($C$5&amp;"|"&amp;RIGHT("000000"&amp;1545,6),ExpRankKey,0),"")</f>
        <v/>
      </c>
    </row>
    <row r="1562">
      <c r="A1562" s="21" t="n">
        <v>1546</v>
      </c>
      <c r="B1562" s="22">
        <f>IF($L1562="","",INDEX(ExpNorm,$L1562))</f>
        <v/>
      </c>
      <c r="C1562" s="22">
        <f>IF($L1562="","",IF(INDEX(ExpTime,$L1562)="","—",LEFT(INDEX(ExpTime,$L1562),2)&amp;":"&amp;RIGHT(INDEX(ExpTime,$L1562),2)))</f>
        <v/>
      </c>
      <c r="D1562" s="22">
        <f>IF($L1562="","",IF(INDEX(ExpBank,$L1562)="","—",INDEX(ExpBank,$L1562)))</f>
        <v/>
      </c>
      <c r="E1562" s="23">
        <f>IF($L1562="","",IF(INDEX(ExpParty,$L1562)="","—",IFERROR(VLOOKUP(INDEX(ExpParty,$L1562),AcctTbl,4,0),INDEX(ExpParty,$L1562))))</f>
        <v/>
      </c>
      <c r="F1562" s="22">
        <f>IF($L1562="","",IF(INDEX(ExpType,$L1562)="","—",INDEX(ExpType,$L1562)))</f>
        <v/>
      </c>
      <c r="G1562" s="24">
        <f>IF($L1562="","",IF(INDEX(ExpDep,$L1562)=0,"",INDEX(ExpDep,$L1562)))</f>
        <v/>
      </c>
      <c r="H1562" s="24">
        <f>IF($L1562="","",IF(INDEX(ExpWit,$L1562)=0,"",INDEX(ExpWit,$L1562)))</f>
        <v/>
      </c>
      <c r="I1562" s="25">
        <f>IF($B1562="","",IF($I1561="",0,$I1561)+IF($H1562="",0,$H1562)-IF($G1562="",0,$G1562))</f>
        <v/>
      </c>
      <c r="J1562" s="23">
        <f>IF($L1562="","",IF(INDEX(ExpNote,$L1562)="","—",INDEX(ExpNote,$L1562)))</f>
        <v/>
      </c>
      <c r="L1562">
        <f>IFERROR(MATCH($C$5&amp;"|"&amp;RIGHT("000000"&amp;1546,6),ExpRankKey,0),"")</f>
        <v/>
      </c>
    </row>
    <row r="1563">
      <c r="A1563" s="16" t="n">
        <v>1547</v>
      </c>
      <c r="B1563" s="17">
        <f>IF($L1563="","",INDEX(ExpNorm,$L1563))</f>
        <v/>
      </c>
      <c r="C1563" s="17">
        <f>IF($L1563="","",IF(INDEX(ExpTime,$L1563)="","—",LEFT(INDEX(ExpTime,$L1563),2)&amp;":"&amp;RIGHT(INDEX(ExpTime,$L1563),2)))</f>
        <v/>
      </c>
      <c r="D1563" s="17">
        <f>IF($L1563="","",IF(INDEX(ExpBank,$L1563)="","—",INDEX(ExpBank,$L1563)))</f>
        <v/>
      </c>
      <c r="E1563" s="18">
        <f>IF($L1563="","",IF(INDEX(ExpParty,$L1563)="","—",IFERROR(VLOOKUP(INDEX(ExpParty,$L1563),AcctTbl,4,0),INDEX(ExpParty,$L1563))))</f>
        <v/>
      </c>
      <c r="F1563" s="17">
        <f>IF($L1563="","",IF(INDEX(ExpType,$L1563)="","—",INDEX(ExpType,$L1563)))</f>
        <v/>
      </c>
      <c r="G1563" s="19">
        <f>IF($L1563="","",IF(INDEX(ExpDep,$L1563)=0,"",INDEX(ExpDep,$L1563)))</f>
        <v/>
      </c>
      <c r="H1563" s="19">
        <f>IF($L1563="","",IF(INDEX(ExpWit,$L1563)=0,"",INDEX(ExpWit,$L1563)))</f>
        <v/>
      </c>
      <c r="I1563" s="20">
        <f>IF($B1563="","",IF($I1562="",0,$I1562)+IF($H1563="",0,$H1563)-IF($G1563="",0,$G1563))</f>
        <v/>
      </c>
      <c r="J1563" s="18">
        <f>IF($L1563="","",IF(INDEX(ExpNote,$L1563)="","—",INDEX(ExpNote,$L1563)))</f>
        <v/>
      </c>
      <c r="L1563">
        <f>IFERROR(MATCH($C$5&amp;"|"&amp;RIGHT("000000"&amp;1547,6),ExpRankKey,0),"")</f>
        <v/>
      </c>
    </row>
    <row r="1564">
      <c r="A1564" s="21" t="n">
        <v>1548</v>
      </c>
      <c r="B1564" s="22">
        <f>IF($L1564="","",INDEX(ExpNorm,$L1564))</f>
        <v/>
      </c>
      <c r="C1564" s="22">
        <f>IF($L1564="","",IF(INDEX(ExpTime,$L1564)="","—",LEFT(INDEX(ExpTime,$L1564),2)&amp;":"&amp;RIGHT(INDEX(ExpTime,$L1564),2)))</f>
        <v/>
      </c>
      <c r="D1564" s="22">
        <f>IF($L1564="","",IF(INDEX(ExpBank,$L1564)="","—",INDEX(ExpBank,$L1564)))</f>
        <v/>
      </c>
      <c r="E1564" s="23">
        <f>IF($L1564="","",IF(INDEX(ExpParty,$L1564)="","—",IFERROR(VLOOKUP(INDEX(ExpParty,$L1564),AcctTbl,4,0),INDEX(ExpParty,$L1564))))</f>
        <v/>
      </c>
      <c r="F1564" s="22">
        <f>IF($L1564="","",IF(INDEX(ExpType,$L1564)="","—",INDEX(ExpType,$L1564)))</f>
        <v/>
      </c>
      <c r="G1564" s="24">
        <f>IF($L1564="","",IF(INDEX(ExpDep,$L1564)=0,"",INDEX(ExpDep,$L1564)))</f>
        <v/>
      </c>
      <c r="H1564" s="24">
        <f>IF($L1564="","",IF(INDEX(ExpWit,$L1564)=0,"",INDEX(ExpWit,$L1564)))</f>
        <v/>
      </c>
      <c r="I1564" s="25">
        <f>IF($B1564="","",IF($I1563="",0,$I1563)+IF($H1564="",0,$H1564)-IF($G1564="",0,$G1564))</f>
        <v/>
      </c>
      <c r="J1564" s="23">
        <f>IF($L1564="","",IF(INDEX(ExpNote,$L1564)="","—",INDEX(ExpNote,$L1564)))</f>
        <v/>
      </c>
      <c r="L1564">
        <f>IFERROR(MATCH($C$5&amp;"|"&amp;RIGHT("000000"&amp;1548,6),ExpRankKey,0),"")</f>
        <v/>
      </c>
    </row>
    <row r="1565">
      <c r="A1565" s="16" t="n">
        <v>1549</v>
      </c>
      <c r="B1565" s="17">
        <f>IF($L1565="","",INDEX(ExpNorm,$L1565))</f>
        <v/>
      </c>
      <c r="C1565" s="17">
        <f>IF($L1565="","",IF(INDEX(ExpTime,$L1565)="","—",LEFT(INDEX(ExpTime,$L1565),2)&amp;":"&amp;RIGHT(INDEX(ExpTime,$L1565),2)))</f>
        <v/>
      </c>
      <c r="D1565" s="17">
        <f>IF($L1565="","",IF(INDEX(ExpBank,$L1565)="","—",INDEX(ExpBank,$L1565)))</f>
        <v/>
      </c>
      <c r="E1565" s="18">
        <f>IF($L1565="","",IF(INDEX(ExpParty,$L1565)="","—",IFERROR(VLOOKUP(INDEX(ExpParty,$L1565),AcctTbl,4,0),INDEX(ExpParty,$L1565))))</f>
        <v/>
      </c>
      <c r="F1565" s="17">
        <f>IF($L1565="","",IF(INDEX(ExpType,$L1565)="","—",INDEX(ExpType,$L1565)))</f>
        <v/>
      </c>
      <c r="G1565" s="19">
        <f>IF($L1565="","",IF(INDEX(ExpDep,$L1565)=0,"",INDEX(ExpDep,$L1565)))</f>
        <v/>
      </c>
      <c r="H1565" s="19">
        <f>IF($L1565="","",IF(INDEX(ExpWit,$L1565)=0,"",INDEX(ExpWit,$L1565)))</f>
        <v/>
      </c>
      <c r="I1565" s="20">
        <f>IF($B1565="","",IF($I1564="",0,$I1564)+IF($H1565="",0,$H1565)-IF($G1565="",0,$G1565))</f>
        <v/>
      </c>
      <c r="J1565" s="18">
        <f>IF($L1565="","",IF(INDEX(ExpNote,$L1565)="","—",INDEX(ExpNote,$L1565)))</f>
        <v/>
      </c>
      <c r="L1565">
        <f>IFERROR(MATCH($C$5&amp;"|"&amp;RIGHT("000000"&amp;1549,6),ExpRankKey,0),"")</f>
        <v/>
      </c>
    </row>
    <row r="1566">
      <c r="A1566" s="21" t="n">
        <v>1550</v>
      </c>
      <c r="B1566" s="22">
        <f>IF($L1566="","",INDEX(ExpNorm,$L1566))</f>
        <v/>
      </c>
      <c r="C1566" s="22">
        <f>IF($L1566="","",IF(INDEX(ExpTime,$L1566)="","—",LEFT(INDEX(ExpTime,$L1566),2)&amp;":"&amp;RIGHT(INDEX(ExpTime,$L1566),2)))</f>
        <v/>
      </c>
      <c r="D1566" s="22">
        <f>IF($L1566="","",IF(INDEX(ExpBank,$L1566)="","—",INDEX(ExpBank,$L1566)))</f>
        <v/>
      </c>
      <c r="E1566" s="23">
        <f>IF($L1566="","",IF(INDEX(ExpParty,$L1566)="","—",IFERROR(VLOOKUP(INDEX(ExpParty,$L1566),AcctTbl,4,0),INDEX(ExpParty,$L1566))))</f>
        <v/>
      </c>
      <c r="F1566" s="22">
        <f>IF($L1566="","",IF(INDEX(ExpType,$L1566)="","—",INDEX(ExpType,$L1566)))</f>
        <v/>
      </c>
      <c r="G1566" s="24">
        <f>IF($L1566="","",IF(INDEX(ExpDep,$L1566)=0,"",INDEX(ExpDep,$L1566)))</f>
        <v/>
      </c>
      <c r="H1566" s="24">
        <f>IF($L1566="","",IF(INDEX(ExpWit,$L1566)=0,"",INDEX(ExpWit,$L1566)))</f>
        <v/>
      </c>
      <c r="I1566" s="25">
        <f>IF($B1566="","",IF($I1565="",0,$I1565)+IF($H1566="",0,$H1566)-IF($G1566="",0,$G1566))</f>
        <v/>
      </c>
      <c r="J1566" s="23">
        <f>IF($L1566="","",IF(INDEX(ExpNote,$L1566)="","—",INDEX(ExpNote,$L1566)))</f>
        <v/>
      </c>
      <c r="L1566">
        <f>IFERROR(MATCH($C$5&amp;"|"&amp;RIGHT("000000"&amp;1550,6),ExpRankKey,0),"")</f>
        <v/>
      </c>
    </row>
    <row r="1567">
      <c r="A1567" s="16" t="n">
        <v>1551</v>
      </c>
      <c r="B1567" s="17">
        <f>IF($L1567="","",INDEX(ExpNorm,$L1567))</f>
        <v/>
      </c>
      <c r="C1567" s="17">
        <f>IF($L1567="","",IF(INDEX(ExpTime,$L1567)="","—",LEFT(INDEX(ExpTime,$L1567),2)&amp;":"&amp;RIGHT(INDEX(ExpTime,$L1567),2)))</f>
        <v/>
      </c>
      <c r="D1567" s="17">
        <f>IF($L1567="","",IF(INDEX(ExpBank,$L1567)="","—",INDEX(ExpBank,$L1567)))</f>
        <v/>
      </c>
      <c r="E1567" s="18">
        <f>IF($L1567="","",IF(INDEX(ExpParty,$L1567)="","—",IFERROR(VLOOKUP(INDEX(ExpParty,$L1567),AcctTbl,4,0),INDEX(ExpParty,$L1567))))</f>
        <v/>
      </c>
      <c r="F1567" s="17">
        <f>IF($L1567="","",IF(INDEX(ExpType,$L1567)="","—",INDEX(ExpType,$L1567)))</f>
        <v/>
      </c>
      <c r="G1567" s="19">
        <f>IF($L1567="","",IF(INDEX(ExpDep,$L1567)=0,"",INDEX(ExpDep,$L1567)))</f>
        <v/>
      </c>
      <c r="H1567" s="19">
        <f>IF($L1567="","",IF(INDEX(ExpWit,$L1567)=0,"",INDEX(ExpWit,$L1567)))</f>
        <v/>
      </c>
      <c r="I1567" s="20">
        <f>IF($B1567="","",IF($I1566="",0,$I1566)+IF($H1567="",0,$H1567)-IF($G1567="",0,$G1567))</f>
        <v/>
      </c>
      <c r="J1567" s="18">
        <f>IF($L1567="","",IF(INDEX(ExpNote,$L1567)="","—",INDEX(ExpNote,$L1567)))</f>
        <v/>
      </c>
      <c r="L1567">
        <f>IFERROR(MATCH($C$5&amp;"|"&amp;RIGHT("000000"&amp;1551,6),ExpRankKey,0),"")</f>
        <v/>
      </c>
    </row>
    <row r="1568">
      <c r="A1568" s="21" t="n">
        <v>1552</v>
      </c>
      <c r="B1568" s="22">
        <f>IF($L1568="","",INDEX(ExpNorm,$L1568))</f>
        <v/>
      </c>
      <c r="C1568" s="22">
        <f>IF($L1568="","",IF(INDEX(ExpTime,$L1568)="","—",LEFT(INDEX(ExpTime,$L1568),2)&amp;":"&amp;RIGHT(INDEX(ExpTime,$L1568),2)))</f>
        <v/>
      </c>
      <c r="D1568" s="22">
        <f>IF($L1568="","",IF(INDEX(ExpBank,$L1568)="","—",INDEX(ExpBank,$L1568)))</f>
        <v/>
      </c>
      <c r="E1568" s="23">
        <f>IF($L1568="","",IF(INDEX(ExpParty,$L1568)="","—",IFERROR(VLOOKUP(INDEX(ExpParty,$L1568),AcctTbl,4,0),INDEX(ExpParty,$L1568))))</f>
        <v/>
      </c>
      <c r="F1568" s="22">
        <f>IF($L1568="","",IF(INDEX(ExpType,$L1568)="","—",INDEX(ExpType,$L1568)))</f>
        <v/>
      </c>
      <c r="G1568" s="24">
        <f>IF($L1568="","",IF(INDEX(ExpDep,$L1568)=0,"",INDEX(ExpDep,$L1568)))</f>
        <v/>
      </c>
      <c r="H1568" s="24">
        <f>IF($L1568="","",IF(INDEX(ExpWit,$L1568)=0,"",INDEX(ExpWit,$L1568)))</f>
        <v/>
      </c>
      <c r="I1568" s="25">
        <f>IF($B1568="","",IF($I1567="",0,$I1567)+IF($H1568="",0,$H1568)-IF($G1568="",0,$G1568))</f>
        <v/>
      </c>
      <c r="J1568" s="23">
        <f>IF($L1568="","",IF(INDEX(ExpNote,$L1568)="","—",INDEX(ExpNote,$L1568)))</f>
        <v/>
      </c>
      <c r="L1568">
        <f>IFERROR(MATCH($C$5&amp;"|"&amp;RIGHT("000000"&amp;1552,6),ExpRankKey,0),"")</f>
        <v/>
      </c>
    </row>
    <row r="1569">
      <c r="A1569" s="16" t="n">
        <v>1553</v>
      </c>
      <c r="B1569" s="17">
        <f>IF($L1569="","",INDEX(ExpNorm,$L1569))</f>
        <v/>
      </c>
      <c r="C1569" s="17">
        <f>IF($L1569="","",IF(INDEX(ExpTime,$L1569)="","—",LEFT(INDEX(ExpTime,$L1569),2)&amp;":"&amp;RIGHT(INDEX(ExpTime,$L1569),2)))</f>
        <v/>
      </c>
      <c r="D1569" s="17">
        <f>IF($L1569="","",IF(INDEX(ExpBank,$L1569)="","—",INDEX(ExpBank,$L1569)))</f>
        <v/>
      </c>
      <c r="E1569" s="18">
        <f>IF($L1569="","",IF(INDEX(ExpParty,$L1569)="","—",IFERROR(VLOOKUP(INDEX(ExpParty,$L1569),AcctTbl,4,0),INDEX(ExpParty,$L1569))))</f>
        <v/>
      </c>
      <c r="F1569" s="17">
        <f>IF($L1569="","",IF(INDEX(ExpType,$L1569)="","—",INDEX(ExpType,$L1569)))</f>
        <v/>
      </c>
      <c r="G1569" s="19">
        <f>IF($L1569="","",IF(INDEX(ExpDep,$L1569)=0,"",INDEX(ExpDep,$L1569)))</f>
        <v/>
      </c>
      <c r="H1569" s="19">
        <f>IF($L1569="","",IF(INDEX(ExpWit,$L1569)=0,"",INDEX(ExpWit,$L1569)))</f>
        <v/>
      </c>
      <c r="I1569" s="20">
        <f>IF($B1569="","",IF($I1568="",0,$I1568)+IF($H1569="",0,$H1569)-IF($G1569="",0,$G1569))</f>
        <v/>
      </c>
      <c r="J1569" s="18">
        <f>IF($L1569="","",IF(INDEX(ExpNote,$L1569)="","—",INDEX(ExpNote,$L1569)))</f>
        <v/>
      </c>
      <c r="L1569">
        <f>IFERROR(MATCH($C$5&amp;"|"&amp;RIGHT("000000"&amp;1553,6),ExpRankKey,0),"")</f>
        <v/>
      </c>
    </row>
    <row r="1570">
      <c r="A1570" s="21" t="n">
        <v>1554</v>
      </c>
      <c r="B1570" s="22">
        <f>IF($L1570="","",INDEX(ExpNorm,$L1570))</f>
        <v/>
      </c>
      <c r="C1570" s="22">
        <f>IF($L1570="","",IF(INDEX(ExpTime,$L1570)="","—",LEFT(INDEX(ExpTime,$L1570),2)&amp;":"&amp;RIGHT(INDEX(ExpTime,$L1570),2)))</f>
        <v/>
      </c>
      <c r="D1570" s="22">
        <f>IF($L1570="","",IF(INDEX(ExpBank,$L1570)="","—",INDEX(ExpBank,$L1570)))</f>
        <v/>
      </c>
      <c r="E1570" s="23">
        <f>IF($L1570="","",IF(INDEX(ExpParty,$L1570)="","—",IFERROR(VLOOKUP(INDEX(ExpParty,$L1570),AcctTbl,4,0),INDEX(ExpParty,$L1570))))</f>
        <v/>
      </c>
      <c r="F1570" s="22">
        <f>IF($L1570="","",IF(INDEX(ExpType,$L1570)="","—",INDEX(ExpType,$L1570)))</f>
        <v/>
      </c>
      <c r="G1570" s="24">
        <f>IF($L1570="","",IF(INDEX(ExpDep,$L1570)=0,"",INDEX(ExpDep,$L1570)))</f>
        <v/>
      </c>
      <c r="H1570" s="24">
        <f>IF($L1570="","",IF(INDEX(ExpWit,$L1570)=0,"",INDEX(ExpWit,$L1570)))</f>
        <v/>
      </c>
      <c r="I1570" s="25">
        <f>IF($B1570="","",IF($I1569="",0,$I1569)+IF($H1570="",0,$H1570)-IF($G1570="",0,$G1570))</f>
        <v/>
      </c>
      <c r="J1570" s="23">
        <f>IF($L1570="","",IF(INDEX(ExpNote,$L1570)="","—",INDEX(ExpNote,$L1570)))</f>
        <v/>
      </c>
      <c r="L1570">
        <f>IFERROR(MATCH($C$5&amp;"|"&amp;RIGHT("000000"&amp;1554,6),ExpRankKey,0),"")</f>
        <v/>
      </c>
    </row>
    <row r="1571">
      <c r="A1571" s="16" t="n">
        <v>1555</v>
      </c>
      <c r="B1571" s="17">
        <f>IF($L1571="","",INDEX(ExpNorm,$L1571))</f>
        <v/>
      </c>
      <c r="C1571" s="17">
        <f>IF($L1571="","",IF(INDEX(ExpTime,$L1571)="","—",LEFT(INDEX(ExpTime,$L1571),2)&amp;":"&amp;RIGHT(INDEX(ExpTime,$L1571),2)))</f>
        <v/>
      </c>
      <c r="D1571" s="17">
        <f>IF($L1571="","",IF(INDEX(ExpBank,$L1571)="","—",INDEX(ExpBank,$L1571)))</f>
        <v/>
      </c>
      <c r="E1571" s="18">
        <f>IF($L1571="","",IF(INDEX(ExpParty,$L1571)="","—",IFERROR(VLOOKUP(INDEX(ExpParty,$L1571),AcctTbl,4,0),INDEX(ExpParty,$L1571))))</f>
        <v/>
      </c>
      <c r="F1571" s="17">
        <f>IF($L1571="","",IF(INDEX(ExpType,$L1571)="","—",INDEX(ExpType,$L1571)))</f>
        <v/>
      </c>
      <c r="G1571" s="19">
        <f>IF($L1571="","",IF(INDEX(ExpDep,$L1571)=0,"",INDEX(ExpDep,$L1571)))</f>
        <v/>
      </c>
      <c r="H1571" s="19">
        <f>IF($L1571="","",IF(INDEX(ExpWit,$L1571)=0,"",INDEX(ExpWit,$L1571)))</f>
        <v/>
      </c>
      <c r="I1571" s="20">
        <f>IF($B1571="","",IF($I1570="",0,$I1570)+IF($H1571="",0,$H1571)-IF($G1571="",0,$G1571))</f>
        <v/>
      </c>
      <c r="J1571" s="18">
        <f>IF($L1571="","",IF(INDEX(ExpNote,$L1571)="","—",INDEX(ExpNote,$L1571)))</f>
        <v/>
      </c>
      <c r="L1571">
        <f>IFERROR(MATCH($C$5&amp;"|"&amp;RIGHT("000000"&amp;1555,6),ExpRankKey,0),"")</f>
        <v/>
      </c>
    </row>
    <row r="1572">
      <c r="A1572" s="21" t="n">
        <v>1556</v>
      </c>
      <c r="B1572" s="22">
        <f>IF($L1572="","",INDEX(ExpNorm,$L1572))</f>
        <v/>
      </c>
      <c r="C1572" s="22">
        <f>IF($L1572="","",IF(INDEX(ExpTime,$L1572)="","—",LEFT(INDEX(ExpTime,$L1572),2)&amp;":"&amp;RIGHT(INDEX(ExpTime,$L1572),2)))</f>
        <v/>
      </c>
      <c r="D1572" s="22">
        <f>IF($L1572="","",IF(INDEX(ExpBank,$L1572)="","—",INDEX(ExpBank,$L1572)))</f>
        <v/>
      </c>
      <c r="E1572" s="23">
        <f>IF($L1572="","",IF(INDEX(ExpParty,$L1572)="","—",IFERROR(VLOOKUP(INDEX(ExpParty,$L1572),AcctTbl,4,0),INDEX(ExpParty,$L1572))))</f>
        <v/>
      </c>
      <c r="F1572" s="22">
        <f>IF($L1572="","",IF(INDEX(ExpType,$L1572)="","—",INDEX(ExpType,$L1572)))</f>
        <v/>
      </c>
      <c r="G1572" s="24">
        <f>IF($L1572="","",IF(INDEX(ExpDep,$L1572)=0,"",INDEX(ExpDep,$L1572)))</f>
        <v/>
      </c>
      <c r="H1572" s="24">
        <f>IF($L1572="","",IF(INDEX(ExpWit,$L1572)=0,"",INDEX(ExpWit,$L1572)))</f>
        <v/>
      </c>
      <c r="I1572" s="25">
        <f>IF($B1572="","",IF($I1571="",0,$I1571)+IF($H1572="",0,$H1572)-IF($G1572="",0,$G1572))</f>
        <v/>
      </c>
      <c r="J1572" s="23">
        <f>IF($L1572="","",IF(INDEX(ExpNote,$L1572)="","—",INDEX(ExpNote,$L1572)))</f>
        <v/>
      </c>
      <c r="L1572">
        <f>IFERROR(MATCH($C$5&amp;"|"&amp;RIGHT("000000"&amp;1556,6),ExpRankKey,0),"")</f>
        <v/>
      </c>
    </row>
    <row r="1573">
      <c r="A1573" s="16" t="n">
        <v>1557</v>
      </c>
      <c r="B1573" s="17">
        <f>IF($L1573="","",INDEX(ExpNorm,$L1573))</f>
        <v/>
      </c>
      <c r="C1573" s="17">
        <f>IF($L1573="","",IF(INDEX(ExpTime,$L1573)="","—",LEFT(INDEX(ExpTime,$L1573),2)&amp;":"&amp;RIGHT(INDEX(ExpTime,$L1573),2)))</f>
        <v/>
      </c>
      <c r="D1573" s="17">
        <f>IF($L1573="","",IF(INDEX(ExpBank,$L1573)="","—",INDEX(ExpBank,$L1573)))</f>
        <v/>
      </c>
      <c r="E1573" s="18">
        <f>IF($L1573="","",IF(INDEX(ExpParty,$L1573)="","—",IFERROR(VLOOKUP(INDEX(ExpParty,$L1573),AcctTbl,4,0),INDEX(ExpParty,$L1573))))</f>
        <v/>
      </c>
      <c r="F1573" s="17">
        <f>IF($L1573="","",IF(INDEX(ExpType,$L1573)="","—",INDEX(ExpType,$L1573)))</f>
        <v/>
      </c>
      <c r="G1573" s="19">
        <f>IF($L1573="","",IF(INDEX(ExpDep,$L1573)=0,"",INDEX(ExpDep,$L1573)))</f>
        <v/>
      </c>
      <c r="H1573" s="19">
        <f>IF($L1573="","",IF(INDEX(ExpWit,$L1573)=0,"",INDEX(ExpWit,$L1573)))</f>
        <v/>
      </c>
      <c r="I1573" s="20">
        <f>IF($B1573="","",IF($I1572="",0,$I1572)+IF($H1573="",0,$H1573)-IF($G1573="",0,$G1573))</f>
        <v/>
      </c>
      <c r="J1573" s="18">
        <f>IF($L1573="","",IF(INDEX(ExpNote,$L1573)="","—",INDEX(ExpNote,$L1573)))</f>
        <v/>
      </c>
      <c r="L1573">
        <f>IFERROR(MATCH($C$5&amp;"|"&amp;RIGHT("000000"&amp;1557,6),ExpRankKey,0),"")</f>
        <v/>
      </c>
    </row>
    <row r="1574">
      <c r="A1574" s="21" t="n">
        <v>1558</v>
      </c>
      <c r="B1574" s="22">
        <f>IF($L1574="","",INDEX(ExpNorm,$L1574))</f>
        <v/>
      </c>
      <c r="C1574" s="22">
        <f>IF($L1574="","",IF(INDEX(ExpTime,$L1574)="","—",LEFT(INDEX(ExpTime,$L1574),2)&amp;":"&amp;RIGHT(INDEX(ExpTime,$L1574),2)))</f>
        <v/>
      </c>
      <c r="D1574" s="22">
        <f>IF($L1574="","",IF(INDEX(ExpBank,$L1574)="","—",INDEX(ExpBank,$L1574)))</f>
        <v/>
      </c>
      <c r="E1574" s="23">
        <f>IF($L1574="","",IF(INDEX(ExpParty,$L1574)="","—",IFERROR(VLOOKUP(INDEX(ExpParty,$L1574),AcctTbl,4,0),INDEX(ExpParty,$L1574))))</f>
        <v/>
      </c>
      <c r="F1574" s="22">
        <f>IF($L1574="","",IF(INDEX(ExpType,$L1574)="","—",INDEX(ExpType,$L1574)))</f>
        <v/>
      </c>
      <c r="G1574" s="24">
        <f>IF($L1574="","",IF(INDEX(ExpDep,$L1574)=0,"",INDEX(ExpDep,$L1574)))</f>
        <v/>
      </c>
      <c r="H1574" s="24">
        <f>IF($L1574="","",IF(INDEX(ExpWit,$L1574)=0,"",INDEX(ExpWit,$L1574)))</f>
        <v/>
      </c>
      <c r="I1574" s="25">
        <f>IF($B1574="","",IF($I1573="",0,$I1573)+IF($H1574="",0,$H1574)-IF($G1574="",0,$G1574))</f>
        <v/>
      </c>
      <c r="J1574" s="23">
        <f>IF($L1574="","",IF(INDEX(ExpNote,$L1574)="","—",INDEX(ExpNote,$L1574)))</f>
        <v/>
      </c>
      <c r="L1574">
        <f>IFERROR(MATCH($C$5&amp;"|"&amp;RIGHT("000000"&amp;1558,6),ExpRankKey,0),"")</f>
        <v/>
      </c>
    </row>
    <row r="1575">
      <c r="A1575" s="16" t="n">
        <v>1559</v>
      </c>
      <c r="B1575" s="17">
        <f>IF($L1575="","",INDEX(ExpNorm,$L1575))</f>
        <v/>
      </c>
      <c r="C1575" s="17">
        <f>IF($L1575="","",IF(INDEX(ExpTime,$L1575)="","—",LEFT(INDEX(ExpTime,$L1575),2)&amp;":"&amp;RIGHT(INDEX(ExpTime,$L1575),2)))</f>
        <v/>
      </c>
      <c r="D1575" s="17">
        <f>IF($L1575="","",IF(INDEX(ExpBank,$L1575)="","—",INDEX(ExpBank,$L1575)))</f>
        <v/>
      </c>
      <c r="E1575" s="18">
        <f>IF($L1575="","",IF(INDEX(ExpParty,$L1575)="","—",IFERROR(VLOOKUP(INDEX(ExpParty,$L1575),AcctTbl,4,0),INDEX(ExpParty,$L1575))))</f>
        <v/>
      </c>
      <c r="F1575" s="17">
        <f>IF($L1575="","",IF(INDEX(ExpType,$L1575)="","—",INDEX(ExpType,$L1575)))</f>
        <v/>
      </c>
      <c r="G1575" s="19">
        <f>IF($L1575="","",IF(INDEX(ExpDep,$L1575)=0,"",INDEX(ExpDep,$L1575)))</f>
        <v/>
      </c>
      <c r="H1575" s="19">
        <f>IF($L1575="","",IF(INDEX(ExpWit,$L1575)=0,"",INDEX(ExpWit,$L1575)))</f>
        <v/>
      </c>
      <c r="I1575" s="20">
        <f>IF($B1575="","",IF($I1574="",0,$I1574)+IF($H1575="",0,$H1575)-IF($G1575="",0,$G1575))</f>
        <v/>
      </c>
      <c r="J1575" s="18">
        <f>IF($L1575="","",IF(INDEX(ExpNote,$L1575)="","—",INDEX(ExpNote,$L1575)))</f>
        <v/>
      </c>
      <c r="L1575">
        <f>IFERROR(MATCH($C$5&amp;"|"&amp;RIGHT("000000"&amp;1559,6),ExpRankKey,0),"")</f>
        <v/>
      </c>
    </row>
    <row r="1576">
      <c r="A1576" s="21" t="n">
        <v>1560</v>
      </c>
      <c r="B1576" s="22">
        <f>IF($L1576="","",INDEX(ExpNorm,$L1576))</f>
        <v/>
      </c>
      <c r="C1576" s="22">
        <f>IF($L1576="","",IF(INDEX(ExpTime,$L1576)="","—",LEFT(INDEX(ExpTime,$L1576),2)&amp;":"&amp;RIGHT(INDEX(ExpTime,$L1576),2)))</f>
        <v/>
      </c>
      <c r="D1576" s="22">
        <f>IF($L1576="","",IF(INDEX(ExpBank,$L1576)="","—",INDEX(ExpBank,$L1576)))</f>
        <v/>
      </c>
      <c r="E1576" s="23">
        <f>IF($L1576="","",IF(INDEX(ExpParty,$L1576)="","—",IFERROR(VLOOKUP(INDEX(ExpParty,$L1576),AcctTbl,4,0),INDEX(ExpParty,$L1576))))</f>
        <v/>
      </c>
      <c r="F1576" s="22">
        <f>IF($L1576="","",IF(INDEX(ExpType,$L1576)="","—",INDEX(ExpType,$L1576)))</f>
        <v/>
      </c>
      <c r="G1576" s="24">
        <f>IF($L1576="","",IF(INDEX(ExpDep,$L1576)=0,"",INDEX(ExpDep,$L1576)))</f>
        <v/>
      </c>
      <c r="H1576" s="24">
        <f>IF($L1576="","",IF(INDEX(ExpWit,$L1576)=0,"",INDEX(ExpWit,$L1576)))</f>
        <v/>
      </c>
      <c r="I1576" s="25">
        <f>IF($B1576="","",IF($I1575="",0,$I1575)+IF($H1576="",0,$H1576)-IF($G1576="",0,$G1576))</f>
        <v/>
      </c>
      <c r="J1576" s="23">
        <f>IF($L1576="","",IF(INDEX(ExpNote,$L1576)="","—",INDEX(ExpNote,$L1576)))</f>
        <v/>
      </c>
      <c r="L1576">
        <f>IFERROR(MATCH($C$5&amp;"|"&amp;RIGHT("000000"&amp;1560,6),ExpRankKey,0),"")</f>
        <v/>
      </c>
    </row>
    <row r="1577">
      <c r="A1577" s="16" t="n">
        <v>1561</v>
      </c>
      <c r="B1577" s="17">
        <f>IF($L1577="","",INDEX(ExpNorm,$L1577))</f>
        <v/>
      </c>
      <c r="C1577" s="17">
        <f>IF($L1577="","",IF(INDEX(ExpTime,$L1577)="","—",LEFT(INDEX(ExpTime,$L1577),2)&amp;":"&amp;RIGHT(INDEX(ExpTime,$L1577),2)))</f>
        <v/>
      </c>
      <c r="D1577" s="17">
        <f>IF($L1577="","",IF(INDEX(ExpBank,$L1577)="","—",INDEX(ExpBank,$L1577)))</f>
        <v/>
      </c>
      <c r="E1577" s="18">
        <f>IF($L1577="","",IF(INDEX(ExpParty,$L1577)="","—",IFERROR(VLOOKUP(INDEX(ExpParty,$L1577),AcctTbl,4,0),INDEX(ExpParty,$L1577))))</f>
        <v/>
      </c>
      <c r="F1577" s="17">
        <f>IF($L1577="","",IF(INDEX(ExpType,$L1577)="","—",INDEX(ExpType,$L1577)))</f>
        <v/>
      </c>
      <c r="G1577" s="19">
        <f>IF($L1577="","",IF(INDEX(ExpDep,$L1577)=0,"",INDEX(ExpDep,$L1577)))</f>
        <v/>
      </c>
      <c r="H1577" s="19">
        <f>IF($L1577="","",IF(INDEX(ExpWit,$L1577)=0,"",INDEX(ExpWit,$L1577)))</f>
        <v/>
      </c>
      <c r="I1577" s="20">
        <f>IF($B1577="","",IF($I1576="",0,$I1576)+IF($H1577="",0,$H1577)-IF($G1577="",0,$G1577))</f>
        <v/>
      </c>
      <c r="J1577" s="18">
        <f>IF($L1577="","",IF(INDEX(ExpNote,$L1577)="","—",INDEX(ExpNote,$L1577)))</f>
        <v/>
      </c>
      <c r="L1577">
        <f>IFERROR(MATCH($C$5&amp;"|"&amp;RIGHT("000000"&amp;1561,6),ExpRankKey,0),"")</f>
        <v/>
      </c>
    </row>
    <row r="1578">
      <c r="A1578" s="21" t="n">
        <v>1562</v>
      </c>
      <c r="B1578" s="22">
        <f>IF($L1578="","",INDEX(ExpNorm,$L1578))</f>
        <v/>
      </c>
      <c r="C1578" s="22">
        <f>IF($L1578="","",IF(INDEX(ExpTime,$L1578)="","—",LEFT(INDEX(ExpTime,$L1578),2)&amp;":"&amp;RIGHT(INDEX(ExpTime,$L1578),2)))</f>
        <v/>
      </c>
      <c r="D1578" s="22">
        <f>IF($L1578="","",IF(INDEX(ExpBank,$L1578)="","—",INDEX(ExpBank,$L1578)))</f>
        <v/>
      </c>
      <c r="E1578" s="23">
        <f>IF($L1578="","",IF(INDEX(ExpParty,$L1578)="","—",IFERROR(VLOOKUP(INDEX(ExpParty,$L1578),AcctTbl,4,0),INDEX(ExpParty,$L1578))))</f>
        <v/>
      </c>
      <c r="F1578" s="22">
        <f>IF($L1578="","",IF(INDEX(ExpType,$L1578)="","—",INDEX(ExpType,$L1578)))</f>
        <v/>
      </c>
      <c r="G1578" s="24">
        <f>IF($L1578="","",IF(INDEX(ExpDep,$L1578)=0,"",INDEX(ExpDep,$L1578)))</f>
        <v/>
      </c>
      <c r="H1578" s="24">
        <f>IF($L1578="","",IF(INDEX(ExpWit,$L1578)=0,"",INDEX(ExpWit,$L1578)))</f>
        <v/>
      </c>
      <c r="I1578" s="25">
        <f>IF($B1578="","",IF($I1577="",0,$I1577)+IF($H1578="",0,$H1578)-IF($G1578="",0,$G1578))</f>
        <v/>
      </c>
      <c r="J1578" s="23">
        <f>IF($L1578="","",IF(INDEX(ExpNote,$L1578)="","—",INDEX(ExpNote,$L1578)))</f>
        <v/>
      </c>
      <c r="L1578">
        <f>IFERROR(MATCH($C$5&amp;"|"&amp;RIGHT("000000"&amp;1562,6),ExpRankKey,0),"")</f>
        <v/>
      </c>
    </row>
    <row r="1579">
      <c r="A1579" s="16" t="n">
        <v>1563</v>
      </c>
      <c r="B1579" s="17">
        <f>IF($L1579="","",INDEX(ExpNorm,$L1579))</f>
        <v/>
      </c>
      <c r="C1579" s="17">
        <f>IF($L1579="","",IF(INDEX(ExpTime,$L1579)="","—",LEFT(INDEX(ExpTime,$L1579),2)&amp;":"&amp;RIGHT(INDEX(ExpTime,$L1579),2)))</f>
        <v/>
      </c>
      <c r="D1579" s="17">
        <f>IF($L1579="","",IF(INDEX(ExpBank,$L1579)="","—",INDEX(ExpBank,$L1579)))</f>
        <v/>
      </c>
      <c r="E1579" s="18">
        <f>IF($L1579="","",IF(INDEX(ExpParty,$L1579)="","—",IFERROR(VLOOKUP(INDEX(ExpParty,$L1579),AcctTbl,4,0),INDEX(ExpParty,$L1579))))</f>
        <v/>
      </c>
      <c r="F1579" s="17">
        <f>IF($L1579="","",IF(INDEX(ExpType,$L1579)="","—",INDEX(ExpType,$L1579)))</f>
        <v/>
      </c>
      <c r="G1579" s="19">
        <f>IF($L1579="","",IF(INDEX(ExpDep,$L1579)=0,"",INDEX(ExpDep,$L1579)))</f>
        <v/>
      </c>
      <c r="H1579" s="19">
        <f>IF($L1579="","",IF(INDEX(ExpWit,$L1579)=0,"",INDEX(ExpWit,$L1579)))</f>
        <v/>
      </c>
      <c r="I1579" s="20">
        <f>IF($B1579="","",IF($I1578="",0,$I1578)+IF($H1579="",0,$H1579)-IF($G1579="",0,$G1579))</f>
        <v/>
      </c>
      <c r="J1579" s="18">
        <f>IF($L1579="","",IF(INDEX(ExpNote,$L1579)="","—",INDEX(ExpNote,$L1579)))</f>
        <v/>
      </c>
      <c r="L1579">
        <f>IFERROR(MATCH($C$5&amp;"|"&amp;RIGHT("000000"&amp;1563,6),ExpRankKey,0),"")</f>
        <v/>
      </c>
    </row>
    <row r="1580">
      <c r="A1580" s="21" t="n">
        <v>1564</v>
      </c>
      <c r="B1580" s="22">
        <f>IF($L1580="","",INDEX(ExpNorm,$L1580))</f>
        <v/>
      </c>
      <c r="C1580" s="22">
        <f>IF($L1580="","",IF(INDEX(ExpTime,$L1580)="","—",LEFT(INDEX(ExpTime,$L1580),2)&amp;":"&amp;RIGHT(INDEX(ExpTime,$L1580),2)))</f>
        <v/>
      </c>
      <c r="D1580" s="22">
        <f>IF($L1580="","",IF(INDEX(ExpBank,$L1580)="","—",INDEX(ExpBank,$L1580)))</f>
        <v/>
      </c>
      <c r="E1580" s="23">
        <f>IF($L1580="","",IF(INDEX(ExpParty,$L1580)="","—",IFERROR(VLOOKUP(INDEX(ExpParty,$L1580),AcctTbl,4,0),INDEX(ExpParty,$L1580))))</f>
        <v/>
      </c>
      <c r="F1580" s="22">
        <f>IF($L1580="","",IF(INDEX(ExpType,$L1580)="","—",INDEX(ExpType,$L1580)))</f>
        <v/>
      </c>
      <c r="G1580" s="24">
        <f>IF($L1580="","",IF(INDEX(ExpDep,$L1580)=0,"",INDEX(ExpDep,$L1580)))</f>
        <v/>
      </c>
      <c r="H1580" s="24">
        <f>IF($L1580="","",IF(INDEX(ExpWit,$L1580)=0,"",INDEX(ExpWit,$L1580)))</f>
        <v/>
      </c>
      <c r="I1580" s="25">
        <f>IF($B1580="","",IF($I1579="",0,$I1579)+IF($H1580="",0,$H1580)-IF($G1580="",0,$G1580))</f>
        <v/>
      </c>
      <c r="J1580" s="23">
        <f>IF($L1580="","",IF(INDEX(ExpNote,$L1580)="","—",INDEX(ExpNote,$L1580)))</f>
        <v/>
      </c>
      <c r="L1580">
        <f>IFERROR(MATCH($C$5&amp;"|"&amp;RIGHT("000000"&amp;1564,6),ExpRankKey,0),"")</f>
        <v/>
      </c>
    </row>
    <row r="1581">
      <c r="A1581" s="16" t="n">
        <v>1565</v>
      </c>
      <c r="B1581" s="17">
        <f>IF($L1581="","",INDEX(ExpNorm,$L1581))</f>
        <v/>
      </c>
      <c r="C1581" s="17">
        <f>IF($L1581="","",IF(INDEX(ExpTime,$L1581)="","—",LEFT(INDEX(ExpTime,$L1581),2)&amp;":"&amp;RIGHT(INDEX(ExpTime,$L1581),2)))</f>
        <v/>
      </c>
      <c r="D1581" s="17">
        <f>IF($L1581="","",IF(INDEX(ExpBank,$L1581)="","—",INDEX(ExpBank,$L1581)))</f>
        <v/>
      </c>
      <c r="E1581" s="18">
        <f>IF($L1581="","",IF(INDEX(ExpParty,$L1581)="","—",IFERROR(VLOOKUP(INDEX(ExpParty,$L1581),AcctTbl,4,0),INDEX(ExpParty,$L1581))))</f>
        <v/>
      </c>
      <c r="F1581" s="17">
        <f>IF($L1581="","",IF(INDEX(ExpType,$L1581)="","—",INDEX(ExpType,$L1581)))</f>
        <v/>
      </c>
      <c r="G1581" s="19">
        <f>IF($L1581="","",IF(INDEX(ExpDep,$L1581)=0,"",INDEX(ExpDep,$L1581)))</f>
        <v/>
      </c>
      <c r="H1581" s="19">
        <f>IF($L1581="","",IF(INDEX(ExpWit,$L1581)=0,"",INDEX(ExpWit,$L1581)))</f>
        <v/>
      </c>
      <c r="I1581" s="20">
        <f>IF($B1581="","",IF($I1580="",0,$I1580)+IF($H1581="",0,$H1581)-IF($G1581="",0,$G1581))</f>
        <v/>
      </c>
      <c r="J1581" s="18">
        <f>IF($L1581="","",IF(INDEX(ExpNote,$L1581)="","—",INDEX(ExpNote,$L1581)))</f>
        <v/>
      </c>
      <c r="L1581">
        <f>IFERROR(MATCH($C$5&amp;"|"&amp;RIGHT("000000"&amp;1565,6),ExpRankKey,0),"")</f>
        <v/>
      </c>
    </row>
    <row r="1582">
      <c r="A1582" s="21" t="n">
        <v>1566</v>
      </c>
      <c r="B1582" s="22">
        <f>IF($L1582="","",INDEX(ExpNorm,$L1582))</f>
        <v/>
      </c>
      <c r="C1582" s="22">
        <f>IF($L1582="","",IF(INDEX(ExpTime,$L1582)="","—",LEFT(INDEX(ExpTime,$L1582),2)&amp;":"&amp;RIGHT(INDEX(ExpTime,$L1582),2)))</f>
        <v/>
      </c>
      <c r="D1582" s="22">
        <f>IF($L1582="","",IF(INDEX(ExpBank,$L1582)="","—",INDEX(ExpBank,$L1582)))</f>
        <v/>
      </c>
      <c r="E1582" s="23">
        <f>IF($L1582="","",IF(INDEX(ExpParty,$L1582)="","—",IFERROR(VLOOKUP(INDEX(ExpParty,$L1582),AcctTbl,4,0),INDEX(ExpParty,$L1582))))</f>
        <v/>
      </c>
      <c r="F1582" s="22">
        <f>IF($L1582="","",IF(INDEX(ExpType,$L1582)="","—",INDEX(ExpType,$L1582)))</f>
        <v/>
      </c>
      <c r="G1582" s="24">
        <f>IF($L1582="","",IF(INDEX(ExpDep,$L1582)=0,"",INDEX(ExpDep,$L1582)))</f>
        <v/>
      </c>
      <c r="H1582" s="24">
        <f>IF($L1582="","",IF(INDEX(ExpWit,$L1582)=0,"",INDEX(ExpWit,$L1582)))</f>
        <v/>
      </c>
      <c r="I1582" s="25">
        <f>IF($B1582="","",IF($I1581="",0,$I1581)+IF($H1582="",0,$H1582)-IF($G1582="",0,$G1582))</f>
        <v/>
      </c>
      <c r="J1582" s="23">
        <f>IF($L1582="","",IF(INDEX(ExpNote,$L1582)="","—",INDEX(ExpNote,$L1582)))</f>
        <v/>
      </c>
      <c r="L1582">
        <f>IFERROR(MATCH($C$5&amp;"|"&amp;RIGHT("000000"&amp;1566,6),ExpRankKey,0),"")</f>
        <v/>
      </c>
    </row>
    <row r="1583">
      <c r="A1583" s="16" t="n">
        <v>1567</v>
      </c>
      <c r="B1583" s="17">
        <f>IF($L1583="","",INDEX(ExpNorm,$L1583))</f>
        <v/>
      </c>
      <c r="C1583" s="17">
        <f>IF($L1583="","",IF(INDEX(ExpTime,$L1583)="","—",LEFT(INDEX(ExpTime,$L1583),2)&amp;":"&amp;RIGHT(INDEX(ExpTime,$L1583),2)))</f>
        <v/>
      </c>
      <c r="D1583" s="17">
        <f>IF($L1583="","",IF(INDEX(ExpBank,$L1583)="","—",INDEX(ExpBank,$L1583)))</f>
        <v/>
      </c>
      <c r="E1583" s="18">
        <f>IF($L1583="","",IF(INDEX(ExpParty,$L1583)="","—",IFERROR(VLOOKUP(INDEX(ExpParty,$L1583),AcctTbl,4,0),INDEX(ExpParty,$L1583))))</f>
        <v/>
      </c>
      <c r="F1583" s="17">
        <f>IF($L1583="","",IF(INDEX(ExpType,$L1583)="","—",INDEX(ExpType,$L1583)))</f>
        <v/>
      </c>
      <c r="G1583" s="19">
        <f>IF($L1583="","",IF(INDEX(ExpDep,$L1583)=0,"",INDEX(ExpDep,$L1583)))</f>
        <v/>
      </c>
      <c r="H1583" s="19">
        <f>IF($L1583="","",IF(INDEX(ExpWit,$L1583)=0,"",INDEX(ExpWit,$L1583)))</f>
        <v/>
      </c>
      <c r="I1583" s="20">
        <f>IF($B1583="","",IF($I1582="",0,$I1582)+IF($H1583="",0,$H1583)-IF($G1583="",0,$G1583))</f>
        <v/>
      </c>
      <c r="J1583" s="18">
        <f>IF($L1583="","",IF(INDEX(ExpNote,$L1583)="","—",INDEX(ExpNote,$L1583)))</f>
        <v/>
      </c>
      <c r="L1583">
        <f>IFERROR(MATCH($C$5&amp;"|"&amp;RIGHT("000000"&amp;1567,6),ExpRankKey,0),"")</f>
        <v/>
      </c>
    </row>
    <row r="1584">
      <c r="A1584" s="21" t="n">
        <v>1568</v>
      </c>
      <c r="B1584" s="22">
        <f>IF($L1584="","",INDEX(ExpNorm,$L1584))</f>
        <v/>
      </c>
      <c r="C1584" s="22">
        <f>IF($L1584="","",IF(INDEX(ExpTime,$L1584)="","—",LEFT(INDEX(ExpTime,$L1584),2)&amp;":"&amp;RIGHT(INDEX(ExpTime,$L1584),2)))</f>
        <v/>
      </c>
      <c r="D1584" s="22">
        <f>IF($L1584="","",IF(INDEX(ExpBank,$L1584)="","—",INDEX(ExpBank,$L1584)))</f>
        <v/>
      </c>
      <c r="E1584" s="23">
        <f>IF($L1584="","",IF(INDEX(ExpParty,$L1584)="","—",IFERROR(VLOOKUP(INDEX(ExpParty,$L1584),AcctTbl,4,0),INDEX(ExpParty,$L1584))))</f>
        <v/>
      </c>
      <c r="F1584" s="22">
        <f>IF($L1584="","",IF(INDEX(ExpType,$L1584)="","—",INDEX(ExpType,$L1584)))</f>
        <v/>
      </c>
      <c r="G1584" s="24">
        <f>IF($L1584="","",IF(INDEX(ExpDep,$L1584)=0,"",INDEX(ExpDep,$L1584)))</f>
        <v/>
      </c>
      <c r="H1584" s="24">
        <f>IF($L1584="","",IF(INDEX(ExpWit,$L1584)=0,"",INDEX(ExpWit,$L1584)))</f>
        <v/>
      </c>
      <c r="I1584" s="25">
        <f>IF($B1584="","",IF($I1583="",0,$I1583)+IF($H1584="",0,$H1584)-IF($G1584="",0,$G1584))</f>
        <v/>
      </c>
      <c r="J1584" s="23">
        <f>IF($L1584="","",IF(INDEX(ExpNote,$L1584)="","—",INDEX(ExpNote,$L1584)))</f>
        <v/>
      </c>
      <c r="L1584">
        <f>IFERROR(MATCH($C$5&amp;"|"&amp;RIGHT("000000"&amp;1568,6),ExpRankKey,0),"")</f>
        <v/>
      </c>
    </row>
    <row r="1585">
      <c r="A1585" s="16" t="n">
        <v>1569</v>
      </c>
      <c r="B1585" s="17">
        <f>IF($L1585="","",INDEX(ExpNorm,$L1585))</f>
        <v/>
      </c>
      <c r="C1585" s="17">
        <f>IF($L1585="","",IF(INDEX(ExpTime,$L1585)="","—",LEFT(INDEX(ExpTime,$L1585),2)&amp;":"&amp;RIGHT(INDEX(ExpTime,$L1585),2)))</f>
        <v/>
      </c>
      <c r="D1585" s="17">
        <f>IF($L1585="","",IF(INDEX(ExpBank,$L1585)="","—",INDEX(ExpBank,$L1585)))</f>
        <v/>
      </c>
      <c r="E1585" s="18">
        <f>IF($L1585="","",IF(INDEX(ExpParty,$L1585)="","—",IFERROR(VLOOKUP(INDEX(ExpParty,$L1585),AcctTbl,4,0),INDEX(ExpParty,$L1585))))</f>
        <v/>
      </c>
      <c r="F1585" s="17">
        <f>IF($L1585="","",IF(INDEX(ExpType,$L1585)="","—",INDEX(ExpType,$L1585)))</f>
        <v/>
      </c>
      <c r="G1585" s="19">
        <f>IF($L1585="","",IF(INDEX(ExpDep,$L1585)=0,"",INDEX(ExpDep,$L1585)))</f>
        <v/>
      </c>
      <c r="H1585" s="19">
        <f>IF($L1585="","",IF(INDEX(ExpWit,$L1585)=0,"",INDEX(ExpWit,$L1585)))</f>
        <v/>
      </c>
      <c r="I1585" s="20">
        <f>IF($B1585="","",IF($I1584="",0,$I1584)+IF($H1585="",0,$H1585)-IF($G1585="",0,$G1585))</f>
        <v/>
      </c>
      <c r="J1585" s="18">
        <f>IF($L1585="","",IF(INDEX(ExpNote,$L1585)="","—",INDEX(ExpNote,$L1585)))</f>
        <v/>
      </c>
      <c r="L1585">
        <f>IFERROR(MATCH($C$5&amp;"|"&amp;RIGHT("000000"&amp;1569,6),ExpRankKey,0),"")</f>
        <v/>
      </c>
    </row>
    <row r="1586">
      <c r="A1586" s="21" t="n">
        <v>1570</v>
      </c>
      <c r="B1586" s="22">
        <f>IF($L1586="","",INDEX(ExpNorm,$L1586))</f>
        <v/>
      </c>
      <c r="C1586" s="22">
        <f>IF($L1586="","",IF(INDEX(ExpTime,$L1586)="","—",LEFT(INDEX(ExpTime,$L1586),2)&amp;":"&amp;RIGHT(INDEX(ExpTime,$L1586),2)))</f>
        <v/>
      </c>
      <c r="D1586" s="22">
        <f>IF($L1586="","",IF(INDEX(ExpBank,$L1586)="","—",INDEX(ExpBank,$L1586)))</f>
        <v/>
      </c>
      <c r="E1586" s="23">
        <f>IF($L1586="","",IF(INDEX(ExpParty,$L1586)="","—",IFERROR(VLOOKUP(INDEX(ExpParty,$L1586),AcctTbl,4,0),INDEX(ExpParty,$L1586))))</f>
        <v/>
      </c>
      <c r="F1586" s="22">
        <f>IF($L1586="","",IF(INDEX(ExpType,$L1586)="","—",INDEX(ExpType,$L1586)))</f>
        <v/>
      </c>
      <c r="G1586" s="24">
        <f>IF($L1586="","",IF(INDEX(ExpDep,$L1586)=0,"",INDEX(ExpDep,$L1586)))</f>
        <v/>
      </c>
      <c r="H1586" s="24">
        <f>IF($L1586="","",IF(INDEX(ExpWit,$L1586)=0,"",INDEX(ExpWit,$L1586)))</f>
        <v/>
      </c>
      <c r="I1586" s="25">
        <f>IF($B1586="","",IF($I1585="",0,$I1585)+IF($H1586="",0,$H1586)-IF($G1586="",0,$G1586))</f>
        <v/>
      </c>
      <c r="J1586" s="23">
        <f>IF($L1586="","",IF(INDEX(ExpNote,$L1586)="","—",INDEX(ExpNote,$L1586)))</f>
        <v/>
      </c>
      <c r="L1586">
        <f>IFERROR(MATCH($C$5&amp;"|"&amp;RIGHT("000000"&amp;1570,6),ExpRankKey,0),"")</f>
        <v/>
      </c>
    </row>
    <row r="1587">
      <c r="A1587" s="16" t="n">
        <v>1571</v>
      </c>
      <c r="B1587" s="17">
        <f>IF($L1587="","",INDEX(ExpNorm,$L1587))</f>
        <v/>
      </c>
      <c r="C1587" s="17">
        <f>IF($L1587="","",IF(INDEX(ExpTime,$L1587)="","—",LEFT(INDEX(ExpTime,$L1587),2)&amp;":"&amp;RIGHT(INDEX(ExpTime,$L1587),2)))</f>
        <v/>
      </c>
      <c r="D1587" s="17">
        <f>IF($L1587="","",IF(INDEX(ExpBank,$L1587)="","—",INDEX(ExpBank,$L1587)))</f>
        <v/>
      </c>
      <c r="E1587" s="18">
        <f>IF($L1587="","",IF(INDEX(ExpParty,$L1587)="","—",IFERROR(VLOOKUP(INDEX(ExpParty,$L1587),AcctTbl,4,0),INDEX(ExpParty,$L1587))))</f>
        <v/>
      </c>
      <c r="F1587" s="17">
        <f>IF($L1587="","",IF(INDEX(ExpType,$L1587)="","—",INDEX(ExpType,$L1587)))</f>
        <v/>
      </c>
      <c r="G1587" s="19">
        <f>IF($L1587="","",IF(INDEX(ExpDep,$L1587)=0,"",INDEX(ExpDep,$L1587)))</f>
        <v/>
      </c>
      <c r="H1587" s="19">
        <f>IF($L1587="","",IF(INDEX(ExpWit,$L1587)=0,"",INDEX(ExpWit,$L1587)))</f>
        <v/>
      </c>
      <c r="I1587" s="20">
        <f>IF($B1587="","",IF($I1586="",0,$I1586)+IF($H1587="",0,$H1587)-IF($G1587="",0,$G1587))</f>
        <v/>
      </c>
      <c r="J1587" s="18">
        <f>IF($L1587="","",IF(INDEX(ExpNote,$L1587)="","—",INDEX(ExpNote,$L1587)))</f>
        <v/>
      </c>
      <c r="L1587">
        <f>IFERROR(MATCH($C$5&amp;"|"&amp;RIGHT("000000"&amp;1571,6),ExpRankKey,0),"")</f>
        <v/>
      </c>
    </row>
    <row r="1588">
      <c r="A1588" s="21" t="n">
        <v>1572</v>
      </c>
      <c r="B1588" s="22">
        <f>IF($L1588="","",INDEX(ExpNorm,$L1588))</f>
        <v/>
      </c>
      <c r="C1588" s="22">
        <f>IF($L1588="","",IF(INDEX(ExpTime,$L1588)="","—",LEFT(INDEX(ExpTime,$L1588),2)&amp;":"&amp;RIGHT(INDEX(ExpTime,$L1588),2)))</f>
        <v/>
      </c>
      <c r="D1588" s="22">
        <f>IF($L1588="","",IF(INDEX(ExpBank,$L1588)="","—",INDEX(ExpBank,$L1588)))</f>
        <v/>
      </c>
      <c r="E1588" s="23">
        <f>IF($L1588="","",IF(INDEX(ExpParty,$L1588)="","—",IFERROR(VLOOKUP(INDEX(ExpParty,$L1588),AcctTbl,4,0),INDEX(ExpParty,$L1588))))</f>
        <v/>
      </c>
      <c r="F1588" s="22">
        <f>IF($L1588="","",IF(INDEX(ExpType,$L1588)="","—",INDEX(ExpType,$L1588)))</f>
        <v/>
      </c>
      <c r="G1588" s="24">
        <f>IF($L1588="","",IF(INDEX(ExpDep,$L1588)=0,"",INDEX(ExpDep,$L1588)))</f>
        <v/>
      </c>
      <c r="H1588" s="24">
        <f>IF($L1588="","",IF(INDEX(ExpWit,$L1588)=0,"",INDEX(ExpWit,$L1588)))</f>
        <v/>
      </c>
      <c r="I1588" s="25">
        <f>IF($B1588="","",IF($I1587="",0,$I1587)+IF($H1588="",0,$H1588)-IF($G1588="",0,$G1588))</f>
        <v/>
      </c>
      <c r="J1588" s="23">
        <f>IF($L1588="","",IF(INDEX(ExpNote,$L1588)="","—",INDEX(ExpNote,$L1588)))</f>
        <v/>
      </c>
      <c r="L1588">
        <f>IFERROR(MATCH($C$5&amp;"|"&amp;RIGHT("000000"&amp;1572,6),ExpRankKey,0),"")</f>
        <v/>
      </c>
    </row>
    <row r="1589">
      <c r="A1589" s="16" t="n">
        <v>1573</v>
      </c>
      <c r="B1589" s="17">
        <f>IF($L1589="","",INDEX(ExpNorm,$L1589))</f>
        <v/>
      </c>
      <c r="C1589" s="17">
        <f>IF($L1589="","",IF(INDEX(ExpTime,$L1589)="","—",LEFT(INDEX(ExpTime,$L1589),2)&amp;":"&amp;RIGHT(INDEX(ExpTime,$L1589),2)))</f>
        <v/>
      </c>
      <c r="D1589" s="17">
        <f>IF($L1589="","",IF(INDEX(ExpBank,$L1589)="","—",INDEX(ExpBank,$L1589)))</f>
        <v/>
      </c>
      <c r="E1589" s="18">
        <f>IF($L1589="","",IF(INDEX(ExpParty,$L1589)="","—",IFERROR(VLOOKUP(INDEX(ExpParty,$L1589),AcctTbl,4,0),INDEX(ExpParty,$L1589))))</f>
        <v/>
      </c>
      <c r="F1589" s="17">
        <f>IF($L1589="","",IF(INDEX(ExpType,$L1589)="","—",INDEX(ExpType,$L1589)))</f>
        <v/>
      </c>
      <c r="G1589" s="19">
        <f>IF($L1589="","",IF(INDEX(ExpDep,$L1589)=0,"",INDEX(ExpDep,$L1589)))</f>
        <v/>
      </c>
      <c r="H1589" s="19">
        <f>IF($L1589="","",IF(INDEX(ExpWit,$L1589)=0,"",INDEX(ExpWit,$L1589)))</f>
        <v/>
      </c>
      <c r="I1589" s="20">
        <f>IF($B1589="","",IF($I1588="",0,$I1588)+IF($H1589="",0,$H1589)-IF($G1589="",0,$G1589))</f>
        <v/>
      </c>
      <c r="J1589" s="18">
        <f>IF($L1589="","",IF(INDEX(ExpNote,$L1589)="","—",INDEX(ExpNote,$L1589)))</f>
        <v/>
      </c>
      <c r="L1589">
        <f>IFERROR(MATCH($C$5&amp;"|"&amp;RIGHT("000000"&amp;1573,6),ExpRankKey,0),"")</f>
        <v/>
      </c>
    </row>
    <row r="1590">
      <c r="A1590" s="21" t="n">
        <v>1574</v>
      </c>
      <c r="B1590" s="22">
        <f>IF($L1590="","",INDEX(ExpNorm,$L1590))</f>
        <v/>
      </c>
      <c r="C1590" s="22">
        <f>IF($L1590="","",IF(INDEX(ExpTime,$L1590)="","—",LEFT(INDEX(ExpTime,$L1590),2)&amp;":"&amp;RIGHT(INDEX(ExpTime,$L1590),2)))</f>
        <v/>
      </c>
      <c r="D1590" s="22">
        <f>IF($L1590="","",IF(INDEX(ExpBank,$L1590)="","—",INDEX(ExpBank,$L1590)))</f>
        <v/>
      </c>
      <c r="E1590" s="23">
        <f>IF($L1590="","",IF(INDEX(ExpParty,$L1590)="","—",IFERROR(VLOOKUP(INDEX(ExpParty,$L1590),AcctTbl,4,0),INDEX(ExpParty,$L1590))))</f>
        <v/>
      </c>
      <c r="F1590" s="22">
        <f>IF($L1590="","",IF(INDEX(ExpType,$L1590)="","—",INDEX(ExpType,$L1590)))</f>
        <v/>
      </c>
      <c r="G1590" s="24">
        <f>IF($L1590="","",IF(INDEX(ExpDep,$L1590)=0,"",INDEX(ExpDep,$L1590)))</f>
        <v/>
      </c>
      <c r="H1590" s="24">
        <f>IF($L1590="","",IF(INDEX(ExpWit,$L1590)=0,"",INDEX(ExpWit,$L1590)))</f>
        <v/>
      </c>
      <c r="I1590" s="25">
        <f>IF($B1590="","",IF($I1589="",0,$I1589)+IF($H1590="",0,$H1590)-IF($G1590="",0,$G1590))</f>
        <v/>
      </c>
      <c r="J1590" s="23">
        <f>IF($L1590="","",IF(INDEX(ExpNote,$L1590)="","—",INDEX(ExpNote,$L1590)))</f>
        <v/>
      </c>
      <c r="L1590">
        <f>IFERROR(MATCH($C$5&amp;"|"&amp;RIGHT("000000"&amp;1574,6),ExpRankKey,0),"")</f>
        <v/>
      </c>
    </row>
    <row r="1591">
      <c r="A1591" s="16" t="n">
        <v>1575</v>
      </c>
      <c r="B1591" s="17">
        <f>IF($L1591="","",INDEX(ExpNorm,$L1591))</f>
        <v/>
      </c>
      <c r="C1591" s="17">
        <f>IF($L1591="","",IF(INDEX(ExpTime,$L1591)="","—",LEFT(INDEX(ExpTime,$L1591),2)&amp;":"&amp;RIGHT(INDEX(ExpTime,$L1591),2)))</f>
        <v/>
      </c>
      <c r="D1591" s="17">
        <f>IF($L1591="","",IF(INDEX(ExpBank,$L1591)="","—",INDEX(ExpBank,$L1591)))</f>
        <v/>
      </c>
      <c r="E1591" s="18">
        <f>IF($L1591="","",IF(INDEX(ExpParty,$L1591)="","—",IFERROR(VLOOKUP(INDEX(ExpParty,$L1591),AcctTbl,4,0),INDEX(ExpParty,$L1591))))</f>
        <v/>
      </c>
      <c r="F1591" s="17">
        <f>IF($L1591="","",IF(INDEX(ExpType,$L1591)="","—",INDEX(ExpType,$L1591)))</f>
        <v/>
      </c>
      <c r="G1591" s="19">
        <f>IF($L1591="","",IF(INDEX(ExpDep,$L1591)=0,"",INDEX(ExpDep,$L1591)))</f>
        <v/>
      </c>
      <c r="H1591" s="19">
        <f>IF($L1591="","",IF(INDEX(ExpWit,$L1591)=0,"",INDEX(ExpWit,$L1591)))</f>
        <v/>
      </c>
      <c r="I1591" s="20">
        <f>IF($B1591="","",IF($I1590="",0,$I1590)+IF($H1591="",0,$H1591)-IF($G1591="",0,$G1591))</f>
        <v/>
      </c>
      <c r="J1591" s="18">
        <f>IF($L1591="","",IF(INDEX(ExpNote,$L1591)="","—",INDEX(ExpNote,$L1591)))</f>
        <v/>
      </c>
      <c r="L1591">
        <f>IFERROR(MATCH($C$5&amp;"|"&amp;RIGHT("000000"&amp;1575,6),ExpRankKey,0),"")</f>
        <v/>
      </c>
    </row>
    <row r="1592">
      <c r="A1592" s="21" t="n">
        <v>1576</v>
      </c>
      <c r="B1592" s="22">
        <f>IF($L1592="","",INDEX(ExpNorm,$L1592))</f>
        <v/>
      </c>
      <c r="C1592" s="22">
        <f>IF($L1592="","",IF(INDEX(ExpTime,$L1592)="","—",LEFT(INDEX(ExpTime,$L1592),2)&amp;":"&amp;RIGHT(INDEX(ExpTime,$L1592),2)))</f>
        <v/>
      </c>
      <c r="D1592" s="22">
        <f>IF($L1592="","",IF(INDEX(ExpBank,$L1592)="","—",INDEX(ExpBank,$L1592)))</f>
        <v/>
      </c>
      <c r="E1592" s="23">
        <f>IF($L1592="","",IF(INDEX(ExpParty,$L1592)="","—",IFERROR(VLOOKUP(INDEX(ExpParty,$L1592),AcctTbl,4,0),INDEX(ExpParty,$L1592))))</f>
        <v/>
      </c>
      <c r="F1592" s="22">
        <f>IF($L1592="","",IF(INDEX(ExpType,$L1592)="","—",INDEX(ExpType,$L1592)))</f>
        <v/>
      </c>
      <c r="G1592" s="24">
        <f>IF($L1592="","",IF(INDEX(ExpDep,$L1592)=0,"",INDEX(ExpDep,$L1592)))</f>
        <v/>
      </c>
      <c r="H1592" s="24">
        <f>IF($L1592="","",IF(INDEX(ExpWit,$L1592)=0,"",INDEX(ExpWit,$L1592)))</f>
        <v/>
      </c>
      <c r="I1592" s="25">
        <f>IF($B1592="","",IF($I1591="",0,$I1591)+IF($H1592="",0,$H1592)-IF($G1592="",0,$G1592))</f>
        <v/>
      </c>
      <c r="J1592" s="23">
        <f>IF($L1592="","",IF(INDEX(ExpNote,$L1592)="","—",INDEX(ExpNote,$L1592)))</f>
        <v/>
      </c>
      <c r="L1592">
        <f>IFERROR(MATCH($C$5&amp;"|"&amp;RIGHT("000000"&amp;1576,6),ExpRankKey,0),"")</f>
        <v/>
      </c>
    </row>
    <row r="1593">
      <c r="A1593" s="16" t="n">
        <v>1577</v>
      </c>
      <c r="B1593" s="17">
        <f>IF($L1593="","",INDEX(ExpNorm,$L1593))</f>
        <v/>
      </c>
      <c r="C1593" s="17">
        <f>IF($L1593="","",IF(INDEX(ExpTime,$L1593)="","—",LEFT(INDEX(ExpTime,$L1593),2)&amp;":"&amp;RIGHT(INDEX(ExpTime,$L1593),2)))</f>
        <v/>
      </c>
      <c r="D1593" s="17">
        <f>IF($L1593="","",IF(INDEX(ExpBank,$L1593)="","—",INDEX(ExpBank,$L1593)))</f>
        <v/>
      </c>
      <c r="E1593" s="18">
        <f>IF($L1593="","",IF(INDEX(ExpParty,$L1593)="","—",IFERROR(VLOOKUP(INDEX(ExpParty,$L1593),AcctTbl,4,0),INDEX(ExpParty,$L1593))))</f>
        <v/>
      </c>
      <c r="F1593" s="17">
        <f>IF($L1593="","",IF(INDEX(ExpType,$L1593)="","—",INDEX(ExpType,$L1593)))</f>
        <v/>
      </c>
      <c r="G1593" s="19">
        <f>IF($L1593="","",IF(INDEX(ExpDep,$L1593)=0,"",INDEX(ExpDep,$L1593)))</f>
        <v/>
      </c>
      <c r="H1593" s="19">
        <f>IF($L1593="","",IF(INDEX(ExpWit,$L1593)=0,"",INDEX(ExpWit,$L1593)))</f>
        <v/>
      </c>
      <c r="I1593" s="20">
        <f>IF($B1593="","",IF($I1592="",0,$I1592)+IF($H1593="",0,$H1593)-IF($G1593="",0,$G1593))</f>
        <v/>
      </c>
      <c r="J1593" s="18">
        <f>IF($L1593="","",IF(INDEX(ExpNote,$L1593)="","—",INDEX(ExpNote,$L1593)))</f>
        <v/>
      </c>
      <c r="L1593">
        <f>IFERROR(MATCH($C$5&amp;"|"&amp;RIGHT("000000"&amp;1577,6),ExpRankKey,0),"")</f>
        <v/>
      </c>
    </row>
    <row r="1594">
      <c r="A1594" s="21" t="n">
        <v>1578</v>
      </c>
      <c r="B1594" s="22">
        <f>IF($L1594="","",INDEX(ExpNorm,$L1594))</f>
        <v/>
      </c>
      <c r="C1594" s="22">
        <f>IF($L1594="","",IF(INDEX(ExpTime,$L1594)="","—",LEFT(INDEX(ExpTime,$L1594),2)&amp;":"&amp;RIGHT(INDEX(ExpTime,$L1594),2)))</f>
        <v/>
      </c>
      <c r="D1594" s="22">
        <f>IF($L1594="","",IF(INDEX(ExpBank,$L1594)="","—",INDEX(ExpBank,$L1594)))</f>
        <v/>
      </c>
      <c r="E1594" s="23">
        <f>IF($L1594="","",IF(INDEX(ExpParty,$L1594)="","—",IFERROR(VLOOKUP(INDEX(ExpParty,$L1594),AcctTbl,4,0),INDEX(ExpParty,$L1594))))</f>
        <v/>
      </c>
      <c r="F1594" s="22">
        <f>IF($L1594="","",IF(INDEX(ExpType,$L1594)="","—",INDEX(ExpType,$L1594)))</f>
        <v/>
      </c>
      <c r="G1594" s="24">
        <f>IF($L1594="","",IF(INDEX(ExpDep,$L1594)=0,"",INDEX(ExpDep,$L1594)))</f>
        <v/>
      </c>
      <c r="H1594" s="24">
        <f>IF($L1594="","",IF(INDEX(ExpWit,$L1594)=0,"",INDEX(ExpWit,$L1594)))</f>
        <v/>
      </c>
      <c r="I1594" s="25">
        <f>IF($B1594="","",IF($I1593="",0,$I1593)+IF($H1594="",0,$H1594)-IF($G1594="",0,$G1594))</f>
        <v/>
      </c>
      <c r="J1594" s="23">
        <f>IF($L1594="","",IF(INDEX(ExpNote,$L1594)="","—",INDEX(ExpNote,$L1594)))</f>
        <v/>
      </c>
      <c r="L1594">
        <f>IFERROR(MATCH($C$5&amp;"|"&amp;RIGHT("000000"&amp;1578,6),ExpRankKey,0),"")</f>
        <v/>
      </c>
    </row>
    <row r="1595">
      <c r="A1595" s="16" t="n">
        <v>1579</v>
      </c>
      <c r="B1595" s="17">
        <f>IF($L1595="","",INDEX(ExpNorm,$L1595))</f>
        <v/>
      </c>
      <c r="C1595" s="17">
        <f>IF($L1595="","",IF(INDEX(ExpTime,$L1595)="","—",LEFT(INDEX(ExpTime,$L1595),2)&amp;":"&amp;RIGHT(INDEX(ExpTime,$L1595),2)))</f>
        <v/>
      </c>
      <c r="D1595" s="17">
        <f>IF($L1595="","",IF(INDEX(ExpBank,$L1595)="","—",INDEX(ExpBank,$L1595)))</f>
        <v/>
      </c>
      <c r="E1595" s="18">
        <f>IF($L1595="","",IF(INDEX(ExpParty,$L1595)="","—",IFERROR(VLOOKUP(INDEX(ExpParty,$L1595),AcctTbl,4,0),INDEX(ExpParty,$L1595))))</f>
        <v/>
      </c>
      <c r="F1595" s="17">
        <f>IF($L1595="","",IF(INDEX(ExpType,$L1595)="","—",INDEX(ExpType,$L1595)))</f>
        <v/>
      </c>
      <c r="G1595" s="19">
        <f>IF($L1595="","",IF(INDEX(ExpDep,$L1595)=0,"",INDEX(ExpDep,$L1595)))</f>
        <v/>
      </c>
      <c r="H1595" s="19">
        <f>IF($L1595="","",IF(INDEX(ExpWit,$L1595)=0,"",INDEX(ExpWit,$L1595)))</f>
        <v/>
      </c>
      <c r="I1595" s="20">
        <f>IF($B1595="","",IF($I1594="",0,$I1594)+IF($H1595="",0,$H1595)-IF($G1595="",0,$G1595))</f>
        <v/>
      </c>
      <c r="J1595" s="18">
        <f>IF($L1595="","",IF(INDEX(ExpNote,$L1595)="","—",INDEX(ExpNote,$L1595)))</f>
        <v/>
      </c>
      <c r="L1595">
        <f>IFERROR(MATCH($C$5&amp;"|"&amp;RIGHT("000000"&amp;1579,6),ExpRankKey,0),"")</f>
        <v/>
      </c>
    </row>
    <row r="1596">
      <c r="A1596" s="21" t="n">
        <v>1580</v>
      </c>
      <c r="B1596" s="22">
        <f>IF($L1596="","",INDEX(ExpNorm,$L1596))</f>
        <v/>
      </c>
      <c r="C1596" s="22">
        <f>IF($L1596="","",IF(INDEX(ExpTime,$L1596)="","—",LEFT(INDEX(ExpTime,$L1596),2)&amp;":"&amp;RIGHT(INDEX(ExpTime,$L1596),2)))</f>
        <v/>
      </c>
      <c r="D1596" s="22">
        <f>IF($L1596="","",IF(INDEX(ExpBank,$L1596)="","—",INDEX(ExpBank,$L1596)))</f>
        <v/>
      </c>
      <c r="E1596" s="23">
        <f>IF($L1596="","",IF(INDEX(ExpParty,$L1596)="","—",IFERROR(VLOOKUP(INDEX(ExpParty,$L1596),AcctTbl,4,0),INDEX(ExpParty,$L1596))))</f>
        <v/>
      </c>
      <c r="F1596" s="22">
        <f>IF($L1596="","",IF(INDEX(ExpType,$L1596)="","—",INDEX(ExpType,$L1596)))</f>
        <v/>
      </c>
      <c r="G1596" s="24">
        <f>IF($L1596="","",IF(INDEX(ExpDep,$L1596)=0,"",INDEX(ExpDep,$L1596)))</f>
        <v/>
      </c>
      <c r="H1596" s="24">
        <f>IF($L1596="","",IF(INDEX(ExpWit,$L1596)=0,"",INDEX(ExpWit,$L1596)))</f>
        <v/>
      </c>
      <c r="I1596" s="25">
        <f>IF($B1596="","",IF($I1595="",0,$I1595)+IF($H1596="",0,$H1596)-IF($G1596="",0,$G1596))</f>
        <v/>
      </c>
      <c r="J1596" s="23">
        <f>IF($L1596="","",IF(INDEX(ExpNote,$L1596)="","—",INDEX(ExpNote,$L1596)))</f>
        <v/>
      </c>
      <c r="L1596">
        <f>IFERROR(MATCH($C$5&amp;"|"&amp;RIGHT("000000"&amp;1580,6),ExpRankKey,0),"")</f>
        <v/>
      </c>
    </row>
    <row r="1597">
      <c r="A1597" s="16" t="n">
        <v>1581</v>
      </c>
      <c r="B1597" s="17">
        <f>IF($L1597="","",INDEX(ExpNorm,$L1597))</f>
        <v/>
      </c>
      <c r="C1597" s="17">
        <f>IF($L1597="","",IF(INDEX(ExpTime,$L1597)="","—",LEFT(INDEX(ExpTime,$L1597),2)&amp;":"&amp;RIGHT(INDEX(ExpTime,$L1597),2)))</f>
        <v/>
      </c>
      <c r="D1597" s="17">
        <f>IF($L1597="","",IF(INDEX(ExpBank,$L1597)="","—",INDEX(ExpBank,$L1597)))</f>
        <v/>
      </c>
      <c r="E1597" s="18">
        <f>IF($L1597="","",IF(INDEX(ExpParty,$L1597)="","—",IFERROR(VLOOKUP(INDEX(ExpParty,$L1597),AcctTbl,4,0),INDEX(ExpParty,$L1597))))</f>
        <v/>
      </c>
      <c r="F1597" s="17">
        <f>IF($L1597="","",IF(INDEX(ExpType,$L1597)="","—",INDEX(ExpType,$L1597)))</f>
        <v/>
      </c>
      <c r="G1597" s="19">
        <f>IF($L1597="","",IF(INDEX(ExpDep,$L1597)=0,"",INDEX(ExpDep,$L1597)))</f>
        <v/>
      </c>
      <c r="H1597" s="19">
        <f>IF($L1597="","",IF(INDEX(ExpWit,$L1597)=0,"",INDEX(ExpWit,$L1597)))</f>
        <v/>
      </c>
      <c r="I1597" s="20">
        <f>IF($B1597="","",IF($I1596="",0,$I1596)+IF($H1597="",0,$H1597)-IF($G1597="",0,$G1597))</f>
        <v/>
      </c>
      <c r="J1597" s="18">
        <f>IF($L1597="","",IF(INDEX(ExpNote,$L1597)="","—",INDEX(ExpNote,$L1597)))</f>
        <v/>
      </c>
      <c r="L1597">
        <f>IFERROR(MATCH($C$5&amp;"|"&amp;RIGHT("000000"&amp;1581,6),ExpRankKey,0),"")</f>
        <v/>
      </c>
    </row>
    <row r="1598">
      <c r="A1598" s="21" t="n">
        <v>1582</v>
      </c>
      <c r="B1598" s="22">
        <f>IF($L1598="","",INDEX(ExpNorm,$L1598))</f>
        <v/>
      </c>
      <c r="C1598" s="22">
        <f>IF($L1598="","",IF(INDEX(ExpTime,$L1598)="","—",LEFT(INDEX(ExpTime,$L1598),2)&amp;":"&amp;RIGHT(INDEX(ExpTime,$L1598),2)))</f>
        <v/>
      </c>
      <c r="D1598" s="22">
        <f>IF($L1598="","",IF(INDEX(ExpBank,$L1598)="","—",INDEX(ExpBank,$L1598)))</f>
        <v/>
      </c>
      <c r="E1598" s="23">
        <f>IF($L1598="","",IF(INDEX(ExpParty,$L1598)="","—",IFERROR(VLOOKUP(INDEX(ExpParty,$L1598),AcctTbl,4,0),INDEX(ExpParty,$L1598))))</f>
        <v/>
      </c>
      <c r="F1598" s="22">
        <f>IF($L1598="","",IF(INDEX(ExpType,$L1598)="","—",INDEX(ExpType,$L1598)))</f>
        <v/>
      </c>
      <c r="G1598" s="24">
        <f>IF($L1598="","",IF(INDEX(ExpDep,$L1598)=0,"",INDEX(ExpDep,$L1598)))</f>
        <v/>
      </c>
      <c r="H1598" s="24">
        <f>IF($L1598="","",IF(INDEX(ExpWit,$L1598)=0,"",INDEX(ExpWit,$L1598)))</f>
        <v/>
      </c>
      <c r="I1598" s="25">
        <f>IF($B1598="","",IF($I1597="",0,$I1597)+IF($H1598="",0,$H1598)-IF($G1598="",0,$G1598))</f>
        <v/>
      </c>
      <c r="J1598" s="23">
        <f>IF($L1598="","",IF(INDEX(ExpNote,$L1598)="","—",INDEX(ExpNote,$L1598)))</f>
        <v/>
      </c>
      <c r="L1598">
        <f>IFERROR(MATCH($C$5&amp;"|"&amp;RIGHT("000000"&amp;1582,6),ExpRankKey,0),"")</f>
        <v/>
      </c>
    </row>
    <row r="1599">
      <c r="A1599" s="16" t="n">
        <v>1583</v>
      </c>
      <c r="B1599" s="17">
        <f>IF($L1599="","",INDEX(ExpNorm,$L1599))</f>
        <v/>
      </c>
      <c r="C1599" s="17">
        <f>IF($L1599="","",IF(INDEX(ExpTime,$L1599)="","—",LEFT(INDEX(ExpTime,$L1599),2)&amp;":"&amp;RIGHT(INDEX(ExpTime,$L1599),2)))</f>
        <v/>
      </c>
      <c r="D1599" s="17">
        <f>IF($L1599="","",IF(INDEX(ExpBank,$L1599)="","—",INDEX(ExpBank,$L1599)))</f>
        <v/>
      </c>
      <c r="E1599" s="18">
        <f>IF($L1599="","",IF(INDEX(ExpParty,$L1599)="","—",IFERROR(VLOOKUP(INDEX(ExpParty,$L1599),AcctTbl,4,0),INDEX(ExpParty,$L1599))))</f>
        <v/>
      </c>
      <c r="F1599" s="17">
        <f>IF($L1599="","",IF(INDEX(ExpType,$L1599)="","—",INDEX(ExpType,$L1599)))</f>
        <v/>
      </c>
      <c r="G1599" s="19">
        <f>IF($L1599="","",IF(INDEX(ExpDep,$L1599)=0,"",INDEX(ExpDep,$L1599)))</f>
        <v/>
      </c>
      <c r="H1599" s="19">
        <f>IF($L1599="","",IF(INDEX(ExpWit,$L1599)=0,"",INDEX(ExpWit,$L1599)))</f>
        <v/>
      </c>
      <c r="I1599" s="20">
        <f>IF($B1599="","",IF($I1598="",0,$I1598)+IF($H1599="",0,$H1599)-IF($G1599="",0,$G1599))</f>
        <v/>
      </c>
      <c r="J1599" s="18">
        <f>IF($L1599="","",IF(INDEX(ExpNote,$L1599)="","—",INDEX(ExpNote,$L1599)))</f>
        <v/>
      </c>
      <c r="L1599">
        <f>IFERROR(MATCH($C$5&amp;"|"&amp;RIGHT("000000"&amp;1583,6),ExpRankKey,0),"")</f>
        <v/>
      </c>
    </row>
    <row r="1600">
      <c r="A1600" s="21" t="n">
        <v>1584</v>
      </c>
      <c r="B1600" s="22">
        <f>IF($L1600="","",INDEX(ExpNorm,$L1600))</f>
        <v/>
      </c>
      <c r="C1600" s="22">
        <f>IF($L1600="","",IF(INDEX(ExpTime,$L1600)="","—",LEFT(INDEX(ExpTime,$L1600),2)&amp;":"&amp;RIGHT(INDEX(ExpTime,$L1600),2)))</f>
        <v/>
      </c>
      <c r="D1600" s="22">
        <f>IF($L1600="","",IF(INDEX(ExpBank,$L1600)="","—",INDEX(ExpBank,$L1600)))</f>
        <v/>
      </c>
      <c r="E1600" s="23">
        <f>IF($L1600="","",IF(INDEX(ExpParty,$L1600)="","—",IFERROR(VLOOKUP(INDEX(ExpParty,$L1600),AcctTbl,4,0),INDEX(ExpParty,$L1600))))</f>
        <v/>
      </c>
      <c r="F1600" s="22">
        <f>IF($L1600="","",IF(INDEX(ExpType,$L1600)="","—",INDEX(ExpType,$L1600)))</f>
        <v/>
      </c>
      <c r="G1600" s="24">
        <f>IF($L1600="","",IF(INDEX(ExpDep,$L1600)=0,"",INDEX(ExpDep,$L1600)))</f>
        <v/>
      </c>
      <c r="H1600" s="24">
        <f>IF($L1600="","",IF(INDEX(ExpWit,$L1600)=0,"",INDEX(ExpWit,$L1600)))</f>
        <v/>
      </c>
      <c r="I1600" s="25">
        <f>IF($B1600="","",IF($I1599="",0,$I1599)+IF($H1600="",0,$H1600)-IF($G1600="",0,$G1600))</f>
        <v/>
      </c>
      <c r="J1600" s="23">
        <f>IF($L1600="","",IF(INDEX(ExpNote,$L1600)="","—",INDEX(ExpNote,$L1600)))</f>
        <v/>
      </c>
      <c r="L1600">
        <f>IFERROR(MATCH($C$5&amp;"|"&amp;RIGHT("000000"&amp;1584,6),ExpRankKey,0),"")</f>
        <v/>
      </c>
    </row>
    <row r="1601">
      <c r="A1601" s="16" t="n">
        <v>1585</v>
      </c>
      <c r="B1601" s="17">
        <f>IF($L1601="","",INDEX(ExpNorm,$L1601))</f>
        <v/>
      </c>
      <c r="C1601" s="17">
        <f>IF($L1601="","",IF(INDEX(ExpTime,$L1601)="","—",LEFT(INDEX(ExpTime,$L1601),2)&amp;":"&amp;RIGHT(INDEX(ExpTime,$L1601),2)))</f>
        <v/>
      </c>
      <c r="D1601" s="17">
        <f>IF($L1601="","",IF(INDEX(ExpBank,$L1601)="","—",INDEX(ExpBank,$L1601)))</f>
        <v/>
      </c>
      <c r="E1601" s="18">
        <f>IF($L1601="","",IF(INDEX(ExpParty,$L1601)="","—",IFERROR(VLOOKUP(INDEX(ExpParty,$L1601),AcctTbl,4,0),INDEX(ExpParty,$L1601))))</f>
        <v/>
      </c>
      <c r="F1601" s="17">
        <f>IF($L1601="","",IF(INDEX(ExpType,$L1601)="","—",INDEX(ExpType,$L1601)))</f>
        <v/>
      </c>
      <c r="G1601" s="19">
        <f>IF($L1601="","",IF(INDEX(ExpDep,$L1601)=0,"",INDEX(ExpDep,$L1601)))</f>
        <v/>
      </c>
      <c r="H1601" s="19">
        <f>IF($L1601="","",IF(INDEX(ExpWit,$L1601)=0,"",INDEX(ExpWit,$L1601)))</f>
        <v/>
      </c>
      <c r="I1601" s="20">
        <f>IF($B1601="","",IF($I1600="",0,$I1600)+IF($H1601="",0,$H1601)-IF($G1601="",0,$G1601))</f>
        <v/>
      </c>
      <c r="J1601" s="18">
        <f>IF($L1601="","",IF(INDEX(ExpNote,$L1601)="","—",INDEX(ExpNote,$L1601)))</f>
        <v/>
      </c>
      <c r="L1601">
        <f>IFERROR(MATCH($C$5&amp;"|"&amp;RIGHT("000000"&amp;1585,6),ExpRankKey,0),"")</f>
        <v/>
      </c>
    </row>
    <row r="1602">
      <c r="A1602" s="21" t="n">
        <v>1586</v>
      </c>
      <c r="B1602" s="22">
        <f>IF($L1602="","",INDEX(ExpNorm,$L1602))</f>
        <v/>
      </c>
      <c r="C1602" s="22">
        <f>IF($L1602="","",IF(INDEX(ExpTime,$L1602)="","—",LEFT(INDEX(ExpTime,$L1602),2)&amp;":"&amp;RIGHT(INDEX(ExpTime,$L1602),2)))</f>
        <v/>
      </c>
      <c r="D1602" s="22">
        <f>IF($L1602="","",IF(INDEX(ExpBank,$L1602)="","—",INDEX(ExpBank,$L1602)))</f>
        <v/>
      </c>
      <c r="E1602" s="23">
        <f>IF($L1602="","",IF(INDEX(ExpParty,$L1602)="","—",IFERROR(VLOOKUP(INDEX(ExpParty,$L1602),AcctTbl,4,0),INDEX(ExpParty,$L1602))))</f>
        <v/>
      </c>
      <c r="F1602" s="22">
        <f>IF($L1602="","",IF(INDEX(ExpType,$L1602)="","—",INDEX(ExpType,$L1602)))</f>
        <v/>
      </c>
      <c r="G1602" s="24">
        <f>IF($L1602="","",IF(INDEX(ExpDep,$L1602)=0,"",INDEX(ExpDep,$L1602)))</f>
        <v/>
      </c>
      <c r="H1602" s="24">
        <f>IF($L1602="","",IF(INDEX(ExpWit,$L1602)=0,"",INDEX(ExpWit,$L1602)))</f>
        <v/>
      </c>
      <c r="I1602" s="25">
        <f>IF($B1602="","",IF($I1601="",0,$I1601)+IF($H1602="",0,$H1602)-IF($G1602="",0,$G1602))</f>
        <v/>
      </c>
      <c r="J1602" s="23">
        <f>IF($L1602="","",IF(INDEX(ExpNote,$L1602)="","—",INDEX(ExpNote,$L1602)))</f>
        <v/>
      </c>
      <c r="L1602">
        <f>IFERROR(MATCH($C$5&amp;"|"&amp;RIGHT("000000"&amp;1586,6),ExpRankKey,0),"")</f>
        <v/>
      </c>
    </row>
    <row r="1603">
      <c r="A1603" s="16" t="n">
        <v>1587</v>
      </c>
      <c r="B1603" s="17">
        <f>IF($L1603="","",INDEX(ExpNorm,$L1603))</f>
        <v/>
      </c>
      <c r="C1603" s="17">
        <f>IF($L1603="","",IF(INDEX(ExpTime,$L1603)="","—",LEFT(INDEX(ExpTime,$L1603),2)&amp;":"&amp;RIGHT(INDEX(ExpTime,$L1603),2)))</f>
        <v/>
      </c>
      <c r="D1603" s="17">
        <f>IF($L1603="","",IF(INDEX(ExpBank,$L1603)="","—",INDEX(ExpBank,$L1603)))</f>
        <v/>
      </c>
      <c r="E1603" s="18">
        <f>IF($L1603="","",IF(INDEX(ExpParty,$L1603)="","—",IFERROR(VLOOKUP(INDEX(ExpParty,$L1603),AcctTbl,4,0),INDEX(ExpParty,$L1603))))</f>
        <v/>
      </c>
      <c r="F1603" s="17">
        <f>IF($L1603="","",IF(INDEX(ExpType,$L1603)="","—",INDEX(ExpType,$L1603)))</f>
        <v/>
      </c>
      <c r="G1603" s="19">
        <f>IF($L1603="","",IF(INDEX(ExpDep,$L1603)=0,"",INDEX(ExpDep,$L1603)))</f>
        <v/>
      </c>
      <c r="H1603" s="19">
        <f>IF($L1603="","",IF(INDEX(ExpWit,$L1603)=0,"",INDEX(ExpWit,$L1603)))</f>
        <v/>
      </c>
      <c r="I1603" s="20">
        <f>IF($B1603="","",IF($I1602="",0,$I1602)+IF($H1603="",0,$H1603)-IF($G1603="",0,$G1603))</f>
        <v/>
      </c>
      <c r="J1603" s="18">
        <f>IF($L1603="","",IF(INDEX(ExpNote,$L1603)="","—",INDEX(ExpNote,$L1603)))</f>
        <v/>
      </c>
      <c r="L1603">
        <f>IFERROR(MATCH($C$5&amp;"|"&amp;RIGHT("000000"&amp;1587,6),ExpRankKey,0),"")</f>
        <v/>
      </c>
    </row>
    <row r="1604">
      <c r="A1604" s="21" t="n">
        <v>1588</v>
      </c>
      <c r="B1604" s="22">
        <f>IF($L1604="","",INDEX(ExpNorm,$L1604))</f>
        <v/>
      </c>
      <c r="C1604" s="22">
        <f>IF($L1604="","",IF(INDEX(ExpTime,$L1604)="","—",LEFT(INDEX(ExpTime,$L1604),2)&amp;":"&amp;RIGHT(INDEX(ExpTime,$L1604),2)))</f>
        <v/>
      </c>
      <c r="D1604" s="22">
        <f>IF($L1604="","",IF(INDEX(ExpBank,$L1604)="","—",INDEX(ExpBank,$L1604)))</f>
        <v/>
      </c>
      <c r="E1604" s="23">
        <f>IF($L1604="","",IF(INDEX(ExpParty,$L1604)="","—",IFERROR(VLOOKUP(INDEX(ExpParty,$L1604),AcctTbl,4,0),INDEX(ExpParty,$L1604))))</f>
        <v/>
      </c>
      <c r="F1604" s="22">
        <f>IF($L1604="","",IF(INDEX(ExpType,$L1604)="","—",INDEX(ExpType,$L1604)))</f>
        <v/>
      </c>
      <c r="G1604" s="24">
        <f>IF($L1604="","",IF(INDEX(ExpDep,$L1604)=0,"",INDEX(ExpDep,$L1604)))</f>
        <v/>
      </c>
      <c r="H1604" s="24">
        <f>IF($L1604="","",IF(INDEX(ExpWit,$L1604)=0,"",INDEX(ExpWit,$L1604)))</f>
        <v/>
      </c>
      <c r="I1604" s="25">
        <f>IF($B1604="","",IF($I1603="",0,$I1603)+IF($H1604="",0,$H1604)-IF($G1604="",0,$G1604))</f>
        <v/>
      </c>
      <c r="J1604" s="23">
        <f>IF($L1604="","",IF(INDEX(ExpNote,$L1604)="","—",INDEX(ExpNote,$L1604)))</f>
        <v/>
      </c>
      <c r="L1604">
        <f>IFERROR(MATCH($C$5&amp;"|"&amp;RIGHT("000000"&amp;1588,6),ExpRankKey,0),"")</f>
        <v/>
      </c>
    </row>
    <row r="1605">
      <c r="A1605" s="16" t="n">
        <v>1589</v>
      </c>
      <c r="B1605" s="17">
        <f>IF($L1605="","",INDEX(ExpNorm,$L1605))</f>
        <v/>
      </c>
      <c r="C1605" s="17">
        <f>IF($L1605="","",IF(INDEX(ExpTime,$L1605)="","—",LEFT(INDEX(ExpTime,$L1605),2)&amp;":"&amp;RIGHT(INDEX(ExpTime,$L1605),2)))</f>
        <v/>
      </c>
      <c r="D1605" s="17">
        <f>IF($L1605="","",IF(INDEX(ExpBank,$L1605)="","—",INDEX(ExpBank,$L1605)))</f>
        <v/>
      </c>
      <c r="E1605" s="18">
        <f>IF($L1605="","",IF(INDEX(ExpParty,$L1605)="","—",IFERROR(VLOOKUP(INDEX(ExpParty,$L1605),AcctTbl,4,0),INDEX(ExpParty,$L1605))))</f>
        <v/>
      </c>
      <c r="F1605" s="17">
        <f>IF($L1605="","",IF(INDEX(ExpType,$L1605)="","—",INDEX(ExpType,$L1605)))</f>
        <v/>
      </c>
      <c r="G1605" s="19">
        <f>IF($L1605="","",IF(INDEX(ExpDep,$L1605)=0,"",INDEX(ExpDep,$L1605)))</f>
        <v/>
      </c>
      <c r="H1605" s="19">
        <f>IF($L1605="","",IF(INDEX(ExpWit,$L1605)=0,"",INDEX(ExpWit,$L1605)))</f>
        <v/>
      </c>
      <c r="I1605" s="20">
        <f>IF($B1605="","",IF($I1604="",0,$I1604)+IF($H1605="",0,$H1605)-IF($G1605="",0,$G1605))</f>
        <v/>
      </c>
      <c r="J1605" s="18">
        <f>IF($L1605="","",IF(INDEX(ExpNote,$L1605)="","—",INDEX(ExpNote,$L1605)))</f>
        <v/>
      </c>
      <c r="L1605">
        <f>IFERROR(MATCH($C$5&amp;"|"&amp;RIGHT("000000"&amp;1589,6),ExpRankKey,0),"")</f>
        <v/>
      </c>
    </row>
    <row r="1606">
      <c r="A1606" s="21" t="n">
        <v>1590</v>
      </c>
      <c r="B1606" s="22">
        <f>IF($L1606="","",INDEX(ExpNorm,$L1606))</f>
        <v/>
      </c>
      <c r="C1606" s="22">
        <f>IF($L1606="","",IF(INDEX(ExpTime,$L1606)="","—",LEFT(INDEX(ExpTime,$L1606),2)&amp;":"&amp;RIGHT(INDEX(ExpTime,$L1606),2)))</f>
        <v/>
      </c>
      <c r="D1606" s="22">
        <f>IF($L1606="","",IF(INDEX(ExpBank,$L1606)="","—",INDEX(ExpBank,$L1606)))</f>
        <v/>
      </c>
      <c r="E1606" s="23">
        <f>IF($L1606="","",IF(INDEX(ExpParty,$L1606)="","—",IFERROR(VLOOKUP(INDEX(ExpParty,$L1606),AcctTbl,4,0),INDEX(ExpParty,$L1606))))</f>
        <v/>
      </c>
      <c r="F1606" s="22">
        <f>IF($L1606="","",IF(INDEX(ExpType,$L1606)="","—",INDEX(ExpType,$L1606)))</f>
        <v/>
      </c>
      <c r="G1606" s="24">
        <f>IF($L1606="","",IF(INDEX(ExpDep,$L1606)=0,"",INDEX(ExpDep,$L1606)))</f>
        <v/>
      </c>
      <c r="H1606" s="24">
        <f>IF($L1606="","",IF(INDEX(ExpWit,$L1606)=0,"",INDEX(ExpWit,$L1606)))</f>
        <v/>
      </c>
      <c r="I1606" s="25">
        <f>IF($B1606="","",IF($I1605="",0,$I1605)+IF($H1606="",0,$H1606)-IF($G1606="",0,$G1606))</f>
        <v/>
      </c>
      <c r="J1606" s="23">
        <f>IF($L1606="","",IF(INDEX(ExpNote,$L1606)="","—",INDEX(ExpNote,$L1606)))</f>
        <v/>
      </c>
      <c r="L1606">
        <f>IFERROR(MATCH($C$5&amp;"|"&amp;RIGHT("000000"&amp;1590,6),ExpRankKey,0),"")</f>
        <v/>
      </c>
    </row>
    <row r="1607">
      <c r="A1607" s="16" t="n">
        <v>1591</v>
      </c>
      <c r="B1607" s="17">
        <f>IF($L1607="","",INDEX(ExpNorm,$L1607))</f>
        <v/>
      </c>
      <c r="C1607" s="17">
        <f>IF($L1607="","",IF(INDEX(ExpTime,$L1607)="","—",LEFT(INDEX(ExpTime,$L1607),2)&amp;":"&amp;RIGHT(INDEX(ExpTime,$L1607),2)))</f>
        <v/>
      </c>
      <c r="D1607" s="17">
        <f>IF($L1607="","",IF(INDEX(ExpBank,$L1607)="","—",INDEX(ExpBank,$L1607)))</f>
        <v/>
      </c>
      <c r="E1607" s="18">
        <f>IF($L1607="","",IF(INDEX(ExpParty,$L1607)="","—",IFERROR(VLOOKUP(INDEX(ExpParty,$L1607),AcctTbl,4,0),INDEX(ExpParty,$L1607))))</f>
        <v/>
      </c>
      <c r="F1607" s="17">
        <f>IF($L1607="","",IF(INDEX(ExpType,$L1607)="","—",INDEX(ExpType,$L1607)))</f>
        <v/>
      </c>
      <c r="G1607" s="19">
        <f>IF($L1607="","",IF(INDEX(ExpDep,$L1607)=0,"",INDEX(ExpDep,$L1607)))</f>
        <v/>
      </c>
      <c r="H1607" s="19">
        <f>IF($L1607="","",IF(INDEX(ExpWit,$L1607)=0,"",INDEX(ExpWit,$L1607)))</f>
        <v/>
      </c>
      <c r="I1607" s="20">
        <f>IF($B1607="","",IF($I1606="",0,$I1606)+IF($H1607="",0,$H1607)-IF($G1607="",0,$G1607))</f>
        <v/>
      </c>
      <c r="J1607" s="18">
        <f>IF($L1607="","",IF(INDEX(ExpNote,$L1607)="","—",INDEX(ExpNote,$L1607)))</f>
        <v/>
      </c>
      <c r="L1607">
        <f>IFERROR(MATCH($C$5&amp;"|"&amp;RIGHT("000000"&amp;1591,6),ExpRankKey,0),"")</f>
        <v/>
      </c>
    </row>
    <row r="1608">
      <c r="A1608" s="21" t="n">
        <v>1592</v>
      </c>
      <c r="B1608" s="22">
        <f>IF($L1608="","",INDEX(ExpNorm,$L1608))</f>
        <v/>
      </c>
      <c r="C1608" s="22">
        <f>IF($L1608="","",IF(INDEX(ExpTime,$L1608)="","—",LEFT(INDEX(ExpTime,$L1608),2)&amp;":"&amp;RIGHT(INDEX(ExpTime,$L1608),2)))</f>
        <v/>
      </c>
      <c r="D1608" s="22">
        <f>IF($L1608="","",IF(INDEX(ExpBank,$L1608)="","—",INDEX(ExpBank,$L1608)))</f>
        <v/>
      </c>
      <c r="E1608" s="23">
        <f>IF($L1608="","",IF(INDEX(ExpParty,$L1608)="","—",IFERROR(VLOOKUP(INDEX(ExpParty,$L1608),AcctTbl,4,0),INDEX(ExpParty,$L1608))))</f>
        <v/>
      </c>
      <c r="F1608" s="22">
        <f>IF($L1608="","",IF(INDEX(ExpType,$L1608)="","—",INDEX(ExpType,$L1608)))</f>
        <v/>
      </c>
      <c r="G1608" s="24">
        <f>IF($L1608="","",IF(INDEX(ExpDep,$L1608)=0,"",INDEX(ExpDep,$L1608)))</f>
        <v/>
      </c>
      <c r="H1608" s="24">
        <f>IF($L1608="","",IF(INDEX(ExpWit,$L1608)=0,"",INDEX(ExpWit,$L1608)))</f>
        <v/>
      </c>
      <c r="I1608" s="25">
        <f>IF($B1608="","",IF($I1607="",0,$I1607)+IF($H1608="",0,$H1608)-IF($G1608="",0,$G1608))</f>
        <v/>
      </c>
      <c r="J1608" s="23">
        <f>IF($L1608="","",IF(INDEX(ExpNote,$L1608)="","—",INDEX(ExpNote,$L1608)))</f>
        <v/>
      </c>
      <c r="L1608">
        <f>IFERROR(MATCH($C$5&amp;"|"&amp;RIGHT("000000"&amp;1592,6),ExpRankKey,0),"")</f>
        <v/>
      </c>
    </row>
    <row r="1609">
      <c r="A1609" s="16" t="n">
        <v>1593</v>
      </c>
      <c r="B1609" s="17">
        <f>IF($L1609="","",INDEX(ExpNorm,$L1609))</f>
        <v/>
      </c>
      <c r="C1609" s="17">
        <f>IF($L1609="","",IF(INDEX(ExpTime,$L1609)="","—",LEFT(INDEX(ExpTime,$L1609),2)&amp;":"&amp;RIGHT(INDEX(ExpTime,$L1609),2)))</f>
        <v/>
      </c>
      <c r="D1609" s="17">
        <f>IF($L1609="","",IF(INDEX(ExpBank,$L1609)="","—",INDEX(ExpBank,$L1609)))</f>
        <v/>
      </c>
      <c r="E1609" s="18">
        <f>IF($L1609="","",IF(INDEX(ExpParty,$L1609)="","—",IFERROR(VLOOKUP(INDEX(ExpParty,$L1609),AcctTbl,4,0),INDEX(ExpParty,$L1609))))</f>
        <v/>
      </c>
      <c r="F1609" s="17">
        <f>IF($L1609="","",IF(INDEX(ExpType,$L1609)="","—",INDEX(ExpType,$L1609)))</f>
        <v/>
      </c>
      <c r="G1609" s="19">
        <f>IF($L1609="","",IF(INDEX(ExpDep,$L1609)=0,"",INDEX(ExpDep,$L1609)))</f>
        <v/>
      </c>
      <c r="H1609" s="19">
        <f>IF($L1609="","",IF(INDEX(ExpWit,$L1609)=0,"",INDEX(ExpWit,$L1609)))</f>
        <v/>
      </c>
      <c r="I1609" s="20">
        <f>IF($B1609="","",IF($I1608="",0,$I1608)+IF($H1609="",0,$H1609)-IF($G1609="",0,$G1609))</f>
        <v/>
      </c>
      <c r="J1609" s="18">
        <f>IF($L1609="","",IF(INDEX(ExpNote,$L1609)="","—",INDEX(ExpNote,$L1609)))</f>
        <v/>
      </c>
      <c r="L1609">
        <f>IFERROR(MATCH($C$5&amp;"|"&amp;RIGHT("000000"&amp;1593,6),ExpRankKey,0),"")</f>
        <v/>
      </c>
    </row>
    <row r="1610">
      <c r="A1610" s="21" t="n">
        <v>1594</v>
      </c>
      <c r="B1610" s="22">
        <f>IF($L1610="","",INDEX(ExpNorm,$L1610))</f>
        <v/>
      </c>
      <c r="C1610" s="22">
        <f>IF($L1610="","",IF(INDEX(ExpTime,$L1610)="","—",LEFT(INDEX(ExpTime,$L1610),2)&amp;":"&amp;RIGHT(INDEX(ExpTime,$L1610),2)))</f>
        <v/>
      </c>
      <c r="D1610" s="22">
        <f>IF($L1610="","",IF(INDEX(ExpBank,$L1610)="","—",INDEX(ExpBank,$L1610)))</f>
        <v/>
      </c>
      <c r="E1610" s="23">
        <f>IF($L1610="","",IF(INDEX(ExpParty,$L1610)="","—",IFERROR(VLOOKUP(INDEX(ExpParty,$L1610),AcctTbl,4,0),INDEX(ExpParty,$L1610))))</f>
        <v/>
      </c>
      <c r="F1610" s="22">
        <f>IF($L1610="","",IF(INDEX(ExpType,$L1610)="","—",INDEX(ExpType,$L1610)))</f>
        <v/>
      </c>
      <c r="G1610" s="24">
        <f>IF($L1610="","",IF(INDEX(ExpDep,$L1610)=0,"",INDEX(ExpDep,$L1610)))</f>
        <v/>
      </c>
      <c r="H1610" s="24">
        <f>IF($L1610="","",IF(INDEX(ExpWit,$L1610)=0,"",INDEX(ExpWit,$L1610)))</f>
        <v/>
      </c>
      <c r="I1610" s="25">
        <f>IF($B1610="","",IF($I1609="",0,$I1609)+IF($H1610="",0,$H1610)-IF($G1610="",0,$G1610))</f>
        <v/>
      </c>
      <c r="J1610" s="23">
        <f>IF($L1610="","",IF(INDEX(ExpNote,$L1610)="","—",INDEX(ExpNote,$L1610)))</f>
        <v/>
      </c>
      <c r="L1610">
        <f>IFERROR(MATCH($C$5&amp;"|"&amp;RIGHT("000000"&amp;1594,6),ExpRankKey,0),"")</f>
        <v/>
      </c>
    </row>
    <row r="1611">
      <c r="A1611" s="16" t="n">
        <v>1595</v>
      </c>
      <c r="B1611" s="17">
        <f>IF($L1611="","",INDEX(ExpNorm,$L1611))</f>
        <v/>
      </c>
      <c r="C1611" s="17">
        <f>IF($L1611="","",IF(INDEX(ExpTime,$L1611)="","—",LEFT(INDEX(ExpTime,$L1611),2)&amp;":"&amp;RIGHT(INDEX(ExpTime,$L1611),2)))</f>
        <v/>
      </c>
      <c r="D1611" s="17">
        <f>IF($L1611="","",IF(INDEX(ExpBank,$L1611)="","—",INDEX(ExpBank,$L1611)))</f>
        <v/>
      </c>
      <c r="E1611" s="18">
        <f>IF($L1611="","",IF(INDEX(ExpParty,$L1611)="","—",IFERROR(VLOOKUP(INDEX(ExpParty,$L1611),AcctTbl,4,0),INDEX(ExpParty,$L1611))))</f>
        <v/>
      </c>
      <c r="F1611" s="17">
        <f>IF($L1611="","",IF(INDEX(ExpType,$L1611)="","—",INDEX(ExpType,$L1611)))</f>
        <v/>
      </c>
      <c r="G1611" s="19">
        <f>IF($L1611="","",IF(INDEX(ExpDep,$L1611)=0,"",INDEX(ExpDep,$L1611)))</f>
        <v/>
      </c>
      <c r="H1611" s="19">
        <f>IF($L1611="","",IF(INDEX(ExpWit,$L1611)=0,"",INDEX(ExpWit,$L1611)))</f>
        <v/>
      </c>
      <c r="I1611" s="20">
        <f>IF($B1611="","",IF($I1610="",0,$I1610)+IF($H1611="",0,$H1611)-IF($G1611="",0,$G1611))</f>
        <v/>
      </c>
      <c r="J1611" s="18">
        <f>IF($L1611="","",IF(INDEX(ExpNote,$L1611)="","—",INDEX(ExpNote,$L1611)))</f>
        <v/>
      </c>
      <c r="L1611">
        <f>IFERROR(MATCH($C$5&amp;"|"&amp;RIGHT("000000"&amp;1595,6),ExpRankKey,0),"")</f>
        <v/>
      </c>
    </row>
    <row r="1612">
      <c r="A1612" s="21" t="n">
        <v>1596</v>
      </c>
      <c r="B1612" s="22">
        <f>IF($L1612="","",INDEX(ExpNorm,$L1612))</f>
        <v/>
      </c>
      <c r="C1612" s="22">
        <f>IF($L1612="","",IF(INDEX(ExpTime,$L1612)="","—",LEFT(INDEX(ExpTime,$L1612),2)&amp;":"&amp;RIGHT(INDEX(ExpTime,$L1612),2)))</f>
        <v/>
      </c>
      <c r="D1612" s="22">
        <f>IF($L1612="","",IF(INDEX(ExpBank,$L1612)="","—",INDEX(ExpBank,$L1612)))</f>
        <v/>
      </c>
      <c r="E1612" s="23">
        <f>IF($L1612="","",IF(INDEX(ExpParty,$L1612)="","—",IFERROR(VLOOKUP(INDEX(ExpParty,$L1612),AcctTbl,4,0),INDEX(ExpParty,$L1612))))</f>
        <v/>
      </c>
      <c r="F1612" s="22">
        <f>IF($L1612="","",IF(INDEX(ExpType,$L1612)="","—",INDEX(ExpType,$L1612)))</f>
        <v/>
      </c>
      <c r="G1612" s="24">
        <f>IF($L1612="","",IF(INDEX(ExpDep,$L1612)=0,"",INDEX(ExpDep,$L1612)))</f>
        <v/>
      </c>
      <c r="H1612" s="24">
        <f>IF($L1612="","",IF(INDEX(ExpWit,$L1612)=0,"",INDEX(ExpWit,$L1612)))</f>
        <v/>
      </c>
      <c r="I1612" s="25">
        <f>IF($B1612="","",IF($I1611="",0,$I1611)+IF($H1612="",0,$H1612)-IF($G1612="",0,$G1612))</f>
        <v/>
      </c>
      <c r="J1612" s="23">
        <f>IF($L1612="","",IF(INDEX(ExpNote,$L1612)="","—",INDEX(ExpNote,$L1612)))</f>
        <v/>
      </c>
      <c r="L1612">
        <f>IFERROR(MATCH($C$5&amp;"|"&amp;RIGHT("000000"&amp;1596,6),ExpRankKey,0),"")</f>
        <v/>
      </c>
    </row>
    <row r="1613">
      <c r="A1613" s="16" t="n">
        <v>1597</v>
      </c>
      <c r="B1613" s="17">
        <f>IF($L1613="","",INDEX(ExpNorm,$L1613))</f>
        <v/>
      </c>
      <c r="C1613" s="17">
        <f>IF($L1613="","",IF(INDEX(ExpTime,$L1613)="","—",LEFT(INDEX(ExpTime,$L1613),2)&amp;":"&amp;RIGHT(INDEX(ExpTime,$L1613),2)))</f>
        <v/>
      </c>
      <c r="D1613" s="17">
        <f>IF($L1613="","",IF(INDEX(ExpBank,$L1613)="","—",INDEX(ExpBank,$L1613)))</f>
        <v/>
      </c>
      <c r="E1613" s="18">
        <f>IF($L1613="","",IF(INDEX(ExpParty,$L1613)="","—",IFERROR(VLOOKUP(INDEX(ExpParty,$L1613),AcctTbl,4,0),INDEX(ExpParty,$L1613))))</f>
        <v/>
      </c>
      <c r="F1613" s="17">
        <f>IF($L1613="","",IF(INDEX(ExpType,$L1613)="","—",INDEX(ExpType,$L1613)))</f>
        <v/>
      </c>
      <c r="G1613" s="19">
        <f>IF($L1613="","",IF(INDEX(ExpDep,$L1613)=0,"",INDEX(ExpDep,$L1613)))</f>
        <v/>
      </c>
      <c r="H1613" s="19">
        <f>IF($L1613="","",IF(INDEX(ExpWit,$L1613)=0,"",INDEX(ExpWit,$L1613)))</f>
        <v/>
      </c>
      <c r="I1613" s="20">
        <f>IF($B1613="","",IF($I1612="",0,$I1612)+IF($H1613="",0,$H1613)-IF($G1613="",0,$G1613))</f>
        <v/>
      </c>
      <c r="J1613" s="18">
        <f>IF($L1613="","",IF(INDEX(ExpNote,$L1613)="","—",INDEX(ExpNote,$L1613)))</f>
        <v/>
      </c>
      <c r="L1613">
        <f>IFERROR(MATCH($C$5&amp;"|"&amp;RIGHT("000000"&amp;1597,6),ExpRankKey,0),"")</f>
        <v/>
      </c>
    </row>
    <row r="1614">
      <c r="A1614" s="21" t="n">
        <v>1598</v>
      </c>
      <c r="B1614" s="22">
        <f>IF($L1614="","",INDEX(ExpNorm,$L1614))</f>
        <v/>
      </c>
      <c r="C1614" s="22">
        <f>IF($L1614="","",IF(INDEX(ExpTime,$L1614)="","—",LEFT(INDEX(ExpTime,$L1614),2)&amp;":"&amp;RIGHT(INDEX(ExpTime,$L1614),2)))</f>
        <v/>
      </c>
      <c r="D1614" s="22">
        <f>IF($L1614="","",IF(INDEX(ExpBank,$L1614)="","—",INDEX(ExpBank,$L1614)))</f>
        <v/>
      </c>
      <c r="E1614" s="23">
        <f>IF($L1614="","",IF(INDEX(ExpParty,$L1614)="","—",IFERROR(VLOOKUP(INDEX(ExpParty,$L1614),AcctTbl,4,0),INDEX(ExpParty,$L1614))))</f>
        <v/>
      </c>
      <c r="F1614" s="22">
        <f>IF($L1614="","",IF(INDEX(ExpType,$L1614)="","—",INDEX(ExpType,$L1614)))</f>
        <v/>
      </c>
      <c r="G1614" s="24">
        <f>IF($L1614="","",IF(INDEX(ExpDep,$L1614)=0,"",INDEX(ExpDep,$L1614)))</f>
        <v/>
      </c>
      <c r="H1614" s="24">
        <f>IF($L1614="","",IF(INDEX(ExpWit,$L1614)=0,"",INDEX(ExpWit,$L1614)))</f>
        <v/>
      </c>
      <c r="I1614" s="25">
        <f>IF($B1614="","",IF($I1613="",0,$I1613)+IF($H1614="",0,$H1614)-IF($G1614="",0,$G1614))</f>
        <v/>
      </c>
      <c r="J1614" s="23">
        <f>IF($L1614="","",IF(INDEX(ExpNote,$L1614)="","—",INDEX(ExpNote,$L1614)))</f>
        <v/>
      </c>
      <c r="L1614">
        <f>IFERROR(MATCH($C$5&amp;"|"&amp;RIGHT("000000"&amp;1598,6),ExpRankKey,0),"")</f>
        <v/>
      </c>
    </row>
    <row r="1615">
      <c r="A1615" s="16" t="n">
        <v>1599</v>
      </c>
      <c r="B1615" s="17">
        <f>IF($L1615="","",INDEX(ExpNorm,$L1615))</f>
        <v/>
      </c>
      <c r="C1615" s="17">
        <f>IF($L1615="","",IF(INDEX(ExpTime,$L1615)="","—",LEFT(INDEX(ExpTime,$L1615),2)&amp;":"&amp;RIGHT(INDEX(ExpTime,$L1615),2)))</f>
        <v/>
      </c>
      <c r="D1615" s="17">
        <f>IF($L1615="","",IF(INDEX(ExpBank,$L1615)="","—",INDEX(ExpBank,$L1615)))</f>
        <v/>
      </c>
      <c r="E1615" s="18">
        <f>IF($L1615="","",IF(INDEX(ExpParty,$L1615)="","—",IFERROR(VLOOKUP(INDEX(ExpParty,$L1615),AcctTbl,4,0),INDEX(ExpParty,$L1615))))</f>
        <v/>
      </c>
      <c r="F1615" s="17">
        <f>IF($L1615="","",IF(INDEX(ExpType,$L1615)="","—",INDEX(ExpType,$L1615)))</f>
        <v/>
      </c>
      <c r="G1615" s="19">
        <f>IF($L1615="","",IF(INDEX(ExpDep,$L1615)=0,"",INDEX(ExpDep,$L1615)))</f>
        <v/>
      </c>
      <c r="H1615" s="19">
        <f>IF($L1615="","",IF(INDEX(ExpWit,$L1615)=0,"",INDEX(ExpWit,$L1615)))</f>
        <v/>
      </c>
      <c r="I1615" s="20">
        <f>IF($B1615="","",IF($I1614="",0,$I1614)+IF($H1615="",0,$H1615)-IF($G1615="",0,$G1615))</f>
        <v/>
      </c>
      <c r="J1615" s="18">
        <f>IF($L1615="","",IF(INDEX(ExpNote,$L1615)="","—",INDEX(ExpNote,$L1615)))</f>
        <v/>
      </c>
      <c r="L1615">
        <f>IFERROR(MATCH($C$5&amp;"|"&amp;RIGHT("000000"&amp;1599,6),ExpRankKey,0),"")</f>
        <v/>
      </c>
    </row>
    <row r="1616">
      <c r="A1616" s="21" t="n">
        <v>1600</v>
      </c>
      <c r="B1616" s="22">
        <f>IF($L1616="","",INDEX(ExpNorm,$L1616))</f>
        <v/>
      </c>
      <c r="C1616" s="22">
        <f>IF($L1616="","",IF(INDEX(ExpTime,$L1616)="","—",LEFT(INDEX(ExpTime,$L1616),2)&amp;":"&amp;RIGHT(INDEX(ExpTime,$L1616),2)))</f>
        <v/>
      </c>
      <c r="D1616" s="22">
        <f>IF($L1616="","",IF(INDEX(ExpBank,$L1616)="","—",INDEX(ExpBank,$L1616)))</f>
        <v/>
      </c>
      <c r="E1616" s="23">
        <f>IF($L1616="","",IF(INDEX(ExpParty,$L1616)="","—",IFERROR(VLOOKUP(INDEX(ExpParty,$L1616),AcctTbl,4,0),INDEX(ExpParty,$L1616))))</f>
        <v/>
      </c>
      <c r="F1616" s="22">
        <f>IF($L1616="","",IF(INDEX(ExpType,$L1616)="","—",INDEX(ExpType,$L1616)))</f>
        <v/>
      </c>
      <c r="G1616" s="24">
        <f>IF($L1616="","",IF(INDEX(ExpDep,$L1616)=0,"",INDEX(ExpDep,$L1616)))</f>
        <v/>
      </c>
      <c r="H1616" s="24">
        <f>IF($L1616="","",IF(INDEX(ExpWit,$L1616)=0,"",INDEX(ExpWit,$L1616)))</f>
        <v/>
      </c>
      <c r="I1616" s="25">
        <f>IF($B1616="","",IF($I1615="",0,$I1615)+IF($H1616="",0,$H1616)-IF($G1616="",0,$G1616))</f>
        <v/>
      </c>
      <c r="J1616" s="23">
        <f>IF($L1616="","",IF(INDEX(ExpNote,$L1616)="","—",INDEX(ExpNote,$L1616)))</f>
        <v/>
      </c>
      <c r="L1616">
        <f>IFERROR(MATCH($C$5&amp;"|"&amp;RIGHT("000000"&amp;1600,6),ExpRankKey,0),"")</f>
        <v/>
      </c>
    </row>
    <row r="1617">
      <c r="A1617" s="16" t="n">
        <v>1601</v>
      </c>
      <c r="B1617" s="17">
        <f>IF($L1617="","",INDEX(ExpNorm,$L1617))</f>
        <v/>
      </c>
      <c r="C1617" s="17">
        <f>IF($L1617="","",IF(INDEX(ExpTime,$L1617)="","—",LEFT(INDEX(ExpTime,$L1617),2)&amp;":"&amp;RIGHT(INDEX(ExpTime,$L1617),2)))</f>
        <v/>
      </c>
      <c r="D1617" s="17">
        <f>IF($L1617="","",IF(INDEX(ExpBank,$L1617)="","—",INDEX(ExpBank,$L1617)))</f>
        <v/>
      </c>
      <c r="E1617" s="18">
        <f>IF($L1617="","",IF(INDEX(ExpParty,$L1617)="","—",IFERROR(VLOOKUP(INDEX(ExpParty,$L1617),AcctTbl,4,0),INDEX(ExpParty,$L1617))))</f>
        <v/>
      </c>
      <c r="F1617" s="17">
        <f>IF($L1617="","",IF(INDEX(ExpType,$L1617)="","—",INDEX(ExpType,$L1617)))</f>
        <v/>
      </c>
      <c r="G1617" s="19">
        <f>IF($L1617="","",IF(INDEX(ExpDep,$L1617)=0,"",INDEX(ExpDep,$L1617)))</f>
        <v/>
      </c>
      <c r="H1617" s="19">
        <f>IF($L1617="","",IF(INDEX(ExpWit,$L1617)=0,"",INDEX(ExpWit,$L1617)))</f>
        <v/>
      </c>
      <c r="I1617" s="20">
        <f>IF($B1617="","",IF($I1616="",0,$I1616)+IF($H1617="",0,$H1617)-IF($G1617="",0,$G1617))</f>
        <v/>
      </c>
      <c r="J1617" s="18">
        <f>IF($L1617="","",IF(INDEX(ExpNote,$L1617)="","—",INDEX(ExpNote,$L1617)))</f>
        <v/>
      </c>
      <c r="L1617">
        <f>IFERROR(MATCH($C$5&amp;"|"&amp;RIGHT("000000"&amp;1601,6),ExpRankKey,0),"")</f>
        <v/>
      </c>
    </row>
    <row r="1618">
      <c r="A1618" s="21" t="n">
        <v>1602</v>
      </c>
      <c r="B1618" s="22">
        <f>IF($L1618="","",INDEX(ExpNorm,$L1618))</f>
        <v/>
      </c>
      <c r="C1618" s="22">
        <f>IF($L1618="","",IF(INDEX(ExpTime,$L1618)="","—",LEFT(INDEX(ExpTime,$L1618),2)&amp;":"&amp;RIGHT(INDEX(ExpTime,$L1618),2)))</f>
        <v/>
      </c>
      <c r="D1618" s="22">
        <f>IF($L1618="","",IF(INDEX(ExpBank,$L1618)="","—",INDEX(ExpBank,$L1618)))</f>
        <v/>
      </c>
      <c r="E1618" s="23">
        <f>IF($L1618="","",IF(INDEX(ExpParty,$L1618)="","—",IFERROR(VLOOKUP(INDEX(ExpParty,$L1618),AcctTbl,4,0),INDEX(ExpParty,$L1618))))</f>
        <v/>
      </c>
      <c r="F1618" s="22">
        <f>IF($L1618="","",IF(INDEX(ExpType,$L1618)="","—",INDEX(ExpType,$L1618)))</f>
        <v/>
      </c>
      <c r="G1618" s="24">
        <f>IF($L1618="","",IF(INDEX(ExpDep,$L1618)=0,"",INDEX(ExpDep,$L1618)))</f>
        <v/>
      </c>
      <c r="H1618" s="24">
        <f>IF($L1618="","",IF(INDEX(ExpWit,$L1618)=0,"",INDEX(ExpWit,$L1618)))</f>
        <v/>
      </c>
      <c r="I1618" s="25">
        <f>IF($B1618="","",IF($I1617="",0,$I1617)+IF($H1618="",0,$H1618)-IF($G1618="",0,$G1618))</f>
        <v/>
      </c>
      <c r="J1618" s="23">
        <f>IF($L1618="","",IF(INDEX(ExpNote,$L1618)="","—",INDEX(ExpNote,$L1618)))</f>
        <v/>
      </c>
      <c r="L1618">
        <f>IFERROR(MATCH($C$5&amp;"|"&amp;RIGHT("000000"&amp;1602,6),ExpRankKey,0),"")</f>
        <v/>
      </c>
    </row>
    <row r="1619">
      <c r="A1619" s="16" t="n">
        <v>1603</v>
      </c>
      <c r="B1619" s="17">
        <f>IF($L1619="","",INDEX(ExpNorm,$L1619))</f>
        <v/>
      </c>
      <c r="C1619" s="17">
        <f>IF($L1619="","",IF(INDEX(ExpTime,$L1619)="","—",LEFT(INDEX(ExpTime,$L1619),2)&amp;":"&amp;RIGHT(INDEX(ExpTime,$L1619),2)))</f>
        <v/>
      </c>
      <c r="D1619" s="17">
        <f>IF($L1619="","",IF(INDEX(ExpBank,$L1619)="","—",INDEX(ExpBank,$L1619)))</f>
        <v/>
      </c>
      <c r="E1619" s="18">
        <f>IF($L1619="","",IF(INDEX(ExpParty,$L1619)="","—",IFERROR(VLOOKUP(INDEX(ExpParty,$L1619),AcctTbl,4,0),INDEX(ExpParty,$L1619))))</f>
        <v/>
      </c>
      <c r="F1619" s="17">
        <f>IF($L1619="","",IF(INDEX(ExpType,$L1619)="","—",INDEX(ExpType,$L1619)))</f>
        <v/>
      </c>
      <c r="G1619" s="19">
        <f>IF($L1619="","",IF(INDEX(ExpDep,$L1619)=0,"",INDEX(ExpDep,$L1619)))</f>
        <v/>
      </c>
      <c r="H1619" s="19">
        <f>IF($L1619="","",IF(INDEX(ExpWit,$L1619)=0,"",INDEX(ExpWit,$L1619)))</f>
        <v/>
      </c>
      <c r="I1619" s="20">
        <f>IF($B1619="","",IF($I1618="",0,$I1618)+IF($H1619="",0,$H1619)-IF($G1619="",0,$G1619))</f>
        <v/>
      </c>
      <c r="J1619" s="18">
        <f>IF($L1619="","",IF(INDEX(ExpNote,$L1619)="","—",INDEX(ExpNote,$L1619)))</f>
        <v/>
      </c>
      <c r="L1619">
        <f>IFERROR(MATCH($C$5&amp;"|"&amp;RIGHT("000000"&amp;1603,6),ExpRankKey,0),"")</f>
        <v/>
      </c>
    </row>
    <row r="1620">
      <c r="A1620" s="21" t="n">
        <v>1604</v>
      </c>
      <c r="B1620" s="22">
        <f>IF($L1620="","",INDEX(ExpNorm,$L1620))</f>
        <v/>
      </c>
      <c r="C1620" s="22">
        <f>IF($L1620="","",IF(INDEX(ExpTime,$L1620)="","—",LEFT(INDEX(ExpTime,$L1620),2)&amp;":"&amp;RIGHT(INDEX(ExpTime,$L1620),2)))</f>
        <v/>
      </c>
      <c r="D1620" s="22">
        <f>IF($L1620="","",IF(INDEX(ExpBank,$L1620)="","—",INDEX(ExpBank,$L1620)))</f>
        <v/>
      </c>
      <c r="E1620" s="23">
        <f>IF($L1620="","",IF(INDEX(ExpParty,$L1620)="","—",IFERROR(VLOOKUP(INDEX(ExpParty,$L1620),AcctTbl,4,0),INDEX(ExpParty,$L1620))))</f>
        <v/>
      </c>
      <c r="F1620" s="22">
        <f>IF($L1620="","",IF(INDEX(ExpType,$L1620)="","—",INDEX(ExpType,$L1620)))</f>
        <v/>
      </c>
      <c r="G1620" s="24">
        <f>IF($L1620="","",IF(INDEX(ExpDep,$L1620)=0,"",INDEX(ExpDep,$L1620)))</f>
        <v/>
      </c>
      <c r="H1620" s="24">
        <f>IF($L1620="","",IF(INDEX(ExpWit,$L1620)=0,"",INDEX(ExpWit,$L1620)))</f>
        <v/>
      </c>
      <c r="I1620" s="25">
        <f>IF($B1620="","",IF($I1619="",0,$I1619)+IF($H1620="",0,$H1620)-IF($G1620="",0,$G1620))</f>
        <v/>
      </c>
      <c r="J1620" s="23">
        <f>IF($L1620="","",IF(INDEX(ExpNote,$L1620)="","—",INDEX(ExpNote,$L1620)))</f>
        <v/>
      </c>
      <c r="L1620">
        <f>IFERROR(MATCH($C$5&amp;"|"&amp;RIGHT("000000"&amp;1604,6),ExpRankKey,0),"")</f>
        <v/>
      </c>
    </row>
    <row r="1621">
      <c r="A1621" s="16" t="n">
        <v>1605</v>
      </c>
      <c r="B1621" s="17">
        <f>IF($L1621="","",INDEX(ExpNorm,$L1621))</f>
        <v/>
      </c>
      <c r="C1621" s="17">
        <f>IF($L1621="","",IF(INDEX(ExpTime,$L1621)="","—",LEFT(INDEX(ExpTime,$L1621),2)&amp;":"&amp;RIGHT(INDEX(ExpTime,$L1621),2)))</f>
        <v/>
      </c>
      <c r="D1621" s="17">
        <f>IF($L1621="","",IF(INDEX(ExpBank,$L1621)="","—",INDEX(ExpBank,$L1621)))</f>
        <v/>
      </c>
      <c r="E1621" s="18">
        <f>IF($L1621="","",IF(INDEX(ExpParty,$L1621)="","—",IFERROR(VLOOKUP(INDEX(ExpParty,$L1621),AcctTbl,4,0),INDEX(ExpParty,$L1621))))</f>
        <v/>
      </c>
      <c r="F1621" s="17">
        <f>IF($L1621="","",IF(INDEX(ExpType,$L1621)="","—",INDEX(ExpType,$L1621)))</f>
        <v/>
      </c>
      <c r="G1621" s="19">
        <f>IF($L1621="","",IF(INDEX(ExpDep,$L1621)=0,"",INDEX(ExpDep,$L1621)))</f>
        <v/>
      </c>
      <c r="H1621" s="19">
        <f>IF($L1621="","",IF(INDEX(ExpWit,$L1621)=0,"",INDEX(ExpWit,$L1621)))</f>
        <v/>
      </c>
      <c r="I1621" s="20">
        <f>IF($B1621="","",IF($I1620="",0,$I1620)+IF($H1621="",0,$H1621)-IF($G1621="",0,$G1621))</f>
        <v/>
      </c>
      <c r="J1621" s="18">
        <f>IF($L1621="","",IF(INDEX(ExpNote,$L1621)="","—",INDEX(ExpNote,$L1621)))</f>
        <v/>
      </c>
      <c r="L1621">
        <f>IFERROR(MATCH($C$5&amp;"|"&amp;RIGHT("000000"&amp;1605,6),ExpRankKey,0),"")</f>
        <v/>
      </c>
    </row>
    <row r="1622">
      <c r="A1622" s="21" t="n">
        <v>1606</v>
      </c>
      <c r="B1622" s="22">
        <f>IF($L1622="","",INDEX(ExpNorm,$L1622))</f>
        <v/>
      </c>
      <c r="C1622" s="22">
        <f>IF($L1622="","",IF(INDEX(ExpTime,$L1622)="","—",LEFT(INDEX(ExpTime,$L1622),2)&amp;":"&amp;RIGHT(INDEX(ExpTime,$L1622),2)))</f>
        <v/>
      </c>
      <c r="D1622" s="22">
        <f>IF($L1622="","",IF(INDEX(ExpBank,$L1622)="","—",INDEX(ExpBank,$L1622)))</f>
        <v/>
      </c>
      <c r="E1622" s="23">
        <f>IF($L1622="","",IF(INDEX(ExpParty,$L1622)="","—",IFERROR(VLOOKUP(INDEX(ExpParty,$L1622),AcctTbl,4,0),INDEX(ExpParty,$L1622))))</f>
        <v/>
      </c>
      <c r="F1622" s="22">
        <f>IF($L1622="","",IF(INDEX(ExpType,$L1622)="","—",INDEX(ExpType,$L1622)))</f>
        <v/>
      </c>
      <c r="G1622" s="24">
        <f>IF($L1622="","",IF(INDEX(ExpDep,$L1622)=0,"",INDEX(ExpDep,$L1622)))</f>
        <v/>
      </c>
      <c r="H1622" s="24">
        <f>IF($L1622="","",IF(INDEX(ExpWit,$L1622)=0,"",INDEX(ExpWit,$L1622)))</f>
        <v/>
      </c>
      <c r="I1622" s="25">
        <f>IF($B1622="","",IF($I1621="",0,$I1621)+IF($H1622="",0,$H1622)-IF($G1622="",0,$G1622))</f>
        <v/>
      </c>
      <c r="J1622" s="23">
        <f>IF($L1622="","",IF(INDEX(ExpNote,$L1622)="","—",INDEX(ExpNote,$L1622)))</f>
        <v/>
      </c>
      <c r="L1622">
        <f>IFERROR(MATCH($C$5&amp;"|"&amp;RIGHT("000000"&amp;1606,6),ExpRankKey,0),"")</f>
        <v/>
      </c>
    </row>
    <row r="1623">
      <c r="A1623" s="16" t="n">
        <v>1607</v>
      </c>
      <c r="B1623" s="17">
        <f>IF($L1623="","",INDEX(ExpNorm,$L1623))</f>
        <v/>
      </c>
      <c r="C1623" s="17">
        <f>IF($L1623="","",IF(INDEX(ExpTime,$L1623)="","—",LEFT(INDEX(ExpTime,$L1623),2)&amp;":"&amp;RIGHT(INDEX(ExpTime,$L1623),2)))</f>
        <v/>
      </c>
      <c r="D1623" s="17">
        <f>IF($L1623="","",IF(INDEX(ExpBank,$L1623)="","—",INDEX(ExpBank,$L1623)))</f>
        <v/>
      </c>
      <c r="E1623" s="18">
        <f>IF($L1623="","",IF(INDEX(ExpParty,$L1623)="","—",IFERROR(VLOOKUP(INDEX(ExpParty,$L1623),AcctTbl,4,0),INDEX(ExpParty,$L1623))))</f>
        <v/>
      </c>
      <c r="F1623" s="17">
        <f>IF($L1623="","",IF(INDEX(ExpType,$L1623)="","—",INDEX(ExpType,$L1623)))</f>
        <v/>
      </c>
      <c r="G1623" s="19">
        <f>IF($L1623="","",IF(INDEX(ExpDep,$L1623)=0,"",INDEX(ExpDep,$L1623)))</f>
        <v/>
      </c>
      <c r="H1623" s="19">
        <f>IF($L1623="","",IF(INDEX(ExpWit,$L1623)=0,"",INDEX(ExpWit,$L1623)))</f>
        <v/>
      </c>
      <c r="I1623" s="20">
        <f>IF($B1623="","",IF($I1622="",0,$I1622)+IF($H1623="",0,$H1623)-IF($G1623="",0,$G1623))</f>
        <v/>
      </c>
      <c r="J1623" s="18">
        <f>IF($L1623="","",IF(INDEX(ExpNote,$L1623)="","—",INDEX(ExpNote,$L1623)))</f>
        <v/>
      </c>
      <c r="L1623">
        <f>IFERROR(MATCH($C$5&amp;"|"&amp;RIGHT("000000"&amp;1607,6),ExpRankKey,0),"")</f>
        <v/>
      </c>
    </row>
    <row r="1624">
      <c r="A1624" s="21" t="n">
        <v>1608</v>
      </c>
      <c r="B1624" s="22">
        <f>IF($L1624="","",INDEX(ExpNorm,$L1624))</f>
        <v/>
      </c>
      <c r="C1624" s="22">
        <f>IF($L1624="","",IF(INDEX(ExpTime,$L1624)="","—",LEFT(INDEX(ExpTime,$L1624),2)&amp;":"&amp;RIGHT(INDEX(ExpTime,$L1624),2)))</f>
        <v/>
      </c>
      <c r="D1624" s="22">
        <f>IF($L1624="","",IF(INDEX(ExpBank,$L1624)="","—",INDEX(ExpBank,$L1624)))</f>
        <v/>
      </c>
      <c r="E1624" s="23">
        <f>IF($L1624="","",IF(INDEX(ExpParty,$L1624)="","—",IFERROR(VLOOKUP(INDEX(ExpParty,$L1624),AcctTbl,4,0),INDEX(ExpParty,$L1624))))</f>
        <v/>
      </c>
      <c r="F1624" s="22">
        <f>IF($L1624="","",IF(INDEX(ExpType,$L1624)="","—",INDEX(ExpType,$L1624)))</f>
        <v/>
      </c>
      <c r="G1624" s="24">
        <f>IF($L1624="","",IF(INDEX(ExpDep,$L1624)=0,"",INDEX(ExpDep,$L1624)))</f>
        <v/>
      </c>
      <c r="H1624" s="24">
        <f>IF($L1624="","",IF(INDEX(ExpWit,$L1624)=0,"",INDEX(ExpWit,$L1624)))</f>
        <v/>
      </c>
      <c r="I1624" s="25">
        <f>IF($B1624="","",IF($I1623="",0,$I1623)+IF($H1624="",0,$H1624)-IF($G1624="",0,$G1624))</f>
        <v/>
      </c>
      <c r="J1624" s="23">
        <f>IF($L1624="","",IF(INDEX(ExpNote,$L1624)="","—",INDEX(ExpNote,$L1624)))</f>
        <v/>
      </c>
      <c r="L1624">
        <f>IFERROR(MATCH($C$5&amp;"|"&amp;RIGHT("000000"&amp;1608,6),ExpRankKey,0),"")</f>
        <v/>
      </c>
    </row>
    <row r="1625">
      <c r="A1625" s="16" t="n">
        <v>1609</v>
      </c>
      <c r="B1625" s="17">
        <f>IF($L1625="","",INDEX(ExpNorm,$L1625))</f>
        <v/>
      </c>
      <c r="C1625" s="17">
        <f>IF($L1625="","",IF(INDEX(ExpTime,$L1625)="","—",LEFT(INDEX(ExpTime,$L1625),2)&amp;":"&amp;RIGHT(INDEX(ExpTime,$L1625),2)))</f>
        <v/>
      </c>
      <c r="D1625" s="17">
        <f>IF($L1625="","",IF(INDEX(ExpBank,$L1625)="","—",INDEX(ExpBank,$L1625)))</f>
        <v/>
      </c>
      <c r="E1625" s="18">
        <f>IF($L1625="","",IF(INDEX(ExpParty,$L1625)="","—",IFERROR(VLOOKUP(INDEX(ExpParty,$L1625),AcctTbl,4,0),INDEX(ExpParty,$L1625))))</f>
        <v/>
      </c>
      <c r="F1625" s="17">
        <f>IF($L1625="","",IF(INDEX(ExpType,$L1625)="","—",INDEX(ExpType,$L1625)))</f>
        <v/>
      </c>
      <c r="G1625" s="19">
        <f>IF($L1625="","",IF(INDEX(ExpDep,$L1625)=0,"",INDEX(ExpDep,$L1625)))</f>
        <v/>
      </c>
      <c r="H1625" s="19">
        <f>IF($L1625="","",IF(INDEX(ExpWit,$L1625)=0,"",INDEX(ExpWit,$L1625)))</f>
        <v/>
      </c>
      <c r="I1625" s="20">
        <f>IF($B1625="","",IF($I1624="",0,$I1624)+IF($H1625="",0,$H1625)-IF($G1625="",0,$G1625))</f>
        <v/>
      </c>
      <c r="J1625" s="18">
        <f>IF($L1625="","",IF(INDEX(ExpNote,$L1625)="","—",INDEX(ExpNote,$L1625)))</f>
        <v/>
      </c>
      <c r="L1625">
        <f>IFERROR(MATCH($C$5&amp;"|"&amp;RIGHT("000000"&amp;1609,6),ExpRankKey,0),"")</f>
        <v/>
      </c>
    </row>
    <row r="1626">
      <c r="A1626" s="21" t="n">
        <v>1610</v>
      </c>
      <c r="B1626" s="22">
        <f>IF($L1626="","",INDEX(ExpNorm,$L1626))</f>
        <v/>
      </c>
      <c r="C1626" s="22">
        <f>IF($L1626="","",IF(INDEX(ExpTime,$L1626)="","—",LEFT(INDEX(ExpTime,$L1626),2)&amp;":"&amp;RIGHT(INDEX(ExpTime,$L1626),2)))</f>
        <v/>
      </c>
      <c r="D1626" s="22">
        <f>IF($L1626="","",IF(INDEX(ExpBank,$L1626)="","—",INDEX(ExpBank,$L1626)))</f>
        <v/>
      </c>
      <c r="E1626" s="23">
        <f>IF($L1626="","",IF(INDEX(ExpParty,$L1626)="","—",IFERROR(VLOOKUP(INDEX(ExpParty,$L1626),AcctTbl,4,0),INDEX(ExpParty,$L1626))))</f>
        <v/>
      </c>
      <c r="F1626" s="22">
        <f>IF($L1626="","",IF(INDEX(ExpType,$L1626)="","—",INDEX(ExpType,$L1626)))</f>
        <v/>
      </c>
      <c r="G1626" s="24">
        <f>IF($L1626="","",IF(INDEX(ExpDep,$L1626)=0,"",INDEX(ExpDep,$L1626)))</f>
        <v/>
      </c>
      <c r="H1626" s="24">
        <f>IF($L1626="","",IF(INDEX(ExpWit,$L1626)=0,"",INDEX(ExpWit,$L1626)))</f>
        <v/>
      </c>
      <c r="I1626" s="25">
        <f>IF($B1626="","",IF($I1625="",0,$I1625)+IF($H1626="",0,$H1626)-IF($G1626="",0,$G1626))</f>
        <v/>
      </c>
      <c r="J1626" s="23">
        <f>IF($L1626="","",IF(INDEX(ExpNote,$L1626)="","—",INDEX(ExpNote,$L1626)))</f>
        <v/>
      </c>
      <c r="L1626">
        <f>IFERROR(MATCH($C$5&amp;"|"&amp;RIGHT("000000"&amp;1610,6),ExpRankKey,0),"")</f>
        <v/>
      </c>
    </row>
    <row r="1627">
      <c r="A1627" s="16" t="n">
        <v>1611</v>
      </c>
      <c r="B1627" s="17">
        <f>IF($L1627="","",INDEX(ExpNorm,$L1627))</f>
        <v/>
      </c>
      <c r="C1627" s="17">
        <f>IF($L1627="","",IF(INDEX(ExpTime,$L1627)="","—",LEFT(INDEX(ExpTime,$L1627),2)&amp;":"&amp;RIGHT(INDEX(ExpTime,$L1627),2)))</f>
        <v/>
      </c>
      <c r="D1627" s="17">
        <f>IF($L1627="","",IF(INDEX(ExpBank,$L1627)="","—",INDEX(ExpBank,$L1627)))</f>
        <v/>
      </c>
      <c r="E1627" s="18">
        <f>IF($L1627="","",IF(INDEX(ExpParty,$L1627)="","—",IFERROR(VLOOKUP(INDEX(ExpParty,$L1627),AcctTbl,4,0),INDEX(ExpParty,$L1627))))</f>
        <v/>
      </c>
      <c r="F1627" s="17">
        <f>IF($L1627="","",IF(INDEX(ExpType,$L1627)="","—",INDEX(ExpType,$L1627)))</f>
        <v/>
      </c>
      <c r="G1627" s="19">
        <f>IF($L1627="","",IF(INDEX(ExpDep,$L1627)=0,"",INDEX(ExpDep,$L1627)))</f>
        <v/>
      </c>
      <c r="H1627" s="19">
        <f>IF($L1627="","",IF(INDEX(ExpWit,$L1627)=0,"",INDEX(ExpWit,$L1627)))</f>
        <v/>
      </c>
      <c r="I1627" s="20">
        <f>IF($B1627="","",IF($I1626="",0,$I1626)+IF($H1627="",0,$H1627)-IF($G1627="",0,$G1627))</f>
        <v/>
      </c>
      <c r="J1627" s="18">
        <f>IF($L1627="","",IF(INDEX(ExpNote,$L1627)="","—",INDEX(ExpNote,$L1627)))</f>
        <v/>
      </c>
      <c r="L1627">
        <f>IFERROR(MATCH($C$5&amp;"|"&amp;RIGHT("000000"&amp;1611,6),ExpRankKey,0),"")</f>
        <v/>
      </c>
    </row>
    <row r="1628">
      <c r="A1628" s="21" t="n">
        <v>1612</v>
      </c>
      <c r="B1628" s="22">
        <f>IF($L1628="","",INDEX(ExpNorm,$L1628))</f>
        <v/>
      </c>
      <c r="C1628" s="22">
        <f>IF($L1628="","",IF(INDEX(ExpTime,$L1628)="","—",LEFT(INDEX(ExpTime,$L1628),2)&amp;":"&amp;RIGHT(INDEX(ExpTime,$L1628),2)))</f>
        <v/>
      </c>
      <c r="D1628" s="22">
        <f>IF($L1628="","",IF(INDEX(ExpBank,$L1628)="","—",INDEX(ExpBank,$L1628)))</f>
        <v/>
      </c>
      <c r="E1628" s="23">
        <f>IF($L1628="","",IF(INDEX(ExpParty,$L1628)="","—",IFERROR(VLOOKUP(INDEX(ExpParty,$L1628),AcctTbl,4,0),INDEX(ExpParty,$L1628))))</f>
        <v/>
      </c>
      <c r="F1628" s="22">
        <f>IF($L1628="","",IF(INDEX(ExpType,$L1628)="","—",INDEX(ExpType,$L1628)))</f>
        <v/>
      </c>
      <c r="G1628" s="24">
        <f>IF($L1628="","",IF(INDEX(ExpDep,$L1628)=0,"",INDEX(ExpDep,$L1628)))</f>
        <v/>
      </c>
      <c r="H1628" s="24">
        <f>IF($L1628="","",IF(INDEX(ExpWit,$L1628)=0,"",INDEX(ExpWit,$L1628)))</f>
        <v/>
      </c>
      <c r="I1628" s="25">
        <f>IF($B1628="","",IF($I1627="",0,$I1627)+IF($H1628="",0,$H1628)-IF($G1628="",0,$G1628))</f>
        <v/>
      </c>
      <c r="J1628" s="23">
        <f>IF($L1628="","",IF(INDEX(ExpNote,$L1628)="","—",INDEX(ExpNote,$L1628)))</f>
        <v/>
      </c>
      <c r="L1628">
        <f>IFERROR(MATCH($C$5&amp;"|"&amp;RIGHT("000000"&amp;1612,6),ExpRankKey,0),"")</f>
        <v/>
      </c>
    </row>
    <row r="1629">
      <c r="A1629" s="16" t="n">
        <v>1613</v>
      </c>
      <c r="B1629" s="17">
        <f>IF($L1629="","",INDEX(ExpNorm,$L1629))</f>
        <v/>
      </c>
      <c r="C1629" s="17">
        <f>IF($L1629="","",IF(INDEX(ExpTime,$L1629)="","—",LEFT(INDEX(ExpTime,$L1629),2)&amp;":"&amp;RIGHT(INDEX(ExpTime,$L1629),2)))</f>
        <v/>
      </c>
      <c r="D1629" s="17">
        <f>IF($L1629="","",IF(INDEX(ExpBank,$L1629)="","—",INDEX(ExpBank,$L1629)))</f>
        <v/>
      </c>
      <c r="E1629" s="18">
        <f>IF($L1629="","",IF(INDEX(ExpParty,$L1629)="","—",IFERROR(VLOOKUP(INDEX(ExpParty,$L1629),AcctTbl,4,0),INDEX(ExpParty,$L1629))))</f>
        <v/>
      </c>
      <c r="F1629" s="17">
        <f>IF($L1629="","",IF(INDEX(ExpType,$L1629)="","—",INDEX(ExpType,$L1629)))</f>
        <v/>
      </c>
      <c r="G1629" s="19">
        <f>IF($L1629="","",IF(INDEX(ExpDep,$L1629)=0,"",INDEX(ExpDep,$L1629)))</f>
        <v/>
      </c>
      <c r="H1629" s="19">
        <f>IF($L1629="","",IF(INDEX(ExpWit,$L1629)=0,"",INDEX(ExpWit,$L1629)))</f>
        <v/>
      </c>
      <c r="I1629" s="20">
        <f>IF($B1629="","",IF($I1628="",0,$I1628)+IF($H1629="",0,$H1629)-IF($G1629="",0,$G1629))</f>
        <v/>
      </c>
      <c r="J1629" s="18">
        <f>IF($L1629="","",IF(INDEX(ExpNote,$L1629)="","—",INDEX(ExpNote,$L1629)))</f>
        <v/>
      </c>
      <c r="L1629">
        <f>IFERROR(MATCH($C$5&amp;"|"&amp;RIGHT("000000"&amp;1613,6),ExpRankKey,0),"")</f>
        <v/>
      </c>
    </row>
    <row r="1630">
      <c r="A1630" s="21" t="n">
        <v>1614</v>
      </c>
      <c r="B1630" s="22">
        <f>IF($L1630="","",INDEX(ExpNorm,$L1630))</f>
        <v/>
      </c>
      <c r="C1630" s="22">
        <f>IF($L1630="","",IF(INDEX(ExpTime,$L1630)="","—",LEFT(INDEX(ExpTime,$L1630),2)&amp;":"&amp;RIGHT(INDEX(ExpTime,$L1630),2)))</f>
        <v/>
      </c>
      <c r="D1630" s="22">
        <f>IF($L1630="","",IF(INDEX(ExpBank,$L1630)="","—",INDEX(ExpBank,$L1630)))</f>
        <v/>
      </c>
      <c r="E1630" s="23">
        <f>IF($L1630="","",IF(INDEX(ExpParty,$L1630)="","—",IFERROR(VLOOKUP(INDEX(ExpParty,$L1630),AcctTbl,4,0),INDEX(ExpParty,$L1630))))</f>
        <v/>
      </c>
      <c r="F1630" s="22">
        <f>IF($L1630="","",IF(INDEX(ExpType,$L1630)="","—",INDEX(ExpType,$L1630)))</f>
        <v/>
      </c>
      <c r="G1630" s="24">
        <f>IF($L1630="","",IF(INDEX(ExpDep,$L1630)=0,"",INDEX(ExpDep,$L1630)))</f>
        <v/>
      </c>
      <c r="H1630" s="24">
        <f>IF($L1630="","",IF(INDEX(ExpWit,$L1630)=0,"",INDEX(ExpWit,$L1630)))</f>
        <v/>
      </c>
      <c r="I1630" s="25">
        <f>IF($B1630="","",IF($I1629="",0,$I1629)+IF($H1630="",0,$H1630)-IF($G1630="",0,$G1630))</f>
        <v/>
      </c>
      <c r="J1630" s="23">
        <f>IF($L1630="","",IF(INDEX(ExpNote,$L1630)="","—",INDEX(ExpNote,$L1630)))</f>
        <v/>
      </c>
      <c r="L1630">
        <f>IFERROR(MATCH($C$5&amp;"|"&amp;RIGHT("000000"&amp;1614,6),ExpRankKey,0),"")</f>
        <v/>
      </c>
    </row>
    <row r="1631">
      <c r="A1631" s="16" t="n">
        <v>1615</v>
      </c>
      <c r="B1631" s="17">
        <f>IF($L1631="","",INDEX(ExpNorm,$L1631))</f>
        <v/>
      </c>
      <c r="C1631" s="17">
        <f>IF($L1631="","",IF(INDEX(ExpTime,$L1631)="","—",LEFT(INDEX(ExpTime,$L1631),2)&amp;":"&amp;RIGHT(INDEX(ExpTime,$L1631),2)))</f>
        <v/>
      </c>
      <c r="D1631" s="17">
        <f>IF($L1631="","",IF(INDEX(ExpBank,$L1631)="","—",INDEX(ExpBank,$L1631)))</f>
        <v/>
      </c>
      <c r="E1631" s="18">
        <f>IF($L1631="","",IF(INDEX(ExpParty,$L1631)="","—",IFERROR(VLOOKUP(INDEX(ExpParty,$L1631),AcctTbl,4,0),INDEX(ExpParty,$L1631))))</f>
        <v/>
      </c>
      <c r="F1631" s="17">
        <f>IF($L1631="","",IF(INDEX(ExpType,$L1631)="","—",INDEX(ExpType,$L1631)))</f>
        <v/>
      </c>
      <c r="G1631" s="19">
        <f>IF($L1631="","",IF(INDEX(ExpDep,$L1631)=0,"",INDEX(ExpDep,$L1631)))</f>
        <v/>
      </c>
      <c r="H1631" s="19">
        <f>IF($L1631="","",IF(INDEX(ExpWit,$L1631)=0,"",INDEX(ExpWit,$L1631)))</f>
        <v/>
      </c>
      <c r="I1631" s="20">
        <f>IF($B1631="","",IF($I1630="",0,$I1630)+IF($H1631="",0,$H1631)-IF($G1631="",0,$G1631))</f>
        <v/>
      </c>
      <c r="J1631" s="18">
        <f>IF($L1631="","",IF(INDEX(ExpNote,$L1631)="","—",INDEX(ExpNote,$L1631)))</f>
        <v/>
      </c>
      <c r="L1631">
        <f>IFERROR(MATCH($C$5&amp;"|"&amp;RIGHT("000000"&amp;1615,6),ExpRankKey,0),"")</f>
        <v/>
      </c>
    </row>
    <row r="1632">
      <c r="A1632" s="21" t="n">
        <v>1616</v>
      </c>
      <c r="B1632" s="22">
        <f>IF($L1632="","",INDEX(ExpNorm,$L1632))</f>
        <v/>
      </c>
      <c r="C1632" s="22">
        <f>IF($L1632="","",IF(INDEX(ExpTime,$L1632)="","—",LEFT(INDEX(ExpTime,$L1632),2)&amp;":"&amp;RIGHT(INDEX(ExpTime,$L1632),2)))</f>
        <v/>
      </c>
      <c r="D1632" s="22">
        <f>IF($L1632="","",IF(INDEX(ExpBank,$L1632)="","—",INDEX(ExpBank,$L1632)))</f>
        <v/>
      </c>
      <c r="E1632" s="23">
        <f>IF($L1632="","",IF(INDEX(ExpParty,$L1632)="","—",IFERROR(VLOOKUP(INDEX(ExpParty,$L1632),AcctTbl,4,0),INDEX(ExpParty,$L1632))))</f>
        <v/>
      </c>
      <c r="F1632" s="22">
        <f>IF($L1632="","",IF(INDEX(ExpType,$L1632)="","—",INDEX(ExpType,$L1632)))</f>
        <v/>
      </c>
      <c r="G1632" s="24">
        <f>IF($L1632="","",IF(INDEX(ExpDep,$L1632)=0,"",INDEX(ExpDep,$L1632)))</f>
        <v/>
      </c>
      <c r="H1632" s="24">
        <f>IF($L1632="","",IF(INDEX(ExpWit,$L1632)=0,"",INDEX(ExpWit,$L1632)))</f>
        <v/>
      </c>
      <c r="I1632" s="25">
        <f>IF($B1632="","",IF($I1631="",0,$I1631)+IF($H1632="",0,$H1632)-IF($G1632="",0,$G1632))</f>
        <v/>
      </c>
      <c r="J1632" s="23">
        <f>IF($L1632="","",IF(INDEX(ExpNote,$L1632)="","—",INDEX(ExpNote,$L1632)))</f>
        <v/>
      </c>
      <c r="L1632">
        <f>IFERROR(MATCH($C$5&amp;"|"&amp;RIGHT("000000"&amp;1616,6),ExpRankKey,0),"")</f>
        <v/>
      </c>
    </row>
    <row r="1633">
      <c r="A1633" s="16" t="n">
        <v>1617</v>
      </c>
      <c r="B1633" s="17">
        <f>IF($L1633="","",INDEX(ExpNorm,$L1633))</f>
        <v/>
      </c>
      <c r="C1633" s="17">
        <f>IF($L1633="","",IF(INDEX(ExpTime,$L1633)="","—",LEFT(INDEX(ExpTime,$L1633),2)&amp;":"&amp;RIGHT(INDEX(ExpTime,$L1633),2)))</f>
        <v/>
      </c>
      <c r="D1633" s="17">
        <f>IF($L1633="","",IF(INDEX(ExpBank,$L1633)="","—",INDEX(ExpBank,$L1633)))</f>
        <v/>
      </c>
      <c r="E1633" s="18">
        <f>IF($L1633="","",IF(INDEX(ExpParty,$L1633)="","—",IFERROR(VLOOKUP(INDEX(ExpParty,$L1633),AcctTbl,4,0),INDEX(ExpParty,$L1633))))</f>
        <v/>
      </c>
      <c r="F1633" s="17">
        <f>IF($L1633="","",IF(INDEX(ExpType,$L1633)="","—",INDEX(ExpType,$L1633)))</f>
        <v/>
      </c>
      <c r="G1633" s="19">
        <f>IF($L1633="","",IF(INDEX(ExpDep,$L1633)=0,"",INDEX(ExpDep,$L1633)))</f>
        <v/>
      </c>
      <c r="H1633" s="19">
        <f>IF($L1633="","",IF(INDEX(ExpWit,$L1633)=0,"",INDEX(ExpWit,$L1633)))</f>
        <v/>
      </c>
      <c r="I1633" s="20">
        <f>IF($B1633="","",IF($I1632="",0,$I1632)+IF($H1633="",0,$H1633)-IF($G1633="",0,$G1633))</f>
        <v/>
      </c>
      <c r="J1633" s="18">
        <f>IF($L1633="","",IF(INDEX(ExpNote,$L1633)="","—",INDEX(ExpNote,$L1633)))</f>
        <v/>
      </c>
      <c r="L1633">
        <f>IFERROR(MATCH($C$5&amp;"|"&amp;RIGHT("000000"&amp;1617,6),ExpRankKey,0),"")</f>
        <v/>
      </c>
    </row>
    <row r="1634">
      <c r="A1634" s="21" t="n">
        <v>1618</v>
      </c>
      <c r="B1634" s="22">
        <f>IF($L1634="","",INDEX(ExpNorm,$L1634))</f>
        <v/>
      </c>
      <c r="C1634" s="22">
        <f>IF($L1634="","",IF(INDEX(ExpTime,$L1634)="","—",LEFT(INDEX(ExpTime,$L1634),2)&amp;":"&amp;RIGHT(INDEX(ExpTime,$L1634),2)))</f>
        <v/>
      </c>
      <c r="D1634" s="22">
        <f>IF($L1634="","",IF(INDEX(ExpBank,$L1634)="","—",INDEX(ExpBank,$L1634)))</f>
        <v/>
      </c>
      <c r="E1634" s="23">
        <f>IF($L1634="","",IF(INDEX(ExpParty,$L1634)="","—",IFERROR(VLOOKUP(INDEX(ExpParty,$L1634),AcctTbl,4,0),INDEX(ExpParty,$L1634))))</f>
        <v/>
      </c>
      <c r="F1634" s="22">
        <f>IF($L1634="","",IF(INDEX(ExpType,$L1634)="","—",INDEX(ExpType,$L1634)))</f>
        <v/>
      </c>
      <c r="G1634" s="24">
        <f>IF($L1634="","",IF(INDEX(ExpDep,$L1634)=0,"",INDEX(ExpDep,$L1634)))</f>
        <v/>
      </c>
      <c r="H1634" s="24">
        <f>IF($L1634="","",IF(INDEX(ExpWit,$L1634)=0,"",INDEX(ExpWit,$L1634)))</f>
        <v/>
      </c>
      <c r="I1634" s="25">
        <f>IF($B1634="","",IF($I1633="",0,$I1633)+IF($H1634="",0,$H1634)-IF($G1634="",0,$G1634))</f>
        <v/>
      </c>
      <c r="J1634" s="23">
        <f>IF($L1634="","",IF(INDEX(ExpNote,$L1634)="","—",INDEX(ExpNote,$L1634)))</f>
        <v/>
      </c>
      <c r="L1634">
        <f>IFERROR(MATCH($C$5&amp;"|"&amp;RIGHT("000000"&amp;1618,6),ExpRankKey,0),"")</f>
        <v/>
      </c>
    </row>
    <row r="1635">
      <c r="A1635" s="16" t="n">
        <v>1619</v>
      </c>
      <c r="B1635" s="17">
        <f>IF($L1635="","",INDEX(ExpNorm,$L1635))</f>
        <v/>
      </c>
      <c r="C1635" s="17">
        <f>IF($L1635="","",IF(INDEX(ExpTime,$L1635)="","—",LEFT(INDEX(ExpTime,$L1635),2)&amp;":"&amp;RIGHT(INDEX(ExpTime,$L1635),2)))</f>
        <v/>
      </c>
      <c r="D1635" s="17">
        <f>IF($L1635="","",IF(INDEX(ExpBank,$L1635)="","—",INDEX(ExpBank,$L1635)))</f>
        <v/>
      </c>
      <c r="E1635" s="18">
        <f>IF($L1635="","",IF(INDEX(ExpParty,$L1635)="","—",IFERROR(VLOOKUP(INDEX(ExpParty,$L1635),AcctTbl,4,0),INDEX(ExpParty,$L1635))))</f>
        <v/>
      </c>
      <c r="F1635" s="17">
        <f>IF($L1635="","",IF(INDEX(ExpType,$L1635)="","—",INDEX(ExpType,$L1635)))</f>
        <v/>
      </c>
      <c r="G1635" s="19">
        <f>IF($L1635="","",IF(INDEX(ExpDep,$L1635)=0,"",INDEX(ExpDep,$L1635)))</f>
        <v/>
      </c>
      <c r="H1635" s="19">
        <f>IF($L1635="","",IF(INDEX(ExpWit,$L1635)=0,"",INDEX(ExpWit,$L1635)))</f>
        <v/>
      </c>
      <c r="I1635" s="20">
        <f>IF($B1635="","",IF($I1634="",0,$I1634)+IF($H1635="",0,$H1635)-IF($G1635="",0,$G1635))</f>
        <v/>
      </c>
      <c r="J1635" s="18">
        <f>IF($L1635="","",IF(INDEX(ExpNote,$L1635)="","—",INDEX(ExpNote,$L1635)))</f>
        <v/>
      </c>
      <c r="L1635">
        <f>IFERROR(MATCH($C$5&amp;"|"&amp;RIGHT("000000"&amp;1619,6),ExpRankKey,0),"")</f>
        <v/>
      </c>
    </row>
    <row r="1636">
      <c r="A1636" s="21" t="n">
        <v>1620</v>
      </c>
      <c r="B1636" s="22">
        <f>IF($L1636="","",INDEX(ExpNorm,$L1636))</f>
        <v/>
      </c>
      <c r="C1636" s="22">
        <f>IF($L1636="","",IF(INDEX(ExpTime,$L1636)="","—",LEFT(INDEX(ExpTime,$L1636),2)&amp;":"&amp;RIGHT(INDEX(ExpTime,$L1636),2)))</f>
        <v/>
      </c>
      <c r="D1636" s="22">
        <f>IF($L1636="","",IF(INDEX(ExpBank,$L1636)="","—",INDEX(ExpBank,$L1636)))</f>
        <v/>
      </c>
      <c r="E1636" s="23">
        <f>IF($L1636="","",IF(INDEX(ExpParty,$L1636)="","—",IFERROR(VLOOKUP(INDEX(ExpParty,$L1636),AcctTbl,4,0),INDEX(ExpParty,$L1636))))</f>
        <v/>
      </c>
      <c r="F1636" s="22">
        <f>IF($L1636="","",IF(INDEX(ExpType,$L1636)="","—",INDEX(ExpType,$L1636)))</f>
        <v/>
      </c>
      <c r="G1636" s="24">
        <f>IF($L1636="","",IF(INDEX(ExpDep,$L1636)=0,"",INDEX(ExpDep,$L1636)))</f>
        <v/>
      </c>
      <c r="H1636" s="24">
        <f>IF($L1636="","",IF(INDEX(ExpWit,$L1636)=0,"",INDEX(ExpWit,$L1636)))</f>
        <v/>
      </c>
      <c r="I1636" s="25">
        <f>IF($B1636="","",IF($I1635="",0,$I1635)+IF($H1636="",0,$H1636)-IF($G1636="",0,$G1636))</f>
        <v/>
      </c>
      <c r="J1636" s="23">
        <f>IF($L1636="","",IF(INDEX(ExpNote,$L1636)="","—",INDEX(ExpNote,$L1636)))</f>
        <v/>
      </c>
      <c r="L1636">
        <f>IFERROR(MATCH($C$5&amp;"|"&amp;RIGHT("000000"&amp;1620,6),ExpRankKey,0),"")</f>
        <v/>
      </c>
    </row>
    <row r="1637">
      <c r="A1637" s="16" t="n">
        <v>1621</v>
      </c>
      <c r="B1637" s="17">
        <f>IF($L1637="","",INDEX(ExpNorm,$L1637))</f>
        <v/>
      </c>
      <c r="C1637" s="17">
        <f>IF($L1637="","",IF(INDEX(ExpTime,$L1637)="","—",LEFT(INDEX(ExpTime,$L1637),2)&amp;":"&amp;RIGHT(INDEX(ExpTime,$L1637),2)))</f>
        <v/>
      </c>
      <c r="D1637" s="17">
        <f>IF($L1637="","",IF(INDEX(ExpBank,$L1637)="","—",INDEX(ExpBank,$L1637)))</f>
        <v/>
      </c>
      <c r="E1637" s="18">
        <f>IF($L1637="","",IF(INDEX(ExpParty,$L1637)="","—",IFERROR(VLOOKUP(INDEX(ExpParty,$L1637),AcctTbl,4,0),INDEX(ExpParty,$L1637))))</f>
        <v/>
      </c>
      <c r="F1637" s="17">
        <f>IF($L1637="","",IF(INDEX(ExpType,$L1637)="","—",INDEX(ExpType,$L1637)))</f>
        <v/>
      </c>
      <c r="G1637" s="19">
        <f>IF($L1637="","",IF(INDEX(ExpDep,$L1637)=0,"",INDEX(ExpDep,$L1637)))</f>
        <v/>
      </c>
      <c r="H1637" s="19">
        <f>IF($L1637="","",IF(INDEX(ExpWit,$L1637)=0,"",INDEX(ExpWit,$L1637)))</f>
        <v/>
      </c>
      <c r="I1637" s="20">
        <f>IF($B1637="","",IF($I1636="",0,$I1636)+IF($H1637="",0,$H1637)-IF($G1637="",0,$G1637))</f>
        <v/>
      </c>
      <c r="J1637" s="18">
        <f>IF($L1637="","",IF(INDEX(ExpNote,$L1637)="","—",INDEX(ExpNote,$L1637)))</f>
        <v/>
      </c>
      <c r="L1637">
        <f>IFERROR(MATCH($C$5&amp;"|"&amp;RIGHT("000000"&amp;1621,6),ExpRankKey,0),"")</f>
        <v/>
      </c>
    </row>
    <row r="1638">
      <c r="A1638" s="21" t="n">
        <v>1622</v>
      </c>
      <c r="B1638" s="22">
        <f>IF($L1638="","",INDEX(ExpNorm,$L1638))</f>
        <v/>
      </c>
      <c r="C1638" s="22">
        <f>IF($L1638="","",IF(INDEX(ExpTime,$L1638)="","—",LEFT(INDEX(ExpTime,$L1638),2)&amp;":"&amp;RIGHT(INDEX(ExpTime,$L1638),2)))</f>
        <v/>
      </c>
      <c r="D1638" s="22">
        <f>IF($L1638="","",IF(INDEX(ExpBank,$L1638)="","—",INDEX(ExpBank,$L1638)))</f>
        <v/>
      </c>
      <c r="E1638" s="23">
        <f>IF($L1638="","",IF(INDEX(ExpParty,$L1638)="","—",IFERROR(VLOOKUP(INDEX(ExpParty,$L1638),AcctTbl,4,0),INDEX(ExpParty,$L1638))))</f>
        <v/>
      </c>
      <c r="F1638" s="22">
        <f>IF($L1638="","",IF(INDEX(ExpType,$L1638)="","—",INDEX(ExpType,$L1638)))</f>
        <v/>
      </c>
      <c r="G1638" s="24">
        <f>IF($L1638="","",IF(INDEX(ExpDep,$L1638)=0,"",INDEX(ExpDep,$L1638)))</f>
        <v/>
      </c>
      <c r="H1638" s="24">
        <f>IF($L1638="","",IF(INDEX(ExpWit,$L1638)=0,"",INDEX(ExpWit,$L1638)))</f>
        <v/>
      </c>
      <c r="I1638" s="25">
        <f>IF($B1638="","",IF($I1637="",0,$I1637)+IF($H1638="",0,$H1638)-IF($G1638="",0,$G1638))</f>
        <v/>
      </c>
      <c r="J1638" s="23">
        <f>IF($L1638="","",IF(INDEX(ExpNote,$L1638)="","—",INDEX(ExpNote,$L1638)))</f>
        <v/>
      </c>
      <c r="L1638">
        <f>IFERROR(MATCH($C$5&amp;"|"&amp;RIGHT("000000"&amp;1622,6),ExpRankKey,0),"")</f>
        <v/>
      </c>
    </row>
    <row r="1639">
      <c r="A1639" s="16" t="n">
        <v>1623</v>
      </c>
      <c r="B1639" s="17">
        <f>IF($L1639="","",INDEX(ExpNorm,$L1639))</f>
        <v/>
      </c>
      <c r="C1639" s="17">
        <f>IF($L1639="","",IF(INDEX(ExpTime,$L1639)="","—",LEFT(INDEX(ExpTime,$L1639),2)&amp;":"&amp;RIGHT(INDEX(ExpTime,$L1639),2)))</f>
        <v/>
      </c>
      <c r="D1639" s="17">
        <f>IF($L1639="","",IF(INDEX(ExpBank,$L1639)="","—",INDEX(ExpBank,$L1639)))</f>
        <v/>
      </c>
      <c r="E1639" s="18">
        <f>IF($L1639="","",IF(INDEX(ExpParty,$L1639)="","—",IFERROR(VLOOKUP(INDEX(ExpParty,$L1639),AcctTbl,4,0),INDEX(ExpParty,$L1639))))</f>
        <v/>
      </c>
      <c r="F1639" s="17">
        <f>IF($L1639="","",IF(INDEX(ExpType,$L1639)="","—",INDEX(ExpType,$L1639)))</f>
        <v/>
      </c>
      <c r="G1639" s="19">
        <f>IF($L1639="","",IF(INDEX(ExpDep,$L1639)=0,"",INDEX(ExpDep,$L1639)))</f>
        <v/>
      </c>
      <c r="H1639" s="19">
        <f>IF($L1639="","",IF(INDEX(ExpWit,$L1639)=0,"",INDEX(ExpWit,$L1639)))</f>
        <v/>
      </c>
      <c r="I1639" s="20">
        <f>IF($B1639="","",IF($I1638="",0,$I1638)+IF($H1639="",0,$H1639)-IF($G1639="",0,$G1639))</f>
        <v/>
      </c>
      <c r="J1639" s="18">
        <f>IF($L1639="","",IF(INDEX(ExpNote,$L1639)="","—",INDEX(ExpNote,$L1639)))</f>
        <v/>
      </c>
      <c r="L1639">
        <f>IFERROR(MATCH($C$5&amp;"|"&amp;RIGHT("000000"&amp;1623,6),ExpRankKey,0),"")</f>
        <v/>
      </c>
    </row>
    <row r="1640">
      <c r="A1640" s="21" t="n">
        <v>1624</v>
      </c>
      <c r="B1640" s="22">
        <f>IF($L1640="","",INDEX(ExpNorm,$L1640))</f>
        <v/>
      </c>
      <c r="C1640" s="22">
        <f>IF($L1640="","",IF(INDEX(ExpTime,$L1640)="","—",LEFT(INDEX(ExpTime,$L1640),2)&amp;":"&amp;RIGHT(INDEX(ExpTime,$L1640),2)))</f>
        <v/>
      </c>
      <c r="D1640" s="22">
        <f>IF($L1640="","",IF(INDEX(ExpBank,$L1640)="","—",INDEX(ExpBank,$L1640)))</f>
        <v/>
      </c>
      <c r="E1640" s="23">
        <f>IF($L1640="","",IF(INDEX(ExpParty,$L1640)="","—",IFERROR(VLOOKUP(INDEX(ExpParty,$L1640),AcctTbl,4,0),INDEX(ExpParty,$L1640))))</f>
        <v/>
      </c>
      <c r="F1640" s="22">
        <f>IF($L1640="","",IF(INDEX(ExpType,$L1640)="","—",INDEX(ExpType,$L1640)))</f>
        <v/>
      </c>
      <c r="G1640" s="24">
        <f>IF($L1640="","",IF(INDEX(ExpDep,$L1640)=0,"",INDEX(ExpDep,$L1640)))</f>
        <v/>
      </c>
      <c r="H1640" s="24">
        <f>IF($L1640="","",IF(INDEX(ExpWit,$L1640)=0,"",INDEX(ExpWit,$L1640)))</f>
        <v/>
      </c>
      <c r="I1640" s="25">
        <f>IF($B1640="","",IF($I1639="",0,$I1639)+IF($H1640="",0,$H1640)-IF($G1640="",0,$G1640))</f>
        <v/>
      </c>
      <c r="J1640" s="23">
        <f>IF($L1640="","",IF(INDEX(ExpNote,$L1640)="","—",INDEX(ExpNote,$L1640)))</f>
        <v/>
      </c>
      <c r="L1640">
        <f>IFERROR(MATCH($C$5&amp;"|"&amp;RIGHT("000000"&amp;1624,6),ExpRankKey,0),"")</f>
        <v/>
      </c>
    </row>
    <row r="1641">
      <c r="A1641" s="16" t="n">
        <v>1625</v>
      </c>
      <c r="B1641" s="17">
        <f>IF($L1641="","",INDEX(ExpNorm,$L1641))</f>
        <v/>
      </c>
      <c r="C1641" s="17">
        <f>IF($L1641="","",IF(INDEX(ExpTime,$L1641)="","—",LEFT(INDEX(ExpTime,$L1641),2)&amp;":"&amp;RIGHT(INDEX(ExpTime,$L1641),2)))</f>
        <v/>
      </c>
      <c r="D1641" s="17">
        <f>IF($L1641="","",IF(INDEX(ExpBank,$L1641)="","—",INDEX(ExpBank,$L1641)))</f>
        <v/>
      </c>
      <c r="E1641" s="18">
        <f>IF($L1641="","",IF(INDEX(ExpParty,$L1641)="","—",IFERROR(VLOOKUP(INDEX(ExpParty,$L1641),AcctTbl,4,0),INDEX(ExpParty,$L1641))))</f>
        <v/>
      </c>
      <c r="F1641" s="17">
        <f>IF($L1641="","",IF(INDEX(ExpType,$L1641)="","—",INDEX(ExpType,$L1641)))</f>
        <v/>
      </c>
      <c r="G1641" s="19">
        <f>IF($L1641="","",IF(INDEX(ExpDep,$L1641)=0,"",INDEX(ExpDep,$L1641)))</f>
        <v/>
      </c>
      <c r="H1641" s="19">
        <f>IF($L1641="","",IF(INDEX(ExpWit,$L1641)=0,"",INDEX(ExpWit,$L1641)))</f>
        <v/>
      </c>
      <c r="I1641" s="20">
        <f>IF($B1641="","",IF($I1640="",0,$I1640)+IF($H1641="",0,$H1641)-IF($G1641="",0,$G1641))</f>
        <v/>
      </c>
      <c r="J1641" s="18">
        <f>IF($L1641="","",IF(INDEX(ExpNote,$L1641)="","—",INDEX(ExpNote,$L1641)))</f>
        <v/>
      </c>
      <c r="L1641">
        <f>IFERROR(MATCH($C$5&amp;"|"&amp;RIGHT("000000"&amp;1625,6),ExpRankKey,0),"")</f>
        <v/>
      </c>
    </row>
    <row r="1642">
      <c r="A1642" s="21" t="n">
        <v>1626</v>
      </c>
      <c r="B1642" s="22">
        <f>IF($L1642="","",INDEX(ExpNorm,$L1642))</f>
        <v/>
      </c>
      <c r="C1642" s="22">
        <f>IF($L1642="","",IF(INDEX(ExpTime,$L1642)="","—",LEFT(INDEX(ExpTime,$L1642),2)&amp;":"&amp;RIGHT(INDEX(ExpTime,$L1642),2)))</f>
        <v/>
      </c>
      <c r="D1642" s="22">
        <f>IF($L1642="","",IF(INDEX(ExpBank,$L1642)="","—",INDEX(ExpBank,$L1642)))</f>
        <v/>
      </c>
      <c r="E1642" s="23">
        <f>IF($L1642="","",IF(INDEX(ExpParty,$L1642)="","—",IFERROR(VLOOKUP(INDEX(ExpParty,$L1642),AcctTbl,4,0),INDEX(ExpParty,$L1642))))</f>
        <v/>
      </c>
      <c r="F1642" s="22">
        <f>IF($L1642="","",IF(INDEX(ExpType,$L1642)="","—",INDEX(ExpType,$L1642)))</f>
        <v/>
      </c>
      <c r="G1642" s="24">
        <f>IF($L1642="","",IF(INDEX(ExpDep,$L1642)=0,"",INDEX(ExpDep,$L1642)))</f>
        <v/>
      </c>
      <c r="H1642" s="24">
        <f>IF($L1642="","",IF(INDEX(ExpWit,$L1642)=0,"",INDEX(ExpWit,$L1642)))</f>
        <v/>
      </c>
      <c r="I1642" s="25">
        <f>IF($B1642="","",IF($I1641="",0,$I1641)+IF($H1642="",0,$H1642)-IF($G1642="",0,$G1642))</f>
        <v/>
      </c>
      <c r="J1642" s="23">
        <f>IF($L1642="","",IF(INDEX(ExpNote,$L1642)="","—",INDEX(ExpNote,$L1642)))</f>
        <v/>
      </c>
      <c r="L1642">
        <f>IFERROR(MATCH($C$5&amp;"|"&amp;RIGHT("000000"&amp;1626,6),ExpRankKey,0),"")</f>
        <v/>
      </c>
    </row>
    <row r="1643">
      <c r="A1643" s="16" t="n">
        <v>1627</v>
      </c>
      <c r="B1643" s="17">
        <f>IF($L1643="","",INDEX(ExpNorm,$L1643))</f>
        <v/>
      </c>
      <c r="C1643" s="17">
        <f>IF($L1643="","",IF(INDEX(ExpTime,$L1643)="","—",LEFT(INDEX(ExpTime,$L1643),2)&amp;":"&amp;RIGHT(INDEX(ExpTime,$L1643),2)))</f>
        <v/>
      </c>
      <c r="D1643" s="17">
        <f>IF($L1643="","",IF(INDEX(ExpBank,$L1643)="","—",INDEX(ExpBank,$L1643)))</f>
        <v/>
      </c>
      <c r="E1643" s="18">
        <f>IF($L1643="","",IF(INDEX(ExpParty,$L1643)="","—",IFERROR(VLOOKUP(INDEX(ExpParty,$L1643),AcctTbl,4,0),INDEX(ExpParty,$L1643))))</f>
        <v/>
      </c>
      <c r="F1643" s="17">
        <f>IF($L1643="","",IF(INDEX(ExpType,$L1643)="","—",INDEX(ExpType,$L1643)))</f>
        <v/>
      </c>
      <c r="G1643" s="19">
        <f>IF($L1643="","",IF(INDEX(ExpDep,$L1643)=0,"",INDEX(ExpDep,$L1643)))</f>
        <v/>
      </c>
      <c r="H1643" s="19">
        <f>IF($L1643="","",IF(INDEX(ExpWit,$L1643)=0,"",INDEX(ExpWit,$L1643)))</f>
        <v/>
      </c>
      <c r="I1643" s="20">
        <f>IF($B1643="","",IF($I1642="",0,$I1642)+IF($H1643="",0,$H1643)-IF($G1643="",0,$G1643))</f>
        <v/>
      </c>
      <c r="J1643" s="18">
        <f>IF($L1643="","",IF(INDEX(ExpNote,$L1643)="","—",INDEX(ExpNote,$L1643)))</f>
        <v/>
      </c>
      <c r="L1643">
        <f>IFERROR(MATCH($C$5&amp;"|"&amp;RIGHT("000000"&amp;1627,6),ExpRankKey,0),"")</f>
        <v/>
      </c>
    </row>
    <row r="1644">
      <c r="A1644" s="21" t="n">
        <v>1628</v>
      </c>
      <c r="B1644" s="22">
        <f>IF($L1644="","",INDEX(ExpNorm,$L1644))</f>
        <v/>
      </c>
      <c r="C1644" s="22">
        <f>IF($L1644="","",IF(INDEX(ExpTime,$L1644)="","—",LEFT(INDEX(ExpTime,$L1644),2)&amp;":"&amp;RIGHT(INDEX(ExpTime,$L1644),2)))</f>
        <v/>
      </c>
      <c r="D1644" s="22">
        <f>IF($L1644="","",IF(INDEX(ExpBank,$L1644)="","—",INDEX(ExpBank,$L1644)))</f>
        <v/>
      </c>
      <c r="E1644" s="23">
        <f>IF($L1644="","",IF(INDEX(ExpParty,$L1644)="","—",IFERROR(VLOOKUP(INDEX(ExpParty,$L1644),AcctTbl,4,0),INDEX(ExpParty,$L1644))))</f>
        <v/>
      </c>
      <c r="F1644" s="22">
        <f>IF($L1644="","",IF(INDEX(ExpType,$L1644)="","—",INDEX(ExpType,$L1644)))</f>
        <v/>
      </c>
      <c r="G1644" s="24">
        <f>IF($L1644="","",IF(INDEX(ExpDep,$L1644)=0,"",INDEX(ExpDep,$L1644)))</f>
        <v/>
      </c>
      <c r="H1644" s="24">
        <f>IF($L1644="","",IF(INDEX(ExpWit,$L1644)=0,"",INDEX(ExpWit,$L1644)))</f>
        <v/>
      </c>
      <c r="I1644" s="25">
        <f>IF($B1644="","",IF($I1643="",0,$I1643)+IF($H1644="",0,$H1644)-IF($G1644="",0,$G1644))</f>
        <v/>
      </c>
      <c r="J1644" s="23">
        <f>IF($L1644="","",IF(INDEX(ExpNote,$L1644)="","—",INDEX(ExpNote,$L1644)))</f>
        <v/>
      </c>
      <c r="L1644">
        <f>IFERROR(MATCH($C$5&amp;"|"&amp;RIGHT("000000"&amp;1628,6),ExpRankKey,0),"")</f>
        <v/>
      </c>
    </row>
    <row r="1645">
      <c r="A1645" s="16" t="n">
        <v>1629</v>
      </c>
      <c r="B1645" s="17">
        <f>IF($L1645="","",INDEX(ExpNorm,$L1645))</f>
        <v/>
      </c>
      <c r="C1645" s="17">
        <f>IF($L1645="","",IF(INDEX(ExpTime,$L1645)="","—",LEFT(INDEX(ExpTime,$L1645),2)&amp;":"&amp;RIGHT(INDEX(ExpTime,$L1645),2)))</f>
        <v/>
      </c>
      <c r="D1645" s="17">
        <f>IF($L1645="","",IF(INDEX(ExpBank,$L1645)="","—",INDEX(ExpBank,$L1645)))</f>
        <v/>
      </c>
      <c r="E1645" s="18">
        <f>IF($L1645="","",IF(INDEX(ExpParty,$L1645)="","—",IFERROR(VLOOKUP(INDEX(ExpParty,$L1645),AcctTbl,4,0),INDEX(ExpParty,$L1645))))</f>
        <v/>
      </c>
      <c r="F1645" s="17">
        <f>IF($L1645="","",IF(INDEX(ExpType,$L1645)="","—",INDEX(ExpType,$L1645)))</f>
        <v/>
      </c>
      <c r="G1645" s="19">
        <f>IF($L1645="","",IF(INDEX(ExpDep,$L1645)=0,"",INDEX(ExpDep,$L1645)))</f>
        <v/>
      </c>
      <c r="H1645" s="19">
        <f>IF($L1645="","",IF(INDEX(ExpWit,$L1645)=0,"",INDEX(ExpWit,$L1645)))</f>
        <v/>
      </c>
      <c r="I1645" s="20">
        <f>IF($B1645="","",IF($I1644="",0,$I1644)+IF($H1645="",0,$H1645)-IF($G1645="",0,$G1645))</f>
        <v/>
      </c>
      <c r="J1645" s="18">
        <f>IF($L1645="","",IF(INDEX(ExpNote,$L1645)="","—",INDEX(ExpNote,$L1645)))</f>
        <v/>
      </c>
      <c r="L1645">
        <f>IFERROR(MATCH($C$5&amp;"|"&amp;RIGHT("000000"&amp;1629,6),ExpRankKey,0),"")</f>
        <v/>
      </c>
    </row>
    <row r="1646">
      <c r="A1646" s="21" t="n">
        <v>1630</v>
      </c>
      <c r="B1646" s="22">
        <f>IF($L1646="","",INDEX(ExpNorm,$L1646))</f>
        <v/>
      </c>
      <c r="C1646" s="22">
        <f>IF($L1646="","",IF(INDEX(ExpTime,$L1646)="","—",LEFT(INDEX(ExpTime,$L1646),2)&amp;":"&amp;RIGHT(INDEX(ExpTime,$L1646),2)))</f>
        <v/>
      </c>
      <c r="D1646" s="22">
        <f>IF($L1646="","",IF(INDEX(ExpBank,$L1646)="","—",INDEX(ExpBank,$L1646)))</f>
        <v/>
      </c>
      <c r="E1646" s="23">
        <f>IF($L1646="","",IF(INDEX(ExpParty,$L1646)="","—",IFERROR(VLOOKUP(INDEX(ExpParty,$L1646),AcctTbl,4,0),INDEX(ExpParty,$L1646))))</f>
        <v/>
      </c>
      <c r="F1646" s="22">
        <f>IF($L1646="","",IF(INDEX(ExpType,$L1646)="","—",INDEX(ExpType,$L1646)))</f>
        <v/>
      </c>
      <c r="G1646" s="24">
        <f>IF($L1646="","",IF(INDEX(ExpDep,$L1646)=0,"",INDEX(ExpDep,$L1646)))</f>
        <v/>
      </c>
      <c r="H1646" s="24">
        <f>IF($L1646="","",IF(INDEX(ExpWit,$L1646)=0,"",INDEX(ExpWit,$L1646)))</f>
        <v/>
      </c>
      <c r="I1646" s="25">
        <f>IF($B1646="","",IF($I1645="",0,$I1645)+IF($H1646="",0,$H1646)-IF($G1646="",0,$G1646))</f>
        <v/>
      </c>
      <c r="J1646" s="23">
        <f>IF($L1646="","",IF(INDEX(ExpNote,$L1646)="","—",INDEX(ExpNote,$L1646)))</f>
        <v/>
      </c>
      <c r="L1646">
        <f>IFERROR(MATCH($C$5&amp;"|"&amp;RIGHT("000000"&amp;1630,6),ExpRankKey,0),"")</f>
        <v/>
      </c>
    </row>
    <row r="1647">
      <c r="A1647" s="16" t="n">
        <v>1631</v>
      </c>
      <c r="B1647" s="17">
        <f>IF($L1647="","",INDEX(ExpNorm,$L1647))</f>
        <v/>
      </c>
      <c r="C1647" s="17">
        <f>IF($L1647="","",IF(INDEX(ExpTime,$L1647)="","—",LEFT(INDEX(ExpTime,$L1647),2)&amp;":"&amp;RIGHT(INDEX(ExpTime,$L1647),2)))</f>
        <v/>
      </c>
      <c r="D1647" s="17">
        <f>IF($L1647="","",IF(INDEX(ExpBank,$L1647)="","—",INDEX(ExpBank,$L1647)))</f>
        <v/>
      </c>
      <c r="E1647" s="18">
        <f>IF($L1647="","",IF(INDEX(ExpParty,$L1647)="","—",IFERROR(VLOOKUP(INDEX(ExpParty,$L1647),AcctTbl,4,0),INDEX(ExpParty,$L1647))))</f>
        <v/>
      </c>
      <c r="F1647" s="17">
        <f>IF($L1647="","",IF(INDEX(ExpType,$L1647)="","—",INDEX(ExpType,$L1647)))</f>
        <v/>
      </c>
      <c r="G1647" s="19">
        <f>IF($L1647="","",IF(INDEX(ExpDep,$L1647)=0,"",INDEX(ExpDep,$L1647)))</f>
        <v/>
      </c>
      <c r="H1647" s="19">
        <f>IF($L1647="","",IF(INDEX(ExpWit,$L1647)=0,"",INDEX(ExpWit,$L1647)))</f>
        <v/>
      </c>
      <c r="I1647" s="20">
        <f>IF($B1647="","",IF($I1646="",0,$I1646)+IF($H1647="",0,$H1647)-IF($G1647="",0,$G1647))</f>
        <v/>
      </c>
      <c r="J1647" s="18">
        <f>IF($L1647="","",IF(INDEX(ExpNote,$L1647)="","—",INDEX(ExpNote,$L1647)))</f>
        <v/>
      </c>
      <c r="L1647">
        <f>IFERROR(MATCH($C$5&amp;"|"&amp;RIGHT("000000"&amp;1631,6),ExpRankKey,0),"")</f>
        <v/>
      </c>
    </row>
    <row r="1648">
      <c r="A1648" s="21" t="n">
        <v>1632</v>
      </c>
      <c r="B1648" s="22">
        <f>IF($L1648="","",INDEX(ExpNorm,$L1648))</f>
        <v/>
      </c>
      <c r="C1648" s="22">
        <f>IF($L1648="","",IF(INDEX(ExpTime,$L1648)="","—",LEFT(INDEX(ExpTime,$L1648),2)&amp;":"&amp;RIGHT(INDEX(ExpTime,$L1648),2)))</f>
        <v/>
      </c>
      <c r="D1648" s="22">
        <f>IF($L1648="","",IF(INDEX(ExpBank,$L1648)="","—",INDEX(ExpBank,$L1648)))</f>
        <v/>
      </c>
      <c r="E1648" s="23">
        <f>IF($L1648="","",IF(INDEX(ExpParty,$L1648)="","—",IFERROR(VLOOKUP(INDEX(ExpParty,$L1648),AcctTbl,4,0),INDEX(ExpParty,$L1648))))</f>
        <v/>
      </c>
      <c r="F1648" s="22">
        <f>IF($L1648="","",IF(INDEX(ExpType,$L1648)="","—",INDEX(ExpType,$L1648)))</f>
        <v/>
      </c>
      <c r="G1648" s="24">
        <f>IF($L1648="","",IF(INDEX(ExpDep,$L1648)=0,"",INDEX(ExpDep,$L1648)))</f>
        <v/>
      </c>
      <c r="H1648" s="24">
        <f>IF($L1648="","",IF(INDEX(ExpWit,$L1648)=0,"",INDEX(ExpWit,$L1648)))</f>
        <v/>
      </c>
      <c r="I1648" s="25">
        <f>IF($B1648="","",IF($I1647="",0,$I1647)+IF($H1648="",0,$H1648)-IF($G1648="",0,$G1648))</f>
        <v/>
      </c>
      <c r="J1648" s="23">
        <f>IF($L1648="","",IF(INDEX(ExpNote,$L1648)="","—",INDEX(ExpNote,$L1648)))</f>
        <v/>
      </c>
      <c r="L1648">
        <f>IFERROR(MATCH($C$5&amp;"|"&amp;RIGHT("000000"&amp;1632,6),ExpRankKey,0),"")</f>
        <v/>
      </c>
    </row>
    <row r="1649">
      <c r="A1649" s="16" t="n">
        <v>1633</v>
      </c>
      <c r="B1649" s="17">
        <f>IF($L1649="","",INDEX(ExpNorm,$L1649))</f>
        <v/>
      </c>
      <c r="C1649" s="17">
        <f>IF($L1649="","",IF(INDEX(ExpTime,$L1649)="","—",LEFT(INDEX(ExpTime,$L1649),2)&amp;":"&amp;RIGHT(INDEX(ExpTime,$L1649),2)))</f>
        <v/>
      </c>
      <c r="D1649" s="17">
        <f>IF($L1649="","",IF(INDEX(ExpBank,$L1649)="","—",INDEX(ExpBank,$L1649)))</f>
        <v/>
      </c>
      <c r="E1649" s="18">
        <f>IF($L1649="","",IF(INDEX(ExpParty,$L1649)="","—",IFERROR(VLOOKUP(INDEX(ExpParty,$L1649),AcctTbl,4,0),INDEX(ExpParty,$L1649))))</f>
        <v/>
      </c>
      <c r="F1649" s="17">
        <f>IF($L1649="","",IF(INDEX(ExpType,$L1649)="","—",INDEX(ExpType,$L1649)))</f>
        <v/>
      </c>
      <c r="G1649" s="19">
        <f>IF($L1649="","",IF(INDEX(ExpDep,$L1649)=0,"",INDEX(ExpDep,$L1649)))</f>
        <v/>
      </c>
      <c r="H1649" s="19">
        <f>IF($L1649="","",IF(INDEX(ExpWit,$L1649)=0,"",INDEX(ExpWit,$L1649)))</f>
        <v/>
      </c>
      <c r="I1649" s="20">
        <f>IF($B1649="","",IF($I1648="",0,$I1648)+IF($H1649="",0,$H1649)-IF($G1649="",0,$G1649))</f>
        <v/>
      </c>
      <c r="J1649" s="18">
        <f>IF($L1649="","",IF(INDEX(ExpNote,$L1649)="","—",INDEX(ExpNote,$L1649)))</f>
        <v/>
      </c>
      <c r="L1649">
        <f>IFERROR(MATCH($C$5&amp;"|"&amp;RIGHT("000000"&amp;1633,6),ExpRankKey,0),"")</f>
        <v/>
      </c>
    </row>
    <row r="1650">
      <c r="A1650" s="21" t="n">
        <v>1634</v>
      </c>
      <c r="B1650" s="22">
        <f>IF($L1650="","",INDEX(ExpNorm,$L1650))</f>
        <v/>
      </c>
      <c r="C1650" s="22">
        <f>IF($L1650="","",IF(INDEX(ExpTime,$L1650)="","—",LEFT(INDEX(ExpTime,$L1650),2)&amp;":"&amp;RIGHT(INDEX(ExpTime,$L1650),2)))</f>
        <v/>
      </c>
      <c r="D1650" s="22">
        <f>IF($L1650="","",IF(INDEX(ExpBank,$L1650)="","—",INDEX(ExpBank,$L1650)))</f>
        <v/>
      </c>
      <c r="E1650" s="23">
        <f>IF($L1650="","",IF(INDEX(ExpParty,$L1650)="","—",IFERROR(VLOOKUP(INDEX(ExpParty,$L1650),AcctTbl,4,0),INDEX(ExpParty,$L1650))))</f>
        <v/>
      </c>
      <c r="F1650" s="22">
        <f>IF($L1650="","",IF(INDEX(ExpType,$L1650)="","—",INDEX(ExpType,$L1650)))</f>
        <v/>
      </c>
      <c r="G1650" s="24">
        <f>IF($L1650="","",IF(INDEX(ExpDep,$L1650)=0,"",INDEX(ExpDep,$L1650)))</f>
        <v/>
      </c>
      <c r="H1650" s="24">
        <f>IF($L1650="","",IF(INDEX(ExpWit,$L1650)=0,"",INDEX(ExpWit,$L1650)))</f>
        <v/>
      </c>
      <c r="I1650" s="25">
        <f>IF($B1650="","",IF($I1649="",0,$I1649)+IF($H1650="",0,$H1650)-IF($G1650="",0,$G1650))</f>
        <v/>
      </c>
      <c r="J1650" s="23">
        <f>IF($L1650="","",IF(INDEX(ExpNote,$L1650)="","—",INDEX(ExpNote,$L1650)))</f>
        <v/>
      </c>
      <c r="L1650">
        <f>IFERROR(MATCH($C$5&amp;"|"&amp;RIGHT("000000"&amp;1634,6),ExpRankKey,0),"")</f>
        <v/>
      </c>
    </row>
    <row r="1651">
      <c r="A1651" s="16" t="n">
        <v>1635</v>
      </c>
      <c r="B1651" s="17">
        <f>IF($L1651="","",INDEX(ExpNorm,$L1651))</f>
        <v/>
      </c>
      <c r="C1651" s="17">
        <f>IF($L1651="","",IF(INDEX(ExpTime,$L1651)="","—",LEFT(INDEX(ExpTime,$L1651),2)&amp;":"&amp;RIGHT(INDEX(ExpTime,$L1651),2)))</f>
        <v/>
      </c>
      <c r="D1651" s="17">
        <f>IF($L1651="","",IF(INDEX(ExpBank,$L1651)="","—",INDEX(ExpBank,$L1651)))</f>
        <v/>
      </c>
      <c r="E1651" s="18">
        <f>IF($L1651="","",IF(INDEX(ExpParty,$L1651)="","—",IFERROR(VLOOKUP(INDEX(ExpParty,$L1651),AcctTbl,4,0),INDEX(ExpParty,$L1651))))</f>
        <v/>
      </c>
      <c r="F1651" s="17">
        <f>IF($L1651="","",IF(INDEX(ExpType,$L1651)="","—",INDEX(ExpType,$L1651)))</f>
        <v/>
      </c>
      <c r="G1651" s="19">
        <f>IF($L1651="","",IF(INDEX(ExpDep,$L1651)=0,"",INDEX(ExpDep,$L1651)))</f>
        <v/>
      </c>
      <c r="H1651" s="19">
        <f>IF($L1651="","",IF(INDEX(ExpWit,$L1651)=0,"",INDEX(ExpWit,$L1651)))</f>
        <v/>
      </c>
      <c r="I1651" s="20">
        <f>IF($B1651="","",IF($I1650="",0,$I1650)+IF($H1651="",0,$H1651)-IF($G1651="",0,$G1651))</f>
        <v/>
      </c>
      <c r="J1651" s="18">
        <f>IF($L1651="","",IF(INDEX(ExpNote,$L1651)="","—",INDEX(ExpNote,$L1651)))</f>
        <v/>
      </c>
      <c r="L1651">
        <f>IFERROR(MATCH($C$5&amp;"|"&amp;RIGHT("000000"&amp;1635,6),ExpRankKey,0),"")</f>
        <v/>
      </c>
    </row>
    <row r="1652">
      <c r="A1652" s="21" t="n">
        <v>1636</v>
      </c>
      <c r="B1652" s="22">
        <f>IF($L1652="","",INDEX(ExpNorm,$L1652))</f>
        <v/>
      </c>
      <c r="C1652" s="22">
        <f>IF($L1652="","",IF(INDEX(ExpTime,$L1652)="","—",LEFT(INDEX(ExpTime,$L1652),2)&amp;":"&amp;RIGHT(INDEX(ExpTime,$L1652),2)))</f>
        <v/>
      </c>
      <c r="D1652" s="22">
        <f>IF($L1652="","",IF(INDEX(ExpBank,$L1652)="","—",INDEX(ExpBank,$L1652)))</f>
        <v/>
      </c>
      <c r="E1652" s="23">
        <f>IF($L1652="","",IF(INDEX(ExpParty,$L1652)="","—",IFERROR(VLOOKUP(INDEX(ExpParty,$L1652),AcctTbl,4,0),INDEX(ExpParty,$L1652))))</f>
        <v/>
      </c>
      <c r="F1652" s="22">
        <f>IF($L1652="","",IF(INDEX(ExpType,$L1652)="","—",INDEX(ExpType,$L1652)))</f>
        <v/>
      </c>
      <c r="G1652" s="24">
        <f>IF($L1652="","",IF(INDEX(ExpDep,$L1652)=0,"",INDEX(ExpDep,$L1652)))</f>
        <v/>
      </c>
      <c r="H1652" s="24">
        <f>IF($L1652="","",IF(INDEX(ExpWit,$L1652)=0,"",INDEX(ExpWit,$L1652)))</f>
        <v/>
      </c>
      <c r="I1652" s="25">
        <f>IF($B1652="","",IF($I1651="",0,$I1651)+IF($H1652="",0,$H1652)-IF($G1652="",0,$G1652))</f>
        <v/>
      </c>
      <c r="J1652" s="23">
        <f>IF($L1652="","",IF(INDEX(ExpNote,$L1652)="","—",INDEX(ExpNote,$L1652)))</f>
        <v/>
      </c>
      <c r="L1652">
        <f>IFERROR(MATCH($C$5&amp;"|"&amp;RIGHT("000000"&amp;1636,6),ExpRankKey,0),"")</f>
        <v/>
      </c>
    </row>
    <row r="1653">
      <c r="A1653" s="16" t="n">
        <v>1637</v>
      </c>
      <c r="B1653" s="17">
        <f>IF($L1653="","",INDEX(ExpNorm,$L1653))</f>
        <v/>
      </c>
      <c r="C1653" s="17">
        <f>IF($L1653="","",IF(INDEX(ExpTime,$L1653)="","—",LEFT(INDEX(ExpTime,$L1653),2)&amp;":"&amp;RIGHT(INDEX(ExpTime,$L1653),2)))</f>
        <v/>
      </c>
      <c r="D1653" s="17">
        <f>IF($L1653="","",IF(INDEX(ExpBank,$L1653)="","—",INDEX(ExpBank,$L1653)))</f>
        <v/>
      </c>
      <c r="E1653" s="18">
        <f>IF($L1653="","",IF(INDEX(ExpParty,$L1653)="","—",IFERROR(VLOOKUP(INDEX(ExpParty,$L1653),AcctTbl,4,0),INDEX(ExpParty,$L1653))))</f>
        <v/>
      </c>
      <c r="F1653" s="17">
        <f>IF($L1653="","",IF(INDEX(ExpType,$L1653)="","—",INDEX(ExpType,$L1653)))</f>
        <v/>
      </c>
      <c r="G1653" s="19">
        <f>IF($L1653="","",IF(INDEX(ExpDep,$L1653)=0,"",INDEX(ExpDep,$L1653)))</f>
        <v/>
      </c>
      <c r="H1653" s="19">
        <f>IF($L1653="","",IF(INDEX(ExpWit,$L1653)=0,"",INDEX(ExpWit,$L1653)))</f>
        <v/>
      </c>
      <c r="I1653" s="20">
        <f>IF($B1653="","",IF($I1652="",0,$I1652)+IF($H1653="",0,$H1653)-IF($G1653="",0,$G1653))</f>
        <v/>
      </c>
      <c r="J1653" s="18">
        <f>IF($L1653="","",IF(INDEX(ExpNote,$L1653)="","—",INDEX(ExpNote,$L1653)))</f>
        <v/>
      </c>
      <c r="L1653">
        <f>IFERROR(MATCH($C$5&amp;"|"&amp;RIGHT("000000"&amp;1637,6),ExpRankKey,0),"")</f>
        <v/>
      </c>
    </row>
    <row r="1654">
      <c r="A1654" s="21" t="n">
        <v>1638</v>
      </c>
      <c r="B1654" s="22">
        <f>IF($L1654="","",INDEX(ExpNorm,$L1654))</f>
        <v/>
      </c>
      <c r="C1654" s="22">
        <f>IF($L1654="","",IF(INDEX(ExpTime,$L1654)="","—",LEFT(INDEX(ExpTime,$L1654),2)&amp;":"&amp;RIGHT(INDEX(ExpTime,$L1654),2)))</f>
        <v/>
      </c>
      <c r="D1654" s="22">
        <f>IF($L1654="","",IF(INDEX(ExpBank,$L1654)="","—",INDEX(ExpBank,$L1654)))</f>
        <v/>
      </c>
      <c r="E1654" s="23">
        <f>IF($L1654="","",IF(INDEX(ExpParty,$L1654)="","—",IFERROR(VLOOKUP(INDEX(ExpParty,$L1654),AcctTbl,4,0),INDEX(ExpParty,$L1654))))</f>
        <v/>
      </c>
      <c r="F1654" s="22">
        <f>IF($L1654="","",IF(INDEX(ExpType,$L1654)="","—",INDEX(ExpType,$L1654)))</f>
        <v/>
      </c>
      <c r="G1654" s="24">
        <f>IF($L1654="","",IF(INDEX(ExpDep,$L1654)=0,"",INDEX(ExpDep,$L1654)))</f>
        <v/>
      </c>
      <c r="H1654" s="24">
        <f>IF($L1654="","",IF(INDEX(ExpWit,$L1654)=0,"",INDEX(ExpWit,$L1654)))</f>
        <v/>
      </c>
      <c r="I1654" s="25">
        <f>IF($B1654="","",IF($I1653="",0,$I1653)+IF($H1654="",0,$H1654)-IF($G1654="",0,$G1654))</f>
        <v/>
      </c>
      <c r="J1654" s="23">
        <f>IF($L1654="","",IF(INDEX(ExpNote,$L1654)="","—",INDEX(ExpNote,$L1654)))</f>
        <v/>
      </c>
      <c r="L1654">
        <f>IFERROR(MATCH($C$5&amp;"|"&amp;RIGHT("000000"&amp;1638,6),ExpRankKey,0),"")</f>
        <v/>
      </c>
    </row>
    <row r="1655">
      <c r="A1655" s="16" t="n">
        <v>1639</v>
      </c>
      <c r="B1655" s="17">
        <f>IF($L1655="","",INDEX(ExpNorm,$L1655))</f>
        <v/>
      </c>
      <c r="C1655" s="17">
        <f>IF($L1655="","",IF(INDEX(ExpTime,$L1655)="","—",LEFT(INDEX(ExpTime,$L1655),2)&amp;":"&amp;RIGHT(INDEX(ExpTime,$L1655),2)))</f>
        <v/>
      </c>
      <c r="D1655" s="17">
        <f>IF($L1655="","",IF(INDEX(ExpBank,$L1655)="","—",INDEX(ExpBank,$L1655)))</f>
        <v/>
      </c>
      <c r="E1655" s="18">
        <f>IF($L1655="","",IF(INDEX(ExpParty,$L1655)="","—",IFERROR(VLOOKUP(INDEX(ExpParty,$L1655),AcctTbl,4,0),INDEX(ExpParty,$L1655))))</f>
        <v/>
      </c>
      <c r="F1655" s="17">
        <f>IF($L1655="","",IF(INDEX(ExpType,$L1655)="","—",INDEX(ExpType,$L1655)))</f>
        <v/>
      </c>
      <c r="G1655" s="19">
        <f>IF($L1655="","",IF(INDEX(ExpDep,$L1655)=0,"",INDEX(ExpDep,$L1655)))</f>
        <v/>
      </c>
      <c r="H1655" s="19">
        <f>IF($L1655="","",IF(INDEX(ExpWit,$L1655)=0,"",INDEX(ExpWit,$L1655)))</f>
        <v/>
      </c>
      <c r="I1655" s="20">
        <f>IF($B1655="","",IF($I1654="",0,$I1654)+IF($H1655="",0,$H1655)-IF($G1655="",0,$G1655))</f>
        <v/>
      </c>
      <c r="J1655" s="18">
        <f>IF($L1655="","",IF(INDEX(ExpNote,$L1655)="","—",INDEX(ExpNote,$L1655)))</f>
        <v/>
      </c>
      <c r="L1655">
        <f>IFERROR(MATCH($C$5&amp;"|"&amp;RIGHT("000000"&amp;1639,6),ExpRankKey,0),"")</f>
        <v/>
      </c>
    </row>
    <row r="1656">
      <c r="A1656" s="21" t="n">
        <v>1640</v>
      </c>
      <c r="B1656" s="22">
        <f>IF($L1656="","",INDEX(ExpNorm,$L1656))</f>
        <v/>
      </c>
      <c r="C1656" s="22">
        <f>IF($L1656="","",IF(INDEX(ExpTime,$L1656)="","—",LEFT(INDEX(ExpTime,$L1656),2)&amp;":"&amp;RIGHT(INDEX(ExpTime,$L1656),2)))</f>
        <v/>
      </c>
      <c r="D1656" s="22">
        <f>IF($L1656="","",IF(INDEX(ExpBank,$L1656)="","—",INDEX(ExpBank,$L1656)))</f>
        <v/>
      </c>
      <c r="E1656" s="23">
        <f>IF($L1656="","",IF(INDEX(ExpParty,$L1656)="","—",IFERROR(VLOOKUP(INDEX(ExpParty,$L1656),AcctTbl,4,0),INDEX(ExpParty,$L1656))))</f>
        <v/>
      </c>
      <c r="F1656" s="22">
        <f>IF($L1656="","",IF(INDEX(ExpType,$L1656)="","—",INDEX(ExpType,$L1656)))</f>
        <v/>
      </c>
      <c r="G1656" s="24">
        <f>IF($L1656="","",IF(INDEX(ExpDep,$L1656)=0,"",INDEX(ExpDep,$L1656)))</f>
        <v/>
      </c>
      <c r="H1656" s="24">
        <f>IF($L1656="","",IF(INDEX(ExpWit,$L1656)=0,"",INDEX(ExpWit,$L1656)))</f>
        <v/>
      </c>
      <c r="I1656" s="25">
        <f>IF($B1656="","",IF($I1655="",0,$I1655)+IF($H1656="",0,$H1656)-IF($G1656="",0,$G1656))</f>
        <v/>
      </c>
      <c r="J1656" s="23">
        <f>IF($L1656="","",IF(INDEX(ExpNote,$L1656)="","—",INDEX(ExpNote,$L1656)))</f>
        <v/>
      </c>
      <c r="L1656">
        <f>IFERROR(MATCH($C$5&amp;"|"&amp;RIGHT("000000"&amp;1640,6),ExpRankKey,0),"")</f>
        <v/>
      </c>
    </row>
    <row r="1657">
      <c r="A1657" s="16" t="n">
        <v>1641</v>
      </c>
      <c r="B1657" s="17">
        <f>IF($L1657="","",INDEX(ExpNorm,$L1657))</f>
        <v/>
      </c>
      <c r="C1657" s="17">
        <f>IF($L1657="","",IF(INDEX(ExpTime,$L1657)="","—",LEFT(INDEX(ExpTime,$L1657),2)&amp;":"&amp;RIGHT(INDEX(ExpTime,$L1657),2)))</f>
        <v/>
      </c>
      <c r="D1657" s="17">
        <f>IF($L1657="","",IF(INDEX(ExpBank,$L1657)="","—",INDEX(ExpBank,$L1657)))</f>
        <v/>
      </c>
      <c r="E1657" s="18">
        <f>IF($L1657="","",IF(INDEX(ExpParty,$L1657)="","—",IFERROR(VLOOKUP(INDEX(ExpParty,$L1657),AcctTbl,4,0),INDEX(ExpParty,$L1657))))</f>
        <v/>
      </c>
      <c r="F1657" s="17">
        <f>IF($L1657="","",IF(INDEX(ExpType,$L1657)="","—",INDEX(ExpType,$L1657)))</f>
        <v/>
      </c>
      <c r="G1657" s="19">
        <f>IF($L1657="","",IF(INDEX(ExpDep,$L1657)=0,"",INDEX(ExpDep,$L1657)))</f>
        <v/>
      </c>
      <c r="H1657" s="19">
        <f>IF($L1657="","",IF(INDEX(ExpWit,$L1657)=0,"",INDEX(ExpWit,$L1657)))</f>
        <v/>
      </c>
      <c r="I1657" s="20">
        <f>IF($B1657="","",IF($I1656="",0,$I1656)+IF($H1657="",0,$H1657)-IF($G1657="",0,$G1657))</f>
        <v/>
      </c>
      <c r="J1657" s="18">
        <f>IF($L1657="","",IF(INDEX(ExpNote,$L1657)="","—",INDEX(ExpNote,$L1657)))</f>
        <v/>
      </c>
      <c r="L1657">
        <f>IFERROR(MATCH($C$5&amp;"|"&amp;RIGHT("000000"&amp;1641,6),ExpRankKey,0),"")</f>
        <v/>
      </c>
    </row>
    <row r="1658">
      <c r="A1658" s="21" t="n">
        <v>1642</v>
      </c>
      <c r="B1658" s="22">
        <f>IF($L1658="","",INDEX(ExpNorm,$L1658))</f>
        <v/>
      </c>
      <c r="C1658" s="22">
        <f>IF($L1658="","",IF(INDEX(ExpTime,$L1658)="","—",LEFT(INDEX(ExpTime,$L1658),2)&amp;":"&amp;RIGHT(INDEX(ExpTime,$L1658),2)))</f>
        <v/>
      </c>
      <c r="D1658" s="22">
        <f>IF($L1658="","",IF(INDEX(ExpBank,$L1658)="","—",INDEX(ExpBank,$L1658)))</f>
        <v/>
      </c>
      <c r="E1658" s="23">
        <f>IF($L1658="","",IF(INDEX(ExpParty,$L1658)="","—",IFERROR(VLOOKUP(INDEX(ExpParty,$L1658),AcctTbl,4,0),INDEX(ExpParty,$L1658))))</f>
        <v/>
      </c>
      <c r="F1658" s="22">
        <f>IF($L1658="","",IF(INDEX(ExpType,$L1658)="","—",INDEX(ExpType,$L1658)))</f>
        <v/>
      </c>
      <c r="G1658" s="24">
        <f>IF($L1658="","",IF(INDEX(ExpDep,$L1658)=0,"",INDEX(ExpDep,$L1658)))</f>
        <v/>
      </c>
      <c r="H1658" s="24">
        <f>IF($L1658="","",IF(INDEX(ExpWit,$L1658)=0,"",INDEX(ExpWit,$L1658)))</f>
        <v/>
      </c>
      <c r="I1658" s="25">
        <f>IF($B1658="","",IF($I1657="",0,$I1657)+IF($H1658="",0,$H1658)-IF($G1658="",0,$G1658))</f>
        <v/>
      </c>
      <c r="J1658" s="23">
        <f>IF($L1658="","",IF(INDEX(ExpNote,$L1658)="","—",INDEX(ExpNote,$L1658)))</f>
        <v/>
      </c>
      <c r="L1658">
        <f>IFERROR(MATCH($C$5&amp;"|"&amp;RIGHT("000000"&amp;1642,6),ExpRankKey,0),"")</f>
        <v/>
      </c>
    </row>
    <row r="1659">
      <c r="A1659" s="16" t="n">
        <v>1643</v>
      </c>
      <c r="B1659" s="17">
        <f>IF($L1659="","",INDEX(ExpNorm,$L1659))</f>
        <v/>
      </c>
      <c r="C1659" s="17">
        <f>IF($L1659="","",IF(INDEX(ExpTime,$L1659)="","—",LEFT(INDEX(ExpTime,$L1659),2)&amp;":"&amp;RIGHT(INDEX(ExpTime,$L1659),2)))</f>
        <v/>
      </c>
      <c r="D1659" s="17">
        <f>IF($L1659="","",IF(INDEX(ExpBank,$L1659)="","—",INDEX(ExpBank,$L1659)))</f>
        <v/>
      </c>
      <c r="E1659" s="18">
        <f>IF($L1659="","",IF(INDEX(ExpParty,$L1659)="","—",IFERROR(VLOOKUP(INDEX(ExpParty,$L1659),AcctTbl,4,0),INDEX(ExpParty,$L1659))))</f>
        <v/>
      </c>
      <c r="F1659" s="17">
        <f>IF($L1659="","",IF(INDEX(ExpType,$L1659)="","—",INDEX(ExpType,$L1659)))</f>
        <v/>
      </c>
      <c r="G1659" s="19">
        <f>IF($L1659="","",IF(INDEX(ExpDep,$L1659)=0,"",INDEX(ExpDep,$L1659)))</f>
        <v/>
      </c>
      <c r="H1659" s="19">
        <f>IF($L1659="","",IF(INDEX(ExpWit,$L1659)=0,"",INDEX(ExpWit,$L1659)))</f>
        <v/>
      </c>
      <c r="I1659" s="20">
        <f>IF($B1659="","",IF($I1658="",0,$I1658)+IF($H1659="",0,$H1659)-IF($G1659="",0,$G1659))</f>
        <v/>
      </c>
      <c r="J1659" s="18">
        <f>IF($L1659="","",IF(INDEX(ExpNote,$L1659)="","—",INDEX(ExpNote,$L1659)))</f>
        <v/>
      </c>
      <c r="L1659">
        <f>IFERROR(MATCH($C$5&amp;"|"&amp;RIGHT("000000"&amp;1643,6),ExpRankKey,0),"")</f>
        <v/>
      </c>
    </row>
    <row r="1660">
      <c r="A1660" s="21" t="n">
        <v>1644</v>
      </c>
      <c r="B1660" s="22">
        <f>IF($L1660="","",INDEX(ExpNorm,$L1660))</f>
        <v/>
      </c>
      <c r="C1660" s="22">
        <f>IF($L1660="","",IF(INDEX(ExpTime,$L1660)="","—",LEFT(INDEX(ExpTime,$L1660),2)&amp;":"&amp;RIGHT(INDEX(ExpTime,$L1660),2)))</f>
        <v/>
      </c>
      <c r="D1660" s="22">
        <f>IF($L1660="","",IF(INDEX(ExpBank,$L1660)="","—",INDEX(ExpBank,$L1660)))</f>
        <v/>
      </c>
      <c r="E1660" s="23">
        <f>IF($L1660="","",IF(INDEX(ExpParty,$L1660)="","—",IFERROR(VLOOKUP(INDEX(ExpParty,$L1660),AcctTbl,4,0),INDEX(ExpParty,$L1660))))</f>
        <v/>
      </c>
      <c r="F1660" s="22">
        <f>IF($L1660="","",IF(INDEX(ExpType,$L1660)="","—",INDEX(ExpType,$L1660)))</f>
        <v/>
      </c>
      <c r="G1660" s="24">
        <f>IF($L1660="","",IF(INDEX(ExpDep,$L1660)=0,"",INDEX(ExpDep,$L1660)))</f>
        <v/>
      </c>
      <c r="H1660" s="24">
        <f>IF($L1660="","",IF(INDEX(ExpWit,$L1660)=0,"",INDEX(ExpWit,$L1660)))</f>
        <v/>
      </c>
      <c r="I1660" s="25">
        <f>IF($B1660="","",IF($I1659="",0,$I1659)+IF($H1660="",0,$H1660)-IF($G1660="",0,$G1660))</f>
        <v/>
      </c>
      <c r="J1660" s="23">
        <f>IF($L1660="","",IF(INDEX(ExpNote,$L1660)="","—",INDEX(ExpNote,$L1660)))</f>
        <v/>
      </c>
      <c r="L1660">
        <f>IFERROR(MATCH($C$5&amp;"|"&amp;RIGHT("000000"&amp;1644,6),ExpRankKey,0),"")</f>
        <v/>
      </c>
    </row>
    <row r="1661">
      <c r="A1661" s="16" t="n">
        <v>1645</v>
      </c>
      <c r="B1661" s="17">
        <f>IF($L1661="","",INDEX(ExpNorm,$L1661))</f>
        <v/>
      </c>
      <c r="C1661" s="17">
        <f>IF($L1661="","",IF(INDEX(ExpTime,$L1661)="","—",LEFT(INDEX(ExpTime,$L1661),2)&amp;":"&amp;RIGHT(INDEX(ExpTime,$L1661),2)))</f>
        <v/>
      </c>
      <c r="D1661" s="17">
        <f>IF($L1661="","",IF(INDEX(ExpBank,$L1661)="","—",INDEX(ExpBank,$L1661)))</f>
        <v/>
      </c>
      <c r="E1661" s="18">
        <f>IF($L1661="","",IF(INDEX(ExpParty,$L1661)="","—",IFERROR(VLOOKUP(INDEX(ExpParty,$L1661),AcctTbl,4,0),INDEX(ExpParty,$L1661))))</f>
        <v/>
      </c>
      <c r="F1661" s="17">
        <f>IF($L1661="","",IF(INDEX(ExpType,$L1661)="","—",INDEX(ExpType,$L1661)))</f>
        <v/>
      </c>
      <c r="G1661" s="19">
        <f>IF($L1661="","",IF(INDEX(ExpDep,$L1661)=0,"",INDEX(ExpDep,$L1661)))</f>
        <v/>
      </c>
      <c r="H1661" s="19">
        <f>IF($L1661="","",IF(INDEX(ExpWit,$L1661)=0,"",INDEX(ExpWit,$L1661)))</f>
        <v/>
      </c>
      <c r="I1661" s="20">
        <f>IF($B1661="","",IF($I1660="",0,$I1660)+IF($H1661="",0,$H1661)-IF($G1661="",0,$G1661))</f>
        <v/>
      </c>
      <c r="J1661" s="18">
        <f>IF($L1661="","",IF(INDEX(ExpNote,$L1661)="","—",INDEX(ExpNote,$L1661)))</f>
        <v/>
      </c>
      <c r="L1661">
        <f>IFERROR(MATCH($C$5&amp;"|"&amp;RIGHT("000000"&amp;1645,6),ExpRankKey,0),"")</f>
        <v/>
      </c>
    </row>
    <row r="1662">
      <c r="A1662" s="21" t="n">
        <v>1646</v>
      </c>
      <c r="B1662" s="22">
        <f>IF($L1662="","",INDEX(ExpNorm,$L1662))</f>
        <v/>
      </c>
      <c r="C1662" s="22">
        <f>IF($L1662="","",IF(INDEX(ExpTime,$L1662)="","—",LEFT(INDEX(ExpTime,$L1662),2)&amp;":"&amp;RIGHT(INDEX(ExpTime,$L1662),2)))</f>
        <v/>
      </c>
      <c r="D1662" s="22">
        <f>IF($L1662="","",IF(INDEX(ExpBank,$L1662)="","—",INDEX(ExpBank,$L1662)))</f>
        <v/>
      </c>
      <c r="E1662" s="23">
        <f>IF($L1662="","",IF(INDEX(ExpParty,$L1662)="","—",IFERROR(VLOOKUP(INDEX(ExpParty,$L1662),AcctTbl,4,0),INDEX(ExpParty,$L1662))))</f>
        <v/>
      </c>
      <c r="F1662" s="22">
        <f>IF($L1662="","",IF(INDEX(ExpType,$L1662)="","—",INDEX(ExpType,$L1662)))</f>
        <v/>
      </c>
      <c r="G1662" s="24">
        <f>IF($L1662="","",IF(INDEX(ExpDep,$L1662)=0,"",INDEX(ExpDep,$L1662)))</f>
        <v/>
      </c>
      <c r="H1662" s="24">
        <f>IF($L1662="","",IF(INDEX(ExpWit,$L1662)=0,"",INDEX(ExpWit,$L1662)))</f>
        <v/>
      </c>
      <c r="I1662" s="25">
        <f>IF($B1662="","",IF($I1661="",0,$I1661)+IF($H1662="",0,$H1662)-IF($G1662="",0,$G1662))</f>
        <v/>
      </c>
      <c r="J1662" s="23">
        <f>IF($L1662="","",IF(INDEX(ExpNote,$L1662)="","—",INDEX(ExpNote,$L1662)))</f>
        <v/>
      </c>
      <c r="L1662">
        <f>IFERROR(MATCH($C$5&amp;"|"&amp;RIGHT("000000"&amp;1646,6),ExpRankKey,0),"")</f>
        <v/>
      </c>
    </row>
    <row r="1663">
      <c r="A1663" s="16" t="n">
        <v>1647</v>
      </c>
      <c r="B1663" s="17">
        <f>IF($L1663="","",INDEX(ExpNorm,$L1663))</f>
        <v/>
      </c>
      <c r="C1663" s="17">
        <f>IF($L1663="","",IF(INDEX(ExpTime,$L1663)="","—",LEFT(INDEX(ExpTime,$L1663),2)&amp;":"&amp;RIGHT(INDEX(ExpTime,$L1663),2)))</f>
        <v/>
      </c>
      <c r="D1663" s="17">
        <f>IF($L1663="","",IF(INDEX(ExpBank,$L1663)="","—",INDEX(ExpBank,$L1663)))</f>
        <v/>
      </c>
      <c r="E1663" s="18">
        <f>IF($L1663="","",IF(INDEX(ExpParty,$L1663)="","—",IFERROR(VLOOKUP(INDEX(ExpParty,$L1663),AcctTbl,4,0),INDEX(ExpParty,$L1663))))</f>
        <v/>
      </c>
      <c r="F1663" s="17">
        <f>IF($L1663="","",IF(INDEX(ExpType,$L1663)="","—",INDEX(ExpType,$L1663)))</f>
        <v/>
      </c>
      <c r="G1663" s="19">
        <f>IF($L1663="","",IF(INDEX(ExpDep,$L1663)=0,"",INDEX(ExpDep,$L1663)))</f>
        <v/>
      </c>
      <c r="H1663" s="19">
        <f>IF($L1663="","",IF(INDEX(ExpWit,$L1663)=0,"",INDEX(ExpWit,$L1663)))</f>
        <v/>
      </c>
      <c r="I1663" s="20">
        <f>IF($B1663="","",IF($I1662="",0,$I1662)+IF($H1663="",0,$H1663)-IF($G1663="",0,$G1663))</f>
        <v/>
      </c>
      <c r="J1663" s="18">
        <f>IF($L1663="","",IF(INDEX(ExpNote,$L1663)="","—",INDEX(ExpNote,$L1663)))</f>
        <v/>
      </c>
      <c r="L1663">
        <f>IFERROR(MATCH($C$5&amp;"|"&amp;RIGHT("000000"&amp;1647,6),ExpRankKey,0),"")</f>
        <v/>
      </c>
    </row>
    <row r="1664">
      <c r="A1664" s="21" t="n">
        <v>1648</v>
      </c>
      <c r="B1664" s="22">
        <f>IF($L1664="","",INDEX(ExpNorm,$L1664))</f>
        <v/>
      </c>
      <c r="C1664" s="22">
        <f>IF($L1664="","",IF(INDEX(ExpTime,$L1664)="","—",LEFT(INDEX(ExpTime,$L1664),2)&amp;":"&amp;RIGHT(INDEX(ExpTime,$L1664),2)))</f>
        <v/>
      </c>
      <c r="D1664" s="22">
        <f>IF($L1664="","",IF(INDEX(ExpBank,$L1664)="","—",INDEX(ExpBank,$L1664)))</f>
        <v/>
      </c>
      <c r="E1664" s="23">
        <f>IF($L1664="","",IF(INDEX(ExpParty,$L1664)="","—",IFERROR(VLOOKUP(INDEX(ExpParty,$L1664),AcctTbl,4,0),INDEX(ExpParty,$L1664))))</f>
        <v/>
      </c>
      <c r="F1664" s="22">
        <f>IF($L1664="","",IF(INDEX(ExpType,$L1664)="","—",INDEX(ExpType,$L1664)))</f>
        <v/>
      </c>
      <c r="G1664" s="24">
        <f>IF($L1664="","",IF(INDEX(ExpDep,$L1664)=0,"",INDEX(ExpDep,$L1664)))</f>
        <v/>
      </c>
      <c r="H1664" s="24">
        <f>IF($L1664="","",IF(INDEX(ExpWit,$L1664)=0,"",INDEX(ExpWit,$L1664)))</f>
        <v/>
      </c>
      <c r="I1664" s="25">
        <f>IF($B1664="","",IF($I1663="",0,$I1663)+IF($H1664="",0,$H1664)-IF($G1664="",0,$G1664))</f>
        <v/>
      </c>
      <c r="J1664" s="23">
        <f>IF($L1664="","",IF(INDEX(ExpNote,$L1664)="","—",INDEX(ExpNote,$L1664)))</f>
        <v/>
      </c>
      <c r="L1664">
        <f>IFERROR(MATCH($C$5&amp;"|"&amp;RIGHT("000000"&amp;1648,6),ExpRankKey,0),"")</f>
        <v/>
      </c>
    </row>
    <row r="1665">
      <c r="A1665" s="16" t="n">
        <v>1649</v>
      </c>
      <c r="B1665" s="17">
        <f>IF($L1665="","",INDEX(ExpNorm,$L1665))</f>
        <v/>
      </c>
      <c r="C1665" s="17">
        <f>IF($L1665="","",IF(INDEX(ExpTime,$L1665)="","—",LEFT(INDEX(ExpTime,$L1665),2)&amp;":"&amp;RIGHT(INDEX(ExpTime,$L1665),2)))</f>
        <v/>
      </c>
      <c r="D1665" s="17">
        <f>IF($L1665="","",IF(INDEX(ExpBank,$L1665)="","—",INDEX(ExpBank,$L1665)))</f>
        <v/>
      </c>
      <c r="E1665" s="18">
        <f>IF($L1665="","",IF(INDEX(ExpParty,$L1665)="","—",IFERROR(VLOOKUP(INDEX(ExpParty,$L1665),AcctTbl,4,0),INDEX(ExpParty,$L1665))))</f>
        <v/>
      </c>
      <c r="F1665" s="17">
        <f>IF($L1665="","",IF(INDEX(ExpType,$L1665)="","—",INDEX(ExpType,$L1665)))</f>
        <v/>
      </c>
      <c r="G1665" s="19">
        <f>IF($L1665="","",IF(INDEX(ExpDep,$L1665)=0,"",INDEX(ExpDep,$L1665)))</f>
        <v/>
      </c>
      <c r="H1665" s="19">
        <f>IF($L1665="","",IF(INDEX(ExpWit,$L1665)=0,"",INDEX(ExpWit,$L1665)))</f>
        <v/>
      </c>
      <c r="I1665" s="20">
        <f>IF($B1665="","",IF($I1664="",0,$I1664)+IF($H1665="",0,$H1665)-IF($G1665="",0,$G1665))</f>
        <v/>
      </c>
      <c r="J1665" s="18">
        <f>IF($L1665="","",IF(INDEX(ExpNote,$L1665)="","—",INDEX(ExpNote,$L1665)))</f>
        <v/>
      </c>
      <c r="L1665">
        <f>IFERROR(MATCH($C$5&amp;"|"&amp;RIGHT("000000"&amp;1649,6),ExpRankKey,0),"")</f>
        <v/>
      </c>
    </row>
    <row r="1666">
      <c r="A1666" s="21" t="n">
        <v>1650</v>
      </c>
      <c r="B1666" s="22">
        <f>IF($L1666="","",INDEX(ExpNorm,$L1666))</f>
        <v/>
      </c>
      <c r="C1666" s="22">
        <f>IF($L1666="","",IF(INDEX(ExpTime,$L1666)="","—",LEFT(INDEX(ExpTime,$L1666),2)&amp;":"&amp;RIGHT(INDEX(ExpTime,$L1666),2)))</f>
        <v/>
      </c>
      <c r="D1666" s="22">
        <f>IF($L1666="","",IF(INDEX(ExpBank,$L1666)="","—",INDEX(ExpBank,$L1666)))</f>
        <v/>
      </c>
      <c r="E1666" s="23">
        <f>IF($L1666="","",IF(INDEX(ExpParty,$L1666)="","—",IFERROR(VLOOKUP(INDEX(ExpParty,$L1666),AcctTbl,4,0),INDEX(ExpParty,$L1666))))</f>
        <v/>
      </c>
      <c r="F1666" s="22">
        <f>IF($L1666="","",IF(INDEX(ExpType,$L1666)="","—",INDEX(ExpType,$L1666)))</f>
        <v/>
      </c>
      <c r="G1666" s="24">
        <f>IF($L1666="","",IF(INDEX(ExpDep,$L1666)=0,"",INDEX(ExpDep,$L1666)))</f>
        <v/>
      </c>
      <c r="H1666" s="24">
        <f>IF($L1666="","",IF(INDEX(ExpWit,$L1666)=0,"",INDEX(ExpWit,$L1666)))</f>
        <v/>
      </c>
      <c r="I1666" s="25">
        <f>IF($B1666="","",IF($I1665="",0,$I1665)+IF($H1666="",0,$H1666)-IF($G1666="",0,$G1666))</f>
        <v/>
      </c>
      <c r="J1666" s="23">
        <f>IF($L1666="","",IF(INDEX(ExpNote,$L1666)="","—",INDEX(ExpNote,$L1666)))</f>
        <v/>
      </c>
      <c r="L1666">
        <f>IFERROR(MATCH($C$5&amp;"|"&amp;RIGHT("000000"&amp;1650,6),ExpRankKey,0),"")</f>
        <v/>
      </c>
    </row>
    <row r="1667">
      <c r="A1667" s="16" t="n">
        <v>1651</v>
      </c>
      <c r="B1667" s="17">
        <f>IF($L1667="","",INDEX(ExpNorm,$L1667))</f>
        <v/>
      </c>
      <c r="C1667" s="17">
        <f>IF($L1667="","",IF(INDEX(ExpTime,$L1667)="","—",LEFT(INDEX(ExpTime,$L1667),2)&amp;":"&amp;RIGHT(INDEX(ExpTime,$L1667),2)))</f>
        <v/>
      </c>
      <c r="D1667" s="17">
        <f>IF($L1667="","",IF(INDEX(ExpBank,$L1667)="","—",INDEX(ExpBank,$L1667)))</f>
        <v/>
      </c>
      <c r="E1667" s="18">
        <f>IF($L1667="","",IF(INDEX(ExpParty,$L1667)="","—",IFERROR(VLOOKUP(INDEX(ExpParty,$L1667),AcctTbl,4,0),INDEX(ExpParty,$L1667))))</f>
        <v/>
      </c>
      <c r="F1667" s="17">
        <f>IF($L1667="","",IF(INDEX(ExpType,$L1667)="","—",INDEX(ExpType,$L1667)))</f>
        <v/>
      </c>
      <c r="G1667" s="19">
        <f>IF($L1667="","",IF(INDEX(ExpDep,$L1667)=0,"",INDEX(ExpDep,$L1667)))</f>
        <v/>
      </c>
      <c r="H1667" s="19">
        <f>IF($L1667="","",IF(INDEX(ExpWit,$L1667)=0,"",INDEX(ExpWit,$L1667)))</f>
        <v/>
      </c>
      <c r="I1667" s="20">
        <f>IF($B1667="","",IF($I1666="",0,$I1666)+IF($H1667="",0,$H1667)-IF($G1667="",0,$G1667))</f>
        <v/>
      </c>
      <c r="J1667" s="18">
        <f>IF($L1667="","",IF(INDEX(ExpNote,$L1667)="","—",INDEX(ExpNote,$L1667)))</f>
        <v/>
      </c>
      <c r="L1667">
        <f>IFERROR(MATCH($C$5&amp;"|"&amp;RIGHT("000000"&amp;1651,6),ExpRankKey,0),"")</f>
        <v/>
      </c>
    </row>
    <row r="1668">
      <c r="A1668" s="21" t="n">
        <v>1652</v>
      </c>
      <c r="B1668" s="22">
        <f>IF($L1668="","",INDEX(ExpNorm,$L1668))</f>
        <v/>
      </c>
      <c r="C1668" s="22">
        <f>IF($L1668="","",IF(INDEX(ExpTime,$L1668)="","—",LEFT(INDEX(ExpTime,$L1668),2)&amp;":"&amp;RIGHT(INDEX(ExpTime,$L1668),2)))</f>
        <v/>
      </c>
      <c r="D1668" s="22">
        <f>IF($L1668="","",IF(INDEX(ExpBank,$L1668)="","—",INDEX(ExpBank,$L1668)))</f>
        <v/>
      </c>
      <c r="E1668" s="23">
        <f>IF($L1668="","",IF(INDEX(ExpParty,$L1668)="","—",IFERROR(VLOOKUP(INDEX(ExpParty,$L1668),AcctTbl,4,0),INDEX(ExpParty,$L1668))))</f>
        <v/>
      </c>
      <c r="F1668" s="22">
        <f>IF($L1668="","",IF(INDEX(ExpType,$L1668)="","—",INDEX(ExpType,$L1668)))</f>
        <v/>
      </c>
      <c r="G1668" s="24">
        <f>IF($L1668="","",IF(INDEX(ExpDep,$L1668)=0,"",INDEX(ExpDep,$L1668)))</f>
        <v/>
      </c>
      <c r="H1668" s="24">
        <f>IF($L1668="","",IF(INDEX(ExpWit,$L1668)=0,"",INDEX(ExpWit,$L1668)))</f>
        <v/>
      </c>
      <c r="I1668" s="25">
        <f>IF($B1668="","",IF($I1667="",0,$I1667)+IF($H1668="",0,$H1668)-IF($G1668="",0,$G1668))</f>
        <v/>
      </c>
      <c r="J1668" s="23">
        <f>IF($L1668="","",IF(INDEX(ExpNote,$L1668)="","—",INDEX(ExpNote,$L1668)))</f>
        <v/>
      </c>
      <c r="L1668">
        <f>IFERROR(MATCH($C$5&amp;"|"&amp;RIGHT("000000"&amp;1652,6),ExpRankKey,0),"")</f>
        <v/>
      </c>
    </row>
    <row r="1669">
      <c r="A1669" s="16" t="n">
        <v>1653</v>
      </c>
      <c r="B1669" s="17">
        <f>IF($L1669="","",INDEX(ExpNorm,$L1669))</f>
        <v/>
      </c>
      <c r="C1669" s="17">
        <f>IF($L1669="","",IF(INDEX(ExpTime,$L1669)="","—",LEFT(INDEX(ExpTime,$L1669),2)&amp;":"&amp;RIGHT(INDEX(ExpTime,$L1669),2)))</f>
        <v/>
      </c>
      <c r="D1669" s="17">
        <f>IF($L1669="","",IF(INDEX(ExpBank,$L1669)="","—",INDEX(ExpBank,$L1669)))</f>
        <v/>
      </c>
      <c r="E1669" s="18">
        <f>IF($L1669="","",IF(INDEX(ExpParty,$L1669)="","—",IFERROR(VLOOKUP(INDEX(ExpParty,$L1669),AcctTbl,4,0),INDEX(ExpParty,$L1669))))</f>
        <v/>
      </c>
      <c r="F1669" s="17">
        <f>IF($L1669="","",IF(INDEX(ExpType,$L1669)="","—",INDEX(ExpType,$L1669)))</f>
        <v/>
      </c>
      <c r="G1669" s="19">
        <f>IF($L1669="","",IF(INDEX(ExpDep,$L1669)=0,"",INDEX(ExpDep,$L1669)))</f>
        <v/>
      </c>
      <c r="H1669" s="19">
        <f>IF($L1669="","",IF(INDEX(ExpWit,$L1669)=0,"",INDEX(ExpWit,$L1669)))</f>
        <v/>
      </c>
      <c r="I1669" s="20">
        <f>IF($B1669="","",IF($I1668="",0,$I1668)+IF($H1669="",0,$H1669)-IF($G1669="",0,$G1669))</f>
        <v/>
      </c>
      <c r="J1669" s="18">
        <f>IF($L1669="","",IF(INDEX(ExpNote,$L1669)="","—",INDEX(ExpNote,$L1669)))</f>
        <v/>
      </c>
      <c r="L1669">
        <f>IFERROR(MATCH($C$5&amp;"|"&amp;RIGHT("000000"&amp;1653,6),ExpRankKey,0),"")</f>
        <v/>
      </c>
    </row>
    <row r="1670">
      <c r="A1670" s="21" t="n">
        <v>1654</v>
      </c>
      <c r="B1670" s="22">
        <f>IF($L1670="","",INDEX(ExpNorm,$L1670))</f>
        <v/>
      </c>
      <c r="C1670" s="22">
        <f>IF($L1670="","",IF(INDEX(ExpTime,$L1670)="","—",LEFT(INDEX(ExpTime,$L1670),2)&amp;":"&amp;RIGHT(INDEX(ExpTime,$L1670),2)))</f>
        <v/>
      </c>
      <c r="D1670" s="22">
        <f>IF($L1670="","",IF(INDEX(ExpBank,$L1670)="","—",INDEX(ExpBank,$L1670)))</f>
        <v/>
      </c>
      <c r="E1670" s="23">
        <f>IF($L1670="","",IF(INDEX(ExpParty,$L1670)="","—",IFERROR(VLOOKUP(INDEX(ExpParty,$L1670),AcctTbl,4,0),INDEX(ExpParty,$L1670))))</f>
        <v/>
      </c>
      <c r="F1670" s="22">
        <f>IF($L1670="","",IF(INDEX(ExpType,$L1670)="","—",INDEX(ExpType,$L1670)))</f>
        <v/>
      </c>
      <c r="G1670" s="24">
        <f>IF($L1670="","",IF(INDEX(ExpDep,$L1670)=0,"",INDEX(ExpDep,$L1670)))</f>
        <v/>
      </c>
      <c r="H1670" s="24">
        <f>IF($L1670="","",IF(INDEX(ExpWit,$L1670)=0,"",INDEX(ExpWit,$L1670)))</f>
        <v/>
      </c>
      <c r="I1670" s="25">
        <f>IF($B1670="","",IF($I1669="",0,$I1669)+IF($H1670="",0,$H1670)-IF($G1670="",0,$G1670))</f>
        <v/>
      </c>
      <c r="J1670" s="23">
        <f>IF($L1670="","",IF(INDEX(ExpNote,$L1670)="","—",INDEX(ExpNote,$L1670)))</f>
        <v/>
      </c>
      <c r="L1670">
        <f>IFERROR(MATCH($C$5&amp;"|"&amp;RIGHT("000000"&amp;1654,6),ExpRankKey,0),"")</f>
        <v/>
      </c>
    </row>
    <row r="1671">
      <c r="A1671" s="16" t="n">
        <v>1655</v>
      </c>
      <c r="B1671" s="17">
        <f>IF($L1671="","",INDEX(ExpNorm,$L1671))</f>
        <v/>
      </c>
      <c r="C1671" s="17">
        <f>IF($L1671="","",IF(INDEX(ExpTime,$L1671)="","—",LEFT(INDEX(ExpTime,$L1671),2)&amp;":"&amp;RIGHT(INDEX(ExpTime,$L1671),2)))</f>
        <v/>
      </c>
      <c r="D1671" s="17">
        <f>IF($L1671="","",IF(INDEX(ExpBank,$L1671)="","—",INDEX(ExpBank,$L1671)))</f>
        <v/>
      </c>
      <c r="E1671" s="18">
        <f>IF($L1671="","",IF(INDEX(ExpParty,$L1671)="","—",IFERROR(VLOOKUP(INDEX(ExpParty,$L1671),AcctTbl,4,0),INDEX(ExpParty,$L1671))))</f>
        <v/>
      </c>
      <c r="F1671" s="17">
        <f>IF($L1671="","",IF(INDEX(ExpType,$L1671)="","—",INDEX(ExpType,$L1671)))</f>
        <v/>
      </c>
      <c r="G1671" s="19">
        <f>IF($L1671="","",IF(INDEX(ExpDep,$L1671)=0,"",INDEX(ExpDep,$L1671)))</f>
        <v/>
      </c>
      <c r="H1671" s="19">
        <f>IF($L1671="","",IF(INDEX(ExpWit,$L1671)=0,"",INDEX(ExpWit,$L1671)))</f>
        <v/>
      </c>
      <c r="I1671" s="20">
        <f>IF($B1671="","",IF($I1670="",0,$I1670)+IF($H1671="",0,$H1671)-IF($G1671="",0,$G1671))</f>
        <v/>
      </c>
      <c r="J1671" s="18">
        <f>IF($L1671="","",IF(INDEX(ExpNote,$L1671)="","—",INDEX(ExpNote,$L1671)))</f>
        <v/>
      </c>
      <c r="L1671">
        <f>IFERROR(MATCH($C$5&amp;"|"&amp;RIGHT("000000"&amp;1655,6),ExpRankKey,0),"")</f>
        <v/>
      </c>
    </row>
    <row r="1672">
      <c r="A1672" s="21" t="n">
        <v>1656</v>
      </c>
      <c r="B1672" s="22">
        <f>IF($L1672="","",INDEX(ExpNorm,$L1672))</f>
        <v/>
      </c>
      <c r="C1672" s="22">
        <f>IF($L1672="","",IF(INDEX(ExpTime,$L1672)="","—",LEFT(INDEX(ExpTime,$L1672),2)&amp;":"&amp;RIGHT(INDEX(ExpTime,$L1672),2)))</f>
        <v/>
      </c>
      <c r="D1672" s="22">
        <f>IF($L1672="","",IF(INDEX(ExpBank,$L1672)="","—",INDEX(ExpBank,$L1672)))</f>
        <v/>
      </c>
      <c r="E1672" s="23">
        <f>IF($L1672="","",IF(INDEX(ExpParty,$L1672)="","—",IFERROR(VLOOKUP(INDEX(ExpParty,$L1672),AcctTbl,4,0),INDEX(ExpParty,$L1672))))</f>
        <v/>
      </c>
      <c r="F1672" s="22">
        <f>IF($L1672="","",IF(INDEX(ExpType,$L1672)="","—",INDEX(ExpType,$L1672)))</f>
        <v/>
      </c>
      <c r="G1672" s="24">
        <f>IF($L1672="","",IF(INDEX(ExpDep,$L1672)=0,"",INDEX(ExpDep,$L1672)))</f>
        <v/>
      </c>
      <c r="H1672" s="24">
        <f>IF($L1672="","",IF(INDEX(ExpWit,$L1672)=0,"",INDEX(ExpWit,$L1672)))</f>
        <v/>
      </c>
      <c r="I1672" s="25">
        <f>IF($B1672="","",IF($I1671="",0,$I1671)+IF($H1672="",0,$H1672)-IF($G1672="",0,$G1672))</f>
        <v/>
      </c>
      <c r="J1672" s="23">
        <f>IF($L1672="","",IF(INDEX(ExpNote,$L1672)="","—",INDEX(ExpNote,$L1672)))</f>
        <v/>
      </c>
      <c r="L1672">
        <f>IFERROR(MATCH($C$5&amp;"|"&amp;RIGHT("000000"&amp;1656,6),ExpRankKey,0),"")</f>
        <v/>
      </c>
    </row>
    <row r="1673">
      <c r="A1673" s="16" t="n">
        <v>1657</v>
      </c>
      <c r="B1673" s="17">
        <f>IF($L1673="","",INDEX(ExpNorm,$L1673))</f>
        <v/>
      </c>
      <c r="C1673" s="17">
        <f>IF($L1673="","",IF(INDEX(ExpTime,$L1673)="","—",LEFT(INDEX(ExpTime,$L1673),2)&amp;":"&amp;RIGHT(INDEX(ExpTime,$L1673),2)))</f>
        <v/>
      </c>
      <c r="D1673" s="17">
        <f>IF($L1673="","",IF(INDEX(ExpBank,$L1673)="","—",INDEX(ExpBank,$L1673)))</f>
        <v/>
      </c>
      <c r="E1673" s="18">
        <f>IF($L1673="","",IF(INDEX(ExpParty,$L1673)="","—",IFERROR(VLOOKUP(INDEX(ExpParty,$L1673),AcctTbl,4,0),INDEX(ExpParty,$L1673))))</f>
        <v/>
      </c>
      <c r="F1673" s="17">
        <f>IF($L1673="","",IF(INDEX(ExpType,$L1673)="","—",INDEX(ExpType,$L1673)))</f>
        <v/>
      </c>
      <c r="G1673" s="19">
        <f>IF($L1673="","",IF(INDEX(ExpDep,$L1673)=0,"",INDEX(ExpDep,$L1673)))</f>
        <v/>
      </c>
      <c r="H1673" s="19">
        <f>IF($L1673="","",IF(INDEX(ExpWit,$L1673)=0,"",INDEX(ExpWit,$L1673)))</f>
        <v/>
      </c>
      <c r="I1673" s="20">
        <f>IF($B1673="","",IF($I1672="",0,$I1672)+IF($H1673="",0,$H1673)-IF($G1673="",0,$G1673))</f>
        <v/>
      </c>
      <c r="J1673" s="18">
        <f>IF($L1673="","",IF(INDEX(ExpNote,$L1673)="","—",INDEX(ExpNote,$L1673)))</f>
        <v/>
      </c>
      <c r="L1673">
        <f>IFERROR(MATCH($C$5&amp;"|"&amp;RIGHT("000000"&amp;1657,6),ExpRankKey,0),"")</f>
        <v/>
      </c>
    </row>
    <row r="1674">
      <c r="A1674" s="21" t="n">
        <v>1658</v>
      </c>
      <c r="B1674" s="22">
        <f>IF($L1674="","",INDEX(ExpNorm,$L1674))</f>
        <v/>
      </c>
      <c r="C1674" s="22">
        <f>IF($L1674="","",IF(INDEX(ExpTime,$L1674)="","—",LEFT(INDEX(ExpTime,$L1674),2)&amp;":"&amp;RIGHT(INDEX(ExpTime,$L1674),2)))</f>
        <v/>
      </c>
      <c r="D1674" s="22">
        <f>IF($L1674="","",IF(INDEX(ExpBank,$L1674)="","—",INDEX(ExpBank,$L1674)))</f>
        <v/>
      </c>
      <c r="E1674" s="23">
        <f>IF($L1674="","",IF(INDEX(ExpParty,$L1674)="","—",IFERROR(VLOOKUP(INDEX(ExpParty,$L1674),AcctTbl,4,0),INDEX(ExpParty,$L1674))))</f>
        <v/>
      </c>
      <c r="F1674" s="22">
        <f>IF($L1674="","",IF(INDEX(ExpType,$L1674)="","—",INDEX(ExpType,$L1674)))</f>
        <v/>
      </c>
      <c r="G1674" s="24">
        <f>IF($L1674="","",IF(INDEX(ExpDep,$L1674)=0,"",INDEX(ExpDep,$L1674)))</f>
        <v/>
      </c>
      <c r="H1674" s="24">
        <f>IF($L1674="","",IF(INDEX(ExpWit,$L1674)=0,"",INDEX(ExpWit,$L1674)))</f>
        <v/>
      </c>
      <c r="I1674" s="25">
        <f>IF($B1674="","",IF($I1673="",0,$I1673)+IF($H1674="",0,$H1674)-IF($G1674="",0,$G1674))</f>
        <v/>
      </c>
      <c r="J1674" s="23">
        <f>IF($L1674="","",IF(INDEX(ExpNote,$L1674)="","—",INDEX(ExpNote,$L1674)))</f>
        <v/>
      </c>
      <c r="L1674">
        <f>IFERROR(MATCH($C$5&amp;"|"&amp;RIGHT("000000"&amp;1658,6),ExpRankKey,0),"")</f>
        <v/>
      </c>
    </row>
    <row r="1675">
      <c r="A1675" s="16" t="n">
        <v>1659</v>
      </c>
      <c r="B1675" s="17">
        <f>IF($L1675="","",INDEX(ExpNorm,$L1675))</f>
        <v/>
      </c>
      <c r="C1675" s="17">
        <f>IF($L1675="","",IF(INDEX(ExpTime,$L1675)="","—",LEFT(INDEX(ExpTime,$L1675),2)&amp;":"&amp;RIGHT(INDEX(ExpTime,$L1675),2)))</f>
        <v/>
      </c>
      <c r="D1675" s="17">
        <f>IF($L1675="","",IF(INDEX(ExpBank,$L1675)="","—",INDEX(ExpBank,$L1675)))</f>
        <v/>
      </c>
      <c r="E1675" s="18">
        <f>IF($L1675="","",IF(INDEX(ExpParty,$L1675)="","—",IFERROR(VLOOKUP(INDEX(ExpParty,$L1675),AcctTbl,4,0),INDEX(ExpParty,$L1675))))</f>
        <v/>
      </c>
      <c r="F1675" s="17">
        <f>IF($L1675="","",IF(INDEX(ExpType,$L1675)="","—",INDEX(ExpType,$L1675)))</f>
        <v/>
      </c>
      <c r="G1675" s="19">
        <f>IF($L1675="","",IF(INDEX(ExpDep,$L1675)=0,"",INDEX(ExpDep,$L1675)))</f>
        <v/>
      </c>
      <c r="H1675" s="19">
        <f>IF($L1675="","",IF(INDEX(ExpWit,$L1675)=0,"",INDEX(ExpWit,$L1675)))</f>
        <v/>
      </c>
      <c r="I1675" s="20">
        <f>IF($B1675="","",IF($I1674="",0,$I1674)+IF($H1675="",0,$H1675)-IF($G1675="",0,$G1675))</f>
        <v/>
      </c>
      <c r="J1675" s="18">
        <f>IF($L1675="","",IF(INDEX(ExpNote,$L1675)="","—",INDEX(ExpNote,$L1675)))</f>
        <v/>
      </c>
      <c r="L1675">
        <f>IFERROR(MATCH($C$5&amp;"|"&amp;RIGHT("000000"&amp;1659,6),ExpRankKey,0),"")</f>
        <v/>
      </c>
    </row>
    <row r="1676">
      <c r="A1676" s="21" t="n">
        <v>1660</v>
      </c>
      <c r="B1676" s="22">
        <f>IF($L1676="","",INDEX(ExpNorm,$L1676))</f>
        <v/>
      </c>
      <c r="C1676" s="22">
        <f>IF($L1676="","",IF(INDEX(ExpTime,$L1676)="","—",LEFT(INDEX(ExpTime,$L1676),2)&amp;":"&amp;RIGHT(INDEX(ExpTime,$L1676),2)))</f>
        <v/>
      </c>
      <c r="D1676" s="22">
        <f>IF($L1676="","",IF(INDEX(ExpBank,$L1676)="","—",INDEX(ExpBank,$L1676)))</f>
        <v/>
      </c>
      <c r="E1676" s="23">
        <f>IF($L1676="","",IF(INDEX(ExpParty,$L1676)="","—",IFERROR(VLOOKUP(INDEX(ExpParty,$L1676),AcctTbl,4,0),INDEX(ExpParty,$L1676))))</f>
        <v/>
      </c>
      <c r="F1676" s="22">
        <f>IF($L1676="","",IF(INDEX(ExpType,$L1676)="","—",INDEX(ExpType,$L1676)))</f>
        <v/>
      </c>
      <c r="G1676" s="24">
        <f>IF($L1676="","",IF(INDEX(ExpDep,$L1676)=0,"",INDEX(ExpDep,$L1676)))</f>
        <v/>
      </c>
      <c r="H1676" s="24">
        <f>IF($L1676="","",IF(INDEX(ExpWit,$L1676)=0,"",INDEX(ExpWit,$L1676)))</f>
        <v/>
      </c>
      <c r="I1676" s="25">
        <f>IF($B1676="","",IF($I1675="",0,$I1675)+IF($H1676="",0,$H1676)-IF($G1676="",0,$G1676))</f>
        <v/>
      </c>
      <c r="J1676" s="23">
        <f>IF($L1676="","",IF(INDEX(ExpNote,$L1676)="","—",INDEX(ExpNote,$L1676)))</f>
        <v/>
      </c>
      <c r="L1676">
        <f>IFERROR(MATCH($C$5&amp;"|"&amp;RIGHT("000000"&amp;1660,6),ExpRankKey,0),"")</f>
        <v/>
      </c>
    </row>
    <row r="1677">
      <c r="A1677" s="16" t="n">
        <v>1661</v>
      </c>
      <c r="B1677" s="17">
        <f>IF($L1677="","",INDEX(ExpNorm,$L1677))</f>
        <v/>
      </c>
      <c r="C1677" s="17">
        <f>IF($L1677="","",IF(INDEX(ExpTime,$L1677)="","—",LEFT(INDEX(ExpTime,$L1677),2)&amp;":"&amp;RIGHT(INDEX(ExpTime,$L1677),2)))</f>
        <v/>
      </c>
      <c r="D1677" s="17">
        <f>IF($L1677="","",IF(INDEX(ExpBank,$L1677)="","—",INDEX(ExpBank,$L1677)))</f>
        <v/>
      </c>
      <c r="E1677" s="18">
        <f>IF($L1677="","",IF(INDEX(ExpParty,$L1677)="","—",IFERROR(VLOOKUP(INDEX(ExpParty,$L1677),AcctTbl,4,0),INDEX(ExpParty,$L1677))))</f>
        <v/>
      </c>
      <c r="F1677" s="17">
        <f>IF($L1677="","",IF(INDEX(ExpType,$L1677)="","—",INDEX(ExpType,$L1677)))</f>
        <v/>
      </c>
      <c r="G1677" s="19">
        <f>IF($L1677="","",IF(INDEX(ExpDep,$L1677)=0,"",INDEX(ExpDep,$L1677)))</f>
        <v/>
      </c>
      <c r="H1677" s="19">
        <f>IF($L1677="","",IF(INDEX(ExpWit,$L1677)=0,"",INDEX(ExpWit,$L1677)))</f>
        <v/>
      </c>
      <c r="I1677" s="20">
        <f>IF($B1677="","",IF($I1676="",0,$I1676)+IF($H1677="",0,$H1677)-IF($G1677="",0,$G1677))</f>
        <v/>
      </c>
      <c r="J1677" s="18">
        <f>IF($L1677="","",IF(INDEX(ExpNote,$L1677)="","—",INDEX(ExpNote,$L1677)))</f>
        <v/>
      </c>
      <c r="L1677">
        <f>IFERROR(MATCH($C$5&amp;"|"&amp;RIGHT("000000"&amp;1661,6),ExpRankKey,0),"")</f>
        <v/>
      </c>
    </row>
    <row r="1678">
      <c r="A1678" s="21" t="n">
        <v>1662</v>
      </c>
      <c r="B1678" s="22">
        <f>IF($L1678="","",INDEX(ExpNorm,$L1678))</f>
        <v/>
      </c>
      <c r="C1678" s="22">
        <f>IF($L1678="","",IF(INDEX(ExpTime,$L1678)="","—",LEFT(INDEX(ExpTime,$L1678),2)&amp;":"&amp;RIGHT(INDEX(ExpTime,$L1678),2)))</f>
        <v/>
      </c>
      <c r="D1678" s="22">
        <f>IF($L1678="","",IF(INDEX(ExpBank,$L1678)="","—",INDEX(ExpBank,$L1678)))</f>
        <v/>
      </c>
      <c r="E1678" s="23">
        <f>IF($L1678="","",IF(INDEX(ExpParty,$L1678)="","—",IFERROR(VLOOKUP(INDEX(ExpParty,$L1678),AcctTbl,4,0),INDEX(ExpParty,$L1678))))</f>
        <v/>
      </c>
      <c r="F1678" s="22">
        <f>IF($L1678="","",IF(INDEX(ExpType,$L1678)="","—",INDEX(ExpType,$L1678)))</f>
        <v/>
      </c>
      <c r="G1678" s="24">
        <f>IF($L1678="","",IF(INDEX(ExpDep,$L1678)=0,"",INDEX(ExpDep,$L1678)))</f>
        <v/>
      </c>
      <c r="H1678" s="24">
        <f>IF($L1678="","",IF(INDEX(ExpWit,$L1678)=0,"",INDEX(ExpWit,$L1678)))</f>
        <v/>
      </c>
      <c r="I1678" s="25">
        <f>IF($B1678="","",IF($I1677="",0,$I1677)+IF($H1678="",0,$H1678)-IF($G1678="",0,$G1678))</f>
        <v/>
      </c>
      <c r="J1678" s="23">
        <f>IF($L1678="","",IF(INDEX(ExpNote,$L1678)="","—",INDEX(ExpNote,$L1678)))</f>
        <v/>
      </c>
      <c r="L1678">
        <f>IFERROR(MATCH($C$5&amp;"|"&amp;RIGHT("000000"&amp;1662,6),ExpRankKey,0),"")</f>
        <v/>
      </c>
    </row>
    <row r="1679">
      <c r="A1679" s="16" t="n">
        <v>1663</v>
      </c>
      <c r="B1679" s="17">
        <f>IF($L1679="","",INDEX(ExpNorm,$L1679))</f>
        <v/>
      </c>
      <c r="C1679" s="17">
        <f>IF($L1679="","",IF(INDEX(ExpTime,$L1679)="","—",LEFT(INDEX(ExpTime,$L1679),2)&amp;":"&amp;RIGHT(INDEX(ExpTime,$L1679),2)))</f>
        <v/>
      </c>
      <c r="D1679" s="17">
        <f>IF($L1679="","",IF(INDEX(ExpBank,$L1679)="","—",INDEX(ExpBank,$L1679)))</f>
        <v/>
      </c>
      <c r="E1679" s="18">
        <f>IF($L1679="","",IF(INDEX(ExpParty,$L1679)="","—",IFERROR(VLOOKUP(INDEX(ExpParty,$L1679),AcctTbl,4,0),INDEX(ExpParty,$L1679))))</f>
        <v/>
      </c>
      <c r="F1679" s="17">
        <f>IF($L1679="","",IF(INDEX(ExpType,$L1679)="","—",INDEX(ExpType,$L1679)))</f>
        <v/>
      </c>
      <c r="G1679" s="19">
        <f>IF($L1679="","",IF(INDEX(ExpDep,$L1679)=0,"",INDEX(ExpDep,$L1679)))</f>
        <v/>
      </c>
      <c r="H1679" s="19">
        <f>IF($L1679="","",IF(INDEX(ExpWit,$L1679)=0,"",INDEX(ExpWit,$L1679)))</f>
        <v/>
      </c>
      <c r="I1679" s="20">
        <f>IF($B1679="","",IF($I1678="",0,$I1678)+IF($H1679="",0,$H1679)-IF($G1679="",0,$G1679))</f>
        <v/>
      </c>
      <c r="J1679" s="18">
        <f>IF($L1679="","",IF(INDEX(ExpNote,$L1679)="","—",INDEX(ExpNote,$L1679)))</f>
        <v/>
      </c>
      <c r="L1679">
        <f>IFERROR(MATCH($C$5&amp;"|"&amp;RIGHT("000000"&amp;1663,6),ExpRankKey,0),"")</f>
        <v/>
      </c>
    </row>
    <row r="1680">
      <c r="A1680" s="21" t="n">
        <v>1664</v>
      </c>
      <c r="B1680" s="22">
        <f>IF($L1680="","",INDEX(ExpNorm,$L1680))</f>
        <v/>
      </c>
      <c r="C1680" s="22">
        <f>IF($L1680="","",IF(INDEX(ExpTime,$L1680)="","—",LEFT(INDEX(ExpTime,$L1680),2)&amp;":"&amp;RIGHT(INDEX(ExpTime,$L1680),2)))</f>
        <v/>
      </c>
      <c r="D1680" s="22">
        <f>IF($L1680="","",IF(INDEX(ExpBank,$L1680)="","—",INDEX(ExpBank,$L1680)))</f>
        <v/>
      </c>
      <c r="E1680" s="23">
        <f>IF($L1680="","",IF(INDEX(ExpParty,$L1680)="","—",IFERROR(VLOOKUP(INDEX(ExpParty,$L1680),AcctTbl,4,0),INDEX(ExpParty,$L1680))))</f>
        <v/>
      </c>
      <c r="F1680" s="22">
        <f>IF($L1680="","",IF(INDEX(ExpType,$L1680)="","—",INDEX(ExpType,$L1680)))</f>
        <v/>
      </c>
      <c r="G1680" s="24">
        <f>IF($L1680="","",IF(INDEX(ExpDep,$L1680)=0,"",INDEX(ExpDep,$L1680)))</f>
        <v/>
      </c>
      <c r="H1680" s="24">
        <f>IF($L1680="","",IF(INDEX(ExpWit,$L1680)=0,"",INDEX(ExpWit,$L1680)))</f>
        <v/>
      </c>
      <c r="I1680" s="25">
        <f>IF($B1680="","",IF($I1679="",0,$I1679)+IF($H1680="",0,$H1680)-IF($G1680="",0,$G1680))</f>
        <v/>
      </c>
      <c r="J1680" s="23">
        <f>IF($L1680="","",IF(INDEX(ExpNote,$L1680)="","—",INDEX(ExpNote,$L1680)))</f>
        <v/>
      </c>
      <c r="L1680">
        <f>IFERROR(MATCH($C$5&amp;"|"&amp;RIGHT("000000"&amp;1664,6),ExpRankKey,0),"")</f>
        <v/>
      </c>
    </row>
    <row r="1681">
      <c r="A1681" s="16" t="n">
        <v>1665</v>
      </c>
      <c r="B1681" s="17">
        <f>IF($L1681="","",INDEX(ExpNorm,$L1681))</f>
        <v/>
      </c>
      <c r="C1681" s="17">
        <f>IF($L1681="","",IF(INDEX(ExpTime,$L1681)="","—",LEFT(INDEX(ExpTime,$L1681),2)&amp;":"&amp;RIGHT(INDEX(ExpTime,$L1681),2)))</f>
        <v/>
      </c>
      <c r="D1681" s="17">
        <f>IF($L1681="","",IF(INDEX(ExpBank,$L1681)="","—",INDEX(ExpBank,$L1681)))</f>
        <v/>
      </c>
      <c r="E1681" s="18">
        <f>IF($L1681="","",IF(INDEX(ExpParty,$L1681)="","—",IFERROR(VLOOKUP(INDEX(ExpParty,$L1681),AcctTbl,4,0),INDEX(ExpParty,$L1681))))</f>
        <v/>
      </c>
      <c r="F1681" s="17">
        <f>IF($L1681="","",IF(INDEX(ExpType,$L1681)="","—",INDEX(ExpType,$L1681)))</f>
        <v/>
      </c>
      <c r="G1681" s="19">
        <f>IF($L1681="","",IF(INDEX(ExpDep,$L1681)=0,"",INDEX(ExpDep,$L1681)))</f>
        <v/>
      </c>
      <c r="H1681" s="19">
        <f>IF($L1681="","",IF(INDEX(ExpWit,$L1681)=0,"",INDEX(ExpWit,$L1681)))</f>
        <v/>
      </c>
      <c r="I1681" s="20">
        <f>IF($B1681="","",IF($I1680="",0,$I1680)+IF($H1681="",0,$H1681)-IF($G1681="",0,$G1681))</f>
        <v/>
      </c>
      <c r="J1681" s="18">
        <f>IF($L1681="","",IF(INDEX(ExpNote,$L1681)="","—",INDEX(ExpNote,$L1681)))</f>
        <v/>
      </c>
      <c r="L1681">
        <f>IFERROR(MATCH($C$5&amp;"|"&amp;RIGHT("000000"&amp;1665,6),ExpRankKey,0),"")</f>
        <v/>
      </c>
    </row>
    <row r="1682">
      <c r="A1682" s="21" t="n">
        <v>1666</v>
      </c>
      <c r="B1682" s="22">
        <f>IF($L1682="","",INDEX(ExpNorm,$L1682))</f>
        <v/>
      </c>
      <c r="C1682" s="22">
        <f>IF($L1682="","",IF(INDEX(ExpTime,$L1682)="","—",LEFT(INDEX(ExpTime,$L1682),2)&amp;":"&amp;RIGHT(INDEX(ExpTime,$L1682),2)))</f>
        <v/>
      </c>
      <c r="D1682" s="22">
        <f>IF($L1682="","",IF(INDEX(ExpBank,$L1682)="","—",INDEX(ExpBank,$L1682)))</f>
        <v/>
      </c>
      <c r="E1682" s="23">
        <f>IF($L1682="","",IF(INDEX(ExpParty,$L1682)="","—",IFERROR(VLOOKUP(INDEX(ExpParty,$L1682),AcctTbl,4,0),INDEX(ExpParty,$L1682))))</f>
        <v/>
      </c>
      <c r="F1682" s="22">
        <f>IF($L1682="","",IF(INDEX(ExpType,$L1682)="","—",INDEX(ExpType,$L1682)))</f>
        <v/>
      </c>
      <c r="G1682" s="24">
        <f>IF($L1682="","",IF(INDEX(ExpDep,$L1682)=0,"",INDEX(ExpDep,$L1682)))</f>
        <v/>
      </c>
      <c r="H1682" s="24">
        <f>IF($L1682="","",IF(INDEX(ExpWit,$L1682)=0,"",INDEX(ExpWit,$L1682)))</f>
        <v/>
      </c>
      <c r="I1682" s="25">
        <f>IF($B1682="","",IF($I1681="",0,$I1681)+IF($H1682="",0,$H1682)-IF($G1682="",0,$G1682))</f>
        <v/>
      </c>
      <c r="J1682" s="23">
        <f>IF($L1682="","",IF(INDEX(ExpNote,$L1682)="","—",INDEX(ExpNote,$L1682)))</f>
        <v/>
      </c>
      <c r="L1682">
        <f>IFERROR(MATCH($C$5&amp;"|"&amp;RIGHT("000000"&amp;1666,6),ExpRankKey,0),"")</f>
        <v/>
      </c>
    </row>
    <row r="1683">
      <c r="A1683" s="16" t="n">
        <v>1667</v>
      </c>
      <c r="B1683" s="17">
        <f>IF($L1683="","",INDEX(ExpNorm,$L1683))</f>
        <v/>
      </c>
      <c r="C1683" s="17">
        <f>IF($L1683="","",IF(INDEX(ExpTime,$L1683)="","—",LEFT(INDEX(ExpTime,$L1683),2)&amp;":"&amp;RIGHT(INDEX(ExpTime,$L1683),2)))</f>
        <v/>
      </c>
      <c r="D1683" s="17">
        <f>IF($L1683="","",IF(INDEX(ExpBank,$L1683)="","—",INDEX(ExpBank,$L1683)))</f>
        <v/>
      </c>
      <c r="E1683" s="18">
        <f>IF($L1683="","",IF(INDEX(ExpParty,$L1683)="","—",IFERROR(VLOOKUP(INDEX(ExpParty,$L1683),AcctTbl,4,0),INDEX(ExpParty,$L1683))))</f>
        <v/>
      </c>
      <c r="F1683" s="17">
        <f>IF($L1683="","",IF(INDEX(ExpType,$L1683)="","—",INDEX(ExpType,$L1683)))</f>
        <v/>
      </c>
      <c r="G1683" s="19">
        <f>IF($L1683="","",IF(INDEX(ExpDep,$L1683)=0,"",INDEX(ExpDep,$L1683)))</f>
        <v/>
      </c>
      <c r="H1683" s="19">
        <f>IF($L1683="","",IF(INDEX(ExpWit,$L1683)=0,"",INDEX(ExpWit,$L1683)))</f>
        <v/>
      </c>
      <c r="I1683" s="20">
        <f>IF($B1683="","",IF($I1682="",0,$I1682)+IF($H1683="",0,$H1683)-IF($G1683="",0,$G1683))</f>
        <v/>
      </c>
      <c r="J1683" s="18">
        <f>IF($L1683="","",IF(INDEX(ExpNote,$L1683)="","—",INDEX(ExpNote,$L1683)))</f>
        <v/>
      </c>
      <c r="L1683">
        <f>IFERROR(MATCH($C$5&amp;"|"&amp;RIGHT("000000"&amp;1667,6),ExpRankKey,0),"")</f>
        <v/>
      </c>
    </row>
    <row r="1684">
      <c r="A1684" s="21" t="n">
        <v>1668</v>
      </c>
      <c r="B1684" s="22">
        <f>IF($L1684="","",INDEX(ExpNorm,$L1684))</f>
        <v/>
      </c>
      <c r="C1684" s="22">
        <f>IF($L1684="","",IF(INDEX(ExpTime,$L1684)="","—",LEFT(INDEX(ExpTime,$L1684),2)&amp;":"&amp;RIGHT(INDEX(ExpTime,$L1684),2)))</f>
        <v/>
      </c>
      <c r="D1684" s="22">
        <f>IF($L1684="","",IF(INDEX(ExpBank,$L1684)="","—",INDEX(ExpBank,$L1684)))</f>
        <v/>
      </c>
      <c r="E1684" s="23">
        <f>IF($L1684="","",IF(INDEX(ExpParty,$L1684)="","—",IFERROR(VLOOKUP(INDEX(ExpParty,$L1684),AcctTbl,4,0),INDEX(ExpParty,$L1684))))</f>
        <v/>
      </c>
      <c r="F1684" s="22">
        <f>IF($L1684="","",IF(INDEX(ExpType,$L1684)="","—",INDEX(ExpType,$L1684)))</f>
        <v/>
      </c>
      <c r="G1684" s="24">
        <f>IF($L1684="","",IF(INDEX(ExpDep,$L1684)=0,"",INDEX(ExpDep,$L1684)))</f>
        <v/>
      </c>
      <c r="H1684" s="24">
        <f>IF($L1684="","",IF(INDEX(ExpWit,$L1684)=0,"",INDEX(ExpWit,$L1684)))</f>
        <v/>
      </c>
      <c r="I1684" s="25">
        <f>IF($B1684="","",IF($I1683="",0,$I1683)+IF($H1684="",0,$H1684)-IF($G1684="",0,$G1684))</f>
        <v/>
      </c>
      <c r="J1684" s="23">
        <f>IF($L1684="","",IF(INDEX(ExpNote,$L1684)="","—",INDEX(ExpNote,$L1684)))</f>
        <v/>
      </c>
      <c r="L1684">
        <f>IFERROR(MATCH($C$5&amp;"|"&amp;RIGHT("000000"&amp;1668,6),ExpRankKey,0),"")</f>
        <v/>
      </c>
    </row>
    <row r="1685">
      <c r="A1685" s="16" t="n">
        <v>1669</v>
      </c>
      <c r="B1685" s="17">
        <f>IF($L1685="","",INDEX(ExpNorm,$L1685))</f>
        <v/>
      </c>
      <c r="C1685" s="17">
        <f>IF($L1685="","",IF(INDEX(ExpTime,$L1685)="","—",LEFT(INDEX(ExpTime,$L1685),2)&amp;":"&amp;RIGHT(INDEX(ExpTime,$L1685),2)))</f>
        <v/>
      </c>
      <c r="D1685" s="17">
        <f>IF($L1685="","",IF(INDEX(ExpBank,$L1685)="","—",INDEX(ExpBank,$L1685)))</f>
        <v/>
      </c>
      <c r="E1685" s="18">
        <f>IF($L1685="","",IF(INDEX(ExpParty,$L1685)="","—",IFERROR(VLOOKUP(INDEX(ExpParty,$L1685),AcctTbl,4,0),INDEX(ExpParty,$L1685))))</f>
        <v/>
      </c>
      <c r="F1685" s="17">
        <f>IF($L1685="","",IF(INDEX(ExpType,$L1685)="","—",INDEX(ExpType,$L1685)))</f>
        <v/>
      </c>
      <c r="G1685" s="19">
        <f>IF($L1685="","",IF(INDEX(ExpDep,$L1685)=0,"",INDEX(ExpDep,$L1685)))</f>
        <v/>
      </c>
      <c r="H1685" s="19">
        <f>IF($L1685="","",IF(INDEX(ExpWit,$L1685)=0,"",INDEX(ExpWit,$L1685)))</f>
        <v/>
      </c>
      <c r="I1685" s="20">
        <f>IF($B1685="","",IF($I1684="",0,$I1684)+IF($H1685="",0,$H1685)-IF($G1685="",0,$G1685))</f>
        <v/>
      </c>
      <c r="J1685" s="18">
        <f>IF($L1685="","",IF(INDEX(ExpNote,$L1685)="","—",INDEX(ExpNote,$L1685)))</f>
        <v/>
      </c>
      <c r="L1685">
        <f>IFERROR(MATCH($C$5&amp;"|"&amp;RIGHT("000000"&amp;1669,6),ExpRankKey,0),"")</f>
        <v/>
      </c>
    </row>
    <row r="1686">
      <c r="A1686" s="21" t="n">
        <v>1670</v>
      </c>
      <c r="B1686" s="22">
        <f>IF($L1686="","",INDEX(ExpNorm,$L1686))</f>
        <v/>
      </c>
      <c r="C1686" s="22">
        <f>IF($L1686="","",IF(INDEX(ExpTime,$L1686)="","—",LEFT(INDEX(ExpTime,$L1686),2)&amp;":"&amp;RIGHT(INDEX(ExpTime,$L1686),2)))</f>
        <v/>
      </c>
      <c r="D1686" s="22">
        <f>IF($L1686="","",IF(INDEX(ExpBank,$L1686)="","—",INDEX(ExpBank,$L1686)))</f>
        <v/>
      </c>
      <c r="E1686" s="23">
        <f>IF($L1686="","",IF(INDEX(ExpParty,$L1686)="","—",IFERROR(VLOOKUP(INDEX(ExpParty,$L1686),AcctTbl,4,0),INDEX(ExpParty,$L1686))))</f>
        <v/>
      </c>
      <c r="F1686" s="22">
        <f>IF($L1686="","",IF(INDEX(ExpType,$L1686)="","—",INDEX(ExpType,$L1686)))</f>
        <v/>
      </c>
      <c r="G1686" s="24">
        <f>IF($L1686="","",IF(INDEX(ExpDep,$L1686)=0,"",INDEX(ExpDep,$L1686)))</f>
        <v/>
      </c>
      <c r="H1686" s="24">
        <f>IF($L1686="","",IF(INDEX(ExpWit,$L1686)=0,"",INDEX(ExpWit,$L1686)))</f>
        <v/>
      </c>
      <c r="I1686" s="25">
        <f>IF($B1686="","",IF($I1685="",0,$I1685)+IF($H1686="",0,$H1686)-IF($G1686="",0,$G1686))</f>
        <v/>
      </c>
      <c r="J1686" s="23">
        <f>IF($L1686="","",IF(INDEX(ExpNote,$L1686)="","—",INDEX(ExpNote,$L1686)))</f>
        <v/>
      </c>
      <c r="L1686">
        <f>IFERROR(MATCH($C$5&amp;"|"&amp;RIGHT("000000"&amp;1670,6),ExpRankKey,0),"")</f>
        <v/>
      </c>
    </row>
    <row r="1687">
      <c r="A1687" s="16" t="n">
        <v>1671</v>
      </c>
      <c r="B1687" s="17">
        <f>IF($L1687="","",INDEX(ExpNorm,$L1687))</f>
        <v/>
      </c>
      <c r="C1687" s="17">
        <f>IF($L1687="","",IF(INDEX(ExpTime,$L1687)="","—",LEFT(INDEX(ExpTime,$L1687),2)&amp;":"&amp;RIGHT(INDEX(ExpTime,$L1687),2)))</f>
        <v/>
      </c>
      <c r="D1687" s="17">
        <f>IF($L1687="","",IF(INDEX(ExpBank,$L1687)="","—",INDEX(ExpBank,$L1687)))</f>
        <v/>
      </c>
      <c r="E1687" s="18">
        <f>IF($L1687="","",IF(INDEX(ExpParty,$L1687)="","—",IFERROR(VLOOKUP(INDEX(ExpParty,$L1687),AcctTbl,4,0),INDEX(ExpParty,$L1687))))</f>
        <v/>
      </c>
      <c r="F1687" s="17">
        <f>IF($L1687="","",IF(INDEX(ExpType,$L1687)="","—",INDEX(ExpType,$L1687)))</f>
        <v/>
      </c>
      <c r="G1687" s="19">
        <f>IF($L1687="","",IF(INDEX(ExpDep,$L1687)=0,"",INDEX(ExpDep,$L1687)))</f>
        <v/>
      </c>
      <c r="H1687" s="19">
        <f>IF($L1687="","",IF(INDEX(ExpWit,$L1687)=0,"",INDEX(ExpWit,$L1687)))</f>
        <v/>
      </c>
      <c r="I1687" s="20">
        <f>IF($B1687="","",IF($I1686="",0,$I1686)+IF($H1687="",0,$H1687)-IF($G1687="",0,$G1687))</f>
        <v/>
      </c>
      <c r="J1687" s="18">
        <f>IF($L1687="","",IF(INDEX(ExpNote,$L1687)="","—",INDEX(ExpNote,$L1687)))</f>
        <v/>
      </c>
      <c r="L1687">
        <f>IFERROR(MATCH($C$5&amp;"|"&amp;RIGHT("000000"&amp;1671,6),ExpRankKey,0),"")</f>
        <v/>
      </c>
    </row>
    <row r="1688">
      <c r="A1688" s="21" t="n">
        <v>1672</v>
      </c>
      <c r="B1688" s="22">
        <f>IF($L1688="","",INDEX(ExpNorm,$L1688))</f>
        <v/>
      </c>
      <c r="C1688" s="22">
        <f>IF($L1688="","",IF(INDEX(ExpTime,$L1688)="","—",LEFT(INDEX(ExpTime,$L1688),2)&amp;":"&amp;RIGHT(INDEX(ExpTime,$L1688),2)))</f>
        <v/>
      </c>
      <c r="D1688" s="22">
        <f>IF($L1688="","",IF(INDEX(ExpBank,$L1688)="","—",INDEX(ExpBank,$L1688)))</f>
        <v/>
      </c>
      <c r="E1688" s="23">
        <f>IF($L1688="","",IF(INDEX(ExpParty,$L1688)="","—",IFERROR(VLOOKUP(INDEX(ExpParty,$L1688),AcctTbl,4,0),INDEX(ExpParty,$L1688))))</f>
        <v/>
      </c>
      <c r="F1688" s="22">
        <f>IF($L1688="","",IF(INDEX(ExpType,$L1688)="","—",INDEX(ExpType,$L1688)))</f>
        <v/>
      </c>
      <c r="G1688" s="24">
        <f>IF($L1688="","",IF(INDEX(ExpDep,$L1688)=0,"",INDEX(ExpDep,$L1688)))</f>
        <v/>
      </c>
      <c r="H1688" s="24">
        <f>IF($L1688="","",IF(INDEX(ExpWit,$L1688)=0,"",INDEX(ExpWit,$L1688)))</f>
        <v/>
      </c>
      <c r="I1688" s="25">
        <f>IF($B1688="","",IF($I1687="",0,$I1687)+IF($H1688="",0,$H1688)-IF($G1688="",0,$G1688))</f>
        <v/>
      </c>
      <c r="J1688" s="23">
        <f>IF($L1688="","",IF(INDEX(ExpNote,$L1688)="","—",INDEX(ExpNote,$L1688)))</f>
        <v/>
      </c>
      <c r="L1688">
        <f>IFERROR(MATCH($C$5&amp;"|"&amp;RIGHT("000000"&amp;1672,6),ExpRankKey,0),"")</f>
        <v/>
      </c>
    </row>
    <row r="1689">
      <c r="A1689" s="16" t="n">
        <v>1673</v>
      </c>
      <c r="B1689" s="17">
        <f>IF($L1689="","",INDEX(ExpNorm,$L1689))</f>
        <v/>
      </c>
      <c r="C1689" s="17">
        <f>IF($L1689="","",IF(INDEX(ExpTime,$L1689)="","—",LEFT(INDEX(ExpTime,$L1689),2)&amp;":"&amp;RIGHT(INDEX(ExpTime,$L1689),2)))</f>
        <v/>
      </c>
      <c r="D1689" s="17">
        <f>IF($L1689="","",IF(INDEX(ExpBank,$L1689)="","—",INDEX(ExpBank,$L1689)))</f>
        <v/>
      </c>
      <c r="E1689" s="18">
        <f>IF($L1689="","",IF(INDEX(ExpParty,$L1689)="","—",IFERROR(VLOOKUP(INDEX(ExpParty,$L1689),AcctTbl,4,0),INDEX(ExpParty,$L1689))))</f>
        <v/>
      </c>
      <c r="F1689" s="17">
        <f>IF($L1689="","",IF(INDEX(ExpType,$L1689)="","—",INDEX(ExpType,$L1689)))</f>
        <v/>
      </c>
      <c r="G1689" s="19">
        <f>IF($L1689="","",IF(INDEX(ExpDep,$L1689)=0,"",INDEX(ExpDep,$L1689)))</f>
        <v/>
      </c>
      <c r="H1689" s="19">
        <f>IF($L1689="","",IF(INDEX(ExpWit,$L1689)=0,"",INDEX(ExpWit,$L1689)))</f>
        <v/>
      </c>
      <c r="I1689" s="20">
        <f>IF($B1689="","",IF($I1688="",0,$I1688)+IF($H1689="",0,$H1689)-IF($G1689="",0,$G1689))</f>
        <v/>
      </c>
      <c r="J1689" s="18">
        <f>IF($L1689="","",IF(INDEX(ExpNote,$L1689)="","—",INDEX(ExpNote,$L1689)))</f>
        <v/>
      </c>
      <c r="L1689">
        <f>IFERROR(MATCH($C$5&amp;"|"&amp;RIGHT("000000"&amp;1673,6),ExpRankKey,0),"")</f>
        <v/>
      </c>
    </row>
    <row r="1690">
      <c r="A1690" s="21" t="n">
        <v>1674</v>
      </c>
      <c r="B1690" s="22">
        <f>IF($L1690="","",INDEX(ExpNorm,$L1690))</f>
        <v/>
      </c>
      <c r="C1690" s="22">
        <f>IF($L1690="","",IF(INDEX(ExpTime,$L1690)="","—",LEFT(INDEX(ExpTime,$L1690),2)&amp;":"&amp;RIGHT(INDEX(ExpTime,$L1690),2)))</f>
        <v/>
      </c>
      <c r="D1690" s="22">
        <f>IF($L1690="","",IF(INDEX(ExpBank,$L1690)="","—",INDEX(ExpBank,$L1690)))</f>
        <v/>
      </c>
      <c r="E1690" s="23">
        <f>IF($L1690="","",IF(INDEX(ExpParty,$L1690)="","—",IFERROR(VLOOKUP(INDEX(ExpParty,$L1690),AcctTbl,4,0),INDEX(ExpParty,$L1690))))</f>
        <v/>
      </c>
      <c r="F1690" s="22">
        <f>IF($L1690="","",IF(INDEX(ExpType,$L1690)="","—",INDEX(ExpType,$L1690)))</f>
        <v/>
      </c>
      <c r="G1690" s="24">
        <f>IF($L1690="","",IF(INDEX(ExpDep,$L1690)=0,"",INDEX(ExpDep,$L1690)))</f>
        <v/>
      </c>
      <c r="H1690" s="24">
        <f>IF($L1690="","",IF(INDEX(ExpWit,$L1690)=0,"",INDEX(ExpWit,$L1690)))</f>
        <v/>
      </c>
      <c r="I1690" s="25">
        <f>IF($B1690="","",IF($I1689="",0,$I1689)+IF($H1690="",0,$H1690)-IF($G1690="",0,$G1690))</f>
        <v/>
      </c>
      <c r="J1690" s="23">
        <f>IF($L1690="","",IF(INDEX(ExpNote,$L1690)="","—",INDEX(ExpNote,$L1690)))</f>
        <v/>
      </c>
      <c r="L1690">
        <f>IFERROR(MATCH($C$5&amp;"|"&amp;RIGHT("000000"&amp;1674,6),ExpRankKey,0),"")</f>
        <v/>
      </c>
    </row>
    <row r="1691">
      <c r="A1691" s="16" t="n">
        <v>1675</v>
      </c>
      <c r="B1691" s="17">
        <f>IF($L1691="","",INDEX(ExpNorm,$L1691))</f>
        <v/>
      </c>
      <c r="C1691" s="17">
        <f>IF($L1691="","",IF(INDEX(ExpTime,$L1691)="","—",LEFT(INDEX(ExpTime,$L1691),2)&amp;":"&amp;RIGHT(INDEX(ExpTime,$L1691),2)))</f>
        <v/>
      </c>
      <c r="D1691" s="17">
        <f>IF($L1691="","",IF(INDEX(ExpBank,$L1691)="","—",INDEX(ExpBank,$L1691)))</f>
        <v/>
      </c>
      <c r="E1691" s="18">
        <f>IF($L1691="","",IF(INDEX(ExpParty,$L1691)="","—",IFERROR(VLOOKUP(INDEX(ExpParty,$L1691),AcctTbl,4,0),INDEX(ExpParty,$L1691))))</f>
        <v/>
      </c>
      <c r="F1691" s="17">
        <f>IF($L1691="","",IF(INDEX(ExpType,$L1691)="","—",INDEX(ExpType,$L1691)))</f>
        <v/>
      </c>
      <c r="G1691" s="19">
        <f>IF($L1691="","",IF(INDEX(ExpDep,$L1691)=0,"",INDEX(ExpDep,$L1691)))</f>
        <v/>
      </c>
      <c r="H1691" s="19">
        <f>IF($L1691="","",IF(INDEX(ExpWit,$L1691)=0,"",INDEX(ExpWit,$L1691)))</f>
        <v/>
      </c>
      <c r="I1691" s="20">
        <f>IF($B1691="","",IF($I1690="",0,$I1690)+IF($H1691="",0,$H1691)-IF($G1691="",0,$G1691))</f>
        <v/>
      </c>
      <c r="J1691" s="18">
        <f>IF($L1691="","",IF(INDEX(ExpNote,$L1691)="","—",INDEX(ExpNote,$L1691)))</f>
        <v/>
      </c>
      <c r="L1691">
        <f>IFERROR(MATCH($C$5&amp;"|"&amp;RIGHT("000000"&amp;1675,6),ExpRankKey,0),"")</f>
        <v/>
      </c>
    </row>
    <row r="1692">
      <c r="A1692" s="21" t="n">
        <v>1676</v>
      </c>
      <c r="B1692" s="22">
        <f>IF($L1692="","",INDEX(ExpNorm,$L1692))</f>
        <v/>
      </c>
      <c r="C1692" s="22">
        <f>IF($L1692="","",IF(INDEX(ExpTime,$L1692)="","—",LEFT(INDEX(ExpTime,$L1692),2)&amp;":"&amp;RIGHT(INDEX(ExpTime,$L1692),2)))</f>
        <v/>
      </c>
      <c r="D1692" s="22">
        <f>IF($L1692="","",IF(INDEX(ExpBank,$L1692)="","—",INDEX(ExpBank,$L1692)))</f>
        <v/>
      </c>
      <c r="E1692" s="23">
        <f>IF($L1692="","",IF(INDEX(ExpParty,$L1692)="","—",IFERROR(VLOOKUP(INDEX(ExpParty,$L1692),AcctTbl,4,0),INDEX(ExpParty,$L1692))))</f>
        <v/>
      </c>
      <c r="F1692" s="22">
        <f>IF($L1692="","",IF(INDEX(ExpType,$L1692)="","—",INDEX(ExpType,$L1692)))</f>
        <v/>
      </c>
      <c r="G1692" s="24">
        <f>IF($L1692="","",IF(INDEX(ExpDep,$L1692)=0,"",INDEX(ExpDep,$L1692)))</f>
        <v/>
      </c>
      <c r="H1692" s="24">
        <f>IF($L1692="","",IF(INDEX(ExpWit,$L1692)=0,"",INDEX(ExpWit,$L1692)))</f>
        <v/>
      </c>
      <c r="I1692" s="25">
        <f>IF($B1692="","",IF($I1691="",0,$I1691)+IF($H1692="",0,$H1692)-IF($G1692="",0,$G1692))</f>
        <v/>
      </c>
      <c r="J1692" s="23">
        <f>IF($L1692="","",IF(INDEX(ExpNote,$L1692)="","—",INDEX(ExpNote,$L1692)))</f>
        <v/>
      </c>
      <c r="L1692">
        <f>IFERROR(MATCH($C$5&amp;"|"&amp;RIGHT("000000"&amp;1676,6),ExpRankKey,0),"")</f>
        <v/>
      </c>
    </row>
    <row r="1693">
      <c r="A1693" s="16" t="n">
        <v>1677</v>
      </c>
      <c r="B1693" s="17">
        <f>IF($L1693="","",INDEX(ExpNorm,$L1693))</f>
        <v/>
      </c>
      <c r="C1693" s="17">
        <f>IF($L1693="","",IF(INDEX(ExpTime,$L1693)="","—",LEFT(INDEX(ExpTime,$L1693),2)&amp;":"&amp;RIGHT(INDEX(ExpTime,$L1693),2)))</f>
        <v/>
      </c>
      <c r="D1693" s="17">
        <f>IF($L1693="","",IF(INDEX(ExpBank,$L1693)="","—",INDEX(ExpBank,$L1693)))</f>
        <v/>
      </c>
      <c r="E1693" s="18">
        <f>IF($L1693="","",IF(INDEX(ExpParty,$L1693)="","—",IFERROR(VLOOKUP(INDEX(ExpParty,$L1693),AcctTbl,4,0),INDEX(ExpParty,$L1693))))</f>
        <v/>
      </c>
      <c r="F1693" s="17">
        <f>IF($L1693="","",IF(INDEX(ExpType,$L1693)="","—",INDEX(ExpType,$L1693)))</f>
        <v/>
      </c>
      <c r="G1693" s="19">
        <f>IF($L1693="","",IF(INDEX(ExpDep,$L1693)=0,"",INDEX(ExpDep,$L1693)))</f>
        <v/>
      </c>
      <c r="H1693" s="19">
        <f>IF($L1693="","",IF(INDEX(ExpWit,$L1693)=0,"",INDEX(ExpWit,$L1693)))</f>
        <v/>
      </c>
      <c r="I1693" s="20">
        <f>IF($B1693="","",IF($I1692="",0,$I1692)+IF($H1693="",0,$H1693)-IF($G1693="",0,$G1693))</f>
        <v/>
      </c>
      <c r="J1693" s="18">
        <f>IF($L1693="","",IF(INDEX(ExpNote,$L1693)="","—",INDEX(ExpNote,$L1693)))</f>
        <v/>
      </c>
      <c r="L1693">
        <f>IFERROR(MATCH($C$5&amp;"|"&amp;RIGHT("000000"&amp;1677,6),ExpRankKey,0),"")</f>
        <v/>
      </c>
    </row>
    <row r="1694">
      <c r="A1694" s="21" t="n">
        <v>1678</v>
      </c>
      <c r="B1694" s="22">
        <f>IF($L1694="","",INDEX(ExpNorm,$L1694))</f>
        <v/>
      </c>
      <c r="C1694" s="22">
        <f>IF($L1694="","",IF(INDEX(ExpTime,$L1694)="","—",LEFT(INDEX(ExpTime,$L1694),2)&amp;":"&amp;RIGHT(INDEX(ExpTime,$L1694),2)))</f>
        <v/>
      </c>
      <c r="D1694" s="22">
        <f>IF($L1694="","",IF(INDEX(ExpBank,$L1694)="","—",INDEX(ExpBank,$L1694)))</f>
        <v/>
      </c>
      <c r="E1694" s="23">
        <f>IF($L1694="","",IF(INDEX(ExpParty,$L1694)="","—",IFERROR(VLOOKUP(INDEX(ExpParty,$L1694),AcctTbl,4,0),INDEX(ExpParty,$L1694))))</f>
        <v/>
      </c>
      <c r="F1694" s="22">
        <f>IF($L1694="","",IF(INDEX(ExpType,$L1694)="","—",INDEX(ExpType,$L1694)))</f>
        <v/>
      </c>
      <c r="G1694" s="24">
        <f>IF($L1694="","",IF(INDEX(ExpDep,$L1694)=0,"",INDEX(ExpDep,$L1694)))</f>
        <v/>
      </c>
      <c r="H1694" s="24">
        <f>IF($L1694="","",IF(INDEX(ExpWit,$L1694)=0,"",INDEX(ExpWit,$L1694)))</f>
        <v/>
      </c>
      <c r="I1694" s="25">
        <f>IF($B1694="","",IF($I1693="",0,$I1693)+IF($H1694="",0,$H1694)-IF($G1694="",0,$G1694))</f>
        <v/>
      </c>
      <c r="J1694" s="23">
        <f>IF($L1694="","",IF(INDEX(ExpNote,$L1694)="","—",INDEX(ExpNote,$L1694)))</f>
        <v/>
      </c>
      <c r="L1694">
        <f>IFERROR(MATCH($C$5&amp;"|"&amp;RIGHT("000000"&amp;1678,6),ExpRankKey,0),"")</f>
        <v/>
      </c>
    </row>
    <row r="1695">
      <c r="A1695" s="16" t="n">
        <v>1679</v>
      </c>
      <c r="B1695" s="17">
        <f>IF($L1695="","",INDEX(ExpNorm,$L1695))</f>
        <v/>
      </c>
      <c r="C1695" s="17">
        <f>IF($L1695="","",IF(INDEX(ExpTime,$L1695)="","—",LEFT(INDEX(ExpTime,$L1695),2)&amp;":"&amp;RIGHT(INDEX(ExpTime,$L1695),2)))</f>
        <v/>
      </c>
      <c r="D1695" s="17">
        <f>IF($L1695="","",IF(INDEX(ExpBank,$L1695)="","—",INDEX(ExpBank,$L1695)))</f>
        <v/>
      </c>
      <c r="E1695" s="18">
        <f>IF($L1695="","",IF(INDEX(ExpParty,$L1695)="","—",IFERROR(VLOOKUP(INDEX(ExpParty,$L1695),AcctTbl,4,0),INDEX(ExpParty,$L1695))))</f>
        <v/>
      </c>
      <c r="F1695" s="17">
        <f>IF($L1695="","",IF(INDEX(ExpType,$L1695)="","—",INDEX(ExpType,$L1695)))</f>
        <v/>
      </c>
      <c r="G1695" s="19">
        <f>IF($L1695="","",IF(INDEX(ExpDep,$L1695)=0,"",INDEX(ExpDep,$L1695)))</f>
        <v/>
      </c>
      <c r="H1695" s="19">
        <f>IF($L1695="","",IF(INDEX(ExpWit,$L1695)=0,"",INDEX(ExpWit,$L1695)))</f>
        <v/>
      </c>
      <c r="I1695" s="20">
        <f>IF($B1695="","",IF($I1694="",0,$I1694)+IF($H1695="",0,$H1695)-IF($G1695="",0,$G1695))</f>
        <v/>
      </c>
      <c r="J1695" s="18">
        <f>IF($L1695="","",IF(INDEX(ExpNote,$L1695)="","—",INDEX(ExpNote,$L1695)))</f>
        <v/>
      </c>
      <c r="L1695">
        <f>IFERROR(MATCH($C$5&amp;"|"&amp;RIGHT("000000"&amp;1679,6),ExpRankKey,0),"")</f>
        <v/>
      </c>
    </row>
    <row r="1696">
      <c r="A1696" s="21" t="n">
        <v>1680</v>
      </c>
      <c r="B1696" s="22">
        <f>IF($L1696="","",INDEX(ExpNorm,$L1696))</f>
        <v/>
      </c>
      <c r="C1696" s="22">
        <f>IF($L1696="","",IF(INDEX(ExpTime,$L1696)="","—",LEFT(INDEX(ExpTime,$L1696),2)&amp;":"&amp;RIGHT(INDEX(ExpTime,$L1696),2)))</f>
        <v/>
      </c>
      <c r="D1696" s="22">
        <f>IF($L1696="","",IF(INDEX(ExpBank,$L1696)="","—",INDEX(ExpBank,$L1696)))</f>
        <v/>
      </c>
      <c r="E1696" s="23">
        <f>IF($L1696="","",IF(INDEX(ExpParty,$L1696)="","—",IFERROR(VLOOKUP(INDEX(ExpParty,$L1696),AcctTbl,4,0),INDEX(ExpParty,$L1696))))</f>
        <v/>
      </c>
      <c r="F1696" s="22">
        <f>IF($L1696="","",IF(INDEX(ExpType,$L1696)="","—",INDEX(ExpType,$L1696)))</f>
        <v/>
      </c>
      <c r="G1696" s="24">
        <f>IF($L1696="","",IF(INDEX(ExpDep,$L1696)=0,"",INDEX(ExpDep,$L1696)))</f>
        <v/>
      </c>
      <c r="H1696" s="24">
        <f>IF($L1696="","",IF(INDEX(ExpWit,$L1696)=0,"",INDEX(ExpWit,$L1696)))</f>
        <v/>
      </c>
      <c r="I1696" s="25">
        <f>IF($B1696="","",IF($I1695="",0,$I1695)+IF($H1696="",0,$H1696)-IF($G1696="",0,$G1696))</f>
        <v/>
      </c>
      <c r="J1696" s="23">
        <f>IF($L1696="","",IF(INDEX(ExpNote,$L1696)="","—",INDEX(ExpNote,$L1696)))</f>
        <v/>
      </c>
      <c r="L1696">
        <f>IFERROR(MATCH($C$5&amp;"|"&amp;RIGHT("000000"&amp;1680,6),ExpRankKey,0),"")</f>
        <v/>
      </c>
    </row>
    <row r="1697">
      <c r="A1697" s="16" t="n">
        <v>1681</v>
      </c>
      <c r="B1697" s="17">
        <f>IF($L1697="","",INDEX(ExpNorm,$L1697))</f>
        <v/>
      </c>
      <c r="C1697" s="17">
        <f>IF($L1697="","",IF(INDEX(ExpTime,$L1697)="","—",LEFT(INDEX(ExpTime,$L1697),2)&amp;":"&amp;RIGHT(INDEX(ExpTime,$L1697),2)))</f>
        <v/>
      </c>
      <c r="D1697" s="17">
        <f>IF($L1697="","",IF(INDEX(ExpBank,$L1697)="","—",INDEX(ExpBank,$L1697)))</f>
        <v/>
      </c>
      <c r="E1697" s="18">
        <f>IF($L1697="","",IF(INDEX(ExpParty,$L1697)="","—",IFERROR(VLOOKUP(INDEX(ExpParty,$L1697),AcctTbl,4,0),INDEX(ExpParty,$L1697))))</f>
        <v/>
      </c>
      <c r="F1697" s="17">
        <f>IF($L1697="","",IF(INDEX(ExpType,$L1697)="","—",INDEX(ExpType,$L1697)))</f>
        <v/>
      </c>
      <c r="G1697" s="19">
        <f>IF($L1697="","",IF(INDEX(ExpDep,$L1697)=0,"",INDEX(ExpDep,$L1697)))</f>
        <v/>
      </c>
      <c r="H1697" s="19">
        <f>IF($L1697="","",IF(INDEX(ExpWit,$L1697)=0,"",INDEX(ExpWit,$L1697)))</f>
        <v/>
      </c>
      <c r="I1697" s="20">
        <f>IF($B1697="","",IF($I1696="",0,$I1696)+IF($H1697="",0,$H1697)-IF($G1697="",0,$G1697))</f>
        <v/>
      </c>
      <c r="J1697" s="18">
        <f>IF($L1697="","",IF(INDEX(ExpNote,$L1697)="","—",INDEX(ExpNote,$L1697)))</f>
        <v/>
      </c>
      <c r="L1697">
        <f>IFERROR(MATCH($C$5&amp;"|"&amp;RIGHT("000000"&amp;1681,6),ExpRankKey,0),"")</f>
        <v/>
      </c>
    </row>
    <row r="1698">
      <c r="A1698" s="21" t="n">
        <v>1682</v>
      </c>
      <c r="B1698" s="22">
        <f>IF($L1698="","",INDEX(ExpNorm,$L1698))</f>
        <v/>
      </c>
      <c r="C1698" s="22">
        <f>IF($L1698="","",IF(INDEX(ExpTime,$L1698)="","—",LEFT(INDEX(ExpTime,$L1698),2)&amp;":"&amp;RIGHT(INDEX(ExpTime,$L1698),2)))</f>
        <v/>
      </c>
      <c r="D1698" s="22">
        <f>IF($L1698="","",IF(INDEX(ExpBank,$L1698)="","—",INDEX(ExpBank,$L1698)))</f>
        <v/>
      </c>
      <c r="E1698" s="23">
        <f>IF($L1698="","",IF(INDEX(ExpParty,$L1698)="","—",IFERROR(VLOOKUP(INDEX(ExpParty,$L1698),AcctTbl,4,0),INDEX(ExpParty,$L1698))))</f>
        <v/>
      </c>
      <c r="F1698" s="22">
        <f>IF($L1698="","",IF(INDEX(ExpType,$L1698)="","—",INDEX(ExpType,$L1698)))</f>
        <v/>
      </c>
      <c r="G1698" s="24">
        <f>IF($L1698="","",IF(INDEX(ExpDep,$L1698)=0,"",INDEX(ExpDep,$L1698)))</f>
        <v/>
      </c>
      <c r="H1698" s="24">
        <f>IF($L1698="","",IF(INDEX(ExpWit,$L1698)=0,"",INDEX(ExpWit,$L1698)))</f>
        <v/>
      </c>
      <c r="I1698" s="25">
        <f>IF($B1698="","",IF($I1697="",0,$I1697)+IF($H1698="",0,$H1698)-IF($G1698="",0,$G1698))</f>
        <v/>
      </c>
      <c r="J1698" s="23">
        <f>IF($L1698="","",IF(INDEX(ExpNote,$L1698)="","—",INDEX(ExpNote,$L1698)))</f>
        <v/>
      </c>
      <c r="L1698">
        <f>IFERROR(MATCH($C$5&amp;"|"&amp;RIGHT("000000"&amp;1682,6),ExpRankKey,0),"")</f>
        <v/>
      </c>
    </row>
    <row r="1699">
      <c r="A1699" s="16" t="n">
        <v>1683</v>
      </c>
      <c r="B1699" s="17">
        <f>IF($L1699="","",INDEX(ExpNorm,$L1699))</f>
        <v/>
      </c>
      <c r="C1699" s="17">
        <f>IF($L1699="","",IF(INDEX(ExpTime,$L1699)="","—",LEFT(INDEX(ExpTime,$L1699),2)&amp;":"&amp;RIGHT(INDEX(ExpTime,$L1699),2)))</f>
        <v/>
      </c>
      <c r="D1699" s="17">
        <f>IF($L1699="","",IF(INDEX(ExpBank,$L1699)="","—",INDEX(ExpBank,$L1699)))</f>
        <v/>
      </c>
      <c r="E1699" s="18">
        <f>IF($L1699="","",IF(INDEX(ExpParty,$L1699)="","—",IFERROR(VLOOKUP(INDEX(ExpParty,$L1699),AcctTbl,4,0),INDEX(ExpParty,$L1699))))</f>
        <v/>
      </c>
      <c r="F1699" s="17">
        <f>IF($L1699="","",IF(INDEX(ExpType,$L1699)="","—",INDEX(ExpType,$L1699)))</f>
        <v/>
      </c>
      <c r="G1699" s="19">
        <f>IF($L1699="","",IF(INDEX(ExpDep,$L1699)=0,"",INDEX(ExpDep,$L1699)))</f>
        <v/>
      </c>
      <c r="H1699" s="19">
        <f>IF($L1699="","",IF(INDEX(ExpWit,$L1699)=0,"",INDEX(ExpWit,$L1699)))</f>
        <v/>
      </c>
      <c r="I1699" s="20">
        <f>IF($B1699="","",IF($I1698="",0,$I1698)+IF($H1699="",0,$H1699)-IF($G1699="",0,$G1699))</f>
        <v/>
      </c>
      <c r="J1699" s="18">
        <f>IF($L1699="","",IF(INDEX(ExpNote,$L1699)="","—",INDEX(ExpNote,$L1699)))</f>
        <v/>
      </c>
      <c r="L1699">
        <f>IFERROR(MATCH($C$5&amp;"|"&amp;RIGHT("000000"&amp;1683,6),ExpRankKey,0),"")</f>
        <v/>
      </c>
    </row>
    <row r="1700">
      <c r="A1700" s="21" t="n">
        <v>1684</v>
      </c>
      <c r="B1700" s="22">
        <f>IF($L1700="","",INDEX(ExpNorm,$L1700))</f>
        <v/>
      </c>
      <c r="C1700" s="22">
        <f>IF($L1700="","",IF(INDEX(ExpTime,$L1700)="","—",LEFT(INDEX(ExpTime,$L1700),2)&amp;":"&amp;RIGHT(INDEX(ExpTime,$L1700),2)))</f>
        <v/>
      </c>
      <c r="D1700" s="22">
        <f>IF($L1700="","",IF(INDEX(ExpBank,$L1700)="","—",INDEX(ExpBank,$L1700)))</f>
        <v/>
      </c>
      <c r="E1700" s="23">
        <f>IF($L1700="","",IF(INDEX(ExpParty,$L1700)="","—",IFERROR(VLOOKUP(INDEX(ExpParty,$L1700),AcctTbl,4,0),INDEX(ExpParty,$L1700))))</f>
        <v/>
      </c>
      <c r="F1700" s="22">
        <f>IF($L1700="","",IF(INDEX(ExpType,$L1700)="","—",INDEX(ExpType,$L1700)))</f>
        <v/>
      </c>
      <c r="G1700" s="24">
        <f>IF($L1700="","",IF(INDEX(ExpDep,$L1700)=0,"",INDEX(ExpDep,$L1700)))</f>
        <v/>
      </c>
      <c r="H1700" s="24">
        <f>IF($L1700="","",IF(INDEX(ExpWit,$L1700)=0,"",INDEX(ExpWit,$L1700)))</f>
        <v/>
      </c>
      <c r="I1700" s="25">
        <f>IF($B1700="","",IF($I1699="",0,$I1699)+IF($H1700="",0,$H1700)-IF($G1700="",0,$G1700))</f>
        <v/>
      </c>
      <c r="J1700" s="23">
        <f>IF($L1700="","",IF(INDEX(ExpNote,$L1700)="","—",INDEX(ExpNote,$L1700)))</f>
        <v/>
      </c>
      <c r="L1700">
        <f>IFERROR(MATCH($C$5&amp;"|"&amp;RIGHT("000000"&amp;1684,6),ExpRankKey,0),"")</f>
        <v/>
      </c>
    </row>
    <row r="1701">
      <c r="A1701" s="16" t="n">
        <v>1685</v>
      </c>
      <c r="B1701" s="17">
        <f>IF($L1701="","",INDEX(ExpNorm,$L1701))</f>
        <v/>
      </c>
      <c r="C1701" s="17">
        <f>IF($L1701="","",IF(INDEX(ExpTime,$L1701)="","—",LEFT(INDEX(ExpTime,$L1701),2)&amp;":"&amp;RIGHT(INDEX(ExpTime,$L1701),2)))</f>
        <v/>
      </c>
      <c r="D1701" s="17">
        <f>IF($L1701="","",IF(INDEX(ExpBank,$L1701)="","—",INDEX(ExpBank,$L1701)))</f>
        <v/>
      </c>
      <c r="E1701" s="18">
        <f>IF($L1701="","",IF(INDEX(ExpParty,$L1701)="","—",IFERROR(VLOOKUP(INDEX(ExpParty,$L1701),AcctTbl,4,0),INDEX(ExpParty,$L1701))))</f>
        <v/>
      </c>
      <c r="F1701" s="17">
        <f>IF($L1701="","",IF(INDEX(ExpType,$L1701)="","—",INDEX(ExpType,$L1701)))</f>
        <v/>
      </c>
      <c r="G1701" s="19">
        <f>IF($L1701="","",IF(INDEX(ExpDep,$L1701)=0,"",INDEX(ExpDep,$L1701)))</f>
        <v/>
      </c>
      <c r="H1701" s="19">
        <f>IF($L1701="","",IF(INDEX(ExpWit,$L1701)=0,"",INDEX(ExpWit,$L1701)))</f>
        <v/>
      </c>
      <c r="I1701" s="20">
        <f>IF($B1701="","",IF($I1700="",0,$I1700)+IF($H1701="",0,$H1701)-IF($G1701="",0,$G1701))</f>
        <v/>
      </c>
      <c r="J1701" s="18">
        <f>IF($L1701="","",IF(INDEX(ExpNote,$L1701)="","—",INDEX(ExpNote,$L1701)))</f>
        <v/>
      </c>
      <c r="L1701">
        <f>IFERROR(MATCH($C$5&amp;"|"&amp;RIGHT("000000"&amp;1685,6),ExpRankKey,0),"")</f>
        <v/>
      </c>
    </row>
    <row r="1702">
      <c r="A1702" s="21" t="n">
        <v>1686</v>
      </c>
      <c r="B1702" s="22">
        <f>IF($L1702="","",INDEX(ExpNorm,$L1702))</f>
        <v/>
      </c>
      <c r="C1702" s="22">
        <f>IF($L1702="","",IF(INDEX(ExpTime,$L1702)="","—",LEFT(INDEX(ExpTime,$L1702),2)&amp;":"&amp;RIGHT(INDEX(ExpTime,$L1702),2)))</f>
        <v/>
      </c>
      <c r="D1702" s="22">
        <f>IF($L1702="","",IF(INDEX(ExpBank,$L1702)="","—",INDEX(ExpBank,$L1702)))</f>
        <v/>
      </c>
      <c r="E1702" s="23">
        <f>IF($L1702="","",IF(INDEX(ExpParty,$L1702)="","—",IFERROR(VLOOKUP(INDEX(ExpParty,$L1702),AcctTbl,4,0),INDEX(ExpParty,$L1702))))</f>
        <v/>
      </c>
      <c r="F1702" s="22">
        <f>IF($L1702="","",IF(INDEX(ExpType,$L1702)="","—",INDEX(ExpType,$L1702)))</f>
        <v/>
      </c>
      <c r="G1702" s="24">
        <f>IF($L1702="","",IF(INDEX(ExpDep,$L1702)=0,"",INDEX(ExpDep,$L1702)))</f>
        <v/>
      </c>
      <c r="H1702" s="24">
        <f>IF($L1702="","",IF(INDEX(ExpWit,$L1702)=0,"",INDEX(ExpWit,$L1702)))</f>
        <v/>
      </c>
      <c r="I1702" s="25">
        <f>IF($B1702="","",IF($I1701="",0,$I1701)+IF($H1702="",0,$H1702)-IF($G1702="",0,$G1702))</f>
        <v/>
      </c>
      <c r="J1702" s="23">
        <f>IF($L1702="","",IF(INDEX(ExpNote,$L1702)="","—",INDEX(ExpNote,$L1702)))</f>
        <v/>
      </c>
      <c r="L1702">
        <f>IFERROR(MATCH($C$5&amp;"|"&amp;RIGHT("000000"&amp;1686,6),ExpRankKey,0),"")</f>
        <v/>
      </c>
    </row>
    <row r="1703">
      <c r="A1703" s="16" t="n">
        <v>1687</v>
      </c>
      <c r="B1703" s="17">
        <f>IF($L1703="","",INDEX(ExpNorm,$L1703))</f>
        <v/>
      </c>
      <c r="C1703" s="17">
        <f>IF($L1703="","",IF(INDEX(ExpTime,$L1703)="","—",LEFT(INDEX(ExpTime,$L1703),2)&amp;":"&amp;RIGHT(INDEX(ExpTime,$L1703),2)))</f>
        <v/>
      </c>
      <c r="D1703" s="17">
        <f>IF($L1703="","",IF(INDEX(ExpBank,$L1703)="","—",INDEX(ExpBank,$L1703)))</f>
        <v/>
      </c>
      <c r="E1703" s="18">
        <f>IF($L1703="","",IF(INDEX(ExpParty,$L1703)="","—",IFERROR(VLOOKUP(INDEX(ExpParty,$L1703),AcctTbl,4,0),INDEX(ExpParty,$L1703))))</f>
        <v/>
      </c>
      <c r="F1703" s="17">
        <f>IF($L1703="","",IF(INDEX(ExpType,$L1703)="","—",INDEX(ExpType,$L1703)))</f>
        <v/>
      </c>
      <c r="G1703" s="19">
        <f>IF($L1703="","",IF(INDEX(ExpDep,$L1703)=0,"",INDEX(ExpDep,$L1703)))</f>
        <v/>
      </c>
      <c r="H1703" s="19">
        <f>IF($L1703="","",IF(INDEX(ExpWit,$L1703)=0,"",INDEX(ExpWit,$L1703)))</f>
        <v/>
      </c>
      <c r="I1703" s="20">
        <f>IF($B1703="","",IF($I1702="",0,$I1702)+IF($H1703="",0,$H1703)-IF($G1703="",0,$G1703))</f>
        <v/>
      </c>
      <c r="J1703" s="18">
        <f>IF($L1703="","",IF(INDEX(ExpNote,$L1703)="","—",INDEX(ExpNote,$L1703)))</f>
        <v/>
      </c>
      <c r="L1703">
        <f>IFERROR(MATCH($C$5&amp;"|"&amp;RIGHT("000000"&amp;1687,6),ExpRankKey,0),"")</f>
        <v/>
      </c>
    </row>
    <row r="1704">
      <c r="A1704" s="21" t="n">
        <v>1688</v>
      </c>
      <c r="B1704" s="22">
        <f>IF($L1704="","",INDEX(ExpNorm,$L1704))</f>
        <v/>
      </c>
      <c r="C1704" s="22">
        <f>IF($L1704="","",IF(INDEX(ExpTime,$L1704)="","—",LEFT(INDEX(ExpTime,$L1704),2)&amp;":"&amp;RIGHT(INDEX(ExpTime,$L1704),2)))</f>
        <v/>
      </c>
      <c r="D1704" s="22">
        <f>IF($L1704="","",IF(INDEX(ExpBank,$L1704)="","—",INDEX(ExpBank,$L1704)))</f>
        <v/>
      </c>
      <c r="E1704" s="23">
        <f>IF($L1704="","",IF(INDEX(ExpParty,$L1704)="","—",IFERROR(VLOOKUP(INDEX(ExpParty,$L1704),AcctTbl,4,0),INDEX(ExpParty,$L1704))))</f>
        <v/>
      </c>
      <c r="F1704" s="22">
        <f>IF($L1704="","",IF(INDEX(ExpType,$L1704)="","—",INDEX(ExpType,$L1704)))</f>
        <v/>
      </c>
      <c r="G1704" s="24">
        <f>IF($L1704="","",IF(INDEX(ExpDep,$L1704)=0,"",INDEX(ExpDep,$L1704)))</f>
        <v/>
      </c>
      <c r="H1704" s="24">
        <f>IF($L1704="","",IF(INDEX(ExpWit,$L1704)=0,"",INDEX(ExpWit,$L1704)))</f>
        <v/>
      </c>
      <c r="I1704" s="25">
        <f>IF($B1704="","",IF($I1703="",0,$I1703)+IF($H1704="",0,$H1704)-IF($G1704="",0,$G1704))</f>
        <v/>
      </c>
      <c r="J1704" s="23">
        <f>IF($L1704="","",IF(INDEX(ExpNote,$L1704)="","—",INDEX(ExpNote,$L1704)))</f>
        <v/>
      </c>
      <c r="L1704">
        <f>IFERROR(MATCH($C$5&amp;"|"&amp;RIGHT("000000"&amp;1688,6),ExpRankKey,0),"")</f>
        <v/>
      </c>
    </row>
    <row r="1705">
      <c r="A1705" s="16" t="n">
        <v>1689</v>
      </c>
      <c r="B1705" s="17">
        <f>IF($L1705="","",INDEX(ExpNorm,$L1705))</f>
        <v/>
      </c>
      <c r="C1705" s="17">
        <f>IF($L1705="","",IF(INDEX(ExpTime,$L1705)="","—",LEFT(INDEX(ExpTime,$L1705),2)&amp;":"&amp;RIGHT(INDEX(ExpTime,$L1705),2)))</f>
        <v/>
      </c>
      <c r="D1705" s="17">
        <f>IF($L1705="","",IF(INDEX(ExpBank,$L1705)="","—",INDEX(ExpBank,$L1705)))</f>
        <v/>
      </c>
      <c r="E1705" s="18">
        <f>IF($L1705="","",IF(INDEX(ExpParty,$L1705)="","—",IFERROR(VLOOKUP(INDEX(ExpParty,$L1705),AcctTbl,4,0),INDEX(ExpParty,$L1705))))</f>
        <v/>
      </c>
      <c r="F1705" s="17">
        <f>IF($L1705="","",IF(INDEX(ExpType,$L1705)="","—",INDEX(ExpType,$L1705)))</f>
        <v/>
      </c>
      <c r="G1705" s="19">
        <f>IF($L1705="","",IF(INDEX(ExpDep,$L1705)=0,"",INDEX(ExpDep,$L1705)))</f>
        <v/>
      </c>
      <c r="H1705" s="19">
        <f>IF($L1705="","",IF(INDEX(ExpWit,$L1705)=0,"",INDEX(ExpWit,$L1705)))</f>
        <v/>
      </c>
      <c r="I1705" s="20">
        <f>IF($B1705="","",IF($I1704="",0,$I1704)+IF($H1705="",0,$H1705)-IF($G1705="",0,$G1705))</f>
        <v/>
      </c>
      <c r="J1705" s="18">
        <f>IF($L1705="","",IF(INDEX(ExpNote,$L1705)="","—",INDEX(ExpNote,$L1705)))</f>
        <v/>
      </c>
      <c r="L1705">
        <f>IFERROR(MATCH($C$5&amp;"|"&amp;RIGHT("000000"&amp;1689,6),ExpRankKey,0),"")</f>
        <v/>
      </c>
    </row>
    <row r="1706">
      <c r="A1706" s="21" t="n">
        <v>1690</v>
      </c>
      <c r="B1706" s="22">
        <f>IF($L1706="","",INDEX(ExpNorm,$L1706))</f>
        <v/>
      </c>
      <c r="C1706" s="22">
        <f>IF($L1706="","",IF(INDEX(ExpTime,$L1706)="","—",LEFT(INDEX(ExpTime,$L1706),2)&amp;":"&amp;RIGHT(INDEX(ExpTime,$L1706),2)))</f>
        <v/>
      </c>
      <c r="D1706" s="22">
        <f>IF($L1706="","",IF(INDEX(ExpBank,$L1706)="","—",INDEX(ExpBank,$L1706)))</f>
        <v/>
      </c>
      <c r="E1706" s="23">
        <f>IF($L1706="","",IF(INDEX(ExpParty,$L1706)="","—",IFERROR(VLOOKUP(INDEX(ExpParty,$L1706),AcctTbl,4,0),INDEX(ExpParty,$L1706))))</f>
        <v/>
      </c>
      <c r="F1706" s="22">
        <f>IF($L1706="","",IF(INDEX(ExpType,$L1706)="","—",INDEX(ExpType,$L1706)))</f>
        <v/>
      </c>
      <c r="G1706" s="24">
        <f>IF($L1706="","",IF(INDEX(ExpDep,$L1706)=0,"",INDEX(ExpDep,$L1706)))</f>
        <v/>
      </c>
      <c r="H1706" s="24">
        <f>IF($L1706="","",IF(INDEX(ExpWit,$L1706)=0,"",INDEX(ExpWit,$L1706)))</f>
        <v/>
      </c>
      <c r="I1706" s="25">
        <f>IF($B1706="","",IF($I1705="",0,$I1705)+IF($H1706="",0,$H1706)-IF($G1706="",0,$G1706))</f>
        <v/>
      </c>
      <c r="J1706" s="23">
        <f>IF($L1706="","",IF(INDEX(ExpNote,$L1706)="","—",INDEX(ExpNote,$L1706)))</f>
        <v/>
      </c>
      <c r="L1706">
        <f>IFERROR(MATCH($C$5&amp;"|"&amp;RIGHT("000000"&amp;1690,6),ExpRankKey,0),"")</f>
        <v/>
      </c>
    </row>
    <row r="1707">
      <c r="A1707" s="16" t="n">
        <v>1691</v>
      </c>
      <c r="B1707" s="17">
        <f>IF($L1707="","",INDEX(ExpNorm,$L1707))</f>
        <v/>
      </c>
      <c r="C1707" s="17">
        <f>IF($L1707="","",IF(INDEX(ExpTime,$L1707)="","—",LEFT(INDEX(ExpTime,$L1707),2)&amp;":"&amp;RIGHT(INDEX(ExpTime,$L1707),2)))</f>
        <v/>
      </c>
      <c r="D1707" s="17">
        <f>IF($L1707="","",IF(INDEX(ExpBank,$L1707)="","—",INDEX(ExpBank,$L1707)))</f>
        <v/>
      </c>
      <c r="E1707" s="18">
        <f>IF($L1707="","",IF(INDEX(ExpParty,$L1707)="","—",IFERROR(VLOOKUP(INDEX(ExpParty,$L1707),AcctTbl,4,0),INDEX(ExpParty,$L1707))))</f>
        <v/>
      </c>
      <c r="F1707" s="17">
        <f>IF($L1707="","",IF(INDEX(ExpType,$L1707)="","—",INDEX(ExpType,$L1707)))</f>
        <v/>
      </c>
      <c r="G1707" s="19">
        <f>IF($L1707="","",IF(INDEX(ExpDep,$L1707)=0,"",INDEX(ExpDep,$L1707)))</f>
        <v/>
      </c>
      <c r="H1707" s="19">
        <f>IF($L1707="","",IF(INDEX(ExpWit,$L1707)=0,"",INDEX(ExpWit,$L1707)))</f>
        <v/>
      </c>
      <c r="I1707" s="20">
        <f>IF($B1707="","",IF($I1706="",0,$I1706)+IF($H1707="",0,$H1707)-IF($G1707="",0,$G1707))</f>
        <v/>
      </c>
      <c r="J1707" s="18">
        <f>IF($L1707="","",IF(INDEX(ExpNote,$L1707)="","—",INDEX(ExpNote,$L1707)))</f>
        <v/>
      </c>
      <c r="L1707">
        <f>IFERROR(MATCH($C$5&amp;"|"&amp;RIGHT("000000"&amp;1691,6),ExpRankKey,0),"")</f>
        <v/>
      </c>
    </row>
    <row r="1708">
      <c r="A1708" s="21" t="n">
        <v>1692</v>
      </c>
      <c r="B1708" s="22">
        <f>IF($L1708="","",INDEX(ExpNorm,$L1708))</f>
        <v/>
      </c>
      <c r="C1708" s="22">
        <f>IF($L1708="","",IF(INDEX(ExpTime,$L1708)="","—",LEFT(INDEX(ExpTime,$L1708),2)&amp;":"&amp;RIGHT(INDEX(ExpTime,$L1708),2)))</f>
        <v/>
      </c>
      <c r="D1708" s="22">
        <f>IF($L1708="","",IF(INDEX(ExpBank,$L1708)="","—",INDEX(ExpBank,$L1708)))</f>
        <v/>
      </c>
      <c r="E1708" s="23">
        <f>IF($L1708="","",IF(INDEX(ExpParty,$L1708)="","—",IFERROR(VLOOKUP(INDEX(ExpParty,$L1708),AcctTbl,4,0),INDEX(ExpParty,$L1708))))</f>
        <v/>
      </c>
      <c r="F1708" s="22">
        <f>IF($L1708="","",IF(INDEX(ExpType,$L1708)="","—",INDEX(ExpType,$L1708)))</f>
        <v/>
      </c>
      <c r="G1708" s="24">
        <f>IF($L1708="","",IF(INDEX(ExpDep,$L1708)=0,"",INDEX(ExpDep,$L1708)))</f>
        <v/>
      </c>
      <c r="H1708" s="24">
        <f>IF($L1708="","",IF(INDEX(ExpWit,$L1708)=0,"",INDEX(ExpWit,$L1708)))</f>
        <v/>
      </c>
      <c r="I1708" s="25">
        <f>IF($B1708="","",IF($I1707="",0,$I1707)+IF($H1708="",0,$H1708)-IF($G1708="",0,$G1708))</f>
        <v/>
      </c>
      <c r="J1708" s="23">
        <f>IF($L1708="","",IF(INDEX(ExpNote,$L1708)="","—",INDEX(ExpNote,$L1708)))</f>
        <v/>
      </c>
      <c r="L1708">
        <f>IFERROR(MATCH($C$5&amp;"|"&amp;RIGHT("000000"&amp;1692,6),ExpRankKey,0),"")</f>
        <v/>
      </c>
    </row>
    <row r="1709">
      <c r="A1709" s="16" t="n">
        <v>1693</v>
      </c>
      <c r="B1709" s="17">
        <f>IF($L1709="","",INDEX(ExpNorm,$L1709))</f>
        <v/>
      </c>
      <c r="C1709" s="17">
        <f>IF($L1709="","",IF(INDEX(ExpTime,$L1709)="","—",LEFT(INDEX(ExpTime,$L1709),2)&amp;":"&amp;RIGHT(INDEX(ExpTime,$L1709),2)))</f>
        <v/>
      </c>
      <c r="D1709" s="17">
        <f>IF($L1709="","",IF(INDEX(ExpBank,$L1709)="","—",INDEX(ExpBank,$L1709)))</f>
        <v/>
      </c>
      <c r="E1709" s="18">
        <f>IF($L1709="","",IF(INDEX(ExpParty,$L1709)="","—",IFERROR(VLOOKUP(INDEX(ExpParty,$L1709),AcctTbl,4,0),INDEX(ExpParty,$L1709))))</f>
        <v/>
      </c>
      <c r="F1709" s="17">
        <f>IF($L1709="","",IF(INDEX(ExpType,$L1709)="","—",INDEX(ExpType,$L1709)))</f>
        <v/>
      </c>
      <c r="G1709" s="19">
        <f>IF($L1709="","",IF(INDEX(ExpDep,$L1709)=0,"",INDEX(ExpDep,$L1709)))</f>
        <v/>
      </c>
      <c r="H1709" s="19">
        <f>IF($L1709="","",IF(INDEX(ExpWit,$L1709)=0,"",INDEX(ExpWit,$L1709)))</f>
        <v/>
      </c>
      <c r="I1709" s="20">
        <f>IF($B1709="","",IF($I1708="",0,$I1708)+IF($H1709="",0,$H1709)-IF($G1709="",0,$G1709))</f>
        <v/>
      </c>
      <c r="J1709" s="18">
        <f>IF($L1709="","",IF(INDEX(ExpNote,$L1709)="","—",INDEX(ExpNote,$L1709)))</f>
        <v/>
      </c>
      <c r="L1709">
        <f>IFERROR(MATCH($C$5&amp;"|"&amp;RIGHT("000000"&amp;1693,6),ExpRankKey,0),"")</f>
        <v/>
      </c>
    </row>
    <row r="1710">
      <c r="A1710" s="21" t="n">
        <v>1694</v>
      </c>
      <c r="B1710" s="22">
        <f>IF($L1710="","",INDEX(ExpNorm,$L1710))</f>
        <v/>
      </c>
      <c r="C1710" s="22">
        <f>IF($L1710="","",IF(INDEX(ExpTime,$L1710)="","—",LEFT(INDEX(ExpTime,$L1710),2)&amp;":"&amp;RIGHT(INDEX(ExpTime,$L1710),2)))</f>
        <v/>
      </c>
      <c r="D1710" s="22">
        <f>IF($L1710="","",IF(INDEX(ExpBank,$L1710)="","—",INDEX(ExpBank,$L1710)))</f>
        <v/>
      </c>
      <c r="E1710" s="23">
        <f>IF($L1710="","",IF(INDEX(ExpParty,$L1710)="","—",IFERROR(VLOOKUP(INDEX(ExpParty,$L1710),AcctTbl,4,0),INDEX(ExpParty,$L1710))))</f>
        <v/>
      </c>
      <c r="F1710" s="22">
        <f>IF($L1710="","",IF(INDEX(ExpType,$L1710)="","—",INDEX(ExpType,$L1710)))</f>
        <v/>
      </c>
      <c r="G1710" s="24">
        <f>IF($L1710="","",IF(INDEX(ExpDep,$L1710)=0,"",INDEX(ExpDep,$L1710)))</f>
        <v/>
      </c>
      <c r="H1710" s="24">
        <f>IF($L1710="","",IF(INDEX(ExpWit,$L1710)=0,"",INDEX(ExpWit,$L1710)))</f>
        <v/>
      </c>
      <c r="I1710" s="25">
        <f>IF($B1710="","",IF($I1709="",0,$I1709)+IF($H1710="",0,$H1710)-IF($G1710="",0,$G1710))</f>
        <v/>
      </c>
      <c r="J1710" s="23">
        <f>IF($L1710="","",IF(INDEX(ExpNote,$L1710)="","—",INDEX(ExpNote,$L1710)))</f>
        <v/>
      </c>
      <c r="L1710">
        <f>IFERROR(MATCH($C$5&amp;"|"&amp;RIGHT("000000"&amp;1694,6),ExpRankKey,0),"")</f>
        <v/>
      </c>
    </row>
    <row r="1711">
      <c r="A1711" s="16" t="n">
        <v>1695</v>
      </c>
      <c r="B1711" s="17">
        <f>IF($L1711="","",INDEX(ExpNorm,$L1711))</f>
        <v/>
      </c>
      <c r="C1711" s="17">
        <f>IF($L1711="","",IF(INDEX(ExpTime,$L1711)="","—",LEFT(INDEX(ExpTime,$L1711),2)&amp;":"&amp;RIGHT(INDEX(ExpTime,$L1711),2)))</f>
        <v/>
      </c>
      <c r="D1711" s="17">
        <f>IF($L1711="","",IF(INDEX(ExpBank,$L1711)="","—",INDEX(ExpBank,$L1711)))</f>
        <v/>
      </c>
      <c r="E1711" s="18">
        <f>IF($L1711="","",IF(INDEX(ExpParty,$L1711)="","—",IFERROR(VLOOKUP(INDEX(ExpParty,$L1711),AcctTbl,4,0),INDEX(ExpParty,$L1711))))</f>
        <v/>
      </c>
      <c r="F1711" s="17">
        <f>IF($L1711="","",IF(INDEX(ExpType,$L1711)="","—",INDEX(ExpType,$L1711)))</f>
        <v/>
      </c>
      <c r="G1711" s="19">
        <f>IF($L1711="","",IF(INDEX(ExpDep,$L1711)=0,"",INDEX(ExpDep,$L1711)))</f>
        <v/>
      </c>
      <c r="H1711" s="19">
        <f>IF($L1711="","",IF(INDEX(ExpWit,$L1711)=0,"",INDEX(ExpWit,$L1711)))</f>
        <v/>
      </c>
      <c r="I1711" s="20">
        <f>IF($B1711="","",IF($I1710="",0,$I1710)+IF($H1711="",0,$H1711)-IF($G1711="",0,$G1711))</f>
        <v/>
      </c>
      <c r="J1711" s="18">
        <f>IF($L1711="","",IF(INDEX(ExpNote,$L1711)="","—",INDEX(ExpNote,$L1711)))</f>
        <v/>
      </c>
      <c r="L1711">
        <f>IFERROR(MATCH($C$5&amp;"|"&amp;RIGHT("000000"&amp;1695,6),ExpRankKey,0),"")</f>
        <v/>
      </c>
    </row>
    <row r="1712">
      <c r="A1712" s="21" t="n">
        <v>1696</v>
      </c>
      <c r="B1712" s="22">
        <f>IF($L1712="","",INDEX(ExpNorm,$L1712))</f>
        <v/>
      </c>
      <c r="C1712" s="22">
        <f>IF($L1712="","",IF(INDEX(ExpTime,$L1712)="","—",LEFT(INDEX(ExpTime,$L1712),2)&amp;":"&amp;RIGHT(INDEX(ExpTime,$L1712),2)))</f>
        <v/>
      </c>
      <c r="D1712" s="22">
        <f>IF($L1712="","",IF(INDEX(ExpBank,$L1712)="","—",INDEX(ExpBank,$L1712)))</f>
        <v/>
      </c>
      <c r="E1712" s="23">
        <f>IF($L1712="","",IF(INDEX(ExpParty,$L1712)="","—",IFERROR(VLOOKUP(INDEX(ExpParty,$L1712),AcctTbl,4,0),INDEX(ExpParty,$L1712))))</f>
        <v/>
      </c>
      <c r="F1712" s="22">
        <f>IF($L1712="","",IF(INDEX(ExpType,$L1712)="","—",INDEX(ExpType,$L1712)))</f>
        <v/>
      </c>
      <c r="G1712" s="24">
        <f>IF($L1712="","",IF(INDEX(ExpDep,$L1712)=0,"",INDEX(ExpDep,$L1712)))</f>
        <v/>
      </c>
      <c r="H1712" s="24">
        <f>IF($L1712="","",IF(INDEX(ExpWit,$L1712)=0,"",INDEX(ExpWit,$L1712)))</f>
        <v/>
      </c>
      <c r="I1712" s="25">
        <f>IF($B1712="","",IF($I1711="",0,$I1711)+IF($H1712="",0,$H1712)-IF($G1712="",0,$G1712))</f>
        <v/>
      </c>
      <c r="J1712" s="23">
        <f>IF($L1712="","",IF(INDEX(ExpNote,$L1712)="","—",INDEX(ExpNote,$L1712)))</f>
        <v/>
      </c>
      <c r="L1712">
        <f>IFERROR(MATCH($C$5&amp;"|"&amp;RIGHT("000000"&amp;1696,6),ExpRankKey,0),"")</f>
        <v/>
      </c>
    </row>
    <row r="1713">
      <c r="A1713" s="16" t="n">
        <v>1697</v>
      </c>
      <c r="B1713" s="17">
        <f>IF($L1713="","",INDEX(ExpNorm,$L1713))</f>
        <v/>
      </c>
      <c r="C1713" s="17">
        <f>IF($L1713="","",IF(INDEX(ExpTime,$L1713)="","—",LEFT(INDEX(ExpTime,$L1713),2)&amp;":"&amp;RIGHT(INDEX(ExpTime,$L1713),2)))</f>
        <v/>
      </c>
      <c r="D1713" s="17">
        <f>IF($L1713="","",IF(INDEX(ExpBank,$L1713)="","—",INDEX(ExpBank,$L1713)))</f>
        <v/>
      </c>
      <c r="E1713" s="18">
        <f>IF($L1713="","",IF(INDEX(ExpParty,$L1713)="","—",IFERROR(VLOOKUP(INDEX(ExpParty,$L1713),AcctTbl,4,0),INDEX(ExpParty,$L1713))))</f>
        <v/>
      </c>
      <c r="F1713" s="17">
        <f>IF($L1713="","",IF(INDEX(ExpType,$L1713)="","—",INDEX(ExpType,$L1713)))</f>
        <v/>
      </c>
      <c r="G1713" s="19">
        <f>IF($L1713="","",IF(INDEX(ExpDep,$L1713)=0,"",INDEX(ExpDep,$L1713)))</f>
        <v/>
      </c>
      <c r="H1713" s="19">
        <f>IF($L1713="","",IF(INDEX(ExpWit,$L1713)=0,"",INDEX(ExpWit,$L1713)))</f>
        <v/>
      </c>
      <c r="I1713" s="20">
        <f>IF($B1713="","",IF($I1712="",0,$I1712)+IF($H1713="",0,$H1713)-IF($G1713="",0,$G1713))</f>
        <v/>
      </c>
      <c r="J1713" s="18">
        <f>IF($L1713="","",IF(INDEX(ExpNote,$L1713)="","—",INDEX(ExpNote,$L1713)))</f>
        <v/>
      </c>
      <c r="L1713">
        <f>IFERROR(MATCH($C$5&amp;"|"&amp;RIGHT("000000"&amp;1697,6),ExpRankKey,0),"")</f>
        <v/>
      </c>
    </row>
    <row r="1714">
      <c r="A1714" s="21" t="n">
        <v>1698</v>
      </c>
      <c r="B1714" s="22">
        <f>IF($L1714="","",INDEX(ExpNorm,$L1714))</f>
        <v/>
      </c>
      <c r="C1714" s="22">
        <f>IF($L1714="","",IF(INDEX(ExpTime,$L1714)="","—",LEFT(INDEX(ExpTime,$L1714),2)&amp;":"&amp;RIGHT(INDEX(ExpTime,$L1714),2)))</f>
        <v/>
      </c>
      <c r="D1714" s="22">
        <f>IF($L1714="","",IF(INDEX(ExpBank,$L1714)="","—",INDEX(ExpBank,$L1714)))</f>
        <v/>
      </c>
      <c r="E1714" s="23">
        <f>IF($L1714="","",IF(INDEX(ExpParty,$L1714)="","—",IFERROR(VLOOKUP(INDEX(ExpParty,$L1714),AcctTbl,4,0),INDEX(ExpParty,$L1714))))</f>
        <v/>
      </c>
      <c r="F1714" s="22">
        <f>IF($L1714="","",IF(INDEX(ExpType,$L1714)="","—",INDEX(ExpType,$L1714)))</f>
        <v/>
      </c>
      <c r="G1714" s="24">
        <f>IF($L1714="","",IF(INDEX(ExpDep,$L1714)=0,"",INDEX(ExpDep,$L1714)))</f>
        <v/>
      </c>
      <c r="H1714" s="24">
        <f>IF($L1714="","",IF(INDEX(ExpWit,$L1714)=0,"",INDEX(ExpWit,$L1714)))</f>
        <v/>
      </c>
      <c r="I1714" s="25">
        <f>IF($B1714="","",IF($I1713="",0,$I1713)+IF($H1714="",0,$H1714)-IF($G1714="",0,$G1714))</f>
        <v/>
      </c>
      <c r="J1714" s="23">
        <f>IF($L1714="","",IF(INDEX(ExpNote,$L1714)="","—",INDEX(ExpNote,$L1714)))</f>
        <v/>
      </c>
      <c r="L1714">
        <f>IFERROR(MATCH($C$5&amp;"|"&amp;RIGHT("000000"&amp;1698,6),ExpRankKey,0),"")</f>
        <v/>
      </c>
    </row>
    <row r="1715">
      <c r="A1715" s="16" t="n">
        <v>1699</v>
      </c>
      <c r="B1715" s="17">
        <f>IF($L1715="","",INDEX(ExpNorm,$L1715))</f>
        <v/>
      </c>
      <c r="C1715" s="17">
        <f>IF($L1715="","",IF(INDEX(ExpTime,$L1715)="","—",LEFT(INDEX(ExpTime,$L1715),2)&amp;":"&amp;RIGHT(INDEX(ExpTime,$L1715),2)))</f>
        <v/>
      </c>
      <c r="D1715" s="17">
        <f>IF($L1715="","",IF(INDEX(ExpBank,$L1715)="","—",INDEX(ExpBank,$L1715)))</f>
        <v/>
      </c>
      <c r="E1715" s="18">
        <f>IF($L1715="","",IF(INDEX(ExpParty,$L1715)="","—",IFERROR(VLOOKUP(INDEX(ExpParty,$L1715),AcctTbl,4,0),INDEX(ExpParty,$L1715))))</f>
        <v/>
      </c>
      <c r="F1715" s="17">
        <f>IF($L1715="","",IF(INDEX(ExpType,$L1715)="","—",INDEX(ExpType,$L1715)))</f>
        <v/>
      </c>
      <c r="G1715" s="19">
        <f>IF($L1715="","",IF(INDEX(ExpDep,$L1715)=0,"",INDEX(ExpDep,$L1715)))</f>
        <v/>
      </c>
      <c r="H1715" s="19">
        <f>IF($L1715="","",IF(INDEX(ExpWit,$L1715)=0,"",INDEX(ExpWit,$L1715)))</f>
        <v/>
      </c>
      <c r="I1715" s="20">
        <f>IF($B1715="","",IF($I1714="",0,$I1714)+IF($H1715="",0,$H1715)-IF($G1715="",0,$G1715))</f>
        <v/>
      </c>
      <c r="J1715" s="18">
        <f>IF($L1715="","",IF(INDEX(ExpNote,$L1715)="","—",INDEX(ExpNote,$L1715)))</f>
        <v/>
      </c>
      <c r="L1715">
        <f>IFERROR(MATCH($C$5&amp;"|"&amp;RIGHT("000000"&amp;1699,6),ExpRankKey,0),"")</f>
        <v/>
      </c>
    </row>
    <row r="1716">
      <c r="A1716" s="21" t="n">
        <v>1700</v>
      </c>
      <c r="B1716" s="22">
        <f>IF($L1716="","",INDEX(ExpNorm,$L1716))</f>
        <v/>
      </c>
      <c r="C1716" s="22">
        <f>IF($L1716="","",IF(INDEX(ExpTime,$L1716)="","—",LEFT(INDEX(ExpTime,$L1716),2)&amp;":"&amp;RIGHT(INDEX(ExpTime,$L1716),2)))</f>
        <v/>
      </c>
      <c r="D1716" s="22">
        <f>IF($L1716="","",IF(INDEX(ExpBank,$L1716)="","—",INDEX(ExpBank,$L1716)))</f>
        <v/>
      </c>
      <c r="E1716" s="23">
        <f>IF($L1716="","",IF(INDEX(ExpParty,$L1716)="","—",IFERROR(VLOOKUP(INDEX(ExpParty,$L1716),AcctTbl,4,0),INDEX(ExpParty,$L1716))))</f>
        <v/>
      </c>
      <c r="F1716" s="22">
        <f>IF($L1716="","",IF(INDEX(ExpType,$L1716)="","—",INDEX(ExpType,$L1716)))</f>
        <v/>
      </c>
      <c r="G1716" s="24">
        <f>IF($L1716="","",IF(INDEX(ExpDep,$L1716)=0,"",INDEX(ExpDep,$L1716)))</f>
        <v/>
      </c>
      <c r="H1716" s="24">
        <f>IF($L1716="","",IF(INDEX(ExpWit,$L1716)=0,"",INDEX(ExpWit,$L1716)))</f>
        <v/>
      </c>
      <c r="I1716" s="25">
        <f>IF($B1716="","",IF($I1715="",0,$I1715)+IF($H1716="",0,$H1716)-IF($G1716="",0,$G1716))</f>
        <v/>
      </c>
      <c r="J1716" s="23">
        <f>IF($L1716="","",IF(INDEX(ExpNote,$L1716)="","—",INDEX(ExpNote,$L1716)))</f>
        <v/>
      </c>
      <c r="L1716">
        <f>IFERROR(MATCH($C$5&amp;"|"&amp;RIGHT("000000"&amp;1700,6),ExpRankKey,0),"")</f>
        <v/>
      </c>
    </row>
    <row r="1717">
      <c r="A1717" s="16" t="n">
        <v>1701</v>
      </c>
      <c r="B1717" s="17">
        <f>IF($L1717="","",INDEX(ExpNorm,$L1717))</f>
        <v/>
      </c>
      <c r="C1717" s="17">
        <f>IF($L1717="","",IF(INDEX(ExpTime,$L1717)="","—",LEFT(INDEX(ExpTime,$L1717),2)&amp;":"&amp;RIGHT(INDEX(ExpTime,$L1717),2)))</f>
        <v/>
      </c>
      <c r="D1717" s="17">
        <f>IF($L1717="","",IF(INDEX(ExpBank,$L1717)="","—",INDEX(ExpBank,$L1717)))</f>
        <v/>
      </c>
      <c r="E1717" s="18">
        <f>IF($L1717="","",IF(INDEX(ExpParty,$L1717)="","—",IFERROR(VLOOKUP(INDEX(ExpParty,$L1717),AcctTbl,4,0),INDEX(ExpParty,$L1717))))</f>
        <v/>
      </c>
      <c r="F1717" s="17">
        <f>IF($L1717="","",IF(INDEX(ExpType,$L1717)="","—",INDEX(ExpType,$L1717)))</f>
        <v/>
      </c>
      <c r="G1717" s="19">
        <f>IF($L1717="","",IF(INDEX(ExpDep,$L1717)=0,"",INDEX(ExpDep,$L1717)))</f>
        <v/>
      </c>
      <c r="H1717" s="19">
        <f>IF($L1717="","",IF(INDEX(ExpWit,$L1717)=0,"",INDEX(ExpWit,$L1717)))</f>
        <v/>
      </c>
      <c r="I1717" s="20">
        <f>IF($B1717="","",IF($I1716="",0,$I1716)+IF($H1717="",0,$H1717)-IF($G1717="",0,$G1717))</f>
        <v/>
      </c>
      <c r="J1717" s="18">
        <f>IF($L1717="","",IF(INDEX(ExpNote,$L1717)="","—",INDEX(ExpNote,$L1717)))</f>
        <v/>
      </c>
      <c r="L1717">
        <f>IFERROR(MATCH($C$5&amp;"|"&amp;RIGHT("000000"&amp;1701,6),ExpRankKey,0),"")</f>
        <v/>
      </c>
    </row>
    <row r="1718">
      <c r="A1718" s="21" t="n">
        <v>1702</v>
      </c>
      <c r="B1718" s="22">
        <f>IF($L1718="","",INDEX(ExpNorm,$L1718))</f>
        <v/>
      </c>
      <c r="C1718" s="22">
        <f>IF($L1718="","",IF(INDEX(ExpTime,$L1718)="","—",LEFT(INDEX(ExpTime,$L1718),2)&amp;":"&amp;RIGHT(INDEX(ExpTime,$L1718),2)))</f>
        <v/>
      </c>
      <c r="D1718" s="22">
        <f>IF($L1718="","",IF(INDEX(ExpBank,$L1718)="","—",INDEX(ExpBank,$L1718)))</f>
        <v/>
      </c>
      <c r="E1718" s="23">
        <f>IF($L1718="","",IF(INDEX(ExpParty,$L1718)="","—",IFERROR(VLOOKUP(INDEX(ExpParty,$L1718),AcctTbl,4,0),INDEX(ExpParty,$L1718))))</f>
        <v/>
      </c>
      <c r="F1718" s="22">
        <f>IF($L1718="","",IF(INDEX(ExpType,$L1718)="","—",INDEX(ExpType,$L1718)))</f>
        <v/>
      </c>
      <c r="G1718" s="24">
        <f>IF($L1718="","",IF(INDEX(ExpDep,$L1718)=0,"",INDEX(ExpDep,$L1718)))</f>
        <v/>
      </c>
      <c r="H1718" s="24">
        <f>IF($L1718="","",IF(INDEX(ExpWit,$L1718)=0,"",INDEX(ExpWit,$L1718)))</f>
        <v/>
      </c>
      <c r="I1718" s="25">
        <f>IF($B1718="","",IF($I1717="",0,$I1717)+IF($H1718="",0,$H1718)-IF($G1718="",0,$G1718))</f>
        <v/>
      </c>
      <c r="J1718" s="23">
        <f>IF($L1718="","",IF(INDEX(ExpNote,$L1718)="","—",INDEX(ExpNote,$L1718)))</f>
        <v/>
      </c>
      <c r="L1718">
        <f>IFERROR(MATCH($C$5&amp;"|"&amp;RIGHT("000000"&amp;1702,6),ExpRankKey,0),"")</f>
        <v/>
      </c>
    </row>
    <row r="1719">
      <c r="A1719" s="16" t="n">
        <v>1703</v>
      </c>
      <c r="B1719" s="17">
        <f>IF($L1719="","",INDEX(ExpNorm,$L1719))</f>
        <v/>
      </c>
      <c r="C1719" s="17">
        <f>IF($L1719="","",IF(INDEX(ExpTime,$L1719)="","—",LEFT(INDEX(ExpTime,$L1719),2)&amp;":"&amp;RIGHT(INDEX(ExpTime,$L1719),2)))</f>
        <v/>
      </c>
      <c r="D1719" s="17">
        <f>IF($L1719="","",IF(INDEX(ExpBank,$L1719)="","—",INDEX(ExpBank,$L1719)))</f>
        <v/>
      </c>
      <c r="E1719" s="18">
        <f>IF($L1719="","",IF(INDEX(ExpParty,$L1719)="","—",IFERROR(VLOOKUP(INDEX(ExpParty,$L1719),AcctTbl,4,0),INDEX(ExpParty,$L1719))))</f>
        <v/>
      </c>
      <c r="F1719" s="17">
        <f>IF($L1719="","",IF(INDEX(ExpType,$L1719)="","—",INDEX(ExpType,$L1719)))</f>
        <v/>
      </c>
      <c r="G1719" s="19">
        <f>IF($L1719="","",IF(INDEX(ExpDep,$L1719)=0,"",INDEX(ExpDep,$L1719)))</f>
        <v/>
      </c>
      <c r="H1719" s="19">
        <f>IF($L1719="","",IF(INDEX(ExpWit,$L1719)=0,"",INDEX(ExpWit,$L1719)))</f>
        <v/>
      </c>
      <c r="I1719" s="20">
        <f>IF($B1719="","",IF($I1718="",0,$I1718)+IF($H1719="",0,$H1719)-IF($G1719="",0,$G1719))</f>
        <v/>
      </c>
      <c r="J1719" s="18">
        <f>IF($L1719="","",IF(INDEX(ExpNote,$L1719)="","—",INDEX(ExpNote,$L1719)))</f>
        <v/>
      </c>
      <c r="L1719">
        <f>IFERROR(MATCH($C$5&amp;"|"&amp;RIGHT("000000"&amp;1703,6),ExpRankKey,0),"")</f>
        <v/>
      </c>
    </row>
    <row r="1720">
      <c r="A1720" s="21" t="n">
        <v>1704</v>
      </c>
      <c r="B1720" s="22">
        <f>IF($L1720="","",INDEX(ExpNorm,$L1720))</f>
        <v/>
      </c>
      <c r="C1720" s="22">
        <f>IF($L1720="","",IF(INDEX(ExpTime,$L1720)="","—",LEFT(INDEX(ExpTime,$L1720),2)&amp;":"&amp;RIGHT(INDEX(ExpTime,$L1720),2)))</f>
        <v/>
      </c>
      <c r="D1720" s="22">
        <f>IF($L1720="","",IF(INDEX(ExpBank,$L1720)="","—",INDEX(ExpBank,$L1720)))</f>
        <v/>
      </c>
      <c r="E1720" s="23">
        <f>IF($L1720="","",IF(INDEX(ExpParty,$L1720)="","—",IFERROR(VLOOKUP(INDEX(ExpParty,$L1720),AcctTbl,4,0),INDEX(ExpParty,$L1720))))</f>
        <v/>
      </c>
      <c r="F1720" s="22">
        <f>IF($L1720="","",IF(INDEX(ExpType,$L1720)="","—",INDEX(ExpType,$L1720)))</f>
        <v/>
      </c>
      <c r="G1720" s="24">
        <f>IF($L1720="","",IF(INDEX(ExpDep,$L1720)=0,"",INDEX(ExpDep,$L1720)))</f>
        <v/>
      </c>
      <c r="H1720" s="24">
        <f>IF($L1720="","",IF(INDEX(ExpWit,$L1720)=0,"",INDEX(ExpWit,$L1720)))</f>
        <v/>
      </c>
      <c r="I1720" s="25">
        <f>IF($B1720="","",IF($I1719="",0,$I1719)+IF($H1720="",0,$H1720)-IF($G1720="",0,$G1720))</f>
        <v/>
      </c>
      <c r="J1720" s="23">
        <f>IF($L1720="","",IF(INDEX(ExpNote,$L1720)="","—",INDEX(ExpNote,$L1720)))</f>
        <v/>
      </c>
      <c r="L1720">
        <f>IFERROR(MATCH($C$5&amp;"|"&amp;RIGHT("000000"&amp;1704,6),ExpRankKey,0),"")</f>
        <v/>
      </c>
    </row>
    <row r="1721">
      <c r="A1721" s="16" t="n">
        <v>1705</v>
      </c>
      <c r="B1721" s="17">
        <f>IF($L1721="","",INDEX(ExpNorm,$L1721))</f>
        <v/>
      </c>
      <c r="C1721" s="17">
        <f>IF($L1721="","",IF(INDEX(ExpTime,$L1721)="","—",LEFT(INDEX(ExpTime,$L1721),2)&amp;":"&amp;RIGHT(INDEX(ExpTime,$L1721),2)))</f>
        <v/>
      </c>
      <c r="D1721" s="17">
        <f>IF($L1721="","",IF(INDEX(ExpBank,$L1721)="","—",INDEX(ExpBank,$L1721)))</f>
        <v/>
      </c>
      <c r="E1721" s="18">
        <f>IF($L1721="","",IF(INDEX(ExpParty,$L1721)="","—",IFERROR(VLOOKUP(INDEX(ExpParty,$L1721),AcctTbl,4,0),INDEX(ExpParty,$L1721))))</f>
        <v/>
      </c>
      <c r="F1721" s="17">
        <f>IF($L1721="","",IF(INDEX(ExpType,$L1721)="","—",INDEX(ExpType,$L1721)))</f>
        <v/>
      </c>
      <c r="G1721" s="19">
        <f>IF($L1721="","",IF(INDEX(ExpDep,$L1721)=0,"",INDEX(ExpDep,$L1721)))</f>
        <v/>
      </c>
      <c r="H1721" s="19">
        <f>IF($L1721="","",IF(INDEX(ExpWit,$L1721)=0,"",INDEX(ExpWit,$L1721)))</f>
        <v/>
      </c>
      <c r="I1721" s="20">
        <f>IF($B1721="","",IF($I1720="",0,$I1720)+IF($H1721="",0,$H1721)-IF($G1721="",0,$G1721))</f>
        <v/>
      </c>
      <c r="J1721" s="18">
        <f>IF($L1721="","",IF(INDEX(ExpNote,$L1721)="","—",INDEX(ExpNote,$L1721)))</f>
        <v/>
      </c>
      <c r="L1721">
        <f>IFERROR(MATCH($C$5&amp;"|"&amp;RIGHT("000000"&amp;1705,6),ExpRankKey,0),"")</f>
        <v/>
      </c>
    </row>
    <row r="1722">
      <c r="A1722" s="21" t="n">
        <v>1706</v>
      </c>
      <c r="B1722" s="22">
        <f>IF($L1722="","",INDEX(ExpNorm,$L1722))</f>
        <v/>
      </c>
      <c r="C1722" s="22">
        <f>IF($L1722="","",IF(INDEX(ExpTime,$L1722)="","—",LEFT(INDEX(ExpTime,$L1722),2)&amp;":"&amp;RIGHT(INDEX(ExpTime,$L1722),2)))</f>
        <v/>
      </c>
      <c r="D1722" s="22">
        <f>IF($L1722="","",IF(INDEX(ExpBank,$L1722)="","—",INDEX(ExpBank,$L1722)))</f>
        <v/>
      </c>
      <c r="E1722" s="23">
        <f>IF($L1722="","",IF(INDEX(ExpParty,$L1722)="","—",IFERROR(VLOOKUP(INDEX(ExpParty,$L1722),AcctTbl,4,0),INDEX(ExpParty,$L1722))))</f>
        <v/>
      </c>
      <c r="F1722" s="22">
        <f>IF($L1722="","",IF(INDEX(ExpType,$L1722)="","—",INDEX(ExpType,$L1722)))</f>
        <v/>
      </c>
      <c r="G1722" s="24">
        <f>IF($L1722="","",IF(INDEX(ExpDep,$L1722)=0,"",INDEX(ExpDep,$L1722)))</f>
        <v/>
      </c>
      <c r="H1722" s="24">
        <f>IF($L1722="","",IF(INDEX(ExpWit,$L1722)=0,"",INDEX(ExpWit,$L1722)))</f>
        <v/>
      </c>
      <c r="I1722" s="25">
        <f>IF($B1722="","",IF($I1721="",0,$I1721)+IF($H1722="",0,$H1722)-IF($G1722="",0,$G1722))</f>
        <v/>
      </c>
      <c r="J1722" s="23">
        <f>IF($L1722="","",IF(INDEX(ExpNote,$L1722)="","—",INDEX(ExpNote,$L1722)))</f>
        <v/>
      </c>
      <c r="L1722">
        <f>IFERROR(MATCH($C$5&amp;"|"&amp;RIGHT("000000"&amp;1706,6),ExpRankKey,0),"")</f>
        <v/>
      </c>
    </row>
    <row r="1723">
      <c r="A1723" s="16" t="n">
        <v>1707</v>
      </c>
      <c r="B1723" s="17">
        <f>IF($L1723="","",INDEX(ExpNorm,$L1723))</f>
        <v/>
      </c>
      <c r="C1723" s="17">
        <f>IF($L1723="","",IF(INDEX(ExpTime,$L1723)="","—",LEFT(INDEX(ExpTime,$L1723),2)&amp;":"&amp;RIGHT(INDEX(ExpTime,$L1723),2)))</f>
        <v/>
      </c>
      <c r="D1723" s="17">
        <f>IF($L1723="","",IF(INDEX(ExpBank,$L1723)="","—",INDEX(ExpBank,$L1723)))</f>
        <v/>
      </c>
      <c r="E1723" s="18">
        <f>IF($L1723="","",IF(INDEX(ExpParty,$L1723)="","—",IFERROR(VLOOKUP(INDEX(ExpParty,$L1723),AcctTbl,4,0),INDEX(ExpParty,$L1723))))</f>
        <v/>
      </c>
      <c r="F1723" s="17">
        <f>IF($L1723="","",IF(INDEX(ExpType,$L1723)="","—",INDEX(ExpType,$L1723)))</f>
        <v/>
      </c>
      <c r="G1723" s="19">
        <f>IF($L1723="","",IF(INDEX(ExpDep,$L1723)=0,"",INDEX(ExpDep,$L1723)))</f>
        <v/>
      </c>
      <c r="H1723" s="19">
        <f>IF($L1723="","",IF(INDEX(ExpWit,$L1723)=0,"",INDEX(ExpWit,$L1723)))</f>
        <v/>
      </c>
      <c r="I1723" s="20">
        <f>IF($B1723="","",IF($I1722="",0,$I1722)+IF($H1723="",0,$H1723)-IF($G1723="",0,$G1723))</f>
        <v/>
      </c>
      <c r="J1723" s="18">
        <f>IF($L1723="","",IF(INDEX(ExpNote,$L1723)="","—",INDEX(ExpNote,$L1723)))</f>
        <v/>
      </c>
      <c r="L1723">
        <f>IFERROR(MATCH($C$5&amp;"|"&amp;RIGHT("000000"&amp;1707,6),ExpRankKey,0),"")</f>
        <v/>
      </c>
    </row>
    <row r="1724">
      <c r="A1724" s="21" t="n">
        <v>1708</v>
      </c>
      <c r="B1724" s="22">
        <f>IF($L1724="","",INDEX(ExpNorm,$L1724))</f>
        <v/>
      </c>
      <c r="C1724" s="22">
        <f>IF($L1724="","",IF(INDEX(ExpTime,$L1724)="","—",LEFT(INDEX(ExpTime,$L1724),2)&amp;":"&amp;RIGHT(INDEX(ExpTime,$L1724),2)))</f>
        <v/>
      </c>
      <c r="D1724" s="22">
        <f>IF($L1724="","",IF(INDEX(ExpBank,$L1724)="","—",INDEX(ExpBank,$L1724)))</f>
        <v/>
      </c>
      <c r="E1724" s="23">
        <f>IF($L1724="","",IF(INDEX(ExpParty,$L1724)="","—",IFERROR(VLOOKUP(INDEX(ExpParty,$L1724),AcctTbl,4,0),INDEX(ExpParty,$L1724))))</f>
        <v/>
      </c>
      <c r="F1724" s="22">
        <f>IF($L1724="","",IF(INDEX(ExpType,$L1724)="","—",INDEX(ExpType,$L1724)))</f>
        <v/>
      </c>
      <c r="G1724" s="24">
        <f>IF($L1724="","",IF(INDEX(ExpDep,$L1724)=0,"",INDEX(ExpDep,$L1724)))</f>
        <v/>
      </c>
      <c r="H1724" s="24">
        <f>IF($L1724="","",IF(INDEX(ExpWit,$L1724)=0,"",INDEX(ExpWit,$L1724)))</f>
        <v/>
      </c>
      <c r="I1724" s="25">
        <f>IF($B1724="","",IF($I1723="",0,$I1723)+IF($H1724="",0,$H1724)-IF($G1724="",0,$G1724))</f>
        <v/>
      </c>
      <c r="J1724" s="23">
        <f>IF($L1724="","",IF(INDEX(ExpNote,$L1724)="","—",INDEX(ExpNote,$L1724)))</f>
        <v/>
      </c>
      <c r="L1724">
        <f>IFERROR(MATCH($C$5&amp;"|"&amp;RIGHT("000000"&amp;1708,6),ExpRankKey,0),"")</f>
        <v/>
      </c>
    </row>
    <row r="1725">
      <c r="A1725" s="16" t="n">
        <v>1709</v>
      </c>
      <c r="B1725" s="17">
        <f>IF($L1725="","",INDEX(ExpNorm,$L1725))</f>
        <v/>
      </c>
      <c r="C1725" s="17">
        <f>IF($L1725="","",IF(INDEX(ExpTime,$L1725)="","—",LEFT(INDEX(ExpTime,$L1725),2)&amp;":"&amp;RIGHT(INDEX(ExpTime,$L1725),2)))</f>
        <v/>
      </c>
      <c r="D1725" s="17">
        <f>IF($L1725="","",IF(INDEX(ExpBank,$L1725)="","—",INDEX(ExpBank,$L1725)))</f>
        <v/>
      </c>
      <c r="E1725" s="18">
        <f>IF($L1725="","",IF(INDEX(ExpParty,$L1725)="","—",IFERROR(VLOOKUP(INDEX(ExpParty,$L1725),AcctTbl,4,0),INDEX(ExpParty,$L1725))))</f>
        <v/>
      </c>
      <c r="F1725" s="17">
        <f>IF($L1725="","",IF(INDEX(ExpType,$L1725)="","—",INDEX(ExpType,$L1725)))</f>
        <v/>
      </c>
      <c r="G1725" s="19">
        <f>IF($L1725="","",IF(INDEX(ExpDep,$L1725)=0,"",INDEX(ExpDep,$L1725)))</f>
        <v/>
      </c>
      <c r="H1725" s="19">
        <f>IF($L1725="","",IF(INDEX(ExpWit,$L1725)=0,"",INDEX(ExpWit,$L1725)))</f>
        <v/>
      </c>
      <c r="I1725" s="20">
        <f>IF($B1725="","",IF($I1724="",0,$I1724)+IF($H1725="",0,$H1725)-IF($G1725="",0,$G1725))</f>
        <v/>
      </c>
      <c r="J1725" s="18">
        <f>IF($L1725="","",IF(INDEX(ExpNote,$L1725)="","—",INDEX(ExpNote,$L1725)))</f>
        <v/>
      </c>
      <c r="L1725">
        <f>IFERROR(MATCH($C$5&amp;"|"&amp;RIGHT("000000"&amp;1709,6),ExpRankKey,0),"")</f>
        <v/>
      </c>
    </row>
    <row r="1726">
      <c r="A1726" s="21" t="n">
        <v>1710</v>
      </c>
      <c r="B1726" s="22">
        <f>IF($L1726="","",INDEX(ExpNorm,$L1726))</f>
        <v/>
      </c>
      <c r="C1726" s="22">
        <f>IF($L1726="","",IF(INDEX(ExpTime,$L1726)="","—",LEFT(INDEX(ExpTime,$L1726),2)&amp;":"&amp;RIGHT(INDEX(ExpTime,$L1726),2)))</f>
        <v/>
      </c>
      <c r="D1726" s="22">
        <f>IF($L1726="","",IF(INDEX(ExpBank,$L1726)="","—",INDEX(ExpBank,$L1726)))</f>
        <v/>
      </c>
      <c r="E1726" s="23">
        <f>IF($L1726="","",IF(INDEX(ExpParty,$L1726)="","—",IFERROR(VLOOKUP(INDEX(ExpParty,$L1726),AcctTbl,4,0),INDEX(ExpParty,$L1726))))</f>
        <v/>
      </c>
      <c r="F1726" s="22">
        <f>IF($L1726="","",IF(INDEX(ExpType,$L1726)="","—",INDEX(ExpType,$L1726)))</f>
        <v/>
      </c>
      <c r="G1726" s="24">
        <f>IF($L1726="","",IF(INDEX(ExpDep,$L1726)=0,"",INDEX(ExpDep,$L1726)))</f>
        <v/>
      </c>
      <c r="H1726" s="24">
        <f>IF($L1726="","",IF(INDEX(ExpWit,$L1726)=0,"",INDEX(ExpWit,$L1726)))</f>
        <v/>
      </c>
      <c r="I1726" s="25">
        <f>IF($B1726="","",IF($I1725="",0,$I1725)+IF($H1726="",0,$H1726)-IF($G1726="",0,$G1726))</f>
        <v/>
      </c>
      <c r="J1726" s="23">
        <f>IF($L1726="","",IF(INDEX(ExpNote,$L1726)="","—",INDEX(ExpNote,$L1726)))</f>
        <v/>
      </c>
      <c r="L1726">
        <f>IFERROR(MATCH($C$5&amp;"|"&amp;RIGHT("000000"&amp;1710,6),ExpRankKey,0),"")</f>
        <v/>
      </c>
    </row>
    <row r="1727">
      <c r="A1727" s="16" t="n">
        <v>1711</v>
      </c>
      <c r="B1727" s="17">
        <f>IF($L1727="","",INDEX(ExpNorm,$L1727))</f>
        <v/>
      </c>
      <c r="C1727" s="17">
        <f>IF($L1727="","",IF(INDEX(ExpTime,$L1727)="","—",LEFT(INDEX(ExpTime,$L1727),2)&amp;":"&amp;RIGHT(INDEX(ExpTime,$L1727),2)))</f>
        <v/>
      </c>
      <c r="D1727" s="17">
        <f>IF($L1727="","",IF(INDEX(ExpBank,$L1727)="","—",INDEX(ExpBank,$L1727)))</f>
        <v/>
      </c>
      <c r="E1727" s="18">
        <f>IF($L1727="","",IF(INDEX(ExpParty,$L1727)="","—",IFERROR(VLOOKUP(INDEX(ExpParty,$L1727),AcctTbl,4,0),INDEX(ExpParty,$L1727))))</f>
        <v/>
      </c>
      <c r="F1727" s="17">
        <f>IF($L1727="","",IF(INDEX(ExpType,$L1727)="","—",INDEX(ExpType,$L1727)))</f>
        <v/>
      </c>
      <c r="G1727" s="19">
        <f>IF($L1727="","",IF(INDEX(ExpDep,$L1727)=0,"",INDEX(ExpDep,$L1727)))</f>
        <v/>
      </c>
      <c r="H1727" s="19">
        <f>IF($L1727="","",IF(INDEX(ExpWit,$L1727)=0,"",INDEX(ExpWit,$L1727)))</f>
        <v/>
      </c>
      <c r="I1727" s="20">
        <f>IF($B1727="","",IF($I1726="",0,$I1726)+IF($H1727="",0,$H1727)-IF($G1727="",0,$G1727))</f>
        <v/>
      </c>
      <c r="J1727" s="18">
        <f>IF($L1727="","",IF(INDEX(ExpNote,$L1727)="","—",INDEX(ExpNote,$L1727)))</f>
        <v/>
      </c>
      <c r="L1727">
        <f>IFERROR(MATCH($C$5&amp;"|"&amp;RIGHT("000000"&amp;1711,6),ExpRankKey,0),"")</f>
        <v/>
      </c>
    </row>
    <row r="1728">
      <c r="A1728" s="21" t="n">
        <v>1712</v>
      </c>
      <c r="B1728" s="22">
        <f>IF($L1728="","",INDEX(ExpNorm,$L1728))</f>
        <v/>
      </c>
      <c r="C1728" s="22">
        <f>IF($L1728="","",IF(INDEX(ExpTime,$L1728)="","—",LEFT(INDEX(ExpTime,$L1728),2)&amp;":"&amp;RIGHT(INDEX(ExpTime,$L1728),2)))</f>
        <v/>
      </c>
      <c r="D1728" s="22">
        <f>IF($L1728="","",IF(INDEX(ExpBank,$L1728)="","—",INDEX(ExpBank,$L1728)))</f>
        <v/>
      </c>
      <c r="E1728" s="23">
        <f>IF($L1728="","",IF(INDEX(ExpParty,$L1728)="","—",IFERROR(VLOOKUP(INDEX(ExpParty,$L1728),AcctTbl,4,0),INDEX(ExpParty,$L1728))))</f>
        <v/>
      </c>
      <c r="F1728" s="22">
        <f>IF($L1728="","",IF(INDEX(ExpType,$L1728)="","—",INDEX(ExpType,$L1728)))</f>
        <v/>
      </c>
      <c r="G1728" s="24">
        <f>IF($L1728="","",IF(INDEX(ExpDep,$L1728)=0,"",INDEX(ExpDep,$L1728)))</f>
        <v/>
      </c>
      <c r="H1728" s="24">
        <f>IF($L1728="","",IF(INDEX(ExpWit,$L1728)=0,"",INDEX(ExpWit,$L1728)))</f>
        <v/>
      </c>
      <c r="I1728" s="25">
        <f>IF($B1728="","",IF($I1727="",0,$I1727)+IF($H1728="",0,$H1728)-IF($G1728="",0,$G1728))</f>
        <v/>
      </c>
      <c r="J1728" s="23">
        <f>IF($L1728="","",IF(INDEX(ExpNote,$L1728)="","—",INDEX(ExpNote,$L1728)))</f>
        <v/>
      </c>
      <c r="L1728">
        <f>IFERROR(MATCH($C$5&amp;"|"&amp;RIGHT("000000"&amp;1712,6),ExpRankKey,0),"")</f>
        <v/>
      </c>
    </row>
    <row r="1729">
      <c r="A1729" s="16" t="n">
        <v>1713</v>
      </c>
      <c r="B1729" s="17">
        <f>IF($L1729="","",INDEX(ExpNorm,$L1729))</f>
        <v/>
      </c>
      <c r="C1729" s="17">
        <f>IF($L1729="","",IF(INDEX(ExpTime,$L1729)="","—",LEFT(INDEX(ExpTime,$L1729),2)&amp;":"&amp;RIGHT(INDEX(ExpTime,$L1729),2)))</f>
        <v/>
      </c>
      <c r="D1729" s="17">
        <f>IF($L1729="","",IF(INDEX(ExpBank,$L1729)="","—",INDEX(ExpBank,$L1729)))</f>
        <v/>
      </c>
      <c r="E1729" s="18">
        <f>IF($L1729="","",IF(INDEX(ExpParty,$L1729)="","—",IFERROR(VLOOKUP(INDEX(ExpParty,$L1729),AcctTbl,4,0),INDEX(ExpParty,$L1729))))</f>
        <v/>
      </c>
      <c r="F1729" s="17">
        <f>IF($L1729="","",IF(INDEX(ExpType,$L1729)="","—",INDEX(ExpType,$L1729)))</f>
        <v/>
      </c>
      <c r="G1729" s="19">
        <f>IF($L1729="","",IF(INDEX(ExpDep,$L1729)=0,"",INDEX(ExpDep,$L1729)))</f>
        <v/>
      </c>
      <c r="H1729" s="19">
        <f>IF($L1729="","",IF(INDEX(ExpWit,$L1729)=0,"",INDEX(ExpWit,$L1729)))</f>
        <v/>
      </c>
      <c r="I1729" s="20">
        <f>IF($B1729="","",IF($I1728="",0,$I1728)+IF($H1729="",0,$H1729)-IF($G1729="",0,$G1729))</f>
        <v/>
      </c>
      <c r="J1729" s="18">
        <f>IF($L1729="","",IF(INDEX(ExpNote,$L1729)="","—",INDEX(ExpNote,$L1729)))</f>
        <v/>
      </c>
      <c r="L1729">
        <f>IFERROR(MATCH($C$5&amp;"|"&amp;RIGHT("000000"&amp;1713,6),ExpRankKey,0),"")</f>
        <v/>
      </c>
    </row>
    <row r="1730">
      <c r="A1730" s="21" t="n">
        <v>1714</v>
      </c>
      <c r="B1730" s="22">
        <f>IF($L1730="","",INDEX(ExpNorm,$L1730))</f>
        <v/>
      </c>
      <c r="C1730" s="22">
        <f>IF($L1730="","",IF(INDEX(ExpTime,$L1730)="","—",LEFT(INDEX(ExpTime,$L1730),2)&amp;":"&amp;RIGHT(INDEX(ExpTime,$L1730),2)))</f>
        <v/>
      </c>
      <c r="D1730" s="22">
        <f>IF($L1730="","",IF(INDEX(ExpBank,$L1730)="","—",INDEX(ExpBank,$L1730)))</f>
        <v/>
      </c>
      <c r="E1730" s="23">
        <f>IF($L1730="","",IF(INDEX(ExpParty,$L1730)="","—",IFERROR(VLOOKUP(INDEX(ExpParty,$L1730),AcctTbl,4,0),INDEX(ExpParty,$L1730))))</f>
        <v/>
      </c>
      <c r="F1730" s="22">
        <f>IF($L1730="","",IF(INDEX(ExpType,$L1730)="","—",INDEX(ExpType,$L1730)))</f>
        <v/>
      </c>
      <c r="G1730" s="24">
        <f>IF($L1730="","",IF(INDEX(ExpDep,$L1730)=0,"",INDEX(ExpDep,$L1730)))</f>
        <v/>
      </c>
      <c r="H1730" s="24">
        <f>IF($L1730="","",IF(INDEX(ExpWit,$L1730)=0,"",INDEX(ExpWit,$L1730)))</f>
        <v/>
      </c>
      <c r="I1730" s="25">
        <f>IF($B1730="","",IF($I1729="",0,$I1729)+IF($H1730="",0,$H1730)-IF($G1730="",0,$G1730))</f>
        <v/>
      </c>
      <c r="J1730" s="23">
        <f>IF($L1730="","",IF(INDEX(ExpNote,$L1730)="","—",INDEX(ExpNote,$L1730)))</f>
        <v/>
      </c>
      <c r="L1730">
        <f>IFERROR(MATCH($C$5&amp;"|"&amp;RIGHT("000000"&amp;1714,6),ExpRankKey,0),"")</f>
        <v/>
      </c>
    </row>
    <row r="1731">
      <c r="A1731" s="16" t="n">
        <v>1715</v>
      </c>
      <c r="B1731" s="17">
        <f>IF($L1731="","",INDEX(ExpNorm,$L1731))</f>
        <v/>
      </c>
      <c r="C1731" s="17">
        <f>IF($L1731="","",IF(INDEX(ExpTime,$L1731)="","—",LEFT(INDEX(ExpTime,$L1731),2)&amp;":"&amp;RIGHT(INDEX(ExpTime,$L1731),2)))</f>
        <v/>
      </c>
      <c r="D1731" s="17">
        <f>IF($L1731="","",IF(INDEX(ExpBank,$L1731)="","—",INDEX(ExpBank,$L1731)))</f>
        <v/>
      </c>
      <c r="E1731" s="18">
        <f>IF($L1731="","",IF(INDEX(ExpParty,$L1731)="","—",IFERROR(VLOOKUP(INDEX(ExpParty,$L1731),AcctTbl,4,0),INDEX(ExpParty,$L1731))))</f>
        <v/>
      </c>
      <c r="F1731" s="17">
        <f>IF($L1731="","",IF(INDEX(ExpType,$L1731)="","—",INDEX(ExpType,$L1731)))</f>
        <v/>
      </c>
      <c r="G1731" s="19">
        <f>IF($L1731="","",IF(INDEX(ExpDep,$L1731)=0,"",INDEX(ExpDep,$L1731)))</f>
        <v/>
      </c>
      <c r="H1731" s="19">
        <f>IF($L1731="","",IF(INDEX(ExpWit,$L1731)=0,"",INDEX(ExpWit,$L1731)))</f>
        <v/>
      </c>
      <c r="I1731" s="20">
        <f>IF($B1731="","",IF($I1730="",0,$I1730)+IF($H1731="",0,$H1731)-IF($G1731="",0,$G1731))</f>
        <v/>
      </c>
      <c r="J1731" s="18">
        <f>IF($L1731="","",IF(INDEX(ExpNote,$L1731)="","—",INDEX(ExpNote,$L1731)))</f>
        <v/>
      </c>
      <c r="L1731">
        <f>IFERROR(MATCH($C$5&amp;"|"&amp;RIGHT("000000"&amp;1715,6),ExpRankKey,0),"")</f>
        <v/>
      </c>
    </row>
    <row r="1732">
      <c r="A1732" s="21" t="n">
        <v>1716</v>
      </c>
      <c r="B1732" s="22">
        <f>IF($L1732="","",INDEX(ExpNorm,$L1732))</f>
        <v/>
      </c>
      <c r="C1732" s="22">
        <f>IF($L1732="","",IF(INDEX(ExpTime,$L1732)="","—",LEFT(INDEX(ExpTime,$L1732),2)&amp;":"&amp;RIGHT(INDEX(ExpTime,$L1732),2)))</f>
        <v/>
      </c>
      <c r="D1732" s="22">
        <f>IF($L1732="","",IF(INDEX(ExpBank,$L1732)="","—",INDEX(ExpBank,$L1732)))</f>
        <v/>
      </c>
      <c r="E1732" s="23">
        <f>IF($L1732="","",IF(INDEX(ExpParty,$L1732)="","—",IFERROR(VLOOKUP(INDEX(ExpParty,$L1732),AcctTbl,4,0),INDEX(ExpParty,$L1732))))</f>
        <v/>
      </c>
      <c r="F1732" s="22">
        <f>IF($L1732="","",IF(INDEX(ExpType,$L1732)="","—",INDEX(ExpType,$L1732)))</f>
        <v/>
      </c>
      <c r="G1732" s="24">
        <f>IF($L1732="","",IF(INDEX(ExpDep,$L1732)=0,"",INDEX(ExpDep,$L1732)))</f>
        <v/>
      </c>
      <c r="H1732" s="24">
        <f>IF($L1732="","",IF(INDEX(ExpWit,$L1732)=0,"",INDEX(ExpWit,$L1732)))</f>
        <v/>
      </c>
      <c r="I1732" s="25">
        <f>IF($B1732="","",IF($I1731="",0,$I1731)+IF($H1732="",0,$H1732)-IF($G1732="",0,$G1732))</f>
        <v/>
      </c>
      <c r="J1732" s="23">
        <f>IF($L1732="","",IF(INDEX(ExpNote,$L1732)="","—",INDEX(ExpNote,$L1732)))</f>
        <v/>
      </c>
      <c r="L1732">
        <f>IFERROR(MATCH($C$5&amp;"|"&amp;RIGHT("000000"&amp;1716,6),ExpRankKey,0),"")</f>
        <v/>
      </c>
    </row>
    <row r="1733">
      <c r="A1733" s="16" t="n">
        <v>1717</v>
      </c>
      <c r="B1733" s="17">
        <f>IF($L1733="","",INDEX(ExpNorm,$L1733))</f>
        <v/>
      </c>
      <c r="C1733" s="17">
        <f>IF($L1733="","",IF(INDEX(ExpTime,$L1733)="","—",LEFT(INDEX(ExpTime,$L1733),2)&amp;":"&amp;RIGHT(INDEX(ExpTime,$L1733),2)))</f>
        <v/>
      </c>
      <c r="D1733" s="17">
        <f>IF($L1733="","",IF(INDEX(ExpBank,$L1733)="","—",INDEX(ExpBank,$L1733)))</f>
        <v/>
      </c>
      <c r="E1733" s="18">
        <f>IF($L1733="","",IF(INDEX(ExpParty,$L1733)="","—",IFERROR(VLOOKUP(INDEX(ExpParty,$L1733),AcctTbl,4,0),INDEX(ExpParty,$L1733))))</f>
        <v/>
      </c>
      <c r="F1733" s="17">
        <f>IF($L1733="","",IF(INDEX(ExpType,$L1733)="","—",INDEX(ExpType,$L1733)))</f>
        <v/>
      </c>
      <c r="G1733" s="19">
        <f>IF($L1733="","",IF(INDEX(ExpDep,$L1733)=0,"",INDEX(ExpDep,$L1733)))</f>
        <v/>
      </c>
      <c r="H1733" s="19">
        <f>IF($L1733="","",IF(INDEX(ExpWit,$L1733)=0,"",INDEX(ExpWit,$L1733)))</f>
        <v/>
      </c>
      <c r="I1733" s="20">
        <f>IF($B1733="","",IF($I1732="",0,$I1732)+IF($H1733="",0,$H1733)-IF($G1733="",0,$G1733))</f>
        <v/>
      </c>
      <c r="J1733" s="18">
        <f>IF($L1733="","",IF(INDEX(ExpNote,$L1733)="","—",INDEX(ExpNote,$L1733)))</f>
        <v/>
      </c>
      <c r="L1733">
        <f>IFERROR(MATCH($C$5&amp;"|"&amp;RIGHT("000000"&amp;1717,6),ExpRankKey,0),"")</f>
        <v/>
      </c>
    </row>
    <row r="1734">
      <c r="A1734" s="21" t="n">
        <v>1718</v>
      </c>
      <c r="B1734" s="22">
        <f>IF($L1734="","",INDEX(ExpNorm,$L1734))</f>
        <v/>
      </c>
      <c r="C1734" s="22">
        <f>IF($L1734="","",IF(INDEX(ExpTime,$L1734)="","—",LEFT(INDEX(ExpTime,$L1734),2)&amp;":"&amp;RIGHT(INDEX(ExpTime,$L1734),2)))</f>
        <v/>
      </c>
      <c r="D1734" s="22">
        <f>IF($L1734="","",IF(INDEX(ExpBank,$L1734)="","—",INDEX(ExpBank,$L1734)))</f>
        <v/>
      </c>
      <c r="E1734" s="23">
        <f>IF($L1734="","",IF(INDEX(ExpParty,$L1734)="","—",IFERROR(VLOOKUP(INDEX(ExpParty,$L1734),AcctTbl,4,0),INDEX(ExpParty,$L1734))))</f>
        <v/>
      </c>
      <c r="F1734" s="22">
        <f>IF($L1734="","",IF(INDEX(ExpType,$L1734)="","—",INDEX(ExpType,$L1734)))</f>
        <v/>
      </c>
      <c r="G1734" s="24">
        <f>IF($L1734="","",IF(INDEX(ExpDep,$L1734)=0,"",INDEX(ExpDep,$L1734)))</f>
        <v/>
      </c>
      <c r="H1734" s="24">
        <f>IF($L1734="","",IF(INDEX(ExpWit,$L1734)=0,"",INDEX(ExpWit,$L1734)))</f>
        <v/>
      </c>
      <c r="I1734" s="25">
        <f>IF($B1734="","",IF($I1733="",0,$I1733)+IF($H1734="",0,$H1734)-IF($G1734="",0,$G1734))</f>
        <v/>
      </c>
      <c r="J1734" s="23">
        <f>IF($L1734="","",IF(INDEX(ExpNote,$L1734)="","—",INDEX(ExpNote,$L1734)))</f>
        <v/>
      </c>
      <c r="L1734">
        <f>IFERROR(MATCH($C$5&amp;"|"&amp;RIGHT("000000"&amp;1718,6),ExpRankKey,0),"")</f>
        <v/>
      </c>
    </row>
    <row r="1735">
      <c r="A1735" s="16" t="n">
        <v>1719</v>
      </c>
      <c r="B1735" s="17">
        <f>IF($L1735="","",INDEX(ExpNorm,$L1735))</f>
        <v/>
      </c>
      <c r="C1735" s="17">
        <f>IF($L1735="","",IF(INDEX(ExpTime,$L1735)="","—",LEFT(INDEX(ExpTime,$L1735),2)&amp;":"&amp;RIGHT(INDEX(ExpTime,$L1735),2)))</f>
        <v/>
      </c>
      <c r="D1735" s="17">
        <f>IF($L1735="","",IF(INDEX(ExpBank,$L1735)="","—",INDEX(ExpBank,$L1735)))</f>
        <v/>
      </c>
      <c r="E1735" s="18">
        <f>IF($L1735="","",IF(INDEX(ExpParty,$L1735)="","—",IFERROR(VLOOKUP(INDEX(ExpParty,$L1735),AcctTbl,4,0),INDEX(ExpParty,$L1735))))</f>
        <v/>
      </c>
      <c r="F1735" s="17">
        <f>IF($L1735="","",IF(INDEX(ExpType,$L1735)="","—",INDEX(ExpType,$L1735)))</f>
        <v/>
      </c>
      <c r="G1735" s="19">
        <f>IF($L1735="","",IF(INDEX(ExpDep,$L1735)=0,"",INDEX(ExpDep,$L1735)))</f>
        <v/>
      </c>
      <c r="H1735" s="19">
        <f>IF($L1735="","",IF(INDEX(ExpWit,$L1735)=0,"",INDEX(ExpWit,$L1735)))</f>
        <v/>
      </c>
      <c r="I1735" s="20">
        <f>IF($B1735="","",IF($I1734="",0,$I1734)+IF($H1735="",0,$H1735)-IF($G1735="",0,$G1735))</f>
        <v/>
      </c>
      <c r="J1735" s="18">
        <f>IF($L1735="","",IF(INDEX(ExpNote,$L1735)="","—",INDEX(ExpNote,$L1735)))</f>
        <v/>
      </c>
      <c r="L1735">
        <f>IFERROR(MATCH($C$5&amp;"|"&amp;RIGHT("000000"&amp;1719,6),ExpRankKey,0),"")</f>
        <v/>
      </c>
    </row>
    <row r="1736">
      <c r="A1736" s="21" t="n">
        <v>1720</v>
      </c>
      <c r="B1736" s="22">
        <f>IF($L1736="","",INDEX(ExpNorm,$L1736))</f>
        <v/>
      </c>
      <c r="C1736" s="22">
        <f>IF($L1736="","",IF(INDEX(ExpTime,$L1736)="","—",LEFT(INDEX(ExpTime,$L1736),2)&amp;":"&amp;RIGHT(INDEX(ExpTime,$L1736),2)))</f>
        <v/>
      </c>
      <c r="D1736" s="22">
        <f>IF($L1736="","",IF(INDEX(ExpBank,$L1736)="","—",INDEX(ExpBank,$L1736)))</f>
        <v/>
      </c>
      <c r="E1736" s="23">
        <f>IF($L1736="","",IF(INDEX(ExpParty,$L1736)="","—",IFERROR(VLOOKUP(INDEX(ExpParty,$L1736),AcctTbl,4,0),INDEX(ExpParty,$L1736))))</f>
        <v/>
      </c>
      <c r="F1736" s="22">
        <f>IF($L1736="","",IF(INDEX(ExpType,$L1736)="","—",INDEX(ExpType,$L1736)))</f>
        <v/>
      </c>
      <c r="G1736" s="24">
        <f>IF($L1736="","",IF(INDEX(ExpDep,$L1736)=0,"",INDEX(ExpDep,$L1736)))</f>
        <v/>
      </c>
      <c r="H1736" s="24">
        <f>IF($L1736="","",IF(INDEX(ExpWit,$L1736)=0,"",INDEX(ExpWit,$L1736)))</f>
        <v/>
      </c>
      <c r="I1736" s="25">
        <f>IF($B1736="","",IF($I1735="",0,$I1735)+IF($H1736="",0,$H1736)-IF($G1736="",0,$G1736))</f>
        <v/>
      </c>
      <c r="J1736" s="23">
        <f>IF($L1736="","",IF(INDEX(ExpNote,$L1736)="","—",INDEX(ExpNote,$L1736)))</f>
        <v/>
      </c>
      <c r="L1736">
        <f>IFERROR(MATCH($C$5&amp;"|"&amp;RIGHT("000000"&amp;1720,6),ExpRankKey,0),"")</f>
        <v/>
      </c>
    </row>
    <row r="1737">
      <c r="A1737" s="16" t="n">
        <v>1721</v>
      </c>
      <c r="B1737" s="17">
        <f>IF($L1737="","",INDEX(ExpNorm,$L1737))</f>
        <v/>
      </c>
      <c r="C1737" s="17">
        <f>IF($L1737="","",IF(INDEX(ExpTime,$L1737)="","—",LEFT(INDEX(ExpTime,$L1737),2)&amp;":"&amp;RIGHT(INDEX(ExpTime,$L1737),2)))</f>
        <v/>
      </c>
      <c r="D1737" s="17">
        <f>IF($L1737="","",IF(INDEX(ExpBank,$L1737)="","—",INDEX(ExpBank,$L1737)))</f>
        <v/>
      </c>
      <c r="E1737" s="18">
        <f>IF($L1737="","",IF(INDEX(ExpParty,$L1737)="","—",IFERROR(VLOOKUP(INDEX(ExpParty,$L1737),AcctTbl,4,0),INDEX(ExpParty,$L1737))))</f>
        <v/>
      </c>
      <c r="F1737" s="17">
        <f>IF($L1737="","",IF(INDEX(ExpType,$L1737)="","—",INDEX(ExpType,$L1737)))</f>
        <v/>
      </c>
      <c r="G1737" s="19">
        <f>IF($L1737="","",IF(INDEX(ExpDep,$L1737)=0,"",INDEX(ExpDep,$L1737)))</f>
        <v/>
      </c>
      <c r="H1737" s="19">
        <f>IF($L1737="","",IF(INDEX(ExpWit,$L1737)=0,"",INDEX(ExpWit,$L1737)))</f>
        <v/>
      </c>
      <c r="I1737" s="20">
        <f>IF($B1737="","",IF($I1736="",0,$I1736)+IF($H1737="",0,$H1737)-IF($G1737="",0,$G1737))</f>
        <v/>
      </c>
      <c r="J1737" s="18">
        <f>IF($L1737="","",IF(INDEX(ExpNote,$L1737)="","—",INDEX(ExpNote,$L1737)))</f>
        <v/>
      </c>
      <c r="L1737">
        <f>IFERROR(MATCH($C$5&amp;"|"&amp;RIGHT("000000"&amp;1721,6),ExpRankKey,0),"")</f>
        <v/>
      </c>
    </row>
    <row r="1738">
      <c r="A1738" s="21" t="n">
        <v>1722</v>
      </c>
      <c r="B1738" s="22">
        <f>IF($L1738="","",INDEX(ExpNorm,$L1738))</f>
        <v/>
      </c>
      <c r="C1738" s="22">
        <f>IF($L1738="","",IF(INDEX(ExpTime,$L1738)="","—",LEFT(INDEX(ExpTime,$L1738),2)&amp;":"&amp;RIGHT(INDEX(ExpTime,$L1738),2)))</f>
        <v/>
      </c>
      <c r="D1738" s="22">
        <f>IF($L1738="","",IF(INDEX(ExpBank,$L1738)="","—",INDEX(ExpBank,$L1738)))</f>
        <v/>
      </c>
      <c r="E1738" s="23">
        <f>IF($L1738="","",IF(INDEX(ExpParty,$L1738)="","—",IFERROR(VLOOKUP(INDEX(ExpParty,$L1738),AcctTbl,4,0),INDEX(ExpParty,$L1738))))</f>
        <v/>
      </c>
      <c r="F1738" s="22">
        <f>IF($L1738="","",IF(INDEX(ExpType,$L1738)="","—",INDEX(ExpType,$L1738)))</f>
        <v/>
      </c>
      <c r="G1738" s="24">
        <f>IF($L1738="","",IF(INDEX(ExpDep,$L1738)=0,"",INDEX(ExpDep,$L1738)))</f>
        <v/>
      </c>
      <c r="H1738" s="24">
        <f>IF($L1738="","",IF(INDEX(ExpWit,$L1738)=0,"",INDEX(ExpWit,$L1738)))</f>
        <v/>
      </c>
      <c r="I1738" s="25">
        <f>IF($B1738="","",IF($I1737="",0,$I1737)+IF($H1738="",0,$H1738)-IF($G1738="",0,$G1738))</f>
        <v/>
      </c>
      <c r="J1738" s="23">
        <f>IF($L1738="","",IF(INDEX(ExpNote,$L1738)="","—",INDEX(ExpNote,$L1738)))</f>
        <v/>
      </c>
      <c r="L1738">
        <f>IFERROR(MATCH($C$5&amp;"|"&amp;RIGHT("000000"&amp;1722,6),ExpRankKey,0),"")</f>
        <v/>
      </c>
    </row>
    <row r="1739">
      <c r="A1739" s="16" t="n">
        <v>1723</v>
      </c>
      <c r="B1739" s="17">
        <f>IF($L1739="","",INDEX(ExpNorm,$L1739))</f>
        <v/>
      </c>
      <c r="C1739" s="17">
        <f>IF($L1739="","",IF(INDEX(ExpTime,$L1739)="","—",LEFT(INDEX(ExpTime,$L1739),2)&amp;":"&amp;RIGHT(INDEX(ExpTime,$L1739),2)))</f>
        <v/>
      </c>
      <c r="D1739" s="17">
        <f>IF($L1739="","",IF(INDEX(ExpBank,$L1739)="","—",INDEX(ExpBank,$L1739)))</f>
        <v/>
      </c>
      <c r="E1739" s="18">
        <f>IF($L1739="","",IF(INDEX(ExpParty,$L1739)="","—",IFERROR(VLOOKUP(INDEX(ExpParty,$L1739),AcctTbl,4,0),INDEX(ExpParty,$L1739))))</f>
        <v/>
      </c>
      <c r="F1739" s="17">
        <f>IF($L1739="","",IF(INDEX(ExpType,$L1739)="","—",INDEX(ExpType,$L1739)))</f>
        <v/>
      </c>
      <c r="G1739" s="19">
        <f>IF($L1739="","",IF(INDEX(ExpDep,$L1739)=0,"",INDEX(ExpDep,$L1739)))</f>
        <v/>
      </c>
      <c r="H1739" s="19">
        <f>IF($L1739="","",IF(INDEX(ExpWit,$L1739)=0,"",INDEX(ExpWit,$L1739)))</f>
        <v/>
      </c>
      <c r="I1739" s="20">
        <f>IF($B1739="","",IF($I1738="",0,$I1738)+IF($H1739="",0,$H1739)-IF($G1739="",0,$G1739))</f>
        <v/>
      </c>
      <c r="J1739" s="18">
        <f>IF($L1739="","",IF(INDEX(ExpNote,$L1739)="","—",INDEX(ExpNote,$L1739)))</f>
        <v/>
      </c>
      <c r="L1739">
        <f>IFERROR(MATCH($C$5&amp;"|"&amp;RIGHT("000000"&amp;1723,6),ExpRankKey,0),"")</f>
        <v/>
      </c>
    </row>
    <row r="1740">
      <c r="A1740" s="21" t="n">
        <v>1724</v>
      </c>
      <c r="B1740" s="22">
        <f>IF($L1740="","",INDEX(ExpNorm,$L1740))</f>
        <v/>
      </c>
      <c r="C1740" s="22">
        <f>IF($L1740="","",IF(INDEX(ExpTime,$L1740)="","—",LEFT(INDEX(ExpTime,$L1740),2)&amp;":"&amp;RIGHT(INDEX(ExpTime,$L1740),2)))</f>
        <v/>
      </c>
      <c r="D1740" s="22">
        <f>IF($L1740="","",IF(INDEX(ExpBank,$L1740)="","—",INDEX(ExpBank,$L1740)))</f>
        <v/>
      </c>
      <c r="E1740" s="23">
        <f>IF($L1740="","",IF(INDEX(ExpParty,$L1740)="","—",IFERROR(VLOOKUP(INDEX(ExpParty,$L1740),AcctTbl,4,0),INDEX(ExpParty,$L1740))))</f>
        <v/>
      </c>
      <c r="F1740" s="22">
        <f>IF($L1740="","",IF(INDEX(ExpType,$L1740)="","—",INDEX(ExpType,$L1740)))</f>
        <v/>
      </c>
      <c r="G1740" s="24">
        <f>IF($L1740="","",IF(INDEX(ExpDep,$L1740)=0,"",INDEX(ExpDep,$L1740)))</f>
        <v/>
      </c>
      <c r="H1740" s="24">
        <f>IF($L1740="","",IF(INDEX(ExpWit,$L1740)=0,"",INDEX(ExpWit,$L1740)))</f>
        <v/>
      </c>
      <c r="I1740" s="25">
        <f>IF($B1740="","",IF($I1739="",0,$I1739)+IF($H1740="",0,$H1740)-IF($G1740="",0,$G1740))</f>
        <v/>
      </c>
      <c r="J1740" s="23">
        <f>IF($L1740="","",IF(INDEX(ExpNote,$L1740)="","—",INDEX(ExpNote,$L1740)))</f>
        <v/>
      </c>
      <c r="L1740">
        <f>IFERROR(MATCH($C$5&amp;"|"&amp;RIGHT("000000"&amp;1724,6),ExpRankKey,0),"")</f>
        <v/>
      </c>
    </row>
    <row r="1741">
      <c r="A1741" s="16" t="n">
        <v>1725</v>
      </c>
      <c r="B1741" s="17">
        <f>IF($L1741="","",INDEX(ExpNorm,$L1741))</f>
        <v/>
      </c>
      <c r="C1741" s="17">
        <f>IF($L1741="","",IF(INDEX(ExpTime,$L1741)="","—",LEFT(INDEX(ExpTime,$L1741),2)&amp;":"&amp;RIGHT(INDEX(ExpTime,$L1741),2)))</f>
        <v/>
      </c>
      <c r="D1741" s="17">
        <f>IF($L1741="","",IF(INDEX(ExpBank,$L1741)="","—",INDEX(ExpBank,$L1741)))</f>
        <v/>
      </c>
      <c r="E1741" s="18">
        <f>IF($L1741="","",IF(INDEX(ExpParty,$L1741)="","—",IFERROR(VLOOKUP(INDEX(ExpParty,$L1741),AcctTbl,4,0),INDEX(ExpParty,$L1741))))</f>
        <v/>
      </c>
      <c r="F1741" s="17">
        <f>IF($L1741="","",IF(INDEX(ExpType,$L1741)="","—",INDEX(ExpType,$L1741)))</f>
        <v/>
      </c>
      <c r="G1741" s="19">
        <f>IF($L1741="","",IF(INDEX(ExpDep,$L1741)=0,"",INDEX(ExpDep,$L1741)))</f>
        <v/>
      </c>
      <c r="H1741" s="19">
        <f>IF($L1741="","",IF(INDEX(ExpWit,$L1741)=0,"",INDEX(ExpWit,$L1741)))</f>
        <v/>
      </c>
      <c r="I1741" s="20">
        <f>IF($B1741="","",IF($I1740="",0,$I1740)+IF($H1741="",0,$H1741)-IF($G1741="",0,$G1741))</f>
        <v/>
      </c>
      <c r="J1741" s="18">
        <f>IF($L1741="","",IF(INDEX(ExpNote,$L1741)="","—",INDEX(ExpNote,$L1741)))</f>
        <v/>
      </c>
      <c r="L1741">
        <f>IFERROR(MATCH($C$5&amp;"|"&amp;RIGHT("000000"&amp;1725,6),ExpRankKey,0),"")</f>
        <v/>
      </c>
    </row>
    <row r="1742">
      <c r="A1742" s="21" t="n">
        <v>1726</v>
      </c>
      <c r="B1742" s="22">
        <f>IF($L1742="","",INDEX(ExpNorm,$L1742))</f>
        <v/>
      </c>
      <c r="C1742" s="22">
        <f>IF($L1742="","",IF(INDEX(ExpTime,$L1742)="","—",LEFT(INDEX(ExpTime,$L1742),2)&amp;":"&amp;RIGHT(INDEX(ExpTime,$L1742),2)))</f>
        <v/>
      </c>
      <c r="D1742" s="22">
        <f>IF($L1742="","",IF(INDEX(ExpBank,$L1742)="","—",INDEX(ExpBank,$L1742)))</f>
        <v/>
      </c>
      <c r="E1742" s="23">
        <f>IF($L1742="","",IF(INDEX(ExpParty,$L1742)="","—",IFERROR(VLOOKUP(INDEX(ExpParty,$L1742),AcctTbl,4,0),INDEX(ExpParty,$L1742))))</f>
        <v/>
      </c>
      <c r="F1742" s="22">
        <f>IF($L1742="","",IF(INDEX(ExpType,$L1742)="","—",INDEX(ExpType,$L1742)))</f>
        <v/>
      </c>
      <c r="G1742" s="24">
        <f>IF($L1742="","",IF(INDEX(ExpDep,$L1742)=0,"",INDEX(ExpDep,$L1742)))</f>
        <v/>
      </c>
      <c r="H1742" s="24">
        <f>IF($L1742="","",IF(INDEX(ExpWit,$L1742)=0,"",INDEX(ExpWit,$L1742)))</f>
        <v/>
      </c>
      <c r="I1742" s="25">
        <f>IF($B1742="","",IF($I1741="",0,$I1741)+IF($H1742="",0,$H1742)-IF($G1742="",0,$G1742))</f>
        <v/>
      </c>
      <c r="J1742" s="23">
        <f>IF($L1742="","",IF(INDEX(ExpNote,$L1742)="","—",INDEX(ExpNote,$L1742)))</f>
        <v/>
      </c>
      <c r="L1742">
        <f>IFERROR(MATCH($C$5&amp;"|"&amp;RIGHT("000000"&amp;1726,6),ExpRankKey,0),"")</f>
        <v/>
      </c>
    </row>
    <row r="1743">
      <c r="A1743" s="16" t="n">
        <v>1727</v>
      </c>
      <c r="B1743" s="17">
        <f>IF($L1743="","",INDEX(ExpNorm,$L1743))</f>
        <v/>
      </c>
      <c r="C1743" s="17">
        <f>IF($L1743="","",IF(INDEX(ExpTime,$L1743)="","—",LEFT(INDEX(ExpTime,$L1743),2)&amp;":"&amp;RIGHT(INDEX(ExpTime,$L1743),2)))</f>
        <v/>
      </c>
      <c r="D1743" s="17">
        <f>IF($L1743="","",IF(INDEX(ExpBank,$L1743)="","—",INDEX(ExpBank,$L1743)))</f>
        <v/>
      </c>
      <c r="E1743" s="18">
        <f>IF($L1743="","",IF(INDEX(ExpParty,$L1743)="","—",IFERROR(VLOOKUP(INDEX(ExpParty,$L1743),AcctTbl,4,0),INDEX(ExpParty,$L1743))))</f>
        <v/>
      </c>
      <c r="F1743" s="17">
        <f>IF($L1743="","",IF(INDEX(ExpType,$L1743)="","—",INDEX(ExpType,$L1743)))</f>
        <v/>
      </c>
      <c r="G1743" s="19">
        <f>IF($L1743="","",IF(INDEX(ExpDep,$L1743)=0,"",INDEX(ExpDep,$L1743)))</f>
        <v/>
      </c>
      <c r="H1743" s="19">
        <f>IF($L1743="","",IF(INDEX(ExpWit,$L1743)=0,"",INDEX(ExpWit,$L1743)))</f>
        <v/>
      </c>
      <c r="I1743" s="20">
        <f>IF($B1743="","",IF($I1742="",0,$I1742)+IF($H1743="",0,$H1743)-IF($G1743="",0,$G1743))</f>
        <v/>
      </c>
      <c r="J1743" s="18">
        <f>IF($L1743="","",IF(INDEX(ExpNote,$L1743)="","—",INDEX(ExpNote,$L1743)))</f>
        <v/>
      </c>
      <c r="L1743">
        <f>IFERROR(MATCH($C$5&amp;"|"&amp;RIGHT("000000"&amp;1727,6),ExpRankKey,0),"")</f>
        <v/>
      </c>
    </row>
    <row r="1744">
      <c r="A1744" s="21" t="n">
        <v>1728</v>
      </c>
      <c r="B1744" s="22">
        <f>IF($L1744="","",INDEX(ExpNorm,$L1744))</f>
        <v/>
      </c>
      <c r="C1744" s="22">
        <f>IF($L1744="","",IF(INDEX(ExpTime,$L1744)="","—",LEFT(INDEX(ExpTime,$L1744),2)&amp;":"&amp;RIGHT(INDEX(ExpTime,$L1744),2)))</f>
        <v/>
      </c>
      <c r="D1744" s="22">
        <f>IF($L1744="","",IF(INDEX(ExpBank,$L1744)="","—",INDEX(ExpBank,$L1744)))</f>
        <v/>
      </c>
      <c r="E1744" s="23">
        <f>IF($L1744="","",IF(INDEX(ExpParty,$L1744)="","—",IFERROR(VLOOKUP(INDEX(ExpParty,$L1744),AcctTbl,4,0),INDEX(ExpParty,$L1744))))</f>
        <v/>
      </c>
      <c r="F1744" s="22">
        <f>IF($L1744="","",IF(INDEX(ExpType,$L1744)="","—",INDEX(ExpType,$L1744)))</f>
        <v/>
      </c>
      <c r="G1744" s="24">
        <f>IF($L1744="","",IF(INDEX(ExpDep,$L1744)=0,"",INDEX(ExpDep,$L1744)))</f>
        <v/>
      </c>
      <c r="H1744" s="24">
        <f>IF($L1744="","",IF(INDEX(ExpWit,$L1744)=0,"",INDEX(ExpWit,$L1744)))</f>
        <v/>
      </c>
      <c r="I1744" s="25">
        <f>IF($B1744="","",IF($I1743="",0,$I1743)+IF($H1744="",0,$H1744)-IF($G1744="",0,$G1744))</f>
        <v/>
      </c>
      <c r="J1744" s="23">
        <f>IF($L1744="","",IF(INDEX(ExpNote,$L1744)="","—",INDEX(ExpNote,$L1744)))</f>
        <v/>
      </c>
      <c r="L1744">
        <f>IFERROR(MATCH($C$5&amp;"|"&amp;RIGHT("000000"&amp;1728,6),ExpRankKey,0),"")</f>
        <v/>
      </c>
    </row>
    <row r="1745">
      <c r="A1745" s="16" t="n">
        <v>1729</v>
      </c>
      <c r="B1745" s="17">
        <f>IF($L1745="","",INDEX(ExpNorm,$L1745))</f>
        <v/>
      </c>
      <c r="C1745" s="17">
        <f>IF($L1745="","",IF(INDEX(ExpTime,$L1745)="","—",LEFT(INDEX(ExpTime,$L1745),2)&amp;":"&amp;RIGHT(INDEX(ExpTime,$L1745),2)))</f>
        <v/>
      </c>
      <c r="D1745" s="17">
        <f>IF($L1745="","",IF(INDEX(ExpBank,$L1745)="","—",INDEX(ExpBank,$L1745)))</f>
        <v/>
      </c>
      <c r="E1745" s="18">
        <f>IF($L1745="","",IF(INDEX(ExpParty,$L1745)="","—",IFERROR(VLOOKUP(INDEX(ExpParty,$L1745),AcctTbl,4,0),INDEX(ExpParty,$L1745))))</f>
        <v/>
      </c>
      <c r="F1745" s="17">
        <f>IF($L1745="","",IF(INDEX(ExpType,$L1745)="","—",INDEX(ExpType,$L1745)))</f>
        <v/>
      </c>
      <c r="G1745" s="19">
        <f>IF($L1745="","",IF(INDEX(ExpDep,$L1745)=0,"",INDEX(ExpDep,$L1745)))</f>
        <v/>
      </c>
      <c r="H1745" s="19">
        <f>IF($L1745="","",IF(INDEX(ExpWit,$L1745)=0,"",INDEX(ExpWit,$L1745)))</f>
        <v/>
      </c>
      <c r="I1745" s="20">
        <f>IF($B1745="","",IF($I1744="",0,$I1744)+IF($H1745="",0,$H1745)-IF($G1745="",0,$G1745))</f>
        <v/>
      </c>
      <c r="J1745" s="18">
        <f>IF($L1745="","",IF(INDEX(ExpNote,$L1745)="","—",INDEX(ExpNote,$L1745)))</f>
        <v/>
      </c>
      <c r="L1745">
        <f>IFERROR(MATCH($C$5&amp;"|"&amp;RIGHT("000000"&amp;1729,6),ExpRankKey,0),"")</f>
        <v/>
      </c>
    </row>
    <row r="1746">
      <c r="A1746" s="21" t="n">
        <v>1730</v>
      </c>
      <c r="B1746" s="22">
        <f>IF($L1746="","",INDEX(ExpNorm,$L1746))</f>
        <v/>
      </c>
      <c r="C1746" s="22">
        <f>IF($L1746="","",IF(INDEX(ExpTime,$L1746)="","—",LEFT(INDEX(ExpTime,$L1746),2)&amp;":"&amp;RIGHT(INDEX(ExpTime,$L1746),2)))</f>
        <v/>
      </c>
      <c r="D1746" s="22">
        <f>IF($L1746="","",IF(INDEX(ExpBank,$L1746)="","—",INDEX(ExpBank,$L1746)))</f>
        <v/>
      </c>
      <c r="E1746" s="23">
        <f>IF($L1746="","",IF(INDEX(ExpParty,$L1746)="","—",IFERROR(VLOOKUP(INDEX(ExpParty,$L1746),AcctTbl,4,0),INDEX(ExpParty,$L1746))))</f>
        <v/>
      </c>
      <c r="F1746" s="22">
        <f>IF($L1746="","",IF(INDEX(ExpType,$L1746)="","—",INDEX(ExpType,$L1746)))</f>
        <v/>
      </c>
      <c r="G1746" s="24">
        <f>IF($L1746="","",IF(INDEX(ExpDep,$L1746)=0,"",INDEX(ExpDep,$L1746)))</f>
        <v/>
      </c>
      <c r="H1746" s="24">
        <f>IF($L1746="","",IF(INDEX(ExpWit,$L1746)=0,"",INDEX(ExpWit,$L1746)))</f>
        <v/>
      </c>
      <c r="I1746" s="25">
        <f>IF($B1746="","",IF($I1745="",0,$I1745)+IF($H1746="",0,$H1746)-IF($G1746="",0,$G1746))</f>
        <v/>
      </c>
      <c r="J1746" s="23">
        <f>IF($L1746="","",IF(INDEX(ExpNote,$L1746)="","—",INDEX(ExpNote,$L1746)))</f>
        <v/>
      </c>
      <c r="L1746">
        <f>IFERROR(MATCH($C$5&amp;"|"&amp;RIGHT("000000"&amp;1730,6),ExpRankKey,0),"")</f>
        <v/>
      </c>
    </row>
    <row r="1747">
      <c r="A1747" s="16" t="n">
        <v>1731</v>
      </c>
      <c r="B1747" s="17">
        <f>IF($L1747="","",INDEX(ExpNorm,$L1747))</f>
        <v/>
      </c>
      <c r="C1747" s="17">
        <f>IF($L1747="","",IF(INDEX(ExpTime,$L1747)="","—",LEFT(INDEX(ExpTime,$L1747),2)&amp;":"&amp;RIGHT(INDEX(ExpTime,$L1747),2)))</f>
        <v/>
      </c>
      <c r="D1747" s="17">
        <f>IF($L1747="","",IF(INDEX(ExpBank,$L1747)="","—",INDEX(ExpBank,$L1747)))</f>
        <v/>
      </c>
      <c r="E1747" s="18">
        <f>IF($L1747="","",IF(INDEX(ExpParty,$L1747)="","—",IFERROR(VLOOKUP(INDEX(ExpParty,$L1747),AcctTbl,4,0),INDEX(ExpParty,$L1747))))</f>
        <v/>
      </c>
      <c r="F1747" s="17">
        <f>IF($L1747="","",IF(INDEX(ExpType,$L1747)="","—",INDEX(ExpType,$L1747)))</f>
        <v/>
      </c>
      <c r="G1747" s="19">
        <f>IF($L1747="","",IF(INDEX(ExpDep,$L1747)=0,"",INDEX(ExpDep,$L1747)))</f>
        <v/>
      </c>
      <c r="H1747" s="19">
        <f>IF($L1747="","",IF(INDEX(ExpWit,$L1747)=0,"",INDEX(ExpWit,$L1747)))</f>
        <v/>
      </c>
      <c r="I1747" s="20">
        <f>IF($B1747="","",IF($I1746="",0,$I1746)+IF($H1747="",0,$H1747)-IF($G1747="",0,$G1747))</f>
        <v/>
      </c>
      <c r="J1747" s="18">
        <f>IF($L1747="","",IF(INDEX(ExpNote,$L1747)="","—",INDEX(ExpNote,$L1747)))</f>
        <v/>
      </c>
      <c r="L1747">
        <f>IFERROR(MATCH($C$5&amp;"|"&amp;RIGHT("000000"&amp;1731,6),ExpRankKey,0),"")</f>
        <v/>
      </c>
    </row>
    <row r="1748">
      <c r="A1748" s="21" t="n">
        <v>1732</v>
      </c>
      <c r="B1748" s="22">
        <f>IF($L1748="","",INDEX(ExpNorm,$L1748))</f>
        <v/>
      </c>
      <c r="C1748" s="22">
        <f>IF($L1748="","",IF(INDEX(ExpTime,$L1748)="","—",LEFT(INDEX(ExpTime,$L1748),2)&amp;":"&amp;RIGHT(INDEX(ExpTime,$L1748),2)))</f>
        <v/>
      </c>
      <c r="D1748" s="22">
        <f>IF($L1748="","",IF(INDEX(ExpBank,$L1748)="","—",INDEX(ExpBank,$L1748)))</f>
        <v/>
      </c>
      <c r="E1748" s="23">
        <f>IF($L1748="","",IF(INDEX(ExpParty,$L1748)="","—",IFERROR(VLOOKUP(INDEX(ExpParty,$L1748),AcctTbl,4,0),INDEX(ExpParty,$L1748))))</f>
        <v/>
      </c>
      <c r="F1748" s="22">
        <f>IF($L1748="","",IF(INDEX(ExpType,$L1748)="","—",INDEX(ExpType,$L1748)))</f>
        <v/>
      </c>
      <c r="G1748" s="24">
        <f>IF($L1748="","",IF(INDEX(ExpDep,$L1748)=0,"",INDEX(ExpDep,$L1748)))</f>
        <v/>
      </c>
      <c r="H1748" s="24">
        <f>IF($L1748="","",IF(INDEX(ExpWit,$L1748)=0,"",INDEX(ExpWit,$L1748)))</f>
        <v/>
      </c>
      <c r="I1748" s="25">
        <f>IF($B1748="","",IF($I1747="",0,$I1747)+IF($H1748="",0,$H1748)-IF($G1748="",0,$G1748))</f>
        <v/>
      </c>
      <c r="J1748" s="23">
        <f>IF($L1748="","",IF(INDEX(ExpNote,$L1748)="","—",INDEX(ExpNote,$L1748)))</f>
        <v/>
      </c>
      <c r="L1748">
        <f>IFERROR(MATCH($C$5&amp;"|"&amp;RIGHT("000000"&amp;1732,6),ExpRankKey,0),"")</f>
        <v/>
      </c>
    </row>
    <row r="1749">
      <c r="A1749" s="16" t="n">
        <v>1733</v>
      </c>
      <c r="B1749" s="17">
        <f>IF($L1749="","",INDEX(ExpNorm,$L1749))</f>
        <v/>
      </c>
      <c r="C1749" s="17">
        <f>IF($L1749="","",IF(INDEX(ExpTime,$L1749)="","—",LEFT(INDEX(ExpTime,$L1749),2)&amp;":"&amp;RIGHT(INDEX(ExpTime,$L1749),2)))</f>
        <v/>
      </c>
      <c r="D1749" s="17">
        <f>IF($L1749="","",IF(INDEX(ExpBank,$L1749)="","—",INDEX(ExpBank,$L1749)))</f>
        <v/>
      </c>
      <c r="E1749" s="18">
        <f>IF($L1749="","",IF(INDEX(ExpParty,$L1749)="","—",IFERROR(VLOOKUP(INDEX(ExpParty,$L1749),AcctTbl,4,0),INDEX(ExpParty,$L1749))))</f>
        <v/>
      </c>
      <c r="F1749" s="17">
        <f>IF($L1749="","",IF(INDEX(ExpType,$L1749)="","—",INDEX(ExpType,$L1749)))</f>
        <v/>
      </c>
      <c r="G1749" s="19">
        <f>IF($L1749="","",IF(INDEX(ExpDep,$L1749)=0,"",INDEX(ExpDep,$L1749)))</f>
        <v/>
      </c>
      <c r="H1749" s="19">
        <f>IF($L1749="","",IF(INDEX(ExpWit,$L1749)=0,"",INDEX(ExpWit,$L1749)))</f>
        <v/>
      </c>
      <c r="I1749" s="20">
        <f>IF($B1749="","",IF($I1748="",0,$I1748)+IF($H1749="",0,$H1749)-IF($G1749="",0,$G1749))</f>
        <v/>
      </c>
      <c r="J1749" s="18">
        <f>IF($L1749="","",IF(INDEX(ExpNote,$L1749)="","—",INDEX(ExpNote,$L1749)))</f>
        <v/>
      </c>
      <c r="L1749">
        <f>IFERROR(MATCH($C$5&amp;"|"&amp;RIGHT("000000"&amp;1733,6),ExpRankKey,0),"")</f>
        <v/>
      </c>
    </row>
    <row r="1750">
      <c r="A1750" s="21" t="n">
        <v>1734</v>
      </c>
      <c r="B1750" s="22">
        <f>IF($L1750="","",INDEX(ExpNorm,$L1750))</f>
        <v/>
      </c>
      <c r="C1750" s="22">
        <f>IF($L1750="","",IF(INDEX(ExpTime,$L1750)="","—",LEFT(INDEX(ExpTime,$L1750),2)&amp;":"&amp;RIGHT(INDEX(ExpTime,$L1750),2)))</f>
        <v/>
      </c>
      <c r="D1750" s="22">
        <f>IF($L1750="","",IF(INDEX(ExpBank,$L1750)="","—",INDEX(ExpBank,$L1750)))</f>
        <v/>
      </c>
      <c r="E1750" s="23">
        <f>IF($L1750="","",IF(INDEX(ExpParty,$L1750)="","—",IFERROR(VLOOKUP(INDEX(ExpParty,$L1750),AcctTbl,4,0),INDEX(ExpParty,$L1750))))</f>
        <v/>
      </c>
      <c r="F1750" s="22">
        <f>IF($L1750="","",IF(INDEX(ExpType,$L1750)="","—",INDEX(ExpType,$L1750)))</f>
        <v/>
      </c>
      <c r="G1750" s="24">
        <f>IF($L1750="","",IF(INDEX(ExpDep,$L1750)=0,"",INDEX(ExpDep,$L1750)))</f>
        <v/>
      </c>
      <c r="H1750" s="24">
        <f>IF($L1750="","",IF(INDEX(ExpWit,$L1750)=0,"",INDEX(ExpWit,$L1750)))</f>
        <v/>
      </c>
      <c r="I1750" s="25">
        <f>IF($B1750="","",IF($I1749="",0,$I1749)+IF($H1750="",0,$H1750)-IF($G1750="",0,$G1750))</f>
        <v/>
      </c>
      <c r="J1750" s="23">
        <f>IF($L1750="","",IF(INDEX(ExpNote,$L1750)="","—",INDEX(ExpNote,$L1750)))</f>
        <v/>
      </c>
      <c r="L1750">
        <f>IFERROR(MATCH($C$5&amp;"|"&amp;RIGHT("000000"&amp;1734,6),ExpRankKey,0),"")</f>
        <v/>
      </c>
    </row>
    <row r="1751">
      <c r="A1751" s="16" t="n">
        <v>1735</v>
      </c>
      <c r="B1751" s="17">
        <f>IF($L1751="","",INDEX(ExpNorm,$L1751))</f>
        <v/>
      </c>
      <c r="C1751" s="17">
        <f>IF($L1751="","",IF(INDEX(ExpTime,$L1751)="","—",LEFT(INDEX(ExpTime,$L1751),2)&amp;":"&amp;RIGHT(INDEX(ExpTime,$L1751),2)))</f>
        <v/>
      </c>
      <c r="D1751" s="17">
        <f>IF($L1751="","",IF(INDEX(ExpBank,$L1751)="","—",INDEX(ExpBank,$L1751)))</f>
        <v/>
      </c>
      <c r="E1751" s="18">
        <f>IF($L1751="","",IF(INDEX(ExpParty,$L1751)="","—",IFERROR(VLOOKUP(INDEX(ExpParty,$L1751),AcctTbl,4,0),INDEX(ExpParty,$L1751))))</f>
        <v/>
      </c>
      <c r="F1751" s="17">
        <f>IF($L1751="","",IF(INDEX(ExpType,$L1751)="","—",INDEX(ExpType,$L1751)))</f>
        <v/>
      </c>
      <c r="G1751" s="19">
        <f>IF($L1751="","",IF(INDEX(ExpDep,$L1751)=0,"",INDEX(ExpDep,$L1751)))</f>
        <v/>
      </c>
      <c r="H1751" s="19">
        <f>IF($L1751="","",IF(INDEX(ExpWit,$L1751)=0,"",INDEX(ExpWit,$L1751)))</f>
        <v/>
      </c>
      <c r="I1751" s="20">
        <f>IF($B1751="","",IF($I1750="",0,$I1750)+IF($H1751="",0,$H1751)-IF($G1751="",0,$G1751))</f>
        <v/>
      </c>
      <c r="J1751" s="18">
        <f>IF($L1751="","",IF(INDEX(ExpNote,$L1751)="","—",INDEX(ExpNote,$L1751)))</f>
        <v/>
      </c>
      <c r="L1751">
        <f>IFERROR(MATCH($C$5&amp;"|"&amp;RIGHT("000000"&amp;1735,6),ExpRankKey,0),"")</f>
        <v/>
      </c>
    </row>
    <row r="1752">
      <c r="A1752" s="21" t="n">
        <v>1736</v>
      </c>
      <c r="B1752" s="22">
        <f>IF($L1752="","",INDEX(ExpNorm,$L1752))</f>
        <v/>
      </c>
      <c r="C1752" s="22">
        <f>IF($L1752="","",IF(INDEX(ExpTime,$L1752)="","—",LEFT(INDEX(ExpTime,$L1752),2)&amp;":"&amp;RIGHT(INDEX(ExpTime,$L1752),2)))</f>
        <v/>
      </c>
      <c r="D1752" s="22">
        <f>IF($L1752="","",IF(INDEX(ExpBank,$L1752)="","—",INDEX(ExpBank,$L1752)))</f>
        <v/>
      </c>
      <c r="E1752" s="23">
        <f>IF($L1752="","",IF(INDEX(ExpParty,$L1752)="","—",IFERROR(VLOOKUP(INDEX(ExpParty,$L1752),AcctTbl,4,0),INDEX(ExpParty,$L1752))))</f>
        <v/>
      </c>
      <c r="F1752" s="22">
        <f>IF($L1752="","",IF(INDEX(ExpType,$L1752)="","—",INDEX(ExpType,$L1752)))</f>
        <v/>
      </c>
      <c r="G1752" s="24">
        <f>IF($L1752="","",IF(INDEX(ExpDep,$L1752)=0,"",INDEX(ExpDep,$L1752)))</f>
        <v/>
      </c>
      <c r="H1752" s="24">
        <f>IF($L1752="","",IF(INDEX(ExpWit,$L1752)=0,"",INDEX(ExpWit,$L1752)))</f>
        <v/>
      </c>
      <c r="I1752" s="25">
        <f>IF($B1752="","",IF($I1751="",0,$I1751)+IF($H1752="",0,$H1752)-IF($G1752="",0,$G1752))</f>
        <v/>
      </c>
      <c r="J1752" s="23">
        <f>IF($L1752="","",IF(INDEX(ExpNote,$L1752)="","—",INDEX(ExpNote,$L1752)))</f>
        <v/>
      </c>
      <c r="L1752">
        <f>IFERROR(MATCH($C$5&amp;"|"&amp;RIGHT("000000"&amp;1736,6),ExpRankKey,0),"")</f>
        <v/>
      </c>
    </row>
    <row r="1753">
      <c r="A1753" s="16" t="n">
        <v>1737</v>
      </c>
      <c r="B1753" s="17">
        <f>IF($L1753="","",INDEX(ExpNorm,$L1753))</f>
        <v/>
      </c>
      <c r="C1753" s="17">
        <f>IF($L1753="","",IF(INDEX(ExpTime,$L1753)="","—",LEFT(INDEX(ExpTime,$L1753),2)&amp;":"&amp;RIGHT(INDEX(ExpTime,$L1753),2)))</f>
        <v/>
      </c>
      <c r="D1753" s="17">
        <f>IF($L1753="","",IF(INDEX(ExpBank,$L1753)="","—",INDEX(ExpBank,$L1753)))</f>
        <v/>
      </c>
      <c r="E1753" s="18">
        <f>IF($L1753="","",IF(INDEX(ExpParty,$L1753)="","—",IFERROR(VLOOKUP(INDEX(ExpParty,$L1753),AcctTbl,4,0),INDEX(ExpParty,$L1753))))</f>
        <v/>
      </c>
      <c r="F1753" s="17">
        <f>IF($L1753="","",IF(INDEX(ExpType,$L1753)="","—",INDEX(ExpType,$L1753)))</f>
        <v/>
      </c>
      <c r="G1753" s="19">
        <f>IF($L1753="","",IF(INDEX(ExpDep,$L1753)=0,"",INDEX(ExpDep,$L1753)))</f>
        <v/>
      </c>
      <c r="H1753" s="19">
        <f>IF($L1753="","",IF(INDEX(ExpWit,$L1753)=0,"",INDEX(ExpWit,$L1753)))</f>
        <v/>
      </c>
      <c r="I1753" s="20">
        <f>IF($B1753="","",IF($I1752="",0,$I1752)+IF($H1753="",0,$H1753)-IF($G1753="",0,$G1753))</f>
        <v/>
      </c>
      <c r="J1753" s="18">
        <f>IF($L1753="","",IF(INDEX(ExpNote,$L1753)="","—",INDEX(ExpNote,$L1753)))</f>
        <v/>
      </c>
      <c r="L1753">
        <f>IFERROR(MATCH($C$5&amp;"|"&amp;RIGHT("000000"&amp;1737,6),ExpRankKey,0),"")</f>
        <v/>
      </c>
    </row>
    <row r="1754">
      <c r="A1754" s="21" t="n">
        <v>1738</v>
      </c>
      <c r="B1754" s="22">
        <f>IF($L1754="","",INDEX(ExpNorm,$L1754))</f>
        <v/>
      </c>
      <c r="C1754" s="22">
        <f>IF($L1754="","",IF(INDEX(ExpTime,$L1754)="","—",LEFT(INDEX(ExpTime,$L1754),2)&amp;":"&amp;RIGHT(INDEX(ExpTime,$L1754),2)))</f>
        <v/>
      </c>
      <c r="D1754" s="22">
        <f>IF($L1754="","",IF(INDEX(ExpBank,$L1754)="","—",INDEX(ExpBank,$L1754)))</f>
        <v/>
      </c>
      <c r="E1754" s="23">
        <f>IF($L1754="","",IF(INDEX(ExpParty,$L1754)="","—",IFERROR(VLOOKUP(INDEX(ExpParty,$L1754),AcctTbl,4,0),INDEX(ExpParty,$L1754))))</f>
        <v/>
      </c>
      <c r="F1754" s="22">
        <f>IF($L1754="","",IF(INDEX(ExpType,$L1754)="","—",INDEX(ExpType,$L1754)))</f>
        <v/>
      </c>
      <c r="G1754" s="24">
        <f>IF($L1754="","",IF(INDEX(ExpDep,$L1754)=0,"",INDEX(ExpDep,$L1754)))</f>
        <v/>
      </c>
      <c r="H1754" s="24">
        <f>IF($L1754="","",IF(INDEX(ExpWit,$L1754)=0,"",INDEX(ExpWit,$L1754)))</f>
        <v/>
      </c>
      <c r="I1754" s="25">
        <f>IF($B1754="","",IF($I1753="",0,$I1753)+IF($H1754="",0,$H1754)-IF($G1754="",0,$G1754))</f>
        <v/>
      </c>
      <c r="J1754" s="23">
        <f>IF($L1754="","",IF(INDEX(ExpNote,$L1754)="","—",INDEX(ExpNote,$L1754)))</f>
        <v/>
      </c>
      <c r="L1754">
        <f>IFERROR(MATCH($C$5&amp;"|"&amp;RIGHT("000000"&amp;1738,6),ExpRankKey,0),"")</f>
        <v/>
      </c>
    </row>
    <row r="1755">
      <c r="A1755" s="16" t="n">
        <v>1739</v>
      </c>
      <c r="B1755" s="17">
        <f>IF($L1755="","",INDEX(ExpNorm,$L1755))</f>
        <v/>
      </c>
      <c r="C1755" s="17">
        <f>IF($L1755="","",IF(INDEX(ExpTime,$L1755)="","—",LEFT(INDEX(ExpTime,$L1755),2)&amp;":"&amp;RIGHT(INDEX(ExpTime,$L1755),2)))</f>
        <v/>
      </c>
      <c r="D1755" s="17">
        <f>IF($L1755="","",IF(INDEX(ExpBank,$L1755)="","—",INDEX(ExpBank,$L1755)))</f>
        <v/>
      </c>
      <c r="E1755" s="18">
        <f>IF($L1755="","",IF(INDEX(ExpParty,$L1755)="","—",IFERROR(VLOOKUP(INDEX(ExpParty,$L1755),AcctTbl,4,0),INDEX(ExpParty,$L1755))))</f>
        <v/>
      </c>
      <c r="F1755" s="17">
        <f>IF($L1755="","",IF(INDEX(ExpType,$L1755)="","—",INDEX(ExpType,$L1755)))</f>
        <v/>
      </c>
      <c r="G1755" s="19">
        <f>IF($L1755="","",IF(INDEX(ExpDep,$L1755)=0,"",INDEX(ExpDep,$L1755)))</f>
        <v/>
      </c>
      <c r="H1755" s="19">
        <f>IF($L1755="","",IF(INDEX(ExpWit,$L1755)=0,"",INDEX(ExpWit,$L1755)))</f>
        <v/>
      </c>
      <c r="I1755" s="20">
        <f>IF($B1755="","",IF($I1754="",0,$I1754)+IF($H1755="",0,$H1755)-IF($G1755="",0,$G1755))</f>
        <v/>
      </c>
      <c r="J1755" s="18">
        <f>IF($L1755="","",IF(INDEX(ExpNote,$L1755)="","—",INDEX(ExpNote,$L1755)))</f>
        <v/>
      </c>
      <c r="L1755">
        <f>IFERROR(MATCH($C$5&amp;"|"&amp;RIGHT("000000"&amp;1739,6),ExpRankKey,0),"")</f>
        <v/>
      </c>
    </row>
    <row r="1756">
      <c r="A1756" s="21" t="n">
        <v>1740</v>
      </c>
      <c r="B1756" s="22">
        <f>IF($L1756="","",INDEX(ExpNorm,$L1756))</f>
        <v/>
      </c>
      <c r="C1756" s="22">
        <f>IF($L1756="","",IF(INDEX(ExpTime,$L1756)="","—",LEFT(INDEX(ExpTime,$L1756),2)&amp;":"&amp;RIGHT(INDEX(ExpTime,$L1756),2)))</f>
        <v/>
      </c>
      <c r="D1756" s="22">
        <f>IF($L1756="","",IF(INDEX(ExpBank,$L1756)="","—",INDEX(ExpBank,$L1756)))</f>
        <v/>
      </c>
      <c r="E1756" s="23">
        <f>IF($L1756="","",IF(INDEX(ExpParty,$L1756)="","—",IFERROR(VLOOKUP(INDEX(ExpParty,$L1756),AcctTbl,4,0),INDEX(ExpParty,$L1756))))</f>
        <v/>
      </c>
      <c r="F1756" s="22">
        <f>IF($L1756="","",IF(INDEX(ExpType,$L1756)="","—",INDEX(ExpType,$L1756)))</f>
        <v/>
      </c>
      <c r="G1756" s="24">
        <f>IF($L1756="","",IF(INDEX(ExpDep,$L1756)=0,"",INDEX(ExpDep,$L1756)))</f>
        <v/>
      </c>
      <c r="H1756" s="24">
        <f>IF($L1756="","",IF(INDEX(ExpWit,$L1756)=0,"",INDEX(ExpWit,$L1756)))</f>
        <v/>
      </c>
      <c r="I1756" s="25">
        <f>IF($B1756="","",IF($I1755="",0,$I1755)+IF($H1756="",0,$H1756)-IF($G1756="",0,$G1756))</f>
        <v/>
      </c>
      <c r="J1756" s="23">
        <f>IF($L1756="","",IF(INDEX(ExpNote,$L1756)="","—",INDEX(ExpNote,$L1756)))</f>
        <v/>
      </c>
      <c r="L1756">
        <f>IFERROR(MATCH($C$5&amp;"|"&amp;RIGHT("000000"&amp;1740,6),ExpRankKey,0),"")</f>
        <v/>
      </c>
    </row>
    <row r="1757">
      <c r="A1757" s="16" t="n">
        <v>1741</v>
      </c>
      <c r="B1757" s="17">
        <f>IF($L1757="","",INDEX(ExpNorm,$L1757))</f>
        <v/>
      </c>
      <c r="C1757" s="17">
        <f>IF($L1757="","",IF(INDEX(ExpTime,$L1757)="","—",LEFT(INDEX(ExpTime,$L1757),2)&amp;":"&amp;RIGHT(INDEX(ExpTime,$L1757),2)))</f>
        <v/>
      </c>
      <c r="D1757" s="17">
        <f>IF($L1757="","",IF(INDEX(ExpBank,$L1757)="","—",INDEX(ExpBank,$L1757)))</f>
        <v/>
      </c>
      <c r="E1757" s="18">
        <f>IF($L1757="","",IF(INDEX(ExpParty,$L1757)="","—",IFERROR(VLOOKUP(INDEX(ExpParty,$L1757),AcctTbl,4,0),INDEX(ExpParty,$L1757))))</f>
        <v/>
      </c>
      <c r="F1757" s="17">
        <f>IF($L1757="","",IF(INDEX(ExpType,$L1757)="","—",INDEX(ExpType,$L1757)))</f>
        <v/>
      </c>
      <c r="G1757" s="19">
        <f>IF($L1757="","",IF(INDEX(ExpDep,$L1757)=0,"",INDEX(ExpDep,$L1757)))</f>
        <v/>
      </c>
      <c r="H1757" s="19">
        <f>IF($L1757="","",IF(INDEX(ExpWit,$L1757)=0,"",INDEX(ExpWit,$L1757)))</f>
        <v/>
      </c>
      <c r="I1757" s="20">
        <f>IF($B1757="","",IF($I1756="",0,$I1756)+IF($H1757="",0,$H1757)-IF($G1757="",0,$G1757))</f>
        <v/>
      </c>
      <c r="J1757" s="18">
        <f>IF($L1757="","",IF(INDEX(ExpNote,$L1757)="","—",INDEX(ExpNote,$L1757)))</f>
        <v/>
      </c>
      <c r="L1757">
        <f>IFERROR(MATCH($C$5&amp;"|"&amp;RIGHT("000000"&amp;1741,6),ExpRankKey,0),"")</f>
        <v/>
      </c>
    </row>
    <row r="1758">
      <c r="A1758" s="21" t="n">
        <v>1742</v>
      </c>
      <c r="B1758" s="22">
        <f>IF($L1758="","",INDEX(ExpNorm,$L1758))</f>
        <v/>
      </c>
      <c r="C1758" s="22">
        <f>IF($L1758="","",IF(INDEX(ExpTime,$L1758)="","—",LEFT(INDEX(ExpTime,$L1758),2)&amp;":"&amp;RIGHT(INDEX(ExpTime,$L1758),2)))</f>
        <v/>
      </c>
      <c r="D1758" s="22">
        <f>IF($L1758="","",IF(INDEX(ExpBank,$L1758)="","—",INDEX(ExpBank,$L1758)))</f>
        <v/>
      </c>
      <c r="E1758" s="23">
        <f>IF($L1758="","",IF(INDEX(ExpParty,$L1758)="","—",IFERROR(VLOOKUP(INDEX(ExpParty,$L1758),AcctTbl,4,0),INDEX(ExpParty,$L1758))))</f>
        <v/>
      </c>
      <c r="F1758" s="22">
        <f>IF($L1758="","",IF(INDEX(ExpType,$L1758)="","—",INDEX(ExpType,$L1758)))</f>
        <v/>
      </c>
      <c r="G1758" s="24">
        <f>IF($L1758="","",IF(INDEX(ExpDep,$L1758)=0,"",INDEX(ExpDep,$L1758)))</f>
        <v/>
      </c>
      <c r="H1758" s="24">
        <f>IF($L1758="","",IF(INDEX(ExpWit,$L1758)=0,"",INDEX(ExpWit,$L1758)))</f>
        <v/>
      </c>
      <c r="I1758" s="25">
        <f>IF($B1758="","",IF($I1757="",0,$I1757)+IF($H1758="",0,$H1758)-IF($G1758="",0,$G1758))</f>
        <v/>
      </c>
      <c r="J1758" s="23">
        <f>IF($L1758="","",IF(INDEX(ExpNote,$L1758)="","—",INDEX(ExpNote,$L1758)))</f>
        <v/>
      </c>
      <c r="L1758">
        <f>IFERROR(MATCH($C$5&amp;"|"&amp;RIGHT("000000"&amp;1742,6),ExpRankKey,0),"")</f>
        <v/>
      </c>
    </row>
    <row r="1759">
      <c r="A1759" s="16" t="n">
        <v>1743</v>
      </c>
      <c r="B1759" s="17">
        <f>IF($L1759="","",INDEX(ExpNorm,$L1759))</f>
        <v/>
      </c>
      <c r="C1759" s="17">
        <f>IF($L1759="","",IF(INDEX(ExpTime,$L1759)="","—",LEFT(INDEX(ExpTime,$L1759),2)&amp;":"&amp;RIGHT(INDEX(ExpTime,$L1759),2)))</f>
        <v/>
      </c>
      <c r="D1759" s="17">
        <f>IF($L1759="","",IF(INDEX(ExpBank,$L1759)="","—",INDEX(ExpBank,$L1759)))</f>
        <v/>
      </c>
      <c r="E1759" s="18">
        <f>IF($L1759="","",IF(INDEX(ExpParty,$L1759)="","—",IFERROR(VLOOKUP(INDEX(ExpParty,$L1759),AcctTbl,4,0),INDEX(ExpParty,$L1759))))</f>
        <v/>
      </c>
      <c r="F1759" s="17">
        <f>IF($L1759="","",IF(INDEX(ExpType,$L1759)="","—",INDEX(ExpType,$L1759)))</f>
        <v/>
      </c>
      <c r="G1759" s="19">
        <f>IF($L1759="","",IF(INDEX(ExpDep,$L1759)=0,"",INDEX(ExpDep,$L1759)))</f>
        <v/>
      </c>
      <c r="H1759" s="19">
        <f>IF($L1759="","",IF(INDEX(ExpWit,$L1759)=0,"",INDEX(ExpWit,$L1759)))</f>
        <v/>
      </c>
      <c r="I1759" s="20">
        <f>IF($B1759="","",IF($I1758="",0,$I1758)+IF($H1759="",0,$H1759)-IF($G1759="",0,$G1759))</f>
        <v/>
      </c>
      <c r="J1759" s="18">
        <f>IF($L1759="","",IF(INDEX(ExpNote,$L1759)="","—",INDEX(ExpNote,$L1759)))</f>
        <v/>
      </c>
      <c r="L1759">
        <f>IFERROR(MATCH($C$5&amp;"|"&amp;RIGHT("000000"&amp;1743,6),ExpRankKey,0),"")</f>
        <v/>
      </c>
    </row>
    <row r="1760">
      <c r="A1760" s="21" t="n">
        <v>1744</v>
      </c>
      <c r="B1760" s="22">
        <f>IF($L1760="","",INDEX(ExpNorm,$L1760))</f>
        <v/>
      </c>
      <c r="C1760" s="22">
        <f>IF($L1760="","",IF(INDEX(ExpTime,$L1760)="","—",LEFT(INDEX(ExpTime,$L1760),2)&amp;":"&amp;RIGHT(INDEX(ExpTime,$L1760),2)))</f>
        <v/>
      </c>
      <c r="D1760" s="22">
        <f>IF($L1760="","",IF(INDEX(ExpBank,$L1760)="","—",INDEX(ExpBank,$L1760)))</f>
        <v/>
      </c>
      <c r="E1760" s="23">
        <f>IF($L1760="","",IF(INDEX(ExpParty,$L1760)="","—",IFERROR(VLOOKUP(INDEX(ExpParty,$L1760),AcctTbl,4,0),INDEX(ExpParty,$L1760))))</f>
        <v/>
      </c>
      <c r="F1760" s="22">
        <f>IF($L1760="","",IF(INDEX(ExpType,$L1760)="","—",INDEX(ExpType,$L1760)))</f>
        <v/>
      </c>
      <c r="G1760" s="24">
        <f>IF($L1760="","",IF(INDEX(ExpDep,$L1760)=0,"",INDEX(ExpDep,$L1760)))</f>
        <v/>
      </c>
      <c r="H1760" s="24">
        <f>IF($L1760="","",IF(INDEX(ExpWit,$L1760)=0,"",INDEX(ExpWit,$L1760)))</f>
        <v/>
      </c>
      <c r="I1760" s="25">
        <f>IF($B1760="","",IF($I1759="",0,$I1759)+IF($H1760="",0,$H1760)-IF($G1760="",0,$G1760))</f>
        <v/>
      </c>
      <c r="J1760" s="23">
        <f>IF($L1760="","",IF(INDEX(ExpNote,$L1760)="","—",INDEX(ExpNote,$L1760)))</f>
        <v/>
      </c>
      <c r="L1760">
        <f>IFERROR(MATCH($C$5&amp;"|"&amp;RIGHT("000000"&amp;1744,6),ExpRankKey,0),"")</f>
        <v/>
      </c>
    </row>
    <row r="1761">
      <c r="A1761" s="16" t="n">
        <v>1745</v>
      </c>
      <c r="B1761" s="17">
        <f>IF($L1761="","",INDEX(ExpNorm,$L1761))</f>
        <v/>
      </c>
      <c r="C1761" s="17">
        <f>IF($L1761="","",IF(INDEX(ExpTime,$L1761)="","—",LEFT(INDEX(ExpTime,$L1761),2)&amp;":"&amp;RIGHT(INDEX(ExpTime,$L1761),2)))</f>
        <v/>
      </c>
      <c r="D1761" s="17">
        <f>IF($L1761="","",IF(INDEX(ExpBank,$L1761)="","—",INDEX(ExpBank,$L1761)))</f>
        <v/>
      </c>
      <c r="E1761" s="18">
        <f>IF($L1761="","",IF(INDEX(ExpParty,$L1761)="","—",IFERROR(VLOOKUP(INDEX(ExpParty,$L1761),AcctTbl,4,0),INDEX(ExpParty,$L1761))))</f>
        <v/>
      </c>
      <c r="F1761" s="17">
        <f>IF($L1761="","",IF(INDEX(ExpType,$L1761)="","—",INDEX(ExpType,$L1761)))</f>
        <v/>
      </c>
      <c r="G1761" s="19">
        <f>IF($L1761="","",IF(INDEX(ExpDep,$L1761)=0,"",INDEX(ExpDep,$L1761)))</f>
        <v/>
      </c>
      <c r="H1761" s="19">
        <f>IF($L1761="","",IF(INDEX(ExpWit,$L1761)=0,"",INDEX(ExpWit,$L1761)))</f>
        <v/>
      </c>
      <c r="I1761" s="20">
        <f>IF($B1761="","",IF($I1760="",0,$I1760)+IF($H1761="",0,$H1761)-IF($G1761="",0,$G1761))</f>
        <v/>
      </c>
      <c r="J1761" s="18">
        <f>IF($L1761="","",IF(INDEX(ExpNote,$L1761)="","—",INDEX(ExpNote,$L1761)))</f>
        <v/>
      </c>
      <c r="L1761">
        <f>IFERROR(MATCH($C$5&amp;"|"&amp;RIGHT("000000"&amp;1745,6),ExpRankKey,0),"")</f>
        <v/>
      </c>
    </row>
    <row r="1762">
      <c r="A1762" s="21" t="n">
        <v>1746</v>
      </c>
      <c r="B1762" s="22">
        <f>IF($L1762="","",INDEX(ExpNorm,$L1762))</f>
        <v/>
      </c>
      <c r="C1762" s="22">
        <f>IF($L1762="","",IF(INDEX(ExpTime,$L1762)="","—",LEFT(INDEX(ExpTime,$L1762),2)&amp;":"&amp;RIGHT(INDEX(ExpTime,$L1762),2)))</f>
        <v/>
      </c>
      <c r="D1762" s="22">
        <f>IF($L1762="","",IF(INDEX(ExpBank,$L1762)="","—",INDEX(ExpBank,$L1762)))</f>
        <v/>
      </c>
      <c r="E1762" s="23">
        <f>IF($L1762="","",IF(INDEX(ExpParty,$L1762)="","—",IFERROR(VLOOKUP(INDEX(ExpParty,$L1762),AcctTbl,4,0),INDEX(ExpParty,$L1762))))</f>
        <v/>
      </c>
      <c r="F1762" s="22">
        <f>IF($L1762="","",IF(INDEX(ExpType,$L1762)="","—",INDEX(ExpType,$L1762)))</f>
        <v/>
      </c>
      <c r="G1762" s="24">
        <f>IF($L1762="","",IF(INDEX(ExpDep,$L1762)=0,"",INDEX(ExpDep,$L1762)))</f>
        <v/>
      </c>
      <c r="H1762" s="24">
        <f>IF($L1762="","",IF(INDEX(ExpWit,$L1762)=0,"",INDEX(ExpWit,$L1762)))</f>
        <v/>
      </c>
      <c r="I1762" s="25">
        <f>IF($B1762="","",IF($I1761="",0,$I1761)+IF($H1762="",0,$H1762)-IF($G1762="",0,$G1762))</f>
        <v/>
      </c>
      <c r="J1762" s="23">
        <f>IF($L1762="","",IF(INDEX(ExpNote,$L1762)="","—",INDEX(ExpNote,$L1762)))</f>
        <v/>
      </c>
      <c r="L1762">
        <f>IFERROR(MATCH($C$5&amp;"|"&amp;RIGHT("000000"&amp;1746,6),ExpRankKey,0),"")</f>
        <v/>
      </c>
    </row>
    <row r="1763">
      <c r="A1763" s="16" t="n">
        <v>1747</v>
      </c>
      <c r="B1763" s="17">
        <f>IF($L1763="","",INDEX(ExpNorm,$L1763))</f>
        <v/>
      </c>
      <c r="C1763" s="17">
        <f>IF($L1763="","",IF(INDEX(ExpTime,$L1763)="","—",LEFT(INDEX(ExpTime,$L1763),2)&amp;":"&amp;RIGHT(INDEX(ExpTime,$L1763),2)))</f>
        <v/>
      </c>
      <c r="D1763" s="17">
        <f>IF($L1763="","",IF(INDEX(ExpBank,$L1763)="","—",INDEX(ExpBank,$L1763)))</f>
        <v/>
      </c>
      <c r="E1763" s="18">
        <f>IF($L1763="","",IF(INDEX(ExpParty,$L1763)="","—",IFERROR(VLOOKUP(INDEX(ExpParty,$L1763),AcctTbl,4,0),INDEX(ExpParty,$L1763))))</f>
        <v/>
      </c>
      <c r="F1763" s="17">
        <f>IF($L1763="","",IF(INDEX(ExpType,$L1763)="","—",INDEX(ExpType,$L1763)))</f>
        <v/>
      </c>
      <c r="G1763" s="19">
        <f>IF($L1763="","",IF(INDEX(ExpDep,$L1763)=0,"",INDEX(ExpDep,$L1763)))</f>
        <v/>
      </c>
      <c r="H1763" s="19">
        <f>IF($L1763="","",IF(INDEX(ExpWit,$L1763)=0,"",INDEX(ExpWit,$L1763)))</f>
        <v/>
      </c>
      <c r="I1763" s="20">
        <f>IF($B1763="","",IF($I1762="",0,$I1762)+IF($H1763="",0,$H1763)-IF($G1763="",0,$G1763))</f>
        <v/>
      </c>
      <c r="J1763" s="18">
        <f>IF($L1763="","",IF(INDEX(ExpNote,$L1763)="","—",INDEX(ExpNote,$L1763)))</f>
        <v/>
      </c>
      <c r="L1763">
        <f>IFERROR(MATCH($C$5&amp;"|"&amp;RIGHT("000000"&amp;1747,6),ExpRankKey,0),"")</f>
        <v/>
      </c>
    </row>
    <row r="1764">
      <c r="A1764" s="21" t="n">
        <v>1748</v>
      </c>
      <c r="B1764" s="22">
        <f>IF($L1764="","",INDEX(ExpNorm,$L1764))</f>
        <v/>
      </c>
      <c r="C1764" s="22">
        <f>IF($L1764="","",IF(INDEX(ExpTime,$L1764)="","—",LEFT(INDEX(ExpTime,$L1764),2)&amp;":"&amp;RIGHT(INDEX(ExpTime,$L1764),2)))</f>
        <v/>
      </c>
      <c r="D1764" s="22">
        <f>IF($L1764="","",IF(INDEX(ExpBank,$L1764)="","—",INDEX(ExpBank,$L1764)))</f>
        <v/>
      </c>
      <c r="E1764" s="23">
        <f>IF($L1764="","",IF(INDEX(ExpParty,$L1764)="","—",IFERROR(VLOOKUP(INDEX(ExpParty,$L1764),AcctTbl,4,0),INDEX(ExpParty,$L1764))))</f>
        <v/>
      </c>
      <c r="F1764" s="22">
        <f>IF($L1764="","",IF(INDEX(ExpType,$L1764)="","—",INDEX(ExpType,$L1764)))</f>
        <v/>
      </c>
      <c r="G1764" s="24">
        <f>IF($L1764="","",IF(INDEX(ExpDep,$L1764)=0,"",INDEX(ExpDep,$L1764)))</f>
        <v/>
      </c>
      <c r="H1764" s="24">
        <f>IF($L1764="","",IF(INDEX(ExpWit,$L1764)=0,"",INDEX(ExpWit,$L1764)))</f>
        <v/>
      </c>
      <c r="I1764" s="25">
        <f>IF($B1764="","",IF($I1763="",0,$I1763)+IF($H1764="",0,$H1764)-IF($G1764="",0,$G1764))</f>
        <v/>
      </c>
      <c r="J1764" s="23">
        <f>IF($L1764="","",IF(INDEX(ExpNote,$L1764)="","—",INDEX(ExpNote,$L1764)))</f>
        <v/>
      </c>
      <c r="L1764">
        <f>IFERROR(MATCH($C$5&amp;"|"&amp;RIGHT("000000"&amp;1748,6),ExpRankKey,0),"")</f>
        <v/>
      </c>
    </row>
    <row r="1765">
      <c r="A1765" s="16" t="n">
        <v>1749</v>
      </c>
      <c r="B1765" s="17">
        <f>IF($L1765="","",INDEX(ExpNorm,$L1765))</f>
        <v/>
      </c>
      <c r="C1765" s="17">
        <f>IF($L1765="","",IF(INDEX(ExpTime,$L1765)="","—",LEFT(INDEX(ExpTime,$L1765),2)&amp;":"&amp;RIGHT(INDEX(ExpTime,$L1765),2)))</f>
        <v/>
      </c>
      <c r="D1765" s="17">
        <f>IF($L1765="","",IF(INDEX(ExpBank,$L1765)="","—",INDEX(ExpBank,$L1765)))</f>
        <v/>
      </c>
      <c r="E1765" s="18">
        <f>IF($L1765="","",IF(INDEX(ExpParty,$L1765)="","—",IFERROR(VLOOKUP(INDEX(ExpParty,$L1765),AcctTbl,4,0),INDEX(ExpParty,$L1765))))</f>
        <v/>
      </c>
      <c r="F1765" s="17">
        <f>IF($L1765="","",IF(INDEX(ExpType,$L1765)="","—",INDEX(ExpType,$L1765)))</f>
        <v/>
      </c>
      <c r="G1765" s="19">
        <f>IF($L1765="","",IF(INDEX(ExpDep,$L1765)=0,"",INDEX(ExpDep,$L1765)))</f>
        <v/>
      </c>
      <c r="H1765" s="19">
        <f>IF($L1765="","",IF(INDEX(ExpWit,$L1765)=0,"",INDEX(ExpWit,$L1765)))</f>
        <v/>
      </c>
      <c r="I1765" s="20">
        <f>IF($B1765="","",IF($I1764="",0,$I1764)+IF($H1765="",0,$H1765)-IF($G1765="",0,$G1765))</f>
        <v/>
      </c>
      <c r="J1765" s="18">
        <f>IF($L1765="","",IF(INDEX(ExpNote,$L1765)="","—",INDEX(ExpNote,$L1765)))</f>
        <v/>
      </c>
      <c r="L1765">
        <f>IFERROR(MATCH($C$5&amp;"|"&amp;RIGHT("000000"&amp;1749,6),ExpRankKey,0),"")</f>
        <v/>
      </c>
    </row>
    <row r="1766">
      <c r="A1766" s="21" t="n">
        <v>1750</v>
      </c>
      <c r="B1766" s="22">
        <f>IF($L1766="","",INDEX(ExpNorm,$L1766))</f>
        <v/>
      </c>
      <c r="C1766" s="22">
        <f>IF($L1766="","",IF(INDEX(ExpTime,$L1766)="","—",LEFT(INDEX(ExpTime,$L1766),2)&amp;":"&amp;RIGHT(INDEX(ExpTime,$L1766),2)))</f>
        <v/>
      </c>
      <c r="D1766" s="22">
        <f>IF($L1766="","",IF(INDEX(ExpBank,$L1766)="","—",INDEX(ExpBank,$L1766)))</f>
        <v/>
      </c>
      <c r="E1766" s="23">
        <f>IF($L1766="","",IF(INDEX(ExpParty,$L1766)="","—",IFERROR(VLOOKUP(INDEX(ExpParty,$L1766),AcctTbl,4,0),INDEX(ExpParty,$L1766))))</f>
        <v/>
      </c>
      <c r="F1766" s="22">
        <f>IF($L1766="","",IF(INDEX(ExpType,$L1766)="","—",INDEX(ExpType,$L1766)))</f>
        <v/>
      </c>
      <c r="G1766" s="24">
        <f>IF($L1766="","",IF(INDEX(ExpDep,$L1766)=0,"",INDEX(ExpDep,$L1766)))</f>
        <v/>
      </c>
      <c r="H1766" s="24">
        <f>IF($L1766="","",IF(INDEX(ExpWit,$L1766)=0,"",INDEX(ExpWit,$L1766)))</f>
        <v/>
      </c>
      <c r="I1766" s="25">
        <f>IF($B1766="","",IF($I1765="",0,$I1765)+IF($H1766="",0,$H1766)-IF($G1766="",0,$G1766))</f>
        <v/>
      </c>
      <c r="J1766" s="23">
        <f>IF($L1766="","",IF(INDEX(ExpNote,$L1766)="","—",INDEX(ExpNote,$L1766)))</f>
        <v/>
      </c>
      <c r="L1766">
        <f>IFERROR(MATCH($C$5&amp;"|"&amp;RIGHT("000000"&amp;1750,6),ExpRankKey,0),"")</f>
        <v/>
      </c>
    </row>
    <row r="1767">
      <c r="A1767" s="16" t="n">
        <v>1751</v>
      </c>
      <c r="B1767" s="17">
        <f>IF($L1767="","",INDEX(ExpNorm,$L1767))</f>
        <v/>
      </c>
      <c r="C1767" s="17">
        <f>IF($L1767="","",IF(INDEX(ExpTime,$L1767)="","—",LEFT(INDEX(ExpTime,$L1767),2)&amp;":"&amp;RIGHT(INDEX(ExpTime,$L1767),2)))</f>
        <v/>
      </c>
      <c r="D1767" s="17">
        <f>IF($L1767="","",IF(INDEX(ExpBank,$L1767)="","—",INDEX(ExpBank,$L1767)))</f>
        <v/>
      </c>
      <c r="E1767" s="18">
        <f>IF($L1767="","",IF(INDEX(ExpParty,$L1767)="","—",IFERROR(VLOOKUP(INDEX(ExpParty,$L1767),AcctTbl,4,0),INDEX(ExpParty,$L1767))))</f>
        <v/>
      </c>
      <c r="F1767" s="17">
        <f>IF($L1767="","",IF(INDEX(ExpType,$L1767)="","—",INDEX(ExpType,$L1767)))</f>
        <v/>
      </c>
      <c r="G1767" s="19">
        <f>IF($L1767="","",IF(INDEX(ExpDep,$L1767)=0,"",INDEX(ExpDep,$L1767)))</f>
        <v/>
      </c>
      <c r="H1767" s="19">
        <f>IF($L1767="","",IF(INDEX(ExpWit,$L1767)=0,"",INDEX(ExpWit,$L1767)))</f>
        <v/>
      </c>
      <c r="I1767" s="20">
        <f>IF($B1767="","",IF($I1766="",0,$I1766)+IF($H1767="",0,$H1767)-IF($G1767="",0,$G1767))</f>
        <v/>
      </c>
      <c r="J1767" s="18">
        <f>IF($L1767="","",IF(INDEX(ExpNote,$L1767)="","—",INDEX(ExpNote,$L1767)))</f>
        <v/>
      </c>
      <c r="L1767">
        <f>IFERROR(MATCH($C$5&amp;"|"&amp;RIGHT("000000"&amp;1751,6),ExpRankKey,0),"")</f>
        <v/>
      </c>
    </row>
    <row r="1768">
      <c r="A1768" s="21" t="n">
        <v>1752</v>
      </c>
      <c r="B1768" s="22">
        <f>IF($L1768="","",INDEX(ExpNorm,$L1768))</f>
        <v/>
      </c>
      <c r="C1768" s="22">
        <f>IF($L1768="","",IF(INDEX(ExpTime,$L1768)="","—",LEFT(INDEX(ExpTime,$L1768),2)&amp;":"&amp;RIGHT(INDEX(ExpTime,$L1768),2)))</f>
        <v/>
      </c>
      <c r="D1768" s="22">
        <f>IF($L1768="","",IF(INDEX(ExpBank,$L1768)="","—",INDEX(ExpBank,$L1768)))</f>
        <v/>
      </c>
      <c r="E1768" s="23">
        <f>IF($L1768="","",IF(INDEX(ExpParty,$L1768)="","—",IFERROR(VLOOKUP(INDEX(ExpParty,$L1768),AcctTbl,4,0),INDEX(ExpParty,$L1768))))</f>
        <v/>
      </c>
      <c r="F1768" s="22">
        <f>IF($L1768="","",IF(INDEX(ExpType,$L1768)="","—",INDEX(ExpType,$L1768)))</f>
        <v/>
      </c>
      <c r="G1768" s="24">
        <f>IF($L1768="","",IF(INDEX(ExpDep,$L1768)=0,"",INDEX(ExpDep,$L1768)))</f>
        <v/>
      </c>
      <c r="H1768" s="24">
        <f>IF($L1768="","",IF(INDEX(ExpWit,$L1768)=0,"",INDEX(ExpWit,$L1768)))</f>
        <v/>
      </c>
      <c r="I1768" s="25">
        <f>IF($B1768="","",IF($I1767="",0,$I1767)+IF($H1768="",0,$H1768)-IF($G1768="",0,$G1768))</f>
        <v/>
      </c>
      <c r="J1768" s="23">
        <f>IF($L1768="","",IF(INDEX(ExpNote,$L1768)="","—",INDEX(ExpNote,$L1768)))</f>
        <v/>
      </c>
      <c r="L1768">
        <f>IFERROR(MATCH($C$5&amp;"|"&amp;RIGHT("000000"&amp;1752,6),ExpRankKey,0),"")</f>
        <v/>
      </c>
    </row>
    <row r="1769">
      <c r="A1769" s="16" t="n">
        <v>1753</v>
      </c>
      <c r="B1769" s="17">
        <f>IF($L1769="","",INDEX(ExpNorm,$L1769))</f>
        <v/>
      </c>
      <c r="C1769" s="17">
        <f>IF($L1769="","",IF(INDEX(ExpTime,$L1769)="","—",LEFT(INDEX(ExpTime,$L1769),2)&amp;":"&amp;RIGHT(INDEX(ExpTime,$L1769),2)))</f>
        <v/>
      </c>
      <c r="D1769" s="17">
        <f>IF($L1769="","",IF(INDEX(ExpBank,$L1769)="","—",INDEX(ExpBank,$L1769)))</f>
        <v/>
      </c>
      <c r="E1769" s="18">
        <f>IF($L1769="","",IF(INDEX(ExpParty,$L1769)="","—",IFERROR(VLOOKUP(INDEX(ExpParty,$L1769),AcctTbl,4,0),INDEX(ExpParty,$L1769))))</f>
        <v/>
      </c>
      <c r="F1769" s="17">
        <f>IF($L1769="","",IF(INDEX(ExpType,$L1769)="","—",INDEX(ExpType,$L1769)))</f>
        <v/>
      </c>
      <c r="G1769" s="19">
        <f>IF($L1769="","",IF(INDEX(ExpDep,$L1769)=0,"",INDEX(ExpDep,$L1769)))</f>
        <v/>
      </c>
      <c r="H1769" s="19">
        <f>IF($L1769="","",IF(INDEX(ExpWit,$L1769)=0,"",INDEX(ExpWit,$L1769)))</f>
        <v/>
      </c>
      <c r="I1769" s="20">
        <f>IF($B1769="","",IF($I1768="",0,$I1768)+IF($H1769="",0,$H1769)-IF($G1769="",0,$G1769))</f>
        <v/>
      </c>
      <c r="J1769" s="18">
        <f>IF($L1769="","",IF(INDEX(ExpNote,$L1769)="","—",INDEX(ExpNote,$L1769)))</f>
        <v/>
      </c>
      <c r="L1769">
        <f>IFERROR(MATCH($C$5&amp;"|"&amp;RIGHT("000000"&amp;1753,6),ExpRankKey,0),"")</f>
        <v/>
      </c>
    </row>
    <row r="1770">
      <c r="A1770" s="21" t="n">
        <v>1754</v>
      </c>
      <c r="B1770" s="22">
        <f>IF($L1770="","",INDEX(ExpNorm,$L1770))</f>
        <v/>
      </c>
      <c r="C1770" s="22">
        <f>IF($L1770="","",IF(INDEX(ExpTime,$L1770)="","—",LEFT(INDEX(ExpTime,$L1770),2)&amp;":"&amp;RIGHT(INDEX(ExpTime,$L1770),2)))</f>
        <v/>
      </c>
      <c r="D1770" s="22">
        <f>IF($L1770="","",IF(INDEX(ExpBank,$L1770)="","—",INDEX(ExpBank,$L1770)))</f>
        <v/>
      </c>
      <c r="E1770" s="23">
        <f>IF($L1770="","",IF(INDEX(ExpParty,$L1770)="","—",IFERROR(VLOOKUP(INDEX(ExpParty,$L1770),AcctTbl,4,0),INDEX(ExpParty,$L1770))))</f>
        <v/>
      </c>
      <c r="F1770" s="22">
        <f>IF($L1770="","",IF(INDEX(ExpType,$L1770)="","—",INDEX(ExpType,$L1770)))</f>
        <v/>
      </c>
      <c r="G1770" s="24">
        <f>IF($L1770="","",IF(INDEX(ExpDep,$L1770)=0,"",INDEX(ExpDep,$L1770)))</f>
        <v/>
      </c>
      <c r="H1770" s="24">
        <f>IF($L1770="","",IF(INDEX(ExpWit,$L1770)=0,"",INDEX(ExpWit,$L1770)))</f>
        <v/>
      </c>
      <c r="I1770" s="25">
        <f>IF($B1770="","",IF($I1769="",0,$I1769)+IF($H1770="",0,$H1770)-IF($G1770="",0,$G1770))</f>
        <v/>
      </c>
      <c r="J1770" s="23">
        <f>IF($L1770="","",IF(INDEX(ExpNote,$L1770)="","—",INDEX(ExpNote,$L1770)))</f>
        <v/>
      </c>
      <c r="L1770">
        <f>IFERROR(MATCH($C$5&amp;"|"&amp;RIGHT("000000"&amp;1754,6),ExpRankKey,0),"")</f>
        <v/>
      </c>
    </row>
    <row r="1771">
      <c r="A1771" s="16" t="n">
        <v>1755</v>
      </c>
      <c r="B1771" s="17">
        <f>IF($L1771="","",INDEX(ExpNorm,$L1771))</f>
        <v/>
      </c>
      <c r="C1771" s="17">
        <f>IF($L1771="","",IF(INDEX(ExpTime,$L1771)="","—",LEFT(INDEX(ExpTime,$L1771),2)&amp;":"&amp;RIGHT(INDEX(ExpTime,$L1771),2)))</f>
        <v/>
      </c>
      <c r="D1771" s="17">
        <f>IF($L1771="","",IF(INDEX(ExpBank,$L1771)="","—",INDEX(ExpBank,$L1771)))</f>
        <v/>
      </c>
      <c r="E1771" s="18">
        <f>IF($L1771="","",IF(INDEX(ExpParty,$L1771)="","—",IFERROR(VLOOKUP(INDEX(ExpParty,$L1771),AcctTbl,4,0),INDEX(ExpParty,$L1771))))</f>
        <v/>
      </c>
      <c r="F1771" s="17">
        <f>IF($L1771="","",IF(INDEX(ExpType,$L1771)="","—",INDEX(ExpType,$L1771)))</f>
        <v/>
      </c>
      <c r="G1771" s="19">
        <f>IF($L1771="","",IF(INDEX(ExpDep,$L1771)=0,"",INDEX(ExpDep,$L1771)))</f>
        <v/>
      </c>
      <c r="H1771" s="19">
        <f>IF($L1771="","",IF(INDEX(ExpWit,$L1771)=0,"",INDEX(ExpWit,$L1771)))</f>
        <v/>
      </c>
      <c r="I1771" s="20">
        <f>IF($B1771="","",IF($I1770="",0,$I1770)+IF($H1771="",0,$H1771)-IF($G1771="",0,$G1771))</f>
        <v/>
      </c>
      <c r="J1771" s="18">
        <f>IF($L1771="","",IF(INDEX(ExpNote,$L1771)="","—",INDEX(ExpNote,$L1771)))</f>
        <v/>
      </c>
      <c r="L1771">
        <f>IFERROR(MATCH($C$5&amp;"|"&amp;RIGHT("000000"&amp;1755,6),ExpRankKey,0),"")</f>
        <v/>
      </c>
    </row>
    <row r="1772">
      <c r="A1772" s="21" t="n">
        <v>1756</v>
      </c>
      <c r="B1772" s="22">
        <f>IF($L1772="","",INDEX(ExpNorm,$L1772))</f>
        <v/>
      </c>
      <c r="C1772" s="22">
        <f>IF($L1772="","",IF(INDEX(ExpTime,$L1772)="","—",LEFT(INDEX(ExpTime,$L1772),2)&amp;":"&amp;RIGHT(INDEX(ExpTime,$L1772),2)))</f>
        <v/>
      </c>
      <c r="D1772" s="22">
        <f>IF($L1772="","",IF(INDEX(ExpBank,$L1772)="","—",INDEX(ExpBank,$L1772)))</f>
        <v/>
      </c>
      <c r="E1772" s="23">
        <f>IF($L1772="","",IF(INDEX(ExpParty,$L1772)="","—",IFERROR(VLOOKUP(INDEX(ExpParty,$L1772),AcctTbl,4,0),INDEX(ExpParty,$L1772))))</f>
        <v/>
      </c>
      <c r="F1772" s="22">
        <f>IF($L1772="","",IF(INDEX(ExpType,$L1772)="","—",INDEX(ExpType,$L1772)))</f>
        <v/>
      </c>
      <c r="G1772" s="24">
        <f>IF($L1772="","",IF(INDEX(ExpDep,$L1772)=0,"",INDEX(ExpDep,$L1772)))</f>
        <v/>
      </c>
      <c r="H1772" s="24">
        <f>IF($L1772="","",IF(INDEX(ExpWit,$L1772)=0,"",INDEX(ExpWit,$L1772)))</f>
        <v/>
      </c>
      <c r="I1772" s="25">
        <f>IF($B1772="","",IF($I1771="",0,$I1771)+IF($H1772="",0,$H1772)-IF($G1772="",0,$G1772))</f>
        <v/>
      </c>
      <c r="J1772" s="23">
        <f>IF($L1772="","",IF(INDEX(ExpNote,$L1772)="","—",INDEX(ExpNote,$L1772)))</f>
        <v/>
      </c>
      <c r="L1772">
        <f>IFERROR(MATCH($C$5&amp;"|"&amp;RIGHT("000000"&amp;1756,6),ExpRankKey,0),"")</f>
        <v/>
      </c>
    </row>
    <row r="1773">
      <c r="A1773" s="16" t="n">
        <v>1757</v>
      </c>
      <c r="B1773" s="17">
        <f>IF($L1773="","",INDEX(ExpNorm,$L1773))</f>
        <v/>
      </c>
      <c r="C1773" s="17">
        <f>IF($L1773="","",IF(INDEX(ExpTime,$L1773)="","—",LEFT(INDEX(ExpTime,$L1773),2)&amp;":"&amp;RIGHT(INDEX(ExpTime,$L1773),2)))</f>
        <v/>
      </c>
      <c r="D1773" s="17">
        <f>IF($L1773="","",IF(INDEX(ExpBank,$L1773)="","—",INDEX(ExpBank,$L1773)))</f>
        <v/>
      </c>
      <c r="E1773" s="18">
        <f>IF($L1773="","",IF(INDEX(ExpParty,$L1773)="","—",IFERROR(VLOOKUP(INDEX(ExpParty,$L1773),AcctTbl,4,0),INDEX(ExpParty,$L1773))))</f>
        <v/>
      </c>
      <c r="F1773" s="17">
        <f>IF($L1773="","",IF(INDEX(ExpType,$L1773)="","—",INDEX(ExpType,$L1773)))</f>
        <v/>
      </c>
      <c r="G1773" s="19">
        <f>IF($L1773="","",IF(INDEX(ExpDep,$L1773)=0,"",INDEX(ExpDep,$L1773)))</f>
        <v/>
      </c>
      <c r="H1773" s="19">
        <f>IF($L1773="","",IF(INDEX(ExpWit,$L1773)=0,"",INDEX(ExpWit,$L1773)))</f>
        <v/>
      </c>
      <c r="I1773" s="20">
        <f>IF($B1773="","",IF($I1772="",0,$I1772)+IF($H1773="",0,$H1773)-IF($G1773="",0,$G1773))</f>
        <v/>
      </c>
      <c r="J1773" s="18">
        <f>IF($L1773="","",IF(INDEX(ExpNote,$L1773)="","—",INDEX(ExpNote,$L1773)))</f>
        <v/>
      </c>
      <c r="L1773">
        <f>IFERROR(MATCH($C$5&amp;"|"&amp;RIGHT("000000"&amp;1757,6),ExpRankKey,0),"")</f>
        <v/>
      </c>
    </row>
    <row r="1774">
      <c r="A1774" s="21" t="n">
        <v>1758</v>
      </c>
      <c r="B1774" s="22">
        <f>IF($L1774="","",INDEX(ExpNorm,$L1774))</f>
        <v/>
      </c>
      <c r="C1774" s="22">
        <f>IF($L1774="","",IF(INDEX(ExpTime,$L1774)="","—",LEFT(INDEX(ExpTime,$L1774),2)&amp;":"&amp;RIGHT(INDEX(ExpTime,$L1774),2)))</f>
        <v/>
      </c>
      <c r="D1774" s="22">
        <f>IF($L1774="","",IF(INDEX(ExpBank,$L1774)="","—",INDEX(ExpBank,$L1774)))</f>
        <v/>
      </c>
      <c r="E1774" s="23">
        <f>IF($L1774="","",IF(INDEX(ExpParty,$L1774)="","—",IFERROR(VLOOKUP(INDEX(ExpParty,$L1774),AcctTbl,4,0),INDEX(ExpParty,$L1774))))</f>
        <v/>
      </c>
      <c r="F1774" s="22">
        <f>IF($L1774="","",IF(INDEX(ExpType,$L1774)="","—",INDEX(ExpType,$L1774)))</f>
        <v/>
      </c>
      <c r="G1774" s="24">
        <f>IF($L1774="","",IF(INDEX(ExpDep,$L1774)=0,"",INDEX(ExpDep,$L1774)))</f>
        <v/>
      </c>
      <c r="H1774" s="24">
        <f>IF($L1774="","",IF(INDEX(ExpWit,$L1774)=0,"",INDEX(ExpWit,$L1774)))</f>
        <v/>
      </c>
      <c r="I1774" s="25">
        <f>IF($B1774="","",IF($I1773="",0,$I1773)+IF($H1774="",0,$H1774)-IF($G1774="",0,$G1774))</f>
        <v/>
      </c>
      <c r="J1774" s="23">
        <f>IF($L1774="","",IF(INDEX(ExpNote,$L1774)="","—",INDEX(ExpNote,$L1774)))</f>
        <v/>
      </c>
      <c r="L1774">
        <f>IFERROR(MATCH($C$5&amp;"|"&amp;RIGHT("000000"&amp;1758,6),ExpRankKey,0),"")</f>
        <v/>
      </c>
    </row>
    <row r="1775">
      <c r="A1775" s="16" t="n">
        <v>1759</v>
      </c>
      <c r="B1775" s="17">
        <f>IF($L1775="","",INDEX(ExpNorm,$L1775))</f>
        <v/>
      </c>
      <c r="C1775" s="17">
        <f>IF($L1775="","",IF(INDEX(ExpTime,$L1775)="","—",LEFT(INDEX(ExpTime,$L1775),2)&amp;":"&amp;RIGHT(INDEX(ExpTime,$L1775),2)))</f>
        <v/>
      </c>
      <c r="D1775" s="17">
        <f>IF($L1775="","",IF(INDEX(ExpBank,$L1775)="","—",INDEX(ExpBank,$L1775)))</f>
        <v/>
      </c>
      <c r="E1775" s="18">
        <f>IF($L1775="","",IF(INDEX(ExpParty,$L1775)="","—",IFERROR(VLOOKUP(INDEX(ExpParty,$L1775),AcctTbl,4,0),INDEX(ExpParty,$L1775))))</f>
        <v/>
      </c>
      <c r="F1775" s="17">
        <f>IF($L1775="","",IF(INDEX(ExpType,$L1775)="","—",INDEX(ExpType,$L1775)))</f>
        <v/>
      </c>
      <c r="G1775" s="19">
        <f>IF($L1775="","",IF(INDEX(ExpDep,$L1775)=0,"",INDEX(ExpDep,$L1775)))</f>
        <v/>
      </c>
      <c r="H1775" s="19">
        <f>IF($L1775="","",IF(INDEX(ExpWit,$L1775)=0,"",INDEX(ExpWit,$L1775)))</f>
        <v/>
      </c>
      <c r="I1775" s="20">
        <f>IF($B1775="","",IF($I1774="",0,$I1774)+IF($H1775="",0,$H1775)-IF($G1775="",0,$G1775))</f>
        <v/>
      </c>
      <c r="J1775" s="18">
        <f>IF($L1775="","",IF(INDEX(ExpNote,$L1775)="","—",INDEX(ExpNote,$L1775)))</f>
        <v/>
      </c>
      <c r="L1775">
        <f>IFERROR(MATCH($C$5&amp;"|"&amp;RIGHT("000000"&amp;1759,6),ExpRankKey,0),"")</f>
        <v/>
      </c>
    </row>
    <row r="1776">
      <c r="A1776" s="21" t="n">
        <v>1760</v>
      </c>
      <c r="B1776" s="22">
        <f>IF($L1776="","",INDEX(ExpNorm,$L1776))</f>
        <v/>
      </c>
      <c r="C1776" s="22">
        <f>IF($L1776="","",IF(INDEX(ExpTime,$L1776)="","—",LEFT(INDEX(ExpTime,$L1776),2)&amp;":"&amp;RIGHT(INDEX(ExpTime,$L1776),2)))</f>
        <v/>
      </c>
      <c r="D1776" s="22">
        <f>IF($L1776="","",IF(INDEX(ExpBank,$L1776)="","—",INDEX(ExpBank,$L1776)))</f>
        <v/>
      </c>
      <c r="E1776" s="23">
        <f>IF($L1776="","",IF(INDEX(ExpParty,$L1776)="","—",IFERROR(VLOOKUP(INDEX(ExpParty,$L1776),AcctTbl,4,0),INDEX(ExpParty,$L1776))))</f>
        <v/>
      </c>
      <c r="F1776" s="22">
        <f>IF($L1776="","",IF(INDEX(ExpType,$L1776)="","—",INDEX(ExpType,$L1776)))</f>
        <v/>
      </c>
      <c r="G1776" s="24">
        <f>IF($L1776="","",IF(INDEX(ExpDep,$L1776)=0,"",INDEX(ExpDep,$L1776)))</f>
        <v/>
      </c>
      <c r="H1776" s="24">
        <f>IF($L1776="","",IF(INDEX(ExpWit,$L1776)=0,"",INDEX(ExpWit,$L1776)))</f>
        <v/>
      </c>
      <c r="I1776" s="25">
        <f>IF($B1776="","",IF($I1775="",0,$I1775)+IF($H1776="",0,$H1776)-IF($G1776="",0,$G1776))</f>
        <v/>
      </c>
      <c r="J1776" s="23">
        <f>IF($L1776="","",IF(INDEX(ExpNote,$L1776)="","—",INDEX(ExpNote,$L1776)))</f>
        <v/>
      </c>
      <c r="L1776">
        <f>IFERROR(MATCH($C$5&amp;"|"&amp;RIGHT("000000"&amp;1760,6),ExpRankKey,0),"")</f>
        <v/>
      </c>
    </row>
    <row r="1777">
      <c r="A1777" s="16" t="n">
        <v>1761</v>
      </c>
      <c r="B1777" s="17">
        <f>IF($L1777="","",INDEX(ExpNorm,$L1777))</f>
        <v/>
      </c>
      <c r="C1777" s="17">
        <f>IF($L1777="","",IF(INDEX(ExpTime,$L1777)="","—",LEFT(INDEX(ExpTime,$L1777),2)&amp;":"&amp;RIGHT(INDEX(ExpTime,$L1777),2)))</f>
        <v/>
      </c>
      <c r="D1777" s="17">
        <f>IF($L1777="","",IF(INDEX(ExpBank,$L1777)="","—",INDEX(ExpBank,$L1777)))</f>
        <v/>
      </c>
      <c r="E1777" s="18">
        <f>IF($L1777="","",IF(INDEX(ExpParty,$L1777)="","—",IFERROR(VLOOKUP(INDEX(ExpParty,$L1777),AcctTbl,4,0),INDEX(ExpParty,$L1777))))</f>
        <v/>
      </c>
      <c r="F1777" s="17">
        <f>IF($L1777="","",IF(INDEX(ExpType,$L1777)="","—",INDEX(ExpType,$L1777)))</f>
        <v/>
      </c>
      <c r="G1777" s="19">
        <f>IF($L1777="","",IF(INDEX(ExpDep,$L1777)=0,"",INDEX(ExpDep,$L1777)))</f>
        <v/>
      </c>
      <c r="H1777" s="19">
        <f>IF($L1777="","",IF(INDEX(ExpWit,$L1777)=0,"",INDEX(ExpWit,$L1777)))</f>
        <v/>
      </c>
      <c r="I1777" s="20">
        <f>IF($B1777="","",IF($I1776="",0,$I1776)+IF($H1777="",0,$H1777)-IF($G1777="",0,$G1777))</f>
        <v/>
      </c>
      <c r="J1777" s="18">
        <f>IF($L1777="","",IF(INDEX(ExpNote,$L1777)="","—",INDEX(ExpNote,$L1777)))</f>
        <v/>
      </c>
      <c r="L1777">
        <f>IFERROR(MATCH($C$5&amp;"|"&amp;RIGHT("000000"&amp;1761,6),ExpRankKey,0),"")</f>
        <v/>
      </c>
    </row>
    <row r="1778">
      <c r="A1778" s="21" t="n">
        <v>1762</v>
      </c>
      <c r="B1778" s="22">
        <f>IF($L1778="","",INDEX(ExpNorm,$L1778))</f>
        <v/>
      </c>
      <c r="C1778" s="22">
        <f>IF($L1778="","",IF(INDEX(ExpTime,$L1778)="","—",LEFT(INDEX(ExpTime,$L1778),2)&amp;":"&amp;RIGHT(INDEX(ExpTime,$L1778),2)))</f>
        <v/>
      </c>
      <c r="D1778" s="22">
        <f>IF($L1778="","",IF(INDEX(ExpBank,$L1778)="","—",INDEX(ExpBank,$L1778)))</f>
        <v/>
      </c>
      <c r="E1778" s="23">
        <f>IF($L1778="","",IF(INDEX(ExpParty,$L1778)="","—",IFERROR(VLOOKUP(INDEX(ExpParty,$L1778),AcctTbl,4,0),INDEX(ExpParty,$L1778))))</f>
        <v/>
      </c>
      <c r="F1778" s="22">
        <f>IF($L1778="","",IF(INDEX(ExpType,$L1778)="","—",INDEX(ExpType,$L1778)))</f>
        <v/>
      </c>
      <c r="G1778" s="24">
        <f>IF($L1778="","",IF(INDEX(ExpDep,$L1778)=0,"",INDEX(ExpDep,$L1778)))</f>
        <v/>
      </c>
      <c r="H1778" s="24">
        <f>IF($L1778="","",IF(INDEX(ExpWit,$L1778)=0,"",INDEX(ExpWit,$L1778)))</f>
        <v/>
      </c>
      <c r="I1778" s="25">
        <f>IF($B1778="","",IF($I1777="",0,$I1777)+IF($H1778="",0,$H1778)-IF($G1778="",0,$G1778))</f>
        <v/>
      </c>
      <c r="J1778" s="23">
        <f>IF($L1778="","",IF(INDEX(ExpNote,$L1778)="","—",INDEX(ExpNote,$L1778)))</f>
        <v/>
      </c>
      <c r="L1778">
        <f>IFERROR(MATCH($C$5&amp;"|"&amp;RIGHT("000000"&amp;1762,6),ExpRankKey,0),"")</f>
        <v/>
      </c>
    </row>
    <row r="1779">
      <c r="A1779" s="16" t="n">
        <v>1763</v>
      </c>
      <c r="B1779" s="17">
        <f>IF($L1779="","",INDEX(ExpNorm,$L1779))</f>
        <v/>
      </c>
      <c r="C1779" s="17">
        <f>IF($L1779="","",IF(INDEX(ExpTime,$L1779)="","—",LEFT(INDEX(ExpTime,$L1779),2)&amp;":"&amp;RIGHT(INDEX(ExpTime,$L1779),2)))</f>
        <v/>
      </c>
      <c r="D1779" s="17">
        <f>IF($L1779="","",IF(INDEX(ExpBank,$L1779)="","—",INDEX(ExpBank,$L1779)))</f>
        <v/>
      </c>
      <c r="E1779" s="18">
        <f>IF($L1779="","",IF(INDEX(ExpParty,$L1779)="","—",IFERROR(VLOOKUP(INDEX(ExpParty,$L1779),AcctTbl,4,0),INDEX(ExpParty,$L1779))))</f>
        <v/>
      </c>
      <c r="F1779" s="17">
        <f>IF($L1779="","",IF(INDEX(ExpType,$L1779)="","—",INDEX(ExpType,$L1779)))</f>
        <v/>
      </c>
      <c r="G1779" s="19">
        <f>IF($L1779="","",IF(INDEX(ExpDep,$L1779)=0,"",INDEX(ExpDep,$L1779)))</f>
        <v/>
      </c>
      <c r="H1779" s="19">
        <f>IF($L1779="","",IF(INDEX(ExpWit,$L1779)=0,"",INDEX(ExpWit,$L1779)))</f>
        <v/>
      </c>
      <c r="I1779" s="20">
        <f>IF($B1779="","",IF($I1778="",0,$I1778)+IF($H1779="",0,$H1779)-IF($G1779="",0,$G1779))</f>
        <v/>
      </c>
      <c r="J1779" s="18">
        <f>IF($L1779="","",IF(INDEX(ExpNote,$L1779)="","—",INDEX(ExpNote,$L1779)))</f>
        <v/>
      </c>
      <c r="L1779">
        <f>IFERROR(MATCH($C$5&amp;"|"&amp;RIGHT("000000"&amp;1763,6),ExpRankKey,0),"")</f>
        <v/>
      </c>
    </row>
    <row r="1780">
      <c r="A1780" s="21" t="n">
        <v>1764</v>
      </c>
      <c r="B1780" s="22">
        <f>IF($L1780="","",INDEX(ExpNorm,$L1780))</f>
        <v/>
      </c>
      <c r="C1780" s="22">
        <f>IF($L1780="","",IF(INDEX(ExpTime,$L1780)="","—",LEFT(INDEX(ExpTime,$L1780),2)&amp;":"&amp;RIGHT(INDEX(ExpTime,$L1780),2)))</f>
        <v/>
      </c>
      <c r="D1780" s="22">
        <f>IF($L1780="","",IF(INDEX(ExpBank,$L1780)="","—",INDEX(ExpBank,$L1780)))</f>
        <v/>
      </c>
      <c r="E1780" s="23">
        <f>IF($L1780="","",IF(INDEX(ExpParty,$L1780)="","—",IFERROR(VLOOKUP(INDEX(ExpParty,$L1780),AcctTbl,4,0),INDEX(ExpParty,$L1780))))</f>
        <v/>
      </c>
      <c r="F1780" s="22">
        <f>IF($L1780="","",IF(INDEX(ExpType,$L1780)="","—",INDEX(ExpType,$L1780)))</f>
        <v/>
      </c>
      <c r="G1780" s="24">
        <f>IF($L1780="","",IF(INDEX(ExpDep,$L1780)=0,"",INDEX(ExpDep,$L1780)))</f>
        <v/>
      </c>
      <c r="H1780" s="24">
        <f>IF($L1780="","",IF(INDEX(ExpWit,$L1780)=0,"",INDEX(ExpWit,$L1780)))</f>
        <v/>
      </c>
      <c r="I1780" s="25">
        <f>IF($B1780="","",IF($I1779="",0,$I1779)+IF($H1780="",0,$H1780)-IF($G1780="",0,$G1780))</f>
        <v/>
      </c>
      <c r="J1780" s="23">
        <f>IF($L1780="","",IF(INDEX(ExpNote,$L1780)="","—",INDEX(ExpNote,$L1780)))</f>
        <v/>
      </c>
      <c r="L1780">
        <f>IFERROR(MATCH($C$5&amp;"|"&amp;RIGHT("000000"&amp;1764,6),ExpRankKey,0),"")</f>
        <v/>
      </c>
    </row>
    <row r="1781">
      <c r="A1781" s="16" t="n">
        <v>1765</v>
      </c>
      <c r="B1781" s="17">
        <f>IF($L1781="","",INDEX(ExpNorm,$L1781))</f>
        <v/>
      </c>
      <c r="C1781" s="17">
        <f>IF($L1781="","",IF(INDEX(ExpTime,$L1781)="","—",LEFT(INDEX(ExpTime,$L1781),2)&amp;":"&amp;RIGHT(INDEX(ExpTime,$L1781),2)))</f>
        <v/>
      </c>
      <c r="D1781" s="17">
        <f>IF($L1781="","",IF(INDEX(ExpBank,$L1781)="","—",INDEX(ExpBank,$L1781)))</f>
        <v/>
      </c>
      <c r="E1781" s="18">
        <f>IF($L1781="","",IF(INDEX(ExpParty,$L1781)="","—",IFERROR(VLOOKUP(INDEX(ExpParty,$L1781),AcctTbl,4,0),INDEX(ExpParty,$L1781))))</f>
        <v/>
      </c>
      <c r="F1781" s="17">
        <f>IF($L1781="","",IF(INDEX(ExpType,$L1781)="","—",INDEX(ExpType,$L1781)))</f>
        <v/>
      </c>
      <c r="G1781" s="19">
        <f>IF($L1781="","",IF(INDEX(ExpDep,$L1781)=0,"",INDEX(ExpDep,$L1781)))</f>
        <v/>
      </c>
      <c r="H1781" s="19">
        <f>IF($L1781="","",IF(INDEX(ExpWit,$L1781)=0,"",INDEX(ExpWit,$L1781)))</f>
        <v/>
      </c>
      <c r="I1781" s="20">
        <f>IF($B1781="","",IF($I1780="",0,$I1780)+IF($H1781="",0,$H1781)-IF($G1781="",0,$G1781))</f>
        <v/>
      </c>
      <c r="J1781" s="18">
        <f>IF($L1781="","",IF(INDEX(ExpNote,$L1781)="","—",INDEX(ExpNote,$L1781)))</f>
        <v/>
      </c>
      <c r="L1781">
        <f>IFERROR(MATCH($C$5&amp;"|"&amp;RIGHT("000000"&amp;1765,6),ExpRankKey,0),"")</f>
        <v/>
      </c>
    </row>
    <row r="1782">
      <c r="A1782" s="21" t="n">
        <v>1766</v>
      </c>
      <c r="B1782" s="22">
        <f>IF($L1782="","",INDEX(ExpNorm,$L1782))</f>
        <v/>
      </c>
      <c r="C1782" s="22">
        <f>IF($L1782="","",IF(INDEX(ExpTime,$L1782)="","—",LEFT(INDEX(ExpTime,$L1782),2)&amp;":"&amp;RIGHT(INDEX(ExpTime,$L1782),2)))</f>
        <v/>
      </c>
      <c r="D1782" s="22">
        <f>IF($L1782="","",IF(INDEX(ExpBank,$L1782)="","—",INDEX(ExpBank,$L1782)))</f>
        <v/>
      </c>
      <c r="E1782" s="23">
        <f>IF($L1782="","",IF(INDEX(ExpParty,$L1782)="","—",IFERROR(VLOOKUP(INDEX(ExpParty,$L1782),AcctTbl,4,0),INDEX(ExpParty,$L1782))))</f>
        <v/>
      </c>
      <c r="F1782" s="22">
        <f>IF($L1782="","",IF(INDEX(ExpType,$L1782)="","—",INDEX(ExpType,$L1782)))</f>
        <v/>
      </c>
      <c r="G1782" s="24">
        <f>IF($L1782="","",IF(INDEX(ExpDep,$L1782)=0,"",INDEX(ExpDep,$L1782)))</f>
        <v/>
      </c>
      <c r="H1782" s="24">
        <f>IF($L1782="","",IF(INDEX(ExpWit,$L1782)=0,"",INDEX(ExpWit,$L1782)))</f>
        <v/>
      </c>
      <c r="I1782" s="25">
        <f>IF($B1782="","",IF($I1781="",0,$I1781)+IF($H1782="",0,$H1782)-IF($G1782="",0,$G1782))</f>
        <v/>
      </c>
      <c r="J1782" s="23">
        <f>IF($L1782="","",IF(INDEX(ExpNote,$L1782)="","—",INDEX(ExpNote,$L1782)))</f>
        <v/>
      </c>
      <c r="L1782">
        <f>IFERROR(MATCH($C$5&amp;"|"&amp;RIGHT("000000"&amp;1766,6),ExpRankKey,0),"")</f>
        <v/>
      </c>
    </row>
    <row r="1783">
      <c r="A1783" s="16" t="n">
        <v>1767</v>
      </c>
      <c r="B1783" s="17">
        <f>IF($L1783="","",INDEX(ExpNorm,$L1783))</f>
        <v/>
      </c>
      <c r="C1783" s="17">
        <f>IF($L1783="","",IF(INDEX(ExpTime,$L1783)="","—",LEFT(INDEX(ExpTime,$L1783),2)&amp;":"&amp;RIGHT(INDEX(ExpTime,$L1783),2)))</f>
        <v/>
      </c>
      <c r="D1783" s="17">
        <f>IF($L1783="","",IF(INDEX(ExpBank,$L1783)="","—",INDEX(ExpBank,$L1783)))</f>
        <v/>
      </c>
      <c r="E1783" s="18">
        <f>IF($L1783="","",IF(INDEX(ExpParty,$L1783)="","—",IFERROR(VLOOKUP(INDEX(ExpParty,$L1783),AcctTbl,4,0),INDEX(ExpParty,$L1783))))</f>
        <v/>
      </c>
      <c r="F1783" s="17">
        <f>IF($L1783="","",IF(INDEX(ExpType,$L1783)="","—",INDEX(ExpType,$L1783)))</f>
        <v/>
      </c>
      <c r="G1783" s="19">
        <f>IF($L1783="","",IF(INDEX(ExpDep,$L1783)=0,"",INDEX(ExpDep,$L1783)))</f>
        <v/>
      </c>
      <c r="H1783" s="19">
        <f>IF($L1783="","",IF(INDEX(ExpWit,$L1783)=0,"",INDEX(ExpWit,$L1783)))</f>
        <v/>
      </c>
      <c r="I1783" s="20">
        <f>IF($B1783="","",IF($I1782="",0,$I1782)+IF($H1783="",0,$H1783)-IF($G1783="",0,$G1783))</f>
        <v/>
      </c>
      <c r="J1783" s="18">
        <f>IF($L1783="","",IF(INDEX(ExpNote,$L1783)="","—",INDEX(ExpNote,$L1783)))</f>
        <v/>
      </c>
      <c r="L1783">
        <f>IFERROR(MATCH($C$5&amp;"|"&amp;RIGHT("000000"&amp;1767,6),ExpRankKey,0),"")</f>
        <v/>
      </c>
    </row>
    <row r="1784">
      <c r="A1784" s="21" t="n">
        <v>1768</v>
      </c>
      <c r="B1784" s="22">
        <f>IF($L1784="","",INDEX(ExpNorm,$L1784))</f>
        <v/>
      </c>
      <c r="C1784" s="22">
        <f>IF($L1784="","",IF(INDEX(ExpTime,$L1784)="","—",LEFT(INDEX(ExpTime,$L1784),2)&amp;":"&amp;RIGHT(INDEX(ExpTime,$L1784),2)))</f>
        <v/>
      </c>
      <c r="D1784" s="22">
        <f>IF($L1784="","",IF(INDEX(ExpBank,$L1784)="","—",INDEX(ExpBank,$L1784)))</f>
        <v/>
      </c>
      <c r="E1784" s="23">
        <f>IF($L1784="","",IF(INDEX(ExpParty,$L1784)="","—",IFERROR(VLOOKUP(INDEX(ExpParty,$L1784),AcctTbl,4,0),INDEX(ExpParty,$L1784))))</f>
        <v/>
      </c>
      <c r="F1784" s="22">
        <f>IF($L1784="","",IF(INDEX(ExpType,$L1784)="","—",INDEX(ExpType,$L1784)))</f>
        <v/>
      </c>
      <c r="G1784" s="24">
        <f>IF($L1784="","",IF(INDEX(ExpDep,$L1784)=0,"",INDEX(ExpDep,$L1784)))</f>
        <v/>
      </c>
      <c r="H1784" s="24">
        <f>IF($L1784="","",IF(INDEX(ExpWit,$L1784)=0,"",INDEX(ExpWit,$L1784)))</f>
        <v/>
      </c>
      <c r="I1784" s="25">
        <f>IF($B1784="","",IF($I1783="",0,$I1783)+IF($H1784="",0,$H1784)-IF($G1784="",0,$G1784))</f>
        <v/>
      </c>
      <c r="J1784" s="23">
        <f>IF($L1784="","",IF(INDEX(ExpNote,$L1784)="","—",INDEX(ExpNote,$L1784)))</f>
        <v/>
      </c>
      <c r="L1784">
        <f>IFERROR(MATCH($C$5&amp;"|"&amp;RIGHT("000000"&amp;1768,6),ExpRankKey,0),"")</f>
        <v/>
      </c>
    </row>
    <row r="1785">
      <c r="A1785" s="16" t="n">
        <v>1769</v>
      </c>
      <c r="B1785" s="17">
        <f>IF($L1785="","",INDEX(ExpNorm,$L1785))</f>
        <v/>
      </c>
      <c r="C1785" s="17">
        <f>IF($L1785="","",IF(INDEX(ExpTime,$L1785)="","—",LEFT(INDEX(ExpTime,$L1785),2)&amp;":"&amp;RIGHT(INDEX(ExpTime,$L1785),2)))</f>
        <v/>
      </c>
      <c r="D1785" s="17">
        <f>IF($L1785="","",IF(INDEX(ExpBank,$L1785)="","—",INDEX(ExpBank,$L1785)))</f>
        <v/>
      </c>
      <c r="E1785" s="18">
        <f>IF($L1785="","",IF(INDEX(ExpParty,$L1785)="","—",IFERROR(VLOOKUP(INDEX(ExpParty,$L1785),AcctTbl,4,0),INDEX(ExpParty,$L1785))))</f>
        <v/>
      </c>
      <c r="F1785" s="17">
        <f>IF($L1785="","",IF(INDEX(ExpType,$L1785)="","—",INDEX(ExpType,$L1785)))</f>
        <v/>
      </c>
      <c r="G1785" s="19">
        <f>IF($L1785="","",IF(INDEX(ExpDep,$L1785)=0,"",INDEX(ExpDep,$L1785)))</f>
        <v/>
      </c>
      <c r="H1785" s="19">
        <f>IF($L1785="","",IF(INDEX(ExpWit,$L1785)=0,"",INDEX(ExpWit,$L1785)))</f>
        <v/>
      </c>
      <c r="I1785" s="20">
        <f>IF($B1785="","",IF($I1784="",0,$I1784)+IF($H1785="",0,$H1785)-IF($G1785="",0,$G1785))</f>
        <v/>
      </c>
      <c r="J1785" s="18">
        <f>IF($L1785="","",IF(INDEX(ExpNote,$L1785)="","—",INDEX(ExpNote,$L1785)))</f>
        <v/>
      </c>
      <c r="L1785">
        <f>IFERROR(MATCH($C$5&amp;"|"&amp;RIGHT("000000"&amp;1769,6),ExpRankKey,0),"")</f>
        <v/>
      </c>
    </row>
    <row r="1786">
      <c r="A1786" s="21" t="n">
        <v>1770</v>
      </c>
      <c r="B1786" s="22">
        <f>IF($L1786="","",INDEX(ExpNorm,$L1786))</f>
        <v/>
      </c>
      <c r="C1786" s="22">
        <f>IF($L1786="","",IF(INDEX(ExpTime,$L1786)="","—",LEFT(INDEX(ExpTime,$L1786),2)&amp;":"&amp;RIGHT(INDEX(ExpTime,$L1786),2)))</f>
        <v/>
      </c>
      <c r="D1786" s="22">
        <f>IF($L1786="","",IF(INDEX(ExpBank,$L1786)="","—",INDEX(ExpBank,$L1786)))</f>
        <v/>
      </c>
      <c r="E1786" s="23">
        <f>IF($L1786="","",IF(INDEX(ExpParty,$L1786)="","—",IFERROR(VLOOKUP(INDEX(ExpParty,$L1786),AcctTbl,4,0),INDEX(ExpParty,$L1786))))</f>
        <v/>
      </c>
      <c r="F1786" s="22">
        <f>IF($L1786="","",IF(INDEX(ExpType,$L1786)="","—",INDEX(ExpType,$L1786)))</f>
        <v/>
      </c>
      <c r="G1786" s="24">
        <f>IF($L1786="","",IF(INDEX(ExpDep,$L1786)=0,"",INDEX(ExpDep,$L1786)))</f>
        <v/>
      </c>
      <c r="H1786" s="24">
        <f>IF($L1786="","",IF(INDEX(ExpWit,$L1786)=0,"",INDEX(ExpWit,$L1786)))</f>
        <v/>
      </c>
      <c r="I1786" s="25">
        <f>IF($B1786="","",IF($I1785="",0,$I1785)+IF($H1786="",0,$H1786)-IF($G1786="",0,$G1786))</f>
        <v/>
      </c>
      <c r="J1786" s="23">
        <f>IF($L1786="","",IF(INDEX(ExpNote,$L1786)="","—",INDEX(ExpNote,$L1786)))</f>
        <v/>
      </c>
      <c r="L1786">
        <f>IFERROR(MATCH($C$5&amp;"|"&amp;RIGHT("000000"&amp;1770,6),ExpRankKey,0),"")</f>
        <v/>
      </c>
    </row>
    <row r="1787">
      <c r="A1787" s="16" t="n">
        <v>1771</v>
      </c>
      <c r="B1787" s="17">
        <f>IF($L1787="","",INDEX(ExpNorm,$L1787))</f>
        <v/>
      </c>
      <c r="C1787" s="17">
        <f>IF($L1787="","",IF(INDEX(ExpTime,$L1787)="","—",LEFT(INDEX(ExpTime,$L1787),2)&amp;":"&amp;RIGHT(INDEX(ExpTime,$L1787),2)))</f>
        <v/>
      </c>
      <c r="D1787" s="17">
        <f>IF($L1787="","",IF(INDEX(ExpBank,$L1787)="","—",INDEX(ExpBank,$L1787)))</f>
        <v/>
      </c>
      <c r="E1787" s="18">
        <f>IF($L1787="","",IF(INDEX(ExpParty,$L1787)="","—",IFERROR(VLOOKUP(INDEX(ExpParty,$L1787),AcctTbl,4,0),INDEX(ExpParty,$L1787))))</f>
        <v/>
      </c>
      <c r="F1787" s="17">
        <f>IF($L1787="","",IF(INDEX(ExpType,$L1787)="","—",INDEX(ExpType,$L1787)))</f>
        <v/>
      </c>
      <c r="G1787" s="19">
        <f>IF($L1787="","",IF(INDEX(ExpDep,$L1787)=0,"",INDEX(ExpDep,$L1787)))</f>
        <v/>
      </c>
      <c r="H1787" s="19">
        <f>IF($L1787="","",IF(INDEX(ExpWit,$L1787)=0,"",INDEX(ExpWit,$L1787)))</f>
        <v/>
      </c>
      <c r="I1787" s="20">
        <f>IF($B1787="","",IF($I1786="",0,$I1786)+IF($H1787="",0,$H1787)-IF($G1787="",0,$G1787))</f>
        <v/>
      </c>
      <c r="J1787" s="18">
        <f>IF($L1787="","",IF(INDEX(ExpNote,$L1787)="","—",INDEX(ExpNote,$L1787)))</f>
        <v/>
      </c>
      <c r="L1787">
        <f>IFERROR(MATCH($C$5&amp;"|"&amp;RIGHT("000000"&amp;1771,6),ExpRankKey,0),"")</f>
        <v/>
      </c>
    </row>
    <row r="1788">
      <c r="A1788" s="21" t="n">
        <v>1772</v>
      </c>
      <c r="B1788" s="22">
        <f>IF($L1788="","",INDEX(ExpNorm,$L1788))</f>
        <v/>
      </c>
      <c r="C1788" s="22">
        <f>IF($L1788="","",IF(INDEX(ExpTime,$L1788)="","—",LEFT(INDEX(ExpTime,$L1788),2)&amp;":"&amp;RIGHT(INDEX(ExpTime,$L1788),2)))</f>
        <v/>
      </c>
      <c r="D1788" s="22">
        <f>IF($L1788="","",IF(INDEX(ExpBank,$L1788)="","—",INDEX(ExpBank,$L1788)))</f>
        <v/>
      </c>
      <c r="E1788" s="23">
        <f>IF($L1788="","",IF(INDEX(ExpParty,$L1788)="","—",IFERROR(VLOOKUP(INDEX(ExpParty,$L1788),AcctTbl,4,0),INDEX(ExpParty,$L1788))))</f>
        <v/>
      </c>
      <c r="F1788" s="22">
        <f>IF($L1788="","",IF(INDEX(ExpType,$L1788)="","—",INDEX(ExpType,$L1788)))</f>
        <v/>
      </c>
      <c r="G1788" s="24">
        <f>IF($L1788="","",IF(INDEX(ExpDep,$L1788)=0,"",INDEX(ExpDep,$L1788)))</f>
        <v/>
      </c>
      <c r="H1788" s="24">
        <f>IF($L1788="","",IF(INDEX(ExpWit,$L1788)=0,"",INDEX(ExpWit,$L1788)))</f>
        <v/>
      </c>
      <c r="I1788" s="25">
        <f>IF($B1788="","",IF($I1787="",0,$I1787)+IF($H1788="",0,$H1788)-IF($G1788="",0,$G1788))</f>
        <v/>
      </c>
      <c r="J1788" s="23">
        <f>IF($L1788="","",IF(INDEX(ExpNote,$L1788)="","—",INDEX(ExpNote,$L1788)))</f>
        <v/>
      </c>
      <c r="L1788">
        <f>IFERROR(MATCH($C$5&amp;"|"&amp;RIGHT("000000"&amp;1772,6),ExpRankKey,0),"")</f>
        <v/>
      </c>
    </row>
    <row r="1789">
      <c r="A1789" s="16" t="n">
        <v>1773</v>
      </c>
      <c r="B1789" s="17">
        <f>IF($L1789="","",INDEX(ExpNorm,$L1789))</f>
        <v/>
      </c>
      <c r="C1789" s="17">
        <f>IF($L1789="","",IF(INDEX(ExpTime,$L1789)="","—",LEFT(INDEX(ExpTime,$L1789),2)&amp;":"&amp;RIGHT(INDEX(ExpTime,$L1789),2)))</f>
        <v/>
      </c>
      <c r="D1789" s="17">
        <f>IF($L1789="","",IF(INDEX(ExpBank,$L1789)="","—",INDEX(ExpBank,$L1789)))</f>
        <v/>
      </c>
      <c r="E1789" s="18">
        <f>IF($L1789="","",IF(INDEX(ExpParty,$L1789)="","—",IFERROR(VLOOKUP(INDEX(ExpParty,$L1789),AcctTbl,4,0),INDEX(ExpParty,$L1789))))</f>
        <v/>
      </c>
      <c r="F1789" s="17">
        <f>IF($L1789="","",IF(INDEX(ExpType,$L1789)="","—",INDEX(ExpType,$L1789)))</f>
        <v/>
      </c>
      <c r="G1789" s="19">
        <f>IF($L1789="","",IF(INDEX(ExpDep,$L1789)=0,"",INDEX(ExpDep,$L1789)))</f>
        <v/>
      </c>
      <c r="H1789" s="19">
        <f>IF($L1789="","",IF(INDEX(ExpWit,$L1789)=0,"",INDEX(ExpWit,$L1789)))</f>
        <v/>
      </c>
      <c r="I1789" s="20">
        <f>IF($B1789="","",IF($I1788="",0,$I1788)+IF($H1789="",0,$H1789)-IF($G1789="",0,$G1789))</f>
        <v/>
      </c>
      <c r="J1789" s="18">
        <f>IF($L1789="","",IF(INDEX(ExpNote,$L1789)="","—",INDEX(ExpNote,$L1789)))</f>
        <v/>
      </c>
      <c r="L1789">
        <f>IFERROR(MATCH($C$5&amp;"|"&amp;RIGHT("000000"&amp;1773,6),ExpRankKey,0),"")</f>
        <v/>
      </c>
    </row>
    <row r="1790">
      <c r="A1790" s="21" t="n">
        <v>1774</v>
      </c>
      <c r="B1790" s="22">
        <f>IF($L1790="","",INDEX(ExpNorm,$L1790))</f>
        <v/>
      </c>
      <c r="C1790" s="22">
        <f>IF($L1790="","",IF(INDEX(ExpTime,$L1790)="","—",LEFT(INDEX(ExpTime,$L1790),2)&amp;":"&amp;RIGHT(INDEX(ExpTime,$L1790),2)))</f>
        <v/>
      </c>
      <c r="D1790" s="22">
        <f>IF($L1790="","",IF(INDEX(ExpBank,$L1790)="","—",INDEX(ExpBank,$L1790)))</f>
        <v/>
      </c>
      <c r="E1790" s="23">
        <f>IF($L1790="","",IF(INDEX(ExpParty,$L1790)="","—",IFERROR(VLOOKUP(INDEX(ExpParty,$L1790),AcctTbl,4,0),INDEX(ExpParty,$L1790))))</f>
        <v/>
      </c>
      <c r="F1790" s="22">
        <f>IF($L1790="","",IF(INDEX(ExpType,$L1790)="","—",INDEX(ExpType,$L1790)))</f>
        <v/>
      </c>
      <c r="G1790" s="24">
        <f>IF($L1790="","",IF(INDEX(ExpDep,$L1790)=0,"",INDEX(ExpDep,$L1790)))</f>
        <v/>
      </c>
      <c r="H1790" s="24">
        <f>IF($L1790="","",IF(INDEX(ExpWit,$L1790)=0,"",INDEX(ExpWit,$L1790)))</f>
        <v/>
      </c>
      <c r="I1790" s="25">
        <f>IF($B1790="","",IF($I1789="",0,$I1789)+IF($H1790="",0,$H1790)-IF($G1790="",0,$G1790))</f>
        <v/>
      </c>
      <c r="J1790" s="23">
        <f>IF($L1790="","",IF(INDEX(ExpNote,$L1790)="","—",INDEX(ExpNote,$L1790)))</f>
        <v/>
      </c>
      <c r="L1790">
        <f>IFERROR(MATCH($C$5&amp;"|"&amp;RIGHT("000000"&amp;1774,6),ExpRankKey,0),"")</f>
        <v/>
      </c>
    </row>
    <row r="1791">
      <c r="A1791" s="16" t="n">
        <v>1775</v>
      </c>
      <c r="B1791" s="17">
        <f>IF($L1791="","",INDEX(ExpNorm,$L1791))</f>
        <v/>
      </c>
      <c r="C1791" s="17">
        <f>IF($L1791="","",IF(INDEX(ExpTime,$L1791)="","—",LEFT(INDEX(ExpTime,$L1791),2)&amp;":"&amp;RIGHT(INDEX(ExpTime,$L1791),2)))</f>
        <v/>
      </c>
      <c r="D1791" s="17">
        <f>IF($L1791="","",IF(INDEX(ExpBank,$L1791)="","—",INDEX(ExpBank,$L1791)))</f>
        <v/>
      </c>
      <c r="E1791" s="18">
        <f>IF($L1791="","",IF(INDEX(ExpParty,$L1791)="","—",IFERROR(VLOOKUP(INDEX(ExpParty,$L1791),AcctTbl,4,0),INDEX(ExpParty,$L1791))))</f>
        <v/>
      </c>
      <c r="F1791" s="17">
        <f>IF($L1791="","",IF(INDEX(ExpType,$L1791)="","—",INDEX(ExpType,$L1791)))</f>
        <v/>
      </c>
      <c r="G1791" s="19">
        <f>IF($L1791="","",IF(INDEX(ExpDep,$L1791)=0,"",INDEX(ExpDep,$L1791)))</f>
        <v/>
      </c>
      <c r="H1791" s="19">
        <f>IF($L1791="","",IF(INDEX(ExpWit,$L1791)=0,"",INDEX(ExpWit,$L1791)))</f>
        <v/>
      </c>
      <c r="I1791" s="20">
        <f>IF($B1791="","",IF($I1790="",0,$I1790)+IF($H1791="",0,$H1791)-IF($G1791="",0,$G1791))</f>
        <v/>
      </c>
      <c r="J1791" s="18">
        <f>IF($L1791="","",IF(INDEX(ExpNote,$L1791)="","—",INDEX(ExpNote,$L1791)))</f>
        <v/>
      </c>
      <c r="L1791">
        <f>IFERROR(MATCH($C$5&amp;"|"&amp;RIGHT("000000"&amp;1775,6),ExpRankKey,0),"")</f>
        <v/>
      </c>
    </row>
    <row r="1792">
      <c r="A1792" s="21" t="n">
        <v>1776</v>
      </c>
      <c r="B1792" s="22">
        <f>IF($L1792="","",INDEX(ExpNorm,$L1792))</f>
        <v/>
      </c>
      <c r="C1792" s="22">
        <f>IF($L1792="","",IF(INDEX(ExpTime,$L1792)="","—",LEFT(INDEX(ExpTime,$L1792),2)&amp;":"&amp;RIGHT(INDEX(ExpTime,$L1792),2)))</f>
        <v/>
      </c>
      <c r="D1792" s="22">
        <f>IF($L1792="","",IF(INDEX(ExpBank,$L1792)="","—",INDEX(ExpBank,$L1792)))</f>
        <v/>
      </c>
      <c r="E1792" s="23">
        <f>IF($L1792="","",IF(INDEX(ExpParty,$L1792)="","—",IFERROR(VLOOKUP(INDEX(ExpParty,$L1792),AcctTbl,4,0),INDEX(ExpParty,$L1792))))</f>
        <v/>
      </c>
      <c r="F1792" s="22">
        <f>IF($L1792="","",IF(INDEX(ExpType,$L1792)="","—",INDEX(ExpType,$L1792)))</f>
        <v/>
      </c>
      <c r="G1792" s="24">
        <f>IF($L1792="","",IF(INDEX(ExpDep,$L1792)=0,"",INDEX(ExpDep,$L1792)))</f>
        <v/>
      </c>
      <c r="H1792" s="24">
        <f>IF($L1792="","",IF(INDEX(ExpWit,$L1792)=0,"",INDEX(ExpWit,$L1792)))</f>
        <v/>
      </c>
      <c r="I1792" s="25">
        <f>IF($B1792="","",IF($I1791="",0,$I1791)+IF($H1792="",0,$H1792)-IF($G1792="",0,$G1792))</f>
        <v/>
      </c>
      <c r="J1792" s="23">
        <f>IF($L1792="","",IF(INDEX(ExpNote,$L1792)="","—",INDEX(ExpNote,$L1792)))</f>
        <v/>
      </c>
      <c r="L1792">
        <f>IFERROR(MATCH($C$5&amp;"|"&amp;RIGHT("000000"&amp;1776,6),ExpRankKey,0),"")</f>
        <v/>
      </c>
    </row>
    <row r="1793">
      <c r="A1793" s="16" t="n">
        <v>1777</v>
      </c>
      <c r="B1793" s="17">
        <f>IF($L1793="","",INDEX(ExpNorm,$L1793))</f>
        <v/>
      </c>
      <c r="C1793" s="17">
        <f>IF($L1793="","",IF(INDEX(ExpTime,$L1793)="","—",LEFT(INDEX(ExpTime,$L1793),2)&amp;":"&amp;RIGHT(INDEX(ExpTime,$L1793),2)))</f>
        <v/>
      </c>
      <c r="D1793" s="17">
        <f>IF($L1793="","",IF(INDEX(ExpBank,$L1793)="","—",INDEX(ExpBank,$L1793)))</f>
        <v/>
      </c>
      <c r="E1793" s="18">
        <f>IF($L1793="","",IF(INDEX(ExpParty,$L1793)="","—",IFERROR(VLOOKUP(INDEX(ExpParty,$L1793),AcctTbl,4,0),INDEX(ExpParty,$L1793))))</f>
        <v/>
      </c>
      <c r="F1793" s="17">
        <f>IF($L1793="","",IF(INDEX(ExpType,$L1793)="","—",INDEX(ExpType,$L1793)))</f>
        <v/>
      </c>
      <c r="G1793" s="19">
        <f>IF($L1793="","",IF(INDEX(ExpDep,$L1793)=0,"",INDEX(ExpDep,$L1793)))</f>
        <v/>
      </c>
      <c r="H1793" s="19">
        <f>IF($L1793="","",IF(INDEX(ExpWit,$L1793)=0,"",INDEX(ExpWit,$L1793)))</f>
        <v/>
      </c>
      <c r="I1793" s="20">
        <f>IF($B1793="","",IF($I1792="",0,$I1792)+IF($H1793="",0,$H1793)-IF($G1793="",0,$G1793))</f>
        <v/>
      </c>
      <c r="J1793" s="18">
        <f>IF($L1793="","",IF(INDEX(ExpNote,$L1793)="","—",INDEX(ExpNote,$L1793)))</f>
        <v/>
      </c>
      <c r="L1793">
        <f>IFERROR(MATCH($C$5&amp;"|"&amp;RIGHT("000000"&amp;1777,6),ExpRankKey,0),"")</f>
        <v/>
      </c>
    </row>
    <row r="1794">
      <c r="A1794" s="21" t="n">
        <v>1778</v>
      </c>
      <c r="B1794" s="22">
        <f>IF($L1794="","",INDEX(ExpNorm,$L1794))</f>
        <v/>
      </c>
      <c r="C1794" s="22">
        <f>IF($L1794="","",IF(INDEX(ExpTime,$L1794)="","—",LEFT(INDEX(ExpTime,$L1794),2)&amp;":"&amp;RIGHT(INDEX(ExpTime,$L1794),2)))</f>
        <v/>
      </c>
      <c r="D1794" s="22">
        <f>IF($L1794="","",IF(INDEX(ExpBank,$L1794)="","—",INDEX(ExpBank,$L1794)))</f>
        <v/>
      </c>
      <c r="E1794" s="23">
        <f>IF($L1794="","",IF(INDEX(ExpParty,$L1794)="","—",IFERROR(VLOOKUP(INDEX(ExpParty,$L1794),AcctTbl,4,0),INDEX(ExpParty,$L1794))))</f>
        <v/>
      </c>
      <c r="F1794" s="22">
        <f>IF($L1794="","",IF(INDEX(ExpType,$L1794)="","—",INDEX(ExpType,$L1794)))</f>
        <v/>
      </c>
      <c r="G1794" s="24">
        <f>IF($L1794="","",IF(INDEX(ExpDep,$L1794)=0,"",INDEX(ExpDep,$L1794)))</f>
        <v/>
      </c>
      <c r="H1794" s="24">
        <f>IF($L1794="","",IF(INDEX(ExpWit,$L1794)=0,"",INDEX(ExpWit,$L1794)))</f>
        <v/>
      </c>
      <c r="I1794" s="25">
        <f>IF($B1794="","",IF($I1793="",0,$I1793)+IF($H1794="",0,$H1794)-IF($G1794="",0,$G1794))</f>
        <v/>
      </c>
      <c r="J1794" s="23">
        <f>IF($L1794="","",IF(INDEX(ExpNote,$L1794)="","—",INDEX(ExpNote,$L1794)))</f>
        <v/>
      </c>
      <c r="L1794">
        <f>IFERROR(MATCH($C$5&amp;"|"&amp;RIGHT("000000"&amp;1778,6),ExpRankKey,0),"")</f>
        <v/>
      </c>
    </row>
    <row r="1795">
      <c r="A1795" s="16" t="n">
        <v>1779</v>
      </c>
      <c r="B1795" s="17">
        <f>IF($L1795="","",INDEX(ExpNorm,$L1795))</f>
        <v/>
      </c>
      <c r="C1795" s="17">
        <f>IF($L1795="","",IF(INDEX(ExpTime,$L1795)="","—",LEFT(INDEX(ExpTime,$L1795),2)&amp;":"&amp;RIGHT(INDEX(ExpTime,$L1795),2)))</f>
        <v/>
      </c>
      <c r="D1795" s="17">
        <f>IF($L1795="","",IF(INDEX(ExpBank,$L1795)="","—",INDEX(ExpBank,$L1795)))</f>
        <v/>
      </c>
      <c r="E1795" s="18">
        <f>IF($L1795="","",IF(INDEX(ExpParty,$L1795)="","—",IFERROR(VLOOKUP(INDEX(ExpParty,$L1795),AcctTbl,4,0),INDEX(ExpParty,$L1795))))</f>
        <v/>
      </c>
      <c r="F1795" s="17">
        <f>IF($L1795="","",IF(INDEX(ExpType,$L1795)="","—",INDEX(ExpType,$L1795)))</f>
        <v/>
      </c>
      <c r="G1795" s="19">
        <f>IF($L1795="","",IF(INDEX(ExpDep,$L1795)=0,"",INDEX(ExpDep,$L1795)))</f>
        <v/>
      </c>
      <c r="H1795" s="19">
        <f>IF($L1795="","",IF(INDEX(ExpWit,$L1795)=0,"",INDEX(ExpWit,$L1795)))</f>
        <v/>
      </c>
      <c r="I1795" s="20">
        <f>IF($B1795="","",IF($I1794="",0,$I1794)+IF($H1795="",0,$H1795)-IF($G1795="",0,$G1795))</f>
        <v/>
      </c>
      <c r="J1795" s="18">
        <f>IF($L1795="","",IF(INDEX(ExpNote,$L1795)="","—",INDEX(ExpNote,$L1795)))</f>
        <v/>
      </c>
      <c r="L1795">
        <f>IFERROR(MATCH($C$5&amp;"|"&amp;RIGHT("000000"&amp;1779,6),ExpRankKey,0),"")</f>
        <v/>
      </c>
    </row>
    <row r="1796">
      <c r="A1796" s="21" t="n">
        <v>1780</v>
      </c>
      <c r="B1796" s="22">
        <f>IF($L1796="","",INDEX(ExpNorm,$L1796))</f>
        <v/>
      </c>
      <c r="C1796" s="22">
        <f>IF($L1796="","",IF(INDEX(ExpTime,$L1796)="","—",LEFT(INDEX(ExpTime,$L1796),2)&amp;":"&amp;RIGHT(INDEX(ExpTime,$L1796),2)))</f>
        <v/>
      </c>
      <c r="D1796" s="22">
        <f>IF($L1796="","",IF(INDEX(ExpBank,$L1796)="","—",INDEX(ExpBank,$L1796)))</f>
        <v/>
      </c>
      <c r="E1796" s="23">
        <f>IF($L1796="","",IF(INDEX(ExpParty,$L1796)="","—",IFERROR(VLOOKUP(INDEX(ExpParty,$L1796),AcctTbl,4,0),INDEX(ExpParty,$L1796))))</f>
        <v/>
      </c>
      <c r="F1796" s="22">
        <f>IF($L1796="","",IF(INDEX(ExpType,$L1796)="","—",INDEX(ExpType,$L1796)))</f>
        <v/>
      </c>
      <c r="G1796" s="24">
        <f>IF($L1796="","",IF(INDEX(ExpDep,$L1796)=0,"",INDEX(ExpDep,$L1796)))</f>
        <v/>
      </c>
      <c r="H1796" s="24">
        <f>IF($L1796="","",IF(INDEX(ExpWit,$L1796)=0,"",INDEX(ExpWit,$L1796)))</f>
        <v/>
      </c>
      <c r="I1796" s="25">
        <f>IF($B1796="","",IF($I1795="",0,$I1795)+IF($H1796="",0,$H1796)-IF($G1796="",0,$G1796))</f>
        <v/>
      </c>
      <c r="J1796" s="23">
        <f>IF($L1796="","",IF(INDEX(ExpNote,$L1796)="","—",INDEX(ExpNote,$L1796)))</f>
        <v/>
      </c>
      <c r="L1796">
        <f>IFERROR(MATCH($C$5&amp;"|"&amp;RIGHT("000000"&amp;1780,6),ExpRankKey,0),"")</f>
        <v/>
      </c>
    </row>
    <row r="1797">
      <c r="A1797" s="16" t="n">
        <v>1781</v>
      </c>
      <c r="B1797" s="17">
        <f>IF($L1797="","",INDEX(ExpNorm,$L1797))</f>
        <v/>
      </c>
      <c r="C1797" s="17">
        <f>IF($L1797="","",IF(INDEX(ExpTime,$L1797)="","—",LEFT(INDEX(ExpTime,$L1797),2)&amp;":"&amp;RIGHT(INDEX(ExpTime,$L1797),2)))</f>
        <v/>
      </c>
      <c r="D1797" s="17">
        <f>IF($L1797="","",IF(INDEX(ExpBank,$L1797)="","—",INDEX(ExpBank,$L1797)))</f>
        <v/>
      </c>
      <c r="E1797" s="18">
        <f>IF($L1797="","",IF(INDEX(ExpParty,$L1797)="","—",IFERROR(VLOOKUP(INDEX(ExpParty,$L1797),AcctTbl,4,0),INDEX(ExpParty,$L1797))))</f>
        <v/>
      </c>
      <c r="F1797" s="17">
        <f>IF($L1797="","",IF(INDEX(ExpType,$L1797)="","—",INDEX(ExpType,$L1797)))</f>
        <v/>
      </c>
      <c r="G1797" s="19">
        <f>IF($L1797="","",IF(INDEX(ExpDep,$L1797)=0,"",INDEX(ExpDep,$L1797)))</f>
        <v/>
      </c>
      <c r="H1797" s="19">
        <f>IF($L1797="","",IF(INDEX(ExpWit,$L1797)=0,"",INDEX(ExpWit,$L1797)))</f>
        <v/>
      </c>
      <c r="I1797" s="20">
        <f>IF($B1797="","",IF($I1796="",0,$I1796)+IF($H1797="",0,$H1797)-IF($G1797="",0,$G1797))</f>
        <v/>
      </c>
      <c r="J1797" s="18">
        <f>IF($L1797="","",IF(INDEX(ExpNote,$L1797)="","—",INDEX(ExpNote,$L1797)))</f>
        <v/>
      </c>
      <c r="L1797">
        <f>IFERROR(MATCH($C$5&amp;"|"&amp;RIGHT("000000"&amp;1781,6),ExpRankKey,0),"")</f>
        <v/>
      </c>
    </row>
    <row r="1798">
      <c r="A1798" s="21" t="n">
        <v>1782</v>
      </c>
      <c r="B1798" s="22">
        <f>IF($L1798="","",INDEX(ExpNorm,$L1798))</f>
        <v/>
      </c>
      <c r="C1798" s="22">
        <f>IF($L1798="","",IF(INDEX(ExpTime,$L1798)="","—",LEFT(INDEX(ExpTime,$L1798),2)&amp;":"&amp;RIGHT(INDEX(ExpTime,$L1798),2)))</f>
        <v/>
      </c>
      <c r="D1798" s="22">
        <f>IF($L1798="","",IF(INDEX(ExpBank,$L1798)="","—",INDEX(ExpBank,$L1798)))</f>
        <v/>
      </c>
      <c r="E1798" s="23">
        <f>IF($L1798="","",IF(INDEX(ExpParty,$L1798)="","—",IFERROR(VLOOKUP(INDEX(ExpParty,$L1798),AcctTbl,4,0),INDEX(ExpParty,$L1798))))</f>
        <v/>
      </c>
      <c r="F1798" s="22">
        <f>IF($L1798="","",IF(INDEX(ExpType,$L1798)="","—",INDEX(ExpType,$L1798)))</f>
        <v/>
      </c>
      <c r="G1798" s="24">
        <f>IF($L1798="","",IF(INDEX(ExpDep,$L1798)=0,"",INDEX(ExpDep,$L1798)))</f>
        <v/>
      </c>
      <c r="H1798" s="24">
        <f>IF($L1798="","",IF(INDEX(ExpWit,$L1798)=0,"",INDEX(ExpWit,$L1798)))</f>
        <v/>
      </c>
      <c r="I1798" s="25">
        <f>IF($B1798="","",IF($I1797="",0,$I1797)+IF($H1798="",0,$H1798)-IF($G1798="",0,$G1798))</f>
        <v/>
      </c>
      <c r="J1798" s="23">
        <f>IF($L1798="","",IF(INDEX(ExpNote,$L1798)="","—",INDEX(ExpNote,$L1798)))</f>
        <v/>
      </c>
      <c r="L1798">
        <f>IFERROR(MATCH($C$5&amp;"|"&amp;RIGHT("000000"&amp;1782,6),ExpRankKey,0),"")</f>
        <v/>
      </c>
    </row>
    <row r="1799">
      <c r="A1799" s="16" t="n">
        <v>1783</v>
      </c>
      <c r="B1799" s="17">
        <f>IF($L1799="","",INDEX(ExpNorm,$L1799))</f>
        <v/>
      </c>
      <c r="C1799" s="17">
        <f>IF($L1799="","",IF(INDEX(ExpTime,$L1799)="","—",LEFT(INDEX(ExpTime,$L1799),2)&amp;":"&amp;RIGHT(INDEX(ExpTime,$L1799),2)))</f>
        <v/>
      </c>
      <c r="D1799" s="17">
        <f>IF($L1799="","",IF(INDEX(ExpBank,$L1799)="","—",INDEX(ExpBank,$L1799)))</f>
        <v/>
      </c>
      <c r="E1799" s="18">
        <f>IF($L1799="","",IF(INDEX(ExpParty,$L1799)="","—",IFERROR(VLOOKUP(INDEX(ExpParty,$L1799),AcctTbl,4,0),INDEX(ExpParty,$L1799))))</f>
        <v/>
      </c>
      <c r="F1799" s="17">
        <f>IF($L1799="","",IF(INDEX(ExpType,$L1799)="","—",INDEX(ExpType,$L1799)))</f>
        <v/>
      </c>
      <c r="G1799" s="19">
        <f>IF($L1799="","",IF(INDEX(ExpDep,$L1799)=0,"",INDEX(ExpDep,$L1799)))</f>
        <v/>
      </c>
      <c r="H1799" s="19">
        <f>IF($L1799="","",IF(INDEX(ExpWit,$L1799)=0,"",INDEX(ExpWit,$L1799)))</f>
        <v/>
      </c>
      <c r="I1799" s="20">
        <f>IF($B1799="","",IF($I1798="",0,$I1798)+IF($H1799="",0,$H1799)-IF($G1799="",0,$G1799))</f>
        <v/>
      </c>
      <c r="J1799" s="18">
        <f>IF($L1799="","",IF(INDEX(ExpNote,$L1799)="","—",INDEX(ExpNote,$L1799)))</f>
        <v/>
      </c>
      <c r="L1799">
        <f>IFERROR(MATCH($C$5&amp;"|"&amp;RIGHT("000000"&amp;1783,6),ExpRankKey,0),"")</f>
        <v/>
      </c>
    </row>
    <row r="1800">
      <c r="A1800" s="21" t="n">
        <v>1784</v>
      </c>
      <c r="B1800" s="22">
        <f>IF($L1800="","",INDEX(ExpNorm,$L1800))</f>
        <v/>
      </c>
      <c r="C1800" s="22">
        <f>IF($L1800="","",IF(INDEX(ExpTime,$L1800)="","—",LEFT(INDEX(ExpTime,$L1800),2)&amp;":"&amp;RIGHT(INDEX(ExpTime,$L1800),2)))</f>
        <v/>
      </c>
      <c r="D1800" s="22">
        <f>IF($L1800="","",IF(INDEX(ExpBank,$L1800)="","—",INDEX(ExpBank,$L1800)))</f>
        <v/>
      </c>
      <c r="E1800" s="23">
        <f>IF($L1800="","",IF(INDEX(ExpParty,$L1800)="","—",IFERROR(VLOOKUP(INDEX(ExpParty,$L1800),AcctTbl,4,0),INDEX(ExpParty,$L1800))))</f>
        <v/>
      </c>
      <c r="F1800" s="22">
        <f>IF($L1800="","",IF(INDEX(ExpType,$L1800)="","—",INDEX(ExpType,$L1800)))</f>
        <v/>
      </c>
      <c r="G1800" s="24">
        <f>IF($L1800="","",IF(INDEX(ExpDep,$L1800)=0,"",INDEX(ExpDep,$L1800)))</f>
        <v/>
      </c>
      <c r="H1800" s="24">
        <f>IF($L1800="","",IF(INDEX(ExpWit,$L1800)=0,"",INDEX(ExpWit,$L1800)))</f>
        <v/>
      </c>
      <c r="I1800" s="25">
        <f>IF($B1800="","",IF($I1799="",0,$I1799)+IF($H1800="",0,$H1800)-IF($G1800="",0,$G1800))</f>
        <v/>
      </c>
      <c r="J1800" s="23">
        <f>IF($L1800="","",IF(INDEX(ExpNote,$L1800)="","—",INDEX(ExpNote,$L1800)))</f>
        <v/>
      </c>
      <c r="L1800">
        <f>IFERROR(MATCH($C$5&amp;"|"&amp;RIGHT("000000"&amp;1784,6),ExpRankKey,0),"")</f>
        <v/>
      </c>
    </row>
    <row r="1801">
      <c r="A1801" s="16" t="n">
        <v>1785</v>
      </c>
      <c r="B1801" s="17">
        <f>IF($L1801="","",INDEX(ExpNorm,$L1801))</f>
        <v/>
      </c>
      <c r="C1801" s="17">
        <f>IF($L1801="","",IF(INDEX(ExpTime,$L1801)="","—",LEFT(INDEX(ExpTime,$L1801),2)&amp;":"&amp;RIGHT(INDEX(ExpTime,$L1801),2)))</f>
        <v/>
      </c>
      <c r="D1801" s="17">
        <f>IF($L1801="","",IF(INDEX(ExpBank,$L1801)="","—",INDEX(ExpBank,$L1801)))</f>
        <v/>
      </c>
      <c r="E1801" s="18">
        <f>IF($L1801="","",IF(INDEX(ExpParty,$L1801)="","—",IFERROR(VLOOKUP(INDEX(ExpParty,$L1801),AcctTbl,4,0),INDEX(ExpParty,$L1801))))</f>
        <v/>
      </c>
      <c r="F1801" s="17">
        <f>IF($L1801="","",IF(INDEX(ExpType,$L1801)="","—",INDEX(ExpType,$L1801)))</f>
        <v/>
      </c>
      <c r="G1801" s="19">
        <f>IF($L1801="","",IF(INDEX(ExpDep,$L1801)=0,"",INDEX(ExpDep,$L1801)))</f>
        <v/>
      </c>
      <c r="H1801" s="19">
        <f>IF($L1801="","",IF(INDEX(ExpWit,$L1801)=0,"",INDEX(ExpWit,$L1801)))</f>
        <v/>
      </c>
      <c r="I1801" s="20">
        <f>IF($B1801="","",IF($I1800="",0,$I1800)+IF($H1801="",0,$H1801)-IF($G1801="",0,$G1801))</f>
        <v/>
      </c>
      <c r="J1801" s="18">
        <f>IF($L1801="","",IF(INDEX(ExpNote,$L1801)="","—",INDEX(ExpNote,$L1801)))</f>
        <v/>
      </c>
      <c r="L1801">
        <f>IFERROR(MATCH($C$5&amp;"|"&amp;RIGHT("000000"&amp;1785,6),ExpRankKey,0),"")</f>
        <v/>
      </c>
    </row>
    <row r="1802">
      <c r="A1802" s="21" t="n">
        <v>1786</v>
      </c>
      <c r="B1802" s="22">
        <f>IF($L1802="","",INDEX(ExpNorm,$L1802))</f>
        <v/>
      </c>
      <c r="C1802" s="22">
        <f>IF($L1802="","",IF(INDEX(ExpTime,$L1802)="","—",LEFT(INDEX(ExpTime,$L1802),2)&amp;":"&amp;RIGHT(INDEX(ExpTime,$L1802),2)))</f>
        <v/>
      </c>
      <c r="D1802" s="22">
        <f>IF($L1802="","",IF(INDEX(ExpBank,$L1802)="","—",INDEX(ExpBank,$L1802)))</f>
        <v/>
      </c>
      <c r="E1802" s="23">
        <f>IF($L1802="","",IF(INDEX(ExpParty,$L1802)="","—",IFERROR(VLOOKUP(INDEX(ExpParty,$L1802),AcctTbl,4,0),INDEX(ExpParty,$L1802))))</f>
        <v/>
      </c>
      <c r="F1802" s="22">
        <f>IF($L1802="","",IF(INDEX(ExpType,$L1802)="","—",INDEX(ExpType,$L1802)))</f>
        <v/>
      </c>
      <c r="G1802" s="24">
        <f>IF($L1802="","",IF(INDEX(ExpDep,$L1802)=0,"",INDEX(ExpDep,$L1802)))</f>
        <v/>
      </c>
      <c r="H1802" s="24">
        <f>IF($L1802="","",IF(INDEX(ExpWit,$L1802)=0,"",INDEX(ExpWit,$L1802)))</f>
        <v/>
      </c>
      <c r="I1802" s="25">
        <f>IF($B1802="","",IF($I1801="",0,$I1801)+IF($H1802="",0,$H1802)-IF($G1802="",0,$G1802))</f>
        <v/>
      </c>
      <c r="J1802" s="23">
        <f>IF($L1802="","",IF(INDEX(ExpNote,$L1802)="","—",INDEX(ExpNote,$L1802)))</f>
        <v/>
      </c>
      <c r="L1802">
        <f>IFERROR(MATCH($C$5&amp;"|"&amp;RIGHT("000000"&amp;1786,6),ExpRankKey,0),"")</f>
        <v/>
      </c>
    </row>
    <row r="1803">
      <c r="A1803" s="16" t="n">
        <v>1787</v>
      </c>
      <c r="B1803" s="17">
        <f>IF($L1803="","",INDEX(ExpNorm,$L1803))</f>
        <v/>
      </c>
      <c r="C1803" s="17">
        <f>IF($L1803="","",IF(INDEX(ExpTime,$L1803)="","—",LEFT(INDEX(ExpTime,$L1803),2)&amp;":"&amp;RIGHT(INDEX(ExpTime,$L1803),2)))</f>
        <v/>
      </c>
      <c r="D1803" s="17">
        <f>IF($L1803="","",IF(INDEX(ExpBank,$L1803)="","—",INDEX(ExpBank,$L1803)))</f>
        <v/>
      </c>
      <c r="E1803" s="18">
        <f>IF($L1803="","",IF(INDEX(ExpParty,$L1803)="","—",IFERROR(VLOOKUP(INDEX(ExpParty,$L1803),AcctTbl,4,0),INDEX(ExpParty,$L1803))))</f>
        <v/>
      </c>
      <c r="F1803" s="17">
        <f>IF($L1803="","",IF(INDEX(ExpType,$L1803)="","—",INDEX(ExpType,$L1803)))</f>
        <v/>
      </c>
      <c r="G1803" s="19">
        <f>IF($L1803="","",IF(INDEX(ExpDep,$L1803)=0,"",INDEX(ExpDep,$L1803)))</f>
        <v/>
      </c>
      <c r="H1803" s="19">
        <f>IF($L1803="","",IF(INDEX(ExpWit,$L1803)=0,"",INDEX(ExpWit,$L1803)))</f>
        <v/>
      </c>
      <c r="I1803" s="20">
        <f>IF($B1803="","",IF($I1802="",0,$I1802)+IF($H1803="",0,$H1803)-IF($G1803="",0,$G1803))</f>
        <v/>
      </c>
      <c r="J1803" s="18">
        <f>IF($L1803="","",IF(INDEX(ExpNote,$L1803)="","—",INDEX(ExpNote,$L1803)))</f>
        <v/>
      </c>
      <c r="L1803">
        <f>IFERROR(MATCH($C$5&amp;"|"&amp;RIGHT("000000"&amp;1787,6),ExpRankKey,0),"")</f>
        <v/>
      </c>
    </row>
    <row r="1804">
      <c r="A1804" s="21" t="n">
        <v>1788</v>
      </c>
      <c r="B1804" s="22">
        <f>IF($L1804="","",INDEX(ExpNorm,$L1804))</f>
        <v/>
      </c>
      <c r="C1804" s="22">
        <f>IF($L1804="","",IF(INDEX(ExpTime,$L1804)="","—",LEFT(INDEX(ExpTime,$L1804),2)&amp;":"&amp;RIGHT(INDEX(ExpTime,$L1804),2)))</f>
        <v/>
      </c>
      <c r="D1804" s="22">
        <f>IF($L1804="","",IF(INDEX(ExpBank,$L1804)="","—",INDEX(ExpBank,$L1804)))</f>
        <v/>
      </c>
      <c r="E1804" s="23">
        <f>IF($L1804="","",IF(INDEX(ExpParty,$L1804)="","—",IFERROR(VLOOKUP(INDEX(ExpParty,$L1804),AcctTbl,4,0),INDEX(ExpParty,$L1804))))</f>
        <v/>
      </c>
      <c r="F1804" s="22">
        <f>IF($L1804="","",IF(INDEX(ExpType,$L1804)="","—",INDEX(ExpType,$L1804)))</f>
        <v/>
      </c>
      <c r="G1804" s="24">
        <f>IF($L1804="","",IF(INDEX(ExpDep,$L1804)=0,"",INDEX(ExpDep,$L1804)))</f>
        <v/>
      </c>
      <c r="H1804" s="24">
        <f>IF($L1804="","",IF(INDEX(ExpWit,$L1804)=0,"",INDEX(ExpWit,$L1804)))</f>
        <v/>
      </c>
      <c r="I1804" s="25">
        <f>IF($B1804="","",IF($I1803="",0,$I1803)+IF($H1804="",0,$H1804)-IF($G1804="",0,$G1804))</f>
        <v/>
      </c>
      <c r="J1804" s="23">
        <f>IF($L1804="","",IF(INDEX(ExpNote,$L1804)="","—",INDEX(ExpNote,$L1804)))</f>
        <v/>
      </c>
      <c r="L1804">
        <f>IFERROR(MATCH($C$5&amp;"|"&amp;RIGHT("000000"&amp;1788,6),ExpRankKey,0),"")</f>
        <v/>
      </c>
    </row>
    <row r="1805">
      <c r="A1805" s="16" t="n">
        <v>1789</v>
      </c>
      <c r="B1805" s="17">
        <f>IF($L1805="","",INDEX(ExpNorm,$L1805))</f>
        <v/>
      </c>
      <c r="C1805" s="17">
        <f>IF($L1805="","",IF(INDEX(ExpTime,$L1805)="","—",LEFT(INDEX(ExpTime,$L1805),2)&amp;":"&amp;RIGHT(INDEX(ExpTime,$L1805),2)))</f>
        <v/>
      </c>
      <c r="D1805" s="17">
        <f>IF($L1805="","",IF(INDEX(ExpBank,$L1805)="","—",INDEX(ExpBank,$L1805)))</f>
        <v/>
      </c>
      <c r="E1805" s="18">
        <f>IF($L1805="","",IF(INDEX(ExpParty,$L1805)="","—",IFERROR(VLOOKUP(INDEX(ExpParty,$L1805),AcctTbl,4,0),INDEX(ExpParty,$L1805))))</f>
        <v/>
      </c>
      <c r="F1805" s="17">
        <f>IF($L1805="","",IF(INDEX(ExpType,$L1805)="","—",INDEX(ExpType,$L1805)))</f>
        <v/>
      </c>
      <c r="G1805" s="19">
        <f>IF($L1805="","",IF(INDEX(ExpDep,$L1805)=0,"",INDEX(ExpDep,$L1805)))</f>
        <v/>
      </c>
      <c r="H1805" s="19">
        <f>IF($L1805="","",IF(INDEX(ExpWit,$L1805)=0,"",INDEX(ExpWit,$L1805)))</f>
        <v/>
      </c>
      <c r="I1805" s="20">
        <f>IF($B1805="","",IF($I1804="",0,$I1804)+IF($H1805="",0,$H1805)-IF($G1805="",0,$G1805))</f>
        <v/>
      </c>
      <c r="J1805" s="18">
        <f>IF($L1805="","",IF(INDEX(ExpNote,$L1805)="","—",INDEX(ExpNote,$L1805)))</f>
        <v/>
      </c>
      <c r="L1805">
        <f>IFERROR(MATCH($C$5&amp;"|"&amp;RIGHT("000000"&amp;1789,6),ExpRankKey,0),"")</f>
        <v/>
      </c>
    </row>
    <row r="1806">
      <c r="A1806" s="21" t="n">
        <v>1790</v>
      </c>
      <c r="B1806" s="22">
        <f>IF($L1806="","",INDEX(ExpNorm,$L1806))</f>
        <v/>
      </c>
      <c r="C1806" s="22">
        <f>IF($L1806="","",IF(INDEX(ExpTime,$L1806)="","—",LEFT(INDEX(ExpTime,$L1806),2)&amp;":"&amp;RIGHT(INDEX(ExpTime,$L1806),2)))</f>
        <v/>
      </c>
      <c r="D1806" s="22">
        <f>IF($L1806="","",IF(INDEX(ExpBank,$L1806)="","—",INDEX(ExpBank,$L1806)))</f>
        <v/>
      </c>
      <c r="E1806" s="23">
        <f>IF($L1806="","",IF(INDEX(ExpParty,$L1806)="","—",IFERROR(VLOOKUP(INDEX(ExpParty,$L1806),AcctTbl,4,0),INDEX(ExpParty,$L1806))))</f>
        <v/>
      </c>
      <c r="F1806" s="22">
        <f>IF($L1806="","",IF(INDEX(ExpType,$L1806)="","—",INDEX(ExpType,$L1806)))</f>
        <v/>
      </c>
      <c r="G1806" s="24">
        <f>IF($L1806="","",IF(INDEX(ExpDep,$L1806)=0,"",INDEX(ExpDep,$L1806)))</f>
        <v/>
      </c>
      <c r="H1806" s="24">
        <f>IF($L1806="","",IF(INDEX(ExpWit,$L1806)=0,"",INDEX(ExpWit,$L1806)))</f>
        <v/>
      </c>
      <c r="I1806" s="25">
        <f>IF($B1806="","",IF($I1805="",0,$I1805)+IF($H1806="",0,$H1806)-IF($G1806="",0,$G1806))</f>
        <v/>
      </c>
      <c r="J1806" s="23">
        <f>IF($L1806="","",IF(INDEX(ExpNote,$L1806)="","—",INDEX(ExpNote,$L1806)))</f>
        <v/>
      </c>
      <c r="L1806">
        <f>IFERROR(MATCH($C$5&amp;"|"&amp;RIGHT("000000"&amp;1790,6),ExpRankKey,0),"")</f>
        <v/>
      </c>
    </row>
    <row r="1807">
      <c r="A1807" s="16" t="n">
        <v>1791</v>
      </c>
      <c r="B1807" s="17">
        <f>IF($L1807="","",INDEX(ExpNorm,$L1807))</f>
        <v/>
      </c>
      <c r="C1807" s="17">
        <f>IF($L1807="","",IF(INDEX(ExpTime,$L1807)="","—",LEFT(INDEX(ExpTime,$L1807),2)&amp;":"&amp;RIGHT(INDEX(ExpTime,$L1807),2)))</f>
        <v/>
      </c>
      <c r="D1807" s="17">
        <f>IF($L1807="","",IF(INDEX(ExpBank,$L1807)="","—",INDEX(ExpBank,$L1807)))</f>
        <v/>
      </c>
      <c r="E1807" s="18">
        <f>IF($L1807="","",IF(INDEX(ExpParty,$L1807)="","—",IFERROR(VLOOKUP(INDEX(ExpParty,$L1807),AcctTbl,4,0),INDEX(ExpParty,$L1807))))</f>
        <v/>
      </c>
      <c r="F1807" s="17">
        <f>IF($L1807="","",IF(INDEX(ExpType,$L1807)="","—",INDEX(ExpType,$L1807)))</f>
        <v/>
      </c>
      <c r="G1807" s="19">
        <f>IF($L1807="","",IF(INDEX(ExpDep,$L1807)=0,"",INDEX(ExpDep,$L1807)))</f>
        <v/>
      </c>
      <c r="H1807" s="19">
        <f>IF($L1807="","",IF(INDEX(ExpWit,$L1807)=0,"",INDEX(ExpWit,$L1807)))</f>
        <v/>
      </c>
      <c r="I1807" s="20">
        <f>IF($B1807="","",IF($I1806="",0,$I1806)+IF($H1807="",0,$H1807)-IF($G1807="",0,$G1807))</f>
        <v/>
      </c>
      <c r="J1807" s="18">
        <f>IF($L1807="","",IF(INDEX(ExpNote,$L1807)="","—",INDEX(ExpNote,$L1807)))</f>
        <v/>
      </c>
      <c r="L1807">
        <f>IFERROR(MATCH($C$5&amp;"|"&amp;RIGHT("000000"&amp;1791,6),ExpRankKey,0),"")</f>
        <v/>
      </c>
    </row>
    <row r="1808">
      <c r="A1808" s="21" t="n">
        <v>1792</v>
      </c>
      <c r="B1808" s="22">
        <f>IF($L1808="","",INDEX(ExpNorm,$L1808))</f>
        <v/>
      </c>
      <c r="C1808" s="22">
        <f>IF($L1808="","",IF(INDEX(ExpTime,$L1808)="","—",LEFT(INDEX(ExpTime,$L1808),2)&amp;":"&amp;RIGHT(INDEX(ExpTime,$L1808),2)))</f>
        <v/>
      </c>
      <c r="D1808" s="22">
        <f>IF($L1808="","",IF(INDEX(ExpBank,$L1808)="","—",INDEX(ExpBank,$L1808)))</f>
        <v/>
      </c>
      <c r="E1808" s="23">
        <f>IF($L1808="","",IF(INDEX(ExpParty,$L1808)="","—",IFERROR(VLOOKUP(INDEX(ExpParty,$L1808),AcctTbl,4,0),INDEX(ExpParty,$L1808))))</f>
        <v/>
      </c>
      <c r="F1808" s="22">
        <f>IF($L1808="","",IF(INDEX(ExpType,$L1808)="","—",INDEX(ExpType,$L1808)))</f>
        <v/>
      </c>
      <c r="G1808" s="24">
        <f>IF($L1808="","",IF(INDEX(ExpDep,$L1808)=0,"",INDEX(ExpDep,$L1808)))</f>
        <v/>
      </c>
      <c r="H1808" s="24">
        <f>IF($L1808="","",IF(INDEX(ExpWit,$L1808)=0,"",INDEX(ExpWit,$L1808)))</f>
        <v/>
      </c>
      <c r="I1808" s="25">
        <f>IF($B1808="","",IF($I1807="",0,$I1807)+IF($H1808="",0,$H1808)-IF($G1808="",0,$G1808))</f>
        <v/>
      </c>
      <c r="J1808" s="23">
        <f>IF($L1808="","",IF(INDEX(ExpNote,$L1808)="","—",INDEX(ExpNote,$L1808)))</f>
        <v/>
      </c>
      <c r="L1808">
        <f>IFERROR(MATCH($C$5&amp;"|"&amp;RIGHT("000000"&amp;1792,6),ExpRankKey,0),"")</f>
        <v/>
      </c>
    </row>
    <row r="1809">
      <c r="A1809" s="16" t="n">
        <v>1793</v>
      </c>
      <c r="B1809" s="17">
        <f>IF($L1809="","",INDEX(ExpNorm,$L1809))</f>
        <v/>
      </c>
      <c r="C1809" s="17">
        <f>IF($L1809="","",IF(INDEX(ExpTime,$L1809)="","—",LEFT(INDEX(ExpTime,$L1809),2)&amp;":"&amp;RIGHT(INDEX(ExpTime,$L1809),2)))</f>
        <v/>
      </c>
      <c r="D1809" s="17">
        <f>IF($L1809="","",IF(INDEX(ExpBank,$L1809)="","—",INDEX(ExpBank,$L1809)))</f>
        <v/>
      </c>
      <c r="E1809" s="18">
        <f>IF($L1809="","",IF(INDEX(ExpParty,$L1809)="","—",IFERROR(VLOOKUP(INDEX(ExpParty,$L1809),AcctTbl,4,0),INDEX(ExpParty,$L1809))))</f>
        <v/>
      </c>
      <c r="F1809" s="17">
        <f>IF($L1809="","",IF(INDEX(ExpType,$L1809)="","—",INDEX(ExpType,$L1809)))</f>
        <v/>
      </c>
      <c r="G1809" s="19">
        <f>IF($L1809="","",IF(INDEX(ExpDep,$L1809)=0,"",INDEX(ExpDep,$L1809)))</f>
        <v/>
      </c>
      <c r="H1809" s="19">
        <f>IF($L1809="","",IF(INDEX(ExpWit,$L1809)=0,"",INDEX(ExpWit,$L1809)))</f>
        <v/>
      </c>
      <c r="I1809" s="20">
        <f>IF($B1809="","",IF($I1808="",0,$I1808)+IF($H1809="",0,$H1809)-IF($G1809="",0,$G1809))</f>
        <v/>
      </c>
      <c r="J1809" s="18">
        <f>IF($L1809="","",IF(INDEX(ExpNote,$L1809)="","—",INDEX(ExpNote,$L1809)))</f>
        <v/>
      </c>
      <c r="L1809">
        <f>IFERROR(MATCH($C$5&amp;"|"&amp;RIGHT("000000"&amp;1793,6),ExpRankKey,0),"")</f>
        <v/>
      </c>
    </row>
    <row r="1810">
      <c r="A1810" s="21" t="n">
        <v>1794</v>
      </c>
      <c r="B1810" s="22">
        <f>IF($L1810="","",INDEX(ExpNorm,$L1810))</f>
        <v/>
      </c>
      <c r="C1810" s="22">
        <f>IF($L1810="","",IF(INDEX(ExpTime,$L1810)="","—",LEFT(INDEX(ExpTime,$L1810),2)&amp;":"&amp;RIGHT(INDEX(ExpTime,$L1810),2)))</f>
        <v/>
      </c>
      <c r="D1810" s="22">
        <f>IF($L1810="","",IF(INDEX(ExpBank,$L1810)="","—",INDEX(ExpBank,$L1810)))</f>
        <v/>
      </c>
      <c r="E1810" s="23">
        <f>IF($L1810="","",IF(INDEX(ExpParty,$L1810)="","—",IFERROR(VLOOKUP(INDEX(ExpParty,$L1810),AcctTbl,4,0),INDEX(ExpParty,$L1810))))</f>
        <v/>
      </c>
      <c r="F1810" s="22">
        <f>IF($L1810="","",IF(INDEX(ExpType,$L1810)="","—",INDEX(ExpType,$L1810)))</f>
        <v/>
      </c>
      <c r="G1810" s="24">
        <f>IF($L1810="","",IF(INDEX(ExpDep,$L1810)=0,"",INDEX(ExpDep,$L1810)))</f>
        <v/>
      </c>
      <c r="H1810" s="24">
        <f>IF($L1810="","",IF(INDEX(ExpWit,$L1810)=0,"",INDEX(ExpWit,$L1810)))</f>
        <v/>
      </c>
      <c r="I1810" s="25">
        <f>IF($B1810="","",IF($I1809="",0,$I1809)+IF($H1810="",0,$H1810)-IF($G1810="",0,$G1810))</f>
        <v/>
      </c>
      <c r="J1810" s="23">
        <f>IF($L1810="","",IF(INDEX(ExpNote,$L1810)="","—",INDEX(ExpNote,$L1810)))</f>
        <v/>
      </c>
      <c r="L1810">
        <f>IFERROR(MATCH($C$5&amp;"|"&amp;RIGHT("000000"&amp;1794,6),ExpRankKey,0),"")</f>
        <v/>
      </c>
    </row>
    <row r="1811">
      <c r="A1811" s="16" t="n">
        <v>1795</v>
      </c>
      <c r="B1811" s="17">
        <f>IF($L1811="","",INDEX(ExpNorm,$L1811))</f>
        <v/>
      </c>
      <c r="C1811" s="17">
        <f>IF($L1811="","",IF(INDEX(ExpTime,$L1811)="","—",LEFT(INDEX(ExpTime,$L1811),2)&amp;":"&amp;RIGHT(INDEX(ExpTime,$L1811),2)))</f>
        <v/>
      </c>
      <c r="D1811" s="17">
        <f>IF($L1811="","",IF(INDEX(ExpBank,$L1811)="","—",INDEX(ExpBank,$L1811)))</f>
        <v/>
      </c>
      <c r="E1811" s="18">
        <f>IF($L1811="","",IF(INDEX(ExpParty,$L1811)="","—",IFERROR(VLOOKUP(INDEX(ExpParty,$L1811),AcctTbl,4,0),INDEX(ExpParty,$L1811))))</f>
        <v/>
      </c>
      <c r="F1811" s="17">
        <f>IF($L1811="","",IF(INDEX(ExpType,$L1811)="","—",INDEX(ExpType,$L1811)))</f>
        <v/>
      </c>
      <c r="G1811" s="19">
        <f>IF($L1811="","",IF(INDEX(ExpDep,$L1811)=0,"",INDEX(ExpDep,$L1811)))</f>
        <v/>
      </c>
      <c r="H1811" s="19">
        <f>IF($L1811="","",IF(INDEX(ExpWit,$L1811)=0,"",INDEX(ExpWit,$L1811)))</f>
        <v/>
      </c>
      <c r="I1811" s="20">
        <f>IF($B1811="","",IF($I1810="",0,$I1810)+IF($H1811="",0,$H1811)-IF($G1811="",0,$G1811))</f>
        <v/>
      </c>
      <c r="J1811" s="18">
        <f>IF($L1811="","",IF(INDEX(ExpNote,$L1811)="","—",INDEX(ExpNote,$L1811)))</f>
        <v/>
      </c>
      <c r="L1811">
        <f>IFERROR(MATCH($C$5&amp;"|"&amp;RIGHT("000000"&amp;1795,6),ExpRankKey,0),"")</f>
        <v/>
      </c>
    </row>
    <row r="1812">
      <c r="A1812" s="21" t="n">
        <v>1796</v>
      </c>
      <c r="B1812" s="22">
        <f>IF($L1812="","",INDEX(ExpNorm,$L1812))</f>
        <v/>
      </c>
      <c r="C1812" s="22">
        <f>IF($L1812="","",IF(INDEX(ExpTime,$L1812)="","—",LEFT(INDEX(ExpTime,$L1812),2)&amp;":"&amp;RIGHT(INDEX(ExpTime,$L1812),2)))</f>
        <v/>
      </c>
      <c r="D1812" s="22">
        <f>IF($L1812="","",IF(INDEX(ExpBank,$L1812)="","—",INDEX(ExpBank,$L1812)))</f>
        <v/>
      </c>
      <c r="E1812" s="23">
        <f>IF($L1812="","",IF(INDEX(ExpParty,$L1812)="","—",IFERROR(VLOOKUP(INDEX(ExpParty,$L1812),AcctTbl,4,0),INDEX(ExpParty,$L1812))))</f>
        <v/>
      </c>
      <c r="F1812" s="22">
        <f>IF($L1812="","",IF(INDEX(ExpType,$L1812)="","—",INDEX(ExpType,$L1812)))</f>
        <v/>
      </c>
      <c r="G1812" s="24">
        <f>IF($L1812="","",IF(INDEX(ExpDep,$L1812)=0,"",INDEX(ExpDep,$L1812)))</f>
        <v/>
      </c>
      <c r="H1812" s="24">
        <f>IF($L1812="","",IF(INDEX(ExpWit,$L1812)=0,"",INDEX(ExpWit,$L1812)))</f>
        <v/>
      </c>
      <c r="I1812" s="25">
        <f>IF($B1812="","",IF($I1811="",0,$I1811)+IF($H1812="",0,$H1812)-IF($G1812="",0,$G1812))</f>
        <v/>
      </c>
      <c r="J1812" s="23">
        <f>IF($L1812="","",IF(INDEX(ExpNote,$L1812)="","—",INDEX(ExpNote,$L1812)))</f>
        <v/>
      </c>
      <c r="L1812">
        <f>IFERROR(MATCH($C$5&amp;"|"&amp;RIGHT("000000"&amp;1796,6),ExpRankKey,0),"")</f>
        <v/>
      </c>
    </row>
    <row r="1813">
      <c r="A1813" s="16" t="n">
        <v>1797</v>
      </c>
      <c r="B1813" s="17">
        <f>IF($L1813="","",INDEX(ExpNorm,$L1813))</f>
        <v/>
      </c>
      <c r="C1813" s="17">
        <f>IF($L1813="","",IF(INDEX(ExpTime,$L1813)="","—",LEFT(INDEX(ExpTime,$L1813),2)&amp;":"&amp;RIGHT(INDEX(ExpTime,$L1813),2)))</f>
        <v/>
      </c>
      <c r="D1813" s="17">
        <f>IF($L1813="","",IF(INDEX(ExpBank,$L1813)="","—",INDEX(ExpBank,$L1813)))</f>
        <v/>
      </c>
      <c r="E1813" s="18">
        <f>IF($L1813="","",IF(INDEX(ExpParty,$L1813)="","—",IFERROR(VLOOKUP(INDEX(ExpParty,$L1813),AcctTbl,4,0),INDEX(ExpParty,$L1813))))</f>
        <v/>
      </c>
      <c r="F1813" s="17">
        <f>IF($L1813="","",IF(INDEX(ExpType,$L1813)="","—",INDEX(ExpType,$L1813)))</f>
        <v/>
      </c>
      <c r="G1813" s="19">
        <f>IF($L1813="","",IF(INDEX(ExpDep,$L1813)=0,"",INDEX(ExpDep,$L1813)))</f>
        <v/>
      </c>
      <c r="H1813" s="19">
        <f>IF($L1813="","",IF(INDEX(ExpWit,$L1813)=0,"",INDEX(ExpWit,$L1813)))</f>
        <v/>
      </c>
      <c r="I1813" s="20">
        <f>IF($B1813="","",IF($I1812="",0,$I1812)+IF($H1813="",0,$H1813)-IF($G1813="",0,$G1813))</f>
        <v/>
      </c>
      <c r="J1813" s="18">
        <f>IF($L1813="","",IF(INDEX(ExpNote,$L1813)="","—",INDEX(ExpNote,$L1813)))</f>
        <v/>
      </c>
      <c r="L1813">
        <f>IFERROR(MATCH($C$5&amp;"|"&amp;RIGHT("000000"&amp;1797,6),ExpRankKey,0),"")</f>
        <v/>
      </c>
    </row>
    <row r="1814">
      <c r="A1814" s="21" t="n">
        <v>1798</v>
      </c>
      <c r="B1814" s="22">
        <f>IF($L1814="","",INDEX(ExpNorm,$L1814))</f>
        <v/>
      </c>
      <c r="C1814" s="22">
        <f>IF($L1814="","",IF(INDEX(ExpTime,$L1814)="","—",LEFT(INDEX(ExpTime,$L1814),2)&amp;":"&amp;RIGHT(INDEX(ExpTime,$L1814),2)))</f>
        <v/>
      </c>
      <c r="D1814" s="22">
        <f>IF($L1814="","",IF(INDEX(ExpBank,$L1814)="","—",INDEX(ExpBank,$L1814)))</f>
        <v/>
      </c>
      <c r="E1814" s="23">
        <f>IF($L1814="","",IF(INDEX(ExpParty,$L1814)="","—",IFERROR(VLOOKUP(INDEX(ExpParty,$L1814),AcctTbl,4,0),INDEX(ExpParty,$L1814))))</f>
        <v/>
      </c>
      <c r="F1814" s="22">
        <f>IF($L1814="","",IF(INDEX(ExpType,$L1814)="","—",INDEX(ExpType,$L1814)))</f>
        <v/>
      </c>
      <c r="G1814" s="24">
        <f>IF($L1814="","",IF(INDEX(ExpDep,$L1814)=0,"",INDEX(ExpDep,$L1814)))</f>
        <v/>
      </c>
      <c r="H1814" s="24">
        <f>IF($L1814="","",IF(INDEX(ExpWit,$L1814)=0,"",INDEX(ExpWit,$L1814)))</f>
        <v/>
      </c>
      <c r="I1814" s="25">
        <f>IF($B1814="","",IF($I1813="",0,$I1813)+IF($H1814="",0,$H1814)-IF($G1814="",0,$G1814))</f>
        <v/>
      </c>
      <c r="J1814" s="23">
        <f>IF($L1814="","",IF(INDEX(ExpNote,$L1814)="","—",INDEX(ExpNote,$L1814)))</f>
        <v/>
      </c>
      <c r="L1814">
        <f>IFERROR(MATCH($C$5&amp;"|"&amp;RIGHT("000000"&amp;1798,6),ExpRankKey,0),"")</f>
        <v/>
      </c>
    </row>
    <row r="1815">
      <c r="A1815" s="16" t="n">
        <v>1799</v>
      </c>
      <c r="B1815" s="17">
        <f>IF($L1815="","",INDEX(ExpNorm,$L1815))</f>
        <v/>
      </c>
      <c r="C1815" s="17">
        <f>IF($L1815="","",IF(INDEX(ExpTime,$L1815)="","—",LEFT(INDEX(ExpTime,$L1815),2)&amp;":"&amp;RIGHT(INDEX(ExpTime,$L1815),2)))</f>
        <v/>
      </c>
      <c r="D1815" s="17">
        <f>IF($L1815="","",IF(INDEX(ExpBank,$L1815)="","—",INDEX(ExpBank,$L1815)))</f>
        <v/>
      </c>
      <c r="E1815" s="18">
        <f>IF($L1815="","",IF(INDEX(ExpParty,$L1815)="","—",IFERROR(VLOOKUP(INDEX(ExpParty,$L1815),AcctTbl,4,0),INDEX(ExpParty,$L1815))))</f>
        <v/>
      </c>
      <c r="F1815" s="17">
        <f>IF($L1815="","",IF(INDEX(ExpType,$L1815)="","—",INDEX(ExpType,$L1815)))</f>
        <v/>
      </c>
      <c r="G1815" s="19">
        <f>IF($L1815="","",IF(INDEX(ExpDep,$L1815)=0,"",INDEX(ExpDep,$L1815)))</f>
        <v/>
      </c>
      <c r="H1815" s="19">
        <f>IF($L1815="","",IF(INDEX(ExpWit,$L1815)=0,"",INDEX(ExpWit,$L1815)))</f>
        <v/>
      </c>
      <c r="I1815" s="20">
        <f>IF($B1815="","",IF($I1814="",0,$I1814)+IF($H1815="",0,$H1815)-IF($G1815="",0,$G1815))</f>
        <v/>
      </c>
      <c r="J1815" s="18">
        <f>IF($L1815="","",IF(INDEX(ExpNote,$L1815)="","—",INDEX(ExpNote,$L1815)))</f>
        <v/>
      </c>
      <c r="L1815">
        <f>IFERROR(MATCH($C$5&amp;"|"&amp;RIGHT("000000"&amp;1799,6),ExpRankKey,0),"")</f>
        <v/>
      </c>
    </row>
    <row r="1816">
      <c r="A1816" s="21" t="n">
        <v>1800</v>
      </c>
      <c r="B1816" s="22">
        <f>IF($L1816="","",INDEX(ExpNorm,$L1816))</f>
        <v/>
      </c>
      <c r="C1816" s="22">
        <f>IF($L1816="","",IF(INDEX(ExpTime,$L1816)="","—",LEFT(INDEX(ExpTime,$L1816),2)&amp;":"&amp;RIGHT(INDEX(ExpTime,$L1816),2)))</f>
        <v/>
      </c>
      <c r="D1816" s="22">
        <f>IF($L1816="","",IF(INDEX(ExpBank,$L1816)="","—",INDEX(ExpBank,$L1816)))</f>
        <v/>
      </c>
      <c r="E1816" s="23">
        <f>IF($L1816="","",IF(INDEX(ExpParty,$L1816)="","—",IFERROR(VLOOKUP(INDEX(ExpParty,$L1816),AcctTbl,4,0),INDEX(ExpParty,$L1816))))</f>
        <v/>
      </c>
      <c r="F1816" s="22">
        <f>IF($L1816="","",IF(INDEX(ExpType,$L1816)="","—",INDEX(ExpType,$L1816)))</f>
        <v/>
      </c>
      <c r="G1816" s="24">
        <f>IF($L1816="","",IF(INDEX(ExpDep,$L1816)=0,"",INDEX(ExpDep,$L1816)))</f>
        <v/>
      </c>
      <c r="H1816" s="24">
        <f>IF($L1816="","",IF(INDEX(ExpWit,$L1816)=0,"",INDEX(ExpWit,$L1816)))</f>
        <v/>
      </c>
      <c r="I1816" s="25">
        <f>IF($B1816="","",IF($I1815="",0,$I1815)+IF($H1816="",0,$H1816)-IF($G1816="",0,$G1816))</f>
        <v/>
      </c>
      <c r="J1816" s="23">
        <f>IF($L1816="","",IF(INDEX(ExpNote,$L1816)="","—",INDEX(ExpNote,$L1816)))</f>
        <v/>
      </c>
      <c r="L1816">
        <f>IFERROR(MATCH($C$5&amp;"|"&amp;RIGHT("000000"&amp;1800,6),ExpRankKey,0),"")</f>
        <v/>
      </c>
    </row>
    <row r="1817">
      <c r="A1817" s="16" t="n">
        <v>1801</v>
      </c>
      <c r="B1817" s="17">
        <f>IF($L1817="","",INDEX(ExpNorm,$L1817))</f>
        <v/>
      </c>
      <c r="C1817" s="17">
        <f>IF($L1817="","",IF(INDEX(ExpTime,$L1817)="","—",LEFT(INDEX(ExpTime,$L1817),2)&amp;":"&amp;RIGHT(INDEX(ExpTime,$L1817),2)))</f>
        <v/>
      </c>
      <c r="D1817" s="17">
        <f>IF($L1817="","",IF(INDEX(ExpBank,$L1817)="","—",INDEX(ExpBank,$L1817)))</f>
        <v/>
      </c>
      <c r="E1817" s="18">
        <f>IF($L1817="","",IF(INDEX(ExpParty,$L1817)="","—",IFERROR(VLOOKUP(INDEX(ExpParty,$L1817),AcctTbl,4,0),INDEX(ExpParty,$L1817))))</f>
        <v/>
      </c>
      <c r="F1817" s="17">
        <f>IF($L1817="","",IF(INDEX(ExpType,$L1817)="","—",INDEX(ExpType,$L1817)))</f>
        <v/>
      </c>
      <c r="G1817" s="19">
        <f>IF($L1817="","",IF(INDEX(ExpDep,$L1817)=0,"",INDEX(ExpDep,$L1817)))</f>
        <v/>
      </c>
      <c r="H1817" s="19">
        <f>IF($L1817="","",IF(INDEX(ExpWit,$L1817)=0,"",INDEX(ExpWit,$L1817)))</f>
        <v/>
      </c>
      <c r="I1817" s="20">
        <f>IF($B1817="","",IF($I1816="",0,$I1816)+IF($H1817="",0,$H1817)-IF($G1817="",0,$G1817))</f>
        <v/>
      </c>
      <c r="J1817" s="18">
        <f>IF($L1817="","",IF(INDEX(ExpNote,$L1817)="","—",INDEX(ExpNote,$L1817)))</f>
        <v/>
      </c>
      <c r="L1817">
        <f>IFERROR(MATCH($C$5&amp;"|"&amp;RIGHT("000000"&amp;1801,6),ExpRankKey,0),"")</f>
        <v/>
      </c>
    </row>
    <row r="1818">
      <c r="A1818" s="21" t="n">
        <v>1802</v>
      </c>
      <c r="B1818" s="22">
        <f>IF($L1818="","",INDEX(ExpNorm,$L1818))</f>
        <v/>
      </c>
      <c r="C1818" s="22">
        <f>IF($L1818="","",IF(INDEX(ExpTime,$L1818)="","—",LEFT(INDEX(ExpTime,$L1818),2)&amp;":"&amp;RIGHT(INDEX(ExpTime,$L1818),2)))</f>
        <v/>
      </c>
      <c r="D1818" s="22">
        <f>IF($L1818="","",IF(INDEX(ExpBank,$L1818)="","—",INDEX(ExpBank,$L1818)))</f>
        <v/>
      </c>
      <c r="E1818" s="23">
        <f>IF($L1818="","",IF(INDEX(ExpParty,$L1818)="","—",IFERROR(VLOOKUP(INDEX(ExpParty,$L1818),AcctTbl,4,0),INDEX(ExpParty,$L1818))))</f>
        <v/>
      </c>
      <c r="F1818" s="22">
        <f>IF($L1818="","",IF(INDEX(ExpType,$L1818)="","—",INDEX(ExpType,$L1818)))</f>
        <v/>
      </c>
      <c r="G1818" s="24">
        <f>IF($L1818="","",IF(INDEX(ExpDep,$L1818)=0,"",INDEX(ExpDep,$L1818)))</f>
        <v/>
      </c>
      <c r="H1818" s="24">
        <f>IF($L1818="","",IF(INDEX(ExpWit,$L1818)=0,"",INDEX(ExpWit,$L1818)))</f>
        <v/>
      </c>
      <c r="I1818" s="25">
        <f>IF($B1818="","",IF($I1817="",0,$I1817)+IF($H1818="",0,$H1818)-IF($G1818="",0,$G1818))</f>
        <v/>
      </c>
      <c r="J1818" s="23">
        <f>IF($L1818="","",IF(INDEX(ExpNote,$L1818)="","—",INDEX(ExpNote,$L1818)))</f>
        <v/>
      </c>
      <c r="L1818">
        <f>IFERROR(MATCH($C$5&amp;"|"&amp;RIGHT("000000"&amp;1802,6),ExpRankKey,0),"")</f>
        <v/>
      </c>
    </row>
    <row r="1819">
      <c r="A1819" s="16" t="n">
        <v>1803</v>
      </c>
      <c r="B1819" s="17">
        <f>IF($L1819="","",INDEX(ExpNorm,$L1819))</f>
        <v/>
      </c>
      <c r="C1819" s="17">
        <f>IF($L1819="","",IF(INDEX(ExpTime,$L1819)="","—",LEFT(INDEX(ExpTime,$L1819),2)&amp;":"&amp;RIGHT(INDEX(ExpTime,$L1819),2)))</f>
        <v/>
      </c>
      <c r="D1819" s="17">
        <f>IF($L1819="","",IF(INDEX(ExpBank,$L1819)="","—",INDEX(ExpBank,$L1819)))</f>
        <v/>
      </c>
      <c r="E1819" s="18">
        <f>IF($L1819="","",IF(INDEX(ExpParty,$L1819)="","—",IFERROR(VLOOKUP(INDEX(ExpParty,$L1819),AcctTbl,4,0),INDEX(ExpParty,$L1819))))</f>
        <v/>
      </c>
      <c r="F1819" s="17">
        <f>IF($L1819="","",IF(INDEX(ExpType,$L1819)="","—",INDEX(ExpType,$L1819)))</f>
        <v/>
      </c>
      <c r="G1819" s="19">
        <f>IF($L1819="","",IF(INDEX(ExpDep,$L1819)=0,"",INDEX(ExpDep,$L1819)))</f>
        <v/>
      </c>
      <c r="H1819" s="19">
        <f>IF($L1819="","",IF(INDEX(ExpWit,$L1819)=0,"",INDEX(ExpWit,$L1819)))</f>
        <v/>
      </c>
      <c r="I1819" s="20">
        <f>IF($B1819="","",IF($I1818="",0,$I1818)+IF($H1819="",0,$H1819)-IF($G1819="",0,$G1819))</f>
        <v/>
      </c>
      <c r="J1819" s="18">
        <f>IF($L1819="","",IF(INDEX(ExpNote,$L1819)="","—",INDEX(ExpNote,$L1819)))</f>
        <v/>
      </c>
      <c r="L1819">
        <f>IFERROR(MATCH($C$5&amp;"|"&amp;RIGHT("000000"&amp;1803,6),ExpRankKey,0),"")</f>
        <v/>
      </c>
    </row>
    <row r="1820">
      <c r="A1820" s="21" t="n">
        <v>1804</v>
      </c>
      <c r="B1820" s="22">
        <f>IF($L1820="","",INDEX(ExpNorm,$L1820))</f>
        <v/>
      </c>
      <c r="C1820" s="22">
        <f>IF($L1820="","",IF(INDEX(ExpTime,$L1820)="","—",LEFT(INDEX(ExpTime,$L1820),2)&amp;":"&amp;RIGHT(INDEX(ExpTime,$L1820),2)))</f>
        <v/>
      </c>
      <c r="D1820" s="22">
        <f>IF($L1820="","",IF(INDEX(ExpBank,$L1820)="","—",INDEX(ExpBank,$L1820)))</f>
        <v/>
      </c>
      <c r="E1820" s="23">
        <f>IF($L1820="","",IF(INDEX(ExpParty,$L1820)="","—",IFERROR(VLOOKUP(INDEX(ExpParty,$L1820),AcctTbl,4,0),INDEX(ExpParty,$L1820))))</f>
        <v/>
      </c>
      <c r="F1820" s="22">
        <f>IF($L1820="","",IF(INDEX(ExpType,$L1820)="","—",INDEX(ExpType,$L1820)))</f>
        <v/>
      </c>
      <c r="G1820" s="24">
        <f>IF($L1820="","",IF(INDEX(ExpDep,$L1820)=0,"",INDEX(ExpDep,$L1820)))</f>
        <v/>
      </c>
      <c r="H1820" s="24">
        <f>IF($L1820="","",IF(INDEX(ExpWit,$L1820)=0,"",INDEX(ExpWit,$L1820)))</f>
        <v/>
      </c>
      <c r="I1820" s="25">
        <f>IF($B1820="","",IF($I1819="",0,$I1819)+IF($H1820="",0,$H1820)-IF($G1820="",0,$G1820))</f>
        <v/>
      </c>
      <c r="J1820" s="23">
        <f>IF($L1820="","",IF(INDEX(ExpNote,$L1820)="","—",INDEX(ExpNote,$L1820)))</f>
        <v/>
      </c>
      <c r="L1820">
        <f>IFERROR(MATCH($C$5&amp;"|"&amp;RIGHT("000000"&amp;1804,6),ExpRankKey,0),"")</f>
        <v/>
      </c>
    </row>
    <row r="1821">
      <c r="A1821" s="16" t="n">
        <v>1805</v>
      </c>
      <c r="B1821" s="17">
        <f>IF($L1821="","",INDEX(ExpNorm,$L1821))</f>
        <v/>
      </c>
      <c r="C1821" s="17">
        <f>IF($L1821="","",IF(INDEX(ExpTime,$L1821)="","—",LEFT(INDEX(ExpTime,$L1821),2)&amp;":"&amp;RIGHT(INDEX(ExpTime,$L1821),2)))</f>
        <v/>
      </c>
      <c r="D1821" s="17">
        <f>IF($L1821="","",IF(INDEX(ExpBank,$L1821)="","—",INDEX(ExpBank,$L1821)))</f>
        <v/>
      </c>
      <c r="E1821" s="18">
        <f>IF($L1821="","",IF(INDEX(ExpParty,$L1821)="","—",IFERROR(VLOOKUP(INDEX(ExpParty,$L1821),AcctTbl,4,0),INDEX(ExpParty,$L1821))))</f>
        <v/>
      </c>
      <c r="F1821" s="17">
        <f>IF($L1821="","",IF(INDEX(ExpType,$L1821)="","—",INDEX(ExpType,$L1821)))</f>
        <v/>
      </c>
      <c r="G1821" s="19">
        <f>IF($L1821="","",IF(INDEX(ExpDep,$L1821)=0,"",INDEX(ExpDep,$L1821)))</f>
        <v/>
      </c>
      <c r="H1821" s="19">
        <f>IF($L1821="","",IF(INDEX(ExpWit,$L1821)=0,"",INDEX(ExpWit,$L1821)))</f>
        <v/>
      </c>
      <c r="I1821" s="20">
        <f>IF($B1821="","",IF($I1820="",0,$I1820)+IF($H1821="",0,$H1821)-IF($G1821="",0,$G1821))</f>
        <v/>
      </c>
      <c r="J1821" s="18">
        <f>IF($L1821="","",IF(INDEX(ExpNote,$L1821)="","—",INDEX(ExpNote,$L1821)))</f>
        <v/>
      </c>
      <c r="L1821">
        <f>IFERROR(MATCH($C$5&amp;"|"&amp;RIGHT("000000"&amp;1805,6),ExpRankKey,0),"")</f>
        <v/>
      </c>
    </row>
    <row r="1822">
      <c r="A1822" s="21" t="n">
        <v>1806</v>
      </c>
      <c r="B1822" s="22">
        <f>IF($L1822="","",INDEX(ExpNorm,$L1822))</f>
        <v/>
      </c>
      <c r="C1822" s="22">
        <f>IF($L1822="","",IF(INDEX(ExpTime,$L1822)="","—",LEFT(INDEX(ExpTime,$L1822),2)&amp;":"&amp;RIGHT(INDEX(ExpTime,$L1822),2)))</f>
        <v/>
      </c>
      <c r="D1822" s="22">
        <f>IF($L1822="","",IF(INDEX(ExpBank,$L1822)="","—",INDEX(ExpBank,$L1822)))</f>
        <v/>
      </c>
      <c r="E1822" s="23">
        <f>IF($L1822="","",IF(INDEX(ExpParty,$L1822)="","—",IFERROR(VLOOKUP(INDEX(ExpParty,$L1822),AcctTbl,4,0),INDEX(ExpParty,$L1822))))</f>
        <v/>
      </c>
      <c r="F1822" s="22">
        <f>IF($L1822="","",IF(INDEX(ExpType,$L1822)="","—",INDEX(ExpType,$L1822)))</f>
        <v/>
      </c>
      <c r="G1822" s="24">
        <f>IF($L1822="","",IF(INDEX(ExpDep,$L1822)=0,"",INDEX(ExpDep,$L1822)))</f>
        <v/>
      </c>
      <c r="H1822" s="24">
        <f>IF($L1822="","",IF(INDEX(ExpWit,$L1822)=0,"",INDEX(ExpWit,$L1822)))</f>
        <v/>
      </c>
      <c r="I1822" s="25">
        <f>IF($B1822="","",IF($I1821="",0,$I1821)+IF($H1822="",0,$H1822)-IF($G1822="",0,$G1822))</f>
        <v/>
      </c>
      <c r="J1822" s="23">
        <f>IF($L1822="","",IF(INDEX(ExpNote,$L1822)="","—",INDEX(ExpNote,$L1822)))</f>
        <v/>
      </c>
      <c r="L1822">
        <f>IFERROR(MATCH($C$5&amp;"|"&amp;RIGHT("000000"&amp;1806,6),ExpRankKey,0),"")</f>
        <v/>
      </c>
    </row>
    <row r="1823">
      <c r="A1823" s="16" t="n">
        <v>1807</v>
      </c>
      <c r="B1823" s="17">
        <f>IF($L1823="","",INDEX(ExpNorm,$L1823))</f>
        <v/>
      </c>
      <c r="C1823" s="17">
        <f>IF($L1823="","",IF(INDEX(ExpTime,$L1823)="","—",LEFT(INDEX(ExpTime,$L1823),2)&amp;":"&amp;RIGHT(INDEX(ExpTime,$L1823),2)))</f>
        <v/>
      </c>
      <c r="D1823" s="17">
        <f>IF($L1823="","",IF(INDEX(ExpBank,$L1823)="","—",INDEX(ExpBank,$L1823)))</f>
        <v/>
      </c>
      <c r="E1823" s="18">
        <f>IF($L1823="","",IF(INDEX(ExpParty,$L1823)="","—",IFERROR(VLOOKUP(INDEX(ExpParty,$L1823),AcctTbl,4,0),INDEX(ExpParty,$L1823))))</f>
        <v/>
      </c>
      <c r="F1823" s="17">
        <f>IF($L1823="","",IF(INDEX(ExpType,$L1823)="","—",INDEX(ExpType,$L1823)))</f>
        <v/>
      </c>
      <c r="G1823" s="19">
        <f>IF($L1823="","",IF(INDEX(ExpDep,$L1823)=0,"",INDEX(ExpDep,$L1823)))</f>
        <v/>
      </c>
      <c r="H1823" s="19">
        <f>IF($L1823="","",IF(INDEX(ExpWit,$L1823)=0,"",INDEX(ExpWit,$L1823)))</f>
        <v/>
      </c>
      <c r="I1823" s="20">
        <f>IF($B1823="","",IF($I1822="",0,$I1822)+IF($H1823="",0,$H1823)-IF($G1823="",0,$G1823))</f>
        <v/>
      </c>
      <c r="J1823" s="18">
        <f>IF($L1823="","",IF(INDEX(ExpNote,$L1823)="","—",INDEX(ExpNote,$L1823)))</f>
        <v/>
      </c>
      <c r="L1823">
        <f>IFERROR(MATCH($C$5&amp;"|"&amp;RIGHT("000000"&amp;1807,6),ExpRankKey,0),"")</f>
        <v/>
      </c>
    </row>
    <row r="1824">
      <c r="A1824" s="21" t="n">
        <v>1808</v>
      </c>
      <c r="B1824" s="22">
        <f>IF($L1824="","",INDEX(ExpNorm,$L1824))</f>
        <v/>
      </c>
      <c r="C1824" s="22">
        <f>IF($L1824="","",IF(INDEX(ExpTime,$L1824)="","—",LEFT(INDEX(ExpTime,$L1824),2)&amp;":"&amp;RIGHT(INDEX(ExpTime,$L1824),2)))</f>
        <v/>
      </c>
      <c r="D1824" s="22">
        <f>IF($L1824="","",IF(INDEX(ExpBank,$L1824)="","—",INDEX(ExpBank,$L1824)))</f>
        <v/>
      </c>
      <c r="E1824" s="23">
        <f>IF($L1824="","",IF(INDEX(ExpParty,$L1824)="","—",IFERROR(VLOOKUP(INDEX(ExpParty,$L1824),AcctTbl,4,0),INDEX(ExpParty,$L1824))))</f>
        <v/>
      </c>
      <c r="F1824" s="22">
        <f>IF($L1824="","",IF(INDEX(ExpType,$L1824)="","—",INDEX(ExpType,$L1824)))</f>
        <v/>
      </c>
      <c r="G1824" s="24">
        <f>IF($L1824="","",IF(INDEX(ExpDep,$L1824)=0,"",INDEX(ExpDep,$L1824)))</f>
        <v/>
      </c>
      <c r="H1824" s="24">
        <f>IF($L1824="","",IF(INDEX(ExpWit,$L1824)=0,"",INDEX(ExpWit,$L1824)))</f>
        <v/>
      </c>
      <c r="I1824" s="25">
        <f>IF($B1824="","",IF($I1823="",0,$I1823)+IF($H1824="",0,$H1824)-IF($G1824="",0,$G1824))</f>
        <v/>
      </c>
      <c r="J1824" s="23">
        <f>IF($L1824="","",IF(INDEX(ExpNote,$L1824)="","—",INDEX(ExpNote,$L1824)))</f>
        <v/>
      </c>
      <c r="L1824">
        <f>IFERROR(MATCH($C$5&amp;"|"&amp;RIGHT("000000"&amp;1808,6),ExpRankKey,0),"")</f>
        <v/>
      </c>
    </row>
    <row r="1825">
      <c r="A1825" s="16" t="n">
        <v>1809</v>
      </c>
      <c r="B1825" s="17">
        <f>IF($L1825="","",INDEX(ExpNorm,$L1825))</f>
        <v/>
      </c>
      <c r="C1825" s="17">
        <f>IF($L1825="","",IF(INDEX(ExpTime,$L1825)="","—",LEFT(INDEX(ExpTime,$L1825),2)&amp;":"&amp;RIGHT(INDEX(ExpTime,$L1825),2)))</f>
        <v/>
      </c>
      <c r="D1825" s="17">
        <f>IF($L1825="","",IF(INDEX(ExpBank,$L1825)="","—",INDEX(ExpBank,$L1825)))</f>
        <v/>
      </c>
      <c r="E1825" s="18">
        <f>IF($L1825="","",IF(INDEX(ExpParty,$L1825)="","—",IFERROR(VLOOKUP(INDEX(ExpParty,$L1825),AcctTbl,4,0),INDEX(ExpParty,$L1825))))</f>
        <v/>
      </c>
      <c r="F1825" s="17">
        <f>IF($L1825="","",IF(INDEX(ExpType,$L1825)="","—",INDEX(ExpType,$L1825)))</f>
        <v/>
      </c>
      <c r="G1825" s="19">
        <f>IF($L1825="","",IF(INDEX(ExpDep,$L1825)=0,"",INDEX(ExpDep,$L1825)))</f>
        <v/>
      </c>
      <c r="H1825" s="19">
        <f>IF($L1825="","",IF(INDEX(ExpWit,$L1825)=0,"",INDEX(ExpWit,$L1825)))</f>
        <v/>
      </c>
      <c r="I1825" s="20">
        <f>IF($B1825="","",IF($I1824="",0,$I1824)+IF($H1825="",0,$H1825)-IF($G1825="",0,$G1825))</f>
        <v/>
      </c>
      <c r="J1825" s="18">
        <f>IF($L1825="","",IF(INDEX(ExpNote,$L1825)="","—",INDEX(ExpNote,$L1825)))</f>
        <v/>
      </c>
      <c r="L1825">
        <f>IFERROR(MATCH($C$5&amp;"|"&amp;RIGHT("000000"&amp;1809,6),ExpRankKey,0),"")</f>
        <v/>
      </c>
    </row>
    <row r="1826">
      <c r="A1826" s="21" t="n">
        <v>1810</v>
      </c>
      <c r="B1826" s="22">
        <f>IF($L1826="","",INDEX(ExpNorm,$L1826))</f>
        <v/>
      </c>
      <c r="C1826" s="22">
        <f>IF($L1826="","",IF(INDEX(ExpTime,$L1826)="","—",LEFT(INDEX(ExpTime,$L1826),2)&amp;":"&amp;RIGHT(INDEX(ExpTime,$L1826),2)))</f>
        <v/>
      </c>
      <c r="D1826" s="22">
        <f>IF($L1826="","",IF(INDEX(ExpBank,$L1826)="","—",INDEX(ExpBank,$L1826)))</f>
        <v/>
      </c>
      <c r="E1826" s="23">
        <f>IF($L1826="","",IF(INDEX(ExpParty,$L1826)="","—",IFERROR(VLOOKUP(INDEX(ExpParty,$L1826),AcctTbl,4,0),INDEX(ExpParty,$L1826))))</f>
        <v/>
      </c>
      <c r="F1826" s="22">
        <f>IF($L1826="","",IF(INDEX(ExpType,$L1826)="","—",INDEX(ExpType,$L1826)))</f>
        <v/>
      </c>
      <c r="G1826" s="24">
        <f>IF($L1826="","",IF(INDEX(ExpDep,$L1826)=0,"",INDEX(ExpDep,$L1826)))</f>
        <v/>
      </c>
      <c r="H1826" s="24">
        <f>IF($L1826="","",IF(INDEX(ExpWit,$L1826)=0,"",INDEX(ExpWit,$L1826)))</f>
        <v/>
      </c>
      <c r="I1826" s="25">
        <f>IF($B1826="","",IF($I1825="",0,$I1825)+IF($H1826="",0,$H1826)-IF($G1826="",0,$G1826))</f>
        <v/>
      </c>
      <c r="J1826" s="23">
        <f>IF($L1826="","",IF(INDEX(ExpNote,$L1826)="","—",INDEX(ExpNote,$L1826)))</f>
        <v/>
      </c>
      <c r="L1826">
        <f>IFERROR(MATCH($C$5&amp;"|"&amp;RIGHT("000000"&amp;1810,6),ExpRankKey,0),"")</f>
        <v/>
      </c>
    </row>
    <row r="1827">
      <c r="A1827" s="16" t="n">
        <v>1811</v>
      </c>
      <c r="B1827" s="17">
        <f>IF($L1827="","",INDEX(ExpNorm,$L1827))</f>
        <v/>
      </c>
      <c r="C1827" s="17">
        <f>IF($L1827="","",IF(INDEX(ExpTime,$L1827)="","—",LEFT(INDEX(ExpTime,$L1827),2)&amp;":"&amp;RIGHT(INDEX(ExpTime,$L1827),2)))</f>
        <v/>
      </c>
      <c r="D1827" s="17">
        <f>IF($L1827="","",IF(INDEX(ExpBank,$L1827)="","—",INDEX(ExpBank,$L1827)))</f>
        <v/>
      </c>
      <c r="E1827" s="18">
        <f>IF($L1827="","",IF(INDEX(ExpParty,$L1827)="","—",IFERROR(VLOOKUP(INDEX(ExpParty,$L1827),AcctTbl,4,0),INDEX(ExpParty,$L1827))))</f>
        <v/>
      </c>
      <c r="F1827" s="17">
        <f>IF($L1827="","",IF(INDEX(ExpType,$L1827)="","—",INDEX(ExpType,$L1827)))</f>
        <v/>
      </c>
      <c r="G1827" s="19">
        <f>IF($L1827="","",IF(INDEX(ExpDep,$L1827)=0,"",INDEX(ExpDep,$L1827)))</f>
        <v/>
      </c>
      <c r="H1827" s="19">
        <f>IF($L1827="","",IF(INDEX(ExpWit,$L1827)=0,"",INDEX(ExpWit,$L1827)))</f>
        <v/>
      </c>
      <c r="I1827" s="20">
        <f>IF($B1827="","",IF($I1826="",0,$I1826)+IF($H1827="",0,$H1827)-IF($G1827="",0,$G1827))</f>
        <v/>
      </c>
      <c r="J1827" s="18">
        <f>IF($L1827="","",IF(INDEX(ExpNote,$L1827)="","—",INDEX(ExpNote,$L1827)))</f>
        <v/>
      </c>
      <c r="L1827">
        <f>IFERROR(MATCH($C$5&amp;"|"&amp;RIGHT("000000"&amp;1811,6),ExpRankKey,0),"")</f>
        <v/>
      </c>
    </row>
    <row r="1828">
      <c r="A1828" s="21" t="n">
        <v>1812</v>
      </c>
      <c r="B1828" s="22">
        <f>IF($L1828="","",INDEX(ExpNorm,$L1828))</f>
        <v/>
      </c>
      <c r="C1828" s="22">
        <f>IF($L1828="","",IF(INDEX(ExpTime,$L1828)="","—",LEFT(INDEX(ExpTime,$L1828),2)&amp;":"&amp;RIGHT(INDEX(ExpTime,$L1828),2)))</f>
        <v/>
      </c>
      <c r="D1828" s="22">
        <f>IF($L1828="","",IF(INDEX(ExpBank,$L1828)="","—",INDEX(ExpBank,$L1828)))</f>
        <v/>
      </c>
      <c r="E1828" s="23">
        <f>IF($L1828="","",IF(INDEX(ExpParty,$L1828)="","—",IFERROR(VLOOKUP(INDEX(ExpParty,$L1828),AcctTbl,4,0),INDEX(ExpParty,$L1828))))</f>
        <v/>
      </c>
      <c r="F1828" s="22">
        <f>IF($L1828="","",IF(INDEX(ExpType,$L1828)="","—",INDEX(ExpType,$L1828)))</f>
        <v/>
      </c>
      <c r="G1828" s="24">
        <f>IF($L1828="","",IF(INDEX(ExpDep,$L1828)=0,"",INDEX(ExpDep,$L1828)))</f>
        <v/>
      </c>
      <c r="H1828" s="24">
        <f>IF($L1828="","",IF(INDEX(ExpWit,$L1828)=0,"",INDEX(ExpWit,$L1828)))</f>
        <v/>
      </c>
      <c r="I1828" s="25">
        <f>IF($B1828="","",IF($I1827="",0,$I1827)+IF($H1828="",0,$H1828)-IF($G1828="",0,$G1828))</f>
        <v/>
      </c>
      <c r="J1828" s="23">
        <f>IF($L1828="","",IF(INDEX(ExpNote,$L1828)="","—",INDEX(ExpNote,$L1828)))</f>
        <v/>
      </c>
      <c r="L1828">
        <f>IFERROR(MATCH($C$5&amp;"|"&amp;RIGHT("000000"&amp;1812,6),ExpRankKey,0),"")</f>
        <v/>
      </c>
    </row>
    <row r="1829">
      <c r="A1829" s="16" t="n">
        <v>1813</v>
      </c>
      <c r="B1829" s="17">
        <f>IF($L1829="","",INDEX(ExpNorm,$L1829))</f>
        <v/>
      </c>
      <c r="C1829" s="17">
        <f>IF($L1829="","",IF(INDEX(ExpTime,$L1829)="","—",LEFT(INDEX(ExpTime,$L1829),2)&amp;":"&amp;RIGHT(INDEX(ExpTime,$L1829),2)))</f>
        <v/>
      </c>
      <c r="D1829" s="17">
        <f>IF($L1829="","",IF(INDEX(ExpBank,$L1829)="","—",INDEX(ExpBank,$L1829)))</f>
        <v/>
      </c>
      <c r="E1829" s="18">
        <f>IF($L1829="","",IF(INDEX(ExpParty,$L1829)="","—",IFERROR(VLOOKUP(INDEX(ExpParty,$L1829),AcctTbl,4,0),INDEX(ExpParty,$L1829))))</f>
        <v/>
      </c>
      <c r="F1829" s="17">
        <f>IF($L1829="","",IF(INDEX(ExpType,$L1829)="","—",INDEX(ExpType,$L1829)))</f>
        <v/>
      </c>
      <c r="G1829" s="19">
        <f>IF($L1829="","",IF(INDEX(ExpDep,$L1829)=0,"",INDEX(ExpDep,$L1829)))</f>
        <v/>
      </c>
      <c r="H1829" s="19">
        <f>IF($L1829="","",IF(INDEX(ExpWit,$L1829)=0,"",INDEX(ExpWit,$L1829)))</f>
        <v/>
      </c>
      <c r="I1829" s="20">
        <f>IF($B1829="","",IF($I1828="",0,$I1828)+IF($H1829="",0,$H1829)-IF($G1829="",0,$G1829))</f>
        <v/>
      </c>
      <c r="J1829" s="18">
        <f>IF($L1829="","",IF(INDEX(ExpNote,$L1829)="","—",INDEX(ExpNote,$L1829)))</f>
        <v/>
      </c>
      <c r="L1829">
        <f>IFERROR(MATCH($C$5&amp;"|"&amp;RIGHT("000000"&amp;1813,6),ExpRankKey,0),"")</f>
        <v/>
      </c>
    </row>
    <row r="1830">
      <c r="A1830" s="21" t="n">
        <v>1814</v>
      </c>
      <c r="B1830" s="22">
        <f>IF($L1830="","",INDEX(ExpNorm,$L1830))</f>
        <v/>
      </c>
      <c r="C1830" s="22">
        <f>IF($L1830="","",IF(INDEX(ExpTime,$L1830)="","—",LEFT(INDEX(ExpTime,$L1830),2)&amp;":"&amp;RIGHT(INDEX(ExpTime,$L1830),2)))</f>
        <v/>
      </c>
      <c r="D1830" s="22">
        <f>IF($L1830="","",IF(INDEX(ExpBank,$L1830)="","—",INDEX(ExpBank,$L1830)))</f>
        <v/>
      </c>
      <c r="E1830" s="23">
        <f>IF($L1830="","",IF(INDEX(ExpParty,$L1830)="","—",IFERROR(VLOOKUP(INDEX(ExpParty,$L1830),AcctTbl,4,0),INDEX(ExpParty,$L1830))))</f>
        <v/>
      </c>
      <c r="F1830" s="22">
        <f>IF($L1830="","",IF(INDEX(ExpType,$L1830)="","—",INDEX(ExpType,$L1830)))</f>
        <v/>
      </c>
      <c r="G1830" s="24">
        <f>IF($L1830="","",IF(INDEX(ExpDep,$L1830)=0,"",INDEX(ExpDep,$L1830)))</f>
        <v/>
      </c>
      <c r="H1830" s="24">
        <f>IF($L1830="","",IF(INDEX(ExpWit,$L1830)=0,"",INDEX(ExpWit,$L1830)))</f>
        <v/>
      </c>
      <c r="I1830" s="25">
        <f>IF($B1830="","",IF($I1829="",0,$I1829)+IF($H1830="",0,$H1830)-IF($G1830="",0,$G1830))</f>
        <v/>
      </c>
      <c r="J1830" s="23">
        <f>IF($L1830="","",IF(INDEX(ExpNote,$L1830)="","—",INDEX(ExpNote,$L1830)))</f>
        <v/>
      </c>
      <c r="L1830">
        <f>IFERROR(MATCH($C$5&amp;"|"&amp;RIGHT("000000"&amp;1814,6),ExpRankKey,0),"")</f>
        <v/>
      </c>
    </row>
    <row r="1831">
      <c r="A1831" s="16" t="n">
        <v>1815</v>
      </c>
      <c r="B1831" s="17">
        <f>IF($L1831="","",INDEX(ExpNorm,$L1831))</f>
        <v/>
      </c>
      <c r="C1831" s="17">
        <f>IF($L1831="","",IF(INDEX(ExpTime,$L1831)="","—",LEFT(INDEX(ExpTime,$L1831),2)&amp;":"&amp;RIGHT(INDEX(ExpTime,$L1831),2)))</f>
        <v/>
      </c>
      <c r="D1831" s="17">
        <f>IF($L1831="","",IF(INDEX(ExpBank,$L1831)="","—",INDEX(ExpBank,$L1831)))</f>
        <v/>
      </c>
      <c r="E1831" s="18">
        <f>IF($L1831="","",IF(INDEX(ExpParty,$L1831)="","—",IFERROR(VLOOKUP(INDEX(ExpParty,$L1831),AcctTbl,4,0),INDEX(ExpParty,$L1831))))</f>
        <v/>
      </c>
      <c r="F1831" s="17">
        <f>IF($L1831="","",IF(INDEX(ExpType,$L1831)="","—",INDEX(ExpType,$L1831)))</f>
        <v/>
      </c>
      <c r="G1831" s="19">
        <f>IF($L1831="","",IF(INDEX(ExpDep,$L1831)=0,"",INDEX(ExpDep,$L1831)))</f>
        <v/>
      </c>
      <c r="H1831" s="19">
        <f>IF($L1831="","",IF(INDEX(ExpWit,$L1831)=0,"",INDEX(ExpWit,$L1831)))</f>
        <v/>
      </c>
      <c r="I1831" s="20">
        <f>IF($B1831="","",IF($I1830="",0,$I1830)+IF($H1831="",0,$H1831)-IF($G1831="",0,$G1831))</f>
        <v/>
      </c>
      <c r="J1831" s="18">
        <f>IF($L1831="","",IF(INDEX(ExpNote,$L1831)="","—",INDEX(ExpNote,$L1831)))</f>
        <v/>
      </c>
      <c r="L1831">
        <f>IFERROR(MATCH($C$5&amp;"|"&amp;RIGHT("000000"&amp;1815,6),ExpRankKey,0),"")</f>
        <v/>
      </c>
    </row>
    <row r="1832">
      <c r="A1832" s="21" t="n">
        <v>1816</v>
      </c>
      <c r="B1832" s="22">
        <f>IF($L1832="","",INDEX(ExpNorm,$L1832))</f>
        <v/>
      </c>
      <c r="C1832" s="22">
        <f>IF($L1832="","",IF(INDEX(ExpTime,$L1832)="","—",LEFT(INDEX(ExpTime,$L1832),2)&amp;":"&amp;RIGHT(INDEX(ExpTime,$L1832),2)))</f>
        <v/>
      </c>
      <c r="D1832" s="22">
        <f>IF($L1832="","",IF(INDEX(ExpBank,$L1832)="","—",INDEX(ExpBank,$L1832)))</f>
        <v/>
      </c>
      <c r="E1832" s="23">
        <f>IF($L1832="","",IF(INDEX(ExpParty,$L1832)="","—",IFERROR(VLOOKUP(INDEX(ExpParty,$L1832),AcctTbl,4,0),INDEX(ExpParty,$L1832))))</f>
        <v/>
      </c>
      <c r="F1832" s="22">
        <f>IF($L1832="","",IF(INDEX(ExpType,$L1832)="","—",INDEX(ExpType,$L1832)))</f>
        <v/>
      </c>
      <c r="G1832" s="24">
        <f>IF($L1832="","",IF(INDEX(ExpDep,$L1832)=0,"",INDEX(ExpDep,$L1832)))</f>
        <v/>
      </c>
      <c r="H1832" s="24">
        <f>IF($L1832="","",IF(INDEX(ExpWit,$L1832)=0,"",INDEX(ExpWit,$L1832)))</f>
        <v/>
      </c>
      <c r="I1832" s="25">
        <f>IF($B1832="","",IF($I1831="",0,$I1831)+IF($H1832="",0,$H1832)-IF($G1832="",0,$G1832))</f>
        <v/>
      </c>
      <c r="J1832" s="23">
        <f>IF($L1832="","",IF(INDEX(ExpNote,$L1832)="","—",INDEX(ExpNote,$L1832)))</f>
        <v/>
      </c>
      <c r="L1832">
        <f>IFERROR(MATCH($C$5&amp;"|"&amp;RIGHT("000000"&amp;1816,6),ExpRankKey,0),"")</f>
        <v/>
      </c>
    </row>
    <row r="1833">
      <c r="A1833" s="16" t="n">
        <v>1817</v>
      </c>
      <c r="B1833" s="17">
        <f>IF($L1833="","",INDEX(ExpNorm,$L1833))</f>
        <v/>
      </c>
      <c r="C1833" s="17">
        <f>IF($L1833="","",IF(INDEX(ExpTime,$L1833)="","—",LEFT(INDEX(ExpTime,$L1833),2)&amp;":"&amp;RIGHT(INDEX(ExpTime,$L1833),2)))</f>
        <v/>
      </c>
      <c r="D1833" s="17">
        <f>IF($L1833="","",IF(INDEX(ExpBank,$L1833)="","—",INDEX(ExpBank,$L1833)))</f>
        <v/>
      </c>
      <c r="E1833" s="18">
        <f>IF($L1833="","",IF(INDEX(ExpParty,$L1833)="","—",IFERROR(VLOOKUP(INDEX(ExpParty,$L1833),AcctTbl,4,0),INDEX(ExpParty,$L1833))))</f>
        <v/>
      </c>
      <c r="F1833" s="17">
        <f>IF($L1833="","",IF(INDEX(ExpType,$L1833)="","—",INDEX(ExpType,$L1833)))</f>
        <v/>
      </c>
      <c r="G1833" s="19">
        <f>IF($L1833="","",IF(INDEX(ExpDep,$L1833)=0,"",INDEX(ExpDep,$L1833)))</f>
        <v/>
      </c>
      <c r="H1833" s="19">
        <f>IF($L1833="","",IF(INDEX(ExpWit,$L1833)=0,"",INDEX(ExpWit,$L1833)))</f>
        <v/>
      </c>
      <c r="I1833" s="20">
        <f>IF($B1833="","",IF($I1832="",0,$I1832)+IF($H1833="",0,$H1833)-IF($G1833="",0,$G1833))</f>
        <v/>
      </c>
      <c r="J1833" s="18">
        <f>IF($L1833="","",IF(INDEX(ExpNote,$L1833)="","—",INDEX(ExpNote,$L1833)))</f>
        <v/>
      </c>
      <c r="L1833">
        <f>IFERROR(MATCH($C$5&amp;"|"&amp;RIGHT("000000"&amp;1817,6),ExpRankKey,0),"")</f>
        <v/>
      </c>
    </row>
    <row r="1834">
      <c r="A1834" s="21" t="n">
        <v>1818</v>
      </c>
      <c r="B1834" s="22">
        <f>IF($L1834="","",INDEX(ExpNorm,$L1834))</f>
        <v/>
      </c>
      <c r="C1834" s="22">
        <f>IF($L1834="","",IF(INDEX(ExpTime,$L1834)="","—",LEFT(INDEX(ExpTime,$L1834),2)&amp;":"&amp;RIGHT(INDEX(ExpTime,$L1834),2)))</f>
        <v/>
      </c>
      <c r="D1834" s="22">
        <f>IF($L1834="","",IF(INDEX(ExpBank,$L1834)="","—",INDEX(ExpBank,$L1834)))</f>
        <v/>
      </c>
      <c r="E1834" s="23">
        <f>IF($L1834="","",IF(INDEX(ExpParty,$L1834)="","—",IFERROR(VLOOKUP(INDEX(ExpParty,$L1834),AcctTbl,4,0),INDEX(ExpParty,$L1834))))</f>
        <v/>
      </c>
      <c r="F1834" s="22">
        <f>IF($L1834="","",IF(INDEX(ExpType,$L1834)="","—",INDEX(ExpType,$L1834)))</f>
        <v/>
      </c>
      <c r="G1834" s="24">
        <f>IF($L1834="","",IF(INDEX(ExpDep,$L1834)=0,"",INDEX(ExpDep,$L1834)))</f>
        <v/>
      </c>
      <c r="H1834" s="24">
        <f>IF($L1834="","",IF(INDEX(ExpWit,$L1834)=0,"",INDEX(ExpWit,$L1834)))</f>
        <v/>
      </c>
      <c r="I1834" s="25">
        <f>IF($B1834="","",IF($I1833="",0,$I1833)+IF($H1834="",0,$H1834)-IF($G1834="",0,$G1834))</f>
        <v/>
      </c>
      <c r="J1834" s="23">
        <f>IF($L1834="","",IF(INDEX(ExpNote,$L1834)="","—",INDEX(ExpNote,$L1834)))</f>
        <v/>
      </c>
      <c r="L1834">
        <f>IFERROR(MATCH($C$5&amp;"|"&amp;RIGHT("000000"&amp;1818,6),ExpRankKey,0),"")</f>
        <v/>
      </c>
    </row>
    <row r="1835">
      <c r="A1835" s="16" t="n">
        <v>1819</v>
      </c>
      <c r="B1835" s="17">
        <f>IF($L1835="","",INDEX(ExpNorm,$L1835))</f>
        <v/>
      </c>
      <c r="C1835" s="17">
        <f>IF($L1835="","",IF(INDEX(ExpTime,$L1835)="","—",LEFT(INDEX(ExpTime,$L1835),2)&amp;":"&amp;RIGHT(INDEX(ExpTime,$L1835),2)))</f>
        <v/>
      </c>
      <c r="D1835" s="17">
        <f>IF($L1835="","",IF(INDEX(ExpBank,$L1835)="","—",INDEX(ExpBank,$L1835)))</f>
        <v/>
      </c>
      <c r="E1835" s="18">
        <f>IF($L1835="","",IF(INDEX(ExpParty,$L1835)="","—",IFERROR(VLOOKUP(INDEX(ExpParty,$L1835),AcctTbl,4,0),INDEX(ExpParty,$L1835))))</f>
        <v/>
      </c>
      <c r="F1835" s="17">
        <f>IF($L1835="","",IF(INDEX(ExpType,$L1835)="","—",INDEX(ExpType,$L1835)))</f>
        <v/>
      </c>
      <c r="G1835" s="19">
        <f>IF($L1835="","",IF(INDEX(ExpDep,$L1835)=0,"",INDEX(ExpDep,$L1835)))</f>
        <v/>
      </c>
      <c r="H1835" s="19">
        <f>IF($L1835="","",IF(INDEX(ExpWit,$L1835)=0,"",INDEX(ExpWit,$L1835)))</f>
        <v/>
      </c>
      <c r="I1835" s="20">
        <f>IF($B1835="","",IF($I1834="",0,$I1834)+IF($H1835="",0,$H1835)-IF($G1835="",0,$G1835))</f>
        <v/>
      </c>
      <c r="J1835" s="18">
        <f>IF($L1835="","",IF(INDEX(ExpNote,$L1835)="","—",INDEX(ExpNote,$L1835)))</f>
        <v/>
      </c>
      <c r="L1835">
        <f>IFERROR(MATCH($C$5&amp;"|"&amp;RIGHT("000000"&amp;1819,6),ExpRankKey,0),"")</f>
        <v/>
      </c>
    </row>
    <row r="1836">
      <c r="A1836" s="21" t="n">
        <v>1820</v>
      </c>
      <c r="B1836" s="22">
        <f>IF($L1836="","",INDEX(ExpNorm,$L1836))</f>
        <v/>
      </c>
      <c r="C1836" s="22">
        <f>IF($L1836="","",IF(INDEX(ExpTime,$L1836)="","—",LEFT(INDEX(ExpTime,$L1836),2)&amp;":"&amp;RIGHT(INDEX(ExpTime,$L1836),2)))</f>
        <v/>
      </c>
      <c r="D1836" s="22">
        <f>IF($L1836="","",IF(INDEX(ExpBank,$L1836)="","—",INDEX(ExpBank,$L1836)))</f>
        <v/>
      </c>
      <c r="E1836" s="23">
        <f>IF($L1836="","",IF(INDEX(ExpParty,$L1836)="","—",IFERROR(VLOOKUP(INDEX(ExpParty,$L1836),AcctTbl,4,0),INDEX(ExpParty,$L1836))))</f>
        <v/>
      </c>
      <c r="F1836" s="22">
        <f>IF($L1836="","",IF(INDEX(ExpType,$L1836)="","—",INDEX(ExpType,$L1836)))</f>
        <v/>
      </c>
      <c r="G1836" s="24">
        <f>IF($L1836="","",IF(INDEX(ExpDep,$L1836)=0,"",INDEX(ExpDep,$L1836)))</f>
        <v/>
      </c>
      <c r="H1836" s="24">
        <f>IF($L1836="","",IF(INDEX(ExpWit,$L1836)=0,"",INDEX(ExpWit,$L1836)))</f>
        <v/>
      </c>
      <c r="I1836" s="25">
        <f>IF($B1836="","",IF($I1835="",0,$I1835)+IF($H1836="",0,$H1836)-IF($G1836="",0,$G1836))</f>
        <v/>
      </c>
      <c r="J1836" s="23">
        <f>IF($L1836="","",IF(INDEX(ExpNote,$L1836)="","—",INDEX(ExpNote,$L1836)))</f>
        <v/>
      </c>
      <c r="L1836">
        <f>IFERROR(MATCH($C$5&amp;"|"&amp;RIGHT("000000"&amp;1820,6),ExpRankKey,0),"")</f>
        <v/>
      </c>
    </row>
    <row r="1837">
      <c r="A1837" s="16" t="n">
        <v>1821</v>
      </c>
      <c r="B1837" s="17">
        <f>IF($L1837="","",INDEX(ExpNorm,$L1837))</f>
        <v/>
      </c>
      <c r="C1837" s="17">
        <f>IF($L1837="","",IF(INDEX(ExpTime,$L1837)="","—",LEFT(INDEX(ExpTime,$L1837),2)&amp;":"&amp;RIGHT(INDEX(ExpTime,$L1837),2)))</f>
        <v/>
      </c>
      <c r="D1837" s="17">
        <f>IF($L1837="","",IF(INDEX(ExpBank,$L1837)="","—",INDEX(ExpBank,$L1837)))</f>
        <v/>
      </c>
      <c r="E1837" s="18">
        <f>IF($L1837="","",IF(INDEX(ExpParty,$L1837)="","—",IFERROR(VLOOKUP(INDEX(ExpParty,$L1837),AcctTbl,4,0),INDEX(ExpParty,$L1837))))</f>
        <v/>
      </c>
      <c r="F1837" s="17">
        <f>IF($L1837="","",IF(INDEX(ExpType,$L1837)="","—",INDEX(ExpType,$L1837)))</f>
        <v/>
      </c>
      <c r="G1837" s="19">
        <f>IF($L1837="","",IF(INDEX(ExpDep,$L1837)=0,"",INDEX(ExpDep,$L1837)))</f>
        <v/>
      </c>
      <c r="H1837" s="19">
        <f>IF($L1837="","",IF(INDEX(ExpWit,$L1837)=0,"",INDEX(ExpWit,$L1837)))</f>
        <v/>
      </c>
      <c r="I1837" s="20">
        <f>IF($B1837="","",IF($I1836="",0,$I1836)+IF($H1837="",0,$H1837)-IF($G1837="",0,$G1837))</f>
        <v/>
      </c>
      <c r="J1837" s="18">
        <f>IF($L1837="","",IF(INDEX(ExpNote,$L1837)="","—",INDEX(ExpNote,$L1837)))</f>
        <v/>
      </c>
      <c r="L1837">
        <f>IFERROR(MATCH($C$5&amp;"|"&amp;RIGHT("000000"&amp;1821,6),ExpRankKey,0),"")</f>
        <v/>
      </c>
    </row>
    <row r="1838">
      <c r="A1838" s="21" t="n">
        <v>1822</v>
      </c>
      <c r="B1838" s="22">
        <f>IF($L1838="","",INDEX(ExpNorm,$L1838))</f>
        <v/>
      </c>
      <c r="C1838" s="22">
        <f>IF($L1838="","",IF(INDEX(ExpTime,$L1838)="","—",LEFT(INDEX(ExpTime,$L1838),2)&amp;":"&amp;RIGHT(INDEX(ExpTime,$L1838),2)))</f>
        <v/>
      </c>
      <c r="D1838" s="22">
        <f>IF($L1838="","",IF(INDEX(ExpBank,$L1838)="","—",INDEX(ExpBank,$L1838)))</f>
        <v/>
      </c>
      <c r="E1838" s="23">
        <f>IF($L1838="","",IF(INDEX(ExpParty,$L1838)="","—",IFERROR(VLOOKUP(INDEX(ExpParty,$L1838),AcctTbl,4,0),INDEX(ExpParty,$L1838))))</f>
        <v/>
      </c>
      <c r="F1838" s="22">
        <f>IF($L1838="","",IF(INDEX(ExpType,$L1838)="","—",INDEX(ExpType,$L1838)))</f>
        <v/>
      </c>
      <c r="G1838" s="24">
        <f>IF($L1838="","",IF(INDEX(ExpDep,$L1838)=0,"",INDEX(ExpDep,$L1838)))</f>
        <v/>
      </c>
      <c r="H1838" s="24">
        <f>IF($L1838="","",IF(INDEX(ExpWit,$L1838)=0,"",INDEX(ExpWit,$L1838)))</f>
        <v/>
      </c>
      <c r="I1838" s="25">
        <f>IF($B1838="","",IF($I1837="",0,$I1837)+IF($H1838="",0,$H1838)-IF($G1838="",0,$G1838))</f>
        <v/>
      </c>
      <c r="J1838" s="23">
        <f>IF($L1838="","",IF(INDEX(ExpNote,$L1838)="","—",INDEX(ExpNote,$L1838)))</f>
        <v/>
      </c>
      <c r="L1838">
        <f>IFERROR(MATCH($C$5&amp;"|"&amp;RIGHT("000000"&amp;1822,6),ExpRankKey,0),"")</f>
        <v/>
      </c>
    </row>
    <row r="1839">
      <c r="A1839" s="16" t="n">
        <v>1823</v>
      </c>
      <c r="B1839" s="17">
        <f>IF($L1839="","",INDEX(ExpNorm,$L1839))</f>
        <v/>
      </c>
      <c r="C1839" s="17">
        <f>IF($L1839="","",IF(INDEX(ExpTime,$L1839)="","—",LEFT(INDEX(ExpTime,$L1839),2)&amp;":"&amp;RIGHT(INDEX(ExpTime,$L1839),2)))</f>
        <v/>
      </c>
      <c r="D1839" s="17">
        <f>IF($L1839="","",IF(INDEX(ExpBank,$L1839)="","—",INDEX(ExpBank,$L1839)))</f>
        <v/>
      </c>
      <c r="E1839" s="18">
        <f>IF($L1839="","",IF(INDEX(ExpParty,$L1839)="","—",IFERROR(VLOOKUP(INDEX(ExpParty,$L1839),AcctTbl,4,0),INDEX(ExpParty,$L1839))))</f>
        <v/>
      </c>
      <c r="F1839" s="17">
        <f>IF($L1839="","",IF(INDEX(ExpType,$L1839)="","—",INDEX(ExpType,$L1839)))</f>
        <v/>
      </c>
      <c r="G1839" s="19">
        <f>IF($L1839="","",IF(INDEX(ExpDep,$L1839)=0,"",INDEX(ExpDep,$L1839)))</f>
        <v/>
      </c>
      <c r="H1839" s="19">
        <f>IF($L1839="","",IF(INDEX(ExpWit,$L1839)=0,"",INDEX(ExpWit,$L1839)))</f>
        <v/>
      </c>
      <c r="I1839" s="20">
        <f>IF($B1839="","",IF($I1838="",0,$I1838)+IF($H1839="",0,$H1839)-IF($G1839="",0,$G1839))</f>
        <v/>
      </c>
      <c r="J1839" s="18">
        <f>IF($L1839="","",IF(INDEX(ExpNote,$L1839)="","—",INDEX(ExpNote,$L1839)))</f>
        <v/>
      </c>
      <c r="L1839">
        <f>IFERROR(MATCH($C$5&amp;"|"&amp;RIGHT("000000"&amp;1823,6),ExpRankKey,0),"")</f>
        <v/>
      </c>
    </row>
    <row r="1840">
      <c r="A1840" s="21" t="n">
        <v>1824</v>
      </c>
      <c r="B1840" s="22">
        <f>IF($L1840="","",INDEX(ExpNorm,$L1840))</f>
        <v/>
      </c>
      <c r="C1840" s="22">
        <f>IF($L1840="","",IF(INDEX(ExpTime,$L1840)="","—",LEFT(INDEX(ExpTime,$L1840),2)&amp;":"&amp;RIGHT(INDEX(ExpTime,$L1840),2)))</f>
        <v/>
      </c>
      <c r="D1840" s="22">
        <f>IF($L1840="","",IF(INDEX(ExpBank,$L1840)="","—",INDEX(ExpBank,$L1840)))</f>
        <v/>
      </c>
      <c r="E1840" s="23">
        <f>IF($L1840="","",IF(INDEX(ExpParty,$L1840)="","—",IFERROR(VLOOKUP(INDEX(ExpParty,$L1840),AcctTbl,4,0),INDEX(ExpParty,$L1840))))</f>
        <v/>
      </c>
      <c r="F1840" s="22">
        <f>IF($L1840="","",IF(INDEX(ExpType,$L1840)="","—",INDEX(ExpType,$L1840)))</f>
        <v/>
      </c>
      <c r="G1840" s="24">
        <f>IF($L1840="","",IF(INDEX(ExpDep,$L1840)=0,"",INDEX(ExpDep,$L1840)))</f>
        <v/>
      </c>
      <c r="H1840" s="24">
        <f>IF($L1840="","",IF(INDEX(ExpWit,$L1840)=0,"",INDEX(ExpWit,$L1840)))</f>
        <v/>
      </c>
      <c r="I1840" s="25">
        <f>IF($B1840="","",IF($I1839="",0,$I1839)+IF($H1840="",0,$H1840)-IF($G1840="",0,$G1840))</f>
        <v/>
      </c>
      <c r="J1840" s="23">
        <f>IF($L1840="","",IF(INDEX(ExpNote,$L1840)="","—",INDEX(ExpNote,$L1840)))</f>
        <v/>
      </c>
      <c r="L1840">
        <f>IFERROR(MATCH($C$5&amp;"|"&amp;RIGHT("000000"&amp;1824,6),ExpRankKey,0),"")</f>
        <v/>
      </c>
    </row>
    <row r="1841">
      <c r="A1841" s="16" t="n">
        <v>1825</v>
      </c>
      <c r="B1841" s="17">
        <f>IF($L1841="","",INDEX(ExpNorm,$L1841))</f>
        <v/>
      </c>
      <c r="C1841" s="17">
        <f>IF($L1841="","",IF(INDEX(ExpTime,$L1841)="","—",LEFT(INDEX(ExpTime,$L1841),2)&amp;":"&amp;RIGHT(INDEX(ExpTime,$L1841),2)))</f>
        <v/>
      </c>
      <c r="D1841" s="17">
        <f>IF($L1841="","",IF(INDEX(ExpBank,$L1841)="","—",INDEX(ExpBank,$L1841)))</f>
        <v/>
      </c>
      <c r="E1841" s="18">
        <f>IF($L1841="","",IF(INDEX(ExpParty,$L1841)="","—",IFERROR(VLOOKUP(INDEX(ExpParty,$L1841),AcctTbl,4,0),INDEX(ExpParty,$L1841))))</f>
        <v/>
      </c>
      <c r="F1841" s="17">
        <f>IF($L1841="","",IF(INDEX(ExpType,$L1841)="","—",INDEX(ExpType,$L1841)))</f>
        <v/>
      </c>
      <c r="G1841" s="19">
        <f>IF($L1841="","",IF(INDEX(ExpDep,$L1841)=0,"",INDEX(ExpDep,$L1841)))</f>
        <v/>
      </c>
      <c r="H1841" s="19">
        <f>IF($L1841="","",IF(INDEX(ExpWit,$L1841)=0,"",INDEX(ExpWit,$L1841)))</f>
        <v/>
      </c>
      <c r="I1841" s="20">
        <f>IF($B1841="","",IF($I1840="",0,$I1840)+IF($H1841="",0,$H1841)-IF($G1841="",0,$G1841))</f>
        <v/>
      </c>
      <c r="J1841" s="18">
        <f>IF($L1841="","",IF(INDEX(ExpNote,$L1841)="","—",INDEX(ExpNote,$L1841)))</f>
        <v/>
      </c>
      <c r="L1841">
        <f>IFERROR(MATCH($C$5&amp;"|"&amp;RIGHT("000000"&amp;1825,6),ExpRankKey,0),"")</f>
        <v/>
      </c>
    </row>
    <row r="1842">
      <c r="A1842" s="21" t="n">
        <v>1826</v>
      </c>
      <c r="B1842" s="22">
        <f>IF($L1842="","",INDEX(ExpNorm,$L1842))</f>
        <v/>
      </c>
      <c r="C1842" s="22">
        <f>IF($L1842="","",IF(INDEX(ExpTime,$L1842)="","—",LEFT(INDEX(ExpTime,$L1842),2)&amp;":"&amp;RIGHT(INDEX(ExpTime,$L1842),2)))</f>
        <v/>
      </c>
      <c r="D1842" s="22">
        <f>IF($L1842="","",IF(INDEX(ExpBank,$L1842)="","—",INDEX(ExpBank,$L1842)))</f>
        <v/>
      </c>
      <c r="E1842" s="23">
        <f>IF($L1842="","",IF(INDEX(ExpParty,$L1842)="","—",IFERROR(VLOOKUP(INDEX(ExpParty,$L1842),AcctTbl,4,0),INDEX(ExpParty,$L1842))))</f>
        <v/>
      </c>
      <c r="F1842" s="22">
        <f>IF($L1842="","",IF(INDEX(ExpType,$L1842)="","—",INDEX(ExpType,$L1842)))</f>
        <v/>
      </c>
      <c r="G1842" s="24">
        <f>IF($L1842="","",IF(INDEX(ExpDep,$L1842)=0,"",INDEX(ExpDep,$L1842)))</f>
        <v/>
      </c>
      <c r="H1842" s="24">
        <f>IF($L1842="","",IF(INDEX(ExpWit,$L1842)=0,"",INDEX(ExpWit,$L1842)))</f>
        <v/>
      </c>
      <c r="I1842" s="25">
        <f>IF($B1842="","",IF($I1841="",0,$I1841)+IF($H1842="",0,$H1842)-IF($G1842="",0,$G1842))</f>
        <v/>
      </c>
      <c r="J1842" s="23">
        <f>IF($L1842="","",IF(INDEX(ExpNote,$L1842)="","—",INDEX(ExpNote,$L1842)))</f>
        <v/>
      </c>
      <c r="L1842">
        <f>IFERROR(MATCH($C$5&amp;"|"&amp;RIGHT("000000"&amp;1826,6),ExpRankKey,0),"")</f>
        <v/>
      </c>
    </row>
    <row r="1843">
      <c r="A1843" s="16" t="n">
        <v>1827</v>
      </c>
      <c r="B1843" s="17">
        <f>IF($L1843="","",INDEX(ExpNorm,$L1843))</f>
        <v/>
      </c>
      <c r="C1843" s="17">
        <f>IF($L1843="","",IF(INDEX(ExpTime,$L1843)="","—",LEFT(INDEX(ExpTime,$L1843),2)&amp;":"&amp;RIGHT(INDEX(ExpTime,$L1843),2)))</f>
        <v/>
      </c>
      <c r="D1843" s="17">
        <f>IF($L1843="","",IF(INDEX(ExpBank,$L1843)="","—",INDEX(ExpBank,$L1843)))</f>
        <v/>
      </c>
      <c r="E1843" s="18">
        <f>IF($L1843="","",IF(INDEX(ExpParty,$L1843)="","—",IFERROR(VLOOKUP(INDEX(ExpParty,$L1843),AcctTbl,4,0),INDEX(ExpParty,$L1843))))</f>
        <v/>
      </c>
      <c r="F1843" s="17">
        <f>IF($L1843="","",IF(INDEX(ExpType,$L1843)="","—",INDEX(ExpType,$L1843)))</f>
        <v/>
      </c>
      <c r="G1843" s="19">
        <f>IF($L1843="","",IF(INDEX(ExpDep,$L1843)=0,"",INDEX(ExpDep,$L1843)))</f>
        <v/>
      </c>
      <c r="H1843" s="19">
        <f>IF($L1843="","",IF(INDEX(ExpWit,$L1843)=0,"",INDEX(ExpWit,$L1843)))</f>
        <v/>
      </c>
      <c r="I1843" s="20">
        <f>IF($B1843="","",IF($I1842="",0,$I1842)+IF($H1843="",0,$H1843)-IF($G1843="",0,$G1843))</f>
        <v/>
      </c>
      <c r="J1843" s="18">
        <f>IF($L1843="","",IF(INDEX(ExpNote,$L1843)="","—",INDEX(ExpNote,$L1843)))</f>
        <v/>
      </c>
      <c r="L1843">
        <f>IFERROR(MATCH($C$5&amp;"|"&amp;RIGHT("000000"&amp;1827,6),ExpRankKey,0),"")</f>
        <v/>
      </c>
    </row>
    <row r="1844">
      <c r="A1844" s="21" t="n">
        <v>1828</v>
      </c>
      <c r="B1844" s="22">
        <f>IF($L1844="","",INDEX(ExpNorm,$L1844))</f>
        <v/>
      </c>
      <c r="C1844" s="22">
        <f>IF($L1844="","",IF(INDEX(ExpTime,$L1844)="","—",LEFT(INDEX(ExpTime,$L1844),2)&amp;":"&amp;RIGHT(INDEX(ExpTime,$L1844),2)))</f>
        <v/>
      </c>
      <c r="D1844" s="22">
        <f>IF($L1844="","",IF(INDEX(ExpBank,$L1844)="","—",INDEX(ExpBank,$L1844)))</f>
        <v/>
      </c>
      <c r="E1844" s="23">
        <f>IF($L1844="","",IF(INDEX(ExpParty,$L1844)="","—",IFERROR(VLOOKUP(INDEX(ExpParty,$L1844),AcctTbl,4,0),INDEX(ExpParty,$L1844))))</f>
        <v/>
      </c>
      <c r="F1844" s="22">
        <f>IF($L1844="","",IF(INDEX(ExpType,$L1844)="","—",INDEX(ExpType,$L1844)))</f>
        <v/>
      </c>
      <c r="G1844" s="24">
        <f>IF($L1844="","",IF(INDEX(ExpDep,$L1844)=0,"",INDEX(ExpDep,$L1844)))</f>
        <v/>
      </c>
      <c r="H1844" s="24">
        <f>IF($L1844="","",IF(INDEX(ExpWit,$L1844)=0,"",INDEX(ExpWit,$L1844)))</f>
        <v/>
      </c>
      <c r="I1844" s="25">
        <f>IF($B1844="","",IF($I1843="",0,$I1843)+IF($H1844="",0,$H1844)-IF($G1844="",0,$G1844))</f>
        <v/>
      </c>
      <c r="J1844" s="23">
        <f>IF($L1844="","",IF(INDEX(ExpNote,$L1844)="","—",INDEX(ExpNote,$L1844)))</f>
        <v/>
      </c>
      <c r="L1844">
        <f>IFERROR(MATCH($C$5&amp;"|"&amp;RIGHT("000000"&amp;1828,6),ExpRankKey,0),"")</f>
        <v/>
      </c>
    </row>
    <row r="1845">
      <c r="A1845" s="16" t="n">
        <v>1829</v>
      </c>
      <c r="B1845" s="17">
        <f>IF($L1845="","",INDEX(ExpNorm,$L1845))</f>
        <v/>
      </c>
      <c r="C1845" s="17">
        <f>IF($L1845="","",IF(INDEX(ExpTime,$L1845)="","—",LEFT(INDEX(ExpTime,$L1845),2)&amp;":"&amp;RIGHT(INDEX(ExpTime,$L1845),2)))</f>
        <v/>
      </c>
      <c r="D1845" s="17">
        <f>IF($L1845="","",IF(INDEX(ExpBank,$L1845)="","—",INDEX(ExpBank,$L1845)))</f>
        <v/>
      </c>
      <c r="E1845" s="18">
        <f>IF($L1845="","",IF(INDEX(ExpParty,$L1845)="","—",IFERROR(VLOOKUP(INDEX(ExpParty,$L1845),AcctTbl,4,0),INDEX(ExpParty,$L1845))))</f>
        <v/>
      </c>
      <c r="F1845" s="17">
        <f>IF($L1845="","",IF(INDEX(ExpType,$L1845)="","—",INDEX(ExpType,$L1845)))</f>
        <v/>
      </c>
      <c r="G1845" s="19">
        <f>IF($L1845="","",IF(INDEX(ExpDep,$L1845)=0,"",INDEX(ExpDep,$L1845)))</f>
        <v/>
      </c>
      <c r="H1845" s="19">
        <f>IF($L1845="","",IF(INDEX(ExpWit,$L1845)=0,"",INDEX(ExpWit,$L1845)))</f>
        <v/>
      </c>
      <c r="I1845" s="20">
        <f>IF($B1845="","",IF($I1844="",0,$I1844)+IF($H1845="",0,$H1845)-IF($G1845="",0,$G1845))</f>
        <v/>
      </c>
      <c r="J1845" s="18">
        <f>IF($L1845="","",IF(INDEX(ExpNote,$L1845)="","—",INDEX(ExpNote,$L1845)))</f>
        <v/>
      </c>
      <c r="L1845">
        <f>IFERROR(MATCH($C$5&amp;"|"&amp;RIGHT("000000"&amp;1829,6),ExpRankKey,0),"")</f>
        <v/>
      </c>
    </row>
    <row r="1846">
      <c r="A1846" s="21" t="n">
        <v>1830</v>
      </c>
      <c r="B1846" s="22">
        <f>IF($L1846="","",INDEX(ExpNorm,$L1846))</f>
        <v/>
      </c>
      <c r="C1846" s="22">
        <f>IF($L1846="","",IF(INDEX(ExpTime,$L1846)="","—",LEFT(INDEX(ExpTime,$L1846),2)&amp;":"&amp;RIGHT(INDEX(ExpTime,$L1846),2)))</f>
        <v/>
      </c>
      <c r="D1846" s="22">
        <f>IF($L1846="","",IF(INDEX(ExpBank,$L1846)="","—",INDEX(ExpBank,$L1846)))</f>
        <v/>
      </c>
      <c r="E1846" s="23">
        <f>IF($L1846="","",IF(INDEX(ExpParty,$L1846)="","—",IFERROR(VLOOKUP(INDEX(ExpParty,$L1846),AcctTbl,4,0),INDEX(ExpParty,$L1846))))</f>
        <v/>
      </c>
      <c r="F1846" s="22">
        <f>IF($L1846="","",IF(INDEX(ExpType,$L1846)="","—",INDEX(ExpType,$L1846)))</f>
        <v/>
      </c>
      <c r="G1846" s="24">
        <f>IF($L1846="","",IF(INDEX(ExpDep,$L1846)=0,"",INDEX(ExpDep,$L1846)))</f>
        <v/>
      </c>
      <c r="H1846" s="24">
        <f>IF($L1846="","",IF(INDEX(ExpWit,$L1846)=0,"",INDEX(ExpWit,$L1846)))</f>
        <v/>
      </c>
      <c r="I1846" s="25">
        <f>IF($B1846="","",IF($I1845="",0,$I1845)+IF($H1846="",0,$H1846)-IF($G1846="",0,$G1846))</f>
        <v/>
      </c>
      <c r="J1846" s="23">
        <f>IF($L1846="","",IF(INDEX(ExpNote,$L1846)="","—",INDEX(ExpNote,$L1846)))</f>
        <v/>
      </c>
      <c r="L1846">
        <f>IFERROR(MATCH($C$5&amp;"|"&amp;RIGHT("000000"&amp;1830,6),ExpRankKey,0),"")</f>
        <v/>
      </c>
    </row>
    <row r="1847">
      <c r="A1847" s="16" t="n">
        <v>1831</v>
      </c>
      <c r="B1847" s="17">
        <f>IF($L1847="","",INDEX(ExpNorm,$L1847))</f>
        <v/>
      </c>
      <c r="C1847" s="17">
        <f>IF($L1847="","",IF(INDEX(ExpTime,$L1847)="","—",LEFT(INDEX(ExpTime,$L1847),2)&amp;":"&amp;RIGHT(INDEX(ExpTime,$L1847),2)))</f>
        <v/>
      </c>
      <c r="D1847" s="17">
        <f>IF($L1847="","",IF(INDEX(ExpBank,$L1847)="","—",INDEX(ExpBank,$L1847)))</f>
        <v/>
      </c>
      <c r="E1847" s="18">
        <f>IF($L1847="","",IF(INDEX(ExpParty,$L1847)="","—",IFERROR(VLOOKUP(INDEX(ExpParty,$L1847),AcctTbl,4,0),INDEX(ExpParty,$L1847))))</f>
        <v/>
      </c>
      <c r="F1847" s="17">
        <f>IF($L1847="","",IF(INDEX(ExpType,$L1847)="","—",INDEX(ExpType,$L1847)))</f>
        <v/>
      </c>
      <c r="G1847" s="19">
        <f>IF($L1847="","",IF(INDEX(ExpDep,$L1847)=0,"",INDEX(ExpDep,$L1847)))</f>
        <v/>
      </c>
      <c r="H1847" s="19">
        <f>IF($L1847="","",IF(INDEX(ExpWit,$L1847)=0,"",INDEX(ExpWit,$L1847)))</f>
        <v/>
      </c>
      <c r="I1847" s="20">
        <f>IF($B1847="","",IF($I1846="",0,$I1846)+IF($H1847="",0,$H1847)-IF($G1847="",0,$G1847))</f>
        <v/>
      </c>
      <c r="J1847" s="18">
        <f>IF($L1847="","",IF(INDEX(ExpNote,$L1847)="","—",INDEX(ExpNote,$L1847)))</f>
        <v/>
      </c>
      <c r="L1847">
        <f>IFERROR(MATCH($C$5&amp;"|"&amp;RIGHT("000000"&amp;1831,6),ExpRankKey,0),"")</f>
        <v/>
      </c>
    </row>
    <row r="1848">
      <c r="A1848" s="21" t="n">
        <v>1832</v>
      </c>
      <c r="B1848" s="22">
        <f>IF($L1848="","",INDEX(ExpNorm,$L1848))</f>
        <v/>
      </c>
      <c r="C1848" s="22">
        <f>IF($L1848="","",IF(INDEX(ExpTime,$L1848)="","—",LEFT(INDEX(ExpTime,$L1848),2)&amp;":"&amp;RIGHT(INDEX(ExpTime,$L1848),2)))</f>
        <v/>
      </c>
      <c r="D1848" s="22">
        <f>IF($L1848="","",IF(INDEX(ExpBank,$L1848)="","—",INDEX(ExpBank,$L1848)))</f>
        <v/>
      </c>
      <c r="E1848" s="23">
        <f>IF($L1848="","",IF(INDEX(ExpParty,$L1848)="","—",IFERROR(VLOOKUP(INDEX(ExpParty,$L1848),AcctTbl,4,0),INDEX(ExpParty,$L1848))))</f>
        <v/>
      </c>
      <c r="F1848" s="22">
        <f>IF($L1848="","",IF(INDEX(ExpType,$L1848)="","—",INDEX(ExpType,$L1848)))</f>
        <v/>
      </c>
      <c r="G1848" s="24">
        <f>IF($L1848="","",IF(INDEX(ExpDep,$L1848)=0,"",INDEX(ExpDep,$L1848)))</f>
        <v/>
      </c>
      <c r="H1848" s="24">
        <f>IF($L1848="","",IF(INDEX(ExpWit,$L1848)=0,"",INDEX(ExpWit,$L1848)))</f>
        <v/>
      </c>
      <c r="I1848" s="25">
        <f>IF($B1848="","",IF($I1847="",0,$I1847)+IF($H1848="",0,$H1848)-IF($G1848="",0,$G1848))</f>
        <v/>
      </c>
      <c r="J1848" s="23">
        <f>IF($L1848="","",IF(INDEX(ExpNote,$L1848)="","—",INDEX(ExpNote,$L1848)))</f>
        <v/>
      </c>
      <c r="L1848">
        <f>IFERROR(MATCH($C$5&amp;"|"&amp;RIGHT("000000"&amp;1832,6),ExpRankKey,0),"")</f>
        <v/>
      </c>
    </row>
    <row r="1849">
      <c r="A1849" s="16" t="n">
        <v>1833</v>
      </c>
      <c r="B1849" s="17">
        <f>IF($L1849="","",INDEX(ExpNorm,$L1849))</f>
        <v/>
      </c>
      <c r="C1849" s="17">
        <f>IF($L1849="","",IF(INDEX(ExpTime,$L1849)="","—",LEFT(INDEX(ExpTime,$L1849),2)&amp;":"&amp;RIGHT(INDEX(ExpTime,$L1849),2)))</f>
        <v/>
      </c>
      <c r="D1849" s="17">
        <f>IF($L1849="","",IF(INDEX(ExpBank,$L1849)="","—",INDEX(ExpBank,$L1849)))</f>
        <v/>
      </c>
      <c r="E1849" s="18">
        <f>IF($L1849="","",IF(INDEX(ExpParty,$L1849)="","—",IFERROR(VLOOKUP(INDEX(ExpParty,$L1849),AcctTbl,4,0),INDEX(ExpParty,$L1849))))</f>
        <v/>
      </c>
      <c r="F1849" s="17">
        <f>IF($L1849="","",IF(INDEX(ExpType,$L1849)="","—",INDEX(ExpType,$L1849)))</f>
        <v/>
      </c>
      <c r="G1849" s="19">
        <f>IF($L1849="","",IF(INDEX(ExpDep,$L1849)=0,"",INDEX(ExpDep,$L1849)))</f>
        <v/>
      </c>
      <c r="H1849" s="19">
        <f>IF($L1849="","",IF(INDEX(ExpWit,$L1849)=0,"",INDEX(ExpWit,$L1849)))</f>
        <v/>
      </c>
      <c r="I1849" s="20">
        <f>IF($B1849="","",IF($I1848="",0,$I1848)+IF($H1849="",0,$H1849)-IF($G1849="",0,$G1849))</f>
        <v/>
      </c>
      <c r="J1849" s="18">
        <f>IF($L1849="","",IF(INDEX(ExpNote,$L1849)="","—",INDEX(ExpNote,$L1849)))</f>
        <v/>
      </c>
      <c r="L1849">
        <f>IFERROR(MATCH($C$5&amp;"|"&amp;RIGHT("000000"&amp;1833,6),ExpRankKey,0),"")</f>
        <v/>
      </c>
    </row>
    <row r="1850">
      <c r="A1850" s="21" t="n">
        <v>1834</v>
      </c>
      <c r="B1850" s="22">
        <f>IF($L1850="","",INDEX(ExpNorm,$L1850))</f>
        <v/>
      </c>
      <c r="C1850" s="22">
        <f>IF($L1850="","",IF(INDEX(ExpTime,$L1850)="","—",LEFT(INDEX(ExpTime,$L1850),2)&amp;":"&amp;RIGHT(INDEX(ExpTime,$L1850),2)))</f>
        <v/>
      </c>
      <c r="D1850" s="22">
        <f>IF($L1850="","",IF(INDEX(ExpBank,$L1850)="","—",INDEX(ExpBank,$L1850)))</f>
        <v/>
      </c>
      <c r="E1850" s="23">
        <f>IF($L1850="","",IF(INDEX(ExpParty,$L1850)="","—",IFERROR(VLOOKUP(INDEX(ExpParty,$L1850),AcctTbl,4,0),INDEX(ExpParty,$L1850))))</f>
        <v/>
      </c>
      <c r="F1850" s="22">
        <f>IF($L1850="","",IF(INDEX(ExpType,$L1850)="","—",INDEX(ExpType,$L1850)))</f>
        <v/>
      </c>
      <c r="G1850" s="24">
        <f>IF($L1850="","",IF(INDEX(ExpDep,$L1850)=0,"",INDEX(ExpDep,$L1850)))</f>
        <v/>
      </c>
      <c r="H1850" s="24">
        <f>IF($L1850="","",IF(INDEX(ExpWit,$L1850)=0,"",INDEX(ExpWit,$L1850)))</f>
        <v/>
      </c>
      <c r="I1850" s="25">
        <f>IF($B1850="","",IF($I1849="",0,$I1849)+IF($H1850="",0,$H1850)-IF($G1850="",0,$G1850))</f>
        <v/>
      </c>
      <c r="J1850" s="23">
        <f>IF($L1850="","",IF(INDEX(ExpNote,$L1850)="","—",INDEX(ExpNote,$L1850)))</f>
        <v/>
      </c>
      <c r="L1850">
        <f>IFERROR(MATCH($C$5&amp;"|"&amp;RIGHT("000000"&amp;1834,6),ExpRankKey,0),"")</f>
        <v/>
      </c>
    </row>
    <row r="1851">
      <c r="A1851" s="16" t="n">
        <v>1835</v>
      </c>
      <c r="B1851" s="17">
        <f>IF($L1851="","",INDEX(ExpNorm,$L1851))</f>
        <v/>
      </c>
      <c r="C1851" s="17">
        <f>IF($L1851="","",IF(INDEX(ExpTime,$L1851)="","—",LEFT(INDEX(ExpTime,$L1851),2)&amp;":"&amp;RIGHT(INDEX(ExpTime,$L1851),2)))</f>
        <v/>
      </c>
      <c r="D1851" s="17">
        <f>IF($L1851="","",IF(INDEX(ExpBank,$L1851)="","—",INDEX(ExpBank,$L1851)))</f>
        <v/>
      </c>
      <c r="E1851" s="18">
        <f>IF($L1851="","",IF(INDEX(ExpParty,$L1851)="","—",IFERROR(VLOOKUP(INDEX(ExpParty,$L1851),AcctTbl,4,0),INDEX(ExpParty,$L1851))))</f>
        <v/>
      </c>
      <c r="F1851" s="17">
        <f>IF($L1851="","",IF(INDEX(ExpType,$L1851)="","—",INDEX(ExpType,$L1851)))</f>
        <v/>
      </c>
      <c r="G1851" s="19">
        <f>IF($L1851="","",IF(INDEX(ExpDep,$L1851)=0,"",INDEX(ExpDep,$L1851)))</f>
        <v/>
      </c>
      <c r="H1851" s="19">
        <f>IF($L1851="","",IF(INDEX(ExpWit,$L1851)=0,"",INDEX(ExpWit,$L1851)))</f>
        <v/>
      </c>
      <c r="I1851" s="20">
        <f>IF($B1851="","",IF($I1850="",0,$I1850)+IF($H1851="",0,$H1851)-IF($G1851="",0,$G1851))</f>
        <v/>
      </c>
      <c r="J1851" s="18">
        <f>IF($L1851="","",IF(INDEX(ExpNote,$L1851)="","—",INDEX(ExpNote,$L1851)))</f>
        <v/>
      </c>
      <c r="L1851">
        <f>IFERROR(MATCH($C$5&amp;"|"&amp;RIGHT("000000"&amp;1835,6),ExpRankKey,0),"")</f>
        <v/>
      </c>
    </row>
    <row r="1852">
      <c r="A1852" s="21" t="n">
        <v>1836</v>
      </c>
      <c r="B1852" s="22">
        <f>IF($L1852="","",INDEX(ExpNorm,$L1852))</f>
        <v/>
      </c>
      <c r="C1852" s="22">
        <f>IF($L1852="","",IF(INDEX(ExpTime,$L1852)="","—",LEFT(INDEX(ExpTime,$L1852),2)&amp;":"&amp;RIGHT(INDEX(ExpTime,$L1852),2)))</f>
        <v/>
      </c>
      <c r="D1852" s="22">
        <f>IF($L1852="","",IF(INDEX(ExpBank,$L1852)="","—",INDEX(ExpBank,$L1852)))</f>
        <v/>
      </c>
      <c r="E1852" s="23">
        <f>IF($L1852="","",IF(INDEX(ExpParty,$L1852)="","—",IFERROR(VLOOKUP(INDEX(ExpParty,$L1852),AcctTbl,4,0),INDEX(ExpParty,$L1852))))</f>
        <v/>
      </c>
      <c r="F1852" s="22">
        <f>IF($L1852="","",IF(INDEX(ExpType,$L1852)="","—",INDEX(ExpType,$L1852)))</f>
        <v/>
      </c>
      <c r="G1852" s="24">
        <f>IF($L1852="","",IF(INDEX(ExpDep,$L1852)=0,"",INDEX(ExpDep,$L1852)))</f>
        <v/>
      </c>
      <c r="H1852" s="24">
        <f>IF($L1852="","",IF(INDEX(ExpWit,$L1852)=0,"",INDEX(ExpWit,$L1852)))</f>
        <v/>
      </c>
      <c r="I1852" s="25">
        <f>IF($B1852="","",IF($I1851="",0,$I1851)+IF($H1852="",0,$H1852)-IF($G1852="",0,$G1852))</f>
        <v/>
      </c>
      <c r="J1852" s="23">
        <f>IF($L1852="","",IF(INDEX(ExpNote,$L1852)="","—",INDEX(ExpNote,$L1852)))</f>
        <v/>
      </c>
      <c r="L1852">
        <f>IFERROR(MATCH($C$5&amp;"|"&amp;RIGHT("000000"&amp;1836,6),ExpRankKey,0),"")</f>
        <v/>
      </c>
    </row>
    <row r="1853">
      <c r="A1853" s="16" t="n">
        <v>1837</v>
      </c>
      <c r="B1853" s="17">
        <f>IF($L1853="","",INDEX(ExpNorm,$L1853))</f>
        <v/>
      </c>
      <c r="C1853" s="17">
        <f>IF($L1853="","",IF(INDEX(ExpTime,$L1853)="","—",LEFT(INDEX(ExpTime,$L1853),2)&amp;":"&amp;RIGHT(INDEX(ExpTime,$L1853),2)))</f>
        <v/>
      </c>
      <c r="D1853" s="17">
        <f>IF($L1853="","",IF(INDEX(ExpBank,$L1853)="","—",INDEX(ExpBank,$L1853)))</f>
        <v/>
      </c>
      <c r="E1853" s="18">
        <f>IF($L1853="","",IF(INDEX(ExpParty,$L1853)="","—",IFERROR(VLOOKUP(INDEX(ExpParty,$L1853),AcctTbl,4,0),INDEX(ExpParty,$L1853))))</f>
        <v/>
      </c>
      <c r="F1853" s="17">
        <f>IF($L1853="","",IF(INDEX(ExpType,$L1853)="","—",INDEX(ExpType,$L1853)))</f>
        <v/>
      </c>
      <c r="G1853" s="19">
        <f>IF($L1853="","",IF(INDEX(ExpDep,$L1853)=0,"",INDEX(ExpDep,$L1853)))</f>
        <v/>
      </c>
      <c r="H1853" s="19">
        <f>IF($L1853="","",IF(INDEX(ExpWit,$L1853)=0,"",INDEX(ExpWit,$L1853)))</f>
        <v/>
      </c>
      <c r="I1853" s="20">
        <f>IF($B1853="","",IF($I1852="",0,$I1852)+IF($H1853="",0,$H1853)-IF($G1853="",0,$G1853))</f>
        <v/>
      </c>
      <c r="J1853" s="18">
        <f>IF($L1853="","",IF(INDEX(ExpNote,$L1853)="","—",INDEX(ExpNote,$L1853)))</f>
        <v/>
      </c>
      <c r="L1853">
        <f>IFERROR(MATCH($C$5&amp;"|"&amp;RIGHT("000000"&amp;1837,6),ExpRankKey,0),"")</f>
        <v/>
      </c>
    </row>
    <row r="1854">
      <c r="A1854" s="21" t="n">
        <v>1838</v>
      </c>
      <c r="B1854" s="22">
        <f>IF($L1854="","",INDEX(ExpNorm,$L1854))</f>
        <v/>
      </c>
      <c r="C1854" s="22">
        <f>IF($L1854="","",IF(INDEX(ExpTime,$L1854)="","—",LEFT(INDEX(ExpTime,$L1854),2)&amp;":"&amp;RIGHT(INDEX(ExpTime,$L1854),2)))</f>
        <v/>
      </c>
      <c r="D1854" s="22">
        <f>IF($L1854="","",IF(INDEX(ExpBank,$L1854)="","—",INDEX(ExpBank,$L1854)))</f>
        <v/>
      </c>
      <c r="E1854" s="23">
        <f>IF($L1854="","",IF(INDEX(ExpParty,$L1854)="","—",IFERROR(VLOOKUP(INDEX(ExpParty,$L1854),AcctTbl,4,0),INDEX(ExpParty,$L1854))))</f>
        <v/>
      </c>
      <c r="F1854" s="22">
        <f>IF($L1854="","",IF(INDEX(ExpType,$L1854)="","—",INDEX(ExpType,$L1854)))</f>
        <v/>
      </c>
      <c r="G1854" s="24">
        <f>IF($L1854="","",IF(INDEX(ExpDep,$L1854)=0,"",INDEX(ExpDep,$L1854)))</f>
        <v/>
      </c>
      <c r="H1854" s="24">
        <f>IF($L1854="","",IF(INDEX(ExpWit,$L1854)=0,"",INDEX(ExpWit,$L1854)))</f>
        <v/>
      </c>
      <c r="I1854" s="25">
        <f>IF($B1854="","",IF($I1853="",0,$I1853)+IF($H1854="",0,$H1854)-IF($G1854="",0,$G1854))</f>
        <v/>
      </c>
      <c r="J1854" s="23">
        <f>IF($L1854="","",IF(INDEX(ExpNote,$L1854)="","—",INDEX(ExpNote,$L1854)))</f>
        <v/>
      </c>
      <c r="L1854">
        <f>IFERROR(MATCH($C$5&amp;"|"&amp;RIGHT("000000"&amp;1838,6),ExpRankKey,0),"")</f>
        <v/>
      </c>
    </row>
    <row r="1855">
      <c r="A1855" s="16" t="n">
        <v>1839</v>
      </c>
      <c r="B1855" s="17">
        <f>IF($L1855="","",INDEX(ExpNorm,$L1855))</f>
        <v/>
      </c>
      <c r="C1855" s="17">
        <f>IF($L1855="","",IF(INDEX(ExpTime,$L1855)="","—",LEFT(INDEX(ExpTime,$L1855),2)&amp;":"&amp;RIGHT(INDEX(ExpTime,$L1855),2)))</f>
        <v/>
      </c>
      <c r="D1855" s="17">
        <f>IF($L1855="","",IF(INDEX(ExpBank,$L1855)="","—",INDEX(ExpBank,$L1855)))</f>
        <v/>
      </c>
      <c r="E1855" s="18">
        <f>IF($L1855="","",IF(INDEX(ExpParty,$L1855)="","—",IFERROR(VLOOKUP(INDEX(ExpParty,$L1855),AcctTbl,4,0),INDEX(ExpParty,$L1855))))</f>
        <v/>
      </c>
      <c r="F1855" s="17">
        <f>IF($L1855="","",IF(INDEX(ExpType,$L1855)="","—",INDEX(ExpType,$L1855)))</f>
        <v/>
      </c>
      <c r="G1855" s="19">
        <f>IF($L1855="","",IF(INDEX(ExpDep,$L1855)=0,"",INDEX(ExpDep,$L1855)))</f>
        <v/>
      </c>
      <c r="H1855" s="19">
        <f>IF($L1855="","",IF(INDEX(ExpWit,$L1855)=0,"",INDEX(ExpWit,$L1855)))</f>
        <v/>
      </c>
      <c r="I1855" s="20">
        <f>IF($B1855="","",IF($I1854="",0,$I1854)+IF($H1855="",0,$H1855)-IF($G1855="",0,$G1855))</f>
        <v/>
      </c>
      <c r="J1855" s="18">
        <f>IF($L1855="","",IF(INDEX(ExpNote,$L1855)="","—",INDEX(ExpNote,$L1855)))</f>
        <v/>
      </c>
      <c r="L1855">
        <f>IFERROR(MATCH($C$5&amp;"|"&amp;RIGHT("000000"&amp;1839,6),ExpRankKey,0),"")</f>
        <v/>
      </c>
    </row>
    <row r="1856">
      <c r="A1856" s="21" t="n">
        <v>1840</v>
      </c>
      <c r="B1856" s="22">
        <f>IF($L1856="","",INDEX(ExpNorm,$L1856))</f>
        <v/>
      </c>
      <c r="C1856" s="22">
        <f>IF($L1856="","",IF(INDEX(ExpTime,$L1856)="","—",LEFT(INDEX(ExpTime,$L1856),2)&amp;":"&amp;RIGHT(INDEX(ExpTime,$L1856),2)))</f>
        <v/>
      </c>
      <c r="D1856" s="22">
        <f>IF($L1856="","",IF(INDEX(ExpBank,$L1856)="","—",INDEX(ExpBank,$L1856)))</f>
        <v/>
      </c>
      <c r="E1856" s="23">
        <f>IF($L1856="","",IF(INDEX(ExpParty,$L1856)="","—",IFERROR(VLOOKUP(INDEX(ExpParty,$L1856),AcctTbl,4,0),INDEX(ExpParty,$L1856))))</f>
        <v/>
      </c>
      <c r="F1856" s="22">
        <f>IF($L1856="","",IF(INDEX(ExpType,$L1856)="","—",INDEX(ExpType,$L1856)))</f>
        <v/>
      </c>
      <c r="G1856" s="24">
        <f>IF($L1856="","",IF(INDEX(ExpDep,$L1856)=0,"",INDEX(ExpDep,$L1856)))</f>
        <v/>
      </c>
      <c r="H1856" s="24">
        <f>IF($L1856="","",IF(INDEX(ExpWit,$L1856)=0,"",INDEX(ExpWit,$L1856)))</f>
        <v/>
      </c>
      <c r="I1856" s="25">
        <f>IF($B1856="","",IF($I1855="",0,$I1855)+IF($H1856="",0,$H1856)-IF($G1856="",0,$G1856))</f>
        <v/>
      </c>
      <c r="J1856" s="23">
        <f>IF($L1856="","",IF(INDEX(ExpNote,$L1856)="","—",INDEX(ExpNote,$L1856)))</f>
        <v/>
      </c>
      <c r="L1856">
        <f>IFERROR(MATCH($C$5&amp;"|"&amp;RIGHT("000000"&amp;1840,6),ExpRankKey,0),"")</f>
        <v/>
      </c>
    </row>
    <row r="1857">
      <c r="A1857" s="16" t="n">
        <v>1841</v>
      </c>
      <c r="B1857" s="17">
        <f>IF($L1857="","",INDEX(ExpNorm,$L1857))</f>
        <v/>
      </c>
      <c r="C1857" s="17">
        <f>IF($L1857="","",IF(INDEX(ExpTime,$L1857)="","—",LEFT(INDEX(ExpTime,$L1857),2)&amp;":"&amp;RIGHT(INDEX(ExpTime,$L1857),2)))</f>
        <v/>
      </c>
      <c r="D1857" s="17">
        <f>IF($L1857="","",IF(INDEX(ExpBank,$L1857)="","—",INDEX(ExpBank,$L1857)))</f>
        <v/>
      </c>
      <c r="E1857" s="18">
        <f>IF($L1857="","",IF(INDEX(ExpParty,$L1857)="","—",IFERROR(VLOOKUP(INDEX(ExpParty,$L1857),AcctTbl,4,0),INDEX(ExpParty,$L1857))))</f>
        <v/>
      </c>
      <c r="F1857" s="17">
        <f>IF($L1857="","",IF(INDEX(ExpType,$L1857)="","—",INDEX(ExpType,$L1857)))</f>
        <v/>
      </c>
      <c r="G1857" s="19">
        <f>IF($L1857="","",IF(INDEX(ExpDep,$L1857)=0,"",INDEX(ExpDep,$L1857)))</f>
        <v/>
      </c>
      <c r="H1857" s="19">
        <f>IF($L1857="","",IF(INDEX(ExpWit,$L1857)=0,"",INDEX(ExpWit,$L1857)))</f>
        <v/>
      </c>
      <c r="I1857" s="20">
        <f>IF($B1857="","",IF($I1856="",0,$I1856)+IF($H1857="",0,$H1857)-IF($G1857="",0,$G1857))</f>
        <v/>
      </c>
      <c r="J1857" s="18">
        <f>IF($L1857="","",IF(INDEX(ExpNote,$L1857)="","—",INDEX(ExpNote,$L1857)))</f>
        <v/>
      </c>
      <c r="L1857">
        <f>IFERROR(MATCH($C$5&amp;"|"&amp;RIGHT("000000"&amp;1841,6),ExpRankKey,0),"")</f>
        <v/>
      </c>
    </row>
    <row r="1858">
      <c r="A1858" s="21" t="n">
        <v>1842</v>
      </c>
      <c r="B1858" s="22">
        <f>IF($L1858="","",INDEX(ExpNorm,$L1858))</f>
        <v/>
      </c>
      <c r="C1858" s="22">
        <f>IF($L1858="","",IF(INDEX(ExpTime,$L1858)="","—",LEFT(INDEX(ExpTime,$L1858),2)&amp;":"&amp;RIGHT(INDEX(ExpTime,$L1858),2)))</f>
        <v/>
      </c>
      <c r="D1858" s="22">
        <f>IF($L1858="","",IF(INDEX(ExpBank,$L1858)="","—",INDEX(ExpBank,$L1858)))</f>
        <v/>
      </c>
      <c r="E1858" s="23">
        <f>IF($L1858="","",IF(INDEX(ExpParty,$L1858)="","—",IFERROR(VLOOKUP(INDEX(ExpParty,$L1858),AcctTbl,4,0),INDEX(ExpParty,$L1858))))</f>
        <v/>
      </c>
      <c r="F1858" s="22">
        <f>IF($L1858="","",IF(INDEX(ExpType,$L1858)="","—",INDEX(ExpType,$L1858)))</f>
        <v/>
      </c>
      <c r="G1858" s="24">
        <f>IF($L1858="","",IF(INDEX(ExpDep,$L1858)=0,"",INDEX(ExpDep,$L1858)))</f>
        <v/>
      </c>
      <c r="H1858" s="24">
        <f>IF($L1858="","",IF(INDEX(ExpWit,$L1858)=0,"",INDEX(ExpWit,$L1858)))</f>
        <v/>
      </c>
      <c r="I1858" s="25">
        <f>IF($B1858="","",IF($I1857="",0,$I1857)+IF($H1858="",0,$H1858)-IF($G1858="",0,$G1858))</f>
        <v/>
      </c>
      <c r="J1858" s="23">
        <f>IF($L1858="","",IF(INDEX(ExpNote,$L1858)="","—",INDEX(ExpNote,$L1858)))</f>
        <v/>
      </c>
      <c r="L1858">
        <f>IFERROR(MATCH($C$5&amp;"|"&amp;RIGHT("000000"&amp;1842,6),ExpRankKey,0),"")</f>
        <v/>
      </c>
    </row>
    <row r="1859">
      <c r="A1859" s="16" t="n">
        <v>1843</v>
      </c>
      <c r="B1859" s="17">
        <f>IF($L1859="","",INDEX(ExpNorm,$L1859))</f>
        <v/>
      </c>
      <c r="C1859" s="17">
        <f>IF($L1859="","",IF(INDEX(ExpTime,$L1859)="","—",LEFT(INDEX(ExpTime,$L1859),2)&amp;":"&amp;RIGHT(INDEX(ExpTime,$L1859),2)))</f>
        <v/>
      </c>
      <c r="D1859" s="17">
        <f>IF($L1859="","",IF(INDEX(ExpBank,$L1859)="","—",INDEX(ExpBank,$L1859)))</f>
        <v/>
      </c>
      <c r="E1859" s="18">
        <f>IF($L1859="","",IF(INDEX(ExpParty,$L1859)="","—",IFERROR(VLOOKUP(INDEX(ExpParty,$L1859),AcctTbl,4,0),INDEX(ExpParty,$L1859))))</f>
        <v/>
      </c>
      <c r="F1859" s="17">
        <f>IF($L1859="","",IF(INDEX(ExpType,$L1859)="","—",INDEX(ExpType,$L1859)))</f>
        <v/>
      </c>
      <c r="G1859" s="19">
        <f>IF($L1859="","",IF(INDEX(ExpDep,$L1859)=0,"",INDEX(ExpDep,$L1859)))</f>
        <v/>
      </c>
      <c r="H1859" s="19">
        <f>IF($L1859="","",IF(INDEX(ExpWit,$L1859)=0,"",INDEX(ExpWit,$L1859)))</f>
        <v/>
      </c>
      <c r="I1859" s="20">
        <f>IF($B1859="","",IF($I1858="",0,$I1858)+IF($H1859="",0,$H1859)-IF($G1859="",0,$G1859))</f>
        <v/>
      </c>
      <c r="J1859" s="18">
        <f>IF($L1859="","",IF(INDEX(ExpNote,$L1859)="","—",INDEX(ExpNote,$L1859)))</f>
        <v/>
      </c>
      <c r="L1859">
        <f>IFERROR(MATCH($C$5&amp;"|"&amp;RIGHT("000000"&amp;1843,6),ExpRankKey,0),"")</f>
        <v/>
      </c>
    </row>
    <row r="1860">
      <c r="A1860" s="21" t="n">
        <v>1844</v>
      </c>
      <c r="B1860" s="22">
        <f>IF($L1860="","",INDEX(ExpNorm,$L1860))</f>
        <v/>
      </c>
      <c r="C1860" s="22">
        <f>IF($L1860="","",IF(INDEX(ExpTime,$L1860)="","—",LEFT(INDEX(ExpTime,$L1860),2)&amp;":"&amp;RIGHT(INDEX(ExpTime,$L1860),2)))</f>
        <v/>
      </c>
      <c r="D1860" s="22">
        <f>IF($L1860="","",IF(INDEX(ExpBank,$L1860)="","—",INDEX(ExpBank,$L1860)))</f>
        <v/>
      </c>
      <c r="E1860" s="23">
        <f>IF($L1860="","",IF(INDEX(ExpParty,$L1860)="","—",IFERROR(VLOOKUP(INDEX(ExpParty,$L1860),AcctTbl,4,0),INDEX(ExpParty,$L1860))))</f>
        <v/>
      </c>
      <c r="F1860" s="22">
        <f>IF($L1860="","",IF(INDEX(ExpType,$L1860)="","—",INDEX(ExpType,$L1860)))</f>
        <v/>
      </c>
      <c r="G1860" s="24">
        <f>IF($L1860="","",IF(INDEX(ExpDep,$L1860)=0,"",INDEX(ExpDep,$L1860)))</f>
        <v/>
      </c>
      <c r="H1860" s="24">
        <f>IF($L1860="","",IF(INDEX(ExpWit,$L1860)=0,"",INDEX(ExpWit,$L1860)))</f>
        <v/>
      </c>
      <c r="I1860" s="25">
        <f>IF($B1860="","",IF($I1859="",0,$I1859)+IF($H1860="",0,$H1860)-IF($G1860="",0,$G1860))</f>
        <v/>
      </c>
      <c r="J1860" s="23">
        <f>IF($L1860="","",IF(INDEX(ExpNote,$L1860)="","—",INDEX(ExpNote,$L1860)))</f>
        <v/>
      </c>
      <c r="L1860">
        <f>IFERROR(MATCH($C$5&amp;"|"&amp;RIGHT("000000"&amp;1844,6),ExpRankKey,0),"")</f>
        <v/>
      </c>
    </row>
    <row r="1861">
      <c r="A1861" s="16" t="n">
        <v>1845</v>
      </c>
      <c r="B1861" s="17">
        <f>IF($L1861="","",INDEX(ExpNorm,$L1861))</f>
        <v/>
      </c>
      <c r="C1861" s="17">
        <f>IF($L1861="","",IF(INDEX(ExpTime,$L1861)="","—",LEFT(INDEX(ExpTime,$L1861),2)&amp;":"&amp;RIGHT(INDEX(ExpTime,$L1861),2)))</f>
        <v/>
      </c>
      <c r="D1861" s="17">
        <f>IF($L1861="","",IF(INDEX(ExpBank,$L1861)="","—",INDEX(ExpBank,$L1861)))</f>
        <v/>
      </c>
      <c r="E1861" s="18">
        <f>IF($L1861="","",IF(INDEX(ExpParty,$L1861)="","—",IFERROR(VLOOKUP(INDEX(ExpParty,$L1861),AcctTbl,4,0),INDEX(ExpParty,$L1861))))</f>
        <v/>
      </c>
      <c r="F1861" s="17">
        <f>IF($L1861="","",IF(INDEX(ExpType,$L1861)="","—",INDEX(ExpType,$L1861)))</f>
        <v/>
      </c>
      <c r="G1861" s="19">
        <f>IF($L1861="","",IF(INDEX(ExpDep,$L1861)=0,"",INDEX(ExpDep,$L1861)))</f>
        <v/>
      </c>
      <c r="H1861" s="19">
        <f>IF($L1861="","",IF(INDEX(ExpWit,$L1861)=0,"",INDEX(ExpWit,$L1861)))</f>
        <v/>
      </c>
      <c r="I1861" s="20">
        <f>IF($B1861="","",IF($I1860="",0,$I1860)+IF($H1861="",0,$H1861)-IF($G1861="",0,$G1861))</f>
        <v/>
      </c>
      <c r="J1861" s="18">
        <f>IF($L1861="","",IF(INDEX(ExpNote,$L1861)="","—",INDEX(ExpNote,$L1861)))</f>
        <v/>
      </c>
      <c r="L1861">
        <f>IFERROR(MATCH($C$5&amp;"|"&amp;RIGHT("000000"&amp;1845,6),ExpRankKey,0),"")</f>
        <v/>
      </c>
    </row>
    <row r="1862">
      <c r="A1862" s="21" t="n">
        <v>1846</v>
      </c>
      <c r="B1862" s="22">
        <f>IF($L1862="","",INDEX(ExpNorm,$L1862))</f>
        <v/>
      </c>
      <c r="C1862" s="22">
        <f>IF($L1862="","",IF(INDEX(ExpTime,$L1862)="","—",LEFT(INDEX(ExpTime,$L1862),2)&amp;":"&amp;RIGHT(INDEX(ExpTime,$L1862),2)))</f>
        <v/>
      </c>
      <c r="D1862" s="22">
        <f>IF($L1862="","",IF(INDEX(ExpBank,$L1862)="","—",INDEX(ExpBank,$L1862)))</f>
        <v/>
      </c>
      <c r="E1862" s="23">
        <f>IF($L1862="","",IF(INDEX(ExpParty,$L1862)="","—",IFERROR(VLOOKUP(INDEX(ExpParty,$L1862),AcctTbl,4,0),INDEX(ExpParty,$L1862))))</f>
        <v/>
      </c>
      <c r="F1862" s="22">
        <f>IF($L1862="","",IF(INDEX(ExpType,$L1862)="","—",INDEX(ExpType,$L1862)))</f>
        <v/>
      </c>
      <c r="G1862" s="24">
        <f>IF($L1862="","",IF(INDEX(ExpDep,$L1862)=0,"",INDEX(ExpDep,$L1862)))</f>
        <v/>
      </c>
      <c r="H1862" s="24">
        <f>IF($L1862="","",IF(INDEX(ExpWit,$L1862)=0,"",INDEX(ExpWit,$L1862)))</f>
        <v/>
      </c>
      <c r="I1862" s="25">
        <f>IF($B1862="","",IF($I1861="",0,$I1861)+IF($H1862="",0,$H1862)-IF($G1862="",0,$G1862))</f>
        <v/>
      </c>
      <c r="J1862" s="23">
        <f>IF($L1862="","",IF(INDEX(ExpNote,$L1862)="","—",INDEX(ExpNote,$L1862)))</f>
        <v/>
      </c>
      <c r="L1862">
        <f>IFERROR(MATCH($C$5&amp;"|"&amp;RIGHT("000000"&amp;1846,6),ExpRankKey,0),"")</f>
        <v/>
      </c>
    </row>
    <row r="1863">
      <c r="A1863" s="16" t="n">
        <v>1847</v>
      </c>
      <c r="B1863" s="17">
        <f>IF($L1863="","",INDEX(ExpNorm,$L1863))</f>
        <v/>
      </c>
      <c r="C1863" s="17">
        <f>IF($L1863="","",IF(INDEX(ExpTime,$L1863)="","—",LEFT(INDEX(ExpTime,$L1863),2)&amp;":"&amp;RIGHT(INDEX(ExpTime,$L1863),2)))</f>
        <v/>
      </c>
      <c r="D1863" s="17">
        <f>IF($L1863="","",IF(INDEX(ExpBank,$L1863)="","—",INDEX(ExpBank,$L1863)))</f>
        <v/>
      </c>
      <c r="E1863" s="18">
        <f>IF($L1863="","",IF(INDEX(ExpParty,$L1863)="","—",IFERROR(VLOOKUP(INDEX(ExpParty,$L1863),AcctTbl,4,0),INDEX(ExpParty,$L1863))))</f>
        <v/>
      </c>
      <c r="F1863" s="17">
        <f>IF($L1863="","",IF(INDEX(ExpType,$L1863)="","—",INDEX(ExpType,$L1863)))</f>
        <v/>
      </c>
      <c r="G1863" s="19">
        <f>IF($L1863="","",IF(INDEX(ExpDep,$L1863)=0,"",INDEX(ExpDep,$L1863)))</f>
        <v/>
      </c>
      <c r="H1863" s="19">
        <f>IF($L1863="","",IF(INDEX(ExpWit,$L1863)=0,"",INDEX(ExpWit,$L1863)))</f>
        <v/>
      </c>
      <c r="I1863" s="20">
        <f>IF($B1863="","",IF($I1862="",0,$I1862)+IF($H1863="",0,$H1863)-IF($G1863="",0,$G1863))</f>
        <v/>
      </c>
      <c r="J1863" s="18">
        <f>IF($L1863="","",IF(INDEX(ExpNote,$L1863)="","—",INDEX(ExpNote,$L1863)))</f>
        <v/>
      </c>
      <c r="L1863">
        <f>IFERROR(MATCH($C$5&amp;"|"&amp;RIGHT("000000"&amp;1847,6),ExpRankKey,0),"")</f>
        <v/>
      </c>
    </row>
    <row r="1864">
      <c r="A1864" s="21" t="n">
        <v>1848</v>
      </c>
      <c r="B1864" s="22">
        <f>IF($L1864="","",INDEX(ExpNorm,$L1864))</f>
        <v/>
      </c>
      <c r="C1864" s="22">
        <f>IF($L1864="","",IF(INDEX(ExpTime,$L1864)="","—",LEFT(INDEX(ExpTime,$L1864),2)&amp;":"&amp;RIGHT(INDEX(ExpTime,$L1864),2)))</f>
        <v/>
      </c>
      <c r="D1864" s="22">
        <f>IF($L1864="","",IF(INDEX(ExpBank,$L1864)="","—",INDEX(ExpBank,$L1864)))</f>
        <v/>
      </c>
      <c r="E1864" s="23">
        <f>IF($L1864="","",IF(INDEX(ExpParty,$L1864)="","—",IFERROR(VLOOKUP(INDEX(ExpParty,$L1864),AcctTbl,4,0),INDEX(ExpParty,$L1864))))</f>
        <v/>
      </c>
      <c r="F1864" s="22">
        <f>IF($L1864="","",IF(INDEX(ExpType,$L1864)="","—",INDEX(ExpType,$L1864)))</f>
        <v/>
      </c>
      <c r="G1864" s="24">
        <f>IF($L1864="","",IF(INDEX(ExpDep,$L1864)=0,"",INDEX(ExpDep,$L1864)))</f>
        <v/>
      </c>
      <c r="H1864" s="24">
        <f>IF($L1864="","",IF(INDEX(ExpWit,$L1864)=0,"",INDEX(ExpWit,$L1864)))</f>
        <v/>
      </c>
      <c r="I1864" s="25">
        <f>IF($B1864="","",IF($I1863="",0,$I1863)+IF($H1864="",0,$H1864)-IF($G1864="",0,$G1864))</f>
        <v/>
      </c>
      <c r="J1864" s="23">
        <f>IF($L1864="","",IF(INDEX(ExpNote,$L1864)="","—",INDEX(ExpNote,$L1864)))</f>
        <v/>
      </c>
      <c r="L1864">
        <f>IFERROR(MATCH($C$5&amp;"|"&amp;RIGHT("000000"&amp;1848,6),ExpRankKey,0),"")</f>
        <v/>
      </c>
    </row>
    <row r="1865">
      <c r="A1865" s="16" t="n">
        <v>1849</v>
      </c>
      <c r="B1865" s="17">
        <f>IF($L1865="","",INDEX(ExpNorm,$L1865))</f>
        <v/>
      </c>
      <c r="C1865" s="17">
        <f>IF($L1865="","",IF(INDEX(ExpTime,$L1865)="","—",LEFT(INDEX(ExpTime,$L1865),2)&amp;":"&amp;RIGHT(INDEX(ExpTime,$L1865),2)))</f>
        <v/>
      </c>
      <c r="D1865" s="17">
        <f>IF($L1865="","",IF(INDEX(ExpBank,$L1865)="","—",INDEX(ExpBank,$L1865)))</f>
        <v/>
      </c>
      <c r="E1865" s="18">
        <f>IF($L1865="","",IF(INDEX(ExpParty,$L1865)="","—",IFERROR(VLOOKUP(INDEX(ExpParty,$L1865),AcctTbl,4,0),INDEX(ExpParty,$L1865))))</f>
        <v/>
      </c>
      <c r="F1865" s="17">
        <f>IF($L1865="","",IF(INDEX(ExpType,$L1865)="","—",INDEX(ExpType,$L1865)))</f>
        <v/>
      </c>
      <c r="G1865" s="19">
        <f>IF($L1865="","",IF(INDEX(ExpDep,$L1865)=0,"",INDEX(ExpDep,$L1865)))</f>
        <v/>
      </c>
      <c r="H1865" s="19">
        <f>IF($L1865="","",IF(INDEX(ExpWit,$L1865)=0,"",INDEX(ExpWit,$L1865)))</f>
        <v/>
      </c>
      <c r="I1865" s="20">
        <f>IF($B1865="","",IF($I1864="",0,$I1864)+IF($H1865="",0,$H1865)-IF($G1865="",0,$G1865))</f>
        <v/>
      </c>
      <c r="J1865" s="18">
        <f>IF($L1865="","",IF(INDEX(ExpNote,$L1865)="","—",INDEX(ExpNote,$L1865)))</f>
        <v/>
      </c>
      <c r="L1865">
        <f>IFERROR(MATCH($C$5&amp;"|"&amp;RIGHT("000000"&amp;1849,6),ExpRankKey,0),"")</f>
        <v/>
      </c>
    </row>
    <row r="1866">
      <c r="A1866" s="21" t="n">
        <v>1850</v>
      </c>
      <c r="B1866" s="22">
        <f>IF($L1866="","",INDEX(ExpNorm,$L1866))</f>
        <v/>
      </c>
      <c r="C1866" s="22">
        <f>IF($L1866="","",IF(INDEX(ExpTime,$L1866)="","—",LEFT(INDEX(ExpTime,$L1866),2)&amp;":"&amp;RIGHT(INDEX(ExpTime,$L1866),2)))</f>
        <v/>
      </c>
      <c r="D1866" s="22">
        <f>IF($L1866="","",IF(INDEX(ExpBank,$L1866)="","—",INDEX(ExpBank,$L1866)))</f>
        <v/>
      </c>
      <c r="E1866" s="23">
        <f>IF($L1866="","",IF(INDEX(ExpParty,$L1866)="","—",IFERROR(VLOOKUP(INDEX(ExpParty,$L1866),AcctTbl,4,0),INDEX(ExpParty,$L1866))))</f>
        <v/>
      </c>
      <c r="F1866" s="22">
        <f>IF($L1866="","",IF(INDEX(ExpType,$L1866)="","—",INDEX(ExpType,$L1866)))</f>
        <v/>
      </c>
      <c r="G1866" s="24">
        <f>IF($L1866="","",IF(INDEX(ExpDep,$L1866)=0,"",INDEX(ExpDep,$L1866)))</f>
        <v/>
      </c>
      <c r="H1866" s="24">
        <f>IF($L1866="","",IF(INDEX(ExpWit,$L1866)=0,"",INDEX(ExpWit,$L1866)))</f>
        <v/>
      </c>
      <c r="I1866" s="25">
        <f>IF($B1866="","",IF($I1865="",0,$I1865)+IF($H1866="",0,$H1866)-IF($G1866="",0,$G1866))</f>
        <v/>
      </c>
      <c r="J1866" s="23">
        <f>IF($L1866="","",IF(INDEX(ExpNote,$L1866)="","—",INDEX(ExpNote,$L1866)))</f>
        <v/>
      </c>
      <c r="L1866">
        <f>IFERROR(MATCH($C$5&amp;"|"&amp;RIGHT("000000"&amp;1850,6),ExpRankKey,0),"")</f>
        <v/>
      </c>
    </row>
    <row r="1867">
      <c r="A1867" s="16" t="n">
        <v>1851</v>
      </c>
      <c r="B1867" s="17">
        <f>IF($L1867="","",INDEX(ExpNorm,$L1867))</f>
        <v/>
      </c>
      <c r="C1867" s="17">
        <f>IF($L1867="","",IF(INDEX(ExpTime,$L1867)="","—",LEFT(INDEX(ExpTime,$L1867),2)&amp;":"&amp;RIGHT(INDEX(ExpTime,$L1867),2)))</f>
        <v/>
      </c>
      <c r="D1867" s="17">
        <f>IF($L1867="","",IF(INDEX(ExpBank,$L1867)="","—",INDEX(ExpBank,$L1867)))</f>
        <v/>
      </c>
      <c r="E1867" s="18">
        <f>IF($L1867="","",IF(INDEX(ExpParty,$L1867)="","—",IFERROR(VLOOKUP(INDEX(ExpParty,$L1867),AcctTbl,4,0),INDEX(ExpParty,$L1867))))</f>
        <v/>
      </c>
      <c r="F1867" s="17">
        <f>IF($L1867="","",IF(INDEX(ExpType,$L1867)="","—",INDEX(ExpType,$L1867)))</f>
        <v/>
      </c>
      <c r="G1867" s="19">
        <f>IF($L1867="","",IF(INDEX(ExpDep,$L1867)=0,"",INDEX(ExpDep,$L1867)))</f>
        <v/>
      </c>
      <c r="H1867" s="19">
        <f>IF($L1867="","",IF(INDEX(ExpWit,$L1867)=0,"",INDEX(ExpWit,$L1867)))</f>
        <v/>
      </c>
      <c r="I1867" s="20">
        <f>IF($B1867="","",IF($I1866="",0,$I1866)+IF($H1867="",0,$H1867)-IF($G1867="",0,$G1867))</f>
        <v/>
      </c>
      <c r="J1867" s="18">
        <f>IF($L1867="","",IF(INDEX(ExpNote,$L1867)="","—",INDEX(ExpNote,$L1867)))</f>
        <v/>
      </c>
      <c r="L1867">
        <f>IFERROR(MATCH($C$5&amp;"|"&amp;RIGHT("000000"&amp;1851,6),ExpRankKey,0),"")</f>
        <v/>
      </c>
    </row>
    <row r="1868">
      <c r="A1868" s="21" t="n">
        <v>1852</v>
      </c>
      <c r="B1868" s="22">
        <f>IF($L1868="","",INDEX(ExpNorm,$L1868))</f>
        <v/>
      </c>
      <c r="C1868" s="22">
        <f>IF($L1868="","",IF(INDEX(ExpTime,$L1868)="","—",LEFT(INDEX(ExpTime,$L1868),2)&amp;":"&amp;RIGHT(INDEX(ExpTime,$L1868),2)))</f>
        <v/>
      </c>
      <c r="D1868" s="22">
        <f>IF($L1868="","",IF(INDEX(ExpBank,$L1868)="","—",INDEX(ExpBank,$L1868)))</f>
        <v/>
      </c>
      <c r="E1868" s="23">
        <f>IF($L1868="","",IF(INDEX(ExpParty,$L1868)="","—",IFERROR(VLOOKUP(INDEX(ExpParty,$L1868),AcctTbl,4,0),INDEX(ExpParty,$L1868))))</f>
        <v/>
      </c>
      <c r="F1868" s="22">
        <f>IF($L1868="","",IF(INDEX(ExpType,$L1868)="","—",INDEX(ExpType,$L1868)))</f>
        <v/>
      </c>
      <c r="G1868" s="24">
        <f>IF($L1868="","",IF(INDEX(ExpDep,$L1868)=0,"",INDEX(ExpDep,$L1868)))</f>
        <v/>
      </c>
      <c r="H1868" s="24">
        <f>IF($L1868="","",IF(INDEX(ExpWit,$L1868)=0,"",INDEX(ExpWit,$L1868)))</f>
        <v/>
      </c>
      <c r="I1868" s="25">
        <f>IF($B1868="","",IF($I1867="",0,$I1867)+IF($H1868="",0,$H1868)-IF($G1868="",0,$G1868))</f>
        <v/>
      </c>
      <c r="J1868" s="23">
        <f>IF($L1868="","",IF(INDEX(ExpNote,$L1868)="","—",INDEX(ExpNote,$L1868)))</f>
        <v/>
      </c>
      <c r="L1868">
        <f>IFERROR(MATCH($C$5&amp;"|"&amp;RIGHT("000000"&amp;1852,6),ExpRankKey,0),"")</f>
        <v/>
      </c>
    </row>
    <row r="1869">
      <c r="A1869" s="16" t="n">
        <v>1853</v>
      </c>
      <c r="B1869" s="17">
        <f>IF($L1869="","",INDEX(ExpNorm,$L1869))</f>
        <v/>
      </c>
      <c r="C1869" s="17">
        <f>IF($L1869="","",IF(INDEX(ExpTime,$L1869)="","—",LEFT(INDEX(ExpTime,$L1869),2)&amp;":"&amp;RIGHT(INDEX(ExpTime,$L1869),2)))</f>
        <v/>
      </c>
      <c r="D1869" s="17">
        <f>IF($L1869="","",IF(INDEX(ExpBank,$L1869)="","—",INDEX(ExpBank,$L1869)))</f>
        <v/>
      </c>
      <c r="E1869" s="18">
        <f>IF($L1869="","",IF(INDEX(ExpParty,$L1869)="","—",IFERROR(VLOOKUP(INDEX(ExpParty,$L1869),AcctTbl,4,0),INDEX(ExpParty,$L1869))))</f>
        <v/>
      </c>
      <c r="F1869" s="17">
        <f>IF($L1869="","",IF(INDEX(ExpType,$L1869)="","—",INDEX(ExpType,$L1869)))</f>
        <v/>
      </c>
      <c r="G1869" s="19">
        <f>IF($L1869="","",IF(INDEX(ExpDep,$L1869)=0,"",INDEX(ExpDep,$L1869)))</f>
        <v/>
      </c>
      <c r="H1869" s="19">
        <f>IF($L1869="","",IF(INDEX(ExpWit,$L1869)=0,"",INDEX(ExpWit,$L1869)))</f>
        <v/>
      </c>
      <c r="I1869" s="20">
        <f>IF($B1869="","",IF($I1868="",0,$I1868)+IF($H1869="",0,$H1869)-IF($G1869="",0,$G1869))</f>
        <v/>
      </c>
      <c r="J1869" s="18">
        <f>IF($L1869="","",IF(INDEX(ExpNote,$L1869)="","—",INDEX(ExpNote,$L1869)))</f>
        <v/>
      </c>
      <c r="L1869">
        <f>IFERROR(MATCH($C$5&amp;"|"&amp;RIGHT("000000"&amp;1853,6),ExpRankKey,0),"")</f>
        <v/>
      </c>
    </row>
    <row r="1870">
      <c r="A1870" s="21" t="n">
        <v>1854</v>
      </c>
      <c r="B1870" s="22">
        <f>IF($L1870="","",INDEX(ExpNorm,$L1870))</f>
        <v/>
      </c>
      <c r="C1870" s="22">
        <f>IF($L1870="","",IF(INDEX(ExpTime,$L1870)="","—",LEFT(INDEX(ExpTime,$L1870),2)&amp;":"&amp;RIGHT(INDEX(ExpTime,$L1870),2)))</f>
        <v/>
      </c>
      <c r="D1870" s="22">
        <f>IF($L1870="","",IF(INDEX(ExpBank,$L1870)="","—",INDEX(ExpBank,$L1870)))</f>
        <v/>
      </c>
      <c r="E1870" s="23">
        <f>IF($L1870="","",IF(INDEX(ExpParty,$L1870)="","—",IFERROR(VLOOKUP(INDEX(ExpParty,$L1870),AcctTbl,4,0),INDEX(ExpParty,$L1870))))</f>
        <v/>
      </c>
      <c r="F1870" s="22">
        <f>IF($L1870="","",IF(INDEX(ExpType,$L1870)="","—",INDEX(ExpType,$L1870)))</f>
        <v/>
      </c>
      <c r="G1870" s="24">
        <f>IF($L1870="","",IF(INDEX(ExpDep,$L1870)=0,"",INDEX(ExpDep,$L1870)))</f>
        <v/>
      </c>
      <c r="H1870" s="24">
        <f>IF($L1870="","",IF(INDEX(ExpWit,$L1870)=0,"",INDEX(ExpWit,$L1870)))</f>
        <v/>
      </c>
      <c r="I1870" s="25">
        <f>IF($B1870="","",IF($I1869="",0,$I1869)+IF($H1870="",0,$H1870)-IF($G1870="",0,$G1870))</f>
        <v/>
      </c>
      <c r="J1870" s="23">
        <f>IF($L1870="","",IF(INDEX(ExpNote,$L1870)="","—",INDEX(ExpNote,$L1870)))</f>
        <v/>
      </c>
      <c r="L1870">
        <f>IFERROR(MATCH($C$5&amp;"|"&amp;RIGHT("000000"&amp;1854,6),ExpRankKey,0),"")</f>
        <v/>
      </c>
    </row>
    <row r="1871">
      <c r="A1871" s="16" t="n">
        <v>1855</v>
      </c>
      <c r="B1871" s="17">
        <f>IF($L1871="","",INDEX(ExpNorm,$L1871))</f>
        <v/>
      </c>
      <c r="C1871" s="17">
        <f>IF($L1871="","",IF(INDEX(ExpTime,$L1871)="","—",LEFT(INDEX(ExpTime,$L1871),2)&amp;":"&amp;RIGHT(INDEX(ExpTime,$L1871),2)))</f>
        <v/>
      </c>
      <c r="D1871" s="17">
        <f>IF($L1871="","",IF(INDEX(ExpBank,$L1871)="","—",INDEX(ExpBank,$L1871)))</f>
        <v/>
      </c>
      <c r="E1871" s="18">
        <f>IF($L1871="","",IF(INDEX(ExpParty,$L1871)="","—",IFERROR(VLOOKUP(INDEX(ExpParty,$L1871),AcctTbl,4,0),INDEX(ExpParty,$L1871))))</f>
        <v/>
      </c>
      <c r="F1871" s="17">
        <f>IF($L1871="","",IF(INDEX(ExpType,$L1871)="","—",INDEX(ExpType,$L1871)))</f>
        <v/>
      </c>
      <c r="G1871" s="19">
        <f>IF($L1871="","",IF(INDEX(ExpDep,$L1871)=0,"",INDEX(ExpDep,$L1871)))</f>
        <v/>
      </c>
      <c r="H1871" s="19">
        <f>IF($L1871="","",IF(INDEX(ExpWit,$L1871)=0,"",INDEX(ExpWit,$L1871)))</f>
        <v/>
      </c>
      <c r="I1871" s="20">
        <f>IF($B1871="","",IF($I1870="",0,$I1870)+IF($H1871="",0,$H1871)-IF($G1871="",0,$G1871))</f>
        <v/>
      </c>
      <c r="J1871" s="18">
        <f>IF($L1871="","",IF(INDEX(ExpNote,$L1871)="","—",INDEX(ExpNote,$L1871)))</f>
        <v/>
      </c>
      <c r="L1871">
        <f>IFERROR(MATCH($C$5&amp;"|"&amp;RIGHT("000000"&amp;1855,6),ExpRankKey,0),"")</f>
        <v/>
      </c>
    </row>
    <row r="1872">
      <c r="A1872" s="21" t="n">
        <v>1856</v>
      </c>
      <c r="B1872" s="22">
        <f>IF($L1872="","",INDEX(ExpNorm,$L1872))</f>
        <v/>
      </c>
      <c r="C1872" s="22">
        <f>IF($L1872="","",IF(INDEX(ExpTime,$L1872)="","—",LEFT(INDEX(ExpTime,$L1872),2)&amp;":"&amp;RIGHT(INDEX(ExpTime,$L1872),2)))</f>
        <v/>
      </c>
      <c r="D1872" s="22">
        <f>IF($L1872="","",IF(INDEX(ExpBank,$L1872)="","—",INDEX(ExpBank,$L1872)))</f>
        <v/>
      </c>
      <c r="E1872" s="23">
        <f>IF($L1872="","",IF(INDEX(ExpParty,$L1872)="","—",IFERROR(VLOOKUP(INDEX(ExpParty,$L1872),AcctTbl,4,0),INDEX(ExpParty,$L1872))))</f>
        <v/>
      </c>
      <c r="F1872" s="22">
        <f>IF($L1872="","",IF(INDEX(ExpType,$L1872)="","—",INDEX(ExpType,$L1872)))</f>
        <v/>
      </c>
      <c r="G1872" s="24">
        <f>IF($L1872="","",IF(INDEX(ExpDep,$L1872)=0,"",INDEX(ExpDep,$L1872)))</f>
        <v/>
      </c>
      <c r="H1872" s="24">
        <f>IF($L1872="","",IF(INDEX(ExpWit,$L1872)=0,"",INDEX(ExpWit,$L1872)))</f>
        <v/>
      </c>
      <c r="I1872" s="25">
        <f>IF($B1872="","",IF($I1871="",0,$I1871)+IF($H1872="",0,$H1872)-IF($G1872="",0,$G1872))</f>
        <v/>
      </c>
      <c r="J1872" s="23">
        <f>IF($L1872="","",IF(INDEX(ExpNote,$L1872)="","—",INDEX(ExpNote,$L1872)))</f>
        <v/>
      </c>
      <c r="L1872">
        <f>IFERROR(MATCH($C$5&amp;"|"&amp;RIGHT("000000"&amp;1856,6),ExpRankKey,0),"")</f>
        <v/>
      </c>
    </row>
    <row r="1873">
      <c r="A1873" s="16" t="n">
        <v>1857</v>
      </c>
      <c r="B1873" s="17">
        <f>IF($L1873="","",INDEX(ExpNorm,$L1873))</f>
        <v/>
      </c>
      <c r="C1873" s="17">
        <f>IF($L1873="","",IF(INDEX(ExpTime,$L1873)="","—",LEFT(INDEX(ExpTime,$L1873),2)&amp;":"&amp;RIGHT(INDEX(ExpTime,$L1873),2)))</f>
        <v/>
      </c>
      <c r="D1873" s="17">
        <f>IF($L1873="","",IF(INDEX(ExpBank,$L1873)="","—",INDEX(ExpBank,$L1873)))</f>
        <v/>
      </c>
      <c r="E1873" s="18">
        <f>IF($L1873="","",IF(INDEX(ExpParty,$L1873)="","—",IFERROR(VLOOKUP(INDEX(ExpParty,$L1873),AcctTbl,4,0),INDEX(ExpParty,$L1873))))</f>
        <v/>
      </c>
      <c r="F1873" s="17">
        <f>IF($L1873="","",IF(INDEX(ExpType,$L1873)="","—",INDEX(ExpType,$L1873)))</f>
        <v/>
      </c>
      <c r="G1873" s="19">
        <f>IF($L1873="","",IF(INDEX(ExpDep,$L1873)=0,"",INDEX(ExpDep,$L1873)))</f>
        <v/>
      </c>
      <c r="H1873" s="19">
        <f>IF($L1873="","",IF(INDEX(ExpWit,$L1873)=0,"",INDEX(ExpWit,$L1873)))</f>
        <v/>
      </c>
      <c r="I1873" s="20">
        <f>IF($B1873="","",IF($I1872="",0,$I1872)+IF($H1873="",0,$H1873)-IF($G1873="",0,$G1873))</f>
        <v/>
      </c>
      <c r="J1873" s="18">
        <f>IF($L1873="","",IF(INDEX(ExpNote,$L1873)="","—",INDEX(ExpNote,$L1873)))</f>
        <v/>
      </c>
      <c r="L1873">
        <f>IFERROR(MATCH($C$5&amp;"|"&amp;RIGHT("000000"&amp;1857,6),ExpRankKey,0),"")</f>
        <v/>
      </c>
    </row>
    <row r="1874">
      <c r="A1874" s="21" t="n">
        <v>1858</v>
      </c>
      <c r="B1874" s="22">
        <f>IF($L1874="","",INDEX(ExpNorm,$L1874))</f>
        <v/>
      </c>
      <c r="C1874" s="22">
        <f>IF($L1874="","",IF(INDEX(ExpTime,$L1874)="","—",LEFT(INDEX(ExpTime,$L1874),2)&amp;":"&amp;RIGHT(INDEX(ExpTime,$L1874),2)))</f>
        <v/>
      </c>
      <c r="D1874" s="22">
        <f>IF($L1874="","",IF(INDEX(ExpBank,$L1874)="","—",INDEX(ExpBank,$L1874)))</f>
        <v/>
      </c>
      <c r="E1874" s="23">
        <f>IF($L1874="","",IF(INDEX(ExpParty,$L1874)="","—",IFERROR(VLOOKUP(INDEX(ExpParty,$L1874),AcctTbl,4,0),INDEX(ExpParty,$L1874))))</f>
        <v/>
      </c>
      <c r="F1874" s="22">
        <f>IF($L1874="","",IF(INDEX(ExpType,$L1874)="","—",INDEX(ExpType,$L1874)))</f>
        <v/>
      </c>
      <c r="G1874" s="24">
        <f>IF($L1874="","",IF(INDEX(ExpDep,$L1874)=0,"",INDEX(ExpDep,$L1874)))</f>
        <v/>
      </c>
      <c r="H1874" s="24">
        <f>IF($L1874="","",IF(INDEX(ExpWit,$L1874)=0,"",INDEX(ExpWit,$L1874)))</f>
        <v/>
      </c>
      <c r="I1874" s="25">
        <f>IF($B1874="","",IF($I1873="",0,$I1873)+IF($H1874="",0,$H1874)-IF($G1874="",0,$G1874))</f>
        <v/>
      </c>
      <c r="J1874" s="23">
        <f>IF($L1874="","",IF(INDEX(ExpNote,$L1874)="","—",INDEX(ExpNote,$L1874)))</f>
        <v/>
      </c>
      <c r="L1874">
        <f>IFERROR(MATCH($C$5&amp;"|"&amp;RIGHT("000000"&amp;1858,6),ExpRankKey,0),"")</f>
        <v/>
      </c>
    </row>
    <row r="1875">
      <c r="A1875" s="16" t="n">
        <v>1859</v>
      </c>
      <c r="B1875" s="17">
        <f>IF($L1875="","",INDEX(ExpNorm,$L1875))</f>
        <v/>
      </c>
      <c r="C1875" s="17">
        <f>IF($L1875="","",IF(INDEX(ExpTime,$L1875)="","—",LEFT(INDEX(ExpTime,$L1875),2)&amp;":"&amp;RIGHT(INDEX(ExpTime,$L1875),2)))</f>
        <v/>
      </c>
      <c r="D1875" s="17">
        <f>IF($L1875="","",IF(INDEX(ExpBank,$L1875)="","—",INDEX(ExpBank,$L1875)))</f>
        <v/>
      </c>
      <c r="E1875" s="18">
        <f>IF($L1875="","",IF(INDEX(ExpParty,$L1875)="","—",IFERROR(VLOOKUP(INDEX(ExpParty,$L1875),AcctTbl,4,0),INDEX(ExpParty,$L1875))))</f>
        <v/>
      </c>
      <c r="F1875" s="17">
        <f>IF($L1875="","",IF(INDEX(ExpType,$L1875)="","—",INDEX(ExpType,$L1875)))</f>
        <v/>
      </c>
      <c r="G1875" s="19">
        <f>IF($L1875="","",IF(INDEX(ExpDep,$L1875)=0,"",INDEX(ExpDep,$L1875)))</f>
        <v/>
      </c>
      <c r="H1875" s="19">
        <f>IF($L1875="","",IF(INDEX(ExpWit,$L1875)=0,"",INDEX(ExpWit,$L1875)))</f>
        <v/>
      </c>
      <c r="I1875" s="20">
        <f>IF($B1875="","",IF($I1874="",0,$I1874)+IF($H1875="",0,$H1875)-IF($G1875="",0,$G1875))</f>
        <v/>
      </c>
      <c r="J1875" s="18">
        <f>IF($L1875="","",IF(INDEX(ExpNote,$L1875)="","—",INDEX(ExpNote,$L1875)))</f>
        <v/>
      </c>
      <c r="L1875">
        <f>IFERROR(MATCH($C$5&amp;"|"&amp;RIGHT("000000"&amp;1859,6),ExpRankKey,0),"")</f>
        <v/>
      </c>
    </row>
    <row r="1876">
      <c r="A1876" s="21" t="n">
        <v>1860</v>
      </c>
      <c r="B1876" s="22">
        <f>IF($L1876="","",INDEX(ExpNorm,$L1876))</f>
        <v/>
      </c>
      <c r="C1876" s="22">
        <f>IF($L1876="","",IF(INDEX(ExpTime,$L1876)="","—",LEFT(INDEX(ExpTime,$L1876),2)&amp;":"&amp;RIGHT(INDEX(ExpTime,$L1876),2)))</f>
        <v/>
      </c>
      <c r="D1876" s="22">
        <f>IF($L1876="","",IF(INDEX(ExpBank,$L1876)="","—",INDEX(ExpBank,$L1876)))</f>
        <v/>
      </c>
      <c r="E1876" s="23">
        <f>IF($L1876="","",IF(INDEX(ExpParty,$L1876)="","—",IFERROR(VLOOKUP(INDEX(ExpParty,$L1876),AcctTbl,4,0),INDEX(ExpParty,$L1876))))</f>
        <v/>
      </c>
      <c r="F1876" s="22">
        <f>IF($L1876="","",IF(INDEX(ExpType,$L1876)="","—",INDEX(ExpType,$L1876)))</f>
        <v/>
      </c>
      <c r="G1876" s="24">
        <f>IF($L1876="","",IF(INDEX(ExpDep,$L1876)=0,"",INDEX(ExpDep,$L1876)))</f>
        <v/>
      </c>
      <c r="H1876" s="24">
        <f>IF($L1876="","",IF(INDEX(ExpWit,$L1876)=0,"",INDEX(ExpWit,$L1876)))</f>
        <v/>
      </c>
      <c r="I1876" s="25">
        <f>IF($B1876="","",IF($I1875="",0,$I1875)+IF($H1876="",0,$H1876)-IF($G1876="",0,$G1876))</f>
        <v/>
      </c>
      <c r="J1876" s="23">
        <f>IF($L1876="","",IF(INDEX(ExpNote,$L1876)="","—",INDEX(ExpNote,$L1876)))</f>
        <v/>
      </c>
      <c r="L1876">
        <f>IFERROR(MATCH($C$5&amp;"|"&amp;RIGHT("000000"&amp;1860,6),ExpRankKey,0),"")</f>
        <v/>
      </c>
    </row>
    <row r="1877">
      <c r="A1877" s="16" t="n">
        <v>1861</v>
      </c>
      <c r="B1877" s="17">
        <f>IF($L1877="","",INDEX(ExpNorm,$L1877))</f>
        <v/>
      </c>
      <c r="C1877" s="17">
        <f>IF($L1877="","",IF(INDEX(ExpTime,$L1877)="","—",LEFT(INDEX(ExpTime,$L1877),2)&amp;":"&amp;RIGHT(INDEX(ExpTime,$L1877),2)))</f>
        <v/>
      </c>
      <c r="D1877" s="17">
        <f>IF($L1877="","",IF(INDEX(ExpBank,$L1877)="","—",INDEX(ExpBank,$L1877)))</f>
        <v/>
      </c>
      <c r="E1877" s="18">
        <f>IF($L1877="","",IF(INDEX(ExpParty,$L1877)="","—",IFERROR(VLOOKUP(INDEX(ExpParty,$L1877),AcctTbl,4,0),INDEX(ExpParty,$L1877))))</f>
        <v/>
      </c>
      <c r="F1877" s="17">
        <f>IF($L1877="","",IF(INDEX(ExpType,$L1877)="","—",INDEX(ExpType,$L1877)))</f>
        <v/>
      </c>
      <c r="G1877" s="19">
        <f>IF($L1877="","",IF(INDEX(ExpDep,$L1877)=0,"",INDEX(ExpDep,$L1877)))</f>
        <v/>
      </c>
      <c r="H1877" s="19">
        <f>IF($L1877="","",IF(INDEX(ExpWit,$L1877)=0,"",INDEX(ExpWit,$L1877)))</f>
        <v/>
      </c>
      <c r="I1877" s="20">
        <f>IF($B1877="","",IF($I1876="",0,$I1876)+IF($H1877="",0,$H1877)-IF($G1877="",0,$G1877))</f>
        <v/>
      </c>
      <c r="J1877" s="18">
        <f>IF($L1877="","",IF(INDEX(ExpNote,$L1877)="","—",INDEX(ExpNote,$L1877)))</f>
        <v/>
      </c>
      <c r="L1877">
        <f>IFERROR(MATCH($C$5&amp;"|"&amp;RIGHT("000000"&amp;1861,6),ExpRankKey,0),"")</f>
        <v/>
      </c>
    </row>
    <row r="1878">
      <c r="A1878" s="21" t="n">
        <v>1862</v>
      </c>
      <c r="B1878" s="22">
        <f>IF($L1878="","",INDEX(ExpNorm,$L1878))</f>
        <v/>
      </c>
      <c r="C1878" s="22">
        <f>IF($L1878="","",IF(INDEX(ExpTime,$L1878)="","—",LEFT(INDEX(ExpTime,$L1878),2)&amp;":"&amp;RIGHT(INDEX(ExpTime,$L1878),2)))</f>
        <v/>
      </c>
      <c r="D1878" s="22">
        <f>IF($L1878="","",IF(INDEX(ExpBank,$L1878)="","—",INDEX(ExpBank,$L1878)))</f>
        <v/>
      </c>
      <c r="E1878" s="23">
        <f>IF($L1878="","",IF(INDEX(ExpParty,$L1878)="","—",IFERROR(VLOOKUP(INDEX(ExpParty,$L1878),AcctTbl,4,0),INDEX(ExpParty,$L1878))))</f>
        <v/>
      </c>
      <c r="F1878" s="22">
        <f>IF($L1878="","",IF(INDEX(ExpType,$L1878)="","—",INDEX(ExpType,$L1878)))</f>
        <v/>
      </c>
      <c r="G1878" s="24">
        <f>IF($L1878="","",IF(INDEX(ExpDep,$L1878)=0,"",INDEX(ExpDep,$L1878)))</f>
        <v/>
      </c>
      <c r="H1878" s="24">
        <f>IF($L1878="","",IF(INDEX(ExpWit,$L1878)=0,"",INDEX(ExpWit,$L1878)))</f>
        <v/>
      </c>
      <c r="I1878" s="25">
        <f>IF($B1878="","",IF($I1877="",0,$I1877)+IF($H1878="",0,$H1878)-IF($G1878="",0,$G1878))</f>
        <v/>
      </c>
      <c r="J1878" s="23">
        <f>IF($L1878="","",IF(INDEX(ExpNote,$L1878)="","—",INDEX(ExpNote,$L1878)))</f>
        <v/>
      </c>
      <c r="L1878">
        <f>IFERROR(MATCH($C$5&amp;"|"&amp;RIGHT("000000"&amp;1862,6),ExpRankKey,0),"")</f>
        <v/>
      </c>
    </row>
    <row r="1879">
      <c r="A1879" s="16" t="n">
        <v>1863</v>
      </c>
      <c r="B1879" s="17">
        <f>IF($L1879="","",INDEX(ExpNorm,$L1879))</f>
        <v/>
      </c>
      <c r="C1879" s="17">
        <f>IF($L1879="","",IF(INDEX(ExpTime,$L1879)="","—",LEFT(INDEX(ExpTime,$L1879),2)&amp;":"&amp;RIGHT(INDEX(ExpTime,$L1879),2)))</f>
        <v/>
      </c>
      <c r="D1879" s="17">
        <f>IF($L1879="","",IF(INDEX(ExpBank,$L1879)="","—",INDEX(ExpBank,$L1879)))</f>
        <v/>
      </c>
      <c r="E1879" s="18">
        <f>IF($L1879="","",IF(INDEX(ExpParty,$L1879)="","—",IFERROR(VLOOKUP(INDEX(ExpParty,$L1879),AcctTbl,4,0),INDEX(ExpParty,$L1879))))</f>
        <v/>
      </c>
      <c r="F1879" s="17">
        <f>IF($L1879="","",IF(INDEX(ExpType,$L1879)="","—",INDEX(ExpType,$L1879)))</f>
        <v/>
      </c>
      <c r="G1879" s="19">
        <f>IF($L1879="","",IF(INDEX(ExpDep,$L1879)=0,"",INDEX(ExpDep,$L1879)))</f>
        <v/>
      </c>
      <c r="H1879" s="19">
        <f>IF($L1879="","",IF(INDEX(ExpWit,$L1879)=0,"",INDEX(ExpWit,$L1879)))</f>
        <v/>
      </c>
      <c r="I1879" s="20">
        <f>IF($B1879="","",IF($I1878="",0,$I1878)+IF($H1879="",0,$H1879)-IF($G1879="",0,$G1879))</f>
        <v/>
      </c>
      <c r="J1879" s="18">
        <f>IF($L1879="","",IF(INDEX(ExpNote,$L1879)="","—",INDEX(ExpNote,$L1879)))</f>
        <v/>
      </c>
      <c r="L1879">
        <f>IFERROR(MATCH($C$5&amp;"|"&amp;RIGHT("000000"&amp;1863,6),ExpRankKey,0),"")</f>
        <v/>
      </c>
    </row>
    <row r="1880">
      <c r="A1880" s="21" t="n">
        <v>1864</v>
      </c>
      <c r="B1880" s="22">
        <f>IF($L1880="","",INDEX(ExpNorm,$L1880))</f>
        <v/>
      </c>
      <c r="C1880" s="22">
        <f>IF($L1880="","",IF(INDEX(ExpTime,$L1880)="","—",LEFT(INDEX(ExpTime,$L1880),2)&amp;":"&amp;RIGHT(INDEX(ExpTime,$L1880),2)))</f>
        <v/>
      </c>
      <c r="D1880" s="22">
        <f>IF($L1880="","",IF(INDEX(ExpBank,$L1880)="","—",INDEX(ExpBank,$L1880)))</f>
        <v/>
      </c>
      <c r="E1880" s="23">
        <f>IF($L1880="","",IF(INDEX(ExpParty,$L1880)="","—",IFERROR(VLOOKUP(INDEX(ExpParty,$L1880),AcctTbl,4,0),INDEX(ExpParty,$L1880))))</f>
        <v/>
      </c>
      <c r="F1880" s="22">
        <f>IF($L1880="","",IF(INDEX(ExpType,$L1880)="","—",INDEX(ExpType,$L1880)))</f>
        <v/>
      </c>
      <c r="G1880" s="24">
        <f>IF($L1880="","",IF(INDEX(ExpDep,$L1880)=0,"",INDEX(ExpDep,$L1880)))</f>
        <v/>
      </c>
      <c r="H1880" s="24">
        <f>IF($L1880="","",IF(INDEX(ExpWit,$L1880)=0,"",INDEX(ExpWit,$L1880)))</f>
        <v/>
      </c>
      <c r="I1880" s="25">
        <f>IF($B1880="","",IF($I1879="",0,$I1879)+IF($H1880="",0,$H1880)-IF($G1880="",0,$G1880))</f>
        <v/>
      </c>
      <c r="J1880" s="23">
        <f>IF($L1880="","",IF(INDEX(ExpNote,$L1880)="","—",INDEX(ExpNote,$L1880)))</f>
        <v/>
      </c>
      <c r="L1880">
        <f>IFERROR(MATCH($C$5&amp;"|"&amp;RIGHT("000000"&amp;1864,6),ExpRankKey,0),"")</f>
        <v/>
      </c>
    </row>
    <row r="1881">
      <c r="A1881" s="16" t="n">
        <v>1865</v>
      </c>
      <c r="B1881" s="17">
        <f>IF($L1881="","",INDEX(ExpNorm,$L1881))</f>
        <v/>
      </c>
      <c r="C1881" s="17">
        <f>IF($L1881="","",IF(INDEX(ExpTime,$L1881)="","—",LEFT(INDEX(ExpTime,$L1881),2)&amp;":"&amp;RIGHT(INDEX(ExpTime,$L1881),2)))</f>
        <v/>
      </c>
      <c r="D1881" s="17">
        <f>IF($L1881="","",IF(INDEX(ExpBank,$L1881)="","—",INDEX(ExpBank,$L1881)))</f>
        <v/>
      </c>
      <c r="E1881" s="18">
        <f>IF($L1881="","",IF(INDEX(ExpParty,$L1881)="","—",IFERROR(VLOOKUP(INDEX(ExpParty,$L1881),AcctTbl,4,0),INDEX(ExpParty,$L1881))))</f>
        <v/>
      </c>
      <c r="F1881" s="17">
        <f>IF($L1881="","",IF(INDEX(ExpType,$L1881)="","—",INDEX(ExpType,$L1881)))</f>
        <v/>
      </c>
      <c r="G1881" s="19">
        <f>IF($L1881="","",IF(INDEX(ExpDep,$L1881)=0,"",INDEX(ExpDep,$L1881)))</f>
        <v/>
      </c>
      <c r="H1881" s="19">
        <f>IF($L1881="","",IF(INDEX(ExpWit,$L1881)=0,"",INDEX(ExpWit,$L1881)))</f>
        <v/>
      </c>
      <c r="I1881" s="20">
        <f>IF($B1881="","",IF($I1880="",0,$I1880)+IF($H1881="",0,$H1881)-IF($G1881="",0,$G1881))</f>
        <v/>
      </c>
      <c r="J1881" s="18">
        <f>IF($L1881="","",IF(INDEX(ExpNote,$L1881)="","—",INDEX(ExpNote,$L1881)))</f>
        <v/>
      </c>
      <c r="L1881">
        <f>IFERROR(MATCH($C$5&amp;"|"&amp;RIGHT("000000"&amp;1865,6),ExpRankKey,0),"")</f>
        <v/>
      </c>
    </row>
    <row r="1882">
      <c r="A1882" s="21" t="n">
        <v>1866</v>
      </c>
      <c r="B1882" s="22">
        <f>IF($L1882="","",INDEX(ExpNorm,$L1882))</f>
        <v/>
      </c>
      <c r="C1882" s="22">
        <f>IF($L1882="","",IF(INDEX(ExpTime,$L1882)="","—",LEFT(INDEX(ExpTime,$L1882),2)&amp;":"&amp;RIGHT(INDEX(ExpTime,$L1882),2)))</f>
        <v/>
      </c>
      <c r="D1882" s="22">
        <f>IF($L1882="","",IF(INDEX(ExpBank,$L1882)="","—",INDEX(ExpBank,$L1882)))</f>
        <v/>
      </c>
      <c r="E1882" s="23">
        <f>IF($L1882="","",IF(INDEX(ExpParty,$L1882)="","—",IFERROR(VLOOKUP(INDEX(ExpParty,$L1882),AcctTbl,4,0),INDEX(ExpParty,$L1882))))</f>
        <v/>
      </c>
      <c r="F1882" s="22">
        <f>IF($L1882="","",IF(INDEX(ExpType,$L1882)="","—",INDEX(ExpType,$L1882)))</f>
        <v/>
      </c>
      <c r="G1882" s="24">
        <f>IF($L1882="","",IF(INDEX(ExpDep,$L1882)=0,"",INDEX(ExpDep,$L1882)))</f>
        <v/>
      </c>
      <c r="H1882" s="24">
        <f>IF($L1882="","",IF(INDEX(ExpWit,$L1882)=0,"",INDEX(ExpWit,$L1882)))</f>
        <v/>
      </c>
      <c r="I1882" s="25">
        <f>IF($B1882="","",IF($I1881="",0,$I1881)+IF($H1882="",0,$H1882)-IF($G1882="",0,$G1882))</f>
        <v/>
      </c>
      <c r="J1882" s="23">
        <f>IF($L1882="","",IF(INDEX(ExpNote,$L1882)="","—",INDEX(ExpNote,$L1882)))</f>
        <v/>
      </c>
      <c r="L1882">
        <f>IFERROR(MATCH($C$5&amp;"|"&amp;RIGHT("000000"&amp;1866,6),ExpRankKey,0),"")</f>
        <v/>
      </c>
    </row>
    <row r="1883">
      <c r="A1883" s="16" t="n">
        <v>1867</v>
      </c>
      <c r="B1883" s="17">
        <f>IF($L1883="","",INDEX(ExpNorm,$L1883))</f>
        <v/>
      </c>
      <c r="C1883" s="17">
        <f>IF($L1883="","",IF(INDEX(ExpTime,$L1883)="","—",LEFT(INDEX(ExpTime,$L1883),2)&amp;":"&amp;RIGHT(INDEX(ExpTime,$L1883),2)))</f>
        <v/>
      </c>
      <c r="D1883" s="17">
        <f>IF($L1883="","",IF(INDEX(ExpBank,$L1883)="","—",INDEX(ExpBank,$L1883)))</f>
        <v/>
      </c>
      <c r="E1883" s="18">
        <f>IF($L1883="","",IF(INDEX(ExpParty,$L1883)="","—",IFERROR(VLOOKUP(INDEX(ExpParty,$L1883),AcctTbl,4,0),INDEX(ExpParty,$L1883))))</f>
        <v/>
      </c>
      <c r="F1883" s="17">
        <f>IF($L1883="","",IF(INDEX(ExpType,$L1883)="","—",INDEX(ExpType,$L1883)))</f>
        <v/>
      </c>
      <c r="G1883" s="19">
        <f>IF($L1883="","",IF(INDEX(ExpDep,$L1883)=0,"",INDEX(ExpDep,$L1883)))</f>
        <v/>
      </c>
      <c r="H1883" s="19">
        <f>IF($L1883="","",IF(INDEX(ExpWit,$L1883)=0,"",INDEX(ExpWit,$L1883)))</f>
        <v/>
      </c>
      <c r="I1883" s="20">
        <f>IF($B1883="","",IF($I1882="",0,$I1882)+IF($H1883="",0,$H1883)-IF($G1883="",0,$G1883))</f>
        <v/>
      </c>
      <c r="J1883" s="18">
        <f>IF($L1883="","",IF(INDEX(ExpNote,$L1883)="","—",INDEX(ExpNote,$L1883)))</f>
        <v/>
      </c>
      <c r="L1883">
        <f>IFERROR(MATCH($C$5&amp;"|"&amp;RIGHT("000000"&amp;1867,6),ExpRankKey,0),"")</f>
        <v/>
      </c>
    </row>
    <row r="1884">
      <c r="A1884" s="21" t="n">
        <v>1868</v>
      </c>
      <c r="B1884" s="22">
        <f>IF($L1884="","",INDEX(ExpNorm,$L1884))</f>
        <v/>
      </c>
      <c r="C1884" s="22">
        <f>IF($L1884="","",IF(INDEX(ExpTime,$L1884)="","—",LEFT(INDEX(ExpTime,$L1884),2)&amp;":"&amp;RIGHT(INDEX(ExpTime,$L1884),2)))</f>
        <v/>
      </c>
      <c r="D1884" s="22">
        <f>IF($L1884="","",IF(INDEX(ExpBank,$L1884)="","—",INDEX(ExpBank,$L1884)))</f>
        <v/>
      </c>
      <c r="E1884" s="23">
        <f>IF($L1884="","",IF(INDEX(ExpParty,$L1884)="","—",IFERROR(VLOOKUP(INDEX(ExpParty,$L1884),AcctTbl,4,0),INDEX(ExpParty,$L1884))))</f>
        <v/>
      </c>
      <c r="F1884" s="22">
        <f>IF($L1884="","",IF(INDEX(ExpType,$L1884)="","—",INDEX(ExpType,$L1884)))</f>
        <v/>
      </c>
      <c r="G1884" s="24">
        <f>IF($L1884="","",IF(INDEX(ExpDep,$L1884)=0,"",INDEX(ExpDep,$L1884)))</f>
        <v/>
      </c>
      <c r="H1884" s="24">
        <f>IF($L1884="","",IF(INDEX(ExpWit,$L1884)=0,"",INDEX(ExpWit,$L1884)))</f>
        <v/>
      </c>
      <c r="I1884" s="25">
        <f>IF($B1884="","",IF($I1883="",0,$I1883)+IF($H1884="",0,$H1884)-IF($G1884="",0,$G1884))</f>
        <v/>
      </c>
      <c r="J1884" s="23">
        <f>IF($L1884="","",IF(INDEX(ExpNote,$L1884)="","—",INDEX(ExpNote,$L1884)))</f>
        <v/>
      </c>
      <c r="L1884">
        <f>IFERROR(MATCH($C$5&amp;"|"&amp;RIGHT("000000"&amp;1868,6),ExpRankKey,0),"")</f>
        <v/>
      </c>
    </row>
    <row r="1885">
      <c r="A1885" s="16" t="n">
        <v>1869</v>
      </c>
      <c r="B1885" s="17">
        <f>IF($L1885="","",INDEX(ExpNorm,$L1885))</f>
        <v/>
      </c>
      <c r="C1885" s="17">
        <f>IF($L1885="","",IF(INDEX(ExpTime,$L1885)="","—",LEFT(INDEX(ExpTime,$L1885),2)&amp;":"&amp;RIGHT(INDEX(ExpTime,$L1885),2)))</f>
        <v/>
      </c>
      <c r="D1885" s="17">
        <f>IF($L1885="","",IF(INDEX(ExpBank,$L1885)="","—",INDEX(ExpBank,$L1885)))</f>
        <v/>
      </c>
      <c r="E1885" s="18">
        <f>IF($L1885="","",IF(INDEX(ExpParty,$L1885)="","—",IFERROR(VLOOKUP(INDEX(ExpParty,$L1885),AcctTbl,4,0),INDEX(ExpParty,$L1885))))</f>
        <v/>
      </c>
      <c r="F1885" s="17">
        <f>IF($L1885="","",IF(INDEX(ExpType,$L1885)="","—",INDEX(ExpType,$L1885)))</f>
        <v/>
      </c>
      <c r="G1885" s="19">
        <f>IF($L1885="","",IF(INDEX(ExpDep,$L1885)=0,"",INDEX(ExpDep,$L1885)))</f>
        <v/>
      </c>
      <c r="H1885" s="19">
        <f>IF($L1885="","",IF(INDEX(ExpWit,$L1885)=0,"",INDEX(ExpWit,$L1885)))</f>
        <v/>
      </c>
      <c r="I1885" s="20">
        <f>IF($B1885="","",IF($I1884="",0,$I1884)+IF($H1885="",0,$H1885)-IF($G1885="",0,$G1885))</f>
        <v/>
      </c>
      <c r="J1885" s="18">
        <f>IF($L1885="","",IF(INDEX(ExpNote,$L1885)="","—",INDEX(ExpNote,$L1885)))</f>
        <v/>
      </c>
      <c r="L1885">
        <f>IFERROR(MATCH($C$5&amp;"|"&amp;RIGHT("000000"&amp;1869,6),ExpRankKey,0),"")</f>
        <v/>
      </c>
    </row>
    <row r="1886">
      <c r="A1886" s="21" t="n">
        <v>1870</v>
      </c>
      <c r="B1886" s="22">
        <f>IF($L1886="","",INDEX(ExpNorm,$L1886))</f>
        <v/>
      </c>
      <c r="C1886" s="22">
        <f>IF($L1886="","",IF(INDEX(ExpTime,$L1886)="","—",LEFT(INDEX(ExpTime,$L1886),2)&amp;":"&amp;RIGHT(INDEX(ExpTime,$L1886),2)))</f>
        <v/>
      </c>
      <c r="D1886" s="22">
        <f>IF($L1886="","",IF(INDEX(ExpBank,$L1886)="","—",INDEX(ExpBank,$L1886)))</f>
        <v/>
      </c>
      <c r="E1886" s="23">
        <f>IF($L1886="","",IF(INDEX(ExpParty,$L1886)="","—",IFERROR(VLOOKUP(INDEX(ExpParty,$L1886),AcctTbl,4,0),INDEX(ExpParty,$L1886))))</f>
        <v/>
      </c>
      <c r="F1886" s="22">
        <f>IF($L1886="","",IF(INDEX(ExpType,$L1886)="","—",INDEX(ExpType,$L1886)))</f>
        <v/>
      </c>
      <c r="G1886" s="24">
        <f>IF($L1886="","",IF(INDEX(ExpDep,$L1886)=0,"",INDEX(ExpDep,$L1886)))</f>
        <v/>
      </c>
      <c r="H1886" s="24">
        <f>IF($L1886="","",IF(INDEX(ExpWit,$L1886)=0,"",INDEX(ExpWit,$L1886)))</f>
        <v/>
      </c>
      <c r="I1886" s="25">
        <f>IF($B1886="","",IF($I1885="",0,$I1885)+IF($H1886="",0,$H1886)-IF($G1886="",0,$G1886))</f>
        <v/>
      </c>
      <c r="J1886" s="23">
        <f>IF($L1886="","",IF(INDEX(ExpNote,$L1886)="","—",INDEX(ExpNote,$L1886)))</f>
        <v/>
      </c>
      <c r="L1886">
        <f>IFERROR(MATCH($C$5&amp;"|"&amp;RIGHT("000000"&amp;1870,6),ExpRankKey,0),"")</f>
        <v/>
      </c>
    </row>
    <row r="1887">
      <c r="A1887" s="16" t="n">
        <v>1871</v>
      </c>
      <c r="B1887" s="17">
        <f>IF($L1887="","",INDEX(ExpNorm,$L1887))</f>
        <v/>
      </c>
      <c r="C1887" s="17">
        <f>IF($L1887="","",IF(INDEX(ExpTime,$L1887)="","—",LEFT(INDEX(ExpTime,$L1887),2)&amp;":"&amp;RIGHT(INDEX(ExpTime,$L1887),2)))</f>
        <v/>
      </c>
      <c r="D1887" s="17">
        <f>IF($L1887="","",IF(INDEX(ExpBank,$L1887)="","—",INDEX(ExpBank,$L1887)))</f>
        <v/>
      </c>
      <c r="E1887" s="18">
        <f>IF($L1887="","",IF(INDEX(ExpParty,$L1887)="","—",IFERROR(VLOOKUP(INDEX(ExpParty,$L1887),AcctTbl,4,0),INDEX(ExpParty,$L1887))))</f>
        <v/>
      </c>
      <c r="F1887" s="17">
        <f>IF($L1887="","",IF(INDEX(ExpType,$L1887)="","—",INDEX(ExpType,$L1887)))</f>
        <v/>
      </c>
      <c r="G1887" s="19">
        <f>IF($L1887="","",IF(INDEX(ExpDep,$L1887)=0,"",INDEX(ExpDep,$L1887)))</f>
        <v/>
      </c>
      <c r="H1887" s="19">
        <f>IF($L1887="","",IF(INDEX(ExpWit,$L1887)=0,"",INDEX(ExpWit,$L1887)))</f>
        <v/>
      </c>
      <c r="I1887" s="20">
        <f>IF($B1887="","",IF($I1886="",0,$I1886)+IF($H1887="",0,$H1887)-IF($G1887="",0,$G1887))</f>
        <v/>
      </c>
      <c r="J1887" s="18">
        <f>IF($L1887="","",IF(INDEX(ExpNote,$L1887)="","—",INDEX(ExpNote,$L1887)))</f>
        <v/>
      </c>
      <c r="L1887">
        <f>IFERROR(MATCH($C$5&amp;"|"&amp;RIGHT("000000"&amp;1871,6),ExpRankKey,0),"")</f>
        <v/>
      </c>
    </row>
    <row r="1888">
      <c r="A1888" s="21" t="n">
        <v>1872</v>
      </c>
      <c r="B1888" s="22">
        <f>IF($L1888="","",INDEX(ExpNorm,$L1888))</f>
        <v/>
      </c>
      <c r="C1888" s="22">
        <f>IF($L1888="","",IF(INDEX(ExpTime,$L1888)="","—",LEFT(INDEX(ExpTime,$L1888),2)&amp;":"&amp;RIGHT(INDEX(ExpTime,$L1888),2)))</f>
        <v/>
      </c>
      <c r="D1888" s="22">
        <f>IF($L1888="","",IF(INDEX(ExpBank,$L1888)="","—",INDEX(ExpBank,$L1888)))</f>
        <v/>
      </c>
      <c r="E1888" s="23">
        <f>IF($L1888="","",IF(INDEX(ExpParty,$L1888)="","—",IFERROR(VLOOKUP(INDEX(ExpParty,$L1888),AcctTbl,4,0),INDEX(ExpParty,$L1888))))</f>
        <v/>
      </c>
      <c r="F1888" s="22">
        <f>IF($L1888="","",IF(INDEX(ExpType,$L1888)="","—",INDEX(ExpType,$L1888)))</f>
        <v/>
      </c>
      <c r="G1888" s="24">
        <f>IF($L1888="","",IF(INDEX(ExpDep,$L1888)=0,"",INDEX(ExpDep,$L1888)))</f>
        <v/>
      </c>
      <c r="H1888" s="24">
        <f>IF($L1888="","",IF(INDEX(ExpWit,$L1888)=0,"",INDEX(ExpWit,$L1888)))</f>
        <v/>
      </c>
      <c r="I1888" s="25">
        <f>IF($B1888="","",IF($I1887="",0,$I1887)+IF($H1888="",0,$H1888)-IF($G1888="",0,$G1888))</f>
        <v/>
      </c>
      <c r="J1888" s="23">
        <f>IF($L1888="","",IF(INDEX(ExpNote,$L1888)="","—",INDEX(ExpNote,$L1888)))</f>
        <v/>
      </c>
      <c r="L1888">
        <f>IFERROR(MATCH($C$5&amp;"|"&amp;RIGHT("000000"&amp;1872,6),ExpRankKey,0),"")</f>
        <v/>
      </c>
    </row>
    <row r="1889">
      <c r="A1889" s="16" t="n">
        <v>1873</v>
      </c>
      <c r="B1889" s="17">
        <f>IF($L1889="","",INDEX(ExpNorm,$L1889))</f>
        <v/>
      </c>
      <c r="C1889" s="17">
        <f>IF($L1889="","",IF(INDEX(ExpTime,$L1889)="","—",LEFT(INDEX(ExpTime,$L1889),2)&amp;":"&amp;RIGHT(INDEX(ExpTime,$L1889),2)))</f>
        <v/>
      </c>
      <c r="D1889" s="17">
        <f>IF($L1889="","",IF(INDEX(ExpBank,$L1889)="","—",INDEX(ExpBank,$L1889)))</f>
        <v/>
      </c>
      <c r="E1889" s="18">
        <f>IF($L1889="","",IF(INDEX(ExpParty,$L1889)="","—",IFERROR(VLOOKUP(INDEX(ExpParty,$L1889),AcctTbl,4,0),INDEX(ExpParty,$L1889))))</f>
        <v/>
      </c>
      <c r="F1889" s="17">
        <f>IF($L1889="","",IF(INDEX(ExpType,$L1889)="","—",INDEX(ExpType,$L1889)))</f>
        <v/>
      </c>
      <c r="G1889" s="19">
        <f>IF($L1889="","",IF(INDEX(ExpDep,$L1889)=0,"",INDEX(ExpDep,$L1889)))</f>
        <v/>
      </c>
      <c r="H1889" s="19">
        <f>IF($L1889="","",IF(INDEX(ExpWit,$L1889)=0,"",INDEX(ExpWit,$L1889)))</f>
        <v/>
      </c>
      <c r="I1889" s="20">
        <f>IF($B1889="","",IF($I1888="",0,$I1888)+IF($H1889="",0,$H1889)-IF($G1889="",0,$G1889))</f>
        <v/>
      </c>
      <c r="J1889" s="18">
        <f>IF($L1889="","",IF(INDEX(ExpNote,$L1889)="","—",INDEX(ExpNote,$L1889)))</f>
        <v/>
      </c>
      <c r="L1889">
        <f>IFERROR(MATCH($C$5&amp;"|"&amp;RIGHT("000000"&amp;1873,6),ExpRankKey,0),"")</f>
        <v/>
      </c>
    </row>
    <row r="1890">
      <c r="A1890" s="21" t="n">
        <v>1874</v>
      </c>
      <c r="B1890" s="22">
        <f>IF($L1890="","",INDEX(ExpNorm,$L1890))</f>
        <v/>
      </c>
      <c r="C1890" s="22">
        <f>IF($L1890="","",IF(INDEX(ExpTime,$L1890)="","—",LEFT(INDEX(ExpTime,$L1890),2)&amp;":"&amp;RIGHT(INDEX(ExpTime,$L1890),2)))</f>
        <v/>
      </c>
      <c r="D1890" s="22">
        <f>IF($L1890="","",IF(INDEX(ExpBank,$L1890)="","—",INDEX(ExpBank,$L1890)))</f>
        <v/>
      </c>
      <c r="E1890" s="23">
        <f>IF($L1890="","",IF(INDEX(ExpParty,$L1890)="","—",IFERROR(VLOOKUP(INDEX(ExpParty,$L1890),AcctTbl,4,0),INDEX(ExpParty,$L1890))))</f>
        <v/>
      </c>
      <c r="F1890" s="22">
        <f>IF($L1890="","",IF(INDEX(ExpType,$L1890)="","—",INDEX(ExpType,$L1890)))</f>
        <v/>
      </c>
      <c r="G1890" s="24">
        <f>IF($L1890="","",IF(INDEX(ExpDep,$L1890)=0,"",INDEX(ExpDep,$L1890)))</f>
        <v/>
      </c>
      <c r="H1890" s="24">
        <f>IF($L1890="","",IF(INDEX(ExpWit,$L1890)=0,"",INDEX(ExpWit,$L1890)))</f>
        <v/>
      </c>
      <c r="I1890" s="25">
        <f>IF($B1890="","",IF($I1889="",0,$I1889)+IF($H1890="",0,$H1890)-IF($G1890="",0,$G1890))</f>
        <v/>
      </c>
      <c r="J1890" s="23">
        <f>IF($L1890="","",IF(INDEX(ExpNote,$L1890)="","—",INDEX(ExpNote,$L1890)))</f>
        <v/>
      </c>
      <c r="L1890">
        <f>IFERROR(MATCH($C$5&amp;"|"&amp;RIGHT("000000"&amp;1874,6),ExpRankKey,0),"")</f>
        <v/>
      </c>
    </row>
    <row r="1891">
      <c r="A1891" s="16" t="n">
        <v>1875</v>
      </c>
      <c r="B1891" s="17">
        <f>IF($L1891="","",INDEX(ExpNorm,$L1891))</f>
        <v/>
      </c>
      <c r="C1891" s="17">
        <f>IF($L1891="","",IF(INDEX(ExpTime,$L1891)="","—",LEFT(INDEX(ExpTime,$L1891),2)&amp;":"&amp;RIGHT(INDEX(ExpTime,$L1891),2)))</f>
        <v/>
      </c>
      <c r="D1891" s="17">
        <f>IF($L1891="","",IF(INDEX(ExpBank,$L1891)="","—",INDEX(ExpBank,$L1891)))</f>
        <v/>
      </c>
      <c r="E1891" s="18">
        <f>IF($L1891="","",IF(INDEX(ExpParty,$L1891)="","—",IFERROR(VLOOKUP(INDEX(ExpParty,$L1891),AcctTbl,4,0),INDEX(ExpParty,$L1891))))</f>
        <v/>
      </c>
      <c r="F1891" s="17">
        <f>IF($L1891="","",IF(INDEX(ExpType,$L1891)="","—",INDEX(ExpType,$L1891)))</f>
        <v/>
      </c>
      <c r="G1891" s="19">
        <f>IF($L1891="","",IF(INDEX(ExpDep,$L1891)=0,"",INDEX(ExpDep,$L1891)))</f>
        <v/>
      </c>
      <c r="H1891" s="19">
        <f>IF($L1891="","",IF(INDEX(ExpWit,$L1891)=0,"",INDEX(ExpWit,$L1891)))</f>
        <v/>
      </c>
      <c r="I1891" s="20">
        <f>IF($B1891="","",IF($I1890="",0,$I1890)+IF($H1891="",0,$H1891)-IF($G1891="",0,$G1891))</f>
        <v/>
      </c>
      <c r="J1891" s="18">
        <f>IF($L1891="","",IF(INDEX(ExpNote,$L1891)="","—",INDEX(ExpNote,$L1891)))</f>
        <v/>
      </c>
      <c r="L1891">
        <f>IFERROR(MATCH($C$5&amp;"|"&amp;RIGHT("000000"&amp;1875,6),ExpRankKey,0),"")</f>
        <v/>
      </c>
    </row>
    <row r="1892">
      <c r="A1892" s="21" t="n">
        <v>1876</v>
      </c>
      <c r="B1892" s="22">
        <f>IF($L1892="","",INDEX(ExpNorm,$L1892))</f>
        <v/>
      </c>
      <c r="C1892" s="22">
        <f>IF($L1892="","",IF(INDEX(ExpTime,$L1892)="","—",LEFT(INDEX(ExpTime,$L1892),2)&amp;":"&amp;RIGHT(INDEX(ExpTime,$L1892),2)))</f>
        <v/>
      </c>
      <c r="D1892" s="22">
        <f>IF($L1892="","",IF(INDEX(ExpBank,$L1892)="","—",INDEX(ExpBank,$L1892)))</f>
        <v/>
      </c>
      <c r="E1892" s="23">
        <f>IF($L1892="","",IF(INDEX(ExpParty,$L1892)="","—",IFERROR(VLOOKUP(INDEX(ExpParty,$L1892),AcctTbl,4,0),INDEX(ExpParty,$L1892))))</f>
        <v/>
      </c>
      <c r="F1892" s="22">
        <f>IF($L1892="","",IF(INDEX(ExpType,$L1892)="","—",INDEX(ExpType,$L1892)))</f>
        <v/>
      </c>
      <c r="G1892" s="24">
        <f>IF($L1892="","",IF(INDEX(ExpDep,$L1892)=0,"",INDEX(ExpDep,$L1892)))</f>
        <v/>
      </c>
      <c r="H1892" s="24">
        <f>IF($L1892="","",IF(INDEX(ExpWit,$L1892)=0,"",INDEX(ExpWit,$L1892)))</f>
        <v/>
      </c>
      <c r="I1892" s="25">
        <f>IF($B1892="","",IF($I1891="",0,$I1891)+IF($H1892="",0,$H1892)-IF($G1892="",0,$G1892))</f>
        <v/>
      </c>
      <c r="J1892" s="23">
        <f>IF($L1892="","",IF(INDEX(ExpNote,$L1892)="","—",INDEX(ExpNote,$L1892)))</f>
        <v/>
      </c>
      <c r="L1892">
        <f>IFERROR(MATCH($C$5&amp;"|"&amp;RIGHT("000000"&amp;1876,6),ExpRankKey,0),"")</f>
        <v/>
      </c>
    </row>
    <row r="1893">
      <c r="A1893" s="16" t="n">
        <v>1877</v>
      </c>
      <c r="B1893" s="17">
        <f>IF($L1893="","",INDEX(ExpNorm,$L1893))</f>
        <v/>
      </c>
      <c r="C1893" s="17">
        <f>IF($L1893="","",IF(INDEX(ExpTime,$L1893)="","—",LEFT(INDEX(ExpTime,$L1893),2)&amp;":"&amp;RIGHT(INDEX(ExpTime,$L1893),2)))</f>
        <v/>
      </c>
      <c r="D1893" s="17">
        <f>IF($L1893="","",IF(INDEX(ExpBank,$L1893)="","—",INDEX(ExpBank,$L1893)))</f>
        <v/>
      </c>
      <c r="E1893" s="18">
        <f>IF($L1893="","",IF(INDEX(ExpParty,$L1893)="","—",IFERROR(VLOOKUP(INDEX(ExpParty,$L1893),AcctTbl,4,0),INDEX(ExpParty,$L1893))))</f>
        <v/>
      </c>
      <c r="F1893" s="17">
        <f>IF($L1893="","",IF(INDEX(ExpType,$L1893)="","—",INDEX(ExpType,$L1893)))</f>
        <v/>
      </c>
      <c r="G1893" s="19">
        <f>IF($L1893="","",IF(INDEX(ExpDep,$L1893)=0,"",INDEX(ExpDep,$L1893)))</f>
        <v/>
      </c>
      <c r="H1893" s="19">
        <f>IF($L1893="","",IF(INDEX(ExpWit,$L1893)=0,"",INDEX(ExpWit,$L1893)))</f>
        <v/>
      </c>
      <c r="I1893" s="20">
        <f>IF($B1893="","",IF($I1892="",0,$I1892)+IF($H1893="",0,$H1893)-IF($G1893="",0,$G1893))</f>
        <v/>
      </c>
      <c r="J1893" s="18">
        <f>IF($L1893="","",IF(INDEX(ExpNote,$L1893)="","—",INDEX(ExpNote,$L1893)))</f>
        <v/>
      </c>
      <c r="L1893">
        <f>IFERROR(MATCH($C$5&amp;"|"&amp;RIGHT("000000"&amp;1877,6),ExpRankKey,0),"")</f>
        <v/>
      </c>
    </row>
    <row r="1894">
      <c r="A1894" s="21" t="n">
        <v>1878</v>
      </c>
      <c r="B1894" s="22">
        <f>IF($L1894="","",INDEX(ExpNorm,$L1894))</f>
        <v/>
      </c>
      <c r="C1894" s="22">
        <f>IF($L1894="","",IF(INDEX(ExpTime,$L1894)="","—",LEFT(INDEX(ExpTime,$L1894),2)&amp;":"&amp;RIGHT(INDEX(ExpTime,$L1894),2)))</f>
        <v/>
      </c>
      <c r="D1894" s="22">
        <f>IF($L1894="","",IF(INDEX(ExpBank,$L1894)="","—",INDEX(ExpBank,$L1894)))</f>
        <v/>
      </c>
      <c r="E1894" s="23">
        <f>IF($L1894="","",IF(INDEX(ExpParty,$L1894)="","—",IFERROR(VLOOKUP(INDEX(ExpParty,$L1894),AcctTbl,4,0),INDEX(ExpParty,$L1894))))</f>
        <v/>
      </c>
      <c r="F1894" s="22">
        <f>IF($L1894="","",IF(INDEX(ExpType,$L1894)="","—",INDEX(ExpType,$L1894)))</f>
        <v/>
      </c>
      <c r="G1894" s="24">
        <f>IF($L1894="","",IF(INDEX(ExpDep,$L1894)=0,"",INDEX(ExpDep,$L1894)))</f>
        <v/>
      </c>
      <c r="H1894" s="24">
        <f>IF($L1894="","",IF(INDEX(ExpWit,$L1894)=0,"",INDEX(ExpWit,$L1894)))</f>
        <v/>
      </c>
      <c r="I1894" s="25">
        <f>IF($B1894="","",IF($I1893="",0,$I1893)+IF($H1894="",0,$H1894)-IF($G1894="",0,$G1894))</f>
        <v/>
      </c>
      <c r="J1894" s="23">
        <f>IF($L1894="","",IF(INDEX(ExpNote,$L1894)="","—",INDEX(ExpNote,$L1894)))</f>
        <v/>
      </c>
      <c r="L1894">
        <f>IFERROR(MATCH($C$5&amp;"|"&amp;RIGHT("000000"&amp;1878,6),ExpRankKey,0),"")</f>
        <v/>
      </c>
    </row>
    <row r="1895">
      <c r="A1895" s="16" t="n">
        <v>1879</v>
      </c>
      <c r="B1895" s="17">
        <f>IF($L1895="","",INDEX(ExpNorm,$L1895))</f>
        <v/>
      </c>
      <c r="C1895" s="17">
        <f>IF($L1895="","",IF(INDEX(ExpTime,$L1895)="","—",LEFT(INDEX(ExpTime,$L1895),2)&amp;":"&amp;RIGHT(INDEX(ExpTime,$L1895),2)))</f>
        <v/>
      </c>
      <c r="D1895" s="17">
        <f>IF($L1895="","",IF(INDEX(ExpBank,$L1895)="","—",INDEX(ExpBank,$L1895)))</f>
        <v/>
      </c>
      <c r="E1895" s="18">
        <f>IF($L1895="","",IF(INDEX(ExpParty,$L1895)="","—",IFERROR(VLOOKUP(INDEX(ExpParty,$L1895),AcctTbl,4,0),INDEX(ExpParty,$L1895))))</f>
        <v/>
      </c>
      <c r="F1895" s="17">
        <f>IF($L1895="","",IF(INDEX(ExpType,$L1895)="","—",INDEX(ExpType,$L1895)))</f>
        <v/>
      </c>
      <c r="G1895" s="19">
        <f>IF($L1895="","",IF(INDEX(ExpDep,$L1895)=0,"",INDEX(ExpDep,$L1895)))</f>
        <v/>
      </c>
      <c r="H1895" s="19">
        <f>IF($L1895="","",IF(INDEX(ExpWit,$L1895)=0,"",INDEX(ExpWit,$L1895)))</f>
        <v/>
      </c>
      <c r="I1895" s="20">
        <f>IF($B1895="","",IF($I1894="",0,$I1894)+IF($H1895="",0,$H1895)-IF($G1895="",0,$G1895))</f>
        <v/>
      </c>
      <c r="J1895" s="18">
        <f>IF($L1895="","",IF(INDEX(ExpNote,$L1895)="","—",INDEX(ExpNote,$L1895)))</f>
        <v/>
      </c>
      <c r="L1895">
        <f>IFERROR(MATCH($C$5&amp;"|"&amp;RIGHT("000000"&amp;1879,6),ExpRankKey,0),"")</f>
        <v/>
      </c>
    </row>
    <row r="1896">
      <c r="A1896" s="21" t="n">
        <v>1880</v>
      </c>
      <c r="B1896" s="22">
        <f>IF($L1896="","",INDEX(ExpNorm,$L1896))</f>
        <v/>
      </c>
      <c r="C1896" s="22">
        <f>IF($L1896="","",IF(INDEX(ExpTime,$L1896)="","—",LEFT(INDEX(ExpTime,$L1896),2)&amp;":"&amp;RIGHT(INDEX(ExpTime,$L1896),2)))</f>
        <v/>
      </c>
      <c r="D1896" s="22">
        <f>IF($L1896="","",IF(INDEX(ExpBank,$L1896)="","—",INDEX(ExpBank,$L1896)))</f>
        <v/>
      </c>
      <c r="E1896" s="23">
        <f>IF($L1896="","",IF(INDEX(ExpParty,$L1896)="","—",IFERROR(VLOOKUP(INDEX(ExpParty,$L1896),AcctTbl,4,0),INDEX(ExpParty,$L1896))))</f>
        <v/>
      </c>
      <c r="F1896" s="22">
        <f>IF($L1896="","",IF(INDEX(ExpType,$L1896)="","—",INDEX(ExpType,$L1896)))</f>
        <v/>
      </c>
      <c r="G1896" s="24">
        <f>IF($L1896="","",IF(INDEX(ExpDep,$L1896)=0,"",INDEX(ExpDep,$L1896)))</f>
        <v/>
      </c>
      <c r="H1896" s="24">
        <f>IF($L1896="","",IF(INDEX(ExpWit,$L1896)=0,"",INDEX(ExpWit,$L1896)))</f>
        <v/>
      </c>
      <c r="I1896" s="25">
        <f>IF($B1896="","",IF($I1895="",0,$I1895)+IF($H1896="",0,$H1896)-IF($G1896="",0,$G1896))</f>
        <v/>
      </c>
      <c r="J1896" s="23">
        <f>IF($L1896="","",IF(INDEX(ExpNote,$L1896)="","—",INDEX(ExpNote,$L1896)))</f>
        <v/>
      </c>
      <c r="L1896">
        <f>IFERROR(MATCH($C$5&amp;"|"&amp;RIGHT("000000"&amp;1880,6),ExpRankKey,0),"")</f>
        <v/>
      </c>
    </row>
    <row r="1897">
      <c r="A1897" s="16" t="n">
        <v>1881</v>
      </c>
      <c r="B1897" s="17">
        <f>IF($L1897="","",INDEX(ExpNorm,$L1897))</f>
        <v/>
      </c>
      <c r="C1897" s="17">
        <f>IF($L1897="","",IF(INDEX(ExpTime,$L1897)="","—",LEFT(INDEX(ExpTime,$L1897),2)&amp;":"&amp;RIGHT(INDEX(ExpTime,$L1897),2)))</f>
        <v/>
      </c>
      <c r="D1897" s="17">
        <f>IF($L1897="","",IF(INDEX(ExpBank,$L1897)="","—",INDEX(ExpBank,$L1897)))</f>
        <v/>
      </c>
      <c r="E1897" s="18">
        <f>IF($L1897="","",IF(INDEX(ExpParty,$L1897)="","—",IFERROR(VLOOKUP(INDEX(ExpParty,$L1897),AcctTbl,4,0),INDEX(ExpParty,$L1897))))</f>
        <v/>
      </c>
      <c r="F1897" s="17">
        <f>IF($L1897="","",IF(INDEX(ExpType,$L1897)="","—",INDEX(ExpType,$L1897)))</f>
        <v/>
      </c>
      <c r="G1897" s="19">
        <f>IF($L1897="","",IF(INDEX(ExpDep,$L1897)=0,"",INDEX(ExpDep,$L1897)))</f>
        <v/>
      </c>
      <c r="H1897" s="19">
        <f>IF($L1897="","",IF(INDEX(ExpWit,$L1897)=0,"",INDEX(ExpWit,$L1897)))</f>
        <v/>
      </c>
      <c r="I1897" s="20">
        <f>IF($B1897="","",IF($I1896="",0,$I1896)+IF($H1897="",0,$H1897)-IF($G1897="",0,$G1897))</f>
        <v/>
      </c>
      <c r="J1897" s="18">
        <f>IF($L1897="","",IF(INDEX(ExpNote,$L1897)="","—",INDEX(ExpNote,$L1897)))</f>
        <v/>
      </c>
      <c r="L1897">
        <f>IFERROR(MATCH($C$5&amp;"|"&amp;RIGHT("000000"&amp;1881,6),ExpRankKey,0),"")</f>
        <v/>
      </c>
    </row>
    <row r="1898">
      <c r="A1898" s="21" t="n">
        <v>1882</v>
      </c>
      <c r="B1898" s="22">
        <f>IF($L1898="","",INDEX(ExpNorm,$L1898))</f>
        <v/>
      </c>
      <c r="C1898" s="22">
        <f>IF($L1898="","",IF(INDEX(ExpTime,$L1898)="","—",LEFT(INDEX(ExpTime,$L1898),2)&amp;":"&amp;RIGHT(INDEX(ExpTime,$L1898),2)))</f>
        <v/>
      </c>
      <c r="D1898" s="22">
        <f>IF($L1898="","",IF(INDEX(ExpBank,$L1898)="","—",INDEX(ExpBank,$L1898)))</f>
        <v/>
      </c>
      <c r="E1898" s="23">
        <f>IF($L1898="","",IF(INDEX(ExpParty,$L1898)="","—",IFERROR(VLOOKUP(INDEX(ExpParty,$L1898),AcctTbl,4,0),INDEX(ExpParty,$L1898))))</f>
        <v/>
      </c>
      <c r="F1898" s="22">
        <f>IF($L1898="","",IF(INDEX(ExpType,$L1898)="","—",INDEX(ExpType,$L1898)))</f>
        <v/>
      </c>
      <c r="G1898" s="24">
        <f>IF($L1898="","",IF(INDEX(ExpDep,$L1898)=0,"",INDEX(ExpDep,$L1898)))</f>
        <v/>
      </c>
      <c r="H1898" s="24">
        <f>IF($L1898="","",IF(INDEX(ExpWit,$L1898)=0,"",INDEX(ExpWit,$L1898)))</f>
        <v/>
      </c>
      <c r="I1898" s="25">
        <f>IF($B1898="","",IF($I1897="",0,$I1897)+IF($H1898="",0,$H1898)-IF($G1898="",0,$G1898))</f>
        <v/>
      </c>
      <c r="J1898" s="23">
        <f>IF($L1898="","",IF(INDEX(ExpNote,$L1898)="","—",INDEX(ExpNote,$L1898)))</f>
        <v/>
      </c>
      <c r="L1898">
        <f>IFERROR(MATCH($C$5&amp;"|"&amp;RIGHT("000000"&amp;1882,6),ExpRankKey,0),"")</f>
        <v/>
      </c>
    </row>
    <row r="1899">
      <c r="A1899" s="16" t="n">
        <v>1883</v>
      </c>
      <c r="B1899" s="17">
        <f>IF($L1899="","",INDEX(ExpNorm,$L1899))</f>
        <v/>
      </c>
      <c r="C1899" s="17">
        <f>IF($L1899="","",IF(INDEX(ExpTime,$L1899)="","—",LEFT(INDEX(ExpTime,$L1899),2)&amp;":"&amp;RIGHT(INDEX(ExpTime,$L1899),2)))</f>
        <v/>
      </c>
      <c r="D1899" s="17">
        <f>IF($L1899="","",IF(INDEX(ExpBank,$L1899)="","—",INDEX(ExpBank,$L1899)))</f>
        <v/>
      </c>
      <c r="E1899" s="18">
        <f>IF($L1899="","",IF(INDEX(ExpParty,$L1899)="","—",IFERROR(VLOOKUP(INDEX(ExpParty,$L1899),AcctTbl,4,0),INDEX(ExpParty,$L1899))))</f>
        <v/>
      </c>
      <c r="F1899" s="17">
        <f>IF($L1899="","",IF(INDEX(ExpType,$L1899)="","—",INDEX(ExpType,$L1899)))</f>
        <v/>
      </c>
      <c r="G1899" s="19">
        <f>IF($L1899="","",IF(INDEX(ExpDep,$L1899)=0,"",INDEX(ExpDep,$L1899)))</f>
        <v/>
      </c>
      <c r="H1899" s="19">
        <f>IF($L1899="","",IF(INDEX(ExpWit,$L1899)=0,"",INDEX(ExpWit,$L1899)))</f>
        <v/>
      </c>
      <c r="I1899" s="20">
        <f>IF($B1899="","",IF($I1898="",0,$I1898)+IF($H1899="",0,$H1899)-IF($G1899="",0,$G1899))</f>
        <v/>
      </c>
      <c r="J1899" s="18">
        <f>IF($L1899="","",IF(INDEX(ExpNote,$L1899)="","—",INDEX(ExpNote,$L1899)))</f>
        <v/>
      </c>
      <c r="L1899">
        <f>IFERROR(MATCH($C$5&amp;"|"&amp;RIGHT("000000"&amp;1883,6),ExpRankKey,0),"")</f>
        <v/>
      </c>
    </row>
    <row r="1900">
      <c r="A1900" s="21" t="n">
        <v>1884</v>
      </c>
      <c r="B1900" s="22">
        <f>IF($L1900="","",INDEX(ExpNorm,$L1900))</f>
        <v/>
      </c>
      <c r="C1900" s="22">
        <f>IF($L1900="","",IF(INDEX(ExpTime,$L1900)="","—",LEFT(INDEX(ExpTime,$L1900),2)&amp;":"&amp;RIGHT(INDEX(ExpTime,$L1900),2)))</f>
        <v/>
      </c>
      <c r="D1900" s="22">
        <f>IF($L1900="","",IF(INDEX(ExpBank,$L1900)="","—",INDEX(ExpBank,$L1900)))</f>
        <v/>
      </c>
      <c r="E1900" s="23">
        <f>IF($L1900="","",IF(INDEX(ExpParty,$L1900)="","—",IFERROR(VLOOKUP(INDEX(ExpParty,$L1900),AcctTbl,4,0),INDEX(ExpParty,$L1900))))</f>
        <v/>
      </c>
      <c r="F1900" s="22">
        <f>IF($L1900="","",IF(INDEX(ExpType,$L1900)="","—",INDEX(ExpType,$L1900)))</f>
        <v/>
      </c>
      <c r="G1900" s="24">
        <f>IF($L1900="","",IF(INDEX(ExpDep,$L1900)=0,"",INDEX(ExpDep,$L1900)))</f>
        <v/>
      </c>
      <c r="H1900" s="24">
        <f>IF($L1900="","",IF(INDEX(ExpWit,$L1900)=0,"",INDEX(ExpWit,$L1900)))</f>
        <v/>
      </c>
      <c r="I1900" s="25">
        <f>IF($B1900="","",IF($I1899="",0,$I1899)+IF($H1900="",0,$H1900)-IF($G1900="",0,$G1900))</f>
        <v/>
      </c>
      <c r="J1900" s="23">
        <f>IF($L1900="","",IF(INDEX(ExpNote,$L1900)="","—",INDEX(ExpNote,$L1900)))</f>
        <v/>
      </c>
      <c r="L1900">
        <f>IFERROR(MATCH($C$5&amp;"|"&amp;RIGHT("000000"&amp;1884,6),ExpRankKey,0),"")</f>
        <v/>
      </c>
    </row>
    <row r="1901">
      <c r="A1901" s="16" t="n">
        <v>1885</v>
      </c>
      <c r="B1901" s="17">
        <f>IF($L1901="","",INDEX(ExpNorm,$L1901))</f>
        <v/>
      </c>
      <c r="C1901" s="17">
        <f>IF($L1901="","",IF(INDEX(ExpTime,$L1901)="","—",LEFT(INDEX(ExpTime,$L1901),2)&amp;":"&amp;RIGHT(INDEX(ExpTime,$L1901),2)))</f>
        <v/>
      </c>
      <c r="D1901" s="17">
        <f>IF($L1901="","",IF(INDEX(ExpBank,$L1901)="","—",INDEX(ExpBank,$L1901)))</f>
        <v/>
      </c>
      <c r="E1901" s="18">
        <f>IF($L1901="","",IF(INDEX(ExpParty,$L1901)="","—",IFERROR(VLOOKUP(INDEX(ExpParty,$L1901),AcctTbl,4,0),INDEX(ExpParty,$L1901))))</f>
        <v/>
      </c>
      <c r="F1901" s="17">
        <f>IF($L1901="","",IF(INDEX(ExpType,$L1901)="","—",INDEX(ExpType,$L1901)))</f>
        <v/>
      </c>
      <c r="G1901" s="19">
        <f>IF($L1901="","",IF(INDEX(ExpDep,$L1901)=0,"",INDEX(ExpDep,$L1901)))</f>
        <v/>
      </c>
      <c r="H1901" s="19">
        <f>IF($L1901="","",IF(INDEX(ExpWit,$L1901)=0,"",INDEX(ExpWit,$L1901)))</f>
        <v/>
      </c>
      <c r="I1901" s="20">
        <f>IF($B1901="","",IF($I1900="",0,$I1900)+IF($H1901="",0,$H1901)-IF($G1901="",0,$G1901))</f>
        <v/>
      </c>
      <c r="J1901" s="18">
        <f>IF($L1901="","",IF(INDEX(ExpNote,$L1901)="","—",INDEX(ExpNote,$L1901)))</f>
        <v/>
      </c>
      <c r="L1901">
        <f>IFERROR(MATCH($C$5&amp;"|"&amp;RIGHT("000000"&amp;1885,6),ExpRankKey,0),"")</f>
        <v/>
      </c>
    </row>
    <row r="1902">
      <c r="A1902" s="21" t="n">
        <v>1886</v>
      </c>
      <c r="B1902" s="22">
        <f>IF($L1902="","",INDEX(ExpNorm,$L1902))</f>
        <v/>
      </c>
      <c r="C1902" s="22">
        <f>IF($L1902="","",IF(INDEX(ExpTime,$L1902)="","—",LEFT(INDEX(ExpTime,$L1902),2)&amp;":"&amp;RIGHT(INDEX(ExpTime,$L1902),2)))</f>
        <v/>
      </c>
      <c r="D1902" s="22">
        <f>IF($L1902="","",IF(INDEX(ExpBank,$L1902)="","—",INDEX(ExpBank,$L1902)))</f>
        <v/>
      </c>
      <c r="E1902" s="23">
        <f>IF($L1902="","",IF(INDEX(ExpParty,$L1902)="","—",IFERROR(VLOOKUP(INDEX(ExpParty,$L1902),AcctTbl,4,0),INDEX(ExpParty,$L1902))))</f>
        <v/>
      </c>
      <c r="F1902" s="22">
        <f>IF($L1902="","",IF(INDEX(ExpType,$L1902)="","—",INDEX(ExpType,$L1902)))</f>
        <v/>
      </c>
      <c r="G1902" s="24">
        <f>IF($L1902="","",IF(INDEX(ExpDep,$L1902)=0,"",INDEX(ExpDep,$L1902)))</f>
        <v/>
      </c>
      <c r="H1902" s="24">
        <f>IF($L1902="","",IF(INDEX(ExpWit,$L1902)=0,"",INDEX(ExpWit,$L1902)))</f>
        <v/>
      </c>
      <c r="I1902" s="25">
        <f>IF($B1902="","",IF($I1901="",0,$I1901)+IF($H1902="",0,$H1902)-IF($G1902="",0,$G1902))</f>
        <v/>
      </c>
      <c r="J1902" s="23">
        <f>IF($L1902="","",IF(INDEX(ExpNote,$L1902)="","—",INDEX(ExpNote,$L1902)))</f>
        <v/>
      </c>
      <c r="L1902">
        <f>IFERROR(MATCH($C$5&amp;"|"&amp;RIGHT("000000"&amp;1886,6),ExpRankKey,0),"")</f>
        <v/>
      </c>
    </row>
    <row r="1903">
      <c r="A1903" s="16" t="n">
        <v>1887</v>
      </c>
      <c r="B1903" s="17">
        <f>IF($L1903="","",INDEX(ExpNorm,$L1903))</f>
        <v/>
      </c>
      <c r="C1903" s="17">
        <f>IF($L1903="","",IF(INDEX(ExpTime,$L1903)="","—",LEFT(INDEX(ExpTime,$L1903),2)&amp;":"&amp;RIGHT(INDEX(ExpTime,$L1903),2)))</f>
        <v/>
      </c>
      <c r="D1903" s="17">
        <f>IF($L1903="","",IF(INDEX(ExpBank,$L1903)="","—",INDEX(ExpBank,$L1903)))</f>
        <v/>
      </c>
      <c r="E1903" s="18">
        <f>IF($L1903="","",IF(INDEX(ExpParty,$L1903)="","—",IFERROR(VLOOKUP(INDEX(ExpParty,$L1903),AcctTbl,4,0),INDEX(ExpParty,$L1903))))</f>
        <v/>
      </c>
      <c r="F1903" s="17">
        <f>IF($L1903="","",IF(INDEX(ExpType,$L1903)="","—",INDEX(ExpType,$L1903)))</f>
        <v/>
      </c>
      <c r="G1903" s="19">
        <f>IF($L1903="","",IF(INDEX(ExpDep,$L1903)=0,"",INDEX(ExpDep,$L1903)))</f>
        <v/>
      </c>
      <c r="H1903" s="19">
        <f>IF($L1903="","",IF(INDEX(ExpWit,$L1903)=0,"",INDEX(ExpWit,$L1903)))</f>
        <v/>
      </c>
      <c r="I1903" s="20">
        <f>IF($B1903="","",IF($I1902="",0,$I1902)+IF($H1903="",0,$H1903)-IF($G1903="",0,$G1903))</f>
        <v/>
      </c>
      <c r="J1903" s="18">
        <f>IF($L1903="","",IF(INDEX(ExpNote,$L1903)="","—",INDEX(ExpNote,$L1903)))</f>
        <v/>
      </c>
      <c r="L1903">
        <f>IFERROR(MATCH($C$5&amp;"|"&amp;RIGHT("000000"&amp;1887,6),ExpRankKey,0),"")</f>
        <v/>
      </c>
    </row>
    <row r="1904">
      <c r="A1904" s="21" t="n">
        <v>1888</v>
      </c>
      <c r="B1904" s="22">
        <f>IF($L1904="","",INDEX(ExpNorm,$L1904))</f>
        <v/>
      </c>
      <c r="C1904" s="22">
        <f>IF($L1904="","",IF(INDEX(ExpTime,$L1904)="","—",LEFT(INDEX(ExpTime,$L1904),2)&amp;":"&amp;RIGHT(INDEX(ExpTime,$L1904),2)))</f>
        <v/>
      </c>
      <c r="D1904" s="22">
        <f>IF($L1904="","",IF(INDEX(ExpBank,$L1904)="","—",INDEX(ExpBank,$L1904)))</f>
        <v/>
      </c>
      <c r="E1904" s="23">
        <f>IF($L1904="","",IF(INDEX(ExpParty,$L1904)="","—",IFERROR(VLOOKUP(INDEX(ExpParty,$L1904),AcctTbl,4,0),INDEX(ExpParty,$L1904))))</f>
        <v/>
      </c>
      <c r="F1904" s="22">
        <f>IF($L1904="","",IF(INDEX(ExpType,$L1904)="","—",INDEX(ExpType,$L1904)))</f>
        <v/>
      </c>
      <c r="G1904" s="24">
        <f>IF($L1904="","",IF(INDEX(ExpDep,$L1904)=0,"",INDEX(ExpDep,$L1904)))</f>
        <v/>
      </c>
      <c r="H1904" s="24">
        <f>IF($L1904="","",IF(INDEX(ExpWit,$L1904)=0,"",INDEX(ExpWit,$L1904)))</f>
        <v/>
      </c>
      <c r="I1904" s="25">
        <f>IF($B1904="","",IF($I1903="",0,$I1903)+IF($H1904="",0,$H1904)-IF($G1904="",0,$G1904))</f>
        <v/>
      </c>
      <c r="J1904" s="23">
        <f>IF($L1904="","",IF(INDEX(ExpNote,$L1904)="","—",INDEX(ExpNote,$L1904)))</f>
        <v/>
      </c>
      <c r="L1904">
        <f>IFERROR(MATCH($C$5&amp;"|"&amp;RIGHT("000000"&amp;1888,6),ExpRankKey,0),"")</f>
        <v/>
      </c>
    </row>
    <row r="1905">
      <c r="A1905" s="16" t="n">
        <v>1889</v>
      </c>
      <c r="B1905" s="17">
        <f>IF($L1905="","",INDEX(ExpNorm,$L1905))</f>
        <v/>
      </c>
      <c r="C1905" s="17">
        <f>IF($L1905="","",IF(INDEX(ExpTime,$L1905)="","—",LEFT(INDEX(ExpTime,$L1905),2)&amp;":"&amp;RIGHT(INDEX(ExpTime,$L1905),2)))</f>
        <v/>
      </c>
      <c r="D1905" s="17">
        <f>IF($L1905="","",IF(INDEX(ExpBank,$L1905)="","—",INDEX(ExpBank,$L1905)))</f>
        <v/>
      </c>
      <c r="E1905" s="18">
        <f>IF($L1905="","",IF(INDEX(ExpParty,$L1905)="","—",IFERROR(VLOOKUP(INDEX(ExpParty,$L1905),AcctTbl,4,0),INDEX(ExpParty,$L1905))))</f>
        <v/>
      </c>
      <c r="F1905" s="17">
        <f>IF($L1905="","",IF(INDEX(ExpType,$L1905)="","—",INDEX(ExpType,$L1905)))</f>
        <v/>
      </c>
      <c r="G1905" s="19">
        <f>IF($L1905="","",IF(INDEX(ExpDep,$L1905)=0,"",INDEX(ExpDep,$L1905)))</f>
        <v/>
      </c>
      <c r="H1905" s="19">
        <f>IF($L1905="","",IF(INDEX(ExpWit,$L1905)=0,"",INDEX(ExpWit,$L1905)))</f>
        <v/>
      </c>
      <c r="I1905" s="20">
        <f>IF($B1905="","",IF($I1904="",0,$I1904)+IF($H1905="",0,$H1905)-IF($G1905="",0,$G1905))</f>
        <v/>
      </c>
      <c r="J1905" s="18">
        <f>IF($L1905="","",IF(INDEX(ExpNote,$L1905)="","—",INDEX(ExpNote,$L1905)))</f>
        <v/>
      </c>
      <c r="L1905">
        <f>IFERROR(MATCH($C$5&amp;"|"&amp;RIGHT("000000"&amp;1889,6),ExpRankKey,0),"")</f>
        <v/>
      </c>
    </row>
    <row r="1906">
      <c r="A1906" s="21" t="n">
        <v>1890</v>
      </c>
      <c r="B1906" s="22">
        <f>IF($L1906="","",INDEX(ExpNorm,$L1906))</f>
        <v/>
      </c>
      <c r="C1906" s="22">
        <f>IF($L1906="","",IF(INDEX(ExpTime,$L1906)="","—",LEFT(INDEX(ExpTime,$L1906),2)&amp;":"&amp;RIGHT(INDEX(ExpTime,$L1906),2)))</f>
        <v/>
      </c>
      <c r="D1906" s="22">
        <f>IF($L1906="","",IF(INDEX(ExpBank,$L1906)="","—",INDEX(ExpBank,$L1906)))</f>
        <v/>
      </c>
      <c r="E1906" s="23">
        <f>IF($L1906="","",IF(INDEX(ExpParty,$L1906)="","—",IFERROR(VLOOKUP(INDEX(ExpParty,$L1906),AcctTbl,4,0),INDEX(ExpParty,$L1906))))</f>
        <v/>
      </c>
      <c r="F1906" s="22">
        <f>IF($L1906="","",IF(INDEX(ExpType,$L1906)="","—",INDEX(ExpType,$L1906)))</f>
        <v/>
      </c>
      <c r="G1906" s="24">
        <f>IF($L1906="","",IF(INDEX(ExpDep,$L1906)=0,"",INDEX(ExpDep,$L1906)))</f>
        <v/>
      </c>
      <c r="H1906" s="24">
        <f>IF($L1906="","",IF(INDEX(ExpWit,$L1906)=0,"",INDEX(ExpWit,$L1906)))</f>
        <v/>
      </c>
      <c r="I1906" s="25">
        <f>IF($B1906="","",IF($I1905="",0,$I1905)+IF($H1906="",0,$H1906)-IF($G1906="",0,$G1906))</f>
        <v/>
      </c>
      <c r="J1906" s="23">
        <f>IF($L1906="","",IF(INDEX(ExpNote,$L1906)="","—",INDEX(ExpNote,$L1906)))</f>
        <v/>
      </c>
      <c r="L1906">
        <f>IFERROR(MATCH($C$5&amp;"|"&amp;RIGHT("000000"&amp;1890,6),ExpRankKey,0),"")</f>
        <v/>
      </c>
    </row>
    <row r="1907">
      <c r="A1907" s="16" t="n">
        <v>1891</v>
      </c>
      <c r="B1907" s="17">
        <f>IF($L1907="","",INDEX(ExpNorm,$L1907))</f>
        <v/>
      </c>
      <c r="C1907" s="17">
        <f>IF($L1907="","",IF(INDEX(ExpTime,$L1907)="","—",LEFT(INDEX(ExpTime,$L1907),2)&amp;":"&amp;RIGHT(INDEX(ExpTime,$L1907),2)))</f>
        <v/>
      </c>
      <c r="D1907" s="17">
        <f>IF($L1907="","",IF(INDEX(ExpBank,$L1907)="","—",INDEX(ExpBank,$L1907)))</f>
        <v/>
      </c>
      <c r="E1907" s="18">
        <f>IF($L1907="","",IF(INDEX(ExpParty,$L1907)="","—",IFERROR(VLOOKUP(INDEX(ExpParty,$L1907),AcctTbl,4,0),INDEX(ExpParty,$L1907))))</f>
        <v/>
      </c>
      <c r="F1907" s="17">
        <f>IF($L1907="","",IF(INDEX(ExpType,$L1907)="","—",INDEX(ExpType,$L1907)))</f>
        <v/>
      </c>
      <c r="G1907" s="19">
        <f>IF($L1907="","",IF(INDEX(ExpDep,$L1907)=0,"",INDEX(ExpDep,$L1907)))</f>
        <v/>
      </c>
      <c r="H1907" s="19">
        <f>IF($L1907="","",IF(INDEX(ExpWit,$L1907)=0,"",INDEX(ExpWit,$L1907)))</f>
        <v/>
      </c>
      <c r="I1907" s="20">
        <f>IF($B1907="","",IF($I1906="",0,$I1906)+IF($H1907="",0,$H1907)-IF($G1907="",0,$G1907))</f>
        <v/>
      </c>
      <c r="J1907" s="18">
        <f>IF($L1907="","",IF(INDEX(ExpNote,$L1907)="","—",INDEX(ExpNote,$L1907)))</f>
        <v/>
      </c>
      <c r="L1907">
        <f>IFERROR(MATCH($C$5&amp;"|"&amp;RIGHT("000000"&amp;1891,6),ExpRankKey,0),"")</f>
        <v/>
      </c>
    </row>
    <row r="1908">
      <c r="A1908" s="21" t="n">
        <v>1892</v>
      </c>
      <c r="B1908" s="22">
        <f>IF($L1908="","",INDEX(ExpNorm,$L1908))</f>
        <v/>
      </c>
      <c r="C1908" s="22">
        <f>IF($L1908="","",IF(INDEX(ExpTime,$L1908)="","—",LEFT(INDEX(ExpTime,$L1908),2)&amp;":"&amp;RIGHT(INDEX(ExpTime,$L1908),2)))</f>
        <v/>
      </c>
      <c r="D1908" s="22">
        <f>IF($L1908="","",IF(INDEX(ExpBank,$L1908)="","—",INDEX(ExpBank,$L1908)))</f>
        <v/>
      </c>
      <c r="E1908" s="23">
        <f>IF($L1908="","",IF(INDEX(ExpParty,$L1908)="","—",IFERROR(VLOOKUP(INDEX(ExpParty,$L1908),AcctTbl,4,0),INDEX(ExpParty,$L1908))))</f>
        <v/>
      </c>
      <c r="F1908" s="22">
        <f>IF($L1908="","",IF(INDEX(ExpType,$L1908)="","—",INDEX(ExpType,$L1908)))</f>
        <v/>
      </c>
      <c r="G1908" s="24">
        <f>IF($L1908="","",IF(INDEX(ExpDep,$L1908)=0,"",INDEX(ExpDep,$L1908)))</f>
        <v/>
      </c>
      <c r="H1908" s="24">
        <f>IF($L1908="","",IF(INDEX(ExpWit,$L1908)=0,"",INDEX(ExpWit,$L1908)))</f>
        <v/>
      </c>
      <c r="I1908" s="25">
        <f>IF($B1908="","",IF($I1907="",0,$I1907)+IF($H1908="",0,$H1908)-IF($G1908="",0,$G1908))</f>
        <v/>
      </c>
      <c r="J1908" s="23">
        <f>IF($L1908="","",IF(INDEX(ExpNote,$L1908)="","—",INDEX(ExpNote,$L1908)))</f>
        <v/>
      </c>
      <c r="L1908">
        <f>IFERROR(MATCH($C$5&amp;"|"&amp;RIGHT("000000"&amp;1892,6),ExpRankKey,0),"")</f>
        <v/>
      </c>
    </row>
    <row r="1909">
      <c r="A1909" s="16" t="n">
        <v>1893</v>
      </c>
      <c r="B1909" s="17">
        <f>IF($L1909="","",INDEX(ExpNorm,$L1909))</f>
        <v/>
      </c>
      <c r="C1909" s="17">
        <f>IF($L1909="","",IF(INDEX(ExpTime,$L1909)="","—",LEFT(INDEX(ExpTime,$L1909),2)&amp;":"&amp;RIGHT(INDEX(ExpTime,$L1909),2)))</f>
        <v/>
      </c>
      <c r="D1909" s="17">
        <f>IF($L1909="","",IF(INDEX(ExpBank,$L1909)="","—",INDEX(ExpBank,$L1909)))</f>
        <v/>
      </c>
      <c r="E1909" s="18">
        <f>IF($L1909="","",IF(INDEX(ExpParty,$L1909)="","—",IFERROR(VLOOKUP(INDEX(ExpParty,$L1909),AcctTbl,4,0),INDEX(ExpParty,$L1909))))</f>
        <v/>
      </c>
      <c r="F1909" s="17">
        <f>IF($L1909="","",IF(INDEX(ExpType,$L1909)="","—",INDEX(ExpType,$L1909)))</f>
        <v/>
      </c>
      <c r="G1909" s="19">
        <f>IF($L1909="","",IF(INDEX(ExpDep,$L1909)=0,"",INDEX(ExpDep,$L1909)))</f>
        <v/>
      </c>
      <c r="H1909" s="19">
        <f>IF($L1909="","",IF(INDEX(ExpWit,$L1909)=0,"",INDEX(ExpWit,$L1909)))</f>
        <v/>
      </c>
      <c r="I1909" s="20">
        <f>IF($B1909="","",IF($I1908="",0,$I1908)+IF($H1909="",0,$H1909)-IF($G1909="",0,$G1909))</f>
        <v/>
      </c>
      <c r="J1909" s="18">
        <f>IF($L1909="","",IF(INDEX(ExpNote,$L1909)="","—",INDEX(ExpNote,$L1909)))</f>
        <v/>
      </c>
      <c r="L1909">
        <f>IFERROR(MATCH($C$5&amp;"|"&amp;RIGHT("000000"&amp;1893,6),ExpRankKey,0),"")</f>
        <v/>
      </c>
    </row>
    <row r="1910">
      <c r="A1910" s="21" t="n">
        <v>1894</v>
      </c>
      <c r="B1910" s="22">
        <f>IF($L1910="","",INDEX(ExpNorm,$L1910))</f>
        <v/>
      </c>
      <c r="C1910" s="22">
        <f>IF($L1910="","",IF(INDEX(ExpTime,$L1910)="","—",LEFT(INDEX(ExpTime,$L1910),2)&amp;":"&amp;RIGHT(INDEX(ExpTime,$L1910),2)))</f>
        <v/>
      </c>
      <c r="D1910" s="22">
        <f>IF($L1910="","",IF(INDEX(ExpBank,$L1910)="","—",INDEX(ExpBank,$L1910)))</f>
        <v/>
      </c>
      <c r="E1910" s="23">
        <f>IF($L1910="","",IF(INDEX(ExpParty,$L1910)="","—",IFERROR(VLOOKUP(INDEX(ExpParty,$L1910),AcctTbl,4,0),INDEX(ExpParty,$L1910))))</f>
        <v/>
      </c>
      <c r="F1910" s="22">
        <f>IF($L1910="","",IF(INDEX(ExpType,$L1910)="","—",INDEX(ExpType,$L1910)))</f>
        <v/>
      </c>
      <c r="G1910" s="24">
        <f>IF($L1910="","",IF(INDEX(ExpDep,$L1910)=0,"",INDEX(ExpDep,$L1910)))</f>
        <v/>
      </c>
      <c r="H1910" s="24">
        <f>IF($L1910="","",IF(INDEX(ExpWit,$L1910)=0,"",INDEX(ExpWit,$L1910)))</f>
        <v/>
      </c>
      <c r="I1910" s="25">
        <f>IF($B1910="","",IF($I1909="",0,$I1909)+IF($H1910="",0,$H1910)-IF($G1910="",0,$G1910))</f>
        <v/>
      </c>
      <c r="J1910" s="23">
        <f>IF($L1910="","",IF(INDEX(ExpNote,$L1910)="","—",INDEX(ExpNote,$L1910)))</f>
        <v/>
      </c>
      <c r="L1910">
        <f>IFERROR(MATCH($C$5&amp;"|"&amp;RIGHT("000000"&amp;1894,6),ExpRankKey,0),"")</f>
        <v/>
      </c>
    </row>
    <row r="1911">
      <c r="A1911" s="16" t="n">
        <v>1895</v>
      </c>
      <c r="B1911" s="17">
        <f>IF($L1911="","",INDEX(ExpNorm,$L1911))</f>
        <v/>
      </c>
      <c r="C1911" s="17">
        <f>IF($L1911="","",IF(INDEX(ExpTime,$L1911)="","—",LEFT(INDEX(ExpTime,$L1911),2)&amp;":"&amp;RIGHT(INDEX(ExpTime,$L1911),2)))</f>
        <v/>
      </c>
      <c r="D1911" s="17">
        <f>IF($L1911="","",IF(INDEX(ExpBank,$L1911)="","—",INDEX(ExpBank,$L1911)))</f>
        <v/>
      </c>
      <c r="E1911" s="18">
        <f>IF($L1911="","",IF(INDEX(ExpParty,$L1911)="","—",IFERROR(VLOOKUP(INDEX(ExpParty,$L1911),AcctTbl,4,0),INDEX(ExpParty,$L1911))))</f>
        <v/>
      </c>
      <c r="F1911" s="17">
        <f>IF($L1911="","",IF(INDEX(ExpType,$L1911)="","—",INDEX(ExpType,$L1911)))</f>
        <v/>
      </c>
      <c r="G1911" s="19">
        <f>IF($L1911="","",IF(INDEX(ExpDep,$L1911)=0,"",INDEX(ExpDep,$L1911)))</f>
        <v/>
      </c>
      <c r="H1911" s="19">
        <f>IF($L1911="","",IF(INDEX(ExpWit,$L1911)=0,"",INDEX(ExpWit,$L1911)))</f>
        <v/>
      </c>
      <c r="I1911" s="20">
        <f>IF($B1911="","",IF($I1910="",0,$I1910)+IF($H1911="",0,$H1911)-IF($G1911="",0,$G1911))</f>
        <v/>
      </c>
      <c r="J1911" s="18">
        <f>IF($L1911="","",IF(INDEX(ExpNote,$L1911)="","—",INDEX(ExpNote,$L1911)))</f>
        <v/>
      </c>
      <c r="L1911">
        <f>IFERROR(MATCH($C$5&amp;"|"&amp;RIGHT("000000"&amp;1895,6),ExpRankKey,0),"")</f>
        <v/>
      </c>
    </row>
    <row r="1912">
      <c r="A1912" s="21" t="n">
        <v>1896</v>
      </c>
      <c r="B1912" s="22">
        <f>IF($L1912="","",INDEX(ExpNorm,$L1912))</f>
        <v/>
      </c>
      <c r="C1912" s="22">
        <f>IF($L1912="","",IF(INDEX(ExpTime,$L1912)="","—",LEFT(INDEX(ExpTime,$L1912),2)&amp;":"&amp;RIGHT(INDEX(ExpTime,$L1912),2)))</f>
        <v/>
      </c>
      <c r="D1912" s="22">
        <f>IF($L1912="","",IF(INDEX(ExpBank,$L1912)="","—",INDEX(ExpBank,$L1912)))</f>
        <v/>
      </c>
      <c r="E1912" s="23">
        <f>IF($L1912="","",IF(INDEX(ExpParty,$L1912)="","—",IFERROR(VLOOKUP(INDEX(ExpParty,$L1912),AcctTbl,4,0),INDEX(ExpParty,$L1912))))</f>
        <v/>
      </c>
      <c r="F1912" s="22">
        <f>IF($L1912="","",IF(INDEX(ExpType,$L1912)="","—",INDEX(ExpType,$L1912)))</f>
        <v/>
      </c>
      <c r="G1912" s="24">
        <f>IF($L1912="","",IF(INDEX(ExpDep,$L1912)=0,"",INDEX(ExpDep,$L1912)))</f>
        <v/>
      </c>
      <c r="H1912" s="24">
        <f>IF($L1912="","",IF(INDEX(ExpWit,$L1912)=0,"",INDEX(ExpWit,$L1912)))</f>
        <v/>
      </c>
      <c r="I1912" s="25">
        <f>IF($B1912="","",IF($I1911="",0,$I1911)+IF($H1912="",0,$H1912)-IF($G1912="",0,$G1912))</f>
        <v/>
      </c>
      <c r="J1912" s="23">
        <f>IF($L1912="","",IF(INDEX(ExpNote,$L1912)="","—",INDEX(ExpNote,$L1912)))</f>
        <v/>
      </c>
      <c r="L1912">
        <f>IFERROR(MATCH($C$5&amp;"|"&amp;RIGHT("000000"&amp;1896,6),ExpRankKey,0),"")</f>
        <v/>
      </c>
    </row>
    <row r="1913">
      <c r="A1913" s="16" t="n">
        <v>1897</v>
      </c>
      <c r="B1913" s="17">
        <f>IF($L1913="","",INDEX(ExpNorm,$L1913))</f>
        <v/>
      </c>
      <c r="C1913" s="17">
        <f>IF($L1913="","",IF(INDEX(ExpTime,$L1913)="","—",LEFT(INDEX(ExpTime,$L1913),2)&amp;":"&amp;RIGHT(INDEX(ExpTime,$L1913),2)))</f>
        <v/>
      </c>
      <c r="D1913" s="17">
        <f>IF($L1913="","",IF(INDEX(ExpBank,$L1913)="","—",INDEX(ExpBank,$L1913)))</f>
        <v/>
      </c>
      <c r="E1913" s="18">
        <f>IF($L1913="","",IF(INDEX(ExpParty,$L1913)="","—",IFERROR(VLOOKUP(INDEX(ExpParty,$L1913),AcctTbl,4,0),INDEX(ExpParty,$L1913))))</f>
        <v/>
      </c>
      <c r="F1913" s="17">
        <f>IF($L1913="","",IF(INDEX(ExpType,$L1913)="","—",INDEX(ExpType,$L1913)))</f>
        <v/>
      </c>
      <c r="G1913" s="19">
        <f>IF($L1913="","",IF(INDEX(ExpDep,$L1913)=0,"",INDEX(ExpDep,$L1913)))</f>
        <v/>
      </c>
      <c r="H1913" s="19">
        <f>IF($L1913="","",IF(INDEX(ExpWit,$L1913)=0,"",INDEX(ExpWit,$L1913)))</f>
        <v/>
      </c>
      <c r="I1913" s="20">
        <f>IF($B1913="","",IF($I1912="",0,$I1912)+IF($H1913="",0,$H1913)-IF($G1913="",0,$G1913))</f>
        <v/>
      </c>
      <c r="J1913" s="18">
        <f>IF($L1913="","",IF(INDEX(ExpNote,$L1913)="","—",INDEX(ExpNote,$L1913)))</f>
        <v/>
      </c>
      <c r="L1913">
        <f>IFERROR(MATCH($C$5&amp;"|"&amp;RIGHT("000000"&amp;1897,6),ExpRankKey,0),"")</f>
        <v/>
      </c>
    </row>
    <row r="1914">
      <c r="A1914" s="21" t="n">
        <v>1898</v>
      </c>
      <c r="B1914" s="22">
        <f>IF($L1914="","",INDEX(ExpNorm,$L1914))</f>
        <v/>
      </c>
      <c r="C1914" s="22">
        <f>IF($L1914="","",IF(INDEX(ExpTime,$L1914)="","—",LEFT(INDEX(ExpTime,$L1914),2)&amp;":"&amp;RIGHT(INDEX(ExpTime,$L1914),2)))</f>
        <v/>
      </c>
      <c r="D1914" s="22">
        <f>IF($L1914="","",IF(INDEX(ExpBank,$L1914)="","—",INDEX(ExpBank,$L1914)))</f>
        <v/>
      </c>
      <c r="E1914" s="23">
        <f>IF($L1914="","",IF(INDEX(ExpParty,$L1914)="","—",IFERROR(VLOOKUP(INDEX(ExpParty,$L1914),AcctTbl,4,0),INDEX(ExpParty,$L1914))))</f>
        <v/>
      </c>
      <c r="F1914" s="22">
        <f>IF($L1914="","",IF(INDEX(ExpType,$L1914)="","—",INDEX(ExpType,$L1914)))</f>
        <v/>
      </c>
      <c r="G1914" s="24">
        <f>IF($L1914="","",IF(INDEX(ExpDep,$L1914)=0,"",INDEX(ExpDep,$L1914)))</f>
        <v/>
      </c>
      <c r="H1914" s="24">
        <f>IF($L1914="","",IF(INDEX(ExpWit,$L1914)=0,"",INDEX(ExpWit,$L1914)))</f>
        <v/>
      </c>
      <c r="I1914" s="25">
        <f>IF($B1914="","",IF($I1913="",0,$I1913)+IF($H1914="",0,$H1914)-IF($G1914="",0,$G1914))</f>
        <v/>
      </c>
      <c r="J1914" s="23">
        <f>IF($L1914="","",IF(INDEX(ExpNote,$L1914)="","—",INDEX(ExpNote,$L1914)))</f>
        <v/>
      </c>
      <c r="L1914">
        <f>IFERROR(MATCH($C$5&amp;"|"&amp;RIGHT("000000"&amp;1898,6),ExpRankKey,0),"")</f>
        <v/>
      </c>
    </row>
    <row r="1915">
      <c r="A1915" s="16" t="n">
        <v>1899</v>
      </c>
      <c r="B1915" s="17">
        <f>IF($L1915="","",INDEX(ExpNorm,$L1915))</f>
        <v/>
      </c>
      <c r="C1915" s="17">
        <f>IF($L1915="","",IF(INDEX(ExpTime,$L1915)="","—",LEFT(INDEX(ExpTime,$L1915),2)&amp;":"&amp;RIGHT(INDEX(ExpTime,$L1915),2)))</f>
        <v/>
      </c>
      <c r="D1915" s="17">
        <f>IF($L1915="","",IF(INDEX(ExpBank,$L1915)="","—",INDEX(ExpBank,$L1915)))</f>
        <v/>
      </c>
      <c r="E1915" s="18">
        <f>IF($L1915="","",IF(INDEX(ExpParty,$L1915)="","—",IFERROR(VLOOKUP(INDEX(ExpParty,$L1915),AcctTbl,4,0),INDEX(ExpParty,$L1915))))</f>
        <v/>
      </c>
      <c r="F1915" s="17">
        <f>IF($L1915="","",IF(INDEX(ExpType,$L1915)="","—",INDEX(ExpType,$L1915)))</f>
        <v/>
      </c>
      <c r="G1915" s="19">
        <f>IF($L1915="","",IF(INDEX(ExpDep,$L1915)=0,"",INDEX(ExpDep,$L1915)))</f>
        <v/>
      </c>
      <c r="H1915" s="19">
        <f>IF($L1915="","",IF(INDEX(ExpWit,$L1915)=0,"",INDEX(ExpWit,$L1915)))</f>
        <v/>
      </c>
      <c r="I1915" s="20">
        <f>IF($B1915="","",IF($I1914="",0,$I1914)+IF($H1915="",0,$H1915)-IF($G1915="",0,$G1915))</f>
        <v/>
      </c>
      <c r="J1915" s="18">
        <f>IF($L1915="","",IF(INDEX(ExpNote,$L1915)="","—",INDEX(ExpNote,$L1915)))</f>
        <v/>
      </c>
      <c r="L1915">
        <f>IFERROR(MATCH($C$5&amp;"|"&amp;RIGHT("000000"&amp;1899,6),ExpRankKey,0),"")</f>
        <v/>
      </c>
    </row>
    <row r="1916">
      <c r="A1916" s="21" t="n">
        <v>1900</v>
      </c>
      <c r="B1916" s="22">
        <f>IF($L1916="","",INDEX(ExpNorm,$L1916))</f>
        <v/>
      </c>
      <c r="C1916" s="22">
        <f>IF($L1916="","",IF(INDEX(ExpTime,$L1916)="","—",LEFT(INDEX(ExpTime,$L1916),2)&amp;":"&amp;RIGHT(INDEX(ExpTime,$L1916),2)))</f>
        <v/>
      </c>
      <c r="D1916" s="22">
        <f>IF($L1916="","",IF(INDEX(ExpBank,$L1916)="","—",INDEX(ExpBank,$L1916)))</f>
        <v/>
      </c>
      <c r="E1916" s="23">
        <f>IF($L1916="","",IF(INDEX(ExpParty,$L1916)="","—",IFERROR(VLOOKUP(INDEX(ExpParty,$L1916),AcctTbl,4,0),INDEX(ExpParty,$L1916))))</f>
        <v/>
      </c>
      <c r="F1916" s="22">
        <f>IF($L1916="","",IF(INDEX(ExpType,$L1916)="","—",INDEX(ExpType,$L1916)))</f>
        <v/>
      </c>
      <c r="G1916" s="24">
        <f>IF($L1916="","",IF(INDEX(ExpDep,$L1916)=0,"",INDEX(ExpDep,$L1916)))</f>
        <v/>
      </c>
      <c r="H1916" s="24">
        <f>IF($L1916="","",IF(INDEX(ExpWit,$L1916)=0,"",INDEX(ExpWit,$L1916)))</f>
        <v/>
      </c>
      <c r="I1916" s="25">
        <f>IF($B1916="","",IF($I1915="",0,$I1915)+IF($H1916="",0,$H1916)-IF($G1916="",0,$G1916))</f>
        <v/>
      </c>
      <c r="J1916" s="23">
        <f>IF($L1916="","",IF(INDEX(ExpNote,$L1916)="","—",INDEX(ExpNote,$L1916)))</f>
        <v/>
      </c>
      <c r="L1916">
        <f>IFERROR(MATCH($C$5&amp;"|"&amp;RIGHT("000000"&amp;1900,6),ExpRankKey,0),"")</f>
        <v/>
      </c>
    </row>
    <row r="1917">
      <c r="A1917" s="16" t="n">
        <v>1901</v>
      </c>
      <c r="B1917" s="17">
        <f>IF($L1917="","",INDEX(ExpNorm,$L1917))</f>
        <v/>
      </c>
      <c r="C1917" s="17">
        <f>IF($L1917="","",IF(INDEX(ExpTime,$L1917)="","—",LEFT(INDEX(ExpTime,$L1917),2)&amp;":"&amp;RIGHT(INDEX(ExpTime,$L1917),2)))</f>
        <v/>
      </c>
      <c r="D1917" s="17">
        <f>IF($L1917="","",IF(INDEX(ExpBank,$L1917)="","—",INDEX(ExpBank,$L1917)))</f>
        <v/>
      </c>
      <c r="E1917" s="18">
        <f>IF($L1917="","",IF(INDEX(ExpParty,$L1917)="","—",IFERROR(VLOOKUP(INDEX(ExpParty,$L1917),AcctTbl,4,0),INDEX(ExpParty,$L1917))))</f>
        <v/>
      </c>
      <c r="F1917" s="17">
        <f>IF($L1917="","",IF(INDEX(ExpType,$L1917)="","—",INDEX(ExpType,$L1917)))</f>
        <v/>
      </c>
      <c r="G1917" s="19">
        <f>IF($L1917="","",IF(INDEX(ExpDep,$L1917)=0,"",INDEX(ExpDep,$L1917)))</f>
        <v/>
      </c>
      <c r="H1917" s="19">
        <f>IF($L1917="","",IF(INDEX(ExpWit,$L1917)=0,"",INDEX(ExpWit,$L1917)))</f>
        <v/>
      </c>
      <c r="I1917" s="20">
        <f>IF($B1917="","",IF($I1916="",0,$I1916)+IF($H1917="",0,$H1917)-IF($G1917="",0,$G1917))</f>
        <v/>
      </c>
      <c r="J1917" s="18">
        <f>IF($L1917="","",IF(INDEX(ExpNote,$L1917)="","—",INDEX(ExpNote,$L1917)))</f>
        <v/>
      </c>
      <c r="L1917">
        <f>IFERROR(MATCH($C$5&amp;"|"&amp;RIGHT("000000"&amp;1901,6),ExpRankKey,0),"")</f>
        <v/>
      </c>
    </row>
    <row r="1918">
      <c r="A1918" s="21" t="n">
        <v>1902</v>
      </c>
      <c r="B1918" s="22">
        <f>IF($L1918="","",INDEX(ExpNorm,$L1918))</f>
        <v/>
      </c>
      <c r="C1918" s="22">
        <f>IF($L1918="","",IF(INDEX(ExpTime,$L1918)="","—",LEFT(INDEX(ExpTime,$L1918),2)&amp;":"&amp;RIGHT(INDEX(ExpTime,$L1918),2)))</f>
        <v/>
      </c>
      <c r="D1918" s="22">
        <f>IF($L1918="","",IF(INDEX(ExpBank,$L1918)="","—",INDEX(ExpBank,$L1918)))</f>
        <v/>
      </c>
      <c r="E1918" s="23">
        <f>IF($L1918="","",IF(INDEX(ExpParty,$L1918)="","—",IFERROR(VLOOKUP(INDEX(ExpParty,$L1918),AcctTbl,4,0),INDEX(ExpParty,$L1918))))</f>
        <v/>
      </c>
      <c r="F1918" s="22">
        <f>IF($L1918="","",IF(INDEX(ExpType,$L1918)="","—",INDEX(ExpType,$L1918)))</f>
        <v/>
      </c>
      <c r="G1918" s="24">
        <f>IF($L1918="","",IF(INDEX(ExpDep,$L1918)=0,"",INDEX(ExpDep,$L1918)))</f>
        <v/>
      </c>
      <c r="H1918" s="24">
        <f>IF($L1918="","",IF(INDEX(ExpWit,$L1918)=0,"",INDEX(ExpWit,$L1918)))</f>
        <v/>
      </c>
      <c r="I1918" s="25">
        <f>IF($B1918="","",IF($I1917="",0,$I1917)+IF($H1918="",0,$H1918)-IF($G1918="",0,$G1918))</f>
        <v/>
      </c>
      <c r="J1918" s="23">
        <f>IF($L1918="","",IF(INDEX(ExpNote,$L1918)="","—",INDEX(ExpNote,$L1918)))</f>
        <v/>
      </c>
      <c r="L1918">
        <f>IFERROR(MATCH($C$5&amp;"|"&amp;RIGHT("000000"&amp;1902,6),ExpRankKey,0),"")</f>
        <v/>
      </c>
    </row>
    <row r="1919">
      <c r="A1919" s="16" t="n">
        <v>1903</v>
      </c>
      <c r="B1919" s="17">
        <f>IF($L1919="","",INDEX(ExpNorm,$L1919))</f>
        <v/>
      </c>
      <c r="C1919" s="17">
        <f>IF($L1919="","",IF(INDEX(ExpTime,$L1919)="","—",LEFT(INDEX(ExpTime,$L1919),2)&amp;":"&amp;RIGHT(INDEX(ExpTime,$L1919),2)))</f>
        <v/>
      </c>
      <c r="D1919" s="17">
        <f>IF($L1919="","",IF(INDEX(ExpBank,$L1919)="","—",INDEX(ExpBank,$L1919)))</f>
        <v/>
      </c>
      <c r="E1919" s="18">
        <f>IF($L1919="","",IF(INDEX(ExpParty,$L1919)="","—",IFERROR(VLOOKUP(INDEX(ExpParty,$L1919),AcctTbl,4,0),INDEX(ExpParty,$L1919))))</f>
        <v/>
      </c>
      <c r="F1919" s="17">
        <f>IF($L1919="","",IF(INDEX(ExpType,$L1919)="","—",INDEX(ExpType,$L1919)))</f>
        <v/>
      </c>
      <c r="G1919" s="19">
        <f>IF($L1919="","",IF(INDEX(ExpDep,$L1919)=0,"",INDEX(ExpDep,$L1919)))</f>
        <v/>
      </c>
      <c r="H1919" s="19">
        <f>IF($L1919="","",IF(INDEX(ExpWit,$L1919)=0,"",INDEX(ExpWit,$L1919)))</f>
        <v/>
      </c>
      <c r="I1919" s="20">
        <f>IF($B1919="","",IF($I1918="",0,$I1918)+IF($H1919="",0,$H1919)-IF($G1919="",0,$G1919))</f>
        <v/>
      </c>
      <c r="J1919" s="18">
        <f>IF($L1919="","",IF(INDEX(ExpNote,$L1919)="","—",INDEX(ExpNote,$L1919)))</f>
        <v/>
      </c>
      <c r="L1919">
        <f>IFERROR(MATCH($C$5&amp;"|"&amp;RIGHT("000000"&amp;1903,6),ExpRankKey,0),"")</f>
        <v/>
      </c>
    </row>
    <row r="1920">
      <c r="A1920" s="21" t="n">
        <v>1904</v>
      </c>
      <c r="B1920" s="22">
        <f>IF($L1920="","",INDEX(ExpNorm,$L1920))</f>
        <v/>
      </c>
      <c r="C1920" s="22">
        <f>IF($L1920="","",IF(INDEX(ExpTime,$L1920)="","—",LEFT(INDEX(ExpTime,$L1920),2)&amp;":"&amp;RIGHT(INDEX(ExpTime,$L1920),2)))</f>
        <v/>
      </c>
      <c r="D1920" s="22">
        <f>IF($L1920="","",IF(INDEX(ExpBank,$L1920)="","—",INDEX(ExpBank,$L1920)))</f>
        <v/>
      </c>
      <c r="E1920" s="23">
        <f>IF($L1920="","",IF(INDEX(ExpParty,$L1920)="","—",IFERROR(VLOOKUP(INDEX(ExpParty,$L1920),AcctTbl,4,0),INDEX(ExpParty,$L1920))))</f>
        <v/>
      </c>
      <c r="F1920" s="22">
        <f>IF($L1920="","",IF(INDEX(ExpType,$L1920)="","—",INDEX(ExpType,$L1920)))</f>
        <v/>
      </c>
      <c r="G1920" s="24">
        <f>IF($L1920="","",IF(INDEX(ExpDep,$L1920)=0,"",INDEX(ExpDep,$L1920)))</f>
        <v/>
      </c>
      <c r="H1920" s="24">
        <f>IF($L1920="","",IF(INDEX(ExpWit,$L1920)=0,"",INDEX(ExpWit,$L1920)))</f>
        <v/>
      </c>
      <c r="I1920" s="25">
        <f>IF($B1920="","",IF($I1919="",0,$I1919)+IF($H1920="",0,$H1920)-IF($G1920="",0,$G1920))</f>
        <v/>
      </c>
      <c r="J1920" s="23">
        <f>IF($L1920="","",IF(INDEX(ExpNote,$L1920)="","—",INDEX(ExpNote,$L1920)))</f>
        <v/>
      </c>
      <c r="L1920">
        <f>IFERROR(MATCH($C$5&amp;"|"&amp;RIGHT("000000"&amp;1904,6),ExpRankKey,0),"")</f>
        <v/>
      </c>
    </row>
    <row r="1921">
      <c r="A1921" s="16" t="n">
        <v>1905</v>
      </c>
      <c r="B1921" s="17">
        <f>IF($L1921="","",INDEX(ExpNorm,$L1921))</f>
        <v/>
      </c>
      <c r="C1921" s="17">
        <f>IF($L1921="","",IF(INDEX(ExpTime,$L1921)="","—",LEFT(INDEX(ExpTime,$L1921),2)&amp;":"&amp;RIGHT(INDEX(ExpTime,$L1921),2)))</f>
        <v/>
      </c>
      <c r="D1921" s="17">
        <f>IF($L1921="","",IF(INDEX(ExpBank,$L1921)="","—",INDEX(ExpBank,$L1921)))</f>
        <v/>
      </c>
      <c r="E1921" s="18">
        <f>IF($L1921="","",IF(INDEX(ExpParty,$L1921)="","—",IFERROR(VLOOKUP(INDEX(ExpParty,$L1921),AcctTbl,4,0),INDEX(ExpParty,$L1921))))</f>
        <v/>
      </c>
      <c r="F1921" s="17">
        <f>IF($L1921="","",IF(INDEX(ExpType,$L1921)="","—",INDEX(ExpType,$L1921)))</f>
        <v/>
      </c>
      <c r="G1921" s="19">
        <f>IF($L1921="","",IF(INDEX(ExpDep,$L1921)=0,"",INDEX(ExpDep,$L1921)))</f>
        <v/>
      </c>
      <c r="H1921" s="19">
        <f>IF($L1921="","",IF(INDEX(ExpWit,$L1921)=0,"",INDEX(ExpWit,$L1921)))</f>
        <v/>
      </c>
      <c r="I1921" s="20">
        <f>IF($B1921="","",IF($I1920="",0,$I1920)+IF($H1921="",0,$H1921)-IF($G1921="",0,$G1921))</f>
        <v/>
      </c>
      <c r="J1921" s="18">
        <f>IF($L1921="","",IF(INDEX(ExpNote,$L1921)="","—",INDEX(ExpNote,$L1921)))</f>
        <v/>
      </c>
      <c r="L1921">
        <f>IFERROR(MATCH($C$5&amp;"|"&amp;RIGHT("000000"&amp;1905,6),ExpRankKey,0),"")</f>
        <v/>
      </c>
    </row>
    <row r="1922">
      <c r="A1922" s="21" t="n">
        <v>1906</v>
      </c>
      <c r="B1922" s="22">
        <f>IF($L1922="","",INDEX(ExpNorm,$L1922))</f>
        <v/>
      </c>
      <c r="C1922" s="22">
        <f>IF($L1922="","",IF(INDEX(ExpTime,$L1922)="","—",LEFT(INDEX(ExpTime,$L1922),2)&amp;":"&amp;RIGHT(INDEX(ExpTime,$L1922),2)))</f>
        <v/>
      </c>
      <c r="D1922" s="22">
        <f>IF($L1922="","",IF(INDEX(ExpBank,$L1922)="","—",INDEX(ExpBank,$L1922)))</f>
        <v/>
      </c>
      <c r="E1922" s="23">
        <f>IF($L1922="","",IF(INDEX(ExpParty,$L1922)="","—",IFERROR(VLOOKUP(INDEX(ExpParty,$L1922),AcctTbl,4,0),INDEX(ExpParty,$L1922))))</f>
        <v/>
      </c>
      <c r="F1922" s="22">
        <f>IF($L1922="","",IF(INDEX(ExpType,$L1922)="","—",INDEX(ExpType,$L1922)))</f>
        <v/>
      </c>
      <c r="G1922" s="24">
        <f>IF($L1922="","",IF(INDEX(ExpDep,$L1922)=0,"",INDEX(ExpDep,$L1922)))</f>
        <v/>
      </c>
      <c r="H1922" s="24">
        <f>IF($L1922="","",IF(INDEX(ExpWit,$L1922)=0,"",INDEX(ExpWit,$L1922)))</f>
        <v/>
      </c>
      <c r="I1922" s="25">
        <f>IF($B1922="","",IF($I1921="",0,$I1921)+IF($H1922="",0,$H1922)-IF($G1922="",0,$G1922))</f>
        <v/>
      </c>
      <c r="J1922" s="23">
        <f>IF($L1922="","",IF(INDEX(ExpNote,$L1922)="","—",INDEX(ExpNote,$L1922)))</f>
        <v/>
      </c>
      <c r="L1922">
        <f>IFERROR(MATCH($C$5&amp;"|"&amp;RIGHT("000000"&amp;1906,6),ExpRankKey,0),"")</f>
        <v/>
      </c>
    </row>
    <row r="1923">
      <c r="A1923" s="16" t="n">
        <v>1907</v>
      </c>
      <c r="B1923" s="17">
        <f>IF($L1923="","",INDEX(ExpNorm,$L1923))</f>
        <v/>
      </c>
      <c r="C1923" s="17">
        <f>IF($L1923="","",IF(INDEX(ExpTime,$L1923)="","—",LEFT(INDEX(ExpTime,$L1923),2)&amp;":"&amp;RIGHT(INDEX(ExpTime,$L1923),2)))</f>
        <v/>
      </c>
      <c r="D1923" s="17">
        <f>IF($L1923="","",IF(INDEX(ExpBank,$L1923)="","—",INDEX(ExpBank,$L1923)))</f>
        <v/>
      </c>
      <c r="E1923" s="18">
        <f>IF($L1923="","",IF(INDEX(ExpParty,$L1923)="","—",IFERROR(VLOOKUP(INDEX(ExpParty,$L1923),AcctTbl,4,0),INDEX(ExpParty,$L1923))))</f>
        <v/>
      </c>
      <c r="F1923" s="17">
        <f>IF($L1923="","",IF(INDEX(ExpType,$L1923)="","—",INDEX(ExpType,$L1923)))</f>
        <v/>
      </c>
      <c r="G1923" s="19">
        <f>IF($L1923="","",IF(INDEX(ExpDep,$L1923)=0,"",INDEX(ExpDep,$L1923)))</f>
        <v/>
      </c>
      <c r="H1923" s="19">
        <f>IF($L1923="","",IF(INDEX(ExpWit,$L1923)=0,"",INDEX(ExpWit,$L1923)))</f>
        <v/>
      </c>
      <c r="I1923" s="20">
        <f>IF($B1923="","",IF($I1922="",0,$I1922)+IF($H1923="",0,$H1923)-IF($G1923="",0,$G1923))</f>
        <v/>
      </c>
      <c r="J1923" s="18">
        <f>IF($L1923="","",IF(INDEX(ExpNote,$L1923)="","—",INDEX(ExpNote,$L1923)))</f>
        <v/>
      </c>
      <c r="L1923">
        <f>IFERROR(MATCH($C$5&amp;"|"&amp;RIGHT("000000"&amp;1907,6),ExpRankKey,0),"")</f>
        <v/>
      </c>
    </row>
    <row r="1924">
      <c r="A1924" s="21" t="n">
        <v>1908</v>
      </c>
      <c r="B1924" s="22">
        <f>IF($L1924="","",INDEX(ExpNorm,$L1924))</f>
        <v/>
      </c>
      <c r="C1924" s="22">
        <f>IF($L1924="","",IF(INDEX(ExpTime,$L1924)="","—",LEFT(INDEX(ExpTime,$L1924),2)&amp;":"&amp;RIGHT(INDEX(ExpTime,$L1924),2)))</f>
        <v/>
      </c>
      <c r="D1924" s="22">
        <f>IF($L1924="","",IF(INDEX(ExpBank,$L1924)="","—",INDEX(ExpBank,$L1924)))</f>
        <v/>
      </c>
      <c r="E1924" s="23">
        <f>IF($L1924="","",IF(INDEX(ExpParty,$L1924)="","—",IFERROR(VLOOKUP(INDEX(ExpParty,$L1924),AcctTbl,4,0),INDEX(ExpParty,$L1924))))</f>
        <v/>
      </c>
      <c r="F1924" s="22">
        <f>IF($L1924="","",IF(INDEX(ExpType,$L1924)="","—",INDEX(ExpType,$L1924)))</f>
        <v/>
      </c>
      <c r="G1924" s="24">
        <f>IF($L1924="","",IF(INDEX(ExpDep,$L1924)=0,"",INDEX(ExpDep,$L1924)))</f>
        <v/>
      </c>
      <c r="H1924" s="24">
        <f>IF($L1924="","",IF(INDEX(ExpWit,$L1924)=0,"",INDEX(ExpWit,$L1924)))</f>
        <v/>
      </c>
      <c r="I1924" s="25">
        <f>IF($B1924="","",IF($I1923="",0,$I1923)+IF($H1924="",0,$H1924)-IF($G1924="",0,$G1924))</f>
        <v/>
      </c>
      <c r="J1924" s="23">
        <f>IF($L1924="","",IF(INDEX(ExpNote,$L1924)="","—",INDEX(ExpNote,$L1924)))</f>
        <v/>
      </c>
      <c r="L1924">
        <f>IFERROR(MATCH($C$5&amp;"|"&amp;RIGHT("000000"&amp;1908,6),ExpRankKey,0),"")</f>
        <v/>
      </c>
    </row>
    <row r="1925">
      <c r="A1925" s="16" t="n">
        <v>1909</v>
      </c>
      <c r="B1925" s="17">
        <f>IF($L1925="","",INDEX(ExpNorm,$L1925))</f>
        <v/>
      </c>
      <c r="C1925" s="17">
        <f>IF($L1925="","",IF(INDEX(ExpTime,$L1925)="","—",LEFT(INDEX(ExpTime,$L1925),2)&amp;":"&amp;RIGHT(INDEX(ExpTime,$L1925),2)))</f>
        <v/>
      </c>
      <c r="D1925" s="17">
        <f>IF($L1925="","",IF(INDEX(ExpBank,$L1925)="","—",INDEX(ExpBank,$L1925)))</f>
        <v/>
      </c>
      <c r="E1925" s="18">
        <f>IF($L1925="","",IF(INDEX(ExpParty,$L1925)="","—",IFERROR(VLOOKUP(INDEX(ExpParty,$L1925),AcctTbl,4,0),INDEX(ExpParty,$L1925))))</f>
        <v/>
      </c>
      <c r="F1925" s="17">
        <f>IF($L1925="","",IF(INDEX(ExpType,$L1925)="","—",INDEX(ExpType,$L1925)))</f>
        <v/>
      </c>
      <c r="G1925" s="19">
        <f>IF($L1925="","",IF(INDEX(ExpDep,$L1925)=0,"",INDEX(ExpDep,$L1925)))</f>
        <v/>
      </c>
      <c r="H1925" s="19">
        <f>IF($L1925="","",IF(INDEX(ExpWit,$L1925)=0,"",INDEX(ExpWit,$L1925)))</f>
        <v/>
      </c>
      <c r="I1925" s="20">
        <f>IF($B1925="","",IF($I1924="",0,$I1924)+IF($H1925="",0,$H1925)-IF($G1925="",0,$G1925))</f>
        <v/>
      </c>
      <c r="J1925" s="18">
        <f>IF($L1925="","",IF(INDEX(ExpNote,$L1925)="","—",INDEX(ExpNote,$L1925)))</f>
        <v/>
      </c>
      <c r="L1925">
        <f>IFERROR(MATCH($C$5&amp;"|"&amp;RIGHT("000000"&amp;1909,6),ExpRankKey,0),"")</f>
        <v/>
      </c>
    </row>
    <row r="1926">
      <c r="A1926" s="21" t="n">
        <v>1910</v>
      </c>
      <c r="B1926" s="22">
        <f>IF($L1926="","",INDEX(ExpNorm,$L1926))</f>
        <v/>
      </c>
      <c r="C1926" s="22">
        <f>IF($L1926="","",IF(INDEX(ExpTime,$L1926)="","—",LEFT(INDEX(ExpTime,$L1926),2)&amp;":"&amp;RIGHT(INDEX(ExpTime,$L1926),2)))</f>
        <v/>
      </c>
      <c r="D1926" s="22">
        <f>IF($L1926="","",IF(INDEX(ExpBank,$L1926)="","—",INDEX(ExpBank,$L1926)))</f>
        <v/>
      </c>
      <c r="E1926" s="23">
        <f>IF($L1926="","",IF(INDEX(ExpParty,$L1926)="","—",IFERROR(VLOOKUP(INDEX(ExpParty,$L1926),AcctTbl,4,0),INDEX(ExpParty,$L1926))))</f>
        <v/>
      </c>
      <c r="F1926" s="22">
        <f>IF($L1926="","",IF(INDEX(ExpType,$L1926)="","—",INDEX(ExpType,$L1926)))</f>
        <v/>
      </c>
      <c r="G1926" s="24">
        <f>IF($L1926="","",IF(INDEX(ExpDep,$L1926)=0,"",INDEX(ExpDep,$L1926)))</f>
        <v/>
      </c>
      <c r="H1926" s="24">
        <f>IF($L1926="","",IF(INDEX(ExpWit,$L1926)=0,"",INDEX(ExpWit,$L1926)))</f>
        <v/>
      </c>
      <c r="I1926" s="25">
        <f>IF($B1926="","",IF($I1925="",0,$I1925)+IF($H1926="",0,$H1926)-IF($G1926="",0,$G1926))</f>
        <v/>
      </c>
      <c r="J1926" s="23">
        <f>IF($L1926="","",IF(INDEX(ExpNote,$L1926)="","—",INDEX(ExpNote,$L1926)))</f>
        <v/>
      </c>
      <c r="L1926">
        <f>IFERROR(MATCH($C$5&amp;"|"&amp;RIGHT("000000"&amp;1910,6),ExpRankKey,0),"")</f>
        <v/>
      </c>
    </row>
    <row r="1927">
      <c r="A1927" s="16" t="n">
        <v>1911</v>
      </c>
      <c r="B1927" s="17">
        <f>IF($L1927="","",INDEX(ExpNorm,$L1927))</f>
        <v/>
      </c>
      <c r="C1927" s="17">
        <f>IF($L1927="","",IF(INDEX(ExpTime,$L1927)="","—",LEFT(INDEX(ExpTime,$L1927),2)&amp;":"&amp;RIGHT(INDEX(ExpTime,$L1927),2)))</f>
        <v/>
      </c>
      <c r="D1927" s="17">
        <f>IF($L1927="","",IF(INDEX(ExpBank,$L1927)="","—",INDEX(ExpBank,$L1927)))</f>
        <v/>
      </c>
      <c r="E1927" s="18">
        <f>IF($L1927="","",IF(INDEX(ExpParty,$L1927)="","—",IFERROR(VLOOKUP(INDEX(ExpParty,$L1927),AcctTbl,4,0),INDEX(ExpParty,$L1927))))</f>
        <v/>
      </c>
      <c r="F1927" s="17">
        <f>IF($L1927="","",IF(INDEX(ExpType,$L1927)="","—",INDEX(ExpType,$L1927)))</f>
        <v/>
      </c>
      <c r="G1927" s="19">
        <f>IF($L1927="","",IF(INDEX(ExpDep,$L1927)=0,"",INDEX(ExpDep,$L1927)))</f>
        <v/>
      </c>
      <c r="H1927" s="19">
        <f>IF($L1927="","",IF(INDEX(ExpWit,$L1927)=0,"",INDEX(ExpWit,$L1927)))</f>
        <v/>
      </c>
      <c r="I1927" s="20">
        <f>IF($B1927="","",IF($I1926="",0,$I1926)+IF($H1927="",0,$H1927)-IF($G1927="",0,$G1927))</f>
        <v/>
      </c>
      <c r="J1927" s="18">
        <f>IF($L1927="","",IF(INDEX(ExpNote,$L1927)="","—",INDEX(ExpNote,$L1927)))</f>
        <v/>
      </c>
      <c r="L1927">
        <f>IFERROR(MATCH($C$5&amp;"|"&amp;RIGHT("000000"&amp;1911,6),ExpRankKey,0),"")</f>
        <v/>
      </c>
    </row>
    <row r="1928">
      <c r="A1928" s="21" t="n">
        <v>1912</v>
      </c>
      <c r="B1928" s="22">
        <f>IF($L1928="","",INDEX(ExpNorm,$L1928))</f>
        <v/>
      </c>
      <c r="C1928" s="22">
        <f>IF($L1928="","",IF(INDEX(ExpTime,$L1928)="","—",LEFT(INDEX(ExpTime,$L1928),2)&amp;":"&amp;RIGHT(INDEX(ExpTime,$L1928),2)))</f>
        <v/>
      </c>
      <c r="D1928" s="22">
        <f>IF($L1928="","",IF(INDEX(ExpBank,$L1928)="","—",INDEX(ExpBank,$L1928)))</f>
        <v/>
      </c>
      <c r="E1928" s="23">
        <f>IF($L1928="","",IF(INDEX(ExpParty,$L1928)="","—",IFERROR(VLOOKUP(INDEX(ExpParty,$L1928),AcctTbl,4,0),INDEX(ExpParty,$L1928))))</f>
        <v/>
      </c>
      <c r="F1928" s="22">
        <f>IF($L1928="","",IF(INDEX(ExpType,$L1928)="","—",INDEX(ExpType,$L1928)))</f>
        <v/>
      </c>
      <c r="G1928" s="24">
        <f>IF($L1928="","",IF(INDEX(ExpDep,$L1928)=0,"",INDEX(ExpDep,$L1928)))</f>
        <v/>
      </c>
      <c r="H1928" s="24">
        <f>IF($L1928="","",IF(INDEX(ExpWit,$L1928)=0,"",INDEX(ExpWit,$L1928)))</f>
        <v/>
      </c>
      <c r="I1928" s="25">
        <f>IF($B1928="","",IF($I1927="",0,$I1927)+IF($H1928="",0,$H1928)-IF($G1928="",0,$G1928))</f>
        <v/>
      </c>
      <c r="J1928" s="23">
        <f>IF($L1928="","",IF(INDEX(ExpNote,$L1928)="","—",INDEX(ExpNote,$L1928)))</f>
        <v/>
      </c>
      <c r="L1928">
        <f>IFERROR(MATCH($C$5&amp;"|"&amp;RIGHT("000000"&amp;1912,6),ExpRankKey,0),"")</f>
        <v/>
      </c>
    </row>
    <row r="1929">
      <c r="A1929" s="16" t="n">
        <v>1913</v>
      </c>
      <c r="B1929" s="17">
        <f>IF($L1929="","",INDEX(ExpNorm,$L1929))</f>
        <v/>
      </c>
      <c r="C1929" s="17">
        <f>IF($L1929="","",IF(INDEX(ExpTime,$L1929)="","—",LEFT(INDEX(ExpTime,$L1929),2)&amp;":"&amp;RIGHT(INDEX(ExpTime,$L1929),2)))</f>
        <v/>
      </c>
      <c r="D1929" s="17">
        <f>IF($L1929="","",IF(INDEX(ExpBank,$L1929)="","—",INDEX(ExpBank,$L1929)))</f>
        <v/>
      </c>
      <c r="E1929" s="18">
        <f>IF($L1929="","",IF(INDEX(ExpParty,$L1929)="","—",IFERROR(VLOOKUP(INDEX(ExpParty,$L1929),AcctTbl,4,0),INDEX(ExpParty,$L1929))))</f>
        <v/>
      </c>
      <c r="F1929" s="17">
        <f>IF($L1929="","",IF(INDEX(ExpType,$L1929)="","—",INDEX(ExpType,$L1929)))</f>
        <v/>
      </c>
      <c r="G1929" s="19">
        <f>IF($L1929="","",IF(INDEX(ExpDep,$L1929)=0,"",INDEX(ExpDep,$L1929)))</f>
        <v/>
      </c>
      <c r="H1929" s="19">
        <f>IF($L1929="","",IF(INDEX(ExpWit,$L1929)=0,"",INDEX(ExpWit,$L1929)))</f>
        <v/>
      </c>
      <c r="I1929" s="20">
        <f>IF($B1929="","",IF($I1928="",0,$I1928)+IF($H1929="",0,$H1929)-IF($G1929="",0,$G1929))</f>
        <v/>
      </c>
      <c r="J1929" s="18">
        <f>IF($L1929="","",IF(INDEX(ExpNote,$L1929)="","—",INDEX(ExpNote,$L1929)))</f>
        <v/>
      </c>
      <c r="L1929">
        <f>IFERROR(MATCH($C$5&amp;"|"&amp;RIGHT("000000"&amp;1913,6),ExpRankKey,0),"")</f>
        <v/>
      </c>
    </row>
    <row r="1930">
      <c r="A1930" s="21" t="n">
        <v>1914</v>
      </c>
      <c r="B1930" s="22">
        <f>IF($L1930="","",INDEX(ExpNorm,$L1930))</f>
        <v/>
      </c>
      <c r="C1930" s="22">
        <f>IF($L1930="","",IF(INDEX(ExpTime,$L1930)="","—",LEFT(INDEX(ExpTime,$L1930),2)&amp;":"&amp;RIGHT(INDEX(ExpTime,$L1930),2)))</f>
        <v/>
      </c>
      <c r="D1930" s="22">
        <f>IF($L1930="","",IF(INDEX(ExpBank,$L1930)="","—",INDEX(ExpBank,$L1930)))</f>
        <v/>
      </c>
      <c r="E1930" s="23">
        <f>IF($L1930="","",IF(INDEX(ExpParty,$L1930)="","—",IFERROR(VLOOKUP(INDEX(ExpParty,$L1930),AcctTbl,4,0),INDEX(ExpParty,$L1930))))</f>
        <v/>
      </c>
      <c r="F1930" s="22">
        <f>IF($L1930="","",IF(INDEX(ExpType,$L1930)="","—",INDEX(ExpType,$L1930)))</f>
        <v/>
      </c>
      <c r="G1930" s="24">
        <f>IF($L1930="","",IF(INDEX(ExpDep,$L1930)=0,"",INDEX(ExpDep,$L1930)))</f>
        <v/>
      </c>
      <c r="H1930" s="24">
        <f>IF($L1930="","",IF(INDEX(ExpWit,$L1930)=0,"",INDEX(ExpWit,$L1930)))</f>
        <v/>
      </c>
      <c r="I1930" s="25">
        <f>IF($B1930="","",IF($I1929="",0,$I1929)+IF($H1930="",0,$H1930)-IF($G1930="",0,$G1930))</f>
        <v/>
      </c>
      <c r="J1930" s="23">
        <f>IF($L1930="","",IF(INDEX(ExpNote,$L1930)="","—",INDEX(ExpNote,$L1930)))</f>
        <v/>
      </c>
      <c r="L1930">
        <f>IFERROR(MATCH($C$5&amp;"|"&amp;RIGHT("000000"&amp;1914,6),ExpRankKey,0),"")</f>
        <v/>
      </c>
    </row>
    <row r="1931">
      <c r="A1931" s="16" t="n">
        <v>1915</v>
      </c>
      <c r="B1931" s="17">
        <f>IF($L1931="","",INDEX(ExpNorm,$L1931))</f>
        <v/>
      </c>
      <c r="C1931" s="17">
        <f>IF($L1931="","",IF(INDEX(ExpTime,$L1931)="","—",LEFT(INDEX(ExpTime,$L1931),2)&amp;":"&amp;RIGHT(INDEX(ExpTime,$L1931),2)))</f>
        <v/>
      </c>
      <c r="D1931" s="17">
        <f>IF($L1931="","",IF(INDEX(ExpBank,$L1931)="","—",INDEX(ExpBank,$L1931)))</f>
        <v/>
      </c>
      <c r="E1931" s="18">
        <f>IF($L1931="","",IF(INDEX(ExpParty,$L1931)="","—",IFERROR(VLOOKUP(INDEX(ExpParty,$L1931),AcctTbl,4,0),INDEX(ExpParty,$L1931))))</f>
        <v/>
      </c>
      <c r="F1931" s="17">
        <f>IF($L1931="","",IF(INDEX(ExpType,$L1931)="","—",INDEX(ExpType,$L1931)))</f>
        <v/>
      </c>
      <c r="G1931" s="19">
        <f>IF($L1931="","",IF(INDEX(ExpDep,$L1931)=0,"",INDEX(ExpDep,$L1931)))</f>
        <v/>
      </c>
      <c r="H1931" s="19">
        <f>IF($L1931="","",IF(INDEX(ExpWit,$L1931)=0,"",INDEX(ExpWit,$L1931)))</f>
        <v/>
      </c>
      <c r="I1931" s="20">
        <f>IF($B1931="","",IF($I1930="",0,$I1930)+IF($H1931="",0,$H1931)-IF($G1931="",0,$G1931))</f>
        <v/>
      </c>
      <c r="J1931" s="18">
        <f>IF($L1931="","",IF(INDEX(ExpNote,$L1931)="","—",INDEX(ExpNote,$L1931)))</f>
        <v/>
      </c>
      <c r="L1931">
        <f>IFERROR(MATCH($C$5&amp;"|"&amp;RIGHT("000000"&amp;1915,6),ExpRankKey,0),"")</f>
        <v/>
      </c>
    </row>
    <row r="1932">
      <c r="A1932" s="21" t="n">
        <v>1916</v>
      </c>
      <c r="B1932" s="22">
        <f>IF($L1932="","",INDEX(ExpNorm,$L1932))</f>
        <v/>
      </c>
      <c r="C1932" s="22">
        <f>IF($L1932="","",IF(INDEX(ExpTime,$L1932)="","—",LEFT(INDEX(ExpTime,$L1932),2)&amp;":"&amp;RIGHT(INDEX(ExpTime,$L1932),2)))</f>
        <v/>
      </c>
      <c r="D1932" s="22">
        <f>IF($L1932="","",IF(INDEX(ExpBank,$L1932)="","—",INDEX(ExpBank,$L1932)))</f>
        <v/>
      </c>
      <c r="E1932" s="23">
        <f>IF($L1932="","",IF(INDEX(ExpParty,$L1932)="","—",IFERROR(VLOOKUP(INDEX(ExpParty,$L1932),AcctTbl,4,0),INDEX(ExpParty,$L1932))))</f>
        <v/>
      </c>
      <c r="F1932" s="22">
        <f>IF($L1932="","",IF(INDEX(ExpType,$L1932)="","—",INDEX(ExpType,$L1932)))</f>
        <v/>
      </c>
      <c r="G1932" s="24">
        <f>IF($L1932="","",IF(INDEX(ExpDep,$L1932)=0,"",INDEX(ExpDep,$L1932)))</f>
        <v/>
      </c>
      <c r="H1932" s="24">
        <f>IF($L1932="","",IF(INDEX(ExpWit,$L1932)=0,"",INDEX(ExpWit,$L1932)))</f>
        <v/>
      </c>
      <c r="I1932" s="25">
        <f>IF($B1932="","",IF($I1931="",0,$I1931)+IF($H1932="",0,$H1932)-IF($G1932="",0,$G1932))</f>
        <v/>
      </c>
      <c r="J1932" s="23">
        <f>IF($L1932="","",IF(INDEX(ExpNote,$L1932)="","—",INDEX(ExpNote,$L1932)))</f>
        <v/>
      </c>
      <c r="L1932">
        <f>IFERROR(MATCH($C$5&amp;"|"&amp;RIGHT("000000"&amp;1916,6),ExpRankKey,0),"")</f>
        <v/>
      </c>
    </row>
    <row r="1933">
      <c r="A1933" s="16" t="n">
        <v>1917</v>
      </c>
      <c r="B1933" s="17">
        <f>IF($L1933="","",INDEX(ExpNorm,$L1933))</f>
        <v/>
      </c>
      <c r="C1933" s="17">
        <f>IF($L1933="","",IF(INDEX(ExpTime,$L1933)="","—",LEFT(INDEX(ExpTime,$L1933),2)&amp;":"&amp;RIGHT(INDEX(ExpTime,$L1933),2)))</f>
        <v/>
      </c>
      <c r="D1933" s="17">
        <f>IF($L1933="","",IF(INDEX(ExpBank,$L1933)="","—",INDEX(ExpBank,$L1933)))</f>
        <v/>
      </c>
      <c r="E1933" s="18">
        <f>IF($L1933="","",IF(INDEX(ExpParty,$L1933)="","—",IFERROR(VLOOKUP(INDEX(ExpParty,$L1933),AcctTbl,4,0),INDEX(ExpParty,$L1933))))</f>
        <v/>
      </c>
      <c r="F1933" s="17">
        <f>IF($L1933="","",IF(INDEX(ExpType,$L1933)="","—",INDEX(ExpType,$L1933)))</f>
        <v/>
      </c>
      <c r="G1933" s="19">
        <f>IF($L1933="","",IF(INDEX(ExpDep,$L1933)=0,"",INDEX(ExpDep,$L1933)))</f>
        <v/>
      </c>
      <c r="H1933" s="19">
        <f>IF($L1933="","",IF(INDEX(ExpWit,$L1933)=0,"",INDEX(ExpWit,$L1933)))</f>
        <v/>
      </c>
      <c r="I1933" s="20">
        <f>IF($B1933="","",IF($I1932="",0,$I1932)+IF($H1933="",0,$H1933)-IF($G1933="",0,$G1933))</f>
        <v/>
      </c>
      <c r="J1933" s="18">
        <f>IF($L1933="","",IF(INDEX(ExpNote,$L1933)="","—",INDEX(ExpNote,$L1933)))</f>
        <v/>
      </c>
      <c r="L1933">
        <f>IFERROR(MATCH($C$5&amp;"|"&amp;RIGHT("000000"&amp;1917,6),ExpRankKey,0),"")</f>
        <v/>
      </c>
    </row>
    <row r="1934">
      <c r="A1934" s="21" t="n">
        <v>1918</v>
      </c>
      <c r="B1934" s="22">
        <f>IF($L1934="","",INDEX(ExpNorm,$L1934))</f>
        <v/>
      </c>
      <c r="C1934" s="22">
        <f>IF($L1934="","",IF(INDEX(ExpTime,$L1934)="","—",LEFT(INDEX(ExpTime,$L1934),2)&amp;":"&amp;RIGHT(INDEX(ExpTime,$L1934),2)))</f>
        <v/>
      </c>
      <c r="D1934" s="22">
        <f>IF($L1934="","",IF(INDEX(ExpBank,$L1934)="","—",INDEX(ExpBank,$L1934)))</f>
        <v/>
      </c>
      <c r="E1934" s="23">
        <f>IF($L1934="","",IF(INDEX(ExpParty,$L1934)="","—",IFERROR(VLOOKUP(INDEX(ExpParty,$L1934),AcctTbl,4,0),INDEX(ExpParty,$L1934))))</f>
        <v/>
      </c>
      <c r="F1934" s="22">
        <f>IF($L1934="","",IF(INDEX(ExpType,$L1934)="","—",INDEX(ExpType,$L1934)))</f>
        <v/>
      </c>
      <c r="G1934" s="24">
        <f>IF($L1934="","",IF(INDEX(ExpDep,$L1934)=0,"",INDEX(ExpDep,$L1934)))</f>
        <v/>
      </c>
      <c r="H1934" s="24">
        <f>IF($L1934="","",IF(INDEX(ExpWit,$L1934)=0,"",INDEX(ExpWit,$L1934)))</f>
        <v/>
      </c>
      <c r="I1934" s="25">
        <f>IF($B1934="","",IF($I1933="",0,$I1933)+IF($H1934="",0,$H1934)-IF($G1934="",0,$G1934))</f>
        <v/>
      </c>
      <c r="J1934" s="23">
        <f>IF($L1934="","",IF(INDEX(ExpNote,$L1934)="","—",INDEX(ExpNote,$L1934)))</f>
        <v/>
      </c>
      <c r="L1934">
        <f>IFERROR(MATCH($C$5&amp;"|"&amp;RIGHT("000000"&amp;1918,6),ExpRankKey,0),"")</f>
        <v/>
      </c>
    </row>
    <row r="1935">
      <c r="A1935" s="16" t="n">
        <v>1919</v>
      </c>
      <c r="B1935" s="17">
        <f>IF($L1935="","",INDEX(ExpNorm,$L1935))</f>
        <v/>
      </c>
      <c r="C1935" s="17">
        <f>IF($L1935="","",IF(INDEX(ExpTime,$L1935)="","—",LEFT(INDEX(ExpTime,$L1935),2)&amp;":"&amp;RIGHT(INDEX(ExpTime,$L1935),2)))</f>
        <v/>
      </c>
      <c r="D1935" s="17">
        <f>IF($L1935="","",IF(INDEX(ExpBank,$L1935)="","—",INDEX(ExpBank,$L1935)))</f>
        <v/>
      </c>
      <c r="E1935" s="18">
        <f>IF($L1935="","",IF(INDEX(ExpParty,$L1935)="","—",IFERROR(VLOOKUP(INDEX(ExpParty,$L1935),AcctTbl,4,0),INDEX(ExpParty,$L1935))))</f>
        <v/>
      </c>
      <c r="F1935" s="17">
        <f>IF($L1935="","",IF(INDEX(ExpType,$L1935)="","—",INDEX(ExpType,$L1935)))</f>
        <v/>
      </c>
      <c r="G1935" s="19">
        <f>IF($L1935="","",IF(INDEX(ExpDep,$L1935)=0,"",INDEX(ExpDep,$L1935)))</f>
        <v/>
      </c>
      <c r="H1935" s="19">
        <f>IF($L1935="","",IF(INDEX(ExpWit,$L1935)=0,"",INDEX(ExpWit,$L1935)))</f>
        <v/>
      </c>
      <c r="I1935" s="20">
        <f>IF($B1935="","",IF($I1934="",0,$I1934)+IF($H1935="",0,$H1935)-IF($G1935="",0,$G1935))</f>
        <v/>
      </c>
      <c r="J1935" s="18">
        <f>IF($L1935="","",IF(INDEX(ExpNote,$L1935)="","—",INDEX(ExpNote,$L1935)))</f>
        <v/>
      </c>
      <c r="L1935">
        <f>IFERROR(MATCH($C$5&amp;"|"&amp;RIGHT("000000"&amp;1919,6),ExpRankKey,0),"")</f>
        <v/>
      </c>
    </row>
    <row r="1936">
      <c r="A1936" s="21" t="n">
        <v>1920</v>
      </c>
      <c r="B1936" s="22">
        <f>IF($L1936="","",INDEX(ExpNorm,$L1936))</f>
        <v/>
      </c>
      <c r="C1936" s="22">
        <f>IF($L1936="","",IF(INDEX(ExpTime,$L1936)="","—",LEFT(INDEX(ExpTime,$L1936),2)&amp;":"&amp;RIGHT(INDEX(ExpTime,$L1936),2)))</f>
        <v/>
      </c>
      <c r="D1936" s="22">
        <f>IF($L1936="","",IF(INDEX(ExpBank,$L1936)="","—",INDEX(ExpBank,$L1936)))</f>
        <v/>
      </c>
      <c r="E1936" s="23">
        <f>IF($L1936="","",IF(INDEX(ExpParty,$L1936)="","—",IFERROR(VLOOKUP(INDEX(ExpParty,$L1936),AcctTbl,4,0),INDEX(ExpParty,$L1936))))</f>
        <v/>
      </c>
      <c r="F1936" s="22">
        <f>IF($L1936="","",IF(INDEX(ExpType,$L1936)="","—",INDEX(ExpType,$L1936)))</f>
        <v/>
      </c>
      <c r="G1936" s="24">
        <f>IF($L1936="","",IF(INDEX(ExpDep,$L1936)=0,"",INDEX(ExpDep,$L1936)))</f>
        <v/>
      </c>
      <c r="H1936" s="24">
        <f>IF($L1936="","",IF(INDEX(ExpWit,$L1936)=0,"",INDEX(ExpWit,$L1936)))</f>
        <v/>
      </c>
      <c r="I1936" s="25">
        <f>IF($B1936="","",IF($I1935="",0,$I1935)+IF($H1936="",0,$H1936)-IF($G1936="",0,$G1936))</f>
        <v/>
      </c>
      <c r="J1936" s="23">
        <f>IF($L1936="","",IF(INDEX(ExpNote,$L1936)="","—",INDEX(ExpNote,$L1936)))</f>
        <v/>
      </c>
      <c r="L1936">
        <f>IFERROR(MATCH($C$5&amp;"|"&amp;RIGHT("000000"&amp;1920,6),ExpRankKey,0),"")</f>
        <v/>
      </c>
    </row>
    <row r="1937">
      <c r="A1937" s="16" t="n">
        <v>1921</v>
      </c>
      <c r="B1937" s="17">
        <f>IF($L1937="","",INDEX(ExpNorm,$L1937))</f>
        <v/>
      </c>
      <c r="C1937" s="17">
        <f>IF($L1937="","",IF(INDEX(ExpTime,$L1937)="","—",LEFT(INDEX(ExpTime,$L1937),2)&amp;":"&amp;RIGHT(INDEX(ExpTime,$L1937),2)))</f>
        <v/>
      </c>
      <c r="D1937" s="17">
        <f>IF($L1937="","",IF(INDEX(ExpBank,$L1937)="","—",INDEX(ExpBank,$L1937)))</f>
        <v/>
      </c>
      <c r="E1937" s="18">
        <f>IF($L1937="","",IF(INDEX(ExpParty,$L1937)="","—",IFERROR(VLOOKUP(INDEX(ExpParty,$L1937),AcctTbl,4,0),INDEX(ExpParty,$L1937))))</f>
        <v/>
      </c>
      <c r="F1937" s="17">
        <f>IF($L1937="","",IF(INDEX(ExpType,$L1937)="","—",INDEX(ExpType,$L1937)))</f>
        <v/>
      </c>
      <c r="G1937" s="19">
        <f>IF($L1937="","",IF(INDEX(ExpDep,$L1937)=0,"",INDEX(ExpDep,$L1937)))</f>
        <v/>
      </c>
      <c r="H1937" s="19">
        <f>IF($L1937="","",IF(INDEX(ExpWit,$L1937)=0,"",INDEX(ExpWit,$L1937)))</f>
        <v/>
      </c>
      <c r="I1937" s="20">
        <f>IF($B1937="","",IF($I1936="",0,$I1936)+IF($H1937="",0,$H1937)-IF($G1937="",0,$G1937))</f>
        <v/>
      </c>
      <c r="J1937" s="18">
        <f>IF($L1937="","",IF(INDEX(ExpNote,$L1937)="","—",INDEX(ExpNote,$L1937)))</f>
        <v/>
      </c>
      <c r="L1937">
        <f>IFERROR(MATCH($C$5&amp;"|"&amp;RIGHT("000000"&amp;1921,6),ExpRankKey,0),"")</f>
        <v/>
      </c>
    </row>
    <row r="1938">
      <c r="A1938" s="21" t="n">
        <v>1922</v>
      </c>
      <c r="B1938" s="22">
        <f>IF($L1938="","",INDEX(ExpNorm,$L1938))</f>
        <v/>
      </c>
      <c r="C1938" s="22">
        <f>IF($L1938="","",IF(INDEX(ExpTime,$L1938)="","—",LEFT(INDEX(ExpTime,$L1938),2)&amp;":"&amp;RIGHT(INDEX(ExpTime,$L1938),2)))</f>
        <v/>
      </c>
      <c r="D1938" s="22">
        <f>IF($L1938="","",IF(INDEX(ExpBank,$L1938)="","—",INDEX(ExpBank,$L1938)))</f>
        <v/>
      </c>
      <c r="E1938" s="23">
        <f>IF($L1938="","",IF(INDEX(ExpParty,$L1938)="","—",IFERROR(VLOOKUP(INDEX(ExpParty,$L1938),AcctTbl,4,0),INDEX(ExpParty,$L1938))))</f>
        <v/>
      </c>
      <c r="F1938" s="22">
        <f>IF($L1938="","",IF(INDEX(ExpType,$L1938)="","—",INDEX(ExpType,$L1938)))</f>
        <v/>
      </c>
      <c r="G1938" s="24">
        <f>IF($L1938="","",IF(INDEX(ExpDep,$L1938)=0,"",INDEX(ExpDep,$L1938)))</f>
        <v/>
      </c>
      <c r="H1938" s="24">
        <f>IF($L1938="","",IF(INDEX(ExpWit,$L1938)=0,"",INDEX(ExpWit,$L1938)))</f>
        <v/>
      </c>
      <c r="I1938" s="25">
        <f>IF($B1938="","",IF($I1937="",0,$I1937)+IF($H1938="",0,$H1938)-IF($G1938="",0,$G1938))</f>
        <v/>
      </c>
      <c r="J1938" s="23">
        <f>IF($L1938="","",IF(INDEX(ExpNote,$L1938)="","—",INDEX(ExpNote,$L1938)))</f>
        <v/>
      </c>
      <c r="L1938">
        <f>IFERROR(MATCH($C$5&amp;"|"&amp;RIGHT("000000"&amp;1922,6),ExpRankKey,0),"")</f>
        <v/>
      </c>
    </row>
    <row r="1939">
      <c r="A1939" s="16" t="n">
        <v>1923</v>
      </c>
      <c r="B1939" s="17">
        <f>IF($L1939="","",INDEX(ExpNorm,$L1939))</f>
        <v/>
      </c>
      <c r="C1939" s="17">
        <f>IF($L1939="","",IF(INDEX(ExpTime,$L1939)="","—",LEFT(INDEX(ExpTime,$L1939),2)&amp;":"&amp;RIGHT(INDEX(ExpTime,$L1939),2)))</f>
        <v/>
      </c>
      <c r="D1939" s="17">
        <f>IF($L1939="","",IF(INDEX(ExpBank,$L1939)="","—",INDEX(ExpBank,$L1939)))</f>
        <v/>
      </c>
      <c r="E1939" s="18">
        <f>IF($L1939="","",IF(INDEX(ExpParty,$L1939)="","—",IFERROR(VLOOKUP(INDEX(ExpParty,$L1939),AcctTbl,4,0),INDEX(ExpParty,$L1939))))</f>
        <v/>
      </c>
      <c r="F1939" s="17">
        <f>IF($L1939="","",IF(INDEX(ExpType,$L1939)="","—",INDEX(ExpType,$L1939)))</f>
        <v/>
      </c>
      <c r="G1939" s="19">
        <f>IF($L1939="","",IF(INDEX(ExpDep,$L1939)=0,"",INDEX(ExpDep,$L1939)))</f>
        <v/>
      </c>
      <c r="H1939" s="19">
        <f>IF($L1939="","",IF(INDEX(ExpWit,$L1939)=0,"",INDEX(ExpWit,$L1939)))</f>
        <v/>
      </c>
      <c r="I1939" s="20">
        <f>IF($B1939="","",IF($I1938="",0,$I1938)+IF($H1939="",0,$H1939)-IF($G1939="",0,$G1939))</f>
        <v/>
      </c>
      <c r="J1939" s="18">
        <f>IF($L1939="","",IF(INDEX(ExpNote,$L1939)="","—",INDEX(ExpNote,$L1939)))</f>
        <v/>
      </c>
      <c r="L1939">
        <f>IFERROR(MATCH($C$5&amp;"|"&amp;RIGHT("000000"&amp;1923,6),ExpRankKey,0),"")</f>
        <v/>
      </c>
    </row>
    <row r="1940">
      <c r="A1940" s="21" t="n">
        <v>1924</v>
      </c>
      <c r="B1940" s="22">
        <f>IF($L1940="","",INDEX(ExpNorm,$L1940))</f>
        <v/>
      </c>
      <c r="C1940" s="22">
        <f>IF($L1940="","",IF(INDEX(ExpTime,$L1940)="","—",LEFT(INDEX(ExpTime,$L1940),2)&amp;":"&amp;RIGHT(INDEX(ExpTime,$L1940),2)))</f>
        <v/>
      </c>
      <c r="D1940" s="22">
        <f>IF($L1940="","",IF(INDEX(ExpBank,$L1940)="","—",INDEX(ExpBank,$L1940)))</f>
        <v/>
      </c>
      <c r="E1940" s="23">
        <f>IF($L1940="","",IF(INDEX(ExpParty,$L1940)="","—",IFERROR(VLOOKUP(INDEX(ExpParty,$L1940),AcctTbl,4,0),INDEX(ExpParty,$L1940))))</f>
        <v/>
      </c>
      <c r="F1940" s="22">
        <f>IF($L1940="","",IF(INDEX(ExpType,$L1940)="","—",INDEX(ExpType,$L1940)))</f>
        <v/>
      </c>
      <c r="G1940" s="24">
        <f>IF($L1940="","",IF(INDEX(ExpDep,$L1940)=0,"",INDEX(ExpDep,$L1940)))</f>
        <v/>
      </c>
      <c r="H1940" s="24">
        <f>IF($L1940="","",IF(INDEX(ExpWit,$L1940)=0,"",INDEX(ExpWit,$L1940)))</f>
        <v/>
      </c>
      <c r="I1940" s="25">
        <f>IF($B1940="","",IF($I1939="",0,$I1939)+IF($H1940="",0,$H1940)-IF($G1940="",0,$G1940))</f>
        <v/>
      </c>
      <c r="J1940" s="23">
        <f>IF($L1940="","",IF(INDEX(ExpNote,$L1940)="","—",INDEX(ExpNote,$L1940)))</f>
        <v/>
      </c>
      <c r="L1940">
        <f>IFERROR(MATCH($C$5&amp;"|"&amp;RIGHT("000000"&amp;1924,6),ExpRankKey,0),"")</f>
        <v/>
      </c>
    </row>
    <row r="1941">
      <c r="A1941" s="16" t="n">
        <v>1925</v>
      </c>
      <c r="B1941" s="17">
        <f>IF($L1941="","",INDEX(ExpNorm,$L1941))</f>
        <v/>
      </c>
      <c r="C1941" s="17">
        <f>IF($L1941="","",IF(INDEX(ExpTime,$L1941)="","—",LEFT(INDEX(ExpTime,$L1941),2)&amp;":"&amp;RIGHT(INDEX(ExpTime,$L1941),2)))</f>
        <v/>
      </c>
      <c r="D1941" s="17">
        <f>IF($L1941="","",IF(INDEX(ExpBank,$L1941)="","—",INDEX(ExpBank,$L1941)))</f>
        <v/>
      </c>
      <c r="E1941" s="18">
        <f>IF($L1941="","",IF(INDEX(ExpParty,$L1941)="","—",IFERROR(VLOOKUP(INDEX(ExpParty,$L1941),AcctTbl,4,0),INDEX(ExpParty,$L1941))))</f>
        <v/>
      </c>
      <c r="F1941" s="17">
        <f>IF($L1941="","",IF(INDEX(ExpType,$L1941)="","—",INDEX(ExpType,$L1941)))</f>
        <v/>
      </c>
      <c r="G1941" s="19">
        <f>IF($L1941="","",IF(INDEX(ExpDep,$L1941)=0,"",INDEX(ExpDep,$L1941)))</f>
        <v/>
      </c>
      <c r="H1941" s="19">
        <f>IF($L1941="","",IF(INDEX(ExpWit,$L1941)=0,"",INDEX(ExpWit,$L1941)))</f>
        <v/>
      </c>
      <c r="I1941" s="20">
        <f>IF($B1941="","",IF($I1940="",0,$I1940)+IF($H1941="",0,$H1941)-IF($G1941="",0,$G1941))</f>
        <v/>
      </c>
      <c r="J1941" s="18">
        <f>IF($L1941="","",IF(INDEX(ExpNote,$L1941)="","—",INDEX(ExpNote,$L1941)))</f>
        <v/>
      </c>
      <c r="L1941">
        <f>IFERROR(MATCH($C$5&amp;"|"&amp;RIGHT("000000"&amp;1925,6),ExpRankKey,0),"")</f>
        <v/>
      </c>
    </row>
    <row r="1942">
      <c r="A1942" s="21" t="n">
        <v>1926</v>
      </c>
      <c r="B1942" s="22">
        <f>IF($L1942="","",INDEX(ExpNorm,$L1942))</f>
        <v/>
      </c>
      <c r="C1942" s="22">
        <f>IF($L1942="","",IF(INDEX(ExpTime,$L1942)="","—",LEFT(INDEX(ExpTime,$L1942),2)&amp;":"&amp;RIGHT(INDEX(ExpTime,$L1942),2)))</f>
        <v/>
      </c>
      <c r="D1942" s="22">
        <f>IF($L1942="","",IF(INDEX(ExpBank,$L1942)="","—",INDEX(ExpBank,$L1942)))</f>
        <v/>
      </c>
      <c r="E1942" s="23">
        <f>IF($L1942="","",IF(INDEX(ExpParty,$L1942)="","—",IFERROR(VLOOKUP(INDEX(ExpParty,$L1942),AcctTbl,4,0),INDEX(ExpParty,$L1942))))</f>
        <v/>
      </c>
      <c r="F1942" s="22">
        <f>IF($L1942="","",IF(INDEX(ExpType,$L1942)="","—",INDEX(ExpType,$L1942)))</f>
        <v/>
      </c>
      <c r="G1942" s="24">
        <f>IF($L1942="","",IF(INDEX(ExpDep,$L1942)=0,"",INDEX(ExpDep,$L1942)))</f>
        <v/>
      </c>
      <c r="H1942" s="24">
        <f>IF($L1942="","",IF(INDEX(ExpWit,$L1942)=0,"",INDEX(ExpWit,$L1942)))</f>
        <v/>
      </c>
      <c r="I1942" s="25">
        <f>IF($B1942="","",IF($I1941="",0,$I1941)+IF($H1942="",0,$H1942)-IF($G1942="",0,$G1942))</f>
        <v/>
      </c>
      <c r="J1942" s="23">
        <f>IF($L1942="","",IF(INDEX(ExpNote,$L1942)="","—",INDEX(ExpNote,$L1942)))</f>
        <v/>
      </c>
      <c r="L1942">
        <f>IFERROR(MATCH($C$5&amp;"|"&amp;RIGHT("000000"&amp;1926,6),ExpRankKey,0),"")</f>
        <v/>
      </c>
    </row>
    <row r="1943">
      <c r="A1943" s="16" t="n">
        <v>1927</v>
      </c>
      <c r="B1943" s="17">
        <f>IF($L1943="","",INDEX(ExpNorm,$L1943))</f>
        <v/>
      </c>
      <c r="C1943" s="17">
        <f>IF($L1943="","",IF(INDEX(ExpTime,$L1943)="","—",LEFT(INDEX(ExpTime,$L1943),2)&amp;":"&amp;RIGHT(INDEX(ExpTime,$L1943),2)))</f>
        <v/>
      </c>
      <c r="D1943" s="17">
        <f>IF($L1943="","",IF(INDEX(ExpBank,$L1943)="","—",INDEX(ExpBank,$L1943)))</f>
        <v/>
      </c>
      <c r="E1943" s="18">
        <f>IF($L1943="","",IF(INDEX(ExpParty,$L1943)="","—",IFERROR(VLOOKUP(INDEX(ExpParty,$L1943),AcctTbl,4,0),INDEX(ExpParty,$L1943))))</f>
        <v/>
      </c>
      <c r="F1943" s="17">
        <f>IF($L1943="","",IF(INDEX(ExpType,$L1943)="","—",INDEX(ExpType,$L1943)))</f>
        <v/>
      </c>
      <c r="G1943" s="19">
        <f>IF($L1943="","",IF(INDEX(ExpDep,$L1943)=0,"",INDEX(ExpDep,$L1943)))</f>
        <v/>
      </c>
      <c r="H1943" s="19">
        <f>IF($L1943="","",IF(INDEX(ExpWit,$L1943)=0,"",INDEX(ExpWit,$L1943)))</f>
        <v/>
      </c>
      <c r="I1943" s="20">
        <f>IF($B1943="","",IF($I1942="",0,$I1942)+IF($H1943="",0,$H1943)-IF($G1943="",0,$G1943))</f>
        <v/>
      </c>
      <c r="J1943" s="18">
        <f>IF($L1943="","",IF(INDEX(ExpNote,$L1943)="","—",INDEX(ExpNote,$L1943)))</f>
        <v/>
      </c>
      <c r="L1943">
        <f>IFERROR(MATCH($C$5&amp;"|"&amp;RIGHT("000000"&amp;1927,6),ExpRankKey,0),"")</f>
        <v/>
      </c>
    </row>
    <row r="1944">
      <c r="A1944" s="21" t="n">
        <v>1928</v>
      </c>
      <c r="B1944" s="22">
        <f>IF($L1944="","",INDEX(ExpNorm,$L1944))</f>
        <v/>
      </c>
      <c r="C1944" s="22">
        <f>IF($L1944="","",IF(INDEX(ExpTime,$L1944)="","—",LEFT(INDEX(ExpTime,$L1944),2)&amp;":"&amp;RIGHT(INDEX(ExpTime,$L1944),2)))</f>
        <v/>
      </c>
      <c r="D1944" s="22">
        <f>IF($L1944="","",IF(INDEX(ExpBank,$L1944)="","—",INDEX(ExpBank,$L1944)))</f>
        <v/>
      </c>
      <c r="E1944" s="23">
        <f>IF($L1944="","",IF(INDEX(ExpParty,$L1944)="","—",IFERROR(VLOOKUP(INDEX(ExpParty,$L1944),AcctTbl,4,0),INDEX(ExpParty,$L1944))))</f>
        <v/>
      </c>
      <c r="F1944" s="22">
        <f>IF($L1944="","",IF(INDEX(ExpType,$L1944)="","—",INDEX(ExpType,$L1944)))</f>
        <v/>
      </c>
      <c r="G1944" s="24">
        <f>IF($L1944="","",IF(INDEX(ExpDep,$L1944)=0,"",INDEX(ExpDep,$L1944)))</f>
        <v/>
      </c>
      <c r="H1944" s="24">
        <f>IF($L1944="","",IF(INDEX(ExpWit,$L1944)=0,"",INDEX(ExpWit,$L1944)))</f>
        <v/>
      </c>
      <c r="I1944" s="25">
        <f>IF($B1944="","",IF($I1943="",0,$I1943)+IF($H1944="",0,$H1944)-IF($G1944="",0,$G1944))</f>
        <v/>
      </c>
      <c r="J1944" s="23">
        <f>IF($L1944="","",IF(INDEX(ExpNote,$L1944)="","—",INDEX(ExpNote,$L1944)))</f>
        <v/>
      </c>
      <c r="L1944">
        <f>IFERROR(MATCH($C$5&amp;"|"&amp;RIGHT("000000"&amp;1928,6),ExpRankKey,0),"")</f>
        <v/>
      </c>
    </row>
    <row r="1945">
      <c r="A1945" s="16" t="n">
        <v>1929</v>
      </c>
      <c r="B1945" s="17">
        <f>IF($L1945="","",INDEX(ExpNorm,$L1945))</f>
        <v/>
      </c>
      <c r="C1945" s="17">
        <f>IF($L1945="","",IF(INDEX(ExpTime,$L1945)="","—",LEFT(INDEX(ExpTime,$L1945),2)&amp;":"&amp;RIGHT(INDEX(ExpTime,$L1945),2)))</f>
        <v/>
      </c>
      <c r="D1945" s="17">
        <f>IF($L1945="","",IF(INDEX(ExpBank,$L1945)="","—",INDEX(ExpBank,$L1945)))</f>
        <v/>
      </c>
      <c r="E1945" s="18">
        <f>IF($L1945="","",IF(INDEX(ExpParty,$L1945)="","—",IFERROR(VLOOKUP(INDEX(ExpParty,$L1945),AcctTbl,4,0),INDEX(ExpParty,$L1945))))</f>
        <v/>
      </c>
      <c r="F1945" s="17">
        <f>IF($L1945="","",IF(INDEX(ExpType,$L1945)="","—",INDEX(ExpType,$L1945)))</f>
        <v/>
      </c>
      <c r="G1945" s="19">
        <f>IF($L1945="","",IF(INDEX(ExpDep,$L1945)=0,"",INDEX(ExpDep,$L1945)))</f>
        <v/>
      </c>
      <c r="H1945" s="19">
        <f>IF($L1945="","",IF(INDEX(ExpWit,$L1945)=0,"",INDEX(ExpWit,$L1945)))</f>
        <v/>
      </c>
      <c r="I1945" s="20">
        <f>IF($B1945="","",IF($I1944="",0,$I1944)+IF($H1945="",0,$H1945)-IF($G1945="",0,$G1945))</f>
        <v/>
      </c>
      <c r="J1945" s="18">
        <f>IF($L1945="","",IF(INDEX(ExpNote,$L1945)="","—",INDEX(ExpNote,$L1945)))</f>
        <v/>
      </c>
      <c r="L1945">
        <f>IFERROR(MATCH($C$5&amp;"|"&amp;RIGHT("000000"&amp;1929,6),ExpRankKey,0),"")</f>
        <v/>
      </c>
    </row>
    <row r="1946">
      <c r="A1946" s="21" t="n">
        <v>1930</v>
      </c>
      <c r="B1946" s="22">
        <f>IF($L1946="","",INDEX(ExpNorm,$L1946))</f>
        <v/>
      </c>
      <c r="C1946" s="22">
        <f>IF($L1946="","",IF(INDEX(ExpTime,$L1946)="","—",LEFT(INDEX(ExpTime,$L1946),2)&amp;":"&amp;RIGHT(INDEX(ExpTime,$L1946),2)))</f>
        <v/>
      </c>
      <c r="D1946" s="22">
        <f>IF($L1946="","",IF(INDEX(ExpBank,$L1946)="","—",INDEX(ExpBank,$L1946)))</f>
        <v/>
      </c>
      <c r="E1946" s="23">
        <f>IF($L1946="","",IF(INDEX(ExpParty,$L1946)="","—",IFERROR(VLOOKUP(INDEX(ExpParty,$L1946),AcctTbl,4,0),INDEX(ExpParty,$L1946))))</f>
        <v/>
      </c>
      <c r="F1946" s="22">
        <f>IF($L1946="","",IF(INDEX(ExpType,$L1946)="","—",INDEX(ExpType,$L1946)))</f>
        <v/>
      </c>
      <c r="G1946" s="24">
        <f>IF($L1946="","",IF(INDEX(ExpDep,$L1946)=0,"",INDEX(ExpDep,$L1946)))</f>
        <v/>
      </c>
      <c r="H1946" s="24">
        <f>IF($L1946="","",IF(INDEX(ExpWit,$L1946)=0,"",INDEX(ExpWit,$L1946)))</f>
        <v/>
      </c>
      <c r="I1946" s="25">
        <f>IF($B1946="","",IF($I1945="",0,$I1945)+IF($H1946="",0,$H1946)-IF($G1946="",0,$G1946))</f>
        <v/>
      </c>
      <c r="J1946" s="23">
        <f>IF($L1946="","",IF(INDEX(ExpNote,$L1946)="","—",INDEX(ExpNote,$L1946)))</f>
        <v/>
      </c>
      <c r="L1946">
        <f>IFERROR(MATCH($C$5&amp;"|"&amp;RIGHT("000000"&amp;1930,6),ExpRankKey,0),"")</f>
        <v/>
      </c>
    </row>
    <row r="1947">
      <c r="A1947" s="16" t="n">
        <v>1931</v>
      </c>
      <c r="B1947" s="17">
        <f>IF($L1947="","",INDEX(ExpNorm,$L1947))</f>
        <v/>
      </c>
      <c r="C1947" s="17">
        <f>IF($L1947="","",IF(INDEX(ExpTime,$L1947)="","—",LEFT(INDEX(ExpTime,$L1947),2)&amp;":"&amp;RIGHT(INDEX(ExpTime,$L1947),2)))</f>
        <v/>
      </c>
      <c r="D1947" s="17">
        <f>IF($L1947="","",IF(INDEX(ExpBank,$L1947)="","—",INDEX(ExpBank,$L1947)))</f>
        <v/>
      </c>
      <c r="E1947" s="18">
        <f>IF($L1947="","",IF(INDEX(ExpParty,$L1947)="","—",IFERROR(VLOOKUP(INDEX(ExpParty,$L1947),AcctTbl,4,0),INDEX(ExpParty,$L1947))))</f>
        <v/>
      </c>
      <c r="F1947" s="17">
        <f>IF($L1947="","",IF(INDEX(ExpType,$L1947)="","—",INDEX(ExpType,$L1947)))</f>
        <v/>
      </c>
      <c r="G1947" s="19">
        <f>IF($L1947="","",IF(INDEX(ExpDep,$L1947)=0,"",INDEX(ExpDep,$L1947)))</f>
        <v/>
      </c>
      <c r="H1947" s="19">
        <f>IF($L1947="","",IF(INDEX(ExpWit,$L1947)=0,"",INDEX(ExpWit,$L1947)))</f>
        <v/>
      </c>
      <c r="I1947" s="20">
        <f>IF($B1947="","",IF($I1946="",0,$I1946)+IF($H1947="",0,$H1947)-IF($G1947="",0,$G1947))</f>
        <v/>
      </c>
      <c r="J1947" s="18">
        <f>IF($L1947="","",IF(INDEX(ExpNote,$L1947)="","—",INDEX(ExpNote,$L1947)))</f>
        <v/>
      </c>
      <c r="L1947">
        <f>IFERROR(MATCH($C$5&amp;"|"&amp;RIGHT("000000"&amp;1931,6),ExpRankKey,0),"")</f>
        <v/>
      </c>
    </row>
    <row r="1948">
      <c r="A1948" s="21" t="n">
        <v>1932</v>
      </c>
      <c r="B1948" s="22">
        <f>IF($L1948="","",INDEX(ExpNorm,$L1948))</f>
        <v/>
      </c>
      <c r="C1948" s="22">
        <f>IF($L1948="","",IF(INDEX(ExpTime,$L1948)="","—",LEFT(INDEX(ExpTime,$L1948),2)&amp;":"&amp;RIGHT(INDEX(ExpTime,$L1948),2)))</f>
        <v/>
      </c>
      <c r="D1948" s="22">
        <f>IF($L1948="","",IF(INDEX(ExpBank,$L1948)="","—",INDEX(ExpBank,$L1948)))</f>
        <v/>
      </c>
      <c r="E1948" s="23">
        <f>IF($L1948="","",IF(INDEX(ExpParty,$L1948)="","—",IFERROR(VLOOKUP(INDEX(ExpParty,$L1948),AcctTbl,4,0),INDEX(ExpParty,$L1948))))</f>
        <v/>
      </c>
      <c r="F1948" s="22">
        <f>IF($L1948="","",IF(INDEX(ExpType,$L1948)="","—",INDEX(ExpType,$L1948)))</f>
        <v/>
      </c>
      <c r="G1948" s="24">
        <f>IF($L1948="","",IF(INDEX(ExpDep,$L1948)=0,"",INDEX(ExpDep,$L1948)))</f>
        <v/>
      </c>
      <c r="H1948" s="24">
        <f>IF($L1948="","",IF(INDEX(ExpWit,$L1948)=0,"",INDEX(ExpWit,$L1948)))</f>
        <v/>
      </c>
      <c r="I1948" s="25">
        <f>IF($B1948="","",IF($I1947="",0,$I1947)+IF($H1948="",0,$H1948)-IF($G1948="",0,$G1948))</f>
        <v/>
      </c>
      <c r="J1948" s="23">
        <f>IF($L1948="","",IF(INDEX(ExpNote,$L1948)="","—",INDEX(ExpNote,$L1948)))</f>
        <v/>
      </c>
      <c r="L1948">
        <f>IFERROR(MATCH($C$5&amp;"|"&amp;RIGHT("000000"&amp;1932,6),ExpRankKey,0),"")</f>
        <v/>
      </c>
    </row>
    <row r="1949">
      <c r="A1949" s="16" t="n">
        <v>1933</v>
      </c>
      <c r="B1949" s="17">
        <f>IF($L1949="","",INDEX(ExpNorm,$L1949))</f>
        <v/>
      </c>
      <c r="C1949" s="17">
        <f>IF($L1949="","",IF(INDEX(ExpTime,$L1949)="","—",LEFT(INDEX(ExpTime,$L1949),2)&amp;":"&amp;RIGHT(INDEX(ExpTime,$L1949),2)))</f>
        <v/>
      </c>
      <c r="D1949" s="17">
        <f>IF($L1949="","",IF(INDEX(ExpBank,$L1949)="","—",INDEX(ExpBank,$L1949)))</f>
        <v/>
      </c>
      <c r="E1949" s="18">
        <f>IF($L1949="","",IF(INDEX(ExpParty,$L1949)="","—",IFERROR(VLOOKUP(INDEX(ExpParty,$L1949),AcctTbl,4,0),INDEX(ExpParty,$L1949))))</f>
        <v/>
      </c>
      <c r="F1949" s="17">
        <f>IF($L1949="","",IF(INDEX(ExpType,$L1949)="","—",INDEX(ExpType,$L1949)))</f>
        <v/>
      </c>
      <c r="G1949" s="19">
        <f>IF($L1949="","",IF(INDEX(ExpDep,$L1949)=0,"",INDEX(ExpDep,$L1949)))</f>
        <v/>
      </c>
      <c r="H1949" s="19">
        <f>IF($L1949="","",IF(INDEX(ExpWit,$L1949)=0,"",INDEX(ExpWit,$L1949)))</f>
        <v/>
      </c>
      <c r="I1949" s="20">
        <f>IF($B1949="","",IF($I1948="",0,$I1948)+IF($H1949="",0,$H1949)-IF($G1949="",0,$G1949))</f>
        <v/>
      </c>
      <c r="J1949" s="18">
        <f>IF($L1949="","",IF(INDEX(ExpNote,$L1949)="","—",INDEX(ExpNote,$L1949)))</f>
        <v/>
      </c>
      <c r="L1949">
        <f>IFERROR(MATCH($C$5&amp;"|"&amp;RIGHT("000000"&amp;1933,6),ExpRankKey,0),"")</f>
        <v/>
      </c>
    </row>
    <row r="1950">
      <c r="A1950" s="21" t="n">
        <v>1934</v>
      </c>
      <c r="B1950" s="22">
        <f>IF($L1950="","",INDEX(ExpNorm,$L1950))</f>
        <v/>
      </c>
      <c r="C1950" s="22">
        <f>IF($L1950="","",IF(INDEX(ExpTime,$L1950)="","—",LEFT(INDEX(ExpTime,$L1950),2)&amp;":"&amp;RIGHT(INDEX(ExpTime,$L1950),2)))</f>
        <v/>
      </c>
      <c r="D1950" s="22">
        <f>IF($L1950="","",IF(INDEX(ExpBank,$L1950)="","—",INDEX(ExpBank,$L1950)))</f>
        <v/>
      </c>
      <c r="E1950" s="23">
        <f>IF($L1950="","",IF(INDEX(ExpParty,$L1950)="","—",IFERROR(VLOOKUP(INDEX(ExpParty,$L1950),AcctTbl,4,0),INDEX(ExpParty,$L1950))))</f>
        <v/>
      </c>
      <c r="F1950" s="22">
        <f>IF($L1950="","",IF(INDEX(ExpType,$L1950)="","—",INDEX(ExpType,$L1950)))</f>
        <v/>
      </c>
      <c r="G1950" s="24">
        <f>IF($L1950="","",IF(INDEX(ExpDep,$L1950)=0,"",INDEX(ExpDep,$L1950)))</f>
        <v/>
      </c>
      <c r="H1950" s="24">
        <f>IF($L1950="","",IF(INDEX(ExpWit,$L1950)=0,"",INDEX(ExpWit,$L1950)))</f>
        <v/>
      </c>
      <c r="I1950" s="25">
        <f>IF($B1950="","",IF($I1949="",0,$I1949)+IF($H1950="",0,$H1950)-IF($G1950="",0,$G1950))</f>
        <v/>
      </c>
      <c r="J1950" s="23">
        <f>IF($L1950="","",IF(INDEX(ExpNote,$L1950)="","—",INDEX(ExpNote,$L1950)))</f>
        <v/>
      </c>
      <c r="L1950">
        <f>IFERROR(MATCH($C$5&amp;"|"&amp;RIGHT("000000"&amp;1934,6),ExpRankKey,0),"")</f>
        <v/>
      </c>
    </row>
    <row r="1951">
      <c r="A1951" s="16" t="n">
        <v>1935</v>
      </c>
      <c r="B1951" s="17">
        <f>IF($L1951="","",INDEX(ExpNorm,$L1951))</f>
        <v/>
      </c>
      <c r="C1951" s="17">
        <f>IF($L1951="","",IF(INDEX(ExpTime,$L1951)="","—",LEFT(INDEX(ExpTime,$L1951),2)&amp;":"&amp;RIGHT(INDEX(ExpTime,$L1951),2)))</f>
        <v/>
      </c>
      <c r="D1951" s="17">
        <f>IF($L1951="","",IF(INDEX(ExpBank,$L1951)="","—",INDEX(ExpBank,$L1951)))</f>
        <v/>
      </c>
      <c r="E1951" s="18">
        <f>IF($L1951="","",IF(INDEX(ExpParty,$L1951)="","—",IFERROR(VLOOKUP(INDEX(ExpParty,$L1951),AcctTbl,4,0),INDEX(ExpParty,$L1951))))</f>
        <v/>
      </c>
      <c r="F1951" s="17">
        <f>IF($L1951="","",IF(INDEX(ExpType,$L1951)="","—",INDEX(ExpType,$L1951)))</f>
        <v/>
      </c>
      <c r="G1951" s="19">
        <f>IF($L1951="","",IF(INDEX(ExpDep,$L1951)=0,"",INDEX(ExpDep,$L1951)))</f>
        <v/>
      </c>
      <c r="H1951" s="19">
        <f>IF($L1951="","",IF(INDEX(ExpWit,$L1951)=0,"",INDEX(ExpWit,$L1951)))</f>
        <v/>
      </c>
      <c r="I1951" s="20">
        <f>IF($B1951="","",IF($I1950="",0,$I1950)+IF($H1951="",0,$H1951)-IF($G1951="",0,$G1951))</f>
        <v/>
      </c>
      <c r="J1951" s="18">
        <f>IF($L1951="","",IF(INDEX(ExpNote,$L1951)="","—",INDEX(ExpNote,$L1951)))</f>
        <v/>
      </c>
      <c r="L1951">
        <f>IFERROR(MATCH($C$5&amp;"|"&amp;RIGHT("000000"&amp;1935,6),ExpRankKey,0),"")</f>
        <v/>
      </c>
    </row>
    <row r="1952">
      <c r="A1952" s="21" t="n">
        <v>1936</v>
      </c>
      <c r="B1952" s="22">
        <f>IF($L1952="","",INDEX(ExpNorm,$L1952))</f>
        <v/>
      </c>
      <c r="C1952" s="22">
        <f>IF($L1952="","",IF(INDEX(ExpTime,$L1952)="","—",LEFT(INDEX(ExpTime,$L1952),2)&amp;":"&amp;RIGHT(INDEX(ExpTime,$L1952),2)))</f>
        <v/>
      </c>
      <c r="D1952" s="22">
        <f>IF($L1952="","",IF(INDEX(ExpBank,$L1952)="","—",INDEX(ExpBank,$L1952)))</f>
        <v/>
      </c>
      <c r="E1952" s="23">
        <f>IF($L1952="","",IF(INDEX(ExpParty,$L1952)="","—",IFERROR(VLOOKUP(INDEX(ExpParty,$L1952),AcctTbl,4,0),INDEX(ExpParty,$L1952))))</f>
        <v/>
      </c>
      <c r="F1952" s="22">
        <f>IF($L1952="","",IF(INDEX(ExpType,$L1952)="","—",INDEX(ExpType,$L1952)))</f>
        <v/>
      </c>
      <c r="G1952" s="24">
        <f>IF($L1952="","",IF(INDEX(ExpDep,$L1952)=0,"",INDEX(ExpDep,$L1952)))</f>
        <v/>
      </c>
      <c r="H1952" s="24">
        <f>IF($L1952="","",IF(INDEX(ExpWit,$L1952)=0,"",INDEX(ExpWit,$L1952)))</f>
        <v/>
      </c>
      <c r="I1952" s="25">
        <f>IF($B1952="","",IF($I1951="",0,$I1951)+IF($H1952="",0,$H1952)-IF($G1952="",0,$G1952))</f>
        <v/>
      </c>
      <c r="J1952" s="23">
        <f>IF($L1952="","",IF(INDEX(ExpNote,$L1952)="","—",INDEX(ExpNote,$L1952)))</f>
        <v/>
      </c>
      <c r="L1952">
        <f>IFERROR(MATCH($C$5&amp;"|"&amp;RIGHT("000000"&amp;1936,6),ExpRankKey,0),"")</f>
        <v/>
      </c>
    </row>
    <row r="1953">
      <c r="A1953" s="16" t="n">
        <v>1937</v>
      </c>
      <c r="B1953" s="17">
        <f>IF($L1953="","",INDEX(ExpNorm,$L1953))</f>
        <v/>
      </c>
      <c r="C1953" s="17">
        <f>IF($L1953="","",IF(INDEX(ExpTime,$L1953)="","—",LEFT(INDEX(ExpTime,$L1953),2)&amp;":"&amp;RIGHT(INDEX(ExpTime,$L1953),2)))</f>
        <v/>
      </c>
      <c r="D1953" s="17">
        <f>IF($L1953="","",IF(INDEX(ExpBank,$L1953)="","—",INDEX(ExpBank,$L1953)))</f>
        <v/>
      </c>
      <c r="E1953" s="18">
        <f>IF($L1953="","",IF(INDEX(ExpParty,$L1953)="","—",IFERROR(VLOOKUP(INDEX(ExpParty,$L1953),AcctTbl,4,0),INDEX(ExpParty,$L1953))))</f>
        <v/>
      </c>
      <c r="F1953" s="17">
        <f>IF($L1953="","",IF(INDEX(ExpType,$L1953)="","—",INDEX(ExpType,$L1953)))</f>
        <v/>
      </c>
      <c r="G1953" s="19">
        <f>IF($L1953="","",IF(INDEX(ExpDep,$L1953)=0,"",INDEX(ExpDep,$L1953)))</f>
        <v/>
      </c>
      <c r="H1953" s="19">
        <f>IF($L1953="","",IF(INDEX(ExpWit,$L1953)=0,"",INDEX(ExpWit,$L1953)))</f>
        <v/>
      </c>
      <c r="I1953" s="20">
        <f>IF($B1953="","",IF($I1952="",0,$I1952)+IF($H1953="",0,$H1953)-IF($G1953="",0,$G1953))</f>
        <v/>
      </c>
      <c r="J1953" s="18">
        <f>IF($L1953="","",IF(INDEX(ExpNote,$L1953)="","—",INDEX(ExpNote,$L1953)))</f>
        <v/>
      </c>
      <c r="L1953">
        <f>IFERROR(MATCH($C$5&amp;"|"&amp;RIGHT("000000"&amp;1937,6),ExpRankKey,0),"")</f>
        <v/>
      </c>
    </row>
    <row r="1954">
      <c r="A1954" s="21" t="n">
        <v>1938</v>
      </c>
      <c r="B1954" s="22">
        <f>IF($L1954="","",INDEX(ExpNorm,$L1954))</f>
        <v/>
      </c>
      <c r="C1954" s="22">
        <f>IF($L1954="","",IF(INDEX(ExpTime,$L1954)="","—",LEFT(INDEX(ExpTime,$L1954),2)&amp;":"&amp;RIGHT(INDEX(ExpTime,$L1954),2)))</f>
        <v/>
      </c>
      <c r="D1954" s="22">
        <f>IF($L1954="","",IF(INDEX(ExpBank,$L1954)="","—",INDEX(ExpBank,$L1954)))</f>
        <v/>
      </c>
      <c r="E1954" s="23">
        <f>IF($L1954="","",IF(INDEX(ExpParty,$L1954)="","—",IFERROR(VLOOKUP(INDEX(ExpParty,$L1954),AcctTbl,4,0),INDEX(ExpParty,$L1954))))</f>
        <v/>
      </c>
      <c r="F1954" s="22">
        <f>IF($L1954="","",IF(INDEX(ExpType,$L1954)="","—",INDEX(ExpType,$L1954)))</f>
        <v/>
      </c>
      <c r="G1954" s="24">
        <f>IF($L1954="","",IF(INDEX(ExpDep,$L1954)=0,"",INDEX(ExpDep,$L1954)))</f>
        <v/>
      </c>
      <c r="H1954" s="24">
        <f>IF($L1954="","",IF(INDEX(ExpWit,$L1954)=0,"",INDEX(ExpWit,$L1954)))</f>
        <v/>
      </c>
      <c r="I1954" s="25">
        <f>IF($B1954="","",IF($I1953="",0,$I1953)+IF($H1954="",0,$H1954)-IF($G1954="",0,$G1954))</f>
        <v/>
      </c>
      <c r="J1954" s="23">
        <f>IF($L1954="","",IF(INDEX(ExpNote,$L1954)="","—",INDEX(ExpNote,$L1954)))</f>
        <v/>
      </c>
      <c r="L1954">
        <f>IFERROR(MATCH($C$5&amp;"|"&amp;RIGHT("000000"&amp;1938,6),ExpRankKey,0),"")</f>
        <v/>
      </c>
    </row>
    <row r="1955">
      <c r="A1955" s="16" t="n">
        <v>1939</v>
      </c>
      <c r="B1955" s="17">
        <f>IF($L1955="","",INDEX(ExpNorm,$L1955))</f>
        <v/>
      </c>
      <c r="C1955" s="17">
        <f>IF($L1955="","",IF(INDEX(ExpTime,$L1955)="","—",LEFT(INDEX(ExpTime,$L1955),2)&amp;":"&amp;RIGHT(INDEX(ExpTime,$L1955),2)))</f>
        <v/>
      </c>
      <c r="D1955" s="17">
        <f>IF($L1955="","",IF(INDEX(ExpBank,$L1955)="","—",INDEX(ExpBank,$L1955)))</f>
        <v/>
      </c>
      <c r="E1955" s="18">
        <f>IF($L1955="","",IF(INDEX(ExpParty,$L1955)="","—",IFERROR(VLOOKUP(INDEX(ExpParty,$L1955),AcctTbl,4,0),INDEX(ExpParty,$L1955))))</f>
        <v/>
      </c>
      <c r="F1955" s="17">
        <f>IF($L1955="","",IF(INDEX(ExpType,$L1955)="","—",INDEX(ExpType,$L1955)))</f>
        <v/>
      </c>
      <c r="G1955" s="19">
        <f>IF($L1955="","",IF(INDEX(ExpDep,$L1955)=0,"",INDEX(ExpDep,$L1955)))</f>
        <v/>
      </c>
      <c r="H1955" s="19">
        <f>IF($L1955="","",IF(INDEX(ExpWit,$L1955)=0,"",INDEX(ExpWit,$L1955)))</f>
        <v/>
      </c>
      <c r="I1955" s="20">
        <f>IF($B1955="","",IF($I1954="",0,$I1954)+IF($H1955="",0,$H1955)-IF($G1955="",0,$G1955))</f>
        <v/>
      </c>
      <c r="J1955" s="18">
        <f>IF($L1955="","",IF(INDEX(ExpNote,$L1955)="","—",INDEX(ExpNote,$L1955)))</f>
        <v/>
      </c>
      <c r="L1955">
        <f>IFERROR(MATCH($C$5&amp;"|"&amp;RIGHT("000000"&amp;1939,6),ExpRankKey,0),"")</f>
        <v/>
      </c>
    </row>
    <row r="1956">
      <c r="A1956" s="21" t="n">
        <v>1940</v>
      </c>
      <c r="B1956" s="22">
        <f>IF($L1956="","",INDEX(ExpNorm,$L1956))</f>
        <v/>
      </c>
      <c r="C1956" s="22">
        <f>IF($L1956="","",IF(INDEX(ExpTime,$L1956)="","—",LEFT(INDEX(ExpTime,$L1956),2)&amp;":"&amp;RIGHT(INDEX(ExpTime,$L1956),2)))</f>
        <v/>
      </c>
      <c r="D1956" s="22">
        <f>IF($L1956="","",IF(INDEX(ExpBank,$L1956)="","—",INDEX(ExpBank,$L1956)))</f>
        <v/>
      </c>
      <c r="E1956" s="23">
        <f>IF($L1956="","",IF(INDEX(ExpParty,$L1956)="","—",IFERROR(VLOOKUP(INDEX(ExpParty,$L1956),AcctTbl,4,0),INDEX(ExpParty,$L1956))))</f>
        <v/>
      </c>
      <c r="F1956" s="22">
        <f>IF($L1956="","",IF(INDEX(ExpType,$L1956)="","—",INDEX(ExpType,$L1956)))</f>
        <v/>
      </c>
      <c r="G1956" s="24">
        <f>IF($L1956="","",IF(INDEX(ExpDep,$L1956)=0,"",INDEX(ExpDep,$L1956)))</f>
        <v/>
      </c>
      <c r="H1956" s="24">
        <f>IF($L1956="","",IF(INDEX(ExpWit,$L1956)=0,"",INDEX(ExpWit,$L1956)))</f>
        <v/>
      </c>
      <c r="I1956" s="25">
        <f>IF($B1956="","",IF($I1955="",0,$I1955)+IF($H1956="",0,$H1956)-IF($G1956="",0,$G1956))</f>
        <v/>
      </c>
      <c r="J1956" s="23">
        <f>IF($L1956="","",IF(INDEX(ExpNote,$L1956)="","—",INDEX(ExpNote,$L1956)))</f>
        <v/>
      </c>
      <c r="L1956">
        <f>IFERROR(MATCH($C$5&amp;"|"&amp;RIGHT("000000"&amp;1940,6),ExpRankKey,0),"")</f>
        <v/>
      </c>
    </row>
    <row r="1957">
      <c r="A1957" s="16" t="n">
        <v>1941</v>
      </c>
      <c r="B1957" s="17">
        <f>IF($L1957="","",INDEX(ExpNorm,$L1957))</f>
        <v/>
      </c>
      <c r="C1957" s="17">
        <f>IF($L1957="","",IF(INDEX(ExpTime,$L1957)="","—",LEFT(INDEX(ExpTime,$L1957),2)&amp;":"&amp;RIGHT(INDEX(ExpTime,$L1957),2)))</f>
        <v/>
      </c>
      <c r="D1957" s="17">
        <f>IF($L1957="","",IF(INDEX(ExpBank,$L1957)="","—",INDEX(ExpBank,$L1957)))</f>
        <v/>
      </c>
      <c r="E1957" s="18">
        <f>IF($L1957="","",IF(INDEX(ExpParty,$L1957)="","—",IFERROR(VLOOKUP(INDEX(ExpParty,$L1957),AcctTbl,4,0),INDEX(ExpParty,$L1957))))</f>
        <v/>
      </c>
      <c r="F1957" s="17">
        <f>IF($L1957="","",IF(INDEX(ExpType,$L1957)="","—",INDEX(ExpType,$L1957)))</f>
        <v/>
      </c>
      <c r="G1957" s="19">
        <f>IF($L1957="","",IF(INDEX(ExpDep,$L1957)=0,"",INDEX(ExpDep,$L1957)))</f>
        <v/>
      </c>
      <c r="H1957" s="19">
        <f>IF($L1957="","",IF(INDEX(ExpWit,$L1957)=0,"",INDEX(ExpWit,$L1957)))</f>
        <v/>
      </c>
      <c r="I1957" s="20">
        <f>IF($B1957="","",IF($I1956="",0,$I1956)+IF($H1957="",0,$H1957)-IF($G1957="",0,$G1957))</f>
        <v/>
      </c>
      <c r="J1957" s="18">
        <f>IF($L1957="","",IF(INDEX(ExpNote,$L1957)="","—",INDEX(ExpNote,$L1957)))</f>
        <v/>
      </c>
      <c r="L1957">
        <f>IFERROR(MATCH($C$5&amp;"|"&amp;RIGHT("000000"&amp;1941,6),ExpRankKey,0),"")</f>
        <v/>
      </c>
    </row>
    <row r="1958">
      <c r="A1958" s="21" t="n">
        <v>1942</v>
      </c>
      <c r="B1958" s="22">
        <f>IF($L1958="","",INDEX(ExpNorm,$L1958))</f>
        <v/>
      </c>
      <c r="C1958" s="22">
        <f>IF($L1958="","",IF(INDEX(ExpTime,$L1958)="","—",LEFT(INDEX(ExpTime,$L1958),2)&amp;":"&amp;RIGHT(INDEX(ExpTime,$L1958),2)))</f>
        <v/>
      </c>
      <c r="D1958" s="22">
        <f>IF($L1958="","",IF(INDEX(ExpBank,$L1958)="","—",INDEX(ExpBank,$L1958)))</f>
        <v/>
      </c>
      <c r="E1958" s="23">
        <f>IF($L1958="","",IF(INDEX(ExpParty,$L1958)="","—",IFERROR(VLOOKUP(INDEX(ExpParty,$L1958),AcctTbl,4,0),INDEX(ExpParty,$L1958))))</f>
        <v/>
      </c>
      <c r="F1958" s="22">
        <f>IF($L1958="","",IF(INDEX(ExpType,$L1958)="","—",INDEX(ExpType,$L1958)))</f>
        <v/>
      </c>
      <c r="G1958" s="24">
        <f>IF($L1958="","",IF(INDEX(ExpDep,$L1958)=0,"",INDEX(ExpDep,$L1958)))</f>
        <v/>
      </c>
      <c r="H1958" s="24">
        <f>IF($L1958="","",IF(INDEX(ExpWit,$L1958)=0,"",INDEX(ExpWit,$L1958)))</f>
        <v/>
      </c>
      <c r="I1958" s="25">
        <f>IF($B1958="","",IF($I1957="",0,$I1957)+IF($H1958="",0,$H1958)-IF($G1958="",0,$G1958))</f>
        <v/>
      </c>
      <c r="J1958" s="23">
        <f>IF($L1958="","",IF(INDEX(ExpNote,$L1958)="","—",INDEX(ExpNote,$L1958)))</f>
        <v/>
      </c>
      <c r="L1958">
        <f>IFERROR(MATCH($C$5&amp;"|"&amp;RIGHT("000000"&amp;1942,6),ExpRankKey,0),"")</f>
        <v/>
      </c>
    </row>
    <row r="1959">
      <c r="A1959" s="16" t="n">
        <v>1943</v>
      </c>
      <c r="B1959" s="17">
        <f>IF($L1959="","",INDEX(ExpNorm,$L1959))</f>
        <v/>
      </c>
      <c r="C1959" s="17">
        <f>IF($L1959="","",IF(INDEX(ExpTime,$L1959)="","—",LEFT(INDEX(ExpTime,$L1959),2)&amp;":"&amp;RIGHT(INDEX(ExpTime,$L1959),2)))</f>
        <v/>
      </c>
      <c r="D1959" s="17">
        <f>IF($L1959="","",IF(INDEX(ExpBank,$L1959)="","—",INDEX(ExpBank,$L1959)))</f>
        <v/>
      </c>
      <c r="E1959" s="18">
        <f>IF($L1959="","",IF(INDEX(ExpParty,$L1959)="","—",IFERROR(VLOOKUP(INDEX(ExpParty,$L1959),AcctTbl,4,0),INDEX(ExpParty,$L1959))))</f>
        <v/>
      </c>
      <c r="F1959" s="17">
        <f>IF($L1959="","",IF(INDEX(ExpType,$L1959)="","—",INDEX(ExpType,$L1959)))</f>
        <v/>
      </c>
      <c r="G1959" s="19">
        <f>IF($L1959="","",IF(INDEX(ExpDep,$L1959)=0,"",INDEX(ExpDep,$L1959)))</f>
        <v/>
      </c>
      <c r="H1959" s="19">
        <f>IF($L1959="","",IF(INDEX(ExpWit,$L1959)=0,"",INDEX(ExpWit,$L1959)))</f>
        <v/>
      </c>
      <c r="I1959" s="20">
        <f>IF($B1959="","",IF($I1958="",0,$I1958)+IF($H1959="",0,$H1959)-IF($G1959="",0,$G1959))</f>
        <v/>
      </c>
      <c r="J1959" s="18">
        <f>IF($L1959="","",IF(INDEX(ExpNote,$L1959)="","—",INDEX(ExpNote,$L1959)))</f>
        <v/>
      </c>
      <c r="L1959">
        <f>IFERROR(MATCH($C$5&amp;"|"&amp;RIGHT("000000"&amp;1943,6),ExpRankKey,0),"")</f>
        <v/>
      </c>
    </row>
    <row r="1960">
      <c r="A1960" s="21" t="n">
        <v>1944</v>
      </c>
      <c r="B1960" s="22">
        <f>IF($L1960="","",INDEX(ExpNorm,$L1960))</f>
        <v/>
      </c>
      <c r="C1960" s="22">
        <f>IF($L1960="","",IF(INDEX(ExpTime,$L1960)="","—",LEFT(INDEX(ExpTime,$L1960),2)&amp;":"&amp;RIGHT(INDEX(ExpTime,$L1960),2)))</f>
        <v/>
      </c>
      <c r="D1960" s="22">
        <f>IF($L1960="","",IF(INDEX(ExpBank,$L1960)="","—",INDEX(ExpBank,$L1960)))</f>
        <v/>
      </c>
      <c r="E1960" s="23">
        <f>IF($L1960="","",IF(INDEX(ExpParty,$L1960)="","—",IFERROR(VLOOKUP(INDEX(ExpParty,$L1960),AcctTbl,4,0),INDEX(ExpParty,$L1960))))</f>
        <v/>
      </c>
      <c r="F1960" s="22">
        <f>IF($L1960="","",IF(INDEX(ExpType,$L1960)="","—",INDEX(ExpType,$L1960)))</f>
        <v/>
      </c>
      <c r="G1960" s="24">
        <f>IF($L1960="","",IF(INDEX(ExpDep,$L1960)=0,"",INDEX(ExpDep,$L1960)))</f>
        <v/>
      </c>
      <c r="H1960" s="24">
        <f>IF($L1960="","",IF(INDEX(ExpWit,$L1960)=0,"",INDEX(ExpWit,$L1960)))</f>
        <v/>
      </c>
      <c r="I1960" s="25">
        <f>IF($B1960="","",IF($I1959="",0,$I1959)+IF($H1960="",0,$H1960)-IF($G1960="",0,$G1960))</f>
        <v/>
      </c>
      <c r="J1960" s="23">
        <f>IF($L1960="","",IF(INDEX(ExpNote,$L1960)="","—",INDEX(ExpNote,$L1960)))</f>
        <v/>
      </c>
      <c r="L1960">
        <f>IFERROR(MATCH($C$5&amp;"|"&amp;RIGHT("000000"&amp;1944,6),ExpRankKey,0),"")</f>
        <v/>
      </c>
    </row>
    <row r="1961">
      <c r="A1961" s="16" t="n">
        <v>1945</v>
      </c>
      <c r="B1961" s="17">
        <f>IF($L1961="","",INDEX(ExpNorm,$L1961))</f>
        <v/>
      </c>
      <c r="C1961" s="17">
        <f>IF($L1961="","",IF(INDEX(ExpTime,$L1961)="","—",LEFT(INDEX(ExpTime,$L1961),2)&amp;":"&amp;RIGHT(INDEX(ExpTime,$L1961),2)))</f>
        <v/>
      </c>
      <c r="D1961" s="17">
        <f>IF($L1961="","",IF(INDEX(ExpBank,$L1961)="","—",INDEX(ExpBank,$L1961)))</f>
        <v/>
      </c>
      <c r="E1961" s="18">
        <f>IF($L1961="","",IF(INDEX(ExpParty,$L1961)="","—",IFERROR(VLOOKUP(INDEX(ExpParty,$L1961),AcctTbl,4,0),INDEX(ExpParty,$L1961))))</f>
        <v/>
      </c>
      <c r="F1961" s="17">
        <f>IF($L1961="","",IF(INDEX(ExpType,$L1961)="","—",INDEX(ExpType,$L1961)))</f>
        <v/>
      </c>
      <c r="G1961" s="19">
        <f>IF($L1961="","",IF(INDEX(ExpDep,$L1961)=0,"",INDEX(ExpDep,$L1961)))</f>
        <v/>
      </c>
      <c r="H1961" s="19">
        <f>IF($L1961="","",IF(INDEX(ExpWit,$L1961)=0,"",INDEX(ExpWit,$L1961)))</f>
        <v/>
      </c>
      <c r="I1961" s="20">
        <f>IF($B1961="","",IF($I1960="",0,$I1960)+IF($H1961="",0,$H1961)-IF($G1961="",0,$G1961))</f>
        <v/>
      </c>
      <c r="J1961" s="18">
        <f>IF($L1961="","",IF(INDEX(ExpNote,$L1961)="","—",INDEX(ExpNote,$L1961)))</f>
        <v/>
      </c>
      <c r="L1961">
        <f>IFERROR(MATCH($C$5&amp;"|"&amp;RIGHT("000000"&amp;1945,6),ExpRankKey,0),"")</f>
        <v/>
      </c>
    </row>
    <row r="1962">
      <c r="A1962" s="21" t="n">
        <v>1946</v>
      </c>
      <c r="B1962" s="22">
        <f>IF($L1962="","",INDEX(ExpNorm,$L1962))</f>
        <v/>
      </c>
      <c r="C1962" s="22">
        <f>IF($L1962="","",IF(INDEX(ExpTime,$L1962)="","—",LEFT(INDEX(ExpTime,$L1962),2)&amp;":"&amp;RIGHT(INDEX(ExpTime,$L1962),2)))</f>
        <v/>
      </c>
      <c r="D1962" s="22">
        <f>IF($L1962="","",IF(INDEX(ExpBank,$L1962)="","—",INDEX(ExpBank,$L1962)))</f>
        <v/>
      </c>
      <c r="E1962" s="23">
        <f>IF($L1962="","",IF(INDEX(ExpParty,$L1962)="","—",IFERROR(VLOOKUP(INDEX(ExpParty,$L1962),AcctTbl,4,0),INDEX(ExpParty,$L1962))))</f>
        <v/>
      </c>
      <c r="F1962" s="22">
        <f>IF($L1962="","",IF(INDEX(ExpType,$L1962)="","—",INDEX(ExpType,$L1962)))</f>
        <v/>
      </c>
      <c r="G1962" s="24">
        <f>IF($L1962="","",IF(INDEX(ExpDep,$L1962)=0,"",INDEX(ExpDep,$L1962)))</f>
        <v/>
      </c>
      <c r="H1962" s="24">
        <f>IF($L1962="","",IF(INDEX(ExpWit,$L1962)=0,"",INDEX(ExpWit,$L1962)))</f>
        <v/>
      </c>
      <c r="I1962" s="25">
        <f>IF($B1962="","",IF($I1961="",0,$I1961)+IF($H1962="",0,$H1962)-IF($G1962="",0,$G1962))</f>
        <v/>
      </c>
      <c r="J1962" s="23">
        <f>IF($L1962="","",IF(INDEX(ExpNote,$L1962)="","—",INDEX(ExpNote,$L1962)))</f>
        <v/>
      </c>
      <c r="L1962">
        <f>IFERROR(MATCH($C$5&amp;"|"&amp;RIGHT("000000"&amp;1946,6),ExpRankKey,0),"")</f>
        <v/>
      </c>
    </row>
    <row r="1963">
      <c r="A1963" s="16" t="n">
        <v>1947</v>
      </c>
      <c r="B1963" s="17">
        <f>IF($L1963="","",INDEX(ExpNorm,$L1963))</f>
        <v/>
      </c>
      <c r="C1963" s="17">
        <f>IF($L1963="","",IF(INDEX(ExpTime,$L1963)="","—",LEFT(INDEX(ExpTime,$L1963),2)&amp;":"&amp;RIGHT(INDEX(ExpTime,$L1963),2)))</f>
        <v/>
      </c>
      <c r="D1963" s="17">
        <f>IF($L1963="","",IF(INDEX(ExpBank,$L1963)="","—",INDEX(ExpBank,$L1963)))</f>
        <v/>
      </c>
      <c r="E1963" s="18">
        <f>IF($L1963="","",IF(INDEX(ExpParty,$L1963)="","—",IFERROR(VLOOKUP(INDEX(ExpParty,$L1963),AcctTbl,4,0),INDEX(ExpParty,$L1963))))</f>
        <v/>
      </c>
      <c r="F1963" s="17">
        <f>IF($L1963="","",IF(INDEX(ExpType,$L1963)="","—",INDEX(ExpType,$L1963)))</f>
        <v/>
      </c>
      <c r="G1963" s="19">
        <f>IF($L1963="","",IF(INDEX(ExpDep,$L1963)=0,"",INDEX(ExpDep,$L1963)))</f>
        <v/>
      </c>
      <c r="H1963" s="19">
        <f>IF($L1963="","",IF(INDEX(ExpWit,$L1963)=0,"",INDEX(ExpWit,$L1963)))</f>
        <v/>
      </c>
      <c r="I1963" s="20">
        <f>IF($B1963="","",IF($I1962="",0,$I1962)+IF($H1963="",0,$H1963)-IF($G1963="",0,$G1963))</f>
        <v/>
      </c>
      <c r="J1963" s="18">
        <f>IF($L1963="","",IF(INDEX(ExpNote,$L1963)="","—",INDEX(ExpNote,$L1963)))</f>
        <v/>
      </c>
      <c r="L1963">
        <f>IFERROR(MATCH($C$5&amp;"|"&amp;RIGHT("000000"&amp;1947,6),ExpRankKey,0),"")</f>
        <v/>
      </c>
    </row>
    <row r="1964">
      <c r="A1964" s="21" t="n">
        <v>1948</v>
      </c>
      <c r="B1964" s="22">
        <f>IF($L1964="","",INDEX(ExpNorm,$L1964))</f>
        <v/>
      </c>
      <c r="C1964" s="22">
        <f>IF($L1964="","",IF(INDEX(ExpTime,$L1964)="","—",LEFT(INDEX(ExpTime,$L1964),2)&amp;":"&amp;RIGHT(INDEX(ExpTime,$L1964),2)))</f>
        <v/>
      </c>
      <c r="D1964" s="22">
        <f>IF($L1964="","",IF(INDEX(ExpBank,$L1964)="","—",INDEX(ExpBank,$L1964)))</f>
        <v/>
      </c>
      <c r="E1964" s="23">
        <f>IF($L1964="","",IF(INDEX(ExpParty,$L1964)="","—",IFERROR(VLOOKUP(INDEX(ExpParty,$L1964),AcctTbl,4,0),INDEX(ExpParty,$L1964))))</f>
        <v/>
      </c>
      <c r="F1964" s="22">
        <f>IF($L1964="","",IF(INDEX(ExpType,$L1964)="","—",INDEX(ExpType,$L1964)))</f>
        <v/>
      </c>
      <c r="G1964" s="24">
        <f>IF($L1964="","",IF(INDEX(ExpDep,$L1964)=0,"",INDEX(ExpDep,$L1964)))</f>
        <v/>
      </c>
      <c r="H1964" s="24">
        <f>IF($L1964="","",IF(INDEX(ExpWit,$L1964)=0,"",INDEX(ExpWit,$L1964)))</f>
        <v/>
      </c>
      <c r="I1964" s="25">
        <f>IF($B1964="","",IF($I1963="",0,$I1963)+IF($H1964="",0,$H1964)-IF($G1964="",0,$G1964))</f>
        <v/>
      </c>
      <c r="J1964" s="23">
        <f>IF($L1964="","",IF(INDEX(ExpNote,$L1964)="","—",INDEX(ExpNote,$L1964)))</f>
        <v/>
      </c>
      <c r="L1964">
        <f>IFERROR(MATCH($C$5&amp;"|"&amp;RIGHT("000000"&amp;1948,6),ExpRankKey,0),"")</f>
        <v/>
      </c>
    </row>
    <row r="1965">
      <c r="A1965" s="16" t="n">
        <v>1949</v>
      </c>
      <c r="B1965" s="17">
        <f>IF($L1965="","",INDEX(ExpNorm,$L1965))</f>
        <v/>
      </c>
      <c r="C1965" s="17">
        <f>IF($L1965="","",IF(INDEX(ExpTime,$L1965)="","—",LEFT(INDEX(ExpTime,$L1965),2)&amp;":"&amp;RIGHT(INDEX(ExpTime,$L1965),2)))</f>
        <v/>
      </c>
      <c r="D1965" s="17">
        <f>IF($L1965="","",IF(INDEX(ExpBank,$L1965)="","—",INDEX(ExpBank,$L1965)))</f>
        <v/>
      </c>
      <c r="E1965" s="18">
        <f>IF($L1965="","",IF(INDEX(ExpParty,$L1965)="","—",IFERROR(VLOOKUP(INDEX(ExpParty,$L1965),AcctTbl,4,0),INDEX(ExpParty,$L1965))))</f>
        <v/>
      </c>
      <c r="F1965" s="17">
        <f>IF($L1965="","",IF(INDEX(ExpType,$L1965)="","—",INDEX(ExpType,$L1965)))</f>
        <v/>
      </c>
      <c r="G1965" s="19">
        <f>IF($L1965="","",IF(INDEX(ExpDep,$L1965)=0,"",INDEX(ExpDep,$L1965)))</f>
        <v/>
      </c>
      <c r="H1965" s="19">
        <f>IF($L1965="","",IF(INDEX(ExpWit,$L1965)=0,"",INDEX(ExpWit,$L1965)))</f>
        <v/>
      </c>
      <c r="I1965" s="20">
        <f>IF($B1965="","",IF($I1964="",0,$I1964)+IF($H1965="",0,$H1965)-IF($G1965="",0,$G1965))</f>
        <v/>
      </c>
      <c r="J1965" s="18">
        <f>IF($L1965="","",IF(INDEX(ExpNote,$L1965)="","—",INDEX(ExpNote,$L1965)))</f>
        <v/>
      </c>
      <c r="L1965">
        <f>IFERROR(MATCH($C$5&amp;"|"&amp;RIGHT("000000"&amp;1949,6),ExpRankKey,0),"")</f>
        <v/>
      </c>
    </row>
    <row r="1966">
      <c r="A1966" s="21" t="n">
        <v>1950</v>
      </c>
      <c r="B1966" s="22">
        <f>IF($L1966="","",INDEX(ExpNorm,$L1966))</f>
        <v/>
      </c>
      <c r="C1966" s="22">
        <f>IF($L1966="","",IF(INDEX(ExpTime,$L1966)="","—",LEFT(INDEX(ExpTime,$L1966),2)&amp;":"&amp;RIGHT(INDEX(ExpTime,$L1966),2)))</f>
        <v/>
      </c>
      <c r="D1966" s="22">
        <f>IF($L1966="","",IF(INDEX(ExpBank,$L1966)="","—",INDEX(ExpBank,$L1966)))</f>
        <v/>
      </c>
      <c r="E1966" s="23">
        <f>IF($L1966="","",IF(INDEX(ExpParty,$L1966)="","—",IFERROR(VLOOKUP(INDEX(ExpParty,$L1966),AcctTbl,4,0),INDEX(ExpParty,$L1966))))</f>
        <v/>
      </c>
      <c r="F1966" s="22">
        <f>IF($L1966="","",IF(INDEX(ExpType,$L1966)="","—",INDEX(ExpType,$L1966)))</f>
        <v/>
      </c>
      <c r="G1966" s="24">
        <f>IF($L1966="","",IF(INDEX(ExpDep,$L1966)=0,"",INDEX(ExpDep,$L1966)))</f>
        <v/>
      </c>
      <c r="H1966" s="24">
        <f>IF($L1966="","",IF(INDEX(ExpWit,$L1966)=0,"",INDEX(ExpWit,$L1966)))</f>
        <v/>
      </c>
      <c r="I1966" s="25">
        <f>IF($B1966="","",IF($I1965="",0,$I1965)+IF($H1966="",0,$H1966)-IF($G1966="",0,$G1966))</f>
        <v/>
      </c>
      <c r="J1966" s="23">
        <f>IF($L1966="","",IF(INDEX(ExpNote,$L1966)="","—",INDEX(ExpNote,$L1966)))</f>
        <v/>
      </c>
      <c r="L1966">
        <f>IFERROR(MATCH($C$5&amp;"|"&amp;RIGHT("000000"&amp;1950,6),ExpRankKey,0),"")</f>
        <v/>
      </c>
    </row>
    <row r="1967">
      <c r="A1967" s="16" t="n">
        <v>1951</v>
      </c>
      <c r="B1967" s="17">
        <f>IF($L1967="","",INDEX(ExpNorm,$L1967))</f>
        <v/>
      </c>
      <c r="C1967" s="17">
        <f>IF($L1967="","",IF(INDEX(ExpTime,$L1967)="","—",LEFT(INDEX(ExpTime,$L1967),2)&amp;":"&amp;RIGHT(INDEX(ExpTime,$L1967),2)))</f>
        <v/>
      </c>
      <c r="D1967" s="17">
        <f>IF($L1967="","",IF(INDEX(ExpBank,$L1967)="","—",INDEX(ExpBank,$L1967)))</f>
        <v/>
      </c>
      <c r="E1967" s="18">
        <f>IF($L1967="","",IF(INDEX(ExpParty,$L1967)="","—",IFERROR(VLOOKUP(INDEX(ExpParty,$L1967),AcctTbl,4,0),INDEX(ExpParty,$L1967))))</f>
        <v/>
      </c>
      <c r="F1967" s="17">
        <f>IF($L1967="","",IF(INDEX(ExpType,$L1967)="","—",INDEX(ExpType,$L1967)))</f>
        <v/>
      </c>
      <c r="G1967" s="19">
        <f>IF($L1967="","",IF(INDEX(ExpDep,$L1967)=0,"",INDEX(ExpDep,$L1967)))</f>
        <v/>
      </c>
      <c r="H1967" s="19">
        <f>IF($L1967="","",IF(INDEX(ExpWit,$L1967)=0,"",INDEX(ExpWit,$L1967)))</f>
        <v/>
      </c>
      <c r="I1967" s="20">
        <f>IF($B1967="","",IF($I1966="",0,$I1966)+IF($H1967="",0,$H1967)-IF($G1967="",0,$G1967))</f>
        <v/>
      </c>
      <c r="J1967" s="18">
        <f>IF($L1967="","",IF(INDEX(ExpNote,$L1967)="","—",INDEX(ExpNote,$L1967)))</f>
        <v/>
      </c>
      <c r="L1967">
        <f>IFERROR(MATCH($C$5&amp;"|"&amp;RIGHT("000000"&amp;1951,6),ExpRankKey,0),"")</f>
        <v/>
      </c>
    </row>
    <row r="1968">
      <c r="A1968" s="21" t="n">
        <v>1952</v>
      </c>
      <c r="B1968" s="22">
        <f>IF($L1968="","",INDEX(ExpNorm,$L1968))</f>
        <v/>
      </c>
      <c r="C1968" s="22">
        <f>IF($L1968="","",IF(INDEX(ExpTime,$L1968)="","—",LEFT(INDEX(ExpTime,$L1968),2)&amp;":"&amp;RIGHT(INDEX(ExpTime,$L1968),2)))</f>
        <v/>
      </c>
      <c r="D1968" s="22">
        <f>IF($L1968="","",IF(INDEX(ExpBank,$L1968)="","—",INDEX(ExpBank,$L1968)))</f>
        <v/>
      </c>
      <c r="E1968" s="23">
        <f>IF($L1968="","",IF(INDEX(ExpParty,$L1968)="","—",IFERROR(VLOOKUP(INDEX(ExpParty,$L1968),AcctTbl,4,0),INDEX(ExpParty,$L1968))))</f>
        <v/>
      </c>
      <c r="F1968" s="22">
        <f>IF($L1968="","",IF(INDEX(ExpType,$L1968)="","—",INDEX(ExpType,$L1968)))</f>
        <v/>
      </c>
      <c r="G1968" s="24">
        <f>IF($L1968="","",IF(INDEX(ExpDep,$L1968)=0,"",INDEX(ExpDep,$L1968)))</f>
        <v/>
      </c>
      <c r="H1968" s="24">
        <f>IF($L1968="","",IF(INDEX(ExpWit,$L1968)=0,"",INDEX(ExpWit,$L1968)))</f>
        <v/>
      </c>
      <c r="I1968" s="25">
        <f>IF($B1968="","",IF($I1967="",0,$I1967)+IF($H1968="",0,$H1968)-IF($G1968="",0,$G1968))</f>
        <v/>
      </c>
      <c r="J1968" s="23">
        <f>IF($L1968="","",IF(INDEX(ExpNote,$L1968)="","—",INDEX(ExpNote,$L1968)))</f>
        <v/>
      </c>
      <c r="L1968">
        <f>IFERROR(MATCH($C$5&amp;"|"&amp;RIGHT("000000"&amp;1952,6),ExpRankKey,0),"")</f>
        <v/>
      </c>
    </row>
    <row r="1969">
      <c r="A1969" s="16" t="n">
        <v>1953</v>
      </c>
      <c r="B1969" s="17">
        <f>IF($L1969="","",INDEX(ExpNorm,$L1969))</f>
        <v/>
      </c>
      <c r="C1969" s="17">
        <f>IF($L1969="","",IF(INDEX(ExpTime,$L1969)="","—",LEFT(INDEX(ExpTime,$L1969),2)&amp;":"&amp;RIGHT(INDEX(ExpTime,$L1969),2)))</f>
        <v/>
      </c>
      <c r="D1969" s="17">
        <f>IF($L1969="","",IF(INDEX(ExpBank,$L1969)="","—",INDEX(ExpBank,$L1969)))</f>
        <v/>
      </c>
      <c r="E1969" s="18">
        <f>IF($L1969="","",IF(INDEX(ExpParty,$L1969)="","—",IFERROR(VLOOKUP(INDEX(ExpParty,$L1969),AcctTbl,4,0),INDEX(ExpParty,$L1969))))</f>
        <v/>
      </c>
      <c r="F1969" s="17">
        <f>IF($L1969="","",IF(INDEX(ExpType,$L1969)="","—",INDEX(ExpType,$L1969)))</f>
        <v/>
      </c>
      <c r="G1969" s="19">
        <f>IF($L1969="","",IF(INDEX(ExpDep,$L1969)=0,"",INDEX(ExpDep,$L1969)))</f>
        <v/>
      </c>
      <c r="H1969" s="19">
        <f>IF($L1969="","",IF(INDEX(ExpWit,$L1969)=0,"",INDEX(ExpWit,$L1969)))</f>
        <v/>
      </c>
      <c r="I1969" s="20">
        <f>IF($B1969="","",IF($I1968="",0,$I1968)+IF($H1969="",0,$H1969)-IF($G1969="",0,$G1969))</f>
        <v/>
      </c>
      <c r="J1969" s="18">
        <f>IF($L1969="","",IF(INDEX(ExpNote,$L1969)="","—",INDEX(ExpNote,$L1969)))</f>
        <v/>
      </c>
      <c r="L1969">
        <f>IFERROR(MATCH($C$5&amp;"|"&amp;RIGHT("000000"&amp;1953,6),ExpRankKey,0),"")</f>
        <v/>
      </c>
    </row>
    <row r="1970">
      <c r="A1970" s="21" t="n">
        <v>1954</v>
      </c>
      <c r="B1970" s="22">
        <f>IF($L1970="","",INDEX(ExpNorm,$L1970))</f>
        <v/>
      </c>
      <c r="C1970" s="22">
        <f>IF($L1970="","",IF(INDEX(ExpTime,$L1970)="","—",LEFT(INDEX(ExpTime,$L1970),2)&amp;":"&amp;RIGHT(INDEX(ExpTime,$L1970),2)))</f>
        <v/>
      </c>
      <c r="D1970" s="22">
        <f>IF($L1970="","",IF(INDEX(ExpBank,$L1970)="","—",INDEX(ExpBank,$L1970)))</f>
        <v/>
      </c>
      <c r="E1970" s="23">
        <f>IF($L1970="","",IF(INDEX(ExpParty,$L1970)="","—",IFERROR(VLOOKUP(INDEX(ExpParty,$L1970),AcctTbl,4,0),INDEX(ExpParty,$L1970))))</f>
        <v/>
      </c>
      <c r="F1970" s="22">
        <f>IF($L1970="","",IF(INDEX(ExpType,$L1970)="","—",INDEX(ExpType,$L1970)))</f>
        <v/>
      </c>
      <c r="G1970" s="24">
        <f>IF($L1970="","",IF(INDEX(ExpDep,$L1970)=0,"",INDEX(ExpDep,$L1970)))</f>
        <v/>
      </c>
      <c r="H1970" s="24">
        <f>IF($L1970="","",IF(INDEX(ExpWit,$L1970)=0,"",INDEX(ExpWit,$L1970)))</f>
        <v/>
      </c>
      <c r="I1970" s="25">
        <f>IF($B1970="","",IF($I1969="",0,$I1969)+IF($H1970="",0,$H1970)-IF($G1970="",0,$G1970))</f>
        <v/>
      </c>
      <c r="J1970" s="23">
        <f>IF($L1970="","",IF(INDEX(ExpNote,$L1970)="","—",INDEX(ExpNote,$L1970)))</f>
        <v/>
      </c>
      <c r="L1970">
        <f>IFERROR(MATCH($C$5&amp;"|"&amp;RIGHT("000000"&amp;1954,6),ExpRankKey,0),"")</f>
        <v/>
      </c>
    </row>
    <row r="1971">
      <c r="A1971" s="16" t="n">
        <v>1955</v>
      </c>
      <c r="B1971" s="17">
        <f>IF($L1971="","",INDEX(ExpNorm,$L1971))</f>
        <v/>
      </c>
      <c r="C1971" s="17">
        <f>IF($L1971="","",IF(INDEX(ExpTime,$L1971)="","—",LEFT(INDEX(ExpTime,$L1971),2)&amp;":"&amp;RIGHT(INDEX(ExpTime,$L1971),2)))</f>
        <v/>
      </c>
      <c r="D1971" s="17">
        <f>IF($L1971="","",IF(INDEX(ExpBank,$L1971)="","—",INDEX(ExpBank,$L1971)))</f>
        <v/>
      </c>
      <c r="E1971" s="18">
        <f>IF($L1971="","",IF(INDEX(ExpParty,$L1971)="","—",IFERROR(VLOOKUP(INDEX(ExpParty,$L1971),AcctTbl,4,0),INDEX(ExpParty,$L1971))))</f>
        <v/>
      </c>
      <c r="F1971" s="17">
        <f>IF($L1971="","",IF(INDEX(ExpType,$L1971)="","—",INDEX(ExpType,$L1971)))</f>
        <v/>
      </c>
      <c r="G1971" s="19">
        <f>IF($L1971="","",IF(INDEX(ExpDep,$L1971)=0,"",INDEX(ExpDep,$L1971)))</f>
        <v/>
      </c>
      <c r="H1971" s="19">
        <f>IF($L1971="","",IF(INDEX(ExpWit,$L1971)=0,"",INDEX(ExpWit,$L1971)))</f>
        <v/>
      </c>
      <c r="I1971" s="20">
        <f>IF($B1971="","",IF($I1970="",0,$I1970)+IF($H1971="",0,$H1971)-IF($G1971="",0,$G1971))</f>
        <v/>
      </c>
      <c r="J1971" s="18">
        <f>IF($L1971="","",IF(INDEX(ExpNote,$L1971)="","—",INDEX(ExpNote,$L1971)))</f>
        <v/>
      </c>
      <c r="L1971">
        <f>IFERROR(MATCH($C$5&amp;"|"&amp;RIGHT("000000"&amp;1955,6),ExpRankKey,0),"")</f>
        <v/>
      </c>
    </row>
    <row r="1972">
      <c r="A1972" s="21" t="n">
        <v>1956</v>
      </c>
      <c r="B1972" s="22">
        <f>IF($L1972="","",INDEX(ExpNorm,$L1972))</f>
        <v/>
      </c>
      <c r="C1972" s="22">
        <f>IF($L1972="","",IF(INDEX(ExpTime,$L1972)="","—",LEFT(INDEX(ExpTime,$L1972),2)&amp;":"&amp;RIGHT(INDEX(ExpTime,$L1972),2)))</f>
        <v/>
      </c>
      <c r="D1972" s="22">
        <f>IF($L1972="","",IF(INDEX(ExpBank,$L1972)="","—",INDEX(ExpBank,$L1972)))</f>
        <v/>
      </c>
      <c r="E1972" s="23">
        <f>IF($L1972="","",IF(INDEX(ExpParty,$L1972)="","—",IFERROR(VLOOKUP(INDEX(ExpParty,$L1972),AcctTbl,4,0),INDEX(ExpParty,$L1972))))</f>
        <v/>
      </c>
      <c r="F1972" s="22">
        <f>IF($L1972="","",IF(INDEX(ExpType,$L1972)="","—",INDEX(ExpType,$L1972)))</f>
        <v/>
      </c>
      <c r="G1972" s="24">
        <f>IF($L1972="","",IF(INDEX(ExpDep,$L1972)=0,"",INDEX(ExpDep,$L1972)))</f>
        <v/>
      </c>
      <c r="H1972" s="24">
        <f>IF($L1972="","",IF(INDEX(ExpWit,$L1972)=0,"",INDEX(ExpWit,$L1972)))</f>
        <v/>
      </c>
      <c r="I1972" s="25">
        <f>IF($B1972="","",IF($I1971="",0,$I1971)+IF($H1972="",0,$H1972)-IF($G1972="",0,$G1972))</f>
        <v/>
      </c>
      <c r="J1972" s="23">
        <f>IF($L1972="","",IF(INDEX(ExpNote,$L1972)="","—",INDEX(ExpNote,$L1972)))</f>
        <v/>
      </c>
      <c r="L1972">
        <f>IFERROR(MATCH($C$5&amp;"|"&amp;RIGHT("000000"&amp;1956,6),ExpRankKey,0),"")</f>
        <v/>
      </c>
    </row>
    <row r="1973">
      <c r="A1973" s="16" t="n">
        <v>1957</v>
      </c>
      <c r="B1973" s="17">
        <f>IF($L1973="","",INDEX(ExpNorm,$L1973))</f>
        <v/>
      </c>
      <c r="C1973" s="17">
        <f>IF($L1973="","",IF(INDEX(ExpTime,$L1973)="","—",LEFT(INDEX(ExpTime,$L1973),2)&amp;":"&amp;RIGHT(INDEX(ExpTime,$L1973),2)))</f>
        <v/>
      </c>
      <c r="D1973" s="17">
        <f>IF($L1973="","",IF(INDEX(ExpBank,$L1973)="","—",INDEX(ExpBank,$L1973)))</f>
        <v/>
      </c>
      <c r="E1973" s="18">
        <f>IF($L1973="","",IF(INDEX(ExpParty,$L1973)="","—",IFERROR(VLOOKUP(INDEX(ExpParty,$L1973),AcctTbl,4,0),INDEX(ExpParty,$L1973))))</f>
        <v/>
      </c>
      <c r="F1973" s="17">
        <f>IF($L1973="","",IF(INDEX(ExpType,$L1973)="","—",INDEX(ExpType,$L1973)))</f>
        <v/>
      </c>
      <c r="G1973" s="19">
        <f>IF($L1973="","",IF(INDEX(ExpDep,$L1973)=0,"",INDEX(ExpDep,$L1973)))</f>
        <v/>
      </c>
      <c r="H1973" s="19">
        <f>IF($L1973="","",IF(INDEX(ExpWit,$L1973)=0,"",INDEX(ExpWit,$L1973)))</f>
        <v/>
      </c>
      <c r="I1973" s="20">
        <f>IF($B1973="","",IF($I1972="",0,$I1972)+IF($H1973="",0,$H1973)-IF($G1973="",0,$G1973))</f>
        <v/>
      </c>
      <c r="J1973" s="18">
        <f>IF($L1973="","",IF(INDEX(ExpNote,$L1973)="","—",INDEX(ExpNote,$L1973)))</f>
        <v/>
      </c>
      <c r="L1973">
        <f>IFERROR(MATCH($C$5&amp;"|"&amp;RIGHT("000000"&amp;1957,6),ExpRankKey,0),"")</f>
        <v/>
      </c>
    </row>
    <row r="1974">
      <c r="A1974" s="21" t="n">
        <v>1958</v>
      </c>
      <c r="B1974" s="22">
        <f>IF($L1974="","",INDEX(ExpNorm,$L1974))</f>
        <v/>
      </c>
      <c r="C1974" s="22">
        <f>IF($L1974="","",IF(INDEX(ExpTime,$L1974)="","—",LEFT(INDEX(ExpTime,$L1974),2)&amp;":"&amp;RIGHT(INDEX(ExpTime,$L1974),2)))</f>
        <v/>
      </c>
      <c r="D1974" s="22">
        <f>IF($L1974="","",IF(INDEX(ExpBank,$L1974)="","—",INDEX(ExpBank,$L1974)))</f>
        <v/>
      </c>
      <c r="E1974" s="23">
        <f>IF($L1974="","",IF(INDEX(ExpParty,$L1974)="","—",IFERROR(VLOOKUP(INDEX(ExpParty,$L1974),AcctTbl,4,0),INDEX(ExpParty,$L1974))))</f>
        <v/>
      </c>
      <c r="F1974" s="22">
        <f>IF($L1974="","",IF(INDEX(ExpType,$L1974)="","—",INDEX(ExpType,$L1974)))</f>
        <v/>
      </c>
      <c r="G1974" s="24">
        <f>IF($L1974="","",IF(INDEX(ExpDep,$L1974)=0,"",INDEX(ExpDep,$L1974)))</f>
        <v/>
      </c>
      <c r="H1974" s="24">
        <f>IF($L1974="","",IF(INDEX(ExpWit,$L1974)=0,"",INDEX(ExpWit,$L1974)))</f>
        <v/>
      </c>
      <c r="I1974" s="25">
        <f>IF($B1974="","",IF($I1973="",0,$I1973)+IF($H1974="",0,$H1974)-IF($G1974="",0,$G1974))</f>
        <v/>
      </c>
      <c r="J1974" s="23">
        <f>IF($L1974="","",IF(INDEX(ExpNote,$L1974)="","—",INDEX(ExpNote,$L1974)))</f>
        <v/>
      </c>
      <c r="L1974">
        <f>IFERROR(MATCH($C$5&amp;"|"&amp;RIGHT("000000"&amp;1958,6),ExpRankKey,0),"")</f>
        <v/>
      </c>
    </row>
    <row r="1975">
      <c r="A1975" s="16" t="n">
        <v>1959</v>
      </c>
      <c r="B1975" s="17">
        <f>IF($L1975="","",INDEX(ExpNorm,$L1975))</f>
        <v/>
      </c>
      <c r="C1975" s="17">
        <f>IF($L1975="","",IF(INDEX(ExpTime,$L1975)="","—",LEFT(INDEX(ExpTime,$L1975),2)&amp;":"&amp;RIGHT(INDEX(ExpTime,$L1975),2)))</f>
        <v/>
      </c>
      <c r="D1975" s="17">
        <f>IF($L1975="","",IF(INDEX(ExpBank,$L1975)="","—",INDEX(ExpBank,$L1975)))</f>
        <v/>
      </c>
      <c r="E1975" s="18">
        <f>IF($L1975="","",IF(INDEX(ExpParty,$L1975)="","—",IFERROR(VLOOKUP(INDEX(ExpParty,$L1975),AcctTbl,4,0),INDEX(ExpParty,$L1975))))</f>
        <v/>
      </c>
      <c r="F1975" s="17">
        <f>IF($L1975="","",IF(INDEX(ExpType,$L1975)="","—",INDEX(ExpType,$L1975)))</f>
        <v/>
      </c>
      <c r="G1975" s="19">
        <f>IF($L1975="","",IF(INDEX(ExpDep,$L1975)=0,"",INDEX(ExpDep,$L1975)))</f>
        <v/>
      </c>
      <c r="H1975" s="19">
        <f>IF($L1975="","",IF(INDEX(ExpWit,$L1975)=0,"",INDEX(ExpWit,$L1975)))</f>
        <v/>
      </c>
      <c r="I1975" s="20">
        <f>IF($B1975="","",IF($I1974="",0,$I1974)+IF($H1975="",0,$H1975)-IF($G1975="",0,$G1975))</f>
        <v/>
      </c>
      <c r="J1975" s="18">
        <f>IF($L1975="","",IF(INDEX(ExpNote,$L1975)="","—",INDEX(ExpNote,$L1975)))</f>
        <v/>
      </c>
      <c r="L1975">
        <f>IFERROR(MATCH($C$5&amp;"|"&amp;RIGHT("000000"&amp;1959,6),ExpRankKey,0),"")</f>
        <v/>
      </c>
    </row>
    <row r="1976">
      <c r="A1976" s="21" t="n">
        <v>1960</v>
      </c>
      <c r="B1976" s="22">
        <f>IF($L1976="","",INDEX(ExpNorm,$L1976))</f>
        <v/>
      </c>
      <c r="C1976" s="22">
        <f>IF($L1976="","",IF(INDEX(ExpTime,$L1976)="","—",LEFT(INDEX(ExpTime,$L1976),2)&amp;":"&amp;RIGHT(INDEX(ExpTime,$L1976),2)))</f>
        <v/>
      </c>
      <c r="D1976" s="22">
        <f>IF($L1976="","",IF(INDEX(ExpBank,$L1976)="","—",INDEX(ExpBank,$L1976)))</f>
        <v/>
      </c>
      <c r="E1976" s="23">
        <f>IF($L1976="","",IF(INDEX(ExpParty,$L1976)="","—",IFERROR(VLOOKUP(INDEX(ExpParty,$L1976),AcctTbl,4,0),INDEX(ExpParty,$L1976))))</f>
        <v/>
      </c>
      <c r="F1976" s="22">
        <f>IF($L1976="","",IF(INDEX(ExpType,$L1976)="","—",INDEX(ExpType,$L1976)))</f>
        <v/>
      </c>
      <c r="G1976" s="24">
        <f>IF($L1976="","",IF(INDEX(ExpDep,$L1976)=0,"",INDEX(ExpDep,$L1976)))</f>
        <v/>
      </c>
      <c r="H1976" s="24">
        <f>IF($L1976="","",IF(INDEX(ExpWit,$L1976)=0,"",INDEX(ExpWit,$L1976)))</f>
        <v/>
      </c>
      <c r="I1976" s="25">
        <f>IF($B1976="","",IF($I1975="",0,$I1975)+IF($H1976="",0,$H1976)-IF($G1976="",0,$G1976))</f>
        <v/>
      </c>
      <c r="J1976" s="23">
        <f>IF($L1976="","",IF(INDEX(ExpNote,$L1976)="","—",INDEX(ExpNote,$L1976)))</f>
        <v/>
      </c>
      <c r="L1976">
        <f>IFERROR(MATCH($C$5&amp;"|"&amp;RIGHT("000000"&amp;1960,6),ExpRankKey,0),"")</f>
        <v/>
      </c>
    </row>
    <row r="1977">
      <c r="A1977" s="16" t="n">
        <v>1961</v>
      </c>
      <c r="B1977" s="17">
        <f>IF($L1977="","",INDEX(ExpNorm,$L1977))</f>
        <v/>
      </c>
      <c r="C1977" s="17">
        <f>IF($L1977="","",IF(INDEX(ExpTime,$L1977)="","—",LEFT(INDEX(ExpTime,$L1977),2)&amp;":"&amp;RIGHT(INDEX(ExpTime,$L1977),2)))</f>
        <v/>
      </c>
      <c r="D1977" s="17">
        <f>IF($L1977="","",IF(INDEX(ExpBank,$L1977)="","—",INDEX(ExpBank,$L1977)))</f>
        <v/>
      </c>
      <c r="E1977" s="18">
        <f>IF($L1977="","",IF(INDEX(ExpParty,$L1977)="","—",IFERROR(VLOOKUP(INDEX(ExpParty,$L1977),AcctTbl,4,0),INDEX(ExpParty,$L1977))))</f>
        <v/>
      </c>
      <c r="F1977" s="17">
        <f>IF($L1977="","",IF(INDEX(ExpType,$L1977)="","—",INDEX(ExpType,$L1977)))</f>
        <v/>
      </c>
      <c r="G1977" s="19">
        <f>IF($L1977="","",IF(INDEX(ExpDep,$L1977)=0,"",INDEX(ExpDep,$L1977)))</f>
        <v/>
      </c>
      <c r="H1977" s="19">
        <f>IF($L1977="","",IF(INDEX(ExpWit,$L1977)=0,"",INDEX(ExpWit,$L1977)))</f>
        <v/>
      </c>
      <c r="I1977" s="20">
        <f>IF($B1977="","",IF($I1976="",0,$I1976)+IF($H1977="",0,$H1977)-IF($G1977="",0,$G1977))</f>
        <v/>
      </c>
      <c r="J1977" s="18">
        <f>IF($L1977="","",IF(INDEX(ExpNote,$L1977)="","—",INDEX(ExpNote,$L1977)))</f>
        <v/>
      </c>
      <c r="L1977">
        <f>IFERROR(MATCH($C$5&amp;"|"&amp;RIGHT("000000"&amp;1961,6),ExpRankKey,0),"")</f>
        <v/>
      </c>
    </row>
    <row r="1978">
      <c r="A1978" s="21" t="n">
        <v>1962</v>
      </c>
      <c r="B1978" s="22">
        <f>IF($L1978="","",INDEX(ExpNorm,$L1978))</f>
        <v/>
      </c>
      <c r="C1978" s="22">
        <f>IF($L1978="","",IF(INDEX(ExpTime,$L1978)="","—",LEFT(INDEX(ExpTime,$L1978),2)&amp;":"&amp;RIGHT(INDEX(ExpTime,$L1978),2)))</f>
        <v/>
      </c>
      <c r="D1978" s="22">
        <f>IF($L1978="","",IF(INDEX(ExpBank,$L1978)="","—",INDEX(ExpBank,$L1978)))</f>
        <v/>
      </c>
      <c r="E1978" s="23">
        <f>IF($L1978="","",IF(INDEX(ExpParty,$L1978)="","—",IFERROR(VLOOKUP(INDEX(ExpParty,$L1978),AcctTbl,4,0),INDEX(ExpParty,$L1978))))</f>
        <v/>
      </c>
      <c r="F1978" s="22">
        <f>IF($L1978="","",IF(INDEX(ExpType,$L1978)="","—",INDEX(ExpType,$L1978)))</f>
        <v/>
      </c>
      <c r="G1978" s="24">
        <f>IF($L1978="","",IF(INDEX(ExpDep,$L1978)=0,"",INDEX(ExpDep,$L1978)))</f>
        <v/>
      </c>
      <c r="H1978" s="24">
        <f>IF($L1978="","",IF(INDEX(ExpWit,$L1978)=0,"",INDEX(ExpWit,$L1978)))</f>
        <v/>
      </c>
      <c r="I1978" s="25">
        <f>IF($B1978="","",IF($I1977="",0,$I1977)+IF($H1978="",0,$H1978)-IF($G1978="",0,$G1978))</f>
        <v/>
      </c>
      <c r="J1978" s="23">
        <f>IF($L1978="","",IF(INDEX(ExpNote,$L1978)="","—",INDEX(ExpNote,$L1978)))</f>
        <v/>
      </c>
      <c r="L1978">
        <f>IFERROR(MATCH($C$5&amp;"|"&amp;RIGHT("000000"&amp;1962,6),ExpRankKey,0),"")</f>
        <v/>
      </c>
    </row>
    <row r="1979">
      <c r="A1979" s="16" t="n">
        <v>1963</v>
      </c>
      <c r="B1979" s="17">
        <f>IF($L1979="","",INDEX(ExpNorm,$L1979))</f>
        <v/>
      </c>
      <c r="C1979" s="17">
        <f>IF($L1979="","",IF(INDEX(ExpTime,$L1979)="","—",LEFT(INDEX(ExpTime,$L1979),2)&amp;":"&amp;RIGHT(INDEX(ExpTime,$L1979),2)))</f>
        <v/>
      </c>
      <c r="D1979" s="17">
        <f>IF($L1979="","",IF(INDEX(ExpBank,$L1979)="","—",INDEX(ExpBank,$L1979)))</f>
        <v/>
      </c>
      <c r="E1979" s="18">
        <f>IF($L1979="","",IF(INDEX(ExpParty,$L1979)="","—",IFERROR(VLOOKUP(INDEX(ExpParty,$L1979),AcctTbl,4,0),INDEX(ExpParty,$L1979))))</f>
        <v/>
      </c>
      <c r="F1979" s="17">
        <f>IF($L1979="","",IF(INDEX(ExpType,$L1979)="","—",INDEX(ExpType,$L1979)))</f>
        <v/>
      </c>
      <c r="G1979" s="19">
        <f>IF($L1979="","",IF(INDEX(ExpDep,$L1979)=0,"",INDEX(ExpDep,$L1979)))</f>
        <v/>
      </c>
      <c r="H1979" s="19">
        <f>IF($L1979="","",IF(INDEX(ExpWit,$L1979)=0,"",INDEX(ExpWit,$L1979)))</f>
        <v/>
      </c>
      <c r="I1979" s="20">
        <f>IF($B1979="","",IF($I1978="",0,$I1978)+IF($H1979="",0,$H1979)-IF($G1979="",0,$G1979))</f>
        <v/>
      </c>
      <c r="J1979" s="18">
        <f>IF($L1979="","",IF(INDEX(ExpNote,$L1979)="","—",INDEX(ExpNote,$L1979)))</f>
        <v/>
      </c>
      <c r="L1979">
        <f>IFERROR(MATCH($C$5&amp;"|"&amp;RIGHT("000000"&amp;1963,6),ExpRankKey,0),"")</f>
        <v/>
      </c>
    </row>
    <row r="1980">
      <c r="A1980" s="21" t="n">
        <v>1964</v>
      </c>
      <c r="B1980" s="22">
        <f>IF($L1980="","",INDEX(ExpNorm,$L1980))</f>
        <v/>
      </c>
      <c r="C1980" s="22">
        <f>IF($L1980="","",IF(INDEX(ExpTime,$L1980)="","—",LEFT(INDEX(ExpTime,$L1980),2)&amp;":"&amp;RIGHT(INDEX(ExpTime,$L1980),2)))</f>
        <v/>
      </c>
      <c r="D1980" s="22">
        <f>IF($L1980="","",IF(INDEX(ExpBank,$L1980)="","—",INDEX(ExpBank,$L1980)))</f>
        <v/>
      </c>
      <c r="E1980" s="23">
        <f>IF($L1980="","",IF(INDEX(ExpParty,$L1980)="","—",IFERROR(VLOOKUP(INDEX(ExpParty,$L1980),AcctTbl,4,0),INDEX(ExpParty,$L1980))))</f>
        <v/>
      </c>
      <c r="F1980" s="22">
        <f>IF($L1980="","",IF(INDEX(ExpType,$L1980)="","—",INDEX(ExpType,$L1980)))</f>
        <v/>
      </c>
      <c r="G1980" s="24">
        <f>IF($L1980="","",IF(INDEX(ExpDep,$L1980)=0,"",INDEX(ExpDep,$L1980)))</f>
        <v/>
      </c>
      <c r="H1980" s="24">
        <f>IF($L1980="","",IF(INDEX(ExpWit,$L1980)=0,"",INDEX(ExpWit,$L1980)))</f>
        <v/>
      </c>
      <c r="I1980" s="25">
        <f>IF($B1980="","",IF($I1979="",0,$I1979)+IF($H1980="",0,$H1980)-IF($G1980="",0,$G1980))</f>
        <v/>
      </c>
      <c r="J1980" s="23">
        <f>IF($L1980="","",IF(INDEX(ExpNote,$L1980)="","—",INDEX(ExpNote,$L1980)))</f>
        <v/>
      </c>
      <c r="L1980">
        <f>IFERROR(MATCH($C$5&amp;"|"&amp;RIGHT("000000"&amp;1964,6),ExpRankKey,0),"")</f>
        <v/>
      </c>
    </row>
    <row r="1981">
      <c r="A1981" s="16" t="n">
        <v>1965</v>
      </c>
      <c r="B1981" s="17">
        <f>IF($L1981="","",INDEX(ExpNorm,$L1981))</f>
        <v/>
      </c>
      <c r="C1981" s="17">
        <f>IF($L1981="","",IF(INDEX(ExpTime,$L1981)="","—",LEFT(INDEX(ExpTime,$L1981),2)&amp;":"&amp;RIGHT(INDEX(ExpTime,$L1981),2)))</f>
        <v/>
      </c>
      <c r="D1981" s="17">
        <f>IF($L1981="","",IF(INDEX(ExpBank,$L1981)="","—",INDEX(ExpBank,$L1981)))</f>
        <v/>
      </c>
      <c r="E1981" s="18">
        <f>IF($L1981="","",IF(INDEX(ExpParty,$L1981)="","—",IFERROR(VLOOKUP(INDEX(ExpParty,$L1981),AcctTbl,4,0),INDEX(ExpParty,$L1981))))</f>
        <v/>
      </c>
      <c r="F1981" s="17">
        <f>IF($L1981="","",IF(INDEX(ExpType,$L1981)="","—",INDEX(ExpType,$L1981)))</f>
        <v/>
      </c>
      <c r="G1981" s="19">
        <f>IF($L1981="","",IF(INDEX(ExpDep,$L1981)=0,"",INDEX(ExpDep,$L1981)))</f>
        <v/>
      </c>
      <c r="H1981" s="19">
        <f>IF($L1981="","",IF(INDEX(ExpWit,$L1981)=0,"",INDEX(ExpWit,$L1981)))</f>
        <v/>
      </c>
      <c r="I1981" s="20">
        <f>IF($B1981="","",IF($I1980="",0,$I1980)+IF($H1981="",0,$H1981)-IF($G1981="",0,$G1981))</f>
        <v/>
      </c>
      <c r="J1981" s="18">
        <f>IF($L1981="","",IF(INDEX(ExpNote,$L1981)="","—",INDEX(ExpNote,$L1981)))</f>
        <v/>
      </c>
      <c r="L1981">
        <f>IFERROR(MATCH($C$5&amp;"|"&amp;RIGHT("000000"&amp;1965,6),ExpRankKey,0),"")</f>
        <v/>
      </c>
    </row>
    <row r="1982">
      <c r="A1982" s="21" t="n">
        <v>1966</v>
      </c>
      <c r="B1982" s="22">
        <f>IF($L1982="","",INDEX(ExpNorm,$L1982))</f>
        <v/>
      </c>
      <c r="C1982" s="22">
        <f>IF($L1982="","",IF(INDEX(ExpTime,$L1982)="","—",LEFT(INDEX(ExpTime,$L1982),2)&amp;":"&amp;RIGHT(INDEX(ExpTime,$L1982),2)))</f>
        <v/>
      </c>
      <c r="D1982" s="22">
        <f>IF($L1982="","",IF(INDEX(ExpBank,$L1982)="","—",INDEX(ExpBank,$L1982)))</f>
        <v/>
      </c>
      <c r="E1982" s="23">
        <f>IF($L1982="","",IF(INDEX(ExpParty,$L1982)="","—",IFERROR(VLOOKUP(INDEX(ExpParty,$L1982),AcctTbl,4,0),INDEX(ExpParty,$L1982))))</f>
        <v/>
      </c>
      <c r="F1982" s="22">
        <f>IF($L1982="","",IF(INDEX(ExpType,$L1982)="","—",INDEX(ExpType,$L1982)))</f>
        <v/>
      </c>
      <c r="G1982" s="24">
        <f>IF($L1982="","",IF(INDEX(ExpDep,$L1982)=0,"",INDEX(ExpDep,$L1982)))</f>
        <v/>
      </c>
      <c r="H1982" s="24">
        <f>IF($L1982="","",IF(INDEX(ExpWit,$L1982)=0,"",INDEX(ExpWit,$L1982)))</f>
        <v/>
      </c>
      <c r="I1982" s="25">
        <f>IF($B1982="","",IF($I1981="",0,$I1981)+IF($H1982="",0,$H1982)-IF($G1982="",0,$G1982))</f>
        <v/>
      </c>
      <c r="J1982" s="23">
        <f>IF($L1982="","",IF(INDEX(ExpNote,$L1982)="","—",INDEX(ExpNote,$L1982)))</f>
        <v/>
      </c>
      <c r="L1982">
        <f>IFERROR(MATCH($C$5&amp;"|"&amp;RIGHT("000000"&amp;1966,6),ExpRankKey,0),"")</f>
        <v/>
      </c>
    </row>
    <row r="1983">
      <c r="A1983" s="16" t="n">
        <v>1967</v>
      </c>
      <c r="B1983" s="17">
        <f>IF($L1983="","",INDEX(ExpNorm,$L1983))</f>
        <v/>
      </c>
      <c r="C1983" s="17">
        <f>IF($L1983="","",IF(INDEX(ExpTime,$L1983)="","—",LEFT(INDEX(ExpTime,$L1983),2)&amp;":"&amp;RIGHT(INDEX(ExpTime,$L1983),2)))</f>
        <v/>
      </c>
      <c r="D1983" s="17">
        <f>IF($L1983="","",IF(INDEX(ExpBank,$L1983)="","—",INDEX(ExpBank,$L1983)))</f>
        <v/>
      </c>
      <c r="E1983" s="18">
        <f>IF($L1983="","",IF(INDEX(ExpParty,$L1983)="","—",IFERROR(VLOOKUP(INDEX(ExpParty,$L1983),AcctTbl,4,0),INDEX(ExpParty,$L1983))))</f>
        <v/>
      </c>
      <c r="F1983" s="17">
        <f>IF($L1983="","",IF(INDEX(ExpType,$L1983)="","—",INDEX(ExpType,$L1983)))</f>
        <v/>
      </c>
      <c r="G1983" s="19">
        <f>IF($L1983="","",IF(INDEX(ExpDep,$L1983)=0,"",INDEX(ExpDep,$L1983)))</f>
        <v/>
      </c>
      <c r="H1983" s="19">
        <f>IF($L1983="","",IF(INDEX(ExpWit,$L1983)=0,"",INDEX(ExpWit,$L1983)))</f>
        <v/>
      </c>
      <c r="I1983" s="20">
        <f>IF($B1983="","",IF($I1982="",0,$I1982)+IF($H1983="",0,$H1983)-IF($G1983="",0,$G1983))</f>
        <v/>
      </c>
      <c r="J1983" s="18">
        <f>IF($L1983="","",IF(INDEX(ExpNote,$L1983)="","—",INDEX(ExpNote,$L1983)))</f>
        <v/>
      </c>
      <c r="L1983">
        <f>IFERROR(MATCH($C$5&amp;"|"&amp;RIGHT("000000"&amp;1967,6),ExpRankKey,0),"")</f>
        <v/>
      </c>
    </row>
    <row r="1984">
      <c r="A1984" s="21" t="n">
        <v>1968</v>
      </c>
      <c r="B1984" s="22">
        <f>IF($L1984="","",INDEX(ExpNorm,$L1984))</f>
        <v/>
      </c>
      <c r="C1984" s="22">
        <f>IF($L1984="","",IF(INDEX(ExpTime,$L1984)="","—",LEFT(INDEX(ExpTime,$L1984),2)&amp;":"&amp;RIGHT(INDEX(ExpTime,$L1984),2)))</f>
        <v/>
      </c>
      <c r="D1984" s="22">
        <f>IF($L1984="","",IF(INDEX(ExpBank,$L1984)="","—",INDEX(ExpBank,$L1984)))</f>
        <v/>
      </c>
      <c r="E1984" s="23">
        <f>IF($L1984="","",IF(INDEX(ExpParty,$L1984)="","—",IFERROR(VLOOKUP(INDEX(ExpParty,$L1984),AcctTbl,4,0),INDEX(ExpParty,$L1984))))</f>
        <v/>
      </c>
      <c r="F1984" s="22">
        <f>IF($L1984="","",IF(INDEX(ExpType,$L1984)="","—",INDEX(ExpType,$L1984)))</f>
        <v/>
      </c>
      <c r="G1984" s="24">
        <f>IF($L1984="","",IF(INDEX(ExpDep,$L1984)=0,"",INDEX(ExpDep,$L1984)))</f>
        <v/>
      </c>
      <c r="H1984" s="24">
        <f>IF($L1984="","",IF(INDEX(ExpWit,$L1984)=0,"",INDEX(ExpWit,$L1984)))</f>
        <v/>
      </c>
      <c r="I1984" s="25">
        <f>IF($B1984="","",IF($I1983="",0,$I1983)+IF($H1984="",0,$H1984)-IF($G1984="",0,$G1984))</f>
        <v/>
      </c>
      <c r="J1984" s="23">
        <f>IF($L1984="","",IF(INDEX(ExpNote,$L1984)="","—",INDEX(ExpNote,$L1984)))</f>
        <v/>
      </c>
      <c r="L1984">
        <f>IFERROR(MATCH($C$5&amp;"|"&amp;RIGHT("000000"&amp;1968,6),ExpRankKey,0),"")</f>
        <v/>
      </c>
    </row>
    <row r="1985">
      <c r="A1985" s="16" t="n">
        <v>1969</v>
      </c>
      <c r="B1985" s="17">
        <f>IF($L1985="","",INDEX(ExpNorm,$L1985))</f>
        <v/>
      </c>
      <c r="C1985" s="17">
        <f>IF($L1985="","",IF(INDEX(ExpTime,$L1985)="","—",LEFT(INDEX(ExpTime,$L1985),2)&amp;":"&amp;RIGHT(INDEX(ExpTime,$L1985),2)))</f>
        <v/>
      </c>
      <c r="D1985" s="17">
        <f>IF($L1985="","",IF(INDEX(ExpBank,$L1985)="","—",INDEX(ExpBank,$L1985)))</f>
        <v/>
      </c>
      <c r="E1985" s="18">
        <f>IF($L1985="","",IF(INDEX(ExpParty,$L1985)="","—",IFERROR(VLOOKUP(INDEX(ExpParty,$L1985),AcctTbl,4,0),INDEX(ExpParty,$L1985))))</f>
        <v/>
      </c>
      <c r="F1985" s="17">
        <f>IF($L1985="","",IF(INDEX(ExpType,$L1985)="","—",INDEX(ExpType,$L1985)))</f>
        <v/>
      </c>
      <c r="G1985" s="19">
        <f>IF($L1985="","",IF(INDEX(ExpDep,$L1985)=0,"",INDEX(ExpDep,$L1985)))</f>
        <v/>
      </c>
      <c r="H1985" s="19">
        <f>IF($L1985="","",IF(INDEX(ExpWit,$L1985)=0,"",INDEX(ExpWit,$L1985)))</f>
        <v/>
      </c>
      <c r="I1985" s="20">
        <f>IF($B1985="","",IF($I1984="",0,$I1984)+IF($H1985="",0,$H1985)-IF($G1985="",0,$G1985))</f>
        <v/>
      </c>
      <c r="J1985" s="18">
        <f>IF($L1985="","",IF(INDEX(ExpNote,$L1985)="","—",INDEX(ExpNote,$L1985)))</f>
        <v/>
      </c>
      <c r="L1985">
        <f>IFERROR(MATCH($C$5&amp;"|"&amp;RIGHT("000000"&amp;1969,6),ExpRankKey,0),"")</f>
        <v/>
      </c>
    </row>
    <row r="1986">
      <c r="A1986" s="21" t="n">
        <v>1970</v>
      </c>
      <c r="B1986" s="22">
        <f>IF($L1986="","",INDEX(ExpNorm,$L1986))</f>
        <v/>
      </c>
      <c r="C1986" s="22">
        <f>IF($L1986="","",IF(INDEX(ExpTime,$L1986)="","—",LEFT(INDEX(ExpTime,$L1986),2)&amp;":"&amp;RIGHT(INDEX(ExpTime,$L1986),2)))</f>
        <v/>
      </c>
      <c r="D1986" s="22">
        <f>IF($L1986="","",IF(INDEX(ExpBank,$L1986)="","—",INDEX(ExpBank,$L1986)))</f>
        <v/>
      </c>
      <c r="E1986" s="23">
        <f>IF($L1986="","",IF(INDEX(ExpParty,$L1986)="","—",IFERROR(VLOOKUP(INDEX(ExpParty,$L1986),AcctTbl,4,0),INDEX(ExpParty,$L1986))))</f>
        <v/>
      </c>
      <c r="F1986" s="22">
        <f>IF($L1986="","",IF(INDEX(ExpType,$L1986)="","—",INDEX(ExpType,$L1986)))</f>
        <v/>
      </c>
      <c r="G1986" s="24">
        <f>IF($L1986="","",IF(INDEX(ExpDep,$L1986)=0,"",INDEX(ExpDep,$L1986)))</f>
        <v/>
      </c>
      <c r="H1986" s="24">
        <f>IF($L1986="","",IF(INDEX(ExpWit,$L1986)=0,"",INDEX(ExpWit,$L1986)))</f>
        <v/>
      </c>
      <c r="I1986" s="25">
        <f>IF($B1986="","",IF($I1985="",0,$I1985)+IF($H1986="",0,$H1986)-IF($G1986="",0,$G1986))</f>
        <v/>
      </c>
      <c r="J1986" s="23">
        <f>IF($L1986="","",IF(INDEX(ExpNote,$L1986)="","—",INDEX(ExpNote,$L1986)))</f>
        <v/>
      </c>
      <c r="L1986">
        <f>IFERROR(MATCH($C$5&amp;"|"&amp;RIGHT("000000"&amp;1970,6),ExpRankKey,0),"")</f>
        <v/>
      </c>
    </row>
    <row r="1987">
      <c r="A1987" s="16" t="n">
        <v>1971</v>
      </c>
      <c r="B1987" s="17">
        <f>IF($L1987="","",INDEX(ExpNorm,$L1987))</f>
        <v/>
      </c>
      <c r="C1987" s="17">
        <f>IF($L1987="","",IF(INDEX(ExpTime,$L1987)="","—",LEFT(INDEX(ExpTime,$L1987),2)&amp;":"&amp;RIGHT(INDEX(ExpTime,$L1987),2)))</f>
        <v/>
      </c>
      <c r="D1987" s="17">
        <f>IF($L1987="","",IF(INDEX(ExpBank,$L1987)="","—",INDEX(ExpBank,$L1987)))</f>
        <v/>
      </c>
      <c r="E1987" s="18">
        <f>IF($L1987="","",IF(INDEX(ExpParty,$L1987)="","—",IFERROR(VLOOKUP(INDEX(ExpParty,$L1987),AcctTbl,4,0),INDEX(ExpParty,$L1987))))</f>
        <v/>
      </c>
      <c r="F1987" s="17">
        <f>IF($L1987="","",IF(INDEX(ExpType,$L1987)="","—",INDEX(ExpType,$L1987)))</f>
        <v/>
      </c>
      <c r="G1987" s="19">
        <f>IF($L1987="","",IF(INDEX(ExpDep,$L1987)=0,"",INDEX(ExpDep,$L1987)))</f>
        <v/>
      </c>
      <c r="H1987" s="19">
        <f>IF($L1987="","",IF(INDEX(ExpWit,$L1987)=0,"",INDEX(ExpWit,$L1987)))</f>
        <v/>
      </c>
      <c r="I1987" s="20">
        <f>IF($B1987="","",IF($I1986="",0,$I1986)+IF($H1987="",0,$H1987)-IF($G1987="",0,$G1987))</f>
        <v/>
      </c>
      <c r="J1987" s="18">
        <f>IF($L1987="","",IF(INDEX(ExpNote,$L1987)="","—",INDEX(ExpNote,$L1987)))</f>
        <v/>
      </c>
      <c r="L1987">
        <f>IFERROR(MATCH($C$5&amp;"|"&amp;RIGHT("000000"&amp;1971,6),ExpRankKey,0),"")</f>
        <v/>
      </c>
    </row>
    <row r="1988">
      <c r="A1988" s="21" t="n">
        <v>1972</v>
      </c>
      <c r="B1988" s="22">
        <f>IF($L1988="","",INDEX(ExpNorm,$L1988))</f>
        <v/>
      </c>
      <c r="C1988" s="22">
        <f>IF($L1988="","",IF(INDEX(ExpTime,$L1988)="","—",LEFT(INDEX(ExpTime,$L1988),2)&amp;":"&amp;RIGHT(INDEX(ExpTime,$L1988),2)))</f>
        <v/>
      </c>
      <c r="D1988" s="22">
        <f>IF($L1988="","",IF(INDEX(ExpBank,$L1988)="","—",INDEX(ExpBank,$L1988)))</f>
        <v/>
      </c>
      <c r="E1988" s="23">
        <f>IF($L1988="","",IF(INDEX(ExpParty,$L1988)="","—",IFERROR(VLOOKUP(INDEX(ExpParty,$L1988),AcctTbl,4,0),INDEX(ExpParty,$L1988))))</f>
        <v/>
      </c>
      <c r="F1988" s="22">
        <f>IF($L1988="","",IF(INDEX(ExpType,$L1988)="","—",INDEX(ExpType,$L1988)))</f>
        <v/>
      </c>
      <c r="G1988" s="24">
        <f>IF($L1988="","",IF(INDEX(ExpDep,$L1988)=0,"",INDEX(ExpDep,$L1988)))</f>
        <v/>
      </c>
      <c r="H1988" s="24">
        <f>IF($L1988="","",IF(INDEX(ExpWit,$L1988)=0,"",INDEX(ExpWit,$L1988)))</f>
        <v/>
      </c>
      <c r="I1988" s="25">
        <f>IF($B1988="","",IF($I1987="",0,$I1987)+IF($H1988="",0,$H1988)-IF($G1988="",0,$G1988))</f>
        <v/>
      </c>
      <c r="J1988" s="23">
        <f>IF($L1988="","",IF(INDEX(ExpNote,$L1988)="","—",INDEX(ExpNote,$L1988)))</f>
        <v/>
      </c>
      <c r="L1988">
        <f>IFERROR(MATCH($C$5&amp;"|"&amp;RIGHT("000000"&amp;1972,6),ExpRankKey,0),"")</f>
        <v/>
      </c>
    </row>
    <row r="1989">
      <c r="A1989" s="16" t="n">
        <v>1973</v>
      </c>
      <c r="B1989" s="17">
        <f>IF($L1989="","",INDEX(ExpNorm,$L1989))</f>
        <v/>
      </c>
      <c r="C1989" s="17">
        <f>IF($L1989="","",IF(INDEX(ExpTime,$L1989)="","—",LEFT(INDEX(ExpTime,$L1989),2)&amp;":"&amp;RIGHT(INDEX(ExpTime,$L1989),2)))</f>
        <v/>
      </c>
      <c r="D1989" s="17">
        <f>IF($L1989="","",IF(INDEX(ExpBank,$L1989)="","—",INDEX(ExpBank,$L1989)))</f>
        <v/>
      </c>
      <c r="E1989" s="18">
        <f>IF($L1989="","",IF(INDEX(ExpParty,$L1989)="","—",IFERROR(VLOOKUP(INDEX(ExpParty,$L1989),AcctTbl,4,0),INDEX(ExpParty,$L1989))))</f>
        <v/>
      </c>
      <c r="F1989" s="17">
        <f>IF($L1989="","",IF(INDEX(ExpType,$L1989)="","—",INDEX(ExpType,$L1989)))</f>
        <v/>
      </c>
      <c r="G1989" s="19">
        <f>IF($L1989="","",IF(INDEX(ExpDep,$L1989)=0,"",INDEX(ExpDep,$L1989)))</f>
        <v/>
      </c>
      <c r="H1989" s="19">
        <f>IF($L1989="","",IF(INDEX(ExpWit,$L1989)=0,"",INDEX(ExpWit,$L1989)))</f>
        <v/>
      </c>
      <c r="I1989" s="20">
        <f>IF($B1989="","",IF($I1988="",0,$I1988)+IF($H1989="",0,$H1989)-IF($G1989="",0,$G1989))</f>
        <v/>
      </c>
      <c r="J1989" s="18">
        <f>IF($L1989="","",IF(INDEX(ExpNote,$L1989)="","—",INDEX(ExpNote,$L1989)))</f>
        <v/>
      </c>
      <c r="L1989">
        <f>IFERROR(MATCH($C$5&amp;"|"&amp;RIGHT("000000"&amp;1973,6),ExpRankKey,0),"")</f>
        <v/>
      </c>
    </row>
    <row r="1990">
      <c r="A1990" s="21" t="n">
        <v>1974</v>
      </c>
      <c r="B1990" s="22">
        <f>IF($L1990="","",INDEX(ExpNorm,$L1990))</f>
        <v/>
      </c>
      <c r="C1990" s="22">
        <f>IF($L1990="","",IF(INDEX(ExpTime,$L1990)="","—",LEFT(INDEX(ExpTime,$L1990),2)&amp;":"&amp;RIGHT(INDEX(ExpTime,$L1990),2)))</f>
        <v/>
      </c>
      <c r="D1990" s="22">
        <f>IF($L1990="","",IF(INDEX(ExpBank,$L1990)="","—",INDEX(ExpBank,$L1990)))</f>
        <v/>
      </c>
      <c r="E1990" s="23">
        <f>IF($L1990="","",IF(INDEX(ExpParty,$L1990)="","—",IFERROR(VLOOKUP(INDEX(ExpParty,$L1990),AcctTbl,4,0),INDEX(ExpParty,$L1990))))</f>
        <v/>
      </c>
      <c r="F1990" s="22">
        <f>IF($L1990="","",IF(INDEX(ExpType,$L1990)="","—",INDEX(ExpType,$L1990)))</f>
        <v/>
      </c>
      <c r="G1990" s="24">
        <f>IF($L1990="","",IF(INDEX(ExpDep,$L1990)=0,"",INDEX(ExpDep,$L1990)))</f>
        <v/>
      </c>
      <c r="H1990" s="24">
        <f>IF($L1990="","",IF(INDEX(ExpWit,$L1990)=0,"",INDEX(ExpWit,$L1990)))</f>
        <v/>
      </c>
      <c r="I1990" s="25">
        <f>IF($B1990="","",IF($I1989="",0,$I1989)+IF($H1990="",0,$H1990)-IF($G1990="",0,$G1990))</f>
        <v/>
      </c>
      <c r="J1990" s="23">
        <f>IF($L1990="","",IF(INDEX(ExpNote,$L1990)="","—",INDEX(ExpNote,$L1990)))</f>
        <v/>
      </c>
      <c r="L1990">
        <f>IFERROR(MATCH($C$5&amp;"|"&amp;RIGHT("000000"&amp;1974,6),ExpRankKey,0),"")</f>
        <v/>
      </c>
    </row>
    <row r="1991">
      <c r="A1991" s="16" t="n">
        <v>1975</v>
      </c>
      <c r="B1991" s="17">
        <f>IF($L1991="","",INDEX(ExpNorm,$L1991))</f>
        <v/>
      </c>
      <c r="C1991" s="17">
        <f>IF($L1991="","",IF(INDEX(ExpTime,$L1991)="","—",LEFT(INDEX(ExpTime,$L1991),2)&amp;":"&amp;RIGHT(INDEX(ExpTime,$L1991),2)))</f>
        <v/>
      </c>
      <c r="D1991" s="17">
        <f>IF($L1991="","",IF(INDEX(ExpBank,$L1991)="","—",INDEX(ExpBank,$L1991)))</f>
        <v/>
      </c>
      <c r="E1991" s="18">
        <f>IF($L1991="","",IF(INDEX(ExpParty,$L1991)="","—",IFERROR(VLOOKUP(INDEX(ExpParty,$L1991),AcctTbl,4,0),INDEX(ExpParty,$L1991))))</f>
        <v/>
      </c>
      <c r="F1991" s="17">
        <f>IF($L1991="","",IF(INDEX(ExpType,$L1991)="","—",INDEX(ExpType,$L1991)))</f>
        <v/>
      </c>
      <c r="G1991" s="19">
        <f>IF($L1991="","",IF(INDEX(ExpDep,$L1991)=0,"",INDEX(ExpDep,$L1991)))</f>
        <v/>
      </c>
      <c r="H1991" s="19">
        <f>IF($L1991="","",IF(INDEX(ExpWit,$L1991)=0,"",INDEX(ExpWit,$L1991)))</f>
        <v/>
      </c>
      <c r="I1991" s="20">
        <f>IF($B1991="","",IF($I1990="",0,$I1990)+IF($H1991="",0,$H1991)-IF($G1991="",0,$G1991))</f>
        <v/>
      </c>
      <c r="J1991" s="18">
        <f>IF($L1991="","",IF(INDEX(ExpNote,$L1991)="","—",INDEX(ExpNote,$L1991)))</f>
        <v/>
      </c>
      <c r="L1991">
        <f>IFERROR(MATCH($C$5&amp;"|"&amp;RIGHT("000000"&amp;1975,6),ExpRankKey,0),"")</f>
        <v/>
      </c>
    </row>
    <row r="1992">
      <c r="A1992" s="21" t="n">
        <v>1976</v>
      </c>
      <c r="B1992" s="22">
        <f>IF($L1992="","",INDEX(ExpNorm,$L1992))</f>
        <v/>
      </c>
      <c r="C1992" s="22">
        <f>IF($L1992="","",IF(INDEX(ExpTime,$L1992)="","—",LEFT(INDEX(ExpTime,$L1992),2)&amp;":"&amp;RIGHT(INDEX(ExpTime,$L1992),2)))</f>
        <v/>
      </c>
      <c r="D1992" s="22">
        <f>IF($L1992="","",IF(INDEX(ExpBank,$L1992)="","—",INDEX(ExpBank,$L1992)))</f>
        <v/>
      </c>
      <c r="E1992" s="23">
        <f>IF($L1992="","",IF(INDEX(ExpParty,$L1992)="","—",IFERROR(VLOOKUP(INDEX(ExpParty,$L1992),AcctTbl,4,0),INDEX(ExpParty,$L1992))))</f>
        <v/>
      </c>
      <c r="F1992" s="22">
        <f>IF($L1992="","",IF(INDEX(ExpType,$L1992)="","—",INDEX(ExpType,$L1992)))</f>
        <v/>
      </c>
      <c r="G1992" s="24">
        <f>IF($L1992="","",IF(INDEX(ExpDep,$L1992)=0,"",INDEX(ExpDep,$L1992)))</f>
        <v/>
      </c>
      <c r="H1992" s="24">
        <f>IF($L1992="","",IF(INDEX(ExpWit,$L1992)=0,"",INDEX(ExpWit,$L1992)))</f>
        <v/>
      </c>
      <c r="I1992" s="25">
        <f>IF($B1992="","",IF($I1991="",0,$I1991)+IF($H1992="",0,$H1992)-IF($G1992="",0,$G1992))</f>
        <v/>
      </c>
      <c r="J1992" s="23">
        <f>IF($L1992="","",IF(INDEX(ExpNote,$L1992)="","—",INDEX(ExpNote,$L1992)))</f>
        <v/>
      </c>
      <c r="L1992">
        <f>IFERROR(MATCH($C$5&amp;"|"&amp;RIGHT("000000"&amp;1976,6),ExpRankKey,0),"")</f>
        <v/>
      </c>
    </row>
    <row r="1993">
      <c r="A1993" s="16" t="n">
        <v>1977</v>
      </c>
      <c r="B1993" s="17">
        <f>IF($L1993="","",INDEX(ExpNorm,$L1993))</f>
        <v/>
      </c>
      <c r="C1993" s="17">
        <f>IF($L1993="","",IF(INDEX(ExpTime,$L1993)="","—",LEFT(INDEX(ExpTime,$L1993),2)&amp;":"&amp;RIGHT(INDEX(ExpTime,$L1993),2)))</f>
        <v/>
      </c>
      <c r="D1993" s="17">
        <f>IF($L1993="","",IF(INDEX(ExpBank,$L1993)="","—",INDEX(ExpBank,$L1993)))</f>
        <v/>
      </c>
      <c r="E1993" s="18">
        <f>IF($L1993="","",IF(INDEX(ExpParty,$L1993)="","—",IFERROR(VLOOKUP(INDEX(ExpParty,$L1993),AcctTbl,4,0),INDEX(ExpParty,$L1993))))</f>
        <v/>
      </c>
      <c r="F1993" s="17">
        <f>IF($L1993="","",IF(INDEX(ExpType,$L1993)="","—",INDEX(ExpType,$L1993)))</f>
        <v/>
      </c>
      <c r="G1993" s="19">
        <f>IF($L1993="","",IF(INDEX(ExpDep,$L1993)=0,"",INDEX(ExpDep,$L1993)))</f>
        <v/>
      </c>
      <c r="H1993" s="19">
        <f>IF($L1993="","",IF(INDEX(ExpWit,$L1993)=0,"",INDEX(ExpWit,$L1993)))</f>
        <v/>
      </c>
      <c r="I1993" s="20">
        <f>IF($B1993="","",IF($I1992="",0,$I1992)+IF($H1993="",0,$H1993)-IF($G1993="",0,$G1993))</f>
        <v/>
      </c>
      <c r="J1993" s="18">
        <f>IF($L1993="","",IF(INDEX(ExpNote,$L1993)="","—",INDEX(ExpNote,$L1993)))</f>
        <v/>
      </c>
      <c r="L1993">
        <f>IFERROR(MATCH($C$5&amp;"|"&amp;RIGHT("000000"&amp;1977,6),ExpRankKey,0),"")</f>
        <v/>
      </c>
    </row>
    <row r="1994">
      <c r="A1994" s="21" t="n">
        <v>1978</v>
      </c>
      <c r="B1994" s="22">
        <f>IF($L1994="","",INDEX(ExpNorm,$L1994))</f>
        <v/>
      </c>
      <c r="C1994" s="22">
        <f>IF($L1994="","",IF(INDEX(ExpTime,$L1994)="","—",LEFT(INDEX(ExpTime,$L1994),2)&amp;":"&amp;RIGHT(INDEX(ExpTime,$L1994),2)))</f>
        <v/>
      </c>
      <c r="D1994" s="22">
        <f>IF($L1994="","",IF(INDEX(ExpBank,$L1994)="","—",INDEX(ExpBank,$L1994)))</f>
        <v/>
      </c>
      <c r="E1994" s="23">
        <f>IF($L1994="","",IF(INDEX(ExpParty,$L1994)="","—",IFERROR(VLOOKUP(INDEX(ExpParty,$L1994),AcctTbl,4,0),INDEX(ExpParty,$L1994))))</f>
        <v/>
      </c>
      <c r="F1994" s="22">
        <f>IF($L1994="","",IF(INDEX(ExpType,$L1994)="","—",INDEX(ExpType,$L1994)))</f>
        <v/>
      </c>
      <c r="G1994" s="24">
        <f>IF($L1994="","",IF(INDEX(ExpDep,$L1994)=0,"",INDEX(ExpDep,$L1994)))</f>
        <v/>
      </c>
      <c r="H1994" s="24">
        <f>IF($L1994="","",IF(INDEX(ExpWit,$L1994)=0,"",INDEX(ExpWit,$L1994)))</f>
        <v/>
      </c>
      <c r="I1994" s="25">
        <f>IF($B1994="","",IF($I1993="",0,$I1993)+IF($H1994="",0,$H1994)-IF($G1994="",0,$G1994))</f>
        <v/>
      </c>
      <c r="J1994" s="23">
        <f>IF($L1994="","",IF(INDEX(ExpNote,$L1994)="","—",INDEX(ExpNote,$L1994)))</f>
        <v/>
      </c>
      <c r="L1994">
        <f>IFERROR(MATCH($C$5&amp;"|"&amp;RIGHT("000000"&amp;1978,6),ExpRankKey,0),"")</f>
        <v/>
      </c>
    </row>
    <row r="1995">
      <c r="A1995" s="16" t="n">
        <v>1979</v>
      </c>
      <c r="B1995" s="17">
        <f>IF($L1995="","",INDEX(ExpNorm,$L1995))</f>
        <v/>
      </c>
      <c r="C1995" s="17">
        <f>IF($L1995="","",IF(INDEX(ExpTime,$L1995)="","—",LEFT(INDEX(ExpTime,$L1995),2)&amp;":"&amp;RIGHT(INDEX(ExpTime,$L1995),2)))</f>
        <v/>
      </c>
      <c r="D1995" s="17">
        <f>IF($L1995="","",IF(INDEX(ExpBank,$L1995)="","—",INDEX(ExpBank,$L1995)))</f>
        <v/>
      </c>
      <c r="E1995" s="18">
        <f>IF($L1995="","",IF(INDEX(ExpParty,$L1995)="","—",IFERROR(VLOOKUP(INDEX(ExpParty,$L1995),AcctTbl,4,0),INDEX(ExpParty,$L1995))))</f>
        <v/>
      </c>
      <c r="F1995" s="17">
        <f>IF($L1995="","",IF(INDEX(ExpType,$L1995)="","—",INDEX(ExpType,$L1995)))</f>
        <v/>
      </c>
      <c r="G1995" s="19">
        <f>IF($L1995="","",IF(INDEX(ExpDep,$L1995)=0,"",INDEX(ExpDep,$L1995)))</f>
        <v/>
      </c>
      <c r="H1995" s="19">
        <f>IF($L1995="","",IF(INDEX(ExpWit,$L1995)=0,"",INDEX(ExpWit,$L1995)))</f>
        <v/>
      </c>
      <c r="I1995" s="20">
        <f>IF($B1995="","",IF($I1994="",0,$I1994)+IF($H1995="",0,$H1995)-IF($G1995="",0,$G1995))</f>
        <v/>
      </c>
      <c r="J1995" s="18">
        <f>IF($L1995="","",IF(INDEX(ExpNote,$L1995)="","—",INDEX(ExpNote,$L1995)))</f>
        <v/>
      </c>
      <c r="L1995">
        <f>IFERROR(MATCH($C$5&amp;"|"&amp;RIGHT("000000"&amp;1979,6),ExpRankKey,0),"")</f>
        <v/>
      </c>
    </row>
    <row r="1996">
      <c r="A1996" s="21" t="n">
        <v>1980</v>
      </c>
      <c r="B1996" s="22">
        <f>IF($L1996="","",INDEX(ExpNorm,$L1996))</f>
        <v/>
      </c>
      <c r="C1996" s="22">
        <f>IF($L1996="","",IF(INDEX(ExpTime,$L1996)="","—",LEFT(INDEX(ExpTime,$L1996),2)&amp;":"&amp;RIGHT(INDEX(ExpTime,$L1996),2)))</f>
        <v/>
      </c>
      <c r="D1996" s="22">
        <f>IF($L1996="","",IF(INDEX(ExpBank,$L1996)="","—",INDEX(ExpBank,$L1996)))</f>
        <v/>
      </c>
      <c r="E1996" s="23">
        <f>IF($L1996="","",IF(INDEX(ExpParty,$L1996)="","—",IFERROR(VLOOKUP(INDEX(ExpParty,$L1996),AcctTbl,4,0),INDEX(ExpParty,$L1996))))</f>
        <v/>
      </c>
      <c r="F1996" s="22">
        <f>IF($L1996="","",IF(INDEX(ExpType,$L1996)="","—",INDEX(ExpType,$L1996)))</f>
        <v/>
      </c>
      <c r="G1996" s="24">
        <f>IF($L1996="","",IF(INDEX(ExpDep,$L1996)=0,"",INDEX(ExpDep,$L1996)))</f>
        <v/>
      </c>
      <c r="H1996" s="24">
        <f>IF($L1996="","",IF(INDEX(ExpWit,$L1996)=0,"",INDEX(ExpWit,$L1996)))</f>
        <v/>
      </c>
      <c r="I1996" s="25">
        <f>IF($B1996="","",IF($I1995="",0,$I1995)+IF($H1996="",0,$H1996)-IF($G1996="",0,$G1996))</f>
        <v/>
      </c>
      <c r="J1996" s="23">
        <f>IF($L1996="","",IF(INDEX(ExpNote,$L1996)="","—",INDEX(ExpNote,$L1996)))</f>
        <v/>
      </c>
      <c r="L1996">
        <f>IFERROR(MATCH($C$5&amp;"|"&amp;RIGHT("000000"&amp;1980,6),ExpRankKey,0),"")</f>
        <v/>
      </c>
    </row>
    <row r="1997">
      <c r="A1997" s="16" t="n">
        <v>1981</v>
      </c>
      <c r="B1997" s="17">
        <f>IF($L1997="","",INDEX(ExpNorm,$L1997))</f>
        <v/>
      </c>
      <c r="C1997" s="17">
        <f>IF($L1997="","",IF(INDEX(ExpTime,$L1997)="","—",LEFT(INDEX(ExpTime,$L1997),2)&amp;":"&amp;RIGHT(INDEX(ExpTime,$L1997),2)))</f>
        <v/>
      </c>
      <c r="D1997" s="17">
        <f>IF($L1997="","",IF(INDEX(ExpBank,$L1997)="","—",INDEX(ExpBank,$L1997)))</f>
        <v/>
      </c>
      <c r="E1997" s="18">
        <f>IF($L1997="","",IF(INDEX(ExpParty,$L1997)="","—",IFERROR(VLOOKUP(INDEX(ExpParty,$L1997),AcctTbl,4,0),INDEX(ExpParty,$L1997))))</f>
        <v/>
      </c>
      <c r="F1997" s="17">
        <f>IF($L1997="","",IF(INDEX(ExpType,$L1997)="","—",INDEX(ExpType,$L1997)))</f>
        <v/>
      </c>
      <c r="G1997" s="19">
        <f>IF($L1997="","",IF(INDEX(ExpDep,$L1997)=0,"",INDEX(ExpDep,$L1997)))</f>
        <v/>
      </c>
      <c r="H1997" s="19">
        <f>IF($L1997="","",IF(INDEX(ExpWit,$L1997)=0,"",INDEX(ExpWit,$L1997)))</f>
        <v/>
      </c>
      <c r="I1997" s="20">
        <f>IF($B1997="","",IF($I1996="",0,$I1996)+IF($H1997="",0,$H1997)-IF($G1997="",0,$G1997))</f>
        <v/>
      </c>
      <c r="J1997" s="18">
        <f>IF($L1997="","",IF(INDEX(ExpNote,$L1997)="","—",INDEX(ExpNote,$L1997)))</f>
        <v/>
      </c>
      <c r="L1997">
        <f>IFERROR(MATCH($C$5&amp;"|"&amp;RIGHT("000000"&amp;1981,6),ExpRankKey,0),"")</f>
        <v/>
      </c>
    </row>
    <row r="1998">
      <c r="A1998" s="21" t="n">
        <v>1982</v>
      </c>
      <c r="B1998" s="22">
        <f>IF($L1998="","",INDEX(ExpNorm,$L1998))</f>
        <v/>
      </c>
      <c r="C1998" s="22">
        <f>IF($L1998="","",IF(INDEX(ExpTime,$L1998)="","—",LEFT(INDEX(ExpTime,$L1998),2)&amp;":"&amp;RIGHT(INDEX(ExpTime,$L1998),2)))</f>
        <v/>
      </c>
      <c r="D1998" s="22">
        <f>IF($L1998="","",IF(INDEX(ExpBank,$L1998)="","—",INDEX(ExpBank,$L1998)))</f>
        <v/>
      </c>
      <c r="E1998" s="23">
        <f>IF($L1998="","",IF(INDEX(ExpParty,$L1998)="","—",IFERROR(VLOOKUP(INDEX(ExpParty,$L1998),AcctTbl,4,0),INDEX(ExpParty,$L1998))))</f>
        <v/>
      </c>
      <c r="F1998" s="22">
        <f>IF($L1998="","",IF(INDEX(ExpType,$L1998)="","—",INDEX(ExpType,$L1998)))</f>
        <v/>
      </c>
      <c r="G1998" s="24">
        <f>IF($L1998="","",IF(INDEX(ExpDep,$L1998)=0,"",INDEX(ExpDep,$L1998)))</f>
        <v/>
      </c>
      <c r="H1998" s="24">
        <f>IF($L1998="","",IF(INDEX(ExpWit,$L1998)=0,"",INDEX(ExpWit,$L1998)))</f>
        <v/>
      </c>
      <c r="I1998" s="25">
        <f>IF($B1998="","",IF($I1997="",0,$I1997)+IF($H1998="",0,$H1998)-IF($G1998="",0,$G1998))</f>
        <v/>
      </c>
      <c r="J1998" s="23">
        <f>IF($L1998="","",IF(INDEX(ExpNote,$L1998)="","—",INDEX(ExpNote,$L1998)))</f>
        <v/>
      </c>
      <c r="L1998">
        <f>IFERROR(MATCH($C$5&amp;"|"&amp;RIGHT("000000"&amp;1982,6),ExpRankKey,0),"")</f>
        <v/>
      </c>
    </row>
    <row r="1999">
      <c r="A1999" s="16" t="n">
        <v>1983</v>
      </c>
      <c r="B1999" s="17">
        <f>IF($L1999="","",INDEX(ExpNorm,$L1999))</f>
        <v/>
      </c>
      <c r="C1999" s="17">
        <f>IF($L1999="","",IF(INDEX(ExpTime,$L1999)="","—",LEFT(INDEX(ExpTime,$L1999),2)&amp;":"&amp;RIGHT(INDEX(ExpTime,$L1999),2)))</f>
        <v/>
      </c>
      <c r="D1999" s="17">
        <f>IF($L1999="","",IF(INDEX(ExpBank,$L1999)="","—",INDEX(ExpBank,$L1999)))</f>
        <v/>
      </c>
      <c r="E1999" s="18">
        <f>IF($L1999="","",IF(INDEX(ExpParty,$L1999)="","—",IFERROR(VLOOKUP(INDEX(ExpParty,$L1999),AcctTbl,4,0),INDEX(ExpParty,$L1999))))</f>
        <v/>
      </c>
      <c r="F1999" s="17">
        <f>IF($L1999="","",IF(INDEX(ExpType,$L1999)="","—",INDEX(ExpType,$L1999)))</f>
        <v/>
      </c>
      <c r="G1999" s="19">
        <f>IF($L1999="","",IF(INDEX(ExpDep,$L1999)=0,"",INDEX(ExpDep,$L1999)))</f>
        <v/>
      </c>
      <c r="H1999" s="19">
        <f>IF($L1999="","",IF(INDEX(ExpWit,$L1999)=0,"",INDEX(ExpWit,$L1999)))</f>
        <v/>
      </c>
      <c r="I1999" s="20">
        <f>IF($B1999="","",IF($I1998="",0,$I1998)+IF($H1999="",0,$H1999)-IF($G1999="",0,$G1999))</f>
        <v/>
      </c>
      <c r="J1999" s="18">
        <f>IF($L1999="","",IF(INDEX(ExpNote,$L1999)="","—",INDEX(ExpNote,$L1999)))</f>
        <v/>
      </c>
      <c r="L1999">
        <f>IFERROR(MATCH($C$5&amp;"|"&amp;RIGHT("000000"&amp;1983,6),ExpRankKey,0),"")</f>
        <v/>
      </c>
    </row>
    <row r="2000">
      <c r="A2000" s="21" t="n">
        <v>1984</v>
      </c>
      <c r="B2000" s="22">
        <f>IF($L2000="","",INDEX(ExpNorm,$L2000))</f>
        <v/>
      </c>
      <c r="C2000" s="22">
        <f>IF($L2000="","",IF(INDEX(ExpTime,$L2000)="","—",LEFT(INDEX(ExpTime,$L2000),2)&amp;":"&amp;RIGHT(INDEX(ExpTime,$L2000),2)))</f>
        <v/>
      </c>
      <c r="D2000" s="22">
        <f>IF($L2000="","",IF(INDEX(ExpBank,$L2000)="","—",INDEX(ExpBank,$L2000)))</f>
        <v/>
      </c>
      <c r="E2000" s="23">
        <f>IF($L2000="","",IF(INDEX(ExpParty,$L2000)="","—",IFERROR(VLOOKUP(INDEX(ExpParty,$L2000),AcctTbl,4,0),INDEX(ExpParty,$L2000))))</f>
        <v/>
      </c>
      <c r="F2000" s="22">
        <f>IF($L2000="","",IF(INDEX(ExpType,$L2000)="","—",INDEX(ExpType,$L2000)))</f>
        <v/>
      </c>
      <c r="G2000" s="24">
        <f>IF($L2000="","",IF(INDEX(ExpDep,$L2000)=0,"",INDEX(ExpDep,$L2000)))</f>
        <v/>
      </c>
      <c r="H2000" s="24">
        <f>IF($L2000="","",IF(INDEX(ExpWit,$L2000)=0,"",INDEX(ExpWit,$L2000)))</f>
        <v/>
      </c>
      <c r="I2000" s="25">
        <f>IF($B2000="","",IF($I1999="",0,$I1999)+IF($H2000="",0,$H2000)-IF($G2000="",0,$G2000))</f>
        <v/>
      </c>
      <c r="J2000" s="23">
        <f>IF($L2000="","",IF(INDEX(ExpNote,$L2000)="","—",INDEX(ExpNote,$L2000)))</f>
        <v/>
      </c>
      <c r="L2000">
        <f>IFERROR(MATCH($C$5&amp;"|"&amp;RIGHT("000000"&amp;1984,6),ExpRankKey,0),"")</f>
        <v/>
      </c>
    </row>
    <row r="2001">
      <c r="A2001" s="16" t="n">
        <v>1985</v>
      </c>
      <c r="B2001" s="17">
        <f>IF($L2001="","",INDEX(ExpNorm,$L2001))</f>
        <v/>
      </c>
      <c r="C2001" s="17">
        <f>IF($L2001="","",IF(INDEX(ExpTime,$L2001)="","—",LEFT(INDEX(ExpTime,$L2001),2)&amp;":"&amp;RIGHT(INDEX(ExpTime,$L2001),2)))</f>
        <v/>
      </c>
      <c r="D2001" s="17">
        <f>IF($L2001="","",IF(INDEX(ExpBank,$L2001)="","—",INDEX(ExpBank,$L2001)))</f>
        <v/>
      </c>
      <c r="E2001" s="18">
        <f>IF($L2001="","",IF(INDEX(ExpParty,$L2001)="","—",IFERROR(VLOOKUP(INDEX(ExpParty,$L2001),AcctTbl,4,0),INDEX(ExpParty,$L2001))))</f>
        <v/>
      </c>
      <c r="F2001" s="17">
        <f>IF($L2001="","",IF(INDEX(ExpType,$L2001)="","—",INDEX(ExpType,$L2001)))</f>
        <v/>
      </c>
      <c r="G2001" s="19">
        <f>IF($L2001="","",IF(INDEX(ExpDep,$L2001)=0,"",INDEX(ExpDep,$L2001)))</f>
        <v/>
      </c>
      <c r="H2001" s="19">
        <f>IF($L2001="","",IF(INDEX(ExpWit,$L2001)=0,"",INDEX(ExpWit,$L2001)))</f>
        <v/>
      </c>
      <c r="I2001" s="20">
        <f>IF($B2001="","",IF($I2000="",0,$I2000)+IF($H2001="",0,$H2001)-IF($G2001="",0,$G2001))</f>
        <v/>
      </c>
      <c r="J2001" s="18">
        <f>IF($L2001="","",IF(INDEX(ExpNote,$L2001)="","—",INDEX(ExpNote,$L2001)))</f>
        <v/>
      </c>
      <c r="L2001">
        <f>IFERROR(MATCH($C$5&amp;"|"&amp;RIGHT("000000"&amp;1985,6),ExpRankKey,0),"")</f>
        <v/>
      </c>
    </row>
    <row r="2002">
      <c r="A2002" s="21" t="n">
        <v>1986</v>
      </c>
      <c r="B2002" s="22">
        <f>IF($L2002="","",INDEX(ExpNorm,$L2002))</f>
        <v/>
      </c>
      <c r="C2002" s="22">
        <f>IF($L2002="","",IF(INDEX(ExpTime,$L2002)="","—",LEFT(INDEX(ExpTime,$L2002),2)&amp;":"&amp;RIGHT(INDEX(ExpTime,$L2002),2)))</f>
        <v/>
      </c>
      <c r="D2002" s="22">
        <f>IF($L2002="","",IF(INDEX(ExpBank,$L2002)="","—",INDEX(ExpBank,$L2002)))</f>
        <v/>
      </c>
      <c r="E2002" s="23">
        <f>IF($L2002="","",IF(INDEX(ExpParty,$L2002)="","—",IFERROR(VLOOKUP(INDEX(ExpParty,$L2002),AcctTbl,4,0),INDEX(ExpParty,$L2002))))</f>
        <v/>
      </c>
      <c r="F2002" s="22">
        <f>IF($L2002="","",IF(INDEX(ExpType,$L2002)="","—",INDEX(ExpType,$L2002)))</f>
        <v/>
      </c>
      <c r="G2002" s="24">
        <f>IF($L2002="","",IF(INDEX(ExpDep,$L2002)=0,"",INDEX(ExpDep,$L2002)))</f>
        <v/>
      </c>
      <c r="H2002" s="24">
        <f>IF($L2002="","",IF(INDEX(ExpWit,$L2002)=0,"",INDEX(ExpWit,$L2002)))</f>
        <v/>
      </c>
      <c r="I2002" s="25">
        <f>IF($B2002="","",IF($I2001="",0,$I2001)+IF($H2002="",0,$H2002)-IF($G2002="",0,$G2002))</f>
        <v/>
      </c>
      <c r="J2002" s="23">
        <f>IF($L2002="","",IF(INDEX(ExpNote,$L2002)="","—",INDEX(ExpNote,$L2002)))</f>
        <v/>
      </c>
      <c r="L2002">
        <f>IFERROR(MATCH($C$5&amp;"|"&amp;RIGHT("000000"&amp;1986,6),ExpRankKey,0),"")</f>
        <v/>
      </c>
    </row>
    <row r="2003">
      <c r="A2003" s="16" t="n">
        <v>1987</v>
      </c>
      <c r="B2003" s="17">
        <f>IF($L2003="","",INDEX(ExpNorm,$L2003))</f>
        <v/>
      </c>
      <c r="C2003" s="17">
        <f>IF($L2003="","",IF(INDEX(ExpTime,$L2003)="","—",LEFT(INDEX(ExpTime,$L2003),2)&amp;":"&amp;RIGHT(INDEX(ExpTime,$L2003),2)))</f>
        <v/>
      </c>
      <c r="D2003" s="17">
        <f>IF($L2003="","",IF(INDEX(ExpBank,$L2003)="","—",INDEX(ExpBank,$L2003)))</f>
        <v/>
      </c>
      <c r="E2003" s="18">
        <f>IF($L2003="","",IF(INDEX(ExpParty,$L2003)="","—",IFERROR(VLOOKUP(INDEX(ExpParty,$L2003),AcctTbl,4,0),INDEX(ExpParty,$L2003))))</f>
        <v/>
      </c>
      <c r="F2003" s="17">
        <f>IF($L2003="","",IF(INDEX(ExpType,$L2003)="","—",INDEX(ExpType,$L2003)))</f>
        <v/>
      </c>
      <c r="G2003" s="19">
        <f>IF($L2003="","",IF(INDEX(ExpDep,$L2003)=0,"",INDEX(ExpDep,$L2003)))</f>
        <v/>
      </c>
      <c r="H2003" s="19">
        <f>IF($L2003="","",IF(INDEX(ExpWit,$L2003)=0,"",INDEX(ExpWit,$L2003)))</f>
        <v/>
      </c>
      <c r="I2003" s="20">
        <f>IF($B2003="","",IF($I2002="",0,$I2002)+IF($H2003="",0,$H2003)-IF($G2003="",0,$G2003))</f>
        <v/>
      </c>
      <c r="J2003" s="18">
        <f>IF($L2003="","",IF(INDEX(ExpNote,$L2003)="","—",INDEX(ExpNote,$L2003)))</f>
        <v/>
      </c>
      <c r="L2003">
        <f>IFERROR(MATCH($C$5&amp;"|"&amp;RIGHT("000000"&amp;1987,6),ExpRankKey,0),"")</f>
        <v/>
      </c>
    </row>
    <row r="2004">
      <c r="A2004" s="21" t="n">
        <v>1988</v>
      </c>
      <c r="B2004" s="22">
        <f>IF($L2004="","",INDEX(ExpNorm,$L2004))</f>
        <v/>
      </c>
      <c r="C2004" s="22">
        <f>IF($L2004="","",IF(INDEX(ExpTime,$L2004)="","—",LEFT(INDEX(ExpTime,$L2004),2)&amp;":"&amp;RIGHT(INDEX(ExpTime,$L2004),2)))</f>
        <v/>
      </c>
      <c r="D2004" s="22">
        <f>IF($L2004="","",IF(INDEX(ExpBank,$L2004)="","—",INDEX(ExpBank,$L2004)))</f>
        <v/>
      </c>
      <c r="E2004" s="23">
        <f>IF($L2004="","",IF(INDEX(ExpParty,$L2004)="","—",IFERROR(VLOOKUP(INDEX(ExpParty,$L2004),AcctTbl,4,0),INDEX(ExpParty,$L2004))))</f>
        <v/>
      </c>
      <c r="F2004" s="22">
        <f>IF($L2004="","",IF(INDEX(ExpType,$L2004)="","—",INDEX(ExpType,$L2004)))</f>
        <v/>
      </c>
      <c r="G2004" s="24">
        <f>IF($L2004="","",IF(INDEX(ExpDep,$L2004)=0,"",INDEX(ExpDep,$L2004)))</f>
        <v/>
      </c>
      <c r="H2004" s="24">
        <f>IF($L2004="","",IF(INDEX(ExpWit,$L2004)=0,"",INDEX(ExpWit,$L2004)))</f>
        <v/>
      </c>
      <c r="I2004" s="25">
        <f>IF($B2004="","",IF($I2003="",0,$I2003)+IF($H2004="",0,$H2004)-IF($G2004="",0,$G2004))</f>
        <v/>
      </c>
      <c r="J2004" s="23">
        <f>IF($L2004="","",IF(INDEX(ExpNote,$L2004)="","—",INDEX(ExpNote,$L2004)))</f>
        <v/>
      </c>
      <c r="L2004">
        <f>IFERROR(MATCH($C$5&amp;"|"&amp;RIGHT("000000"&amp;1988,6),ExpRankKey,0),"")</f>
        <v/>
      </c>
    </row>
    <row r="2005">
      <c r="A2005" s="16" t="n">
        <v>1989</v>
      </c>
      <c r="B2005" s="17">
        <f>IF($L2005="","",INDEX(ExpNorm,$L2005))</f>
        <v/>
      </c>
      <c r="C2005" s="17">
        <f>IF($L2005="","",IF(INDEX(ExpTime,$L2005)="","—",LEFT(INDEX(ExpTime,$L2005),2)&amp;":"&amp;RIGHT(INDEX(ExpTime,$L2005),2)))</f>
        <v/>
      </c>
      <c r="D2005" s="17">
        <f>IF($L2005="","",IF(INDEX(ExpBank,$L2005)="","—",INDEX(ExpBank,$L2005)))</f>
        <v/>
      </c>
      <c r="E2005" s="18">
        <f>IF($L2005="","",IF(INDEX(ExpParty,$L2005)="","—",IFERROR(VLOOKUP(INDEX(ExpParty,$L2005),AcctTbl,4,0),INDEX(ExpParty,$L2005))))</f>
        <v/>
      </c>
      <c r="F2005" s="17">
        <f>IF($L2005="","",IF(INDEX(ExpType,$L2005)="","—",INDEX(ExpType,$L2005)))</f>
        <v/>
      </c>
      <c r="G2005" s="19">
        <f>IF($L2005="","",IF(INDEX(ExpDep,$L2005)=0,"",INDEX(ExpDep,$L2005)))</f>
        <v/>
      </c>
      <c r="H2005" s="19">
        <f>IF($L2005="","",IF(INDEX(ExpWit,$L2005)=0,"",INDEX(ExpWit,$L2005)))</f>
        <v/>
      </c>
      <c r="I2005" s="20">
        <f>IF($B2005="","",IF($I2004="",0,$I2004)+IF($H2005="",0,$H2005)-IF($G2005="",0,$G2005))</f>
        <v/>
      </c>
      <c r="J2005" s="18">
        <f>IF($L2005="","",IF(INDEX(ExpNote,$L2005)="","—",INDEX(ExpNote,$L2005)))</f>
        <v/>
      </c>
      <c r="L2005">
        <f>IFERROR(MATCH($C$5&amp;"|"&amp;RIGHT("000000"&amp;1989,6),ExpRankKey,0),"")</f>
        <v/>
      </c>
    </row>
    <row r="2006">
      <c r="A2006" s="21" t="n">
        <v>1990</v>
      </c>
      <c r="B2006" s="22">
        <f>IF($L2006="","",INDEX(ExpNorm,$L2006))</f>
        <v/>
      </c>
      <c r="C2006" s="22">
        <f>IF($L2006="","",IF(INDEX(ExpTime,$L2006)="","—",LEFT(INDEX(ExpTime,$L2006),2)&amp;":"&amp;RIGHT(INDEX(ExpTime,$L2006),2)))</f>
        <v/>
      </c>
      <c r="D2006" s="22">
        <f>IF($L2006="","",IF(INDEX(ExpBank,$L2006)="","—",INDEX(ExpBank,$L2006)))</f>
        <v/>
      </c>
      <c r="E2006" s="23">
        <f>IF($L2006="","",IF(INDEX(ExpParty,$L2006)="","—",IFERROR(VLOOKUP(INDEX(ExpParty,$L2006),AcctTbl,4,0),INDEX(ExpParty,$L2006))))</f>
        <v/>
      </c>
      <c r="F2006" s="22">
        <f>IF($L2006="","",IF(INDEX(ExpType,$L2006)="","—",INDEX(ExpType,$L2006)))</f>
        <v/>
      </c>
      <c r="G2006" s="24">
        <f>IF($L2006="","",IF(INDEX(ExpDep,$L2006)=0,"",INDEX(ExpDep,$L2006)))</f>
        <v/>
      </c>
      <c r="H2006" s="24">
        <f>IF($L2006="","",IF(INDEX(ExpWit,$L2006)=0,"",INDEX(ExpWit,$L2006)))</f>
        <v/>
      </c>
      <c r="I2006" s="25">
        <f>IF($B2006="","",IF($I2005="",0,$I2005)+IF($H2006="",0,$H2006)-IF($G2006="",0,$G2006))</f>
        <v/>
      </c>
      <c r="J2006" s="23">
        <f>IF($L2006="","",IF(INDEX(ExpNote,$L2006)="","—",INDEX(ExpNote,$L2006)))</f>
        <v/>
      </c>
      <c r="L2006">
        <f>IFERROR(MATCH($C$5&amp;"|"&amp;RIGHT("000000"&amp;1990,6),ExpRankKey,0),"")</f>
        <v/>
      </c>
    </row>
    <row r="2007">
      <c r="A2007" s="16" t="n">
        <v>1991</v>
      </c>
      <c r="B2007" s="17">
        <f>IF($L2007="","",INDEX(ExpNorm,$L2007))</f>
        <v/>
      </c>
      <c r="C2007" s="17">
        <f>IF($L2007="","",IF(INDEX(ExpTime,$L2007)="","—",LEFT(INDEX(ExpTime,$L2007),2)&amp;":"&amp;RIGHT(INDEX(ExpTime,$L2007),2)))</f>
        <v/>
      </c>
      <c r="D2007" s="17">
        <f>IF($L2007="","",IF(INDEX(ExpBank,$L2007)="","—",INDEX(ExpBank,$L2007)))</f>
        <v/>
      </c>
      <c r="E2007" s="18">
        <f>IF($L2007="","",IF(INDEX(ExpParty,$L2007)="","—",IFERROR(VLOOKUP(INDEX(ExpParty,$L2007),AcctTbl,4,0),INDEX(ExpParty,$L2007))))</f>
        <v/>
      </c>
      <c r="F2007" s="17">
        <f>IF($L2007="","",IF(INDEX(ExpType,$L2007)="","—",INDEX(ExpType,$L2007)))</f>
        <v/>
      </c>
      <c r="G2007" s="19">
        <f>IF($L2007="","",IF(INDEX(ExpDep,$L2007)=0,"",INDEX(ExpDep,$L2007)))</f>
        <v/>
      </c>
      <c r="H2007" s="19">
        <f>IF($L2007="","",IF(INDEX(ExpWit,$L2007)=0,"",INDEX(ExpWit,$L2007)))</f>
        <v/>
      </c>
      <c r="I2007" s="20">
        <f>IF($B2007="","",IF($I2006="",0,$I2006)+IF($H2007="",0,$H2007)-IF($G2007="",0,$G2007))</f>
        <v/>
      </c>
      <c r="J2007" s="18">
        <f>IF($L2007="","",IF(INDEX(ExpNote,$L2007)="","—",INDEX(ExpNote,$L2007)))</f>
        <v/>
      </c>
      <c r="L2007">
        <f>IFERROR(MATCH($C$5&amp;"|"&amp;RIGHT("000000"&amp;1991,6),ExpRankKey,0),"")</f>
        <v/>
      </c>
    </row>
    <row r="2008">
      <c r="A2008" s="21" t="n">
        <v>1992</v>
      </c>
      <c r="B2008" s="22">
        <f>IF($L2008="","",INDEX(ExpNorm,$L2008))</f>
        <v/>
      </c>
      <c r="C2008" s="22">
        <f>IF($L2008="","",IF(INDEX(ExpTime,$L2008)="","—",LEFT(INDEX(ExpTime,$L2008),2)&amp;":"&amp;RIGHT(INDEX(ExpTime,$L2008),2)))</f>
        <v/>
      </c>
      <c r="D2008" s="22">
        <f>IF($L2008="","",IF(INDEX(ExpBank,$L2008)="","—",INDEX(ExpBank,$L2008)))</f>
        <v/>
      </c>
      <c r="E2008" s="23">
        <f>IF($L2008="","",IF(INDEX(ExpParty,$L2008)="","—",IFERROR(VLOOKUP(INDEX(ExpParty,$L2008),AcctTbl,4,0),INDEX(ExpParty,$L2008))))</f>
        <v/>
      </c>
      <c r="F2008" s="22">
        <f>IF($L2008="","",IF(INDEX(ExpType,$L2008)="","—",INDEX(ExpType,$L2008)))</f>
        <v/>
      </c>
      <c r="G2008" s="24">
        <f>IF($L2008="","",IF(INDEX(ExpDep,$L2008)=0,"",INDEX(ExpDep,$L2008)))</f>
        <v/>
      </c>
      <c r="H2008" s="24">
        <f>IF($L2008="","",IF(INDEX(ExpWit,$L2008)=0,"",INDEX(ExpWit,$L2008)))</f>
        <v/>
      </c>
      <c r="I2008" s="25">
        <f>IF($B2008="","",IF($I2007="",0,$I2007)+IF($H2008="",0,$H2008)-IF($G2008="",0,$G2008))</f>
        <v/>
      </c>
      <c r="J2008" s="23">
        <f>IF($L2008="","",IF(INDEX(ExpNote,$L2008)="","—",INDEX(ExpNote,$L2008)))</f>
        <v/>
      </c>
      <c r="L2008">
        <f>IFERROR(MATCH($C$5&amp;"|"&amp;RIGHT("000000"&amp;1992,6),ExpRankKey,0),"")</f>
        <v/>
      </c>
    </row>
    <row r="2009">
      <c r="A2009" s="16" t="n">
        <v>1993</v>
      </c>
      <c r="B2009" s="17">
        <f>IF($L2009="","",INDEX(ExpNorm,$L2009))</f>
        <v/>
      </c>
      <c r="C2009" s="17">
        <f>IF($L2009="","",IF(INDEX(ExpTime,$L2009)="","—",LEFT(INDEX(ExpTime,$L2009),2)&amp;":"&amp;RIGHT(INDEX(ExpTime,$L2009),2)))</f>
        <v/>
      </c>
      <c r="D2009" s="17">
        <f>IF($L2009="","",IF(INDEX(ExpBank,$L2009)="","—",INDEX(ExpBank,$L2009)))</f>
        <v/>
      </c>
      <c r="E2009" s="18">
        <f>IF($L2009="","",IF(INDEX(ExpParty,$L2009)="","—",IFERROR(VLOOKUP(INDEX(ExpParty,$L2009),AcctTbl,4,0),INDEX(ExpParty,$L2009))))</f>
        <v/>
      </c>
      <c r="F2009" s="17">
        <f>IF($L2009="","",IF(INDEX(ExpType,$L2009)="","—",INDEX(ExpType,$L2009)))</f>
        <v/>
      </c>
      <c r="G2009" s="19">
        <f>IF($L2009="","",IF(INDEX(ExpDep,$L2009)=0,"",INDEX(ExpDep,$L2009)))</f>
        <v/>
      </c>
      <c r="H2009" s="19">
        <f>IF($L2009="","",IF(INDEX(ExpWit,$L2009)=0,"",INDEX(ExpWit,$L2009)))</f>
        <v/>
      </c>
      <c r="I2009" s="20">
        <f>IF($B2009="","",IF($I2008="",0,$I2008)+IF($H2009="",0,$H2009)-IF($G2009="",0,$G2009))</f>
        <v/>
      </c>
      <c r="J2009" s="18">
        <f>IF($L2009="","",IF(INDEX(ExpNote,$L2009)="","—",INDEX(ExpNote,$L2009)))</f>
        <v/>
      </c>
      <c r="L2009">
        <f>IFERROR(MATCH($C$5&amp;"|"&amp;RIGHT("000000"&amp;1993,6),ExpRankKey,0),"")</f>
        <v/>
      </c>
    </row>
    <row r="2010">
      <c r="A2010" s="21" t="n">
        <v>1994</v>
      </c>
      <c r="B2010" s="22">
        <f>IF($L2010="","",INDEX(ExpNorm,$L2010))</f>
        <v/>
      </c>
      <c r="C2010" s="22">
        <f>IF($L2010="","",IF(INDEX(ExpTime,$L2010)="","—",LEFT(INDEX(ExpTime,$L2010),2)&amp;":"&amp;RIGHT(INDEX(ExpTime,$L2010),2)))</f>
        <v/>
      </c>
      <c r="D2010" s="22">
        <f>IF($L2010="","",IF(INDEX(ExpBank,$L2010)="","—",INDEX(ExpBank,$L2010)))</f>
        <v/>
      </c>
      <c r="E2010" s="23">
        <f>IF($L2010="","",IF(INDEX(ExpParty,$L2010)="","—",IFERROR(VLOOKUP(INDEX(ExpParty,$L2010),AcctTbl,4,0),INDEX(ExpParty,$L2010))))</f>
        <v/>
      </c>
      <c r="F2010" s="22">
        <f>IF($L2010="","",IF(INDEX(ExpType,$L2010)="","—",INDEX(ExpType,$L2010)))</f>
        <v/>
      </c>
      <c r="G2010" s="24">
        <f>IF($L2010="","",IF(INDEX(ExpDep,$L2010)=0,"",INDEX(ExpDep,$L2010)))</f>
        <v/>
      </c>
      <c r="H2010" s="24">
        <f>IF($L2010="","",IF(INDEX(ExpWit,$L2010)=0,"",INDEX(ExpWit,$L2010)))</f>
        <v/>
      </c>
      <c r="I2010" s="25">
        <f>IF($B2010="","",IF($I2009="",0,$I2009)+IF($H2010="",0,$H2010)-IF($G2010="",0,$G2010))</f>
        <v/>
      </c>
      <c r="J2010" s="23">
        <f>IF($L2010="","",IF(INDEX(ExpNote,$L2010)="","—",INDEX(ExpNote,$L2010)))</f>
        <v/>
      </c>
      <c r="L2010">
        <f>IFERROR(MATCH($C$5&amp;"|"&amp;RIGHT("000000"&amp;1994,6),ExpRankKey,0),"")</f>
        <v/>
      </c>
    </row>
    <row r="2011">
      <c r="A2011" s="16" t="n">
        <v>1995</v>
      </c>
      <c r="B2011" s="17">
        <f>IF($L2011="","",INDEX(ExpNorm,$L2011))</f>
        <v/>
      </c>
      <c r="C2011" s="17">
        <f>IF($L2011="","",IF(INDEX(ExpTime,$L2011)="","—",LEFT(INDEX(ExpTime,$L2011),2)&amp;":"&amp;RIGHT(INDEX(ExpTime,$L2011),2)))</f>
        <v/>
      </c>
      <c r="D2011" s="17">
        <f>IF($L2011="","",IF(INDEX(ExpBank,$L2011)="","—",INDEX(ExpBank,$L2011)))</f>
        <v/>
      </c>
      <c r="E2011" s="18">
        <f>IF($L2011="","",IF(INDEX(ExpParty,$L2011)="","—",IFERROR(VLOOKUP(INDEX(ExpParty,$L2011),AcctTbl,4,0),INDEX(ExpParty,$L2011))))</f>
        <v/>
      </c>
      <c r="F2011" s="17">
        <f>IF($L2011="","",IF(INDEX(ExpType,$L2011)="","—",INDEX(ExpType,$L2011)))</f>
        <v/>
      </c>
      <c r="G2011" s="19">
        <f>IF($L2011="","",IF(INDEX(ExpDep,$L2011)=0,"",INDEX(ExpDep,$L2011)))</f>
        <v/>
      </c>
      <c r="H2011" s="19">
        <f>IF($L2011="","",IF(INDEX(ExpWit,$L2011)=0,"",INDEX(ExpWit,$L2011)))</f>
        <v/>
      </c>
      <c r="I2011" s="20">
        <f>IF($B2011="","",IF($I2010="",0,$I2010)+IF($H2011="",0,$H2011)-IF($G2011="",0,$G2011))</f>
        <v/>
      </c>
      <c r="J2011" s="18">
        <f>IF($L2011="","",IF(INDEX(ExpNote,$L2011)="","—",INDEX(ExpNote,$L2011)))</f>
        <v/>
      </c>
      <c r="L2011">
        <f>IFERROR(MATCH($C$5&amp;"|"&amp;RIGHT("000000"&amp;1995,6),ExpRankKey,0),"")</f>
        <v/>
      </c>
    </row>
    <row r="2012">
      <c r="A2012" s="21" t="n">
        <v>1996</v>
      </c>
      <c r="B2012" s="22">
        <f>IF($L2012="","",INDEX(ExpNorm,$L2012))</f>
        <v/>
      </c>
      <c r="C2012" s="22">
        <f>IF($L2012="","",IF(INDEX(ExpTime,$L2012)="","—",LEFT(INDEX(ExpTime,$L2012),2)&amp;":"&amp;RIGHT(INDEX(ExpTime,$L2012),2)))</f>
        <v/>
      </c>
      <c r="D2012" s="22">
        <f>IF($L2012="","",IF(INDEX(ExpBank,$L2012)="","—",INDEX(ExpBank,$L2012)))</f>
        <v/>
      </c>
      <c r="E2012" s="23">
        <f>IF($L2012="","",IF(INDEX(ExpParty,$L2012)="","—",IFERROR(VLOOKUP(INDEX(ExpParty,$L2012),AcctTbl,4,0),INDEX(ExpParty,$L2012))))</f>
        <v/>
      </c>
      <c r="F2012" s="22">
        <f>IF($L2012="","",IF(INDEX(ExpType,$L2012)="","—",INDEX(ExpType,$L2012)))</f>
        <v/>
      </c>
      <c r="G2012" s="24">
        <f>IF($L2012="","",IF(INDEX(ExpDep,$L2012)=0,"",INDEX(ExpDep,$L2012)))</f>
        <v/>
      </c>
      <c r="H2012" s="24">
        <f>IF($L2012="","",IF(INDEX(ExpWit,$L2012)=0,"",INDEX(ExpWit,$L2012)))</f>
        <v/>
      </c>
      <c r="I2012" s="25">
        <f>IF($B2012="","",IF($I2011="",0,$I2011)+IF($H2012="",0,$H2012)-IF($G2012="",0,$G2012))</f>
        <v/>
      </c>
      <c r="J2012" s="23">
        <f>IF($L2012="","",IF(INDEX(ExpNote,$L2012)="","—",INDEX(ExpNote,$L2012)))</f>
        <v/>
      </c>
      <c r="L2012">
        <f>IFERROR(MATCH($C$5&amp;"|"&amp;RIGHT("000000"&amp;1996,6),ExpRankKey,0),"")</f>
        <v/>
      </c>
    </row>
    <row r="2013">
      <c r="A2013" s="16" t="n">
        <v>1997</v>
      </c>
      <c r="B2013" s="17">
        <f>IF($L2013="","",INDEX(ExpNorm,$L2013))</f>
        <v/>
      </c>
      <c r="C2013" s="17">
        <f>IF($L2013="","",IF(INDEX(ExpTime,$L2013)="","—",LEFT(INDEX(ExpTime,$L2013),2)&amp;":"&amp;RIGHT(INDEX(ExpTime,$L2013),2)))</f>
        <v/>
      </c>
      <c r="D2013" s="17">
        <f>IF($L2013="","",IF(INDEX(ExpBank,$L2013)="","—",INDEX(ExpBank,$L2013)))</f>
        <v/>
      </c>
      <c r="E2013" s="18">
        <f>IF($L2013="","",IF(INDEX(ExpParty,$L2013)="","—",IFERROR(VLOOKUP(INDEX(ExpParty,$L2013),AcctTbl,4,0),INDEX(ExpParty,$L2013))))</f>
        <v/>
      </c>
      <c r="F2013" s="17">
        <f>IF($L2013="","",IF(INDEX(ExpType,$L2013)="","—",INDEX(ExpType,$L2013)))</f>
        <v/>
      </c>
      <c r="G2013" s="19">
        <f>IF($L2013="","",IF(INDEX(ExpDep,$L2013)=0,"",INDEX(ExpDep,$L2013)))</f>
        <v/>
      </c>
      <c r="H2013" s="19">
        <f>IF($L2013="","",IF(INDEX(ExpWit,$L2013)=0,"",INDEX(ExpWit,$L2013)))</f>
        <v/>
      </c>
      <c r="I2013" s="20">
        <f>IF($B2013="","",IF($I2012="",0,$I2012)+IF($H2013="",0,$H2013)-IF($G2013="",0,$G2013))</f>
        <v/>
      </c>
      <c r="J2013" s="18">
        <f>IF($L2013="","",IF(INDEX(ExpNote,$L2013)="","—",INDEX(ExpNote,$L2013)))</f>
        <v/>
      </c>
      <c r="L2013">
        <f>IFERROR(MATCH($C$5&amp;"|"&amp;RIGHT("000000"&amp;1997,6),ExpRankKey,0),"")</f>
        <v/>
      </c>
    </row>
    <row r="2014">
      <c r="A2014" s="21" t="n">
        <v>1998</v>
      </c>
      <c r="B2014" s="22">
        <f>IF($L2014="","",INDEX(ExpNorm,$L2014))</f>
        <v/>
      </c>
      <c r="C2014" s="22">
        <f>IF($L2014="","",IF(INDEX(ExpTime,$L2014)="","—",LEFT(INDEX(ExpTime,$L2014),2)&amp;":"&amp;RIGHT(INDEX(ExpTime,$L2014),2)))</f>
        <v/>
      </c>
      <c r="D2014" s="22">
        <f>IF($L2014="","",IF(INDEX(ExpBank,$L2014)="","—",INDEX(ExpBank,$L2014)))</f>
        <v/>
      </c>
      <c r="E2014" s="23">
        <f>IF($L2014="","",IF(INDEX(ExpParty,$L2014)="","—",IFERROR(VLOOKUP(INDEX(ExpParty,$L2014),AcctTbl,4,0),INDEX(ExpParty,$L2014))))</f>
        <v/>
      </c>
      <c r="F2014" s="22">
        <f>IF($L2014="","",IF(INDEX(ExpType,$L2014)="","—",INDEX(ExpType,$L2014)))</f>
        <v/>
      </c>
      <c r="G2014" s="24">
        <f>IF($L2014="","",IF(INDEX(ExpDep,$L2014)=0,"",INDEX(ExpDep,$L2014)))</f>
        <v/>
      </c>
      <c r="H2014" s="24">
        <f>IF($L2014="","",IF(INDEX(ExpWit,$L2014)=0,"",INDEX(ExpWit,$L2014)))</f>
        <v/>
      </c>
      <c r="I2014" s="25">
        <f>IF($B2014="","",IF($I2013="",0,$I2013)+IF($H2014="",0,$H2014)-IF($G2014="",0,$G2014))</f>
        <v/>
      </c>
      <c r="J2014" s="23">
        <f>IF($L2014="","",IF(INDEX(ExpNote,$L2014)="","—",INDEX(ExpNote,$L2014)))</f>
        <v/>
      </c>
      <c r="L2014">
        <f>IFERROR(MATCH($C$5&amp;"|"&amp;RIGHT("000000"&amp;1998,6),ExpRankKey,0),"")</f>
        <v/>
      </c>
    </row>
    <row r="2015">
      <c r="A2015" s="16" t="n">
        <v>1999</v>
      </c>
      <c r="B2015" s="17">
        <f>IF($L2015="","",INDEX(ExpNorm,$L2015))</f>
        <v/>
      </c>
      <c r="C2015" s="17">
        <f>IF($L2015="","",IF(INDEX(ExpTime,$L2015)="","—",LEFT(INDEX(ExpTime,$L2015),2)&amp;":"&amp;RIGHT(INDEX(ExpTime,$L2015),2)))</f>
        <v/>
      </c>
      <c r="D2015" s="17">
        <f>IF($L2015="","",IF(INDEX(ExpBank,$L2015)="","—",INDEX(ExpBank,$L2015)))</f>
        <v/>
      </c>
      <c r="E2015" s="18">
        <f>IF($L2015="","",IF(INDEX(ExpParty,$L2015)="","—",IFERROR(VLOOKUP(INDEX(ExpParty,$L2015),AcctTbl,4,0),INDEX(ExpParty,$L2015))))</f>
        <v/>
      </c>
      <c r="F2015" s="17">
        <f>IF($L2015="","",IF(INDEX(ExpType,$L2015)="","—",INDEX(ExpType,$L2015)))</f>
        <v/>
      </c>
      <c r="G2015" s="19">
        <f>IF($L2015="","",IF(INDEX(ExpDep,$L2015)=0,"",INDEX(ExpDep,$L2015)))</f>
        <v/>
      </c>
      <c r="H2015" s="19">
        <f>IF($L2015="","",IF(INDEX(ExpWit,$L2015)=0,"",INDEX(ExpWit,$L2015)))</f>
        <v/>
      </c>
      <c r="I2015" s="20">
        <f>IF($B2015="","",IF($I2014="",0,$I2014)+IF($H2015="",0,$H2015)-IF($G2015="",0,$G2015))</f>
        <v/>
      </c>
      <c r="J2015" s="18">
        <f>IF($L2015="","",IF(INDEX(ExpNote,$L2015)="","—",INDEX(ExpNote,$L2015)))</f>
        <v/>
      </c>
      <c r="L2015">
        <f>IFERROR(MATCH($C$5&amp;"|"&amp;RIGHT("000000"&amp;1999,6),ExpRankKey,0),"")</f>
        <v/>
      </c>
    </row>
    <row r="2016">
      <c r="A2016" s="21" t="n">
        <v>2000</v>
      </c>
      <c r="B2016" s="22">
        <f>IF($L2016="","",INDEX(ExpNorm,$L2016))</f>
        <v/>
      </c>
      <c r="C2016" s="22">
        <f>IF($L2016="","",IF(INDEX(ExpTime,$L2016)="","—",LEFT(INDEX(ExpTime,$L2016),2)&amp;":"&amp;RIGHT(INDEX(ExpTime,$L2016),2)))</f>
        <v/>
      </c>
      <c r="D2016" s="22">
        <f>IF($L2016="","",IF(INDEX(ExpBank,$L2016)="","—",INDEX(ExpBank,$L2016)))</f>
        <v/>
      </c>
      <c r="E2016" s="23">
        <f>IF($L2016="","",IF(INDEX(ExpParty,$L2016)="","—",IFERROR(VLOOKUP(INDEX(ExpParty,$L2016),AcctTbl,4,0),INDEX(ExpParty,$L2016))))</f>
        <v/>
      </c>
      <c r="F2016" s="22">
        <f>IF($L2016="","",IF(INDEX(ExpType,$L2016)="","—",INDEX(ExpType,$L2016)))</f>
        <v/>
      </c>
      <c r="G2016" s="24">
        <f>IF($L2016="","",IF(INDEX(ExpDep,$L2016)=0,"",INDEX(ExpDep,$L2016)))</f>
        <v/>
      </c>
      <c r="H2016" s="24">
        <f>IF($L2016="","",IF(INDEX(ExpWit,$L2016)=0,"",INDEX(ExpWit,$L2016)))</f>
        <v/>
      </c>
      <c r="I2016" s="25">
        <f>IF($B2016="","",IF($I2015="",0,$I2015)+IF($H2016="",0,$H2016)-IF($G2016="",0,$G2016))</f>
        <v/>
      </c>
      <c r="J2016" s="23">
        <f>IF($L2016="","",IF(INDEX(ExpNote,$L2016)="","—",INDEX(ExpNote,$L2016)))</f>
        <v/>
      </c>
      <c r="L2016">
        <f>IFERROR(MATCH($C$5&amp;"|"&amp;RIGHT("000000"&amp;2000,6),ExpRankKey,0),"")</f>
        <v/>
      </c>
    </row>
  </sheetData>
  <mergeCells count="33">
    <mergeCell ref="E12:F12"/>
    <mergeCell ref="G12:H12"/>
    <mergeCell ref="A11:B11"/>
    <mergeCell ref="C6:J6"/>
    <mergeCell ref="C5:D5"/>
    <mergeCell ref="G11:H11"/>
    <mergeCell ref="I11:J11"/>
    <mergeCell ref="C14:D14"/>
    <mergeCell ref="E14:F14"/>
    <mergeCell ref="A6:B6"/>
    <mergeCell ref="A7:B7"/>
    <mergeCell ref="A9:J9"/>
    <mergeCell ref="E13:F13"/>
    <mergeCell ref="G13:H13"/>
    <mergeCell ref="A12:B12"/>
    <mergeCell ref="A1:J1"/>
    <mergeCell ref="C12:D12"/>
    <mergeCell ref="I12:J12"/>
    <mergeCell ref="C11:D11"/>
    <mergeCell ref="E11:F11"/>
    <mergeCell ref="A5:B5"/>
    <mergeCell ref="A14:B14"/>
    <mergeCell ref="G14:H14"/>
    <mergeCell ref="I14:J14"/>
    <mergeCell ref="A8:B8"/>
    <mergeCell ref="C8:J8"/>
    <mergeCell ref="C7:J7"/>
    <mergeCell ref="A3:J3"/>
    <mergeCell ref="E5:J5"/>
    <mergeCell ref="A13:B13"/>
    <mergeCell ref="C13:D13"/>
    <mergeCell ref="I13:J13"/>
    <mergeCell ref="A2:J2"/>
  </mergeCells>
  <conditionalFormatting sqref="H17:H2016">
    <cfRule type="cellIs" priority="1" operator="greaterThan" dxfId="0">
      <formula>0</formula>
    </cfRule>
    <cfRule type="dataBar" priority="4">
      <dataBar showValue="1">
        <cfvo type="num" val="0"/>
        <cfvo type="max"/>
        <color rgb="00FFB74D"/>
      </dataBar>
    </cfRule>
  </conditionalFormatting>
  <conditionalFormatting sqref="G17:G2016">
    <cfRule type="cellIs" priority="2" operator="greaterThan" dxfId="1">
      <formula>0</formula>
    </cfRule>
  </conditionalFormatting>
  <conditionalFormatting sqref="I17:I2016">
    <cfRule type="cellIs" priority="3" operator="lessThan" dxfId="2">
      <formula>0</formula>
    </cfRule>
  </conditionalFormatting>
  <dataValidations count="1">
    <dataValidation sqref="C5" showDropDown="0" showInputMessage="1" showErrorMessage="0" allowBlank="1" errorTitle="کد زیرگروه نامعتبر" error="کد را از فایل INFO (شیت SubGroups) وارد کنید — الگو: SG001" promptTitle="کد زیرگروه" prompt="کد را وارد کنید؛ کل گزارش خودکار به‌روز می‌شود. برای زیرگروه دیگر، شیت را کپی کنید و این کد را عوض کنید." type="custom" errorStyle="warning">
      <formula1>OR($C$5="",COUNTIF(SubCodes,$C$5)&gt;0)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گزارش هزینه زیرگروه — فایل هزینه&amp;R&amp;"Tahoma"&amp;8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A1:H111"/>
  <sheetViews>
    <sheetView showGridLines="0" rightToLeft="1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10" customWidth="1" min="4" max="4"/>
    <col width="15" customWidth="1" min="5" max="5"/>
    <col width="15" customWidth="1" min="6" max="6"/>
    <col width="16" customWidth="1" min="7" max="7"/>
    <col width="10" customWidth="1" min="8" max="8"/>
  </cols>
  <sheetData>
    <row r="1" ht="26" customHeight="1">
      <c r="A1" s="1">
        <f>IF(Sync!$AE$6="","مازندشت",Sync!$AE$6)&amp;" — "&amp;IF(Sync!$AE$9="","سورتینگ و بسته‌بندی مرکبات",Sync!$AE$9)</f>
        <v/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>
        <f>IF(Sync!$AE$7="","باغدشت، بخش مرکزی، شهرستان قائم‌شهر، استان مازندران، ایران",Sync!$AE$7)&amp;"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خلاصه و تحلیل هزینه‌ها به تفکیک زیرگروه — گروه اصلی: هزینه</t>
        </is>
      </c>
      <c r="B3" s="3" t="n"/>
      <c r="C3" s="3" t="n"/>
      <c r="D3" s="3" t="n"/>
      <c r="E3" s="3" t="n"/>
      <c r="F3" s="3" t="n"/>
      <c r="G3" s="3" t="n"/>
      <c r="H3" s="3" t="n"/>
    </row>
    <row r="4" ht="18" customHeight="1">
      <c r="A4" s="26" t="inlineStr">
        <is>
          <t>منبع: تراکنش‌های ثبت‌شده در فایل واریز/برداشت (Transactions.xlsx ← شیت Entry) با گروه «هزینه». زیرگروه‌ها در فایل مادر (INFO ← شیت SubGroups) تعریف می‌شوند.</t>
        </is>
      </c>
      <c r="B4" s="26" t="n"/>
      <c r="C4" s="26" t="n"/>
      <c r="D4" s="26" t="n"/>
      <c r="E4" s="26" t="n"/>
      <c r="F4" s="26" t="n"/>
      <c r="G4" s="26" t="n"/>
      <c r="H4" s="26" t="n"/>
    </row>
    <row r="5" ht="13" customHeight="1">
      <c r="A5" s="9" t="inlineStr">
        <is>
          <t>جمع خالص هزینه (ریال)</t>
        </is>
      </c>
      <c r="B5" s="9" t="n"/>
      <c r="C5" s="9" t="inlineStr">
        <is>
          <t>جمع برداشت (ریال)</t>
        </is>
      </c>
      <c r="D5" s="9" t="n"/>
      <c r="E5" s="9" t="inlineStr">
        <is>
          <t>جمع واریز/بازگشت (ریال)</t>
        </is>
      </c>
      <c r="F5" s="9" t="n"/>
      <c r="G5" s="9" t="inlineStr">
        <is>
          <t>تعداد ردیف هزینه</t>
        </is>
      </c>
      <c r="H5" s="9" t="n"/>
    </row>
    <row r="6" ht="20" customHeight="1">
      <c r="A6" s="10">
        <f>G111</f>
        <v/>
      </c>
      <c r="B6" s="10" t="n"/>
      <c r="C6" s="10">
        <f>F111</f>
        <v/>
      </c>
      <c r="D6" s="10" t="n"/>
      <c r="E6" s="10">
        <f>E111</f>
        <v/>
      </c>
      <c r="F6" s="10" t="n"/>
      <c r="G6" s="11">
        <f>D111</f>
        <v/>
      </c>
      <c r="H6" s="11" t="n"/>
    </row>
    <row r="7" ht="6" customHeight="1"/>
    <row r="8" ht="30" customHeight="1">
      <c r="A8" s="14" t="inlineStr">
        <is>
          <t>ردیف</t>
        </is>
      </c>
      <c r="B8" s="14" t="inlineStr">
        <is>
          <t>کد زیرگروه</t>
        </is>
      </c>
      <c r="C8" s="14" t="inlineStr">
        <is>
          <t>عنوان زیرگروه</t>
        </is>
      </c>
      <c r="D8" s="14" t="inlineStr">
        <is>
          <t>تعداد ردیف</t>
        </is>
      </c>
      <c r="E8" s="14" t="inlineStr">
        <is>
          <t>جمع واریز (ریال)</t>
        </is>
      </c>
      <c r="F8" s="14" t="inlineStr">
        <is>
          <t>جمع برداشت (ریال)</t>
        </is>
      </c>
      <c r="G8" s="14" t="inlineStr">
        <is>
          <t>خالص هزینه (ریال)</t>
        </is>
      </c>
      <c r="H8" s="14" t="inlineStr">
        <is>
          <t>سهم از کل</t>
        </is>
      </c>
    </row>
    <row r="9" ht="13" customHeight="1">
      <c r="A9" s="15" t="inlineStr">
        <is>
          <t>No.</t>
        </is>
      </c>
      <c r="B9" s="15" t="inlineStr">
        <is>
          <t>Code</t>
        </is>
      </c>
      <c r="C9" s="15" t="inlineStr">
        <is>
          <t>Subgroup</t>
        </is>
      </c>
      <c r="D9" s="15" t="inlineStr">
        <is>
          <t>Entries</t>
        </is>
      </c>
      <c r="E9" s="15" t="inlineStr">
        <is>
          <t>Deposits</t>
        </is>
      </c>
      <c r="F9" s="15" t="inlineStr">
        <is>
          <t>Withdrawals</t>
        </is>
      </c>
      <c r="G9" s="15" t="inlineStr">
        <is>
          <t>Net</t>
        </is>
      </c>
      <c r="H9" s="15" t="inlineStr">
        <is>
          <t>Share</t>
        </is>
      </c>
    </row>
    <row r="10">
      <c r="A10" s="16">
        <f>IF(ROW()-9&gt;NSubExp,"",ROW()-9)</f>
        <v/>
      </c>
      <c r="B10" s="27">
        <f>IF($A10="","",IF($A10&lt;=NSubExp,INDEX(PkSubExp,$A10),""))</f>
        <v/>
      </c>
      <c r="C10" s="17">
        <f>IF($B10="","",IFERROR(VLOOKUP($B10,SubTbl,3,0),"—"))</f>
        <v/>
      </c>
      <c r="D10" s="28">
        <f>IF($B10="","",COUNTIFS(ExpSub,$B10,ExpGroup,"هزینه"))</f>
        <v/>
      </c>
      <c r="E10" s="19">
        <f>IF($B10="","",SUMIFS(ExpDep,ExpSub,$B10,ExpGroup,"هزینه"))</f>
        <v/>
      </c>
      <c r="F10" s="19">
        <f>IF($B10="","",SUMIFS(ExpWit,ExpSub,$B10,ExpGroup,"هزینه"))</f>
        <v/>
      </c>
      <c r="G10" s="19">
        <f>IF($B10="","",$F10-$E10)</f>
        <v/>
      </c>
      <c r="H10" s="29">
        <f>IF(OR($B10="",$G$111=0),"",$G10/$G$111)</f>
        <v/>
      </c>
    </row>
    <row r="11">
      <c r="A11" s="21">
        <f>IF(ROW()-9&gt;NSubExp,"",ROW()-9)</f>
        <v/>
      </c>
      <c r="B11" s="30">
        <f>IF($A11="","",IF($A11&lt;=NSubExp,INDEX(PkSubExp,$A11),""))</f>
        <v/>
      </c>
      <c r="C11" s="22">
        <f>IF($B11="","",IFERROR(VLOOKUP($B11,SubTbl,3,0),"—"))</f>
        <v/>
      </c>
      <c r="D11" s="31">
        <f>IF($B11="","",COUNTIFS(ExpSub,$B11,ExpGroup,"هزینه"))</f>
        <v/>
      </c>
      <c r="E11" s="24">
        <f>IF($B11="","",SUMIFS(ExpDep,ExpSub,$B11,ExpGroup,"هزینه"))</f>
        <v/>
      </c>
      <c r="F11" s="24">
        <f>IF($B11="","",SUMIFS(ExpWit,ExpSub,$B11,ExpGroup,"هزینه"))</f>
        <v/>
      </c>
      <c r="G11" s="24">
        <f>IF($B11="","",$F11-$E11)</f>
        <v/>
      </c>
      <c r="H11" s="32">
        <f>IF(OR($B11="",$G$111=0),"",$G11/$G$111)</f>
        <v/>
      </c>
    </row>
    <row r="12">
      <c r="A12" s="16">
        <f>IF(ROW()-9&gt;NSubExp,"",ROW()-9)</f>
        <v/>
      </c>
      <c r="B12" s="27">
        <f>IF($A12="","",IF($A12&lt;=NSubExp,INDEX(PkSubExp,$A12),""))</f>
        <v/>
      </c>
      <c r="C12" s="17">
        <f>IF($B12="","",IFERROR(VLOOKUP($B12,SubTbl,3,0),"—"))</f>
        <v/>
      </c>
      <c r="D12" s="28">
        <f>IF($B12="","",COUNTIFS(ExpSub,$B12,ExpGroup,"هزینه"))</f>
        <v/>
      </c>
      <c r="E12" s="19">
        <f>IF($B12="","",SUMIFS(ExpDep,ExpSub,$B12,ExpGroup,"هزینه"))</f>
        <v/>
      </c>
      <c r="F12" s="19">
        <f>IF($B12="","",SUMIFS(ExpWit,ExpSub,$B12,ExpGroup,"هزینه"))</f>
        <v/>
      </c>
      <c r="G12" s="19">
        <f>IF($B12="","",$F12-$E12)</f>
        <v/>
      </c>
      <c r="H12" s="29">
        <f>IF(OR($B12="",$G$111=0),"",$G12/$G$111)</f>
        <v/>
      </c>
    </row>
    <row r="13">
      <c r="A13" s="21">
        <f>IF(ROW()-9&gt;NSubExp,"",ROW()-9)</f>
        <v/>
      </c>
      <c r="B13" s="30">
        <f>IF($A13="","",IF($A13&lt;=NSubExp,INDEX(PkSubExp,$A13),""))</f>
        <v/>
      </c>
      <c r="C13" s="22">
        <f>IF($B13="","",IFERROR(VLOOKUP($B13,SubTbl,3,0),"—"))</f>
        <v/>
      </c>
      <c r="D13" s="31">
        <f>IF($B13="","",COUNTIFS(ExpSub,$B13,ExpGroup,"هزینه"))</f>
        <v/>
      </c>
      <c r="E13" s="24">
        <f>IF($B13="","",SUMIFS(ExpDep,ExpSub,$B13,ExpGroup,"هزینه"))</f>
        <v/>
      </c>
      <c r="F13" s="24">
        <f>IF($B13="","",SUMIFS(ExpWit,ExpSub,$B13,ExpGroup,"هزینه"))</f>
        <v/>
      </c>
      <c r="G13" s="24">
        <f>IF($B13="","",$F13-$E13)</f>
        <v/>
      </c>
      <c r="H13" s="32">
        <f>IF(OR($B13="",$G$111=0),"",$G13/$G$111)</f>
        <v/>
      </c>
    </row>
    <row r="14">
      <c r="A14" s="16">
        <f>IF(ROW()-9&gt;NSubExp,"",ROW()-9)</f>
        <v/>
      </c>
      <c r="B14" s="27">
        <f>IF($A14="","",IF($A14&lt;=NSubExp,INDEX(PkSubExp,$A14),""))</f>
        <v/>
      </c>
      <c r="C14" s="17">
        <f>IF($B14="","",IFERROR(VLOOKUP($B14,SubTbl,3,0),"—"))</f>
        <v/>
      </c>
      <c r="D14" s="28">
        <f>IF($B14="","",COUNTIFS(ExpSub,$B14,ExpGroup,"هزینه"))</f>
        <v/>
      </c>
      <c r="E14" s="19">
        <f>IF($B14="","",SUMIFS(ExpDep,ExpSub,$B14,ExpGroup,"هزینه"))</f>
        <v/>
      </c>
      <c r="F14" s="19">
        <f>IF($B14="","",SUMIFS(ExpWit,ExpSub,$B14,ExpGroup,"هزینه"))</f>
        <v/>
      </c>
      <c r="G14" s="19">
        <f>IF($B14="","",$F14-$E14)</f>
        <v/>
      </c>
      <c r="H14" s="29">
        <f>IF(OR($B14="",$G$111=0),"",$G14/$G$111)</f>
        <v/>
      </c>
    </row>
    <row r="15">
      <c r="A15" s="21">
        <f>IF(ROW()-9&gt;NSubExp,"",ROW()-9)</f>
        <v/>
      </c>
      <c r="B15" s="30">
        <f>IF($A15="","",IF($A15&lt;=NSubExp,INDEX(PkSubExp,$A15),""))</f>
        <v/>
      </c>
      <c r="C15" s="22">
        <f>IF($B15="","",IFERROR(VLOOKUP($B15,SubTbl,3,0),"—"))</f>
        <v/>
      </c>
      <c r="D15" s="31">
        <f>IF($B15="","",COUNTIFS(ExpSub,$B15,ExpGroup,"هزینه"))</f>
        <v/>
      </c>
      <c r="E15" s="24">
        <f>IF($B15="","",SUMIFS(ExpDep,ExpSub,$B15,ExpGroup,"هزینه"))</f>
        <v/>
      </c>
      <c r="F15" s="24">
        <f>IF($B15="","",SUMIFS(ExpWit,ExpSub,$B15,ExpGroup,"هزینه"))</f>
        <v/>
      </c>
      <c r="G15" s="24">
        <f>IF($B15="","",$F15-$E15)</f>
        <v/>
      </c>
      <c r="H15" s="32">
        <f>IF(OR($B15="",$G$111=0),"",$G15/$G$111)</f>
        <v/>
      </c>
    </row>
    <row r="16">
      <c r="A16" s="16">
        <f>IF(ROW()-9&gt;NSubExp,"",ROW()-9)</f>
        <v/>
      </c>
      <c r="B16" s="27">
        <f>IF($A16="","",IF($A16&lt;=NSubExp,INDEX(PkSubExp,$A16),""))</f>
        <v/>
      </c>
      <c r="C16" s="17">
        <f>IF($B16="","",IFERROR(VLOOKUP($B16,SubTbl,3,0),"—"))</f>
        <v/>
      </c>
      <c r="D16" s="28">
        <f>IF($B16="","",COUNTIFS(ExpSub,$B16,ExpGroup,"هزینه"))</f>
        <v/>
      </c>
      <c r="E16" s="19">
        <f>IF($B16="","",SUMIFS(ExpDep,ExpSub,$B16,ExpGroup,"هزینه"))</f>
        <v/>
      </c>
      <c r="F16" s="19">
        <f>IF($B16="","",SUMIFS(ExpWit,ExpSub,$B16,ExpGroup,"هزینه"))</f>
        <v/>
      </c>
      <c r="G16" s="19">
        <f>IF($B16="","",$F16-$E16)</f>
        <v/>
      </c>
      <c r="H16" s="29">
        <f>IF(OR($B16="",$G$111=0),"",$G16/$G$111)</f>
        <v/>
      </c>
    </row>
    <row r="17">
      <c r="A17" s="21">
        <f>IF(ROW()-9&gt;NSubExp,"",ROW()-9)</f>
        <v/>
      </c>
      <c r="B17" s="30">
        <f>IF($A17="","",IF($A17&lt;=NSubExp,INDEX(PkSubExp,$A17),""))</f>
        <v/>
      </c>
      <c r="C17" s="22">
        <f>IF($B17="","",IFERROR(VLOOKUP($B17,SubTbl,3,0),"—"))</f>
        <v/>
      </c>
      <c r="D17" s="31">
        <f>IF($B17="","",COUNTIFS(ExpSub,$B17,ExpGroup,"هزینه"))</f>
        <v/>
      </c>
      <c r="E17" s="24">
        <f>IF($B17="","",SUMIFS(ExpDep,ExpSub,$B17,ExpGroup,"هزینه"))</f>
        <v/>
      </c>
      <c r="F17" s="24">
        <f>IF($B17="","",SUMIFS(ExpWit,ExpSub,$B17,ExpGroup,"هزینه"))</f>
        <v/>
      </c>
      <c r="G17" s="24">
        <f>IF($B17="","",$F17-$E17)</f>
        <v/>
      </c>
      <c r="H17" s="32">
        <f>IF(OR($B17="",$G$111=0),"",$G17/$G$111)</f>
        <v/>
      </c>
    </row>
    <row r="18">
      <c r="A18" s="16">
        <f>IF(ROW()-9&gt;NSubExp,"",ROW()-9)</f>
        <v/>
      </c>
      <c r="B18" s="27">
        <f>IF($A18="","",IF($A18&lt;=NSubExp,INDEX(PkSubExp,$A18),""))</f>
        <v/>
      </c>
      <c r="C18" s="17">
        <f>IF($B18="","",IFERROR(VLOOKUP($B18,SubTbl,3,0),"—"))</f>
        <v/>
      </c>
      <c r="D18" s="28">
        <f>IF($B18="","",COUNTIFS(ExpSub,$B18,ExpGroup,"هزینه"))</f>
        <v/>
      </c>
      <c r="E18" s="19">
        <f>IF($B18="","",SUMIFS(ExpDep,ExpSub,$B18,ExpGroup,"هزینه"))</f>
        <v/>
      </c>
      <c r="F18" s="19">
        <f>IF($B18="","",SUMIFS(ExpWit,ExpSub,$B18,ExpGroup,"هزینه"))</f>
        <v/>
      </c>
      <c r="G18" s="19">
        <f>IF($B18="","",$F18-$E18)</f>
        <v/>
      </c>
      <c r="H18" s="29">
        <f>IF(OR($B18="",$G$111=0),"",$G18/$G$111)</f>
        <v/>
      </c>
    </row>
    <row r="19">
      <c r="A19" s="21">
        <f>IF(ROW()-9&gt;NSubExp,"",ROW()-9)</f>
        <v/>
      </c>
      <c r="B19" s="30">
        <f>IF($A19="","",IF($A19&lt;=NSubExp,INDEX(PkSubExp,$A19),""))</f>
        <v/>
      </c>
      <c r="C19" s="22">
        <f>IF($B19="","",IFERROR(VLOOKUP($B19,SubTbl,3,0),"—"))</f>
        <v/>
      </c>
      <c r="D19" s="31">
        <f>IF($B19="","",COUNTIFS(ExpSub,$B19,ExpGroup,"هزینه"))</f>
        <v/>
      </c>
      <c r="E19" s="24">
        <f>IF($B19="","",SUMIFS(ExpDep,ExpSub,$B19,ExpGroup,"هزینه"))</f>
        <v/>
      </c>
      <c r="F19" s="24">
        <f>IF($B19="","",SUMIFS(ExpWit,ExpSub,$B19,ExpGroup,"هزینه"))</f>
        <v/>
      </c>
      <c r="G19" s="24">
        <f>IF($B19="","",$F19-$E19)</f>
        <v/>
      </c>
      <c r="H19" s="32">
        <f>IF(OR($B19="",$G$111=0),"",$G19/$G$111)</f>
        <v/>
      </c>
    </row>
    <row r="20">
      <c r="A20" s="16">
        <f>IF(ROW()-9&gt;NSubExp,"",ROW()-9)</f>
        <v/>
      </c>
      <c r="B20" s="27">
        <f>IF($A20="","",IF($A20&lt;=NSubExp,INDEX(PkSubExp,$A20),""))</f>
        <v/>
      </c>
      <c r="C20" s="17">
        <f>IF($B20="","",IFERROR(VLOOKUP($B20,SubTbl,3,0),"—"))</f>
        <v/>
      </c>
      <c r="D20" s="28">
        <f>IF($B20="","",COUNTIFS(ExpSub,$B20,ExpGroup,"هزینه"))</f>
        <v/>
      </c>
      <c r="E20" s="19">
        <f>IF($B20="","",SUMIFS(ExpDep,ExpSub,$B20,ExpGroup,"هزینه"))</f>
        <v/>
      </c>
      <c r="F20" s="19">
        <f>IF($B20="","",SUMIFS(ExpWit,ExpSub,$B20,ExpGroup,"هزینه"))</f>
        <v/>
      </c>
      <c r="G20" s="19">
        <f>IF($B20="","",$F20-$E20)</f>
        <v/>
      </c>
      <c r="H20" s="29">
        <f>IF(OR($B20="",$G$111=0),"",$G20/$G$111)</f>
        <v/>
      </c>
    </row>
    <row r="21">
      <c r="A21" s="21">
        <f>IF(ROW()-9&gt;NSubExp,"",ROW()-9)</f>
        <v/>
      </c>
      <c r="B21" s="30">
        <f>IF($A21="","",IF($A21&lt;=NSubExp,INDEX(PkSubExp,$A21),""))</f>
        <v/>
      </c>
      <c r="C21" s="22">
        <f>IF($B21="","",IFERROR(VLOOKUP($B21,SubTbl,3,0),"—"))</f>
        <v/>
      </c>
      <c r="D21" s="31">
        <f>IF($B21="","",COUNTIFS(ExpSub,$B21,ExpGroup,"هزینه"))</f>
        <v/>
      </c>
      <c r="E21" s="24">
        <f>IF($B21="","",SUMIFS(ExpDep,ExpSub,$B21,ExpGroup,"هزینه"))</f>
        <v/>
      </c>
      <c r="F21" s="24">
        <f>IF($B21="","",SUMIFS(ExpWit,ExpSub,$B21,ExpGroup,"هزینه"))</f>
        <v/>
      </c>
      <c r="G21" s="24">
        <f>IF($B21="","",$F21-$E21)</f>
        <v/>
      </c>
      <c r="H21" s="32">
        <f>IF(OR($B21="",$G$111=0),"",$G21/$G$111)</f>
        <v/>
      </c>
    </row>
    <row r="22">
      <c r="A22" s="16">
        <f>IF(ROW()-9&gt;NSubExp,"",ROW()-9)</f>
        <v/>
      </c>
      <c r="B22" s="27">
        <f>IF($A22="","",IF($A22&lt;=NSubExp,INDEX(PkSubExp,$A22),""))</f>
        <v/>
      </c>
      <c r="C22" s="17">
        <f>IF($B22="","",IFERROR(VLOOKUP($B22,SubTbl,3,0),"—"))</f>
        <v/>
      </c>
      <c r="D22" s="28">
        <f>IF($B22="","",COUNTIFS(ExpSub,$B22,ExpGroup,"هزینه"))</f>
        <v/>
      </c>
      <c r="E22" s="19">
        <f>IF($B22="","",SUMIFS(ExpDep,ExpSub,$B22,ExpGroup,"هزینه"))</f>
        <v/>
      </c>
      <c r="F22" s="19">
        <f>IF($B22="","",SUMIFS(ExpWit,ExpSub,$B22,ExpGroup,"هزینه"))</f>
        <v/>
      </c>
      <c r="G22" s="19">
        <f>IF($B22="","",$F22-$E22)</f>
        <v/>
      </c>
      <c r="H22" s="29">
        <f>IF(OR($B22="",$G$111=0),"",$G22/$G$111)</f>
        <v/>
      </c>
    </row>
    <row r="23">
      <c r="A23" s="21">
        <f>IF(ROW()-9&gt;NSubExp,"",ROW()-9)</f>
        <v/>
      </c>
      <c r="B23" s="30">
        <f>IF($A23="","",IF($A23&lt;=NSubExp,INDEX(PkSubExp,$A23),""))</f>
        <v/>
      </c>
      <c r="C23" s="22">
        <f>IF($B23="","",IFERROR(VLOOKUP($B23,SubTbl,3,0),"—"))</f>
        <v/>
      </c>
      <c r="D23" s="31">
        <f>IF($B23="","",COUNTIFS(ExpSub,$B23,ExpGroup,"هزینه"))</f>
        <v/>
      </c>
      <c r="E23" s="24">
        <f>IF($B23="","",SUMIFS(ExpDep,ExpSub,$B23,ExpGroup,"هزینه"))</f>
        <v/>
      </c>
      <c r="F23" s="24">
        <f>IF($B23="","",SUMIFS(ExpWit,ExpSub,$B23,ExpGroup,"هزینه"))</f>
        <v/>
      </c>
      <c r="G23" s="24">
        <f>IF($B23="","",$F23-$E23)</f>
        <v/>
      </c>
      <c r="H23" s="32">
        <f>IF(OR($B23="",$G$111=0),"",$G23/$G$111)</f>
        <v/>
      </c>
    </row>
    <row r="24">
      <c r="A24" s="16">
        <f>IF(ROW()-9&gt;NSubExp,"",ROW()-9)</f>
        <v/>
      </c>
      <c r="B24" s="27">
        <f>IF($A24="","",IF($A24&lt;=NSubExp,INDEX(PkSubExp,$A24),""))</f>
        <v/>
      </c>
      <c r="C24" s="17">
        <f>IF($B24="","",IFERROR(VLOOKUP($B24,SubTbl,3,0),"—"))</f>
        <v/>
      </c>
      <c r="D24" s="28">
        <f>IF($B24="","",COUNTIFS(ExpSub,$B24,ExpGroup,"هزینه"))</f>
        <v/>
      </c>
      <c r="E24" s="19">
        <f>IF($B24="","",SUMIFS(ExpDep,ExpSub,$B24,ExpGroup,"هزینه"))</f>
        <v/>
      </c>
      <c r="F24" s="19">
        <f>IF($B24="","",SUMIFS(ExpWit,ExpSub,$B24,ExpGroup,"هزینه"))</f>
        <v/>
      </c>
      <c r="G24" s="19">
        <f>IF($B24="","",$F24-$E24)</f>
        <v/>
      </c>
      <c r="H24" s="29">
        <f>IF(OR($B24="",$G$111=0),"",$G24/$G$111)</f>
        <v/>
      </c>
    </row>
    <row r="25">
      <c r="A25" s="21">
        <f>IF(ROW()-9&gt;NSubExp,"",ROW()-9)</f>
        <v/>
      </c>
      <c r="B25" s="30">
        <f>IF($A25="","",IF($A25&lt;=NSubExp,INDEX(PkSubExp,$A25),""))</f>
        <v/>
      </c>
      <c r="C25" s="22">
        <f>IF($B25="","",IFERROR(VLOOKUP($B25,SubTbl,3,0),"—"))</f>
        <v/>
      </c>
      <c r="D25" s="31">
        <f>IF($B25="","",COUNTIFS(ExpSub,$B25,ExpGroup,"هزینه"))</f>
        <v/>
      </c>
      <c r="E25" s="24">
        <f>IF($B25="","",SUMIFS(ExpDep,ExpSub,$B25,ExpGroup,"هزینه"))</f>
        <v/>
      </c>
      <c r="F25" s="24">
        <f>IF($B25="","",SUMIFS(ExpWit,ExpSub,$B25,ExpGroup,"هزینه"))</f>
        <v/>
      </c>
      <c r="G25" s="24">
        <f>IF($B25="","",$F25-$E25)</f>
        <v/>
      </c>
      <c r="H25" s="32">
        <f>IF(OR($B25="",$G$111=0),"",$G25/$G$111)</f>
        <v/>
      </c>
    </row>
    <row r="26">
      <c r="A26" s="16">
        <f>IF(ROW()-9&gt;NSubExp,"",ROW()-9)</f>
        <v/>
      </c>
      <c r="B26" s="27">
        <f>IF($A26="","",IF($A26&lt;=NSubExp,INDEX(PkSubExp,$A26),""))</f>
        <v/>
      </c>
      <c r="C26" s="17">
        <f>IF($B26="","",IFERROR(VLOOKUP($B26,SubTbl,3,0),"—"))</f>
        <v/>
      </c>
      <c r="D26" s="28">
        <f>IF($B26="","",COUNTIFS(ExpSub,$B26,ExpGroup,"هزینه"))</f>
        <v/>
      </c>
      <c r="E26" s="19">
        <f>IF($B26="","",SUMIFS(ExpDep,ExpSub,$B26,ExpGroup,"هزینه"))</f>
        <v/>
      </c>
      <c r="F26" s="19">
        <f>IF($B26="","",SUMIFS(ExpWit,ExpSub,$B26,ExpGroup,"هزینه"))</f>
        <v/>
      </c>
      <c r="G26" s="19">
        <f>IF($B26="","",$F26-$E26)</f>
        <v/>
      </c>
      <c r="H26" s="29">
        <f>IF(OR($B26="",$G$111=0),"",$G26/$G$111)</f>
        <v/>
      </c>
    </row>
    <row r="27">
      <c r="A27" s="21">
        <f>IF(ROW()-9&gt;NSubExp,"",ROW()-9)</f>
        <v/>
      </c>
      <c r="B27" s="30">
        <f>IF($A27="","",IF($A27&lt;=NSubExp,INDEX(PkSubExp,$A27),""))</f>
        <v/>
      </c>
      <c r="C27" s="22">
        <f>IF($B27="","",IFERROR(VLOOKUP($B27,SubTbl,3,0),"—"))</f>
        <v/>
      </c>
      <c r="D27" s="31">
        <f>IF($B27="","",COUNTIFS(ExpSub,$B27,ExpGroup,"هزینه"))</f>
        <v/>
      </c>
      <c r="E27" s="24">
        <f>IF($B27="","",SUMIFS(ExpDep,ExpSub,$B27,ExpGroup,"هزینه"))</f>
        <v/>
      </c>
      <c r="F27" s="24">
        <f>IF($B27="","",SUMIFS(ExpWit,ExpSub,$B27,ExpGroup,"هزینه"))</f>
        <v/>
      </c>
      <c r="G27" s="24">
        <f>IF($B27="","",$F27-$E27)</f>
        <v/>
      </c>
      <c r="H27" s="32">
        <f>IF(OR($B27="",$G$111=0),"",$G27/$G$111)</f>
        <v/>
      </c>
    </row>
    <row r="28">
      <c r="A28" s="16">
        <f>IF(ROW()-9&gt;NSubExp,"",ROW()-9)</f>
        <v/>
      </c>
      <c r="B28" s="27">
        <f>IF($A28="","",IF($A28&lt;=NSubExp,INDEX(PkSubExp,$A28),""))</f>
        <v/>
      </c>
      <c r="C28" s="17">
        <f>IF($B28="","",IFERROR(VLOOKUP($B28,SubTbl,3,0),"—"))</f>
        <v/>
      </c>
      <c r="D28" s="28">
        <f>IF($B28="","",COUNTIFS(ExpSub,$B28,ExpGroup,"هزینه"))</f>
        <v/>
      </c>
      <c r="E28" s="19">
        <f>IF($B28="","",SUMIFS(ExpDep,ExpSub,$B28,ExpGroup,"هزینه"))</f>
        <v/>
      </c>
      <c r="F28" s="19">
        <f>IF($B28="","",SUMIFS(ExpWit,ExpSub,$B28,ExpGroup,"هزینه"))</f>
        <v/>
      </c>
      <c r="G28" s="19">
        <f>IF($B28="","",$F28-$E28)</f>
        <v/>
      </c>
      <c r="H28" s="29">
        <f>IF(OR($B28="",$G$111=0),"",$G28/$G$111)</f>
        <v/>
      </c>
    </row>
    <row r="29">
      <c r="A29" s="21">
        <f>IF(ROW()-9&gt;NSubExp,"",ROW()-9)</f>
        <v/>
      </c>
      <c r="B29" s="30">
        <f>IF($A29="","",IF($A29&lt;=NSubExp,INDEX(PkSubExp,$A29),""))</f>
        <v/>
      </c>
      <c r="C29" s="22">
        <f>IF($B29="","",IFERROR(VLOOKUP($B29,SubTbl,3,0),"—"))</f>
        <v/>
      </c>
      <c r="D29" s="31">
        <f>IF($B29="","",COUNTIFS(ExpSub,$B29,ExpGroup,"هزینه"))</f>
        <v/>
      </c>
      <c r="E29" s="24">
        <f>IF($B29="","",SUMIFS(ExpDep,ExpSub,$B29,ExpGroup,"هزینه"))</f>
        <v/>
      </c>
      <c r="F29" s="24">
        <f>IF($B29="","",SUMIFS(ExpWit,ExpSub,$B29,ExpGroup,"هزینه"))</f>
        <v/>
      </c>
      <c r="G29" s="24">
        <f>IF($B29="","",$F29-$E29)</f>
        <v/>
      </c>
      <c r="H29" s="32">
        <f>IF(OR($B29="",$G$111=0),"",$G29/$G$111)</f>
        <v/>
      </c>
    </row>
    <row r="30">
      <c r="A30" s="16">
        <f>IF(ROW()-9&gt;NSubExp,"",ROW()-9)</f>
        <v/>
      </c>
      <c r="B30" s="27">
        <f>IF($A30="","",IF($A30&lt;=NSubExp,INDEX(PkSubExp,$A30),""))</f>
        <v/>
      </c>
      <c r="C30" s="17">
        <f>IF($B30="","",IFERROR(VLOOKUP($B30,SubTbl,3,0),"—"))</f>
        <v/>
      </c>
      <c r="D30" s="28">
        <f>IF($B30="","",COUNTIFS(ExpSub,$B30,ExpGroup,"هزینه"))</f>
        <v/>
      </c>
      <c r="E30" s="19">
        <f>IF($B30="","",SUMIFS(ExpDep,ExpSub,$B30,ExpGroup,"هزینه"))</f>
        <v/>
      </c>
      <c r="F30" s="19">
        <f>IF($B30="","",SUMIFS(ExpWit,ExpSub,$B30,ExpGroup,"هزینه"))</f>
        <v/>
      </c>
      <c r="G30" s="19">
        <f>IF($B30="","",$F30-$E30)</f>
        <v/>
      </c>
      <c r="H30" s="29">
        <f>IF(OR($B30="",$G$111=0),"",$G30/$G$111)</f>
        <v/>
      </c>
    </row>
    <row r="31">
      <c r="A31" s="21">
        <f>IF(ROW()-9&gt;NSubExp,"",ROW()-9)</f>
        <v/>
      </c>
      <c r="B31" s="30">
        <f>IF($A31="","",IF($A31&lt;=NSubExp,INDEX(PkSubExp,$A31),""))</f>
        <v/>
      </c>
      <c r="C31" s="22">
        <f>IF($B31="","",IFERROR(VLOOKUP($B31,SubTbl,3,0),"—"))</f>
        <v/>
      </c>
      <c r="D31" s="31">
        <f>IF($B31="","",COUNTIFS(ExpSub,$B31,ExpGroup,"هزینه"))</f>
        <v/>
      </c>
      <c r="E31" s="24">
        <f>IF($B31="","",SUMIFS(ExpDep,ExpSub,$B31,ExpGroup,"هزینه"))</f>
        <v/>
      </c>
      <c r="F31" s="24">
        <f>IF($B31="","",SUMIFS(ExpWit,ExpSub,$B31,ExpGroup,"هزینه"))</f>
        <v/>
      </c>
      <c r="G31" s="24">
        <f>IF($B31="","",$F31-$E31)</f>
        <v/>
      </c>
      <c r="H31" s="32">
        <f>IF(OR($B31="",$G$111=0),"",$G31/$G$111)</f>
        <v/>
      </c>
    </row>
    <row r="32">
      <c r="A32" s="16">
        <f>IF(ROW()-9&gt;NSubExp,"",ROW()-9)</f>
        <v/>
      </c>
      <c r="B32" s="27">
        <f>IF($A32="","",IF($A32&lt;=NSubExp,INDEX(PkSubExp,$A32),""))</f>
        <v/>
      </c>
      <c r="C32" s="17">
        <f>IF($B32="","",IFERROR(VLOOKUP($B32,SubTbl,3,0),"—"))</f>
        <v/>
      </c>
      <c r="D32" s="28">
        <f>IF($B32="","",COUNTIFS(ExpSub,$B32,ExpGroup,"هزینه"))</f>
        <v/>
      </c>
      <c r="E32" s="19">
        <f>IF($B32="","",SUMIFS(ExpDep,ExpSub,$B32,ExpGroup,"هزینه"))</f>
        <v/>
      </c>
      <c r="F32" s="19">
        <f>IF($B32="","",SUMIFS(ExpWit,ExpSub,$B32,ExpGroup,"هزینه"))</f>
        <v/>
      </c>
      <c r="G32" s="19">
        <f>IF($B32="","",$F32-$E32)</f>
        <v/>
      </c>
      <c r="H32" s="29">
        <f>IF(OR($B32="",$G$111=0),"",$G32/$G$111)</f>
        <v/>
      </c>
    </row>
    <row r="33">
      <c r="A33" s="21">
        <f>IF(ROW()-9&gt;NSubExp,"",ROW()-9)</f>
        <v/>
      </c>
      <c r="B33" s="30">
        <f>IF($A33="","",IF($A33&lt;=NSubExp,INDEX(PkSubExp,$A33),""))</f>
        <v/>
      </c>
      <c r="C33" s="22">
        <f>IF($B33="","",IFERROR(VLOOKUP($B33,SubTbl,3,0),"—"))</f>
        <v/>
      </c>
      <c r="D33" s="31">
        <f>IF($B33="","",COUNTIFS(ExpSub,$B33,ExpGroup,"هزینه"))</f>
        <v/>
      </c>
      <c r="E33" s="24">
        <f>IF($B33="","",SUMIFS(ExpDep,ExpSub,$B33,ExpGroup,"هزینه"))</f>
        <v/>
      </c>
      <c r="F33" s="24">
        <f>IF($B33="","",SUMIFS(ExpWit,ExpSub,$B33,ExpGroup,"هزینه"))</f>
        <v/>
      </c>
      <c r="G33" s="24">
        <f>IF($B33="","",$F33-$E33)</f>
        <v/>
      </c>
      <c r="H33" s="32">
        <f>IF(OR($B33="",$G$111=0),"",$G33/$G$111)</f>
        <v/>
      </c>
    </row>
    <row r="34">
      <c r="A34" s="16">
        <f>IF(ROW()-9&gt;NSubExp,"",ROW()-9)</f>
        <v/>
      </c>
      <c r="B34" s="27">
        <f>IF($A34="","",IF($A34&lt;=NSubExp,INDEX(PkSubExp,$A34),""))</f>
        <v/>
      </c>
      <c r="C34" s="17">
        <f>IF($B34="","",IFERROR(VLOOKUP($B34,SubTbl,3,0),"—"))</f>
        <v/>
      </c>
      <c r="D34" s="28">
        <f>IF($B34="","",COUNTIFS(ExpSub,$B34,ExpGroup,"هزینه"))</f>
        <v/>
      </c>
      <c r="E34" s="19">
        <f>IF($B34="","",SUMIFS(ExpDep,ExpSub,$B34,ExpGroup,"هزینه"))</f>
        <v/>
      </c>
      <c r="F34" s="19">
        <f>IF($B34="","",SUMIFS(ExpWit,ExpSub,$B34,ExpGroup,"هزینه"))</f>
        <v/>
      </c>
      <c r="G34" s="19">
        <f>IF($B34="","",$F34-$E34)</f>
        <v/>
      </c>
      <c r="H34" s="29">
        <f>IF(OR($B34="",$G$111=0),"",$G34/$G$111)</f>
        <v/>
      </c>
    </row>
    <row r="35">
      <c r="A35" s="21">
        <f>IF(ROW()-9&gt;NSubExp,"",ROW()-9)</f>
        <v/>
      </c>
      <c r="B35" s="30">
        <f>IF($A35="","",IF($A35&lt;=NSubExp,INDEX(PkSubExp,$A35),""))</f>
        <v/>
      </c>
      <c r="C35" s="22">
        <f>IF($B35="","",IFERROR(VLOOKUP($B35,SubTbl,3,0),"—"))</f>
        <v/>
      </c>
      <c r="D35" s="31">
        <f>IF($B35="","",COUNTIFS(ExpSub,$B35,ExpGroup,"هزینه"))</f>
        <v/>
      </c>
      <c r="E35" s="24">
        <f>IF($B35="","",SUMIFS(ExpDep,ExpSub,$B35,ExpGroup,"هزینه"))</f>
        <v/>
      </c>
      <c r="F35" s="24">
        <f>IF($B35="","",SUMIFS(ExpWit,ExpSub,$B35,ExpGroup,"هزینه"))</f>
        <v/>
      </c>
      <c r="G35" s="24">
        <f>IF($B35="","",$F35-$E35)</f>
        <v/>
      </c>
      <c r="H35" s="32">
        <f>IF(OR($B35="",$G$111=0),"",$G35/$G$111)</f>
        <v/>
      </c>
    </row>
    <row r="36">
      <c r="A36" s="16">
        <f>IF(ROW()-9&gt;NSubExp,"",ROW()-9)</f>
        <v/>
      </c>
      <c r="B36" s="27">
        <f>IF($A36="","",IF($A36&lt;=NSubExp,INDEX(PkSubExp,$A36),""))</f>
        <v/>
      </c>
      <c r="C36" s="17">
        <f>IF($B36="","",IFERROR(VLOOKUP($B36,SubTbl,3,0),"—"))</f>
        <v/>
      </c>
      <c r="D36" s="28">
        <f>IF($B36="","",COUNTIFS(ExpSub,$B36,ExpGroup,"هزینه"))</f>
        <v/>
      </c>
      <c r="E36" s="19">
        <f>IF($B36="","",SUMIFS(ExpDep,ExpSub,$B36,ExpGroup,"هزینه"))</f>
        <v/>
      </c>
      <c r="F36" s="19">
        <f>IF($B36="","",SUMIFS(ExpWit,ExpSub,$B36,ExpGroup,"هزینه"))</f>
        <v/>
      </c>
      <c r="G36" s="19">
        <f>IF($B36="","",$F36-$E36)</f>
        <v/>
      </c>
      <c r="H36" s="29">
        <f>IF(OR($B36="",$G$111=0),"",$G36/$G$111)</f>
        <v/>
      </c>
    </row>
    <row r="37">
      <c r="A37" s="21">
        <f>IF(ROW()-9&gt;NSubExp,"",ROW()-9)</f>
        <v/>
      </c>
      <c r="B37" s="30">
        <f>IF($A37="","",IF($A37&lt;=NSubExp,INDEX(PkSubExp,$A37),""))</f>
        <v/>
      </c>
      <c r="C37" s="22">
        <f>IF($B37="","",IFERROR(VLOOKUP($B37,SubTbl,3,0),"—"))</f>
        <v/>
      </c>
      <c r="D37" s="31">
        <f>IF($B37="","",COUNTIFS(ExpSub,$B37,ExpGroup,"هزینه"))</f>
        <v/>
      </c>
      <c r="E37" s="24">
        <f>IF($B37="","",SUMIFS(ExpDep,ExpSub,$B37,ExpGroup,"هزینه"))</f>
        <v/>
      </c>
      <c r="F37" s="24">
        <f>IF($B37="","",SUMIFS(ExpWit,ExpSub,$B37,ExpGroup,"هزینه"))</f>
        <v/>
      </c>
      <c r="G37" s="24">
        <f>IF($B37="","",$F37-$E37)</f>
        <v/>
      </c>
      <c r="H37" s="32">
        <f>IF(OR($B37="",$G$111=0),"",$G37/$G$111)</f>
        <v/>
      </c>
    </row>
    <row r="38">
      <c r="A38" s="16">
        <f>IF(ROW()-9&gt;NSubExp,"",ROW()-9)</f>
        <v/>
      </c>
      <c r="B38" s="27">
        <f>IF($A38="","",IF($A38&lt;=NSubExp,INDEX(PkSubExp,$A38),""))</f>
        <v/>
      </c>
      <c r="C38" s="17">
        <f>IF($B38="","",IFERROR(VLOOKUP($B38,SubTbl,3,0),"—"))</f>
        <v/>
      </c>
      <c r="D38" s="28">
        <f>IF($B38="","",COUNTIFS(ExpSub,$B38,ExpGroup,"هزینه"))</f>
        <v/>
      </c>
      <c r="E38" s="19">
        <f>IF($B38="","",SUMIFS(ExpDep,ExpSub,$B38,ExpGroup,"هزینه"))</f>
        <v/>
      </c>
      <c r="F38" s="19">
        <f>IF($B38="","",SUMIFS(ExpWit,ExpSub,$B38,ExpGroup,"هزینه"))</f>
        <v/>
      </c>
      <c r="G38" s="19">
        <f>IF($B38="","",$F38-$E38)</f>
        <v/>
      </c>
      <c r="H38" s="29">
        <f>IF(OR($B38="",$G$111=0),"",$G38/$G$111)</f>
        <v/>
      </c>
    </row>
    <row r="39">
      <c r="A39" s="21">
        <f>IF(ROW()-9&gt;NSubExp,"",ROW()-9)</f>
        <v/>
      </c>
      <c r="B39" s="30">
        <f>IF($A39="","",IF($A39&lt;=NSubExp,INDEX(PkSubExp,$A39),""))</f>
        <v/>
      </c>
      <c r="C39" s="22">
        <f>IF($B39="","",IFERROR(VLOOKUP($B39,SubTbl,3,0),"—"))</f>
        <v/>
      </c>
      <c r="D39" s="31">
        <f>IF($B39="","",COUNTIFS(ExpSub,$B39,ExpGroup,"هزینه"))</f>
        <v/>
      </c>
      <c r="E39" s="24">
        <f>IF($B39="","",SUMIFS(ExpDep,ExpSub,$B39,ExpGroup,"هزینه"))</f>
        <v/>
      </c>
      <c r="F39" s="24">
        <f>IF($B39="","",SUMIFS(ExpWit,ExpSub,$B39,ExpGroup,"هزینه"))</f>
        <v/>
      </c>
      <c r="G39" s="24">
        <f>IF($B39="","",$F39-$E39)</f>
        <v/>
      </c>
      <c r="H39" s="32">
        <f>IF(OR($B39="",$G$111=0),"",$G39/$G$111)</f>
        <v/>
      </c>
    </row>
    <row r="40">
      <c r="A40" s="16">
        <f>IF(ROW()-9&gt;NSubExp,"",ROW()-9)</f>
        <v/>
      </c>
      <c r="B40" s="27">
        <f>IF($A40="","",IF($A40&lt;=NSubExp,INDEX(PkSubExp,$A40),""))</f>
        <v/>
      </c>
      <c r="C40" s="17">
        <f>IF($B40="","",IFERROR(VLOOKUP($B40,SubTbl,3,0),"—"))</f>
        <v/>
      </c>
      <c r="D40" s="28">
        <f>IF($B40="","",COUNTIFS(ExpSub,$B40,ExpGroup,"هزینه"))</f>
        <v/>
      </c>
      <c r="E40" s="19">
        <f>IF($B40="","",SUMIFS(ExpDep,ExpSub,$B40,ExpGroup,"هزینه"))</f>
        <v/>
      </c>
      <c r="F40" s="19">
        <f>IF($B40="","",SUMIFS(ExpWit,ExpSub,$B40,ExpGroup,"هزینه"))</f>
        <v/>
      </c>
      <c r="G40" s="19">
        <f>IF($B40="","",$F40-$E40)</f>
        <v/>
      </c>
      <c r="H40" s="29">
        <f>IF(OR($B40="",$G$111=0),"",$G40/$G$111)</f>
        <v/>
      </c>
    </row>
    <row r="41">
      <c r="A41" s="21">
        <f>IF(ROW()-9&gt;NSubExp,"",ROW()-9)</f>
        <v/>
      </c>
      <c r="B41" s="30">
        <f>IF($A41="","",IF($A41&lt;=NSubExp,INDEX(PkSubExp,$A41),""))</f>
        <v/>
      </c>
      <c r="C41" s="22">
        <f>IF($B41="","",IFERROR(VLOOKUP($B41,SubTbl,3,0),"—"))</f>
        <v/>
      </c>
      <c r="D41" s="31">
        <f>IF($B41="","",COUNTIFS(ExpSub,$B41,ExpGroup,"هزینه"))</f>
        <v/>
      </c>
      <c r="E41" s="24">
        <f>IF($B41="","",SUMIFS(ExpDep,ExpSub,$B41,ExpGroup,"هزینه"))</f>
        <v/>
      </c>
      <c r="F41" s="24">
        <f>IF($B41="","",SUMIFS(ExpWit,ExpSub,$B41,ExpGroup,"هزینه"))</f>
        <v/>
      </c>
      <c r="G41" s="24">
        <f>IF($B41="","",$F41-$E41)</f>
        <v/>
      </c>
      <c r="H41" s="32">
        <f>IF(OR($B41="",$G$111=0),"",$G41/$G$111)</f>
        <v/>
      </c>
    </row>
    <row r="42">
      <c r="A42" s="16">
        <f>IF(ROW()-9&gt;NSubExp,"",ROW()-9)</f>
        <v/>
      </c>
      <c r="B42" s="27">
        <f>IF($A42="","",IF($A42&lt;=NSubExp,INDEX(PkSubExp,$A42),""))</f>
        <v/>
      </c>
      <c r="C42" s="17">
        <f>IF($B42="","",IFERROR(VLOOKUP($B42,SubTbl,3,0),"—"))</f>
        <v/>
      </c>
      <c r="D42" s="28">
        <f>IF($B42="","",COUNTIFS(ExpSub,$B42,ExpGroup,"هزینه"))</f>
        <v/>
      </c>
      <c r="E42" s="19">
        <f>IF($B42="","",SUMIFS(ExpDep,ExpSub,$B42,ExpGroup,"هزینه"))</f>
        <v/>
      </c>
      <c r="F42" s="19">
        <f>IF($B42="","",SUMIFS(ExpWit,ExpSub,$B42,ExpGroup,"هزینه"))</f>
        <v/>
      </c>
      <c r="G42" s="19">
        <f>IF($B42="","",$F42-$E42)</f>
        <v/>
      </c>
      <c r="H42" s="29">
        <f>IF(OR($B42="",$G$111=0),"",$G42/$G$111)</f>
        <v/>
      </c>
    </row>
    <row r="43">
      <c r="A43" s="21">
        <f>IF(ROW()-9&gt;NSubExp,"",ROW()-9)</f>
        <v/>
      </c>
      <c r="B43" s="30">
        <f>IF($A43="","",IF($A43&lt;=NSubExp,INDEX(PkSubExp,$A43),""))</f>
        <v/>
      </c>
      <c r="C43" s="22">
        <f>IF($B43="","",IFERROR(VLOOKUP($B43,SubTbl,3,0),"—"))</f>
        <v/>
      </c>
      <c r="D43" s="31">
        <f>IF($B43="","",COUNTIFS(ExpSub,$B43,ExpGroup,"هزینه"))</f>
        <v/>
      </c>
      <c r="E43" s="24">
        <f>IF($B43="","",SUMIFS(ExpDep,ExpSub,$B43,ExpGroup,"هزینه"))</f>
        <v/>
      </c>
      <c r="F43" s="24">
        <f>IF($B43="","",SUMIFS(ExpWit,ExpSub,$B43,ExpGroup,"هزینه"))</f>
        <v/>
      </c>
      <c r="G43" s="24">
        <f>IF($B43="","",$F43-$E43)</f>
        <v/>
      </c>
      <c r="H43" s="32">
        <f>IF(OR($B43="",$G$111=0),"",$G43/$G$111)</f>
        <v/>
      </c>
    </row>
    <row r="44">
      <c r="A44" s="16">
        <f>IF(ROW()-9&gt;NSubExp,"",ROW()-9)</f>
        <v/>
      </c>
      <c r="B44" s="27">
        <f>IF($A44="","",IF($A44&lt;=NSubExp,INDEX(PkSubExp,$A44),""))</f>
        <v/>
      </c>
      <c r="C44" s="17">
        <f>IF($B44="","",IFERROR(VLOOKUP($B44,SubTbl,3,0),"—"))</f>
        <v/>
      </c>
      <c r="D44" s="28">
        <f>IF($B44="","",COUNTIFS(ExpSub,$B44,ExpGroup,"هزینه"))</f>
        <v/>
      </c>
      <c r="E44" s="19">
        <f>IF($B44="","",SUMIFS(ExpDep,ExpSub,$B44,ExpGroup,"هزینه"))</f>
        <v/>
      </c>
      <c r="F44" s="19">
        <f>IF($B44="","",SUMIFS(ExpWit,ExpSub,$B44,ExpGroup,"هزینه"))</f>
        <v/>
      </c>
      <c r="G44" s="19">
        <f>IF($B44="","",$F44-$E44)</f>
        <v/>
      </c>
      <c r="H44" s="29">
        <f>IF(OR($B44="",$G$111=0),"",$G44/$G$111)</f>
        <v/>
      </c>
    </row>
    <row r="45">
      <c r="A45" s="21">
        <f>IF(ROW()-9&gt;NSubExp,"",ROW()-9)</f>
        <v/>
      </c>
      <c r="B45" s="30">
        <f>IF($A45="","",IF($A45&lt;=NSubExp,INDEX(PkSubExp,$A45),""))</f>
        <v/>
      </c>
      <c r="C45" s="22">
        <f>IF($B45="","",IFERROR(VLOOKUP($B45,SubTbl,3,0),"—"))</f>
        <v/>
      </c>
      <c r="D45" s="31">
        <f>IF($B45="","",COUNTIFS(ExpSub,$B45,ExpGroup,"هزینه"))</f>
        <v/>
      </c>
      <c r="E45" s="24">
        <f>IF($B45="","",SUMIFS(ExpDep,ExpSub,$B45,ExpGroup,"هزینه"))</f>
        <v/>
      </c>
      <c r="F45" s="24">
        <f>IF($B45="","",SUMIFS(ExpWit,ExpSub,$B45,ExpGroup,"هزینه"))</f>
        <v/>
      </c>
      <c r="G45" s="24">
        <f>IF($B45="","",$F45-$E45)</f>
        <v/>
      </c>
      <c r="H45" s="32">
        <f>IF(OR($B45="",$G$111=0),"",$G45/$G$111)</f>
        <v/>
      </c>
    </row>
    <row r="46">
      <c r="A46" s="16">
        <f>IF(ROW()-9&gt;NSubExp,"",ROW()-9)</f>
        <v/>
      </c>
      <c r="B46" s="27">
        <f>IF($A46="","",IF($A46&lt;=NSubExp,INDEX(PkSubExp,$A46),""))</f>
        <v/>
      </c>
      <c r="C46" s="17">
        <f>IF($B46="","",IFERROR(VLOOKUP($B46,SubTbl,3,0),"—"))</f>
        <v/>
      </c>
      <c r="D46" s="28">
        <f>IF($B46="","",COUNTIFS(ExpSub,$B46,ExpGroup,"هزینه"))</f>
        <v/>
      </c>
      <c r="E46" s="19">
        <f>IF($B46="","",SUMIFS(ExpDep,ExpSub,$B46,ExpGroup,"هزینه"))</f>
        <v/>
      </c>
      <c r="F46" s="19">
        <f>IF($B46="","",SUMIFS(ExpWit,ExpSub,$B46,ExpGroup,"هزینه"))</f>
        <v/>
      </c>
      <c r="G46" s="19">
        <f>IF($B46="","",$F46-$E46)</f>
        <v/>
      </c>
      <c r="H46" s="29">
        <f>IF(OR($B46="",$G$111=0),"",$G46/$G$111)</f>
        <v/>
      </c>
    </row>
    <row r="47">
      <c r="A47" s="21">
        <f>IF(ROW()-9&gt;NSubExp,"",ROW()-9)</f>
        <v/>
      </c>
      <c r="B47" s="30">
        <f>IF($A47="","",IF($A47&lt;=NSubExp,INDEX(PkSubExp,$A47),""))</f>
        <v/>
      </c>
      <c r="C47" s="22">
        <f>IF($B47="","",IFERROR(VLOOKUP($B47,SubTbl,3,0),"—"))</f>
        <v/>
      </c>
      <c r="D47" s="31">
        <f>IF($B47="","",COUNTIFS(ExpSub,$B47,ExpGroup,"هزینه"))</f>
        <v/>
      </c>
      <c r="E47" s="24">
        <f>IF($B47="","",SUMIFS(ExpDep,ExpSub,$B47,ExpGroup,"هزینه"))</f>
        <v/>
      </c>
      <c r="F47" s="24">
        <f>IF($B47="","",SUMIFS(ExpWit,ExpSub,$B47,ExpGroup,"هزینه"))</f>
        <v/>
      </c>
      <c r="G47" s="24">
        <f>IF($B47="","",$F47-$E47)</f>
        <v/>
      </c>
      <c r="H47" s="32">
        <f>IF(OR($B47="",$G$111=0),"",$G47/$G$111)</f>
        <v/>
      </c>
    </row>
    <row r="48">
      <c r="A48" s="16">
        <f>IF(ROW()-9&gt;NSubExp,"",ROW()-9)</f>
        <v/>
      </c>
      <c r="B48" s="27">
        <f>IF($A48="","",IF($A48&lt;=NSubExp,INDEX(PkSubExp,$A48),""))</f>
        <v/>
      </c>
      <c r="C48" s="17">
        <f>IF($B48="","",IFERROR(VLOOKUP($B48,SubTbl,3,0),"—"))</f>
        <v/>
      </c>
      <c r="D48" s="28">
        <f>IF($B48="","",COUNTIFS(ExpSub,$B48,ExpGroup,"هزینه"))</f>
        <v/>
      </c>
      <c r="E48" s="19">
        <f>IF($B48="","",SUMIFS(ExpDep,ExpSub,$B48,ExpGroup,"هزینه"))</f>
        <v/>
      </c>
      <c r="F48" s="19">
        <f>IF($B48="","",SUMIFS(ExpWit,ExpSub,$B48,ExpGroup,"هزینه"))</f>
        <v/>
      </c>
      <c r="G48" s="19">
        <f>IF($B48="","",$F48-$E48)</f>
        <v/>
      </c>
      <c r="H48" s="29">
        <f>IF(OR($B48="",$G$111=0),"",$G48/$G$111)</f>
        <v/>
      </c>
    </row>
    <row r="49">
      <c r="A49" s="21">
        <f>IF(ROW()-9&gt;NSubExp,"",ROW()-9)</f>
        <v/>
      </c>
      <c r="B49" s="30">
        <f>IF($A49="","",IF($A49&lt;=NSubExp,INDEX(PkSubExp,$A49),""))</f>
        <v/>
      </c>
      <c r="C49" s="22">
        <f>IF($B49="","",IFERROR(VLOOKUP($B49,SubTbl,3,0),"—"))</f>
        <v/>
      </c>
      <c r="D49" s="31">
        <f>IF($B49="","",COUNTIFS(ExpSub,$B49,ExpGroup,"هزینه"))</f>
        <v/>
      </c>
      <c r="E49" s="24">
        <f>IF($B49="","",SUMIFS(ExpDep,ExpSub,$B49,ExpGroup,"هزینه"))</f>
        <v/>
      </c>
      <c r="F49" s="24">
        <f>IF($B49="","",SUMIFS(ExpWit,ExpSub,$B49,ExpGroup,"هزینه"))</f>
        <v/>
      </c>
      <c r="G49" s="24">
        <f>IF($B49="","",$F49-$E49)</f>
        <v/>
      </c>
      <c r="H49" s="32">
        <f>IF(OR($B49="",$G$111=0),"",$G49/$G$111)</f>
        <v/>
      </c>
    </row>
    <row r="50">
      <c r="A50" s="16">
        <f>IF(ROW()-9&gt;NSubExp,"",ROW()-9)</f>
        <v/>
      </c>
      <c r="B50" s="27">
        <f>IF($A50="","",IF($A50&lt;=NSubExp,INDEX(PkSubExp,$A50),""))</f>
        <v/>
      </c>
      <c r="C50" s="17">
        <f>IF($B50="","",IFERROR(VLOOKUP($B50,SubTbl,3,0),"—"))</f>
        <v/>
      </c>
      <c r="D50" s="28">
        <f>IF($B50="","",COUNTIFS(ExpSub,$B50,ExpGroup,"هزینه"))</f>
        <v/>
      </c>
      <c r="E50" s="19">
        <f>IF($B50="","",SUMIFS(ExpDep,ExpSub,$B50,ExpGroup,"هزینه"))</f>
        <v/>
      </c>
      <c r="F50" s="19">
        <f>IF($B50="","",SUMIFS(ExpWit,ExpSub,$B50,ExpGroup,"هزینه"))</f>
        <v/>
      </c>
      <c r="G50" s="19">
        <f>IF($B50="","",$F50-$E50)</f>
        <v/>
      </c>
      <c r="H50" s="29">
        <f>IF(OR($B50="",$G$111=0),"",$G50/$G$111)</f>
        <v/>
      </c>
    </row>
    <row r="51">
      <c r="A51" s="21">
        <f>IF(ROW()-9&gt;NSubExp,"",ROW()-9)</f>
        <v/>
      </c>
      <c r="B51" s="30">
        <f>IF($A51="","",IF($A51&lt;=NSubExp,INDEX(PkSubExp,$A51),""))</f>
        <v/>
      </c>
      <c r="C51" s="22">
        <f>IF($B51="","",IFERROR(VLOOKUP($B51,SubTbl,3,0),"—"))</f>
        <v/>
      </c>
      <c r="D51" s="31">
        <f>IF($B51="","",COUNTIFS(ExpSub,$B51,ExpGroup,"هزینه"))</f>
        <v/>
      </c>
      <c r="E51" s="24">
        <f>IF($B51="","",SUMIFS(ExpDep,ExpSub,$B51,ExpGroup,"هزینه"))</f>
        <v/>
      </c>
      <c r="F51" s="24">
        <f>IF($B51="","",SUMIFS(ExpWit,ExpSub,$B51,ExpGroup,"هزینه"))</f>
        <v/>
      </c>
      <c r="G51" s="24">
        <f>IF($B51="","",$F51-$E51)</f>
        <v/>
      </c>
      <c r="H51" s="32">
        <f>IF(OR($B51="",$G$111=0),"",$G51/$G$111)</f>
        <v/>
      </c>
    </row>
    <row r="52">
      <c r="A52" s="16">
        <f>IF(ROW()-9&gt;NSubExp,"",ROW()-9)</f>
        <v/>
      </c>
      <c r="B52" s="27">
        <f>IF($A52="","",IF($A52&lt;=NSubExp,INDEX(PkSubExp,$A52),""))</f>
        <v/>
      </c>
      <c r="C52" s="17">
        <f>IF($B52="","",IFERROR(VLOOKUP($B52,SubTbl,3,0),"—"))</f>
        <v/>
      </c>
      <c r="D52" s="28">
        <f>IF($B52="","",COUNTIFS(ExpSub,$B52,ExpGroup,"هزینه"))</f>
        <v/>
      </c>
      <c r="E52" s="19">
        <f>IF($B52="","",SUMIFS(ExpDep,ExpSub,$B52,ExpGroup,"هزینه"))</f>
        <v/>
      </c>
      <c r="F52" s="19">
        <f>IF($B52="","",SUMIFS(ExpWit,ExpSub,$B52,ExpGroup,"هزینه"))</f>
        <v/>
      </c>
      <c r="G52" s="19">
        <f>IF($B52="","",$F52-$E52)</f>
        <v/>
      </c>
      <c r="H52" s="29">
        <f>IF(OR($B52="",$G$111=0),"",$G52/$G$111)</f>
        <v/>
      </c>
    </row>
    <row r="53">
      <c r="A53" s="21">
        <f>IF(ROW()-9&gt;NSubExp,"",ROW()-9)</f>
        <v/>
      </c>
      <c r="B53" s="30">
        <f>IF($A53="","",IF($A53&lt;=NSubExp,INDEX(PkSubExp,$A53),""))</f>
        <v/>
      </c>
      <c r="C53" s="22">
        <f>IF($B53="","",IFERROR(VLOOKUP($B53,SubTbl,3,0),"—"))</f>
        <v/>
      </c>
      <c r="D53" s="31">
        <f>IF($B53="","",COUNTIFS(ExpSub,$B53,ExpGroup,"هزینه"))</f>
        <v/>
      </c>
      <c r="E53" s="24">
        <f>IF($B53="","",SUMIFS(ExpDep,ExpSub,$B53,ExpGroup,"هزینه"))</f>
        <v/>
      </c>
      <c r="F53" s="24">
        <f>IF($B53="","",SUMIFS(ExpWit,ExpSub,$B53,ExpGroup,"هزینه"))</f>
        <v/>
      </c>
      <c r="G53" s="24">
        <f>IF($B53="","",$F53-$E53)</f>
        <v/>
      </c>
      <c r="H53" s="32">
        <f>IF(OR($B53="",$G$111=0),"",$G53/$G$111)</f>
        <v/>
      </c>
    </row>
    <row r="54">
      <c r="A54" s="16">
        <f>IF(ROW()-9&gt;NSubExp,"",ROW()-9)</f>
        <v/>
      </c>
      <c r="B54" s="27">
        <f>IF($A54="","",IF($A54&lt;=NSubExp,INDEX(PkSubExp,$A54),""))</f>
        <v/>
      </c>
      <c r="C54" s="17">
        <f>IF($B54="","",IFERROR(VLOOKUP($B54,SubTbl,3,0),"—"))</f>
        <v/>
      </c>
      <c r="D54" s="28">
        <f>IF($B54="","",COUNTIFS(ExpSub,$B54,ExpGroup,"هزینه"))</f>
        <v/>
      </c>
      <c r="E54" s="19">
        <f>IF($B54="","",SUMIFS(ExpDep,ExpSub,$B54,ExpGroup,"هزینه"))</f>
        <v/>
      </c>
      <c r="F54" s="19">
        <f>IF($B54="","",SUMIFS(ExpWit,ExpSub,$B54,ExpGroup,"هزینه"))</f>
        <v/>
      </c>
      <c r="G54" s="19">
        <f>IF($B54="","",$F54-$E54)</f>
        <v/>
      </c>
      <c r="H54" s="29">
        <f>IF(OR($B54="",$G$111=0),"",$G54/$G$111)</f>
        <v/>
      </c>
    </row>
    <row r="55">
      <c r="A55" s="21">
        <f>IF(ROW()-9&gt;NSubExp,"",ROW()-9)</f>
        <v/>
      </c>
      <c r="B55" s="30">
        <f>IF($A55="","",IF($A55&lt;=NSubExp,INDEX(PkSubExp,$A55),""))</f>
        <v/>
      </c>
      <c r="C55" s="22">
        <f>IF($B55="","",IFERROR(VLOOKUP($B55,SubTbl,3,0),"—"))</f>
        <v/>
      </c>
      <c r="D55" s="31">
        <f>IF($B55="","",COUNTIFS(ExpSub,$B55,ExpGroup,"هزینه"))</f>
        <v/>
      </c>
      <c r="E55" s="24">
        <f>IF($B55="","",SUMIFS(ExpDep,ExpSub,$B55,ExpGroup,"هزینه"))</f>
        <v/>
      </c>
      <c r="F55" s="24">
        <f>IF($B55="","",SUMIFS(ExpWit,ExpSub,$B55,ExpGroup,"هزینه"))</f>
        <v/>
      </c>
      <c r="G55" s="24">
        <f>IF($B55="","",$F55-$E55)</f>
        <v/>
      </c>
      <c r="H55" s="32">
        <f>IF(OR($B55="",$G$111=0),"",$G55/$G$111)</f>
        <v/>
      </c>
    </row>
    <row r="56">
      <c r="A56" s="16">
        <f>IF(ROW()-9&gt;NSubExp,"",ROW()-9)</f>
        <v/>
      </c>
      <c r="B56" s="27">
        <f>IF($A56="","",IF($A56&lt;=NSubExp,INDEX(PkSubExp,$A56),""))</f>
        <v/>
      </c>
      <c r="C56" s="17">
        <f>IF($B56="","",IFERROR(VLOOKUP($B56,SubTbl,3,0),"—"))</f>
        <v/>
      </c>
      <c r="D56" s="28">
        <f>IF($B56="","",COUNTIFS(ExpSub,$B56,ExpGroup,"هزینه"))</f>
        <v/>
      </c>
      <c r="E56" s="19">
        <f>IF($B56="","",SUMIFS(ExpDep,ExpSub,$B56,ExpGroup,"هزینه"))</f>
        <v/>
      </c>
      <c r="F56" s="19">
        <f>IF($B56="","",SUMIFS(ExpWit,ExpSub,$B56,ExpGroup,"هزینه"))</f>
        <v/>
      </c>
      <c r="G56" s="19">
        <f>IF($B56="","",$F56-$E56)</f>
        <v/>
      </c>
      <c r="H56" s="29">
        <f>IF(OR($B56="",$G$111=0),"",$G56/$G$111)</f>
        <v/>
      </c>
    </row>
    <row r="57">
      <c r="A57" s="21">
        <f>IF(ROW()-9&gt;NSubExp,"",ROW()-9)</f>
        <v/>
      </c>
      <c r="B57" s="30">
        <f>IF($A57="","",IF($A57&lt;=NSubExp,INDEX(PkSubExp,$A57),""))</f>
        <v/>
      </c>
      <c r="C57" s="22">
        <f>IF($B57="","",IFERROR(VLOOKUP($B57,SubTbl,3,0),"—"))</f>
        <v/>
      </c>
      <c r="D57" s="31">
        <f>IF($B57="","",COUNTIFS(ExpSub,$B57,ExpGroup,"هزینه"))</f>
        <v/>
      </c>
      <c r="E57" s="24">
        <f>IF($B57="","",SUMIFS(ExpDep,ExpSub,$B57,ExpGroup,"هزینه"))</f>
        <v/>
      </c>
      <c r="F57" s="24">
        <f>IF($B57="","",SUMIFS(ExpWit,ExpSub,$B57,ExpGroup,"هزینه"))</f>
        <v/>
      </c>
      <c r="G57" s="24">
        <f>IF($B57="","",$F57-$E57)</f>
        <v/>
      </c>
      <c r="H57" s="32">
        <f>IF(OR($B57="",$G$111=0),"",$G57/$G$111)</f>
        <v/>
      </c>
    </row>
    <row r="58">
      <c r="A58" s="16">
        <f>IF(ROW()-9&gt;NSubExp,"",ROW()-9)</f>
        <v/>
      </c>
      <c r="B58" s="27">
        <f>IF($A58="","",IF($A58&lt;=NSubExp,INDEX(PkSubExp,$A58),""))</f>
        <v/>
      </c>
      <c r="C58" s="17">
        <f>IF($B58="","",IFERROR(VLOOKUP($B58,SubTbl,3,0),"—"))</f>
        <v/>
      </c>
      <c r="D58" s="28">
        <f>IF($B58="","",COUNTIFS(ExpSub,$B58,ExpGroup,"هزینه"))</f>
        <v/>
      </c>
      <c r="E58" s="19">
        <f>IF($B58="","",SUMIFS(ExpDep,ExpSub,$B58,ExpGroup,"هزینه"))</f>
        <v/>
      </c>
      <c r="F58" s="19">
        <f>IF($B58="","",SUMIFS(ExpWit,ExpSub,$B58,ExpGroup,"هزینه"))</f>
        <v/>
      </c>
      <c r="G58" s="19">
        <f>IF($B58="","",$F58-$E58)</f>
        <v/>
      </c>
      <c r="H58" s="29">
        <f>IF(OR($B58="",$G$111=0),"",$G58/$G$111)</f>
        <v/>
      </c>
    </row>
    <row r="59">
      <c r="A59" s="21">
        <f>IF(ROW()-9&gt;NSubExp,"",ROW()-9)</f>
        <v/>
      </c>
      <c r="B59" s="30">
        <f>IF($A59="","",IF($A59&lt;=NSubExp,INDEX(PkSubExp,$A59),""))</f>
        <v/>
      </c>
      <c r="C59" s="22">
        <f>IF($B59="","",IFERROR(VLOOKUP($B59,SubTbl,3,0),"—"))</f>
        <v/>
      </c>
      <c r="D59" s="31">
        <f>IF($B59="","",COUNTIFS(ExpSub,$B59,ExpGroup,"هزینه"))</f>
        <v/>
      </c>
      <c r="E59" s="24">
        <f>IF($B59="","",SUMIFS(ExpDep,ExpSub,$B59,ExpGroup,"هزینه"))</f>
        <v/>
      </c>
      <c r="F59" s="24">
        <f>IF($B59="","",SUMIFS(ExpWit,ExpSub,$B59,ExpGroup,"هزینه"))</f>
        <v/>
      </c>
      <c r="G59" s="24">
        <f>IF($B59="","",$F59-$E59)</f>
        <v/>
      </c>
      <c r="H59" s="32">
        <f>IF(OR($B59="",$G$111=0),"",$G59/$G$111)</f>
        <v/>
      </c>
    </row>
    <row r="60">
      <c r="A60" s="16">
        <f>IF(ROW()-9&gt;NSubExp,"",ROW()-9)</f>
        <v/>
      </c>
      <c r="B60" s="27">
        <f>IF($A60="","",IF($A60&lt;=NSubExp,INDEX(PkSubExp,$A60),""))</f>
        <v/>
      </c>
      <c r="C60" s="17">
        <f>IF($B60="","",IFERROR(VLOOKUP($B60,SubTbl,3,0),"—"))</f>
        <v/>
      </c>
      <c r="D60" s="28">
        <f>IF($B60="","",COUNTIFS(ExpSub,$B60,ExpGroup,"هزینه"))</f>
        <v/>
      </c>
      <c r="E60" s="19">
        <f>IF($B60="","",SUMIFS(ExpDep,ExpSub,$B60,ExpGroup,"هزینه"))</f>
        <v/>
      </c>
      <c r="F60" s="19">
        <f>IF($B60="","",SUMIFS(ExpWit,ExpSub,$B60,ExpGroup,"هزینه"))</f>
        <v/>
      </c>
      <c r="G60" s="19">
        <f>IF($B60="","",$F60-$E60)</f>
        <v/>
      </c>
      <c r="H60" s="29">
        <f>IF(OR($B60="",$G$111=0),"",$G60/$G$111)</f>
        <v/>
      </c>
    </row>
    <row r="61">
      <c r="A61" s="21">
        <f>IF(ROW()-9&gt;NSubExp,"",ROW()-9)</f>
        <v/>
      </c>
      <c r="B61" s="30">
        <f>IF($A61="","",IF($A61&lt;=NSubExp,INDEX(PkSubExp,$A61),""))</f>
        <v/>
      </c>
      <c r="C61" s="22">
        <f>IF($B61="","",IFERROR(VLOOKUP($B61,SubTbl,3,0),"—"))</f>
        <v/>
      </c>
      <c r="D61" s="31">
        <f>IF($B61="","",COUNTIFS(ExpSub,$B61,ExpGroup,"هزینه"))</f>
        <v/>
      </c>
      <c r="E61" s="24">
        <f>IF($B61="","",SUMIFS(ExpDep,ExpSub,$B61,ExpGroup,"هزینه"))</f>
        <v/>
      </c>
      <c r="F61" s="24">
        <f>IF($B61="","",SUMIFS(ExpWit,ExpSub,$B61,ExpGroup,"هزینه"))</f>
        <v/>
      </c>
      <c r="G61" s="24">
        <f>IF($B61="","",$F61-$E61)</f>
        <v/>
      </c>
      <c r="H61" s="32">
        <f>IF(OR($B61="",$G$111=0),"",$G61/$G$111)</f>
        <v/>
      </c>
    </row>
    <row r="62">
      <c r="A62" s="16">
        <f>IF(ROW()-9&gt;NSubExp,"",ROW()-9)</f>
        <v/>
      </c>
      <c r="B62" s="27">
        <f>IF($A62="","",IF($A62&lt;=NSubExp,INDEX(PkSubExp,$A62),""))</f>
        <v/>
      </c>
      <c r="C62" s="17">
        <f>IF($B62="","",IFERROR(VLOOKUP($B62,SubTbl,3,0),"—"))</f>
        <v/>
      </c>
      <c r="D62" s="28">
        <f>IF($B62="","",COUNTIFS(ExpSub,$B62,ExpGroup,"هزینه"))</f>
        <v/>
      </c>
      <c r="E62" s="19">
        <f>IF($B62="","",SUMIFS(ExpDep,ExpSub,$B62,ExpGroup,"هزینه"))</f>
        <v/>
      </c>
      <c r="F62" s="19">
        <f>IF($B62="","",SUMIFS(ExpWit,ExpSub,$B62,ExpGroup,"هزینه"))</f>
        <v/>
      </c>
      <c r="G62" s="19">
        <f>IF($B62="","",$F62-$E62)</f>
        <v/>
      </c>
      <c r="H62" s="29">
        <f>IF(OR($B62="",$G$111=0),"",$G62/$G$111)</f>
        <v/>
      </c>
    </row>
    <row r="63">
      <c r="A63" s="21">
        <f>IF(ROW()-9&gt;NSubExp,"",ROW()-9)</f>
        <v/>
      </c>
      <c r="B63" s="30">
        <f>IF($A63="","",IF($A63&lt;=NSubExp,INDEX(PkSubExp,$A63),""))</f>
        <v/>
      </c>
      <c r="C63" s="22">
        <f>IF($B63="","",IFERROR(VLOOKUP($B63,SubTbl,3,0),"—"))</f>
        <v/>
      </c>
      <c r="D63" s="31">
        <f>IF($B63="","",COUNTIFS(ExpSub,$B63,ExpGroup,"هزینه"))</f>
        <v/>
      </c>
      <c r="E63" s="24">
        <f>IF($B63="","",SUMIFS(ExpDep,ExpSub,$B63,ExpGroup,"هزینه"))</f>
        <v/>
      </c>
      <c r="F63" s="24">
        <f>IF($B63="","",SUMIFS(ExpWit,ExpSub,$B63,ExpGroup,"هزینه"))</f>
        <v/>
      </c>
      <c r="G63" s="24">
        <f>IF($B63="","",$F63-$E63)</f>
        <v/>
      </c>
      <c r="H63" s="32">
        <f>IF(OR($B63="",$G$111=0),"",$G63/$G$111)</f>
        <v/>
      </c>
    </row>
    <row r="64">
      <c r="A64" s="16">
        <f>IF(ROW()-9&gt;NSubExp,"",ROW()-9)</f>
        <v/>
      </c>
      <c r="B64" s="27">
        <f>IF($A64="","",IF($A64&lt;=NSubExp,INDEX(PkSubExp,$A64),""))</f>
        <v/>
      </c>
      <c r="C64" s="17">
        <f>IF($B64="","",IFERROR(VLOOKUP($B64,SubTbl,3,0),"—"))</f>
        <v/>
      </c>
      <c r="D64" s="28">
        <f>IF($B64="","",COUNTIFS(ExpSub,$B64,ExpGroup,"هزینه"))</f>
        <v/>
      </c>
      <c r="E64" s="19">
        <f>IF($B64="","",SUMIFS(ExpDep,ExpSub,$B64,ExpGroup,"هزینه"))</f>
        <v/>
      </c>
      <c r="F64" s="19">
        <f>IF($B64="","",SUMIFS(ExpWit,ExpSub,$B64,ExpGroup,"هزینه"))</f>
        <v/>
      </c>
      <c r="G64" s="19">
        <f>IF($B64="","",$F64-$E64)</f>
        <v/>
      </c>
      <c r="H64" s="29">
        <f>IF(OR($B64="",$G$111=0),"",$G64/$G$111)</f>
        <v/>
      </c>
    </row>
    <row r="65">
      <c r="A65" s="21">
        <f>IF(ROW()-9&gt;NSubExp,"",ROW()-9)</f>
        <v/>
      </c>
      <c r="B65" s="30">
        <f>IF($A65="","",IF($A65&lt;=NSubExp,INDEX(PkSubExp,$A65),""))</f>
        <v/>
      </c>
      <c r="C65" s="22">
        <f>IF($B65="","",IFERROR(VLOOKUP($B65,SubTbl,3,0),"—"))</f>
        <v/>
      </c>
      <c r="D65" s="31">
        <f>IF($B65="","",COUNTIFS(ExpSub,$B65,ExpGroup,"هزینه"))</f>
        <v/>
      </c>
      <c r="E65" s="24">
        <f>IF($B65="","",SUMIFS(ExpDep,ExpSub,$B65,ExpGroup,"هزینه"))</f>
        <v/>
      </c>
      <c r="F65" s="24">
        <f>IF($B65="","",SUMIFS(ExpWit,ExpSub,$B65,ExpGroup,"هزینه"))</f>
        <v/>
      </c>
      <c r="G65" s="24">
        <f>IF($B65="","",$F65-$E65)</f>
        <v/>
      </c>
      <c r="H65" s="32">
        <f>IF(OR($B65="",$G$111=0),"",$G65/$G$111)</f>
        <v/>
      </c>
    </row>
    <row r="66">
      <c r="A66" s="16">
        <f>IF(ROW()-9&gt;NSubExp,"",ROW()-9)</f>
        <v/>
      </c>
      <c r="B66" s="27">
        <f>IF($A66="","",IF($A66&lt;=NSubExp,INDEX(PkSubExp,$A66),""))</f>
        <v/>
      </c>
      <c r="C66" s="17">
        <f>IF($B66="","",IFERROR(VLOOKUP($B66,SubTbl,3,0),"—"))</f>
        <v/>
      </c>
      <c r="D66" s="28">
        <f>IF($B66="","",COUNTIFS(ExpSub,$B66,ExpGroup,"هزینه"))</f>
        <v/>
      </c>
      <c r="E66" s="19">
        <f>IF($B66="","",SUMIFS(ExpDep,ExpSub,$B66,ExpGroup,"هزینه"))</f>
        <v/>
      </c>
      <c r="F66" s="19">
        <f>IF($B66="","",SUMIFS(ExpWit,ExpSub,$B66,ExpGroup,"هزینه"))</f>
        <v/>
      </c>
      <c r="G66" s="19">
        <f>IF($B66="","",$F66-$E66)</f>
        <v/>
      </c>
      <c r="H66" s="29">
        <f>IF(OR($B66="",$G$111=0),"",$G66/$G$111)</f>
        <v/>
      </c>
    </row>
    <row r="67">
      <c r="A67" s="21">
        <f>IF(ROW()-9&gt;NSubExp,"",ROW()-9)</f>
        <v/>
      </c>
      <c r="B67" s="30">
        <f>IF($A67="","",IF($A67&lt;=NSubExp,INDEX(PkSubExp,$A67),""))</f>
        <v/>
      </c>
      <c r="C67" s="22">
        <f>IF($B67="","",IFERROR(VLOOKUP($B67,SubTbl,3,0),"—"))</f>
        <v/>
      </c>
      <c r="D67" s="31">
        <f>IF($B67="","",COUNTIFS(ExpSub,$B67,ExpGroup,"هزینه"))</f>
        <v/>
      </c>
      <c r="E67" s="24">
        <f>IF($B67="","",SUMIFS(ExpDep,ExpSub,$B67,ExpGroup,"هزینه"))</f>
        <v/>
      </c>
      <c r="F67" s="24">
        <f>IF($B67="","",SUMIFS(ExpWit,ExpSub,$B67,ExpGroup,"هزینه"))</f>
        <v/>
      </c>
      <c r="G67" s="24">
        <f>IF($B67="","",$F67-$E67)</f>
        <v/>
      </c>
      <c r="H67" s="32">
        <f>IF(OR($B67="",$G$111=0),"",$G67/$G$111)</f>
        <v/>
      </c>
    </row>
    <row r="68">
      <c r="A68" s="16">
        <f>IF(ROW()-9&gt;NSubExp,"",ROW()-9)</f>
        <v/>
      </c>
      <c r="B68" s="27">
        <f>IF($A68="","",IF($A68&lt;=NSubExp,INDEX(PkSubExp,$A68),""))</f>
        <v/>
      </c>
      <c r="C68" s="17">
        <f>IF($B68="","",IFERROR(VLOOKUP($B68,SubTbl,3,0),"—"))</f>
        <v/>
      </c>
      <c r="D68" s="28">
        <f>IF($B68="","",COUNTIFS(ExpSub,$B68,ExpGroup,"هزینه"))</f>
        <v/>
      </c>
      <c r="E68" s="19">
        <f>IF($B68="","",SUMIFS(ExpDep,ExpSub,$B68,ExpGroup,"هزینه"))</f>
        <v/>
      </c>
      <c r="F68" s="19">
        <f>IF($B68="","",SUMIFS(ExpWit,ExpSub,$B68,ExpGroup,"هزینه"))</f>
        <v/>
      </c>
      <c r="G68" s="19">
        <f>IF($B68="","",$F68-$E68)</f>
        <v/>
      </c>
      <c r="H68" s="29">
        <f>IF(OR($B68="",$G$111=0),"",$G68/$G$111)</f>
        <v/>
      </c>
    </row>
    <row r="69">
      <c r="A69" s="21">
        <f>IF(ROW()-9&gt;NSubExp,"",ROW()-9)</f>
        <v/>
      </c>
      <c r="B69" s="30">
        <f>IF($A69="","",IF($A69&lt;=NSubExp,INDEX(PkSubExp,$A69),""))</f>
        <v/>
      </c>
      <c r="C69" s="22">
        <f>IF($B69="","",IFERROR(VLOOKUP($B69,SubTbl,3,0),"—"))</f>
        <v/>
      </c>
      <c r="D69" s="31">
        <f>IF($B69="","",COUNTIFS(ExpSub,$B69,ExpGroup,"هزینه"))</f>
        <v/>
      </c>
      <c r="E69" s="24">
        <f>IF($B69="","",SUMIFS(ExpDep,ExpSub,$B69,ExpGroup,"هزینه"))</f>
        <v/>
      </c>
      <c r="F69" s="24">
        <f>IF($B69="","",SUMIFS(ExpWit,ExpSub,$B69,ExpGroup,"هزینه"))</f>
        <v/>
      </c>
      <c r="G69" s="24">
        <f>IF($B69="","",$F69-$E69)</f>
        <v/>
      </c>
      <c r="H69" s="32">
        <f>IF(OR($B69="",$G$111=0),"",$G69/$G$111)</f>
        <v/>
      </c>
    </row>
    <row r="70">
      <c r="A70" s="16">
        <f>IF(ROW()-9&gt;NSubExp,"",ROW()-9)</f>
        <v/>
      </c>
      <c r="B70" s="27">
        <f>IF($A70="","",IF($A70&lt;=NSubExp,INDEX(PkSubExp,$A70),""))</f>
        <v/>
      </c>
      <c r="C70" s="17">
        <f>IF($B70="","",IFERROR(VLOOKUP($B70,SubTbl,3,0),"—"))</f>
        <v/>
      </c>
      <c r="D70" s="28">
        <f>IF($B70="","",COUNTIFS(ExpSub,$B70,ExpGroup,"هزینه"))</f>
        <v/>
      </c>
      <c r="E70" s="19">
        <f>IF($B70="","",SUMIFS(ExpDep,ExpSub,$B70,ExpGroup,"هزینه"))</f>
        <v/>
      </c>
      <c r="F70" s="19">
        <f>IF($B70="","",SUMIFS(ExpWit,ExpSub,$B70,ExpGroup,"هزینه"))</f>
        <v/>
      </c>
      <c r="G70" s="19">
        <f>IF($B70="","",$F70-$E70)</f>
        <v/>
      </c>
      <c r="H70" s="29">
        <f>IF(OR($B70="",$G$111=0),"",$G70/$G$111)</f>
        <v/>
      </c>
    </row>
    <row r="71">
      <c r="A71" s="21">
        <f>IF(ROW()-9&gt;NSubExp,"",ROW()-9)</f>
        <v/>
      </c>
      <c r="B71" s="30">
        <f>IF($A71="","",IF($A71&lt;=NSubExp,INDEX(PkSubExp,$A71),""))</f>
        <v/>
      </c>
      <c r="C71" s="22">
        <f>IF($B71="","",IFERROR(VLOOKUP($B71,SubTbl,3,0),"—"))</f>
        <v/>
      </c>
      <c r="D71" s="31">
        <f>IF($B71="","",COUNTIFS(ExpSub,$B71,ExpGroup,"هزینه"))</f>
        <v/>
      </c>
      <c r="E71" s="24">
        <f>IF($B71="","",SUMIFS(ExpDep,ExpSub,$B71,ExpGroup,"هزینه"))</f>
        <v/>
      </c>
      <c r="F71" s="24">
        <f>IF($B71="","",SUMIFS(ExpWit,ExpSub,$B71,ExpGroup,"هزینه"))</f>
        <v/>
      </c>
      <c r="G71" s="24">
        <f>IF($B71="","",$F71-$E71)</f>
        <v/>
      </c>
      <c r="H71" s="32">
        <f>IF(OR($B71="",$G$111=0),"",$G71/$G$111)</f>
        <v/>
      </c>
    </row>
    <row r="72">
      <c r="A72" s="16">
        <f>IF(ROW()-9&gt;NSubExp,"",ROW()-9)</f>
        <v/>
      </c>
      <c r="B72" s="27">
        <f>IF($A72="","",IF($A72&lt;=NSubExp,INDEX(PkSubExp,$A72),""))</f>
        <v/>
      </c>
      <c r="C72" s="17">
        <f>IF($B72="","",IFERROR(VLOOKUP($B72,SubTbl,3,0),"—"))</f>
        <v/>
      </c>
      <c r="D72" s="28">
        <f>IF($B72="","",COUNTIFS(ExpSub,$B72,ExpGroup,"هزینه"))</f>
        <v/>
      </c>
      <c r="E72" s="19">
        <f>IF($B72="","",SUMIFS(ExpDep,ExpSub,$B72,ExpGroup,"هزینه"))</f>
        <v/>
      </c>
      <c r="F72" s="19">
        <f>IF($B72="","",SUMIFS(ExpWit,ExpSub,$B72,ExpGroup,"هزینه"))</f>
        <v/>
      </c>
      <c r="G72" s="19">
        <f>IF($B72="","",$F72-$E72)</f>
        <v/>
      </c>
      <c r="H72" s="29">
        <f>IF(OR($B72="",$G$111=0),"",$G72/$G$111)</f>
        <v/>
      </c>
    </row>
    <row r="73">
      <c r="A73" s="21">
        <f>IF(ROW()-9&gt;NSubExp,"",ROW()-9)</f>
        <v/>
      </c>
      <c r="B73" s="30">
        <f>IF($A73="","",IF($A73&lt;=NSubExp,INDEX(PkSubExp,$A73),""))</f>
        <v/>
      </c>
      <c r="C73" s="22">
        <f>IF($B73="","",IFERROR(VLOOKUP($B73,SubTbl,3,0),"—"))</f>
        <v/>
      </c>
      <c r="D73" s="31">
        <f>IF($B73="","",COUNTIFS(ExpSub,$B73,ExpGroup,"هزینه"))</f>
        <v/>
      </c>
      <c r="E73" s="24">
        <f>IF($B73="","",SUMIFS(ExpDep,ExpSub,$B73,ExpGroup,"هزینه"))</f>
        <v/>
      </c>
      <c r="F73" s="24">
        <f>IF($B73="","",SUMIFS(ExpWit,ExpSub,$B73,ExpGroup,"هزینه"))</f>
        <v/>
      </c>
      <c r="G73" s="24">
        <f>IF($B73="","",$F73-$E73)</f>
        <v/>
      </c>
      <c r="H73" s="32">
        <f>IF(OR($B73="",$G$111=0),"",$G73/$G$111)</f>
        <v/>
      </c>
    </row>
    <row r="74">
      <c r="A74" s="16">
        <f>IF(ROW()-9&gt;NSubExp,"",ROW()-9)</f>
        <v/>
      </c>
      <c r="B74" s="27">
        <f>IF($A74="","",IF($A74&lt;=NSubExp,INDEX(PkSubExp,$A74),""))</f>
        <v/>
      </c>
      <c r="C74" s="17">
        <f>IF($B74="","",IFERROR(VLOOKUP($B74,SubTbl,3,0),"—"))</f>
        <v/>
      </c>
      <c r="D74" s="28">
        <f>IF($B74="","",COUNTIFS(ExpSub,$B74,ExpGroup,"هزینه"))</f>
        <v/>
      </c>
      <c r="E74" s="19">
        <f>IF($B74="","",SUMIFS(ExpDep,ExpSub,$B74,ExpGroup,"هزینه"))</f>
        <v/>
      </c>
      <c r="F74" s="19">
        <f>IF($B74="","",SUMIFS(ExpWit,ExpSub,$B74,ExpGroup,"هزینه"))</f>
        <v/>
      </c>
      <c r="G74" s="19">
        <f>IF($B74="","",$F74-$E74)</f>
        <v/>
      </c>
      <c r="H74" s="29">
        <f>IF(OR($B74="",$G$111=0),"",$G74/$G$111)</f>
        <v/>
      </c>
    </row>
    <row r="75">
      <c r="A75" s="21">
        <f>IF(ROW()-9&gt;NSubExp,"",ROW()-9)</f>
        <v/>
      </c>
      <c r="B75" s="30">
        <f>IF($A75="","",IF($A75&lt;=NSubExp,INDEX(PkSubExp,$A75),""))</f>
        <v/>
      </c>
      <c r="C75" s="22">
        <f>IF($B75="","",IFERROR(VLOOKUP($B75,SubTbl,3,0),"—"))</f>
        <v/>
      </c>
      <c r="D75" s="31">
        <f>IF($B75="","",COUNTIFS(ExpSub,$B75,ExpGroup,"هزینه"))</f>
        <v/>
      </c>
      <c r="E75" s="24">
        <f>IF($B75="","",SUMIFS(ExpDep,ExpSub,$B75,ExpGroup,"هزینه"))</f>
        <v/>
      </c>
      <c r="F75" s="24">
        <f>IF($B75="","",SUMIFS(ExpWit,ExpSub,$B75,ExpGroup,"هزینه"))</f>
        <v/>
      </c>
      <c r="G75" s="24">
        <f>IF($B75="","",$F75-$E75)</f>
        <v/>
      </c>
      <c r="H75" s="32">
        <f>IF(OR($B75="",$G$111=0),"",$G75/$G$111)</f>
        <v/>
      </c>
    </row>
    <row r="76">
      <c r="A76" s="16">
        <f>IF(ROW()-9&gt;NSubExp,"",ROW()-9)</f>
        <v/>
      </c>
      <c r="B76" s="27">
        <f>IF($A76="","",IF($A76&lt;=NSubExp,INDEX(PkSubExp,$A76),""))</f>
        <v/>
      </c>
      <c r="C76" s="17">
        <f>IF($B76="","",IFERROR(VLOOKUP($B76,SubTbl,3,0),"—"))</f>
        <v/>
      </c>
      <c r="D76" s="28">
        <f>IF($B76="","",COUNTIFS(ExpSub,$B76,ExpGroup,"هزینه"))</f>
        <v/>
      </c>
      <c r="E76" s="19">
        <f>IF($B76="","",SUMIFS(ExpDep,ExpSub,$B76,ExpGroup,"هزینه"))</f>
        <v/>
      </c>
      <c r="F76" s="19">
        <f>IF($B76="","",SUMIFS(ExpWit,ExpSub,$B76,ExpGroup,"هزینه"))</f>
        <v/>
      </c>
      <c r="G76" s="19">
        <f>IF($B76="","",$F76-$E76)</f>
        <v/>
      </c>
      <c r="H76" s="29">
        <f>IF(OR($B76="",$G$111=0),"",$G76/$G$111)</f>
        <v/>
      </c>
    </row>
    <row r="77">
      <c r="A77" s="21">
        <f>IF(ROW()-9&gt;NSubExp,"",ROW()-9)</f>
        <v/>
      </c>
      <c r="B77" s="30">
        <f>IF($A77="","",IF($A77&lt;=NSubExp,INDEX(PkSubExp,$A77),""))</f>
        <v/>
      </c>
      <c r="C77" s="22">
        <f>IF($B77="","",IFERROR(VLOOKUP($B77,SubTbl,3,0),"—"))</f>
        <v/>
      </c>
      <c r="D77" s="31">
        <f>IF($B77="","",COUNTIFS(ExpSub,$B77,ExpGroup,"هزینه"))</f>
        <v/>
      </c>
      <c r="E77" s="24">
        <f>IF($B77="","",SUMIFS(ExpDep,ExpSub,$B77,ExpGroup,"هزینه"))</f>
        <v/>
      </c>
      <c r="F77" s="24">
        <f>IF($B77="","",SUMIFS(ExpWit,ExpSub,$B77,ExpGroup,"هزینه"))</f>
        <v/>
      </c>
      <c r="G77" s="24">
        <f>IF($B77="","",$F77-$E77)</f>
        <v/>
      </c>
      <c r="H77" s="32">
        <f>IF(OR($B77="",$G$111=0),"",$G77/$G$111)</f>
        <v/>
      </c>
    </row>
    <row r="78">
      <c r="A78" s="16">
        <f>IF(ROW()-9&gt;NSubExp,"",ROW()-9)</f>
        <v/>
      </c>
      <c r="B78" s="27">
        <f>IF($A78="","",IF($A78&lt;=NSubExp,INDEX(PkSubExp,$A78),""))</f>
        <v/>
      </c>
      <c r="C78" s="17">
        <f>IF($B78="","",IFERROR(VLOOKUP($B78,SubTbl,3,0),"—"))</f>
        <v/>
      </c>
      <c r="D78" s="28">
        <f>IF($B78="","",COUNTIFS(ExpSub,$B78,ExpGroup,"هزینه"))</f>
        <v/>
      </c>
      <c r="E78" s="19">
        <f>IF($B78="","",SUMIFS(ExpDep,ExpSub,$B78,ExpGroup,"هزینه"))</f>
        <v/>
      </c>
      <c r="F78" s="19">
        <f>IF($B78="","",SUMIFS(ExpWit,ExpSub,$B78,ExpGroup,"هزینه"))</f>
        <v/>
      </c>
      <c r="G78" s="19">
        <f>IF($B78="","",$F78-$E78)</f>
        <v/>
      </c>
      <c r="H78" s="29">
        <f>IF(OR($B78="",$G$111=0),"",$G78/$G$111)</f>
        <v/>
      </c>
    </row>
    <row r="79">
      <c r="A79" s="21">
        <f>IF(ROW()-9&gt;NSubExp,"",ROW()-9)</f>
        <v/>
      </c>
      <c r="B79" s="30">
        <f>IF($A79="","",IF($A79&lt;=NSubExp,INDEX(PkSubExp,$A79),""))</f>
        <v/>
      </c>
      <c r="C79" s="22">
        <f>IF($B79="","",IFERROR(VLOOKUP($B79,SubTbl,3,0),"—"))</f>
        <v/>
      </c>
      <c r="D79" s="31">
        <f>IF($B79="","",COUNTIFS(ExpSub,$B79,ExpGroup,"هزینه"))</f>
        <v/>
      </c>
      <c r="E79" s="24">
        <f>IF($B79="","",SUMIFS(ExpDep,ExpSub,$B79,ExpGroup,"هزینه"))</f>
        <v/>
      </c>
      <c r="F79" s="24">
        <f>IF($B79="","",SUMIFS(ExpWit,ExpSub,$B79,ExpGroup,"هزینه"))</f>
        <v/>
      </c>
      <c r="G79" s="24">
        <f>IF($B79="","",$F79-$E79)</f>
        <v/>
      </c>
      <c r="H79" s="32">
        <f>IF(OR($B79="",$G$111=0),"",$G79/$G$111)</f>
        <v/>
      </c>
    </row>
    <row r="80">
      <c r="A80" s="16">
        <f>IF(ROW()-9&gt;NSubExp,"",ROW()-9)</f>
        <v/>
      </c>
      <c r="B80" s="27">
        <f>IF($A80="","",IF($A80&lt;=NSubExp,INDEX(PkSubExp,$A80),""))</f>
        <v/>
      </c>
      <c r="C80" s="17">
        <f>IF($B80="","",IFERROR(VLOOKUP($B80,SubTbl,3,0),"—"))</f>
        <v/>
      </c>
      <c r="D80" s="28">
        <f>IF($B80="","",COUNTIFS(ExpSub,$B80,ExpGroup,"هزینه"))</f>
        <v/>
      </c>
      <c r="E80" s="19">
        <f>IF($B80="","",SUMIFS(ExpDep,ExpSub,$B80,ExpGroup,"هزینه"))</f>
        <v/>
      </c>
      <c r="F80" s="19">
        <f>IF($B80="","",SUMIFS(ExpWit,ExpSub,$B80,ExpGroup,"هزینه"))</f>
        <v/>
      </c>
      <c r="G80" s="19">
        <f>IF($B80="","",$F80-$E80)</f>
        <v/>
      </c>
      <c r="H80" s="29">
        <f>IF(OR($B80="",$G$111=0),"",$G80/$G$111)</f>
        <v/>
      </c>
    </row>
    <row r="81">
      <c r="A81" s="21">
        <f>IF(ROW()-9&gt;NSubExp,"",ROW()-9)</f>
        <v/>
      </c>
      <c r="B81" s="30">
        <f>IF($A81="","",IF($A81&lt;=NSubExp,INDEX(PkSubExp,$A81),""))</f>
        <v/>
      </c>
      <c r="C81" s="22">
        <f>IF($B81="","",IFERROR(VLOOKUP($B81,SubTbl,3,0),"—"))</f>
        <v/>
      </c>
      <c r="D81" s="31">
        <f>IF($B81="","",COUNTIFS(ExpSub,$B81,ExpGroup,"هزینه"))</f>
        <v/>
      </c>
      <c r="E81" s="24">
        <f>IF($B81="","",SUMIFS(ExpDep,ExpSub,$B81,ExpGroup,"هزینه"))</f>
        <v/>
      </c>
      <c r="F81" s="24">
        <f>IF($B81="","",SUMIFS(ExpWit,ExpSub,$B81,ExpGroup,"هزینه"))</f>
        <v/>
      </c>
      <c r="G81" s="24">
        <f>IF($B81="","",$F81-$E81)</f>
        <v/>
      </c>
      <c r="H81" s="32">
        <f>IF(OR($B81="",$G$111=0),"",$G81/$G$111)</f>
        <v/>
      </c>
    </row>
    <row r="82">
      <c r="A82" s="16">
        <f>IF(ROW()-9&gt;NSubExp,"",ROW()-9)</f>
        <v/>
      </c>
      <c r="B82" s="27">
        <f>IF($A82="","",IF($A82&lt;=NSubExp,INDEX(PkSubExp,$A82),""))</f>
        <v/>
      </c>
      <c r="C82" s="17">
        <f>IF($B82="","",IFERROR(VLOOKUP($B82,SubTbl,3,0),"—"))</f>
        <v/>
      </c>
      <c r="D82" s="28">
        <f>IF($B82="","",COUNTIFS(ExpSub,$B82,ExpGroup,"هزینه"))</f>
        <v/>
      </c>
      <c r="E82" s="19">
        <f>IF($B82="","",SUMIFS(ExpDep,ExpSub,$B82,ExpGroup,"هزینه"))</f>
        <v/>
      </c>
      <c r="F82" s="19">
        <f>IF($B82="","",SUMIFS(ExpWit,ExpSub,$B82,ExpGroup,"هزینه"))</f>
        <v/>
      </c>
      <c r="G82" s="19">
        <f>IF($B82="","",$F82-$E82)</f>
        <v/>
      </c>
      <c r="H82" s="29">
        <f>IF(OR($B82="",$G$111=0),"",$G82/$G$111)</f>
        <v/>
      </c>
    </row>
    <row r="83">
      <c r="A83" s="21">
        <f>IF(ROW()-9&gt;NSubExp,"",ROW()-9)</f>
        <v/>
      </c>
      <c r="B83" s="30">
        <f>IF($A83="","",IF($A83&lt;=NSubExp,INDEX(PkSubExp,$A83),""))</f>
        <v/>
      </c>
      <c r="C83" s="22">
        <f>IF($B83="","",IFERROR(VLOOKUP($B83,SubTbl,3,0),"—"))</f>
        <v/>
      </c>
      <c r="D83" s="31">
        <f>IF($B83="","",COUNTIFS(ExpSub,$B83,ExpGroup,"هزینه"))</f>
        <v/>
      </c>
      <c r="E83" s="24">
        <f>IF($B83="","",SUMIFS(ExpDep,ExpSub,$B83,ExpGroup,"هزینه"))</f>
        <v/>
      </c>
      <c r="F83" s="24">
        <f>IF($B83="","",SUMIFS(ExpWit,ExpSub,$B83,ExpGroup,"هزینه"))</f>
        <v/>
      </c>
      <c r="G83" s="24">
        <f>IF($B83="","",$F83-$E83)</f>
        <v/>
      </c>
      <c r="H83" s="32">
        <f>IF(OR($B83="",$G$111=0),"",$G83/$G$111)</f>
        <v/>
      </c>
    </row>
    <row r="84">
      <c r="A84" s="16">
        <f>IF(ROW()-9&gt;NSubExp,"",ROW()-9)</f>
        <v/>
      </c>
      <c r="B84" s="27">
        <f>IF($A84="","",IF($A84&lt;=NSubExp,INDEX(PkSubExp,$A84),""))</f>
        <v/>
      </c>
      <c r="C84" s="17">
        <f>IF($B84="","",IFERROR(VLOOKUP($B84,SubTbl,3,0),"—"))</f>
        <v/>
      </c>
      <c r="D84" s="28">
        <f>IF($B84="","",COUNTIFS(ExpSub,$B84,ExpGroup,"هزینه"))</f>
        <v/>
      </c>
      <c r="E84" s="19">
        <f>IF($B84="","",SUMIFS(ExpDep,ExpSub,$B84,ExpGroup,"هزینه"))</f>
        <v/>
      </c>
      <c r="F84" s="19">
        <f>IF($B84="","",SUMIFS(ExpWit,ExpSub,$B84,ExpGroup,"هزینه"))</f>
        <v/>
      </c>
      <c r="G84" s="19">
        <f>IF($B84="","",$F84-$E84)</f>
        <v/>
      </c>
      <c r="H84" s="29">
        <f>IF(OR($B84="",$G$111=0),"",$G84/$G$111)</f>
        <v/>
      </c>
    </row>
    <row r="85">
      <c r="A85" s="21">
        <f>IF(ROW()-9&gt;NSubExp,"",ROW()-9)</f>
        <v/>
      </c>
      <c r="B85" s="30">
        <f>IF($A85="","",IF($A85&lt;=NSubExp,INDEX(PkSubExp,$A85),""))</f>
        <v/>
      </c>
      <c r="C85" s="22">
        <f>IF($B85="","",IFERROR(VLOOKUP($B85,SubTbl,3,0),"—"))</f>
        <v/>
      </c>
      <c r="D85" s="31">
        <f>IF($B85="","",COUNTIFS(ExpSub,$B85,ExpGroup,"هزینه"))</f>
        <v/>
      </c>
      <c r="E85" s="24">
        <f>IF($B85="","",SUMIFS(ExpDep,ExpSub,$B85,ExpGroup,"هزینه"))</f>
        <v/>
      </c>
      <c r="F85" s="24">
        <f>IF($B85="","",SUMIFS(ExpWit,ExpSub,$B85,ExpGroup,"هزینه"))</f>
        <v/>
      </c>
      <c r="G85" s="24">
        <f>IF($B85="","",$F85-$E85)</f>
        <v/>
      </c>
      <c r="H85" s="32">
        <f>IF(OR($B85="",$G$111=0),"",$G85/$G$111)</f>
        <v/>
      </c>
    </row>
    <row r="86">
      <c r="A86" s="16">
        <f>IF(ROW()-9&gt;NSubExp,"",ROW()-9)</f>
        <v/>
      </c>
      <c r="B86" s="27">
        <f>IF($A86="","",IF($A86&lt;=NSubExp,INDEX(PkSubExp,$A86),""))</f>
        <v/>
      </c>
      <c r="C86" s="17">
        <f>IF($B86="","",IFERROR(VLOOKUP($B86,SubTbl,3,0),"—"))</f>
        <v/>
      </c>
      <c r="D86" s="28">
        <f>IF($B86="","",COUNTIFS(ExpSub,$B86,ExpGroup,"هزینه"))</f>
        <v/>
      </c>
      <c r="E86" s="19">
        <f>IF($B86="","",SUMIFS(ExpDep,ExpSub,$B86,ExpGroup,"هزینه"))</f>
        <v/>
      </c>
      <c r="F86" s="19">
        <f>IF($B86="","",SUMIFS(ExpWit,ExpSub,$B86,ExpGroup,"هزینه"))</f>
        <v/>
      </c>
      <c r="G86" s="19">
        <f>IF($B86="","",$F86-$E86)</f>
        <v/>
      </c>
      <c r="H86" s="29">
        <f>IF(OR($B86="",$G$111=0),"",$G86/$G$111)</f>
        <v/>
      </c>
    </row>
    <row r="87">
      <c r="A87" s="21">
        <f>IF(ROW()-9&gt;NSubExp,"",ROW()-9)</f>
        <v/>
      </c>
      <c r="B87" s="30">
        <f>IF($A87="","",IF($A87&lt;=NSubExp,INDEX(PkSubExp,$A87),""))</f>
        <v/>
      </c>
      <c r="C87" s="22">
        <f>IF($B87="","",IFERROR(VLOOKUP($B87,SubTbl,3,0),"—"))</f>
        <v/>
      </c>
      <c r="D87" s="31">
        <f>IF($B87="","",COUNTIFS(ExpSub,$B87,ExpGroup,"هزینه"))</f>
        <v/>
      </c>
      <c r="E87" s="24">
        <f>IF($B87="","",SUMIFS(ExpDep,ExpSub,$B87,ExpGroup,"هزینه"))</f>
        <v/>
      </c>
      <c r="F87" s="24">
        <f>IF($B87="","",SUMIFS(ExpWit,ExpSub,$B87,ExpGroup,"هزینه"))</f>
        <v/>
      </c>
      <c r="G87" s="24">
        <f>IF($B87="","",$F87-$E87)</f>
        <v/>
      </c>
      <c r="H87" s="32">
        <f>IF(OR($B87="",$G$111=0),"",$G87/$G$111)</f>
        <v/>
      </c>
    </row>
    <row r="88">
      <c r="A88" s="16">
        <f>IF(ROW()-9&gt;NSubExp,"",ROW()-9)</f>
        <v/>
      </c>
      <c r="B88" s="27">
        <f>IF($A88="","",IF($A88&lt;=NSubExp,INDEX(PkSubExp,$A88),""))</f>
        <v/>
      </c>
      <c r="C88" s="17">
        <f>IF($B88="","",IFERROR(VLOOKUP($B88,SubTbl,3,0),"—"))</f>
        <v/>
      </c>
      <c r="D88" s="28">
        <f>IF($B88="","",COUNTIFS(ExpSub,$B88,ExpGroup,"هزینه"))</f>
        <v/>
      </c>
      <c r="E88" s="19">
        <f>IF($B88="","",SUMIFS(ExpDep,ExpSub,$B88,ExpGroup,"هزینه"))</f>
        <v/>
      </c>
      <c r="F88" s="19">
        <f>IF($B88="","",SUMIFS(ExpWit,ExpSub,$B88,ExpGroup,"هزینه"))</f>
        <v/>
      </c>
      <c r="G88" s="19">
        <f>IF($B88="","",$F88-$E88)</f>
        <v/>
      </c>
      <c r="H88" s="29">
        <f>IF(OR($B88="",$G$111=0),"",$G88/$G$111)</f>
        <v/>
      </c>
    </row>
    <row r="89">
      <c r="A89" s="21">
        <f>IF(ROW()-9&gt;NSubExp,"",ROW()-9)</f>
        <v/>
      </c>
      <c r="B89" s="30">
        <f>IF($A89="","",IF($A89&lt;=NSubExp,INDEX(PkSubExp,$A89),""))</f>
        <v/>
      </c>
      <c r="C89" s="22">
        <f>IF($B89="","",IFERROR(VLOOKUP($B89,SubTbl,3,0),"—"))</f>
        <v/>
      </c>
      <c r="D89" s="31">
        <f>IF($B89="","",COUNTIFS(ExpSub,$B89,ExpGroup,"هزینه"))</f>
        <v/>
      </c>
      <c r="E89" s="24">
        <f>IF($B89="","",SUMIFS(ExpDep,ExpSub,$B89,ExpGroup,"هزینه"))</f>
        <v/>
      </c>
      <c r="F89" s="24">
        <f>IF($B89="","",SUMIFS(ExpWit,ExpSub,$B89,ExpGroup,"هزینه"))</f>
        <v/>
      </c>
      <c r="G89" s="24">
        <f>IF($B89="","",$F89-$E89)</f>
        <v/>
      </c>
      <c r="H89" s="32">
        <f>IF(OR($B89="",$G$111=0),"",$G89/$G$111)</f>
        <v/>
      </c>
    </row>
    <row r="90">
      <c r="A90" s="16">
        <f>IF(ROW()-9&gt;NSubExp,"",ROW()-9)</f>
        <v/>
      </c>
      <c r="B90" s="27">
        <f>IF($A90="","",IF($A90&lt;=NSubExp,INDEX(PkSubExp,$A90),""))</f>
        <v/>
      </c>
      <c r="C90" s="17">
        <f>IF($B90="","",IFERROR(VLOOKUP($B90,SubTbl,3,0),"—"))</f>
        <v/>
      </c>
      <c r="D90" s="28">
        <f>IF($B90="","",COUNTIFS(ExpSub,$B90,ExpGroup,"هزینه"))</f>
        <v/>
      </c>
      <c r="E90" s="19">
        <f>IF($B90="","",SUMIFS(ExpDep,ExpSub,$B90,ExpGroup,"هزینه"))</f>
        <v/>
      </c>
      <c r="F90" s="19">
        <f>IF($B90="","",SUMIFS(ExpWit,ExpSub,$B90,ExpGroup,"هزینه"))</f>
        <v/>
      </c>
      <c r="G90" s="19">
        <f>IF($B90="","",$F90-$E90)</f>
        <v/>
      </c>
      <c r="H90" s="29">
        <f>IF(OR($B90="",$G$111=0),"",$G90/$G$111)</f>
        <v/>
      </c>
    </row>
    <row r="91">
      <c r="A91" s="21">
        <f>IF(ROW()-9&gt;NSubExp,"",ROW()-9)</f>
        <v/>
      </c>
      <c r="B91" s="30">
        <f>IF($A91="","",IF($A91&lt;=NSubExp,INDEX(PkSubExp,$A91),""))</f>
        <v/>
      </c>
      <c r="C91" s="22">
        <f>IF($B91="","",IFERROR(VLOOKUP($B91,SubTbl,3,0),"—"))</f>
        <v/>
      </c>
      <c r="D91" s="31">
        <f>IF($B91="","",COUNTIFS(ExpSub,$B91,ExpGroup,"هزینه"))</f>
        <v/>
      </c>
      <c r="E91" s="24">
        <f>IF($B91="","",SUMIFS(ExpDep,ExpSub,$B91,ExpGroup,"هزینه"))</f>
        <v/>
      </c>
      <c r="F91" s="24">
        <f>IF($B91="","",SUMIFS(ExpWit,ExpSub,$B91,ExpGroup,"هزینه"))</f>
        <v/>
      </c>
      <c r="G91" s="24">
        <f>IF($B91="","",$F91-$E91)</f>
        <v/>
      </c>
      <c r="H91" s="32">
        <f>IF(OR($B91="",$G$111=0),"",$G91/$G$111)</f>
        <v/>
      </c>
    </row>
    <row r="92">
      <c r="A92" s="16">
        <f>IF(ROW()-9&gt;NSubExp,"",ROW()-9)</f>
        <v/>
      </c>
      <c r="B92" s="27">
        <f>IF($A92="","",IF($A92&lt;=NSubExp,INDEX(PkSubExp,$A92),""))</f>
        <v/>
      </c>
      <c r="C92" s="17">
        <f>IF($B92="","",IFERROR(VLOOKUP($B92,SubTbl,3,0),"—"))</f>
        <v/>
      </c>
      <c r="D92" s="28">
        <f>IF($B92="","",COUNTIFS(ExpSub,$B92,ExpGroup,"هزینه"))</f>
        <v/>
      </c>
      <c r="E92" s="19">
        <f>IF($B92="","",SUMIFS(ExpDep,ExpSub,$B92,ExpGroup,"هزینه"))</f>
        <v/>
      </c>
      <c r="F92" s="19">
        <f>IF($B92="","",SUMIFS(ExpWit,ExpSub,$B92,ExpGroup,"هزینه"))</f>
        <v/>
      </c>
      <c r="G92" s="19">
        <f>IF($B92="","",$F92-$E92)</f>
        <v/>
      </c>
      <c r="H92" s="29">
        <f>IF(OR($B92="",$G$111=0),"",$G92/$G$111)</f>
        <v/>
      </c>
    </row>
    <row r="93">
      <c r="A93" s="21">
        <f>IF(ROW()-9&gt;NSubExp,"",ROW()-9)</f>
        <v/>
      </c>
      <c r="B93" s="30">
        <f>IF($A93="","",IF($A93&lt;=NSubExp,INDEX(PkSubExp,$A93),""))</f>
        <v/>
      </c>
      <c r="C93" s="22">
        <f>IF($B93="","",IFERROR(VLOOKUP($B93,SubTbl,3,0),"—"))</f>
        <v/>
      </c>
      <c r="D93" s="31">
        <f>IF($B93="","",COUNTIFS(ExpSub,$B93,ExpGroup,"هزینه"))</f>
        <v/>
      </c>
      <c r="E93" s="24">
        <f>IF($B93="","",SUMIFS(ExpDep,ExpSub,$B93,ExpGroup,"هزینه"))</f>
        <v/>
      </c>
      <c r="F93" s="24">
        <f>IF($B93="","",SUMIFS(ExpWit,ExpSub,$B93,ExpGroup,"هزینه"))</f>
        <v/>
      </c>
      <c r="G93" s="24">
        <f>IF($B93="","",$F93-$E93)</f>
        <v/>
      </c>
      <c r="H93" s="32">
        <f>IF(OR($B93="",$G$111=0),"",$G93/$G$111)</f>
        <v/>
      </c>
    </row>
    <row r="94">
      <c r="A94" s="16">
        <f>IF(ROW()-9&gt;NSubExp,"",ROW()-9)</f>
        <v/>
      </c>
      <c r="B94" s="27">
        <f>IF($A94="","",IF($A94&lt;=NSubExp,INDEX(PkSubExp,$A94),""))</f>
        <v/>
      </c>
      <c r="C94" s="17">
        <f>IF($B94="","",IFERROR(VLOOKUP($B94,SubTbl,3,0),"—"))</f>
        <v/>
      </c>
      <c r="D94" s="28">
        <f>IF($B94="","",COUNTIFS(ExpSub,$B94,ExpGroup,"هزینه"))</f>
        <v/>
      </c>
      <c r="E94" s="19">
        <f>IF($B94="","",SUMIFS(ExpDep,ExpSub,$B94,ExpGroup,"هزینه"))</f>
        <v/>
      </c>
      <c r="F94" s="19">
        <f>IF($B94="","",SUMIFS(ExpWit,ExpSub,$B94,ExpGroup,"هزینه"))</f>
        <v/>
      </c>
      <c r="G94" s="19">
        <f>IF($B94="","",$F94-$E94)</f>
        <v/>
      </c>
      <c r="H94" s="29">
        <f>IF(OR($B94="",$G$111=0),"",$G94/$G$111)</f>
        <v/>
      </c>
    </row>
    <row r="95">
      <c r="A95" s="21">
        <f>IF(ROW()-9&gt;NSubExp,"",ROW()-9)</f>
        <v/>
      </c>
      <c r="B95" s="30">
        <f>IF($A95="","",IF($A95&lt;=NSubExp,INDEX(PkSubExp,$A95),""))</f>
        <v/>
      </c>
      <c r="C95" s="22">
        <f>IF($B95="","",IFERROR(VLOOKUP($B95,SubTbl,3,0),"—"))</f>
        <v/>
      </c>
      <c r="D95" s="31">
        <f>IF($B95="","",COUNTIFS(ExpSub,$B95,ExpGroup,"هزینه"))</f>
        <v/>
      </c>
      <c r="E95" s="24">
        <f>IF($B95="","",SUMIFS(ExpDep,ExpSub,$B95,ExpGroup,"هزینه"))</f>
        <v/>
      </c>
      <c r="F95" s="24">
        <f>IF($B95="","",SUMIFS(ExpWit,ExpSub,$B95,ExpGroup,"هزینه"))</f>
        <v/>
      </c>
      <c r="G95" s="24">
        <f>IF($B95="","",$F95-$E95)</f>
        <v/>
      </c>
      <c r="H95" s="32">
        <f>IF(OR($B95="",$G$111=0),"",$G95/$G$111)</f>
        <v/>
      </c>
    </row>
    <row r="96">
      <c r="A96" s="16">
        <f>IF(ROW()-9&gt;NSubExp,"",ROW()-9)</f>
        <v/>
      </c>
      <c r="B96" s="27">
        <f>IF($A96="","",IF($A96&lt;=NSubExp,INDEX(PkSubExp,$A96),""))</f>
        <v/>
      </c>
      <c r="C96" s="17">
        <f>IF($B96="","",IFERROR(VLOOKUP($B96,SubTbl,3,0),"—"))</f>
        <v/>
      </c>
      <c r="D96" s="28">
        <f>IF($B96="","",COUNTIFS(ExpSub,$B96,ExpGroup,"هزینه"))</f>
        <v/>
      </c>
      <c r="E96" s="19">
        <f>IF($B96="","",SUMIFS(ExpDep,ExpSub,$B96,ExpGroup,"هزینه"))</f>
        <v/>
      </c>
      <c r="F96" s="19">
        <f>IF($B96="","",SUMIFS(ExpWit,ExpSub,$B96,ExpGroup,"هزینه"))</f>
        <v/>
      </c>
      <c r="G96" s="19">
        <f>IF($B96="","",$F96-$E96)</f>
        <v/>
      </c>
      <c r="H96" s="29">
        <f>IF(OR($B96="",$G$111=0),"",$G96/$G$111)</f>
        <v/>
      </c>
    </row>
    <row r="97">
      <c r="A97" s="21">
        <f>IF(ROW()-9&gt;NSubExp,"",ROW()-9)</f>
        <v/>
      </c>
      <c r="B97" s="30">
        <f>IF($A97="","",IF($A97&lt;=NSubExp,INDEX(PkSubExp,$A97),""))</f>
        <v/>
      </c>
      <c r="C97" s="22">
        <f>IF($B97="","",IFERROR(VLOOKUP($B97,SubTbl,3,0),"—"))</f>
        <v/>
      </c>
      <c r="D97" s="31">
        <f>IF($B97="","",COUNTIFS(ExpSub,$B97,ExpGroup,"هزینه"))</f>
        <v/>
      </c>
      <c r="E97" s="24">
        <f>IF($B97="","",SUMIFS(ExpDep,ExpSub,$B97,ExpGroup,"هزینه"))</f>
        <v/>
      </c>
      <c r="F97" s="24">
        <f>IF($B97="","",SUMIFS(ExpWit,ExpSub,$B97,ExpGroup,"هزینه"))</f>
        <v/>
      </c>
      <c r="G97" s="24">
        <f>IF($B97="","",$F97-$E97)</f>
        <v/>
      </c>
      <c r="H97" s="32">
        <f>IF(OR($B97="",$G$111=0),"",$G97/$G$111)</f>
        <v/>
      </c>
    </row>
    <row r="98">
      <c r="A98" s="16">
        <f>IF(ROW()-9&gt;NSubExp,"",ROW()-9)</f>
        <v/>
      </c>
      <c r="B98" s="27">
        <f>IF($A98="","",IF($A98&lt;=NSubExp,INDEX(PkSubExp,$A98),""))</f>
        <v/>
      </c>
      <c r="C98" s="17">
        <f>IF($B98="","",IFERROR(VLOOKUP($B98,SubTbl,3,0),"—"))</f>
        <v/>
      </c>
      <c r="D98" s="28">
        <f>IF($B98="","",COUNTIFS(ExpSub,$B98,ExpGroup,"هزینه"))</f>
        <v/>
      </c>
      <c r="E98" s="19">
        <f>IF($B98="","",SUMIFS(ExpDep,ExpSub,$B98,ExpGroup,"هزینه"))</f>
        <v/>
      </c>
      <c r="F98" s="19">
        <f>IF($B98="","",SUMIFS(ExpWit,ExpSub,$B98,ExpGroup,"هزینه"))</f>
        <v/>
      </c>
      <c r="G98" s="19">
        <f>IF($B98="","",$F98-$E98)</f>
        <v/>
      </c>
      <c r="H98" s="29">
        <f>IF(OR($B98="",$G$111=0),"",$G98/$G$111)</f>
        <v/>
      </c>
    </row>
    <row r="99">
      <c r="A99" s="21">
        <f>IF(ROW()-9&gt;NSubExp,"",ROW()-9)</f>
        <v/>
      </c>
      <c r="B99" s="30">
        <f>IF($A99="","",IF($A99&lt;=NSubExp,INDEX(PkSubExp,$A99),""))</f>
        <v/>
      </c>
      <c r="C99" s="22">
        <f>IF($B99="","",IFERROR(VLOOKUP($B99,SubTbl,3,0),"—"))</f>
        <v/>
      </c>
      <c r="D99" s="31">
        <f>IF($B99="","",COUNTIFS(ExpSub,$B99,ExpGroup,"هزینه"))</f>
        <v/>
      </c>
      <c r="E99" s="24">
        <f>IF($B99="","",SUMIFS(ExpDep,ExpSub,$B99,ExpGroup,"هزینه"))</f>
        <v/>
      </c>
      <c r="F99" s="24">
        <f>IF($B99="","",SUMIFS(ExpWit,ExpSub,$B99,ExpGroup,"هزینه"))</f>
        <v/>
      </c>
      <c r="G99" s="24">
        <f>IF($B99="","",$F99-$E99)</f>
        <v/>
      </c>
      <c r="H99" s="32">
        <f>IF(OR($B99="",$G$111=0),"",$G99/$G$111)</f>
        <v/>
      </c>
    </row>
    <row r="100">
      <c r="A100" s="16">
        <f>IF(ROW()-9&gt;NSubExp,"",ROW()-9)</f>
        <v/>
      </c>
      <c r="B100" s="27">
        <f>IF($A100="","",IF($A100&lt;=NSubExp,INDEX(PkSubExp,$A100),""))</f>
        <v/>
      </c>
      <c r="C100" s="17">
        <f>IF($B100="","",IFERROR(VLOOKUP($B100,SubTbl,3,0),"—"))</f>
        <v/>
      </c>
      <c r="D100" s="28">
        <f>IF($B100="","",COUNTIFS(ExpSub,$B100,ExpGroup,"هزینه"))</f>
        <v/>
      </c>
      <c r="E100" s="19">
        <f>IF($B100="","",SUMIFS(ExpDep,ExpSub,$B100,ExpGroup,"هزینه"))</f>
        <v/>
      </c>
      <c r="F100" s="19">
        <f>IF($B100="","",SUMIFS(ExpWit,ExpSub,$B100,ExpGroup,"هزینه"))</f>
        <v/>
      </c>
      <c r="G100" s="19">
        <f>IF($B100="","",$F100-$E100)</f>
        <v/>
      </c>
      <c r="H100" s="29">
        <f>IF(OR($B100="",$G$111=0),"",$G100/$G$111)</f>
        <v/>
      </c>
    </row>
    <row r="101">
      <c r="A101" s="21">
        <f>IF(ROW()-9&gt;NSubExp,"",ROW()-9)</f>
        <v/>
      </c>
      <c r="B101" s="30">
        <f>IF($A101="","",IF($A101&lt;=NSubExp,INDEX(PkSubExp,$A101),""))</f>
        <v/>
      </c>
      <c r="C101" s="22">
        <f>IF($B101="","",IFERROR(VLOOKUP($B101,SubTbl,3,0),"—"))</f>
        <v/>
      </c>
      <c r="D101" s="31">
        <f>IF($B101="","",COUNTIFS(ExpSub,$B101,ExpGroup,"هزینه"))</f>
        <v/>
      </c>
      <c r="E101" s="24">
        <f>IF($B101="","",SUMIFS(ExpDep,ExpSub,$B101,ExpGroup,"هزینه"))</f>
        <v/>
      </c>
      <c r="F101" s="24">
        <f>IF($B101="","",SUMIFS(ExpWit,ExpSub,$B101,ExpGroup,"هزینه"))</f>
        <v/>
      </c>
      <c r="G101" s="24">
        <f>IF($B101="","",$F101-$E101)</f>
        <v/>
      </c>
      <c r="H101" s="32">
        <f>IF(OR($B101="",$G$111=0),"",$G101/$G$111)</f>
        <v/>
      </c>
    </row>
    <row r="102">
      <c r="A102" s="16">
        <f>IF(ROW()-9&gt;NSubExp,"",ROW()-9)</f>
        <v/>
      </c>
      <c r="B102" s="27">
        <f>IF($A102="","",IF($A102&lt;=NSubExp,INDEX(PkSubExp,$A102),""))</f>
        <v/>
      </c>
      <c r="C102" s="17">
        <f>IF($B102="","",IFERROR(VLOOKUP($B102,SubTbl,3,0),"—"))</f>
        <v/>
      </c>
      <c r="D102" s="28">
        <f>IF($B102="","",COUNTIFS(ExpSub,$B102,ExpGroup,"هزینه"))</f>
        <v/>
      </c>
      <c r="E102" s="19">
        <f>IF($B102="","",SUMIFS(ExpDep,ExpSub,$B102,ExpGroup,"هزینه"))</f>
        <v/>
      </c>
      <c r="F102" s="19">
        <f>IF($B102="","",SUMIFS(ExpWit,ExpSub,$B102,ExpGroup,"هزینه"))</f>
        <v/>
      </c>
      <c r="G102" s="19">
        <f>IF($B102="","",$F102-$E102)</f>
        <v/>
      </c>
      <c r="H102" s="29">
        <f>IF(OR($B102="",$G$111=0),"",$G102/$G$111)</f>
        <v/>
      </c>
    </row>
    <row r="103">
      <c r="A103" s="21">
        <f>IF(ROW()-9&gt;NSubExp,"",ROW()-9)</f>
        <v/>
      </c>
      <c r="B103" s="30">
        <f>IF($A103="","",IF($A103&lt;=NSubExp,INDEX(PkSubExp,$A103),""))</f>
        <v/>
      </c>
      <c r="C103" s="22">
        <f>IF($B103="","",IFERROR(VLOOKUP($B103,SubTbl,3,0),"—"))</f>
        <v/>
      </c>
      <c r="D103" s="31">
        <f>IF($B103="","",COUNTIFS(ExpSub,$B103,ExpGroup,"هزینه"))</f>
        <v/>
      </c>
      <c r="E103" s="24">
        <f>IF($B103="","",SUMIFS(ExpDep,ExpSub,$B103,ExpGroup,"هزینه"))</f>
        <v/>
      </c>
      <c r="F103" s="24">
        <f>IF($B103="","",SUMIFS(ExpWit,ExpSub,$B103,ExpGroup,"هزینه"))</f>
        <v/>
      </c>
      <c r="G103" s="24">
        <f>IF($B103="","",$F103-$E103)</f>
        <v/>
      </c>
      <c r="H103" s="32">
        <f>IF(OR($B103="",$G$111=0),"",$G103/$G$111)</f>
        <v/>
      </c>
    </row>
    <row r="104">
      <c r="A104" s="16">
        <f>IF(ROW()-9&gt;NSubExp,"",ROW()-9)</f>
        <v/>
      </c>
      <c r="B104" s="27">
        <f>IF($A104="","",IF($A104&lt;=NSubExp,INDEX(PkSubExp,$A104),""))</f>
        <v/>
      </c>
      <c r="C104" s="17">
        <f>IF($B104="","",IFERROR(VLOOKUP($B104,SubTbl,3,0),"—"))</f>
        <v/>
      </c>
      <c r="D104" s="28">
        <f>IF($B104="","",COUNTIFS(ExpSub,$B104,ExpGroup,"هزینه"))</f>
        <v/>
      </c>
      <c r="E104" s="19">
        <f>IF($B104="","",SUMIFS(ExpDep,ExpSub,$B104,ExpGroup,"هزینه"))</f>
        <v/>
      </c>
      <c r="F104" s="19">
        <f>IF($B104="","",SUMIFS(ExpWit,ExpSub,$B104,ExpGroup,"هزینه"))</f>
        <v/>
      </c>
      <c r="G104" s="19">
        <f>IF($B104="","",$F104-$E104)</f>
        <v/>
      </c>
      <c r="H104" s="29">
        <f>IF(OR($B104="",$G$111=0),"",$G104/$G$111)</f>
        <v/>
      </c>
    </row>
    <row r="105">
      <c r="A105" s="21">
        <f>IF(ROW()-9&gt;NSubExp,"",ROW()-9)</f>
        <v/>
      </c>
      <c r="B105" s="30">
        <f>IF($A105="","",IF($A105&lt;=NSubExp,INDEX(PkSubExp,$A105),""))</f>
        <v/>
      </c>
      <c r="C105" s="22">
        <f>IF($B105="","",IFERROR(VLOOKUP($B105,SubTbl,3,0),"—"))</f>
        <v/>
      </c>
      <c r="D105" s="31">
        <f>IF($B105="","",COUNTIFS(ExpSub,$B105,ExpGroup,"هزینه"))</f>
        <v/>
      </c>
      <c r="E105" s="24">
        <f>IF($B105="","",SUMIFS(ExpDep,ExpSub,$B105,ExpGroup,"هزینه"))</f>
        <v/>
      </c>
      <c r="F105" s="24">
        <f>IF($B105="","",SUMIFS(ExpWit,ExpSub,$B105,ExpGroup,"هزینه"))</f>
        <v/>
      </c>
      <c r="G105" s="24">
        <f>IF($B105="","",$F105-$E105)</f>
        <v/>
      </c>
      <c r="H105" s="32">
        <f>IF(OR($B105="",$G$111=0),"",$G105/$G$111)</f>
        <v/>
      </c>
    </row>
    <row r="106">
      <c r="A106" s="16">
        <f>IF(ROW()-9&gt;NSubExp,"",ROW()-9)</f>
        <v/>
      </c>
      <c r="B106" s="27">
        <f>IF($A106="","",IF($A106&lt;=NSubExp,INDEX(PkSubExp,$A106),""))</f>
        <v/>
      </c>
      <c r="C106" s="17">
        <f>IF($B106="","",IFERROR(VLOOKUP($B106,SubTbl,3,0),"—"))</f>
        <v/>
      </c>
      <c r="D106" s="28">
        <f>IF($B106="","",COUNTIFS(ExpSub,$B106,ExpGroup,"هزینه"))</f>
        <v/>
      </c>
      <c r="E106" s="19">
        <f>IF($B106="","",SUMIFS(ExpDep,ExpSub,$B106,ExpGroup,"هزینه"))</f>
        <v/>
      </c>
      <c r="F106" s="19">
        <f>IF($B106="","",SUMIFS(ExpWit,ExpSub,$B106,ExpGroup,"هزینه"))</f>
        <v/>
      </c>
      <c r="G106" s="19">
        <f>IF($B106="","",$F106-$E106)</f>
        <v/>
      </c>
      <c r="H106" s="29">
        <f>IF(OR($B106="",$G$111=0),"",$G106/$G$111)</f>
        <v/>
      </c>
    </row>
    <row r="107">
      <c r="A107" s="21">
        <f>IF(ROW()-9&gt;NSubExp,"",ROW()-9)</f>
        <v/>
      </c>
      <c r="B107" s="30">
        <f>IF($A107="","",IF($A107&lt;=NSubExp,INDEX(PkSubExp,$A107),""))</f>
        <v/>
      </c>
      <c r="C107" s="22">
        <f>IF($B107="","",IFERROR(VLOOKUP($B107,SubTbl,3,0),"—"))</f>
        <v/>
      </c>
      <c r="D107" s="31">
        <f>IF($B107="","",COUNTIFS(ExpSub,$B107,ExpGroup,"هزینه"))</f>
        <v/>
      </c>
      <c r="E107" s="24">
        <f>IF($B107="","",SUMIFS(ExpDep,ExpSub,$B107,ExpGroup,"هزینه"))</f>
        <v/>
      </c>
      <c r="F107" s="24">
        <f>IF($B107="","",SUMIFS(ExpWit,ExpSub,$B107,ExpGroup,"هزینه"))</f>
        <v/>
      </c>
      <c r="G107" s="24">
        <f>IF($B107="","",$F107-$E107)</f>
        <v/>
      </c>
      <c r="H107" s="32">
        <f>IF(OR($B107="",$G$111=0),"",$G107/$G$111)</f>
        <v/>
      </c>
    </row>
    <row r="108">
      <c r="A108" s="16">
        <f>IF(ROW()-9&gt;NSubExp,"",ROW()-9)</f>
        <v/>
      </c>
      <c r="B108" s="27">
        <f>IF($A108="","",IF($A108&lt;=NSubExp,INDEX(PkSubExp,$A108),""))</f>
        <v/>
      </c>
      <c r="C108" s="17">
        <f>IF($B108="","",IFERROR(VLOOKUP($B108,SubTbl,3,0),"—"))</f>
        <v/>
      </c>
      <c r="D108" s="28">
        <f>IF($B108="","",COUNTIFS(ExpSub,$B108,ExpGroup,"هزینه"))</f>
        <v/>
      </c>
      <c r="E108" s="19">
        <f>IF($B108="","",SUMIFS(ExpDep,ExpSub,$B108,ExpGroup,"هزینه"))</f>
        <v/>
      </c>
      <c r="F108" s="19">
        <f>IF($B108="","",SUMIFS(ExpWit,ExpSub,$B108,ExpGroup,"هزینه"))</f>
        <v/>
      </c>
      <c r="G108" s="19">
        <f>IF($B108="","",$F108-$E108)</f>
        <v/>
      </c>
      <c r="H108" s="29">
        <f>IF(OR($B108="",$G$111=0),"",$G108/$G$111)</f>
        <v/>
      </c>
    </row>
    <row r="109">
      <c r="A109" s="21">
        <f>IF(ROW()-9&gt;NSubExp,"",ROW()-9)</f>
        <v/>
      </c>
      <c r="B109" s="30">
        <f>IF($A109="","",IF($A109&lt;=NSubExp,INDEX(PkSubExp,$A109),""))</f>
        <v/>
      </c>
      <c r="C109" s="22">
        <f>IF($B109="","",IFERROR(VLOOKUP($B109,SubTbl,3,0),"—"))</f>
        <v/>
      </c>
      <c r="D109" s="31">
        <f>IF($B109="","",COUNTIFS(ExpSub,$B109,ExpGroup,"هزینه"))</f>
        <v/>
      </c>
      <c r="E109" s="24">
        <f>IF($B109="","",SUMIFS(ExpDep,ExpSub,$B109,ExpGroup,"هزینه"))</f>
        <v/>
      </c>
      <c r="F109" s="24">
        <f>IF($B109="","",SUMIFS(ExpWit,ExpSub,$B109,ExpGroup,"هزینه"))</f>
        <v/>
      </c>
      <c r="G109" s="24">
        <f>IF($B109="","",$F109-$E109)</f>
        <v/>
      </c>
      <c r="H109" s="32">
        <f>IF(OR($B109="",$G$111=0),"",$G109/$G$111)</f>
        <v/>
      </c>
    </row>
    <row r="110">
      <c r="A110" s="33" t="inlineStr">
        <is>
          <t>—</t>
        </is>
      </c>
      <c r="B110" s="33" t="n"/>
      <c r="C110" s="34" t="inlineStr">
        <is>
          <t>(بدون زیرگروه)</t>
        </is>
      </c>
      <c r="D110" s="35">
        <f>COUNTIF(ExpGroup,"هزینه")-SUM(D10:D109)</f>
        <v/>
      </c>
      <c r="E110" s="36">
        <f>SUMIF(ExpGroup,"هزینه",ExpDep)-SUM(E10:E109)</f>
        <v/>
      </c>
      <c r="F110" s="36">
        <f>SUMIF(ExpGroup,"هزینه",ExpWit)-SUM(F10:F109)</f>
        <v/>
      </c>
      <c r="G110" s="36">
        <f>F110-E110</f>
        <v/>
      </c>
      <c r="H110" s="37">
        <f>IF($G$111=0,"",$G110/$G$111)</f>
        <v/>
      </c>
    </row>
    <row r="111">
      <c r="A111" s="38" t="inlineStr">
        <is>
          <t>جمع کل</t>
        </is>
      </c>
      <c r="B111" s="38" t="n"/>
      <c r="C111" s="38" t="n"/>
      <c r="D111" s="39">
        <f>SUM(D10:D110)</f>
        <v/>
      </c>
      <c r="E111" s="40">
        <f>SUM(E10:E110)</f>
        <v/>
      </c>
      <c r="F111" s="40">
        <f>SUM(F10:F110)</f>
        <v/>
      </c>
      <c r="G111" s="40">
        <f>SUM(G10:G110)</f>
        <v/>
      </c>
      <c r="H111" s="41" t="inlineStr"/>
    </row>
  </sheetData>
  <mergeCells count="14">
    <mergeCell ref="A4:H4"/>
    <mergeCell ref="A3:H3"/>
    <mergeCell ref="E6:F6"/>
    <mergeCell ref="C6:D6"/>
    <mergeCell ref="A111:C111"/>
    <mergeCell ref="A2:H2"/>
    <mergeCell ref="C5:D5"/>
    <mergeCell ref="A5:B5"/>
    <mergeCell ref="G5:H5"/>
    <mergeCell ref="E5:F5"/>
    <mergeCell ref="G6:H6"/>
    <mergeCell ref="A1:H1"/>
    <mergeCell ref="A110:B110"/>
    <mergeCell ref="A6:B6"/>
  </mergeCells>
  <conditionalFormatting sqref="G10:G110">
    <cfRule type="dataBar" priority="1">
      <dataBar showValue="1">
        <cfvo type="num" val="0"/>
        <cfvo type="max"/>
        <color rgb="00FFB74D"/>
      </dataBar>
    </cfRule>
  </conditionalFormatting>
  <conditionalFormatting sqref="D10:D109">
    <cfRule type="cellIs" priority="2" operator="equal" dxfId="3">
      <formula>0</formula>
    </cfRule>
  </conditionalFormatting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خلاصه هزینه‌ها به تفکیک زیرگروه&amp;R&amp;"Tahoma"&amp;8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90A4AE"/>
    <outlinePr summaryBelow="1" summaryRight="1"/>
    <pageSetUpPr/>
  </sheetPr>
  <dimension ref="A1:AE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9" customWidth="1" min="5" max="5"/>
    <col width="20" customWidth="1" min="6" max="6"/>
    <col width="12" customWidth="1" min="7" max="7"/>
    <col width="18" customWidth="1" min="8" max="8"/>
    <col width="9" customWidth="1" min="10" max="10"/>
    <col width="12" customWidth="1" min="11" max="11"/>
    <col width="16" customWidth="1" min="12" max="12"/>
    <col width="26" customWidth="1" min="13" max="13"/>
    <col width="12" customWidth="1" min="16" max="16"/>
    <col width="8" customWidth="1" min="17" max="17"/>
    <col width="26" customWidth="1" min="18" max="18"/>
    <col width="10" customWidth="1" min="19" max="19"/>
    <col width="15" customWidth="1" min="20" max="20"/>
    <col width="11" customWidth="1" min="21" max="21"/>
    <col width="14" customWidth="1" min="22" max="22"/>
    <col width="14" customWidth="1" min="23" max="23"/>
    <col width="14" customWidth="1" min="24" max="24"/>
    <col width="30" customWidth="1" min="25" max="25"/>
    <col width="5" customWidth="1" min="27" max="27"/>
    <col width="7" customWidth="1" min="28" max="28"/>
    <col width="10" customWidth="1" min="29" max="29"/>
    <col width="30" customWidth="1" min="31" max="31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42" t="inlineStr">
        <is>
          <t>برگه فنی — آینه‌ی فایل مادر (INFO) و فایل واریز/برداشت (Transactions) برای گزارش هزینه‌ها. فرمول‌ها را تغییر ندهید. اگر همه سلول‌ها خالی شدند یعنی لینک به‌روز نشده: Data ← Edit Links ← Update Values.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</row>
    <row r="5">
      <c r="A5" s="43" t="inlineStr">
        <is>
          <t>MG · Code</t>
        </is>
      </c>
      <c r="B5" s="43" t="inlineStr">
        <is>
          <t>· Title</t>
        </is>
      </c>
      <c r="C5" s="43" t="inlineStr">
        <is>
          <t>· Desc</t>
        </is>
      </c>
      <c r="E5" s="43" t="inlineStr">
        <is>
          <t>SG · Code</t>
        </is>
      </c>
      <c r="F5" s="43" t="inlineStr">
        <is>
          <t>· Group</t>
        </is>
      </c>
      <c r="G5" s="43" t="inlineStr">
        <is>
          <t>· Title</t>
        </is>
      </c>
      <c r="H5" s="43" t="inlineStr">
        <is>
          <t>· Desc</t>
        </is>
      </c>
      <c r="J5" s="43" t="inlineStr">
        <is>
          <t>Acct · Code</t>
        </is>
      </c>
      <c r="K5" s="43" t="inlineStr">
        <is>
          <t>· Nature</t>
        </is>
      </c>
      <c r="L5" s="43" t="inlineStr">
        <is>
          <t>· Sub</t>
        </is>
      </c>
      <c r="M5" s="43" t="inlineStr">
        <is>
          <t>· Name</t>
        </is>
      </c>
      <c r="P5" s="43" t="inlineStr">
        <is>
          <t>Entry · C</t>
        </is>
      </c>
      <c r="Q5" s="43" t="inlineStr">
        <is>
          <t>Entry · D</t>
        </is>
      </c>
      <c r="R5" s="43" t="inlineStr">
        <is>
          <t>Entry · E</t>
        </is>
      </c>
      <c r="S5" s="43" t="inlineStr">
        <is>
          <t>Entry · G</t>
        </is>
      </c>
      <c r="T5" s="43" t="inlineStr">
        <is>
          <t>Entry · J</t>
        </is>
      </c>
      <c r="U5" s="43" t="inlineStr">
        <is>
          <t>Entry · K</t>
        </is>
      </c>
      <c r="V5" s="43" t="inlineStr">
        <is>
          <t>Entry · L</t>
        </is>
      </c>
      <c r="W5" s="43" t="inlineStr">
        <is>
          <t>Entry · M</t>
        </is>
      </c>
      <c r="X5" s="43" t="inlineStr">
        <is>
          <t>Entry · N</t>
        </is>
      </c>
      <c r="Y5" s="43" t="inlineStr">
        <is>
          <t>Entry · R</t>
        </is>
      </c>
      <c r="AA5" s="43" t="inlineStr">
        <is>
          <t>flg</t>
        </is>
      </c>
      <c r="AB5" s="43" t="inlineStr">
        <is>
          <t>cum·N</t>
        </is>
      </c>
      <c r="AC5" s="43" t="inlineStr">
        <is>
          <t>packed·SG</t>
        </is>
      </c>
      <c r="AE5" s="43" t="inlineStr">
        <is>
          <t>Company</t>
        </is>
      </c>
    </row>
    <row r="6">
      <c r="A6">
        <f>IF([1]MainGroups!$B$7="","",[1]MainGroups!$A$7)</f>
        <v/>
      </c>
      <c r="B6">
        <f>IF([1]MainGroups!$B$7="","",[1]MainGroups!$B$7)</f>
        <v/>
      </c>
      <c r="C6">
        <f>IF([1]MainGroups!$B$7="","",[1]MainGroups!$C$7)</f>
        <v/>
      </c>
      <c r="E6">
        <f>IF([1]SubGroups!$B$7="","",[1]SubGroups!$A$7)</f>
        <v/>
      </c>
      <c r="F6">
        <f>IF([1]SubGroups!$B$7="","",[1]SubGroups!$B$7)</f>
        <v/>
      </c>
      <c r="G6">
        <f>IF([1]SubGroups!$B$7="","",[1]SubGroups!$C$7)</f>
        <v/>
      </c>
      <c r="H6">
        <f>IF([1]SubGroups!$B$7="","",[1]SubGroups!$D$7)</f>
        <v/>
      </c>
      <c r="J6">
        <f>IF([1]Accounts!$D$7="","",[1]Accounts!$A$7)</f>
        <v/>
      </c>
      <c r="K6">
        <f>IF([1]Accounts!$D$7="","",[1]Accounts!$B$7)</f>
        <v/>
      </c>
      <c r="L6">
        <f>IF([1]Accounts!$D$7="","",[1]Accounts!$C$7)</f>
        <v/>
      </c>
      <c r="M6">
        <f>IF([1]Accounts!$D$7="","",[1]Accounts!$D$7)</f>
        <v/>
      </c>
      <c r="P6">
        <f>IF([2]Entry!$C$9="","",[2]Entry!$C$9)</f>
        <v/>
      </c>
      <c r="Q6">
        <f>IF([2]Entry!$D$9="","",[2]Entry!$D$9)</f>
        <v/>
      </c>
      <c r="R6">
        <f>IF([2]Entry!$E$9="","",[2]Entry!$E$9)</f>
        <v/>
      </c>
      <c r="S6">
        <f>IF([2]Entry!$G$9="","",[2]Entry!$G$9)</f>
        <v/>
      </c>
      <c r="T6">
        <f>IF([2]Entry!$J$9="","",[2]Entry!$J$9)</f>
        <v/>
      </c>
      <c r="U6">
        <f>IF([2]Entry!$K$9="","",[2]Entry!$K$9)</f>
        <v/>
      </c>
      <c r="V6">
        <f>IF([2]Entry!$L$9="","",[2]Entry!$L$9)</f>
        <v/>
      </c>
      <c r="W6">
        <f>IF([2]Entry!$M$9="","",[2]Entry!$M$9)</f>
        <v/>
      </c>
      <c r="X6">
        <f>IF([2]Entry!$N$9="","",[2]Entry!$N$9)</f>
        <v/>
      </c>
      <c r="Y6">
        <f>IF([2]Entry!$R$9="","",[2]Entry!$R$9)</f>
        <v/>
      </c>
      <c r="AA6">
        <f>IF(AND($E6&lt;&gt;"",$G6&lt;&gt;"",$F6="هزینه"),1,0)</f>
        <v/>
      </c>
      <c r="AB6">
        <f>SUM($AA$6:$AA6)</f>
        <v/>
      </c>
      <c r="AC6">
        <f>IFERROR(INDEX($E$6:$E$105,MATCH(ROW()-5,$AB$6:$AB$105,0)),"")</f>
        <v/>
      </c>
      <c r="AE6">
        <f>IF([1]Company!$C$5="","",[1]Company!$C$5)</f>
        <v/>
      </c>
    </row>
    <row r="7">
      <c r="A7">
        <f>IF([1]MainGroups!$B$8="","",[1]MainGroups!$A$8)</f>
        <v/>
      </c>
      <c r="B7">
        <f>IF([1]MainGroups!$B$8="","",[1]MainGroups!$B$8)</f>
        <v/>
      </c>
      <c r="C7">
        <f>IF([1]MainGroups!$B$8="","",[1]MainGroups!$C$8)</f>
        <v/>
      </c>
      <c r="E7">
        <f>IF([1]SubGroups!$B$8="","",[1]SubGroups!$A$8)</f>
        <v/>
      </c>
      <c r="F7">
        <f>IF([1]SubGroups!$B$8="","",[1]SubGroups!$B$8)</f>
        <v/>
      </c>
      <c r="G7">
        <f>IF([1]SubGroups!$B$8="","",[1]SubGroups!$C$8)</f>
        <v/>
      </c>
      <c r="H7">
        <f>IF([1]SubGroups!$B$8="","",[1]SubGroups!$D$8)</f>
        <v/>
      </c>
      <c r="J7">
        <f>IF([1]Accounts!$D$8="","",[1]Accounts!$A$8)</f>
        <v/>
      </c>
      <c r="K7">
        <f>IF([1]Accounts!$D$8="","",[1]Accounts!$B$8)</f>
        <v/>
      </c>
      <c r="L7">
        <f>IF([1]Accounts!$D$8="","",[1]Accounts!$C$8)</f>
        <v/>
      </c>
      <c r="M7">
        <f>IF([1]Accounts!$D$8="","",[1]Accounts!$D$8)</f>
        <v/>
      </c>
      <c r="P7">
        <f>IF([2]Entry!$C$10="","",[2]Entry!$C$10)</f>
        <v/>
      </c>
      <c r="Q7">
        <f>IF([2]Entry!$D$10="","",[2]Entry!$D$10)</f>
        <v/>
      </c>
      <c r="R7">
        <f>IF([2]Entry!$E$10="","",[2]Entry!$E$10)</f>
        <v/>
      </c>
      <c r="S7">
        <f>IF([2]Entry!$G$10="","",[2]Entry!$G$10)</f>
        <v/>
      </c>
      <c r="T7">
        <f>IF([2]Entry!$J$10="","",[2]Entry!$J$10)</f>
        <v/>
      </c>
      <c r="U7">
        <f>IF([2]Entry!$K$10="","",[2]Entry!$K$10)</f>
        <v/>
      </c>
      <c r="V7">
        <f>IF([2]Entry!$L$10="","",[2]Entry!$L$10)</f>
        <v/>
      </c>
      <c r="W7">
        <f>IF([2]Entry!$M$10="","",[2]Entry!$M$10)</f>
        <v/>
      </c>
      <c r="X7">
        <f>IF([2]Entry!$N$10="","",[2]Entry!$N$10)</f>
        <v/>
      </c>
      <c r="Y7">
        <f>IF([2]Entry!$R$10="","",[2]Entry!$R$10)</f>
        <v/>
      </c>
      <c r="AA7">
        <f>IF(AND($E7&lt;&gt;"",$G7&lt;&gt;"",$F7="هزینه"),1,0)</f>
        <v/>
      </c>
      <c r="AB7">
        <f>SUM($AA$6:$AA7)</f>
        <v/>
      </c>
      <c r="AC7">
        <f>IFERROR(INDEX($E$6:$E$105,MATCH(ROW()-5,$AB$6:$AB$105,0)),"")</f>
        <v/>
      </c>
      <c r="AE7">
        <f>IF([1]Company!$C$8="","",[1]Company!$C$8)</f>
        <v/>
      </c>
    </row>
    <row r="8">
      <c r="A8">
        <f>IF([1]MainGroups!$B$9="","",[1]MainGroups!$A$9)</f>
        <v/>
      </c>
      <c r="B8">
        <f>IF([1]MainGroups!$B$9="","",[1]MainGroups!$B$9)</f>
        <v/>
      </c>
      <c r="C8">
        <f>IF([1]MainGroups!$B$9="","",[1]MainGroups!$C$9)</f>
        <v/>
      </c>
      <c r="E8">
        <f>IF([1]SubGroups!$B$9="","",[1]SubGroups!$A$9)</f>
        <v/>
      </c>
      <c r="F8">
        <f>IF([1]SubGroups!$B$9="","",[1]SubGroups!$B$9)</f>
        <v/>
      </c>
      <c r="G8">
        <f>IF([1]SubGroups!$B$9="","",[1]SubGroups!$C$9)</f>
        <v/>
      </c>
      <c r="H8">
        <f>IF([1]SubGroups!$B$9="","",[1]SubGroups!$D$9)</f>
        <v/>
      </c>
      <c r="J8">
        <f>IF([1]Accounts!$D$9="","",[1]Accounts!$A$9)</f>
        <v/>
      </c>
      <c r="K8">
        <f>IF([1]Accounts!$D$9="","",[1]Accounts!$B$9)</f>
        <v/>
      </c>
      <c r="L8">
        <f>IF([1]Accounts!$D$9="","",[1]Accounts!$C$9)</f>
        <v/>
      </c>
      <c r="M8">
        <f>IF([1]Accounts!$D$9="","",[1]Accounts!$D$9)</f>
        <v/>
      </c>
      <c r="P8">
        <f>IF([2]Entry!$C$11="","",[2]Entry!$C$11)</f>
        <v/>
      </c>
      <c r="Q8">
        <f>IF([2]Entry!$D$11="","",[2]Entry!$D$11)</f>
        <v/>
      </c>
      <c r="R8">
        <f>IF([2]Entry!$E$11="","",[2]Entry!$E$11)</f>
        <v/>
      </c>
      <c r="S8">
        <f>IF([2]Entry!$G$11="","",[2]Entry!$G$11)</f>
        <v/>
      </c>
      <c r="T8">
        <f>IF([2]Entry!$J$11="","",[2]Entry!$J$11)</f>
        <v/>
      </c>
      <c r="U8">
        <f>IF([2]Entry!$K$11="","",[2]Entry!$K$11)</f>
        <v/>
      </c>
      <c r="V8">
        <f>IF([2]Entry!$L$11="","",[2]Entry!$L$11)</f>
        <v/>
      </c>
      <c r="W8">
        <f>IF([2]Entry!$M$11="","",[2]Entry!$M$11)</f>
        <v/>
      </c>
      <c r="X8">
        <f>IF([2]Entry!$N$11="","",[2]Entry!$N$11)</f>
        <v/>
      </c>
      <c r="Y8">
        <f>IF([2]Entry!$R$11="","",[2]Entry!$R$11)</f>
        <v/>
      </c>
      <c r="AA8">
        <f>IF(AND($E8&lt;&gt;"",$G8&lt;&gt;"",$F8="هزینه"),1,0)</f>
        <v/>
      </c>
      <c r="AB8">
        <f>SUM($AA$6:$AA8)</f>
        <v/>
      </c>
      <c r="AC8">
        <f>IFERROR(INDEX($E$6:$E$105,MATCH(ROW()-5,$AB$6:$AB$105,0)),"")</f>
        <v/>
      </c>
      <c r="AE8">
        <f>IF([1]Company!$C$9="","",[1]Company!$C$9)</f>
        <v/>
      </c>
    </row>
    <row r="9">
      <c r="A9">
        <f>IF([1]MainGroups!$B$10="","",[1]MainGroups!$A$10)</f>
        <v/>
      </c>
      <c r="B9">
        <f>IF([1]MainGroups!$B$10="","",[1]MainGroups!$B$10)</f>
        <v/>
      </c>
      <c r="C9">
        <f>IF([1]MainGroups!$B$10="","",[1]MainGroups!$C$10)</f>
        <v/>
      </c>
      <c r="E9">
        <f>IF([1]SubGroups!$B$10="","",[1]SubGroups!$A$10)</f>
        <v/>
      </c>
      <c r="F9">
        <f>IF([1]SubGroups!$B$10="","",[1]SubGroups!$B$10)</f>
        <v/>
      </c>
      <c r="G9">
        <f>IF([1]SubGroups!$B$10="","",[1]SubGroups!$C$10)</f>
        <v/>
      </c>
      <c r="H9">
        <f>IF([1]SubGroups!$B$10="","",[1]SubGroups!$D$10)</f>
        <v/>
      </c>
      <c r="J9">
        <f>IF([1]Accounts!$D$10="","",[1]Accounts!$A$10)</f>
        <v/>
      </c>
      <c r="K9">
        <f>IF([1]Accounts!$D$10="","",[1]Accounts!$B$10)</f>
        <v/>
      </c>
      <c r="L9">
        <f>IF([1]Accounts!$D$10="","",[1]Accounts!$C$10)</f>
        <v/>
      </c>
      <c r="M9">
        <f>IF([1]Accounts!$D$10="","",[1]Accounts!$D$10)</f>
        <v/>
      </c>
      <c r="P9">
        <f>IF([2]Entry!$C$12="","",[2]Entry!$C$12)</f>
        <v/>
      </c>
      <c r="Q9">
        <f>IF([2]Entry!$D$12="","",[2]Entry!$D$12)</f>
        <v/>
      </c>
      <c r="R9">
        <f>IF([2]Entry!$E$12="","",[2]Entry!$E$12)</f>
        <v/>
      </c>
      <c r="S9">
        <f>IF([2]Entry!$G$12="","",[2]Entry!$G$12)</f>
        <v/>
      </c>
      <c r="T9">
        <f>IF([2]Entry!$J$12="","",[2]Entry!$J$12)</f>
        <v/>
      </c>
      <c r="U9">
        <f>IF([2]Entry!$K$12="","",[2]Entry!$K$12)</f>
        <v/>
      </c>
      <c r="V9">
        <f>IF([2]Entry!$L$12="","",[2]Entry!$L$12)</f>
        <v/>
      </c>
      <c r="W9">
        <f>IF([2]Entry!$M$12="","",[2]Entry!$M$12)</f>
        <v/>
      </c>
      <c r="X9">
        <f>IF([2]Entry!$N$12="","",[2]Entry!$N$12)</f>
        <v/>
      </c>
      <c r="Y9">
        <f>IF([2]Entry!$R$12="","",[2]Entry!$R$12)</f>
        <v/>
      </c>
      <c r="AA9">
        <f>IF(AND($E9&lt;&gt;"",$G9&lt;&gt;"",$F9="هزینه"),1,0)</f>
        <v/>
      </c>
      <c r="AB9">
        <f>SUM($AA$6:$AA9)</f>
        <v/>
      </c>
      <c r="AC9">
        <f>IFERROR(INDEX($E$6:$E$105,MATCH(ROW()-5,$AB$6:$AB$105,0)),"")</f>
        <v/>
      </c>
      <c r="AE9">
        <f>IF([1]Company!$C$7="","",[1]Company!$C$7)</f>
        <v/>
      </c>
    </row>
    <row r="10">
      <c r="A10">
        <f>IF([1]MainGroups!$B$11="","",[1]MainGroups!$A$11)</f>
        <v/>
      </c>
      <c r="B10">
        <f>IF([1]MainGroups!$B$11="","",[1]MainGroups!$B$11)</f>
        <v/>
      </c>
      <c r="C10">
        <f>IF([1]MainGroups!$B$11="","",[1]MainGroups!$C$11)</f>
        <v/>
      </c>
      <c r="E10">
        <f>IF([1]SubGroups!$B$11="","",[1]SubGroups!$A$11)</f>
        <v/>
      </c>
      <c r="F10">
        <f>IF([1]SubGroups!$B$11="","",[1]SubGroups!$B$11)</f>
        <v/>
      </c>
      <c r="G10">
        <f>IF([1]SubGroups!$B$11="","",[1]SubGroups!$C$11)</f>
        <v/>
      </c>
      <c r="H10">
        <f>IF([1]SubGroups!$B$11="","",[1]SubGroups!$D$11)</f>
        <v/>
      </c>
      <c r="J10">
        <f>IF([1]Accounts!$D$11="","",[1]Accounts!$A$11)</f>
        <v/>
      </c>
      <c r="K10">
        <f>IF([1]Accounts!$D$11="","",[1]Accounts!$B$11)</f>
        <v/>
      </c>
      <c r="L10">
        <f>IF([1]Accounts!$D$11="","",[1]Accounts!$C$11)</f>
        <v/>
      </c>
      <c r="M10">
        <f>IF([1]Accounts!$D$11="","",[1]Accounts!$D$11)</f>
        <v/>
      </c>
      <c r="P10">
        <f>IF([2]Entry!$C$13="","",[2]Entry!$C$13)</f>
        <v/>
      </c>
      <c r="Q10">
        <f>IF([2]Entry!$D$13="","",[2]Entry!$D$13)</f>
        <v/>
      </c>
      <c r="R10">
        <f>IF([2]Entry!$E$13="","",[2]Entry!$E$13)</f>
        <v/>
      </c>
      <c r="S10">
        <f>IF([2]Entry!$G$13="","",[2]Entry!$G$13)</f>
        <v/>
      </c>
      <c r="T10">
        <f>IF([2]Entry!$J$13="","",[2]Entry!$J$13)</f>
        <v/>
      </c>
      <c r="U10">
        <f>IF([2]Entry!$K$13="","",[2]Entry!$K$13)</f>
        <v/>
      </c>
      <c r="V10">
        <f>IF([2]Entry!$L$13="","",[2]Entry!$L$13)</f>
        <v/>
      </c>
      <c r="W10">
        <f>IF([2]Entry!$M$13="","",[2]Entry!$M$13)</f>
        <v/>
      </c>
      <c r="X10">
        <f>IF([2]Entry!$N$13="","",[2]Entry!$N$13)</f>
        <v/>
      </c>
      <c r="Y10">
        <f>IF([2]Entry!$R$13="","",[2]Entry!$R$13)</f>
        <v/>
      </c>
      <c r="AA10">
        <f>IF(AND($E10&lt;&gt;"",$G10&lt;&gt;"",$F10="هزینه"),1,0)</f>
        <v/>
      </c>
      <c r="AB10">
        <f>SUM($AA$6:$AA10)</f>
        <v/>
      </c>
      <c r="AC10">
        <f>IFERROR(INDEX($E$6:$E$105,MATCH(ROW()-5,$AB$6:$AB$105,0)),"")</f>
        <v/>
      </c>
    </row>
    <row r="11">
      <c r="A11">
        <f>IF([1]MainGroups!$B$12="","",[1]MainGroups!$A$12)</f>
        <v/>
      </c>
      <c r="B11">
        <f>IF([1]MainGroups!$B$12="","",[1]MainGroups!$B$12)</f>
        <v/>
      </c>
      <c r="C11">
        <f>IF([1]MainGroups!$B$12="","",[1]MainGroups!$C$12)</f>
        <v/>
      </c>
      <c r="E11">
        <f>IF([1]SubGroups!$B$12="","",[1]SubGroups!$A$12)</f>
        <v/>
      </c>
      <c r="F11">
        <f>IF([1]SubGroups!$B$12="","",[1]SubGroups!$B$12)</f>
        <v/>
      </c>
      <c r="G11">
        <f>IF([1]SubGroups!$B$12="","",[1]SubGroups!$C$12)</f>
        <v/>
      </c>
      <c r="H11">
        <f>IF([1]SubGroups!$B$12="","",[1]SubGroups!$D$12)</f>
        <v/>
      </c>
      <c r="J11">
        <f>IF([1]Accounts!$D$12="","",[1]Accounts!$A$12)</f>
        <v/>
      </c>
      <c r="K11">
        <f>IF([1]Accounts!$D$12="","",[1]Accounts!$B$12)</f>
        <v/>
      </c>
      <c r="L11">
        <f>IF([1]Accounts!$D$12="","",[1]Accounts!$C$12)</f>
        <v/>
      </c>
      <c r="M11">
        <f>IF([1]Accounts!$D$12="","",[1]Accounts!$D$12)</f>
        <v/>
      </c>
      <c r="P11">
        <f>IF([2]Entry!$C$14="","",[2]Entry!$C$14)</f>
        <v/>
      </c>
      <c r="Q11">
        <f>IF([2]Entry!$D$14="","",[2]Entry!$D$14)</f>
        <v/>
      </c>
      <c r="R11">
        <f>IF([2]Entry!$E$14="","",[2]Entry!$E$14)</f>
        <v/>
      </c>
      <c r="S11">
        <f>IF([2]Entry!$G$14="","",[2]Entry!$G$14)</f>
        <v/>
      </c>
      <c r="T11">
        <f>IF([2]Entry!$J$14="","",[2]Entry!$J$14)</f>
        <v/>
      </c>
      <c r="U11">
        <f>IF([2]Entry!$K$14="","",[2]Entry!$K$14)</f>
        <v/>
      </c>
      <c r="V11">
        <f>IF([2]Entry!$L$14="","",[2]Entry!$L$14)</f>
        <v/>
      </c>
      <c r="W11">
        <f>IF([2]Entry!$M$14="","",[2]Entry!$M$14)</f>
        <v/>
      </c>
      <c r="X11">
        <f>IF([2]Entry!$N$14="","",[2]Entry!$N$14)</f>
        <v/>
      </c>
      <c r="Y11">
        <f>IF([2]Entry!$R$14="","",[2]Entry!$R$14)</f>
        <v/>
      </c>
      <c r="AA11">
        <f>IF(AND($E11&lt;&gt;"",$G11&lt;&gt;"",$F11="هزینه"),1,0)</f>
        <v/>
      </c>
      <c r="AB11">
        <f>SUM($AA$6:$AA11)</f>
        <v/>
      </c>
      <c r="AC11">
        <f>IFERROR(INDEX($E$6:$E$105,MATCH(ROW()-5,$AB$6:$AB$105,0)),"")</f>
        <v/>
      </c>
    </row>
    <row r="12">
      <c r="A12">
        <f>IF([1]MainGroups!$B$13="","",[1]MainGroups!$A$13)</f>
        <v/>
      </c>
      <c r="B12">
        <f>IF([1]MainGroups!$B$13="","",[1]MainGroups!$B$13)</f>
        <v/>
      </c>
      <c r="C12">
        <f>IF([1]MainGroups!$B$13="","",[1]MainGroups!$C$13)</f>
        <v/>
      </c>
      <c r="E12">
        <f>IF([1]SubGroups!$B$13="","",[1]SubGroups!$A$13)</f>
        <v/>
      </c>
      <c r="F12">
        <f>IF([1]SubGroups!$B$13="","",[1]SubGroups!$B$13)</f>
        <v/>
      </c>
      <c r="G12">
        <f>IF([1]SubGroups!$B$13="","",[1]SubGroups!$C$13)</f>
        <v/>
      </c>
      <c r="H12">
        <f>IF([1]SubGroups!$B$13="","",[1]SubGroups!$D$13)</f>
        <v/>
      </c>
      <c r="J12">
        <f>IF([1]Accounts!$D$13="","",[1]Accounts!$A$13)</f>
        <v/>
      </c>
      <c r="K12">
        <f>IF([1]Accounts!$D$13="","",[1]Accounts!$B$13)</f>
        <v/>
      </c>
      <c r="L12">
        <f>IF([1]Accounts!$D$13="","",[1]Accounts!$C$13)</f>
        <v/>
      </c>
      <c r="M12">
        <f>IF([1]Accounts!$D$13="","",[1]Accounts!$D$13)</f>
        <v/>
      </c>
      <c r="P12">
        <f>IF([2]Entry!$C$15="","",[2]Entry!$C$15)</f>
        <v/>
      </c>
      <c r="Q12">
        <f>IF([2]Entry!$D$15="","",[2]Entry!$D$15)</f>
        <v/>
      </c>
      <c r="R12">
        <f>IF([2]Entry!$E$15="","",[2]Entry!$E$15)</f>
        <v/>
      </c>
      <c r="S12">
        <f>IF([2]Entry!$G$15="","",[2]Entry!$G$15)</f>
        <v/>
      </c>
      <c r="T12">
        <f>IF([2]Entry!$J$15="","",[2]Entry!$J$15)</f>
        <v/>
      </c>
      <c r="U12">
        <f>IF([2]Entry!$K$15="","",[2]Entry!$K$15)</f>
        <v/>
      </c>
      <c r="V12">
        <f>IF([2]Entry!$L$15="","",[2]Entry!$L$15)</f>
        <v/>
      </c>
      <c r="W12">
        <f>IF([2]Entry!$M$15="","",[2]Entry!$M$15)</f>
        <v/>
      </c>
      <c r="X12">
        <f>IF([2]Entry!$N$15="","",[2]Entry!$N$15)</f>
        <v/>
      </c>
      <c r="Y12">
        <f>IF([2]Entry!$R$15="","",[2]Entry!$R$15)</f>
        <v/>
      </c>
      <c r="AA12">
        <f>IF(AND($E12&lt;&gt;"",$G12&lt;&gt;"",$F12="هزینه"),1,0)</f>
        <v/>
      </c>
      <c r="AB12">
        <f>SUM($AA$6:$AA12)</f>
        <v/>
      </c>
      <c r="AC12">
        <f>IFERROR(INDEX($E$6:$E$105,MATCH(ROW()-5,$AB$6:$AB$105,0)),"")</f>
        <v/>
      </c>
    </row>
    <row r="13">
      <c r="A13">
        <f>IF([1]MainGroups!$B$14="","",[1]MainGroups!$A$14)</f>
        <v/>
      </c>
      <c r="B13">
        <f>IF([1]MainGroups!$B$14="","",[1]MainGroups!$B$14)</f>
        <v/>
      </c>
      <c r="C13">
        <f>IF([1]MainGroups!$B$14="","",[1]MainGroups!$C$14)</f>
        <v/>
      </c>
      <c r="E13">
        <f>IF([1]SubGroups!$B$14="","",[1]SubGroups!$A$14)</f>
        <v/>
      </c>
      <c r="F13">
        <f>IF([1]SubGroups!$B$14="","",[1]SubGroups!$B$14)</f>
        <v/>
      </c>
      <c r="G13">
        <f>IF([1]SubGroups!$B$14="","",[1]SubGroups!$C$14)</f>
        <v/>
      </c>
      <c r="H13">
        <f>IF([1]SubGroups!$B$14="","",[1]SubGroups!$D$14)</f>
        <v/>
      </c>
      <c r="J13">
        <f>IF([1]Accounts!$D$14="","",[1]Accounts!$A$14)</f>
        <v/>
      </c>
      <c r="K13">
        <f>IF([1]Accounts!$D$14="","",[1]Accounts!$B$14)</f>
        <v/>
      </c>
      <c r="L13">
        <f>IF([1]Accounts!$D$14="","",[1]Accounts!$C$14)</f>
        <v/>
      </c>
      <c r="M13">
        <f>IF([1]Accounts!$D$14="","",[1]Accounts!$D$14)</f>
        <v/>
      </c>
      <c r="P13">
        <f>IF([2]Entry!$C$16="","",[2]Entry!$C$16)</f>
        <v/>
      </c>
      <c r="Q13">
        <f>IF([2]Entry!$D$16="","",[2]Entry!$D$16)</f>
        <v/>
      </c>
      <c r="R13">
        <f>IF([2]Entry!$E$16="","",[2]Entry!$E$16)</f>
        <v/>
      </c>
      <c r="S13">
        <f>IF([2]Entry!$G$16="","",[2]Entry!$G$16)</f>
        <v/>
      </c>
      <c r="T13">
        <f>IF([2]Entry!$J$16="","",[2]Entry!$J$16)</f>
        <v/>
      </c>
      <c r="U13">
        <f>IF([2]Entry!$K$16="","",[2]Entry!$K$16)</f>
        <v/>
      </c>
      <c r="V13">
        <f>IF([2]Entry!$L$16="","",[2]Entry!$L$16)</f>
        <v/>
      </c>
      <c r="W13">
        <f>IF([2]Entry!$M$16="","",[2]Entry!$M$16)</f>
        <v/>
      </c>
      <c r="X13">
        <f>IF([2]Entry!$N$16="","",[2]Entry!$N$16)</f>
        <v/>
      </c>
      <c r="Y13">
        <f>IF([2]Entry!$R$16="","",[2]Entry!$R$16)</f>
        <v/>
      </c>
      <c r="AA13">
        <f>IF(AND($E13&lt;&gt;"",$G13&lt;&gt;"",$F13="هزینه"),1,0)</f>
        <v/>
      </c>
      <c r="AB13">
        <f>SUM($AA$6:$AA13)</f>
        <v/>
      </c>
      <c r="AC13">
        <f>IFERROR(INDEX($E$6:$E$105,MATCH(ROW()-5,$AB$6:$AB$105,0)),"")</f>
        <v/>
      </c>
    </row>
    <row r="14">
      <c r="A14">
        <f>IF([1]MainGroups!$B$15="","",[1]MainGroups!$A$15)</f>
        <v/>
      </c>
      <c r="B14">
        <f>IF([1]MainGroups!$B$15="","",[1]MainGroups!$B$15)</f>
        <v/>
      </c>
      <c r="C14">
        <f>IF([1]MainGroups!$B$15="","",[1]MainGroups!$C$15)</f>
        <v/>
      </c>
      <c r="E14">
        <f>IF([1]SubGroups!$B$15="","",[1]SubGroups!$A$15)</f>
        <v/>
      </c>
      <c r="F14">
        <f>IF([1]SubGroups!$B$15="","",[1]SubGroups!$B$15)</f>
        <v/>
      </c>
      <c r="G14">
        <f>IF([1]SubGroups!$B$15="","",[1]SubGroups!$C$15)</f>
        <v/>
      </c>
      <c r="H14">
        <f>IF([1]SubGroups!$B$15="","",[1]SubGroups!$D$15)</f>
        <v/>
      </c>
      <c r="J14">
        <f>IF([1]Accounts!$D$15="","",[1]Accounts!$A$15)</f>
        <v/>
      </c>
      <c r="K14">
        <f>IF([1]Accounts!$D$15="","",[1]Accounts!$B$15)</f>
        <v/>
      </c>
      <c r="L14">
        <f>IF([1]Accounts!$D$15="","",[1]Accounts!$C$15)</f>
        <v/>
      </c>
      <c r="M14">
        <f>IF([1]Accounts!$D$15="","",[1]Accounts!$D$15)</f>
        <v/>
      </c>
      <c r="P14">
        <f>IF([2]Entry!$C$17="","",[2]Entry!$C$17)</f>
        <v/>
      </c>
      <c r="Q14">
        <f>IF([2]Entry!$D$17="","",[2]Entry!$D$17)</f>
        <v/>
      </c>
      <c r="R14">
        <f>IF([2]Entry!$E$17="","",[2]Entry!$E$17)</f>
        <v/>
      </c>
      <c r="S14">
        <f>IF([2]Entry!$G$17="","",[2]Entry!$G$17)</f>
        <v/>
      </c>
      <c r="T14">
        <f>IF([2]Entry!$J$17="","",[2]Entry!$J$17)</f>
        <v/>
      </c>
      <c r="U14">
        <f>IF([2]Entry!$K$17="","",[2]Entry!$K$17)</f>
        <v/>
      </c>
      <c r="V14">
        <f>IF([2]Entry!$L$17="","",[2]Entry!$L$17)</f>
        <v/>
      </c>
      <c r="W14">
        <f>IF([2]Entry!$M$17="","",[2]Entry!$M$17)</f>
        <v/>
      </c>
      <c r="X14">
        <f>IF([2]Entry!$N$17="","",[2]Entry!$N$17)</f>
        <v/>
      </c>
      <c r="Y14">
        <f>IF([2]Entry!$R$17="","",[2]Entry!$R$17)</f>
        <v/>
      </c>
      <c r="AA14">
        <f>IF(AND($E14&lt;&gt;"",$G14&lt;&gt;"",$F14="هزینه"),1,0)</f>
        <v/>
      </c>
      <c r="AB14">
        <f>SUM($AA$6:$AA14)</f>
        <v/>
      </c>
      <c r="AC14">
        <f>IFERROR(INDEX($E$6:$E$105,MATCH(ROW()-5,$AB$6:$AB$105,0)),"")</f>
        <v/>
      </c>
    </row>
    <row r="15">
      <c r="A15">
        <f>IF([1]MainGroups!$B$16="","",[1]MainGroups!$A$16)</f>
        <v/>
      </c>
      <c r="B15">
        <f>IF([1]MainGroups!$B$16="","",[1]MainGroups!$B$16)</f>
        <v/>
      </c>
      <c r="C15">
        <f>IF([1]MainGroups!$B$16="","",[1]MainGroups!$C$16)</f>
        <v/>
      </c>
      <c r="E15">
        <f>IF([1]SubGroups!$B$16="","",[1]SubGroups!$A$16)</f>
        <v/>
      </c>
      <c r="F15">
        <f>IF([1]SubGroups!$B$16="","",[1]SubGroups!$B$16)</f>
        <v/>
      </c>
      <c r="G15">
        <f>IF([1]SubGroups!$B$16="","",[1]SubGroups!$C$16)</f>
        <v/>
      </c>
      <c r="H15">
        <f>IF([1]SubGroups!$B$16="","",[1]SubGroups!$D$16)</f>
        <v/>
      </c>
      <c r="J15">
        <f>IF([1]Accounts!$D$16="","",[1]Accounts!$A$16)</f>
        <v/>
      </c>
      <c r="K15">
        <f>IF([1]Accounts!$D$16="","",[1]Accounts!$B$16)</f>
        <v/>
      </c>
      <c r="L15">
        <f>IF([1]Accounts!$D$16="","",[1]Accounts!$C$16)</f>
        <v/>
      </c>
      <c r="M15">
        <f>IF([1]Accounts!$D$16="","",[1]Accounts!$D$16)</f>
        <v/>
      </c>
      <c r="P15">
        <f>IF([2]Entry!$C$18="","",[2]Entry!$C$18)</f>
        <v/>
      </c>
      <c r="Q15">
        <f>IF([2]Entry!$D$18="","",[2]Entry!$D$18)</f>
        <v/>
      </c>
      <c r="R15">
        <f>IF([2]Entry!$E$18="","",[2]Entry!$E$18)</f>
        <v/>
      </c>
      <c r="S15">
        <f>IF([2]Entry!$G$18="","",[2]Entry!$G$18)</f>
        <v/>
      </c>
      <c r="T15">
        <f>IF([2]Entry!$J$18="","",[2]Entry!$J$18)</f>
        <v/>
      </c>
      <c r="U15">
        <f>IF([2]Entry!$K$18="","",[2]Entry!$K$18)</f>
        <v/>
      </c>
      <c r="V15">
        <f>IF([2]Entry!$L$18="","",[2]Entry!$L$18)</f>
        <v/>
      </c>
      <c r="W15">
        <f>IF([2]Entry!$M$18="","",[2]Entry!$M$18)</f>
        <v/>
      </c>
      <c r="X15">
        <f>IF([2]Entry!$N$18="","",[2]Entry!$N$18)</f>
        <v/>
      </c>
      <c r="Y15">
        <f>IF([2]Entry!$R$18="","",[2]Entry!$R$18)</f>
        <v/>
      </c>
      <c r="AA15">
        <f>IF(AND($E15&lt;&gt;"",$G15&lt;&gt;"",$F15="هزینه"),1,0)</f>
        <v/>
      </c>
      <c r="AB15">
        <f>SUM($AA$6:$AA15)</f>
        <v/>
      </c>
      <c r="AC15">
        <f>IFERROR(INDEX($E$6:$E$105,MATCH(ROW()-5,$AB$6:$AB$105,0)),"")</f>
        <v/>
      </c>
    </row>
    <row r="16">
      <c r="E16">
        <f>IF([1]SubGroups!$B$17="","",[1]SubGroups!$A$17)</f>
        <v/>
      </c>
      <c r="F16">
        <f>IF([1]SubGroups!$B$17="","",[1]SubGroups!$B$17)</f>
        <v/>
      </c>
      <c r="G16">
        <f>IF([1]SubGroups!$B$17="","",[1]SubGroups!$C$17)</f>
        <v/>
      </c>
      <c r="H16">
        <f>IF([1]SubGroups!$B$17="","",[1]SubGroups!$D$17)</f>
        <v/>
      </c>
      <c r="J16">
        <f>IF([1]Accounts!$D$17="","",[1]Accounts!$A$17)</f>
        <v/>
      </c>
      <c r="K16">
        <f>IF([1]Accounts!$D$17="","",[1]Accounts!$B$17)</f>
        <v/>
      </c>
      <c r="L16">
        <f>IF([1]Accounts!$D$17="","",[1]Accounts!$C$17)</f>
        <v/>
      </c>
      <c r="M16">
        <f>IF([1]Accounts!$D$17="","",[1]Accounts!$D$17)</f>
        <v/>
      </c>
      <c r="P16">
        <f>IF([2]Entry!$C$19="","",[2]Entry!$C$19)</f>
        <v/>
      </c>
      <c r="Q16">
        <f>IF([2]Entry!$D$19="","",[2]Entry!$D$19)</f>
        <v/>
      </c>
      <c r="R16">
        <f>IF([2]Entry!$E$19="","",[2]Entry!$E$19)</f>
        <v/>
      </c>
      <c r="S16">
        <f>IF([2]Entry!$G$19="","",[2]Entry!$G$19)</f>
        <v/>
      </c>
      <c r="T16">
        <f>IF([2]Entry!$J$19="","",[2]Entry!$J$19)</f>
        <v/>
      </c>
      <c r="U16">
        <f>IF([2]Entry!$K$19="","",[2]Entry!$K$19)</f>
        <v/>
      </c>
      <c r="V16">
        <f>IF([2]Entry!$L$19="","",[2]Entry!$L$19)</f>
        <v/>
      </c>
      <c r="W16">
        <f>IF([2]Entry!$M$19="","",[2]Entry!$M$19)</f>
        <v/>
      </c>
      <c r="X16">
        <f>IF([2]Entry!$N$19="","",[2]Entry!$N$19)</f>
        <v/>
      </c>
      <c r="Y16">
        <f>IF([2]Entry!$R$19="","",[2]Entry!$R$19)</f>
        <v/>
      </c>
      <c r="AA16">
        <f>IF(AND($E16&lt;&gt;"",$G16&lt;&gt;"",$F16="هزینه"),1,0)</f>
        <v/>
      </c>
      <c r="AB16">
        <f>SUM($AA$6:$AA16)</f>
        <v/>
      </c>
      <c r="AC16">
        <f>IFERROR(INDEX($E$6:$E$105,MATCH(ROW()-5,$AB$6:$AB$105,0)),"")</f>
        <v/>
      </c>
    </row>
    <row r="17">
      <c r="E17">
        <f>IF([1]SubGroups!$B$18="","",[1]SubGroups!$A$18)</f>
        <v/>
      </c>
      <c r="F17">
        <f>IF([1]SubGroups!$B$18="","",[1]SubGroups!$B$18)</f>
        <v/>
      </c>
      <c r="G17">
        <f>IF([1]SubGroups!$B$18="","",[1]SubGroups!$C$18)</f>
        <v/>
      </c>
      <c r="H17">
        <f>IF([1]SubGroups!$B$18="","",[1]SubGroups!$D$18)</f>
        <v/>
      </c>
      <c r="J17">
        <f>IF([1]Accounts!$D$18="","",[1]Accounts!$A$18)</f>
        <v/>
      </c>
      <c r="K17">
        <f>IF([1]Accounts!$D$18="","",[1]Accounts!$B$18)</f>
        <v/>
      </c>
      <c r="L17">
        <f>IF([1]Accounts!$D$18="","",[1]Accounts!$C$18)</f>
        <v/>
      </c>
      <c r="M17">
        <f>IF([1]Accounts!$D$18="","",[1]Accounts!$D$18)</f>
        <v/>
      </c>
      <c r="P17">
        <f>IF([2]Entry!$C$20="","",[2]Entry!$C$20)</f>
        <v/>
      </c>
      <c r="Q17">
        <f>IF([2]Entry!$D$20="","",[2]Entry!$D$20)</f>
        <v/>
      </c>
      <c r="R17">
        <f>IF([2]Entry!$E$20="","",[2]Entry!$E$20)</f>
        <v/>
      </c>
      <c r="S17">
        <f>IF([2]Entry!$G$20="","",[2]Entry!$G$20)</f>
        <v/>
      </c>
      <c r="T17">
        <f>IF([2]Entry!$J$20="","",[2]Entry!$J$20)</f>
        <v/>
      </c>
      <c r="U17">
        <f>IF([2]Entry!$K$20="","",[2]Entry!$K$20)</f>
        <v/>
      </c>
      <c r="V17">
        <f>IF([2]Entry!$L$20="","",[2]Entry!$L$20)</f>
        <v/>
      </c>
      <c r="W17">
        <f>IF([2]Entry!$M$20="","",[2]Entry!$M$20)</f>
        <v/>
      </c>
      <c r="X17">
        <f>IF([2]Entry!$N$20="","",[2]Entry!$N$20)</f>
        <v/>
      </c>
      <c r="Y17">
        <f>IF([2]Entry!$R$20="","",[2]Entry!$R$20)</f>
        <v/>
      </c>
      <c r="AA17">
        <f>IF(AND($E17&lt;&gt;"",$G17&lt;&gt;"",$F17="هزینه"),1,0)</f>
        <v/>
      </c>
      <c r="AB17">
        <f>SUM($AA$6:$AA17)</f>
        <v/>
      </c>
      <c r="AC17">
        <f>IFERROR(INDEX($E$6:$E$105,MATCH(ROW()-5,$AB$6:$AB$105,0)),"")</f>
        <v/>
      </c>
    </row>
    <row r="18">
      <c r="E18">
        <f>IF([1]SubGroups!$B$19="","",[1]SubGroups!$A$19)</f>
        <v/>
      </c>
      <c r="F18">
        <f>IF([1]SubGroups!$B$19="","",[1]SubGroups!$B$19)</f>
        <v/>
      </c>
      <c r="G18">
        <f>IF([1]SubGroups!$B$19="","",[1]SubGroups!$C$19)</f>
        <v/>
      </c>
      <c r="H18">
        <f>IF([1]SubGroups!$B$19="","",[1]SubGroups!$D$19)</f>
        <v/>
      </c>
      <c r="J18">
        <f>IF([1]Accounts!$D$19="","",[1]Accounts!$A$19)</f>
        <v/>
      </c>
      <c r="K18">
        <f>IF([1]Accounts!$D$19="","",[1]Accounts!$B$19)</f>
        <v/>
      </c>
      <c r="L18">
        <f>IF([1]Accounts!$D$19="","",[1]Accounts!$C$19)</f>
        <v/>
      </c>
      <c r="M18">
        <f>IF([1]Accounts!$D$19="","",[1]Accounts!$D$19)</f>
        <v/>
      </c>
      <c r="P18">
        <f>IF([2]Entry!$C$21="","",[2]Entry!$C$21)</f>
        <v/>
      </c>
      <c r="Q18">
        <f>IF([2]Entry!$D$21="","",[2]Entry!$D$21)</f>
        <v/>
      </c>
      <c r="R18">
        <f>IF([2]Entry!$E$21="","",[2]Entry!$E$21)</f>
        <v/>
      </c>
      <c r="S18">
        <f>IF([2]Entry!$G$21="","",[2]Entry!$G$21)</f>
        <v/>
      </c>
      <c r="T18">
        <f>IF([2]Entry!$J$21="","",[2]Entry!$J$21)</f>
        <v/>
      </c>
      <c r="U18">
        <f>IF([2]Entry!$K$21="","",[2]Entry!$K$21)</f>
        <v/>
      </c>
      <c r="V18">
        <f>IF([2]Entry!$L$21="","",[2]Entry!$L$21)</f>
        <v/>
      </c>
      <c r="W18">
        <f>IF([2]Entry!$M$21="","",[2]Entry!$M$21)</f>
        <v/>
      </c>
      <c r="X18">
        <f>IF([2]Entry!$N$21="","",[2]Entry!$N$21)</f>
        <v/>
      </c>
      <c r="Y18">
        <f>IF([2]Entry!$R$21="","",[2]Entry!$R$21)</f>
        <v/>
      </c>
      <c r="AA18">
        <f>IF(AND($E18&lt;&gt;"",$G18&lt;&gt;"",$F18="هزینه"),1,0)</f>
        <v/>
      </c>
      <c r="AB18">
        <f>SUM($AA$6:$AA18)</f>
        <v/>
      </c>
      <c r="AC18">
        <f>IFERROR(INDEX($E$6:$E$105,MATCH(ROW()-5,$AB$6:$AB$105,0)),"")</f>
        <v/>
      </c>
    </row>
    <row r="19">
      <c r="E19">
        <f>IF([1]SubGroups!$B$20="","",[1]SubGroups!$A$20)</f>
        <v/>
      </c>
      <c r="F19">
        <f>IF([1]SubGroups!$B$20="","",[1]SubGroups!$B$20)</f>
        <v/>
      </c>
      <c r="G19">
        <f>IF([1]SubGroups!$B$20="","",[1]SubGroups!$C$20)</f>
        <v/>
      </c>
      <c r="H19">
        <f>IF([1]SubGroups!$B$20="","",[1]SubGroups!$D$20)</f>
        <v/>
      </c>
      <c r="J19">
        <f>IF([1]Accounts!$D$20="","",[1]Accounts!$A$20)</f>
        <v/>
      </c>
      <c r="K19">
        <f>IF([1]Accounts!$D$20="","",[1]Accounts!$B$20)</f>
        <v/>
      </c>
      <c r="L19">
        <f>IF([1]Accounts!$D$20="","",[1]Accounts!$C$20)</f>
        <v/>
      </c>
      <c r="M19">
        <f>IF([1]Accounts!$D$20="","",[1]Accounts!$D$20)</f>
        <v/>
      </c>
      <c r="P19">
        <f>IF([2]Entry!$C$22="","",[2]Entry!$C$22)</f>
        <v/>
      </c>
      <c r="Q19">
        <f>IF([2]Entry!$D$22="","",[2]Entry!$D$22)</f>
        <v/>
      </c>
      <c r="R19">
        <f>IF([2]Entry!$E$22="","",[2]Entry!$E$22)</f>
        <v/>
      </c>
      <c r="S19">
        <f>IF([2]Entry!$G$22="","",[2]Entry!$G$22)</f>
        <v/>
      </c>
      <c r="T19">
        <f>IF([2]Entry!$J$22="","",[2]Entry!$J$22)</f>
        <v/>
      </c>
      <c r="U19">
        <f>IF([2]Entry!$K$22="","",[2]Entry!$K$22)</f>
        <v/>
      </c>
      <c r="V19">
        <f>IF([2]Entry!$L$22="","",[2]Entry!$L$22)</f>
        <v/>
      </c>
      <c r="W19">
        <f>IF([2]Entry!$M$22="","",[2]Entry!$M$22)</f>
        <v/>
      </c>
      <c r="X19">
        <f>IF([2]Entry!$N$22="","",[2]Entry!$N$22)</f>
        <v/>
      </c>
      <c r="Y19">
        <f>IF([2]Entry!$R$22="","",[2]Entry!$R$22)</f>
        <v/>
      </c>
      <c r="AA19">
        <f>IF(AND($E19&lt;&gt;"",$G19&lt;&gt;"",$F19="هزینه"),1,0)</f>
        <v/>
      </c>
      <c r="AB19">
        <f>SUM($AA$6:$AA19)</f>
        <v/>
      </c>
      <c r="AC19">
        <f>IFERROR(INDEX($E$6:$E$105,MATCH(ROW()-5,$AB$6:$AB$105,0)),"")</f>
        <v/>
      </c>
    </row>
    <row r="20">
      <c r="E20">
        <f>IF([1]SubGroups!$B$21="","",[1]SubGroups!$A$21)</f>
        <v/>
      </c>
      <c r="F20">
        <f>IF([1]SubGroups!$B$21="","",[1]SubGroups!$B$21)</f>
        <v/>
      </c>
      <c r="G20">
        <f>IF([1]SubGroups!$B$21="","",[1]SubGroups!$C$21)</f>
        <v/>
      </c>
      <c r="H20">
        <f>IF([1]SubGroups!$B$21="","",[1]SubGroups!$D$21)</f>
        <v/>
      </c>
      <c r="J20">
        <f>IF([1]Accounts!$D$21="","",[1]Accounts!$A$21)</f>
        <v/>
      </c>
      <c r="K20">
        <f>IF([1]Accounts!$D$21="","",[1]Accounts!$B$21)</f>
        <v/>
      </c>
      <c r="L20">
        <f>IF([1]Accounts!$D$21="","",[1]Accounts!$C$21)</f>
        <v/>
      </c>
      <c r="M20">
        <f>IF([1]Accounts!$D$21="","",[1]Accounts!$D$21)</f>
        <v/>
      </c>
      <c r="P20">
        <f>IF([2]Entry!$C$23="","",[2]Entry!$C$23)</f>
        <v/>
      </c>
      <c r="Q20">
        <f>IF([2]Entry!$D$23="","",[2]Entry!$D$23)</f>
        <v/>
      </c>
      <c r="R20">
        <f>IF([2]Entry!$E$23="","",[2]Entry!$E$23)</f>
        <v/>
      </c>
      <c r="S20">
        <f>IF([2]Entry!$G$23="","",[2]Entry!$G$23)</f>
        <v/>
      </c>
      <c r="T20">
        <f>IF([2]Entry!$J$23="","",[2]Entry!$J$23)</f>
        <v/>
      </c>
      <c r="U20">
        <f>IF([2]Entry!$K$23="","",[2]Entry!$K$23)</f>
        <v/>
      </c>
      <c r="V20">
        <f>IF([2]Entry!$L$23="","",[2]Entry!$L$23)</f>
        <v/>
      </c>
      <c r="W20">
        <f>IF([2]Entry!$M$23="","",[2]Entry!$M$23)</f>
        <v/>
      </c>
      <c r="X20">
        <f>IF([2]Entry!$N$23="","",[2]Entry!$N$23)</f>
        <v/>
      </c>
      <c r="Y20">
        <f>IF([2]Entry!$R$23="","",[2]Entry!$R$23)</f>
        <v/>
      </c>
      <c r="AA20">
        <f>IF(AND($E20&lt;&gt;"",$G20&lt;&gt;"",$F20="هزینه"),1,0)</f>
        <v/>
      </c>
      <c r="AB20">
        <f>SUM($AA$6:$AA20)</f>
        <v/>
      </c>
      <c r="AC20">
        <f>IFERROR(INDEX($E$6:$E$105,MATCH(ROW()-5,$AB$6:$AB$105,0)),"")</f>
        <v/>
      </c>
    </row>
    <row r="21">
      <c r="E21">
        <f>IF([1]SubGroups!$B$22="","",[1]SubGroups!$A$22)</f>
        <v/>
      </c>
      <c r="F21">
        <f>IF([1]SubGroups!$B$22="","",[1]SubGroups!$B$22)</f>
        <v/>
      </c>
      <c r="G21">
        <f>IF([1]SubGroups!$B$22="","",[1]SubGroups!$C$22)</f>
        <v/>
      </c>
      <c r="H21">
        <f>IF([1]SubGroups!$B$22="","",[1]SubGroups!$D$22)</f>
        <v/>
      </c>
      <c r="J21">
        <f>IF([1]Accounts!$D$22="","",[1]Accounts!$A$22)</f>
        <v/>
      </c>
      <c r="K21">
        <f>IF([1]Accounts!$D$22="","",[1]Accounts!$B$22)</f>
        <v/>
      </c>
      <c r="L21">
        <f>IF([1]Accounts!$D$22="","",[1]Accounts!$C$22)</f>
        <v/>
      </c>
      <c r="M21">
        <f>IF([1]Accounts!$D$22="","",[1]Accounts!$D$22)</f>
        <v/>
      </c>
      <c r="P21">
        <f>IF([2]Entry!$C$24="","",[2]Entry!$C$24)</f>
        <v/>
      </c>
      <c r="Q21">
        <f>IF([2]Entry!$D$24="","",[2]Entry!$D$24)</f>
        <v/>
      </c>
      <c r="R21">
        <f>IF([2]Entry!$E$24="","",[2]Entry!$E$24)</f>
        <v/>
      </c>
      <c r="S21">
        <f>IF([2]Entry!$G$24="","",[2]Entry!$G$24)</f>
        <v/>
      </c>
      <c r="T21">
        <f>IF([2]Entry!$J$24="","",[2]Entry!$J$24)</f>
        <v/>
      </c>
      <c r="U21">
        <f>IF([2]Entry!$K$24="","",[2]Entry!$K$24)</f>
        <v/>
      </c>
      <c r="V21">
        <f>IF([2]Entry!$L$24="","",[2]Entry!$L$24)</f>
        <v/>
      </c>
      <c r="W21">
        <f>IF([2]Entry!$M$24="","",[2]Entry!$M$24)</f>
        <v/>
      </c>
      <c r="X21">
        <f>IF([2]Entry!$N$24="","",[2]Entry!$N$24)</f>
        <v/>
      </c>
      <c r="Y21">
        <f>IF([2]Entry!$R$24="","",[2]Entry!$R$24)</f>
        <v/>
      </c>
      <c r="AA21">
        <f>IF(AND($E21&lt;&gt;"",$G21&lt;&gt;"",$F21="هزینه"),1,0)</f>
        <v/>
      </c>
      <c r="AB21">
        <f>SUM($AA$6:$AA21)</f>
        <v/>
      </c>
      <c r="AC21">
        <f>IFERROR(INDEX($E$6:$E$105,MATCH(ROW()-5,$AB$6:$AB$105,0)),"")</f>
        <v/>
      </c>
    </row>
    <row r="22">
      <c r="E22">
        <f>IF([1]SubGroups!$B$23="","",[1]SubGroups!$A$23)</f>
        <v/>
      </c>
      <c r="F22">
        <f>IF([1]SubGroups!$B$23="","",[1]SubGroups!$B$23)</f>
        <v/>
      </c>
      <c r="G22">
        <f>IF([1]SubGroups!$B$23="","",[1]SubGroups!$C$23)</f>
        <v/>
      </c>
      <c r="H22">
        <f>IF([1]SubGroups!$B$23="","",[1]SubGroups!$D$23)</f>
        <v/>
      </c>
      <c r="J22">
        <f>IF([1]Accounts!$D$23="","",[1]Accounts!$A$23)</f>
        <v/>
      </c>
      <c r="K22">
        <f>IF([1]Accounts!$D$23="","",[1]Accounts!$B$23)</f>
        <v/>
      </c>
      <c r="L22">
        <f>IF([1]Accounts!$D$23="","",[1]Accounts!$C$23)</f>
        <v/>
      </c>
      <c r="M22">
        <f>IF([1]Accounts!$D$23="","",[1]Accounts!$D$23)</f>
        <v/>
      </c>
      <c r="P22">
        <f>IF([2]Entry!$C$25="","",[2]Entry!$C$25)</f>
        <v/>
      </c>
      <c r="Q22">
        <f>IF([2]Entry!$D$25="","",[2]Entry!$D$25)</f>
        <v/>
      </c>
      <c r="R22">
        <f>IF([2]Entry!$E$25="","",[2]Entry!$E$25)</f>
        <v/>
      </c>
      <c r="S22">
        <f>IF([2]Entry!$G$25="","",[2]Entry!$G$25)</f>
        <v/>
      </c>
      <c r="T22">
        <f>IF([2]Entry!$J$25="","",[2]Entry!$J$25)</f>
        <v/>
      </c>
      <c r="U22">
        <f>IF([2]Entry!$K$25="","",[2]Entry!$K$25)</f>
        <v/>
      </c>
      <c r="V22">
        <f>IF([2]Entry!$L$25="","",[2]Entry!$L$25)</f>
        <v/>
      </c>
      <c r="W22">
        <f>IF([2]Entry!$M$25="","",[2]Entry!$M$25)</f>
        <v/>
      </c>
      <c r="X22">
        <f>IF([2]Entry!$N$25="","",[2]Entry!$N$25)</f>
        <v/>
      </c>
      <c r="Y22">
        <f>IF([2]Entry!$R$25="","",[2]Entry!$R$25)</f>
        <v/>
      </c>
      <c r="AA22">
        <f>IF(AND($E22&lt;&gt;"",$G22&lt;&gt;"",$F22="هزینه"),1,0)</f>
        <v/>
      </c>
      <c r="AB22">
        <f>SUM($AA$6:$AA22)</f>
        <v/>
      </c>
      <c r="AC22">
        <f>IFERROR(INDEX($E$6:$E$105,MATCH(ROW()-5,$AB$6:$AB$105,0)),"")</f>
        <v/>
      </c>
    </row>
    <row r="23">
      <c r="E23">
        <f>IF([1]SubGroups!$B$24="","",[1]SubGroups!$A$24)</f>
        <v/>
      </c>
      <c r="F23">
        <f>IF([1]SubGroups!$B$24="","",[1]SubGroups!$B$24)</f>
        <v/>
      </c>
      <c r="G23">
        <f>IF([1]SubGroups!$B$24="","",[1]SubGroups!$C$24)</f>
        <v/>
      </c>
      <c r="H23">
        <f>IF([1]SubGroups!$B$24="","",[1]SubGroups!$D$24)</f>
        <v/>
      </c>
      <c r="J23">
        <f>IF([1]Accounts!$D$24="","",[1]Accounts!$A$24)</f>
        <v/>
      </c>
      <c r="K23">
        <f>IF([1]Accounts!$D$24="","",[1]Accounts!$B$24)</f>
        <v/>
      </c>
      <c r="L23">
        <f>IF([1]Accounts!$D$24="","",[1]Accounts!$C$24)</f>
        <v/>
      </c>
      <c r="M23">
        <f>IF([1]Accounts!$D$24="","",[1]Accounts!$D$24)</f>
        <v/>
      </c>
      <c r="P23">
        <f>IF([2]Entry!$C$26="","",[2]Entry!$C$26)</f>
        <v/>
      </c>
      <c r="Q23">
        <f>IF([2]Entry!$D$26="","",[2]Entry!$D$26)</f>
        <v/>
      </c>
      <c r="R23">
        <f>IF([2]Entry!$E$26="","",[2]Entry!$E$26)</f>
        <v/>
      </c>
      <c r="S23">
        <f>IF([2]Entry!$G$26="","",[2]Entry!$G$26)</f>
        <v/>
      </c>
      <c r="T23">
        <f>IF([2]Entry!$J$26="","",[2]Entry!$J$26)</f>
        <v/>
      </c>
      <c r="U23">
        <f>IF([2]Entry!$K$26="","",[2]Entry!$K$26)</f>
        <v/>
      </c>
      <c r="V23">
        <f>IF([2]Entry!$L$26="","",[2]Entry!$L$26)</f>
        <v/>
      </c>
      <c r="W23">
        <f>IF([2]Entry!$M$26="","",[2]Entry!$M$26)</f>
        <v/>
      </c>
      <c r="X23">
        <f>IF([2]Entry!$N$26="","",[2]Entry!$N$26)</f>
        <v/>
      </c>
      <c r="Y23">
        <f>IF([2]Entry!$R$26="","",[2]Entry!$R$26)</f>
        <v/>
      </c>
      <c r="AA23">
        <f>IF(AND($E23&lt;&gt;"",$G23&lt;&gt;"",$F23="هزینه"),1,0)</f>
        <v/>
      </c>
      <c r="AB23">
        <f>SUM($AA$6:$AA23)</f>
        <v/>
      </c>
      <c r="AC23">
        <f>IFERROR(INDEX($E$6:$E$105,MATCH(ROW()-5,$AB$6:$AB$105,0)),"")</f>
        <v/>
      </c>
    </row>
    <row r="24">
      <c r="E24">
        <f>IF([1]SubGroups!$B$25="","",[1]SubGroups!$A$25)</f>
        <v/>
      </c>
      <c r="F24">
        <f>IF([1]SubGroups!$B$25="","",[1]SubGroups!$B$25)</f>
        <v/>
      </c>
      <c r="G24">
        <f>IF([1]SubGroups!$B$25="","",[1]SubGroups!$C$25)</f>
        <v/>
      </c>
      <c r="H24">
        <f>IF([1]SubGroups!$B$25="","",[1]SubGroups!$D$25)</f>
        <v/>
      </c>
      <c r="J24">
        <f>IF([1]Accounts!$D$25="","",[1]Accounts!$A$25)</f>
        <v/>
      </c>
      <c r="K24">
        <f>IF([1]Accounts!$D$25="","",[1]Accounts!$B$25)</f>
        <v/>
      </c>
      <c r="L24">
        <f>IF([1]Accounts!$D$25="","",[1]Accounts!$C$25)</f>
        <v/>
      </c>
      <c r="M24">
        <f>IF([1]Accounts!$D$25="","",[1]Accounts!$D$25)</f>
        <v/>
      </c>
      <c r="P24">
        <f>IF([2]Entry!$C$27="","",[2]Entry!$C$27)</f>
        <v/>
      </c>
      <c r="Q24">
        <f>IF([2]Entry!$D$27="","",[2]Entry!$D$27)</f>
        <v/>
      </c>
      <c r="R24">
        <f>IF([2]Entry!$E$27="","",[2]Entry!$E$27)</f>
        <v/>
      </c>
      <c r="S24">
        <f>IF([2]Entry!$G$27="","",[2]Entry!$G$27)</f>
        <v/>
      </c>
      <c r="T24">
        <f>IF([2]Entry!$J$27="","",[2]Entry!$J$27)</f>
        <v/>
      </c>
      <c r="U24">
        <f>IF([2]Entry!$K$27="","",[2]Entry!$K$27)</f>
        <v/>
      </c>
      <c r="V24">
        <f>IF([2]Entry!$L$27="","",[2]Entry!$L$27)</f>
        <v/>
      </c>
      <c r="W24">
        <f>IF([2]Entry!$M$27="","",[2]Entry!$M$27)</f>
        <v/>
      </c>
      <c r="X24">
        <f>IF([2]Entry!$N$27="","",[2]Entry!$N$27)</f>
        <v/>
      </c>
      <c r="Y24">
        <f>IF([2]Entry!$R$27="","",[2]Entry!$R$27)</f>
        <v/>
      </c>
      <c r="AA24">
        <f>IF(AND($E24&lt;&gt;"",$G24&lt;&gt;"",$F24="هزینه"),1,0)</f>
        <v/>
      </c>
      <c r="AB24">
        <f>SUM($AA$6:$AA24)</f>
        <v/>
      </c>
      <c r="AC24">
        <f>IFERROR(INDEX($E$6:$E$105,MATCH(ROW()-5,$AB$6:$AB$105,0)),"")</f>
        <v/>
      </c>
    </row>
    <row r="25">
      <c r="E25">
        <f>IF([1]SubGroups!$B$26="","",[1]SubGroups!$A$26)</f>
        <v/>
      </c>
      <c r="F25">
        <f>IF([1]SubGroups!$B$26="","",[1]SubGroups!$B$26)</f>
        <v/>
      </c>
      <c r="G25">
        <f>IF([1]SubGroups!$B$26="","",[1]SubGroups!$C$26)</f>
        <v/>
      </c>
      <c r="H25">
        <f>IF([1]SubGroups!$B$26="","",[1]SubGroups!$D$26)</f>
        <v/>
      </c>
      <c r="J25">
        <f>IF([1]Accounts!$D$26="","",[1]Accounts!$A$26)</f>
        <v/>
      </c>
      <c r="K25">
        <f>IF([1]Accounts!$D$26="","",[1]Accounts!$B$26)</f>
        <v/>
      </c>
      <c r="L25">
        <f>IF([1]Accounts!$D$26="","",[1]Accounts!$C$26)</f>
        <v/>
      </c>
      <c r="M25">
        <f>IF([1]Accounts!$D$26="","",[1]Accounts!$D$26)</f>
        <v/>
      </c>
      <c r="P25">
        <f>IF([2]Entry!$C$28="","",[2]Entry!$C$28)</f>
        <v/>
      </c>
      <c r="Q25">
        <f>IF([2]Entry!$D$28="","",[2]Entry!$D$28)</f>
        <v/>
      </c>
      <c r="R25">
        <f>IF([2]Entry!$E$28="","",[2]Entry!$E$28)</f>
        <v/>
      </c>
      <c r="S25">
        <f>IF([2]Entry!$G$28="","",[2]Entry!$G$28)</f>
        <v/>
      </c>
      <c r="T25">
        <f>IF([2]Entry!$J$28="","",[2]Entry!$J$28)</f>
        <v/>
      </c>
      <c r="U25">
        <f>IF([2]Entry!$K$28="","",[2]Entry!$K$28)</f>
        <v/>
      </c>
      <c r="V25">
        <f>IF([2]Entry!$L$28="","",[2]Entry!$L$28)</f>
        <v/>
      </c>
      <c r="W25">
        <f>IF([2]Entry!$M$28="","",[2]Entry!$M$28)</f>
        <v/>
      </c>
      <c r="X25">
        <f>IF([2]Entry!$N$28="","",[2]Entry!$N$28)</f>
        <v/>
      </c>
      <c r="Y25">
        <f>IF([2]Entry!$R$28="","",[2]Entry!$R$28)</f>
        <v/>
      </c>
      <c r="AA25">
        <f>IF(AND($E25&lt;&gt;"",$G25&lt;&gt;"",$F25="هزینه"),1,0)</f>
        <v/>
      </c>
      <c r="AB25">
        <f>SUM($AA$6:$AA25)</f>
        <v/>
      </c>
      <c r="AC25">
        <f>IFERROR(INDEX($E$6:$E$105,MATCH(ROW()-5,$AB$6:$AB$105,0)),"")</f>
        <v/>
      </c>
    </row>
    <row r="26">
      <c r="E26">
        <f>IF([1]SubGroups!$B$27="","",[1]SubGroups!$A$27)</f>
        <v/>
      </c>
      <c r="F26">
        <f>IF([1]SubGroups!$B$27="","",[1]SubGroups!$B$27)</f>
        <v/>
      </c>
      <c r="G26">
        <f>IF([1]SubGroups!$B$27="","",[1]SubGroups!$C$27)</f>
        <v/>
      </c>
      <c r="H26">
        <f>IF([1]SubGroups!$B$27="","",[1]SubGroups!$D$27)</f>
        <v/>
      </c>
      <c r="J26">
        <f>IF([1]Accounts!$D$27="","",[1]Accounts!$A$27)</f>
        <v/>
      </c>
      <c r="K26">
        <f>IF([1]Accounts!$D$27="","",[1]Accounts!$B$27)</f>
        <v/>
      </c>
      <c r="L26">
        <f>IF([1]Accounts!$D$27="","",[1]Accounts!$C$27)</f>
        <v/>
      </c>
      <c r="M26">
        <f>IF([1]Accounts!$D$27="","",[1]Accounts!$D$27)</f>
        <v/>
      </c>
      <c r="P26">
        <f>IF([2]Entry!$C$29="","",[2]Entry!$C$29)</f>
        <v/>
      </c>
      <c r="Q26">
        <f>IF([2]Entry!$D$29="","",[2]Entry!$D$29)</f>
        <v/>
      </c>
      <c r="R26">
        <f>IF([2]Entry!$E$29="","",[2]Entry!$E$29)</f>
        <v/>
      </c>
      <c r="S26">
        <f>IF([2]Entry!$G$29="","",[2]Entry!$G$29)</f>
        <v/>
      </c>
      <c r="T26">
        <f>IF([2]Entry!$J$29="","",[2]Entry!$J$29)</f>
        <v/>
      </c>
      <c r="U26">
        <f>IF([2]Entry!$K$29="","",[2]Entry!$K$29)</f>
        <v/>
      </c>
      <c r="V26">
        <f>IF([2]Entry!$L$29="","",[2]Entry!$L$29)</f>
        <v/>
      </c>
      <c r="W26">
        <f>IF([2]Entry!$M$29="","",[2]Entry!$M$29)</f>
        <v/>
      </c>
      <c r="X26">
        <f>IF([2]Entry!$N$29="","",[2]Entry!$N$29)</f>
        <v/>
      </c>
      <c r="Y26">
        <f>IF([2]Entry!$R$29="","",[2]Entry!$R$29)</f>
        <v/>
      </c>
      <c r="AA26">
        <f>IF(AND($E26&lt;&gt;"",$G26&lt;&gt;"",$F26="هزینه"),1,0)</f>
        <v/>
      </c>
      <c r="AB26">
        <f>SUM($AA$6:$AA26)</f>
        <v/>
      </c>
      <c r="AC26">
        <f>IFERROR(INDEX($E$6:$E$105,MATCH(ROW()-5,$AB$6:$AB$105,0)),"")</f>
        <v/>
      </c>
    </row>
    <row r="27">
      <c r="E27">
        <f>IF([1]SubGroups!$B$28="","",[1]SubGroups!$A$28)</f>
        <v/>
      </c>
      <c r="F27">
        <f>IF([1]SubGroups!$B$28="","",[1]SubGroups!$B$28)</f>
        <v/>
      </c>
      <c r="G27">
        <f>IF([1]SubGroups!$B$28="","",[1]SubGroups!$C$28)</f>
        <v/>
      </c>
      <c r="H27">
        <f>IF([1]SubGroups!$B$28="","",[1]SubGroups!$D$28)</f>
        <v/>
      </c>
      <c r="J27">
        <f>IF([1]Accounts!$D$28="","",[1]Accounts!$A$28)</f>
        <v/>
      </c>
      <c r="K27">
        <f>IF([1]Accounts!$D$28="","",[1]Accounts!$B$28)</f>
        <v/>
      </c>
      <c r="L27">
        <f>IF([1]Accounts!$D$28="","",[1]Accounts!$C$28)</f>
        <v/>
      </c>
      <c r="M27">
        <f>IF([1]Accounts!$D$28="","",[1]Accounts!$D$28)</f>
        <v/>
      </c>
      <c r="P27">
        <f>IF([2]Entry!$C$30="","",[2]Entry!$C$30)</f>
        <v/>
      </c>
      <c r="Q27">
        <f>IF([2]Entry!$D$30="","",[2]Entry!$D$30)</f>
        <v/>
      </c>
      <c r="R27">
        <f>IF([2]Entry!$E$30="","",[2]Entry!$E$30)</f>
        <v/>
      </c>
      <c r="S27">
        <f>IF([2]Entry!$G$30="","",[2]Entry!$G$30)</f>
        <v/>
      </c>
      <c r="T27">
        <f>IF([2]Entry!$J$30="","",[2]Entry!$J$30)</f>
        <v/>
      </c>
      <c r="U27">
        <f>IF([2]Entry!$K$30="","",[2]Entry!$K$30)</f>
        <v/>
      </c>
      <c r="V27">
        <f>IF([2]Entry!$L$30="","",[2]Entry!$L$30)</f>
        <v/>
      </c>
      <c r="W27">
        <f>IF([2]Entry!$M$30="","",[2]Entry!$M$30)</f>
        <v/>
      </c>
      <c r="X27">
        <f>IF([2]Entry!$N$30="","",[2]Entry!$N$30)</f>
        <v/>
      </c>
      <c r="Y27">
        <f>IF([2]Entry!$R$30="","",[2]Entry!$R$30)</f>
        <v/>
      </c>
      <c r="AA27">
        <f>IF(AND($E27&lt;&gt;"",$G27&lt;&gt;"",$F27="هزینه"),1,0)</f>
        <v/>
      </c>
      <c r="AB27">
        <f>SUM($AA$6:$AA27)</f>
        <v/>
      </c>
      <c r="AC27">
        <f>IFERROR(INDEX($E$6:$E$105,MATCH(ROW()-5,$AB$6:$AB$105,0)),"")</f>
        <v/>
      </c>
    </row>
    <row r="28">
      <c r="E28">
        <f>IF([1]SubGroups!$B$29="","",[1]SubGroups!$A$29)</f>
        <v/>
      </c>
      <c r="F28">
        <f>IF([1]SubGroups!$B$29="","",[1]SubGroups!$B$29)</f>
        <v/>
      </c>
      <c r="G28">
        <f>IF([1]SubGroups!$B$29="","",[1]SubGroups!$C$29)</f>
        <v/>
      </c>
      <c r="H28">
        <f>IF([1]SubGroups!$B$29="","",[1]SubGroups!$D$29)</f>
        <v/>
      </c>
      <c r="J28">
        <f>IF([1]Accounts!$D$29="","",[1]Accounts!$A$29)</f>
        <v/>
      </c>
      <c r="K28">
        <f>IF([1]Accounts!$D$29="","",[1]Accounts!$B$29)</f>
        <v/>
      </c>
      <c r="L28">
        <f>IF([1]Accounts!$D$29="","",[1]Accounts!$C$29)</f>
        <v/>
      </c>
      <c r="M28">
        <f>IF([1]Accounts!$D$29="","",[1]Accounts!$D$29)</f>
        <v/>
      </c>
      <c r="P28">
        <f>IF([2]Entry!$C$31="","",[2]Entry!$C$31)</f>
        <v/>
      </c>
      <c r="Q28">
        <f>IF([2]Entry!$D$31="","",[2]Entry!$D$31)</f>
        <v/>
      </c>
      <c r="R28">
        <f>IF([2]Entry!$E$31="","",[2]Entry!$E$31)</f>
        <v/>
      </c>
      <c r="S28">
        <f>IF([2]Entry!$G$31="","",[2]Entry!$G$31)</f>
        <v/>
      </c>
      <c r="T28">
        <f>IF([2]Entry!$J$31="","",[2]Entry!$J$31)</f>
        <v/>
      </c>
      <c r="U28">
        <f>IF([2]Entry!$K$31="","",[2]Entry!$K$31)</f>
        <v/>
      </c>
      <c r="V28">
        <f>IF([2]Entry!$L$31="","",[2]Entry!$L$31)</f>
        <v/>
      </c>
      <c r="W28">
        <f>IF([2]Entry!$M$31="","",[2]Entry!$M$31)</f>
        <v/>
      </c>
      <c r="X28">
        <f>IF([2]Entry!$N$31="","",[2]Entry!$N$31)</f>
        <v/>
      </c>
      <c r="Y28">
        <f>IF([2]Entry!$R$31="","",[2]Entry!$R$31)</f>
        <v/>
      </c>
      <c r="AA28">
        <f>IF(AND($E28&lt;&gt;"",$G28&lt;&gt;"",$F28="هزینه"),1,0)</f>
        <v/>
      </c>
      <c r="AB28">
        <f>SUM($AA$6:$AA28)</f>
        <v/>
      </c>
      <c r="AC28">
        <f>IFERROR(INDEX($E$6:$E$105,MATCH(ROW()-5,$AB$6:$AB$105,0)),"")</f>
        <v/>
      </c>
    </row>
    <row r="29">
      <c r="E29">
        <f>IF([1]SubGroups!$B$30="","",[1]SubGroups!$A$30)</f>
        <v/>
      </c>
      <c r="F29">
        <f>IF([1]SubGroups!$B$30="","",[1]SubGroups!$B$30)</f>
        <v/>
      </c>
      <c r="G29">
        <f>IF([1]SubGroups!$B$30="","",[1]SubGroups!$C$30)</f>
        <v/>
      </c>
      <c r="H29">
        <f>IF([1]SubGroups!$B$30="","",[1]SubGroups!$D$30)</f>
        <v/>
      </c>
      <c r="J29">
        <f>IF([1]Accounts!$D$30="","",[1]Accounts!$A$30)</f>
        <v/>
      </c>
      <c r="K29">
        <f>IF([1]Accounts!$D$30="","",[1]Accounts!$B$30)</f>
        <v/>
      </c>
      <c r="L29">
        <f>IF([1]Accounts!$D$30="","",[1]Accounts!$C$30)</f>
        <v/>
      </c>
      <c r="M29">
        <f>IF([1]Accounts!$D$30="","",[1]Accounts!$D$30)</f>
        <v/>
      </c>
      <c r="P29">
        <f>IF([2]Entry!$C$32="","",[2]Entry!$C$32)</f>
        <v/>
      </c>
      <c r="Q29">
        <f>IF([2]Entry!$D$32="","",[2]Entry!$D$32)</f>
        <v/>
      </c>
      <c r="R29">
        <f>IF([2]Entry!$E$32="","",[2]Entry!$E$32)</f>
        <v/>
      </c>
      <c r="S29">
        <f>IF([2]Entry!$G$32="","",[2]Entry!$G$32)</f>
        <v/>
      </c>
      <c r="T29">
        <f>IF([2]Entry!$J$32="","",[2]Entry!$J$32)</f>
        <v/>
      </c>
      <c r="U29">
        <f>IF([2]Entry!$K$32="","",[2]Entry!$K$32)</f>
        <v/>
      </c>
      <c r="V29">
        <f>IF([2]Entry!$L$32="","",[2]Entry!$L$32)</f>
        <v/>
      </c>
      <c r="W29">
        <f>IF([2]Entry!$M$32="","",[2]Entry!$M$32)</f>
        <v/>
      </c>
      <c r="X29">
        <f>IF([2]Entry!$N$32="","",[2]Entry!$N$32)</f>
        <v/>
      </c>
      <c r="Y29">
        <f>IF([2]Entry!$R$32="","",[2]Entry!$R$32)</f>
        <v/>
      </c>
      <c r="AA29">
        <f>IF(AND($E29&lt;&gt;"",$G29&lt;&gt;"",$F29="هزینه"),1,0)</f>
        <v/>
      </c>
      <c r="AB29">
        <f>SUM($AA$6:$AA29)</f>
        <v/>
      </c>
      <c r="AC29">
        <f>IFERROR(INDEX($E$6:$E$105,MATCH(ROW()-5,$AB$6:$AB$105,0)),"")</f>
        <v/>
      </c>
    </row>
    <row r="30">
      <c r="E30">
        <f>IF([1]SubGroups!$B$31="","",[1]SubGroups!$A$31)</f>
        <v/>
      </c>
      <c r="F30">
        <f>IF([1]SubGroups!$B$31="","",[1]SubGroups!$B$31)</f>
        <v/>
      </c>
      <c r="G30">
        <f>IF([1]SubGroups!$B$31="","",[1]SubGroups!$C$31)</f>
        <v/>
      </c>
      <c r="H30">
        <f>IF([1]SubGroups!$B$31="","",[1]SubGroups!$D$31)</f>
        <v/>
      </c>
      <c r="J30">
        <f>IF([1]Accounts!$D$31="","",[1]Accounts!$A$31)</f>
        <v/>
      </c>
      <c r="K30">
        <f>IF([1]Accounts!$D$31="","",[1]Accounts!$B$31)</f>
        <v/>
      </c>
      <c r="L30">
        <f>IF([1]Accounts!$D$31="","",[1]Accounts!$C$31)</f>
        <v/>
      </c>
      <c r="M30">
        <f>IF([1]Accounts!$D$31="","",[1]Accounts!$D$31)</f>
        <v/>
      </c>
      <c r="P30">
        <f>IF([2]Entry!$C$33="","",[2]Entry!$C$33)</f>
        <v/>
      </c>
      <c r="Q30">
        <f>IF([2]Entry!$D$33="","",[2]Entry!$D$33)</f>
        <v/>
      </c>
      <c r="R30">
        <f>IF([2]Entry!$E$33="","",[2]Entry!$E$33)</f>
        <v/>
      </c>
      <c r="S30">
        <f>IF([2]Entry!$G$33="","",[2]Entry!$G$33)</f>
        <v/>
      </c>
      <c r="T30">
        <f>IF([2]Entry!$J$33="","",[2]Entry!$J$33)</f>
        <v/>
      </c>
      <c r="U30">
        <f>IF([2]Entry!$K$33="","",[2]Entry!$K$33)</f>
        <v/>
      </c>
      <c r="V30">
        <f>IF([2]Entry!$L$33="","",[2]Entry!$L$33)</f>
        <v/>
      </c>
      <c r="W30">
        <f>IF([2]Entry!$M$33="","",[2]Entry!$M$33)</f>
        <v/>
      </c>
      <c r="X30">
        <f>IF([2]Entry!$N$33="","",[2]Entry!$N$33)</f>
        <v/>
      </c>
      <c r="Y30">
        <f>IF([2]Entry!$R$33="","",[2]Entry!$R$33)</f>
        <v/>
      </c>
      <c r="AA30">
        <f>IF(AND($E30&lt;&gt;"",$G30&lt;&gt;"",$F30="هزینه"),1,0)</f>
        <v/>
      </c>
      <c r="AB30">
        <f>SUM($AA$6:$AA30)</f>
        <v/>
      </c>
      <c r="AC30">
        <f>IFERROR(INDEX($E$6:$E$105,MATCH(ROW()-5,$AB$6:$AB$105,0)),"")</f>
        <v/>
      </c>
    </row>
    <row r="31">
      <c r="E31">
        <f>IF([1]SubGroups!$B$32="","",[1]SubGroups!$A$32)</f>
        <v/>
      </c>
      <c r="F31">
        <f>IF([1]SubGroups!$B$32="","",[1]SubGroups!$B$32)</f>
        <v/>
      </c>
      <c r="G31">
        <f>IF([1]SubGroups!$B$32="","",[1]SubGroups!$C$32)</f>
        <v/>
      </c>
      <c r="H31">
        <f>IF([1]SubGroups!$B$32="","",[1]SubGroups!$D$32)</f>
        <v/>
      </c>
      <c r="J31">
        <f>IF([1]Accounts!$D$32="","",[1]Accounts!$A$32)</f>
        <v/>
      </c>
      <c r="K31">
        <f>IF([1]Accounts!$D$32="","",[1]Accounts!$B$32)</f>
        <v/>
      </c>
      <c r="L31">
        <f>IF([1]Accounts!$D$32="","",[1]Accounts!$C$32)</f>
        <v/>
      </c>
      <c r="M31">
        <f>IF([1]Accounts!$D$32="","",[1]Accounts!$D$32)</f>
        <v/>
      </c>
      <c r="P31">
        <f>IF([2]Entry!$C$34="","",[2]Entry!$C$34)</f>
        <v/>
      </c>
      <c r="Q31">
        <f>IF([2]Entry!$D$34="","",[2]Entry!$D$34)</f>
        <v/>
      </c>
      <c r="R31">
        <f>IF([2]Entry!$E$34="","",[2]Entry!$E$34)</f>
        <v/>
      </c>
      <c r="S31">
        <f>IF([2]Entry!$G$34="","",[2]Entry!$G$34)</f>
        <v/>
      </c>
      <c r="T31">
        <f>IF([2]Entry!$J$34="","",[2]Entry!$J$34)</f>
        <v/>
      </c>
      <c r="U31">
        <f>IF([2]Entry!$K$34="","",[2]Entry!$K$34)</f>
        <v/>
      </c>
      <c r="V31">
        <f>IF([2]Entry!$L$34="","",[2]Entry!$L$34)</f>
        <v/>
      </c>
      <c r="W31">
        <f>IF([2]Entry!$M$34="","",[2]Entry!$M$34)</f>
        <v/>
      </c>
      <c r="X31">
        <f>IF([2]Entry!$N$34="","",[2]Entry!$N$34)</f>
        <v/>
      </c>
      <c r="Y31">
        <f>IF([2]Entry!$R$34="","",[2]Entry!$R$34)</f>
        <v/>
      </c>
      <c r="AA31">
        <f>IF(AND($E31&lt;&gt;"",$G31&lt;&gt;"",$F31="هزینه"),1,0)</f>
        <v/>
      </c>
      <c r="AB31">
        <f>SUM($AA$6:$AA31)</f>
        <v/>
      </c>
      <c r="AC31">
        <f>IFERROR(INDEX($E$6:$E$105,MATCH(ROW()-5,$AB$6:$AB$105,0)),"")</f>
        <v/>
      </c>
    </row>
    <row r="32">
      <c r="E32">
        <f>IF([1]SubGroups!$B$33="","",[1]SubGroups!$A$33)</f>
        <v/>
      </c>
      <c r="F32">
        <f>IF([1]SubGroups!$B$33="","",[1]SubGroups!$B$33)</f>
        <v/>
      </c>
      <c r="G32">
        <f>IF([1]SubGroups!$B$33="","",[1]SubGroups!$C$33)</f>
        <v/>
      </c>
      <c r="H32">
        <f>IF([1]SubGroups!$B$33="","",[1]SubGroups!$D$33)</f>
        <v/>
      </c>
      <c r="J32">
        <f>IF([1]Accounts!$D$33="","",[1]Accounts!$A$33)</f>
        <v/>
      </c>
      <c r="K32">
        <f>IF([1]Accounts!$D$33="","",[1]Accounts!$B$33)</f>
        <v/>
      </c>
      <c r="L32">
        <f>IF([1]Accounts!$D$33="","",[1]Accounts!$C$33)</f>
        <v/>
      </c>
      <c r="M32">
        <f>IF([1]Accounts!$D$33="","",[1]Accounts!$D$33)</f>
        <v/>
      </c>
      <c r="P32">
        <f>IF([2]Entry!$C$35="","",[2]Entry!$C$35)</f>
        <v/>
      </c>
      <c r="Q32">
        <f>IF([2]Entry!$D$35="","",[2]Entry!$D$35)</f>
        <v/>
      </c>
      <c r="R32">
        <f>IF([2]Entry!$E$35="","",[2]Entry!$E$35)</f>
        <v/>
      </c>
      <c r="S32">
        <f>IF([2]Entry!$G$35="","",[2]Entry!$G$35)</f>
        <v/>
      </c>
      <c r="T32">
        <f>IF([2]Entry!$J$35="","",[2]Entry!$J$35)</f>
        <v/>
      </c>
      <c r="U32">
        <f>IF([2]Entry!$K$35="","",[2]Entry!$K$35)</f>
        <v/>
      </c>
      <c r="V32">
        <f>IF([2]Entry!$L$35="","",[2]Entry!$L$35)</f>
        <v/>
      </c>
      <c r="W32">
        <f>IF([2]Entry!$M$35="","",[2]Entry!$M$35)</f>
        <v/>
      </c>
      <c r="X32">
        <f>IF([2]Entry!$N$35="","",[2]Entry!$N$35)</f>
        <v/>
      </c>
      <c r="Y32">
        <f>IF([2]Entry!$R$35="","",[2]Entry!$R$35)</f>
        <v/>
      </c>
      <c r="AA32">
        <f>IF(AND($E32&lt;&gt;"",$G32&lt;&gt;"",$F32="هزینه"),1,0)</f>
        <v/>
      </c>
      <c r="AB32">
        <f>SUM($AA$6:$AA32)</f>
        <v/>
      </c>
      <c r="AC32">
        <f>IFERROR(INDEX($E$6:$E$105,MATCH(ROW()-5,$AB$6:$AB$105,0)),"")</f>
        <v/>
      </c>
    </row>
    <row r="33">
      <c r="E33">
        <f>IF([1]SubGroups!$B$34="","",[1]SubGroups!$A$34)</f>
        <v/>
      </c>
      <c r="F33">
        <f>IF([1]SubGroups!$B$34="","",[1]SubGroups!$B$34)</f>
        <v/>
      </c>
      <c r="G33">
        <f>IF([1]SubGroups!$B$34="","",[1]SubGroups!$C$34)</f>
        <v/>
      </c>
      <c r="H33">
        <f>IF([1]SubGroups!$B$34="","",[1]SubGroups!$D$34)</f>
        <v/>
      </c>
      <c r="J33">
        <f>IF([1]Accounts!$D$34="","",[1]Accounts!$A$34)</f>
        <v/>
      </c>
      <c r="K33">
        <f>IF([1]Accounts!$D$34="","",[1]Accounts!$B$34)</f>
        <v/>
      </c>
      <c r="L33">
        <f>IF([1]Accounts!$D$34="","",[1]Accounts!$C$34)</f>
        <v/>
      </c>
      <c r="M33">
        <f>IF([1]Accounts!$D$34="","",[1]Accounts!$D$34)</f>
        <v/>
      </c>
      <c r="P33">
        <f>IF([2]Entry!$C$36="","",[2]Entry!$C$36)</f>
        <v/>
      </c>
      <c r="Q33">
        <f>IF([2]Entry!$D$36="","",[2]Entry!$D$36)</f>
        <v/>
      </c>
      <c r="R33">
        <f>IF([2]Entry!$E$36="","",[2]Entry!$E$36)</f>
        <v/>
      </c>
      <c r="S33">
        <f>IF([2]Entry!$G$36="","",[2]Entry!$G$36)</f>
        <v/>
      </c>
      <c r="T33">
        <f>IF([2]Entry!$J$36="","",[2]Entry!$J$36)</f>
        <v/>
      </c>
      <c r="U33">
        <f>IF([2]Entry!$K$36="","",[2]Entry!$K$36)</f>
        <v/>
      </c>
      <c r="V33">
        <f>IF([2]Entry!$L$36="","",[2]Entry!$L$36)</f>
        <v/>
      </c>
      <c r="W33">
        <f>IF([2]Entry!$M$36="","",[2]Entry!$M$36)</f>
        <v/>
      </c>
      <c r="X33">
        <f>IF([2]Entry!$N$36="","",[2]Entry!$N$36)</f>
        <v/>
      </c>
      <c r="Y33">
        <f>IF([2]Entry!$R$36="","",[2]Entry!$R$36)</f>
        <v/>
      </c>
      <c r="AA33">
        <f>IF(AND($E33&lt;&gt;"",$G33&lt;&gt;"",$F33="هزینه"),1,0)</f>
        <v/>
      </c>
      <c r="AB33">
        <f>SUM($AA$6:$AA33)</f>
        <v/>
      </c>
      <c r="AC33">
        <f>IFERROR(INDEX($E$6:$E$105,MATCH(ROW()-5,$AB$6:$AB$105,0)),"")</f>
        <v/>
      </c>
    </row>
    <row r="34">
      <c r="E34">
        <f>IF([1]SubGroups!$B$35="","",[1]SubGroups!$A$35)</f>
        <v/>
      </c>
      <c r="F34">
        <f>IF([1]SubGroups!$B$35="","",[1]SubGroups!$B$35)</f>
        <v/>
      </c>
      <c r="G34">
        <f>IF([1]SubGroups!$B$35="","",[1]SubGroups!$C$35)</f>
        <v/>
      </c>
      <c r="H34">
        <f>IF([1]SubGroups!$B$35="","",[1]SubGroups!$D$35)</f>
        <v/>
      </c>
      <c r="J34">
        <f>IF([1]Accounts!$D$35="","",[1]Accounts!$A$35)</f>
        <v/>
      </c>
      <c r="K34">
        <f>IF([1]Accounts!$D$35="","",[1]Accounts!$B$35)</f>
        <v/>
      </c>
      <c r="L34">
        <f>IF([1]Accounts!$D$35="","",[1]Accounts!$C$35)</f>
        <v/>
      </c>
      <c r="M34">
        <f>IF([1]Accounts!$D$35="","",[1]Accounts!$D$35)</f>
        <v/>
      </c>
      <c r="P34">
        <f>IF([2]Entry!$C$37="","",[2]Entry!$C$37)</f>
        <v/>
      </c>
      <c r="Q34">
        <f>IF([2]Entry!$D$37="","",[2]Entry!$D$37)</f>
        <v/>
      </c>
      <c r="R34">
        <f>IF([2]Entry!$E$37="","",[2]Entry!$E$37)</f>
        <v/>
      </c>
      <c r="S34">
        <f>IF([2]Entry!$G$37="","",[2]Entry!$G$37)</f>
        <v/>
      </c>
      <c r="T34">
        <f>IF([2]Entry!$J$37="","",[2]Entry!$J$37)</f>
        <v/>
      </c>
      <c r="U34">
        <f>IF([2]Entry!$K$37="","",[2]Entry!$K$37)</f>
        <v/>
      </c>
      <c r="V34">
        <f>IF([2]Entry!$L$37="","",[2]Entry!$L$37)</f>
        <v/>
      </c>
      <c r="W34">
        <f>IF([2]Entry!$M$37="","",[2]Entry!$M$37)</f>
        <v/>
      </c>
      <c r="X34">
        <f>IF([2]Entry!$N$37="","",[2]Entry!$N$37)</f>
        <v/>
      </c>
      <c r="Y34">
        <f>IF([2]Entry!$R$37="","",[2]Entry!$R$37)</f>
        <v/>
      </c>
      <c r="AA34">
        <f>IF(AND($E34&lt;&gt;"",$G34&lt;&gt;"",$F34="هزینه"),1,0)</f>
        <v/>
      </c>
      <c r="AB34">
        <f>SUM($AA$6:$AA34)</f>
        <v/>
      </c>
      <c r="AC34">
        <f>IFERROR(INDEX($E$6:$E$105,MATCH(ROW()-5,$AB$6:$AB$105,0)),"")</f>
        <v/>
      </c>
    </row>
    <row r="35">
      <c r="E35">
        <f>IF([1]SubGroups!$B$36="","",[1]SubGroups!$A$36)</f>
        <v/>
      </c>
      <c r="F35">
        <f>IF([1]SubGroups!$B$36="","",[1]SubGroups!$B$36)</f>
        <v/>
      </c>
      <c r="G35">
        <f>IF([1]SubGroups!$B$36="","",[1]SubGroups!$C$36)</f>
        <v/>
      </c>
      <c r="H35">
        <f>IF([1]SubGroups!$B$36="","",[1]SubGroups!$D$36)</f>
        <v/>
      </c>
      <c r="J35">
        <f>IF([1]Accounts!$D$36="","",[1]Accounts!$A$36)</f>
        <v/>
      </c>
      <c r="K35">
        <f>IF([1]Accounts!$D$36="","",[1]Accounts!$B$36)</f>
        <v/>
      </c>
      <c r="L35">
        <f>IF([1]Accounts!$D$36="","",[1]Accounts!$C$36)</f>
        <v/>
      </c>
      <c r="M35">
        <f>IF([1]Accounts!$D$36="","",[1]Accounts!$D$36)</f>
        <v/>
      </c>
      <c r="P35">
        <f>IF([2]Entry!$C$38="","",[2]Entry!$C$38)</f>
        <v/>
      </c>
      <c r="Q35">
        <f>IF([2]Entry!$D$38="","",[2]Entry!$D$38)</f>
        <v/>
      </c>
      <c r="R35">
        <f>IF([2]Entry!$E$38="","",[2]Entry!$E$38)</f>
        <v/>
      </c>
      <c r="S35">
        <f>IF([2]Entry!$G$38="","",[2]Entry!$G$38)</f>
        <v/>
      </c>
      <c r="T35">
        <f>IF([2]Entry!$J$38="","",[2]Entry!$J$38)</f>
        <v/>
      </c>
      <c r="U35">
        <f>IF([2]Entry!$K$38="","",[2]Entry!$K$38)</f>
        <v/>
      </c>
      <c r="V35">
        <f>IF([2]Entry!$L$38="","",[2]Entry!$L$38)</f>
        <v/>
      </c>
      <c r="W35">
        <f>IF([2]Entry!$M$38="","",[2]Entry!$M$38)</f>
        <v/>
      </c>
      <c r="X35">
        <f>IF([2]Entry!$N$38="","",[2]Entry!$N$38)</f>
        <v/>
      </c>
      <c r="Y35">
        <f>IF([2]Entry!$R$38="","",[2]Entry!$R$38)</f>
        <v/>
      </c>
      <c r="AA35">
        <f>IF(AND($E35&lt;&gt;"",$G35&lt;&gt;"",$F35="هزینه"),1,0)</f>
        <v/>
      </c>
      <c r="AB35">
        <f>SUM($AA$6:$AA35)</f>
        <v/>
      </c>
      <c r="AC35">
        <f>IFERROR(INDEX($E$6:$E$105,MATCH(ROW()-5,$AB$6:$AB$105,0)),"")</f>
        <v/>
      </c>
    </row>
    <row r="36">
      <c r="E36">
        <f>IF([1]SubGroups!$B$37="","",[1]SubGroups!$A$37)</f>
        <v/>
      </c>
      <c r="F36">
        <f>IF([1]SubGroups!$B$37="","",[1]SubGroups!$B$37)</f>
        <v/>
      </c>
      <c r="G36">
        <f>IF([1]SubGroups!$B$37="","",[1]SubGroups!$C$37)</f>
        <v/>
      </c>
      <c r="H36">
        <f>IF([1]SubGroups!$B$37="","",[1]SubGroups!$D$37)</f>
        <v/>
      </c>
      <c r="J36">
        <f>IF([1]Accounts!$D$37="","",[1]Accounts!$A$37)</f>
        <v/>
      </c>
      <c r="K36">
        <f>IF([1]Accounts!$D$37="","",[1]Accounts!$B$37)</f>
        <v/>
      </c>
      <c r="L36">
        <f>IF([1]Accounts!$D$37="","",[1]Accounts!$C$37)</f>
        <v/>
      </c>
      <c r="M36">
        <f>IF([1]Accounts!$D$37="","",[1]Accounts!$D$37)</f>
        <v/>
      </c>
      <c r="P36">
        <f>IF([2]Entry!$C$39="","",[2]Entry!$C$39)</f>
        <v/>
      </c>
      <c r="Q36">
        <f>IF([2]Entry!$D$39="","",[2]Entry!$D$39)</f>
        <v/>
      </c>
      <c r="R36">
        <f>IF([2]Entry!$E$39="","",[2]Entry!$E$39)</f>
        <v/>
      </c>
      <c r="S36">
        <f>IF([2]Entry!$G$39="","",[2]Entry!$G$39)</f>
        <v/>
      </c>
      <c r="T36">
        <f>IF([2]Entry!$J$39="","",[2]Entry!$J$39)</f>
        <v/>
      </c>
      <c r="U36">
        <f>IF([2]Entry!$K$39="","",[2]Entry!$K$39)</f>
        <v/>
      </c>
      <c r="V36">
        <f>IF([2]Entry!$L$39="","",[2]Entry!$L$39)</f>
        <v/>
      </c>
      <c r="W36">
        <f>IF([2]Entry!$M$39="","",[2]Entry!$M$39)</f>
        <v/>
      </c>
      <c r="X36">
        <f>IF([2]Entry!$N$39="","",[2]Entry!$N$39)</f>
        <v/>
      </c>
      <c r="Y36">
        <f>IF([2]Entry!$R$39="","",[2]Entry!$R$39)</f>
        <v/>
      </c>
      <c r="AA36">
        <f>IF(AND($E36&lt;&gt;"",$G36&lt;&gt;"",$F36="هزینه"),1,0)</f>
        <v/>
      </c>
      <c r="AB36">
        <f>SUM($AA$6:$AA36)</f>
        <v/>
      </c>
      <c r="AC36">
        <f>IFERROR(INDEX($E$6:$E$105,MATCH(ROW()-5,$AB$6:$AB$105,0)),"")</f>
        <v/>
      </c>
    </row>
    <row r="37">
      <c r="E37">
        <f>IF([1]SubGroups!$B$38="","",[1]SubGroups!$A$38)</f>
        <v/>
      </c>
      <c r="F37">
        <f>IF([1]SubGroups!$B$38="","",[1]SubGroups!$B$38)</f>
        <v/>
      </c>
      <c r="G37">
        <f>IF([1]SubGroups!$B$38="","",[1]SubGroups!$C$38)</f>
        <v/>
      </c>
      <c r="H37">
        <f>IF([1]SubGroups!$B$38="","",[1]SubGroups!$D$38)</f>
        <v/>
      </c>
      <c r="J37">
        <f>IF([1]Accounts!$D$38="","",[1]Accounts!$A$38)</f>
        <v/>
      </c>
      <c r="K37">
        <f>IF([1]Accounts!$D$38="","",[1]Accounts!$B$38)</f>
        <v/>
      </c>
      <c r="L37">
        <f>IF([1]Accounts!$D$38="","",[1]Accounts!$C$38)</f>
        <v/>
      </c>
      <c r="M37">
        <f>IF([1]Accounts!$D$38="","",[1]Accounts!$D$38)</f>
        <v/>
      </c>
      <c r="P37">
        <f>IF([2]Entry!$C$40="","",[2]Entry!$C$40)</f>
        <v/>
      </c>
      <c r="Q37">
        <f>IF([2]Entry!$D$40="","",[2]Entry!$D$40)</f>
        <v/>
      </c>
      <c r="R37">
        <f>IF([2]Entry!$E$40="","",[2]Entry!$E$40)</f>
        <v/>
      </c>
      <c r="S37">
        <f>IF([2]Entry!$G$40="","",[2]Entry!$G$40)</f>
        <v/>
      </c>
      <c r="T37">
        <f>IF([2]Entry!$J$40="","",[2]Entry!$J$40)</f>
        <v/>
      </c>
      <c r="U37">
        <f>IF([2]Entry!$K$40="","",[2]Entry!$K$40)</f>
        <v/>
      </c>
      <c r="V37">
        <f>IF([2]Entry!$L$40="","",[2]Entry!$L$40)</f>
        <v/>
      </c>
      <c r="W37">
        <f>IF([2]Entry!$M$40="","",[2]Entry!$M$40)</f>
        <v/>
      </c>
      <c r="X37">
        <f>IF([2]Entry!$N$40="","",[2]Entry!$N$40)</f>
        <v/>
      </c>
      <c r="Y37">
        <f>IF([2]Entry!$R$40="","",[2]Entry!$R$40)</f>
        <v/>
      </c>
      <c r="AA37">
        <f>IF(AND($E37&lt;&gt;"",$G37&lt;&gt;"",$F37="هزینه"),1,0)</f>
        <v/>
      </c>
      <c r="AB37">
        <f>SUM($AA$6:$AA37)</f>
        <v/>
      </c>
      <c r="AC37">
        <f>IFERROR(INDEX($E$6:$E$105,MATCH(ROW()-5,$AB$6:$AB$105,0)),"")</f>
        <v/>
      </c>
    </row>
    <row r="38">
      <c r="E38">
        <f>IF([1]SubGroups!$B$39="","",[1]SubGroups!$A$39)</f>
        <v/>
      </c>
      <c r="F38">
        <f>IF([1]SubGroups!$B$39="","",[1]SubGroups!$B$39)</f>
        <v/>
      </c>
      <c r="G38">
        <f>IF([1]SubGroups!$B$39="","",[1]SubGroups!$C$39)</f>
        <v/>
      </c>
      <c r="H38">
        <f>IF([1]SubGroups!$B$39="","",[1]SubGroups!$D$39)</f>
        <v/>
      </c>
      <c r="J38">
        <f>IF([1]Accounts!$D$39="","",[1]Accounts!$A$39)</f>
        <v/>
      </c>
      <c r="K38">
        <f>IF([1]Accounts!$D$39="","",[1]Accounts!$B$39)</f>
        <v/>
      </c>
      <c r="L38">
        <f>IF([1]Accounts!$D$39="","",[1]Accounts!$C$39)</f>
        <v/>
      </c>
      <c r="M38">
        <f>IF([1]Accounts!$D$39="","",[1]Accounts!$D$39)</f>
        <v/>
      </c>
      <c r="P38">
        <f>IF([2]Entry!$C$41="","",[2]Entry!$C$41)</f>
        <v/>
      </c>
      <c r="Q38">
        <f>IF([2]Entry!$D$41="","",[2]Entry!$D$41)</f>
        <v/>
      </c>
      <c r="R38">
        <f>IF([2]Entry!$E$41="","",[2]Entry!$E$41)</f>
        <v/>
      </c>
      <c r="S38">
        <f>IF([2]Entry!$G$41="","",[2]Entry!$G$41)</f>
        <v/>
      </c>
      <c r="T38">
        <f>IF([2]Entry!$J$41="","",[2]Entry!$J$41)</f>
        <v/>
      </c>
      <c r="U38">
        <f>IF([2]Entry!$K$41="","",[2]Entry!$K$41)</f>
        <v/>
      </c>
      <c r="V38">
        <f>IF([2]Entry!$L$41="","",[2]Entry!$L$41)</f>
        <v/>
      </c>
      <c r="W38">
        <f>IF([2]Entry!$M$41="","",[2]Entry!$M$41)</f>
        <v/>
      </c>
      <c r="X38">
        <f>IF([2]Entry!$N$41="","",[2]Entry!$N$41)</f>
        <v/>
      </c>
      <c r="Y38">
        <f>IF([2]Entry!$R$41="","",[2]Entry!$R$41)</f>
        <v/>
      </c>
      <c r="AA38">
        <f>IF(AND($E38&lt;&gt;"",$G38&lt;&gt;"",$F38="هزینه"),1,0)</f>
        <v/>
      </c>
      <c r="AB38">
        <f>SUM($AA$6:$AA38)</f>
        <v/>
      </c>
      <c r="AC38">
        <f>IFERROR(INDEX($E$6:$E$105,MATCH(ROW()-5,$AB$6:$AB$105,0)),"")</f>
        <v/>
      </c>
    </row>
    <row r="39">
      <c r="E39">
        <f>IF([1]SubGroups!$B$40="","",[1]SubGroups!$A$40)</f>
        <v/>
      </c>
      <c r="F39">
        <f>IF([1]SubGroups!$B$40="","",[1]SubGroups!$B$40)</f>
        <v/>
      </c>
      <c r="G39">
        <f>IF([1]SubGroups!$B$40="","",[1]SubGroups!$C$40)</f>
        <v/>
      </c>
      <c r="H39">
        <f>IF([1]SubGroups!$B$40="","",[1]SubGroups!$D$40)</f>
        <v/>
      </c>
      <c r="J39">
        <f>IF([1]Accounts!$D$40="","",[1]Accounts!$A$40)</f>
        <v/>
      </c>
      <c r="K39">
        <f>IF([1]Accounts!$D$40="","",[1]Accounts!$B$40)</f>
        <v/>
      </c>
      <c r="L39">
        <f>IF([1]Accounts!$D$40="","",[1]Accounts!$C$40)</f>
        <v/>
      </c>
      <c r="M39">
        <f>IF([1]Accounts!$D$40="","",[1]Accounts!$D$40)</f>
        <v/>
      </c>
      <c r="P39">
        <f>IF([2]Entry!$C$42="","",[2]Entry!$C$42)</f>
        <v/>
      </c>
      <c r="Q39">
        <f>IF([2]Entry!$D$42="","",[2]Entry!$D$42)</f>
        <v/>
      </c>
      <c r="R39">
        <f>IF([2]Entry!$E$42="","",[2]Entry!$E$42)</f>
        <v/>
      </c>
      <c r="S39">
        <f>IF([2]Entry!$G$42="","",[2]Entry!$G$42)</f>
        <v/>
      </c>
      <c r="T39">
        <f>IF([2]Entry!$J$42="","",[2]Entry!$J$42)</f>
        <v/>
      </c>
      <c r="U39">
        <f>IF([2]Entry!$K$42="","",[2]Entry!$K$42)</f>
        <v/>
      </c>
      <c r="V39">
        <f>IF([2]Entry!$L$42="","",[2]Entry!$L$42)</f>
        <v/>
      </c>
      <c r="W39">
        <f>IF([2]Entry!$M$42="","",[2]Entry!$M$42)</f>
        <v/>
      </c>
      <c r="X39">
        <f>IF([2]Entry!$N$42="","",[2]Entry!$N$42)</f>
        <v/>
      </c>
      <c r="Y39">
        <f>IF([2]Entry!$R$42="","",[2]Entry!$R$42)</f>
        <v/>
      </c>
      <c r="AA39">
        <f>IF(AND($E39&lt;&gt;"",$G39&lt;&gt;"",$F39="هزینه"),1,0)</f>
        <v/>
      </c>
      <c r="AB39">
        <f>SUM($AA$6:$AA39)</f>
        <v/>
      </c>
      <c r="AC39">
        <f>IFERROR(INDEX($E$6:$E$105,MATCH(ROW()-5,$AB$6:$AB$105,0)),"")</f>
        <v/>
      </c>
    </row>
    <row r="40">
      <c r="E40">
        <f>IF([1]SubGroups!$B$41="","",[1]SubGroups!$A$41)</f>
        <v/>
      </c>
      <c r="F40">
        <f>IF([1]SubGroups!$B$41="","",[1]SubGroups!$B$41)</f>
        <v/>
      </c>
      <c r="G40">
        <f>IF([1]SubGroups!$B$41="","",[1]SubGroups!$C$41)</f>
        <v/>
      </c>
      <c r="H40">
        <f>IF([1]SubGroups!$B$41="","",[1]SubGroups!$D$41)</f>
        <v/>
      </c>
      <c r="J40">
        <f>IF([1]Accounts!$D$41="","",[1]Accounts!$A$41)</f>
        <v/>
      </c>
      <c r="K40">
        <f>IF([1]Accounts!$D$41="","",[1]Accounts!$B$41)</f>
        <v/>
      </c>
      <c r="L40">
        <f>IF([1]Accounts!$D$41="","",[1]Accounts!$C$41)</f>
        <v/>
      </c>
      <c r="M40">
        <f>IF([1]Accounts!$D$41="","",[1]Accounts!$D$41)</f>
        <v/>
      </c>
      <c r="P40">
        <f>IF([2]Entry!$C$43="","",[2]Entry!$C$43)</f>
        <v/>
      </c>
      <c r="Q40">
        <f>IF([2]Entry!$D$43="","",[2]Entry!$D$43)</f>
        <v/>
      </c>
      <c r="R40">
        <f>IF([2]Entry!$E$43="","",[2]Entry!$E$43)</f>
        <v/>
      </c>
      <c r="S40">
        <f>IF([2]Entry!$G$43="","",[2]Entry!$G$43)</f>
        <v/>
      </c>
      <c r="T40">
        <f>IF([2]Entry!$J$43="","",[2]Entry!$J$43)</f>
        <v/>
      </c>
      <c r="U40">
        <f>IF([2]Entry!$K$43="","",[2]Entry!$K$43)</f>
        <v/>
      </c>
      <c r="V40">
        <f>IF([2]Entry!$L$43="","",[2]Entry!$L$43)</f>
        <v/>
      </c>
      <c r="W40">
        <f>IF([2]Entry!$M$43="","",[2]Entry!$M$43)</f>
        <v/>
      </c>
      <c r="X40">
        <f>IF([2]Entry!$N$43="","",[2]Entry!$N$43)</f>
        <v/>
      </c>
      <c r="Y40">
        <f>IF([2]Entry!$R$43="","",[2]Entry!$R$43)</f>
        <v/>
      </c>
      <c r="AA40">
        <f>IF(AND($E40&lt;&gt;"",$G40&lt;&gt;"",$F40="هزینه"),1,0)</f>
        <v/>
      </c>
      <c r="AB40">
        <f>SUM($AA$6:$AA40)</f>
        <v/>
      </c>
      <c r="AC40">
        <f>IFERROR(INDEX($E$6:$E$105,MATCH(ROW()-5,$AB$6:$AB$105,0)),"")</f>
        <v/>
      </c>
    </row>
    <row r="41">
      <c r="E41">
        <f>IF([1]SubGroups!$B$42="","",[1]SubGroups!$A$42)</f>
        <v/>
      </c>
      <c r="F41">
        <f>IF([1]SubGroups!$B$42="","",[1]SubGroups!$B$42)</f>
        <v/>
      </c>
      <c r="G41">
        <f>IF([1]SubGroups!$B$42="","",[1]SubGroups!$C$42)</f>
        <v/>
      </c>
      <c r="H41">
        <f>IF([1]SubGroups!$B$42="","",[1]SubGroups!$D$42)</f>
        <v/>
      </c>
      <c r="J41">
        <f>IF([1]Accounts!$D$42="","",[1]Accounts!$A$42)</f>
        <v/>
      </c>
      <c r="K41">
        <f>IF([1]Accounts!$D$42="","",[1]Accounts!$B$42)</f>
        <v/>
      </c>
      <c r="L41">
        <f>IF([1]Accounts!$D$42="","",[1]Accounts!$C$42)</f>
        <v/>
      </c>
      <c r="M41">
        <f>IF([1]Accounts!$D$42="","",[1]Accounts!$D$42)</f>
        <v/>
      </c>
      <c r="P41">
        <f>IF([2]Entry!$C$44="","",[2]Entry!$C$44)</f>
        <v/>
      </c>
      <c r="Q41">
        <f>IF([2]Entry!$D$44="","",[2]Entry!$D$44)</f>
        <v/>
      </c>
      <c r="R41">
        <f>IF([2]Entry!$E$44="","",[2]Entry!$E$44)</f>
        <v/>
      </c>
      <c r="S41">
        <f>IF([2]Entry!$G$44="","",[2]Entry!$G$44)</f>
        <v/>
      </c>
      <c r="T41">
        <f>IF([2]Entry!$J$44="","",[2]Entry!$J$44)</f>
        <v/>
      </c>
      <c r="U41">
        <f>IF([2]Entry!$K$44="","",[2]Entry!$K$44)</f>
        <v/>
      </c>
      <c r="V41">
        <f>IF([2]Entry!$L$44="","",[2]Entry!$L$44)</f>
        <v/>
      </c>
      <c r="W41">
        <f>IF([2]Entry!$M$44="","",[2]Entry!$M$44)</f>
        <v/>
      </c>
      <c r="X41">
        <f>IF([2]Entry!$N$44="","",[2]Entry!$N$44)</f>
        <v/>
      </c>
      <c r="Y41">
        <f>IF([2]Entry!$R$44="","",[2]Entry!$R$44)</f>
        <v/>
      </c>
      <c r="AA41">
        <f>IF(AND($E41&lt;&gt;"",$G41&lt;&gt;"",$F41="هزینه"),1,0)</f>
        <v/>
      </c>
      <c r="AB41">
        <f>SUM($AA$6:$AA41)</f>
        <v/>
      </c>
      <c r="AC41">
        <f>IFERROR(INDEX($E$6:$E$105,MATCH(ROW()-5,$AB$6:$AB$105,0)),"")</f>
        <v/>
      </c>
    </row>
    <row r="42">
      <c r="E42">
        <f>IF([1]SubGroups!$B$43="","",[1]SubGroups!$A$43)</f>
        <v/>
      </c>
      <c r="F42">
        <f>IF([1]SubGroups!$B$43="","",[1]SubGroups!$B$43)</f>
        <v/>
      </c>
      <c r="G42">
        <f>IF([1]SubGroups!$B$43="","",[1]SubGroups!$C$43)</f>
        <v/>
      </c>
      <c r="H42">
        <f>IF([1]SubGroups!$B$43="","",[1]SubGroups!$D$43)</f>
        <v/>
      </c>
      <c r="J42">
        <f>IF([1]Accounts!$D$43="","",[1]Accounts!$A$43)</f>
        <v/>
      </c>
      <c r="K42">
        <f>IF([1]Accounts!$D$43="","",[1]Accounts!$B$43)</f>
        <v/>
      </c>
      <c r="L42">
        <f>IF([1]Accounts!$D$43="","",[1]Accounts!$C$43)</f>
        <v/>
      </c>
      <c r="M42">
        <f>IF([1]Accounts!$D$43="","",[1]Accounts!$D$43)</f>
        <v/>
      </c>
      <c r="P42">
        <f>IF([2]Entry!$C$45="","",[2]Entry!$C$45)</f>
        <v/>
      </c>
      <c r="Q42">
        <f>IF([2]Entry!$D$45="","",[2]Entry!$D$45)</f>
        <v/>
      </c>
      <c r="R42">
        <f>IF([2]Entry!$E$45="","",[2]Entry!$E$45)</f>
        <v/>
      </c>
      <c r="S42">
        <f>IF([2]Entry!$G$45="","",[2]Entry!$G$45)</f>
        <v/>
      </c>
      <c r="T42">
        <f>IF([2]Entry!$J$45="","",[2]Entry!$J$45)</f>
        <v/>
      </c>
      <c r="U42">
        <f>IF([2]Entry!$K$45="","",[2]Entry!$K$45)</f>
        <v/>
      </c>
      <c r="V42">
        <f>IF([2]Entry!$L$45="","",[2]Entry!$L$45)</f>
        <v/>
      </c>
      <c r="W42">
        <f>IF([2]Entry!$M$45="","",[2]Entry!$M$45)</f>
        <v/>
      </c>
      <c r="X42">
        <f>IF([2]Entry!$N$45="","",[2]Entry!$N$45)</f>
        <v/>
      </c>
      <c r="Y42">
        <f>IF([2]Entry!$R$45="","",[2]Entry!$R$45)</f>
        <v/>
      </c>
      <c r="AA42">
        <f>IF(AND($E42&lt;&gt;"",$G42&lt;&gt;"",$F42="هزینه"),1,0)</f>
        <v/>
      </c>
      <c r="AB42">
        <f>SUM($AA$6:$AA42)</f>
        <v/>
      </c>
      <c r="AC42">
        <f>IFERROR(INDEX($E$6:$E$105,MATCH(ROW()-5,$AB$6:$AB$105,0)),"")</f>
        <v/>
      </c>
    </row>
    <row r="43">
      <c r="E43">
        <f>IF([1]SubGroups!$B$44="","",[1]SubGroups!$A$44)</f>
        <v/>
      </c>
      <c r="F43">
        <f>IF([1]SubGroups!$B$44="","",[1]SubGroups!$B$44)</f>
        <v/>
      </c>
      <c r="G43">
        <f>IF([1]SubGroups!$B$44="","",[1]SubGroups!$C$44)</f>
        <v/>
      </c>
      <c r="H43">
        <f>IF([1]SubGroups!$B$44="","",[1]SubGroups!$D$44)</f>
        <v/>
      </c>
      <c r="J43">
        <f>IF([1]Accounts!$D$44="","",[1]Accounts!$A$44)</f>
        <v/>
      </c>
      <c r="K43">
        <f>IF([1]Accounts!$D$44="","",[1]Accounts!$B$44)</f>
        <v/>
      </c>
      <c r="L43">
        <f>IF([1]Accounts!$D$44="","",[1]Accounts!$C$44)</f>
        <v/>
      </c>
      <c r="M43">
        <f>IF([1]Accounts!$D$44="","",[1]Accounts!$D$44)</f>
        <v/>
      </c>
      <c r="P43">
        <f>IF([2]Entry!$C$46="","",[2]Entry!$C$46)</f>
        <v/>
      </c>
      <c r="Q43">
        <f>IF([2]Entry!$D$46="","",[2]Entry!$D$46)</f>
        <v/>
      </c>
      <c r="R43">
        <f>IF([2]Entry!$E$46="","",[2]Entry!$E$46)</f>
        <v/>
      </c>
      <c r="S43">
        <f>IF([2]Entry!$G$46="","",[2]Entry!$G$46)</f>
        <v/>
      </c>
      <c r="T43">
        <f>IF([2]Entry!$J$46="","",[2]Entry!$J$46)</f>
        <v/>
      </c>
      <c r="U43">
        <f>IF([2]Entry!$K$46="","",[2]Entry!$K$46)</f>
        <v/>
      </c>
      <c r="V43">
        <f>IF([2]Entry!$L$46="","",[2]Entry!$L$46)</f>
        <v/>
      </c>
      <c r="W43">
        <f>IF([2]Entry!$M$46="","",[2]Entry!$M$46)</f>
        <v/>
      </c>
      <c r="X43">
        <f>IF([2]Entry!$N$46="","",[2]Entry!$N$46)</f>
        <v/>
      </c>
      <c r="Y43">
        <f>IF([2]Entry!$R$46="","",[2]Entry!$R$46)</f>
        <v/>
      </c>
      <c r="AA43">
        <f>IF(AND($E43&lt;&gt;"",$G43&lt;&gt;"",$F43="هزینه"),1,0)</f>
        <v/>
      </c>
      <c r="AB43">
        <f>SUM($AA$6:$AA43)</f>
        <v/>
      </c>
      <c r="AC43">
        <f>IFERROR(INDEX($E$6:$E$105,MATCH(ROW()-5,$AB$6:$AB$105,0)),"")</f>
        <v/>
      </c>
    </row>
    <row r="44">
      <c r="E44">
        <f>IF([1]SubGroups!$B$45="","",[1]SubGroups!$A$45)</f>
        <v/>
      </c>
      <c r="F44">
        <f>IF([1]SubGroups!$B$45="","",[1]SubGroups!$B$45)</f>
        <v/>
      </c>
      <c r="G44">
        <f>IF([1]SubGroups!$B$45="","",[1]SubGroups!$C$45)</f>
        <v/>
      </c>
      <c r="H44">
        <f>IF([1]SubGroups!$B$45="","",[1]SubGroups!$D$45)</f>
        <v/>
      </c>
      <c r="J44">
        <f>IF([1]Accounts!$D$45="","",[1]Accounts!$A$45)</f>
        <v/>
      </c>
      <c r="K44">
        <f>IF([1]Accounts!$D$45="","",[1]Accounts!$B$45)</f>
        <v/>
      </c>
      <c r="L44">
        <f>IF([1]Accounts!$D$45="","",[1]Accounts!$C$45)</f>
        <v/>
      </c>
      <c r="M44">
        <f>IF([1]Accounts!$D$45="","",[1]Accounts!$D$45)</f>
        <v/>
      </c>
      <c r="P44">
        <f>IF([2]Entry!$C$47="","",[2]Entry!$C$47)</f>
        <v/>
      </c>
      <c r="Q44">
        <f>IF([2]Entry!$D$47="","",[2]Entry!$D$47)</f>
        <v/>
      </c>
      <c r="R44">
        <f>IF([2]Entry!$E$47="","",[2]Entry!$E$47)</f>
        <v/>
      </c>
      <c r="S44">
        <f>IF([2]Entry!$G$47="","",[2]Entry!$G$47)</f>
        <v/>
      </c>
      <c r="T44">
        <f>IF([2]Entry!$J$47="","",[2]Entry!$J$47)</f>
        <v/>
      </c>
      <c r="U44">
        <f>IF([2]Entry!$K$47="","",[2]Entry!$K$47)</f>
        <v/>
      </c>
      <c r="V44">
        <f>IF([2]Entry!$L$47="","",[2]Entry!$L$47)</f>
        <v/>
      </c>
      <c r="W44">
        <f>IF([2]Entry!$M$47="","",[2]Entry!$M$47)</f>
        <v/>
      </c>
      <c r="X44">
        <f>IF([2]Entry!$N$47="","",[2]Entry!$N$47)</f>
        <v/>
      </c>
      <c r="Y44">
        <f>IF([2]Entry!$R$47="","",[2]Entry!$R$47)</f>
        <v/>
      </c>
      <c r="AA44">
        <f>IF(AND($E44&lt;&gt;"",$G44&lt;&gt;"",$F44="هزینه"),1,0)</f>
        <v/>
      </c>
      <c r="AB44">
        <f>SUM($AA$6:$AA44)</f>
        <v/>
      </c>
      <c r="AC44">
        <f>IFERROR(INDEX($E$6:$E$105,MATCH(ROW()-5,$AB$6:$AB$105,0)),"")</f>
        <v/>
      </c>
    </row>
    <row r="45">
      <c r="E45">
        <f>IF([1]SubGroups!$B$46="","",[1]SubGroups!$A$46)</f>
        <v/>
      </c>
      <c r="F45">
        <f>IF([1]SubGroups!$B$46="","",[1]SubGroups!$B$46)</f>
        <v/>
      </c>
      <c r="G45">
        <f>IF([1]SubGroups!$B$46="","",[1]SubGroups!$C$46)</f>
        <v/>
      </c>
      <c r="H45">
        <f>IF([1]SubGroups!$B$46="","",[1]SubGroups!$D$46)</f>
        <v/>
      </c>
      <c r="J45">
        <f>IF([1]Accounts!$D$46="","",[1]Accounts!$A$46)</f>
        <v/>
      </c>
      <c r="K45">
        <f>IF([1]Accounts!$D$46="","",[1]Accounts!$B$46)</f>
        <v/>
      </c>
      <c r="L45">
        <f>IF([1]Accounts!$D$46="","",[1]Accounts!$C$46)</f>
        <v/>
      </c>
      <c r="M45">
        <f>IF([1]Accounts!$D$46="","",[1]Accounts!$D$46)</f>
        <v/>
      </c>
      <c r="P45">
        <f>IF([2]Entry!$C$48="","",[2]Entry!$C$48)</f>
        <v/>
      </c>
      <c r="Q45">
        <f>IF([2]Entry!$D$48="","",[2]Entry!$D$48)</f>
        <v/>
      </c>
      <c r="R45">
        <f>IF([2]Entry!$E$48="","",[2]Entry!$E$48)</f>
        <v/>
      </c>
      <c r="S45">
        <f>IF([2]Entry!$G$48="","",[2]Entry!$G$48)</f>
        <v/>
      </c>
      <c r="T45">
        <f>IF([2]Entry!$J$48="","",[2]Entry!$J$48)</f>
        <v/>
      </c>
      <c r="U45">
        <f>IF([2]Entry!$K$48="","",[2]Entry!$K$48)</f>
        <v/>
      </c>
      <c r="V45">
        <f>IF([2]Entry!$L$48="","",[2]Entry!$L$48)</f>
        <v/>
      </c>
      <c r="W45">
        <f>IF([2]Entry!$M$48="","",[2]Entry!$M$48)</f>
        <v/>
      </c>
      <c r="X45">
        <f>IF([2]Entry!$N$48="","",[2]Entry!$N$48)</f>
        <v/>
      </c>
      <c r="Y45">
        <f>IF([2]Entry!$R$48="","",[2]Entry!$R$48)</f>
        <v/>
      </c>
      <c r="AA45">
        <f>IF(AND($E45&lt;&gt;"",$G45&lt;&gt;"",$F45="هزینه"),1,0)</f>
        <v/>
      </c>
      <c r="AB45">
        <f>SUM($AA$6:$AA45)</f>
        <v/>
      </c>
      <c r="AC45">
        <f>IFERROR(INDEX($E$6:$E$105,MATCH(ROW()-5,$AB$6:$AB$105,0)),"")</f>
        <v/>
      </c>
    </row>
    <row r="46">
      <c r="E46">
        <f>IF([1]SubGroups!$B$47="","",[1]SubGroups!$A$47)</f>
        <v/>
      </c>
      <c r="F46">
        <f>IF([1]SubGroups!$B$47="","",[1]SubGroups!$B$47)</f>
        <v/>
      </c>
      <c r="G46">
        <f>IF([1]SubGroups!$B$47="","",[1]SubGroups!$C$47)</f>
        <v/>
      </c>
      <c r="H46">
        <f>IF([1]SubGroups!$B$47="","",[1]SubGroups!$D$47)</f>
        <v/>
      </c>
      <c r="J46">
        <f>IF([1]Accounts!$D$47="","",[1]Accounts!$A$47)</f>
        <v/>
      </c>
      <c r="K46">
        <f>IF([1]Accounts!$D$47="","",[1]Accounts!$B$47)</f>
        <v/>
      </c>
      <c r="L46">
        <f>IF([1]Accounts!$D$47="","",[1]Accounts!$C$47)</f>
        <v/>
      </c>
      <c r="M46">
        <f>IF([1]Accounts!$D$47="","",[1]Accounts!$D$47)</f>
        <v/>
      </c>
      <c r="P46">
        <f>IF([2]Entry!$C$49="","",[2]Entry!$C$49)</f>
        <v/>
      </c>
      <c r="Q46">
        <f>IF([2]Entry!$D$49="","",[2]Entry!$D$49)</f>
        <v/>
      </c>
      <c r="R46">
        <f>IF([2]Entry!$E$49="","",[2]Entry!$E$49)</f>
        <v/>
      </c>
      <c r="S46">
        <f>IF([2]Entry!$G$49="","",[2]Entry!$G$49)</f>
        <v/>
      </c>
      <c r="T46">
        <f>IF([2]Entry!$J$49="","",[2]Entry!$J$49)</f>
        <v/>
      </c>
      <c r="U46">
        <f>IF([2]Entry!$K$49="","",[2]Entry!$K$49)</f>
        <v/>
      </c>
      <c r="V46">
        <f>IF([2]Entry!$L$49="","",[2]Entry!$L$49)</f>
        <v/>
      </c>
      <c r="W46">
        <f>IF([2]Entry!$M$49="","",[2]Entry!$M$49)</f>
        <v/>
      </c>
      <c r="X46">
        <f>IF([2]Entry!$N$49="","",[2]Entry!$N$49)</f>
        <v/>
      </c>
      <c r="Y46">
        <f>IF([2]Entry!$R$49="","",[2]Entry!$R$49)</f>
        <v/>
      </c>
      <c r="AA46">
        <f>IF(AND($E46&lt;&gt;"",$G46&lt;&gt;"",$F46="هزینه"),1,0)</f>
        <v/>
      </c>
      <c r="AB46">
        <f>SUM($AA$6:$AA46)</f>
        <v/>
      </c>
      <c r="AC46">
        <f>IFERROR(INDEX($E$6:$E$105,MATCH(ROW()-5,$AB$6:$AB$105,0)),"")</f>
        <v/>
      </c>
    </row>
    <row r="47">
      <c r="E47">
        <f>IF([1]SubGroups!$B$48="","",[1]SubGroups!$A$48)</f>
        <v/>
      </c>
      <c r="F47">
        <f>IF([1]SubGroups!$B$48="","",[1]SubGroups!$B$48)</f>
        <v/>
      </c>
      <c r="G47">
        <f>IF([1]SubGroups!$B$48="","",[1]SubGroups!$C$48)</f>
        <v/>
      </c>
      <c r="H47">
        <f>IF([1]SubGroups!$B$48="","",[1]SubGroups!$D$48)</f>
        <v/>
      </c>
      <c r="J47">
        <f>IF([1]Accounts!$D$48="","",[1]Accounts!$A$48)</f>
        <v/>
      </c>
      <c r="K47">
        <f>IF([1]Accounts!$D$48="","",[1]Accounts!$B$48)</f>
        <v/>
      </c>
      <c r="L47">
        <f>IF([1]Accounts!$D$48="","",[1]Accounts!$C$48)</f>
        <v/>
      </c>
      <c r="M47">
        <f>IF([1]Accounts!$D$48="","",[1]Accounts!$D$48)</f>
        <v/>
      </c>
      <c r="P47">
        <f>IF([2]Entry!$C$50="","",[2]Entry!$C$50)</f>
        <v/>
      </c>
      <c r="Q47">
        <f>IF([2]Entry!$D$50="","",[2]Entry!$D$50)</f>
        <v/>
      </c>
      <c r="R47">
        <f>IF([2]Entry!$E$50="","",[2]Entry!$E$50)</f>
        <v/>
      </c>
      <c r="S47">
        <f>IF([2]Entry!$G$50="","",[2]Entry!$G$50)</f>
        <v/>
      </c>
      <c r="T47">
        <f>IF([2]Entry!$J$50="","",[2]Entry!$J$50)</f>
        <v/>
      </c>
      <c r="U47">
        <f>IF([2]Entry!$K$50="","",[2]Entry!$K$50)</f>
        <v/>
      </c>
      <c r="V47">
        <f>IF([2]Entry!$L$50="","",[2]Entry!$L$50)</f>
        <v/>
      </c>
      <c r="W47">
        <f>IF([2]Entry!$M$50="","",[2]Entry!$M$50)</f>
        <v/>
      </c>
      <c r="X47">
        <f>IF([2]Entry!$N$50="","",[2]Entry!$N$50)</f>
        <v/>
      </c>
      <c r="Y47">
        <f>IF([2]Entry!$R$50="","",[2]Entry!$R$50)</f>
        <v/>
      </c>
      <c r="AA47">
        <f>IF(AND($E47&lt;&gt;"",$G47&lt;&gt;"",$F47="هزینه"),1,0)</f>
        <v/>
      </c>
      <c r="AB47">
        <f>SUM($AA$6:$AA47)</f>
        <v/>
      </c>
      <c r="AC47">
        <f>IFERROR(INDEX($E$6:$E$105,MATCH(ROW()-5,$AB$6:$AB$105,0)),"")</f>
        <v/>
      </c>
    </row>
    <row r="48">
      <c r="E48">
        <f>IF([1]SubGroups!$B$49="","",[1]SubGroups!$A$49)</f>
        <v/>
      </c>
      <c r="F48">
        <f>IF([1]SubGroups!$B$49="","",[1]SubGroups!$B$49)</f>
        <v/>
      </c>
      <c r="G48">
        <f>IF([1]SubGroups!$B$49="","",[1]SubGroups!$C$49)</f>
        <v/>
      </c>
      <c r="H48">
        <f>IF([1]SubGroups!$B$49="","",[1]SubGroups!$D$49)</f>
        <v/>
      </c>
      <c r="J48">
        <f>IF([1]Accounts!$D$49="","",[1]Accounts!$A$49)</f>
        <v/>
      </c>
      <c r="K48">
        <f>IF([1]Accounts!$D$49="","",[1]Accounts!$B$49)</f>
        <v/>
      </c>
      <c r="L48">
        <f>IF([1]Accounts!$D$49="","",[1]Accounts!$C$49)</f>
        <v/>
      </c>
      <c r="M48">
        <f>IF([1]Accounts!$D$49="","",[1]Accounts!$D$49)</f>
        <v/>
      </c>
      <c r="P48">
        <f>IF([2]Entry!$C$51="","",[2]Entry!$C$51)</f>
        <v/>
      </c>
      <c r="Q48">
        <f>IF([2]Entry!$D$51="","",[2]Entry!$D$51)</f>
        <v/>
      </c>
      <c r="R48">
        <f>IF([2]Entry!$E$51="","",[2]Entry!$E$51)</f>
        <v/>
      </c>
      <c r="S48">
        <f>IF([2]Entry!$G$51="","",[2]Entry!$G$51)</f>
        <v/>
      </c>
      <c r="T48">
        <f>IF([2]Entry!$J$51="","",[2]Entry!$J$51)</f>
        <v/>
      </c>
      <c r="U48">
        <f>IF([2]Entry!$K$51="","",[2]Entry!$K$51)</f>
        <v/>
      </c>
      <c r="V48">
        <f>IF([2]Entry!$L$51="","",[2]Entry!$L$51)</f>
        <v/>
      </c>
      <c r="W48">
        <f>IF([2]Entry!$M$51="","",[2]Entry!$M$51)</f>
        <v/>
      </c>
      <c r="X48">
        <f>IF([2]Entry!$N$51="","",[2]Entry!$N$51)</f>
        <v/>
      </c>
      <c r="Y48">
        <f>IF([2]Entry!$R$51="","",[2]Entry!$R$51)</f>
        <v/>
      </c>
      <c r="AA48">
        <f>IF(AND($E48&lt;&gt;"",$G48&lt;&gt;"",$F48="هزینه"),1,0)</f>
        <v/>
      </c>
      <c r="AB48">
        <f>SUM($AA$6:$AA48)</f>
        <v/>
      </c>
      <c r="AC48">
        <f>IFERROR(INDEX($E$6:$E$105,MATCH(ROW()-5,$AB$6:$AB$105,0)),"")</f>
        <v/>
      </c>
    </row>
    <row r="49">
      <c r="E49">
        <f>IF([1]SubGroups!$B$50="","",[1]SubGroups!$A$50)</f>
        <v/>
      </c>
      <c r="F49">
        <f>IF([1]SubGroups!$B$50="","",[1]SubGroups!$B$50)</f>
        <v/>
      </c>
      <c r="G49">
        <f>IF([1]SubGroups!$B$50="","",[1]SubGroups!$C$50)</f>
        <v/>
      </c>
      <c r="H49">
        <f>IF([1]SubGroups!$B$50="","",[1]SubGroups!$D$50)</f>
        <v/>
      </c>
      <c r="J49">
        <f>IF([1]Accounts!$D$50="","",[1]Accounts!$A$50)</f>
        <v/>
      </c>
      <c r="K49">
        <f>IF([1]Accounts!$D$50="","",[1]Accounts!$B$50)</f>
        <v/>
      </c>
      <c r="L49">
        <f>IF([1]Accounts!$D$50="","",[1]Accounts!$C$50)</f>
        <v/>
      </c>
      <c r="M49">
        <f>IF([1]Accounts!$D$50="","",[1]Accounts!$D$50)</f>
        <v/>
      </c>
      <c r="P49">
        <f>IF([2]Entry!$C$52="","",[2]Entry!$C$52)</f>
        <v/>
      </c>
      <c r="Q49">
        <f>IF([2]Entry!$D$52="","",[2]Entry!$D$52)</f>
        <v/>
      </c>
      <c r="R49">
        <f>IF([2]Entry!$E$52="","",[2]Entry!$E$52)</f>
        <v/>
      </c>
      <c r="S49">
        <f>IF([2]Entry!$G$52="","",[2]Entry!$G$52)</f>
        <v/>
      </c>
      <c r="T49">
        <f>IF([2]Entry!$J$52="","",[2]Entry!$J$52)</f>
        <v/>
      </c>
      <c r="U49">
        <f>IF([2]Entry!$K$52="","",[2]Entry!$K$52)</f>
        <v/>
      </c>
      <c r="V49">
        <f>IF([2]Entry!$L$52="","",[2]Entry!$L$52)</f>
        <v/>
      </c>
      <c r="W49">
        <f>IF([2]Entry!$M$52="","",[2]Entry!$M$52)</f>
        <v/>
      </c>
      <c r="X49">
        <f>IF([2]Entry!$N$52="","",[2]Entry!$N$52)</f>
        <v/>
      </c>
      <c r="Y49">
        <f>IF([2]Entry!$R$52="","",[2]Entry!$R$52)</f>
        <v/>
      </c>
      <c r="AA49">
        <f>IF(AND($E49&lt;&gt;"",$G49&lt;&gt;"",$F49="هزینه"),1,0)</f>
        <v/>
      </c>
      <c r="AB49">
        <f>SUM($AA$6:$AA49)</f>
        <v/>
      </c>
      <c r="AC49">
        <f>IFERROR(INDEX($E$6:$E$105,MATCH(ROW()-5,$AB$6:$AB$105,0)),"")</f>
        <v/>
      </c>
    </row>
    <row r="50">
      <c r="E50">
        <f>IF([1]SubGroups!$B$51="","",[1]SubGroups!$A$51)</f>
        <v/>
      </c>
      <c r="F50">
        <f>IF([1]SubGroups!$B$51="","",[1]SubGroups!$B$51)</f>
        <v/>
      </c>
      <c r="G50">
        <f>IF([1]SubGroups!$B$51="","",[1]SubGroups!$C$51)</f>
        <v/>
      </c>
      <c r="H50">
        <f>IF([1]SubGroups!$B$51="","",[1]SubGroups!$D$51)</f>
        <v/>
      </c>
      <c r="J50">
        <f>IF([1]Accounts!$D$51="","",[1]Accounts!$A$51)</f>
        <v/>
      </c>
      <c r="K50">
        <f>IF([1]Accounts!$D$51="","",[1]Accounts!$B$51)</f>
        <v/>
      </c>
      <c r="L50">
        <f>IF([1]Accounts!$D$51="","",[1]Accounts!$C$51)</f>
        <v/>
      </c>
      <c r="M50">
        <f>IF([1]Accounts!$D$51="","",[1]Accounts!$D$51)</f>
        <v/>
      </c>
      <c r="P50">
        <f>IF([2]Entry!$C$53="","",[2]Entry!$C$53)</f>
        <v/>
      </c>
      <c r="Q50">
        <f>IF([2]Entry!$D$53="","",[2]Entry!$D$53)</f>
        <v/>
      </c>
      <c r="R50">
        <f>IF([2]Entry!$E$53="","",[2]Entry!$E$53)</f>
        <v/>
      </c>
      <c r="S50">
        <f>IF([2]Entry!$G$53="","",[2]Entry!$G$53)</f>
        <v/>
      </c>
      <c r="T50">
        <f>IF([2]Entry!$J$53="","",[2]Entry!$J$53)</f>
        <v/>
      </c>
      <c r="U50">
        <f>IF([2]Entry!$K$53="","",[2]Entry!$K$53)</f>
        <v/>
      </c>
      <c r="V50">
        <f>IF([2]Entry!$L$53="","",[2]Entry!$L$53)</f>
        <v/>
      </c>
      <c r="W50">
        <f>IF([2]Entry!$M$53="","",[2]Entry!$M$53)</f>
        <v/>
      </c>
      <c r="X50">
        <f>IF([2]Entry!$N$53="","",[2]Entry!$N$53)</f>
        <v/>
      </c>
      <c r="Y50">
        <f>IF([2]Entry!$R$53="","",[2]Entry!$R$53)</f>
        <v/>
      </c>
      <c r="AA50">
        <f>IF(AND($E50&lt;&gt;"",$G50&lt;&gt;"",$F50="هزینه"),1,0)</f>
        <v/>
      </c>
      <c r="AB50">
        <f>SUM($AA$6:$AA50)</f>
        <v/>
      </c>
      <c r="AC50">
        <f>IFERROR(INDEX($E$6:$E$105,MATCH(ROW()-5,$AB$6:$AB$105,0)),"")</f>
        <v/>
      </c>
    </row>
    <row r="51">
      <c r="E51">
        <f>IF([1]SubGroups!$B$52="","",[1]SubGroups!$A$52)</f>
        <v/>
      </c>
      <c r="F51">
        <f>IF([1]SubGroups!$B$52="","",[1]SubGroups!$B$52)</f>
        <v/>
      </c>
      <c r="G51">
        <f>IF([1]SubGroups!$B$52="","",[1]SubGroups!$C$52)</f>
        <v/>
      </c>
      <c r="H51">
        <f>IF([1]SubGroups!$B$52="","",[1]SubGroups!$D$52)</f>
        <v/>
      </c>
      <c r="J51">
        <f>IF([1]Accounts!$D$52="","",[1]Accounts!$A$52)</f>
        <v/>
      </c>
      <c r="K51">
        <f>IF([1]Accounts!$D$52="","",[1]Accounts!$B$52)</f>
        <v/>
      </c>
      <c r="L51">
        <f>IF([1]Accounts!$D$52="","",[1]Accounts!$C$52)</f>
        <v/>
      </c>
      <c r="M51">
        <f>IF([1]Accounts!$D$52="","",[1]Accounts!$D$52)</f>
        <v/>
      </c>
      <c r="P51">
        <f>IF([2]Entry!$C$54="","",[2]Entry!$C$54)</f>
        <v/>
      </c>
      <c r="Q51">
        <f>IF([2]Entry!$D$54="","",[2]Entry!$D$54)</f>
        <v/>
      </c>
      <c r="R51">
        <f>IF([2]Entry!$E$54="","",[2]Entry!$E$54)</f>
        <v/>
      </c>
      <c r="S51">
        <f>IF([2]Entry!$G$54="","",[2]Entry!$G$54)</f>
        <v/>
      </c>
      <c r="T51">
        <f>IF([2]Entry!$J$54="","",[2]Entry!$J$54)</f>
        <v/>
      </c>
      <c r="U51">
        <f>IF([2]Entry!$K$54="","",[2]Entry!$K$54)</f>
        <v/>
      </c>
      <c r="V51">
        <f>IF([2]Entry!$L$54="","",[2]Entry!$L$54)</f>
        <v/>
      </c>
      <c r="W51">
        <f>IF([2]Entry!$M$54="","",[2]Entry!$M$54)</f>
        <v/>
      </c>
      <c r="X51">
        <f>IF([2]Entry!$N$54="","",[2]Entry!$N$54)</f>
        <v/>
      </c>
      <c r="Y51">
        <f>IF([2]Entry!$R$54="","",[2]Entry!$R$54)</f>
        <v/>
      </c>
      <c r="AA51">
        <f>IF(AND($E51&lt;&gt;"",$G51&lt;&gt;"",$F51="هزینه"),1,0)</f>
        <v/>
      </c>
      <c r="AB51">
        <f>SUM($AA$6:$AA51)</f>
        <v/>
      </c>
      <c r="AC51">
        <f>IFERROR(INDEX($E$6:$E$105,MATCH(ROW()-5,$AB$6:$AB$105,0)),"")</f>
        <v/>
      </c>
    </row>
    <row r="52">
      <c r="E52">
        <f>IF([1]SubGroups!$B$53="","",[1]SubGroups!$A$53)</f>
        <v/>
      </c>
      <c r="F52">
        <f>IF([1]SubGroups!$B$53="","",[1]SubGroups!$B$53)</f>
        <v/>
      </c>
      <c r="G52">
        <f>IF([1]SubGroups!$B$53="","",[1]SubGroups!$C$53)</f>
        <v/>
      </c>
      <c r="H52">
        <f>IF([1]SubGroups!$B$53="","",[1]SubGroups!$D$53)</f>
        <v/>
      </c>
      <c r="J52">
        <f>IF([1]Accounts!$D$53="","",[1]Accounts!$A$53)</f>
        <v/>
      </c>
      <c r="K52">
        <f>IF([1]Accounts!$D$53="","",[1]Accounts!$B$53)</f>
        <v/>
      </c>
      <c r="L52">
        <f>IF([1]Accounts!$D$53="","",[1]Accounts!$C$53)</f>
        <v/>
      </c>
      <c r="M52">
        <f>IF([1]Accounts!$D$53="","",[1]Accounts!$D$53)</f>
        <v/>
      </c>
      <c r="P52">
        <f>IF([2]Entry!$C$55="","",[2]Entry!$C$55)</f>
        <v/>
      </c>
      <c r="Q52">
        <f>IF([2]Entry!$D$55="","",[2]Entry!$D$55)</f>
        <v/>
      </c>
      <c r="R52">
        <f>IF([2]Entry!$E$55="","",[2]Entry!$E$55)</f>
        <v/>
      </c>
      <c r="S52">
        <f>IF([2]Entry!$G$55="","",[2]Entry!$G$55)</f>
        <v/>
      </c>
      <c r="T52">
        <f>IF([2]Entry!$J$55="","",[2]Entry!$J$55)</f>
        <v/>
      </c>
      <c r="U52">
        <f>IF([2]Entry!$K$55="","",[2]Entry!$K$55)</f>
        <v/>
      </c>
      <c r="V52">
        <f>IF([2]Entry!$L$55="","",[2]Entry!$L$55)</f>
        <v/>
      </c>
      <c r="W52">
        <f>IF([2]Entry!$M$55="","",[2]Entry!$M$55)</f>
        <v/>
      </c>
      <c r="X52">
        <f>IF([2]Entry!$N$55="","",[2]Entry!$N$55)</f>
        <v/>
      </c>
      <c r="Y52">
        <f>IF([2]Entry!$R$55="","",[2]Entry!$R$55)</f>
        <v/>
      </c>
      <c r="AA52">
        <f>IF(AND($E52&lt;&gt;"",$G52&lt;&gt;"",$F52="هزینه"),1,0)</f>
        <v/>
      </c>
      <c r="AB52">
        <f>SUM($AA$6:$AA52)</f>
        <v/>
      </c>
      <c r="AC52">
        <f>IFERROR(INDEX($E$6:$E$105,MATCH(ROW()-5,$AB$6:$AB$105,0)),"")</f>
        <v/>
      </c>
    </row>
    <row r="53">
      <c r="E53">
        <f>IF([1]SubGroups!$B$54="","",[1]SubGroups!$A$54)</f>
        <v/>
      </c>
      <c r="F53">
        <f>IF([1]SubGroups!$B$54="","",[1]SubGroups!$B$54)</f>
        <v/>
      </c>
      <c r="G53">
        <f>IF([1]SubGroups!$B$54="","",[1]SubGroups!$C$54)</f>
        <v/>
      </c>
      <c r="H53">
        <f>IF([1]SubGroups!$B$54="","",[1]SubGroups!$D$54)</f>
        <v/>
      </c>
      <c r="J53">
        <f>IF([1]Accounts!$D$54="","",[1]Accounts!$A$54)</f>
        <v/>
      </c>
      <c r="K53">
        <f>IF([1]Accounts!$D$54="","",[1]Accounts!$B$54)</f>
        <v/>
      </c>
      <c r="L53">
        <f>IF([1]Accounts!$D$54="","",[1]Accounts!$C$54)</f>
        <v/>
      </c>
      <c r="M53">
        <f>IF([1]Accounts!$D$54="","",[1]Accounts!$D$54)</f>
        <v/>
      </c>
      <c r="P53">
        <f>IF([2]Entry!$C$56="","",[2]Entry!$C$56)</f>
        <v/>
      </c>
      <c r="Q53">
        <f>IF([2]Entry!$D$56="","",[2]Entry!$D$56)</f>
        <v/>
      </c>
      <c r="R53">
        <f>IF([2]Entry!$E$56="","",[2]Entry!$E$56)</f>
        <v/>
      </c>
      <c r="S53">
        <f>IF([2]Entry!$G$56="","",[2]Entry!$G$56)</f>
        <v/>
      </c>
      <c r="T53">
        <f>IF([2]Entry!$J$56="","",[2]Entry!$J$56)</f>
        <v/>
      </c>
      <c r="U53">
        <f>IF([2]Entry!$K$56="","",[2]Entry!$K$56)</f>
        <v/>
      </c>
      <c r="V53">
        <f>IF([2]Entry!$L$56="","",[2]Entry!$L$56)</f>
        <v/>
      </c>
      <c r="W53">
        <f>IF([2]Entry!$M$56="","",[2]Entry!$M$56)</f>
        <v/>
      </c>
      <c r="X53">
        <f>IF([2]Entry!$N$56="","",[2]Entry!$N$56)</f>
        <v/>
      </c>
      <c r="Y53">
        <f>IF([2]Entry!$R$56="","",[2]Entry!$R$56)</f>
        <v/>
      </c>
      <c r="AA53">
        <f>IF(AND($E53&lt;&gt;"",$G53&lt;&gt;"",$F53="هزینه"),1,0)</f>
        <v/>
      </c>
      <c r="AB53">
        <f>SUM($AA$6:$AA53)</f>
        <v/>
      </c>
      <c r="AC53">
        <f>IFERROR(INDEX($E$6:$E$105,MATCH(ROW()-5,$AB$6:$AB$105,0)),"")</f>
        <v/>
      </c>
    </row>
    <row r="54">
      <c r="E54">
        <f>IF([1]SubGroups!$B$55="","",[1]SubGroups!$A$55)</f>
        <v/>
      </c>
      <c r="F54">
        <f>IF([1]SubGroups!$B$55="","",[1]SubGroups!$B$55)</f>
        <v/>
      </c>
      <c r="G54">
        <f>IF([1]SubGroups!$B$55="","",[1]SubGroups!$C$55)</f>
        <v/>
      </c>
      <c r="H54">
        <f>IF([1]SubGroups!$B$55="","",[1]SubGroups!$D$55)</f>
        <v/>
      </c>
      <c r="J54">
        <f>IF([1]Accounts!$D$55="","",[1]Accounts!$A$55)</f>
        <v/>
      </c>
      <c r="K54">
        <f>IF([1]Accounts!$D$55="","",[1]Accounts!$B$55)</f>
        <v/>
      </c>
      <c r="L54">
        <f>IF([1]Accounts!$D$55="","",[1]Accounts!$C$55)</f>
        <v/>
      </c>
      <c r="M54">
        <f>IF([1]Accounts!$D$55="","",[1]Accounts!$D$55)</f>
        <v/>
      </c>
      <c r="P54">
        <f>IF([2]Entry!$C$57="","",[2]Entry!$C$57)</f>
        <v/>
      </c>
      <c r="Q54">
        <f>IF([2]Entry!$D$57="","",[2]Entry!$D$57)</f>
        <v/>
      </c>
      <c r="R54">
        <f>IF([2]Entry!$E$57="","",[2]Entry!$E$57)</f>
        <v/>
      </c>
      <c r="S54">
        <f>IF([2]Entry!$G$57="","",[2]Entry!$G$57)</f>
        <v/>
      </c>
      <c r="T54">
        <f>IF([2]Entry!$J$57="","",[2]Entry!$J$57)</f>
        <v/>
      </c>
      <c r="U54">
        <f>IF([2]Entry!$K$57="","",[2]Entry!$K$57)</f>
        <v/>
      </c>
      <c r="V54">
        <f>IF([2]Entry!$L$57="","",[2]Entry!$L$57)</f>
        <v/>
      </c>
      <c r="W54">
        <f>IF([2]Entry!$M$57="","",[2]Entry!$M$57)</f>
        <v/>
      </c>
      <c r="X54">
        <f>IF([2]Entry!$N$57="","",[2]Entry!$N$57)</f>
        <v/>
      </c>
      <c r="Y54">
        <f>IF([2]Entry!$R$57="","",[2]Entry!$R$57)</f>
        <v/>
      </c>
      <c r="AA54">
        <f>IF(AND($E54&lt;&gt;"",$G54&lt;&gt;"",$F54="هزینه"),1,0)</f>
        <v/>
      </c>
      <c r="AB54">
        <f>SUM($AA$6:$AA54)</f>
        <v/>
      </c>
      <c r="AC54">
        <f>IFERROR(INDEX($E$6:$E$105,MATCH(ROW()-5,$AB$6:$AB$105,0)),"")</f>
        <v/>
      </c>
    </row>
    <row r="55">
      <c r="E55">
        <f>IF([1]SubGroups!$B$56="","",[1]SubGroups!$A$56)</f>
        <v/>
      </c>
      <c r="F55">
        <f>IF([1]SubGroups!$B$56="","",[1]SubGroups!$B$56)</f>
        <v/>
      </c>
      <c r="G55">
        <f>IF([1]SubGroups!$B$56="","",[1]SubGroups!$C$56)</f>
        <v/>
      </c>
      <c r="H55">
        <f>IF([1]SubGroups!$B$56="","",[1]SubGroups!$D$56)</f>
        <v/>
      </c>
      <c r="J55">
        <f>IF([1]Accounts!$D$56="","",[1]Accounts!$A$56)</f>
        <v/>
      </c>
      <c r="K55">
        <f>IF([1]Accounts!$D$56="","",[1]Accounts!$B$56)</f>
        <v/>
      </c>
      <c r="L55">
        <f>IF([1]Accounts!$D$56="","",[1]Accounts!$C$56)</f>
        <v/>
      </c>
      <c r="M55">
        <f>IF([1]Accounts!$D$56="","",[1]Accounts!$D$56)</f>
        <v/>
      </c>
      <c r="P55">
        <f>IF([2]Entry!$C$58="","",[2]Entry!$C$58)</f>
        <v/>
      </c>
      <c r="Q55">
        <f>IF([2]Entry!$D$58="","",[2]Entry!$D$58)</f>
        <v/>
      </c>
      <c r="R55">
        <f>IF([2]Entry!$E$58="","",[2]Entry!$E$58)</f>
        <v/>
      </c>
      <c r="S55">
        <f>IF([2]Entry!$G$58="","",[2]Entry!$G$58)</f>
        <v/>
      </c>
      <c r="T55">
        <f>IF([2]Entry!$J$58="","",[2]Entry!$J$58)</f>
        <v/>
      </c>
      <c r="U55">
        <f>IF([2]Entry!$K$58="","",[2]Entry!$K$58)</f>
        <v/>
      </c>
      <c r="V55">
        <f>IF([2]Entry!$L$58="","",[2]Entry!$L$58)</f>
        <v/>
      </c>
      <c r="W55">
        <f>IF([2]Entry!$M$58="","",[2]Entry!$M$58)</f>
        <v/>
      </c>
      <c r="X55">
        <f>IF([2]Entry!$N$58="","",[2]Entry!$N$58)</f>
        <v/>
      </c>
      <c r="Y55">
        <f>IF([2]Entry!$R$58="","",[2]Entry!$R$58)</f>
        <v/>
      </c>
      <c r="AA55">
        <f>IF(AND($E55&lt;&gt;"",$G55&lt;&gt;"",$F55="هزینه"),1,0)</f>
        <v/>
      </c>
      <c r="AB55">
        <f>SUM($AA$6:$AA55)</f>
        <v/>
      </c>
      <c r="AC55">
        <f>IFERROR(INDEX($E$6:$E$105,MATCH(ROW()-5,$AB$6:$AB$105,0)),"")</f>
        <v/>
      </c>
    </row>
    <row r="56">
      <c r="E56">
        <f>IF([1]SubGroups!$B$57="","",[1]SubGroups!$A$57)</f>
        <v/>
      </c>
      <c r="F56">
        <f>IF([1]SubGroups!$B$57="","",[1]SubGroups!$B$57)</f>
        <v/>
      </c>
      <c r="G56">
        <f>IF([1]SubGroups!$B$57="","",[1]SubGroups!$C$57)</f>
        <v/>
      </c>
      <c r="H56">
        <f>IF([1]SubGroups!$B$57="","",[1]SubGroups!$D$57)</f>
        <v/>
      </c>
      <c r="J56">
        <f>IF([1]Accounts!$D$57="","",[1]Accounts!$A$57)</f>
        <v/>
      </c>
      <c r="K56">
        <f>IF([1]Accounts!$D$57="","",[1]Accounts!$B$57)</f>
        <v/>
      </c>
      <c r="L56">
        <f>IF([1]Accounts!$D$57="","",[1]Accounts!$C$57)</f>
        <v/>
      </c>
      <c r="M56">
        <f>IF([1]Accounts!$D$57="","",[1]Accounts!$D$57)</f>
        <v/>
      </c>
      <c r="P56">
        <f>IF([2]Entry!$C$59="","",[2]Entry!$C$59)</f>
        <v/>
      </c>
      <c r="Q56">
        <f>IF([2]Entry!$D$59="","",[2]Entry!$D$59)</f>
        <v/>
      </c>
      <c r="R56">
        <f>IF([2]Entry!$E$59="","",[2]Entry!$E$59)</f>
        <v/>
      </c>
      <c r="S56">
        <f>IF([2]Entry!$G$59="","",[2]Entry!$G$59)</f>
        <v/>
      </c>
      <c r="T56">
        <f>IF([2]Entry!$J$59="","",[2]Entry!$J$59)</f>
        <v/>
      </c>
      <c r="U56">
        <f>IF([2]Entry!$K$59="","",[2]Entry!$K$59)</f>
        <v/>
      </c>
      <c r="V56">
        <f>IF([2]Entry!$L$59="","",[2]Entry!$L$59)</f>
        <v/>
      </c>
      <c r="W56">
        <f>IF([2]Entry!$M$59="","",[2]Entry!$M$59)</f>
        <v/>
      </c>
      <c r="X56">
        <f>IF([2]Entry!$N$59="","",[2]Entry!$N$59)</f>
        <v/>
      </c>
      <c r="Y56">
        <f>IF([2]Entry!$R$59="","",[2]Entry!$R$59)</f>
        <v/>
      </c>
      <c r="AA56">
        <f>IF(AND($E56&lt;&gt;"",$G56&lt;&gt;"",$F56="هزینه"),1,0)</f>
        <v/>
      </c>
      <c r="AB56">
        <f>SUM($AA$6:$AA56)</f>
        <v/>
      </c>
      <c r="AC56">
        <f>IFERROR(INDEX($E$6:$E$105,MATCH(ROW()-5,$AB$6:$AB$105,0)),"")</f>
        <v/>
      </c>
    </row>
    <row r="57">
      <c r="E57">
        <f>IF([1]SubGroups!$B$58="","",[1]SubGroups!$A$58)</f>
        <v/>
      </c>
      <c r="F57">
        <f>IF([1]SubGroups!$B$58="","",[1]SubGroups!$B$58)</f>
        <v/>
      </c>
      <c r="G57">
        <f>IF([1]SubGroups!$B$58="","",[1]SubGroups!$C$58)</f>
        <v/>
      </c>
      <c r="H57">
        <f>IF([1]SubGroups!$B$58="","",[1]SubGroups!$D$58)</f>
        <v/>
      </c>
      <c r="J57">
        <f>IF([1]Accounts!$D$58="","",[1]Accounts!$A$58)</f>
        <v/>
      </c>
      <c r="K57">
        <f>IF([1]Accounts!$D$58="","",[1]Accounts!$B$58)</f>
        <v/>
      </c>
      <c r="L57">
        <f>IF([1]Accounts!$D$58="","",[1]Accounts!$C$58)</f>
        <v/>
      </c>
      <c r="M57">
        <f>IF([1]Accounts!$D$58="","",[1]Accounts!$D$58)</f>
        <v/>
      </c>
      <c r="P57">
        <f>IF([2]Entry!$C$60="","",[2]Entry!$C$60)</f>
        <v/>
      </c>
      <c r="Q57">
        <f>IF([2]Entry!$D$60="","",[2]Entry!$D$60)</f>
        <v/>
      </c>
      <c r="R57">
        <f>IF([2]Entry!$E$60="","",[2]Entry!$E$60)</f>
        <v/>
      </c>
      <c r="S57">
        <f>IF([2]Entry!$G$60="","",[2]Entry!$G$60)</f>
        <v/>
      </c>
      <c r="T57">
        <f>IF([2]Entry!$J$60="","",[2]Entry!$J$60)</f>
        <v/>
      </c>
      <c r="U57">
        <f>IF([2]Entry!$K$60="","",[2]Entry!$K$60)</f>
        <v/>
      </c>
      <c r="V57">
        <f>IF([2]Entry!$L$60="","",[2]Entry!$L$60)</f>
        <v/>
      </c>
      <c r="W57">
        <f>IF([2]Entry!$M$60="","",[2]Entry!$M$60)</f>
        <v/>
      </c>
      <c r="X57">
        <f>IF([2]Entry!$N$60="","",[2]Entry!$N$60)</f>
        <v/>
      </c>
      <c r="Y57">
        <f>IF([2]Entry!$R$60="","",[2]Entry!$R$60)</f>
        <v/>
      </c>
      <c r="AA57">
        <f>IF(AND($E57&lt;&gt;"",$G57&lt;&gt;"",$F57="هزینه"),1,0)</f>
        <v/>
      </c>
      <c r="AB57">
        <f>SUM($AA$6:$AA57)</f>
        <v/>
      </c>
      <c r="AC57">
        <f>IFERROR(INDEX($E$6:$E$105,MATCH(ROW()-5,$AB$6:$AB$105,0)),"")</f>
        <v/>
      </c>
    </row>
    <row r="58">
      <c r="E58">
        <f>IF([1]SubGroups!$B$59="","",[1]SubGroups!$A$59)</f>
        <v/>
      </c>
      <c r="F58">
        <f>IF([1]SubGroups!$B$59="","",[1]SubGroups!$B$59)</f>
        <v/>
      </c>
      <c r="G58">
        <f>IF([1]SubGroups!$B$59="","",[1]SubGroups!$C$59)</f>
        <v/>
      </c>
      <c r="H58">
        <f>IF([1]SubGroups!$B$59="","",[1]SubGroups!$D$59)</f>
        <v/>
      </c>
      <c r="J58">
        <f>IF([1]Accounts!$D$59="","",[1]Accounts!$A$59)</f>
        <v/>
      </c>
      <c r="K58">
        <f>IF([1]Accounts!$D$59="","",[1]Accounts!$B$59)</f>
        <v/>
      </c>
      <c r="L58">
        <f>IF([1]Accounts!$D$59="","",[1]Accounts!$C$59)</f>
        <v/>
      </c>
      <c r="M58">
        <f>IF([1]Accounts!$D$59="","",[1]Accounts!$D$59)</f>
        <v/>
      </c>
      <c r="P58">
        <f>IF([2]Entry!$C$61="","",[2]Entry!$C$61)</f>
        <v/>
      </c>
      <c r="Q58">
        <f>IF([2]Entry!$D$61="","",[2]Entry!$D$61)</f>
        <v/>
      </c>
      <c r="R58">
        <f>IF([2]Entry!$E$61="","",[2]Entry!$E$61)</f>
        <v/>
      </c>
      <c r="S58">
        <f>IF([2]Entry!$G$61="","",[2]Entry!$G$61)</f>
        <v/>
      </c>
      <c r="T58">
        <f>IF([2]Entry!$J$61="","",[2]Entry!$J$61)</f>
        <v/>
      </c>
      <c r="U58">
        <f>IF([2]Entry!$K$61="","",[2]Entry!$K$61)</f>
        <v/>
      </c>
      <c r="V58">
        <f>IF([2]Entry!$L$61="","",[2]Entry!$L$61)</f>
        <v/>
      </c>
      <c r="W58">
        <f>IF([2]Entry!$M$61="","",[2]Entry!$M$61)</f>
        <v/>
      </c>
      <c r="X58">
        <f>IF([2]Entry!$N$61="","",[2]Entry!$N$61)</f>
        <v/>
      </c>
      <c r="Y58">
        <f>IF([2]Entry!$R$61="","",[2]Entry!$R$61)</f>
        <v/>
      </c>
      <c r="AA58">
        <f>IF(AND($E58&lt;&gt;"",$G58&lt;&gt;"",$F58="هزینه"),1,0)</f>
        <v/>
      </c>
      <c r="AB58">
        <f>SUM($AA$6:$AA58)</f>
        <v/>
      </c>
      <c r="AC58">
        <f>IFERROR(INDEX($E$6:$E$105,MATCH(ROW()-5,$AB$6:$AB$105,0)),"")</f>
        <v/>
      </c>
    </row>
    <row r="59">
      <c r="E59">
        <f>IF([1]SubGroups!$B$60="","",[1]SubGroups!$A$60)</f>
        <v/>
      </c>
      <c r="F59">
        <f>IF([1]SubGroups!$B$60="","",[1]SubGroups!$B$60)</f>
        <v/>
      </c>
      <c r="G59">
        <f>IF([1]SubGroups!$B$60="","",[1]SubGroups!$C$60)</f>
        <v/>
      </c>
      <c r="H59">
        <f>IF([1]SubGroups!$B$60="","",[1]SubGroups!$D$60)</f>
        <v/>
      </c>
      <c r="J59">
        <f>IF([1]Accounts!$D$60="","",[1]Accounts!$A$60)</f>
        <v/>
      </c>
      <c r="K59">
        <f>IF([1]Accounts!$D$60="","",[1]Accounts!$B$60)</f>
        <v/>
      </c>
      <c r="L59">
        <f>IF([1]Accounts!$D$60="","",[1]Accounts!$C$60)</f>
        <v/>
      </c>
      <c r="M59">
        <f>IF([1]Accounts!$D$60="","",[1]Accounts!$D$60)</f>
        <v/>
      </c>
      <c r="P59">
        <f>IF([2]Entry!$C$62="","",[2]Entry!$C$62)</f>
        <v/>
      </c>
      <c r="Q59">
        <f>IF([2]Entry!$D$62="","",[2]Entry!$D$62)</f>
        <v/>
      </c>
      <c r="R59">
        <f>IF([2]Entry!$E$62="","",[2]Entry!$E$62)</f>
        <v/>
      </c>
      <c r="S59">
        <f>IF([2]Entry!$G$62="","",[2]Entry!$G$62)</f>
        <v/>
      </c>
      <c r="T59">
        <f>IF([2]Entry!$J$62="","",[2]Entry!$J$62)</f>
        <v/>
      </c>
      <c r="U59">
        <f>IF([2]Entry!$K$62="","",[2]Entry!$K$62)</f>
        <v/>
      </c>
      <c r="V59">
        <f>IF([2]Entry!$L$62="","",[2]Entry!$L$62)</f>
        <v/>
      </c>
      <c r="W59">
        <f>IF([2]Entry!$M$62="","",[2]Entry!$M$62)</f>
        <v/>
      </c>
      <c r="X59">
        <f>IF([2]Entry!$N$62="","",[2]Entry!$N$62)</f>
        <v/>
      </c>
      <c r="Y59">
        <f>IF([2]Entry!$R$62="","",[2]Entry!$R$62)</f>
        <v/>
      </c>
      <c r="AA59">
        <f>IF(AND($E59&lt;&gt;"",$G59&lt;&gt;"",$F59="هزینه"),1,0)</f>
        <v/>
      </c>
      <c r="AB59">
        <f>SUM($AA$6:$AA59)</f>
        <v/>
      </c>
      <c r="AC59">
        <f>IFERROR(INDEX($E$6:$E$105,MATCH(ROW()-5,$AB$6:$AB$105,0)),"")</f>
        <v/>
      </c>
    </row>
    <row r="60">
      <c r="E60">
        <f>IF([1]SubGroups!$B$61="","",[1]SubGroups!$A$61)</f>
        <v/>
      </c>
      <c r="F60">
        <f>IF([1]SubGroups!$B$61="","",[1]SubGroups!$B$61)</f>
        <v/>
      </c>
      <c r="G60">
        <f>IF([1]SubGroups!$B$61="","",[1]SubGroups!$C$61)</f>
        <v/>
      </c>
      <c r="H60">
        <f>IF([1]SubGroups!$B$61="","",[1]SubGroups!$D$61)</f>
        <v/>
      </c>
      <c r="J60">
        <f>IF([1]Accounts!$D$61="","",[1]Accounts!$A$61)</f>
        <v/>
      </c>
      <c r="K60">
        <f>IF([1]Accounts!$D$61="","",[1]Accounts!$B$61)</f>
        <v/>
      </c>
      <c r="L60">
        <f>IF([1]Accounts!$D$61="","",[1]Accounts!$C$61)</f>
        <v/>
      </c>
      <c r="M60">
        <f>IF([1]Accounts!$D$61="","",[1]Accounts!$D$61)</f>
        <v/>
      </c>
      <c r="P60">
        <f>IF([2]Entry!$C$63="","",[2]Entry!$C$63)</f>
        <v/>
      </c>
      <c r="Q60">
        <f>IF([2]Entry!$D$63="","",[2]Entry!$D$63)</f>
        <v/>
      </c>
      <c r="R60">
        <f>IF([2]Entry!$E$63="","",[2]Entry!$E$63)</f>
        <v/>
      </c>
      <c r="S60">
        <f>IF([2]Entry!$G$63="","",[2]Entry!$G$63)</f>
        <v/>
      </c>
      <c r="T60">
        <f>IF([2]Entry!$J$63="","",[2]Entry!$J$63)</f>
        <v/>
      </c>
      <c r="U60">
        <f>IF([2]Entry!$K$63="","",[2]Entry!$K$63)</f>
        <v/>
      </c>
      <c r="V60">
        <f>IF([2]Entry!$L$63="","",[2]Entry!$L$63)</f>
        <v/>
      </c>
      <c r="W60">
        <f>IF([2]Entry!$M$63="","",[2]Entry!$M$63)</f>
        <v/>
      </c>
      <c r="X60">
        <f>IF([2]Entry!$N$63="","",[2]Entry!$N$63)</f>
        <v/>
      </c>
      <c r="Y60">
        <f>IF([2]Entry!$R$63="","",[2]Entry!$R$63)</f>
        <v/>
      </c>
      <c r="AA60">
        <f>IF(AND($E60&lt;&gt;"",$G60&lt;&gt;"",$F60="هزینه"),1,0)</f>
        <v/>
      </c>
      <c r="AB60">
        <f>SUM($AA$6:$AA60)</f>
        <v/>
      </c>
      <c r="AC60">
        <f>IFERROR(INDEX($E$6:$E$105,MATCH(ROW()-5,$AB$6:$AB$105,0)),"")</f>
        <v/>
      </c>
    </row>
    <row r="61">
      <c r="E61">
        <f>IF([1]SubGroups!$B$62="","",[1]SubGroups!$A$62)</f>
        <v/>
      </c>
      <c r="F61">
        <f>IF([1]SubGroups!$B$62="","",[1]SubGroups!$B$62)</f>
        <v/>
      </c>
      <c r="G61">
        <f>IF([1]SubGroups!$B$62="","",[1]SubGroups!$C$62)</f>
        <v/>
      </c>
      <c r="H61">
        <f>IF([1]SubGroups!$B$62="","",[1]SubGroups!$D$62)</f>
        <v/>
      </c>
      <c r="J61">
        <f>IF([1]Accounts!$D$62="","",[1]Accounts!$A$62)</f>
        <v/>
      </c>
      <c r="K61">
        <f>IF([1]Accounts!$D$62="","",[1]Accounts!$B$62)</f>
        <v/>
      </c>
      <c r="L61">
        <f>IF([1]Accounts!$D$62="","",[1]Accounts!$C$62)</f>
        <v/>
      </c>
      <c r="M61">
        <f>IF([1]Accounts!$D$62="","",[1]Accounts!$D$62)</f>
        <v/>
      </c>
      <c r="P61">
        <f>IF([2]Entry!$C$64="","",[2]Entry!$C$64)</f>
        <v/>
      </c>
      <c r="Q61">
        <f>IF([2]Entry!$D$64="","",[2]Entry!$D$64)</f>
        <v/>
      </c>
      <c r="R61">
        <f>IF([2]Entry!$E$64="","",[2]Entry!$E$64)</f>
        <v/>
      </c>
      <c r="S61">
        <f>IF([2]Entry!$G$64="","",[2]Entry!$G$64)</f>
        <v/>
      </c>
      <c r="T61">
        <f>IF([2]Entry!$J$64="","",[2]Entry!$J$64)</f>
        <v/>
      </c>
      <c r="U61">
        <f>IF([2]Entry!$K$64="","",[2]Entry!$K$64)</f>
        <v/>
      </c>
      <c r="V61">
        <f>IF([2]Entry!$L$64="","",[2]Entry!$L$64)</f>
        <v/>
      </c>
      <c r="W61">
        <f>IF([2]Entry!$M$64="","",[2]Entry!$M$64)</f>
        <v/>
      </c>
      <c r="X61">
        <f>IF([2]Entry!$N$64="","",[2]Entry!$N$64)</f>
        <v/>
      </c>
      <c r="Y61">
        <f>IF([2]Entry!$R$64="","",[2]Entry!$R$64)</f>
        <v/>
      </c>
      <c r="AA61">
        <f>IF(AND($E61&lt;&gt;"",$G61&lt;&gt;"",$F61="هزینه"),1,0)</f>
        <v/>
      </c>
      <c r="AB61">
        <f>SUM($AA$6:$AA61)</f>
        <v/>
      </c>
      <c r="AC61">
        <f>IFERROR(INDEX($E$6:$E$105,MATCH(ROW()-5,$AB$6:$AB$105,0)),"")</f>
        <v/>
      </c>
    </row>
    <row r="62">
      <c r="E62">
        <f>IF([1]SubGroups!$B$63="","",[1]SubGroups!$A$63)</f>
        <v/>
      </c>
      <c r="F62">
        <f>IF([1]SubGroups!$B$63="","",[1]SubGroups!$B$63)</f>
        <v/>
      </c>
      <c r="G62">
        <f>IF([1]SubGroups!$B$63="","",[1]SubGroups!$C$63)</f>
        <v/>
      </c>
      <c r="H62">
        <f>IF([1]SubGroups!$B$63="","",[1]SubGroups!$D$63)</f>
        <v/>
      </c>
      <c r="J62">
        <f>IF([1]Accounts!$D$63="","",[1]Accounts!$A$63)</f>
        <v/>
      </c>
      <c r="K62">
        <f>IF([1]Accounts!$D$63="","",[1]Accounts!$B$63)</f>
        <v/>
      </c>
      <c r="L62">
        <f>IF([1]Accounts!$D$63="","",[1]Accounts!$C$63)</f>
        <v/>
      </c>
      <c r="M62">
        <f>IF([1]Accounts!$D$63="","",[1]Accounts!$D$63)</f>
        <v/>
      </c>
      <c r="P62">
        <f>IF([2]Entry!$C$65="","",[2]Entry!$C$65)</f>
        <v/>
      </c>
      <c r="Q62">
        <f>IF([2]Entry!$D$65="","",[2]Entry!$D$65)</f>
        <v/>
      </c>
      <c r="R62">
        <f>IF([2]Entry!$E$65="","",[2]Entry!$E$65)</f>
        <v/>
      </c>
      <c r="S62">
        <f>IF([2]Entry!$G$65="","",[2]Entry!$G$65)</f>
        <v/>
      </c>
      <c r="T62">
        <f>IF([2]Entry!$J$65="","",[2]Entry!$J$65)</f>
        <v/>
      </c>
      <c r="U62">
        <f>IF([2]Entry!$K$65="","",[2]Entry!$K$65)</f>
        <v/>
      </c>
      <c r="V62">
        <f>IF([2]Entry!$L$65="","",[2]Entry!$L$65)</f>
        <v/>
      </c>
      <c r="W62">
        <f>IF([2]Entry!$M$65="","",[2]Entry!$M$65)</f>
        <v/>
      </c>
      <c r="X62">
        <f>IF([2]Entry!$N$65="","",[2]Entry!$N$65)</f>
        <v/>
      </c>
      <c r="Y62">
        <f>IF([2]Entry!$R$65="","",[2]Entry!$R$65)</f>
        <v/>
      </c>
      <c r="AA62">
        <f>IF(AND($E62&lt;&gt;"",$G62&lt;&gt;"",$F62="هزینه"),1,0)</f>
        <v/>
      </c>
      <c r="AB62">
        <f>SUM($AA$6:$AA62)</f>
        <v/>
      </c>
      <c r="AC62">
        <f>IFERROR(INDEX($E$6:$E$105,MATCH(ROW()-5,$AB$6:$AB$105,0)),"")</f>
        <v/>
      </c>
    </row>
    <row r="63">
      <c r="E63">
        <f>IF([1]SubGroups!$B$64="","",[1]SubGroups!$A$64)</f>
        <v/>
      </c>
      <c r="F63">
        <f>IF([1]SubGroups!$B$64="","",[1]SubGroups!$B$64)</f>
        <v/>
      </c>
      <c r="G63">
        <f>IF([1]SubGroups!$B$64="","",[1]SubGroups!$C$64)</f>
        <v/>
      </c>
      <c r="H63">
        <f>IF([1]SubGroups!$B$64="","",[1]SubGroups!$D$64)</f>
        <v/>
      </c>
      <c r="J63">
        <f>IF([1]Accounts!$D$64="","",[1]Accounts!$A$64)</f>
        <v/>
      </c>
      <c r="K63">
        <f>IF([1]Accounts!$D$64="","",[1]Accounts!$B$64)</f>
        <v/>
      </c>
      <c r="L63">
        <f>IF([1]Accounts!$D$64="","",[1]Accounts!$C$64)</f>
        <v/>
      </c>
      <c r="M63">
        <f>IF([1]Accounts!$D$64="","",[1]Accounts!$D$64)</f>
        <v/>
      </c>
      <c r="P63">
        <f>IF([2]Entry!$C$66="","",[2]Entry!$C$66)</f>
        <v/>
      </c>
      <c r="Q63">
        <f>IF([2]Entry!$D$66="","",[2]Entry!$D$66)</f>
        <v/>
      </c>
      <c r="R63">
        <f>IF([2]Entry!$E$66="","",[2]Entry!$E$66)</f>
        <v/>
      </c>
      <c r="S63">
        <f>IF([2]Entry!$G$66="","",[2]Entry!$G$66)</f>
        <v/>
      </c>
      <c r="T63">
        <f>IF([2]Entry!$J$66="","",[2]Entry!$J$66)</f>
        <v/>
      </c>
      <c r="U63">
        <f>IF([2]Entry!$K$66="","",[2]Entry!$K$66)</f>
        <v/>
      </c>
      <c r="V63">
        <f>IF([2]Entry!$L$66="","",[2]Entry!$L$66)</f>
        <v/>
      </c>
      <c r="W63">
        <f>IF([2]Entry!$M$66="","",[2]Entry!$M$66)</f>
        <v/>
      </c>
      <c r="X63">
        <f>IF([2]Entry!$N$66="","",[2]Entry!$N$66)</f>
        <v/>
      </c>
      <c r="Y63">
        <f>IF([2]Entry!$R$66="","",[2]Entry!$R$66)</f>
        <v/>
      </c>
      <c r="AA63">
        <f>IF(AND($E63&lt;&gt;"",$G63&lt;&gt;"",$F63="هزینه"),1,0)</f>
        <v/>
      </c>
      <c r="AB63">
        <f>SUM($AA$6:$AA63)</f>
        <v/>
      </c>
      <c r="AC63">
        <f>IFERROR(INDEX($E$6:$E$105,MATCH(ROW()-5,$AB$6:$AB$105,0)),"")</f>
        <v/>
      </c>
    </row>
    <row r="64">
      <c r="E64">
        <f>IF([1]SubGroups!$B$65="","",[1]SubGroups!$A$65)</f>
        <v/>
      </c>
      <c r="F64">
        <f>IF([1]SubGroups!$B$65="","",[1]SubGroups!$B$65)</f>
        <v/>
      </c>
      <c r="G64">
        <f>IF([1]SubGroups!$B$65="","",[1]SubGroups!$C$65)</f>
        <v/>
      </c>
      <c r="H64">
        <f>IF([1]SubGroups!$B$65="","",[1]SubGroups!$D$65)</f>
        <v/>
      </c>
      <c r="J64">
        <f>IF([1]Accounts!$D$65="","",[1]Accounts!$A$65)</f>
        <v/>
      </c>
      <c r="K64">
        <f>IF([1]Accounts!$D$65="","",[1]Accounts!$B$65)</f>
        <v/>
      </c>
      <c r="L64">
        <f>IF([1]Accounts!$D$65="","",[1]Accounts!$C$65)</f>
        <v/>
      </c>
      <c r="M64">
        <f>IF([1]Accounts!$D$65="","",[1]Accounts!$D$65)</f>
        <v/>
      </c>
      <c r="P64">
        <f>IF([2]Entry!$C$67="","",[2]Entry!$C$67)</f>
        <v/>
      </c>
      <c r="Q64">
        <f>IF([2]Entry!$D$67="","",[2]Entry!$D$67)</f>
        <v/>
      </c>
      <c r="R64">
        <f>IF([2]Entry!$E$67="","",[2]Entry!$E$67)</f>
        <v/>
      </c>
      <c r="S64">
        <f>IF([2]Entry!$G$67="","",[2]Entry!$G$67)</f>
        <v/>
      </c>
      <c r="T64">
        <f>IF([2]Entry!$J$67="","",[2]Entry!$J$67)</f>
        <v/>
      </c>
      <c r="U64">
        <f>IF([2]Entry!$K$67="","",[2]Entry!$K$67)</f>
        <v/>
      </c>
      <c r="V64">
        <f>IF([2]Entry!$L$67="","",[2]Entry!$L$67)</f>
        <v/>
      </c>
      <c r="W64">
        <f>IF([2]Entry!$M$67="","",[2]Entry!$M$67)</f>
        <v/>
      </c>
      <c r="X64">
        <f>IF([2]Entry!$N$67="","",[2]Entry!$N$67)</f>
        <v/>
      </c>
      <c r="Y64">
        <f>IF([2]Entry!$R$67="","",[2]Entry!$R$67)</f>
        <v/>
      </c>
      <c r="AA64">
        <f>IF(AND($E64&lt;&gt;"",$G64&lt;&gt;"",$F64="هزینه"),1,0)</f>
        <v/>
      </c>
      <c r="AB64">
        <f>SUM($AA$6:$AA64)</f>
        <v/>
      </c>
      <c r="AC64">
        <f>IFERROR(INDEX($E$6:$E$105,MATCH(ROW()-5,$AB$6:$AB$105,0)),"")</f>
        <v/>
      </c>
    </row>
    <row r="65">
      <c r="E65">
        <f>IF([1]SubGroups!$B$66="","",[1]SubGroups!$A$66)</f>
        <v/>
      </c>
      <c r="F65">
        <f>IF([1]SubGroups!$B$66="","",[1]SubGroups!$B$66)</f>
        <v/>
      </c>
      <c r="G65">
        <f>IF([1]SubGroups!$B$66="","",[1]SubGroups!$C$66)</f>
        <v/>
      </c>
      <c r="H65">
        <f>IF([1]SubGroups!$B$66="","",[1]SubGroups!$D$66)</f>
        <v/>
      </c>
      <c r="J65">
        <f>IF([1]Accounts!$D$66="","",[1]Accounts!$A$66)</f>
        <v/>
      </c>
      <c r="K65">
        <f>IF([1]Accounts!$D$66="","",[1]Accounts!$B$66)</f>
        <v/>
      </c>
      <c r="L65">
        <f>IF([1]Accounts!$D$66="","",[1]Accounts!$C$66)</f>
        <v/>
      </c>
      <c r="M65">
        <f>IF([1]Accounts!$D$66="","",[1]Accounts!$D$66)</f>
        <v/>
      </c>
      <c r="P65">
        <f>IF([2]Entry!$C$68="","",[2]Entry!$C$68)</f>
        <v/>
      </c>
      <c r="Q65">
        <f>IF([2]Entry!$D$68="","",[2]Entry!$D$68)</f>
        <v/>
      </c>
      <c r="R65">
        <f>IF([2]Entry!$E$68="","",[2]Entry!$E$68)</f>
        <v/>
      </c>
      <c r="S65">
        <f>IF([2]Entry!$G$68="","",[2]Entry!$G$68)</f>
        <v/>
      </c>
      <c r="T65">
        <f>IF([2]Entry!$J$68="","",[2]Entry!$J$68)</f>
        <v/>
      </c>
      <c r="U65">
        <f>IF([2]Entry!$K$68="","",[2]Entry!$K$68)</f>
        <v/>
      </c>
      <c r="V65">
        <f>IF([2]Entry!$L$68="","",[2]Entry!$L$68)</f>
        <v/>
      </c>
      <c r="W65">
        <f>IF([2]Entry!$M$68="","",[2]Entry!$M$68)</f>
        <v/>
      </c>
      <c r="X65">
        <f>IF([2]Entry!$N$68="","",[2]Entry!$N$68)</f>
        <v/>
      </c>
      <c r="Y65">
        <f>IF([2]Entry!$R$68="","",[2]Entry!$R$68)</f>
        <v/>
      </c>
      <c r="AA65">
        <f>IF(AND($E65&lt;&gt;"",$G65&lt;&gt;"",$F65="هزینه"),1,0)</f>
        <v/>
      </c>
      <c r="AB65">
        <f>SUM($AA$6:$AA65)</f>
        <v/>
      </c>
      <c r="AC65">
        <f>IFERROR(INDEX($E$6:$E$105,MATCH(ROW()-5,$AB$6:$AB$105,0)),"")</f>
        <v/>
      </c>
    </row>
    <row r="66">
      <c r="E66">
        <f>IF([1]SubGroups!$B$67="","",[1]SubGroups!$A$67)</f>
        <v/>
      </c>
      <c r="F66">
        <f>IF([1]SubGroups!$B$67="","",[1]SubGroups!$B$67)</f>
        <v/>
      </c>
      <c r="G66">
        <f>IF([1]SubGroups!$B$67="","",[1]SubGroups!$C$67)</f>
        <v/>
      </c>
      <c r="H66">
        <f>IF([1]SubGroups!$B$67="","",[1]SubGroups!$D$67)</f>
        <v/>
      </c>
      <c r="J66">
        <f>IF([1]Accounts!$D$67="","",[1]Accounts!$A$67)</f>
        <v/>
      </c>
      <c r="K66">
        <f>IF([1]Accounts!$D$67="","",[1]Accounts!$B$67)</f>
        <v/>
      </c>
      <c r="L66">
        <f>IF([1]Accounts!$D$67="","",[1]Accounts!$C$67)</f>
        <v/>
      </c>
      <c r="M66">
        <f>IF([1]Accounts!$D$67="","",[1]Accounts!$D$67)</f>
        <v/>
      </c>
      <c r="P66">
        <f>IF([2]Entry!$C$69="","",[2]Entry!$C$69)</f>
        <v/>
      </c>
      <c r="Q66">
        <f>IF([2]Entry!$D$69="","",[2]Entry!$D$69)</f>
        <v/>
      </c>
      <c r="R66">
        <f>IF([2]Entry!$E$69="","",[2]Entry!$E$69)</f>
        <v/>
      </c>
      <c r="S66">
        <f>IF([2]Entry!$G$69="","",[2]Entry!$G$69)</f>
        <v/>
      </c>
      <c r="T66">
        <f>IF([2]Entry!$J$69="","",[2]Entry!$J$69)</f>
        <v/>
      </c>
      <c r="U66">
        <f>IF([2]Entry!$K$69="","",[2]Entry!$K$69)</f>
        <v/>
      </c>
      <c r="V66">
        <f>IF([2]Entry!$L$69="","",[2]Entry!$L$69)</f>
        <v/>
      </c>
      <c r="W66">
        <f>IF([2]Entry!$M$69="","",[2]Entry!$M$69)</f>
        <v/>
      </c>
      <c r="X66">
        <f>IF([2]Entry!$N$69="","",[2]Entry!$N$69)</f>
        <v/>
      </c>
      <c r="Y66">
        <f>IF([2]Entry!$R$69="","",[2]Entry!$R$69)</f>
        <v/>
      </c>
      <c r="AA66">
        <f>IF(AND($E66&lt;&gt;"",$G66&lt;&gt;"",$F66="هزینه"),1,0)</f>
        <v/>
      </c>
      <c r="AB66">
        <f>SUM($AA$6:$AA66)</f>
        <v/>
      </c>
      <c r="AC66">
        <f>IFERROR(INDEX($E$6:$E$105,MATCH(ROW()-5,$AB$6:$AB$105,0)),"")</f>
        <v/>
      </c>
    </row>
    <row r="67">
      <c r="E67">
        <f>IF([1]SubGroups!$B$68="","",[1]SubGroups!$A$68)</f>
        <v/>
      </c>
      <c r="F67">
        <f>IF([1]SubGroups!$B$68="","",[1]SubGroups!$B$68)</f>
        <v/>
      </c>
      <c r="G67">
        <f>IF([1]SubGroups!$B$68="","",[1]SubGroups!$C$68)</f>
        <v/>
      </c>
      <c r="H67">
        <f>IF([1]SubGroups!$B$68="","",[1]SubGroups!$D$68)</f>
        <v/>
      </c>
      <c r="J67">
        <f>IF([1]Accounts!$D$68="","",[1]Accounts!$A$68)</f>
        <v/>
      </c>
      <c r="K67">
        <f>IF([1]Accounts!$D$68="","",[1]Accounts!$B$68)</f>
        <v/>
      </c>
      <c r="L67">
        <f>IF([1]Accounts!$D$68="","",[1]Accounts!$C$68)</f>
        <v/>
      </c>
      <c r="M67">
        <f>IF([1]Accounts!$D$68="","",[1]Accounts!$D$68)</f>
        <v/>
      </c>
      <c r="P67">
        <f>IF([2]Entry!$C$70="","",[2]Entry!$C$70)</f>
        <v/>
      </c>
      <c r="Q67">
        <f>IF([2]Entry!$D$70="","",[2]Entry!$D$70)</f>
        <v/>
      </c>
      <c r="R67">
        <f>IF([2]Entry!$E$70="","",[2]Entry!$E$70)</f>
        <v/>
      </c>
      <c r="S67">
        <f>IF([2]Entry!$G$70="","",[2]Entry!$G$70)</f>
        <v/>
      </c>
      <c r="T67">
        <f>IF([2]Entry!$J$70="","",[2]Entry!$J$70)</f>
        <v/>
      </c>
      <c r="U67">
        <f>IF([2]Entry!$K$70="","",[2]Entry!$K$70)</f>
        <v/>
      </c>
      <c r="V67">
        <f>IF([2]Entry!$L$70="","",[2]Entry!$L$70)</f>
        <v/>
      </c>
      <c r="W67">
        <f>IF([2]Entry!$M$70="","",[2]Entry!$M$70)</f>
        <v/>
      </c>
      <c r="X67">
        <f>IF([2]Entry!$N$70="","",[2]Entry!$N$70)</f>
        <v/>
      </c>
      <c r="Y67">
        <f>IF([2]Entry!$R$70="","",[2]Entry!$R$70)</f>
        <v/>
      </c>
      <c r="AA67">
        <f>IF(AND($E67&lt;&gt;"",$G67&lt;&gt;"",$F67="هزینه"),1,0)</f>
        <v/>
      </c>
      <c r="AB67">
        <f>SUM($AA$6:$AA67)</f>
        <v/>
      </c>
      <c r="AC67">
        <f>IFERROR(INDEX($E$6:$E$105,MATCH(ROW()-5,$AB$6:$AB$105,0)),"")</f>
        <v/>
      </c>
    </row>
    <row r="68">
      <c r="E68">
        <f>IF([1]SubGroups!$B$69="","",[1]SubGroups!$A$69)</f>
        <v/>
      </c>
      <c r="F68">
        <f>IF([1]SubGroups!$B$69="","",[1]SubGroups!$B$69)</f>
        <v/>
      </c>
      <c r="G68">
        <f>IF([1]SubGroups!$B$69="","",[1]SubGroups!$C$69)</f>
        <v/>
      </c>
      <c r="H68">
        <f>IF([1]SubGroups!$B$69="","",[1]SubGroups!$D$69)</f>
        <v/>
      </c>
      <c r="J68">
        <f>IF([1]Accounts!$D$69="","",[1]Accounts!$A$69)</f>
        <v/>
      </c>
      <c r="K68">
        <f>IF([1]Accounts!$D$69="","",[1]Accounts!$B$69)</f>
        <v/>
      </c>
      <c r="L68">
        <f>IF([1]Accounts!$D$69="","",[1]Accounts!$C$69)</f>
        <v/>
      </c>
      <c r="M68">
        <f>IF([1]Accounts!$D$69="","",[1]Accounts!$D$69)</f>
        <v/>
      </c>
      <c r="P68">
        <f>IF([2]Entry!$C$71="","",[2]Entry!$C$71)</f>
        <v/>
      </c>
      <c r="Q68">
        <f>IF([2]Entry!$D$71="","",[2]Entry!$D$71)</f>
        <v/>
      </c>
      <c r="R68">
        <f>IF([2]Entry!$E$71="","",[2]Entry!$E$71)</f>
        <v/>
      </c>
      <c r="S68">
        <f>IF([2]Entry!$G$71="","",[2]Entry!$G$71)</f>
        <v/>
      </c>
      <c r="T68">
        <f>IF([2]Entry!$J$71="","",[2]Entry!$J$71)</f>
        <v/>
      </c>
      <c r="U68">
        <f>IF([2]Entry!$K$71="","",[2]Entry!$K$71)</f>
        <v/>
      </c>
      <c r="V68">
        <f>IF([2]Entry!$L$71="","",[2]Entry!$L$71)</f>
        <v/>
      </c>
      <c r="W68">
        <f>IF([2]Entry!$M$71="","",[2]Entry!$M$71)</f>
        <v/>
      </c>
      <c r="X68">
        <f>IF([2]Entry!$N$71="","",[2]Entry!$N$71)</f>
        <v/>
      </c>
      <c r="Y68">
        <f>IF([2]Entry!$R$71="","",[2]Entry!$R$71)</f>
        <v/>
      </c>
      <c r="AA68">
        <f>IF(AND($E68&lt;&gt;"",$G68&lt;&gt;"",$F68="هزینه"),1,0)</f>
        <v/>
      </c>
      <c r="AB68">
        <f>SUM($AA$6:$AA68)</f>
        <v/>
      </c>
      <c r="AC68">
        <f>IFERROR(INDEX($E$6:$E$105,MATCH(ROW()-5,$AB$6:$AB$105,0)),"")</f>
        <v/>
      </c>
    </row>
    <row r="69">
      <c r="E69">
        <f>IF([1]SubGroups!$B$70="","",[1]SubGroups!$A$70)</f>
        <v/>
      </c>
      <c r="F69">
        <f>IF([1]SubGroups!$B$70="","",[1]SubGroups!$B$70)</f>
        <v/>
      </c>
      <c r="G69">
        <f>IF([1]SubGroups!$B$70="","",[1]SubGroups!$C$70)</f>
        <v/>
      </c>
      <c r="H69">
        <f>IF([1]SubGroups!$B$70="","",[1]SubGroups!$D$70)</f>
        <v/>
      </c>
      <c r="J69">
        <f>IF([1]Accounts!$D$70="","",[1]Accounts!$A$70)</f>
        <v/>
      </c>
      <c r="K69">
        <f>IF([1]Accounts!$D$70="","",[1]Accounts!$B$70)</f>
        <v/>
      </c>
      <c r="L69">
        <f>IF([1]Accounts!$D$70="","",[1]Accounts!$C$70)</f>
        <v/>
      </c>
      <c r="M69">
        <f>IF([1]Accounts!$D$70="","",[1]Accounts!$D$70)</f>
        <v/>
      </c>
      <c r="P69">
        <f>IF([2]Entry!$C$72="","",[2]Entry!$C$72)</f>
        <v/>
      </c>
      <c r="Q69">
        <f>IF([2]Entry!$D$72="","",[2]Entry!$D$72)</f>
        <v/>
      </c>
      <c r="R69">
        <f>IF([2]Entry!$E$72="","",[2]Entry!$E$72)</f>
        <v/>
      </c>
      <c r="S69">
        <f>IF([2]Entry!$G$72="","",[2]Entry!$G$72)</f>
        <v/>
      </c>
      <c r="T69">
        <f>IF([2]Entry!$J$72="","",[2]Entry!$J$72)</f>
        <v/>
      </c>
      <c r="U69">
        <f>IF([2]Entry!$K$72="","",[2]Entry!$K$72)</f>
        <v/>
      </c>
      <c r="V69">
        <f>IF([2]Entry!$L$72="","",[2]Entry!$L$72)</f>
        <v/>
      </c>
      <c r="W69">
        <f>IF([2]Entry!$M$72="","",[2]Entry!$M$72)</f>
        <v/>
      </c>
      <c r="X69">
        <f>IF([2]Entry!$N$72="","",[2]Entry!$N$72)</f>
        <v/>
      </c>
      <c r="Y69">
        <f>IF([2]Entry!$R$72="","",[2]Entry!$R$72)</f>
        <v/>
      </c>
      <c r="AA69">
        <f>IF(AND($E69&lt;&gt;"",$G69&lt;&gt;"",$F69="هزینه"),1,0)</f>
        <v/>
      </c>
      <c r="AB69">
        <f>SUM($AA$6:$AA69)</f>
        <v/>
      </c>
      <c r="AC69">
        <f>IFERROR(INDEX($E$6:$E$105,MATCH(ROW()-5,$AB$6:$AB$105,0)),"")</f>
        <v/>
      </c>
    </row>
    <row r="70">
      <c r="E70">
        <f>IF([1]SubGroups!$B$71="","",[1]SubGroups!$A$71)</f>
        <v/>
      </c>
      <c r="F70">
        <f>IF([1]SubGroups!$B$71="","",[1]SubGroups!$B$71)</f>
        <v/>
      </c>
      <c r="G70">
        <f>IF([1]SubGroups!$B$71="","",[1]SubGroups!$C$71)</f>
        <v/>
      </c>
      <c r="H70">
        <f>IF([1]SubGroups!$B$71="","",[1]SubGroups!$D$71)</f>
        <v/>
      </c>
      <c r="J70">
        <f>IF([1]Accounts!$D$71="","",[1]Accounts!$A$71)</f>
        <v/>
      </c>
      <c r="K70">
        <f>IF([1]Accounts!$D$71="","",[1]Accounts!$B$71)</f>
        <v/>
      </c>
      <c r="L70">
        <f>IF([1]Accounts!$D$71="","",[1]Accounts!$C$71)</f>
        <v/>
      </c>
      <c r="M70">
        <f>IF([1]Accounts!$D$71="","",[1]Accounts!$D$71)</f>
        <v/>
      </c>
      <c r="P70">
        <f>IF([2]Entry!$C$73="","",[2]Entry!$C$73)</f>
        <v/>
      </c>
      <c r="Q70">
        <f>IF([2]Entry!$D$73="","",[2]Entry!$D$73)</f>
        <v/>
      </c>
      <c r="R70">
        <f>IF([2]Entry!$E$73="","",[2]Entry!$E$73)</f>
        <v/>
      </c>
      <c r="S70">
        <f>IF([2]Entry!$G$73="","",[2]Entry!$G$73)</f>
        <v/>
      </c>
      <c r="T70">
        <f>IF([2]Entry!$J$73="","",[2]Entry!$J$73)</f>
        <v/>
      </c>
      <c r="U70">
        <f>IF([2]Entry!$K$73="","",[2]Entry!$K$73)</f>
        <v/>
      </c>
      <c r="V70">
        <f>IF([2]Entry!$L$73="","",[2]Entry!$L$73)</f>
        <v/>
      </c>
      <c r="W70">
        <f>IF([2]Entry!$M$73="","",[2]Entry!$M$73)</f>
        <v/>
      </c>
      <c r="X70">
        <f>IF([2]Entry!$N$73="","",[2]Entry!$N$73)</f>
        <v/>
      </c>
      <c r="Y70">
        <f>IF([2]Entry!$R$73="","",[2]Entry!$R$73)</f>
        <v/>
      </c>
      <c r="AA70">
        <f>IF(AND($E70&lt;&gt;"",$G70&lt;&gt;"",$F70="هزینه"),1,0)</f>
        <v/>
      </c>
      <c r="AB70">
        <f>SUM($AA$6:$AA70)</f>
        <v/>
      </c>
      <c r="AC70">
        <f>IFERROR(INDEX($E$6:$E$105,MATCH(ROW()-5,$AB$6:$AB$105,0)),"")</f>
        <v/>
      </c>
    </row>
    <row r="71">
      <c r="E71">
        <f>IF([1]SubGroups!$B$72="","",[1]SubGroups!$A$72)</f>
        <v/>
      </c>
      <c r="F71">
        <f>IF([1]SubGroups!$B$72="","",[1]SubGroups!$B$72)</f>
        <v/>
      </c>
      <c r="G71">
        <f>IF([1]SubGroups!$B$72="","",[1]SubGroups!$C$72)</f>
        <v/>
      </c>
      <c r="H71">
        <f>IF([1]SubGroups!$B$72="","",[1]SubGroups!$D$72)</f>
        <v/>
      </c>
      <c r="J71">
        <f>IF([1]Accounts!$D$72="","",[1]Accounts!$A$72)</f>
        <v/>
      </c>
      <c r="K71">
        <f>IF([1]Accounts!$D$72="","",[1]Accounts!$B$72)</f>
        <v/>
      </c>
      <c r="L71">
        <f>IF([1]Accounts!$D$72="","",[1]Accounts!$C$72)</f>
        <v/>
      </c>
      <c r="M71">
        <f>IF([1]Accounts!$D$72="","",[1]Accounts!$D$72)</f>
        <v/>
      </c>
      <c r="P71">
        <f>IF([2]Entry!$C$74="","",[2]Entry!$C$74)</f>
        <v/>
      </c>
      <c r="Q71">
        <f>IF([2]Entry!$D$74="","",[2]Entry!$D$74)</f>
        <v/>
      </c>
      <c r="R71">
        <f>IF([2]Entry!$E$74="","",[2]Entry!$E$74)</f>
        <v/>
      </c>
      <c r="S71">
        <f>IF([2]Entry!$G$74="","",[2]Entry!$G$74)</f>
        <v/>
      </c>
      <c r="T71">
        <f>IF([2]Entry!$J$74="","",[2]Entry!$J$74)</f>
        <v/>
      </c>
      <c r="U71">
        <f>IF([2]Entry!$K$74="","",[2]Entry!$K$74)</f>
        <v/>
      </c>
      <c r="V71">
        <f>IF([2]Entry!$L$74="","",[2]Entry!$L$74)</f>
        <v/>
      </c>
      <c r="W71">
        <f>IF([2]Entry!$M$74="","",[2]Entry!$M$74)</f>
        <v/>
      </c>
      <c r="X71">
        <f>IF([2]Entry!$N$74="","",[2]Entry!$N$74)</f>
        <v/>
      </c>
      <c r="Y71">
        <f>IF([2]Entry!$R$74="","",[2]Entry!$R$74)</f>
        <v/>
      </c>
      <c r="AA71">
        <f>IF(AND($E71&lt;&gt;"",$G71&lt;&gt;"",$F71="هزینه"),1,0)</f>
        <v/>
      </c>
      <c r="AB71">
        <f>SUM($AA$6:$AA71)</f>
        <v/>
      </c>
      <c r="AC71">
        <f>IFERROR(INDEX($E$6:$E$105,MATCH(ROW()-5,$AB$6:$AB$105,0)),"")</f>
        <v/>
      </c>
    </row>
    <row r="72">
      <c r="E72">
        <f>IF([1]SubGroups!$B$73="","",[1]SubGroups!$A$73)</f>
        <v/>
      </c>
      <c r="F72">
        <f>IF([1]SubGroups!$B$73="","",[1]SubGroups!$B$73)</f>
        <v/>
      </c>
      <c r="G72">
        <f>IF([1]SubGroups!$B$73="","",[1]SubGroups!$C$73)</f>
        <v/>
      </c>
      <c r="H72">
        <f>IF([1]SubGroups!$B$73="","",[1]SubGroups!$D$73)</f>
        <v/>
      </c>
      <c r="J72">
        <f>IF([1]Accounts!$D$73="","",[1]Accounts!$A$73)</f>
        <v/>
      </c>
      <c r="K72">
        <f>IF([1]Accounts!$D$73="","",[1]Accounts!$B$73)</f>
        <v/>
      </c>
      <c r="L72">
        <f>IF([1]Accounts!$D$73="","",[1]Accounts!$C$73)</f>
        <v/>
      </c>
      <c r="M72">
        <f>IF([1]Accounts!$D$73="","",[1]Accounts!$D$73)</f>
        <v/>
      </c>
      <c r="P72">
        <f>IF([2]Entry!$C$75="","",[2]Entry!$C$75)</f>
        <v/>
      </c>
      <c r="Q72">
        <f>IF([2]Entry!$D$75="","",[2]Entry!$D$75)</f>
        <v/>
      </c>
      <c r="R72">
        <f>IF([2]Entry!$E$75="","",[2]Entry!$E$75)</f>
        <v/>
      </c>
      <c r="S72">
        <f>IF([2]Entry!$G$75="","",[2]Entry!$G$75)</f>
        <v/>
      </c>
      <c r="T72">
        <f>IF([2]Entry!$J$75="","",[2]Entry!$J$75)</f>
        <v/>
      </c>
      <c r="U72">
        <f>IF([2]Entry!$K$75="","",[2]Entry!$K$75)</f>
        <v/>
      </c>
      <c r="V72">
        <f>IF([2]Entry!$L$75="","",[2]Entry!$L$75)</f>
        <v/>
      </c>
      <c r="W72">
        <f>IF([2]Entry!$M$75="","",[2]Entry!$M$75)</f>
        <v/>
      </c>
      <c r="X72">
        <f>IF([2]Entry!$N$75="","",[2]Entry!$N$75)</f>
        <v/>
      </c>
      <c r="Y72">
        <f>IF([2]Entry!$R$75="","",[2]Entry!$R$75)</f>
        <v/>
      </c>
      <c r="AA72">
        <f>IF(AND($E72&lt;&gt;"",$G72&lt;&gt;"",$F72="هزینه"),1,0)</f>
        <v/>
      </c>
      <c r="AB72">
        <f>SUM($AA$6:$AA72)</f>
        <v/>
      </c>
      <c r="AC72">
        <f>IFERROR(INDEX($E$6:$E$105,MATCH(ROW()-5,$AB$6:$AB$105,0)),"")</f>
        <v/>
      </c>
    </row>
    <row r="73">
      <c r="E73">
        <f>IF([1]SubGroups!$B$74="","",[1]SubGroups!$A$74)</f>
        <v/>
      </c>
      <c r="F73">
        <f>IF([1]SubGroups!$B$74="","",[1]SubGroups!$B$74)</f>
        <v/>
      </c>
      <c r="G73">
        <f>IF([1]SubGroups!$B$74="","",[1]SubGroups!$C$74)</f>
        <v/>
      </c>
      <c r="H73">
        <f>IF([1]SubGroups!$B$74="","",[1]SubGroups!$D$74)</f>
        <v/>
      </c>
      <c r="J73">
        <f>IF([1]Accounts!$D$74="","",[1]Accounts!$A$74)</f>
        <v/>
      </c>
      <c r="K73">
        <f>IF([1]Accounts!$D$74="","",[1]Accounts!$B$74)</f>
        <v/>
      </c>
      <c r="L73">
        <f>IF([1]Accounts!$D$74="","",[1]Accounts!$C$74)</f>
        <v/>
      </c>
      <c r="M73">
        <f>IF([1]Accounts!$D$74="","",[1]Accounts!$D$74)</f>
        <v/>
      </c>
      <c r="P73">
        <f>IF([2]Entry!$C$76="","",[2]Entry!$C$76)</f>
        <v/>
      </c>
      <c r="Q73">
        <f>IF([2]Entry!$D$76="","",[2]Entry!$D$76)</f>
        <v/>
      </c>
      <c r="R73">
        <f>IF([2]Entry!$E$76="","",[2]Entry!$E$76)</f>
        <v/>
      </c>
      <c r="S73">
        <f>IF([2]Entry!$G$76="","",[2]Entry!$G$76)</f>
        <v/>
      </c>
      <c r="T73">
        <f>IF([2]Entry!$J$76="","",[2]Entry!$J$76)</f>
        <v/>
      </c>
      <c r="U73">
        <f>IF([2]Entry!$K$76="","",[2]Entry!$K$76)</f>
        <v/>
      </c>
      <c r="V73">
        <f>IF([2]Entry!$L$76="","",[2]Entry!$L$76)</f>
        <v/>
      </c>
      <c r="W73">
        <f>IF([2]Entry!$M$76="","",[2]Entry!$M$76)</f>
        <v/>
      </c>
      <c r="X73">
        <f>IF([2]Entry!$N$76="","",[2]Entry!$N$76)</f>
        <v/>
      </c>
      <c r="Y73">
        <f>IF([2]Entry!$R$76="","",[2]Entry!$R$76)</f>
        <v/>
      </c>
      <c r="AA73">
        <f>IF(AND($E73&lt;&gt;"",$G73&lt;&gt;"",$F73="هزینه"),1,0)</f>
        <v/>
      </c>
      <c r="AB73">
        <f>SUM($AA$6:$AA73)</f>
        <v/>
      </c>
      <c r="AC73">
        <f>IFERROR(INDEX($E$6:$E$105,MATCH(ROW()-5,$AB$6:$AB$105,0)),"")</f>
        <v/>
      </c>
    </row>
    <row r="74">
      <c r="E74">
        <f>IF([1]SubGroups!$B$75="","",[1]SubGroups!$A$75)</f>
        <v/>
      </c>
      <c r="F74">
        <f>IF([1]SubGroups!$B$75="","",[1]SubGroups!$B$75)</f>
        <v/>
      </c>
      <c r="G74">
        <f>IF([1]SubGroups!$B$75="","",[1]SubGroups!$C$75)</f>
        <v/>
      </c>
      <c r="H74">
        <f>IF([1]SubGroups!$B$75="","",[1]SubGroups!$D$75)</f>
        <v/>
      </c>
      <c r="J74">
        <f>IF([1]Accounts!$D$75="","",[1]Accounts!$A$75)</f>
        <v/>
      </c>
      <c r="K74">
        <f>IF([1]Accounts!$D$75="","",[1]Accounts!$B$75)</f>
        <v/>
      </c>
      <c r="L74">
        <f>IF([1]Accounts!$D$75="","",[1]Accounts!$C$75)</f>
        <v/>
      </c>
      <c r="M74">
        <f>IF([1]Accounts!$D$75="","",[1]Accounts!$D$75)</f>
        <v/>
      </c>
      <c r="P74">
        <f>IF([2]Entry!$C$77="","",[2]Entry!$C$77)</f>
        <v/>
      </c>
      <c r="Q74">
        <f>IF([2]Entry!$D$77="","",[2]Entry!$D$77)</f>
        <v/>
      </c>
      <c r="R74">
        <f>IF([2]Entry!$E$77="","",[2]Entry!$E$77)</f>
        <v/>
      </c>
      <c r="S74">
        <f>IF([2]Entry!$G$77="","",[2]Entry!$G$77)</f>
        <v/>
      </c>
      <c r="T74">
        <f>IF([2]Entry!$J$77="","",[2]Entry!$J$77)</f>
        <v/>
      </c>
      <c r="U74">
        <f>IF([2]Entry!$K$77="","",[2]Entry!$K$77)</f>
        <v/>
      </c>
      <c r="V74">
        <f>IF([2]Entry!$L$77="","",[2]Entry!$L$77)</f>
        <v/>
      </c>
      <c r="W74">
        <f>IF([2]Entry!$M$77="","",[2]Entry!$M$77)</f>
        <v/>
      </c>
      <c r="X74">
        <f>IF([2]Entry!$N$77="","",[2]Entry!$N$77)</f>
        <v/>
      </c>
      <c r="Y74">
        <f>IF([2]Entry!$R$77="","",[2]Entry!$R$77)</f>
        <v/>
      </c>
      <c r="AA74">
        <f>IF(AND($E74&lt;&gt;"",$G74&lt;&gt;"",$F74="هزینه"),1,0)</f>
        <v/>
      </c>
      <c r="AB74">
        <f>SUM($AA$6:$AA74)</f>
        <v/>
      </c>
      <c r="AC74">
        <f>IFERROR(INDEX($E$6:$E$105,MATCH(ROW()-5,$AB$6:$AB$105,0)),"")</f>
        <v/>
      </c>
    </row>
    <row r="75">
      <c r="E75">
        <f>IF([1]SubGroups!$B$76="","",[1]SubGroups!$A$76)</f>
        <v/>
      </c>
      <c r="F75">
        <f>IF([1]SubGroups!$B$76="","",[1]SubGroups!$B$76)</f>
        <v/>
      </c>
      <c r="G75">
        <f>IF([1]SubGroups!$B$76="","",[1]SubGroups!$C$76)</f>
        <v/>
      </c>
      <c r="H75">
        <f>IF([1]SubGroups!$B$76="","",[1]SubGroups!$D$76)</f>
        <v/>
      </c>
      <c r="J75">
        <f>IF([1]Accounts!$D$76="","",[1]Accounts!$A$76)</f>
        <v/>
      </c>
      <c r="K75">
        <f>IF([1]Accounts!$D$76="","",[1]Accounts!$B$76)</f>
        <v/>
      </c>
      <c r="L75">
        <f>IF([1]Accounts!$D$76="","",[1]Accounts!$C$76)</f>
        <v/>
      </c>
      <c r="M75">
        <f>IF([1]Accounts!$D$76="","",[1]Accounts!$D$76)</f>
        <v/>
      </c>
      <c r="P75">
        <f>IF([2]Entry!$C$78="","",[2]Entry!$C$78)</f>
        <v/>
      </c>
      <c r="Q75">
        <f>IF([2]Entry!$D$78="","",[2]Entry!$D$78)</f>
        <v/>
      </c>
      <c r="R75">
        <f>IF([2]Entry!$E$78="","",[2]Entry!$E$78)</f>
        <v/>
      </c>
      <c r="S75">
        <f>IF([2]Entry!$G$78="","",[2]Entry!$G$78)</f>
        <v/>
      </c>
      <c r="T75">
        <f>IF([2]Entry!$J$78="","",[2]Entry!$J$78)</f>
        <v/>
      </c>
      <c r="U75">
        <f>IF([2]Entry!$K$78="","",[2]Entry!$K$78)</f>
        <v/>
      </c>
      <c r="V75">
        <f>IF([2]Entry!$L$78="","",[2]Entry!$L$78)</f>
        <v/>
      </c>
      <c r="W75">
        <f>IF([2]Entry!$M$78="","",[2]Entry!$M$78)</f>
        <v/>
      </c>
      <c r="X75">
        <f>IF([2]Entry!$N$78="","",[2]Entry!$N$78)</f>
        <v/>
      </c>
      <c r="Y75">
        <f>IF([2]Entry!$R$78="","",[2]Entry!$R$78)</f>
        <v/>
      </c>
      <c r="AA75">
        <f>IF(AND($E75&lt;&gt;"",$G75&lt;&gt;"",$F75="هزینه"),1,0)</f>
        <v/>
      </c>
      <c r="AB75">
        <f>SUM($AA$6:$AA75)</f>
        <v/>
      </c>
      <c r="AC75">
        <f>IFERROR(INDEX($E$6:$E$105,MATCH(ROW()-5,$AB$6:$AB$105,0)),"")</f>
        <v/>
      </c>
    </row>
    <row r="76">
      <c r="E76">
        <f>IF([1]SubGroups!$B$77="","",[1]SubGroups!$A$77)</f>
        <v/>
      </c>
      <c r="F76">
        <f>IF([1]SubGroups!$B$77="","",[1]SubGroups!$B$77)</f>
        <v/>
      </c>
      <c r="G76">
        <f>IF([1]SubGroups!$B$77="","",[1]SubGroups!$C$77)</f>
        <v/>
      </c>
      <c r="H76">
        <f>IF([1]SubGroups!$B$77="","",[1]SubGroups!$D$77)</f>
        <v/>
      </c>
      <c r="J76">
        <f>IF([1]Accounts!$D$77="","",[1]Accounts!$A$77)</f>
        <v/>
      </c>
      <c r="K76">
        <f>IF([1]Accounts!$D$77="","",[1]Accounts!$B$77)</f>
        <v/>
      </c>
      <c r="L76">
        <f>IF([1]Accounts!$D$77="","",[1]Accounts!$C$77)</f>
        <v/>
      </c>
      <c r="M76">
        <f>IF([1]Accounts!$D$77="","",[1]Accounts!$D$77)</f>
        <v/>
      </c>
      <c r="P76">
        <f>IF([2]Entry!$C$79="","",[2]Entry!$C$79)</f>
        <v/>
      </c>
      <c r="Q76">
        <f>IF([2]Entry!$D$79="","",[2]Entry!$D$79)</f>
        <v/>
      </c>
      <c r="R76">
        <f>IF([2]Entry!$E$79="","",[2]Entry!$E$79)</f>
        <v/>
      </c>
      <c r="S76">
        <f>IF([2]Entry!$G$79="","",[2]Entry!$G$79)</f>
        <v/>
      </c>
      <c r="T76">
        <f>IF([2]Entry!$J$79="","",[2]Entry!$J$79)</f>
        <v/>
      </c>
      <c r="U76">
        <f>IF([2]Entry!$K$79="","",[2]Entry!$K$79)</f>
        <v/>
      </c>
      <c r="V76">
        <f>IF([2]Entry!$L$79="","",[2]Entry!$L$79)</f>
        <v/>
      </c>
      <c r="W76">
        <f>IF([2]Entry!$M$79="","",[2]Entry!$M$79)</f>
        <v/>
      </c>
      <c r="X76">
        <f>IF([2]Entry!$N$79="","",[2]Entry!$N$79)</f>
        <v/>
      </c>
      <c r="Y76">
        <f>IF([2]Entry!$R$79="","",[2]Entry!$R$79)</f>
        <v/>
      </c>
      <c r="AA76">
        <f>IF(AND($E76&lt;&gt;"",$G76&lt;&gt;"",$F76="هزینه"),1,0)</f>
        <v/>
      </c>
      <c r="AB76">
        <f>SUM($AA$6:$AA76)</f>
        <v/>
      </c>
      <c r="AC76">
        <f>IFERROR(INDEX($E$6:$E$105,MATCH(ROW()-5,$AB$6:$AB$105,0)),"")</f>
        <v/>
      </c>
    </row>
    <row r="77">
      <c r="E77">
        <f>IF([1]SubGroups!$B$78="","",[1]SubGroups!$A$78)</f>
        <v/>
      </c>
      <c r="F77">
        <f>IF([1]SubGroups!$B$78="","",[1]SubGroups!$B$78)</f>
        <v/>
      </c>
      <c r="G77">
        <f>IF([1]SubGroups!$B$78="","",[1]SubGroups!$C$78)</f>
        <v/>
      </c>
      <c r="H77">
        <f>IF([1]SubGroups!$B$78="","",[1]SubGroups!$D$78)</f>
        <v/>
      </c>
      <c r="J77">
        <f>IF([1]Accounts!$D$78="","",[1]Accounts!$A$78)</f>
        <v/>
      </c>
      <c r="K77">
        <f>IF([1]Accounts!$D$78="","",[1]Accounts!$B$78)</f>
        <v/>
      </c>
      <c r="L77">
        <f>IF([1]Accounts!$D$78="","",[1]Accounts!$C$78)</f>
        <v/>
      </c>
      <c r="M77">
        <f>IF([1]Accounts!$D$78="","",[1]Accounts!$D$78)</f>
        <v/>
      </c>
      <c r="P77">
        <f>IF([2]Entry!$C$80="","",[2]Entry!$C$80)</f>
        <v/>
      </c>
      <c r="Q77">
        <f>IF([2]Entry!$D$80="","",[2]Entry!$D$80)</f>
        <v/>
      </c>
      <c r="R77">
        <f>IF([2]Entry!$E$80="","",[2]Entry!$E$80)</f>
        <v/>
      </c>
      <c r="S77">
        <f>IF([2]Entry!$G$80="","",[2]Entry!$G$80)</f>
        <v/>
      </c>
      <c r="T77">
        <f>IF([2]Entry!$J$80="","",[2]Entry!$J$80)</f>
        <v/>
      </c>
      <c r="U77">
        <f>IF([2]Entry!$K$80="","",[2]Entry!$K$80)</f>
        <v/>
      </c>
      <c r="V77">
        <f>IF([2]Entry!$L$80="","",[2]Entry!$L$80)</f>
        <v/>
      </c>
      <c r="W77">
        <f>IF([2]Entry!$M$80="","",[2]Entry!$M$80)</f>
        <v/>
      </c>
      <c r="X77">
        <f>IF([2]Entry!$N$80="","",[2]Entry!$N$80)</f>
        <v/>
      </c>
      <c r="Y77">
        <f>IF([2]Entry!$R$80="","",[2]Entry!$R$80)</f>
        <v/>
      </c>
      <c r="AA77">
        <f>IF(AND($E77&lt;&gt;"",$G77&lt;&gt;"",$F77="هزینه"),1,0)</f>
        <v/>
      </c>
      <c r="AB77">
        <f>SUM($AA$6:$AA77)</f>
        <v/>
      </c>
      <c r="AC77">
        <f>IFERROR(INDEX($E$6:$E$105,MATCH(ROW()-5,$AB$6:$AB$105,0)),"")</f>
        <v/>
      </c>
    </row>
    <row r="78">
      <c r="E78">
        <f>IF([1]SubGroups!$B$79="","",[1]SubGroups!$A$79)</f>
        <v/>
      </c>
      <c r="F78">
        <f>IF([1]SubGroups!$B$79="","",[1]SubGroups!$B$79)</f>
        <v/>
      </c>
      <c r="G78">
        <f>IF([1]SubGroups!$B$79="","",[1]SubGroups!$C$79)</f>
        <v/>
      </c>
      <c r="H78">
        <f>IF([1]SubGroups!$B$79="","",[1]SubGroups!$D$79)</f>
        <v/>
      </c>
      <c r="J78">
        <f>IF([1]Accounts!$D$79="","",[1]Accounts!$A$79)</f>
        <v/>
      </c>
      <c r="K78">
        <f>IF([1]Accounts!$D$79="","",[1]Accounts!$B$79)</f>
        <v/>
      </c>
      <c r="L78">
        <f>IF([1]Accounts!$D$79="","",[1]Accounts!$C$79)</f>
        <v/>
      </c>
      <c r="M78">
        <f>IF([1]Accounts!$D$79="","",[1]Accounts!$D$79)</f>
        <v/>
      </c>
      <c r="P78">
        <f>IF([2]Entry!$C$81="","",[2]Entry!$C$81)</f>
        <v/>
      </c>
      <c r="Q78">
        <f>IF([2]Entry!$D$81="","",[2]Entry!$D$81)</f>
        <v/>
      </c>
      <c r="R78">
        <f>IF([2]Entry!$E$81="","",[2]Entry!$E$81)</f>
        <v/>
      </c>
      <c r="S78">
        <f>IF([2]Entry!$G$81="","",[2]Entry!$G$81)</f>
        <v/>
      </c>
      <c r="T78">
        <f>IF([2]Entry!$J$81="","",[2]Entry!$J$81)</f>
        <v/>
      </c>
      <c r="U78">
        <f>IF([2]Entry!$K$81="","",[2]Entry!$K$81)</f>
        <v/>
      </c>
      <c r="V78">
        <f>IF([2]Entry!$L$81="","",[2]Entry!$L$81)</f>
        <v/>
      </c>
      <c r="W78">
        <f>IF([2]Entry!$M$81="","",[2]Entry!$M$81)</f>
        <v/>
      </c>
      <c r="X78">
        <f>IF([2]Entry!$N$81="","",[2]Entry!$N$81)</f>
        <v/>
      </c>
      <c r="Y78">
        <f>IF([2]Entry!$R$81="","",[2]Entry!$R$81)</f>
        <v/>
      </c>
      <c r="AA78">
        <f>IF(AND($E78&lt;&gt;"",$G78&lt;&gt;"",$F78="هزینه"),1,0)</f>
        <v/>
      </c>
      <c r="AB78">
        <f>SUM($AA$6:$AA78)</f>
        <v/>
      </c>
      <c r="AC78">
        <f>IFERROR(INDEX($E$6:$E$105,MATCH(ROW()-5,$AB$6:$AB$105,0)),"")</f>
        <v/>
      </c>
    </row>
    <row r="79">
      <c r="E79">
        <f>IF([1]SubGroups!$B$80="","",[1]SubGroups!$A$80)</f>
        <v/>
      </c>
      <c r="F79">
        <f>IF([1]SubGroups!$B$80="","",[1]SubGroups!$B$80)</f>
        <v/>
      </c>
      <c r="G79">
        <f>IF([1]SubGroups!$B$80="","",[1]SubGroups!$C$80)</f>
        <v/>
      </c>
      <c r="H79">
        <f>IF([1]SubGroups!$B$80="","",[1]SubGroups!$D$80)</f>
        <v/>
      </c>
      <c r="J79">
        <f>IF([1]Accounts!$D$80="","",[1]Accounts!$A$80)</f>
        <v/>
      </c>
      <c r="K79">
        <f>IF([1]Accounts!$D$80="","",[1]Accounts!$B$80)</f>
        <v/>
      </c>
      <c r="L79">
        <f>IF([1]Accounts!$D$80="","",[1]Accounts!$C$80)</f>
        <v/>
      </c>
      <c r="M79">
        <f>IF([1]Accounts!$D$80="","",[1]Accounts!$D$80)</f>
        <v/>
      </c>
      <c r="P79">
        <f>IF([2]Entry!$C$82="","",[2]Entry!$C$82)</f>
        <v/>
      </c>
      <c r="Q79">
        <f>IF([2]Entry!$D$82="","",[2]Entry!$D$82)</f>
        <v/>
      </c>
      <c r="R79">
        <f>IF([2]Entry!$E$82="","",[2]Entry!$E$82)</f>
        <v/>
      </c>
      <c r="S79">
        <f>IF([2]Entry!$G$82="","",[2]Entry!$G$82)</f>
        <v/>
      </c>
      <c r="T79">
        <f>IF([2]Entry!$J$82="","",[2]Entry!$J$82)</f>
        <v/>
      </c>
      <c r="U79">
        <f>IF([2]Entry!$K$82="","",[2]Entry!$K$82)</f>
        <v/>
      </c>
      <c r="V79">
        <f>IF([2]Entry!$L$82="","",[2]Entry!$L$82)</f>
        <v/>
      </c>
      <c r="W79">
        <f>IF([2]Entry!$M$82="","",[2]Entry!$M$82)</f>
        <v/>
      </c>
      <c r="X79">
        <f>IF([2]Entry!$N$82="","",[2]Entry!$N$82)</f>
        <v/>
      </c>
      <c r="Y79">
        <f>IF([2]Entry!$R$82="","",[2]Entry!$R$82)</f>
        <v/>
      </c>
      <c r="AA79">
        <f>IF(AND($E79&lt;&gt;"",$G79&lt;&gt;"",$F79="هزینه"),1,0)</f>
        <v/>
      </c>
      <c r="AB79">
        <f>SUM($AA$6:$AA79)</f>
        <v/>
      </c>
      <c r="AC79">
        <f>IFERROR(INDEX($E$6:$E$105,MATCH(ROW()-5,$AB$6:$AB$105,0)),"")</f>
        <v/>
      </c>
    </row>
    <row r="80">
      <c r="E80">
        <f>IF([1]SubGroups!$B$81="","",[1]SubGroups!$A$81)</f>
        <v/>
      </c>
      <c r="F80">
        <f>IF([1]SubGroups!$B$81="","",[1]SubGroups!$B$81)</f>
        <v/>
      </c>
      <c r="G80">
        <f>IF([1]SubGroups!$B$81="","",[1]SubGroups!$C$81)</f>
        <v/>
      </c>
      <c r="H80">
        <f>IF([1]SubGroups!$B$81="","",[1]SubGroups!$D$81)</f>
        <v/>
      </c>
      <c r="J80">
        <f>IF([1]Accounts!$D$81="","",[1]Accounts!$A$81)</f>
        <v/>
      </c>
      <c r="K80">
        <f>IF([1]Accounts!$D$81="","",[1]Accounts!$B$81)</f>
        <v/>
      </c>
      <c r="L80">
        <f>IF([1]Accounts!$D$81="","",[1]Accounts!$C$81)</f>
        <v/>
      </c>
      <c r="M80">
        <f>IF([1]Accounts!$D$81="","",[1]Accounts!$D$81)</f>
        <v/>
      </c>
      <c r="P80">
        <f>IF([2]Entry!$C$83="","",[2]Entry!$C$83)</f>
        <v/>
      </c>
      <c r="Q80">
        <f>IF([2]Entry!$D$83="","",[2]Entry!$D$83)</f>
        <v/>
      </c>
      <c r="R80">
        <f>IF([2]Entry!$E$83="","",[2]Entry!$E$83)</f>
        <v/>
      </c>
      <c r="S80">
        <f>IF([2]Entry!$G$83="","",[2]Entry!$G$83)</f>
        <v/>
      </c>
      <c r="T80">
        <f>IF([2]Entry!$J$83="","",[2]Entry!$J$83)</f>
        <v/>
      </c>
      <c r="U80">
        <f>IF([2]Entry!$K$83="","",[2]Entry!$K$83)</f>
        <v/>
      </c>
      <c r="V80">
        <f>IF([2]Entry!$L$83="","",[2]Entry!$L$83)</f>
        <v/>
      </c>
      <c r="W80">
        <f>IF([2]Entry!$M$83="","",[2]Entry!$M$83)</f>
        <v/>
      </c>
      <c r="X80">
        <f>IF([2]Entry!$N$83="","",[2]Entry!$N$83)</f>
        <v/>
      </c>
      <c r="Y80">
        <f>IF([2]Entry!$R$83="","",[2]Entry!$R$83)</f>
        <v/>
      </c>
      <c r="AA80">
        <f>IF(AND($E80&lt;&gt;"",$G80&lt;&gt;"",$F80="هزینه"),1,0)</f>
        <v/>
      </c>
      <c r="AB80">
        <f>SUM($AA$6:$AA80)</f>
        <v/>
      </c>
      <c r="AC80">
        <f>IFERROR(INDEX($E$6:$E$105,MATCH(ROW()-5,$AB$6:$AB$105,0)),"")</f>
        <v/>
      </c>
    </row>
    <row r="81">
      <c r="E81">
        <f>IF([1]SubGroups!$B$82="","",[1]SubGroups!$A$82)</f>
        <v/>
      </c>
      <c r="F81">
        <f>IF([1]SubGroups!$B$82="","",[1]SubGroups!$B$82)</f>
        <v/>
      </c>
      <c r="G81">
        <f>IF([1]SubGroups!$B$82="","",[1]SubGroups!$C$82)</f>
        <v/>
      </c>
      <c r="H81">
        <f>IF([1]SubGroups!$B$82="","",[1]SubGroups!$D$82)</f>
        <v/>
      </c>
      <c r="J81">
        <f>IF([1]Accounts!$D$82="","",[1]Accounts!$A$82)</f>
        <v/>
      </c>
      <c r="K81">
        <f>IF([1]Accounts!$D$82="","",[1]Accounts!$B$82)</f>
        <v/>
      </c>
      <c r="L81">
        <f>IF([1]Accounts!$D$82="","",[1]Accounts!$C$82)</f>
        <v/>
      </c>
      <c r="M81">
        <f>IF([1]Accounts!$D$82="","",[1]Accounts!$D$82)</f>
        <v/>
      </c>
      <c r="P81">
        <f>IF([2]Entry!$C$84="","",[2]Entry!$C$84)</f>
        <v/>
      </c>
      <c r="Q81">
        <f>IF([2]Entry!$D$84="","",[2]Entry!$D$84)</f>
        <v/>
      </c>
      <c r="R81">
        <f>IF([2]Entry!$E$84="","",[2]Entry!$E$84)</f>
        <v/>
      </c>
      <c r="S81">
        <f>IF([2]Entry!$G$84="","",[2]Entry!$G$84)</f>
        <v/>
      </c>
      <c r="T81">
        <f>IF([2]Entry!$J$84="","",[2]Entry!$J$84)</f>
        <v/>
      </c>
      <c r="U81">
        <f>IF([2]Entry!$K$84="","",[2]Entry!$K$84)</f>
        <v/>
      </c>
      <c r="V81">
        <f>IF([2]Entry!$L$84="","",[2]Entry!$L$84)</f>
        <v/>
      </c>
      <c r="W81">
        <f>IF([2]Entry!$M$84="","",[2]Entry!$M$84)</f>
        <v/>
      </c>
      <c r="X81">
        <f>IF([2]Entry!$N$84="","",[2]Entry!$N$84)</f>
        <v/>
      </c>
      <c r="Y81">
        <f>IF([2]Entry!$R$84="","",[2]Entry!$R$84)</f>
        <v/>
      </c>
      <c r="AA81">
        <f>IF(AND($E81&lt;&gt;"",$G81&lt;&gt;"",$F81="هزینه"),1,0)</f>
        <v/>
      </c>
      <c r="AB81">
        <f>SUM($AA$6:$AA81)</f>
        <v/>
      </c>
      <c r="AC81">
        <f>IFERROR(INDEX($E$6:$E$105,MATCH(ROW()-5,$AB$6:$AB$105,0)),"")</f>
        <v/>
      </c>
    </row>
    <row r="82">
      <c r="E82">
        <f>IF([1]SubGroups!$B$83="","",[1]SubGroups!$A$83)</f>
        <v/>
      </c>
      <c r="F82">
        <f>IF([1]SubGroups!$B$83="","",[1]SubGroups!$B$83)</f>
        <v/>
      </c>
      <c r="G82">
        <f>IF([1]SubGroups!$B$83="","",[1]SubGroups!$C$83)</f>
        <v/>
      </c>
      <c r="H82">
        <f>IF([1]SubGroups!$B$83="","",[1]SubGroups!$D$83)</f>
        <v/>
      </c>
      <c r="J82">
        <f>IF([1]Accounts!$D$83="","",[1]Accounts!$A$83)</f>
        <v/>
      </c>
      <c r="K82">
        <f>IF([1]Accounts!$D$83="","",[1]Accounts!$B$83)</f>
        <v/>
      </c>
      <c r="L82">
        <f>IF([1]Accounts!$D$83="","",[1]Accounts!$C$83)</f>
        <v/>
      </c>
      <c r="M82">
        <f>IF([1]Accounts!$D$83="","",[1]Accounts!$D$83)</f>
        <v/>
      </c>
      <c r="P82">
        <f>IF([2]Entry!$C$85="","",[2]Entry!$C$85)</f>
        <v/>
      </c>
      <c r="Q82">
        <f>IF([2]Entry!$D$85="","",[2]Entry!$D$85)</f>
        <v/>
      </c>
      <c r="R82">
        <f>IF([2]Entry!$E$85="","",[2]Entry!$E$85)</f>
        <v/>
      </c>
      <c r="S82">
        <f>IF([2]Entry!$G$85="","",[2]Entry!$G$85)</f>
        <v/>
      </c>
      <c r="T82">
        <f>IF([2]Entry!$J$85="","",[2]Entry!$J$85)</f>
        <v/>
      </c>
      <c r="U82">
        <f>IF([2]Entry!$K$85="","",[2]Entry!$K$85)</f>
        <v/>
      </c>
      <c r="V82">
        <f>IF([2]Entry!$L$85="","",[2]Entry!$L$85)</f>
        <v/>
      </c>
      <c r="W82">
        <f>IF([2]Entry!$M$85="","",[2]Entry!$M$85)</f>
        <v/>
      </c>
      <c r="X82">
        <f>IF([2]Entry!$N$85="","",[2]Entry!$N$85)</f>
        <v/>
      </c>
      <c r="Y82">
        <f>IF([2]Entry!$R$85="","",[2]Entry!$R$85)</f>
        <v/>
      </c>
      <c r="AA82">
        <f>IF(AND($E82&lt;&gt;"",$G82&lt;&gt;"",$F82="هزینه"),1,0)</f>
        <v/>
      </c>
      <c r="AB82">
        <f>SUM($AA$6:$AA82)</f>
        <v/>
      </c>
      <c r="AC82">
        <f>IFERROR(INDEX($E$6:$E$105,MATCH(ROW()-5,$AB$6:$AB$105,0)),"")</f>
        <v/>
      </c>
    </row>
    <row r="83">
      <c r="E83">
        <f>IF([1]SubGroups!$B$84="","",[1]SubGroups!$A$84)</f>
        <v/>
      </c>
      <c r="F83">
        <f>IF([1]SubGroups!$B$84="","",[1]SubGroups!$B$84)</f>
        <v/>
      </c>
      <c r="G83">
        <f>IF([1]SubGroups!$B$84="","",[1]SubGroups!$C$84)</f>
        <v/>
      </c>
      <c r="H83">
        <f>IF([1]SubGroups!$B$84="","",[1]SubGroups!$D$84)</f>
        <v/>
      </c>
      <c r="J83">
        <f>IF([1]Accounts!$D$84="","",[1]Accounts!$A$84)</f>
        <v/>
      </c>
      <c r="K83">
        <f>IF([1]Accounts!$D$84="","",[1]Accounts!$B$84)</f>
        <v/>
      </c>
      <c r="L83">
        <f>IF([1]Accounts!$D$84="","",[1]Accounts!$C$84)</f>
        <v/>
      </c>
      <c r="M83">
        <f>IF([1]Accounts!$D$84="","",[1]Accounts!$D$84)</f>
        <v/>
      </c>
      <c r="P83">
        <f>IF([2]Entry!$C$86="","",[2]Entry!$C$86)</f>
        <v/>
      </c>
      <c r="Q83">
        <f>IF([2]Entry!$D$86="","",[2]Entry!$D$86)</f>
        <v/>
      </c>
      <c r="R83">
        <f>IF([2]Entry!$E$86="","",[2]Entry!$E$86)</f>
        <v/>
      </c>
      <c r="S83">
        <f>IF([2]Entry!$G$86="","",[2]Entry!$G$86)</f>
        <v/>
      </c>
      <c r="T83">
        <f>IF([2]Entry!$J$86="","",[2]Entry!$J$86)</f>
        <v/>
      </c>
      <c r="U83">
        <f>IF([2]Entry!$K$86="","",[2]Entry!$K$86)</f>
        <v/>
      </c>
      <c r="V83">
        <f>IF([2]Entry!$L$86="","",[2]Entry!$L$86)</f>
        <v/>
      </c>
      <c r="W83">
        <f>IF([2]Entry!$M$86="","",[2]Entry!$M$86)</f>
        <v/>
      </c>
      <c r="X83">
        <f>IF([2]Entry!$N$86="","",[2]Entry!$N$86)</f>
        <v/>
      </c>
      <c r="Y83">
        <f>IF([2]Entry!$R$86="","",[2]Entry!$R$86)</f>
        <v/>
      </c>
      <c r="AA83">
        <f>IF(AND($E83&lt;&gt;"",$G83&lt;&gt;"",$F83="هزینه"),1,0)</f>
        <v/>
      </c>
      <c r="AB83">
        <f>SUM($AA$6:$AA83)</f>
        <v/>
      </c>
      <c r="AC83">
        <f>IFERROR(INDEX($E$6:$E$105,MATCH(ROW()-5,$AB$6:$AB$105,0)),"")</f>
        <v/>
      </c>
    </row>
    <row r="84">
      <c r="E84">
        <f>IF([1]SubGroups!$B$85="","",[1]SubGroups!$A$85)</f>
        <v/>
      </c>
      <c r="F84">
        <f>IF([1]SubGroups!$B$85="","",[1]SubGroups!$B$85)</f>
        <v/>
      </c>
      <c r="G84">
        <f>IF([1]SubGroups!$B$85="","",[1]SubGroups!$C$85)</f>
        <v/>
      </c>
      <c r="H84">
        <f>IF([1]SubGroups!$B$85="","",[1]SubGroups!$D$85)</f>
        <v/>
      </c>
      <c r="J84">
        <f>IF([1]Accounts!$D$85="","",[1]Accounts!$A$85)</f>
        <v/>
      </c>
      <c r="K84">
        <f>IF([1]Accounts!$D$85="","",[1]Accounts!$B$85)</f>
        <v/>
      </c>
      <c r="L84">
        <f>IF([1]Accounts!$D$85="","",[1]Accounts!$C$85)</f>
        <v/>
      </c>
      <c r="M84">
        <f>IF([1]Accounts!$D$85="","",[1]Accounts!$D$85)</f>
        <v/>
      </c>
      <c r="P84">
        <f>IF([2]Entry!$C$87="","",[2]Entry!$C$87)</f>
        <v/>
      </c>
      <c r="Q84">
        <f>IF([2]Entry!$D$87="","",[2]Entry!$D$87)</f>
        <v/>
      </c>
      <c r="R84">
        <f>IF([2]Entry!$E$87="","",[2]Entry!$E$87)</f>
        <v/>
      </c>
      <c r="S84">
        <f>IF([2]Entry!$G$87="","",[2]Entry!$G$87)</f>
        <v/>
      </c>
      <c r="T84">
        <f>IF([2]Entry!$J$87="","",[2]Entry!$J$87)</f>
        <v/>
      </c>
      <c r="U84">
        <f>IF([2]Entry!$K$87="","",[2]Entry!$K$87)</f>
        <v/>
      </c>
      <c r="V84">
        <f>IF([2]Entry!$L$87="","",[2]Entry!$L$87)</f>
        <v/>
      </c>
      <c r="W84">
        <f>IF([2]Entry!$M$87="","",[2]Entry!$M$87)</f>
        <v/>
      </c>
      <c r="X84">
        <f>IF([2]Entry!$N$87="","",[2]Entry!$N$87)</f>
        <v/>
      </c>
      <c r="Y84">
        <f>IF([2]Entry!$R$87="","",[2]Entry!$R$87)</f>
        <v/>
      </c>
      <c r="AA84">
        <f>IF(AND($E84&lt;&gt;"",$G84&lt;&gt;"",$F84="هزینه"),1,0)</f>
        <v/>
      </c>
      <c r="AB84">
        <f>SUM($AA$6:$AA84)</f>
        <v/>
      </c>
      <c r="AC84">
        <f>IFERROR(INDEX($E$6:$E$105,MATCH(ROW()-5,$AB$6:$AB$105,0)),"")</f>
        <v/>
      </c>
    </row>
    <row r="85">
      <c r="E85">
        <f>IF([1]SubGroups!$B$86="","",[1]SubGroups!$A$86)</f>
        <v/>
      </c>
      <c r="F85">
        <f>IF([1]SubGroups!$B$86="","",[1]SubGroups!$B$86)</f>
        <v/>
      </c>
      <c r="G85">
        <f>IF([1]SubGroups!$B$86="","",[1]SubGroups!$C$86)</f>
        <v/>
      </c>
      <c r="H85">
        <f>IF([1]SubGroups!$B$86="","",[1]SubGroups!$D$86)</f>
        <v/>
      </c>
      <c r="J85">
        <f>IF([1]Accounts!$D$86="","",[1]Accounts!$A$86)</f>
        <v/>
      </c>
      <c r="K85">
        <f>IF([1]Accounts!$D$86="","",[1]Accounts!$B$86)</f>
        <v/>
      </c>
      <c r="L85">
        <f>IF([1]Accounts!$D$86="","",[1]Accounts!$C$86)</f>
        <v/>
      </c>
      <c r="M85">
        <f>IF([1]Accounts!$D$86="","",[1]Accounts!$D$86)</f>
        <v/>
      </c>
      <c r="P85">
        <f>IF([2]Entry!$C$88="","",[2]Entry!$C$88)</f>
        <v/>
      </c>
      <c r="Q85">
        <f>IF([2]Entry!$D$88="","",[2]Entry!$D$88)</f>
        <v/>
      </c>
      <c r="R85">
        <f>IF([2]Entry!$E$88="","",[2]Entry!$E$88)</f>
        <v/>
      </c>
      <c r="S85">
        <f>IF([2]Entry!$G$88="","",[2]Entry!$G$88)</f>
        <v/>
      </c>
      <c r="T85">
        <f>IF([2]Entry!$J$88="","",[2]Entry!$J$88)</f>
        <v/>
      </c>
      <c r="U85">
        <f>IF([2]Entry!$K$88="","",[2]Entry!$K$88)</f>
        <v/>
      </c>
      <c r="V85">
        <f>IF([2]Entry!$L$88="","",[2]Entry!$L$88)</f>
        <v/>
      </c>
      <c r="W85">
        <f>IF([2]Entry!$M$88="","",[2]Entry!$M$88)</f>
        <v/>
      </c>
      <c r="X85">
        <f>IF([2]Entry!$N$88="","",[2]Entry!$N$88)</f>
        <v/>
      </c>
      <c r="Y85">
        <f>IF([2]Entry!$R$88="","",[2]Entry!$R$88)</f>
        <v/>
      </c>
      <c r="AA85">
        <f>IF(AND($E85&lt;&gt;"",$G85&lt;&gt;"",$F85="هزینه"),1,0)</f>
        <v/>
      </c>
      <c r="AB85">
        <f>SUM($AA$6:$AA85)</f>
        <v/>
      </c>
      <c r="AC85">
        <f>IFERROR(INDEX($E$6:$E$105,MATCH(ROW()-5,$AB$6:$AB$105,0)),"")</f>
        <v/>
      </c>
    </row>
    <row r="86">
      <c r="E86">
        <f>IF([1]SubGroups!$B$87="","",[1]SubGroups!$A$87)</f>
        <v/>
      </c>
      <c r="F86">
        <f>IF([1]SubGroups!$B$87="","",[1]SubGroups!$B$87)</f>
        <v/>
      </c>
      <c r="G86">
        <f>IF([1]SubGroups!$B$87="","",[1]SubGroups!$C$87)</f>
        <v/>
      </c>
      <c r="H86">
        <f>IF([1]SubGroups!$B$87="","",[1]SubGroups!$D$87)</f>
        <v/>
      </c>
      <c r="J86">
        <f>IF([1]Accounts!$D$87="","",[1]Accounts!$A$87)</f>
        <v/>
      </c>
      <c r="K86">
        <f>IF([1]Accounts!$D$87="","",[1]Accounts!$B$87)</f>
        <v/>
      </c>
      <c r="L86">
        <f>IF([1]Accounts!$D$87="","",[1]Accounts!$C$87)</f>
        <v/>
      </c>
      <c r="M86">
        <f>IF([1]Accounts!$D$87="","",[1]Accounts!$D$87)</f>
        <v/>
      </c>
      <c r="P86">
        <f>IF([2]Entry!$C$89="","",[2]Entry!$C$89)</f>
        <v/>
      </c>
      <c r="Q86">
        <f>IF([2]Entry!$D$89="","",[2]Entry!$D$89)</f>
        <v/>
      </c>
      <c r="R86">
        <f>IF([2]Entry!$E$89="","",[2]Entry!$E$89)</f>
        <v/>
      </c>
      <c r="S86">
        <f>IF([2]Entry!$G$89="","",[2]Entry!$G$89)</f>
        <v/>
      </c>
      <c r="T86">
        <f>IF([2]Entry!$J$89="","",[2]Entry!$J$89)</f>
        <v/>
      </c>
      <c r="U86">
        <f>IF([2]Entry!$K$89="","",[2]Entry!$K$89)</f>
        <v/>
      </c>
      <c r="V86">
        <f>IF([2]Entry!$L$89="","",[2]Entry!$L$89)</f>
        <v/>
      </c>
      <c r="W86">
        <f>IF([2]Entry!$M$89="","",[2]Entry!$M$89)</f>
        <v/>
      </c>
      <c r="X86">
        <f>IF([2]Entry!$N$89="","",[2]Entry!$N$89)</f>
        <v/>
      </c>
      <c r="Y86">
        <f>IF([2]Entry!$R$89="","",[2]Entry!$R$89)</f>
        <v/>
      </c>
      <c r="AA86">
        <f>IF(AND($E86&lt;&gt;"",$G86&lt;&gt;"",$F86="هزینه"),1,0)</f>
        <v/>
      </c>
      <c r="AB86">
        <f>SUM($AA$6:$AA86)</f>
        <v/>
      </c>
      <c r="AC86">
        <f>IFERROR(INDEX($E$6:$E$105,MATCH(ROW()-5,$AB$6:$AB$105,0)),"")</f>
        <v/>
      </c>
    </row>
    <row r="87">
      <c r="E87">
        <f>IF([1]SubGroups!$B$88="","",[1]SubGroups!$A$88)</f>
        <v/>
      </c>
      <c r="F87">
        <f>IF([1]SubGroups!$B$88="","",[1]SubGroups!$B$88)</f>
        <v/>
      </c>
      <c r="G87">
        <f>IF([1]SubGroups!$B$88="","",[1]SubGroups!$C$88)</f>
        <v/>
      </c>
      <c r="H87">
        <f>IF([1]SubGroups!$B$88="","",[1]SubGroups!$D$88)</f>
        <v/>
      </c>
      <c r="J87">
        <f>IF([1]Accounts!$D$88="","",[1]Accounts!$A$88)</f>
        <v/>
      </c>
      <c r="K87">
        <f>IF([1]Accounts!$D$88="","",[1]Accounts!$B$88)</f>
        <v/>
      </c>
      <c r="L87">
        <f>IF([1]Accounts!$D$88="","",[1]Accounts!$C$88)</f>
        <v/>
      </c>
      <c r="M87">
        <f>IF([1]Accounts!$D$88="","",[1]Accounts!$D$88)</f>
        <v/>
      </c>
      <c r="P87">
        <f>IF([2]Entry!$C$90="","",[2]Entry!$C$90)</f>
        <v/>
      </c>
      <c r="Q87">
        <f>IF([2]Entry!$D$90="","",[2]Entry!$D$90)</f>
        <v/>
      </c>
      <c r="R87">
        <f>IF([2]Entry!$E$90="","",[2]Entry!$E$90)</f>
        <v/>
      </c>
      <c r="S87">
        <f>IF([2]Entry!$G$90="","",[2]Entry!$G$90)</f>
        <v/>
      </c>
      <c r="T87">
        <f>IF([2]Entry!$J$90="","",[2]Entry!$J$90)</f>
        <v/>
      </c>
      <c r="U87">
        <f>IF([2]Entry!$K$90="","",[2]Entry!$K$90)</f>
        <v/>
      </c>
      <c r="V87">
        <f>IF([2]Entry!$L$90="","",[2]Entry!$L$90)</f>
        <v/>
      </c>
      <c r="W87">
        <f>IF([2]Entry!$M$90="","",[2]Entry!$M$90)</f>
        <v/>
      </c>
      <c r="X87">
        <f>IF([2]Entry!$N$90="","",[2]Entry!$N$90)</f>
        <v/>
      </c>
      <c r="Y87">
        <f>IF([2]Entry!$R$90="","",[2]Entry!$R$90)</f>
        <v/>
      </c>
      <c r="AA87">
        <f>IF(AND($E87&lt;&gt;"",$G87&lt;&gt;"",$F87="هزینه"),1,0)</f>
        <v/>
      </c>
      <c r="AB87">
        <f>SUM($AA$6:$AA87)</f>
        <v/>
      </c>
      <c r="AC87">
        <f>IFERROR(INDEX($E$6:$E$105,MATCH(ROW()-5,$AB$6:$AB$105,0)),"")</f>
        <v/>
      </c>
    </row>
    <row r="88">
      <c r="E88">
        <f>IF([1]SubGroups!$B$89="","",[1]SubGroups!$A$89)</f>
        <v/>
      </c>
      <c r="F88">
        <f>IF([1]SubGroups!$B$89="","",[1]SubGroups!$B$89)</f>
        <v/>
      </c>
      <c r="G88">
        <f>IF([1]SubGroups!$B$89="","",[1]SubGroups!$C$89)</f>
        <v/>
      </c>
      <c r="H88">
        <f>IF([1]SubGroups!$B$89="","",[1]SubGroups!$D$89)</f>
        <v/>
      </c>
      <c r="J88">
        <f>IF([1]Accounts!$D$89="","",[1]Accounts!$A$89)</f>
        <v/>
      </c>
      <c r="K88">
        <f>IF([1]Accounts!$D$89="","",[1]Accounts!$B$89)</f>
        <v/>
      </c>
      <c r="L88">
        <f>IF([1]Accounts!$D$89="","",[1]Accounts!$C$89)</f>
        <v/>
      </c>
      <c r="M88">
        <f>IF([1]Accounts!$D$89="","",[1]Accounts!$D$89)</f>
        <v/>
      </c>
      <c r="P88">
        <f>IF([2]Entry!$C$91="","",[2]Entry!$C$91)</f>
        <v/>
      </c>
      <c r="Q88">
        <f>IF([2]Entry!$D$91="","",[2]Entry!$D$91)</f>
        <v/>
      </c>
      <c r="R88">
        <f>IF([2]Entry!$E$91="","",[2]Entry!$E$91)</f>
        <v/>
      </c>
      <c r="S88">
        <f>IF([2]Entry!$G$91="","",[2]Entry!$G$91)</f>
        <v/>
      </c>
      <c r="T88">
        <f>IF([2]Entry!$J$91="","",[2]Entry!$J$91)</f>
        <v/>
      </c>
      <c r="U88">
        <f>IF([2]Entry!$K$91="","",[2]Entry!$K$91)</f>
        <v/>
      </c>
      <c r="V88">
        <f>IF([2]Entry!$L$91="","",[2]Entry!$L$91)</f>
        <v/>
      </c>
      <c r="W88">
        <f>IF([2]Entry!$M$91="","",[2]Entry!$M$91)</f>
        <v/>
      </c>
      <c r="X88">
        <f>IF([2]Entry!$N$91="","",[2]Entry!$N$91)</f>
        <v/>
      </c>
      <c r="Y88">
        <f>IF([2]Entry!$R$91="","",[2]Entry!$R$91)</f>
        <v/>
      </c>
      <c r="AA88">
        <f>IF(AND($E88&lt;&gt;"",$G88&lt;&gt;"",$F88="هزینه"),1,0)</f>
        <v/>
      </c>
      <c r="AB88">
        <f>SUM($AA$6:$AA88)</f>
        <v/>
      </c>
      <c r="AC88">
        <f>IFERROR(INDEX($E$6:$E$105,MATCH(ROW()-5,$AB$6:$AB$105,0)),"")</f>
        <v/>
      </c>
    </row>
    <row r="89">
      <c r="E89">
        <f>IF([1]SubGroups!$B$90="","",[1]SubGroups!$A$90)</f>
        <v/>
      </c>
      <c r="F89">
        <f>IF([1]SubGroups!$B$90="","",[1]SubGroups!$B$90)</f>
        <v/>
      </c>
      <c r="G89">
        <f>IF([1]SubGroups!$B$90="","",[1]SubGroups!$C$90)</f>
        <v/>
      </c>
      <c r="H89">
        <f>IF([1]SubGroups!$B$90="","",[1]SubGroups!$D$90)</f>
        <v/>
      </c>
      <c r="J89">
        <f>IF([1]Accounts!$D$90="","",[1]Accounts!$A$90)</f>
        <v/>
      </c>
      <c r="K89">
        <f>IF([1]Accounts!$D$90="","",[1]Accounts!$B$90)</f>
        <v/>
      </c>
      <c r="L89">
        <f>IF([1]Accounts!$D$90="","",[1]Accounts!$C$90)</f>
        <v/>
      </c>
      <c r="M89">
        <f>IF([1]Accounts!$D$90="","",[1]Accounts!$D$90)</f>
        <v/>
      </c>
      <c r="P89">
        <f>IF([2]Entry!$C$92="","",[2]Entry!$C$92)</f>
        <v/>
      </c>
      <c r="Q89">
        <f>IF([2]Entry!$D$92="","",[2]Entry!$D$92)</f>
        <v/>
      </c>
      <c r="R89">
        <f>IF([2]Entry!$E$92="","",[2]Entry!$E$92)</f>
        <v/>
      </c>
      <c r="S89">
        <f>IF([2]Entry!$G$92="","",[2]Entry!$G$92)</f>
        <v/>
      </c>
      <c r="T89">
        <f>IF([2]Entry!$J$92="","",[2]Entry!$J$92)</f>
        <v/>
      </c>
      <c r="U89">
        <f>IF([2]Entry!$K$92="","",[2]Entry!$K$92)</f>
        <v/>
      </c>
      <c r="V89">
        <f>IF([2]Entry!$L$92="","",[2]Entry!$L$92)</f>
        <v/>
      </c>
      <c r="W89">
        <f>IF([2]Entry!$M$92="","",[2]Entry!$M$92)</f>
        <v/>
      </c>
      <c r="X89">
        <f>IF([2]Entry!$N$92="","",[2]Entry!$N$92)</f>
        <v/>
      </c>
      <c r="Y89">
        <f>IF([2]Entry!$R$92="","",[2]Entry!$R$92)</f>
        <v/>
      </c>
      <c r="AA89">
        <f>IF(AND($E89&lt;&gt;"",$G89&lt;&gt;"",$F89="هزینه"),1,0)</f>
        <v/>
      </c>
      <c r="AB89">
        <f>SUM($AA$6:$AA89)</f>
        <v/>
      </c>
      <c r="AC89">
        <f>IFERROR(INDEX($E$6:$E$105,MATCH(ROW()-5,$AB$6:$AB$105,0)),"")</f>
        <v/>
      </c>
    </row>
    <row r="90">
      <c r="E90">
        <f>IF([1]SubGroups!$B$91="","",[1]SubGroups!$A$91)</f>
        <v/>
      </c>
      <c r="F90">
        <f>IF([1]SubGroups!$B$91="","",[1]SubGroups!$B$91)</f>
        <v/>
      </c>
      <c r="G90">
        <f>IF([1]SubGroups!$B$91="","",[1]SubGroups!$C$91)</f>
        <v/>
      </c>
      <c r="H90">
        <f>IF([1]SubGroups!$B$91="","",[1]SubGroups!$D$91)</f>
        <v/>
      </c>
      <c r="J90">
        <f>IF([1]Accounts!$D$91="","",[1]Accounts!$A$91)</f>
        <v/>
      </c>
      <c r="K90">
        <f>IF([1]Accounts!$D$91="","",[1]Accounts!$B$91)</f>
        <v/>
      </c>
      <c r="L90">
        <f>IF([1]Accounts!$D$91="","",[1]Accounts!$C$91)</f>
        <v/>
      </c>
      <c r="M90">
        <f>IF([1]Accounts!$D$91="","",[1]Accounts!$D$91)</f>
        <v/>
      </c>
      <c r="P90">
        <f>IF([2]Entry!$C$93="","",[2]Entry!$C$93)</f>
        <v/>
      </c>
      <c r="Q90">
        <f>IF([2]Entry!$D$93="","",[2]Entry!$D$93)</f>
        <v/>
      </c>
      <c r="R90">
        <f>IF([2]Entry!$E$93="","",[2]Entry!$E$93)</f>
        <v/>
      </c>
      <c r="S90">
        <f>IF([2]Entry!$G$93="","",[2]Entry!$G$93)</f>
        <v/>
      </c>
      <c r="T90">
        <f>IF([2]Entry!$J$93="","",[2]Entry!$J$93)</f>
        <v/>
      </c>
      <c r="U90">
        <f>IF([2]Entry!$K$93="","",[2]Entry!$K$93)</f>
        <v/>
      </c>
      <c r="V90">
        <f>IF([2]Entry!$L$93="","",[2]Entry!$L$93)</f>
        <v/>
      </c>
      <c r="W90">
        <f>IF([2]Entry!$M$93="","",[2]Entry!$M$93)</f>
        <v/>
      </c>
      <c r="X90">
        <f>IF([2]Entry!$N$93="","",[2]Entry!$N$93)</f>
        <v/>
      </c>
      <c r="Y90">
        <f>IF([2]Entry!$R$93="","",[2]Entry!$R$93)</f>
        <v/>
      </c>
      <c r="AA90">
        <f>IF(AND($E90&lt;&gt;"",$G90&lt;&gt;"",$F90="هزینه"),1,0)</f>
        <v/>
      </c>
      <c r="AB90">
        <f>SUM($AA$6:$AA90)</f>
        <v/>
      </c>
      <c r="AC90">
        <f>IFERROR(INDEX($E$6:$E$105,MATCH(ROW()-5,$AB$6:$AB$105,0)),"")</f>
        <v/>
      </c>
    </row>
    <row r="91">
      <c r="E91">
        <f>IF([1]SubGroups!$B$92="","",[1]SubGroups!$A$92)</f>
        <v/>
      </c>
      <c r="F91">
        <f>IF([1]SubGroups!$B$92="","",[1]SubGroups!$B$92)</f>
        <v/>
      </c>
      <c r="G91">
        <f>IF([1]SubGroups!$B$92="","",[1]SubGroups!$C$92)</f>
        <v/>
      </c>
      <c r="H91">
        <f>IF([1]SubGroups!$B$92="","",[1]SubGroups!$D$92)</f>
        <v/>
      </c>
      <c r="J91">
        <f>IF([1]Accounts!$D$92="","",[1]Accounts!$A$92)</f>
        <v/>
      </c>
      <c r="K91">
        <f>IF([1]Accounts!$D$92="","",[1]Accounts!$B$92)</f>
        <v/>
      </c>
      <c r="L91">
        <f>IF([1]Accounts!$D$92="","",[1]Accounts!$C$92)</f>
        <v/>
      </c>
      <c r="M91">
        <f>IF([1]Accounts!$D$92="","",[1]Accounts!$D$92)</f>
        <v/>
      </c>
      <c r="P91">
        <f>IF([2]Entry!$C$94="","",[2]Entry!$C$94)</f>
        <v/>
      </c>
      <c r="Q91">
        <f>IF([2]Entry!$D$94="","",[2]Entry!$D$94)</f>
        <v/>
      </c>
      <c r="R91">
        <f>IF([2]Entry!$E$94="","",[2]Entry!$E$94)</f>
        <v/>
      </c>
      <c r="S91">
        <f>IF([2]Entry!$G$94="","",[2]Entry!$G$94)</f>
        <v/>
      </c>
      <c r="T91">
        <f>IF([2]Entry!$J$94="","",[2]Entry!$J$94)</f>
        <v/>
      </c>
      <c r="U91">
        <f>IF([2]Entry!$K$94="","",[2]Entry!$K$94)</f>
        <v/>
      </c>
      <c r="V91">
        <f>IF([2]Entry!$L$94="","",[2]Entry!$L$94)</f>
        <v/>
      </c>
      <c r="W91">
        <f>IF([2]Entry!$M$94="","",[2]Entry!$M$94)</f>
        <v/>
      </c>
      <c r="X91">
        <f>IF([2]Entry!$N$94="","",[2]Entry!$N$94)</f>
        <v/>
      </c>
      <c r="Y91">
        <f>IF([2]Entry!$R$94="","",[2]Entry!$R$94)</f>
        <v/>
      </c>
      <c r="AA91">
        <f>IF(AND($E91&lt;&gt;"",$G91&lt;&gt;"",$F91="هزینه"),1,0)</f>
        <v/>
      </c>
      <c r="AB91">
        <f>SUM($AA$6:$AA91)</f>
        <v/>
      </c>
      <c r="AC91">
        <f>IFERROR(INDEX($E$6:$E$105,MATCH(ROW()-5,$AB$6:$AB$105,0)),"")</f>
        <v/>
      </c>
    </row>
    <row r="92">
      <c r="E92">
        <f>IF([1]SubGroups!$B$93="","",[1]SubGroups!$A$93)</f>
        <v/>
      </c>
      <c r="F92">
        <f>IF([1]SubGroups!$B$93="","",[1]SubGroups!$B$93)</f>
        <v/>
      </c>
      <c r="G92">
        <f>IF([1]SubGroups!$B$93="","",[1]SubGroups!$C$93)</f>
        <v/>
      </c>
      <c r="H92">
        <f>IF([1]SubGroups!$B$93="","",[1]SubGroups!$D$93)</f>
        <v/>
      </c>
      <c r="J92">
        <f>IF([1]Accounts!$D$93="","",[1]Accounts!$A$93)</f>
        <v/>
      </c>
      <c r="K92">
        <f>IF([1]Accounts!$D$93="","",[1]Accounts!$B$93)</f>
        <v/>
      </c>
      <c r="L92">
        <f>IF([1]Accounts!$D$93="","",[1]Accounts!$C$93)</f>
        <v/>
      </c>
      <c r="M92">
        <f>IF([1]Accounts!$D$93="","",[1]Accounts!$D$93)</f>
        <v/>
      </c>
      <c r="P92">
        <f>IF([2]Entry!$C$95="","",[2]Entry!$C$95)</f>
        <v/>
      </c>
      <c r="Q92">
        <f>IF([2]Entry!$D$95="","",[2]Entry!$D$95)</f>
        <v/>
      </c>
      <c r="R92">
        <f>IF([2]Entry!$E$95="","",[2]Entry!$E$95)</f>
        <v/>
      </c>
      <c r="S92">
        <f>IF([2]Entry!$G$95="","",[2]Entry!$G$95)</f>
        <v/>
      </c>
      <c r="T92">
        <f>IF([2]Entry!$J$95="","",[2]Entry!$J$95)</f>
        <v/>
      </c>
      <c r="U92">
        <f>IF([2]Entry!$K$95="","",[2]Entry!$K$95)</f>
        <v/>
      </c>
      <c r="V92">
        <f>IF([2]Entry!$L$95="","",[2]Entry!$L$95)</f>
        <v/>
      </c>
      <c r="W92">
        <f>IF([2]Entry!$M$95="","",[2]Entry!$M$95)</f>
        <v/>
      </c>
      <c r="X92">
        <f>IF([2]Entry!$N$95="","",[2]Entry!$N$95)</f>
        <v/>
      </c>
      <c r="Y92">
        <f>IF([2]Entry!$R$95="","",[2]Entry!$R$95)</f>
        <v/>
      </c>
      <c r="AA92">
        <f>IF(AND($E92&lt;&gt;"",$G92&lt;&gt;"",$F92="هزینه"),1,0)</f>
        <v/>
      </c>
      <c r="AB92">
        <f>SUM($AA$6:$AA92)</f>
        <v/>
      </c>
      <c r="AC92">
        <f>IFERROR(INDEX($E$6:$E$105,MATCH(ROW()-5,$AB$6:$AB$105,0)),"")</f>
        <v/>
      </c>
    </row>
    <row r="93">
      <c r="E93">
        <f>IF([1]SubGroups!$B$94="","",[1]SubGroups!$A$94)</f>
        <v/>
      </c>
      <c r="F93">
        <f>IF([1]SubGroups!$B$94="","",[1]SubGroups!$B$94)</f>
        <v/>
      </c>
      <c r="G93">
        <f>IF([1]SubGroups!$B$94="","",[1]SubGroups!$C$94)</f>
        <v/>
      </c>
      <c r="H93">
        <f>IF([1]SubGroups!$B$94="","",[1]SubGroups!$D$94)</f>
        <v/>
      </c>
      <c r="J93">
        <f>IF([1]Accounts!$D$94="","",[1]Accounts!$A$94)</f>
        <v/>
      </c>
      <c r="K93">
        <f>IF([1]Accounts!$D$94="","",[1]Accounts!$B$94)</f>
        <v/>
      </c>
      <c r="L93">
        <f>IF([1]Accounts!$D$94="","",[1]Accounts!$C$94)</f>
        <v/>
      </c>
      <c r="M93">
        <f>IF([1]Accounts!$D$94="","",[1]Accounts!$D$94)</f>
        <v/>
      </c>
      <c r="P93">
        <f>IF([2]Entry!$C$96="","",[2]Entry!$C$96)</f>
        <v/>
      </c>
      <c r="Q93">
        <f>IF([2]Entry!$D$96="","",[2]Entry!$D$96)</f>
        <v/>
      </c>
      <c r="R93">
        <f>IF([2]Entry!$E$96="","",[2]Entry!$E$96)</f>
        <v/>
      </c>
      <c r="S93">
        <f>IF([2]Entry!$G$96="","",[2]Entry!$G$96)</f>
        <v/>
      </c>
      <c r="T93">
        <f>IF([2]Entry!$J$96="","",[2]Entry!$J$96)</f>
        <v/>
      </c>
      <c r="U93">
        <f>IF([2]Entry!$K$96="","",[2]Entry!$K$96)</f>
        <v/>
      </c>
      <c r="V93">
        <f>IF([2]Entry!$L$96="","",[2]Entry!$L$96)</f>
        <v/>
      </c>
      <c r="W93">
        <f>IF([2]Entry!$M$96="","",[2]Entry!$M$96)</f>
        <v/>
      </c>
      <c r="X93">
        <f>IF([2]Entry!$N$96="","",[2]Entry!$N$96)</f>
        <v/>
      </c>
      <c r="Y93">
        <f>IF([2]Entry!$R$96="","",[2]Entry!$R$96)</f>
        <v/>
      </c>
      <c r="AA93">
        <f>IF(AND($E93&lt;&gt;"",$G93&lt;&gt;"",$F93="هزینه"),1,0)</f>
        <v/>
      </c>
      <c r="AB93">
        <f>SUM($AA$6:$AA93)</f>
        <v/>
      </c>
      <c r="AC93">
        <f>IFERROR(INDEX($E$6:$E$105,MATCH(ROW()-5,$AB$6:$AB$105,0)),"")</f>
        <v/>
      </c>
    </row>
    <row r="94">
      <c r="E94">
        <f>IF([1]SubGroups!$B$95="","",[1]SubGroups!$A$95)</f>
        <v/>
      </c>
      <c r="F94">
        <f>IF([1]SubGroups!$B$95="","",[1]SubGroups!$B$95)</f>
        <v/>
      </c>
      <c r="G94">
        <f>IF([1]SubGroups!$B$95="","",[1]SubGroups!$C$95)</f>
        <v/>
      </c>
      <c r="H94">
        <f>IF([1]SubGroups!$B$95="","",[1]SubGroups!$D$95)</f>
        <v/>
      </c>
      <c r="J94">
        <f>IF([1]Accounts!$D$95="","",[1]Accounts!$A$95)</f>
        <v/>
      </c>
      <c r="K94">
        <f>IF([1]Accounts!$D$95="","",[1]Accounts!$B$95)</f>
        <v/>
      </c>
      <c r="L94">
        <f>IF([1]Accounts!$D$95="","",[1]Accounts!$C$95)</f>
        <v/>
      </c>
      <c r="M94">
        <f>IF([1]Accounts!$D$95="","",[1]Accounts!$D$95)</f>
        <v/>
      </c>
      <c r="P94">
        <f>IF([2]Entry!$C$97="","",[2]Entry!$C$97)</f>
        <v/>
      </c>
      <c r="Q94">
        <f>IF([2]Entry!$D$97="","",[2]Entry!$D$97)</f>
        <v/>
      </c>
      <c r="R94">
        <f>IF([2]Entry!$E$97="","",[2]Entry!$E$97)</f>
        <v/>
      </c>
      <c r="S94">
        <f>IF([2]Entry!$G$97="","",[2]Entry!$G$97)</f>
        <v/>
      </c>
      <c r="T94">
        <f>IF([2]Entry!$J$97="","",[2]Entry!$J$97)</f>
        <v/>
      </c>
      <c r="U94">
        <f>IF([2]Entry!$K$97="","",[2]Entry!$K$97)</f>
        <v/>
      </c>
      <c r="V94">
        <f>IF([2]Entry!$L$97="","",[2]Entry!$L$97)</f>
        <v/>
      </c>
      <c r="W94">
        <f>IF([2]Entry!$M$97="","",[2]Entry!$M$97)</f>
        <v/>
      </c>
      <c r="X94">
        <f>IF([2]Entry!$N$97="","",[2]Entry!$N$97)</f>
        <v/>
      </c>
      <c r="Y94">
        <f>IF([2]Entry!$R$97="","",[2]Entry!$R$97)</f>
        <v/>
      </c>
      <c r="AA94">
        <f>IF(AND($E94&lt;&gt;"",$G94&lt;&gt;"",$F94="هزینه"),1,0)</f>
        <v/>
      </c>
      <c r="AB94">
        <f>SUM($AA$6:$AA94)</f>
        <v/>
      </c>
      <c r="AC94">
        <f>IFERROR(INDEX($E$6:$E$105,MATCH(ROW()-5,$AB$6:$AB$105,0)),"")</f>
        <v/>
      </c>
    </row>
    <row r="95">
      <c r="E95">
        <f>IF([1]SubGroups!$B$96="","",[1]SubGroups!$A$96)</f>
        <v/>
      </c>
      <c r="F95">
        <f>IF([1]SubGroups!$B$96="","",[1]SubGroups!$B$96)</f>
        <v/>
      </c>
      <c r="G95">
        <f>IF([1]SubGroups!$B$96="","",[1]SubGroups!$C$96)</f>
        <v/>
      </c>
      <c r="H95">
        <f>IF([1]SubGroups!$B$96="","",[1]SubGroups!$D$96)</f>
        <v/>
      </c>
      <c r="J95">
        <f>IF([1]Accounts!$D$96="","",[1]Accounts!$A$96)</f>
        <v/>
      </c>
      <c r="K95">
        <f>IF([1]Accounts!$D$96="","",[1]Accounts!$B$96)</f>
        <v/>
      </c>
      <c r="L95">
        <f>IF([1]Accounts!$D$96="","",[1]Accounts!$C$96)</f>
        <v/>
      </c>
      <c r="M95">
        <f>IF([1]Accounts!$D$96="","",[1]Accounts!$D$96)</f>
        <v/>
      </c>
      <c r="P95">
        <f>IF([2]Entry!$C$98="","",[2]Entry!$C$98)</f>
        <v/>
      </c>
      <c r="Q95">
        <f>IF([2]Entry!$D$98="","",[2]Entry!$D$98)</f>
        <v/>
      </c>
      <c r="R95">
        <f>IF([2]Entry!$E$98="","",[2]Entry!$E$98)</f>
        <v/>
      </c>
      <c r="S95">
        <f>IF([2]Entry!$G$98="","",[2]Entry!$G$98)</f>
        <v/>
      </c>
      <c r="T95">
        <f>IF([2]Entry!$J$98="","",[2]Entry!$J$98)</f>
        <v/>
      </c>
      <c r="U95">
        <f>IF([2]Entry!$K$98="","",[2]Entry!$K$98)</f>
        <v/>
      </c>
      <c r="V95">
        <f>IF([2]Entry!$L$98="","",[2]Entry!$L$98)</f>
        <v/>
      </c>
      <c r="W95">
        <f>IF([2]Entry!$M$98="","",[2]Entry!$M$98)</f>
        <v/>
      </c>
      <c r="X95">
        <f>IF([2]Entry!$N$98="","",[2]Entry!$N$98)</f>
        <v/>
      </c>
      <c r="Y95">
        <f>IF([2]Entry!$R$98="","",[2]Entry!$R$98)</f>
        <v/>
      </c>
      <c r="AA95">
        <f>IF(AND($E95&lt;&gt;"",$G95&lt;&gt;"",$F95="هزینه"),1,0)</f>
        <v/>
      </c>
      <c r="AB95">
        <f>SUM($AA$6:$AA95)</f>
        <v/>
      </c>
      <c r="AC95">
        <f>IFERROR(INDEX($E$6:$E$105,MATCH(ROW()-5,$AB$6:$AB$105,0)),"")</f>
        <v/>
      </c>
    </row>
    <row r="96">
      <c r="E96">
        <f>IF([1]SubGroups!$B$97="","",[1]SubGroups!$A$97)</f>
        <v/>
      </c>
      <c r="F96">
        <f>IF([1]SubGroups!$B$97="","",[1]SubGroups!$B$97)</f>
        <v/>
      </c>
      <c r="G96">
        <f>IF([1]SubGroups!$B$97="","",[1]SubGroups!$C$97)</f>
        <v/>
      </c>
      <c r="H96">
        <f>IF([1]SubGroups!$B$97="","",[1]SubGroups!$D$97)</f>
        <v/>
      </c>
      <c r="J96">
        <f>IF([1]Accounts!$D$97="","",[1]Accounts!$A$97)</f>
        <v/>
      </c>
      <c r="K96">
        <f>IF([1]Accounts!$D$97="","",[1]Accounts!$B$97)</f>
        <v/>
      </c>
      <c r="L96">
        <f>IF([1]Accounts!$D$97="","",[1]Accounts!$C$97)</f>
        <v/>
      </c>
      <c r="M96">
        <f>IF([1]Accounts!$D$97="","",[1]Accounts!$D$97)</f>
        <v/>
      </c>
      <c r="P96">
        <f>IF([2]Entry!$C$99="","",[2]Entry!$C$99)</f>
        <v/>
      </c>
      <c r="Q96">
        <f>IF([2]Entry!$D$99="","",[2]Entry!$D$99)</f>
        <v/>
      </c>
      <c r="R96">
        <f>IF([2]Entry!$E$99="","",[2]Entry!$E$99)</f>
        <v/>
      </c>
      <c r="S96">
        <f>IF([2]Entry!$G$99="","",[2]Entry!$G$99)</f>
        <v/>
      </c>
      <c r="T96">
        <f>IF([2]Entry!$J$99="","",[2]Entry!$J$99)</f>
        <v/>
      </c>
      <c r="U96">
        <f>IF([2]Entry!$K$99="","",[2]Entry!$K$99)</f>
        <v/>
      </c>
      <c r="V96">
        <f>IF([2]Entry!$L$99="","",[2]Entry!$L$99)</f>
        <v/>
      </c>
      <c r="W96">
        <f>IF([2]Entry!$M$99="","",[2]Entry!$M$99)</f>
        <v/>
      </c>
      <c r="X96">
        <f>IF([2]Entry!$N$99="","",[2]Entry!$N$99)</f>
        <v/>
      </c>
      <c r="Y96">
        <f>IF([2]Entry!$R$99="","",[2]Entry!$R$99)</f>
        <v/>
      </c>
      <c r="AA96">
        <f>IF(AND($E96&lt;&gt;"",$G96&lt;&gt;"",$F96="هزینه"),1,0)</f>
        <v/>
      </c>
      <c r="AB96">
        <f>SUM($AA$6:$AA96)</f>
        <v/>
      </c>
      <c r="AC96">
        <f>IFERROR(INDEX($E$6:$E$105,MATCH(ROW()-5,$AB$6:$AB$105,0)),"")</f>
        <v/>
      </c>
    </row>
    <row r="97">
      <c r="E97">
        <f>IF([1]SubGroups!$B$98="","",[1]SubGroups!$A$98)</f>
        <v/>
      </c>
      <c r="F97">
        <f>IF([1]SubGroups!$B$98="","",[1]SubGroups!$B$98)</f>
        <v/>
      </c>
      <c r="G97">
        <f>IF([1]SubGroups!$B$98="","",[1]SubGroups!$C$98)</f>
        <v/>
      </c>
      <c r="H97">
        <f>IF([1]SubGroups!$B$98="","",[1]SubGroups!$D$98)</f>
        <v/>
      </c>
      <c r="J97">
        <f>IF([1]Accounts!$D$98="","",[1]Accounts!$A$98)</f>
        <v/>
      </c>
      <c r="K97">
        <f>IF([1]Accounts!$D$98="","",[1]Accounts!$B$98)</f>
        <v/>
      </c>
      <c r="L97">
        <f>IF([1]Accounts!$D$98="","",[1]Accounts!$C$98)</f>
        <v/>
      </c>
      <c r="M97">
        <f>IF([1]Accounts!$D$98="","",[1]Accounts!$D$98)</f>
        <v/>
      </c>
      <c r="P97">
        <f>IF([2]Entry!$C$100="","",[2]Entry!$C$100)</f>
        <v/>
      </c>
      <c r="Q97">
        <f>IF([2]Entry!$D$100="","",[2]Entry!$D$100)</f>
        <v/>
      </c>
      <c r="R97">
        <f>IF([2]Entry!$E$100="","",[2]Entry!$E$100)</f>
        <v/>
      </c>
      <c r="S97">
        <f>IF([2]Entry!$G$100="","",[2]Entry!$G$100)</f>
        <v/>
      </c>
      <c r="T97">
        <f>IF([2]Entry!$J$100="","",[2]Entry!$J$100)</f>
        <v/>
      </c>
      <c r="U97">
        <f>IF([2]Entry!$K$100="","",[2]Entry!$K$100)</f>
        <v/>
      </c>
      <c r="V97">
        <f>IF([2]Entry!$L$100="","",[2]Entry!$L$100)</f>
        <v/>
      </c>
      <c r="W97">
        <f>IF([2]Entry!$M$100="","",[2]Entry!$M$100)</f>
        <v/>
      </c>
      <c r="X97">
        <f>IF([2]Entry!$N$100="","",[2]Entry!$N$100)</f>
        <v/>
      </c>
      <c r="Y97">
        <f>IF([2]Entry!$R$100="","",[2]Entry!$R$100)</f>
        <v/>
      </c>
      <c r="AA97">
        <f>IF(AND($E97&lt;&gt;"",$G97&lt;&gt;"",$F97="هزینه"),1,0)</f>
        <v/>
      </c>
      <c r="AB97">
        <f>SUM($AA$6:$AA97)</f>
        <v/>
      </c>
      <c r="AC97">
        <f>IFERROR(INDEX($E$6:$E$105,MATCH(ROW()-5,$AB$6:$AB$105,0)),"")</f>
        <v/>
      </c>
    </row>
    <row r="98">
      <c r="E98">
        <f>IF([1]SubGroups!$B$99="","",[1]SubGroups!$A$99)</f>
        <v/>
      </c>
      <c r="F98">
        <f>IF([1]SubGroups!$B$99="","",[1]SubGroups!$B$99)</f>
        <v/>
      </c>
      <c r="G98">
        <f>IF([1]SubGroups!$B$99="","",[1]SubGroups!$C$99)</f>
        <v/>
      </c>
      <c r="H98">
        <f>IF([1]SubGroups!$B$99="","",[1]SubGroups!$D$99)</f>
        <v/>
      </c>
      <c r="J98">
        <f>IF([1]Accounts!$D$99="","",[1]Accounts!$A$99)</f>
        <v/>
      </c>
      <c r="K98">
        <f>IF([1]Accounts!$D$99="","",[1]Accounts!$B$99)</f>
        <v/>
      </c>
      <c r="L98">
        <f>IF([1]Accounts!$D$99="","",[1]Accounts!$C$99)</f>
        <v/>
      </c>
      <c r="M98">
        <f>IF([1]Accounts!$D$99="","",[1]Accounts!$D$99)</f>
        <v/>
      </c>
      <c r="P98">
        <f>IF([2]Entry!$C$101="","",[2]Entry!$C$101)</f>
        <v/>
      </c>
      <c r="Q98">
        <f>IF([2]Entry!$D$101="","",[2]Entry!$D$101)</f>
        <v/>
      </c>
      <c r="R98">
        <f>IF([2]Entry!$E$101="","",[2]Entry!$E$101)</f>
        <v/>
      </c>
      <c r="S98">
        <f>IF([2]Entry!$G$101="","",[2]Entry!$G$101)</f>
        <v/>
      </c>
      <c r="T98">
        <f>IF([2]Entry!$J$101="","",[2]Entry!$J$101)</f>
        <v/>
      </c>
      <c r="U98">
        <f>IF([2]Entry!$K$101="","",[2]Entry!$K$101)</f>
        <v/>
      </c>
      <c r="V98">
        <f>IF([2]Entry!$L$101="","",[2]Entry!$L$101)</f>
        <v/>
      </c>
      <c r="W98">
        <f>IF([2]Entry!$M$101="","",[2]Entry!$M$101)</f>
        <v/>
      </c>
      <c r="X98">
        <f>IF([2]Entry!$N$101="","",[2]Entry!$N$101)</f>
        <v/>
      </c>
      <c r="Y98">
        <f>IF([2]Entry!$R$101="","",[2]Entry!$R$101)</f>
        <v/>
      </c>
      <c r="AA98">
        <f>IF(AND($E98&lt;&gt;"",$G98&lt;&gt;"",$F98="هزینه"),1,0)</f>
        <v/>
      </c>
      <c r="AB98">
        <f>SUM($AA$6:$AA98)</f>
        <v/>
      </c>
      <c r="AC98">
        <f>IFERROR(INDEX($E$6:$E$105,MATCH(ROW()-5,$AB$6:$AB$105,0)),"")</f>
        <v/>
      </c>
    </row>
    <row r="99">
      <c r="E99">
        <f>IF([1]SubGroups!$B$100="","",[1]SubGroups!$A$100)</f>
        <v/>
      </c>
      <c r="F99">
        <f>IF([1]SubGroups!$B$100="","",[1]SubGroups!$B$100)</f>
        <v/>
      </c>
      <c r="G99">
        <f>IF([1]SubGroups!$B$100="","",[1]SubGroups!$C$100)</f>
        <v/>
      </c>
      <c r="H99">
        <f>IF([1]SubGroups!$B$100="","",[1]SubGroups!$D$100)</f>
        <v/>
      </c>
      <c r="J99">
        <f>IF([1]Accounts!$D$100="","",[1]Accounts!$A$100)</f>
        <v/>
      </c>
      <c r="K99">
        <f>IF([1]Accounts!$D$100="","",[1]Accounts!$B$100)</f>
        <v/>
      </c>
      <c r="L99">
        <f>IF([1]Accounts!$D$100="","",[1]Accounts!$C$100)</f>
        <v/>
      </c>
      <c r="M99">
        <f>IF([1]Accounts!$D$100="","",[1]Accounts!$D$100)</f>
        <v/>
      </c>
      <c r="P99">
        <f>IF([2]Entry!$C$102="","",[2]Entry!$C$102)</f>
        <v/>
      </c>
      <c r="Q99">
        <f>IF([2]Entry!$D$102="","",[2]Entry!$D$102)</f>
        <v/>
      </c>
      <c r="R99">
        <f>IF([2]Entry!$E$102="","",[2]Entry!$E$102)</f>
        <v/>
      </c>
      <c r="S99">
        <f>IF([2]Entry!$G$102="","",[2]Entry!$G$102)</f>
        <v/>
      </c>
      <c r="T99">
        <f>IF([2]Entry!$J$102="","",[2]Entry!$J$102)</f>
        <v/>
      </c>
      <c r="U99">
        <f>IF([2]Entry!$K$102="","",[2]Entry!$K$102)</f>
        <v/>
      </c>
      <c r="V99">
        <f>IF([2]Entry!$L$102="","",[2]Entry!$L$102)</f>
        <v/>
      </c>
      <c r="W99">
        <f>IF([2]Entry!$M$102="","",[2]Entry!$M$102)</f>
        <v/>
      </c>
      <c r="X99">
        <f>IF([2]Entry!$N$102="","",[2]Entry!$N$102)</f>
        <v/>
      </c>
      <c r="Y99">
        <f>IF([2]Entry!$R$102="","",[2]Entry!$R$102)</f>
        <v/>
      </c>
      <c r="AA99">
        <f>IF(AND($E99&lt;&gt;"",$G99&lt;&gt;"",$F99="هزینه"),1,0)</f>
        <v/>
      </c>
      <c r="AB99">
        <f>SUM($AA$6:$AA99)</f>
        <v/>
      </c>
      <c r="AC99">
        <f>IFERROR(INDEX($E$6:$E$105,MATCH(ROW()-5,$AB$6:$AB$105,0)),"")</f>
        <v/>
      </c>
    </row>
    <row r="100">
      <c r="E100">
        <f>IF([1]SubGroups!$B$101="","",[1]SubGroups!$A$101)</f>
        <v/>
      </c>
      <c r="F100">
        <f>IF([1]SubGroups!$B$101="","",[1]SubGroups!$B$101)</f>
        <v/>
      </c>
      <c r="G100">
        <f>IF([1]SubGroups!$B$101="","",[1]SubGroups!$C$101)</f>
        <v/>
      </c>
      <c r="H100">
        <f>IF([1]SubGroups!$B$101="","",[1]SubGroups!$D$101)</f>
        <v/>
      </c>
      <c r="J100">
        <f>IF([1]Accounts!$D$101="","",[1]Accounts!$A$101)</f>
        <v/>
      </c>
      <c r="K100">
        <f>IF([1]Accounts!$D$101="","",[1]Accounts!$B$101)</f>
        <v/>
      </c>
      <c r="L100">
        <f>IF([1]Accounts!$D$101="","",[1]Accounts!$C$101)</f>
        <v/>
      </c>
      <c r="M100">
        <f>IF([1]Accounts!$D$101="","",[1]Accounts!$D$101)</f>
        <v/>
      </c>
      <c r="P100">
        <f>IF([2]Entry!$C$103="","",[2]Entry!$C$103)</f>
        <v/>
      </c>
      <c r="Q100">
        <f>IF([2]Entry!$D$103="","",[2]Entry!$D$103)</f>
        <v/>
      </c>
      <c r="R100">
        <f>IF([2]Entry!$E$103="","",[2]Entry!$E$103)</f>
        <v/>
      </c>
      <c r="S100">
        <f>IF([2]Entry!$G$103="","",[2]Entry!$G$103)</f>
        <v/>
      </c>
      <c r="T100">
        <f>IF([2]Entry!$J$103="","",[2]Entry!$J$103)</f>
        <v/>
      </c>
      <c r="U100">
        <f>IF([2]Entry!$K$103="","",[2]Entry!$K$103)</f>
        <v/>
      </c>
      <c r="V100">
        <f>IF([2]Entry!$L$103="","",[2]Entry!$L$103)</f>
        <v/>
      </c>
      <c r="W100">
        <f>IF([2]Entry!$M$103="","",[2]Entry!$M$103)</f>
        <v/>
      </c>
      <c r="X100">
        <f>IF([2]Entry!$N$103="","",[2]Entry!$N$103)</f>
        <v/>
      </c>
      <c r="Y100">
        <f>IF([2]Entry!$R$103="","",[2]Entry!$R$103)</f>
        <v/>
      </c>
      <c r="AA100">
        <f>IF(AND($E100&lt;&gt;"",$G100&lt;&gt;"",$F100="هزینه"),1,0)</f>
        <v/>
      </c>
      <c r="AB100">
        <f>SUM($AA$6:$AA100)</f>
        <v/>
      </c>
      <c r="AC100">
        <f>IFERROR(INDEX($E$6:$E$105,MATCH(ROW()-5,$AB$6:$AB$105,0)),"")</f>
        <v/>
      </c>
    </row>
    <row r="101">
      <c r="E101">
        <f>IF([1]SubGroups!$B$102="","",[1]SubGroups!$A$102)</f>
        <v/>
      </c>
      <c r="F101">
        <f>IF([1]SubGroups!$B$102="","",[1]SubGroups!$B$102)</f>
        <v/>
      </c>
      <c r="G101">
        <f>IF([1]SubGroups!$B$102="","",[1]SubGroups!$C$102)</f>
        <v/>
      </c>
      <c r="H101">
        <f>IF([1]SubGroups!$B$102="","",[1]SubGroups!$D$102)</f>
        <v/>
      </c>
      <c r="J101">
        <f>IF([1]Accounts!$D$102="","",[1]Accounts!$A$102)</f>
        <v/>
      </c>
      <c r="K101">
        <f>IF([1]Accounts!$D$102="","",[1]Accounts!$B$102)</f>
        <v/>
      </c>
      <c r="L101">
        <f>IF([1]Accounts!$D$102="","",[1]Accounts!$C$102)</f>
        <v/>
      </c>
      <c r="M101">
        <f>IF([1]Accounts!$D$102="","",[1]Accounts!$D$102)</f>
        <v/>
      </c>
      <c r="P101">
        <f>IF([2]Entry!$C$104="","",[2]Entry!$C$104)</f>
        <v/>
      </c>
      <c r="Q101">
        <f>IF([2]Entry!$D$104="","",[2]Entry!$D$104)</f>
        <v/>
      </c>
      <c r="R101">
        <f>IF([2]Entry!$E$104="","",[2]Entry!$E$104)</f>
        <v/>
      </c>
      <c r="S101">
        <f>IF([2]Entry!$G$104="","",[2]Entry!$G$104)</f>
        <v/>
      </c>
      <c r="T101">
        <f>IF([2]Entry!$J$104="","",[2]Entry!$J$104)</f>
        <v/>
      </c>
      <c r="U101">
        <f>IF([2]Entry!$K$104="","",[2]Entry!$K$104)</f>
        <v/>
      </c>
      <c r="V101">
        <f>IF([2]Entry!$L$104="","",[2]Entry!$L$104)</f>
        <v/>
      </c>
      <c r="W101">
        <f>IF([2]Entry!$M$104="","",[2]Entry!$M$104)</f>
        <v/>
      </c>
      <c r="X101">
        <f>IF([2]Entry!$N$104="","",[2]Entry!$N$104)</f>
        <v/>
      </c>
      <c r="Y101">
        <f>IF([2]Entry!$R$104="","",[2]Entry!$R$104)</f>
        <v/>
      </c>
      <c r="AA101">
        <f>IF(AND($E101&lt;&gt;"",$G101&lt;&gt;"",$F101="هزینه"),1,0)</f>
        <v/>
      </c>
      <c r="AB101">
        <f>SUM($AA$6:$AA101)</f>
        <v/>
      </c>
      <c r="AC101">
        <f>IFERROR(INDEX($E$6:$E$105,MATCH(ROW()-5,$AB$6:$AB$105,0)),"")</f>
        <v/>
      </c>
    </row>
    <row r="102">
      <c r="E102">
        <f>IF([1]SubGroups!$B$103="","",[1]SubGroups!$A$103)</f>
        <v/>
      </c>
      <c r="F102">
        <f>IF([1]SubGroups!$B$103="","",[1]SubGroups!$B$103)</f>
        <v/>
      </c>
      <c r="G102">
        <f>IF([1]SubGroups!$B$103="","",[1]SubGroups!$C$103)</f>
        <v/>
      </c>
      <c r="H102">
        <f>IF([1]SubGroups!$B$103="","",[1]SubGroups!$D$103)</f>
        <v/>
      </c>
      <c r="J102">
        <f>IF([1]Accounts!$D$103="","",[1]Accounts!$A$103)</f>
        <v/>
      </c>
      <c r="K102">
        <f>IF([1]Accounts!$D$103="","",[1]Accounts!$B$103)</f>
        <v/>
      </c>
      <c r="L102">
        <f>IF([1]Accounts!$D$103="","",[1]Accounts!$C$103)</f>
        <v/>
      </c>
      <c r="M102">
        <f>IF([1]Accounts!$D$103="","",[1]Accounts!$D$103)</f>
        <v/>
      </c>
      <c r="P102">
        <f>IF([2]Entry!$C$105="","",[2]Entry!$C$105)</f>
        <v/>
      </c>
      <c r="Q102">
        <f>IF([2]Entry!$D$105="","",[2]Entry!$D$105)</f>
        <v/>
      </c>
      <c r="R102">
        <f>IF([2]Entry!$E$105="","",[2]Entry!$E$105)</f>
        <v/>
      </c>
      <c r="S102">
        <f>IF([2]Entry!$G$105="","",[2]Entry!$G$105)</f>
        <v/>
      </c>
      <c r="T102">
        <f>IF([2]Entry!$J$105="","",[2]Entry!$J$105)</f>
        <v/>
      </c>
      <c r="U102">
        <f>IF([2]Entry!$K$105="","",[2]Entry!$K$105)</f>
        <v/>
      </c>
      <c r="V102">
        <f>IF([2]Entry!$L$105="","",[2]Entry!$L$105)</f>
        <v/>
      </c>
      <c r="W102">
        <f>IF([2]Entry!$M$105="","",[2]Entry!$M$105)</f>
        <v/>
      </c>
      <c r="X102">
        <f>IF([2]Entry!$N$105="","",[2]Entry!$N$105)</f>
        <v/>
      </c>
      <c r="Y102">
        <f>IF([2]Entry!$R$105="","",[2]Entry!$R$105)</f>
        <v/>
      </c>
      <c r="AA102">
        <f>IF(AND($E102&lt;&gt;"",$G102&lt;&gt;"",$F102="هزینه"),1,0)</f>
        <v/>
      </c>
      <c r="AB102">
        <f>SUM($AA$6:$AA102)</f>
        <v/>
      </c>
      <c r="AC102">
        <f>IFERROR(INDEX($E$6:$E$105,MATCH(ROW()-5,$AB$6:$AB$105,0)),"")</f>
        <v/>
      </c>
    </row>
    <row r="103">
      <c r="E103">
        <f>IF([1]SubGroups!$B$104="","",[1]SubGroups!$A$104)</f>
        <v/>
      </c>
      <c r="F103">
        <f>IF([1]SubGroups!$B$104="","",[1]SubGroups!$B$104)</f>
        <v/>
      </c>
      <c r="G103">
        <f>IF([1]SubGroups!$B$104="","",[1]SubGroups!$C$104)</f>
        <v/>
      </c>
      <c r="H103">
        <f>IF([1]SubGroups!$B$104="","",[1]SubGroups!$D$104)</f>
        <v/>
      </c>
      <c r="J103">
        <f>IF([1]Accounts!$D$104="","",[1]Accounts!$A$104)</f>
        <v/>
      </c>
      <c r="K103">
        <f>IF([1]Accounts!$D$104="","",[1]Accounts!$B$104)</f>
        <v/>
      </c>
      <c r="L103">
        <f>IF([1]Accounts!$D$104="","",[1]Accounts!$C$104)</f>
        <v/>
      </c>
      <c r="M103">
        <f>IF([1]Accounts!$D$104="","",[1]Accounts!$D$104)</f>
        <v/>
      </c>
      <c r="P103">
        <f>IF([2]Entry!$C$106="","",[2]Entry!$C$106)</f>
        <v/>
      </c>
      <c r="Q103">
        <f>IF([2]Entry!$D$106="","",[2]Entry!$D$106)</f>
        <v/>
      </c>
      <c r="R103">
        <f>IF([2]Entry!$E$106="","",[2]Entry!$E$106)</f>
        <v/>
      </c>
      <c r="S103">
        <f>IF([2]Entry!$G$106="","",[2]Entry!$G$106)</f>
        <v/>
      </c>
      <c r="T103">
        <f>IF([2]Entry!$J$106="","",[2]Entry!$J$106)</f>
        <v/>
      </c>
      <c r="U103">
        <f>IF([2]Entry!$K$106="","",[2]Entry!$K$106)</f>
        <v/>
      </c>
      <c r="V103">
        <f>IF([2]Entry!$L$106="","",[2]Entry!$L$106)</f>
        <v/>
      </c>
      <c r="W103">
        <f>IF([2]Entry!$M$106="","",[2]Entry!$M$106)</f>
        <v/>
      </c>
      <c r="X103">
        <f>IF([2]Entry!$N$106="","",[2]Entry!$N$106)</f>
        <v/>
      </c>
      <c r="Y103">
        <f>IF([2]Entry!$R$106="","",[2]Entry!$R$106)</f>
        <v/>
      </c>
      <c r="AA103">
        <f>IF(AND($E103&lt;&gt;"",$G103&lt;&gt;"",$F103="هزینه"),1,0)</f>
        <v/>
      </c>
      <c r="AB103">
        <f>SUM($AA$6:$AA103)</f>
        <v/>
      </c>
      <c r="AC103">
        <f>IFERROR(INDEX($E$6:$E$105,MATCH(ROW()-5,$AB$6:$AB$105,0)),"")</f>
        <v/>
      </c>
    </row>
    <row r="104">
      <c r="E104">
        <f>IF([1]SubGroups!$B$105="","",[1]SubGroups!$A$105)</f>
        <v/>
      </c>
      <c r="F104">
        <f>IF([1]SubGroups!$B$105="","",[1]SubGroups!$B$105)</f>
        <v/>
      </c>
      <c r="G104">
        <f>IF([1]SubGroups!$B$105="","",[1]SubGroups!$C$105)</f>
        <v/>
      </c>
      <c r="H104">
        <f>IF([1]SubGroups!$B$105="","",[1]SubGroups!$D$105)</f>
        <v/>
      </c>
      <c r="J104">
        <f>IF([1]Accounts!$D$105="","",[1]Accounts!$A$105)</f>
        <v/>
      </c>
      <c r="K104">
        <f>IF([1]Accounts!$D$105="","",[1]Accounts!$B$105)</f>
        <v/>
      </c>
      <c r="L104">
        <f>IF([1]Accounts!$D$105="","",[1]Accounts!$C$105)</f>
        <v/>
      </c>
      <c r="M104">
        <f>IF([1]Accounts!$D$105="","",[1]Accounts!$D$105)</f>
        <v/>
      </c>
      <c r="P104">
        <f>IF([2]Entry!$C$107="","",[2]Entry!$C$107)</f>
        <v/>
      </c>
      <c r="Q104">
        <f>IF([2]Entry!$D$107="","",[2]Entry!$D$107)</f>
        <v/>
      </c>
      <c r="R104">
        <f>IF([2]Entry!$E$107="","",[2]Entry!$E$107)</f>
        <v/>
      </c>
      <c r="S104">
        <f>IF([2]Entry!$G$107="","",[2]Entry!$G$107)</f>
        <v/>
      </c>
      <c r="T104">
        <f>IF([2]Entry!$J$107="","",[2]Entry!$J$107)</f>
        <v/>
      </c>
      <c r="U104">
        <f>IF([2]Entry!$K$107="","",[2]Entry!$K$107)</f>
        <v/>
      </c>
      <c r="V104">
        <f>IF([2]Entry!$L$107="","",[2]Entry!$L$107)</f>
        <v/>
      </c>
      <c r="W104">
        <f>IF([2]Entry!$M$107="","",[2]Entry!$M$107)</f>
        <v/>
      </c>
      <c r="X104">
        <f>IF([2]Entry!$N$107="","",[2]Entry!$N$107)</f>
        <v/>
      </c>
      <c r="Y104">
        <f>IF([2]Entry!$R$107="","",[2]Entry!$R$107)</f>
        <v/>
      </c>
      <c r="AA104">
        <f>IF(AND($E104&lt;&gt;"",$G104&lt;&gt;"",$F104="هزینه"),1,0)</f>
        <v/>
      </c>
      <c r="AB104">
        <f>SUM($AA$6:$AA104)</f>
        <v/>
      </c>
      <c r="AC104">
        <f>IFERROR(INDEX($E$6:$E$105,MATCH(ROW()-5,$AB$6:$AB$105,0)),"")</f>
        <v/>
      </c>
    </row>
    <row r="105">
      <c r="E105">
        <f>IF([1]SubGroups!$B$106="","",[1]SubGroups!$A$106)</f>
        <v/>
      </c>
      <c r="F105">
        <f>IF([1]SubGroups!$B$106="","",[1]SubGroups!$B$106)</f>
        <v/>
      </c>
      <c r="G105">
        <f>IF([1]SubGroups!$B$106="","",[1]SubGroups!$C$106)</f>
        <v/>
      </c>
      <c r="H105">
        <f>IF([1]SubGroups!$B$106="","",[1]SubGroups!$D$106)</f>
        <v/>
      </c>
      <c r="J105">
        <f>IF([1]Accounts!$D$106="","",[1]Accounts!$A$106)</f>
        <v/>
      </c>
      <c r="K105">
        <f>IF([1]Accounts!$D$106="","",[1]Accounts!$B$106)</f>
        <v/>
      </c>
      <c r="L105">
        <f>IF([1]Accounts!$D$106="","",[1]Accounts!$C$106)</f>
        <v/>
      </c>
      <c r="M105">
        <f>IF([1]Accounts!$D$106="","",[1]Accounts!$D$106)</f>
        <v/>
      </c>
      <c r="P105">
        <f>IF([2]Entry!$C$108="","",[2]Entry!$C$108)</f>
        <v/>
      </c>
      <c r="Q105">
        <f>IF([2]Entry!$D$108="","",[2]Entry!$D$108)</f>
        <v/>
      </c>
      <c r="R105">
        <f>IF([2]Entry!$E$108="","",[2]Entry!$E$108)</f>
        <v/>
      </c>
      <c r="S105">
        <f>IF([2]Entry!$G$108="","",[2]Entry!$G$108)</f>
        <v/>
      </c>
      <c r="T105">
        <f>IF([2]Entry!$J$108="","",[2]Entry!$J$108)</f>
        <v/>
      </c>
      <c r="U105">
        <f>IF([2]Entry!$K$108="","",[2]Entry!$K$108)</f>
        <v/>
      </c>
      <c r="V105">
        <f>IF([2]Entry!$L$108="","",[2]Entry!$L$108)</f>
        <v/>
      </c>
      <c r="W105">
        <f>IF([2]Entry!$M$108="","",[2]Entry!$M$108)</f>
        <v/>
      </c>
      <c r="X105">
        <f>IF([2]Entry!$N$108="","",[2]Entry!$N$108)</f>
        <v/>
      </c>
      <c r="Y105">
        <f>IF([2]Entry!$R$108="","",[2]Entry!$R$108)</f>
        <v/>
      </c>
      <c r="AA105">
        <f>IF(AND($E105&lt;&gt;"",$G105&lt;&gt;"",$F105="هزینه"),1,0)</f>
        <v/>
      </c>
      <c r="AB105">
        <f>SUM($AA$6:$AA105)</f>
        <v/>
      </c>
      <c r="AC105">
        <f>IFERROR(INDEX($E$6:$E$105,MATCH(ROW()-5,$AB$6:$AB$105,0)),"")</f>
        <v/>
      </c>
    </row>
    <row r="106">
      <c r="J106">
        <f>IF([1]Accounts!$D$107="","",[1]Accounts!$A$107)</f>
        <v/>
      </c>
      <c r="K106">
        <f>IF([1]Accounts!$D$107="","",[1]Accounts!$B$107)</f>
        <v/>
      </c>
      <c r="L106">
        <f>IF([1]Accounts!$D$107="","",[1]Accounts!$C$107)</f>
        <v/>
      </c>
      <c r="M106">
        <f>IF([1]Accounts!$D$107="","",[1]Accounts!$D$107)</f>
        <v/>
      </c>
      <c r="P106">
        <f>IF([2]Entry!$C$109="","",[2]Entry!$C$109)</f>
        <v/>
      </c>
      <c r="Q106">
        <f>IF([2]Entry!$D$109="","",[2]Entry!$D$109)</f>
        <v/>
      </c>
      <c r="R106">
        <f>IF([2]Entry!$E$109="","",[2]Entry!$E$109)</f>
        <v/>
      </c>
      <c r="S106">
        <f>IF([2]Entry!$G$109="","",[2]Entry!$G$109)</f>
        <v/>
      </c>
      <c r="T106">
        <f>IF([2]Entry!$J$109="","",[2]Entry!$J$109)</f>
        <v/>
      </c>
      <c r="U106">
        <f>IF([2]Entry!$K$109="","",[2]Entry!$K$109)</f>
        <v/>
      </c>
      <c r="V106">
        <f>IF([2]Entry!$L$109="","",[2]Entry!$L$109)</f>
        <v/>
      </c>
      <c r="W106">
        <f>IF([2]Entry!$M$109="","",[2]Entry!$M$109)</f>
        <v/>
      </c>
      <c r="X106">
        <f>IF([2]Entry!$N$109="","",[2]Entry!$N$109)</f>
        <v/>
      </c>
      <c r="Y106">
        <f>IF([2]Entry!$R$109="","",[2]Entry!$R$109)</f>
        <v/>
      </c>
    </row>
    <row r="107">
      <c r="J107">
        <f>IF([1]Accounts!$D$108="","",[1]Accounts!$A$108)</f>
        <v/>
      </c>
      <c r="K107">
        <f>IF([1]Accounts!$D$108="","",[1]Accounts!$B$108)</f>
        <v/>
      </c>
      <c r="L107">
        <f>IF([1]Accounts!$D$108="","",[1]Accounts!$C$108)</f>
        <v/>
      </c>
      <c r="M107">
        <f>IF([1]Accounts!$D$108="","",[1]Accounts!$D$108)</f>
        <v/>
      </c>
      <c r="P107">
        <f>IF([2]Entry!$C$110="","",[2]Entry!$C$110)</f>
        <v/>
      </c>
      <c r="Q107">
        <f>IF([2]Entry!$D$110="","",[2]Entry!$D$110)</f>
        <v/>
      </c>
      <c r="R107">
        <f>IF([2]Entry!$E$110="","",[2]Entry!$E$110)</f>
        <v/>
      </c>
      <c r="S107">
        <f>IF([2]Entry!$G$110="","",[2]Entry!$G$110)</f>
        <v/>
      </c>
      <c r="T107">
        <f>IF([2]Entry!$J$110="","",[2]Entry!$J$110)</f>
        <v/>
      </c>
      <c r="U107">
        <f>IF([2]Entry!$K$110="","",[2]Entry!$K$110)</f>
        <v/>
      </c>
      <c r="V107">
        <f>IF([2]Entry!$L$110="","",[2]Entry!$L$110)</f>
        <v/>
      </c>
      <c r="W107">
        <f>IF([2]Entry!$M$110="","",[2]Entry!$M$110)</f>
        <v/>
      </c>
      <c r="X107">
        <f>IF([2]Entry!$N$110="","",[2]Entry!$N$110)</f>
        <v/>
      </c>
      <c r="Y107">
        <f>IF([2]Entry!$R$110="","",[2]Entry!$R$110)</f>
        <v/>
      </c>
    </row>
    <row r="108">
      <c r="J108">
        <f>IF([1]Accounts!$D$109="","",[1]Accounts!$A$109)</f>
        <v/>
      </c>
      <c r="K108">
        <f>IF([1]Accounts!$D$109="","",[1]Accounts!$B$109)</f>
        <v/>
      </c>
      <c r="L108">
        <f>IF([1]Accounts!$D$109="","",[1]Accounts!$C$109)</f>
        <v/>
      </c>
      <c r="M108">
        <f>IF([1]Accounts!$D$109="","",[1]Accounts!$D$109)</f>
        <v/>
      </c>
      <c r="P108">
        <f>IF([2]Entry!$C$111="","",[2]Entry!$C$111)</f>
        <v/>
      </c>
      <c r="Q108">
        <f>IF([2]Entry!$D$111="","",[2]Entry!$D$111)</f>
        <v/>
      </c>
      <c r="R108">
        <f>IF([2]Entry!$E$111="","",[2]Entry!$E$111)</f>
        <v/>
      </c>
      <c r="S108">
        <f>IF([2]Entry!$G$111="","",[2]Entry!$G$111)</f>
        <v/>
      </c>
      <c r="T108">
        <f>IF([2]Entry!$J$111="","",[2]Entry!$J$111)</f>
        <v/>
      </c>
      <c r="U108">
        <f>IF([2]Entry!$K$111="","",[2]Entry!$K$111)</f>
        <v/>
      </c>
      <c r="V108">
        <f>IF([2]Entry!$L$111="","",[2]Entry!$L$111)</f>
        <v/>
      </c>
      <c r="W108">
        <f>IF([2]Entry!$M$111="","",[2]Entry!$M$111)</f>
        <v/>
      </c>
      <c r="X108">
        <f>IF([2]Entry!$N$111="","",[2]Entry!$N$111)</f>
        <v/>
      </c>
      <c r="Y108">
        <f>IF([2]Entry!$R$111="","",[2]Entry!$R$111)</f>
        <v/>
      </c>
    </row>
    <row r="109">
      <c r="J109">
        <f>IF([1]Accounts!$D$110="","",[1]Accounts!$A$110)</f>
        <v/>
      </c>
      <c r="K109">
        <f>IF([1]Accounts!$D$110="","",[1]Accounts!$B$110)</f>
        <v/>
      </c>
      <c r="L109">
        <f>IF([1]Accounts!$D$110="","",[1]Accounts!$C$110)</f>
        <v/>
      </c>
      <c r="M109">
        <f>IF([1]Accounts!$D$110="","",[1]Accounts!$D$110)</f>
        <v/>
      </c>
      <c r="P109">
        <f>IF([2]Entry!$C$112="","",[2]Entry!$C$112)</f>
        <v/>
      </c>
      <c r="Q109">
        <f>IF([2]Entry!$D$112="","",[2]Entry!$D$112)</f>
        <v/>
      </c>
      <c r="R109">
        <f>IF([2]Entry!$E$112="","",[2]Entry!$E$112)</f>
        <v/>
      </c>
      <c r="S109">
        <f>IF([2]Entry!$G$112="","",[2]Entry!$G$112)</f>
        <v/>
      </c>
      <c r="T109">
        <f>IF([2]Entry!$J$112="","",[2]Entry!$J$112)</f>
        <v/>
      </c>
      <c r="U109">
        <f>IF([2]Entry!$K$112="","",[2]Entry!$K$112)</f>
        <v/>
      </c>
      <c r="V109">
        <f>IF([2]Entry!$L$112="","",[2]Entry!$L$112)</f>
        <v/>
      </c>
      <c r="W109">
        <f>IF([2]Entry!$M$112="","",[2]Entry!$M$112)</f>
        <v/>
      </c>
      <c r="X109">
        <f>IF([2]Entry!$N$112="","",[2]Entry!$N$112)</f>
        <v/>
      </c>
      <c r="Y109">
        <f>IF([2]Entry!$R$112="","",[2]Entry!$R$112)</f>
        <v/>
      </c>
    </row>
    <row r="110">
      <c r="J110">
        <f>IF([1]Accounts!$D$111="","",[1]Accounts!$A$111)</f>
        <v/>
      </c>
      <c r="K110">
        <f>IF([1]Accounts!$D$111="","",[1]Accounts!$B$111)</f>
        <v/>
      </c>
      <c r="L110">
        <f>IF([1]Accounts!$D$111="","",[1]Accounts!$C$111)</f>
        <v/>
      </c>
      <c r="M110">
        <f>IF([1]Accounts!$D$111="","",[1]Accounts!$D$111)</f>
        <v/>
      </c>
      <c r="P110">
        <f>IF([2]Entry!$C$113="","",[2]Entry!$C$113)</f>
        <v/>
      </c>
      <c r="Q110">
        <f>IF([2]Entry!$D$113="","",[2]Entry!$D$113)</f>
        <v/>
      </c>
      <c r="R110">
        <f>IF([2]Entry!$E$113="","",[2]Entry!$E$113)</f>
        <v/>
      </c>
      <c r="S110">
        <f>IF([2]Entry!$G$113="","",[2]Entry!$G$113)</f>
        <v/>
      </c>
      <c r="T110">
        <f>IF([2]Entry!$J$113="","",[2]Entry!$J$113)</f>
        <v/>
      </c>
      <c r="U110">
        <f>IF([2]Entry!$K$113="","",[2]Entry!$K$113)</f>
        <v/>
      </c>
      <c r="V110">
        <f>IF([2]Entry!$L$113="","",[2]Entry!$L$113)</f>
        <v/>
      </c>
      <c r="W110">
        <f>IF([2]Entry!$M$113="","",[2]Entry!$M$113)</f>
        <v/>
      </c>
      <c r="X110">
        <f>IF([2]Entry!$N$113="","",[2]Entry!$N$113)</f>
        <v/>
      </c>
      <c r="Y110">
        <f>IF([2]Entry!$R$113="","",[2]Entry!$R$113)</f>
        <v/>
      </c>
    </row>
    <row r="111">
      <c r="J111">
        <f>IF([1]Accounts!$D$112="","",[1]Accounts!$A$112)</f>
        <v/>
      </c>
      <c r="K111">
        <f>IF([1]Accounts!$D$112="","",[1]Accounts!$B$112)</f>
        <v/>
      </c>
      <c r="L111">
        <f>IF([1]Accounts!$D$112="","",[1]Accounts!$C$112)</f>
        <v/>
      </c>
      <c r="M111">
        <f>IF([1]Accounts!$D$112="","",[1]Accounts!$D$112)</f>
        <v/>
      </c>
      <c r="P111">
        <f>IF([2]Entry!$C$114="","",[2]Entry!$C$114)</f>
        <v/>
      </c>
      <c r="Q111">
        <f>IF([2]Entry!$D$114="","",[2]Entry!$D$114)</f>
        <v/>
      </c>
      <c r="R111">
        <f>IF([2]Entry!$E$114="","",[2]Entry!$E$114)</f>
        <v/>
      </c>
      <c r="S111">
        <f>IF([2]Entry!$G$114="","",[2]Entry!$G$114)</f>
        <v/>
      </c>
      <c r="T111">
        <f>IF([2]Entry!$J$114="","",[2]Entry!$J$114)</f>
        <v/>
      </c>
      <c r="U111">
        <f>IF([2]Entry!$K$114="","",[2]Entry!$K$114)</f>
        <v/>
      </c>
      <c r="V111">
        <f>IF([2]Entry!$L$114="","",[2]Entry!$L$114)</f>
        <v/>
      </c>
      <c r="W111">
        <f>IF([2]Entry!$M$114="","",[2]Entry!$M$114)</f>
        <v/>
      </c>
      <c r="X111">
        <f>IF([2]Entry!$N$114="","",[2]Entry!$N$114)</f>
        <v/>
      </c>
      <c r="Y111">
        <f>IF([2]Entry!$R$114="","",[2]Entry!$R$114)</f>
        <v/>
      </c>
    </row>
    <row r="112">
      <c r="J112">
        <f>IF([1]Accounts!$D$113="","",[1]Accounts!$A$113)</f>
        <v/>
      </c>
      <c r="K112">
        <f>IF([1]Accounts!$D$113="","",[1]Accounts!$B$113)</f>
        <v/>
      </c>
      <c r="L112">
        <f>IF([1]Accounts!$D$113="","",[1]Accounts!$C$113)</f>
        <v/>
      </c>
      <c r="M112">
        <f>IF([1]Accounts!$D$113="","",[1]Accounts!$D$113)</f>
        <v/>
      </c>
      <c r="P112">
        <f>IF([2]Entry!$C$115="","",[2]Entry!$C$115)</f>
        <v/>
      </c>
      <c r="Q112">
        <f>IF([2]Entry!$D$115="","",[2]Entry!$D$115)</f>
        <v/>
      </c>
      <c r="R112">
        <f>IF([2]Entry!$E$115="","",[2]Entry!$E$115)</f>
        <v/>
      </c>
      <c r="S112">
        <f>IF([2]Entry!$G$115="","",[2]Entry!$G$115)</f>
        <v/>
      </c>
      <c r="T112">
        <f>IF([2]Entry!$J$115="","",[2]Entry!$J$115)</f>
        <v/>
      </c>
      <c r="U112">
        <f>IF([2]Entry!$K$115="","",[2]Entry!$K$115)</f>
        <v/>
      </c>
      <c r="V112">
        <f>IF([2]Entry!$L$115="","",[2]Entry!$L$115)</f>
        <v/>
      </c>
      <c r="W112">
        <f>IF([2]Entry!$M$115="","",[2]Entry!$M$115)</f>
        <v/>
      </c>
      <c r="X112">
        <f>IF([2]Entry!$N$115="","",[2]Entry!$N$115)</f>
        <v/>
      </c>
      <c r="Y112">
        <f>IF([2]Entry!$R$115="","",[2]Entry!$R$115)</f>
        <v/>
      </c>
    </row>
    <row r="113">
      <c r="J113">
        <f>IF([1]Accounts!$D$114="","",[1]Accounts!$A$114)</f>
        <v/>
      </c>
      <c r="K113">
        <f>IF([1]Accounts!$D$114="","",[1]Accounts!$B$114)</f>
        <v/>
      </c>
      <c r="L113">
        <f>IF([1]Accounts!$D$114="","",[1]Accounts!$C$114)</f>
        <v/>
      </c>
      <c r="M113">
        <f>IF([1]Accounts!$D$114="","",[1]Accounts!$D$114)</f>
        <v/>
      </c>
      <c r="P113">
        <f>IF([2]Entry!$C$116="","",[2]Entry!$C$116)</f>
        <v/>
      </c>
      <c r="Q113">
        <f>IF([2]Entry!$D$116="","",[2]Entry!$D$116)</f>
        <v/>
      </c>
      <c r="R113">
        <f>IF([2]Entry!$E$116="","",[2]Entry!$E$116)</f>
        <v/>
      </c>
      <c r="S113">
        <f>IF([2]Entry!$G$116="","",[2]Entry!$G$116)</f>
        <v/>
      </c>
      <c r="T113">
        <f>IF([2]Entry!$J$116="","",[2]Entry!$J$116)</f>
        <v/>
      </c>
      <c r="U113">
        <f>IF([2]Entry!$K$116="","",[2]Entry!$K$116)</f>
        <v/>
      </c>
      <c r="V113">
        <f>IF([2]Entry!$L$116="","",[2]Entry!$L$116)</f>
        <v/>
      </c>
      <c r="W113">
        <f>IF([2]Entry!$M$116="","",[2]Entry!$M$116)</f>
        <v/>
      </c>
      <c r="X113">
        <f>IF([2]Entry!$N$116="","",[2]Entry!$N$116)</f>
        <v/>
      </c>
      <c r="Y113">
        <f>IF([2]Entry!$R$116="","",[2]Entry!$R$116)</f>
        <v/>
      </c>
    </row>
    <row r="114">
      <c r="J114">
        <f>IF([1]Accounts!$D$115="","",[1]Accounts!$A$115)</f>
        <v/>
      </c>
      <c r="K114">
        <f>IF([1]Accounts!$D$115="","",[1]Accounts!$B$115)</f>
        <v/>
      </c>
      <c r="L114">
        <f>IF([1]Accounts!$D$115="","",[1]Accounts!$C$115)</f>
        <v/>
      </c>
      <c r="M114">
        <f>IF([1]Accounts!$D$115="","",[1]Accounts!$D$115)</f>
        <v/>
      </c>
      <c r="P114">
        <f>IF([2]Entry!$C$117="","",[2]Entry!$C$117)</f>
        <v/>
      </c>
      <c r="Q114">
        <f>IF([2]Entry!$D$117="","",[2]Entry!$D$117)</f>
        <v/>
      </c>
      <c r="R114">
        <f>IF([2]Entry!$E$117="","",[2]Entry!$E$117)</f>
        <v/>
      </c>
      <c r="S114">
        <f>IF([2]Entry!$G$117="","",[2]Entry!$G$117)</f>
        <v/>
      </c>
      <c r="T114">
        <f>IF([2]Entry!$J$117="","",[2]Entry!$J$117)</f>
        <v/>
      </c>
      <c r="U114">
        <f>IF([2]Entry!$K$117="","",[2]Entry!$K$117)</f>
        <v/>
      </c>
      <c r="V114">
        <f>IF([2]Entry!$L$117="","",[2]Entry!$L$117)</f>
        <v/>
      </c>
      <c r="W114">
        <f>IF([2]Entry!$M$117="","",[2]Entry!$M$117)</f>
        <v/>
      </c>
      <c r="X114">
        <f>IF([2]Entry!$N$117="","",[2]Entry!$N$117)</f>
        <v/>
      </c>
      <c r="Y114">
        <f>IF([2]Entry!$R$117="","",[2]Entry!$R$117)</f>
        <v/>
      </c>
    </row>
    <row r="115">
      <c r="J115">
        <f>IF([1]Accounts!$D$116="","",[1]Accounts!$A$116)</f>
        <v/>
      </c>
      <c r="K115">
        <f>IF([1]Accounts!$D$116="","",[1]Accounts!$B$116)</f>
        <v/>
      </c>
      <c r="L115">
        <f>IF([1]Accounts!$D$116="","",[1]Accounts!$C$116)</f>
        <v/>
      </c>
      <c r="M115">
        <f>IF([1]Accounts!$D$116="","",[1]Accounts!$D$116)</f>
        <v/>
      </c>
      <c r="P115">
        <f>IF([2]Entry!$C$118="","",[2]Entry!$C$118)</f>
        <v/>
      </c>
      <c r="Q115">
        <f>IF([2]Entry!$D$118="","",[2]Entry!$D$118)</f>
        <v/>
      </c>
      <c r="R115">
        <f>IF([2]Entry!$E$118="","",[2]Entry!$E$118)</f>
        <v/>
      </c>
      <c r="S115">
        <f>IF([2]Entry!$G$118="","",[2]Entry!$G$118)</f>
        <v/>
      </c>
      <c r="T115">
        <f>IF([2]Entry!$J$118="","",[2]Entry!$J$118)</f>
        <v/>
      </c>
      <c r="U115">
        <f>IF([2]Entry!$K$118="","",[2]Entry!$K$118)</f>
        <v/>
      </c>
      <c r="V115">
        <f>IF([2]Entry!$L$118="","",[2]Entry!$L$118)</f>
        <v/>
      </c>
      <c r="W115">
        <f>IF([2]Entry!$M$118="","",[2]Entry!$M$118)</f>
        <v/>
      </c>
      <c r="X115">
        <f>IF([2]Entry!$N$118="","",[2]Entry!$N$118)</f>
        <v/>
      </c>
      <c r="Y115">
        <f>IF([2]Entry!$R$118="","",[2]Entry!$R$118)</f>
        <v/>
      </c>
    </row>
    <row r="116">
      <c r="J116">
        <f>IF([1]Accounts!$D$117="","",[1]Accounts!$A$117)</f>
        <v/>
      </c>
      <c r="K116">
        <f>IF([1]Accounts!$D$117="","",[1]Accounts!$B$117)</f>
        <v/>
      </c>
      <c r="L116">
        <f>IF([1]Accounts!$D$117="","",[1]Accounts!$C$117)</f>
        <v/>
      </c>
      <c r="M116">
        <f>IF([1]Accounts!$D$117="","",[1]Accounts!$D$117)</f>
        <v/>
      </c>
      <c r="P116">
        <f>IF([2]Entry!$C$119="","",[2]Entry!$C$119)</f>
        <v/>
      </c>
      <c r="Q116">
        <f>IF([2]Entry!$D$119="","",[2]Entry!$D$119)</f>
        <v/>
      </c>
      <c r="R116">
        <f>IF([2]Entry!$E$119="","",[2]Entry!$E$119)</f>
        <v/>
      </c>
      <c r="S116">
        <f>IF([2]Entry!$G$119="","",[2]Entry!$G$119)</f>
        <v/>
      </c>
      <c r="T116">
        <f>IF([2]Entry!$J$119="","",[2]Entry!$J$119)</f>
        <v/>
      </c>
      <c r="U116">
        <f>IF([2]Entry!$K$119="","",[2]Entry!$K$119)</f>
        <v/>
      </c>
      <c r="V116">
        <f>IF([2]Entry!$L$119="","",[2]Entry!$L$119)</f>
        <v/>
      </c>
      <c r="W116">
        <f>IF([2]Entry!$M$119="","",[2]Entry!$M$119)</f>
        <v/>
      </c>
      <c r="X116">
        <f>IF([2]Entry!$N$119="","",[2]Entry!$N$119)</f>
        <v/>
      </c>
      <c r="Y116">
        <f>IF([2]Entry!$R$119="","",[2]Entry!$R$119)</f>
        <v/>
      </c>
    </row>
    <row r="117">
      <c r="J117">
        <f>IF([1]Accounts!$D$118="","",[1]Accounts!$A$118)</f>
        <v/>
      </c>
      <c r="K117">
        <f>IF([1]Accounts!$D$118="","",[1]Accounts!$B$118)</f>
        <v/>
      </c>
      <c r="L117">
        <f>IF([1]Accounts!$D$118="","",[1]Accounts!$C$118)</f>
        <v/>
      </c>
      <c r="M117">
        <f>IF([1]Accounts!$D$118="","",[1]Accounts!$D$118)</f>
        <v/>
      </c>
      <c r="P117">
        <f>IF([2]Entry!$C$120="","",[2]Entry!$C$120)</f>
        <v/>
      </c>
      <c r="Q117">
        <f>IF([2]Entry!$D$120="","",[2]Entry!$D$120)</f>
        <v/>
      </c>
      <c r="R117">
        <f>IF([2]Entry!$E$120="","",[2]Entry!$E$120)</f>
        <v/>
      </c>
      <c r="S117">
        <f>IF([2]Entry!$G$120="","",[2]Entry!$G$120)</f>
        <v/>
      </c>
      <c r="T117">
        <f>IF([2]Entry!$J$120="","",[2]Entry!$J$120)</f>
        <v/>
      </c>
      <c r="U117">
        <f>IF([2]Entry!$K$120="","",[2]Entry!$K$120)</f>
        <v/>
      </c>
      <c r="V117">
        <f>IF([2]Entry!$L$120="","",[2]Entry!$L$120)</f>
        <v/>
      </c>
      <c r="W117">
        <f>IF([2]Entry!$M$120="","",[2]Entry!$M$120)</f>
        <v/>
      </c>
      <c r="X117">
        <f>IF([2]Entry!$N$120="","",[2]Entry!$N$120)</f>
        <v/>
      </c>
      <c r="Y117">
        <f>IF([2]Entry!$R$120="","",[2]Entry!$R$120)</f>
        <v/>
      </c>
    </row>
    <row r="118">
      <c r="J118">
        <f>IF([1]Accounts!$D$119="","",[1]Accounts!$A$119)</f>
        <v/>
      </c>
      <c r="K118">
        <f>IF([1]Accounts!$D$119="","",[1]Accounts!$B$119)</f>
        <v/>
      </c>
      <c r="L118">
        <f>IF([1]Accounts!$D$119="","",[1]Accounts!$C$119)</f>
        <v/>
      </c>
      <c r="M118">
        <f>IF([1]Accounts!$D$119="","",[1]Accounts!$D$119)</f>
        <v/>
      </c>
      <c r="P118">
        <f>IF([2]Entry!$C$121="","",[2]Entry!$C$121)</f>
        <v/>
      </c>
      <c r="Q118">
        <f>IF([2]Entry!$D$121="","",[2]Entry!$D$121)</f>
        <v/>
      </c>
      <c r="R118">
        <f>IF([2]Entry!$E$121="","",[2]Entry!$E$121)</f>
        <v/>
      </c>
      <c r="S118">
        <f>IF([2]Entry!$G$121="","",[2]Entry!$G$121)</f>
        <v/>
      </c>
      <c r="T118">
        <f>IF([2]Entry!$J$121="","",[2]Entry!$J$121)</f>
        <v/>
      </c>
      <c r="U118">
        <f>IF([2]Entry!$K$121="","",[2]Entry!$K$121)</f>
        <v/>
      </c>
      <c r="V118">
        <f>IF([2]Entry!$L$121="","",[2]Entry!$L$121)</f>
        <v/>
      </c>
      <c r="W118">
        <f>IF([2]Entry!$M$121="","",[2]Entry!$M$121)</f>
        <v/>
      </c>
      <c r="X118">
        <f>IF([2]Entry!$N$121="","",[2]Entry!$N$121)</f>
        <v/>
      </c>
      <c r="Y118">
        <f>IF([2]Entry!$R$121="","",[2]Entry!$R$121)</f>
        <v/>
      </c>
    </row>
    <row r="119">
      <c r="J119">
        <f>IF([1]Accounts!$D$120="","",[1]Accounts!$A$120)</f>
        <v/>
      </c>
      <c r="K119">
        <f>IF([1]Accounts!$D$120="","",[1]Accounts!$B$120)</f>
        <v/>
      </c>
      <c r="L119">
        <f>IF([1]Accounts!$D$120="","",[1]Accounts!$C$120)</f>
        <v/>
      </c>
      <c r="M119">
        <f>IF([1]Accounts!$D$120="","",[1]Accounts!$D$120)</f>
        <v/>
      </c>
      <c r="P119">
        <f>IF([2]Entry!$C$122="","",[2]Entry!$C$122)</f>
        <v/>
      </c>
      <c r="Q119">
        <f>IF([2]Entry!$D$122="","",[2]Entry!$D$122)</f>
        <v/>
      </c>
      <c r="R119">
        <f>IF([2]Entry!$E$122="","",[2]Entry!$E$122)</f>
        <v/>
      </c>
      <c r="S119">
        <f>IF([2]Entry!$G$122="","",[2]Entry!$G$122)</f>
        <v/>
      </c>
      <c r="T119">
        <f>IF([2]Entry!$J$122="","",[2]Entry!$J$122)</f>
        <v/>
      </c>
      <c r="U119">
        <f>IF([2]Entry!$K$122="","",[2]Entry!$K$122)</f>
        <v/>
      </c>
      <c r="V119">
        <f>IF([2]Entry!$L$122="","",[2]Entry!$L$122)</f>
        <v/>
      </c>
      <c r="W119">
        <f>IF([2]Entry!$M$122="","",[2]Entry!$M$122)</f>
        <v/>
      </c>
      <c r="X119">
        <f>IF([2]Entry!$N$122="","",[2]Entry!$N$122)</f>
        <v/>
      </c>
      <c r="Y119">
        <f>IF([2]Entry!$R$122="","",[2]Entry!$R$122)</f>
        <v/>
      </c>
    </row>
    <row r="120">
      <c r="J120">
        <f>IF([1]Accounts!$D$121="","",[1]Accounts!$A$121)</f>
        <v/>
      </c>
      <c r="K120">
        <f>IF([1]Accounts!$D$121="","",[1]Accounts!$B$121)</f>
        <v/>
      </c>
      <c r="L120">
        <f>IF([1]Accounts!$D$121="","",[1]Accounts!$C$121)</f>
        <v/>
      </c>
      <c r="M120">
        <f>IF([1]Accounts!$D$121="","",[1]Accounts!$D$121)</f>
        <v/>
      </c>
      <c r="P120">
        <f>IF([2]Entry!$C$123="","",[2]Entry!$C$123)</f>
        <v/>
      </c>
      <c r="Q120">
        <f>IF([2]Entry!$D$123="","",[2]Entry!$D$123)</f>
        <v/>
      </c>
      <c r="R120">
        <f>IF([2]Entry!$E$123="","",[2]Entry!$E$123)</f>
        <v/>
      </c>
      <c r="S120">
        <f>IF([2]Entry!$G$123="","",[2]Entry!$G$123)</f>
        <v/>
      </c>
      <c r="T120">
        <f>IF([2]Entry!$J$123="","",[2]Entry!$J$123)</f>
        <v/>
      </c>
      <c r="U120">
        <f>IF([2]Entry!$K$123="","",[2]Entry!$K$123)</f>
        <v/>
      </c>
      <c r="V120">
        <f>IF([2]Entry!$L$123="","",[2]Entry!$L$123)</f>
        <v/>
      </c>
      <c r="W120">
        <f>IF([2]Entry!$M$123="","",[2]Entry!$M$123)</f>
        <v/>
      </c>
      <c r="X120">
        <f>IF([2]Entry!$N$123="","",[2]Entry!$N$123)</f>
        <v/>
      </c>
      <c r="Y120">
        <f>IF([2]Entry!$R$123="","",[2]Entry!$R$123)</f>
        <v/>
      </c>
    </row>
    <row r="121">
      <c r="J121">
        <f>IF([1]Accounts!$D$122="","",[1]Accounts!$A$122)</f>
        <v/>
      </c>
      <c r="K121">
        <f>IF([1]Accounts!$D$122="","",[1]Accounts!$B$122)</f>
        <v/>
      </c>
      <c r="L121">
        <f>IF([1]Accounts!$D$122="","",[1]Accounts!$C$122)</f>
        <v/>
      </c>
      <c r="M121">
        <f>IF([1]Accounts!$D$122="","",[1]Accounts!$D$122)</f>
        <v/>
      </c>
      <c r="P121">
        <f>IF([2]Entry!$C$124="","",[2]Entry!$C$124)</f>
        <v/>
      </c>
      <c r="Q121">
        <f>IF([2]Entry!$D$124="","",[2]Entry!$D$124)</f>
        <v/>
      </c>
      <c r="R121">
        <f>IF([2]Entry!$E$124="","",[2]Entry!$E$124)</f>
        <v/>
      </c>
      <c r="S121">
        <f>IF([2]Entry!$G$124="","",[2]Entry!$G$124)</f>
        <v/>
      </c>
      <c r="T121">
        <f>IF([2]Entry!$J$124="","",[2]Entry!$J$124)</f>
        <v/>
      </c>
      <c r="U121">
        <f>IF([2]Entry!$K$124="","",[2]Entry!$K$124)</f>
        <v/>
      </c>
      <c r="V121">
        <f>IF([2]Entry!$L$124="","",[2]Entry!$L$124)</f>
        <v/>
      </c>
      <c r="W121">
        <f>IF([2]Entry!$M$124="","",[2]Entry!$M$124)</f>
        <v/>
      </c>
      <c r="X121">
        <f>IF([2]Entry!$N$124="","",[2]Entry!$N$124)</f>
        <v/>
      </c>
      <c r="Y121">
        <f>IF([2]Entry!$R$124="","",[2]Entry!$R$124)</f>
        <v/>
      </c>
    </row>
    <row r="122">
      <c r="J122">
        <f>IF([1]Accounts!$D$123="","",[1]Accounts!$A$123)</f>
        <v/>
      </c>
      <c r="K122">
        <f>IF([1]Accounts!$D$123="","",[1]Accounts!$B$123)</f>
        <v/>
      </c>
      <c r="L122">
        <f>IF([1]Accounts!$D$123="","",[1]Accounts!$C$123)</f>
        <v/>
      </c>
      <c r="M122">
        <f>IF([1]Accounts!$D$123="","",[1]Accounts!$D$123)</f>
        <v/>
      </c>
      <c r="P122">
        <f>IF([2]Entry!$C$125="","",[2]Entry!$C$125)</f>
        <v/>
      </c>
      <c r="Q122">
        <f>IF([2]Entry!$D$125="","",[2]Entry!$D$125)</f>
        <v/>
      </c>
      <c r="R122">
        <f>IF([2]Entry!$E$125="","",[2]Entry!$E$125)</f>
        <v/>
      </c>
      <c r="S122">
        <f>IF([2]Entry!$G$125="","",[2]Entry!$G$125)</f>
        <v/>
      </c>
      <c r="T122">
        <f>IF([2]Entry!$J$125="","",[2]Entry!$J$125)</f>
        <v/>
      </c>
      <c r="U122">
        <f>IF([2]Entry!$K$125="","",[2]Entry!$K$125)</f>
        <v/>
      </c>
      <c r="V122">
        <f>IF([2]Entry!$L$125="","",[2]Entry!$L$125)</f>
        <v/>
      </c>
      <c r="W122">
        <f>IF([2]Entry!$M$125="","",[2]Entry!$M$125)</f>
        <v/>
      </c>
      <c r="X122">
        <f>IF([2]Entry!$N$125="","",[2]Entry!$N$125)</f>
        <v/>
      </c>
      <c r="Y122">
        <f>IF([2]Entry!$R$125="","",[2]Entry!$R$125)</f>
        <v/>
      </c>
    </row>
    <row r="123">
      <c r="J123">
        <f>IF([1]Accounts!$D$124="","",[1]Accounts!$A$124)</f>
        <v/>
      </c>
      <c r="K123">
        <f>IF([1]Accounts!$D$124="","",[1]Accounts!$B$124)</f>
        <v/>
      </c>
      <c r="L123">
        <f>IF([1]Accounts!$D$124="","",[1]Accounts!$C$124)</f>
        <v/>
      </c>
      <c r="M123">
        <f>IF([1]Accounts!$D$124="","",[1]Accounts!$D$124)</f>
        <v/>
      </c>
      <c r="P123">
        <f>IF([2]Entry!$C$126="","",[2]Entry!$C$126)</f>
        <v/>
      </c>
      <c r="Q123">
        <f>IF([2]Entry!$D$126="","",[2]Entry!$D$126)</f>
        <v/>
      </c>
      <c r="R123">
        <f>IF([2]Entry!$E$126="","",[2]Entry!$E$126)</f>
        <v/>
      </c>
      <c r="S123">
        <f>IF([2]Entry!$G$126="","",[2]Entry!$G$126)</f>
        <v/>
      </c>
      <c r="T123">
        <f>IF([2]Entry!$J$126="","",[2]Entry!$J$126)</f>
        <v/>
      </c>
      <c r="U123">
        <f>IF([2]Entry!$K$126="","",[2]Entry!$K$126)</f>
        <v/>
      </c>
      <c r="V123">
        <f>IF([2]Entry!$L$126="","",[2]Entry!$L$126)</f>
        <v/>
      </c>
      <c r="W123">
        <f>IF([2]Entry!$M$126="","",[2]Entry!$M$126)</f>
        <v/>
      </c>
      <c r="X123">
        <f>IF([2]Entry!$N$126="","",[2]Entry!$N$126)</f>
        <v/>
      </c>
      <c r="Y123">
        <f>IF([2]Entry!$R$126="","",[2]Entry!$R$126)</f>
        <v/>
      </c>
    </row>
    <row r="124">
      <c r="J124">
        <f>IF([1]Accounts!$D$125="","",[1]Accounts!$A$125)</f>
        <v/>
      </c>
      <c r="K124">
        <f>IF([1]Accounts!$D$125="","",[1]Accounts!$B$125)</f>
        <v/>
      </c>
      <c r="L124">
        <f>IF([1]Accounts!$D$125="","",[1]Accounts!$C$125)</f>
        <v/>
      </c>
      <c r="M124">
        <f>IF([1]Accounts!$D$125="","",[1]Accounts!$D$125)</f>
        <v/>
      </c>
      <c r="P124">
        <f>IF([2]Entry!$C$127="","",[2]Entry!$C$127)</f>
        <v/>
      </c>
      <c r="Q124">
        <f>IF([2]Entry!$D$127="","",[2]Entry!$D$127)</f>
        <v/>
      </c>
      <c r="R124">
        <f>IF([2]Entry!$E$127="","",[2]Entry!$E$127)</f>
        <v/>
      </c>
      <c r="S124">
        <f>IF([2]Entry!$G$127="","",[2]Entry!$G$127)</f>
        <v/>
      </c>
      <c r="T124">
        <f>IF([2]Entry!$J$127="","",[2]Entry!$J$127)</f>
        <v/>
      </c>
      <c r="U124">
        <f>IF([2]Entry!$K$127="","",[2]Entry!$K$127)</f>
        <v/>
      </c>
      <c r="V124">
        <f>IF([2]Entry!$L$127="","",[2]Entry!$L$127)</f>
        <v/>
      </c>
      <c r="W124">
        <f>IF([2]Entry!$M$127="","",[2]Entry!$M$127)</f>
        <v/>
      </c>
      <c r="X124">
        <f>IF([2]Entry!$N$127="","",[2]Entry!$N$127)</f>
        <v/>
      </c>
      <c r="Y124">
        <f>IF([2]Entry!$R$127="","",[2]Entry!$R$127)</f>
        <v/>
      </c>
    </row>
    <row r="125">
      <c r="J125">
        <f>IF([1]Accounts!$D$126="","",[1]Accounts!$A$126)</f>
        <v/>
      </c>
      <c r="K125">
        <f>IF([1]Accounts!$D$126="","",[1]Accounts!$B$126)</f>
        <v/>
      </c>
      <c r="L125">
        <f>IF([1]Accounts!$D$126="","",[1]Accounts!$C$126)</f>
        <v/>
      </c>
      <c r="M125">
        <f>IF([1]Accounts!$D$126="","",[1]Accounts!$D$126)</f>
        <v/>
      </c>
      <c r="P125">
        <f>IF([2]Entry!$C$128="","",[2]Entry!$C$128)</f>
        <v/>
      </c>
      <c r="Q125">
        <f>IF([2]Entry!$D$128="","",[2]Entry!$D$128)</f>
        <v/>
      </c>
      <c r="R125">
        <f>IF([2]Entry!$E$128="","",[2]Entry!$E$128)</f>
        <v/>
      </c>
      <c r="S125">
        <f>IF([2]Entry!$G$128="","",[2]Entry!$G$128)</f>
        <v/>
      </c>
      <c r="T125">
        <f>IF([2]Entry!$J$128="","",[2]Entry!$J$128)</f>
        <v/>
      </c>
      <c r="U125">
        <f>IF([2]Entry!$K$128="","",[2]Entry!$K$128)</f>
        <v/>
      </c>
      <c r="V125">
        <f>IF([2]Entry!$L$128="","",[2]Entry!$L$128)</f>
        <v/>
      </c>
      <c r="W125">
        <f>IF([2]Entry!$M$128="","",[2]Entry!$M$128)</f>
        <v/>
      </c>
      <c r="X125">
        <f>IF([2]Entry!$N$128="","",[2]Entry!$N$128)</f>
        <v/>
      </c>
      <c r="Y125">
        <f>IF([2]Entry!$R$128="","",[2]Entry!$R$128)</f>
        <v/>
      </c>
    </row>
    <row r="126">
      <c r="J126">
        <f>IF([1]Accounts!$D$127="","",[1]Accounts!$A$127)</f>
        <v/>
      </c>
      <c r="K126">
        <f>IF([1]Accounts!$D$127="","",[1]Accounts!$B$127)</f>
        <v/>
      </c>
      <c r="L126">
        <f>IF([1]Accounts!$D$127="","",[1]Accounts!$C$127)</f>
        <v/>
      </c>
      <c r="M126">
        <f>IF([1]Accounts!$D$127="","",[1]Accounts!$D$127)</f>
        <v/>
      </c>
      <c r="P126">
        <f>IF([2]Entry!$C$129="","",[2]Entry!$C$129)</f>
        <v/>
      </c>
      <c r="Q126">
        <f>IF([2]Entry!$D$129="","",[2]Entry!$D$129)</f>
        <v/>
      </c>
      <c r="R126">
        <f>IF([2]Entry!$E$129="","",[2]Entry!$E$129)</f>
        <v/>
      </c>
      <c r="S126">
        <f>IF([2]Entry!$G$129="","",[2]Entry!$G$129)</f>
        <v/>
      </c>
      <c r="T126">
        <f>IF([2]Entry!$J$129="","",[2]Entry!$J$129)</f>
        <v/>
      </c>
      <c r="U126">
        <f>IF([2]Entry!$K$129="","",[2]Entry!$K$129)</f>
        <v/>
      </c>
      <c r="V126">
        <f>IF([2]Entry!$L$129="","",[2]Entry!$L$129)</f>
        <v/>
      </c>
      <c r="W126">
        <f>IF([2]Entry!$M$129="","",[2]Entry!$M$129)</f>
        <v/>
      </c>
      <c r="X126">
        <f>IF([2]Entry!$N$129="","",[2]Entry!$N$129)</f>
        <v/>
      </c>
      <c r="Y126">
        <f>IF([2]Entry!$R$129="","",[2]Entry!$R$129)</f>
        <v/>
      </c>
    </row>
    <row r="127">
      <c r="J127">
        <f>IF([1]Accounts!$D$128="","",[1]Accounts!$A$128)</f>
        <v/>
      </c>
      <c r="K127">
        <f>IF([1]Accounts!$D$128="","",[1]Accounts!$B$128)</f>
        <v/>
      </c>
      <c r="L127">
        <f>IF([1]Accounts!$D$128="","",[1]Accounts!$C$128)</f>
        <v/>
      </c>
      <c r="M127">
        <f>IF([1]Accounts!$D$128="","",[1]Accounts!$D$128)</f>
        <v/>
      </c>
      <c r="P127">
        <f>IF([2]Entry!$C$130="","",[2]Entry!$C$130)</f>
        <v/>
      </c>
      <c r="Q127">
        <f>IF([2]Entry!$D$130="","",[2]Entry!$D$130)</f>
        <v/>
      </c>
      <c r="R127">
        <f>IF([2]Entry!$E$130="","",[2]Entry!$E$130)</f>
        <v/>
      </c>
      <c r="S127">
        <f>IF([2]Entry!$G$130="","",[2]Entry!$G$130)</f>
        <v/>
      </c>
      <c r="T127">
        <f>IF([2]Entry!$J$130="","",[2]Entry!$J$130)</f>
        <v/>
      </c>
      <c r="U127">
        <f>IF([2]Entry!$K$130="","",[2]Entry!$K$130)</f>
        <v/>
      </c>
      <c r="V127">
        <f>IF([2]Entry!$L$130="","",[2]Entry!$L$130)</f>
        <v/>
      </c>
      <c r="W127">
        <f>IF([2]Entry!$M$130="","",[2]Entry!$M$130)</f>
        <v/>
      </c>
      <c r="X127">
        <f>IF([2]Entry!$N$130="","",[2]Entry!$N$130)</f>
        <v/>
      </c>
      <c r="Y127">
        <f>IF([2]Entry!$R$130="","",[2]Entry!$R$130)</f>
        <v/>
      </c>
    </row>
    <row r="128">
      <c r="J128">
        <f>IF([1]Accounts!$D$129="","",[1]Accounts!$A$129)</f>
        <v/>
      </c>
      <c r="K128">
        <f>IF([1]Accounts!$D$129="","",[1]Accounts!$B$129)</f>
        <v/>
      </c>
      <c r="L128">
        <f>IF([1]Accounts!$D$129="","",[1]Accounts!$C$129)</f>
        <v/>
      </c>
      <c r="M128">
        <f>IF([1]Accounts!$D$129="","",[1]Accounts!$D$129)</f>
        <v/>
      </c>
      <c r="P128">
        <f>IF([2]Entry!$C$131="","",[2]Entry!$C$131)</f>
        <v/>
      </c>
      <c r="Q128">
        <f>IF([2]Entry!$D$131="","",[2]Entry!$D$131)</f>
        <v/>
      </c>
      <c r="R128">
        <f>IF([2]Entry!$E$131="","",[2]Entry!$E$131)</f>
        <v/>
      </c>
      <c r="S128">
        <f>IF([2]Entry!$G$131="","",[2]Entry!$G$131)</f>
        <v/>
      </c>
      <c r="T128">
        <f>IF([2]Entry!$J$131="","",[2]Entry!$J$131)</f>
        <v/>
      </c>
      <c r="U128">
        <f>IF([2]Entry!$K$131="","",[2]Entry!$K$131)</f>
        <v/>
      </c>
      <c r="V128">
        <f>IF([2]Entry!$L$131="","",[2]Entry!$L$131)</f>
        <v/>
      </c>
      <c r="W128">
        <f>IF([2]Entry!$M$131="","",[2]Entry!$M$131)</f>
        <v/>
      </c>
      <c r="X128">
        <f>IF([2]Entry!$N$131="","",[2]Entry!$N$131)</f>
        <v/>
      </c>
      <c r="Y128">
        <f>IF([2]Entry!$R$131="","",[2]Entry!$R$131)</f>
        <v/>
      </c>
    </row>
    <row r="129">
      <c r="J129">
        <f>IF([1]Accounts!$D$130="","",[1]Accounts!$A$130)</f>
        <v/>
      </c>
      <c r="K129">
        <f>IF([1]Accounts!$D$130="","",[1]Accounts!$B$130)</f>
        <v/>
      </c>
      <c r="L129">
        <f>IF([1]Accounts!$D$130="","",[1]Accounts!$C$130)</f>
        <v/>
      </c>
      <c r="M129">
        <f>IF([1]Accounts!$D$130="","",[1]Accounts!$D$130)</f>
        <v/>
      </c>
      <c r="P129">
        <f>IF([2]Entry!$C$132="","",[2]Entry!$C$132)</f>
        <v/>
      </c>
      <c r="Q129">
        <f>IF([2]Entry!$D$132="","",[2]Entry!$D$132)</f>
        <v/>
      </c>
      <c r="R129">
        <f>IF([2]Entry!$E$132="","",[2]Entry!$E$132)</f>
        <v/>
      </c>
      <c r="S129">
        <f>IF([2]Entry!$G$132="","",[2]Entry!$G$132)</f>
        <v/>
      </c>
      <c r="T129">
        <f>IF([2]Entry!$J$132="","",[2]Entry!$J$132)</f>
        <v/>
      </c>
      <c r="U129">
        <f>IF([2]Entry!$K$132="","",[2]Entry!$K$132)</f>
        <v/>
      </c>
      <c r="V129">
        <f>IF([2]Entry!$L$132="","",[2]Entry!$L$132)</f>
        <v/>
      </c>
      <c r="W129">
        <f>IF([2]Entry!$M$132="","",[2]Entry!$M$132)</f>
        <v/>
      </c>
      <c r="X129">
        <f>IF([2]Entry!$N$132="","",[2]Entry!$N$132)</f>
        <v/>
      </c>
      <c r="Y129">
        <f>IF([2]Entry!$R$132="","",[2]Entry!$R$132)</f>
        <v/>
      </c>
    </row>
    <row r="130">
      <c r="J130">
        <f>IF([1]Accounts!$D$131="","",[1]Accounts!$A$131)</f>
        <v/>
      </c>
      <c r="K130">
        <f>IF([1]Accounts!$D$131="","",[1]Accounts!$B$131)</f>
        <v/>
      </c>
      <c r="L130">
        <f>IF([1]Accounts!$D$131="","",[1]Accounts!$C$131)</f>
        <v/>
      </c>
      <c r="M130">
        <f>IF([1]Accounts!$D$131="","",[1]Accounts!$D$131)</f>
        <v/>
      </c>
      <c r="P130">
        <f>IF([2]Entry!$C$133="","",[2]Entry!$C$133)</f>
        <v/>
      </c>
      <c r="Q130">
        <f>IF([2]Entry!$D$133="","",[2]Entry!$D$133)</f>
        <v/>
      </c>
      <c r="R130">
        <f>IF([2]Entry!$E$133="","",[2]Entry!$E$133)</f>
        <v/>
      </c>
      <c r="S130">
        <f>IF([2]Entry!$G$133="","",[2]Entry!$G$133)</f>
        <v/>
      </c>
      <c r="T130">
        <f>IF([2]Entry!$J$133="","",[2]Entry!$J$133)</f>
        <v/>
      </c>
      <c r="U130">
        <f>IF([2]Entry!$K$133="","",[2]Entry!$K$133)</f>
        <v/>
      </c>
      <c r="V130">
        <f>IF([2]Entry!$L$133="","",[2]Entry!$L$133)</f>
        <v/>
      </c>
      <c r="W130">
        <f>IF([2]Entry!$M$133="","",[2]Entry!$M$133)</f>
        <v/>
      </c>
      <c r="X130">
        <f>IF([2]Entry!$N$133="","",[2]Entry!$N$133)</f>
        <v/>
      </c>
      <c r="Y130">
        <f>IF([2]Entry!$R$133="","",[2]Entry!$R$133)</f>
        <v/>
      </c>
    </row>
    <row r="131">
      <c r="J131">
        <f>IF([1]Accounts!$D$132="","",[1]Accounts!$A$132)</f>
        <v/>
      </c>
      <c r="K131">
        <f>IF([1]Accounts!$D$132="","",[1]Accounts!$B$132)</f>
        <v/>
      </c>
      <c r="L131">
        <f>IF([1]Accounts!$D$132="","",[1]Accounts!$C$132)</f>
        <v/>
      </c>
      <c r="M131">
        <f>IF([1]Accounts!$D$132="","",[1]Accounts!$D$132)</f>
        <v/>
      </c>
      <c r="P131">
        <f>IF([2]Entry!$C$134="","",[2]Entry!$C$134)</f>
        <v/>
      </c>
      <c r="Q131">
        <f>IF([2]Entry!$D$134="","",[2]Entry!$D$134)</f>
        <v/>
      </c>
      <c r="R131">
        <f>IF([2]Entry!$E$134="","",[2]Entry!$E$134)</f>
        <v/>
      </c>
      <c r="S131">
        <f>IF([2]Entry!$G$134="","",[2]Entry!$G$134)</f>
        <v/>
      </c>
      <c r="T131">
        <f>IF([2]Entry!$J$134="","",[2]Entry!$J$134)</f>
        <v/>
      </c>
      <c r="U131">
        <f>IF([2]Entry!$K$134="","",[2]Entry!$K$134)</f>
        <v/>
      </c>
      <c r="V131">
        <f>IF([2]Entry!$L$134="","",[2]Entry!$L$134)</f>
        <v/>
      </c>
      <c r="W131">
        <f>IF([2]Entry!$M$134="","",[2]Entry!$M$134)</f>
        <v/>
      </c>
      <c r="X131">
        <f>IF([2]Entry!$N$134="","",[2]Entry!$N$134)</f>
        <v/>
      </c>
      <c r="Y131">
        <f>IF([2]Entry!$R$134="","",[2]Entry!$R$134)</f>
        <v/>
      </c>
    </row>
    <row r="132">
      <c r="J132">
        <f>IF([1]Accounts!$D$133="","",[1]Accounts!$A$133)</f>
        <v/>
      </c>
      <c r="K132">
        <f>IF([1]Accounts!$D$133="","",[1]Accounts!$B$133)</f>
        <v/>
      </c>
      <c r="L132">
        <f>IF([1]Accounts!$D$133="","",[1]Accounts!$C$133)</f>
        <v/>
      </c>
      <c r="M132">
        <f>IF([1]Accounts!$D$133="","",[1]Accounts!$D$133)</f>
        <v/>
      </c>
      <c r="P132">
        <f>IF([2]Entry!$C$135="","",[2]Entry!$C$135)</f>
        <v/>
      </c>
      <c r="Q132">
        <f>IF([2]Entry!$D$135="","",[2]Entry!$D$135)</f>
        <v/>
      </c>
      <c r="R132">
        <f>IF([2]Entry!$E$135="","",[2]Entry!$E$135)</f>
        <v/>
      </c>
      <c r="S132">
        <f>IF([2]Entry!$G$135="","",[2]Entry!$G$135)</f>
        <v/>
      </c>
      <c r="T132">
        <f>IF([2]Entry!$J$135="","",[2]Entry!$J$135)</f>
        <v/>
      </c>
      <c r="U132">
        <f>IF([2]Entry!$K$135="","",[2]Entry!$K$135)</f>
        <v/>
      </c>
      <c r="V132">
        <f>IF([2]Entry!$L$135="","",[2]Entry!$L$135)</f>
        <v/>
      </c>
      <c r="W132">
        <f>IF([2]Entry!$M$135="","",[2]Entry!$M$135)</f>
        <v/>
      </c>
      <c r="X132">
        <f>IF([2]Entry!$N$135="","",[2]Entry!$N$135)</f>
        <v/>
      </c>
      <c r="Y132">
        <f>IF([2]Entry!$R$135="","",[2]Entry!$R$135)</f>
        <v/>
      </c>
    </row>
    <row r="133">
      <c r="J133">
        <f>IF([1]Accounts!$D$134="","",[1]Accounts!$A$134)</f>
        <v/>
      </c>
      <c r="K133">
        <f>IF([1]Accounts!$D$134="","",[1]Accounts!$B$134)</f>
        <v/>
      </c>
      <c r="L133">
        <f>IF([1]Accounts!$D$134="","",[1]Accounts!$C$134)</f>
        <v/>
      </c>
      <c r="M133">
        <f>IF([1]Accounts!$D$134="","",[1]Accounts!$D$134)</f>
        <v/>
      </c>
      <c r="P133">
        <f>IF([2]Entry!$C$136="","",[2]Entry!$C$136)</f>
        <v/>
      </c>
      <c r="Q133">
        <f>IF([2]Entry!$D$136="","",[2]Entry!$D$136)</f>
        <v/>
      </c>
      <c r="R133">
        <f>IF([2]Entry!$E$136="","",[2]Entry!$E$136)</f>
        <v/>
      </c>
      <c r="S133">
        <f>IF([2]Entry!$G$136="","",[2]Entry!$G$136)</f>
        <v/>
      </c>
      <c r="T133">
        <f>IF([2]Entry!$J$136="","",[2]Entry!$J$136)</f>
        <v/>
      </c>
      <c r="U133">
        <f>IF([2]Entry!$K$136="","",[2]Entry!$K$136)</f>
        <v/>
      </c>
      <c r="V133">
        <f>IF([2]Entry!$L$136="","",[2]Entry!$L$136)</f>
        <v/>
      </c>
      <c r="W133">
        <f>IF([2]Entry!$M$136="","",[2]Entry!$M$136)</f>
        <v/>
      </c>
      <c r="X133">
        <f>IF([2]Entry!$N$136="","",[2]Entry!$N$136)</f>
        <v/>
      </c>
      <c r="Y133">
        <f>IF([2]Entry!$R$136="","",[2]Entry!$R$136)</f>
        <v/>
      </c>
    </row>
    <row r="134">
      <c r="J134">
        <f>IF([1]Accounts!$D$135="","",[1]Accounts!$A$135)</f>
        <v/>
      </c>
      <c r="K134">
        <f>IF([1]Accounts!$D$135="","",[1]Accounts!$B$135)</f>
        <v/>
      </c>
      <c r="L134">
        <f>IF([1]Accounts!$D$135="","",[1]Accounts!$C$135)</f>
        <v/>
      </c>
      <c r="M134">
        <f>IF([1]Accounts!$D$135="","",[1]Accounts!$D$135)</f>
        <v/>
      </c>
      <c r="P134">
        <f>IF([2]Entry!$C$137="","",[2]Entry!$C$137)</f>
        <v/>
      </c>
      <c r="Q134">
        <f>IF([2]Entry!$D$137="","",[2]Entry!$D$137)</f>
        <v/>
      </c>
      <c r="R134">
        <f>IF([2]Entry!$E$137="","",[2]Entry!$E$137)</f>
        <v/>
      </c>
      <c r="S134">
        <f>IF([2]Entry!$G$137="","",[2]Entry!$G$137)</f>
        <v/>
      </c>
      <c r="T134">
        <f>IF([2]Entry!$J$137="","",[2]Entry!$J$137)</f>
        <v/>
      </c>
      <c r="U134">
        <f>IF([2]Entry!$K$137="","",[2]Entry!$K$137)</f>
        <v/>
      </c>
      <c r="V134">
        <f>IF([2]Entry!$L$137="","",[2]Entry!$L$137)</f>
        <v/>
      </c>
      <c r="W134">
        <f>IF([2]Entry!$M$137="","",[2]Entry!$M$137)</f>
        <v/>
      </c>
      <c r="X134">
        <f>IF([2]Entry!$N$137="","",[2]Entry!$N$137)</f>
        <v/>
      </c>
      <c r="Y134">
        <f>IF([2]Entry!$R$137="","",[2]Entry!$R$137)</f>
        <v/>
      </c>
    </row>
    <row r="135">
      <c r="J135">
        <f>IF([1]Accounts!$D$136="","",[1]Accounts!$A$136)</f>
        <v/>
      </c>
      <c r="K135">
        <f>IF([1]Accounts!$D$136="","",[1]Accounts!$B$136)</f>
        <v/>
      </c>
      <c r="L135">
        <f>IF([1]Accounts!$D$136="","",[1]Accounts!$C$136)</f>
        <v/>
      </c>
      <c r="M135">
        <f>IF([1]Accounts!$D$136="","",[1]Accounts!$D$136)</f>
        <v/>
      </c>
      <c r="P135">
        <f>IF([2]Entry!$C$138="","",[2]Entry!$C$138)</f>
        <v/>
      </c>
      <c r="Q135">
        <f>IF([2]Entry!$D$138="","",[2]Entry!$D$138)</f>
        <v/>
      </c>
      <c r="R135">
        <f>IF([2]Entry!$E$138="","",[2]Entry!$E$138)</f>
        <v/>
      </c>
      <c r="S135">
        <f>IF([2]Entry!$G$138="","",[2]Entry!$G$138)</f>
        <v/>
      </c>
      <c r="T135">
        <f>IF([2]Entry!$J$138="","",[2]Entry!$J$138)</f>
        <v/>
      </c>
      <c r="U135">
        <f>IF([2]Entry!$K$138="","",[2]Entry!$K$138)</f>
        <v/>
      </c>
      <c r="V135">
        <f>IF([2]Entry!$L$138="","",[2]Entry!$L$138)</f>
        <v/>
      </c>
      <c r="W135">
        <f>IF([2]Entry!$M$138="","",[2]Entry!$M$138)</f>
        <v/>
      </c>
      <c r="X135">
        <f>IF([2]Entry!$N$138="","",[2]Entry!$N$138)</f>
        <v/>
      </c>
      <c r="Y135">
        <f>IF([2]Entry!$R$138="","",[2]Entry!$R$138)</f>
        <v/>
      </c>
    </row>
    <row r="136">
      <c r="J136">
        <f>IF([1]Accounts!$D$137="","",[1]Accounts!$A$137)</f>
        <v/>
      </c>
      <c r="K136">
        <f>IF([1]Accounts!$D$137="","",[1]Accounts!$B$137)</f>
        <v/>
      </c>
      <c r="L136">
        <f>IF([1]Accounts!$D$137="","",[1]Accounts!$C$137)</f>
        <v/>
      </c>
      <c r="M136">
        <f>IF([1]Accounts!$D$137="","",[1]Accounts!$D$137)</f>
        <v/>
      </c>
      <c r="P136">
        <f>IF([2]Entry!$C$139="","",[2]Entry!$C$139)</f>
        <v/>
      </c>
      <c r="Q136">
        <f>IF([2]Entry!$D$139="","",[2]Entry!$D$139)</f>
        <v/>
      </c>
      <c r="R136">
        <f>IF([2]Entry!$E$139="","",[2]Entry!$E$139)</f>
        <v/>
      </c>
      <c r="S136">
        <f>IF([2]Entry!$G$139="","",[2]Entry!$G$139)</f>
        <v/>
      </c>
      <c r="T136">
        <f>IF([2]Entry!$J$139="","",[2]Entry!$J$139)</f>
        <v/>
      </c>
      <c r="U136">
        <f>IF([2]Entry!$K$139="","",[2]Entry!$K$139)</f>
        <v/>
      </c>
      <c r="V136">
        <f>IF([2]Entry!$L$139="","",[2]Entry!$L$139)</f>
        <v/>
      </c>
      <c r="W136">
        <f>IF([2]Entry!$M$139="","",[2]Entry!$M$139)</f>
        <v/>
      </c>
      <c r="X136">
        <f>IF([2]Entry!$N$139="","",[2]Entry!$N$139)</f>
        <v/>
      </c>
      <c r="Y136">
        <f>IF([2]Entry!$R$139="","",[2]Entry!$R$139)</f>
        <v/>
      </c>
    </row>
    <row r="137">
      <c r="J137">
        <f>IF([1]Accounts!$D$138="","",[1]Accounts!$A$138)</f>
        <v/>
      </c>
      <c r="K137">
        <f>IF([1]Accounts!$D$138="","",[1]Accounts!$B$138)</f>
        <v/>
      </c>
      <c r="L137">
        <f>IF([1]Accounts!$D$138="","",[1]Accounts!$C$138)</f>
        <v/>
      </c>
      <c r="M137">
        <f>IF([1]Accounts!$D$138="","",[1]Accounts!$D$138)</f>
        <v/>
      </c>
      <c r="P137">
        <f>IF([2]Entry!$C$140="","",[2]Entry!$C$140)</f>
        <v/>
      </c>
      <c r="Q137">
        <f>IF([2]Entry!$D$140="","",[2]Entry!$D$140)</f>
        <v/>
      </c>
      <c r="R137">
        <f>IF([2]Entry!$E$140="","",[2]Entry!$E$140)</f>
        <v/>
      </c>
      <c r="S137">
        <f>IF([2]Entry!$G$140="","",[2]Entry!$G$140)</f>
        <v/>
      </c>
      <c r="T137">
        <f>IF([2]Entry!$J$140="","",[2]Entry!$J$140)</f>
        <v/>
      </c>
      <c r="U137">
        <f>IF([2]Entry!$K$140="","",[2]Entry!$K$140)</f>
        <v/>
      </c>
      <c r="V137">
        <f>IF([2]Entry!$L$140="","",[2]Entry!$L$140)</f>
        <v/>
      </c>
      <c r="W137">
        <f>IF([2]Entry!$M$140="","",[2]Entry!$M$140)</f>
        <v/>
      </c>
      <c r="X137">
        <f>IF([2]Entry!$N$140="","",[2]Entry!$N$140)</f>
        <v/>
      </c>
      <c r="Y137">
        <f>IF([2]Entry!$R$140="","",[2]Entry!$R$140)</f>
        <v/>
      </c>
    </row>
    <row r="138">
      <c r="J138">
        <f>IF([1]Accounts!$D$139="","",[1]Accounts!$A$139)</f>
        <v/>
      </c>
      <c r="K138">
        <f>IF([1]Accounts!$D$139="","",[1]Accounts!$B$139)</f>
        <v/>
      </c>
      <c r="L138">
        <f>IF([1]Accounts!$D$139="","",[1]Accounts!$C$139)</f>
        <v/>
      </c>
      <c r="M138">
        <f>IF([1]Accounts!$D$139="","",[1]Accounts!$D$139)</f>
        <v/>
      </c>
      <c r="P138">
        <f>IF([2]Entry!$C$141="","",[2]Entry!$C$141)</f>
        <v/>
      </c>
      <c r="Q138">
        <f>IF([2]Entry!$D$141="","",[2]Entry!$D$141)</f>
        <v/>
      </c>
      <c r="R138">
        <f>IF([2]Entry!$E$141="","",[2]Entry!$E$141)</f>
        <v/>
      </c>
      <c r="S138">
        <f>IF([2]Entry!$G$141="","",[2]Entry!$G$141)</f>
        <v/>
      </c>
      <c r="T138">
        <f>IF([2]Entry!$J$141="","",[2]Entry!$J$141)</f>
        <v/>
      </c>
      <c r="U138">
        <f>IF([2]Entry!$K$141="","",[2]Entry!$K$141)</f>
        <v/>
      </c>
      <c r="V138">
        <f>IF([2]Entry!$L$141="","",[2]Entry!$L$141)</f>
        <v/>
      </c>
      <c r="W138">
        <f>IF([2]Entry!$M$141="","",[2]Entry!$M$141)</f>
        <v/>
      </c>
      <c r="X138">
        <f>IF([2]Entry!$N$141="","",[2]Entry!$N$141)</f>
        <v/>
      </c>
      <c r="Y138">
        <f>IF([2]Entry!$R$141="","",[2]Entry!$R$141)</f>
        <v/>
      </c>
    </row>
    <row r="139">
      <c r="J139">
        <f>IF([1]Accounts!$D$140="","",[1]Accounts!$A$140)</f>
        <v/>
      </c>
      <c r="K139">
        <f>IF([1]Accounts!$D$140="","",[1]Accounts!$B$140)</f>
        <v/>
      </c>
      <c r="L139">
        <f>IF([1]Accounts!$D$140="","",[1]Accounts!$C$140)</f>
        <v/>
      </c>
      <c r="M139">
        <f>IF([1]Accounts!$D$140="","",[1]Accounts!$D$140)</f>
        <v/>
      </c>
      <c r="P139">
        <f>IF([2]Entry!$C$142="","",[2]Entry!$C$142)</f>
        <v/>
      </c>
      <c r="Q139">
        <f>IF([2]Entry!$D$142="","",[2]Entry!$D$142)</f>
        <v/>
      </c>
      <c r="R139">
        <f>IF([2]Entry!$E$142="","",[2]Entry!$E$142)</f>
        <v/>
      </c>
      <c r="S139">
        <f>IF([2]Entry!$G$142="","",[2]Entry!$G$142)</f>
        <v/>
      </c>
      <c r="T139">
        <f>IF([2]Entry!$J$142="","",[2]Entry!$J$142)</f>
        <v/>
      </c>
      <c r="U139">
        <f>IF([2]Entry!$K$142="","",[2]Entry!$K$142)</f>
        <v/>
      </c>
      <c r="V139">
        <f>IF([2]Entry!$L$142="","",[2]Entry!$L$142)</f>
        <v/>
      </c>
      <c r="W139">
        <f>IF([2]Entry!$M$142="","",[2]Entry!$M$142)</f>
        <v/>
      </c>
      <c r="X139">
        <f>IF([2]Entry!$N$142="","",[2]Entry!$N$142)</f>
        <v/>
      </c>
      <c r="Y139">
        <f>IF([2]Entry!$R$142="","",[2]Entry!$R$142)</f>
        <v/>
      </c>
    </row>
    <row r="140">
      <c r="J140">
        <f>IF([1]Accounts!$D$141="","",[1]Accounts!$A$141)</f>
        <v/>
      </c>
      <c r="K140">
        <f>IF([1]Accounts!$D$141="","",[1]Accounts!$B$141)</f>
        <v/>
      </c>
      <c r="L140">
        <f>IF([1]Accounts!$D$141="","",[1]Accounts!$C$141)</f>
        <v/>
      </c>
      <c r="M140">
        <f>IF([1]Accounts!$D$141="","",[1]Accounts!$D$141)</f>
        <v/>
      </c>
      <c r="P140">
        <f>IF([2]Entry!$C$143="","",[2]Entry!$C$143)</f>
        <v/>
      </c>
      <c r="Q140">
        <f>IF([2]Entry!$D$143="","",[2]Entry!$D$143)</f>
        <v/>
      </c>
      <c r="R140">
        <f>IF([2]Entry!$E$143="","",[2]Entry!$E$143)</f>
        <v/>
      </c>
      <c r="S140">
        <f>IF([2]Entry!$G$143="","",[2]Entry!$G$143)</f>
        <v/>
      </c>
      <c r="T140">
        <f>IF([2]Entry!$J$143="","",[2]Entry!$J$143)</f>
        <v/>
      </c>
      <c r="U140">
        <f>IF([2]Entry!$K$143="","",[2]Entry!$K$143)</f>
        <v/>
      </c>
      <c r="V140">
        <f>IF([2]Entry!$L$143="","",[2]Entry!$L$143)</f>
        <v/>
      </c>
      <c r="W140">
        <f>IF([2]Entry!$M$143="","",[2]Entry!$M$143)</f>
        <v/>
      </c>
      <c r="X140">
        <f>IF([2]Entry!$N$143="","",[2]Entry!$N$143)</f>
        <v/>
      </c>
      <c r="Y140">
        <f>IF([2]Entry!$R$143="","",[2]Entry!$R$143)</f>
        <v/>
      </c>
    </row>
    <row r="141">
      <c r="J141">
        <f>IF([1]Accounts!$D$142="","",[1]Accounts!$A$142)</f>
        <v/>
      </c>
      <c r="K141">
        <f>IF([1]Accounts!$D$142="","",[1]Accounts!$B$142)</f>
        <v/>
      </c>
      <c r="L141">
        <f>IF([1]Accounts!$D$142="","",[1]Accounts!$C$142)</f>
        <v/>
      </c>
      <c r="M141">
        <f>IF([1]Accounts!$D$142="","",[1]Accounts!$D$142)</f>
        <v/>
      </c>
      <c r="P141">
        <f>IF([2]Entry!$C$144="","",[2]Entry!$C$144)</f>
        <v/>
      </c>
      <c r="Q141">
        <f>IF([2]Entry!$D$144="","",[2]Entry!$D$144)</f>
        <v/>
      </c>
      <c r="R141">
        <f>IF([2]Entry!$E$144="","",[2]Entry!$E$144)</f>
        <v/>
      </c>
      <c r="S141">
        <f>IF([2]Entry!$G$144="","",[2]Entry!$G$144)</f>
        <v/>
      </c>
      <c r="T141">
        <f>IF([2]Entry!$J$144="","",[2]Entry!$J$144)</f>
        <v/>
      </c>
      <c r="U141">
        <f>IF([2]Entry!$K$144="","",[2]Entry!$K$144)</f>
        <v/>
      </c>
      <c r="V141">
        <f>IF([2]Entry!$L$144="","",[2]Entry!$L$144)</f>
        <v/>
      </c>
      <c r="W141">
        <f>IF([2]Entry!$M$144="","",[2]Entry!$M$144)</f>
        <v/>
      </c>
      <c r="X141">
        <f>IF([2]Entry!$N$144="","",[2]Entry!$N$144)</f>
        <v/>
      </c>
      <c r="Y141">
        <f>IF([2]Entry!$R$144="","",[2]Entry!$R$144)</f>
        <v/>
      </c>
    </row>
    <row r="142">
      <c r="J142">
        <f>IF([1]Accounts!$D$143="","",[1]Accounts!$A$143)</f>
        <v/>
      </c>
      <c r="K142">
        <f>IF([1]Accounts!$D$143="","",[1]Accounts!$B$143)</f>
        <v/>
      </c>
      <c r="L142">
        <f>IF([1]Accounts!$D$143="","",[1]Accounts!$C$143)</f>
        <v/>
      </c>
      <c r="M142">
        <f>IF([1]Accounts!$D$143="","",[1]Accounts!$D$143)</f>
        <v/>
      </c>
      <c r="P142">
        <f>IF([2]Entry!$C$145="","",[2]Entry!$C$145)</f>
        <v/>
      </c>
      <c r="Q142">
        <f>IF([2]Entry!$D$145="","",[2]Entry!$D$145)</f>
        <v/>
      </c>
      <c r="R142">
        <f>IF([2]Entry!$E$145="","",[2]Entry!$E$145)</f>
        <v/>
      </c>
      <c r="S142">
        <f>IF([2]Entry!$G$145="","",[2]Entry!$G$145)</f>
        <v/>
      </c>
      <c r="T142">
        <f>IF([2]Entry!$J$145="","",[2]Entry!$J$145)</f>
        <v/>
      </c>
      <c r="U142">
        <f>IF([2]Entry!$K$145="","",[2]Entry!$K$145)</f>
        <v/>
      </c>
      <c r="V142">
        <f>IF([2]Entry!$L$145="","",[2]Entry!$L$145)</f>
        <v/>
      </c>
      <c r="W142">
        <f>IF([2]Entry!$M$145="","",[2]Entry!$M$145)</f>
        <v/>
      </c>
      <c r="X142">
        <f>IF([2]Entry!$N$145="","",[2]Entry!$N$145)</f>
        <v/>
      </c>
      <c r="Y142">
        <f>IF([2]Entry!$R$145="","",[2]Entry!$R$145)</f>
        <v/>
      </c>
    </row>
    <row r="143">
      <c r="J143">
        <f>IF([1]Accounts!$D$144="","",[1]Accounts!$A$144)</f>
        <v/>
      </c>
      <c r="K143">
        <f>IF([1]Accounts!$D$144="","",[1]Accounts!$B$144)</f>
        <v/>
      </c>
      <c r="L143">
        <f>IF([1]Accounts!$D$144="","",[1]Accounts!$C$144)</f>
        <v/>
      </c>
      <c r="M143">
        <f>IF([1]Accounts!$D$144="","",[1]Accounts!$D$144)</f>
        <v/>
      </c>
      <c r="P143">
        <f>IF([2]Entry!$C$146="","",[2]Entry!$C$146)</f>
        <v/>
      </c>
      <c r="Q143">
        <f>IF([2]Entry!$D$146="","",[2]Entry!$D$146)</f>
        <v/>
      </c>
      <c r="R143">
        <f>IF([2]Entry!$E$146="","",[2]Entry!$E$146)</f>
        <v/>
      </c>
      <c r="S143">
        <f>IF([2]Entry!$G$146="","",[2]Entry!$G$146)</f>
        <v/>
      </c>
      <c r="T143">
        <f>IF([2]Entry!$J$146="","",[2]Entry!$J$146)</f>
        <v/>
      </c>
      <c r="U143">
        <f>IF([2]Entry!$K$146="","",[2]Entry!$K$146)</f>
        <v/>
      </c>
      <c r="V143">
        <f>IF([2]Entry!$L$146="","",[2]Entry!$L$146)</f>
        <v/>
      </c>
      <c r="W143">
        <f>IF([2]Entry!$M$146="","",[2]Entry!$M$146)</f>
        <v/>
      </c>
      <c r="X143">
        <f>IF([2]Entry!$N$146="","",[2]Entry!$N$146)</f>
        <v/>
      </c>
      <c r="Y143">
        <f>IF([2]Entry!$R$146="","",[2]Entry!$R$146)</f>
        <v/>
      </c>
    </row>
    <row r="144">
      <c r="J144">
        <f>IF([1]Accounts!$D$145="","",[1]Accounts!$A$145)</f>
        <v/>
      </c>
      <c r="K144">
        <f>IF([1]Accounts!$D$145="","",[1]Accounts!$B$145)</f>
        <v/>
      </c>
      <c r="L144">
        <f>IF([1]Accounts!$D$145="","",[1]Accounts!$C$145)</f>
        <v/>
      </c>
      <c r="M144">
        <f>IF([1]Accounts!$D$145="","",[1]Accounts!$D$145)</f>
        <v/>
      </c>
      <c r="P144">
        <f>IF([2]Entry!$C$147="","",[2]Entry!$C$147)</f>
        <v/>
      </c>
      <c r="Q144">
        <f>IF([2]Entry!$D$147="","",[2]Entry!$D$147)</f>
        <v/>
      </c>
      <c r="R144">
        <f>IF([2]Entry!$E$147="","",[2]Entry!$E$147)</f>
        <v/>
      </c>
      <c r="S144">
        <f>IF([2]Entry!$G$147="","",[2]Entry!$G$147)</f>
        <v/>
      </c>
      <c r="T144">
        <f>IF([2]Entry!$J$147="","",[2]Entry!$J$147)</f>
        <v/>
      </c>
      <c r="U144">
        <f>IF([2]Entry!$K$147="","",[2]Entry!$K$147)</f>
        <v/>
      </c>
      <c r="V144">
        <f>IF([2]Entry!$L$147="","",[2]Entry!$L$147)</f>
        <v/>
      </c>
      <c r="W144">
        <f>IF([2]Entry!$M$147="","",[2]Entry!$M$147)</f>
        <v/>
      </c>
      <c r="X144">
        <f>IF([2]Entry!$N$147="","",[2]Entry!$N$147)</f>
        <v/>
      </c>
      <c r="Y144">
        <f>IF([2]Entry!$R$147="","",[2]Entry!$R$147)</f>
        <v/>
      </c>
    </row>
    <row r="145">
      <c r="J145">
        <f>IF([1]Accounts!$D$146="","",[1]Accounts!$A$146)</f>
        <v/>
      </c>
      <c r="K145">
        <f>IF([1]Accounts!$D$146="","",[1]Accounts!$B$146)</f>
        <v/>
      </c>
      <c r="L145">
        <f>IF([1]Accounts!$D$146="","",[1]Accounts!$C$146)</f>
        <v/>
      </c>
      <c r="M145">
        <f>IF([1]Accounts!$D$146="","",[1]Accounts!$D$146)</f>
        <v/>
      </c>
      <c r="P145">
        <f>IF([2]Entry!$C$148="","",[2]Entry!$C$148)</f>
        <v/>
      </c>
      <c r="Q145">
        <f>IF([2]Entry!$D$148="","",[2]Entry!$D$148)</f>
        <v/>
      </c>
      <c r="R145">
        <f>IF([2]Entry!$E$148="","",[2]Entry!$E$148)</f>
        <v/>
      </c>
      <c r="S145">
        <f>IF([2]Entry!$G$148="","",[2]Entry!$G$148)</f>
        <v/>
      </c>
      <c r="T145">
        <f>IF([2]Entry!$J$148="","",[2]Entry!$J$148)</f>
        <v/>
      </c>
      <c r="U145">
        <f>IF([2]Entry!$K$148="","",[2]Entry!$K$148)</f>
        <v/>
      </c>
      <c r="V145">
        <f>IF([2]Entry!$L$148="","",[2]Entry!$L$148)</f>
        <v/>
      </c>
      <c r="W145">
        <f>IF([2]Entry!$M$148="","",[2]Entry!$M$148)</f>
        <v/>
      </c>
      <c r="X145">
        <f>IF([2]Entry!$N$148="","",[2]Entry!$N$148)</f>
        <v/>
      </c>
      <c r="Y145">
        <f>IF([2]Entry!$R$148="","",[2]Entry!$R$148)</f>
        <v/>
      </c>
    </row>
    <row r="146">
      <c r="J146">
        <f>IF([1]Accounts!$D$147="","",[1]Accounts!$A$147)</f>
        <v/>
      </c>
      <c r="K146">
        <f>IF([1]Accounts!$D$147="","",[1]Accounts!$B$147)</f>
        <v/>
      </c>
      <c r="L146">
        <f>IF([1]Accounts!$D$147="","",[1]Accounts!$C$147)</f>
        <v/>
      </c>
      <c r="M146">
        <f>IF([1]Accounts!$D$147="","",[1]Accounts!$D$147)</f>
        <v/>
      </c>
      <c r="P146">
        <f>IF([2]Entry!$C$149="","",[2]Entry!$C$149)</f>
        <v/>
      </c>
      <c r="Q146">
        <f>IF([2]Entry!$D$149="","",[2]Entry!$D$149)</f>
        <v/>
      </c>
      <c r="R146">
        <f>IF([2]Entry!$E$149="","",[2]Entry!$E$149)</f>
        <v/>
      </c>
      <c r="S146">
        <f>IF([2]Entry!$G$149="","",[2]Entry!$G$149)</f>
        <v/>
      </c>
      <c r="T146">
        <f>IF([2]Entry!$J$149="","",[2]Entry!$J$149)</f>
        <v/>
      </c>
      <c r="U146">
        <f>IF([2]Entry!$K$149="","",[2]Entry!$K$149)</f>
        <v/>
      </c>
      <c r="V146">
        <f>IF([2]Entry!$L$149="","",[2]Entry!$L$149)</f>
        <v/>
      </c>
      <c r="W146">
        <f>IF([2]Entry!$M$149="","",[2]Entry!$M$149)</f>
        <v/>
      </c>
      <c r="X146">
        <f>IF([2]Entry!$N$149="","",[2]Entry!$N$149)</f>
        <v/>
      </c>
      <c r="Y146">
        <f>IF([2]Entry!$R$149="","",[2]Entry!$R$149)</f>
        <v/>
      </c>
    </row>
    <row r="147">
      <c r="J147">
        <f>IF([1]Accounts!$D$148="","",[1]Accounts!$A$148)</f>
        <v/>
      </c>
      <c r="K147">
        <f>IF([1]Accounts!$D$148="","",[1]Accounts!$B$148)</f>
        <v/>
      </c>
      <c r="L147">
        <f>IF([1]Accounts!$D$148="","",[1]Accounts!$C$148)</f>
        <v/>
      </c>
      <c r="M147">
        <f>IF([1]Accounts!$D$148="","",[1]Accounts!$D$148)</f>
        <v/>
      </c>
      <c r="P147">
        <f>IF([2]Entry!$C$150="","",[2]Entry!$C$150)</f>
        <v/>
      </c>
      <c r="Q147">
        <f>IF([2]Entry!$D$150="","",[2]Entry!$D$150)</f>
        <v/>
      </c>
      <c r="R147">
        <f>IF([2]Entry!$E$150="","",[2]Entry!$E$150)</f>
        <v/>
      </c>
      <c r="S147">
        <f>IF([2]Entry!$G$150="","",[2]Entry!$G$150)</f>
        <v/>
      </c>
      <c r="T147">
        <f>IF([2]Entry!$J$150="","",[2]Entry!$J$150)</f>
        <v/>
      </c>
      <c r="U147">
        <f>IF([2]Entry!$K$150="","",[2]Entry!$K$150)</f>
        <v/>
      </c>
      <c r="V147">
        <f>IF([2]Entry!$L$150="","",[2]Entry!$L$150)</f>
        <v/>
      </c>
      <c r="W147">
        <f>IF([2]Entry!$M$150="","",[2]Entry!$M$150)</f>
        <v/>
      </c>
      <c r="X147">
        <f>IF([2]Entry!$N$150="","",[2]Entry!$N$150)</f>
        <v/>
      </c>
      <c r="Y147">
        <f>IF([2]Entry!$R$150="","",[2]Entry!$R$150)</f>
        <v/>
      </c>
    </row>
    <row r="148">
      <c r="J148">
        <f>IF([1]Accounts!$D$149="","",[1]Accounts!$A$149)</f>
        <v/>
      </c>
      <c r="K148">
        <f>IF([1]Accounts!$D$149="","",[1]Accounts!$B$149)</f>
        <v/>
      </c>
      <c r="L148">
        <f>IF([1]Accounts!$D$149="","",[1]Accounts!$C$149)</f>
        <v/>
      </c>
      <c r="M148">
        <f>IF([1]Accounts!$D$149="","",[1]Accounts!$D$149)</f>
        <v/>
      </c>
      <c r="P148">
        <f>IF([2]Entry!$C$151="","",[2]Entry!$C$151)</f>
        <v/>
      </c>
      <c r="Q148">
        <f>IF([2]Entry!$D$151="","",[2]Entry!$D$151)</f>
        <v/>
      </c>
      <c r="R148">
        <f>IF([2]Entry!$E$151="","",[2]Entry!$E$151)</f>
        <v/>
      </c>
      <c r="S148">
        <f>IF([2]Entry!$G$151="","",[2]Entry!$G$151)</f>
        <v/>
      </c>
      <c r="T148">
        <f>IF([2]Entry!$J$151="","",[2]Entry!$J$151)</f>
        <v/>
      </c>
      <c r="U148">
        <f>IF([2]Entry!$K$151="","",[2]Entry!$K$151)</f>
        <v/>
      </c>
      <c r="V148">
        <f>IF([2]Entry!$L$151="","",[2]Entry!$L$151)</f>
        <v/>
      </c>
      <c r="W148">
        <f>IF([2]Entry!$M$151="","",[2]Entry!$M$151)</f>
        <v/>
      </c>
      <c r="X148">
        <f>IF([2]Entry!$N$151="","",[2]Entry!$N$151)</f>
        <v/>
      </c>
      <c r="Y148">
        <f>IF([2]Entry!$R$151="","",[2]Entry!$R$151)</f>
        <v/>
      </c>
    </row>
    <row r="149">
      <c r="J149">
        <f>IF([1]Accounts!$D$150="","",[1]Accounts!$A$150)</f>
        <v/>
      </c>
      <c r="K149">
        <f>IF([1]Accounts!$D$150="","",[1]Accounts!$B$150)</f>
        <v/>
      </c>
      <c r="L149">
        <f>IF([1]Accounts!$D$150="","",[1]Accounts!$C$150)</f>
        <v/>
      </c>
      <c r="M149">
        <f>IF([1]Accounts!$D$150="","",[1]Accounts!$D$150)</f>
        <v/>
      </c>
      <c r="P149">
        <f>IF([2]Entry!$C$152="","",[2]Entry!$C$152)</f>
        <v/>
      </c>
      <c r="Q149">
        <f>IF([2]Entry!$D$152="","",[2]Entry!$D$152)</f>
        <v/>
      </c>
      <c r="R149">
        <f>IF([2]Entry!$E$152="","",[2]Entry!$E$152)</f>
        <v/>
      </c>
      <c r="S149">
        <f>IF([2]Entry!$G$152="","",[2]Entry!$G$152)</f>
        <v/>
      </c>
      <c r="T149">
        <f>IF([2]Entry!$J$152="","",[2]Entry!$J$152)</f>
        <v/>
      </c>
      <c r="U149">
        <f>IF([2]Entry!$K$152="","",[2]Entry!$K$152)</f>
        <v/>
      </c>
      <c r="V149">
        <f>IF([2]Entry!$L$152="","",[2]Entry!$L$152)</f>
        <v/>
      </c>
      <c r="W149">
        <f>IF([2]Entry!$M$152="","",[2]Entry!$M$152)</f>
        <v/>
      </c>
      <c r="X149">
        <f>IF([2]Entry!$N$152="","",[2]Entry!$N$152)</f>
        <v/>
      </c>
      <c r="Y149">
        <f>IF([2]Entry!$R$152="","",[2]Entry!$R$152)</f>
        <v/>
      </c>
    </row>
    <row r="150">
      <c r="J150">
        <f>IF([1]Accounts!$D$151="","",[1]Accounts!$A$151)</f>
        <v/>
      </c>
      <c r="K150">
        <f>IF([1]Accounts!$D$151="","",[1]Accounts!$B$151)</f>
        <v/>
      </c>
      <c r="L150">
        <f>IF([1]Accounts!$D$151="","",[1]Accounts!$C$151)</f>
        <v/>
      </c>
      <c r="M150">
        <f>IF([1]Accounts!$D$151="","",[1]Accounts!$D$151)</f>
        <v/>
      </c>
      <c r="P150">
        <f>IF([2]Entry!$C$153="","",[2]Entry!$C$153)</f>
        <v/>
      </c>
      <c r="Q150">
        <f>IF([2]Entry!$D$153="","",[2]Entry!$D$153)</f>
        <v/>
      </c>
      <c r="R150">
        <f>IF([2]Entry!$E$153="","",[2]Entry!$E$153)</f>
        <v/>
      </c>
      <c r="S150">
        <f>IF([2]Entry!$G$153="","",[2]Entry!$G$153)</f>
        <v/>
      </c>
      <c r="T150">
        <f>IF([2]Entry!$J$153="","",[2]Entry!$J$153)</f>
        <v/>
      </c>
      <c r="U150">
        <f>IF([2]Entry!$K$153="","",[2]Entry!$K$153)</f>
        <v/>
      </c>
      <c r="V150">
        <f>IF([2]Entry!$L$153="","",[2]Entry!$L$153)</f>
        <v/>
      </c>
      <c r="W150">
        <f>IF([2]Entry!$M$153="","",[2]Entry!$M$153)</f>
        <v/>
      </c>
      <c r="X150">
        <f>IF([2]Entry!$N$153="","",[2]Entry!$N$153)</f>
        <v/>
      </c>
      <c r="Y150">
        <f>IF([2]Entry!$R$153="","",[2]Entry!$R$153)</f>
        <v/>
      </c>
    </row>
    <row r="151">
      <c r="J151">
        <f>IF([1]Accounts!$D$152="","",[1]Accounts!$A$152)</f>
        <v/>
      </c>
      <c r="K151">
        <f>IF([1]Accounts!$D$152="","",[1]Accounts!$B$152)</f>
        <v/>
      </c>
      <c r="L151">
        <f>IF([1]Accounts!$D$152="","",[1]Accounts!$C$152)</f>
        <v/>
      </c>
      <c r="M151">
        <f>IF([1]Accounts!$D$152="","",[1]Accounts!$D$152)</f>
        <v/>
      </c>
      <c r="P151">
        <f>IF([2]Entry!$C$154="","",[2]Entry!$C$154)</f>
        <v/>
      </c>
      <c r="Q151">
        <f>IF([2]Entry!$D$154="","",[2]Entry!$D$154)</f>
        <v/>
      </c>
      <c r="R151">
        <f>IF([2]Entry!$E$154="","",[2]Entry!$E$154)</f>
        <v/>
      </c>
      <c r="S151">
        <f>IF([2]Entry!$G$154="","",[2]Entry!$G$154)</f>
        <v/>
      </c>
      <c r="T151">
        <f>IF([2]Entry!$J$154="","",[2]Entry!$J$154)</f>
        <v/>
      </c>
      <c r="U151">
        <f>IF([2]Entry!$K$154="","",[2]Entry!$K$154)</f>
        <v/>
      </c>
      <c r="V151">
        <f>IF([2]Entry!$L$154="","",[2]Entry!$L$154)</f>
        <v/>
      </c>
      <c r="W151">
        <f>IF([2]Entry!$M$154="","",[2]Entry!$M$154)</f>
        <v/>
      </c>
      <c r="X151">
        <f>IF([2]Entry!$N$154="","",[2]Entry!$N$154)</f>
        <v/>
      </c>
      <c r="Y151">
        <f>IF([2]Entry!$R$154="","",[2]Entry!$R$154)</f>
        <v/>
      </c>
    </row>
    <row r="152">
      <c r="J152">
        <f>IF([1]Accounts!$D$153="","",[1]Accounts!$A$153)</f>
        <v/>
      </c>
      <c r="K152">
        <f>IF([1]Accounts!$D$153="","",[1]Accounts!$B$153)</f>
        <v/>
      </c>
      <c r="L152">
        <f>IF([1]Accounts!$D$153="","",[1]Accounts!$C$153)</f>
        <v/>
      </c>
      <c r="M152">
        <f>IF([1]Accounts!$D$153="","",[1]Accounts!$D$153)</f>
        <v/>
      </c>
      <c r="P152">
        <f>IF([2]Entry!$C$155="","",[2]Entry!$C$155)</f>
        <v/>
      </c>
      <c r="Q152">
        <f>IF([2]Entry!$D$155="","",[2]Entry!$D$155)</f>
        <v/>
      </c>
      <c r="R152">
        <f>IF([2]Entry!$E$155="","",[2]Entry!$E$155)</f>
        <v/>
      </c>
      <c r="S152">
        <f>IF([2]Entry!$G$155="","",[2]Entry!$G$155)</f>
        <v/>
      </c>
      <c r="T152">
        <f>IF([2]Entry!$J$155="","",[2]Entry!$J$155)</f>
        <v/>
      </c>
      <c r="U152">
        <f>IF([2]Entry!$K$155="","",[2]Entry!$K$155)</f>
        <v/>
      </c>
      <c r="V152">
        <f>IF([2]Entry!$L$155="","",[2]Entry!$L$155)</f>
        <v/>
      </c>
      <c r="W152">
        <f>IF([2]Entry!$M$155="","",[2]Entry!$M$155)</f>
        <v/>
      </c>
      <c r="X152">
        <f>IF([2]Entry!$N$155="","",[2]Entry!$N$155)</f>
        <v/>
      </c>
      <c r="Y152">
        <f>IF([2]Entry!$R$155="","",[2]Entry!$R$155)</f>
        <v/>
      </c>
    </row>
    <row r="153">
      <c r="J153">
        <f>IF([1]Accounts!$D$154="","",[1]Accounts!$A$154)</f>
        <v/>
      </c>
      <c r="K153">
        <f>IF([1]Accounts!$D$154="","",[1]Accounts!$B$154)</f>
        <v/>
      </c>
      <c r="L153">
        <f>IF([1]Accounts!$D$154="","",[1]Accounts!$C$154)</f>
        <v/>
      </c>
      <c r="M153">
        <f>IF([1]Accounts!$D$154="","",[1]Accounts!$D$154)</f>
        <v/>
      </c>
      <c r="P153">
        <f>IF([2]Entry!$C$156="","",[2]Entry!$C$156)</f>
        <v/>
      </c>
      <c r="Q153">
        <f>IF([2]Entry!$D$156="","",[2]Entry!$D$156)</f>
        <v/>
      </c>
      <c r="R153">
        <f>IF([2]Entry!$E$156="","",[2]Entry!$E$156)</f>
        <v/>
      </c>
      <c r="S153">
        <f>IF([2]Entry!$G$156="","",[2]Entry!$G$156)</f>
        <v/>
      </c>
      <c r="T153">
        <f>IF([2]Entry!$J$156="","",[2]Entry!$J$156)</f>
        <v/>
      </c>
      <c r="U153">
        <f>IF([2]Entry!$K$156="","",[2]Entry!$K$156)</f>
        <v/>
      </c>
      <c r="V153">
        <f>IF([2]Entry!$L$156="","",[2]Entry!$L$156)</f>
        <v/>
      </c>
      <c r="W153">
        <f>IF([2]Entry!$M$156="","",[2]Entry!$M$156)</f>
        <v/>
      </c>
      <c r="X153">
        <f>IF([2]Entry!$N$156="","",[2]Entry!$N$156)</f>
        <v/>
      </c>
      <c r="Y153">
        <f>IF([2]Entry!$R$156="","",[2]Entry!$R$156)</f>
        <v/>
      </c>
    </row>
    <row r="154">
      <c r="J154">
        <f>IF([1]Accounts!$D$155="","",[1]Accounts!$A$155)</f>
        <v/>
      </c>
      <c r="K154">
        <f>IF([1]Accounts!$D$155="","",[1]Accounts!$B$155)</f>
        <v/>
      </c>
      <c r="L154">
        <f>IF([1]Accounts!$D$155="","",[1]Accounts!$C$155)</f>
        <v/>
      </c>
      <c r="M154">
        <f>IF([1]Accounts!$D$155="","",[1]Accounts!$D$155)</f>
        <v/>
      </c>
      <c r="P154">
        <f>IF([2]Entry!$C$157="","",[2]Entry!$C$157)</f>
        <v/>
      </c>
      <c r="Q154">
        <f>IF([2]Entry!$D$157="","",[2]Entry!$D$157)</f>
        <v/>
      </c>
      <c r="R154">
        <f>IF([2]Entry!$E$157="","",[2]Entry!$E$157)</f>
        <v/>
      </c>
      <c r="S154">
        <f>IF([2]Entry!$G$157="","",[2]Entry!$G$157)</f>
        <v/>
      </c>
      <c r="T154">
        <f>IF([2]Entry!$J$157="","",[2]Entry!$J$157)</f>
        <v/>
      </c>
      <c r="U154">
        <f>IF([2]Entry!$K$157="","",[2]Entry!$K$157)</f>
        <v/>
      </c>
      <c r="V154">
        <f>IF([2]Entry!$L$157="","",[2]Entry!$L$157)</f>
        <v/>
      </c>
      <c r="W154">
        <f>IF([2]Entry!$M$157="","",[2]Entry!$M$157)</f>
        <v/>
      </c>
      <c r="X154">
        <f>IF([2]Entry!$N$157="","",[2]Entry!$N$157)</f>
        <v/>
      </c>
      <c r="Y154">
        <f>IF([2]Entry!$R$157="","",[2]Entry!$R$157)</f>
        <v/>
      </c>
    </row>
    <row r="155">
      <c r="J155">
        <f>IF([1]Accounts!$D$156="","",[1]Accounts!$A$156)</f>
        <v/>
      </c>
      <c r="K155">
        <f>IF([1]Accounts!$D$156="","",[1]Accounts!$B$156)</f>
        <v/>
      </c>
      <c r="L155">
        <f>IF([1]Accounts!$D$156="","",[1]Accounts!$C$156)</f>
        <v/>
      </c>
      <c r="M155">
        <f>IF([1]Accounts!$D$156="","",[1]Accounts!$D$156)</f>
        <v/>
      </c>
      <c r="P155">
        <f>IF([2]Entry!$C$158="","",[2]Entry!$C$158)</f>
        <v/>
      </c>
      <c r="Q155">
        <f>IF([2]Entry!$D$158="","",[2]Entry!$D$158)</f>
        <v/>
      </c>
      <c r="R155">
        <f>IF([2]Entry!$E$158="","",[2]Entry!$E$158)</f>
        <v/>
      </c>
      <c r="S155">
        <f>IF([2]Entry!$G$158="","",[2]Entry!$G$158)</f>
        <v/>
      </c>
      <c r="T155">
        <f>IF([2]Entry!$J$158="","",[2]Entry!$J$158)</f>
        <v/>
      </c>
      <c r="U155">
        <f>IF([2]Entry!$K$158="","",[2]Entry!$K$158)</f>
        <v/>
      </c>
      <c r="V155">
        <f>IF([2]Entry!$L$158="","",[2]Entry!$L$158)</f>
        <v/>
      </c>
      <c r="W155">
        <f>IF([2]Entry!$M$158="","",[2]Entry!$M$158)</f>
        <v/>
      </c>
      <c r="X155">
        <f>IF([2]Entry!$N$158="","",[2]Entry!$N$158)</f>
        <v/>
      </c>
      <c r="Y155">
        <f>IF([2]Entry!$R$158="","",[2]Entry!$R$158)</f>
        <v/>
      </c>
    </row>
    <row r="156">
      <c r="J156">
        <f>IF([1]Accounts!$D$157="","",[1]Accounts!$A$157)</f>
        <v/>
      </c>
      <c r="K156">
        <f>IF([1]Accounts!$D$157="","",[1]Accounts!$B$157)</f>
        <v/>
      </c>
      <c r="L156">
        <f>IF([1]Accounts!$D$157="","",[1]Accounts!$C$157)</f>
        <v/>
      </c>
      <c r="M156">
        <f>IF([1]Accounts!$D$157="","",[1]Accounts!$D$157)</f>
        <v/>
      </c>
      <c r="P156">
        <f>IF([2]Entry!$C$159="","",[2]Entry!$C$159)</f>
        <v/>
      </c>
      <c r="Q156">
        <f>IF([2]Entry!$D$159="","",[2]Entry!$D$159)</f>
        <v/>
      </c>
      <c r="R156">
        <f>IF([2]Entry!$E$159="","",[2]Entry!$E$159)</f>
        <v/>
      </c>
      <c r="S156">
        <f>IF([2]Entry!$G$159="","",[2]Entry!$G$159)</f>
        <v/>
      </c>
      <c r="T156">
        <f>IF([2]Entry!$J$159="","",[2]Entry!$J$159)</f>
        <v/>
      </c>
      <c r="U156">
        <f>IF([2]Entry!$K$159="","",[2]Entry!$K$159)</f>
        <v/>
      </c>
      <c r="V156">
        <f>IF([2]Entry!$L$159="","",[2]Entry!$L$159)</f>
        <v/>
      </c>
      <c r="W156">
        <f>IF([2]Entry!$M$159="","",[2]Entry!$M$159)</f>
        <v/>
      </c>
      <c r="X156">
        <f>IF([2]Entry!$N$159="","",[2]Entry!$N$159)</f>
        <v/>
      </c>
      <c r="Y156">
        <f>IF([2]Entry!$R$159="","",[2]Entry!$R$159)</f>
        <v/>
      </c>
    </row>
    <row r="157">
      <c r="J157">
        <f>IF([1]Accounts!$D$158="","",[1]Accounts!$A$158)</f>
        <v/>
      </c>
      <c r="K157">
        <f>IF([1]Accounts!$D$158="","",[1]Accounts!$B$158)</f>
        <v/>
      </c>
      <c r="L157">
        <f>IF([1]Accounts!$D$158="","",[1]Accounts!$C$158)</f>
        <v/>
      </c>
      <c r="M157">
        <f>IF([1]Accounts!$D$158="","",[1]Accounts!$D$158)</f>
        <v/>
      </c>
      <c r="P157">
        <f>IF([2]Entry!$C$160="","",[2]Entry!$C$160)</f>
        <v/>
      </c>
      <c r="Q157">
        <f>IF([2]Entry!$D$160="","",[2]Entry!$D$160)</f>
        <v/>
      </c>
      <c r="R157">
        <f>IF([2]Entry!$E$160="","",[2]Entry!$E$160)</f>
        <v/>
      </c>
      <c r="S157">
        <f>IF([2]Entry!$G$160="","",[2]Entry!$G$160)</f>
        <v/>
      </c>
      <c r="T157">
        <f>IF([2]Entry!$J$160="","",[2]Entry!$J$160)</f>
        <v/>
      </c>
      <c r="U157">
        <f>IF([2]Entry!$K$160="","",[2]Entry!$K$160)</f>
        <v/>
      </c>
      <c r="V157">
        <f>IF([2]Entry!$L$160="","",[2]Entry!$L$160)</f>
        <v/>
      </c>
      <c r="W157">
        <f>IF([2]Entry!$M$160="","",[2]Entry!$M$160)</f>
        <v/>
      </c>
      <c r="X157">
        <f>IF([2]Entry!$N$160="","",[2]Entry!$N$160)</f>
        <v/>
      </c>
      <c r="Y157">
        <f>IF([2]Entry!$R$160="","",[2]Entry!$R$160)</f>
        <v/>
      </c>
    </row>
    <row r="158">
      <c r="J158">
        <f>IF([1]Accounts!$D$159="","",[1]Accounts!$A$159)</f>
        <v/>
      </c>
      <c r="K158">
        <f>IF([1]Accounts!$D$159="","",[1]Accounts!$B$159)</f>
        <v/>
      </c>
      <c r="L158">
        <f>IF([1]Accounts!$D$159="","",[1]Accounts!$C$159)</f>
        <v/>
      </c>
      <c r="M158">
        <f>IF([1]Accounts!$D$159="","",[1]Accounts!$D$159)</f>
        <v/>
      </c>
      <c r="P158">
        <f>IF([2]Entry!$C$161="","",[2]Entry!$C$161)</f>
        <v/>
      </c>
      <c r="Q158">
        <f>IF([2]Entry!$D$161="","",[2]Entry!$D$161)</f>
        <v/>
      </c>
      <c r="R158">
        <f>IF([2]Entry!$E$161="","",[2]Entry!$E$161)</f>
        <v/>
      </c>
      <c r="S158">
        <f>IF([2]Entry!$G$161="","",[2]Entry!$G$161)</f>
        <v/>
      </c>
      <c r="T158">
        <f>IF([2]Entry!$J$161="","",[2]Entry!$J$161)</f>
        <v/>
      </c>
      <c r="U158">
        <f>IF([2]Entry!$K$161="","",[2]Entry!$K$161)</f>
        <v/>
      </c>
      <c r="V158">
        <f>IF([2]Entry!$L$161="","",[2]Entry!$L$161)</f>
        <v/>
      </c>
      <c r="W158">
        <f>IF([2]Entry!$M$161="","",[2]Entry!$M$161)</f>
        <v/>
      </c>
      <c r="X158">
        <f>IF([2]Entry!$N$161="","",[2]Entry!$N$161)</f>
        <v/>
      </c>
      <c r="Y158">
        <f>IF([2]Entry!$R$161="","",[2]Entry!$R$161)</f>
        <v/>
      </c>
    </row>
    <row r="159">
      <c r="J159">
        <f>IF([1]Accounts!$D$160="","",[1]Accounts!$A$160)</f>
        <v/>
      </c>
      <c r="K159">
        <f>IF([1]Accounts!$D$160="","",[1]Accounts!$B$160)</f>
        <v/>
      </c>
      <c r="L159">
        <f>IF([1]Accounts!$D$160="","",[1]Accounts!$C$160)</f>
        <v/>
      </c>
      <c r="M159">
        <f>IF([1]Accounts!$D$160="","",[1]Accounts!$D$160)</f>
        <v/>
      </c>
      <c r="P159">
        <f>IF([2]Entry!$C$162="","",[2]Entry!$C$162)</f>
        <v/>
      </c>
      <c r="Q159">
        <f>IF([2]Entry!$D$162="","",[2]Entry!$D$162)</f>
        <v/>
      </c>
      <c r="R159">
        <f>IF([2]Entry!$E$162="","",[2]Entry!$E$162)</f>
        <v/>
      </c>
      <c r="S159">
        <f>IF([2]Entry!$G$162="","",[2]Entry!$G$162)</f>
        <v/>
      </c>
      <c r="T159">
        <f>IF([2]Entry!$J$162="","",[2]Entry!$J$162)</f>
        <v/>
      </c>
      <c r="U159">
        <f>IF([2]Entry!$K$162="","",[2]Entry!$K$162)</f>
        <v/>
      </c>
      <c r="V159">
        <f>IF([2]Entry!$L$162="","",[2]Entry!$L$162)</f>
        <v/>
      </c>
      <c r="W159">
        <f>IF([2]Entry!$M$162="","",[2]Entry!$M$162)</f>
        <v/>
      </c>
      <c r="X159">
        <f>IF([2]Entry!$N$162="","",[2]Entry!$N$162)</f>
        <v/>
      </c>
      <c r="Y159">
        <f>IF([2]Entry!$R$162="","",[2]Entry!$R$162)</f>
        <v/>
      </c>
    </row>
    <row r="160">
      <c r="J160">
        <f>IF([1]Accounts!$D$161="","",[1]Accounts!$A$161)</f>
        <v/>
      </c>
      <c r="K160">
        <f>IF([1]Accounts!$D$161="","",[1]Accounts!$B$161)</f>
        <v/>
      </c>
      <c r="L160">
        <f>IF([1]Accounts!$D$161="","",[1]Accounts!$C$161)</f>
        <v/>
      </c>
      <c r="M160">
        <f>IF([1]Accounts!$D$161="","",[1]Accounts!$D$161)</f>
        <v/>
      </c>
      <c r="P160">
        <f>IF([2]Entry!$C$163="","",[2]Entry!$C$163)</f>
        <v/>
      </c>
      <c r="Q160">
        <f>IF([2]Entry!$D$163="","",[2]Entry!$D$163)</f>
        <v/>
      </c>
      <c r="R160">
        <f>IF([2]Entry!$E$163="","",[2]Entry!$E$163)</f>
        <v/>
      </c>
      <c r="S160">
        <f>IF([2]Entry!$G$163="","",[2]Entry!$G$163)</f>
        <v/>
      </c>
      <c r="T160">
        <f>IF([2]Entry!$J$163="","",[2]Entry!$J$163)</f>
        <v/>
      </c>
      <c r="U160">
        <f>IF([2]Entry!$K$163="","",[2]Entry!$K$163)</f>
        <v/>
      </c>
      <c r="V160">
        <f>IF([2]Entry!$L$163="","",[2]Entry!$L$163)</f>
        <v/>
      </c>
      <c r="W160">
        <f>IF([2]Entry!$M$163="","",[2]Entry!$M$163)</f>
        <v/>
      </c>
      <c r="X160">
        <f>IF([2]Entry!$N$163="","",[2]Entry!$N$163)</f>
        <v/>
      </c>
      <c r="Y160">
        <f>IF([2]Entry!$R$163="","",[2]Entry!$R$163)</f>
        <v/>
      </c>
    </row>
    <row r="161">
      <c r="J161">
        <f>IF([1]Accounts!$D$162="","",[1]Accounts!$A$162)</f>
        <v/>
      </c>
      <c r="K161">
        <f>IF([1]Accounts!$D$162="","",[1]Accounts!$B$162)</f>
        <v/>
      </c>
      <c r="L161">
        <f>IF([1]Accounts!$D$162="","",[1]Accounts!$C$162)</f>
        <v/>
      </c>
      <c r="M161">
        <f>IF([1]Accounts!$D$162="","",[1]Accounts!$D$162)</f>
        <v/>
      </c>
      <c r="P161">
        <f>IF([2]Entry!$C$164="","",[2]Entry!$C$164)</f>
        <v/>
      </c>
      <c r="Q161">
        <f>IF([2]Entry!$D$164="","",[2]Entry!$D$164)</f>
        <v/>
      </c>
      <c r="R161">
        <f>IF([2]Entry!$E$164="","",[2]Entry!$E$164)</f>
        <v/>
      </c>
      <c r="S161">
        <f>IF([2]Entry!$G$164="","",[2]Entry!$G$164)</f>
        <v/>
      </c>
      <c r="T161">
        <f>IF([2]Entry!$J$164="","",[2]Entry!$J$164)</f>
        <v/>
      </c>
      <c r="U161">
        <f>IF([2]Entry!$K$164="","",[2]Entry!$K$164)</f>
        <v/>
      </c>
      <c r="V161">
        <f>IF([2]Entry!$L$164="","",[2]Entry!$L$164)</f>
        <v/>
      </c>
      <c r="W161">
        <f>IF([2]Entry!$M$164="","",[2]Entry!$M$164)</f>
        <v/>
      </c>
      <c r="X161">
        <f>IF([2]Entry!$N$164="","",[2]Entry!$N$164)</f>
        <v/>
      </c>
      <c r="Y161">
        <f>IF([2]Entry!$R$164="","",[2]Entry!$R$164)</f>
        <v/>
      </c>
    </row>
    <row r="162">
      <c r="J162">
        <f>IF([1]Accounts!$D$163="","",[1]Accounts!$A$163)</f>
        <v/>
      </c>
      <c r="K162">
        <f>IF([1]Accounts!$D$163="","",[1]Accounts!$B$163)</f>
        <v/>
      </c>
      <c r="L162">
        <f>IF([1]Accounts!$D$163="","",[1]Accounts!$C$163)</f>
        <v/>
      </c>
      <c r="M162">
        <f>IF([1]Accounts!$D$163="","",[1]Accounts!$D$163)</f>
        <v/>
      </c>
      <c r="P162">
        <f>IF([2]Entry!$C$165="","",[2]Entry!$C$165)</f>
        <v/>
      </c>
      <c r="Q162">
        <f>IF([2]Entry!$D$165="","",[2]Entry!$D$165)</f>
        <v/>
      </c>
      <c r="R162">
        <f>IF([2]Entry!$E$165="","",[2]Entry!$E$165)</f>
        <v/>
      </c>
      <c r="S162">
        <f>IF([2]Entry!$G$165="","",[2]Entry!$G$165)</f>
        <v/>
      </c>
      <c r="T162">
        <f>IF([2]Entry!$J$165="","",[2]Entry!$J$165)</f>
        <v/>
      </c>
      <c r="U162">
        <f>IF([2]Entry!$K$165="","",[2]Entry!$K$165)</f>
        <v/>
      </c>
      <c r="V162">
        <f>IF([2]Entry!$L$165="","",[2]Entry!$L$165)</f>
        <v/>
      </c>
      <c r="W162">
        <f>IF([2]Entry!$M$165="","",[2]Entry!$M$165)</f>
        <v/>
      </c>
      <c r="X162">
        <f>IF([2]Entry!$N$165="","",[2]Entry!$N$165)</f>
        <v/>
      </c>
      <c r="Y162">
        <f>IF([2]Entry!$R$165="","",[2]Entry!$R$165)</f>
        <v/>
      </c>
    </row>
    <row r="163">
      <c r="J163">
        <f>IF([1]Accounts!$D$164="","",[1]Accounts!$A$164)</f>
        <v/>
      </c>
      <c r="K163">
        <f>IF([1]Accounts!$D$164="","",[1]Accounts!$B$164)</f>
        <v/>
      </c>
      <c r="L163">
        <f>IF([1]Accounts!$D$164="","",[1]Accounts!$C$164)</f>
        <v/>
      </c>
      <c r="M163">
        <f>IF([1]Accounts!$D$164="","",[1]Accounts!$D$164)</f>
        <v/>
      </c>
      <c r="P163">
        <f>IF([2]Entry!$C$166="","",[2]Entry!$C$166)</f>
        <v/>
      </c>
      <c r="Q163">
        <f>IF([2]Entry!$D$166="","",[2]Entry!$D$166)</f>
        <v/>
      </c>
      <c r="R163">
        <f>IF([2]Entry!$E$166="","",[2]Entry!$E$166)</f>
        <v/>
      </c>
      <c r="S163">
        <f>IF([2]Entry!$G$166="","",[2]Entry!$G$166)</f>
        <v/>
      </c>
      <c r="T163">
        <f>IF([2]Entry!$J$166="","",[2]Entry!$J$166)</f>
        <v/>
      </c>
      <c r="U163">
        <f>IF([2]Entry!$K$166="","",[2]Entry!$K$166)</f>
        <v/>
      </c>
      <c r="V163">
        <f>IF([2]Entry!$L$166="","",[2]Entry!$L$166)</f>
        <v/>
      </c>
      <c r="W163">
        <f>IF([2]Entry!$M$166="","",[2]Entry!$M$166)</f>
        <v/>
      </c>
      <c r="X163">
        <f>IF([2]Entry!$N$166="","",[2]Entry!$N$166)</f>
        <v/>
      </c>
      <c r="Y163">
        <f>IF([2]Entry!$R$166="","",[2]Entry!$R$166)</f>
        <v/>
      </c>
    </row>
    <row r="164">
      <c r="J164">
        <f>IF([1]Accounts!$D$165="","",[1]Accounts!$A$165)</f>
        <v/>
      </c>
      <c r="K164">
        <f>IF([1]Accounts!$D$165="","",[1]Accounts!$B$165)</f>
        <v/>
      </c>
      <c r="L164">
        <f>IF([1]Accounts!$D$165="","",[1]Accounts!$C$165)</f>
        <v/>
      </c>
      <c r="M164">
        <f>IF([1]Accounts!$D$165="","",[1]Accounts!$D$165)</f>
        <v/>
      </c>
      <c r="P164">
        <f>IF([2]Entry!$C$167="","",[2]Entry!$C$167)</f>
        <v/>
      </c>
      <c r="Q164">
        <f>IF([2]Entry!$D$167="","",[2]Entry!$D$167)</f>
        <v/>
      </c>
      <c r="R164">
        <f>IF([2]Entry!$E$167="","",[2]Entry!$E$167)</f>
        <v/>
      </c>
      <c r="S164">
        <f>IF([2]Entry!$G$167="","",[2]Entry!$G$167)</f>
        <v/>
      </c>
      <c r="T164">
        <f>IF([2]Entry!$J$167="","",[2]Entry!$J$167)</f>
        <v/>
      </c>
      <c r="U164">
        <f>IF([2]Entry!$K$167="","",[2]Entry!$K$167)</f>
        <v/>
      </c>
      <c r="V164">
        <f>IF([2]Entry!$L$167="","",[2]Entry!$L$167)</f>
        <v/>
      </c>
      <c r="W164">
        <f>IF([2]Entry!$M$167="","",[2]Entry!$M$167)</f>
        <v/>
      </c>
      <c r="X164">
        <f>IF([2]Entry!$N$167="","",[2]Entry!$N$167)</f>
        <v/>
      </c>
      <c r="Y164">
        <f>IF([2]Entry!$R$167="","",[2]Entry!$R$167)</f>
        <v/>
      </c>
    </row>
    <row r="165">
      <c r="J165">
        <f>IF([1]Accounts!$D$166="","",[1]Accounts!$A$166)</f>
        <v/>
      </c>
      <c r="K165">
        <f>IF([1]Accounts!$D$166="","",[1]Accounts!$B$166)</f>
        <v/>
      </c>
      <c r="L165">
        <f>IF([1]Accounts!$D$166="","",[1]Accounts!$C$166)</f>
        <v/>
      </c>
      <c r="M165">
        <f>IF([1]Accounts!$D$166="","",[1]Accounts!$D$166)</f>
        <v/>
      </c>
      <c r="P165">
        <f>IF([2]Entry!$C$168="","",[2]Entry!$C$168)</f>
        <v/>
      </c>
      <c r="Q165">
        <f>IF([2]Entry!$D$168="","",[2]Entry!$D$168)</f>
        <v/>
      </c>
      <c r="R165">
        <f>IF([2]Entry!$E$168="","",[2]Entry!$E$168)</f>
        <v/>
      </c>
      <c r="S165">
        <f>IF([2]Entry!$G$168="","",[2]Entry!$G$168)</f>
        <v/>
      </c>
      <c r="T165">
        <f>IF([2]Entry!$J$168="","",[2]Entry!$J$168)</f>
        <v/>
      </c>
      <c r="U165">
        <f>IF([2]Entry!$K$168="","",[2]Entry!$K$168)</f>
        <v/>
      </c>
      <c r="V165">
        <f>IF([2]Entry!$L$168="","",[2]Entry!$L$168)</f>
        <v/>
      </c>
      <c r="W165">
        <f>IF([2]Entry!$M$168="","",[2]Entry!$M$168)</f>
        <v/>
      </c>
      <c r="X165">
        <f>IF([2]Entry!$N$168="","",[2]Entry!$N$168)</f>
        <v/>
      </c>
      <c r="Y165">
        <f>IF([2]Entry!$R$168="","",[2]Entry!$R$168)</f>
        <v/>
      </c>
    </row>
    <row r="166">
      <c r="J166">
        <f>IF([1]Accounts!$D$167="","",[1]Accounts!$A$167)</f>
        <v/>
      </c>
      <c r="K166">
        <f>IF([1]Accounts!$D$167="","",[1]Accounts!$B$167)</f>
        <v/>
      </c>
      <c r="L166">
        <f>IF([1]Accounts!$D$167="","",[1]Accounts!$C$167)</f>
        <v/>
      </c>
      <c r="M166">
        <f>IF([1]Accounts!$D$167="","",[1]Accounts!$D$167)</f>
        <v/>
      </c>
      <c r="P166">
        <f>IF([2]Entry!$C$169="","",[2]Entry!$C$169)</f>
        <v/>
      </c>
      <c r="Q166">
        <f>IF([2]Entry!$D$169="","",[2]Entry!$D$169)</f>
        <v/>
      </c>
      <c r="R166">
        <f>IF([2]Entry!$E$169="","",[2]Entry!$E$169)</f>
        <v/>
      </c>
      <c r="S166">
        <f>IF([2]Entry!$G$169="","",[2]Entry!$G$169)</f>
        <v/>
      </c>
      <c r="T166">
        <f>IF([2]Entry!$J$169="","",[2]Entry!$J$169)</f>
        <v/>
      </c>
      <c r="U166">
        <f>IF([2]Entry!$K$169="","",[2]Entry!$K$169)</f>
        <v/>
      </c>
      <c r="V166">
        <f>IF([2]Entry!$L$169="","",[2]Entry!$L$169)</f>
        <v/>
      </c>
      <c r="W166">
        <f>IF([2]Entry!$M$169="","",[2]Entry!$M$169)</f>
        <v/>
      </c>
      <c r="X166">
        <f>IF([2]Entry!$N$169="","",[2]Entry!$N$169)</f>
        <v/>
      </c>
      <c r="Y166">
        <f>IF([2]Entry!$R$169="","",[2]Entry!$R$169)</f>
        <v/>
      </c>
    </row>
    <row r="167">
      <c r="J167">
        <f>IF([1]Accounts!$D$168="","",[1]Accounts!$A$168)</f>
        <v/>
      </c>
      <c r="K167">
        <f>IF([1]Accounts!$D$168="","",[1]Accounts!$B$168)</f>
        <v/>
      </c>
      <c r="L167">
        <f>IF([1]Accounts!$D$168="","",[1]Accounts!$C$168)</f>
        <v/>
      </c>
      <c r="M167">
        <f>IF([1]Accounts!$D$168="","",[1]Accounts!$D$168)</f>
        <v/>
      </c>
      <c r="P167">
        <f>IF([2]Entry!$C$170="","",[2]Entry!$C$170)</f>
        <v/>
      </c>
      <c r="Q167">
        <f>IF([2]Entry!$D$170="","",[2]Entry!$D$170)</f>
        <v/>
      </c>
      <c r="R167">
        <f>IF([2]Entry!$E$170="","",[2]Entry!$E$170)</f>
        <v/>
      </c>
      <c r="S167">
        <f>IF([2]Entry!$G$170="","",[2]Entry!$G$170)</f>
        <v/>
      </c>
      <c r="T167">
        <f>IF([2]Entry!$J$170="","",[2]Entry!$J$170)</f>
        <v/>
      </c>
      <c r="U167">
        <f>IF([2]Entry!$K$170="","",[2]Entry!$K$170)</f>
        <v/>
      </c>
      <c r="V167">
        <f>IF([2]Entry!$L$170="","",[2]Entry!$L$170)</f>
        <v/>
      </c>
      <c r="W167">
        <f>IF([2]Entry!$M$170="","",[2]Entry!$M$170)</f>
        <v/>
      </c>
      <c r="X167">
        <f>IF([2]Entry!$N$170="","",[2]Entry!$N$170)</f>
        <v/>
      </c>
      <c r="Y167">
        <f>IF([2]Entry!$R$170="","",[2]Entry!$R$170)</f>
        <v/>
      </c>
    </row>
    <row r="168">
      <c r="J168">
        <f>IF([1]Accounts!$D$169="","",[1]Accounts!$A$169)</f>
        <v/>
      </c>
      <c r="K168">
        <f>IF([1]Accounts!$D$169="","",[1]Accounts!$B$169)</f>
        <v/>
      </c>
      <c r="L168">
        <f>IF([1]Accounts!$D$169="","",[1]Accounts!$C$169)</f>
        <v/>
      </c>
      <c r="M168">
        <f>IF([1]Accounts!$D$169="","",[1]Accounts!$D$169)</f>
        <v/>
      </c>
      <c r="P168">
        <f>IF([2]Entry!$C$171="","",[2]Entry!$C$171)</f>
        <v/>
      </c>
      <c r="Q168">
        <f>IF([2]Entry!$D$171="","",[2]Entry!$D$171)</f>
        <v/>
      </c>
      <c r="R168">
        <f>IF([2]Entry!$E$171="","",[2]Entry!$E$171)</f>
        <v/>
      </c>
      <c r="S168">
        <f>IF([2]Entry!$G$171="","",[2]Entry!$G$171)</f>
        <v/>
      </c>
      <c r="T168">
        <f>IF([2]Entry!$J$171="","",[2]Entry!$J$171)</f>
        <v/>
      </c>
      <c r="U168">
        <f>IF([2]Entry!$K$171="","",[2]Entry!$K$171)</f>
        <v/>
      </c>
      <c r="V168">
        <f>IF([2]Entry!$L$171="","",[2]Entry!$L$171)</f>
        <v/>
      </c>
      <c r="W168">
        <f>IF([2]Entry!$M$171="","",[2]Entry!$M$171)</f>
        <v/>
      </c>
      <c r="X168">
        <f>IF([2]Entry!$N$171="","",[2]Entry!$N$171)</f>
        <v/>
      </c>
      <c r="Y168">
        <f>IF([2]Entry!$R$171="","",[2]Entry!$R$171)</f>
        <v/>
      </c>
    </row>
    <row r="169">
      <c r="J169">
        <f>IF([1]Accounts!$D$170="","",[1]Accounts!$A$170)</f>
        <v/>
      </c>
      <c r="K169">
        <f>IF([1]Accounts!$D$170="","",[1]Accounts!$B$170)</f>
        <v/>
      </c>
      <c r="L169">
        <f>IF([1]Accounts!$D$170="","",[1]Accounts!$C$170)</f>
        <v/>
      </c>
      <c r="M169">
        <f>IF([1]Accounts!$D$170="","",[1]Accounts!$D$170)</f>
        <v/>
      </c>
      <c r="P169">
        <f>IF([2]Entry!$C$172="","",[2]Entry!$C$172)</f>
        <v/>
      </c>
      <c r="Q169">
        <f>IF([2]Entry!$D$172="","",[2]Entry!$D$172)</f>
        <v/>
      </c>
      <c r="R169">
        <f>IF([2]Entry!$E$172="","",[2]Entry!$E$172)</f>
        <v/>
      </c>
      <c r="S169">
        <f>IF([2]Entry!$G$172="","",[2]Entry!$G$172)</f>
        <v/>
      </c>
      <c r="T169">
        <f>IF([2]Entry!$J$172="","",[2]Entry!$J$172)</f>
        <v/>
      </c>
      <c r="U169">
        <f>IF([2]Entry!$K$172="","",[2]Entry!$K$172)</f>
        <v/>
      </c>
      <c r="V169">
        <f>IF([2]Entry!$L$172="","",[2]Entry!$L$172)</f>
        <v/>
      </c>
      <c r="W169">
        <f>IF([2]Entry!$M$172="","",[2]Entry!$M$172)</f>
        <v/>
      </c>
      <c r="X169">
        <f>IF([2]Entry!$N$172="","",[2]Entry!$N$172)</f>
        <v/>
      </c>
      <c r="Y169">
        <f>IF([2]Entry!$R$172="","",[2]Entry!$R$172)</f>
        <v/>
      </c>
    </row>
    <row r="170">
      <c r="J170">
        <f>IF([1]Accounts!$D$171="","",[1]Accounts!$A$171)</f>
        <v/>
      </c>
      <c r="K170">
        <f>IF([1]Accounts!$D$171="","",[1]Accounts!$B$171)</f>
        <v/>
      </c>
      <c r="L170">
        <f>IF([1]Accounts!$D$171="","",[1]Accounts!$C$171)</f>
        <v/>
      </c>
      <c r="M170">
        <f>IF([1]Accounts!$D$171="","",[1]Accounts!$D$171)</f>
        <v/>
      </c>
      <c r="P170">
        <f>IF([2]Entry!$C$173="","",[2]Entry!$C$173)</f>
        <v/>
      </c>
      <c r="Q170">
        <f>IF([2]Entry!$D$173="","",[2]Entry!$D$173)</f>
        <v/>
      </c>
      <c r="R170">
        <f>IF([2]Entry!$E$173="","",[2]Entry!$E$173)</f>
        <v/>
      </c>
      <c r="S170">
        <f>IF([2]Entry!$G$173="","",[2]Entry!$G$173)</f>
        <v/>
      </c>
      <c r="T170">
        <f>IF([2]Entry!$J$173="","",[2]Entry!$J$173)</f>
        <v/>
      </c>
      <c r="U170">
        <f>IF([2]Entry!$K$173="","",[2]Entry!$K$173)</f>
        <v/>
      </c>
      <c r="V170">
        <f>IF([2]Entry!$L$173="","",[2]Entry!$L$173)</f>
        <v/>
      </c>
      <c r="W170">
        <f>IF([2]Entry!$M$173="","",[2]Entry!$M$173)</f>
        <v/>
      </c>
      <c r="X170">
        <f>IF([2]Entry!$N$173="","",[2]Entry!$N$173)</f>
        <v/>
      </c>
      <c r="Y170">
        <f>IF([2]Entry!$R$173="","",[2]Entry!$R$173)</f>
        <v/>
      </c>
    </row>
    <row r="171">
      <c r="J171">
        <f>IF([1]Accounts!$D$172="","",[1]Accounts!$A$172)</f>
        <v/>
      </c>
      <c r="K171">
        <f>IF([1]Accounts!$D$172="","",[1]Accounts!$B$172)</f>
        <v/>
      </c>
      <c r="L171">
        <f>IF([1]Accounts!$D$172="","",[1]Accounts!$C$172)</f>
        <v/>
      </c>
      <c r="M171">
        <f>IF([1]Accounts!$D$172="","",[1]Accounts!$D$172)</f>
        <v/>
      </c>
      <c r="P171">
        <f>IF([2]Entry!$C$174="","",[2]Entry!$C$174)</f>
        <v/>
      </c>
      <c r="Q171">
        <f>IF([2]Entry!$D$174="","",[2]Entry!$D$174)</f>
        <v/>
      </c>
      <c r="R171">
        <f>IF([2]Entry!$E$174="","",[2]Entry!$E$174)</f>
        <v/>
      </c>
      <c r="S171">
        <f>IF([2]Entry!$G$174="","",[2]Entry!$G$174)</f>
        <v/>
      </c>
      <c r="T171">
        <f>IF([2]Entry!$J$174="","",[2]Entry!$J$174)</f>
        <v/>
      </c>
      <c r="U171">
        <f>IF([2]Entry!$K$174="","",[2]Entry!$K$174)</f>
        <v/>
      </c>
      <c r="V171">
        <f>IF([2]Entry!$L$174="","",[2]Entry!$L$174)</f>
        <v/>
      </c>
      <c r="W171">
        <f>IF([2]Entry!$M$174="","",[2]Entry!$M$174)</f>
        <v/>
      </c>
      <c r="X171">
        <f>IF([2]Entry!$N$174="","",[2]Entry!$N$174)</f>
        <v/>
      </c>
      <c r="Y171">
        <f>IF([2]Entry!$R$174="","",[2]Entry!$R$174)</f>
        <v/>
      </c>
    </row>
    <row r="172">
      <c r="J172">
        <f>IF([1]Accounts!$D$173="","",[1]Accounts!$A$173)</f>
        <v/>
      </c>
      <c r="K172">
        <f>IF([1]Accounts!$D$173="","",[1]Accounts!$B$173)</f>
        <v/>
      </c>
      <c r="L172">
        <f>IF([1]Accounts!$D$173="","",[1]Accounts!$C$173)</f>
        <v/>
      </c>
      <c r="M172">
        <f>IF([1]Accounts!$D$173="","",[1]Accounts!$D$173)</f>
        <v/>
      </c>
      <c r="P172">
        <f>IF([2]Entry!$C$175="","",[2]Entry!$C$175)</f>
        <v/>
      </c>
      <c r="Q172">
        <f>IF([2]Entry!$D$175="","",[2]Entry!$D$175)</f>
        <v/>
      </c>
      <c r="R172">
        <f>IF([2]Entry!$E$175="","",[2]Entry!$E$175)</f>
        <v/>
      </c>
      <c r="S172">
        <f>IF([2]Entry!$G$175="","",[2]Entry!$G$175)</f>
        <v/>
      </c>
      <c r="T172">
        <f>IF([2]Entry!$J$175="","",[2]Entry!$J$175)</f>
        <v/>
      </c>
      <c r="U172">
        <f>IF([2]Entry!$K$175="","",[2]Entry!$K$175)</f>
        <v/>
      </c>
      <c r="V172">
        <f>IF([2]Entry!$L$175="","",[2]Entry!$L$175)</f>
        <v/>
      </c>
      <c r="W172">
        <f>IF([2]Entry!$M$175="","",[2]Entry!$M$175)</f>
        <v/>
      </c>
      <c r="X172">
        <f>IF([2]Entry!$N$175="","",[2]Entry!$N$175)</f>
        <v/>
      </c>
      <c r="Y172">
        <f>IF([2]Entry!$R$175="","",[2]Entry!$R$175)</f>
        <v/>
      </c>
    </row>
    <row r="173">
      <c r="J173">
        <f>IF([1]Accounts!$D$174="","",[1]Accounts!$A$174)</f>
        <v/>
      </c>
      <c r="K173">
        <f>IF([1]Accounts!$D$174="","",[1]Accounts!$B$174)</f>
        <v/>
      </c>
      <c r="L173">
        <f>IF([1]Accounts!$D$174="","",[1]Accounts!$C$174)</f>
        <v/>
      </c>
      <c r="M173">
        <f>IF([1]Accounts!$D$174="","",[1]Accounts!$D$174)</f>
        <v/>
      </c>
      <c r="P173">
        <f>IF([2]Entry!$C$176="","",[2]Entry!$C$176)</f>
        <v/>
      </c>
      <c r="Q173">
        <f>IF([2]Entry!$D$176="","",[2]Entry!$D$176)</f>
        <v/>
      </c>
      <c r="R173">
        <f>IF([2]Entry!$E$176="","",[2]Entry!$E$176)</f>
        <v/>
      </c>
      <c r="S173">
        <f>IF([2]Entry!$G$176="","",[2]Entry!$G$176)</f>
        <v/>
      </c>
      <c r="T173">
        <f>IF([2]Entry!$J$176="","",[2]Entry!$J$176)</f>
        <v/>
      </c>
      <c r="U173">
        <f>IF([2]Entry!$K$176="","",[2]Entry!$K$176)</f>
        <v/>
      </c>
      <c r="V173">
        <f>IF([2]Entry!$L$176="","",[2]Entry!$L$176)</f>
        <v/>
      </c>
      <c r="W173">
        <f>IF([2]Entry!$M$176="","",[2]Entry!$M$176)</f>
        <v/>
      </c>
      <c r="X173">
        <f>IF([2]Entry!$N$176="","",[2]Entry!$N$176)</f>
        <v/>
      </c>
      <c r="Y173">
        <f>IF([2]Entry!$R$176="","",[2]Entry!$R$176)</f>
        <v/>
      </c>
    </row>
    <row r="174">
      <c r="J174">
        <f>IF([1]Accounts!$D$175="","",[1]Accounts!$A$175)</f>
        <v/>
      </c>
      <c r="K174">
        <f>IF([1]Accounts!$D$175="","",[1]Accounts!$B$175)</f>
        <v/>
      </c>
      <c r="L174">
        <f>IF([1]Accounts!$D$175="","",[1]Accounts!$C$175)</f>
        <v/>
      </c>
      <c r="M174">
        <f>IF([1]Accounts!$D$175="","",[1]Accounts!$D$175)</f>
        <v/>
      </c>
      <c r="P174">
        <f>IF([2]Entry!$C$177="","",[2]Entry!$C$177)</f>
        <v/>
      </c>
      <c r="Q174">
        <f>IF([2]Entry!$D$177="","",[2]Entry!$D$177)</f>
        <v/>
      </c>
      <c r="R174">
        <f>IF([2]Entry!$E$177="","",[2]Entry!$E$177)</f>
        <v/>
      </c>
      <c r="S174">
        <f>IF([2]Entry!$G$177="","",[2]Entry!$G$177)</f>
        <v/>
      </c>
      <c r="T174">
        <f>IF([2]Entry!$J$177="","",[2]Entry!$J$177)</f>
        <v/>
      </c>
      <c r="U174">
        <f>IF([2]Entry!$K$177="","",[2]Entry!$K$177)</f>
        <v/>
      </c>
      <c r="V174">
        <f>IF([2]Entry!$L$177="","",[2]Entry!$L$177)</f>
        <v/>
      </c>
      <c r="W174">
        <f>IF([2]Entry!$M$177="","",[2]Entry!$M$177)</f>
        <v/>
      </c>
      <c r="X174">
        <f>IF([2]Entry!$N$177="","",[2]Entry!$N$177)</f>
        <v/>
      </c>
      <c r="Y174">
        <f>IF([2]Entry!$R$177="","",[2]Entry!$R$177)</f>
        <v/>
      </c>
    </row>
    <row r="175">
      <c r="J175">
        <f>IF([1]Accounts!$D$176="","",[1]Accounts!$A$176)</f>
        <v/>
      </c>
      <c r="K175">
        <f>IF([1]Accounts!$D$176="","",[1]Accounts!$B$176)</f>
        <v/>
      </c>
      <c r="L175">
        <f>IF([1]Accounts!$D$176="","",[1]Accounts!$C$176)</f>
        <v/>
      </c>
      <c r="M175">
        <f>IF([1]Accounts!$D$176="","",[1]Accounts!$D$176)</f>
        <v/>
      </c>
      <c r="P175">
        <f>IF([2]Entry!$C$178="","",[2]Entry!$C$178)</f>
        <v/>
      </c>
      <c r="Q175">
        <f>IF([2]Entry!$D$178="","",[2]Entry!$D$178)</f>
        <v/>
      </c>
      <c r="R175">
        <f>IF([2]Entry!$E$178="","",[2]Entry!$E$178)</f>
        <v/>
      </c>
      <c r="S175">
        <f>IF([2]Entry!$G$178="","",[2]Entry!$G$178)</f>
        <v/>
      </c>
      <c r="T175">
        <f>IF([2]Entry!$J$178="","",[2]Entry!$J$178)</f>
        <v/>
      </c>
      <c r="U175">
        <f>IF([2]Entry!$K$178="","",[2]Entry!$K$178)</f>
        <v/>
      </c>
      <c r="V175">
        <f>IF([2]Entry!$L$178="","",[2]Entry!$L$178)</f>
        <v/>
      </c>
      <c r="W175">
        <f>IF([2]Entry!$M$178="","",[2]Entry!$M$178)</f>
        <v/>
      </c>
      <c r="X175">
        <f>IF([2]Entry!$N$178="","",[2]Entry!$N$178)</f>
        <v/>
      </c>
      <c r="Y175">
        <f>IF([2]Entry!$R$178="","",[2]Entry!$R$178)</f>
        <v/>
      </c>
    </row>
    <row r="176">
      <c r="J176">
        <f>IF([1]Accounts!$D$177="","",[1]Accounts!$A$177)</f>
        <v/>
      </c>
      <c r="K176">
        <f>IF([1]Accounts!$D$177="","",[1]Accounts!$B$177)</f>
        <v/>
      </c>
      <c r="L176">
        <f>IF([1]Accounts!$D$177="","",[1]Accounts!$C$177)</f>
        <v/>
      </c>
      <c r="M176">
        <f>IF([1]Accounts!$D$177="","",[1]Accounts!$D$177)</f>
        <v/>
      </c>
      <c r="P176">
        <f>IF([2]Entry!$C$179="","",[2]Entry!$C$179)</f>
        <v/>
      </c>
      <c r="Q176">
        <f>IF([2]Entry!$D$179="","",[2]Entry!$D$179)</f>
        <v/>
      </c>
      <c r="R176">
        <f>IF([2]Entry!$E$179="","",[2]Entry!$E$179)</f>
        <v/>
      </c>
      <c r="S176">
        <f>IF([2]Entry!$G$179="","",[2]Entry!$G$179)</f>
        <v/>
      </c>
      <c r="T176">
        <f>IF([2]Entry!$J$179="","",[2]Entry!$J$179)</f>
        <v/>
      </c>
      <c r="U176">
        <f>IF([2]Entry!$K$179="","",[2]Entry!$K$179)</f>
        <v/>
      </c>
      <c r="V176">
        <f>IF([2]Entry!$L$179="","",[2]Entry!$L$179)</f>
        <v/>
      </c>
      <c r="W176">
        <f>IF([2]Entry!$M$179="","",[2]Entry!$M$179)</f>
        <v/>
      </c>
      <c r="X176">
        <f>IF([2]Entry!$N$179="","",[2]Entry!$N$179)</f>
        <v/>
      </c>
      <c r="Y176">
        <f>IF([2]Entry!$R$179="","",[2]Entry!$R$179)</f>
        <v/>
      </c>
    </row>
    <row r="177">
      <c r="J177">
        <f>IF([1]Accounts!$D$178="","",[1]Accounts!$A$178)</f>
        <v/>
      </c>
      <c r="K177">
        <f>IF([1]Accounts!$D$178="","",[1]Accounts!$B$178)</f>
        <v/>
      </c>
      <c r="L177">
        <f>IF([1]Accounts!$D$178="","",[1]Accounts!$C$178)</f>
        <v/>
      </c>
      <c r="M177">
        <f>IF([1]Accounts!$D$178="","",[1]Accounts!$D$178)</f>
        <v/>
      </c>
      <c r="P177">
        <f>IF([2]Entry!$C$180="","",[2]Entry!$C$180)</f>
        <v/>
      </c>
      <c r="Q177">
        <f>IF([2]Entry!$D$180="","",[2]Entry!$D$180)</f>
        <v/>
      </c>
      <c r="R177">
        <f>IF([2]Entry!$E$180="","",[2]Entry!$E$180)</f>
        <v/>
      </c>
      <c r="S177">
        <f>IF([2]Entry!$G$180="","",[2]Entry!$G$180)</f>
        <v/>
      </c>
      <c r="T177">
        <f>IF([2]Entry!$J$180="","",[2]Entry!$J$180)</f>
        <v/>
      </c>
      <c r="U177">
        <f>IF([2]Entry!$K$180="","",[2]Entry!$K$180)</f>
        <v/>
      </c>
      <c r="V177">
        <f>IF([2]Entry!$L$180="","",[2]Entry!$L$180)</f>
        <v/>
      </c>
      <c r="W177">
        <f>IF([2]Entry!$M$180="","",[2]Entry!$M$180)</f>
        <v/>
      </c>
      <c r="X177">
        <f>IF([2]Entry!$N$180="","",[2]Entry!$N$180)</f>
        <v/>
      </c>
      <c r="Y177">
        <f>IF([2]Entry!$R$180="","",[2]Entry!$R$180)</f>
        <v/>
      </c>
    </row>
    <row r="178">
      <c r="J178">
        <f>IF([1]Accounts!$D$179="","",[1]Accounts!$A$179)</f>
        <v/>
      </c>
      <c r="K178">
        <f>IF([1]Accounts!$D$179="","",[1]Accounts!$B$179)</f>
        <v/>
      </c>
      <c r="L178">
        <f>IF([1]Accounts!$D$179="","",[1]Accounts!$C$179)</f>
        <v/>
      </c>
      <c r="M178">
        <f>IF([1]Accounts!$D$179="","",[1]Accounts!$D$179)</f>
        <v/>
      </c>
      <c r="P178">
        <f>IF([2]Entry!$C$181="","",[2]Entry!$C$181)</f>
        <v/>
      </c>
      <c r="Q178">
        <f>IF([2]Entry!$D$181="","",[2]Entry!$D$181)</f>
        <v/>
      </c>
      <c r="R178">
        <f>IF([2]Entry!$E$181="","",[2]Entry!$E$181)</f>
        <v/>
      </c>
      <c r="S178">
        <f>IF([2]Entry!$G$181="","",[2]Entry!$G$181)</f>
        <v/>
      </c>
      <c r="T178">
        <f>IF([2]Entry!$J$181="","",[2]Entry!$J$181)</f>
        <v/>
      </c>
      <c r="U178">
        <f>IF([2]Entry!$K$181="","",[2]Entry!$K$181)</f>
        <v/>
      </c>
      <c r="V178">
        <f>IF([2]Entry!$L$181="","",[2]Entry!$L$181)</f>
        <v/>
      </c>
      <c r="W178">
        <f>IF([2]Entry!$M$181="","",[2]Entry!$M$181)</f>
        <v/>
      </c>
      <c r="X178">
        <f>IF([2]Entry!$N$181="","",[2]Entry!$N$181)</f>
        <v/>
      </c>
      <c r="Y178">
        <f>IF([2]Entry!$R$181="","",[2]Entry!$R$181)</f>
        <v/>
      </c>
    </row>
    <row r="179">
      <c r="J179">
        <f>IF([1]Accounts!$D$180="","",[1]Accounts!$A$180)</f>
        <v/>
      </c>
      <c r="K179">
        <f>IF([1]Accounts!$D$180="","",[1]Accounts!$B$180)</f>
        <v/>
      </c>
      <c r="L179">
        <f>IF([1]Accounts!$D$180="","",[1]Accounts!$C$180)</f>
        <v/>
      </c>
      <c r="M179">
        <f>IF([1]Accounts!$D$180="","",[1]Accounts!$D$180)</f>
        <v/>
      </c>
      <c r="P179">
        <f>IF([2]Entry!$C$182="","",[2]Entry!$C$182)</f>
        <v/>
      </c>
      <c r="Q179">
        <f>IF([2]Entry!$D$182="","",[2]Entry!$D$182)</f>
        <v/>
      </c>
      <c r="R179">
        <f>IF([2]Entry!$E$182="","",[2]Entry!$E$182)</f>
        <v/>
      </c>
      <c r="S179">
        <f>IF([2]Entry!$G$182="","",[2]Entry!$G$182)</f>
        <v/>
      </c>
      <c r="T179">
        <f>IF([2]Entry!$J$182="","",[2]Entry!$J$182)</f>
        <v/>
      </c>
      <c r="U179">
        <f>IF([2]Entry!$K$182="","",[2]Entry!$K$182)</f>
        <v/>
      </c>
      <c r="V179">
        <f>IF([2]Entry!$L$182="","",[2]Entry!$L$182)</f>
        <v/>
      </c>
      <c r="W179">
        <f>IF([2]Entry!$M$182="","",[2]Entry!$M$182)</f>
        <v/>
      </c>
      <c r="X179">
        <f>IF([2]Entry!$N$182="","",[2]Entry!$N$182)</f>
        <v/>
      </c>
      <c r="Y179">
        <f>IF([2]Entry!$R$182="","",[2]Entry!$R$182)</f>
        <v/>
      </c>
    </row>
    <row r="180">
      <c r="J180">
        <f>IF([1]Accounts!$D$181="","",[1]Accounts!$A$181)</f>
        <v/>
      </c>
      <c r="K180">
        <f>IF([1]Accounts!$D$181="","",[1]Accounts!$B$181)</f>
        <v/>
      </c>
      <c r="L180">
        <f>IF([1]Accounts!$D$181="","",[1]Accounts!$C$181)</f>
        <v/>
      </c>
      <c r="M180">
        <f>IF([1]Accounts!$D$181="","",[1]Accounts!$D$181)</f>
        <v/>
      </c>
      <c r="P180">
        <f>IF([2]Entry!$C$183="","",[2]Entry!$C$183)</f>
        <v/>
      </c>
      <c r="Q180">
        <f>IF([2]Entry!$D$183="","",[2]Entry!$D$183)</f>
        <v/>
      </c>
      <c r="R180">
        <f>IF([2]Entry!$E$183="","",[2]Entry!$E$183)</f>
        <v/>
      </c>
      <c r="S180">
        <f>IF([2]Entry!$G$183="","",[2]Entry!$G$183)</f>
        <v/>
      </c>
      <c r="T180">
        <f>IF([2]Entry!$J$183="","",[2]Entry!$J$183)</f>
        <v/>
      </c>
      <c r="U180">
        <f>IF([2]Entry!$K$183="","",[2]Entry!$K$183)</f>
        <v/>
      </c>
      <c r="V180">
        <f>IF([2]Entry!$L$183="","",[2]Entry!$L$183)</f>
        <v/>
      </c>
      <c r="W180">
        <f>IF([2]Entry!$M$183="","",[2]Entry!$M$183)</f>
        <v/>
      </c>
      <c r="X180">
        <f>IF([2]Entry!$N$183="","",[2]Entry!$N$183)</f>
        <v/>
      </c>
      <c r="Y180">
        <f>IF([2]Entry!$R$183="","",[2]Entry!$R$183)</f>
        <v/>
      </c>
    </row>
    <row r="181">
      <c r="J181">
        <f>IF([1]Accounts!$D$182="","",[1]Accounts!$A$182)</f>
        <v/>
      </c>
      <c r="K181">
        <f>IF([1]Accounts!$D$182="","",[1]Accounts!$B$182)</f>
        <v/>
      </c>
      <c r="L181">
        <f>IF([1]Accounts!$D$182="","",[1]Accounts!$C$182)</f>
        <v/>
      </c>
      <c r="M181">
        <f>IF([1]Accounts!$D$182="","",[1]Accounts!$D$182)</f>
        <v/>
      </c>
      <c r="P181">
        <f>IF([2]Entry!$C$184="","",[2]Entry!$C$184)</f>
        <v/>
      </c>
      <c r="Q181">
        <f>IF([2]Entry!$D$184="","",[2]Entry!$D$184)</f>
        <v/>
      </c>
      <c r="R181">
        <f>IF([2]Entry!$E$184="","",[2]Entry!$E$184)</f>
        <v/>
      </c>
      <c r="S181">
        <f>IF([2]Entry!$G$184="","",[2]Entry!$G$184)</f>
        <v/>
      </c>
      <c r="T181">
        <f>IF([2]Entry!$J$184="","",[2]Entry!$J$184)</f>
        <v/>
      </c>
      <c r="U181">
        <f>IF([2]Entry!$K$184="","",[2]Entry!$K$184)</f>
        <v/>
      </c>
      <c r="V181">
        <f>IF([2]Entry!$L$184="","",[2]Entry!$L$184)</f>
        <v/>
      </c>
      <c r="W181">
        <f>IF([2]Entry!$M$184="","",[2]Entry!$M$184)</f>
        <v/>
      </c>
      <c r="X181">
        <f>IF([2]Entry!$N$184="","",[2]Entry!$N$184)</f>
        <v/>
      </c>
      <c r="Y181">
        <f>IF([2]Entry!$R$184="","",[2]Entry!$R$184)</f>
        <v/>
      </c>
    </row>
    <row r="182">
      <c r="J182">
        <f>IF([1]Accounts!$D$183="","",[1]Accounts!$A$183)</f>
        <v/>
      </c>
      <c r="K182">
        <f>IF([1]Accounts!$D$183="","",[1]Accounts!$B$183)</f>
        <v/>
      </c>
      <c r="L182">
        <f>IF([1]Accounts!$D$183="","",[1]Accounts!$C$183)</f>
        <v/>
      </c>
      <c r="M182">
        <f>IF([1]Accounts!$D$183="","",[1]Accounts!$D$183)</f>
        <v/>
      </c>
      <c r="P182">
        <f>IF([2]Entry!$C$185="","",[2]Entry!$C$185)</f>
        <v/>
      </c>
      <c r="Q182">
        <f>IF([2]Entry!$D$185="","",[2]Entry!$D$185)</f>
        <v/>
      </c>
      <c r="R182">
        <f>IF([2]Entry!$E$185="","",[2]Entry!$E$185)</f>
        <v/>
      </c>
      <c r="S182">
        <f>IF([2]Entry!$G$185="","",[2]Entry!$G$185)</f>
        <v/>
      </c>
      <c r="T182">
        <f>IF([2]Entry!$J$185="","",[2]Entry!$J$185)</f>
        <v/>
      </c>
      <c r="U182">
        <f>IF([2]Entry!$K$185="","",[2]Entry!$K$185)</f>
        <v/>
      </c>
      <c r="V182">
        <f>IF([2]Entry!$L$185="","",[2]Entry!$L$185)</f>
        <v/>
      </c>
      <c r="W182">
        <f>IF([2]Entry!$M$185="","",[2]Entry!$M$185)</f>
        <v/>
      </c>
      <c r="X182">
        <f>IF([2]Entry!$N$185="","",[2]Entry!$N$185)</f>
        <v/>
      </c>
      <c r="Y182">
        <f>IF([2]Entry!$R$185="","",[2]Entry!$R$185)</f>
        <v/>
      </c>
    </row>
    <row r="183">
      <c r="J183">
        <f>IF([1]Accounts!$D$184="","",[1]Accounts!$A$184)</f>
        <v/>
      </c>
      <c r="K183">
        <f>IF([1]Accounts!$D$184="","",[1]Accounts!$B$184)</f>
        <v/>
      </c>
      <c r="L183">
        <f>IF([1]Accounts!$D$184="","",[1]Accounts!$C$184)</f>
        <v/>
      </c>
      <c r="M183">
        <f>IF([1]Accounts!$D$184="","",[1]Accounts!$D$184)</f>
        <v/>
      </c>
      <c r="P183">
        <f>IF([2]Entry!$C$186="","",[2]Entry!$C$186)</f>
        <v/>
      </c>
      <c r="Q183">
        <f>IF([2]Entry!$D$186="","",[2]Entry!$D$186)</f>
        <v/>
      </c>
      <c r="R183">
        <f>IF([2]Entry!$E$186="","",[2]Entry!$E$186)</f>
        <v/>
      </c>
      <c r="S183">
        <f>IF([2]Entry!$G$186="","",[2]Entry!$G$186)</f>
        <v/>
      </c>
      <c r="T183">
        <f>IF([2]Entry!$J$186="","",[2]Entry!$J$186)</f>
        <v/>
      </c>
      <c r="U183">
        <f>IF([2]Entry!$K$186="","",[2]Entry!$K$186)</f>
        <v/>
      </c>
      <c r="V183">
        <f>IF([2]Entry!$L$186="","",[2]Entry!$L$186)</f>
        <v/>
      </c>
      <c r="W183">
        <f>IF([2]Entry!$M$186="","",[2]Entry!$M$186)</f>
        <v/>
      </c>
      <c r="X183">
        <f>IF([2]Entry!$N$186="","",[2]Entry!$N$186)</f>
        <v/>
      </c>
      <c r="Y183">
        <f>IF([2]Entry!$R$186="","",[2]Entry!$R$186)</f>
        <v/>
      </c>
    </row>
    <row r="184">
      <c r="J184">
        <f>IF([1]Accounts!$D$185="","",[1]Accounts!$A$185)</f>
        <v/>
      </c>
      <c r="K184">
        <f>IF([1]Accounts!$D$185="","",[1]Accounts!$B$185)</f>
        <v/>
      </c>
      <c r="L184">
        <f>IF([1]Accounts!$D$185="","",[1]Accounts!$C$185)</f>
        <v/>
      </c>
      <c r="M184">
        <f>IF([1]Accounts!$D$185="","",[1]Accounts!$D$185)</f>
        <v/>
      </c>
      <c r="P184">
        <f>IF([2]Entry!$C$187="","",[2]Entry!$C$187)</f>
        <v/>
      </c>
      <c r="Q184">
        <f>IF([2]Entry!$D$187="","",[2]Entry!$D$187)</f>
        <v/>
      </c>
      <c r="R184">
        <f>IF([2]Entry!$E$187="","",[2]Entry!$E$187)</f>
        <v/>
      </c>
      <c r="S184">
        <f>IF([2]Entry!$G$187="","",[2]Entry!$G$187)</f>
        <v/>
      </c>
      <c r="T184">
        <f>IF([2]Entry!$J$187="","",[2]Entry!$J$187)</f>
        <v/>
      </c>
      <c r="U184">
        <f>IF([2]Entry!$K$187="","",[2]Entry!$K$187)</f>
        <v/>
      </c>
      <c r="V184">
        <f>IF([2]Entry!$L$187="","",[2]Entry!$L$187)</f>
        <v/>
      </c>
      <c r="W184">
        <f>IF([2]Entry!$M$187="","",[2]Entry!$M$187)</f>
        <v/>
      </c>
      <c r="X184">
        <f>IF([2]Entry!$N$187="","",[2]Entry!$N$187)</f>
        <v/>
      </c>
      <c r="Y184">
        <f>IF([2]Entry!$R$187="","",[2]Entry!$R$187)</f>
        <v/>
      </c>
    </row>
    <row r="185">
      <c r="J185">
        <f>IF([1]Accounts!$D$186="","",[1]Accounts!$A$186)</f>
        <v/>
      </c>
      <c r="K185">
        <f>IF([1]Accounts!$D$186="","",[1]Accounts!$B$186)</f>
        <v/>
      </c>
      <c r="L185">
        <f>IF([1]Accounts!$D$186="","",[1]Accounts!$C$186)</f>
        <v/>
      </c>
      <c r="M185">
        <f>IF([1]Accounts!$D$186="","",[1]Accounts!$D$186)</f>
        <v/>
      </c>
      <c r="P185">
        <f>IF([2]Entry!$C$188="","",[2]Entry!$C$188)</f>
        <v/>
      </c>
      <c r="Q185">
        <f>IF([2]Entry!$D$188="","",[2]Entry!$D$188)</f>
        <v/>
      </c>
      <c r="R185">
        <f>IF([2]Entry!$E$188="","",[2]Entry!$E$188)</f>
        <v/>
      </c>
      <c r="S185">
        <f>IF([2]Entry!$G$188="","",[2]Entry!$G$188)</f>
        <v/>
      </c>
      <c r="T185">
        <f>IF([2]Entry!$J$188="","",[2]Entry!$J$188)</f>
        <v/>
      </c>
      <c r="U185">
        <f>IF([2]Entry!$K$188="","",[2]Entry!$K$188)</f>
        <v/>
      </c>
      <c r="V185">
        <f>IF([2]Entry!$L$188="","",[2]Entry!$L$188)</f>
        <v/>
      </c>
      <c r="W185">
        <f>IF([2]Entry!$M$188="","",[2]Entry!$M$188)</f>
        <v/>
      </c>
      <c r="X185">
        <f>IF([2]Entry!$N$188="","",[2]Entry!$N$188)</f>
        <v/>
      </c>
      <c r="Y185">
        <f>IF([2]Entry!$R$188="","",[2]Entry!$R$188)</f>
        <v/>
      </c>
    </row>
    <row r="186">
      <c r="J186">
        <f>IF([1]Accounts!$D$187="","",[1]Accounts!$A$187)</f>
        <v/>
      </c>
      <c r="K186">
        <f>IF([1]Accounts!$D$187="","",[1]Accounts!$B$187)</f>
        <v/>
      </c>
      <c r="L186">
        <f>IF([1]Accounts!$D$187="","",[1]Accounts!$C$187)</f>
        <v/>
      </c>
      <c r="M186">
        <f>IF([1]Accounts!$D$187="","",[1]Accounts!$D$187)</f>
        <v/>
      </c>
      <c r="P186">
        <f>IF([2]Entry!$C$189="","",[2]Entry!$C$189)</f>
        <v/>
      </c>
      <c r="Q186">
        <f>IF([2]Entry!$D$189="","",[2]Entry!$D$189)</f>
        <v/>
      </c>
      <c r="R186">
        <f>IF([2]Entry!$E$189="","",[2]Entry!$E$189)</f>
        <v/>
      </c>
      <c r="S186">
        <f>IF([2]Entry!$G$189="","",[2]Entry!$G$189)</f>
        <v/>
      </c>
      <c r="T186">
        <f>IF([2]Entry!$J$189="","",[2]Entry!$J$189)</f>
        <v/>
      </c>
      <c r="U186">
        <f>IF([2]Entry!$K$189="","",[2]Entry!$K$189)</f>
        <v/>
      </c>
      <c r="V186">
        <f>IF([2]Entry!$L$189="","",[2]Entry!$L$189)</f>
        <v/>
      </c>
      <c r="W186">
        <f>IF([2]Entry!$M$189="","",[2]Entry!$M$189)</f>
        <v/>
      </c>
      <c r="X186">
        <f>IF([2]Entry!$N$189="","",[2]Entry!$N$189)</f>
        <v/>
      </c>
      <c r="Y186">
        <f>IF([2]Entry!$R$189="","",[2]Entry!$R$189)</f>
        <v/>
      </c>
    </row>
    <row r="187">
      <c r="J187">
        <f>IF([1]Accounts!$D$188="","",[1]Accounts!$A$188)</f>
        <v/>
      </c>
      <c r="K187">
        <f>IF([1]Accounts!$D$188="","",[1]Accounts!$B$188)</f>
        <v/>
      </c>
      <c r="L187">
        <f>IF([1]Accounts!$D$188="","",[1]Accounts!$C$188)</f>
        <v/>
      </c>
      <c r="M187">
        <f>IF([1]Accounts!$D$188="","",[1]Accounts!$D$188)</f>
        <v/>
      </c>
      <c r="P187">
        <f>IF([2]Entry!$C$190="","",[2]Entry!$C$190)</f>
        <v/>
      </c>
      <c r="Q187">
        <f>IF([2]Entry!$D$190="","",[2]Entry!$D$190)</f>
        <v/>
      </c>
      <c r="R187">
        <f>IF([2]Entry!$E$190="","",[2]Entry!$E$190)</f>
        <v/>
      </c>
      <c r="S187">
        <f>IF([2]Entry!$G$190="","",[2]Entry!$G$190)</f>
        <v/>
      </c>
      <c r="T187">
        <f>IF([2]Entry!$J$190="","",[2]Entry!$J$190)</f>
        <v/>
      </c>
      <c r="U187">
        <f>IF([2]Entry!$K$190="","",[2]Entry!$K$190)</f>
        <v/>
      </c>
      <c r="V187">
        <f>IF([2]Entry!$L$190="","",[2]Entry!$L$190)</f>
        <v/>
      </c>
      <c r="W187">
        <f>IF([2]Entry!$M$190="","",[2]Entry!$M$190)</f>
        <v/>
      </c>
      <c r="X187">
        <f>IF([2]Entry!$N$190="","",[2]Entry!$N$190)</f>
        <v/>
      </c>
      <c r="Y187">
        <f>IF([2]Entry!$R$190="","",[2]Entry!$R$190)</f>
        <v/>
      </c>
    </row>
    <row r="188">
      <c r="J188">
        <f>IF([1]Accounts!$D$189="","",[1]Accounts!$A$189)</f>
        <v/>
      </c>
      <c r="K188">
        <f>IF([1]Accounts!$D$189="","",[1]Accounts!$B$189)</f>
        <v/>
      </c>
      <c r="L188">
        <f>IF([1]Accounts!$D$189="","",[1]Accounts!$C$189)</f>
        <v/>
      </c>
      <c r="M188">
        <f>IF([1]Accounts!$D$189="","",[1]Accounts!$D$189)</f>
        <v/>
      </c>
      <c r="P188">
        <f>IF([2]Entry!$C$191="","",[2]Entry!$C$191)</f>
        <v/>
      </c>
      <c r="Q188">
        <f>IF([2]Entry!$D$191="","",[2]Entry!$D$191)</f>
        <v/>
      </c>
      <c r="R188">
        <f>IF([2]Entry!$E$191="","",[2]Entry!$E$191)</f>
        <v/>
      </c>
      <c r="S188">
        <f>IF([2]Entry!$G$191="","",[2]Entry!$G$191)</f>
        <v/>
      </c>
      <c r="T188">
        <f>IF([2]Entry!$J$191="","",[2]Entry!$J$191)</f>
        <v/>
      </c>
      <c r="U188">
        <f>IF([2]Entry!$K$191="","",[2]Entry!$K$191)</f>
        <v/>
      </c>
      <c r="V188">
        <f>IF([2]Entry!$L$191="","",[2]Entry!$L$191)</f>
        <v/>
      </c>
      <c r="W188">
        <f>IF([2]Entry!$M$191="","",[2]Entry!$M$191)</f>
        <v/>
      </c>
      <c r="X188">
        <f>IF([2]Entry!$N$191="","",[2]Entry!$N$191)</f>
        <v/>
      </c>
      <c r="Y188">
        <f>IF([2]Entry!$R$191="","",[2]Entry!$R$191)</f>
        <v/>
      </c>
    </row>
    <row r="189">
      <c r="J189">
        <f>IF([1]Accounts!$D$190="","",[1]Accounts!$A$190)</f>
        <v/>
      </c>
      <c r="K189">
        <f>IF([1]Accounts!$D$190="","",[1]Accounts!$B$190)</f>
        <v/>
      </c>
      <c r="L189">
        <f>IF([1]Accounts!$D$190="","",[1]Accounts!$C$190)</f>
        <v/>
      </c>
      <c r="M189">
        <f>IF([1]Accounts!$D$190="","",[1]Accounts!$D$190)</f>
        <v/>
      </c>
      <c r="P189">
        <f>IF([2]Entry!$C$192="","",[2]Entry!$C$192)</f>
        <v/>
      </c>
      <c r="Q189">
        <f>IF([2]Entry!$D$192="","",[2]Entry!$D$192)</f>
        <v/>
      </c>
      <c r="R189">
        <f>IF([2]Entry!$E$192="","",[2]Entry!$E$192)</f>
        <v/>
      </c>
      <c r="S189">
        <f>IF([2]Entry!$G$192="","",[2]Entry!$G$192)</f>
        <v/>
      </c>
      <c r="T189">
        <f>IF([2]Entry!$J$192="","",[2]Entry!$J$192)</f>
        <v/>
      </c>
      <c r="U189">
        <f>IF([2]Entry!$K$192="","",[2]Entry!$K$192)</f>
        <v/>
      </c>
      <c r="V189">
        <f>IF([2]Entry!$L$192="","",[2]Entry!$L$192)</f>
        <v/>
      </c>
      <c r="W189">
        <f>IF([2]Entry!$M$192="","",[2]Entry!$M$192)</f>
        <v/>
      </c>
      <c r="X189">
        <f>IF([2]Entry!$N$192="","",[2]Entry!$N$192)</f>
        <v/>
      </c>
      <c r="Y189">
        <f>IF([2]Entry!$R$192="","",[2]Entry!$R$192)</f>
        <v/>
      </c>
    </row>
    <row r="190">
      <c r="J190">
        <f>IF([1]Accounts!$D$191="","",[1]Accounts!$A$191)</f>
        <v/>
      </c>
      <c r="K190">
        <f>IF([1]Accounts!$D$191="","",[1]Accounts!$B$191)</f>
        <v/>
      </c>
      <c r="L190">
        <f>IF([1]Accounts!$D$191="","",[1]Accounts!$C$191)</f>
        <v/>
      </c>
      <c r="M190">
        <f>IF([1]Accounts!$D$191="","",[1]Accounts!$D$191)</f>
        <v/>
      </c>
      <c r="P190">
        <f>IF([2]Entry!$C$193="","",[2]Entry!$C$193)</f>
        <v/>
      </c>
      <c r="Q190">
        <f>IF([2]Entry!$D$193="","",[2]Entry!$D$193)</f>
        <v/>
      </c>
      <c r="R190">
        <f>IF([2]Entry!$E$193="","",[2]Entry!$E$193)</f>
        <v/>
      </c>
      <c r="S190">
        <f>IF([2]Entry!$G$193="","",[2]Entry!$G$193)</f>
        <v/>
      </c>
      <c r="T190">
        <f>IF([2]Entry!$J$193="","",[2]Entry!$J$193)</f>
        <v/>
      </c>
      <c r="U190">
        <f>IF([2]Entry!$K$193="","",[2]Entry!$K$193)</f>
        <v/>
      </c>
      <c r="V190">
        <f>IF([2]Entry!$L$193="","",[2]Entry!$L$193)</f>
        <v/>
      </c>
      <c r="W190">
        <f>IF([2]Entry!$M$193="","",[2]Entry!$M$193)</f>
        <v/>
      </c>
      <c r="X190">
        <f>IF([2]Entry!$N$193="","",[2]Entry!$N$193)</f>
        <v/>
      </c>
      <c r="Y190">
        <f>IF([2]Entry!$R$193="","",[2]Entry!$R$193)</f>
        <v/>
      </c>
    </row>
    <row r="191">
      <c r="J191">
        <f>IF([1]Accounts!$D$192="","",[1]Accounts!$A$192)</f>
        <v/>
      </c>
      <c r="K191">
        <f>IF([1]Accounts!$D$192="","",[1]Accounts!$B$192)</f>
        <v/>
      </c>
      <c r="L191">
        <f>IF([1]Accounts!$D$192="","",[1]Accounts!$C$192)</f>
        <v/>
      </c>
      <c r="M191">
        <f>IF([1]Accounts!$D$192="","",[1]Accounts!$D$192)</f>
        <v/>
      </c>
      <c r="P191">
        <f>IF([2]Entry!$C$194="","",[2]Entry!$C$194)</f>
        <v/>
      </c>
      <c r="Q191">
        <f>IF([2]Entry!$D$194="","",[2]Entry!$D$194)</f>
        <v/>
      </c>
      <c r="R191">
        <f>IF([2]Entry!$E$194="","",[2]Entry!$E$194)</f>
        <v/>
      </c>
      <c r="S191">
        <f>IF([2]Entry!$G$194="","",[2]Entry!$G$194)</f>
        <v/>
      </c>
      <c r="T191">
        <f>IF([2]Entry!$J$194="","",[2]Entry!$J$194)</f>
        <v/>
      </c>
      <c r="U191">
        <f>IF([2]Entry!$K$194="","",[2]Entry!$K$194)</f>
        <v/>
      </c>
      <c r="V191">
        <f>IF([2]Entry!$L$194="","",[2]Entry!$L$194)</f>
        <v/>
      </c>
      <c r="W191">
        <f>IF([2]Entry!$M$194="","",[2]Entry!$M$194)</f>
        <v/>
      </c>
      <c r="X191">
        <f>IF([2]Entry!$N$194="","",[2]Entry!$N$194)</f>
        <v/>
      </c>
      <c r="Y191">
        <f>IF([2]Entry!$R$194="","",[2]Entry!$R$194)</f>
        <v/>
      </c>
    </row>
    <row r="192">
      <c r="J192">
        <f>IF([1]Accounts!$D$193="","",[1]Accounts!$A$193)</f>
        <v/>
      </c>
      <c r="K192">
        <f>IF([1]Accounts!$D$193="","",[1]Accounts!$B$193)</f>
        <v/>
      </c>
      <c r="L192">
        <f>IF([1]Accounts!$D$193="","",[1]Accounts!$C$193)</f>
        <v/>
      </c>
      <c r="M192">
        <f>IF([1]Accounts!$D$193="","",[1]Accounts!$D$193)</f>
        <v/>
      </c>
      <c r="P192">
        <f>IF([2]Entry!$C$195="","",[2]Entry!$C$195)</f>
        <v/>
      </c>
      <c r="Q192">
        <f>IF([2]Entry!$D$195="","",[2]Entry!$D$195)</f>
        <v/>
      </c>
      <c r="R192">
        <f>IF([2]Entry!$E$195="","",[2]Entry!$E$195)</f>
        <v/>
      </c>
      <c r="S192">
        <f>IF([2]Entry!$G$195="","",[2]Entry!$G$195)</f>
        <v/>
      </c>
      <c r="T192">
        <f>IF([2]Entry!$J$195="","",[2]Entry!$J$195)</f>
        <v/>
      </c>
      <c r="U192">
        <f>IF([2]Entry!$K$195="","",[2]Entry!$K$195)</f>
        <v/>
      </c>
      <c r="V192">
        <f>IF([2]Entry!$L$195="","",[2]Entry!$L$195)</f>
        <v/>
      </c>
      <c r="W192">
        <f>IF([2]Entry!$M$195="","",[2]Entry!$M$195)</f>
        <v/>
      </c>
      <c r="X192">
        <f>IF([2]Entry!$N$195="","",[2]Entry!$N$195)</f>
        <v/>
      </c>
      <c r="Y192">
        <f>IF([2]Entry!$R$195="","",[2]Entry!$R$195)</f>
        <v/>
      </c>
    </row>
    <row r="193">
      <c r="J193">
        <f>IF([1]Accounts!$D$194="","",[1]Accounts!$A$194)</f>
        <v/>
      </c>
      <c r="K193">
        <f>IF([1]Accounts!$D$194="","",[1]Accounts!$B$194)</f>
        <v/>
      </c>
      <c r="L193">
        <f>IF([1]Accounts!$D$194="","",[1]Accounts!$C$194)</f>
        <v/>
      </c>
      <c r="M193">
        <f>IF([1]Accounts!$D$194="","",[1]Accounts!$D$194)</f>
        <v/>
      </c>
      <c r="P193">
        <f>IF([2]Entry!$C$196="","",[2]Entry!$C$196)</f>
        <v/>
      </c>
      <c r="Q193">
        <f>IF([2]Entry!$D$196="","",[2]Entry!$D$196)</f>
        <v/>
      </c>
      <c r="R193">
        <f>IF([2]Entry!$E$196="","",[2]Entry!$E$196)</f>
        <v/>
      </c>
      <c r="S193">
        <f>IF([2]Entry!$G$196="","",[2]Entry!$G$196)</f>
        <v/>
      </c>
      <c r="T193">
        <f>IF([2]Entry!$J$196="","",[2]Entry!$J$196)</f>
        <v/>
      </c>
      <c r="U193">
        <f>IF([2]Entry!$K$196="","",[2]Entry!$K$196)</f>
        <v/>
      </c>
      <c r="V193">
        <f>IF([2]Entry!$L$196="","",[2]Entry!$L$196)</f>
        <v/>
      </c>
      <c r="W193">
        <f>IF([2]Entry!$M$196="","",[2]Entry!$M$196)</f>
        <v/>
      </c>
      <c r="X193">
        <f>IF([2]Entry!$N$196="","",[2]Entry!$N$196)</f>
        <v/>
      </c>
      <c r="Y193">
        <f>IF([2]Entry!$R$196="","",[2]Entry!$R$196)</f>
        <v/>
      </c>
    </row>
    <row r="194">
      <c r="J194">
        <f>IF([1]Accounts!$D$195="","",[1]Accounts!$A$195)</f>
        <v/>
      </c>
      <c r="K194">
        <f>IF([1]Accounts!$D$195="","",[1]Accounts!$B$195)</f>
        <v/>
      </c>
      <c r="L194">
        <f>IF([1]Accounts!$D$195="","",[1]Accounts!$C$195)</f>
        <v/>
      </c>
      <c r="M194">
        <f>IF([1]Accounts!$D$195="","",[1]Accounts!$D$195)</f>
        <v/>
      </c>
      <c r="P194">
        <f>IF([2]Entry!$C$197="","",[2]Entry!$C$197)</f>
        <v/>
      </c>
      <c r="Q194">
        <f>IF([2]Entry!$D$197="","",[2]Entry!$D$197)</f>
        <v/>
      </c>
      <c r="R194">
        <f>IF([2]Entry!$E$197="","",[2]Entry!$E$197)</f>
        <v/>
      </c>
      <c r="S194">
        <f>IF([2]Entry!$G$197="","",[2]Entry!$G$197)</f>
        <v/>
      </c>
      <c r="T194">
        <f>IF([2]Entry!$J$197="","",[2]Entry!$J$197)</f>
        <v/>
      </c>
      <c r="U194">
        <f>IF([2]Entry!$K$197="","",[2]Entry!$K$197)</f>
        <v/>
      </c>
      <c r="V194">
        <f>IF([2]Entry!$L$197="","",[2]Entry!$L$197)</f>
        <v/>
      </c>
      <c r="W194">
        <f>IF([2]Entry!$M$197="","",[2]Entry!$M$197)</f>
        <v/>
      </c>
      <c r="X194">
        <f>IF([2]Entry!$N$197="","",[2]Entry!$N$197)</f>
        <v/>
      </c>
      <c r="Y194">
        <f>IF([2]Entry!$R$197="","",[2]Entry!$R$197)</f>
        <v/>
      </c>
    </row>
    <row r="195">
      <c r="J195">
        <f>IF([1]Accounts!$D$196="","",[1]Accounts!$A$196)</f>
        <v/>
      </c>
      <c r="K195">
        <f>IF([1]Accounts!$D$196="","",[1]Accounts!$B$196)</f>
        <v/>
      </c>
      <c r="L195">
        <f>IF([1]Accounts!$D$196="","",[1]Accounts!$C$196)</f>
        <v/>
      </c>
      <c r="M195">
        <f>IF([1]Accounts!$D$196="","",[1]Accounts!$D$196)</f>
        <v/>
      </c>
      <c r="P195">
        <f>IF([2]Entry!$C$198="","",[2]Entry!$C$198)</f>
        <v/>
      </c>
      <c r="Q195">
        <f>IF([2]Entry!$D$198="","",[2]Entry!$D$198)</f>
        <v/>
      </c>
      <c r="R195">
        <f>IF([2]Entry!$E$198="","",[2]Entry!$E$198)</f>
        <v/>
      </c>
      <c r="S195">
        <f>IF([2]Entry!$G$198="","",[2]Entry!$G$198)</f>
        <v/>
      </c>
      <c r="T195">
        <f>IF([2]Entry!$J$198="","",[2]Entry!$J$198)</f>
        <v/>
      </c>
      <c r="U195">
        <f>IF([2]Entry!$K$198="","",[2]Entry!$K$198)</f>
        <v/>
      </c>
      <c r="V195">
        <f>IF([2]Entry!$L$198="","",[2]Entry!$L$198)</f>
        <v/>
      </c>
      <c r="W195">
        <f>IF([2]Entry!$M$198="","",[2]Entry!$M$198)</f>
        <v/>
      </c>
      <c r="X195">
        <f>IF([2]Entry!$N$198="","",[2]Entry!$N$198)</f>
        <v/>
      </c>
      <c r="Y195">
        <f>IF([2]Entry!$R$198="","",[2]Entry!$R$198)</f>
        <v/>
      </c>
    </row>
    <row r="196">
      <c r="J196">
        <f>IF([1]Accounts!$D$197="","",[1]Accounts!$A$197)</f>
        <v/>
      </c>
      <c r="K196">
        <f>IF([1]Accounts!$D$197="","",[1]Accounts!$B$197)</f>
        <v/>
      </c>
      <c r="L196">
        <f>IF([1]Accounts!$D$197="","",[1]Accounts!$C$197)</f>
        <v/>
      </c>
      <c r="M196">
        <f>IF([1]Accounts!$D$197="","",[1]Accounts!$D$197)</f>
        <v/>
      </c>
      <c r="P196">
        <f>IF([2]Entry!$C$199="","",[2]Entry!$C$199)</f>
        <v/>
      </c>
      <c r="Q196">
        <f>IF([2]Entry!$D$199="","",[2]Entry!$D$199)</f>
        <v/>
      </c>
      <c r="R196">
        <f>IF([2]Entry!$E$199="","",[2]Entry!$E$199)</f>
        <v/>
      </c>
      <c r="S196">
        <f>IF([2]Entry!$G$199="","",[2]Entry!$G$199)</f>
        <v/>
      </c>
      <c r="T196">
        <f>IF([2]Entry!$J$199="","",[2]Entry!$J$199)</f>
        <v/>
      </c>
      <c r="U196">
        <f>IF([2]Entry!$K$199="","",[2]Entry!$K$199)</f>
        <v/>
      </c>
      <c r="V196">
        <f>IF([2]Entry!$L$199="","",[2]Entry!$L$199)</f>
        <v/>
      </c>
      <c r="W196">
        <f>IF([2]Entry!$M$199="","",[2]Entry!$M$199)</f>
        <v/>
      </c>
      <c r="X196">
        <f>IF([2]Entry!$N$199="","",[2]Entry!$N$199)</f>
        <v/>
      </c>
      <c r="Y196">
        <f>IF([2]Entry!$R$199="","",[2]Entry!$R$199)</f>
        <v/>
      </c>
    </row>
    <row r="197">
      <c r="J197">
        <f>IF([1]Accounts!$D$198="","",[1]Accounts!$A$198)</f>
        <v/>
      </c>
      <c r="K197">
        <f>IF([1]Accounts!$D$198="","",[1]Accounts!$B$198)</f>
        <v/>
      </c>
      <c r="L197">
        <f>IF([1]Accounts!$D$198="","",[1]Accounts!$C$198)</f>
        <v/>
      </c>
      <c r="M197">
        <f>IF([1]Accounts!$D$198="","",[1]Accounts!$D$198)</f>
        <v/>
      </c>
      <c r="P197">
        <f>IF([2]Entry!$C$200="","",[2]Entry!$C$200)</f>
        <v/>
      </c>
      <c r="Q197">
        <f>IF([2]Entry!$D$200="","",[2]Entry!$D$200)</f>
        <v/>
      </c>
      <c r="R197">
        <f>IF([2]Entry!$E$200="","",[2]Entry!$E$200)</f>
        <v/>
      </c>
      <c r="S197">
        <f>IF([2]Entry!$G$200="","",[2]Entry!$G$200)</f>
        <v/>
      </c>
      <c r="T197">
        <f>IF([2]Entry!$J$200="","",[2]Entry!$J$200)</f>
        <v/>
      </c>
      <c r="U197">
        <f>IF([2]Entry!$K$200="","",[2]Entry!$K$200)</f>
        <v/>
      </c>
      <c r="V197">
        <f>IF([2]Entry!$L$200="","",[2]Entry!$L$200)</f>
        <v/>
      </c>
      <c r="W197">
        <f>IF([2]Entry!$M$200="","",[2]Entry!$M$200)</f>
        <v/>
      </c>
      <c r="X197">
        <f>IF([2]Entry!$N$200="","",[2]Entry!$N$200)</f>
        <v/>
      </c>
      <c r="Y197">
        <f>IF([2]Entry!$R$200="","",[2]Entry!$R$200)</f>
        <v/>
      </c>
    </row>
    <row r="198">
      <c r="J198">
        <f>IF([1]Accounts!$D$199="","",[1]Accounts!$A$199)</f>
        <v/>
      </c>
      <c r="K198">
        <f>IF([1]Accounts!$D$199="","",[1]Accounts!$B$199)</f>
        <v/>
      </c>
      <c r="L198">
        <f>IF([1]Accounts!$D$199="","",[1]Accounts!$C$199)</f>
        <v/>
      </c>
      <c r="M198">
        <f>IF([1]Accounts!$D$199="","",[1]Accounts!$D$199)</f>
        <v/>
      </c>
      <c r="P198">
        <f>IF([2]Entry!$C$201="","",[2]Entry!$C$201)</f>
        <v/>
      </c>
      <c r="Q198">
        <f>IF([2]Entry!$D$201="","",[2]Entry!$D$201)</f>
        <v/>
      </c>
      <c r="R198">
        <f>IF([2]Entry!$E$201="","",[2]Entry!$E$201)</f>
        <v/>
      </c>
      <c r="S198">
        <f>IF([2]Entry!$G$201="","",[2]Entry!$G$201)</f>
        <v/>
      </c>
      <c r="T198">
        <f>IF([2]Entry!$J$201="","",[2]Entry!$J$201)</f>
        <v/>
      </c>
      <c r="U198">
        <f>IF([2]Entry!$K$201="","",[2]Entry!$K$201)</f>
        <v/>
      </c>
      <c r="V198">
        <f>IF([2]Entry!$L$201="","",[2]Entry!$L$201)</f>
        <v/>
      </c>
      <c r="W198">
        <f>IF([2]Entry!$M$201="","",[2]Entry!$M$201)</f>
        <v/>
      </c>
      <c r="X198">
        <f>IF([2]Entry!$N$201="","",[2]Entry!$N$201)</f>
        <v/>
      </c>
      <c r="Y198">
        <f>IF([2]Entry!$R$201="","",[2]Entry!$R$201)</f>
        <v/>
      </c>
    </row>
    <row r="199">
      <c r="J199">
        <f>IF([1]Accounts!$D$200="","",[1]Accounts!$A$200)</f>
        <v/>
      </c>
      <c r="K199">
        <f>IF([1]Accounts!$D$200="","",[1]Accounts!$B$200)</f>
        <v/>
      </c>
      <c r="L199">
        <f>IF([1]Accounts!$D$200="","",[1]Accounts!$C$200)</f>
        <v/>
      </c>
      <c r="M199">
        <f>IF([1]Accounts!$D$200="","",[1]Accounts!$D$200)</f>
        <v/>
      </c>
      <c r="P199">
        <f>IF([2]Entry!$C$202="","",[2]Entry!$C$202)</f>
        <v/>
      </c>
      <c r="Q199">
        <f>IF([2]Entry!$D$202="","",[2]Entry!$D$202)</f>
        <v/>
      </c>
      <c r="R199">
        <f>IF([2]Entry!$E$202="","",[2]Entry!$E$202)</f>
        <v/>
      </c>
      <c r="S199">
        <f>IF([2]Entry!$G$202="","",[2]Entry!$G$202)</f>
        <v/>
      </c>
      <c r="T199">
        <f>IF([2]Entry!$J$202="","",[2]Entry!$J$202)</f>
        <v/>
      </c>
      <c r="U199">
        <f>IF([2]Entry!$K$202="","",[2]Entry!$K$202)</f>
        <v/>
      </c>
      <c r="V199">
        <f>IF([2]Entry!$L$202="","",[2]Entry!$L$202)</f>
        <v/>
      </c>
      <c r="W199">
        <f>IF([2]Entry!$M$202="","",[2]Entry!$M$202)</f>
        <v/>
      </c>
      <c r="X199">
        <f>IF([2]Entry!$N$202="","",[2]Entry!$N$202)</f>
        <v/>
      </c>
      <c r="Y199">
        <f>IF([2]Entry!$R$202="","",[2]Entry!$R$202)</f>
        <v/>
      </c>
    </row>
    <row r="200">
      <c r="J200">
        <f>IF([1]Accounts!$D$201="","",[1]Accounts!$A$201)</f>
        <v/>
      </c>
      <c r="K200">
        <f>IF([1]Accounts!$D$201="","",[1]Accounts!$B$201)</f>
        <v/>
      </c>
      <c r="L200">
        <f>IF([1]Accounts!$D$201="","",[1]Accounts!$C$201)</f>
        <v/>
      </c>
      <c r="M200">
        <f>IF([1]Accounts!$D$201="","",[1]Accounts!$D$201)</f>
        <v/>
      </c>
      <c r="P200">
        <f>IF([2]Entry!$C$203="","",[2]Entry!$C$203)</f>
        <v/>
      </c>
      <c r="Q200">
        <f>IF([2]Entry!$D$203="","",[2]Entry!$D$203)</f>
        <v/>
      </c>
      <c r="R200">
        <f>IF([2]Entry!$E$203="","",[2]Entry!$E$203)</f>
        <v/>
      </c>
      <c r="S200">
        <f>IF([2]Entry!$G$203="","",[2]Entry!$G$203)</f>
        <v/>
      </c>
      <c r="T200">
        <f>IF([2]Entry!$J$203="","",[2]Entry!$J$203)</f>
        <v/>
      </c>
      <c r="U200">
        <f>IF([2]Entry!$K$203="","",[2]Entry!$K$203)</f>
        <v/>
      </c>
      <c r="V200">
        <f>IF([2]Entry!$L$203="","",[2]Entry!$L$203)</f>
        <v/>
      </c>
      <c r="W200">
        <f>IF([2]Entry!$M$203="","",[2]Entry!$M$203)</f>
        <v/>
      </c>
      <c r="X200">
        <f>IF([2]Entry!$N$203="","",[2]Entry!$N$203)</f>
        <v/>
      </c>
      <c r="Y200">
        <f>IF([2]Entry!$R$203="","",[2]Entry!$R$203)</f>
        <v/>
      </c>
    </row>
    <row r="201">
      <c r="J201">
        <f>IF([1]Accounts!$D$202="","",[1]Accounts!$A$202)</f>
        <v/>
      </c>
      <c r="K201">
        <f>IF([1]Accounts!$D$202="","",[1]Accounts!$B$202)</f>
        <v/>
      </c>
      <c r="L201">
        <f>IF([1]Accounts!$D$202="","",[1]Accounts!$C$202)</f>
        <v/>
      </c>
      <c r="M201">
        <f>IF([1]Accounts!$D$202="","",[1]Accounts!$D$202)</f>
        <v/>
      </c>
      <c r="P201">
        <f>IF([2]Entry!$C$204="","",[2]Entry!$C$204)</f>
        <v/>
      </c>
      <c r="Q201">
        <f>IF([2]Entry!$D$204="","",[2]Entry!$D$204)</f>
        <v/>
      </c>
      <c r="R201">
        <f>IF([2]Entry!$E$204="","",[2]Entry!$E$204)</f>
        <v/>
      </c>
      <c r="S201">
        <f>IF([2]Entry!$G$204="","",[2]Entry!$G$204)</f>
        <v/>
      </c>
      <c r="T201">
        <f>IF([2]Entry!$J$204="","",[2]Entry!$J$204)</f>
        <v/>
      </c>
      <c r="U201">
        <f>IF([2]Entry!$K$204="","",[2]Entry!$K$204)</f>
        <v/>
      </c>
      <c r="V201">
        <f>IF([2]Entry!$L$204="","",[2]Entry!$L$204)</f>
        <v/>
      </c>
      <c r="W201">
        <f>IF([2]Entry!$M$204="","",[2]Entry!$M$204)</f>
        <v/>
      </c>
      <c r="X201">
        <f>IF([2]Entry!$N$204="","",[2]Entry!$N$204)</f>
        <v/>
      </c>
      <c r="Y201">
        <f>IF([2]Entry!$R$204="","",[2]Entry!$R$204)</f>
        <v/>
      </c>
    </row>
    <row r="202">
      <c r="J202">
        <f>IF([1]Accounts!$D$203="","",[1]Accounts!$A$203)</f>
        <v/>
      </c>
      <c r="K202">
        <f>IF([1]Accounts!$D$203="","",[1]Accounts!$B$203)</f>
        <v/>
      </c>
      <c r="L202">
        <f>IF([1]Accounts!$D$203="","",[1]Accounts!$C$203)</f>
        <v/>
      </c>
      <c r="M202">
        <f>IF([1]Accounts!$D$203="","",[1]Accounts!$D$203)</f>
        <v/>
      </c>
      <c r="P202">
        <f>IF([2]Entry!$C$205="","",[2]Entry!$C$205)</f>
        <v/>
      </c>
      <c r="Q202">
        <f>IF([2]Entry!$D$205="","",[2]Entry!$D$205)</f>
        <v/>
      </c>
      <c r="R202">
        <f>IF([2]Entry!$E$205="","",[2]Entry!$E$205)</f>
        <v/>
      </c>
      <c r="S202">
        <f>IF([2]Entry!$G$205="","",[2]Entry!$G$205)</f>
        <v/>
      </c>
      <c r="T202">
        <f>IF([2]Entry!$J$205="","",[2]Entry!$J$205)</f>
        <v/>
      </c>
      <c r="U202">
        <f>IF([2]Entry!$K$205="","",[2]Entry!$K$205)</f>
        <v/>
      </c>
      <c r="V202">
        <f>IF([2]Entry!$L$205="","",[2]Entry!$L$205)</f>
        <v/>
      </c>
      <c r="W202">
        <f>IF([2]Entry!$M$205="","",[2]Entry!$M$205)</f>
        <v/>
      </c>
      <c r="X202">
        <f>IF([2]Entry!$N$205="","",[2]Entry!$N$205)</f>
        <v/>
      </c>
      <c r="Y202">
        <f>IF([2]Entry!$R$205="","",[2]Entry!$R$205)</f>
        <v/>
      </c>
    </row>
    <row r="203">
      <c r="J203">
        <f>IF([1]Accounts!$D$204="","",[1]Accounts!$A$204)</f>
        <v/>
      </c>
      <c r="K203">
        <f>IF([1]Accounts!$D$204="","",[1]Accounts!$B$204)</f>
        <v/>
      </c>
      <c r="L203">
        <f>IF([1]Accounts!$D$204="","",[1]Accounts!$C$204)</f>
        <v/>
      </c>
      <c r="M203">
        <f>IF([1]Accounts!$D$204="","",[1]Accounts!$D$204)</f>
        <v/>
      </c>
      <c r="P203">
        <f>IF([2]Entry!$C$206="","",[2]Entry!$C$206)</f>
        <v/>
      </c>
      <c r="Q203">
        <f>IF([2]Entry!$D$206="","",[2]Entry!$D$206)</f>
        <v/>
      </c>
      <c r="R203">
        <f>IF([2]Entry!$E$206="","",[2]Entry!$E$206)</f>
        <v/>
      </c>
      <c r="S203">
        <f>IF([2]Entry!$G$206="","",[2]Entry!$G$206)</f>
        <v/>
      </c>
      <c r="T203">
        <f>IF([2]Entry!$J$206="","",[2]Entry!$J$206)</f>
        <v/>
      </c>
      <c r="U203">
        <f>IF([2]Entry!$K$206="","",[2]Entry!$K$206)</f>
        <v/>
      </c>
      <c r="V203">
        <f>IF([2]Entry!$L$206="","",[2]Entry!$L$206)</f>
        <v/>
      </c>
      <c r="W203">
        <f>IF([2]Entry!$M$206="","",[2]Entry!$M$206)</f>
        <v/>
      </c>
      <c r="X203">
        <f>IF([2]Entry!$N$206="","",[2]Entry!$N$206)</f>
        <v/>
      </c>
      <c r="Y203">
        <f>IF([2]Entry!$R$206="","",[2]Entry!$R$206)</f>
        <v/>
      </c>
    </row>
    <row r="204">
      <c r="J204">
        <f>IF([1]Accounts!$D$205="","",[1]Accounts!$A$205)</f>
        <v/>
      </c>
      <c r="K204">
        <f>IF([1]Accounts!$D$205="","",[1]Accounts!$B$205)</f>
        <v/>
      </c>
      <c r="L204">
        <f>IF([1]Accounts!$D$205="","",[1]Accounts!$C$205)</f>
        <v/>
      </c>
      <c r="M204">
        <f>IF([1]Accounts!$D$205="","",[1]Accounts!$D$205)</f>
        <v/>
      </c>
      <c r="P204">
        <f>IF([2]Entry!$C$207="","",[2]Entry!$C$207)</f>
        <v/>
      </c>
      <c r="Q204">
        <f>IF([2]Entry!$D$207="","",[2]Entry!$D$207)</f>
        <v/>
      </c>
      <c r="R204">
        <f>IF([2]Entry!$E$207="","",[2]Entry!$E$207)</f>
        <v/>
      </c>
      <c r="S204">
        <f>IF([2]Entry!$G$207="","",[2]Entry!$G$207)</f>
        <v/>
      </c>
      <c r="T204">
        <f>IF([2]Entry!$J$207="","",[2]Entry!$J$207)</f>
        <v/>
      </c>
      <c r="U204">
        <f>IF([2]Entry!$K$207="","",[2]Entry!$K$207)</f>
        <v/>
      </c>
      <c r="V204">
        <f>IF([2]Entry!$L$207="","",[2]Entry!$L$207)</f>
        <v/>
      </c>
      <c r="W204">
        <f>IF([2]Entry!$M$207="","",[2]Entry!$M$207)</f>
        <v/>
      </c>
      <c r="X204">
        <f>IF([2]Entry!$N$207="","",[2]Entry!$N$207)</f>
        <v/>
      </c>
      <c r="Y204">
        <f>IF([2]Entry!$R$207="","",[2]Entry!$R$207)</f>
        <v/>
      </c>
    </row>
    <row r="205">
      <c r="J205">
        <f>IF([1]Accounts!$D$206="","",[1]Accounts!$A$206)</f>
        <v/>
      </c>
      <c r="K205">
        <f>IF([1]Accounts!$D$206="","",[1]Accounts!$B$206)</f>
        <v/>
      </c>
      <c r="L205">
        <f>IF([1]Accounts!$D$206="","",[1]Accounts!$C$206)</f>
        <v/>
      </c>
      <c r="M205">
        <f>IF([1]Accounts!$D$206="","",[1]Accounts!$D$206)</f>
        <v/>
      </c>
      <c r="P205">
        <f>IF([2]Entry!$C$208="","",[2]Entry!$C$208)</f>
        <v/>
      </c>
      <c r="Q205">
        <f>IF([2]Entry!$D$208="","",[2]Entry!$D$208)</f>
        <v/>
      </c>
      <c r="R205">
        <f>IF([2]Entry!$E$208="","",[2]Entry!$E$208)</f>
        <v/>
      </c>
      <c r="S205">
        <f>IF([2]Entry!$G$208="","",[2]Entry!$G$208)</f>
        <v/>
      </c>
      <c r="T205">
        <f>IF([2]Entry!$J$208="","",[2]Entry!$J$208)</f>
        <v/>
      </c>
      <c r="U205">
        <f>IF([2]Entry!$K$208="","",[2]Entry!$K$208)</f>
        <v/>
      </c>
      <c r="V205">
        <f>IF([2]Entry!$L$208="","",[2]Entry!$L$208)</f>
        <v/>
      </c>
      <c r="W205">
        <f>IF([2]Entry!$M$208="","",[2]Entry!$M$208)</f>
        <v/>
      </c>
      <c r="X205">
        <f>IF([2]Entry!$N$208="","",[2]Entry!$N$208)</f>
        <v/>
      </c>
      <c r="Y205">
        <f>IF([2]Entry!$R$208="","",[2]Entry!$R$208)</f>
        <v/>
      </c>
    </row>
    <row r="206">
      <c r="J206">
        <f>IF([1]Accounts!$D$207="","",[1]Accounts!$A$207)</f>
        <v/>
      </c>
      <c r="K206">
        <f>IF([1]Accounts!$D$207="","",[1]Accounts!$B$207)</f>
        <v/>
      </c>
      <c r="L206">
        <f>IF([1]Accounts!$D$207="","",[1]Accounts!$C$207)</f>
        <v/>
      </c>
      <c r="M206">
        <f>IF([1]Accounts!$D$207="","",[1]Accounts!$D$207)</f>
        <v/>
      </c>
      <c r="P206">
        <f>IF([2]Entry!$C$209="","",[2]Entry!$C$209)</f>
        <v/>
      </c>
      <c r="Q206">
        <f>IF([2]Entry!$D$209="","",[2]Entry!$D$209)</f>
        <v/>
      </c>
      <c r="R206">
        <f>IF([2]Entry!$E$209="","",[2]Entry!$E$209)</f>
        <v/>
      </c>
      <c r="S206">
        <f>IF([2]Entry!$G$209="","",[2]Entry!$G$209)</f>
        <v/>
      </c>
      <c r="T206">
        <f>IF([2]Entry!$J$209="","",[2]Entry!$J$209)</f>
        <v/>
      </c>
      <c r="U206">
        <f>IF([2]Entry!$K$209="","",[2]Entry!$K$209)</f>
        <v/>
      </c>
      <c r="V206">
        <f>IF([2]Entry!$L$209="","",[2]Entry!$L$209)</f>
        <v/>
      </c>
      <c r="W206">
        <f>IF([2]Entry!$M$209="","",[2]Entry!$M$209)</f>
        <v/>
      </c>
      <c r="X206">
        <f>IF([2]Entry!$N$209="","",[2]Entry!$N$209)</f>
        <v/>
      </c>
      <c r="Y206">
        <f>IF([2]Entry!$R$209="","",[2]Entry!$R$209)</f>
        <v/>
      </c>
    </row>
    <row r="207">
      <c r="J207">
        <f>IF([1]Accounts!$D$208="","",[1]Accounts!$A$208)</f>
        <v/>
      </c>
      <c r="K207">
        <f>IF([1]Accounts!$D$208="","",[1]Accounts!$B$208)</f>
        <v/>
      </c>
      <c r="L207">
        <f>IF([1]Accounts!$D$208="","",[1]Accounts!$C$208)</f>
        <v/>
      </c>
      <c r="M207">
        <f>IF([1]Accounts!$D$208="","",[1]Accounts!$D$208)</f>
        <v/>
      </c>
      <c r="P207">
        <f>IF([2]Entry!$C$210="","",[2]Entry!$C$210)</f>
        <v/>
      </c>
      <c r="Q207">
        <f>IF([2]Entry!$D$210="","",[2]Entry!$D$210)</f>
        <v/>
      </c>
      <c r="R207">
        <f>IF([2]Entry!$E$210="","",[2]Entry!$E$210)</f>
        <v/>
      </c>
      <c r="S207">
        <f>IF([2]Entry!$G$210="","",[2]Entry!$G$210)</f>
        <v/>
      </c>
      <c r="T207">
        <f>IF([2]Entry!$J$210="","",[2]Entry!$J$210)</f>
        <v/>
      </c>
      <c r="U207">
        <f>IF([2]Entry!$K$210="","",[2]Entry!$K$210)</f>
        <v/>
      </c>
      <c r="V207">
        <f>IF([2]Entry!$L$210="","",[2]Entry!$L$210)</f>
        <v/>
      </c>
      <c r="W207">
        <f>IF([2]Entry!$M$210="","",[2]Entry!$M$210)</f>
        <v/>
      </c>
      <c r="X207">
        <f>IF([2]Entry!$N$210="","",[2]Entry!$N$210)</f>
        <v/>
      </c>
      <c r="Y207">
        <f>IF([2]Entry!$R$210="","",[2]Entry!$R$210)</f>
        <v/>
      </c>
    </row>
    <row r="208">
      <c r="J208">
        <f>IF([1]Accounts!$D$209="","",[1]Accounts!$A$209)</f>
        <v/>
      </c>
      <c r="K208">
        <f>IF([1]Accounts!$D$209="","",[1]Accounts!$B$209)</f>
        <v/>
      </c>
      <c r="L208">
        <f>IF([1]Accounts!$D$209="","",[1]Accounts!$C$209)</f>
        <v/>
      </c>
      <c r="M208">
        <f>IF([1]Accounts!$D$209="","",[1]Accounts!$D$209)</f>
        <v/>
      </c>
      <c r="P208">
        <f>IF([2]Entry!$C$211="","",[2]Entry!$C$211)</f>
        <v/>
      </c>
      <c r="Q208">
        <f>IF([2]Entry!$D$211="","",[2]Entry!$D$211)</f>
        <v/>
      </c>
      <c r="R208">
        <f>IF([2]Entry!$E$211="","",[2]Entry!$E$211)</f>
        <v/>
      </c>
      <c r="S208">
        <f>IF([2]Entry!$G$211="","",[2]Entry!$G$211)</f>
        <v/>
      </c>
      <c r="T208">
        <f>IF([2]Entry!$J$211="","",[2]Entry!$J$211)</f>
        <v/>
      </c>
      <c r="U208">
        <f>IF([2]Entry!$K$211="","",[2]Entry!$K$211)</f>
        <v/>
      </c>
      <c r="V208">
        <f>IF([2]Entry!$L$211="","",[2]Entry!$L$211)</f>
        <v/>
      </c>
      <c r="W208">
        <f>IF([2]Entry!$M$211="","",[2]Entry!$M$211)</f>
        <v/>
      </c>
      <c r="X208">
        <f>IF([2]Entry!$N$211="","",[2]Entry!$N$211)</f>
        <v/>
      </c>
      <c r="Y208">
        <f>IF([2]Entry!$R$211="","",[2]Entry!$R$211)</f>
        <v/>
      </c>
    </row>
    <row r="209">
      <c r="J209">
        <f>IF([1]Accounts!$D$210="","",[1]Accounts!$A$210)</f>
        <v/>
      </c>
      <c r="K209">
        <f>IF([1]Accounts!$D$210="","",[1]Accounts!$B$210)</f>
        <v/>
      </c>
      <c r="L209">
        <f>IF([1]Accounts!$D$210="","",[1]Accounts!$C$210)</f>
        <v/>
      </c>
      <c r="M209">
        <f>IF([1]Accounts!$D$210="","",[1]Accounts!$D$210)</f>
        <v/>
      </c>
      <c r="P209">
        <f>IF([2]Entry!$C$212="","",[2]Entry!$C$212)</f>
        <v/>
      </c>
      <c r="Q209">
        <f>IF([2]Entry!$D$212="","",[2]Entry!$D$212)</f>
        <v/>
      </c>
      <c r="R209">
        <f>IF([2]Entry!$E$212="","",[2]Entry!$E$212)</f>
        <v/>
      </c>
      <c r="S209">
        <f>IF([2]Entry!$G$212="","",[2]Entry!$G$212)</f>
        <v/>
      </c>
      <c r="T209">
        <f>IF([2]Entry!$J$212="","",[2]Entry!$J$212)</f>
        <v/>
      </c>
      <c r="U209">
        <f>IF([2]Entry!$K$212="","",[2]Entry!$K$212)</f>
        <v/>
      </c>
      <c r="V209">
        <f>IF([2]Entry!$L$212="","",[2]Entry!$L$212)</f>
        <v/>
      </c>
      <c r="W209">
        <f>IF([2]Entry!$M$212="","",[2]Entry!$M$212)</f>
        <v/>
      </c>
      <c r="X209">
        <f>IF([2]Entry!$N$212="","",[2]Entry!$N$212)</f>
        <v/>
      </c>
      <c r="Y209">
        <f>IF([2]Entry!$R$212="","",[2]Entry!$R$212)</f>
        <v/>
      </c>
    </row>
    <row r="210">
      <c r="J210">
        <f>IF([1]Accounts!$D$211="","",[1]Accounts!$A$211)</f>
        <v/>
      </c>
      <c r="K210">
        <f>IF([1]Accounts!$D$211="","",[1]Accounts!$B$211)</f>
        <v/>
      </c>
      <c r="L210">
        <f>IF([1]Accounts!$D$211="","",[1]Accounts!$C$211)</f>
        <v/>
      </c>
      <c r="M210">
        <f>IF([1]Accounts!$D$211="","",[1]Accounts!$D$211)</f>
        <v/>
      </c>
      <c r="P210">
        <f>IF([2]Entry!$C$213="","",[2]Entry!$C$213)</f>
        <v/>
      </c>
      <c r="Q210">
        <f>IF([2]Entry!$D$213="","",[2]Entry!$D$213)</f>
        <v/>
      </c>
      <c r="R210">
        <f>IF([2]Entry!$E$213="","",[2]Entry!$E$213)</f>
        <v/>
      </c>
      <c r="S210">
        <f>IF([2]Entry!$G$213="","",[2]Entry!$G$213)</f>
        <v/>
      </c>
      <c r="T210">
        <f>IF([2]Entry!$J$213="","",[2]Entry!$J$213)</f>
        <v/>
      </c>
      <c r="U210">
        <f>IF([2]Entry!$K$213="","",[2]Entry!$K$213)</f>
        <v/>
      </c>
      <c r="V210">
        <f>IF([2]Entry!$L$213="","",[2]Entry!$L$213)</f>
        <v/>
      </c>
      <c r="W210">
        <f>IF([2]Entry!$M$213="","",[2]Entry!$M$213)</f>
        <v/>
      </c>
      <c r="X210">
        <f>IF([2]Entry!$N$213="","",[2]Entry!$N$213)</f>
        <v/>
      </c>
      <c r="Y210">
        <f>IF([2]Entry!$R$213="","",[2]Entry!$R$213)</f>
        <v/>
      </c>
    </row>
    <row r="211">
      <c r="J211">
        <f>IF([1]Accounts!$D$212="","",[1]Accounts!$A$212)</f>
        <v/>
      </c>
      <c r="K211">
        <f>IF([1]Accounts!$D$212="","",[1]Accounts!$B$212)</f>
        <v/>
      </c>
      <c r="L211">
        <f>IF([1]Accounts!$D$212="","",[1]Accounts!$C$212)</f>
        <v/>
      </c>
      <c r="M211">
        <f>IF([1]Accounts!$D$212="","",[1]Accounts!$D$212)</f>
        <v/>
      </c>
      <c r="P211">
        <f>IF([2]Entry!$C$214="","",[2]Entry!$C$214)</f>
        <v/>
      </c>
      <c r="Q211">
        <f>IF([2]Entry!$D$214="","",[2]Entry!$D$214)</f>
        <v/>
      </c>
      <c r="R211">
        <f>IF([2]Entry!$E$214="","",[2]Entry!$E$214)</f>
        <v/>
      </c>
      <c r="S211">
        <f>IF([2]Entry!$G$214="","",[2]Entry!$G$214)</f>
        <v/>
      </c>
      <c r="T211">
        <f>IF([2]Entry!$J$214="","",[2]Entry!$J$214)</f>
        <v/>
      </c>
      <c r="U211">
        <f>IF([2]Entry!$K$214="","",[2]Entry!$K$214)</f>
        <v/>
      </c>
      <c r="V211">
        <f>IF([2]Entry!$L$214="","",[2]Entry!$L$214)</f>
        <v/>
      </c>
      <c r="W211">
        <f>IF([2]Entry!$M$214="","",[2]Entry!$M$214)</f>
        <v/>
      </c>
      <c r="X211">
        <f>IF([2]Entry!$N$214="","",[2]Entry!$N$214)</f>
        <v/>
      </c>
      <c r="Y211">
        <f>IF([2]Entry!$R$214="","",[2]Entry!$R$214)</f>
        <v/>
      </c>
    </row>
    <row r="212">
      <c r="J212">
        <f>IF([1]Accounts!$D$213="","",[1]Accounts!$A$213)</f>
        <v/>
      </c>
      <c r="K212">
        <f>IF([1]Accounts!$D$213="","",[1]Accounts!$B$213)</f>
        <v/>
      </c>
      <c r="L212">
        <f>IF([1]Accounts!$D$213="","",[1]Accounts!$C$213)</f>
        <v/>
      </c>
      <c r="M212">
        <f>IF([1]Accounts!$D$213="","",[1]Accounts!$D$213)</f>
        <v/>
      </c>
      <c r="P212">
        <f>IF([2]Entry!$C$215="","",[2]Entry!$C$215)</f>
        <v/>
      </c>
      <c r="Q212">
        <f>IF([2]Entry!$D$215="","",[2]Entry!$D$215)</f>
        <v/>
      </c>
      <c r="R212">
        <f>IF([2]Entry!$E$215="","",[2]Entry!$E$215)</f>
        <v/>
      </c>
      <c r="S212">
        <f>IF([2]Entry!$G$215="","",[2]Entry!$G$215)</f>
        <v/>
      </c>
      <c r="T212">
        <f>IF([2]Entry!$J$215="","",[2]Entry!$J$215)</f>
        <v/>
      </c>
      <c r="U212">
        <f>IF([2]Entry!$K$215="","",[2]Entry!$K$215)</f>
        <v/>
      </c>
      <c r="V212">
        <f>IF([2]Entry!$L$215="","",[2]Entry!$L$215)</f>
        <v/>
      </c>
      <c r="W212">
        <f>IF([2]Entry!$M$215="","",[2]Entry!$M$215)</f>
        <v/>
      </c>
      <c r="X212">
        <f>IF([2]Entry!$N$215="","",[2]Entry!$N$215)</f>
        <v/>
      </c>
      <c r="Y212">
        <f>IF([2]Entry!$R$215="","",[2]Entry!$R$215)</f>
        <v/>
      </c>
    </row>
    <row r="213">
      <c r="J213">
        <f>IF([1]Accounts!$D$214="","",[1]Accounts!$A$214)</f>
        <v/>
      </c>
      <c r="K213">
        <f>IF([1]Accounts!$D$214="","",[1]Accounts!$B$214)</f>
        <v/>
      </c>
      <c r="L213">
        <f>IF([1]Accounts!$D$214="","",[1]Accounts!$C$214)</f>
        <v/>
      </c>
      <c r="M213">
        <f>IF([1]Accounts!$D$214="","",[1]Accounts!$D$214)</f>
        <v/>
      </c>
      <c r="P213">
        <f>IF([2]Entry!$C$216="","",[2]Entry!$C$216)</f>
        <v/>
      </c>
      <c r="Q213">
        <f>IF([2]Entry!$D$216="","",[2]Entry!$D$216)</f>
        <v/>
      </c>
      <c r="R213">
        <f>IF([2]Entry!$E$216="","",[2]Entry!$E$216)</f>
        <v/>
      </c>
      <c r="S213">
        <f>IF([2]Entry!$G$216="","",[2]Entry!$G$216)</f>
        <v/>
      </c>
      <c r="T213">
        <f>IF([2]Entry!$J$216="","",[2]Entry!$J$216)</f>
        <v/>
      </c>
      <c r="U213">
        <f>IF([2]Entry!$K$216="","",[2]Entry!$K$216)</f>
        <v/>
      </c>
      <c r="V213">
        <f>IF([2]Entry!$L$216="","",[2]Entry!$L$216)</f>
        <v/>
      </c>
      <c r="W213">
        <f>IF([2]Entry!$M$216="","",[2]Entry!$M$216)</f>
        <v/>
      </c>
      <c r="X213">
        <f>IF([2]Entry!$N$216="","",[2]Entry!$N$216)</f>
        <v/>
      </c>
      <c r="Y213">
        <f>IF([2]Entry!$R$216="","",[2]Entry!$R$216)</f>
        <v/>
      </c>
    </row>
    <row r="214">
      <c r="J214">
        <f>IF([1]Accounts!$D$215="","",[1]Accounts!$A$215)</f>
        <v/>
      </c>
      <c r="K214">
        <f>IF([1]Accounts!$D$215="","",[1]Accounts!$B$215)</f>
        <v/>
      </c>
      <c r="L214">
        <f>IF([1]Accounts!$D$215="","",[1]Accounts!$C$215)</f>
        <v/>
      </c>
      <c r="M214">
        <f>IF([1]Accounts!$D$215="","",[1]Accounts!$D$215)</f>
        <v/>
      </c>
      <c r="P214">
        <f>IF([2]Entry!$C$217="","",[2]Entry!$C$217)</f>
        <v/>
      </c>
      <c r="Q214">
        <f>IF([2]Entry!$D$217="","",[2]Entry!$D$217)</f>
        <v/>
      </c>
      <c r="R214">
        <f>IF([2]Entry!$E$217="","",[2]Entry!$E$217)</f>
        <v/>
      </c>
      <c r="S214">
        <f>IF([2]Entry!$G$217="","",[2]Entry!$G$217)</f>
        <v/>
      </c>
      <c r="T214">
        <f>IF([2]Entry!$J$217="","",[2]Entry!$J$217)</f>
        <v/>
      </c>
      <c r="U214">
        <f>IF([2]Entry!$K$217="","",[2]Entry!$K$217)</f>
        <v/>
      </c>
      <c r="V214">
        <f>IF([2]Entry!$L$217="","",[2]Entry!$L$217)</f>
        <v/>
      </c>
      <c r="W214">
        <f>IF([2]Entry!$M$217="","",[2]Entry!$M$217)</f>
        <v/>
      </c>
      <c r="X214">
        <f>IF([2]Entry!$N$217="","",[2]Entry!$N$217)</f>
        <v/>
      </c>
      <c r="Y214">
        <f>IF([2]Entry!$R$217="","",[2]Entry!$R$217)</f>
        <v/>
      </c>
    </row>
    <row r="215">
      <c r="J215">
        <f>IF([1]Accounts!$D$216="","",[1]Accounts!$A$216)</f>
        <v/>
      </c>
      <c r="K215">
        <f>IF([1]Accounts!$D$216="","",[1]Accounts!$B$216)</f>
        <v/>
      </c>
      <c r="L215">
        <f>IF([1]Accounts!$D$216="","",[1]Accounts!$C$216)</f>
        <v/>
      </c>
      <c r="M215">
        <f>IF([1]Accounts!$D$216="","",[1]Accounts!$D$216)</f>
        <v/>
      </c>
      <c r="P215">
        <f>IF([2]Entry!$C$218="","",[2]Entry!$C$218)</f>
        <v/>
      </c>
      <c r="Q215">
        <f>IF([2]Entry!$D$218="","",[2]Entry!$D$218)</f>
        <v/>
      </c>
      <c r="R215">
        <f>IF([2]Entry!$E$218="","",[2]Entry!$E$218)</f>
        <v/>
      </c>
      <c r="S215">
        <f>IF([2]Entry!$G$218="","",[2]Entry!$G$218)</f>
        <v/>
      </c>
      <c r="T215">
        <f>IF([2]Entry!$J$218="","",[2]Entry!$J$218)</f>
        <v/>
      </c>
      <c r="U215">
        <f>IF([2]Entry!$K$218="","",[2]Entry!$K$218)</f>
        <v/>
      </c>
      <c r="V215">
        <f>IF([2]Entry!$L$218="","",[2]Entry!$L$218)</f>
        <v/>
      </c>
      <c r="W215">
        <f>IF([2]Entry!$M$218="","",[2]Entry!$M$218)</f>
        <v/>
      </c>
      <c r="X215">
        <f>IF([2]Entry!$N$218="","",[2]Entry!$N$218)</f>
        <v/>
      </c>
      <c r="Y215">
        <f>IF([2]Entry!$R$218="","",[2]Entry!$R$218)</f>
        <v/>
      </c>
    </row>
    <row r="216">
      <c r="J216">
        <f>IF([1]Accounts!$D$217="","",[1]Accounts!$A$217)</f>
        <v/>
      </c>
      <c r="K216">
        <f>IF([1]Accounts!$D$217="","",[1]Accounts!$B$217)</f>
        <v/>
      </c>
      <c r="L216">
        <f>IF([1]Accounts!$D$217="","",[1]Accounts!$C$217)</f>
        <v/>
      </c>
      <c r="M216">
        <f>IF([1]Accounts!$D$217="","",[1]Accounts!$D$217)</f>
        <v/>
      </c>
      <c r="P216">
        <f>IF([2]Entry!$C$219="","",[2]Entry!$C$219)</f>
        <v/>
      </c>
      <c r="Q216">
        <f>IF([2]Entry!$D$219="","",[2]Entry!$D$219)</f>
        <v/>
      </c>
      <c r="R216">
        <f>IF([2]Entry!$E$219="","",[2]Entry!$E$219)</f>
        <v/>
      </c>
      <c r="S216">
        <f>IF([2]Entry!$G$219="","",[2]Entry!$G$219)</f>
        <v/>
      </c>
      <c r="T216">
        <f>IF([2]Entry!$J$219="","",[2]Entry!$J$219)</f>
        <v/>
      </c>
      <c r="U216">
        <f>IF([2]Entry!$K$219="","",[2]Entry!$K$219)</f>
        <v/>
      </c>
      <c r="V216">
        <f>IF([2]Entry!$L$219="","",[2]Entry!$L$219)</f>
        <v/>
      </c>
      <c r="W216">
        <f>IF([2]Entry!$M$219="","",[2]Entry!$M$219)</f>
        <v/>
      </c>
      <c r="X216">
        <f>IF([2]Entry!$N$219="","",[2]Entry!$N$219)</f>
        <v/>
      </c>
      <c r="Y216">
        <f>IF([2]Entry!$R$219="","",[2]Entry!$R$219)</f>
        <v/>
      </c>
    </row>
    <row r="217">
      <c r="J217">
        <f>IF([1]Accounts!$D$218="","",[1]Accounts!$A$218)</f>
        <v/>
      </c>
      <c r="K217">
        <f>IF([1]Accounts!$D$218="","",[1]Accounts!$B$218)</f>
        <v/>
      </c>
      <c r="L217">
        <f>IF([1]Accounts!$D$218="","",[1]Accounts!$C$218)</f>
        <v/>
      </c>
      <c r="M217">
        <f>IF([1]Accounts!$D$218="","",[1]Accounts!$D$218)</f>
        <v/>
      </c>
      <c r="P217">
        <f>IF([2]Entry!$C$220="","",[2]Entry!$C$220)</f>
        <v/>
      </c>
      <c r="Q217">
        <f>IF([2]Entry!$D$220="","",[2]Entry!$D$220)</f>
        <v/>
      </c>
      <c r="R217">
        <f>IF([2]Entry!$E$220="","",[2]Entry!$E$220)</f>
        <v/>
      </c>
      <c r="S217">
        <f>IF([2]Entry!$G$220="","",[2]Entry!$G$220)</f>
        <v/>
      </c>
      <c r="T217">
        <f>IF([2]Entry!$J$220="","",[2]Entry!$J$220)</f>
        <v/>
      </c>
      <c r="U217">
        <f>IF([2]Entry!$K$220="","",[2]Entry!$K$220)</f>
        <v/>
      </c>
      <c r="V217">
        <f>IF([2]Entry!$L$220="","",[2]Entry!$L$220)</f>
        <v/>
      </c>
      <c r="W217">
        <f>IF([2]Entry!$M$220="","",[2]Entry!$M$220)</f>
        <v/>
      </c>
      <c r="X217">
        <f>IF([2]Entry!$N$220="","",[2]Entry!$N$220)</f>
        <v/>
      </c>
      <c r="Y217">
        <f>IF([2]Entry!$R$220="","",[2]Entry!$R$220)</f>
        <v/>
      </c>
    </row>
    <row r="218">
      <c r="J218">
        <f>IF([1]Accounts!$D$219="","",[1]Accounts!$A$219)</f>
        <v/>
      </c>
      <c r="K218">
        <f>IF([1]Accounts!$D$219="","",[1]Accounts!$B$219)</f>
        <v/>
      </c>
      <c r="L218">
        <f>IF([1]Accounts!$D$219="","",[1]Accounts!$C$219)</f>
        <v/>
      </c>
      <c r="M218">
        <f>IF([1]Accounts!$D$219="","",[1]Accounts!$D$219)</f>
        <v/>
      </c>
      <c r="P218">
        <f>IF([2]Entry!$C$221="","",[2]Entry!$C$221)</f>
        <v/>
      </c>
      <c r="Q218">
        <f>IF([2]Entry!$D$221="","",[2]Entry!$D$221)</f>
        <v/>
      </c>
      <c r="R218">
        <f>IF([2]Entry!$E$221="","",[2]Entry!$E$221)</f>
        <v/>
      </c>
      <c r="S218">
        <f>IF([2]Entry!$G$221="","",[2]Entry!$G$221)</f>
        <v/>
      </c>
      <c r="T218">
        <f>IF([2]Entry!$J$221="","",[2]Entry!$J$221)</f>
        <v/>
      </c>
      <c r="U218">
        <f>IF([2]Entry!$K$221="","",[2]Entry!$K$221)</f>
        <v/>
      </c>
      <c r="V218">
        <f>IF([2]Entry!$L$221="","",[2]Entry!$L$221)</f>
        <v/>
      </c>
      <c r="W218">
        <f>IF([2]Entry!$M$221="","",[2]Entry!$M$221)</f>
        <v/>
      </c>
      <c r="X218">
        <f>IF([2]Entry!$N$221="","",[2]Entry!$N$221)</f>
        <v/>
      </c>
      <c r="Y218">
        <f>IF([2]Entry!$R$221="","",[2]Entry!$R$221)</f>
        <v/>
      </c>
    </row>
    <row r="219">
      <c r="J219">
        <f>IF([1]Accounts!$D$220="","",[1]Accounts!$A$220)</f>
        <v/>
      </c>
      <c r="K219">
        <f>IF([1]Accounts!$D$220="","",[1]Accounts!$B$220)</f>
        <v/>
      </c>
      <c r="L219">
        <f>IF([1]Accounts!$D$220="","",[1]Accounts!$C$220)</f>
        <v/>
      </c>
      <c r="M219">
        <f>IF([1]Accounts!$D$220="","",[1]Accounts!$D$220)</f>
        <v/>
      </c>
      <c r="P219">
        <f>IF([2]Entry!$C$222="","",[2]Entry!$C$222)</f>
        <v/>
      </c>
      <c r="Q219">
        <f>IF([2]Entry!$D$222="","",[2]Entry!$D$222)</f>
        <v/>
      </c>
      <c r="R219">
        <f>IF([2]Entry!$E$222="","",[2]Entry!$E$222)</f>
        <v/>
      </c>
      <c r="S219">
        <f>IF([2]Entry!$G$222="","",[2]Entry!$G$222)</f>
        <v/>
      </c>
      <c r="T219">
        <f>IF([2]Entry!$J$222="","",[2]Entry!$J$222)</f>
        <v/>
      </c>
      <c r="U219">
        <f>IF([2]Entry!$K$222="","",[2]Entry!$K$222)</f>
        <v/>
      </c>
      <c r="V219">
        <f>IF([2]Entry!$L$222="","",[2]Entry!$L$222)</f>
        <v/>
      </c>
      <c r="W219">
        <f>IF([2]Entry!$M$222="","",[2]Entry!$M$222)</f>
        <v/>
      </c>
      <c r="X219">
        <f>IF([2]Entry!$N$222="","",[2]Entry!$N$222)</f>
        <v/>
      </c>
      <c r="Y219">
        <f>IF([2]Entry!$R$222="","",[2]Entry!$R$222)</f>
        <v/>
      </c>
    </row>
    <row r="220">
      <c r="J220">
        <f>IF([1]Accounts!$D$221="","",[1]Accounts!$A$221)</f>
        <v/>
      </c>
      <c r="K220">
        <f>IF([1]Accounts!$D$221="","",[1]Accounts!$B$221)</f>
        <v/>
      </c>
      <c r="L220">
        <f>IF([1]Accounts!$D$221="","",[1]Accounts!$C$221)</f>
        <v/>
      </c>
      <c r="M220">
        <f>IF([1]Accounts!$D$221="","",[1]Accounts!$D$221)</f>
        <v/>
      </c>
      <c r="P220">
        <f>IF([2]Entry!$C$223="","",[2]Entry!$C$223)</f>
        <v/>
      </c>
      <c r="Q220">
        <f>IF([2]Entry!$D$223="","",[2]Entry!$D$223)</f>
        <v/>
      </c>
      <c r="R220">
        <f>IF([2]Entry!$E$223="","",[2]Entry!$E$223)</f>
        <v/>
      </c>
      <c r="S220">
        <f>IF([2]Entry!$G$223="","",[2]Entry!$G$223)</f>
        <v/>
      </c>
      <c r="T220">
        <f>IF([2]Entry!$J$223="","",[2]Entry!$J$223)</f>
        <v/>
      </c>
      <c r="U220">
        <f>IF([2]Entry!$K$223="","",[2]Entry!$K$223)</f>
        <v/>
      </c>
      <c r="V220">
        <f>IF([2]Entry!$L$223="","",[2]Entry!$L$223)</f>
        <v/>
      </c>
      <c r="W220">
        <f>IF([2]Entry!$M$223="","",[2]Entry!$M$223)</f>
        <v/>
      </c>
      <c r="X220">
        <f>IF([2]Entry!$N$223="","",[2]Entry!$N$223)</f>
        <v/>
      </c>
      <c r="Y220">
        <f>IF([2]Entry!$R$223="","",[2]Entry!$R$223)</f>
        <v/>
      </c>
    </row>
    <row r="221">
      <c r="J221">
        <f>IF([1]Accounts!$D$222="","",[1]Accounts!$A$222)</f>
        <v/>
      </c>
      <c r="K221">
        <f>IF([1]Accounts!$D$222="","",[1]Accounts!$B$222)</f>
        <v/>
      </c>
      <c r="L221">
        <f>IF([1]Accounts!$D$222="","",[1]Accounts!$C$222)</f>
        <v/>
      </c>
      <c r="M221">
        <f>IF([1]Accounts!$D$222="","",[1]Accounts!$D$222)</f>
        <v/>
      </c>
      <c r="P221">
        <f>IF([2]Entry!$C$224="","",[2]Entry!$C$224)</f>
        <v/>
      </c>
      <c r="Q221">
        <f>IF([2]Entry!$D$224="","",[2]Entry!$D$224)</f>
        <v/>
      </c>
      <c r="R221">
        <f>IF([2]Entry!$E$224="","",[2]Entry!$E$224)</f>
        <v/>
      </c>
      <c r="S221">
        <f>IF([2]Entry!$G$224="","",[2]Entry!$G$224)</f>
        <v/>
      </c>
      <c r="T221">
        <f>IF([2]Entry!$J$224="","",[2]Entry!$J$224)</f>
        <v/>
      </c>
      <c r="U221">
        <f>IF([2]Entry!$K$224="","",[2]Entry!$K$224)</f>
        <v/>
      </c>
      <c r="V221">
        <f>IF([2]Entry!$L$224="","",[2]Entry!$L$224)</f>
        <v/>
      </c>
      <c r="W221">
        <f>IF([2]Entry!$M$224="","",[2]Entry!$M$224)</f>
        <v/>
      </c>
      <c r="X221">
        <f>IF([2]Entry!$N$224="","",[2]Entry!$N$224)</f>
        <v/>
      </c>
      <c r="Y221">
        <f>IF([2]Entry!$R$224="","",[2]Entry!$R$224)</f>
        <v/>
      </c>
    </row>
    <row r="222">
      <c r="J222">
        <f>IF([1]Accounts!$D$223="","",[1]Accounts!$A$223)</f>
        <v/>
      </c>
      <c r="K222">
        <f>IF([1]Accounts!$D$223="","",[1]Accounts!$B$223)</f>
        <v/>
      </c>
      <c r="L222">
        <f>IF([1]Accounts!$D$223="","",[1]Accounts!$C$223)</f>
        <v/>
      </c>
      <c r="M222">
        <f>IF([1]Accounts!$D$223="","",[1]Accounts!$D$223)</f>
        <v/>
      </c>
      <c r="P222">
        <f>IF([2]Entry!$C$225="","",[2]Entry!$C$225)</f>
        <v/>
      </c>
      <c r="Q222">
        <f>IF([2]Entry!$D$225="","",[2]Entry!$D$225)</f>
        <v/>
      </c>
      <c r="R222">
        <f>IF([2]Entry!$E$225="","",[2]Entry!$E$225)</f>
        <v/>
      </c>
      <c r="S222">
        <f>IF([2]Entry!$G$225="","",[2]Entry!$G$225)</f>
        <v/>
      </c>
      <c r="T222">
        <f>IF([2]Entry!$J$225="","",[2]Entry!$J$225)</f>
        <v/>
      </c>
      <c r="U222">
        <f>IF([2]Entry!$K$225="","",[2]Entry!$K$225)</f>
        <v/>
      </c>
      <c r="V222">
        <f>IF([2]Entry!$L$225="","",[2]Entry!$L$225)</f>
        <v/>
      </c>
      <c r="W222">
        <f>IF([2]Entry!$M$225="","",[2]Entry!$M$225)</f>
        <v/>
      </c>
      <c r="X222">
        <f>IF([2]Entry!$N$225="","",[2]Entry!$N$225)</f>
        <v/>
      </c>
      <c r="Y222">
        <f>IF([2]Entry!$R$225="","",[2]Entry!$R$225)</f>
        <v/>
      </c>
    </row>
    <row r="223">
      <c r="J223">
        <f>IF([1]Accounts!$D$224="","",[1]Accounts!$A$224)</f>
        <v/>
      </c>
      <c r="K223">
        <f>IF([1]Accounts!$D$224="","",[1]Accounts!$B$224)</f>
        <v/>
      </c>
      <c r="L223">
        <f>IF([1]Accounts!$D$224="","",[1]Accounts!$C$224)</f>
        <v/>
      </c>
      <c r="M223">
        <f>IF([1]Accounts!$D$224="","",[1]Accounts!$D$224)</f>
        <v/>
      </c>
      <c r="P223">
        <f>IF([2]Entry!$C$226="","",[2]Entry!$C$226)</f>
        <v/>
      </c>
      <c r="Q223">
        <f>IF([2]Entry!$D$226="","",[2]Entry!$D$226)</f>
        <v/>
      </c>
      <c r="R223">
        <f>IF([2]Entry!$E$226="","",[2]Entry!$E$226)</f>
        <v/>
      </c>
      <c r="S223">
        <f>IF([2]Entry!$G$226="","",[2]Entry!$G$226)</f>
        <v/>
      </c>
      <c r="T223">
        <f>IF([2]Entry!$J$226="","",[2]Entry!$J$226)</f>
        <v/>
      </c>
      <c r="U223">
        <f>IF([2]Entry!$K$226="","",[2]Entry!$K$226)</f>
        <v/>
      </c>
      <c r="V223">
        <f>IF([2]Entry!$L$226="","",[2]Entry!$L$226)</f>
        <v/>
      </c>
      <c r="W223">
        <f>IF([2]Entry!$M$226="","",[2]Entry!$M$226)</f>
        <v/>
      </c>
      <c r="X223">
        <f>IF([2]Entry!$N$226="","",[2]Entry!$N$226)</f>
        <v/>
      </c>
      <c r="Y223">
        <f>IF([2]Entry!$R$226="","",[2]Entry!$R$226)</f>
        <v/>
      </c>
    </row>
    <row r="224">
      <c r="J224">
        <f>IF([1]Accounts!$D$225="","",[1]Accounts!$A$225)</f>
        <v/>
      </c>
      <c r="K224">
        <f>IF([1]Accounts!$D$225="","",[1]Accounts!$B$225)</f>
        <v/>
      </c>
      <c r="L224">
        <f>IF([1]Accounts!$D$225="","",[1]Accounts!$C$225)</f>
        <v/>
      </c>
      <c r="M224">
        <f>IF([1]Accounts!$D$225="","",[1]Accounts!$D$225)</f>
        <v/>
      </c>
      <c r="P224">
        <f>IF([2]Entry!$C$227="","",[2]Entry!$C$227)</f>
        <v/>
      </c>
      <c r="Q224">
        <f>IF([2]Entry!$D$227="","",[2]Entry!$D$227)</f>
        <v/>
      </c>
      <c r="R224">
        <f>IF([2]Entry!$E$227="","",[2]Entry!$E$227)</f>
        <v/>
      </c>
      <c r="S224">
        <f>IF([2]Entry!$G$227="","",[2]Entry!$G$227)</f>
        <v/>
      </c>
      <c r="T224">
        <f>IF([2]Entry!$J$227="","",[2]Entry!$J$227)</f>
        <v/>
      </c>
      <c r="U224">
        <f>IF([2]Entry!$K$227="","",[2]Entry!$K$227)</f>
        <v/>
      </c>
      <c r="V224">
        <f>IF([2]Entry!$L$227="","",[2]Entry!$L$227)</f>
        <v/>
      </c>
      <c r="W224">
        <f>IF([2]Entry!$M$227="","",[2]Entry!$M$227)</f>
        <v/>
      </c>
      <c r="X224">
        <f>IF([2]Entry!$N$227="","",[2]Entry!$N$227)</f>
        <v/>
      </c>
      <c r="Y224">
        <f>IF([2]Entry!$R$227="","",[2]Entry!$R$227)</f>
        <v/>
      </c>
    </row>
    <row r="225">
      <c r="J225">
        <f>IF([1]Accounts!$D$226="","",[1]Accounts!$A$226)</f>
        <v/>
      </c>
      <c r="K225">
        <f>IF([1]Accounts!$D$226="","",[1]Accounts!$B$226)</f>
        <v/>
      </c>
      <c r="L225">
        <f>IF([1]Accounts!$D$226="","",[1]Accounts!$C$226)</f>
        <v/>
      </c>
      <c r="M225">
        <f>IF([1]Accounts!$D$226="","",[1]Accounts!$D$226)</f>
        <v/>
      </c>
      <c r="P225">
        <f>IF([2]Entry!$C$228="","",[2]Entry!$C$228)</f>
        <v/>
      </c>
      <c r="Q225">
        <f>IF([2]Entry!$D$228="","",[2]Entry!$D$228)</f>
        <v/>
      </c>
      <c r="R225">
        <f>IF([2]Entry!$E$228="","",[2]Entry!$E$228)</f>
        <v/>
      </c>
      <c r="S225">
        <f>IF([2]Entry!$G$228="","",[2]Entry!$G$228)</f>
        <v/>
      </c>
      <c r="T225">
        <f>IF([2]Entry!$J$228="","",[2]Entry!$J$228)</f>
        <v/>
      </c>
      <c r="U225">
        <f>IF([2]Entry!$K$228="","",[2]Entry!$K$228)</f>
        <v/>
      </c>
      <c r="V225">
        <f>IF([2]Entry!$L$228="","",[2]Entry!$L$228)</f>
        <v/>
      </c>
      <c r="W225">
        <f>IF([2]Entry!$M$228="","",[2]Entry!$M$228)</f>
        <v/>
      </c>
      <c r="X225">
        <f>IF([2]Entry!$N$228="","",[2]Entry!$N$228)</f>
        <v/>
      </c>
      <c r="Y225">
        <f>IF([2]Entry!$R$228="","",[2]Entry!$R$228)</f>
        <v/>
      </c>
    </row>
    <row r="226">
      <c r="J226">
        <f>IF([1]Accounts!$D$227="","",[1]Accounts!$A$227)</f>
        <v/>
      </c>
      <c r="K226">
        <f>IF([1]Accounts!$D$227="","",[1]Accounts!$B$227)</f>
        <v/>
      </c>
      <c r="L226">
        <f>IF([1]Accounts!$D$227="","",[1]Accounts!$C$227)</f>
        <v/>
      </c>
      <c r="M226">
        <f>IF([1]Accounts!$D$227="","",[1]Accounts!$D$227)</f>
        <v/>
      </c>
      <c r="P226">
        <f>IF([2]Entry!$C$229="","",[2]Entry!$C$229)</f>
        <v/>
      </c>
      <c r="Q226">
        <f>IF([2]Entry!$D$229="","",[2]Entry!$D$229)</f>
        <v/>
      </c>
      <c r="R226">
        <f>IF([2]Entry!$E$229="","",[2]Entry!$E$229)</f>
        <v/>
      </c>
      <c r="S226">
        <f>IF([2]Entry!$G$229="","",[2]Entry!$G$229)</f>
        <v/>
      </c>
      <c r="T226">
        <f>IF([2]Entry!$J$229="","",[2]Entry!$J$229)</f>
        <v/>
      </c>
      <c r="U226">
        <f>IF([2]Entry!$K$229="","",[2]Entry!$K$229)</f>
        <v/>
      </c>
      <c r="V226">
        <f>IF([2]Entry!$L$229="","",[2]Entry!$L$229)</f>
        <v/>
      </c>
      <c r="W226">
        <f>IF([2]Entry!$M$229="","",[2]Entry!$M$229)</f>
        <v/>
      </c>
      <c r="X226">
        <f>IF([2]Entry!$N$229="","",[2]Entry!$N$229)</f>
        <v/>
      </c>
      <c r="Y226">
        <f>IF([2]Entry!$R$229="","",[2]Entry!$R$229)</f>
        <v/>
      </c>
    </row>
    <row r="227">
      <c r="J227">
        <f>IF([1]Accounts!$D$228="","",[1]Accounts!$A$228)</f>
        <v/>
      </c>
      <c r="K227">
        <f>IF([1]Accounts!$D$228="","",[1]Accounts!$B$228)</f>
        <v/>
      </c>
      <c r="L227">
        <f>IF([1]Accounts!$D$228="","",[1]Accounts!$C$228)</f>
        <v/>
      </c>
      <c r="M227">
        <f>IF([1]Accounts!$D$228="","",[1]Accounts!$D$228)</f>
        <v/>
      </c>
      <c r="P227">
        <f>IF([2]Entry!$C$230="","",[2]Entry!$C$230)</f>
        <v/>
      </c>
      <c r="Q227">
        <f>IF([2]Entry!$D$230="","",[2]Entry!$D$230)</f>
        <v/>
      </c>
      <c r="R227">
        <f>IF([2]Entry!$E$230="","",[2]Entry!$E$230)</f>
        <v/>
      </c>
      <c r="S227">
        <f>IF([2]Entry!$G$230="","",[2]Entry!$G$230)</f>
        <v/>
      </c>
      <c r="T227">
        <f>IF([2]Entry!$J$230="","",[2]Entry!$J$230)</f>
        <v/>
      </c>
      <c r="U227">
        <f>IF([2]Entry!$K$230="","",[2]Entry!$K$230)</f>
        <v/>
      </c>
      <c r="V227">
        <f>IF([2]Entry!$L$230="","",[2]Entry!$L$230)</f>
        <v/>
      </c>
      <c r="W227">
        <f>IF([2]Entry!$M$230="","",[2]Entry!$M$230)</f>
        <v/>
      </c>
      <c r="X227">
        <f>IF([2]Entry!$N$230="","",[2]Entry!$N$230)</f>
        <v/>
      </c>
      <c r="Y227">
        <f>IF([2]Entry!$R$230="","",[2]Entry!$R$230)</f>
        <v/>
      </c>
    </row>
    <row r="228">
      <c r="J228">
        <f>IF([1]Accounts!$D$229="","",[1]Accounts!$A$229)</f>
        <v/>
      </c>
      <c r="K228">
        <f>IF([1]Accounts!$D$229="","",[1]Accounts!$B$229)</f>
        <v/>
      </c>
      <c r="L228">
        <f>IF([1]Accounts!$D$229="","",[1]Accounts!$C$229)</f>
        <v/>
      </c>
      <c r="M228">
        <f>IF([1]Accounts!$D$229="","",[1]Accounts!$D$229)</f>
        <v/>
      </c>
      <c r="P228">
        <f>IF([2]Entry!$C$231="","",[2]Entry!$C$231)</f>
        <v/>
      </c>
      <c r="Q228">
        <f>IF([2]Entry!$D$231="","",[2]Entry!$D$231)</f>
        <v/>
      </c>
      <c r="R228">
        <f>IF([2]Entry!$E$231="","",[2]Entry!$E$231)</f>
        <v/>
      </c>
      <c r="S228">
        <f>IF([2]Entry!$G$231="","",[2]Entry!$G$231)</f>
        <v/>
      </c>
      <c r="T228">
        <f>IF([2]Entry!$J$231="","",[2]Entry!$J$231)</f>
        <v/>
      </c>
      <c r="U228">
        <f>IF([2]Entry!$K$231="","",[2]Entry!$K$231)</f>
        <v/>
      </c>
      <c r="V228">
        <f>IF([2]Entry!$L$231="","",[2]Entry!$L$231)</f>
        <v/>
      </c>
      <c r="W228">
        <f>IF([2]Entry!$M$231="","",[2]Entry!$M$231)</f>
        <v/>
      </c>
      <c r="X228">
        <f>IF([2]Entry!$N$231="","",[2]Entry!$N$231)</f>
        <v/>
      </c>
      <c r="Y228">
        <f>IF([2]Entry!$R$231="","",[2]Entry!$R$231)</f>
        <v/>
      </c>
    </row>
    <row r="229">
      <c r="J229">
        <f>IF([1]Accounts!$D$230="","",[1]Accounts!$A$230)</f>
        <v/>
      </c>
      <c r="K229">
        <f>IF([1]Accounts!$D$230="","",[1]Accounts!$B$230)</f>
        <v/>
      </c>
      <c r="L229">
        <f>IF([1]Accounts!$D$230="","",[1]Accounts!$C$230)</f>
        <v/>
      </c>
      <c r="M229">
        <f>IF([1]Accounts!$D$230="","",[1]Accounts!$D$230)</f>
        <v/>
      </c>
      <c r="P229">
        <f>IF([2]Entry!$C$232="","",[2]Entry!$C$232)</f>
        <v/>
      </c>
      <c r="Q229">
        <f>IF([2]Entry!$D$232="","",[2]Entry!$D$232)</f>
        <v/>
      </c>
      <c r="R229">
        <f>IF([2]Entry!$E$232="","",[2]Entry!$E$232)</f>
        <v/>
      </c>
      <c r="S229">
        <f>IF([2]Entry!$G$232="","",[2]Entry!$G$232)</f>
        <v/>
      </c>
      <c r="T229">
        <f>IF([2]Entry!$J$232="","",[2]Entry!$J$232)</f>
        <v/>
      </c>
      <c r="U229">
        <f>IF([2]Entry!$K$232="","",[2]Entry!$K$232)</f>
        <v/>
      </c>
      <c r="V229">
        <f>IF([2]Entry!$L$232="","",[2]Entry!$L$232)</f>
        <v/>
      </c>
      <c r="W229">
        <f>IF([2]Entry!$M$232="","",[2]Entry!$M$232)</f>
        <v/>
      </c>
      <c r="X229">
        <f>IF([2]Entry!$N$232="","",[2]Entry!$N$232)</f>
        <v/>
      </c>
      <c r="Y229">
        <f>IF([2]Entry!$R$232="","",[2]Entry!$R$232)</f>
        <v/>
      </c>
    </row>
    <row r="230">
      <c r="J230">
        <f>IF([1]Accounts!$D$231="","",[1]Accounts!$A$231)</f>
        <v/>
      </c>
      <c r="K230">
        <f>IF([1]Accounts!$D$231="","",[1]Accounts!$B$231)</f>
        <v/>
      </c>
      <c r="L230">
        <f>IF([1]Accounts!$D$231="","",[1]Accounts!$C$231)</f>
        <v/>
      </c>
      <c r="M230">
        <f>IF([1]Accounts!$D$231="","",[1]Accounts!$D$231)</f>
        <v/>
      </c>
      <c r="P230">
        <f>IF([2]Entry!$C$233="","",[2]Entry!$C$233)</f>
        <v/>
      </c>
      <c r="Q230">
        <f>IF([2]Entry!$D$233="","",[2]Entry!$D$233)</f>
        <v/>
      </c>
      <c r="R230">
        <f>IF([2]Entry!$E$233="","",[2]Entry!$E$233)</f>
        <v/>
      </c>
      <c r="S230">
        <f>IF([2]Entry!$G$233="","",[2]Entry!$G$233)</f>
        <v/>
      </c>
      <c r="T230">
        <f>IF([2]Entry!$J$233="","",[2]Entry!$J$233)</f>
        <v/>
      </c>
      <c r="U230">
        <f>IF([2]Entry!$K$233="","",[2]Entry!$K$233)</f>
        <v/>
      </c>
      <c r="V230">
        <f>IF([2]Entry!$L$233="","",[2]Entry!$L$233)</f>
        <v/>
      </c>
      <c r="W230">
        <f>IF([2]Entry!$M$233="","",[2]Entry!$M$233)</f>
        <v/>
      </c>
      <c r="X230">
        <f>IF([2]Entry!$N$233="","",[2]Entry!$N$233)</f>
        <v/>
      </c>
      <c r="Y230">
        <f>IF([2]Entry!$R$233="","",[2]Entry!$R$233)</f>
        <v/>
      </c>
    </row>
    <row r="231">
      <c r="J231">
        <f>IF([1]Accounts!$D$232="","",[1]Accounts!$A$232)</f>
        <v/>
      </c>
      <c r="K231">
        <f>IF([1]Accounts!$D$232="","",[1]Accounts!$B$232)</f>
        <v/>
      </c>
      <c r="L231">
        <f>IF([1]Accounts!$D$232="","",[1]Accounts!$C$232)</f>
        <v/>
      </c>
      <c r="M231">
        <f>IF([1]Accounts!$D$232="","",[1]Accounts!$D$232)</f>
        <v/>
      </c>
      <c r="P231">
        <f>IF([2]Entry!$C$234="","",[2]Entry!$C$234)</f>
        <v/>
      </c>
      <c r="Q231">
        <f>IF([2]Entry!$D$234="","",[2]Entry!$D$234)</f>
        <v/>
      </c>
      <c r="R231">
        <f>IF([2]Entry!$E$234="","",[2]Entry!$E$234)</f>
        <v/>
      </c>
      <c r="S231">
        <f>IF([2]Entry!$G$234="","",[2]Entry!$G$234)</f>
        <v/>
      </c>
      <c r="T231">
        <f>IF([2]Entry!$J$234="","",[2]Entry!$J$234)</f>
        <v/>
      </c>
      <c r="U231">
        <f>IF([2]Entry!$K$234="","",[2]Entry!$K$234)</f>
        <v/>
      </c>
      <c r="V231">
        <f>IF([2]Entry!$L$234="","",[2]Entry!$L$234)</f>
        <v/>
      </c>
      <c r="W231">
        <f>IF([2]Entry!$M$234="","",[2]Entry!$M$234)</f>
        <v/>
      </c>
      <c r="X231">
        <f>IF([2]Entry!$N$234="","",[2]Entry!$N$234)</f>
        <v/>
      </c>
      <c r="Y231">
        <f>IF([2]Entry!$R$234="","",[2]Entry!$R$234)</f>
        <v/>
      </c>
    </row>
    <row r="232">
      <c r="J232">
        <f>IF([1]Accounts!$D$233="","",[1]Accounts!$A$233)</f>
        <v/>
      </c>
      <c r="K232">
        <f>IF([1]Accounts!$D$233="","",[1]Accounts!$B$233)</f>
        <v/>
      </c>
      <c r="L232">
        <f>IF([1]Accounts!$D$233="","",[1]Accounts!$C$233)</f>
        <v/>
      </c>
      <c r="M232">
        <f>IF([1]Accounts!$D$233="","",[1]Accounts!$D$233)</f>
        <v/>
      </c>
      <c r="P232">
        <f>IF([2]Entry!$C$235="","",[2]Entry!$C$235)</f>
        <v/>
      </c>
      <c r="Q232">
        <f>IF([2]Entry!$D$235="","",[2]Entry!$D$235)</f>
        <v/>
      </c>
      <c r="R232">
        <f>IF([2]Entry!$E$235="","",[2]Entry!$E$235)</f>
        <v/>
      </c>
      <c r="S232">
        <f>IF([2]Entry!$G$235="","",[2]Entry!$G$235)</f>
        <v/>
      </c>
      <c r="T232">
        <f>IF([2]Entry!$J$235="","",[2]Entry!$J$235)</f>
        <v/>
      </c>
      <c r="U232">
        <f>IF([2]Entry!$K$235="","",[2]Entry!$K$235)</f>
        <v/>
      </c>
      <c r="V232">
        <f>IF([2]Entry!$L$235="","",[2]Entry!$L$235)</f>
        <v/>
      </c>
      <c r="W232">
        <f>IF([2]Entry!$M$235="","",[2]Entry!$M$235)</f>
        <v/>
      </c>
      <c r="X232">
        <f>IF([2]Entry!$N$235="","",[2]Entry!$N$235)</f>
        <v/>
      </c>
      <c r="Y232">
        <f>IF([2]Entry!$R$235="","",[2]Entry!$R$235)</f>
        <v/>
      </c>
    </row>
    <row r="233">
      <c r="J233">
        <f>IF([1]Accounts!$D$234="","",[1]Accounts!$A$234)</f>
        <v/>
      </c>
      <c r="K233">
        <f>IF([1]Accounts!$D$234="","",[1]Accounts!$B$234)</f>
        <v/>
      </c>
      <c r="L233">
        <f>IF([1]Accounts!$D$234="","",[1]Accounts!$C$234)</f>
        <v/>
      </c>
      <c r="M233">
        <f>IF([1]Accounts!$D$234="","",[1]Accounts!$D$234)</f>
        <v/>
      </c>
      <c r="P233">
        <f>IF([2]Entry!$C$236="","",[2]Entry!$C$236)</f>
        <v/>
      </c>
      <c r="Q233">
        <f>IF([2]Entry!$D$236="","",[2]Entry!$D$236)</f>
        <v/>
      </c>
      <c r="R233">
        <f>IF([2]Entry!$E$236="","",[2]Entry!$E$236)</f>
        <v/>
      </c>
      <c r="S233">
        <f>IF([2]Entry!$G$236="","",[2]Entry!$G$236)</f>
        <v/>
      </c>
      <c r="T233">
        <f>IF([2]Entry!$J$236="","",[2]Entry!$J$236)</f>
        <v/>
      </c>
      <c r="U233">
        <f>IF([2]Entry!$K$236="","",[2]Entry!$K$236)</f>
        <v/>
      </c>
      <c r="V233">
        <f>IF([2]Entry!$L$236="","",[2]Entry!$L$236)</f>
        <v/>
      </c>
      <c r="W233">
        <f>IF([2]Entry!$M$236="","",[2]Entry!$M$236)</f>
        <v/>
      </c>
      <c r="X233">
        <f>IF([2]Entry!$N$236="","",[2]Entry!$N$236)</f>
        <v/>
      </c>
      <c r="Y233">
        <f>IF([2]Entry!$R$236="","",[2]Entry!$R$236)</f>
        <v/>
      </c>
    </row>
    <row r="234">
      <c r="J234">
        <f>IF([1]Accounts!$D$235="","",[1]Accounts!$A$235)</f>
        <v/>
      </c>
      <c r="K234">
        <f>IF([1]Accounts!$D$235="","",[1]Accounts!$B$235)</f>
        <v/>
      </c>
      <c r="L234">
        <f>IF([1]Accounts!$D$235="","",[1]Accounts!$C$235)</f>
        <v/>
      </c>
      <c r="M234">
        <f>IF([1]Accounts!$D$235="","",[1]Accounts!$D$235)</f>
        <v/>
      </c>
      <c r="P234">
        <f>IF([2]Entry!$C$237="","",[2]Entry!$C$237)</f>
        <v/>
      </c>
      <c r="Q234">
        <f>IF([2]Entry!$D$237="","",[2]Entry!$D$237)</f>
        <v/>
      </c>
      <c r="R234">
        <f>IF([2]Entry!$E$237="","",[2]Entry!$E$237)</f>
        <v/>
      </c>
      <c r="S234">
        <f>IF([2]Entry!$G$237="","",[2]Entry!$G$237)</f>
        <v/>
      </c>
      <c r="T234">
        <f>IF([2]Entry!$J$237="","",[2]Entry!$J$237)</f>
        <v/>
      </c>
      <c r="U234">
        <f>IF([2]Entry!$K$237="","",[2]Entry!$K$237)</f>
        <v/>
      </c>
      <c r="V234">
        <f>IF([2]Entry!$L$237="","",[2]Entry!$L$237)</f>
        <v/>
      </c>
      <c r="W234">
        <f>IF([2]Entry!$M$237="","",[2]Entry!$M$237)</f>
        <v/>
      </c>
      <c r="X234">
        <f>IF([2]Entry!$N$237="","",[2]Entry!$N$237)</f>
        <v/>
      </c>
      <c r="Y234">
        <f>IF([2]Entry!$R$237="","",[2]Entry!$R$237)</f>
        <v/>
      </c>
    </row>
    <row r="235">
      <c r="J235">
        <f>IF([1]Accounts!$D$236="","",[1]Accounts!$A$236)</f>
        <v/>
      </c>
      <c r="K235">
        <f>IF([1]Accounts!$D$236="","",[1]Accounts!$B$236)</f>
        <v/>
      </c>
      <c r="L235">
        <f>IF([1]Accounts!$D$236="","",[1]Accounts!$C$236)</f>
        <v/>
      </c>
      <c r="M235">
        <f>IF([1]Accounts!$D$236="","",[1]Accounts!$D$236)</f>
        <v/>
      </c>
      <c r="P235">
        <f>IF([2]Entry!$C$238="","",[2]Entry!$C$238)</f>
        <v/>
      </c>
      <c r="Q235">
        <f>IF([2]Entry!$D$238="","",[2]Entry!$D$238)</f>
        <v/>
      </c>
      <c r="R235">
        <f>IF([2]Entry!$E$238="","",[2]Entry!$E$238)</f>
        <v/>
      </c>
      <c r="S235">
        <f>IF([2]Entry!$G$238="","",[2]Entry!$G$238)</f>
        <v/>
      </c>
      <c r="T235">
        <f>IF([2]Entry!$J$238="","",[2]Entry!$J$238)</f>
        <v/>
      </c>
      <c r="U235">
        <f>IF([2]Entry!$K$238="","",[2]Entry!$K$238)</f>
        <v/>
      </c>
      <c r="V235">
        <f>IF([2]Entry!$L$238="","",[2]Entry!$L$238)</f>
        <v/>
      </c>
      <c r="W235">
        <f>IF([2]Entry!$M$238="","",[2]Entry!$M$238)</f>
        <v/>
      </c>
      <c r="X235">
        <f>IF([2]Entry!$N$238="","",[2]Entry!$N$238)</f>
        <v/>
      </c>
      <c r="Y235">
        <f>IF([2]Entry!$R$238="","",[2]Entry!$R$238)</f>
        <v/>
      </c>
    </row>
    <row r="236">
      <c r="J236">
        <f>IF([1]Accounts!$D$237="","",[1]Accounts!$A$237)</f>
        <v/>
      </c>
      <c r="K236">
        <f>IF([1]Accounts!$D$237="","",[1]Accounts!$B$237)</f>
        <v/>
      </c>
      <c r="L236">
        <f>IF([1]Accounts!$D$237="","",[1]Accounts!$C$237)</f>
        <v/>
      </c>
      <c r="M236">
        <f>IF([1]Accounts!$D$237="","",[1]Accounts!$D$237)</f>
        <v/>
      </c>
      <c r="P236">
        <f>IF([2]Entry!$C$239="","",[2]Entry!$C$239)</f>
        <v/>
      </c>
      <c r="Q236">
        <f>IF([2]Entry!$D$239="","",[2]Entry!$D$239)</f>
        <v/>
      </c>
      <c r="R236">
        <f>IF([2]Entry!$E$239="","",[2]Entry!$E$239)</f>
        <v/>
      </c>
      <c r="S236">
        <f>IF([2]Entry!$G$239="","",[2]Entry!$G$239)</f>
        <v/>
      </c>
      <c r="T236">
        <f>IF([2]Entry!$J$239="","",[2]Entry!$J$239)</f>
        <v/>
      </c>
      <c r="U236">
        <f>IF([2]Entry!$K$239="","",[2]Entry!$K$239)</f>
        <v/>
      </c>
      <c r="V236">
        <f>IF([2]Entry!$L$239="","",[2]Entry!$L$239)</f>
        <v/>
      </c>
      <c r="W236">
        <f>IF([2]Entry!$M$239="","",[2]Entry!$M$239)</f>
        <v/>
      </c>
      <c r="X236">
        <f>IF([2]Entry!$N$239="","",[2]Entry!$N$239)</f>
        <v/>
      </c>
      <c r="Y236">
        <f>IF([2]Entry!$R$239="","",[2]Entry!$R$239)</f>
        <v/>
      </c>
    </row>
    <row r="237">
      <c r="J237">
        <f>IF([1]Accounts!$D$238="","",[1]Accounts!$A$238)</f>
        <v/>
      </c>
      <c r="K237">
        <f>IF([1]Accounts!$D$238="","",[1]Accounts!$B$238)</f>
        <v/>
      </c>
      <c r="L237">
        <f>IF([1]Accounts!$D$238="","",[1]Accounts!$C$238)</f>
        <v/>
      </c>
      <c r="M237">
        <f>IF([1]Accounts!$D$238="","",[1]Accounts!$D$238)</f>
        <v/>
      </c>
      <c r="P237">
        <f>IF([2]Entry!$C$240="","",[2]Entry!$C$240)</f>
        <v/>
      </c>
      <c r="Q237">
        <f>IF([2]Entry!$D$240="","",[2]Entry!$D$240)</f>
        <v/>
      </c>
      <c r="R237">
        <f>IF([2]Entry!$E$240="","",[2]Entry!$E$240)</f>
        <v/>
      </c>
      <c r="S237">
        <f>IF([2]Entry!$G$240="","",[2]Entry!$G$240)</f>
        <v/>
      </c>
      <c r="T237">
        <f>IF([2]Entry!$J$240="","",[2]Entry!$J$240)</f>
        <v/>
      </c>
      <c r="U237">
        <f>IF([2]Entry!$K$240="","",[2]Entry!$K$240)</f>
        <v/>
      </c>
      <c r="V237">
        <f>IF([2]Entry!$L$240="","",[2]Entry!$L$240)</f>
        <v/>
      </c>
      <c r="W237">
        <f>IF([2]Entry!$M$240="","",[2]Entry!$M$240)</f>
        <v/>
      </c>
      <c r="X237">
        <f>IF([2]Entry!$N$240="","",[2]Entry!$N$240)</f>
        <v/>
      </c>
      <c r="Y237">
        <f>IF([2]Entry!$R$240="","",[2]Entry!$R$240)</f>
        <v/>
      </c>
    </row>
    <row r="238">
      <c r="J238">
        <f>IF([1]Accounts!$D$239="","",[1]Accounts!$A$239)</f>
        <v/>
      </c>
      <c r="K238">
        <f>IF([1]Accounts!$D$239="","",[1]Accounts!$B$239)</f>
        <v/>
      </c>
      <c r="L238">
        <f>IF([1]Accounts!$D$239="","",[1]Accounts!$C$239)</f>
        <v/>
      </c>
      <c r="M238">
        <f>IF([1]Accounts!$D$239="","",[1]Accounts!$D$239)</f>
        <v/>
      </c>
      <c r="P238">
        <f>IF([2]Entry!$C$241="","",[2]Entry!$C$241)</f>
        <v/>
      </c>
      <c r="Q238">
        <f>IF([2]Entry!$D$241="","",[2]Entry!$D$241)</f>
        <v/>
      </c>
      <c r="R238">
        <f>IF([2]Entry!$E$241="","",[2]Entry!$E$241)</f>
        <v/>
      </c>
      <c r="S238">
        <f>IF([2]Entry!$G$241="","",[2]Entry!$G$241)</f>
        <v/>
      </c>
      <c r="T238">
        <f>IF([2]Entry!$J$241="","",[2]Entry!$J$241)</f>
        <v/>
      </c>
      <c r="U238">
        <f>IF([2]Entry!$K$241="","",[2]Entry!$K$241)</f>
        <v/>
      </c>
      <c r="V238">
        <f>IF([2]Entry!$L$241="","",[2]Entry!$L$241)</f>
        <v/>
      </c>
      <c r="W238">
        <f>IF([2]Entry!$M$241="","",[2]Entry!$M$241)</f>
        <v/>
      </c>
      <c r="X238">
        <f>IF([2]Entry!$N$241="","",[2]Entry!$N$241)</f>
        <v/>
      </c>
      <c r="Y238">
        <f>IF([2]Entry!$R$241="","",[2]Entry!$R$241)</f>
        <v/>
      </c>
    </row>
    <row r="239">
      <c r="J239">
        <f>IF([1]Accounts!$D$240="","",[1]Accounts!$A$240)</f>
        <v/>
      </c>
      <c r="K239">
        <f>IF([1]Accounts!$D$240="","",[1]Accounts!$B$240)</f>
        <v/>
      </c>
      <c r="L239">
        <f>IF([1]Accounts!$D$240="","",[1]Accounts!$C$240)</f>
        <v/>
      </c>
      <c r="M239">
        <f>IF([1]Accounts!$D$240="","",[1]Accounts!$D$240)</f>
        <v/>
      </c>
      <c r="P239">
        <f>IF([2]Entry!$C$242="","",[2]Entry!$C$242)</f>
        <v/>
      </c>
      <c r="Q239">
        <f>IF([2]Entry!$D$242="","",[2]Entry!$D$242)</f>
        <v/>
      </c>
      <c r="R239">
        <f>IF([2]Entry!$E$242="","",[2]Entry!$E$242)</f>
        <v/>
      </c>
      <c r="S239">
        <f>IF([2]Entry!$G$242="","",[2]Entry!$G$242)</f>
        <v/>
      </c>
      <c r="T239">
        <f>IF([2]Entry!$J$242="","",[2]Entry!$J$242)</f>
        <v/>
      </c>
      <c r="U239">
        <f>IF([2]Entry!$K$242="","",[2]Entry!$K$242)</f>
        <v/>
      </c>
      <c r="V239">
        <f>IF([2]Entry!$L$242="","",[2]Entry!$L$242)</f>
        <v/>
      </c>
      <c r="W239">
        <f>IF([2]Entry!$M$242="","",[2]Entry!$M$242)</f>
        <v/>
      </c>
      <c r="X239">
        <f>IF([2]Entry!$N$242="","",[2]Entry!$N$242)</f>
        <v/>
      </c>
      <c r="Y239">
        <f>IF([2]Entry!$R$242="","",[2]Entry!$R$242)</f>
        <v/>
      </c>
    </row>
    <row r="240">
      <c r="J240">
        <f>IF([1]Accounts!$D$241="","",[1]Accounts!$A$241)</f>
        <v/>
      </c>
      <c r="K240">
        <f>IF([1]Accounts!$D$241="","",[1]Accounts!$B$241)</f>
        <v/>
      </c>
      <c r="L240">
        <f>IF([1]Accounts!$D$241="","",[1]Accounts!$C$241)</f>
        <v/>
      </c>
      <c r="M240">
        <f>IF([1]Accounts!$D$241="","",[1]Accounts!$D$241)</f>
        <v/>
      </c>
      <c r="P240">
        <f>IF([2]Entry!$C$243="","",[2]Entry!$C$243)</f>
        <v/>
      </c>
      <c r="Q240">
        <f>IF([2]Entry!$D$243="","",[2]Entry!$D$243)</f>
        <v/>
      </c>
      <c r="R240">
        <f>IF([2]Entry!$E$243="","",[2]Entry!$E$243)</f>
        <v/>
      </c>
      <c r="S240">
        <f>IF([2]Entry!$G$243="","",[2]Entry!$G$243)</f>
        <v/>
      </c>
      <c r="T240">
        <f>IF([2]Entry!$J$243="","",[2]Entry!$J$243)</f>
        <v/>
      </c>
      <c r="U240">
        <f>IF([2]Entry!$K$243="","",[2]Entry!$K$243)</f>
        <v/>
      </c>
      <c r="V240">
        <f>IF([2]Entry!$L$243="","",[2]Entry!$L$243)</f>
        <v/>
      </c>
      <c r="W240">
        <f>IF([2]Entry!$M$243="","",[2]Entry!$M$243)</f>
        <v/>
      </c>
      <c r="X240">
        <f>IF([2]Entry!$N$243="","",[2]Entry!$N$243)</f>
        <v/>
      </c>
      <c r="Y240">
        <f>IF([2]Entry!$R$243="","",[2]Entry!$R$243)</f>
        <v/>
      </c>
    </row>
    <row r="241">
      <c r="J241">
        <f>IF([1]Accounts!$D$242="","",[1]Accounts!$A$242)</f>
        <v/>
      </c>
      <c r="K241">
        <f>IF([1]Accounts!$D$242="","",[1]Accounts!$B$242)</f>
        <v/>
      </c>
      <c r="L241">
        <f>IF([1]Accounts!$D$242="","",[1]Accounts!$C$242)</f>
        <v/>
      </c>
      <c r="M241">
        <f>IF([1]Accounts!$D$242="","",[1]Accounts!$D$242)</f>
        <v/>
      </c>
      <c r="P241">
        <f>IF([2]Entry!$C$244="","",[2]Entry!$C$244)</f>
        <v/>
      </c>
      <c r="Q241">
        <f>IF([2]Entry!$D$244="","",[2]Entry!$D$244)</f>
        <v/>
      </c>
      <c r="R241">
        <f>IF([2]Entry!$E$244="","",[2]Entry!$E$244)</f>
        <v/>
      </c>
      <c r="S241">
        <f>IF([2]Entry!$G$244="","",[2]Entry!$G$244)</f>
        <v/>
      </c>
      <c r="T241">
        <f>IF([2]Entry!$J$244="","",[2]Entry!$J$244)</f>
        <v/>
      </c>
      <c r="U241">
        <f>IF([2]Entry!$K$244="","",[2]Entry!$K$244)</f>
        <v/>
      </c>
      <c r="V241">
        <f>IF([2]Entry!$L$244="","",[2]Entry!$L$244)</f>
        <v/>
      </c>
      <c r="W241">
        <f>IF([2]Entry!$M$244="","",[2]Entry!$M$244)</f>
        <v/>
      </c>
      <c r="X241">
        <f>IF([2]Entry!$N$244="","",[2]Entry!$N$244)</f>
        <v/>
      </c>
      <c r="Y241">
        <f>IF([2]Entry!$R$244="","",[2]Entry!$R$244)</f>
        <v/>
      </c>
    </row>
    <row r="242">
      <c r="J242">
        <f>IF([1]Accounts!$D$243="","",[1]Accounts!$A$243)</f>
        <v/>
      </c>
      <c r="K242">
        <f>IF([1]Accounts!$D$243="","",[1]Accounts!$B$243)</f>
        <v/>
      </c>
      <c r="L242">
        <f>IF([1]Accounts!$D$243="","",[1]Accounts!$C$243)</f>
        <v/>
      </c>
      <c r="M242">
        <f>IF([1]Accounts!$D$243="","",[1]Accounts!$D$243)</f>
        <v/>
      </c>
      <c r="P242">
        <f>IF([2]Entry!$C$245="","",[2]Entry!$C$245)</f>
        <v/>
      </c>
      <c r="Q242">
        <f>IF([2]Entry!$D$245="","",[2]Entry!$D$245)</f>
        <v/>
      </c>
      <c r="R242">
        <f>IF([2]Entry!$E$245="","",[2]Entry!$E$245)</f>
        <v/>
      </c>
      <c r="S242">
        <f>IF([2]Entry!$G$245="","",[2]Entry!$G$245)</f>
        <v/>
      </c>
      <c r="T242">
        <f>IF([2]Entry!$J$245="","",[2]Entry!$J$245)</f>
        <v/>
      </c>
      <c r="U242">
        <f>IF([2]Entry!$K$245="","",[2]Entry!$K$245)</f>
        <v/>
      </c>
      <c r="V242">
        <f>IF([2]Entry!$L$245="","",[2]Entry!$L$245)</f>
        <v/>
      </c>
      <c r="W242">
        <f>IF([2]Entry!$M$245="","",[2]Entry!$M$245)</f>
        <v/>
      </c>
      <c r="X242">
        <f>IF([2]Entry!$N$245="","",[2]Entry!$N$245)</f>
        <v/>
      </c>
      <c r="Y242">
        <f>IF([2]Entry!$R$245="","",[2]Entry!$R$245)</f>
        <v/>
      </c>
    </row>
    <row r="243">
      <c r="J243">
        <f>IF([1]Accounts!$D$244="","",[1]Accounts!$A$244)</f>
        <v/>
      </c>
      <c r="K243">
        <f>IF([1]Accounts!$D$244="","",[1]Accounts!$B$244)</f>
        <v/>
      </c>
      <c r="L243">
        <f>IF([1]Accounts!$D$244="","",[1]Accounts!$C$244)</f>
        <v/>
      </c>
      <c r="M243">
        <f>IF([1]Accounts!$D$244="","",[1]Accounts!$D$244)</f>
        <v/>
      </c>
      <c r="P243">
        <f>IF([2]Entry!$C$246="","",[2]Entry!$C$246)</f>
        <v/>
      </c>
      <c r="Q243">
        <f>IF([2]Entry!$D$246="","",[2]Entry!$D$246)</f>
        <v/>
      </c>
      <c r="R243">
        <f>IF([2]Entry!$E$246="","",[2]Entry!$E$246)</f>
        <v/>
      </c>
      <c r="S243">
        <f>IF([2]Entry!$G$246="","",[2]Entry!$G$246)</f>
        <v/>
      </c>
      <c r="T243">
        <f>IF([2]Entry!$J$246="","",[2]Entry!$J$246)</f>
        <v/>
      </c>
      <c r="U243">
        <f>IF([2]Entry!$K$246="","",[2]Entry!$K$246)</f>
        <v/>
      </c>
      <c r="V243">
        <f>IF([2]Entry!$L$246="","",[2]Entry!$L$246)</f>
        <v/>
      </c>
      <c r="W243">
        <f>IF([2]Entry!$M$246="","",[2]Entry!$M$246)</f>
        <v/>
      </c>
      <c r="X243">
        <f>IF([2]Entry!$N$246="","",[2]Entry!$N$246)</f>
        <v/>
      </c>
      <c r="Y243">
        <f>IF([2]Entry!$R$246="","",[2]Entry!$R$246)</f>
        <v/>
      </c>
    </row>
    <row r="244">
      <c r="J244">
        <f>IF([1]Accounts!$D$245="","",[1]Accounts!$A$245)</f>
        <v/>
      </c>
      <c r="K244">
        <f>IF([1]Accounts!$D$245="","",[1]Accounts!$B$245)</f>
        <v/>
      </c>
      <c r="L244">
        <f>IF([1]Accounts!$D$245="","",[1]Accounts!$C$245)</f>
        <v/>
      </c>
      <c r="M244">
        <f>IF([1]Accounts!$D$245="","",[1]Accounts!$D$245)</f>
        <v/>
      </c>
      <c r="P244">
        <f>IF([2]Entry!$C$247="","",[2]Entry!$C$247)</f>
        <v/>
      </c>
      <c r="Q244">
        <f>IF([2]Entry!$D$247="","",[2]Entry!$D$247)</f>
        <v/>
      </c>
      <c r="R244">
        <f>IF([2]Entry!$E$247="","",[2]Entry!$E$247)</f>
        <v/>
      </c>
      <c r="S244">
        <f>IF([2]Entry!$G$247="","",[2]Entry!$G$247)</f>
        <v/>
      </c>
      <c r="T244">
        <f>IF([2]Entry!$J$247="","",[2]Entry!$J$247)</f>
        <v/>
      </c>
      <c r="U244">
        <f>IF([2]Entry!$K$247="","",[2]Entry!$K$247)</f>
        <v/>
      </c>
      <c r="V244">
        <f>IF([2]Entry!$L$247="","",[2]Entry!$L$247)</f>
        <v/>
      </c>
      <c r="W244">
        <f>IF([2]Entry!$M$247="","",[2]Entry!$M$247)</f>
        <v/>
      </c>
      <c r="X244">
        <f>IF([2]Entry!$N$247="","",[2]Entry!$N$247)</f>
        <v/>
      </c>
      <c r="Y244">
        <f>IF([2]Entry!$R$247="","",[2]Entry!$R$247)</f>
        <v/>
      </c>
    </row>
    <row r="245">
      <c r="J245">
        <f>IF([1]Accounts!$D$246="","",[1]Accounts!$A$246)</f>
        <v/>
      </c>
      <c r="K245">
        <f>IF([1]Accounts!$D$246="","",[1]Accounts!$B$246)</f>
        <v/>
      </c>
      <c r="L245">
        <f>IF([1]Accounts!$D$246="","",[1]Accounts!$C$246)</f>
        <v/>
      </c>
      <c r="M245">
        <f>IF([1]Accounts!$D$246="","",[1]Accounts!$D$246)</f>
        <v/>
      </c>
      <c r="P245">
        <f>IF([2]Entry!$C$248="","",[2]Entry!$C$248)</f>
        <v/>
      </c>
      <c r="Q245">
        <f>IF([2]Entry!$D$248="","",[2]Entry!$D$248)</f>
        <v/>
      </c>
      <c r="R245">
        <f>IF([2]Entry!$E$248="","",[2]Entry!$E$248)</f>
        <v/>
      </c>
      <c r="S245">
        <f>IF([2]Entry!$G$248="","",[2]Entry!$G$248)</f>
        <v/>
      </c>
      <c r="T245">
        <f>IF([2]Entry!$J$248="","",[2]Entry!$J$248)</f>
        <v/>
      </c>
      <c r="U245">
        <f>IF([2]Entry!$K$248="","",[2]Entry!$K$248)</f>
        <v/>
      </c>
      <c r="V245">
        <f>IF([2]Entry!$L$248="","",[2]Entry!$L$248)</f>
        <v/>
      </c>
      <c r="W245">
        <f>IF([2]Entry!$M$248="","",[2]Entry!$M$248)</f>
        <v/>
      </c>
      <c r="X245">
        <f>IF([2]Entry!$N$248="","",[2]Entry!$N$248)</f>
        <v/>
      </c>
      <c r="Y245">
        <f>IF([2]Entry!$R$248="","",[2]Entry!$R$248)</f>
        <v/>
      </c>
    </row>
    <row r="246">
      <c r="J246">
        <f>IF([1]Accounts!$D$247="","",[1]Accounts!$A$247)</f>
        <v/>
      </c>
      <c r="K246">
        <f>IF([1]Accounts!$D$247="","",[1]Accounts!$B$247)</f>
        <v/>
      </c>
      <c r="L246">
        <f>IF([1]Accounts!$D$247="","",[1]Accounts!$C$247)</f>
        <v/>
      </c>
      <c r="M246">
        <f>IF([1]Accounts!$D$247="","",[1]Accounts!$D$247)</f>
        <v/>
      </c>
      <c r="P246">
        <f>IF([2]Entry!$C$249="","",[2]Entry!$C$249)</f>
        <v/>
      </c>
      <c r="Q246">
        <f>IF([2]Entry!$D$249="","",[2]Entry!$D$249)</f>
        <v/>
      </c>
      <c r="R246">
        <f>IF([2]Entry!$E$249="","",[2]Entry!$E$249)</f>
        <v/>
      </c>
      <c r="S246">
        <f>IF([2]Entry!$G$249="","",[2]Entry!$G$249)</f>
        <v/>
      </c>
      <c r="T246">
        <f>IF([2]Entry!$J$249="","",[2]Entry!$J$249)</f>
        <v/>
      </c>
      <c r="U246">
        <f>IF([2]Entry!$K$249="","",[2]Entry!$K$249)</f>
        <v/>
      </c>
      <c r="V246">
        <f>IF([2]Entry!$L$249="","",[2]Entry!$L$249)</f>
        <v/>
      </c>
      <c r="W246">
        <f>IF([2]Entry!$M$249="","",[2]Entry!$M$249)</f>
        <v/>
      </c>
      <c r="X246">
        <f>IF([2]Entry!$N$249="","",[2]Entry!$N$249)</f>
        <v/>
      </c>
      <c r="Y246">
        <f>IF([2]Entry!$R$249="","",[2]Entry!$R$249)</f>
        <v/>
      </c>
    </row>
    <row r="247">
      <c r="J247">
        <f>IF([1]Accounts!$D$248="","",[1]Accounts!$A$248)</f>
        <v/>
      </c>
      <c r="K247">
        <f>IF([1]Accounts!$D$248="","",[1]Accounts!$B$248)</f>
        <v/>
      </c>
      <c r="L247">
        <f>IF([1]Accounts!$D$248="","",[1]Accounts!$C$248)</f>
        <v/>
      </c>
      <c r="M247">
        <f>IF([1]Accounts!$D$248="","",[1]Accounts!$D$248)</f>
        <v/>
      </c>
      <c r="P247">
        <f>IF([2]Entry!$C$250="","",[2]Entry!$C$250)</f>
        <v/>
      </c>
      <c r="Q247">
        <f>IF([2]Entry!$D$250="","",[2]Entry!$D$250)</f>
        <v/>
      </c>
      <c r="R247">
        <f>IF([2]Entry!$E$250="","",[2]Entry!$E$250)</f>
        <v/>
      </c>
      <c r="S247">
        <f>IF([2]Entry!$G$250="","",[2]Entry!$G$250)</f>
        <v/>
      </c>
      <c r="T247">
        <f>IF([2]Entry!$J$250="","",[2]Entry!$J$250)</f>
        <v/>
      </c>
      <c r="U247">
        <f>IF([2]Entry!$K$250="","",[2]Entry!$K$250)</f>
        <v/>
      </c>
      <c r="V247">
        <f>IF([2]Entry!$L$250="","",[2]Entry!$L$250)</f>
        <v/>
      </c>
      <c r="W247">
        <f>IF([2]Entry!$M$250="","",[2]Entry!$M$250)</f>
        <v/>
      </c>
      <c r="X247">
        <f>IF([2]Entry!$N$250="","",[2]Entry!$N$250)</f>
        <v/>
      </c>
      <c r="Y247">
        <f>IF([2]Entry!$R$250="","",[2]Entry!$R$250)</f>
        <v/>
      </c>
    </row>
    <row r="248">
      <c r="J248">
        <f>IF([1]Accounts!$D$249="","",[1]Accounts!$A$249)</f>
        <v/>
      </c>
      <c r="K248">
        <f>IF([1]Accounts!$D$249="","",[1]Accounts!$B$249)</f>
        <v/>
      </c>
      <c r="L248">
        <f>IF([1]Accounts!$D$249="","",[1]Accounts!$C$249)</f>
        <v/>
      </c>
      <c r="M248">
        <f>IF([1]Accounts!$D$249="","",[1]Accounts!$D$249)</f>
        <v/>
      </c>
      <c r="P248">
        <f>IF([2]Entry!$C$251="","",[2]Entry!$C$251)</f>
        <v/>
      </c>
      <c r="Q248">
        <f>IF([2]Entry!$D$251="","",[2]Entry!$D$251)</f>
        <v/>
      </c>
      <c r="R248">
        <f>IF([2]Entry!$E$251="","",[2]Entry!$E$251)</f>
        <v/>
      </c>
      <c r="S248">
        <f>IF([2]Entry!$G$251="","",[2]Entry!$G$251)</f>
        <v/>
      </c>
      <c r="T248">
        <f>IF([2]Entry!$J$251="","",[2]Entry!$J$251)</f>
        <v/>
      </c>
      <c r="U248">
        <f>IF([2]Entry!$K$251="","",[2]Entry!$K$251)</f>
        <v/>
      </c>
      <c r="V248">
        <f>IF([2]Entry!$L$251="","",[2]Entry!$L$251)</f>
        <v/>
      </c>
      <c r="W248">
        <f>IF([2]Entry!$M$251="","",[2]Entry!$M$251)</f>
        <v/>
      </c>
      <c r="X248">
        <f>IF([2]Entry!$N$251="","",[2]Entry!$N$251)</f>
        <v/>
      </c>
      <c r="Y248">
        <f>IF([2]Entry!$R$251="","",[2]Entry!$R$251)</f>
        <v/>
      </c>
    </row>
    <row r="249">
      <c r="J249">
        <f>IF([1]Accounts!$D$250="","",[1]Accounts!$A$250)</f>
        <v/>
      </c>
      <c r="K249">
        <f>IF([1]Accounts!$D$250="","",[1]Accounts!$B$250)</f>
        <v/>
      </c>
      <c r="L249">
        <f>IF([1]Accounts!$D$250="","",[1]Accounts!$C$250)</f>
        <v/>
      </c>
      <c r="M249">
        <f>IF([1]Accounts!$D$250="","",[1]Accounts!$D$250)</f>
        <v/>
      </c>
      <c r="P249">
        <f>IF([2]Entry!$C$252="","",[2]Entry!$C$252)</f>
        <v/>
      </c>
      <c r="Q249">
        <f>IF([2]Entry!$D$252="","",[2]Entry!$D$252)</f>
        <v/>
      </c>
      <c r="R249">
        <f>IF([2]Entry!$E$252="","",[2]Entry!$E$252)</f>
        <v/>
      </c>
      <c r="S249">
        <f>IF([2]Entry!$G$252="","",[2]Entry!$G$252)</f>
        <v/>
      </c>
      <c r="T249">
        <f>IF([2]Entry!$J$252="","",[2]Entry!$J$252)</f>
        <v/>
      </c>
      <c r="U249">
        <f>IF([2]Entry!$K$252="","",[2]Entry!$K$252)</f>
        <v/>
      </c>
      <c r="V249">
        <f>IF([2]Entry!$L$252="","",[2]Entry!$L$252)</f>
        <v/>
      </c>
      <c r="W249">
        <f>IF([2]Entry!$M$252="","",[2]Entry!$M$252)</f>
        <v/>
      </c>
      <c r="X249">
        <f>IF([2]Entry!$N$252="","",[2]Entry!$N$252)</f>
        <v/>
      </c>
      <c r="Y249">
        <f>IF([2]Entry!$R$252="","",[2]Entry!$R$252)</f>
        <v/>
      </c>
    </row>
    <row r="250">
      <c r="J250">
        <f>IF([1]Accounts!$D$251="","",[1]Accounts!$A$251)</f>
        <v/>
      </c>
      <c r="K250">
        <f>IF([1]Accounts!$D$251="","",[1]Accounts!$B$251)</f>
        <v/>
      </c>
      <c r="L250">
        <f>IF([1]Accounts!$D$251="","",[1]Accounts!$C$251)</f>
        <v/>
      </c>
      <c r="M250">
        <f>IF([1]Accounts!$D$251="","",[1]Accounts!$D$251)</f>
        <v/>
      </c>
      <c r="P250">
        <f>IF([2]Entry!$C$253="","",[2]Entry!$C$253)</f>
        <v/>
      </c>
      <c r="Q250">
        <f>IF([2]Entry!$D$253="","",[2]Entry!$D$253)</f>
        <v/>
      </c>
      <c r="R250">
        <f>IF([2]Entry!$E$253="","",[2]Entry!$E$253)</f>
        <v/>
      </c>
      <c r="S250">
        <f>IF([2]Entry!$G$253="","",[2]Entry!$G$253)</f>
        <v/>
      </c>
      <c r="T250">
        <f>IF([2]Entry!$J$253="","",[2]Entry!$J$253)</f>
        <v/>
      </c>
      <c r="U250">
        <f>IF([2]Entry!$K$253="","",[2]Entry!$K$253)</f>
        <v/>
      </c>
      <c r="V250">
        <f>IF([2]Entry!$L$253="","",[2]Entry!$L$253)</f>
        <v/>
      </c>
      <c r="W250">
        <f>IF([2]Entry!$M$253="","",[2]Entry!$M$253)</f>
        <v/>
      </c>
      <c r="X250">
        <f>IF([2]Entry!$N$253="","",[2]Entry!$N$253)</f>
        <v/>
      </c>
      <c r="Y250">
        <f>IF([2]Entry!$R$253="","",[2]Entry!$R$253)</f>
        <v/>
      </c>
    </row>
    <row r="251">
      <c r="J251">
        <f>IF([1]Accounts!$D$252="","",[1]Accounts!$A$252)</f>
        <v/>
      </c>
      <c r="K251">
        <f>IF([1]Accounts!$D$252="","",[1]Accounts!$B$252)</f>
        <v/>
      </c>
      <c r="L251">
        <f>IF([1]Accounts!$D$252="","",[1]Accounts!$C$252)</f>
        <v/>
      </c>
      <c r="M251">
        <f>IF([1]Accounts!$D$252="","",[1]Accounts!$D$252)</f>
        <v/>
      </c>
      <c r="P251">
        <f>IF([2]Entry!$C$254="","",[2]Entry!$C$254)</f>
        <v/>
      </c>
      <c r="Q251">
        <f>IF([2]Entry!$D$254="","",[2]Entry!$D$254)</f>
        <v/>
      </c>
      <c r="R251">
        <f>IF([2]Entry!$E$254="","",[2]Entry!$E$254)</f>
        <v/>
      </c>
      <c r="S251">
        <f>IF([2]Entry!$G$254="","",[2]Entry!$G$254)</f>
        <v/>
      </c>
      <c r="T251">
        <f>IF([2]Entry!$J$254="","",[2]Entry!$J$254)</f>
        <v/>
      </c>
      <c r="U251">
        <f>IF([2]Entry!$K$254="","",[2]Entry!$K$254)</f>
        <v/>
      </c>
      <c r="V251">
        <f>IF([2]Entry!$L$254="","",[2]Entry!$L$254)</f>
        <v/>
      </c>
      <c r="W251">
        <f>IF([2]Entry!$M$254="","",[2]Entry!$M$254)</f>
        <v/>
      </c>
      <c r="X251">
        <f>IF([2]Entry!$N$254="","",[2]Entry!$N$254)</f>
        <v/>
      </c>
      <c r="Y251">
        <f>IF([2]Entry!$R$254="","",[2]Entry!$R$254)</f>
        <v/>
      </c>
    </row>
    <row r="252">
      <c r="J252">
        <f>IF([1]Accounts!$D$253="","",[1]Accounts!$A$253)</f>
        <v/>
      </c>
      <c r="K252">
        <f>IF([1]Accounts!$D$253="","",[1]Accounts!$B$253)</f>
        <v/>
      </c>
      <c r="L252">
        <f>IF([1]Accounts!$D$253="","",[1]Accounts!$C$253)</f>
        <v/>
      </c>
      <c r="M252">
        <f>IF([1]Accounts!$D$253="","",[1]Accounts!$D$253)</f>
        <v/>
      </c>
      <c r="P252">
        <f>IF([2]Entry!$C$255="","",[2]Entry!$C$255)</f>
        <v/>
      </c>
      <c r="Q252">
        <f>IF([2]Entry!$D$255="","",[2]Entry!$D$255)</f>
        <v/>
      </c>
      <c r="R252">
        <f>IF([2]Entry!$E$255="","",[2]Entry!$E$255)</f>
        <v/>
      </c>
      <c r="S252">
        <f>IF([2]Entry!$G$255="","",[2]Entry!$G$255)</f>
        <v/>
      </c>
      <c r="T252">
        <f>IF([2]Entry!$J$255="","",[2]Entry!$J$255)</f>
        <v/>
      </c>
      <c r="U252">
        <f>IF([2]Entry!$K$255="","",[2]Entry!$K$255)</f>
        <v/>
      </c>
      <c r="V252">
        <f>IF([2]Entry!$L$255="","",[2]Entry!$L$255)</f>
        <v/>
      </c>
      <c r="W252">
        <f>IF([2]Entry!$M$255="","",[2]Entry!$M$255)</f>
        <v/>
      </c>
      <c r="X252">
        <f>IF([2]Entry!$N$255="","",[2]Entry!$N$255)</f>
        <v/>
      </c>
      <c r="Y252">
        <f>IF([2]Entry!$R$255="","",[2]Entry!$R$255)</f>
        <v/>
      </c>
    </row>
    <row r="253">
      <c r="J253">
        <f>IF([1]Accounts!$D$254="","",[1]Accounts!$A$254)</f>
        <v/>
      </c>
      <c r="K253">
        <f>IF([1]Accounts!$D$254="","",[1]Accounts!$B$254)</f>
        <v/>
      </c>
      <c r="L253">
        <f>IF([1]Accounts!$D$254="","",[1]Accounts!$C$254)</f>
        <v/>
      </c>
      <c r="M253">
        <f>IF([1]Accounts!$D$254="","",[1]Accounts!$D$254)</f>
        <v/>
      </c>
      <c r="P253">
        <f>IF([2]Entry!$C$256="","",[2]Entry!$C$256)</f>
        <v/>
      </c>
      <c r="Q253">
        <f>IF([2]Entry!$D$256="","",[2]Entry!$D$256)</f>
        <v/>
      </c>
      <c r="R253">
        <f>IF([2]Entry!$E$256="","",[2]Entry!$E$256)</f>
        <v/>
      </c>
      <c r="S253">
        <f>IF([2]Entry!$G$256="","",[2]Entry!$G$256)</f>
        <v/>
      </c>
      <c r="T253">
        <f>IF([2]Entry!$J$256="","",[2]Entry!$J$256)</f>
        <v/>
      </c>
      <c r="U253">
        <f>IF([2]Entry!$K$256="","",[2]Entry!$K$256)</f>
        <v/>
      </c>
      <c r="V253">
        <f>IF([2]Entry!$L$256="","",[2]Entry!$L$256)</f>
        <v/>
      </c>
      <c r="W253">
        <f>IF([2]Entry!$M$256="","",[2]Entry!$M$256)</f>
        <v/>
      </c>
      <c r="X253">
        <f>IF([2]Entry!$N$256="","",[2]Entry!$N$256)</f>
        <v/>
      </c>
      <c r="Y253">
        <f>IF([2]Entry!$R$256="","",[2]Entry!$R$256)</f>
        <v/>
      </c>
    </row>
    <row r="254">
      <c r="J254">
        <f>IF([1]Accounts!$D$255="","",[1]Accounts!$A$255)</f>
        <v/>
      </c>
      <c r="K254">
        <f>IF([1]Accounts!$D$255="","",[1]Accounts!$B$255)</f>
        <v/>
      </c>
      <c r="L254">
        <f>IF([1]Accounts!$D$255="","",[1]Accounts!$C$255)</f>
        <v/>
      </c>
      <c r="M254">
        <f>IF([1]Accounts!$D$255="","",[1]Accounts!$D$255)</f>
        <v/>
      </c>
      <c r="P254">
        <f>IF([2]Entry!$C$257="","",[2]Entry!$C$257)</f>
        <v/>
      </c>
      <c r="Q254">
        <f>IF([2]Entry!$D$257="","",[2]Entry!$D$257)</f>
        <v/>
      </c>
      <c r="R254">
        <f>IF([2]Entry!$E$257="","",[2]Entry!$E$257)</f>
        <v/>
      </c>
      <c r="S254">
        <f>IF([2]Entry!$G$257="","",[2]Entry!$G$257)</f>
        <v/>
      </c>
      <c r="T254">
        <f>IF([2]Entry!$J$257="","",[2]Entry!$J$257)</f>
        <v/>
      </c>
      <c r="U254">
        <f>IF([2]Entry!$K$257="","",[2]Entry!$K$257)</f>
        <v/>
      </c>
      <c r="V254">
        <f>IF([2]Entry!$L$257="","",[2]Entry!$L$257)</f>
        <v/>
      </c>
      <c r="W254">
        <f>IF([2]Entry!$M$257="","",[2]Entry!$M$257)</f>
        <v/>
      </c>
      <c r="X254">
        <f>IF([2]Entry!$N$257="","",[2]Entry!$N$257)</f>
        <v/>
      </c>
      <c r="Y254">
        <f>IF([2]Entry!$R$257="","",[2]Entry!$R$257)</f>
        <v/>
      </c>
    </row>
    <row r="255">
      <c r="J255">
        <f>IF([1]Accounts!$D$256="","",[1]Accounts!$A$256)</f>
        <v/>
      </c>
      <c r="K255">
        <f>IF([1]Accounts!$D$256="","",[1]Accounts!$B$256)</f>
        <v/>
      </c>
      <c r="L255">
        <f>IF([1]Accounts!$D$256="","",[1]Accounts!$C$256)</f>
        <v/>
      </c>
      <c r="M255">
        <f>IF([1]Accounts!$D$256="","",[1]Accounts!$D$256)</f>
        <v/>
      </c>
      <c r="P255">
        <f>IF([2]Entry!$C$258="","",[2]Entry!$C$258)</f>
        <v/>
      </c>
      <c r="Q255">
        <f>IF([2]Entry!$D$258="","",[2]Entry!$D$258)</f>
        <v/>
      </c>
      <c r="R255">
        <f>IF([2]Entry!$E$258="","",[2]Entry!$E$258)</f>
        <v/>
      </c>
      <c r="S255">
        <f>IF([2]Entry!$G$258="","",[2]Entry!$G$258)</f>
        <v/>
      </c>
      <c r="T255">
        <f>IF([2]Entry!$J$258="","",[2]Entry!$J$258)</f>
        <v/>
      </c>
      <c r="U255">
        <f>IF([2]Entry!$K$258="","",[2]Entry!$K$258)</f>
        <v/>
      </c>
      <c r="V255">
        <f>IF([2]Entry!$L$258="","",[2]Entry!$L$258)</f>
        <v/>
      </c>
      <c r="W255">
        <f>IF([2]Entry!$M$258="","",[2]Entry!$M$258)</f>
        <v/>
      </c>
      <c r="X255">
        <f>IF([2]Entry!$N$258="","",[2]Entry!$N$258)</f>
        <v/>
      </c>
      <c r="Y255">
        <f>IF([2]Entry!$R$258="","",[2]Entry!$R$258)</f>
        <v/>
      </c>
    </row>
    <row r="256">
      <c r="J256">
        <f>IF([1]Accounts!$D$257="","",[1]Accounts!$A$257)</f>
        <v/>
      </c>
      <c r="K256">
        <f>IF([1]Accounts!$D$257="","",[1]Accounts!$B$257)</f>
        <v/>
      </c>
      <c r="L256">
        <f>IF([1]Accounts!$D$257="","",[1]Accounts!$C$257)</f>
        <v/>
      </c>
      <c r="M256">
        <f>IF([1]Accounts!$D$257="","",[1]Accounts!$D$257)</f>
        <v/>
      </c>
      <c r="P256">
        <f>IF([2]Entry!$C$259="","",[2]Entry!$C$259)</f>
        <v/>
      </c>
      <c r="Q256">
        <f>IF([2]Entry!$D$259="","",[2]Entry!$D$259)</f>
        <v/>
      </c>
      <c r="R256">
        <f>IF([2]Entry!$E$259="","",[2]Entry!$E$259)</f>
        <v/>
      </c>
      <c r="S256">
        <f>IF([2]Entry!$G$259="","",[2]Entry!$G$259)</f>
        <v/>
      </c>
      <c r="T256">
        <f>IF([2]Entry!$J$259="","",[2]Entry!$J$259)</f>
        <v/>
      </c>
      <c r="U256">
        <f>IF([2]Entry!$K$259="","",[2]Entry!$K$259)</f>
        <v/>
      </c>
      <c r="V256">
        <f>IF([2]Entry!$L$259="","",[2]Entry!$L$259)</f>
        <v/>
      </c>
      <c r="W256">
        <f>IF([2]Entry!$M$259="","",[2]Entry!$M$259)</f>
        <v/>
      </c>
      <c r="X256">
        <f>IF([2]Entry!$N$259="","",[2]Entry!$N$259)</f>
        <v/>
      </c>
      <c r="Y256">
        <f>IF([2]Entry!$R$259="","",[2]Entry!$R$259)</f>
        <v/>
      </c>
    </row>
    <row r="257">
      <c r="J257">
        <f>IF([1]Accounts!$D$258="","",[1]Accounts!$A$258)</f>
        <v/>
      </c>
      <c r="K257">
        <f>IF([1]Accounts!$D$258="","",[1]Accounts!$B$258)</f>
        <v/>
      </c>
      <c r="L257">
        <f>IF([1]Accounts!$D$258="","",[1]Accounts!$C$258)</f>
        <v/>
      </c>
      <c r="M257">
        <f>IF([1]Accounts!$D$258="","",[1]Accounts!$D$258)</f>
        <v/>
      </c>
      <c r="P257">
        <f>IF([2]Entry!$C$260="","",[2]Entry!$C$260)</f>
        <v/>
      </c>
      <c r="Q257">
        <f>IF([2]Entry!$D$260="","",[2]Entry!$D$260)</f>
        <v/>
      </c>
      <c r="R257">
        <f>IF([2]Entry!$E$260="","",[2]Entry!$E$260)</f>
        <v/>
      </c>
      <c r="S257">
        <f>IF([2]Entry!$G$260="","",[2]Entry!$G$260)</f>
        <v/>
      </c>
      <c r="T257">
        <f>IF([2]Entry!$J$260="","",[2]Entry!$J$260)</f>
        <v/>
      </c>
      <c r="U257">
        <f>IF([2]Entry!$K$260="","",[2]Entry!$K$260)</f>
        <v/>
      </c>
      <c r="V257">
        <f>IF([2]Entry!$L$260="","",[2]Entry!$L$260)</f>
        <v/>
      </c>
      <c r="W257">
        <f>IF([2]Entry!$M$260="","",[2]Entry!$M$260)</f>
        <v/>
      </c>
      <c r="X257">
        <f>IF([2]Entry!$N$260="","",[2]Entry!$N$260)</f>
        <v/>
      </c>
      <c r="Y257">
        <f>IF([2]Entry!$R$260="","",[2]Entry!$R$260)</f>
        <v/>
      </c>
    </row>
    <row r="258">
      <c r="J258">
        <f>IF([1]Accounts!$D$259="","",[1]Accounts!$A$259)</f>
        <v/>
      </c>
      <c r="K258">
        <f>IF([1]Accounts!$D$259="","",[1]Accounts!$B$259)</f>
        <v/>
      </c>
      <c r="L258">
        <f>IF([1]Accounts!$D$259="","",[1]Accounts!$C$259)</f>
        <v/>
      </c>
      <c r="M258">
        <f>IF([1]Accounts!$D$259="","",[1]Accounts!$D$259)</f>
        <v/>
      </c>
      <c r="P258">
        <f>IF([2]Entry!$C$261="","",[2]Entry!$C$261)</f>
        <v/>
      </c>
      <c r="Q258">
        <f>IF([2]Entry!$D$261="","",[2]Entry!$D$261)</f>
        <v/>
      </c>
      <c r="R258">
        <f>IF([2]Entry!$E$261="","",[2]Entry!$E$261)</f>
        <v/>
      </c>
      <c r="S258">
        <f>IF([2]Entry!$G$261="","",[2]Entry!$G$261)</f>
        <v/>
      </c>
      <c r="T258">
        <f>IF([2]Entry!$J$261="","",[2]Entry!$J$261)</f>
        <v/>
      </c>
      <c r="U258">
        <f>IF([2]Entry!$K$261="","",[2]Entry!$K$261)</f>
        <v/>
      </c>
      <c r="V258">
        <f>IF([2]Entry!$L$261="","",[2]Entry!$L$261)</f>
        <v/>
      </c>
      <c r="W258">
        <f>IF([2]Entry!$M$261="","",[2]Entry!$M$261)</f>
        <v/>
      </c>
      <c r="X258">
        <f>IF([2]Entry!$N$261="","",[2]Entry!$N$261)</f>
        <v/>
      </c>
      <c r="Y258">
        <f>IF([2]Entry!$R$261="","",[2]Entry!$R$261)</f>
        <v/>
      </c>
    </row>
    <row r="259">
      <c r="J259">
        <f>IF([1]Accounts!$D$260="","",[1]Accounts!$A$260)</f>
        <v/>
      </c>
      <c r="K259">
        <f>IF([1]Accounts!$D$260="","",[1]Accounts!$B$260)</f>
        <v/>
      </c>
      <c r="L259">
        <f>IF([1]Accounts!$D$260="","",[1]Accounts!$C$260)</f>
        <v/>
      </c>
      <c r="M259">
        <f>IF([1]Accounts!$D$260="","",[1]Accounts!$D$260)</f>
        <v/>
      </c>
      <c r="P259">
        <f>IF([2]Entry!$C$262="","",[2]Entry!$C$262)</f>
        <v/>
      </c>
      <c r="Q259">
        <f>IF([2]Entry!$D$262="","",[2]Entry!$D$262)</f>
        <v/>
      </c>
      <c r="R259">
        <f>IF([2]Entry!$E$262="","",[2]Entry!$E$262)</f>
        <v/>
      </c>
      <c r="S259">
        <f>IF([2]Entry!$G$262="","",[2]Entry!$G$262)</f>
        <v/>
      </c>
      <c r="T259">
        <f>IF([2]Entry!$J$262="","",[2]Entry!$J$262)</f>
        <v/>
      </c>
      <c r="U259">
        <f>IF([2]Entry!$K$262="","",[2]Entry!$K$262)</f>
        <v/>
      </c>
      <c r="V259">
        <f>IF([2]Entry!$L$262="","",[2]Entry!$L$262)</f>
        <v/>
      </c>
      <c r="W259">
        <f>IF([2]Entry!$M$262="","",[2]Entry!$M$262)</f>
        <v/>
      </c>
      <c r="X259">
        <f>IF([2]Entry!$N$262="","",[2]Entry!$N$262)</f>
        <v/>
      </c>
      <c r="Y259">
        <f>IF([2]Entry!$R$262="","",[2]Entry!$R$262)</f>
        <v/>
      </c>
    </row>
    <row r="260">
      <c r="J260">
        <f>IF([1]Accounts!$D$261="","",[1]Accounts!$A$261)</f>
        <v/>
      </c>
      <c r="K260">
        <f>IF([1]Accounts!$D$261="","",[1]Accounts!$B$261)</f>
        <v/>
      </c>
      <c r="L260">
        <f>IF([1]Accounts!$D$261="","",[1]Accounts!$C$261)</f>
        <v/>
      </c>
      <c r="M260">
        <f>IF([1]Accounts!$D$261="","",[1]Accounts!$D$261)</f>
        <v/>
      </c>
      <c r="P260">
        <f>IF([2]Entry!$C$263="","",[2]Entry!$C$263)</f>
        <v/>
      </c>
      <c r="Q260">
        <f>IF([2]Entry!$D$263="","",[2]Entry!$D$263)</f>
        <v/>
      </c>
      <c r="R260">
        <f>IF([2]Entry!$E$263="","",[2]Entry!$E$263)</f>
        <v/>
      </c>
      <c r="S260">
        <f>IF([2]Entry!$G$263="","",[2]Entry!$G$263)</f>
        <v/>
      </c>
      <c r="T260">
        <f>IF([2]Entry!$J$263="","",[2]Entry!$J$263)</f>
        <v/>
      </c>
      <c r="U260">
        <f>IF([2]Entry!$K$263="","",[2]Entry!$K$263)</f>
        <v/>
      </c>
      <c r="V260">
        <f>IF([2]Entry!$L$263="","",[2]Entry!$L$263)</f>
        <v/>
      </c>
      <c r="W260">
        <f>IF([2]Entry!$M$263="","",[2]Entry!$M$263)</f>
        <v/>
      </c>
      <c r="X260">
        <f>IF([2]Entry!$N$263="","",[2]Entry!$N$263)</f>
        <v/>
      </c>
      <c r="Y260">
        <f>IF([2]Entry!$R$263="","",[2]Entry!$R$263)</f>
        <v/>
      </c>
    </row>
    <row r="261">
      <c r="J261">
        <f>IF([1]Accounts!$D$262="","",[1]Accounts!$A$262)</f>
        <v/>
      </c>
      <c r="K261">
        <f>IF([1]Accounts!$D$262="","",[1]Accounts!$B$262)</f>
        <v/>
      </c>
      <c r="L261">
        <f>IF([1]Accounts!$D$262="","",[1]Accounts!$C$262)</f>
        <v/>
      </c>
      <c r="M261">
        <f>IF([1]Accounts!$D$262="","",[1]Accounts!$D$262)</f>
        <v/>
      </c>
      <c r="P261">
        <f>IF([2]Entry!$C$264="","",[2]Entry!$C$264)</f>
        <v/>
      </c>
      <c r="Q261">
        <f>IF([2]Entry!$D$264="","",[2]Entry!$D$264)</f>
        <v/>
      </c>
      <c r="R261">
        <f>IF([2]Entry!$E$264="","",[2]Entry!$E$264)</f>
        <v/>
      </c>
      <c r="S261">
        <f>IF([2]Entry!$G$264="","",[2]Entry!$G$264)</f>
        <v/>
      </c>
      <c r="T261">
        <f>IF([2]Entry!$J$264="","",[2]Entry!$J$264)</f>
        <v/>
      </c>
      <c r="U261">
        <f>IF([2]Entry!$K$264="","",[2]Entry!$K$264)</f>
        <v/>
      </c>
      <c r="V261">
        <f>IF([2]Entry!$L$264="","",[2]Entry!$L$264)</f>
        <v/>
      </c>
      <c r="W261">
        <f>IF([2]Entry!$M$264="","",[2]Entry!$M$264)</f>
        <v/>
      </c>
      <c r="X261">
        <f>IF([2]Entry!$N$264="","",[2]Entry!$N$264)</f>
        <v/>
      </c>
      <c r="Y261">
        <f>IF([2]Entry!$R$264="","",[2]Entry!$R$264)</f>
        <v/>
      </c>
    </row>
    <row r="262">
      <c r="J262">
        <f>IF([1]Accounts!$D$263="","",[1]Accounts!$A$263)</f>
        <v/>
      </c>
      <c r="K262">
        <f>IF([1]Accounts!$D$263="","",[1]Accounts!$B$263)</f>
        <v/>
      </c>
      <c r="L262">
        <f>IF([1]Accounts!$D$263="","",[1]Accounts!$C$263)</f>
        <v/>
      </c>
      <c r="M262">
        <f>IF([1]Accounts!$D$263="","",[1]Accounts!$D$263)</f>
        <v/>
      </c>
      <c r="P262">
        <f>IF([2]Entry!$C$265="","",[2]Entry!$C$265)</f>
        <v/>
      </c>
      <c r="Q262">
        <f>IF([2]Entry!$D$265="","",[2]Entry!$D$265)</f>
        <v/>
      </c>
      <c r="R262">
        <f>IF([2]Entry!$E$265="","",[2]Entry!$E$265)</f>
        <v/>
      </c>
      <c r="S262">
        <f>IF([2]Entry!$G$265="","",[2]Entry!$G$265)</f>
        <v/>
      </c>
      <c r="T262">
        <f>IF([2]Entry!$J$265="","",[2]Entry!$J$265)</f>
        <v/>
      </c>
      <c r="U262">
        <f>IF([2]Entry!$K$265="","",[2]Entry!$K$265)</f>
        <v/>
      </c>
      <c r="V262">
        <f>IF([2]Entry!$L$265="","",[2]Entry!$L$265)</f>
        <v/>
      </c>
      <c r="W262">
        <f>IF([2]Entry!$M$265="","",[2]Entry!$M$265)</f>
        <v/>
      </c>
      <c r="X262">
        <f>IF([2]Entry!$N$265="","",[2]Entry!$N$265)</f>
        <v/>
      </c>
      <c r="Y262">
        <f>IF([2]Entry!$R$265="","",[2]Entry!$R$265)</f>
        <v/>
      </c>
    </row>
    <row r="263">
      <c r="J263">
        <f>IF([1]Accounts!$D$264="","",[1]Accounts!$A$264)</f>
        <v/>
      </c>
      <c r="K263">
        <f>IF([1]Accounts!$D$264="","",[1]Accounts!$B$264)</f>
        <v/>
      </c>
      <c r="L263">
        <f>IF([1]Accounts!$D$264="","",[1]Accounts!$C$264)</f>
        <v/>
      </c>
      <c r="M263">
        <f>IF([1]Accounts!$D$264="","",[1]Accounts!$D$264)</f>
        <v/>
      </c>
      <c r="P263">
        <f>IF([2]Entry!$C$266="","",[2]Entry!$C$266)</f>
        <v/>
      </c>
      <c r="Q263">
        <f>IF([2]Entry!$D$266="","",[2]Entry!$D$266)</f>
        <v/>
      </c>
      <c r="R263">
        <f>IF([2]Entry!$E$266="","",[2]Entry!$E$266)</f>
        <v/>
      </c>
      <c r="S263">
        <f>IF([2]Entry!$G$266="","",[2]Entry!$G$266)</f>
        <v/>
      </c>
      <c r="T263">
        <f>IF([2]Entry!$J$266="","",[2]Entry!$J$266)</f>
        <v/>
      </c>
      <c r="U263">
        <f>IF([2]Entry!$K$266="","",[2]Entry!$K$266)</f>
        <v/>
      </c>
      <c r="V263">
        <f>IF([2]Entry!$L$266="","",[2]Entry!$L$266)</f>
        <v/>
      </c>
      <c r="W263">
        <f>IF([2]Entry!$M$266="","",[2]Entry!$M$266)</f>
        <v/>
      </c>
      <c r="X263">
        <f>IF([2]Entry!$N$266="","",[2]Entry!$N$266)</f>
        <v/>
      </c>
      <c r="Y263">
        <f>IF([2]Entry!$R$266="","",[2]Entry!$R$266)</f>
        <v/>
      </c>
    </row>
    <row r="264">
      <c r="J264">
        <f>IF([1]Accounts!$D$265="","",[1]Accounts!$A$265)</f>
        <v/>
      </c>
      <c r="K264">
        <f>IF([1]Accounts!$D$265="","",[1]Accounts!$B$265)</f>
        <v/>
      </c>
      <c r="L264">
        <f>IF([1]Accounts!$D$265="","",[1]Accounts!$C$265)</f>
        <v/>
      </c>
      <c r="M264">
        <f>IF([1]Accounts!$D$265="","",[1]Accounts!$D$265)</f>
        <v/>
      </c>
      <c r="P264">
        <f>IF([2]Entry!$C$267="","",[2]Entry!$C$267)</f>
        <v/>
      </c>
      <c r="Q264">
        <f>IF([2]Entry!$D$267="","",[2]Entry!$D$267)</f>
        <v/>
      </c>
      <c r="R264">
        <f>IF([2]Entry!$E$267="","",[2]Entry!$E$267)</f>
        <v/>
      </c>
      <c r="S264">
        <f>IF([2]Entry!$G$267="","",[2]Entry!$G$267)</f>
        <v/>
      </c>
      <c r="T264">
        <f>IF([2]Entry!$J$267="","",[2]Entry!$J$267)</f>
        <v/>
      </c>
      <c r="U264">
        <f>IF([2]Entry!$K$267="","",[2]Entry!$K$267)</f>
        <v/>
      </c>
      <c r="V264">
        <f>IF([2]Entry!$L$267="","",[2]Entry!$L$267)</f>
        <v/>
      </c>
      <c r="W264">
        <f>IF([2]Entry!$M$267="","",[2]Entry!$M$267)</f>
        <v/>
      </c>
      <c r="X264">
        <f>IF([2]Entry!$N$267="","",[2]Entry!$N$267)</f>
        <v/>
      </c>
      <c r="Y264">
        <f>IF([2]Entry!$R$267="","",[2]Entry!$R$267)</f>
        <v/>
      </c>
    </row>
    <row r="265">
      <c r="J265">
        <f>IF([1]Accounts!$D$266="","",[1]Accounts!$A$266)</f>
        <v/>
      </c>
      <c r="K265">
        <f>IF([1]Accounts!$D$266="","",[1]Accounts!$B$266)</f>
        <v/>
      </c>
      <c r="L265">
        <f>IF([1]Accounts!$D$266="","",[1]Accounts!$C$266)</f>
        <v/>
      </c>
      <c r="M265">
        <f>IF([1]Accounts!$D$266="","",[1]Accounts!$D$266)</f>
        <v/>
      </c>
      <c r="P265">
        <f>IF([2]Entry!$C$268="","",[2]Entry!$C$268)</f>
        <v/>
      </c>
      <c r="Q265">
        <f>IF([2]Entry!$D$268="","",[2]Entry!$D$268)</f>
        <v/>
      </c>
      <c r="R265">
        <f>IF([2]Entry!$E$268="","",[2]Entry!$E$268)</f>
        <v/>
      </c>
      <c r="S265">
        <f>IF([2]Entry!$G$268="","",[2]Entry!$G$268)</f>
        <v/>
      </c>
      <c r="T265">
        <f>IF([2]Entry!$J$268="","",[2]Entry!$J$268)</f>
        <v/>
      </c>
      <c r="U265">
        <f>IF([2]Entry!$K$268="","",[2]Entry!$K$268)</f>
        <v/>
      </c>
      <c r="V265">
        <f>IF([2]Entry!$L$268="","",[2]Entry!$L$268)</f>
        <v/>
      </c>
      <c r="W265">
        <f>IF([2]Entry!$M$268="","",[2]Entry!$M$268)</f>
        <v/>
      </c>
      <c r="X265">
        <f>IF([2]Entry!$N$268="","",[2]Entry!$N$268)</f>
        <v/>
      </c>
      <c r="Y265">
        <f>IF([2]Entry!$R$268="","",[2]Entry!$R$268)</f>
        <v/>
      </c>
    </row>
    <row r="266">
      <c r="J266">
        <f>IF([1]Accounts!$D$267="","",[1]Accounts!$A$267)</f>
        <v/>
      </c>
      <c r="K266">
        <f>IF([1]Accounts!$D$267="","",[1]Accounts!$B$267)</f>
        <v/>
      </c>
      <c r="L266">
        <f>IF([1]Accounts!$D$267="","",[1]Accounts!$C$267)</f>
        <v/>
      </c>
      <c r="M266">
        <f>IF([1]Accounts!$D$267="","",[1]Accounts!$D$267)</f>
        <v/>
      </c>
      <c r="P266">
        <f>IF([2]Entry!$C$269="","",[2]Entry!$C$269)</f>
        <v/>
      </c>
      <c r="Q266">
        <f>IF([2]Entry!$D$269="","",[2]Entry!$D$269)</f>
        <v/>
      </c>
      <c r="R266">
        <f>IF([2]Entry!$E$269="","",[2]Entry!$E$269)</f>
        <v/>
      </c>
      <c r="S266">
        <f>IF([2]Entry!$G$269="","",[2]Entry!$G$269)</f>
        <v/>
      </c>
      <c r="T266">
        <f>IF([2]Entry!$J$269="","",[2]Entry!$J$269)</f>
        <v/>
      </c>
      <c r="U266">
        <f>IF([2]Entry!$K$269="","",[2]Entry!$K$269)</f>
        <v/>
      </c>
      <c r="V266">
        <f>IF([2]Entry!$L$269="","",[2]Entry!$L$269)</f>
        <v/>
      </c>
      <c r="W266">
        <f>IF([2]Entry!$M$269="","",[2]Entry!$M$269)</f>
        <v/>
      </c>
      <c r="X266">
        <f>IF([2]Entry!$N$269="","",[2]Entry!$N$269)</f>
        <v/>
      </c>
      <c r="Y266">
        <f>IF([2]Entry!$R$269="","",[2]Entry!$R$269)</f>
        <v/>
      </c>
    </row>
    <row r="267">
      <c r="J267">
        <f>IF([1]Accounts!$D$268="","",[1]Accounts!$A$268)</f>
        <v/>
      </c>
      <c r="K267">
        <f>IF([1]Accounts!$D$268="","",[1]Accounts!$B$268)</f>
        <v/>
      </c>
      <c r="L267">
        <f>IF([1]Accounts!$D$268="","",[1]Accounts!$C$268)</f>
        <v/>
      </c>
      <c r="M267">
        <f>IF([1]Accounts!$D$268="","",[1]Accounts!$D$268)</f>
        <v/>
      </c>
      <c r="P267">
        <f>IF([2]Entry!$C$270="","",[2]Entry!$C$270)</f>
        <v/>
      </c>
      <c r="Q267">
        <f>IF([2]Entry!$D$270="","",[2]Entry!$D$270)</f>
        <v/>
      </c>
      <c r="R267">
        <f>IF([2]Entry!$E$270="","",[2]Entry!$E$270)</f>
        <v/>
      </c>
      <c r="S267">
        <f>IF([2]Entry!$G$270="","",[2]Entry!$G$270)</f>
        <v/>
      </c>
      <c r="T267">
        <f>IF([2]Entry!$J$270="","",[2]Entry!$J$270)</f>
        <v/>
      </c>
      <c r="U267">
        <f>IF([2]Entry!$K$270="","",[2]Entry!$K$270)</f>
        <v/>
      </c>
      <c r="V267">
        <f>IF([2]Entry!$L$270="","",[2]Entry!$L$270)</f>
        <v/>
      </c>
      <c r="W267">
        <f>IF([2]Entry!$M$270="","",[2]Entry!$M$270)</f>
        <v/>
      </c>
      <c r="X267">
        <f>IF([2]Entry!$N$270="","",[2]Entry!$N$270)</f>
        <v/>
      </c>
      <c r="Y267">
        <f>IF([2]Entry!$R$270="","",[2]Entry!$R$270)</f>
        <v/>
      </c>
    </row>
    <row r="268">
      <c r="J268">
        <f>IF([1]Accounts!$D$269="","",[1]Accounts!$A$269)</f>
        <v/>
      </c>
      <c r="K268">
        <f>IF([1]Accounts!$D$269="","",[1]Accounts!$B$269)</f>
        <v/>
      </c>
      <c r="L268">
        <f>IF([1]Accounts!$D$269="","",[1]Accounts!$C$269)</f>
        <v/>
      </c>
      <c r="M268">
        <f>IF([1]Accounts!$D$269="","",[1]Accounts!$D$269)</f>
        <v/>
      </c>
      <c r="P268">
        <f>IF([2]Entry!$C$271="","",[2]Entry!$C$271)</f>
        <v/>
      </c>
      <c r="Q268">
        <f>IF([2]Entry!$D$271="","",[2]Entry!$D$271)</f>
        <v/>
      </c>
      <c r="R268">
        <f>IF([2]Entry!$E$271="","",[2]Entry!$E$271)</f>
        <v/>
      </c>
      <c r="S268">
        <f>IF([2]Entry!$G$271="","",[2]Entry!$G$271)</f>
        <v/>
      </c>
      <c r="T268">
        <f>IF([2]Entry!$J$271="","",[2]Entry!$J$271)</f>
        <v/>
      </c>
      <c r="U268">
        <f>IF([2]Entry!$K$271="","",[2]Entry!$K$271)</f>
        <v/>
      </c>
      <c r="V268">
        <f>IF([2]Entry!$L$271="","",[2]Entry!$L$271)</f>
        <v/>
      </c>
      <c r="W268">
        <f>IF([2]Entry!$M$271="","",[2]Entry!$M$271)</f>
        <v/>
      </c>
      <c r="X268">
        <f>IF([2]Entry!$N$271="","",[2]Entry!$N$271)</f>
        <v/>
      </c>
      <c r="Y268">
        <f>IF([2]Entry!$R$271="","",[2]Entry!$R$271)</f>
        <v/>
      </c>
    </row>
    <row r="269">
      <c r="J269">
        <f>IF([1]Accounts!$D$270="","",[1]Accounts!$A$270)</f>
        <v/>
      </c>
      <c r="K269">
        <f>IF([1]Accounts!$D$270="","",[1]Accounts!$B$270)</f>
        <v/>
      </c>
      <c r="L269">
        <f>IF([1]Accounts!$D$270="","",[1]Accounts!$C$270)</f>
        <v/>
      </c>
      <c r="M269">
        <f>IF([1]Accounts!$D$270="","",[1]Accounts!$D$270)</f>
        <v/>
      </c>
      <c r="P269">
        <f>IF([2]Entry!$C$272="","",[2]Entry!$C$272)</f>
        <v/>
      </c>
      <c r="Q269">
        <f>IF([2]Entry!$D$272="","",[2]Entry!$D$272)</f>
        <v/>
      </c>
      <c r="R269">
        <f>IF([2]Entry!$E$272="","",[2]Entry!$E$272)</f>
        <v/>
      </c>
      <c r="S269">
        <f>IF([2]Entry!$G$272="","",[2]Entry!$G$272)</f>
        <v/>
      </c>
      <c r="T269">
        <f>IF([2]Entry!$J$272="","",[2]Entry!$J$272)</f>
        <v/>
      </c>
      <c r="U269">
        <f>IF([2]Entry!$K$272="","",[2]Entry!$K$272)</f>
        <v/>
      </c>
      <c r="V269">
        <f>IF([2]Entry!$L$272="","",[2]Entry!$L$272)</f>
        <v/>
      </c>
      <c r="W269">
        <f>IF([2]Entry!$M$272="","",[2]Entry!$M$272)</f>
        <v/>
      </c>
      <c r="X269">
        <f>IF([2]Entry!$N$272="","",[2]Entry!$N$272)</f>
        <v/>
      </c>
      <c r="Y269">
        <f>IF([2]Entry!$R$272="","",[2]Entry!$R$272)</f>
        <v/>
      </c>
    </row>
    <row r="270">
      <c r="J270">
        <f>IF([1]Accounts!$D$271="","",[1]Accounts!$A$271)</f>
        <v/>
      </c>
      <c r="K270">
        <f>IF([1]Accounts!$D$271="","",[1]Accounts!$B$271)</f>
        <v/>
      </c>
      <c r="L270">
        <f>IF([1]Accounts!$D$271="","",[1]Accounts!$C$271)</f>
        <v/>
      </c>
      <c r="M270">
        <f>IF([1]Accounts!$D$271="","",[1]Accounts!$D$271)</f>
        <v/>
      </c>
      <c r="P270">
        <f>IF([2]Entry!$C$273="","",[2]Entry!$C$273)</f>
        <v/>
      </c>
      <c r="Q270">
        <f>IF([2]Entry!$D$273="","",[2]Entry!$D$273)</f>
        <v/>
      </c>
      <c r="R270">
        <f>IF([2]Entry!$E$273="","",[2]Entry!$E$273)</f>
        <v/>
      </c>
      <c r="S270">
        <f>IF([2]Entry!$G$273="","",[2]Entry!$G$273)</f>
        <v/>
      </c>
      <c r="T270">
        <f>IF([2]Entry!$J$273="","",[2]Entry!$J$273)</f>
        <v/>
      </c>
      <c r="U270">
        <f>IF([2]Entry!$K$273="","",[2]Entry!$K$273)</f>
        <v/>
      </c>
      <c r="V270">
        <f>IF([2]Entry!$L$273="","",[2]Entry!$L$273)</f>
        <v/>
      </c>
      <c r="W270">
        <f>IF([2]Entry!$M$273="","",[2]Entry!$M$273)</f>
        <v/>
      </c>
      <c r="X270">
        <f>IF([2]Entry!$N$273="","",[2]Entry!$N$273)</f>
        <v/>
      </c>
      <c r="Y270">
        <f>IF([2]Entry!$R$273="","",[2]Entry!$R$273)</f>
        <v/>
      </c>
    </row>
    <row r="271">
      <c r="J271">
        <f>IF([1]Accounts!$D$272="","",[1]Accounts!$A$272)</f>
        <v/>
      </c>
      <c r="K271">
        <f>IF([1]Accounts!$D$272="","",[1]Accounts!$B$272)</f>
        <v/>
      </c>
      <c r="L271">
        <f>IF([1]Accounts!$D$272="","",[1]Accounts!$C$272)</f>
        <v/>
      </c>
      <c r="M271">
        <f>IF([1]Accounts!$D$272="","",[1]Accounts!$D$272)</f>
        <v/>
      </c>
      <c r="P271">
        <f>IF([2]Entry!$C$274="","",[2]Entry!$C$274)</f>
        <v/>
      </c>
      <c r="Q271">
        <f>IF([2]Entry!$D$274="","",[2]Entry!$D$274)</f>
        <v/>
      </c>
      <c r="R271">
        <f>IF([2]Entry!$E$274="","",[2]Entry!$E$274)</f>
        <v/>
      </c>
      <c r="S271">
        <f>IF([2]Entry!$G$274="","",[2]Entry!$G$274)</f>
        <v/>
      </c>
      <c r="T271">
        <f>IF([2]Entry!$J$274="","",[2]Entry!$J$274)</f>
        <v/>
      </c>
      <c r="U271">
        <f>IF([2]Entry!$K$274="","",[2]Entry!$K$274)</f>
        <v/>
      </c>
      <c r="V271">
        <f>IF([2]Entry!$L$274="","",[2]Entry!$L$274)</f>
        <v/>
      </c>
      <c r="W271">
        <f>IF([2]Entry!$M$274="","",[2]Entry!$M$274)</f>
        <v/>
      </c>
      <c r="X271">
        <f>IF([2]Entry!$N$274="","",[2]Entry!$N$274)</f>
        <v/>
      </c>
      <c r="Y271">
        <f>IF([2]Entry!$R$274="","",[2]Entry!$R$274)</f>
        <v/>
      </c>
    </row>
    <row r="272">
      <c r="J272">
        <f>IF([1]Accounts!$D$273="","",[1]Accounts!$A$273)</f>
        <v/>
      </c>
      <c r="K272">
        <f>IF([1]Accounts!$D$273="","",[1]Accounts!$B$273)</f>
        <v/>
      </c>
      <c r="L272">
        <f>IF([1]Accounts!$D$273="","",[1]Accounts!$C$273)</f>
        <v/>
      </c>
      <c r="M272">
        <f>IF([1]Accounts!$D$273="","",[1]Accounts!$D$273)</f>
        <v/>
      </c>
      <c r="P272">
        <f>IF([2]Entry!$C$275="","",[2]Entry!$C$275)</f>
        <v/>
      </c>
      <c r="Q272">
        <f>IF([2]Entry!$D$275="","",[2]Entry!$D$275)</f>
        <v/>
      </c>
      <c r="R272">
        <f>IF([2]Entry!$E$275="","",[2]Entry!$E$275)</f>
        <v/>
      </c>
      <c r="S272">
        <f>IF([2]Entry!$G$275="","",[2]Entry!$G$275)</f>
        <v/>
      </c>
      <c r="T272">
        <f>IF([2]Entry!$J$275="","",[2]Entry!$J$275)</f>
        <v/>
      </c>
      <c r="U272">
        <f>IF([2]Entry!$K$275="","",[2]Entry!$K$275)</f>
        <v/>
      </c>
      <c r="V272">
        <f>IF([2]Entry!$L$275="","",[2]Entry!$L$275)</f>
        <v/>
      </c>
      <c r="W272">
        <f>IF([2]Entry!$M$275="","",[2]Entry!$M$275)</f>
        <v/>
      </c>
      <c r="X272">
        <f>IF([2]Entry!$N$275="","",[2]Entry!$N$275)</f>
        <v/>
      </c>
      <c r="Y272">
        <f>IF([2]Entry!$R$275="","",[2]Entry!$R$275)</f>
        <v/>
      </c>
    </row>
    <row r="273">
      <c r="J273">
        <f>IF([1]Accounts!$D$274="","",[1]Accounts!$A$274)</f>
        <v/>
      </c>
      <c r="K273">
        <f>IF([1]Accounts!$D$274="","",[1]Accounts!$B$274)</f>
        <v/>
      </c>
      <c r="L273">
        <f>IF([1]Accounts!$D$274="","",[1]Accounts!$C$274)</f>
        <v/>
      </c>
      <c r="M273">
        <f>IF([1]Accounts!$D$274="","",[1]Accounts!$D$274)</f>
        <v/>
      </c>
      <c r="P273">
        <f>IF([2]Entry!$C$276="","",[2]Entry!$C$276)</f>
        <v/>
      </c>
      <c r="Q273">
        <f>IF([2]Entry!$D$276="","",[2]Entry!$D$276)</f>
        <v/>
      </c>
      <c r="R273">
        <f>IF([2]Entry!$E$276="","",[2]Entry!$E$276)</f>
        <v/>
      </c>
      <c r="S273">
        <f>IF([2]Entry!$G$276="","",[2]Entry!$G$276)</f>
        <v/>
      </c>
      <c r="T273">
        <f>IF([2]Entry!$J$276="","",[2]Entry!$J$276)</f>
        <v/>
      </c>
      <c r="U273">
        <f>IF([2]Entry!$K$276="","",[2]Entry!$K$276)</f>
        <v/>
      </c>
      <c r="V273">
        <f>IF([2]Entry!$L$276="","",[2]Entry!$L$276)</f>
        <v/>
      </c>
      <c r="W273">
        <f>IF([2]Entry!$M$276="","",[2]Entry!$M$276)</f>
        <v/>
      </c>
      <c r="X273">
        <f>IF([2]Entry!$N$276="","",[2]Entry!$N$276)</f>
        <v/>
      </c>
      <c r="Y273">
        <f>IF([2]Entry!$R$276="","",[2]Entry!$R$276)</f>
        <v/>
      </c>
    </row>
    <row r="274">
      <c r="J274">
        <f>IF([1]Accounts!$D$275="","",[1]Accounts!$A$275)</f>
        <v/>
      </c>
      <c r="K274">
        <f>IF([1]Accounts!$D$275="","",[1]Accounts!$B$275)</f>
        <v/>
      </c>
      <c r="L274">
        <f>IF([1]Accounts!$D$275="","",[1]Accounts!$C$275)</f>
        <v/>
      </c>
      <c r="M274">
        <f>IF([1]Accounts!$D$275="","",[1]Accounts!$D$275)</f>
        <v/>
      </c>
      <c r="P274">
        <f>IF([2]Entry!$C$277="","",[2]Entry!$C$277)</f>
        <v/>
      </c>
      <c r="Q274">
        <f>IF([2]Entry!$D$277="","",[2]Entry!$D$277)</f>
        <v/>
      </c>
      <c r="R274">
        <f>IF([2]Entry!$E$277="","",[2]Entry!$E$277)</f>
        <v/>
      </c>
      <c r="S274">
        <f>IF([2]Entry!$G$277="","",[2]Entry!$G$277)</f>
        <v/>
      </c>
      <c r="T274">
        <f>IF([2]Entry!$J$277="","",[2]Entry!$J$277)</f>
        <v/>
      </c>
      <c r="U274">
        <f>IF([2]Entry!$K$277="","",[2]Entry!$K$277)</f>
        <v/>
      </c>
      <c r="V274">
        <f>IF([2]Entry!$L$277="","",[2]Entry!$L$277)</f>
        <v/>
      </c>
      <c r="W274">
        <f>IF([2]Entry!$M$277="","",[2]Entry!$M$277)</f>
        <v/>
      </c>
      <c r="X274">
        <f>IF([2]Entry!$N$277="","",[2]Entry!$N$277)</f>
        <v/>
      </c>
      <c r="Y274">
        <f>IF([2]Entry!$R$277="","",[2]Entry!$R$277)</f>
        <v/>
      </c>
    </row>
    <row r="275">
      <c r="J275">
        <f>IF([1]Accounts!$D$276="","",[1]Accounts!$A$276)</f>
        <v/>
      </c>
      <c r="K275">
        <f>IF([1]Accounts!$D$276="","",[1]Accounts!$B$276)</f>
        <v/>
      </c>
      <c r="L275">
        <f>IF([1]Accounts!$D$276="","",[1]Accounts!$C$276)</f>
        <v/>
      </c>
      <c r="M275">
        <f>IF([1]Accounts!$D$276="","",[1]Accounts!$D$276)</f>
        <v/>
      </c>
      <c r="P275">
        <f>IF([2]Entry!$C$278="","",[2]Entry!$C$278)</f>
        <v/>
      </c>
      <c r="Q275">
        <f>IF([2]Entry!$D$278="","",[2]Entry!$D$278)</f>
        <v/>
      </c>
      <c r="R275">
        <f>IF([2]Entry!$E$278="","",[2]Entry!$E$278)</f>
        <v/>
      </c>
      <c r="S275">
        <f>IF([2]Entry!$G$278="","",[2]Entry!$G$278)</f>
        <v/>
      </c>
      <c r="T275">
        <f>IF([2]Entry!$J$278="","",[2]Entry!$J$278)</f>
        <v/>
      </c>
      <c r="U275">
        <f>IF([2]Entry!$K$278="","",[2]Entry!$K$278)</f>
        <v/>
      </c>
      <c r="V275">
        <f>IF([2]Entry!$L$278="","",[2]Entry!$L$278)</f>
        <v/>
      </c>
      <c r="W275">
        <f>IF([2]Entry!$M$278="","",[2]Entry!$M$278)</f>
        <v/>
      </c>
      <c r="X275">
        <f>IF([2]Entry!$N$278="","",[2]Entry!$N$278)</f>
        <v/>
      </c>
      <c r="Y275">
        <f>IF([2]Entry!$R$278="","",[2]Entry!$R$278)</f>
        <v/>
      </c>
    </row>
    <row r="276">
      <c r="J276">
        <f>IF([1]Accounts!$D$277="","",[1]Accounts!$A$277)</f>
        <v/>
      </c>
      <c r="K276">
        <f>IF([1]Accounts!$D$277="","",[1]Accounts!$B$277)</f>
        <v/>
      </c>
      <c r="L276">
        <f>IF([1]Accounts!$D$277="","",[1]Accounts!$C$277)</f>
        <v/>
      </c>
      <c r="M276">
        <f>IF([1]Accounts!$D$277="","",[1]Accounts!$D$277)</f>
        <v/>
      </c>
      <c r="P276">
        <f>IF([2]Entry!$C$279="","",[2]Entry!$C$279)</f>
        <v/>
      </c>
      <c r="Q276">
        <f>IF([2]Entry!$D$279="","",[2]Entry!$D$279)</f>
        <v/>
      </c>
      <c r="R276">
        <f>IF([2]Entry!$E$279="","",[2]Entry!$E$279)</f>
        <v/>
      </c>
      <c r="S276">
        <f>IF([2]Entry!$G$279="","",[2]Entry!$G$279)</f>
        <v/>
      </c>
      <c r="T276">
        <f>IF([2]Entry!$J$279="","",[2]Entry!$J$279)</f>
        <v/>
      </c>
      <c r="U276">
        <f>IF([2]Entry!$K$279="","",[2]Entry!$K$279)</f>
        <v/>
      </c>
      <c r="V276">
        <f>IF([2]Entry!$L$279="","",[2]Entry!$L$279)</f>
        <v/>
      </c>
      <c r="W276">
        <f>IF([2]Entry!$M$279="","",[2]Entry!$M$279)</f>
        <v/>
      </c>
      <c r="X276">
        <f>IF([2]Entry!$N$279="","",[2]Entry!$N$279)</f>
        <v/>
      </c>
      <c r="Y276">
        <f>IF([2]Entry!$R$279="","",[2]Entry!$R$279)</f>
        <v/>
      </c>
    </row>
    <row r="277">
      <c r="J277">
        <f>IF([1]Accounts!$D$278="","",[1]Accounts!$A$278)</f>
        <v/>
      </c>
      <c r="K277">
        <f>IF([1]Accounts!$D$278="","",[1]Accounts!$B$278)</f>
        <v/>
      </c>
      <c r="L277">
        <f>IF([1]Accounts!$D$278="","",[1]Accounts!$C$278)</f>
        <v/>
      </c>
      <c r="M277">
        <f>IF([1]Accounts!$D$278="","",[1]Accounts!$D$278)</f>
        <v/>
      </c>
      <c r="P277">
        <f>IF([2]Entry!$C$280="","",[2]Entry!$C$280)</f>
        <v/>
      </c>
      <c r="Q277">
        <f>IF([2]Entry!$D$280="","",[2]Entry!$D$280)</f>
        <v/>
      </c>
      <c r="R277">
        <f>IF([2]Entry!$E$280="","",[2]Entry!$E$280)</f>
        <v/>
      </c>
      <c r="S277">
        <f>IF([2]Entry!$G$280="","",[2]Entry!$G$280)</f>
        <v/>
      </c>
      <c r="T277">
        <f>IF([2]Entry!$J$280="","",[2]Entry!$J$280)</f>
        <v/>
      </c>
      <c r="U277">
        <f>IF([2]Entry!$K$280="","",[2]Entry!$K$280)</f>
        <v/>
      </c>
      <c r="V277">
        <f>IF([2]Entry!$L$280="","",[2]Entry!$L$280)</f>
        <v/>
      </c>
      <c r="W277">
        <f>IF([2]Entry!$M$280="","",[2]Entry!$M$280)</f>
        <v/>
      </c>
      <c r="X277">
        <f>IF([2]Entry!$N$280="","",[2]Entry!$N$280)</f>
        <v/>
      </c>
      <c r="Y277">
        <f>IF([2]Entry!$R$280="","",[2]Entry!$R$280)</f>
        <v/>
      </c>
    </row>
    <row r="278">
      <c r="J278">
        <f>IF([1]Accounts!$D$279="","",[1]Accounts!$A$279)</f>
        <v/>
      </c>
      <c r="K278">
        <f>IF([1]Accounts!$D$279="","",[1]Accounts!$B$279)</f>
        <v/>
      </c>
      <c r="L278">
        <f>IF([1]Accounts!$D$279="","",[1]Accounts!$C$279)</f>
        <v/>
      </c>
      <c r="M278">
        <f>IF([1]Accounts!$D$279="","",[1]Accounts!$D$279)</f>
        <v/>
      </c>
      <c r="P278">
        <f>IF([2]Entry!$C$281="","",[2]Entry!$C$281)</f>
        <v/>
      </c>
      <c r="Q278">
        <f>IF([2]Entry!$D$281="","",[2]Entry!$D$281)</f>
        <v/>
      </c>
      <c r="R278">
        <f>IF([2]Entry!$E$281="","",[2]Entry!$E$281)</f>
        <v/>
      </c>
      <c r="S278">
        <f>IF([2]Entry!$G$281="","",[2]Entry!$G$281)</f>
        <v/>
      </c>
      <c r="T278">
        <f>IF([2]Entry!$J$281="","",[2]Entry!$J$281)</f>
        <v/>
      </c>
      <c r="U278">
        <f>IF([2]Entry!$K$281="","",[2]Entry!$K$281)</f>
        <v/>
      </c>
      <c r="V278">
        <f>IF([2]Entry!$L$281="","",[2]Entry!$L$281)</f>
        <v/>
      </c>
      <c r="W278">
        <f>IF([2]Entry!$M$281="","",[2]Entry!$M$281)</f>
        <v/>
      </c>
      <c r="X278">
        <f>IF([2]Entry!$N$281="","",[2]Entry!$N$281)</f>
        <v/>
      </c>
      <c r="Y278">
        <f>IF([2]Entry!$R$281="","",[2]Entry!$R$281)</f>
        <v/>
      </c>
    </row>
    <row r="279">
      <c r="J279">
        <f>IF([1]Accounts!$D$280="","",[1]Accounts!$A$280)</f>
        <v/>
      </c>
      <c r="K279">
        <f>IF([1]Accounts!$D$280="","",[1]Accounts!$B$280)</f>
        <v/>
      </c>
      <c r="L279">
        <f>IF([1]Accounts!$D$280="","",[1]Accounts!$C$280)</f>
        <v/>
      </c>
      <c r="M279">
        <f>IF([1]Accounts!$D$280="","",[1]Accounts!$D$280)</f>
        <v/>
      </c>
      <c r="P279">
        <f>IF([2]Entry!$C$282="","",[2]Entry!$C$282)</f>
        <v/>
      </c>
      <c r="Q279">
        <f>IF([2]Entry!$D$282="","",[2]Entry!$D$282)</f>
        <v/>
      </c>
      <c r="R279">
        <f>IF([2]Entry!$E$282="","",[2]Entry!$E$282)</f>
        <v/>
      </c>
      <c r="S279">
        <f>IF([2]Entry!$G$282="","",[2]Entry!$G$282)</f>
        <v/>
      </c>
      <c r="T279">
        <f>IF([2]Entry!$J$282="","",[2]Entry!$J$282)</f>
        <v/>
      </c>
      <c r="U279">
        <f>IF([2]Entry!$K$282="","",[2]Entry!$K$282)</f>
        <v/>
      </c>
      <c r="V279">
        <f>IF([2]Entry!$L$282="","",[2]Entry!$L$282)</f>
        <v/>
      </c>
      <c r="W279">
        <f>IF([2]Entry!$M$282="","",[2]Entry!$M$282)</f>
        <v/>
      </c>
      <c r="X279">
        <f>IF([2]Entry!$N$282="","",[2]Entry!$N$282)</f>
        <v/>
      </c>
      <c r="Y279">
        <f>IF([2]Entry!$R$282="","",[2]Entry!$R$282)</f>
        <v/>
      </c>
    </row>
    <row r="280">
      <c r="J280">
        <f>IF([1]Accounts!$D$281="","",[1]Accounts!$A$281)</f>
        <v/>
      </c>
      <c r="K280">
        <f>IF([1]Accounts!$D$281="","",[1]Accounts!$B$281)</f>
        <v/>
      </c>
      <c r="L280">
        <f>IF([1]Accounts!$D$281="","",[1]Accounts!$C$281)</f>
        <v/>
      </c>
      <c r="M280">
        <f>IF([1]Accounts!$D$281="","",[1]Accounts!$D$281)</f>
        <v/>
      </c>
      <c r="P280">
        <f>IF([2]Entry!$C$283="","",[2]Entry!$C$283)</f>
        <v/>
      </c>
      <c r="Q280">
        <f>IF([2]Entry!$D$283="","",[2]Entry!$D$283)</f>
        <v/>
      </c>
      <c r="R280">
        <f>IF([2]Entry!$E$283="","",[2]Entry!$E$283)</f>
        <v/>
      </c>
      <c r="S280">
        <f>IF([2]Entry!$G$283="","",[2]Entry!$G$283)</f>
        <v/>
      </c>
      <c r="T280">
        <f>IF([2]Entry!$J$283="","",[2]Entry!$J$283)</f>
        <v/>
      </c>
      <c r="U280">
        <f>IF([2]Entry!$K$283="","",[2]Entry!$K$283)</f>
        <v/>
      </c>
      <c r="V280">
        <f>IF([2]Entry!$L$283="","",[2]Entry!$L$283)</f>
        <v/>
      </c>
      <c r="W280">
        <f>IF([2]Entry!$M$283="","",[2]Entry!$M$283)</f>
        <v/>
      </c>
      <c r="X280">
        <f>IF([2]Entry!$N$283="","",[2]Entry!$N$283)</f>
        <v/>
      </c>
      <c r="Y280">
        <f>IF([2]Entry!$R$283="","",[2]Entry!$R$283)</f>
        <v/>
      </c>
    </row>
    <row r="281">
      <c r="J281">
        <f>IF([1]Accounts!$D$282="","",[1]Accounts!$A$282)</f>
        <v/>
      </c>
      <c r="K281">
        <f>IF([1]Accounts!$D$282="","",[1]Accounts!$B$282)</f>
        <v/>
      </c>
      <c r="L281">
        <f>IF([1]Accounts!$D$282="","",[1]Accounts!$C$282)</f>
        <v/>
      </c>
      <c r="M281">
        <f>IF([1]Accounts!$D$282="","",[1]Accounts!$D$282)</f>
        <v/>
      </c>
      <c r="P281">
        <f>IF([2]Entry!$C$284="","",[2]Entry!$C$284)</f>
        <v/>
      </c>
      <c r="Q281">
        <f>IF([2]Entry!$D$284="","",[2]Entry!$D$284)</f>
        <v/>
      </c>
      <c r="R281">
        <f>IF([2]Entry!$E$284="","",[2]Entry!$E$284)</f>
        <v/>
      </c>
      <c r="S281">
        <f>IF([2]Entry!$G$284="","",[2]Entry!$G$284)</f>
        <v/>
      </c>
      <c r="T281">
        <f>IF([2]Entry!$J$284="","",[2]Entry!$J$284)</f>
        <v/>
      </c>
      <c r="U281">
        <f>IF([2]Entry!$K$284="","",[2]Entry!$K$284)</f>
        <v/>
      </c>
      <c r="V281">
        <f>IF([2]Entry!$L$284="","",[2]Entry!$L$284)</f>
        <v/>
      </c>
      <c r="W281">
        <f>IF([2]Entry!$M$284="","",[2]Entry!$M$284)</f>
        <v/>
      </c>
      <c r="X281">
        <f>IF([2]Entry!$N$284="","",[2]Entry!$N$284)</f>
        <v/>
      </c>
      <c r="Y281">
        <f>IF([2]Entry!$R$284="","",[2]Entry!$R$284)</f>
        <v/>
      </c>
    </row>
    <row r="282">
      <c r="J282">
        <f>IF([1]Accounts!$D$283="","",[1]Accounts!$A$283)</f>
        <v/>
      </c>
      <c r="K282">
        <f>IF([1]Accounts!$D$283="","",[1]Accounts!$B$283)</f>
        <v/>
      </c>
      <c r="L282">
        <f>IF([1]Accounts!$D$283="","",[1]Accounts!$C$283)</f>
        <v/>
      </c>
      <c r="M282">
        <f>IF([1]Accounts!$D$283="","",[1]Accounts!$D$283)</f>
        <v/>
      </c>
      <c r="P282">
        <f>IF([2]Entry!$C$285="","",[2]Entry!$C$285)</f>
        <v/>
      </c>
      <c r="Q282">
        <f>IF([2]Entry!$D$285="","",[2]Entry!$D$285)</f>
        <v/>
      </c>
      <c r="R282">
        <f>IF([2]Entry!$E$285="","",[2]Entry!$E$285)</f>
        <v/>
      </c>
      <c r="S282">
        <f>IF([2]Entry!$G$285="","",[2]Entry!$G$285)</f>
        <v/>
      </c>
      <c r="T282">
        <f>IF([2]Entry!$J$285="","",[2]Entry!$J$285)</f>
        <v/>
      </c>
      <c r="U282">
        <f>IF([2]Entry!$K$285="","",[2]Entry!$K$285)</f>
        <v/>
      </c>
      <c r="V282">
        <f>IF([2]Entry!$L$285="","",[2]Entry!$L$285)</f>
        <v/>
      </c>
      <c r="W282">
        <f>IF([2]Entry!$M$285="","",[2]Entry!$M$285)</f>
        <v/>
      </c>
      <c r="X282">
        <f>IF([2]Entry!$N$285="","",[2]Entry!$N$285)</f>
        <v/>
      </c>
      <c r="Y282">
        <f>IF([2]Entry!$R$285="","",[2]Entry!$R$285)</f>
        <v/>
      </c>
    </row>
    <row r="283">
      <c r="J283">
        <f>IF([1]Accounts!$D$284="","",[1]Accounts!$A$284)</f>
        <v/>
      </c>
      <c r="K283">
        <f>IF([1]Accounts!$D$284="","",[1]Accounts!$B$284)</f>
        <v/>
      </c>
      <c r="L283">
        <f>IF([1]Accounts!$D$284="","",[1]Accounts!$C$284)</f>
        <v/>
      </c>
      <c r="M283">
        <f>IF([1]Accounts!$D$284="","",[1]Accounts!$D$284)</f>
        <v/>
      </c>
      <c r="P283">
        <f>IF([2]Entry!$C$286="","",[2]Entry!$C$286)</f>
        <v/>
      </c>
      <c r="Q283">
        <f>IF([2]Entry!$D$286="","",[2]Entry!$D$286)</f>
        <v/>
      </c>
      <c r="R283">
        <f>IF([2]Entry!$E$286="","",[2]Entry!$E$286)</f>
        <v/>
      </c>
      <c r="S283">
        <f>IF([2]Entry!$G$286="","",[2]Entry!$G$286)</f>
        <v/>
      </c>
      <c r="T283">
        <f>IF([2]Entry!$J$286="","",[2]Entry!$J$286)</f>
        <v/>
      </c>
      <c r="U283">
        <f>IF([2]Entry!$K$286="","",[2]Entry!$K$286)</f>
        <v/>
      </c>
      <c r="V283">
        <f>IF([2]Entry!$L$286="","",[2]Entry!$L$286)</f>
        <v/>
      </c>
      <c r="W283">
        <f>IF([2]Entry!$M$286="","",[2]Entry!$M$286)</f>
        <v/>
      </c>
      <c r="X283">
        <f>IF([2]Entry!$N$286="","",[2]Entry!$N$286)</f>
        <v/>
      </c>
      <c r="Y283">
        <f>IF([2]Entry!$R$286="","",[2]Entry!$R$286)</f>
        <v/>
      </c>
    </row>
    <row r="284">
      <c r="J284">
        <f>IF([1]Accounts!$D$285="","",[1]Accounts!$A$285)</f>
        <v/>
      </c>
      <c r="K284">
        <f>IF([1]Accounts!$D$285="","",[1]Accounts!$B$285)</f>
        <v/>
      </c>
      <c r="L284">
        <f>IF([1]Accounts!$D$285="","",[1]Accounts!$C$285)</f>
        <v/>
      </c>
      <c r="M284">
        <f>IF([1]Accounts!$D$285="","",[1]Accounts!$D$285)</f>
        <v/>
      </c>
      <c r="P284">
        <f>IF([2]Entry!$C$287="","",[2]Entry!$C$287)</f>
        <v/>
      </c>
      <c r="Q284">
        <f>IF([2]Entry!$D$287="","",[2]Entry!$D$287)</f>
        <v/>
      </c>
      <c r="R284">
        <f>IF([2]Entry!$E$287="","",[2]Entry!$E$287)</f>
        <v/>
      </c>
      <c r="S284">
        <f>IF([2]Entry!$G$287="","",[2]Entry!$G$287)</f>
        <v/>
      </c>
      <c r="T284">
        <f>IF([2]Entry!$J$287="","",[2]Entry!$J$287)</f>
        <v/>
      </c>
      <c r="U284">
        <f>IF([2]Entry!$K$287="","",[2]Entry!$K$287)</f>
        <v/>
      </c>
      <c r="V284">
        <f>IF([2]Entry!$L$287="","",[2]Entry!$L$287)</f>
        <v/>
      </c>
      <c r="W284">
        <f>IF([2]Entry!$M$287="","",[2]Entry!$M$287)</f>
        <v/>
      </c>
      <c r="X284">
        <f>IF([2]Entry!$N$287="","",[2]Entry!$N$287)</f>
        <v/>
      </c>
      <c r="Y284">
        <f>IF([2]Entry!$R$287="","",[2]Entry!$R$287)</f>
        <v/>
      </c>
    </row>
    <row r="285">
      <c r="J285">
        <f>IF([1]Accounts!$D$286="","",[1]Accounts!$A$286)</f>
        <v/>
      </c>
      <c r="K285">
        <f>IF([1]Accounts!$D$286="","",[1]Accounts!$B$286)</f>
        <v/>
      </c>
      <c r="L285">
        <f>IF([1]Accounts!$D$286="","",[1]Accounts!$C$286)</f>
        <v/>
      </c>
      <c r="M285">
        <f>IF([1]Accounts!$D$286="","",[1]Accounts!$D$286)</f>
        <v/>
      </c>
      <c r="P285">
        <f>IF([2]Entry!$C$288="","",[2]Entry!$C$288)</f>
        <v/>
      </c>
      <c r="Q285">
        <f>IF([2]Entry!$D$288="","",[2]Entry!$D$288)</f>
        <v/>
      </c>
      <c r="R285">
        <f>IF([2]Entry!$E$288="","",[2]Entry!$E$288)</f>
        <v/>
      </c>
      <c r="S285">
        <f>IF([2]Entry!$G$288="","",[2]Entry!$G$288)</f>
        <v/>
      </c>
      <c r="T285">
        <f>IF([2]Entry!$J$288="","",[2]Entry!$J$288)</f>
        <v/>
      </c>
      <c r="U285">
        <f>IF([2]Entry!$K$288="","",[2]Entry!$K$288)</f>
        <v/>
      </c>
      <c r="V285">
        <f>IF([2]Entry!$L$288="","",[2]Entry!$L$288)</f>
        <v/>
      </c>
      <c r="W285">
        <f>IF([2]Entry!$M$288="","",[2]Entry!$M$288)</f>
        <v/>
      </c>
      <c r="X285">
        <f>IF([2]Entry!$N$288="","",[2]Entry!$N$288)</f>
        <v/>
      </c>
      <c r="Y285">
        <f>IF([2]Entry!$R$288="","",[2]Entry!$R$288)</f>
        <v/>
      </c>
    </row>
    <row r="286">
      <c r="J286">
        <f>IF([1]Accounts!$D$287="","",[1]Accounts!$A$287)</f>
        <v/>
      </c>
      <c r="K286">
        <f>IF([1]Accounts!$D$287="","",[1]Accounts!$B$287)</f>
        <v/>
      </c>
      <c r="L286">
        <f>IF([1]Accounts!$D$287="","",[1]Accounts!$C$287)</f>
        <v/>
      </c>
      <c r="M286">
        <f>IF([1]Accounts!$D$287="","",[1]Accounts!$D$287)</f>
        <v/>
      </c>
      <c r="P286">
        <f>IF([2]Entry!$C$289="","",[2]Entry!$C$289)</f>
        <v/>
      </c>
      <c r="Q286">
        <f>IF([2]Entry!$D$289="","",[2]Entry!$D$289)</f>
        <v/>
      </c>
      <c r="R286">
        <f>IF([2]Entry!$E$289="","",[2]Entry!$E$289)</f>
        <v/>
      </c>
      <c r="S286">
        <f>IF([2]Entry!$G$289="","",[2]Entry!$G$289)</f>
        <v/>
      </c>
      <c r="T286">
        <f>IF([2]Entry!$J$289="","",[2]Entry!$J$289)</f>
        <v/>
      </c>
      <c r="U286">
        <f>IF([2]Entry!$K$289="","",[2]Entry!$K$289)</f>
        <v/>
      </c>
      <c r="V286">
        <f>IF([2]Entry!$L$289="","",[2]Entry!$L$289)</f>
        <v/>
      </c>
      <c r="W286">
        <f>IF([2]Entry!$M$289="","",[2]Entry!$M$289)</f>
        <v/>
      </c>
      <c r="X286">
        <f>IF([2]Entry!$N$289="","",[2]Entry!$N$289)</f>
        <v/>
      </c>
      <c r="Y286">
        <f>IF([2]Entry!$R$289="","",[2]Entry!$R$289)</f>
        <v/>
      </c>
    </row>
    <row r="287">
      <c r="J287">
        <f>IF([1]Accounts!$D$288="","",[1]Accounts!$A$288)</f>
        <v/>
      </c>
      <c r="K287">
        <f>IF([1]Accounts!$D$288="","",[1]Accounts!$B$288)</f>
        <v/>
      </c>
      <c r="L287">
        <f>IF([1]Accounts!$D$288="","",[1]Accounts!$C$288)</f>
        <v/>
      </c>
      <c r="M287">
        <f>IF([1]Accounts!$D$288="","",[1]Accounts!$D$288)</f>
        <v/>
      </c>
      <c r="P287">
        <f>IF([2]Entry!$C$290="","",[2]Entry!$C$290)</f>
        <v/>
      </c>
      <c r="Q287">
        <f>IF([2]Entry!$D$290="","",[2]Entry!$D$290)</f>
        <v/>
      </c>
      <c r="R287">
        <f>IF([2]Entry!$E$290="","",[2]Entry!$E$290)</f>
        <v/>
      </c>
      <c r="S287">
        <f>IF([2]Entry!$G$290="","",[2]Entry!$G$290)</f>
        <v/>
      </c>
      <c r="T287">
        <f>IF([2]Entry!$J$290="","",[2]Entry!$J$290)</f>
        <v/>
      </c>
      <c r="U287">
        <f>IF([2]Entry!$K$290="","",[2]Entry!$K$290)</f>
        <v/>
      </c>
      <c r="V287">
        <f>IF([2]Entry!$L$290="","",[2]Entry!$L$290)</f>
        <v/>
      </c>
      <c r="W287">
        <f>IF([2]Entry!$M$290="","",[2]Entry!$M$290)</f>
        <v/>
      </c>
      <c r="X287">
        <f>IF([2]Entry!$N$290="","",[2]Entry!$N$290)</f>
        <v/>
      </c>
      <c r="Y287">
        <f>IF([2]Entry!$R$290="","",[2]Entry!$R$290)</f>
        <v/>
      </c>
    </row>
    <row r="288">
      <c r="J288">
        <f>IF([1]Accounts!$D$289="","",[1]Accounts!$A$289)</f>
        <v/>
      </c>
      <c r="K288">
        <f>IF([1]Accounts!$D$289="","",[1]Accounts!$B$289)</f>
        <v/>
      </c>
      <c r="L288">
        <f>IF([1]Accounts!$D$289="","",[1]Accounts!$C$289)</f>
        <v/>
      </c>
      <c r="M288">
        <f>IF([1]Accounts!$D$289="","",[1]Accounts!$D$289)</f>
        <v/>
      </c>
      <c r="P288">
        <f>IF([2]Entry!$C$291="","",[2]Entry!$C$291)</f>
        <v/>
      </c>
      <c r="Q288">
        <f>IF([2]Entry!$D$291="","",[2]Entry!$D$291)</f>
        <v/>
      </c>
      <c r="R288">
        <f>IF([2]Entry!$E$291="","",[2]Entry!$E$291)</f>
        <v/>
      </c>
      <c r="S288">
        <f>IF([2]Entry!$G$291="","",[2]Entry!$G$291)</f>
        <v/>
      </c>
      <c r="T288">
        <f>IF([2]Entry!$J$291="","",[2]Entry!$J$291)</f>
        <v/>
      </c>
      <c r="U288">
        <f>IF([2]Entry!$K$291="","",[2]Entry!$K$291)</f>
        <v/>
      </c>
      <c r="V288">
        <f>IF([2]Entry!$L$291="","",[2]Entry!$L$291)</f>
        <v/>
      </c>
      <c r="W288">
        <f>IF([2]Entry!$M$291="","",[2]Entry!$M$291)</f>
        <v/>
      </c>
      <c r="X288">
        <f>IF([2]Entry!$N$291="","",[2]Entry!$N$291)</f>
        <v/>
      </c>
      <c r="Y288">
        <f>IF([2]Entry!$R$291="","",[2]Entry!$R$291)</f>
        <v/>
      </c>
    </row>
    <row r="289">
      <c r="J289">
        <f>IF([1]Accounts!$D$290="","",[1]Accounts!$A$290)</f>
        <v/>
      </c>
      <c r="K289">
        <f>IF([1]Accounts!$D$290="","",[1]Accounts!$B$290)</f>
        <v/>
      </c>
      <c r="L289">
        <f>IF([1]Accounts!$D$290="","",[1]Accounts!$C$290)</f>
        <v/>
      </c>
      <c r="M289">
        <f>IF([1]Accounts!$D$290="","",[1]Accounts!$D$290)</f>
        <v/>
      </c>
      <c r="P289">
        <f>IF([2]Entry!$C$292="","",[2]Entry!$C$292)</f>
        <v/>
      </c>
      <c r="Q289">
        <f>IF([2]Entry!$D$292="","",[2]Entry!$D$292)</f>
        <v/>
      </c>
      <c r="R289">
        <f>IF([2]Entry!$E$292="","",[2]Entry!$E$292)</f>
        <v/>
      </c>
      <c r="S289">
        <f>IF([2]Entry!$G$292="","",[2]Entry!$G$292)</f>
        <v/>
      </c>
      <c r="T289">
        <f>IF([2]Entry!$J$292="","",[2]Entry!$J$292)</f>
        <v/>
      </c>
      <c r="U289">
        <f>IF([2]Entry!$K$292="","",[2]Entry!$K$292)</f>
        <v/>
      </c>
      <c r="V289">
        <f>IF([2]Entry!$L$292="","",[2]Entry!$L$292)</f>
        <v/>
      </c>
      <c r="W289">
        <f>IF([2]Entry!$M$292="","",[2]Entry!$M$292)</f>
        <v/>
      </c>
      <c r="X289">
        <f>IF([2]Entry!$N$292="","",[2]Entry!$N$292)</f>
        <v/>
      </c>
      <c r="Y289">
        <f>IF([2]Entry!$R$292="","",[2]Entry!$R$292)</f>
        <v/>
      </c>
    </row>
    <row r="290">
      <c r="J290">
        <f>IF([1]Accounts!$D$291="","",[1]Accounts!$A$291)</f>
        <v/>
      </c>
      <c r="K290">
        <f>IF([1]Accounts!$D$291="","",[1]Accounts!$B$291)</f>
        <v/>
      </c>
      <c r="L290">
        <f>IF([1]Accounts!$D$291="","",[1]Accounts!$C$291)</f>
        <v/>
      </c>
      <c r="M290">
        <f>IF([1]Accounts!$D$291="","",[1]Accounts!$D$291)</f>
        <v/>
      </c>
      <c r="P290">
        <f>IF([2]Entry!$C$293="","",[2]Entry!$C$293)</f>
        <v/>
      </c>
      <c r="Q290">
        <f>IF([2]Entry!$D$293="","",[2]Entry!$D$293)</f>
        <v/>
      </c>
      <c r="R290">
        <f>IF([2]Entry!$E$293="","",[2]Entry!$E$293)</f>
        <v/>
      </c>
      <c r="S290">
        <f>IF([2]Entry!$G$293="","",[2]Entry!$G$293)</f>
        <v/>
      </c>
      <c r="T290">
        <f>IF([2]Entry!$J$293="","",[2]Entry!$J$293)</f>
        <v/>
      </c>
      <c r="U290">
        <f>IF([2]Entry!$K$293="","",[2]Entry!$K$293)</f>
        <v/>
      </c>
      <c r="V290">
        <f>IF([2]Entry!$L$293="","",[2]Entry!$L$293)</f>
        <v/>
      </c>
      <c r="W290">
        <f>IF([2]Entry!$M$293="","",[2]Entry!$M$293)</f>
        <v/>
      </c>
      <c r="X290">
        <f>IF([2]Entry!$N$293="","",[2]Entry!$N$293)</f>
        <v/>
      </c>
      <c r="Y290">
        <f>IF([2]Entry!$R$293="","",[2]Entry!$R$293)</f>
        <v/>
      </c>
    </row>
    <row r="291">
      <c r="J291">
        <f>IF([1]Accounts!$D$292="","",[1]Accounts!$A$292)</f>
        <v/>
      </c>
      <c r="K291">
        <f>IF([1]Accounts!$D$292="","",[1]Accounts!$B$292)</f>
        <v/>
      </c>
      <c r="L291">
        <f>IF([1]Accounts!$D$292="","",[1]Accounts!$C$292)</f>
        <v/>
      </c>
      <c r="M291">
        <f>IF([1]Accounts!$D$292="","",[1]Accounts!$D$292)</f>
        <v/>
      </c>
      <c r="P291">
        <f>IF([2]Entry!$C$294="","",[2]Entry!$C$294)</f>
        <v/>
      </c>
      <c r="Q291">
        <f>IF([2]Entry!$D$294="","",[2]Entry!$D$294)</f>
        <v/>
      </c>
      <c r="R291">
        <f>IF([2]Entry!$E$294="","",[2]Entry!$E$294)</f>
        <v/>
      </c>
      <c r="S291">
        <f>IF([2]Entry!$G$294="","",[2]Entry!$G$294)</f>
        <v/>
      </c>
      <c r="T291">
        <f>IF([2]Entry!$J$294="","",[2]Entry!$J$294)</f>
        <v/>
      </c>
      <c r="U291">
        <f>IF([2]Entry!$K$294="","",[2]Entry!$K$294)</f>
        <v/>
      </c>
      <c r="V291">
        <f>IF([2]Entry!$L$294="","",[2]Entry!$L$294)</f>
        <v/>
      </c>
      <c r="W291">
        <f>IF([2]Entry!$M$294="","",[2]Entry!$M$294)</f>
        <v/>
      </c>
      <c r="X291">
        <f>IF([2]Entry!$N$294="","",[2]Entry!$N$294)</f>
        <v/>
      </c>
      <c r="Y291">
        <f>IF([2]Entry!$R$294="","",[2]Entry!$R$294)</f>
        <v/>
      </c>
    </row>
    <row r="292">
      <c r="J292">
        <f>IF([1]Accounts!$D$293="","",[1]Accounts!$A$293)</f>
        <v/>
      </c>
      <c r="K292">
        <f>IF([1]Accounts!$D$293="","",[1]Accounts!$B$293)</f>
        <v/>
      </c>
      <c r="L292">
        <f>IF([1]Accounts!$D$293="","",[1]Accounts!$C$293)</f>
        <v/>
      </c>
      <c r="M292">
        <f>IF([1]Accounts!$D$293="","",[1]Accounts!$D$293)</f>
        <v/>
      </c>
      <c r="P292">
        <f>IF([2]Entry!$C$295="","",[2]Entry!$C$295)</f>
        <v/>
      </c>
      <c r="Q292">
        <f>IF([2]Entry!$D$295="","",[2]Entry!$D$295)</f>
        <v/>
      </c>
      <c r="R292">
        <f>IF([2]Entry!$E$295="","",[2]Entry!$E$295)</f>
        <v/>
      </c>
      <c r="S292">
        <f>IF([2]Entry!$G$295="","",[2]Entry!$G$295)</f>
        <v/>
      </c>
      <c r="T292">
        <f>IF([2]Entry!$J$295="","",[2]Entry!$J$295)</f>
        <v/>
      </c>
      <c r="U292">
        <f>IF([2]Entry!$K$295="","",[2]Entry!$K$295)</f>
        <v/>
      </c>
      <c r="V292">
        <f>IF([2]Entry!$L$295="","",[2]Entry!$L$295)</f>
        <v/>
      </c>
      <c r="W292">
        <f>IF([2]Entry!$M$295="","",[2]Entry!$M$295)</f>
        <v/>
      </c>
      <c r="X292">
        <f>IF([2]Entry!$N$295="","",[2]Entry!$N$295)</f>
        <v/>
      </c>
      <c r="Y292">
        <f>IF([2]Entry!$R$295="","",[2]Entry!$R$295)</f>
        <v/>
      </c>
    </row>
    <row r="293">
      <c r="J293">
        <f>IF([1]Accounts!$D$294="","",[1]Accounts!$A$294)</f>
        <v/>
      </c>
      <c r="K293">
        <f>IF([1]Accounts!$D$294="","",[1]Accounts!$B$294)</f>
        <v/>
      </c>
      <c r="L293">
        <f>IF([1]Accounts!$D$294="","",[1]Accounts!$C$294)</f>
        <v/>
      </c>
      <c r="M293">
        <f>IF([1]Accounts!$D$294="","",[1]Accounts!$D$294)</f>
        <v/>
      </c>
      <c r="P293">
        <f>IF([2]Entry!$C$296="","",[2]Entry!$C$296)</f>
        <v/>
      </c>
      <c r="Q293">
        <f>IF([2]Entry!$D$296="","",[2]Entry!$D$296)</f>
        <v/>
      </c>
      <c r="R293">
        <f>IF([2]Entry!$E$296="","",[2]Entry!$E$296)</f>
        <v/>
      </c>
      <c r="S293">
        <f>IF([2]Entry!$G$296="","",[2]Entry!$G$296)</f>
        <v/>
      </c>
      <c r="T293">
        <f>IF([2]Entry!$J$296="","",[2]Entry!$J$296)</f>
        <v/>
      </c>
      <c r="U293">
        <f>IF([2]Entry!$K$296="","",[2]Entry!$K$296)</f>
        <v/>
      </c>
      <c r="V293">
        <f>IF([2]Entry!$L$296="","",[2]Entry!$L$296)</f>
        <v/>
      </c>
      <c r="W293">
        <f>IF([2]Entry!$M$296="","",[2]Entry!$M$296)</f>
        <v/>
      </c>
      <c r="X293">
        <f>IF([2]Entry!$N$296="","",[2]Entry!$N$296)</f>
        <v/>
      </c>
      <c r="Y293">
        <f>IF([2]Entry!$R$296="","",[2]Entry!$R$296)</f>
        <v/>
      </c>
    </row>
    <row r="294">
      <c r="J294">
        <f>IF([1]Accounts!$D$295="","",[1]Accounts!$A$295)</f>
        <v/>
      </c>
      <c r="K294">
        <f>IF([1]Accounts!$D$295="","",[1]Accounts!$B$295)</f>
        <v/>
      </c>
      <c r="L294">
        <f>IF([1]Accounts!$D$295="","",[1]Accounts!$C$295)</f>
        <v/>
      </c>
      <c r="M294">
        <f>IF([1]Accounts!$D$295="","",[1]Accounts!$D$295)</f>
        <v/>
      </c>
      <c r="P294">
        <f>IF([2]Entry!$C$297="","",[2]Entry!$C$297)</f>
        <v/>
      </c>
      <c r="Q294">
        <f>IF([2]Entry!$D$297="","",[2]Entry!$D$297)</f>
        <v/>
      </c>
      <c r="R294">
        <f>IF([2]Entry!$E$297="","",[2]Entry!$E$297)</f>
        <v/>
      </c>
      <c r="S294">
        <f>IF([2]Entry!$G$297="","",[2]Entry!$G$297)</f>
        <v/>
      </c>
      <c r="T294">
        <f>IF([2]Entry!$J$297="","",[2]Entry!$J$297)</f>
        <v/>
      </c>
      <c r="U294">
        <f>IF([2]Entry!$K$297="","",[2]Entry!$K$297)</f>
        <v/>
      </c>
      <c r="V294">
        <f>IF([2]Entry!$L$297="","",[2]Entry!$L$297)</f>
        <v/>
      </c>
      <c r="W294">
        <f>IF([2]Entry!$M$297="","",[2]Entry!$M$297)</f>
        <v/>
      </c>
      <c r="X294">
        <f>IF([2]Entry!$N$297="","",[2]Entry!$N$297)</f>
        <v/>
      </c>
      <c r="Y294">
        <f>IF([2]Entry!$R$297="","",[2]Entry!$R$297)</f>
        <v/>
      </c>
    </row>
    <row r="295">
      <c r="J295">
        <f>IF([1]Accounts!$D$296="","",[1]Accounts!$A$296)</f>
        <v/>
      </c>
      <c r="K295">
        <f>IF([1]Accounts!$D$296="","",[1]Accounts!$B$296)</f>
        <v/>
      </c>
      <c r="L295">
        <f>IF([1]Accounts!$D$296="","",[1]Accounts!$C$296)</f>
        <v/>
      </c>
      <c r="M295">
        <f>IF([1]Accounts!$D$296="","",[1]Accounts!$D$296)</f>
        <v/>
      </c>
      <c r="P295">
        <f>IF([2]Entry!$C$298="","",[2]Entry!$C$298)</f>
        <v/>
      </c>
      <c r="Q295">
        <f>IF([2]Entry!$D$298="","",[2]Entry!$D$298)</f>
        <v/>
      </c>
      <c r="R295">
        <f>IF([2]Entry!$E$298="","",[2]Entry!$E$298)</f>
        <v/>
      </c>
      <c r="S295">
        <f>IF([2]Entry!$G$298="","",[2]Entry!$G$298)</f>
        <v/>
      </c>
      <c r="T295">
        <f>IF([2]Entry!$J$298="","",[2]Entry!$J$298)</f>
        <v/>
      </c>
      <c r="U295">
        <f>IF([2]Entry!$K$298="","",[2]Entry!$K$298)</f>
        <v/>
      </c>
      <c r="V295">
        <f>IF([2]Entry!$L$298="","",[2]Entry!$L$298)</f>
        <v/>
      </c>
      <c r="W295">
        <f>IF([2]Entry!$M$298="","",[2]Entry!$M$298)</f>
        <v/>
      </c>
      <c r="X295">
        <f>IF([2]Entry!$N$298="","",[2]Entry!$N$298)</f>
        <v/>
      </c>
      <c r="Y295">
        <f>IF([2]Entry!$R$298="","",[2]Entry!$R$298)</f>
        <v/>
      </c>
    </row>
    <row r="296">
      <c r="J296">
        <f>IF([1]Accounts!$D$297="","",[1]Accounts!$A$297)</f>
        <v/>
      </c>
      <c r="K296">
        <f>IF([1]Accounts!$D$297="","",[1]Accounts!$B$297)</f>
        <v/>
      </c>
      <c r="L296">
        <f>IF([1]Accounts!$D$297="","",[1]Accounts!$C$297)</f>
        <v/>
      </c>
      <c r="M296">
        <f>IF([1]Accounts!$D$297="","",[1]Accounts!$D$297)</f>
        <v/>
      </c>
      <c r="P296">
        <f>IF([2]Entry!$C$299="","",[2]Entry!$C$299)</f>
        <v/>
      </c>
      <c r="Q296">
        <f>IF([2]Entry!$D$299="","",[2]Entry!$D$299)</f>
        <v/>
      </c>
      <c r="R296">
        <f>IF([2]Entry!$E$299="","",[2]Entry!$E$299)</f>
        <v/>
      </c>
      <c r="S296">
        <f>IF([2]Entry!$G$299="","",[2]Entry!$G$299)</f>
        <v/>
      </c>
      <c r="T296">
        <f>IF([2]Entry!$J$299="","",[2]Entry!$J$299)</f>
        <v/>
      </c>
      <c r="U296">
        <f>IF([2]Entry!$K$299="","",[2]Entry!$K$299)</f>
        <v/>
      </c>
      <c r="V296">
        <f>IF([2]Entry!$L$299="","",[2]Entry!$L$299)</f>
        <v/>
      </c>
      <c r="W296">
        <f>IF([2]Entry!$M$299="","",[2]Entry!$M$299)</f>
        <v/>
      </c>
      <c r="X296">
        <f>IF([2]Entry!$N$299="","",[2]Entry!$N$299)</f>
        <v/>
      </c>
      <c r="Y296">
        <f>IF([2]Entry!$R$299="","",[2]Entry!$R$299)</f>
        <v/>
      </c>
    </row>
    <row r="297">
      <c r="J297">
        <f>IF([1]Accounts!$D$298="","",[1]Accounts!$A$298)</f>
        <v/>
      </c>
      <c r="K297">
        <f>IF([1]Accounts!$D$298="","",[1]Accounts!$B$298)</f>
        <v/>
      </c>
      <c r="L297">
        <f>IF([1]Accounts!$D$298="","",[1]Accounts!$C$298)</f>
        <v/>
      </c>
      <c r="M297">
        <f>IF([1]Accounts!$D$298="","",[1]Accounts!$D$298)</f>
        <v/>
      </c>
      <c r="P297">
        <f>IF([2]Entry!$C$300="","",[2]Entry!$C$300)</f>
        <v/>
      </c>
      <c r="Q297">
        <f>IF([2]Entry!$D$300="","",[2]Entry!$D$300)</f>
        <v/>
      </c>
      <c r="R297">
        <f>IF([2]Entry!$E$300="","",[2]Entry!$E$300)</f>
        <v/>
      </c>
      <c r="S297">
        <f>IF([2]Entry!$G$300="","",[2]Entry!$G$300)</f>
        <v/>
      </c>
      <c r="T297">
        <f>IF([2]Entry!$J$300="","",[2]Entry!$J$300)</f>
        <v/>
      </c>
      <c r="U297">
        <f>IF([2]Entry!$K$300="","",[2]Entry!$K$300)</f>
        <v/>
      </c>
      <c r="V297">
        <f>IF([2]Entry!$L$300="","",[2]Entry!$L$300)</f>
        <v/>
      </c>
      <c r="W297">
        <f>IF([2]Entry!$M$300="","",[2]Entry!$M$300)</f>
        <v/>
      </c>
      <c r="X297">
        <f>IF([2]Entry!$N$300="","",[2]Entry!$N$300)</f>
        <v/>
      </c>
      <c r="Y297">
        <f>IF([2]Entry!$R$300="","",[2]Entry!$R$300)</f>
        <v/>
      </c>
    </row>
    <row r="298">
      <c r="J298">
        <f>IF([1]Accounts!$D$299="","",[1]Accounts!$A$299)</f>
        <v/>
      </c>
      <c r="K298">
        <f>IF([1]Accounts!$D$299="","",[1]Accounts!$B$299)</f>
        <v/>
      </c>
      <c r="L298">
        <f>IF([1]Accounts!$D$299="","",[1]Accounts!$C$299)</f>
        <v/>
      </c>
      <c r="M298">
        <f>IF([1]Accounts!$D$299="","",[1]Accounts!$D$299)</f>
        <v/>
      </c>
      <c r="P298">
        <f>IF([2]Entry!$C$301="","",[2]Entry!$C$301)</f>
        <v/>
      </c>
      <c r="Q298">
        <f>IF([2]Entry!$D$301="","",[2]Entry!$D$301)</f>
        <v/>
      </c>
      <c r="R298">
        <f>IF([2]Entry!$E$301="","",[2]Entry!$E$301)</f>
        <v/>
      </c>
      <c r="S298">
        <f>IF([2]Entry!$G$301="","",[2]Entry!$G$301)</f>
        <v/>
      </c>
      <c r="T298">
        <f>IF([2]Entry!$J$301="","",[2]Entry!$J$301)</f>
        <v/>
      </c>
      <c r="U298">
        <f>IF([2]Entry!$K$301="","",[2]Entry!$K$301)</f>
        <v/>
      </c>
      <c r="V298">
        <f>IF([2]Entry!$L$301="","",[2]Entry!$L$301)</f>
        <v/>
      </c>
      <c r="W298">
        <f>IF([2]Entry!$M$301="","",[2]Entry!$M$301)</f>
        <v/>
      </c>
      <c r="X298">
        <f>IF([2]Entry!$N$301="","",[2]Entry!$N$301)</f>
        <v/>
      </c>
      <c r="Y298">
        <f>IF([2]Entry!$R$301="","",[2]Entry!$R$301)</f>
        <v/>
      </c>
    </row>
    <row r="299">
      <c r="J299">
        <f>IF([1]Accounts!$D$300="","",[1]Accounts!$A$300)</f>
        <v/>
      </c>
      <c r="K299">
        <f>IF([1]Accounts!$D$300="","",[1]Accounts!$B$300)</f>
        <v/>
      </c>
      <c r="L299">
        <f>IF([1]Accounts!$D$300="","",[1]Accounts!$C$300)</f>
        <v/>
      </c>
      <c r="M299">
        <f>IF([1]Accounts!$D$300="","",[1]Accounts!$D$300)</f>
        <v/>
      </c>
      <c r="P299">
        <f>IF([2]Entry!$C$302="","",[2]Entry!$C$302)</f>
        <v/>
      </c>
      <c r="Q299">
        <f>IF([2]Entry!$D$302="","",[2]Entry!$D$302)</f>
        <v/>
      </c>
      <c r="R299">
        <f>IF([2]Entry!$E$302="","",[2]Entry!$E$302)</f>
        <v/>
      </c>
      <c r="S299">
        <f>IF([2]Entry!$G$302="","",[2]Entry!$G$302)</f>
        <v/>
      </c>
      <c r="T299">
        <f>IF([2]Entry!$J$302="","",[2]Entry!$J$302)</f>
        <v/>
      </c>
      <c r="U299">
        <f>IF([2]Entry!$K$302="","",[2]Entry!$K$302)</f>
        <v/>
      </c>
      <c r="V299">
        <f>IF([2]Entry!$L$302="","",[2]Entry!$L$302)</f>
        <v/>
      </c>
      <c r="W299">
        <f>IF([2]Entry!$M$302="","",[2]Entry!$M$302)</f>
        <v/>
      </c>
      <c r="X299">
        <f>IF([2]Entry!$N$302="","",[2]Entry!$N$302)</f>
        <v/>
      </c>
      <c r="Y299">
        <f>IF([2]Entry!$R$302="","",[2]Entry!$R$302)</f>
        <v/>
      </c>
    </row>
    <row r="300">
      <c r="J300">
        <f>IF([1]Accounts!$D$301="","",[1]Accounts!$A$301)</f>
        <v/>
      </c>
      <c r="K300">
        <f>IF([1]Accounts!$D$301="","",[1]Accounts!$B$301)</f>
        <v/>
      </c>
      <c r="L300">
        <f>IF([1]Accounts!$D$301="","",[1]Accounts!$C$301)</f>
        <v/>
      </c>
      <c r="M300">
        <f>IF([1]Accounts!$D$301="","",[1]Accounts!$D$301)</f>
        <v/>
      </c>
      <c r="P300">
        <f>IF([2]Entry!$C$303="","",[2]Entry!$C$303)</f>
        <v/>
      </c>
      <c r="Q300">
        <f>IF([2]Entry!$D$303="","",[2]Entry!$D$303)</f>
        <v/>
      </c>
      <c r="R300">
        <f>IF([2]Entry!$E$303="","",[2]Entry!$E$303)</f>
        <v/>
      </c>
      <c r="S300">
        <f>IF([2]Entry!$G$303="","",[2]Entry!$G$303)</f>
        <v/>
      </c>
      <c r="T300">
        <f>IF([2]Entry!$J$303="","",[2]Entry!$J$303)</f>
        <v/>
      </c>
      <c r="U300">
        <f>IF([2]Entry!$K$303="","",[2]Entry!$K$303)</f>
        <v/>
      </c>
      <c r="V300">
        <f>IF([2]Entry!$L$303="","",[2]Entry!$L$303)</f>
        <v/>
      </c>
      <c r="W300">
        <f>IF([2]Entry!$M$303="","",[2]Entry!$M$303)</f>
        <v/>
      </c>
      <c r="X300">
        <f>IF([2]Entry!$N$303="","",[2]Entry!$N$303)</f>
        <v/>
      </c>
      <c r="Y300">
        <f>IF([2]Entry!$R$303="","",[2]Entry!$R$303)</f>
        <v/>
      </c>
    </row>
    <row r="301">
      <c r="J301">
        <f>IF([1]Accounts!$D$302="","",[1]Accounts!$A$302)</f>
        <v/>
      </c>
      <c r="K301">
        <f>IF([1]Accounts!$D$302="","",[1]Accounts!$B$302)</f>
        <v/>
      </c>
      <c r="L301">
        <f>IF([1]Accounts!$D$302="","",[1]Accounts!$C$302)</f>
        <v/>
      </c>
      <c r="M301">
        <f>IF([1]Accounts!$D$302="","",[1]Accounts!$D$302)</f>
        <v/>
      </c>
      <c r="P301">
        <f>IF([2]Entry!$C$304="","",[2]Entry!$C$304)</f>
        <v/>
      </c>
      <c r="Q301">
        <f>IF([2]Entry!$D$304="","",[2]Entry!$D$304)</f>
        <v/>
      </c>
      <c r="R301">
        <f>IF([2]Entry!$E$304="","",[2]Entry!$E$304)</f>
        <v/>
      </c>
      <c r="S301">
        <f>IF([2]Entry!$G$304="","",[2]Entry!$G$304)</f>
        <v/>
      </c>
      <c r="T301">
        <f>IF([2]Entry!$J$304="","",[2]Entry!$J$304)</f>
        <v/>
      </c>
      <c r="U301">
        <f>IF([2]Entry!$K$304="","",[2]Entry!$K$304)</f>
        <v/>
      </c>
      <c r="V301">
        <f>IF([2]Entry!$L$304="","",[2]Entry!$L$304)</f>
        <v/>
      </c>
      <c r="W301">
        <f>IF([2]Entry!$M$304="","",[2]Entry!$M$304)</f>
        <v/>
      </c>
      <c r="X301">
        <f>IF([2]Entry!$N$304="","",[2]Entry!$N$304)</f>
        <v/>
      </c>
      <c r="Y301">
        <f>IF([2]Entry!$R$304="","",[2]Entry!$R$304)</f>
        <v/>
      </c>
    </row>
    <row r="302">
      <c r="J302">
        <f>IF([1]Accounts!$D$303="","",[1]Accounts!$A$303)</f>
        <v/>
      </c>
      <c r="K302">
        <f>IF([1]Accounts!$D$303="","",[1]Accounts!$B$303)</f>
        <v/>
      </c>
      <c r="L302">
        <f>IF([1]Accounts!$D$303="","",[1]Accounts!$C$303)</f>
        <v/>
      </c>
      <c r="M302">
        <f>IF([1]Accounts!$D$303="","",[1]Accounts!$D$303)</f>
        <v/>
      </c>
      <c r="P302">
        <f>IF([2]Entry!$C$305="","",[2]Entry!$C$305)</f>
        <v/>
      </c>
      <c r="Q302">
        <f>IF([2]Entry!$D$305="","",[2]Entry!$D$305)</f>
        <v/>
      </c>
      <c r="R302">
        <f>IF([2]Entry!$E$305="","",[2]Entry!$E$305)</f>
        <v/>
      </c>
      <c r="S302">
        <f>IF([2]Entry!$G$305="","",[2]Entry!$G$305)</f>
        <v/>
      </c>
      <c r="T302">
        <f>IF([2]Entry!$J$305="","",[2]Entry!$J$305)</f>
        <v/>
      </c>
      <c r="U302">
        <f>IF([2]Entry!$K$305="","",[2]Entry!$K$305)</f>
        <v/>
      </c>
      <c r="V302">
        <f>IF([2]Entry!$L$305="","",[2]Entry!$L$305)</f>
        <v/>
      </c>
      <c r="W302">
        <f>IF([2]Entry!$M$305="","",[2]Entry!$M$305)</f>
        <v/>
      </c>
      <c r="X302">
        <f>IF([2]Entry!$N$305="","",[2]Entry!$N$305)</f>
        <v/>
      </c>
      <c r="Y302">
        <f>IF([2]Entry!$R$305="","",[2]Entry!$R$305)</f>
        <v/>
      </c>
    </row>
    <row r="303">
      <c r="J303">
        <f>IF([1]Accounts!$D$304="","",[1]Accounts!$A$304)</f>
        <v/>
      </c>
      <c r="K303">
        <f>IF([1]Accounts!$D$304="","",[1]Accounts!$B$304)</f>
        <v/>
      </c>
      <c r="L303">
        <f>IF([1]Accounts!$D$304="","",[1]Accounts!$C$304)</f>
        <v/>
      </c>
      <c r="M303">
        <f>IF([1]Accounts!$D$304="","",[1]Accounts!$D$304)</f>
        <v/>
      </c>
      <c r="P303">
        <f>IF([2]Entry!$C$306="","",[2]Entry!$C$306)</f>
        <v/>
      </c>
      <c r="Q303">
        <f>IF([2]Entry!$D$306="","",[2]Entry!$D$306)</f>
        <v/>
      </c>
      <c r="R303">
        <f>IF([2]Entry!$E$306="","",[2]Entry!$E$306)</f>
        <v/>
      </c>
      <c r="S303">
        <f>IF([2]Entry!$G$306="","",[2]Entry!$G$306)</f>
        <v/>
      </c>
      <c r="T303">
        <f>IF([2]Entry!$J$306="","",[2]Entry!$J$306)</f>
        <v/>
      </c>
      <c r="U303">
        <f>IF([2]Entry!$K$306="","",[2]Entry!$K$306)</f>
        <v/>
      </c>
      <c r="V303">
        <f>IF([2]Entry!$L$306="","",[2]Entry!$L$306)</f>
        <v/>
      </c>
      <c r="W303">
        <f>IF([2]Entry!$M$306="","",[2]Entry!$M$306)</f>
        <v/>
      </c>
      <c r="X303">
        <f>IF([2]Entry!$N$306="","",[2]Entry!$N$306)</f>
        <v/>
      </c>
      <c r="Y303">
        <f>IF([2]Entry!$R$306="","",[2]Entry!$R$306)</f>
        <v/>
      </c>
    </row>
    <row r="304">
      <c r="J304">
        <f>IF([1]Accounts!$D$305="","",[1]Accounts!$A$305)</f>
        <v/>
      </c>
      <c r="K304">
        <f>IF([1]Accounts!$D$305="","",[1]Accounts!$B$305)</f>
        <v/>
      </c>
      <c r="L304">
        <f>IF([1]Accounts!$D$305="","",[1]Accounts!$C$305)</f>
        <v/>
      </c>
      <c r="M304">
        <f>IF([1]Accounts!$D$305="","",[1]Accounts!$D$305)</f>
        <v/>
      </c>
      <c r="P304">
        <f>IF([2]Entry!$C$307="","",[2]Entry!$C$307)</f>
        <v/>
      </c>
      <c r="Q304">
        <f>IF([2]Entry!$D$307="","",[2]Entry!$D$307)</f>
        <v/>
      </c>
      <c r="R304">
        <f>IF([2]Entry!$E$307="","",[2]Entry!$E$307)</f>
        <v/>
      </c>
      <c r="S304">
        <f>IF([2]Entry!$G$307="","",[2]Entry!$G$307)</f>
        <v/>
      </c>
      <c r="T304">
        <f>IF([2]Entry!$J$307="","",[2]Entry!$J$307)</f>
        <v/>
      </c>
      <c r="U304">
        <f>IF([2]Entry!$K$307="","",[2]Entry!$K$307)</f>
        <v/>
      </c>
      <c r="V304">
        <f>IF([2]Entry!$L$307="","",[2]Entry!$L$307)</f>
        <v/>
      </c>
      <c r="W304">
        <f>IF([2]Entry!$M$307="","",[2]Entry!$M$307)</f>
        <v/>
      </c>
      <c r="X304">
        <f>IF([2]Entry!$N$307="","",[2]Entry!$N$307)</f>
        <v/>
      </c>
      <c r="Y304">
        <f>IF([2]Entry!$R$307="","",[2]Entry!$R$307)</f>
        <v/>
      </c>
    </row>
    <row r="305">
      <c r="J305">
        <f>IF([1]Accounts!$D$306="","",[1]Accounts!$A$306)</f>
        <v/>
      </c>
      <c r="K305">
        <f>IF([1]Accounts!$D$306="","",[1]Accounts!$B$306)</f>
        <v/>
      </c>
      <c r="L305">
        <f>IF([1]Accounts!$D$306="","",[1]Accounts!$C$306)</f>
        <v/>
      </c>
      <c r="M305">
        <f>IF([1]Accounts!$D$306="","",[1]Accounts!$D$306)</f>
        <v/>
      </c>
      <c r="P305">
        <f>IF([2]Entry!$C$308="","",[2]Entry!$C$308)</f>
        <v/>
      </c>
      <c r="Q305">
        <f>IF([2]Entry!$D$308="","",[2]Entry!$D$308)</f>
        <v/>
      </c>
      <c r="R305">
        <f>IF([2]Entry!$E$308="","",[2]Entry!$E$308)</f>
        <v/>
      </c>
      <c r="S305">
        <f>IF([2]Entry!$G$308="","",[2]Entry!$G$308)</f>
        <v/>
      </c>
      <c r="T305">
        <f>IF([2]Entry!$J$308="","",[2]Entry!$J$308)</f>
        <v/>
      </c>
      <c r="U305">
        <f>IF([2]Entry!$K$308="","",[2]Entry!$K$308)</f>
        <v/>
      </c>
      <c r="V305">
        <f>IF([2]Entry!$L$308="","",[2]Entry!$L$308)</f>
        <v/>
      </c>
      <c r="W305">
        <f>IF([2]Entry!$M$308="","",[2]Entry!$M$308)</f>
        <v/>
      </c>
      <c r="X305">
        <f>IF([2]Entry!$N$308="","",[2]Entry!$N$308)</f>
        <v/>
      </c>
      <c r="Y305">
        <f>IF([2]Entry!$R$308="","",[2]Entry!$R$308)</f>
        <v/>
      </c>
    </row>
    <row r="306">
      <c r="J306">
        <f>IF([1]Accounts!$D$307="","",[1]Accounts!$A$307)</f>
        <v/>
      </c>
      <c r="K306">
        <f>IF([1]Accounts!$D$307="","",[1]Accounts!$B$307)</f>
        <v/>
      </c>
      <c r="L306">
        <f>IF([1]Accounts!$D$307="","",[1]Accounts!$C$307)</f>
        <v/>
      </c>
      <c r="M306">
        <f>IF([1]Accounts!$D$307="","",[1]Accounts!$D$307)</f>
        <v/>
      </c>
      <c r="P306">
        <f>IF([2]Entry!$C$309="","",[2]Entry!$C$309)</f>
        <v/>
      </c>
      <c r="Q306">
        <f>IF([2]Entry!$D$309="","",[2]Entry!$D$309)</f>
        <v/>
      </c>
      <c r="R306">
        <f>IF([2]Entry!$E$309="","",[2]Entry!$E$309)</f>
        <v/>
      </c>
      <c r="S306">
        <f>IF([2]Entry!$G$309="","",[2]Entry!$G$309)</f>
        <v/>
      </c>
      <c r="T306">
        <f>IF([2]Entry!$J$309="","",[2]Entry!$J$309)</f>
        <v/>
      </c>
      <c r="U306">
        <f>IF([2]Entry!$K$309="","",[2]Entry!$K$309)</f>
        <v/>
      </c>
      <c r="V306">
        <f>IF([2]Entry!$L$309="","",[2]Entry!$L$309)</f>
        <v/>
      </c>
      <c r="W306">
        <f>IF([2]Entry!$M$309="","",[2]Entry!$M$309)</f>
        <v/>
      </c>
      <c r="X306">
        <f>IF([2]Entry!$N$309="","",[2]Entry!$N$309)</f>
        <v/>
      </c>
      <c r="Y306">
        <f>IF([2]Entry!$R$309="","",[2]Entry!$R$309)</f>
        <v/>
      </c>
    </row>
    <row r="307">
      <c r="J307">
        <f>IF([1]Accounts!$D$308="","",[1]Accounts!$A$308)</f>
        <v/>
      </c>
      <c r="K307">
        <f>IF([1]Accounts!$D$308="","",[1]Accounts!$B$308)</f>
        <v/>
      </c>
      <c r="L307">
        <f>IF([1]Accounts!$D$308="","",[1]Accounts!$C$308)</f>
        <v/>
      </c>
      <c r="M307">
        <f>IF([1]Accounts!$D$308="","",[1]Accounts!$D$308)</f>
        <v/>
      </c>
      <c r="P307">
        <f>IF([2]Entry!$C$310="","",[2]Entry!$C$310)</f>
        <v/>
      </c>
      <c r="Q307">
        <f>IF([2]Entry!$D$310="","",[2]Entry!$D$310)</f>
        <v/>
      </c>
      <c r="R307">
        <f>IF([2]Entry!$E$310="","",[2]Entry!$E$310)</f>
        <v/>
      </c>
      <c r="S307">
        <f>IF([2]Entry!$G$310="","",[2]Entry!$G$310)</f>
        <v/>
      </c>
      <c r="T307">
        <f>IF([2]Entry!$J$310="","",[2]Entry!$J$310)</f>
        <v/>
      </c>
      <c r="U307">
        <f>IF([2]Entry!$K$310="","",[2]Entry!$K$310)</f>
        <v/>
      </c>
      <c r="V307">
        <f>IF([2]Entry!$L$310="","",[2]Entry!$L$310)</f>
        <v/>
      </c>
      <c r="W307">
        <f>IF([2]Entry!$M$310="","",[2]Entry!$M$310)</f>
        <v/>
      </c>
      <c r="X307">
        <f>IF([2]Entry!$N$310="","",[2]Entry!$N$310)</f>
        <v/>
      </c>
      <c r="Y307">
        <f>IF([2]Entry!$R$310="","",[2]Entry!$R$310)</f>
        <v/>
      </c>
    </row>
    <row r="308">
      <c r="J308">
        <f>IF([1]Accounts!$D$309="","",[1]Accounts!$A$309)</f>
        <v/>
      </c>
      <c r="K308">
        <f>IF([1]Accounts!$D$309="","",[1]Accounts!$B$309)</f>
        <v/>
      </c>
      <c r="L308">
        <f>IF([1]Accounts!$D$309="","",[1]Accounts!$C$309)</f>
        <v/>
      </c>
      <c r="M308">
        <f>IF([1]Accounts!$D$309="","",[1]Accounts!$D$309)</f>
        <v/>
      </c>
      <c r="P308">
        <f>IF([2]Entry!$C$311="","",[2]Entry!$C$311)</f>
        <v/>
      </c>
      <c r="Q308">
        <f>IF([2]Entry!$D$311="","",[2]Entry!$D$311)</f>
        <v/>
      </c>
      <c r="R308">
        <f>IF([2]Entry!$E$311="","",[2]Entry!$E$311)</f>
        <v/>
      </c>
      <c r="S308">
        <f>IF([2]Entry!$G$311="","",[2]Entry!$G$311)</f>
        <v/>
      </c>
      <c r="T308">
        <f>IF([2]Entry!$J$311="","",[2]Entry!$J$311)</f>
        <v/>
      </c>
      <c r="U308">
        <f>IF([2]Entry!$K$311="","",[2]Entry!$K$311)</f>
        <v/>
      </c>
      <c r="V308">
        <f>IF([2]Entry!$L$311="","",[2]Entry!$L$311)</f>
        <v/>
      </c>
      <c r="W308">
        <f>IF([2]Entry!$M$311="","",[2]Entry!$M$311)</f>
        <v/>
      </c>
      <c r="X308">
        <f>IF([2]Entry!$N$311="","",[2]Entry!$N$311)</f>
        <v/>
      </c>
      <c r="Y308">
        <f>IF([2]Entry!$R$311="","",[2]Entry!$R$311)</f>
        <v/>
      </c>
    </row>
    <row r="309">
      <c r="J309">
        <f>IF([1]Accounts!$D$310="","",[1]Accounts!$A$310)</f>
        <v/>
      </c>
      <c r="K309">
        <f>IF([1]Accounts!$D$310="","",[1]Accounts!$B$310)</f>
        <v/>
      </c>
      <c r="L309">
        <f>IF([1]Accounts!$D$310="","",[1]Accounts!$C$310)</f>
        <v/>
      </c>
      <c r="M309">
        <f>IF([1]Accounts!$D$310="","",[1]Accounts!$D$310)</f>
        <v/>
      </c>
      <c r="P309">
        <f>IF([2]Entry!$C$312="","",[2]Entry!$C$312)</f>
        <v/>
      </c>
      <c r="Q309">
        <f>IF([2]Entry!$D$312="","",[2]Entry!$D$312)</f>
        <v/>
      </c>
      <c r="R309">
        <f>IF([2]Entry!$E$312="","",[2]Entry!$E$312)</f>
        <v/>
      </c>
      <c r="S309">
        <f>IF([2]Entry!$G$312="","",[2]Entry!$G$312)</f>
        <v/>
      </c>
      <c r="T309">
        <f>IF([2]Entry!$J$312="","",[2]Entry!$J$312)</f>
        <v/>
      </c>
      <c r="U309">
        <f>IF([2]Entry!$K$312="","",[2]Entry!$K$312)</f>
        <v/>
      </c>
      <c r="V309">
        <f>IF([2]Entry!$L$312="","",[2]Entry!$L$312)</f>
        <v/>
      </c>
      <c r="W309">
        <f>IF([2]Entry!$M$312="","",[2]Entry!$M$312)</f>
        <v/>
      </c>
      <c r="X309">
        <f>IF([2]Entry!$N$312="","",[2]Entry!$N$312)</f>
        <v/>
      </c>
      <c r="Y309">
        <f>IF([2]Entry!$R$312="","",[2]Entry!$R$312)</f>
        <v/>
      </c>
    </row>
    <row r="310">
      <c r="J310">
        <f>IF([1]Accounts!$D$311="","",[1]Accounts!$A$311)</f>
        <v/>
      </c>
      <c r="K310">
        <f>IF([1]Accounts!$D$311="","",[1]Accounts!$B$311)</f>
        <v/>
      </c>
      <c r="L310">
        <f>IF([1]Accounts!$D$311="","",[1]Accounts!$C$311)</f>
        <v/>
      </c>
      <c r="M310">
        <f>IF([1]Accounts!$D$311="","",[1]Accounts!$D$311)</f>
        <v/>
      </c>
      <c r="P310">
        <f>IF([2]Entry!$C$313="","",[2]Entry!$C$313)</f>
        <v/>
      </c>
      <c r="Q310">
        <f>IF([2]Entry!$D$313="","",[2]Entry!$D$313)</f>
        <v/>
      </c>
      <c r="R310">
        <f>IF([2]Entry!$E$313="","",[2]Entry!$E$313)</f>
        <v/>
      </c>
      <c r="S310">
        <f>IF([2]Entry!$G$313="","",[2]Entry!$G$313)</f>
        <v/>
      </c>
      <c r="T310">
        <f>IF([2]Entry!$J$313="","",[2]Entry!$J$313)</f>
        <v/>
      </c>
      <c r="U310">
        <f>IF([2]Entry!$K$313="","",[2]Entry!$K$313)</f>
        <v/>
      </c>
      <c r="V310">
        <f>IF([2]Entry!$L$313="","",[2]Entry!$L$313)</f>
        <v/>
      </c>
      <c r="W310">
        <f>IF([2]Entry!$M$313="","",[2]Entry!$M$313)</f>
        <v/>
      </c>
      <c r="X310">
        <f>IF([2]Entry!$N$313="","",[2]Entry!$N$313)</f>
        <v/>
      </c>
      <c r="Y310">
        <f>IF([2]Entry!$R$313="","",[2]Entry!$R$313)</f>
        <v/>
      </c>
    </row>
    <row r="311">
      <c r="J311">
        <f>IF([1]Accounts!$D$312="","",[1]Accounts!$A$312)</f>
        <v/>
      </c>
      <c r="K311">
        <f>IF([1]Accounts!$D$312="","",[1]Accounts!$B$312)</f>
        <v/>
      </c>
      <c r="L311">
        <f>IF([1]Accounts!$D$312="","",[1]Accounts!$C$312)</f>
        <v/>
      </c>
      <c r="M311">
        <f>IF([1]Accounts!$D$312="","",[1]Accounts!$D$312)</f>
        <v/>
      </c>
      <c r="P311">
        <f>IF([2]Entry!$C$314="","",[2]Entry!$C$314)</f>
        <v/>
      </c>
      <c r="Q311">
        <f>IF([2]Entry!$D$314="","",[2]Entry!$D$314)</f>
        <v/>
      </c>
      <c r="R311">
        <f>IF([2]Entry!$E$314="","",[2]Entry!$E$314)</f>
        <v/>
      </c>
      <c r="S311">
        <f>IF([2]Entry!$G$314="","",[2]Entry!$G$314)</f>
        <v/>
      </c>
      <c r="T311">
        <f>IF([2]Entry!$J$314="","",[2]Entry!$J$314)</f>
        <v/>
      </c>
      <c r="U311">
        <f>IF([2]Entry!$K$314="","",[2]Entry!$K$314)</f>
        <v/>
      </c>
      <c r="V311">
        <f>IF([2]Entry!$L$314="","",[2]Entry!$L$314)</f>
        <v/>
      </c>
      <c r="W311">
        <f>IF([2]Entry!$M$314="","",[2]Entry!$M$314)</f>
        <v/>
      </c>
      <c r="X311">
        <f>IF([2]Entry!$N$314="","",[2]Entry!$N$314)</f>
        <v/>
      </c>
      <c r="Y311">
        <f>IF([2]Entry!$R$314="","",[2]Entry!$R$314)</f>
        <v/>
      </c>
    </row>
    <row r="312">
      <c r="J312">
        <f>IF([1]Accounts!$D$313="","",[1]Accounts!$A$313)</f>
        <v/>
      </c>
      <c r="K312">
        <f>IF([1]Accounts!$D$313="","",[1]Accounts!$B$313)</f>
        <v/>
      </c>
      <c r="L312">
        <f>IF([1]Accounts!$D$313="","",[1]Accounts!$C$313)</f>
        <v/>
      </c>
      <c r="M312">
        <f>IF([1]Accounts!$D$313="","",[1]Accounts!$D$313)</f>
        <v/>
      </c>
      <c r="P312">
        <f>IF([2]Entry!$C$315="","",[2]Entry!$C$315)</f>
        <v/>
      </c>
      <c r="Q312">
        <f>IF([2]Entry!$D$315="","",[2]Entry!$D$315)</f>
        <v/>
      </c>
      <c r="R312">
        <f>IF([2]Entry!$E$315="","",[2]Entry!$E$315)</f>
        <v/>
      </c>
      <c r="S312">
        <f>IF([2]Entry!$G$315="","",[2]Entry!$G$315)</f>
        <v/>
      </c>
      <c r="T312">
        <f>IF([2]Entry!$J$315="","",[2]Entry!$J$315)</f>
        <v/>
      </c>
      <c r="U312">
        <f>IF([2]Entry!$K$315="","",[2]Entry!$K$315)</f>
        <v/>
      </c>
      <c r="V312">
        <f>IF([2]Entry!$L$315="","",[2]Entry!$L$315)</f>
        <v/>
      </c>
      <c r="W312">
        <f>IF([2]Entry!$M$315="","",[2]Entry!$M$315)</f>
        <v/>
      </c>
      <c r="X312">
        <f>IF([2]Entry!$N$315="","",[2]Entry!$N$315)</f>
        <v/>
      </c>
      <c r="Y312">
        <f>IF([2]Entry!$R$315="","",[2]Entry!$R$315)</f>
        <v/>
      </c>
    </row>
    <row r="313">
      <c r="J313">
        <f>IF([1]Accounts!$D$314="","",[1]Accounts!$A$314)</f>
        <v/>
      </c>
      <c r="K313">
        <f>IF([1]Accounts!$D$314="","",[1]Accounts!$B$314)</f>
        <v/>
      </c>
      <c r="L313">
        <f>IF([1]Accounts!$D$314="","",[1]Accounts!$C$314)</f>
        <v/>
      </c>
      <c r="M313">
        <f>IF([1]Accounts!$D$314="","",[1]Accounts!$D$314)</f>
        <v/>
      </c>
      <c r="P313">
        <f>IF([2]Entry!$C$316="","",[2]Entry!$C$316)</f>
        <v/>
      </c>
      <c r="Q313">
        <f>IF([2]Entry!$D$316="","",[2]Entry!$D$316)</f>
        <v/>
      </c>
      <c r="R313">
        <f>IF([2]Entry!$E$316="","",[2]Entry!$E$316)</f>
        <v/>
      </c>
      <c r="S313">
        <f>IF([2]Entry!$G$316="","",[2]Entry!$G$316)</f>
        <v/>
      </c>
      <c r="T313">
        <f>IF([2]Entry!$J$316="","",[2]Entry!$J$316)</f>
        <v/>
      </c>
      <c r="U313">
        <f>IF([2]Entry!$K$316="","",[2]Entry!$K$316)</f>
        <v/>
      </c>
      <c r="V313">
        <f>IF([2]Entry!$L$316="","",[2]Entry!$L$316)</f>
        <v/>
      </c>
      <c r="W313">
        <f>IF([2]Entry!$M$316="","",[2]Entry!$M$316)</f>
        <v/>
      </c>
      <c r="X313">
        <f>IF([2]Entry!$N$316="","",[2]Entry!$N$316)</f>
        <v/>
      </c>
      <c r="Y313">
        <f>IF([2]Entry!$R$316="","",[2]Entry!$R$316)</f>
        <v/>
      </c>
    </row>
    <row r="314">
      <c r="J314">
        <f>IF([1]Accounts!$D$315="","",[1]Accounts!$A$315)</f>
        <v/>
      </c>
      <c r="K314">
        <f>IF([1]Accounts!$D$315="","",[1]Accounts!$B$315)</f>
        <v/>
      </c>
      <c r="L314">
        <f>IF([1]Accounts!$D$315="","",[1]Accounts!$C$315)</f>
        <v/>
      </c>
      <c r="M314">
        <f>IF([1]Accounts!$D$315="","",[1]Accounts!$D$315)</f>
        <v/>
      </c>
      <c r="P314">
        <f>IF([2]Entry!$C$317="","",[2]Entry!$C$317)</f>
        <v/>
      </c>
      <c r="Q314">
        <f>IF([2]Entry!$D$317="","",[2]Entry!$D$317)</f>
        <v/>
      </c>
      <c r="R314">
        <f>IF([2]Entry!$E$317="","",[2]Entry!$E$317)</f>
        <v/>
      </c>
      <c r="S314">
        <f>IF([2]Entry!$G$317="","",[2]Entry!$G$317)</f>
        <v/>
      </c>
      <c r="T314">
        <f>IF([2]Entry!$J$317="","",[2]Entry!$J$317)</f>
        <v/>
      </c>
      <c r="U314">
        <f>IF([2]Entry!$K$317="","",[2]Entry!$K$317)</f>
        <v/>
      </c>
      <c r="V314">
        <f>IF([2]Entry!$L$317="","",[2]Entry!$L$317)</f>
        <v/>
      </c>
      <c r="W314">
        <f>IF([2]Entry!$M$317="","",[2]Entry!$M$317)</f>
        <v/>
      </c>
      <c r="X314">
        <f>IF([2]Entry!$N$317="","",[2]Entry!$N$317)</f>
        <v/>
      </c>
      <c r="Y314">
        <f>IF([2]Entry!$R$317="","",[2]Entry!$R$317)</f>
        <v/>
      </c>
    </row>
    <row r="315">
      <c r="J315">
        <f>IF([1]Accounts!$D$316="","",[1]Accounts!$A$316)</f>
        <v/>
      </c>
      <c r="K315">
        <f>IF([1]Accounts!$D$316="","",[1]Accounts!$B$316)</f>
        <v/>
      </c>
      <c r="L315">
        <f>IF([1]Accounts!$D$316="","",[1]Accounts!$C$316)</f>
        <v/>
      </c>
      <c r="M315">
        <f>IF([1]Accounts!$D$316="","",[1]Accounts!$D$316)</f>
        <v/>
      </c>
      <c r="P315">
        <f>IF([2]Entry!$C$318="","",[2]Entry!$C$318)</f>
        <v/>
      </c>
      <c r="Q315">
        <f>IF([2]Entry!$D$318="","",[2]Entry!$D$318)</f>
        <v/>
      </c>
      <c r="R315">
        <f>IF([2]Entry!$E$318="","",[2]Entry!$E$318)</f>
        <v/>
      </c>
      <c r="S315">
        <f>IF([2]Entry!$G$318="","",[2]Entry!$G$318)</f>
        <v/>
      </c>
      <c r="T315">
        <f>IF([2]Entry!$J$318="","",[2]Entry!$J$318)</f>
        <v/>
      </c>
      <c r="U315">
        <f>IF([2]Entry!$K$318="","",[2]Entry!$K$318)</f>
        <v/>
      </c>
      <c r="V315">
        <f>IF([2]Entry!$L$318="","",[2]Entry!$L$318)</f>
        <v/>
      </c>
      <c r="W315">
        <f>IF([2]Entry!$M$318="","",[2]Entry!$M$318)</f>
        <v/>
      </c>
      <c r="X315">
        <f>IF([2]Entry!$N$318="","",[2]Entry!$N$318)</f>
        <v/>
      </c>
      <c r="Y315">
        <f>IF([2]Entry!$R$318="","",[2]Entry!$R$318)</f>
        <v/>
      </c>
    </row>
    <row r="316">
      <c r="J316">
        <f>IF([1]Accounts!$D$317="","",[1]Accounts!$A$317)</f>
        <v/>
      </c>
      <c r="K316">
        <f>IF([1]Accounts!$D$317="","",[1]Accounts!$B$317)</f>
        <v/>
      </c>
      <c r="L316">
        <f>IF([1]Accounts!$D$317="","",[1]Accounts!$C$317)</f>
        <v/>
      </c>
      <c r="M316">
        <f>IF([1]Accounts!$D$317="","",[1]Accounts!$D$317)</f>
        <v/>
      </c>
      <c r="P316">
        <f>IF([2]Entry!$C$319="","",[2]Entry!$C$319)</f>
        <v/>
      </c>
      <c r="Q316">
        <f>IF([2]Entry!$D$319="","",[2]Entry!$D$319)</f>
        <v/>
      </c>
      <c r="R316">
        <f>IF([2]Entry!$E$319="","",[2]Entry!$E$319)</f>
        <v/>
      </c>
      <c r="S316">
        <f>IF([2]Entry!$G$319="","",[2]Entry!$G$319)</f>
        <v/>
      </c>
      <c r="T316">
        <f>IF([2]Entry!$J$319="","",[2]Entry!$J$319)</f>
        <v/>
      </c>
      <c r="U316">
        <f>IF([2]Entry!$K$319="","",[2]Entry!$K$319)</f>
        <v/>
      </c>
      <c r="V316">
        <f>IF([2]Entry!$L$319="","",[2]Entry!$L$319)</f>
        <v/>
      </c>
      <c r="W316">
        <f>IF([2]Entry!$M$319="","",[2]Entry!$M$319)</f>
        <v/>
      </c>
      <c r="X316">
        <f>IF([2]Entry!$N$319="","",[2]Entry!$N$319)</f>
        <v/>
      </c>
      <c r="Y316">
        <f>IF([2]Entry!$R$319="","",[2]Entry!$R$319)</f>
        <v/>
      </c>
    </row>
    <row r="317">
      <c r="J317">
        <f>IF([1]Accounts!$D$318="","",[1]Accounts!$A$318)</f>
        <v/>
      </c>
      <c r="K317">
        <f>IF([1]Accounts!$D$318="","",[1]Accounts!$B$318)</f>
        <v/>
      </c>
      <c r="L317">
        <f>IF([1]Accounts!$D$318="","",[1]Accounts!$C$318)</f>
        <v/>
      </c>
      <c r="M317">
        <f>IF([1]Accounts!$D$318="","",[1]Accounts!$D$318)</f>
        <v/>
      </c>
      <c r="P317">
        <f>IF([2]Entry!$C$320="","",[2]Entry!$C$320)</f>
        <v/>
      </c>
      <c r="Q317">
        <f>IF([2]Entry!$D$320="","",[2]Entry!$D$320)</f>
        <v/>
      </c>
      <c r="R317">
        <f>IF([2]Entry!$E$320="","",[2]Entry!$E$320)</f>
        <v/>
      </c>
      <c r="S317">
        <f>IF([2]Entry!$G$320="","",[2]Entry!$G$320)</f>
        <v/>
      </c>
      <c r="T317">
        <f>IF([2]Entry!$J$320="","",[2]Entry!$J$320)</f>
        <v/>
      </c>
      <c r="U317">
        <f>IF([2]Entry!$K$320="","",[2]Entry!$K$320)</f>
        <v/>
      </c>
      <c r="V317">
        <f>IF([2]Entry!$L$320="","",[2]Entry!$L$320)</f>
        <v/>
      </c>
      <c r="W317">
        <f>IF([2]Entry!$M$320="","",[2]Entry!$M$320)</f>
        <v/>
      </c>
      <c r="X317">
        <f>IF([2]Entry!$N$320="","",[2]Entry!$N$320)</f>
        <v/>
      </c>
      <c r="Y317">
        <f>IF([2]Entry!$R$320="","",[2]Entry!$R$320)</f>
        <v/>
      </c>
    </row>
    <row r="318">
      <c r="J318">
        <f>IF([1]Accounts!$D$319="","",[1]Accounts!$A$319)</f>
        <v/>
      </c>
      <c r="K318">
        <f>IF([1]Accounts!$D$319="","",[1]Accounts!$B$319)</f>
        <v/>
      </c>
      <c r="L318">
        <f>IF([1]Accounts!$D$319="","",[1]Accounts!$C$319)</f>
        <v/>
      </c>
      <c r="M318">
        <f>IF([1]Accounts!$D$319="","",[1]Accounts!$D$319)</f>
        <v/>
      </c>
      <c r="P318">
        <f>IF([2]Entry!$C$321="","",[2]Entry!$C$321)</f>
        <v/>
      </c>
      <c r="Q318">
        <f>IF([2]Entry!$D$321="","",[2]Entry!$D$321)</f>
        <v/>
      </c>
      <c r="R318">
        <f>IF([2]Entry!$E$321="","",[2]Entry!$E$321)</f>
        <v/>
      </c>
      <c r="S318">
        <f>IF([2]Entry!$G$321="","",[2]Entry!$G$321)</f>
        <v/>
      </c>
      <c r="T318">
        <f>IF([2]Entry!$J$321="","",[2]Entry!$J$321)</f>
        <v/>
      </c>
      <c r="U318">
        <f>IF([2]Entry!$K$321="","",[2]Entry!$K$321)</f>
        <v/>
      </c>
      <c r="V318">
        <f>IF([2]Entry!$L$321="","",[2]Entry!$L$321)</f>
        <v/>
      </c>
      <c r="W318">
        <f>IF([2]Entry!$M$321="","",[2]Entry!$M$321)</f>
        <v/>
      </c>
      <c r="X318">
        <f>IF([2]Entry!$N$321="","",[2]Entry!$N$321)</f>
        <v/>
      </c>
      <c r="Y318">
        <f>IF([2]Entry!$R$321="","",[2]Entry!$R$321)</f>
        <v/>
      </c>
    </row>
    <row r="319">
      <c r="J319">
        <f>IF([1]Accounts!$D$320="","",[1]Accounts!$A$320)</f>
        <v/>
      </c>
      <c r="K319">
        <f>IF([1]Accounts!$D$320="","",[1]Accounts!$B$320)</f>
        <v/>
      </c>
      <c r="L319">
        <f>IF([1]Accounts!$D$320="","",[1]Accounts!$C$320)</f>
        <v/>
      </c>
      <c r="M319">
        <f>IF([1]Accounts!$D$320="","",[1]Accounts!$D$320)</f>
        <v/>
      </c>
      <c r="P319">
        <f>IF([2]Entry!$C$322="","",[2]Entry!$C$322)</f>
        <v/>
      </c>
      <c r="Q319">
        <f>IF([2]Entry!$D$322="","",[2]Entry!$D$322)</f>
        <v/>
      </c>
      <c r="R319">
        <f>IF([2]Entry!$E$322="","",[2]Entry!$E$322)</f>
        <v/>
      </c>
      <c r="S319">
        <f>IF([2]Entry!$G$322="","",[2]Entry!$G$322)</f>
        <v/>
      </c>
      <c r="T319">
        <f>IF([2]Entry!$J$322="","",[2]Entry!$J$322)</f>
        <v/>
      </c>
      <c r="U319">
        <f>IF([2]Entry!$K$322="","",[2]Entry!$K$322)</f>
        <v/>
      </c>
      <c r="V319">
        <f>IF([2]Entry!$L$322="","",[2]Entry!$L$322)</f>
        <v/>
      </c>
      <c r="W319">
        <f>IF([2]Entry!$M$322="","",[2]Entry!$M$322)</f>
        <v/>
      </c>
      <c r="X319">
        <f>IF([2]Entry!$N$322="","",[2]Entry!$N$322)</f>
        <v/>
      </c>
      <c r="Y319">
        <f>IF([2]Entry!$R$322="","",[2]Entry!$R$322)</f>
        <v/>
      </c>
    </row>
    <row r="320">
      <c r="J320">
        <f>IF([1]Accounts!$D$321="","",[1]Accounts!$A$321)</f>
        <v/>
      </c>
      <c r="K320">
        <f>IF([1]Accounts!$D$321="","",[1]Accounts!$B$321)</f>
        <v/>
      </c>
      <c r="L320">
        <f>IF([1]Accounts!$D$321="","",[1]Accounts!$C$321)</f>
        <v/>
      </c>
      <c r="M320">
        <f>IF([1]Accounts!$D$321="","",[1]Accounts!$D$321)</f>
        <v/>
      </c>
      <c r="P320">
        <f>IF([2]Entry!$C$323="","",[2]Entry!$C$323)</f>
        <v/>
      </c>
      <c r="Q320">
        <f>IF([2]Entry!$D$323="","",[2]Entry!$D$323)</f>
        <v/>
      </c>
      <c r="R320">
        <f>IF([2]Entry!$E$323="","",[2]Entry!$E$323)</f>
        <v/>
      </c>
      <c r="S320">
        <f>IF([2]Entry!$G$323="","",[2]Entry!$G$323)</f>
        <v/>
      </c>
      <c r="T320">
        <f>IF([2]Entry!$J$323="","",[2]Entry!$J$323)</f>
        <v/>
      </c>
      <c r="U320">
        <f>IF([2]Entry!$K$323="","",[2]Entry!$K$323)</f>
        <v/>
      </c>
      <c r="V320">
        <f>IF([2]Entry!$L$323="","",[2]Entry!$L$323)</f>
        <v/>
      </c>
      <c r="W320">
        <f>IF([2]Entry!$M$323="","",[2]Entry!$M$323)</f>
        <v/>
      </c>
      <c r="X320">
        <f>IF([2]Entry!$N$323="","",[2]Entry!$N$323)</f>
        <v/>
      </c>
      <c r="Y320">
        <f>IF([2]Entry!$R$323="","",[2]Entry!$R$323)</f>
        <v/>
      </c>
    </row>
    <row r="321">
      <c r="J321">
        <f>IF([1]Accounts!$D$322="","",[1]Accounts!$A$322)</f>
        <v/>
      </c>
      <c r="K321">
        <f>IF([1]Accounts!$D$322="","",[1]Accounts!$B$322)</f>
        <v/>
      </c>
      <c r="L321">
        <f>IF([1]Accounts!$D$322="","",[1]Accounts!$C$322)</f>
        <v/>
      </c>
      <c r="M321">
        <f>IF([1]Accounts!$D$322="","",[1]Accounts!$D$322)</f>
        <v/>
      </c>
      <c r="P321">
        <f>IF([2]Entry!$C$324="","",[2]Entry!$C$324)</f>
        <v/>
      </c>
      <c r="Q321">
        <f>IF([2]Entry!$D$324="","",[2]Entry!$D$324)</f>
        <v/>
      </c>
      <c r="R321">
        <f>IF([2]Entry!$E$324="","",[2]Entry!$E$324)</f>
        <v/>
      </c>
      <c r="S321">
        <f>IF([2]Entry!$G$324="","",[2]Entry!$G$324)</f>
        <v/>
      </c>
      <c r="T321">
        <f>IF([2]Entry!$J$324="","",[2]Entry!$J$324)</f>
        <v/>
      </c>
      <c r="U321">
        <f>IF([2]Entry!$K$324="","",[2]Entry!$K$324)</f>
        <v/>
      </c>
      <c r="V321">
        <f>IF([2]Entry!$L$324="","",[2]Entry!$L$324)</f>
        <v/>
      </c>
      <c r="W321">
        <f>IF([2]Entry!$M$324="","",[2]Entry!$M$324)</f>
        <v/>
      </c>
      <c r="X321">
        <f>IF([2]Entry!$N$324="","",[2]Entry!$N$324)</f>
        <v/>
      </c>
      <c r="Y321">
        <f>IF([2]Entry!$R$324="","",[2]Entry!$R$324)</f>
        <v/>
      </c>
    </row>
    <row r="322">
      <c r="J322">
        <f>IF([1]Accounts!$D$323="","",[1]Accounts!$A$323)</f>
        <v/>
      </c>
      <c r="K322">
        <f>IF([1]Accounts!$D$323="","",[1]Accounts!$B$323)</f>
        <v/>
      </c>
      <c r="L322">
        <f>IF([1]Accounts!$D$323="","",[1]Accounts!$C$323)</f>
        <v/>
      </c>
      <c r="M322">
        <f>IF([1]Accounts!$D$323="","",[1]Accounts!$D$323)</f>
        <v/>
      </c>
      <c r="P322">
        <f>IF([2]Entry!$C$325="","",[2]Entry!$C$325)</f>
        <v/>
      </c>
      <c r="Q322">
        <f>IF([2]Entry!$D$325="","",[2]Entry!$D$325)</f>
        <v/>
      </c>
      <c r="R322">
        <f>IF([2]Entry!$E$325="","",[2]Entry!$E$325)</f>
        <v/>
      </c>
      <c r="S322">
        <f>IF([2]Entry!$G$325="","",[2]Entry!$G$325)</f>
        <v/>
      </c>
      <c r="T322">
        <f>IF([2]Entry!$J$325="","",[2]Entry!$J$325)</f>
        <v/>
      </c>
      <c r="U322">
        <f>IF([2]Entry!$K$325="","",[2]Entry!$K$325)</f>
        <v/>
      </c>
      <c r="V322">
        <f>IF([2]Entry!$L$325="","",[2]Entry!$L$325)</f>
        <v/>
      </c>
      <c r="W322">
        <f>IF([2]Entry!$M$325="","",[2]Entry!$M$325)</f>
        <v/>
      </c>
      <c r="X322">
        <f>IF([2]Entry!$N$325="","",[2]Entry!$N$325)</f>
        <v/>
      </c>
      <c r="Y322">
        <f>IF([2]Entry!$R$325="","",[2]Entry!$R$325)</f>
        <v/>
      </c>
    </row>
    <row r="323">
      <c r="J323">
        <f>IF([1]Accounts!$D$324="","",[1]Accounts!$A$324)</f>
        <v/>
      </c>
      <c r="K323">
        <f>IF([1]Accounts!$D$324="","",[1]Accounts!$B$324)</f>
        <v/>
      </c>
      <c r="L323">
        <f>IF([1]Accounts!$D$324="","",[1]Accounts!$C$324)</f>
        <v/>
      </c>
      <c r="M323">
        <f>IF([1]Accounts!$D$324="","",[1]Accounts!$D$324)</f>
        <v/>
      </c>
      <c r="P323">
        <f>IF([2]Entry!$C$326="","",[2]Entry!$C$326)</f>
        <v/>
      </c>
      <c r="Q323">
        <f>IF([2]Entry!$D$326="","",[2]Entry!$D$326)</f>
        <v/>
      </c>
      <c r="R323">
        <f>IF([2]Entry!$E$326="","",[2]Entry!$E$326)</f>
        <v/>
      </c>
      <c r="S323">
        <f>IF([2]Entry!$G$326="","",[2]Entry!$G$326)</f>
        <v/>
      </c>
      <c r="T323">
        <f>IF([2]Entry!$J$326="","",[2]Entry!$J$326)</f>
        <v/>
      </c>
      <c r="U323">
        <f>IF([2]Entry!$K$326="","",[2]Entry!$K$326)</f>
        <v/>
      </c>
      <c r="V323">
        <f>IF([2]Entry!$L$326="","",[2]Entry!$L$326)</f>
        <v/>
      </c>
      <c r="W323">
        <f>IF([2]Entry!$M$326="","",[2]Entry!$M$326)</f>
        <v/>
      </c>
      <c r="X323">
        <f>IF([2]Entry!$N$326="","",[2]Entry!$N$326)</f>
        <v/>
      </c>
      <c r="Y323">
        <f>IF([2]Entry!$R$326="","",[2]Entry!$R$326)</f>
        <v/>
      </c>
    </row>
    <row r="324">
      <c r="J324">
        <f>IF([1]Accounts!$D$325="","",[1]Accounts!$A$325)</f>
        <v/>
      </c>
      <c r="K324">
        <f>IF([1]Accounts!$D$325="","",[1]Accounts!$B$325)</f>
        <v/>
      </c>
      <c r="L324">
        <f>IF([1]Accounts!$D$325="","",[1]Accounts!$C$325)</f>
        <v/>
      </c>
      <c r="M324">
        <f>IF([1]Accounts!$D$325="","",[1]Accounts!$D$325)</f>
        <v/>
      </c>
      <c r="P324">
        <f>IF([2]Entry!$C$327="","",[2]Entry!$C$327)</f>
        <v/>
      </c>
      <c r="Q324">
        <f>IF([2]Entry!$D$327="","",[2]Entry!$D$327)</f>
        <v/>
      </c>
      <c r="R324">
        <f>IF([2]Entry!$E$327="","",[2]Entry!$E$327)</f>
        <v/>
      </c>
      <c r="S324">
        <f>IF([2]Entry!$G$327="","",[2]Entry!$G$327)</f>
        <v/>
      </c>
      <c r="T324">
        <f>IF([2]Entry!$J$327="","",[2]Entry!$J$327)</f>
        <v/>
      </c>
      <c r="U324">
        <f>IF([2]Entry!$K$327="","",[2]Entry!$K$327)</f>
        <v/>
      </c>
      <c r="V324">
        <f>IF([2]Entry!$L$327="","",[2]Entry!$L$327)</f>
        <v/>
      </c>
      <c r="W324">
        <f>IF([2]Entry!$M$327="","",[2]Entry!$M$327)</f>
        <v/>
      </c>
      <c r="X324">
        <f>IF([2]Entry!$N$327="","",[2]Entry!$N$327)</f>
        <v/>
      </c>
      <c r="Y324">
        <f>IF([2]Entry!$R$327="","",[2]Entry!$R$327)</f>
        <v/>
      </c>
    </row>
    <row r="325">
      <c r="J325">
        <f>IF([1]Accounts!$D$326="","",[1]Accounts!$A$326)</f>
        <v/>
      </c>
      <c r="K325">
        <f>IF([1]Accounts!$D$326="","",[1]Accounts!$B$326)</f>
        <v/>
      </c>
      <c r="L325">
        <f>IF([1]Accounts!$D$326="","",[1]Accounts!$C$326)</f>
        <v/>
      </c>
      <c r="M325">
        <f>IF([1]Accounts!$D$326="","",[1]Accounts!$D$326)</f>
        <v/>
      </c>
      <c r="P325">
        <f>IF([2]Entry!$C$328="","",[2]Entry!$C$328)</f>
        <v/>
      </c>
      <c r="Q325">
        <f>IF([2]Entry!$D$328="","",[2]Entry!$D$328)</f>
        <v/>
      </c>
      <c r="R325">
        <f>IF([2]Entry!$E$328="","",[2]Entry!$E$328)</f>
        <v/>
      </c>
      <c r="S325">
        <f>IF([2]Entry!$G$328="","",[2]Entry!$G$328)</f>
        <v/>
      </c>
      <c r="T325">
        <f>IF([2]Entry!$J$328="","",[2]Entry!$J$328)</f>
        <v/>
      </c>
      <c r="U325">
        <f>IF([2]Entry!$K$328="","",[2]Entry!$K$328)</f>
        <v/>
      </c>
      <c r="V325">
        <f>IF([2]Entry!$L$328="","",[2]Entry!$L$328)</f>
        <v/>
      </c>
      <c r="W325">
        <f>IF([2]Entry!$M$328="","",[2]Entry!$M$328)</f>
        <v/>
      </c>
      <c r="X325">
        <f>IF([2]Entry!$N$328="","",[2]Entry!$N$328)</f>
        <v/>
      </c>
      <c r="Y325">
        <f>IF([2]Entry!$R$328="","",[2]Entry!$R$328)</f>
        <v/>
      </c>
    </row>
    <row r="326">
      <c r="J326">
        <f>IF([1]Accounts!$D$327="","",[1]Accounts!$A$327)</f>
        <v/>
      </c>
      <c r="K326">
        <f>IF([1]Accounts!$D$327="","",[1]Accounts!$B$327)</f>
        <v/>
      </c>
      <c r="L326">
        <f>IF([1]Accounts!$D$327="","",[1]Accounts!$C$327)</f>
        <v/>
      </c>
      <c r="M326">
        <f>IF([1]Accounts!$D$327="","",[1]Accounts!$D$327)</f>
        <v/>
      </c>
      <c r="P326">
        <f>IF([2]Entry!$C$329="","",[2]Entry!$C$329)</f>
        <v/>
      </c>
      <c r="Q326">
        <f>IF([2]Entry!$D$329="","",[2]Entry!$D$329)</f>
        <v/>
      </c>
      <c r="R326">
        <f>IF([2]Entry!$E$329="","",[2]Entry!$E$329)</f>
        <v/>
      </c>
      <c r="S326">
        <f>IF([2]Entry!$G$329="","",[2]Entry!$G$329)</f>
        <v/>
      </c>
      <c r="T326">
        <f>IF([2]Entry!$J$329="","",[2]Entry!$J$329)</f>
        <v/>
      </c>
      <c r="U326">
        <f>IF([2]Entry!$K$329="","",[2]Entry!$K$329)</f>
        <v/>
      </c>
      <c r="V326">
        <f>IF([2]Entry!$L$329="","",[2]Entry!$L$329)</f>
        <v/>
      </c>
      <c r="W326">
        <f>IF([2]Entry!$M$329="","",[2]Entry!$M$329)</f>
        <v/>
      </c>
      <c r="X326">
        <f>IF([2]Entry!$N$329="","",[2]Entry!$N$329)</f>
        <v/>
      </c>
      <c r="Y326">
        <f>IF([2]Entry!$R$329="","",[2]Entry!$R$329)</f>
        <v/>
      </c>
    </row>
    <row r="327">
      <c r="J327">
        <f>IF([1]Accounts!$D$328="","",[1]Accounts!$A$328)</f>
        <v/>
      </c>
      <c r="K327">
        <f>IF([1]Accounts!$D$328="","",[1]Accounts!$B$328)</f>
        <v/>
      </c>
      <c r="L327">
        <f>IF([1]Accounts!$D$328="","",[1]Accounts!$C$328)</f>
        <v/>
      </c>
      <c r="M327">
        <f>IF([1]Accounts!$D$328="","",[1]Accounts!$D$328)</f>
        <v/>
      </c>
      <c r="P327">
        <f>IF([2]Entry!$C$330="","",[2]Entry!$C$330)</f>
        <v/>
      </c>
      <c r="Q327">
        <f>IF([2]Entry!$D$330="","",[2]Entry!$D$330)</f>
        <v/>
      </c>
      <c r="R327">
        <f>IF([2]Entry!$E$330="","",[2]Entry!$E$330)</f>
        <v/>
      </c>
      <c r="S327">
        <f>IF([2]Entry!$G$330="","",[2]Entry!$G$330)</f>
        <v/>
      </c>
      <c r="T327">
        <f>IF([2]Entry!$J$330="","",[2]Entry!$J$330)</f>
        <v/>
      </c>
      <c r="U327">
        <f>IF([2]Entry!$K$330="","",[2]Entry!$K$330)</f>
        <v/>
      </c>
      <c r="V327">
        <f>IF([2]Entry!$L$330="","",[2]Entry!$L$330)</f>
        <v/>
      </c>
      <c r="W327">
        <f>IF([2]Entry!$M$330="","",[2]Entry!$M$330)</f>
        <v/>
      </c>
      <c r="X327">
        <f>IF([2]Entry!$N$330="","",[2]Entry!$N$330)</f>
        <v/>
      </c>
      <c r="Y327">
        <f>IF([2]Entry!$R$330="","",[2]Entry!$R$330)</f>
        <v/>
      </c>
    </row>
    <row r="328">
      <c r="J328">
        <f>IF([1]Accounts!$D$329="","",[1]Accounts!$A$329)</f>
        <v/>
      </c>
      <c r="K328">
        <f>IF([1]Accounts!$D$329="","",[1]Accounts!$B$329)</f>
        <v/>
      </c>
      <c r="L328">
        <f>IF([1]Accounts!$D$329="","",[1]Accounts!$C$329)</f>
        <v/>
      </c>
      <c r="M328">
        <f>IF([1]Accounts!$D$329="","",[1]Accounts!$D$329)</f>
        <v/>
      </c>
      <c r="P328">
        <f>IF([2]Entry!$C$331="","",[2]Entry!$C$331)</f>
        <v/>
      </c>
      <c r="Q328">
        <f>IF([2]Entry!$D$331="","",[2]Entry!$D$331)</f>
        <v/>
      </c>
      <c r="R328">
        <f>IF([2]Entry!$E$331="","",[2]Entry!$E$331)</f>
        <v/>
      </c>
      <c r="S328">
        <f>IF([2]Entry!$G$331="","",[2]Entry!$G$331)</f>
        <v/>
      </c>
      <c r="T328">
        <f>IF([2]Entry!$J$331="","",[2]Entry!$J$331)</f>
        <v/>
      </c>
      <c r="U328">
        <f>IF([2]Entry!$K$331="","",[2]Entry!$K$331)</f>
        <v/>
      </c>
      <c r="V328">
        <f>IF([2]Entry!$L$331="","",[2]Entry!$L$331)</f>
        <v/>
      </c>
      <c r="W328">
        <f>IF([2]Entry!$M$331="","",[2]Entry!$M$331)</f>
        <v/>
      </c>
      <c r="X328">
        <f>IF([2]Entry!$N$331="","",[2]Entry!$N$331)</f>
        <v/>
      </c>
      <c r="Y328">
        <f>IF([2]Entry!$R$331="","",[2]Entry!$R$331)</f>
        <v/>
      </c>
    </row>
    <row r="329">
      <c r="J329">
        <f>IF([1]Accounts!$D$330="","",[1]Accounts!$A$330)</f>
        <v/>
      </c>
      <c r="K329">
        <f>IF([1]Accounts!$D$330="","",[1]Accounts!$B$330)</f>
        <v/>
      </c>
      <c r="L329">
        <f>IF([1]Accounts!$D$330="","",[1]Accounts!$C$330)</f>
        <v/>
      </c>
      <c r="M329">
        <f>IF([1]Accounts!$D$330="","",[1]Accounts!$D$330)</f>
        <v/>
      </c>
      <c r="P329">
        <f>IF([2]Entry!$C$332="","",[2]Entry!$C$332)</f>
        <v/>
      </c>
      <c r="Q329">
        <f>IF([2]Entry!$D$332="","",[2]Entry!$D$332)</f>
        <v/>
      </c>
      <c r="R329">
        <f>IF([2]Entry!$E$332="","",[2]Entry!$E$332)</f>
        <v/>
      </c>
      <c r="S329">
        <f>IF([2]Entry!$G$332="","",[2]Entry!$G$332)</f>
        <v/>
      </c>
      <c r="T329">
        <f>IF([2]Entry!$J$332="","",[2]Entry!$J$332)</f>
        <v/>
      </c>
      <c r="U329">
        <f>IF([2]Entry!$K$332="","",[2]Entry!$K$332)</f>
        <v/>
      </c>
      <c r="V329">
        <f>IF([2]Entry!$L$332="","",[2]Entry!$L$332)</f>
        <v/>
      </c>
      <c r="W329">
        <f>IF([2]Entry!$M$332="","",[2]Entry!$M$332)</f>
        <v/>
      </c>
      <c r="X329">
        <f>IF([2]Entry!$N$332="","",[2]Entry!$N$332)</f>
        <v/>
      </c>
      <c r="Y329">
        <f>IF([2]Entry!$R$332="","",[2]Entry!$R$332)</f>
        <v/>
      </c>
    </row>
    <row r="330">
      <c r="J330">
        <f>IF([1]Accounts!$D$331="","",[1]Accounts!$A$331)</f>
        <v/>
      </c>
      <c r="K330">
        <f>IF([1]Accounts!$D$331="","",[1]Accounts!$B$331)</f>
        <v/>
      </c>
      <c r="L330">
        <f>IF([1]Accounts!$D$331="","",[1]Accounts!$C$331)</f>
        <v/>
      </c>
      <c r="M330">
        <f>IF([1]Accounts!$D$331="","",[1]Accounts!$D$331)</f>
        <v/>
      </c>
      <c r="P330">
        <f>IF([2]Entry!$C$333="","",[2]Entry!$C$333)</f>
        <v/>
      </c>
      <c r="Q330">
        <f>IF([2]Entry!$D$333="","",[2]Entry!$D$333)</f>
        <v/>
      </c>
      <c r="R330">
        <f>IF([2]Entry!$E$333="","",[2]Entry!$E$333)</f>
        <v/>
      </c>
      <c r="S330">
        <f>IF([2]Entry!$G$333="","",[2]Entry!$G$333)</f>
        <v/>
      </c>
      <c r="T330">
        <f>IF([2]Entry!$J$333="","",[2]Entry!$J$333)</f>
        <v/>
      </c>
      <c r="U330">
        <f>IF([2]Entry!$K$333="","",[2]Entry!$K$333)</f>
        <v/>
      </c>
      <c r="V330">
        <f>IF([2]Entry!$L$333="","",[2]Entry!$L$333)</f>
        <v/>
      </c>
      <c r="W330">
        <f>IF([2]Entry!$M$333="","",[2]Entry!$M$333)</f>
        <v/>
      </c>
      <c r="X330">
        <f>IF([2]Entry!$N$333="","",[2]Entry!$N$333)</f>
        <v/>
      </c>
      <c r="Y330">
        <f>IF([2]Entry!$R$333="","",[2]Entry!$R$333)</f>
        <v/>
      </c>
    </row>
    <row r="331">
      <c r="J331">
        <f>IF([1]Accounts!$D$332="","",[1]Accounts!$A$332)</f>
        <v/>
      </c>
      <c r="K331">
        <f>IF([1]Accounts!$D$332="","",[1]Accounts!$B$332)</f>
        <v/>
      </c>
      <c r="L331">
        <f>IF([1]Accounts!$D$332="","",[1]Accounts!$C$332)</f>
        <v/>
      </c>
      <c r="M331">
        <f>IF([1]Accounts!$D$332="","",[1]Accounts!$D$332)</f>
        <v/>
      </c>
      <c r="P331">
        <f>IF([2]Entry!$C$334="","",[2]Entry!$C$334)</f>
        <v/>
      </c>
      <c r="Q331">
        <f>IF([2]Entry!$D$334="","",[2]Entry!$D$334)</f>
        <v/>
      </c>
      <c r="R331">
        <f>IF([2]Entry!$E$334="","",[2]Entry!$E$334)</f>
        <v/>
      </c>
      <c r="S331">
        <f>IF([2]Entry!$G$334="","",[2]Entry!$G$334)</f>
        <v/>
      </c>
      <c r="T331">
        <f>IF([2]Entry!$J$334="","",[2]Entry!$J$334)</f>
        <v/>
      </c>
      <c r="U331">
        <f>IF([2]Entry!$K$334="","",[2]Entry!$K$334)</f>
        <v/>
      </c>
      <c r="V331">
        <f>IF([2]Entry!$L$334="","",[2]Entry!$L$334)</f>
        <v/>
      </c>
      <c r="W331">
        <f>IF([2]Entry!$M$334="","",[2]Entry!$M$334)</f>
        <v/>
      </c>
      <c r="X331">
        <f>IF([2]Entry!$N$334="","",[2]Entry!$N$334)</f>
        <v/>
      </c>
      <c r="Y331">
        <f>IF([2]Entry!$R$334="","",[2]Entry!$R$334)</f>
        <v/>
      </c>
    </row>
    <row r="332">
      <c r="J332">
        <f>IF([1]Accounts!$D$333="","",[1]Accounts!$A$333)</f>
        <v/>
      </c>
      <c r="K332">
        <f>IF([1]Accounts!$D$333="","",[1]Accounts!$B$333)</f>
        <v/>
      </c>
      <c r="L332">
        <f>IF([1]Accounts!$D$333="","",[1]Accounts!$C$333)</f>
        <v/>
      </c>
      <c r="M332">
        <f>IF([1]Accounts!$D$333="","",[1]Accounts!$D$333)</f>
        <v/>
      </c>
      <c r="P332">
        <f>IF([2]Entry!$C$335="","",[2]Entry!$C$335)</f>
        <v/>
      </c>
      <c r="Q332">
        <f>IF([2]Entry!$D$335="","",[2]Entry!$D$335)</f>
        <v/>
      </c>
      <c r="R332">
        <f>IF([2]Entry!$E$335="","",[2]Entry!$E$335)</f>
        <v/>
      </c>
      <c r="S332">
        <f>IF([2]Entry!$G$335="","",[2]Entry!$G$335)</f>
        <v/>
      </c>
      <c r="T332">
        <f>IF([2]Entry!$J$335="","",[2]Entry!$J$335)</f>
        <v/>
      </c>
      <c r="U332">
        <f>IF([2]Entry!$K$335="","",[2]Entry!$K$335)</f>
        <v/>
      </c>
      <c r="V332">
        <f>IF([2]Entry!$L$335="","",[2]Entry!$L$335)</f>
        <v/>
      </c>
      <c r="W332">
        <f>IF([2]Entry!$M$335="","",[2]Entry!$M$335)</f>
        <v/>
      </c>
      <c r="X332">
        <f>IF([2]Entry!$N$335="","",[2]Entry!$N$335)</f>
        <v/>
      </c>
      <c r="Y332">
        <f>IF([2]Entry!$R$335="","",[2]Entry!$R$335)</f>
        <v/>
      </c>
    </row>
    <row r="333">
      <c r="J333">
        <f>IF([1]Accounts!$D$334="","",[1]Accounts!$A$334)</f>
        <v/>
      </c>
      <c r="K333">
        <f>IF([1]Accounts!$D$334="","",[1]Accounts!$B$334)</f>
        <v/>
      </c>
      <c r="L333">
        <f>IF([1]Accounts!$D$334="","",[1]Accounts!$C$334)</f>
        <v/>
      </c>
      <c r="M333">
        <f>IF([1]Accounts!$D$334="","",[1]Accounts!$D$334)</f>
        <v/>
      </c>
      <c r="P333">
        <f>IF([2]Entry!$C$336="","",[2]Entry!$C$336)</f>
        <v/>
      </c>
      <c r="Q333">
        <f>IF([2]Entry!$D$336="","",[2]Entry!$D$336)</f>
        <v/>
      </c>
      <c r="R333">
        <f>IF([2]Entry!$E$336="","",[2]Entry!$E$336)</f>
        <v/>
      </c>
      <c r="S333">
        <f>IF([2]Entry!$G$336="","",[2]Entry!$G$336)</f>
        <v/>
      </c>
      <c r="T333">
        <f>IF([2]Entry!$J$336="","",[2]Entry!$J$336)</f>
        <v/>
      </c>
      <c r="U333">
        <f>IF([2]Entry!$K$336="","",[2]Entry!$K$336)</f>
        <v/>
      </c>
      <c r="V333">
        <f>IF([2]Entry!$L$336="","",[2]Entry!$L$336)</f>
        <v/>
      </c>
      <c r="W333">
        <f>IF([2]Entry!$M$336="","",[2]Entry!$M$336)</f>
        <v/>
      </c>
      <c r="X333">
        <f>IF([2]Entry!$N$336="","",[2]Entry!$N$336)</f>
        <v/>
      </c>
      <c r="Y333">
        <f>IF([2]Entry!$R$336="","",[2]Entry!$R$336)</f>
        <v/>
      </c>
    </row>
    <row r="334">
      <c r="J334">
        <f>IF([1]Accounts!$D$335="","",[1]Accounts!$A$335)</f>
        <v/>
      </c>
      <c r="K334">
        <f>IF([1]Accounts!$D$335="","",[1]Accounts!$B$335)</f>
        <v/>
      </c>
      <c r="L334">
        <f>IF([1]Accounts!$D$335="","",[1]Accounts!$C$335)</f>
        <v/>
      </c>
      <c r="M334">
        <f>IF([1]Accounts!$D$335="","",[1]Accounts!$D$335)</f>
        <v/>
      </c>
      <c r="P334">
        <f>IF([2]Entry!$C$337="","",[2]Entry!$C$337)</f>
        <v/>
      </c>
      <c r="Q334">
        <f>IF([2]Entry!$D$337="","",[2]Entry!$D$337)</f>
        <v/>
      </c>
      <c r="R334">
        <f>IF([2]Entry!$E$337="","",[2]Entry!$E$337)</f>
        <v/>
      </c>
      <c r="S334">
        <f>IF([2]Entry!$G$337="","",[2]Entry!$G$337)</f>
        <v/>
      </c>
      <c r="T334">
        <f>IF([2]Entry!$J$337="","",[2]Entry!$J$337)</f>
        <v/>
      </c>
      <c r="U334">
        <f>IF([2]Entry!$K$337="","",[2]Entry!$K$337)</f>
        <v/>
      </c>
      <c r="V334">
        <f>IF([2]Entry!$L$337="","",[2]Entry!$L$337)</f>
        <v/>
      </c>
      <c r="W334">
        <f>IF([2]Entry!$M$337="","",[2]Entry!$M$337)</f>
        <v/>
      </c>
      <c r="X334">
        <f>IF([2]Entry!$N$337="","",[2]Entry!$N$337)</f>
        <v/>
      </c>
      <c r="Y334">
        <f>IF([2]Entry!$R$337="","",[2]Entry!$R$337)</f>
        <v/>
      </c>
    </row>
    <row r="335">
      <c r="J335">
        <f>IF([1]Accounts!$D$336="","",[1]Accounts!$A$336)</f>
        <v/>
      </c>
      <c r="K335">
        <f>IF([1]Accounts!$D$336="","",[1]Accounts!$B$336)</f>
        <v/>
      </c>
      <c r="L335">
        <f>IF([1]Accounts!$D$336="","",[1]Accounts!$C$336)</f>
        <v/>
      </c>
      <c r="M335">
        <f>IF([1]Accounts!$D$336="","",[1]Accounts!$D$336)</f>
        <v/>
      </c>
      <c r="P335">
        <f>IF([2]Entry!$C$338="","",[2]Entry!$C$338)</f>
        <v/>
      </c>
      <c r="Q335">
        <f>IF([2]Entry!$D$338="","",[2]Entry!$D$338)</f>
        <v/>
      </c>
      <c r="R335">
        <f>IF([2]Entry!$E$338="","",[2]Entry!$E$338)</f>
        <v/>
      </c>
      <c r="S335">
        <f>IF([2]Entry!$G$338="","",[2]Entry!$G$338)</f>
        <v/>
      </c>
      <c r="T335">
        <f>IF([2]Entry!$J$338="","",[2]Entry!$J$338)</f>
        <v/>
      </c>
      <c r="U335">
        <f>IF([2]Entry!$K$338="","",[2]Entry!$K$338)</f>
        <v/>
      </c>
      <c r="V335">
        <f>IF([2]Entry!$L$338="","",[2]Entry!$L$338)</f>
        <v/>
      </c>
      <c r="W335">
        <f>IF([2]Entry!$M$338="","",[2]Entry!$M$338)</f>
        <v/>
      </c>
      <c r="X335">
        <f>IF([2]Entry!$N$338="","",[2]Entry!$N$338)</f>
        <v/>
      </c>
      <c r="Y335">
        <f>IF([2]Entry!$R$338="","",[2]Entry!$R$338)</f>
        <v/>
      </c>
    </row>
    <row r="336">
      <c r="J336">
        <f>IF([1]Accounts!$D$337="","",[1]Accounts!$A$337)</f>
        <v/>
      </c>
      <c r="K336">
        <f>IF([1]Accounts!$D$337="","",[1]Accounts!$B$337)</f>
        <v/>
      </c>
      <c r="L336">
        <f>IF([1]Accounts!$D$337="","",[1]Accounts!$C$337)</f>
        <v/>
      </c>
      <c r="M336">
        <f>IF([1]Accounts!$D$337="","",[1]Accounts!$D$337)</f>
        <v/>
      </c>
      <c r="P336">
        <f>IF([2]Entry!$C$339="","",[2]Entry!$C$339)</f>
        <v/>
      </c>
      <c r="Q336">
        <f>IF([2]Entry!$D$339="","",[2]Entry!$D$339)</f>
        <v/>
      </c>
      <c r="R336">
        <f>IF([2]Entry!$E$339="","",[2]Entry!$E$339)</f>
        <v/>
      </c>
      <c r="S336">
        <f>IF([2]Entry!$G$339="","",[2]Entry!$G$339)</f>
        <v/>
      </c>
      <c r="T336">
        <f>IF([2]Entry!$J$339="","",[2]Entry!$J$339)</f>
        <v/>
      </c>
      <c r="U336">
        <f>IF([2]Entry!$K$339="","",[2]Entry!$K$339)</f>
        <v/>
      </c>
      <c r="V336">
        <f>IF([2]Entry!$L$339="","",[2]Entry!$L$339)</f>
        <v/>
      </c>
      <c r="W336">
        <f>IF([2]Entry!$M$339="","",[2]Entry!$M$339)</f>
        <v/>
      </c>
      <c r="X336">
        <f>IF([2]Entry!$N$339="","",[2]Entry!$N$339)</f>
        <v/>
      </c>
      <c r="Y336">
        <f>IF([2]Entry!$R$339="","",[2]Entry!$R$339)</f>
        <v/>
      </c>
    </row>
    <row r="337">
      <c r="J337">
        <f>IF([1]Accounts!$D$338="","",[1]Accounts!$A$338)</f>
        <v/>
      </c>
      <c r="K337">
        <f>IF([1]Accounts!$D$338="","",[1]Accounts!$B$338)</f>
        <v/>
      </c>
      <c r="L337">
        <f>IF([1]Accounts!$D$338="","",[1]Accounts!$C$338)</f>
        <v/>
      </c>
      <c r="M337">
        <f>IF([1]Accounts!$D$338="","",[1]Accounts!$D$338)</f>
        <v/>
      </c>
      <c r="P337">
        <f>IF([2]Entry!$C$340="","",[2]Entry!$C$340)</f>
        <v/>
      </c>
      <c r="Q337">
        <f>IF([2]Entry!$D$340="","",[2]Entry!$D$340)</f>
        <v/>
      </c>
      <c r="R337">
        <f>IF([2]Entry!$E$340="","",[2]Entry!$E$340)</f>
        <v/>
      </c>
      <c r="S337">
        <f>IF([2]Entry!$G$340="","",[2]Entry!$G$340)</f>
        <v/>
      </c>
      <c r="T337">
        <f>IF([2]Entry!$J$340="","",[2]Entry!$J$340)</f>
        <v/>
      </c>
      <c r="U337">
        <f>IF([2]Entry!$K$340="","",[2]Entry!$K$340)</f>
        <v/>
      </c>
      <c r="V337">
        <f>IF([2]Entry!$L$340="","",[2]Entry!$L$340)</f>
        <v/>
      </c>
      <c r="W337">
        <f>IF([2]Entry!$M$340="","",[2]Entry!$M$340)</f>
        <v/>
      </c>
      <c r="X337">
        <f>IF([2]Entry!$N$340="","",[2]Entry!$N$340)</f>
        <v/>
      </c>
      <c r="Y337">
        <f>IF([2]Entry!$R$340="","",[2]Entry!$R$340)</f>
        <v/>
      </c>
    </row>
    <row r="338">
      <c r="J338">
        <f>IF([1]Accounts!$D$339="","",[1]Accounts!$A$339)</f>
        <v/>
      </c>
      <c r="K338">
        <f>IF([1]Accounts!$D$339="","",[1]Accounts!$B$339)</f>
        <v/>
      </c>
      <c r="L338">
        <f>IF([1]Accounts!$D$339="","",[1]Accounts!$C$339)</f>
        <v/>
      </c>
      <c r="M338">
        <f>IF([1]Accounts!$D$339="","",[1]Accounts!$D$339)</f>
        <v/>
      </c>
      <c r="P338">
        <f>IF([2]Entry!$C$341="","",[2]Entry!$C$341)</f>
        <v/>
      </c>
      <c r="Q338">
        <f>IF([2]Entry!$D$341="","",[2]Entry!$D$341)</f>
        <v/>
      </c>
      <c r="R338">
        <f>IF([2]Entry!$E$341="","",[2]Entry!$E$341)</f>
        <v/>
      </c>
      <c r="S338">
        <f>IF([2]Entry!$G$341="","",[2]Entry!$G$341)</f>
        <v/>
      </c>
      <c r="T338">
        <f>IF([2]Entry!$J$341="","",[2]Entry!$J$341)</f>
        <v/>
      </c>
      <c r="U338">
        <f>IF([2]Entry!$K$341="","",[2]Entry!$K$341)</f>
        <v/>
      </c>
      <c r="V338">
        <f>IF([2]Entry!$L$341="","",[2]Entry!$L$341)</f>
        <v/>
      </c>
      <c r="W338">
        <f>IF([2]Entry!$M$341="","",[2]Entry!$M$341)</f>
        <v/>
      </c>
      <c r="X338">
        <f>IF([2]Entry!$N$341="","",[2]Entry!$N$341)</f>
        <v/>
      </c>
      <c r="Y338">
        <f>IF([2]Entry!$R$341="","",[2]Entry!$R$341)</f>
        <v/>
      </c>
    </row>
    <row r="339">
      <c r="J339">
        <f>IF([1]Accounts!$D$340="","",[1]Accounts!$A$340)</f>
        <v/>
      </c>
      <c r="K339">
        <f>IF([1]Accounts!$D$340="","",[1]Accounts!$B$340)</f>
        <v/>
      </c>
      <c r="L339">
        <f>IF([1]Accounts!$D$340="","",[1]Accounts!$C$340)</f>
        <v/>
      </c>
      <c r="M339">
        <f>IF([1]Accounts!$D$340="","",[1]Accounts!$D$340)</f>
        <v/>
      </c>
      <c r="P339">
        <f>IF([2]Entry!$C$342="","",[2]Entry!$C$342)</f>
        <v/>
      </c>
      <c r="Q339">
        <f>IF([2]Entry!$D$342="","",[2]Entry!$D$342)</f>
        <v/>
      </c>
      <c r="R339">
        <f>IF([2]Entry!$E$342="","",[2]Entry!$E$342)</f>
        <v/>
      </c>
      <c r="S339">
        <f>IF([2]Entry!$G$342="","",[2]Entry!$G$342)</f>
        <v/>
      </c>
      <c r="T339">
        <f>IF([2]Entry!$J$342="","",[2]Entry!$J$342)</f>
        <v/>
      </c>
      <c r="U339">
        <f>IF([2]Entry!$K$342="","",[2]Entry!$K$342)</f>
        <v/>
      </c>
      <c r="V339">
        <f>IF([2]Entry!$L$342="","",[2]Entry!$L$342)</f>
        <v/>
      </c>
      <c r="W339">
        <f>IF([2]Entry!$M$342="","",[2]Entry!$M$342)</f>
        <v/>
      </c>
      <c r="X339">
        <f>IF([2]Entry!$N$342="","",[2]Entry!$N$342)</f>
        <v/>
      </c>
      <c r="Y339">
        <f>IF([2]Entry!$R$342="","",[2]Entry!$R$342)</f>
        <v/>
      </c>
    </row>
    <row r="340">
      <c r="J340">
        <f>IF([1]Accounts!$D$341="","",[1]Accounts!$A$341)</f>
        <v/>
      </c>
      <c r="K340">
        <f>IF([1]Accounts!$D$341="","",[1]Accounts!$B$341)</f>
        <v/>
      </c>
      <c r="L340">
        <f>IF([1]Accounts!$D$341="","",[1]Accounts!$C$341)</f>
        <v/>
      </c>
      <c r="M340">
        <f>IF([1]Accounts!$D$341="","",[1]Accounts!$D$341)</f>
        <v/>
      </c>
      <c r="P340">
        <f>IF([2]Entry!$C$343="","",[2]Entry!$C$343)</f>
        <v/>
      </c>
      <c r="Q340">
        <f>IF([2]Entry!$D$343="","",[2]Entry!$D$343)</f>
        <v/>
      </c>
      <c r="R340">
        <f>IF([2]Entry!$E$343="","",[2]Entry!$E$343)</f>
        <v/>
      </c>
      <c r="S340">
        <f>IF([2]Entry!$G$343="","",[2]Entry!$G$343)</f>
        <v/>
      </c>
      <c r="T340">
        <f>IF([2]Entry!$J$343="","",[2]Entry!$J$343)</f>
        <v/>
      </c>
      <c r="U340">
        <f>IF([2]Entry!$K$343="","",[2]Entry!$K$343)</f>
        <v/>
      </c>
      <c r="V340">
        <f>IF([2]Entry!$L$343="","",[2]Entry!$L$343)</f>
        <v/>
      </c>
      <c r="W340">
        <f>IF([2]Entry!$M$343="","",[2]Entry!$M$343)</f>
        <v/>
      </c>
      <c r="X340">
        <f>IF([2]Entry!$N$343="","",[2]Entry!$N$343)</f>
        <v/>
      </c>
      <c r="Y340">
        <f>IF([2]Entry!$R$343="","",[2]Entry!$R$343)</f>
        <v/>
      </c>
    </row>
    <row r="341">
      <c r="J341">
        <f>IF([1]Accounts!$D$342="","",[1]Accounts!$A$342)</f>
        <v/>
      </c>
      <c r="K341">
        <f>IF([1]Accounts!$D$342="","",[1]Accounts!$B$342)</f>
        <v/>
      </c>
      <c r="L341">
        <f>IF([1]Accounts!$D$342="","",[1]Accounts!$C$342)</f>
        <v/>
      </c>
      <c r="M341">
        <f>IF([1]Accounts!$D$342="","",[1]Accounts!$D$342)</f>
        <v/>
      </c>
      <c r="P341">
        <f>IF([2]Entry!$C$344="","",[2]Entry!$C$344)</f>
        <v/>
      </c>
      <c r="Q341">
        <f>IF([2]Entry!$D$344="","",[2]Entry!$D$344)</f>
        <v/>
      </c>
      <c r="R341">
        <f>IF([2]Entry!$E$344="","",[2]Entry!$E$344)</f>
        <v/>
      </c>
      <c r="S341">
        <f>IF([2]Entry!$G$344="","",[2]Entry!$G$344)</f>
        <v/>
      </c>
      <c r="T341">
        <f>IF([2]Entry!$J$344="","",[2]Entry!$J$344)</f>
        <v/>
      </c>
      <c r="U341">
        <f>IF([2]Entry!$K$344="","",[2]Entry!$K$344)</f>
        <v/>
      </c>
      <c r="V341">
        <f>IF([2]Entry!$L$344="","",[2]Entry!$L$344)</f>
        <v/>
      </c>
      <c r="W341">
        <f>IF([2]Entry!$M$344="","",[2]Entry!$M$344)</f>
        <v/>
      </c>
      <c r="X341">
        <f>IF([2]Entry!$N$344="","",[2]Entry!$N$344)</f>
        <v/>
      </c>
      <c r="Y341">
        <f>IF([2]Entry!$R$344="","",[2]Entry!$R$344)</f>
        <v/>
      </c>
    </row>
    <row r="342">
      <c r="J342">
        <f>IF([1]Accounts!$D$343="","",[1]Accounts!$A$343)</f>
        <v/>
      </c>
      <c r="K342">
        <f>IF([1]Accounts!$D$343="","",[1]Accounts!$B$343)</f>
        <v/>
      </c>
      <c r="L342">
        <f>IF([1]Accounts!$D$343="","",[1]Accounts!$C$343)</f>
        <v/>
      </c>
      <c r="M342">
        <f>IF([1]Accounts!$D$343="","",[1]Accounts!$D$343)</f>
        <v/>
      </c>
      <c r="P342">
        <f>IF([2]Entry!$C$345="","",[2]Entry!$C$345)</f>
        <v/>
      </c>
      <c r="Q342">
        <f>IF([2]Entry!$D$345="","",[2]Entry!$D$345)</f>
        <v/>
      </c>
      <c r="R342">
        <f>IF([2]Entry!$E$345="","",[2]Entry!$E$345)</f>
        <v/>
      </c>
      <c r="S342">
        <f>IF([2]Entry!$G$345="","",[2]Entry!$G$345)</f>
        <v/>
      </c>
      <c r="T342">
        <f>IF([2]Entry!$J$345="","",[2]Entry!$J$345)</f>
        <v/>
      </c>
      <c r="U342">
        <f>IF([2]Entry!$K$345="","",[2]Entry!$K$345)</f>
        <v/>
      </c>
      <c r="V342">
        <f>IF([2]Entry!$L$345="","",[2]Entry!$L$345)</f>
        <v/>
      </c>
      <c r="W342">
        <f>IF([2]Entry!$M$345="","",[2]Entry!$M$345)</f>
        <v/>
      </c>
      <c r="X342">
        <f>IF([2]Entry!$N$345="","",[2]Entry!$N$345)</f>
        <v/>
      </c>
      <c r="Y342">
        <f>IF([2]Entry!$R$345="","",[2]Entry!$R$345)</f>
        <v/>
      </c>
    </row>
    <row r="343">
      <c r="J343">
        <f>IF([1]Accounts!$D$344="","",[1]Accounts!$A$344)</f>
        <v/>
      </c>
      <c r="K343">
        <f>IF([1]Accounts!$D$344="","",[1]Accounts!$B$344)</f>
        <v/>
      </c>
      <c r="L343">
        <f>IF([1]Accounts!$D$344="","",[1]Accounts!$C$344)</f>
        <v/>
      </c>
      <c r="M343">
        <f>IF([1]Accounts!$D$344="","",[1]Accounts!$D$344)</f>
        <v/>
      </c>
      <c r="P343">
        <f>IF([2]Entry!$C$346="","",[2]Entry!$C$346)</f>
        <v/>
      </c>
      <c r="Q343">
        <f>IF([2]Entry!$D$346="","",[2]Entry!$D$346)</f>
        <v/>
      </c>
      <c r="R343">
        <f>IF([2]Entry!$E$346="","",[2]Entry!$E$346)</f>
        <v/>
      </c>
      <c r="S343">
        <f>IF([2]Entry!$G$346="","",[2]Entry!$G$346)</f>
        <v/>
      </c>
      <c r="T343">
        <f>IF([2]Entry!$J$346="","",[2]Entry!$J$346)</f>
        <v/>
      </c>
      <c r="U343">
        <f>IF([2]Entry!$K$346="","",[2]Entry!$K$346)</f>
        <v/>
      </c>
      <c r="V343">
        <f>IF([2]Entry!$L$346="","",[2]Entry!$L$346)</f>
        <v/>
      </c>
      <c r="W343">
        <f>IF([2]Entry!$M$346="","",[2]Entry!$M$346)</f>
        <v/>
      </c>
      <c r="X343">
        <f>IF([2]Entry!$N$346="","",[2]Entry!$N$346)</f>
        <v/>
      </c>
      <c r="Y343">
        <f>IF([2]Entry!$R$346="","",[2]Entry!$R$346)</f>
        <v/>
      </c>
    </row>
    <row r="344">
      <c r="J344">
        <f>IF([1]Accounts!$D$345="","",[1]Accounts!$A$345)</f>
        <v/>
      </c>
      <c r="K344">
        <f>IF([1]Accounts!$D$345="","",[1]Accounts!$B$345)</f>
        <v/>
      </c>
      <c r="L344">
        <f>IF([1]Accounts!$D$345="","",[1]Accounts!$C$345)</f>
        <v/>
      </c>
      <c r="M344">
        <f>IF([1]Accounts!$D$345="","",[1]Accounts!$D$345)</f>
        <v/>
      </c>
      <c r="P344">
        <f>IF([2]Entry!$C$347="","",[2]Entry!$C$347)</f>
        <v/>
      </c>
      <c r="Q344">
        <f>IF([2]Entry!$D$347="","",[2]Entry!$D$347)</f>
        <v/>
      </c>
      <c r="R344">
        <f>IF([2]Entry!$E$347="","",[2]Entry!$E$347)</f>
        <v/>
      </c>
      <c r="S344">
        <f>IF([2]Entry!$G$347="","",[2]Entry!$G$347)</f>
        <v/>
      </c>
      <c r="T344">
        <f>IF([2]Entry!$J$347="","",[2]Entry!$J$347)</f>
        <v/>
      </c>
      <c r="U344">
        <f>IF([2]Entry!$K$347="","",[2]Entry!$K$347)</f>
        <v/>
      </c>
      <c r="V344">
        <f>IF([2]Entry!$L$347="","",[2]Entry!$L$347)</f>
        <v/>
      </c>
      <c r="W344">
        <f>IF([2]Entry!$M$347="","",[2]Entry!$M$347)</f>
        <v/>
      </c>
      <c r="X344">
        <f>IF([2]Entry!$N$347="","",[2]Entry!$N$347)</f>
        <v/>
      </c>
      <c r="Y344">
        <f>IF([2]Entry!$R$347="","",[2]Entry!$R$347)</f>
        <v/>
      </c>
    </row>
    <row r="345">
      <c r="J345">
        <f>IF([1]Accounts!$D$346="","",[1]Accounts!$A$346)</f>
        <v/>
      </c>
      <c r="K345">
        <f>IF([1]Accounts!$D$346="","",[1]Accounts!$B$346)</f>
        <v/>
      </c>
      <c r="L345">
        <f>IF([1]Accounts!$D$346="","",[1]Accounts!$C$346)</f>
        <v/>
      </c>
      <c r="M345">
        <f>IF([1]Accounts!$D$346="","",[1]Accounts!$D$346)</f>
        <v/>
      </c>
      <c r="P345">
        <f>IF([2]Entry!$C$348="","",[2]Entry!$C$348)</f>
        <v/>
      </c>
      <c r="Q345">
        <f>IF([2]Entry!$D$348="","",[2]Entry!$D$348)</f>
        <v/>
      </c>
      <c r="R345">
        <f>IF([2]Entry!$E$348="","",[2]Entry!$E$348)</f>
        <v/>
      </c>
      <c r="S345">
        <f>IF([2]Entry!$G$348="","",[2]Entry!$G$348)</f>
        <v/>
      </c>
      <c r="T345">
        <f>IF([2]Entry!$J$348="","",[2]Entry!$J$348)</f>
        <v/>
      </c>
      <c r="U345">
        <f>IF([2]Entry!$K$348="","",[2]Entry!$K$348)</f>
        <v/>
      </c>
      <c r="V345">
        <f>IF([2]Entry!$L$348="","",[2]Entry!$L$348)</f>
        <v/>
      </c>
      <c r="W345">
        <f>IF([2]Entry!$M$348="","",[2]Entry!$M$348)</f>
        <v/>
      </c>
      <c r="X345">
        <f>IF([2]Entry!$N$348="","",[2]Entry!$N$348)</f>
        <v/>
      </c>
      <c r="Y345">
        <f>IF([2]Entry!$R$348="","",[2]Entry!$R$348)</f>
        <v/>
      </c>
    </row>
    <row r="346">
      <c r="J346">
        <f>IF([1]Accounts!$D$347="","",[1]Accounts!$A$347)</f>
        <v/>
      </c>
      <c r="K346">
        <f>IF([1]Accounts!$D$347="","",[1]Accounts!$B$347)</f>
        <v/>
      </c>
      <c r="L346">
        <f>IF([1]Accounts!$D$347="","",[1]Accounts!$C$347)</f>
        <v/>
      </c>
      <c r="M346">
        <f>IF([1]Accounts!$D$347="","",[1]Accounts!$D$347)</f>
        <v/>
      </c>
      <c r="P346">
        <f>IF([2]Entry!$C$349="","",[2]Entry!$C$349)</f>
        <v/>
      </c>
      <c r="Q346">
        <f>IF([2]Entry!$D$349="","",[2]Entry!$D$349)</f>
        <v/>
      </c>
      <c r="R346">
        <f>IF([2]Entry!$E$349="","",[2]Entry!$E$349)</f>
        <v/>
      </c>
      <c r="S346">
        <f>IF([2]Entry!$G$349="","",[2]Entry!$G$349)</f>
        <v/>
      </c>
      <c r="T346">
        <f>IF([2]Entry!$J$349="","",[2]Entry!$J$349)</f>
        <v/>
      </c>
      <c r="U346">
        <f>IF([2]Entry!$K$349="","",[2]Entry!$K$349)</f>
        <v/>
      </c>
      <c r="V346">
        <f>IF([2]Entry!$L$349="","",[2]Entry!$L$349)</f>
        <v/>
      </c>
      <c r="W346">
        <f>IF([2]Entry!$M$349="","",[2]Entry!$M$349)</f>
        <v/>
      </c>
      <c r="X346">
        <f>IF([2]Entry!$N$349="","",[2]Entry!$N$349)</f>
        <v/>
      </c>
      <c r="Y346">
        <f>IF([2]Entry!$R$349="","",[2]Entry!$R$349)</f>
        <v/>
      </c>
    </row>
    <row r="347">
      <c r="J347">
        <f>IF([1]Accounts!$D$348="","",[1]Accounts!$A$348)</f>
        <v/>
      </c>
      <c r="K347">
        <f>IF([1]Accounts!$D$348="","",[1]Accounts!$B$348)</f>
        <v/>
      </c>
      <c r="L347">
        <f>IF([1]Accounts!$D$348="","",[1]Accounts!$C$348)</f>
        <v/>
      </c>
      <c r="M347">
        <f>IF([1]Accounts!$D$348="","",[1]Accounts!$D$348)</f>
        <v/>
      </c>
      <c r="P347">
        <f>IF([2]Entry!$C$350="","",[2]Entry!$C$350)</f>
        <v/>
      </c>
      <c r="Q347">
        <f>IF([2]Entry!$D$350="","",[2]Entry!$D$350)</f>
        <v/>
      </c>
      <c r="R347">
        <f>IF([2]Entry!$E$350="","",[2]Entry!$E$350)</f>
        <v/>
      </c>
      <c r="S347">
        <f>IF([2]Entry!$G$350="","",[2]Entry!$G$350)</f>
        <v/>
      </c>
      <c r="T347">
        <f>IF([2]Entry!$J$350="","",[2]Entry!$J$350)</f>
        <v/>
      </c>
      <c r="U347">
        <f>IF([2]Entry!$K$350="","",[2]Entry!$K$350)</f>
        <v/>
      </c>
      <c r="V347">
        <f>IF([2]Entry!$L$350="","",[2]Entry!$L$350)</f>
        <v/>
      </c>
      <c r="W347">
        <f>IF([2]Entry!$M$350="","",[2]Entry!$M$350)</f>
        <v/>
      </c>
      <c r="X347">
        <f>IF([2]Entry!$N$350="","",[2]Entry!$N$350)</f>
        <v/>
      </c>
      <c r="Y347">
        <f>IF([2]Entry!$R$350="","",[2]Entry!$R$350)</f>
        <v/>
      </c>
    </row>
    <row r="348">
      <c r="J348">
        <f>IF([1]Accounts!$D$349="","",[1]Accounts!$A$349)</f>
        <v/>
      </c>
      <c r="K348">
        <f>IF([1]Accounts!$D$349="","",[1]Accounts!$B$349)</f>
        <v/>
      </c>
      <c r="L348">
        <f>IF([1]Accounts!$D$349="","",[1]Accounts!$C$349)</f>
        <v/>
      </c>
      <c r="M348">
        <f>IF([1]Accounts!$D$349="","",[1]Accounts!$D$349)</f>
        <v/>
      </c>
      <c r="P348">
        <f>IF([2]Entry!$C$351="","",[2]Entry!$C$351)</f>
        <v/>
      </c>
      <c r="Q348">
        <f>IF([2]Entry!$D$351="","",[2]Entry!$D$351)</f>
        <v/>
      </c>
      <c r="R348">
        <f>IF([2]Entry!$E$351="","",[2]Entry!$E$351)</f>
        <v/>
      </c>
      <c r="S348">
        <f>IF([2]Entry!$G$351="","",[2]Entry!$G$351)</f>
        <v/>
      </c>
      <c r="T348">
        <f>IF([2]Entry!$J$351="","",[2]Entry!$J$351)</f>
        <v/>
      </c>
      <c r="U348">
        <f>IF([2]Entry!$K$351="","",[2]Entry!$K$351)</f>
        <v/>
      </c>
      <c r="V348">
        <f>IF([2]Entry!$L$351="","",[2]Entry!$L$351)</f>
        <v/>
      </c>
      <c r="W348">
        <f>IF([2]Entry!$M$351="","",[2]Entry!$M$351)</f>
        <v/>
      </c>
      <c r="X348">
        <f>IF([2]Entry!$N$351="","",[2]Entry!$N$351)</f>
        <v/>
      </c>
      <c r="Y348">
        <f>IF([2]Entry!$R$351="","",[2]Entry!$R$351)</f>
        <v/>
      </c>
    </row>
    <row r="349">
      <c r="J349">
        <f>IF([1]Accounts!$D$350="","",[1]Accounts!$A$350)</f>
        <v/>
      </c>
      <c r="K349">
        <f>IF([1]Accounts!$D$350="","",[1]Accounts!$B$350)</f>
        <v/>
      </c>
      <c r="L349">
        <f>IF([1]Accounts!$D$350="","",[1]Accounts!$C$350)</f>
        <v/>
      </c>
      <c r="M349">
        <f>IF([1]Accounts!$D$350="","",[1]Accounts!$D$350)</f>
        <v/>
      </c>
      <c r="P349">
        <f>IF([2]Entry!$C$352="","",[2]Entry!$C$352)</f>
        <v/>
      </c>
      <c r="Q349">
        <f>IF([2]Entry!$D$352="","",[2]Entry!$D$352)</f>
        <v/>
      </c>
      <c r="R349">
        <f>IF([2]Entry!$E$352="","",[2]Entry!$E$352)</f>
        <v/>
      </c>
      <c r="S349">
        <f>IF([2]Entry!$G$352="","",[2]Entry!$G$352)</f>
        <v/>
      </c>
      <c r="T349">
        <f>IF([2]Entry!$J$352="","",[2]Entry!$J$352)</f>
        <v/>
      </c>
      <c r="U349">
        <f>IF([2]Entry!$K$352="","",[2]Entry!$K$352)</f>
        <v/>
      </c>
      <c r="V349">
        <f>IF([2]Entry!$L$352="","",[2]Entry!$L$352)</f>
        <v/>
      </c>
      <c r="W349">
        <f>IF([2]Entry!$M$352="","",[2]Entry!$M$352)</f>
        <v/>
      </c>
      <c r="X349">
        <f>IF([2]Entry!$N$352="","",[2]Entry!$N$352)</f>
        <v/>
      </c>
      <c r="Y349">
        <f>IF([2]Entry!$R$352="","",[2]Entry!$R$352)</f>
        <v/>
      </c>
    </row>
    <row r="350">
      <c r="J350">
        <f>IF([1]Accounts!$D$351="","",[1]Accounts!$A$351)</f>
        <v/>
      </c>
      <c r="K350">
        <f>IF([1]Accounts!$D$351="","",[1]Accounts!$B$351)</f>
        <v/>
      </c>
      <c r="L350">
        <f>IF([1]Accounts!$D$351="","",[1]Accounts!$C$351)</f>
        <v/>
      </c>
      <c r="M350">
        <f>IF([1]Accounts!$D$351="","",[1]Accounts!$D$351)</f>
        <v/>
      </c>
      <c r="P350">
        <f>IF([2]Entry!$C$353="","",[2]Entry!$C$353)</f>
        <v/>
      </c>
      <c r="Q350">
        <f>IF([2]Entry!$D$353="","",[2]Entry!$D$353)</f>
        <v/>
      </c>
      <c r="R350">
        <f>IF([2]Entry!$E$353="","",[2]Entry!$E$353)</f>
        <v/>
      </c>
      <c r="S350">
        <f>IF([2]Entry!$G$353="","",[2]Entry!$G$353)</f>
        <v/>
      </c>
      <c r="T350">
        <f>IF([2]Entry!$J$353="","",[2]Entry!$J$353)</f>
        <v/>
      </c>
      <c r="U350">
        <f>IF([2]Entry!$K$353="","",[2]Entry!$K$353)</f>
        <v/>
      </c>
      <c r="V350">
        <f>IF([2]Entry!$L$353="","",[2]Entry!$L$353)</f>
        <v/>
      </c>
      <c r="W350">
        <f>IF([2]Entry!$M$353="","",[2]Entry!$M$353)</f>
        <v/>
      </c>
      <c r="X350">
        <f>IF([2]Entry!$N$353="","",[2]Entry!$N$353)</f>
        <v/>
      </c>
      <c r="Y350">
        <f>IF([2]Entry!$R$353="","",[2]Entry!$R$353)</f>
        <v/>
      </c>
    </row>
    <row r="351">
      <c r="J351">
        <f>IF([1]Accounts!$D$352="","",[1]Accounts!$A$352)</f>
        <v/>
      </c>
      <c r="K351">
        <f>IF([1]Accounts!$D$352="","",[1]Accounts!$B$352)</f>
        <v/>
      </c>
      <c r="L351">
        <f>IF([1]Accounts!$D$352="","",[1]Accounts!$C$352)</f>
        <v/>
      </c>
      <c r="M351">
        <f>IF([1]Accounts!$D$352="","",[1]Accounts!$D$352)</f>
        <v/>
      </c>
      <c r="P351">
        <f>IF([2]Entry!$C$354="","",[2]Entry!$C$354)</f>
        <v/>
      </c>
      <c r="Q351">
        <f>IF([2]Entry!$D$354="","",[2]Entry!$D$354)</f>
        <v/>
      </c>
      <c r="R351">
        <f>IF([2]Entry!$E$354="","",[2]Entry!$E$354)</f>
        <v/>
      </c>
      <c r="S351">
        <f>IF([2]Entry!$G$354="","",[2]Entry!$G$354)</f>
        <v/>
      </c>
      <c r="T351">
        <f>IF([2]Entry!$J$354="","",[2]Entry!$J$354)</f>
        <v/>
      </c>
      <c r="U351">
        <f>IF([2]Entry!$K$354="","",[2]Entry!$K$354)</f>
        <v/>
      </c>
      <c r="V351">
        <f>IF([2]Entry!$L$354="","",[2]Entry!$L$354)</f>
        <v/>
      </c>
      <c r="W351">
        <f>IF([2]Entry!$M$354="","",[2]Entry!$M$354)</f>
        <v/>
      </c>
      <c r="X351">
        <f>IF([2]Entry!$N$354="","",[2]Entry!$N$354)</f>
        <v/>
      </c>
      <c r="Y351">
        <f>IF([2]Entry!$R$354="","",[2]Entry!$R$354)</f>
        <v/>
      </c>
    </row>
    <row r="352">
      <c r="J352">
        <f>IF([1]Accounts!$D$353="","",[1]Accounts!$A$353)</f>
        <v/>
      </c>
      <c r="K352">
        <f>IF([1]Accounts!$D$353="","",[1]Accounts!$B$353)</f>
        <v/>
      </c>
      <c r="L352">
        <f>IF([1]Accounts!$D$353="","",[1]Accounts!$C$353)</f>
        <v/>
      </c>
      <c r="M352">
        <f>IF([1]Accounts!$D$353="","",[1]Accounts!$D$353)</f>
        <v/>
      </c>
      <c r="P352">
        <f>IF([2]Entry!$C$355="","",[2]Entry!$C$355)</f>
        <v/>
      </c>
      <c r="Q352">
        <f>IF([2]Entry!$D$355="","",[2]Entry!$D$355)</f>
        <v/>
      </c>
      <c r="R352">
        <f>IF([2]Entry!$E$355="","",[2]Entry!$E$355)</f>
        <v/>
      </c>
      <c r="S352">
        <f>IF([2]Entry!$G$355="","",[2]Entry!$G$355)</f>
        <v/>
      </c>
      <c r="T352">
        <f>IF([2]Entry!$J$355="","",[2]Entry!$J$355)</f>
        <v/>
      </c>
      <c r="U352">
        <f>IF([2]Entry!$K$355="","",[2]Entry!$K$355)</f>
        <v/>
      </c>
      <c r="V352">
        <f>IF([2]Entry!$L$355="","",[2]Entry!$L$355)</f>
        <v/>
      </c>
      <c r="W352">
        <f>IF([2]Entry!$M$355="","",[2]Entry!$M$355)</f>
        <v/>
      </c>
      <c r="X352">
        <f>IF([2]Entry!$N$355="","",[2]Entry!$N$355)</f>
        <v/>
      </c>
      <c r="Y352">
        <f>IF([2]Entry!$R$355="","",[2]Entry!$R$355)</f>
        <v/>
      </c>
    </row>
    <row r="353">
      <c r="J353">
        <f>IF([1]Accounts!$D$354="","",[1]Accounts!$A$354)</f>
        <v/>
      </c>
      <c r="K353">
        <f>IF([1]Accounts!$D$354="","",[1]Accounts!$B$354)</f>
        <v/>
      </c>
      <c r="L353">
        <f>IF([1]Accounts!$D$354="","",[1]Accounts!$C$354)</f>
        <v/>
      </c>
      <c r="M353">
        <f>IF([1]Accounts!$D$354="","",[1]Accounts!$D$354)</f>
        <v/>
      </c>
      <c r="P353">
        <f>IF([2]Entry!$C$356="","",[2]Entry!$C$356)</f>
        <v/>
      </c>
      <c r="Q353">
        <f>IF([2]Entry!$D$356="","",[2]Entry!$D$356)</f>
        <v/>
      </c>
      <c r="R353">
        <f>IF([2]Entry!$E$356="","",[2]Entry!$E$356)</f>
        <v/>
      </c>
      <c r="S353">
        <f>IF([2]Entry!$G$356="","",[2]Entry!$G$356)</f>
        <v/>
      </c>
      <c r="T353">
        <f>IF([2]Entry!$J$356="","",[2]Entry!$J$356)</f>
        <v/>
      </c>
      <c r="U353">
        <f>IF([2]Entry!$K$356="","",[2]Entry!$K$356)</f>
        <v/>
      </c>
      <c r="V353">
        <f>IF([2]Entry!$L$356="","",[2]Entry!$L$356)</f>
        <v/>
      </c>
      <c r="W353">
        <f>IF([2]Entry!$M$356="","",[2]Entry!$M$356)</f>
        <v/>
      </c>
      <c r="X353">
        <f>IF([2]Entry!$N$356="","",[2]Entry!$N$356)</f>
        <v/>
      </c>
      <c r="Y353">
        <f>IF([2]Entry!$R$356="","",[2]Entry!$R$356)</f>
        <v/>
      </c>
    </row>
    <row r="354">
      <c r="J354">
        <f>IF([1]Accounts!$D$355="","",[1]Accounts!$A$355)</f>
        <v/>
      </c>
      <c r="K354">
        <f>IF([1]Accounts!$D$355="","",[1]Accounts!$B$355)</f>
        <v/>
      </c>
      <c r="L354">
        <f>IF([1]Accounts!$D$355="","",[1]Accounts!$C$355)</f>
        <v/>
      </c>
      <c r="M354">
        <f>IF([1]Accounts!$D$355="","",[1]Accounts!$D$355)</f>
        <v/>
      </c>
      <c r="P354">
        <f>IF([2]Entry!$C$357="","",[2]Entry!$C$357)</f>
        <v/>
      </c>
      <c r="Q354">
        <f>IF([2]Entry!$D$357="","",[2]Entry!$D$357)</f>
        <v/>
      </c>
      <c r="R354">
        <f>IF([2]Entry!$E$357="","",[2]Entry!$E$357)</f>
        <v/>
      </c>
      <c r="S354">
        <f>IF([2]Entry!$G$357="","",[2]Entry!$G$357)</f>
        <v/>
      </c>
      <c r="T354">
        <f>IF([2]Entry!$J$357="","",[2]Entry!$J$357)</f>
        <v/>
      </c>
      <c r="U354">
        <f>IF([2]Entry!$K$357="","",[2]Entry!$K$357)</f>
        <v/>
      </c>
      <c r="V354">
        <f>IF([2]Entry!$L$357="","",[2]Entry!$L$357)</f>
        <v/>
      </c>
      <c r="W354">
        <f>IF([2]Entry!$M$357="","",[2]Entry!$M$357)</f>
        <v/>
      </c>
      <c r="X354">
        <f>IF([2]Entry!$N$357="","",[2]Entry!$N$357)</f>
        <v/>
      </c>
      <c r="Y354">
        <f>IF([2]Entry!$R$357="","",[2]Entry!$R$357)</f>
        <v/>
      </c>
    </row>
    <row r="355">
      <c r="J355">
        <f>IF([1]Accounts!$D$356="","",[1]Accounts!$A$356)</f>
        <v/>
      </c>
      <c r="K355">
        <f>IF([1]Accounts!$D$356="","",[1]Accounts!$B$356)</f>
        <v/>
      </c>
      <c r="L355">
        <f>IF([1]Accounts!$D$356="","",[1]Accounts!$C$356)</f>
        <v/>
      </c>
      <c r="M355">
        <f>IF([1]Accounts!$D$356="","",[1]Accounts!$D$356)</f>
        <v/>
      </c>
      <c r="P355">
        <f>IF([2]Entry!$C$358="","",[2]Entry!$C$358)</f>
        <v/>
      </c>
      <c r="Q355">
        <f>IF([2]Entry!$D$358="","",[2]Entry!$D$358)</f>
        <v/>
      </c>
      <c r="R355">
        <f>IF([2]Entry!$E$358="","",[2]Entry!$E$358)</f>
        <v/>
      </c>
      <c r="S355">
        <f>IF([2]Entry!$G$358="","",[2]Entry!$G$358)</f>
        <v/>
      </c>
      <c r="T355">
        <f>IF([2]Entry!$J$358="","",[2]Entry!$J$358)</f>
        <v/>
      </c>
      <c r="U355">
        <f>IF([2]Entry!$K$358="","",[2]Entry!$K$358)</f>
        <v/>
      </c>
      <c r="V355">
        <f>IF([2]Entry!$L$358="","",[2]Entry!$L$358)</f>
        <v/>
      </c>
      <c r="W355">
        <f>IF([2]Entry!$M$358="","",[2]Entry!$M$358)</f>
        <v/>
      </c>
      <c r="X355">
        <f>IF([2]Entry!$N$358="","",[2]Entry!$N$358)</f>
        <v/>
      </c>
      <c r="Y355">
        <f>IF([2]Entry!$R$358="","",[2]Entry!$R$358)</f>
        <v/>
      </c>
    </row>
    <row r="356">
      <c r="J356">
        <f>IF([1]Accounts!$D$357="","",[1]Accounts!$A$357)</f>
        <v/>
      </c>
      <c r="K356">
        <f>IF([1]Accounts!$D$357="","",[1]Accounts!$B$357)</f>
        <v/>
      </c>
      <c r="L356">
        <f>IF([1]Accounts!$D$357="","",[1]Accounts!$C$357)</f>
        <v/>
      </c>
      <c r="M356">
        <f>IF([1]Accounts!$D$357="","",[1]Accounts!$D$357)</f>
        <v/>
      </c>
      <c r="P356">
        <f>IF([2]Entry!$C$359="","",[2]Entry!$C$359)</f>
        <v/>
      </c>
      <c r="Q356">
        <f>IF([2]Entry!$D$359="","",[2]Entry!$D$359)</f>
        <v/>
      </c>
      <c r="R356">
        <f>IF([2]Entry!$E$359="","",[2]Entry!$E$359)</f>
        <v/>
      </c>
      <c r="S356">
        <f>IF([2]Entry!$G$359="","",[2]Entry!$G$359)</f>
        <v/>
      </c>
      <c r="T356">
        <f>IF([2]Entry!$J$359="","",[2]Entry!$J$359)</f>
        <v/>
      </c>
      <c r="U356">
        <f>IF([2]Entry!$K$359="","",[2]Entry!$K$359)</f>
        <v/>
      </c>
      <c r="V356">
        <f>IF([2]Entry!$L$359="","",[2]Entry!$L$359)</f>
        <v/>
      </c>
      <c r="W356">
        <f>IF([2]Entry!$M$359="","",[2]Entry!$M$359)</f>
        <v/>
      </c>
      <c r="X356">
        <f>IF([2]Entry!$N$359="","",[2]Entry!$N$359)</f>
        <v/>
      </c>
      <c r="Y356">
        <f>IF([2]Entry!$R$359="","",[2]Entry!$R$359)</f>
        <v/>
      </c>
    </row>
    <row r="357">
      <c r="J357">
        <f>IF([1]Accounts!$D$358="","",[1]Accounts!$A$358)</f>
        <v/>
      </c>
      <c r="K357">
        <f>IF([1]Accounts!$D$358="","",[1]Accounts!$B$358)</f>
        <v/>
      </c>
      <c r="L357">
        <f>IF([1]Accounts!$D$358="","",[1]Accounts!$C$358)</f>
        <v/>
      </c>
      <c r="M357">
        <f>IF([1]Accounts!$D$358="","",[1]Accounts!$D$358)</f>
        <v/>
      </c>
      <c r="P357">
        <f>IF([2]Entry!$C$360="","",[2]Entry!$C$360)</f>
        <v/>
      </c>
      <c r="Q357">
        <f>IF([2]Entry!$D$360="","",[2]Entry!$D$360)</f>
        <v/>
      </c>
      <c r="R357">
        <f>IF([2]Entry!$E$360="","",[2]Entry!$E$360)</f>
        <v/>
      </c>
      <c r="S357">
        <f>IF([2]Entry!$G$360="","",[2]Entry!$G$360)</f>
        <v/>
      </c>
      <c r="T357">
        <f>IF([2]Entry!$J$360="","",[2]Entry!$J$360)</f>
        <v/>
      </c>
      <c r="U357">
        <f>IF([2]Entry!$K$360="","",[2]Entry!$K$360)</f>
        <v/>
      </c>
      <c r="V357">
        <f>IF([2]Entry!$L$360="","",[2]Entry!$L$360)</f>
        <v/>
      </c>
      <c r="W357">
        <f>IF([2]Entry!$M$360="","",[2]Entry!$M$360)</f>
        <v/>
      </c>
      <c r="X357">
        <f>IF([2]Entry!$N$360="","",[2]Entry!$N$360)</f>
        <v/>
      </c>
      <c r="Y357">
        <f>IF([2]Entry!$R$360="","",[2]Entry!$R$360)</f>
        <v/>
      </c>
    </row>
    <row r="358">
      <c r="J358">
        <f>IF([1]Accounts!$D$359="","",[1]Accounts!$A$359)</f>
        <v/>
      </c>
      <c r="K358">
        <f>IF([1]Accounts!$D$359="","",[1]Accounts!$B$359)</f>
        <v/>
      </c>
      <c r="L358">
        <f>IF([1]Accounts!$D$359="","",[1]Accounts!$C$359)</f>
        <v/>
      </c>
      <c r="M358">
        <f>IF([1]Accounts!$D$359="","",[1]Accounts!$D$359)</f>
        <v/>
      </c>
      <c r="P358">
        <f>IF([2]Entry!$C$361="","",[2]Entry!$C$361)</f>
        <v/>
      </c>
      <c r="Q358">
        <f>IF([2]Entry!$D$361="","",[2]Entry!$D$361)</f>
        <v/>
      </c>
      <c r="R358">
        <f>IF([2]Entry!$E$361="","",[2]Entry!$E$361)</f>
        <v/>
      </c>
      <c r="S358">
        <f>IF([2]Entry!$G$361="","",[2]Entry!$G$361)</f>
        <v/>
      </c>
      <c r="T358">
        <f>IF([2]Entry!$J$361="","",[2]Entry!$J$361)</f>
        <v/>
      </c>
      <c r="U358">
        <f>IF([2]Entry!$K$361="","",[2]Entry!$K$361)</f>
        <v/>
      </c>
      <c r="V358">
        <f>IF([2]Entry!$L$361="","",[2]Entry!$L$361)</f>
        <v/>
      </c>
      <c r="W358">
        <f>IF([2]Entry!$M$361="","",[2]Entry!$M$361)</f>
        <v/>
      </c>
      <c r="X358">
        <f>IF([2]Entry!$N$361="","",[2]Entry!$N$361)</f>
        <v/>
      </c>
      <c r="Y358">
        <f>IF([2]Entry!$R$361="","",[2]Entry!$R$361)</f>
        <v/>
      </c>
    </row>
    <row r="359">
      <c r="J359">
        <f>IF([1]Accounts!$D$360="","",[1]Accounts!$A$360)</f>
        <v/>
      </c>
      <c r="K359">
        <f>IF([1]Accounts!$D$360="","",[1]Accounts!$B$360)</f>
        <v/>
      </c>
      <c r="L359">
        <f>IF([1]Accounts!$D$360="","",[1]Accounts!$C$360)</f>
        <v/>
      </c>
      <c r="M359">
        <f>IF([1]Accounts!$D$360="","",[1]Accounts!$D$360)</f>
        <v/>
      </c>
      <c r="P359">
        <f>IF([2]Entry!$C$362="","",[2]Entry!$C$362)</f>
        <v/>
      </c>
      <c r="Q359">
        <f>IF([2]Entry!$D$362="","",[2]Entry!$D$362)</f>
        <v/>
      </c>
      <c r="R359">
        <f>IF([2]Entry!$E$362="","",[2]Entry!$E$362)</f>
        <v/>
      </c>
      <c r="S359">
        <f>IF([2]Entry!$G$362="","",[2]Entry!$G$362)</f>
        <v/>
      </c>
      <c r="T359">
        <f>IF([2]Entry!$J$362="","",[2]Entry!$J$362)</f>
        <v/>
      </c>
      <c r="U359">
        <f>IF([2]Entry!$K$362="","",[2]Entry!$K$362)</f>
        <v/>
      </c>
      <c r="V359">
        <f>IF([2]Entry!$L$362="","",[2]Entry!$L$362)</f>
        <v/>
      </c>
      <c r="W359">
        <f>IF([2]Entry!$M$362="","",[2]Entry!$M$362)</f>
        <v/>
      </c>
      <c r="X359">
        <f>IF([2]Entry!$N$362="","",[2]Entry!$N$362)</f>
        <v/>
      </c>
      <c r="Y359">
        <f>IF([2]Entry!$R$362="","",[2]Entry!$R$362)</f>
        <v/>
      </c>
    </row>
    <row r="360">
      <c r="J360">
        <f>IF([1]Accounts!$D$361="","",[1]Accounts!$A$361)</f>
        <v/>
      </c>
      <c r="K360">
        <f>IF([1]Accounts!$D$361="","",[1]Accounts!$B$361)</f>
        <v/>
      </c>
      <c r="L360">
        <f>IF([1]Accounts!$D$361="","",[1]Accounts!$C$361)</f>
        <v/>
      </c>
      <c r="M360">
        <f>IF([1]Accounts!$D$361="","",[1]Accounts!$D$361)</f>
        <v/>
      </c>
      <c r="P360">
        <f>IF([2]Entry!$C$363="","",[2]Entry!$C$363)</f>
        <v/>
      </c>
      <c r="Q360">
        <f>IF([2]Entry!$D$363="","",[2]Entry!$D$363)</f>
        <v/>
      </c>
      <c r="R360">
        <f>IF([2]Entry!$E$363="","",[2]Entry!$E$363)</f>
        <v/>
      </c>
      <c r="S360">
        <f>IF([2]Entry!$G$363="","",[2]Entry!$G$363)</f>
        <v/>
      </c>
      <c r="T360">
        <f>IF([2]Entry!$J$363="","",[2]Entry!$J$363)</f>
        <v/>
      </c>
      <c r="U360">
        <f>IF([2]Entry!$K$363="","",[2]Entry!$K$363)</f>
        <v/>
      </c>
      <c r="V360">
        <f>IF([2]Entry!$L$363="","",[2]Entry!$L$363)</f>
        <v/>
      </c>
      <c r="W360">
        <f>IF([2]Entry!$M$363="","",[2]Entry!$M$363)</f>
        <v/>
      </c>
      <c r="X360">
        <f>IF([2]Entry!$N$363="","",[2]Entry!$N$363)</f>
        <v/>
      </c>
      <c r="Y360">
        <f>IF([2]Entry!$R$363="","",[2]Entry!$R$363)</f>
        <v/>
      </c>
    </row>
    <row r="361">
      <c r="J361">
        <f>IF([1]Accounts!$D$362="","",[1]Accounts!$A$362)</f>
        <v/>
      </c>
      <c r="K361">
        <f>IF([1]Accounts!$D$362="","",[1]Accounts!$B$362)</f>
        <v/>
      </c>
      <c r="L361">
        <f>IF([1]Accounts!$D$362="","",[1]Accounts!$C$362)</f>
        <v/>
      </c>
      <c r="M361">
        <f>IF([1]Accounts!$D$362="","",[1]Accounts!$D$362)</f>
        <v/>
      </c>
      <c r="P361">
        <f>IF([2]Entry!$C$364="","",[2]Entry!$C$364)</f>
        <v/>
      </c>
      <c r="Q361">
        <f>IF([2]Entry!$D$364="","",[2]Entry!$D$364)</f>
        <v/>
      </c>
      <c r="R361">
        <f>IF([2]Entry!$E$364="","",[2]Entry!$E$364)</f>
        <v/>
      </c>
      <c r="S361">
        <f>IF([2]Entry!$G$364="","",[2]Entry!$G$364)</f>
        <v/>
      </c>
      <c r="T361">
        <f>IF([2]Entry!$J$364="","",[2]Entry!$J$364)</f>
        <v/>
      </c>
      <c r="U361">
        <f>IF([2]Entry!$K$364="","",[2]Entry!$K$364)</f>
        <v/>
      </c>
      <c r="V361">
        <f>IF([2]Entry!$L$364="","",[2]Entry!$L$364)</f>
        <v/>
      </c>
      <c r="W361">
        <f>IF([2]Entry!$M$364="","",[2]Entry!$M$364)</f>
        <v/>
      </c>
      <c r="X361">
        <f>IF([2]Entry!$N$364="","",[2]Entry!$N$364)</f>
        <v/>
      </c>
      <c r="Y361">
        <f>IF([2]Entry!$R$364="","",[2]Entry!$R$364)</f>
        <v/>
      </c>
    </row>
    <row r="362">
      <c r="J362">
        <f>IF([1]Accounts!$D$363="","",[1]Accounts!$A$363)</f>
        <v/>
      </c>
      <c r="K362">
        <f>IF([1]Accounts!$D$363="","",[1]Accounts!$B$363)</f>
        <v/>
      </c>
      <c r="L362">
        <f>IF([1]Accounts!$D$363="","",[1]Accounts!$C$363)</f>
        <v/>
      </c>
      <c r="M362">
        <f>IF([1]Accounts!$D$363="","",[1]Accounts!$D$363)</f>
        <v/>
      </c>
      <c r="P362">
        <f>IF([2]Entry!$C$365="","",[2]Entry!$C$365)</f>
        <v/>
      </c>
      <c r="Q362">
        <f>IF([2]Entry!$D$365="","",[2]Entry!$D$365)</f>
        <v/>
      </c>
      <c r="R362">
        <f>IF([2]Entry!$E$365="","",[2]Entry!$E$365)</f>
        <v/>
      </c>
      <c r="S362">
        <f>IF([2]Entry!$G$365="","",[2]Entry!$G$365)</f>
        <v/>
      </c>
      <c r="T362">
        <f>IF([2]Entry!$J$365="","",[2]Entry!$J$365)</f>
        <v/>
      </c>
      <c r="U362">
        <f>IF([2]Entry!$K$365="","",[2]Entry!$K$365)</f>
        <v/>
      </c>
      <c r="V362">
        <f>IF([2]Entry!$L$365="","",[2]Entry!$L$365)</f>
        <v/>
      </c>
      <c r="W362">
        <f>IF([2]Entry!$M$365="","",[2]Entry!$M$365)</f>
        <v/>
      </c>
      <c r="X362">
        <f>IF([2]Entry!$N$365="","",[2]Entry!$N$365)</f>
        <v/>
      </c>
      <c r="Y362">
        <f>IF([2]Entry!$R$365="","",[2]Entry!$R$365)</f>
        <v/>
      </c>
    </row>
    <row r="363">
      <c r="J363">
        <f>IF([1]Accounts!$D$364="","",[1]Accounts!$A$364)</f>
        <v/>
      </c>
      <c r="K363">
        <f>IF([1]Accounts!$D$364="","",[1]Accounts!$B$364)</f>
        <v/>
      </c>
      <c r="L363">
        <f>IF([1]Accounts!$D$364="","",[1]Accounts!$C$364)</f>
        <v/>
      </c>
      <c r="M363">
        <f>IF([1]Accounts!$D$364="","",[1]Accounts!$D$364)</f>
        <v/>
      </c>
      <c r="P363">
        <f>IF([2]Entry!$C$366="","",[2]Entry!$C$366)</f>
        <v/>
      </c>
      <c r="Q363">
        <f>IF([2]Entry!$D$366="","",[2]Entry!$D$366)</f>
        <v/>
      </c>
      <c r="R363">
        <f>IF([2]Entry!$E$366="","",[2]Entry!$E$366)</f>
        <v/>
      </c>
      <c r="S363">
        <f>IF([2]Entry!$G$366="","",[2]Entry!$G$366)</f>
        <v/>
      </c>
      <c r="T363">
        <f>IF([2]Entry!$J$366="","",[2]Entry!$J$366)</f>
        <v/>
      </c>
      <c r="U363">
        <f>IF([2]Entry!$K$366="","",[2]Entry!$K$366)</f>
        <v/>
      </c>
      <c r="V363">
        <f>IF([2]Entry!$L$366="","",[2]Entry!$L$366)</f>
        <v/>
      </c>
      <c r="W363">
        <f>IF([2]Entry!$M$366="","",[2]Entry!$M$366)</f>
        <v/>
      </c>
      <c r="X363">
        <f>IF([2]Entry!$N$366="","",[2]Entry!$N$366)</f>
        <v/>
      </c>
      <c r="Y363">
        <f>IF([2]Entry!$R$366="","",[2]Entry!$R$366)</f>
        <v/>
      </c>
    </row>
    <row r="364">
      <c r="J364">
        <f>IF([1]Accounts!$D$365="","",[1]Accounts!$A$365)</f>
        <v/>
      </c>
      <c r="K364">
        <f>IF([1]Accounts!$D$365="","",[1]Accounts!$B$365)</f>
        <v/>
      </c>
      <c r="L364">
        <f>IF([1]Accounts!$D$365="","",[1]Accounts!$C$365)</f>
        <v/>
      </c>
      <c r="M364">
        <f>IF([1]Accounts!$D$365="","",[1]Accounts!$D$365)</f>
        <v/>
      </c>
      <c r="P364">
        <f>IF([2]Entry!$C$367="","",[2]Entry!$C$367)</f>
        <v/>
      </c>
      <c r="Q364">
        <f>IF([2]Entry!$D$367="","",[2]Entry!$D$367)</f>
        <v/>
      </c>
      <c r="R364">
        <f>IF([2]Entry!$E$367="","",[2]Entry!$E$367)</f>
        <v/>
      </c>
      <c r="S364">
        <f>IF([2]Entry!$G$367="","",[2]Entry!$G$367)</f>
        <v/>
      </c>
      <c r="T364">
        <f>IF([2]Entry!$J$367="","",[2]Entry!$J$367)</f>
        <v/>
      </c>
      <c r="U364">
        <f>IF([2]Entry!$K$367="","",[2]Entry!$K$367)</f>
        <v/>
      </c>
      <c r="V364">
        <f>IF([2]Entry!$L$367="","",[2]Entry!$L$367)</f>
        <v/>
      </c>
      <c r="W364">
        <f>IF([2]Entry!$M$367="","",[2]Entry!$M$367)</f>
        <v/>
      </c>
      <c r="X364">
        <f>IF([2]Entry!$N$367="","",[2]Entry!$N$367)</f>
        <v/>
      </c>
      <c r="Y364">
        <f>IF([2]Entry!$R$367="","",[2]Entry!$R$367)</f>
        <v/>
      </c>
    </row>
    <row r="365">
      <c r="J365">
        <f>IF([1]Accounts!$D$366="","",[1]Accounts!$A$366)</f>
        <v/>
      </c>
      <c r="K365">
        <f>IF([1]Accounts!$D$366="","",[1]Accounts!$B$366)</f>
        <v/>
      </c>
      <c r="L365">
        <f>IF([1]Accounts!$D$366="","",[1]Accounts!$C$366)</f>
        <v/>
      </c>
      <c r="M365">
        <f>IF([1]Accounts!$D$366="","",[1]Accounts!$D$366)</f>
        <v/>
      </c>
      <c r="P365">
        <f>IF([2]Entry!$C$368="","",[2]Entry!$C$368)</f>
        <v/>
      </c>
      <c r="Q365">
        <f>IF([2]Entry!$D$368="","",[2]Entry!$D$368)</f>
        <v/>
      </c>
      <c r="R365">
        <f>IF([2]Entry!$E$368="","",[2]Entry!$E$368)</f>
        <v/>
      </c>
      <c r="S365">
        <f>IF([2]Entry!$G$368="","",[2]Entry!$G$368)</f>
        <v/>
      </c>
      <c r="T365">
        <f>IF([2]Entry!$J$368="","",[2]Entry!$J$368)</f>
        <v/>
      </c>
      <c r="U365">
        <f>IF([2]Entry!$K$368="","",[2]Entry!$K$368)</f>
        <v/>
      </c>
      <c r="V365">
        <f>IF([2]Entry!$L$368="","",[2]Entry!$L$368)</f>
        <v/>
      </c>
      <c r="W365">
        <f>IF([2]Entry!$M$368="","",[2]Entry!$M$368)</f>
        <v/>
      </c>
      <c r="X365">
        <f>IF([2]Entry!$N$368="","",[2]Entry!$N$368)</f>
        <v/>
      </c>
      <c r="Y365">
        <f>IF([2]Entry!$R$368="","",[2]Entry!$R$368)</f>
        <v/>
      </c>
    </row>
    <row r="366">
      <c r="J366">
        <f>IF([1]Accounts!$D$367="","",[1]Accounts!$A$367)</f>
        <v/>
      </c>
      <c r="K366">
        <f>IF([1]Accounts!$D$367="","",[1]Accounts!$B$367)</f>
        <v/>
      </c>
      <c r="L366">
        <f>IF([1]Accounts!$D$367="","",[1]Accounts!$C$367)</f>
        <v/>
      </c>
      <c r="M366">
        <f>IF([1]Accounts!$D$367="","",[1]Accounts!$D$367)</f>
        <v/>
      </c>
      <c r="P366">
        <f>IF([2]Entry!$C$369="","",[2]Entry!$C$369)</f>
        <v/>
      </c>
      <c r="Q366">
        <f>IF([2]Entry!$D$369="","",[2]Entry!$D$369)</f>
        <v/>
      </c>
      <c r="R366">
        <f>IF([2]Entry!$E$369="","",[2]Entry!$E$369)</f>
        <v/>
      </c>
      <c r="S366">
        <f>IF([2]Entry!$G$369="","",[2]Entry!$G$369)</f>
        <v/>
      </c>
      <c r="T366">
        <f>IF([2]Entry!$J$369="","",[2]Entry!$J$369)</f>
        <v/>
      </c>
      <c r="U366">
        <f>IF([2]Entry!$K$369="","",[2]Entry!$K$369)</f>
        <v/>
      </c>
      <c r="V366">
        <f>IF([2]Entry!$L$369="","",[2]Entry!$L$369)</f>
        <v/>
      </c>
      <c r="W366">
        <f>IF([2]Entry!$M$369="","",[2]Entry!$M$369)</f>
        <v/>
      </c>
      <c r="X366">
        <f>IF([2]Entry!$N$369="","",[2]Entry!$N$369)</f>
        <v/>
      </c>
      <c r="Y366">
        <f>IF([2]Entry!$R$369="","",[2]Entry!$R$369)</f>
        <v/>
      </c>
    </row>
    <row r="367">
      <c r="J367">
        <f>IF([1]Accounts!$D$368="","",[1]Accounts!$A$368)</f>
        <v/>
      </c>
      <c r="K367">
        <f>IF([1]Accounts!$D$368="","",[1]Accounts!$B$368)</f>
        <v/>
      </c>
      <c r="L367">
        <f>IF([1]Accounts!$D$368="","",[1]Accounts!$C$368)</f>
        <v/>
      </c>
      <c r="M367">
        <f>IF([1]Accounts!$D$368="","",[1]Accounts!$D$368)</f>
        <v/>
      </c>
      <c r="P367">
        <f>IF([2]Entry!$C$370="","",[2]Entry!$C$370)</f>
        <v/>
      </c>
      <c r="Q367">
        <f>IF([2]Entry!$D$370="","",[2]Entry!$D$370)</f>
        <v/>
      </c>
      <c r="R367">
        <f>IF([2]Entry!$E$370="","",[2]Entry!$E$370)</f>
        <v/>
      </c>
      <c r="S367">
        <f>IF([2]Entry!$G$370="","",[2]Entry!$G$370)</f>
        <v/>
      </c>
      <c r="T367">
        <f>IF([2]Entry!$J$370="","",[2]Entry!$J$370)</f>
        <v/>
      </c>
      <c r="U367">
        <f>IF([2]Entry!$K$370="","",[2]Entry!$K$370)</f>
        <v/>
      </c>
      <c r="V367">
        <f>IF([2]Entry!$L$370="","",[2]Entry!$L$370)</f>
        <v/>
      </c>
      <c r="W367">
        <f>IF([2]Entry!$M$370="","",[2]Entry!$M$370)</f>
        <v/>
      </c>
      <c r="X367">
        <f>IF([2]Entry!$N$370="","",[2]Entry!$N$370)</f>
        <v/>
      </c>
      <c r="Y367">
        <f>IF([2]Entry!$R$370="","",[2]Entry!$R$370)</f>
        <v/>
      </c>
    </row>
    <row r="368">
      <c r="J368">
        <f>IF([1]Accounts!$D$369="","",[1]Accounts!$A$369)</f>
        <v/>
      </c>
      <c r="K368">
        <f>IF([1]Accounts!$D$369="","",[1]Accounts!$B$369)</f>
        <v/>
      </c>
      <c r="L368">
        <f>IF([1]Accounts!$D$369="","",[1]Accounts!$C$369)</f>
        <v/>
      </c>
      <c r="M368">
        <f>IF([1]Accounts!$D$369="","",[1]Accounts!$D$369)</f>
        <v/>
      </c>
      <c r="P368">
        <f>IF([2]Entry!$C$371="","",[2]Entry!$C$371)</f>
        <v/>
      </c>
      <c r="Q368">
        <f>IF([2]Entry!$D$371="","",[2]Entry!$D$371)</f>
        <v/>
      </c>
      <c r="R368">
        <f>IF([2]Entry!$E$371="","",[2]Entry!$E$371)</f>
        <v/>
      </c>
      <c r="S368">
        <f>IF([2]Entry!$G$371="","",[2]Entry!$G$371)</f>
        <v/>
      </c>
      <c r="T368">
        <f>IF([2]Entry!$J$371="","",[2]Entry!$J$371)</f>
        <v/>
      </c>
      <c r="U368">
        <f>IF([2]Entry!$K$371="","",[2]Entry!$K$371)</f>
        <v/>
      </c>
      <c r="V368">
        <f>IF([2]Entry!$L$371="","",[2]Entry!$L$371)</f>
        <v/>
      </c>
      <c r="W368">
        <f>IF([2]Entry!$M$371="","",[2]Entry!$M$371)</f>
        <v/>
      </c>
      <c r="X368">
        <f>IF([2]Entry!$N$371="","",[2]Entry!$N$371)</f>
        <v/>
      </c>
      <c r="Y368">
        <f>IF([2]Entry!$R$371="","",[2]Entry!$R$371)</f>
        <v/>
      </c>
    </row>
    <row r="369">
      <c r="J369">
        <f>IF([1]Accounts!$D$370="","",[1]Accounts!$A$370)</f>
        <v/>
      </c>
      <c r="K369">
        <f>IF([1]Accounts!$D$370="","",[1]Accounts!$B$370)</f>
        <v/>
      </c>
      <c r="L369">
        <f>IF([1]Accounts!$D$370="","",[1]Accounts!$C$370)</f>
        <v/>
      </c>
      <c r="M369">
        <f>IF([1]Accounts!$D$370="","",[1]Accounts!$D$370)</f>
        <v/>
      </c>
      <c r="P369">
        <f>IF([2]Entry!$C$372="","",[2]Entry!$C$372)</f>
        <v/>
      </c>
      <c r="Q369">
        <f>IF([2]Entry!$D$372="","",[2]Entry!$D$372)</f>
        <v/>
      </c>
      <c r="R369">
        <f>IF([2]Entry!$E$372="","",[2]Entry!$E$372)</f>
        <v/>
      </c>
      <c r="S369">
        <f>IF([2]Entry!$G$372="","",[2]Entry!$G$372)</f>
        <v/>
      </c>
      <c r="T369">
        <f>IF([2]Entry!$J$372="","",[2]Entry!$J$372)</f>
        <v/>
      </c>
      <c r="U369">
        <f>IF([2]Entry!$K$372="","",[2]Entry!$K$372)</f>
        <v/>
      </c>
      <c r="V369">
        <f>IF([2]Entry!$L$372="","",[2]Entry!$L$372)</f>
        <v/>
      </c>
      <c r="W369">
        <f>IF([2]Entry!$M$372="","",[2]Entry!$M$372)</f>
        <v/>
      </c>
      <c r="X369">
        <f>IF([2]Entry!$N$372="","",[2]Entry!$N$372)</f>
        <v/>
      </c>
      <c r="Y369">
        <f>IF([2]Entry!$R$372="","",[2]Entry!$R$372)</f>
        <v/>
      </c>
    </row>
    <row r="370">
      <c r="J370">
        <f>IF([1]Accounts!$D$371="","",[1]Accounts!$A$371)</f>
        <v/>
      </c>
      <c r="K370">
        <f>IF([1]Accounts!$D$371="","",[1]Accounts!$B$371)</f>
        <v/>
      </c>
      <c r="L370">
        <f>IF([1]Accounts!$D$371="","",[1]Accounts!$C$371)</f>
        <v/>
      </c>
      <c r="M370">
        <f>IF([1]Accounts!$D$371="","",[1]Accounts!$D$371)</f>
        <v/>
      </c>
      <c r="P370">
        <f>IF([2]Entry!$C$373="","",[2]Entry!$C$373)</f>
        <v/>
      </c>
      <c r="Q370">
        <f>IF([2]Entry!$D$373="","",[2]Entry!$D$373)</f>
        <v/>
      </c>
      <c r="R370">
        <f>IF([2]Entry!$E$373="","",[2]Entry!$E$373)</f>
        <v/>
      </c>
      <c r="S370">
        <f>IF([2]Entry!$G$373="","",[2]Entry!$G$373)</f>
        <v/>
      </c>
      <c r="T370">
        <f>IF([2]Entry!$J$373="","",[2]Entry!$J$373)</f>
        <v/>
      </c>
      <c r="U370">
        <f>IF([2]Entry!$K$373="","",[2]Entry!$K$373)</f>
        <v/>
      </c>
      <c r="V370">
        <f>IF([2]Entry!$L$373="","",[2]Entry!$L$373)</f>
        <v/>
      </c>
      <c r="W370">
        <f>IF([2]Entry!$M$373="","",[2]Entry!$M$373)</f>
        <v/>
      </c>
      <c r="X370">
        <f>IF([2]Entry!$N$373="","",[2]Entry!$N$373)</f>
        <v/>
      </c>
      <c r="Y370">
        <f>IF([2]Entry!$R$373="","",[2]Entry!$R$373)</f>
        <v/>
      </c>
    </row>
    <row r="371">
      <c r="J371">
        <f>IF([1]Accounts!$D$372="","",[1]Accounts!$A$372)</f>
        <v/>
      </c>
      <c r="K371">
        <f>IF([1]Accounts!$D$372="","",[1]Accounts!$B$372)</f>
        <v/>
      </c>
      <c r="L371">
        <f>IF([1]Accounts!$D$372="","",[1]Accounts!$C$372)</f>
        <v/>
      </c>
      <c r="M371">
        <f>IF([1]Accounts!$D$372="","",[1]Accounts!$D$372)</f>
        <v/>
      </c>
      <c r="P371">
        <f>IF([2]Entry!$C$374="","",[2]Entry!$C$374)</f>
        <v/>
      </c>
      <c r="Q371">
        <f>IF([2]Entry!$D$374="","",[2]Entry!$D$374)</f>
        <v/>
      </c>
      <c r="R371">
        <f>IF([2]Entry!$E$374="","",[2]Entry!$E$374)</f>
        <v/>
      </c>
      <c r="S371">
        <f>IF([2]Entry!$G$374="","",[2]Entry!$G$374)</f>
        <v/>
      </c>
      <c r="T371">
        <f>IF([2]Entry!$J$374="","",[2]Entry!$J$374)</f>
        <v/>
      </c>
      <c r="U371">
        <f>IF([2]Entry!$K$374="","",[2]Entry!$K$374)</f>
        <v/>
      </c>
      <c r="V371">
        <f>IF([2]Entry!$L$374="","",[2]Entry!$L$374)</f>
        <v/>
      </c>
      <c r="W371">
        <f>IF([2]Entry!$M$374="","",[2]Entry!$M$374)</f>
        <v/>
      </c>
      <c r="X371">
        <f>IF([2]Entry!$N$374="","",[2]Entry!$N$374)</f>
        <v/>
      </c>
      <c r="Y371">
        <f>IF([2]Entry!$R$374="","",[2]Entry!$R$374)</f>
        <v/>
      </c>
    </row>
    <row r="372">
      <c r="J372">
        <f>IF([1]Accounts!$D$373="","",[1]Accounts!$A$373)</f>
        <v/>
      </c>
      <c r="K372">
        <f>IF([1]Accounts!$D$373="","",[1]Accounts!$B$373)</f>
        <v/>
      </c>
      <c r="L372">
        <f>IF([1]Accounts!$D$373="","",[1]Accounts!$C$373)</f>
        <v/>
      </c>
      <c r="M372">
        <f>IF([1]Accounts!$D$373="","",[1]Accounts!$D$373)</f>
        <v/>
      </c>
      <c r="P372">
        <f>IF([2]Entry!$C$375="","",[2]Entry!$C$375)</f>
        <v/>
      </c>
      <c r="Q372">
        <f>IF([2]Entry!$D$375="","",[2]Entry!$D$375)</f>
        <v/>
      </c>
      <c r="R372">
        <f>IF([2]Entry!$E$375="","",[2]Entry!$E$375)</f>
        <v/>
      </c>
      <c r="S372">
        <f>IF([2]Entry!$G$375="","",[2]Entry!$G$375)</f>
        <v/>
      </c>
      <c r="T372">
        <f>IF([2]Entry!$J$375="","",[2]Entry!$J$375)</f>
        <v/>
      </c>
      <c r="U372">
        <f>IF([2]Entry!$K$375="","",[2]Entry!$K$375)</f>
        <v/>
      </c>
      <c r="V372">
        <f>IF([2]Entry!$L$375="","",[2]Entry!$L$375)</f>
        <v/>
      </c>
      <c r="W372">
        <f>IF([2]Entry!$M$375="","",[2]Entry!$M$375)</f>
        <v/>
      </c>
      <c r="X372">
        <f>IF([2]Entry!$N$375="","",[2]Entry!$N$375)</f>
        <v/>
      </c>
      <c r="Y372">
        <f>IF([2]Entry!$R$375="","",[2]Entry!$R$375)</f>
        <v/>
      </c>
    </row>
    <row r="373">
      <c r="J373">
        <f>IF([1]Accounts!$D$374="","",[1]Accounts!$A$374)</f>
        <v/>
      </c>
      <c r="K373">
        <f>IF([1]Accounts!$D$374="","",[1]Accounts!$B$374)</f>
        <v/>
      </c>
      <c r="L373">
        <f>IF([1]Accounts!$D$374="","",[1]Accounts!$C$374)</f>
        <v/>
      </c>
      <c r="M373">
        <f>IF([1]Accounts!$D$374="","",[1]Accounts!$D$374)</f>
        <v/>
      </c>
      <c r="P373">
        <f>IF([2]Entry!$C$376="","",[2]Entry!$C$376)</f>
        <v/>
      </c>
      <c r="Q373">
        <f>IF([2]Entry!$D$376="","",[2]Entry!$D$376)</f>
        <v/>
      </c>
      <c r="R373">
        <f>IF([2]Entry!$E$376="","",[2]Entry!$E$376)</f>
        <v/>
      </c>
      <c r="S373">
        <f>IF([2]Entry!$G$376="","",[2]Entry!$G$376)</f>
        <v/>
      </c>
      <c r="T373">
        <f>IF([2]Entry!$J$376="","",[2]Entry!$J$376)</f>
        <v/>
      </c>
      <c r="U373">
        <f>IF([2]Entry!$K$376="","",[2]Entry!$K$376)</f>
        <v/>
      </c>
      <c r="V373">
        <f>IF([2]Entry!$L$376="","",[2]Entry!$L$376)</f>
        <v/>
      </c>
      <c r="W373">
        <f>IF([2]Entry!$M$376="","",[2]Entry!$M$376)</f>
        <v/>
      </c>
      <c r="X373">
        <f>IF([2]Entry!$N$376="","",[2]Entry!$N$376)</f>
        <v/>
      </c>
      <c r="Y373">
        <f>IF([2]Entry!$R$376="","",[2]Entry!$R$376)</f>
        <v/>
      </c>
    </row>
    <row r="374">
      <c r="J374">
        <f>IF([1]Accounts!$D$375="","",[1]Accounts!$A$375)</f>
        <v/>
      </c>
      <c r="K374">
        <f>IF([1]Accounts!$D$375="","",[1]Accounts!$B$375)</f>
        <v/>
      </c>
      <c r="L374">
        <f>IF([1]Accounts!$D$375="","",[1]Accounts!$C$375)</f>
        <v/>
      </c>
      <c r="M374">
        <f>IF([1]Accounts!$D$375="","",[1]Accounts!$D$375)</f>
        <v/>
      </c>
      <c r="P374">
        <f>IF([2]Entry!$C$377="","",[2]Entry!$C$377)</f>
        <v/>
      </c>
      <c r="Q374">
        <f>IF([2]Entry!$D$377="","",[2]Entry!$D$377)</f>
        <v/>
      </c>
      <c r="R374">
        <f>IF([2]Entry!$E$377="","",[2]Entry!$E$377)</f>
        <v/>
      </c>
      <c r="S374">
        <f>IF([2]Entry!$G$377="","",[2]Entry!$G$377)</f>
        <v/>
      </c>
      <c r="T374">
        <f>IF([2]Entry!$J$377="","",[2]Entry!$J$377)</f>
        <v/>
      </c>
      <c r="U374">
        <f>IF([2]Entry!$K$377="","",[2]Entry!$K$377)</f>
        <v/>
      </c>
      <c r="V374">
        <f>IF([2]Entry!$L$377="","",[2]Entry!$L$377)</f>
        <v/>
      </c>
      <c r="W374">
        <f>IF([2]Entry!$M$377="","",[2]Entry!$M$377)</f>
        <v/>
      </c>
      <c r="X374">
        <f>IF([2]Entry!$N$377="","",[2]Entry!$N$377)</f>
        <v/>
      </c>
      <c r="Y374">
        <f>IF([2]Entry!$R$377="","",[2]Entry!$R$377)</f>
        <v/>
      </c>
    </row>
    <row r="375">
      <c r="J375">
        <f>IF([1]Accounts!$D$376="","",[1]Accounts!$A$376)</f>
        <v/>
      </c>
      <c r="K375">
        <f>IF([1]Accounts!$D$376="","",[1]Accounts!$B$376)</f>
        <v/>
      </c>
      <c r="L375">
        <f>IF([1]Accounts!$D$376="","",[1]Accounts!$C$376)</f>
        <v/>
      </c>
      <c r="M375">
        <f>IF([1]Accounts!$D$376="","",[1]Accounts!$D$376)</f>
        <v/>
      </c>
      <c r="P375">
        <f>IF([2]Entry!$C$378="","",[2]Entry!$C$378)</f>
        <v/>
      </c>
      <c r="Q375">
        <f>IF([2]Entry!$D$378="","",[2]Entry!$D$378)</f>
        <v/>
      </c>
      <c r="R375">
        <f>IF([2]Entry!$E$378="","",[2]Entry!$E$378)</f>
        <v/>
      </c>
      <c r="S375">
        <f>IF([2]Entry!$G$378="","",[2]Entry!$G$378)</f>
        <v/>
      </c>
      <c r="T375">
        <f>IF([2]Entry!$J$378="","",[2]Entry!$J$378)</f>
        <v/>
      </c>
      <c r="U375">
        <f>IF([2]Entry!$K$378="","",[2]Entry!$K$378)</f>
        <v/>
      </c>
      <c r="V375">
        <f>IF([2]Entry!$L$378="","",[2]Entry!$L$378)</f>
        <v/>
      </c>
      <c r="W375">
        <f>IF([2]Entry!$M$378="","",[2]Entry!$M$378)</f>
        <v/>
      </c>
      <c r="X375">
        <f>IF([2]Entry!$N$378="","",[2]Entry!$N$378)</f>
        <v/>
      </c>
      <c r="Y375">
        <f>IF([2]Entry!$R$378="","",[2]Entry!$R$378)</f>
        <v/>
      </c>
    </row>
    <row r="376">
      <c r="J376">
        <f>IF([1]Accounts!$D$377="","",[1]Accounts!$A$377)</f>
        <v/>
      </c>
      <c r="K376">
        <f>IF([1]Accounts!$D$377="","",[1]Accounts!$B$377)</f>
        <v/>
      </c>
      <c r="L376">
        <f>IF([1]Accounts!$D$377="","",[1]Accounts!$C$377)</f>
        <v/>
      </c>
      <c r="M376">
        <f>IF([1]Accounts!$D$377="","",[1]Accounts!$D$377)</f>
        <v/>
      </c>
      <c r="P376">
        <f>IF([2]Entry!$C$379="","",[2]Entry!$C$379)</f>
        <v/>
      </c>
      <c r="Q376">
        <f>IF([2]Entry!$D$379="","",[2]Entry!$D$379)</f>
        <v/>
      </c>
      <c r="R376">
        <f>IF([2]Entry!$E$379="","",[2]Entry!$E$379)</f>
        <v/>
      </c>
      <c r="S376">
        <f>IF([2]Entry!$G$379="","",[2]Entry!$G$379)</f>
        <v/>
      </c>
      <c r="T376">
        <f>IF([2]Entry!$J$379="","",[2]Entry!$J$379)</f>
        <v/>
      </c>
      <c r="U376">
        <f>IF([2]Entry!$K$379="","",[2]Entry!$K$379)</f>
        <v/>
      </c>
      <c r="V376">
        <f>IF([2]Entry!$L$379="","",[2]Entry!$L$379)</f>
        <v/>
      </c>
      <c r="W376">
        <f>IF([2]Entry!$M$379="","",[2]Entry!$M$379)</f>
        <v/>
      </c>
      <c r="X376">
        <f>IF([2]Entry!$N$379="","",[2]Entry!$N$379)</f>
        <v/>
      </c>
      <c r="Y376">
        <f>IF([2]Entry!$R$379="","",[2]Entry!$R$379)</f>
        <v/>
      </c>
    </row>
    <row r="377">
      <c r="J377">
        <f>IF([1]Accounts!$D$378="","",[1]Accounts!$A$378)</f>
        <v/>
      </c>
      <c r="K377">
        <f>IF([1]Accounts!$D$378="","",[1]Accounts!$B$378)</f>
        <v/>
      </c>
      <c r="L377">
        <f>IF([1]Accounts!$D$378="","",[1]Accounts!$C$378)</f>
        <v/>
      </c>
      <c r="M377">
        <f>IF([1]Accounts!$D$378="","",[1]Accounts!$D$378)</f>
        <v/>
      </c>
      <c r="P377">
        <f>IF([2]Entry!$C$380="","",[2]Entry!$C$380)</f>
        <v/>
      </c>
      <c r="Q377">
        <f>IF([2]Entry!$D$380="","",[2]Entry!$D$380)</f>
        <v/>
      </c>
      <c r="R377">
        <f>IF([2]Entry!$E$380="","",[2]Entry!$E$380)</f>
        <v/>
      </c>
      <c r="S377">
        <f>IF([2]Entry!$G$380="","",[2]Entry!$G$380)</f>
        <v/>
      </c>
      <c r="T377">
        <f>IF([2]Entry!$J$380="","",[2]Entry!$J$380)</f>
        <v/>
      </c>
      <c r="U377">
        <f>IF([2]Entry!$K$380="","",[2]Entry!$K$380)</f>
        <v/>
      </c>
      <c r="V377">
        <f>IF([2]Entry!$L$380="","",[2]Entry!$L$380)</f>
        <v/>
      </c>
      <c r="W377">
        <f>IF([2]Entry!$M$380="","",[2]Entry!$M$380)</f>
        <v/>
      </c>
      <c r="X377">
        <f>IF([2]Entry!$N$380="","",[2]Entry!$N$380)</f>
        <v/>
      </c>
      <c r="Y377">
        <f>IF([2]Entry!$R$380="","",[2]Entry!$R$380)</f>
        <v/>
      </c>
    </row>
    <row r="378">
      <c r="J378">
        <f>IF([1]Accounts!$D$379="","",[1]Accounts!$A$379)</f>
        <v/>
      </c>
      <c r="K378">
        <f>IF([1]Accounts!$D$379="","",[1]Accounts!$B$379)</f>
        <v/>
      </c>
      <c r="L378">
        <f>IF([1]Accounts!$D$379="","",[1]Accounts!$C$379)</f>
        <v/>
      </c>
      <c r="M378">
        <f>IF([1]Accounts!$D$379="","",[1]Accounts!$D$379)</f>
        <v/>
      </c>
      <c r="P378">
        <f>IF([2]Entry!$C$381="","",[2]Entry!$C$381)</f>
        <v/>
      </c>
      <c r="Q378">
        <f>IF([2]Entry!$D$381="","",[2]Entry!$D$381)</f>
        <v/>
      </c>
      <c r="R378">
        <f>IF([2]Entry!$E$381="","",[2]Entry!$E$381)</f>
        <v/>
      </c>
      <c r="S378">
        <f>IF([2]Entry!$G$381="","",[2]Entry!$G$381)</f>
        <v/>
      </c>
      <c r="T378">
        <f>IF([2]Entry!$J$381="","",[2]Entry!$J$381)</f>
        <v/>
      </c>
      <c r="U378">
        <f>IF([2]Entry!$K$381="","",[2]Entry!$K$381)</f>
        <v/>
      </c>
      <c r="V378">
        <f>IF([2]Entry!$L$381="","",[2]Entry!$L$381)</f>
        <v/>
      </c>
      <c r="W378">
        <f>IF([2]Entry!$M$381="","",[2]Entry!$M$381)</f>
        <v/>
      </c>
      <c r="X378">
        <f>IF([2]Entry!$N$381="","",[2]Entry!$N$381)</f>
        <v/>
      </c>
      <c r="Y378">
        <f>IF([2]Entry!$R$381="","",[2]Entry!$R$381)</f>
        <v/>
      </c>
    </row>
    <row r="379">
      <c r="J379">
        <f>IF([1]Accounts!$D$380="","",[1]Accounts!$A$380)</f>
        <v/>
      </c>
      <c r="K379">
        <f>IF([1]Accounts!$D$380="","",[1]Accounts!$B$380)</f>
        <v/>
      </c>
      <c r="L379">
        <f>IF([1]Accounts!$D$380="","",[1]Accounts!$C$380)</f>
        <v/>
      </c>
      <c r="M379">
        <f>IF([1]Accounts!$D$380="","",[1]Accounts!$D$380)</f>
        <v/>
      </c>
      <c r="P379">
        <f>IF([2]Entry!$C$382="","",[2]Entry!$C$382)</f>
        <v/>
      </c>
      <c r="Q379">
        <f>IF([2]Entry!$D$382="","",[2]Entry!$D$382)</f>
        <v/>
      </c>
      <c r="R379">
        <f>IF([2]Entry!$E$382="","",[2]Entry!$E$382)</f>
        <v/>
      </c>
      <c r="S379">
        <f>IF([2]Entry!$G$382="","",[2]Entry!$G$382)</f>
        <v/>
      </c>
      <c r="T379">
        <f>IF([2]Entry!$J$382="","",[2]Entry!$J$382)</f>
        <v/>
      </c>
      <c r="U379">
        <f>IF([2]Entry!$K$382="","",[2]Entry!$K$382)</f>
        <v/>
      </c>
      <c r="V379">
        <f>IF([2]Entry!$L$382="","",[2]Entry!$L$382)</f>
        <v/>
      </c>
      <c r="W379">
        <f>IF([2]Entry!$M$382="","",[2]Entry!$M$382)</f>
        <v/>
      </c>
      <c r="X379">
        <f>IF([2]Entry!$N$382="","",[2]Entry!$N$382)</f>
        <v/>
      </c>
      <c r="Y379">
        <f>IF([2]Entry!$R$382="","",[2]Entry!$R$382)</f>
        <v/>
      </c>
    </row>
    <row r="380">
      <c r="J380">
        <f>IF([1]Accounts!$D$381="","",[1]Accounts!$A$381)</f>
        <v/>
      </c>
      <c r="K380">
        <f>IF([1]Accounts!$D$381="","",[1]Accounts!$B$381)</f>
        <v/>
      </c>
      <c r="L380">
        <f>IF([1]Accounts!$D$381="","",[1]Accounts!$C$381)</f>
        <v/>
      </c>
      <c r="M380">
        <f>IF([1]Accounts!$D$381="","",[1]Accounts!$D$381)</f>
        <v/>
      </c>
      <c r="P380">
        <f>IF([2]Entry!$C$383="","",[2]Entry!$C$383)</f>
        <v/>
      </c>
      <c r="Q380">
        <f>IF([2]Entry!$D$383="","",[2]Entry!$D$383)</f>
        <v/>
      </c>
      <c r="R380">
        <f>IF([2]Entry!$E$383="","",[2]Entry!$E$383)</f>
        <v/>
      </c>
      <c r="S380">
        <f>IF([2]Entry!$G$383="","",[2]Entry!$G$383)</f>
        <v/>
      </c>
      <c r="T380">
        <f>IF([2]Entry!$J$383="","",[2]Entry!$J$383)</f>
        <v/>
      </c>
      <c r="U380">
        <f>IF([2]Entry!$K$383="","",[2]Entry!$K$383)</f>
        <v/>
      </c>
      <c r="V380">
        <f>IF([2]Entry!$L$383="","",[2]Entry!$L$383)</f>
        <v/>
      </c>
      <c r="W380">
        <f>IF([2]Entry!$M$383="","",[2]Entry!$M$383)</f>
        <v/>
      </c>
      <c r="X380">
        <f>IF([2]Entry!$N$383="","",[2]Entry!$N$383)</f>
        <v/>
      </c>
      <c r="Y380">
        <f>IF([2]Entry!$R$383="","",[2]Entry!$R$383)</f>
        <v/>
      </c>
    </row>
    <row r="381">
      <c r="J381">
        <f>IF([1]Accounts!$D$382="","",[1]Accounts!$A$382)</f>
        <v/>
      </c>
      <c r="K381">
        <f>IF([1]Accounts!$D$382="","",[1]Accounts!$B$382)</f>
        <v/>
      </c>
      <c r="L381">
        <f>IF([1]Accounts!$D$382="","",[1]Accounts!$C$382)</f>
        <v/>
      </c>
      <c r="M381">
        <f>IF([1]Accounts!$D$382="","",[1]Accounts!$D$382)</f>
        <v/>
      </c>
      <c r="P381">
        <f>IF([2]Entry!$C$384="","",[2]Entry!$C$384)</f>
        <v/>
      </c>
      <c r="Q381">
        <f>IF([2]Entry!$D$384="","",[2]Entry!$D$384)</f>
        <v/>
      </c>
      <c r="R381">
        <f>IF([2]Entry!$E$384="","",[2]Entry!$E$384)</f>
        <v/>
      </c>
      <c r="S381">
        <f>IF([2]Entry!$G$384="","",[2]Entry!$G$384)</f>
        <v/>
      </c>
      <c r="T381">
        <f>IF([2]Entry!$J$384="","",[2]Entry!$J$384)</f>
        <v/>
      </c>
      <c r="U381">
        <f>IF([2]Entry!$K$384="","",[2]Entry!$K$384)</f>
        <v/>
      </c>
      <c r="V381">
        <f>IF([2]Entry!$L$384="","",[2]Entry!$L$384)</f>
        <v/>
      </c>
      <c r="W381">
        <f>IF([2]Entry!$M$384="","",[2]Entry!$M$384)</f>
        <v/>
      </c>
      <c r="X381">
        <f>IF([2]Entry!$N$384="","",[2]Entry!$N$384)</f>
        <v/>
      </c>
      <c r="Y381">
        <f>IF([2]Entry!$R$384="","",[2]Entry!$R$384)</f>
        <v/>
      </c>
    </row>
    <row r="382">
      <c r="J382">
        <f>IF([1]Accounts!$D$383="","",[1]Accounts!$A$383)</f>
        <v/>
      </c>
      <c r="K382">
        <f>IF([1]Accounts!$D$383="","",[1]Accounts!$B$383)</f>
        <v/>
      </c>
      <c r="L382">
        <f>IF([1]Accounts!$D$383="","",[1]Accounts!$C$383)</f>
        <v/>
      </c>
      <c r="M382">
        <f>IF([1]Accounts!$D$383="","",[1]Accounts!$D$383)</f>
        <v/>
      </c>
      <c r="P382">
        <f>IF([2]Entry!$C$385="","",[2]Entry!$C$385)</f>
        <v/>
      </c>
      <c r="Q382">
        <f>IF([2]Entry!$D$385="","",[2]Entry!$D$385)</f>
        <v/>
      </c>
      <c r="R382">
        <f>IF([2]Entry!$E$385="","",[2]Entry!$E$385)</f>
        <v/>
      </c>
      <c r="S382">
        <f>IF([2]Entry!$G$385="","",[2]Entry!$G$385)</f>
        <v/>
      </c>
      <c r="T382">
        <f>IF([2]Entry!$J$385="","",[2]Entry!$J$385)</f>
        <v/>
      </c>
      <c r="U382">
        <f>IF([2]Entry!$K$385="","",[2]Entry!$K$385)</f>
        <v/>
      </c>
      <c r="V382">
        <f>IF([2]Entry!$L$385="","",[2]Entry!$L$385)</f>
        <v/>
      </c>
      <c r="W382">
        <f>IF([2]Entry!$M$385="","",[2]Entry!$M$385)</f>
        <v/>
      </c>
      <c r="X382">
        <f>IF([2]Entry!$N$385="","",[2]Entry!$N$385)</f>
        <v/>
      </c>
      <c r="Y382">
        <f>IF([2]Entry!$R$385="","",[2]Entry!$R$385)</f>
        <v/>
      </c>
    </row>
    <row r="383">
      <c r="J383">
        <f>IF([1]Accounts!$D$384="","",[1]Accounts!$A$384)</f>
        <v/>
      </c>
      <c r="K383">
        <f>IF([1]Accounts!$D$384="","",[1]Accounts!$B$384)</f>
        <v/>
      </c>
      <c r="L383">
        <f>IF([1]Accounts!$D$384="","",[1]Accounts!$C$384)</f>
        <v/>
      </c>
      <c r="M383">
        <f>IF([1]Accounts!$D$384="","",[1]Accounts!$D$384)</f>
        <v/>
      </c>
      <c r="P383">
        <f>IF([2]Entry!$C$386="","",[2]Entry!$C$386)</f>
        <v/>
      </c>
      <c r="Q383">
        <f>IF([2]Entry!$D$386="","",[2]Entry!$D$386)</f>
        <v/>
      </c>
      <c r="R383">
        <f>IF([2]Entry!$E$386="","",[2]Entry!$E$386)</f>
        <v/>
      </c>
      <c r="S383">
        <f>IF([2]Entry!$G$386="","",[2]Entry!$G$386)</f>
        <v/>
      </c>
      <c r="T383">
        <f>IF([2]Entry!$J$386="","",[2]Entry!$J$386)</f>
        <v/>
      </c>
      <c r="U383">
        <f>IF([2]Entry!$K$386="","",[2]Entry!$K$386)</f>
        <v/>
      </c>
      <c r="V383">
        <f>IF([2]Entry!$L$386="","",[2]Entry!$L$386)</f>
        <v/>
      </c>
      <c r="W383">
        <f>IF([2]Entry!$M$386="","",[2]Entry!$M$386)</f>
        <v/>
      </c>
      <c r="X383">
        <f>IF([2]Entry!$N$386="","",[2]Entry!$N$386)</f>
        <v/>
      </c>
      <c r="Y383">
        <f>IF([2]Entry!$R$386="","",[2]Entry!$R$386)</f>
        <v/>
      </c>
    </row>
    <row r="384">
      <c r="J384">
        <f>IF([1]Accounts!$D$385="","",[1]Accounts!$A$385)</f>
        <v/>
      </c>
      <c r="K384">
        <f>IF([1]Accounts!$D$385="","",[1]Accounts!$B$385)</f>
        <v/>
      </c>
      <c r="L384">
        <f>IF([1]Accounts!$D$385="","",[1]Accounts!$C$385)</f>
        <v/>
      </c>
      <c r="M384">
        <f>IF([1]Accounts!$D$385="","",[1]Accounts!$D$385)</f>
        <v/>
      </c>
      <c r="P384">
        <f>IF([2]Entry!$C$387="","",[2]Entry!$C$387)</f>
        <v/>
      </c>
      <c r="Q384">
        <f>IF([2]Entry!$D$387="","",[2]Entry!$D$387)</f>
        <v/>
      </c>
      <c r="R384">
        <f>IF([2]Entry!$E$387="","",[2]Entry!$E$387)</f>
        <v/>
      </c>
      <c r="S384">
        <f>IF([2]Entry!$G$387="","",[2]Entry!$G$387)</f>
        <v/>
      </c>
      <c r="T384">
        <f>IF([2]Entry!$J$387="","",[2]Entry!$J$387)</f>
        <v/>
      </c>
      <c r="U384">
        <f>IF([2]Entry!$K$387="","",[2]Entry!$K$387)</f>
        <v/>
      </c>
      <c r="V384">
        <f>IF([2]Entry!$L$387="","",[2]Entry!$L$387)</f>
        <v/>
      </c>
      <c r="W384">
        <f>IF([2]Entry!$M$387="","",[2]Entry!$M$387)</f>
        <v/>
      </c>
      <c r="X384">
        <f>IF([2]Entry!$N$387="","",[2]Entry!$N$387)</f>
        <v/>
      </c>
      <c r="Y384">
        <f>IF([2]Entry!$R$387="","",[2]Entry!$R$387)</f>
        <v/>
      </c>
    </row>
    <row r="385">
      <c r="J385">
        <f>IF([1]Accounts!$D$386="","",[1]Accounts!$A$386)</f>
        <v/>
      </c>
      <c r="K385">
        <f>IF([1]Accounts!$D$386="","",[1]Accounts!$B$386)</f>
        <v/>
      </c>
      <c r="L385">
        <f>IF([1]Accounts!$D$386="","",[1]Accounts!$C$386)</f>
        <v/>
      </c>
      <c r="M385">
        <f>IF([1]Accounts!$D$386="","",[1]Accounts!$D$386)</f>
        <v/>
      </c>
      <c r="P385">
        <f>IF([2]Entry!$C$388="","",[2]Entry!$C$388)</f>
        <v/>
      </c>
      <c r="Q385">
        <f>IF([2]Entry!$D$388="","",[2]Entry!$D$388)</f>
        <v/>
      </c>
      <c r="R385">
        <f>IF([2]Entry!$E$388="","",[2]Entry!$E$388)</f>
        <v/>
      </c>
      <c r="S385">
        <f>IF([2]Entry!$G$388="","",[2]Entry!$G$388)</f>
        <v/>
      </c>
      <c r="T385">
        <f>IF([2]Entry!$J$388="","",[2]Entry!$J$388)</f>
        <v/>
      </c>
      <c r="U385">
        <f>IF([2]Entry!$K$388="","",[2]Entry!$K$388)</f>
        <v/>
      </c>
      <c r="V385">
        <f>IF([2]Entry!$L$388="","",[2]Entry!$L$388)</f>
        <v/>
      </c>
      <c r="W385">
        <f>IF([2]Entry!$M$388="","",[2]Entry!$M$388)</f>
        <v/>
      </c>
      <c r="X385">
        <f>IF([2]Entry!$N$388="","",[2]Entry!$N$388)</f>
        <v/>
      </c>
      <c r="Y385">
        <f>IF([2]Entry!$R$388="","",[2]Entry!$R$388)</f>
        <v/>
      </c>
    </row>
    <row r="386">
      <c r="J386">
        <f>IF([1]Accounts!$D$387="","",[1]Accounts!$A$387)</f>
        <v/>
      </c>
      <c r="K386">
        <f>IF([1]Accounts!$D$387="","",[1]Accounts!$B$387)</f>
        <v/>
      </c>
      <c r="L386">
        <f>IF([1]Accounts!$D$387="","",[1]Accounts!$C$387)</f>
        <v/>
      </c>
      <c r="M386">
        <f>IF([1]Accounts!$D$387="","",[1]Accounts!$D$387)</f>
        <v/>
      </c>
      <c r="P386">
        <f>IF([2]Entry!$C$389="","",[2]Entry!$C$389)</f>
        <v/>
      </c>
      <c r="Q386">
        <f>IF([2]Entry!$D$389="","",[2]Entry!$D$389)</f>
        <v/>
      </c>
      <c r="R386">
        <f>IF([2]Entry!$E$389="","",[2]Entry!$E$389)</f>
        <v/>
      </c>
      <c r="S386">
        <f>IF([2]Entry!$G$389="","",[2]Entry!$G$389)</f>
        <v/>
      </c>
      <c r="T386">
        <f>IF([2]Entry!$J$389="","",[2]Entry!$J$389)</f>
        <v/>
      </c>
      <c r="U386">
        <f>IF([2]Entry!$K$389="","",[2]Entry!$K$389)</f>
        <v/>
      </c>
      <c r="V386">
        <f>IF([2]Entry!$L$389="","",[2]Entry!$L$389)</f>
        <v/>
      </c>
      <c r="W386">
        <f>IF([2]Entry!$M$389="","",[2]Entry!$M$389)</f>
        <v/>
      </c>
      <c r="X386">
        <f>IF([2]Entry!$N$389="","",[2]Entry!$N$389)</f>
        <v/>
      </c>
      <c r="Y386">
        <f>IF([2]Entry!$R$389="","",[2]Entry!$R$389)</f>
        <v/>
      </c>
    </row>
    <row r="387">
      <c r="J387">
        <f>IF([1]Accounts!$D$388="","",[1]Accounts!$A$388)</f>
        <v/>
      </c>
      <c r="K387">
        <f>IF([1]Accounts!$D$388="","",[1]Accounts!$B$388)</f>
        <v/>
      </c>
      <c r="L387">
        <f>IF([1]Accounts!$D$388="","",[1]Accounts!$C$388)</f>
        <v/>
      </c>
      <c r="M387">
        <f>IF([1]Accounts!$D$388="","",[1]Accounts!$D$388)</f>
        <v/>
      </c>
      <c r="P387">
        <f>IF([2]Entry!$C$390="","",[2]Entry!$C$390)</f>
        <v/>
      </c>
      <c r="Q387">
        <f>IF([2]Entry!$D$390="","",[2]Entry!$D$390)</f>
        <v/>
      </c>
      <c r="R387">
        <f>IF([2]Entry!$E$390="","",[2]Entry!$E$390)</f>
        <v/>
      </c>
      <c r="S387">
        <f>IF([2]Entry!$G$390="","",[2]Entry!$G$390)</f>
        <v/>
      </c>
      <c r="T387">
        <f>IF([2]Entry!$J$390="","",[2]Entry!$J$390)</f>
        <v/>
      </c>
      <c r="U387">
        <f>IF([2]Entry!$K$390="","",[2]Entry!$K$390)</f>
        <v/>
      </c>
      <c r="V387">
        <f>IF([2]Entry!$L$390="","",[2]Entry!$L$390)</f>
        <v/>
      </c>
      <c r="W387">
        <f>IF([2]Entry!$M$390="","",[2]Entry!$M$390)</f>
        <v/>
      </c>
      <c r="X387">
        <f>IF([2]Entry!$N$390="","",[2]Entry!$N$390)</f>
        <v/>
      </c>
      <c r="Y387">
        <f>IF([2]Entry!$R$390="","",[2]Entry!$R$390)</f>
        <v/>
      </c>
    </row>
    <row r="388">
      <c r="J388">
        <f>IF([1]Accounts!$D$389="","",[1]Accounts!$A$389)</f>
        <v/>
      </c>
      <c r="K388">
        <f>IF([1]Accounts!$D$389="","",[1]Accounts!$B$389)</f>
        <v/>
      </c>
      <c r="L388">
        <f>IF([1]Accounts!$D$389="","",[1]Accounts!$C$389)</f>
        <v/>
      </c>
      <c r="M388">
        <f>IF([1]Accounts!$D$389="","",[1]Accounts!$D$389)</f>
        <v/>
      </c>
      <c r="P388">
        <f>IF([2]Entry!$C$391="","",[2]Entry!$C$391)</f>
        <v/>
      </c>
      <c r="Q388">
        <f>IF([2]Entry!$D$391="","",[2]Entry!$D$391)</f>
        <v/>
      </c>
      <c r="R388">
        <f>IF([2]Entry!$E$391="","",[2]Entry!$E$391)</f>
        <v/>
      </c>
      <c r="S388">
        <f>IF([2]Entry!$G$391="","",[2]Entry!$G$391)</f>
        <v/>
      </c>
      <c r="T388">
        <f>IF([2]Entry!$J$391="","",[2]Entry!$J$391)</f>
        <v/>
      </c>
      <c r="U388">
        <f>IF([2]Entry!$K$391="","",[2]Entry!$K$391)</f>
        <v/>
      </c>
      <c r="V388">
        <f>IF([2]Entry!$L$391="","",[2]Entry!$L$391)</f>
        <v/>
      </c>
      <c r="W388">
        <f>IF([2]Entry!$M$391="","",[2]Entry!$M$391)</f>
        <v/>
      </c>
      <c r="X388">
        <f>IF([2]Entry!$N$391="","",[2]Entry!$N$391)</f>
        <v/>
      </c>
      <c r="Y388">
        <f>IF([2]Entry!$R$391="","",[2]Entry!$R$391)</f>
        <v/>
      </c>
    </row>
    <row r="389">
      <c r="J389">
        <f>IF([1]Accounts!$D$390="","",[1]Accounts!$A$390)</f>
        <v/>
      </c>
      <c r="K389">
        <f>IF([1]Accounts!$D$390="","",[1]Accounts!$B$390)</f>
        <v/>
      </c>
      <c r="L389">
        <f>IF([1]Accounts!$D$390="","",[1]Accounts!$C$390)</f>
        <v/>
      </c>
      <c r="M389">
        <f>IF([1]Accounts!$D$390="","",[1]Accounts!$D$390)</f>
        <v/>
      </c>
      <c r="P389">
        <f>IF([2]Entry!$C$392="","",[2]Entry!$C$392)</f>
        <v/>
      </c>
      <c r="Q389">
        <f>IF([2]Entry!$D$392="","",[2]Entry!$D$392)</f>
        <v/>
      </c>
      <c r="R389">
        <f>IF([2]Entry!$E$392="","",[2]Entry!$E$392)</f>
        <v/>
      </c>
      <c r="S389">
        <f>IF([2]Entry!$G$392="","",[2]Entry!$G$392)</f>
        <v/>
      </c>
      <c r="T389">
        <f>IF([2]Entry!$J$392="","",[2]Entry!$J$392)</f>
        <v/>
      </c>
      <c r="U389">
        <f>IF([2]Entry!$K$392="","",[2]Entry!$K$392)</f>
        <v/>
      </c>
      <c r="V389">
        <f>IF([2]Entry!$L$392="","",[2]Entry!$L$392)</f>
        <v/>
      </c>
      <c r="W389">
        <f>IF([2]Entry!$M$392="","",[2]Entry!$M$392)</f>
        <v/>
      </c>
      <c r="X389">
        <f>IF([2]Entry!$N$392="","",[2]Entry!$N$392)</f>
        <v/>
      </c>
      <c r="Y389">
        <f>IF([2]Entry!$R$392="","",[2]Entry!$R$392)</f>
        <v/>
      </c>
    </row>
    <row r="390">
      <c r="J390">
        <f>IF([1]Accounts!$D$391="","",[1]Accounts!$A$391)</f>
        <v/>
      </c>
      <c r="K390">
        <f>IF([1]Accounts!$D$391="","",[1]Accounts!$B$391)</f>
        <v/>
      </c>
      <c r="L390">
        <f>IF([1]Accounts!$D$391="","",[1]Accounts!$C$391)</f>
        <v/>
      </c>
      <c r="M390">
        <f>IF([1]Accounts!$D$391="","",[1]Accounts!$D$391)</f>
        <v/>
      </c>
      <c r="P390">
        <f>IF([2]Entry!$C$393="","",[2]Entry!$C$393)</f>
        <v/>
      </c>
      <c r="Q390">
        <f>IF([2]Entry!$D$393="","",[2]Entry!$D$393)</f>
        <v/>
      </c>
      <c r="R390">
        <f>IF([2]Entry!$E$393="","",[2]Entry!$E$393)</f>
        <v/>
      </c>
      <c r="S390">
        <f>IF([2]Entry!$G$393="","",[2]Entry!$G$393)</f>
        <v/>
      </c>
      <c r="T390">
        <f>IF([2]Entry!$J$393="","",[2]Entry!$J$393)</f>
        <v/>
      </c>
      <c r="U390">
        <f>IF([2]Entry!$K$393="","",[2]Entry!$K$393)</f>
        <v/>
      </c>
      <c r="V390">
        <f>IF([2]Entry!$L$393="","",[2]Entry!$L$393)</f>
        <v/>
      </c>
      <c r="W390">
        <f>IF([2]Entry!$M$393="","",[2]Entry!$M$393)</f>
        <v/>
      </c>
      <c r="X390">
        <f>IF([2]Entry!$N$393="","",[2]Entry!$N$393)</f>
        <v/>
      </c>
      <c r="Y390">
        <f>IF([2]Entry!$R$393="","",[2]Entry!$R$393)</f>
        <v/>
      </c>
    </row>
    <row r="391">
      <c r="J391">
        <f>IF([1]Accounts!$D$392="","",[1]Accounts!$A$392)</f>
        <v/>
      </c>
      <c r="K391">
        <f>IF([1]Accounts!$D$392="","",[1]Accounts!$B$392)</f>
        <v/>
      </c>
      <c r="L391">
        <f>IF([1]Accounts!$D$392="","",[1]Accounts!$C$392)</f>
        <v/>
      </c>
      <c r="M391">
        <f>IF([1]Accounts!$D$392="","",[1]Accounts!$D$392)</f>
        <v/>
      </c>
      <c r="P391">
        <f>IF([2]Entry!$C$394="","",[2]Entry!$C$394)</f>
        <v/>
      </c>
      <c r="Q391">
        <f>IF([2]Entry!$D$394="","",[2]Entry!$D$394)</f>
        <v/>
      </c>
      <c r="R391">
        <f>IF([2]Entry!$E$394="","",[2]Entry!$E$394)</f>
        <v/>
      </c>
      <c r="S391">
        <f>IF([2]Entry!$G$394="","",[2]Entry!$G$394)</f>
        <v/>
      </c>
      <c r="T391">
        <f>IF([2]Entry!$J$394="","",[2]Entry!$J$394)</f>
        <v/>
      </c>
      <c r="U391">
        <f>IF([2]Entry!$K$394="","",[2]Entry!$K$394)</f>
        <v/>
      </c>
      <c r="V391">
        <f>IF([2]Entry!$L$394="","",[2]Entry!$L$394)</f>
        <v/>
      </c>
      <c r="W391">
        <f>IF([2]Entry!$M$394="","",[2]Entry!$M$394)</f>
        <v/>
      </c>
      <c r="X391">
        <f>IF([2]Entry!$N$394="","",[2]Entry!$N$394)</f>
        <v/>
      </c>
      <c r="Y391">
        <f>IF([2]Entry!$R$394="","",[2]Entry!$R$394)</f>
        <v/>
      </c>
    </row>
    <row r="392">
      <c r="J392">
        <f>IF([1]Accounts!$D$393="","",[1]Accounts!$A$393)</f>
        <v/>
      </c>
      <c r="K392">
        <f>IF([1]Accounts!$D$393="","",[1]Accounts!$B$393)</f>
        <v/>
      </c>
      <c r="L392">
        <f>IF([1]Accounts!$D$393="","",[1]Accounts!$C$393)</f>
        <v/>
      </c>
      <c r="M392">
        <f>IF([1]Accounts!$D$393="","",[1]Accounts!$D$393)</f>
        <v/>
      </c>
      <c r="P392">
        <f>IF([2]Entry!$C$395="","",[2]Entry!$C$395)</f>
        <v/>
      </c>
      <c r="Q392">
        <f>IF([2]Entry!$D$395="","",[2]Entry!$D$395)</f>
        <v/>
      </c>
      <c r="R392">
        <f>IF([2]Entry!$E$395="","",[2]Entry!$E$395)</f>
        <v/>
      </c>
      <c r="S392">
        <f>IF([2]Entry!$G$395="","",[2]Entry!$G$395)</f>
        <v/>
      </c>
      <c r="T392">
        <f>IF([2]Entry!$J$395="","",[2]Entry!$J$395)</f>
        <v/>
      </c>
      <c r="U392">
        <f>IF([2]Entry!$K$395="","",[2]Entry!$K$395)</f>
        <v/>
      </c>
      <c r="V392">
        <f>IF([2]Entry!$L$395="","",[2]Entry!$L$395)</f>
        <v/>
      </c>
      <c r="W392">
        <f>IF([2]Entry!$M$395="","",[2]Entry!$M$395)</f>
        <v/>
      </c>
      <c r="X392">
        <f>IF([2]Entry!$N$395="","",[2]Entry!$N$395)</f>
        <v/>
      </c>
      <c r="Y392">
        <f>IF([2]Entry!$R$395="","",[2]Entry!$R$395)</f>
        <v/>
      </c>
    </row>
    <row r="393">
      <c r="J393">
        <f>IF([1]Accounts!$D$394="","",[1]Accounts!$A$394)</f>
        <v/>
      </c>
      <c r="K393">
        <f>IF([1]Accounts!$D$394="","",[1]Accounts!$B$394)</f>
        <v/>
      </c>
      <c r="L393">
        <f>IF([1]Accounts!$D$394="","",[1]Accounts!$C$394)</f>
        <v/>
      </c>
      <c r="M393">
        <f>IF([1]Accounts!$D$394="","",[1]Accounts!$D$394)</f>
        <v/>
      </c>
      <c r="P393">
        <f>IF([2]Entry!$C$396="","",[2]Entry!$C$396)</f>
        <v/>
      </c>
      <c r="Q393">
        <f>IF([2]Entry!$D$396="","",[2]Entry!$D$396)</f>
        <v/>
      </c>
      <c r="R393">
        <f>IF([2]Entry!$E$396="","",[2]Entry!$E$396)</f>
        <v/>
      </c>
      <c r="S393">
        <f>IF([2]Entry!$G$396="","",[2]Entry!$G$396)</f>
        <v/>
      </c>
      <c r="T393">
        <f>IF([2]Entry!$J$396="","",[2]Entry!$J$396)</f>
        <v/>
      </c>
      <c r="U393">
        <f>IF([2]Entry!$K$396="","",[2]Entry!$K$396)</f>
        <v/>
      </c>
      <c r="V393">
        <f>IF([2]Entry!$L$396="","",[2]Entry!$L$396)</f>
        <v/>
      </c>
      <c r="W393">
        <f>IF([2]Entry!$M$396="","",[2]Entry!$M$396)</f>
        <v/>
      </c>
      <c r="X393">
        <f>IF([2]Entry!$N$396="","",[2]Entry!$N$396)</f>
        <v/>
      </c>
      <c r="Y393">
        <f>IF([2]Entry!$R$396="","",[2]Entry!$R$396)</f>
        <v/>
      </c>
    </row>
    <row r="394">
      <c r="J394">
        <f>IF([1]Accounts!$D$395="","",[1]Accounts!$A$395)</f>
        <v/>
      </c>
      <c r="K394">
        <f>IF([1]Accounts!$D$395="","",[1]Accounts!$B$395)</f>
        <v/>
      </c>
      <c r="L394">
        <f>IF([1]Accounts!$D$395="","",[1]Accounts!$C$395)</f>
        <v/>
      </c>
      <c r="M394">
        <f>IF([1]Accounts!$D$395="","",[1]Accounts!$D$395)</f>
        <v/>
      </c>
      <c r="P394">
        <f>IF([2]Entry!$C$397="","",[2]Entry!$C$397)</f>
        <v/>
      </c>
      <c r="Q394">
        <f>IF([2]Entry!$D$397="","",[2]Entry!$D$397)</f>
        <v/>
      </c>
      <c r="R394">
        <f>IF([2]Entry!$E$397="","",[2]Entry!$E$397)</f>
        <v/>
      </c>
      <c r="S394">
        <f>IF([2]Entry!$G$397="","",[2]Entry!$G$397)</f>
        <v/>
      </c>
      <c r="T394">
        <f>IF([2]Entry!$J$397="","",[2]Entry!$J$397)</f>
        <v/>
      </c>
      <c r="U394">
        <f>IF([2]Entry!$K$397="","",[2]Entry!$K$397)</f>
        <v/>
      </c>
      <c r="V394">
        <f>IF([2]Entry!$L$397="","",[2]Entry!$L$397)</f>
        <v/>
      </c>
      <c r="W394">
        <f>IF([2]Entry!$M$397="","",[2]Entry!$M$397)</f>
        <v/>
      </c>
      <c r="X394">
        <f>IF([2]Entry!$N$397="","",[2]Entry!$N$397)</f>
        <v/>
      </c>
      <c r="Y394">
        <f>IF([2]Entry!$R$397="","",[2]Entry!$R$397)</f>
        <v/>
      </c>
    </row>
    <row r="395">
      <c r="J395">
        <f>IF([1]Accounts!$D$396="","",[1]Accounts!$A$396)</f>
        <v/>
      </c>
      <c r="K395">
        <f>IF([1]Accounts!$D$396="","",[1]Accounts!$B$396)</f>
        <v/>
      </c>
      <c r="L395">
        <f>IF([1]Accounts!$D$396="","",[1]Accounts!$C$396)</f>
        <v/>
      </c>
      <c r="M395">
        <f>IF([1]Accounts!$D$396="","",[1]Accounts!$D$396)</f>
        <v/>
      </c>
      <c r="P395">
        <f>IF([2]Entry!$C$398="","",[2]Entry!$C$398)</f>
        <v/>
      </c>
      <c r="Q395">
        <f>IF([2]Entry!$D$398="","",[2]Entry!$D$398)</f>
        <v/>
      </c>
      <c r="R395">
        <f>IF([2]Entry!$E$398="","",[2]Entry!$E$398)</f>
        <v/>
      </c>
      <c r="S395">
        <f>IF([2]Entry!$G$398="","",[2]Entry!$G$398)</f>
        <v/>
      </c>
      <c r="T395">
        <f>IF([2]Entry!$J$398="","",[2]Entry!$J$398)</f>
        <v/>
      </c>
      <c r="U395">
        <f>IF([2]Entry!$K$398="","",[2]Entry!$K$398)</f>
        <v/>
      </c>
      <c r="V395">
        <f>IF([2]Entry!$L$398="","",[2]Entry!$L$398)</f>
        <v/>
      </c>
      <c r="W395">
        <f>IF([2]Entry!$M$398="","",[2]Entry!$M$398)</f>
        <v/>
      </c>
      <c r="X395">
        <f>IF([2]Entry!$N$398="","",[2]Entry!$N$398)</f>
        <v/>
      </c>
      <c r="Y395">
        <f>IF([2]Entry!$R$398="","",[2]Entry!$R$398)</f>
        <v/>
      </c>
    </row>
    <row r="396">
      <c r="J396">
        <f>IF([1]Accounts!$D$397="","",[1]Accounts!$A$397)</f>
        <v/>
      </c>
      <c r="K396">
        <f>IF([1]Accounts!$D$397="","",[1]Accounts!$B$397)</f>
        <v/>
      </c>
      <c r="L396">
        <f>IF([1]Accounts!$D$397="","",[1]Accounts!$C$397)</f>
        <v/>
      </c>
      <c r="M396">
        <f>IF([1]Accounts!$D$397="","",[1]Accounts!$D$397)</f>
        <v/>
      </c>
      <c r="P396">
        <f>IF([2]Entry!$C$399="","",[2]Entry!$C$399)</f>
        <v/>
      </c>
      <c r="Q396">
        <f>IF([2]Entry!$D$399="","",[2]Entry!$D$399)</f>
        <v/>
      </c>
      <c r="R396">
        <f>IF([2]Entry!$E$399="","",[2]Entry!$E$399)</f>
        <v/>
      </c>
      <c r="S396">
        <f>IF([2]Entry!$G$399="","",[2]Entry!$G$399)</f>
        <v/>
      </c>
      <c r="T396">
        <f>IF([2]Entry!$J$399="","",[2]Entry!$J$399)</f>
        <v/>
      </c>
      <c r="U396">
        <f>IF([2]Entry!$K$399="","",[2]Entry!$K$399)</f>
        <v/>
      </c>
      <c r="V396">
        <f>IF([2]Entry!$L$399="","",[2]Entry!$L$399)</f>
        <v/>
      </c>
      <c r="W396">
        <f>IF([2]Entry!$M$399="","",[2]Entry!$M$399)</f>
        <v/>
      </c>
      <c r="X396">
        <f>IF([2]Entry!$N$399="","",[2]Entry!$N$399)</f>
        <v/>
      </c>
      <c r="Y396">
        <f>IF([2]Entry!$R$399="","",[2]Entry!$R$399)</f>
        <v/>
      </c>
    </row>
    <row r="397">
      <c r="J397">
        <f>IF([1]Accounts!$D$398="","",[1]Accounts!$A$398)</f>
        <v/>
      </c>
      <c r="K397">
        <f>IF([1]Accounts!$D$398="","",[1]Accounts!$B$398)</f>
        <v/>
      </c>
      <c r="L397">
        <f>IF([1]Accounts!$D$398="","",[1]Accounts!$C$398)</f>
        <v/>
      </c>
      <c r="M397">
        <f>IF([1]Accounts!$D$398="","",[1]Accounts!$D$398)</f>
        <v/>
      </c>
      <c r="P397">
        <f>IF([2]Entry!$C$400="","",[2]Entry!$C$400)</f>
        <v/>
      </c>
      <c r="Q397">
        <f>IF([2]Entry!$D$400="","",[2]Entry!$D$400)</f>
        <v/>
      </c>
      <c r="R397">
        <f>IF([2]Entry!$E$400="","",[2]Entry!$E$400)</f>
        <v/>
      </c>
      <c r="S397">
        <f>IF([2]Entry!$G$400="","",[2]Entry!$G$400)</f>
        <v/>
      </c>
      <c r="T397">
        <f>IF([2]Entry!$J$400="","",[2]Entry!$J$400)</f>
        <v/>
      </c>
      <c r="U397">
        <f>IF([2]Entry!$K$400="","",[2]Entry!$K$400)</f>
        <v/>
      </c>
      <c r="V397">
        <f>IF([2]Entry!$L$400="","",[2]Entry!$L$400)</f>
        <v/>
      </c>
      <c r="W397">
        <f>IF([2]Entry!$M$400="","",[2]Entry!$M$400)</f>
        <v/>
      </c>
      <c r="X397">
        <f>IF([2]Entry!$N$400="","",[2]Entry!$N$400)</f>
        <v/>
      </c>
      <c r="Y397">
        <f>IF([2]Entry!$R$400="","",[2]Entry!$R$400)</f>
        <v/>
      </c>
    </row>
    <row r="398">
      <c r="J398">
        <f>IF([1]Accounts!$D$399="","",[1]Accounts!$A$399)</f>
        <v/>
      </c>
      <c r="K398">
        <f>IF([1]Accounts!$D$399="","",[1]Accounts!$B$399)</f>
        <v/>
      </c>
      <c r="L398">
        <f>IF([1]Accounts!$D$399="","",[1]Accounts!$C$399)</f>
        <v/>
      </c>
      <c r="M398">
        <f>IF([1]Accounts!$D$399="","",[1]Accounts!$D$399)</f>
        <v/>
      </c>
      <c r="P398">
        <f>IF([2]Entry!$C$401="","",[2]Entry!$C$401)</f>
        <v/>
      </c>
      <c r="Q398">
        <f>IF([2]Entry!$D$401="","",[2]Entry!$D$401)</f>
        <v/>
      </c>
      <c r="R398">
        <f>IF([2]Entry!$E$401="","",[2]Entry!$E$401)</f>
        <v/>
      </c>
      <c r="S398">
        <f>IF([2]Entry!$G$401="","",[2]Entry!$G$401)</f>
        <v/>
      </c>
      <c r="T398">
        <f>IF([2]Entry!$J$401="","",[2]Entry!$J$401)</f>
        <v/>
      </c>
      <c r="U398">
        <f>IF([2]Entry!$K$401="","",[2]Entry!$K$401)</f>
        <v/>
      </c>
      <c r="V398">
        <f>IF([2]Entry!$L$401="","",[2]Entry!$L$401)</f>
        <v/>
      </c>
      <c r="W398">
        <f>IF([2]Entry!$M$401="","",[2]Entry!$M$401)</f>
        <v/>
      </c>
      <c r="X398">
        <f>IF([2]Entry!$N$401="","",[2]Entry!$N$401)</f>
        <v/>
      </c>
      <c r="Y398">
        <f>IF([2]Entry!$R$401="","",[2]Entry!$R$401)</f>
        <v/>
      </c>
    </row>
    <row r="399">
      <c r="J399">
        <f>IF([1]Accounts!$D$400="","",[1]Accounts!$A$400)</f>
        <v/>
      </c>
      <c r="K399">
        <f>IF([1]Accounts!$D$400="","",[1]Accounts!$B$400)</f>
        <v/>
      </c>
      <c r="L399">
        <f>IF([1]Accounts!$D$400="","",[1]Accounts!$C$400)</f>
        <v/>
      </c>
      <c r="M399">
        <f>IF([1]Accounts!$D$400="","",[1]Accounts!$D$400)</f>
        <v/>
      </c>
      <c r="P399">
        <f>IF([2]Entry!$C$402="","",[2]Entry!$C$402)</f>
        <v/>
      </c>
      <c r="Q399">
        <f>IF([2]Entry!$D$402="","",[2]Entry!$D$402)</f>
        <v/>
      </c>
      <c r="R399">
        <f>IF([2]Entry!$E$402="","",[2]Entry!$E$402)</f>
        <v/>
      </c>
      <c r="S399">
        <f>IF([2]Entry!$G$402="","",[2]Entry!$G$402)</f>
        <v/>
      </c>
      <c r="T399">
        <f>IF([2]Entry!$J$402="","",[2]Entry!$J$402)</f>
        <v/>
      </c>
      <c r="U399">
        <f>IF([2]Entry!$K$402="","",[2]Entry!$K$402)</f>
        <v/>
      </c>
      <c r="V399">
        <f>IF([2]Entry!$L$402="","",[2]Entry!$L$402)</f>
        <v/>
      </c>
      <c r="W399">
        <f>IF([2]Entry!$M$402="","",[2]Entry!$M$402)</f>
        <v/>
      </c>
      <c r="X399">
        <f>IF([2]Entry!$N$402="","",[2]Entry!$N$402)</f>
        <v/>
      </c>
      <c r="Y399">
        <f>IF([2]Entry!$R$402="","",[2]Entry!$R$402)</f>
        <v/>
      </c>
    </row>
    <row r="400">
      <c r="J400">
        <f>IF([1]Accounts!$D$401="","",[1]Accounts!$A$401)</f>
        <v/>
      </c>
      <c r="K400">
        <f>IF([1]Accounts!$D$401="","",[1]Accounts!$B$401)</f>
        <v/>
      </c>
      <c r="L400">
        <f>IF([1]Accounts!$D$401="","",[1]Accounts!$C$401)</f>
        <v/>
      </c>
      <c r="M400">
        <f>IF([1]Accounts!$D$401="","",[1]Accounts!$D$401)</f>
        <v/>
      </c>
      <c r="P400">
        <f>IF([2]Entry!$C$403="","",[2]Entry!$C$403)</f>
        <v/>
      </c>
      <c r="Q400">
        <f>IF([2]Entry!$D$403="","",[2]Entry!$D$403)</f>
        <v/>
      </c>
      <c r="R400">
        <f>IF([2]Entry!$E$403="","",[2]Entry!$E$403)</f>
        <v/>
      </c>
      <c r="S400">
        <f>IF([2]Entry!$G$403="","",[2]Entry!$G$403)</f>
        <v/>
      </c>
      <c r="T400">
        <f>IF([2]Entry!$J$403="","",[2]Entry!$J$403)</f>
        <v/>
      </c>
      <c r="U400">
        <f>IF([2]Entry!$K$403="","",[2]Entry!$K$403)</f>
        <v/>
      </c>
      <c r="V400">
        <f>IF([2]Entry!$L$403="","",[2]Entry!$L$403)</f>
        <v/>
      </c>
      <c r="W400">
        <f>IF([2]Entry!$M$403="","",[2]Entry!$M$403)</f>
        <v/>
      </c>
      <c r="X400">
        <f>IF([2]Entry!$N$403="","",[2]Entry!$N$403)</f>
        <v/>
      </c>
      <c r="Y400">
        <f>IF([2]Entry!$R$403="","",[2]Entry!$R$403)</f>
        <v/>
      </c>
    </row>
    <row r="401">
      <c r="J401">
        <f>IF([1]Accounts!$D$402="","",[1]Accounts!$A$402)</f>
        <v/>
      </c>
      <c r="K401">
        <f>IF([1]Accounts!$D$402="","",[1]Accounts!$B$402)</f>
        <v/>
      </c>
      <c r="L401">
        <f>IF([1]Accounts!$D$402="","",[1]Accounts!$C$402)</f>
        <v/>
      </c>
      <c r="M401">
        <f>IF([1]Accounts!$D$402="","",[1]Accounts!$D$402)</f>
        <v/>
      </c>
      <c r="P401">
        <f>IF([2]Entry!$C$404="","",[2]Entry!$C$404)</f>
        <v/>
      </c>
      <c r="Q401">
        <f>IF([2]Entry!$D$404="","",[2]Entry!$D$404)</f>
        <v/>
      </c>
      <c r="R401">
        <f>IF([2]Entry!$E$404="","",[2]Entry!$E$404)</f>
        <v/>
      </c>
      <c r="S401">
        <f>IF([2]Entry!$G$404="","",[2]Entry!$G$404)</f>
        <v/>
      </c>
      <c r="T401">
        <f>IF([2]Entry!$J$404="","",[2]Entry!$J$404)</f>
        <v/>
      </c>
      <c r="U401">
        <f>IF([2]Entry!$K$404="","",[2]Entry!$K$404)</f>
        <v/>
      </c>
      <c r="V401">
        <f>IF([2]Entry!$L$404="","",[2]Entry!$L$404)</f>
        <v/>
      </c>
      <c r="W401">
        <f>IF([2]Entry!$M$404="","",[2]Entry!$M$404)</f>
        <v/>
      </c>
      <c r="X401">
        <f>IF([2]Entry!$N$404="","",[2]Entry!$N$404)</f>
        <v/>
      </c>
      <c r="Y401">
        <f>IF([2]Entry!$R$404="","",[2]Entry!$R$404)</f>
        <v/>
      </c>
    </row>
    <row r="402">
      <c r="J402">
        <f>IF([1]Accounts!$D$403="","",[1]Accounts!$A$403)</f>
        <v/>
      </c>
      <c r="K402">
        <f>IF([1]Accounts!$D$403="","",[1]Accounts!$B$403)</f>
        <v/>
      </c>
      <c r="L402">
        <f>IF([1]Accounts!$D$403="","",[1]Accounts!$C$403)</f>
        <v/>
      </c>
      <c r="M402">
        <f>IF([1]Accounts!$D$403="","",[1]Accounts!$D$403)</f>
        <v/>
      </c>
      <c r="P402">
        <f>IF([2]Entry!$C$405="","",[2]Entry!$C$405)</f>
        <v/>
      </c>
      <c r="Q402">
        <f>IF([2]Entry!$D$405="","",[2]Entry!$D$405)</f>
        <v/>
      </c>
      <c r="R402">
        <f>IF([2]Entry!$E$405="","",[2]Entry!$E$405)</f>
        <v/>
      </c>
      <c r="S402">
        <f>IF([2]Entry!$G$405="","",[2]Entry!$G$405)</f>
        <v/>
      </c>
      <c r="T402">
        <f>IF([2]Entry!$J$405="","",[2]Entry!$J$405)</f>
        <v/>
      </c>
      <c r="U402">
        <f>IF([2]Entry!$K$405="","",[2]Entry!$K$405)</f>
        <v/>
      </c>
      <c r="V402">
        <f>IF([2]Entry!$L$405="","",[2]Entry!$L$405)</f>
        <v/>
      </c>
      <c r="W402">
        <f>IF([2]Entry!$M$405="","",[2]Entry!$M$405)</f>
        <v/>
      </c>
      <c r="X402">
        <f>IF([2]Entry!$N$405="","",[2]Entry!$N$405)</f>
        <v/>
      </c>
      <c r="Y402">
        <f>IF([2]Entry!$R$405="","",[2]Entry!$R$405)</f>
        <v/>
      </c>
    </row>
    <row r="403">
      <c r="J403">
        <f>IF([1]Accounts!$D$404="","",[1]Accounts!$A$404)</f>
        <v/>
      </c>
      <c r="K403">
        <f>IF([1]Accounts!$D$404="","",[1]Accounts!$B$404)</f>
        <v/>
      </c>
      <c r="L403">
        <f>IF([1]Accounts!$D$404="","",[1]Accounts!$C$404)</f>
        <v/>
      </c>
      <c r="M403">
        <f>IF([1]Accounts!$D$404="","",[1]Accounts!$D$404)</f>
        <v/>
      </c>
      <c r="P403">
        <f>IF([2]Entry!$C$406="","",[2]Entry!$C$406)</f>
        <v/>
      </c>
      <c r="Q403">
        <f>IF([2]Entry!$D$406="","",[2]Entry!$D$406)</f>
        <v/>
      </c>
      <c r="R403">
        <f>IF([2]Entry!$E$406="","",[2]Entry!$E$406)</f>
        <v/>
      </c>
      <c r="S403">
        <f>IF([2]Entry!$G$406="","",[2]Entry!$G$406)</f>
        <v/>
      </c>
      <c r="T403">
        <f>IF([2]Entry!$J$406="","",[2]Entry!$J$406)</f>
        <v/>
      </c>
      <c r="U403">
        <f>IF([2]Entry!$K$406="","",[2]Entry!$K$406)</f>
        <v/>
      </c>
      <c r="V403">
        <f>IF([2]Entry!$L$406="","",[2]Entry!$L$406)</f>
        <v/>
      </c>
      <c r="W403">
        <f>IF([2]Entry!$M$406="","",[2]Entry!$M$406)</f>
        <v/>
      </c>
      <c r="X403">
        <f>IF([2]Entry!$N$406="","",[2]Entry!$N$406)</f>
        <v/>
      </c>
      <c r="Y403">
        <f>IF([2]Entry!$R$406="","",[2]Entry!$R$406)</f>
        <v/>
      </c>
    </row>
    <row r="404">
      <c r="J404">
        <f>IF([1]Accounts!$D$405="","",[1]Accounts!$A$405)</f>
        <v/>
      </c>
      <c r="K404">
        <f>IF([1]Accounts!$D$405="","",[1]Accounts!$B$405)</f>
        <v/>
      </c>
      <c r="L404">
        <f>IF([1]Accounts!$D$405="","",[1]Accounts!$C$405)</f>
        <v/>
      </c>
      <c r="M404">
        <f>IF([1]Accounts!$D$405="","",[1]Accounts!$D$405)</f>
        <v/>
      </c>
      <c r="P404">
        <f>IF([2]Entry!$C$407="","",[2]Entry!$C$407)</f>
        <v/>
      </c>
      <c r="Q404">
        <f>IF([2]Entry!$D$407="","",[2]Entry!$D$407)</f>
        <v/>
      </c>
      <c r="R404">
        <f>IF([2]Entry!$E$407="","",[2]Entry!$E$407)</f>
        <v/>
      </c>
      <c r="S404">
        <f>IF([2]Entry!$G$407="","",[2]Entry!$G$407)</f>
        <v/>
      </c>
      <c r="T404">
        <f>IF([2]Entry!$J$407="","",[2]Entry!$J$407)</f>
        <v/>
      </c>
      <c r="U404">
        <f>IF([2]Entry!$K$407="","",[2]Entry!$K$407)</f>
        <v/>
      </c>
      <c r="V404">
        <f>IF([2]Entry!$L$407="","",[2]Entry!$L$407)</f>
        <v/>
      </c>
      <c r="W404">
        <f>IF([2]Entry!$M$407="","",[2]Entry!$M$407)</f>
        <v/>
      </c>
      <c r="X404">
        <f>IF([2]Entry!$N$407="","",[2]Entry!$N$407)</f>
        <v/>
      </c>
      <c r="Y404">
        <f>IF([2]Entry!$R$407="","",[2]Entry!$R$407)</f>
        <v/>
      </c>
    </row>
    <row r="405">
      <c r="J405">
        <f>IF([1]Accounts!$D$406="","",[1]Accounts!$A$406)</f>
        <v/>
      </c>
      <c r="K405">
        <f>IF([1]Accounts!$D$406="","",[1]Accounts!$B$406)</f>
        <v/>
      </c>
      <c r="L405">
        <f>IF([1]Accounts!$D$406="","",[1]Accounts!$C$406)</f>
        <v/>
      </c>
      <c r="M405">
        <f>IF([1]Accounts!$D$406="","",[1]Accounts!$D$406)</f>
        <v/>
      </c>
      <c r="P405">
        <f>IF([2]Entry!$C$408="","",[2]Entry!$C$408)</f>
        <v/>
      </c>
      <c r="Q405">
        <f>IF([2]Entry!$D$408="","",[2]Entry!$D$408)</f>
        <v/>
      </c>
      <c r="R405">
        <f>IF([2]Entry!$E$408="","",[2]Entry!$E$408)</f>
        <v/>
      </c>
      <c r="S405">
        <f>IF([2]Entry!$G$408="","",[2]Entry!$G$408)</f>
        <v/>
      </c>
      <c r="T405">
        <f>IF([2]Entry!$J$408="","",[2]Entry!$J$408)</f>
        <v/>
      </c>
      <c r="U405">
        <f>IF([2]Entry!$K$408="","",[2]Entry!$K$408)</f>
        <v/>
      </c>
      <c r="V405">
        <f>IF([2]Entry!$L$408="","",[2]Entry!$L$408)</f>
        <v/>
      </c>
      <c r="W405">
        <f>IF([2]Entry!$M$408="","",[2]Entry!$M$408)</f>
        <v/>
      </c>
      <c r="X405">
        <f>IF([2]Entry!$N$408="","",[2]Entry!$N$408)</f>
        <v/>
      </c>
      <c r="Y405">
        <f>IF([2]Entry!$R$408="","",[2]Entry!$R$408)</f>
        <v/>
      </c>
    </row>
    <row r="406">
      <c r="J406">
        <f>IF([1]Accounts!$D$407="","",[1]Accounts!$A$407)</f>
        <v/>
      </c>
      <c r="K406">
        <f>IF([1]Accounts!$D$407="","",[1]Accounts!$B$407)</f>
        <v/>
      </c>
      <c r="L406">
        <f>IF([1]Accounts!$D$407="","",[1]Accounts!$C$407)</f>
        <v/>
      </c>
      <c r="M406">
        <f>IF([1]Accounts!$D$407="","",[1]Accounts!$D$407)</f>
        <v/>
      </c>
      <c r="P406">
        <f>IF([2]Entry!$C$409="","",[2]Entry!$C$409)</f>
        <v/>
      </c>
      <c r="Q406">
        <f>IF([2]Entry!$D$409="","",[2]Entry!$D$409)</f>
        <v/>
      </c>
      <c r="R406">
        <f>IF([2]Entry!$E$409="","",[2]Entry!$E$409)</f>
        <v/>
      </c>
      <c r="S406">
        <f>IF([2]Entry!$G$409="","",[2]Entry!$G$409)</f>
        <v/>
      </c>
      <c r="T406">
        <f>IF([2]Entry!$J$409="","",[2]Entry!$J$409)</f>
        <v/>
      </c>
      <c r="U406">
        <f>IF([2]Entry!$K$409="","",[2]Entry!$K$409)</f>
        <v/>
      </c>
      <c r="V406">
        <f>IF([2]Entry!$L$409="","",[2]Entry!$L$409)</f>
        <v/>
      </c>
      <c r="W406">
        <f>IF([2]Entry!$M$409="","",[2]Entry!$M$409)</f>
        <v/>
      </c>
      <c r="X406">
        <f>IF([2]Entry!$N$409="","",[2]Entry!$N$409)</f>
        <v/>
      </c>
      <c r="Y406">
        <f>IF([2]Entry!$R$409="","",[2]Entry!$R$409)</f>
        <v/>
      </c>
    </row>
    <row r="407">
      <c r="J407">
        <f>IF([1]Accounts!$D$408="","",[1]Accounts!$A$408)</f>
        <v/>
      </c>
      <c r="K407">
        <f>IF([1]Accounts!$D$408="","",[1]Accounts!$B$408)</f>
        <v/>
      </c>
      <c r="L407">
        <f>IF([1]Accounts!$D$408="","",[1]Accounts!$C$408)</f>
        <v/>
      </c>
      <c r="M407">
        <f>IF([1]Accounts!$D$408="","",[1]Accounts!$D$408)</f>
        <v/>
      </c>
      <c r="P407">
        <f>IF([2]Entry!$C$410="","",[2]Entry!$C$410)</f>
        <v/>
      </c>
      <c r="Q407">
        <f>IF([2]Entry!$D$410="","",[2]Entry!$D$410)</f>
        <v/>
      </c>
      <c r="R407">
        <f>IF([2]Entry!$E$410="","",[2]Entry!$E$410)</f>
        <v/>
      </c>
      <c r="S407">
        <f>IF([2]Entry!$G$410="","",[2]Entry!$G$410)</f>
        <v/>
      </c>
      <c r="T407">
        <f>IF([2]Entry!$J$410="","",[2]Entry!$J$410)</f>
        <v/>
      </c>
      <c r="U407">
        <f>IF([2]Entry!$K$410="","",[2]Entry!$K$410)</f>
        <v/>
      </c>
      <c r="V407">
        <f>IF([2]Entry!$L$410="","",[2]Entry!$L$410)</f>
        <v/>
      </c>
      <c r="W407">
        <f>IF([2]Entry!$M$410="","",[2]Entry!$M$410)</f>
        <v/>
      </c>
      <c r="X407">
        <f>IF([2]Entry!$N$410="","",[2]Entry!$N$410)</f>
        <v/>
      </c>
      <c r="Y407">
        <f>IF([2]Entry!$R$410="","",[2]Entry!$R$410)</f>
        <v/>
      </c>
    </row>
    <row r="408">
      <c r="J408">
        <f>IF([1]Accounts!$D$409="","",[1]Accounts!$A$409)</f>
        <v/>
      </c>
      <c r="K408">
        <f>IF([1]Accounts!$D$409="","",[1]Accounts!$B$409)</f>
        <v/>
      </c>
      <c r="L408">
        <f>IF([1]Accounts!$D$409="","",[1]Accounts!$C$409)</f>
        <v/>
      </c>
      <c r="M408">
        <f>IF([1]Accounts!$D$409="","",[1]Accounts!$D$409)</f>
        <v/>
      </c>
      <c r="P408">
        <f>IF([2]Entry!$C$411="","",[2]Entry!$C$411)</f>
        <v/>
      </c>
      <c r="Q408">
        <f>IF([2]Entry!$D$411="","",[2]Entry!$D$411)</f>
        <v/>
      </c>
      <c r="R408">
        <f>IF([2]Entry!$E$411="","",[2]Entry!$E$411)</f>
        <v/>
      </c>
      <c r="S408">
        <f>IF([2]Entry!$G$411="","",[2]Entry!$G$411)</f>
        <v/>
      </c>
      <c r="T408">
        <f>IF([2]Entry!$J$411="","",[2]Entry!$J$411)</f>
        <v/>
      </c>
      <c r="U408">
        <f>IF([2]Entry!$K$411="","",[2]Entry!$K$411)</f>
        <v/>
      </c>
      <c r="V408">
        <f>IF([2]Entry!$L$411="","",[2]Entry!$L$411)</f>
        <v/>
      </c>
      <c r="W408">
        <f>IF([2]Entry!$M$411="","",[2]Entry!$M$411)</f>
        <v/>
      </c>
      <c r="X408">
        <f>IF([2]Entry!$N$411="","",[2]Entry!$N$411)</f>
        <v/>
      </c>
      <c r="Y408">
        <f>IF([2]Entry!$R$411="","",[2]Entry!$R$411)</f>
        <v/>
      </c>
    </row>
    <row r="409">
      <c r="J409">
        <f>IF([1]Accounts!$D$410="","",[1]Accounts!$A$410)</f>
        <v/>
      </c>
      <c r="K409">
        <f>IF([1]Accounts!$D$410="","",[1]Accounts!$B$410)</f>
        <v/>
      </c>
      <c r="L409">
        <f>IF([1]Accounts!$D$410="","",[1]Accounts!$C$410)</f>
        <v/>
      </c>
      <c r="M409">
        <f>IF([1]Accounts!$D$410="","",[1]Accounts!$D$410)</f>
        <v/>
      </c>
      <c r="P409">
        <f>IF([2]Entry!$C$412="","",[2]Entry!$C$412)</f>
        <v/>
      </c>
      <c r="Q409">
        <f>IF([2]Entry!$D$412="","",[2]Entry!$D$412)</f>
        <v/>
      </c>
      <c r="R409">
        <f>IF([2]Entry!$E$412="","",[2]Entry!$E$412)</f>
        <v/>
      </c>
      <c r="S409">
        <f>IF([2]Entry!$G$412="","",[2]Entry!$G$412)</f>
        <v/>
      </c>
      <c r="T409">
        <f>IF([2]Entry!$J$412="","",[2]Entry!$J$412)</f>
        <v/>
      </c>
      <c r="U409">
        <f>IF([2]Entry!$K$412="","",[2]Entry!$K$412)</f>
        <v/>
      </c>
      <c r="V409">
        <f>IF([2]Entry!$L$412="","",[2]Entry!$L$412)</f>
        <v/>
      </c>
      <c r="W409">
        <f>IF([2]Entry!$M$412="","",[2]Entry!$M$412)</f>
        <v/>
      </c>
      <c r="X409">
        <f>IF([2]Entry!$N$412="","",[2]Entry!$N$412)</f>
        <v/>
      </c>
      <c r="Y409">
        <f>IF([2]Entry!$R$412="","",[2]Entry!$R$412)</f>
        <v/>
      </c>
    </row>
    <row r="410">
      <c r="J410">
        <f>IF([1]Accounts!$D$411="","",[1]Accounts!$A$411)</f>
        <v/>
      </c>
      <c r="K410">
        <f>IF([1]Accounts!$D$411="","",[1]Accounts!$B$411)</f>
        <v/>
      </c>
      <c r="L410">
        <f>IF([1]Accounts!$D$411="","",[1]Accounts!$C$411)</f>
        <v/>
      </c>
      <c r="M410">
        <f>IF([1]Accounts!$D$411="","",[1]Accounts!$D$411)</f>
        <v/>
      </c>
      <c r="P410">
        <f>IF([2]Entry!$C$413="","",[2]Entry!$C$413)</f>
        <v/>
      </c>
      <c r="Q410">
        <f>IF([2]Entry!$D$413="","",[2]Entry!$D$413)</f>
        <v/>
      </c>
      <c r="R410">
        <f>IF([2]Entry!$E$413="","",[2]Entry!$E$413)</f>
        <v/>
      </c>
      <c r="S410">
        <f>IF([2]Entry!$G$413="","",[2]Entry!$G$413)</f>
        <v/>
      </c>
      <c r="T410">
        <f>IF([2]Entry!$J$413="","",[2]Entry!$J$413)</f>
        <v/>
      </c>
      <c r="U410">
        <f>IF([2]Entry!$K$413="","",[2]Entry!$K$413)</f>
        <v/>
      </c>
      <c r="V410">
        <f>IF([2]Entry!$L$413="","",[2]Entry!$L$413)</f>
        <v/>
      </c>
      <c r="W410">
        <f>IF([2]Entry!$M$413="","",[2]Entry!$M$413)</f>
        <v/>
      </c>
      <c r="X410">
        <f>IF([2]Entry!$N$413="","",[2]Entry!$N$413)</f>
        <v/>
      </c>
      <c r="Y410">
        <f>IF([2]Entry!$R$413="","",[2]Entry!$R$413)</f>
        <v/>
      </c>
    </row>
    <row r="411">
      <c r="J411">
        <f>IF([1]Accounts!$D$412="","",[1]Accounts!$A$412)</f>
        <v/>
      </c>
      <c r="K411">
        <f>IF([1]Accounts!$D$412="","",[1]Accounts!$B$412)</f>
        <v/>
      </c>
      <c r="L411">
        <f>IF([1]Accounts!$D$412="","",[1]Accounts!$C$412)</f>
        <v/>
      </c>
      <c r="M411">
        <f>IF([1]Accounts!$D$412="","",[1]Accounts!$D$412)</f>
        <v/>
      </c>
      <c r="P411">
        <f>IF([2]Entry!$C$414="","",[2]Entry!$C$414)</f>
        <v/>
      </c>
      <c r="Q411">
        <f>IF([2]Entry!$D$414="","",[2]Entry!$D$414)</f>
        <v/>
      </c>
      <c r="R411">
        <f>IF([2]Entry!$E$414="","",[2]Entry!$E$414)</f>
        <v/>
      </c>
      <c r="S411">
        <f>IF([2]Entry!$G$414="","",[2]Entry!$G$414)</f>
        <v/>
      </c>
      <c r="T411">
        <f>IF([2]Entry!$J$414="","",[2]Entry!$J$414)</f>
        <v/>
      </c>
      <c r="U411">
        <f>IF([2]Entry!$K$414="","",[2]Entry!$K$414)</f>
        <v/>
      </c>
      <c r="V411">
        <f>IF([2]Entry!$L$414="","",[2]Entry!$L$414)</f>
        <v/>
      </c>
      <c r="W411">
        <f>IF([2]Entry!$M$414="","",[2]Entry!$M$414)</f>
        <v/>
      </c>
      <c r="X411">
        <f>IF([2]Entry!$N$414="","",[2]Entry!$N$414)</f>
        <v/>
      </c>
      <c r="Y411">
        <f>IF([2]Entry!$R$414="","",[2]Entry!$R$414)</f>
        <v/>
      </c>
    </row>
    <row r="412">
      <c r="J412">
        <f>IF([1]Accounts!$D$413="","",[1]Accounts!$A$413)</f>
        <v/>
      </c>
      <c r="K412">
        <f>IF([1]Accounts!$D$413="","",[1]Accounts!$B$413)</f>
        <v/>
      </c>
      <c r="L412">
        <f>IF([1]Accounts!$D$413="","",[1]Accounts!$C$413)</f>
        <v/>
      </c>
      <c r="M412">
        <f>IF([1]Accounts!$D$413="","",[1]Accounts!$D$413)</f>
        <v/>
      </c>
      <c r="P412">
        <f>IF([2]Entry!$C$415="","",[2]Entry!$C$415)</f>
        <v/>
      </c>
      <c r="Q412">
        <f>IF([2]Entry!$D$415="","",[2]Entry!$D$415)</f>
        <v/>
      </c>
      <c r="R412">
        <f>IF([2]Entry!$E$415="","",[2]Entry!$E$415)</f>
        <v/>
      </c>
      <c r="S412">
        <f>IF([2]Entry!$G$415="","",[2]Entry!$G$415)</f>
        <v/>
      </c>
      <c r="T412">
        <f>IF([2]Entry!$J$415="","",[2]Entry!$J$415)</f>
        <v/>
      </c>
      <c r="U412">
        <f>IF([2]Entry!$K$415="","",[2]Entry!$K$415)</f>
        <v/>
      </c>
      <c r="V412">
        <f>IF([2]Entry!$L$415="","",[2]Entry!$L$415)</f>
        <v/>
      </c>
      <c r="W412">
        <f>IF([2]Entry!$M$415="","",[2]Entry!$M$415)</f>
        <v/>
      </c>
      <c r="X412">
        <f>IF([2]Entry!$N$415="","",[2]Entry!$N$415)</f>
        <v/>
      </c>
      <c r="Y412">
        <f>IF([2]Entry!$R$415="","",[2]Entry!$R$415)</f>
        <v/>
      </c>
    </row>
    <row r="413">
      <c r="J413">
        <f>IF([1]Accounts!$D$414="","",[1]Accounts!$A$414)</f>
        <v/>
      </c>
      <c r="K413">
        <f>IF([1]Accounts!$D$414="","",[1]Accounts!$B$414)</f>
        <v/>
      </c>
      <c r="L413">
        <f>IF([1]Accounts!$D$414="","",[1]Accounts!$C$414)</f>
        <v/>
      </c>
      <c r="M413">
        <f>IF([1]Accounts!$D$414="","",[1]Accounts!$D$414)</f>
        <v/>
      </c>
      <c r="P413">
        <f>IF([2]Entry!$C$416="","",[2]Entry!$C$416)</f>
        <v/>
      </c>
      <c r="Q413">
        <f>IF([2]Entry!$D$416="","",[2]Entry!$D$416)</f>
        <v/>
      </c>
      <c r="R413">
        <f>IF([2]Entry!$E$416="","",[2]Entry!$E$416)</f>
        <v/>
      </c>
      <c r="S413">
        <f>IF([2]Entry!$G$416="","",[2]Entry!$G$416)</f>
        <v/>
      </c>
      <c r="T413">
        <f>IF([2]Entry!$J$416="","",[2]Entry!$J$416)</f>
        <v/>
      </c>
      <c r="U413">
        <f>IF([2]Entry!$K$416="","",[2]Entry!$K$416)</f>
        <v/>
      </c>
      <c r="V413">
        <f>IF([2]Entry!$L$416="","",[2]Entry!$L$416)</f>
        <v/>
      </c>
      <c r="W413">
        <f>IF([2]Entry!$M$416="","",[2]Entry!$M$416)</f>
        <v/>
      </c>
      <c r="X413">
        <f>IF([2]Entry!$N$416="","",[2]Entry!$N$416)</f>
        <v/>
      </c>
      <c r="Y413">
        <f>IF([2]Entry!$R$416="","",[2]Entry!$R$416)</f>
        <v/>
      </c>
    </row>
    <row r="414">
      <c r="J414">
        <f>IF([1]Accounts!$D$415="","",[1]Accounts!$A$415)</f>
        <v/>
      </c>
      <c r="K414">
        <f>IF([1]Accounts!$D$415="","",[1]Accounts!$B$415)</f>
        <v/>
      </c>
      <c r="L414">
        <f>IF([1]Accounts!$D$415="","",[1]Accounts!$C$415)</f>
        <v/>
      </c>
      <c r="M414">
        <f>IF([1]Accounts!$D$415="","",[1]Accounts!$D$415)</f>
        <v/>
      </c>
      <c r="P414">
        <f>IF([2]Entry!$C$417="","",[2]Entry!$C$417)</f>
        <v/>
      </c>
      <c r="Q414">
        <f>IF([2]Entry!$D$417="","",[2]Entry!$D$417)</f>
        <v/>
      </c>
      <c r="R414">
        <f>IF([2]Entry!$E$417="","",[2]Entry!$E$417)</f>
        <v/>
      </c>
      <c r="S414">
        <f>IF([2]Entry!$G$417="","",[2]Entry!$G$417)</f>
        <v/>
      </c>
      <c r="T414">
        <f>IF([2]Entry!$J$417="","",[2]Entry!$J$417)</f>
        <v/>
      </c>
      <c r="U414">
        <f>IF([2]Entry!$K$417="","",[2]Entry!$K$417)</f>
        <v/>
      </c>
      <c r="V414">
        <f>IF([2]Entry!$L$417="","",[2]Entry!$L$417)</f>
        <v/>
      </c>
      <c r="W414">
        <f>IF([2]Entry!$M$417="","",[2]Entry!$M$417)</f>
        <v/>
      </c>
      <c r="X414">
        <f>IF([2]Entry!$N$417="","",[2]Entry!$N$417)</f>
        <v/>
      </c>
      <c r="Y414">
        <f>IF([2]Entry!$R$417="","",[2]Entry!$R$417)</f>
        <v/>
      </c>
    </row>
    <row r="415">
      <c r="J415">
        <f>IF([1]Accounts!$D$416="","",[1]Accounts!$A$416)</f>
        <v/>
      </c>
      <c r="K415">
        <f>IF([1]Accounts!$D$416="","",[1]Accounts!$B$416)</f>
        <v/>
      </c>
      <c r="L415">
        <f>IF([1]Accounts!$D$416="","",[1]Accounts!$C$416)</f>
        <v/>
      </c>
      <c r="M415">
        <f>IF([1]Accounts!$D$416="","",[1]Accounts!$D$416)</f>
        <v/>
      </c>
      <c r="P415">
        <f>IF([2]Entry!$C$418="","",[2]Entry!$C$418)</f>
        <v/>
      </c>
      <c r="Q415">
        <f>IF([2]Entry!$D$418="","",[2]Entry!$D$418)</f>
        <v/>
      </c>
      <c r="R415">
        <f>IF([2]Entry!$E$418="","",[2]Entry!$E$418)</f>
        <v/>
      </c>
      <c r="S415">
        <f>IF([2]Entry!$G$418="","",[2]Entry!$G$418)</f>
        <v/>
      </c>
      <c r="T415">
        <f>IF([2]Entry!$J$418="","",[2]Entry!$J$418)</f>
        <v/>
      </c>
      <c r="U415">
        <f>IF([2]Entry!$K$418="","",[2]Entry!$K$418)</f>
        <v/>
      </c>
      <c r="V415">
        <f>IF([2]Entry!$L$418="","",[2]Entry!$L$418)</f>
        <v/>
      </c>
      <c r="W415">
        <f>IF([2]Entry!$M$418="","",[2]Entry!$M$418)</f>
        <v/>
      </c>
      <c r="X415">
        <f>IF([2]Entry!$N$418="","",[2]Entry!$N$418)</f>
        <v/>
      </c>
      <c r="Y415">
        <f>IF([2]Entry!$R$418="","",[2]Entry!$R$418)</f>
        <v/>
      </c>
    </row>
    <row r="416">
      <c r="J416">
        <f>IF([1]Accounts!$D$417="","",[1]Accounts!$A$417)</f>
        <v/>
      </c>
      <c r="K416">
        <f>IF([1]Accounts!$D$417="","",[1]Accounts!$B$417)</f>
        <v/>
      </c>
      <c r="L416">
        <f>IF([1]Accounts!$D$417="","",[1]Accounts!$C$417)</f>
        <v/>
      </c>
      <c r="M416">
        <f>IF([1]Accounts!$D$417="","",[1]Accounts!$D$417)</f>
        <v/>
      </c>
      <c r="P416">
        <f>IF([2]Entry!$C$419="","",[2]Entry!$C$419)</f>
        <v/>
      </c>
      <c r="Q416">
        <f>IF([2]Entry!$D$419="","",[2]Entry!$D$419)</f>
        <v/>
      </c>
      <c r="R416">
        <f>IF([2]Entry!$E$419="","",[2]Entry!$E$419)</f>
        <v/>
      </c>
      <c r="S416">
        <f>IF([2]Entry!$G$419="","",[2]Entry!$G$419)</f>
        <v/>
      </c>
      <c r="T416">
        <f>IF([2]Entry!$J$419="","",[2]Entry!$J$419)</f>
        <v/>
      </c>
      <c r="U416">
        <f>IF([2]Entry!$K$419="","",[2]Entry!$K$419)</f>
        <v/>
      </c>
      <c r="V416">
        <f>IF([2]Entry!$L$419="","",[2]Entry!$L$419)</f>
        <v/>
      </c>
      <c r="W416">
        <f>IF([2]Entry!$M$419="","",[2]Entry!$M$419)</f>
        <v/>
      </c>
      <c r="X416">
        <f>IF([2]Entry!$N$419="","",[2]Entry!$N$419)</f>
        <v/>
      </c>
      <c r="Y416">
        <f>IF([2]Entry!$R$419="","",[2]Entry!$R$419)</f>
        <v/>
      </c>
    </row>
    <row r="417">
      <c r="J417">
        <f>IF([1]Accounts!$D$418="","",[1]Accounts!$A$418)</f>
        <v/>
      </c>
      <c r="K417">
        <f>IF([1]Accounts!$D$418="","",[1]Accounts!$B$418)</f>
        <v/>
      </c>
      <c r="L417">
        <f>IF([1]Accounts!$D$418="","",[1]Accounts!$C$418)</f>
        <v/>
      </c>
      <c r="M417">
        <f>IF([1]Accounts!$D$418="","",[1]Accounts!$D$418)</f>
        <v/>
      </c>
      <c r="P417">
        <f>IF([2]Entry!$C$420="","",[2]Entry!$C$420)</f>
        <v/>
      </c>
      <c r="Q417">
        <f>IF([2]Entry!$D$420="","",[2]Entry!$D$420)</f>
        <v/>
      </c>
      <c r="R417">
        <f>IF([2]Entry!$E$420="","",[2]Entry!$E$420)</f>
        <v/>
      </c>
      <c r="S417">
        <f>IF([2]Entry!$G$420="","",[2]Entry!$G$420)</f>
        <v/>
      </c>
      <c r="T417">
        <f>IF([2]Entry!$J$420="","",[2]Entry!$J$420)</f>
        <v/>
      </c>
      <c r="U417">
        <f>IF([2]Entry!$K$420="","",[2]Entry!$K$420)</f>
        <v/>
      </c>
      <c r="V417">
        <f>IF([2]Entry!$L$420="","",[2]Entry!$L$420)</f>
        <v/>
      </c>
      <c r="W417">
        <f>IF([2]Entry!$M$420="","",[2]Entry!$M$420)</f>
        <v/>
      </c>
      <c r="X417">
        <f>IF([2]Entry!$N$420="","",[2]Entry!$N$420)</f>
        <v/>
      </c>
      <c r="Y417">
        <f>IF([2]Entry!$R$420="","",[2]Entry!$R$420)</f>
        <v/>
      </c>
    </row>
    <row r="418">
      <c r="J418">
        <f>IF([1]Accounts!$D$419="","",[1]Accounts!$A$419)</f>
        <v/>
      </c>
      <c r="K418">
        <f>IF([1]Accounts!$D$419="","",[1]Accounts!$B$419)</f>
        <v/>
      </c>
      <c r="L418">
        <f>IF([1]Accounts!$D$419="","",[1]Accounts!$C$419)</f>
        <v/>
      </c>
      <c r="M418">
        <f>IF([1]Accounts!$D$419="","",[1]Accounts!$D$419)</f>
        <v/>
      </c>
      <c r="P418">
        <f>IF([2]Entry!$C$421="","",[2]Entry!$C$421)</f>
        <v/>
      </c>
      <c r="Q418">
        <f>IF([2]Entry!$D$421="","",[2]Entry!$D$421)</f>
        <v/>
      </c>
      <c r="R418">
        <f>IF([2]Entry!$E$421="","",[2]Entry!$E$421)</f>
        <v/>
      </c>
      <c r="S418">
        <f>IF([2]Entry!$G$421="","",[2]Entry!$G$421)</f>
        <v/>
      </c>
      <c r="T418">
        <f>IF([2]Entry!$J$421="","",[2]Entry!$J$421)</f>
        <v/>
      </c>
      <c r="U418">
        <f>IF([2]Entry!$K$421="","",[2]Entry!$K$421)</f>
        <v/>
      </c>
      <c r="V418">
        <f>IF([2]Entry!$L$421="","",[2]Entry!$L$421)</f>
        <v/>
      </c>
      <c r="W418">
        <f>IF([2]Entry!$M$421="","",[2]Entry!$M$421)</f>
        <v/>
      </c>
      <c r="X418">
        <f>IF([2]Entry!$N$421="","",[2]Entry!$N$421)</f>
        <v/>
      </c>
      <c r="Y418">
        <f>IF([2]Entry!$R$421="","",[2]Entry!$R$421)</f>
        <v/>
      </c>
    </row>
    <row r="419">
      <c r="J419">
        <f>IF([1]Accounts!$D$420="","",[1]Accounts!$A$420)</f>
        <v/>
      </c>
      <c r="K419">
        <f>IF([1]Accounts!$D$420="","",[1]Accounts!$B$420)</f>
        <v/>
      </c>
      <c r="L419">
        <f>IF([1]Accounts!$D$420="","",[1]Accounts!$C$420)</f>
        <v/>
      </c>
      <c r="M419">
        <f>IF([1]Accounts!$D$420="","",[1]Accounts!$D$420)</f>
        <v/>
      </c>
      <c r="P419">
        <f>IF([2]Entry!$C$422="","",[2]Entry!$C$422)</f>
        <v/>
      </c>
      <c r="Q419">
        <f>IF([2]Entry!$D$422="","",[2]Entry!$D$422)</f>
        <v/>
      </c>
      <c r="R419">
        <f>IF([2]Entry!$E$422="","",[2]Entry!$E$422)</f>
        <v/>
      </c>
      <c r="S419">
        <f>IF([2]Entry!$G$422="","",[2]Entry!$G$422)</f>
        <v/>
      </c>
      <c r="T419">
        <f>IF([2]Entry!$J$422="","",[2]Entry!$J$422)</f>
        <v/>
      </c>
      <c r="U419">
        <f>IF([2]Entry!$K$422="","",[2]Entry!$K$422)</f>
        <v/>
      </c>
      <c r="V419">
        <f>IF([2]Entry!$L$422="","",[2]Entry!$L$422)</f>
        <v/>
      </c>
      <c r="W419">
        <f>IF([2]Entry!$M$422="","",[2]Entry!$M$422)</f>
        <v/>
      </c>
      <c r="X419">
        <f>IF([2]Entry!$N$422="","",[2]Entry!$N$422)</f>
        <v/>
      </c>
      <c r="Y419">
        <f>IF([2]Entry!$R$422="","",[2]Entry!$R$422)</f>
        <v/>
      </c>
    </row>
    <row r="420">
      <c r="J420">
        <f>IF([1]Accounts!$D$421="","",[1]Accounts!$A$421)</f>
        <v/>
      </c>
      <c r="K420">
        <f>IF([1]Accounts!$D$421="","",[1]Accounts!$B$421)</f>
        <v/>
      </c>
      <c r="L420">
        <f>IF([1]Accounts!$D$421="","",[1]Accounts!$C$421)</f>
        <v/>
      </c>
      <c r="M420">
        <f>IF([1]Accounts!$D$421="","",[1]Accounts!$D$421)</f>
        <v/>
      </c>
      <c r="P420">
        <f>IF([2]Entry!$C$423="","",[2]Entry!$C$423)</f>
        <v/>
      </c>
      <c r="Q420">
        <f>IF([2]Entry!$D$423="","",[2]Entry!$D$423)</f>
        <v/>
      </c>
      <c r="R420">
        <f>IF([2]Entry!$E$423="","",[2]Entry!$E$423)</f>
        <v/>
      </c>
      <c r="S420">
        <f>IF([2]Entry!$G$423="","",[2]Entry!$G$423)</f>
        <v/>
      </c>
      <c r="T420">
        <f>IF([2]Entry!$J$423="","",[2]Entry!$J$423)</f>
        <v/>
      </c>
      <c r="U420">
        <f>IF([2]Entry!$K$423="","",[2]Entry!$K$423)</f>
        <v/>
      </c>
      <c r="V420">
        <f>IF([2]Entry!$L$423="","",[2]Entry!$L$423)</f>
        <v/>
      </c>
      <c r="W420">
        <f>IF([2]Entry!$M$423="","",[2]Entry!$M$423)</f>
        <v/>
      </c>
      <c r="X420">
        <f>IF([2]Entry!$N$423="","",[2]Entry!$N$423)</f>
        <v/>
      </c>
      <c r="Y420">
        <f>IF([2]Entry!$R$423="","",[2]Entry!$R$423)</f>
        <v/>
      </c>
    </row>
    <row r="421">
      <c r="J421">
        <f>IF([1]Accounts!$D$422="","",[1]Accounts!$A$422)</f>
        <v/>
      </c>
      <c r="K421">
        <f>IF([1]Accounts!$D$422="","",[1]Accounts!$B$422)</f>
        <v/>
      </c>
      <c r="L421">
        <f>IF([1]Accounts!$D$422="","",[1]Accounts!$C$422)</f>
        <v/>
      </c>
      <c r="M421">
        <f>IF([1]Accounts!$D$422="","",[1]Accounts!$D$422)</f>
        <v/>
      </c>
      <c r="P421">
        <f>IF([2]Entry!$C$424="","",[2]Entry!$C$424)</f>
        <v/>
      </c>
      <c r="Q421">
        <f>IF([2]Entry!$D$424="","",[2]Entry!$D$424)</f>
        <v/>
      </c>
      <c r="R421">
        <f>IF([2]Entry!$E$424="","",[2]Entry!$E$424)</f>
        <v/>
      </c>
      <c r="S421">
        <f>IF([2]Entry!$G$424="","",[2]Entry!$G$424)</f>
        <v/>
      </c>
      <c r="T421">
        <f>IF([2]Entry!$J$424="","",[2]Entry!$J$424)</f>
        <v/>
      </c>
      <c r="U421">
        <f>IF([2]Entry!$K$424="","",[2]Entry!$K$424)</f>
        <v/>
      </c>
      <c r="V421">
        <f>IF([2]Entry!$L$424="","",[2]Entry!$L$424)</f>
        <v/>
      </c>
      <c r="W421">
        <f>IF([2]Entry!$M$424="","",[2]Entry!$M$424)</f>
        <v/>
      </c>
      <c r="X421">
        <f>IF([2]Entry!$N$424="","",[2]Entry!$N$424)</f>
        <v/>
      </c>
      <c r="Y421">
        <f>IF([2]Entry!$R$424="","",[2]Entry!$R$424)</f>
        <v/>
      </c>
    </row>
    <row r="422">
      <c r="J422">
        <f>IF([1]Accounts!$D$423="","",[1]Accounts!$A$423)</f>
        <v/>
      </c>
      <c r="K422">
        <f>IF([1]Accounts!$D$423="","",[1]Accounts!$B$423)</f>
        <v/>
      </c>
      <c r="L422">
        <f>IF([1]Accounts!$D$423="","",[1]Accounts!$C$423)</f>
        <v/>
      </c>
      <c r="M422">
        <f>IF([1]Accounts!$D$423="","",[1]Accounts!$D$423)</f>
        <v/>
      </c>
      <c r="P422">
        <f>IF([2]Entry!$C$425="","",[2]Entry!$C$425)</f>
        <v/>
      </c>
      <c r="Q422">
        <f>IF([2]Entry!$D$425="","",[2]Entry!$D$425)</f>
        <v/>
      </c>
      <c r="R422">
        <f>IF([2]Entry!$E$425="","",[2]Entry!$E$425)</f>
        <v/>
      </c>
      <c r="S422">
        <f>IF([2]Entry!$G$425="","",[2]Entry!$G$425)</f>
        <v/>
      </c>
      <c r="T422">
        <f>IF([2]Entry!$J$425="","",[2]Entry!$J$425)</f>
        <v/>
      </c>
      <c r="U422">
        <f>IF([2]Entry!$K$425="","",[2]Entry!$K$425)</f>
        <v/>
      </c>
      <c r="V422">
        <f>IF([2]Entry!$L$425="","",[2]Entry!$L$425)</f>
        <v/>
      </c>
      <c r="W422">
        <f>IF([2]Entry!$M$425="","",[2]Entry!$M$425)</f>
        <v/>
      </c>
      <c r="X422">
        <f>IF([2]Entry!$N$425="","",[2]Entry!$N$425)</f>
        <v/>
      </c>
      <c r="Y422">
        <f>IF([2]Entry!$R$425="","",[2]Entry!$R$425)</f>
        <v/>
      </c>
    </row>
    <row r="423">
      <c r="J423">
        <f>IF([1]Accounts!$D$424="","",[1]Accounts!$A$424)</f>
        <v/>
      </c>
      <c r="K423">
        <f>IF([1]Accounts!$D$424="","",[1]Accounts!$B$424)</f>
        <v/>
      </c>
      <c r="L423">
        <f>IF([1]Accounts!$D$424="","",[1]Accounts!$C$424)</f>
        <v/>
      </c>
      <c r="M423">
        <f>IF([1]Accounts!$D$424="","",[1]Accounts!$D$424)</f>
        <v/>
      </c>
      <c r="P423">
        <f>IF([2]Entry!$C$426="","",[2]Entry!$C$426)</f>
        <v/>
      </c>
      <c r="Q423">
        <f>IF([2]Entry!$D$426="","",[2]Entry!$D$426)</f>
        <v/>
      </c>
      <c r="R423">
        <f>IF([2]Entry!$E$426="","",[2]Entry!$E$426)</f>
        <v/>
      </c>
      <c r="S423">
        <f>IF([2]Entry!$G$426="","",[2]Entry!$G$426)</f>
        <v/>
      </c>
      <c r="T423">
        <f>IF([2]Entry!$J$426="","",[2]Entry!$J$426)</f>
        <v/>
      </c>
      <c r="U423">
        <f>IF([2]Entry!$K$426="","",[2]Entry!$K$426)</f>
        <v/>
      </c>
      <c r="V423">
        <f>IF([2]Entry!$L$426="","",[2]Entry!$L$426)</f>
        <v/>
      </c>
      <c r="W423">
        <f>IF([2]Entry!$M$426="","",[2]Entry!$M$426)</f>
        <v/>
      </c>
      <c r="X423">
        <f>IF([2]Entry!$N$426="","",[2]Entry!$N$426)</f>
        <v/>
      </c>
      <c r="Y423">
        <f>IF([2]Entry!$R$426="","",[2]Entry!$R$426)</f>
        <v/>
      </c>
    </row>
    <row r="424">
      <c r="J424">
        <f>IF([1]Accounts!$D$425="","",[1]Accounts!$A$425)</f>
        <v/>
      </c>
      <c r="K424">
        <f>IF([1]Accounts!$D$425="","",[1]Accounts!$B$425)</f>
        <v/>
      </c>
      <c r="L424">
        <f>IF([1]Accounts!$D$425="","",[1]Accounts!$C$425)</f>
        <v/>
      </c>
      <c r="M424">
        <f>IF([1]Accounts!$D$425="","",[1]Accounts!$D$425)</f>
        <v/>
      </c>
      <c r="P424">
        <f>IF([2]Entry!$C$427="","",[2]Entry!$C$427)</f>
        <v/>
      </c>
      <c r="Q424">
        <f>IF([2]Entry!$D$427="","",[2]Entry!$D$427)</f>
        <v/>
      </c>
      <c r="R424">
        <f>IF([2]Entry!$E$427="","",[2]Entry!$E$427)</f>
        <v/>
      </c>
      <c r="S424">
        <f>IF([2]Entry!$G$427="","",[2]Entry!$G$427)</f>
        <v/>
      </c>
      <c r="T424">
        <f>IF([2]Entry!$J$427="","",[2]Entry!$J$427)</f>
        <v/>
      </c>
      <c r="U424">
        <f>IF([2]Entry!$K$427="","",[2]Entry!$K$427)</f>
        <v/>
      </c>
      <c r="V424">
        <f>IF([2]Entry!$L$427="","",[2]Entry!$L$427)</f>
        <v/>
      </c>
      <c r="W424">
        <f>IF([2]Entry!$M$427="","",[2]Entry!$M$427)</f>
        <v/>
      </c>
      <c r="X424">
        <f>IF([2]Entry!$N$427="","",[2]Entry!$N$427)</f>
        <v/>
      </c>
      <c r="Y424">
        <f>IF([2]Entry!$R$427="","",[2]Entry!$R$427)</f>
        <v/>
      </c>
    </row>
    <row r="425">
      <c r="J425">
        <f>IF([1]Accounts!$D$426="","",[1]Accounts!$A$426)</f>
        <v/>
      </c>
      <c r="K425">
        <f>IF([1]Accounts!$D$426="","",[1]Accounts!$B$426)</f>
        <v/>
      </c>
      <c r="L425">
        <f>IF([1]Accounts!$D$426="","",[1]Accounts!$C$426)</f>
        <v/>
      </c>
      <c r="M425">
        <f>IF([1]Accounts!$D$426="","",[1]Accounts!$D$426)</f>
        <v/>
      </c>
      <c r="P425">
        <f>IF([2]Entry!$C$428="","",[2]Entry!$C$428)</f>
        <v/>
      </c>
      <c r="Q425">
        <f>IF([2]Entry!$D$428="","",[2]Entry!$D$428)</f>
        <v/>
      </c>
      <c r="R425">
        <f>IF([2]Entry!$E$428="","",[2]Entry!$E$428)</f>
        <v/>
      </c>
      <c r="S425">
        <f>IF([2]Entry!$G$428="","",[2]Entry!$G$428)</f>
        <v/>
      </c>
      <c r="T425">
        <f>IF([2]Entry!$J$428="","",[2]Entry!$J$428)</f>
        <v/>
      </c>
      <c r="U425">
        <f>IF([2]Entry!$K$428="","",[2]Entry!$K$428)</f>
        <v/>
      </c>
      <c r="V425">
        <f>IF([2]Entry!$L$428="","",[2]Entry!$L$428)</f>
        <v/>
      </c>
      <c r="W425">
        <f>IF([2]Entry!$M$428="","",[2]Entry!$M$428)</f>
        <v/>
      </c>
      <c r="X425">
        <f>IF([2]Entry!$N$428="","",[2]Entry!$N$428)</f>
        <v/>
      </c>
      <c r="Y425">
        <f>IF([2]Entry!$R$428="","",[2]Entry!$R$428)</f>
        <v/>
      </c>
    </row>
    <row r="426">
      <c r="J426">
        <f>IF([1]Accounts!$D$427="","",[1]Accounts!$A$427)</f>
        <v/>
      </c>
      <c r="K426">
        <f>IF([1]Accounts!$D$427="","",[1]Accounts!$B$427)</f>
        <v/>
      </c>
      <c r="L426">
        <f>IF([1]Accounts!$D$427="","",[1]Accounts!$C$427)</f>
        <v/>
      </c>
      <c r="M426">
        <f>IF([1]Accounts!$D$427="","",[1]Accounts!$D$427)</f>
        <v/>
      </c>
      <c r="P426">
        <f>IF([2]Entry!$C$429="","",[2]Entry!$C$429)</f>
        <v/>
      </c>
      <c r="Q426">
        <f>IF([2]Entry!$D$429="","",[2]Entry!$D$429)</f>
        <v/>
      </c>
      <c r="R426">
        <f>IF([2]Entry!$E$429="","",[2]Entry!$E$429)</f>
        <v/>
      </c>
      <c r="S426">
        <f>IF([2]Entry!$G$429="","",[2]Entry!$G$429)</f>
        <v/>
      </c>
      <c r="T426">
        <f>IF([2]Entry!$J$429="","",[2]Entry!$J$429)</f>
        <v/>
      </c>
      <c r="U426">
        <f>IF([2]Entry!$K$429="","",[2]Entry!$K$429)</f>
        <v/>
      </c>
      <c r="V426">
        <f>IF([2]Entry!$L$429="","",[2]Entry!$L$429)</f>
        <v/>
      </c>
      <c r="W426">
        <f>IF([2]Entry!$M$429="","",[2]Entry!$M$429)</f>
        <v/>
      </c>
      <c r="X426">
        <f>IF([2]Entry!$N$429="","",[2]Entry!$N$429)</f>
        <v/>
      </c>
      <c r="Y426">
        <f>IF([2]Entry!$R$429="","",[2]Entry!$R$429)</f>
        <v/>
      </c>
    </row>
    <row r="427">
      <c r="J427">
        <f>IF([1]Accounts!$D$428="","",[1]Accounts!$A$428)</f>
        <v/>
      </c>
      <c r="K427">
        <f>IF([1]Accounts!$D$428="","",[1]Accounts!$B$428)</f>
        <v/>
      </c>
      <c r="L427">
        <f>IF([1]Accounts!$D$428="","",[1]Accounts!$C$428)</f>
        <v/>
      </c>
      <c r="M427">
        <f>IF([1]Accounts!$D$428="","",[1]Accounts!$D$428)</f>
        <v/>
      </c>
      <c r="P427">
        <f>IF([2]Entry!$C$430="","",[2]Entry!$C$430)</f>
        <v/>
      </c>
      <c r="Q427">
        <f>IF([2]Entry!$D$430="","",[2]Entry!$D$430)</f>
        <v/>
      </c>
      <c r="R427">
        <f>IF([2]Entry!$E$430="","",[2]Entry!$E$430)</f>
        <v/>
      </c>
      <c r="S427">
        <f>IF([2]Entry!$G$430="","",[2]Entry!$G$430)</f>
        <v/>
      </c>
      <c r="T427">
        <f>IF([2]Entry!$J$430="","",[2]Entry!$J$430)</f>
        <v/>
      </c>
      <c r="U427">
        <f>IF([2]Entry!$K$430="","",[2]Entry!$K$430)</f>
        <v/>
      </c>
      <c r="V427">
        <f>IF([2]Entry!$L$430="","",[2]Entry!$L$430)</f>
        <v/>
      </c>
      <c r="W427">
        <f>IF([2]Entry!$M$430="","",[2]Entry!$M$430)</f>
        <v/>
      </c>
      <c r="X427">
        <f>IF([2]Entry!$N$430="","",[2]Entry!$N$430)</f>
        <v/>
      </c>
      <c r="Y427">
        <f>IF([2]Entry!$R$430="","",[2]Entry!$R$430)</f>
        <v/>
      </c>
    </row>
    <row r="428">
      <c r="J428">
        <f>IF([1]Accounts!$D$429="","",[1]Accounts!$A$429)</f>
        <v/>
      </c>
      <c r="K428">
        <f>IF([1]Accounts!$D$429="","",[1]Accounts!$B$429)</f>
        <v/>
      </c>
      <c r="L428">
        <f>IF([1]Accounts!$D$429="","",[1]Accounts!$C$429)</f>
        <v/>
      </c>
      <c r="M428">
        <f>IF([1]Accounts!$D$429="","",[1]Accounts!$D$429)</f>
        <v/>
      </c>
      <c r="P428">
        <f>IF([2]Entry!$C$431="","",[2]Entry!$C$431)</f>
        <v/>
      </c>
      <c r="Q428">
        <f>IF([2]Entry!$D$431="","",[2]Entry!$D$431)</f>
        <v/>
      </c>
      <c r="R428">
        <f>IF([2]Entry!$E$431="","",[2]Entry!$E$431)</f>
        <v/>
      </c>
      <c r="S428">
        <f>IF([2]Entry!$G$431="","",[2]Entry!$G$431)</f>
        <v/>
      </c>
      <c r="T428">
        <f>IF([2]Entry!$J$431="","",[2]Entry!$J$431)</f>
        <v/>
      </c>
      <c r="U428">
        <f>IF([2]Entry!$K$431="","",[2]Entry!$K$431)</f>
        <v/>
      </c>
      <c r="V428">
        <f>IF([2]Entry!$L$431="","",[2]Entry!$L$431)</f>
        <v/>
      </c>
      <c r="W428">
        <f>IF([2]Entry!$M$431="","",[2]Entry!$M$431)</f>
        <v/>
      </c>
      <c r="X428">
        <f>IF([2]Entry!$N$431="","",[2]Entry!$N$431)</f>
        <v/>
      </c>
      <c r="Y428">
        <f>IF([2]Entry!$R$431="","",[2]Entry!$R$431)</f>
        <v/>
      </c>
    </row>
    <row r="429">
      <c r="J429">
        <f>IF([1]Accounts!$D$430="","",[1]Accounts!$A$430)</f>
        <v/>
      </c>
      <c r="K429">
        <f>IF([1]Accounts!$D$430="","",[1]Accounts!$B$430)</f>
        <v/>
      </c>
      <c r="L429">
        <f>IF([1]Accounts!$D$430="","",[1]Accounts!$C$430)</f>
        <v/>
      </c>
      <c r="M429">
        <f>IF([1]Accounts!$D$430="","",[1]Accounts!$D$430)</f>
        <v/>
      </c>
      <c r="P429">
        <f>IF([2]Entry!$C$432="","",[2]Entry!$C$432)</f>
        <v/>
      </c>
      <c r="Q429">
        <f>IF([2]Entry!$D$432="","",[2]Entry!$D$432)</f>
        <v/>
      </c>
      <c r="R429">
        <f>IF([2]Entry!$E$432="","",[2]Entry!$E$432)</f>
        <v/>
      </c>
      <c r="S429">
        <f>IF([2]Entry!$G$432="","",[2]Entry!$G$432)</f>
        <v/>
      </c>
      <c r="T429">
        <f>IF([2]Entry!$J$432="","",[2]Entry!$J$432)</f>
        <v/>
      </c>
      <c r="U429">
        <f>IF([2]Entry!$K$432="","",[2]Entry!$K$432)</f>
        <v/>
      </c>
      <c r="V429">
        <f>IF([2]Entry!$L$432="","",[2]Entry!$L$432)</f>
        <v/>
      </c>
      <c r="W429">
        <f>IF([2]Entry!$M$432="","",[2]Entry!$M$432)</f>
        <v/>
      </c>
      <c r="X429">
        <f>IF([2]Entry!$N$432="","",[2]Entry!$N$432)</f>
        <v/>
      </c>
      <c r="Y429">
        <f>IF([2]Entry!$R$432="","",[2]Entry!$R$432)</f>
        <v/>
      </c>
    </row>
    <row r="430">
      <c r="J430">
        <f>IF([1]Accounts!$D$431="","",[1]Accounts!$A$431)</f>
        <v/>
      </c>
      <c r="K430">
        <f>IF([1]Accounts!$D$431="","",[1]Accounts!$B$431)</f>
        <v/>
      </c>
      <c r="L430">
        <f>IF([1]Accounts!$D$431="","",[1]Accounts!$C$431)</f>
        <v/>
      </c>
      <c r="M430">
        <f>IF([1]Accounts!$D$431="","",[1]Accounts!$D$431)</f>
        <v/>
      </c>
      <c r="P430">
        <f>IF([2]Entry!$C$433="","",[2]Entry!$C$433)</f>
        <v/>
      </c>
      <c r="Q430">
        <f>IF([2]Entry!$D$433="","",[2]Entry!$D$433)</f>
        <v/>
      </c>
      <c r="R430">
        <f>IF([2]Entry!$E$433="","",[2]Entry!$E$433)</f>
        <v/>
      </c>
      <c r="S430">
        <f>IF([2]Entry!$G$433="","",[2]Entry!$G$433)</f>
        <v/>
      </c>
      <c r="T430">
        <f>IF([2]Entry!$J$433="","",[2]Entry!$J$433)</f>
        <v/>
      </c>
      <c r="U430">
        <f>IF([2]Entry!$K$433="","",[2]Entry!$K$433)</f>
        <v/>
      </c>
      <c r="V430">
        <f>IF([2]Entry!$L$433="","",[2]Entry!$L$433)</f>
        <v/>
      </c>
      <c r="W430">
        <f>IF([2]Entry!$M$433="","",[2]Entry!$M$433)</f>
        <v/>
      </c>
      <c r="X430">
        <f>IF([2]Entry!$N$433="","",[2]Entry!$N$433)</f>
        <v/>
      </c>
      <c r="Y430">
        <f>IF([2]Entry!$R$433="","",[2]Entry!$R$433)</f>
        <v/>
      </c>
    </row>
    <row r="431">
      <c r="J431">
        <f>IF([1]Accounts!$D$432="","",[1]Accounts!$A$432)</f>
        <v/>
      </c>
      <c r="K431">
        <f>IF([1]Accounts!$D$432="","",[1]Accounts!$B$432)</f>
        <v/>
      </c>
      <c r="L431">
        <f>IF([1]Accounts!$D$432="","",[1]Accounts!$C$432)</f>
        <v/>
      </c>
      <c r="M431">
        <f>IF([1]Accounts!$D$432="","",[1]Accounts!$D$432)</f>
        <v/>
      </c>
      <c r="P431">
        <f>IF([2]Entry!$C$434="","",[2]Entry!$C$434)</f>
        <v/>
      </c>
      <c r="Q431">
        <f>IF([2]Entry!$D$434="","",[2]Entry!$D$434)</f>
        <v/>
      </c>
      <c r="R431">
        <f>IF([2]Entry!$E$434="","",[2]Entry!$E$434)</f>
        <v/>
      </c>
      <c r="S431">
        <f>IF([2]Entry!$G$434="","",[2]Entry!$G$434)</f>
        <v/>
      </c>
      <c r="T431">
        <f>IF([2]Entry!$J$434="","",[2]Entry!$J$434)</f>
        <v/>
      </c>
      <c r="U431">
        <f>IF([2]Entry!$K$434="","",[2]Entry!$K$434)</f>
        <v/>
      </c>
      <c r="V431">
        <f>IF([2]Entry!$L$434="","",[2]Entry!$L$434)</f>
        <v/>
      </c>
      <c r="W431">
        <f>IF([2]Entry!$M$434="","",[2]Entry!$M$434)</f>
        <v/>
      </c>
      <c r="X431">
        <f>IF([2]Entry!$N$434="","",[2]Entry!$N$434)</f>
        <v/>
      </c>
      <c r="Y431">
        <f>IF([2]Entry!$R$434="","",[2]Entry!$R$434)</f>
        <v/>
      </c>
    </row>
    <row r="432">
      <c r="J432">
        <f>IF([1]Accounts!$D$433="","",[1]Accounts!$A$433)</f>
        <v/>
      </c>
      <c r="K432">
        <f>IF([1]Accounts!$D$433="","",[1]Accounts!$B$433)</f>
        <v/>
      </c>
      <c r="L432">
        <f>IF([1]Accounts!$D$433="","",[1]Accounts!$C$433)</f>
        <v/>
      </c>
      <c r="M432">
        <f>IF([1]Accounts!$D$433="","",[1]Accounts!$D$433)</f>
        <v/>
      </c>
      <c r="P432">
        <f>IF([2]Entry!$C$435="","",[2]Entry!$C$435)</f>
        <v/>
      </c>
      <c r="Q432">
        <f>IF([2]Entry!$D$435="","",[2]Entry!$D$435)</f>
        <v/>
      </c>
      <c r="R432">
        <f>IF([2]Entry!$E$435="","",[2]Entry!$E$435)</f>
        <v/>
      </c>
      <c r="S432">
        <f>IF([2]Entry!$G$435="","",[2]Entry!$G$435)</f>
        <v/>
      </c>
      <c r="T432">
        <f>IF([2]Entry!$J$435="","",[2]Entry!$J$435)</f>
        <v/>
      </c>
      <c r="U432">
        <f>IF([2]Entry!$K$435="","",[2]Entry!$K$435)</f>
        <v/>
      </c>
      <c r="V432">
        <f>IF([2]Entry!$L$435="","",[2]Entry!$L$435)</f>
        <v/>
      </c>
      <c r="W432">
        <f>IF([2]Entry!$M$435="","",[2]Entry!$M$435)</f>
        <v/>
      </c>
      <c r="X432">
        <f>IF([2]Entry!$N$435="","",[2]Entry!$N$435)</f>
        <v/>
      </c>
      <c r="Y432">
        <f>IF([2]Entry!$R$435="","",[2]Entry!$R$435)</f>
        <v/>
      </c>
    </row>
    <row r="433">
      <c r="J433">
        <f>IF([1]Accounts!$D$434="","",[1]Accounts!$A$434)</f>
        <v/>
      </c>
      <c r="K433">
        <f>IF([1]Accounts!$D$434="","",[1]Accounts!$B$434)</f>
        <v/>
      </c>
      <c r="L433">
        <f>IF([1]Accounts!$D$434="","",[1]Accounts!$C$434)</f>
        <v/>
      </c>
      <c r="M433">
        <f>IF([1]Accounts!$D$434="","",[1]Accounts!$D$434)</f>
        <v/>
      </c>
      <c r="P433">
        <f>IF([2]Entry!$C$436="","",[2]Entry!$C$436)</f>
        <v/>
      </c>
      <c r="Q433">
        <f>IF([2]Entry!$D$436="","",[2]Entry!$D$436)</f>
        <v/>
      </c>
      <c r="R433">
        <f>IF([2]Entry!$E$436="","",[2]Entry!$E$436)</f>
        <v/>
      </c>
      <c r="S433">
        <f>IF([2]Entry!$G$436="","",[2]Entry!$G$436)</f>
        <v/>
      </c>
      <c r="T433">
        <f>IF([2]Entry!$J$436="","",[2]Entry!$J$436)</f>
        <v/>
      </c>
      <c r="U433">
        <f>IF([2]Entry!$K$436="","",[2]Entry!$K$436)</f>
        <v/>
      </c>
      <c r="V433">
        <f>IF([2]Entry!$L$436="","",[2]Entry!$L$436)</f>
        <v/>
      </c>
      <c r="W433">
        <f>IF([2]Entry!$M$436="","",[2]Entry!$M$436)</f>
        <v/>
      </c>
      <c r="X433">
        <f>IF([2]Entry!$N$436="","",[2]Entry!$N$436)</f>
        <v/>
      </c>
      <c r="Y433">
        <f>IF([2]Entry!$R$436="","",[2]Entry!$R$436)</f>
        <v/>
      </c>
    </row>
    <row r="434">
      <c r="J434">
        <f>IF([1]Accounts!$D$435="","",[1]Accounts!$A$435)</f>
        <v/>
      </c>
      <c r="K434">
        <f>IF([1]Accounts!$D$435="","",[1]Accounts!$B$435)</f>
        <v/>
      </c>
      <c r="L434">
        <f>IF([1]Accounts!$D$435="","",[1]Accounts!$C$435)</f>
        <v/>
      </c>
      <c r="M434">
        <f>IF([1]Accounts!$D$435="","",[1]Accounts!$D$435)</f>
        <v/>
      </c>
      <c r="P434">
        <f>IF([2]Entry!$C$437="","",[2]Entry!$C$437)</f>
        <v/>
      </c>
      <c r="Q434">
        <f>IF([2]Entry!$D$437="","",[2]Entry!$D$437)</f>
        <v/>
      </c>
      <c r="R434">
        <f>IF([2]Entry!$E$437="","",[2]Entry!$E$437)</f>
        <v/>
      </c>
      <c r="S434">
        <f>IF([2]Entry!$G$437="","",[2]Entry!$G$437)</f>
        <v/>
      </c>
      <c r="T434">
        <f>IF([2]Entry!$J$437="","",[2]Entry!$J$437)</f>
        <v/>
      </c>
      <c r="U434">
        <f>IF([2]Entry!$K$437="","",[2]Entry!$K$437)</f>
        <v/>
      </c>
      <c r="V434">
        <f>IF([2]Entry!$L$437="","",[2]Entry!$L$437)</f>
        <v/>
      </c>
      <c r="W434">
        <f>IF([2]Entry!$M$437="","",[2]Entry!$M$437)</f>
        <v/>
      </c>
      <c r="X434">
        <f>IF([2]Entry!$N$437="","",[2]Entry!$N$437)</f>
        <v/>
      </c>
      <c r="Y434">
        <f>IF([2]Entry!$R$437="","",[2]Entry!$R$437)</f>
        <v/>
      </c>
    </row>
    <row r="435">
      <c r="J435">
        <f>IF([1]Accounts!$D$436="","",[1]Accounts!$A$436)</f>
        <v/>
      </c>
      <c r="K435">
        <f>IF([1]Accounts!$D$436="","",[1]Accounts!$B$436)</f>
        <v/>
      </c>
      <c r="L435">
        <f>IF([1]Accounts!$D$436="","",[1]Accounts!$C$436)</f>
        <v/>
      </c>
      <c r="M435">
        <f>IF([1]Accounts!$D$436="","",[1]Accounts!$D$436)</f>
        <v/>
      </c>
      <c r="P435">
        <f>IF([2]Entry!$C$438="","",[2]Entry!$C$438)</f>
        <v/>
      </c>
      <c r="Q435">
        <f>IF([2]Entry!$D$438="","",[2]Entry!$D$438)</f>
        <v/>
      </c>
      <c r="R435">
        <f>IF([2]Entry!$E$438="","",[2]Entry!$E$438)</f>
        <v/>
      </c>
      <c r="S435">
        <f>IF([2]Entry!$G$438="","",[2]Entry!$G$438)</f>
        <v/>
      </c>
      <c r="T435">
        <f>IF([2]Entry!$J$438="","",[2]Entry!$J$438)</f>
        <v/>
      </c>
      <c r="U435">
        <f>IF([2]Entry!$K$438="","",[2]Entry!$K$438)</f>
        <v/>
      </c>
      <c r="V435">
        <f>IF([2]Entry!$L$438="","",[2]Entry!$L$438)</f>
        <v/>
      </c>
      <c r="W435">
        <f>IF([2]Entry!$M$438="","",[2]Entry!$M$438)</f>
        <v/>
      </c>
      <c r="X435">
        <f>IF([2]Entry!$N$438="","",[2]Entry!$N$438)</f>
        <v/>
      </c>
      <c r="Y435">
        <f>IF([2]Entry!$R$438="","",[2]Entry!$R$438)</f>
        <v/>
      </c>
    </row>
    <row r="436">
      <c r="J436">
        <f>IF([1]Accounts!$D$437="","",[1]Accounts!$A$437)</f>
        <v/>
      </c>
      <c r="K436">
        <f>IF([1]Accounts!$D$437="","",[1]Accounts!$B$437)</f>
        <v/>
      </c>
      <c r="L436">
        <f>IF([1]Accounts!$D$437="","",[1]Accounts!$C$437)</f>
        <v/>
      </c>
      <c r="M436">
        <f>IF([1]Accounts!$D$437="","",[1]Accounts!$D$437)</f>
        <v/>
      </c>
      <c r="P436">
        <f>IF([2]Entry!$C$439="","",[2]Entry!$C$439)</f>
        <v/>
      </c>
      <c r="Q436">
        <f>IF([2]Entry!$D$439="","",[2]Entry!$D$439)</f>
        <v/>
      </c>
      <c r="R436">
        <f>IF([2]Entry!$E$439="","",[2]Entry!$E$439)</f>
        <v/>
      </c>
      <c r="S436">
        <f>IF([2]Entry!$G$439="","",[2]Entry!$G$439)</f>
        <v/>
      </c>
      <c r="T436">
        <f>IF([2]Entry!$J$439="","",[2]Entry!$J$439)</f>
        <v/>
      </c>
      <c r="U436">
        <f>IF([2]Entry!$K$439="","",[2]Entry!$K$439)</f>
        <v/>
      </c>
      <c r="V436">
        <f>IF([2]Entry!$L$439="","",[2]Entry!$L$439)</f>
        <v/>
      </c>
      <c r="W436">
        <f>IF([2]Entry!$M$439="","",[2]Entry!$M$439)</f>
        <v/>
      </c>
      <c r="X436">
        <f>IF([2]Entry!$N$439="","",[2]Entry!$N$439)</f>
        <v/>
      </c>
      <c r="Y436">
        <f>IF([2]Entry!$R$439="","",[2]Entry!$R$439)</f>
        <v/>
      </c>
    </row>
    <row r="437">
      <c r="J437">
        <f>IF([1]Accounts!$D$438="","",[1]Accounts!$A$438)</f>
        <v/>
      </c>
      <c r="K437">
        <f>IF([1]Accounts!$D$438="","",[1]Accounts!$B$438)</f>
        <v/>
      </c>
      <c r="L437">
        <f>IF([1]Accounts!$D$438="","",[1]Accounts!$C$438)</f>
        <v/>
      </c>
      <c r="M437">
        <f>IF([1]Accounts!$D$438="","",[1]Accounts!$D$438)</f>
        <v/>
      </c>
      <c r="P437">
        <f>IF([2]Entry!$C$440="","",[2]Entry!$C$440)</f>
        <v/>
      </c>
      <c r="Q437">
        <f>IF([2]Entry!$D$440="","",[2]Entry!$D$440)</f>
        <v/>
      </c>
      <c r="R437">
        <f>IF([2]Entry!$E$440="","",[2]Entry!$E$440)</f>
        <v/>
      </c>
      <c r="S437">
        <f>IF([2]Entry!$G$440="","",[2]Entry!$G$440)</f>
        <v/>
      </c>
      <c r="T437">
        <f>IF([2]Entry!$J$440="","",[2]Entry!$J$440)</f>
        <v/>
      </c>
      <c r="U437">
        <f>IF([2]Entry!$K$440="","",[2]Entry!$K$440)</f>
        <v/>
      </c>
      <c r="V437">
        <f>IF([2]Entry!$L$440="","",[2]Entry!$L$440)</f>
        <v/>
      </c>
      <c r="W437">
        <f>IF([2]Entry!$M$440="","",[2]Entry!$M$440)</f>
        <v/>
      </c>
      <c r="X437">
        <f>IF([2]Entry!$N$440="","",[2]Entry!$N$440)</f>
        <v/>
      </c>
      <c r="Y437">
        <f>IF([2]Entry!$R$440="","",[2]Entry!$R$440)</f>
        <v/>
      </c>
    </row>
    <row r="438">
      <c r="J438">
        <f>IF([1]Accounts!$D$439="","",[1]Accounts!$A$439)</f>
        <v/>
      </c>
      <c r="K438">
        <f>IF([1]Accounts!$D$439="","",[1]Accounts!$B$439)</f>
        <v/>
      </c>
      <c r="L438">
        <f>IF([1]Accounts!$D$439="","",[1]Accounts!$C$439)</f>
        <v/>
      </c>
      <c r="M438">
        <f>IF([1]Accounts!$D$439="","",[1]Accounts!$D$439)</f>
        <v/>
      </c>
      <c r="P438">
        <f>IF([2]Entry!$C$441="","",[2]Entry!$C$441)</f>
        <v/>
      </c>
      <c r="Q438">
        <f>IF([2]Entry!$D$441="","",[2]Entry!$D$441)</f>
        <v/>
      </c>
      <c r="R438">
        <f>IF([2]Entry!$E$441="","",[2]Entry!$E$441)</f>
        <v/>
      </c>
      <c r="S438">
        <f>IF([2]Entry!$G$441="","",[2]Entry!$G$441)</f>
        <v/>
      </c>
      <c r="T438">
        <f>IF([2]Entry!$J$441="","",[2]Entry!$J$441)</f>
        <v/>
      </c>
      <c r="U438">
        <f>IF([2]Entry!$K$441="","",[2]Entry!$K$441)</f>
        <v/>
      </c>
      <c r="V438">
        <f>IF([2]Entry!$L$441="","",[2]Entry!$L$441)</f>
        <v/>
      </c>
      <c r="W438">
        <f>IF([2]Entry!$M$441="","",[2]Entry!$M$441)</f>
        <v/>
      </c>
      <c r="X438">
        <f>IF([2]Entry!$N$441="","",[2]Entry!$N$441)</f>
        <v/>
      </c>
      <c r="Y438">
        <f>IF([2]Entry!$R$441="","",[2]Entry!$R$441)</f>
        <v/>
      </c>
    </row>
    <row r="439">
      <c r="J439">
        <f>IF([1]Accounts!$D$440="","",[1]Accounts!$A$440)</f>
        <v/>
      </c>
      <c r="K439">
        <f>IF([1]Accounts!$D$440="","",[1]Accounts!$B$440)</f>
        <v/>
      </c>
      <c r="L439">
        <f>IF([1]Accounts!$D$440="","",[1]Accounts!$C$440)</f>
        <v/>
      </c>
      <c r="M439">
        <f>IF([1]Accounts!$D$440="","",[1]Accounts!$D$440)</f>
        <v/>
      </c>
      <c r="P439">
        <f>IF([2]Entry!$C$442="","",[2]Entry!$C$442)</f>
        <v/>
      </c>
      <c r="Q439">
        <f>IF([2]Entry!$D$442="","",[2]Entry!$D$442)</f>
        <v/>
      </c>
      <c r="R439">
        <f>IF([2]Entry!$E$442="","",[2]Entry!$E$442)</f>
        <v/>
      </c>
      <c r="S439">
        <f>IF([2]Entry!$G$442="","",[2]Entry!$G$442)</f>
        <v/>
      </c>
      <c r="T439">
        <f>IF([2]Entry!$J$442="","",[2]Entry!$J$442)</f>
        <v/>
      </c>
      <c r="U439">
        <f>IF([2]Entry!$K$442="","",[2]Entry!$K$442)</f>
        <v/>
      </c>
      <c r="V439">
        <f>IF([2]Entry!$L$442="","",[2]Entry!$L$442)</f>
        <v/>
      </c>
      <c r="W439">
        <f>IF([2]Entry!$M$442="","",[2]Entry!$M$442)</f>
        <v/>
      </c>
      <c r="X439">
        <f>IF([2]Entry!$N$442="","",[2]Entry!$N$442)</f>
        <v/>
      </c>
      <c r="Y439">
        <f>IF([2]Entry!$R$442="","",[2]Entry!$R$442)</f>
        <v/>
      </c>
    </row>
    <row r="440">
      <c r="J440">
        <f>IF([1]Accounts!$D$441="","",[1]Accounts!$A$441)</f>
        <v/>
      </c>
      <c r="K440">
        <f>IF([1]Accounts!$D$441="","",[1]Accounts!$B$441)</f>
        <v/>
      </c>
      <c r="L440">
        <f>IF([1]Accounts!$D$441="","",[1]Accounts!$C$441)</f>
        <v/>
      </c>
      <c r="M440">
        <f>IF([1]Accounts!$D$441="","",[1]Accounts!$D$441)</f>
        <v/>
      </c>
      <c r="P440">
        <f>IF([2]Entry!$C$443="","",[2]Entry!$C$443)</f>
        <v/>
      </c>
      <c r="Q440">
        <f>IF([2]Entry!$D$443="","",[2]Entry!$D$443)</f>
        <v/>
      </c>
      <c r="R440">
        <f>IF([2]Entry!$E$443="","",[2]Entry!$E$443)</f>
        <v/>
      </c>
      <c r="S440">
        <f>IF([2]Entry!$G$443="","",[2]Entry!$G$443)</f>
        <v/>
      </c>
      <c r="T440">
        <f>IF([2]Entry!$J$443="","",[2]Entry!$J$443)</f>
        <v/>
      </c>
      <c r="U440">
        <f>IF([2]Entry!$K$443="","",[2]Entry!$K$443)</f>
        <v/>
      </c>
      <c r="V440">
        <f>IF([2]Entry!$L$443="","",[2]Entry!$L$443)</f>
        <v/>
      </c>
      <c r="W440">
        <f>IF([2]Entry!$M$443="","",[2]Entry!$M$443)</f>
        <v/>
      </c>
      <c r="X440">
        <f>IF([2]Entry!$N$443="","",[2]Entry!$N$443)</f>
        <v/>
      </c>
      <c r="Y440">
        <f>IF([2]Entry!$R$443="","",[2]Entry!$R$443)</f>
        <v/>
      </c>
    </row>
    <row r="441">
      <c r="J441">
        <f>IF([1]Accounts!$D$442="","",[1]Accounts!$A$442)</f>
        <v/>
      </c>
      <c r="K441">
        <f>IF([1]Accounts!$D$442="","",[1]Accounts!$B$442)</f>
        <v/>
      </c>
      <c r="L441">
        <f>IF([1]Accounts!$D$442="","",[1]Accounts!$C$442)</f>
        <v/>
      </c>
      <c r="M441">
        <f>IF([1]Accounts!$D$442="","",[1]Accounts!$D$442)</f>
        <v/>
      </c>
      <c r="P441">
        <f>IF([2]Entry!$C$444="","",[2]Entry!$C$444)</f>
        <v/>
      </c>
      <c r="Q441">
        <f>IF([2]Entry!$D$444="","",[2]Entry!$D$444)</f>
        <v/>
      </c>
      <c r="R441">
        <f>IF([2]Entry!$E$444="","",[2]Entry!$E$444)</f>
        <v/>
      </c>
      <c r="S441">
        <f>IF([2]Entry!$G$444="","",[2]Entry!$G$444)</f>
        <v/>
      </c>
      <c r="T441">
        <f>IF([2]Entry!$J$444="","",[2]Entry!$J$444)</f>
        <v/>
      </c>
      <c r="U441">
        <f>IF([2]Entry!$K$444="","",[2]Entry!$K$444)</f>
        <v/>
      </c>
      <c r="V441">
        <f>IF([2]Entry!$L$444="","",[2]Entry!$L$444)</f>
        <v/>
      </c>
      <c r="W441">
        <f>IF([2]Entry!$M$444="","",[2]Entry!$M$444)</f>
        <v/>
      </c>
      <c r="X441">
        <f>IF([2]Entry!$N$444="","",[2]Entry!$N$444)</f>
        <v/>
      </c>
      <c r="Y441">
        <f>IF([2]Entry!$R$444="","",[2]Entry!$R$444)</f>
        <v/>
      </c>
    </row>
    <row r="442">
      <c r="J442">
        <f>IF([1]Accounts!$D$443="","",[1]Accounts!$A$443)</f>
        <v/>
      </c>
      <c r="K442">
        <f>IF([1]Accounts!$D$443="","",[1]Accounts!$B$443)</f>
        <v/>
      </c>
      <c r="L442">
        <f>IF([1]Accounts!$D$443="","",[1]Accounts!$C$443)</f>
        <v/>
      </c>
      <c r="M442">
        <f>IF([1]Accounts!$D$443="","",[1]Accounts!$D$443)</f>
        <v/>
      </c>
      <c r="P442">
        <f>IF([2]Entry!$C$445="","",[2]Entry!$C$445)</f>
        <v/>
      </c>
      <c r="Q442">
        <f>IF([2]Entry!$D$445="","",[2]Entry!$D$445)</f>
        <v/>
      </c>
      <c r="R442">
        <f>IF([2]Entry!$E$445="","",[2]Entry!$E$445)</f>
        <v/>
      </c>
      <c r="S442">
        <f>IF([2]Entry!$G$445="","",[2]Entry!$G$445)</f>
        <v/>
      </c>
      <c r="T442">
        <f>IF([2]Entry!$J$445="","",[2]Entry!$J$445)</f>
        <v/>
      </c>
      <c r="U442">
        <f>IF([2]Entry!$K$445="","",[2]Entry!$K$445)</f>
        <v/>
      </c>
      <c r="V442">
        <f>IF([2]Entry!$L$445="","",[2]Entry!$L$445)</f>
        <v/>
      </c>
      <c r="W442">
        <f>IF([2]Entry!$M$445="","",[2]Entry!$M$445)</f>
        <v/>
      </c>
      <c r="X442">
        <f>IF([2]Entry!$N$445="","",[2]Entry!$N$445)</f>
        <v/>
      </c>
      <c r="Y442">
        <f>IF([2]Entry!$R$445="","",[2]Entry!$R$445)</f>
        <v/>
      </c>
    </row>
    <row r="443">
      <c r="J443">
        <f>IF([1]Accounts!$D$444="","",[1]Accounts!$A$444)</f>
        <v/>
      </c>
      <c r="K443">
        <f>IF([1]Accounts!$D$444="","",[1]Accounts!$B$444)</f>
        <v/>
      </c>
      <c r="L443">
        <f>IF([1]Accounts!$D$444="","",[1]Accounts!$C$444)</f>
        <v/>
      </c>
      <c r="M443">
        <f>IF([1]Accounts!$D$444="","",[1]Accounts!$D$444)</f>
        <v/>
      </c>
      <c r="P443">
        <f>IF([2]Entry!$C$446="","",[2]Entry!$C$446)</f>
        <v/>
      </c>
      <c r="Q443">
        <f>IF([2]Entry!$D$446="","",[2]Entry!$D$446)</f>
        <v/>
      </c>
      <c r="R443">
        <f>IF([2]Entry!$E$446="","",[2]Entry!$E$446)</f>
        <v/>
      </c>
      <c r="S443">
        <f>IF([2]Entry!$G$446="","",[2]Entry!$G$446)</f>
        <v/>
      </c>
      <c r="T443">
        <f>IF([2]Entry!$J$446="","",[2]Entry!$J$446)</f>
        <v/>
      </c>
      <c r="U443">
        <f>IF([2]Entry!$K$446="","",[2]Entry!$K$446)</f>
        <v/>
      </c>
      <c r="V443">
        <f>IF([2]Entry!$L$446="","",[2]Entry!$L$446)</f>
        <v/>
      </c>
      <c r="W443">
        <f>IF([2]Entry!$M$446="","",[2]Entry!$M$446)</f>
        <v/>
      </c>
      <c r="X443">
        <f>IF([2]Entry!$N$446="","",[2]Entry!$N$446)</f>
        <v/>
      </c>
      <c r="Y443">
        <f>IF([2]Entry!$R$446="","",[2]Entry!$R$446)</f>
        <v/>
      </c>
    </row>
    <row r="444">
      <c r="J444">
        <f>IF([1]Accounts!$D$445="","",[1]Accounts!$A$445)</f>
        <v/>
      </c>
      <c r="K444">
        <f>IF([1]Accounts!$D$445="","",[1]Accounts!$B$445)</f>
        <v/>
      </c>
      <c r="L444">
        <f>IF([1]Accounts!$D$445="","",[1]Accounts!$C$445)</f>
        <v/>
      </c>
      <c r="M444">
        <f>IF([1]Accounts!$D$445="","",[1]Accounts!$D$445)</f>
        <v/>
      </c>
      <c r="P444">
        <f>IF([2]Entry!$C$447="","",[2]Entry!$C$447)</f>
        <v/>
      </c>
      <c r="Q444">
        <f>IF([2]Entry!$D$447="","",[2]Entry!$D$447)</f>
        <v/>
      </c>
      <c r="R444">
        <f>IF([2]Entry!$E$447="","",[2]Entry!$E$447)</f>
        <v/>
      </c>
      <c r="S444">
        <f>IF([2]Entry!$G$447="","",[2]Entry!$G$447)</f>
        <v/>
      </c>
      <c r="T444">
        <f>IF([2]Entry!$J$447="","",[2]Entry!$J$447)</f>
        <v/>
      </c>
      <c r="U444">
        <f>IF([2]Entry!$K$447="","",[2]Entry!$K$447)</f>
        <v/>
      </c>
      <c r="V444">
        <f>IF([2]Entry!$L$447="","",[2]Entry!$L$447)</f>
        <v/>
      </c>
      <c r="W444">
        <f>IF([2]Entry!$M$447="","",[2]Entry!$M$447)</f>
        <v/>
      </c>
      <c r="X444">
        <f>IF([2]Entry!$N$447="","",[2]Entry!$N$447)</f>
        <v/>
      </c>
      <c r="Y444">
        <f>IF([2]Entry!$R$447="","",[2]Entry!$R$447)</f>
        <v/>
      </c>
    </row>
    <row r="445">
      <c r="J445">
        <f>IF([1]Accounts!$D$446="","",[1]Accounts!$A$446)</f>
        <v/>
      </c>
      <c r="K445">
        <f>IF([1]Accounts!$D$446="","",[1]Accounts!$B$446)</f>
        <v/>
      </c>
      <c r="L445">
        <f>IF([1]Accounts!$D$446="","",[1]Accounts!$C$446)</f>
        <v/>
      </c>
      <c r="M445">
        <f>IF([1]Accounts!$D$446="","",[1]Accounts!$D$446)</f>
        <v/>
      </c>
      <c r="P445">
        <f>IF([2]Entry!$C$448="","",[2]Entry!$C$448)</f>
        <v/>
      </c>
      <c r="Q445">
        <f>IF([2]Entry!$D$448="","",[2]Entry!$D$448)</f>
        <v/>
      </c>
      <c r="R445">
        <f>IF([2]Entry!$E$448="","",[2]Entry!$E$448)</f>
        <v/>
      </c>
      <c r="S445">
        <f>IF([2]Entry!$G$448="","",[2]Entry!$G$448)</f>
        <v/>
      </c>
      <c r="T445">
        <f>IF([2]Entry!$J$448="","",[2]Entry!$J$448)</f>
        <v/>
      </c>
      <c r="U445">
        <f>IF([2]Entry!$K$448="","",[2]Entry!$K$448)</f>
        <v/>
      </c>
      <c r="V445">
        <f>IF([2]Entry!$L$448="","",[2]Entry!$L$448)</f>
        <v/>
      </c>
      <c r="W445">
        <f>IF([2]Entry!$M$448="","",[2]Entry!$M$448)</f>
        <v/>
      </c>
      <c r="X445">
        <f>IF([2]Entry!$N$448="","",[2]Entry!$N$448)</f>
        <v/>
      </c>
      <c r="Y445">
        <f>IF([2]Entry!$R$448="","",[2]Entry!$R$448)</f>
        <v/>
      </c>
    </row>
    <row r="446">
      <c r="J446">
        <f>IF([1]Accounts!$D$447="","",[1]Accounts!$A$447)</f>
        <v/>
      </c>
      <c r="K446">
        <f>IF([1]Accounts!$D$447="","",[1]Accounts!$B$447)</f>
        <v/>
      </c>
      <c r="L446">
        <f>IF([1]Accounts!$D$447="","",[1]Accounts!$C$447)</f>
        <v/>
      </c>
      <c r="M446">
        <f>IF([1]Accounts!$D$447="","",[1]Accounts!$D$447)</f>
        <v/>
      </c>
      <c r="P446">
        <f>IF([2]Entry!$C$449="","",[2]Entry!$C$449)</f>
        <v/>
      </c>
      <c r="Q446">
        <f>IF([2]Entry!$D$449="","",[2]Entry!$D$449)</f>
        <v/>
      </c>
      <c r="R446">
        <f>IF([2]Entry!$E$449="","",[2]Entry!$E$449)</f>
        <v/>
      </c>
      <c r="S446">
        <f>IF([2]Entry!$G$449="","",[2]Entry!$G$449)</f>
        <v/>
      </c>
      <c r="T446">
        <f>IF([2]Entry!$J$449="","",[2]Entry!$J$449)</f>
        <v/>
      </c>
      <c r="U446">
        <f>IF([2]Entry!$K$449="","",[2]Entry!$K$449)</f>
        <v/>
      </c>
      <c r="V446">
        <f>IF([2]Entry!$L$449="","",[2]Entry!$L$449)</f>
        <v/>
      </c>
      <c r="W446">
        <f>IF([2]Entry!$M$449="","",[2]Entry!$M$449)</f>
        <v/>
      </c>
      <c r="X446">
        <f>IF([2]Entry!$N$449="","",[2]Entry!$N$449)</f>
        <v/>
      </c>
      <c r="Y446">
        <f>IF([2]Entry!$R$449="","",[2]Entry!$R$449)</f>
        <v/>
      </c>
    </row>
    <row r="447">
      <c r="J447">
        <f>IF([1]Accounts!$D$448="","",[1]Accounts!$A$448)</f>
        <v/>
      </c>
      <c r="K447">
        <f>IF([1]Accounts!$D$448="","",[1]Accounts!$B$448)</f>
        <v/>
      </c>
      <c r="L447">
        <f>IF([1]Accounts!$D$448="","",[1]Accounts!$C$448)</f>
        <v/>
      </c>
      <c r="M447">
        <f>IF([1]Accounts!$D$448="","",[1]Accounts!$D$448)</f>
        <v/>
      </c>
      <c r="P447">
        <f>IF([2]Entry!$C$450="","",[2]Entry!$C$450)</f>
        <v/>
      </c>
      <c r="Q447">
        <f>IF([2]Entry!$D$450="","",[2]Entry!$D$450)</f>
        <v/>
      </c>
      <c r="R447">
        <f>IF([2]Entry!$E$450="","",[2]Entry!$E$450)</f>
        <v/>
      </c>
      <c r="S447">
        <f>IF([2]Entry!$G$450="","",[2]Entry!$G$450)</f>
        <v/>
      </c>
      <c r="T447">
        <f>IF([2]Entry!$J$450="","",[2]Entry!$J$450)</f>
        <v/>
      </c>
      <c r="U447">
        <f>IF([2]Entry!$K$450="","",[2]Entry!$K$450)</f>
        <v/>
      </c>
      <c r="V447">
        <f>IF([2]Entry!$L$450="","",[2]Entry!$L$450)</f>
        <v/>
      </c>
      <c r="W447">
        <f>IF([2]Entry!$M$450="","",[2]Entry!$M$450)</f>
        <v/>
      </c>
      <c r="X447">
        <f>IF([2]Entry!$N$450="","",[2]Entry!$N$450)</f>
        <v/>
      </c>
      <c r="Y447">
        <f>IF([2]Entry!$R$450="","",[2]Entry!$R$450)</f>
        <v/>
      </c>
    </row>
    <row r="448">
      <c r="J448">
        <f>IF([1]Accounts!$D$449="","",[1]Accounts!$A$449)</f>
        <v/>
      </c>
      <c r="K448">
        <f>IF([1]Accounts!$D$449="","",[1]Accounts!$B$449)</f>
        <v/>
      </c>
      <c r="L448">
        <f>IF([1]Accounts!$D$449="","",[1]Accounts!$C$449)</f>
        <v/>
      </c>
      <c r="M448">
        <f>IF([1]Accounts!$D$449="","",[1]Accounts!$D$449)</f>
        <v/>
      </c>
      <c r="P448">
        <f>IF([2]Entry!$C$451="","",[2]Entry!$C$451)</f>
        <v/>
      </c>
      <c r="Q448">
        <f>IF([2]Entry!$D$451="","",[2]Entry!$D$451)</f>
        <v/>
      </c>
      <c r="R448">
        <f>IF([2]Entry!$E$451="","",[2]Entry!$E$451)</f>
        <v/>
      </c>
      <c r="S448">
        <f>IF([2]Entry!$G$451="","",[2]Entry!$G$451)</f>
        <v/>
      </c>
      <c r="T448">
        <f>IF([2]Entry!$J$451="","",[2]Entry!$J$451)</f>
        <v/>
      </c>
      <c r="U448">
        <f>IF([2]Entry!$K$451="","",[2]Entry!$K$451)</f>
        <v/>
      </c>
      <c r="V448">
        <f>IF([2]Entry!$L$451="","",[2]Entry!$L$451)</f>
        <v/>
      </c>
      <c r="W448">
        <f>IF([2]Entry!$M$451="","",[2]Entry!$M$451)</f>
        <v/>
      </c>
      <c r="X448">
        <f>IF([2]Entry!$N$451="","",[2]Entry!$N$451)</f>
        <v/>
      </c>
      <c r="Y448">
        <f>IF([2]Entry!$R$451="","",[2]Entry!$R$451)</f>
        <v/>
      </c>
    </row>
    <row r="449">
      <c r="J449">
        <f>IF([1]Accounts!$D$450="","",[1]Accounts!$A$450)</f>
        <v/>
      </c>
      <c r="K449">
        <f>IF([1]Accounts!$D$450="","",[1]Accounts!$B$450)</f>
        <v/>
      </c>
      <c r="L449">
        <f>IF([1]Accounts!$D$450="","",[1]Accounts!$C$450)</f>
        <v/>
      </c>
      <c r="M449">
        <f>IF([1]Accounts!$D$450="","",[1]Accounts!$D$450)</f>
        <v/>
      </c>
      <c r="P449">
        <f>IF([2]Entry!$C$452="","",[2]Entry!$C$452)</f>
        <v/>
      </c>
      <c r="Q449">
        <f>IF([2]Entry!$D$452="","",[2]Entry!$D$452)</f>
        <v/>
      </c>
      <c r="R449">
        <f>IF([2]Entry!$E$452="","",[2]Entry!$E$452)</f>
        <v/>
      </c>
      <c r="S449">
        <f>IF([2]Entry!$G$452="","",[2]Entry!$G$452)</f>
        <v/>
      </c>
      <c r="T449">
        <f>IF([2]Entry!$J$452="","",[2]Entry!$J$452)</f>
        <v/>
      </c>
      <c r="U449">
        <f>IF([2]Entry!$K$452="","",[2]Entry!$K$452)</f>
        <v/>
      </c>
      <c r="V449">
        <f>IF([2]Entry!$L$452="","",[2]Entry!$L$452)</f>
        <v/>
      </c>
      <c r="W449">
        <f>IF([2]Entry!$M$452="","",[2]Entry!$M$452)</f>
        <v/>
      </c>
      <c r="X449">
        <f>IF([2]Entry!$N$452="","",[2]Entry!$N$452)</f>
        <v/>
      </c>
      <c r="Y449">
        <f>IF([2]Entry!$R$452="","",[2]Entry!$R$452)</f>
        <v/>
      </c>
    </row>
    <row r="450">
      <c r="J450">
        <f>IF([1]Accounts!$D$451="","",[1]Accounts!$A$451)</f>
        <v/>
      </c>
      <c r="K450">
        <f>IF([1]Accounts!$D$451="","",[1]Accounts!$B$451)</f>
        <v/>
      </c>
      <c r="L450">
        <f>IF([1]Accounts!$D$451="","",[1]Accounts!$C$451)</f>
        <v/>
      </c>
      <c r="M450">
        <f>IF([1]Accounts!$D$451="","",[1]Accounts!$D$451)</f>
        <v/>
      </c>
      <c r="P450">
        <f>IF([2]Entry!$C$453="","",[2]Entry!$C$453)</f>
        <v/>
      </c>
      <c r="Q450">
        <f>IF([2]Entry!$D$453="","",[2]Entry!$D$453)</f>
        <v/>
      </c>
      <c r="R450">
        <f>IF([2]Entry!$E$453="","",[2]Entry!$E$453)</f>
        <v/>
      </c>
      <c r="S450">
        <f>IF([2]Entry!$G$453="","",[2]Entry!$G$453)</f>
        <v/>
      </c>
      <c r="T450">
        <f>IF([2]Entry!$J$453="","",[2]Entry!$J$453)</f>
        <v/>
      </c>
      <c r="U450">
        <f>IF([2]Entry!$K$453="","",[2]Entry!$K$453)</f>
        <v/>
      </c>
      <c r="V450">
        <f>IF([2]Entry!$L$453="","",[2]Entry!$L$453)</f>
        <v/>
      </c>
      <c r="W450">
        <f>IF([2]Entry!$M$453="","",[2]Entry!$M$453)</f>
        <v/>
      </c>
      <c r="X450">
        <f>IF([2]Entry!$N$453="","",[2]Entry!$N$453)</f>
        <v/>
      </c>
      <c r="Y450">
        <f>IF([2]Entry!$R$453="","",[2]Entry!$R$453)</f>
        <v/>
      </c>
    </row>
    <row r="451">
      <c r="J451">
        <f>IF([1]Accounts!$D$452="","",[1]Accounts!$A$452)</f>
        <v/>
      </c>
      <c r="K451">
        <f>IF([1]Accounts!$D$452="","",[1]Accounts!$B$452)</f>
        <v/>
      </c>
      <c r="L451">
        <f>IF([1]Accounts!$D$452="","",[1]Accounts!$C$452)</f>
        <v/>
      </c>
      <c r="M451">
        <f>IF([1]Accounts!$D$452="","",[1]Accounts!$D$452)</f>
        <v/>
      </c>
      <c r="P451">
        <f>IF([2]Entry!$C$454="","",[2]Entry!$C$454)</f>
        <v/>
      </c>
      <c r="Q451">
        <f>IF([2]Entry!$D$454="","",[2]Entry!$D$454)</f>
        <v/>
      </c>
      <c r="R451">
        <f>IF([2]Entry!$E$454="","",[2]Entry!$E$454)</f>
        <v/>
      </c>
      <c r="S451">
        <f>IF([2]Entry!$G$454="","",[2]Entry!$G$454)</f>
        <v/>
      </c>
      <c r="T451">
        <f>IF([2]Entry!$J$454="","",[2]Entry!$J$454)</f>
        <v/>
      </c>
      <c r="U451">
        <f>IF([2]Entry!$K$454="","",[2]Entry!$K$454)</f>
        <v/>
      </c>
      <c r="V451">
        <f>IF([2]Entry!$L$454="","",[2]Entry!$L$454)</f>
        <v/>
      </c>
      <c r="W451">
        <f>IF([2]Entry!$M$454="","",[2]Entry!$M$454)</f>
        <v/>
      </c>
      <c r="X451">
        <f>IF([2]Entry!$N$454="","",[2]Entry!$N$454)</f>
        <v/>
      </c>
      <c r="Y451">
        <f>IF([2]Entry!$R$454="","",[2]Entry!$R$454)</f>
        <v/>
      </c>
    </row>
    <row r="452">
      <c r="J452">
        <f>IF([1]Accounts!$D$453="","",[1]Accounts!$A$453)</f>
        <v/>
      </c>
      <c r="K452">
        <f>IF([1]Accounts!$D$453="","",[1]Accounts!$B$453)</f>
        <v/>
      </c>
      <c r="L452">
        <f>IF([1]Accounts!$D$453="","",[1]Accounts!$C$453)</f>
        <v/>
      </c>
      <c r="M452">
        <f>IF([1]Accounts!$D$453="","",[1]Accounts!$D$453)</f>
        <v/>
      </c>
      <c r="P452">
        <f>IF([2]Entry!$C$455="","",[2]Entry!$C$455)</f>
        <v/>
      </c>
      <c r="Q452">
        <f>IF([2]Entry!$D$455="","",[2]Entry!$D$455)</f>
        <v/>
      </c>
      <c r="R452">
        <f>IF([2]Entry!$E$455="","",[2]Entry!$E$455)</f>
        <v/>
      </c>
      <c r="S452">
        <f>IF([2]Entry!$G$455="","",[2]Entry!$G$455)</f>
        <v/>
      </c>
      <c r="T452">
        <f>IF([2]Entry!$J$455="","",[2]Entry!$J$455)</f>
        <v/>
      </c>
      <c r="U452">
        <f>IF([2]Entry!$K$455="","",[2]Entry!$K$455)</f>
        <v/>
      </c>
      <c r="V452">
        <f>IF([2]Entry!$L$455="","",[2]Entry!$L$455)</f>
        <v/>
      </c>
      <c r="W452">
        <f>IF([2]Entry!$M$455="","",[2]Entry!$M$455)</f>
        <v/>
      </c>
      <c r="X452">
        <f>IF([2]Entry!$N$455="","",[2]Entry!$N$455)</f>
        <v/>
      </c>
      <c r="Y452">
        <f>IF([2]Entry!$R$455="","",[2]Entry!$R$455)</f>
        <v/>
      </c>
    </row>
    <row r="453">
      <c r="J453">
        <f>IF([1]Accounts!$D$454="","",[1]Accounts!$A$454)</f>
        <v/>
      </c>
      <c r="K453">
        <f>IF([1]Accounts!$D$454="","",[1]Accounts!$B$454)</f>
        <v/>
      </c>
      <c r="L453">
        <f>IF([1]Accounts!$D$454="","",[1]Accounts!$C$454)</f>
        <v/>
      </c>
      <c r="M453">
        <f>IF([1]Accounts!$D$454="","",[1]Accounts!$D$454)</f>
        <v/>
      </c>
      <c r="P453">
        <f>IF([2]Entry!$C$456="","",[2]Entry!$C$456)</f>
        <v/>
      </c>
      <c r="Q453">
        <f>IF([2]Entry!$D$456="","",[2]Entry!$D$456)</f>
        <v/>
      </c>
      <c r="R453">
        <f>IF([2]Entry!$E$456="","",[2]Entry!$E$456)</f>
        <v/>
      </c>
      <c r="S453">
        <f>IF([2]Entry!$G$456="","",[2]Entry!$G$456)</f>
        <v/>
      </c>
      <c r="T453">
        <f>IF([2]Entry!$J$456="","",[2]Entry!$J$456)</f>
        <v/>
      </c>
      <c r="U453">
        <f>IF([2]Entry!$K$456="","",[2]Entry!$K$456)</f>
        <v/>
      </c>
      <c r="V453">
        <f>IF([2]Entry!$L$456="","",[2]Entry!$L$456)</f>
        <v/>
      </c>
      <c r="W453">
        <f>IF([2]Entry!$M$456="","",[2]Entry!$M$456)</f>
        <v/>
      </c>
      <c r="X453">
        <f>IF([2]Entry!$N$456="","",[2]Entry!$N$456)</f>
        <v/>
      </c>
      <c r="Y453">
        <f>IF([2]Entry!$R$456="","",[2]Entry!$R$456)</f>
        <v/>
      </c>
    </row>
    <row r="454">
      <c r="J454">
        <f>IF([1]Accounts!$D$455="","",[1]Accounts!$A$455)</f>
        <v/>
      </c>
      <c r="K454">
        <f>IF([1]Accounts!$D$455="","",[1]Accounts!$B$455)</f>
        <v/>
      </c>
      <c r="L454">
        <f>IF([1]Accounts!$D$455="","",[1]Accounts!$C$455)</f>
        <v/>
      </c>
      <c r="M454">
        <f>IF([1]Accounts!$D$455="","",[1]Accounts!$D$455)</f>
        <v/>
      </c>
      <c r="P454">
        <f>IF([2]Entry!$C$457="","",[2]Entry!$C$457)</f>
        <v/>
      </c>
      <c r="Q454">
        <f>IF([2]Entry!$D$457="","",[2]Entry!$D$457)</f>
        <v/>
      </c>
      <c r="R454">
        <f>IF([2]Entry!$E$457="","",[2]Entry!$E$457)</f>
        <v/>
      </c>
      <c r="S454">
        <f>IF([2]Entry!$G$457="","",[2]Entry!$G$457)</f>
        <v/>
      </c>
      <c r="T454">
        <f>IF([2]Entry!$J$457="","",[2]Entry!$J$457)</f>
        <v/>
      </c>
      <c r="U454">
        <f>IF([2]Entry!$K$457="","",[2]Entry!$K$457)</f>
        <v/>
      </c>
      <c r="V454">
        <f>IF([2]Entry!$L$457="","",[2]Entry!$L$457)</f>
        <v/>
      </c>
      <c r="W454">
        <f>IF([2]Entry!$M$457="","",[2]Entry!$M$457)</f>
        <v/>
      </c>
      <c r="X454">
        <f>IF([2]Entry!$N$457="","",[2]Entry!$N$457)</f>
        <v/>
      </c>
      <c r="Y454">
        <f>IF([2]Entry!$R$457="","",[2]Entry!$R$457)</f>
        <v/>
      </c>
    </row>
    <row r="455">
      <c r="J455">
        <f>IF([1]Accounts!$D$456="","",[1]Accounts!$A$456)</f>
        <v/>
      </c>
      <c r="K455">
        <f>IF([1]Accounts!$D$456="","",[1]Accounts!$B$456)</f>
        <v/>
      </c>
      <c r="L455">
        <f>IF([1]Accounts!$D$456="","",[1]Accounts!$C$456)</f>
        <v/>
      </c>
      <c r="M455">
        <f>IF([1]Accounts!$D$456="","",[1]Accounts!$D$456)</f>
        <v/>
      </c>
      <c r="P455">
        <f>IF([2]Entry!$C$458="","",[2]Entry!$C$458)</f>
        <v/>
      </c>
      <c r="Q455">
        <f>IF([2]Entry!$D$458="","",[2]Entry!$D$458)</f>
        <v/>
      </c>
      <c r="R455">
        <f>IF([2]Entry!$E$458="","",[2]Entry!$E$458)</f>
        <v/>
      </c>
      <c r="S455">
        <f>IF([2]Entry!$G$458="","",[2]Entry!$G$458)</f>
        <v/>
      </c>
      <c r="T455">
        <f>IF([2]Entry!$J$458="","",[2]Entry!$J$458)</f>
        <v/>
      </c>
      <c r="U455">
        <f>IF([2]Entry!$K$458="","",[2]Entry!$K$458)</f>
        <v/>
      </c>
      <c r="V455">
        <f>IF([2]Entry!$L$458="","",[2]Entry!$L$458)</f>
        <v/>
      </c>
      <c r="W455">
        <f>IF([2]Entry!$M$458="","",[2]Entry!$M$458)</f>
        <v/>
      </c>
      <c r="X455">
        <f>IF([2]Entry!$N$458="","",[2]Entry!$N$458)</f>
        <v/>
      </c>
      <c r="Y455">
        <f>IF([2]Entry!$R$458="","",[2]Entry!$R$458)</f>
        <v/>
      </c>
    </row>
    <row r="456">
      <c r="J456">
        <f>IF([1]Accounts!$D$457="","",[1]Accounts!$A$457)</f>
        <v/>
      </c>
      <c r="K456">
        <f>IF([1]Accounts!$D$457="","",[1]Accounts!$B$457)</f>
        <v/>
      </c>
      <c r="L456">
        <f>IF([1]Accounts!$D$457="","",[1]Accounts!$C$457)</f>
        <v/>
      </c>
      <c r="M456">
        <f>IF([1]Accounts!$D$457="","",[1]Accounts!$D$457)</f>
        <v/>
      </c>
      <c r="P456">
        <f>IF([2]Entry!$C$459="","",[2]Entry!$C$459)</f>
        <v/>
      </c>
      <c r="Q456">
        <f>IF([2]Entry!$D$459="","",[2]Entry!$D$459)</f>
        <v/>
      </c>
      <c r="R456">
        <f>IF([2]Entry!$E$459="","",[2]Entry!$E$459)</f>
        <v/>
      </c>
      <c r="S456">
        <f>IF([2]Entry!$G$459="","",[2]Entry!$G$459)</f>
        <v/>
      </c>
      <c r="T456">
        <f>IF([2]Entry!$J$459="","",[2]Entry!$J$459)</f>
        <v/>
      </c>
      <c r="U456">
        <f>IF([2]Entry!$K$459="","",[2]Entry!$K$459)</f>
        <v/>
      </c>
      <c r="V456">
        <f>IF([2]Entry!$L$459="","",[2]Entry!$L$459)</f>
        <v/>
      </c>
      <c r="W456">
        <f>IF([2]Entry!$M$459="","",[2]Entry!$M$459)</f>
        <v/>
      </c>
      <c r="X456">
        <f>IF([2]Entry!$N$459="","",[2]Entry!$N$459)</f>
        <v/>
      </c>
      <c r="Y456">
        <f>IF([2]Entry!$R$459="","",[2]Entry!$R$459)</f>
        <v/>
      </c>
    </row>
    <row r="457">
      <c r="J457">
        <f>IF([1]Accounts!$D$458="","",[1]Accounts!$A$458)</f>
        <v/>
      </c>
      <c r="K457">
        <f>IF([1]Accounts!$D$458="","",[1]Accounts!$B$458)</f>
        <v/>
      </c>
      <c r="L457">
        <f>IF([1]Accounts!$D$458="","",[1]Accounts!$C$458)</f>
        <v/>
      </c>
      <c r="M457">
        <f>IF([1]Accounts!$D$458="","",[1]Accounts!$D$458)</f>
        <v/>
      </c>
      <c r="P457">
        <f>IF([2]Entry!$C$460="","",[2]Entry!$C$460)</f>
        <v/>
      </c>
      <c r="Q457">
        <f>IF([2]Entry!$D$460="","",[2]Entry!$D$460)</f>
        <v/>
      </c>
      <c r="R457">
        <f>IF([2]Entry!$E$460="","",[2]Entry!$E$460)</f>
        <v/>
      </c>
      <c r="S457">
        <f>IF([2]Entry!$G$460="","",[2]Entry!$G$460)</f>
        <v/>
      </c>
      <c r="T457">
        <f>IF([2]Entry!$J$460="","",[2]Entry!$J$460)</f>
        <v/>
      </c>
      <c r="U457">
        <f>IF([2]Entry!$K$460="","",[2]Entry!$K$460)</f>
        <v/>
      </c>
      <c r="V457">
        <f>IF([2]Entry!$L$460="","",[2]Entry!$L$460)</f>
        <v/>
      </c>
      <c r="W457">
        <f>IF([2]Entry!$M$460="","",[2]Entry!$M$460)</f>
        <v/>
      </c>
      <c r="X457">
        <f>IF([2]Entry!$N$460="","",[2]Entry!$N$460)</f>
        <v/>
      </c>
      <c r="Y457">
        <f>IF([2]Entry!$R$460="","",[2]Entry!$R$460)</f>
        <v/>
      </c>
    </row>
    <row r="458">
      <c r="J458">
        <f>IF([1]Accounts!$D$459="","",[1]Accounts!$A$459)</f>
        <v/>
      </c>
      <c r="K458">
        <f>IF([1]Accounts!$D$459="","",[1]Accounts!$B$459)</f>
        <v/>
      </c>
      <c r="L458">
        <f>IF([1]Accounts!$D$459="","",[1]Accounts!$C$459)</f>
        <v/>
      </c>
      <c r="M458">
        <f>IF([1]Accounts!$D$459="","",[1]Accounts!$D$459)</f>
        <v/>
      </c>
      <c r="P458">
        <f>IF([2]Entry!$C$461="","",[2]Entry!$C$461)</f>
        <v/>
      </c>
      <c r="Q458">
        <f>IF([2]Entry!$D$461="","",[2]Entry!$D$461)</f>
        <v/>
      </c>
      <c r="R458">
        <f>IF([2]Entry!$E$461="","",[2]Entry!$E$461)</f>
        <v/>
      </c>
      <c r="S458">
        <f>IF([2]Entry!$G$461="","",[2]Entry!$G$461)</f>
        <v/>
      </c>
      <c r="T458">
        <f>IF([2]Entry!$J$461="","",[2]Entry!$J$461)</f>
        <v/>
      </c>
      <c r="U458">
        <f>IF([2]Entry!$K$461="","",[2]Entry!$K$461)</f>
        <v/>
      </c>
      <c r="V458">
        <f>IF([2]Entry!$L$461="","",[2]Entry!$L$461)</f>
        <v/>
      </c>
      <c r="W458">
        <f>IF([2]Entry!$M$461="","",[2]Entry!$M$461)</f>
        <v/>
      </c>
      <c r="X458">
        <f>IF([2]Entry!$N$461="","",[2]Entry!$N$461)</f>
        <v/>
      </c>
      <c r="Y458">
        <f>IF([2]Entry!$R$461="","",[2]Entry!$R$461)</f>
        <v/>
      </c>
    </row>
    <row r="459">
      <c r="J459">
        <f>IF([1]Accounts!$D$460="","",[1]Accounts!$A$460)</f>
        <v/>
      </c>
      <c r="K459">
        <f>IF([1]Accounts!$D$460="","",[1]Accounts!$B$460)</f>
        <v/>
      </c>
      <c r="L459">
        <f>IF([1]Accounts!$D$460="","",[1]Accounts!$C$460)</f>
        <v/>
      </c>
      <c r="M459">
        <f>IF([1]Accounts!$D$460="","",[1]Accounts!$D$460)</f>
        <v/>
      </c>
      <c r="P459">
        <f>IF([2]Entry!$C$462="","",[2]Entry!$C$462)</f>
        <v/>
      </c>
      <c r="Q459">
        <f>IF([2]Entry!$D$462="","",[2]Entry!$D$462)</f>
        <v/>
      </c>
      <c r="R459">
        <f>IF([2]Entry!$E$462="","",[2]Entry!$E$462)</f>
        <v/>
      </c>
      <c r="S459">
        <f>IF([2]Entry!$G$462="","",[2]Entry!$G$462)</f>
        <v/>
      </c>
      <c r="T459">
        <f>IF([2]Entry!$J$462="","",[2]Entry!$J$462)</f>
        <v/>
      </c>
      <c r="U459">
        <f>IF([2]Entry!$K$462="","",[2]Entry!$K$462)</f>
        <v/>
      </c>
      <c r="V459">
        <f>IF([2]Entry!$L$462="","",[2]Entry!$L$462)</f>
        <v/>
      </c>
      <c r="W459">
        <f>IF([2]Entry!$M$462="","",[2]Entry!$M$462)</f>
        <v/>
      </c>
      <c r="X459">
        <f>IF([2]Entry!$N$462="","",[2]Entry!$N$462)</f>
        <v/>
      </c>
      <c r="Y459">
        <f>IF([2]Entry!$R$462="","",[2]Entry!$R$462)</f>
        <v/>
      </c>
    </row>
    <row r="460">
      <c r="J460">
        <f>IF([1]Accounts!$D$461="","",[1]Accounts!$A$461)</f>
        <v/>
      </c>
      <c r="K460">
        <f>IF([1]Accounts!$D$461="","",[1]Accounts!$B$461)</f>
        <v/>
      </c>
      <c r="L460">
        <f>IF([1]Accounts!$D$461="","",[1]Accounts!$C$461)</f>
        <v/>
      </c>
      <c r="M460">
        <f>IF([1]Accounts!$D$461="","",[1]Accounts!$D$461)</f>
        <v/>
      </c>
      <c r="P460">
        <f>IF([2]Entry!$C$463="","",[2]Entry!$C$463)</f>
        <v/>
      </c>
      <c r="Q460">
        <f>IF([2]Entry!$D$463="","",[2]Entry!$D$463)</f>
        <v/>
      </c>
      <c r="R460">
        <f>IF([2]Entry!$E$463="","",[2]Entry!$E$463)</f>
        <v/>
      </c>
      <c r="S460">
        <f>IF([2]Entry!$G$463="","",[2]Entry!$G$463)</f>
        <v/>
      </c>
      <c r="T460">
        <f>IF([2]Entry!$J$463="","",[2]Entry!$J$463)</f>
        <v/>
      </c>
      <c r="U460">
        <f>IF([2]Entry!$K$463="","",[2]Entry!$K$463)</f>
        <v/>
      </c>
      <c r="V460">
        <f>IF([2]Entry!$L$463="","",[2]Entry!$L$463)</f>
        <v/>
      </c>
      <c r="W460">
        <f>IF([2]Entry!$M$463="","",[2]Entry!$M$463)</f>
        <v/>
      </c>
      <c r="X460">
        <f>IF([2]Entry!$N$463="","",[2]Entry!$N$463)</f>
        <v/>
      </c>
      <c r="Y460">
        <f>IF([2]Entry!$R$463="","",[2]Entry!$R$463)</f>
        <v/>
      </c>
    </row>
    <row r="461">
      <c r="J461">
        <f>IF([1]Accounts!$D$462="","",[1]Accounts!$A$462)</f>
        <v/>
      </c>
      <c r="K461">
        <f>IF([1]Accounts!$D$462="","",[1]Accounts!$B$462)</f>
        <v/>
      </c>
      <c r="L461">
        <f>IF([1]Accounts!$D$462="","",[1]Accounts!$C$462)</f>
        <v/>
      </c>
      <c r="M461">
        <f>IF([1]Accounts!$D$462="","",[1]Accounts!$D$462)</f>
        <v/>
      </c>
      <c r="P461">
        <f>IF([2]Entry!$C$464="","",[2]Entry!$C$464)</f>
        <v/>
      </c>
      <c r="Q461">
        <f>IF([2]Entry!$D$464="","",[2]Entry!$D$464)</f>
        <v/>
      </c>
      <c r="R461">
        <f>IF([2]Entry!$E$464="","",[2]Entry!$E$464)</f>
        <v/>
      </c>
      <c r="S461">
        <f>IF([2]Entry!$G$464="","",[2]Entry!$G$464)</f>
        <v/>
      </c>
      <c r="T461">
        <f>IF([2]Entry!$J$464="","",[2]Entry!$J$464)</f>
        <v/>
      </c>
      <c r="U461">
        <f>IF([2]Entry!$K$464="","",[2]Entry!$K$464)</f>
        <v/>
      </c>
      <c r="V461">
        <f>IF([2]Entry!$L$464="","",[2]Entry!$L$464)</f>
        <v/>
      </c>
      <c r="W461">
        <f>IF([2]Entry!$M$464="","",[2]Entry!$M$464)</f>
        <v/>
      </c>
      <c r="X461">
        <f>IF([2]Entry!$N$464="","",[2]Entry!$N$464)</f>
        <v/>
      </c>
      <c r="Y461">
        <f>IF([2]Entry!$R$464="","",[2]Entry!$R$464)</f>
        <v/>
      </c>
    </row>
    <row r="462">
      <c r="J462">
        <f>IF([1]Accounts!$D$463="","",[1]Accounts!$A$463)</f>
        <v/>
      </c>
      <c r="K462">
        <f>IF([1]Accounts!$D$463="","",[1]Accounts!$B$463)</f>
        <v/>
      </c>
      <c r="L462">
        <f>IF([1]Accounts!$D$463="","",[1]Accounts!$C$463)</f>
        <v/>
      </c>
      <c r="M462">
        <f>IF([1]Accounts!$D$463="","",[1]Accounts!$D$463)</f>
        <v/>
      </c>
      <c r="P462">
        <f>IF([2]Entry!$C$465="","",[2]Entry!$C$465)</f>
        <v/>
      </c>
      <c r="Q462">
        <f>IF([2]Entry!$D$465="","",[2]Entry!$D$465)</f>
        <v/>
      </c>
      <c r="R462">
        <f>IF([2]Entry!$E$465="","",[2]Entry!$E$465)</f>
        <v/>
      </c>
      <c r="S462">
        <f>IF([2]Entry!$G$465="","",[2]Entry!$G$465)</f>
        <v/>
      </c>
      <c r="T462">
        <f>IF([2]Entry!$J$465="","",[2]Entry!$J$465)</f>
        <v/>
      </c>
      <c r="U462">
        <f>IF([2]Entry!$K$465="","",[2]Entry!$K$465)</f>
        <v/>
      </c>
      <c r="V462">
        <f>IF([2]Entry!$L$465="","",[2]Entry!$L$465)</f>
        <v/>
      </c>
      <c r="W462">
        <f>IF([2]Entry!$M$465="","",[2]Entry!$M$465)</f>
        <v/>
      </c>
      <c r="X462">
        <f>IF([2]Entry!$N$465="","",[2]Entry!$N$465)</f>
        <v/>
      </c>
      <c r="Y462">
        <f>IF([2]Entry!$R$465="","",[2]Entry!$R$465)</f>
        <v/>
      </c>
    </row>
    <row r="463">
      <c r="J463">
        <f>IF([1]Accounts!$D$464="","",[1]Accounts!$A$464)</f>
        <v/>
      </c>
      <c r="K463">
        <f>IF([1]Accounts!$D$464="","",[1]Accounts!$B$464)</f>
        <v/>
      </c>
      <c r="L463">
        <f>IF([1]Accounts!$D$464="","",[1]Accounts!$C$464)</f>
        <v/>
      </c>
      <c r="M463">
        <f>IF([1]Accounts!$D$464="","",[1]Accounts!$D$464)</f>
        <v/>
      </c>
      <c r="P463">
        <f>IF([2]Entry!$C$466="","",[2]Entry!$C$466)</f>
        <v/>
      </c>
      <c r="Q463">
        <f>IF([2]Entry!$D$466="","",[2]Entry!$D$466)</f>
        <v/>
      </c>
      <c r="R463">
        <f>IF([2]Entry!$E$466="","",[2]Entry!$E$466)</f>
        <v/>
      </c>
      <c r="S463">
        <f>IF([2]Entry!$G$466="","",[2]Entry!$G$466)</f>
        <v/>
      </c>
      <c r="T463">
        <f>IF([2]Entry!$J$466="","",[2]Entry!$J$466)</f>
        <v/>
      </c>
      <c r="U463">
        <f>IF([2]Entry!$K$466="","",[2]Entry!$K$466)</f>
        <v/>
      </c>
      <c r="V463">
        <f>IF([2]Entry!$L$466="","",[2]Entry!$L$466)</f>
        <v/>
      </c>
      <c r="W463">
        <f>IF([2]Entry!$M$466="","",[2]Entry!$M$466)</f>
        <v/>
      </c>
      <c r="X463">
        <f>IF([2]Entry!$N$466="","",[2]Entry!$N$466)</f>
        <v/>
      </c>
      <c r="Y463">
        <f>IF([2]Entry!$R$466="","",[2]Entry!$R$466)</f>
        <v/>
      </c>
    </row>
    <row r="464">
      <c r="J464">
        <f>IF([1]Accounts!$D$465="","",[1]Accounts!$A$465)</f>
        <v/>
      </c>
      <c r="K464">
        <f>IF([1]Accounts!$D$465="","",[1]Accounts!$B$465)</f>
        <v/>
      </c>
      <c r="L464">
        <f>IF([1]Accounts!$D$465="","",[1]Accounts!$C$465)</f>
        <v/>
      </c>
      <c r="M464">
        <f>IF([1]Accounts!$D$465="","",[1]Accounts!$D$465)</f>
        <v/>
      </c>
      <c r="P464">
        <f>IF([2]Entry!$C$467="","",[2]Entry!$C$467)</f>
        <v/>
      </c>
      <c r="Q464">
        <f>IF([2]Entry!$D$467="","",[2]Entry!$D$467)</f>
        <v/>
      </c>
      <c r="R464">
        <f>IF([2]Entry!$E$467="","",[2]Entry!$E$467)</f>
        <v/>
      </c>
      <c r="S464">
        <f>IF([2]Entry!$G$467="","",[2]Entry!$G$467)</f>
        <v/>
      </c>
      <c r="T464">
        <f>IF([2]Entry!$J$467="","",[2]Entry!$J$467)</f>
        <v/>
      </c>
      <c r="U464">
        <f>IF([2]Entry!$K$467="","",[2]Entry!$K$467)</f>
        <v/>
      </c>
      <c r="V464">
        <f>IF([2]Entry!$L$467="","",[2]Entry!$L$467)</f>
        <v/>
      </c>
      <c r="W464">
        <f>IF([2]Entry!$M$467="","",[2]Entry!$M$467)</f>
        <v/>
      </c>
      <c r="X464">
        <f>IF([2]Entry!$N$467="","",[2]Entry!$N$467)</f>
        <v/>
      </c>
      <c r="Y464">
        <f>IF([2]Entry!$R$467="","",[2]Entry!$R$467)</f>
        <v/>
      </c>
    </row>
    <row r="465">
      <c r="J465">
        <f>IF([1]Accounts!$D$466="","",[1]Accounts!$A$466)</f>
        <v/>
      </c>
      <c r="K465">
        <f>IF([1]Accounts!$D$466="","",[1]Accounts!$B$466)</f>
        <v/>
      </c>
      <c r="L465">
        <f>IF([1]Accounts!$D$466="","",[1]Accounts!$C$466)</f>
        <v/>
      </c>
      <c r="M465">
        <f>IF([1]Accounts!$D$466="","",[1]Accounts!$D$466)</f>
        <v/>
      </c>
      <c r="P465">
        <f>IF([2]Entry!$C$468="","",[2]Entry!$C$468)</f>
        <v/>
      </c>
      <c r="Q465">
        <f>IF([2]Entry!$D$468="","",[2]Entry!$D$468)</f>
        <v/>
      </c>
      <c r="R465">
        <f>IF([2]Entry!$E$468="","",[2]Entry!$E$468)</f>
        <v/>
      </c>
      <c r="S465">
        <f>IF([2]Entry!$G$468="","",[2]Entry!$G$468)</f>
        <v/>
      </c>
      <c r="T465">
        <f>IF([2]Entry!$J$468="","",[2]Entry!$J$468)</f>
        <v/>
      </c>
      <c r="U465">
        <f>IF([2]Entry!$K$468="","",[2]Entry!$K$468)</f>
        <v/>
      </c>
      <c r="V465">
        <f>IF([2]Entry!$L$468="","",[2]Entry!$L$468)</f>
        <v/>
      </c>
      <c r="W465">
        <f>IF([2]Entry!$M$468="","",[2]Entry!$M$468)</f>
        <v/>
      </c>
      <c r="X465">
        <f>IF([2]Entry!$N$468="","",[2]Entry!$N$468)</f>
        <v/>
      </c>
      <c r="Y465">
        <f>IF([2]Entry!$R$468="","",[2]Entry!$R$468)</f>
        <v/>
      </c>
    </row>
    <row r="466">
      <c r="J466">
        <f>IF([1]Accounts!$D$467="","",[1]Accounts!$A$467)</f>
        <v/>
      </c>
      <c r="K466">
        <f>IF([1]Accounts!$D$467="","",[1]Accounts!$B$467)</f>
        <v/>
      </c>
      <c r="L466">
        <f>IF([1]Accounts!$D$467="","",[1]Accounts!$C$467)</f>
        <v/>
      </c>
      <c r="M466">
        <f>IF([1]Accounts!$D$467="","",[1]Accounts!$D$467)</f>
        <v/>
      </c>
      <c r="P466">
        <f>IF([2]Entry!$C$469="","",[2]Entry!$C$469)</f>
        <v/>
      </c>
      <c r="Q466">
        <f>IF([2]Entry!$D$469="","",[2]Entry!$D$469)</f>
        <v/>
      </c>
      <c r="R466">
        <f>IF([2]Entry!$E$469="","",[2]Entry!$E$469)</f>
        <v/>
      </c>
      <c r="S466">
        <f>IF([2]Entry!$G$469="","",[2]Entry!$G$469)</f>
        <v/>
      </c>
      <c r="T466">
        <f>IF([2]Entry!$J$469="","",[2]Entry!$J$469)</f>
        <v/>
      </c>
      <c r="U466">
        <f>IF([2]Entry!$K$469="","",[2]Entry!$K$469)</f>
        <v/>
      </c>
      <c r="V466">
        <f>IF([2]Entry!$L$469="","",[2]Entry!$L$469)</f>
        <v/>
      </c>
      <c r="W466">
        <f>IF([2]Entry!$M$469="","",[2]Entry!$M$469)</f>
        <v/>
      </c>
      <c r="X466">
        <f>IF([2]Entry!$N$469="","",[2]Entry!$N$469)</f>
        <v/>
      </c>
      <c r="Y466">
        <f>IF([2]Entry!$R$469="","",[2]Entry!$R$469)</f>
        <v/>
      </c>
    </row>
    <row r="467">
      <c r="J467">
        <f>IF([1]Accounts!$D$468="","",[1]Accounts!$A$468)</f>
        <v/>
      </c>
      <c r="K467">
        <f>IF([1]Accounts!$D$468="","",[1]Accounts!$B$468)</f>
        <v/>
      </c>
      <c r="L467">
        <f>IF([1]Accounts!$D$468="","",[1]Accounts!$C$468)</f>
        <v/>
      </c>
      <c r="M467">
        <f>IF([1]Accounts!$D$468="","",[1]Accounts!$D$468)</f>
        <v/>
      </c>
      <c r="P467">
        <f>IF([2]Entry!$C$470="","",[2]Entry!$C$470)</f>
        <v/>
      </c>
      <c r="Q467">
        <f>IF([2]Entry!$D$470="","",[2]Entry!$D$470)</f>
        <v/>
      </c>
      <c r="R467">
        <f>IF([2]Entry!$E$470="","",[2]Entry!$E$470)</f>
        <v/>
      </c>
      <c r="S467">
        <f>IF([2]Entry!$G$470="","",[2]Entry!$G$470)</f>
        <v/>
      </c>
      <c r="T467">
        <f>IF([2]Entry!$J$470="","",[2]Entry!$J$470)</f>
        <v/>
      </c>
      <c r="U467">
        <f>IF([2]Entry!$K$470="","",[2]Entry!$K$470)</f>
        <v/>
      </c>
      <c r="V467">
        <f>IF([2]Entry!$L$470="","",[2]Entry!$L$470)</f>
        <v/>
      </c>
      <c r="W467">
        <f>IF([2]Entry!$M$470="","",[2]Entry!$M$470)</f>
        <v/>
      </c>
      <c r="X467">
        <f>IF([2]Entry!$N$470="","",[2]Entry!$N$470)</f>
        <v/>
      </c>
      <c r="Y467">
        <f>IF([2]Entry!$R$470="","",[2]Entry!$R$470)</f>
        <v/>
      </c>
    </row>
    <row r="468">
      <c r="J468">
        <f>IF([1]Accounts!$D$469="","",[1]Accounts!$A$469)</f>
        <v/>
      </c>
      <c r="K468">
        <f>IF([1]Accounts!$D$469="","",[1]Accounts!$B$469)</f>
        <v/>
      </c>
      <c r="L468">
        <f>IF([1]Accounts!$D$469="","",[1]Accounts!$C$469)</f>
        <v/>
      </c>
      <c r="M468">
        <f>IF([1]Accounts!$D$469="","",[1]Accounts!$D$469)</f>
        <v/>
      </c>
      <c r="P468">
        <f>IF([2]Entry!$C$471="","",[2]Entry!$C$471)</f>
        <v/>
      </c>
      <c r="Q468">
        <f>IF([2]Entry!$D$471="","",[2]Entry!$D$471)</f>
        <v/>
      </c>
      <c r="R468">
        <f>IF([2]Entry!$E$471="","",[2]Entry!$E$471)</f>
        <v/>
      </c>
      <c r="S468">
        <f>IF([2]Entry!$G$471="","",[2]Entry!$G$471)</f>
        <v/>
      </c>
      <c r="T468">
        <f>IF([2]Entry!$J$471="","",[2]Entry!$J$471)</f>
        <v/>
      </c>
      <c r="U468">
        <f>IF([2]Entry!$K$471="","",[2]Entry!$K$471)</f>
        <v/>
      </c>
      <c r="V468">
        <f>IF([2]Entry!$L$471="","",[2]Entry!$L$471)</f>
        <v/>
      </c>
      <c r="W468">
        <f>IF([2]Entry!$M$471="","",[2]Entry!$M$471)</f>
        <v/>
      </c>
      <c r="X468">
        <f>IF([2]Entry!$N$471="","",[2]Entry!$N$471)</f>
        <v/>
      </c>
      <c r="Y468">
        <f>IF([2]Entry!$R$471="","",[2]Entry!$R$471)</f>
        <v/>
      </c>
    </row>
    <row r="469">
      <c r="J469">
        <f>IF([1]Accounts!$D$470="","",[1]Accounts!$A$470)</f>
        <v/>
      </c>
      <c r="K469">
        <f>IF([1]Accounts!$D$470="","",[1]Accounts!$B$470)</f>
        <v/>
      </c>
      <c r="L469">
        <f>IF([1]Accounts!$D$470="","",[1]Accounts!$C$470)</f>
        <v/>
      </c>
      <c r="M469">
        <f>IF([1]Accounts!$D$470="","",[1]Accounts!$D$470)</f>
        <v/>
      </c>
      <c r="P469">
        <f>IF([2]Entry!$C$472="","",[2]Entry!$C$472)</f>
        <v/>
      </c>
      <c r="Q469">
        <f>IF([2]Entry!$D$472="","",[2]Entry!$D$472)</f>
        <v/>
      </c>
      <c r="R469">
        <f>IF([2]Entry!$E$472="","",[2]Entry!$E$472)</f>
        <v/>
      </c>
      <c r="S469">
        <f>IF([2]Entry!$G$472="","",[2]Entry!$G$472)</f>
        <v/>
      </c>
      <c r="T469">
        <f>IF([2]Entry!$J$472="","",[2]Entry!$J$472)</f>
        <v/>
      </c>
      <c r="U469">
        <f>IF([2]Entry!$K$472="","",[2]Entry!$K$472)</f>
        <v/>
      </c>
      <c r="V469">
        <f>IF([2]Entry!$L$472="","",[2]Entry!$L$472)</f>
        <v/>
      </c>
      <c r="W469">
        <f>IF([2]Entry!$M$472="","",[2]Entry!$M$472)</f>
        <v/>
      </c>
      <c r="X469">
        <f>IF([2]Entry!$N$472="","",[2]Entry!$N$472)</f>
        <v/>
      </c>
      <c r="Y469">
        <f>IF([2]Entry!$R$472="","",[2]Entry!$R$472)</f>
        <v/>
      </c>
    </row>
    <row r="470">
      <c r="J470">
        <f>IF([1]Accounts!$D$471="","",[1]Accounts!$A$471)</f>
        <v/>
      </c>
      <c r="K470">
        <f>IF([1]Accounts!$D$471="","",[1]Accounts!$B$471)</f>
        <v/>
      </c>
      <c r="L470">
        <f>IF([1]Accounts!$D$471="","",[1]Accounts!$C$471)</f>
        <v/>
      </c>
      <c r="M470">
        <f>IF([1]Accounts!$D$471="","",[1]Accounts!$D$471)</f>
        <v/>
      </c>
      <c r="P470">
        <f>IF([2]Entry!$C$473="","",[2]Entry!$C$473)</f>
        <v/>
      </c>
      <c r="Q470">
        <f>IF([2]Entry!$D$473="","",[2]Entry!$D$473)</f>
        <v/>
      </c>
      <c r="R470">
        <f>IF([2]Entry!$E$473="","",[2]Entry!$E$473)</f>
        <v/>
      </c>
      <c r="S470">
        <f>IF([2]Entry!$G$473="","",[2]Entry!$G$473)</f>
        <v/>
      </c>
      <c r="T470">
        <f>IF([2]Entry!$J$473="","",[2]Entry!$J$473)</f>
        <v/>
      </c>
      <c r="U470">
        <f>IF([2]Entry!$K$473="","",[2]Entry!$K$473)</f>
        <v/>
      </c>
      <c r="V470">
        <f>IF([2]Entry!$L$473="","",[2]Entry!$L$473)</f>
        <v/>
      </c>
      <c r="W470">
        <f>IF([2]Entry!$M$473="","",[2]Entry!$M$473)</f>
        <v/>
      </c>
      <c r="X470">
        <f>IF([2]Entry!$N$473="","",[2]Entry!$N$473)</f>
        <v/>
      </c>
      <c r="Y470">
        <f>IF([2]Entry!$R$473="","",[2]Entry!$R$473)</f>
        <v/>
      </c>
    </row>
    <row r="471">
      <c r="J471">
        <f>IF([1]Accounts!$D$472="","",[1]Accounts!$A$472)</f>
        <v/>
      </c>
      <c r="K471">
        <f>IF([1]Accounts!$D$472="","",[1]Accounts!$B$472)</f>
        <v/>
      </c>
      <c r="L471">
        <f>IF([1]Accounts!$D$472="","",[1]Accounts!$C$472)</f>
        <v/>
      </c>
      <c r="M471">
        <f>IF([1]Accounts!$D$472="","",[1]Accounts!$D$472)</f>
        <v/>
      </c>
      <c r="P471">
        <f>IF([2]Entry!$C$474="","",[2]Entry!$C$474)</f>
        <v/>
      </c>
      <c r="Q471">
        <f>IF([2]Entry!$D$474="","",[2]Entry!$D$474)</f>
        <v/>
      </c>
      <c r="R471">
        <f>IF([2]Entry!$E$474="","",[2]Entry!$E$474)</f>
        <v/>
      </c>
      <c r="S471">
        <f>IF([2]Entry!$G$474="","",[2]Entry!$G$474)</f>
        <v/>
      </c>
      <c r="T471">
        <f>IF([2]Entry!$J$474="","",[2]Entry!$J$474)</f>
        <v/>
      </c>
      <c r="U471">
        <f>IF([2]Entry!$K$474="","",[2]Entry!$K$474)</f>
        <v/>
      </c>
      <c r="V471">
        <f>IF([2]Entry!$L$474="","",[2]Entry!$L$474)</f>
        <v/>
      </c>
      <c r="W471">
        <f>IF([2]Entry!$M$474="","",[2]Entry!$M$474)</f>
        <v/>
      </c>
      <c r="X471">
        <f>IF([2]Entry!$N$474="","",[2]Entry!$N$474)</f>
        <v/>
      </c>
      <c r="Y471">
        <f>IF([2]Entry!$R$474="","",[2]Entry!$R$474)</f>
        <v/>
      </c>
    </row>
    <row r="472">
      <c r="J472">
        <f>IF([1]Accounts!$D$473="","",[1]Accounts!$A$473)</f>
        <v/>
      </c>
      <c r="K472">
        <f>IF([1]Accounts!$D$473="","",[1]Accounts!$B$473)</f>
        <v/>
      </c>
      <c r="L472">
        <f>IF([1]Accounts!$D$473="","",[1]Accounts!$C$473)</f>
        <v/>
      </c>
      <c r="M472">
        <f>IF([1]Accounts!$D$473="","",[1]Accounts!$D$473)</f>
        <v/>
      </c>
      <c r="P472">
        <f>IF([2]Entry!$C$475="","",[2]Entry!$C$475)</f>
        <v/>
      </c>
      <c r="Q472">
        <f>IF([2]Entry!$D$475="","",[2]Entry!$D$475)</f>
        <v/>
      </c>
      <c r="R472">
        <f>IF([2]Entry!$E$475="","",[2]Entry!$E$475)</f>
        <v/>
      </c>
      <c r="S472">
        <f>IF([2]Entry!$G$475="","",[2]Entry!$G$475)</f>
        <v/>
      </c>
      <c r="T472">
        <f>IF([2]Entry!$J$475="","",[2]Entry!$J$475)</f>
        <v/>
      </c>
      <c r="U472">
        <f>IF([2]Entry!$K$475="","",[2]Entry!$K$475)</f>
        <v/>
      </c>
      <c r="V472">
        <f>IF([2]Entry!$L$475="","",[2]Entry!$L$475)</f>
        <v/>
      </c>
      <c r="W472">
        <f>IF([2]Entry!$M$475="","",[2]Entry!$M$475)</f>
        <v/>
      </c>
      <c r="X472">
        <f>IF([2]Entry!$N$475="","",[2]Entry!$N$475)</f>
        <v/>
      </c>
      <c r="Y472">
        <f>IF([2]Entry!$R$475="","",[2]Entry!$R$475)</f>
        <v/>
      </c>
    </row>
    <row r="473">
      <c r="J473">
        <f>IF([1]Accounts!$D$474="","",[1]Accounts!$A$474)</f>
        <v/>
      </c>
      <c r="K473">
        <f>IF([1]Accounts!$D$474="","",[1]Accounts!$B$474)</f>
        <v/>
      </c>
      <c r="L473">
        <f>IF([1]Accounts!$D$474="","",[1]Accounts!$C$474)</f>
        <v/>
      </c>
      <c r="M473">
        <f>IF([1]Accounts!$D$474="","",[1]Accounts!$D$474)</f>
        <v/>
      </c>
      <c r="P473">
        <f>IF([2]Entry!$C$476="","",[2]Entry!$C$476)</f>
        <v/>
      </c>
      <c r="Q473">
        <f>IF([2]Entry!$D$476="","",[2]Entry!$D$476)</f>
        <v/>
      </c>
      <c r="R473">
        <f>IF([2]Entry!$E$476="","",[2]Entry!$E$476)</f>
        <v/>
      </c>
      <c r="S473">
        <f>IF([2]Entry!$G$476="","",[2]Entry!$G$476)</f>
        <v/>
      </c>
      <c r="T473">
        <f>IF([2]Entry!$J$476="","",[2]Entry!$J$476)</f>
        <v/>
      </c>
      <c r="U473">
        <f>IF([2]Entry!$K$476="","",[2]Entry!$K$476)</f>
        <v/>
      </c>
      <c r="V473">
        <f>IF([2]Entry!$L$476="","",[2]Entry!$L$476)</f>
        <v/>
      </c>
      <c r="W473">
        <f>IF([2]Entry!$M$476="","",[2]Entry!$M$476)</f>
        <v/>
      </c>
      <c r="X473">
        <f>IF([2]Entry!$N$476="","",[2]Entry!$N$476)</f>
        <v/>
      </c>
      <c r="Y473">
        <f>IF([2]Entry!$R$476="","",[2]Entry!$R$476)</f>
        <v/>
      </c>
    </row>
    <row r="474">
      <c r="J474">
        <f>IF([1]Accounts!$D$475="","",[1]Accounts!$A$475)</f>
        <v/>
      </c>
      <c r="K474">
        <f>IF([1]Accounts!$D$475="","",[1]Accounts!$B$475)</f>
        <v/>
      </c>
      <c r="L474">
        <f>IF([1]Accounts!$D$475="","",[1]Accounts!$C$475)</f>
        <v/>
      </c>
      <c r="M474">
        <f>IF([1]Accounts!$D$475="","",[1]Accounts!$D$475)</f>
        <v/>
      </c>
      <c r="P474">
        <f>IF([2]Entry!$C$477="","",[2]Entry!$C$477)</f>
        <v/>
      </c>
      <c r="Q474">
        <f>IF([2]Entry!$D$477="","",[2]Entry!$D$477)</f>
        <v/>
      </c>
      <c r="R474">
        <f>IF([2]Entry!$E$477="","",[2]Entry!$E$477)</f>
        <v/>
      </c>
      <c r="S474">
        <f>IF([2]Entry!$G$477="","",[2]Entry!$G$477)</f>
        <v/>
      </c>
      <c r="T474">
        <f>IF([2]Entry!$J$477="","",[2]Entry!$J$477)</f>
        <v/>
      </c>
      <c r="U474">
        <f>IF([2]Entry!$K$477="","",[2]Entry!$K$477)</f>
        <v/>
      </c>
      <c r="V474">
        <f>IF([2]Entry!$L$477="","",[2]Entry!$L$477)</f>
        <v/>
      </c>
      <c r="W474">
        <f>IF([2]Entry!$M$477="","",[2]Entry!$M$477)</f>
        <v/>
      </c>
      <c r="X474">
        <f>IF([2]Entry!$N$477="","",[2]Entry!$N$477)</f>
        <v/>
      </c>
      <c r="Y474">
        <f>IF([2]Entry!$R$477="","",[2]Entry!$R$477)</f>
        <v/>
      </c>
    </row>
    <row r="475">
      <c r="J475">
        <f>IF([1]Accounts!$D$476="","",[1]Accounts!$A$476)</f>
        <v/>
      </c>
      <c r="K475">
        <f>IF([1]Accounts!$D$476="","",[1]Accounts!$B$476)</f>
        <v/>
      </c>
      <c r="L475">
        <f>IF([1]Accounts!$D$476="","",[1]Accounts!$C$476)</f>
        <v/>
      </c>
      <c r="M475">
        <f>IF([1]Accounts!$D$476="","",[1]Accounts!$D$476)</f>
        <v/>
      </c>
      <c r="P475">
        <f>IF([2]Entry!$C$478="","",[2]Entry!$C$478)</f>
        <v/>
      </c>
      <c r="Q475">
        <f>IF([2]Entry!$D$478="","",[2]Entry!$D$478)</f>
        <v/>
      </c>
      <c r="R475">
        <f>IF([2]Entry!$E$478="","",[2]Entry!$E$478)</f>
        <v/>
      </c>
      <c r="S475">
        <f>IF([2]Entry!$G$478="","",[2]Entry!$G$478)</f>
        <v/>
      </c>
      <c r="T475">
        <f>IF([2]Entry!$J$478="","",[2]Entry!$J$478)</f>
        <v/>
      </c>
      <c r="U475">
        <f>IF([2]Entry!$K$478="","",[2]Entry!$K$478)</f>
        <v/>
      </c>
      <c r="V475">
        <f>IF([2]Entry!$L$478="","",[2]Entry!$L$478)</f>
        <v/>
      </c>
      <c r="W475">
        <f>IF([2]Entry!$M$478="","",[2]Entry!$M$478)</f>
        <v/>
      </c>
      <c r="X475">
        <f>IF([2]Entry!$N$478="","",[2]Entry!$N$478)</f>
        <v/>
      </c>
      <c r="Y475">
        <f>IF([2]Entry!$R$478="","",[2]Entry!$R$478)</f>
        <v/>
      </c>
    </row>
    <row r="476">
      <c r="J476">
        <f>IF([1]Accounts!$D$477="","",[1]Accounts!$A$477)</f>
        <v/>
      </c>
      <c r="K476">
        <f>IF([1]Accounts!$D$477="","",[1]Accounts!$B$477)</f>
        <v/>
      </c>
      <c r="L476">
        <f>IF([1]Accounts!$D$477="","",[1]Accounts!$C$477)</f>
        <v/>
      </c>
      <c r="M476">
        <f>IF([1]Accounts!$D$477="","",[1]Accounts!$D$477)</f>
        <v/>
      </c>
      <c r="P476">
        <f>IF([2]Entry!$C$479="","",[2]Entry!$C$479)</f>
        <v/>
      </c>
      <c r="Q476">
        <f>IF([2]Entry!$D$479="","",[2]Entry!$D$479)</f>
        <v/>
      </c>
      <c r="R476">
        <f>IF([2]Entry!$E$479="","",[2]Entry!$E$479)</f>
        <v/>
      </c>
      <c r="S476">
        <f>IF([2]Entry!$G$479="","",[2]Entry!$G$479)</f>
        <v/>
      </c>
      <c r="T476">
        <f>IF([2]Entry!$J$479="","",[2]Entry!$J$479)</f>
        <v/>
      </c>
      <c r="U476">
        <f>IF([2]Entry!$K$479="","",[2]Entry!$K$479)</f>
        <v/>
      </c>
      <c r="V476">
        <f>IF([2]Entry!$L$479="","",[2]Entry!$L$479)</f>
        <v/>
      </c>
      <c r="W476">
        <f>IF([2]Entry!$M$479="","",[2]Entry!$M$479)</f>
        <v/>
      </c>
      <c r="X476">
        <f>IF([2]Entry!$N$479="","",[2]Entry!$N$479)</f>
        <v/>
      </c>
      <c r="Y476">
        <f>IF([2]Entry!$R$479="","",[2]Entry!$R$479)</f>
        <v/>
      </c>
    </row>
    <row r="477">
      <c r="J477">
        <f>IF([1]Accounts!$D$478="","",[1]Accounts!$A$478)</f>
        <v/>
      </c>
      <c r="K477">
        <f>IF([1]Accounts!$D$478="","",[1]Accounts!$B$478)</f>
        <v/>
      </c>
      <c r="L477">
        <f>IF([1]Accounts!$D$478="","",[1]Accounts!$C$478)</f>
        <v/>
      </c>
      <c r="M477">
        <f>IF([1]Accounts!$D$478="","",[1]Accounts!$D$478)</f>
        <v/>
      </c>
      <c r="P477">
        <f>IF([2]Entry!$C$480="","",[2]Entry!$C$480)</f>
        <v/>
      </c>
      <c r="Q477">
        <f>IF([2]Entry!$D$480="","",[2]Entry!$D$480)</f>
        <v/>
      </c>
      <c r="R477">
        <f>IF([2]Entry!$E$480="","",[2]Entry!$E$480)</f>
        <v/>
      </c>
      <c r="S477">
        <f>IF([2]Entry!$G$480="","",[2]Entry!$G$480)</f>
        <v/>
      </c>
      <c r="T477">
        <f>IF([2]Entry!$J$480="","",[2]Entry!$J$480)</f>
        <v/>
      </c>
      <c r="U477">
        <f>IF([2]Entry!$K$480="","",[2]Entry!$K$480)</f>
        <v/>
      </c>
      <c r="V477">
        <f>IF([2]Entry!$L$480="","",[2]Entry!$L$480)</f>
        <v/>
      </c>
      <c r="W477">
        <f>IF([2]Entry!$M$480="","",[2]Entry!$M$480)</f>
        <v/>
      </c>
      <c r="X477">
        <f>IF([2]Entry!$N$480="","",[2]Entry!$N$480)</f>
        <v/>
      </c>
      <c r="Y477">
        <f>IF([2]Entry!$R$480="","",[2]Entry!$R$480)</f>
        <v/>
      </c>
    </row>
    <row r="478">
      <c r="J478">
        <f>IF([1]Accounts!$D$479="","",[1]Accounts!$A$479)</f>
        <v/>
      </c>
      <c r="K478">
        <f>IF([1]Accounts!$D$479="","",[1]Accounts!$B$479)</f>
        <v/>
      </c>
      <c r="L478">
        <f>IF([1]Accounts!$D$479="","",[1]Accounts!$C$479)</f>
        <v/>
      </c>
      <c r="M478">
        <f>IF([1]Accounts!$D$479="","",[1]Accounts!$D$479)</f>
        <v/>
      </c>
      <c r="P478">
        <f>IF([2]Entry!$C$481="","",[2]Entry!$C$481)</f>
        <v/>
      </c>
      <c r="Q478">
        <f>IF([2]Entry!$D$481="","",[2]Entry!$D$481)</f>
        <v/>
      </c>
      <c r="R478">
        <f>IF([2]Entry!$E$481="","",[2]Entry!$E$481)</f>
        <v/>
      </c>
      <c r="S478">
        <f>IF([2]Entry!$G$481="","",[2]Entry!$G$481)</f>
        <v/>
      </c>
      <c r="T478">
        <f>IF([2]Entry!$J$481="","",[2]Entry!$J$481)</f>
        <v/>
      </c>
      <c r="U478">
        <f>IF([2]Entry!$K$481="","",[2]Entry!$K$481)</f>
        <v/>
      </c>
      <c r="V478">
        <f>IF([2]Entry!$L$481="","",[2]Entry!$L$481)</f>
        <v/>
      </c>
      <c r="W478">
        <f>IF([2]Entry!$M$481="","",[2]Entry!$M$481)</f>
        <v/>
      </c>
      <c r="X478">
        <f>IF([2]Entry!$N$481="","",[2]Entry!$N$481)</f>
        <v/>
      </c>
      <c r="Y478">
        <f>IF([2]Entry!$R$481="","",[2]Entry!$R$481)</f>
        <v/>
      </c>
    </row>
    <row r="479">
      <c r="J479">
        <f>IF([1]Accounts!$D$480="","",[1]Accounts!$A$480)</f>
        <v/>
      </c>
      <c r="K479">
        <f>IF([1]Accounts!$D$480="","",[1]Accounts!$B$480)</f>
        <v/>
      </c>
      <c r="L479">
        <f>IF([1]Accounts!$D$480="","",[1]Accounts!$C$480)</f>
        <v/>
      </c>
      <c r="M479">
        <f>IF([1]Accounts!$D$480="","",[1]Accounts!$D$480)</f>
        <v/>
      </c>
      <c r="P479">
        <f>IF([2]Entry!$C$482="","",[2]Entry!$C$482)</f>
        <v/>
      </c>
      <c r="Q479">
        <f>IF([2]Entry!$D$482="","",[2]Entry!$D$482)</f>
        <v/>
      </c>
      <c r="R479">
        <f>IF([2]Entry!$E$482="","",[2]Entry!$E$482)</f>
        <v/>
      </c>
      <c r="S479">
        <f>IF([2]Entry!$G$482="","",[2]Entry!$G$482)</f>
        <v/>
      </c>
      <c r="T479">
        <f>IF([2]Entry!$J$482="","",[2]Entry!$J$482)</f>
        <v/>
      </c>
      <c r="U479">
        <f>IF([2]Entry!$K$482="","",[2]Entry!$K$482)</f>
        <v/>
      </c>
      <c r="V479">
        <f>IF([2]Entry!$L$482="","",[2]Entry!$L$482)</f>
        <v/>
      </c>
      <c r="W479">
        <f>IF([2]Entry!$M$482="","",[2]Entry!$M$482)</f>
        <v/>
      </c>
      <c r="X479">
        <f>IF([2]Entry!$N$482="","",[2]Entry!$N$482)</f>
        <v/>
      </c>
      <c r="Y479">
        <f>IF([2]Entry!$R$482="","",[2]Entry!$R$482)</f>
        <v/>
      </c>
    </row>
    <row r="480">
      <c r="J480">
        <f>IF([1]Accounts!$D$481="","",[1]Accounts!$A$481)</f>
        <v/>
      </c>
      <c r="K480">
        <f>IF([1]Accounts!$D$481="","",[1]Accounts!$B$481)</f>
        <v/>
      </c>
      <c r="L480">
        <f>IF([1]Accounts!$D$481="","",[1]Accounts!$C$481)</f>
        <v/>
      </c>
      <c r="M480">
        <f>IF([1]Accounts!$D$481="","",[1]Accounts!$D$481)</f>
        <v/>
      </c>
      <c r="P480">
        <f>IF([2]Entry!$C$483="","",[2]Entry!$C$483)</f>
        <v/>
      </c>
      <c r="Q480">
        <f>IF([2]Entry!$D$483="","",[2]Entry!$D$483)</f>
        <v/>
      </c>
      <c r="R480">
        <f>IF([2]Entry!$E$483="","",[2]Entry!$E$483)</f>
        <v/>
      </c>
      <c r="S480">
        <f>IF([2]Entry!$G$483="","",[2]Entry!$G$483)</f>
        <v/>
      </c>
      <c r="T480">
        <f>IF([2]Entry!$J$483="","",[2]Entry!$J$483)</f>
        <v/>
      </c>
      <c r="U480">
        <f>IF([2]Entry!$K$483="","",[2]Entry!$K$483)</f>
        <v/>
      </c>
      <c r="V480">
        <f>IF([2]Entry!$L$483="","",[2]Entry!$L$483)</f>
        <v/>
      </c>
      <c r="W480">
        <f>IF([2]Entry!$M$483="","",[2]Entry!$M$483)</f>
        <v/>
      </c>
      <c r="X480">
        <f>IF([2]Entry!$N$483="","",[2]Entry!$N$483)</f>
        <v/>
      </c>
      <c r="Y480">
        <f>IF([2]Entry!$R$483="","",[2]Entry!$R$483)</f>
        <v/>
      </c>
    </row>
    <row r="481">
      <c r="J481">
        <f>IF([1]Accounts!$D$482="","",[1]Accounts!$A$482)</f>
        <v/>
      </c>
      <c r="K481">
        <f>IF([1]Accounts!$D$482="","",[1]Accounts!$B$482)</f>
        <v/>
      </c>
      <c r="L481">
        <f>IF([1]Accounts!$D$482="","",[1]Accounts!$C$482)</f>
        <v/>
      </c>
      <c r="M481">
        <f>IF([1]Accounts!$D$482="","",[1]Accounts!$D$482)</f>
        <v/>
      </c>
      <c r="P481">
        <f>IF([2]Entry!$C$484="","",[2]Entry!$C$484)</f>
        <v/>
      </c>
      <c r="Q481">
        <f>IF([2]Entry!$D$484="","",[2]Entry!$D$484)</f>
        <v/>
      </c>
      <c r="R481">
        <f>IF([2]Entry!$E$484="","",[2]Entry!$E$484)</f>
        <v/>
      </c>
      <c r="S481">
        <f>IF([2]Entry!$G$484="","",[2]Entry!$G$484)</f>
        <v/>
      </c>
      <c r="T481">
        <f>IF([2]Entry!$J$484="","",[2]Entry!$J$484)</f>
        <v/>
      </c>
      <c r="U481">
        <f>IF([2]Entry!$K$484="","",[2]Entry!$K$484)</f>
        <v/>
      </c>
      <c r="V481">
        <f>IF([2]Entry!$L$484="","",[2]Entry!$L$484)</f>
        <v/>
      </c>
      <c r="W481">
        <f>IF([2]Entry!$M$484="","",[2]Entry!$M$484)</f>
        <v/>
      </c>
      <c r="X481">
        <f>IF([2]Entry!$N$484="","",[2]Entry!$N$484)</f>
        <v/>
      </c>
      <c r="Y481">
        <f>IF([2]Entry!$R$484="","",[2]Entry!$R$484)</f>
        <v/>
      </c>
    </row>
    <row r="482">
      <c r="J482">
        <f>IF([1]Accounts!$D$483="","",[1]Accounts!$A$483)</f>
        <v/>
      </c>
      <c r="K482">
        <f>IF([1]Accounts!$D$483="","",[1]Accounts!$B$483)</f>
        <v/>
      </c>
      <c r="L482">
        <f>IF([1]Accounts!$D$483="","",[1]Accounts!$C$483)</f>
        <v/>
      </c>
      <c r="M482">
        <f>IF([1]Accounts!$D$483="","",[1]Accounts!$D$483)</f>
        <v/>
      </c>
      <c r="P482">
        <f>IF([2]Entry!$C$485="","",[2]Entry!$C$485)</f>
        <v/>
      </c>
      <c r="Q482">
        <f>IF([2]Entry!$D$485="","",[2]Entry!$D$485)</f>
        <v/>
      </c>
      <c r="R482">
        <f>IF([2]Entry!$E$485="","",[2]Entry!$E$485)</f>
        <v/>
      </c>
      <c r="S482">
        <f>IF([2]Entry!$G$485="","",[2]Entry!$G$485)</f>
        <v/>
      </c>
      <c r="T482">
        <f>IF([2]Entry!$J$485="","",[2]Entry!$J$485)</f>
        <v/>
      </c>
      <c r="U482">
        <f>IF([2]Entry!$K$485="","",[2]Entry!$K$485)</f>
        <v/>
      </c>
      <c r="V482">
        <f>IF([2]Entry!$L$485="","",[2]Entry!$L$485)</f>
        <v/>
      </c>
      <c r="W482">
        <f>IF([2]Entry!$M$485="","",[2]Entry!$M$485)</f>
        <v/>
      </c>
      <c r="X482">
        <f>IF([2]Entry!$N$485="","",[2]Entry!$N$485)</f>
        <v/>
      </c>
      <c r="Y482">
        <f>IF([2]Entry!$R$485="","",[2]Entry!$R$485)</f>
        <v/>
      </c>
    </row>
    <row r="483">
      <c r="J483">
        <f>IF([1]Accounts!$D$484="","",[1]Accounts!$A$484)</f>
        <v/>
      </c>
      <c r="K483">
        <f>IF([1]Accounts!$D$484="","",[1]Accounts!$B$484)</f>
        <v/>
      </c>
      <c r="L483">
        <f>IF([1]Accounts!$D$484="","",[1]Accounts!$C$484)</f>
        <v/>
      </c>
      <c r="M483">
        <f>IF([1]Accounts!$D$484="","",[1]Accounts!$D$484)</f>
        <v/>
      </c>
      <c r="P483">
        <f>IF([2]Entry!$C$486="","",[2]Entry!$C$486)</f>
        <v/>
      </c>
      <c r="Q483">
        <f>IF([2]Entry!$D$486="","",[2]Entry!$D$486)</f>
        <v/>
      </c>
      <c r="R483">
        <f>IF([2]Entry!$E$486="","",[2]Entry!$E$486)</f>
        <v/>
      </c>
      <c r="S483">
        <f>IF([2]Entry!$G$486="","",[2]Entry!$G$486)</f>
        <v/>
      </c>
      <c r="T483">
        <f>IF([2]Entry!$J$486="","",[2]Entry!$J$486)</f>
        <v/>
      </c>
      <c r="U483">
        <f>IF([2]Entry!$K$486="","",[2]Entry!$K$486)</f>
        <v/>
      </c>
      <c r="V483">
        <f>IF([2]Entry!$L$486="","",[2]Entry!$L$486)</f>
        <v/>
      </c>
      <c r="W483">
        <f>IF([2]Entry!$M$486="","",[2]Entry!$M$486)</f>
        <v/>
      </c>
      <c r="X483">
        <f>IF([2]Entry!$N$486="","",[2]Entry!$N$486)</f>
        <v/>
      </c>
      <c r="Y483">
        <f>IF([2]Entry!$R$486="","",[2]Entry!$R$486)</f>
        <v/>
      </c>
    </row>
    <row r="484">
      <c r="J484">
        <f>IF([1]Accounts!$D$485="","",[1]Accounts!$A$485)</f>
        <v/>
      </c>
      <c r="K484">
        <f>IF([1]Accounts!$D$485="","",[1]Accounts!$B$485)</f>
        <v/>
      </c>
      <c r="L484">
        <f>IF([1]Accounts!$D$485="","",[1]Accounts!$C$485)</f>
        <v/>
      </c>
      <c r="M484">
        <f>IF([1]Accounts!$D$485="","",[1]Accounts!$D$485)</f>
        <v/>
      </c>
      <c r="P484">
        <f>IF([2]Entry!$C$487="","",[2]Entry!$C$487)</f>
        <v/>
      </c>
      <c r="Q484">
        <f>IF([2]Entry!$D$487="","",[2]Entry!$D$487)</f>
        <v/>
      </c>
      <c r="R484">
        <f>IF([2]Entry!$E$487="","",[2]Entry!$E$487)</f>
        <v/>
      </c>
      <c r="S484">
        <f>IF([2]Entry!$G$487="","",[2]Entry!$G$487)</f>
        <v/>
      </c>
      <c r="T484">
        <f>IF([2]Entry!$J$487="","",[2]Entry!$J$487)</f>
        <v/>
      </c>
      <c r="U484">
        <f>IF([2]Entry!$K$487="","",[2]Entry!$K$487)</f>
        <v/>
      </c>
      <c r="V484">
        <f>IF([2]Entry!$L$487="","",[2]Entry!$L$487)</f>
        <v/>
      </c>
      <c r="W484">
        <f>IF([2]Entry!$M$487="","",[2]Entry!$M$487)</f>
        <v/>
      </c>
      <c r="X484">
        <f>IF([2]Entry!$N$487="","",[2]Entry!$N$487)</f>
        <v/>
      </c>
      <c r="Y484">
        <f>IF([2]Entry!$R$487="","",[2]Entry!$R$487)</f>
        <v/>
      </c>
    </row>
    <row r="485">
      <c r="J485">
        <f>IF([1]Accounts!$D$486="","",[1]Accounts!$A$486)</f>
        <v/>
      </c>
      <c r="K485">
        <f>IF([1]Accounts!$D$486="","",[1]Accounts!$B$486)</f>
        <v/>
      </c>
      <c r="L485">
        <f>IF([1]Accounts!$D$486="","",[1]Accounts!$C$486)</f>
        <v/>
      </c>
      <c r="M485">
        <f>IF([1]Accounts!$D$486="","",[1]Accounts!$D$486)</f>
        <v/>
      </c>
      <c r="P485">
        <f>IF([2]Entry!$C$488="","",[2]Entry!$C$488)</f>
        <v/>
      </c>
      <c r="Q485">
        <f>IF([2]Entry!$D$488="","",[2]Entry!$D$488)</f>
        <v/>
      </c>
      <c r="R485">
        <f>IF([2]Entry!$E$488="","",[2]Entry!$E$488)</f>
        <v/>
      </c>
      <c r="S485">
        <f>IF([2]Entry!$G$488="","",[2]Entry!$G$488)</f>
        <v/>
      </c>
      <c r="T485">
        <f>IF([2]Entry!$J$488="","",[2]Entry!$J$488)</f>
        <v/>
      </c>
      <c r="U485">
        <f>IF([2]Entry!$K$488="","",[2]Entry!$K$488)</f>
        <v/>
      </c>
      <c r="V485">
        <f>IF([2]Entry!$L$488="","",[2]Entry!$L$488)</f>
        <v/>
      </c>
      <c r="W485">
        <f>IF([2]Entry!$M$488="","",[2]Entry!$M$488)</f>
        <v/>
      </c>
      <c r="X485">
        <f>IF([2]Entry!$N$488="","",[2]Entry!$N$488)</f>
        <v/>
      </c>
      <c r="Y485">
        <f>IF([2]Entry!$R$488="","",[2]Entry!$R$488)</f>
        <v/>
      </c>
    </row>
    <row r="486">
      <c r="J486">
        <f>IF([1]Accounts!$D$487="","",[1]Accounts!$A$487)</f>
        <v/>
      </c>
      <c r="K486">
        <f>IF([1]Accounts!$D$487="","",[1]Accounts!$B$487)</f>
        <v/>
      </c>
      <c r="L486">
        <f>IF([1]Accounts!$D$487="","",[1]Accounts!$C$487)</f>
        <v/>
      </c>
      <c r="M486">
        <f>IF([1]Accounts!$D$487="","",[1]Accounts!$D$487)</f>
        <v/>
      </c>
      <c r="P486">
        <f>IF([2]Entry!$C$489="","",[2]Entry!$C$489)</f>
        <v/>
      </c>
      <c r="Q486">
        <f>IF([2]Entry!$D$489="","",[2]Entry!$D$489)</f>
        <v/>
      </c>
      <c r="R486">
        <f>IF([2]Entry!$E$489="","",[2]Entry!$E$489)</f>
        <v/>
      </c>
      <c r="S486">
        <f>IF([2]Entry!$G$489="","",[2]Entry!$G$489)</f>
        <v/>
      </c>
      <c r="T486">
        <f>IF([2]Entry!$J$489="","",[2]Entry!$J$489)</f>
        <v/>
      </c>
      <c r="U486">
        <f>IF([2]Entry!$K$489="","",[2]Entry!$K$489)</f>
        <v/>
      </c>
      <c r="V486">
        <f>IF([2]Entry!$L$489="","",[2]Entry!$L$489)</f>
        <v/>
      </c>
      <c r="W486">
        <f>IF([2]Entry!$M$489="","",[2]Entry!$M$489)</f>
        <v/>
      </c>
      <c r="X486">
        <f>IF([2]Entry!$N$489="","",[2]Entry!$N$489)</f>
        <v/>
      </c>
      <c r="Y486">
        <f>IF([2]Entry!$R$489="","",[2]Entry!$R$489)</f>
        <v/>
      </c>
    </row>
    <row r="487">
      <c r="J487">
        <f>IF([1]Accounts!$D$488="","",[1]Accounts!$A$488)</f>
        <v/>
      </c>
      <c r="K487">
        <f>IF([1]Accounts!$D$488="","",[1]Accounts!$B$488)</f>
        <v/>
      </c>
      <c r="L487">
        <f>IF([1]Accounts!$D$488="","",[1]Accounts!$C$488)</f>
        <v/>
      </c>
      <c r="M487">
        <f>IF([1]Accounts!$D$488="","",[1]Accounts!$D$488)</f>
        <v/>
      </c>
      <c r="P487">
        <f>IF([2]Entry!$C$490="","",[2]Entry!$C$490)</f>
        <v/>
      </c>
      <c r="Q487">
        <f>IF([2]Entry!$D$490="","",[2]Entry!$D$490)</f>
        <v/>
      </c>
      <c r="R487">
        <f>IF([2]Entry!$E$490="","",[2]Entry!$E$490)</f>
        <v/>
      </c>
      <c r="S487">
        <f>IF([2]Entry!$G$490="","",[2]Entry!$G$490)</f>
        <v/>
      </c>
      <c r="T487">
        <f>IF([2]Entry!$J$490="","",[2]Entry!$J$490)</f>
        <v/>
      </c>
      <c r="U487">
        <f>IF([2]Entry!$K$490="","",[2]Entry!$K$490)</f>
        <v/>
      </c>
      <c r="V487">
        <f>IF([2]Entry!$L$490="","",[2]Entry!$L$490)</f>
        <v/>
      </c>
      <c r="W487">
        <f>IF([2]Entry!$M$490="","",[2]Entry!$M$490)</f>
        <v/>
      </c>
      <c r="X487">
        <f>IF([2]Entry!$N$490="","",[2]Entry!$N$490)</f>
        <v/>
      </c>
      <c r="Y487">
        <f>IF([2]Entry!$R$490="","",[2]Entry!$R$490)</f>
        <v/>
      </c>
    </row>
    <row r="488">
      <c r="J488">
        <f>IF([1]Accounts!$D$489="","",[1]Accounts!$A$489)</f>
        <v/>
      </c>
      <c r="K488">
        <f>IF([1]Accounts!$D$489="","",[1]Accounts!$B$489)</f>
        <v/>
      </c>
      <c r="L488">
        <f>IF([1]Accounts!$D$489="","",[1]Accounts!$C$489)</f>
        <v/>
      </c>
      <c r="M488">
        <f>IF([1]Accounts!$D$489="","",[1]Accounts!$D$489)</f>
        <v/>
      </c>
      <c r="P488">
        <f>IF([2]Entry!$C$491="","",[2]Entry!$C$491)</f>
        <v/>
      </c>
      <c r="Q488">
        <f>IF([2]Entry!$D$491="","",[2]Entry!$D$491)</f>
        <v/>
      </c>
      <c r="R488">
        <f>IF([2]Entry!$E$491="","",[2]Entry!$E$491)</f>
        <v/>
      </c>
      <c r="S488">
        <f>IF([2]Entry!$G$491="","",[2]Entry!$G$491)</f>
        <v/>
      </c>
      <c r="T488">
        <f>IF([2]Entry!$J$491="","",[2]Entry!$J$491)</f>
        <v/>
      </c>
      <c r="U488">
        <f>IF([2]Entry!$K$491="","",[2]Entry!$K$491)</f>
        <v/>
      </c>
      <c r="V488">
        <f>IF([2]Entry!$L$491="","",[2]Entry!$L$491)</f>
        <v/>
      </c>
      <c r="W488">
        <f>IF([2]Entry!$M$491="","",[2]Entry!$M$491)</f>
        <v/>
      </c>
      <c r="X488">
        <f>IF([2]Entry!$N$491="","",[2]Entry!$N$491)</f>
        <v/>
      </c>
      <c r="Y488">
        <f>IF([2]Entry!$R$491="","",[2]Entry!$R$491)</f>
        <v/>
      </c>
    </row>
    <row r="489">
      <c r="J489">
        <f>IF([1]Accounts!$D$490="","",[1]Accounts!$A$490)</f>
        <v/>
      </c>
      <c r="K489">
        <f>IF([1]Accounts!$D$490="","",[1]Accounts!$B$490)</f>
        <v/>
      </c>
      <c r="L489">
        <f>IF([1]Accounts!$D$490="","",[1]Accounts!$C$490)</f>
        <v/>
      </c>
      <c r="M489">
        <f>IF([1]Accounts!$D$490="","",[1]Accounts!$D$490)</f>
        <v/>
      </c>
      <c r="P489">
        <f>IF([2]Entry!$C$492="","",[2]Entry!$C$492)</f>
        <v/>
      </c>
      <c r="Q489">
        <f>IF([2]Entry!$D$492="","",[2]Entry!$D$492)</f>
        <v/>
      </c>
      <c r="R489">
        <f>IF([2]Entry!$E$492="","",[2]Entry!$E$492)</f>
        <v/>
      </c>
      <c r="S489">
        <f>IF([2]Entry!$G$492="","",[2]Entry!$G$492)</f>
        <v/>
      </c>
      <c r="T489">
        <f>IF([2]Entry!$J$492="","",[2]Entry!$J$492)</f>
        <v/>
      </c>
      <c r="U489">
        <f>IF([2]Entry!$K$492="","",[2]Entry!$K$492)</f>
        <v/>
      </c>
      <c r="V489">
        <f>IF([2]Entry!$L$492="","",[2]Entry!$L$492)</f>
        <v/>
      </c>
      <c r="W489">
        <f>IF([2]Entry!$M$492="","",[2]Entry!$M$492)</f>
        <v/>
      </c>
      <c r="X489">
        <f>IF([2]Entry!$N$492="","",[2]Entry!$N$492)</f>
        <v/>
      </c>
      <c r="Y489">
        <f>IF([2]Entry!$R$492="","",[2]Entry!$R$492)</f>
        <v/>
      </c>
    </row>
    <row r="490">
      <c r="J490">
        <f>IF([1]Accounts!$D$491="","",[1]Accounts!$A$491)</f>
        <v/>
      </c>
      <c r="K490">
        <f>IF([1]Accounts!$D$491="","",[1]Accounts!$B$491)</f>
        <v/>
      </c>
      <c r="L490">
        <f>IF([1]Accounts!$D$491="","",[1]Accounts!$C$491)</f>
        <v/>
      </c>
      <c r="M490">
        <f>IF([1]Accounts!$D$491="","",[1]Accounts!$D$491)</f>
        <v/>
      </c>
      <c r="P490">
        <f>IF([2]Entry!$C$493="","",[2]Entry!$C$493)</f>
        <v/>
      </c>
      <c r="Q490">
        <f>IF([2]Entry!$D$493="","",[2]Entry!$D$493)</f>
        <v/>
      </c>
      <c r="R490">
        <f>IF([2]Entry!$E$493="","",[2]Entry!$E$493)</f>
        <v/>
      </c>
      <c r="S490">
        <f>IF([2]Entry!$G$493="","",[2]Entry!$G$493)</f>
        <v/>
      </c>
      <c r="T490">
        <f>IF([2]Entry!$J$493="","",[2]Entry!$J$493)</f>
        <v/>
      </c>
      <c r="U490">
        <f>IF([2]Entry!$K$493="","",[2]Entry!$K$493)</f>
        <v/>
      </c>
      <c r="V490">
        <f>IF([2]Entry!$L$493="","",[2]Entry!$L$493)</f>
        <v/>
      </c>
      <c r="W490">
        <f>IF([2]Entry!$M$493="","",[2]Entry!$M$493)</f>
        <v/>
      </c>
      <c r="X490">
        <f>IF([2]Entry!$N$493="","",[2]Entry!$N$493)</f>
        <v/>
      </c>
      <c r="Y490">
        <f>IF([2]Entry!$R$493="","",[2]Entry!$R$493)</f>
        <v/>
      </c>
    </row>
    <row r="491">
      <c r="J491">
        <f>IF([1]Accounts!$D$492="","",[1]Accounts!$A$492)</f>
        <v/>
      </c>
      <c r="K491">
        <f>IF([1]Accounts!$D$492="","",[1]Accounts!$B$492)</f>
        <v/>
      </c>
      <c r="L491">
        <f>IF([1]Accounts!$D$492="","",[1]Accounts!$C$492)</f>
        <v/>
      </c>
      <c r="M491">
        <f>IF([1]Accounts!$D$492="","",[1]Accounts!$D$492)</f>
        <v/>
      </c>
      <c r="P491">
        <f>IF([2]Entry!$C$494="","",[2]Entry!$C$494)</f>
        <v/>
      </c>
      <c r="Q491">
        <f>IF([2]Entry!$D$494="","",[2]Entry!$D$494)</f>
        <v/>
      </c>
      <c r="R491">
        <f>IF([2]Entry!$E$494="","",[2]Entry!$E$494)</f>
        <v/>
      </c>
      <c r="S491">
        <f>IF([2]Entry!$G$494="","",[2]Entry!$G$494)</f>
        <v/>
      </c>
      <c r="T491">
        <f>IF([2]Entry!$J$494="","",[2]Entry!$J$494)</f>
        <v/>
      </c>
      <c r="U491">
        <f>IF([2]Entry!$K$494="","",[2]Entry!$K$494)</f>
        <v/>
      </c>
      <c r="V491">
        <f>IF([2]Entry!$L$494="","",[2]Entry!$L$494)</f>
        <v/>
      </c>
      <c r="W491">
        <f>IF([2]Entry!$M$494="","",[2]Entry!$M$494)</f>
        <v/>
      </c>
      <c r="X491">
        <f>IF([2]Entry!$N$494="","",[2]Entry!$N$494)</f>
        <v/>
      </c>
      <c r="Y491">
        <f>IF([2]Entry!$R$494="","",[2]Entry!$R$494)</f>
        <v/>
      </c>
    </row>
    <row r="492">
      <c r="J492">
        <f>IF([1]Accounts!$D$493="","",[1]Accounts!$A$493)</f>
        <v/>
      </c>
      <c r="K492">
        <f>IF([1]Accounts!$D$493="","",[1]Accounts!$B$493)</f>
        <v/>
      </c>
      <c r="L492">
        <f>IF([1]Accounts!$D$493="","",[1]Accounts!$C$493)</f>
        <v/>
      </c>
      <c r="M492">
        <f>IF([1]Accounts!$D$493="","",[1]Accounts!$D$493)</f>
        <v/>
      </c>
      <c r="P492">
        <f>IF([2]Entry!$C$495="","",[2]Entry!$C$495)</f>
        <v/>
      </c>
      <c r="Q492">
        <f>IF([2]Entry!$D$495="","",[2]Entry!$D$495)</f>
        <v/>
      </c>
      <c r="R492">
        <f>IF([2]Entry!$E$495="","",[2]Entry!$E$495)</f>
        <v/>
      </c>
      <c r="S492">
        <f>IF([2]Entry!$G$495="","",[2]Entry!$G$495)</f>
        <v/>
      </c>
      <c r="T492">
        <f>IF([2]Entry!$J$495="","",[2]Entry!$J$495)</f>
        <v/>
      </c>
      <c r="U492">
        <f>IF([2]Entry!$K$495="","",[2]Entry!$K$495)</f>
        <v/>
      </c>
      <c r="V492">
        <f>IF([2]Entry!$L$495="","",[2]Entry!$L$495)</f>
        <v/>
      </c>
      <c r="W492">
        <f>IF([2]Entry!$M$495="","",[2]Entry!$M$495)</f>
        <v/>
      </c>
      <c r="X492">
        <f>IF([2]Entry!$N$495="","",[2]Entry!$N$495)</f>
        <v/>
      </c>
      <c r="Y492">
        <f>IF([2]Entry!$R$495="","",[2]Entry!$R$495)</f>
        <v/>
      </c>
    </row>
    <row r="493">
      <c r="J493">
        <f>IF([1]Accounts!$D$494="","",[1]Accounts!$A$494)</f>
        <v/>
      </c>
      <c r="K493">
        <f>IF([1]Accounts!$D$494="","",[1]Accounts!$B$494)</f>
        <v/>
      </c>
      <c r="L493">
        <f>IF([1]Accounts!$D$494="","",[1]Accounts!$C$494)</f>
        <v/>
      </c>
      <c r="M493">
        <f>IF([1]Accounts!$D$494="","",[1]Accounts!$D$494)</f>
        <v/>
      </c>
      <c r="P493">
        <f>IF([2]Entry!$C$496="","",[2]Entry!$C$496)</f>
        <v/>
      </c>
      <c r="Q493">
        <f>IF([2]Entry!$D$496="","",[2]Entry!$D$496)</f>
        <v/>
      </c>
      <c r="R493">
        <f>IF([2]Entry!$E$496="","",[2]Entry!$E$496)</f>
        <v/>
      </c>
      <c r="S493">
        <f>IF([2]Entry!$G$496="","",[2]Entry!$G$496)</f>
        <v/>
      </c>
      <c r="T493">
        <f>IF([2]Entry!$J$496="","",[2]Entry!$J$496)</f>
        <v/>
      </c>
      <c r="U493">
        <f>IF([2]Entry!$K$496="","",[2]Entry!$K$496)</f>
        <v/>
      </c>
      <c r="V493">
        <f>IF([2]Entry!$L$496="","",[2]Entry!$L$496)</f>
        <v/>
      </c>
      <c r="W493">
        <f>IF([2]Entry!$M$496="","",[2]Entry!$M$496)</f>
        <v/>
      </c>
      <c r="X493">
        <f>IF([2]Entry!$N$496="","",[2]Entry!$N$496)</f>
        <v/>
      </c>
      <c r="Y493">
        <f>IF([2]Entry!$R$496="","",[2]Entry!$R$496)</f>
        <v/>
      </c>
    </row>
    <row r="494">
      <c r="J494">
        <f>IF([1]Accounts!$D$495="","",[1]Accounts!$A$495)</f>
        <v/>
      </c>
      <c r="K494">
        <f>IF([1]Accounts!$D$495="","",[1]Accounts!$B$495)</f>
        <v/>
      </c>
      <c r="L494">
        <f>IF([1]Accounts!$D$495="","",[1]Accounts!$C$495)</f>
        <v/>
      </c>
      <c r="M494">
        <f>IF([1]Accounts!$D$495="","",[1]Accounts!$D$495)</f>
        <v/>
      </c>
      <c r="P494">
        <f>IF([2]Entry!$C$497="","",[2]Entry!$C$497)</f>
        <v/>
      </c>
      <c r="Q494">
        <f>IF([2]Entry!$D$497="","",[2]Entry!$D$497)</f>
        <v/>
      </c>
      <c r="R494">
        <f>IF([2]Entry!$E$497="","",[2]Entry!$E$497)</f>
        <v/>
      </c>
      <c r="S494">
        <f>IF([2]Entry!$G$497="","",[2]Entry!$G$497)</f>
        <v/>
      </c>
      <c r="T494">
        <f>IF([2]Entry!$J$497="","",[2]Entry!$J$497)</f>
        <v/>
      </c>
      <c r="U494">
        <f>IF([2]Entry!$K$497="","",[2]Entry!$K$497)</f>
        <v/>
      </c>
      <c r="V494">
        <f>IF([2]Entry!$L$497="","",[2]Entry!$L$497)</f>
        <v/>
      </c>
      <c r="W494">
        <f>IF([2]Entry!$M$497="","",[2]Entry!$M$497)</f>
        <v/>
      </c>
      <c r="X494">
        <f>IF([2]Entry!$N$497="","",[2]Entry!$N$497)</f>
        <v/>
      </c>
      <c r="Y494">
        <f>IF([2]Entry!$R$497="","",[2]Entry!$R$497)</f>
        <v/>
      </c>
    </row>
    <row r="495">
      <c r="J495">
        <f>IF([1]Accounts!$D$496="","",[1]Accounts!$A$496)</f>
        <v/>
      </c>
      <c r="K495">
        <f>IF([1]Accounts!$D$496="","",[1]Accounts!$B$496)</f>
        <v/>
      </c>
      <c r="L495">
        <f>IF([1]Accounts!$D$496="","",[1]Accounts!$C$496)</f>
        <v/>
      </c>
      <c r="M495">
        <f>IF([1]Accounts!$D$496="","",[1]Accounts!$D$496)</f>
        <v/>
      </c>
      <c r="P495">
        <f>IF([2]Entry!$C$498="","",[2]Entry!$C$498)</f>
        <v/>
      </c>
      <c r="Q495">
        <f>IF([2]Entry!$D$498="","",[2]Entry!$D$498)</f>
        <v/>
      </c>
      <c r="R495">
        <f>IF([2]Entry!$E$498="","",[2]Entry!$E$498)</f>
        <v/>
      </c>
      <c r="S495">
        <f>IF([2]Entry!$G$498="","",[2]Entry!$G$498)</f>
        <v/>
      </c>
      <c r="T495">
        <f>IF([2]Entry!$J$498="","",[2]Entry!$J$498)</f>
        <v/>
      </c>
      <c r="U495">
        <f>IF([2]Entry!$K$498="","",[2]Entry!$K$498)</f>
        <v/>
      </c>
      <c r="V495">
        <f>IF([2]Entry!$L$498="","",[2]Entry!$L$498)</f>
        <v/>
      </c>
      <c r="W495">
        <f>IF([2]Entry!$M$498="","",[2]Entry!$M$498)</f>
        <v/>
      </c>
      <c r="X495">
        <f>IF([2]Entry!$N$498="","",[2]Entry!$N$498)</f>
        <v/>
      </c>
      <c r="Y495">
        <f>IF([2]Entry!$R$498="","",[2]Entry!$R$498)</f>
        <v/>
      </c>
    </row>
    <row r="496">
      <c r="J496">
        <f>IF([1]Accounts!$D$497="","",[1]Accounts!$A$497)</f>
        <v/>
      </c>
      <c r="K496">
        <f>IF([1]Accounts!$D$497="","",[1]Accounts!$B$497)</f>
        <v/>
      </c>
      <c r="L496">
        <f>IF([1]Accounts!$D$497="","",[1]Accounts!$C$497)</f>
        <v/>
      </c>
      <c r="M496">
        <f>IF([1]Accounts!$D$497="","",[1]Accounts!$D$497)</f>
        <v/>
      </c>
      <c r="P496">
        <f>IF([2]Entry!$C$499="","",[2]Entry!$C$499)</f>
        <v/>
      </c>
      <c r="Q496">
        <f>IF([2]Entry!$D$499="","",[2]Entry!$D$499)</f>
        <v/>
      </c>
      <c r="R496">
        <f>IF([2]Entry!$E$499="","",[2]Entry!$E$499)</f>
        <v/>
      </c>
      <c r="S496">
        <f>IF([2]Entry!$G$499="","",[2]Entry!$G$499)</f>
        <v/>
      </c>
      <c r="T496">
        <f>IF([2]Entry!$J$499="","",[2]Entry!$J$499)</f>
        <v/>
      </c>
      <c r="U496">
        <f>IF([2]Entry!$K$499="","",[2]Entry!$K$499)</f>
        <v/>
      </c>
      <c r="V496">
        <f>IF([2]Entry!$L$499="","",[2]Entry!$L$499)</f>
        <v/>
      </c>
      <c r="W496">
        <f>IF([2]Entry!$M$499="","",[2]Entry!$M$499)</f>
        <v/>
      </c>
      <c r="X496">
        <f>IF([2]Entry!$N$499="","",[2]Entry!$N$499)</f>
        <v/>
      </c>
      <c r="Y496">
        <f>IF([2]Entry!$R$499="","",[2]Entry!$R$499)</f>
        <v/>
      </c>
    </row>
    <row r="497">
      <c r="J497">
        <f>IF([1]Accounts!$D$498="","",[1]Accounts!$A$498)</f>
        <v/>
      </c>
      <c r="K497">
        <f>IF([1]Accounts!$D$498="","",[1]Accounts!$B$498)</f>
        <v/>
      </c>
      <c r="L497">
        <f>IF([1]Accounts!$D$498="","",[1]Accounts!$C$498)</f>
        <v/>
      </c>
      <c r="M497">
        <f>IF([1]Accounts!$D$498="","",[1]Accounts!$D$498)</f>
        <v/>
      </c>
      <c r="P497">
        <f>IF([2]Entry!$C$500="","",[2]Entry!$C$500)</f>
        <v/>
      </c>
      <c r="Q497">
        <f>IF([2]Entry!$D$500="","",[2]Entry!$D$500)</f>
        <v/>
      </c>
      <c r="R497">
        <f>IF([2]Entry!$E$500="","",[2]Entry!$E$500)</f>
        <v/>
      </c>
      <c r="S497">
        <f>IF([2]Entry!$G$500="","",[2]Entry!$G$500)</f>
        <v/>
      </c>
      <c r="T497">
        <f>IF([2]Entry!$J$500="","",[2]Entry!$J$500)</f>
        <v/>
      </c>
      <c r="U497">
        <f>IF([2]Entry!$K$500="","",[2]Entry!$K$500)</f>
        <v/>
      </c>
      <c r="V497">
        <f>IF([2]Entry!$L$500="","",[2]Entry!$L$500)</f>
        <v/>
      </c>
      <c r="W497">
        <f>IF([2]Entry!$M$500="","",[2]Entry!$M$500)</f>
        <v/>
      </c>
      <c r="X497">
        <f>IF([2]Entry!$N$500="","",[2]Entry!$N$500)</f>
        <v/>
      </c>
      <c r="Y497">
        <f>IF([2]Entry!$R$500="","",[2]Entry!$R$500)</f>
        <v/>
      </c>
    </row>
    <row r="498">
      <c r="J498">
        <f>IF([1]Accounts!$D$499="","",[1]Accounts!$A$499)</f>
        <v/>
      </c>
      <c r="K498">
        <f>IF([1]Accounts!$D$499="","",[1]Accounts!$B$499)</f>
        <v/>
      </c>
      <c r="L498">
        <f>IF([1]Accounts!$D$499="","",[1]Accounts!$C$499)</f>
        <v/>
      </c>
      <c r="M498">
        <f>IF([1]Accounts!$D$499="","",[1]Accounts!$D$499)</f>
        <v/>
      </c>
      <c r="P498">
        <f>IF([2]Entry!$C$501="","",[2]Entry!$C$501)</f>
        <v/>
      </c>
      <c r="Q498">
        <f>IF([2]Entry!$D$501="","",[2]Entry!$D$501)</f>
        <v/>
      </c>
      <c r="R498">
        <f>IF([2]Entry!$E$501="","",[2]Entry!$E$501)</f>
        <v/>
      </c>
      <c r="S498">
        <f>IF([2]Entry!$G$501="","",[2]Entry!$G$501)</f>
        <v/>
      </c>
      <c r="T498">
        <f>IF([2]Entry!$J$501="","",[2]Entry!$J$501)</f>
        <v/>
      </c>
      <c r="U498">
        <f>IF([2]Entry!$K$501="","",[2]Entry!$K$501)</f>
        <v/>
      </c>
      <c r="V498">
        <f>IF([2]Entry!$L$501="","",[2]Entry!$L$501)</f>
        <v/>
      </c>
      <c r="W498">
        <f>IF([2]Entry!$M$501="","",[2]Entry!$M$501)</f>
        <v/>
      </c>
      <c r="X498">
        <f>IF([2]Entry!$N$501="","",[2]Entry!$N$501)</f>
        <v/>
      </c>
      <c r="Y498">
        <f>IF([2]Entry!$R$501="","",[2]Entry!$R$501)</f>
        <v/>
      </c>
    </row>
    <row r="499">
      <c r="J499">
        <f>IF([1]Accounts!$D$500="","",[1]Accounts!$A$500)</f>
        <v/>
      </c>
      <c r="K499">
        <f>IF([1]Accounts!$D$500="","",[1]Accounts!$B$500)</f>
        <v/>
      </c>
      <c r="L499">
        <f>IF([1]Accounts!$D$500="","",[1]Accounts!$C$500)</f>
        <v/>
      </c>
      <c r="M499">
        <f>IF([1]Accounts!$D$500="","",[1]Accounts!$D$500)</f>
        <v/>
      </c>
      <c r="P499">
        <f>IF([2]Entry!$C$502="","",[2]Entry!$C$502)</f>
        <v/>
      </c>
      <c r="Q499">
        <f>IF([2]Entry!$D$502="","",[2]Entry!$D$502)</f>
        <v/>
      </c>
      <c r="R499">
        <f>IF([2]Entry!$E$502="","",[2]Entry!$E$502)</f>
        <v/>
      </c>
      <c r="S499">
        <f>IF([2]Entry!$G$502="","",[2]Entry!$G$502)</f>
        <v/>
      </c>
      <c r="T499">
        <f>IF([2]Entry!$J$502="","",[2]Entry!$J$502)</f>
        <v/>
      </c>
      <c r="U499">
        <f>IF([2]Entry!$K$502="","",[2]Entry!$K$502)</f>
        <v/>
      </c>
      <c r="V499">
        <f>IF([2]Entry!$L$502="","",[2]Entry!$L$502)</f>
        <v/>
      </c>
      <c r="W499">
        <f>IF([2]Entry!$M$502="","",[2]Entry!$M$502)</f>
        <v/>
      </c>
      <c r="X499">
        <f>IF([2]Entry!$N$502="","",[2]Entry!$N$502)</f>
        <v/>
      </c>
      <c r="Y499">
        <f>IF([2]Entry!$R$502="","",[2]Entry!$R$502)</f>
        <v/>
      </c>
    </row>
    <row r="500">
      <c r="J500">
        <f>IF([1]Accounts!$D$501="","",[1]Accounts!$A$501)</f>
        <v/>
      </c>
      <c r="K500">
        <f>IF([1]Accounts!$D$501="","",[1]Accounts!$B$501)</f>
        <v/>
      </c>
      <c r="L500">
        <f>IF([1]Accounts!$D$501="","",[1]Accounts!$C$501)</f>
        <v/>
      </c>
      <c r="M500">
        <f>IF([1]Accounts!$D$501="","",[1]Accounts!$D$501)</f>
        <v/>
      </c>
      <c r="P500">
        <f>IF([2]Entry!$C$503="","",[2]Entry!$C$503)</f>
        <v/>
      </c>
      <c r="Q500">
        <f>IF([2]Entry!$D$503="","",[2]Entry!$D$503)</f>
        <v/>
      </c>
      <c r="R500">
        <f>IF([2]Entry!$E$503="","",[2]Entry!$E$503)</f>
        <v/>
      </c>
      <c r="S500">
        <f>IF([2]Entry!$G$503="","",[2]Entry!$G$503)</f>
        <v/>
      </c>
      <c r="T500">
        <f>IF([2]Entry!$J$503="","",[2]Entry!$J$503)</f>
        <v/>
      </c>
      <c r="U500">
        <f>IF([2]Entry!$K$503="","",[2]Entry!$K$503)</f>
        <v/>
      </c>
      <c r="V500">
        <f>IF([2]Entry!$L$503="","",[2]Entry!$L$503)</f>
        <v/>
      </c>
      <c r="W500">
        <f>IF([2]Entry!$M$503="","",[2]Entry!$M$503)</f>
        <v/>
      </c>
      <c r="X500">
        <f>IF([2]Entry!$N$503="","",[2]Entry!$N$503)</f>
        <v/>
      </c>
      <c r="Y500">
        <f>IF([2]Entry!$R$503="","",[2]Entry!$R$503)</f>
        <v/>
      </c>
    </row>
    <row r="501">
      <c r="J501">
        <f>IF([1]Accounts!$D$502="","",[1]Accounts!$A$502)</f>
        <v/>
      </c>
      <c r="K501">
        <f>IF([1]Accounts!$D$502="","",[1]Accounts!$B$502)</f>
        <v/>
      </c>
      <c r="L501">
        <f>IF([1]Accounts!$D$502="","",[1]Accounts!$C$502)</f>
        <v/>
      </c>
      <c r="M501">
        <f>IF([1]Accounts!$D$502="","",[1]Accounts!$D$502)</f>
        <v/>
      </c>
      <c r="P501">
        <f>IF([2]Entry!$C$504="","",[2]Entry!$C$504)</f>
        <v/>
      </c>
      <c r="Q501">
        <f>IF([2]Entry!$D$504="","",[2]Entry!$D$504)</f>
        <v/>
      </c>
      <c r="R501">
        <f>IF([2]Entry!$E$504="","",[2]Entry!$E$504)</f>
        <v/>
      </c>
      <c r="S501">
        <f>IF([2]Entry!$G$504="","",[2]Entry!$G$504)</f>
        <v/>
      </c>
      <c r="T501">
        <f>IF([2]Entry!$J$504="","",[2]Entry!$J$504)</f>
        <v/>
      </c>
      <c r="U501">
        <f>IF([2]Entry!$K$504="","",[2]Entry!$K$504)</f>
        <v/>
      </c>
      <c r="V501">
        <f>IF([2]Entry!$L$504="","",[2]Entry!$L$504)</f>
        <v/>
      </c>
      <c r="W501">
        <f>IF([2]Entry!$M$504="","",[2]Entry!$M$504)</f>
        <v/>
      </c>
      <c r="X501">
        <f>IF([2]Entry!$N$504="","",[2]Entry!$N$504)</f>
        <v/>
      </c>
      <c r="Y501">
        <f>IF([2]Entry!$R$504="","",[2]Entry!$R$504)</f>
        <v/>
      </c>
    </row>
    <row r="502">
      <c r="J502">
        <f>IF([1]Accounts!$D$503="","",[1]Accounts!$A$503)</f>
        <v/>
      </c>
      <c r="K502">
        <f>IF([1]Accounts!$D$503="","",[1]Accounts!$B$503)</f>
        <v/>
      </c>
      <c r="L502">
        <f>IF([1]Accounts!$D$503="","",[1]Accounts!$C$503)</f>
        <v/>
      </c>
      <c r="M502">
        <f>IF([1]Accounts!$D$503="","",[1]Accounts!$D$503)</f>
        <v/>
      </c>
      <c r="P502">
        <f>IF([2]Entry!$C$505="","",[2]Entry!$C$505)</f>
        <v/>
      </c>
      <c r="Q502">
        <f>IF([2]Entry!$D$505="","",[2]Entry!$D$505)</f>
        <v/>
      </c>
      <c r="R502">
        <f>IF([2]Entry!$E$505="","",[2]Entry!$E$505)</f>
        <v/>
      </c>
      <c r="S502">
        <f>IF([2]Entry!$G$505="","",[2]Entry!$G$505)</f>
        <v/>
      </c>
      <c r="T502">
        <f>IF([2]Entry!$J$505="","",[2]Entry!$J$505)</f>
        <v/>
      </c>
      <c r="U502">
        <f>IF([2]Entry!$K$505="","",[2]Entry!$K$505)</f>
        <v/>
      </c>
      <c r="V502">
        <f>IF([2]Entry!$L$505="","",[2]Entry!$L$505)</f>
        <v/>
      </c>
      <c r="W502">
        <f>IF([2]Entry!$M$505="","",[2]Entry!$M$505)</f>
        <v/>
      </c>
      <c r="X502">
        <f>IF([2]Entry!$N$505="","",[2]Entry!$N$505)</f>
        <v/>
      </c>
      <c r="Y502">
        <f>IF([2]Entry!$R$505="","",[2]Entry!$R$505)</f>
        <v/>
      </c>
    </row>
    <row r="503">
      <c r="J503">
        <f>IF([1]Accounts!$D$504="","",[1]Accounts!$A$504)</f>
        <v/>
      </c>
      <c r="K503">
        <f>IF([1]Accounts!$D$504="","",[1]Accounts!$B$504)</f>
        <v/>
      </c>
      <c r="L503">
        <f>IF([1]Accounts!$D$504="","",[1]Accounts!$C$504)</f>
        <v/>
      </c>
      <c r="M503">
        <f>IF([1]Accounts!$D$504="","",[1]Accounts!$D$504)</f>
        <v/>
      </c>
      <c r="P503">
        <f>IF([2]Entry!$C$506="","",[2]Entry!$C$506)</f>
        <v/>
      </c>
      <c r="Q503">
        <f>IF([2]Entry!$D$506="","",[2]Entry!$D$506)</f>
        <v/>
      </c>
      <c r="R503">
        <f>IF([2]Entry!$E$506="","",[2]Entry!$E$506)</f>
        <v/>
      </c>
      <c r="S503">
        <f>IF([2]Entry!$G$506="","",[2]Entry!$G$506)</f>
        <v/>
      </c>
      <c r="T503">
        <f>IF([2]Entry!$J$506="","",[2]Entry!$J$506)</f>
        <v/>
      </c>
      <c r="U503">
        <f>IF([2]Entry!$K$506="","",[2]Entry!$K$506)</f>
        <v/>
      </c>
      <c r="V503">
        <f>IF([2]Entry!$L$506="","",[2]Entry!$L$506)</f>
        <v/>
      </c>
      <c r="W503">
        <f>IF([2]Entry!$M$506="","",[2]Entry!$M$506)</f>
        <v/>
      </c>
      <c r="X503">
        <f>IF([2]Entry!$N$506="","",[2]Entry!$N$506)</f>
        <v/>
      </c>
      <c r="Y503">
        <f>IF([2]Entry!$R$506="","",[2]Entry!$R$506)</f>
        <v/>
      </c>
    </row>
    <row r="504">
      <c r="J504">
        <f>IF([1]Accounts!$D$505="","",[1]Accounts!$A$505)</f>
        <v/>
      </c>
      <c r="K504">
        <f>IF([1]Accounts!$D$505="","",[1]Accounts!$B$505)</f>
        <v/>
      </c>
      <c r="L504">
        <f>IF([1]Accounts!$D$505="","",[1]Accounts!$C$505)</f>
        <v/>
      </c>
      <c r="M504">
        <f>IF([1]Accounts!$D$505="","",[1]Accounts!$D$505)</f>
        <v/>
      </c>
      <c r="P504">
        <f>IF([2]Entry!$C$507="","",[2]Entry!$C$507)</f>
        <v/>
      </c>
      <c r="Q504">
        <f>IF([2]Entry!$D$507="","",[2]Entry!$D$507)</f>
        <v/>
      </c>
      <c r="R504">
        <f>IF([2]Entry!$E$507="","",[2]Entry!$E$507)</f>
        <v/>
      </c>
      <c r="S504">
        <f>IF([2]Entry!$G$507="","",[2]Entry!$G$507)</f>
        <v/>
      </c>
      <c r="T504">
        <f>IF([2]Entry!$J$507="","",[2]Entry!$J$507)</f>
        <v/>
      </c>
      <c r="U504">
        <f>IF([2]Entry!$K$507="","",[2]Entry!$K$507)</f>
        <v/>
      </c>
      <c r="V504">
        <f>IF([2]Entry!$L$507="","",[2]Entry!$L$507)</f>
        <v/>
      </c>
      <c r="W504">
        <f>IF([2]Entry!$M$507="","",[2]Entry!$M$507)</f>
        <v/>
      </c>
      <c r="X504">
        <f>IF([2]Entry!$N$507="","",[2]Entry!$N$507)</f>
        <v/>
      </c>
      <c r="Y504">
        <f>IF([2]Entry!$R$507="","",[2]Entry!$R$507)</f>
        <v/>
      </c>
    </row>
    <row r="505">
      <c r="J505">
        <f>IF([1]Accounts!$D$506="","",[1]Accounts!$A$506)</f>
        <v/>
      </c>
      <c r="K505">
        <f>IF([1]Accounts!$D$506="","",[1]Accounts!$B$506)</f>
        <v/>
      </c>
      <c r="L505">
        <f>IF([1]Accounts!$D$506="","",[1]Accounts!$C$506)</f>
        <v/>
      </c>
      <c r="M505">
        <f>IF([1]Accounts!$D$506="","",[1]Accounts!$D$506)</f>
        <v/>
      </c>
      <c r="P505">
        <f>IF([2]Entry!$C$508="","",[2]Entry!$C$508)</f>
        <v/>
      </c>
      <c r="Q505">
        <f>IF([2]Entry!$D$508="","",[2]Entry!$D$508)</f>
        <v/>
      </c>
      <c r="R505">
        <f>IF([2]Entry!$E$508="","",[2]Entry!$E$508)</f>
        <v/>
      </c>
      <c r="S505">
        <f>IF([2]Entry!$G$508="","",[2]Entry!$G$508)</f>
        <v/>
      </c>
      <c r="T505">
        <f>IF([2]Entry!$J$508="","",[2]Entry!$J$508)</f>
        <v/>
      </c>
      <c r="U505">
        <f>IF([2]Entry!$K$508="","",[2]Entry!$K$508)</f>
        <v/>
      </c>
      <c r="V505">
        <f>IF([2]Entry!$L$508="","",[2]Entry!$L$508)</f>
        <v/>
      </c>
      <c r="W505">
        <f>IF([2]Entry!$M$508="","",[2]Entry!$M$508)</f>
        <v/>
      </c>
      <c r="X505">
        <f>IF([2]Entry!$N$508="","",[2]Entry!$N$508)</f>
        <v/>
      </c>
      <c r="Y505">
        <f>IF([2]Entry!$R$508="","",[2]Entry!$R$508)</f>
        <v/>
      </c>
    </row>
    <row r="506">
      <c r="J506">
        <f>IF([1]Accounts!$D$507="","",[1]Accounts!$A$507)</f>
        <v/>
      </c>
      <c r="K506">
        <f>IF([1]Accounts!$D$507="","",[1]Accounts!$B$507)</f>
        <v/>
      </c>
      <c r="L506">
        <f>IF([1]Accounts!$D$507="","",[1]Accounts!$C$507)</f>
        <v/>
      </c>
      <c r="M506">
        <f>IF([1]Accounts!$D$507="","",[1]Accounts!$D$507)</f>
        <v/>
      </c>
      <c r="P506">
        <f>IF([2]Entry!$C$509="","",[2]Entry!$C$509)</f>
        <v/>
      </c>
      <c r="Q506">
        <f>IF([2]Entry!$D$509="","",[2]Entry!$D$509)</f>
        <v/>
      </c>
      <c r="R506">
        <f>IF([2]Entry!$E$509="","",[2]Entry!$E$509)</f>
        <v/>
      </c>
      <c r="S506">
        <f>IF([2]Entry!$G$509="","",[2]Entry!$G$509)</f>
        <v/>
      </c>
      <c r="T506">
        <f>IF([2]Entry!$J$509="","",[2]Entry!$J$509)</f>
        <v/>
      </c>
      <c r="U506">
        <f>IF([2]Entry!$K$509="","",[2]Entry!$K$509)</f>
        <v/>
      </c>
      <c r="V506">
        <f>IF([2]Entry!$L$509="","",[2]Entry!$L$509)</f>
        <v/>
      </c>
      <c r="W506">
        <f>IF([2]Entry!$M$509="","",[2]Entry!$M$509)</f>
        <v/>
      </c>
      <c r="X506">
        <f>IF([2]Entry!$N$509="","",[2]Entry!$N$509)</f>
        <v/>
      </c>
      <c r="Y506">
        <f>IF([2]Entry!$R$509="","",[2]Entry!$R$509)</f>
        <v/>
      </c>
    </row>
    <row r="507">
      <c r="J507">
        <f>IF([1]Accounts!$D$508="","",[1]Accounts!$A$508)</f>
        <v/>
      </c>
      <c r="K507">
        <f>IF([1]Accounts!$D$508="","",[1]Accounts!$B$508)</f>
        <v/>
      </c>
      <c r="L507">
        <f>IF([1]Accounts!$D$508="","",[1]Accounts!$C$508)</f>
        <v/>
      </c>
      <c r="M507">
        <f>IF([1]Accounts!$D$508="","",[1]Accounts!$D$508)</f>
        <v/>
      </c>
      <c r="P507">
        <f>IF([2]Entry!$C$510="","",[2]Entry!$C$510)</f>
        <v/>
      </c>
      <c r="Q507">
        <f>IF([2]Entry!$D$510="","",[2]Entry!$D$510)</f>
        <v/>
      </c>
      <c r="R507">
        <f>IF([2]Entry!$E$510="","",[2]Entry!$E$510)</f>
        <v/>
      </c>
      <c r="S507">
        <f>IF([2]Entry!$G$510="","",[2]Entry!$G$510)</f>
        <v/>
      </c>
      <c r="T507">
        <f>IF([2]Entry!$J$510="","",[2]Entry!$J$510)</f>
        <v/>
      </c>
      <c r="U507">
        <f>IF([2]Entry!$K$510="","",[2]Entry!$K$510)</f>
        <v/>
      </c>
      <c r="V507">
        <f>IF([2]Entry!$L$510="","",[2]Entry!$L$510)</f>
        <v/>
      </c>
      <c r="W507">
        <f>IF([2]Entry!$M$510="","",[2]Entry!$M$510)</f>
        <v/>
      </c>
      <c r="X507">
        <f>IF([2]Entry!$N$510="","",[2]Entry!$N$510)</f>
        <v/>
      </c>
      <c r="Y507">
        <f>IF([2]Entry!$R$510="","",[2]Entry!$R$510)</f>
        <v/>
      </c>
    </row>
    <row r="508">
      <c r="J508">
        <f>IF([1]Accounts!$D$509="","",[1]Accounts!$A$509)</f>
        <v/>
      </c>
      <c r="K508">
        <f>IF([1]Accounts!$D$509="","",[1]Accounts!$B$509)</f>
        <v/>
      </c>
      <c r="L508">
        <f>IF([1]Accounts!$D$509="","",[1]Accounts!$C$509)</f>
        <v/>
      </c>
      <c r="M508">
        <f>IF([1]Accounts!$D$509="","",[1]Accounts!$D$509)</f>
        <v/>
      </c>
      <c r="P508">
        <f>IF([2]Entry!$C$511="","",[2]Entry!$C$511)</f>
        <v/>
      </c>
      <c r="Q508">
        <f>IF([2]Entry!$D$511="","",[2]Entry!$D$511)</f>
        <v/>
      </c>
      <c r="R508">
        <f>IF([2]Entry!$E$511="","",[2]Entry!$E$511)</f>
        <v/>
      </c>
      <c r="S508">
        <f>IF([2]Entry!$G$511="","",[2]Entry!$G$511)</f>
        <v/>
      </c>
      <c r="T508">
        <f>IF([2]Entry!$J$511="","",[2]Entry!$J$511)</f>
        <v/>
      </c>
      <c r="U508">
        <f>IF([2]Entry!$K$511="","",[2]Entry!$K$511)</f>
        <v/>
      </c>
      <c r="V508">
        <f>IF([2]Entry!$L$511="","",[2]Entry!$L$511)</f>
        <v/>
      </c>
      <c r="W508">
        <f>IF([2]Entry!$M$511="","",[2]Entry!$M$511)</f>
        <v/>
      </c>
      <c r="X508">
        <f>IF([2]Entry!$N$511="","",[2]Entry!$N$511)</f>
        <v/>
      </c>
      <c r="Y508">
        <f>IF([2]Entry!$R$511="","",[2]Entry!$R$511)</f>
        <v/>
      </c>
    </row>
    <row r="509">
      <c r="J509">
        <f>IF([1]Accounts!$D$510="","",[1]Accounts!$A$510)</f>
        <v/>
      </c>
      <c r="K509">
        <f>IF([1]Accounts!$D$510="","",[1]Accounts!$B$510)</f>
        <v/>
      </c>
      <c r="L509">
        <f>IF([1]Accounts!$D$510="","",[1]Accounts!$C$510)</f>
        <v/>
      </c>
      <c r="M509">
        <f>IF([1]Accounts!$D$510="","",[1]Accounts!$D$510)</f>
        <v/>
      </c>
      <c r="P509">
        <f>IF([2]Entry!$C$512="","",[2]Entry!$C$512)</f>
        <v/>
      </c>
      <c r="Q509">
        <f>IF([2]Entry!$D$512="","",[2]Entry!$D$512)</f>
        <v/>
      </c>
      <c r="R509">
        <f>IF([2]Entry!$E$512="","",[2]Entry!$E$512)</f>
        <v/>
      </c>
      <c r="S509">
        <f>IF([2]Entry!$G$512="","",[2]Entry!$G$512)</f>
        <v/>
      </c>
      <c r="T509">
        <f>IF([2]Entry!$J$512="","",[2]Entry!$J$512)</f>
        <v/>
      </c>
      <c r="U509">
        <f>IF([2]Entry!$K$512="","",[2]Entry!$K$512)</f>
        <v/>
      </c>
      <c r="V509">
        <f>IF([2]Entry!$L$512="","",[2]Entry!$L$512)</f>
        <v/>
      </c>
      <c r="W509">
        <f>IF([2]Entry!$M$512="","",[2]Entry!$M$512)</f>
        <v/>
      </c>
      <c r="X509">
        <f>IF([2]Entry!$N$512="","",[2]Entry!$N$512)</f>
        <v/>
      </c>
      <c r="Y509">
        <f>IF([2]Entry!$R$512="","",[2]Entry!$R$512)</f>
        <v/>
      </c>
    </row>
    <row r="510">
      <c r="J510">
        <f>IF([1]Accounts!$D$511="","",[1]Accounts!$A$511)</f>
        <v/>
      </c>
      <c r="K510">
        <f>IF([1]Accounts!$D$511="","",[1]Accounts!$B$511)</f>
        <v/>
      </c>
      <c r="L510">
        <f>IF([1]Accounts!$D$511="","",[1]Accounts!$C$511)</f>
        <v/>
      </c>
      <c r="M510">
        <f>IF([1]Accounts!$D$511="","",[1]Accounts!$D$511)</f>
        <v/>
      </c>
      <c r="P510">
        <f>IF([2]Entry!$C$513="","",[2]Entry!$C$513)</f>
        <v/>
      </c>
      <c r="Q510">
        <f>IF([2]Entry!$D$513="","",[2]Entry!$D$513)</f>
        <v/>
      </c>
      <c r="R510">
        <f>IF([2]Entry!$E$513="","",[2]Entry!$E$513)</f>
        <v/>
      </c>
      <c r="S510">
        <f>IF([2]Entry!$G$513="","",[2]Entry!$G$513)</f>
        <v/>
      </c>
      <c r="T510">
        <f>IF([2]Entry!$J$513="","",[2]Entry!$J$513)</f>
        <v/>
      </c>
      <c r="U510">
        <f>IF([2]Entry!$K$513="","",[2]Entry!$K$513)</f>
        <v/>
      </c>
      <c r="V510">
        <f>IF([2]Entry!$L$513="","",[2]Entry!$L$513)</f>
        <v/>
      </c>
      <c r="W510">
        <f>IF([2]Entry!$M$513="","",[2]Entry!$M$513)</f>
        <v/>
      </c>
      <c r="X510">
        <f>IF([2]Entry!$N$513="","",[2]Entry!$N$513)</f>
        <v/>
      </c>
      <c r="Y510">
        <f>IF([2]Entry!$R$513="","",[2]Entry!$R$513)</f>
        <v/>
      </c>
    </row>
    <row r="511">
      <c r="J511">
        <f>IF([1]Accounts!$D$512="","",[1]Accounts!$A$512)</f>
        <v/>
      </c>
      <c r="K511">
        <f>IF([1]Accounts!$D$512="","",[1]Accounts!$B$512)</f>
        <v/>
      </c>
      <c r="L511">
        <f>IF([1]Accounts!$D$512="","",[1]Accounts!$C$512)</f>
        <v/>
      </c>
      <c r="M511">
        <f>IF([1]Accounts!$D$512="","",[1]Accounts!$D$512)</f>
        <v/>
      </c>
      <c r="P511">
        <f>IF([2]Entry!$C$514="","",[2]Entry!$C$514)</f>
        <v/>
      </c>
      <c r="Q511">
        <f>IF([2]Entry!$D$514="","",[2]Entry!$D$514)</f>
        <v/>
      </c>
      <c r="R511">
        <f>IF([2]Entry!$E$514="","",[2]Entry!$E$514)</f>
        <v/>
      </c>
      <c r="S511">
        <f>IF([2]Entry!$G$514="","",[2]Entry!$G$514)</f>
        <v/>
      </c>
      <c r="T511">
        <f>IF([2]Entry!$J$514="","",[2]Entry!$J$514)</f>
        <v/>
      </c>
      <c r="U511">
        <f>IF([2]Entry!$K$514="","",[2]Entry!$K$514)</f>
        <v/>
      </c>
      <c r="V511">
        <f>IF([2]Entry!$L$514="","",[2]Entry!$L$514)</f>
        <v/>
      </c>
      <c r="W511">
        <f>IF([2]Entry!$M$514="","",[2]Entry!$M$514)</f>
        <v/>
      </c>
      <c r="X511">
        <f>IF([2]Entry!$N$514="","",[2]Entry!$N$514)</f>
        <v/>
      </c>
      <c r="Y511">
        <f>IF([2]Entry!$R$514="","",[2]Entry!$R$514)</f>
        <v/>
      </c>
    </row>
    <row r="512">
      <c r="J512">
        <f>IF([1]Accounts!$D$513="","",[1]Accounts!$A$513)</f>
        <v/>
      </c>
      <c r="K512">
        <f>IF([1]Accounts!$D$513="","",[1]Accounts!$B$513)</f>
        <v/>
      </c>
      <c r="L512">
        <f>IF([1]Accounts!$D$513="","",[1]Accounts!$C$513)</f>
        <v/>
      </c>
      <c r="M512">
        <f>IF([1]Accounts!$D$513="","",[1]Accounts!$D$513)</f>
        <v/>
      </c>
      <c r="P512">
        <f>IF([2]Entry!$C$515="","",[2]Entry!$C$515)</f>
        <v/>
      </c>
      <c r="Q512">
        <f>IF([2]Entry!$D$515="","",[2]Entry!$D$515)</f>
        <v/>
      </c>
      <c r="R512">
        <f>IF([2]Entry!$E$515="","",[2]Entry!$E$515)</f>
        <v/>
      </c>
      <c r="S512">
        <f>IF([2]Entry!$G$515="","",[2]Entry!$G$515)</f>
        <v/>
      </c>
      <c r="T512">
        <f>IF([2]Entry!$J$515="","",[2]Entry!$J$515)</f>
        <v/>
      </c>
      <c r="U512">
        <f>IF([2]Entry!$K$515="","",[2]Entry!$K$515)</f>
        <v/>
      </c>
      <c r="V512">
        <f>IF([2]Entry!$L$515="","",[2]Entry!$L$515)</f>
        <v/>
      </c>
      <c r="W512">
        <f>IF([2]Entry!$M$515="","",[2]Entry!$M$515)</f>
        <v/>
      </c>
      <c r="X512">
        <f>IF([2]Entry!$N$515="","",[2]Entry!$N$515)</f>
        <v/>
      </c>
      <c r="Y512">
        <f>IF([2]Entry!$R$515="","",[2]Entry!$R$515)</f>
        <v/>
      </c>
    </row>
    <row r="513">
      <c r="J513">
        <f>IF([1]Accounts!$D$514="","",[1]Accounts!$A$514)</f>
        <v/>
      </c>
      <c r="K513">
        <f>IF([1]Accounts!$D$514="","",[1]Accounts!$B$514)</f>
        <v/>
      </c>
      <c r="L513">
        <f>IF([1]Accounts!$D$514="","",[1]Accounts!$C$514)</f>
        <v/>
      </c>
      <c r="M513">
        <f>IF([1]Accounts!$D$514="","",[1]Accounts!$D$514)</f>
        <v/>
      </c>
      <c r="P513">
        <f>IF([2]Entry!$C$516="","",[2]Entry!$C$516)</f>
        <v/>
      </c>
      <c r="Q513">
        <f>IF([2]Entry!$D$516="","",[2]Entry!$D$516)</f>
        <v/>
      </c>
      <c r="R513">
        <f>IF([2]Entry!$E$516="","",[2]Entry!$E$516)</f>
        <v/>
      </c>
      <c r="S513">
        <f>IF([2]Entry!$G$516="","",[2]Entry!$G$516)</f>
        <v/>
      </c>
      <c r="T513">
        <f>IF([2]Entry!$J$516="","",[2]Entry!$J$516)</f>
        <v/>
      </c>
      <c r="U513">
        <f>IF([2]Entry!$K$516="","",[2]Entry!$K$516)</f>
        <v/>
      </c>
      <c r="V513">
        <f>IF([2]Entry!$L$516="","",[2]Entry!$L$516)</f>
        <v/>
      </c>
      <c r="W513">
        <f>IF([2]Entry!$M$516="","",[2]Entry!$M$516)</f>
        <v/>
      </c>
      <c r="X513">
        <f>IF([2]Entry!$N$516="","",[2]Entry!$N$516)</f>
        <v/>
      </c>
      <c r="Y513">
        <f>IF([2]Entry!$R$516="","",[2]Entry!$R$516)</f>
        <v/>
      </c>
    </row>
    <row r="514">
      <c r="J514">
        <f>IF([1]Accounts!$D$515="","",[1]Accounts!$A$515)</f>
        <v/>
      </c>
      <c r="K514">
        <f>IF([1]Accounts!$D$515="","",[1]Accounts!$B$515)</f>
        <v/>
      </c>
      <c r="L514">
        <f>IF([1]Accounts!$D$515="","",[1]Accounts!$C$515)</f>
        <v/>
      </c>
      <c r="M514">
        <f>IF([1]Accounts!$D$515="","",[1]Accounts!$D$515)</f>
        <v/>
      </c>
      <c r="P514">
        <f>IF([2]Entry!$C$517="","",[2]Entry!$C$517)</f>
        <v/>
      </c>
      <c r="Q514">
        <f>IF([2]Entry!$D$517="","",[2]Entry!$D$517)</f>
        <v/>
      </c>
      <c r="R514">
        <f>IF([2]Entry!$E$517="","",[2]Entry!$E$517)</f>
        <v/>
      </c>
      <c r="S514">
        <f>IF([2]Entry!$G$517="","",[2]Entry!$G$517)</f>
        <v/>
      </c>
      <c r="T514">
        <f>IF([2]Entry!$J$517="","",[2]Entry!$J$517)</f>
        <v/>
      </c>
      <c r="U514">
        <f>IF([2]Entry!$K$517="","",[2]Entry!$K$517)</f>
        <v/>
      </c>
      <c r="V514">
        <f>IF([2]Entry!$L$517="","",[2]Entry!$L$517)</f>
        <v/>
      </c>
      <c r="W514">
        <f>IF([2]Entry!$M$517="","",[2]Entry!$M$517)</f>
        <v/>
      </c>
      <c r="X514">
        <f>IF([2]Entry!$N$517="","",[2]Entry!$N$517)</f>
        <v/>
      </c>
      <c r="Y514">
        <f>IF([2]Entry!$R$517="","",[2]Entry!$R$517)</f>
        <v/>
      </c>
    </row>
    <row r="515">
      <c r="J515">
        <f>IF([1]Accounts!$D$516="","",[1]Accounts!$A$516)</f>
        <v/>
      </c>
      <c r="K515">
        <f>IF([1]Accounts!$D$516="","",[1]Accounts!$B$516)</f>
        <v/>
      </c>
      <c r="L515">
        <f>IF([1]Accounts!$D$516="","",[1]Accounts!$C$516)</f>
        <v/>
      </c>
      <c r="M515">
        <f>IF([1]Accounts!$D$516="","",[1]Accounts!$D$516)</f>
        <v/>
      </c>
      <c r="P515">
        <f>IF([2]Entry!$C$518="","",[2]Entry!$C$518)</f>
        <v/>
      </c>
      <c r="Q515">
        <f>IF([2]Entry!$D$518="","",[2]Entry!$D$518)</f>
        <v/>
      </c>
      <c r="R515">
        <f>IF([2]Entry!$E$518="","",[2]Entry!$E$518)</f>
        <v/>
      </c>
      <c r="S515">
        <f>IF([2]Entry!$G$518="","",[2]Entry!$G$518)</f>
        <v/>
      </c>
      <c r="T515">
        <f>IF([2]Entry!$J$518="","",[2]Entry!$J$518)</f>
        <v/>
      </c>
      <c r="U515">
        <f>IF([2]Entry!$K$518="","",[2]Entry!$K$518)</f>
        <v/>
      </c>
      <c r="V515">
        <f>IF([2]Entry!$L$518="","",[2]Entry!$L$518)</f>
        <v/>
      </c>
      <c r="W515">
        <f>IF([2]Entry!$M$518="","",[2]Entry!$M$518)</f>
        <v/>
      </c>
      <c r="X515">
        <f>IF([2]Entry!$N$518="","",[2]Entry!$N$518)</f>
        <v/>
      </c>
      <c r="Y515">
        <f>IF([2]Entry!$R$518="","",[2]Entry!$R$518)</f>
        <v/>
      </c>
    </row>
    <row r="516">
      <c r="J516">
        <f>IF([1]Accounts!$D$517="","",[1]Accounts!$A$517)</f>
        <v/>
      </c>
      <c r="K516">
        <f>IF([1]Accounts!$D$517="","",[1]Accounts!$B$517)</f>
        <v/>
      </c>
      <c r="L516">
        <f>IF([1]Accounts!$D$517="","",[1]Accounts!$C$517)</f>
        <v/>
      </c>
      <c r="M516">
        <f>IF([1]Accounts!$D$517="","",[1]Accounts!$D$517)</f>
        <v/>
      </c>
      <c r="P516">
        <f>IF([2]Entry!$C$519="","",[2]Entry!$C$519)</f>
        <v/>
      </c>
      <c r="Q516">
        <f>IF([2]Entry!$D$519="","",[2]Entry!$D$519)</f>
        <v/>
      </c>
      <c r="R516">
        <f>IF([2]Entry!$E$519="","",[2]Entry!$E$519)</f>
        <v/>
      </c>
      <c r="S516">
        <f>IF([2]Entry!$G$519="","",[2]Entry!$G$519)</f>
        <v/>
      </c>
      <c r="T516">
        <f>IF([2]Entry!$J$519="","",[2]Entry!$J$519)</f>
        <v/>
      </c>
      <c r="U516">
        <f>IF([2]Entry!$K$519="","",[2]Entry!$K$519)</f>
        <v/>
      </c>
      <c r="V516">
        <f>IF([2]Entry!$L$519="","",[2]Entry!$L$519)</f>
        <v/>
      </c>
      <c r="W516">
        <f>IF([2]Entry!$M$519="","",[2]Entry!$M$519)</f>
        <v/>
      </c>
      <c r="X516">
        <f>IF([2]Entry!$N$519="","",[2]Entry!$N$519)</f>
        <v/>
      </c>
      <c r="Y516">
        <f>IF([2]Entry!$R$519="","",[2]Entry!$R$519)</f>
        <v/>
      </c>
    </row>
    <row r="517">
      <c r="J517">
        <f>IF([1]Accounts!$D$518="","",[1]Accounts!$A$518)</f>
        <v/>
      </c>
      <c r="K517">
        <f>IF([1]Accounts!$D$518="","",[1]Accounts!$B$518)</f>
        <v/>
      </c>
      <c r="L517">
        <f>IF([1]Accounts!$D$518="","",[1]Accounts!$C$518)</f>
        <v/>
      </c>
      <c r="M517">
        <f>IF([1]Accounts!$D$518="","",[1]Accounts!$D$518)</f>
        <v/>
      </c>
      <c r="P517">
        <f>IF([2]Entry!$C$520="","",[2]Entry!$C$520)</f>
        <v/>
      </c>
      <c r="Q517">
        <f>IF([2]Entry!$D$520="","",[2]Entry!$D$520)</f>
        <v/>
      </c>
      <c r="R517">
        <f>IF([2]Entry!$E$520="","",[2]Entry!$E$520)</f>
        <v/>
      </c>
      <c r="S517">
        <f>IF([2]Entry!$G$520="","",[2]Entry!$G$520)</f>
        <v/>
      </c>
      <c r="T517">
        <f>IF([2]Entry!$J$520="","",[2]Entry!$J$520)</f>
        <v/>
      </c>
      <c r="U517">
        <f>IF([2]Entry!$K$520="","",[2]Entry!$K$520)</f>
        <v/>
      </c>
      <c r="V517">
        <f>IF([2]Entry!$L$520="","",[2]Entry!$L$520)</f>
        <v/>
      </c>
      <c r="W517">
        <f>IF([2]Entry!$M$520="","",[2]Entry!$M$520)</f>
        <v/>
      </c>
      <c r="X517">
        <f>IF([2]Entry!$N$520="","",[2]Entry!$N$520)</f>
        <v/>
      </c>
      <c r="Y517">
        <f>IF([2]Entry!$R$520="","",[2]Entry!$R$520)</f>
        <v/>
      </c>
    </row>
    <row r="518">
      <c r="J518">
        <f>IF([1]Accounts!$D$519="","",[1]Accounts!$A$519)</f>
        <v/>
      </c>
      <c r="K518">
        <f>IF([1]Accounts!$D$519="","",[1]Accounts!$B$519)</f>
        <v/>
      </c>
      <c r="L518">
        <f>IF([1]Accounts!$D$519="","",[1]Accounts!$C$519)</f>
        <v/>
      </c>
      <c r="M518">
        <f>IF([1]Accounts!$D$519="","",[1]Accounts!$D$519)</f>
        <v/>
      </c>
      <c r="P518">
        <f>IF([2]Entry!$C$521="","",[2]Entry!$C$521)</f>
        <v/>
      </c>
      <c r="Q518">
        <f>IF([2]Entry!$D$521="","",[2]Entry!$D$521)</f>
        <v/>
      </c>
      <c r="R518">
        <f>IF([2]Entry!$E$521="","",[2]Entry!$E$521)</f>
        <v/>
      </c>
      <c r="S518">
        <f>IF([2]Entry!$G$521="","",[2]Entry!$G$521)</f>
        <v/>
      </c>
      <c r="T518">
        <f>IF([2]Entry!$J$521="","",[2]Entry!$J$521)</f>
        <v/>
      </c>
      <c r="U518">
        <f>IF([2]Entry!$K$521="","",[2]Entry!$K$521)</f>
        <v/>
      </c>
      <c r="V518">
        <f>IF([2]Entry!$L$521="","",[2]Entry!$L$521)</f>
        <v/>
      </c>
      <c r="W518">
        <f>IF([2]Entry!$M$521="","",[2]Entry!$M$521)</f>
        <v/>
      </c>
      <c r="X518">
        <f>IF([2]Entry!$N$521="","",[2]Entry!$N$521)</f>
        <v/>
      </c>
      <c r="Y518">
        <f>IF([2]Entry!$R$521="","",[2]Entry!$R$521)</f>
        <v/>
      </c>
    </row>
    <row r="519">
      <c r="J519">
        <f>IF([1]Accounts!$D$520="","",[1]Accounts!$A$520)</f>
        <v/>
      </c>
      <c r="K519">
        <f>IF([1]Accounts!$D$520="","",[1]Accounts!$B$520)</f>
        <v/>
      </c>
      <c r="L519">
        <f>IF([1]Accounts!$D$520="","",[1]Accounts!$C$520)</f>
        <v/>
      </c>
      <c r="M519">
        <f>IF([1]Accounts!$D$520="","",[1]Accounts!$D$520)</f>
        <v/>
      </c>
      <c r="P519">
        <f>IF([2]Entry!$C$522="","",[2]Entry!$C$522)</f>
        <v/>
      </c>
      <c r="Q519">
        <f>IF([2]Entry!$D$522="","",[2]Entry!$D$522)</f>
        <v/>
      </c>
      <c r="R519">
        <f>IF([2]Entry!$E$522="","",[2]Entry!$E$522)</f>
        <v/>
      </c>
      <c r="S519">
        <f>IF([2]Entry!$G$522="","",[2]Entry!$G$522)</f>
        <v/>
      </c>
      <c r="T519">
        <f>IF([2]Entry!$J$522="","",[2]Entry!$J$522)</f>
        <v/>
      </c>
      <c r="U519">
        <f>IF([2]Entry!$K$522="","",[2]Entry!$K$522)</f>
        <v/>
      </c>
      <c r="V519">
        <f>IF([2]Entry!$L$522="","",[2]Entry!$L$522)</f>
        <v/>
      </c>
      <c r="W519">
        <f>IF([2]Entry!$M$522="","",[2]Entry!$M$522)</f>
        <v/>
      </c>
      <c r="X519">
        <f>IF([2]Entry!$N$522="","",[2]Entry!$N$522)</f>
        <v/>
      </c>
      <c r="Y519">
        <f>IF([2]Entry!$R$522="","",[2]Entry!$R$522)</f>
        <v/>
      </c>
    </row>
    <row r="520">
      <c r="J520">
        <f>IF([1]Accounts!$D$521="","",[1]Accounts!$A$521)</f>
        <v/>
      </c>
      <c r="K520">
        <f>IF([1]Accounts!$D$521="","",[1]Accounts!$B$521)</f>
        <v/>
      </c>
      <c r="L520">
        <f>IF([1]Accounts!$D$521="","",[1]Accounts!$C$521)</f>
        <v/>
      </c>
      <c r="M520">
        <f>IF([1]Accounts!$D$521="","",[1]Accounts!$D$521)</f>
        <v/>
      </c>
      <c r="P520">
        <f>IF([2]Entry!$C$523="","",[2]Entry!$C$523)</f>
        <v/>
      </c>
      <c r="Q520">
        <f>IF([2]Entry!$D$523="","",[2]Entry!$D$523)</f>
        <v/>
      </c>
      <c r="R520">
        <f>IF([2]Entry!$E$523="","",[2]Entry!$E$523)</f>
        <v/>
      </c>
      <c r="S520">
        <f>IF([2]Entry!$G$523="","",[2]Entry!$G$523)</f>
        <v/>
      </c>
      <c r="T520">
        <f>IF([2]Entry!$J$523="","",[2]Entry!$J$523)</f>
        <v/>
      </c>
      <c r="U520">
        <f>IF([2]Entry!$K$523="","",[2]Entry!$K$523)</f>
        <v/>
      </c>
      <c r="V520">
        <f>IF([2]Entry!$L$523="","",[2]Entry!$L$523)</f>
        <v/>
      </c>
      <c r="W520">
        <f>IF([2]Entry!$M$523="","",[2]Entry!$M$523)</f>
        <v/>
      </c>
      <c r="X520">
        <f>IF([2]Entry!$N$523="","",[2]Entry!$N$523)</f>
        <v/>
      </c>
      <c r="Y520">
        <f>IF([2]Entry!$R$523="","",[2]Entry!$R$523)</f>
        <v/>
      </c>
    </row>
    <row r="521">
      <c r="J521">
        <f>IF([1]Accounts!$D$522="","",[1]Accounts!$A$522)</f>
        <v/>
      </c>
      <c r="K521">
        <f>IF([1]Accounts!$D$522="","",[1]Accounts!$B$522)</f>
        <v/>
      </c>
      <c r="L521">
        <f>IF([1]Accounts!$D$522="","",[1]Accounts!$C$522)</f>
        <v/>
      </c>
      <c r="M521">
        <f>IF([1]Accounts!$D$522="","",[1]Accounts!$D$522)</f>
        <v/>
      </c>
      <c r="P521">
        <f>IF([2]Entry!$C$524="","",[2]Entry!$C$524)</f>
        <v/>
      </c>
      <c r="Q521">
        <f>IF([2]Entry!$D$524="","",[2]Entry!$D$524)</f>
        <v/>
      </c>
      <c r="R521">
        <f>IF([2]Entry!$E$524="","",[2]Entry!$E$524)</f>
        <v/>
      </c>
      <c r="S521">
        <f>IF([2]Entry!$G$524="","",[2]Entry!$G$524)</f>
        <v/>
      </c>
      <c r="T521">
        <f>IF([2]Entry!$J$524="","",[2]Entry!$J$524)</f>
        <v/>
      </c>
      <c r="U521">
        <f>IF([2]Entry!$K$524="","",[2]Entry!$K$524)</f>
        <v/>
      </c>
      <c r="V521">
        <f>IF([2]Entry!$L$524="","",[2]Entry!$L$524)</f>
        <v/>
      </c>
      <c r="W521">
        <f>IF([2]Entry!$M$524="","",[2]Entry!$M$524)</f>
        <v/>
      </c>
      <c r="X521">
        <f>IF([2]Entry!$N$524="","",[2]Entry!$N$524)</f>
        <v/>
      </c>
      <c r="Y521">
        <f>IF([2]Entry!$R$524="","",[2]Entry!$R$524)</f>
        <v/>
      </c>
    </row>
    <row r="522">
      <c r="J522">
        <f>IF([1]Accounts!$D$523="","",[1]Accounts!$A$523)</f>
        <v/>
      </c>
      <c r="K522">
        <f>IF([1]Accounts!$D$523="","",[1]Accounts!$B$523)</f>
        <v/>
      </c>
      <c r="L522">
        <f>IF([1]Accounts!$D$523="","",[1]Accounts!$C$523)</f>
        <v/>
      </c>
      <c r="M522">
        <f>IF([1]Accounts!$D$523="","",[1]Accounts!$D$523)</f>
        <v/>
      </c>
      <c r="P522">
        <f>IF([2]Entry!$C$525="","",[2]Entry!$C$525)</f>
        <v/>
      </c>
      <c r="Q522">
        <f>IF([2]Entry!$D$525="","",[2]Entry!$D$525)</f>
        <v/>
      </c>
      <c r="R522">
        <f>IF([2]Entry!$E$525="","",[2]Entry!$E$525)</f>
        <v/>
      </c>
      <c r="S522">
        <f>IF([2]Entry!$G$525="","",[2]Entry!$G$525)</f>
        <v/>
      </c>
      <c r="T522">
        <f>IF([2]Entry!$J$525="","",[2]Entry!$J$525)</f>
        <v/>
      </c>
      <c r="U522">
        <f>IF([2]Entry!$K$525="","",[2]Entry!$K$525)</f>
        <v/>
      </c>
      <c r="V522">
        <f>IF([2]Entry!$L$525="","",[2]Entry!$L$525)</f>
        <v/>
      </c>
      <c r="W522">
        <f>IF([2]Entry!$M$525="","",[2]Entry!$M$525)</f>
        <v/>
      </c>
      <c r="X522">
        <f>IF([2]Entry!$N$525="","",[2]Entry!$N$525)</f>
        <v/>
      </c>
      <c r="Y522">
        <f>IF([2]Entry!$R$525="","",[2]Entry!$R$525)</f>
        <v/>
      </c>
    </row>
    <row r="523">
      <c r="J523">
        <f>IF([1]Accounts!$D$524="","",[1]Accounts!$A$524)</f>
        <v/>
      </c>
      <c r="K523">
        <f>IF([1]Accounts!$D$524="","",[1]Accounts!$B$524)</f>
        <v/>
      </c>
      <c r="L523">
        <f>IF([1]Accounts!$D$524="","",[1]Accounts!$C$524)</f>
        <v/>
      </c>
      <c r="M523">
        <f>IF([1]Accounts!$D$524="","",[1]Accounts!$D$524)</f>
        <v/>
      </c>
      <c r="P523">
        <f>IF([2]Entry!$C$526="","",[2]Entry!$C$526)</f>
        <v/>
      </c>
      <c r="Q523">
        <f>IF([2]Entry!$D$526="","",[2]Entry!$D$526)</f>
        <v/>
      </c>
      <c r="R523">
        <f>IF([2]Entry!$E$526="","",[2]Entry!$E$526)</f>
        <v/>
      </c>
      <c r="S523">
        <f>IF([2]Entry!$G$526="","",[2]Entry!$G$526)</f>
        <v/>
      </c>
      <c r="T523">
        <f>IF([2]Entry!$J$526="","",[2]Entry!$J$526)</f>
        <v/>
      </c>
      <c r="U523">
        <f>IF([2]Entry!$K$526="","",[2]Entry!$K$526)</f>
        <v/>
      </c>
      <c r="V523">
        <f>IF([2]Entry!$L$526="","",[2]Entry!$L$526)</f>
        <v/>
      </c>
      <c r="W523">
        <f>IF([2]Entry!$M$526="","",[2]Entry!$M$526)</f>
        <v/>
      </c>
      <c r="X523">
        <f>IF([2]Entry!$N$526="","",[2]Entry!$N$526)</f>
        <v/>
      </c>
      <c r="Y523">
        <f>IF([2]Entry!$R$526="","",[2]Entry!$R$526)</f>
        <v/>
      </c>
    </row>
    <row r="524">
      <c r="J524">
        <f>IF([1]Accounts!$D$525="","",[1]Accounts!$A$525)</f>
        <v/>
      </c>
      <c r="K524">
        <f>IF([1]Accounts!$D$525="","",[1]Accounts!$B$525)</f>
        <v/>
      </c>
      <c r="L524">
        <f>IF([1]Accounts!$D$525="","",[1]Accounts!$C$525)</f>
        <v/>
      </c>
      <c r="M524">
        <f>IF([1]Accounts!$D$525="","",[1]Accounts!$D$525)</f>
        <v/>
      </c>
      <c r="P524">
        <f>IF([2]Entry!$C$527="","",[2]Entry!$C$527)</f>
        <v/>
      </c>
      <c r="Q524">
        <f>IF([2]Entry!$D$527="","",[2]Entry!$D$527)</f>
        <v/>
      </c>
      <c r="R524">
        <f>IF([2]Entry!$E$527="","",[2]Entry!$E$527)</f>
        <v/>
      </c>
      <c r="S524">
        <f>IF([2]Entry!$G$527="","",[2]Entry!$G$527)</f>
        <v/>
      </c>
      <c r="T524">
        <f>IF([2]Entry!$J$527="","",[2]Entry!$J$527)</f>
        <v/>
      </c>
      <c r="U524">
        <f>IF([2]Entry!$K$527="","",[2]Entry!$K$527)</f>
        <v/>
      </c>
      <c r="V524">
        <f>IF([2]Entry!$L$527="","",[2]Entry!$L$527)</f>
        <v/>
      </c>
      <c r="W524">
        <f>IF([2]Entry!$M$527="","",[2]Entry!$M$527)</f>
        <v/>
      </c>
      <c r="X524">
        <f>IF([2]Entry!$N$527="","",[2]Entry!$N$527)</f>
        <v/>
      </c>
      <c r="Y524">
        <f>IF([2]Entry!$R$527="","",[2]Entry!$R$527)</f>
        <v/>
      </c>
    </row>
    <row r="525">
      <c r="J525">
        <f>IF([1]Accounts!$D$526="","",[1]Accounts!$A$526)</f>
        <v/>
      </c>
      <c r="K525">
        <f>IF([1]Accounts!$D$526="","",[1]Accounts!$B$526)</f>
        <v/>
      </c>
      <c r="L525">
        <f>IF([1]Accounts!$D$526="","",[1]Accounts!$C$526)</f>
        <v/>
      </c>
      <c r="M525">
        <f>IF([1]Accounts!$D$526="","",[1]Accounts!$D$526)</f>
        <v/>
      </c>
      <c r="P525">
        <f>IF([2]Entry!$C$528="","",[2]Entry!$C$528)</f>
        <v/>
      </c>
      <c r="Q525">
        <f>IF([2]Entry!$D$528="","",[2]Entry!$D$528)</f>
        <v/>
      </c>
      <c r="R525">
        <f>IF([2]Entry!$E$528="","",[2]Entry!$E$528)</f>
        <v/>
      </c>
      <c r="S525">
        <f>IF([2]Entry!$G$528="","",[2]Entry!$G$528)</f>
        <v/>
      </c>
      <c r="T525">
        <f>IF([2]Entry!$J$528="","",[2]Entry!$J$528)</f>
        <v/>
      </c>
      <c r="U525">
        <f>IF([2]Entry!$K$528="","",[2]Entry!$K$528)</f>
        <v/>
      </c>
      <c r="V525">
        <f>IF([2]Entry!$L$528="","",[2]Entry!$L$528)</f>
        <v/>
      </c>
      <c r="W525">
        <f>IF([2]Entry!$M$528="","",[2]Entry!$M$528)</f>
        <v/>
      </c>
      <c r="X525">
        <f>IF([2]Entry!$N$528="","",[2]Entry!$N$528)</f>
        <v/>
      </c>
      <c r="Y525">
        <f>IF([2]Entry!$R$528="","",[2]Entry!$R$528)</f>
        <v/>
      </c>
    </row>
    <row r="526">
      <c r="J526">
        <f>IF([1]Accounts!$D$527="","",[1]Accounts!$A$527)</f>
        <v/>
      </c>
      <c r="K526">
        <f>IF([1]Accounts!$D$527="","",[1]Accounts!$B$527)</f>
        <v/>
      </c>
      <c r="L526">
        <f>IF([1]Accounts!$D$527="","",[1]Accounts!$C$527)</f>
        <v/>
      </c>
      <c r="M526">
        <f>IF([1]Accounts!$D$527="","",[1]Accounts!$D$527)</f>
        <v/>
      </c>
      <c r="P526">
        <f>IF([2]Entry!$C$529="","",[2]Entry!$C$529)</f>
        <v/>
      </c>
      <c r="Q526">
        <f>IF([2]Entry!$D$529="","",[2]Entry!$D$529)</f>
        <v/>
      </c>
      <c r="R526">
        <f>IF([2]Entry!$E$529="","",[2]Entry!$E$529)</f>
        <v/>
      </c>
      <c r="S526">
        <f>IF([2]Entry!$G$529="","",[2]Entry!$G$529)</f>
        <v/>
      </c>
      <c r="T526">
        <f>IF([2]Entry!$J$529="","",[2]Entry!$J$529)</f>
        <v/>
      </c>
      <c r="U526">
        <f>IF([2]Entry!$K$529="","",[2]Entry!$K$529)</f>
        <v/>
      </c>
      <c r="V526">
        <f>IF([2]Entry!$L$529="","",[2]Entry!$L$529)</f>
        <v/>
      </c>
      <c r="W526">
        <f>IF([2]Entry!$M$529="","",[2]Entry!$M$529)</f>
        <v/>
      </c>
      <c r="X526">
        <f>IF([2]Entry!$N$529="","",[2]Entry!$N$529)</f>
        <v/>
      </c>
      <c r="Y526">
        <f>IF([2]Entry!$R$529="","",[2]Entry!$R$529)</f>
        <v/>
      </c>
    </row>
    <row r="527">
      <c r="J527">
        <f>IF([1]Accounts!$D$528="","",[1]Accounts!$A$528)</f>
        <v/>
      </c>
      <c r="K527">
        <f>IF([1]Accounts!$D$528="","",[1]Accounts!$B$528)</f>
        <v/>
      </c>
      <c r="L527">
        <f>IF([1]Accounts!$D$528="","",[1]Accounts!$C$528)</f>
        <v/>
      </c>
      <c r="M527">
        <f>IF([1]Accounts!$D$528="","",[1]Accounts!$D$528)</f>
        <v/>
      </c>
      <c r="P527">
        <f>IF([2]Entry!$C$530="","",[2]Entry!$C$530)</f>
        <v/>
      </c>
      <c r="Q527">
        <f>IF([2]Entry!$D$530="","",[2]Entry!$D$530)</f>
        <v/>
      </c>
      <c r="R527">
        <f>IF([2]Entry!$E$530="","",[2]Entry!$E$530)</f>
        <v/>
      </c>
      <c r="S527">
        <f>IF([2]Entry!$G$530="","",[2]Entry!$G$530)</f>
        <v/>
      </c>
      <c r="T527">
        <f>IF([2]Entry!$J$530="","",[2]Entry!$J$530)</f>
        <v/>
      </c>
      <c r="U527">
        <f>IF([2]Entry!$K$530="","",[2]Entry!$K$530)</f>
        <v/>
      </c>
      <c r="V527">
        <f>IF([2]Entry!$L$530="","",[2]Entry!$L$530)</f>
        <v/>
      </c>
      <c r="W527">
        <f>IF([2]Entry!$M$530="","",[2]Entry!$M$530)</f>
        <v/>
      </c>
      <c r="X527">
        <f>IF([2]Entry!$N$530="","",[2]Entry!$N$530)</f>
        <v/>
      </c>
      <c r="Y527">
        <f>IF([2]Entry!$R$530="","",[2]Entry!$R$530)</f>
        <v/>
      </c>
    </row>
    <row r="528">
      <c r="J528">
        <f>IF([1]Accounts!$D$529="","",[1]Accounts!$A$529)</f>
        <v/>
      </c>
      <c r="K528">
        <f>IF([1]Accounts!$D$529="","",[1]Accounts!$B$529)</f>
        <v/>
      </c>
      <c r="L528">
        <f>IF([1]Accounts!$D$529="","",[1]Accounts!$C$529)</f>
        <v/>
      </c>
      <c r="M528">
        <f>IF([1]Accounts!$D$529="","",[1]Accounts!$D$529)</f>
        <v/>
      </c>
      <c r="P528">
        <f>IF([2]Entry!$C$531="","",[2]Entry!$C$531)</f>
        <v/>
      </c>
      <c r="Q528">
        <f>IF([2]Entry!$D$531="","",[2]Entry!$D$531)</f>
        <v/>
      </c>
      <c r="R528">
        <f>IF([2]Entry!$E$531="","",[2]Entry!$E$531)</f>
        <v/>
      </c>
      <c r="S528">
        <f>IF([2]Entry!$G$531="","",[2]Entry!$G$531)</f>
        <v/>
      </c>
      <c r="T528">
        <f>IF([2]Entry!$J$531="","",[2]Entry!$J$531)</f>
        <v/>
      </c>
      <c r="U528">
        <f>IF([2]Entry!$K$531="","",[2]Entry!$K$531)</f>
        <v/>
      </c>
      <c r="V528">
        <f>IF([2]Entry!$L$531="","",[2]Entry!$L$531)</f>
        <v/>
      </c>
      <c r="W528">
        <f>IF([2]Entry!$M$531="","",[2]Entry!$M$531)</f>
        <v/>
      </c>
      <c r="X528">
        <f>IF([2]Entry!$N$531="","",[2]Entry!$N$531)</f>
        <v/>
      </c>
      <c r="Y528">
        <f>IF([2]Entry!$R$531="","",[2]Entry!$R$531)</f>
        <v/>
      </c>
    </row>
    <row r="529">
      <c r="J529">
        <f>IF([1]Accounts!$D$530="","",[1]Accounts!$A$530)</f>
        <v/>
      </c>
      <c r="K529">
        <f>IF([1]Accounts!$D$530="","",[1]Accounts!$B$530)</f>
        <v/>
      </c>
      <c r="L529">
        <f>IF([1]Accounts!$D$530="","",[1]Accounts!$C$530)</f>
        <v/>
      </c>
      <c r="M529">
        <f>IF([1]Accounts!$D$530="","",[1]Accounts!$D$530)</f>
        <v/>
      </c>
      <c r="P529">
        <f>IF([2]Entry!$C$532="","",[2]Entry!$C$532)</f>
        <v/>
      </c>
      <c r="Q529">
        <f>IF([2]Entry!$D$532="","",[2]Entry!$D$532)</f>
        <v/>
      </c>
      <c r="R529">
        <f>IF([2]Entry!$E$532="","",[2]Entry!$E$532)</f>
        <v/>
      </c>
      <c r="S529">
        <f>IF([2]Entry!$G$532="","",[2]Entry!$G$532)</f>
        <v/>
      </c>
      <c r="T529">
        <f>IF([2]Entry!$J$532="","",[2]Entry!$J$532)</f>
        <v/>
      </c>
      <c r="U529">
        <f>IF([2]Entry!$K$532="","",[2]Entry!$K$532)</f>
        <v/>
      </c>
      <c r="V529">
        <f>IF([2]Entry!$L$532="","",[2]Entry!$L$532)</f>
        <v/>
      </c>
      <c r="W529">
        <f>IF([2]Entry!$M$532="","",[2]Entry!$M$532)</f>
        <v/>
      </c>
      <c r="X529">
        <f>IF([2]Entry!$N$532="","",[2]Entry!$N$532)</f>
        <v/>
      </c>
      <c r="Y529">
        <f>IF([2]Entry!$R$532="","",[2]Entry!$R$532)</f>
        <v/>
      </c>
    </row>
    <row r="530">
      <c r="J530">
        <f>IF([1]Accounts!$D$531="","",[1]Accounts!$A$531)</f>
        <v/>
      </c>
      <c r="K530">
        <f>IF([1]Accounts!$D$531="","",[1]Accounts!$B$531)</f>
        <v/>
      </c>
      <c r="L530">
        <f>IF([1]Accounts!$D$531="","",[1]Accounts!$C$531)</f>
        <v/>
      </c>
      <c r="M530">
        <f>IF([1]Accounts!$D$531="","",[1]Accounts!$D$531)</f>
        <v/>
      </c>
      <c r="P530">
        <f>IF([2]Entry!$C$533="","",[2]Entry!$C$533)</f>
        <v/>
      </c>
      <c r="Q530">
        <f>IF([2]Entry!$D$533="","",[2]Entry!$D$533)</f>
        <v/>
      </c>
      <c r="R530">
        <f>IF([2]Entry!$E$533="","",[2]Entry!$E$533)</f>
        <v/>
      </c>
      <c r="S530">
        <f>IF([2]Entry!$G$533="","",[2]Entry!$G$533)</f>
        <v/>
      </c>
      <c r="T530">
        <f>IF([2]Entry!$J$533="","",[2]Entry!$J$533)</f>
        <v/>
      </c>
      <c r="U530">
        <f>IF([2]Entry!$K$533="","",[2]Entry!$K$533)</f>
        <v/>
      </c>
      <c r="V530">
        <f>IF([2]Entry!$L$533="","",[2]Entry!$L$533)</f>
        <v/>
      </c>
      <c r="W530">
        <f>IF([2]Entry!$M$533="","",[2]Entry!$M$533)</f>
        <v/>
      </c>
      <c r="X530">
        <f>IF([2]Entry!$N$533="","",[2]Entry!$N$533)</f>
        <v/>
      </c>
      <c r="Y530">
        <f>IF([2]Entry!$R$533="","",[2]Entry!$R$533)</f>
        <v/>
      </c>
    </row>
    <row r="531">
      <c r="J531">
        <f>IF([1]Accounts!$D$532="","",[1]Accounts!$A$532)</f>
        <v/>
      </c>
      <c r="K531">
        <f>IF([1]Accounts!$D$532="","",[1]Accounts!$B$532)</f>
        <v/>
      </c>
      <c r="L531">
        <f>IF([1]Accounts!$D$532="","",[1]Accounts!$C$532)</f>
        <v/>
      </c>
      <c r="M531">
        <f>IF([1]Accounts!$D$532="","",[1]Accounts!$D$532)</f>
        <v/>
      </c>
      <c r="P531">
        <f>IF([2]Entry!$C$534="","",[2]Entry!$C$534)</f>
        <v/>
      </c>
      <c r="Q531">
        <f>IF([2]Entry!$D$534="","",[2]Entry!$D$534)</f>
        <v/>
      </c>
      <c r="R531">
        <f>IF([2]Entry!$E$534="","",[2]Entry!$E$534)</f>
        <v/>
      </c>
      <c r="S531">
        <f>IF([2]Entry!$G$534="","",[2]Entry!$G$534)</f>
        <v/>
      </c>
      <c r="T531">
        <f>IF([2]Entry!$J$534="","",[2]Entry!$J$534)</f>
        <v/>
      </c>
      <c r="U531">
        <f>IF([2]Entry!$K$534="","",[2]Entry!$K$534)</f>
        <v/>
      </c>
      <c r="V531">
        <f>IF([2]Entry!$L$534="","",[2]Entry!$L$534)</f>
        <v/>
      </c>
      <c r="W531">
        <f>IF([2]Entry!$M$534="","",[2]Entry!$M$534)</f>
        <v/>
      </c>
      <c r="X531">
        <f>IF([2]Entry!$N$534="","",[2]Entry!$N$534)</f>
        <v/>
      </c>
      <c r="Y531">
        <f>IF([2]Entry!$R$534="","",[2]Entry!$R$534)</f>
        <v/>
      </c>
    </row>
    <row r="532">
      <c r="J532">
        <f>IF([1]Accounts!$D$533="","",[1]Accounts!$A$533)</f>
        <v/>
      </c>
      <c r="K532">
        <f>IF([1]Accounts!$D$533="","",[1]Accounts!$B$533)</f>
        <v/>
      </c>
      <c r="L532">
        <f>IF([1]Accounts!$D$533="","",[1]Accounts!$C$533)</f>
        <v/>
      </c>
      <c r="M532">
        <f>IF([1]Accounts!$D$533="","",[1]Accounts!$D$533)</f>
        <v/>
      </c>
      <c r="P532">
        <f>IF([2]Entry!$C$535="","",[2]Entry!$C$535)</f>
        <v/>
      </c>
      <c r="Q532">
        <f>IF([2]Entry!$D$535="","",[2]Entry!$D$535)</f>
        <v/>
      </c>
      <c r="R532">
        <f>IF([2]Entry!$E$535="","",[2]Entry!$E$535)</f>
        <v/>
      </c>
      <c r="S532">
        <f>IF([2]Entry!$G$535="","",[2]Entry!$G$535)</f>
        <v/>
      </c>
      <c r="T532">
        <f>IF([2]Entry!$J$535="","",[2]Entry!$J$535)</f>
        <v/>
      </c>
      <c r="U532">
        <f>IF([2]Entry!$K$535="","",[2]Entry!$K$535)</f>
        <v/>
      </c>
      <c r="V532">
        <f>IF([2]Entry!$L$535="","",[2]Entry!$L$535)</f>
        <v/>
      </c>
      <c r="W532">
        <f>IF([2]Entry!$M$535="","",[2]Entry!$M$535)</f>
        <v/>
      </c>
      <c r="X532">
        <f>IF([2]Entry!$N$535="","",[2]Entry!$N$535)</f>
        <v/>
      </c>
      <c r="Y532">
        <f>IF([2]Entry!$R$535="","",[2]Entry!$R$535)</f>
        <v/>
      </c>
    </row>
    <row r="533">
      <c r="J533">
        <f>IF([1]Accounts!$D$534="","",[1]Accounts!$A$534)</f>
        <v/>
      </c>
      <c r="K533">
        <f>IF([1]Accounts!$D$534="","",[1]Accounts!$B$534)</f>
        <v/>
      </c>
      <c r="L533">
        <f>IF([1]Accounts!$D$534="","",[1]Accounts!$C$534)</f>
        <v/>
      </c>
      <c r="M533">
        <f>IF([1]Accounts!$D$534="","",[1]Accounts!$D$534)</f>
        <v/>
      </c>
      <c r="P533">
        <f>IF([2]Entry!$C$536="","",[2]Entry!$C$536)</f>
        <v/>
      </c>
      <c r="Q533">
        <f>IF([2]Entry!$D$536="","",[2]Entry!$D$536)</f>
        <v/>
      </c>
      <c r="R533">
        <f>IF([2]Entry!$E$536="","",[2]Entry!$E$536)</f>
        <v/>
      </c>
      <c r="S533">
        <f>IF([2]Entry!$G$536="","",[2]Entry!$G$536)</f>
        <v/>
      </c>
      <c r="T533">
        <f>IF([2]Entry!$J$536="","",[2]Entry!$J$536)</f>
        <v/>
      </c>
      <c r="U533">
        <f>IF([2]Entry!$K$536="","",[2]Entry!$K$536)</f>
        <v/>
      </c>
      <c r="V533">
        <f>IF([2]Entry!$L$536="","",[2]Entry!$L$536)</f>
        <v/>
      </c>
      <c r="W533">
        <f>IF([2]Entry!$M$536="","",[2]Entry!$M$536)</f>
        <v/>
      </c>
      <c r="X533">
        <f>IF([2]Entry!$N$536="","",[2]Entry!$N$536)</f>
        <v/>
      </c>
      <c r="Y533">
        <f>IF([2]Entry!$R$536="","",[2]Entry!$R$536)</f>
        <v/>
      </c>
    </row>
    <row r="534">
      <c r="J534">
        <f>IF([1]Accounts!$D$535="","",[1]Accounts!$A$535)</f>
        <v/>
      </c>
      <c r="K534">
        <f>IF([1]Accounts!$D$535="","",[1]Accounts!$B$535)</f>
        <v/>
      </c>
      <c r="L534">
        <f>IF([1]Accounts!$D$535="","",[1]Accounts!$C$535)</f>
        <v/>
      </c>
      <c r="M534">
        <f>IF([1]Accounts!$D$535="","",[1]Accounts!$D$535)</f>
        <v/>
      </c>
      <c r="P534">
        <f>IF([2]Entry!$C$537="","",[2]Entry!$C$537)</f>
        <v/>
      </c>
      <c r="Q534">
        <f>IF([2]Entry!$D$537="","",[2]Entry!$D$537)</f>
        <v/>
      </c>
      <c r="R534">
        <f>IF([2]Entry!$E$537="","",[2]Entry!$E$537)</f>
        <v/>
      </c>
      <c r="S534">
        <f>IF([2]Entry!$G$537="","",[2]Entry!$G$537)</f>
        <v/>
      </c>
      <c r="T534">
        <f>IF([2]Entry!$J$537="","",[2]Entry!$J$537)</f>
        <v/>
      </c>
      <c r="U534">
        <f>IF([2]Entry!$K$537="","",[2]Entry!$K$537)</f>
        <v/>
      </c>
      <c r="V534">
        <f>IF([2]Entry!$L$537="","",[2]Entry!$L$537)</f>
        <v/>
      </c>
      <c r="W534">
        <f>IF([2]Entry!$M$537="","",[2]Entry!$M$537)</f>
        <v/>
      </c>
      <c r="X534">
        <f>IF([2]Entry!$N$537="","",[2]Entry!$N$537)</f>
        <v/>
      </c>
      <c r="Y534">
        <f>IF([2]Entry!$R$537="","",[2]Entry!$R$537)</f>
        <v/>
      </c>
    </row>
    <row r="535">
      <c r="J535">
        <f>IF([1]Accounts!$D$536="","",[1]Accounts!$A$536)</f>
        <v/>
      </c>
      <c r="K535">
        <f>IF([1]Accounts!$D$536="","",[1]Accounts!$B$536)</f>
        <v/>
      </c>
      <c r="L535">
        <f>IF([1]Accounts!$D$536="","",[1]Accounts!$C$536)</f>
        <v/>
      </c>
      <c r="M535">
        <f>IF([1]Accounts!$D$536="","",[1]Accounts!$D$536)</f>
        <v/>
      </c>
      <c r="P535">
        <f>IF([2]Entry!$C$538="","",[2]Entry!$C$538)</f>
        <v/>
      </c>
      <c r="Q535">
        <f>IF([2]Entry!$D$538="","",[2]Entry!$D$538)</f>
        <v/>
      </c>
      <c r="R535">
        <f>IF([2]Entry!$E$538="","",[2]Entry!$E$538)</f>
        <v/>
      </c>
      <c r="S535">
        <f>IF([2]Entry!$G$538="","",[2]Entry!$G$538)</f>
        <v/>
      </c>
      <c r="T535">
        <f>IF([2]Entry!$J$538="","",[2]Entry!$J$538)</f>
        <v/>
      </c>
      <c r="U535">
        <f>IF([2]Entry!$K$538="","",[2]Entry!$K$538)</f>
        <v/>
      </c>
      <c r="V535">
        <f>IF([2]Entry!$L$538="","",[2]Entry!$L$538)</f>
        <v/>
      </c>
      <c r="W535">
        <f>IF([2]Entry!$M$538="","",[2]Entry!$M$538)</f>
        <v/>
      </c>
      <c r="X535">
        <f>IF([2]Entry!$N$538="","",[2]Entry!$N$538)</f>
        <v/>
      </c>
      <c r="Y535">
        <f>IF([2]Entry!$R$538="","",[2]Entry!$R$538)</f>
        <v/>
      </c>
    </row>
    <row r="536">
      <c r="J536">
        <f>IF([1]Accounts!$D$537="","",[1]Accounts!$A$537)</f>
        <v/>
      </c>
      <c r="K536">
        <f>IF([1]Accounts!$D$537="","",[1]Accounts!$B$537)</f>
        <v/>
      </c>
      <c r="L536">
        <f>IF([1]Accounts!$D$537="","",[1]Accounts!$C$537)</f>
        <v/>
      </c>
      <c r="M536">
        <f>IF([1]Accounts!$D$537="","",[1]Accounts!$D$537)</f>
        <v/>
      </c>
      <c r="P536">
        <f>IF([2]Entry!$C$539="","",[2]Entry!$C$539)</f>
        <v/>
      </c>
      <c r="Q536">
        <f>IF([2]Entry!$D$539="","",[2]Entry!$D$539)</f>
        <v/>
      </c>
      <c r="R536">
        <f>IF([2]Entry!$E$539="","",[2]Entry!$E$539)</f>
        <v/>
      </c>
      <c r="S536">
        <f>IF([2]Entry!$G$539="","",[2]Entry!$G$539)</f>
        <v/>
      </c>
      <c r="T536">
        <f>IF([2]Entry!$J$539="","",[2]Entry!$J$539)</f>
        <v/>
      </c>
      <c r="U536">
        <f>IF([2]Entry!$K$539="","",[2]Entry!$K$539)</f>
        <v/>
      </c>
      <c r="V536">
        <f>IF([2]Entry!$L$539="","",[2]Entry!$L$539)</f>
        <v/>
      </c>
      <c r="W536">
        <f>IF([2]Entry!$M$539="","",[2]Entry!$M$539)</f>
        <v/>
      </c>
      <c r="X536">
        <f>IF([2]Entry!$N$539="","",[2]Entry!$N$539)</f>
        <v/>
      </c>
      <c r="Y536">
        <f>IF([2]Entry!$R$539="","",[2]Entry!$R$539)</f>
        <v/>
      </c>
    </row>
    <row r="537">
      <c r="J537">
        <f>IF([1]Accounts!$D$538="","",[1]Accounts!$A$538)</f>
        <v/>
      </c>
      <c r="K537">
        <f>IF([1]Accounts!$D$538="","",[1]Accounts!$B$538)</f>
        <v/>
      </c>
      <c r="L537">
        <f>IF([1]Accounts!$D$538="","",[1]Accounts!$C$538)</f>
        <v/>
      </c>
      <c r="M537">
        <f>IF([1]Accounts!$D$538="","",[1]Accounts!$D$538)</f>
        <v/>
      </c>
      <c r="P537">
        <f>IF([2]Entry!$C$540="","",[2]Entry!$C$540)</f>
        <v/>
      </c>
      <c r="Q537">
        <f>IF([2]Entry!$D$540="","",[2]Entry!$D$540)</f>
        <v/>
      </c>
      <c r="R537">
        <f>IF([2]Entry!$E$540="","",[2]Entry!$E$540)</f>
        <v/>
      </c>
      <c r="S537">
        <f>IF([2]Entry!$G$540="","",[2]Entry!$G$540)</f>
        <v/>
      </c>
      <c r="T537">
        <f>IF([2]Entry!$J$540="","",[2]Entry!$J$540)</f>
        <v/>
      </c>
      <c r="U537">
        <f>IF([2]Entry!$K$540="","",[2]Entry!$K$540)</f>
        <v/>
      </c>
      <c r="V537">
        <f>IF([2]Entry!$L$540="","",[2]Entry!$L$540)</f>
        <v/>
      </c>
      <c r="W537">
        <f>IF([2]Entry!$M$540="","",[2]Entry!$M$540)</f>
        <v/>
      </c>
      <c r="X537">
        <f>IF([2]Entry!$N$540="","",[2]Entry!$N$540)</f>
        <v/>
      </c>
      <c r="Y537">
        <f>IF([2]Entry!$R$540="","",[2]Entry!$R$540)</f>
        <v/>
      </c>
    </row>
    <row r="538">
      <c r="J538">
        <f>IF([1]Accounts!$D$539="","",[1]Accounts!$A$539)</f>
        <v/>
      </c>
      <c r="K538">
        <f>IF([1]Accounts!$D$539="","",[1]Accounts!$B$539)</f>
        <v/>
      </c>
      <c r="L538">
        <f>IF([1]Accounts!$D$539="","",[1]Accounts!$C$539)</f>
        <v/>
      </c>
      <c r="M538">
        <f>IF([1]Accounts!$D$539="","",[1]Accounts!$D$539)</f>
        <v/>
      </c>
      <c r="P538">
        <f>IF([2]Entry!$C$541="","",[2]Entry!$C$541)</f>
        <v/>
      </c>
      <c r="Q538">
        <f>IF([2]Entry!$D$541="","",[2]Entry!$D$541)</f>
        <v/>
      </c>
      <c r="R538">
        <f>IF([2]Entry!$E$541="","",[2]Entry!$E$541)</f>
        <v/>
      </c>
      <c r="S538">
        <f>IF([2]Entry!$G$541="","",[2]Entry!$G$541)</f>
        <v/>
      </c>
      <c r="T538">
        <f>IF([2]Entry!$J$541="","",[2]Entry!$J$541)</f>
        <v/>
      </c>
      <c r="U538">
        <f>IF([2]Entry!$K$541="","",[2]Entry!$K$541)</f>
        <v/>
      </c>
      <c r="V538">
        <f>IF([2]Entry!$L$541="","",[2]Entry!$L$541)</f>
        <v/>
      </c>
      <c r="W538">
        <f>IF([2]Entry!$M$541="","",[2]Entry!$M$541)</f>
        <v/>
      </c>
      <c r="X538">
        <f>IF([2]Entry!$N$541="","",[2]Entry!$N$541)</f>
        <v/>
      </c>
      <c r="Y538">
        <f>IF([2]Entry!$R$541="","",[2]Entry!$R$541)</f>
        <v/>
      </c>
    </row>
    <row r="539">
      <c r="J539">
        <f>IF([1]Accounts!$D$540="","",[1]Accounts!$A$540)</f>
        <v/>
      </c>
      <c r="K539">
        <f>IF([1]Accounts!$D$540="","",[1]Accounts!$B$540)</f>
        <v/>
      </c>
      <c r="L539">
        <f>IF([1]Accounts!$D$540="","",[1]Accounts!$C$540)</f>
        <v/>
      </c>
      <c r="M539">
        <f>IF([1]Accounts!$D$540="","",[1]Accounts!$D$540)</f>
        <v/>
      </c>
      <c r="P539">
        <f>IF([2]Entry!$C$542="","",[2]Entry!$C$542)</f>
        <v/>
      </c>
      <c r="Q539">
        <f>IF([2]Entry!$D$542="","",[2]Entry!$D$542)</f>
        <v/>
      </c>
      <c r="R539">
        <f>IF([2]Entry!$E$542="","",[2]Entry!$E$542)</f>
        <v/>
      </c>
      <c r="S539">
        <f>IF([2]Entry!$G$542="","",[2]Entry!$G$542)</f>
        <v/>
      </c>
      <c r="T539">
        <f>IF([2]Entry!$J$542="","",[2]Entry!$J$542)</f>
        <v/>
      </c>
      <c r="U539">
        <f>IF([2]Entry!$K$542="","",[2]Entry!$K$542)</f>
        <v/>
      </c>
      <c r="V539">
        <f>IF([2]Entry!$L$542="","",[2]Entry!$L$542)</f>
        <v/>
      </c>
      <c r="W539">
        <f>IF([2]Entry!$M$542="","",[2]Entry!$M$542)</f>
        <v/>
      </c>
      <c r="X539">
        <f>IF([2]Entry!$N$542="","",[2]Entry!$N$542)</f>
        <v/>
      </c>
      <c r="Y539">
        <f>IF([2]Entry!$R$542="","",[2]Entry!$R$542)</f>
        <v/>
      </c>
    </row>
    <row r="540">
      <c r="J540">
        <f>IF([1]Accounts!$D$541="","",[1]Accounts!$A$541)</f>
        <v/>
      </c>
      <c r="K540">
        <f>IF([1]Accounts!$D$541="","",[1]Accounts!$B$541)</f>
        <v/>
      </c>
      <c r="L540">
        <f>IF([1]Accounts!$D$541="","",[1]Accounts!$C$541)</f>
        <v/>
      </c>
      <c r="M540">
        <f>IF([1]Accounts!$D$541="","",[1]Accounts!$D$541)</f>
        <v/>
      </c>
      <c r="P540">
        <f>IF([2]Entry!$C$543="","",[2]Entry!$C$543)</f>
        <v/>
      </c>
      <c r="Q540">
        <f>IF([2]Entry!$D$543="","",[2]Entry!$D$543)</f>
        <v/>
      </c>
      <c r="R540">
        <f>IF([2]Entry!$E$543="","",[2]Entry!$E$543)</f>
        <v/>
      </c>
      <c r="S540">
        <f>IF([2]Entry!$G$543="","",[2]Entry!$G$543)</f>
        <v/>
      </c>
      <c r="T540">
        <f>IF([2]Entry!$J$543="","",[2]Entry!$J$543)</f>
        <v/>
      </c>
      <c r="U540">
        <f>IF([2]Entry!$K$543="","",[2]Entry!$K$543)</f>
        <v/>
      </c>
      <c r="V540">
        <f>IF([2]Entry!$L$543="","",[2]Entry!$L$543)</f>
        <v/>
      </c>
      <c r="W540">
        <f>IF([2]Entry!$M$543="","",[2]Entry!$M$543)</f>
        <v/>
      </c>
      <c r="X540">
        <f>IF([2]Entry!$N$543="","",[2]Entry!$N$543)</f>
        <v/>
      </c>
      <c r="Y540">
        <f>IF([2]Entry!$R$543="","",[2]Entry!$R$543)</f>
        <v/>
      </c>
    </row>
    <row r="541">
      <c r="J541">
        <f>IF([1]Accounts!$D$542="","",[1]Accounts!$A$542)</f>
        <v/>
      </c>
      <c r="K541">
        <f>IF([1]Accounts!$D$542="","",[1]Accounts!$B$542)</f>
        <v/>
      </c>
      <c r="L541">
        <f>IF([1]Accounts!$D$542="","",[1]Accounts!$C$542)</f>
        <v/>
      </c>
      <c r="M541">
        <f>IF([1]Accounts!$D$542="","",[1]Accounts!$D$542)</f>
        <v/>
      </c>
      <c r="P541">
        <f>IF([2]Entry!$C$544="","",[2]Entry!$C$544)</f>
        <v/>
      </c>
      <c r="Q541">
        <f>IF([2]Entry!$D$544="","",[2]Entry!$D$544)</f>
        <v/>
      </c>
      <c r="R541">
        <f>IF([2]Entry!$E$544="","",[2]Entry!$E$544)</f>
        <v/>
      </c>
      <c r="S541">
        <f>IF([2]Entry!$G$544="","",[2]Entry!$G$544)</f>
        <v/>
      </c>
      <c r="T541">
        <f>IF([2]Entry!$J$544="","",[2]Entry!$J$544)</f>
        <v/>
      </c>
      <c r="U541">
        <f>IF([2]Entry!$K$544="","",[2]Entry!$K$544)</f>
        <v/>
      </c>
      <c r="V541">
        <f>IF([2]Entry!$L$544="","",[2]Entry!$L$544)</f>
        <v/>
      </c>
      <c r="W541">
        <f>IF([2]Entry!$M$544="","",[2]Entry!$M$544)</f>
        <v/>
      </c>
      <c r="X541">
        <f>IF([2]Entry!$N$544="","",[2]Entry!$N$544)</f>
        <v/>
      </c>
      <c r="Y541">
        <f>IF([2]Entry!$R$544="","",[2]Entry!$R$544)</f>
        <v/>
      </c>
    </row>
    <row r="542">
      <c r="J542">
        <f>IF([1]Accounts!$D$543="","",[1]Accounts!$A$543)</f>
        <v/>
      </c>
      <c r="K542">
        <f>IF([1]Accounts!$D$543="","",[1]Accounts!$B$543)</f>
        <v/>
      </c>
      <c r="L542">
        <f>IF([1]Accounts!$D$543="","",[1]Accounts!$C$543)</f>
        <v/>
      </c>
      <c r="M542">
        <f>IF([1]Accounts!$D$543="","",[1]Accounts!$D$543)</f>
        <v/>
      </c>
      <c r="P542">
        <f>IF([2]Entry!$C$545="","",[2]Entry!$C$545)</f>
        <v/>
      </c>
      <c r="Q542">
        <f>IF([2]Entry!$D$545="","",[2]Entry!$D$545)</f>
        <v/>
      </c>
      <c r="R542">
        <f>IF([2]Entry!$E$545="","",[2]Entry!$E$545)</f>
        <v/>
      </c>
      <c r="S542">
        <f>IF([2]Entry!$G$545="","",[2]Entry!$G$545)</f>
        <v/>
      </c>
      <c r="T542">
        <f>IF([2]Entry!$J$545="","",[2]Entry!$J$545)</f>
        <v/>
      </c>
      <c r="U542">
        <f>IF([2]Entry!$K$545="","",[2]Entry!$K$545)</f>
        <v/>
      </c>
      <c r="V542">
        <f>IF([2]Entry!$L$545="","",[2]Entry!$L$545)</f>
        <v/>
      </c>
      <c r="W542">
        <f>IF([2]Entry!$M$545="","",[2]Entry!$M$545)</f>
        <v/>
      </c>
      <c r="X542">
        <f>IF([2]Entry!$N$545="","",[2]Entry!$N$545)</f>
        <v/>
      </c>
      <c r="Y542">
        <f>IF([2]Entry!$R$545="","",[2]Entry!$R$545)</f>
        <v/>
      </c>
    </row>
    <row r="543">
      <c r="J543">
        <f>IF([1]Accounts!$D$544="","",[1]Accounts!$A$544)</f>
        <v/>
      </c>
      <c r="K543">
        <f>IF([1]Accounts!$D$544="","",[1]Accounts!$B$544)</f>
        <v/>
      </c>
      <c r="L543">
        <f>IF([1]Accounts!$D$544="","",[1]Accounts!$C$544)</f>
        <v/>
      </c>
      <c r="M543">
        <f>IF([1]Accounts!$D$544="","",[1]Accounts!$D$544)</f>
        <v/>
      </c>
      <c r="P543">
        <f>IF([2]Entry!$C$546="","",[2]Entry!$C$546)</f>
        <v/>
      </c>
      <c r="Q543">
        <f>IF([2]Entry!$D$546="","",[2]Entry!$D$546)</f>
        <v/>
      </c>
      <c r="R543">
        <f>IF([2]Entry!$E$546="","",[2]Entry!$E$546)</f>
        <v/>
      </c>
      <c r="S543">
        <f>IF([2]Entry!$G$546="","",[2]Entry!$G$546)</f>
        <v/>
      </c>
      <c r="T543">
        <f>IF([2]Entry!$J$546="","",[2]Entry!$J$546)</f>
        <v/>
      </c>
      <c r="U543">
        <f>IF([2]Entry!$K$546="","",[2]Entry!$K$546)</f>
        <v/>
      </c>
      <c r="V543">
        <f>IF([2]Entry!$L$546="","",[2]Entry!$L$546)</f>
        <v/>
      </c>
      <c r="W543">
        <f>IF([2]Entry!$M$546="","",[2]Entry!$M$546)</f>
        <v/>
      </c>
      <c r="X543">
        <f>IF([2]Entry!$N$546="","",[2]Entry!$N$546)</f>
        <v/>
      </c>
      <c r="Y543">
        <f>IF([2]Entry!$R$546="","",[2]Entry!$R$546)</f>
        <v/>
      </c>
    </row>
    <row r="544">
      <c r="J544">
        <f>IF([1]Accounts!$D$545="","",[1]Accounts!$A$545)</f>
        <v/>
      </c>
      <c r="K544">
        <f>IF([1]Accounts!$D$545="","",[1]Accounts!$B$545)</f>
        <v/>
      </c>
      <c r="L544">
        <f>IF([1]Accounts!$D$545="","",[1]Accounts!$C$545)</f>
        <v/>
      </c>
      <c r="M544">
        <f>IF([1]Accounts!$D$545="","",[1]Accounts!$D$545)</f>
        <v/>
      </c>
      <c r="P544">
        <f>IF([2]Entry!$C$547="","",[2]Entry!$C$547)</f>
        <v/>
      </c>
      <c r="Q544">
        <f>IF([2]Entry!$D$547="","",[2]Entry!$D$547)</f>
        <v/>
      </c>
      <c r="R544">
        <f>IF([2]Entry!$E$547="","",[2]Entry!$E$547)</f>
        <v/>
      </c>
      <c r="S544">
        <f>IF([2]Entry!$G$547="","",[2]Entry!$G$547)</f>
        <v/>
      </c>
      <c r="T544">
        <f>IF([2]Entry!$J$547="","",[2]Entry!$J$547)</f>
        <v/>
      </c>
      <c r="U544">
        <f>IF([2]Entry!$K$547="","",[2]Entry!$K$547)</f>
        <v/>
      </c>
      <c r="V544">
        <f>IF([2]Entry!$L$547="","",[2]Entry!$L$547)</f>
        <v/>
      </c>
      <c r="W544">
        <f>IF([2]Entry!$M$547="","",[2]Entry!$M$547)</f>
        <v/>
      </c>
      <c r="X544">
        <f>IF([2]Entry!$N$547="","",[2]Entry!$N$547)</f>
        <v/>
      </c>
      <c r="Y544">
        <f>IF([2]Entry!$R$547="","",[2]Entry!$R$547)</f>
        <v/>
      </c>
    </row>
    <row r="545">
      <c r="J545">
        <f>IF([1]Accounts!$D$546="","",[1]Accounts!$A$546)</f>
        <v/>
      </c>
      <c r="K545">
        <f>IF([1]Accounts!$D$546="","",[1]Accounts!$B$546)</f>
        <v/>
      </c>
      <c r="L545">
        <f>IF([1]Accounts!$D$546="","",[1]Accounts!$C$546)</f>
        <v/>
      </c>
      <c r="M545">
        <f>IF([1]Accounts!$D$546="","",[1]Accounts!$D$546)</f>
        <v/>
      </c>
      <c r="P545">
        <f>IF([2]Entry!$C$548="","",[2]Entry!$C$548)</f>
        <v/>
      </c>
      <c r="Q545">
        <f>IF([2]Entry!$D$548="","",[2]Entry!$D$548)</f>
        <v/>
      </c>
      <c r="R545">
        <f>IF([2]Entry!$E$548="","",[2]Entry!$E$548)</f>
        <v/>
      </c>
      <c r="S545">
        <f>IF([2]Entry!$G$548="","",[2]Entry!$G$548)</f>
        <v/>
      </c>
      <c r="T545">
        <f>IF([2]Entry!$J$548="","",[2]Entry!$J$548)</f>
        <v/>
      </c>
      <c r="U545">
        <f>IF([2]Entry!$K$548="","",[2]Entry!$K$548)</f>
        <v/>
      </c>
      <c r="V545">
        <f>IF([2]Entry!$L$548="","",[2]Entry!$L$548)</f>
        <v/>
      </c>
      <c r="W545">
        <f>IF([2]Entry!$M$548="","",[2]Entry!$M$548)</f>
        <v/>
      </c>
      <c r="X545">
        <f>IF([2]Entry!$N$548="","",[2]Entry!$N$548)</f>
        <v/>
      </c>
      <c r="Y545">
        <f>IF([2]Entry!$R$548="","",[2]Entry!$R$548)</f>
        <v/>
      </c>
    </row>
    <row r="546">
      <c r="J546">
        <f>IF([1]Accounts!$D$547="","",[1]Accounts!$A$547)</f>
        <v/>
      </c>
      <c r="K546">
        <f>IF([1]Accounts!$D$547="","",[1]Accounts!$B$547)</f>
        <v/>
      </c>
      <c r="L546">
        <f>IF([1]Accounts!$D$547="","",[1]Accounts!$C$547)</f>
        <v/>
      </c>
      <c r="M546">
        <f>IF([1]Accounts!$D$547="","",[1]Accounts!$D$547)</f>
        <v/>
      </c>
      <c r="P546">
        <f>IF([2]Entry!$C$549="","",[2]Entry!$C$549)</f>
        <v/>
      </c>
      <c r="Q546">
        <f>IF([2]Entry!$D$549="","",[2]Entry!$D$549)</f>
        <v/>
      </c>
      <c r="R546">
        <f>IF([2]Entry!$E$549="","",[2]Entry!$E$549)</f>
        <v/>
      </c>
      <c r="S546">
        <f>IF([2]Entry!$G$549="","",[2]Entry!$G$549)</f>
        <v/>
      </c>
      <c r="T546">
        <f>IF([2]Entry!$J$549="","",[2]Entry!$J$549)</f>
        <v/>
      </c>
      <c r="U546">
        <f>IF([2]Entry!$K$549="","",[2]Entry!$K$549)</f>
        <v/>
      </c>
      <c r="V546">
        <f>IF([2]Entry!$L$549="","",[2]Entry!$L$549)</f>
        <v/>
      </c>
      <c r="W546">
        <f>IF([2]Entry!$M$549="","",[2]Entry!$M$549)</f>
        <v/>
      </c>
      <c r="X546">
        <f>IF([2]Entry!$N$549="","",[2]Entry!$N$549)</f>
        <v/>
      </c>
      <c r="Y546">
        <f>IF([2]Entry!$R$549="","",[2]Entry!$R$549)</f>
        <v/>
      </c>
    </row>
    <row r="547">
      <c r="J547">
        <f>IF([1]Accounts!$D$548="","",[1]Accounts!$A$548)</f>
        <v/>
      </c>
      <c r="K547">
        <f>IF([1]Accounts!$D$548="","",[1]Accounts!$B$548)</f>
        <v/>
      </c>
      <c r="L547">
        <f>IF([1]Accounts!$D$548="","",[1]Accounts!$C$548)</f>
        <v/>
      </c>
      <c r="M547">
        <f>IF([1]Accounts!$D$548="","",[1]Accounts!$D$548)</f>
        <v/>
      </c>
      <c r="P547">
        <f>IF([2]Entry!$C$550="","",[2]Entry!$C$550)</f>
        <v/>
      </c>
      <c r="Q547">
        <f>IF([2]Entry!$D$550="","",[2]Entry!$D$550)</f>
        <v/>
      </c>
      <c r="R547">
        <f>IF([2]Entry!$E$550="","",[2]Entry!$E$550)</f>
        <v/>
      </c>
      <c r="S547">
        <f>IF([2]Entry!$G$550="","",[2]Entry!$G$550)</f>
        <v/>
      </c>
      <c r="T547">
        <f>IF([2]Entry!$J$550="","",[2]Entry!$J$550)</f>
        <v/>
      </c>
      <c r="U547">
        <f>IF([2]Entry!$K$550="","",[2]Entry!$K$550)</f>
        <v/>
      </c>
      <c r="V547">
        <f>IF([2]Entry!$L$550="","",[2]Entry!$L$550)</f>
        <v/>
      </c>
      <c r="W547">
        <f>IF([2]Entry!$M$550="","",[2]Entry!$M$550)</f>
        <v/>
      </c>
      <c r="X547">
        <f>IF([2]Entry!$N$550="","",[2]Entry!$N$550)</f>
        <v/>
      </c>
      <c r="Y547">
        <f>IF([2]Entry!$R$550="","",[2]Entry!$R$550)</f>
        <v/>
      </c>
    </row>
    <row r="548">
      <c r="J548">
        <f>IF([1]Accounts!$D$549="","",[1]Accounts!$A$549)</f>
        <v/>
      </c>
      <c r="K548">
        <f>IF([1]Accounts!$D$549="","",[1]Accounts!$B$549)</f>
        <v/>
      </c>
      <c r="L548">
        <f>IF([1]Accounts!$D$549="","",[1]Accounts!$C$549)</f>
        <v/>
      </c>
      <c r="M548">
        <f>IF([1]Accounts!$D$549="","",[1]Accounts!$D$549)</f>
        <v/>
      </c>
      <c r="P548">
        <f>IF([2]Entry!$C$551="","",[2]Entry!$C$551)</f>
        <v/>
      </c>
      <c r="Q548">
        <f>IF([2]Entry!$D$551="","",[2]Entry!$D$551)</f>
        <v/>
      </c>
      <c r="R548">
        <f>IF([2]Entry!$E$551="","",[2]Entry!$E$551)</f>
        <v/>
      </c>
      <c r="S548">
        <f>IF([2]Entry!$G$551="","",[2]Entry!$G$551)</f>
        <v/>
      </c>
      <c r="T548">
        <f>IF([2]Entry!$J$551="","",[2]Entry!$J$551)</f>
        <v/>
      </c>
      <c r="U548">
        <f>IF([2]Entry!$K$551="","",[2]Entry!$K$551)</f>
        <v/>
      </c>
      <c r="V548">
        <f>IF([2]Entry!$L$551="","",[2]Entry!$L$551)</f>
        <v/>
      </c>
      <c r="W548">
        <f>IF([2]Entry!$M$551="","",[2]Entry!$M$551)</f>
        <v/>
      </c>
      <c r="X548">
        <f>IF([2]Entry!$N$551="","",[2]Entry!$N$551)</f>
        <v/>
      </c>
      <c r="Y548">
        <f>IF([2]Entry!$R$551="","",[2]Entry!$R$551)</f>
        <v/>
      </c>
    </row>
    <row r="549">
      <c r="J549">
        <f>IF([1]Accounts!$D$550="","",[1]Accounts!$A$550)</f>
        <v/>
      </c>
      <c r="K549">
        <f>IF([1]Accounts!$D$550="","",[1]Accounts!$B$550)</f>
        <v/>
      </c>
      <c r="L549">
        <f>IF([1]Accounts!$D$550="","",[1]Accounts!$C$550)</f>
        <v/>
      </c>
      <c r="M549">
        <f>IF([1]Accounts!$D$550="","",[1]Accounts!$D$550)</f>
        <v/>
      </c>
      <c r="P549">
        <f>IF([2]Entry!$C$552="","",[2]Entry!$C$552)</f>
        <v/>
      </c>
      <c r="Q549">
        <f>IF([2]Entry!$D$552="","",[2]Entry!$D$552)</f>
        <v/>
      </c>
      <c r="R549">
        <f>IF([2]Entry!$E$552="","",[2]Entry!$E$552)</f>
        <v/>
      </c>
      <c r="S549">
        <f>IF([2]Entry!$G$552="","",[2]Entry!$G$552)</f>
        <v/>
      </c>
      <c r="T549">
        <f>IF([2]Entry!$J$552="","",[2]Entry!$J$552)</f>
        <v/>
      </c>
      <c r="U549">
        <f>IF([2]Entry!$K$552="","",[2]Entry!$K$552)</f>
        <v/>
      </c>
      <c r="V549">
        <f>IF([2]Entry!$L$552="","",[2]Entry!$L$552)</f>
        <v/>
      </c>
      <c r="W549">
        <f>IF([2]Entry!$M$552="","",[2]Entry!$M$552)</f>
        <v/>
      </c>
      <c r="X549">
        <f>IF([2]Entry!$N$552="","",[2]Entry!$N$552)</f>
        <v/>
      </c>
      <c r="Y549">
        <f>IF([2]Entry!$R$552="","",[2]Entry!$R$552)</f>
        <v/>
      </c>
    </row>
    <row r="550">
      <c r="J550">
        <f>IF([1]Accounts!$D$551="","",[1]Accounts!$A$551)</f>
        <v/>
      </c>
      <c r="K550">
        <f>IF([1]Accounts!$D$551="","",[1]Accounts!$B$551)</f>
        <v/>
      </c>
      <c r="L550">
        <f>IF([1]Accounts!$D$551="","",[1]Accounts!$C$551)</f>
        <v/>
      </c>
      <c r="M550">
        <f>IF([1]Accounts!$D$551="","",[1]Accounts!$D$551)</f>
        <v/>
      </c>
      <c r="P550">
        <f>IF([2]Entry!$C$553="","",[2]Entry!$C$553)</f>
        <v/>
      </c>
      <c r="Q550">
        <f>IF([2]Entry!$D$553="","",[2]Entry!$D$553)</f>
        <v/>
      </c>
      <c r="R550">
        <f>IF([2]Entry!$E$553="","",[2]Entry!$E$553)</f>
        <v/>
      </c>
      <c r="S550">
        <f>IF([2]Entry!$G$553="","",[2]Entry!$G$553)</f>
        <v/>
      </c>
      <c r="T550">
        <f>IF([2]Entry!$J$553="","",[2]Entry!$J$553)</f>
        <v/>
      </c>
      <c r="U550">
        <f>IF([2]Entry!$K$553="","",[2]Entry!$K$553)</f>
        <v/>
      </c>
      <c r="V550">
        <f>IF([2]Entry!$L$553="","",[2]Entry!$L$553)</f>
        <v/>
      </c>
      <c r="W550">
        <f>IF([2]Entry!$M$553="","",[2]Entry!$M$553)</f>
        <v/>
      </c>
      <c r="X550">
        <f>IF([2]Entry!$N$553="","",[2]Entry!$N$553)</f>
        <v/>
      </c>
      <c r="Y550">
        <f>IF([2]Entry!$R$553="","",[2]Entry!$R$553)</f>
        <v/>
      </c>
    </row>
    <row r="551">
      <c r="J551">
        <f>IF([1]Accounts!$D$552="","",[1]Accounts!$A$552)</f>
        <v/>
      </c>
      <c r="K551">
        <f>IF([1]Accounts!$D$552="","",[1]Accounts!$B$552)</f>
        <v/>
      </c>
      <c r="L551">
        <f>IF([1]Accounts!$D$552="","",[1]Accounts!$C$552)</f>
        <v/>
      </c>
      <c r="M551">
        <f>IF([1]Accounts!$D$552="","",[1]Accounts!$D$552)</f>
        <v/>
      </c>
      <c r="P551">
        <f>IF([2]Entry!$C$554="","",[2]Entry!$C$554)</f>
        <v/>
      </c>
      <c r="Q551">
        <f>IF([2]Entry!$D$554="","",[2]Entry!$D$554)</f>
        <v/>
      </c>
      <c r="R551">
        <f>IF([2]Entry!$E$554="","",[2]Entry!$E$554)</f>
        <v/>
      </c>
      <c r="S551">
        <f>IF([2]Entry!$G$554="","",[2]Entry!$G$554)</f>
        <v/>
      </c>
      <c r="T551">
        <f>IF([2]Entry!$J$554="","",[2]Entry!$J$554)</f>
        <v/>
      </c>
      <c r="U551">
        <f>IF([2]Entry!$K$554="","",[2]Entry!$K$554)</f>
        <v/>
      </c>
      <c r="V551">
        <f>IF([2]Entry!$L$554="","",[2]Entry!$L$554)</f>
        <v/>
      </c>
      <c r="W551">
        <f>IF([2]Entry!$M$554="","",[2]Entry!$M$554)</f>
        <v/>
      </c>
      <c r="X551">
        <f>IF([2]Entry!$N$554="","",[2]Entry!$N$554)</f>
        <v/>
      </c>
      <c r="Y551">
        <f>IF([2]Entry!$R$554="","",[2]Entry!$R$554)</f>
        <v/>
      </c>
    </row>
    <row r="552">
      <c r="J552">
        <f>IF([1]Accounts!$D$553="","",[1]Accounts!$A$553)</f>
        <v/>
      </c>
      <c r="K552">
        <f>IF([1]Accounts!$D$553="","",[1]Accounts!$B$553)</f>
        <v/>
      </c>
      <c r="L552">
        <f>IF([1]Accounts!$D$553="","",[1]Accounts!$C$553)</f>
        <v/>
      </c>
      <c r="M552">
        <f>IF([1]Accounts!$D$553="","",[1]Accounts!$D$553)</f>
        <v/>
      </c>
      <c r="P552">
        <f>IF([2]Entry!$C$555="","",[2]Entry!$C$555)</f>
        <v/>
      </c>
      <c r="Q552">
        <f>IF([2]Entry!$D$555="","",[2]Entry!$D$555)</f>
        <v/>
      </c>
      <c r="R552">
        <f>IF([2]Entry!$E$555="","",[2]Entry!$E$555)</f>
        <v/>
      </c>
      <c r="S552">
        <f>IF([2]Entry!$G$555="","",[2]Entry!$G$555)</f>
        <v/>
      </c>
      <c r="T552">
        <f>IF([2]Entry!$J$555="","",[2]Entry!$J$555)</f>
        <v/>
      </c>
      <c r="U552">
        <f>IF([2]Entry!$K$555="","",[2]Entry!$K$555)</f>
        <v/>
      </c>
      <c r="V552">
        <f>IF([2]Entry!$L$555="","",[2]Entry!$L$555)</f>
        <v/>
      </c>
      <c r="W552">
        <f>IF([2]Entry!$M$555="","",[2]Entry!$M$555)</f>
        <v/>
      </c>
      <c r="X552">
        <f>IF([2]Entry!$N$555="","",[2]Entry!$N$555)</f>
        <v/>
      </c>
      <c r="Y552">
        <f>IF([2]Entry!$R$555="","",[2]Entry!$R$555)</f>
        <v/>
      </c>
    </row>
    <row r="553">
      <c r="J553">
        <f>IF([1]Accounts!$D$554="","",[1]Accounts!$A$554)</f>
        <v/>
      </c>
      <c r="K553">
        <f>IF([1]Accounts!$D$554="","",[1]Accounts!$B$554)</f>
        <v/>
      </c>
      <c r="L553">
        <f>IF([1]Accounts!$D$554="","",[1]Accounts!$C$554)</f>
        <v/>
      </c>
      <c r="M553">
        <f>IF([1]Accounts!$D$554="","",[1]Accounts!$D$554)</f>
        <v/>
      </c>
      <c r="P553">
        <f>IF([2]Entry!$C$556="","",[2]Entry!$C$556)</f>
        <v/>
      </c>
      <c r="Q553">
        <f>IF([2]Entry!$D$556="","",[2]Entry!$D$556)</f>
        <v/>
      </c>
      <c r="R553">
        <f>IF([2]Entry!$E$556="","",[2]Entry!$E$556)</f>
        <v/>
      </c>
      <c r="S553">
        <f>IF([2]Entry!$G$556="","",[2]Entry!$G$556)</f>
        <v/>
      </c>
      <c r="T553">
        <f>IF([2]Entry!$J$556="","",[2]Entry!$J$556)</f>
        <v/>
      </c>
      <c r="U553">
        <f>IF([2]Entry!$K$556="","",[2]Entry!$K$556)</f>
        <v/>
      </c>
      <c r="V553">
        <f>IF([2]Entry!$L$556="","",[2]Entry!$L$556)</f>
        <v/>
      </c>
      <c r="W553">
        <f>IF([2]Entry!$M$556="","",[2]Entry!$M$556)</f>
        <v/>
      </c>
      <c r="X553">
        <f>IF([2]Entry!$N$556="","",[2]Entry!$N$556)</f>
        <v/>
      </c>
      <c r="Y553">
        <f>IF([2]Entry!$R$556="","",[2]Entry!$R$556)</f>
        <v/>
      </c>
    </row>
    <row r="554">
      <c r="J554">
        <f>IF([1]Accounts!$D$555="","",[1]Accounts!$A$555)</f>
        <v/>
      </c>
      <c r="K554">
        <f>IF([1]Accounts!$D$555="","",[1]Accounts!$B$555)</f>
        <v/>
      </c>
      <c r="L554">
        <f>IF([1]Accounts!$D$555="","",[1]Accounts!$C$555)</f>
        <v/>
      </c>
      <c r="M554">
        <f>IF([1]Accounts!$D$555="","",[1]Accounts!$D$555)</f>
        <v/>
      </c>
      <c r="P554">
        <f>IF([2]Entry!$C$557="","",[2]Entry!$C$557)</f>
        <v/>
      </c>
      <c r="Q554">
        <f>IF([2]Entry!$D$557="","",[2]Entry!$D$557)</f>
        <v/>
      </c>
      <c r="R554">
        <f>IF([2]Entry!$E$557="","",[2]Entry!$E$557)</f>
        <v/>
      </c>
      <c r="S554">
        <f>IF([2]Entry!$G$557="","",[2]Entry!$G$557)</f>
        <v/>
      </c>
      <c r="T554">
        <f>IF([2]Entry!$J$557="","",[2]Entry!$J$557)</f>
        <v/>
      </c>
      <c r="U554">
        <f>IF([2]Entry!$K$557="","",[2]Entry!$K$557)</f>
        <v/>
      </c>
      <c r="V554">
        <f>IF([2]Entry!$L$557="","",[2]Entry!$L$557)</f>
        <v/>
      </c>
      <c r="W554">
        <f>IF([2]Entry!$M$557="","",[2]Entry!$M$557)</f>
        <v/>
      </c>
      <c r="X554">
        <f>IF([2]Entry!$N$557="","",[2]Entry!$N$557)</f>
        <v/>
      </c>
      <c r="Y554">
        <f>IF([2]Entry!$R$557="","",[2]Entry!$R$557)</f>
        <v/>
      </c>
    </row>
    <row r="555">
      <c r="J555">
        <f>IF([1]Accounts!$D$556="","",[1]Accounts!$A$556)</f>
        <v/>
      </c>
      <c r="K555">
        <f>IF([1]Accounts!$D$556="","",[1]Accounts!$B$556)</f>
        <v/>
      </c>
      <c r="L555">
        <f>IF([1]Accounts!$D$556="","",[1]Accounts!$C$556)</f>
        <v/>
      </c>
      <c r="M555">
        <f>IF([1]Accounts!$D$556="","",[1]Accounts!$D$556)</f>
        <v/>
      </c>
      <c r="P555">
        <f>IF([2]Entry!$C$558="","",[2]Entry!$C$558)</f>
        <v/>
      </c>
      <c r="Q555">
        <f>IF([2]Entry!$D$558="","",[2]Entry!$D$558)</f>
        <v/>
      </c>
      <c r="R555">
        <f>IF([2]Entry!$E$558="","",[2]Entry!$E$558)</f>
        <v/>
      </c>
      <c r="S555">
        <f>IF([2]Entry!$G$558="","",[2]Entry!$G$558)</f>
        <v/>
      </c>
      <c r="T555">
        <f>IF([2]Entry!$J$558="","",[2]Entry!$J$558)</f>
        <v/>
      </c>
      <c r="U555">
        <f>IF([2]Entry!$K$558="","",[2]Entry!$K$558)</f>
        <v/>
      </c>
      <c r="V555">
        <f>IF([2]Entry!$L$558="","",[2]Entry!$L$558)</f>
        <v/>
      </c>
      <c r="W555">
        <f>IF([2]Entry!$M$558="","",[2]Entry!$M$558)</f>
        <v/>
      </c>
      <c r="X555">
        <f>IF([2]Entry!$N$558="","",[2]Entry!$N$558)</f>
        <v/>
      </c>
      <c r="Y555">
        <f>IF([2]Entry!$R$558="","",[2]Entry!$R$558)</f>
        <v/>
      </c>
    </row>
    <row r="556">
      <c r="J556">
        <f>IF([1]Accounts!$D$557="","",[1]Accounts!$A$557)</f>
        <v/>
      </c>
      <c r="K556">
        <f>IF([1]Accounts!$D$557="","",[1]Accounts!$B$557)</f>
        <v/>
      </c>
      <c r="L556">
        <f>IF([1]Accounts!$D$557="","",[1]Accounts!$C$557)</f>
        <v/>
      </c>
      <c r="M556">
        <f>IF([1]Accounts!$D$557="","",[1]Accounts!$D$557)</f>
        <v/>
      </c>
      <c r="P556">
        <f>IF([2]Entry!$C$559="","",[2]Entry!$C$559)</f>
        <v/>
      </c>
      <c r="Q556">
        <f>IF([2]Entry!$D$559="","",[2]Entry!$D$559)</f>
        <v/>
      </c>
      <c r="R556">
        <f>IF([2]Entry!$E$559="","",[2]Entry!$E$559)</f>
        <v/>
      </c>
      <c r="S556">
        <f>IF([2]Entry!$G$559="","",[2]Entry!$G$559)</f>
        <v/>
      </c>
      <c r="T556">
        <f>IF([2]Entry!$J$559="","",[2]Entry!$J$559)</f>
        <v/>
      </c>
      <c r="U556">
        <f>IF([2]Entry!$K$559="","",[2]Entry!$K$559)</f>
        <v/>
      </c>
      <c r="V556">
        <f>IF([2]Entry!$L$559="","",[2]Entry!$L$559)</f>
        <v/>
      </c>
      <c r="W556">
        <f>IF([2]Entry!$M$559="","",[2]Entry!$M$559)</f>
        <v/>
      </c>
      <c r="X556">
        <f>IF([2]Entry!$N$559="","",[2]Entry!$N$559)</f>
        <v/>
      </c>
      <c r="Y556">
        <f>IF([2]Entry!$R$559="","",[2]Entry!$R$559)</f>
        <v/>
      </c>
    </row>
    <row r="557">
      <c r="J557">
        <f>IF([1]Accounts!$D$558="","",[1]Accounts!$A$558)</f>
        <v/>
      </c>
      <c r="K557">
        <f>IF([1]Accounts!$D$558="","",[1]Accounts!$B$558)</f>
        <v/>
      </c>
      <c r="L557">
        <f>IF([1]Accounts!$D$558="","",[1]Accounts!$C$558)</f>
        <v/>
      </c>
      <c r="M557">
        <f>IF([1]Accounts!$D$558="","",[1]Accounts!$D$558)</f>
        <v/>
      </c>
      <c r="P557">
        <f>IF([2]Entry!$C$560="","",[2]Entry!$C$560)</f>
        <v/>
      </c>
      <c r="Q557">
        <f>IF([2]Entry!$D$560="","",[2]Entry!$D$560)</f>
        <v/>
      </c>
      <c r="R557">
        <f>IF([2]Entry!$E$560="","",[2]Entry!$E$560)</f>
        <v/>
      </c>
      <c r="S557">
        <f>IF([2]Entry!$G$560="","",[2]Entry!$G$560)</f>
        <v/>
      </c>
      <c r="T557">
        <f>IF([2]Entry!$J$560="","",[2]Entry!$J$560)</f>
        <v/>
      </c>
      <c r="U557">
        <f>IF([2]Entry!$K$560="","",[2]Entry!$K$560)</f>
        <v/>
      </c>
      <c r="V557">
        <f>IF([2]Entry!$L$560="","",[2]Entry!$L$560)</f>
        <v/>
      </c>
      <c r="W557">
        <f>IF([2]Entry!$M$560="","",[2]Entry!$M$560)</f>
        <v/>
      </c>
      <c r="X557">
        <f>IF([2]Entry!$N$560="","",[2]Entry!$N$560)</f>
        <v/>
      </c>
      <c r="Y557">
        <f>IF([2]Entry!$R$560="","",[2]Entry!$R$560)</f>
        <v/>
      </c>
    </row>
    <row r="558">
      <c r="J558">
        <f>IF([1]Accounts!$D$559="","",[1]Accounts!$A$559)</f>
        <v/>
      </c>
      <c r="K558">
        <f>IF([1]Accounts!$D$559="","",[1]Accounts!$B$559)</f>
        <v/>
      </c>
      <c r="L558">
        <f>IF([1]Accounts!$D$559="","",[1]Accounts!$C$559)</f>
        <v/>
      </c>
      <c r="M558">
        <f>IF([1]Accounts!$D$559="","",[1]Accounts!$D$559)</f>
        <v/>
      </c>
      <c r="P558">
        <f>IF([2]Entry!$C$561="","",[2]Entry!$C$561)</f>
        <v/>
      </c>
      <c r="Q558">
        <f>IF([2]Entry!$D$561="","",[2]Entry!$D$561)</f>
        <v/>
      </c>
      <c r="R558">
        <f>IF([2]Entry!$E$561="","",[2]Entry!$E$561)</f>
        <v/>
      </c>
      <c r="S558">
        <f>IF([2]Entry!$G$561="","",[2]Entry!$G$561)</f>
        <v/>
      </c>
      <c r="T558">
        <f>IF([2]Entry!$J$561="","",[2]Entry!$J$561)</f>
        <v/>
      </c>
      <c r="U558">
        <f>IF([2]Entry!$K$561="","",[2]Entry!$K$561)</f>
        <v/>
      </c>
      <c r="V558">
        <f>IF([2]Entry!$L$561="","",[2]Entry!$L$561)</f>
        <v/>
      </c>
      <c r="W558">
        <f>IF([2]Entry!$M$561="","",[2]Entry!$M$561)</f>
        <v/>
      </c>
      <c r="X558">
        <f>IF([2]Entry!$N$561="","",[2]Entry!$N$561)</f>
        <v/>
      </c>
      <c r="Y558">
        <f>IF([2]Entry!$R$561="","",[2]Entry!$R$561)</f>
        <v/>
      </c>
    </row>
    <row r="559">
      <c r="J559">
        <f>IF([1]Accounts!$D$560="","",[1]Accounts!$A$560)</f>
        <v/>
      </c>
      <c r="K559">
        <f>IF([1]Accounts!$D$560="","",[1]Accounts!$B$560)</f>
        <v/>
      </c>
      <c r="L559">
        <f>IF([1]Accounts!$D$560="","",[1]Accounts!$C$560)</f>
        <v/>
      </c>
      <c r="M559">
        <f>IF([1]Accounts!$D$560="","",[1]Accounts!$D$560)</f>
        <v/>
      </c>
      <c r="P559">
        <f>IF([2]Entry!$C$562="","",[2]Entry!$C$562)</f>
        <v/>
      </c>
      <c r="Q559">
        <f>IF([2]Entry!$D$562="","",[2]Entry!$D$562)</f>
        <v/>
      </c>
      <c r="R559">
        <f>IF([2]Entry!$E$562="","",[2]Entry!$E$562)</f>
        <v/>
      </c>
      <c r="S559">
        <f>IF([2]Entry!$G$562="","",[2]Entry!$G$562)</f>
        <v/>
      </c>
      <c r="T559">
        <f>IF([2]Entry!$J$562="","",[2]Entry!$J$562)</f>
        <v/>
      </c>
      <c r="U559">
        <f>IF([2]Entry!$K$562="","",[2]Entry!$K$562)</f>
        <v/>
      </c>
      <c r="V559">
        <f>IF([2]Entry!$L$562="","",[2]Entry!$L$562)</f>
        <v/>
      </c>
      <c r="W559">
        <f>IF([2]Entry!$M$562="","",[2]Entry!$M$562)</f>
        <v/>
      </c>
      <c r="X559">
        <f>IF([2]Entry!$N$562="","",[2]Entry!$N$562)</f>
        <v/>
      </c>
      <c r="Y559">
        <f>IF([2]Entry!$R$562="","",[2]Entry!$R$562)</f>
        <v/>
      </c>
    </row>
    <row r="560">
      <c r="J560">
        <f>IF([1]Accounts!$D$561="","",[1]Accounts!$A$561)</f>
        <v/>
      </c>
      <c r="K560">
        <f>IF([1]Accounts!$D$561="","",[1]Accounts!$B$561)</f>
        <v/>
      </c>
      <c r="L560">
        <f>IF([1]Accounts!$D$561="","",[1]Accounts!$C$561)</f>
        <v/>
      </c>
      <c r="M560">
        <f>IF([1]Accounts!$D$561="","",[1]Accounts!$D$561)</f>
        <v/>
      </c>
      <c r="P560">
        <f>IF([2]Entry!$C$563="","",[2]Entry!$C$563)</f>
        <v/>
      </c>
      <c r="Q560">
        <f>IF([2]Entry!$D$563="","",[2]Entry!$D$563)</f>
        <v/>
      </c>
      <c r="R560">
        <f>IF([2]Entry!$E$563="","",[2]Entry!$E$563)</f>
        <v/>
      </c>
      <c r="S560">
        <f>IF([2]Entry!$G$563="","",[2]Entry!$G$563)</f>
        <v/>
      </c>
      <c r="T560">
        <f>IF([2]Entry!$J$563="","",[2]Entry!$J$563)</f>
        <v/>
      </c>
      <c r="U560">
        <f>IF([2]Entry!$K$563="","",[2]Entry!$K$563)</f>
        <v/>
      </c>
      <c r="V560">
        <f>IF([2]Entry!$L$563="","",[2]Entry!$L$563)</f>
        <v/>
      </c>
      <c r="W560">
        <f>IF([2]Entry!$M$563="","",[2]Entry!$M$563)</f>
        <v/>
      </c>
      <c r="X560">
        <f>IF([2]Entry!$N$563="","",[2]Entry!$N$563)</f>
        <v/>
      </c>
      <c r="Y560">
        <f>IF([2]Entry!$R$563="","",[2]Entry!$R$563)</f>
        <v/>
      </c>
    </row>
    <row r="561">
      <c r="J561">
        <f>IF([1]Accounts!$D$562="","",[1]Accounts!$A$562)</f>
        <v/>
      </c>
      <c r="K561">
        <f>IF([1]Accounts!$D$562="","",[1]Accounts!$B$562)</f>
        <v/>
      </c>
      <c r="L561">
        <f>IF([1]Accounts!$D$562="","",[1]Accounts!$C$562)</f>
        <v/>
      </c>
      <c r="M561">
        <f>IF([1]Accounts!$D$562="","",[1]Accounts!$D$562)</f>
        <v/>
      </c>
      <c r="P561">
        <f>IF([2]Entry!$C$564="","",[2]Entry!$C$564)</f>
        <v/>
      </c>
      <c r="Q561">
        <f>IF([2]Entry!$D$564="","",[2]Entry!$D$564)</f>
        <v/>
      </c>
      <c r="R561">
        <f>IF([2]Entry!$E$564="","",[2]Entry!$E$564)</f>
        <v/>
      </c>
      <c r="S561">
        <f>IF([2]Entry!$G$564="","",[2]Entry!$G$564)</f>
        <v/>
      </c>
      <c r="T561">
        <f>IF([2]Entry!$J$564="","",[2]Entry!$J$564)</f>
        <v/>
      </c>
      <c r="U561">
        <f>IF([2]Entry!$K$564="","",[2]Entry!$K$564)</f>
        <v/>
      </c>
      <c r="V561">
        <f>IF([2]Entry!$L$564="","",[2]Entry!$L$564)</f>
        <v/>
      </c>
      <c r="W561">
        <f>IF([2]Entry!$M$564="","",[2]Entry!$M$564)</f>
        <v/>
      </c>
      <c r="X561">
        <f>IF([2]Entry!$N$564="","",[2]Entry!$N$564)</f>
        <v/>
      </c>
      <c r="Y561">
        <f>IF([2]Entry!$R$564="","",[2]Entry!$R$564)</f>
        <v/>
      </c>
    </row>
    <row r="562">
      <c r="J562">
        <f>IF([1]Accounts!$D$563="","",[1]Accounts!$A$563)</f>
        <v/>
      </c>
      <c r="K562">
        <f>IF([1]Accounts!$D$563="","",[1]Accounts!$B$563)</f>
        <v/>
      </c>
      <c r="L562">
        <f>IF([1]Accounts!$D$563="","",[1]Accounts!$C$563)</f>
        <v/>
      </c>
      <c r="M562">
        <f>IF([1]Accounts!$D$563="","",[1]Accounts!$D$563)</f>
        <v/>
      </c>
      <c r="P562">
        <f>IF([2]Entry!$C$565="","",[2]Entry!$C$565)</f>
        <v/>
      </c>
      <c r="Q562">
        <f>IF([2]Entry!$D$565="","",[2]Entry!$D$565)</f>
        <v/>
      </c>
      <c r="R562">
        <f>IF([2]Entry!$E$565="","",[2]Entry!$E$565)</f>
        <v/>
      </c>
      <c r="S562">
        <f>IF([2]Entry!$G$565="","",[2]Entry!$G$565)</f>
        <v/>
      </c>
      <c r="T562">
        <f>IF([2]Entry!$J$565="","",[2]Entry!$J$565)</f>
        <v/>
      </c>
      <c r="U562">
        <f>IF([2]Entry!$K$565="","",[2]Entry!$K$565)</f>
        <v/>
      </c>
      <c r="V562">
        <f>IF([2]Entry!$L$565="","",[2]Entry!$L$565)</f>
        <v/>
      </c>
      <c r="W562">
        <f>IF([2]Entry!$M$565="","",[2]Entry!$M$565)</f>
        <v/>
      </c>
      <c r="X562">
        <f>IF([2]Entry!$N$565="","",[2]Entry!$N$565)</f>
        <v/>
      </c>
      <c r="Y562">
        <f>IF([2]Entry!$R$565="","",[2]Entry!$R$565)</f>
        <v/>
      </c>
    </row>
    <row r="563">
      <c r="J563">
        <f>IF([1]Accounts!$D$564="","",[1]Accounts!$A$564)</f>
        <v/>
      </c>
      <c r="K563">
        <f>IF([1]Accounts!$D$564="","",[1]Accounts!$B$564)</f>
        <v/>
      </c>
      <c r="L563">
        <f>IF([1]Accounts!$D$564="","",[1]Accounts!$C$564)</f>
        <v/>
      </c>
      <c r="M563">
        <f>IF([1]Accounts!$D$564="","",[1]Accounts!$D$564)</f>
        <v/>
      </c>
      <c r="P563">
        <f>IF([2]Entry!$C$566="","",[2]Entry!$C$566)</f>
        <v/>
      </c>
      <c r="Q563">
        <f>IF([2]Entry!$D$566="","",[2]Entry!$D$566)</f>
        <v/>
      </c>
      <c r="R563">
        <f>IF([2]Entry!$E$566="","",[2]Entry!$E$566)</f>
        <v/>
      </c>
      <c r="S563">
        <f>IF([2]Entry!$G$566="","",[2]Entry!$G$566)</f>
        <v/>
      </c>
      <c r="T563">
        <f>IF([2]Entry!$J$566="","",[2]Entry!$J$566)</f>
        <v/>
      </c>
      <c r="U563">
        <f>IF([2]Entry!$K$566="","",[2]Entry!$K$566)</f>
        <v/>
      </c>
      <c r="V563">
        <f>IF([2]Entry!$L$566="","",[2]Entry!$L$566)</f>
        <v/>
      </c>
      <c r="W563">
        <f>IF([2]Entry!$M$566="","",[2]Entry!$M$566)</f>
        <v/>
      </c>
      <c r="X563">
        <f>IF([2]Entry!$N$566="","",[2]Entry!$N$566)</f>
        <v/>
      </c>
      <c r="Y563">
        <f>IF([2]Entry!$R$566="","",[2]Entry!$R$566)</f>
        <v/>
      </c>
    </row>
    <row r="564">
      <c r="J564">
        <f>IF([1]Accounts!$D$565="","",[1]Accounts!$A$565)</f>
        <v/>
      </c>
      <c r="K564">
        <f>IF([1]Accounts!$D$565="","",[1]Accounts!$B$565)</f>
        <v/>
      </c>
      <c r="L564">
        <f>IF([1]Accounts!$D$565="","",[1]Accounts!$C$565)</f>
        <v/>
      </c>
      <c r="M564">
        <f>IF([1]Accounts!$D$565="","",[1]Accounts!$D$565)</f>
        <v/>
      </c>
      <c r="P564">
        <f>IF([2]Entry!$C$567="","",[2]Entry!$C$567)</f>
        <v/>
      </c>
      <c r="Q564">
        <f>IF([2]Entry!$D$567="","",[2]Entry!$D$567)</f>
        <v/>
      </c>
      <c r="R564">
        <f>IF([2]Entry!$E$567="","",[2]Entry!$E$567)</f>
        <v/>
      </c>
      <c r="S564">
        <f>IF([2]Entry!$G$567="","",[2]Entry!$G$567)</f>
        <v/>
      </c>
      <c r="T564">
        <f>IF([2]Entry!$J$567="","",[2]Entry!$J$567)</f>
        <v/>
      </c>
      <c r="U564">
        <f>IF([2]Entry!$K$567="","",[2]Entry!$K$567)</f>
        <v/>
      </c>
      <c r="V564">
        <f>IF([2]Entry!$L$567="","",[2]Entry!$L$567)</f>
        <v/>
      </c>
      <c r="W564">
        <f>IF([2]Entry!$M$567="","",[2]Entry!$M$567)</f>
        <v/>
      </c>
      <c r="X564">
        <f>IF([2]Entry!$N$567="","",[2]Entry!$N$567)</f>
        <v/>
      </c>
      <c r="Y564">
        <f>IF([2]Entry!$R$567="","",[2]Entry!$R$567)</f>
        <v/>
      </c>
    </row>
    <row r="565">
      <c r="J565">
        <f>IF([1]Accounts!$D$566="","",[1]Accounts!$A$566)</f>
        <v/>
      </c>
      <c r="K565">
        <f>IF([1]Accounts!$D$566="","",[1]Accounts!$B$566)</f>
        <v/>
      </c>
      <c r="L565">
        <f>IF([1]Accounts!$D$566="","",[1]Accounts!$C$566)</f>
        <v/>
      </c>
      <c r="M565">
        <f>IF([1]Accounts!$D$566="","",[1]Accounts!$D$566)</f>
        <v/>
      </c>
      <c r="P565">
        <f>IF([2]Entry!$C$568="","",[2]Entry!$C$568)</f>
        <v/>
      </c>
      <c r="Q565">
        <f>IF([2]Entry!$D$568="","",[2]Entry!$D$568)</f>
        <v/>
      </c>
      <c r="R565">
        <f>IF([2]Entry!$E$568="","",[2]Entry!$E$568)</f>
        <v/>
      </c>
      <c r="S565">
        <f>IF([2]Entry!$G$568="","",[2]Entry!$G$568)</f>
        <v/>
      </c>
      <c r="T565">
        <f>IF([2]Entry!$J$568="","",[2]Entry!$J$568)</f>
        <v/>
      </c>
      <c r="U565">
        <f>IF([2]Entry!$K$568="","",[2]Entry!$K$568)</f>
        <v/>
      </c>
      <c r="V565">
        <f>IF([2]Entry!$L$568="","",[2]Entry!$L$568)</f>
        <v/>
      </c>
      <c r="W565">
        <f>IF([2]Entry!$M$568="","",[2]Entry!$M$568)</f>
        <v/>
      </c>
      <c r="X565">
        <f>IF([2]Entry!$N$568="","",[2]Entry!$N$568)</f>
        <v/>
      </c>
      <c r="Y565">
        <f>IF([2]Entry!$R$568="","",[2]Entry!$R$568)</f>
        <v/>
      </c>
    </row>
    <row r="566">
      <c r="P566">
        <f>IF([2]Entry!$C$569="","",[2]Entry!$C$569)</f>
        <v/>
      </c>
      <c r="Q566">
        <f>IF([2]Entry!$D$569="","",[2]Entry!$D$569)</f>
        <v/>
      </c>
      <c r="R566">
        <f>IF([2]Entry!$E$569="","",[2]Entry!$E$569)</f>
        <v/>
      </c>
      <c r="S566">
        <f>IF([2]Entry!$G$569="","",[2]Entry!$G$569)</f>
        <v/>
      </c>
      <c r="T566">
        <f>IF([2]Entry!$J$569="","",[2]Entry!$J$569)</f>
        <v/>
      </c>
      <c r="U566">
        <f>IF([2]Entry!$K$569="","",[2]Entry!$K$569)</f>
        <v/>
      </c>
      <c r="V566">
        <f>IF([2]Entry!$L$569="","",[2]Entry!$L$569)</f>
        <v/>
      </c>
      <c r="W566">
        <f>IF([2]Entry!$M$569="","",[2]Entry!$M$569)</f>
        <v/>
      </c>
      <c r="X566">
        <f>IF([2]Entry!$N$569="","",[2]Entry!$N$569)</f>
        <v/>
      </c>
      <c r="Y566">
        <f>IF([2]Entry!$R$569="","",[2]Entry!$R$569)</f>
        <v/>
      </c>
    </row>
    <row r="567">
      <c r="P567">
        <f>IF([2]Entry!$C$570="","",[2]Entry!$C$570)</f>
        <v/>
      </c>
      <c r="Q567">
        <f>IF([2]Entry!$D$570="","",[2]Entry!$D$570)</f>
        <v/>
      </c>
      <c r="R567">
        <f>IF([2]Entry!$E$570="","",[2]Entry!$E$570)</f>
        <v/>
      </c>
      <c r="S567">
        <f>IF([2]Entry!$G$570="","",[2]Entry!$G$570)</f>
        <v/>
      </c>
      <c r="T567">
        <f>IF([2]Entry!$J$570="","",[2]Entry!$J$570)</f>
        <v/>
      </c>
      <c r="U567">
        <f>IF([2]Entry!$K$570="","",[2]Entry!$K$570)</f>
        <v/>
      </c>
      <c r="V567">
        <f>IF([2]Entry!$L$570="","",[2]Entry!$L$570)</f>
        <v/>
      </c>
      <c r="W567">
        <f>IF([2]Entry!$M$570="","",[2]Entry!$M$570)</f>
        <v/>
      </c>
      <c r="X567">
        <f>IF([2]Entry!$N$570="","",[2]Entry!$N$570)</f>
        <v/>
      </c>
      <c r="Y567">
        <f>IF([2]Entry!$R$570="","",[2]Entry!$R$570)</f>
        <v/>
      </c>
    </row>
    <row r="568">
      <c r="P568">
        <f>IF([2]Entry!$C$571="","",[2]Entry!$C$571)</f>
        <v/>
      </c>
      <c r="Q568">
        <f>IF([2]Entry!$D$571="","",[2]Entry!$D$571)</f>
        <v/>
      </c>
      <c r="R568">
        <f>IF([2]Entry!$E$571="","",[2]Entry!$E$571)</f>
        <v/>
      </c>
      <c r="S568">
        <f>IF([2]Entry!$G$571="","",[2]Entry!$G$571)</f>
        <v/>
      </c>
      <c r="T568">
        <f>IF([2]Entry!$J$571="","",[2]Entry!$J$571)</f>
        <v/>
      </c>
      <c r="U568">
        <f>IF([2]Entry!$K$571="","",[2]Entry!$K$571)</f>
        <v/>
      </c>
      <c r="V568">
        <f>IF([2]Entry!$L$571="","",[2]Entry!$L$571)</f>
        <v/>
      </c>
      <c r="W568">
        <f>IF([2]Entry!$M$571="","",[2]Entry!$M$571)</f>
        <v/>
      </c>
      <c r="X568">
        <f>IF([2]Entry!$N$571="","",[2]Entry!$N$571)</f>
        <v/>
      </c>
      <c r="Y568">
        <f>IF([2]Entry!$R$571="","",[2]Entry!$R$571)</f>
        <v/>
      </c>
    </row>
    <row r="569">
      <c r="P569">
        <f>IF([2]Entry!$C$572="","",[2]Entry!$C$572)</f>
        <v/>
      </c>
      <c r="Q569">
        <f>IF([2]Entry!$D$572="","",[2]Entry!$D$572)</f>
        <v/>
      </c>
      <c r="R569">
        <f>IF([2]Entry!$E$572="","",[2]Entry!$E$572)</f>
        <v/>
      </c>
      <c r="S569">
        <f>IF([2]Entry!$G$572="","",[2]Entry!$G$572)</f>
        <v/>
      </c>
      <c r="T569">
        <f>IF([2]Entry!$J$572="","",[2]Entry!$J$572)</f>
        <v/>
      </c>
      <c r="U569">
        <f>IF([2]Entry!$K$572="","",[2]Entry!$K$572)</f>
        <v/>
      </c>
      <c r="V569">
        <f>IF([2]Entry!$L$572="","",[2]Entry!$L$572)</f>
        <v/>
      </c>
      <c r="W569">
        <f>IF([2]Entry!$M$572="","",[2]Entry!$M$572)</f>
        <v/>
      </c>
      <c r="X569">
        <f>IF([2]Entry!$N$572="","",[2]Entry!$N$572)</f>
        <v/>
      </c>
      <c r="Y569">
        <f>IF([2]Entry!$R$572="","",[2]Entry!$R$572)</f>
        <v/>
      </c>
    </row>
    <row r="570">
      <c r="P570">
        <f>IF([2]Entry!$C$573="","",[2]Entry!$C$573)</f>
        <v/>
      </c>
      <c r="Q570">
        <f>IF([2]Entry!$D$573="","",[2]Entry!$D$573)</f>
        <v/>
      </c>
      <c r="R570">
        <f>IF([2]Entry!$E$573="","",[2]Entry!$E$573)</f>
        <v/>
      </c>
      <c r="S570">
        <f>IF([2]Entry!$G$573="","",[2]Entry!$G$573)</f>
        <v/>
      </c>
      <c r="T570">
        <f>IF([2]Entry!$J$573="","",[2]Entry!$J$573)</f>
        <v/>
      </c>
      <c r="U570">
        <f>IF([2]Entry!$K$573="","",[2]Entry!$K$573)</f>
        <v/>
      </c>
      <c r="V570">
        <f>IF([2]Entry!$L$573="","",[2]Entry!$L$573)</f>
        <v/>
      </c>
      <c r="W570">
        <f>IF([2]Entry!$M$573="","",[2]Entry!$M$573)</f>
        <v/>
      </c>
      <c r="X570">
        <f>IF([2]Entry!$N$573="","",[2]Entry!$N$573)</f>
        <v/>
      </c>
      <c r="Y570">
        <f>IF([2]Entry!$R$573="","",[2]Entry!$R$573)</f>
        <v/>
      </c>
    </row>
    <row r="571">
      <c r="P571">
        <f>IF([2]Entry!$C$574="","",[2]Entry!$C$574)</f>
        <v/>
      </c>
      <c r="Q571">
        <f>IF([2]Entry!$D$574="","",[2]Entry!$D$574)</f>
        <v/>
      </c>
      <c r="R571">
        <f>IF([2]Entry!$E$574="","",[2]Entry!$E$574)</f>
        <v/>
      </c>
      <c r="S571">
        <f>IF([2]Entry!$G$574="","",[2]Entry!$G$574)</f>
        <v/>
      </c>
      <c r="T571">
        <f>IF([2]Entry!$J$574="","",[2]Entry!$J$574)</f>
        <v/>
      </c>
      <c r="U571">
        <f>IF([2]Entry!$K$574="","",[2]Entry!$K$574)</f>
        <v/>
      </c>
      <c r="V571">
        <f>IF([2]Entry!$L$574="","",[2]Entry!$L$574)</f>
        <v/>
      </c>
      <c r="W571">
        <f>IF([2]Entry!$M$574="","",[2]Entry!$M$574)</f>
        <v/>
      </c>
      <c r="X571">
        <f>IF([2]Entry!$N$574="","",[2]Entry!$N$574)</f>
        <v/>
      </c>
      <c r="Y571">
        <f>IF([2]Entry!$R$574="","",[2]Entry!$R$574)</f>
        <v/>
      </c>
    </row>
    <row r="572">
      <c r="P572">
        <f>IF([2]Entry!$C$575="","",[2]Entry!$C$575)</f>
        <v/>
      </c>
      <c r="Q572">
        <f>IF([2]Entry!$D$575="","",[2]Entry!$D$575)</f>
        <v/>
      </c>
      <c r="R572">
        <f>IF([2]Entry!$E$575="","",[2]Entry!$E$575)</f>
        <v/>
      </c>
      <c r="S572">
        <f>IF([2]Entry!$G$575="","",[2]Entry!$G$575)</f>
        <v/>
      </c>
      <c r="T572">
        <f>IF([2]Entry!$J$575="","",[2]Entry!$J$575)</f>
        <v/>
      </c>
      <c r="U572">
        <f>IF([2]Entry!$K$575="","",[2]Entry!$K$575)</f>
        <v/>
      </c>
      <c r="V572">
        <f>IF([2]Entry!$L$575="","",[2]Entry!$L$575)</f>
        <v/>
      </c>
      <c r="W572">
        <f>IF([2]Entry!$M$575="","",[2]Entry!$M$575)</f>
        <v/>
      </c>
      <c r="X572">
        <f>IF([2]Entry!$N$575="","",[2]Entry!$N$575)</f>
        <v/>
      </c>
      <c r="Y572">
        <f>IF([2]Entry!$R$575="","",[2]Entry!$R$575)</f>
        <v/>
      </c>
    </row>
    <row r="573">
      <c r="P573">
        <f>IF([2]Entry!$C$576="","",[2]Entry!$C$576)</f>
        <v/>
      </c>
      <c r="Q573">
        <f>IF([2]Entry!$D$576="","",[2]Entry!$D$576)</f>
        <v/>
      </c>
      <c r="R573">
        <f>IF([2]Entry!$E$576="","",[2]Entry!$E$576)</f>
        <v/>
      </c>
      <c r="S573">
        <f>IF([2]Entry!$G$576="","",[2]Entry!$G$576)</f>
        <v/>
      </c>
      <c r="T573">
        <f>IF([2]Entry!$J$576="","",[2]Entry!$J$576)</f>
        <v/>
      </c>
      <c r="U573">
        <f>IF([2]Entry!$K$576="","",[2]Entry!$K$576)</f>
        <v/>
      </c>
      <c r="V573">
        <f>IF([2]Entry!$L$576="","",[2]Entry!$L$576)</f>
        <v/>
      </c>
      <c r="W573">
        <f>IF([2]Entry!$M$576="","",[2]Entry!$M$576)</f>
        <v/>
      </c>
      <c r="X573">
        <f>IF([2]Entry!$N$576="","",[2]Entry!$N$576)</f>
        <v/>
      </c>
      <c r="Y573">
        <f>IF([2]Entry!$R$576="","",[2]Entry!$R$576)</f>
        <v/>
      </c>
    </row>
    <row r="574">
      <c r="P574">
        <f>IF([2]Entry!$C$577="","",[2]Entry!$C$577)</f>
        <v/>
      </c>
      <c r="Q574">
        <f>IF([2]Entry!$D$577="","",[2]Entry!$D$577)</f>
        <v/>
      </c>
      <c r="R574">
        <f>IF([2]Entry!$E$577="","",[2]Entry!$E$577)</f>
        <v/>
      </c>
      <c r="S574">
        <f>IF([2]Entry!$G$577="","",[2]Entry!$G$577)</f>
        <v/>
      </c>
      <c r="T574">
        <f>IF([2]Entry!$J$577="","",[2]Entry!$J$577)</f>
        <v/>
      </c>
      <c r="U574">
        <f>IF([2]Entry!$K$577="","",[2]Entry!$K$577)</f>
        <v/>
      </c>
      <c r="V574">
        <f>IF([2]Entry!$L$577="","",[2]Entry!$L$577)</f>
        <v/>
      </c>
      <c r="W574">
        <f>IF([2]Entry!$M$577="","",[2]Entry!$M$577)</f>
        <v/>
      </c>
      <c r="X574">
        <f>IF([2]Entry!$N$577="","",[2]Entry!$N$577)</f>
        <v/>
      </c>
      <c r="Y574">
        <f>IF([2]Entry!$R$577="","",[2]Entry!$R$577)</f>
        <v/>
      </c>
    </row>
    <row r="575">
      <c r="P575">
        <f>IF([2]Entry!$C$578="","",[2]Entry!$C$578)</f>
        <v/>
      </c>
      <c r="Q575">
        <f>IF([2]Entry!$D$578="","",[2]Entry!$D$578)</f>
        <v/>
      </c>
      <c r="R575">
        <f>IF([2]Entry!$E$578="","",[2]Entry!$E$578)</f>
        <v/>
      </c>
      <c r="S575">
        <f>IF([2]Entry!$G$578="","",[2]Entry!$G$578)</f>
        <v/>
      </c>
      <c r="T575">
        <f>IF([2]Entry!$J$578="","",[2]Entry!$J$578)</f>
        <v/>
      </c>
      <c r="U575">
        <f>IF([2]Entry!$K$578="","",[2]Entry!$K$578)</f>
        <v/>
      </c>
      <c r="V575">
        <f>IF([2]Entry!$L$578="","",[2]Entry!$L$578)</f>
        <v/>
      </c>
      <c r="W575">
        <f>IF([2]Entry!$M$578="","",[2]Entry!$M$578)</f>
        <v/>
      </c>
      <c r="X575">
        <f>IF([2]Entry!$N$578="","",[2]Entry!$N$578)</f>
        <v/>
      </c>
      <c r="Y575">
        <f>IF([2]Entry!$R$578="","",[2]Entry!$R$578)</f>
        <v/>
      </c>
    </row>
    <row r="576">
      <c r="P576">
        <f>IF([2]Entry!$C$579="","",[2]Entry!$C$579)</f>
        <v/>
      </c>
      <c r="Q576">
        <f>IF([2]Entry!$D$579="","",[2]Entry!$D$579)</f>
        <v/>
      </c>
      <c r="R576">
        <f>IF([2]Entry!$E$579="","",[2]Entry!$E$579)</f>
        <v/>
      </c>
      <c r="S576">
        <f>IF([2]Entry!$G$579="","",[2]Entry!$G$579)</f>
        <v/>
      </c>
      <c r="T576">
        <f>IF([2]Entry!$J$579="","",[2]Entry!$J$579)</f>
        <v/>
      </c>
      <c r="U576">
        <f>IF([2]Entry!$K$579="","",[2]Entry!$K$579)</f>
        <v/>
      </c>
      <c r="V576">
        <f>IF([2]Entry!$L$579="","",[2]Entry!$L$579)</f>
        <v/>
      </c>
      <c r="W576">
        <f>IF([2]Entry!$M$579="","",[2]Entry!$M$579)</f>
        <v/>
      </c>
      <c r="X576">
        <f>IF([2]Entry!$N$579="","",[2]Entry!$N$579)</f>
        <v/>
      </c>
      <c r="Y576">
        <f>IF([2]Entry!$R$579="","",[2]Entry!$R$579)</f>
        <v/>
      </c>
    </row>
    <row r="577">
      <c r="P577">
        <f>IF([2]Entry!$C$580="","",[2]Entry!$C$580)</f>
        <v/>
      </c>
      <c r="Q577">
        <f>IF([2]Entry!$D$580="","",[2]Entry!$D$580)</f>
        <v/>
      </c>
      <c r="R577">
        <f>IF([2]Entry!$E$580="","",[2]Entry!$E$580)</f>
        <v/>
      </c>
      <c r="S577">
        <f>IF([2]Entry!$G$580="","",[2]Entry!$G$580)</f>
        <v/>
      </c>
      <c r="T577">
        <f>IF([2]Entry!$J$580="","",[2]Entry!$J$580)</f>
        <v/>
      </c>
      <c r="U577">
        <f>IF([2]Entry!$K$580="","",[2]Entry!$K$580)</f>
        <v/>
      </c>
      <c r="V577">
        <f>IF([2]Entry!$L$580="","",[2]Entry!$L$580)</f>
        <v/>
      </c>
      <c r="W577">
        <f>IF([2]Entry!$M$580="","",[2]Entry!$M$580)</f>
        <v/>
      </c>
      <c r="X577">
        <f>IF([2]Entry!$N$580="","",[2]Entry!$N$580)</f>
        <v/>
      </c>
      <c r="Y577">
        <f>IF([2]Entry!$R$580="","",[2]Entry!$R$580)</f>
        <v/>
      </c>
    </row>
    <row r="578">
      <c r="P578">
        <f>IF([2]Entry!$C$581="","",[2]Entry!$C$581)</f>
        <v/>
      </c>
      <c r="Q578">
        <f>IF([2]Entry!$D$581="","",[2]Entry!$D$581)</f>
        <v/>
      </c>
      <c r="R578">
        <f>IF([2]Entry!$E$581="","",[2]Entry!$E$581)</f>
        <v/>
      </c>
      <c r="S578">
        <f>IF([2]Entry!$G$581="","",[2]Entry!$G$581)</f>
        <v/>
      </c>
      <c r="T578">
        <f>IF([2]Entry!$J$581="","",[2]Entry!$J$581)</f>
        <v/>
      </c>
      <c r="U578">
        <f>IF([2]Entry!$K$581="","",[2]Entry!$K$581)</f>
        <v/>
      </c>
      <c r="V578">
        <f>IF([2]Entry!$L$581="","",[2]Entry!$L$581)</f>
        <v/>
      </c>
      <c r="W578">
        <f>IF([2]Entry!$M$581="","",[2]Entry!$M$581)</f>
        <v/>
      </c>
      <c r="X578">
        <f>IF([2]Entry!$N$581="","",[2]Entry!$N$581)</f>
        <v/>
      </c>
      <c r="Y578">
        <f>IF([2]Entry!$R$581="","",[2]Entry!$R$581)</f>
        <v/>
      </c>
    </row>
    <row r="579">
      <c r="P579">
        <f>IF([2]Entry!$C$582="","",[2]Entry!$C$582)</f>
        <v/>
      </c>
      <c r="Q579">
        <f>IF([2]Entry!$D$582="","",[2]Entry!$D$582)</f>
        <v/>
      </c>
      <c r="R579">
        <f>IF([2]Entry!$E$582="","",[2]Entry!$E$582)</f>
        <v/>
      </c>
      <c r="S579">
        <f>IF([2]Entry!$G$582="","",[2]Entry!$G$582)</f>
        <v/>
      </c>
      <c r="T579">
        <f>IF([2]Entry!$J$582="","",[2]Entry!$J$582)</f>
        <v/>
      </c>
      <c r="U579">
        <f>IF([2]Entry!$K$582="","",[2]Entry!$K$582)</f>
        <v/>
      </c>
      <c r="V579">
        <f>IF([2]Entry!$L$582="","",[2]Entry!$L$582)</f>
        <v/>
      </c>
      <c r="W579">
        <f>IF([2]Entry!$M$582="","",[2]Entry!$M$582)</f>
        <v/>
      </c>
      <c r="X579">
        <f>IF([2]Entry!$N$582="","",[2]Entry!$N$582)</f>
        <v/>
      </c>
      <c r="Y579">
        <f>IF([2]Entry!$R$582="","",[2]Entry!$R$582)</f>
        <v/>
      </c>
    </row>
    <row r="580">
      <c r="P580">
        <f>IF([2]Entry!$C$583="","",[2]Entry!$C$583)</f>
        <v/>
      </c>
      <c r="Q580">
        <f>IF([2]Entry!$D$583="","",[2]Entry!$D$583)</f>
        <v/>
      </c>
      <c r="R580">
        <f>IF([2]Entry!$E$583="","",[2]Entry!$E$583)</f>
        <v/>
      </c>
      <c r="S580">
        <f>IF([2]Entry!$G$583="","",[2]Entry!$G$583)</f>
        <v/>
      </c>
      <c r="T580">
        <f>IF([2]Entry!$J$583="","",[2]Entry!$J$583)</f>
        <v/>
      </c>
      <c r="U580">
        <f>IF([2]Entry!$K$583="","",[2]Entry!$K$583)</f>
        <v/>
      </c>
      <c r="V580">
        <f>IF([2]Entry!$L$583="","",[2]Entry!$L$583)</f>
        <v/>
      </c>
      <c r="W580">
        <f>IF([2]Entry!$M$583="","",[2]Entry!$M$583)</f>
        <v/>
      </c>
      <c r="X580">
        <f>IF([2]Entry!$N$583="","",[2]Entry!$N$583)</f>
        <v/>
      </c>
      <c r="Y580">
        <f>IF([2]Entry!$R$583="","",[2]Entry!$R$583)</f>
        <v/>
      </c>
    </row>
    <row r="581">
      <c r="P581">
        <f>IF([2]Entry!$C$584="","",[2]Entry!$C$584)</f>
        <v/>
      </c>
      <c r="Q581">
        <f>IF([2]Entry!$D$584="","",[2]Entry!$D$584)</f>
        <v/>
      </c>
      <c r="R581">
        <f>IF([2]Entry!$E$584="","",[2]Entry!$E$584)</f>
        <v/>
      </c>
      <c r="S581">
        <f>IF([2]Entry!$G$584="","",[2]Entry!$G$584)</f>
        <v/>
      </c>
      <c r="T581">
        <f>IF([2]Entry!$J$584="","",[2]Entry!$J$584)</f>
        <v/>
      </c>
      <c r="U581">
        <f>IF([2]Entry!$K$584="","",[2]Entry!$K$584)</f>
        <v/>
      </c>
      <c r="V581">
        <f>IF([2]Entry!$L$584="","",[2]Entry!$L$584)</f>
        <v/>
      </c>
      <c r="W581">
        <f>IF([2]Entry!$M$584="","",[2]Entry!$M$584)</f>
        <v/>
      </c>
      <c r="X581">
        <f>IF([2]Entry!$N$584="","",[2]Entry!$N$584)</f>
        <v/>
      </c>
      <c r="Y581">
        <f>IF([2]Entry!$R$584="","",[2]Entry!$R$584)</f>
        <v/>
      </c>
    </row>
    <row r="582">
      <c r="P582">
        <f>IF([2]Entry!$C$585="","",[2]Entry!$C$585)</f>
        <v/>
      </c>
      <c r="Q582">
        <f>IF([2]Entry!$D$585="","",[2]Entry!$D$585)</f>
        <v/>
      </c>
      <c r="R582">
        <f>IF([2]Entry!$E$585="","",[2]Entry!$E$585)</f>
        <v/>
      </c>
      <c r="S582">
        <f>IF([2]Entry!$G$585="","",[2]Entry!$G$585)</f>
        <v/>
      </c>
      <c r="T582">
        <f>IF([2]Entry!$J$585="","",[2]Entry!$J$585)</f>
        <v/>
      </c>
      <c r="U582">
        <f>IF([2]Entry!$K$585="","",[2]Entry!$K$585)</f>
        <v/>
      </c>
      <c r="V582">
        <f>IF([2]Entry!$L$585="","",[2]Entry!$L$585)</f>
        <v/>
      </c>
      <c r="W582">
        <f>IF([2]Entry!$M$585="","",[2]Entry!$M$585)</f>
        <v/>
      </c>
      <c r="X582">
        <f>IF([2]Entry!$N$585="","",[2]Entry!$N$585)</f>
        <v/>
      </c>
      <c r="Y582">
        <f>IF([2]Entry!$R$585="","",[2]Entry!$R$585)</f>
        <v/>
      </c>
    </row>
    <row r="583">
      <c r="P583">
        <f>IF([2]Entry!$C$586="","",[2]Entry!$C$586)</f>
        <v/>
      </c>
      <c r="Q583">
        <f>IF([2]Entry!$D$586="","",[2]Entry!$D$586)</f>
        <v/>
      </c>
      <c r="R583">
        <f>IF([2]Entry!$E$586="","",[2]Entry!$E$586)</f>
        <v/>
      </c>
      <c r="S583">
        <f>IF([2]Entry!$G$586="","",[2]Entry!$G$586)</f>
        <v/>
      </c>
      <c r="T583">
        <f>IF([2]Entry!$J$586="","",[2]Entry!$J$586)</f>
        <v/>
      </c>
      <c r="U583">
        <f>IF([2]Entry!$K$586="","",[2]Entry!$K$586)</f>
        <v/>
      </c>
      <c r="V583">
        <f>IF([2]Entry!$L$586="","",[2]Entry!$L$586)</f>
        <v/>
      </c>
      <c r="W583">
        <f>IF([2]Entry!$M$586="","",[2]Entry!$M$586)</f>
        <v/>
      </c>
      <c r="X583">
        <f>IF([2]Entry!$N$586="","",[2]Entry!$N$586)</f>
        <v/>
      </c>
      <c r="Y583">
        <f>IF([2]Entry!$R$586="","",[2]Entry!$R$586)</f>
        <v/>
      </c>
    </row>
    <row r="584">
      <c r="P584">
        <f>IF([2]Entry!$C$587="","",[2]Entry!$C$587)</f>
        <v/>
      </c>
      <c r="Q584">
        <f>IF([2]Entry!$D$587="","",[2]Entry!$D$587)</f>
        <v/>
      </c>
      <c r="R584">
        <f>IF([2]Entry!$E$587="","",[2]Entry!$E$587)</f>
        <v/>
      </c>
      <c r="S584">
        <f>IF([2]Entry!$G$587="","",[2]Entry!$G$587)</f>
        <v/>
      </c>
      <c r="T584">
        <f>IF([2]Entry!$J$587="","",[2]Entry!$J$587)</f>
        <v/>
      </c>
      <c r="U584">
        <f>IF([2]Entry!$K$587="","",[2]Entry!$K$587)</f>
        <v/>
      </c>
      <c r="V584">
        <f>IF([2]Entry!$L$587="","",[2]Entry!$L$587)</f>
        <v/>
      </c>
      <c r="W584">
        <f>IF([2]Entry!$M$587="","",[2]Entry!$M$587)</f>
        <v/>
      </c>
      <c r="X584">
        <f>IF([2]Entry!$N$587="","",[2]Entry!$N$587)</f>
        <v/>
      </c>
      <c r="Y584">
        <f>IF([2]Entry!$R$587="","",[2]Entry!$R$587)</f>
        <v/>
      </c>
    </row>
    <row r="585">
      <c r="P585">
        <f>IF([2]Entry!$C$588="","",[2]Entry!$C$588)</f>
        <v/>
      </c>
      <c r="Q585">
        <f>IF([2]Entry!$D$588="","",[2]Entry!$D$588)</f>
        <v/>
      </c>
      <c r="R585">
        <f>IF([2]Entry!$E$588="","",[2]Entry!$E$588)</f>
        <v/>
      </c>
      <c r="S585">
        <f>IF([2]Entry!$G$588="","",[2]Entry!$G$588)</f>
        <v/>
      </c>
      <c r="T585">
        <f>IF([2]Entry!$J$588="","",[2]Entry!$J$588)</f>
        <v/>
      </c>
      <c r="U585">
        <f>IF([2]Entry!$K$588="","",[2]Entry!$K$588)</f>
        <v/>
      </c>
      <c r="V585">
        <f>IF([2]Entry!$L$588="","",[2]Entry!$L$588)</f>
        <v/>
      </c>
      <c r="W585">
        <f>IF([2]Entry!$M$588="","",[2]Entry!$M$588)</f>
        <v/>
      </c>
      <c r="X585">
        <f>IF([2]Entry!$N$588="","",[2]Entry!$N$588)</f>
        <v/>
      </c>
      <c r="Y585">
        <f>IF([2]Entry!$R$588="","",[2]Entry!$R$588)</f>
        <v/>
      </c>
    </row>
    <row r="586">
      <c r="P586">
        <f>IF([2]Entry!$C$589="","",[2]Entry!$C$589)</f>
        <v/>
      </c>
      <c r="Q586">
        <f>IF([2]Entry!$D$589="","",[2]Entry!$D$589)</f>
        <v/>
      </c>
      <c r="R586">
        <f>IF([2]Entry!$E$589="","",[2]Entry!$E$589)</f>
        <v/>
      </c>
      <c r="S586">
        <f>IF([2]Entry!$G$589="","",[2]Entry!$G$589)</f>
        <v/>
      </c>
      <c r="T586">
        <f>IF([2]Entry!$J$589="","",[2]Entry!$J$589)</f>
        <v/>
      </c>
      <c r="U586">
        <f>IF([2]Entry!$K$589="","",[2]Entry!$K$589)</f>
        <v/>
      </c>
      <c r="V586">
        <f>IF([2]Entry!$L$589="","",[2]Entry!$L$589)</f>
        <v/>
      </c>
      <c r="W586">
        <f>IF([2]Entry!$M$589="","",[2]Entry!$M$589)</f>
        <v/>
      </c>
      <c r="X586">
        <f>IF([2]Entry!$N$589="","",[2]Entry!$N$589)</f>
        <v/>
      </c>
      <c r="Y586">
        <f>IF([2]Entry!$R$589="","",[2]Entry!$R$589)</f>
        <v/>
      </c>
    </row>
    <row r="587">
      <c r="P587">
        <f>IF([2]Entry!$C$590="","",[2]Entry!$C$590)</f>
        <v/>
      </c>
      <c r="Q587">
        <f>IF([2]Entry!$D$590="","",[2]Entry!$D$590)</f>
        <v/>
      </c>
      <c r="R587">
        <f>IF([2]Entry!$E$590="","",[2]Entry!$E$590)</f>
        <v/>
      </c>
      <c r="S587">
        <f>IF([2]Entry!$G$590="","",[2]Entry!$G$590)</f>
        <v/>
      </c>
      <c r="T587">
        <f>IF([2]Entry!$J$590="","",[2]Entry!$J$590)</f>
        <v/>
      </c>
      <c r="U587">
        <f>IF([2]Entry!$K$590="","",[2]Entry!$K$590)</f>
        <v/>
      </c>
      <c r="V587">
        <f>IF([2]Entry!$L$590="","",[2]Entry!$L$590)</f>
        <v/>
      </c>
      <c r="W587">
        <f>IF([2]Entry!$M$590="","",[2]Entry!$M$590)</f>
        <v/>
      </c>
      <c r="X587">
        <f>IF([2]Entry!$N$590="","",[2]Entry!$N$590)</f>
        <v/>
      </c>
      <c r="Y587">
        <f>IF([2]Entry!$R$590="","",[2]Entry!$R$590)</f>
        <v/>
      </c>
    </row>
    <row r="588">
      <c r="P588">
        <f>IF([2]Entry!$C$591="","",[2]Entry!$C$591)</f>
        <v/>
      </c>
      <c r="Q588">
        <f>IF([2]Entry!$D$591="","",[2]Entry!$D$591)</f>
        <v/>
      </c>
      <c r="R588">
        <f>IF([2]Entry!$E$591="","",[2]Entry!$E$591)</f>
        <v/>
      </c>
      <c r="S588">
        <f>IF([2]Entry!$G$591="","",[2]Entry!$G$591)</f>
        <v/>
      </c>
      <c r="T588">
        <f>IF([2]Entry!$J$591="","",[2]Entry!$J$591)</f>
        <v/>
      </c>
      <c r="U588">
        <f>IF([2]Entry!$K$591="","",[2]Entry!$K$591)</f>
        <v/>
      </c>
      <c r="V588">
        <f>IF([2]Entry!$L$591="","",[2]Entry!$L$591)</f>
        <v/>
      </c>
      <c r="W588">
        <f>IF([2]Entry!$M$591="","",[2]Entry!$M$591)</f>
        <v/>
      </c>
      <c r="X588">
        <f>IF([2]Entry!$N$591="","",[2]Entry!$N$591)</f>
        <v/>
      </c>
      <c r="Y588">
        <f>IF([2]Entry!$R$591="","",[2]Entry!$R$591)</f>
        <v/>
      </c>
    </row>
    <row r="589">
      <c r="P589">
        <f>IF([2]Entry!$C$592="","",[2]Entry!$C$592)</f>
        <v/>
      </c>
      <c r="Q589">
        <f>IF([2]Entry!$D$592="","",[2]Entry!$D$592)</f>
        <v/>
      </c>
      <c r="R589">
        <f>IF([2]Entry!$E$592="","",[2]Entry!$E$592)</f>
        <v/>
      </c>
      <c r="S589">
        <f>IF([2]Entry!$G$592="","",[2]Entry!$G$592)</f>
        <v/>
      </c>
      <c r="T589">
        <f>IF([2]Entry!$J$592="","",[2]Entry!$J$592)</f>
        <v/>
      </c>
      <c r="U589">
        <f>IF([2]Entry!$K$592="","",[2]Entry!$K$592)</f>
        <v/>
      </c>
      <c r="V589">
        <f>IF([2]Entry!$L$592="","",[2]Entry!$L$592)</f>
        <v/>
      </c>
      <c r="W589">
        <f>IF([2]Entry!$M$592="","",[2]Entry!$M$592)</f>
        <v/>
      </c>
      <c r="X589">
        <f>IF([2]Entry!$N$592="","",[2]Entry!$N$592)</f>
        <v/>
      </c>
      <c r="Y589">
        <f>IF([2]Entry!$R$592="","",[2]Entry!$R$592)</f>
        <v/>
      </c>
    </row>
    <row r="590">
      <c r="P590">
        <f>IF([2]Entry!$C$593="","",[2]Entry!$C$593)</f>
        <v/>
      </c>
      <c r="Q590">
        <f>IF([2]Entry!$D$593="","",[2]Entry!$D$593)</f>
        <v/>
      </c>
      <c r="R590">
        <f>IF([2]Entry!$E$593="","",[2]Entry!$E$593)</f>
        <v/>
      </c>
      <c r="S590">
        <f>IF([2]Entry!$G$593="","",[2]Entry!$G$593)</f>
        <v/>
      </c>
      <c r="T590">
        <f>IF([2]Entry!$J$593="","",[2]Entry!$J$593)</f>
        <v/>
      </c>
      <c r="U590">
        <f>IF([2]Entry!$K$593="","",[2]Entry!$K$593)</f>
        <v/>
      </c>
      <c r="V590">
        <f>IF([2]Entry!$L$593="","",[2]Entry!$L$593)</f>
        <v/>
      </c>
      <c r="W590">
        <f>IF([2]Entry!$M$593="","",[2]Entry!$M$593)</f>
        <v/>
      </c>
      <c r="X590">
        <f>IF([2]Entry!$N$593="","",[2]Entry!$N$593)</f>
        <v/>
      </c>
      <c r="Y590">
        <f>IF([2]Entry!$R$593="","",[2]Entry!$R$593)</f>
        <v/>
      </c>
    </row>
    <row r="591">
      <c r="P591">
        <f>IF([2]Entry!$C$594="","",[2]Entry!$C$594)</f>
        <v/>
      </c>
      <c r="Q591">
        <f>IF([2]Entry!$D$594="","",[2]Entry!$D$594)</f>
        <v/>
      </c>
      <c r="R591">
        <f>IF([2]Entry!$E$594="","",[2]Entry!$E$594)</f>
        <v/>
      </c>
      <c r="S591">
        <f>IF([2]Entry!$G$594="","",[2]Entry!$G$594)</f>
        <v/>
      </c>
      <c r="T591">
        <f>IF([2]Entry!$J$594="","",[2]Entry!$J$594)</f>
        <v/>
      </c>
      <c r="U591">
        <f>IF([2]Entry!$K$594="","",[2]Entry!$K$594)</f>
        <v/>
      </c>
      <c r="V591">
        <f>IF([2]Entry!$L$594="","",[2]Entry!$L$594)</f>
        <v/>
      </c>
      <c r="W591">
        <f>IF([2]Entry!$M$594="","",[2]Entry!$M$594)</f>
        <v/>
      </c>
      <c r="X591">
        <f>IF([2]Entry!$N$594="","",[2]Entry!$N$594)</f>
        <v/>
      </c>
      <c r="Y591">
        <f>IF([2]Entry!$R$594="","",[2]Entry!$R$594)</f>
        <v/>
      </c>
    </row>
    <row r="592">
      <c r="P592">
        <f>IF([2]Entry!$C$595="","",[2]Entry!$C$595)</f>
        <v/>
      </c>
      <c r="Q592">
        <f>IF([2]Entry!$D$595="","",[2]Entry!$D$595)</f>
        <v/>
      </c>
      <c r="R592">
        <f>IF([2]Entry!$E$595="","",[2]Entry!$E$595)</f>
        <v/>
      </c>
      <c r="S592">
        <f>IF([2]Entry!$G$595="","",[2]Entry!$G$595)</f>
        <v/>
      </c>
      <c r="T592">
        <f>IF([2]Entry!$J$595="","",[2]Entry!$J$595)</f>
        <v/>
      </c>
      <c r="U592">
        <f>IF([2]Entry!$K$595="","",[2]Entry!$K$595)</f>
        <v/>
      </c>
      <c r="V592">
        <f>IF([2]Entry!$L$595="","",[2]Entry!$L$595)</f>
        <v/>
      </c>
      <c r="W592">
        <f>IF([2]Entry!$M$595="","",[2]Entry!$M$595)</f>
        <v/>
      </c>
      <c r="X592">
        <f>IF([2]Entry!$N$595="","",[2]Entry!$N$595)</f>
        <v/>
      </c>
      <c r="Y592">
        <f>IF([2]Entry!$R$595="","",[2]Entry!$R$595)</f>
        <v/>
      </c>
    </row>
    <row r="593">
      <c r="P593">
        <f>IF([2]Entry!$C$596="","",[2]Entry!$C$596)</f>
        <v/>
      </c>
      <c r="Q593">
        <f>IF([2]Entry!$D$596="","",[2]Entry!$D$596)</f>
        <v/>
      </c>
      <c r="R593">
        <f>IF([2]Entry!$E$596="","",[2]Entry!$E$596)</f>
        <v/>
      </c>
      <c r="S593">
        <f>IF([2]Entry!$G$596="","",[2]Entry!$G$596)</f>
        <v/>
      </c>
      <c r="T593">
        <f>IF([2]Entry!$J$596="","",[2]Entry!$J$596)</f>
        <v/>
      </c>
      <c r="U593">
        <f>IF([2]Entry!$K$596="","",[2]Entry!$K$596)</f>
        <v/>
      </c>
      <c r="V593">
        <f>IF([2]Entry!$L$596="","",[2]Entry!$L$596)</f>
        <v/>
      </c>
      <c r="W593">
        <f>IF([2]Entry!$M$596="","",[2]Entry!$M$596)</f>
        <v/>
      </c>
      <c r="X593">
        <f>IF([2]Entry!$N$596="","",[2]Entry!$N$596)</f>
        <v/>
      </c>
      <c r="Y593">
        <f>IF([2]Entry!$R$596="","",[2]Entry!$R$596)</f>
        <v/>
      </c>
    </row>
    <row r="594">
      <c r="P594">
        <f>IF([2]Entry!$C$597="","",[2]Entry!$C$597)</f>
        <v/>
      </c>
      <c r="Q594">
        <f>IF([2]Entry!$D$597="","",[2]Entry!$D$597)</f>
        <v/>
      </c>
      <c r="R594">
        <f>IF([2]Entry!$E$597="","",[2]Entry!$E$597)</f>
        <v/>
      </c>
      <c r="S594">
        <f>IF([2]Entry!$G$597="","",[2]Entry!$G$597)</f>
        <v/>
      </c>
      <c r="T594">
        <f>IF([2]Entry!$J$597="","",[2]Entry!$J$597)</f>
        <v/>
      </c>
      <c r="U594">
        <f>IF([2]Entry!$K$597="","",[2]Entry!$K$597)</f>
        <v/>
      </c>
      <c r="V594">
        <f>IF([2]Entry!$L$597="","",[2]Entry!$L$597)</f>
        <v/>
      </c>
      <c r="W594">
        <f>IF([2]Entry!$M$597="","",[2]Entry!$M$597)</f>
        <v/>
      </c>
      <c r="X594">
        <f>IF([2]Entry!$N$597="","",[2]Entry!$N$597)</f>
        <v/>
      </c>
      <c r="Y594">
        <f>IF([2]Entry!$R$597="","",[2]Entry!$R$597)</f>
        <v/>
      </c>
    </row>
    <row r="595">
      <c r="P595">
        <f>IF([2]Entry!$C$598="","",[2]Entry!$C$598)</f>
        <v/>
      </c>
      <c r="Q595">
        <f>IF([2]Entry!$D$598="","",[2]Entry!$D$598)</f>
        <v/>
      </c>
      <c r="R595">
        <f>IF([2]Entry!$E$598="","",[2]Entry!$E$598)</f>
        <v/>
      </c>
      <c r="S595">
        <f>IF([2]Entry!$G$598="","",[2]Entry!$G$598)</f>
        <v/>
      </c>
      <c r="T595">
        <f>IF([2]Entry!$J$598="","",[2]Entry!$J$598)</f>
        <v/>
      </c>
      <c r="U595">
        <f>IF([2]Entry!$K$598="","",[2]Entry!$K$598)</f>
        <v/>
      </c>
      <c r="V595">
        <f>IF([2]Entry!$L$598="","",[2]Entry!$L$598)</f>
        <v/>
      </c>
      <c r="W595">
        <f>IF([2]Entry!$M$598="","",[2]Entry!$M$598)</f>
        <v/>
      </c>
      <c r="X595">
        <f>IF([2]Entry!$N$598="","",[2]Entry!$N$598)</f>
        <v/>
      </c>
      <c r="Y595">
        <f>IF([2]Entry!$R$598="","",[2]Entry!$R$598)</f>
        <v/>
      </c>
    </row>
    <row r="596">
      <c r="P596">
        <f>IF([2]Entry!$C$599="","",[2]Entry!$C$599)</f>
        <v/>
      </c>
      <c r="Q596">
        <f>IF([2]Entry!$D$599="","",[2]Entry!$D$599)</f>
        <v/>
      </c>
      <c r="R596">
        <f>IF([2]Entry!$E$599="","",[2]Entry!$E$599)</f>
        <v/>
      </c>
      <c r="S596">
        <f>IF([2]Entry!$G$599="","",[2]Entry!$G$599)</f>
        <v/>
      </c>
      <c r="T596">
        <f>IF([2]Entry!$J$599="","",[2]Entry!$J$599)</f>
        <v/>
      </c>
      <c r="U596">
        <f>IF([2]Entry!$K$599="","",[2]Entry!$K$599)</f>
        <v/>
      </c>
      <c r="V596">
        <f>IF([2]Entry!$L$599="","",[2]Entry!$L$599)</f>
        <v/>
      </c>
      <c r="W596">
        <f>IF([2]Entry!$M$599="","",[2]Entry!$M$599)</f>
        <v/>
      </c>
      <c r="X596">
        <f>IF([2]Entry!$N$599="","",[2]Entry!$N$599)</f>
        <v/>
      </c>
      <c r="Y596">
        <f>IF([2]Entry!$R$599="","",[2]Entry!$R$599)</f>
        <v/>
      </c>
    </row>
    <row r="597">
      <c r="P597">
        <f>IF([2]Entry!$C$600="","",[2]Entry!$C$600)</f>
        <v/>
      </c>
      <c r="Q597">
        <f>IF([2]Entry!$D$600="","",[2]Entry!$D$600)</f>
        <v/>
      </c>
      <c r="R597">
        <f>IF([2]Entry!$E$600="","",[2]Entry!$E$600)</f>
        <v/>
      </c>
      <c r="S597">
        <f>IF([2]Entry!$G$600="","",[2]Entry!$G$600)</f>
        <v/>
      </c>
      <c r="T597">
        <f>IF([2]Entry!$J$600="","",[2]Entry!$J$600)</f>
        <v/>
      </c>
      <c r="U597">
        <f>IF([2]Entry!$K$600="","",[2]Entry!$K$600)</f>
        <v/>
      </c>
      <c r="V597">
        <f>IF([2]Entry!$L$600="","",[2]Entry!$L$600)</f>
        <v/>
      </c>
      <c r="W597">
        <f>IF([2]Entry!$M$600="","",[2]Entry!$M$600)</f>
        <v/>
      </c>
      <c r="X597">
        <f>IF([2]Entry!$N$600="","",[2]Entry!$N$600)</f>
        <v/>
      </c>
      <c r="Y597">
        <f>IF([2]Entry!$R$600="","",[2]Entry!$R$600)</f>
        <v/>
      </c>
    </row>
    <row r="598">
      <c r="P598">
        <f>IF([2]Entry!$C$601="","",[2]Entry!$C$601)</f>
        <v/>
      </c>
      <c r="Q598">
        <f>IF([2]Entry!$D$601="","",[2]Entry!$D$601)</f>
        <v/>
      </c>
      <c r="R598">
        <f>IF([2]Entry!$E$601="","",[2]Entry!$E$601)</f>
        <v/>
      </c>
      <c r="S598">
        <f>IF([2]Entry!$G$601="","",[2]Entry!$G$601)</f>
        <v/>
      </c>
      <c r="T598">
        <f>IF([2]Entry!$J$601="","",[2]Entry!$J$601)</f>
        <v/>
      </c>
      <c r="U598">
        <f>IF([2]Entry!$K$601="","",[2]Entry!$K$601)</f>
        <v/>
      </c>
      <c r="V598">
        <f>IF([2]Entry!$L$601="","",[2]Entry!$L$601)</f>
        <v/>
      </c>
      <c r="W598">
        <f>IF([2]Entry!$M$601="","",[2]Entry!$M$601)</f>
        <v/>
      </c>
      <c r="X598">
        <f>IF([2]Entry!$N$601="","",[2]Entry!$N$601)</f>
        <v/>
      </c>
      <c r="Y598">
        <f>IF([2]Entry!$R$601="","",[2]Entry!$R$601)</f>
        <v/>
      </c>
    </row>
    <row r="599">
      <c r="P599">
        <f>IF([2]Entry!$C$602="","",[2]Entry!$C$602)</f>
        <v/>
      </c>
      <c r="Q599">
        <f>IF([2]Entry!$D$602="","",[2]Entry!$D$602)</f>
        <v/>
      </c>
      <c r="R599">
        <f>IF([2]Entry!$E$602="","",[2]Entry!$E$602)</f>
        <v/>
      </c>
      <c r="S599">
        <f>IF([2]Entry!$G$602="","",[2]Entry!$G$602)</f>
        <v/>
      </c>
      <c r="T599">
        <f>IF([2]Entry!$J$602="","",[2]Entry!$J$602)</f>
        <v/>
      </c>
      <c r="U599">
        <f>IF([2]Entry!$K$602="","",[2]Entry!$K$602)</f>
        <v/>
      </c>
      <c r="V599">
        <f>IF([2]Entry!$L$602="","",[2]Entry!$L$602)</f>
        <v/>
      </c>
      <c r="W599">
        <f>IF([2]Entry!$M$602="","",[2]Entry!$M$602)</f>
        <v/>
      </c>
      <c r="X599">
        <f>IF([2]Entry!$N$602="","",[2]Entry!$N$602)</f>
        <v/>
      </c>
      <c r="Y599">
        <f>IF([2]Entry!$R$602="","",[2]Entry!$R$602)</f>
        <v/>
      </c>
    </row>
    <row r="600">
      <c r="P600">
        <f>IF([2]Entry!$C$603="","",[2]Entry!$C$603)</f>
        <v/>
      </c>
      <c r="Q600">
        <f>IF([2]Entry!$D$603="","",[2]Entry!$D$603)</f>
        <v/>
      </c>
      <c r="R600">
        <f>IF([2]Entry!$E$603="","",[2]Entry!$E$603)</f>
        <v/>
      </c>
      <c r="S600">
        <f>IF([2]Entry!$G$603="","",[2]Entry!$G$603)</f>
        <v/>
      </c>
      <c r="T600">
        <f>IF([2]Entry!$J$603="","",[2]Entry!$J$603)</f>
        <v/>
      </c>
      <c r="U600">
        <f>IF([2]Entry!$K$603="","",[2]Entry!$K$603)</f>
        <v/>
      </c>
      <c r="V600">
        <f>IF([2]Entry!$L$603="","",[2]Entry!$L$603)</f>
        <v/>
      </c>
      <c r="W600">
        <f>IF([2]Entry!$M$603="","",[2]Entry!$M$603)</f>
        <v/>
      </c>
      <c r="X600">
        <f>IF([2]Entry!$N$603="","",[2]Entry!$N$603)</f>
        <v/>
      </c>
      <c r="Y600">
        <f>IF([2]Entry!$R$603="","",[2]Entry!$R$603)</f>
        <v/>
      </c>
    </row>
    <row r="601">
      <c r="P601">
        <f>IF([2]Entry!$C$604="","",[2]Entry!$C$604)</f>
        <v/>
      </c>
      <c r="Q601">
        <f>IF([2]Entry!$D$604="","",[2]Entry!$D$604)</f>
        <v/>
      </c>
      <c r="R601">
        <f>IF([2]Entry!$E$604="","",[2]Entry!$E$604)</f>
        <v/>
      </c>
      <c r="S601">
        <f>IF([2]Entry!$G$604="","",[2]Entry!$G$604)</f>
        <v/>
      </c>
      <c r="T601">
        <f>IF([2]Entry!$J$604="","",[2]Entry!$J$604)</f>
        <v/>
      </c>
      <c r="U601">
        <f>IF([2]Entry!$K$604="","",[2]Entry!$K$604)</f>
        <v/>
      </c>
      <c r="V601">
        <f>IF([2]Entry!$L$604="","",[2]Entry!$L$604)</f>
        <v/>
      </c>
      <c r="W601">
        <f>IF([2]Entry!$M$604="","",[2]Entry!$M$604)</f>
        <v/>
      </c>
      <c r="X601">
        <f>IF([2]Entry!$N$604="","",[2]Entry!$N$604)</f>
        <v/>
      </c>
      <c r="Y601">
        <f>IF([2]Entry!$R$604="","",[2]Entry!$R$604)</f>
        <v/>
      </c>
    </row>
    <row r="602">
      <c r="P602">
        <f>IF([2]Entry!$C$605="","",[2]Entry!$C$605)</f>
        <v/>
      </c>
      <c r="Q602">
        <f>IF([2]Entry!$D$605="","",[2]Entry!$D$605)</f>
        <v/>
      </c>
      <c r="R602">
        <f>IF([2]Entry!$E$605="","",[2]Entry!$E$605)</f>
        <v/>
      </c>
      <c r="S602">
        <f>IF([2]Entry!$G$605="","",[2]Entry!$G$605)</f>
        <v/>
      </c>
      <c r="T602">
        <f>IF([2]Entry!$J$605="","",[2]Entry!$J$605)</f>
        <v/>
      </c>
      <c r="U602">
        <f>IF([2]Entry!$K$605="","",[2]Entry!$K$605)</f>
        <v/>
      </c>
      <c r="V602">
        <f>IF([2]Entry!$L$605="","",[2]Entry!$L$605)</f>
        <v/>
      </c>
      <c r="W602">
        <f>IF([2]Entry!$M$605="","",[2]Entry!$M$605)</f>
        <v/>
      </c>
      <c r="X602">
        <f>IF([2]Entry!$N$605="","",[2]Entry!$N$605)</f>
        <v/>
      </c>
      <c r="Y602">
        <f>IF([2]Entry!$R$605="","",[2]Entry!$R$605)</f>
        <v/>
      </c>
    </row>
    <row r="603">
      <c r="P603">
        <f>IF([2]Entry!$C$606="","",[2]Entry!$C$606)</f>
        <v/>
      </c>
      <c r="Q603">
        <f>IF([2]Entry!$D$606="","",[2]Entry!$D$606)</f>
        <v/>
      </c>
      <c r="R603">
        <f>IF([2]Entry!$E$606="","",[2]Entry!$E$606)</f>
        <v/>
      </c>
      <c r="S603">
        <f>IF([2]Entry!$G$606="","",[2]Entry!$G$606)</f>
        <v/>
      </c>
      <c r="T603">
        <f>IF([2]Entry!$J$606="","",[2]Entry!$J$606)</f>
        <v/>
      </c>
      <c r="U603">
        <f>IF([2]Entry!$K$606="","",[2]Entry!$K$606)</f>
        <v/>
      </c>
      <c r="V603">
        <f>IF([2]Entry!$L$606="","",[2]Entry!$L$606)</f>
        <v/>
      </c>
      <c r="W603">
        <f>IF([2]Entry!$M$606="","",[2]Entry!$M$606)</f>
        <v/>
      </c>
      <c r="X603">
        <f>IF([2]Entry!$N$606="","",[2]Entry!$N$606)</f>
        <v/>
      </c>
      <c r="Y603">
        <f>IF([2]Entry!$R$606="","",[2]Entry!$R$606)</f>
        <v/>
      </c>
    </row>
    <row r="604">
      <c r="P604">
        <f>IF([2]Entry!$C$607="","",[2]Entry!$C$607)</f>
        <v/>
      </c>
      <c r="Q604">
        <f>IF([2]Entry!$D$607="","",[2]Entry!$D$607)</f>
        <v/>
      </c>
      <c r="R604">
        <f>IF([2]Entry!$E$607="","",[2]Entry!$E$607)</f>
        <v/>
      </c>
      <c r="S604">
        <f>IF([2]Entry!$G$607="","",[2]Entry!$G$607)</f>
        <v/>
      </c>
      <c r="T604">
        <f>IF([2]Entry!$J$607="","",[2]Entry!$J$607)</f>
        <v/>
      </c>
      <c r="U604">
        <f>IF([2]Entry!$K$607="","",[2]Entry!$K$607)</f>
        <v/>
      </c>
      <c r="V604">
        <f>IF([2]Entry!$L$607="","",[2]Entry!$L$607)</f>
        <v/>
      </c>
      <c r="W604">
        <f>IF([2]Entry!$M$607="","",[2]Entry!$M$607)</f>
        <v/>
      </c>
      <c r="X604">
        <f>IF([2]Entry!$N$607="","",[2]Entry!$N$607)</f>
        <v/>
      </c>
      <c r="Y604">
        <f>IF([2]Entry!$R$607="","",[2]Entry!$R$607)</f>
        <v/>
      </c>
    </row>
    <row r="605">
      <c r="P605">
        <f>IF([2]Entry!$C$608="","",[2]Entry!$C$608)</f>
        <v/>
      </c>
      <c r="Q605">
        <f>IF([2]Entry!$D$608="","",[2]Entry!$D$608)</f>
        <v/>
      </c>
      <c r="R605">
        <f>IF([2]Entry!$E$608="","",[2]Entry!$E$608)</f>
        <v/>
      </c>
      <c r="S605">
        <f>IF([2]Entry!$G$608="","",[2]Entry!$G$608)</f>
        <v/>
      </c>
      <c r="T605">
        <f>IF([2]Entry!$J$608="","",[2]Entry!$J$608)</f>
        <v/>
      </c>
      <c r="U605">
        <f>IF([2]Entry!$K$608="","",[2]Entry!$K$608)</f>
        <v/>
      </c>
      <c r="V605">
        <f>IF([2]Entry!$L$608="","",[2]Entry!$L$608)</f>
        <v/>
      </c>
      <c r="W605">
        <f>IF([2]Entry!$M$608="","",[2]Entry!$M$608)</f>
        <v/>
      </c>
      <c r="X605">
        <f>IF([2]Entry!$N$608="","",[2]Entry!$N$608)</f>
        <v/>
      </c>
      <c r="Y605">
        <f>IF([2]Entry!$R$608="","",[2]Entry!$R$608)</f>
        <v/>
      </c>
    </row>
    <row r="606">
      <c r="P606">
        <f>IF([2]Entry!$C$609="","",[2]Entry!$C$609)</f>
        <v/>
      </c>
      <c r="Q606">
        <f>IF([2]Entry!$D$609="","",[2]Entry!$D$609)</f>
        <v/>
      </c>
      <c r="R606">
        <f>IF([2]Entry!$E$609="","",[2]Entry!$E$609)</f>
        <v/>
      </c>
      <c r="S606">
        <f>IF([2]Entry!$G$609="","",[2]Entry!$G$609)</f>
        <v/>
      </c>
      <c r="T606">
        <f>IF([2]Entry!$J$609="","",[2]Entry!$J$609)</f>
        <v/>
      </c>
      <c r="U606">
        <f>IF([2]Entry!$K$609="","",[2]Entry!$K$609)</f>
        <v/>
      </c>
      <c r="V606">
        <f>IF([2]Entry!$L$609="","",[2]Entry!$L$609)</f>
        <v/>
      </c>
      <c r="W606">
        <f>IF([2]Entry!$M$609="","",[2]Entry!$M$609)</f>
        <v/>
      </c>
      <c r="X606">
        <f>IF([2]Entry!$N$609="","",[2]Entry!$N$609)</f>
        <v/>
      </c>
      <c r="Y606">
        <f>IF([2]Entry!$R$609="","",[2]Entry!$R$609)</f>
        <v/>
      </c>
    </row>
    <row r="607">
      <c r="P607">
        <f>IF([2]Entry!$C$610="","",[2]Entry!$C$610)</f>
        <v/>
      </c>
      <c r="Q607">
        <f>IF([2]Entry!$D$610="","",[2]Entry!$D$610)</f>
        <v/>
      </c>
      <c r="R607">
        <f>IF([2]Entry!$E$610="","",[2]Entry!$E$610)</f>
        <v/>
      </c>
      <c r="S607">
        <f>IF([2]Entry!$G$610="","",[2]Entry!$G$610)</f>
        <v/>
      </c>
      <c r="T607">
        <f>IF([2]Entry!$J$610="","",[2]Entry!$J$610)</f>
        <v/>
      </c>
      <c r="U607">
        <f>IF([2]Entry!$K$610="","",[2]Entry!$K$610)</f>
        <v/>
      </c>
      <c r="V607">
        <f>IF([2]Entry!$L$610="","",[2]Entry!$L$610)</f>
        <v/>
      </c>
      <c r="W607">
        <f>IF([2]Entry!$M$610="","",[2]Entry!$M$610)</f>
        <v/>
      </c>
      <c r="X607">
        <f>IF([2]Entry!$N$610="","",[2]Entry!$N$610)</f>
        <v/>
      </c>
      <c r="Y607">
        <f>IF([2]Entry!$R$610="","",[2]Entry!$R$610)</f>
        <v/>
      </c>
    </row>
    <row r="608">
      <c r="P608">
        <f>IF([2]Entry!$C$611="","",[2]Entry!$C$611)</f>
        <v/>
      </c>
      <c r="Q608">
        <f>IF([2]Entry!$D$611="","",[2]Entry!$D$611)</f>
        <v/>
      </c>
      <c r="R608">
        <f>IF([2]Entry!$E$611="","",[2]Entry!$E$611)</f>
        <v/>
      </c>
      <c r="S608">
        <f>IF([2]Entry!$G$611="","",[2]Entry!$G$611)</f>
        <v/>
      </c>
      <c r="T608">
        <f>IF([2]Entry!$J$611="","",[2]Entry!$J$611)</f>
        <v/>
      </c>
      <c r="U608">
        <f>IF([2]Entry!$K$611="","",[2]Entry!$K$611)</f>
        <v/>
      </c>
      <c r="V608">
        <f>IF([2]Entry!$L$611="","",[2]Entry!$L$611)</f>
        <v/>
      </c>
      <c r="W608">
        <f>IF([2]Entry!$M$611="","",[2]Entry!$M$611)</f>
        <v/>
      </c>
      <c r="X608">
        <f>IF([2]Entry!$N$611="","",[2]Entry!$N$611)</f>
        <v/>
      </c>
      <c r="Y608">
        <f>IF([2]Entry!$R$611="","",[2]Entry!$R$611)</f>
        <v/>
      </c>
    </row>
    <row r="609">
      <c r="P609">
        <f>IF([2]Entry!$C$612="","",[2]Entry!$C$612)</f>
        <v/>
      </c>
      <c r="Q609">
        <f>IF([2]Entry!$D$612="","",[2]Entry!$D$612)</f>
        <v/>
      </c>
      <c r="R609">
        <f>IF([2]Entry!$E$612="","",[2]Entry!$E$612)</f>
        <v/>
      </c>
      <c r="S609">
        <f>IF([2]Entry!$G$612="","",[2]Entry!$G$612)</f>
        <v/>
      </c>
      <c r="T609">
        <f>IF([2]Entry!$J$612="","",[2]Entry!$J$612)</f>
        <v/>
      </c>
      <c r="U609">
        <f>IF([2]Entry!$K$612="","",[2]Entry!$K$612)</f>
        <v/>
      </c>
      <c r="V609">
        <f>IF([2]Entry!$L$612="","",[2]Entry!$L$612)</f>
        <v/>
      </c>
      <c r="W609">
        <f>IF([2]Entry!$M$612="","",[2]Entry!$M$612)</f>
        <v/>
      </c>
      <c r="X609">
        <f>IF([2]Entry!$N$612="","",[2]Entry!$N$612)</f>
        <v/>
      </c>
      <c r="Y609">
        <f>IF([2]Entry!$R$612="","",[2]Entry!$R$612)</f>
        <v/>
      </c>
    </row>
    <row r="610">
      <c r="P610">
        <f>IF([2]Entry!$C$613="","",[2]Entry!$C$613)</f>
        <v/>
      </c>
      <c r="Q610">
        <f>IF([2]Entry!$D$613="","",[2]Entry!$D$613)</f>
        <v/>
      </c>
      <c r="R610">
        <f>IF([2]Entry!$E$613="","",[2]Entry!$E$613)</f>
        <v/>
      </c>
      <c r="S610">
        <f>IF([2]Entry!$G$613="","",[2]Entry!$G$613)</f>
        <v/>
      </c>
      <c r="T610">
        <f>IF([2]Entry!$J$613="","",[2]Entry!$J$613)</f>
        <v/>
      </c>
      <c r="U610">
        <f>IF([2]Entry!$K$613="","",[2]Entry!$K$613)</f>
        <v/>
      </c>
      <c r="V610">
        <f>IF([2]Entry!$L$613="","",[2]Entry!$L$613)</f>
        <v/>
      </c>
      <c r="W610">
        <f>IF([2]Entry!$M$613="","",[2]Entry!$M$613)</f>
        <v/>
      </c>
      <c r="X610">
        <f>IF([2]Entry!$N$613="","",[2]Entry!$N$613)</f>
        <v/>
      </c>
      <c r="Y610">
        <f>IF([2]Entry!$R$613="","",[2]Entry!$R$613)</f>
        <v/>
      </c>
    </row>
    <row r="611">
      <c r="P611">
        <f>IF([2]Entry!$C$614="","",[2]Entry!$C$614)</f>
        <v/>
      </c>
      <c r="Q611">
        <f>IF([2]Entry!$D$614="","",[2]Entry!$D$614)</f>
        <v/>
      </c>
      <c r="R611">
        <f>IF([2]Entry!$E$614="","",[2]Entry!$E$614)</f>
        <v/>
      </c>
      <c r="S611">
        <f>IF([2]Entry!$G$614="","",[2]Entry!$G$614)</f>
        <v/>
      </c>
      <c r="T611">
        <f>IF([2]Entry!$J$614="","",[2]Entry!$J$614)</f>
        <v/>
      </c>
      <c r="U611">
        <f>IF([2]Entry!$K$614="","",[2]Entry!$K$614)</f>
        <v/>
      </c>
      <c r="V611">
        <f>IF([2]Entry!$L$614="","",[2]Entry!$L$614)</f>
        <v/>
      </c>
      <c r="W611">
        <f>IF([2]Entry!$M$614="","",[2]Entry!$M$614)</f>
        <v/>
      </c>
      <c r="X611">
        <f>IF([2]Entry!$N$614="","",[2]Entry!$N$614)</f>
        <v/>
      </c>
      <c r="Y611">
        <f>IF([2]Entry!$R$614="","",[2]Entry!$R$614)</f>
        <v/>
      </c>
    </row>
    <row r="612">
      <c r="P612">
        <f>IF([2]Entry!$C$615="","",[2]Entry!$C$615)</f>
        <v/>
      </c>
      <c r="Q612">
        <f>IF([2]Entry!$D$615="","",[2]Entry!$D$615)</f>
        <v/>
      </c>
      <c r="R612">
        <f>IF([2]Entry!$E$615="","",[2]Entry!$E$615)</f>
        <v/>
      </c>
      <c r="S612">
        <f>IF([2]Entry!$G$615="","",[2]Entry!$G$615)</f>
        <v/>
      </c>
      <c r="T612">
        <f>IF([2]Entry!$J$615="","",[2]Entry!$J$615)</f>
        <v/>
      </c>
      <c r="U612">
        <f>IF([2]Entry!$K$615="","",[2]Entry!$K$615)</f>
        <v/>
      </c>
      <c r="V612">
        <f>IF([2]Entry!$L$615="","",[2]Entry!$L$615)</f>
        <v/>
      </c>
      <c r="W612">
        <f>IF([2]Entry!$M$615="","",[2]Entry!$M$615)</f>
        <v/>
      </c>
      <c r="X612">
        <f>IF([2]Entry!$N$615="","",[2]Entry!$N$615)</f>
        <v/>
      </c>
      <c r="Y612">
        <f>IF([2]Entry!$R$615="","",[2]Entry!$R$615)</f>
        <v/>
      </c>
    </row>
    <row r="613">
      <c r="P613">
        <f>IF([2]Entry!$C$616="","",[2]Entry!$C$616)</f>
        <v/>
      </c>
      <c r="Q613">
        <f>IF([2]Entry!$D$616="","",[2]Entry!$D$616)</f>
        <v/>
      </c>
      <c r="R613">
        <f>IF([2]Entry!$E$616="","",[2]Entry!$E$616)</f>
        <v/>
      </c>
      <c r="S613">
        <f>IF([2]Entry!$G$616="","",[2]Entry!$G$616)</f>
        <v/>
      </c>
      <c r="T613">
        <f>IF([2]Entry!$J$616="","",[2]Entry!$J$616)</f>
        <v/>
      </c>
      <c r="U613">
        <f>IF([2]Entry!$K$616="","",[2]Entry!$K$616)</f>
        <v/>
      </c>
      <c r="V613">
        <f>IF([2]Entry!$L$616="","",[2]Entry!$L$616)</f>
        <v/>
      </c>
      <c r="W613">
        <f>IF([2]Entry!$M$616="","",[2]Entry!$M$616)</f>
        <v/>
      </c>
      <c r="X613">
        <f>IF([2]Entry!$N$616="","",[2]Entry!$N$616)</f>
        <v/>
      </c>
      <c r="Y613">
        <f>IF([2]Entry!$R$616="","",[2]Entry!$R$616)</f>
        <v/>
      </c>
    </row>
    <row r="614">
      <c r="P614">
        <f>IF([2]Entry!$C$617="","",[2]Entry!$C$617)</f>
        <v/>
      </c>
      <c r="Q614">
        <f>IF([2]Entry!$D$617="","",[2]Entry!$D$617)</f>
        <v/>
      </c>
      <c r="R614">
        <f>IF([2]Entry!$E$617="","",[2]Entry!$E$617)</f>
        <v/>
      </c>
      <c r="S614">
        <f>IF([2]Entry!$G$617="","",[2]Entry!$G$617)</f>
        <v/>
      </c>
      <c r="T614">
        <f>IF([2]Entry!$J$617="","",[2]Entry!$J$617)</f>
        <v/>
      </c>
      <c r="U614">
        <f>IF([2]Entry!$K$617="","",[2]Entry!$K$617)</f>
        <v/>
      </c>
      <c r="V614">
        <f>IF([2]Entry!$L$617="","",[2]Entry!$L$617)</f>
        <v/>
      </c>
      <c r="W614">
        <f>IF([2]Entry!$M$617="","",[2]Entry!$M$617)</f>
        <v/>
      </c>
      <c r="X614">
        <f>IF([2]Entry!$N$617="","",[2]Entry!$N$617)</f>
        <v/>
      </c>
      <c r="Y614">
        <f>IF([2]Entry!$R$617="","",[2]Entry!$R$617)</f>
        <v/>
      </c>
    </row>
    <row r="615">
      <c r="P615">
        <f>IF([2]Entry!$C$618="","",[2]Entry!$C$618)</f>
        <v/>
      </c>
      <c r="Q615">
        <f>IF([2]Entry!$D$618="","",[2]Entry!$D$618)</f>
        <v/>
      </c>
      <c r="R615">
        <f>IF([2]Entry!$E$618="","",[2]Entry!$E$618)</f>
        <v/>
      </c>
      <c r="S615">
        <f>IF([2]Entry!$G$618="","",[2]Entry!$G$618)</f>
        <v/>
      </c>
      <c r="T615">
        <f>IF([2]Entry!$J$618="","",[2]Entry!$J$618)</f>
        <v/>
      </c>
      <c r="U615">
        <f>IF([2]Entry!$K$618="","",[2]Entry!$K$618)</f>
        <v/>
      </c>
      <c r="V615">
        <f>IF([2]Entry!$L$618="","",[2]Entry!$L$618)</f>
        <v/>
      </c>
      <c r="W615">
        <f>IF([2]Entry!$M$618="","",[2]Entry!$M$618)</f>
        <v/>
      </c>
      <c r="X615">
        <f>IF([2]Entry!$N$618="","",[2]Entry!$N$618)</f>
        <v/>
      </c>
      <c r="Y615">
        <f>IF([2]Entry!$R$618="","",[2]Entry!$R$618)</f>
        <v/>
      </c>
    </row>
    <row r="616">
      <c r="P616">
        <f>IF([2]Entry!$C$619="","",[2]Entry!$C$619)</f>
        <v/>
      </c>
      <c r="Q616">
        <f>IF([2]Entry!$D$619="","",[2]Entry!$D$619)</f>
        <v/>
      </c>
      <c r="R616">
        <f>IF([2]Entry!$E$619="","",[2]Entry!$E$619)</f>
        <v/>
      </c>
      <c r="S616">
        <f>IF([2]Entry!$G$619="","",[2]Entry!$G$619)</f>
        <v/>
      </c>
      <c r="T616">
        <f>IF([2]Entry!$J$619="","",[2]Entry!$J$619)</f>
        <v/>
      </c>
      <c r="U616">
        <f>IF([2]Entry!$K$619="","",[2]Entry!$K$619)</f>
        <v/>
      </c>
      <c r="V616">
        <f>IF([2]Entry!$L$619="","",[2]Entry!$L$619)</f>
        <v/>
      </c>
      <c r="W616">
        <f>IF([2]Entry!$M$619="","",[2]Entry!$M$619)</f>
        <v/>
      </c>
      <c r="X616">
        <f>IF([2]Entry!$N$619="","",[2]Entry!$N$619)</f>
        <v/>
      </c>
      <c r="Y616">
        <f>IF([2]Entry!$R$619="","",[2]Entry!$R$619)</f>
        <v/>
      </c>
    </row>
    <row r="617">
      <c r="P617">
        <f>IF([2]Entry!$C$620="","",[2]Entry!$C$620)</f>
        <v/>
      </c>
      <c r="Q617">
        <f>IF([2]Entry!$D$620="","",[2]Entry!$D$620)</f>
        <v/>
      </c>
      <c r="R617">
        <f>IF([2]Entry!$E$620="","",[2]Entry!$E$620)</f>
        <v/>
      </c>
      <c r="S617">
        <f>IF([2]Entry!$G$620="","",[2]Entry!$G$620)</f>
        <v/>
      </c>
      <c r="T617">
        <f>IF([2]Entry!$J$620="","",[2]Entry!$J$620)</f>
        <v/>
      </c>
      <c r="U617">
        <f>IF([2]Entry!$K$620="","",[2]Entry!$K$620)</f>
        <v/>
      </c>
      <c r="V617">
        <f>IF([2]Entry!$L$620="","",[2]Entry!$L$620)</f>
        <v/>
      </c>
      <c r="W617">
        <f>IF([2]Entry!$M$620="","",[2]Entry!$M$620)</f>
        <v/>
      </c>
      <c r="X617">
        <f>IF([2]Entry!$N$620="","",[2]Entry!$N$620)</f>
        <v/>
      </c>
      <c r="Y617">
        <f>IF([2]Entry!$R$620="","",[2]Entry!$R$620)</f>
        <v/>
      </c>
    </row>
    <row r="618">
      <c r="P618">
        <f>IF([2]Entry!$C$621="","",[2]Entry!$C$621)</f>
        <v/>
      </c>
      <c r="Q618">
        <f>IF([2]Entry!$D$621="","",[2]Entry!$D$621)</f>
        <v/>
      </c>
      <c r="R618">
        <f>IF([2]Entry!$E$621="","",[2]Entry!$E$621)</f>
        <v/>
      </c>
      <c r="S618">
        <f>IF([2]Entry!$G$621="","",[2]Entry!$G$621)</f>
        <v/>
      </c>
      <c r="T618">
        <f>IF([2]Entry!$J$621="","",[2]Entry!$J$621)</f>
        <v/>
      </c>
      <c r="U618">
        <f>IF([2]Entry!$K$621="","",[2]Entry!$K$621)</f>
        <v/>
      </c>
      <c r="V618">
        <f>IF([2]Entry!$L$621="","",[2]Entry!$L$621)</f>
        <v/>
      </c>
      <c r="W618">
        <f>IF([2]Entry!$M$621="","",[2]Entry!$M$621)</f>
        <v/>
      </c>
      <c r="X618">
        <f>IF([2]Entry!$N$621="","",[2]Entry!$N$621)</f>
        <v/>
      </c>
      <c r="Y618">
        <f>IF([2]Entry!$R$621="","",[2]Entry!$R$621)</f>
        <v/>
      </c>
    </row>
    <row r="619">
      <c r="P619">
        <f>IF([2]Entry!$C$622="","",[2]Entry!$C$622)</f>
        <v/>
      </c>
      <c r="Q619">
        <f>IF([2]Entry!$D$622="","",[2]Entry!$D$622)</f>
        <v/>
      </c>
      <c r="R619">
        <f>IF([2]Entry!$E$622="","",[2]Entry!$E$622)</f>
        <v/>
      </c>
      <c r="S619">
        <f>IF([2]Entry!$G$622="","",[2]Entry!$G$622)</f>
        <v/>
      </c>
      <c r="T619">
        <f>IF([2]Entry!$J$622="","",[2]Entry!$J$622)</f>
        <v/>
      </c>
      <c r="U619">
        <f>IF([2]Entry!$K$622="","",[2]Entry!$K$622)</f>
        <v/>
      </c>
      <c r="V619">
        <f>IF([2]Entry!$L$622="","",[2]Entry!$L$622)</f>
        <v/>
      </c>
      <c r="W619">
        <f>IF([2]Entry!$M$622="","",[2]Entry!$M$622)</f>
        <v/>
      </c>
      <c r="X619">
        <f>IF([2]Entry!$N$622="","",[2]Entry!$N$622)</f>
        <v/>
      </c>
      <c r="Y619">
        <f>IF([2]Entry!$R$622="","",[2]Entry!$R$622)</f>
        <v/>
      </c>
    </row>
    <row r="620">
      <c r="P620">
        <f>IF([2]Entry!$C$623="","",[2]Entry!$C$623)</f>
        <v/>
      </c>
      <c r="Q620">
        <f>IF([2]Entry!$D$623="","",[2]Entry!$D$623)</f>
        <v/>
      </c>
      <c r="R620">
        <f>IF([2]Entry!$E$623="","",[2]Entry!$E$623)</f>
        <v/>
      </c>
      <c r="S620">
        <f>IF([2]Entry!$G$623="","",[2]Entry!$G$623)</f>
        <v/>
      </c>
      <c r="T620">
        <f>IF([2]Entry!$J$623="","",[2]Entry!$J$623)</f>
        <v/>
      </c>
      <c r="U620">
        <f>IF([2]Entry!$K$623="","",[2]Entry!$K$623)</f>
        <v/>
      </c>
      <c r="V620">
        <f>IF([2]Entry!$L$623="","",[2]Entry!$L$623)</f>
        <v/>
      </c>
      <c r="W620">
        <f>IF([2]Entry!$M$623="","",[2]Entry!$M$623)</f>
        <v/>
      </c>
      <c r="X620">
        <f>IF([2]Entry!$N$623="","",[2]Entry!$N$623)</f>
        <v/>
      </c>
      <c r="Y620">
        <f>IF([2]Entry!$R$623="","",[2]Entry!$R$623)</f>
        <v/>
      </c>
    </row>
    <row r="621">
      <c r="P621">
        <f>IF([2]Entry!$C$624="","",[2]Entry!$C$624)</f>
        <v/>
      </c>
      <c r="Q621">
        <f>IF([2]Entry!$D$624="","",[2]Entry!$D$624)</f>
        <v/>
      </c>
      <c r="R621">
        <f>IF([2]Entry!$E$624="","",[2]Entry!$E$624)</f>
        <v/>
      </c>
      <c r="S621">
        <f>IF([2]Entry!$G$624="","",[2]Entry!$G$624)</f>
        <v/>
      </c>
      <c r="T621">
        <f>IF([2]Entry!$J$624="","",[2]Entry!$J$624)</f>
        <v/>
      </c>
      <c r="U621">
        <f>IF([2]Entry!$K$624="","",[2]Entry!$K$624)</f>
        <v/>
      </c>
      <c r="V621">
        <f>IF([2]Entry!$L$624="","",[2]Entry!$L$624)</f>
        <v/>
      </c>
      <c r="W621">
        <f>IF([2]Entry!$M$624="","",[2]Entry!$M$624)</f>
        <v/>
      </c>
      <c r="X621">
        <f>IF([2]Entry!$N$624="","",[2]Entry!$N$624)</f>
        <v/>
      </c>
      <c r="Y621">
        <f>IF([2]Entry!$R$624="","",[2]Entry!$R$624)</f>
        <v/>
      </c>
    </row>
    <row r="622">
      <c r="P622">
        <f>IF([2]Entry!$C$625="","",[2]Entry!$C$625)</f>
        <v/>
      </c>
      <c r="Q622">
        <f>IF([2]Entry!$D$625="","",[2]Entry!$D$625)</f>
        <v/>
      </c>
      <c r="R622">
        <f>IF([2]Entry!$E$625="","",[2]Entry!$E$625)</f>
        <v/>
      </c>
      <c r="S622">
        <f>IF([2]Entry!$G$625="","",[2]Entry!$G$625)</f>
        <v/>
      </c>
      <c r="T622">
        <f>IF([2]Entry!$J$625="","",[2]Entry!$J$625)</f>
        <v/>
      </c>
      <c r="U622">
        <f>IF([2]Entry!$K$625="","",[2]Entry!$K$625)</f>
        <v/>
      </c>
      <c r="V622">
        <f>IF([2]Entry!$L$625="","",[2]Entry!$L$625)</f>
        <v/>
      </c>
      <c r="W622">
        <f>IF([2]Entry!$M$625="","",[2]Entry!$M$625)</f>
        <v/>
      </c>
      <c r="X622">
        <f>IF([2]Entry!$N$625="","",[2]Entry!$N$625)</f>
        <v/>
      </c>
      <c r="Y622">
        <f>IF([2]Entry!$R$625="","",[2]Entry!$R$625)</f>
        <v/>
      </c>
    </row>
    <row r="623">
      <c r="P623">
        <f>IF([2]Entry!$C$626="","",[2]Entry!$C$626)</f>
        <v/>
      </c>
      <c r="Q623">
        <f>IF([2]Entry!$D$626="","",[2]Entry!$D$626)</f>
        <v/>
      </c>
      <c r="R623">
        <f>IF([2]Entry!$E$626="","",[2]Entry!$E$626)</f>
        <v/>
      </c>
      <c r="S623">
        <f>IF([2]Entry!$G$626="","",[2]Entry!$G$626)</f>
        <v/>
      </c>
      <c r="T623">
        <f>IF([2]Entry!$J$626="","",[2]Entry!$J$626)</f>
        <v/>
      </c>
      <c r="U623">
        <f>IF([2]Entry!$K$626="","",[2]Entry!$K$626)</f>
        <v/>
      </c>
      <c r="V623">
        <f>IF([2]Entry!$L$626="","",[2]Entry!$L$626)</f>
        <v/>
      </c>
      <c r="W623">
        <f>IF([2]Entry!$M$626="","",[2]Entry!$M$626)</f>
        <v/>
      </c>
      <c r="X623">
        <f>IF([2]Entry!$N$626="","",[2]Entry!$N$626)</f>
        <v/>
      </c>
      <c r="Y623">
        <f>IF([2]Entry!$R$626="","",[2]Entry!$R$626)</f>
        <v/>
      </c>
    </row>
    <row r="624">
      <c r="P624">
        <f>IF([2]Entry!$C$627="","",[2]Entry!$C$627)</f>
        <v/>
      </c>
      <c r="Q624">
        <f>IF([2]Entry!$D$627="","",[2]Entry!$D$627)</f>
        <v/>
      </c>
      <c r="R624">
        <f>IF([2]Entry!$E$627="","",[2]Entry!$E$627)</f>
        <v/>
      </c>
      <c r="S624">
        <f>IF([2]Entry!$G$627="","",[2]Entry!$G$627)</f>
        <v/>
      </c>
      <c r="T624">
        <f>IF([2]Entry!$J$627="","",[2]Entry!$J$627)</f>
        <v/>
      </c>
      <c r="U624">
        <f>IF([2]Entry!$K$627="","",[2]Entry!$K$627)</f>
        <v/>
      </c>
      <c r="V624">
        <f>IF([2]Entry!$L$627="","",[2]Entry!$L$627)</f>
        <v/>
      </c>
      <c r="W624">
        <f>IF([2]Entry!$M$627="","",[2]Entry!$M$627)</f>
        <v/>
      </c>
      <c r="X624">
        <f>IF([2]Entry!$N$627="","",[2]Entry!$N$627)</f>
        <v/>
      </c>
      <c r="Y624">
        <f>IF([2]Entry!$R$627="","",[2]Entry!$R$627)</f>
        <v/>
      </c>
    </row>
    <row r="625">
      <c r="P625">
        <f>IF([2]Entry!$C$628="","",[2]Entry!$C$628)</f>
        <v/>
      </c>
      <c r="Q625">
        <f>IF([2]Entry!$D$628="","",[2]Entry!$D$628)</f>
        <v/>
      </c>
      <c r="R625">
        <f>IF([2]Entry!$E$628="","",[2]Entry!$E$628)</f>
        <v/>
      </c>
      <c r="S625">
        <f>IF([2]Entry!$G$628="","",[2]Entry!$G$628)</f>
        <v/>
      </c>
      <c r="T625">
        <f>IF([2]Entry!$J$628="","",[2]Entry!$J$628)</f>
        <v/>
      </c>
      <c r="U625">
        <f>IF([2]Entry!$K$628="","",[2]Entry!$K$628)</f>
        <v/>
      </c>
      <c r="V625">
        <f>IF([2]Entry!$L$628="","",[2]Entry!$L$628)</f>
        <v/>
      </c>
      <c r="W625">
        <f>IF([2]Entry!$M$628="","",[2]Entry!$M$628)</f>
        <v/>
      </c>
      <c r="X625">
        <f>IF([2]Entry!$N$628="","",[2]Entry!$N$628)</f>
        <v/>
      </c>
      <c r="Y625">
        <f>IF([2]Entry!$R$628="","",[2]Entry!$R$628)</f>
        <v/>
      </c>
    </row>
    <row r="626">
      <c r="P626">
        <f>IF([2]Entry!$C$629="","",[2]Entry!$C$629)</f>
        <v/>
      </c>
      <c r="Q626">
        <f>IF([2]Entry!$D$629="","",[2]Entry!$D$629)</f>
        <v/>
      </c>
      <c r="R626">
        <f>IF([2]Entry!$E$629="","",[2]Entry!$E$629)</f>
        <v/>
      </c>
      <c r="S626">
        <f>IF([2]Entry!$G$629="","",[2]Entry!$G$629)</f>
        <v/>
      </c>
      <c r="T626">
        <f>IF([2]Entry!$J$629="","",[2]Entry!$J$629)</f>
        <v/>
      </c>
      <c r="U626">
        <f>IF([2]Entry!$K$629="","",[2]Entry!$K$629)</f>
        <v/>
      </c>
      <c r="V626">
        <f>IF([2]Entry!$L$629="","",[2]Entry!$L$629)</f>
        <v/>
      </c>
      <c r="W626">
        <f>IF([2]Entry!$M$629="","",[2]Entry!$M$629)</f>
        <v/>
      </c>
      <c r="X626">
        <f>IF([2]Entry!$N$629="","",[2]Entry!$N$629)</f>
        <v/>
      </c>
      <c r="Y626">
        <f>IF([2]Entry!$R$629="","",[2]Entry!$R$629)</f>
        <v/>
      </c>
    </row>
    <row r="627">
      <c r="P627">
        <f>IF([2]Entry!$C$630="","",[2]Entry!$C$630)</f>
        <v/>
      </c>
      <c r="Q627">
        <f>IF([2]Entry!$D$630="","",[2]Entry!$D$630)</f>
        <v/>
      </c>
      <c r="R627">
        <f>IF([2]Entry!$E$630="","",[2]Entry!$E$630)</f>
        <v/>
      </c>
      <c r="S627">
        <f>IF([2]Entry!$G$630="","",[2]Entry!$G$630)</f>
        <v/>
      </c>
      <c r="T627">
        <f>IF([2]Entry!$J$630="","",[2]Entry!$J$630)</f>
        <v/>
      </c>
      <c r="U627">
        <f>IF([2]Entry!$K$630="","",[2]Entry!$K$630)</f>
        <v/>
      </c>
      <c r="V627">
        <f>IF([2]Entry!$L$630="","",[2]Entry!$L$630)</f>
        <v/>
      </c>
      <c r="W627">
        <f>IF([2]Entry!$M$630="","",[2]Entry!$M$630)</f>
        <v/>
      </c>
      <c r="X627">
        <f>IF([2]Entry!$N$630="","",[2]Entry!$N$630)</f>
        <v/>
      </c>
      <c r="Y627">
        <f>IF([2]Entry!$R$630="","",[2]Entry!$R$630)</f>
        <v/>
      </c>
    </row>
    <row r="628">
      <c r="P628">
        <f>IF([2]Entry!$C$631="","",[2]Entry!$C$631)</f>
        <v/>
      </c>
      <c r="Q628">
        <f>IF([2]Entry!$D$631="","",[2]Entry!$D$631)</f>
        <v/>
      </c>
      <c r="R628">
        <f>IF([2]Entry!$E$631="","",[2]Entry!$E$631)</f>
        <v/>
      </c>
      <c r="S628">
        <f>IF([2]Entry!$G$631="","",[2]Entry!$G$631)</f>
        <v/>
      </c>
      <c r="T628">
        <f>IF([2]Entry!$J$631="","",[2]Entry!$J$631)</f>
        <v/>
      </c>
      <c r="U628">
        <f>IF([2]Entry!$K$631="","",[2]Entry!$K$631)</f>
        <v/>
      </c>
      <c r="V628">
        <f>IF([2]Entry!$L$631="","",[2]Entry!$L$631)</f>
        <v/>
      </c>
      <c r="W628">
        <f>IF([2]Entry!$M$631="","",[2]Entry!$M$631)</f>
        <v/>
      </c>
      <c r="X628">
        <f>IF([2]Entry!$N$631="","",[2]Entry!$N$631)</f>
        <v/>
      </c>
      <c r="Y628">
        <f>IF([2]Entry!$R$631="","",[2]Entry!$R$631)</f>
        <v/>
      </c>
    </row>
    <row r="629">
      <c r="P629">
        <f>IF([2]Entry!$C$632="","",[2]Entry!$C$632)</f>
        <v/>
      </c>
      <c r="Q629">
        <f>IF([2]Entry!$D$632="","",[2]Entry!$D$632)</f>
        <v/>
      </c>
      <c r="R629">
        <f>IF([2]Entry!$E$632="","",[2]Entry!$E$632)</f>
        <v/>
      </c>
      <c r="S629">
        <f>IF([2]Entry!$G$632="","",[2]Entry!$G$632)</f>
        <v/>
      </c>
      <c r="T629">
        <f>IF([2]Entry!$J$632="","",[2]Entry!$J$632)</f>
        <v/>
      </c>
      <c r="U629">
        <f>IF([2]Entry!$K$632="","",[2]Entry!$K$632)</f>
        <v/>
      </c>
      <c r="V629">
        <f>IF([2]Entry!$L$632="","",[2]Entry!$L$632)</f>
        <v/>
      </c>
      <c r="W629">
        <f>IF([2]Entry!$M$632="","",[2]Entry!$M$632)</f>
        <v/>
      </c>
      <c r="X629">
        <f>IF([2]Entry!$N$632="","",[2]Entry!$N$632)</f>
        <v/>
      </c>
      <c r="Y629">
        <f>IF([2]Entry!$R$632="","",[2]Entry!$R$632)</f>
        <v/>
      </c>
    </row>
    <row r="630">
      <c r="P630">
        <f>IF([2]Entry!$C$633="","",[2]Entry!$C$633)</f>
        <v/>
      </c>
      <c r="Q630">
        <f>IF([2]Entry!$D$633="","",[2]Entry!$D$633)</f>
        <v/>
      </c>
      <c r="R630">
        <f>IF([2]Entry!$E$633="","",[2]Entry!$E$633)</f>
        <v/>
      </c>
      <c r="S630">
        <f>IF([2]Entry!$G$633="","",[2]Entry!$G$633)</f>
        <v/>
      </c>
      <c r="T630">
        <f>IF([2]Entry!$J$633="","",[2]Entry!$J$633)</f>
        <v/>
      </c>
      <c r="U630">
        <f>IF([2]Entry!$K$633="","",[2]Entry!$K$633)</f>
        <v/>
      </c>
      <c r="V630">
        <f>IF([2]Entry!$L$633="","",[2]Entry!$L$633)</f>
        <v/>
      </c>
      <c r="W630">
        <f>IF([2]Entry!$M$633="","",[2]Entry!$M$633)</f>
        <v/>
      </c>
      <c r="X630">
        <f>IF([2]Entry!$N$633="","",[2]Entry!$N$633)</f>
        <v/>
      </c>
      <c r="Y630">
        <f>IF([2]Entry!$R$633="","",[2]Entry!$R$633)</f>
        <v/>
      </c>
    </row>
    <row r="631">
      <c r="P631">
        <f>IF([2]Entry!$C$634="","",[2]Entry!$C$634)</f>
        <v/>
      </c>
      <c r="Q631">
        <f>IF([2]Entry!$D$634="","",[2]Entry!$D$634)</f>
        <v/>
      </c>
      <c r="R631">
        <f>IF([2]Entry!$E$634="","",[2]Entry!$E$634)</f>
        <v/>
      </c>
      <c r="S631">
        <f>IF([2]Entry!$G$634="","",[2]Entry!$G$634)</f>
        <v/>
      </c>
      <c r="T631">
        <f>IF([2]Entry!$J$634="","",[2]Entry!$J$634)</f>
        <v/>
      </c>
      <c r="U631">
        <f>IF([2]Entry!$K$634="","",[2]Entry!$K$634)</f>
        <v/>
      </c>
      <c r="V631">
        <f>IF([2]Entry!$L$634="","",[2]Entry!$L$634)</f>
        <v/>
      </c>
      <c r="W631">
        <f>IF([2]Entry!$M$634="","",[2]Entry!$M$634)</f>
        <v/>
      </c>
      <c r="X631">
        <f>IF([2]Entry!$N$634="","",[2]Entry!$N$634)</f>
        <v/>
      </c>
      <c r="Y631">
        <f>IF([2]Entry!$R$634="","",[2]Entry!$R$634)</f>
        <v/>
      </c>
    </row>
    <row r="632">
      <c r="P632">
        <f>IF([2]Entry!$C$635="","",[2]Entry!$C$635)</f>
        <v/>
      </c>
      <c r="Q632">
        <f>IF([2]Entry!$D$635="","",[2]Entry!$D$635)</f>
        <v/>
      </c>
      <c r="R632">
        <f>IF([2]Entry!$E$635="","",[2]Entry!$E$635)</f>
        <v/>
      </c>
      <c r="S632">
        <f>IF([2]Entry!$G$635="","",[2]Entry!$G$635)</f>
        <v/>
      </c>
      <c r="T632">
        <f>IF([2]Entry!$J$635="","",[2]Entry!$J$635)</f>
        <v/>
      </c>
      <c r="U632">
        <f>IF([2]Entry!$K$635="","",[2]Entry!$K$635)</f>
        <v/>
      </c>
      <c r="V632">
        <f>IF([2]Entry!$L$635="","",[2]Entry!$L$635)</f>
        <v/>
      </c>
      <c r="W632">
        <f>IF([2]Entry!$M$635="","",[2]Entry!$M$635)</f>
        <v/>
      </c>
      <c r="X632">
        <f>IF([2]Entry!$N$635="","",[2]Entry!$N$635)</f>
        <v/>
      </c>
      <c r="Y632">
        <f>IF([2]Entry!$R$635="","",[2]Entry!$R$635)</f>
        <v/>
      </c>
    </row>
    <row r="633">
      <c r="P633">
        <f>IF([2]Entry!$C$636="","",[2]Entry!$C$636)</f>
        <v/>
      </c>
      <c r="Q633">
        <f>IF([2]Entry!$D$636="","",[2]Entry!$D$636)</f>
        <v/>
      </c>
      <c r="R633">
        <f>IF([2]Entry!$E$636="","",[2]Entry!$E$636)</f>
        <v/>
      </c>
      <c r="S633">
        <f>IF([2]Entry!$G$636="","",[2]Entry!$G$636)</f>
        <v/>
      </c>
      <c r="T633">
        <f>IF([2]Entry!$J$636="","",[2]Entry!$J$636)</f>
        <v/>
      </c>
      <c r="U633">
        <f>IF([2]Entry!$K$636="","",[2]Entry!$K$636)</f>
        <v/>
      </c>
      <c r="V633">
        <f>IF([2]Entry!$L$636="","",[2]Entry!$L$636)</f>
        <v/>
      </c>
      <c r="W633">
        <f>IF([2]Entry!$M$636="","",[2]Entry!$M$636)</f>
        <v/>
      </c>
      <c r="X633">
        <f>IF([2]Entry!$N$636="","",[2]Entry!$N$636)</f>
        <v/>
      </c>
      <c r="Y633">
        <f>IF([2]Entry!$R$636="","",[2]Entry!$R$636)</f>
        <v/>
      </c>
    </row>
    <row r="634">
      <c r="P634">
        <f>IF([2]Entry!$C$637="","",[2]Entry!$C$637)</f>
        <v/>
      </c>
      <c r="Q634">
        <f>IF([2]Entry!$D$637="","",[2]Entry!$D$637)</f>
        <v/>
      </c>
      <c r="R634">
        <f>IF([2]Entry!$E$637="","",[2]Entry!$E$637)</f>
        <v/>
      </c>
      <c r="S634">
        <f>IF([2]Entry!$G$637="","",[2]Entry!$G$637)</f>
        <v/>
      </c>
      <c r="T634">
        <f>IF([2]Entry!$J$637="","",[2]Entry!$J$637)</f>
        <v/>
      </c>
      <c r="U634">
        <f>IF([2]Entry!$K$637="","",[2]Entry!$K$637)</f>
        <v/>
      </c>
      <c r="V634">
        <f>IF([2]Entry!$L$637="","",[2]Entry!$L$637)</f>
        <v/>
      </c>
      <c r="W634">
        <f>IF([2]Entry!$M$637="","",[2]Entry!$M$637)</f>
        <v/>
      </c>
      <c r="X634">
        <f>IF([2]Entry!$N$637="","",[2]Entry!$N$637)</f>
        <v/>
      </c>
      <c r="Y634">
        <f>IF([2]Entry!$R$637="","",[2]Entry!$R$637)</f>
        <v/>
      </c>
    </row>
    <row r="635">
      <c r="P635">
        <f>IF([2]Entry!$C$638="","",[2]Entry!$C$638)</f>
        <v/>
      </c>
      <c r="Q635">
        <f>IF([2]Entry!$D$638="","",[2]Entry!$D$638)</f>
        <v/>
      </c>
      <c r="R635">
        <f>IF([2]Entry!$E$638="","",[2]Entry!$E$638)</f>
        <v/>
      </c>
      <c r="S635">
        <f>IF([2]Entry!$G$638="","",[2]Entry!$G$638)</f>
        <v/>
      </c>
      <c r="T635">
        <f>IF([2]Entry!$J$638="","",[2]Entry!$J$638)</f>
        <v/>
      </c>
      <c r="U635">
        <f>IF([2]Entry!$K$638="","",[2]Entry!$K$638)</f>
        <v/>
      </c>
      <c r="V635">
        <f>IF([2]Entry!$L$638="","",[2]Entry!$L$638)</f>
        <v/>
      </c>
      <c r="W635">
        <f>IF([2]Entry!$M$638="","",[2]Entry!$M$638)</f>
        <v/>
      </c>
      <c r="X635">
        <f>IF([2]Entry!$N$638="","",[2]Entry!$N$638)</f>
        <v/>
      </c>
      <c r="Y635">
        <f>IF([2]Entry!$R$638="","",[2]Entry!$R$638)</f>
        <v/>
      </c>
    </row>
    <row r="636">
      <c r="P636">
        <f>IF([2]Entry!$C$639="","",[2]Entry!$C$639)</f>
        <v/>
      </c>
      <c r="Q636">
        <f>IF([2]Entry!$D$639="","",[2]Entry!$D$639)</f>
        <v/>
      </c>
      <c r="R636">
        <f>IF([2]Entry!$E$639="","",[2]Entry!$E$639)</f>
        <v/>
      </c>
      <c r="S636">
        <f>IF([2]Entry!$G$639="","",[2]Entry!$G$639)</f>
        <v/>
      </c>
      <c r="T636">
        <f>IF([2]Entry!$J$639="","",[2]Entry!$J$639)</f>
        <v/>
      </c>
      <c r="U636">
        <f>IF([2]Entry!$K$639="","",[2]Entry!$K$639)</f>
        <v/>
      </c>
      <c r="V636">
        <f>IF([2]Entry!$L$639="","",[2]Entry!$L$639)</f>
        <v/>
      </c>
      <c r="W636">
        <f>IF([2]Entry!$M$639="","",[2]Entry!$M$639)</f>
        <v/>
      </c>
      <c r="X636">
        <f>IF([2]Entry!$N$639="","",[2]Entry!$N$639)</f>
        <v/>
      </c>
      <c r="Y636">
        <f>IF([2]Entry!$R$639="","",[2]Entry!$R$639)</f>
        <v/>
      </c>
    </row>
    <row r="637">
      <c r="P637">
        <f>IF([2]Entry!$C$640="","",[2]Entry!$C$640)</f>
        <v/>
      </c>
      <c r="Q637">
        <f>IF([2]Entry!$D$640="","",[2]Entry!$D$640)</f>
        <v/>
      </c>
      <c r="R637">
        <f>IF([2]Entry!$E$640="","",[2]Entry!$E$640)</f>
        <v/>
      </c>
      <c r="S637">
        <f>IF([2]Entry!$G$640="","",[2]Entry!$G$640)</f>
        <v/>
      </c>
      <c r="T637">
        <f>IF([2]Entry!$J$640="","",[2]Entry!$J$640)</f>
        <v/>
      </c>
      <c r="U637">
        <f>IF([2]Entry!$K$640="","",[2]Entry!$K$640)</f>
        <v/>
      </c>
      <c r="V637">
        <f>IF([2]Entry!$L$640="","",[2]Entry!$L$640)</f>
        <v/>
      </c>
      <c r="W637">
        <f>IF([2]Entry!$M$640="","",[2]Entry!$M$640)</f>
        <v/>
      </c>
      <c r="X637">
        <f>IF([2]Entry!$N$640="","",[2]Entry!$N$640)</f>
        <v/>
      </c>
      <c r="Y637">
        <f>IF([2]Entry!$R$640="","",[2]Entry!$R$640)</f>
        <v/>
      </c>
    </row>
    <row r="638">
      <c r="P638">
        <f>IF([2]Entry!$C$641="","",[2]Entry!$C$641)</f>
        <v/>
      </c>
      <c r="Q638">
        <f>IF([2]Entry!$D$641="","",[2]Entry!$D$641)</f>
        <v/>
      </c>
      <c r="R638">
        <f>IF([2]Entry!$E$641="","",[2]Entry!$E$641)</f>
        <v/>
      </c>
      <c r="S638">
        <f>IF([2]Entry!$G$641="","",[2]Entry!$G$641)</f>
        <v/>
      </c>
      <c r="T638">
        <f>IF([2]Entry!$J$641="","",[2]Entry!$J$641)</f>
        <v/>
      </c>
      <c r="U638">
        <f>IF([2]Entry!$K$641="","",[2]Entry!$K$641)</f>
        <v/>
      </c>
      <c r="V638">
        <f>IF([2]Entry!$L$641="","",[2]Entry!$L$641)</f>
        <v/>
      </c>
      <c r="W638">
        <f>IF([2]Entry!$M$641="","",[2]Entry!$M$641)</f>
        <v/>
      </c>
      <c r="X638">
        <f>IF([2]Entry!$N$641="","",[2]Entry!$N$641)</f>
        <v/>
      </c>
      <c r="Y638">
        <f>IF([2]Entry!$R$641="","",[2]Entry!$R$641)</f>
        <v/>
      </c>
    </row>
    <row r="639">
      <c r="P639">
        <f>IF([2]Entry!$C$642="","",[2]Entry!$C$642)</f>
        <v/>
      </c>
      <c r="Q639">
        <f>IF([2]Entry!$D$642="","",[2]Entry!$D$642)</f>
        <v/>
      </c>
      <c r="R639">
        <f>IF([2]Entry!$E$642="","",[2]Entry!$E$642)</f>
        <v/>
      </c>
      <c r="S639">
        <f>IF([2]Entry!$G$642="","",[2]Entry!$G$642)</f>
        <v/>
      </c>
      <c r="T639">
        <f>IF([2]Entry!$J$642="","",[2]Entry!$J$642)</f>
        <v/>
      </c>
      <c r="U639">
        <f>IF([2]Entry!$K$642="","",[2]Entry!$K$642)</f>
        <v/>
      </c>
      <c r="V639">
        <f>IF([2]Entry!$L$642="","",[2]Entry!$L$642)</f>
        <v/>
      </c>
      <c r="W639">
        <f>IF([2]Entry!$M$642="","",[2]Entry!$M$642)</f>
        <v/>
      </c>
      <c r="X639">
        <f>IF([2]Entry!$N$642="","",[2]Entry!$N$642)</f>
        <v/>
      </c>
      <c r="Y639">
        <f>IF([2]Entry!$R$642="","",[2]Entry!$R$642)</f>
        <v/>
      </c>
    </row>
    <row r="640">
      <c r="P640">
        <f>IF([2]Entry!$C$643="","",[2]Entry!$C$643)</f>
        <v/>
      </c>
      <c r="Q640">
        <f>IF([2]Entry!$D$643="","",[2]Entry!$D$643)</f>
        <v/>
      </c>
      <c r="R640">
        <f>IF([2]Entry!$E$643="","",[2]Entry!$E$643)</f>
        <v/>
      </c>
      <c r="S640">
        <f>IF([2]Entry!$G$643="","",[2]Entry!$G$643)</f>
        <v/>
      </c>
      <c r="T640">
        <f>IF([2]Entry!$J$643="","",[2]Entry!$J$643)</f>
        <v/>
      </c>
      <c r="U640">
        <f>IF([2]Entry!$K$643="","",[2]Entry!$K$643)</f>
        <v/>
      </c>
      <c r="V640">
        <f>IF([2]Entry!$L$643="","",[2]Entry!$L$643)</f>
        <v/>
      </c>
      <c r="W640">
        <f>IF([2]Entry!$M$643="","",[2]Entry!$M$643)</f>
        <v/>
      </c>
      <c r="X640">
        <f>IF([2]Entry!$N$643="","",[2]Entry!$N$643)</f>
        <v/>
      </c>
      <c r="Y640">
        <f>IF([2]Entry!$R$643="","",[2]Entry!$R$643)</f>
        <v/>
      </c>
    </row>
    <row r="641">
      <c r="P641">
        <f>IF([2]Entry!$C$644="","",[2]Entry!$C$644)</f>
        <v/>
      </c>
      <c r="Q641">
        <f>IF([2]Entry!$D$644="","",[2]Entry!$D$644)</f>
        <v/>
      </c>
      <c r="R641">
        <f>IF([2]Entry!$E$644="","",[2]Entry!$E$644)</f>
        <v/>
      </c>
      <c r="S641">
        <f>IF([2]Entry!$G$644="","",[2]Entry!$G$644)</f>
        <v/>
      </c>
      <c r="T641">
        <f>IF([2]Entry!$J$644="","",[2]Entry!$J$644)</f>
        <v/>
      </c>
      <c r="U641">
        <f>IF([2]Entry!$K$644="","",[2]Entry!$K$644)</f>
        <v/>
      </c>
      <c r="V641">
        <f>IF([2]Entry!$L$644="","",[2]Entry!$L$644)</f>
        <v/>
      </c>
      <c r="W641">
        <f>IF([2]Entry!$M$644="","",[2]Entry!$M$644)</f>
        <v/>
      </c>
      <c r="X641">
        <f>IF([2]Entry!$N$644="","",[2]Entry!$N$644)</f>
        <v/>
      </c>
      <c r="Y641">
        <f>IF([2]Entry!$R$644="","",[2]Entry!$R$644)</f>
        <v/>
      </c>
    </row>
    <row r="642">
      <c r="P642">
        <f>IF([2]Entry!$C$645="","",[2]Entry!$C$645)</f>
        <v/>
      </c>
      <c r="Q642">
        <f>IF([2]Entry!$D$645="","",[2]Entry!$D$645)</f>
        <v/>
      </c>
      <c r="R642">
        <f>IF([2]Entry!$E$645="","",[2]Entry!$E$645)</f>
        <v/>
      </c>
      <c r="S642">
        <f>IF([2]Entry!$G$645="","",[2]Entry!$G$645)</f>
        <v/>
      </c>
      <c r="T642">
        <f>IF([2]Entry!$J$645="","",[2]Entry!$J$645)</f>
        <v/>
      </c>
      <c r="U642">
        <f>IF([2]Entry!$K$645="","",[2]Entry!$K$645)</f>
        <v/>
      </c>
      <c r="V642">
        <f>IF([2]Entry!$L$645="","",[2]Entry!$L$645)</f>
        <v/>
      </c>
      <c r="W642">
        <f>IF([2]Entry!$M$645="","",[2]Entry!$M$645)</f>
        <v/>
      </c>
      <c r="X642">
        <f>IF([2]Entry!$N$645="","",[2]Entry!$N$645)</f>
        <v/>
      </c>
      <c r="Y642">
        <f>IF([2]Entry!$R$645="","",[2]Entry!$R$645)</f>
        <v/>
      </c>
    </row>
    <row r="643">
      <c r="P643">
        <f>IF([2]Entry!$C$646="","",[2]Entry!$C$646)</f>
        <v/>
      </c>
      <c r="Q643">
        <f>IF([2]Entry!$D$646="","",[2]Entry!$D$646)</f>
        <v/>
      </c>
      <c r="R643">
        <f>IF([2]Entry!$E$646="","",[2]Entry!$E$646)</f>
        <v/>
      </c>
      <c r="S643">
        <f>IF([2]Entry!$G$646="","",[2]Entry!$G$646)</f>
        <v/>
      </c>
      <c r="T643">
        <f>IF([2]Entry!$J$646="","",[2]Entry!$J$646)</f>
        <v/>
      </c>
      <c r="U643">
        <f>IF([2]Entry!$K$646="","",[2]Entry!$K$646)</f>
        <v/>
      </c>
      <c r="V643">
        <f>IF([2]Entry!$L$646="","",[2]Entry!$L$646)</f>
        <v/>
      </c>
      <c r="W643">
        <f>IF([2]Entry!$M$646="","",[2]Entry!$M$646)</f>
        <v/>
      </c>
      <c r="X643">
        <f>IF([2]Entry!$N$646="","",[2]Entry!$N$646)</f>
        <v/>
      </c>
      <c r="Y643">
        <f>IF([2]Entry!$R$646="","",[2]Entry!$R$646)</f>
        <v/>
      </c>
    </row>
    <row r="644">
      <c r="P644">
        <f>IF([2]Entry!$C$647="","",[2]Entry!$C$647)</f>
        <v/>
      </c>
      <c r="Q644">
        <f>IF([2]Entry!$D$647="","",[2]Entry!$D$647)</f>
        <v/>
      </c>
      <c r="R644">
        <f>IF([2]Entry!$E$647="","",[2]Entry!$E$647)</f>
        <v/>
      </c>
      <c r="S644">
        <f>IF([2]Entry!$G$647="","",[2]Entry!$G$647)</f>
        <v/>
      </c>
      <c r="T644">
        <f>IF([2]Entry!$J$647="","",[2]Entry!$J$647)</f>
        <v/>
      </c>
      <c r="U644">
        <f>IF([2]Entry!$K$647="","",[2]Entry!$K$647)</f>
        <v/>
      </c>
      <c r="V644">
        <f>IF([2]Entry!$L$647="","",[2]Entry!$L$647)</f>
        <v/>
      </c>
      <c r="W644">
        <f>IF([2]Entry!$M$647="","",[2]Entry!$M$647)</f>
        <v/>
      </c>
      <c r="X644">
        <f>IF([2]Entry!$N$647="","",[2]Entry!$N$647)</f>
        <v/>
      </c>
      <c r="Y644">
        <f>IF([2]Entry!$R$647="","",[2]Entry!$R$647)</f>
        <v/>
      </c>
    </row>
    <row r="645">
      <c r="P645">
        <f>IF([2]Entry!$C$648="","",[2]Entry!$C$648)</f>
        <v/>
      </c>
      <c r="Q645">
        <f>IF([2]Entry!$D$648="","",[2]Entry!$D$648)</f>
        <v/>
      </c>
      <c r="R645">
        <f>IF([2]Entry!$E$648="","",[2]Entry!$E$648)</f>
        <v/>
      </c>
      <c r="S645">
        <f>IF([2]Entry!$G$648="","",[2]Entry!$G$648)</f>
        <v/>
      </c>
      <c r="T645">
        <f>IF([2]Entry!$J$648="","",[2]Entry!$J$648)</f>
        <v/>
      </c>
      <c r="U645">
        <f>IF([2]Entry!$K$648="","",[2]Entry!$K$648)</f>
        <v/>
      </c>
      <c r="V645">
        <f>IF([2]Entry!$L$648="","",[2]Entry!$L$648)</f>
        <v/>
      </c>
      <c r="W645">
        <f>IF([2]Entry!$M$648="","",[2]Entry!$M$648)</f>
        <v/>
      </c>
      <c r="X645">
        <f>IF([2]Entry!$N$648="","",[2]Entry!$N$648)</f>
        <v/>
      </c>
      <c r="Y645">
        <f>IF([2]Entry!$R$648="","",[2]Entry!$R$648)</f>
        <v/>
      </c>
    </row>
    <row r="646">
      <c r="P646">
        <f>IF([2]Entry!$C$649="","",[2]Entry!$C$649)</f>
        <v/>
      </c>
      <c r="Q646">
        <f>IF([2]Entry!$D$649="","",[2]Entry!$D$649)</f>
        <v/>
      </c>
      <c r="R646">
        <f>IF([2]Entry!$E$649="","",[2]Entry!$E$649)</f>
        <v/>
      </c>
      <c r="S646">
        <f>IF([2]Entry!$G$649="","",[2]Entry!$G$649)</f>
        <v/>
      </c>
      <c r="T646">
        <f>IF([2]Entry!$J$649="","",[2]Entry!$J$649)</f>
        <v/>
      </c>
      <c r="U646">
        <f>IF([2]Entry!$K$649="","",[2]Entry!$K$649)</f>
        <v/>
      </c>
      <c r="V646">
        <f>IF([2]Entry!$L$649="","",[2]Entry!$L$649)</f>
        <v/>
      </c>
      <c r="W646">
        <f>IF([2]Entry!$M$649="","",[2]Entry!$M$649)</f>
        <v/>
      </c>
      <c r="X646">
        <f>IF([2]Entry!$N$649="","",[2]Entry!$N$649)</f>
        <v/>
      </c>
      <c r="Y646">
        <f>IF([2]Entry!$R$649="","",[2]Entry!$R$649)</f>
        <v/>
      </c>
    </row>
    <row r="647">
      <c r="P647">
        <f>IF([2]Entry!$C$650="","",[2]Entry!$C$650)</f>
        <v/>
      </c>
      <c r="Q647">
        <f>IF([2]Entry!$D$650="","",[2]Entry!$D$650)</f>
        <v/>
      </c>
      <c r="R647">
        <f>IF([2]Entry!$E$650="","",[2]Entry!$E$650)</f>
        <v/>
      </c>
      <c r="S647">
        <f>IF([2]Entry!$G$650="","",[2]Entry!$G$650)</f>
        <v/>
      </c>
      <c r="T647">
        <f>IF([2]Entry!$J$650="","",[2]Entry!$J$650)</f>
        <v/>
      </c>
      <c r="U647">
        <f>IF([2]Entry!$K$650="","",[2]Entry!$K$650)</f>
        <v/>
      </c>
      <c r="V647">
        <f>IF([2]Entry!$L$650="","",[2]Entry!$L$650)</f>
        <v/>
      </c>
      <c r="W647">
        <f>IF([2]Entry!$M$650="","",[2]Entry!$M$650)</f>
        <v/>
      </c>
      <c r="X647">
        <f>IF([2]Entry!$N$650="","",[2]Entry!$N$650)</f>
        <v/>
      </c>
      <c r="Y647">
        <f>IF([2]Entry!$R$650="","",[2]Entry!$R$650)</f>
        <v/>
      </c>
    </row>
    <row r="648">
      <c r="P648">
        <f>IF([2]Entry!$C$651="","",[2]Entry!$C$651)</f>
        <v/>
      </c>
      <c r="Q648">
        <f>IF([2]Entry!$D$651="","",[2]Entry!$D$651)</f>
        <v/>
      </c>
      <c r="R648">
        <f>IF([2]Entry!$E$651="","",[2]Entry!$E$651)</f>
        <v/>
      </c>
      <c r="S648">
        <f>IF([2]Entry!$G$651="","",[2]Entry!$G$651)</f>
        <v/>
      </c>
      <c r="T648">
        <f>IF([2]Entry!$J$651="","",[2]Entry!$J$651)</f>
        <v/>
      </c>
      <c r="U648">
        <f>IF([2]Entry!$K$651="","",[2]Entry!$K$651)</f>
        <v/>
      </c>
      <c r="V648">
        <f>IF([2]Entry!$L$651="","",[2]Entry!$L$651)</f>
        <v/>
      </c>
      <c r="W648">
        <f>IF([2]Entry!$M$651="","",[2]Entry!$M$651)</f>
        <v/>
      </c>
      <c r="X648">
        <f>IF([2]Entry!$N$651="","",[2]Entry!$N$651)</f>
        <v/>
      </c>
      <c r="Y648">
        <f>IF([2]Entry!$R$651="","",[2]Entry!$R$651)</f>
        <v/>
      </c>
    </row>
    <row r="649">
      <c r="P649">
        <f>IF([2]Entry!$C$652="","",[2]Entry!$C$652)</f>
        <v/>
      </c>
      <c r="Q649">
        <f>IF([2]Entry!$D$652="","",[2]Entry!$D$652)</f>
        <v/>
      </c>
      <c r="R649">
        <f>IF([2]Entry!$E$652="","",[2]Entry!$E$652)</f>
        <v/>
      </c>
      <c r="S649">
        <f>IF([2]Entry!$G$652="","",[2]Entry!$G$652)</f>
        <v/>
      </c>
      <c r="T649">
        <f>IF([2]Entry!$J$652="","",[2]Entry!$J$652)</f>
        <v/>
      </c>
      <c r="U649">
        <f>IF([2]Entry!$K$652="","",[2]Entry!$K$652)</f>
        <v/>
      </c>
      <c r="V649">
        <f>IF([2]Entry!$L$652="","",[2]Entry!$L$652)</f>
        <v/>
      </c>
      <c r="W649">
        <f>IF([2]Entry!$M$652="","",[2]Entry!$M$652)</f>
        <v/>
      </c>
      <c r="X649">
        <f>IF([2]Entry!$N$652="","",[2]Entry!$N$652)</f>
        <v/>
      </c>
      <c r="Y649">
        <f>IF([2]Entry!$R$652="","",[2]Entry!$R$652)</f>
        <v/>
      </c>
    </row>
    <row r="650">
      <c r="P650">
        <f>IF([2]Entry!$C$653="","",[2]Entry!$C$653)</f>
        <v/>
      </c>
      <c r="Q650">
        <f>IF([2]Entry!$D$653="","",[2]Entry!$D$653)</f>
        <v/>
      </c>
      <c r="R650">
        <f>IF([2]Entry!$E$653="","",[2]Entry!$E$653)</f>
        <v/>
      </c>
      <c r="S650">
        <f>IF([2]Entry!$G$653="","",[2]Entry!$G$653)</f>
        <v/>
      </c>
      <c r="T650">
        <f>IF([2]Entry!$J$653="","",[2]Entry!$J$653)</f>
        <v/>
      </c>
      <c r="U650">
        <f>IF([2]Entry!$K$653="","",[2]Entry!$K$653)</f>
        <v/>
      </c>
      <c r="V650">
        <f>IF([2]Entry!$L$653="","",[2]Entry!$L$653)</f>
        <v/>
      </c>
      <c r="W650">
        <f>IF([2]Entry!$M$653="","",[2]Entry!$M$653)</f>
        <v/>
      </c>
      <c r="X650">
        <f>IF([2]Entry!$N$653="","",[2]Entry!$N$653)</f>
        <v/>
      </c>
      <c r="Y650">
        <f>IF([2]Entry!$R$653="","",[2]Entry!$R$653)</f>
        <v/>
      </c>
    </row>
    <row r="651">
      <c r="P651">
        <f>IF([2]Entry!$C$654="","",[2]Entry!$C$654)</f>
        <v/>
      </c>
      <c r="Q651">
        <f>IF([2]Entry!$D$654="","",[2]Entry!$D$654)</f>
        <v/>
      </c>
      <c r="R651">
        <f>IF([2]Entry!$E$654="","",[2]Entry!$E$654)</f>
        <v/>
      </c>
      <c r="S651">
        <f>IF([2]Entry!$G$654="","",[2]Entry!$G$654)</f>
        <v/>
      </c>
      <c r="T651">
        <f>IF([2]Entry!$J$654="","",[2]Entry!$J$654)</f>
        <v/>
      </c>
      <c r="U651">
        <f>IF([2]Entry!$K$654="","",[2]Entry!$K$654)</f>
        <v/>
      </c>
      <c r="V651">
        <f>IF([2]Entry!$L$654="","",[2]Entry!$L$654)</f>
        <v/>
      </c>
      <c r="W651">
        <f>IF([2]Entry!$M$654="","",[2]Entry!$M$654)</f>
        <v/>
      </c>
      <c r="X651">
        <f>IF([2]Entry!$N$654="","",[2]Entry!$N$654)</f>
        <v/>
      </c>
      <c r="Y651">
        <f>IF([2]Entry!$R$654="","",[2]Entry!$R$654)</f>
        <v/>
      </c>
    </row>
    <row r="652">
      <c r="P652">
        <f>IF([2]Entry!$C$655="","",[2]Entry!$C$655)</f>
        <v/>
      </c>
      <c r="Q652">
        <f>IF([2]Entry!$D$655="","",[2]Entry!$D$655)</f>
        <v/>
      </c>
      <c r="R652">
        <f>IF([2]Entry!$E$655="","",[2]Entry!$E$655)</f>
        <v/>
      </c>
      <c r="S652">
        <f>IF([2]Entry!$G$655="","",[2]Entry!$G$655)</f>
        <v/>
      </c>
      <c r="T652">
        <f>IF([2]Entry!$J$655="","",[2]Entry!$J$655)</f>
        <v/>
      </c>
      <c r="U652">
        <f>IF([2]Entry!$K$655="","",[2]Entry!$K$655)</f>
        <v/>
      </c>
      <c r="V652">
        <f>IF([2]Entry!$L$655="","",[2]Entry!$L$655)</f>
        <v/>
      </c>
      <c r="W652">
        <f>IF([2]Entry!$M$655="","",[2]Entry!$M$655)</f>
        <v/>
      </c>
      <c r="X652">
        <f>IF([2]Entry!$N$655="","",[2]Entry!$N$655)</f>
        <v/>
      </c>
      <c r="Y652">
        <f>IF([2]Entry!$R$655="","",[2]Entry!$R$655)</f>
        <v/>
      </c>
    </row>
    <row r="653">
      <c r="P653">
        <f>IF([2]Entry!$C$656="","",[2]Entry!$C$656)</f>
        <v/>
      </c>
      <c r="Q653">
        <f>IF([2]Entry!$D$656="","",[2]Entry!$D$656)</f>
        <v/>
      </c>
      <c r="R653">
        <f>IF([2]Entry!$E$656="","",[2]Entry!$E$656)</f>
        <v/>
      </c>
      <c r="S653">
        <f>IF([2]Entry!$G$656="","",[2]Entry!$G$656)</f>
        <v/>
      </c>
      <c r="T653">
        <f>IF([2]Entry!$J$656="","",[2]Entry!$J$656)</f>
        <v/>
      </c>
      <c r="U653">
        <f>IF([2]Entry!$K$656="","",[2]Entry!$K$656)</f>
        <v/>
      </c>
      <c r="V653">
        <f>IF([2]Entry!$L$656="","",[2]Entry!$L$656)</f>
        <v/>
      </c>
      <c r="W653">
        <f>IF([2]Entry!$M$656="","",[2]Entry!$M$656)</f>
        <v/>
      </c>
      <c r="X653">
        <f>IF([2]Entry!$N$656="","",[2]Entry!$N$656)</f>
        <v/>
      </c>
      <c r="Y653">
        <f>IF([2]Entry!$R$656="","",[2]Entry!$R$656)</f>
        <v/>
      </c>
    </row>
    <row r="654">
      <c r="P654">
        <f>IF([2]Entry!$C$657="","",[2]Entry!$C$657)</f>
        <v/>
      </c>
      <c r="Q654">
        <f>IF([2]Entry!$D$657="","",[2]Entry!$D$657)</f>
        <v/>
      </c>
      <c r="R654">
        <f>IF([2]Entry!$E$657="","",[2]Entry!$E$657)</f>
        <v/>
      </c>
      <c r="S654">
        <f>IF([2]Entry!$G$657="","",[2]Entry!$G$657)</f>
        <v/>
      </c>
      <c r="T654">
        <f>IF([2]Entry!$J$657="","",[2]Entry!$J$657)</f>
        <v/>
      </c>
      <c r="U654">
        <f>IF([2]Entry!$K$657="","",[2]Entry!$K$657)</f>
        <v/>
      </c>
      <c r="V654">
        <f>IF([2]Entry!$L$657="","",[2]Entry!$L$657)</f>
        <v/>
      </c>
      <c r="W654">
        <f>IF([2]Entry!$M$657="","",[2]Entry!$M$657)</f>
        <v/>
      </c>
      <c r="X654">
        <f>IF([2]Entry!$N$657="","",[2]Entry!$N$657)</f>
        <v/>
      </c>
      <c r="Y654">
        <f>IF([2]Entry!$R$657="","",[2]Entry!$R$657)</f>
        <v/>
      </c>
    </row>
    <row r="655">
      <c r="P655">
        <f>IF([2]Entry!$C$658="","",[2]Entry!$C$658)</f>
        <v/>
      </c>
      <c r="Q655">
        <f>IF([2]Entry!$D$658="","",[2]Entry!$D$658)</f>
        <v/>
      </c>
      <c r="R655">
        <f>IF([2]Entry!$E$658="","",[2]Entry!$E$658)</f>
        <v/>
      </c>
      <c r="S655">
        <f>IF([2]Entry!$G$658="","",[2]Entry!$G$658)</f>
        <v/>
      </c>
      <c r="T655">
        <f>IF([2]Entry!$J$658="","",[2]Entry!$J$658)</f>
        <v/>
      </c>
      <c r="U655">
        <f>IF([2]Entry!$K$658="","",[2]Entry!$K$658)</f>
        <v/>
      </c>
      <c r="V655">
        <f>IF([2]Entry!$L$658="","",[2]Entry!$L$658)</f>
        <v/>
      </c>
      <c r="W655">
        <f>IF([2]Entry!$M$658="","",[2]Entry!$M$658)</f>
        <v/>
      </c>
      <c r="X655">
        <f>IF([2]Entry!$N$658="","",[2]Entry!$N$658)</f>
        <v/>
      </c>
      <c r="Y655">
        <f>IF([2]Entry!$R$658="","",[2]Entry!$R$658)</f>
        <v/>
      </c>
    </row>
    <row r="656">
      <c r="P656">
        <f>IF([2]Entry!$C$659="","",[2]Entry!$C$659)</f>
        <v/>
      </c>
      <c r="Q656">
        <f>IF([2]Entry!$D$659="","",[2]Entry!$D$659)</f>
        <v/>
      </c>
      <c r="R656">
        <f>IF([2]Entry!$E$659="","",[2]Entry!$E$659)</f>
        <v/>
      </c>
      <c r="S656">
        <f>IF([2]Entry!$G$659="","",[2]Entry!$G$659)</f>
        <v/>
      </c>
      <c r="T656">
        <f>IF([2]Entry!$J$659="","",[2]Entry!$J$659)</f>
        <v/>
      </c>
      <c r="U656">
        <f>IF([2]Entry!$K$659="","",[2]Entry!$K$659)</f>
        <v/>
      </c>
      <c r="V656">
        <f>IF([2]Entry!$L$659="","",[2]Entry!$L$659)</f>
        <v/>
      </c>
      <c r="W656">
        <f>IF([2]Entry!$M$659="","",[2]Entry!$M$659)</f>
        <v/>
      </c>
      <c r="X656">
        <f>IF([2]Entry!$N$659="","",[2]Entry!$N$659)</f>
        <v/>
      </c>
      <c r="Y656">
        <f>IF([2]Entry!$R$659="","",[2]Entry!$R$659)</f>
        <v/>
      </c>
    </row>
    <row r="657">
      <c r="P657">
        <f>IF([2]Entry!$C$660="","",[2]Entry!$C$660)</f>
        <v/>
      </c>
      <c r="Q657">
        <f>IF([2]Entry!$D$660="","",[2]Entry!$D$660)</f>
        <v/>
      </c>
      <c r="R657">
        <f>IF([2]Entry!$E$660="","",[2]Entry!$E$660)</f>
        <v/>
      </c>
      <c r="S657">
        <f>IF([2]Entry!$G$660="","",[2]Entry!$G$660)</f>
        <v/>
      </c>
      <c r="T657">
        <f>IF([2]Entry!$J$660="","",[2]Entry!$J$660)</f>
        <v/>
      </c>
      <c r="U657">
        <f>IF([2]Entry!$K$660="","",[2]Entry!$K$660)</f>
        <v/>
      </c>
      <c r="V657">
        <f>IF([2]Entry!$L$660="","",[2]Entry!$L$660)</f>
        <v/>
      </c>
      <c r="W657">
        <f>IF([2]Entry!$M$660="","",[2]Entry!$M$660)</f>
        <v/>
      </c>
      <c r="X657">
        <f>IF([2]Entry!$N$660="","",[2]Entry!$N$660)</f>
        <v/>
      </c>
      <c r="Y657">
        <f>IF([2]Entry!$R$660="","",[2]Entry!$R$660)</f>
        <v/>
      </c>
    </row>
    <row r="658">
      <c r="P658">
        <f>IF([2]Entry!$C$661="","",[2]Entry!$C$661)</f>
        <v/>
      </c>
      <c r="Q658">
        <f>IF([2]Entry!$D$661="","",[2]Entry!$D$661)</f>
        <v/>
      </c>
      <c r="R658">
        <f>IF([2]Entry!$E$661="","",[2]Entry!$E$661)</f>
        <v/>
      </c>
      <c r="S658">
        <f>IF([2]Entry!$G$661="","",[2]Entry!$G$661)</f>
        <v/>
      </c>
      <c r="T658">
        <f>IF([2]Entry!$J$661="","",[2]Entry!$J$661)</f>
        <v/>
      </c>
      <c r="U658">
        <f>IF([2]Entry!$K$661="","",[2]Entry!$K$661)</f>
        <v/>
      </c>
      <c r="V658">
        <f>IF([2]Entry!$L$661="","",[2]Entry!$L$661)</f>
        <v/>
      </c>
      <c r="W658">
        <f>IF([2]Entry!$M$661="","",[2]Entry!$M$661)</f>
        <v/>
      </c>
      <c r="X658">
        <f>IF([2]Entry!$N$661="","",[2]Entry!$N$661)</f>
        <v/>
      </c>
      <c r="Y658">
        <f>IF([2]Entry!$R$661="","",[2]Entry!$R$661)</f>
        <v/>
      </c>
    </row>
    <row r="659">
      <c r="P659">
        <f>IF([2]Entry!$C$662="","",[2]Entry!$C$662)</f>
        <v/>
      </c>
      <c r="Q659">
        <f>IF([2]Entry!$D$662="","",[2]Entry!$D$662)</f>
        <v/>
      </c>
      <c r="R659">
        <f>IF([2]Entry!$E$662="","",[2]Entry!$E$662)</f>
        <v/>
      </c>
      <c r="S659">
        <f>IF([2]Entry!$G$662="","",[2]Entry!$G$662)</f>
        <v/>
      </c>
      <c r="T659">
        <f>IF([2]Entry!$J$662="","",[2]Entry!$J$662)</f>
        <v/>
      </c>
      <c r="U659">
        <f>IF([2]Entry!$K$662="","",[2]Entry!$K$662)</f>
        <v/>
      </c>
      <c r="V659">
        <f>IF([2]Entry!$L$662="","",[2]Entry!$L$662)</f>
        <v/>
      </c>
      <c r="W659">
        <f>IF([2]Entry!$M$662="","",[2]Entry!$M$662)</f>
        <v/>
      </c>
      <c r="X659">
        <f>IF([2]Entry!$N$662="","",[2]Entry!$N$662)</f>
        <v/>
      </c>
      <c r="Y659">
        <f>IF([2]Entry!$R$662="","",[2]Entry!$R$662)</f>
        <v/>
      </c>
    </row>
    <row r="660">
      <c r="P660">
        <f>IF([2]Entry!$C$663="","",[2]Entry!$C$663)</f>
        <v/>
      </c>
      <c r="Q660">
        <f>IF([2]Entry!$D$663="","",[2]Entry!$D$663)</f>
        <v/>
      </c>
      <c r="R660">
        <f>IF([2]Entry!$E$663="","",[2]Entry!$E$663)</f>
        <v/>
      </c>
      <c r="S660">
        <f>IF([2]Entry!$G$663="","",[2]Entry!$G$663)</f>
        <v/>
      </c>
      <c r="T660">
        <f>IF([2]Entry!$J$663="","",[2]Entry!$J$663)</f>
        <v/>
      </c>
      <c r="U660">
        <f>IF([2]Entry!$K$663="","",[2]Entry!$K$663)</f>
        <v/>
      </c>
      <c r="V660">
        <f>IF([2]Entry!$L$663="","",[2]Entry!$L$663)</f>
        <v/>
      </c>
      <c r="W660">
        <f>IF([2]Entry!$M$663="","",[2]Entry!$M$663)</f>
        <v/>
      </c>
      <c r="X660">
        <f>IF([2]Entry!$N$663="","",[2]Entry!$N$663)</f>
        <v/>
      </c>
      <c r="Y660">
        <f>IF([2]Entry!$R$663="","",[2]Entry!$R$663)</f>
        <v/>
      </c>
    </row>
    <row r="661">
      <c r="P661">
        <f>IF([2]Entry!$C$664="","",[2]Entry!$C$664)</f>
        <v/>
      </c>
      <c r="Q661">
        <f>IF([2]Entry!$D$664="","",[2]Entry!$D$664)</f>
        <v/>
      </c>
      <c r="R661">
        <f>IF([2]Entry!$E$664="","",[2]Entry!$E$664)</f>
        <v/>
      </c>
      <c r="S661">
        <f>IF([2]Entry!$G$664="","",[2]Entry!$G$664)</f>
        <v/>
      </c>
      <c r="T661">
        <f>IF([2]Entry!$J$664="","",[2]Entry!$J$664)</f>
        <v/>
      </c>
      <c r="U661">
        <f>IF([2]Entry!$K$664="","",[2]Entry!$K$664)</f>
        <v/>
      </c>
      <c r="V661">
        <f>IF([2]Entry!$L$664="","",[2]Entry!$L$664)</f>
        <v/>
      </c>
      <c r="W661">
        <f>IF([2]Entry!$M$664="","",[2]Entry!$M$664)</f>
        <v/>
      </c>
      <c r="X661">
        <f>IF([2]Entry!$N$664="","",[2]Entry!$N$664)</f>
        <v/>
      </c>
      <c r="Y661">
        <f>IF([2]Entry!$R$664="","",[2]Entry!$R$664)</f>
        <v/>
      </c>
    </row>
    <row r="662">
      <c r="P662">
        <f>IF([2]Entry!$C$665="","",[2]Entry!$C$665)</f>
        <v/>
      </c>
      <c r="Q662">
        <f>IF([2]Entry!$D$665="","",[2]Entry!$D$665)</f>
        <v/>
      </c>
      <c r="R662">
        <f>IF([2]Entry!$E$665="","",[2]Entry!$E$665)</f>
        <v/>
      </c>
      <c r="S662">
        <f>IF([2]Entry!$G$665="","",[2]Entry!$G$665)</f>
        <v/>
      </c>
      <c r="T662">
        <f>IF([2]Entry!$J$665="","",[2]Entry!$J$665)</f>
        <v/>
      </c>
      <c r="U662">
        <f>IF([2]Entry!$K$665="","",[2]Entry!$K$665)</f>
        <v/>
      </c>
      <c r="V662">
        <f>IF([2]Entry!$L$665="","",[2]Entry!$L$665)</f>
        <v/>
      </c>
      <c r="W662">
        <f>IF([2]Entry!$M$665="","",[2]Entry!$M$665)</f>
        <v/>
      </c>
      <c r="X662">
        <f>IF([2]Entry!$N$665="","",[2]Entry!$N$665)</f>
        <v/>
      </c>
      <c r="Y662">
        <f>IF([2]Entry!$R$665="","",[2]Entry!$R$665)</f>
        <v/>
      </c>
    </row>
    <row r="663">
      <c r="P663">
        <f>IF([2]Entry!$C$666="","",[2]Entry!$C$666)</f>
        <v/>
      </c>
      <c r="Q663">
        <f>IF([2]Entry!$D$666="","",[2]Entry!$D$666)</f>
        <v/>
      </c>
      <c r="R663">
        <f>IF([2]Entry!$E$666="","",[2]Entry!$E$666)</f>
        <v/>
      </c>
      <c r="S663">
        <f>IF([2]Entry!$G$666="","",[2]Entry!$G$666)</f>
        <v/>
      </c>
      <c r="T663">
        <f>IF([2]Entry!$J$666="","",[2]Entry!$J$666)</f>
        <v/>
      </c>
      <c r="U663">
        <f>IF([2]Entry!$K$666="","",[2]Entry!$K$666)</f>
        <v/>
      </c>
      <c r="V663">
        <f>IF([2]Entry!$L$666="","",[2]Entry!$L$666)</f>
        <v/>
      </c>
      <c r="W663">
        <f>IF([2]Entry!$M$666="","",[2]Entry!$M$666)</f>
        <v/>
      </c>
      <c r="X663">
        <f>IF([2]Entry!$N$666="","",[2]Entry!$N$666)</f>
        <v/>
      </c>
      <c r="Y663">
        <f>IF([2]Entry!$R$666="","",[2]Entry!$R$666)</f>
        <v/>
      </c>
    </row>
    <row r="664">
      <c r="P664">
        <f>IF([2]Entry!$C$667="","",[2]Entry!$C$667)</f>
        <v/>
      </c>
      <c r="Q664">
        <f>IF([2]Entry!$D$667="","",[2]Entry!$D$667)</f>
        <v/>
      </c>
      <c r="R664">
        <f>IF([2]Entry!$E$667="","",[2]Entry!$E$667)</f>
        <v/>
      </c>
      <c r="S664">
        <f>IF([2]Entry!$G$667="","",[2]Entry!$G$667)</f>
        <v/>
      </c>
      <c r="T664">
        <f>IF([2]Entry!$J$667="","",[2]Entry!$J$667)</f>
        <v/>
      </c>
      <c r="U664">
        <f>IF([2]Entry!$K$667="","",[2]Entry!$K$667)</f>
        <v/>
      </c>
      <c r="V664">
        <f>IF([2]Entry!$L$667="","",[2]Entry!$L$667)</f>
        <v/>
      </c>
      <c r="W664">
        <f>IF([2]Entry!$M$667="","",[2]Entry!$M$667)</f>
        <v/>
      </c>
      <c r="X664">
        <f>IF([2]Entry!$N$667="","",[2]Entry!$N$667)</f>
        <v/>
      </c>
      <c r="Y664">
        <f>IF([2]Entry!$R$667="","",[2]Entry!$R$667)</f>
        <v/>
      </c>
    </row>
    <row r="665">
      <c r="P665">
        <f>IF([2]Entry!$C$668="","",[2]Entry!$C$668)</f>
        <v/>
      </c>
      <c r="Q665">
        <f>IF([2]Entry!$D$668="","",[2]Entry!$D$668)</f>
        <v/>
      </c>
      <c r="R665">
        <f>IF([2]Entry!$E$668="","",[2]Entry!$E$668)</f>
        <v/>
      </c>
      <c r="S665">
        <f>IF([2]Entry!$G$668="","",[2]Entry!$G$668)</f>
        <v/>
      </c>
      <c r="T665">
        <f>IF([2]Entry!$J$668="","",[2]Entry!$J$668)</f>
        <v/>
      </c>
      <c r="U665">
        <f>IF([2]Entry!$K$668="","",[2]Entry!$K$668)</f>
        <v/>
      </c>
      <c r="V665">
        <f>IF([2]Entry!$L$668="","",[2]Entry!$L$668)</f>
        <v/>
      </c>
      <c r="W665">
        <f>IF([2]Entry!$M$668="","",[2]Entry!$M$668)</f>
        <v/>
      </c>
      <c r="X665">
        <f>IF([2]Entry!$N$668="","",[2]Entry!$N$668)</f>
        <v/>
      </c>
      <c r="Y665">
        <f>IF([2]Entry!$R$668="","",[2]Entry!$R$668)</f>
        <v/>
      </c>
    </row>
    <row r="666">
      <c r="P666">
        <f>IF([2]Entry!$C$669="","",[2]Entry!$C$669)</f>
        <v/>
      </c>
      <c r="Q666">
        <f>IF([2]Entry!$D$669="","",[2]Entry!$D$669)</f>
        <v/>
      </c>
      <c r="R666">
        <f>IF([2]Entry!$E$669="","",[2]Entry!$E$669)</f>
        <v/>
      </c>
      <c r="S666">
        <f>IF([2]Entry!$G$669="","",[2]Entry!$G$669)</f>
        <v/>
      </c>
      <c r="T666">
        <f>IF([2]Entry!$J$669="","",[2]Entry!$J$669)</f>
        <v/>
      </c>
      <c r="U666">
        <f>IF([2]Entry!$K$669="","",[2]Entry!$K$669)</f>
        <v/>
      </c>
      <c r="V666">
        <f>IF([2]Entry!$L$669="","",[2]Entry!$L$669)</f>
        <v/>
      </c>
      <c r="W666">
        <f>IF([2]Entry!$M$669="","",[2]Entry!$M$669)</f>
        <v/>
      </c>
      <c r="X666">
        <f>IF([2]Entry!$N$669="","",[2]Entry!$N$669)</f>
        <v/>
      </c>
      <c r="Y666">
        <f>IF([2]Entry!$R$669="","",[2]Entry!$R$669)</f>
        <v/>
      </c>
    </row>
    <row r="667">
      <c r="P667">
        <f>IF([2]Entry!$C$670="","",[2]Entry!$C$670)</f>
        <v/>
      </c>
      <c r="Q667">
        <f>IF([2]Entry!$D$670="","",[2]Entry!$D$670)</f>
        <v/>
      </c>
      <c r="R667">
        <f>IF([2]Entry!$E$670="","",[2]Entry!$E$670)</f>
        <v/>
      </c>
      <c r="S667">
        <f>IF([2]Entry!$G$670="","",[2]Entry!$G$670)</f>
        <v/>
      </c>
      <c r="T667">
        <f>IF([2]Entry!$J$670="","",[2]Entry!$J$670)</f>
        <v/>
      </c>
      <c r="U667">
        <f>IF([2]Entry!$K$670="","",[2]Entry!$K$670)</f>
        <v/>
      </c>
      <c r="V667">
        <f>IF([2]Entry!$L$670="","",[2]Entry!$L$670)</f>
        <v/>
      </c>
      <c r="W667">
        <f>IF([2]Entry!$M$670="","",[2]Entry!$M$670)</f>
        <v/>
      </c>
      <c r="X667">
        <f>IF([2]Entry!$N$670="","",[2]Entry!$N$670)</f>
        <v/>
      </c>
      <c r="Y667">
        <f>IF([2]Entry!$R$670="","",[2]Entry!$R$670)</f>
        <v/>
      </c>
    </row>
    <row r="668">
      <c r="P668">
        <f>IF([2]Entry!$C$671="","",[2]Entry!$C$671)</f>
        <v/>
      </c>
      <c r="Q668">
        <f>IF([2]Entry!$D$671="","",[2]Entry!$D$671)</f>
        <v/>
      </c>
      <c r="R668">
        <f>IF([2]Entry!$E$671="","",[2]Entry!$E$671)</f>
        <v/>
      </c>
      <c r="S668">
        <f>IF([2]Entry!$G$671="","",[2]Entry!$G$671)</f>
        <v/>
      </c>
      <c r="T668">
        <f>IF([2]Entry!$J$671="","",[2]Entry!$J$671)</f>
        <v/>
      </c>
      <c r="U668">
        <f>IF([2]Entry!$K$671="","",[2]Entry!$K$671)</f>
        <v/>
      </c>
      <c r="V668">
        <f>IF([2]Entry!$L$671="","",[2]Entry!$L$671)</f>
        <v/>
      </c>
      <c r="W668">
        <f>IF([2]Entry!$M$671="","",[2]Entry!$M$671)</f>
        <v/>
      </c>
      <c r="X668">
        <f>IF([2]Entry!$N$671="","",[2]Entry!$N$671)</f>
        <v/>
      </c>
      <c r="Y668">
        <f>IF([2]Entry!$R$671="","",[2]Entry!$R$671)</f>
        <v/>
      </c>
    </row>
    <row r="669">
      <c r="P669">
        <f>IF([2]Entry!$C$672="","",[2]Entry!$C$672)</f>
        <v/>
      </c>
      <c r="Q669">
        <f>IF([2]Entry!$D$672="","",[2]Entry!$D$672)</f>
        <v/>
      </c>
      <c r="R669">
        <f>IF([2]Entry!$E$672="","",[2]Entry!$E$672)</f>
        <v/>
      </c>
      <c r="S669">
        <f>IF([2]Entry!$G$672="","",[2]Entry!$G$672)</f>
        <v/>
      </c>
      <c r="T669">
        <f>IF([2]Entry!$J$672="","",[2]Entry!$J$672)</f>
        <v/>
      </c>
      <c r="U669">
        <f>IF([2]Entry!$K$672="","",[2]Entry!$K$672)</f>
        <v/>
      </c>
      <c r="V669">
        <f>IF([2]Entry!$L$672="","",[2]Entry!$L$672)</f>
        <v/>
      </c>
      <c r="W669">
        <f>IF([2]Entry!$M$672="","",[2]Entry!$M$672)</f>
        <v/>
      </c>
      <c r="X669">
        <f>IF([2]Entry!$N$672="","",[2]Entry!$N$672)</f>
        <v/>
      </c>
      <c r="Y669">
        <f>IF([2]Entry!$R$672="","",[2]Entry!$R$672)</f>
        <v/>
      </c>
    </row>
    <row r="670">
      <c r="P670">
        <f>IF([2]Entry!$C$673="","",[2]Entry!$C$673)</f>
        <v/>
      </c>
      <c r="Q670">
        <f>IF([2]Entry!$D$673="","",[2]Entry!$D$673)</f>
        <v/>
      </c>
      <c r="R670">
        <f>IF([2]Entry!$E$673="","",[2]Entry!$E$673)</f>
        <v/>
      </c>
      <c r="S670">
        <f>IF([2]Entry!$G$673="","",[2]Entry!$G$673)</f>
        <v/>
      </c>
      <c r="T670">
        <f>IF([2]Entry!$J$673="","",[2]Entry!$J$673)</f>
        <v/>
      </c>
      <c r="U670">
        <f>IF([2]Entry!$K$673="","",[2]Entry!$K$673)</f>
        <v/>
      </c>
      <c r="V670">
        <f>IF([2]Entry!$L$673="","",[2]Entry!$L$673)</f>
        <v/>
      </c>
      <c r="W670">
        <f>IF([2]Entry!$M$673="","",[2]Entry!$M$673)</f>
        <v/>
      </c>
      <c r="X670">
        <f>IF([2]Entry!$N$673="","",[2]Entry!$N$673)</f>
        <v/>
      </c>
      <c r="Y670">
        <f>IF([2]Entry!$R$673="","",[2]Entry!$R$673)</f>
        <v/>
      </c>
    </row>
    <row r="671">
      <c r="P671">
        <f>IF([2]Entry!$C$674="","",[2]Entry!$C$674)</f>
        <v/>
      </c>
      <c r="Q671">
        <f>IF([2]Entry!$D$674="","",[2]Entry!$D$674)</f>
        <v/>
      </c>
      <c r="R671">
        <f>IF([2]Entry!$E$674="","",[2]Entry!$E$674)</f>
        <v/>
      </c>
      <c r="S671">
        <f>IF([2]Entry!$G$674="","",[2]Entry!$G$674)</f>
        <v/>
      </c>
      <c r="T671">
        <f>IF([2]Entry!$J$674="","",[2]Entry!$J$674)</f>
        <v/>
      </c>
      <c r="U671">
        <f>IF([2]Entry!$K$674="","",[2]Entry!$K$674)</f>
        <v/>
      </c>
      <c r="V671">
        <f>IF([2]Entry!$L$674="","",[2]Entry!$L$674)</f>
        <v/>
      </c>
      <c r="W671">
        <f>IF([2]Entry!$M$674="","",[2]Entry!$M$674)</f>
        <v/>
      </c>
      <c r="X671">
        <f>IF([2]Entry!$N$674="","",[2]Entry!$N$674)</f>
        <v/>
      </c>
      <c r="Y671">
        <f>IF([2]Entry!$R$674="","",[2]Entry!$R$674)</f>
        <v/>
      </c>
    </row>
    <row r="672">
      <c r="P672">
        <f>IF([2]Entry!$C$675="","",[2]Entry!$C$675)</f>
        <v/>
      </c>
      <c r="Q672">
        <f>IF([2]Entry!$D$675="","",[2]Entry!$D$675)</f>
        <v/>
      </c>
      <c r="R672">
        <f>IF([2]Entry!$E$675="","",[2]Entry!$E$675)</f>
        <v/>
      </c>
      <c r="S672">
        <f>IF([2]Entry!$G$675="","",[2]Entry!$G$675)</f>
        <v/>
      </c>
      <c r="T672">
        <f>IF([2]Entry!$J$675="","",[2]Entry!$J$675)</f>
        <v/>
      </c>
      <c r="U672">
        <f>IF([2]Entry!$K$675="","",[2]Entry!$K$675)</f>
        <v/>
      </c>
      <c r="V672">
        <f>IF([2]Entry!$L$675="","",[2]Entry!$L$675)</f>
        <v/>
      </c>
      <c r="W672">
        <f>IF([2]Entry!$M$675="","",[2]Entry!$M$675)</f>
        <v/>
      </c>
      <c r="X672">
        <f>IF([2]Entry!$N$675="","",[2]Entry!$N$675)</f>
        <v/>
      </c>
      <c r="Y672">
        <f>IF([2]Entry!$R$675="","",[2]Entry!$R$675)</f>
        <v/>
      </c>
    </row>
    <row r="673">
      <c r="P673">
        <f>IF([2]Entry!$C$676="","",[2]Entry!$C$676)</f>
        <v/>
      </c>
      <c r="Q673">
        <f>IF([2]Entry!$D$676="","",[2]Entry!$D$676)</f>
        <v/>
      </c>
      <c r="R673">
        <f>IF([2]Entry!$E$676="","",[2]Entry!$E$676)</f>
        <v/>
      </c>
      <c r="S673">
        <f>IF([2]Entry!$G$676="","",[2]Entry!$G$676)</f>
        <v/>
      </c>
      <c r="T673">
        <f>IF([2]Entry!$J$676="","",[2]Entry!$J$676)</f>
        <v/>
      </c>
      <c r="U673">
        <f>IF([2]Entry!$K$676="","",[2]Entry!$K$676)</f>
        <v/>
      </c>
      <c r="V673">
        <f>IF([2]Entry!$L$676="","",[2]Entry!$L$676)</f>
        <v/>
      </c>
      <c r="W673">
        <f>IF([2]Entry!$M$676="","",[2]Entry!$M$676)</f>
        <v/>
      </c>
      <c r="X673">
        <f>IF([2]Entry!$N$676="","",[2]Entry!$N$676)</f>
        <v/>
      </c>
      <c r="Y673">
        <f>IF([2]Entry!$R$676="","",[2]Entry!$R$676)</f>
        <v/>
      </c>
    </row>
    <row r="674">
      <c r="P674">
        <f>IF([2]Entry!$C$677="","",[2]Entry!$C$677)</f>
        <v/>
      </c>
      <c r="Q674">
        <f>IF([2]Entry!$D$677="","",[2]Entry!$D$677)</f>
        <v/>
      </c>
      <c r="R674">
        <f>IF([2]Entry!$E$677="","",[2]Entry!$E$677)</f>
        <v/>
      </c>
      <c r="S674">
        <f>IF([2]Entry!$G$677="","",[2]Entry!$G$677)</f>
        <v/>
      </c>
      <c r="T674">
        <f>IF([2]Entry!$J$677="","",[2]Entry!$J$677)</f>
        <v/>
      </c>
      <c r="U674">
        <f>IF([2]Entry!$K$677="","",[2]Entry!$K$677)</f>
        <v/>
      </c>
      <c r="V674">
        <f>IF([2]Entry!$L$677="","",[2]Entry!$L$677)</f>
        <v/>
      </c>
      <c r="W674">
        <f>IF([2]Entry!$M$677="","",[2]Entry!$M$677)</f>
        <v/>
      </c>
      <c r="X674">
        <f>IF([2]Entry!$N$677="","",[2]Entry!$N$677)</f>
        <v/>
      </c>
      <c r="Y674">
        <f>IF([2]Entry!$R$677="","",[2]Entry!$R$677)</f>
        <v/>
      </c>
    </row>
    <row r="675">
      <c r="P675">
        <f>IF([2]Entry!$C$678="","",[2]Entry!$C$678)</f>
        <v/>
      </c>
      <c r="Q675">
        <f>IF([2]Entry!$D$678="","",[2]Entry!$D$678)</f>
        <v/>
      </c>
      <c r="R675">
        <f>IF([2]Entry!$E$678="","",[2]Entry!$E$678)</f>
        <v/>
      </c>
      <c r="S675">
        <f>IF([2]Entry!$G$678="","",[2]Entry!$G$678)</f>
        <v/>
      </c>
      <c r="T675">
        <f>IF([2]Entry!$J$678="","",[2]Entry!$J$678)</f>
        <v/>
      </c>
      <c r="U675">
        <f>IF([2]Entry!$K$678="","",[2]Entry!$K$678)</f>
        <v/>
      </c>
      <c r="V675">
        <f>IF([2]Entry!$L$678="","",[2]Entry!$L$678)</f>
        <v/>
      </c>
      <c r="W675">
        <f>IF([2]Entry!$M$678="","",[2]Entry!$M$678)</f>
        <v/>
      </c>
      <c r="X675">
        <f>IF([2]Entry!$N$678="","",[2]Entry!$N$678)</f>
        <v/>
      </c>
      <c r="Y675">
        <f>IF([2]Entry!$R$678="","",[2]Entry!$R$678)</f>
        <v/>
      </c>
    </row>
    <row r="676">
      <c r="P676">
        <f>IF([2]Entry!$C$679="","",[2]Entry!$C$679)</f>
        <v/>
      </c>
      <c r="Q676">
        <f>IF([2]Entry!$D$679="","",[2]Entry!$D$679)</f>
        <v/>
      </c>
      <c r="R676">
        <f>IF([2]Entry!$E$679="","",[2]Entry!$E$679)</f>
        <v/>
      </c>
      <c r="S676">
        <f>IF([2]Entry!$G$679="","",[2]Entry!$G$679)</f>
        <v/>
      </c>
      <c r="T676">
        <f>IF([2]Entry!$J$679="","",[2]Entry!$J$679)</f>
        <v/>
      </c>
      <c r="U676">
        <f>IF([2]Entry!$K$679="","",[2]Entry!$K$679)</f>
        <v/>
      </c>
      <c r="V676">
        <f>IF([2]Entry!$L$679="","",[2]Entry!$L$679)</f>
        <v/>
      </c>
      <c r="W676">
        <f>IF([2]Entry!$M$679="","",[2]Entry!$M$679)</f>
        <v/>
      </c>
      <c r="X676">
        <f>IF([2]Entry!$N$679="","",[2]Entry!$N$679)</f>
        <v/>
      </c>
      <c r="Y676">
        <f>IF([2]Entry!$R$679="","",[2]Entry!$R$679)</f>
        <v/>
      </c>
    </row>
    <row r="677">
      <c r="P677">
        <f>IF([2]Entry!$C$680="","",[2]Entry!$C$680)</f>
        <v/>
      </c>
      <c r="Q677">
        <f>IF([2]Entry!$D$680="","",[2]Entry!$D$680)</f>
        <v/>
      </c>
      <c r="R677">
        <f>IF([2]Entry!$E$680="","",[2]Entry!$E$680)</f>
        <v/>
      </c>
      <c r="S677">
        <f>IF([2]Entry!$G$680="","",[2]Entry!$G$680)</f>
        <v/>
      </c>
      <c r="T677">
        <f>IF([2]Entry!$J$680="","",[2]Entry!$J$680)</f>
        <v/>
      </c>
      <c r="U677">
        <f>IF([2]Entry!$K$680="","",[2]Entry!$K$680)</f>
        <v/>
      </c>
      <c r="V677">
        <f>IF([2]Entry!$L$680="","",[2]Entry!$L$680)</f>
        <v/>
      </c>
      <c r="W677">
        <f>IF([2]Entry!$M$680="","",[2]Entry!$M$680)</f>
        <v/>
      </c>
      <c r="X677">
        <f>IF([2]Entry!$N$680="","",[2]Entry!$N$680)</f>
        <v/>
      </c>
      <c r="Y677">
        <f>IF([2]Entry!$R$680="","",[2]Entry!$R$680)</f>
        <v/>
      </c>
    </row>
    <row r="678">
      <c r="P678">
        <f>IF([2]Entry!$C$681="","",[2]Entry!$C$681)</f>
        <v/>
      </c>
      <c r="Q678">
        <f>IF([2]Entry!$D$681="","",[2]Entry!$D$681)</f>
        <v/>
      </c>
      <c r="R678">
        <f>IF([2]Entry!$E$681="","",[2]Entry!$E$681)</f>
        <v/>
      </c>
      <c r="S678">
        <f>IF([2]Entry!$G$681="","",[2]Entry!$G$681)</f>
        <v/>
      </c>
      <c r="T678">
        <f>IF([2]Entry!$J$681="","",[2]Entry!$J$681)</f>
        <v/>
      </c>
      <c r="U678">
        <f>IF([2]Entry!$K$681="","",[2]Entry!$K$681)</f>
        <v/>
      </c>
      <c r="V678">
        <f>IF([2]Entry!$L$681="","",[2]Entry!$L$681)</f>
        <v/>
      </c>
      <c r="W678">
        <f>IF([2]Entry!$M$681="","",[2]Entry!$M$681)</f>
        <v/>
      </c>
      <c r="X678">
        <f>IF([2]Entry!$N$681="","",[2]Entry!$N$681)</f>
        <v/>
      </c>
      <c r="Y678">
        <f>IF([2]Entry!$R$681="","",[2]Entry!$R$681)</f>
        <v/>
      </c>
    </row>
    <row r="679">
      <c r="P679">
        <f>IF([2]Entry!$C$682="","",[2]Entry!$C$682)</f>
        <v/>
      </c>
      <c r="Q679">
        <f>IF([2]Entry!$D$682="","",[2]Entry!$D$682)</f>
        <v/>
      </c>
      <c r="R679">
        <f>IF([2]Entry!$E$682="","",[2]Entry!$E$682)</f>
        <v/>
      </c>
      <c r="S679">
        <f>IF([2]Entry!$G$682="","",[2]Entry!$G$682)</f>
        <v/>
      </c>
      <c r="T679">
        <f>IF([2]Entry!$J$682="","",[2]Entry!$J$682)</f>
        <v/>
      </c>
      <c r="U679">
        <f>IF([2]Entry!$K$682="","",[2]Entry!$K$682)</f>
        <v/>
      </c>
      <c r="V679">
        <f>IF([2]Entry!$L$682="","",[2]Entry!$L$682)</f>
        <v/>
      </c>
      <c r="W679">
        <f>IF([2]Entry!$M$682="","",[2]Entry!$M$682)</f>
        <v/>
      </c>
      <c r="X679">
        <f>IF([2]Entry!$N$682="","",[2]Entry!$N$682)</f>
        <v/>
      </c>
      <c r="Y679">
        <f>IF([2]Entry!$R$682="","",[2]Entry!$R$682)</f>
        <v/>
      </c>
    </row>
    <row r="680">
      <c r="P680">
        <f>IF([2]Entry!$C$683="","",[2]Entry!$C$683)</f>
        <v/>
      </c>
      <c r="Q680">
        <f>IF([2]Entry!$D$683="","",[2]Entry!$D$683)</f>
        <v/>
      </c>
      <c r="R680">
        <f>IF([2]Entry!$E$683="","",[2]Entry!$E$683)</f>
        <v/>
      </c>
      <c r="S680">
        <f>IF([2]Entry!$G$683="","",[2]Entry!$G$683)</f>
        <v/>
      </c>
      <c r="T680">
        <f>IF([2]Entry!$J$683="","",[2]Entry!$J$683)</f>
        <v/>
      </c>
      <c r="U680">
        <f>IF([2]Entry!$K$683="","",[2]Entry!$K$683)</f>
        <v/>
      </c>
      <c r="V680">
        <f>IF([2]Entry!$L$683="","",[2]Entry!$L$683)</f>
        <v/>
      </c>
      <c r="W680">
        <f>IF([2]Entry!$M$683="","",[2]Entry!$M$683)</f>
        <v/>
      </c>
      <c r="X680">
        <f>IF([2]Entry!$N$683="","",[2]Entry!$N$683)</f>
        <v/>
      </c>
      <c r="Y680">
        <f>IF([2]Entry!$R$683="","",[2]Entry!$R$683)</f>
        <v/>
      </c>
    </row>
    <row r="681">
      <c r="P681">
        <f>IF([2]Entry!$C$684="","",[2]Entry!$C$684)</f>
        <v/>
      </c>
      <c r="Q681">
        <f>IF([2]Entry!$D$684="","",[2]Entry!$D$684)</f>
        <v/>
      </c>
      <c r="R681">
        <f>IF([2]Entry!$E$684="","",[2]Entry!$E$684)</f>
        <v/>
      </c>
      <c r="S681">
        <f>IF([2]Entry!$G$684="","",[2]Entry!$G$684)</f>
        <v/>
      </c>
      <c r="T681">
        <f>IF([2]Entry!$J$684="","",[2]Entry!$J$684)</f>
        <v/>
      </c>
      <c r="U681">
        <f>IF([2]Entry!$K$684="","",[2]Entry!$K$684)</f>
        <v/>
      </c>
      <c r="V681">
        <f>IF([2]Entry!$L$684="","",[2]Entry!$L$684)</f>
        <v/>
      </c>
      <c r="W681">
        <f>IF([2]Entry!$M$684="","",[2]Entry!$M$684)</f>
        <v/>
      </c>
      <c r="X681">
        <f>IF([2]Entry!$N$684="","",[2]Entry!$N$684)</f>
        <v/>
      </c>
      <c r="Y681">
        <f>IF([2]Entry!$R$684="","",[2]Entry!$R$684)</f>
        <v/>
      </c>
    </row>
    <row r="682">
      <c r="P682">
        <f>IF([2]Entry!$C$685="","",[2]Entry!$C$685)</f>
        <v/>
      </c>
      <c r="Q682">
        <f>IF([2]Entry!$D$685="","",[2]Entry!$D$685)</f>
        <v/>
      </c>
      <c r="R682">
        <f>IF([2]Entry!$E$685="","",[2]Entry!$E$685)</f>
        <v/>
      </c>
      <c r="S682">
        <f>IF([2]Entry!$G$685="","",[2]Entry!$G$685)</f>
        <v/>
      </c>
      <c r="T682">
        <f>IF([2]Entry!$J$685="","",[2]Entry!$J$685)</f>
        <v/>
      </c>
      <c r="U682">
        <f>IF([2]Entry!$K$685="","",[2]Entry!$K$685)</f>
        <v/>
      </c>
      <c r="V682">
        <f>IF([2]Entry!$L$685="","",[2]Entry!$L$685)</f>
        <v/>
      </c>
      <c r="W682">
        <f>IF([2]Entry!$M$685="","",[2]Entry!$M$685)</f>
        <v/>
      </c>
      <c r="X682">
        <f>IF([2]Entry!$N$685="","",[2]Entry!$N$685)</f>
        <v/>
      </c>
      <c r="Y682">
        <f>IF([2]Entry!$R$685="","",[2]Entry!$R$685)</f>
        <v/>
      </c>
    </row>
    <row r="683">
      <c r="P683">
        <f>IF([2]Entry!$C$686="","",[2]Entry!$C$686)</f>
        <v/>
      </c>
      <c r="Q683">
        <f>IF([2]Entry!$D$686="","",[2]Entry!$D$686)</f>
        <v/>
      </c>
      <c r="R683">
        <f>IF([2]Entry!$E$686="","",[2]Entry!$E$686)</f>
        <v/>
      </c>
      <c r="S683">
        <f>IF([2]Entry!$G$686="","",[2]Entry!$G$686)</f>
        <v/>
      </c>
      <c r="T683">
        <f>IF([2]Entry!$J$686="","",[2]Entry!$J$686)</f>
        <v/>
      </c>
      <c r="U683">
        <f>IF([2]Entry!$K$686="","",[2]Entry!$K$686)</f>
        <v/>
      </c>
      <c r="V683">
        <f>IF([2]Entry!$L$686="","",[2]Entry!$L$686)</f>
        <v/>
      </c>
      <c r="W683">
        <f>IF([2]Entry!$M$686="","",[2]Entry!$M$686)</f>
        <v/>
      </c>
      <c r="X683">
        <f>IF([2]Entry!$N$686="","",[2]Entry!$N$686)</f>
        <v/>
      </c>
      <c r="Y683">
        <f>IF([2]Entry!$R$686="","",[2]Entry!$R$686)</f>
        <v/>
      </c>
    </row>
    <row r="684">
      <c r="P684">
        <f>IF([2]Entry!$C$687="","",[2]Entry!$C$687)</f>
        <v/>
      </c>
      <c r="Q684">
        <f>IF([2]Entry!$D$687="","",[2]Entry!$D$687)</f>
        <v/>
      </c>
      <c r="R684">
        <f>IF([2]Entry!$E$687="","",[2]Entry!$E$687)</f>
        <v/>
      </c>
      <c r="S684">
        <f>IF([2]Entry!$G$687="","",[2]Entry!$G$687)</f>
        <v/>
      </c>
      <c r="T684">
        <f>IF([2]Entry!$J$687="","",[2]Entry!$J$687)</f>
        <v/>
      </c>
      <c r="U684">
        <f>IF([2]Entry!$K$687="","",[2]Entry!$K$687)</f>
        <v/>
      </c>
      <c r="V684">
        <f>IF([2]Entry!$L$687="","",[2]Entry!$L$687)</f>
        <v/>
      </c>
      <c r="W684">
        <f>IF([2]Entry!$M$687="","",[2]Entry!$M$687)</f>
        <v/>
      </c>
      <c r="X684">
        <f>IF([2]Entry!$N$687="","",[2]Entry!$N$687)</f>
        <v/>
      </c>
      <c r="Y684">
        <f>IF([2]Entry!$R$687="","",[2]Entry!$R$687)</f>
        <v/>
      </c>
    </row>
    <row r="685">
      <c r="P685">
        <f>IF([2]Entry!$C$688="","",[2]Entry!$C$688)</f>
        <v/>
      </c>
      <c r="Q685">
        <f>IF([2]Entry!$D$688="","",[2]Entry!$D$688)</f>
        <v/>
      </c>
      <c r="R685">
        <f>IF([2]Entry!$E$688="","",[2]Entry!$E$688)</f>
        <v/>
      </c>
      <c r="S685">
        <f>IF([2]Entry!$G$688="","",[2]Entry!$G$688)</f>
        <v/>
      </c>
      <c r="T685">
        <f>IF([2]Entry!$J$688="","",[2]Entry!$J$688)</f>
        <v/>
      </c>
      <c r="U685">
        <f>IF([2]Entry!$K$688="","",[2]Entry!$K$688)</f>
        <v/>
      </c>
      <c r="V685">
        <f>IF([2]Entry!$L$688="","",[2]Entry!$L$688)</f>
        <v/>
      </c>
      <c r="W685">
        <f>IF([2]Entry!$M$688="","",[2]Entry!$M$688)</f>
        <v/>
      </c>
      <c r="X685">
        <f>IF([2]Entry!$N$688="","",[2]Entry!$N$688)</f>
        <v/>
      </c>
      <c r="Y685">
        <f>IF([2]Entry!$R$688="","",[2]Entry!$R$688)</f>
        <v/>
      </c>
    </row>
    <row r="686">
      <c r="P686">
        <f>IF([2]Entry!$C$689="","",[2]Entry!$C$689)</f>
        <v/>
      </c>
      <c r="Q686">
        <f>IF([2]Entry!$D$689="","",[2]Entry!$D$689)</f>
        <v/>
      </c>
      <c r="R686">
        <f>IF([2]Entry!$E$689="","",[2]Entry!$E$689)</f>
        <v/>
      </c>
      <c r="S686">
        <f>IF([2]Entry!$G$689="","",[2]Entry!$G$689)</f>
        <v/>
      </c>
      <c r="T686">
        <f>IF([2]Entry!$J$689="","",[2]Entry!$J$689)</f>
        <v/>
      </c>
      <c r="U686">
        <f>IF([2]Entry!$K$689="","",[2]Entry!$K$689)</f>
        <v/>
      </c>
      <c r="V686">
        <f>IF([2]Entry!$L$689="","",[2]Entry!$L$689)</f>
        <v/>
      </c>
      <c r="W686">
        <f>IF([2]Entry!$M$689="","",[2]Entry!$M$689)</f>
        <v/>
      </c>
      <c r="X686">
        <f>IF([2]Entry!$N$689="","",[2]Entry!$N$689)</f>
        <v/>
      </c>
      <c r="Y686">
        <f>IF([2]Entry!$R$689="","",[2]Entry!$R$689)</f>
        <v/>
      </c>
    </row>
    <row r="687">
      <c r="P687">
        <f>IF([2]Entry!$C$690="","",[2]Entry!$C$690)</f>
        <v/>
      </c>
      <c r="Q687">
        <f>IF([2]Entry!$D$690="","",[2]Entry!$D$690)</f>
        <v/>
      </c>
      <c r="R687">
        <f>IF([2]Entry!$E$690="","",[2]Entry!$E$690)</f>
        <v/>
      </c>
      <c r="S687">
        <f>IF([2]Entry!$G$690="","",[2]Entry!$G$690)</f>
        <v/>
      </c>
      <c r="T687">
        <f>IF([2]Entry!$J$690="","",[2]Entry!$J$690)</f>
        <v/>
      </c>
      <c r="U687">
        <f>IF([2]Entry!$K$690="","",[2]Entry!$K$690)</f>
        <v/>
      </c>
      <c r="V687">
        <f>IF([2]Entry!$L$690="","",[2]Entry!$L$690)</f>
        <v/>
      </c>
      <c r="W687">
        <f>IF([2]Entry!$M$690="","",[2]Entry!$M$690)</f>
        <v/>
      </c>
      <c r="X687">
        <f>IF([2]Entry!$N$690="","",[2]Entry!$N$690)</f>
        <v/>
      </c>
      <c r="Y687">
        <f>IF([2]Entry!$R$690="","",[2]Entry!$R$690)</f>
        <v/>
      </c>
    </row>
    <row r="688">
      <c r="P688">
        <f>IF([2]Entry!$C$691="","",[2]Entry!$C$691)</f>
        <v/>
      </c>
      <c r="Q688">
        <f>IF([2]Entry!$D$691="","",[2]Entry!$D$691)</f>
        <v/>
      </c>
      <c r="R688">
        <f>IF([2]Entry!$E$691="","",[2]Entry!$E$691)</f>
        <v/>
      </c>
      <c r="S688">
        <f>IF([2]Entry!$G$691="","",[2]Entry!$G$691)</f>
        <v/>
      </c>
      <c r="T688">
        <f>IF([2]Entry!$J$691="","",[2]Entry!$J$691)</f>
        <v/>
      </c>
      <c r="U688">
        <f>IF([2]Entry!$K$691="","",[2]Entry!$K$691)</f>
        <v/>
      </c>
      <c r="V688">
        <f>IF([2]Entry!$L$691="","",[2]Entry!$L$691)</f>
        <v/>
      </c>
      <c r="W688">
        <f>IF([2]Entry!$M$691="","",[2]Entry!$M$691)</f>
        <v/>
      </c>
      <c r="X688">
        <f>IF([2]Entry!$N$691="","",[2]Entry!$N$691)</f>
        <v/>
      </c>
      <c r="Y688">
        <f>IF([2]Entry!$R$691="","",[2]Entry!$R$691)</f>
        <v/>
      </c>
    </row>
    <row r="689">
      <c r="P689">
        <f>IF([2]Entry!$C$692="","",[2]Entry!$C$692)</f>
        <v/>
      </c>
      <c r="Q689">
        <f>IF([2]Entry!$D$692="","",[2]Entry!$D$692)</f>
        <v/>
      </c>
      <c r="R689">
        <f>IF([2]Entry!$E$692="","",[2]Entry!$E$692)</f>
        <v/>
      </c>
      <c r="S689">
        <f>IF([2]Entry!$G$692="","",[2]Entry!$G$692)</f>
        <v/>
      </c>
      <c r="T689">
        <f>IF([2]Entry!$J$692="","",[2]Entry!$J$692)</f>
        <v/>
      </c>
      <c r="U689">
        <f>IF([2]Entry!$K$692="","",[2]Entry!$K$692)</f>
        <v/>
      </c>
      <c r="V689">
        <f>IF([2]Entry!$L$692="","",[2]Entry!$L$692)</f>
        <v/>
      </c>
      <c r="W689">
        <f>IF([2]Entry!$M$692="","",[2]Entry!$M$692)</f>
        <v/>
      </c>
      <c r="X689">
        <f>IF([2]Entry!$N$692="","",[2]Entry!$N$692)</f>
        <v/>
      </c>
      <c r="Y689">
        <f>IF([2]Entry!$R$692="","",[2]Entry!$R$692)</f>
        <v/>
      </c>
    </row>
    <row r="690">
      <c r="P690">
        <f>IF([2]Entry!$C$693="","",[2]Entry!$C$693)</f>
        <v/>
      </c>
      <c r="Q690">
        <f>IF([2]Entry!$D$693="","",[2]Entry!$D$693)</f>
        <v/>
      </c>
      <c r="R690">
        <f>IF([2]Entry!$E$693="","",[2]Entry!$E$693)</f>
        <v/>
      </c>
      <c r="S690">
        <f>IF([2]Entry!$G$693="","",[2]Entry!$G$693)</f>
        <v/>
      </c>
      <c r="T690">
        <f>IF([2]Entry!$J$693="","",[2]Entry!$J$693)</f>
        <v/>
      </c>
      <c r="U690">
        <f>IF([2]Entry!$K$693="","",[2]Entry!$K$693)</f>
        <v/>
      </c>
      <c r="V690">
        <f>IF([2]Entry!$L$693="","",[2]Entry!$L$693)</f>
        <v/>
      </c>
      <c r="W690">
        <f>IF([2]Entry!$M$693="","",[2]Entry!$M$693)</f>
        <v/>
      </c>
      <c r="X690">
        <f>IF([2]Entry!$N$693="","",[2]Entry!$N$693)</f>
        <v/>
      </c>
      <c r="Y690">
        <f>IF([2]Entry!$R$693="","",[2]Entry!$R$693)</f>
        <v/>
      </c>
    </row>
    <row r="691">
      <c r="P691">
        <f>IF([2]Entry!$C$694="","",[2]Entry!$C$694)</f>
        <v/>
      </c>
      <c r="Q691">
        <f>IF([2]Entry!$D$694="","",[2]Entry!$D$694)</f>
        <v/>
      </c>
      <c r="R691">
        <f>IF([2]Entry!$E$694="","",[2]Entry!$E$694)</f>
        <v/>
      </c>
      <c r="S691">
        <f>IF([2]Entry!$G$694="","",[2]Entry!$G$694)</f>
        <v/>
      </c>
      <c r="T691">
        <f>IF([2]Entry!$J$694="","",[2]Entry!$J$694)</f>
        <v/>
      </c>
      <c r="U691">
        <f>IF([2]Entry!$K$694="","",[2]Entry!$K$694)</f>
        <v/>
      </c>
      <c r="V691">
        <f>IF([2]Entry!$L$694="","",[2]Entry!$L$694)</f>
        <v/>
      </c>
      <c r="W691">
        <f>IF([2]Entry!$M$694="","",[2]Entry!$M$694)</f>
        <v/>
      </c>
      <c r="X691">
        <f>IF([2]Entry!$N$694="","",[2]Entry!$N$694)</f>
        <v/>
      </c>
      <c r="Y691">
        <f>IF([2]Entry!$R$694="","",[2]Entry!$R$694)</f>
        <v/>
      </c>
    </row>
    <row r="692">
      <c r="P692">
        <f>IF([2]Entry!$C$695="","",[2]Entry!$C$695)</f>
        <v/>
      </c>
      <c r="Q692">
        <f>IF([2]Entry!$D$695="","",[2]Entry!$D$695)</f>
        <v/>
      </c>
      <c r="R692">
        <f>IF([2]Entry!$E$695="","",[2]Entry!$E$695)</f>
        <v/>
      </c>
      <c r="S692">
        <f>IF([2]Entry!$G$695="","",[2]Entry!$G$695)</f>
        <v/>
      </c>
      <c r="T692">
        <f>IF([2]Entry!$J$695="","",[2]Entry!$J$695)</f>
        <v/>
      </c>
      <c r="U692">
        <f>IF([2]Entry!$K$695="","",[2]Entry!$K$695)</f>
        <v/>
      </c>
      <c r="V692">
        <f>IF([2]Entry!$L$695="","",[2]Entry!$L$695)</f>
        <v/>
      </c>
      <c r="W692">
        <f>IF([2]Entry!$M$695="","",[2]Entry!$M$695)</f>
        <v/>
      </c>
      <c r="X692">
        <f>IF([2]Entry!$N$695="","",[2]Entry!$N$695)</f>
        <v/>
      </c>
      <c r="Y692">
        <f>IF([2]Entry!$R$695="","",[2]Entry!$R$695)</f>
        <v/>
      </c>
    </row>
    <row r="693">
      <c r="P693">
        <f>IF([2]Entry!$C$696="","",[2]Entry!$C$696)</f>
        <v/>
      </c>
      <c r="Q693">
        <f>IF([2]Entry!$D$696="","",[2]Entry!$D$696)</f>
        <v/>
      </c>
      <c r="R693">
        <f>IF([2]Entry!$E$696="","",[2]Entry!$E$696)</f>
        <v/>
      </c>
      <c r="S693">
        <f>IF([2]Entry!$G$696="","",[2]Entry!$G$696)</f>
        <v/>
      </c>
      <c r="T693">
        <f>IF([2]Entry!$J$696="","",[2]Entry!$J$696)</f>
        <v/>
      </c>
      <c r="U693">
        <f>IF([2]Entry!$K$696="","",[2]Entry!$K$696)</f>
        <v/>
      </c>
      <c r="V693">
        <f>IF([2]Entry!$L$696="","",[2]Entry!$L$696)</f>
        <v/>
      </c>
      <c r="W693">
        <f>IF([2]Entry!$M$696="","",[2]Entry!$M$696)</f>
        <v/>
      </c>
      <c r="X693">
        <f>IF([2]Entry!$N$696="","",[2]Entry!$N$696)</f>
        <v/>
      </c>
      <c r="Y693">
        <f>IF([2]Entry!$R$696="","",[2]Entry!$R$696)</f>
        <v/>
      </c>
    </row>
    <row r="694">
      <c r="P694">
        <f>IF([2]Entry!$C$697="","",[2]Entry!$C$697)</f>
        <v/>
      </c>
      <c r="Q694">
        <f>IF([2]Entry!$D$697="","",[2]Entry!$D$697)</f>
        <v/>
      </c>
      <c r="R694">
        <f>IF([2]Entry!$E$697="","",[2]Entry!$E$697)</f>
        <v/>
      </c>
      <c r="S694">
        <f>IF([2]Entry!$G$697="","",[2]Entry!$G$697)</f>
        <v/>
      </c>
      <c r="T694">
        <f>IF([2]Entry!$J$697="","",[2]Entry!$J$697)</f>
        <v/>
      </c>
      <c r="U694">
        <f>IF([2]Entry!$K$697="","",[2]Entry!$K$697)</f>
        <v/>
      </c>
      <c r="V694">
        <f>IF([2]Entry!$L$697="","",[2]Entry!$L$697)</f>
        <v/>
      </c>
      <c r="W694">
        <f>IF([2]Entry!$M$697="","",[2]Entry!$M$697)</f>
        <v/>
      </c>
      <c r="X694">
        <f>IF([2]Entry!$N$697="","",[2]Entry!$N$697)</f>
        <v/>
      </c>
      <c r="Y694">
        <f>IF([2]Entry!$R$697="","",[2]Entry!$R$697)</f>
        <v/>
      </c>
    </row>
    <row r="695">
      <c r="P695">
        <f>IF([2]Entry!$C$698="","",[2]Entry!$C$698)</f>
        <v/>
      </c>
      <c r="Q695">
        <f>IF([2]Entry!$D$698="","",[2]Entry!$D$698)</f>
        <v/>
      </c>
      <c r="R695">
        <f>IF([2]Entry!$E$698="","",[2]Entry!$E$698)</f>
        <v/>
      </c>
      <c r="S695">
        <f>IF([2]Entry!$G$698="","",[2]Entry!$G$698)</f>
        <v/>
      </c>
      <c r="T695">
        <f>IF([2]Entry!$J$698="","",[2]Entry!$J$698)</f>
        <v/>
      </c>
      <c r="U695">
        <f>IF([2]Entry!$K$698="","",[2]Entry!$K$698)</f>
        <v/>
      </c>
      <c r="V695">
        <f>IF([2]Entry!$L$698="","",[2]Entry!$L$698)</f>
        <v/>
      </c>
      <c r="W695">
        <f>IF([2]Entry!$M$698="","",[2]Entry!$M$698)</f>
        <v/>
      </c>
      <c r="X695">
        <f>IF([2]Entry!$N$698="","",[2]Entry!$N$698)</f>
        <v/>
      </c>
      <c r="Y695">
        <f>IF([2]Entry!$R$698="","",[2]Entry!$R$698)</f>
        <v/>
      </c>
    </row>
    <row r="696">
      <c r="P696">
        <f>IF([2]Entry!$C$699="","",[2]Entry!$C$699)</f>
        <v/>
      </c>
      <c r="Q696">
        <f>IF([2]Entry!$D$699="","",[2]Entry!$D$699)</f>
        <v/>
      </c>
      <c r="R696">
        <f>IF([2]Entry!$E$699="","",[2]Entry!$E$699)</f>
        <v/>
      </c>
      <c r="S696">
        <f>IF([2]Entry!$G$699="","",[2]Entry!$G$699)</f>
        <v/>
      </c>
      <c r="T696">
        <f>IF([2]Entry!$J$699="","",[2]Entry!$J$699)</f>
        <v/>
      </c>
      <c r="U696">
        <f>IF([2]Entry!$K$699="","",[2]Entry!$K$699)</f>
        <v/>
      </c>
      <c r="V696">
        <f>IF([2]Entry!$L$699="","",[2]Entry!$L$699)</f>
        <v/>
      </c>
      <c r="W696">
        <f>IF([2]Entry!$M$699="","",[2]Entry!$M$699)</f>
        <v/>
      </c>
      <c r="X696">
        <f>IF([2]Entry!$N$699="","",[2]Entry!$N$699)</f>
        <v/>
      </c>
      <c r="Y696">
        <f>IF([2]Entry!$R$699="","",[2]Entry!$R$699)</f>
        <v/>
      </c>
    </row>
    <row r="697">
      <c r="P697">
        <f>IF([2]Entry!$C$700="","",[2]Entry!$C$700)</f>
        <v/>
      </c>
      <c r="Q697">
        <f>IF([2]Entry!$D$700="","",[2]Entry!$D$700)</f>
        <v/>
      </c>
      <c r="R697">
        <f>IF([2]Entry!$E$700="","",[2]Entry!$E$700)</f>
        <v/>
      </c>
      <c r="S697">
        <f>IF([2]Entry!$G$700="","",[2]Entry!$G$700)</f>
        <v/>
      </c>
      <c r="T697">
        <f>IF([2]Entry!$J$700="","",[2]Entry!$J$700)</f>
        <v/>
      </c>
      <c r="U697">
        <f>IF([2]Entry!$K$700="","",[2]Entry!$K$700)</f>
        <v/>
      </c>
      <c r="V697">
        <f>IF([2]Entry!$L$700="","",[2]Entry!$L$700)</f>
        <v/>
      </c>
      <c r="W697">
        <f>IF([2]Entry!$M$700="","",[2]Entry!$M$700)</f>
        <v/>
      </c>
      <c r="X697">
        <f>IF([2]Entry!$N$700="","",[2]Entry!$N$700)</f>
        <v/>
      </c>
      <c r="Y697">
        <f>IF([2]Entry!$R$700="","",[2]Entry!$R$700)</f>
        <v/>
      </c>
    </row>
    <row r="698">
      <c r="P698">
        <f>IF([2]Entry!$C$701="","",[2]Entry!$C$701)</f>
        <v/>
      </c>
      <c r="Q698">
        <f>IF([2]Entry!$D$701="","",[2]Entry!$D$701)</f>
        <v/>
      </c>
      <c r="R698">
        <f>IF([2]Entry!$E$701="","",[2]Entry!$E$701)</f>
        <v/>
      </c>
      <c r="S698">
        <f>IF([2]Entry!$G$701="","",[2]Entry!$G$701)</f>
        <v/>
      </c>
      <c r="T698">
        <f>IF([2]Entry!$J$701="","",[2]Entry!$J$701)</f>
        <v/>
      </c>
      <c r="U698">
        <f>IF([2]Entry!$K$701="","",[2]Entry!$K$701)</f>
        <v/>
      </c>
      <c r="V698">
        <f>IF([2]Entry!$L$701="","",[2]Entry!$L$701)</f>
        <v/>
      </c>
      <c r="W698">
        <f>IF([2]Entry!$M$701="","",[2]Entry!$M$701)</f>
        <v/>
      </c>
      <c r="X698">
        <f>IF([2]Entry!$N$701="","",[2]Entry!$N$701)</f>
        <v/>
      </c>
      <c r="Y698">
        <f>IF([2]Entry!$R$701="","",[2]Entry!$R$701)</f>
        <v/>
      </c>
    </row>
    <row r="699">
      <c r="P699">
        <f>IF([2]Entry!$C$702="","",[2]Entry!$C$702)</f>
        <v/>
      </c>
      <c r="Q699">
        <f>IF([2]Entry!$D$702="","",[2]Entry!$D$702)</f>
        <v/>
      </c>
      <c r="R699">
        <f>IF([2]Entry!$E$702="","",[2]Entry!$E$702)</f>
        <v/>
      </c>
      <c r="S699">
        <f>IF([2]Entry!$G$702="","",[2]Entry!$G$702)</f>
        <v/>
      </c>
      <c r="T699">
        <f>IF([2]Entry!$J$702="","",[2]Entry!$J$702)</f>
        <v/>
      </c>
      <c r="U699">
        <f>IF([2]Entry!$K$702="","",[2]Entry!$K$702)</f>
        <v/>
      </c>
      <c r="V699">
        <f>IF([2]Entry!$L$702="","",[2]Entry!$L$702)</f>
        <v/>
      </c>
      <c r="W699">
        <f>IF([2]Entry!$M$702="","",[2]Entry!$M$702)</f>
        <v/>
      </c>
      <c r="X699">
        <f>IF([2]Entry!$N$702="","",[2]Entry!$N$702)</f>
        <v/>
      </c>
      <c r="Y699">
        <f>IF([2]Entry!$R$702="","",[2]Entry!$R$702)</f>
        <v/>
      </c>
    </row>
    <row r="700">
      <c r="P700">
        <f>IF([2]Entry!$C$703="","",[2]Entry!$C$703)</f>
        <v/>
      </c>
      <c r="Q700">
        <f>IF([2]Entry!$D$703="","",[2]Entry!$D$703)</f>
        <v/>
      </c>
      <c r="R700">
        <f>IF([2]Entry!$E$703="","",[2]Entry!$E$703)</f>
        <v/>
      </c>
      <c r="S700">
        <f>IF([2]Entry!$G$703="","",[2]Entry!$G$703)</f>
        <v/>
      </c>
      <c r="T700">
        <f>IF([2]Entry!$J$703="","",[2]Entry!$J$703)</f>
        <v/>
      </c>
      <c r="U700">
        <f>IF([2]Entry!$K$703="","",[2]Entry!$K$703)</f>
        <v/>
      </c>
      <c r="V700">
        <f>IF([2]Entry!$L$703="","",[2]Entry!$L$703)</f>
        <v/>
      </c>
      <c r="W700">
        <f>IF([2]Entry!$M$703="","",[2]Entry!$M$703)</f>
        <v/>
      </c>
      <c r="X700">
        <f>IF([2]Entry!$N$703="","",[2]Entry!$N$703)</f>
        <v/>
      </c>
      <c r="Y700">
        <f>IF([2]Entry!$R$703="","",[2]Entry!$R$703)</f>
        <v/>
      </c>
    </row>
    <row r="701">
      <c r="P701">
        <f>IF([2]Entry!$C$704="","",[2]Entry!$C$704)</f>
        <v/>
      </c>
      <c r="Q701">
        <f>IF([2]Entry!$D$704="","",[2]Entry!$D$704)</f>
        <v/>
      </c>
      <c r="R701">
        <f>IF([2]Entry!$E$704="","",[2]Entry!$E$704)</f>
        <v/>
      </c>
      <c r="S701">
        <f>IF([2]Entry!$G$704="","",[2]Entry!$G$704)</f>
        <v/>
      </c>
      <c r="T701">
        <f>IF([2]Entry!$J$704="","",[2]Entry!$J$704)</f>
        <v/>
      </c>
      <c r="U701">
        <f>IF([2]Entry!$K$704="","",[2]Entry!$K$704)</f>
        <v/>
      </c>
      <c r="V701">
        <f>IF([2]Entry!$L$704="","",[2]Entry!$L$704)</f>
        <v/>
      </c>
      <c r="W701">
        <f>IF([2]Entry!$M$704="","",[2]Entry!$M$704)</f>
        <v/>
      </c>
      <c r="X701">
        <f>IF([2]Entry!$N$704="","",[2]Entry!$N$704)</f>
        <v/>
      </c>
      <c r="Y701">
        <f>IF([2]Entry!$R$704="","",[2]Entry!$R$704)</f>
        <v/>
      </c>
    </row>
    <row r="702">
      <c r="P702">
        <f>IF([2]Entry!$C$705="","",[2]Entry!$C$705)</f>
        <v/>
      </c>
      <c r="Q702">
        <f>IF([2]Entry!$D$705="","",[2]Entry!$D$705)</f>
        <v/>
      </c>
      <c r="R702">
        <f>IF([2]Entry!$E$705="","",[2]Entry!$E$705)</f>
        <v/>
      </c>
      <c r="S702">
        <f>IF([2]Entry!$G$705="","",[2]Entry!$G$705)</f>
        <v/>
      </c>
      <c r="T702">
        <f>IF([2]Entry!$J$705="","",[2]Entry!$J$705)</f>
        <v/>
      </c>
      <c r="U702">
        <f>IF([2]Entry!$K$705="","",[2]Entry!$K$705)</f>
        <v/>
      </c>
      <c r="V702">
        <f>IF([2]Entry!$L$705="","",[2]Entry!$L$705)</f>
        <v/>
      </c>
      <c r="W702">
        <f>IF([2]Entry!$M$705="","",[2]Entry!$M$705)</f>
        <v/>
      </c>
      <c r="X702">
        <f>IF([2]Entry!$N$705="","",[2]Entry!$N$705)</f>
        <v/>
      </c>
      <c r="Y702">
        <f>IF([2]Entry!$R$705="","",[2]Entry!$R$705)</f>
        <v/>
      </c>
    </row>
    <row r="703">
      <c r="P703">
        <f>IF([2]Entry!$C$706="","",[2]Entry!$C$706)</f>
        <v/>
      </c>
      <c r="Q703">
        <f>IF([2]Entry!$D$706="","",[2]Entry!$D$706)</f>
        <v/>
      </c>
      <c r="R703">
        <f>IF([2]Entry!$E$706="","",[2]Entry!$E$706)</f>
        <v/>
      </c>
      <c r="S703">
        <f>IF([2]Entry!$G$706="","",[2]Entry!$G$706)</f>
        <v/>
      </c>
      <c r="T703">
        <f>IF([2]Entry!$J$706="","",[2]Entry!$J$706)</f>
        <v/>
      </c>
      <c r="U703">
        <f>IF([2]Entry!$K$706="","",[2]Entry!$K$706)</f>
        <v/>
      </c>
      <c r="V703">
        <f>IF([2]Entry!$L$706="","",[2]Entry!$L$706)</f>
        <v/>
      </c>
      <c r="W703">
        <f>IF([2]Entry!$M$706="","",[2]Entry!$M$706)</f>
        <v/>
      </c>
      <c r="X703">
        <f>IF([2]Entry!$N$706="","",[2]Entry!$N$706)</f>
        <v/>
      </c>
      <c r="Y703">
        <f>IF([2]Entry!$R$706="","",[2]Entry!$R$706)</f>
        <v/>
      </c>
    </row>
    <row r="704">
      <c r="P704">
        <f>IF([2]Entry!$C$707="","",[2]Entry!$C$707)</f>
        <v/>
      </c>
      <c r="Q704">
        <f>IF([2]Entry!$D$707="","",[2]Entry!$D$707)</f>
        <v/>
      </c>
      <c r="R704">
        <f>IF([2]Entry!$E$707="","",[2]Entry!$E$707)</f>
        <v/>
      </c>
      <c r="S704">
        <f>IF([2]Entry!$G$707="","",[2]Entry!$G$707)</f>
        <v/>
      </c>
      <c r="T704">
        <f>IF([2]Entry!$J$707="","",[2]Entry!$J$707)</f>
        <v/>
      </c>
      <c r="U704">
        <f>IF([2]Entry!$K$707="","",[2]Entry!$K$707)</f>
        <v/>
      </c>
      <c r="V704">
        <f>IF([2]Entry!$L$707="","",[2]Entry!$L$707)</f>
        <v/>
      </c>
      <c r="W704">
        <f>IF([2]Entry!$M$707="","",[2]Entry!$M$707)</f>
        <v/>
      </c>
      <c r="X704">
        <f>IF([2]Entry!$N$707="","",[2]Entry!$N$707)</f>
        <v/>
      </c>
      <c r="Y704">
        <f>IF([2]Entry!$R$707="","",[2]Entry!$R$707)</f>
        <v/>
      </c>
    </row>
    <row r="705">
      <c r="P705">
        <f>IF([2]Entry!$C$708="","",[2]Entry!$C$708)</f>
        <v/>
      </c>
      <c r="Q705">
        <f>IF([2]Entry!$D$708="","",[2]Entry!$D$708)</f>
        <v/>
      </c>
      <c r="R705">
        <f>IF([2]Entry!$E$708="","",[2]Entry!$E$708)</f>
        <v/>
      </c>
      <c r="S705">
        <f>IF([2]Entry!$G$708="","",[2]Entry!$G$708)</f>
        <v/>
      </c>
      <c r="T705">
        <f>IF([2]Entry!$J$708="","",[2]Entry!$J$708)</f>
        <v/>
      </c>
      <c r="U705">
        <f>IF([2]Entry!$K$708="","",[2]Entry!$K$708)</f>
        <v/>
      </c>
      <c r="V705">
        <f>IF([2]Entry!$L$708="","",[2]Entry!$L$708)</f>
        <v/>
      </c>
      <c r="W705">
        <f>IF([2]Entry!$M$708="","",[2]Entry!$M$708)</f>
        <v/>
      </c>
      <c r="X705">
        <f>IF([2]Entry!$N$708="","",[2]Entry!$N$708)</f>
        <v/>
      </c>
      <c r="Y705">
        <f>IF([2]Entry!$R$708="","",[2]Entry!$R$708)</f>
        <v/>
      </c>
    </row>
    <row r="706">
      <c r="P706">
        <f>IF([2]Entry!$C$709="","",[2]Entry!$C$709)</f>
        <v/>
      </c>
      <c r="Q706">
        <f>IF([2]Entry!$D$709="","",[2]Entry!$D$709)</f>
        <v/>
      </c>
      <c r="R706">
        <f>IF([2]Entry!$E$709="","",[2]Entry!$E$709)</f>
        <v/>
      </c>
      <c r="S706">
        <f>IF([2]Entry!$G$709="","",[2]Entry!$G$709)</f>
        <v/>
      </c>
      <c r="T706">
        <f>IF([2]Entry!$J$709="","",[2]Entry!$J$709)</f>
        <v/>
      </c>
      <c r="U706">
        <f>IF([2]Entry!$K$709="","",[2]Entry!$K$709)</f>
        <v/>
      </c>
      <c r="V706">
        <f>IF([2]Entry!$L$709="","",[2]Entry!$L$709)</f>
        <v/>
      </c>
      <c r="W706">
        <f>IF([2]Entry!$M$709="","",[2]Entry!$M$709)</f>
        <v/>
      </c>
      <c r="X706">
        <f>IF([2]Entry!$N$709="","",[2]Entry!$N$709)</f>
        <v/>
      </c>
      <c r="Y706">
        <f>IF([2]Entry!$R$709="","",[2]Entry!$R$709)</f>
        <v/>
      </c>
    </row>
    <row r="707">
      <c r="P707">
        <f>IF([2]Entry!$C$710="","",[2]Entry!$C$710)</f>
        <v/>
      </c>
      <c r="Q707">
        <f>IF([2]Entry!$D$710="","",[2]Entry!$D$710)</f>
        <v/>
      </c>
      <c r="R707">
        <f>IF([2]Entry!$E$710="","",[2]Entry!$E$710)</f>
        <v/>
      </c>
      <c r="S707">
        <f>IF([2]Entry!$G$710="","",[2]Entry!$G$710)</f>
        <v/>
      </c>
      <c r="T707">
        <f>IF([2]Entry!$J$710="","",[2]Entry!$J$710)</f>
        <v/>
      </c>
      <c r="U707">
        <f>IF([2]Entry!$K$710="","",[2]Entry!$K$710)</f>
        <v/>
      </c>
      <c r="V707">
        <f>IF([2]Entry!$L$710="","",[2]Entry!$L$710)</f>
        <v/>
      </c>
      <c r="W707">
        <f>IF([2]Entry!$M$710="","",[2]Entry!$M$710)</f>
        <v/>
      </c>
      <c r="X707">
        <f>IF([2]Entry!$N$710="","",[2]Entry!$N$710)</f>
        <v/>
      </c>
      <c r="Y707">
        <f>IF([2]Entry!$R$710="","",[2]Entry!$R$710)</f>
        <v/>
      </c>
    </row>
    <row r="708">
      <c r="P708">
        <f>IF([2]Entry!$C$711="","",[2]Entry!$C$711)</f>
        <v/>
      </c>
      <c r="Q708">
        <f>IF([2]Entry!$D$711="","",[2]Entry!$D$711)</f>
        <v/>
      </c>
      <c r="R708">
        <f>IF([2]Entry!$E$711="","",[2]Entry!$E$711)</f>
        <v/>
      </c>
      <c r="S708">
        <f>IF([2]Entry!$G$711="","",[2]Entry!$G$711)</f>
        <v/>
      </c>
      <c r="T708">
        <f>IF([2]Entry!$J$711="","",[2]Entry!$J$711)</f>
        <v/>
      </c>
      <c r="U708">
        <f>IF([2]Entry!$K$711="","",[2]Entry!$K$711)</f>
        <v/>
      </c>
      <c r="V708">
        <f>IF([2]Entry!$L$711="","",[2]Entry!$L$711)</f>
        <v/>
      </c>
      <c r="W708">
        <f>IF([2]Entry!$M$711="","",[2]Entry!$M$711)</f>
        <v/>
      </c>
      <c r="X708">
        <f>IF([2]Entry!$N$711="","",[2]Entry!$N$711)</f>
        <v/>
      </c>
      <c r="Y708">
        <f>IF([2]Entry!$R$711="","",[2]Entry!$R$711)</f>
        <v/>
      </c>
    </row>
    <row r="709">
      <c r="P709">
        <f>IF([2]Entry!$C$712="","",[2]Entry!$C$712)</f>
        <v/>
      </c>
      <c r="Q709">
        <f>IF([2]Entry!$D$712="","",[2]Entry!$D$712)</f>
        <v/>
      </c>
      <c r="R709">
        <f>IF([2]Entry!$E$712="","",[2]Entry!$E$712)</f>
        <v/>
      </c>
      <c r="S709">
        <f>IF([2]Entry!$G$712="","",[2]Entry!$G$712)</f>
        <v/>
      </c>
      <c r="T709">
        <f>IF([2]Entry!$J$712="","",[2]Entry!$J$712)</f>
        <v/>
      </c>
      <c r="U709">
        <f>IF([2]Entry!$K$712="","",[2]Entry!$K$712)</f>
        <v/>
      </c>
      <c r="V709">
        <f>IF([2]Entry!$L$712="","",[2]Entry!$L$712)</f>
        <v/>
      </c>
      <c r="W709">
        <f>IF([2]Entry!$M$712="","",[2]Entry!$M$712)</f>
        <v/>
      </c>
      <c r="X709">
        <f>IF([2]Entry!$N$712="","",[2]Entry!$N$712)</f>
        <v/>
      </c>
      <c r="Y709">
        <f>IF([2]Entry!$R$712="","",[2]Entry!$R$712)</f>
        <v/>
      </c>
    </row>
    <row r="710">
      <c r="P710">
        <f>IF([2]Entry!$C$713="","",[2]Entry!$C$713)</f>
        <v/>
      </c>
      <c r="Q710">
        <f>IF([2]Entry!$D$713="","",[2]Entry!$D$713)</f>
        <v/>
      </c>
      <c r="R710">
        <f>IF([2]Entry!$E$713="","",[2]Entry!$E$713)</f>
        <v/>
      </c>
      <c r="S710">
        <f>IF([2]Entry!$G$713="","",[2]Entry!$G$713)</f>
        <v/>
      </c>
      <c r="T710">
        <f>IF([2]Entry!$J$713="","",[2]Entry!$J$713)</f>
        <v/>
      </c>
      <c r="U710">
        <f>IF([2]Entry!$K$713="","",[2]Entry!$K$713)</f>
        <v/>
      </c>
      <c r="V710">
        <f>IF([2]Entry!$L$713="","",[2]Entry!$L$713)</f>
        <v/>
      </c>
      <c r="W710">
        <f>IF([2]Entry!$M$713="","",[2]Entry!$M$713)</f>
        <v/>
      </c>
      <c r="X710">
        <f>IF([2]Entry!$N$713="","",[2]Entry!$N$713)</f>
        <v/>
      </c>
      <c r="Y710">
        <f>IF([2]Entry!$R$713="","",[2]Entry!$R$713)</f>
        <v/>
      </c>
    </row>
    <row r="711">
      <c r="P711">
        <f>IF([2]Entry!$C$714="","",[2]Entry!$C$714)</f>
        <v/>
      </c>
      <c r="Q711">
        <f>IF([2]Entry!$D$714="","",[2]Entry!$D$714)</f>
        <v/>
      </c>
      <c r="R711">
        <f>IF([2]Entry!$E$714="","",[2]Entry!$E$714)</f>
        <v/>
      </c>
      <c r="S711">
        <f>IF([2]Entry!$G$714="","",[2]Entry!$G$714)</f>
        <v/>
      </c>
      <c r="T711">
        <f>IF([2]Entry!$J$714="","",[2]Entry!$J$714)</f>
        <v/>
      </c>
      <c r="U711">
        <f>IF([2]Entry!$K$714="","",[2]Entry!$K$714)</f>
        <v/>
      </c>
      <c r="V711">
        <f>IF([2]Entry!$L$714="","",[2]Entry!$L$714)</f>
        <v/>
      </c>
      <c r="W711">
        <f>IF([2]Entry!$M$714="","",[2]Entry!$M$714)</f>
        <v/>
      </c>
      <c r="X711">
        <f>IF([2]Entry!$N$714="","",[2]Entry!$N$714)</f>
        <v/>
      </c>
      <c r="Y711">
        <f>IF([2]Entry!$R$714="","",[2]Entry!$R$714)</f>
        <v/>
      </c>
    </row>
    <row r="712">
      <c r="P712">
        <f>IF([2]Entry!$C$715="","",[2]Entry!$C$715)</f>
        <v/>
      </c>
      <c r="Q712">
        <f>IF([2]Entry!$D$715="","",[2]Entry!$D$715)</f>
        <v/>
      </c>
      <c r="R712">
        <f>IF([2]Entry!$E$715="","",[2]Entry!$E$715)</f>
        <v/>
      </c>
      <c r="S712">
        <f>IF([2]Entry!$G$715="","",[2]Entry!$G$715)</f>
        <v/>
      </c>
      <c r="T712">
        <f>IF([2]Entry!$J$715="","",[2]Entry!$J$715)</f>
        <v/>
      </c>
      <c r="U712">
        <f>IF([2]Entry!$K$715="","",[2]Entry!$K$715)</f>
        <v/>
      </c>
      <c r="V712">
        <f>IF([2]Entry!$L$715="","",[2]Entry!$L$715)</f>
        <v/>
      </c>
      <c r="W712">
        <f>IF([2]Entry!$M$715="","",[2]Entry!$M$715)</f>
        <v/>
      </c>
      <c r="X712">
        <f>IF([2]Entry!$N$715="","",[2]Entry!$N$715)</f>
        <v/>
      </c>
      <c r="Y712">
        <f>IF([2]Entry!$R$715="","",[2]Entry!$R$715)</f>
        <v/>
      </c>
    </row>
    <row r="713">
      <c r="P713">
        <f>IF([2]Entry!$C$716="","",[2]Entry!$C$716)</f>
        <v/>
      </c>
      <c r="Q713">
        <f>IF([2]Entry!$D$716="","",[2]Entry!$D$716)</f>
        <v/>
      </c>
      <c r="R713">
        <f>IF([2]Entry!$E$716="","",[2]Entry!$E$716)</f>
        <v/>
      </c>
      <c r="S713">
        <f>IF([2]Entry!$G$716="","",[2]Entry!$G$716)</f>
        <v/>
      </c>
      <c r="T713">
        <f>IF([2]Entry!$J$716="","",[2]Entry!$J$716)</f>
        <v/>
      </c>
      <c r="U713">
        <f>IF([2]Entry!$K$716="","",[2]Entry!$K$716)</f>
        <v/>
      </c>
      <c r="V713">
        <f>IF([2]Entry!$L$716="","",[2]Entry!$L$716)</f>
        <v/>
      </c>
      <c r="W713">
        <f>IF([2]Entry!$M$716="","",[2]Entry!$M$716)</f>
        <v/>
      </c>
      <c r="X713">
        <f>IF([2]Entry!$N$716="","",[2]Entry!$N$716)</f>
        <v/>
      </c>
      <c r="Y713">
        <f>IF([2]Entry!$R$716="","",[2]Entry!$R$716)</f>
        <v/>
      </c>
    </row>
    <row r="714">
      <c r="P714">
        <f>IF([2]Entry!$C$717="","",[2]Entry!$C$717)</f>
        <v/>
      </c>
      <c r="Q714">
        <f>IF([2]Entry!$D$717="","",[2]Entry!$D$717)</f>
        <v/>
      </c>
      <c r="R714">
        <f>IF([2]Entry!$E$717="","",[2]Entry!$E$717)</f>
        <v/>
      </c>
      <c r="S714">
        <f>IF([2]Entry!$G$717="","",[2]Entry!$G$717)</f>
        <v/>
      </c>
      <c r="T714">
        <f>IF([2]Entry!$J$717="","",[2]Entry!$J$717)</f>
        <v/>
      </c>
      <c r="U714">
        <f>IF([2]Entry!$K$717="","",[2]Entry!$K$717)</f>
        <v/>
      </c>
      <c r="V714">
        <f>IF([2]Entry!$L$717="","",[2]Entry!$L$717)</f>
        <v/>
      </c>
      <c r="W714">
        <f>IF([2]Entry!$M$717="","",[2]Entry!$M$717)</f>
        <v/>
      </c>
      <c r="X714">
        <f>IF([2]Entry!$N$717="","",[2]Entry!$N$717)</f>
        <v/>
      </c>
      <c r="Y714">
        <f>IF([2]Entry!$R$717="","",[2]Entry!$R$717)</f>
        <v/>
      </c>
    </row>
    <row r="715">
      <c r="P715">
        <f>IF([2]Entry!$C$718="","",[2]Entry!$C$718)</f>
        <v/>
      </c>
      <c r="Q715">
        <f>IF([2]Entry!$D$718="","",[2]Entry!$D$718)</f>
        <v/>
      </c>
      <c r="R715">
        <f>IF([2]Entry!$E$718="","",[2]Entry!$E$718)</f>
        <v/>
      </c>
      <c r="S715">
        <f>IF([2]Entry!$G$718="","",[2]Entry!$G$718)</f>
        <v/>
      </c>
      <c r="T715">
        <f>IF([2]Entry!$J$718="","",[2]Entry!$J$718)</f>
        <v/>
      </c>
      <c r="U715">
        <f>IF([2]Entry!$K$718="","",[2]Entry!$K$718)</f>
        <v/>
      </c>
      <c r="V715">
        <f>IF([2]Entry!$L$718="","",[2]Entry!$L$718)</f>
        <v/>
      </c>
      <c r="W715">
        <f>IF([2]Entry!$M$718="","",[2]Entry!$M$718)</f>
        <v/>
      </c>
      <c r="X715">
        <f>IF([2]Entry!$N$718="","",[2]Entry!$N$718)</f>
        <v/>
      </c>
      <c r="Y715">
        <f>IF([2]Entry!$R$718="","",[2]Entry!$R$718)</f>
        <v/>
      </c>
    </row>
    <row r="716">
      <c r="P716">
        <f>IF([2]Entry!$C$719="","",[2]Entry!$C$719)</f>
        <v/>
      </c>
      <c r="Q716">
        <f>IF([2]Entry!$D$719="","",[2]Entry!$D$719)</f>
        <v/>
      </c>
      <c r="R716">
        <f>IF([2]Entry!$E$719="","",[2]Entry!$E$719)</f>
        <v/>
      </c>
      <c r="S716">
        <f>IF([2]Entry!$G$719="","",[2]Entry!$G$719)</f>
        <v/>
      </c>
      <c r="T716">
        <f>IF([2]Entry!$J$719="","",[2]Entry!$J$719)</f>
        <v/>
      </c>
      <c r="U716">
        <f>IF([2]Entry!$K$719="","",[2]Entry!$K$719)</f>
        <v/>
      </c>
      <c r="V716">
        <f>IF([2]Entry!$L$719="","",[2]Entry!$L$719)</f>
        <v/>
      </c>
      <c r="W716">
        <f>IF([2]Entry!$M$719="","",[2]Entry!$M$719)</f>
        <v/>
      </c>
      <c r="X716">
        <f>IF([2]Entry!$N$719="","",[2]Entry!$N$719)</f>
        <v/>
      </c>
      <c r="Y716">
        <f>IF([2]Entry!$R$719="","",[2]Entry!$R$719)</f>
        <v/>
      </c>
    </row>
    <row r="717">
      <c r="P717">
        <f>IF([2]Entry!$C$720="","",[2]Entry!$C$720)</f>
        <v/>
      </c>
      <c r="Q717">
        <f>IF([2]Entry!$D$720="","",[2]Entry!$D$720)</f>
        <v/>
      </c>
      <c r="R717">
        <f>IF([2]Entry!$E$720="","",[2]Entry!$E$720)</f>
        <v/>
      </c>
      <c r="S717">
        <f>IF([2]Entry!$G$720="","",[2]Entry!$G$720)</f>
        <v/>
      </c>
      <c r="T717">
        <f>IF([2]Entry!$J$720="","",[2]Entry!$J$720)</f>
        <v/>
      </c>
      <c r="U717">
        <f>IF([2]Entry!$K$720="","",[2]Entry!$K$720)</f>
        <v/>
      </c>
      <c r="V717">
        <f>IF([2]Entry!$L$720="","",[2]Entry!$L$720)</f>
        <v/>
      </c>
      <c r="W717">
        <f>IF([2]Entry!$M$720="","",[2]Entry!$M$720)</f>
        <v/>
      </c>
      <c r="X717">
        <f>IF([2]Entry!$N$720="","",[2]Entry!$N$720)</f>
        <v/>
      </c>
      <c r="Y717">
        <f>IF([2]Entry!$R$720="","",[2]Entry!$R$720)</f>
        <v/>
      </c>
    </row>
    <row r="718">
      <c r="P718">
        <f>IF([2]Entry!$C$721="","",[2]Entry!$C$721)</f>
        <v/>
      </c>
      <c r="Q718">
        <f>IF([2]Entry!$D$721="","",[2]Entry!$D$721)</f>
        <v/>
      </c>
      <c r="R718">
        <f>IF([2]Entry!$E$721="","",[2]Entry!$E$721)</f>
        <v/>
      </c>
      <c r="S718">
        <f>IF([2]Entry!$G$721="","",[2]Entry!$G$721)</f>
        <v/>
      </c>
      <c r="T718">
        <f>IF([2]Entry!$J$721="","",[2]Entry!$J$721)</f>
        <v/>
      </c>
      <c r="U718">
        <f>IF([2]Entry!$K$721="","",[2]Entry!$K$721)</f>
        <v/>
      </c>
      <c r="V718">
        <f>IF([2]Entry!$L$721="","",[2]Entry!$L$721)</f>
        <v/>
      </c>
      <c r="W718">
        <f>IF([2]Entry!$M$721="","",[2]Entry!$M$721)</f>
        <v/>
      </c>
      <c r="X718">
        <f>IF([2]Entry!$N$721="","",[2]Entry!$N$721)</f>
        <v/>
      </c>
      <c r="Y718">
        <f>IF([2]Entry!$R$721="","",[2]Entry!$R$721)</f>
        <v/>
      </c>
    </row>
    <row r="719">
      <c r="P719">
        <f>IF([2]Entry!$C$722="","",[2]Entry!$C$722)</f>
        <v/>
      </c>
      <c r="Q719">
        <f>IF([2]Entry!$D$722="","",[2]Entry!$D$722)</f>
        <v/>
      </c>
      <c r="R719">
        <f>IF([2]Entry!$E$722="","",[2]Entry!$E$722)</f>
        <v/>
      </c>
      <c r="S719">
        <f>IF([2]Entry!$G$722="","",[2]Entry!$G$722)</f>
        <v/>
      </c>
      <c r="T719">
        <f>IF([2]Entry!$J$722="","",[2]Entry!$J$722)</f>
        <v/>
      </c>
      <c r="U719">
        <f>IF([2]Entry!$K$722="","",[2]Entry!$K$722)</f>
        <v/>
      </c>
      <c r="V719">
        <f>IF([2]Entry!$L$722="","",[2]Entry!$L$722)</f>
        <v/>
      </c>
      <c r="W719">
        <f>IF([2]Entry!$M$722="","",[2]Entry!$M$722)</f>
        <v/>
      </c>
      <c r="X719">
        <f>IF([2]Entry!$N$722="","",[2]Entry!$N$722)</f>
        <v/>
      </c>
      <c r="Y719">
        <f>IF([2]Entry!$R$722="","",[2]Entry!$R$722)</f>
        <v/>
      </c>
    </row>
    <row r="720">
      <c r="P720">
        <f>IF([2]Entry!$C$723="","",[2]Entry!$C$723)</f>
        <v/>
      </c>
      <c r="Q720">
        <f>IF([2]Entry!$D$723="","",[2]Entry!$D$723)</f>
        <v/>
      </c>
      <c r="R720">
        <f>IF([2]Entry!$E$723="","",[2]Entry!$E$723)</f>
        <v/>
      </c>
      <c r="S720">
        <f>IF([2]Entry!$G$723="","",[2]Entry!$G$723)</f>
        <v/>
      </c>
      <c r="T720">
        <f>IF([2]Entry!$J$723="","",[2]Entry!$J$723)</f>
        <v/>
      </c>
      <c r="U720">
        <f>IF([2]Entry!$K$723="","",[2]Entry!$K$723)</f>
        <v/>
      </c>
      <c r="V720">
        <f>IF([2]Entry!$L$723="","",[2]Entry!$L$723)</f>
        <v/>
      </c>
      <c r="W720">
        <f>IF([2]Entry!$M$723="","",[2]Entry!$M$723)</f>
        <v/>
      </c>
      <c r="X720">
        <f>IF([2]Entry!$N$723="","",[2]Entry!$N$723)</f>
        <v/>
      </c>
      <c r="Y720">
        <f>IF([2]Entry!$R$723="","",[2]Entry!$R$723)</f>
        <v/>
      </c>
    </row>
    <row r="721">
      <c r="P721">
        <f>IF([2]Entry!$C$724="","",[2]Entry!$C$724)</f>
        <v/>
      </c>
      <c r="Q721">
        <f>IF([2]Entry!$D$724="","",[2]Entry!$D$724)</f>
        <v/>
      </c>
      <c r="R721">
        <f>IF([2]Entry!$E$724="","",[2]Entry!$E$724)</f>
        <v/>
      </c>
      <c r="S721">
        <f>IF([2]Entry!$G$724="","",[2]Entry!$G$724)</f>
        <v/>
      </c>
      <c r="T721">
        <f>IF([2]Entry!$J$724="","",[2]Entry!$J$724)</f>
        <v/>
      </c>
      <c r="U721">
        <f>IF([2]Entry!$K$724="","",[2]Entry!$K$724)</f>
        <v/>
      </c>
      <c r="V721">
        <f>IF([2]Entry!$L$724="","",[2]Entry!$L$724)</f>
        <v/>
      </c>
      <c r="W721">
        <f>IF([2]Entry!$M$724="","",[2]Entry!$M$724)</f>
        <v/>
      </c>
      <c r="X721">
        <f>IF([2]Entry!$N$724="","",[2]Entry!$N$724)</f>
        <v/>
      </c>
      <c r="Y721">
        <f>IF([2]Entry!$R$724="","",[2]Entry!$R$724)</f>
        <v/>
      </c>
    </row>
    <row r="722">
      <c r="P722">
        <f>IF([2]Entry!$C$725="","",[2]Entry!$C$725)</f>
        <v/>
      </c>
      <c r="Q722">
        <f>IF([2]Entry!$D$725="","",[2]Entry!$D$725)</f>
        <v/>
      </c>
      <c r="R722">
        <f>IF([2]Entry!$E$725="","",[2]Entry!$E$725)</f>
        <v/>
      </c>
      <c r="S722">
        <f>IF([2]Entry!$G$725="","",[2]Entry!$G$725)</f>
        <v/>
      </c>
      <c r="T722">
        <f>IF([2]Entry!$J$725="","",[2]Entry!$J$725)</f>
        <v/>
      </c>
      <c r="U722">
        <f>IF([2]Entry!$K$725="","",[2]Entry!$K$725)</f>
        <v/>
      </c>
      <c r="V722">
        <f>IF([2]Entry!$L$725="","",[2]Entry!$L$725)</f>
        <v/>
      </c>
      <c r="W722">
        <f>IF([2]Entry!$M$725="","",[2]Entry!$M$725)</f>
        <v/>
      </c>
      <c r="X722">
        <f>IF([2]Entry!$N$725="","",[2]Entry!$N$725)</f>
        <v/>
      </c>
      <c r="Y722">
        <f>IF([2]Entry!$R$725="","",[2]Entry!$R$725)</f>
        <v/>
      </c>
    </row>
    <row r="723">
      <c r="P723">
        <f>IF([2]Entry!$C$726="","",[2]Entry!$C$726)</f>
        <v/>
      </c>
      <c r="Q723">
        <f>IF([2]Entry!$D$726="","",[2]Entry!$D$726)</f>
        <v/>
      </c>
      <c r="R723">
        <f>IF([2]Entry!$E$726="","",[2]Entry!$E$726)</f>
        <v/>
      </c>
      <c r="S723">
        <f>IF([2]Entry!$G$726="","",[2]Entry!$G$726)</f>
        <v/>
      </c>
      <c r="T723">
        <f>IF([2]Entry!$J$726="","",[2]Entry!$J$726)</f>
        <v/>
      </c>
      <c r="U723">
        <f>IF([2]Entry!$K$726="","",[2]Entry!$K$726)</f>
        <v/>
      </c>
      <c r="V723">
        <f>IF([2]Entry!$L$726="","",[2]Entry!$L$726)</f>
        <v/>
      </c>
      <c r="W723">
        <f>IF([2]Entry!$M$726="","",[2]Entry!$M$726)</f>
        <v/>
      </c>
      <c r="X723">
        <f>IF([2]Entry!$N$726="","",[2]Entry!$N$726)</f>
        <v/>
      </c>
      <c r="Y723">
        <f>IF([2]Entry!$R$726="","",[2]Entry!$R$726)</f>
        <v/>
      </c>
    </row>
    <row r="724">
      <c r="P724">
        <f>IF([2]Entry!$C$727="","",[2]Entry!$C$727)</f>
        <v/>
      </c>
      <c r="Q724">
        <f>IF([2]Entry!$D$727="","",[2]Entry!$D$727)</f>
        <v/>
      </c>
      <c r="R724">
        <f>IF([2]Entry!$E$727="","",[2]Entry!$E$727)</f>
        <v/>
      </c>
      <c r="S724">
        <f>IF([2]Entry!$G$727="","",[2]Entry!$G$727)</f>
        <v/>
      </c>
      <c r="T724">
        <f>IF([2]Entry!$J$727="","",[2]Entry!$J$727)</f>
        <v/>
      </c>
      <c r="U724">
        <f>IF([2]Entry!$K$727="","",[2]Entry!$K$727)</f>
        <v/>
      </c>
      <c r="V724">
        <f>IF([2]Entry!$L$727="","",[2]Entry!$L$727)</f>
        <v/>
      </c>
      <c r="W724">
        <f>IF([2]Entry!$M$727="","",[2]Entry!$M$727)</f>
        <v/>
      </c>
      <c r="X724">
        <f>IF([2]Entry!$N$727="","",[2]Entry!$N$727)</f>
        <v/>
      </c>
      <c r="Y724">
        <f>IF([2]Entry!$R$727="","",[2]Entry!$R$727)</f>
        <v/>
      </c>
    </row>
    <row r="725">
      <c r="P725">
        <f>IF([2]Entry!$C$728="","",[2]Entry!$C$728)</f>
        <v/>
      </c>
      <c r="Q725">
        <f>IF([2]Entry!$D$728="","",[2]Entry!$D$728)</f>
        <v/>
      </c>
      <c r="R725">
        <f>IF([2]Entry!$E$728="","",[2]Entry!$E$728)</f>
        <v/>
      </c>
      <c r="S725">
        <f>IF([2]Entry!$G$728="","",[2]Entry!$G$728)</f>
        <v/>
      </c>
      <c r="T725">
        <f>IF([2]Entry!$J$728="","",[2]Entry!$J$728)</f>
        <v/>
      </c>
      <c r="U725">
        <f>IF([2]Entry!$K$728="","",[2]Entry!$K$728)</f>
        <v/>
      </c>
      <c r="V725">
        <f>IF([2]Entry!$L$728="","",[2]Entry!$L$728)</f>
        <v/>
      </c>
      <c r="W725">
        <f>IF([2]Entry!$M$728="","",[2]Entry!$M$728)</f>
        <v/>
      </c>
      <c r="X725">
        <f>IF([2]Entry!$N$728="","",[2]Entry!$N$728)</f>
        <v/>
      </c>
      <c r="Y725">
        <f>IF([2]Entry!$R$728="","",[2]Entry!$R$728)</f>
        <v/>
      </c>
    </row>
    <row r="726">
      <c r="P726">
        <f>IF([2]Entry!$C$729="","",[2]Entry!$C$729)</f>
        <v/>
      </c>
      <c r="Q726">
        <f>IF([2]Entry!$D$729="","",[2]Entry!$D$729)</f>
        <v/>
      </c>
      <c r="R726">
        <f>IF([2]Entry!$E$729="","",[2]Entry!$E$729)</f>
        <v/>
      </c>
      <c r="S726">
        <f>IF([2]Entry!$G$729="","",[2]Entry!$G$729)</f>
        <v/>
      </c>
      <c r="T726">
        <f>IF([2]Entry!$J$729="","",[2]Entry!$J$729)</f>
        <v/>
      </c>
      <c r="U726">
        <f>IF([2]Entry!$K$729="","",[2]Entry!$K$729)</f>
        <v/>
      </c>
      <c r="V726">
        <f>IF([2]Entry!$L$729="","",[2]Entry!$L$729)</f>
        <v/>
      </c>
      <c r="W726">
        <f>IF([2]Entry!$M$729="","",[2]Entry!$M$729)</f>
        <v/>
      </c>
      <c r="X726">
        <f>IF([2]Entry!$N$729="","",[2]Entry!$N$729)</f>
        <v/>
      </c>
      <c r="Y726">
        <f>IF([2]Entry!$R$729="","",[2]Entry!$R$729)</f>
        <v/>
      </c>
    </row>
    <row r="727">
      <c r="P727">
        <f>IF([2]Entry!$C$730="","",[2]Entry!$C$730)</f>
        <v/>
      </c>
      <c r="Q727">
        <f>IF([2]Entry!$D$730="","",[2]Entry!$D$730)</f>
        <v/>
      </c>
      <c r="R727">
        <f>IF([2]Entry!$E$730="","",[2]Entry!$E$730)</f>
        <v/>
      </c>
      <c r="S727">
        <f>IF([2]Entry!$G$730="","",[2]Entry!$G$730)</f>
        <v/>
      </c>
      <c r="T727">
        <f>IF([2]Entry!$J$730="","",[2]Entry!$J$730)</f>
        <v/>
      </c>
      <c r="U727">
        <f>IF([2]Entry!$K$730="","",[2]Entry!$K$730)</f>
        <v/>
      </c>
      <c r="V727">
        <f>IF([2]Entry!$L$730="","",[2]Entry!$L$730)</f>
        <v/>
      </c>
      <c r="W727">
        <f>IF([2]Entry!$M$730="","",[2]Entry!$M$730)</f>
        <v/>
      </c>
      <c r="X727">
        <f>IF([2]Entry!$N$730="","",[2]Entry!$N$730)</f>
        <v/>
      </c>
      <c r="Y727">
        <f>IF([2]Entry!$R$730="","",[2]Entry!$R$730)</f>
        <v/>
      </c>
    </row>
    <row r="728">
      <c r="P728">
        <f>IF([2]Entry!$C$731="","",[2]Entry!$C$731)</f>
        <v/>
      </c>
      <c r="Q728">
        <f>IF([2]Entry!$D$731="","",[2]Entry!$D$731)</f>
        <v/>
      </c>
      <c r="R728">
        <f>IF([2]Entry!$E$731="","",[2]Entry!$E$731)</f>
        <v/>
      </c>
      <c r="S728">
        <f>IF([2]Entry!$G$731="","",[2]Entry!$G$731)</f>
        <v/>
      </c>
      <c r="T728">
        <f>IF([2]Entry!$J$731="","",[2]Entry!$J$731)</f>
        <v/>
      </c>
      <c r="U728">
        <f>IF([2]Entry!$K$731="","",[2]Entry!$K$731)</f>
        <v/>
      </c>
      <c r="V728">
        <f>IF([2]Entry!$L$731="","",[2]Entry!$L$731)</f>
        <v/>
      </c>
      <c r="W728">
        <f>IF([2]Entry!$M$731="","",[2]Entry!$M$731)</f>
        <v/>
      </c>
      <c r="X728">
        <f>IF([2]Entry!$N$731="","",[2]Entry!$N$731)</f>
        <v/>
      </c>
      <c r="Y728">
        <f>IF([2]Entry!$R$731="","",[2]Entry!$R$731)</f>
        <v/>
      </c>
    </row>
    <row r="729">
      <c r="P729">
        <f>IF([2]Entry!$C$732="","",[2]Entry!$C$732)</f>
        <v/>
      </c>
      <c r="Q729">
        <f>IF([2]Entry!$D$732="","",[2]Entry!$D$732)</f>
        <v/>
      </c>
      <c r="R729">
        <f>IF([2]Entry!$E$732="","",[2]Entry!$E$732)</f>
        <v/>
      </c>
      <c r="S729">
        <f>IF([2]Entry!$G$732="","",[2]Entry!$G$732)</f>
        <v/>
      </c>
      <c r="T729">
        <f>IF([2]Entry!$J$732="","",[2]Entry!$J$732)</f>
        <v/>
      </c>
      <c r="U729">
        <f>IF([2]Entry!$K$732="","",[2]Entry!$K$732)</f>
        <v/>
      </c>
      <c r="V729">
        <f>IF([2]Entry!$L$732="","",[2]Entry!$L$732)</f>
        <v/>
      </c>
      <c r="W729">
        <f>IF([2]Entry!$M$732="","",[2]Entry!$M$732)</f>
        <v/>
      </c>
      <c r="X729">
        <f>IF([2]Entry!$N$732="","",[2]Entry!$N$732)</f>
        <v/>
      </c>
      <c r="Y729">
        <f>IF([2]Entry!$R$732="","",[2]Entry!$R$732)</f>
        <v/>
      </c>
    </row>
    <row r="730">
      <c r="P730">
        <f>IF([2]Entry!$C$733="","",[2]Entry!$C$733)</f>
        <v/>
      </c>
      <c r="Q730">
        <f>IF([2]Entry!$D$733="","",[2]Entry!$D$733)</f>
        <v/>
      </c>
      <c r="R730">
        <f>IF([2]Entry!$E$733="","",[2]Entry!$E$733)</f>
        <v/>
      </c>
      <c r="S730">
        <f>IF([2]Entry!$G$733="","",[2]Entry!$G$733)</f>
        <v/>
      </c>
      <c r="T730">
        <f>IF([2]Entry!$J$733="","",[2]Entry!$J$733)</f>
        <v/>
      </c>
      <c r="U730">
        <f>IF([2]Entry!$K$733="","",[2]Entry!$K$733)</f>
        <v/>
      </c>
      <c r="V730">
        <f>IF([2]Entry!$L$733="","",[2]Entry!$L$733)</f>
        <v/>
      </c>
      <c r="W730">
        <f>IF([2]Entry!$M$733="","",[2]Entry!$M$733)</f>
        <v/>
      </c>
      <c r="X730">
        <f>IF([2]Entry!$N$733="","",[2]Entry!$N$733)</f>
        <v/>
      </c>
      <c r="Y730">
        <f>IF([2]Entry!$R$733="","",[2]Entry!$R$733)</f>
        <v/>
      </c>
    </row>
    <row r="731">
      <c r="P731">
        <f>IF([2]Entry!$C$734="","",[2]Entry!$C$734)</f>
        <v/>
      </c>
      <c r="Q731">
        <f>IF([2]Entry!$D$734="","",[2]Entry!$D$734)</f>
        <v/>
      </c>
      <c r="R731">
        <f>IF([2]Entry!$E$734="","",[2]Entry!$E$734)</f>
        <v/>
      </c>
      <c r="S731">
        <f>IF([2]Entry!$G$734="","",[2]Entry!$G$734)</f>
        <v/>
      </c>
      <c r="T731">
        <f>IF([2]Entry!$J$734="","",[2]Entry!$J$734)</f>
        <v/>
      </c>
      <c r="U731">
        <f>IF([2]Entry!$K$734="","",[2]Entry!$K$734)</f>
        <v/>
      </c>
      <c r="V731">
        <f>IF([2]Entry!$L$734="","",[2]Entry!$L$734)</f>
        <v/>
      </c>
      <c r="W731">
        <f>IF([2]Entry!$M$734="","",[2]Entry!$M$734)</f>
        <v/>
      </c>
      <c r="X731">
        <f>IF([2]Entry!$N$734="","",[2]Entry!$N$734)</f>
        <v/>
      </c>
      <c r="Y731">
        <f>IF([2]Entry!$R$734="","",[2]Entry!$R$734)</f>
        <v/>
      </c>
    </row>
    <row r="732">
      <c r="P732">
        <f>IF([2]Entry!$C$735="","",[2]Entry!$C$735)</f>
        <v/>
      </c>
      <c r="Q732">
        <f>IF([2]Entry!$D$735="","",[2]Entry!$D$735)</f>
        <v/>
      </c>
      <c r="R732">
        <f>IF([2]Entry!$E$735="","",[2]Entry!$E$735)</f>
        <v/>
      </c>
      <c r="S732">
        <f>IF([2]Entry!$G$735="","",[2]Entry!$G$735)</f>
        <v/>
      </c>
      <c r="T732">
        <f>IF([2]Entry!$J$735="","",[2]Entry!$J$735)</f>
        <v/>
      </c>
      <c r="U732">
        <f>IF([2]Entry!$K$735="","",[2]Entry!$K$735)</f>
        <v/>
      </c>
      <c r="V732">
        <f>IF([2]Entry!$L$735="","",[2]Entry!$L$735)</f>
        <v/>
      </c>
      <c r="W732">
        <f>IF([2]Entry!$M$735="","",[2]Entry!$M$735)</f>
        <v/>
      </c>
      <c r="X732">
        <f>IF([2]Entry!$N$735="","",[2]Entry!$N$735)</f>
        <v/>
      </c>
      <c r="Y732">
        <f>IF([2]Entry!$R$735="","",[2]Entry!$R$735)</f>
        <v/>
      </c>
    </row>
    <row r="733">
      <c r="P733">
        <f>IF([2]Entry!$C$736="","",[2]Entry!$C$736)</f>
        <v/>
      </c>
      <c r="Q733">
        <f>IF([2]Entry!$D$736="","",[2]Entry!$D$736)</f>
        <v/>
      </c>
      <c r="R733">
        <f>IF([2]Entry!$E$736="","",[2]Entry!$E$736)</f>
        <v/>
      </c>
      <c r="S733">
        <f>IF([2]Entry!$G$736="","",[2]Entry!$G$736)</f>
        <v/>
      </c>
      <c r="T733">
        <f>IF([2]Entry!$J$736="","",[2]Entry!$J$736)</f>
        <v/>
      </c>
      <c r="U733">
        <f>IF([2]Entry!$K$736="","",[2]Entry!$K$736)</f>
        <v/>
      </c>
      <c r="V733">
        <f>IF([2]Entry!$L$736="","",[2]Entry!$L$736)</f>
        <v/>
      </c>
      <c r="W733">
        <f>IF([2]Entry!$M$736="","",[2]Entry!$M$736)</f>
        <v/>
      </c>
      <c r="X733">
        <f>IF([2]Entry!$N$736="","",[2]Entry!$N$736)</f>
        <v/>
      </c>
      <c r="Y733">
        <f>IF([2]Entry!$R$736="","",[2]Entry!$R$736)</f>
        <v/>
      </c>
    </row>
    <row r="734">
      <c r="P734">
        <f>IF([2]Entry!$C$737="","",[2]Entry!$C$737)</f>
        <v/>
      </c>
      <c r="Q734">
        <f>IF([2]Entry!$D$737="","",[2]Entry!$D$737)</f>
        <v/>
      </c>
      <c r="R734">
        <f>IF([2]Entry!$E$737="","",[2]Entry!$E$737)</f>
        <v/>
      </c>
      <c r="S734">
        <f>IF([2]Entry!$G$737="","",[2]Entry!$G$737)</f>
        <v/>
      </c>
      <c r="T734">
        <f>IF([2]Entry!$J$737="","",[2]Entry!$J$737)</f>
        <v/>
      </c>
      <c r="U734">
        <f>IF([2]Entry!$K$737="","",[2]Entry!$K$737)</f>
        <v/>
      </c>
      <c r="V734">
        <f>IF([2]Entry!$L$737="","",[2]Entry!$L$737)</f>
        <v/>
      </c>
      <c r="W734">
        <f>IF([2]Entry!$M$737="","",[2]Entry!$M$737)</f>
        <v/>
      </c>
      <c r="X734">
        <f>IF([2]Entry!$N$737="","",[2]Entry!$N$737)</f>
        <v/>
      </c>
      <c r="Y734">
        <f>IF([2]Entry!$R$737="","",[2]Entry!$R$737)</f>
        <v/>
      </c>
    </row>
    <row r="735">
      <c r="P735">
        <f>IF([2]Entry!$C$738="","",[2]Entry!$C$738)</f>
        <v/>
      </c>
      <c r="Q735">
        <f>IF([2]Entry!$D$738="","",[2]Entry!$D$738)</f>
        <v/>
      </c>
      <c r="R735">
        <f>IF([2]Entry!$E$738="","",[2]Entry!$E$738)</f>
        <v/>
      </c>
      <c r="S735">
        <f>IF([2]Entry!$G$738="","",[2]Entry!$G$738)</f>
        <v/>
      </c>
      <c r="T735">
        <f>IF([2]Entry!$J$738="","",[2]Entry!$J$738)</f>
        <v/>
      </c>
      <c r="U735">
        <f>IF([2]Entry!$K$738="","",[2]Entry!$K$738)</f>
        <v/>
      </c>
      <c r="V735">
        <f>IF([2]Entry!$L$738="","",[2]Entry!$L$738)</f>
        <v/>
      </c>
      <c r="W735">
        <f>IF([2]Entry!$M$738="","",[2]Entry!$M$738)</f>
        <v/>
      </c>
      <c r="X735">
        <f>IF([2]Entry!$N$738="","",[2]Entry!$N$738)</f>
        <v/>
      </c>
      <c r="Y735">
        <f>IF([2]Entry!$R$738="","",[2]Entry!$R$738)</f>
        <v/>
      </c>
    </row>
    <row r="736">
      <c r="P736">
        <f>IF([2]Entry!$C$739="","",[2]Entry!$C$739)</f>
        <v/>
      </c>
      <c r="Q736">
        <f>IF([2]Entry!$D$739="","",[2]Entry!$D$739)</f>
        <v/>
      </c>
      <c r="R736">
        <f>IF([2]Entry!$E$739="","",[2]Entry!$E$739)</f>
        <v/>
      </c>
      <c r="S736">
        <f>IF([2]Entry!$G$739="","",[2]Entry!$G$739)</f>
        <v/>
      </c>
      <c r="T736">
        <f>IF([2]Entry!$J$739="","",[2]Entry!$J$739)</f>
        <v/>
      </c>
      <c r="U736">
        <f>IF([2]Entry!$K$739="","",[2]Entry!$K$739)</f>
        <v/>
      </c>
      <c r="V736">
        <f>IF([2]Entry!$L$739="","",[2]Entry!$L$739)</f>
        <v/>
      </c>
      <c r="W736">
        <f>IF([2]Entry!$M$739="","",[2]Entry!$M$739)</f>
        <v/>
      </c>
      <c r="X736">
        <f>IF([2]Entry!$N$739="","",[2]Entry!$N$739)</f>
        <v/>
      </c>
      <c r="Y736">
        <f>IF([2]Entry!$R$739="","",[2]Entry!$R$739)</f>
        <v/>
      </c>
    </row>
    <row r="737">
      <c r="P737">
        <f>IF([2]Entry!$C$740="","",[2]Entry!$C$740)</f>
        <v/>
      </c>
      <c r="Q737">
        <f>IF([2]Entry!$D$740="","",[2]Entry!$D$740)</f>
        <v/>
      </c>
      <c r="R737">
        <f>IF([2]Entry!$E$740="","",[2]Entry!$E$740)</f>
        <v/>
      </c>
      <c r="S737">
        <f>IF([2]Entry!$G$740="","",[2]Entry!$G$740)</f>
        <v/>
      </c>
      <c r="T737">
        <f>IF([2]Entry!$J$740="","",[2]Entry!$J$740)</f>
        <v/>
      </c>
      <c r="U737">
        <f>IF([2]Entry!$K$740="","",[2]Entry!$K$740)</f>
        <v/>
      </c>
      <c r="V737">
        <f>IF([2]Entry!$L$740="","",[2]Entry!$L$740)</f>
        <v/>
      </c>
      <c r="W737">
        <f>IF([2]Entry!$M$740="","",[2]Entry!$M$740)</f>
        <v/>
      </c>
      <c r="X737">
        <f>IF([2]Entry!$N$740="","",[2]Entry!$N$740)</f>
        <v/>
      </c>
      <c r="Y737">
        <f>IF([2]Entry!$R$740="","",[2]Entry!$R$740)</f>
        <v/>
      </c>
    </row>
    <row r="738">
      <c r="P738">
        <f>IF([2]Entry!$C$741="","",[2]Entry!$C$741)</f>
        <v/>
      </c>
      <c r="Q738">
        <f>IF([2]Entry!$D$741="","",[2]Entry!$D$741)</f>
        <v/>
      </c>
      <c r="R738">
        <f>IF([2]Entry!$E$741="","",[2]Entry!$E$741)</f>
        <v/>
      </c>
      <c r="S738">
        <f>IF([2]Entry!$G$741="","",[2]Entry!$G$741)</f>
        <v/>
      </c>
      <c r="T738">
        <f>IF([2]Entry!$J$741="","",[2]Entry!$J$741)</f>
        <v/>
      </c>
      <c r="U738">
        <f>IF([2]Entry!$K$741="","",[2]Entry!$K$741)</f>
        <v/>
      </c>
      <c r="V738">
        <f>IF([2]Entry!$L$741="","",[2]Entry!$L$741)</f>
        <v/>
      </c>
      <c r="W738">
        <f>IF([2]Entry!$M$741="","",[2]Entry!$M$741)</f>
        <v/>
      </c>
      <c r="X738">
        <f>IF([2]Entry!$N$741="","",[2]Entry!$N$741)</f>
        <v/>
      </c>
      <c r="Y738">
        <f>IF([2]Entry!$R$741="","",[2]Entry!$R$741)</f>
        <v/>
      </c>
    </row>
    <row r="739">
      <c r="P739">
        <f>IF([2]Entry!$C$742="","",[2]Entry!$C$742)</f>
        <v/>
      </c>
      <c r="Q739">
        <f>IF([2]Entry!$D$742="","",[2]Entry!$D$742)</f>
        <v/>
      </c>
      <c r="R739">
        <f>IF([2]Entry!$E$742="","",[2]Entry!$E$742)</f>
        <v/>
      </c>
      <c r="S739">
        <f>IF([2]Entry!$G$742="","",[2]Entry!$G$742)</f>
        <v/>
      </c>
      <c r="T739">
        <f>IF([2]Entry!$J$742="","",[2]Entry!$J$742)</f>
        <v/>
      </c>
      <c r="U739">
        <f>IF([2]Entry!$K$742="","",[2]Entry!$K$742)</f>
        <v/>
      </c>
      <c r="V739">
        <f>IF([2]Entry!$L$742="","",[2]Entry!$L$742)</f>
        <v/>
      </c>
      <c r="W739">
        <f>IF([2]Entry!$M$742="","",[2]Entry!$M$742)</f>
        <v/>
      </c>
      <c r="X739">
        <f>IF([2]Entry!$N$742="","",[2]Entry!$N$742)</f>
        <v/>
      </c>
      <c r="Y739">
        <f>IF([2]Entry!$R$742="","",[2]Entry!$R$742)</f>
        <v/>
      </c>
    </row>
    <row r="740">
      <c r="P740">
        <f>IF([2]Entry!$C$743="","",[2]Entry!$C$743)</f>
        <v/>
      </c>
      <c r="Q740">
        <f>IF([2]Entry!$D$743="","",[2]Entry!$D$743)</f>
        <v/>
      </c>
      <c r="R740">
        <f>IF([2]Entry!$E$743="","",[2]Entry!$E$743)</f>
        <v/>
      </c>
      <c r="S740">
        <f>IF([2]Entry!$G$743="","",[2]Entry!$G$743)</f>
        <v/>
      </c>
      <c r="T740">
        <f>IF([2]Entry!$J$743="","",[2]Entry!$J$743)</f>
        <v/>
      </c>
      <c r="U740">
        <f>IF([2]Entry!$K$743="","",[2]Entry!$K$743)</f>
        <v/>
      </c>
      <c r="V740">
        <f>IF([2]Entry!$L$743="","",[2]Entry!$L$743)</f>
        <v/>
      </c>
      <c r="W740">
        <f>IF([2]Entry!$M$743="","",[2]Entry!$M$743)</f>
        <v/>
      </c>
      <c r="X740">
        <f>IF([2]Entry!$N$743="","",[2]Entry!$N$743)</f>
        <v/>
      </c>
      <c r="Y740">
        <f>IF([2]Entry!$R$743="","",[2]Entry!$R$743)</f>
        <v/>
      </c>
    </row>
    <row r="741">
      <c r="P741">
        <f>IF([2]Entry!$C$744="","",[2]Entry!$C$744)</f>
        <v/>
      </c>
      <c r="Q741">
        <f>IF([2]Entry!$D$744="","",[2]Entry!$D$744)</f>
        <v/>
      </c>
      <c r="R741">
        <f>IF([2]Entry!$E$744="","",[2]Entry!$E$744)</f>
        <v/>
      </c>
      <c r="S741">
        <f>IF([2]Entry!$G$744="","",[2]Entry!$G$744)</f>
        <v/>
      </c>
      <c r="T741">
        <f>IF([2]Entry!$J$744="","",[2]Entry!$J$744)</f>
        <v/>
      </c>
      <c r="U741">
        <f>IF([2]Entry!$K$744="","",[2]Entry!$K$744)</f>
        <v/>
      </c>
      <c r="V741">
        <f>IF([2]Entry!$L$744="","",[2]Entry!$L$744)</f>
        <v/>
      </c>
      <c r="W741">
        <f>IF([2]Entry!$M$744="","",[2]Entry!$M$744)</f>
        <v/>
      </c>
      <c r="X741">
        <f>IF([2]Entry!$N$744="","",[2]Entry!$N$744)</f>
        <v/>
      </c>
      <c r="Y741">
        <f>IF([2]Entry!$R$744="","",[2]Entry!$R$744)</f>
        <v/>
      </c>
    </row>
    <row r="742">
      <c r="P742">
        <f>IF([2]Entry!$C$745="","",[2]Entry!$C$745)</f>
        <v/>
      </c>
      <c r="Q742">
        <f>IF([2]Entry!$D$745="","",[2]Entry!$D$745)</f>
        <v/>
      </c>
      <c r="R742">
        <f>IF([2]Entry!$E$745="","",[2]Entry!$E$745)</f>
        <v/>
      </c>
      <c r="S742">
        <f>IF([2]Entry!$G$745="","",[2]Entry!$G$745)</f>
        <v/>
      </c>
      <c r="T742">
        <f>IF([2]Entry!$J$745="","",[2]Entry!$J$745)</f>
        <v/>
      </c>
      <c r="U742">
        <f>IF([2]Entry!$K$745="","",[2]Entry!$K$745)</f>
        <v/>
      </c>
      <c r="V742">
        <f>IF([2]Entry!$L$745="","",[2]Entry!$L$745)</f>
        <v/>
      </c>
      <c r="W742">
        <f>IF([2]Entry!$M$745="","",[2]Entry!$M$745)</f>
        <v/>
      </c>
      <c r="X742">
        <f>IF([2]Entry!$N$745="","",[2]Entry!$N$745)</f>
        <v/>
      </c>
      <c r="Y742">
        <f>IF([2]Entry!$R$745="","",[2]Entry!$R$745)</f>
        <v/>
      </c>
    </row>
    <row r="743">
      <c r="P743">
        <f>IF([2]Entry!$C$746="","",[2]Entry!$C$746)</f>
        <v/>
      </c>
      <c r="Q743">
        <f>IF([2]Entry!$D$746="","",[2]Entry!$D$746)</f>
        <v/>
      </c>
      <c r="R743">
        <f>IF([2]Entry!$E$746="","",[2]Entry!$E$746)</f>
        <v/>
      </c>
      <c r="S743">
        <f>IF([2]Entry!$G$746="","",[2]Entry!$G$746)</f>
        <v/>
      </c>
      <c r="T743">
        <f>IF([2]Entry!$J$746="","",[2]Entry!$J$746)</f>
        <v/>
      </c>
      <c r="U743">
        <f>IF([2]Entry!$K$746="","",[2]Entry!$K$746)</f>
        <v/>
      </c>
      <c r="V743">
        <f>IF([2]Entry!$L$746="","",[2]Entry!$L$746)</f>
        <v/>
      </c>
      <c r="W743">
        <f>IF([2]Entry!$M$746="","",[2]Entry!$M$746)</f>
        <v/>
      </c>
      <c r="X743">
        <f>IF([2]Entry!$N$746="","",[2]Entry!$N$746)</f>
        <v/>
      </c>
      <c r="Y743">
        <f>IF([2]Entry!$R$746="","",[2]Entry!$R$746)</f>
        <v/>
      </c>
    </row>
    <row r="744">
      <c r="P744">
        <f>IF([2]Entry!$C$747="","",[2]Entry!$C$747)</f>
        <v/>
      </c>
      <c r="Q744">
        <f>IF([2]Entry!$D$747="","",[2]Entry!$D$747)</f>
        <v/>
      </c>
      <c r="R744">
        <f>IF([2]Entry!$E$747="","",[2]Entry!$E$747)</f>
        <v/>
      </c>
      <c r="S744">
        <f>IF([2]Entry!$G$747="","",[2]Entry!$G$747)</f>
        <v/>
      </c>
      <c r="T744">
        <f>IF([2]Entry!$J$747="","",[2]Entry!$J$747)</f>
        <v/>
      </c>
      <c r="U744">
        <f>IF([2]Entry!$K$747="","",[2]Entry!$K$747)</f>
        <v/>
      </c>
      <c r="V744">
        <f>IF([2]Entry!$L$747="","",[2]Entry!$L$747)</f>
        <v/>
      </c>
      <c r="W744">
        <f>IF([2]Entry!$M$747="","",[2]Entry!$M$747)</f>
        <v/>
      </c>
      <c r="X744">
        <f>IF([2]Entry!$N$747="","",[2]Entry!$N$747)</f>
        <v/>
      </c>
      <c r="Y744">
        <f>IF([2]Entry!$R$747="","",[2]Entry!$R$747)</f>
        <v/>
      </c>
    </row>
    <row r="745">
      <c r="P745">
        <f>IF([2]Entry!$C$748="","",[2]Entry!$C$748)</f>
        <v/>
      </c>
      <c r="Q745">
        <f>IF([2]Entry!$D$748="","",[2]Entry!$D$748)</f>
        <v/>
      </c>
      <c r="R745">
        <f>IF([2]Entry!$E$748="","",[2]Entry!$E$748)</f>
        <v/>
      </c>
      <c r="S745">
        <f>IF([2]Entry!$G$748="","",[2]Entry!$G$748)</f>
        <v/>
      </c>
      <c r="T745">
        <f>IF([2]Entry!$J$748="","",[2]Entry!$J$748)</f>
        <v/>
      </c>
      <c r="U745">
        <f>IF([2]Entry!$K$748="","",[2]Entry!$K$748)</f>
        <v/>
      </c>
      <c r="V745">
        <f>IF([2]Entry!$L$748="","",[2]Entry!$L$748)</f>
        <v/>
      </c>
      <c r="W745">
        <f>IF([2]Entry!$M$748="","",[2]Entry!$M$748)</f>
        <v/>
      </c>
      <c r="X745">
        <f>IF([2]Entry!$N$748="","",[2]Entry!$N$748)</f>
        <v/>
      </c>
      <c r="Y745">
        <f>IF([2]Entry!$R$748="","",[2]Entry!$R$748)</f>
        <v/>
      </c>
    </row>
    <row r="746">
      <c r="P746">
        <f>IF([2]Entry!$C$749="","",[2]Entry!$C$749)</f>
        <v/>
      </c>
      <c r="Q746">
        <f>IF([2]Entry!$D$749="","",[2]Entry!$D$749)</f>
        <v/>
      </c>
      <c r="R746">
        <f>IF([2]Entry!$E$749="","",[2]Entry!$E$749)</f>
        <v/>
      </c>
      <c r="S746">
        <f>IF([2]Entry!$G$749="","",[2]Entry!$G$749)</f>
        <v/>
      </c>
      <c r="T746">
        <f>IF([2]Entry!$J$749="","",[2]Entry!$J$749)</f>
        <v/>
      </c>
      <c r="U746">
        <f>IF([2]Entry!$K$749="","",[2]Entry!$K$749)</f>
        <v/>
      </c>
      <c r="V746">
        <f>IF([2]Entry!$L$749="","",[2]Entry!$L$749)</f>
        <v/>
      </c>
      <c r="W746">
        <f>IF([2]Entry!$M$749="","",[2]Entry!$M$749)</f>
        <v/>
      </c>
      <c r="X746">
        <f>IF([2]Entry!$N$749="","",[2]Entry!$N$749)</f>
        <v/>
      </c>
      <c r="Y746">
        <f>IF([2]Entry!$R$749="","",[2]Entry!$R$749)</f>
        <v/>
      </c>
    </row>
    <row r="747">
      <c r="P747">
        <f>IF([2]Entry!$C$750="","",[2]Entry!$C$750)</f>
        <v/>
      </c>
      <c r="Q747">
        <f>IF([2]Entry!$D$750="","",[2]Entry!$D$750)</f>
        <v/>
      </c>
      <c r="R747">
        <f>IF([2]Entry!$E$750="","",[2]Entry!$E$750)</f>
        <v/>
      </c>
      <c r="S747">
        <f>IF([2]Entry!$G$750="","",[2]Entry!$G$750)</f>
        <v/>
      </c>
      <c r="T747">
        <f>IF([2]Entry!$J$750="","",[2]Entry!$J$750)</f>
        <v/>
      </c>
      <c r="U747">
        <f>IF([2]Entry!$K$750="","",[2]Entry!$K$750)</f>
        <v/>
      </c>
      <c r="V747">
        <f>IF([2]Entry!$L$750="","",[2]Entry!$L$750)</f>
        <v/>
      </c>
      <c r="W747">
        <f>IF([2]Entry!$M$750="","",[2]Entry!$M$750)</f>
        <v/>
      </c>
      <c r="X747">
        <f>IF([2]Entry!$N$750="","",[2]Entry!$N$750)</f>
        <v/>
      </c>
      <c r="Y747">
        <f>IF([2]Entry!$R$750="","",[2]Entry!$R$750)</f>
        <v/>
      </c>
    </row>
    <row r="748">
      <c r="P748">
        <f>IF([2]Entry!$C$751="","",[2]Entry!$C$751)</f>
        <v/>
      </c>
      <c r="Q748">
        <f>IF([2]Entry!$D$751="","",[2]Entry!$D$751)</f>
        <v/>
      </c>
      <c r="R748">
        <f>IF([2]Entry!$E$751="","",[2]Entry!$E$751)</f>
        <v/>
      </c>
      <c r="S748">
        <f>IF([2]Entry!$G$751="","",[2]Entry!$G$751)</f>
        <v/>
      </c>
      <c r="T748">
        <f>IF([2]Entry!$J$751="","",[2]Entry!$J$751)</f>
        <v/>
      </c>
      <c r="U748">
        <f>IF([2]Entry!$K$751="","",[2]Entry!$K$751)</f>
        <v/>
      </c>
      <c r="V748">
        <f>IF([2]Entry!$L$751="","",[2]Entry!$L$751)</f>
        <v/>
      </c>
      <c r="W748">
        <f>IF([2]Entry!$M$751="","",[2]Entry!$M$751)</f>
        <v/>
      </c>
      <c r="X748">
        <f>IF([2]Entry!$N$751="","",[2]Entry!$N$751)</f>
        <v/>
      </c>
      <c r="Y748">
        <f>IF([2]Entry!$R$751="","",[2]Entry!$R$751)</f>
        <v/>
      </c>
    </row>
    <row r="749">
      <c r="P749">
        <f>IF([2]Entry!$C$752="","",[2]Entry!$C$752)</f>
        <v/>
      </c>
      <c r="Q749">
        <f>IF([2]Entry!$D$752="","",[2]Entry!$D$752)</f>
        <v/>
      </c>
      <c r="R749">
        <f>IF([2]Entry!$E$752="","",[2]Entry!$E$752)</f>
        <v/>
      </c>
      <c r="S749">
        <f>IF([2]Entry!$G$752="","",[2]Entry!$G$752)</f>
        <v/>
      </c>
      <c r="T749">
        <f>IF([2]Entry!$J$752="","",[2]Entry!$J$752)</f>
        <v/>
      </c>
      <c r="U749">
        <f>IF([2]Entry!$K$752="","",[2]Entry!$K$752)</f>
        <v/>
      </c>
      <c r="V749">
        <f>IF([2]Entry!$L$752="","",[2]Entry!$L$752)</f>
        <v/>
      </c>
      <c r="W749">
        <f>IF([2]Entry!$M$752="","",[2]Entry!$M$752)</f>
        <v/>
      </c>
      <c r="X749">
        <f>IF([2]Entry!$N$752="","",[2]Entry!$N$752)</f>
        <v/>
      </c>
      <c r="Y749">
        <f>IF([2]Entry!$R$752="","",[2]Entry!$R$752)</f>
        <v/>
      </c>
    </row>
    <row r="750">
      <c r="P750">
        <f>IF([2]Entry!$C$753="","",[2]Entry!$C$753)</f>
        <v/>
      </c>
      <c r="Q750">
        <f>IF([2]Entry!$D$753="","",[2]Entry!$D$753)</f>
        <v/>
      </c>
      <c r="R750">
        <f>IF([2]Entry!$E$753="","",[2]Entry!$E$753)</f>
        <v/>
      </c>
      <c r="S750">
        <f>IF([2]Entry!$G$753="","",[2]Entry!$G$753)</f>
        <v/>
      </c>
      <c r="T750">
        <f>IF([2]Entry!$J$753="","",[2]Entry!$J$753)</f>
        <v/>
      </c>
      <c r="U750">
        <f>IF([2]Entry!$K$753="","",[2]Entry!$K$753)</f>
        <v/>
      </c>
      <c r="V750">
        <f>IF([2]Entry!$L$753="","",[2]Entry!$L$753)</f>
        <v/>
      </c>
      <c r="W750">
        <f>IF([2]Entry!$M$753="","",[2]Entry!$M$753)</f>
        <v/>
      </c>
      <c r="X750">
        <f>IF([2]Entry!$N$753="","",[2]Entry!$N$753)</f>
        <v/>
      </c>
      <c r="Y750">
        <f>IF([2]Entry!$R$753="","",[2]Entry!$R$753)</f>
        <v/>
      </c>
    </row>
    <row r="751">
      <c r="P751">
        <f>IF([2]Entry!$C$754="","",[2]Entry!$C$754)</f>
        <v/>
      </c>
      <c r="Q751">
        <f>IF([2]Entry!$D$754="","",[2]Entry!$D$754)</f>
        <v/>
      </c>
      <c r="R751">
        <f>IF([2]Entry!$E$754="","",[2]Entry!$E$754)</f>
        <v/>
      </c>
      <c r="S751">
        <f>IF([2]Entry!$G$754="","",[2]Entry!$G$754)</f>
        <v/>
      </c>
      <c r="T751">
        <f>IF([2]Entry!$J$754="","",[2]Entry!$J$754)</f>
        <v/>
      </c>
      <c r="U751">
        <f>IF([2]Entry!$K$754="","",[2]Entry!$K$754)</f>
        <v/>
      </c>
      <c r="V751">
        <f>IF([2]Entry!$L$754="","",[2]Entry!$L$754)</f>
        <v/>
      </c>
      <c r="W751">
        <f>IF([2]Entry!$M$754="","",[2]Entry!$M$754)</f>
        <v/>
      </c>
      <c r="X751">
        <f>IF([2]Entry!$N$754="","",[2]Entry!$N$754)</f>
        <v/>
      </c>
      <c r="Y751">
        <f>IF([2]Entry!$R$754="","",[2]Entry!$R$754)</f>
        <v/>
      </c>
    </row>
    <row r="752">
      <c r="P752">
        <f>IF([2]Entry!$C$755="","",[2]Entry!$C$755)</f>
        <v/>
      </c>
      <c r="Q752">
        <f>IF([2]Entry!$D$755="","",[2]Entry!$D$755)</f>
        <v/>
      </c>
      <c r="R752">
        <f>IF([2]Entry!$E$755="","",[2]Entry!$E$755)</f>
        <v/>
      </c>
      <c r="S752">
        <f>IF([2]Entry!$G$755="","",[2]Entry!$G$755)</f>
        <v/>
      </c>
      <c r="T752">
        <f>IF([2]Entry!$J$755="","",[2]Entry!$J$755)</f>
        <v/>
      </c>
      <c r="U752">
        <f>IF([2]Entry!$K$755="","",[2]Entry!$K$755)</f>
        <v/>
      </c>
      <c r="V752">
        <f>IF([2]Entry!$L$755="","",[2]Entry!$L$755)</f>
        <v/>
      </c>
      <c r="W752">
        <f>IF([2]Entry!$M$755="","",[2]Entry!$M$755)</f>
        <v/>
      </c>
      <c r="X752">
        <f>IF([2]Entry!$N$755="","",[2]Entry!$N$755)</f>
        <v/>
      </c>
      <c r="Y752">
        <f>IF([2]Entry!$R$755="","",[2]Entry!$R$755)</f>
        <v/>
      </c>
    </row>
    <row r="753">
      <c r="P753">
        <f>IF([2]Entry!$C$756="","",[2]Entry!$C$756)</f>
        <v/>
      </c>
      <c r="Q753">
        <f>IF([2]Entry!$D$756="","",[2]Entry!$D$756)</f>
        <v/>
      </c>
      <c r="R753">
        <f>IF([2]Entry!$E$756="","",[2]Entry!$E$756)</f>
        <v/>
      </c>
      <c r="S753">
        <f>IF([2]Entry!$G$756="","",[2]Entry!$G$756)</f>
        <v/>
      </c>
      <c r="T753">
        <f>IF([2]Entry!$J$756="","",[2]Entry!$J$756)</f>
        <v/>
      </c>
      <c r="U753">
        <f>IF([2]Entry!$K$756="","",[2]Entry!$K$756)</f>
        <v/>
      </c>
      <c r="V753">
        <f>IF([2]Entry!$L$756="","",[2]Entry!$L$756)</f>
        <v/>
      </c>
      <c r="W753">
        <f>IF([2]Entry!$M$756="","",[2]Entry!$M$756)</f>
        <v/>
      </c>
      <c r="X753">
        <f>IF([2]Entry!$N$756="","",[2]Entry!$N$756)</f>
        <v/>
      </c>
      <c r="Y753">
        <f>IF([2]Entry!$R$756="","",[2]Entry!$R$756)</f>
        <v/>
      </c>
    </row>
    <row r="754">
      <c r="P754">
        <f>IF([2]Entry!$C$757="","",[2]Entry!$C$757)</f>
        <v/>
      </c>
      <c r="Q754">
        <f>IF([2]Entry!$D$757="","",[2]Entry!$D$757)</f>
        <v/>
      </c>
      <c r="R754">
        <f>IF([2]Entry!$E$757="","",[2]Entry!$E$757)</f>
        <v/>
      </c>
      <c r="S754">
        <f>IF([2]Entry!$G$757="","",[2]Entry!$G$757)</f>
        <v/>
      </c>
      <c r="T754">
        <f>IF([2]Entry!$J$757="","",[2]Entry!$J$757)</f>
        <v/>
      </c>
      <c r="U754">
        <f>IF([2]Entry!$K$757="","",[2]Entry!$K$757)</f>
        <v/>
      </c>
      <c r="V754">
        <f>IF([2]Entry!$L$757="","",[2]Entry!$L$757)</f>
        <v/>
      </c>
      <c r="W754">
        <f>IF([2]Entry!$M$757="","",[2]Entry!$M$757)</f>
        <v/>
      </c>
      <c r="X754">
        <f>IF([2]Entry!$N$757="","",[2]Entry!$N$757)</f>
        <v/>
      </c>
      <c r="Y754">
        <f>IF([2]Entry!$R$757="","",[2]Entry!$R$757)</f>
        <v/>
      </c>
    </row>
    <row r="755">
      <c r="P755">
        <f>IF([2]Entry!$C$758="","",[2]Entry!$C$758)</f>
        <v/>
      </c>
      <c r="Q755">
        <f>IF([2]Entry!$D$758="","",[2]Entry!$D$758)</f>
        <v/>
      </c>
      <c r="R755">
        <f>IF([2]Entry!$E$758="","",[2]Entry!$E$758)</f>
        <v/>
      </c>
      <c r="S755">
        <f>IF([2]Entry!$G$758="","",[2]Entry!$G$758)</f>
        <v/>
      </c>
      <c r="T755">
        <f>IF([2]Entry!$J$758="","",[2]Entry!$J$758)</f>
        <v/>
      </c>
      <c r="U755">
        <f>IF([2]Entry!$K$758="","",[2]Entry!$K$758)</f>
        <v/>
      </c>
      <c r="V755">
        <f>IF([2]Entry!$L$758="","",[2]Entry!$L$758)</f>
        <v/>
      </c>
      <c r="W755">
        <f>IF([2]Entry!$M$758="","",[2]Entry!$M$758)</f>
        <v/>
      </c>
      <c r="X755">
        <f>IF([2]Entry!$N$758="","",[2]Entry!$N$758)</f>
        <v/>
      </c>
      <c r="Y755">
        <f>IF([2]Entry!$R$758="","",[2]Entry!$R$758)</f>
        <v/>
      </c>
    </row>
    <row r="756">
      <c r="P756">
        <f>IF([2]Entry!$C$759="","",[2]Entry!$C$759)</f>
        <v/>
      </c>
      <c r="Q756">
        <f>IF([2]Entry!$D$759="","",[2]Entry!$D$759)</f>
        <v/>
      </c>
      <c r="R756">
        <f>IF([2]Entry!$E$759="","",[2]Entry!$E$759)</f>
        <v/>
      </c>
      <c r="S756">
        <f>IF([2]Entry!$G$759="","",[2]Entry!$G$759)</f>
        <v/>
      </c>
      <c r="T756">
        <f>IF([2]Entry!$J$759="","",[2]Entry!$J$759)</f>
        <v/>
      </c>
      <c r="U756">
        <f>IF([2]Entry!$K$759="","",[2]Entry!$K$759)</f>
        <v/>
      </c>
      <c r="V756">
        <f>IF([2]Entry!$L$759="","",[2]Entry!$L$759)</f>
        <v/>
      </c>
      <c r="W756">
        <f>IF([2]Entry!$M$759="","",[2]Entry!$M$759)</f>
        <v/>
      </c>
      <c r="X756">
        <f>IF([2]Entry!$N$759="","",[2]Entry!$N$759)</f>
        <v/>
      </c>
      <c r="Y756">
        <f>IF([2]Entry!$R$759="","",[2]Entry!$R$759)</f>
        <v/>
      </c>
    </row>
    <row r="757">
      <c r="P757">
        <f>IF([2]Entry!$C$760="","",[2]Entry!$C$760)</f>
        <v/>
      </c>
      <c r="Q757">
        <f>IF([2]Entry!$D$760="","",[2]Entry!$D$760)</f>
        <v/>
      </c>
      <c r="R757">
        <f>IF([2]Entry!$E$760="","",[2]Entry!$E$760)</f>
        <v/>
      </c>
      <c r="S757">
        <f>IF([2]Entry!$G$760="","",[2]Entry!$G$760)</f>
        <v/>
      </c>
      <c r="T757">
        <f>IF([2]Entry!$J$760="","",[2]Entry!$J$760)</f>
        <v/>
      </c>
      <c r="U757">
        <f>IF([2]Entry!$K$760="","",[2]Entry!$K$760)</f>
        <v/>
      </c>
      <c r="V757">
        <f>IF([2]Entry!$L$760="","",[2]Entry!$L$760)</f>
        <v/>
      </c>
      <c r="W757">
        <f>IF([2]Entry!$M$760="","",[2]Entry!$M$760)</f>
        <v/>
      </c>
      <c r="X757">
        <f>IF([2]Entry!$N$760="","",[2]Entry!$N$760)</f>
        <v/>
      </c>
      <c r="Y757">
        <f>IF([2]Entry!$R$760="","",[2]Entry!$R$760)</f>
        <v/>
      </c>
    </row>
    <row r="758">
      <c r="P758">
        <f>IF([2]Entry!$C$761="","",[2]Entry!$C$761)</f>
        <v/>
      </c>
      <c r="Q758">
        <f>IF([2]Entry!$D$761="","",[2]Entry!$D$761)</f>
        <v/>
      </c>
      <c r="R758">
        <f>IF([2]Entry!$E$761="","",[2]Entry!$E$761)</f>
        <v/>
      </c>
      <c r="S758">
        <f>IF([2]Entry!$G$761="","",[2]Entry!$G$761)</f>
        <v/>
      </c>
      <c r="T758">
        <f>IF([2]Entry!$J$761="","",[2]Entry!$J$761)</f>
        <v/>
      </c>
      <c r="U758">
        <f>IF([2]Entry!$K$761="","",[2]Entry!$K$761)</f>
        <v/>
      </c>
      <c r="V758">
        <f>IF([2]Entry!$L$761="","",[2]Entry!$L$761)</f>
        <v/>
      </c>
      <c r="W758">
        <f>IF([2]Entry!$M$761="","",[2]Entry!$M$761)</f>
        <v/>
      </c>
      <c r="X758">
        <f>IF([2]Entry!$N$761="","",[2]Entry!$N$761)</f>
        <v/>
      </c>
      <c r="Y758">
        <f>IF([2]Entry!$R$761="","",[2]Entry!$R$761)</f>
        <v/>
      </c>
    </row>
    <row r="759">
      <c r="P759">
        <f>IF([2]Entry!$C$762="","",[2]Entry!$C$762)</f>
        <v/>
      </c>
      <c r="Q759">
        <f>IF([2]Entry!$D$762="","",[2]Entry!$D$762)</f>
        <v/>
      </c>
      <c r="R759">
        <f>IF([2]Entry!$E$762="","",[2]Entry!$E$762)</f>
        <v/>
      </c>
      <c r="S759">
        <f>IF([2]Entry!$G$762="","",[2]Entry!$G$762)</f>
        <v/>
      </c>
      <c r="T759">
        <f>IF([2]Entry!$J$762="","",[2]Entry!$J$762)</f>
        <v/>
      </c>
      <c r="U759">
        <f>IF([2]Entry!$K$762="","",[2]Entry!$K$762)</f>
        <v/>
      </c>
      <c r="V759">
        <f>IF([2]Entry!$L$762="","",[2]Entry!$L$762)</f>
        <v/>
      </c>
      <c r="W759">
        <f>IF([2]Entry!$M$762="","",[2]Entry!$M$762)</f>
        <v/>
      </c>
      <c r="X759">
        <f>IF([2]Entry!$N$762="","",[2]Entry!$N$762)</f>
        <v/>
      </c>
      <c r="Y759">
        <f>IF([2]Entry!$R$762="","",[2]Entry!$R$762)</f>
        <v/>
      </c>
    </row>
    <row r="760">
      <c r="P760">
        <f>IF([2]Entry!$C$763="","",[2]Entry!$C$763)</f>
        <v/>
      </c>
      <c r="Q760">
        <f>IF([2]Entry!$D$763="","",[2]Entry!$D$763)</f>
        <v/>
      </c>
      <c r="R760">
        <f>IF([2]Entry!$E$763="","",[2]Entry!$E$763)</f>
        <v/>
      </c>
      <c r="S760">
        <f>IF([2]Entry!$G$763="","",[2]Entry!$G$763)</f>
        <v/>
      </c>
      <c r="T760">
        <f>IF([2]Entry!$J$763="","",[2]Entry!$J$763)</f>
        <v/>
      </c>
      <c r="U760">
        <f>IF([2]Entry!$K$763="","",[2]Entry!$K$763)</f>
        <v/>
      </c>
      <c r="V760">
        <f>IF([2]Entry!$L$763="","",[2]Entry!$L$763)</f>
        <v/>
      </c>
      <c r="W760">
        <f>IF([2]Entry!$M$763="","",[2]Entry!$M$763)</f>
        <v/>
      </c>
      <c r="X760">
        <f>IF([2]Entry!$N$763="","",[2]Entry!$N$763)</f>
        <v/>
      </c>
      <c r="Y760">
        <f>IF([2]Entry!$R$763="","",[2]Entry!$R$763)</f>
        <v/>
      </c>
    </row>
    <row r="761">
      <c r="P761">
        <f>IF([2]Entry!$C$764="","",[2]Entry!$C$764)</f>
        <v/>
      </c>
      <c r="Q761">
        <f>IF([2]Entry!$D$764="","",[2]Entry!$D$764)</f>
        <v/>
      </c>
      <c r="R761">
        <f>IF([2]Entry!$E$764="","",[2]Entry!$E$764)</f>
        <v/>
      </c>
      <c r="S761">
        <f>IF([2]Entry!$G$764="","",[2]Entry!$G$764)</f>
        <v/>
      </c>
      <c r="T761">
        <f>IF([2]Entry!$J$764="","",[2]Entry!$J$764)</f>
        <v/>
      </c>
      <c r="U761">
        <f>IF([2]Entry!$K$764="","",[2]Entry!$K$764)</f>
        <v/>
      </c>
      <c r="V761">
        <f>IF([2]Entry!$L$764="","",[2]Entry!$L$764)</f>
        <v/>
      </c>
      <c r="W761">
        <f>IF([2]Entry!$M$764="","",[2]Entry!$M$764)</f>
        <v/>
      </c>
      <c r="X761">
        <f>IF([2]Entry!$N$764="","",[2]Entry!$N$764)</f>
        <v/>
      </c>
      <c r="Y761">
        <f>IF([2]Entry!$R$764="","",[2]Entry!$R$764)</f>
        <v/>
      </c>
    </row>
    <row r="762">
      <c r="P762">
        <f>IF([2]Entry!$C$765="","",[2]Entry!$C$765)</f>
        <v/>
      </c>
      <c r="Q762">
        <f>IF([2]Entry!$D$765="","",[2]Entry!$D$765)</f>
        <v/>
      </c>
      <c r="R762">
        <f>IF([2]Entry!$E$765="","",[2]Entry!$E$765)</f>
        <v/>
      </c>
      <c r="S762">
        <f>IF([2]Entry!$G$765="","",[2]Entry!$G$765)</f>
        <v/>
      </c>
      <c r="T762">
        <f>IF([2]Entry!$J$765="","",[2]Entry!$J$765)</f>
        <v/>
      </c>
      <c r="U762">
        <f>IF([2]Entry!$K$765="","",[2]Entry!$K$765)</f>
        <v/>
      </c>
      <c r="V762">
        <f>IF([2]Entry!$L$765="","",[2]Entry!$L$765)</f>
        <v/>
      </c>
      <c r="W762">
        <f>IF([2]Entry!$M$765="","",[2]Entry!$M$765)</f>
        <v/>
      </c>
      <c r="X762">
        <f>IF([2]Entry!$N$765="","",[2]Entry!$N$765)</f>
        <v/>
      </c>
      <c r="Y762">
        <f>IF([2]Entry!$R$765="","",[2]Entry!$R$765)</f>
        <v/>
      </c>
    </row>
    <row r="763">
      <c r="P763">
        <f>IF([2]Entry!$C$766="","",[2]Entry!$C$766)</f>
        <v/>
      </c>
      <c r="Q763">
        <f>IF([2]Entry!$D$766="","",[2]Entry!$D$766)</f>
        <v/>
      </c>
      <c r="R763">
        <f>IF([2]Entry!$E$766="","",[2]Entry!$E$766)</f>
        <v/>
      </c>
      <c r="S763">
        <f>IF([2]Entry!$G$766="","",[2]Entry!$G$766)</f>
        <v/>
      </c>
      <c r="T763">
        <f>IF([2]Entry!$J$766="","",[2]Entry!$J$766)</f>
        <v/>
      </c>
      <c r="U763">
        <f>IF([2]Entry!$K$766="","",[2]Entry!$K$766)</f>
        <v/>
      </c>
      <c r="V763">
        <f>IF([2]Entry!$L$766="","",[2]Entry!$L$766)</f>
        <v/>
      </c>
      <c r="W763">
        <f>IF([2]Entry!$M$766="","",[2]Entry!$M$766)</f>
        <v/>
      </c>
      <c r="X763">
        <f>IF([2]Entry!$N$766="","",[2]Entry!$N$766)</f>
        <v/>
      </c>
      <c r="Y763">
        <f>IF([2]Entry!$R$766="","",[2]Entry!$R$766)</f>
        <v/>
      </c>
    </row>
    <row r="764">
      <c r="P764">
        <f>IF([2]Entry!$C$767="","",[2]Entry!$C$767)</f>
        <v/>
      </c>
      <c r="Q764">
        <f>IF([2]Entry!$D$767="","",[2]Entry!$D$767)</f>
        <v/>
      </c>
      <c r="R764">
        <f>IF([2]Entry!$E$767="","",[2]Entry!$E$767)</f>
        <v/>
      </c>
      <c r="S764">
        <f>IF([2]Entry!$G$767="","",[2]Entry!$G$767)</f>
        <v/>
      </c>
      <c r="T764">
        <f>IF([2]Entry!$J$767="","",[2]Entry!$J$767)</f>
        <v/>
      </c>
      <c r="U764">
        <f>IF([2]Entry!$K$767="","",[2]Entry!$K$767)</f>
        <v/>
      </c>
      <c r="V764">
        <f>IF([2]Entry!$L$767="","",[2]Entry!$L$767)</f>
        <v/>
      </c>
      <c r="W764">
        <f>IF([2]Entry!$M$767="","",[2]Entry!$M$767)</f>
        <v/>
      </c>
      <c r="X764">
        <f>IF([2]Entry!$N$767="","",[2]Entry!$N$767)</f>
        <v/>
      </c>
      <c r="Y764">
        <f>IF([2]Entry!$R$767="","",[2]Entry!$R$767)</f>
        <v/>
      </c>
    </row>
    <row r="765">
      <c r="P765">
        <f>IF([2]Entry!$C$768="","",[2]Entry!$C$768)</f>
        <v/>
      </c>
      <c r="Q765">
        <f>IF([2]Entry!$D$768="","",[2]Entry!$D$768)</f>
        <v/>
      </c>
      <c r="R765">
        <f>IF([2]Entry!$E$768="","",[2]Entry!$E$768)</f>
        <v/>
      </c>
      <c r="S765">
        <f>IF([2]Entry!$G$768="","",[2]Entry!$G$768)</f>
        <v/>
      </c>
      <c r="T765">
        <f>IF([2]Entry!$J$768="","",[2]Entry!$J$768)</f>
        <v/>
      </c>
      <c r="U765">
        <f>IF([2]Entry!$K$768="","",[2]Entry!$K$768)</f>
        <v/>
      </c>
      <c r="V765">
        <f>IF([2]Entry!$L$768="","",[2]Entry!$L$768)</f>
        <v/>
      </c>
      <c r="W765">
        <f>IF([2]Entry!$M$768="","",[2]Entry!$M$768)</f>
        <v/>
      </c>
      <c r="X765">
        <f>IF([2]Entry!$N$768="","",[2]Entry!$N$768)</f>
        <v/>
      </c>
      <c r="Y765">
        <f>IF([2]Entry!$R$768="","",[2]Entry!$R$768)</f>
        <v/>
      </c>
    </row>
    <row r="766">
      <c r="P766">
        <f>IF([2]Entry!$C$769="","",[2]Entry!$C$769)</f>
        <v/>
      </c>
      <c r="Q766">
        <f>IF([2]Entry!$D$769="","",[2]Entry!$D$769)</f>
        <v/>
      </c>
      <c r="R766">
        <f>IF([2]Entry!$E$769="","",[2]Entry!$E$769)</f>
        <v/>
      </c>
      <c r="S766">
        <f>IF([2]Entry!$G$769="","",[2]Entry!$G$769)</f>
        <v/>
      </c>
      <c r="T766">
        <f>IF([2]Entry!$J$769="","",[2]Entry!$J$769)</f>
        <v/>
      </c>
      <c r="U766">
        <f>IF([2]Entry!$K$769="","",[2]Entry!$K$769)</f>
        <v/>
      </c>
      <c r="V766">
        <f>IF([2]Entry!$L$769="","",[2]Entry!$L$769)</f>
        <v/>
      </c>
      <c r="W766">
        <f>IF([2]Entry!$M$769="","",[2]Entry!$M$769)</f>
        <v/>
      </c>
      <c r="X766">
        <f>IF([2]Entry!$N$769="","",[2]Entry!$N$769)</f>
        <v/>
      </c>
      <c r="Y766">
        <f>IF([2]Entry!$R$769="","",[2]Entry!$R$769)</f>
        <v/>
      </c>
    </row>
    <row r="767">
      <c r="P767">
        <f>IF([2]Entry!$C$770="","",[2]Entry!$C$770)</f>
        <v/>
      </c>
      <c r="Q767">
        <f>IF([2]Entry!$D$770="","",[2]Entry!$D$770)</f>
        <v/>
      </c>
      <c r="R767">
        <f>IF([2]Entry!$E$770="","",[2]Entry!$E$770)</f>
        <v/>
      </c>
      <c r="S767">
        <f>IF([2]Entry!$G$770="","",[2]Entry!$G$770)</f>
        <v/>
      </c>
      <c r="T767">
        <f>IF([2]Entry!$J$770="","",[2]Entry!$J$770)</f>
        <v/>
      </c>
      <c r="U767">
        <f>IF([2]Entry!$K$770="","",[2]Entry!$K$770)</f>
        <v/>
      </c>
      <c r="V767">
        <f>IF([2]Entry!$L$770="","",[2]Entry!$L$770)</f>
        <v/>
      </c>
      <c r="W767">
        <f>IF([2]Entry!$M$770="","",[2]Entry!$M$770)</f>
        <v/>
      </c>
      <c r="X767">
        <f>IF([2]Entry!$N$770="","",[2]Entry!$N$770)</f>
        <v/>
      </c>
      <c r="Y767">
        <f>IF([2]Entry!$R$770="","",[2]Entry!$R$770)</f>
        <v/>
      </c>
    </row>
    <row r="768">
      <c r="P768">
        <f>IF([2]Entry!$C$771="","",[2]Entry!$C$771)</f>
        <v/>
      </c>
      <c r="Q768">
        <f>IF([2]Entry!$D$771="","",[2]Entry!$D$771)</f>
        <v/>
      </c>
      <c r="R768">
        <f>IF([2]Entry!$E$771="","",[2]Entry!$E$771)</f>
        <v/>
      </c>
      <c r="S768">
        <f>IF([2]Entry!$G$771="","",[2]Entry!$G$771)</f>
        <v/>
      </c>
      <c r="T768">
        <f>IF([2]Entry!$J$771="","",[2]Entry!$J$771)</f>
        <v/>
      </c>
      <c r="U768">
        <f>IF([2]Entry!$K$771="","",[2]Entry!$K$771)</f>
        <v/>
      </c>
      <c r="V768">
        <f>IF([2]Entry!$L$771="","",[2]Entry!$L$771)</f>
        <v/>
      </c>
      <c r="W768">
        <f>IF([2]Entry!$M$771="","",[2]Entry!$M$771)</f>
        <v/>
      </c>
      <c r="X768">
        <f>IF([2]Entry!$N$771="","",[2]Entry!$N$771)</f>
        <v/>
      </c>
      <c r="Y768">
        <f>IF([2]Entry!$R$771="","",[2]Entry!$R$771)</f>
        <v/>
      </c>
    </row>
    <row r="769">
      <c r="P769">
        <f>IF([2]Entry!$C$772="","",[2]Entry!$C$772)</f>
        <v/>
      </c>
      <c r="Q769">
        <f>IF([2]Entry!$D$772="","",[2]Entry!$D$772)</f>
        <v/>
      </c>
      <c r="R769">
        <f>IF([2]Entry!$E$772="","",[2]Entry!$E$772)</f>
        <v/>
      </c>
      <c r="S769">
        <f>IF([2]Entry!$G$772="","",[2]Entry!$G$772)</f>
        <v/>
      </c>
      <c r="T769">
        <f>IF([2]Entry!$J$772="","",[2]Entry!$J$772)</f>
        <v/>
      </c>
      <c r="U769">
        <f>IF([2]Entry!$K$772="","",[2]Entry!$K$772)</f>
        <v/>
      </c>
      <c r="V769">
        <f>IF([2]Entry!$L$772="","",[2]Entry!$L$772)</f>
        <v/>
      </c>
      <c r="W769">
        <f>IF([2]Entry!$M$772="","",[2]Entry!$M$772)</f>
        <v/>
      </c>
      <c r="X769">
        <f>IF([2]Entry!$N$772="","",[2]Entry!$N$772)</f>
        <v/>
      </c>
      <c r="Y769">
        <f>IF([2]Entry!$R$772="","",[2]Entry!$R$772)</f>
        <v/>
      </c>
    </row>
    <row r="770">
      <c r="P770">
        <f>IF([2]Entry!$C$773="","",[2]Entry!$C$773)</f>
        <v/>
      </c>
      <c r="Q770">
        <f>IF([2]Entry!$D$773="","",[2]Entry!$D$773)</f>
        <v/>
      </c>
      <c r="R770">
        <f>IF([2]Entry!$E$773="","",[2]Entry!$E$773)</f>
        <v/>
      </c>
      <c r="S770">
        <f>IF([2]Entry!$G$773="","",[2]Entry!$G$773)</f>
        <v/>
      </c>
      <c r="T770">
        <f>IF([2]Entry!$J$773="","",[2]Entry!$J$773)</f>
        <v/>
      </c>
      <c r="U770">
        <f>IF([2]Entry!$K$773="","",[2]Entry!$K$773)</f>
        <v/>
      </c>
      <c r="V770">
        <f>IF([2]Entry!$L$773="","",[2]Entry!$L$773)</f>
        <v/>
      </c>
      <c r="W770">
        <f>IF([2]Entry!$M$773="","",[2]Entry!$M$773)</f>
        <v/>
      </c>
      <c r="X770">
        <f>IF([2]Entry!$N$773="","",[2]Entry!$N$773)</f>
        <v/>
      </c>
      <c r="Y770">
        <f>IF([2]Entry!$R$773="","",[2]Entry!$R$773)</f>
        <v/>
      </c>
    </row>
    <row r="771">
      <c r="P771">
        <f>IF([2]Entry!$C$774="","",[2]Entry!$C$774)</f>
        <v/>
      </c>
      <c r="Q771">
        <f>IF([2]Entry!$D$774="","",[2]Entry!$D$774)</f>
        <v/>
      </c>
      <c r="R771">
        <f>IF([2]Entry!$E$774="","",[2]Entry!$E$774)</f>
        <v/>
      </c>
      <c r="S771">
        <f>IF([2]Entry!$G$774="","",[2]Entry!$G$774)</f>
        <v/>
      </c>
      <c r="T771">
        <f>IF([2]Entry!$J$774="","",[2]Entry!$J$774)</f>
        <v/>
      </c>
      <c r="U771">
        <f>IF([2]Entry!$K$774="","",[2]Entry!$K$774)</f>
        <v/>
      </c>
      <c r="V771">
        <f>IF([2]Entry!$L$774="","",[2]Entry!$L$774)</f>
        <v/>
      </c>
      <c r="W771">
        <f>IF([2]Entry!$M$774="","",[2]Entry!$M$774)</f>
        <v/>
      </c>
      <c r="X771">
        <f>IF([2]Entry!$N$774="","",[2]Entry!$N$774)</f>
        <v/>
      </c>
      <c r="Y771">
        <f>IF([2]Entry!$R$774="","",[2]Entry!$R$774)</f>
        <v/>
      </c>
    </row>
    <row r="772">
      <c r="P772">
        <f>IF([2]Entry!$C$775="","",[2]Entry!$C$775)</f>
        <v/>
      </c>
      <c r="Q772">
        <f>IF([2]Entry!$D$775="","",[2]Entry!$D$775)</f>
        <v/>
      </c>
      <c r="R772">
        <f>IF([2]Entry!$E$775="","",[2]Entry!$E$775)</f>
        <v/>
      </c>
      <c r="S772">
        <f>IF([2]Entry!$G$775="","",[2]Entry!$G$775)</f>
        <v/>
      </c>
      <c r="T772">
        <f>IF([2]Entry!$J$775="","",[2]Entry!$J$775)</f>
        <v/>
      </c>
      <c r="U772">
        <f>IF([2]Entry!$K$775="","",[2]Entry!$K$775)</f>
        <v/>
      </c>
      <c r="V772">
        <f>IF([2]Entry!$L$775="","",[2]Entry!$L$775)</f>
        <v/>
      </c>
      <c r="W772">
        <f>IF([2]Entry!$M$775="","",[2]Entry!$M$775)</f>
        <v/>
      </c>
      <c r="X772">
        <f>IF([2]Entry!$N$775="","",[2]Entry!$N$775)</f>
        <v/>
      </c>
      <c r="Y772">
        <f>IF([2]Entry!$R$775="","",[2]Entry!$R$775)</f>
        <v/>
      </c>
    </row>
    <row r="773">
      <c r="P773">
        <f>IF([2]Entry!$C$776="","",[2]Entry!$C$776)</f>
        <v/>
      </c>
      <c r="Q773">
        <f>IF([2]Entry!$D$776="","",[2]Entry!$D$776)</f>
        <v/>
      </c>
      <c r="R773">
        <f>IF([2]Entry!$E$776="","",[2]Entry!$E$776)</f>
        <v/>
      </c>
      <c r="S773">
        <f>IF([2]Entry!$G$776="","",[2]Entry!$G$776)</f>
        <v/>
      </c>
      <c r="T773">
        <f>IF([2]Entry!$J$776="","",[2]Entry!$J$776)</f>
        <v/>
      </c>
      <c r="U773">
        <f>IF([2]Entry!$K$776="","",[2]Entry!$K$776)</f>
        <v/>
      </c>
      <c r="V773">
        <f>IF([2]Entry!$L$776="","",[2]Entry!$L$776)</f>
        <v/>
      </c>
      <c r="W773">
        <f>IF([2]Entry!$M$776="","",[2]Entry!$M$776)</f>
        <v/>
      </c>
      <c r="X773">
        <f>IF([2]Entry!$N$776="","",[2]Entry!$N$776)</f>
        <v/>
      </c>
      <c r="Y773">
        <f>IF([2]Entry!$R$776="","",[2]Entry!$R$776)</f>
        <v/>
      </c>
    </row>
    <row r="774">
      <c r="P774">
        <f>IF([2]Entry!$C$777="","",[2]Entry!$C$777)</f>
        <v/>
      </c>
      <c r="Q774">
        <f>IF([2]Entry!$D$777="","",[2]Entry!$D$777)</f>
        <v/>
      </c>
      <c r="R774">
        <f>IF([2]Entry!$E$777="","",[2]Entry!$E$777)</f>
        <v/>
      </c>
      <c r="S774">
        <f>IF([2]Entry!$G$777="","",[2]Entry!$G$777)</f>
        <v/>
      </c>
      <c r="T774">
        <f>IF([2]Entry!$J$777="","",[2]Entry!$J$777)</f>
        <v/>
      </c>
      <c r="U774">
        <f>IF([2]Entry!$K$777="","",[2]Entry!$K$777)</f>
        <v/>
      </c>
      <c r="V774">
        <f>IF([2]Entry!$L$777="","",[2]Entry!$L$777)</f>
        <v/>
      </c>
      <c r="W774">
        <f>IF([2]Entry!$M$777="","",[2]Entry!$M$777)</f>
        <v/>
      </c>
      <c r="X774">
        <f>IF([2]Entry!$N$777="","",[2]Entry!$N$777)</f>
        <v/>
      </c>
      <c r="Y774">
        <f>IF([2]Entry!$R$777="","",[2]Entry!$R$777)</f>
        <v/>
      </c>
    </row>
    <row r="775">
      <c r="P775">
        <f>IF([2]Entry!$C$778="","",[2]Entry!$C$778)</f>
        <v/>
      </c>
      <c r="Q775">
        <f>IF([2]Entry!$D$778="","",[2]Entry!$D$778)</f>
        <v/>
      </c>
      <c r="R775">
        <f>IF([2]Entry!$E$778="","",[2]Entry!$E$778)</f>
        <v/>
      </c>
      <c r="S775">
        <f>IF([2]Entry!$G$778="","",[2]Entry!$G$778)</f>
        <v/>
      </c>
      <c r="T775">
        <f>IF([2]Entry!$J$778="","",[2]Entry!$J$778)</f>
        <v/>
      </c>
      <c r="U775">
        <f>IF([2]Entry!$K$778="","",[2]Entry!$K$778)</f>
        <v/>
      </c>
      <c r="V775">
        <f>IF([2]Entry!$L$778="","",[2]Entry!$L$778)</f>
        <v/>
      </c>
      <c r="W775">
        <f>IF([2]Entry!$M$778="","",[2]Entry!$M$778)</f>
        <v/>
      </c>
      <c r="X775">
        <f>IF([2]Entry!$N$778="","",[2]Entry!$N$778)</f>
        <v/>
      </c>
      <c r="Y775">
        <f>IF([2]Entry!$R$778="","",[2]Entry!$R$778)</f>
        <v/>
      </c>
    </row>
    <row r="776">
      <c r="P776">
        <f>IF([2]Entry!$C$779="","",[2]Entry!$C$779)</f>
        <v/>
      </c>
      <c r="Q776">
        <f>IF([2]Entry!$D$779="","",[2]Entry!$D$779)</f>
        <v/>
      </c>
      <c r="R776">
        <f>IF([2]Entry!$E$779="","",[2]Entry!$E$779)</f>
        <v/>
      </c>
      <c r="S776">
        <f>IF([2]Entry!$G$779="","",[2]Entry!$G$779)</f>
        <v/>
      </c>
      <c r="T776">
        <f>IF([2]Entry!$J$779="","",[2]Entry!$J$779)</f>
        <v/>
      </c>
      <c r="U776">
        <f>IF([2]Entry!$K$779="","",[2]Entry!$K$779)</f>
        <v/>
      </c>
      <c r="V776">
        <f>IF([2]Entry!$L$779="","",[2]Entry!$L$779)</f>
        <v/>
      </c>
      <c r="W776">
        <f>IF([2]Entry!$M$779="","",[2]Entry!$M$779)</f>
        <v/>
      </c>
      <c r="X776">
        <f>IF([2]Entry!$N$779="","",[2]Entry!$N$779)</f>
        <v/>
      </c>
      <c r="Y776">
        <f>IF([2]Entry!$R$779="","",[2]Entry!$R$779)</f>
        <v/>
      </c>
    </row>
    <row r="777">
      <c r="P777">
        <f>IF([2]Entry!$C$780="","",[2]Entry!$C$780)</f>
        <v/>
      </c>
      <c r="Q777">
        <f>IF([2]Entry!$D$780="","",[2]Entry!$D$780)</f>
        <v/>
      </c>
      <c r="R777">
        <f>IF([2]Entry!$E$780="","",[2]Entry!$E$780)</f>
        <v/>
      </c>
      <c r="S777">
        <f>IF([2]Entry!$G$780="","",[2]Entry!$G$780)</f>
        <v/>
      </c>
      <c r="T777">
        <f>IF([2]Entry!$J$780="","",[2]Entry!$J$780)</f>
        <v/>
      </c>
      <c r="U777">
        <f>IF([2]Entry!$K$780="","",[2]Entry!$K$780)</f>
        <v/>
      </c>
      <c r="V777">
        <f>IF([2]Entry!$L$780="","",[2]Entry!$L$780)</f>
        <v/>
      </c>
      <c r="W777">
        <f>IF([2]Entry!$M$780="","",[2]Entry!$M$780)</f>
        <v/>
      </c>
      <c r="X777">
        <f>IF([2]Entry!$N$780="","",[2]Entry!$N$780)</f>
        <v/>
      </c>
      <c r="Y777">
        <f>IF([2]Entry!$R$780="","",[2]Entry!$R$780)</f>
        <v/>
      </c>
    </row>
    <row r="778">
      <c r="P778">
        <f>IF([2]Entry!$C$781="","",[2]Entry!$C$781)</f>
        <v/>
      </c>
      <c r="Q778">
        <f>IF([2]Entry!$D$781="","",[2]Entry!$D$781)</f>
        <v/>
      </c>
      <c r="R778">
        <f>IF([2]Entry!$E$781="","",[2]Entry!$E$781)</f>
        <v/>
      </c>
      <c r="S778">
        <f>IF([2]Entry!$G$781="","",[2]Entry!$G$781)</f>
        <v/>
      </c>
      <c r="T778">
        <f>IF([2]Entry!$J$781="","",[2]Entry!$J$781)</f>
        <v/>
      </c>
      <c r="U778">
        <f>IF([2]Entry!$K$781="","",[2]Entry!$K$781)</f>
        <v/>
      </c>
      <c r="V778">
        <f>IF([2]Entry!$L$781="","",[2]Entry!$L$781)</f>
        <v/>
      </c>
      <c r="W778">
        <f>IF([2]Entry!$M$781="","",[2]Entry!$M$781)</f>
        <v/>
      </c>
      <c r="X778">
        <f>IF([2]Entry!$N$781="","",[2]Entry!$N$781)</f>
        <v/>
      </c>
      <c r="Y778">
        <f>IF([2]Entry!$R$781="","",[2]Entry!$R$781)</f>
        <v/>
      </c>
    </row>
    <row r="779">
      <c r="P779">
        <f>IF([2]Entry!$C$782="","",[2]Entry!$C$782)</f>
        <v/>
      </c>
      <c r="Q779">
        <f>IF([2]Entry!$D$782="","",[2]Entry!$D$782)</f>
        <v/>
      </c>
      <c r="R779">
        <f>IF([2]Entry!$E$782="","",[2]Entry!$E$782)</f>
        <v/>
      </c>
      <c r="S779">
        <f>IF([2]Entry!$G$782="","",[2]Entry!$G$782)</f>
        <v/>
      </c>
      <c r="T779">
        <f>IF([2]Entry!$J$782="","",[2]Entry!$J$782)</f>
        <v/>
      </c>
      <c r="U779">
        <f>IF([2]Entry!$K$782="","",[2]Entry!$K$782)</f>
        <v/>
      </c>
      <c r="V779">
        <f>IF([2]Entry!$L$782="","",[2]Entry!$L$782)</f>
        <v/>
      </c>
      <c r="W779">
        <f>IF([2]Entry!$M$782="","",[2]Entry!$M$782)</f>
        <v/>
      </c>
      <c r="X779">
        <f>IF([2]Entry!$N$782="","",[2]Entry!$N$782)</f>
        <v/>
      </c>
      <c r="Y779">
        <f>IF([2]Entry!$R$782="","",[2]Entry!$R$782)</f>
        <v/>
      </c>
    </row>
    <row r="780">
      <c r="P780">
        <f>IF([2]Entry!$C$783="","",[2]Entry!$C$783)</f>
        <v/>
      </c>
      <c r="Q780">
        <f>IF([2]Entry!$D$783="","",[2]Entry!$D$783)</f>
        <v/>
      </c>
      <c r="R780">
        <f>IF([2]Entry!$E$783="","",[2]Entry!$E$783)</f>
        <v/>
      </c>
      <c r="S780">
        <f>IF([2]Entry!$G$783="","",[2]Entry!$G$783)</f>
        <v/>
      </c>
      <c r="T780">
        <f>IF([2]Entry!$J$783="","",[2]Entry!$J$783)</f>
        <v/>
      </c>
      <c r="U780">
        <f>IF([2]Entry!$K$783="","",[2]Entry!$K$783)</f>
        <v/>
      </c>
      <c r="V780">
        <f>IF([2]Entry!$L$783="","",[2]Entry!$L$783)</f>
        <v/>
      </c>
      <c r="W780">
        <f>IF([2]Entry!$M$783="","",[2]Entry!$M$783)</f>
        <v/>
      </c>
      <c r="X780">
        <f>IF([2]Entry!$N$783="","",[2]Entry!$N$783)</f>
        <v/>
      </c>
      <c r="Y780">
        <f>IF([2]Entry!$R$783="","",[2]Entry!$R$783)</f>
        <v/>
      </c>
    </row>
    <row r="781">
      <c r="P781">
        <f>IF([2]Entry!$C$784="","",[2]Entry!$C$784)</f>
        <v/>
      </c>
      <c r="Q781">
        <f>IF([2]Entry!$D$784="","",[2]Entry!$D$784)</f>
        <v/>
      </c>
      <c r="R781">
        <f>IF([2]Entry!$E$784="","",[2]Entry!$E$784)</f>
        <v/>
      </c>
      <c r="S781">
        <f>IF([2]Entry!$G$784="","",[2]Entry!$G$784)</f>
        <v/>
      </c>
      <c r="T781">
        <f>IF([2]Entry!$J$784="","",[2]Entry!$J$784)</f>
        <v/>
      </c>
      <c r="U781">
        <f>IF([2]Entry!$K$784="","",[2]Entry!$K$784)</f>
        <v/>
      </c>
      <c r="V781">
        <f>IF([2]Entry!$L$784="","",[2]Entry!$L$784)</f>
        <v/>
      </c>
      <c r="W781">
        <f>IF([2]Entry!$M$784="","",[2]Entry!$M$784)</f>
        <v/>
      </c>
      <c r="X781">
        <f>IF([2]Entry!$N$784="","",[2]Entry!$N$784)</f>
        <v/>
      </c>
      <c r="Y781">
        <f>IF([2]Entry!$R$784="","",[2]Entry!$R$784)</f>
        <v/>
      </c>
    </row>
    <row r="782">
      <c r="P782">
        <f>IF([2]Entry!$C$785="","",[2]Entry!$C$785)</f>
        <v/>
      </c>
      <c r="Q782">
        <f>IF([2]Entry!$D$785="","",[2]Entry!$D$785)</f>
        <v/>
      </c>
      <c r="R782">
        <f>IF([2]Entry!$E$785="","",[2]Entry!$E$785)</f>
        <v/>
      </c>
      <c r="S782">
        <f>IF([2]Entry!$G$785="","",[2]Entry!$G$785)</f>
        <v/>
      </c>
      <c r="T782">
        <f>IF([2]Entry!$J$785="","",[2]Entry!$J$785)</f>
        <v/>
      </c>
      <c r="U782">
        <f>IF([2]Entry!$K$785="","",[2]Entry!$K$785)</f>
        <v/>
      </c>
      <c r="V782">
        <f>IF([2]Entry!$L$785="","",[2]Entry!$L$785)</f>
        <v/>
      </c>
      <c r="W782">
        <f>IF([2]Entry!$M$785="","",[2]Entry!$M$785)</f>
        <v/>
      </c>
      <c r="X782">
        <f>IF([2]Entry!$N$785="","",[2]Entry!$N$785)</f>
        <v/>
      </c>
      <c r="Y782">
        <f>IF([2]Entry!$R$785="","",[2]Entry!$R$785)</f>
        <v/>
      </c>
    </row>
    <row r="783">
      <c r="P783">
        <f>IF([2]Entry!$C$786="","",[2]Entry!$C$786)</f>
        <v/>
      </c>
      <c r="Q783">
        <f>IF([2]Entry!$D$786="","",[2]Entry!$D$786)</f>
        <v/>
      </c>
      <c r="R783">
        <f>IF([2]Entry!$E$786="","",[2]Entry!$E$786)</f>
        <v/>
      </c>
      <c r="S783">
        <f>IF([2]Entry!$G$786="","",[2]Entry!$G$786)</f>
        <v/>
      </c>
      <c r="T783">
        <f>IF([2]Entry!$J$786="","",[2]Entry!$J$786)</f>
        <v/>
      </c>
      <c r="U783">
        <f>IF([2]Entry!$K$786="","",[2]Entry!$K$786)</f>
        <v/>
      </c>
      <c r="V783">
        <f>IF([2]Entry!$L$786="","",[2]Entry!$L$786)</f>
        <v/>
      </c>
      <c r="W783">
        <f>IF([2]Entry!$M$786="","",[2]Entry!$M$786)</f>
        <v/>
      </c>
      <c r="X783">
        <f>IF([2]Entry!$N$786="","",[2]Entry!$N$786)</f>
        <v/>
      </c>
      <c r="Y783">
        <f>IF([2]Entry!$R$786="","",[2]Entry!$R$786)</f>
        <v/>
      </c>
    </row>
    <row r="784">
      <c r="P784">
        <f>IF([2]Entry!$C$787="","",[2]Entry!$C$787)</f>
        <v/>
      </c>
      <c r="Q784">
        <f>IF([2]Entry!$D$787="","",[2]Entry!$D$787)</f>
        <v/>
      </c>
      <c r="R784">
        <f>IF([2]Entry!$E$787="","",[2]Entry!$E$787)</f>
        <v/>
      </c>
      <c r="S784">
        <f>IF([2]Entry!$G$787="","",[2]Entry!$G$787)</f>
        <v/>
      </c>
      <c r="T784">
        <f>IF([2]Entry!$J$787="","",[2]Entry!$J$787)</f>
        <v/>
      </c>
      <c r="U784">
        <f>IF([2]Entry!$K$787="","",[2]Entry!$K$787)</f>
        <v/>
      </c>
      <c r="V784">
        <f>IF([2]Entry!$L$787="","",[2]Entry!$L$787)</f>
        <v/>
      </c>
      <c r="W784">
        <f>IF([2]Entry!$M$787="","",[2]Entry!$M$787)</f>
        <v/>
      </c>
      <c r="X784">
        <f>IF([2]Entry!$N$787="","",[2]Entry!$N$787)</f>
        <v/>
      </c>
      <c r="Y784">
        <f>IF([2]Entry!$R$787="","",[2]Entry!$R$787)</f>
        <v/>
      </c>
    </row>
    <row r="785">
      <c r="P785">
        <f>IF([2]Entry!$C$788="","",[2]Entry!$C$788)</f>
        <v/>
      </c>
      <c r="Q785">
        <f>IF([2]Entry!$D$788="","",[2]Entry!$D$788)</f>
        <v/>
      </c>
      <c r="R785">
        <f>IF([2]Entry!$E$788="","",[2]Entry!$E$788)</f>
        <v/>
      </c>
      <c r="S785">
        <f>IF([2]Entry!$G$788="","",[2]Entry!$G$788)</f>
        <v/>
      </c>
      <c r="T785">
        <f>IF([2]Entry!$J$788="","",[2]Entry!$J$788)</f>
        <v/>
      </c>
      <c r="U785">
        <f>IF([2]Entry!$K$788="","",[2]Entry!$K$788)</f>
        <v/>
      </c>
      <c r="V785">
        <f>IF([2]Entry!$L$788="","",[2]Entry!$L$788)</f>
        <v/>
      </c>
      <c r="W785">
        <f>IF([2]Entry!$M$788="","",[2]Entry!$M$788)</f>
        <v/>
      </c>
      <c r="X785">
        <f>IF([2]Entry!$N$788="","",[2]Entry!$N$788)</f>
        <v/>
      </c>
      <c r="Y785">
        <f>IF([2]Entry!$R$788="","",[2]Entry!$R$788)</f>
        <v/>
      </c>
    </row>
    <row r="786">
      <c r="P786">
        <f>IF([2]Entry!$C$789="","",[2]Entry!$C$789)</f>
        <v/>
      </c>
      <c r="Q786">
        <f>IF([2]Entry!$D$789="","",[2]Entry!$D$789)</f>
        <v/>
      </c>
      <c r="R786">
        <f>IF([2]Entry!$E$789="","",[2]Entry!$E$789)</f>
        <v/>
      </c>
      <c r="S786">
        <f>IF([2]Entry!$G$789="","",[2]Entry!$G$789)</f>
        <v/>
      </c>
      <c r="T786">
        <f>IF([2]Entry!$J$789="","",[2]Entry!$J$789)</f>
        <v/>
      </c>
      <c r="U786">
        <f>IF([2]Entry!$K$789="","",[2]Entry!$K$789)</f>
        <v/>
      </c>
      <c r="V786">
        <f>IF([2]Entry!$L$789="","",[2]Entry!$L$789)</f>
        <v/>
      </c>
      <c r="W786">
        <f>IF([2]Entry!$M$789="","",[2]Entry!$M$789)</f>
        <v/>
      </c>
      <c r="X786">
        <f>IF([2]Entry!$N$789="","",[2]Entry!$N$789)</f>
        <v/>
      </c>
      <c r="Y786">
        <f>IF([2]Entry!$R$789="","",[2]Entry!$R$789)</f>
        <v/>
      </c>
    </row>
    <row r="787">
      <c r="P787">
        <f>IF([2]Entry!$C$790="","",[2]Entry!$C$790)</f>
        <v/>
      </c>
      <c r="Q787">
        <f>IF([2]Entry!$D$790="","",[2]Entry!$D$790)</f>
        <v/>
      </c>
      <c r="R787">
        <f>IF([2]Entry!$E$790="","",[2]Entry!$E$790)</f>
        <v/>
      </c>
      <c r="S787">
        <f>IF([2]Entry!$G$790="","",[2]Entry!$G$790)</f>
        <v/>
      </c>
      <c r="T787">
        <f>IF([2]Entry!$J$790="","",[2]Entry!$J$790)</f>
        <v/>
      </c>
      <c r="U787">
        <f>IF([2]Entry!$K$790="","",[2]Entry!$K$790)</f>
        <v/>
      </c>
      <c r="V787">
        <f>IF([2]Entry!$L$790="","",[2]Entry!$L$790)</f>
        <v/>
      </c>
      <c r="W787">
        <f>IF([2]Entry!$M$790="","",[2]Entry!$M$790)</f>
        <v/>
      </c>
      <c r="X787">
        <f>IF([2]Entry!$N$790="","",[2]Entry!$N$790)</f>
        <v/>
      </c>
      <c r="Y787">
        <f>IF([2]Entry!$R$790="","",[2]Entry!$R$790)</f>
        <v/>
      </c>
    </row>
    <row r="788">
      <c r="P788">
        <f>IF([2]Entry!$C$791="","",[2]Entry!$C$791)</f>
        <v/>
      </c>
      <c r="Q788">
        <f>IF([2]Entry!$D$791="","",[2]Entry!$D$791)</f>
        <v/>
      </c>
      <c r="R788">
        <f>IF([2]Entry!$E$791="","",[2]Entry!$E$791)</f>
        <v/>
      </c>
      <c r="S788">
        <f>IF([2]Entry!$G$791="","",[2]Entry!$G$791)</f>
        <v/>
      </c>
      <c r="T788">
        <f>IF([2]Entry!$J$791="","",[2]Entry!$J$791)</f>
        <v/>
      </c>
      <c r="U788">
        <f>IF([2]Entry!$K$791="","",[2]Entry!$K$791)</f>
        <v/>
      </c>
      <c r="V788">
        <f>IF([2]Entry!$L$791="","",[2]Entry!$L$791)</f>
        <v/>
      </c>
      <c r="W788">
        <f>IF([2]Entry!$M$791="","",[2]Entry!$M$791)</f>
        <v/>
      </c>
      <c r="X788">
        <f>IF([2]Entry!$N$791="","",[2]Entry!$N$791)</f>
        <v/>
      </c>
      <c r="Y788">
        <f>IF([2]Entry!$R$791="","",[2]Entry!$R$791)</f>
        <v/>
      </c>
    </row>
    <row r="789">
      <c r="P789">
        <f>IF([2]Entry!$C$792="","",[2]Entry!$C$792)</f>
        <v/>
      </c>
      <c r="Q789">
        <f>IF([2]Entry!$D$792="","",[2]Entry!$D$792)</f>
        <v/>
      </c>
      <c r="R789">
        <f>IF([2]Entry!$E$792="","",[2]Entry!$E$792)</f>
        <v/>
      </c>
      <c r="S789">
        <f>IF([2]Entry!$G$792="","",[2]Entry!$G$792)</f>
        <v/>
      </c>
      <c r="T789">
        <f>IF([2]Entry!$J$792="","",[2]Entry!$J$792)</f>
        <v/>
      </c>
      <c r="U789">
        <f>IF([2]Entry!$K$792="","",[2]Entry!$K$792)</f>
        <v/>
      </c>
      <c r="V789">
        <f>IF([2]Entry!$L$792="","",[2]Entry!$L$792)</f>
        <v/>
      </c>
      <c r="W789">
        <f>IF([2]Entry!$M$792="","",[2]Entry!$M$792)</f>
        <v/>
      </c>
      <c r="X789">
        <f>IF([2]Entry!$N$792="","",[2]Entry!$N$792)</f>
        <v/>
      </c>
      <c r="Y789">
        <f>IF([2]Entry!$R$792="","",[2]Entry!$R$792)</f>
        <v/>
      </c>
    </row>
    <row r="790">
      <c r="P790">
        <f>IF([2]Entry!$C$793="","",[2]Entry!$C$793)</f>
        <v/>
      </c>
      <c r="Q790">
        <f>IF([2]Entry!$D$793="","",[2]Entry!$D$793)</f>
        <v/>
      </c>
      <c r="R790">
        <f>IF([2]Entry!$E$793="","",[2]Entry!$E$793)</f>
        <v/>
      </c>
      <c r="S790">
        <f>IF([2]Entry!$G$793="","",[2]Entry!$G$793)</f>
        <v/>
      </c>
      <c r="T790">
        <f>IF([2]Entry!$J$793="","",[2]Entry!$J$793)</f>
        <v/>
      </c>
      <c r="U790">
        <f>IF([2]Entry!$K$793="","",[2]Entry!$K$793)</f>
        <v/>
      </c>
      <c r="V790">
        <f>IF([2]Entry!$L$793="","",[2]Entry!$L$793)</f>
        <v/>
      </c>
      <c r="W790">
        <f>IF([2]Entry!$M$793="","",[2]Entry!$M$793)</f>
        <v/>
      </c>
      <c r="X790">
        <f>IF([2]Entry!$N$793="","",[2]Entry!$N$793)</f>
        <v/>
      </c>
      <c r="Y790">
        <f>IF([2]Entry!$R$793="","",[2]Entry!$R$793)</f>
        <v/>
      </c>
    </row>
    <row r="791">
      <c r="P791">
        <f>IF([2]Entry!$C$794="","",[2]Entry!$C$794)</f>
        <v/>
      </c>
      <c r="Q791">
        <f>IF([2]Entry!$D$794="","",[2]Entry!$D$794)</f>
        <v/>
      </c>
      <c r="R791">
        <f>IF([2]Entry!$E$794="","",[2]Entry!$E$794)</f>
        <v/>
      </c>
      <c r="S791">
        <f>IF([2]Entry!$G$794="","",[2]Entry!$G$794)</f>
        <v/>
      </c>
      <c r="T791">
        <f>IF([2]Entry!$J$794="","",[2]Entry!$J$794)</f>
        <v/>
      </c>
      <c r="U791">
        <f>IF([2]Entry!$K$794="","",[2]Entry!$K$794)</f>
        <v/>
      </c>
      <c r="V791">
        <f>IF([2]Entry!$L$794="","",[2]Entry!$L$794)</f>
        <v/>
      </c>
      <c r="W791">
        <f>IF([2]Entry!$M$794="","",[2]Entry!$M$794)</f>
        <v/>
      </c>
      <c r="X791">
        <f>IF([2]Entry!$N$794="","",[2]Entry!$N$794)</f>
        <v/>
      </c>
      <c r="Y791">
        <f>IF([2]Entry!$R$794="","",[2]Entry!$R$794)</f>
        <v/>
      </c>
    </row>
    <row r="792">
      <c r="P792">
        <f>IF([2]Entry!$C$795="","",[2]Entry!$C$795)</f>
        <v/>
      </c>
      <c r="Q792">
        <f>IF([2]Entry!$D$795="","",[2]Entry!$D$795)</f>
        <v/>
      </c>
      <c r="R792">
        <f>IF([2]Entry!$E$795="","",[2]Entry!$E$795)</f>
        <v/>
      </c>
      <c r="S792">
        <f>IF([2]Entry!$G$795="","",[2]Entry!$G$795)</f>
        <v/>
      </c>
      <c r="T792">
        <f>IF([2]Entry!$J$795="","",[2]Entry!$J$795)</f>
        <v/>
      </c>
      <c r="U792">
        <f>IF([2]Entry!$K$795="","",[2]Entry!$K$795)</f>
        <v/>
      </c>
      <c r="V792">
        <f>IF([2]Entry!$L$795="","",[2]Entry!$L$795)</f>
        <v/>
      </c>
      <c r="W792">
        <f>IF([2]Entry!$M$795="","",[2]Entry!$M$795)</f>
        <v/>
      </c>
      <c r="X792">
        <f>IF([2]Entry!$N$795="","",[2]Entry!$N$795)</f>
        <v/>
      </c>
      <c r="Y792">
        <f>IF([2]Entry!$R$795="","",[2]Entry!$R$795)</f>
        <v/>
      </c>
    </row>
    <row r="793">
      <c r="P793">
        <f>IF([2]Entry!$C$796="","",[2]Entry!$C$796)</f>
        <v/>
      </c>
      <c r="Q793">
        <f>IF([2]Entry!$D$796="","",[2]Entry!$D$796)</f>
        <v/>
      </c>
      <c r="R793">
        <f>IF([2]Entry!$E$796="","",[2]Entry!$E$796)</f>
        <v/>
      </c>
      <c r="S793">
        <f>IF([2]Entry!$G$796="","",[2]Entry!$G$796)</f>
        <v/>
      </c>
      <c r="T793">
        <f>IF([2]Entry!$J$796="","",[2]Entry!$J$796)</f>
        <v/>
      </c>
      <c r="U793">
        <f>IF([2]Entry!$K$796="","",[2]Entry!$K$796)</f>
        <v/>
      </c>
      <c r="V793">
        <f>IF([2]Entry!$L$796="","",[2]Entry!$L$796)</f>
        <v/>
      </c>
      <c r="W793">
        <f>IF([2]Entry!$M$796="","",[2]Entry!$M$796)</f>
        <v/>
      </c>
      <c r="X793">
        <f>IF([2]Entry!$N$796="","",[2]Entry!$N$796)</f>
        <v/>
      </c>
      <c r="Y793">
        <f>IF([2]Entry!$R$796="","",[2]Entry!$R$796)</f>
        <v/>
      </c>
    </row>
    <row r="794">
      <c r="P794">
        <f>IF([2]Entry!$C$797="","",[2]Entry!$C$797)</f>
        <v/>
      </c>
      <c r="Q794">
        <f>IF([2]Entry!$D$797="","",[2]Entry!$D$797)</f>
        <v/>
      </c>
      <c r="R794">
        <f>IF([2]Entry!$E$797="","",[2]Entry!$E$797)</f>
        <v/>
      </c>
      <c r="S794">
        <f>IF([2]Entry!$G$797="","",[2]Entry!$G$797)</f>
        <v/>
      </c>
      <c r="T794">
        <f>IF([2]Entry!$J$797="","",[2]Entry!$J$797)</f>
        <v/>
      </c>
      <c r="U794">
        <f>IF([2]Entry!$K$797="","",[2]Entry!$K$797)</f>
        <v/>
      </c>
      <c r="V794">
        <f>IF([2]Entry!$L$797="","",[2]Entry!$L$797)</f>
        <v/>
      </c>
      <c r="W794">
        <f>IF([2]Entry!$M$797="","",[2]Entry!$M$797)</f>
        <v/>
      </c>
      <c r="X794">
        <f>IF([2]Entry!$N$797="","",[2]Entry!$N$797)</f>
        <v/>
      </c>
      <c r="Y794">
        <f>IF([2]Entry!$R$797="","",[2]Entry!$R$797)</f>
        <v/>
      </c>
    </row>
    <row r="795">
      <c r="P795">
        <f>IF([2]Entry!$C$798="","",[2]Entry!$C$798)</f>
        <v/>
      </c>
      <c r="Q795">
        <f>IF([2]Entry!$D$798="","",[2]Entry!$D$798)</f>
        <v/>
      </c>
      <c r="R795">
        <f>IF([2]Entry!$E$798="","",[2]Entry!$E$798)</f>
        <v/>
      </c>
      <c r="S795">
        <f>IF([2]Entry!$G$798="","",[2]Entry!$G$798)</f>
        <v/>
      </c>
      <c r="T795">
        <f>IF([2]Entry!$J$798="","",[2]Entry!$J$798)</f>
        <v/>
      </c>
      <c r="U795">
        <f>IF([2]Entry!$K$798="","",[2]Entry!$K$798)</f>
        <v/>
      </c>
      <c r="V795">
        <f>IF([2]Entry!$L$798="","",[2]Entry!$L$798)</f>
        <v/>
      </c>
      <c r="W795">
        <f>IF([2]Entry!$M$798="","",[2]Entry!$M$798)</f>
        <v/>
      </c>
      <c r="X795">
        <f>IF([2]Entry!$N$798="","",[2]Entry!$N$798)</f>
        <v/>
      </c>
      <c r="Y795">
        <f>IF([2]Entry!$R$798="","",[2]Entry!$R$798)</f>
        <v/>
      </c>
    </row>
    <row r="796">
      <c r="P796">
        <f>IF([2]Entry!$C$799="","",[2]Entry!$C$799)</f>
        <v/>
      </c>
      <c r="Q796">
        <f>IF([2]Entry!$D$799="","",[2]Entry!$D$799)</f>
        <v/>
      </c>
      <c r="R796">
        <f>IF([2]Entry!$E$799="","",[2]Entry!$E$799)</f>
        <v/>
      </c>
      <c r="S796">
        <f>IF([2]Entry!$G$799="","",[2]Entry!$G$799)</f>
        <v/>
      </c>
      <c r="T796">
        <f>IF([2]Entry!$J$799="","",[2]Entry!$J$799)</f>
        <v/>
      </c>
      <c r="U796">
        <f>IF([2]Entry!$K$799="","",[2]Entry!$K$799)</f>
        <v/>
      </c>
      <c r="V796">
        <f>IF([2]Entry!$L$799="","",[2]Entry!$L$799)</f>
        <v/>
      </c>
      <c r="W796">
        <f>IF([2]Entry!$M$799="","",[2]Entry!$M$799)</f>
        <v/>
      </c>
      <c r="X796">
        <f>IF([2]Entry!$N$799="","",[2]Entry!$N$799)</f>
        <v/>
      </c>
      <c r="Y796">
        <f>IF([2]Entry!$R$799="","",[2]Entry!$R$799)</f>
        <v/>
      </c>
    </row>
    <row r="797">
      <c r="P797">
        <f>IF([2]Entry!$C$800="","",[2]Entry!$C$800)</f>
        <v/>
      </c>
      <c r="Q797">
        <f>IF([2]Entry!$D$800="","",[2]Entry!$D$800)</f>
        <v/>
      </c>
      <c r="R797">
        <f>IF([2]Entry!$E$800="","",[2]Entry!$E$800)</f>
        <v/>
      </c>
      <c r="S797">
        <f>IF([2]Entry!$G$800="","",[2]Entry!$G$800)</f>
        <v/>
      </c>
      <c r="T797">
        <f>IF([2]Entry!$J$800="","",[2]Entry!$J$800)</f>
        <v/>
      </c>
      <c r="U797">
        <f>IF([2]Entry!$K$800="","",[2]Entry!$K$800)</f>
        <v/>
      </c>
      <c r="V797">
        <f>IF([2]Entry!$L$800="","",[2]Entry!$L$800)</f>
        <v/>
      </c>
      <c r="W797">
        <f>IF([2]Entry!$M$800="","",[2]Entry!$M$800)</f>
        <v/>
      </c>
      <c r="X797">
        <f>IF([2]Entry!$N$800="","",[2]Entry!$N$800)</f>
        <v/>
      </c>
      <c r="Y797">
        <f>IF([2]Entry!$R$800="","",[2]Entry!$R$800)</f>
        <v/>
      </c>
    </row>
    <row r="798">
      <c r="P798">
        <f>IF([2]Entry!$C$801="","",[2]Entry!$C$801)</f>
        <v/>
      </c>
      <c r="Q798">
        <f>IF([2]Entry!$D$801="","",[2]Entry!$D$801)</f>
        <v/>
      </c>
      <c r="R798">
        <f>IF([2]Entry!$E$801="","",[2]Entry!$E$801)</f>
        <v/>
      </c>
      <c r="S798">
        <f>IF([2]Entry!$G$801="","",[2]Entry!$G$801)</f>
        <v/>
      </c>
      <c r="T798">
        <f>IF([2]Entry!$J$801="","",[2]Entry!$J$801)</f>
        <v/>
      </c>
      <c r="U798">
        <f>IF([2]Entry!$K$801="","",[2]Entry!$K$801)</f>
        <v/>
      </c>
      <c r="V798">
        <f>IF([2]Entry!$L$801="","",[2]Entry!$L$801)</f>
        <v/>
      </c>
      <c r="W798">
        <f>IF([2]Entry!$M$801="","",[2]Entry!$M$801)</f>
        <v/>
      </c>
      <c r="X798">
        <f>IF([2]Entry!$N$801="","",[2]Entry!$N$801)</f>
        <v/>
      </c>
      <c r="Y798">
        <f>IF([2]Entry!$R$801="","",[2]Entry!$R$801)</f>
        <v/>
      </c>
    </row>
    <row r="799">
      <c r="P799">
        <f>IF([2]Entry!$C$802="","",[2]Entry!$C$802)</f>
        <v/>
      </c>
      <c r="Q799">
        <f>IF([2]Entry!$D$802="","",[2]Entry!$D$802)</f>
        <v/>
      </c>
      <c r="R799">
        <f>IF([2]Entry!$E$802="","",[2]Entry!$E$802)</f>
        <v/>
      </c>
      <c r="S799">
        <f>IF([2]Entry!$G$802="","",[2]Entry!$G$802)</f>
        <v/>
      </c>
      <c r="T799">
        <f>IF([2]Entry!$J$802="","",[2]Entry!$J$802)</f>
        <v/>
      </c>
      <c r="U799">
        <f>IF([2]Entry!$K$802="","",[2]Entry!$K$802)</f>
        <v/>
      </c>
      <c r="V799">
        <f>IF([2]Entry!$L$802="","",[2]Entry!$L$802)</f>
        <v/>
      </c>
      <c r="W799">
        <f>IF([2]Entry!$M$802="","",[2]Entry!$M$802)</f>
        <v/>
      </c>
      <c r="X799">
        <f>IF([2]Entry!$N$802="","",[2]Entry!$N$802)</f>
        <v/>
      </c>
      <c r="Y799">
        <f>IF([2]Entry!$R$802="","",[2]Entry!$R$802)</f>
        <v/>
      </c>
    </row>
    <row r="800">
      <c r="P800">
        <f>IF([2]Entry!$C$803="","",[2]Entry!$C$803)</f>
        <v/>
      </c>
      <c r="Q800">
        <f>IF([2]Entry!$D$803="","",[2]Entry!$D$803)</f>
        <v/>
      </c>
      <c r="R800">
        <f>IF([2]Entry!$E$803="","",[2]Entry!$E$803)</f>
        <v/>
      </c>
      <c r="S800">
        <f>IF([2]Entry!$G$803="","",[2]Entry!$G$803)</f>
        <v/>
      </c>
      <c r="T800">
        <f>IF([2]Entry!$J$803="","",[2]Entry!$J$803)</f>
        <v/>
      </c>
      <c r="U800">
        <f>IF([2]Entry!$K$803="","",[2]Entry!$K$803)</f>
        <v/>
      </c>
      <c r="V800">
        <f>IF([2]Entry!$L$803="","",[2]Entry!$L$803)</f>
        <v/>
      </c>
      <c r="W800">
        <f>IF([2]Entry!$M$803="","",[2]Entry!$M$803)</f>
        <v/>
      </c>
      <c r="X800">
        <f>IF([2]Entry!$N$803="","",[2]Entry!$N$803)</f>
        <v/>
      </c>
      <c r="Y800">
        <f>IF([2]Entry!$R$803="","",[2]Entry!$R$803)</f>
        <v/>
      </c>
    </row>
    <row r="801">
      <c r="P801">
        <f>IF([2]Entry!$C$804="","",[2]Entry!$C$804)</f>
        <v/>
      </c>
      <c r="Q801">
        <f>IF([2]Entry!$D$804="","",[2]Entry!$D$804)</f>
        <v/>
      </c>
      <c r="R801">
        <f>IF([2]Entry!$E$804="","",[2]Entry!$E$804)</f>
        <v/>
      </c>
      <c r="S801">
        <f>IF([2]Entry!$G$804="","",[2]Entry!$G$804)</f>
        <v/>
      </c>
      <c r="T801">
        <f>IF([2]Entry!$J$804="","",[2]Entry!$J$804)</f>
        <v/>
      </c>
      <c r="U801">
        <f>IF([2]Entry!$K$804="","",[2]Entry!$K$804)</f>
        <v/>
      </c>
      <c r="V801">
        <f>IF([2]Entry!$L$804="","",[2]Entry!$L$804)</f>
        <v/>
      </c>
      <c r="W801">
        <f>IF([2]Entry!$M$804="","",[2]Entry!$M$804)</f>
        <v/>
      </c>
      <c r="X801">
        <f>IF([2]Entry!$N$804="","",[2]Entry!$N$804)</f>
        <v/>
      </c>
      <c r="Y801">
        <f>IF([2]Entry!$R$804="","",[2]Entry!$R$804)</f>
        <v/>
      </c>
    </row>
    <row r="802">
      <c r="P802">
        <f>IF([2]Entry!$C$805="","",[2]Entry!$C$805)</f>
        <v/>
      </c>
      <c r="Q802">
        <f>IF([2]Entry!$D$805="","",[2]Entry!$D$805)</f>
        <v/>
      </c>
      <c r="R802">
        <f>IF([2]Entry!$E$805="","",[2]Entry!$E$805)</f>
        <v/>
      </c>
      <c r="S802">
        <f>IF([2]Entry!$G$805="","",[2]Entry!$G$805)</f>
        <v/>
      </c>
      <c r="T802">
        <f>IF([2]Entry!$J$805="","",[2]Entry!$J$805)</f>
        <v/>
      </c>
      <c r="U802">
        <f>IF([2]Entry!$K$805="","",[2]Entry!$K$805)</f>
        <v/>
      </c>
      <c r="V802">
        <f>IF([2]Entry!$L$805="","",[2]Entry!$L$805)</f>
        <v/>
      </c>
      <c r="W802">
        <f>IF([2]Entry!$M$805="","",[2]Entry!$M$805)</f>
        <v/>
      </c>
      <c r="X802">
        <f>IF([2]Entry!$N$805="","",[2]Entry!$N$805)</f>
        <v/>
      </c>
      <c r="Y802">
        <f>IF([2]Entry!$R$805="","",[2]Entry!$R$805)</f>
        <v/>
      </c>
    </row>
    <row r="803">
      <c r="P803">
        <f>IF([2]Entry!$C$806="","",[2]Entry!$C$806)</f>
        <v/>
      </c>
      <c r="Q803">
        <f>IF([2]Entry!$D$806="","",[2]Entry!$D$806)</f>
        <v/>
      </c>
      <c r="R803">
        <f>IF([2]Entry!$E$806="","",[2]Entry!$E$806)</f>
        <v/>
      </c>
      <c r="S803">
        <f>IF([2]Entry!$G$806="","",[2]Entry!$G$806)</f>
        <v/>
      </c>
      <c r="T803">
        <f>IF([2]Entry!$J$806="","",[2]Entry!$J$806)</f>
        <v/>
      </c>
      <c r="U803">
        <f>IF([2]Entry!$K$806="","",[2]Entry!$K$806)</f>
        <v/>
      </c>
      <c r="V803">
        <f>IF([2]Entry!$L$806="","",[2]Entry!$L$806)</f>
        <v/>
      </c>
      <c r="W803">
        <f>IF([2]Entry!$M$806="","",[2]Entry!$M$806)</f>
        <v/>
      </c>
      <c r="X803">
        <f>IF([2]Entry!$N$806="","",[2]Entry!$N$806)</f>
        <v/>
      </c>
      <c r="Y803">
        <f>IF([2]Entry!$R$806="","",[2]Entry!$R$806)</f>
        <v/>
      </c>
    </row>
    <row r="804">
      <c r="P804">
        <f>IF([2]Entry!$C$807="","",[2]Entry!$C$807)</f>
        <v/>
      </c>
      <c r="Q804">
        <f>IF([2]Entry!$D$807="","",[2]Entry!$D$807)</f>
        <v/>
      </c>
      <c r="R804">
        <f>IF([2]Entry!$E$807="","",[2]Entry!$E$807)</f>
        <v/>
      </c>
      <c r="S804">
        <f>IF([2]Entry!$G$807="","",[2]Entry!$G$807)</f>
        <v/>
      </c>
      <c r="T804">
        <f>IF([2]Entry!$J$807="","",[2]Entry!$J$807)</f>
        <v/>
      </c>
      <c r="U804">
        <f>IF([2]Entry!$K$807="","",[2]Entry!$K$807)</f>
        <v/>
      </c>
      <c r="V804">
        <f>IF([2]Entry!$L$807="","",[2]Entry!$L$807)</f>
        <v/>
      </c>
      <c r="W804">
        <f>IF([2]Entry!$M$807="","",[2]Entry!$M$807)</f>
        <v/>
      </c>
      <c r="X804">
        <f>IF([2]Entry!$N$807="","",[2]Entry!$N$807)</f>
        <v/>
      </c>
      <c r="Y804">
        <f>IF([2]Entry!$R$807="","",[2]Entry!$R$807)</f>
        <v/>
      </c>
    </row>
    <row r="805">
      <c r="P805">
        <f>IF([2]Entry!$C$808="","",[2]Entry!$C$808)</f>
        <v/>
      </c>
      <c r="Q805">
        <f>IF([2]Entry!$D$808="","",[2]Entry!$D$808)</f>
        <v/>
      </c>
      <c r="R805">
        <f>IF([2]Entry!$E$808="","",[2]Entry!$E$808)</f>
        <v/>
      </c>
      <c r="S805">
        <f>IF([2]Entry!$G$808="","",[2]Entry!$G$808)</f>
        <v/>
      </c>
      <c r="T805">
        <f>IF([2]Entry!$J$808="","",[2]Entry!$J$808)</f>
        <v/>
      </c>
      <c r="U805">
        <f>IF([2]Entry!$K$808="","",[2]Entry!$K$808)</f>
        <v/>
      </c>
      <c r="V805">
        <f>IF([2]Entry!$L$808="","",[2]Entry!$L$808)</f>
        <v/>
      </c>
      <c r="W805">
        <f>IF([2]Entry!$M$808="","",[2]Entry!$M$808)</f>
        <v/>
      </c>
      <c r="X805">
        <f>IF([2]Entry!$N$808="","",[2]Entry!$N$808)</f>
        <v/>
      </c>
      <c r="Y805">
        <f>IF([2]Entry!$R$808="","",[2]Entry!$R$808)</f>
        <v/>
      </c>
    </row>
    <row r="806">
      <c r="P806">
        <f>IF([2]Entry!$C$809="","",[2]Entry!$C$809)</f>
        <v/>
      </c>
      <c r="Q806">
        <f>IF([2]Entry!$D$809="","",[2]Entry!$D$809)</f>
        <v/>
      </c>
      <c r="R806">
        <f>IF([2]Entry!$E$809="","",[2]Entry!$E$809)</f>
        <v/>
      </c>
      <c r="S806">
        <f>IF([2]Entry!$G$809="","",[2]Entry!$G$809)</f>
        <v/>
      </c>
      <c r="T806">
        <f>IF([2]Entry!$J$809="","",[2]Entry!$J$809)</f>
        <v/>
      </c>
      <c r="U806">
        <f>IF([2]Entry!$K$809="","",[2]Entry!$K$809)</f>
        <v/>
      </c>
      <c r="V806">
        <f>IF([2]Entry!$L$809="","",[2]Entry!$L$809)</f>
        <v/>
      </c>
      <c r="W806">
        <f>IF([2]Entry!$M$809="","",[2]Entry!$M$809)</f>
        <v/>
      </c>
      <c r="X806">
        <f>IF([2]Entry!$N$809="","",[2]Entry!$N$809)</f>
        <v/>
      </c>
      <c r="Y806">
        <f>IF([2]Entry!$R$809="","",[2]Entry!$R$809)</f>
        <v/>
      </c>
    </row>
    <row r="807">
      <c r="P807">
        <f>IF([2]Entry!$C$810="","",[2]Entry!$C$810)</f>
        <v/>
      </c>
      <c r="Q807">
        <f>IF([2]Entry!$D$810="","",[2]Entry!$D$810)</f>
        <v/>
      </c>
      <c r="R807">
        <f>IF([2]Entry!$E$810="","",[2]Entry!$E$810)</f>
        <v/>
      </c>
      <c r="S807">
        <f>IF([2]Entry!$G$810="","",[2]Entry!$G$810)</f>
        <v/>
      </c>
      <c r="T807">
        <f>IF([2]Entry!$J$810="","",[2]Entry!$J$810)</f>
        <v/>
      </c>
      <c r="U807">
        <f>IF([2]Entry!$K$810="","",[2]Entry!$K$810)</f>
        <v/>
      </c>
      <c r="V807">
        <f>IF([2]Entry!$L$810="","",[2]Entry!$L$810)</f>
        <v/>
      </c>
      <c r="W807">
        <f>IF([2]Entry!$M$810="","",[2]Entry!$M$810)</f>
        <v/>
      </c>
      <c r="X807">
        <f>IF([2]Entry!$N$810="","",[2]Entry!$N$810)</f>
        <v/>
      </c>
      <c r="Y807">
        <f>IF([2]Entry!$R$810="","",[2]Entry!$R$810)</f>
        <v/>
      </c>
    </row>
    <row r="808">
      <c r="P808">
        <f>IF([2]Entry!$C$811="","",[2]Entry!$C$811)</f>
        <v/>
      </c>
      <c r="Q808">
        <f>IF([2]Entry!$D$811="","",[2]Entry!$D$811)</f>
        <v/>
      </c>
      <c r="R808">
        <f>IF([2]Entry!$E$811="","",[2]Entry!$E$811)</f>
        <v/>
      </c>
      <c r="S808">
        <f>IF([2]Entry!$G$811="","",[2]Entry!$G$811)</f>
        <v/>
      </c>
      <c r="T808">
        <f>IF([2]Entry!$J$811="","",[2]Entry!$J$811)</f>
        <v/>
      </c>
      <c r="U808">
        <f>IF([2]Entry!$K$811="","",[2]Entry!$K$811)</f>
        <v/>
      </c>
      <c r="V808">
        <f>IF([2]Entry!$L$811="","",[2]Entry!$L$811)</f>
        <v/>
      </c>
      <c r="W808">
        <f>IF([2]Entry!$M$811="","",[2]Entry!$M$811)</f>
        <v/>
      </c>
      <c r="X808">
        <f>IF([2]Entry!$N$811="","",[2]Entry!$N$811)</f>
        <v/>
      </c>
      <c r="Y808">
        <f>IF([2]Entry!$R$811="","",[2]Entry!$R$811)</f>
        <v/>
      </c>
    </row>
    <row r="809">
      <c r="P809">
        <f>IF([2]Entry!$C$812="","",[2]Entry!$C$812)</f>
        <v/>
      </c>
      <c r="Q809">
        <f>IF([2]Entry!$D$812="","",[2]Entry!$D$812)</f>
        <v/>
      </c>
      <c r="R809">
        <f>IF([2]Entry!$E$812="","",[2]Entry!$E$812)</f>
        <v/>
      </c>
      <c r="S809">
        <f>IF([2]Entry!$G$812="","",[2]Entry!$G$812)</f>
        <v/>
      </c>
      <c r="T809">
        <f>IF([2]Entry!$J$812="","",[2]Entry!$J$812)</f>
        <v/>
      </c>
      <c r="U809">
        <f>IF([2]Entry!$K$812="","",[2]Entry!$K$812)</f>
        <v/>
      </c>
      <c r="V809">
        <f>IF([2]Entry!$L$812="","",[2]Entry!$L$812)</f>
        <v/>
      </c>
      <c r="W809">
        <f>IF([2]Entry!$M$812="","",[2]Entry!$M$812)</f>
        <v/>
      </c>
      <c r="X809">
        <f>IF([2]Entry!$N$812="","",[2]Entry!$N$812)</f>
        <v/>
      </c>
      <c r="Y809">
        <f>IF([2]Entry!$R$812="","",[2]Entry!$R$812)</f>
        <v/>
      </c>
    </row>
    <row r="810">
      <c r="P810">
        <f>IF([2]Entry!$C$813="","",[2]Entry!$C$813)</f>
        <v/>
      </c>
      <c r="Q810">
        <f>IF([2]Entry!$D$813="","",[2]Entry!$D$813)</f>
        <v/>
      </c>
      <c r="R810">
        <f>IF([2]Entry!$E$813="","",[2]Entry!$E$813)</f>
        <v/>
      </c>
      <c r="S810">
        <f>IF([2]Entry!$G$813="","",[2]Entry!$G$813)</f>
        <v/>
      </c>
      <c r="T810">
        <f>IF([2]Entry!$J$813="","",[2]Entry!$J$813)</f>
        <v/>
      </c>
      <c r="U810">
        <f>IF([2]Entry!$K$813="","",[2]Entry!$K$813)</f>
        <v/>
      </c>
      <c r="V810">
        <f>IF([2]Entry!$L$813="","",[2]Entry!$L$813)</f>
        <v/>
      </c>
      <c r="W810">
        <f>IF([2]Entry!$M$813="","",[2]Entry!$M$813)</f>
        <v/>
      </c>
      <c r="X810">
        <f>IF([2]Entry!$N$813="","",[2]Entry!$N$813)</f>
        <v/>
      </c>
      <c r="Y810">
        <f>IF([2]Entry!$R$813="","",[2]Entry!$R$813)</f>
        <v/>
      </c>
    </row>
    <row r="811">
      <c r="P811">
        <f>IF([2]Entry!$C$814="","",[2]Entry!$C$814)</f>
        <v/>
      </c>
      <c r="Q811">
        <f>IF([2]Entry!$D$814="","",[2]Entry!$D$814)</f>
        <v/>
      </c>
      <c r="R811">
        <f>IF([2]Entry!$E$814="","",[2]Entry!$E$814)</f>
        <v/>
      </c>
      <c r="S811">
        <f>IF([2]Entry!$G$814="","",[2]Entry!$G$814)</f>
        <v/>
      </c>
      <c r="T811">
        <f>IF([2]Entry!$J$814="","",[2]Entry!$J$814)</f>
        <v/>
      </c>
      <c r="U811">
        <f>IF([2]Entry!$K$814="","",[2]Entry!$K$814)</f>
        <v/>
      </c>
      <c r="V811">
        <f>IF([2]Entry!$L$814="","",[2]Entry!$L$814)</f>
        <v/>
      </c>
      <c r="W811">
        <f>IF([2]Entry!$M$814="","",[2]Entry!$M$814)</f>
        <v/>
      </c>
      <c r="X811">
        <f>IF([2]Entry!$N$814="","",[2]Entry!$N$814)</f>
        <v/>
      </c>
      <c r="Y811">
        <f>IF([2]Entry!$R$814="","",[2]Entry!$R$814)</f>
        <v/>
      </c>
    </row>
    <row r="812">
      <c r="P812">
        <f>IF([2]Entry!$C$815="","",[2]Entry!$C$815)</f>
        <v/>
      </c>
      <c r="Q812">
        <f>IF([2]Entry!$D$815="","",[2]Entry!$D$815)</f>
        <v/>
      </c>
      <c r="R812">
        <f>IF([2]Entry!$E$815="","",[2]Entry!$E$815)</f>
        <v/>
      </c>
      <c r="S812">
        <f>IF([2]Entry!$G$815="","",[2]Entry!$G$815)</f>
        <v/>
      </c>
      <c r="T812">
        <f>IF([2]Entry!$J$815="","",[2]Entry!$J$815)</f>
        <v/>
      </c>
      <c r="U812">
        <f>IF([2]Entry!$K$815="","",[2]Entry!$K$815)</f>
        <v/>
      </c>
      <c r="V812">
        <f>IF([2]Entry!$L$815="","",[2]Entry!$L$815)</f>
        <v/>
      </c>
      <c r="W812">
        <f>IF([2]Entry!$M$815="","",[2]Entry!$M$815)</f>
        <v/>
      </c>
      <c r="X812">
        <f>IF([2]Entry!$N$815="","",[2]Entry!$N$815)</f>
        <v/>
      </c>
      <c r="Y812">
        <f>IF([2]Entry!$R$815="","",[2]Entry!$R$815)</f>
        <v/>
      </c>
    </row>
    <row r="813">
      <c r="P813">
        <f>IF([2]Entry!$C$816="","",[2]Entry!$C$816)</f>
        <v/>
      </c>
      <c r="Q813">
        <f>IF([2]Entry!$D$816="","",[2]Entry!$D$816)</f>
        <v/>
      </c>
      <c r="R813">
        <f>IF([2]Entry!$E$816="","",[2]Entry!$E$816)</f>
        <v/>
      </c>
      <c r="S813">
        <f>IF([2]Entry!$G$816="","",[2]Entry!$G$816)</f>
        <v/>
      </c>
      <c r="T813">
        <f>IF([2]Entry!$J$816="","",[2]Entry!$J$816)</f>
        <v/>
      </c>
      <c r="U813">
        <f>IF([2]Entry!$K$816="","",[2]Entry!$K$816)</f>
        <v/>
      </c>
      <c r="V813">
        <f>IF([2]Entry!$L$816="","",[2]Entry!$L$816)</f>
        <v/>
      </c>
      <c r="W813">
        <f>IF([2]Entry!$M$816="","",[2]Entry!$M$816)</f>
        <v/>
      </c>
      <c r="X813">
        <f>IF([2]Entry!$N$816="","",[2]Entry!$N$816)</f>
        <v/>
      </c>
      <c r="Y813">
        <f>IF([2]Entry!$R$816="","",[2]Entry!$R$816)</f>
        <v/>
      </c>
    </row>
    <row r="814">
      <c r="P814">
        <f>IF([2]Entry!$C$817="","",[2]Entry!$C$817)</f>
        <v/>
      </c>
      <c r="Q814">
        <f>IF([2]Entry!$D$817="","",[2]Entry!$D$817)</f>
        <v/>
      </c>
      <c r="R814">
        <f>IF([2]Entry!$E$817="","",[2]Entry!$E$817)</f>
        <v/>
      </c>
      <c r="S814">
        <f>IF([2]Entry!$G$817="","",[2]Entry!$G$817)</f>
        <v/>
      </c>
      <c r="T814">
        <f>IF([2]Entry!$J$817="","",[2]Entry!$J$817)</f>
        <v/>
      </c>
      <c r="U814">
        <f>IF([2]Entry!$K$817="","",[2]Entry!$K$817)</f>
        <v/>
      </c>
      <c r="V814">
        <f>IF([2]Entry!$L$817="","",[2]Entry!$L$817)</f>
        <v/>
      </c>
      <c r="W814">
        <f>IF([2]Entry!$M$817="","",[2]Entry!$M$817)</f>
        <v/>
      </c>
      <c r="X814">
        <f>IF([2]Entry!$N$817="","",[2]Entry!$N$817)</f>
        <v/>
      </c>
      <c r="Y814">
        <f>IF([2]Entry!$R$817="","",[2]Entry!$R$817)</f>
        <v/>
      </c>
    </row>
    <row r="815">
      <c r="P815">
        <f>IF([2]Entry!$C$818="","",[2]Entry!$C$818)</f>
        <v/>
      </c>
      <c r="Q815">
        <f>IF([2]Entry!$D$818="","",[2]Entry!$D$818)</f>
        <v/>
      </c>
      <c r="R815">
        <f>IF([2]Entry!$E$818="","",[2]Entry!$E$818)</f>
        <v/>
      </c>
      <c r="S815">
        <f>IF([2]Entry!$G$818="","",[2]Entry!$G$818)</f>
        <v/>
      </c>
      <c r="T815">
        <f>IF([2]Entry!$J$818="","",[2]Entry!$J$818)</f>
        <v/>
      </c>
      <c r="U815">
        <f>IF([2]Entry!$K$818="","",[2]Entry!$K$818)</f>
        <v/>
      </c>
      <c r="V815">
        <f>IF([2]Entry!$L$818="","",[2]Entry!$L$818)</f>
        <v/>
      </c>
      <c r="W815">
        <f>IF([2]Entry!$M$818="","",[2]Entry!$M$818)</f>
        <v/>
      </c>
      <c r="X815">
        <f>IF([2]Entry!$N$818="","",[2]Entry!$N$818)</f>
        <v/>
      </c>
      <c r="Y815">
        <f>IF([2]Entry!$R$818="","",[2]Entry!$R$818)</f>
        <v/>
      </c>
    </row>
    <row r="816">
      <c r="P816">
        <f>IF([2]Entry!$C$819="","",[2]Entry!$C$819)</f>
        <v/>
      </c>
      <c r="Q816">
        <f>IF([2]Entry!$D$819="","",[2]Entry!$D$819)</f>
        <v/>
      </c>
      <c r="R816">
        <f>IF([2]Entry!$E$819="","",[2]Entry!$E$819)</f>
        <v/>
      </c>
      <c r="S816">
        <f>IF([2]Entry!$G$819="","",[2]Entry!$G$819)</f>
        <v/>
      </c>
      <c r="T816">
        <f>IF([2]Entry!$J$819="","",[2]Entry!$J$819)</f>
        <v/>
      </c>
      <c r="U816">
        <f>IF([2]Entry!$K$819="","",[2]Entry!$K$819)</f>
        <v/>
      </c>
      <c r="V816">
        <f>IF([2]Entry!$L$819="","",[2]Entry!$L$819)</f>
        <v/>
      </c>
      <c r="W816">
        <f>IF([2]Entry!$M$819="","",[2]Entry!$M$819)</f>
        <v/>
      </c>
      <c r="X816">
        <f>IF([2]Entry!$N$819="","",[2]Entry!$N$819)</f>
        <v/>
      </c>
      <c r="Y816">
        <f>IF([2]Entry!$R$819="","",[2]Entry!$R$819)</f>
        <v/>
      </c>
    </row>
    <row r="817">
      <c r="P817">
        <f>IF([2]Entry!$C$820="","",[2]Entry!$C$820)</f>
        <v/>
      </c>
      <c r="Q817">
        <f>IF([2]Entry!$D$820="","",[2]Entry!$D$820)</f>
        <v/>
      </c>
      <c r="R817">
        <f>IF([2]Entry!$E$820="","",[2]Entry!$E$820)</f>
        <v/>
      </c>
      <c r="S817">
        <f>IF([2]Entry!$G$820="","",[2]Entry!$G$820)</f>
        <v/>
      </c>
      <c r="T817">
        <f>IF([2]Entry!$J$820="","",[2]Entry!$J$820)</f>
        <v/>
      </c>
      <c r="U817">
        <f>IF([2]Entry!$K$820="","",[2]Entry!$K$820)</f>
        <v/>
      </c>
      <c r="V817">
        <f>IF([2]Entry!$L$820="","",[2]Entry!$L$820)</f>
        <v/>
      </c>
      <c r="W817">
        <f>IF([2]Entry!$M$820="","",[2]Entry!$M$820)</f>
        <v/>
      </c>
      <c r="X817">
        <f>IF([2]Entry!$N$820="","",[2]Entry!$N$820)</f>
        <v/>
      </c>
      <c r="Y817">
        <f>IF([2]Entry!$R$820="","",[2]Entry!$R$820)</f>
        <v/>
      </c>
    </row>
    <row r="818">
      <c r="P818">
        <f>IF([2]Entry!$C$821="","",[2]Entry!$C$821)</f>
        <v/>
      </c>
      <c r="Q818">
        <f>IF([2]Entry!$D$821="","",[2]Entry!$D$821)</f>
        <v/>
      </c>
      <c r="R818">
        <f>IF([2]Entry!$E$821="","",[2]Entry!$E$821)</f>
        <v/>
      </c>
      <c r="S818">
        <f>IF([2]Entry!$G$821="","",[2]Entry!$G$821)</f>
        <v/>
      </c>
      <c r="T818">
        <f>IF([2]Entry!$J$821="","",[2]Entry!$J$821)</f>
        <v/>
      </c>
      <c r="U818">
        <f>IF([2]Entry!$K$821="","",[2]Entry!$K$821)</f>
        <v/>
      </c>
      <c r="V818">
        <f>IF([2]Entry!$L$821="","",[2]Entry!$L$821)</f>
        <v/>
      </c>
      <c r="W818">
        <f>IF([2]Entry!$M$821="","",[2]Entry!$M$821)</f>
        <v/>
      </c>
      <c r="X818">
        <f>IF([2]Entry!$N$821="","",[2]Entry!$N$821)</f>
        <v/>
      </c>
      <c r="Y818">
        <f>IF([2]Entry!$R$821="","",[2]Entry!$R$821)</f>
        <v/>
      </c>
    </row>
    <row r="819">
      <c r="P819">
        <f>IF([2]Entry!$C$822="","",[2]Entry!$C$822)</f>
        <v/>
      </c>
      <c r="Q819">
        <f>IF([2]Entry!$D$822="","",[2]Entry!$D$822)</f>
        <v/>
      </c>
      <c r="R819">
        <f>IF([2]Entry!$E$822="","",[2]Entry!$E$822)</f>
        <v/>
      </c>
      <c r="S819">
        <f>IF([2]Entry!$G$822="","",[2]Entry!$G$822)</f>
        <v/>
      </c>
      <c r="T819">
        <f>IF([2]Entry!$J$822="","",[2]Entry!$J$822)</f>
        <v/>
      </c>
      <c r="U819">
        <f>IF([2]Entry!$K$822="","",[2]Entry!$K$822)</f>
        <v/>
      </c>
      <c r="V819">
        <f>IF([2]Entry!$L$822="","",[2]Entry!$L$822)</f>
        <v/>
      </c>
      <c r="W819">
        <f>IF([2]Entry!$M$822="","",[2]Entry!$M$822)</f>
        <v/>
      </c>
      <c r="X819">
        <f>IF([2]Entry!$N$822="","",[2]Entry!$N$822)</f>
        <v/>
      </c>
      <c r="Y819">
        <f>IF([2]Entry!$R$822="","",[2]Entry!$R$822)</f>
        <v/>
      </c>
    </row>
    <row r="820">
      <c r="P820">
        <f>IF([2]Entry!$C$823="","",[2]Entry!$C$823)</f>
        <v/>
      </c>
      <c r="Q820">
        <f>IF([2]Entry!$D$823="","",[2]Entry!$D$823)</f>
        <v/>
      </c>
      <c r="R820">
        <f>IF([2]Entry!$E$823="","",[2]Entry!$E$823)</f>
        <v/>
      </c>
      <c r="S820">
        <f>IF([2]Entry!$G$823="","",[2]Entry!$G$823)</f>
        <v/>
      </c>
      <c r="T820">
        <f>IF([2]Entry!$J$823="","",[2]Entry!$J$823)</f>
        <v/>
      </c>
      <c r="U820">
        <f>IF([2]Entry!$K$823="","",[2]Entry!$K$823)</f>
        <v/>
      </c>
      <c r="V820">
        <f>IF([2]Entry!$L$823="","",[2]Entry!$L$823)</f>
        <v/>
      </c>
      <c r="W820">
        <f>IF([2]Entry!$M$823="","",[2]Entry!$M$823)</f>
        <v/>
      </c>
      <c r="X820">
        <f>IF([2]Entry!$N$823="","",[2]Entry!$N$823)</f>
        <v/>
      </c>
      <c r="Y820">
        <f>IF([2]Entry!$R$823="","",[2]Entry!$R$823)</f>
        <v/>
      </c>
    </row>
    <row r="821">
      <c r="P821">
        <f>IF([2]Entry!$C$824="","",[2]Entry!$C$824)</f>
        <v/>
      </c>
      <c r="Q821">
        <f>IF([2]Entry!$D$824="","",[2]Entry!$D$824)</f>
        <v/>
      </c>
      <c r="R821">
        <f>IF([2]Entry!$E$824="","",[2]Entry!$E$824)</f>
        <v/>
      </c>
      <c r="S821">
        <f>IF([2]Entry!$G$824="","",[2]Entry!$G$824)</f>
        <v/>
      </c>
      <c r="T821">
        <f>IF([2]Entry!$J$824="","",[2]Entry!$J$824)</f>
        <v/>
      </c>
      <c r="U821">
        <f>IF([2]Entry!$K$824="","",[2]Entry!$K$824)</f>
        <v/>
      </c>
      <c r="V821">
        <f>IF([2]Entry!$L$824="","",[2]Entry!$L$824)</f>
        <v/>
      </c>
      <c r="W821">
        <f>IF([2]Entry!$M$824="","",[2]Entry!$M$824)</f>
        <v/>
      </c>
      <c r="X821">
        <f>IF([2]Entry!$N$824="","",[2]Entry!$N$824)</f>
        <v/>
      </c>
      <c r="Y821">
        <f>IF([2]Entry!$R$824="","",[2]Entry!$R$824)</f>
        <v/>
      </c>
    </row>
    <row r="822">
      <c r="P822">
        <f>IF([2]Entry!$C$825="","",[2]Entry!$C$825)</f>
        <v/>
      </c>
      <c r="Q822">
        <f>IF([2]Entry!$D$825="","",[2]Entry!$D$825)</f>
        <v/>
      </c>
      <c r="R822">
        <f>IF([2]Entry!$E$825="","",[2]Entry!$E$825)</f>
        <v/>
      </c>
      <c r="S822">
        <f>IF([2]Entry!$G$825="","",[2]Entry!$G$825)</f>
        <v/>
      </c>
      <c r="T822">
        <f>IF([2]Entry!$J$825="","",[2]Entry!$J$825)</f>
        <v/>
      </c>
      <c r="U822">
        <f>IF([2]Entry!$K$825="","",[2]Entry!$K$825)</f>
        <v/>
      </c>
      <c r="V822">
        <f>IF([2]Entry!$L$825="","",[2]Entry!$L$825)</f>
        <v/>
      </c>
      <c r="W822">
        <f>IF([2]Entry!$M$825="","",[2]Entry!$M$825)</f>
        <v/>
      </c>
      <c r="X822">
        <f>IF([2]Entry!$N$825="","",[2]Entry!$N$825)</f>
        <v/>
      </c>
      <c r="Y822">
        <f>IF([2]Entry!$R$825="","",[2]Entry!$R$825)</f>
        <v/>
      </c>
    </row>
    <row r="823">
      <c r="P823">
        <f>IF([2]Entry!$C$826="","",[2]Entry!$C$826)</f>
        <v/>
      </c>
      <c r="Q823">
        <f>IF([2]Entry!$D$826="","",[2]Entry!$D$826)</f>
        <v/>
      </c>
      <c r="R823">
        <f>IF([2]Entry!$E$826="","",[2]Entry!$E$826)</f>
        <v/>
      </c>
      <c r="S823">
        <f>IF([2]Entry!$G$826="","",[2]Entry!$G$826)</f>
        <v/>
      </c>
      <c r="T823">
        <f>IF([2]Entry!$J$826="","",[2]Entry!$J$826)</f>
        <v/>
      </c>
      <c r="U823">
        <f>IF([2]Entry!$K$826="","",[2]Entry!$K$826)</f>
        <v/>
      </c>
      <c r="V823">
        <f>IF([2]Entry!$L$826="","",[2]Entry!$L$826)</f>
        <v/>
      </c>
      <c r="W823">
        <f>IF([2]Entry!$M$826="","",[2]Entry!$M$826)</f>
        <v/>
      </c>
      <c r="X823">
        <f>IF([2]Entry!$N$826="","",[2]Entry!$N$826)</f>
        <v/>
      </c>
      <c r="Y823">
        <f>IF([2]Entry!$R$826="","",[2]Entry!$R$826)</f>
        <v/>
      </c>
    </row>
    <row r="824">
      <c r="P824">
        <f>IF([2]Entry!$C$827="","",[2]Entry!$C$827)</f>
        <v/>
      </c>
      <c r="Q824">
        <f>IF([2]Entry!$D$827="","",[2]Entry!$D$827)</f>
        <v/>
      </c>
      <c r="R824">
        <f>IF([2]Entry!$E$827="","",[2]Entry!$E$827)</f>
        <v/>
      </c>
      <c r="S824">
        <f>IF([2]Entry!$G$827="","",[2]Entry!$G$827)</f>
        <v/>
      </c>
      <c r="T824">
        <f>IF([2]Entry!$J$827="","",[2]Entry!$J$827)</f>
        <v/>
      </c>
      <c r="U824">
        <f>IF([2]Entry!$K$827="","",[2]Entry!$K$827)</f>
        <v/>
      </c>
      <c r="V824">
        <f>IF([2]Entry!$L$827="","",[2]Entry!$L$827)</f>
        <v/>
      </c>
      <c r="W824">
        <f>IF([2]Entry!$M$827="","",[2]Entry!$M$827)</f>
        <v/>
      </c>
      <c r="X824">
        <f>IF([2]Entry!$N$827="","",[2]Entry!$N$827)</f>
        <v/>
      </c>
      <c r="Y824">
        <f>IF([2]Entry!$R$827="","",[2]Entry!$R$827)</f>
        <v/>
      </c>
    </row>
    <row r="825">
      <c r="P825">
        <f>IF([2]Entry!$C$828="","",[2]Entry!$C$828)</f>
        <v/>
      </c>
      <c r="Q825">
        <f>IF([2]Entry!$D$828="","",[2]Entry!$D$828)</f>
        <v/>
      </c>
      <c r="R825">
        <f>IF([2]Entry!$E$828="","",[2]Entry!$E$828)</f>
        <v/>
      </c>
      <c r="S825">
        <f>IF([2]Entry!$G$828="","",[2]Entry!$G$828)</f>
        <v/>
      </c>
      <c r="T825">
        <f>IF([2]Entry!$J$828="","",[2]Entry!$J$828)</f>
        <v/>
      </c>
      <c r="U825">
        <f>IF([2]Entry!$K$828="","",[2]Entry!$K$828)</f>
        <v/>
      </c>
      <c r="V825">
        <f>IF([2]Entry!$L$828="","",[2]Entry!$L$828)</f>
        <v/>
      </c>
      <c r="W825">
        <f>IF([2]Entry!$M$828="","",[2]Entry!$M$828)</f>
        <v/>
      </c>
      <c r="X825">
        <f>IF([2]Entry!$N$828="","",[2]Entry!$N$828)</f>
        <v/>
      </c>
      <c r="Y825">
        <f>IF([2]Entry!$R$828="","",[2]Entry!$R$828)</f>
        <v/>
      </c>
    </row>
    <row r="826">
      <c r="P826">
        <f>IF([2]Entry!$C$829="","",[2]Entry!$C$829)</f>
        <v/>
      </c>
      <c r="Q826">
        <f>IF([2]Entry!$D$829="","",[2]Entry!$D$829)</f>
        <v/>
      </c>
      <c r="R826">
        <f>IF([2]Entry!$E$829="","",[2]Entry!$E$829)</f>
        <v/>
      </c>
      <c r="S826">
        <f>IF([2]Entry!$G$829="","",[2]Entry!$G$829)</f>
        <v/>
      </c>
      <c r="T826">
        <f>IF([2]Entry!$J$829="","",[2]Entry!$J$829)</f>
        <v/>
      </c>
      <c r="U826">
        <f>IF([2]Entry!$K$829="","",[2]Entry!$K$829)</f>
        <v/>
      </c>
      <c r="V826">
        <f>IF([2]Entry!$L$829="","",[2]Entry!$L$829)</f>
        <v/>
      </c>
      <c r="W826">
        <f>IF([2]Entry!$M$829="","",[2]Entry!$M$829)</f>
        <v/>
      </c>
      <c r="X826">
        <f>IF([2]Entry!$N$829="","",[2]Entry!$N$829)</f>
        <v/>
      </c>
      <c r="Y826">
        <f>IF([2]Entry!$R$829="","",[2]Entry!$R$829)</f>
        <v/>
      </c>
    </row>
    <row r="827">
      <c r="P827">
        <f>IF([2]Entry!$C$830="","",[2]Entry!$C$830)</f>
        <v/>
      </c>
      <c r="Q827">
        <f>IF([2]Entry!$D$830="","",[2]Entry!$D$830)</f>
        <v/>
      </c>
      <c r="R827">
        <f>IF([2]Entry!$E$830="","",[2]Entry!$E$830)</f>
        <v/>
      </c>
      <c r="S827">
        <f>IF([2]Entry!$G$830="","",[2]Entry!$G$830)</f>
        <v/>
      </c>
      <c r="T827">
        <f>IF([2]Entry!$J$830="","",[2]Entry!$J$830)</f>
        <v/>
      </c>
      <c r="U827">
        <f>IF([2]Entry!$K$830="","",[2]Entry!$K$830)</f>
        <v/>
      </c>
      <c r="V827">
        <f>IF([2]Entry!$L$830="","",[2]Entry!$L$830)</f>
        <v/>
      </c>
      <c r="W827">
        <f>IF([2]Entry!$M$830="","",[2]Entry!$M$830)</f>
        <v/>
      </c>
      <c r="X827">
        <f>IF([2]Entry!$N$830="","",[2]Entry!$N$830)</f>
        <v/>
      </c>
      <c r="Y827">
        <f>IF([2]Entry!$R$830="","",[2]Entry!$R$830)</f>
        <v/>
      </c>
    </row>
    <row r="828">
      <c r="P828">
        <f>IF([2]Entry!$C$831="","",[2]Entry!$C$831)</f>
        <v/>
      </c>
      <c r="Q828">
        <f>IF([2]Entry!$D$831="","",[2]Entry!$D$831)</f>
        <v/>
      </c>
      <c r="R828">
        <f>IF([2]Entry!$E$831="","",[2]Entry!$E$831)</f>
        <v/>
      </c>
      <c r="S828">
        <f>IF([2]Entry!$G$831="","",[2]Entry!$G$831)</f>
        <v/>
      </c>
      <c r="T828">
        <f>IF([2]Entry!$J$831="","",[2]Entry!$J$831)</f>
        <v/>
      </c>
      <c r="U828">
        <f>IF([2]Entry!$K$831="","",[2]Entry!$K$831)</f>
        <v/>
      </c>
      <c r="V828">
        <f>IF([2]Entry!$L$831="","",[2]Entry!$L$831)</f>
        <v/>
      </c>
      <c r="W828">
        <f>IF([2]Entry!$M$831="","",[2]Entry!$M$831)</f>
        <v/>
      </c>
      <c r="X828">
        <f>IF([2]Entry!$N$831="","",[2]Entry!$N$831)</f>
        <v/>
      </c>
      <c r="Y828">
        <f>IF([2]Entry!$R$831="","",[2]Entry!$R$831)</f>
        <v/>
      </c>
    </row>
    <row r="829">
      <c r="P829">
        <f>IF([2]Entry!$C$832="","",[2]Entry!$C$832)</f>
        <v/>
      </c>
      <c r="Q829">
        <f>IF([2]Entry!$D$832="","",[2]Entry!$D$832)</f>
        <v/>
      </c>
      <c r="R829">
        <f>IF([2]Entry!$E$832="","",[2]Entry!$E$832)</f>
        <v/>
      </c>
      <c r="S829">
        <f>IF([2]Entry!$G$832="","",[2]Entry!$G$832)</f>
        <v/>
      </c>
      <c r="T829">
        <f>IF([2]Entry!$J$832="","",[2]Entry!$J$832)</f>
        <v/>
      </c>
      <c r="U829">
        <f>IF([2]Entry!$K$832="","",[2]Entry!$K$832)</f>
        <v/>
      </c>
      <c r="V829">
        <f>IF([2]Entry!$L$832="","",[2]Entry!$L$832)</f>
        <v/>
      </c>
      <c r="W829">
        <f>IF([2]Entry!$M$832="","",[2]Entry!$M$832)</f>
        <v/>
      </c>
      <c r="X829">
        <f>IF([2]Entry!$N$832="","",[2]Entry!$N$832)</f>
        <v/>
      </c>
      <c r="Y829">
        <f>IF([2]Entry!$R$832="","",[2]Entry!$R$832)</f>
        <v/>
      </c>
    </row>
    <row r="830">
      <c r="P830">
        <f>IF([2]Entry!$C$833="","",[2]Entry!$C$833)</f>
        <v/>
      </c>
      <c r="Q830">
        <f>IF([2]Entry!$D$833="","",[2]Entry!$D$833)</f>
        <v/>
      </c>
      <c r="R830">
        <f>IF([2]Entry!$E$833="","",[2]Entry!$E$833)</f>
        <v/>
      </c>
      <c r="S830">
        <f>IF([2]Entry!$G$833="","",[2]Entry!$G$833)</f>
        <v/>
      </c>
      <c r="T830">
        <f>IF([2]Entry!$J$833="","",[2]Entry!$J$833)</f>
        <v/>
      </c>
      <c r="U830">
        <f>IF([2]Entry!$K$833="","",[2]Entry!$K$833)</f>
        <v/>
      </c>
      <c r="V830">
        <f>IF([2]Entry!$L$833="","",[2]Entry!$L$833)</f>
        <v/>
      </c>
      <c r="W830">
        <f>IF([2]Entry!$M$833="","",[2]Entry!$M$833)</f>
        <v/>
      </c>
      <c r="X830">
        <f>IF([2]Entry!$N$833="","",[2]Entry!$N$833)</f>
        <v/>
      </c>
      <c r="Y830">
        <f>IF([2]Entry!$R$833="","",[2]Entry!$R$833)</f>
        <v/>
      </c>
    </row>
    <row r="831">
      <c r="P831">
        <f>IF([2]Entry!$C$834="","",[2]Entry!$C$834)</f>
        <v/>
      </c>
      <c r="Q831">
        <f>IF([2]Entry!$D$834="","",[2]Entry!$D$834)</f>
        <v/>
      </c>
      <c r="R831">
        <f>IF([2]Entry!$E$834="","",[2]Entry!$E$834)</f>
        <v/>
      </c>
      <c r="S831">
        <f>IF([2]Entry!$G$834="","",[2]Entry!$G$834)</f>
        <v/>
      </c>
      <c r="T831">
        <f>IF([2]Entry!$J$834="","",[2]Entry!$J$834)</f>
        <v/>
      </c>
      <c r="U831">
        <f>IF([2]Entry!$K$834="","",[2]Entry!$K$834)</f>
        <v/>
      </c>
      <c r="V831">
        <f>IF([2]Entry!$L$834="","",[2]Entry!$L$834)</f>
        <v/>
      </c>
      <c r="W831">
        <f>IF([2]Entry!$M$834="","",[2]Entry!$M$834)</f>
        <v/>
      </c>
      <c r="X831">
        <f>IF([2]Entry!$N$834="","",[2]Entry!$N$834)</f>
        <v/>
      </c>
      <c r="Y831">
        <f>IF([2]Entry!$R$834="","",[2]Entry!$R$834)</f>
        <v/>
      </c>
    </row>
    <row r="832">
      <c r="P832">
        <f>IF([2]Entry!$C$835="","",[2]Entry!$C$835)</f>
        <v/>
      </c>
      <c r="Q832">
        <f>IF([2]Entry!$D$835="","",[2]Entry!$D$835)</f>
        <v/>
      </c>
      <c r="R832">
        <f>IF([2]Entry!$E$835="","",[2]Entry!$E$835)</f>
        <v/>
      </c>
      <c r="S832">
        <f>IF([2]Entry!$G$835="","",[2]Entry!$G$835)</f>
        <v/>
      </c>
      <c r="T832">
        <f>IF([2]Entry!$J$835="","",[2]Entry!$J$835)</f>
        <v/>
      </c>
      <c r="U832">
        <f>IF([2]Entry!$K$835="","",[2]Entry!$K$835)</f>
        <v/>
      </c>
      <c r="V832">
        <f>IF([2]Entry!$L$835="","",[2]Entry!$L$835)</f>
        <v/>
      </c>
      <c r="W832">
        <f>IF([2]Entry!$M$835="","",[2]Entry!$M$835)</f>
        <v/>
      </c>
      <c r="X832">
        <f>IF([2]Entry!$N$835="","",[2]Entry!$N$835)</f>
        <v/>
      </c>
      <c r="Y832">
        <f>IF([2]Entry!$R$835="","",[2]Entry!$R$835)</f>
        <v/>
      </c>
    </row>
    <row r="833">
      <c r="P833">
        <f>IF([2]Entry!$C$836="","",[2]Entry!$C$836)</f>
        <v/>
      </c>
      <c r="Q833">
        <f>IF([2]Entry!$D$836="","",[2]Entry!$D$836)</f>
        <v/>
      </c>
      <c r="R833">
        <f>IF([2]Entry!$E$836="","",[2]Entry!$E$836)</f>
        <v/>
      </c>
      <c r="S833">
        <f>IF([2]Entry!$G$836="","",[2]Entry!$G$836)</f>
        <v/>
      </c>
      <c r="T833">
        <f>IF([2]Entry!$J$836="","",[2]Entry!$J$836)</f>
        <v/>
      </c>
      <c r="U833">
        <f>IF([2]Entry!$K$836="","",[2]Entry!$K$836)</f>
        <v/>
      </c>
      <c r="V833">
        <f>IF([2]Entry!$L$836="","",[2]Entry!$L$836)</f>
        <v/>
      </c>
      <c r="W833">
        <f>IF([2]Entry!$M$836="","",[2]Entry!$M$836)</f>
        <v/>
      </c>
      <c r="X833">
        <f>IF([2]Entry!$N$836="","",[2]Entry!$N$836)</f>
        <v/>
      </c>
      <c r="Y833">
        <f>IF([2]Entry!$R$836="","",[2]Entry!$R$836)</f>
        <v/>
      </c>
    </row>
    <row r="834">
      <c r="P834">
        <f>IF([2]Entry!$C$837="","",[2]Entry!$C$837)</f>
        <v/>
      </c>
      <c r="Q834">
        <f>IF([2]Entry!$D$837="","",[2]Entry!$D$837)</f>
        <v/>
      </c>
      <c r="R834">
        <f>IF([2]Entry!$E$837="","",[2]Entry!$E$837)</f>
        <v/>
      </c>
      <c r="S834">
        <f>IF([2]Entry!$G$837="","",[2]Entry!$G$837)</f>
        <v/>
      </c>
      <c r="T834">
        <f>IF([2]Entry!$J$837="","",[2]Entry!$J$837)</f>
        <v/>
      </c>
      <c r="U834">
        <f>IF([2]Entry!$K$837="","",[2]Entry!$K$837)</f>
        <v/>
      </c>
      <c r="V834">
        <f>IF([2]Entry!$L$837="","",[2]Entry!$L$837)</f>
        <v/>
      </c>
      <c r="W834">
        <f>IF([2]Entry!$M$837="","",[2]Entry!$M$837)</f>
        <v/>
      </c>
      <c r="X834">
        <f>IF([2]Entry!$N$837="","",[2]Entry!$N$837)</f>
        <v/>
      </c>
      <c r="Y834">
        <f>IF([2]Entry!$R$837="","",[2]Entry!$R$837)</f>
        <v/>
      </c>
    </row>
    <row r="835">
      <c r="P835">
        <f>IF([2]Entry!$C$838="","",[2]Entry!$C$838)</f>
        <v/>
      </c>
      <c r="Q835">
        <f>IF([2]Entry!$D$838="","",[2]Entry!$D$838)</f>
        <v/>
      </c>
      <c r="R835">
        <f>IF([2]Entry!$E$838="","",[2]Entry!$E$838)</f>
        <v/>
      </c>
      <c r="S835">
        <f>IF([2]Entry!$G$838="","",[2]Entry!$G$838)</f>
        <v/>
      </c>
      <c r="T835">
        <f>IF([2]Entry!$J$838="","",[2]Entry!$J$838)</f>
        <v/>
      </c>
      <c r="U835">
        <f>IF([2]Entry!$K$838="","",[2]Entry!$K$838)</f>
        <v/>
      </c>
      <c r="V835">
        <f>IF([2]Entry!$L$838="","",[2]Entry!$L$838)</f>
        <v/>
      </c>
      <c r="W835">
        <f>IF([2]Entry!$M$838="","",[2]Entry!$M$838)</f>
        <v/>
      </c>
      <c r="X835">
        <f>IF([2]Entry!$N$838="","",[2]Entry!$N$838)</f>
        <v/>
      </c>
      <c r="Y835">
        <f>IF([2]Entry!$R$838="","",[2]Entry!$R$838)</f>
        <v/>
      </c>
    </row>
    <row r="836">
      <c r="P836">
        <f>IF([2]Entry!$C$839="","",[2]Entry!$C$839)</f>
        <v/>
      </c>
      <c r="Q836">
        <f>IF([2]Entry!$D$839="","",[2]Entry!$D$839)</f>
        <v/>
      </c>
      <c r="R836">
        <f>IF([2]Entry!$E$839="","",[2]Entry!$E$839)</f>
        <v/>
      </c>
      <c r="S836">
        <f>IF([2]Entry!$G$839="","",[2]Entry!$G$839)</f>
        <v/>
      </c>
      <c r="T836">
        <f>IF([2]Entry!$J$839="","",[2]Entry!$J$839)</f>
        <v/>
      </c>
      <c r="U836">
        <f>IF([2]Entry!$K$839="","",[2]Entry!$K$839)</f>
        <v/>
      </c>
      <c r="V836">
        <f>IF([2]Entry!$L$839="","",[2]Entry!$L$839)</f>
        <v/>
      </c>
      <c r="W836">
        <f>IF([2]Entry!$M$839="","",[2]Entry!$M$839)</f>
        <v/>
      </c>
      <c r="X836">
        <f>IF([2]Entry!$N$839="","",[2]Entry!$N$839)</f>
        <v/>
      </c>
      <c r="Y836">
        <f>IF([2]Entry!$R$839="","",[2]Entry!$R$839)</f>
        <v/>
      </c>
    </row>
    <row r="837">
      <c r="P837">
        <f>IF([2]Entry!$C$840="","",[2]Entry!$C$840)</f>
        <v/>
      </c>
      <c r="Q837">
        <f>IF([2]Entry!$D$840="","",[2]Entry!$D$840)</f>
        <v/>
      </c>
      <c r="R837">
        <f>IF([2]Entry!$E$840="","",[2]Entry!$E$840)</f>
        <v/>
      </c>
      <c r="S837">
        <f>IF([2]Entry!$G$840="","",[2]Entry!$G$840)</f>
        <v/>
      </c>
      <c r="T837">
        <f>IF([2]Entry!$J$840="","",[2]Entry!$J$840)</f>
        <v/>
      </c>
      <c r="U837">
        <f>IF([2]Entry!$K$840="","",[2]Entry!$K$840)</f>
        <v/>
      </c>
      <c r="V837">
        <f>IF([2]Entry!$L$840="","",[2]Entry!$L$840)</f>
        <v/>
      </c>
      <c r="W837">
        <f>IF([2]Entry!$M$840="","",[2]Entry!$M$840)</f>
        <v/>
      </c>
      <c r="X837">
        <f>IF([2]Entry!$N$840="","",[2]Entry!$N$840)</f>
        <v/>
      </c>
      <c r="Y837">
        <f>IF([2]Entry!$R$840="","",[2]Entry!$R$840)</f>
        <v/>
      </c>
    </row>
    <row r="838">
      <c r="P838">
        <f>IF([2]Entry!$C$841="","",[2]Entry!$C$841)</f>
        <v/>
      </c>
      <c r="Q838">
        <f>IF([2]Entry!$D$841="","",[2]Entry!$D$841)</f>
        <v/>
      </c>
      <c r="R838">
        <f>IF([2]Entry!$E$841="","",[2]Entry!$E$841)</f>
        <v/>
      </c>
      <c r="S838">
        <f>IF([2]Entry!$G$841="","",[2]Entry!$G$841)</f>
        <v/>
      </c>
      <c r="T838">
        <f>IF([2]Entry!$J$841="","",[2]Entry!$J$841)</f>
        <v/>
      </c>
      <c r="U838">
        <f>IF([2]Entry!$K$841="","",[2]Entry!$K$841)</f>
        <v/>
      </c>
      <c r="V838">
        <f>IF([2]Entry!$L$841="","",[2]Entry!$L$841)</f>
        <v/>
      </c>
      <c r="W838">
        <f>IF([2]Entry!$M$841="","",[2]Entry!$M$841)</f>
        <v/>
      </c>
      <c r="X838">
        <f>IF([2]Entry!$N$841="","",[2]Entry!$N$841)</f>
        <v/>
      </c>
      <c r="Y838">
        <f>IF([2]Entry!$R$841="","",[2]Entry!$R$841)</f>
        <v/>
      </c>
    </row>
    <row r="839">
      <c r="P839">
        <f>IF([2]Entry!$C$842="","",[2]Entry!$C$842)</f>
        <v/>
      </c>
      <c r="Q839">
        <f>IF([2]Entry!$D$842="","",[2]Entry!$D$842)</f>
        <v/>
      </c>
      <c r="R839">
        <f>IF([2]Entry!$E$842="","",[2]Entry!$E$842)</f>
        <v/>
      </c>
      <c r="S839">
        <f>IF([2]Entry!$G$842="","",[2]Entry!$G$842)</f>
        <v/>
      </c>
      <c r="T839">
        <f>IF([2]Entry!$J$842="","",[2]Entry!$J$842)</f>
        <v/>
      </c>
      <c r="U839">
        <f>IF([2]Entry!$K$842="","",[2]Entry!$K$842)</f>
        <v/>
      </c>
      <c r="V839">
        <f>IF([2]Entry!$L$842="","",[2]Entry!$L$842)</f>
        <v/>
      </c>
      <c r="W839">
        <f>IF([2]Entry!$M$842="","",[2]Entry!$M$842)</f>
        <v/>
      </c>
      <c r="X839">
        <f>IF([2]Entry!$N$842="","",[2]Entry!$N$842)</f>
        <v/>
      </c>
      <c r="Y839">
        <f>IF([2]Entry!$R$842="","",[2]Entry!$R$842)</f>
        <v/>
      </c>
    </row>
    <row r="840">
      <c r="P840">
        <f>IF([2]Entry!$C$843="","",[2]Entry!$C$843)</f>
        <v/>
      </c>
      <c r="Q840">
        <f>IF([2]Entry!$D$843="","",[2]Entry!$D$843)</f>
        <v/>
      </c>
      <c r="R840">
        <f>IF([2]Entry!$E$843="","",[2]Entry!$E$843)</f>
        <v/>
      </c>
      <c r="S840">
        <f>IF([2]Entry!$G$843="","",[2]Entry!$G$843)</f>
        <v/>
      </c>
      <c r="T840">
        <f>IF([2]Entry!$J$843="","",[2]Entry!$J$843)</f>
        <v/>
      </c>
      <c r="U840">
        <f>IF([2]Entry!$K$843="","",[2]Entry!$K$843)</f>
        <v/>
      </c>
      <c r="V840">
        <f>IF([2]Entry!$L$843="","",[2]Entry!$L$843)</f>
        <v/>
      </c>
      <c r="W840">
        <f>IF([2]Entry!$M$843="","",[2]Entry!$M$843)</f>
        <v/>
      </c>
      <c r="X840">
        <f>IF([2]Entry!$N$843="","",[2]Entry!$N$843)</f>
        <v/>
      </c>
      <c r="Y840">
        <f>IF([2]Entry!$R$843="","",[2]Entry!$R$843)</f>
        <v/>
      </c>
    </row>
    <row r="841">
      <c r="P841">
        <f>IF([2]Entry!$C$844="","",[2]Entry!$C$844)</f>
        <v/>
      </c>
      <c r="Q841">
        <f>IF([2]Entry!$D$844="","",[2]Entry!$D$844)</f>
        <v/>
      </c>
      <c r="R841">
        <f>IF([2]Entry!$E$844="","",[2]Entry!$E$844)</f>
        <v/>
      </c>
      <c r="S841">
        <f>IF([2]Entry!$G$844="","",[2]Entry!$G$844)</f>
        <v/>
      </c>
      <c r="T841">
        <f>IF([2]Entry!$J$844="","",[2]Entry!$J$844)</f>
        <v/>
      </c>
      <c r="U841">
        <f>IF([2]Entry!$K$844="","",[2]Entry!$K$844)</f>
        <v/>
      </c>
      <c r="V841">
        <f>IF([2]Entry!$L$844="","",[2]Entry!$L$844)</f>
        <v/>
      </c>
      <c r="W841">
        <f>IF([2]Entry!$M$844="","",[2]Entry!$M$844)</f>
        <v/>
      </c>
      <c r="X841">
        <f>IF([2]Entry!$N$844="","",[2]Entry!$N$844)</f>
        <v/>
      </c>
      <c r="Y841">
        <f>IF([2]Entry!$R$844="","",[2]Entry!$R$844)</f>
        <v/>
      </c>
    </row>
    <row r="842">
      <c r="P842">
        <f>IF([2]Entry!$C$845="","",[2]Entry!$C$845)</f>
        <v/>
      </c>
      <c r="Q842">
        <f>IF([2]Entry!$D$845="","",[2]Entry!$D$845)</f>
        <v/>
      </c>
      <c r="R842">
        <f>IF([2]Entry!$E$845="","",[2]Entry!$E$845)</f>
        <v/>
      </c>
      <c r="S842">
        <f>IF([2]Entry!$G$845="","",[2]Entry!$G$845)</f>
        <v/>
      </c>
      <c r="T842">
        <f>IF([2]Entry!$J$845="","",[2]Entry!$J$845)</f>
        <v/>
      </c>
      <c r="U842">
        <f>IF([2]Entry!$K$845="","",[2]Entry!$K$845)</f>
        <v/>
      </c>
      <c r="V842">
        <f>IF([2]Entry!$L$845="","",[2]Entry!$L$845)</f>
        <v/>
      </c>
      <c r="W842">
        <f>IF([2]Entry!$M$845="","",[2]Entry!$M$845)</f>
        <v/>
      </c>
      <c r="X842">
        <f>IF([2]Entry!$N$845="","",[2]Entry!$N$845)</f>
        <v/>
      </c>
      <c r="Y842">
        <f>IF([2]Entry!$R$845="","",[2]Entry!$R$845)</f>
        <v/>
      </c>
    </row>
    <row r="843">
      <c r="P843">
        <f>IF([2]Entry!$C$846="","",[2]Entry!$C$846)</f>
        <v/>
      </c>
      <c r="Q843">
        <f>IF([2]Entry!$D$846="","",[2]Entry!$D$846)</f>
        <v/>
      </c>
      <c r="R843">
        <f>IF([2]Entry!$E$846="","",[2]Entry!$E$846)</f>
        <v/>
      </c>
      <c r="S843">
        <f>IF([2]Entry!$G$846="","",[2]Entry!$G$846)</f>
        <v/>
      </c>
      <c r="T843">
        <f>IF([2]Entry!$J$846="","",[2]Entry!$J$846)</f>
        <v/>
      </c>
      <c r="U843">
        <f>IF([2]Entry!$K$846="","",[2]Entry!$K$846)</f>
        <v/>
      </c>
      <c r="V843">
        <f>IF([2]Entry!$L$846="","",[2]Entry!$L$846)</f>
        <v/>
      </c>
      <c r="W843">
        <f>IF([2]Entry!$M$846="","",[2]Entry!$M$846)</f>
        <v/>
      </c>
      <c r="X843">
        <f>IF([2]Entry!$N$846="","",[2]Entry!$N$846)</f>
        <v/>
      </c>
      <c r="Y843">
        <f>IF([2]Entry!$R$846="","",[2]Entry!$R$846)</f>
        <v/>
      </c>
    </row>
    <row r="844">
      <c r="P844">
        <f>IF([2]Entry!$C$847="","",[2]Entry!$C$847)</f>
        <v/>
      </c>
      <c r="Q844">
        <f>IF([2]Entry!$D$847="","",[2]Entry!$D$847)</f>
        <v/>
      </c>
      <c r="R844">
        <f>IF([2]Entry!$E$847="","",[2]Entry!$E$847)</f>
        <v/>
      </c>
      <c r="S844">
        <f>IF([2]Entry!$G$847="","",[2]Entry!$G$847)</f>
        <v/>
      </c>
      <c r="T844">
        <f>IF([2]Entry!$J$847="","",[2]Entry!$J$847)</f>
        <v/>
      </c>
      <c r="U844">
        <f>IF([2]Entry!$K$847="","",[2]Entry!$K$847)</f>
        <v/>
      </c>
      <c r="V844">
        <f>IF([2]Entry!$L$847="","",[2]Entry!$L$847)</f>
        <v/>
      </c>
      <c r="W844">
        <f>IF([2]Entry!$M$847="","",[2]Entry!$M$847)</f>
        <v/>
      </c>
      <c r="X844">
        <f>IF([2]Entry!$N$847="","",[2]Entry!$N$847)</f>
        <v/>
      </c>
      <c r="Y844">
        <f>IF([2]Entry!$R$847="","",[2]Entry!$R$847)</f>
        <v/>
      </c>
    </row>
    <row r="845">
      <c r="P845">
        <f>IF([2]Entry!$C$848="","",[2]Entry!$C$848)</f>
        <v/>
      </c>
      <c r="Q845">
        <f>IF([2]Entry!$D$848="","",[2]Entry!$D$848)</f>
        <v/>
      </c>
      <c r="R845">
        <f>IF([2]Entry!$E$848="","",[2]Entry!$E$848)</f>
        <v/>
      </c>
      <c r="S845">
        <f>IF([2]Entry!$G$848="","",[2]Entry!$G$848)</f>
        <v/>
      </c>
      <c r="T845">
        <f>IF([2]Entry!$J$848="","",[2]Entry!$J$848)</f>
        <v/>
      </c>
      <c r="U845">
        <f>IF([2]Entry!$K$848="","",[2]Entry!$K$848)</f>
        <v/>
      </c>
      <c r="V845">
        <f>IF([2]Entry!$L$848="","",[2]Entry!$L$848)</f>
        <v/>
      </c>
      <c r="W845">
        <f>IF([2]Entry!$M$848="","",[2]Entry!$M$848)</f>
        <v/>
      </c>
      <c r="X845">
        <f>IF([2]Entry!$N$848="","",[2]Entry!$N$848)</f>
        <v/>
      </c>
      <c r="Y845">
        <f>IF([2]Entry!$R$848="","",[2]Entry!$R$848)</f>
        <v/>
      </c>
    </row>
    <row r="846">
      <c r="P846">
        <f>IF([2]Entry!$C$849="","",[2]Entry!$C$849)</f>
        <v/>
      </c>
      <c r="Q846">
        <f>IF([2]Entry!$D$849="","",[2]Entry!$D$849)</f>
        <v/>
      </c>
      <c r="R846">
        <f>IF([2]Entry!$E$849="","",[2]Entry!$E$849)</f>
        <v/>
      </c>
      <c r="S846">
        <f>IF([2]Entry!$G$849="","",[2]Entry!$G$849)</f>
        <v/>
      </c>
      <c r="T846">
        <f>IF([2]Entry!$J$849="","",[2]Entry!$J$849)</f>
        <v/>
      </c>
      <c r="U846">
        <f>IF([2]Entry!$K$849="","",[2]Entry!$K$849)</f>
        <v/>
      </c>
      <c r="V846">
        <f>IF([2]Entry!$L$849="","",[2]Entry!$L$849)</f>
        <v/>
      </c>
      <c r="W846">
        <f>IF([2]Entry!$M$849="","",[2]Entry!$M$849)</f>
        <v/>
      </c>
      <c r="X846">
        <f>IF([2]Entry!$N$849="","",[2]Entry!$N$849)</f>
        <v/>
      </c>
      <c r="Y846">
        <f>IF([2]Entry!$R$849="","",[2]Entry!$R$849)</f>
        <v/>
      </c>
    </row>
    <row r="847">
      <c r="P847">
        <f>IF([2]Entry!$C$850="","",[2]Entry!$C$850)</f>
        <v/>
      </c>
      <c r="Q847">
        <f>IF([2]Entry!$D$850="","",[2]Entry!$D$850)</f>
        <v/>
      </c>
      <c r="R847">
        <f>IF([2]Entry!$E$850="","",[2]Entry!$E$850)</f>
        <v/>
      </c>
      <c r="S847">
        <f>IF([2]Entry!$G$850="","",[2]Entry!$G$850)</f>
        <v/>
      </c>
      <c r="T847">
        <f>IF([2]Entry!$J$850="","",[2]Entry!$J$850)</f>
        <v/>
      </c>
      <c r="U847">
        <f>IF([2]Entry!$K$850="","",[2]Entry!$K$850)</f>
        <v/>
      </c>
      <c r="V847">
        <f>IF([2]Entry!$L$850="","",[2]Entry!$L$850)</f>
        <v/>
      </c>
      <c r="W847">
        <f>IF([2]Entry!$M$850="","",[2]Entry!$M$850)</f>
        <v/>
      </c>
      <c r="X847">
        <f>IF([2]Entry!$N$850="","",[2]Entry!$N$850)</f>
        <v/>
      </c>
      <c r="Y847">
        <f>IF([2]Entry!$R$850="","",[2]Entry!$R$850)</f>
        <v/>
      </c>
    </row>
    <row r="848">
      <c r="P848">
        <f>IF([2]Entry!$C$851="","",[2]Entry!$C$851)</f>
        <v/>
      </c>
      <c r="Q848">
        <f>IF([2]Entry!$D$851="","",[2]Entry!$D$851)</f>
        <v/>
      </c>
      <c r="R848">
        <f>IF([2]Entry!$E$851="","",[2]Entry!$E$851)</f>
        <v/>
      </c>
      <c r="S848">
        <f>IF([2]Entry!$G$851="","",[2]Entry!$G$851)</f>
        <v/>
      </c>
      <c r="T848">
        <f>IF([2]Entry!$J$851="","",[2]Entry!$J$851)</f>
        <v/>
      </c>
      <c r="U848">
        <f>IF([2]Entry!$K$851="","",[2]Entry!$K$851)</f>
        <v/>
      </c>
      <c r="V848">
        <f>IF([2]Entry!$L$851="","",[2]Entry!$L$851)</f>
        <v/>
      </c>
      <c r="W848">
        <f>IF([2]Entry!$M$851="","",[2]Entry!$M$851)</f>
        <v/>
      </c>
      <c r="X848">
        <f>IF([2]Entry!$N$851="","",[2]Entry!$N$851)</f>
        <v/>
      </c>
      <c r="Y848">
        <f>IF([2]Entry!$R$851="","",[2]Entry!$R$851)</f>
        <v/>
      </c>
    </row>
    <row r="849">
      <c r="P849">
        <f>IF([2]Entry!$C$852="","",[2]Entry!$C$852)</f>
        <v/>
      </c>
      <c r="Q849">
        <f>IF([2]Entry!$D$852="","",[2]Entry!$D$852)</f>
        <v/>
      </c>
      <c r="R849">
        <f>IF([2]Entry!$E$852="","",[2]Entry!$E$852)</f>
        <v/>
      </c>
      <c r="S849">
        <f>IF([2]Entry!$G$852="","",[2]Entry!$G$852)</f>
        <v/>
      </c>
      <c r="T849">
        <f>IF([2]Entry!$J$852="","",[2]Entry!$J$852)</f>
        <v/>
      </c>
      <c r="U849">
        <f>IF([2]Entry!$K$852="","",[2]Entry!$K$852)</f>
        <v/>
      </c>
      <c r="V849">
        <f>IF([2]Entry!$L$852="","",[2]Entry!$L$852)</f>
        <v/>
      </c>
      <c r="W849">
        <f>IF([2]Entry!$M$852="","",[2]Entry!$M$852)</f>
        <v/>
      </c>
      <c r="X849">
        <f>IF([2]Entry!$N$852="","",[2]Entry!$N$852)</f>
        <v/>
      </c>
      <c r="Y849">
        <f>IF([2]Entry!$R$852="","",[2]Entry!$R$852)</f>
        <v/>
      </c>
    </row>
    <row r="850">
      <c r="P850">
        <f>IF([2]Entry!$C$853="","",[2]Entry!$C$853)</f>
        <v/>
      </c>
      <c r="Q850">
        <f>IF([2]Entry!$D$853="","",[2]Entry!$D$853)</f>
        <v/>
      </c>
      <c r="R850">
        <f>IF([2]Entry!$E$853="","",[2]Entry!$E$853)</f>
        <v/>
      </c>
      <c r="S850">
        <f>IF([2]Entry!$G$853="","",[2]Entry!$G$853)</f>
        <v/>
      </c>
      <c r="T850">
        <f>IF([2]Entry!$J$853="","",[2]Entry!$J$853)</f>
        <v/>
      </c>
      <c r="U850">
        <f>IF([2]Entry!$K$853="","",[2]Entry!$K$853)</f>
        <v/>
      </c>
      <c r="V850">
        <f>IF([2]Entry!$L$853="","",[2]Entry!$L$853)</f>
        <v/>
      </c>
      <c r="W850">
        <f>IF([2]Entry!$M$853="","",[2]Entry!$M$853)</f>
        <v/>
      </c>
      <c r="X850">
        <f>IF([2]Entry!$N$853="","",[2]Entry!$N$853)</f>
        <v/>
      </c>
      <c r="Y850">
        <f>IF([2]Entry!$R$853="","",[2]Entry!$R$853)</f>
        <v/>
      </c>
    </row>
    <row r="851">
      <c r="P851">
        <f>IF([2]Entry!$C$854="","",[2]Entry!$C$854)</f>
        <v/>
      </c>
      <c r="Q851">
        <f>IF([2]Entry!$D$854="","",[2]Entry!$D$854)</f>
        <v/>
      </c>
      <c r="R851">
        <f>IF([2]Entry!$E$854="","",[2]Entry!$E$854)</f>
        <v/>
      </c>
      <c r="S851">
        <f>IF([2]Entry!$G$854="","",[2]Entry!$G$854)</f>
        <v/>
      </c>
      <c r="T851">
        <f>IF([2]Entry!$J$854="","",[2]Entry!$J$854)</f>
        <v/>
      </c>
      <c r="U851">
        <f>IF([2]Entry!$K$854="","",[2]Entry!$K$854)</f>
        <v/>
      </c>
      <c r="V851">
        <f>IF([2]Entry!$L$854="","",[2]Entry!$L$854)</f>
        <v/>
      </c>
      <c r="W851">
        <f>IF([2]Entry!$M$854="","",[2]Entry!$M$854)</f>
        <v/>
      </c>
      <c r="X851">
        <f>IF([2]Entry!$N$854="","",[2]Entry!$N$854)</f>
        <v/>
      </c>
      <c r="Y851">
        <f>IF([2]Entry!$R$854="","",[2]Entry!$R$854)</f>
        <v/>
      </c>
    </row>
    <row r="852">
      <c r="P852">
        <f>IF([2]Entry!$C$855="","",[2]Entry!$C$855)</f>
        <v/>
      </c>
      <c r="Q852">
        <f>IF([2]Entry!$D$855="","",[2]Entry!$D$855)</f>
        <v/>
      </c>
      <c r="R852">
        <f>IF([2]Entry!$E$855="","",[2]Entry!$E$855)</f>
        <v/>
      </c>
      <c r="S852">
        <f>IF([2]Entry!$G$855="","",[2]Entry!$G$855)</f>
        <v/>
      </c>
      <c r="T852">
        <f>IF([2]Entry!$J$855="","",[2]Entry!$J$855)</f>
        <v/>
      </c>
      <c r="U852">
        <f>IF([2]Entry!$K$855="","",[2]Entry!$K$855)</f>
        <v/>
      </c>
      <c r="V852">
        <f>IF([2]Entry!$L$855="","",[2]Entry!$L$855)</f>
        <v/>
      </c>
      <c r="W852">
        <f>IF([2]Entry!$M$855="","",[2]Entry!$M$855)</f>
        <v/>
      </c>
      <c r="X852">
        <f>IF([2]Entry!$N$855="","",[2]Entry!$N$855)</f>
        <v/>
      </c>
      <c r="Y852">
        <f>IF([2]Entry!$R$855="","",[2]Entry!$R$855)</f>
        <v/>
      </c>
    </row>
    <row r="853">
      <c r="P853">
        <f>IF([2]Entry!$C$856="","",[2]Entry!$C$856)</f>
        <v/>
      </c>
      <c r="Q853">
        <f>IF([2]Entry!$D$856="","",[2]Entry!$D$856)</f>
        <v/>
      </c>
      <c r="R853">
        <f>IF([2]Entry!$E$856="","",[2]Entry!$E$856)</f>
        <v/>
      </c>
      <c r="S853">
        <f>IF([2]Entry!$G$856="","",[2]Entry!$G$856)</f>
        <v/>
      </c>
      <c r="T853">
        <f>IF([2]Entry!$J$856="","",[2]Entry!$J$856)</f>
        <v/>
      </c>
      <c r="U853">
        <f>IF([2]Entry!$K$856="","",[2]Entry!$K$856)</f>
        <v/>
      </c>
      <c r="V853">
        <f>IF([2]Entry!$L$856="","",[2]Entry!$L$856)</f>
        <v/>
      </c>
      <c r="W853">
        <f>IF([2]Entry!$M$856="","",[2]Entry!$M$856)</f>
        <v/>
      </c>
      <c r="X853">
        <f>IF([2]Entry!$N$856="","",[2]Entry!$N$856)</f>
        <v/>
      </c>
      <c r="Y853">
        <f>IF([2]Entry!$R$856="","",[2]Entry!$R$856)</f>
        <v/>
      </c>
    </row>
    <row r="854">
      <c r="P854">
        <f>IF([2]Entry!$C$857="","",[2]Entry!$C$857)</f>
        <v/>
      </c>
      <c r="Q854">
        <f>IF([2]Entry!$D$857="","",[2]Entry!$D$857)</f>
        <v/>
      </c>
      <c r="R854">
        <f>IF([2]Entry!$E$857="","",[2]Entry!$E$857)</f>
        <v/>
      </c>
      <c r="S854">
        <f>IF([2]Entry!$G$857="","",[2]Entry!$G$857)</f>
        <v/>
      </c>
      <c r="T854">
        <f>IF([2]Entry!$J$857="","",[2]Entry!$J$857)</f>
        <v/>
      </c>
      <c r="U854">
        <f>IF([2]Entry!$K$857="","",[2]Entry!$K$857)</f>
        <v/>
      </c>
      <c r="V854">
        <f>IF([2]Entry!$L$857="","",[2]Entry!$L$857)</f>
        <v/>
      </c>
      <c r="W854">
        <f>IF([2]Entry!$M$857="","",[2]Entry!$M$857)</f>
        <v/>
      </c>
      <c r="X854">
        <f>IF([2]Entry!$N$857="","",[2]Entry!$N$857)</f>
        <v/>
      </c>
      <c r="Y854">
        <f>IF([2]Entry!$R$857="","",[2]Entry!$R$857)</f>
        <v/>
      </c>
    </row>
    <row r="855">
      <c r="P855">
        <f>IF([2]Entry!$C$858="","",[2]Entry!$C$858)</f>
        <v/>
      </c>
      <c r="Q855">
        <f>IF([2]Entry!$D$858="","",[2]Entry!$D$858)</f>
        <v/>
      </c>
      <c r="R855">
        <f>IF([2]Entry!$E$858="","",[2]Entry!$E$858)</f>
        <v/>
      </c>
      <c r="S855">
        <f>IF([2]Entry!$G$858="","",[2]Entry!$G$858)</f>
        <v/>
      </c>
      <c r="T855">
        <f>IF([2]Entry!$J$858="","",[2]Entry!$J$858)</f>
        <v/>
      </c>
      <c r="U855">
        <f>IF([2]Entry!$K$858="","",[2]Entry!$K$858)</f>
        <v/>
      </c>
      <c r="V855">
        <f>IF([2]Entry!$L$858="","",[2]Entry!$L$858)</f>
        <v/>
      </c>
      <c r="W855">
        <f>IF([2]Entry!$M$858="","",[2]Entry!$M$858)</f>
        <v/>
      </c>
      <c r="X855">
        <f>IF([2]Entry!$N$858="","",[2]Entry!$N$858)</f>
        <v/>
      </c>
      <c r="Y855">
        <f>IF([2]Entry!$R$858="","",[2]Entry!$R$858)</f>
        <v/>
      </c>
    </row>
    <row r="856">
      <c r="P856">
        <f>IF([2]Entry!$C$859="","",[2]Entry!$C$859)</f>
        <v/>
      </c>
      <c r="Q856">
        <f>IF([2]Entry!$D$859="","",[2]Entry!$D$859)</f>
        <v/>
      </c>
      <c r="R856">
        <f>IF([2]Entry!$E$859="","",[2]Entry!$E$859)</f>
        <v/>
      </c>
      <c r="S856">
        <f>IF([2]Entry!$G$859="","",[2]Entry!$G$859)</f>
        <v/>
      </c>
      <c r="T856">
        <f>IF([2]Entry!$J$859="","",[2]Entry!$J$859)</f>
        <v/>
      </c>
      <c r="U856">
        <f>IF([2]Entry!$K$859="","",[2]Entry!$K$859)</f>
        <v/>
      </c>
      <c r="V856">
        <f>IF([2]Entry!$L$859="","",[2]Entry!$L$859)</f>
        <v/>
      </c>
      <c r="W856">
        <f>IF([2]Entry!$M$859="","",[2]Entry!$M$859)</f>
        <v/>
      </c>
      <c r="X856">
        <f>IF([2]Entry!$N$859="","",[2]Entry!$N$859)</f>
        <v/>
      </c>
      <c r="Y856">
        <f>IF([2]Entry!$R$859="","",[2]Entry!$R$859)</f>
        <v/>
      </c>
    </row>
    <row r="857">
      <c r="P857">
        <f>IF([2]Entry!$C$860="","",[2]Entry!$C$860)</f>
        <v/>
      </c>
      <c r="Q857">
        <f>IF([2]Entry!$D$860="","",[2]Entry!$D$860)</f>
        <v/>
      </c>
      <c r="R857">
        <f>IF([2]Entry!$E$860="","",[2]Entry!$E$860)</f>
        <v/>
      </c>
      <c r="S857">
        <f>IF([2]Entry!$G$860="","",[2]Entry!$G$860)</f>
        <v/>
      </c>
      <c r="T857">
        <f>IF([2]Entry!$J$860="","",[2]Entry!$J$860)</f>
        <v/>
      </c>
      <c r="U857">
        <f>IF([2]Entry!$K$860="","",[2]Entry!$K$860)</f>
        <v/>
      </c>
      <c r="V857">
        <f>IF([2]Entry!$L$860="","",[2]Entry!$L$860)</f>
        <v/>
      </c>
      <c r="W857">
        <f>IF([2]Entry!$M$860="","",[2]Entry!$M$860)</f>
        <v/>
      </c>
      <c r="X857">
        <f>IF([2]Entry!$N$860="","",[2]Entry!$N$860)</f>
        <v/>
      </c>
      <c r="Y857">
        <f>IF([2]Entry!$R$860="","",[2]Entry!$R$860)</f>
        <v/>
      </c>
    </row>
    <row r="858">
      <c r="P858">
        <f>IF([2]Entry!$C$861="","",[2]Entry!$C$861)</f>
        <v/>
      </c>
      <c r="Q858">
        <f>IF([2]Entry!$D$861="","",[2]Entry!$D$861)</f>
        <v/>
      </c>
      <c r="R858">
        <f>IF([2]Entry!$E$861="","",[2]Entry!$E$861)</f>
        <v/>
      </c>
      <c r="S858">
        <f>IF([2]Entry!$G$861="","",[2]Entry!$G$861)</f>
        <v/>
      </c>
      <c r="T858">
        <f>IF([2]Entry!$J$861="","",[2]Entry!$J$861)</f>
        <v/>
      </c>
      <c r="U858">
        <f>IF([2]Entry!$K$861="","",[2]Entry!$K$861)</f>
        <v/>
      </c>
      <c r="V858">
        <f>IF([2]Entry!$L$861="","",[2]Entry!$L$861)</f>
        <v/>
      </c>
      <c r="W858">
        <f>IF([2]Entry!$M$861="","",[2]Entry!$M$861)</f>
        <v/>
      </c>
      <c r="X858">
        <f>IF([2]Entry!$N$861="","",[2]Entry!$N$861)</f>
        <v/>
      </c>
      <c r="Y858">
        <f>IF([2]Entry!$R$861="","",[2]Entry!$R$861)</f>
        <v/>
      </c>
    </row>
    <row r="859">
      <c r="P859">
        <f>IF([2]Entry!$C$862="","",[2]Entry!$C$862)</f>
        <v/>
      </c>
      <c r="Q859">
        <f>IF([2]Entry!$D$862="","",[2]Entry!$D$862)</f>
        <v/>
      </c>
      <c r="R859">
        <f>IF([2]Entry!$E$862="","",[2]Entry!$E$862)</f>
        <v/>
      </c>
      <c r="S859">
        <f>IF([2]Entry!$G$862="","",[2]Entry!$G$862)</f>
        <v/>
      </c>
      <c r="T859">
        <f>IF([2]Entry!$J$862="","",[2]Entry!$J$862)</f>
        <v/>
      </c>
      <c r="U859">
        <f>IF([2]Entry!$K$862="","",[2]Entry!$K$862)</f>
        <v/>
      </c>
      <c r="V859">
        <f>IF([2]Entry!$L$862="","",[2]Entry!$L$862)</f>
        <v/>
      </c>
      <c r="W859">
        <f>IF([2]Entry!$M$862="","",[2]Entry!$M$862)</f>
        <v/>
      </c>
      <c r="X859">
        <f>IF([2]Entry!$N$862="","",[2]Entry!$N$862)</f>
        <v/>
      </c>
      <c r="Y859">
        <f>IF([2]Entry!$R$862="","",[2]Entry!$R$862)</f>
        <v/>
      </c>
    </row>
    <row r="860">
      <c r="P860">
        <f>IF([2]Entry!$C$863="","",[2]Entry!$C$863)</f>
        <v/>
      </c>
      <c r="Q860">
        <f>IF([2]Entry!$D$863="","",[2]Entry!$D$863)</f>
        <v/>
      </c>
      <c r="R860">
        <f>IF([2]Entry!$E$863="","",[2]Entry!$E$863)</f>
        <v/>
      </c>
      <c r="S860">
        <f>IF([2]Entry!$G$863="","",[2]Entry!$G$863)</f>
        <v/>
      </c>
      <c r="T860">
        <f>IF([2]Entry!$J$863="","",[2]Entry!$J$863)</f>
        <v/>
      </c>
      <c r="U860">
        <f>IF([2]Entry!$K$863="","",[2]Entry!$K$863)</f>
        <v/>
      </c>
      <c r="V860">
        <f>IF([2]Entry!$L$863="","",[2]Entry!$L$863)</f>
        <v/>
      </c>
      <c r="W860">
        <f>IF([2]Entry!$M$863="","",[2]Entry!$M$863)</f>
        <v/>
      </c>
      <c r="X860">
        <f>IF([2]Entry!$N$863="","",[2]Entry!$N$863)</f>
        <v/>
      </c>
      <c r="Y860">
        <f>IF([2]Entry!$R$863="","",[2]Entry!$R$863)</f>
        <v/>
      </c>
    </row>
    <row r="861">
      <c r="P861">
        <f>IF([2]Entry!$C$864="","",[2]Entry!$C$864)</f>
        <v/>
      </c>
      <c r="Q861">
        <f>IF([2]Entry!$D$864="","",[2]Entry!$D$864)</f>
        <v/>
      </c>
      <c r="R861">
        <f>IF([2]Entry!$E$864="","",[2]Entry!$E$864)</f>
        <v/>
      </c>
      <c r="S861">
        <f>IF([2]Entry!$G$864="","",[2]Entry!$G$864)</f>
        <v/>
      </c>
      <c r="T861">
        <f>IF([2]Entry!$J$864="","",[2]Entry!$J$864)</f>
        <v/>
      </c>
      <c r="U861">
        <f>IF([2]Entry!$K$864="","",[2]Entry!$K$864)</f>
        <v/>
      </c>
      <c r="V861">
        <f>IF([2]Entry!$L$864="","",[2]Entry!$L$864)</f>
        <v/>
      </c>
      <c r="W861">
        <f>IF([2]Entry!$M$864="","",[2]Entry!$M$864)</f>
        <v/>
      </c>
      <c r="X861">
        <f>IF([2]Entry!$N$864="","",[2]Entry!$N$864)</f>
        <v/>
      </c>
      <c r="Y861">
        <f>IF([2]Entry!$R$864="","",[2]Entry!$R$864)</f>
        <v/>
      </c>
    </row>
    <row r="862">
      <c r="P862">
        <f>IF([2]Entry!$C$865="","",[2]Entry!$C$865)</f>
        <v/>
      </c>
      <c r="Q862">
        <f>IF([2]Entry!$D$865="","",[2]Entry!$D$865)</f>
        <v/>
      </c>
      <c r="R862">
        <f>IF([2]Entry!$E$865="","",[2]Entry!$E$865)</f>
        <v/>
      </c>
      <c r="S862">
        <f>IF([2]Entry!$G$865="","",[2]Entry!$G$865)</f>
        <v/>
      </c>
      <c r="T862">
        <f>IF([2]Entry!$J$865="","",[2]Entry!$J$865)</f>
        <v/>
      </c>
      <c r="U862">
        <f>IF([2]Entry!$K$865="","",[2]Entry!$K$865)</f>
        <v/>
      </c>
      <c r="V862">
        <f>IF([2]Entry!$L$865="","",[2]Entry!$L$865)</f>
        <v/>
      </c>
      <c r="W862">
        <f>IF([2]Entry!$M$865="","",[2]Entry!$M$865)</f>
        <v/>
      </c>
      <c r="X862">
        <f>IF([2]Entry!$N$865="","",[2]Entry!$N$865)</f>
        <v/>
      </c>
      <c r="Y862">
        <f>IF([2]Entry!$R$865="","",[2]Entry!$R$865)</f>
        <v/>
      </c>
    </row>
    <row r="863">
      <c r="P863">
        <f>IF([2]Entry!$C$866="","",[2]Entry!$C$866)</f>
        <v/>
      </c>
      <c r="Q863">
        <f>IF([2]Entry!$D$866="","",[2]Entry!$D$866)</f>
        <v/>
      </c>
      <c r="R863">
        <f>IF([2]Entry!$E$866="","",[2]Entry!$E$866)</f>
        <v/>
      </c>
      <c r="S863">
        <f>IF([2]Entry!$G$866="","",[2]Entry!$G$866)</f>
        <v/>
      </c>
      <c r="T863">
        <f>IF([2]Entry!$J$866="","",[2]Entry!$J$866)</f>
        <v/>
      </c>
      <c r="U863">
        <f>IF([2]Entry!$K$866="","",[2]Entry!$K$866)</f>
        <v/>
      </c>
      <c r="V863">
        <f>IF([2]Entry!$L$866="","",[2]Entry!$L$866)</f>
        <v/>
      </c>
      <c r="W863">
        <f>IF([2]Entry!$M$866="","",[2]Entry!$M$866)</f>
        <v/>
      </c>
      <c r="X863">
        <f>IF([2]Entry!$N$866="","",[2]Entry!$N$866)</f>
        <v/>
      </c>
      <c r="Y863">
        <f>IF([2]Entry!$R$866="","",[2]Entry!$R$866)</f>
        <v/>
      </c>
    </row>
    <row r="864">
      <c r="P864">
        <f>IF([2]Entry!$C$867="","",[2]Entry!$C$867)</f>
        <v/>
      </c>
      <c r="Q864">
        <f>IF([2]Entry!$D$867="","",[2]Entry!$D$867)</f>
        <v/>
      </c>
      <c r="R864">
        <f>IF([2]Entry!$E$867="","",[2]Entry!$E$867)</f>
        <v/>
      </c>
      <c r="S864">
        <f>IF([2]Entry!$G$867="","",[2]Entry!$G$867)</f>
        <v/>
      </c>
      <c r="T864">
        <f>IF([2]Entry!$J$867="","",[2]Entry!$J$867)</f>
        <v/>
      </c>
      <c r="U864">
        <f>IF([2]Entry!$K$867="","",[2]Entry!$K$867)</f>
        <v/>
      </c>
      <c r="V864">
        <f>IF([2]Entry!$L$867="","",[2]Entry!$L$867)</f>
        <v/>
      </c>
      <c r="W864">
        <f>IF([2]Entry!$M$867="","",[2]Entry!$M$867)</f>
        <v/>
      </c>
      <c r="X864">
        <f>IF([2]Entry!$N$867="","",[2]Entry!$N$867)</f>
        <v/>
      </c>
      <c r="Y864">
        <f>IF([2]Entry!$R$867="","",[2]Entry!$R$867)</f>
        <v/>
      </c>
    </row>
    <row r="865">
      <c r="P865">
        <f>IF([2]Entry!$C$868="","",[2]Entry!$C$868)</f>
        <v/>
      </c>
      <c r="Q865">
        <f>IF([2]Entry!$D$868="","",[2]Entry!$D$868)</f>
        <v/>
      </c>
      <c r="R865">
        <f>IF([2]Entry!$E$868="","",[2]Entry!$E$868)</f>
        <v/>
      </c>
      <c r="S865">
        <f>IF([2]Entry!$G$868="","",[2]Entry!$G$868)</f>
        <v/>
      </c>
      <c r="T865">
        <f>IF([2]Entry!$J$868="","",[2]Entry!$J$868)</f>
        <v/>
      </c>
      <c r="U865">
        <f>IF([2]Entry!$K$868="","",[2]Entry!$K$868)</f>
        <v/>
      </c>
      <c r="V865">
        <f>IF([2]Entry!$L$868="","",[2]Entry!$L$868)</f>
        <v/>
      </c>
      <c r="W865">
        <f>IF([2]Entry!$M$868="","",[2]Entry!$M$868)</f>
        <v/>
      </c>
      <c r="X865">
        <f>IF([2]Entry!$N$868="","",[2]Entry!$N$868)</f>
        <v/>
      </c>
      <c r="Y865">
        <f>IF([2]Entry!$R$868="","",[2]Entry!$R$868)</f>
        <v/>
      </c>
    </row>
    <row r="866">
      <c r="P866">
        <f>IF([2]Entry!$C$869="","",[2]Entry!$C$869)</f>
        <v/>
      </c>
      <c r="Q866">
        <f>IF([2]Entry!$D$869="","",[2]Entry!$D$869)</f>
        <v/>
      </c>
      <c r="R866">
        <f>IF([2]Entry!$E$869="","",[2]Entry!$E$869)</f>
        <v/>
      </c>
      <c r="S866">
        <f>IF([2]Entry!$G$869="","",[2]Entry!$G$869)</f>
        <v/>
      </c>
      <c r="T866">
        <f>IF([2]Entry!$J$869="","",[2]Entry!$J$869)</f>
        <v/>
      </c>
      <c r="U866">
        <f>IF([2]Entry!$K$869="","",[2]Entry!$K$869)</f>
        <v/>
      </c>
      <c r="V866">
        <f>IF([2]Entry!$L$869="","",[2]Entry!$L$869)</f>
        <v/>
      </c>
      <c r="W866">
        <f>IF([2]Entry!$M$869="","",[2]Entry!$M$869)</f>
        <v/>
      </c>
      <c r="X866">
        <f>IF([2]Entry!$N$869="","",[2]Entry!$N$869)</f>
        <v/>
      </c>
      <c r="Y866">
        <f>IF([2]Entry!$R$869="","",[2]Entry!$R$869)</f>
        <v/>
      </c>
    </row>
    <row r="867">
      <c r="P867">
        <f>IF([2]Entry!$C$870="","",[2]Entry!$C$870)</f>
        <v/>
      </c>
      <c r="Q867">
        <f>IF([2]Entry!$D$870="","",[2]Entry!$D$870)</f>
        <v/>
      </c>
      <c r="R867">
        <f>IF([2]Entry!$E$870="","",[2]Entry!$E$870)</f>
        <v/>
      </c>
      <c r="S867">
        <f>IF([2]Entry!$G$870="","",[2]Entry!$G$870)</f>
        <v/>
      </c>
      <c r="T867">
        <f>IF([2]Entry!$J$870="","",[2]Entry!$J$870)</f>
        <v/>
      </c>
      <c r="U867">
        <f>IF([2]Entry!$K$870="","",[2]Entry!$K$870)</f>
        <v/>
      </c>
      <c r="V867">
        <f>IF([2]Entry!$L$870="","",[2]Entry!$L$870)</f>
        <v/>
      </c>
      <c r="W867">
        <f>IF([2]Entry!$M$870="","",[2]Entry!$M$870)</f>
        <v/>
      </c>
      <c r="X867">
        <f>IF([2]Entry!$N$870="","",[2]Entry!$N$870)</f>
        <v/>
      </c>
      <c r="Y867">
        <f>IF([2]Entry!$R$870="","",[2]Entry!$R$870)</f>
        <v/>
      </c>
    </row>
    <row r="868">
      <c r="P868">
        <f>IF([2]Entry!$C$871="","",[2]Entry!$C$871)</f>
        <v/>
      </c>
      <c r="Q868">
        <f>IF([2]Entry!$D$871="","",[2]Entry!$D$871)</f>
        <v/>
      </c>
      <c r="R868">
        <f>IF([2]Entry!$E$871="","",[2]Entry!$E$871)</f>
        <v/>
      </c>
      <c r="S868">
        <f>IF([2]Entry!$G$871="","",[2]Entry!$G$871)</f>
        <v/>
      </c>
      <c r="T868">
        <f>IF([2]Entry!$J$871="","",[2]Entry!$J$871)</f>
        <v/>
      </c>
      <c r="U868">
        <f>IF([2]Entry!$K$871="","",[2]Entry!$K$871)</f>
        <v/>
      </c>
      <c r="V868">
        <f>IF([2]Entry!$L$871="","",[2]Entry!$L$871)</f>
        <v/>
      </c>
      <c r="W868">
        <f>IF([2]Entry!$M$871="","",[2]Entry!$M$871)</f>
        <v/>
      </c>
      <c r="X868">
        <f>IF([2]Entry!$N$871="","",[2]Entry!$N$871)</f>
        <v/>
      </c>
      <c r="Y868">
        <f>IF([2]Entry!$R$871="","",[2]Entry!$R$871)</f>
        <v/>
      </c>
    </row>
    <row r="869">
      <c r="P869">
        <f>IF([2]Entry!$C$872="","",[2]Entry!$C$872)</f>
        <v/>
      </c>
      <c r="Q869">
        <f>IF([2]Entry!$D$872="","",[2]Entry!$D$872)</f>
        <v/>
      </c>
      <c r="R869">
        <f>IF([2]Entry!$E$872="","",[2]Entry!$E$872)</f>
        <v/>
      </c>
      <c r="S869">
        <f>IF([2]Entry!$G$872="","",[2]Entry!$G$872)</f>
        <v/>
      </c>
      <c r="T869">
        <f>IF([2]Entry!$J$872="","",[2]Entry!$J$872)</f>
        <v/>
      </c>
      <c r="U869">
        <f>IF([2]Entry!$K$872="","",[2]Entry!$K$872)</f>
        <v/>
      </c>
      <c r="V869">
        <f>IF([2]Entry!$L$872="","",[2]Entry!$L$872)</f>
        <v/>
      </c>
      <c r="W869">
        <f>IF([2]Entry!$M$872="","",[2]Entry!$M$872)</f>
        <v/>
      </c>
      <c r="X869">
        <f>IF([2]Entry!$N$872="","",[2]Entry!$N$872)</f>
        <v/>
      </c>
      <c r="Y869">
        <f>IF([2]Entry!$R$872="","",[2]Entry!$R$872)</f>
        <v/>
      </c>
    </row>
    <row r="870">
      <c r="P870">
        <f>IF([2]Entry!$C$873="","",[2]Entry!$C$873)</f>
        <v/>
      </c>
      <c r="Q870">
        <f>IF([2]Entry!$D$873="","",[2]Entry!$D$873)</f>
        <v/>
      </c>
      <c r="R870">
        <f>IF([2]Entry!$E$873="","",[2]Entry!$E$873)</f>
        <v/>
      </c>
      <c r="S870">
        <f>IF([2]Entry!$G$873="","",[2]Entry!$G$873)</f>
        <v/>
      </c>
      <c r="T870">
        <f>IF([2]Entry!$J$873="","",[2]Entry!$J$873)</f>
        <v/>
      </c>
      <c r="U870">
        <f>IF([2]Entry!$K$873="","",[2]Entry!$K$873)</f>
        <v/>
      </c>
      <c r="V870">
        <f>IF([2]Entry!$L$873="","",[2]Entry!$L$873)</f>
        <v/>
      </c>
      <c r="W870">
        <f>IF([2]Entry!$M$873="","",[2]Entry!$M$873)</f>
        <v/>
      </c>
      <c r="X870">
        <f>IF([2]Entry!$N$873="","",[2]Entry!$N$873)</f>
        <v/>
      </c>
      <c r="Y870">
        <f>IF([2]Entry!$R$873="","",[2]Entry!$R$873)</f>
        <v/>
      </c>
    </row>
    <row r="871">
      <c r="P871">
        <f>IF([2]Entry!$C$874="","",[2]Entry!$C$874)</f>
        <v/>
      </c>
      <c r="Q871">
        <f>IF([2]Entry!$D$874="","",[2]Entry!$D$874)</f>
        <v/>
      </c>
      <c r="R871">
        <f>IF([2]Entry!$E$874="","",[2]Entry!$E$874)</f>
        <v/>
      </c>
      <c r="S871">
        <f>IF([2]Entry!$G$874="","",[2]Entry!$G$874)</f>
        <v/>
      </c>
      <c r="T871">
        <f>IF([2]Entry!$J$874="","",[2]Entry!$J$874)</f>
        <v/>
      </c>
      <c r="U871">
        <f>IF([2]Entry!$K$874="","",[2]Entry!$K$874)</f>
        <v/>
      </c>
      <c r="V871">
        <f>IF([2]Entry!$L$874="","",[2]Entry!$L$874)</f>
        <v/>
      </c>
      <c r="W871">
        <f>IF([2]Entry!$M$874="","",[2]Entry!$M$874)</f>
        <v/>
      </c>
      <c r="X871">
        <f>IF([2]Entry!$N$874="","",[2]Entry!$N$874)</f>
        <v/>
      </c>
      <c r="Y871">
        <f>IF([2]Entry!$R$874="","",[2]Entry!$R$874)</f>
        <v/>
      </c>
    </row>
    <row r="872">
      <c r="P872">
        <f>IF([2]Entry!$C$875="","",[2]Entry!$C$875)</f>
        <v/>
      </c>
      <c r="Q872">
        <f>IF([2]Entry!$D$875="","",[2]Entry!$D$875)</f>
        <v/>
      </c>
      <c r="R872">
        <f>IF([2]Entry!$E$875="","",[2]Entry!$E$875)</f>
        <v/>
      </c>
      <c r="S872">
        <f>IF([2]Entry!$G$875="","",[2]Entry!$G$875)</f>
        <v/>
      </c>
      <c r="T872">
        <f>IF([2]Entry!$J$875="","",[2]Entry!$J$875)</f>
        <v/>
      </c>
      <c r="U872">
        <f>IF([2]Entry!$K$875="","",[2]Entry!$K$875)</f>
        <v/>
      </c>
      <c r="V872">
        <f>IF([2]Entry!$L$875="","",[2]Entry!$L$875)</f>
        <v/>
      </c>
      <c r="W872">
        <f>IF([2]Entry!$M$875="","",[2]Entry!$M$875)</f>
        <v/>
      </c>
      <c r="X872">
        <f>IF([2]Entry!$N$875="","",[2]Entry!$N$875)</f>
        <v/>
      </c>
      <c r="Y872">
        <f>IF([2]Entry!$R$875="","",[2]Entry!$R$875)</f>
        <v/>
      </c>
    </row>
    <row r="873">
      <c r="P873">
        <f>IF([2]Entry!$C$876="","",[2]Entry!$C$876)</f>
        <v/>
      </c>
      <c r="Q873">
        <f>IF([2]Entry!$D$876="","",[2]Entry!$D$876)</f>
        <v/>
      </c>
      <c r="R873">
        <f>IF([2]Entry!$E$876="","",[2]Entry!$E$876)</f>
        <v/>
      </c>
      <c r="S873">
        <f>IF([2]Entry!$G$876="","",[2]Entry!$G$876)</f>
        <v/>
      </c>
      <c r="T873">
        <f>IF([2]Entry!$J$876="","",[2]Entry!$J$876)</f>
        <v/>
      </c>
      <c r="U873">
        <f>IF([2]Entry!$K$876="","",[2]Entry!$K$876)</f>
        <v/>
      </c>
      <c r="V873">
        <f>IF([2]Entry!$L$876="","",[2]Entry!$L$876)</f>
        <v/>
      </c>
      <c r="W873">
        <f>IF([2]Entry!$M$876="","",[2]Entry!$M$876)</f>
        <v/>
      </c>
      <c r="X873">
        <f>IF([2]Entry!$N$876="","",[2]Entry!$N$876)</f>
        <v/>
      </c>
      <c r="Y873">
        <f>IF([2]Entry!$R$876="","",[2]Entry!$R$876)</f>
        <v/>
      </c>
    </row>
    <row r="874">
      <c r="P874">
        <f>IF([2]Entry!$C$877="","",[2]Entry!$C$877)</f>
        <v/>
      </c>
      <c r="Q874">
        <f>IF([2]Entry!$D$877="","",[2]Entry!$D$877)</f>
        <v/>
      </c>
      <c r="R874">
        <f>IF([2]Entry!$E$877="","",[2]Entry!$E$877)</f>
        <v/>
      </c>
      <c r="S874">
        <f>IF([2]Entry!$G$877="","",[2]Entry!$G$877)</f>
        <v/>
      </c>
      <c r="T874">
        <f>IF([2]Entry!$J$877="","",[2]Entry!$J$877)</f>
        <v/>
      </c>
      <c r="U874">
        <f>IF([2]Entry!$K$877="","",[2]Entry!$K$877)</f>
        <v/>
      </c>
      <c r="V874">
        <f>IF([2]Entry!$L$877="","",[2]Entry!$L$877)</f>
        <v/>
      </c>
      <c r="W874">
        <f>IF([2]Entry!$M$877="","",[2]Entry!$M$877)</f>
        <v/>
      </c>
      <c r="X874">
        <f>IF([2]Entry!$N$877="","",[2]Entry!$N$877)</f>
        <v/>
      </c>
      <c r="Y874">
        <f>IF([2]Entry!$R$877="","",[2]Entry!$R$877)</f>
        <v/>
      </c>
    </row>
    <row r="875">
      <c r="P875">
        <f>IF([2]Entry!$C$878="","",[2]Entry!$C$878)</f>
        <v/>
      </c>
      <c r="Q875">
        <f>IF([2]Entry!$D$878="","",[2]Entry!$D$878)</f>
        <v/>
      </c>
      <c r="R875">
        <f>IF([2]Entry!$E$878="","",[2]Entry!$E$878)</f>
        <v/>
      </c>
      <c r="S875">
        <f>IF([2]Entry!$G$878="","",[2]Entry!$G$878)</f>
        <v/>
      </c>
      <c r="T875">
        <f>IF([2]Entry!$J$878="","",[2]Entry!$J$878)</f>
        <v/>
      </c>
      <c r="U875">
        <f>IF([2]Entry!$K$878="","",[2]Entry!$K$878)</f>
        <v/>
      </c>
      <c r="V875">
        <f>IF([2]Entry!$L$878="","",[2]Entry!$L$878)</f>
        <v/>
      </c>
      <c r="W875">
        <f>IF([2]Entry!$M$878="","",[2]Entry!$M$878)</f>
        <v/>
      </c>
      <c r="X875">
        <f>IF([2]Entry!$N$878="","",[2]Entry!$N$878)</f>
        <v/>
      </c>
      <c r="Y875">
        <f>IF([2]Entry!$R$878="","",[2]Entry!$R$878)</f>
        <v/>
      </c>
    </row>
    <row r="876">
      <c r="P876">
        <f>IF([2]Entry!$C$879="","",[2]Entry!$C$879)</f>
        <v/>
      </c>
      <c r="Q876">
        <f>IF([2]Entry!$D$879="","",[2]Entry!$D$879)</f>
        <v/>
      </c>
      <c r="R876">
        <f>IF([2]Entry!$E$879="","",[2]Entry!$E$879)</f>
        <v/>
      </c>
      <c r="S876">
        <f>IF([2]Entry!$G$879="","",[2]Entry!$G$879)</f>
        <v/>
      </c>
      <c r="T876">
        <f>IF([2]Entry!$J$879="","",[2]Entry!$J$879)</f>
        <v/>
      </c>
      <c r="U876">
        <f>IF([2]Entry!$K$879="","",[2]Entry!$K$879)</f>
        <v/>
      </c>
      <c r="V876">
        <f>IF([2]Entry!$L$879="","",[2]Entry!$L$879)</f>
        <v/>
      </c>
      <c r="W876">
        <f>IF([2]Entry!$M$879="","",[2]Entry!$M$879)</f>
        <v/>
      </c>
      <c r="X876">
        <f>IF([2]Entry!$N$879="","",[2]Entry!$N$879)</f>
        <v/>
      </c>
      <c r="Y876">
        <f>IF([2]Entry!$R$879="","",[2]Entry!$R$879)</f>
        <v/>
      </c>
    </row>
    <row r="877">
      <c r="P877">
        <f>IF([2]Entry!$C$880="","",[2]Entry!$C$880)</f>
        <v/>
      </c>
      <c r="Q877">
        <f>IF([2]Entry!$D$880="","",[2]Entry!$D$880)</f>
        <v/>
      </c>
      <c r="R877">
        <f>IF([2]Entry!$E$880="","",[2]Entry!$E$880)</f>
        <v/>
      </c>
      <c r="S877">
        <f>IF([2]Entry!$G$880="","",[2]Entry!$G$880)</f>
        <v/>
      </c>
      <c r="T877">
        <f>IF([2]Entry!$J$880="","",[2]Entry!$J$880)</f>
        <v/>
      </c>
      <c r="U877">
        <f>IF([2]Entry!$K$880="","",[2]Entry!$K$880)</f>
        <v/>
      </c>
      <c r="V877">
        <f>IF([2]Entry!$L$880="","",[2]Entry!$L$880)</f>
        <v/>
      </c>
      <c r="W877">
        <f>IF([2]Entry!$M$880="","",[2]Entry!$M$880)</f>
        <v/>
      </c>
      <c r="X877">
        <f>IF([2]Entry!$N$880="","",[2]Entry!$N$880)</f>
        <v/>
      </c>
      <c r="Y877">
        <f>IF([2]Entry!$R$880="","",[2]Entry!$R$880)</f>
        <v/>
      </c>
    </row>
    <row r="878">
      <c r="P878">
        <f>IF([2]Entry!$C$881="","",[2]Entry!$C$881)</f>
        <v/>
      </c>
      <c r="Q878">
        <f>IF([2]Entry!$D$881="","",[2]Entry!$D$881)</f>
        <v/>
      </c>
      <c r="R878">
        <f>IF([2]Entry!$E$881="","",[2]Entry!$E$881)</f>
        <v/>
      </c>
      <c r="S878">
        <f>IF([2]Entry!$G$881="","",[2]Entry!$G$881)</f>
        <v/>
      </c>
      <c r="T878">
        <f>IF([2]Entry!$J$881="","",[2]Entry!$J$881)</f>
        <v/>
      </c>
      <c r="U878">
        <f>IF([2]Entry!$K$881="","",[2]Entry!$K$881)</f>
        <v/>
      </c>
      <c r="V878">
        <f>IF([2]Entry!$L$881="","",[2]Entry!$L$881)</f>
        <v/>
      </c>
      <c r="W878">
        <f>IF([2]Entry!$M$881="","",[2]Entry!$M$881)</f>
        <v/>
      </c>
      <c r="X878">
        <f>IF([2]Entry!$N$881="","",[2]Entry!$N$881)</f>
        <v/>
      </c>
      <c r="Y878">
        <f>IF([2]Entry!$R$881="","",[2]Entry!$R$881)</f>
        <v/>
      </c>
    </row>
    <row r="879">
      <c r="P879">
        <f>IF([2]Entry!$C$882="","",[2]Entry!$C$882)</f>
        <v/>
      </c>
      <c r="Q879">
        <f>IF([2]Entry!$D$882="","",[2]Entry!$D$882)</f>
        <v/>
      </c>
      <c r="R879">
        <f>IF([2]Entry!$E$882="","",[2]Entry!$E$882)</f>
        <v/>
      </c>
      <c r="S879">
        <f>IF([2]Entry!$G$882="","",[2]Entry!$G$882)</f>
        <v/>
      </c>
      <c r="T879">
        <f>IF([2]Entry!$J$882="","",[2]Entry!$J$882)</f>
        <v/>
      </c>
      <c r="U879">
        <f>IF([2]Entry!$K$882="","",[2]Entry!$K$882)</f>
        <v/>
      </c>
      <c r="V879">
        <f>IF([2]Entry!$L$882="","",[2]Entry!$L$882)</f>
        <v/>
      </c>
      <c r="W879">
        <f>IF([2]Entry!$M$882="","",[2]Entry!$M$882)</f>
        <v/>
      </c>
      <c r="X879">
        <f>IF([2]Entry!$N$882="","",[2]Entry!$N$882)</f>
        <v/>
      </c>
      <c r="Y879">
        <f>IF([2]Entry!$R$882="","",[2]Entry!$R$882)</f>
        <v/>
      </c>
    </row>
    <row r="880">
      <c r="P880">
        <f>IF([2]Entry!$C$883="","",[2]Entry!$C$883)</f>
        <v/>
      </c>
      <c r="Q880">
        <f>IF([2]Entry!$D$883="","",[2]Entry!$D$883)</f>
        <v/>
      </c>
      <c r="R880">
        <f>IF([2]Entry!$E$883="","",[2]Entry!$E$883)</f>
        <v/>
      </c>
      <c r="S880">
        <f>IF([2]Entry!$G$883="","",[2]Entry!$G$883)</f>
        <v/>
      </c>
      <c r="T880">
        <f>IF([2]Entry!$J$883="","",[2]Entry!$J$883)</f>
        <v/>
      </c>
      <c r="U880">
        <f>IF([2]Entry!$K$883="","",[2]Entry!$K$883)</f>
        <v/>
      </c>
      <c r="V880">
        <f>IF([2]Entry!$L$883="","",[2]Entry!$L$883)</f>
        <v/>
      </c>
      <c r="W880">
        <f>IF([2]Entry!$M$883="","",[2]Entry!$M$883)</f>
        <v/>
      </c>
      <c r="X880">
        <f>IF([2]Entry!$N$883="","",[2]Entry!$N$883)</f>
        <v/>
      </c>
      <c r="Y880">
        <f>IF([2]Entry!$R$883="","",[2]Entry!$R$883)</f>
        <v/>
      </c>
    </row>
    <row r="881">
      <c r="P881">
        <f>IF([2]Entry!$C$884="","",[2]Entry!$C$884)</f>
        <v/>
      </c>
      <c r="Q881">
        <f>IF([2]Entry!$D$884="","",[2]Entry!$D$884)</f>
        <v/>
      </c>
      <c r="R881">
        <f>IF([2]Entry!$E$884="","",[2]Entry!$E$884)</f>
        <v/>
      </c>
      <c r="S881">
        <f>IF([2]Entry!$G$884="","",[2]Entry!$G$884)</f>
        <v/>
      </c>
      <c r="T881">
        <f>IF([2]Entry!$J$884="","",[2]Entry!$J$884)</f>
        <v/>
      </c>
      <c r="U881">
        <f>IF([2]Entry!$K$884="","",[2]Entry!$K$884)</f>
        <v/>
      </c>
      <c r="V881">
        <f>IF([2]Entry!$L$884="","",[2]Entry!$L$884)</f>
        <v/>
      </c>
      <c r="W881">
        <f>IF([2]Entry!$M$884="","",[2]Entry!$M$884)</f>
        <v/>
      </c>
      <c r="X881">
        <f>IF([2]Entry!$N$884="","",[2]Entry!$N$884)</f>
        <v/>
      </c>
      <c r="Y881">
        <f>IF([2]Entry!$R$884="","",[2]Entry!$R$884)</f>
        <v/>
      </c>
    </row>
    <row r="882">
      <c r="P882">
        <f>IF([2]Entry!$C$885="","",[2]Entry!$C$885)</f>
        <v/>
      </c>
      <c r="Q882">
        <f>IF([2]Entry!$D$885="","",[2]Entry!$D$885)</f>
        <v/>
      </c>
      <c r="R882">
        <f>IF([2]Entry!$E$885="","",[2]Entry!$E$885)</f>
        <v/>
      </c>
      <c r="S882">
        <f>IF([2]Entry!$G$885="","",[2]Entry!$G$885)</f>
        <v/>
      </c>
      <c r="T882">
        <f>IF([2]Entry!$J$885="","",[2]Entry!$J$885)</f>
        <v/>
      </c>
      <c r="U882">
        <f>IF([2]Entry!$K$885="","",[2]Entry!$K$885)</f>
        <v/>
      </c>
      <c r="V882">
        <f>IF([2]Entry!$L$885="","",[2]Entry!$L$885)</f>
        <v/>
      </c>
      <c r="W882">
        <f>IF([2]Entry!$M$885="","",[2]Entry!$M$885)</f>
        <v/>
      </c>
      <c r="X882">
        <f>IF([2]Entry!$N$885="","",[2]Entry!$N$885)</f>
        <v/>
      </c>
      <c r="Y882">
        <f>IF([2]Entry!$R$885="","",[2]Entry!$R$885)</f>
        <v/>
      </c>
    </row>
    <row r="883">
      <c r="P883">
        <f>IF([2]Entry!$C$886="","",[2]Entry!$C$886)</f>
        <v/>
      </c>
      <c r="Q883">
        <f>IF([2]Entry!$D$886="","",[2]Entry!$D$886)</f>
        <v/>
      </c>
      <c r="R883">
        <f>IF([2]Entry!$E$886="","",[2]Entry!$E$886)</f>
        <v/>
      </c>
      <c r="S883">
        <f>IF([2]Entry!$G$886="","",[2]Entry!$G$886)</f>
        <v/>
      </c>
      <c r="T883">
        <f>IF([2]Entry!$J$886="","",[2]Entry!$J$886)</f>
        <v/>
      </c>
      <c r="U883">
        <f>IF([2]Entry!$K$886="","",[2]Entry!$K$886)</f>
        <v/>
      </c>
      <c r="V883">
        <f>IF([2]Entry!$L$886="","",[2]Entry!$L$886)</f>
        <v/>
      </c>
      <c r="W883">
        <f>IF([2]Entry!$M$886="","",[2]Entry!$M$886)</f>
        <v/>
      </c>
      <c r="X883">
        <f>IF([2]Entry!$N$886="","",[2]Entry!$N$886)</f>
        <v/>
      </c>
      <c r="Y883">
        <f>IF([2]Entry!$R$886="","",[2]Entry!$R$886)</f>
        <v/>
      </c>
    </row>
    <row r="884">
      <c r="P884">
        <f>IF([2]Entry!$C$887="","",[2]Entry!$C$887)</f>
        <v/>
      </c>
      <c r="Q884">
        <f>IF([2]Entry!$D$887="","",[2]Entry!$D$887)</f>
        <v/>
      </c>
      <c r="R884">
        <f>IF([2]Entry!$E$887="","",[2]Entry!$E$887)</f>
        <v/>
      </c>
      <c r="S884">
        <f>IF([2]Entry!$G$887="","",[2]Entry!$G$887)</f>
        <v/>
      </c>
      <c r="T884">
        <f>IF([2]Entry!$J$887="","",[2]Entry!$J$887)</f>
        <v/>
      </c>
      <c r="U884">
        <f>IF([2]Entry!$K$887="","",[2]Entry!$K$887)</f>
        <v/>
      </c>
      <c r="V884">
        <f>IF([2]Entry!$L$887="","",[2]Entry!$L$887)</f>
        <v/>
      </c>
      <c r="W884">
        <f>IF([2]Entry!$M$887="","",[2]Entry!$M$887)</f>
        <v/>
      </c>
      <c r="X884">
        <f>IF([2]Entry!$N$887="","",[2]Entry!$N$887)</f>
        <v/>
      </c>
      <c r="Y884">
        <f>IF([2]Entry!$R$887="","",[2]Entry!$R$887)</f>
        <v/>
      </c>
    </row>
    <row r="885">
      <c r="P885">
        <f>IF([2]Entry!$C$888="","",[2]Entry!$C$888)</f>
        <v/>
      </c>
      <c r="Q885">
        <f>IF([2]Entry!$D$888="","",[2]Entry!$D$888)</f>
        <v/>
      </c>
      <c r="R885">
        <f>IF([2]Entry!$E$888="","",[2]Entry!$E$888)</f>
        <v/>
      </c>
      <c r="S885">
        <f>IF([2]Entry!$G$888="","",[2]Entry!$G$888)</f>
        <v/>
      </c>
      <c r="T885">
        <f>IF([2]Entry!$J$888="","",[2]Entry!$J$888)</f>
        <v/>
      </c>
      <c r="U885">
        <f>IF([2]Entry!$K$888="","",[2]Entry!$K$888)</f>
        <v/>
      </c>
      <c r="V885">
        <f>IF([2]Entry!$L$888="","",[2]Entry!$L$888)</f>
        <v/>
      </c>
      <c r="W885">
        <f>IF([2]Entry!$M$888="","",[2]Entry!$M$888)</f>
        <v/>
      </c>
      <c r="X885">
        <f>IF([2]Entry!$N$888="","",[2]Entry!$N$888)</f>
        <v/>
      </c>
      <c r="Y885">
        <f>IF([2]Entry!$R$888="","",[2]Entry!$R$888)</f>
        <v/>
      </c>
    </row>
    <row r="886">
      <c r="P886">
        <f>IF([2]Entry!$C$889="","",[2]Entry!$C$889)</f>
        <v/>
      </c>
      <c r="Q886">
        <f>IF([2]Entry!$D$889="","",[2]Entry!$D$889)</f>
        <v/>
      </c>
      <c r="R886">
        <f>IF([2]Entry!$E$889="","",[2]Entry!$E$889)</f>
        <v/>
      </c>
      <c r="S886">
        <f>IF([2]Entry!$G$889="","",[2]Entry!$G$889)</f>
        <v/>
      </c>
      <c r="T886">
        <f>IF([2]Entry!$J$889="","",[2]Entry!$J$889)</f>
        <v/>
      </c>
      <c r="U886">
        <f>IF([2]Entry!$K$889="","",[2]Entry!$K$889)</f>
        <v/>
      </c>
      <c r="V886">
        <f>IF([2]Entry!$L$889="","",[2]Entry!$L$889)</f>
        <v/>
      </c>
      <c r="W886">
        <f>IF([2]Entry!$M$889="","",[2]Entry!$M$889)</f>
        <v/>
      </c>
      <c r="X886">
        <f>IF([2]Entry!$N$889="","",[2]Entry!$N$889)</f>
        <v/>
      </c>
      <c r="Y886">
        <f>IF([2]Entry!$R$889="","",[2]Entry!$R$889)</f>
        <v/>
      </c>
    </row>
    <row r="887">
      <c r="P887">
        <f>IF([2]Entry!$C$890="","",[2]Entry!$C$890)</f>
        <v/>
      </c>
      <c r="Q887">
        <f>IF([2]Entry!$D$890="","",[2]Entry!$D$890)</f>
        <v/>
      </c>
      <c r="R887">
        <f>IF([2]Entry!$E$890="","",[2]Entry!$E$890)</f>
        <v/>
      </c>
      <c r="S887">
        <f>IF([2]Entry!$G$890="","",[2]Entry!$G$890)</f>
        <v/>
      </c>
      <c r="T887">
        <f>IF([2]Entry!$J$890="","",[2]Entry!$J$890)</f>
        <v/>
      </c>
      <c r="U887">
        <f>IF([2]Entry!$K$890="","",[2]Entry!$K$890)</f>
        <v/>
      </c>
      <c r="V887">
        <f>IF([2]Entry!$L$890="","",[2]Entry!$L$890)</f>
        <v/>
      </c>
      <c r="W887">
        <f>IF([2]Entry!$M$890="","",[2]Entry!$M$890)</f>
        <v/>
      </c>
      <c r="X887">
        <f>IF([2]Entry!$N$890="","",[2]Entry!$N$890)</f>
        <v/>
      </c>
      <c r="Y887">
        <f>IF([2]Entry!$R$890="","",[2]Entry!$R$890)</f>
        <v/>
      </c>
    </row>
    <row r="888">
      <c r="P888">
        <f>IF([2]Entry!$C$891="","",[2]Entry!$C$891)</f>
        <v/>
      </c>
      <c r="Q888">
        <f>IF([2]Entry!$D$891="","",[2]Entry!$D$891)</f>
        <v/>
      </c>
      <c r="R888">
        <f>IF([2]Entry!$E$891="","",[2]Entry!$E$891)</f>
        <v/>
      </c>
      <c r="S888">
        <f>IF([2]Entry!$G$891="","",[2]Entry!$G$891)</f>
        <v/>
      </c>
      <c r="T888">
        <f>IF([2]Entry!$J$891="","",[2]Entry!$J$891)</f>
        <v/>
      </c>
      <c r="U888">
        <f>IF([2]Entry!$K$891="","",[2]Entry!$K$891)</f>
        <v/>
      </c>
      <c r="V888">
        <f>IF([2]Entry!$L$891="","",[2]Entry!$L$891)</f>
        <v/>
      </c>
      <c r="W888">
        <f>IF([2]Entry!$M$891="","",[2]Entry!$M$891)</f>
        <v/>
      </c>
      <c r="X888">
        <f>IF([2]Entry!$N$891="","",[2]Entry!$N$891)</f>
        <v/>
      </c>
      <c r="Y888">
        <f>IF([2]Entry!$R$891="","",[2]Entry!$R$891)</f>
        <v/>
      </c>
    </row>
    <row r="889">
      <c r="P889">
        <f>IF([2]Entry!$C$892="","",[2]Entry!$C$892)</f>
        <v/>
      </c>
      <c r="Q889">
        <f>IF([2]Entry!$D$892="","",[2]Entry!$D$892)</f>
        <v/>
      </c>
      <c r="R889">
        <f>IF([2]Entry!$E$892="","",[2]Entry!$E$892)</f>
        <v/>
      </c>
      <c r="S889">
        <f>IF([2]Entry!$G$892="","",[2]Entry!$G$892)</f>
        <v/>
      </c>
      <c r="T889">
        <f>IF([2]Entry!$J$892="","",[2]Entry!$J$892)</f>
        <v/>
      </c>
      <c r="U889">
        <f>IF([2]Entry!$K$892="","",[2]Entry!$K$892)</f>
        <v/>
      </c>
      <c r="V889">
        <f>IF([2]Entry!$L$892="","",[2]Entry!$L$892)</f>
        <v/>
      </c>
      <c r="W889">
        <f>IF([2]Entry!$M$892="","",[2]Entry!$M$892)</f>
        <v/>
      </c>
      <c r="X889">
        <f>IF([2]Entry!$N$892="","",[2]Entry!$N$892)</f>
        <v/>
      </c>
      <c r="Y889">
        <f>IF([2]Entry!$R$892="","",[2]Entry!$R$892)</f>
        <v/>
      </c>
    </row>
    <row r="890">
      <c r="P890">
        <f>IF([2]Entry!$C$893="","",[2]Entry!$C$893)</f>
        <v/>
      </c>
      <c r="Q890">
        <f>IF([2]Entry!$D$893="","",[2]Entry!$D$893)</f>
        <v/>
      </c>
      <c r="R890">
        <f>IF([2]Entry!$E$893="","",[2]Entry!$E$893)</f>
        <v/>
      </c>
      <c r="S890">
        <f>IF([2]Entry!$G$893="","",[2]Entry!$G$893)</f>
        <v/>
      </c>
      <c r="T890">
        <f>IF([2]Entry!$J$893="","",[2]Entry!$J$893)</f>
        <v/>
      </c>
      <c r="U890">
        <f>IF([2]Entry!$K$893="","",[2]Entry!$K$893)</f>
        <v/>
      </c>
      <c r="V890">
        <f>IF([2]Entry!$L$893="","",[2]Entry!$L$893)</f>
        <v/>
      </c>
      <c r="W890">
        <f>IF([2]Entry!$M$893="","",[2]Entry!$M$893)</f>
        <v/>
      </c>
      <c r="X890">
        <f>IF([2]Entry!$N$893="","",[2]Entry!$N$893)</f>
        <v/>
      </c>
      <c r="Y890">
        <f>IF([2]Entry!$R$893="","",[2]Entry!$R$893)</f>
        <v/>
      </c>
    </row>
    <row r="891">
      <c r="P891">
        <f>IF([2]Entry!$C$894="","",[2]Entry!$C$894)</f>
        <v/>
      </c>
      <c r="Q891">
        <f>IF([2]Entry!$D$894="","",[2]Entry!$D$894)</f>
        <v/>
      </c>
      <c r="R891">
        <f>IF([2]Entry!$E$894="","",[2]Entry!$E$894)</f>
        <v/>
      </c>
      <c r="S891">
        <f>IF([2]Entry!$G$894="","",[2]Entry!$G$894)</f>
        <v/>
      </c>
      <c r="T891">
        <f>IF([2]Entry!$J$894="","",[2]Entry!$J$894)</f>
        <v/>
      </c>
      <c r="U891">
        <f>IF([2]Entry!$K$894="","",[2]Entry!$K$894)</f>
        <v/>
      </c>
      <c r="V891">
        <f>IF([2]Entry!$L$894="","",[2]Entry!$L$894)</f>
        <v/>
      </c>
      <c r="W891">
        <f>IF([2]Entry!$M$894="","",[2]Entry!$M$894)</f>
        <v/>
      </c>
      <c r="X891">
        <f>IF([2]Entry!$N$894="","",[2]Entry!$N$894)</f>
        <v/>
      </c>
      <c r="Y891">
        <f>IF([2]Entry!$R$894="","",[2]Entry!$R$894)</f>
        <v/>
      </c>
    </row>
    <row r="892">
      <c r="P892">
        <f>IF([2]Entry!$C$895="","",[2]Entry!$C$895)</f>
        <v/>
      </c>
      <c r="Q892">
        <f>IF([2]Entry!$D$895="","",[2]Entry!$D$895)</f>
        <v/>
      </c>
      <c r="R892">
        <f>IF([2]Entry!$E$895="","",[2]Entry!$E$895)</f>
        <v/>
      </c>
      <c r="S892">
        <f>IF([2]Entry!$G$895="","",[2]Entry!$G$895)</f>
        <v/>
      </c>
      <c r="T892">
        <f>IF([2]Entry!$J$895="","",[2]Entry!$J$895)</f>
        <v/>
      </c>
      <c r="U892">
        <f>IF([2]Entry!$K$895="","",[2]Entry!$K$895)</f>
        <v/>
      </c>
      <c r="V892">
        <f>IF([2]Entry!$L$895="","",[2]Entry!$L$895)</f>
        <v/>
      </c>
      <c r="W892">
        <f>IF([2]Entry!$M$895="","",[2]Entry!$M$895)</f>
        <v/>
      </c>
      <c r="X892">
        <f>IF([2]Entry!$N$895="","",[2]Entry!$N$895)</f>
        <v/>
      </c>
      <c r="Y892">
        <f>IF([2]Entry!$R$895="","",[2]Entry!$R$895)</f>
        <v/>
      </c>
    </row>
    <row r="893">
      <c r="P893">
        <f>IF([2]Entry!$C$896="","",[2]Entry!$C$896)</f>
        <v/>
      </c>
      <c r="Q893">
        <f>IF([2]Entry!$D$896="","",[2]Entry!$D$896)</f>
        <v/>
      </c>
      <c r="R893">
        <f>IF([2]Entry!$E$896="","",[2]Entry!$E$896)</f>
        <v/>
      </c>
      <c r="S893">
        <f>IF([2]Entry!$G$896="","",[2]Entry!$G$896)</f>
        <v/>
      </c>
      <c r="T893">
        <f>IF([2]Entry!$J$896="","",[2]Entry!$J$896)</f>
        <v/>
      </c>
      <c r="U893">
        <f>IF([2]Entry!$K$896="","",[2]Entry!$K$896)</f>
        <v/>
      </c>
      <c r="V893">
        <f>IF([2]Entry!$L$896="","",[2]Entry!$L$896)</f>
        <v/>
      </c>
      <c r="W893">
        <f>IF([2]Entry!$M$896="","",[2]Entry!$M$896)</f>
        <v/>
      </c>
      <c r="X893">
        <f>IF([2]Entry!$N$896="","",[2]Entry!$N$896)</f>
        <v/>
      </c>
      <c r="Y893">
        <f>IF([2]Entry!$R$896="","",[2]Entry!$R$896)</f>
        <v/>
      </c>
    </row>
    <row r="894">
      <c r="P894">
        <f>IF([2]Entry!$C$897="","",[2]Entry!$C$897)</f>
        <v/>
      </c>
      <c r="Q894">
        <f>IF([2]Entry!$D$897="","",[2]Entry!$D$897)</f>
        <v/>
      </c>
      <c r="R894">
        <f>IF([2]Entry!$E$897="","",[2]Entry!$E$897)</f>
        <v/>
      </c>
      <c r="S894">
        <f>IF([2]Entry!$G$897="","",[2]Entry!$G$897)</f>
        <v/>
      </c>
      <c r="T894">
        <f>IF([2]Entry!$J$897="","",[2]Entry!$J$897)</f>
        <v/>
      </c>
      <c r="U894">
        <f>IF([2]Entry!$K$897="","",[2]Entry!$K$897)</f>
        <v/>
      </c>
      <c r="V894">
        <f>IF([2]Entry!$L$897="","",[2]Entry!$L$897)</f>
        <v/>
      </c>
      <c r="W894">
        <f>IF([2]Entry!$M$897="","",[2]Entry!$M$897)</f>
        <v/>
      </c>
      <c r="X894">
        <f>IF([2]Entry!$N$897="","",[2]Entry!$N$897)</f>
        <v/>
      </c>
      <c r="Y894">
        <f>IF([2]Entry!$R$897="","",[2]Entry!$R$897)</f>
        <v/>
      </c>
    </row>
    <row r="895">
      <c r="P895">
        <f>IF([2]Entry!$C$898="","",[2]Entry!$C$898)</f>
        <v/>
      </c>
      <c r="Q895">
        <f>IF([2]Entry!$D$898="","",[2]Entry!$D$898)</f>
        <v/>
      </c>
      <c r="R895">
        <f>IF([2]Entry!$E$898="","",[2]Entry!$E$898)</f>
        <v/>
      </c>
      <c r="S895">
        <f>IF([2]Entry!$G$898="","",[2]Entry!$G$898)</f>
        <v/>
      </c>
      <c r="T895">
        <f>IF([2]Entry!$J$898="","",[2]Entry!$J$898)</f>
        <v/>
      </c>
      <c r="U895">
        <f>IF([2]Entry!$K$898="","",[2]Entry!$K$898)</f>
        <v/>
      </c>
      <c r="V895">
        <f>IF([2]Entry!$L$898="","",[2]Entry!$L$898)</f>
        <v/>
      </c>
      <c r="W895">
        <f>IF([2]Entry!$M$898="","",[2]Entry!$M$898)</f>
        <v/>
      </c>
      <c r="X895">
        <f>IF([2]Entry!$N$898="","",[2]Entry!$N$898)</f>
        <v/>
      </c>
      <c r="Y895">
        <f>IF([2]Entry!$R$898="","",[2]Entry!$R$898)</f>
        <v/>
      </c>
    </row>
    <row r="896">
      <c r="P896">
        <f>IF([2]Entry!$C$899="","",[2]Entry!$C$899)</f>
        <v/>
      </c>
      <c r="Q896">
        <f>IF([2]Entry!$D$899="","",[2]Entry!$D$899)</f>
        <v/>
      </c>
      <c r="R896">
        <f>IF([2]Entry!$E$899="","",[2]Entry!$E$899)</f>
        <v/>
      </c>
      <c r="S896">
        <f>IF([2]Entry!$G$899="","",[2]Entry!$G$899)</f>
        <v/>
      </c>
      <c r="T896">
        <f>IF([2]Entry!$J$899="","",[2]Entry!$J$899)</f>
        <v/>
      </c>
      <c r="U896">
        <f>IF([2]Entry!$K$899="","",[2]Entry!$K$899)</f>
        <v/>
      </c>
      <c r="V896">
        <f>IF([2]Entry!$L$899="","",[2]Entry!$L$899)</f>
        <v/>
      </c>
      <c r="W896">
        <f>IF([2]Entry!$M$899="","",[2]Entry!$M$899)</f>
        <v/>
      </c>
      <c r="X896">
        <f>IF([2]Entry!$N$899="","",[2]Entry!$N$899)</f>
        <v/>
      </c>
      <c r="Y896">
        <f>IF([2]Entry!$R$899="","",[2]Entry!$R$899)</f>
        <v/>
      </c>
    </row>
    <row r="897">
      <c r="P897">
        <f>IF([2]Entry!$C$900="","",[2]Entry!$C$900)</f>
        <v/>
      </c>
      <c r="Q897">
        <f>IF([2]Entry!$D$900="","",[2]Entry!$D$900)</f>
        <v/>
      </c>
      <c r="R897">
        <f>IF([2]Entry!$E$900="","",[2]Entry!$E$900)</f>
        <v/>
      </c>
      <c r="S897">
        <f>IF([2]Entry!$G$900="","",[2]Entry!$G$900)</f>
        <v/>
      </c>
      <c r="T897">
        <f>IF([2]Entry!$J$900="","",[2]Entry!$J$900)</f>
        <v/>
      </c>
      <c r="U897">
        <f>IF([2]Entry!$K$900="","",[2]Entry!$K$900)</f>
        <v/>
      </c>
      <c r="V897">
        <f>IF([2]Entry!$L$900="","",[2]Entry!$L$900)</f>
        <v/>
      </c>
      <c r="W897">
        <f>IF([2]Entry!$M$900="","",[2]Entry!$M$900)</f>
        <v/>
      </c>
      <c r="X897">
        <f>IF([2]Entry!$N$900="","",[2]Entry!$N$900)</f>
        <v/>
      </c>
      <c r="Y897">
        <f>IF([2]Entry!$R$900="","",[2]Entry!$R$900)</f>
        <v/>
      </c>
    </row>
    <row r="898">
      <c r="P898">
        <f>IF([2]Entry!$C$901="","",[2]Entry!$C$901)</f>
        <v/>
      </c>
      <c r="Q898">
        <f>IF([2]Entry!$D$901="","",[2]Entry!$D$901)</f>
        <v/>
      </c>
      <c r="R898">
        <f>IF([2]Entry!$E$901="","",[2]Entry!$E$901)</f>
        <v/>
      </c>
      <c r="S898">
        <f>IF([2]Entry!$G$901="","",[2]Entry!$G$901)</f>
        <v/>
      </c>
      <c r="T898">
        <f>IF([2]Entry!$J$901="","",[2]Entry!$J$901)</f>
        <v/>
      </c>
      <c r="U898">
        <f>IF([2]Entry!$K$901="","",[2]Entry!$K$901)</f>
        <v/>
      </c>
      <c r="V898">
        <f>IF([2]Entry!$L$901="","",[2]Entry!$L$901)</f>
        <v/>
      </c>
      <c r="W898">
        <f>IF([2]Entry!$M$901="","",[2]Entry!$M$901)</f>
        <v/>
      </c>
      <c r="X898">
        <f>IF([2]Entry!$N$901="","",[2]Entry!$N$901)</f>
        <v/>
      </c>
      <c r="Y898">
        <f>IF([2]Entry!$R$901="","",[2]Entry!$R$901)</f>
        <v/>
      </c>
    </row>
    <row r="899">
      <c r="P899">
        <f>IF([2]Entry!$C$902="","",[2]Entry!$C$902)</f>
        <v/>
      </c>
      <c r="Q899">
        <f>IF([2]Entry!$D$902="","",[2]Entry!$D$902)</f>
        <v/>
      </c>
      <c r="R899">
        <f>IF([2]Entry!$E$902="","",[2]Entry!$E$902)</f>
        <v/>
      </c>
      <c r="S899">
        <f>IF([2]Entry!$G$902="","",[2]Entry!$G$902)</f>
        <v/>
      </c>
      <c r="T899">
        <f>IF([2]Entry!$J$902="","",[2]Entry!$J$902)</f>
        <v/>
      </c>
      <c r="U899">
        <f>IF([2]Entry!$K$902="","",[2]Entry!$K$902)</f>
        <v/>
      </c>
      <c r="V899">
        <f>IF([2]Entry!$L$902="","",[2]Entry!$L$902)</f>
        <v/>
      </c>
      <c r="W899">
        <f>IF([2]Entry!$M$902="","",[2]Entry!$M$902)</f>
        <v/>
      </c>
      <c r="X899">
        <f>IF([2]Entry!$N$902="","",[2]Entry!$N$902)</f>
        <v/>
      </c>
      <c r="Y899">
        <f>IF([2]Entry!$R$902="","",[2]Entry!$R$902)</f>
        <v/>
      </c>
    </row>
    <row r="900">
      <c r="P900">
        <f>IF([2]Entry!$C$903="","",[2]Entry!$C$903)</f>
        <v/>
      </c>
      <c r="Q900">
        <f>IF([2]Entry!$D$903="","",[2]Entry!$D$903)</f>
        <v/>
      </c>
      <c r="R900">
        <f>IF([2]Entry!$E$903="","",[2]Entry!$E$903)</f>
        <v/>
      </c>
      <c r="S900">
        <f>IF([2]Entry!$G$903="","",[2]Entry!$G$903)</f>
        <v/>
      </c>
      <c r="T900">
        <f>IF([2]Entry!$J$903="","",[2]Entry!$J$903)</f>
        <v/>
      </c>
      <c r="U900">
        <f>IF([2]Entry!$K$903="","",[2]Entry!$K$903)</f>
        <v/>
      </c>
      <c r="V900">
        <f>IF([2]Entry!$L$903="","",[2]Entry!$L$903)</f>
        <v/>
      </c>
      <c r="W900">
        <f>IF([2]Entry!$M$903="","",[2]Entry!$M$903)</f>
        <v/>
      </c>
      <c r="X900">
        <f>IF([2]Entry!$N$903="","",[2]Entry!$N$903)</f>
        <v/>
      </c>
      <c r="Y900">
        <f>IF([2]Entry!$R$903="","",[2]Entry!$R$903)</f>
        <v/>
      </c>
    </row>
    <row r="901">
      <c r="P901">
        <f>IF([2]Entry!$C$904="","",[2]Entry!$C$904)</f>
        <v/>
      </c>
      <c r="Q901">
        <f>IF([2]Entry!$D$904="","",[2]Entry!$D$904)</f>
        <v/>
      </c>
      <c r="R901">
        <f>IF([2]Entry!$E$904="","",[2]Entry!$E$904)</f>
        <v/>
      </c>
      <c r="S901">
        <f>IF([2]Entry!$G$904="","",[2]Entry!$G$904)</f>
        <v/>
      </c>
      <c r="T901">
        <f>IF([2]Entry!$J$904="","",[2]Entry!$J$904)</f>
        <v/>
      </c>
      <c r="U901">
        <f>IF([2]Entry!$K$904="","",[2]Entry!$K$904)</f>
        <v/>
      </c>
      <c r="V901">
        <f>IF([2]Entry!$L$904="","",[2]Entry!$L$904)</f>
        <v/>
      </c>
      <c r="W901">
        <f>IF([2]Entry!$M$904="","",[2]Entry!$M$904)</f>
        <v/>
      </c>
      <c r="X901">
        <f>IF([2]Entry!$N$904="","",[2]Entry!$N$904)</f>
        <v/>
      </c>
      <c r="Y901">
        <f>IF([2]Entry!$R$904="","",[2]Entry!$R$904)</f>
        <v/>
      </c>
    </row>
    <row r="902">
      <c r="P902">
        <f>IF([2]Entry!$C$905="","",[2]Entry!$C$905)</f>
        <v/>
      </c>
      <c r="Q902">
        <f>IF([2]Entry!$D$905="","",[2]Entry!$D$905)</f>
        <v/>
      </c>
      <c r="R902">
        <f>IF([2]Entry!$E$905="","",[2]Entry!$E$905)</f>
        <v/>
      </c>
      <c r="S902">
        <f>IF([2]Entry!$G$905="","",[2]Entry!$G$905)</f>
        <v/>
      </c>
      <c r="T902">
        <f>IF([2]Entry!$J$905="","",[2]Entry!$J$905)</f>
        <v/>
      </c>
      <c r="U902">
        <f>IF([2]Entry!$K$905="","",[2]Entry!$K$905)</f>
        <v/>
      </c>
      <c r="V902">
        <f>IF([2]Entry!$L$905="","",[2]Entry!$L$905)</f>
        <v/>
      </c>
      <c r="W902">
        <f>IF([2]Entry!$M$905="","",[2]Entry!$M$905)</f>
        <v/>
      </c>
      <c r="X902">
        <f>IF([2]Entry!$N$905="","",[2]Entry!$N$905)</f>
        <v/>
      </c>
      <c r="Y902">
        <f>IF([2]Entry!$R$905="","",[2]Entry!$R$905)</f>
        <v/>
      </c>
    </row>
    <row r="903">
      <c r="P903">
        <f>IF([2]Entry!$C$906="","",[2]Entry!$C$906)</f>
        <v/>
      </c>
      <c r="Q903">
        <f>IF([2]Entry!$D$906="","",[2]Entry!$D$906)</f>
        <v/>
      </c>
      <c r="R903">
        <f>IF([2]Entry!$E$906="","",[2]Entry!$E$906)</f>
        <v/>
      </c>
      <c r="S903">
        <f>IF([2]Entry!$G$906="","",[2]Entry!$G$906)</f>
        <v/>
      </c>
      <c r="T903">
        <f>IF([2]Entry!$J$906="","",[2]Entry!$J$906)</f>
        <v/>
      </c>
      <c r="U903">
        <f>IF([2]Entry!$K$906="","",[2]Entry!$K$906)</f>
        <v/>
      </c>
      <c r="V903">
        <f>IF([2]Entry!$L$906="","",[2]Entry!$L$906)</f>
        <v/>
      </c>
      <c r="W903">
        <f>IF([2]Entry!$M$906="","",[2]Entry!$M$906)</f>
        <v/>
      </c>
      <c r="X903">
        <f>IF([2]Entry!$N$906="","",[2]Entry!$N$906)</f>
        <v/>
      </c>
      <c r="Y903">
        <f>IF([2]Entry!$R$906="","",[2]Entry!$R$906)</f>
        <v/>
      </c>
    </row>
    <row r="904">
      <c r="P904">
        <f>IF([2]Entry!$C$907="","",[2]Entry!$C$907)</f>
        <v/>
      </c>
      <c r="Q904">
        <f>IF([2]Entry!$D$907="","",[2]Entry!$D$907)</f>
        <v/>
      </c>
      <c r="R904">
        <f>IF([2]Entry!$E$907="","",[2]Entry!$E$907)</f>
        <v/>
      </c>
      <c r="S904">
        <f>IF([2]Entry!$G$907="","",[2]Entry!$G$907)</f>
        <v/>
      </c>
      <c r="T904">
        <f>IF([2]Entry!$J$907="","",[2]Entry!$J$907)</f>
        <v/>
      </c>
      <c r="U904">
        <f>IF([2]Entry!$K$907="","",[2]Entry!$K$907)</f>
        <v/>
      </c>
      <c r="V904">
        <f>IF([2]Entry!$L$907="","",[2]Entry!$L$907)</f>
        <v/>
      </c>
      <c r="W904">
        <f>IF([2]Entry!$M$907="","",[2]Entry!$M$907)</f>
        <v/>
      </c>
      <c r="X904">
        <f>IF([2]Entry!$N$907="","",[2]Entry!$N$907)</f>
        <v/>
      </c>
      <c r="Y904">
        <f>IF([2]Entry!$R$907="","",[2]Entry!$R$907)</f>
        <v/>
      </c>
    </row>
    <row r="905">
      <c r="P905">
        <f>IF([2]Entry!$C$908="","",[2]Entry!$C$908)</f>
        <v/>
      </c>
      <c r="Q905">
        <f>IF([2]Entry!$D$908="","",[2]Entry!$D$908)</f>
        <v/>
      </c>
      <c r="R905">
        <f>IF([2]Entry!$E$908="","",[2]Entry!$E$908)</f>
        <v/>
      </c>
      <c r="S905">
        <f>IF([2]Entry!$G$908="","",[2]Entry!$G$908)</f>
        <v/>
      </c>
      <c r="T905">
        <f>IF([2]Entry!$J$908="","",[2]Entry!$J$908)</f>
        <v/>
      </c>
      <c r="U905">
        <f>IF([2]Entry!$K$908="","",[2]Entry!$K$908)</f>
        <v/>
      </c>
      <c r="V905">
        <f>IF([2]Entry!$L$908="","",[2]Entry!$L$908)</f>
        <v/>
      </c>
      <c r="W905">
        <f>IF([2]Entry!$M$908="","",[2]Entry!$M$908)</f>
        <v/>
      </c>
      <c r="X905">
        <f>IF([2]Entry!$N$908="","",[2]Entry!$N$908)</f>
        <v/>
      </c>
      <c r="Y905">
        <f>IF([2]Entry!$R$908="","",[2]Entry!$R$908)</f>
        <v/>
      </c>
    </row>
    <row r="906">
      <c r="P906">
        <f>IF([2]Entry!$C$909="","",[2]Entry!$C$909)</f>
        <v/>
      </c>
      <c r="Q906">
        <f>IF([2]Entry!$D$909="","",[2]Entry!$D$909)</f>
        <v/>
      </c>
      <c r="R906">
        <f>IF([2]Entry!$E$909="","",[2]Entry!$E$909)</f>
        <v/>
      </c>
      <c r="S906">
        <f>IF([2]Entry!$G$909="","",[2]Entry!$G$909)</f>
        <v/>
      </c>
      <c r="T906">
        <f>IF([2]Entry!$J$909="","",[2]Entry!$J$909)</f>
        <v/>
      </c>
      <c r="U906">
        <f>IF([2]Entry!$K$909="","",[2]Entry!$K$909)</f>
        <v/>
      </c>
      <c r="V906">
        <f>IF([2]Entry!$L$909="","",[2]Entry!$L$909)</f>
        <v/>
      </c>
      <c r="W906">
        <f>IF([2]Entry!$M$909="","",[2]Entry!$M$909)</f>
        <v/>
      </c>
      <c r="X906">
        <f>IF([2]Entry!$N$909="","",[2]Entry!$N$909)</f>
        <v/>
      </c>
      <c r="Y906">
        <f>IF([2]Entry!$R$909="","",[2]Entry!$R$909)</f>
        <v/>
      </c>
    </row>
    <row r="907">
      <c r="P907">
        <f>IF([2]Entry!$C$910="","",[2]Entry!$C$910)</f>
        <v/>
      </c>
      <c r="Q907">
        <f>IF([2]Entry!$D$910="","",[2]Entry!$D$910)</f>
        <v/>
      </c>
      <c r="R907">
        <f>IF([2]Entry!$E$910="","",[2]Entry!$E$910)</f>
        <v/>
      </c>
      <c r="S907">
        <f>IF([2]Entry!$G$910="","",[2]Entry!$G$910)</f>
        <v/>
      </c>
      <c r="T907">
        <f>IF([2]Entry!$J$910="","",[2]Entry!$J$910)</f>
        <v/>
      </c>
      <c r="U907">
        <f>IF([2]Entry!$K$910="","",[2]Entry!$K$910)</f>
        <v/>
      </c>
      <c r="V907">
        <f>IF([2]Entry!$L$910="","",[2]Entry!$L$910)</f>
        <v/>
      </c>
      <c r="W907">
        <f>IF([2]Entry!$M$910="","",[2]Entry!$M$910)</f>
        <v/>
      </c>
      <c r="X907">
        <f>IF([2]Entry!$N$910="","",[2]Entry!$N$910)</f>
        <v/>
      </c>
      <c r="Y907">
        <f>IF([2]Entry!$R$910="","",[2]Entry!$R$910)</f>
        <v/>
      </c>
    </row>
    <row r="908">
      <c r="P908">
        <f>IF([2]Entry!$C$911="","",[2]Entry!$C$911)</f>
        <v/>
      </c>
      <c r="Q908">
        <f>IF([2]Entry!$D$911="","",[2]Entry!$D$911)</f>
        <v/>
      </c>
      <c r="R908">
        <f>IF([2]Entry!$E$911="","",[2]Entry!$E$911)</f>
        <v/>
      </c>
      <c r="S908">
        <f>IF([2]Entry!$G$911="","",[2]Entry!$G$911)</f>
        <v/>
      </c>
      <c r="T908">
        <f>IF([2]Entry!$J$911="","",[2]Entry!$J$911)</f>
        <v/>
      </c>
      <c r="U908">
        <f>IF([2]Entry!$K$911="","",[2]Entry!$K$911)</f>
        <v/>
      </c>
      <c r="V908">
        <f>IF([2]Entry!$L$911="","",[2]Entry!$L$911)</f>
        <v/>
      </c>
      <c r="W908">
        <f>IF([2]Entry!$M$911="","",[2]Entry!$M$911)</f>
        <v/>
      </c>
      <c r="X908">
        <f>IF([2]Entry!$N$911="","",[2]Entry!$N$911)</f>
        <v/>
      </c>
      <c r="Y908">
        <f>IF([2]Entry!$R$911="","",[2]Entry!$R$911)</f>
        <v/>
      </c>
    </row>
    <row r="909">
      <c r="P909">
        <f>IF([2]Entry!$C$912="","",[2]Entry!$C$912)</f>
        <v/>
      </c>
      <c r="Q909">
        <f>IF([2]Entry!$D$912="","",[2]Entry!$D$912)</f>
        <v/>
      </c>
      <c r="R909">
        <f>IF([2]Entry!$E$912="","",[2]Entry!$E$912)</f>
        <v/>
      </c>
      <c r="S909">
        <f>IF([2]Entry!$G$912="","",[2]Entry!$G$912)</f>
        <v/>
      </c>
      <c r="T909">
        <f>IF([2]Entry!$J$912="","",[2]Entry!$J$912)</f>
        <v/>
      </c>
      <c r="U909">
        <f>IF([2]Entry!$K$912="","",[2]Entry!$K$912)</f>
        <v/>
      </c>
      <c r="V909">
        <f>IF([2]Entry!$L$912="","",[2]Entry!$L$912)</f>
        <v/>
      </c>
      <c r="W909">
        <f>IF([2]Entry!$M$912="","",[2]Entry!$M$912)</f>
        <v/>
      </c>
      <c r="X909">
        <f>IF([2]Entry!$N$912="","",[2]Entry!$N$912)</f>
        <v/>
      </c>
      <c r="Y909">
        <f>IF([2]Entry!$R$912="","",[2]Entry!$R$912)</f>
        <v/>
      </c>
    </row>
    <row r="910">
      <c r="P910">
        <f>IF([2]Entry!$C$913="","",[2]Entry!$C$913)</f>
        <v/>
      </c>
      <c r="Q910">
        <f>IF([2]Entry!$D$913="","",[2]Entry!$D$913)</f>
        <v/>
      </c>
      <c r="R910">
        <f>IF([2]Entry!$E$913="","",[2]Entry!$E$913)</f>
        <v/>
      </c>
      <c r="S910">
        <f>IF([2]Entry!$G$913="","",[2]Entry!$G$913)</f>
        <v/>
      </c>
      <c r="T910">
        <f>IF([2]Entry!$J$913="","",[2]Entry!$J$913)</f>
        <v/>
      </c>
      <c r="U910">
        <f>IF([2]Entry!$K$913="","",[2]Entry!$K$913)</f>
        <v/>
      </c>
      <c r="V910">
        <f>IF([2]Entry!$L$913="","",[2]Entry!$L$913)</f>
        <v/>
      </c>
      <c r="W910">
        <f>IF([2]Entry!$M$913="","",[2]Entry!$M$913)</f>
        <v/>
      </c>
      <c r="X910">
        <f>IF([2]Entry!$N$913="","",[2]Entry!$N$913)</f>
        <v/>
      </c>
      <c r="Y910">
        <f>IF([2]Entry!$R$913="","",[2]Entry!$R$913)</f>
        <v/>
      </c>
    </row>
    <row r="911">
      <c r="P911">
        <f>IF([2]Entry!$C$914="","",[2]Entry!$C$914)</f>
        <v/>
      </c>
      <c r="Q911">
        <f>IF([2]Entry!$D$914="","",[2]Entry!$D$914)</f>
        <v/>
      </c>
      <c r="R911">
        <f>IF([2]Entry!$E$914="","",[2]Entry!$E$914)</f>
        <v/>
      </c>
      <c r="S911">
        <f>IF([2]Entry!$G$914="","",[2]Entry!$G$914)</f>
        <v/>
      </c>
      <c r="T911">
        <f>IF([2]Entry!$J$914="","",[2]Entry!$J$914)</f>
        <v/>
      </c>
      <c r="U911">
        <f>IF([2]Entry!$K$914="","",[2]Entry!$K$914)</f>
        <v/>
      </c>
      <c r="V911">
        <f>IF([2]Entry!$L$914="","",[2]Entry!$L$914)</f>
        <v/>
      </c>
      <c r="W911">
        <f>IF([2]Entry!$M$914="","",[2]Entry!$M$914)</f>
        <v/>
      </c>
      <c r="X911">
        <f>IF([2]Entry!$N$914="","",[2]Entry!$N$914)</f>
        <v/>
      </c>
      <c r="Y911">
        <f>IF([2]Entry!$R$914="","",[2]Entry!$R$914)</f>
        <v/>
      </c>
    </row>
    <row r="912">
      <c r="P912">
        <f>IF([2]Entry!$C$915="","",[2]Entry!$C$915)</f>
        <v/>
      </c>
      <c r="Q912">
        <f>IF([2]Entry!$D$915="","",[2]Entry!$D$915)</f>
        <v/>
      </c>
      <c r="R912">
        <f>IF([2]Entry!$E$915="","",[2]Entry!$E$915)</f>
        <v/>
      </c>
      <c r="S912">
        <f>IF([2]Entry!$G$915="","",[2]Entry!$G$915)</f>
        <v/>
      </c>
      <c r="T912">
        <f>IF([2]Entry!$J$915="","",[2]Entry!$J$915)</f>
        <v/>
      </c>
      <c r="U912">
        <f>IF([2]Entry!$K$915="","",[2]Entry!$K$915)</f>
        <v/>
      </c>
      <c r="V912">
        <f>IF([2]Entry!$L$915="","",[2]Entry!$L$915)</f>
        <v/>
      </c>
      <c r="W912">
        <f>IF([2]Entry!$M$915="","",[2]Entry!$M$915)</f>
        <v/>
      </c>
      <c r="X912">
        <f>IF([2]Entry!$N$915="","",[2]Entry!$N$915)</f>
        <v/>
      </c>
      <c r="Y912">
        <f>IF([2]Entry!$R$915="","",[2]Entry!$R$915)</f>
        <v/>
      </c>
    </row>
    <row r="913">
      <c r="P913">
        <f>IF([2]Entry!$C$916="","",[2]Entry!$C$916)</f>
        <v/>
      </c>
      <c r="Q913">
        <f>IF([2]Entry!$D$916="","",[2]Entry!$D$916)</f>
        <v/>
      </c>
      <c r="R913">
        <f>IF([2]Entry!$E$916="","",[2]Entry!$E$916)</f>
        <v/>
      </c>
      <c r="S913">
        <f>IF([2]Entry!$G$916="","",[2]Entry!$G$916)</f>
        <v/>
      </c>
      <c r="T913">
        <f>IF([2]Entry!$J$916="","",[2]Entry!$J$916)</f>
        <v/>
      </c>
      <c r="U913">
        <f>IF([2]Entry!$K$916="","",[2]Entry!$K$916)</f>
        <v/>
      </c>
      <c r="V913">
        <f>IF([2]Entry!$L$916="","",[2]Entry!$L$916)</f>
        <v/>
      </c>
      <c r="W913">
        <f>IF([2]Entry!$M$916="","",[2]Entry!$M$916)</f>
        <v/>
      </c>
      <c r="X913">
        <f>IF([2]Entry!$N$916="","",[2]Entry!$N$916)</f>
        <v/>
      </c>
      <c r="Y913">
        <f>IF([2]Entry!$R$916="","",[2]Entry!$R$916)</f>
        <v/>
      </c>
    </row>
    <row r="914">
      <c r="P914">
        <f>IF([2]Entry!$C$917="","",[2]Entry!$C$917)</f>
        <v/>
      </c>
      <c r="Q914">
        <f>IF([2]Entry!$D$917="","",[2]Entry!$D$917)</f>
        <v/>
      </c>
      <c r="R914">
        <f>IF([2]Entry!$E$917="","",[2]Entry!$E$917)</f>
        <v/>
      </c>
      <c r="S914">
        <f>IF([2]Entry!$G$917="","",[2]Entry!$G$917)</f>
        <v/>
      </c>
      <c r="T914">
        <f>IF([2]Entry!$J$917="","",[2]Entry!$J$917)</f>
        <v/>
      </c>
      <c r="U914">
        <f>IF([2]Entry!$K$917="","",[2]Entry!$K$917)</f>
        <v/>
      </c>
      <c r="V914">
        <f>IF([2]Entry!$L$917="","",[2]Entry!$L$917)</f>
        <v/>
      </c>
      <c r="W914">
        <f>IF([2]Entry!$M$917="","",[2]Entry!$M$917)</f>
        <v/>
      </c>
      <c r="X914">
        <f>IF([2]Entry!$N$917="","",[2]Entry!$N$917)</f>
        <v/>
      </c>
      <c r="Y914">
        <f>IF([2]Entry!$R$917="","",[2]Entry!$R$917)</f>
        <v/>
      </c>
    </row>
    <row r="915">
      <c r="P915">
        <f>IF([2]Entry!$C$918="","",[2]Entry!$C$918)</f>
        <v/>
      </c>
      <c r="Q915">
        <f>IF([2]Entry!$D$918="","",[2]Entry!$D$918)</f>
        <v/>
      </c>
      <c r="R915">
        <f>IF([2]Entry!$E$918="","",[2]Entry!$E$918)</f>
        <v/>
      </c>
      <c r="S915">
        <f>IF([2]Entry!$G$918="","",[2]Entry!$G$918)</f>
        <v/>
      </c>
      <c r="T915">
        <f>IF([2]Entry!$J$918="","",[2]Entry!$J$918)</f>
        <v/>
      </c>
      <c r="U915">
        <f>IF([2]Entry!$K$918="","",[2]Entry!$K$918)</f>
        <v/>
      </c>
      <c r="V915">
        <f>IF([2]Entry!$L$918="","",[2]Entry!$L$918)</f>
        <v/>
      </c>
      <c r="W915">
        <f>IF([2]Entry!$M$918="","",[2]Entry!$M$918)</f>
        <v/>
      </c>
      <c r="X915">
        <f>IF([2]Entry!$N$918="","",[2]Entry!$N$918)</f>
        <v/>
      </c>
      <c r="Y915">
        <f>IF([2]Entry!$R$918="","",[2]Entry!$R$918)</f>
        <v/>
      </c>
    </row>
    <row r="916">
      <c r="P916">
        <f>IF([2]Entry!$C$919="","",[2]Entry!$C$919)</f>
        <v/>
      </c>
      <c r="Q916">
        <f>IF([2]Entry!$D$919="","",[2]Entry!$D$919)</f>
        <v/>
      </c>
      <c r="R916">
        <f>IF([2]Entry!$E$919="","",[2]Entry!$E$919)</f>
        <v/>
      </c>
      <c r="S916">
        <f>IF([2]Entry!$G$919="","",[2]Entry!$G$919)</f>
        <v/>
      </c>
      <c r="T916">
        <f>IF([2]Entry!$J$919="","",[2]Entry!$J$919)</f>
        <v/>
      </c>
      <c r="U916">
        <f>IF([2]Entry!$K$919="","",[2]Entry!$K$919)</f>
        <v/>
      </c>
      <c r="V916">
        <f>IF([2]Entry!$L$919="","",[2]Entry!$L$919)</f>
        <v/>
      </c>
      <c r="W916">
        <f>IF([2]Entry!$M$919="","",[2]Entry!$M$919)</f>
        <v/>
      </c>
      <c r="X916">
        <f>IF([2]Entry!$N$919="","",[2]Entry!$N$919)</f>
        <v/>
      </c>
      <c r="Y916">
        <f>IF([2]Entry!$R$919="","",[2]Entry!$R$919)</f>
        <v/>
      </c>
    </row>
    <row r="917">
      <c r="P917">
        <f>IF([2]Entry!$C$920="","",[2]Entry!$C$920)</f>
        <v/>
      </c>
      <c r="Q917">
        <f>IF([2]Entry!$D$920="","",[2]Entry!$D$920)</f>
        <v/>
      </c>
      <c r="R917">
        <f>IF([2]Entry!$E$920="","",[2]Entry!$E$920)</f>
        <v/>
      </c>
      <c r="S917">
        <f>IF([2]Entry!$G$920="","",[2]Entry!$G$920)</f>
        <v/>
      </c>
      <c r="T917">
        <f>IF([2]Entry!$J$920="","",[2]Entry!$J$920)</f>
        <v/>
      </c>
      <c r="U917">
        <f>IF([2]Entry!$K$920="","",[2]Entry!$K$920)</f>
        <v/>
      </c>
      <c r="V917">
        <f>IF([2]Entry!$L$920="","",[2]Entry!$L$920)</f>
        <v/>
      </c>
      <c r="W917">
        <f>IF([2]Entry!$M$920="","",[2]Entry!$M$920)</f>
        <v/>
      </c>
      <c r="X917">
        <f>IF([2]Entry!$N$920="","",[2]Entry!$N$920)</f>
        <v/>
      </c>
      <c r="Y917">
        <f>IF([2]Entry!$R$920="","",[2]Entry!$R$920)</f>
        <v/>
      </c>
    </row>
    <row r="918">
      <c r="P918">
        <f>IF([2]Entry!$C$921="","",[2]Entry!$C$921)</f>
        <v/>
      </c>
      <c r="Q918">
        <f>IF([2]Entry!$D$921="","",[2]Entry!$D$921)</f>
        <v/>
      </c>
      <c r="R918">
        <f>IF([2]Entry!$E$921="","",[2]Entry!$E$921)</f>
        <v/>
      </c>
      <c r="S918">
        <f>IF([2]Entry!$G$921="","",[2]Entry!$G$921)</f>
        <v/>
      </c>
      <c r="T918">
        <f>IF([2]Entry!$J$921="","",[2]Entry!$J$921)</f>
        <v/>
      </c>
      <c r="U918">
        <f>IF([2]Entry!$K$921="","",[2]Entry!$K$921)</f>
        <v/>
      </c>
      <c r="V918">
        <f>IF([2]Entry!$L$921="","",[2]Entry!$L$921)</f>
        <v/>
      </c>
      <c r="W918">
        <f>IF([2]Entry!$M$921="","",[2]Entry!$M$921)</f>
        <v/>
      </c>
      <c r="X918">
        <f>IF([2]Entry!$N$921="","",[2]Entry!$N$921)</f>
        <v/>
      </c>
      <c r="Y918">
        <f>IF([2]Entry!$R$921="","",[2]Entry!$R$921)</f>
        <v/>
      </c>
    </row>
    <row r="919">
      <c r="P919">
        <f>IF([2]Entry!$C$922="","",[2]Entry!$C$922)</f>
        <v/>
      </c>
      <c r="Q919">
        <f>IF([2]Entry!$D$922="","",[2]Entry!$D$922)</f>
        <v/>
      </c>
      <c r="R919">
        <f>IF([2]Entry!$E$922="","",[2]Entry!$E$922)</f>
        <v/>
      </c>
      <c r="S919">
        <f>IF([2]Entry!$G$922="","",[2]Entry!$G$922)</f>
        <v/>
      </c>
      <c r="T919">
        <f>IF([2]Entry!$J$922="","",[2]Entry!$J$922)</f>
        <v/>
      </c>
      <c r="U919">
        <f>IF([2]Entry!$K$922="","",[2]Entry!$K$922)</f>
        <v/>
      </c>
      <c r="V919">
        <f>IF([2]Entry!$L$922="","",[2]Entry!$L$922)</f>
        <v/>
      </c>
      <c r="W919">
        <f>IF([2]Entry!$M$922="","",[2]Entry!$M$922)</f>
        <v/>
      </c>
      <c r="X919">
        <f>IF([2]Entry!$N$922="","",[2]Entry!$N$922)</f>
        <v/>
      </c>
      <c r="Y919">
        <f>IF([2]Entry!$R$922="","",[2]Entry!$R$922)</f>
        <v/>
      </c>
    </row>
    <row r="920">
      <c r="P920">
        <f>IF([2]Entry!$C$923="","",[2]Entry!$C$923)</f>
        <v/>
      </c>
      <c r="Q920">
        <f>IF([2]Entry!$D$923="","",[2]Entry!$D$923)</f>
        <v/>
      </c>
      <c r="R920">
        <f>IF([2]Entry!$E$923="","",[2]Entry!$E$923)</f>
        <v/>
      </c>
      <c r="S920">
        <f>IF([2]Entry!$G$923="","",[2]Entry!$G$923)</f>
        <v/>
      </c>
      <c r="T920">
        <f>IF([2]Entry!$J$923="","",[2]Entry!$J$923)</f>
        <v/>
      </c>
      <c r="U920">
        <f>IF([2]Entry!$K$923="","",[2]Entry!$K$923)</f>
        <v/>
      </c>
      <c r="V920">
        <f>IF([2]Entry!$L$923="","",[2]Entry!$L$923)</f>
        <v/>
      </c>
      <c r="W920">
        <f>IF([2]Entry!$M$923="","",[2]Entry!$M$923)</f>
        <v/>
      </c>
      <c r="X920">
        <f>IF([2]Entry!$N$923="","",[2]Entry!$N$923)</f>
        <v/>
      </c>
      <c r="Y920">
        <f>IF([2]Entry!$R$923="","",[2]Entry!$R$923)</f>
        <v/>
      </c>
    </row>
    <row r="921">
      <c r="P921">
        <f>IF([2]Entry!$C$924="","",[2]Entry!$C$924)</f>
        <v/>
      </c>
      <c r="Q921">
        <f>IF([2]Entry!$D$924="","",[2]Entry!$D$924)</f>
        <v/>
      </c>
      <c r="R921">
        <f>IF([2]Entry!$E$924="","",[2]Entry!$E$924)</f>
        <v/>
      </c>
      <c r="S921">
        <f>IF([2]Entry!$G$924="","",[2]Entry!$G$924)</f>
        <v/>
      </c>
      <c r="T921">
        <f>IF([2]Entry!$J$924="","",[2]Entry!$J$924)</f>
        <v/>
      </c>
      <c r="U921">
        <f>IF([2]Entry!$K$924="","",[2]Entry!$K$924)</f>
        <v/>
      </c>
      <c r="V921">
        <f>IF([2]Entry!$L$924="","",[2]Entry!$L$924)</f>
        <v/>
      </c>
      <c r="W921">
        <f>IF([2]Entry!$M$924="","",[2]Entry!$M$924)</f>
        <v/>
      </c>
      <c r="X921">
        <f>IF([2]Entry!$N$924="","",[2]Entry!$N$924)</f>
        <v/>
      </c>
      <c r="Y921">
        <f>IF([2]Entry!$R$924="","",[2]Entry!$R$924)</f>
        <v/>
      </c>
    </row>
    <row r="922">
      <c r="P922">
        <f>IF([2]Entry!$C$925="","",[2]Entry!$C$925)</f>
        <v/>
      </c>
      <c r="Q922">
        <f>IF([2]Entry!$D$925="","",[2]Entry!$D$925)</f>
        <v/>
      </c>
      <c r="R922">
        <f>IF([2]Entry!$E$925="","",[2]Entry!$E$925)</f>
        <v/>
      </c>
      <c r="S922">
        <f>IF([2]Entry!$G$925="","",[2]Entry!$G$925)</f>
        <v/>
      </c>
      <c r="T922">
        <f>IF([2]Entry!$J$925="","",[2]Entry!$J$925)</f>
        <v/>
      </c>
      <c r="U922">
        <f>IF([2]Entry!$K$925="","",[2]Entry!$K$925)</f>
        <v/>
      </c>
      <c r="V922">
        <f>IF([2]Entry!$L$925="","",[2]Entry!$L$925)</f>
        <v/>
      </c>
      <c r="W922">
        <f>IF([2]Entry!$M$925="","",[2]Entry!$M$925)</f>
        <v/>
      </c>
      <c r="X922">
        <f>IF([2]Entry!$N$925="","",[2]Entry!$N$925)</f>
        <v/>
      </c>
      <c r="Y922">
        <f>IF([2]Entry!$R$925="","",[2]Entry!$R$925)</f>
        <v/>
      </c>
    </row>
    <row r="923">
      <c r="P923">
        <f>IF([2]Entry!$C$926="","",[2]Entry!$C$926)</f>
        <v/>
      </c>
      <c r="Q923">
        <f>IF([2]Entry!$D$926="","",[2]Entry!$D$926)</f>
        <v/>
      </c>
      <c r="R923">
        <f>IF([2]Entry!$E$926="","",[2]Entry!$E$926)</f>
        <v/>
      </c>
      <c r="S923">
        <f>IF([2]Entry!$G$926="","",[2]Entry!$G$926)</f>
        <v/>
      </c>
      <c r="T923">
        <f>IF([2]Entry!$J$926="","",[2]Entry!$J$926)</f>
        <v/>
      </c>
      <c r="U923">
        <f>IF([2]Entry!$K$926="","",[2]Entry!$K$926)</f>
        <v/>
      </c>
      <c r="V923">
        <f>IF([2]Entry!$L$926="","",[2]Entry!$L$926)</f>
        <v/>
      </c>
      <c r="W923">
        <f>IF([2]Entry!$M$926="","",[2]Entry!$M$926)</f>
        <v/>
      </c>
      <c r="X923">
        <f>IF([2]Entry!$N$926="","",[2]Entry!$N$926)</f>
        <v/>
      </c>
      <c r="Y923">
        <f>IF([2]Entry!$R$926="","",[2]Entry!$R$926)</f>
        <v/>
      </c>
    </row>
    <row r="924">
      <c r="P924">
        <f>IF([2]Entry!$C$927="","",[2]Entry!$C$927)</f>
        <v/>
      </c>
      <c r="Q924">
        <f>IF([2]Entry!$D$927="","",[2]Entry!$D$927)</f>
        <v/>
      </c>
      <c r="R924">
        <f>IF([2]Entry!$E$927="","",[2]Entry!$E$927)</f>
        <v/>
      </c>
      <c r="S924">
        <f>IF([2]Entry!$G$927="","",[2]Entry!$G$927)</f>
        <v/>
      </c>
      <c r="T924">
        <f>IF([2]Entry!$J$927="","",[2]Entry!$J$927)</f>
        <v/>
      </c>
      <c r="U924">
        <f>IF([2]Entry!$K$927="","",[2]Entry!$K$927)</f>
        <v/>
      </c>
      <c r="V924">
        <f>IF([2]Entry!$L$927="","",[2]Entry!$L$927)</f>
        <v/>
      </c>
      <c r="W924">
        <f>IF([2]Entry!$M$927="","",[2]Entry!$M$927)</f>
        <v/>
      </c>
      <c r="X924">
        <f>IF([2]Entry!$N$927="","",[2]Entry!$N$927)</f>
        <v/>
      </c>
      <c r="Y924">
        <f>IF([2]Entry!$R$927="","",[2]Entry!$R$927)</f>
        <v/>
      </c>
    </row>
    <row r="925">
      <c r="P925">
        <f>IF([2]Entry!$C$928="","",[2]Entry!$C$928)</f>
        <v/>
      </c>
      <c r="Q925">
        <f>IF([2]Entry!$D$928="","",[2]Entry!$D$928)</f>
        <v/>
      </c>
      <c r="R925">
        <f>IF([2]Entry!$E$928="","",[2]Entry!$E$928)</f>
        <v/>
      </c>
      <c r="S925">
        <f>IF([2]Entry!$G$928="","",[2]Entry!$G$928)</f>
        <v/>
      </c>
      <c r="T925">
        <f>IF([2]Entry!$J$928="","",[2]Entry!$J$928)</f>
        <v/>
      </c>
      <c r="U925">
        <f>IF([2]Entry!$K$928="","",[2]Entry!$K$928)</f>
        <v/>
      </c>
      <c r="V925">
        <f>IF([2]Entry!$L$928="","",[2]Entry!$L$928)</f>
        <v/>
      </c>
      <c r="W925">
        <f>IF([2]Entry!$M$928="","",[2]Entry!$M$928)</f>
        <v/>
      </c>
      <c r="X925">
        <f>IF([2]Entry!$N$928="","",[2]Entry!$N$928)</f>
        <v/>
      </c>
      <c r="Y925">
        <f>IF([2]Entry!$R$928="","",[2]Entry!$R$928)</f>
        <v/>
      </c>
    </row>
    <row r="926">
      <c r="P926">
        <f>IF([2]Entry!$C$929="","",[2]Entry!$C$929)</f>
        <v/>
      </c>
      <c r="Q926">
        <f>IF([2]Entry!$D$929="","",[2]Entry!$D$929)</f>
        <v/>
      </c>
      <c r="R926">
        <f>IF([2]Entry!$E$929="","",[2]Entry!$E$929)</f>
        <v/>
      </c>
      <c r="S926">
        <f>IF([2]Entry!$G$929="","",[2]Entry!$G$929)</f>
        <v/>
      </c>
      <c r="T926">
        <f>IF([2]Entry!$J$929="","",[2]Entry!$J$929)</f>
        <v/>
      </c>
      <c r="U926">
        <f>IF([2]Entry!$K$929="","",[2]Entry!$K$929)</f>
        <v/>
      </c>
      <c r="V926">
        <f>IF([2]Entry!$L$929="","",[2]Entry!$L$929)</f>
        <v/>
      </c>
      <c r="W926">
        <f>IF([2]Entry!$M$929="","",[2]Entry!$M$929)</f>
        <v/>
      </c>
      <c r="X926">
        <f>IF([2]Entry!$N$929="","",[2]Entry!$N$929)</f>
        <v/>
      </c>
      <c r="Y926">
        <f>IF([2]Entry!$R$929="","",[2]Entry!$R$929)</f>
        <v/>
      </c>
    </row>
    <row r="927">
      <c r="P927">
        <f>IF([2]Entry!$C$930="","",[2]Entry!$C$930)</f>
        <v/>
      </c>
      <c r="Q927">
        <f>IF([2]Entry!$D$930="","",[2]Entry!$D$930)</f>
        <v/>
      </c>
      <c r="R927">
        <f>IF([2]Entry!$E$930="","",[2]Entry!$E$930)</f>
        <v/>
      </c>
      <c r="S927">
        <f>IF([2]Entry!$G$930="","",[2]Entry!$G$930)</f>
        <v/>
      </c>
      <c r="T927">
        <f>IF([2]Entry!$J$930="","",[2]Entry!$J$930)</f>
        <v/>
      </c>
      <c r="U927">
        <f>IF([2]Entry!$K$930="","",[2]Entry!$K$930)</f>
        <v/>
      </c>
      <c r="V927">
        <f>IF([2]Entry!$L$930="","",[2]Entry!$L$930)</f>
        <v/>
      </c>
      <c r="W927">
        <f>IF([2]Entry!$M$930="","",[2]Entry!$M$930)</f>
        <v/>
      </c>
      <c r="X927">
        <f>IF([2]Entry!$N$930="","",[2]Entry!$N$930)</f>
        <v/>
      </c>
      <c r="Y927">
        <f>IF([2]Entry!$R$930="","",[2]Entry!$R$930)</f>
        <v/>
      </c>
    </row>
    <row r="928">
      <c r="P928">
        <f>IF([2]Entry!$C$931="","",[2]Entry!$C$931)</f>
        <v/>
      </c>
      <c r="Q928">
        <f>IF([2]Entry!$D$931="","",[2]Entry!$D$931)</f>
        <v/>
      </c>
      <c r="R928">
        <f>IF([2]Entry!$E$931="","",[2]Entry!$E$931)</f>
        <v/>
      </c>
      <c r="S928">
        <f>IF([2]Entry!$G$931="","",[2]Entry!$G$931)</f>
        <v/>
      </c>
      <c r="T928">
        <f>IF([2]Entry!$J$931="","",[2]Entry!$J$931)</f>
        <v/>
      </c>
      <c r="U928">
        <f>IF([2]Entry!$K$931="","",[2]Entry!$K$931)</f>
        <v/>
      </c>
      <c r="V928">
        <f>IF([2]Entry!$L$931="","",[2]Entry!$L$931)</f>
        <v/>
      </c>
      <c r="W928">
        <f>IF([2]Entry!$M$931="","",[2]Entry!$M$931)</f>
        <v/>
      </c>
      <c r="X928">
        <f>IF([2]Entry!$N$931="","",[2]Entry!$N$931)</f>
        <v/>
      </c>
      <c r="Y928">
        <f>IF([2]Entry!$R$931="","",[2]Entry!$R$931)</f>
        <v/>
      </c>
    </row>
    <row r="929">
      <c r="P929">
        <f>IF([2]Entry!$C$932="","",[2]Entry!$C$932)</f>
        <v/>
      </c>
      <c r="Q929">
        <f>IF([2]Entry!$D$932="","",[2]Entry!$D$932)</f>
        <v/>
      </c>
      <c r="R929">
        <f>IF([2]Entry!$E$932="","",[2]Entry!$E$932)</f>
        <v/>
      </c>
      <c r="S929">
        <f>IF([2]Entry!$G$932="","",[2]Entry!$G$932)</f>
        <v/>
      </c>
      <c r="T929">
        <f>IF([2]Entry!$J$932="","",[2]Entry!$J$932)</f>
        <v/>
      </c>
      <c r="U929">
        <f>IF([2]Entry!$K$932="","",[2]Entry!$K$932)</f>
        <v/>
      </c>
      <c r="V929">
        <f>IF([2]Entry!$L$932="","",[2]Entry!$L$932)</f>
        <v/>
      </c>
      <c r="W929">
        <f>IF([2]Entry!$M$932="","",[2]Entry!$M$932)</f>
        <v/>
      </c>
      <c r="X929">
        <f>IF([2]Entry!$N$932="","",[2]Entry!$N$932)</f>
        <v/>
      </c>
      <c r="Y929">
        <f>IF([2]Entry!$R$932="","",[2]Entry!$R$932)</f>
        <v/>
      </c>
    </row>
    <row r="930">
      <c r="P930">
        <f>IF([2]Entry!$C$933="","",[2]Entry!$C$933)</f>
        <v/>
      </c>
      <c r="Q930">
        <f>IF([2]Entry!$D$933="","",[2]Entry!$D$933)</f>
        <v/>
      </c>
      <c r="R930">
        <f>IF([2]Entry!$E$933="","",[2]Entry!$E$933)</f>
        <v/>
      </c>
      <c r="S930">
        <f>IF([2]Entry!$G$933="","",[2]Entry!$G$933)</f>
        <v/>
      </c>
      <c r="T930">
        <f>IF([2]Entry!$J$933="","",[2]Entry!$J$933)</f>
        <v/>
      </c>
      <c r="U930">
        <f>IF([2]Entry!$K$933="","",[2]Entry!$K$933)</f>
        <v/>
      </c>
      <c r="V930">
        <f>IF([2]Entry!$L$933="","",[2]Entry!$L$933)</f>
        <v/>
      </c>
      <c r="W930">
        <f>IF([2]Entry!$M$933="","",[2]Entry!$M$933)</f>
        <v/>
      </c>
      <c r="X930">
        <f>IF([2]Entry!$N$933="","",[2]Entry!$N$933)</f>
        <v/>
      </c>
      <c r="Y930">
        <f>IF([2]Entry!$R$933="","",[2]Entry!$R$933)</f>
        <v/>
      </c>
    </row>
    <row r="931">
      <c r="P931">
        <f>IF([2]Entry!$C$934="","",[2]Entry!$C$934)</f>
        <v/>
      </c>
      <c r="Q931">
        <f>IF([2]Entry!$D$934="","",[2]Entry!$D$934)</f>
        <v/>
      </c>
      <c r="R931">
        <f>IF([2]Entry!$E$934="","",[2]Entry!$E$934)</f>
        <v/>
      </c>
      <c r="S931">
        <f>IF([2]Entry!$G$934="","",[2]Entry!$G$934)</f>
        <v/>
      </c>
      <c r="T931">
        <f>IF([2]Entry!$J$934="","",[2]Entry!$J$934)</f>
        <v/>
      </c>
      <c r="U931">
        <f>IF([2]Entry!$K$934="","",[2]Entry!$K$934)</f>
        <v/>
      </c>
      <c r="V931">
        <f>IF([2]Entry!$L$934="","",[2]Entry!$L$934)</f>
        <v/>
      </c>
      <c r="W931">
        <f>IF([2]Entry!$M$934="","",[2]Entry!$M$934)</f>
        <v/>
      </c>
      <c r="X931">
        <f>IF([2]Entry!$N$934="","",[2]Entry!$N$934)</f>
        <v/>
      </c>
      <c r="Y931">
        <f>IF([2]Entry!$R$934="","",[2]Entry!$R$934)</f>
        <v/>
      </c>
    </row>
    <row r="932">
      <c r="P932">
        <f>IF([2]Entry!$C$935="","",[2]Entry!$C$935)</f>
        <v/>
      </c>
      <c r="Q932">
        <f>IF([2]Entry!$D$935="","",[2]Entry!$D$935)</f>
        <v/>
      </c>
      <c r="R932">
        <f>IF([2]Entry!$E$935="","",[2]Entry!$E$935)</f>
        <v/>
      </c>
      <c r="S932">
        <f>IF([2]Entry!$G$935="","",[2]Entry!$G$935)</f>
        <v/>
      </c>
      <c r="T932">
        <f>IF([2]Entry!$J$935="","",[2]Entry!$J$935)</f>
        <v/>
      </c>
      <c r="U932">
        <f>IF([2]Entry!$K$935="","",[2]Entry!$K$935)</f>
        <v/>
      </c>
      <c r="V932">
        <f>IF([2]Entry!$L$935="","",[2]Entry!$L$935)</f>
        <v/>
      </c>
      <c r="W932">
        <f>IF([2]Entry!$M$935="","",[2]Entry!$M$935)</f>
        <v/>
      </c>
      <c r="X932">
        <f>IF([2]Entry!$N$935="","",[2]Entry!$N$935)</f>
        <v/>
      </c>
      <c r="Y932">
        <f>IF([2]Entry!$R$935="","",[2]Entry!$R$935)</f>
        <v/>
      </c>
    </row>
    <row r="933">
      <c r="P933">
        <f>IF([2]Entry!$C$936="","",[2]Entry!$C$936)</f>
        <v/>
      </c>
      <c r="Q933">
        <f>IF([2]Entry!$D$936="","",[2]Entry!$D$936)</f>
        <v/>
      </c>
      <c r="R933">
        <f>IF([2]Entry!$E$936="","",[2]Entry!$E$936)</f>
        <v/>
      </c>
      <c r="S933">
        <f>IF([2]Entry!$G$936="","",[2]Entry!$G$936)</f>
        <v/>
      </c>
      <c r="T933">
        <f>IF([2]Entry!$J$936="","",[2]Entry!$J$936)</f>
        <v/>
      </c>
      <c r="U933">
        <f>IF([2]Entry!$K$936="","",[2]Entry!$K$936)</f>
        <v/>
      </c>
      <c r="V933">
        <f>IF([2]Entry!$L$936="","",[2]Entry!$L$936)</f>
        <v/>
      </c>
      <c r="W933">
        <f>IF([2]Entry!$M$936="","",[2]Entry!$M$936)</f>
        <v/>
      </c>
      <c r="X933">
        <f>IF([2]Entry!$N$936="","",[2]Entry!$N$936)</f>
        <v/>
      </c>
      <c r="Y933">
        <f>IF([2]Entry!$R$936="","",[2]Entry!$R$936)</f>
        <v/>
      </c>
    </row>
    <row r="934">
      <c r="P934">
        <f>IF([2]Entry!$C$937="","",[2]Entry!$C$937)</f>
        <v/>
      </c>
      <c r="Q934">
        <f>IF([2]Entry!$D$937="","",[2]Entry!$D$937)</f>
        <v/>
      </c>
      <c r="R934">
        <f>IF([2]Entry!$E$937="","",[2]Entry!$E$937)</f>
        <v/>
      </c>
      <c r="S934">
        <f>IF([2]Entry!$G$937="","",[2]Entry!$G$937)</f>
        <v/>
      </c>
      <c r="T934">
        <f>IF([2]Entry!$J$937="","",[2]Entry!$J$937)</f>
        <v/>
      </c>
      <c r="U934">
        <f>IF([2]Entry!$K$937="","",[2]Entry!$K$937)</f>
        <v/>
      </c>
      <c r="V934">
        <f>IF([2]Entry!$L$937="","",[2]Entry!$L$937)</f>
        <v/>
      </c>
      <c r="W934">
        <f>IF([2]Entry!$M$937="","",[2]Entry!$M$937)</f>
        <v/>
      </c>
      <c r="X934">
        <f>IF([2]Entry!$N$937="","",[2]Entry!$N$937)</f>
        <v/>
      </c>
      <c r="Y934">
        <f>IF([2]Entry!$R$937="","",[2]Entry!$R$937)</f>
        <v/>
      </c>
    </row>
    <row r="935">
      <c r="P935">
        <f>IF([2]Entry!$C$938="","",[2]Entry!$C$938)</f>
        <v/>
      </c>
      <c r="Q935">
        <f>IF([2]Entry!$D$938="","",[2]Entry!$D$938)</f>
        <v/>
      </c>
      <c r="R935">
        <f>IF([2]Entry!$E$938="","",[2]Entry!$E$938)</f>
        <v/>
      </c>
      <c r="S935">
        <f>IF([2]Entry!$G$938="","",[2]Entry!$G$938)</f>
        <v/>
      </c>
      <c r="T935">
        <f>IF([2]Entry!$J$938="","",[2]Entry!$J$938)</f>
        <v/>
      </c>
      <c r="U935">
        <f>IF([2]Entry!$K$938="","",[2]Entry!$K$938)</f>
        <v/>
      </c>
      <c r="V935">
        <f>IF([2]Entry!$L$938="","",[2]Entry!$L$938)</f>
        <v/>
      </c>
      <c r="W935">
        <f>IF([2]Entry!$M$938="","",[2]Entry!$M$938)</f>
        <v/>
      </c>
      <c r="X935">
        <f>IF([2]Entry!$N$938="","",[2]Entry!$N$938)</f>
        <v/>
      </c>
      <c r="Y935">
        <f>IF([2]Entry!$R$938="","",[2]Entry!$R$938)</f>
        <v/>
      </c>
    </row>
    <row r="936">
      <c r="P936">
        <f>IF([2]Entry!$C$939="","",[2]Entry!$C$939)</f>
        <v/>
      </c>
      <c r="Q936">
        <f>IF([2]Entry!$D$939="","",[2]Entry!$D$939)</f>
        <v/>
      </c>
      <c r="R936">
        <f>IF([2]Entry!$E$939="","",[2]Entry!$E$939)</f>
        <v/>
      </c>
      <c r="S936">
        <f>IF([2]Entry!$G$939="","",[2]Entry!$G$939)</f>
        <v/>
      </c>
      <c r="T936">
        <f>IF([2]Entry!$J$939="","",[2]Entry!$J$939)</f>
        <v/>
      </c>
      <c r="U936">
        <f>IF([2]Entry!$K$939="","",[2]Entry!$K$939)</f>
        <v/>
      </c>
      <c r="V936">
        <f>IF([2]Entry!$L$939="","",[2]Entry!$L$939)</f>
        <v/>
      </c>
      <c r="W936">
        <f>IF([2]Entry!$M$939="","",[2]Entry!$M$939)</f>
        <v/>
      </c>
      <c r="X936">
        <f>IF([2]Entry!$N$939="","",[2]Entry!$N$939)</f>
        <v/>
      </c>
      <c r="Y936">
        <f>IF([2]Entry!$R$939="","",[2]Entry!$R$939)</f>
        <v/>
      </c>
    </row>
    <row r="937">
      <c r="P937">
        <f>IF([2]Entry!$C$940="","",[2]Entry!$C$940)</f>
        <v/>
      </c>
      <c r="Q937">
        <f>IF([2]Entry!$D$940="","",[2]Entry!$D$940)</f>
        <v/>
      </c>
      <c r="R937">
        <f>IF([2]Entry!$E$940="","",[2]Entry!$E$940)</f>
        <v/>
      </c>
      <c r="S937">
        <f>IF([2]Entry!$G$940="","",[2]Entry!$G$940)</f>
        <v/>
      </c>
      <c r="T937">
        <f>IF([2]Entry!$J$940="","",[2]Entry!$J$940)</f>
        <v/>
      </c>
      <c r="U937">
        <f>IF([2]Entry!$K$940="","",[2]Entry!$K$940)</f>
        <v/>
      </c>
      <c r="V937">
        <f>IF([2]Entry!$L$940="","",[2]Entry!$L$940)</f>
        <v/>
      </c>
      <c r="W937">
        <f>IF([2]Entry!$M$940="","",[2]Entry!$M$940)</f>
        <v/>
      </c>
      <c r="X937">
        <f>IF([2]Entry!$N$940="","",[2]Entry!$N$940)</f>
        <v/>
      </c>
      <c r="Y937">
        <f>IF([2]Entry!$R$940="","",[2]Entry!$R$940)</f>
        <v/>
      </c>
    </row>
    <row r="938">
      <c r="P938">
        <f>IF([2]Entry!$C$941="","",[2]Entry!$C$941)</f>
        <v/>
      </c>
      <c r="Q938">
        <f>IF([2]Entry!$D$941="","",[2]Entry!$D$941)</f>
        <v/>
      </c>
      <c r="R938">
        <f>IF([2]Entry!$E$941="","",[2]Entry!$E$941)</f>
        <v/>
      </c>
      <c r="S938">
        <f>IF([2]Entry!$G$941="","",[2]Entry!$G$941)</f>
        <v/>
      </c>
      <c r="T938">
        <f>IF([2]Entry!$J$941="","",[2]Entry!$J$941)</f>
        <v/>
      </c>
      <c r="U938">
        <f>IF([2]Entry!$K$941="","",[2]Entry!$K$941)</f>
        <v/>
      </c>
      <c r="V938">
        <f>IF([2]Entry!$L$941="","",[2]Entry!$L$941)</f>
        <v/>
      </c>
      <c r="W938">
        <f>IF([2]Entry!$M$941="","",[2]Entry!$M$941)</f>
        <v/>
      </c>
      <c r="X938">
        <f>IF([2]Entry!$N$941="","",[2]Entry!$N$941)</f>
        <v/>
      </c>
      <c r="Y938">
        <f>IF([2]Entry!$R$941="","",[2]Entry!$R$941)</f>
        <v/>
      </c>
    </row>
    <row r="939">
      <c r="P939">
        <f>IF([2]Entry!$C$942="","",[2]Entry!$C$942)</f>
        <v/>
      </c>
      <c r="Q939">
        <f>IF([2]Entry!$D$942="","",[2]Entry!$D$942)</f>
        <v/>
      </c>
      <c r="R939">
        <f>IF([2]Entry!$E$942="","",[2]Entry!$E$942)</f>
        <v/>
      </c>
      <c r="S939">
        <f>IF([2]Entry!$G$942="","",[2]Entry!$G$942)</f>
        <v/>
      </c>
      <c r="T939">
        <f>IF([2]Entry!$J$942="","",[2]Entry!$J$942)</f>
        <v/>
      </c>
      <c r="U939">
        <f>IF([2]Entry!$K$942="","",[2]Entry!$K$942)</f>
        <v/>
      </c>
      <c r="V939">
        <f>IF([2]Entry!$L$942="","",[2]Entry!$L$942)</f>
        <v/>
      </c>
      <c r="W939">
        <f>IF([2]Entry!$M$942="","",[2]Entry!$M$942)</f>
        <v/>
      </c>
      <c r="X939">
        <f>IF([2]Entry!$N$942="","",[2]Entry!$N$942)</f>
        <v/>
      </c>
      <c r="Y939">
        <f>IF([2]Entry!$R$942="","",[2]Entry!$R$942)</f>
        <v/>
      </c>
    </row>
    <row r="940">
      <c r="P940">
        <f>IF([2]Entry!$C$943="","",[2]Entry!$C$943)</f>
        <v/>
      </c>
      <c r="Q940">
        <f>IF([2]Entry!$D$943="","",[2]Entry!$D$943)</f>
        <v/>
      </c>
      <c r="R940">
        <f>IF([2]Entry!$E$943="","",[2]Entry!$E$943)</f>
        <v/>
      </c>
      <c r="S940">
        <f>IF([2]Entry!$G$943="","",[2]Entry!$G$943)</f>
        <v/>
      </c>
      <c r="T940">
        <f>IF([2]Entry!$J$943="","",[2]Entry!$J$943)</f>
        <v/>
      </c>
      <c r="U940">
        <f>IF([2]Entry!$K$943="","",[2]Entry!$K$943)</f>
        <v/>
      </c>
      <c r="V940">
        <f>IF([2]Entry!$L$943="","",[2]Entry!$L$943)</f>
        <v/>
      </c>
      <c r="W940">
        <f>IF([2]Entry!$M$943="","",[2]Entry!$M$943)</f>
        <v/>
      </c>
      <c r="X940">
        <f>IF([2]Entry!$N$943="","",[2]Entry!$N$943)</f>
        <v/>
      </c>
      <c r="Y940">
        <f>IF([2]Entry!$R$943="","",[2]Entry!$R$943)</f>
        <v/>
      </c>
    </row>
    <row r="941">
      <c r="P941">
        <f>IF([2]Entry!$C$944="","",[2]Entry!$C$944)</f>
        <v/>
      </c>
      <c r="Q941">
        <f>IF([2]Entry!$D$944="","",[2]Entry!$D$944)</f>
        <v/>
      </c>
      <c r="R941">
        <f>IF([2]Entry!$E$944="","",[2]Entry!$E$944)</f>
        <v/>
      </c>
      <c r="S941">
        <f>IF([2]Entry!$G$944="","",[2]Entry!$G$944)</f>
        <v/>
      </c>
      <c r="T941">
        <f>IF([2]Entry!$J$944="","",[2]Entry!$J$944)</f>
        <v/>
      </c>
      <c r="U941">
        <f>IF([2]Entry!$K$944="","",[2]Entry!$K$944)</f>
        <v/>
      </c>
      <c r="V941">
        <f>IF([2]Entry!$L$944="","",[2]Entry!$L$944)</f>
        <v/>
      </c>
      <c r="W941">
        <f>IF([2]Entry!$M$944="","",[2]Entry!$M$944)</f>
        <v/>
      </c>
      <c r="X941">
        <f>IF([2]Entry!$N$944="","",[2]Entry!$N$944)</f>
        <v/>
      </c>
      <c r="Y941">
        <f>IF([2]Entry!$R$944="","",[2]Entry!$R$944)</f>
        <v/>
      </c>
    </row>
    <row r="942">
      <c r="P942">
        <f>IF([2]Entry!$C$945="","",[2]Entry!$C$945)</f>
        <v/>
      </c>
      <c r="Q942">
        <f>IF([2]Entry!$D$945="","",[2]Entry!$D$945)</f>
        <v/>
      </c>
      <c r="R942">
        <f>IF([2]Entry!$E$945="","",[2]Entry!$E$945)</f>
        <v/>
      </c>
      <c r="S942">
        <f>IF([2]Entry!$G$945="","",[2]Entry!$G$945)</f>
        <v/>
      </c>
      <c r="T942">
        <f>IF([2]Entry!$J$945="","",[2]Entry!$J$945)</f>
        <v/>
      </c>
      <c r="U942">
        <f>IF([2]Entry!$K$945="","",[2]Entry!$K$945)</f>
        <v/>
      </c>
      <c r="V942">
        <f>IF([2]Entry!$L$945="","",[2]Entry!$L$945)</f>
        <v/>
      </c>
      <c r="W942">
        <f>IF([2]Entry!$M$945="","",[2]Entry!$M$945)</f>
        <v/>
      </c>
      <c r="X942">
        <f>IF([2]Entry!$N$945="","",[2]Entry!$N$945)</f>
        <v/>
      </c>
      <c r="Y942">
        <f>IF([2]Entry!$R$945="","",[2]Entry!$R$945)</f>
        <v/>
      </c>
    </row>
    <row r="943">
      <c r="P943">
        <f>IF([2]Entry!$C$946="","",[2]Entry!$C$946)</f>
        <v/>
      </c>
      <c r="Q943">
        <f>IF([2]Entry!$D$946="","",[2]Entry!$D$946)</f>
        <v/>
      </c>
      <c r="R943">
        <f>IF([2]Entry!$E$946="","",[2]Entry!$E$946)</f>
        <v/>
      </c>
      <c r="S943">
        <f>IF([2]Entry!$G$946="","",[2]Entry!$G$946)</f>
        <v/>
      </c>
      <c r="T943">
        <f>IF([2]Entry!$J$946="","",[2]Entry!$J$946)</f>
        <v/>
      </c>
      <c r="U943">
        <f>IF([2]Entry!$K$946="","",[2]Entry!$K$946)</f>
        <v/>
      </c>
      <c r="V943">
        <f>IF([2]Entry!$L$946="","",[2]Entry!$L$946)</f>
        <v/>
      </c>
      <c r="W943">
        <f>IF([2]Entry!$M$946="","",[2]Entry!$M$946)</f>
        <v/>
      </c>
      <c r="X943">
        <f>IF([2]Entry!$N$946="","",[2]Entry!$N$946)</f>
        <v/>
      </c>
      <c r="Y943">
        <f>IF([2]Entry!$R$946="","",[2]Entry!$R$946)</f>
        <v/>
      </c>
    </row>
    <row r="944">
      <c r="P944">
        <f>IF([2]Entry!$C$947="","",[2]Entry!$C$947)</f>
        <v/>
      </c>
      <c r="Q944">
        <f>IF([2]Entry!$D$947="","",[2]Entry!$D$947)</f>
        <v/>
      </c>
      <c r="R944">
        <f>IF([2]Entry!$E$947="","",[2]Entry!$E$947)</f>
        <v/>
      </c>
      <c r="S944">
        <f>IF([2]Entry!$G$947="","",[2]Entry!$G$947)</f>
        <v/>
      </c>
      <c r="T944">
        <f>IF([2]Entry!$J$947="","",[2]Entry!$J$947)</f>
        <v/>
      </c>
      <c r="U944">
        <f>IF([2]Entry!$K$947="","",[2]Entry!$K$947)</f>
        <v/>
      </c>
      <c r="V944">
        <f>IF([2]Entry!$L$947="","",[2]Entry!$L$947)</f>
        <v/>
      </c>
      <c r="W944">
        <f>IF([2]Entry!$M$947="","",[2]Entry!$M$947)</f>
        <v/>
      </c>
      <c r="X944">
        <f>IF([2]Entry!$N$947="","",[2]Entry!$N$947)</f>
        <v/>
      </c>
      <c r="Y944">
        <f>IF([2]Entry!$R$947="","",[2]Entry!$R$947)</f>
        <v/>
      </c>
    </row>
    <row r="945">
      <c r="P945">
        <f>IF([2]Entry!$C$948="","",[2]Entry!$C$948)</f>
        <v/>
      </c>
      <c r="Q945">
        <f>IF([2]Entry!$D$948="","",[2]Entry!$D$948)</f>
        <v/>
      </c>
      <c r="R945">
        <f>IF([2]Entry!$E$948="","",[2]Entry!$E$948)</f>
        <v/>
      </c>
      <c r="S945">
        <f>IF([2]Entry!$G$948="","",[2]Entry!$G$948)</f>
        <v/>
      </c>
      <c r="T945">
        <f>IF([2]Entry!$J$948="","",[2]Entry!$J$948)</f>
        <v/>
      </c>
      <c r="U945">
        <f>IF([2]Entry!$K$948="","",[2]Entry!$K$948)</f>
        <v/>
      </c>
      <c r="V945">
        <f>IF([2]Entry!$L$948="","",[2]Entry!$L$948)</f>
        <v/>
      </c>
      <c r="W945">
        <f>IF([2]Entry!$M$948="","",[2]Entry!$M$948)</f>
        <v/>
      </c>
      <c r="X945">
        <f>IF([2]Entry!$N$948="","",[2]Entry!$N$948)</f>
        <v/>
      </c>
      <c r="Y945">
        <f>IF([2]Entry!$R$948="","",[2]Entry!$R$948)</f>
        <v/>
      </c>
    </row>
    <row r="946">
      <c r="P946">
        <f>IF([2]Entry!$C$949="","",[2]Entry!$C$949)</f>
        <v/>
      </c>
      <c r="Q946">
        <f>IF([2]Entry!$D$949="","",[2]Entry!$D$949)</f>
        <v/>
      </c>
      <c r="R946">
        <f>IF([2]Entry!$E$949="","",[2]Entry!$E$949)</f>
        <v/>
      </c>
      <c r="S946">
        <f>IF([2]Entry!$G$949="","",[2]Entry!$G$949)</f>
        <v/>
      </c>
      <c r="T946">
        <f>IF([2]Entry!$J$949="","",[2]Entry!$J$949)</f>
        <v/>
      </c>
      <c r="U946">
        <f>IF([2]Entry!$K$949="","",[2]Entry!$K$949)</f>
        <v/>
      </c>
      <c r="V946">
        <f>IF([2]Entry!$L$949="","",[2]Entry!$L$949)</f>
        <v/>
      </c>
      <c r="W946">
        <f>IF([2]Entry!$M$949="","",[2]Entry!$M$949)</f>
        <v/>
      </c>
      <c r="X946">
        <f>IF([2]Entry!$N$949="","",[2]Entry!$N$949)</f>
        <v/>
      </c>
      <c r="Y946">
        <f>IF([2]Entry!$R$949="","",[2]Entry!$R$949)</f>
        <v/>
      </c>
    </row>
    <row r="947">
      <c r="P947">
        <f>IF([2]Entry!$C$950="","",[2]Entry!$C$950)</f>
        <v/>
      </c>
      <c r="Q947">
        <f>IF([2]Entry!$D$950="","",[2]Entry!$D$950)</f>
        <v/>
      </c>
      <c r="R947">
        <f>IF([2]Entry!$E$950="","",[2]Entry!$E$950)</f>
        <v/>
      </c>
      <c r="S947">
        <f>IF([2]Entry!$G$950="","",[2]Entry!$G$950)</f>
        <v/>
      </c>
      <c r="T947">
        <f>IF([2]Entry!$J$950="","",[2]Entry!$J$950)</f>
        <v/>
      </c>
      <c r="U947">
        <f>IF([2]Entry!$K$950="","",[2]Entry!$K$950)</f>
        <v/>
      </c>
      <c r="V947">
        <f>IF([2]Entry!$L$950="","",[2]Entry!$L$950)</f>
        <v/>
      </c>
      <c r="W947">
        <f>IF([2]Entry!$M$950="","",[2]Entry!$M$950)</f>
        <v/>
      </c>
      <c r="X947">
        <f>IF([2]Entry!$N$950="","",[2]Entry!$N$950)</f>
        <v/>
      </c>
      <c r="Y947">
        <f>IF([2]Entry!$R$950="","",[2]Entry!$R$950)</f>
        <v/>
      </c>
    </row>
    <row r="948">
      <c r="P948">
        <f>IF([2]Entry!$C$951="","",[2]Entry!$C$951)</f>
        <v/>
      </c>
      <c r="Q948">
        <f>IF([2]Entry!$D$951="","",[2]Entry!$D$951)</f>
        <v/>
      </c>
      <c r="R948">
        <f>IF([2]Entry!$E$951="","",[2]Entry!$E$951)</f>
        <v/>
      </c>
      <c r="S948">
        <f>IF([2]Entry!$G$951="","",[2]Entry!$G$951)</f>
        <v/>
      </c>
      <c r="T948">
        <f>IF([2]Entry!$J$951="","",[2]Entry!$J$951)</f>
        <v/>
      </c>
      <c r="U948">
        <f>IF([2]Entry!$K$951="","",[2]Entry!$K$951)</f>
        <v/>
      </c>
      <c r="V948">
        <f>IF([2]Entry!$L$951="","",[2]Entry!$L$951)</f>
        <v/>
      </c>
      <c r="W948">
        <f>IF([2]Entry!$M$951="","",[2]Entry!$M$951)</f>
        <v/>
      </c>
      <c r="X948">
        <f>IF([2]Entry!$N$951="","",[2]Entry!$N$951)</f>
        <v/>
      </c>
      <c r="Y948">
        <f>IF([2]Entry!$R$951="","",[2]Entry!$R$951)</f>
        <v/>
      </c>
    </row>
    <row r="949">
      <c r="P949">
        <f>IF([2]Entry!$C$952="","",[2]Entry!$C$952)</f>
        <v/>
      </c>
      <c r="Q949">
        <f>IF([2]Entry!$D$952="","",[2]Entry!$D$952)</f>
        <v/>
      </c>
      <c r="R949">
        <f>IF([2]Entry!$E$952="","",[2]Entry!$E$952)</f>
        <v/>
      </c>
      <c r="S949">
        <f>IF([2]Entry!$G$952="","",[2]Entry!$G$952)</f>
        <v/>
      </c>
      <c r="T949">
        <f>IF([2]Entry!$J$952="","",[2]Entry!$J$952)</f>
        <v/>
      </c>
      <c r="U949">
        <f>IF([2]Entry!$K$952="","",[2]Entry!$K$952)</f>
        <v/>
      </c>
      <c r="V949">
        <f>IF([2]Entry!$L$952="","",[2]Entry!$L$952)</f>
        <v/>
      </c>
      <c r="W949">
        <f>IF([2]Entry!$M$952="","",[2]Entry!$M$952)</f>
        <v/>
      </c>
      <c r="X949">
        <f>IF([2]Entry!$N$952="","",[2]Entry!$N$952)</f>
        <v/>
      </c>
      <c r="Y949">
        <f>IF([2]Entry!$R$952="","",[2]Entry!$R$952)</f>
        <v/>
      </c>
    </row>
    <row r="950">
      <c r="P950">
        <f>IF([2]Entry!$C$953="","",[2]Entry!$C$953)</f>
        <v/>
      </c>
      <c r="Q950">
        <f>IF([2]Entry!$D$953="","",[2]Entry!$D$953)</f>
        <v/>
      </c>
      <c r="R950">
        <f>IF([2]Entry!$E$953="","",[2]Entry!$E$953)</f>
        <v/>
      </c>
      <c r="S950">
        <f>IF([2]Entry!$G$953="","",[2]Entry!$G$953)</f>
        <v/>
      </c>
      <c r="T950">
        <f>IF([2]Entry!$J$953="","",[2]Entry!$J$953)</f>
        <v/>
      </c>
      <c r="U950">
        <f>IF([2]Entry!$K$953="","",[2]Entry!$K$953)</f>
        <v/>
      </c>
      <c r="V950">
        <f>IF([2]Entry!$L$953="","",[2]Entry!$L$953)</f>
        <v/>
      </c>
      <c r="W950">
        <f>IF([2]Entry!$M$953="","",[2]Entry!$M$953)</f>
        <v/>
      </c>
      <c r="X950">
        <f>IF([2]Entry!$N$953="","",[2]Entry!$N$953)</f>
        <v/>
      </c>
      <c r="Y950">
        <f>IF([2]Entry!$R$953="","",[2]Entry!$R$953)</f>
        <v/>
      </c>
    </row>
    <row r="951">
      <c r="P951">
        <f>IF([2]Entry!$C$954="","",[2]Entry!$C$954)</f>
        <v/>
      </c>
      <c r="Q951">
        <f>IF([2]Entry!$D$954="","",[2]Entry!$D$954)</f>
        <v/>
      </c>
      <c r="R951">
        <f>IF([2]Entry!$E$954="","",[2]Entry!$E$954)</f>
        <v/>
      </c>
      <c r="S951">
        <f>IF([2]Entry!$G$954="","",[2]Entry!$G$954)</f>
        <v/>
      </c>
      <c r="T951">
        <f>IF([2]Entry!$J$954="","",[2]Entry!$J$954)</f>
        <v/>
      </c>
      <c r="U951">
        <f>IF([2]Entry!$K$954="","",[2]Entry!$K$954)</f>
        <v/>
      </c>
      <c r="V951">
        <f>IF([2]Entry!$L$954="","",[2]Entry!$L$954)</f>
        <v/>
      </c>
      <c r="W951">
        <f>IF([2]Entry!$M$954="","",[2]Entry!$M$954)</f>
        <v/>
      </c>
      <c r="X951">
        <f>IF([2]Entry!$N$954="","",[2]Entry!$N$954)</f>
        <v/>
      </c>
      <c r="Y951">
        <f>IF([2]Entry!$R$954="","",[2]Entry!$R$954)</f>
        <v/>
      </c>
    </row>
    <row r="952">
      <c r="P952">
        <f>IF([2]Entry!$C$955="","",[2]Entry!$C$955)</f>
        <v/>
      </c>
      <c r="Q952">
        <f>IF([2]Entry!$D$955="","",[2]Entry!$D$955)</f>
        <v/>
      </c>
      <c r="R952">
        <f>IF([2]Entry!$E$955="","",[2]Entry!$E$955)</f>
        <v/>
      </c>
      <c r="S952">
        <f>IF([2]Entry!$G$955="","",[2]Entry!$G$955)</f>
        <v/>
      </c>
      <c r="T952">
        <f>IF([2]Entry!$J$955="","",[2]Entry!$J$955)</f>
        <v/>
      </c>
      <c r="U952">
        <f>IF([2]Entry!$K$955="","",[2]Entry!$K$955)</f>
        <v/>
      </c>
      <c r="V952">
        <f>IF([2]Entry!$L$955="","",[2]Entry!$L$955)</f>
        <v/>
      </c>
      <c r="W952">
        <f>IF([2]Entry!$M$955="","",[2]Entry!$M$955)</f>
        <v/>
      </c>
      <c r="X952">
        <f>IF([2]Entry!$N$955="","",[2]Entry!$N$955)</f>
        <v/>
      </c>
      <c r="Y952">
        <f>IF([2]Entry!$R$955="","",[2]Entry!$R$955)</f>
        <v/>
      </c>
    </row>
    <row r="953">
      <c r="P953">
        <f>IF([2]Entry!$C$956="","",[2]Entry!$C$956)</f>
        <v/>
      </c>
      <c r="Q953">
        <f>IF([2]Entry!$D$956="","",[2]Entry!$D$956)</f>
        <v/>
      </c>
      <c r="R953">
        <f>IF([2]Entry!$E$956="","",[2]Entry!$E$956)</f>
        <v/>
      </c>
      <c r="S953">
        <f>IF([2]Entry!$G$956="","",[2]Entry!$G$956)</f>
        <v/>
      </c>
      <c r="T953">
        <f>IF([2]Entry!$J$956="","",[2]Entry!$J$956)</f>
        <v/>
      </c>
      <c r="U953">
        <f>IF([2]Entry!$K$956="","",[2]Entry!$K$956)</f>
        <v/>
      </c>
      <c r="V953">
        <f>IF([2]Entry!$L$956="","",[2]Entry!$L$956)</f>
        <v/>
      </c>
      <c r="W953">
        <f>IF([2]Entry!$M$956="","",[2]Entry!$M$956)</f>
        <v/>
      </c>
      <c r="X953">
        <f>IF([2]Entry!$N$956="","",[2]Entry!$N$956)</f>
        <v/>
      </c>
      <c r="Y953">
        <f>IF([2]Entry!$R$956="","",[2]Entry!$R$956)</f>
        <v/>
      </c>
    </row>
    <row r="954">
      <c r="P954">
        <f>IF([2]Entry!$C$957="","",[2]Entry!$C$957)</f>
        <v/>
      </c>
      <c r="Q954">
        <f>IF([2]Entry!$D$957="","",[2]Entry!$D$957)</f>
        <v/>
      </c>
      <c r="R954">
        <f>IF([2]Entry!$E$957="","",[2]Entry!$E$957)</f>
        <v/>
      </c>
      <c r="S954">
        <f>IF([2]Entry!$G$957="","",[2]Entry!$G$957)</f>
        <v/>
      </c>
      <c r="T954">
        <f>IF([2]Entry!$J$957="","",[2]Entry!$J$957)</f>
        <v/>
      </c>
      <c r="U954">
        <f>IF([2]Entry!$K$957="","",[2]Entry!$K$957)</f>
        <v/>
      </c>
      <c r="V954">
        <f>IF([2]Entry!$L$957="","",[2]Entry!$L$957)</f>
        <v/>
      </c>
      <c r="W954">
        <f>IF([2]Entry!$M$957="","",[2]Entry!$M$957)</f>
        <v/>
      </c>
      <c r="X954">
        <f>IF([2]Entry!$N$957="","",[2]Entry!$N$957)</f>
        <v/>
      </c>
      <c r="Y954">
        <f>IF([2]Entry!$R$957="","",[2]Entry!$R$957)</f>
        <v/>
      </c>
    </row>
    <row r="955">
      <c r="P955">
        <f>IF([2]Entry!$C$958="","",[2]Entry!$C$958)</f>
        <v/>
      </c>
      <c r="Q955">
        <f>IF([2]Entry!$D$958="","",[2]Entry!$D$958)</f>
        <v/>
      </c>
      <c r="R955">
        <f>IF([2]Entry!$E$958="","",[2]Entry!$E$958)</f>
        <v/>
      </c>
      <c r="S955">
        <f>IF([2]Entry!$G$958="","",[2]Entry!$G$958)</f>
        <v/>
      </c>
      <c r="T955">
        <f>IF([2]Entry!$J$958="","",[2]Entry!$J$958)</f>
        <v/>
      </c>
      <c r="U955">
        <f>IF([2]Entry!$K$958="","",[2]Entry!$K$958)</f>
        <v/>
      </c>
      <c r="V955">
        <f>IF([2]Entry!$L$958="","",[2]Entry!$L$958)</f>
        <v/>
      </c>
      <c r="W955">
        <f>IF([2]Entry!$M$958="","",[2]Entry!$M$958)</f>
        <v/>
      </c>
      <c r="X955">
        <f>IF([2]Entry!$N$958="","",[2]Entry!$N$958)</f>
        <v/>
      </c>
      <c r="Y955">
        <f>IF([2]Entry!$R$958="","",[2]Entry!$R$958)</f>
        <v/>
      </c>
    </row>
    <row r="956">
      <c r="P956">
        <f>IF([2]Entry!$C$959="","",[2]Entry!$C$959)</f>
        <v/>
      </c>
      <c r="Q956">
        <f>IF([2]Entry!$D$959="","",[2]Entry!$D$959)</f>
        <v/>
      </c>
      <c r="R956">
        <f>IF([2]Entry!$E$959="","",[2]Entry!$E$959)</f>
        <v/>
      </c>
      <c r="S956">
        <f>IF([2]Entry!$G$959="","",[2]Entry!$G$959)</f>
        <v/>
      </c>
      <c r="T956">
        <f>IF([2]Entry!$J$959="","",[2]Entry!$J$959)</f>
        <v/>
      </c>
      <c r="U956">
        <f>IF([2]Entry!$K$959="","",[2]Entry!$K$959)</f>
        <v/>
      </c>
      <c r="V956">
        <f>IF([2]Entry!$L$959="","",[2]Entry!$L$959)</f>
        <v/>
      </c>
      <c r="W956">
        <f>IF([2]Entry!$M$959="","",[2]Entry!$M$959)</f>
        <v/>
      </c>
      <c r="X956">
        <f>IF([2]Entry!$N$959="","",[2]Entry!$N$959)</f>
        <v/>
      </c>
      <c r="Y956">
        <f>IF([2]Entry!$R$959="","",[2]Entry!$R$959)</f>
        <v/>
      </c>
    </row>
    <row r="957">
      <c r="P957">
        <f>IF([2]Entry!$C$960="","",[2]Entry!$C$960)</f>
        <v/>
      </c>
      <c r="Q957">
        <f>IF([2]Entry!$D$960="","",[2]Entry!$D$960)</f>
        <v/>
      </c>
      <c r="R957">
        <f>IF([2]Entry!$E$960="","",[2]Entry!$E$960)</f>
        <v/>
      </c>
      <c r="S957">
        <f>IF([2]Entry!$G$960="","",[2]Entry!$G$960)</f>
        <v/>
      </c>
      <c r="T957">
        <f>IF([2]Entry!$J$960="","",[2]Entry!$J$960)</f>
        <v/>
      </c>
      <c r="U957">
        <f>IF([2]Entry!$K$960="","",[2]Entry!$K$960)</f>
        <v/>
      </c>
      <c r="V957">
        <f>IF([2]Entry!$L$960="","",[2]Entry!$L$960)</f>
        <v/>
      </c>
      <c r="W957">
        <f>IF([2]Entry!$M$960="","",[2]Entry!$M$960)</f>
        <v/>
      </c>
      <c r="X957">
        <f>IF([2]Entry!$N$960="","",[2]Entry!$N$960)</f>
        <v/>
      </c>
      <c r="Y957">
        <f>IF([2]Entry!$R$960="","",[2]Entry!$R$960)</f>
        <v/>
      </c>
    </row>
    <row r="958">
      <c r="P958">
        <f>IF([2]Entry!$C$961="","",[2]Entry!$C$961)</f>
        <v/>
      </c>
      <c r="Q958">
        <f>IF([2]Entry!$D$961="","",[2]Entry!$D$961)</f>
        <v/>
      </c>
      <c r="R958">
        <f>IF([2]Entry!$E$961="","",[2]Entry!$E$961)</f>
        <v/>
      </c>
      <c r="S958">
        <f>IF([2]Entry!$G$961="","",[2]Entry!$G$961)</f>
        <v/>
      </c>
      <c r="T958">
        <f>IF([2]Entry!$J$961="","",[2]Entry!$J$961)</f>
        <v/>
      </c>
      <c r="U958">
        <f>IF([2]Entry!$K$961="","",[2]Entry!$K$961)</f>
        <v/>
      </c>
      <c r="V958">
        <f>IF([2]Entry!$L$961="","",[2]Entry!$L$961)</f>
        <v/>
      </c>
      <c r="W958">
        <f>IF([2]Entry!$M$961="","",[2]Entry!$M$961)</f>
        <v/>
      </c>
      <c r="X958">
        <f>IF([2]Entry!$N$961="","",[2]Entry!$N$961)</f>
        <v/>
      </c>
      <c r="Y958">
        <f>IF([2]Entry!$R$961="","",[2]Entry!$R$961)</f>
        <v/>
      </c>
    </row>
    <row r="959">
      <c r="P959">
        <f>IF([2]Entry!$C$962="","",[2]Entry!$C$962)</f>
        <v/>
      </c>
      <c r="Q959">
        <f>IF([2]Entry!$D$962="","",[2]Entry!$D$962)</f>
        <v/>
      </c>
      <c r="R959">
        <f>IF([2]Entry!$E$962="","",[2]Entry!$E$962)</f>
        <v/>
      </c>
      <c r="S959">
        <f>IF([2]Entry!$G$962="","",[2]Entry!$G$962)</f>
        <v/>
      </c>
      <c r="T959">
        <f>IF([2]Entry!$J$962="","",[2]Entry!$J$962)</f>
        <v/>
      </c>
      <c r="U959">
        <f>IF([2]Entry!$K$962="","",[2]Entry!$K$962)</f>
        <v/>
      </c>
      <c r="V959">
        <f>IF([2]Entry!$L$962="","",[2]Entry!$L$962)</f>
        <v/>
      </c>
      <c r="W959">
        <f>IF([2]Entry!$M$962="","",[2]Entry!$M$962)</f>
        <v/>
      </c>
      <c r="X959">
        <f>IF([2]Entry!$N$962="","",[2]Entry!$N$962)</f>
        <v/>
      </c>
      <c r="Y959">
        <f>IF([2]Entry!$R$962="","",[2]Entry!$R$962)</f>
        <v/>
      </c>
    </row>
    <row r="960">
      <c r="P960">
        <f>IF([2]Entry!$C$963="","",[2]Entry!$C$963)</f>
        <v/>
      </c>
      <c r="Q960">
        <f>IF([2]Entry!$D$963="","",[2]Entry!$D$963)</f>
        <v/>
      </c>
      <c r="R960">
        <f>IF([2]Entry!$E$963="","",[2]Entry!$E$963)</f>
        <v/>
      </c>
      <c r="S960">
        <f>IF([2]Entry!$G$963="","",[2]Entry!$G$963)</f>
        <v/>
      </c>
      <c r="T960">
        <f>IF([2]Entry!$J$963="","",[2]Entry!$J$963)</f>
        <v/>
      </c>
      <c r="U960">
        <f>IF([2]Entry!$K$963="","",[2]Entry!$K$963)</f>
        <v/>
      </c>
      <c r="V960">
        <f>IF([2]Entry!$L$963="","",[2]Entry!$L$963)</f>
        <v/>
      </c>
      <c r="W960">
        <f>IF([2]Entry!$M$963="","",[2]Entry!$M$963)</f>
        <v/>
      </c>
      <c r="X960">
        <f>IF([2]Entry!$N$963="","",[2]Entry!$N$963)</f>
        <v/>
      </c>
      <c r="Y960">
        <f>IF([2]Entry!$R$963="","",[2]Entry!$R$963)</f>
        <v/>
      </c>
    </row>
    <row r="961">
      <c r="P961">
        <f>IF([2]Entry!$C$964="","",[2]Entry!$C$964)</f>
        <v/>
      </c>
      <c r="Q961">
        <f>IF([2]Entry!$D$964="","",[2]Entry!$D$964)</f>
        <v/>
      </c>
      <c r="R961">
        <f>IF([2]Entry!$E$964="","",[2]Entry!$E$964)</f>
        <v/>
      </c>
      <c r="S961">
        <f>IF([2]Entry!$G$964="","",[2]Entry!$G$964)</f>
        <v/>
      </c>
      <c r="T961">
        <f>IF([2]Entry!$J$964="","",[2]Entry!$J$964)</f>
        <v/>
      </c>
      <c r="U961">
        <f>IF([2]Entry!$K$964="","",[2]Entry!$K$964)</f>
        <v/>
      </c>
      <c r="V961">
        <f>IF([2]Entry!$L$964="","",[2]Entry!$L$964)</f>
        <v/>
      </c>
      <c r="W961">
        <f>IF([2]Entry!$M$964="","",[2]Entry!$M$964)</f>
        <v/>
      </c>
      <c r="X961">
        <f>IF([2]Entry!$N$964="","",[2]Entry!$N$964)</f>
        <v/>
      </c>
      <c r="Y961">
        <f>IF([2]Entry!$R$964="","",[2]Entry!$R$964)</f>
        <v/>
      </c>
    </row>
    <row r="962">
      <c r="P962">
        <f>IF([2]Entry!$C$965="","",[2]Entry!$C$965)</f>
        <v/>
      </c>
      <c r="Q962">
        <f>IF([2]Entry!$D$965="","",[2]Entry!$D$965)</f>
        <v/>
      </c>
      <c r="R962">
        <f>IF([2]Entry!$E$965="","",[2]Entry!$E$965)</f>
        <v/>
      </c>
      <c r="S962">
        <f>IF([2]Entry!$G$965="","",[2]Entry!$G$965)</f>
        <v/>
      </c>
      <c r="T962">
        <f>IF([2]Entry!$J$965="","",[2]Entry!$J$965)</f>
        <v/>
      </c>
      <c r="U962">
        <f>IF([2]Entry!$K$965="","",[2]Entry!$K$965)</f>
        <v/>
      </c>
      <c r="V962">
        <f>IF([2]Entry!$L$965="","",[2]Entry!$L$965)</f>
        <v/>
      </c>
      <c r="W962">
        <f>IF([2]Entry!$M$965="","",[2]Entry!$M$965)</f>
        <v/>
      </c>
      <c r="X962">
        <f>IF([2]Entry!$N$965="","",[2]Entry!$N$965)</f>
        <v/>
      </c>
      <c r="Y962">
        <f>IF([2]Entry!$R$965="","",[2]Entry!$R$965)</f>
        <v/>
      </c>
    </row>
    <row r="963">
      <c r="P963">
        <f>IF([2]Entry!$C$966="","",[2]Entry!$C$966)</f>
        <v/>
      </c>
      <c r="Q963">
        <f>IF([2]Entry!$D$966="","",[2]Entry!$D$966)</f>
        <v/>
      </c>
      <c r="R963">
        <f>IF([2]Entry!$E$966="","",[2]Entry!$E$966)</f>
        <v/>
      </c>
      <c r="S963">
        <f>IF([2]Entry!$G$966="","",[2]Entry!$G$966)</f>
        <v/>
      </c>
      <c r="T963">
        <f>IF([2]Entry!$J$966="","",[2]Entry!$J$966)</f>
        <v/>
      </c>
      <c r="U963">
        <f>IF([2]Entry!$K$966="","",[2]Entry!$K$966)</f>
        <v/>
      </c>
      <c r="V963">
        <f>IF([2]Entry!$L$966="","",[2]Entry!$L$966)</f>
        <v/>
      </c>
      <c r="W963">
        <f>IF([2]Entry!$M$966="","",[2]Entry!$M$966)</f>
        <v/>
      </c>
      <c r="X963">
        <f>IF([2]Entry!$N$966="","",[2]Entry!$N$966)</f>
        <v/>
      </c>
      <c r="Y963">
        <f>IF([2]Entry!$R$966="","",[2]Entry!$R$966)</f>
        <v/>
      </c>
    </row>
    <row r="964">
      <c r="P964">
        <f>IF([2]Entry!$C$967="","",[2]Entry!$C$967)</f>
        <v/>
      </c>
      <c r="Q964">
        <f>IF([2]Entry!$D$967="","",[2]Entry!$D$967)</f>
        <v/>
      </c>
      <c r="R964">
        <f>IF([2]Entry!$E$967="","",[2]Entry!$E$967)</f>
        <v/>
      </c>
      <c r="S964">
        <f>IF([2]Entry!$G$967="","",[2]Entry!$G$967)</f>
        <v/>
      </c>
      <c r="T964">
        <f>IF([2]Entry!$J$967="","",[2]Entry!$J$967)</f>
        <v/>
      </c>
      <c r="U964">
        <f>IF([2]Entry!$K$967="","",[2]Entry!$K$967)</f>
        <v/>
      </c>
      <c r="V964">
        <f>IF([2]Entry!$L$967="","",[2]Entry!$L$967)</f>
        <v/>
      </c>
      <c r="W964">
        <f>IF([2]Entry!$M$967="","",[2]Entry!$M$967)</f>
        <v/>
      </c>
      <c r="X964">
        <f>IF([2]Entry!$N$967="","",[2]Entry!$N$967)</f>
        <v/>
      </c>
      <c r="Y964">
        <f>IF([2]Entry!$R$967="","",[2]Entry!$R$967)</f>
        <v/>
      </c>
    </row>
    <row r="965">
      <c r="P965">
        <f>IF([2]Entry!$C$968="","",[2]Entry!$C$968)</f>
        <v/>
      </c>
      <c r="Q965">
        <f>IF([2]Entry!$D$968="","",[2]Entry!$D$968)</f>
        <v/>
      </c>
      <c r="R965">
        <f>IF([2]Entry!$E$968="","",[2]Entry!$E$968)</f>
        <v/>
      </c>
      <c r="S965">
        <f>IF([2]Entry!$G$968="","",[2]Entry!$G$968)</f>
        <v/>
      </c>
      <c r="T965">
        <f>IF([2]Entry!$J$968="","",[2]Entry!$J$968)</f>
        <v/>
      </c>
      <c r="U965">
        <f>IF([2]Entry!$K$968="","",[2]Entry!$K$968)</f>
        <v/>
      </c>
      <c r="V965">
        <f>IF([2]Entry!$L$968="","",[2]Entry!$L$968)</f>
        <v/>
      </c>
      <c r="W965">
        <f>IF([2]Entry!$M$968="","",[2]Entry!$M$968)</f>
        <v/>
      </c>
      <c r="X965">
        <f>IF([2]Entry!$N$968="","",[2]Entry!$N$968)</f>
        <v/>
      </c>
      <c r="Y965">
        <f>IF([2]Entry!$R$968="","",[2]Entry!$R$968)</f>
        <v/>
      </c>
    </row>
    <row r="966">
      <c r="P966">
        <f>IF([2]Entry!$C$969="","",[2]Entry!$C$969)</f>
        <v/>
      </c>
      <c r="Q966">
        <f>IF([2]Entry!$D$969="","",[2]Entry!$D$969)</f>
        <v/>
      </c>
      <c r="R966">
        <f>IF([2]Entry!$E$969="","",[2]Entry!$E$969)</f>
        <v/>
      </c>
      <c r="S966">
        <f>IF([2]Entry!$G$969="","",[2]Entry!$G$969)</f>
        <v/>
      </c>
      <c r="T966">
        <f>IF([2]Entry!$J$969="","",[2]Entry!$J$969)</f>
        <v/>
      </c>
      <c r="U966">
        <f>IF([2]Entry!$K$969="","",[2]Entry!$K$969)</f>
        <v/>
      </c>
      <c r="V966">
        <f>IF([2]Entry!$L$969="","",[2]Entry!$L$969)</f>
        <v/>
      </c>
      <c r="W966">
        <f>IF([2]Entry!$M$969="","",[2]Entry!$M$969)</f>
        <v/>
      </c>
      <c r="X966">
        <f>IF([2]Entry!$N$969="","",[2]Entry!$N$969)</f>
        <v/>
      </c>
      <c r="Y966">
        <f>IF([2]Entry!$R$969="","",[2]Entry!$R$969)</f>
        <v/>
      </c>
    </row>
    <row r="967">
      <c r="P967">
        <f>IF([2]Entry!$C$970="","",[2]Entry!$C$970)</f>
        <v/>
      </c>
      <c r="Q967">
        <f>IF([2]Entry!$D$970="","",[2]Entry!$D$970)</f>
        <v/>
      </c>
      <c r="R967">
        <f>IF([2]Entry!$E$970="","",[2]Entry!$E$970)</f>
        <v/>
      </c>
      <c r="S967">
        <f>IF([2]Entry!$G$970="","",[2]Entry!$G$970)</f>
        <v/>
      </c>
      <c r="T967">
        <f>IF([2]Entry!$J$970="","",[2]Entry!$J$970)</f>
        <v/>
      </c>
      <c r="U967">
        <f>IF([2]Entry!$K$970="","",[2]Entry!$K$970)</f>
        <v/>
      </c>
      <c r="V967">
        <f>IF([2]Entry!$L$970="","",[2]Entry!$L$970)</f>
        <v/>
      </c>
      <c r="W967">
        <f>IF([2]Entry!$M$970="","",[2]Entry!$M$970)</f>
        <v/>
      </c>
      <c r="X967">
        <f>IF([2]Entry!$N$970="","",[2]Entry!$N$970)</f>
        <v/>
      </c>
      <c r="Y967">
        <f>IF([2]Entry!$R$970="","",[2]Entry!$R$970)</f>
        <v/>
      </c>
    </row>
    <row r="968">
      <c r="P968">
        <f>IF([2]Entry!$C$971="","",[2]Entry!$C$971)</f>
        <v/>
      </c>
      <c r="Q968">
        <f>IF([2]Entry!$D$971="","",[2]Entry!$D$971)</f>
        <v/>
      </c>
      <c r="R968">
        <f>IF([2]Entry!$E$971="","",[2]Entry!$E$971)</f>
        <v/>
      </c>
      <c r="S968">
        <f>IF([2]Entry!$G$971="","",[2]Entry!$G$971)</f>
        <v/>
      </c>
      <c r="T968">
        <f>IF([2]Entry!$J$971="","",[2]Entry!$J$971)</f>
        <v/>
      </c>
      <c r="U968">
        <f>IF([2]Entry!$K$971="","",[2]Entry!$K$971)</f>
        <v/>
      </c>
      <c r="V968">
        <f>IF([2]Entry!$L$971="","",[2]Entry!$L$971)</f>
        <v/>
      </c>
      <c r="W968">
        <f>IF([2]Entry!$M$971="","",[2]Entry!$M$971)</f>
        <v/>
      </c>
      <c r="X968">
        <f>IF([2]Entry!$N$971="","",[2]Entry!$N$971)</f>
        <v/>
      </c>
      <c r="Y968">
        <f>IF([2]Entry!$R$971="","",[2]Entry!$R$971)</f>
        <v/>
      </c>
    </row>
    <row r="969">
      <c r="P969">
        <f>IF([2]Entry!$C$972="","",[2]Entry!$C$972)</f>
        <v/>
      </c>
      <c r="Q969">
        <f>IF([2]Entry!$D$972="","",[2]Entry!$D$972)</f>
        <v/>
      </c>
      <c r="R969">
        <f>IF([2]Entry!$E$972="","",[2]Entry!$E$972)</f>
        <v/>
      </c>
      <c r="S969">
        <f>IF([2]Entry!$G$972="","",[2]Entry!$G$972)</f>
        <v/>
      </c>
      <c r="T969">
        <f>IF([2]Entry!$J$972="","",[2]Entry!$J$972)</f>
        <v/>
      </c>
      <c r="U969">
        <f>IF([2]Entry!$K$972="","",[2]Entry!$K$972)</f>
        <v/>
      </c>
      <c r="V969">
        <f>IF([2]Entry!$L$972="","",[2]Entry!$L$972)</f>
        <v/>
      </c>
      <c r="W969">
        <f>IF([2]Entry!$M$972="","",[2]Entry!$M$972)</f>
        <v/>
      </c>
      <c r="X969">
        <f>IF([2]Entry!$N$972="","",[2]Entry!$N$972)</f>
        <v/>
      </c>
      <c r="Y969">
        <f>IF([2]Entry!$R$972="","",[2]Entry!$R$972)</f>
        <v/>
      </c>
    </row>
    <row r="970">
      <c r="P970">
        <f>IF([2]Entry!$C$973="","",[2]Entry!$C$973)</f>
        <v/>
      </c>
      <c r="Q970">
        <f>IF([2]Entry!$D$973="","",[2]Entry!$D$973)</f>
        <v/>
      </c>
      <c r="R970">
        <f>IF([2]Entry!$E$973="","",[2]Entry!$E$973)</f>
        <v/>
      </c>
      <c r="S970">
        <f>IF([2]Entry!$G$973="","",[2]Entry!$G$973)</f>
        <v/>
      </c>
      <c r="T970">
        <f>IF([2]Entry!$J$973="","",[2]Entry!$J$973)</f>
        <v/>
      </c>
      <c r="U970">
        <f>IF([2]Entry!$K$973="","",[2]Entry!$K$973)</f>
        <v/>
      </c>
      <c r="V970">
        <f>IF([2]Entry!$L$973="","",[2]Entry!$L$973)</f>
        <v/>
      </c>
      <c r="W970">
        <f>IF([2]Entry!$M$973="","",[2]Entry!$M$973)</f>
        <v/>
      </c>
      <c r="X970">
        <f>IF([2]Entry!$N$973="","",[2]Entry!$N$973)</f>
        <v/>
      </c>
      <c r="Y970">
        <f>IF([2]Entry!$R$973="","",[2]Entry!$R$973)</f>
        <v/>
      </c>
    </row>
    <row r="971">
      <c r="P971">
        <f>IF([2]Entry!$C$974="","",[2]Entry!$C$974)</f>
        <v/>
      </c>
      <c r="Q971">
        <f>IF([2]Entry!$D$974="","",[2]Entry!$D$974)</f>
        <v/>
      </c>
      <c r="R971">
        <f>IF([2]Entry!$E$974="","",[2]Entry!$E$974)</f>
        <v/>
      </c>
      <c r="S971">
        <f>IF([2]Entry!$G$974="","",[2]Entry!$G$974)</f>
        <v/>
      </c>
      <c r="T971">
        <f>IF([2]Entry!$J$974="","",[2]Entry!$J$974)</f>
        <v/>
      </c>
      <c r="U971">
        <f>IF([2]Entry!$K$974="","",[2]Entry!$K$974)</f>
        <v/>
      </c>
      <c r="V971">
        <f>IF([2]Entry!$L$974="","",[2]Entry!$L$974)</f>
        <v/>
      </c>
      <c r="W971">
        <f>IF([2]Entry!$M$974="","",[2]Entry!$M$974)</f>
        <v/>
      </c>
      <c r="X971">
        <f>IF([2]Entry!$N$974="","",[2]Entry!$N$974)</f>
        <v/>
      </c>
      <c r="Y971">
        <f>IF([2]Entry!$R$974="","",[2]Entry!$R$974)</f>
        <v/>
      </c>
    </row>
    <row r="972">
      <c r="P972">
        <f>IF([2]Entry!$C$975="","",[2]Entry!$C$975)</f>
        <v/>
      </c>
      <c r="Q972">
        <f>IF([2]Entry!$D$975="","",[2]Entry!$D$975)</f>
        <v/>
      </c>
      <c r="R972">
        <f>IF([2]Entry!$E$975="","",[2]Entry!$E$975)</f>
        <v/>
      </c>
      <c r="S972">
        <f>IF([2]Entry!$G$975="","",[2]Entry!$G$975)</f>
        <v/>
      </c>
      <c r="T972">
        <f>IF([2]Entry!$J$975="","",[2]Entry!$J$975)</f>
        <v/>
      </c>
      <c r="U972">
        <f>IF([2]Entry!$K$975="","",[2]Entry!$K$975)</f>
        <v/>
      </c>
      <c r="V972">
        <f>IF([2]Entry!$L$975="","",[2]Entry!$L$975)</f>
        <v/>
      </c>
      <c r="W972">
        <f>IF([2]Entry!$M$975="","",[2]Entry!$M$975)</f>
        <v/>
      </c>
      <c r="X972">
        <f>IF([2]Entry!$N$975="","",[2]Entry!$N$975)</f>
        <v/>
      </c>
      <c r="Y972">
        <f>IF([2]Entry!$R$975="","",[2]Entry!$R$975)</f>
        <v/>
      </c>
    </row>
    <row r="973">
      <c r="P973">
        <f>IF([2]Entry!$C$976="","",[2]Entry!$C$976)</f>
        <v/>
      </c>
      <c r="Q973">
        <f>IF([2]Entry!$D$976="","",[2]Entry!$D$976)</f>
        <v/>
      </c>
      <c r="R973">
        <f>IF([2]Entry!$E$976="","",[2]Entry!$E$976)</f>
        <v/>
      </c>
      <c r="S973">
        <f>IF([2]Entry!$G$976="","",[2]Entry!$G$976)</f>
        <v/>
      </c>
      <c r="T973">
        <f>IF([2]Entry!$J$976="","",[2]Entry!$J$976)</f>
        <v/>
      </c>
      <c r="U973">
        <f>IF([2]Entry!$K$976="","",[2]Entry!$K$976)</f>
        <v/>
      </c>
      <c r="V973">
        <f>IF([2]Entry!$L$976="","",[2]Entry!$L$976)</f>
        <v/>
      </c>
      <c r="W973">
        <f>IF([2]Entry!$M$976="","",[2]Entry!$M$976)</f>
        <v/>
      </c>
      <c r="X973">
        <f>IF([2]Entry!$N$976="","",[2]Entry!$N$976)</f>
        <v/>
      </c>
      <c r="Y973">
        <f>IF([2]Entry!$R$976="","",[2]Entry!$R$976)</f>
        <v/>
      </c>
    </row>
    <row r="974">
      <c r="P974">
        <f>IF([2]Entry!$C$977="","",[2]Entry!$C$977)</f>
        <v/>
      </c>
      <c r="Q974">
        <f>IF([2]Entry!$D$977="","",[2]Entry!$D$977)</f>
        <v/>
      </c>
      <c r="R974">
        <f>IF([2]Entry!$E$977="","",[2]Entry!$E$977)</f>
        <v/>
      </c>
      <c r="S974">
        <f>IF([2]Entry!$G$977="","",[2]Entry!$G$977)</f>
        <v/>
      </c>
      <c r="T974">
        <f>IF([2]Entry!$J$977="","",[2]Entry!$J$977)</f>
        <v/>
      </c>
      <c r="U974">
        <f>IF([2]Entry!$K$977="","",[2]Entry!$K$977)</f>
        <v/>
      </c>
      <c r="V974">
        <f>IF([2]Entry!$L$977="","",[2]Entry!$L$977)</f>
        <v/>
      </c>
      <c r="W974">
        <f>IF([2]Entry!$M$977="","",[2]Entry!$M$977)</f>
        <v/>
      </c>
      <c r="X974">
        <f>IF([2]Entry!$N$977="","",[2]Entry!$N$977)</f>
        <v/>
      </c>
      <c r="Y974">
        <f>IF([2]Entry!$R$977="","",[2]Entry!$R$977)</f>
        <v/>
      </c>
    </row>
    <row r="975">
      <c r="P975">
        <f>IF([2]Entry!$C$978="","",[2]Entry!$C$978)</f>
        <v/>
      </c>
      <c r="Q975">
        <f>IF([2]Entry!$D$978="","",[2]Entry!$D$978)</f>
        <v/>
      </c>
      <c r="R975">
        <f>IF([2]Entry!$E$978="","",[2]Entry!$E$978)</f>
        <v/>
      </c>
      <c r="S975">
        <f>IF([2]Entry!$G$978="","",[2]Entry!$G$978)</f>
        <v/>
      </c>
      <c r="T975">
        <f>IF([2]Entry!$J$978="","",[2]Entry!$J$978)</f>
        <v/>
      </c>
      <c r="U975">
        <f>IF([2]Entry!$K$978="","",[2]Entry!$K$978)</f>
        <v/>
      </c>
      <c r="V975">
        <f>IF([2]Entry!$L$978="","",[2]Entry!$L$978)</f>
        <v/>
      </c>
      <c r="W975">
        <f>IF([2]Entry!$M$978="","",[2]Entry!$M$978)</f>
        <v/>
      </c>
      <c r="X975">
        <f>IF([2]Entry!$N$978="","",[2]Entry!$N$978)</f>
        <v/>
      </c>
      <c r="Y975">
        <f>IF([2]Entry!$R$978="","",[2]Entry!$R$978)</f>
        <v/>
      </c>
    </row>
    <row r="976">
      <c r="P976">
        <f>IF([2]Entry!$C$979="","",[2]Entry!$C$979)</f>
        <v/>
      </c>
      <c r="Q976">
        <f>IF([2]Entry!$D$979="","",[2]Entry!$D$979)</f>
        <v/>
      </c>
      <c r="R976">
        <f>IF([2]Entry!$E$979="","",[2]Entry!$E$979)</f>
        <v/>
      </c>
      <c r="S976">
        <f>IF([2]Entry!$G$979="","",[2]Entry!$G$979)</f>
        <v/>
      </c>
      <c r="T976">
        <f>IF([2]Entry!$J$979="","",[2]Entry!$J$979)</f>
        <v/>
      </c>
      <c r="U976">
        <f>IF([2]Entry!$K$979="","",[2]Entry!$K$979)</f>
        <v/>
      </c>
      <c r="V976">
        <f>IF([2]Entry!$L$979="","",[2]Entry!$L$979)</f>
        <v/>
      </c>
      <c r="W976">
        <f>IF([2]Entry!$M$979="","",[2]Entry!$M$979)</f>
        <v/>
      </c>
      <c r="X976">
        <f>IF([2]Entry!$N$979="","",[2]Entry!$N$979)</f>
        <v/>
      </c>
      <c r="Y976">
        <f>IF([2]Entry!$R$979="","",[2]Entry!$R$979)</f>
        <v/>
      </c>
    </row>
    <row r="977">
      <c r="P977">
        <f>IF([2]Entry!$C$980="","",[2]Entry!$C$980)</f>
        <v/>
      </c>
      <c r="Q977">
        <f>IF([2]Entry!$D$980="","",[2]Entry!$D$980)</f>
        <v/>
      </c>
      <c r="R977">
        <f>IF([2]Entry!$E$980="","",[2]Entry!$E$980)</f>
        <v/>
      </c>
      <c r="S977">
        <f>IF([2]Entry!$G$980="","",[2]Entry!$G$980)</f>
        <v/>
      </c>
      <c r="T977">
        <f>IF([2]Entry!$J$980="","",[2]Entry!$J$980)</f>
        <v/>
      </c>
      <c r="U977">
        <f>IF([2]Entry!$K$980="","",[2]Entry!$K$980)</f>
        <v/>
      </c>
      <c r="V977">
        <f>IF([2]Entry!$L$980="","",[2]Entry!$L$980)</f>
        <v/>
      </c>
      <c r="W977">
        <f>IF([2]Entry!$M$980="","",[2]Entry!$M$980)</f>
        <v/>
      </c>
      <c r="X977">
        <f>IF([2]Entry!$N$980="","",[2]Entry!$N$980)</f>
        <v/>
      </c>
      <c r="Y977">
        <f>IF([2]Entry!$R$980="","",[2]Entry!$R$980)</f>
        <v/>
      </c>
    </row>
    <row r="978">
      <c r="P978">
        <f>IF([2]Entry!$C$981="","",[2]Entry!$C$981)</f>
        <v/>
      </c>
      <c r="Q978">
        <f>IF([2]Entry!$D$981="","",[2]Entry!$D$981)</f>
        <v/>
      </c>
      <c r="R978">
        <f>IF([2]Entry!$E$981="","",[2]Entry!$E$981)</f>
        <v/>
      </c>
      <c r="S978">
        <f>IF([2]Entry!$G$981="","",[2]Entry!$G$981)</f>
        <v/>
      </c>
      <c r="T978">
        <f>IF([2]Entry!$J$981="","",[2]Entry!$J$981)</f>
        <v/>
      </c>
      <c r="U978">
        <f>IF([2]Entry!$K$981="","",[2]Entry!$K$981)</f>
        <v/>
      </c>
      <c r="V978">
        <f>IF([2]Entry!$L$981="","",[2]Entry!$L$981)</f>
        <v/>
      </c>
      <c r="W978">
        <f>IF([2]Entry!$M$981="","",[2]Entry!$M$981)</f>
        <v/>
      </c>
      <c r="X978">
        <f>IF([2]Entry!$N$981="","",[2]Entry!$N$981)</f>
        <v/>
      </c>
      <c r="Y978">
        <f>IF([2]Entry!$R$981="","",[2]Entry!$R$981)</f>
        <v/>
      </c>
    </row>
    <row r="979">
      <c r="P979">
        <f>IF([2]Entry!$C$982="","",[2]Entry!$C$982)</f>
        <v/>
      </c>
      <c r="Q979">
        <f>IF([2]Entry!$D$982="","",[2]Entry!$D$982)</f>
        <v/>
      </c>
      <c r="R979">
        <f>IF([2]Entry!$E$982="","",[2]Entry!$E$982)</f>
        <v/>
      </c>
      <c r="S979">
        <f>IF([2]Entry!$G$982="","",[2]Entry!$G$982)</f>
        <v/>
      </c>
      <c r="T979">
        <f>IF([2]Entry!$J$982="","",[2]Entry!$J$982)</f>
        <v/>
      </c>
      <c r="U979">
        <f>IF([2]Entry!$K$982="","",[2]Entry!$K$982)</f>
        <v/>
      </c>
      <c r="V979">
        <f>IF([2]Entry!$L$982="","",[2]Entry!$L$982)</f>
        <v/>
      </c>
      <c r="W979">
        <f>IF([2]Entry!$M$982="","",[2]Entry!$M$982)</f>
        <v/>
      </c>
      <c r="X979">
        <f>IF([2]Entry!$N$982="","",[2]Entry!$N$982)</f>
        <v/>
      </c>
      <c r="Y979">
        <f>IF([2]Entry!$R$982="","",[2]Entry!$R$982)</f>
        <v/>
      </c>
    </row>
    <row r="980">
      <c r="P980">
        <f>IF([2]Entry!$C$983="","",[2]Entry!$C$983)</f>
        <v/>
      </c>
      <c r="Q980">
        <f>IF([2]Entry!$D$983="","",[2]Entry!$D$983)</f>
        <v/>
      </c>
      <c r="R980">
        <f>IF([2]Entry!$E$983="","",[2]Entry!$E$983)</f>
        <v/>
      </c>
      <c r="S980">
        <f>IF([2]Entry!$G$983="","",[2]Entry!$G$983)</f>
        <v/>
      </c>
      <c r="T980">
        <f>IF([2]Entry!$J$983="","",[2]Entry!$J$983)</f>
        <v/>
      </c>
      <c r="U980">
        <f>IF([2]Entry!$K$983="","",[2]Entry!$K$983)</f>
        <v/>
      </c>
      <c r="V980">
        <f>IF([2]Entry!$L$983="","",[2]Entry!$L$983)</f>
        <v/>
      </c>
      <c r="W980">
        <f>IF([2]Entry!$M$983="","",[2]Entry!$M$983)</f>
        <v/>
      </c>
      <c r="X980">
        <f>IF([2]Entry!$N$983="","",[2]Entry!$N$983)</f>
        <v/>
      </c>
      <c r="Y980">
        <f>IF([2]Entry!$R$983="","",[2]Entry!$R$983)</f>
        <v/>
      </c>
    </row>
    <row r="981">
      <c r="P981">
        <f>IF([2]Entry!$C$984="","",[2]Entry!$C$984)</f>
        <v/>
      </c>
      <c r="Q981">
        <f>IF([2]Entry!$D$984="","",[2]Entry!$D$984)</f>
        <v/>
      </c>
      <c r="R981">
        <f>IF([2]Entry!$E$984="","",[2]Entry!$E$984)</f>
        <v/>
      </c>
      <c r="S981">
        <f>IF([2]Entry!$G$984="","",[2]Entry!$G$984)</f>
        <v/>
      </c>
      <c r="T981">
        <f>IF([2]Entry!$J$984="","",[2]Entry!$J$984)</f>
        <v/>
      </c>
      <c r="U981">
        <f>IF([2]Entry!$K$984="","",[2]Entry!$K$984)</f>
        <v/>
      </c>
      <c r="V981">
        <f>IF([2]Entry!$L$984="","",[2]Entry!$L$984)</f>
        <v/>
      </c>
      <c r="W981">
        <f>IF([2]Entry!$M$984="","",[2]Entry!$M$984)</f>
        <v/>
      </c>
      <c r="X981">
        <f>IF([2]Entry!$N$984="","",[2]Entry!$N$984)</f>
        <v/>
      </c>
      <c r="Y981">
        <f>IF([2]Entry!$R$984="","",[2]Entry!$R$984)</f>
        <v/>
      </c>
    </row>
    <row r="982">
      <c r="P982">
        <f>IF([2]Entry!$C$985="","",[2]Entry!$C$985)</f>
        <v/>
      </c>
      <c r="Q982">
        <f>IF([2]Entry!$D$985="","",[2]Entry!$D$985)</f>
        <v/>
      </c>
      <c r="R982">
        <f>IF([2]Entry!$E$985="","",[2]Entry!$E$985)</f>
        <v/>
      </c>
      <c r="S982">
        <f>IF([2]Entry!$G$985="","",[2]Entry!$G$985)</f>
        <v/>
      </c>
      <c r="T982">
        <f>IF([2]Entry!$J$985="","",[2]Entry!$J$985)</f>
        <v/>
      </c>
      <c r="U982">
        <f>IF([2]Entry!$K$985="","",[2]Entry!$K$985)</f>
        <v/>
      </c>
      <c r="V982">
        <f>IF([2]Entry!$L$985="","",[2]Entry!$L$985)</f>
        <v/>
      </c>
      <c r="W982">
        <f>IF([2]Entry!$M$985="","",[2]Entry!$M$985)</f>
        <v/>
      </c>
      <c r="X982">
        <f>IF([2]Entry!$N$985="","",[2]Entry!$N$985)</f>
        <v/>
      </c>
      <c r="Y982">
        <f>IF([2]Entry!$R$985="","",[2]Entry!$R$985)</f>
        <v/>
      </c>
    </row>
    <row r="983">
      <c r="P983">
        <f>IF([2]Entry!$C$986="","",[2]Entry!$C$986)</f>
        <v/>
      </c>
      <c r="Q983">
        <f>IF([2]Entry!$D$986="","",[2]Entry!$D$986)</f>
        <v/>
      </c>
      <c r="R983">
        <f>IF([2]Entry!$E$986="","",[2]Entry!$E$986)</f>
        <v/>
      </c>
      <c r="S983">
        <f>IF([2]Entry!$G$986="","",[2]Entry!$G$986)</f>
        <v/>
      </c>
      <c r="T983">
        <f>IF([2]Entry!$J$986="","",[2]Entry!$J$986)</f>
        <v/>
      </c>
      <c r="U983">
        <f>IF([2]Entry!$K$986="","",[2]Entry!$K$986)</f>
        <v/>
      </c>
      <c r="V983">
        <f>IF([2]Entry!$L$986="","",[2]Entry!$L$986)</f>
        <v/>
      </c>
      <c r="W983">
        <f>IF([2]Entry!$M$986="","",[2]Entry!$M$986)</f>
        <v/>
      </c>
      <c r="X983">
        <f>IF([2]Entry!$N$986="","",[2]Entry!$N$986)</f>
        <v/>
      </c>
      <c r="Y983">
        <f>IF([2]Entry!$R$986="","",[2]Entry!$R$986)</f>
        <v/>
      </c>
    </row>
    <row r="984">
      <c r="P984">
        <f>IF([2]Entry!$C$987="","",[2]Entry!$C$987)</f>
        <v/>
      </c>
      <c r="Q984">
        <f>IF([2]Entry!$D$987="","",[2]Entry!$D$987)</f>
        <v/>
      </c>
      <c r="R984">
        <f>IF([2]Entry!$E$987="","",[2]Entry!$E$987)</f>
        <v/>
      </c>
      <c r="S984">
        <f>IF([2]Entry!$G$987="","",[2]Entry!$G$987)</f>
        <v/>
      </c>
      <c r="T984">
        <f>IF([2]Entry!$J$987="","",[2]Entry!$J$987)</f>
        <v/>
      </c>
      <c r="U984">
        <f>IF([2]Entry!$K$987="","",[2]Entry!$K$987)</f>
        <v/>
      </c>
      <c r="V984">
        <f>IF([2]Entry!$L$987="","",[2]Entry!$L$987)</f>
        <v/>
      </c>
      <c r="W984">
        <f>IF([2]Entry!$M$987="","",[2]Entry!$M$987)</f>
        <v/>
      </c>
      <c r="X984">
        <f>IF([2]Entry!$N$987="","",[2]Entry!$N$987)</f>
        <v/>
      </c>
      <c r="Y984">
        <f>IF([2]Entry!$R$987="","",[2]Entry!$R$987)</f>
        <v/>
      </c>
    </row>
    <row r="985">
      <c r="P985">
        <f>IF([2]Entry!$C$988="","",[2]Entry!$C$988)</f>
        <v/>
      </c>
      <c r="Q985">
        <f>IF([2]Entry!$D$988="","",[2]Entry!$D$988)</f>
        <v/>
      </c>
      <c r="R985">
        <f>IF([2]Entry!$E$988="","",[2]Entry!$E$988)</f>
        <v/>
      </c>
      <c r="S985">
        <f>IF([2]Entry!$G$988="","",[2]Entry!$G$988)</f>
        <v/>
      </c>
      <c r="T985">
        <f>IF([2]Entry!$J$988="","",[2]Entry!$J$988)</f>
        <v/>
      </c>
      <c r="U985">
        <f>IF([2]Entry!$K$988="","",[2]Entry!$K$988)</f>
        <v/>
      </c>
      <c r="V985">
        <f>IF([2]Entry!$L$988="","",[2]Entry!$L$988)</f>
        <v/>
      </c>
      <c r="W985">
        <f>IF([2]Entry!$M$988="","",[2]Entry!$M$988)</f>
        <v/>
      </c>
      <c r="X985">
        <f>IF([2]Entry!$N$988="","",[2]Entry!$N$988)</f>
        <v/>
      </c>
      <c r="Y985">
        <f>IF([2]Entry!$R$988="","",[2]Entry!$R$988)</f>
        <v/>
      </c>
    </row>
    <row r="986">
      <c r="P986">
        <f>IF([2]Entry!$C$989="","",[2]Entry!$C$989)</f>
        <v/>
      </c>
      <c r="Q986">
        <f>IF([2]Entry!$D$989="","",[2]Entry!$D$989)</f>
        <v/>
      </c>
      <c r="R986">
        <f>IF([2]Entry!$E$989="","",[2]Entry!$E$989)</f>
        <v/>
      </c>
      <c r="S986">
        <f>IF([2]Entry!$G$989="","",[2]Entry!$G$989)</f>
        <v/>
      </c>
      <c r="T986">
        <f>IF([2]Entry!$J$989="","",[2]Entry!$J$989)</f>
        <v/>
      </c>
      <c r="U986">
        <f>IF([2]Entry!$K$989="","",[2]Entry!$K$989)</f>
        <v/>
      </c>
      <c r="V986">
        <f>IF([2]Entry!$L$989="","",[2]Entry!$L$989)</f>
        <v/>
      </c>
      <c r="W986">
        <f>IF([2]Entry!$M$989="","",[2]Entry!$M$989)</f>
        <v/>
      </c>
      <c r="X986">
        <f>IF([2]Entry!$N$989="","",[2]Entry!$N$989)</f>
        <v/>
      </c>
      <c r="Y986">
        <f>IF([2]Entry!$R$989="","",[2]Entry!$R$989)</f>
        <v/>
      </c>
    </row>
    <row r="987">
      <c r="P987">
        <f>IF([2]Entry!$C$990="","",[2]Entry!$C$990)</f>
        <v/>
      </c>
      <c r="Q987">
        <f>IF([2]Entry!$D$990="","",[2]Entry!$D$990)</f>
        <v/>
      </c>
      <c r="R987">
        <f>IF([2]Entry!$E$990="","",[2]Entry!$E$990)</f>
        <v/>
      </c>
      <c r="S987">
        <f>IF([2]Entry!$G$990="","",[2]Entry!$G$990)</f>
        <v/>
      </c>
      <c r="T987">
        <f>IF([2]Entry!$J$990="","",[2]Entry!$J$990)</f>
        <v/>
      </c>
      <c r="U987">
        <f>IF([2]Entry!$K$990="","",[2]Entry!$K$990)</f>
        <v/>
      </c>
      <c r="V987">
        <f>IF([2]Entry!$L$990="","",[2]Entry!$L$990)</f>
        <v/>
      </c>
      <c r="W987">
        <f>IF([2]Entry!$M$990="","",[2]Entry!$M$990)</f>
        <v/>
      </c>
      <c r="X987">
        <f>IF([2]Entry!$N$990="","",[2]Entry!$N$990)</f>
        <v/>
      </c>
      <c r="Y987">
        <f>IF([2]Entry!$R$990="","",[2]Entry!$R$990)</f>
        <v/>
      </c>
    </row>
    <row r="988">
      <c r="P988">
        <f>IF([2]Entry!$C$991="","",[2]Entry!$C$991)</f>
        <v/>
      </c>
      <c r="Q988">
        <f>IF([2]Entry!$D$991="","",[2]Entry!$D$991)</f>
        <v/>
      </c>
      <c r="R988">
        <f>IF([2]Entry!$E$991="","",[2]Entry!$E$991)</f>
        <v/>
      </c>
      <c r="S988">
        <f>IF([2]Entry!$G$991="","",[2]Entry!$G$991)</f>
        <v/>
      </c>
      <c r="T988">
        <f>IF([2]Entry!$J$991="","",[2]Entry!$J$991)</f>
        <v/>
      </c>
      <c r="U988">
        <f>IF([2]Entry!$K$991="","",[2]Entry!$K$991)</f>
        <v/>
      </c>
      <c r="V988">
        <f>IF([2]Entry!$L$991="","",[2]Entry!$L$991)</f>
        <v/>
      </c>
      <c r="W988">
        <f>IF([2]Entry!$M$991="","",[2]Entry!$M$991)</f>
        <v/>
      </c>
      <c r="X988">
        <f>IF([2]Entry!$N$991="","",[2]Entry!$N$991)</f>
        <v/>
      </c>
      <c r="Y988">
        <f>IF([2]Entry!$R$991="","",[2]Entry!$R$991)</f>
        <v/>
      </c>
    </row>
    <row r="989">
      <c r="P989">
        <f>IF([2]Entry!$C$992="","",[2]Entry!$C$992)</f>
        <v/>
      </c>
      <c r="Q989">
        <f>IF([2]Entry!$D$992="","",[2]Entry!$D$992)</f>
        <v/>
      </c>
      <c r="R989">
        <f>IF([2]Entry!$E$992="","",[2]Entry!$E$992)</f>
        <v/>
      </c>
      <c r="S989">
        <f>IF([2]Entry!$G$992="","",[2]Entry!$G$992)</f>
        <v/>
      </c>
      <c r="T989">
        <f>IF([2]Entry!$J$992="","",[2]Entry!$J$992)</f>
        <v/>
      </c>
      <c r="U989">
        <f>IF([2]Entry!$K$992="","",[2]Entry!$K$992)</f>
        <v/>
      </c>
      <c r="V989">
        <f>IF([2]Entry!$L$992="","",[2]Entry!$L$992)</f>
        <v/>
      </c>
      <c r="W989">
        <f>IF([2]Entry!$M$992="","",[2]Entry!$M$992)</f>
        <v/>
      </c>
      <c r="X989">
        <f>IF([2]Entry!$N$992="","",[2]Entry!$N$992)</f>
        <v/>
      </c>
      <c r="Y989">
        <f>IF([2]Entry!$R$992="","",[2]Entry!$R$992)</f>
        <v/>
      </c>
    </row>
    <row r="990">
      <c r="P990">
        <f>IF([2]Entry!$C$993="","",[2]Entry!$C$993)</f>
        <v/>
      </c>
      <c r="Q990">
        <f>IF([2]Entry!$D$993="","",[2]Entry!$D$993)</f>
        <v/>
      </c>
      <c r="R990">
        <f>IF([2]Entry!$E$993="","",[2]Entry!$E$993)</f>
        <v/>
      </c>
      <c r="S990">
        <f>IF([2]Entry!$G$993="","",[2]Entry!$G$993)</f>
        <v/>
      </c>
      <c r="T990">
        <f>IF([2]Entry!$J$993="","",[2]Entry!$J$993)</f>
        <v/>
      </c>
      <c r="U990">
        <f>IF([2]Entry!$K$993="","",[2]Entry!$K$993)</f>
        <v/>
      </c>
      <c r="V990">
        <f>IF([2]Entry!$L$993="","",[2]Entry!$L$993)</f>
        <v/>
      </c>
      <c r="W990">
        <f>IF([2]Entry!$M$993="","",[2]Entry!$M$993)</f>
        <v/>
      </c>
      <c r="X990">
        <f>IF([2]Entry!$N$993="","",[2]Entry!$N$993)</f>
        <v/>
      </c>
      <c r="Y990">
        <f>IF([2]Entry!$R$993="","",[2]Entry!$R$993)</f>
        <v/>
      </c>
    </row>
    <row r="991">
      <c r="P991">
        <f>IF([2]Entry!$C$994="","",[2]Entry!$C$994)</f>
        <v/>
      </c>
      <c r="Q991">
        <f>IF([2]Entry!$D$994="","",[2]Entry!$D$994)</f>
        <v/>
      </c>
      <c r="R991">
        <f>IF([2]Entry!$E$994="","",[2]Entry!$E$994)</f>
        <v/>
      </c>
      <c r="S991">
        <f>IF([2]Entry!$G$994="","",[2]Entry!$G$994)</f>
        <v/>
      </c>
      <c r="T991">
        <f>IF([2]Entry!$J$994="","",[2]Entry!$J$994)</f>
        <v/>
      </c>
      <c r="U991">
        <f>IF([2]Entry!$K$994="","",[2]Entry!$K$994)</f>
        <v/>
      </c>
      <c r="V991">
        <f>IF([2]Entry!$L$994="","",[2]Entry!$L$994)</f>
        <v/>
      </c>
      <c r="W991">
        <f>IF([2]Entry!$M$994="","",[2]Entry!$M$994)</f>
        <v/>
      </c>
      <c r="X991">
        <f>IF([2]Entry!$N$994="","",[2]Entry!$N$994)</f>
        <v/>
      </c>
      <c r="Y991">
        <f>IF([2]Entry!$R$994="","",[2]Entry!$R$994)</f>
        <v/>
      </c>
    </row>
    <row r="992">
      <c r="P992">
        <f>IF([2]Entry!$C$995="","",[2]Entry!$C$995)</f>
        <v/>
      </c>
      <c r="Q992">
        <f>IF([2]Entry!$D$995="","",[2]Entry!$D$995)</f>
        <v/>
      </c>
      <c r="R992">
        <f>IF([2]Entry!$E$995="","",[2]Entry!$E$995)</f>
        <v/>
      </c>
      <c r="S992">
        <f>IF([2]Entry!$G$995="","",[2]Entry!$G$995)</f>
        <v/>
      </c>
      <c r="T992">
        <f>IF([2]Entry!$J$995="","",[2]Entry!$J$995)</f>
        <v/>
      </c>
      <c r="U992">
        <f>IF([2]Entry!$K$995="","",[2]Entry!$K$995)</f>
        <v/>
      </c>
      <c r="V992">
        <f>IF([2]Entry!$L$995="","",[2]Entry!$L$995)</f>
        <v/>
      </c>
      <c r="W992">
        <f>IF([2]Entry!$M$995="","",[2]Entry!$M$995)</f>
        <v/>
      </c>
      <c r="X992">
        <f>IF([2]Entry!$N$995="","",[2]Entry!$N$995)</f>
        <v/>
      </c>
      <c r="Y992">
        <f>IF([2]Entry!$R$995="","",[2]Entry!$R$995)</f>
        <v/>
      </c>
    </row>
    <row r="993">
      <c r="P993">
        <f>IF([2]Entry!$C$996="","",[2]Entry!$C$996)</f>
        <v/>
      </c>
      <c r="Q993">
        <f>IF([2]Entry!$D$996="","",[2]Entry!$D$996)</f>
        <v/>
      </c>
      <c r="R993">
        <f>IF([2]Entry!$E$996="","",[2]Entry!$E$996)</f>
        <v/>
      </c>
      <c r="S993">
        <f>IF([2]Entry!$G$996="","",[2]Entry!$G$996)</f>
        <v/>
      </c>
      <c r="T993">
        <f>IF([2]Entry!$J$996="","",[2]Entry!$J$996)</f>
        <v/>
      </c>
      <c r="U993">
        <f>IF([2]Entry!$K$996="","",[2]Entry!$K$996)</f>
        <v/>
      </c>
      <c r="V993">
        <f>IF([2]Entry!$L$996="","",[2]Entry!$L$996)</f>
        <v/>
      </c>
      <c r="W993">
        <f>IF([2]Entry!$M$996="","",[2]Entry!$M$996)</f>
        <v/>
      </c>
      <c r="X993">
        <f>IF([2]Entry!$N$996="","",[2]Entry!$N$996)</f>
        <v/>
      </c>
      <c r="Y993">
        <f>IF([2]Entry!$R$996="","",[2]Entry!$R$996)</f>
        <v/>
      </c>
    </row>
    <row r="994">
      <c r="P994">
        <f>IF([2]Entry!$C$997="","",[2]Entry!$C$997)</f>
        <v/>
      </c>
      <c r="Q994">
        <f>IF([2]Entry!$D$997="","",[2]Entry!$D$997)</f>
        <v/>
      </c>
      <c r="R994">
        <f>IF([2]Entry!$E$997="","",[2]Entry!$E$997)</f>
        <v/>
      </c>
      <c r="S994">
        <f>IF([2]Entry!$G$997="","",[2]Entry!$G$997)</f>
        <v/>
      </c>
      <c r="T994">
        <f>IF([2]Entry!$J$997="","",[2]Entry!$J$997)</f>
        <v/>
      </c>
      <c r="U994">
        <f>IF([2]Entry!$K$997="","",[2]Entry!$K$997)</f>
        <v/>
      </c>
      <c r="V994">
        <f>IF([2]Entry!$L$997="","",[2]Entry!$L$997)</f>
        <v/>
      </c>
      <c r="W994">
        <f>IF([2]Entry!$M$997="","",[2]Entry!$M$997)</f>
        <v/>
      </c>
      <c r="X994">
        <f>IF([2]Entry!$N$997="","",[2]Entry!$N$997)</f>
        <v/>
      </c>
      <c r="Y994">
        <f>IF([2]Entry!$R$997="","",[2]Entry!$R$997)</f>
        <v/>
      </c>
    </row>
    <row r="995">
      <c r="P995">
        <f>IF([2]Entry!$C$998="","",[2]Entry!$C$998)</f>
        <v/>
      </c>
      <c r="Q995">
        <f>IF([2]Entry!$D$998="","",[2]Entry!$D$998)</f>
        <v/>
      </c>
      <c r="R995">
        <f>IF([2]Entry!$E$998="","",[2]Entry!$E$998)</f>
        <v/>
      </c>
      <c r="S995">
        <f>IF([2]Entry!$G$998="","",[2]Entry!$G$998)</f>
        <v/>
      </c>
      <c r="T995">
        <f>IF([2]Entry!$J$998="","",[2]Entry!$J$998)</f>
        <v/>
      </c>
      <c r="U995">
        <f>IF([2]Entry!$K$998="","",[2]Entry!$K$998)</f>
        <v/>
      </c>
      <c r="V995">
        <f>IF([2]Entry!$L$998="","",[2]Entry!$L$998)</f>
        <v/>
      </c>
      <c r="W995">
        <f>IF([2]Entry!$M$998="","",[2]Entry!$M$998)</f>
        <v/>
      </c>
      <c r="X995">
        <f>IF([2]Entry!$N$998="","",[2]Entry!$N$998)</f>
        <v/>
      </c>
      <c r="Y995">
        <f>IF([2]Entry!$R$998="","",[2]Entry!$R$998)</f>
        <v/>
      </c>
    </row>
    <row r="996">
      <c r="P996">
        <f>IF([2]Entry!$C$999="","",[2]Entry!$C$999)</f>
        <v/>
      </c>
      <c r="Q996">
        <f>IF([2]Entry!$D$999="","",[2]Entry!$D$999)</f>
        <v/>
      </c>
      <c r="R996">
        <f>IF([2]Entry!$E$999="","",[2]Entry!$E$999)</f>
        <v/>
      </c>
      <c r="S996">
        <f>IF([2]Entry!$G$999="","",[2]Entry!$G$999)</f>
        <v/>
      </c>
      <c r="T996">
        <f>IF([2]Entry!$J$999="","",[2]Entry!$J$999)</f>
        <v/>
      </c>
      <c r="U996">
        <f>IF([2]Entry!$K$999="","",[2]Entry!$K$999)</f>
        <v/>
      </c>
      <c r="V996">
        <f>IF([2]Entry!$L$999="","",[2]Entry!$L$999)</f>
        <v/>
      </c>
      <c r="W996">
        <f>IF([2]Entry!$M$999="","",[2]Entry!$M$999)</f>
        <v/>
      </c>
      <c r="X996">
        <f>IF([2]Entry!$N$999="","",[2]Entry!$N$999)</f>
        <v/>
      </c>
      <c r="Y996">
        <f>IF([2]Entry!$R$999="","",[2]Entry!$R$999)</f>
        <v/>
      </c>
    </row>
    <row r="997">
      <c r="P997">
        <f>IF([2]Entry!$C$1000="","",[2]Entry!$C$1000)</f>
        <v/>
      </c>
      <c r="Q997">
        <f>IF([2]Entry!$D$1000="","",[2]Entry!$D$1000)</f>
        <v/>
      </c>
      <c r="R997">
        <f>IF([2]Entry!$E$1000="","",[2]Entry!$E$1000)</f>
        <v/>
      </c>
      <c r="S997">
        <f>IF([2]Entry!$G$1000="","",[2]Entry!$G$1000)</f>
        <v/>
      </c>
      <c r="T997">
        <f>IF([2]Entry!$J$1000="","",[2]Entry!$J$1000)</f>
        <v/>
      </c>
      <c r="U997">
        <f>IF([2]Entry!$K$1000="","",[2]Entry!$K$1000)</f>
        <v/>
      </c>
      <c r="V997">
        <f>IF([2]Entry!$L$1000="","",[2]Entry!$L$1000)</f>
        <v/>
      </c>
      <c r="W997">
        <f>IF([2]Entry!$M$1000="","",[2]Entry!$M$1000)</f>
        <v/>
      </c>
      <c r="X997">
        <f>IF([2]Entry!$N$1000="","",[2]Entry!$N$1000)</f>
        <v/>
      </c>
      <c r="Y997">
        <f>IF([2]Entry!$R$1000="","",[2]Entry!$R$1000)</f>
        <v/>
      </c>
    </row>
    <row r="998">
      <c r="P998">
        <f>IF([2]Entry!$C$1001="","",[2]Entry!$C$1001)</f>
        <v/>
      </c>
      <c r="Q998">
        <f>IF([2]Entry!$D$1001="","",[2]Entry!$D$1001)</f>
        <v/>
      </c>
      <c r="R998">
        <f>IF([2]Entry!$E$1001="","",[2]Entry!$E$1001)</f>
        <v/>
      </c>
      <c r="S998">
        <f>IF([2]Entry!$G$1001="","",[2]Entry!$G$1001)</f>
        <v/>
      </c>
      <c r="T998">
        <f>IF([2]Entry!$J$1001="","",[2]Entry!$J$1001)</f>
        <v/>
      </c>
      <c r="U998">
        <f>IF([2]Entry!$K$1001="","",[2]Entry!$K$1001)</f>
        <v/>
      </c>
      <c r="V998">
        <f>IF([2]Entry!$L$1001="","",[2]Entry!$L$1001)</f>
        <v/>
      </c>
      <c r="W998">
        <f>IF([2]Entry!$M$1001="","",[2]Entry!$M$1001)</f>
        <v/>
      </c>
      <c r="X998">
        <f>IF([2]Entry!$N$1001="","",[2]Entry!$N$1001)</f>
        <v/>
      </c>
      <c r="Y998">
        <f>IF([2]Entry!$R$1001="","",[2]Entry!$R$1001)</f>
        <v/>
      </c>
    </row>
    <row r="999">
      <c r="P999">
        <f>IF([2]Entry!$C$1002="","",[2]Entry!$C$1002)</f>
        <v/>
      </c>
      <c r="Q999">
        <f>IF([2]Entry!$D$1002="","",[2]Entry!$D$1002)</f>
        <v/>
      </c>
      <c r="R999">
        <f>IF([2]Entry!$E$1002="","",[2]Entry!$E$1002)</f>
        <v/>
      </c>
      <c r="S999">
        <f>IF([2]Entry!$G$1002="","",[2]Entry!$G$1002)</f>
        <v/>
      </c>
      <c r="T999">
        <f>IF([2]Entry!$J$1002="","",[2]Entry!$J$1002)</f>
        <v/>
      </c>
      <c r="U999">
        <f>IF([2]Entry!$K$1002="","",[2]Entry!$K$1002)</f>
        <v/>
      </c>
      <c r="V999">
        <f>IF([2]Entry!$L$1002="","",[2]Entry!$L$1002)</f>
        <v/>
      </c>
      <c r="W999">
        <f>IF([2]Entry!$M$1002="","",[2]Entry!$M$1002)</f>
        <v/>
      </c>
      <c r="X999">
        <f>IF([2]Entry!$N$1002="","",[2]Entry!$N$1002)</f>
        <v/>
      </c>
      <c r="Y999">
        <f>IF([2]Entry!$R$1002="","",[2]Entry!$R$1002)</f>
        <v/>
      </c>
    </row>
    <row r="1000">
      <c r="P1000">
        <f>IF([2]Entry!$C$1003="","",[2]Entry!$C$1003)</f>
        <v/>
      </c>
      <c r="Q1000">
        <f>IF([2]Entry!$D$1003="","",[2]Entry!$D$1003)</f>
        <v/>
      </c>
      <c r="R1000">
        <f>IF([2]Entry!$E$1003="","",[2]Entry!$E$1003)</f>
        <v/>
      </c>
      <c r="S1000">
        <f>IF([2]Entry!$G$1003="","",[2]Entry!$G$1003)</f>
        <v/>
      </c>
      <c r="T1000">
        <f>IF([2]Entry!$J$1003="","",[2]Entry!$J$1003)</f>
        <v/>
      </c>
      <c r="U1000">
        <f>IF([2]Entry!$K$1003="","",[2]Entry!$K$1003)</f>
        <v/>
      </c>
      <c r="V1000">
        <f>IF([2]Entry!$L$1003="","",[2]Entry!$L$1003)</f>
        <v/>
      </c>
      <c r="W1000">
        <f>IF([2]Entry!$M$1003="","",[2]Entry!$M$1003)</f>
        <v/>
      </c>
      <c r="X1000">
        <f>IF([2]Entry!$N$1003="","",[2]Entry!$N$1003)</f>
        <v/>
      </c>
      <c r="Y1000">
        <f>IF([2]Entry!$R$1003="","",[2]Entry!$R$1003)</f>
        <v/>
      </c>
    </row>
    <row r="1001">
      <c r="P1001">
        <f>IF([2]Entry!$C$1004="","",[2]Entry!$C$1004)</f>
        <v/>
      </c>
      <c r="Q1001">
        <f>IF([2]Entry!$D$1004="","",[2]Entry!$D$1004)</f>
        <v/>
      </c>
      <c r="R1001">
        <f>IF([2]Entry!$E$1004="","",[2]Entry!$E$1004)</f>
        <v/>
      </c>
      <c r="S1001">
        <f>IF([2]Entry!$G$1004="","",[2]Entry!$G$1004)</f>
        <v/>
      </c>
      <c r="T1001">
        <f>IF([2]Entry!$J$1004="","",[2]Entry!$J$1004)</f>
        <v/>
      </c>
      <c r="U1001">
        <f>IF([2]Entry!$K$1004="","",[2]Entry!$K$1004)</f>
        <v/>
      </c>
      <c r="V1001">
        <f>IF([2]Entry!$L$1004="","",[2]Entry!$L$1004)</f>
        <v/>
      </c>
      <c r="W1001">
        <f>IF([2]Entry!$M$1004="","",[2]Entry!$M$1004)</f>
        <v/>
      </c>
      <c r="X1001">
        <f>IF([2]Entry!$N$1004="","",[2]Entry!$N$1004)</f>
        <v/>
      </c>
      <c r="Y1001">
        <f>IF([2]Entry!$R$1004="","",[2]Entry!$R$1004)</f>
        <v/>
      </c>
    </row>
    <row r="1002">
      <c r="P1002">
        <f>IF([2]Entry!$C$1005="","",[2]Entry!$C$1005)</f>
        <v/>
      </c>
      <c r="Q1002">
        <f>IF([2]Entry!$D$1005="","",[2]Entry!$D$1005)</f>
        <v/>
      </c>
      <c r="R1002">
        <f>IF([2]Entry!$E$1005="","",[2]Entry!$E$1005)</f>
        <v/>
      </c>
      <c r="S1002">
        <f>IF([2]Entry!$G$1005="","",[2]Entry!$G$1005)</f>
        <v/>
      </c>
      <c r="T1002">
        <f>IF([2]Entry!$J$1005="","",[2]Entry!$J$1005)</f>
        <v/>
      </c>
      <c r="U1002">
        <f>IF([2]Entry!$K$1005="","",[2]Entry!$K$1005)</f>
        <v/>
      </c>
      <c r="V1002">
        <f>IF([2]Entry!$L$1005="","",[2]Entry!$L$1005)</f>
        <v/>
      </c>
      <c r="W1002">
        <f>IF([2]Entry!$M$1005="","",[2]Entry!$M$1005)</f>
        <v/>
      </c>
      <c r="X1002">
        <f>IF([2]Entry!$N$1005="","",[2]Entry!$N$1005)</f>
        <v/>
      </c>
      <c r="Y1002">
        <f>IF([2]Entry!$R$1005="","",[2]Entry!$R$1005)</f>
        <v/>
      </c>
    </row>
    <row r="1003">
      <c r="P1003">
        <f>IF([2]Entry!$C$1006="","",[2]Entry!$C$1006)</f>
        <v/>
      </c>
      <c r="Q1003">
        <f>IF([2]Entry!$D$1006="","",[2]Entry!$D$1006)</f>
        <v/>
      </c>
      <c r="R1003">
        <f>IF([2]Entry!$E$1006="","",[2]Entry!$E$1006)</f>
        <v/>
      </c>
      <c r="S1003">
        <f>IF([2]Entry!$G$1006="","",[2]Entry!$G$1006)</f>
        <v/>
      </c>
      <c r="T1003">
        <f>IF([2]Entry!$J$1006="","",[2]Entry!$J$1006)</f>
        <v/>
      </c>
      <c r="U1003">
        <f>IF([2]Entry!$K$1006="","",[2]Entry!$K$1006)</f>
        <v/>
      </c>
      <c r="V1003">
        <f>IF([2]Entry!$L$1006="","",[2]Entry!$L$1006)</f>
        <v/>
      </c>
      <c r="W1003">
        <f>IF([2]Entry!$M$1006="","",[2]Entry!$M$1006)</f>
        <v/>
      </c>
      <c r="X1003">
        <f>IF([2]Entry!$N$1006="","",[2]Entry!$N$1006)</f>
        <v/>
      </c>
      <c r="Y1003">
        <f>IF([2]Entry!$R$1006="","",[2]Entry!$R$1006)</f>
        <v/>
      </c>
    </row>
    <row r="1004">
      <c r="P1004">
        <f>IF([2]Entry!$C$1007="","",[2]Entry!$C$1007)</f>
        <v/>
      </c>
      <c r="Q1004">
        <f>IF([2]Entry!$D$1007="","",[2]Entry!$D$1007)</f>
        <v/>
      </c>
      <c r="R1004">
        <f>IF([2]Entry!$E$1007="","",[2]Entry!$E$1007)</f>
        <v/>
      </c>
      <c r="S1004">
        <f>IF([2]Entry!$G$1007="","",[2]Entry!$G$1007)</f>
        <v/>
      </c>
      <c r="T1004">
        <f>IF([2]Entry!$J$1007="","",[2]Entry!$J$1007)</f>
        <v/>
      </c>
      <c r="U1004">
        <f>IF([2]Entry!$K$1007="","",[2]Entry!$K$1007)</f>
        <v/>
      </c>
      <c r="V1004">
        <f>IF([2]Entry!$L$1007="","",[2]Entry!$L$1007)</f>
        <v/>
      </c>
      <c r="W1004">
        <f>IF([2]Entry!$M$1007="","",[2]Entry!$M$1007)</f>
        <v/>
      </c>
      <c r="X1004">
        <f>IF([2]Entry!$N$1007="","",[2]Entry!$N$1007)</f>
        <v/>
      </c>
      <c r="Y1004">
        <f>IF([2]Entry!$R$1007="","",[2]Entry!$R$1007)</f>
        <v/>
      </c>
    </row>
    <row r="1005">
      <c r="P1005">
        <f>IF([2]Entry!$C$1008="","",[2]Entry!$C$1008)</f>
        <v/>
      </c>
      <c r="Q1005">
        <f>IF([2]Entry!$D$1008="","",[2]Entry!$D$1008)</f>
        <v/>
      </c>
      <c r="R1005">
        <f>IF([2]Entry!$E$1008="","",[2]Entry!$E$1008)</f>
        <v/>
      </c>
      <c r="S1005">
        <f>IF([2]Entry!$G$1008="","",[2]Entry!$G$1008)</f>
        <v/>
      </c>
      <c r="T1005">
        <f>IF([2]Entry!$J$1008="","",[2]Entry!$J$1008)</f>
        <v/>
      </c>
      <c r="U1005">
        <f>IF([2]Entry!$K$1008="","",[2]Entry!$K$1008)</f>
        <v/>
      </c>
      <c r="V1005">
        <f>IF([2]Entry!$L$1008="","",[2]Entry!$L$1008)</f>
        <v/>
      </c>
      <c r="W1005">
        <f>IF([2]Entry!$M$1008="","",[2]Entry!$M$1008)</f>
        <v/>
      </c>
      <c r="X1005">
        <f>IF([2]Entry!$N$1008="","",[2]Entry!$N$1008)</f>
        <v/>
      </c>
      <c r="Y1005">
        <f>IF([2]Entry!$R$1008="","",[2]Entry!$R$1008)</f>
        <v/>
      </c>
    </row>
    <row r="1006">
      <c r="P1006">
        <f>IF([2]Entry!$C$1009="","",[2]Entry!$C$1009)</f>
        <v/>
      </c>
      <c r="Q1006">
        <f>IF([2]Entry!$D$1009="","",[2]Entry!$D$1009)</f>
        <v/>
      </c>
      <c r="R1006">
        <f>IF([2]Entry!$E$1009="","",[2]Entry!$E$1009)</f>
        <v/>
      </c>
      <c r="S1006">
        <f>IF([2]Entry!$G$1009="","",[2]Entry!$G$1009)</f>
        <v/>
      </c>
      <c r="T1006">
        <f>IF([2]Entry!$J$1009="","",[2]Entry!$J$1009)</f>
        <v/>
      </c>
      <c r="U1006">
        <f>IF([2]Entry!$K$1009="","",[2]Entry!$K$1009)</f>
        <v/>
      </c>
      <c r="V1006">
        <f>IF([2]Entry!$L$1009="","",[2]Entry!$L$1009)</f>
        <v/>
      </c>
      <c r="W1006">
        <f>IF([2]Entry!$M$1009="","",[2]Entry!$M$1009)</f>
        <v/>
      </c>
      <c r="X1006">
        <f>IF([2]Entry!$N$1009="","",[2]Entry!$N$1009)</f>
        <v/>
      </c>
      <c r="Y1006">
        <f>IF([2]Entry!$R$1009="","",[2]Entry!$R$1009)</f>
        <v/>
      </c>
    </row>
    <row r="1007">
      <c r="P1007">
        <f>IF([2]Entry!$C$1010="","",[2]Entry!$C$1010)</f>
        <v/>
      </c>
      <c r="Q1007">
        <f>IF([2]Entry!$D$1010="","",[2]Entry!$D$1010)</f>
        <v/>
      </c>
      <c r="R1007">
        <f>IF([2]Entry!$E$1010="","",[2]Entry!$E$1010)</f>
        <v/>
      </c>
      <c r="S1007">
        <f>IF([2]Entry!$G$1010="","",[2]Entry!$G$1010)</f>
        <v/>
      </c>
      <c r="T1007">
        <f>IF([2]Entry!$J$1010="","",[2]Entry!$J$1010)</f>
        <v/>
      </c>
      <c r="U1007">
        <f>IF([2]Entry!$K$1010="","",[2]Entry!$K$1010)</f>
        <v/>
      </c>
      <c r="V1007">
        <f>IF([2]Entry!$L$1010="","",[2]Entry!$L$1010)</f>
        <v/>
      </c>
      <c r="W1007">
        <f>IF([2]Entry!$M$1010="","",[2]Entry!$M$1010)</f>
        <v/>
      </c>
      <c r="X1007">
        <f>IF([2]Entry!$N$1010="","",[2]Entry!$N$1010)</f>
        <v/>
      </c>
      <c r="Y1007">
        <f>IF([2]Entry!$R$1010="","",[2]Entry!$R$1010)</f>
        <v/>
      </c>
    </row>
    <row r="1008">
      <c r="P1008">
        <f>IF([2]Entry!$C$1011="","",[2]Entry!$C$1011)</f>
        <v/>
      </c>
      <c r="Q1008">
        <f>IF([2]Entry!$D$1011="","",[2]Entry!$D$1011)</f>
        <v/>
      </c>
      <c r="R1008">
        <f>IF([2]Entry!$E$1011="","",[2]Entry!$E$1011)</f>
        <v/>
      </c>
      <c r="S1008">
        <f>IF([2]Entry!$G$1011="","",[2]Entry!$G$1011)</f>
        <v/>
      </c>
      <c r="T1008">
        <f>IF([2]Entry!$J$1011="","",[2]Entry!$J$1011)</f>
        <v/>
      </c>
      <c r="U1008">
        <f>IF([2]Entry!$K$1011="","",[2]Entry!$K$1011)</f>
        <v/>
      </c>
      <c r="V1008">
        <f>IF([2]Entry!$L$1011="","",[2]Entry!$L$1011)</f>
        <v/>
      </c>
      <c r="W1008">
        <f>IF([2]Entry!$M$1011="","",[2]Entry!$M$1011)</f>
        <v/>
      </c>
      <c r="X1008">
        <f>IF([2]Entry!$N$1011="","",[2]Entry!$N$1011)</f>
        <v/>
      </c>
      <c r="Y1008">
        <f>IF([2]Entry!$R$1011="","",[2]Entry!$R$1011)</f>
        <v/>
      </c>
    </row>
    <row r="1009">
      <c r="P1009">
        <f>IF([2]Entry!$C$1012="","",[2]Entry!$C$1012)</f>
        <v/>
      </c>
      <c r="Q1009">
        <f>IF([2]Entry!$D$1012="","",[2]Entry!$D$1012)</f>
        <v/>
      </c>
      <c r="R1009">
        <f>IF([2]Entry!$E$1012="","",[2]Entry!$E$1012)</f>
        <v/>
      </c>
      <c r="S1009">
        <f>IF([2]Entry!$G$1012="","",[2]Entry!$G$1012)</f>
        <v/>
      </c>
      <c r="T1009">
        <f>IF([2]Entry!$J$1012="","",[2]Entry!$J$1012)</f>
        <v/>
      </c>
      <c r="U1009">
        <f>IF([2]Entry!$K$1012="","",[2]Entry!$K$1012)</f>
        <v/>
      </c>
      <c r="V1009">
        <f>IF([2]Entry!$L$1012="","",[2]Entry!$L$1012)</f>
        <v/>
      </c>
      <c r="W1009">
        <f>IF([2]Entry!$M$1012="","",[2]Entry!$M$1012)</f>
        <v/>
      </c>
      <c r="X1009">
        <f>IF([2]Entry!$N$1012="","",[2]Entry!$N$1012)</f>
        <v/>
      </c>
      <c r="Y1009">
        <f>IF([2]Entry!$R$1012="","",[2]Entry!$R$1012)</f>
        <v/>
      </c>
    </row>
    <row r="1010">
      <c r="P1010">
        <f>IF([2]Entry!$C$1013="","",[2]Entry!$C$1013)</f>
        <v/>
      </c>
      <c r="Q1010">
        <f>IF([2]Entry!$D$1013="","",[2]Entry!$D$1013)</f>
        <v/>
      </c>
      <c r="R1010">
        <f>IF([2]Entry!$E$1013="","",[2]Entry!$E$1013)</f>
        <v/>
      </c>
      <c r="S1010">
        <f>IF([2]Entry!$G$1013="","",[2]Entry!$G$1013)</f>
        <v/>
      </c>
      <c r="T1010">
        <f>IF([2]Entry!$J$1013="","",[2]Entry!$J$1013)</f>
        <v/>
      </c>
      <c r="U1010">
        <f>IF([2]Entry!$K$1013="","",[2]Entry!$K$1013)</f>
        <v/>
      </c>
      <c r="V1010">
        <f>IF([2]Entry!$L$1013="","",[2]Entry!$L$1013)</f>
        <v/>
      </c>
      <c r="W1010">
        <f>IF([2]Entry!$M$1013="","",[2]Entry!$M$1013)</f>
        <v/>
      </c>
      <c r="X1010">
        <f>IF([2]Entry!$N$1013="","",[2]Entry!$N$1013)</f>
        <v/>
      </c>
      <c r="Y1010">
        <f>IF([2]Entry!$R$1013="","",[2]Entry!$R$1013)</f>
        <v/>
      </c>
    </row>
    <row r="1011">
      <c r="P1011">
        <f>IF([2]Entry!$C$1014="","",[2]Entry!$C$1014)</f>
        <v/>
      </c>
      <c r="Q1011">
        <f>IF([2]Entry!$D$1014="","",[2]Entry!$D$1014)</f>
        <v/>
      </c>
      <c r="R1011">
        <f>IF([2]Entry!$E$1014="","",[2]Entry!$E$1014)</f>
        <v/>
      </c>
      <c r="S1011">
        <f>IF([2]Entry!$G$1014="","",[2]Entry!$G$1014)</f>
        <v/>
      </c>
      <c r="T1011">
        <f>IF([2]Entry!$J$1014="","",[2]Entry!$J$1014)</f>
        <v/>
      </c>
      <c r="U1011">
        <f>IF([2]Entry!$K$1014="","",[2]Entry!$K$1014)</f>
        <v/>
      </c>
      <c r="V1011">
        <f>IF([2]Entry!$L$1014="","",[2]Entry!$L$1014)</f>
        <v/>
      </c>
      <c r="W1011">
        <f>IF([2]Entry!$M$1014="","",[2]Entry!$M$1014)</f>
        <v/>
      </c>
      <c r="X1011">
        <f>IF([2]Entry!$N$1014="","",[2]Entry!$N$1014)</f>
        <v/>
      </c>
      <c r="Y1011">
        <f>IF([2]Entry!$R$1014="","",[2]Entry!$R$1014)</f>
        <v/>
      </c>
    </row>
    <row r="1012">
      <c r="P1012">
        <f>IF([2]Entry!$C$1015="","",[2]Entry!$C$1015)</f>
        <v/>
      </c>
      <c r="Q1012">
        <f>IF([2]Entry!$D$1015="","",[2]Entry!$D$1015)</f>
        <v/>
      </c>
      <c r="R1012">
        <f>IF([2]Entry!$E$1015="","",[2]Entry!$E$1015)</f>
        <v/>
      </c>
      <c r="S1012">
        <f>IF([2]Entry!$G$1015="","",[2]Entry!$G$1015)</f>
        <v/>
      </c>
      <c r="T1012">
        <f>IF([2]Entry!$J$1015="","",[2]Entry!$J$1015)</f>
        <v/>
      </c>
      <c r="U1012">
        <f>IF([2]Entry!$K$1015="","",[2]Entry!$K$1015)</f>
        <v/>
      </c>
      <c r="V1012">
        <f>IF([2]Entry!$L$1015="","",[2]Entry!$L$1015)</f>
        <v/>
      </c>
      <c r="W1012">
        <f>IF([2]Entry!$M$1015="","",[2]Entry!$M$1015)</f>
        <v/>
      </c>
      <c r="X1012">
        <f>IF([2]Entry!$N$1015="","",[2]Entry!$N$1015)</f>
        <v/>
      </c>
      <c r="Y1012">
        <f>IF([2]Entry!$R$1015="","",[2]Entry!$R$1015)</f>
        <v/>
      </c>
    </row>
    <row r="1013">
      <c r="P1013">
        <f>IF([2]Entry!$C$1016="","",[2]Entry!$C$1016)</f>
        <v/>
      </c>
      <c r="Q1013">
        <f>IF([2]Entry!$D$1016="","",[2]Entry!$D$1016)</f>
        <v/>
      </c>
      <c r="R1013">
        <f>IF([2]Entry!$E$1016="","",[2]Entry!$E$1016)</f>
        <v/>
      </c>
      <c r="S1013">
        <f>IF([2]Entry!$G$1016="","",[2]Entry!$G$1016)</f>
        <v/>
      </c>
      <c r="T1013">
        <f>IF([2]Entry!$J$1016="","",[2]Entry!$J$1016)</f>
        <v/>
      </c>
      <c r="U1013">
        <f>IF([2]Entry!$K$1016="","",[2]Entry!$K$1016)</f>
        <v/>
      </c>
      <c r="V1013">
        <f>IF([2]Entry!$L$1016="","",[2]Entry!$L$1016)</f>
        <v/>
      </c>
      <c r="W1013">
        <f>IF([2]Entry!$M$1016="","",[2]Entry!$M$1016)</f>
        <v/>
      </c>
      <c r="X1013">
        <f>IF([2]Entry!$N$1016="","",[2]Entry!$N$1016)</f>
        <v/>
      </c>
      <c r="Y1013">
        <f>IF([2]Entry!$R$1016="","",[2]Entry!$R$1016)</f>
        <v/>
      </c>
    </row>
    <row r="1014">
      <c r="P1014">
        <f>IF([2]Entry!$C$1017="","",[2]Entry!$C$1017)</f>
        <v/>
      </c>
      <c r="Q1014">
        <f>IF([2]Entry!$D$1017="","",[2]Entry!$D$1017)</f>
        <v/>
      </c>
      <c r="R1014">
        <f>IF([2]Entry!$E$1017="","",[2]Entry!$E$1017)</f>
        <v/>
      </c>
      <c r="S1014">
        <f>IF([2]Entry!$G$1017="","",[2]Entry!$G$1017)</f>
        <v/>
      </c>
      <c r="T1014">
        <f>IF([2]Entry!$J$1017="","",[2]Entry!$J$1017)</f>
        <v/>
      </c>
      <c r="U1014">
        <f>IF([2]Entry!$K$1017="","",[2]Entry!$K$1017)</f>
        <v/>
      </c>
      <c r="V1014">
        <f>IF([2]Entry!$L$1017="","",[2]Entry!$L$1017)</f>
        <v/>
      </c>
      <c r="W1014">
        <f>IF([2]Entry!$M$1017="","",[2]Entry!$M$1017)</f>
        <v/>
      </c>
      <c r="X1014">
        <f>IF([2]Entry!$N$1017="","",[2]Entry!$N$1017)</f>
        <v/>
      </c>
      <c r="Y1014">
        <f>IF([2]Entry!$R$1017="","",[2]Entry!$R$1017)</f>
        <v/>
      </c>
    </row>
    <row r="1015">
      <c r="P1015">
        <f>IF([2]Entry!$C$1018="","",[2]Entry!$C$1018)</f>
        <v/>
      </c>
      <c r="Q1015">
        <f>IF([2]Entry!$D$1018="","",[2]Entry!$D$1018)</f>
        <v/>
      </c>
      <c r="R1015">
        <f>IF([2]Entry!$E$1018="","",[2]Entry!$E$1018)</f>
        <v/>
      </c>
      <c r="S1015">
        <f>IF([2]Entry!$G$1018="","",[2]Entry!$G$1018)</f>
        <v/>
      </c>
      <c r="T1015">
        <f>IF([2]Entry!$J$1018="","",[2]Entry!$J$1018)</f>
        <v/>
      </c>
      <c r="U1015">
        <f>IF([2]Entry!$K$1018="","",[2]Entry!$K$1018)</f>
        <v/>
      </c>
      <c r="V1015">
        <f>IF([2]Entry!$L$1018="","",[2]Entry!$L$1018)</f>
        <v/>
      </c>
      <c r="W1015">
        <f>IF([2]Entry!$M$1018="","",[2]Entry!$M$1018)</f>
        <v/>
      </c>
      <c r="X1015">
        <f>IF([2]Entry!$N$1018="","",[2]Entry!$N$1018)</f>
        <v/>
      </c>
      <c r="Y1015">
        <f>IF([2]Entry!$R$1018="","",[2]Entry!$R$1018)</f>
        <v/>
      </c>
    </row>
    <row r="1016">
      <c r="P1016">
        <f>IF([2]Entry!$C$1019="","",[2]Entry!$C$1019)</f>
        <v/>
      </c>
      <c r="Q1016">
        <f>IF([2]Entry!$D$1019="","",[2]Entry!$D$1019)</f>
        <v/>
      </c>
      <c r="R1016">
        <f>IF([2]Entry!$E$1019="","",[2]Entry!$E$1019)</f>
        <v/>
      </c>
      <c r="S1016">
        <f>IF([2]Entry!$G$1019="","",[2]Entry!$G$1019)</f>
        <v/>
      </c>
      <c r="T1016">
        <f>IF([2]Entry!$J$1019="","",[2]Entry!$J$1019)</f>
        <v/>
      </c>
      <c r="U1016">
        <f>IF([2]Entry!$K$1019="","",[2]Entry!$K$1019)</f>
        <v/>
      </c>
      <c r="V1016">
        <f>IF([2]Entry!$L$1019="","",[2]Entry!$L$1019)</f>
        <v/>
      </c>
      <c r="W1016">
        <f>IF([2]Entry!$M$1019="","",[2]Entry!$M$1019)</f>
        <v/>
      </c>
      <c r="X1016">
        <f>IF([2]Entry!$N$1019="","",[2]Entry!$N$1019)</f>
        <v/>
      </c>
      <c r="Y1016">
        <f>IF([2]Entry!$R$1019="","",[2]Entry!$R$1019)</f>
        <v/>
      </c>
    </row>
    <row r="1017">
      <c r="P1017">
        <f>IF([2]Entry!$C$1020="","",[2]Entry!$C$1020)</f>
        <v/>
      </c>
      <c r="Q1017">
        <f>IF([2]Entry!$D$1020="","",[2]Entry!$D$1020)</f>
        <v/>
      </c>
      <c r="R1017">
        <f>IF([2]Entry!$E$1020="","",[2]Entry!$E$1020)</f>
        <v/>
      </c>
      <c r="S1017">
        <f>IF([2]Entry!$G$1020="","",[2]Entry!$G$1020)</f>
        <v/>
      </c>
      <c r="T1017">
        <f>IF([2]Entry!$J$1020="","",[2]Entry!$J$1020)</f>
        <v/>
      </c>
      <c r="U1017">
        <f>IF([2]Entry!$K$1020="","",[2]Entry!$K$1020)</f>
        <v/>
      </c>
      <c r="V1017">
        <f>IF([2]Entry!$L$1020="","",[2]Entry!$L$1020)</f>
        <v/>
      </c>
      <c r="W1017">
        <f>IF([2]Entry!$M$1020="","",[2]Entry!$M$1020)</f>
        <v/>
      </c>
      <c r="X1017">
        <f>IF([2]Entry!$N$1020="","",[2]Entry!$N$1020)</f>
        <v/>
      </c>
      <c r="Y1017">
        <f>IF([2]Entry!$R$1020="","",[2]Entry!$R$1020)</f>
        <v/>
      </c>
    </row>
    <row r="1018">
      <c r="P1018">
        <f>IF([2]Entry!$C$1021="","",[2]Entry!$C$1021)</f>
        <v/>
      </c>
      <c r="Q1018">
        <f>IF([2]Entry!$D$1021="","",[2]Entry!$D$1021)</f>
        <v/>
      </c>
      <c r="R1018">
        <f>IF([2]Entry!$E$1021="","",[2]Entry!$E$1021)</f>
        <v/>
      </c>
      <c r="S1018">
        <f>IF([2]Entry!$G$1021="","",[2]Entry!$G$1021)</f>
        <v/>
      </c>
      <c r="T1018">
        <f>IF([2]Entry!$J$1021="","",[2]Entry!$J$1021)</f>
        <v/>
      </c>
      <c r="U1018">
        <f>IF([2]Entry!$K$1021="","",[2]Entry!$K$1021)</f>
        <v/>
      </c>
      <c r="V1018">
        <f>IF([2]Entry!$L$1021="","",[2]Entry!$L$1021)</f>
        <v/>
      </c>
      <c r="W1018">
        <f>IF([2]Entry!$M$1021="","",[2]Entry!$M$1021)</f>
        <v/>
      </c>
      <c r="X1018">
        <f>IF([2]Entry!$N$1021="","",[2]Entry!$N$1021)</f>
        <v/>
      </c>
      <c r="Y1018">
        <f>IF([2]Entry!$R$1021="","",[2]Entry!$R$1021)</f>
        <v/>
      </c>
    </row>
    <row r="1019">
      <c r="P1019">
        <f>IF([2]Entry!$C$1022="","",[2]Entry!$C$1022)</f>
        <v/>
      </c>
      <c r="Q1019">
        <f>IF([2]Entry!$D$1022="","",[2]Entry!$D$1022)</f>
        <v/>
      </c>
      <c r="R1019">
        <f>IF([2]Entry!$E$1022="","",[2]Entry!$E$1022)</f>
        <v/>
      </c>
      <c r="S1019">
        <f>IF([2]Entry!$G$1022="","",[2]Entry!$G$1022)</f>
        <v/>
      </c>
      <c r="T1019">
        <f>IF([2]Entry!$J$1022="","",[2]Entry!$J$1022)</f>
        <v/>
      </c>
      <c r="U1019">
        <f>IF([2]Entry!$K$1022="","",[2]Entry!$K$1022)</f>
        <v/>
      </c>
      <c r="V1019">
        <f>IF([2]Entry!$L$1022="","",[2]Entry!$L$1022)</f>
        <v/>
      </c>
      <c r="W1019">
        <f>IF([2]Entry!$M$1022="","",[2]Entry!$M$1022)</f>
        <v/>
      </c>
      <c r="X1019">
        <f>IF([2]Entry!$N$1022="","",[2]Entry!$N$1022)</f>
        <v/>
      </c>
      <c r="Y1019">
        <f>IF([2]Entry!$R$1022="","",[2]Entry!$R$1022)</f>
        <v/>
      </c>
    </row>
    <row r="1020">
      <c r="P1020">
        <f>IF([2]Entry!$C$1023="","",[2]Entry!$C$1023)</f>
        <v/>
      </c>
      <c r="Q1020">
        <f>IF([2]Entry!$D$1023="","",[2]Entry!$D$1023)</f>
        <v/>
      </c>
      <c r="R1020">
        <f>IF([2]Entry!$E$1023="","",[2]Entry!$E$1023)</f>
        <v/>
      </c>
      <c r="S1020">
        <f>IF([2]Entry!$G$1023="","",[2]Entry!$G$1023)</f>
        <v/>
      </c>
      <c r="T1020">
        <f>IF([2]Entry!$J$1023="","",[2]Entry!$J$1023)</f>
        <v/>
      </c>
      <c r="U1020">
        <f>IF([2]Entry!$K$1023="","",[2]Entry!$K$1023)</f>
        <v/>
      </c>
      <c r="V1020">
        <f>IF([2]Entry!$L$1023="","",[2]Entry!$L$1023)</f>
        <v/>
      </c>
      <c r="W1020">
        <f>IF([2]Entry!$M$1023="","",[2]Entry!$M$1023)</f>
        <v/>
      </c>
      <c r="X1020">
        <f>IF([2]Entry!$N$1023="","",[2]Entry!$N$1023)</f>
        <v/>
      </c>
      <c r="Y1020">
        <f>IF([2]Entry!$R$1023="","",[2]Entry!$R$1023)</f>
        <v/>
      </c>
    </row>
    <row r="1021">
      <c r="P1021">
        <f>IF([2]Entry!$C$1024="","",[2]Entry!$C$1024)</f>
        <v/>
      </c>
      <c r="Q1021">
        <f>IF([2]Entry!$D$1024="","",[2]Entry!$D$1024)</f>
        <v/>
      </c>
      <c r="R1021">
        <f>IF([2]Entry!$E$1024="","",[2]Entry!$E$1024)</f>
        <v/>
      </c>
      <c r="S1021">
        <f>IF([2]Entry!$G$1024="","",[2]Entry!$G$1024)</f>
        <v/>
      </c>
      <c r="T1021">
        <f>IF([2]Entry!$J$1024="","",[2]Entry!$J$1024)</f>
        <v/>
      </c>
      <c r="U1021">
        <f>IF([2]Entry!$K$1024="","",[2]Entry!$K$1024)</f>
        <v/>
      </c>
      <c r="V1021">
        <f>IF([2]Entry!$L$1024="","",[2]Entry!$L$1024)</f>
        <v/>
      </c>
      <c r="W1021">
        <f>IF([2]Entry!$M$1024="","",[2]Entry!$M$1024)</f>
        <v/>
      </c>
      <c r="X1021">
        <f>IF([2]Entry!$N$1024="","",[2]Entry!$N$1024)</f>
        <v/>
      </c>
      <c r="Y1021">
        <f>IF([2]Entry!$R$1024="","",[2]Entry!$R$1024)</f>
        <v/>
      </c>
    </row>
    <row r="1022">
      <c r="P1022">
        <f>IF([2]Entry!$C$1025="","",[2]Entry!$C$1025)</f>
        <v/>
      </c>
      <c r="Q1022">
        <f>IF([2]Entry!$D$1025="","",[2]Entry!$D$1025)</f>
        <v/>
      </c>
      <c r="R1022">
        <f>IF([2]Entry!$E$1025="","",[2]Entry!$E$1025)</f>
        <v/>
      </c>
      <c r="S1022">
        <f>IF([2]Entry!$G$1025="","",[2]Entry!$G$1025)</f>
        <v/>
      </c>
      <c r="T1022">
        <f>IF([2]Entry!$J$1025="","",[2]Entry!$J$1025)</f>
        <v/>
      </c>
      <c r="U1022">
        <f>IF([2]Entry!$K$1025="","",[2]Entry!$K$1025)</f>
        <v/>
      </c>
      <c r="V1022">
        <f>IF([2]Entry!$L$1025="","",[2]Entry!$L$1025)</f>
        <v/>
      </c>
      <c r="W1022">
        <f>IF([2]Entry!$M$1025="","",[2]Entry!$M$1025)</f>
        <v/>
      </c>
      <c r="X1022">
        <f>IF([2]Entry!$N$1025="","",[2]Entry!$N$1025)</f>
        <v/>
      </c>
      <c r="Y1022">
        <f>IF([2]Entry!$R$1025="","",[2]Entry!$R$1025)</f>
        <v/>
      </c>
    </row>
    <row r="1023">
      <c r="P1023">
        <f>IF([2]Entry!$C$1026="","",[2]Entry!$C$1026)</f>
        <v/>
      </c>
      <c r="Q1023">
        <f>IF([2]Entry!$D$1026="","",[2]Entry!$D$1026)</f>
        <v/>
      </c>
      <c r="R1023">
        <f>IF([2]Entry!$E$1026="","",[2]Entry!$E$1026)</f>
        <v/>
      </c>
      <c r="S1023">
        <f>IF([2]Entry!$G$1026="","",[2]Entry!$G$1026)</f>
        <v/>
      </c>
      <c r="T1023">
        <f>IF([2]Entry!$J$1026="","",[2]Entry!$J$1026)</f>
        <v/>
      </c>
      <c r="U1023">
        <f>IF([2]Entry!$K$1026="","",[2]Entry!$K$1026)</f>
        <v/>
      </c>
      <c r="V1023">
        <f>IF([2]Entry!$L$1026="","",[2]Entry!$L$1026)</f>
        <v/>
      </c>
      <c r="W1023">
        <f>IF([2]Entry!$M$1026="","",[2]Entry!$M$1026)</f>
        <v/>
      </c>
      <c r="X1023">
        <f>IF([2]Entry!$N$1026="","",[2]Entry!$N$1026)</f>
        <v/>
      </c>
      <c r="Y1023">
        <f>IF([2]Entry!$R$1026="","",[2]Entry!$R$1026)</f>
        <v/>
      </c>
    </row>
    <row r="1024">
      <c r="P1024">
        <f>IF([2]Entry!$C$1027="","",[2]Entry!$C$1027)</f>
        <v/>
      </c>
      <c r="Q1024">
        <f>IF([2]Entry!$D$1027="","",[2]Entry!$D$1027)</f>
        <v/>
      </c>
      <c r="R1024">
        <f>IF([2]Entry!$E$1027="","",[2]Entry!$E$1027)</f>
        <v/>
      </c>
      <c r="S1024">
        <f>IF([2]Entry!$G$1027="","",[2]Entry!$G$1027)</f>
        <v/>
      </c>
      <c r="T1024">
        <f>IF([2]Entry!$J$1027="","",[2]Entry!$J$1027)</f>
        <v/>
      </c>
      <c r="U1024">
        <f>IF([2]Entry!$K$1027="","",[2]Entry!$K$1027)</f>
        <v/>
      </c>
      <c r="V1024">
        <f>IF([2]Entry!$L$1027="","",[2]Entry!$L$1027)</f>
        <v/>
      </c>
      <c r="W1024">
        <f>IF([2]Entry!$M$1027="","",[2]Entry!$M$1027)</f>
        <v/>
      </c>
      <c r="X1024">
        <f>IF([2]Entry!$N$1027="","",[2]Entry!$N$1027)</f>
        <v/>
      </c>
      <c r="Y1024">
        <f>IF([2]Entry!$R$1027="","",[2]Entry!$R$1027)</f>
        <v/>
      </c>
    </row>
    <row r="1025">
      <c r="P1025">
        <f>IF([2]Entry!$C$1028="","",[2]Entry!$C$1028)</f>
        <v/>
      </c>
      <c r="Q1025">
        <f>IF([2]Entry!$D$1028="","",[2]Entry!$D$1028)</f>
        <v/>
      </c>
      <c r="R1025">
        <f>IF([2]Entry!$E$1028="","",[2]Entry!$E$1028)</f>
        <v/>
      </c>
      <c r="S1025">
        <f>IF([2]Entry!$G$1028="","",[2]Entry!$G$1028)</f>
        <v/>
      </c>
      <c r="T1025">
        <f>IF([2]Entry!$J$1028="","",[2]Entry!$J$1028)</f>
        <v/>
      </c>
      <c r="U1025">
        <f>IF([2]Entry!$K$1028="","",[2]Entry!$K$1028)</f>
        <v/>
      </c>
      <c r="V1025">
        <f>IF([2]Entry!$L$1028="","",[2]Entry!$L$1028)</f>
        <v/>
      </c>
      <c r="W1025">
        <f>IF([2]Entry!$M$1028="","",[2]Entry!$M$1028)</f>
        <v/>
      </c>
      <c r="X1025">
        <f>IF([2]Entry!$N$1028="","",[2]Entry!$N$1028)</f>
        <v/>
      </c>
      <c r="Y1025">
        <f>IF([2]Entry!$R$1028="","",[2]Entry!$R$1028)</f>
        <v/>
      </c>
    </row>
    <row r="1026">
      <c r="P1026">
        <f>IF([2]Entry!$C$1029="","",[2]Entry!$C$1029)</f>
        <v/>
      </c>
      <c r="Q1026">
        <f>IF([2]Entry!$D$1029="","",[2]Entry!$D$1029)</f>
        <v/>
      </c>
      <c r="R1026">
        <f>IF([2]Entry!$E$1029="","",[2]Entry!$E$1029)</f>
        <v/>
      </c>
      <c r="S1026">
        <f>IF([2]Entry!$G$1029="","",[2]Entry!$G$1029)</f>
        <v/>
      </c>
      <c r="T1026">
        <f>IF([2]Entry!$J$1029="","",[2]Entry!$J$1029)</f>
        <v/>
      </c>
      <c r="U1026">
        <f>IF([2]Entry!$K$1029="","",[2]Entry!$K$1029)</f>
        <v/>
      </c>
      <c r="V1026">
        <f>IF([2]Entry!$L$1029="","",[2]Entry!$L$1029)</f>
        <v/>
      </c>
      <c r="W1026">
        <f>IF([2]Entry!$M$1029="","",[2]Entry!$M$1029)</f>
        <v/>
      </c>
      <c r="X1026">
        <f>IF([2]Entry!$N$1029="","",[2]Entry!$N$1029)</f>
        <v/>
      </c>
      <c r="Y1026">
        <f>IF([2]Entry!$R$1029="","",[2]Entry!$R$1029)</f>
        <v/>
      </c>
    </row>
    <row r="1027">
      <c r="P1027">
        <f>IF([2]Entry!$C$1030="","",[2]Entry!$C$1030)</f>
        <v/>
      </c>
      <c r="Q1027">
        <f>IF([2]Entry!$D$1030="","",[2]Entry!$D$1030)</f>
        <v/>
      </c>
      <c r="R1027">
        <f>IF([2]Entry!$E$1030="","",[2]Entry!$E$1030)</f>
        <v/>
      </c>
      <c r="S1027">
        <f>IF([2]Entry!$G$1030="","",[2]Entry!$G$1030)</f>
        <v/>
      </c>
      <c r="T1027">
        <f>IF([2]Entry!$J$1030="","",[2]Entry!$J$1030)</f>
        <v/>
      </c>
      <c r="U1027">
        <f>IF([2]Entry!$K$1030="","",[2]Entry!$K$1030)</f>
        <v/>
      </c>
      <c r="V1027">
        <f>IF([2]Entry!$L$1030="","",[2]Entry!$L$1030)</f>
        <v/>
      </c>
      <c r="W1027">
        <f>IF([2]Entry!$M$1030="","",[2]Entry!$M$1030)</f>
        <v/>
      </c>
      <c r="X1027">
        <f>IF([2]Entry!$N$1030="","",[2]Entry!$N$1030)</f>
        <v/>
      </c>
      <c r="Y1027">
        <f>IF([2]Entry!$R$1030="","",[2]Entry!$R$1030)</f>
        <v/>
      </c>
    </row>
    <row r="1028">
      <c r="P1028">
        <f>IF([2]Entry!$C$1031="","",[2]Entry!$C$1031)</f>
        <v/>
      </c>
      <c r="Q1028">
        <f>IF([2]Entry!$D$1031="","",[2]Entry!$D$1031)</f>
        <v/>
      </c>
      <c r="R1028">
        <f>IF([2]Entry!$E$1031="","",[2]Entry!$E$1031)</f>
        <v/>
      </c>
      <c r="S1028">
        <f>IF([2]Entry!$G$1031="","",[2]Entry!$G$1031)</f>
        <v/>
      </c>
      <c r="T1028">
        <f>IF([2]Entry!$J$1031="","",[2]Entry!$J$1031)</f>
        <v/>
      </c>
      <c r="U1028">
        <f>IF([2]Entry!$K$1031="","",[2]Entry!$K$1031)</f>
        <v/>
      </c>
      <c r="V1028">
        <f>IF([2]Entry!$L$1031="","",[2]Entry!$L$1031)</f>
        <v/>
      </c>
      <c r="W1028">
        <f>IF([2]Entry!$M$1031="","",[2]Entry!$M$1031)</f>
        <v/>
      </c>
      <c r="X1028">
        <f>IF([2]Entry!$N$1031="","",[2]Entry!$N$1031)</f>
        <v/>
      </c>
      <c r="Y1028">
        <f>IF([2]Entry!$R$1031="","",[2]Entry!$R$1031)</f>
        <v/>
      </c>
    </row>
    <row r="1029">
      <c r="P1029">
        <f>IF([2]Entry!$C$1032="","",[2]Entry!$C$1032)</f>
        <v/>
      </c>
      <c r="Q1029">
        <f>IF([2]Entry!$D$1032="","",[2]Entry!$D$1032)</f>
        <v/>
      </c>
      <c r="R1029">
        <f>IF([2]Entry!$E$1032="","",[2]Entry!$E$1032)</f>
        <v/>
      </c>
      <c r="S1029">
        <f>IF([2]Entry!$G$1032="","",[2]Entry!$G$1032)</f>
        <v/>
      </c>
      <c r="T1029">
        <f>IF([2]Entry!$J$1032="","",[2]Entry!$J$1032)</f>
        <v/>
      </c>
      <c r="U1029">
        <f>IF([2]Entry!$K$1032="","",[2]Entry!$K$1032)</f>
        <v/>
      </c>
      <c r="V1029">
        <f>IF([2]Entry!$L$1032="","",[2]Entry!$L$1032)</f>
        <v/>
      </c>
      <c r="W1029">
        <f>IF([2]Entry!$M$1032="","",[2]Entry!$M$1032)</f>
        <v/>
      </c>
      <c r="X1029">
        <f>IF([2]Entry!$N$1032="","",[2]Entry!$N$1032)</f>
        <v/>
      </c>
      <c r="Y1029">
        <f>IF([2]Entry!$R$1032="","",[2]Entry!$R$1032)</f>
        <v/>
      </c>
    </row>
    <row r="1030">
      <c r="P1030">
        <f>IF([2]Entry!$C$1033="","",[2]Entry!$C$1033)</f>
        <v/>
      </c>
      <c r="Q1030">
        <f>IF([2]Entry!$D$1033="","",[2]Entry!$D$1033)</f>
        <v/>
      </c>
      <c r="R1030">
        <f>IF([2]Entry!$E$1033="","",[2]Entry!$E$1033)</f>
        <v/>
      </c>
      <c r="S1030">
        <f>IF([2]Entry!$G$1033="","",[2]Entry!$G$1033)</f>
        <v/>
      </c>
      <c r="T1030">
        <f>IF([2]Entry!$J$1033="","",[2]Entry!$J$1033)</f>
        <v/>
      </c>
      <c r="U1030">
        <f>IF([2]Entry!$K$1033="","",[2]Entry!$K$1033)</f>
        <v/>
      </c>
      <c r="V1030">
        <f>IF([2]Entry!$L$1033="","",[2]Entry!$L$1033)</f>
        <v/>
      </c>
      <c r="W1030">
        <f>IF([2]Entry!$M$1033="","",[2]Entry!$M$1033)</f>
        <v/>
      </c>
      <c r="X1030">
        <f>IF([2]Entry!$N$1033="","",[2]Entry!$N$1033)</f>
        <v/>
      </c>
      <c r="Y1030">
        <f>IF([2]Entry!$R$1033="","",[2]Entry!$R$1033)</f>
        <v/>
      </c>
    </row>
    <row r="1031">
      <c r="P1031">
        <f>IF([2]Entry!$C$1034="","",[2]Entry!$C$1034)</f>
        <v/>
      </c>
      <c r="Q1031">
        <f>IF([2]Entry!$D$1034="","",[2]Entry!$D$1034)</f>
        <v/>
      </c>
      <c r="R1031">
        <f>IF([2]Entry!$E$1034="","",[2]Entry!$E$1034)</f>
        <v/>
      </c>
      <c r="S1031">
        <f>IF([2]Entry!$G$1034="","",[2]Entry!$G$1034)</f>
        <v/>
      </c>
      <c r="T1031">
        <f>IF([2]Entry!$J$1034="","",[2]Entry!$J$1034)</f>
        <v/>
      </c>
      <c r="U1031">
        <f>IF([2]Entry!$K$1034="","",[2]Entry!$K$1034)</f>
        <v/>
      </c>
      <c r="V1031">
        <f>IF([2]Entry!$L$1034="","",[2]Entry!$L$1034)</f>
        <v/>
      </c>
      <c r="W1031">
        <f>IF([2]Entry!$M$1034="","",[2]Entry!$M$1034)</f>
        <v/>
      </c>
      <c r="X1031">
        <f>IF([2]Entry!$N$1034="","",[2]Entry!$N$1034)</f>
        <v/>
      </c>
      <c r="Y1031">
        <f>IF([2]Entry!$R$1034="","",[2]Entry!$R$1034)</f>
        <v/>
      </c>
    </row>
    <row r="1032">
      <c r="P1032">
        <f>IF([2]Entry!$C$1035="","",[2]Entry!$C$1035)</f>
        <v/>
      </c>
      <c r="Q1032">
        <f>IF([2]Entry!$D$1035="","",[2]Entry!$D$1035)</f>
        <v/>
      </c>
      <c r="R1032">
        <f>IF([2]Entry!$E$1035="","",[2]Entry!$E$1035)</f>
        <v/>
      </c>
      <c r="S1032">
        <f>IF([2]Entry!$G$1035="","",[2]Entry!$G$1035)</f>
        <v/>
      </c>
      <c r="T1032">
        <f>IF([2]Entry!$J$1035="","",[2]Entry!$J$1035)</f>
        <v/>
      </c>
      <c r="U1032">
        <f>IF([2]Entry!$K$1035="","",[2]Entry!$K$1035)</f>
        <v/>
      </c>
      <c r="V1032">
        <f>IF([2]Entry!$L$1035="","",[2]Entry!$L$1035)</f>
        <v/>
      </c>
      <c r="W1032">
        <f>IF([2]Entry!$M$1035="","",[2]Entry!$M$1035)</f>
        <v/>
      </c>
      <c r="X1032">
        <f>IF([2]Entry!$N$1035="","",[2]Entry!$N$1035)</f>
        <v/>
      </c>
      <c r="Y1032">
        <f>IF([2]Entry!$R$1035="","",[2]Entry!$R$1035)</f>
        <v/>
      </c>
    </row>
    <row r="1033">
      <c r="P1033">
        <f>IF([2]Entry!$C$1036="","",[2]Entry!$C$1036)</f>
        <v/>
      </c>
      <c r="Q1033">
        <f>IF([2]Entry!$D$1036="","",[2]Entry!$D$1036)</f>
        <v/>
      </c>
      <c r="R1033">
        <f>IF([2]Entry!$E$1036="","",[2]Entry!$E$1036)</f>
        <v/>
      </c>
      <c r="S1033">
        <f>IF([2]Entry!$G$1036="","",[2]Entry!$G$1036)</f>
        <v/>
      </c>
      <c r="T1033">
        <f>IF([2]Entry!$J$1036="","",[2]Entry!$J$1036)</f>
        <v/>
      </c>
      <c r="U1033">
        <f>IF([2]Entry!$K$1036="","",[2]Entry!$K$1036)</f>
        <v/>
      </c>
      <c r="V1033">
        <f>IF([2]Entry!$L$1036="","",[2]Entry!$L$1036)</f>
        <v/>
      </c>
      <c r="W1033">
        <f>IF([2]Entry!$M$1036="","",[2]Entry!$M$1036)</f>
        <v/>
      </c>
      <c r="X1033">
        <f>IF([2]Entry!$N$1036="","",[2]Entry!$N$1036)</f>
        <v/>
      </c>
      <c r="Y1033">
        <f>IF([2]Entry!$R$1036="","",[2]Entry!$R$1036)</f>
        <v/>
      </c>
    </row>
    <row r="1034">
      <c r="P1034">
        <f>IF([2]Entry!$C$1037="","",[2]Entry!$C$1037)</f>
        <v/>
      </c>
      <c r="Q1034">
        <f>IF([2]Entry!$D$1037="","",[2]Entry!$D$1037)</f>
        <v/>
      </c>
      <c r="R1034">
        <f>IF([2]Entry!$E$1037="","",[2]Entry!$E$1037)</f>
        <v/>
      </c>
      <c r="S1034">
        <f>IF([2]Entry!$G$1037="","",[2]Entry!$G$1037)</f>
        <v/>
      </c>
      <c r="T1034">
        <f>IF([2]Entry!$J$1037="","",[2]Entry!$J$1037)</f>
        <v/>
      </c>
      <c r="U1034">
        <f>IF([2]Entry!$K$1037="","",[2]Entry!$K$1037)</f>
        <v/>
      </c>
      <c r="V1034">
        <f>IF([2]Entry!$L$1037="","",[2]Entry!$L$1037)</f>
        <v/>
      </c>
      <c r="W1034">
        <f>IF([2]Entry!$M$1037="","",[2]Entry!$M$1037)</f>
        <v/>
      </c>
      <c r="X1034">
        <f>IF([2]Entry!$N$1037="","",[2]Entry!$N$1037)</f>
        <v/>
      </c>
      <c r="Y1034">
        <f>IF([2]Entry!$R$1037="","",[2]Entry!$R$1037)</f>
        <v/>
      </c>
    </row>
    <row r="1035">
      <c r="P1035">
        <f>IF([2]Entry!$C$1038="","",[2]Entry!$C$1038)</f>
        <v/>
      </c>
      <c r="Q1035">
        <f>IF([2]Entry!$D$1038="","",[2]Entry!$D$1038)</f>
        <v/>
      </c>
      <c r="R1035">
        <f>IF([2]Entry!$E$1038="","",[2]Entry!$E$1038)</f>
        <v/>
      </c>
      <c r="S1035">
        <f>IF([2]Entry!$G$1038="","",[2]Entry!$G$1038)</f>
        <v/>
      </c>
      <c r="T1035">
        <f>IF([2]Entry!$J$1038="","",[2]Entry!$J$1038)</f>
        <v/>
      </c>
      <c r="U1035">
        <f>IF([2]Entry!$K$1038="","",[2]Entry!$K$1038)</f>
        <v/>
      </c>
      <c r="V1035">
        <f>IF([2]Entry!$L$1038="","",[2]Entry!$L$1038)</f>
        <v/>
      </c>
      <c r="W1035">
        <f>IF([2]Entry!$M$1038="","",[2]Entry!$M$1038)</f>
        <v/>
      </c>
      <c r="X1035">
        <f>IF([2]Entry!$N$1038="","",[2]Entry!$N$1038)</f>
        <v/>
      </c>
      <c r="Y1035">
        <f>IF([2]Entry!$R$1038="","",[2]Entry!$R$1038)</f>
        <v/>
      </c>
    </row>
    <row r="1036">
      <c r="P1036">
        <f>IF([2]Entry!$C$1039="","",[2]Entry!$C$1039)</f>
        <v/>
      </c>
      <c r="Q1036">
        <f>IF([2]Entry!$D$1039="","",[2]Entry!$D$1039)</f>
        <v/>
      </c>
      <c r="R1036">
        <f>IF([2]Entry!$E$1039="","",[2]Entry!$E$1039)</f>
        <v/>
      </c>
      <c r="S1036">
        <f>IF([2]Entry!$G$1039="","",[2]Entry!$G$1039)</f>
        <v/>
      </c>
      <c r="T1036">
        <f>IF([2]Entry!$J$1039="","",[2]Entry!$J$1039)</f>
        <v/>
      </c>
      <c r="U1036">
        <f>IF([2]Entry!$K$1039="","",[2]Entry!$K$1039)</f>
        <v/>
      </c>
      <c r="V1036">
        <f>IF([2]Entry!$L$1039="","",[2]Entry!$L$1039)</f>
        <v/>
      </c>
      <c r="W1036">
        <f>IF([2]Entry!$M$1039="","",[2]Entry!$M$1039)</f>
        <v/>
      </c>
      <c r="X1036">
        <f>IF([2]Entry!$N$1039="","",[2]Entry!$N$1039)</f>
        <v/>
      </c>
      <c r="Y1036">
        <f>IF([2]Entry!$R$1039="","",[2]Entry!$R$1039)</f>
        <v/>
      </c>
    </row>
    <row r="1037">
      <c r="P1037">
        <f>IF([2]Entry!$C$1040="","",[2]Entry!$C$1040)</f>
        <v/>
      </c>
      <c r="Q1037">
        <f>IF([2]Entry!$D$1040="","",[2]Entry!$D$1040)</f>
        <v/>
      </c>
      <c r="R1037">
        <f>IF([2]Entry!$E$1040="","",[2]Entry!$E$1040)</f>
        <v/>
      </c>
      <c r="S1037">
        <f>IF([2]Entry!$G$1040="","",[2]Entry!$G$1040)</f>
        <v/>
      </c>
      <c r="T1037">
        <f>IF([2]Entry!$J$1040="","",[2]Entry!$J$1040)</f>
        <v/>
      </c>
      <c r="U1037">
        <f>IF([2]Entry!$K$1040="","",[2]Entry!$K$1040)</f>
        <v/>
      </c>
      <c r="V1037">
        <f>IF([2]Entry!$L$1040="","",[2]Entry!$L$1040)</f>
        <v/>
      </c>
      <c r="W1037">
        <f>IF([2]Entry!$M$1040="","",[2]Entry!$M$1040)</f>
        <v/>
      </c>
      <c r="X1037">
        <f>IF([2]Entry!$N$1040="","",[2]Entry!$N$1040)</f>
        <v/>
      </c>
      <c r="Y1037">
        <f>IF([2]Entry!$R$1040="","",[2]Entry!$R$1040)</f>
        <v/>
      </c>
    </row>
    <row r="1038">
      <c r="P1038">
        <f>IF([2]Entry!$C$1041="","",[2]Entry!$C$1041)</f>
        <v/>
      </c>
      <c r="Q1038">
        <f>IF([2]Entry!$D$1041="","",[2]Entry!$D$1041)</f>
        <v/>
      </c>
      <c r="R1038">
        <f>IF([2]Entry!$E$1041="","",[2]Entry!$E$1041)</f>
        <v/>
      </c>
      <c r="S1038">
        <f>IF([2]Entry!$G$1041="","",[2]Entry!$G$1041)</f>
        <v/>
      </c>
      <c r="T1038">
        <f>IF([2]Entry!$J$1041="","",[2]Entry!$J$1041)</f>
        <v/>
      </c>
      <c r="U1038">
        <f>IF([2]Entry!$K$1041="","",[2]Entry!$K$1041)</f>
        <v/>
      </c>
      <c r="V1038">
        <f>IF([2]Entry!$L$1041="","",[2]Entry!$L$1041)</f>
        <v/>
      </c>
      <c r="W1038">
        <f>IF([2]Entry!$M$1041="","",[2]Entry!$M$1041)</f>
        <v/>
      </c>
      <c r="X1038">
        <f>IF([2]Entry!$N$1041="","",[2]Entry!$N$1041)</f>
        <v/>
      </c>
      <c r="Y1038">
        <f>IF([2]Entry!$R$1041="","",[2]Entry!$R$1041)</f>
        <v/>
      </c>
    </row>
    <row r="1039">
      <c r="P1039">
        <f>IF([2]Entry!$C$1042="","",[2]Entry!$C$1042)</f>
        <v/>
      </c>
      <c r="Q1039">
        <f>IF([2]Entry!$D$1042="","",[2]Entry!$D$1042)</f>
        <v/>
      </c>
      <c r="R1039">
        <f>IF([2]Entry!$E$1042="","",[2]Entry!$E$1042)</f>
        <v/>
      </c>
      <c r="S1039">
        <f>IF([2]Entry!$G$1042="","",[2]Entry!$G$1042)</f>
        <v/>
      </c>
      <c r="T1039">
        <f>IF([2]Entry!$J$1042="","",[2]Entry!$J$1042)</f>
        <v/>
      </c>
      <c r="U1039">
        <f>IF([2]Entry!$K$1042="","",[2]Entry!$K$1042)</f>
        <v/>
      </c>
      <c r="V1039">
        <f>IF([2]Entry!$L$1042="","",[2]Entry!$L$1042)</f>
        <v/>
      </c>
      <c r="W1039">
        <f>IF([2]Entry!$M$1042="","",[2]Entry!$M$1042)</f>
        <v/>
      </c>
      <c r="X1039">
        <f>IF([2]Entry!$N$1042="","",[2]Entry!$N$1042)</f>
        <v/>
      </c>
      <c r="Y1039">
        <f>IF([2]Entry!$R$1042="","",[2]Entry!$R$1042)</f>
        <v/>
      </c>
    </row>
    <row r="1040">
      <c r="P1040">
        <f>IF([2]Entry!$C$1043="","",[2]Entry!$C$1043)</f>
        <v/>
      </c>
      <c r="Q1040">
        <f>IF([2]Entry!$D$1043="","",[2]Entry!$D$1043)</f>
        <v/>
      </c>
      <c r="R1040">
        <f>IF([2]Entry!$E$1043="","",[2]Entry!$E$1043)</f>
        <v/>
      </c>
      <c r="S1040">
        <f>IF([2]Entry!$G$1043="","",[2]Entry!$G$1043)</f>
        <v/>
      </c>
      <c r="T1040">
        <f>IF([2]Entry!$J$1043="","",[2]Entry!$J$1043)</f>
        <v/>
      </c>
      <c r="U1040">
        <f>IF([2]Entry!$K$1043="","",[2]Entry!$K$1043)</f>
        <v/>
      </c>
      <c r="V1040">
        <f>IF([2]Entry!$L$1043="","",[2]Entry!$L$1043)</f>
        <v/>
      </c>
      <c r="W1040">
        <f>IF([2]Entry!$M$1043="","",[2]Entry!$M$1043)</f>
        <v/>
      </c>
      <c r="X1040">
        <f>IF([2]Entry!$N$1043="","",[2]Entry!$N$1043)</f>
        <v/>
      </c>
      <c r="Y1040">
        <f>IF([2]Entry!$R$1043="","",[2]Entry!$R$1043)</f>
        <v/>
      </c>
    </row>
    <row r="1041">
      <c r="P1041">
        <f>IF([2]Entry!$C$1044="","",[2]Entry!$C$1044)</f>
        <v/>
      </c>
      <c r="Q1041">
        <f>IF([2]Entry!$D$1044="","",[2]Entry!$D$1044)</f>
        <v/>
      </c>
      <c r="R1041">
        <f>IF([2]Entry!$E$1044="","",[2]Entry!$E$1044)</f>
        <v/>
      </c>
      <c r="S1041">
        <f>IF([2]Entry!$G$1044="","",[2]Entry!$G$1044)</f>
        <v/>
      </c>
      <c r="T1041">
        <f>IF([2]Entry!$J$1044="","",[2]Entry!$J$1044)</f>
        <v/>
      </c>
      <c r="U1041">
        <f>IF([2]Entry!$K$1044="","",[2]Entry!$K$1044)</f>
        <v/>
      </c>
      <c r="V1041">
        <f>IF([2]Entry!$L$1044="","",[2]Entry!$L$1044)</f>
        <v/>
      </c>
      <c r="W1041">
        <f>IF([2]Entry!$M$1044="","",[2]Entry!$M$1044)</f>
        <v/>
      </c>
      <c r="X1041">
        <f>IF([2]Entry!$N$1044="","",[2]Entry!$N$1044)</f>
        <v/>
      </c>
      <c r="Y1041">
        <f>IF([2]Entry!$R$1044="","",[2]Entry!$R$1044)</f>
        <v/>
      </c>
    </row>
    <row r="1042">
      <c r="P1042">
        <f>IF([2]Entry!$C$1045="","",[2]Entry!$C$1045)</f>
        <v/>
      </c>
      <c r="Q1042">
        <f>IF([2]Entry!$D$1045="","",[2]Entry!$D$1045)</f>
        <v/>
      </c>
      <c r="R1042">
        <f>IF([2]Entry!$E$1045="","",[2]Entry!$E$1045)</f>
        <v/>
      </c>
      <c r="S1042">
        <f>IF([2]Entry!$G$1045="","",[2]Entry!$G$1045)</f>
        <v/>
      </c>
      <c r="T1042">
        <f>IF([2]Entry!$J$1045="","",[2]Entry!$J$1045)</f>
        <v/>
      </c>
      <c r="U1042">
        <f>IF([2]Entry!$K$1045="","",[2]Entry!$K$1045)</f>
        <v/>
      </c>
      <c r="V1042">
        <f>IF([2]Entry!$L$1045="","",[2]Entry!$L$1045)</f>
        <v/>
      </c>
      <c r="W1042">
        <f>IF([2]Entry!$M$1045="","",[2]Entry!$M$1045)</f>
        <v/>
      </c>
      <c r="X1042">
        <f>IF([2]Entry!$N$1045="","",[2]Entry!$N$1045)</f>
        <v/>
      </c>
      <c r="Y1042">
        <f>IF([2]Entry!$R$1045="","",[2]Entry!$R$1045)</f>
        <v/>
      </c>
    </row>
    <row r="1043">
      <c r="P1043">
        <f>IF([2]Entry!$C$1046="","",[2]Entry!$C$1046)</f>
        <v/>
      </c>
      <c r="Q1043">
        <f>IF([2]Entry!$D$1046="","",[2]Entry!$D$1046)</f>
        <v/>
      </c>
      <c r="R1043">
        <f>IF([2]Entry!$E$1046="","",[2]Entry!$E$1046)</f>
        <v/>
      </c>
      <c r="S1043">
        <f>IF([2]Entry!$G$1046="","",[2]Entry!$G$1046)</f>
        <v/>
      </c>
      <c r="T1043">
        <f>IF([2]Entry!$J$1046="","",[2]Entry!$J$1046)</f>
        <v/>
      </c>
      <c r="U1043">
        <f>IF([2]Entry!$K$1046="","",[2]Entry!$K$1046)</f>
        <v/>
      </c>
      <c r="V1043">
        <f>IF([2]Entry!$L$1046="","",[2]Entry!$L$1046)</f>
        <v/>
      </c>
      <c r="W1043">
        <f>IF([2]Entry!$M$1046="","",[2]Entry!$M$1046)</f>
        <v/>
      </c>
      <c r="X1043">
        <f>IF([2]Entry!$N$1046="","",[2]Entry!$N$1046)</f>
        <v/>
      </c>
      <c r="Y1043">
        <f>IF([2]Entry!$R$1046="","",[2]Entry!$R$1046)</f>
        <v/>
      </c>
    </row>
    <row r="1044">
      <c r="P1044">
        <f>IF([2]Entry!$C$1047="","",[2]Entry!$C$1047)</f>
        <v/>
      </c>
      <c r="Q1044">
        <f>IF([2]Entry!$D$1047="","",[2]Entry!$D$1047)</f>
        <v/>
      </c>
      <c r="R1044">
        <f>IF([2]Entry!$E$1047="","",[2]Entry!$E$1047)</f>
        <v/>
      </c>
      <c r="S1044">
        <f>IF([2]Entry!$G$1047="","",[2]Entry!$G$1047)</f>
        <v/>
      </c>
      <c r="T1044">
        <f>IF([2]Entry!$J$1047="","",[2]Entry!$J$1047)</f>
        <v/>
      </c>
      <c r="U1044">
        <f>IF([2]Entry!$K$1047="","",[2]Entry!$K$1047)</f>
        <v/>
      </c>
      <c r="V1044">
        <f>IF([2]Entry!$L$1047="","",[2]Entry!$L$1047)</f>
        <v/>
      </c>
      <c r="W1044">
        <f>IF([2]Entry!$M$1047="","",[2]Entry!$M$1047)</f>
        <v/>
      </c>
      <c r="X1044">
        <f>IF([2]Entry!$N$1047="","",[2]Entry!$N$1047)</f>
        <v/>
      </c>
      <c r="Y1044">
        <f>IF([2]Entry!$R$1047="","",[2]Entry!$R$1047)</f>
        <v/>
      </c>
    </row>
    <row r="1045">
      <c r="P1045">
        <f>IF([2]Entry!$C$1048="","",[2]Entry!$C$1048)</f>
        <v/>
      </c>
      <c r="Q1045">
        <f>IF([2]Entry!$D$1048="","",[2]Entry!$D$1048)</f>
        <v/>
      </c>
      <c r="R1045">
        <f>IF([2]Entry!$E$1048="","",[2]Entry!$E$1048)</f>
        <v/>
      </c>
      <c r="S1045">
        <f>IF([2]Entry!$G$1048="","",[2]Entry!$G$1048)</f>
        <v/>
      </c>
      <c r="T1045">
        <f>IF([2]Entry!$J$1048="","",[2]Entry!$J$1048)</f>
        <v/>
      </c>
      <c r="U1045">
        <f>IF([2]Entry!$K$1048="","",[2]Entry!$K$1048)</f>
        <v/>
      </c>
      <c r="V1045">
        <f>IF([2]Entry!$L$1048="","",[2]Entry!$L$1048)</f>
        <v/>
      </c>
      <c r="W1045">
        <f>IF([2]Entry!$M$1048="","",[2]Entry!$M$1048)</f>
        <v/>
      </c>
      <c r="X1045">
        <f>IF([2]Entry!$N$1048="","",[2]Entry!$N$1048)</f>
        <v/>
      </c>
      <c r="Y1045">
        <f>IF([2]Entry!$R$1048="","",[2]Entry!$R$1048)</f>
        <v/>
      </c>
    </row>
    <row r="1046">
      <c r="P1046">
        <f>IF([2]Entry!$C$1049="","",[2]Entry!$C$1049)</f>
        <v/>
      </c>
      <c r="Q1046">
        <f>IF([2]Entry!$D$1049="","",[2]Entry!$D$1049)</f>
        <v/>
      </c>
      <c r="R1046">
        <f>IF([2]Entry!$E$1049="","",[2]Entry!$E$1049)</f>
        <v/>
      </c>
      <c r="S1046">
        <f>IF([2]Entry!$G$1049="","",[2]Entry!$G$1049)</f>
        <v/>
      </c>
      <c r="T1046">
        <f>IF([2]Entry!$J$1049="","",[2]Entry!$J$1049)</f>
        <v/>
      </c>
      <c r="U1046">
        <f>IF([2]Entry!$K$1049="","",[2]Entry!$K$1049)</f>
        <v/>
      </c>
      <c r="V1046">
        <f>IF([2]Entry!$L$1049="","",[2]Entry!$L$1049)</f>
        <v/>
      </c>
      <c r="W1046">
        <f>IF([2]Entry!$M$1049="","",[2]Entry!$M$1049)</f>
        <v/>
      </c>
      <c r="X1046">
        <f>IF([2]Entry!$N$1049="","",[2]Entry!$N$1049)</f>
        <v/>
      </c>
      <c r="Y1046">
        <f>IF([2]Entry!$R$1049="","",[2]Entry!$R$1049)</f>
        <v/>
      </c>
    </row>
    <row r="1047">
      <c r="P1047">
        <f>IF([2]Entry!$C$1050="","",[2]Entry!$C$1050)</f>
        <v/>
      </c>
      <c r="Q1047">
        <f>IF([2]Entry!$D$1050="","",[2]Entry!$D$1050)</f>
        <v/>
      </c>
      <c r="R1047">
        <f>IF([2]Entry!$E$1050="","",[2]Entry!$E$1050)</f>
        <v/>
      </c>
      <c r="S1047">
        <f>IF([2]Entry!$G$1050="","",[2]Entry!$G$1050)</f>
        <v/>
      </c>
      <c r="T1047">
        <f>IF([2]Entry!$J$1050="","",[2]Entry!$J$1050)</f>
        <v/>
      </c>
      <c r="U1047">
        <f>IF([2]Entry!$K$1050="","",[2]Entry!$K$1050)</f>
        <v/>
      </c>
      <c r="V1047">
        <f>IF([2]Entry!$L$1050="","",[2]Entry!$L$1050)</f>
        <v/>
      </c>
      <c r="W1047">
        <f>IF([2]Entry!$M$1050="","",[2]Entry!$M$1050)</f>
        <v/>
      </c>
      <c r="X1047">
        <f>IF([2]Entry!$N$1050="","",[2]Entry!$N$1050)</f>
        <v/>
      </c>
      <c r="Y1047">
        <f>IF([2]Entry!$R$1050="","",[2]Entry!$R$1050)</f>
        <v/>
      </c>
    </row>
    <row r="1048">
      <c r="P1048">
        <f>IF([2]Entry!$C$1051="","",[2]Entry!$C$1051)</f>
        <v/>
      </c>
      <c r="Q1048">
        <f>IF([2]Entry!$D$1051="","",[2]Entry!$D$1051)</f>
        <v/>
      </c>
      <c r="R1048">
        <f>IF([2]Entry!$E$1051="","",[2]Entry!$E$1051)</f>
        <v/>
      </c>
      <c r="S1048">
        <f>IF([2]Entry!$G$1051="","",[2]Entry!$G$1051)</f>
        <v/>
      </c>
      <c r="T1048">
        <f>IF([2]Entry!$J$1051="","",[2]Entry!$J$1051)</f>
        <v/>
      </c>
      <c r="U1048">
        <f>IF([2]Entry!$K$1051="","",[2]Entry!$K$1051)</f>
        <v/>
      </c>
      <c r="V1048">
        <f>IF([2]Entry!$L$1051="","",[2]Entry!$L$1051)</f>
        <v/>
      </c>
      <c r="W1048">
        <f>IF([2]Entry!$M$1051="","",[2]Entry!$M$1051)</f>
        <v/>
      </c>
      <c r="X1048">
        <f>IF([2]Entry!$N$1051="","",[2]Entry!$N$1051)</f>
        <v/>
      </c>
      <c r="Y1048">
        <f>IF([2]Entry!$R$1051="","",[2]Entry!$R$1051)</f>
        <v/>
      </c>
    </row>
    <row r="1049">
      <c r="P1049">
        <f>IF([2]Entry!$C$1052="","",[2]Entry!$C$1052)</f>
        <v/>
      </c>
      <c r="Q1049">
        <f>IF([2]Entry!$D$1052="","",[2]Entry!$D$1052)</f>
        <v/>
      </c>
      <c r="R1049">
        <f>IF([2]Entry!$E$1052="","",[2]Entry!$E$1052)</f>
        <v/>
      </c>
      <c r="S1049">
        <f>IF([2]Entry!$G$1052="","",[2]Entry!$G$1052)</f>
        <v/>
      </c>
      <c r="T1049">
        <f>IF([2]Entry!$J$1052="","",[2]Entry!$J$1052)</f>
        <v/>
      </c>
      <c r="U1049">
        <f>IF([2]Entry!$K$1052="","",[2]Entry!$K$1052)</f>
        <v/>
      </c>
      <c r="V1049">
        <f>IF([2]Entry!$L$1052="","",[2]Entry!$L$1052)</f>
        <v/>
      </c>
      <c r="W1049">
        <f>IF([2]Entry!$M$1052="","",[2]Entry!$M$1052)</f>
        <v/>
      </c>
      <c r="X1049">
        <f>IF([2]Entry!$N$1052="","",[2]Entry!$N$1052)</f>
        <v/>
      </c>
      <c r="Y1049">
        <f>IF([2]Entry!$R$1052="","",[2]Entry!$R$1052)</f>
        <v/>
      </c>
    </row>
    <row r="1050">
      <c r="P1050">
        <f>IF([2]Entry!$C$1053="","",[2]Entry!$C$1053)</f>
        <v/>
      </c>
      <c r="Q1050">
        <f>IF([2]Entry!$D$1053="","",[2]Entry!$D$1053)</f>
        <v/>
      </c>
      <c r="R1050">
        <f>IF([2]Entry!$E$1053="","",[2]Entry!$E$1053)</f>
        <v/>
      </c>
      <c r="S1050">
        <f>IF([2]Entry!$G$1053="","",[2]Entry!$G$1053)</f>
        <v/>
      </c>
      <c r="T1050">
        <f>IF([2]Entry!$J$1053="","",[2]Entry!$J$1053)</f>
        <v/>
      </c>
      <c r="U1050">
        <f>IF([2]Entry!$K$1053="","",[2]Entry!$K$1053)</f>
        <v/>
      </c>
      <c r="V1050">
        <f>IF([2]Entry!$L$1053="","",[2]Entry!$L$1053)</f>
        <v/>
      </c>
      <c r="W1050">
        <f>IF([2]Entry!$M$1053="","",[2]Entry!$M$1053)</f>
        <v/>
      </c>
      <c r="X1050">
        <f>IF([2]Entry!$N$1053="","",[2]Entry!$N$1053)</f>
        <v/>
      </c>
      <c r="Y1050">
        <f>IF([2]Entry!$R$1053="","",[2]Entry!$R$1053)</f>
        <v/>
      </c>
    </row>
    <row r="1051">
      <c r="P1051">
        <f>IF([2]Entry!$C$1054="","",[2]Entry!$C$1054)</f>
        <v/>
      </c>
      <c r="Q1051">
        <f>IF([2]Entry!$D$1054="","",[2]Entry!$D$1054)</f>
        <v/>
      </c>
      <c r="R1051">
        <f>IF([2]Entry!$E$1054="","",[2]Entry!$E$1054)</f>
        <v/>
      </c>
      <c r="S1051">
        <f>IF([2]Entry!$G$1054="","",[2]Entry!$G$1054)</f>
        <v/>
      </c>
      <c r="T1051">
        <f>IF([2]Entry!$J$1054="","",[2]Entry!$J$1054)</f>
        <v/>
      </c>
      <c r="U1051">
        <f>IF([2]Entry!$K$1054="","",[2]Entry!$K$1054)</f>
        <v/>
      </c>
      <c r="V1051">
        <f>IF([2]Entry!$L$1054="","",[2]Entry!$L$1054)</f>
        <v/>
      </c>
      <c r="W1051">
        <f>IF([2]Entry!$M$1054="","",[2]Entry!$M$1054)</f>
        <v/>
      </c>
      <c r="X1051">
        <f>IF([2]Entry!$N$1054="","",[2]Entry!$N$1054)</f>
        <v/>
      </c>
      <c r="Y1051">
        <f>IF([2]Entry!$R$1054="","",[2]Entry!$R$1054)</f>
        <v/>
      </c>
    </row>
    <row r="1052">
      <c r="P1052">
        <f>IF([2]Entry!$C$1055="","",[2]Entry!$C$1055)</f>
        <v/>
      </c>
      <c r="Q1052">
        <f>IF([2]Entry!$D$1055="","",[2]Entry!$D$1055)</f>
        <v/>
      </c>
      <c r="R1052">
        <f>IF([2]Entry!$E$1055="","",[2]Entry!$E$1055)</f>
        <v/>
      </c>
      <c r="S1052">
        <f>IF([2]Entry!$G$1055="","",[2]Entry!$G$1055)</f>
        <v/>
      </c>
      <c r="T1052">
        <f>IF([2]Entry!$J$1055="","",[2]Entry!$J$1055)</f>
        <v/>
      </c>
      <c r="U1052">
        <f>IF([2]Entry!$K$1055="","",[2]Entry!$K$1055)</f>
        <v/>
      </c>
      <c r="V1052">
        <f>IF([2]Entry!$L$1055="","",[2]Entry!$L$1055)</f>
        <v/>
      </c>
      <c r="W1052">
        <f>IF([2]Entry!$M$1055="","",[2]Entry!$M$1055)</f>
        <v/>
      </c>
      <c r="X1052">
        <f>IF([2]Entry!$N$1055="","",[2]Entry!$N$1055)</f>
        <v/>
      </c>
      <c r="Y1052">
        <f>IF([2]Entry!$R$1055="","",[2]Entry!$R$1055)</f>
        <v/>
      </c>
    </row>
    <row r="1053">
      <c r="P1053">
        <f>IF([2]Entry!$C$1056="","",[2]Entry!$C$1056)</f>
        <v/>
      </c>
      <c r="Q1053">
        <f>IF([2]Entry!$D$1056="","",[2]Entry!$D$1056)</f>
        <v/>
      </c>
      <c r="R1053">
        <f>IF([2]Entry!$E$1056="","",[2]Entry!$E$1056)</f>
        <v/>
      </c>
      <c r="S1053">
        <f>IF([2]Entry!$G$1056="","",[2]Entry!$G$1056)</f>
        <v/>
      </c>
      <c r="T1053">
        <f>IF([2]Entry!$J$1056="","",[2]Entry!$J$1056)</f>
        <v/>
      </c>
      <c r="U1053">
        <f>IF([2]Entry!$K$1056="","",[2]Entry!$K$1056)</f>
        <v/>
      </c>
      <c r="V1053">
        <f>IF([2]Entry!$L$1056="","",[2]Entry!$L$1056)</f>
        <v/>
      </c>
      <c r="W1053">
        <f>IF([2]Entry!$M$1056="","",[2]Entry!$M$1056)</f>
        <v/>
      </c>
      <c r="X1053">
        <f>IF([2]Entry!$N$1056="","",[2]Entry!$N$1056)</f>
        <v/>
      </c>
      <c r="Y1053">
        <f>IF([2]Entry!$R$1056="","",[2]Entry!$R$1056)</f>
        <v/>
      </c>
    </row>
    <row r="1054">
      <c r="P1054">
        <f>IF([2]Entry!$C$1057="","",[2]Entry!$C$1057)</f>
        <v/>
      </c>
      <c r="Q1054">
        <f>IF([2]Entry!$D$1057="","",[2]Entry!$D$1057)</f>
        <v/>
      </c>
      <c r="R1054">
        <f>IF([2]Entry!$E$1057="","",[2]Entry!$E$1057)</f>
        <v/>
      </c>
      <c r="S1054">
        <f>IF([2]Entry!$G$1057="","",[2]Entry!$G$1057)</f>
        <v/>
      </c>
      <c r="T1054">
        <f>IF([2]Entry!$J$1057="","",[2]Entry!$J$1057)</f>
        <v/>
      </c>
      <c r="U1054">
        <f>IF([2]Entry!$K$1057="","",[2]Entry!$K$1057)</f>
        <v/>
      </c>
      <c r="V1054">
        <f>IF([2]Entry!$L$1057="","",[2]Entry!$L$1057)</f>
        <v/>
      </c>
      <c r="W1054">
        <f>IF([2]Entry!$M$1057="","",[2]Entry!$M$1057)</f>
        <v/>
      </c>
      <c r="X1054">
        <f>IF([2]Entry!$N$1057="","",[2]Entry!$N$1057)</f>
        <v/>
      </c>
      <c r="Y1054">
        <f>IF([2]Entry!$R$1057="","",[2]Entry!$R$1057)</f>
        <v/>
      </c>
    </row>
    <row r="1055">
      <c r="P1055">
        <f>IF([2]Entry!$C$1058="","",[2]Entry!$C$1058)</f>
        <v/>
      </c>
      <c r="Q1055">
        <f>IF([2]Entry!$D$1058="","",[2]Entry!$D$1058)</f>
        <v/>
      </c>
      <c r="R1055">
        <f>IF([2]Entry!$E$1058="","",[2]Entry!$E$1058)</f>
        <v/>
      </c>
      <c r="S1055">
        <f>IF([2]Entry!$G$1058="","",[2]Entry!$G$1058)</f>
        <v/>
      </c>
      <c r="T1055">
        <f>IF([2]Entry!$J$1058="","",[2]Entry!$J$1058)</f>
        <v/>
      </c>
      <c r="U1055">
        <f>IF([2]Entry!$K$1058="","",[2]Entry!$K$1058)</f>
        <v/>
      </c>
      <c r="V1055">
        <f>IF([2]Entry!$L$1058="","",[2]Entry!$L$1058)</f>
        <v/>
      </c>
      <c r="W1055">
        <f>IF([2]Entry!$M$1058="","",[2]Entry!$M$1058)</f>
        <v/>
      </c>
      <c r="X1055">
        <f>IF([2]Entry!$N$1058="","",[2]Entry!$N$1058)</f>
        <v/>
      </c>
      <c r="Y1055">
        <f>IF([2]Entry!$R$1058="","",[2]Entry!$R$1058)</f>
        <v/>
      </c>
    </row>
    <row r="1056">
      <c r="P1056">
        <f>IF([2]Entry!$C$1059="","",[2]Entry!$C$1059)</f>
        <v/>
      </c>
      <c r="Q1056">
        <f>IF([2]Entry!$D$1059="","",[2]Entry!$D$1059)</f>
        <v/>
      </c>
      <c r="R1056">
        <f>IF([2]Entry!$E$1059="","",[2]Entry!$E$1059)</f>
        <v/>
      </c>
      <c r="S1056">
        <f>IF([2]Entry!$G$1059="","",[2]Entry!$G$1059)</f>
        <v/>
      </c>
      <c r="T1056">
        <f>IF([2]Entry!$J$1059="","",[2]Entry!$J$1059)</f>
        <v/>
      </c>
      <c r="U1056">
        <f>IF([2]Entry!$K$1059="","",[2]Entry!$K$1059)</f>
        <v/>
      </c>
      <c r="V1056">
        <f>IF([2]Entry!$L$1059="","",[2]Entry!$L$1059)</f>
        <v/>
      </c>
      <c r="W1056">
        <f>IF([2]Entry!$M$1059="","",[2]Entry!$M$1059)</f>
        <v/>
      </c>
      <c r="X1056">
        <f>IF([2]Entry!$N$1059="","",[2]Entry!$N$1059)</f>
        <v/>
      </c>
      <c r="Y1056">
        <f>IF([2]Entry!$R$1059="","",[2]Entry!$R$1059)</f>
        <v/>
      </c>
    </row>
    <row r="1057">
      <c r="P1057">
        <f>IF([2]Entry!$C$1060="","",[2]Entry!$C$1060)</f>
        <v/>
      </c>
      <c r="Q1057">
        <f>IF([2]Entry!$D$1060="","",[2]Entry!$D$1060)</f>
        <v/>
      </c>
      <c r="R1057">
        <f>IF([2]Entry!$E$1060="","",[2]Entry!$E$1060)</f>
        <v/>
      </c>
      <c r="S1057">
        <f>IF([2]Entry!$G$1060="","",[2]Entry!$G$1060)</f>
        <v/>
      </c>
      <c r="T1057">
        <f>IF([2]Entry!$J$1060="","",[2]Entry!$J$1060)</f>
        <v/>
      </c>
      <c r="U1057">
        <f>IF([2]Entry!$K$1060="","",[2]Entry!$K$1060)</f>
        <v/>
      </c>
      <c r="V1057">
        <f>IF([2]Entry!$L$1060="","",[2]Entry!$L$1060)</f>
        <v/>
      </c>
      <c r="W1057">
        <f>IF([2]Entry!$M$1060="","",[2]Entry!$M$1060)</f>
        <v/>
      </c>
      <c r="X1057">
        <f>IF([2]Entry!$N$1060="","",[2]Entry!$N$1060)</f>
        <v/>
      </c>
      <c r="Y1057">
        <f>IF([2]Entry!$R$1060="","",[2]Entry!$R$1060)</f>
        <v/>
      </c>
    </row>
    <row r="1058">
      <c r="P1058">
        <f>IF([2]Entry!$C$1061="","",[2]Entry!$C$1061)</f>
        <v/>
      </c>
      <c r="Q1058">
        <f>IF([2]Entry!$D$1061="","",[2]Entry!$D$1061)</f>
        <v/>
      </c>
      <c r="R1058">
        <f>IF([2]Entry!$E$1061="","",[2]Entry!$E$1061)</f>
        <v/>
      </c>
      <c r="S1058">
        <f>IF([2]Entry!$G$1061="","",[2]Entry!$G$1061)</f>
        <v/>
      </c>
      <c r="T1058">
        <f>IF([2]Entry!$J$1061="","",[2]Entry!$J$1061)</f>
        <v/>
      </c>
      <c r="U1058">
        <f>IF([2]Entry!$K$1061="","",[2]Entry!$K$1061)</f>
        <v/>
      </c>
      <c r="V1058">
        <f>IF([2]Entry!$L$1061="","",[2]Entry!$L$1061)</f>
        <v/>
      </c>
      <c r="W1058">
        <f>IF([2]Entry!$M$1061="","",[2]Entry!$M$1061)</f>
        <v/>
      </c>
      <c r="X1058">
        <f>IF([2]Entry!$N$1061="","",[2]Entry!$N$1061)</f>
        <v/>
      </c>
      <c r="Y1058">
        <f>IF([2]Entry!$R$1061="","",[2]Entry!$R$1061)</f>
        <v/>
      </c>
    </row>
    <row r="1059">
      <c r="P1059">
        <f>IF([2]Entry!$C$1062="","",[2]Entry!$C$1062)</f>
        <v/>
      </c>
      <c r="Q1059">
        <f>IF([2]Entry!$D$1062="","",[2]Entry!$D$1062)</f>
        <v/>
      </c>
      <c r="R1059">
        <f>IF([2]Entry!$E$1062="","",[2]Entry!$E$1062)</f>
        <v/>
      </c>
      <c r="S1059">
        <f>IF([2]Entry!$G$1062="","",[2]Entry!$G$1062)</f>
        <v/>
      </c>
      <c r="T1059">
        <f>IF([2]Entry!$J$1062="","",[2]Entry!$J$1062)</f>
        <v/>
      </c>
      <c r="U1059">
        <f>IF([2]Entry!$K$1062="","",[2]Entry!$K$1062)</f>
        <v/>
      </c>
      <c r="V1059">
        <f>IF([2]Entry!$L$1062="","",[2]Entry!$L$1062)</f>
        <v/>
      </c>
      <c r="W1059">
        <f>IF([2]Entry!$M$1062="","",[2]Entry!$M$1062)</f>
        <v/>
      </c>
      <c r="X1059">
        <f>IF([2]Entry!$N$1062="","",[2]Entry!$N$1062)</f>
        <v/>
      </c>
      <c r="Y1059">
        <f>IF([2]Entry!$R$1062="","",[2]Entry!$R$1062)</f>
        <v/>
      </c>
    </row>
    <row r="1060">
      <c r="P1060">
        <f>IF([2]Entry!$C$1063="","",[2]Entry!$C$1063)</f>
        <v/>
      </c>
      <c r="Q1060">
        <f>IF([2]Entry!$D$1063="","",[2]Entry!$D$1063)</f>
        <v/>
      </c>
      <c r="R1060">
        <f>IF([2]Entry!$E$1063="","",[2]Entry!$E$1063)</f>
        <v/>
      </c>
      <c r="S1060">
        <f>IF([2]Entry!$G$1063="","",[2]Entry!$G$1063)</f>
        <v/>
      </c>
      <c r="T1060">
        <f>IF([2]Entry!$J$1063="","",[2]Entry!$J$1063)</f>
        <v/>
      </c>
      <c r="U1060">
        <f>IF([2]Entry!$K$1063="","",[2]Entry!$K$1063)</f>
        <v/>
      </c>
      <c r="V1060">
        <f>IF([2]Entry!$L$1063="","",[2]Entry!$L$1063)</f>
        <v/>
      </c>
      <c r="W1060">
        <f>IF([2]Entry!$M$1063="","",[2]Entry!$M$1063)</f>
        <v/>
      </c>
      <c r="X1060">
        <f>IF([2]Entry!$N$1063="","",[2]Entry!$N$1063)</f>
        <v/>
      </c>
      <c r="Y1060">
        <f>IF([2]Entry!$R$1063="","",[2]Entry!$R$1063)</f>
        <v/>
      </c>
    </row>
    <row r="1061">
      <c r="P1061">
        <f>IF([2]Entry!$C$1064="","",[2]Entry!$C$1064)</f>
        <v/>
      </c>
      <c r="Q1061">
        <f>IF([2]Entry!$D$1064="","",[2]Entry!$D$1064)</f>
        <v/>
      </c>
      <c r="R1061">
        <f>IF([2]Entry!$E$1064="","",[2]Entry!$E$1064)</f>
        <v/>
      </c>
      <c r="S1061">
        <f>IF([2]Entry!$G$1064="","",[2]Entry!$G$1064)</f>
        <v/>
      </c>
      <c r="T1061">
        <f>IF([2]Entry!$J$1064="","",[2]Entry!$J$1064)</f>
        <v/>
      </c>
      <c r="U1061">
        <f>IF([2]Entry!$K$1064="","",[2]Entry!$K$1064)</f>
        <v/>
      </c>
      <c r="V1061">
        <f>IF([2]Entry!$L$1064="","",[2]Entry!$L$1064)</f>
        <v/>
      </c>
      <c r="W1061">
        <f>IF([2]Entry!$M$1064="","",[2]Entry!$M$1064)</f>
        <v/>
      </c>
      <c r="X1061">
        <f>IF([2]Entry!$N$1064="","",[2]Entry!$N$1064)</f>
        <v/>
      </c>
      <c r="Y1061">
        <f>IF([2]Entry!$R$1064="","",[2]Entry!$R$1064)</f>
        <v/>
      </c>
    </row>
    <row r="1062">
      <c r="P1062">
        <f>IF([2]Entry!$C$1065="","",[2]Entry!$C$1065)</f>
        <v/>
      </c>
      <c r="Q1062">
        <f>IF([2]Entry!$D$1065="","",[2]Entry!$D$1065)</f>
        <v/>
      </c>
      <c r="R1062">
        <f>IF([2]Entry!$E$1065="","",[2]Entry!$E$1065)</f>
        <v/>
      </c>
      <c r="S1062">
        <f>IF([2]Entry!$G$1065="","",[2]Entry!$G$1065)</f>
        <v/>
      </c>
      <c r="T1062">
        <f>IF([2]Entry!$J$1065="","",[2]Entry!$J$1065)</f>
        <v/>
      </c>
      <c r="U1062">
        <f>IF([2]Entry!$K$1065="","",[2]Entry!$K$1065)</f>
        <v/>
      </c>
      <c r="V1062">
        <f>IF([2]Entry!$L$1065="","",[2]Entry!$L$1065)</f>
        <v/>
      </c>
      <c r="W1062">
        <f>IF([2]Entry!$M$1065="","",[2]Entry!$M$1065)</f>
        <v/>
      </c>
      <c r="X1062">
        <f>IF([2]Entry!$N$1065="","",[2]Entry!$N$1065)</f>
        <v/>
      </c>
      <c r="Y1062">
        <f>IF([2]Entry!$R$1065="","",[2]Entry!$R$1065)</f>
        <v/>
      </c>
    </row>
    <row r="1063">
      <c r="P1063">
        <f>IF([2]Entry!$C$1066="","",[2]Entry!$C$1066)</f>
        <v/>
      </c>
      <c r="Q1063">
        <f>IF([2]Entry!$D$1066="","",[2]Entry!$D$1066)</f>
        <v/>
      </c>
      <c r="R1063">
        <f>IF([2]Entry!$E$1066="","",[2]Entry!$E$1066)</f>
        <v/>
      </c>
      <c r="S1063">
        <f>IF([2]Entry!$G$1066="","",[2]Entry!$G$1066)</f>
        <v/>
      </c>
      <c r="T1063">
        <f>IF([2]Entry!$J$1066="","",[2]Entry!$J$1066)</f>
        <v/>
      </c>
      <c r="U1063">
        <f>IF([2]Entry!$K$1066="","",[2]Entry!$K$1066)</f>
        <v/>
      </c>
      <c r="V1063">
        <f>IF([2]Entry!$L$1066="","",[2]Entry!$L$1066)</f>
        <v/>
      </c>
      <c r="W1063">
        <f>IF([2]Entry!$M$1066="","",[2]Entry!$M$1066)</f>
        <v/>
      </c>
      <c r="X1063">
        <f>IF([2]Entry!$N$1066="","",[2]Entry!$N$1066)</f>
        <v/>
      </c>
      <c r="Y1063">
        <f>IF([2]Entry!$R$1066="","",[2]Entry!$R$1066)</f>
        <v/>
      </c>
    </row>
    <row r="1064">
      <c r="P1064">
        <f>IF([2]Entry!$C$1067="","",[2]Entry!$C$1067)</f>
        <v/>
      </c>
      <c r="Q1064">
        <f>IF([2]Entry!$D$1067="","",[2]Entry!$D$1067)</f>
        <v/>
      </c>
      <c r="R1064">
        <f>IF([2]Entry!$E$1067="","",[2]Entry!$E$1067)</f>
        <v/>
      </c>
      <c r="S1064">
        <f>IF([2]Entry!$G$1067="","",[2]Entry!$G$1067)</f>
        <v/>
      </c>
      <c r="T1064">
        <f>IF([2]Entry!$J$1067="","",[2]Entry!$J$1067)</f>
        <v/>
      </c>
      <c r="U1064">
        <f>IF([2]Entry!$K$1067="","",[2]Entry!$K$1067)</f>
        <v/>
      </c>
      <c r="V1064">
        <f>IF([2]Entry!$L$1067="","",[2]Entry!$L$1067)</f>
        <v/>
      </c>
      <c r="W1064">
        <f>IF([2]Entry!$M$1067="","",[2]Entry!$M$1067)</f>
        <v/>
      </c>
      <c r="X1064">
        <f>IF([2]Entry!$N$1067="","",[2]Entry!$N$1067)</f>
        <v/>
      </c>
      <c r="Y1064">
        <f>IF([2]Entry!$R$1067="","",[2]Entry!$R$1067)</f>
        <v/>
      </c>
    </row>
    <row r="1065">
      <c r="P1065">
        <f>IF([2]Entry!$C$1068="","",[2]Entry!$C$1068)</f>
        <v/>
      </c>
      <c r="Q1065">
        <f>IF([2]Entry!$D$1068="","",[2]Entry!$D$1068)</f>
        <v/>
      </c>
      <c r="R1065">
        <f>IF([2]Entry!$E$1068="","",[2]Entry!$E$1068)</f>
        <v/>
      </c>
      <c r="S1065">
        <f>IF([2]Entry!$G$1068="","",[2]Entry!$G$1068)</f>
        <v/>
      </c>
      <c r="T1065">
        <f>IF([2]Entry!$J$1068="","",[2]Entry!$J$1068)</f>
        <v/>
      </c>
      <c r="U1065">
        <f>IF([2]Entry!$K$1068="","",[2]Entry!$K$1068)</f>
        <v/>
      </c>
      <c r="V1065">
        <f>IF([2]Entry!$L$1068="","",[2]Entry!$L$1068)</f>
        <v/>
      </c>
      <c r="W1065">
        <f>IF([2]Entry!$M$1068="","",[2]Entry!$M$1068)</f>
        <v/>
      </c>
      <c r="X1065">
        <f>IF([2]Entry!$N$1068="","",[2]Entry!$N$1068)</f>
        <v/>
      </c>
      <c r="Y1065">
        <f>IF([2]Entry!$R$1068="","",[2]Entry!$R$1068)</f>
        <v/>
      </c>
    </row>
    <row r="1066">
      <c r="P1066">
        <f>IF([2]Entry!$C$1069="","",[2]Entry!$C$1069)</f>
        <v/>
      </c>
      <c r="Q1066">
        <f>IF([2]Entry!$D$1069="","",[2]Entry!$D$1069)</f>
        <v/>
      </c>
      <c r="R1066">
        <f>IF([2]Entry!$E$1069="","",[2]Entry!$E$1069)</f>
        <v/>
      </c>
      <c r="S1066">
        <f>IF([2]Entry!$G$1069="","",[2]Entry!$G$1069)</f>
        <v/>
      </c>
      <c r="T1066">
        <f>IF([2]Entry!$J$1069="","",[2]Entry!$J$1069)</f>
        <v/>
      </c>
      <c r="U1066">
        <f>IF([2]Entry!$K$1069="","",[2]Entry!$K$1069)</f>
        <v/>
      </c>
      <c r="V1066">
        <f>IF([2]Entry!$L$1069="","",[2]Entry!$L$1069)</f>
        <v/>
      </c>
      <c r="W1066">
        <f>IF([2]Entry!$M$1069="","",[2]Entry!$M$1069)</f>
        <v/>
      </c>
      <c r="X1066">
        <f>IF([2]Entry!$N$1069="","",[2]Entry!$N$1069)</f>
        <v/>
      </c>
      <c r="Y1066">
        <f>IF([2]Entry!$R$1069="","",[2]Entry!$R$1069)</f>
        <v/>
      </c>
    </row>
    <row r="1067">
      <c r="P1067">
        <f>IF([2]Entry!$C$1070="","",[2]Entry!$C$1070)</f>
        <v/>
      </c>
      <c r="Q1067">
        <f>IF([2]Entry!$D$1070="","",[2]Entry!$D$1070)</f>
        <v/>
      </c>
      <c r="R1067">
        <f>IF([2]Entry!$E$1070="","",[2]Entry!$E$1070)</f>
        <v/>
      </c>
      <c r="S1067">
        <f>IF([2]Entry!$G$1070="","",[2]Entry!$G$1070)</f>
        <v/>
      </c>
      <c r="T1067">
        <f>IF([2]Entry!$J$1070="","",[2]Entry!$J$1070)</f>
        <v/>
      </c>
      <c r="U1067">
        <f>IF([2]Entry!$K$1070="","",[2]Entry!$K$1070)</f>
        <v/>
      </c>
      <c r="V1067">
        <f>IF([2]Entry!$L$1070="","",[2]Entry!$L$1070)</f>
        <v/>
      </c>
      <c r="W1067">
        <f>IF([2]Entry!$M$1070="","",[2]Entry!$M$1070)</f>
        <v/>
      </c>
      <c r="X1067">
        <f>IF([2]Entry!$N$1070="","",[2]Entry!$N$1070)</f>
        <v/>
      </c>
      <c r="Y1067">
        <f>IF([2]Entry!$R$1070="","",[2]Entry!$R$1070)</f>
        <v/>
      </c>
    </row>
    <row r="1068">
      <c r="P1068">
        <f>IF([2]Entry!$C$1071="","",[2]Entry!$C$1071)</f>
        <v/>
      </c>
      <c r="Q1068">
        <f>IF([2]Entry!$D$1071="","",[2]Entry!$D$1071)</f>
        <v/>
      </c>
      <c r="R1068">
        <f>IF([2]Entry!$E$1071="","",[2]Entry!$E$1071)</f>
        <v/>
      </c>
      <c r="S1068">
        <f>IF([2]Entry!$G$1071="","",[2]Entry!$G$1071)</f>
        <v/>
      </c>
      <c r="T1068">
        <f>IF([2]Entry!$J$1071="","",[2]Entry!$J$1071)</f>
        <v/>
      </c>
      <c r="U1068">
        <f>IF([2]Entry!$K$1071="","",[2]Entry!$K$1071)</f>
        <v/>
      </c>
      <c r="V1068">
        <f>IF([2]Entry!$L$1071="","",[2]Entry!$L$1071)</f>
        <v/>
      </c>
      <c r="W1068">
        <f>IF([2]Entry!$M$1071="","",[2]Entry!$M$1071)</f>
        <v/>
      </c>
      <c r="X1068">
        <f>IF([2]Entry!$N$1071="","",[2]Entry!$N$1071)</f>
        <v/>
      </c>
      <c r="Y1068">
        <f>IF([2]Entry!$R$1071="","",[2]Entry!$R$1071)</f>
        <v/>
      </c>
    </row>
    <row r="1069">
      <c r="P1069">
        <f>IF([2]Entry!$C$1072="","",[2]Entry!$C$1072)</f>
        <v/>
      </c>
      <c r="Q1069">
        <f>IF([2]Entry!$D$1072="","",[2]Entry!$D$1072)</f>
        <v/>
      </c>
      <c r="R1069">
        <f>IF([2]Entry!$E$1072="","",[2]Entry!$E$1072)</f>
        <v/>
      </c>
      <c r="S1069">
        <f>IF([2]Entry!$G$1072="","",[2]Entry!$G$1072)</f>
        <v/>
      </c>
      <c r="T1069">
        <f>IF([2]Entry!$J$1072="","",[2]Entry!$J$1072)</f>
        <v/>
      </c>
      <c r="U1069">
        <f>IF([2]Entry!$K$1072="","",[2]Entry!$K$1072)</f>
        <v/>
      </c>
      <c r="V1069">
        <f>IF([2]Entry!$L$1072="","",[2]Entry!$L$1072)</f>
        <v/>
      </c>
      <c r="W1069">
        <f>IF([2]Entry!$M$1072="","",[2]Entry!$M$1072)</f>
        <v/>
      </c>
      <c r="X1069">
        <f>IF([2]Entry!$N$1072="","",[2]Entry!$N$1072)</f>
        <v/>
      </c>
      <c r="Y1069">
        <f>IF([2]Entry!$R$1072="","",[2]Entry!$R$1072)</f>
        <v/>
      </c>
    </row>
    <row r="1070">
      <c r="P1070">
        <f>IF([2]Entry!$C$1073="","",[2]Entry!$C$1073)</f>
        <v/>
      </c>
      <c r="Q1070">
        <f>IF([2]Entry!$D$1073="","",[2]Entry!$D$1073)</f>
        <v/>
      </c>
      <c r="R1070">
        <f>IF([2]Entry!$E$1073="","",[2]Entry!$E$1073)</f>
        <v/>
      </c>
      <c r="S1070">
        <f>IF([2]Entry!$G$1073="","",[2]Entry!$G$1073)</f>
        <v/>
      </c>
      <c r="T1070">
        <f>IF([2]Entry!$J$1073="","",[2]Entry!$J$1073)</f>
        <v/>
      </c>
      <c r="U1070">
        <f>IF([2]Entry!$K$1073="","",[2]Entry!$K$1073)</f>
        <v/>
      </c>
      <c r="V1070">
        <f>IF([2]Entry!$L$1073="","",[2]Entry!$L$1073)</f>
        <v/>
      </c>
      <c r="W1070">
        <f>IF([2]Entry!$M$1073="","",[2]Entry!$M$1073)</f>
        <v/>
      </c>
      <c r="X1070">
        <f>IF([2]Entry!$N$1073="","",[2]Entry!$N$1073)</f>
        <v/>
      </c>
      <c r="Y1070">
        <f>IF([2]Entry!$R$1073="","",[2]Entry!$R$1073)</f>
        <v/>
      </c>
    </row>
    <row r="1071">
      <c r="P1071">
        <f>IF([2]Entry!$C$1074="","",[2]Entry!$C$1074)</f>
        <v/>
      </c>
      <c r="Q1071">
        <f>IF([2]Entry!$D$1074="","",[2]Entry!$D$1074)</f>
        <v/>
      </c>
      <c r="R1071">
        <f>IF([2]Entry!$E$1074="","",[2]Entry!$E$1074)</f>
        <v/>
      </c>
      <c r="S1071">
        <f>IF([2]Entry!$G$1074="","",[2]Entry!$G$1074)</f>
        <v/>
      </c>
      <c r="T1071">
        <f>IF([2]Entry!$J$1074="","",[2]Entry!$J$1074)</f>
        <v/>
      </c>
      <c r="U1071">
        <f>IF([2]Entry!$K$1074="","",[2]Entry!$K$1074)</f>
        <v/>
      </c>
      <c r="V1071">
        <f>IF([2]Entry!$L$1074="","",[2]Entry!$L$1074)</f>
        <v/>
      </c>
      <c r="W1071">
        <f>IF([2]Entry!$M$1074="","",[2]Entry!$M$1074)</f>
        <v/>
      </c>
      <c r="X1071">
        <f>IF([2]Entry!$N$1074="","",[2]Entry!$N$1074)</f>
        <v/>
      </c>
      <c r="Y1071">
        <f>IF([2]Entry!$R$1074="","",[2]Entry!$R$1074)</f>
        <v/>
      </c>
    </row>
    <row r="1072">
      <c r="P1072">
        <f>IF([2]Entry!$C$1075="","",[2]Entry!$C$1075)</f>
        <v/>
      </c>
      <c r="Q1072">
        <f>IF([2]Entry!$D$1075="","",[2]Entry!$D$1075)</f>
        <v/>
      </c>
      <c r="R1072">
        <f>IF([2]Entry!$E$1075="","",[2]Entry!$E$1075)</f>
        <v/>
      </c>
      <c r="S1072">
        <f>IF([2]Entry!$G$1075="","",[2]Entry!$G$1075)</f>
        <v/>
      </c>
      <c r="T1072">
        <f>IF([2]Entry!$J$1075="","",[2]Entry!$J$1075)</f>
        <v/>
      </c>
      <c r="U1072">
        <f>IF([2]Entry!$K$1075="","",[2]Entry!$K$1075)</f>
        <v/>
      </c>
      <c r="V1072">
        <f>IF([2]Entry!$L$1075="","",[2]Entry!$L$1075)</f>
        <v/>
      </c>
      <c r="W1072">
        <f>IF([2]Entry!$M$1075="","",[2]Entry!$M$1075)</f>
        <v/>
      </c>
      <c r="X1072">
        <f>IF([2]Entry!$N$1075="","",[2]Entry!$N$1075)</f>
        <v/>
      </c>
      <c r="Y1072">
        <f>IF([2]Entry!$R$1075="","",[2]Entry!$R$1075)</f>
        <v/>
      </c>
    </row>
    <row r="1073">
      <c r="P1073">
        <f>IF([2]Entry!$C$1076="","",[2]Entry!$C$1076)</f>
        <v/>
      </c>
      <c r="Q1073">
        <f>IF([2]Entry!$D$1076="","",[2]Entry!$D$1076)</f>
        <v/>
      </c>
      <c r="R1073">
        <f>IF([2]Entry!$E$1076="","",[2]Entry!$E$1076)</f>
        <v/>
      </c>
      <c r="S1073">
        <f>IF([2]Entry!$G$1076="","",[2]Entry!$G$1076)</f>
        <v/>
      </c>
      <c r="T1073">
        <f>IF([2]Entry!$J$1076="","",[2]Entry!$J$1076)</f>
        <v/>
      </c>
      <c r="U1073">
        <f>IF([2]Entry!$K$1076="","",[2]Entry!$K$1076)</f>
        <v/>
      </c>
      <c r="V1073">
        <f>IF([2]Entry!$L$1076="","",[2]Entry!$L$1076)</f>
        <v/>
      </c>
      <c r="W1073">
        <f>IF([2]Entry!$M$1076="","",[2]Entry!$M$1076)</f>
        <v/>
      </c>
      <c r="X1073">
        <f>IF([2]Entry!$N$1076="","",[2]Entry!$N$1076)</f>
        <v/>
      </c>
      <c r="Y1073">
        <f>IF([2]Entry!$R$1076="","",[2]Entry!$R$1076)</f>
        <v/>
      </c>
    </row>
    <row r="1074">
      <c r="P1074">
        <f>IF([2]Entry!$C$1077="","",[2]Entry!$C$1077)</f>
        <v/>
      </c>
      <c r="Q1074">
        <f>IF([2]Entry!$D$1077="","",[2]Entry!$D$1077)</f>
        <v/>
      </c>
      <c r="R1074">
        <f>IF([2]Entry!$E$1077="","",[2]Entry!$E$1077)</f>
        <v/>
      </c>
      <c r="S1074">
        <f>IF([2]Entry!$G$1077="","",[2]Entry!$G$1077)</f>
        <v/>
      </c>
      <c r="T1074">
        <f>IF([2]Entry!$J$1077="","",[2]Entry!$J$1077)</f>
        <v/>
      </c>
      <c r="U1074">
        <f>IF([2]Entry!$K$1077="","",[2]Entry!$K$1077)</f>
        <v/>
      </c>
      <c r="V1074">
        <f>IF([2]Entry!$L$1077="","",[2]Entry!$L$1077)</f>
        <v/>
      </c>
      <c r="W1074">
        <f>IF([2]Entry!$M$1077="","",[2]Entry!$M$1077)</f>
        <v/>
      </c>
      <c r="X1074">
        <f>IF([2]Entry!$N$1077="","",[2]Entry!$N$1077)</f>
        <v/>
      </c>
      <c r="Y1074">
        <f>IF([2]Entry!$R$1077="","",[2]Entry!$R$1077)</f>
        <v/>
      </c>
    </row>
    <row r="1075">
      <c r="P1075">
        <f>IF([2]Entry!$C$1078="","",[2]Entry!$C$1078)</f>
        <v/>
      </c>
      <c r="Q1075">
        <f>IF([2]Entry!$D$1078="","",[2]Entry!$D$1078)</f>
        <v/>
      </c>
      <c r="R1075">
        <f>IF([2]Entry!$E$1078="","",[2]Entry!$E$1078)</f>
        <v/>
      </c>
      <c r="S1075">
        <f>IF([2]Entry!$G$1078="","",[2]Entry!$G$1078)</f>
        <v/>
      </c>
      <c r="T1075">
        <f>IF([2]Entry!$J$1078="","",[2]Entry!$J$1078)</f>
        <v/>
      </c>
      <c r="U1075">
        <f>IF([2]Entry!$K$1078="","",[2]Entry!$K$1078)</f>
        <v/>
      </c>
      <c r="V1075">
        <f>IF([2]Entry!$L$1078="","",[2]Entry!$L$1078)</f>
        <v/>
      </c>
      <c r="W1075">
        <f>IF([2]Entry!$M$1078="","",[2]Entry!$M$1078)</f>
        <v/>
      </c>
      <c r="X1075">
        <f>IF([2]Entry!$N$1078="","",[2]Entry!$N$1078)</f>
        <v/>
      </c>
      <c r="Y1075">
        <f>IF([2]Entry!$R$1078="","",[2]Entry!$R$1078)</f>
        <v/>
      </c>
    </row>
    <row r="1076">
      <c r="P1076">
        <f>IF([2]Entry!$C$1079="","",[2]Entry!$C$1079)</f>
        <v/>
      </c>
      <c r="Q1076">
        <f>IF([2]Entry!$D$1079="","",[2]Entry!$D$1079)</f>
        <v/>
      </c>
      <c r="R1076">
        <f>IF([2]Entry!$E$1079="","",[2]Entry!$E$1079)</f>
        <v/>
      </c>
      <c r="S1076">
        <f>IF([2]Entry!$G$1079="","",[2]Entry!$G$1079)</f>
        <v/>
      </c>
      <c r="T1076">
        <f>IF([2]Entry!$J$1079="","",[2]Entry!$J$1079)</f>
        <v/>
      </c>
      <c r="U1076">
        <f>IF([2]Entry!$K$1079="","",[2]Entry!$K$1079)</f>
        <v/>
      </c>
      <c r="V1076">
        <f>IF([2]Entry!$L$1079="","",[2]Entry!$L$1079)</f>
        <v/>
      </c>
      <c r="W1076">
        <f>IF([2]Entry!$M$1079="","",[2]Entry!$M$1079)</f>
        <v/>
      </c>
      <c r="X1076">
        <f>IF([2]Entry!$N$1079="","",[2]Entry!$N$1079)</f>
        <v/>
      </c>
      <c r="Y1076">
        <f>IF([2]Entry!$R$1079="","",[2]Entry!$R$1079)</f>
        <v/>
      </c>
    </row>
    <row r="1077">
      <c r="P1077">
        <f>IF([2]Entry!$C$1080="","",[2]Entry!$C$1080)</f>
        <v/>
      </c>
      <c r="Q1077">
        <f>IF([2]Entry!$D$1080="","",[2]Entry!$D$1080)</f>
        <v/>
      </c>
      <c r="R1077">
        <f>IF([2]Entry!$E$1080="","",[2]Entry!$E$1080)</f>
        <v/>
      </c>
      <c r="S1077">
        <f>IF([2]Entry!$G$1080="","",[2]Entry!$G$1080)</f>
        <v/>
      </c>
      <c r="T1077">
        <f>IF([2]Entry!$J$1080="","",[2]Entry!$J$1080)</f>
        <v/>
      </c>
      <c r="U1077">
        <f>IF([2]Entry!$K$1080="","",[2]Entry!$K$1080)</f>
        <v/>
      </c>
      <c r="V1077">
        <f>IF([2]Entry!$L$1080="","",[2]Entry!$L$1080)</f>
        <v/>
      </c>
      <c r="W1077">
        <f>IF([2]Entry!$M$1080="","",[2]Entry!$M$1080)</f>
        <v/>
      </c>
      <c r="X1077">
        <f>IF([2]Entry!$N$1080="","",[2]Entry!$N$1080)</f>
        <v/>
      </c>
      <c r="Y1077">
        <f>IF([2]Entry!$R$1080="","",[2]Entry!$R$1080)</f>
        <v/>
      </c>
    </row>
    <row r="1078">
      <c r="P1078">
        <f>IF([2]Entry!$C$1081="","",[2]Entry!$C$1081)</f>
        <v/>
      </c>
      <c r="Q1078">
        <f>IF([2]Entry!$D$1081="","",[2]Entry!$D$1081)</f>
        <v/>
      </c>
      <c r="R1078">
        <f>IF([2]Entry!$E$1081="","",[2]Entry!$E$1081)</f>
        <v/>
      </c>
      <c r="S1078">
        <f>IF([2]Entry!$G$1081="","",[2]Entry!$G$1081)</f>
        <v/>
      </c>
      <c r="T1078">
        <f>IF([2]Entry!$J$1081="","",[2]Entry!$J$1081)</f>
        <v/>
      </c>
      <c r="U1078">
        <f>IF([2]Entry!$K$1081="","",[2]Entry!$K$1081)</f>
        <v/>
      </c>
      <c r="V1078">
        <f>IF([2]Entry!$L$1081="","",[2]Entry!$L$1081)</f>
        <v/>
      </c>
      <c r="W1078">
        <f>IF([2]Entry!$M$1081="","",[2]Entry!$M$1081)</f>
        <v/>
      </c>
      <c r="X1078">
        <f>IF([2]Entry!$N$1081="","",[2]Entry!$N$1081)</f>
        <v/>
      </c>
      <c r="Y1078">
        <f>IF([2]Entry!$R$1081="","",[2]Entry!$R$1081)</f>
        <v/>
      </c>
    </row>
    <row r="1079">
      <c r="P1079">
        <f>IF([2]Entry!$C$1082="","",[2]Entry!$C$1082)</f>
        <v/>
      </c>
      <c r="Q1079">
        <f>IF([2]Entry!$D$1082="","",[2]Entry!$D$1082)</f>
        <v/>
      </c>
      <c r="R1079">
        <f>IF([2]Entry!$E$1082="","",[2]Entry!$E$1082)</f>
        <v/>
      </c>
      <c r="S1079">
        <f>IF([2]Entry!$G$1082="","",[2]Entry!$G$1082)</f>
        <v/>
      </c>
      <c r="T1079">
        <f>IF([2]Entry!$J$1082="","",[2]Entry!$J$1082)</f>
        <v/>
      </c>
      <c r="U1079">
        <f>IF([2]Entry!$K$1082="","",[2]Entry!$K$1082)</f>
        <v/>
      </c>
      <c r="V1079">
        <f>IF([2]Entry!$L$1082="","",[2]Entry!$L$1082)</f>
        <v/>
      </c>
      <c r="W1079">
        <f>IF([2]Entry!$M$1082="","",[2]Entry!$M$1082)</f>
        <v/>
      </c>
      <c r="X1079">
        <f>IF([2]Entry!$N$1082="","",[2]Entry!$N$1082)</f>
        <v/>
      </c>
      <c r="Y1079">
        <f>IF([2]Entry!$R$1082="","",[2]Entry!$R$1082)</f>
        <v/>
      </c>
    </row>
    <row r="1080">
      <c r="P1080">
        <f>IF([2]Entry!$C$1083="","",[2]Entry!$C$1083)</f>
        <v/>
      </c>
      <c r="Q1080">
        <f>IF([2]Entry!$D$1083="","",[2]Entry!$D$1083)</f>
        <v/>
      </c>
      <c r="R1080">
        <f>IF([2]Entry!$E$1083="","",[2]Entry!$E$1083)</f>
        <v/>
      </c>
      <c r="S1080">
        <f>IF([2]Entry!$G$1083="","",[2]Entry!$G$1083)</f>
        <v/>
      </c>
      <c r="T1080">
        <f>IF([2]Entry!$J$1083="","",[2]Entry!$J$1083)</f>
        <v/>
      </c>
      <c r="U1080">
        <f>IF([2]Entry!$K$1083="","",[2]Entry!$K$1083)</f>
        <v/>
      </c>
      <c r="V1080">
        <f>IF([2]Entry!$L$1083="","",[2]Entry!$L$1083)</f>
        <v/>
      </c>
      <c r="W1080">
        <f>IF([2]Entry!$M$1083="","",[2]Entry!$M$1083)</f>
        <v/>
      </c>
      <c r="X1080">
        <f>IF([2]Entry!$N$1083="","",[2]Entry!$N$1083)</f>
        <v/>
      </c>
      <c r="Y1080">
        <f>IF([2]Entry!$R$1083="","",[2]Entry!$R$1083)</f>
        <v/>
      </c>
    </row>
    <row r="1081">
      <c r="P1081">
        <f>IF([2]Entry!$C$1084="","",[2]Entry!$C$1084)</f>
        <v/>
      </c>
      <c r="Q1081">
        <f>IF([2]Entry!$D$1084="","",[2]Entry!$D$1084)</f>
        <v/>
      </c>
      <c r="R1081">
        <f>IF([2]Entry!$E$1084="","",[2]Entry!$E$1084)</f>
        <v/>
      </c>
      <c r="S1081">
        <f>IF([2]Entry!$G$1084="","",[2]Entry!$G$1084)</f>
        <v/>
      </c>
      <c r="T1081">
        <f>IF([2]Entry!$J$1084="","",[2]Entry!$J$1084)</f>
        <v/>
      </c>
      <c r="U1081">
        <f>IF([2]Entry!$K$1084="","",[2]Entry!$K$1084)</f>
        <v/>
      </c>
      <c r="V1081">
        <f>IF([2]Entry!$L$1084="","",[2]Entry!$L$1084)</f>
        <v/>
      </c>
      <c r="W1081">
        <f>IF([2]Entry!$M$1084="","",[2]Entry!$M$1084)</f>
        <v/>
      </c>
      <c r="X1081">
        <f>IF([2]Entry!$N$1084="","",[2]Entry!$N$1084)</f>
        <v/>
      </c>
      <c r="Y1081">
        <f>IF([2]Entry!$R$1084="","",[2]Entry!$R$1084)</f>
        <v/>
      </c>
    </row>
    <row r="1082">
      <c r="P1082">
        <f>IF([2]Entry!$C$1085="","",[2]Entry!$C$1085)</f>
        <v/>
      </c>
      <c r="Q1082">
        <f>IF([2]Entry!$D$1085="","",[2]Entry!$D$1085)</f>
        <v/>
      </c>
      <c r="R1082">
        <f>IF([2]Entry!$E$1085="","",[2]Entry!$E$1085)</f>
        <v/>
      </c>
      <c r="S1082">
        <f>IF([2]Entry!$G$1085="","",[2]Entry!$G$1085)</f>
        <v/>
      </c>
      <c r="T1082">
        <f>IF([2]Entry!$J$1085="","",[2]Entry!$J$1085)</f>
        <v/>
      </c>
      <c r="U1082">
        <f>IF([2]Entry!$K$1085="","",[2]Entry!$K$1085)</f>
        <v/>
      </c>
      <c r="V1082">
        <f>IF([2]Entry!$L$1085="","",[2]Entry!$L$1085)</f>
        <v/>
      </c>
      <c r="W1082">
        <f>IF([2]Entry!$M$1085="","",[2]Entry!$M$1085)</f>
        <v/>
      </c>
      <c r="X1082">
        <f>IF([2]Entry!$N$1085="","",[2]Entry!$N$1085)</f>
        <v/>
      </c>
      <c r="Y1082">
        <f>IF([2]Entry!$R$1085="","",[2]Entry!$R$1085)</f>
        <v/>
      </c>
    </row>
    <row r="1083">
      <c r="P1083">
        <f>IF([2]Entry!$C$1086="","",[2]Entry!$C$1086)</f>
        <v/>
      </c>
      <c r="Q1083">
        <f>IF([2]Entry!$D$1086="","",[2]Entry!$D$1086)</f>
        <v/>
      </c>
      <c r="R1083">
        <f>IF([2]Entry!$E$1086="","",[2]Entry!$E$1086)</f>
        <v/>
      </c>
      <c r="S1083">
        <f>IF([2]Entry!$G$1086="","",[2]Entry!$G$1086)</f>
        <v/>
      </c>
      <c r="T1083">
        <f>IF([2]Entry!$J$1086="","",[2]Entry!$J$1086)</f>
        <v/>
      </c>
      <c r="U1083">
        <f>IF([2]Entry!$K$1086="","",[2]Entry!$K$1086)</f>
        <v/>
      </c>
      <c r="V1083">
        <f>IF([2]Entry!$L$1086="","",[2]Entry!$L$1086)</f>
        <v/>
      </c>
      <c r="W1083">
        <f>IF([2]Entry!$M$1086="","",[2]Entry!$M$1086)</f>
        <v/>
      </c>
      <c r="X1083">
        <f>IF([2]Entry!$N$1086="","",[2]Entry!$N$1086)</f>
        <v/>
      </c>
      <c r="Y1083">
        <f>IF([2]Entry!$R$1086="","",[2]Entry!$R$1086)</f>
        <v/>
      </c>
    </row>
    <row r="1084">
      <c r="P1084">
        <f>IF([2]Entry!$C$1087="","",[2]Entry!$C$1087)</f>
        <v/>
      </c>
      <c r="Q1084">
        <f>IF([2]Entry!$D$1087="","",[2]Entry!$D$1087)</f>
        <v/>
      </c>
      <c r="R1084">
        <f>IF([2]Entry!$E$1087="","",[2]Entry!$E$1087)</f>
        <v/>
      </c>
      <c r="S1084">
        <f>IF([2]Entry!$G$1087="","",[2]Entry!$G$1087)</f>
        <v/>
      </c>
      <c r="T1084">
        <f>IF([2]Entry!$J$1087="","",[2]Entry!$J$1087)</f>
        <v/>
      </c>
      <c r="U1084">
        <f>IF([2]Entry!$K$1087="","",[2]Entry!$K$1087)</f>
        <v/>
      </c>
      <c r="V1084">
        <f>IF([2]Entry!$L$1087="","",[2]Entry!$L$1087)</f>
        <v/>
      </c>
      <c r="W1084">
        <f>IF([2]Entry!$M$1087="","",[2]Entry!$M$1087)</f>
        <v/>
      </c>
      <c r="X1084">
        <f>IF([2]Entry!$N$1087="","",[2]Entry!$N$1087)</f>
        <v/>
      </c>
      <c r="Y1084">
        <f>IF([2]Entry!$R$1087="","",[2]Entry!$R$1087)</f>
        <v/>
      </c>
    </row>
    <row r="1085">
      <c r="P1085">
        <f>IF([2]Entry!$C$1088="","",[2]Entry!$C$1088)</f>
        <v/>
      </c>
      <c r="Q1085">
        <f>IF([2]Entry!$D$1088="","",[2]Entry!$D$1088)</f>
        <v/>
      </c>
      <c r="R1085">
        <f>IF([2]Entry!$E$1088="","",[2]Entry!$E$1088)</f>
        <v/>
      </c>
      <c r="S1085">
        <f>IF([2]Entry!$G$1088="","",[2]Entry!$G$1088)</f>
        <v/>
      </c>
      <c r="T1085">
        <f>IF([2]Entry!$J$1088="","",[2]Entry!$J$1088)</f>
        <v/>
      </c>
      <c r="U1085">
        <f>IF([2]Entry!$K$1088="","",[2]Entry!$K$1088)</f>
        <v/>
      </c>
      <c r="V1085">
        <f>IF([2]Entry!$L$1088="","",[2]Entry!$L$1088)</f>
        <v/>
      </c>
      <c r="W1085">
        <f>IF([2]Entry!$M$1088="","",[2]Entry!$M$1088)</f>
        <v/>
      </c>
      <c r="X1085">
        <f>IF([2]Entry!$N$1088="","",[2]Entry!$N$1088)</f>
        <v/>
      </c>
      <c r="Y1085">
        <f>IF([2]Entry!$R$1088="","",[2]Entry!$R$1088)</f>
        <v/>
      </c>
    </row>
    <row r="1086">
      <c r="P1086">
        <f>IF([2]Entry!$C$1089="","",[2]Entry!$C$1089)</f>
        <v/>
      </c>
      <c r="Q1086">
        <f>IF([2]Entry!$D$1089="","",[2]Entry!$D$1089)</f>
        <v/>
      </c>
      <c r="R1086">
        <f>IF([2]Entry!$E$1089="","",[2]Entry!$E$1089)</f>
        <v/>
      </c>
      <c r="S1086">
        <f>IF([2]Entry!$G$1089="","",[2]Entry!$G$1089)</f>
        <v/>
      </c>
      <c r="T1086">
        <f>IF([2]Entry!$J$1089="","",[2]Entry!$J$1089)</f>
        <v/>
      </c>
      <c r="U1086">
        <f>IF([2]Entry!$K$1089="","",[2]Entry!$K$1089)</f>
        <v/>
      </c>
      <c r="V1086">
        <f>IF([2]Entry!$L$1089="","",[2]Entry!$L$1089)</f>
        <v/>
      </c>
      <c r="W1086">
        <f>IF([2]Entry!$M$1089="","",[2]Entry!$M$1089)</f>
        <v/>
      </c>
      <c r="X1086">
        <f>IF([2]Entry!$N$1089="","",[2]Entry!$N$1089)</f>
        <v/>
      </c>
      <c r="Y1086">
        <f>IF([2]Entry!$R$1089="","",[2]Entry!$R$1089)</f>
        <v/>
      </c>
    </row>
    <row r="1087">
      <c r="P1087">
        <f>IF([2]Entry!$C$1090="","",[2]Entry!$C$1090)</f>
        <v/>
      </c>
      <c r="Q1087">
        <f>IF([2]Entry!$D$1090="","",[2]Entry!$D$1090)</f>
        <v/>
      </c>
      <c r="R1087">
        <f>IF([2]Entry!$E$1090="","",[2]Entry!$E$1090)</f>
        <v/>
      </c>
      <c r="S1087">
        <f>IF([2]Entry!$G$1090="","",[2]Entry!$G$1090)</f>
        <v/>
      </c>
      <c r="T1087">
        <f>IF([2]Entry!$J$1090="","",[2]Entry!$J$1090)</f>
        <v/>
      </c>
      <c r="U1087">
        <f>IF([2]Entry!$K$1090="","",[2]Entry!$K$1090)</f>
        <v/>
      </c>
      <c r="V1087">
        <f>IF([2]Entry!$L$1090="","",[2]Entry!$L$1090)</f>
        <v/>
      </c>
      <c r="W1087">
        <f>IF([2]Entry!$M$1090="","",[2]Entry!$M$1090)</f>
        <v/>
      </c>
      <c r="X1087">
        <f>IF([2]Entry!$N$1090="","",[2]Entry!$N$1090)</f>
        <v/>
      </c>
      <c r="Y1087">
        <f>IF([2]Entry!$R$1090="","",[2]Entry!$R$1090)</f>
        <v/>
      </c>
    </row>
    <row r="1088">
      <c r="P1088">
        <f>IF([2]Entry!$C$1091="","",[2]Entry!$C$1091)</f>
        <v/>
      </c>
      <c r="Q1088">
        <f>IF([2]Entry!$D$1091="","",[2]Entry!$D$1091)</f>
        <v/>
      </c>
      <c r="R1088">
        <f>IF([2]Entry!$E$1091="","",[2]Entry!$E$1091)</f>
        <v/>
      </c>
      <c r="S1088">
        <f>IF([2]Entry!$G$1091="","",[2]Entry!$G$1091)</f>
        <v/>
      </c>
      <c r="T1088">
        <f>IF([2]Entry!$J$1091="","",[2]Entry!$J$1091)</f>
        <v/>
      </c>
      <c r="U1088">
        <f>IF([2]Entry!$K$1091="","",[2]Entry!$K$1091)</f>
        <v/>
      </c>
      <c r="V1088">
        <f>IF([2]Entry!$L$1091="","",[2]Entry!$L$1091)</f>
        <v/>
      </c>
      <c r="W1088">
        <f>IF([2]Entry!$M$1091="","",[2]Entry!$M$1091)</f>
        <v/>
      </c>
      <c r="X1088">
        <f>IF([2]Entry!$N$1091="","",[2]Entry!$N$1091)</f>
        <v/>
      </c>
      <c r="Y1088">
        <f>IF([2]Entry!$R$1091="","",[2]Entry!$R$1091)</f>
        <v/>
      </c>
    </row>
    <row r="1089">
      <c r="P1089">
        <f>IF([2]Entry!$C$1092="","",[2]Entry!$C$1092)</f>
        <v/>
      </c>
      <c r="Q1089">
        <f>IF([2]Entry!$D$1092="","",[2]Entry!$D$1092)</f>
        <v/>
      </c>
      <c r="R1089">
        <f>IF([2]Entry!$E$1092="","",[2]Entry!$E$1092)</f>
        <v/>
      </c>
      <c r="S1089">
        <f>IF([2]Entry!$G$1092="","",[2]Entry!$G$1092)</f>
        <v/>
      </c>
      <c r="T1089">
        <f>IF([2]Entry!$J$1092="","",[2]Entry!$J$1092)</f>
        <v/>
      </c>
      <c r="U1089">
        <f>IF([2]Entry!$K$1092="","",[2]Entry!$K$1092)</f>
        <v/>
      </c>
      <c r="V1089">
        <f>IF([2]Entry!$L$1092="","",[2]Entry!$L$1092)</f>
        <v/>
      </c>
      <c r="W1089">
        <f>IF([2]Entry!$M$1092="","",[2]Entry!$M$1092)</f>
        <v/>
      </c>
      <c r="X1089">
        <f>IF([2]Entry!$N$1092="","",[2]Entry!$N$1092)</f>
        <v/>
      </c>
      <c r="Y1089">
        <f>IF([2]Entry!$R$1092="","",[2]Entry!$R$1092)</f>
        <v/>
      </c>
    </row>
    <row r="1090">
      <c r="P1090">
        <f>IF([2]Entry!$C$1093="","",[2]Entry!$C$1093)</f>
        <v/>
      </c>
      <c r="Q1090">
        <f>IF([2]Entry!$D$1093="","",[2]Entry!$D$1093)</f>
        <v/>
      </c>
      <c r="R1090">
        <f>IF([2]Entry!$E$1093="","",[2]Entry!$E$1093)</f>
        <v/>
      </c>
      <c r="S1090">
        <f>IF([2]Entry!$G$1093="","",[2]Entry!$G$1093)</f>
        <v/>
      </c>
      <c r="T1090">
        <f>IF([2]Entry!$J$1093="","",[2]Entry!$J$1093)</f>
        <v/>
      </c>
      <c r="U1090">
        <f>IF([2]Entry!$K$1093="","",[2]Entry!$K$1093)</f>
        <v/>
      </c>
      <c r="V1090">
        <f>IF([2]Entry!$L$1093="","",[2]Entry!$L$1093)</f>
        <v/>
      </c>
      <c r="W1090">
        <f>IF([2]Entry!$M$1093="","",[2]Entry!$M$1093)</f>
        <v/>
      </c>
      <c r="X1090">
        <f>IF([2]Entry!$N$1093="","",[2]Entry!$N$1093)</f>
        <v/>
      </c>
      <c r="Y1090">
        <f>IF([2]Entry!$R$1093="","",[2]Entry!$R$1093)</f>
        <v/>
      </c>
    </row>
    <row r="1091">
      <c r="P1091">
        <f>IF([2]Entry!$C$1094="","",[2]Entry!$C$1094)</f>
        <v/>
      </c>
      <c r="Q1091">
        <f>IF([2]Entry!$D$1094="","",[2]Entry!$D$1094)</f>
        <v/>
      </c>
      <c r="R1091">
        <f>IF([2]Entry!$E$1094="","",[2]Entry!$E$1094)</f>
        <v/>
      </c>
      <c r="S1091">
        <f>IF([2]Entry!$G$1094="","",[2]Entry!$G$1094)</f>
        <v/>
      </c>
      <c r="T1091">
        <f>IF([2]Entry!$J$1094="","",[2]Entry!$J$1094)</f>
        <v/>
      </c>
      <c r="U1091">
        <f>IF([2]Entry!$K$1094="","",[2]Entry!$K$1094)</f>
        <v/>
      </c>
      <c r="V1091">
        <f>IF([2]Entry!$L$1094="","",[2]Entry!$L$1094)</f>
        <v/>
      </c>
      <c r="W1091">
        <f>IF([2]Entry!$M$1094="","",[2]Entry!$M$1094)</f>
        <v/>
      </c>
      <c r="X1091">
        <f>IF([2]Entry!$N$1094="","",[2]Entry!$N$1094)</f>
        <v/>
      </c>
      <c r="Y1091">
        <f>IF([2]Entry!$R$1094="","",[2]Entry!$R$1094)</f>
        <v/>
      </c>
    </row>
    <row r="1092">
      <c r="P1092">
        <f>IF([2]Entry!$C$1095="","",[2]Entry!$C$1095)</f>
        <v/>
      </c>
      <c r="Q1092">
        <f>IF([2]Entry!$D$1095="","",[2]Entry!$D$1095)</f>
        <v/>
      </c>
      <c r="R1092">
        <f>IF([2]Entry!$E$1095="","",[2]Entry!$E$1095)</f>
        <v/>
      </c>
      <c r="S1092">
        <f>IF([2]Entry!$G$1095="","",[2]Entry!$G$1095)</f>
        <v/>
      </c>
      <c r="T1092">
        <f>IF([2]Entry!$J$1095="","",[2]Entry!$J$1095)</f>
        <v/>
      </c>
      <c r="U1092">
        <f>IF([2]Entry!$K$1095="","",[2]Entry!$K$1095)</f>
        <v/>
      </c>
      <c r="V1092">
        <f>IF([2]Entry!$L$1095="","",[2]Entry!$L$1095)</f>
        <v/>
      </c>
      <c r="W1092">
        <f>IF([2]Entry!$M$1095="","",[2]Entry!$M$1095)</f>
        <v/>
      </c>
      <c r="X1092">
        <f>IF([2]Entry!$N$1095="","",[2]Entry!$N$1095)</f>
        <v/>
      </c>
      <c r="Y1092">
        <f>IF([2]Entry!$R$1095="","",[2]Entry!$R$1095)</f>
        <v/>
      </c>
    </row>
    <row r="1093">
      <c r="P1093">
        <f>IF([2]Entry!$C$1096="","",[2]Entry!$C$1096)</f>
        <v/>
      </c>
      <c r="Q1093">
        <f>IF([2]Entry!$D$1096="","",[2]Entry!$D$1096)</f>
        <v/>
      </c>
      <c r="R1093">
        <f>IF([2]Entry!$E$1096="","",[2]Entry!$E$1096)</f>
        <v/>
      </c>
      <c r="S1093">
        <f>IF([2]Entry!$G$1096="","",[2]Entry!$G$1096)</f>
        <v/>
      </c>
      <c r="T1093">
        <f>IF([2]Entry!$J$1096="","",[2]Entry!$J$1096)</f>
        <v/>
      </c>
      <c r="U1093">
        <f>IF([2]Entry!$K$1096="","",[2]Entry!$K$1096)</f>
        <v/>
      </c>
      <c r="V1093">
        <f>IF([2]Entry!$L$1096="","",[2]Entry!$L$1096)</f>
        <v/>
      </c>
      <c r="W1093">
        <f>IF([2]Entry!$M$1096="","",[2]Entry!$M$1096)</f>
        <v/>
      </c>
      <c r="X1093">
        <f>IF([2]Entry!$N$1096="","",[2]Entry!$N$1096)</f>
        <v/>
      </c>
      <c r="Y1093">
        <f>IF([2]Entry!$R$1096="","",[2]Entry!$R$1096)</f>
        <v/>
      </c>
    </row>
    <row r="1094">
      <c r="P1094">
        <f>IF([2]Entry!$C$1097="","",[2]Entry!$C$1097)</f>
        <v/>
      </c>
      <c r="Q1094">
        <f>IF([2]Entry!$D$1097="","",[2]Entry!$D$1097)</f>
        <v/>
      </c>
      <c r="R1094">
        <f>IF([2]Entry!$E$1097="","",[2]Entry!$E$1097)</f>
        <v/>
      </c>
      <c r="S1094">
        <f>IF([2]Entry!$G$1097="","",[2]Entry!$G$1097)</f>
        <v/>
      </c>
      <c r="T1094">
        <f>IF([2]Entry!$J$1097="","",[2]Entry!$J$1097)</f>
        <v/>
      </c>
      <c r="U1094">
        <f>IF([2]Entry!$K$1097="","",[2]Entry!$K$1097)</f>
        <v/>
      </c>
      <c r="V1094">
        <f>IF([2]Entry!$L$1097="","",[2]Entry!$L$1097)</f>
        <v/>
      </c>
      <c r="W1094">
        <f>IF([2]Entry!$M$1097="","",[2]Entry!$M$1097)</f>
        <v/>
      </c>
      <c r="X1094">
        <f>IF([2]Entry!$N$1097="","",[2]Entry!$N$1097)</f>
        <v/>
      </c>
      <c r="Y1094">
        <f>IF([2]Entry!$R$1097="","",[2]Entry!$R$1097)</f>
        <v/>
      </c>
    </row>
    <row r="1095">
      <c r="P1095">
        <f>IF([2]Entry!$C$1098="","",[2]Entry!$C$1098)</f>
        <v/>
      </c>
      <c r="Q1095">
        <f>IF([2]Entry!$D$1098="","",[2]Entry!$D$1098)</f>
        <v/>
      </c>
      <c r="R1095">
        <f>IF([2]Entry!$E$1098="","",[2]Entry!$E$1098)</f>
        <v/>
      </c>
      <c r="S1095">
        <f>IF([2]Entry!$G$1098="","",[2]Entry!$G$1098)</f>
        <v/>
      </c>
      <c r="T1095">
        <f>IF([2]Entry!$J$1098="","",[2]Entry!$J$1098)</f>
        <v/>
      </c>
      <c r="U1095">
        <f>IF([2]Entry!$K$1098="","",[2]Entry!$K$1098)</f>
        <v/>
      </c>
      <c r="V1095">
        <f>IF([2]Entry!$L$1098="","",[2]Entry!$L$1098)</f>
        <v/>
      </c>
      <c r="W1095">
        <f>IF([2]Entry!$M$1098="","",[2]Entry!$M$1098)</f>
        <v/>
      </c>
      <c r="X1095">
        <f>IF([2]Entry!$N$1098="","",[2]Entry!$N$1098)</f>
        <v/>
      </c>
      <c r="Y1095">
        <f>IF([2]Entry!$R$1098="","",[2]Entry!$R$1098)</f>
        <v/>
      </c>
    </row>
    <row r="1096">
      <c r="P1096">
        <f>IF([2]Entry!$C$1099="","",[2]Entry!$C$1099)</f>
        <v/>
      </c>
      <c r="Q1096">
        <f>IF([2]Entry!$D$1099="","",[2]Entry!$D$1099)</f>
        <v/>
      </c>
      <c r="R1096">
        <f>IF([2]Entry!$E$1099="","",[2]Entry!$E$1099)</f>
        <v/>
      </c>
      <c r="S1096">
        <f>IF([2]Entry!$G$1099="","",[2]Entry!$G$1099)</f>
        <v/>
      </c>
      <c r="T1096">
        <f>IF([2]Entry!$J$1099="","",[2]Entry!$J$1099)</f>
        <v/>
      </c>
      <c r="U1096">
        <f>IF([2]Entry!$K$1099="","",[2]Entry!$K$1099)</f>
        <v/>
      </c>
      <c r="V1096">
        <f>IF([2]Entry!$L$1099="","",[2]Entry!$L$1099)</f>
        <v/>
      </c>
      <c r="W1096">
        <f>IF([2]Entry!$M$1099="","",[2]Entry!$M$1099)</f>
        <v/>
      </c>
      <c r="X1096">
        <f>IF([2]Entry!$N$1099="","",[2]Entry!$N$1099)</f>
        <v/>
      </c>
      <c r="Y1096">
        <f>IF([2]Entry!$R$1099="","",[2]Entry!$R$1099)</f>
        <v/>
      </c>
    </row>
    <row r="1097">
      <c r="P1097">
        <f>IF([2]Entry!$C$1100="","",[2]Entry!$C$1100)</f>
        <v/>
      </c>
      <c r="Q1097">
        <f>IF([2]Entry!$D$1100="","",[2]Entry!$D$1100)</f>
        <v/>
      </c>
      <c r="R1097">
        <f>IF([2]Entry!$E$1100="","",[2]Entry!$E$1100)</f>
        <v/>
      </c>
      <c r="S1097">
        <f>IF([2]Entry!$G$1100="","",[2]Entry!$G$1100)</f>
        <v/>
      </c>
      <c r="T1097">
        <f>IF([2]Entry!$J$1100="","",[2]Entry!$J$1100)</f>
        <v/>
      </c>
      <c r="U1097">
        <f>IF([2]Entry!$K$1100="","",[2]Entry!$K$1100)</f>
        <v/>
      </c>
      <c r="V1097">
        <f>IF([2]Entry!$L$1100="","",[2]Entry!$L$1100)</f>
        <v/>
      </c>
      <c r="W1097">
        <f>IF([2]Entry!$M$1100="","",[2]Entry!$M$1100)</f>
        <v/>
      </c>
      <c r="X1097">
        <f>IF([2]Entry!$N$1100="","",[2]Entry!$N$1100)</f>
        <v/>
      </c>
      <c r="Y1097">
        <f>IF([2]Entry!$R$1100="","",[2]Entry!$R$1100)</f>
        <v/>
      </c>
    </row>
    <row r="1098">
      <c r="P1098">
        <f>IF([2]Entry!$C$1101="","",[2]Entry!$C$1101)</f>
        <v/>
      </c>
      <c r="Q1098">
        <f>IF([2]Entry!$D$1101="","",[2]Entry!$D$1101)</f>
        <v/>
      </c>
      <c r="R1098">
        <f>IF([2]Entry!$E$1101="","",[2]Entry!$E$1101)</f>
        <v/>
      </c>
      <c r="S1098">
        <f>IF([2]Entry!$G$1101="","",[2]Entry!$G$1101)</f>
        <v/>
      </c>
      <c r="T1098">
        <f>IF([2]Entry!$J$1101="","",[2]Entry!$J$1101)</f>
        <v/>
      </c>
      <c r="U1098">
        <f>IF([2]Entry!$K$1101="","",[2]Entry!$K$1101)</f>
        <v/>
      </c>
      <c r="V1098">
        <f>IF([2]Entry!$L$1101="","",[2]Entry!$L$1101)</f>
        <v/>
      </c>
      <c r="W1098">
        <f>IF([2]Entry!$M$1101="","",[2]Entry!$M$1101)</f>
        <v/>
      </c>
      <c r="X1098">
        <f>IF([2]Entry!$N$1101="","",[2]Entry!$N$1101)</f>
        <v/>
      </c>
      <c r="Y1098">
        <f>IF([2]Entry!$R$1101="","",[2]Entry!$R$1101)</f>
        <v/>
      </c>
    </row>
    <row r="1099">
      <c r="P1099">
        <f>IF([2]Entry!$C$1102="","",[2]Entry!$C$1102)</f>
        <v/>
      </c>
      <c r="Q1099">
        <f>IF([2]Entry!$D$1102="","",[2]Entry!$D$1102)</f>
        <v/>
      </c>
      <c r="R1099">
        <f>IF([2]Entry!$E$1102="","",[2]Entry!$E$1102)</f>
        <v/>
      </c>
      <c r="S1099">
        <f>IF([2]Entry!$G$1102="","",[2]Entry!$G$1102)</f>
        <v/>
      </c>
      <c r="T1099">
        <f>IF([2]Entry!$J$1102="","",[2]Entry!$J$1102)</f>
        <v/>
      </c>
      <c r="U1099">
        <f>IF([2]Entry!$K$1102="","",[2]Entry!$K$1102)</f>
        <v/>
      </c>
      <c r="V1099">
        <f>IF([2]Entry!$L$1102="","",[2]Entry!$L$1102)</f>
        <v/>
      </c>
      <c r="W1099">
        <f>IF([2]Entry!$M$1102="","",[2]Entry!$M$1102)</f>
        <v/>
      </c>
      <c r="X1099">
        <f>IF([2]Entry!$N$1102="","",[2]Entry!$N$1102)</f>
        <v/>
      </c>
      <c r="Y1099">
        <f>IF([2]Entry!$R$1102="","",[2]Entry!$R$1102)</f>
        <v/>
      </c>
    </row>
    <row r="1100">
      <c r="P1100">
        <f>IF([2]Entry!$C$1103="","",[2]Entry!$C$1103)</f>
        <v/>
      </c>
      <c r="Q1100">
        <f>IF([2]Entry!$D$1103="","",[2]Entry!$D$1103)</f>
        <v/>
      </c>
      <c r="R1100">
        <f>IF([2]Entry!$E$1103="","",[2]Entry!$E$1103)</f>
        <v/>
      </c>
      <c r="S1100">
        <f>IF([2]Entry!$G$1103="","",[2]Entry!$G$1103)</f>
        <v/>
      </c>
      <c r="T1100">
        <f>IF([2]Entry!$J$1103="","",[2]Entry!$J$1103)</f>
        <v/>
      </c>
      <c r="U1100">
        <f>IF([2]Entry!$K$1103="","",[2]Entry!$K$1103)</f>
        <v/>
      </c>
      <c r="V1100">
        <f>IF([2]Entry!$L$1103="","",[2]Entry!$L$1103)</f>
        <v/>
      </c>
      <c r="W1100">
        <f>IF([2]Entry!$M$1103="","",[2]Entry!$M$1103)</f>
        <v/>
      </c>
      <c r="X1100">
        <f>IF([2]Entry!$N$1103="","",[2]Entry!$N$1103)</f>
        <v/>
      </c>
      <c r="Y1100">
        <f>IF([2]Entry!$R$1103="","",[2]Entry!$R$1103)</f>
        <v/>
      </c>
    </row>
    <row r="1101">
      <c r="P1101">
        <f>IF([2]Entry!$C$1104="","",[2]Entry!$C$1104)</f>
        <v/>
      </c>
      <c r="Q1101">
        <f>IF([2]Entry!$D$1104="","",[2]Entry!$D$1104)</f>
        <v/>
      </c>
      <c r="R1101">
        <f>IF([2]Entry!$E$1104="","",[2]Entry!$E$1104)</f>
        <v/>
      </c>
      <c r="S1101">
        <f>IF([2]Entry!$G$1104="","",[2]Entry!$G$1104)</f>
        <v/>
      </c>
      <c r="T1101">
        <f>IF([2]Entry!$J$1104="","",[2]Entry!$J$1104)</f>
        <v/>
      </c>
      <c r="U1101">
        <f>IF([2]Entry!$K$1104="","",[2]Entry!$K$1104)</f>
        <v/>
      </c>
      <c r="V1101">
        <f>IF([2]Entry!$L$1104="","",[2]Entry!$L$1104)</f>
        <v/>
      </c>
      <c r="W1101">
        <f>IF([2]Entry!$M$1104="","",[2]Entry!$M$1104)</f>
        <v/>
      </c>
      <c r="X1101">
        <f>IF([2]Entry!$N$1104="","",[2]Entry!$N$1104)</f>
        <v/>
      </c>
      <c r="Y1101">
        <f>IF([2]Entry!$R$1104="","",[2]Entry!$R$1104)</f>
        <v/>
      </c>
    </row>
    <row r="1102">
      <c r="P1102">
        <f>IF([2]Entry!$C$1105="","",[2]Entry!$C$1105)</f>
        <v/>
      </c>
      <c r="Q1102">
        <f>IF([2]Entry!$D$1105="","",[2]Entry!$D$1105)</f>
        <v/>
      </c>
      <c r="R1102">
        <f>IF([2]Entry!$E$1105="","",[2]Entry!$E$1105)</f>
        <v/>
      </c>
      <c r="S1102">
        <f>IF([2]Entry!$G$1105="","",[2]Entry!$G$1105)</f>
        <v/>
      </c>
      <c r="T1102">
        <f>IF([2]Entry!$J$1105="","",[2]Entry!$J$1105)</f>
        <v/>
      </c>
      <c r="U1102">
        <f>IF([2]Entry!$K$1105="","",[2]Entry!$K$1105)</f>
        <v/>
      </c>
      <c r="V1102">
        <f>IF([2]Entry!$L$1105="","",[2]Entry!$L$1105)</f>
        <v/>
      </c>
      <c r="W1102">
        <f>IF([2]Entry!$M$1105="","",[2]Entry!$M$1105)</f>
        <v/>
      </c>
      <c r="X1102">
        <f>IF([2]Entry!$N$1105="","",[2]Entry!$N$1105)</f>
        <v/>
      </c>
      <c r="Y1102">
        <f>IF([2]Entry!$R$1105="","",[2]Entry!$R$1105)</f>
        <v/>
      </c>
    </row>
    <row r="1103">
      <c r="P1103">
        <f>IF([2]Entry!$C$1106="","",[2]Entry!$C$1106)</f>
        <v/>
      </c>
      <c r="Q1103">
        <f>IF([2]Entry!$D$1106="","",[2]Entry!$D$1106)</f>
        <v/>
      </c>
      <c r="R1103">
        <f>IF([2]Entry!$E$1106="","",[2]Entry!$E$1106)</f>
        <v/>
      </c>
      <c r="S1103">
        <f>IF([2]Entry!$G$1106="","",[2]Entry!$G$1106)</f>
        <v/>
      </c>
      <c r="T1103">
        <f>IF([2]Entry!$J$1106="","",[2]Entry!$J$1106)</f>
        <v/>
      </c>
      <c r="U1103">
        <f>IF([2]Entry!$K$1106="","",[2]Entry!$K$1106)</f>
        <v/>
      </c>
      <c r="V1103">
        <f>IF([2]Entry!$L$1106="","",[2]Entry!$L$1106)</f>
        <v/>
      </c>
      <c r="W1103">
        <f>IF([2]Entry!$M$1106="","",[2]Entry!$M$1106)</f>
        <v/>
      </c>
      <c r="X1103">
        <f>IF([2]Entry!$N$1106="","",[2]Entry!$N$1106)</f>
        <v/>
      </c>
      <c r="Y1103">
        <f>IF([2]Entry!$R$1106="","",[2]Entry!$R$1106)</f>
        <v/>
      </c>
    </row>
    <row r="1104">
      <c r="P1104">
        <f>IF([2]Entry!$C$1107="","",[2]Entry!$C$1107)</f>
        <v/>
      </c>
      <c r="Q1104">
        <f>IF([2]Entry!$D$1107="","",[2]Entry!$D$1107)</f>
        <v/>
      </c>
      <c r="R1104">
        <f>IF([2]Entry!$E$1107="","",[2]Entry!$E$1107)</f>
        <v/>
      </c>
      <c r="S1104">
        <f>IF([2]Entry!$G$1107="","",[2]Entry!$G$1107)</f>
        <v/>
      </c>
      <c r="T1104">
        <f>IF([2]Entry!$J$1107="","",[2]Entry!$J$1107)</f>
        <v/>
      </c>
      <c r="U1104">
        <f>IF([2]Entry!$K$1107="","",[2]Entry!$K$1107)</f>
        <v/>
      </c>
      <c r="V1104">
        <f>IF([2]Entry!$L$1107="","",[2]Entry!$L$1107)</f>
        <v/>
      </c>
      <c r="W1104">
        <f>IF([2]Entry!$M$1107="","",[2]Entry!$M$1107)</f>
        <v/>
      </c>
      <c r="X1104">
        <f>IF([2]Entry!$N$1107="","",[2]Entry!$N$1107)</f>
        <v/>
      </c>
      <c r="Y1104">
        <f>IF([2]Entry!$R$1107="","",[2]Entry!$R$1107)</f>
        <v/>
      </c>
    </row>
    <row r="1105">
      <c r="P1105">
        <f>IF([2]Entry!$C$1108="","",[2]Entry!$C$1108)</f>
        <v/>
      </c>
      <c r="Q1105">
        <f>IF([2]Entry!$D$1108="","",[2]Entry!$D$1108)</f>
        <v/>
      </c>
      <c r="R1105">
        <f>IF([2]Entry!$E$1108="","",[2]Entry!$E$1108)</f>
        <v/>
      </c>
      <c r="S1105">
        <f>IF([2]Entry!$G$1108="","",[2]Entry!$G$1108)</f>
        <v/>
      </c>
      <c r="T1105">
        <f>IF([2]Entry!$J$1108="","",[2]Entry!$J$1108)</f>
        <v/>
      </c>
      <c r="U1105">
        <f>IF([2]Entry!$K$1108="","",[2]Entry!$K$1108)</f>
        <v/>
      </c>
      <c r="V1105">
        <f>IF([2]Entry!$L$1108="","",[2]Entry!$L$1108)</f>
        <v/>
      </c>
      <c r="W1105">
        <f>IF([2]Entry!$M$1108="","",[2]Entry!$M$1108)</f>
        <v/>
      </c>
      <c r="X1105">
        <f>IF([2]Entry!$N$1108="","",[2]Entry!$N$1108)</f>
        <v/>
      </c>
      <c r="Y1105">
        <f>IF([2]Entry!$R$1108="","",[2]Entry!$R$1108)</f>
        <v/>
      </c>
    </row>
    <row r="1106">
      <c r="P1106">
        <f>IF([2]Entry!$C$1109="","",[2]Entry!$C$1109)</f>
        <v/>
      </c>
      <c r="Q1106">
        <f>IF([2]Entry!$D$1109="","",[2]Entry!$D$1109)</f>
        <v/>
      </c>
      <c r="R1106">
        <f>IF([2]Entry!$E$1109="","",[2]Entry!$E$1109)</f>
        <v/>
      </c>
      <c r="S1106">
        <f>IF([2]Entry!$G$1109="","",[2]Entry!$G$1109)</f>
        <v/>
      </c>
      <c r="T1106">
        <f>IF([2]Entry!$J$1109="","",[2]Entry!$J$1109)</f>
        <v/>
      </c>
      <c r="U1106">
        <f>IF([2]Entry!$K$1109="","",[2]Entry!$K$1109)</f>
        <v/>
      </c>
      <c r="V1106">
        <f>IF([2]Entry!$L$1109="","",[2]Entry!$L$1109)</f>
        <v/>
      </c>
      <c r="W1106">
        <f>IF([2]Entry!$M$1109="","",[2]Entry!$M$1109)</f>
        <v/>
      </c>
      <c r="X1106">
        <f>IF([2]Entry!$N$1109="","",[2]Entry!$N$1109)</f>
        <v/>
      </c>
      <c r="Y1106">
        <f>IF([2]Entry!$R$1109="","",[2]Entry!$R$1109)</f>
        <v/>
      </c>
    </row>
    <row r="1107">
      <c r="P1107">
        <f>IF([2]Entry!$C$1110="","",[2]Entry!$C$1110)</f>
        <v/>
      </c>
      <c r="Q1107">
        <f>IF([2]Entry!$D$1110="","",[2]Entry!$D$1110)</f>
        <v/>
      </c>
      <c r="R1107">
        <f>IF([2]Entry!$E$1110="","",[2]Entry!$E$1110)</f>
        <v/>
      </c>
      <c r="S1107">
        <f>IF([2]Entry!$G$1110="","",[2]Entry!$G$1110)</f>
        <v/>
      </c>
      <c r="T1107">
        <f>IF([2]Entry!$J$1110="","",[2]Entry!$J$1110)</f>
        <v/>
      </c>
      <c r="U1107">
        <f>IF([2]Entry!$K$1110="","",[2]Entry!$K$1110)</f>
        <v/>
      </c>
      <c r="V1107">
        <f>IF([2]Entry!$L$1110="","",[2]Entry!$L$1110)</f>
        <v/>
      </c>
      <c r="W1107">
        <f>IF([2]Entry!$M$1110="","",[2]Entry!$M$1110)</f>
        <v/>
      </c>
      <c r="X1107">
        <f>IF([2]Entry!$N$1110="","",[2]Entry!$N$1110)</f>
        <v/>
      </c>
      <c r="Y1107">
        <f>IF([2]Entry!$R$1110="","",[2]Entry!$R$1110)</f>
        <v/>
      </c>
    </row>
    <row r="1108">
      <c r="P1108">
        <f>IF([2]Entry!$C$1111="","",[2]Entry!$C$1111)</f>
        <v/>
      </c>
      <c r="Q1108">
        <f>IF([2]Entry!$D$1111="","",[2]Entry!$D$1111)</f>
        <v/>
      </c>
      <c r="R1108">
        <f>IF([2]Entry!$E$1111="","",[2]Entry!$E$1111)</f>
        <v/>
      </c>
      <c r="S1108">
        <f>IF([2]Entry!$G$1111="","",[2]Entry!$G$1111)</f>
        <v/>
      </c>
      <c r="T1108">
        <f>IF([2]Entry!$J$1111="","",[2]Entry!$J$1111)</f>
        <v/>
      </c>
      <c r="U1108">
        <f>IF([2]Entry!$K$1111="","",[2]Entry!$K$1111)</f>
        <v/>
      </c>
      <c r="V1108">
        <f>IF([2]Entry!$L$1111="","",[2]Entry!$L$1111)</f>
        <v/>
      </c>
      <c r="W1108">
        <f>IF([2]Entry!$M$1111="","",[2]Entry!$M$1111)</f>
        <v/>
      </c>
      <c r="X1108">
        <f>IF([2]Entry!$N$1111="","",[2]Entry!$N$1111)</f>
        <v/>
      </c>
      <c r="Y1108">
        <f>IF([2]Entry!$R$1111="","",[2]Entry!$R$1111)</f>
        <v/>
      </c>
    </row>
    <row r="1109">
      <c r="P1109">
        <f>IF([2]Entry!$C$1112="","",[2]Entry!$C$1112)</f>
        <v/>
      </c>
      <c r="Q1109">
        <f>IF([2]Entry!$D$1112="","",[2]Entry!$D$1112)</f>
        <v/>
      </c>
      <c r="R1109">
        <f>IF([2]Entry!$E$1112="","",[2]Entry!$E$1112)</f>
        <v/>
      </c>
      <c r="S1109">
        <f>IF([2]Entry!$G$1112="","",[2]Entry!$G$1112)</f>
        <v/>
      </c>
      <c r="T1109">
        <f>IF([2]Entry!$J$1112="","",[2]Entry!$J$1112)</f>
        <v/>
      </c>
      <c r="U1109">
        <f>IF([2]Entry!$K$1112="","",[2]Entry!$K$1112)</f>
        <v/>
      </c>
      <c r="V1109">
        <f>IF([2]Entry!$L$1112="","",[2]Entry!$L$1112)</f>
        <v/>
      </c>
      <c r="W1109">
        <f>IF([2]Entry!$M$1112="","",[2]Entry!$M$1112)</f>
        <v/>
      </c>
      <c r="X1109">
        <f>IF([2]Entry!$N$1112="","",[2]Entry!$N$1112)</f>
        <v/>
      </c>
      <c r="Y1109">
        <f>IF([2]Entry!$R$1112="","",[2]Entry!$R$1112)</f>
        <v/>
      </c>
    </row>
    <row r="1110">
      <c r="P1110">
        <f>IF([2]Entry!$C$1113="","",[2]Entry!$C$1113)</f>
        <v/>
      </c>
      <c r="Q1110">
        <f>IF([2]Entry!$D$1113="","",[2]Entry!$D$1113)</f>
        <v/>
      </c>
      <c r="R1110">
        <f>IF([2]Entry!$E$1113="","",[2]Entry!$E$1113)</f>
        <v/>
      </c>
      <c r="S1110">
        <f>IF([2]Entry!$G$1113="","",[2]Entry!$G$1113)</f>
        <v/>
      </c>
      <c r="T1110">
        <f>IF([2]Entry!$J$1113="","",[2]Entry!$J$1113)</f>
        <v/>
      </c>
      <c r="U1110">
        <f>IF([2]Entry!$K$1113="","",[2]Entry!$K$1113)</f>
        <v/>
      </c>
      <c r="V1110">
        <f>IF([2]Entry!$L$1113="","",[2]Entry!$L$1113)</f>
        <v/>
      </c>
      <c r="W1110">
        <f>IF([2]Entry!$M$1113="","",[2]Entry!$M$1113)</f>
        <v/>
      </c>
      <c r="X1110">
        <f>IF([2]Entry!$N$1113="","",[2]Entry!$N$1113)</f>
        <v/>
      </c>
      <c r="Y1110">
        <f>IF([2]Entry!$R$1113="","",[2]Entry!$R$1113)</f>
        <v/>
      </c>
    </row>
    <row r="1111">
      <c r="P1111">
        <f>IF([2]Entry!$C$1114="","",[2]Entry!$C$1114)</f>
        <v/>
      </c>
      <c r="Q1111">
        <f>IF([2]Entry!$D$1114="","",[2]Entry!$D$1114)</f>
        <v/>
      </c>
      <c r="R1111">
        <f>IF([2]Entry!$E$1114="","",[2]Entry!$E$1114)</f>
        <v/>
      </c>
      <c r="S1111">
        <f>IF([2]Entry!$G$1114="","",[2]Entry!$G$1114)</f>
        <v/>
      </c>
      <c r="T1111">
        <f>IF([2]Entry!$J$1114="","",[2]Entry!$J$1114)</f>
        <v/>
      </c>
      <c r="U1111">
        <f>IF([2]Entry!$K$1114="","",[2]Entry!$K$1114)</f>
        <v/>
      </c>
      <c r="V1111">
        <f>IF([2]Entry!$L$1114="","",[2]Entry!$L$1114)</f>
        <v/>
      </c>
      <c r="W1111">
        <f>IF([2]Entry!$M$1114="","",[2]Entry!$M$1114)</f>
        <v/>
      </c>
      <c r="X1111">
        <f>IF([2]Entry!$N$1114="","",[2]Entry!$N$1114)</f>
        <v/>
      </c>
      <c r="Y1111">
        <f>IF([2]Entry!$R$1114="","",[2]Entry!$R$1114)</f>
        <v/>
      </c>
    </row>
    <row r="1112">
      <c r="P1112">
        <f>IF([2]Entry!$C$1115="","",[2]Entry!$C$1115)</f>
        <v/>
      </c>
      <c r="Q1112">
        <f>IF([2]Entry!$D$1115="","",[2]Entry!$D$1115)</f>
        <v/>
      </c>
      <c r="R1112">
        <f>IF([2]Entry!$E$1115="","",[2]Entry!$E$1115)</f>
        <v/>
      </c>
      <c r="S1112">
        <f>IF([2]Entry!$G$1115="","",[2]Entry!$G$1115)</f>
        <v/>
      </c>
      <c r="T1112">
        <f>IF([2]Entry!$J$1115="","",[2]Entry!$J$1115)</f>
        <v/>
      </c>
      <c r="U1112">
        <f>IF([2]Entry!$K$1115="","",[2]Entry!$K$1115)</f>
        <v/>
      </c>
      <c r="V1112">
        <f>IF([2]Entry!$L$1115="","",[2]Entry!$L$1115)</f>
        <v/>
      </c>
      <c r="W1112">
        <f>IF([2]Entry!$M$1115="","",[2]Entry!$M$1115)</f>
        <v/>
      </c>
      <c r="X1112">
        <f>IF([2]Entry!$N$1115="","",[2]Entry!$N$1115)</f>
        <v/>
      </c>
      <c r="Y1112">
        <f>IF([2]Entry!$R$1115="","",[2]Entry!$R$1115)</f>
        <v/>
      </c>
    </row>
    <row r="1113">
      <c r="P1113">
        <f>IF([2]Entry!$C$1116="","",[2]Entry!$C$1116)</f>
        <v/>
      </c>
      <c r="Q1113">
        <f>IF([2]Entry!$D$1116="","",[2]Entry!$D$1116)</f>
        <v/>
      </c>
      <c r="R1113">
        <f>IF([2]Entry!$E$1116="","",[2]Entry!$E$1116)</f>
        <v/>
      </c>
      <c r="S1113">
        <f>IF([2]Entry!$G$1116="","",[2]Entry!$G$1116)</f>
        <v/>
      </c>
      <c r="T1113">
        <f>IF([2]Entry!$J$1116="","",[2]Entry!$J$1116)</f>
        <v/>
      </c>
      <c r="U1113">
        <f>IF([2]Entry!$K$1116="","",[2]Entry!$K$1116)</f>
        <v/>
      </c>
      <c r="V1113">
        <f>IF([2]Entry!$L$1116="","",[2]Entry!$L$1116)</f>
        <v/>
      </c>
      <c r="W1113">
        <f>IF([2]Entry!$M$1116="","",[2]Entry!$M$1116)</f>
        <v/>
      </c>
      <c r="X1113">
        <f>IF([2]Entry!$N$1116="","",[2]Entry!$N$1116)</f>
        <v/>
      </c>
      <c r="Y1113">
        <f>IF([2]Entry!$R$1116="","",[2]Entry!$R$1116)</f>
        <v/>
      </c>
    </row>
    <row r="1114">
      <c r="P1114">
        <f>IF([2]Entry!$C$1117="","",[2]Entry!$C$1117)</f>
        <v/>
      </c>
      <c r="Q1114">
        <f>IF([2]Entry!$D$1117="","",[2]Entry!$D$1117)</f>
        <v/>
      </c>
      <c r="R1114">
        <f>IF([2]Entry!$E$1117="","",[2]Entry!$E$1117)</f>
        <v/>
      </c>
      <c r="S1114">
        <f>IF([2]Entry!$G$1117="","",[2]Entry!$G$1117)</f>
        <v/>
      </c>
      <c r="T1114">
        <f>IF([2]Entry!$J$1117="","",[2]Entry!$J$1117)</f>
        <v/>
      </c>
      <c r="U1114">
        <f>IF([2]Entry!$K$1117="","",[2]Entry!$K$1117)</f>
        <v/>
      </c>
      <c r="V1114">
        <f>IF([2]Entry!$L$1117="","",[2]Entry!$L$1117)</f>
        <v/>
      </c>
      <c r="W1114">
        <f>IF([2]Entry!$M$1117="","",[2]Entry!$M$1117)</f>
        <v/>
      </c>
      <c r="X1114">
        <f>IF([2]Entry!$N$1117="","",[2]Entry!$N$1117)</f>
        <v/>
      </c>
      <c r="Y1114">
        <f>IF([2]Entry!$R$1117="","",[2]Entry!$R$1117)</f>
        <v/>
      </c>
    </row>
    <row r="1115">
      <c r="P1115">
        <f>IF([2]Entry!$C$1118="","",[2]Entry!$C$1118)</f>
        <v/>
      </c>
      <c r="Q1115">
        <f>IF([2]Entry!$D$1118="","",[2]Entry!$D$1118)</f>
        <v/>
      </c>
      <c r="R1115">
        <f>IF([2]Entry!$E$1118="","",[2]Entry!$E$1118)</f>
        <v/>
      </c>
      <c r="S1115">
        <f>IF([2]Entry!$G$1118="","",[2]Entry!$G$1118)</f>
        <v/>
      </c>
      <c r="T1115">
        <f>IF([2]Entry!$J$1118="","",[2]Entry!$J$1118)</f>
        <v/>
      </c>
      <c r="U1115">
        <f>IF([2]Entry!$K$1118="","",[2]Entry!$K$1118)</f>
        <v/>
      </c>
      <c r="V1115">
        <f>IF([2]Entry!$L$1118="","",[2]Entry!$L$1118)</f>
        <v/>
      </c>
      <c r="W1115">
        <f>IF([2]Entry!$M$1118="","",[2]Entry!$M$1118)</f>
        <v/>
      </c>
      <c r="X1115">
        <f>IF([2]Entry!$N$1118="","",[2]Entry!$N$1118)</f>
        <v/>
      </c>
      <c r="Y1115">
        <f>IF([2]Entry!$R$1118="","",[2]Entry!$R$1118)</f>
        <v/>
      </c>
    </row>
    <row r="1116">
      <c r="P1116">
        <f>IF([2]Entry!$C$1119="","",[2]Entry!$C$1119)</f>
        <v/>
      </c>
      <c r="Q1116">
        <f>IF([2]Entry!$D$1119="","",[2]Entry!$D$1119)</f>
        <v/>
      </c>
      <c r="R1116">
        <f>IF([2]Entry!$E$1119="","",[2]Entry!$E$1119)</f>
        <v/>
      </c>
      <c r="S1116">
        <f>IF([2]Entry!$G$1119="","",[2]Entry!$G$1119)</f>
        <v/>
      </c>
      <c r="T1116">
        <f>IF([2]Entry!$J$1119="","",[2]Entry!$J$1119)</f>
        <v/>
      </c>
      <c r="U1116">
        <f>IF([2]Entry!$K$1119="","",[2]Entry!$K$1119)</f>
        <v/>
      </c>
      <c r="V1116">
        <f>IF([2]Entry!$L$1119="","",[2]Entry!$L$1119)</f>
        <v/>
      </c>
      <c r="W1116">
        <f>IF([2]Entry!$M$1119="","",[2]Entry!$M$1119)</f>
        <v/>
      </c>
      <c r="X1116">
        <f>IF([2]Entry!$N$1119="","",[2]Entry!$N$1119)</f>
        <v/>
      </c>
      <c r="Y1116">
        <f>IF([2]Entry!$R$1119="","",[2]Entry!$R$1119)</f>
        <v/>
      </c>
    </row>
    <row r="1117">
      <c r="P1117">
        <f>IF([2]Entry!$C$1120="","",[2]Entry!$C$1120)</f>
        <v/>
      </c>
      <c r="Q1117">
        <f>IF([2]Entry!$D$1120="","",[2]Entry!$D$1120)</f>
        <v/>
      </c>
      <c r="R1117">
        <f>IF([2]Entry!$E$1120="","",[2]Entry!$E$1120)</f>
        <v/>
      </c>
      <c r="S1117">
        <f>IF([2]Entry!$G$1120="","",[2]Entry!$G$1120)</f>
        <v/>
      </c>
      <c r="T1117">
        <f>IF([2]Entry!$J$1120="","",[2]Entry!$J$1120)</f>
        <v/>
      </c>
      <c r="U1117">
        <f>IF([2]Entry!$K$1120="","",[2]Entry!$K$1120)</f>
        <v/>
      </c>
      <c r="V1117">
        <f>IF([2]Entry!$L$1120="","",[2]Entry!$L$1120)</f>
        <v/>
      </c>
      <c r="W1117">
        <f>IF([2]Entry!$M$1120="","",[2]Entry!$M$1120)</f>
        <v/>
      </c>
      <c r="X1117">
        <f>IF([2]Entry!$N$1120="","",[2]Entry!$N$1120)</f>
        <v/>
      </c>
      <c r="Y1117">
        <f>IF([2]Entry!$R$1120="","",[2]Entry!$R$1120)</f>
        <v/>
      </c>
    </row>
    <row r="1118">
      <c r="P1118">
        <f>IF([2]Entry!$C$1121="","",[2]Entry!$C$1121)</f>
        <v/>
      </c>
      <c r="Q1118">
        <f>IF([2]Entry!$D$1121="","",[2]Entry!$D$1121)</f>
        <v/>
      </c>
      <c r="R1118">
        <f>IF([2]Entry!$E$1121="","",[2]Entry!$E$1121)</f>
        <v/>
      </c>
      <c r="S1118">
        <f>IF([2]Entry!$G$1121="","",[2]Entry!$G$1121)</f>
        <v/>
      </c>
      <c r="T1118">
        <f>IF([2]Entry!$J$1121="","",[2]Entry!$J$1121)</f>
        <v/>
      </c>
      <c r="U1118">
        <f>IF([2]Entry!$K$1121="","",[2]Entry!$K$1121)</f>
        <v/>
      </c>
      <c r="V1118">
        <f>IF([2]Entry!$L$1121="","",[2]Entry!$L$1121)</f>
        <v/>
      </c>
      <c r="W1118">
        <f>IF([2]Entry!$M$1121="","",[2]Entry!$M$1121)</f>
        <v/>
      </c>
      <c r="X1118">
        <f>IF([2]Entry!$N$1121="","",[2]Entry!$N$1121)</f>
        <v/>
      </c>
      <c r="Y1118">
        <f>IF([2]Entry!$R$1121="","",[2]Entry!$R$1121)</f>
        <v/>
      </c>
    </row>
    <row r="1119">
      <c r="P1119">
        <f>IF([2]Entry!$C$1122="","",[2]Entry!$C$1122)</f>
        <v/>
      </c>
      <c r="Q1119">
        <f>IF([2]Entry!$D$1122="","",[2]Entry!$D$1122)</f>
        <v/>
      </c>
      <c r="R1119">
        <f>IF([2]Entry!$E$1122="","",[2]Entry!$E$1122)</f>
        <v/>
      </c>
      <c r="S1119">
        <f>IF([2]Entry!$G$1122="","",[2]Entry!$G$1122)</f>
        <v/>
      </c>
      <c r="T1119">
        <f>IF([2]Entry!$J$1122="","",[2]Entry!$J$1122)</f>
        <v/>
      </c>
      <c r="U1119">
        <f>IF([2]Entry!$K$1122="","",[2]Entry!$K$1122)</f>
        <v/>
      </c>
      <c r="V1119">
        <f>IF([2]Entry!$L$1122="","",[2]Entry!$L$1122)</f>
        <v/>
      </c>
      <c r="W1119">
        <f>IF([2]Entry!$M$1122="","",[2]Entry!$M$1122)</f>
        <v/>
      </c>
      <c r="X1119">
        <f>IF([2]Entry!$N$1122="","",[2]Entry!$N$1122)</f>
        <v/>
      </c>
      <c r="Y1119">
        <f>IF([2]Entry!$R$1122="","",[2]Entry!$R$1122)</f>
        <v/>
      </c>
    </row>
    <row r="1120">
      <c r="P1120">
        <f>IF([2]Entry!$C$1123="","",[2]Entry!$C$1123)</f>
        <v/>
      </c>
      <c r="Q1120">
        <f>IF([2]Entry!$D$1123="","",[2]Entry!$D$1123)</f>
        <v/>
      </c>
      <c r="R1120">
        <f>IF([2]Entry!$E$1123="","",[2]Entry!$E$1123)</f>
        <v/>
      </c>
      <c r="S1120">
        <f>IF([2]Entry!$G$1123="","",[2]Entry!$G$1123)</f>
        <v/>
      </c>
      <c r="T1120">
        <f>IF([2]Entry!$J$1123="","",[2]Entry!$J$1123)</f>
        <v/>
      </c>
      <c r="U1120">
        <f>IF([2]Entry!$K$1123="","",[2]Entry!$K$1123)</f>
        <v/>
      </c>
      <c r="V1120">
        <f>IF([2]Entry!$L$1123="","",[2]Entry!$L$1123)</f>
        <v/>
      </c>
      <c r="W1120">
        <f>IF([2]Entry!$M$1123="","",[2]Entry!$M$1123)</f>
        <v/>
      </c>
      <c r="X1120">
        <f>IF([2]Entry!$N$1123="","",[2]Entry!$N$1123)</f>
        <v/>
      </c>
      <c r="Y1120">
        <f>IF([2]Entry!$R$1123="","",[2]Entry!$R$1123)</f>
        <v/>
      </c>
    </row>
    <row r="1121">
      <c r="P1121">
        <f>IF([2]Entry!$C$1124="","",[2]Entry!$C$1124)</f>
        <v/>
      </c>
      <c r="Q1121">
        <f>IF([2]Entry!$D$1124="","",[2]Entry!$D$1124)</f>
        <v/>
      </c>
      <c r="R1121">
        <f>IF([2]Entry!$E$1124="","",[2]Entry!$E$1124)</f>
        <v/>
      </c>
      <c r="S1121">
        <f>IF([2]Entry!$G$1124="","",[2]Entry!$G$1124)</f>
        <v/>
      </c>
      <c r="T1121">
        <f>IF([2]Entry!$J$1124="","",[2]Entry!$J$1124)</f>
        <v/>
      </c>
      <c r="U1121">
        <f>IF([2]Entry!$K$1124="","",[2]Entry!$K$1124)</f>
        <v/>
      </c>
      <c r="V1121">
        <f>IF([2]Entry!$L$1124="","",[2]Entry!$L$1124)</f>
        <v/>
      </c>
      <c r="W1121">
        <f>IF([2]Entry!$M$1124="","",[2]Entry!$M$1124)</f>
        <v/>
      </c>
      <c r="X1121">
        <f>IF([2]Entry!$N$1124="","",[2]Entry!$N$1124)</f>
        <v/>
      </c>
      <c r="Y1121">
        <f>IF([2]Entry!$R$1124="","",[2]Entry!$R$1124)</f>
        <v/>
      </c>
    </row>
    <row r="1122">
      <c r="P1122">
        <f>IF([2]Entry!$C$1125="","",[2]Entry!$C$1125)</f>
        <v/>
      </c>
      <c r="Q1122">
        <f>IF([2]Entry!$D$1125="","",[2]Entry!$D$1125)</f>
        <v/>
      </c>
      <c r="R1122">
        <f>IF([2]Entry!$E$1125="","",[2]Entry!$E$1125)</f>
        <v/>
      </c>
      <c r="S1122">
        <f>IF([2]Entry!$G$1125="","",[2]Entry!$G$1125)</f>
        <v/>
      </c>
      <c r="T1122">
        <f>IF([2]Entry!$J$1125="","",[2]Entry!$J$1125)</f>
        <v/>
      </c>
      <c r="U1122">
        <f>IF([2]Entry!$K$1125="","",[2]Entry!$K$1125)</f>
        <v/>
      </c>
      <c r="V1122">
        <f>IF([2]Entry!$L$1125="","",[2]Entry!$L$1125)</f>
        <v/>
      </c>
      <c r="W1122">
        <f>IF([2]Entry!$M$1125="","",[2]Entry!$M$1125)</f>
        <v/>
      </c>
      <c r="X1122">
        <f>IF([2]Entry!$N$1125="","",[2]Entry!$N$1125)</f>
        <v/>
      </c>
      <c r="Y1122">
        <f>IF([2]Entry!$R$1125="","",[2]Entry!$R$1125)</f>
        <v/>
      </c>
    </row>
    <row r="1123">
      <c r="P1123">
        <f>IF([2]Entry!$C$1126="","",[2]Entry!$C$1126)</f>
        <v/>
      </c>
      <c r="Q1123">
        <f>IF([2]Entry!$D$1126="","",[2]Entry!$D$1126)</f>
        <v/>
      </c>
      <c r="R1123">
        <f>IF([2]Entry!$E$1126="","",[2]Entry!$E$1126)</f>
        <v/>
      </c>
      <c r="S1123">
        <f>IF([2]Entry!$G$1126="","",[2]Entry!$G$1126)</f>
        <v/>
      </c>
      <c r="T1123">
        <f>IF([2]Entry!$J$1126="","",[2]Entry!$J$1126)</f>
        <v/>
      </c>
      <c r="U1123">
        <f>IF([2]Entry!$K$1126="","",[2]Entry!$K$1126)</f>
        <v/>
      </c>
      <c r="V1123">
        <f>IF([2]Entry!$L$1126="","",[2]Entry!$L$1126)</f>
        <v/>
      </c>
      <c r="W1123">
        <f>IF([2]Entry!$M$1126="","",[2]Entry!$M$1126)</f>
        <v/>
      </c>
      <c r="X1123">
        <f>IF([2]Entry!$N$1126="","",[2]Entry!$N$1126)</f>
        <v/>
      </c>
      <c r="Y1123">
        <f>IF([2]Entry!$R$1126="","",[2]Entry!$R$1126)</f>
        <v/>
      </c>
    </row>
    <row r="1124">
      <c r="P1124">
        <f>IF([2]Entry!$C$1127="","",[2]Entry!$C$1127)</f>
        <v/>
      </c>
      <c r="Q1124">
        <f>IF([2]Entry!$D$1127="","",[2]Entry!$D$1127)</f>
        <v/>
      </c>
      <c r="R1124">
        <f>IF([2]Entry!$E$1127="","",[2]Entry!$E$1127)</f>
        <v/>
      </c>
      <c r="S1124">
        <f>IF([2]Entry!$G$1127="","",[2]Entry!$G$1127)</f>
        <v/>
      </c>
      <c r="T1124">
        <f>IF([2]Entry!$J$1127="","",[2]Entry!$J$1127)</f>
        <v/>
      </c>
      <c r="U1124">
        <f>IF([2]Entry!$K$1127="","",[2]Entry!$K$1127)</f>
        <v/>
      </c>
      <c r="V1124">
        <f>IF([2]Entry!$L$1127="","",[2]Entry!$L$1127)</f>
        <v/>
      </c>
      <c r="W1124">
        <f>IF([2]Entry!$M$1127="","",[2]Entry!$M$1127)</f>
        <v/>
      </c>
      <c r="X1124">
        <f>IF([2]Entry!$N$1127="","",[2]Entry!$N$1127)</f>
        <v/>
      </c>
      <c r="Y1124">
        <f>IF([2]Entry!$R$1127="","",[2]Entry!$R$1127)</f>
        <v/>
      </c>
    </row>
    <row r="1125">
      <c r="P1125">
        <f>IF([2]Entry!$C$1128="","",[2]Entry!$C$1128)</f>
        <v/>
      </c>
      <c r="Q1125">
        <f>IF([2]Entry!$D$1128="","",[2]Entry!$D$1128)</f>
        <v/>
      </c>
      <c r="R1125">
        <f>IF([2]Entry!$E$1128="","",[2]Entry!$E$1128)</f>
        <v/>
      </c>
      <c r="S1125">
        <f>IF([2]Entry!$G$1128="","",[2]Entry!$G$1128)</f>
        <v/>
      </c>
      <c r="T1125">
        <f>IF([2]Entry!$J$1128="","",[2]Entry!$J$1128)</f>
        <v/>
      </c>
      <c r="U1125">
        <f>IF([2]Entry!$K$1128="","",[2]Entry!$K$1128)</f>
        <v/>
      </c>
      <c r="V1125">
        <f>IF([2]Entry!$L$1128="","",[2]Entry!$L$1128)</f>
        <v/>
      </c>
      <c r="W1125">
        <f>IF([2]Entry!$M$1128="","",[2]Entry!$M$1128)</f>
        <v/>
      </c>
      <c r="X1125">
        <f>IF([2]Entry!$N$1128="","",[2]Entry!$N$1128)</f>
        <v/>
      </c>
      <c r="Y1125">
        <f>IF([2]Entry!$R$1128="","",[2]Entry!$R$1128)</f>
        <v/>
      </c>
    </row>
    <row r="1126">
      <c r="P1126">
        <f>IF([2]Entry!$C$1129="","",[2]Entry!$C$1129)</f>
        <v/>
      </c>
      <c r="Q1126">
        <f>IF([2]Entry!$D$1129="","",[2]Entry!$D$1129)</f>
        <v/>
      </c>
      <c r="R1126">
        <f>IF([2]Entry!$E$1129="","",[2]Entry!$E$1129)</f>
        <v/>
      </c>
      <c r="S1126">
        <f>IF([2]Entry!$G$1129="","",[2]Entry!$G$1129)</f>
        <v/>
      </c>
      <c r="T1126">
        <f>IF([2]Entry!$J$1129="","",[2]Entry!$J$1129)</f>
        <v/>
      </c>
      <c r="U1126">
        <f>IF([2]Entry!$K$1129="","",[2]Entry!$K$1129)</f>
        <v/>
      </c>
      <c r="V1126">
        <f>IF([2]Entry!$L$1129="","",[2]Entry!$L$1129)</f>
        <v/>
      </c>
      <c r="W1126">
        <f>IF([2]Entry!$M$1129="","",[2]Entry!$M$1129)</f>
        <v/>
      </c>
      <c r="X1126">
        <f>IF([2]Entry!$N$1129="","",[2]Entry!$N$1129)</f>
        <v/>
      </c>
      <c r="Y1126">
        <f>IF([2]Entry!$R$1129="","",[2]Entry!$R$1129)</f>
        <v/>
      </c>
    </row>
    <row r="1127">
      <c r="P1127">
        <f>IF([2]Entry!$C$1130="","",[2]Entry!$C$1130)</f>
        <v/>
      </c>
      <c r="Q1127">
        <f>IF([2]Entry!$D$1130="","",[2]Entry!$D$1130)</f>
        <v/>
      </c>
      <c r="R1127">
        <f>IF([2]Entry!$E$1130="","",[2]Entry!$E$1130)</f>
        <v/>
      </c>
      <c r="S1127">
        <f>IF([2]Entry!$G$1130="","",[2]Entry!$G$1130)</f>
        <v/>
      </c>
      <c r="T1127">
        <f>IF([2]Entry!$J$1130="","",[2]Entry!$J$1130)</f>
        <v/>
      </c>
      <c r="U1127">
        <f>IF([2]Entry!$K$1130="","",[2]Entry!$K$1130)</f>
        <v/>
      </c>
      <c r="V1127">
        <f>IF([2]Entry!$L$1130="","",[2]Entry!$L$1130)</f>
        <v/>
      </c>
      <c r="W1127">
        <f>IF([2]Entry!$M$1130="","",[2]Entry!$M$1130)</f>
        <v/>
      </c>
      <c r="X1127">
        <f>IF([2]Entry!$N$1130="","",[2]Entry!$N$1130)</f>
        <v/>
      </c>
      <c r="Y1127">
        <f>IF([2]Entry!$R$1130="","",[2]Entry!$R$1130)</f>
        <v/>
      </c>
    </row>
    <row r="1128">
      <c r="P1128">
        <f>IF([2]Entry!$C$1131="","",[2]Entry!$C$1131)</f>
        <v/>
      </c>
      <c r="Q1128">
        <f>IF([2]Entry!$D$1131="","",[2]Entry!$D$1131)</f>
        <v/>
      </c>
      <c r="R1128">
        <f>IF([2]Entry!$E$1131="","",[2]Entry!$E$1131)</f>
        <v/>
      </c>
      <c r="S1128">
        <f>IF([2]Entry!$G$1131="","",[2]Entry!$G$1131)</f>
        <v/>
      </c>
      <c r="T1128">
        <f>IF([2]Entry!$J$1131="","",[2]Entry!$J$1131)</f>
        <v/>
      </c>
      <c r="U1128">
        <f>IF([2]Entry!$K$1131="","",[2]Entry!$K$1131)</f>
        <v/>
      </c>
      <c r="V1128">
        <f>IF([2]Entry!$L$1131="","",[2]Entry!$L$1131)</f>
        <v/>
      </c>
      <c r="W1128">
        <f>IF([2]Entry!$M$1131="","",[2]Entry!$M$1131)</f>
        <v/>
      </c>
      <c r="X1128">
        <f>IF([2]Entry!$N$1131="","",[2]Entry!$N$1131)</f>
        <v/>
      </c>
      <c r="Y1128">
        <f>IF([2]Entry!$R$1131="","",[2]Entry!$R$1131)</f>
        <v/>
      </c>
    </row>
    <row r="1129">
      <c r="P1129">
        <f>IF([2]Entry!$C$1132="","",[2]Entry!$C$1132)</f>
        <v/>
      </c>
      <c r="Q1129">
        <f>IF([2]Entry!$D$1132="","",[2]Entry!$D$1132)</f>
        <v/>
      </c>
      <c r="R1129">
        <f>IF([2]Entry!$E$1132="","",[2]Entry!$E$1132)</f>
        <v/>
      </c>
      <c r="S1129">
        <f>IF([2]Entry!$G$1132="","",[2]Entry!$G$1132)</f>
        <v/>
      </c>
      <c r="T1129">
        <f>IF([2]Entry!$J$1132="","",[2]Entry!$J$1132)</f>
        <v/>
      </c>
      <c r="U1129">
        <f>IF([2]Entry!$K$1132="","",[2]Entry!$K$1132)</f>
        <v/>
      </c>
      <c r="V1129">
        <f>IF([2]Entry!$L$1132="","",[2]Entry!$L$1132)</f>
        <v/>
      </c>
      <c r="W1129">
        <f>IF([2]Entry!$M$1132="","",[2]Entry!$M$1132)</f>
        <v/>
      </c>
      <c r="X1129">
        <f>IF([2]Entry!$N$1132="","",[2]Entry!$N$1132)</f>
        <v/>
      </c>
      <c r="Y1129">
        <f>IF([2]Entry!$R$1132="","",[2]Entry!$R$1132)</f>
        <v/>
      </c>
    </row>
    <row r="1130">
      <c r="P1130">
        <f>IF([2]Entry!$C$1133="","",[2]Entry!$C$1133)</f>
        <v/>
      </c>
      <c r="Q1130">
        <f>IF([2]Entry!$D$1133="","",[2]Entry!$D$1133)</f>
        <v/>
      </c>
      <c r="R1130">
        <f>IF([2]Entry!$E$1133="","",[2]Entry!$E$1133)</f>
        <v/>
      </c>
      <c r="S1130">
        <f>IF([2]Entry!$G$1133="","",[2]Entry!$G$1133)</f>
        <v/>
      </c>
      <c r="T1130">
        <f>IF([2]Entry!$J$1133="","",[2]Entry!$J$1133)</f>
        <v/>
      </c>
      <c r="U1130">
        <f>IF([2]Entry!$K$1133="","",[2]Entry!$K$1133)</f>
        <v/>
      </c>
      <c r="V1130">
        <f>IF([2]Entry!$L$1133="","",[2]Entry!$L$1133)</f>
        <v/>
      </c>
      <c r="W1130">
        <f>IF([2]Entry!$M$1133="","",[2]Entry!$M$1133)</f>
        <v/>
      </c>
      <c r="X1130">
        <f>IF([2]Entry!$N$1133="","",[2]Entry!$N$1133)</f>
        <v/>
      </c>
      <c r="Y1130">
        <f>IF([2]Entry!$R$1133="","",[2]Entry!$R$1133)</f>
        <v/>
      </c>
    </row>
    <row r="1131">
      <c r="P1131">
        <f>IF([2]Entry!$C$1134="","",[2]Entry!$C$1134)</f>
        <v/>
      </c>
      <c r="Q1131">
        <f>IF([2]Entry!$D$1134="","",[2]Entry!$D$1134)</f>
        <v/>
      </c>
      <c r="R1131">
        <f>IF([2]Entry!$E$1134="","",[2]Entry!$E$1134)</f>
        <v/>
      </c>
      <c r="S1131">
        <f>IF([2]Entry!$G$1134="","",[2]Entry!$G$1134)</f>
        <v/>
      </c>
      <c r="T1131">
        <f>IF([2]Entry!$J$1134="","",[2]Entry!$J$1134)</f>
        <v/>
      </c>
      <c r="U1131">
        <f>IF([2]Entry!$K$1134="","",[2]Entry!$K$1134)</f>
        <v/>
      </c>
      <c r="V1131">
        <f>IF([2]Entry!$L$1134="","",[2]Entry!$L$1134)</f>
        <v/>
      </c>
      <c r="W1131">
        <f>IF([2]Entry!$M$1134="","",[2]Entry!$M$1134)</f>
        <v/>
      </c>
      <c r="X1131">
        <f>IF([2]Entry!$N$1134="","",[2]Entry!$N$1134)</f>
        <v/>
      </c>
      <c r="Y1131">
        <f>IF([2]Entry!$R$1134="","",[2]Entry!$R$1134)</f>
        <v/>
      </c>
    </row>
    <row r="1132">
      <c r="P1132">
        <f>IF([2]Entry!$C$1135="","",[2]Entry!$C$1135)</f>
        <v/>
      </c>
      <c r="Q1132">
        <f>IF([2]Entry!$D$1135="","",[2]Entry!$D$1135)</f>
        <v/>
      </c>
      <c r="R1132">
        <f>IF([2]Entry!$E$1135="","",[2]Entry!$E$1135)</f>
        <v/>
      </c>
      <c r="S1132">
        <f>IF([2]Entry!$G$1135="","",[2]Entry!$G$1135)</f>
        <v/>
      </c>
      <c r="T1132">
        <f>IF([2]Entry!$J$1135="","",[2]Entry!$J$1135)</f>
        <v/>
      </c>
      <c r="U1132">
        <f>IF([2]Entry!$K$1135="","",[2]Entry!$K$1135)</f>
        <v/>
      </c>
      <c r="V1132">
        <f>IF([2]Entry!$L$1135="","",[2]Entry!$L$1135)</f>
        <v/>
      </c>
      <c r="W1132">
        <f>IF([2]Entry!$M$1135="","",[2]Entry!$M$1135)</f>
        <v/>
      </c>
      <c r="X1132">
        <f>IF([2]Entry!$N$1135="","",[2]Entry!$N$1135)</f>
        <v/>
      </c>
      <c r="Y1132">
        <f>IF([2]Entry!$R$1135="","",[2]Entry!$R$1135)</f>
        <v/>
      </c>
    </row>
    <row r="1133">
      <c r="P1133">
        <f>IF([2]Entry!$C$1136="","",[2]Entry!$C$1136)</f>
        <v/>
      </c>
      <c r="Q1133">
        <f>IF([2]Entry!$D$1136="","",[2]Entry!$D$1136)</f>
        <v/>
      </c>
      <c r="R1133">
        <f>IF([2]Entry!$E$1136="","",[2]Entry!$E$1136)</f>
        <v/>
      </c>
      <c r="S1133">
        <f>IF([2]Entry!$G$1136="","",[2]Entry!$G$1136)</f>
        <v/>
      </c>
      <c r="T1133">
        <f>IF([2]Entry!$J$1136="","",[2]Entry!$J$1136)</f>
        <v/>
      </c>
      <c r="U1133">
        <f>IF([2]Entry!$K$1136="","",[2]Entry!$K$1136)</f>
        <v/>
      </c>
      <c r="V1133">
        <f>IF([2]Entry!$L$1136="","",[2]Entry!$L$1136)</f>
        <v/>
      </c>
      <c r="W1133">
        <f>IF([2]Entry!$M$1136="","",[2]Entry!$M$1136)</f>
        <v/>
      </c>
      <c r="X1133">
        <f>IF([2]Entry!$N$1136="","",[2]Entry!$N$1136)</f>
        <v/>
      </c>
      <c r="Y1133">
        <f>IF([2]Entry!$R$1136="","",[2]Entry!$R$1136)</f>
        <v/>
      </c>
    </row>
    <row r="1134">
      <c r="P1134">
        <f>IF([2]Entry!$C$1137="","",[2]Entry!$C$1137)</f>
        <v/>
      </c>
      <c r="Q1134">
        <f>IF([2]Entry!$D$1137="","",[2]Entry!$D$1137)</f>
        <v/>
      </c>
      <c r="R1134">
        <f>IF([2]Entry!$E$1137="","",[2]Entry!$E$1137)</f>
        <v/>
      </c>
      <c r="S1134">
        <f>IF([2]Entry!$G$1137="","",[2]Entry!$G$1137)</f>
        <v/>
      </c>
      <c r="T1134">
        <f>IF([2]Entry!$J$1137="","",[2]Entry!$J$1137)</f>
        <v/>
      </c>
      <c r="U1134">
        <f>IF([2]Entry!$K$1137="","",[2]Entry!$K$1137)</f>
        <v/>
      </c>
      <c r="V1134">
        <f>IF([2]Entry!$L$1137="","",[2]Entry!$L$1137)</f>
        <v/>
      </c>
      <c r="W1134">
        <f>IF([2]Entry!$M$1137="","",[2]Entry!$M$1137)</f>
        <v/>
      </c>
      <c r="X1134">
        <f>IF([2]Entry!$N$1137="","",[2]Entry!$N$1137)</f>
        <v/>
      </c>
      <c r="Y1134">
        <f>IF([2]Entry!$R$1137="","",[2]Entry!$R$1137)</f>
        <v/>
      </c>
    </row>
    <row r="1135">
      <c r="P1135">
        <f>IF([2]Entry!$C$1138="","",[2]Entry!$C$1138)</f>
        <v/>
      </c>
      <c r="Q1135">
        <f>IF([2]Entry!$D$1138="","",[2]Entry!$D$1138)</f>
        <v/>
      </c>
      <c r="R1135">
        <f>IF([2]Entry!$E$1138="","",[2]Entry!$E$1138)</f>
        <v/>
      </c>
      <c r="S1135">
        <f>IF([2]Entry!$G$1138="","",[2]Entry!$G$1138)</f>
        <v/>
      </c>
      <c r="T1135">
        <f>IF([2]Entry!$J$1138="","",[2]Entry!$J$1138)</f>
        <v/>
      </c>
      <c r="U1135">
        <f>IF([2]Entry!$K$1138="","",[2]Entry!$K$1138)</f>
        <v/>
      </c>
      <c r="V1135">
        <f>IF([2]Entry!$L$1138="","",[2]Entry!$L$1138)</f>
        <v/>
      </c>
      <c r="W1135">
        <f>IF([2]Entry!$M$1138="","",[2]Entry!$M$1138)</f>
        <v/>
      </c>
      <c r="X1135">
        <f>IF([2]Entry!$N$1138="","",[2]Entry!$N$1138)</f>
        <v/>
      </c>
      <c r="Y1135">
        <f>IF([2]Entry!$R$1138="","",[2]Entry!$R$1138)</f>
        <v/>
      </c>
    </row>
    <row r="1136">
      <c r="P1136">
        <f>IF([2]Entry!$C$1139="","",[2]Entry!$C$1139)</f>
        <v/>
      </c>
      <c r="Q1136">
        <f>IF([2]Entry!$D$1139="","",[2]Entry!$D$1139)</f>
        <v/>
      </c>
      <c r="R1136">
        <f>IF([2]Entry!$E$1139="","",[2]Entry!$E$1139)</f>
        <v/>
      </c>
      <c r="S1136">
        <f>IF([2]Entry!$G$1139="","",[2]Entry!$G$1139)</f>
        <v/>
      </c>
      <c r="T1136">
        <f>IF([2]Entry!$J$1139="","",[2]Entry!$J$1139)</f>
        <v/>
      </c>
      <c r="U1136">
        <f>IF([2]Entry!$K$1139="","",[2]Entry!$K$1139)</f>
        <v/>
      </c>
      <c r="V1136">
        <f>IF([2]Entry!$L$1139="","",[2]Entry!$L$1139)</f>
        <v/>
      </c>
      <c r="W1136">
        <f>IF([2]Entry!$M$1139="","",[2]Entry!$M$1139)</f>
        <v/>
      </c>
      <c r="X1136">
        <f>IF([2]Entry!$N$1139="","",[2]Entry!$N$1139)</f>
        <v/>
      </c>
      <c r="Y1136">
        <f>IF([2]Entry!$R$1139="","",[2]Entry!$R$1139)</f>
        <v/>
      </c>
    </row>
    <row r="1137">
      <c r="P1137">
        <f>IF([2]Entry!$C$1140="","",[2]Entry!$C$1140)</f>
        <v/>
      </c>
      <c r="Q1137">
        <f>IF([2]Entry!$D$1140="","",[2]Entry!$D$1140)</f>
        <v/>
      </c>
      <c r="R1137">
        <f>IF([2]Entry!$E$1140="","",[2]Entry!$E$1140)</f>
        <v/>
      </c>
      <c r="S1137">
        <f>IF([2]Entry!$G$1140="","",[2]Entry!$G$1140)</f>
        <v/>
      </c>
      <c r="T1137">
        <f>IF([2]Entry!$J$1140="","",[2]Entry!$J$1140)</f>
        <v/>
      </c>
      <c r="U1137">
        <f>IF([2]Entry!$K$1140="","",[2]Entry!$K$1140)</f>
        <v/>
      </c>
      <c r="V1137">
        <f>IF([2]Entry!$L$1140="","",[2]Entry!$L$1140)</f>
        <v/>
      </c>
      <c r="W1137">
        <f>IF([2]Entry!$M$1140="","",[2]Entry!$M$1140)</f>
        <v/>
      </c>
      <c r="X1137">
        <f>IF([2]Entry!$N$1140="","",[2]Entry!$N$1140)</f>
        <v/>
      </c>
      <c r="Y1137">
        <f>IF([2]Entry!$R$1140="","",[2]Entry!$R$1140)</f>
        <v/>
      </c>
    </row>
    <row r="1138">
      <c r="P1138">
        <f>IF([2]Entry!$C$1141="","",[2]Entry!$C$1141)</f>
        <v/>
      </c>
      <c r="Q1138">
        <f>IF([2]Entry!$D$1141="","",[2]Entry!$D$1141)</f>
        <v/>
      </c>
      <c r="R1138">
        <f>IF([2]Entry!$E$1141="","",[2]Entry!$E$1141)</f>
        <v/>
      </c>
      <c r="S1138">
        <f>IF([2]Entry!$G$1141="","",[2]Entry!$G$1141)</f>
        <v/>
      </c>
      <c r="T1138">
        <f>IF([2]Entry!$J$1141="","",[2]Entry!$J$1141)</f>
        <v/>
      </c>
      <c r="U1138">
        <f>IF([2]Entry!$K$1141="","",[2]Entry!$K$1141)</f>
        <v/>
      </c>
      <c r="V1138">
        <f>IF([2]Entry!$L$1141="","",[2]Entry!$L$1141)</f>
        <v/>
      </c>
      <c r="W1138">
        <f>IF([2]Entry!$M$1141="","",[2]Entry!$M$1141)</f>
        <v/>
      </c>
      <c r="X1138">
        <f>IF([2]Entry!$N$1141="","",[2]Entry!$N$1141)</f>
        <v/>
      </c>
      <c r="Y1138">
        <f>IF([2]Entry!$R$1141="","",[2]Entry!$R$1141)</f>
        <v/>
      </c>
    </row>
    <row r="1139">
      <c r="P1139">
        <f>IF([2]Entry!$C$1142="","",[2]Entry!$C$1142)</f>
        <v/>
      </c>
      <c r="Q1139">
        <f>IF([2]Entry!$D$1142="","",[2]Entry!$D$1142)</f>
        <v/>
      </c>
      <c r="R1139">
        <f>IF([2]Entry!$E$1142="","",[2]Entry!$E$1142)</f>
        <v/>
      </c>
      <c r="S1139">
        <f>IF([2]Entry!$G$1142="","",[2]Entry!$G$1142)</f>
        <v/>
      </c>
      <c r="T1139">
        <f>IF([2]Entry!$J$1142="","",[2]Entry!$J$1142)</f>
        <v/>
      </c>
      <c r="U1139">
        <f>IF([2]Entry!$K$1142="","",[2]Entry!$K$1142)</f>
        <v/>
      </c>
      <c r="V1139">
        <f>IF([2]Entry!$L$1142="","",[2]Entry!$L$1142)</f>
        <v/>
      </c>
      <c r="W1139">
        <f>IF([2]Entry!$M$1142="","",[2]Entry!$M$1142)</f>
        <v/>
      </c>
      <c r="X1139">
        <f>IF([2]Entry!$N$1142="","",[2]Entry!$N$1142)</f>
        <v/>
      </c>
      <c r="Y1139">
        <f>IF([2]Entry!$R$1142="","",[2]Entry!$R$1142)</f>
        <v/>
      </c>
    </row>
    <row r="1140">
      <c r="P1140">
        <f>IF([2]Entry!$C$1143="","",[2]Entry!$C$1143)</f>
        <v/>
      </c>
      <c r="Q1140">
        <f>IF([2]Entry!$D$1143="","",[2]Entry!$D$1143)</f>
        <v/>
      </c>
      <c r="R1140">
        <f>IF([2]Entry!$E$1143="","",[2]Entry!$E$1143)</f>
        <v/>
      </c>
      <c r="S1140">
        <f>IF([2]Entry!$G$1143="","",[2]Entry!$G$1143)</f>
        <v/>
      </c>
      <c r="T1140">
        <f>IF([2]Entry!$J$1143="","",[2]Entry!$J$1143)</f>
        <v/>
      </c>
      <c r="U1140">
        <f>IF([2]Entry!$K$1143="","",[2]Entry!$K$1143)</f>
        <v/>
      </c>
      <c r="V1140">
        <f>IF([2]Entry!$L$1143="","",[2]Entry!$L$1143)</f>
        <v/>
      </c>
      <c r="W1140">
        <f>IF([2]Entry!$M$1143="","",[2]Entry!$M$1143)</f>
        <v/>
      </c>
      <c r="X1140">
        <f>IF([2]Entry!$N$1143="","",[2]Entry!$N$1143)</f>
        <v/>
      </c>
      <c r="Y1140">
        <f>IF([2]Entry!$R$1143="","",[2]Entry!$R$1143)</f>
        <v/>
      </c>
    </row>
    <row r="1141">
      <c r="P1141">
        <f>IF([2]Entry!$C$1144="","",[2]Entry!$C$1144)</f>
        <v/>
      </c>
      <c r="Q1141">
        <f>IF([2]Entry!$D$1144="","",[2]Entry!$D$1144)</f>
        <v/>
      </c>
      <c r="R1141">
        <f>IF([2]Entry!$E$1144="","",[2]Entry!$E$1144)</f>
        <v/>
      </c>
      <c r="S1141">
        <f>IF([2]Entry!$G$1144="","",[2]Entry!$G$1144)</f>
        <v/>
      </c>
      <c r="T1141">
        <f>IF([2]Entry!$J$1144="","",[2]Entry!$J$1144)</f>
        <v/>
      </c>
      <c r="U1141">
        <f>IF([2]Entry!$K$1144="","",[2]Entry!$K$1144)</f>
        <v/>
      </c>
      <c r="V1141">
        <f>IF([2]Entry!$L$1144="","",[2]Entry!$L$1144)</f>
        <v/>
      </c>
      <c r="W1141">
        <f>IF([2]Entry!$M$1144="","",[2]Entry!$M$1144)</f>
        <v/>
      </c>
      <c r="X1141">
        <f>IF([2]Entry!$N$1144="","",[2]Entry!$N$1144)</f>
        <v/>
      </c>
      <c r="Y1141">
        <f>IF([2]Entry!$R$1144="","",[2]Entry!$R$1144)</f>
        <v/>
      </c>
    </row>
    <row r="1142">
      <c r="P1142">
        <f>IF([2]Entry!$C$1145="","",[2]Entry!$C$1145)</f>
        <v/>
      </c>
      <c r="Q1142">
        <f>IF([2]Entry!$D$1145="","",[2]Entry!$D$1145)</f>
        <v/>
      </c>
      <c r="R1142">
        <f>IF([2]Entry!$E$1145="","",[2]Entry!$E$1145)</f>
        <v/>
      </c>
      <c r="S1142">
        <f>IF([2]Entry!$G$1145="","",[2]Entry!$G$1145)</f>
        <v/>
      </c>
      <c r="T1142">
        <f>IF([2]Entry!$J$1145="","",[2]Entry!$J$1145)</f>
        <v/>
      </c>
      <c r="U1142">
        <f>IF([2]Entry!$K$1145="","",[2]Entry!$K$1145)</f>
        <v/>
      </c>
      <c r="V1142">
        <f>IF([2]Entry!$L$1145="","",[2]Entry!$L$1145)</f>
        <v/>
      </c>
      <c r="W1142">
        <f>IF([2]Entry!$M$1145="","",[2]Entry!$M$1145)</f>
        <v/>
      </c>
      <c r="X1142">
        <f>IF([2]Entry!$N$1145="","",[2]Entry!$N$1145)</f>
        <v/>
      </c>
      <c r="Y1142">
        <f>IF([2]Entry!$R$1145="","",[2]Entry!$R$1145)</f>
        <v/>
      </c>
    </row>
    <row r="1143">
      <c r="P1143">
        <f>IF([2]Entry!$C$1146="","",[2]Entry!$C$1146)</f>
        <v/>
      </c>
      <c r="Q1143">
        <f>IF([2]Entry!$D$1146="","",[2]Entry!$D$1146)</f>
        <v/>
      </c>
      <c r="R1143">
        <f>IF([2]Entry!$E$1146="","",[2]Entry!$E$1146)</f>
        <v/>
      </c>
      <c r="S1143">
        <f>IF([2]Entry!$G$1146="","",[2]Entry!$G$1146)</f>
        <v/>
      </c>
      <c r="T1143">
        <f>IF([2]Entry!$J$1146="","",[2]Entry!$J$1146)</f>
        <v/>
      </c>
      <c r="U1143">
        <f>IF([2]Entry!$K$1146="","",[2]Entry!$K$1146)</f>
        <v/>
      </c>
      <c r="V1143">
        <f>IF([2]Entry!$L$1146="","",[2]Entry!$L$1146)</f>
        <v/>
      </c>
      <c r="W1143">
        <f>IF([2]Entry!$M$1146="","",[2]Entry!$M$1146)</f>
        <v/>
      </c>
      <c r="X1143">
        <f>IF([2]Entry!$N$1146="","",[2]Entry!$N$1146)</f>
        <v/>
      </c>
      <c r="Y1143">
        <f>IF([2]Entry!$R$1146="","",[2]Entry!$R$1146)</f>
        <v/>
      </c>
    </row>
    <row r="1144">
      <c r="P1144">
        <f>IF([2]Entry!$C$1147="","",[2]Entry!$C$1147)</f>
        <v/>
      </c>
      <c r="Q1144">
        <f>IF([2]Entry!$D$1147="","",[2]Entry!$D$1147)</f>
        <v/>
      </c>
      <c r="R1144">
        <f>IF([2]Entry!$E$1147="","",[2]Entry!$E$1147)</f>
        <v/>
      </c>
      <c r="S1144">
        <f>IF([2]Entry!$G$1147="","",[2]Entry!$G$1147)</f>
        <v/>
      </c>
      <c r="T1144">
        <f>IF([2]Entry!$J$1147="","",[2]Entry!$J$1147)</f>
        <v/>
      </c>
      <c r="U1144">
        <f>IF([2]Entry!$K$1147="","",[2]Entry!$K$1147)</f>
        <v/>
      </c>
      <c r="V1144">
        <f>IF([2]Entry!$L$1147="","",[2]Entry!$L$1147)</f>
        <v/>
      </c>
      <c r="W1144">
        <f>IF([2]Entry!$M$1147="","",[2]Entry!$M$1147)</f>
        <v/>
      </c>
      <c r="X1144">
        <f>IF([2]Entry!$N$1147="","",[2]Entry!$N$1147)</f>
        <v/>
      </c>
      <c r="Y1144">
        <f>IF([2]Entry!$R$1147="","",[2]Entry!$R$1147)</f>
        <v/>
      </c>
    </row>
    <row r="1145">
      <c r="P1145">
        <f>IF([2]Entry!$C$1148="","",[2]Entry!$C$1148)</f>
        <v/>
      </c>
      <c r="Q1145">
        <f>IF([2]Entry!$D$1148="","",[2]Entry!$D$1148)</f>
        <v/>
      </c>
      <c r="R1145">
        <f>IF([2]Entry!$E$1148="","",[2]Entry!$E$1148)</f>
        <v/>
      </c>
      <c r="S1145">
        <f>IF([2]Entry!$G$1148="","",[2]Entry!$G$1148)</f>
        <v/>
      </c>
      <c r="T1145">
        <f>IF([2]Entry!$J$1148="","",[2]Entry!$J$1148)</f>
        <v/>
      </c>
      <c r="U1145">
        <f>IF([2]Entry!$K$1148="","",[2]Entry!$K$1148)</f>
        <v/>
      </c>
      <c r="V1145">
        <f>IF([2]Entry!$L$1148="","",[2]Entry!$L$1148)</f>
        <v/>
      </c>
      <c r="W1145">
        <f>IF([2]Entry!$M$1148="","",[2]Entry!$M$1148)</f>
        <v/>
      </c>
      <c r="X1145">
        <f>IF([2]Entry!$N$1148="","",[2]Entry!$N$1148)</f>
        <v/>
      </c>
      <c r="Y1145">
        <f>IF([2]Entry!$R$1148="","",[2]Entry!$R$1148)</f>
        <v/>
      </c>
    </row>
    <row r="1146">
      <c r="P1146">
        <f>IF([2]Entry!$C$1149="","",[2]Entry!$C$1149)</f>
        <v/>
      </c>
      <c r="Q1146">
        <f>IF([2]Entry!$D$1149="","",[2]Entry!$D$1149)</f>
        <v/>
      </c>
      <c r="R1146">
        <f>IF([2]Entry!$E$1149="","",[2]Entry!$E$1149)</f>
        <v/>
      </c>
      <c r="S1146">
        <f>IF([2]Entry!$G$1149="","",[2]Entry!$G$1149)</f>
        <v/>
      </c>
      <c r="T1146">
        <f>IF([2]Entry!$J$1149="","",[2]Entry!$J$1149)</f>
        <v/>
      </c>
      <c r="U1146">
        <f>IF([2]Entry!$K$1149="","",[2]Entry!$K$1149)</f>
        <v/>
      </c>
      <c r="V1146">
        <f>IF([2]Entry!$L$1149="","",[2]Entry!$L$1149)</f>
        <v/>
      </c>
      <c r="W1146">
        <f>IF([2]Entry!$M$1149="","",[2]Entry!$M$1149)</f>
        <v/>
      </c>
      <c r="X1146">
        <f>IF([2]Entry!$N$1149="","",[2]Entry!$N$1149)</f>
        <v/>
      </c>
      <c r="Y1146">
        <f>IF([2]Entry!$R$1149="","",[2]Entry!$R$1149)</f>
        <v/>
      </c>
    </row>
    <row r="1147">
      <c r="P1147">
        <f>IF([2]Entry!$C$1150="","",[2]Entry!$C$1150)</f>
        <v/>
      </c>
      <c r="Q1147">
        <f>IF([2]Entry!$D$1150="","",[2]Entry!$D$1150)</f>
        <v/>
      </c>
      <c r="R1147">
        <f>IF([2]Entry!$E$1150="","",[2]Entry!$E$1150)</f>
        <v/>
      </c>
      <c r="S1147">
        <f>IF([2]Entry!$G$1150="","",[2]Entry!$G$1150)</f>
        <v/>
      </c>
      <c r="T1147">
        <f>IF([2]Entry!$J$1150="","",[2]Entry!$J$1150)</f>
        <v/>
      </c>
      <c r="U1147">
        <f>IF([2]Entry!$K$1150="","",[2]Entry!$K$1150)</f>
        <v/>
      </c>
      <c r="V1147">
        <f>IF([2]Entry!$L$1150="","",[2]Entry!$L$1150)</f>
        <v/>
      </c>
      <c r="W1147">
        <f>IF([2]Entry!$M$1150="","",[2]Entry!$M$1150)</f>
        <v/>
      </c>
      <c r="X1147">
        <f>IF([2]Entry!$N$1150="","",[2]Entry!$N$1150)</f>
        <v/>
      </c>
      <c r="Y1147">
        <f>IF([2]Entry!$R$1150="","",[2]Entry!$R$1150)</f>
        <v/>
      </c>
    </row>
    <row r="1148">
      <c r="P1148">
        <f>IF([2]Entry!$C$1151="","",[2]Entry!$C$1151)</f>
        <v/>
      </c>
      <c r="Q1148">
        <f>IF([2]Entry!$D$1151="","",[2]Entry!$D$1151)</f>
        <v/>
      </c>
      <c r="R1148">
        <f>IF([2]Entry!$E$1151="","",[2]Entry!$E$1151)</f>
        <v/>
      </c>
      <c r="S1148">
        <f>IF([2]Entry!$G$1151="","",[2]Entry!$G$1151)</f>
        <v/>
      </c>
      <c r="T1148">
        <f>IF([2]Entry!$J$1151="","",[2]Entry!$J$1151)</f>
        <v/>
      </c>
      <c r="U1148">
        <f>IF([2]Entry!$K$1151="","",[2]Entry!$K$1151)</f>
        <v/>
      </c>
      <c r="V1148">
        <f>IF([2]Entry!$L$1151="","",[2]Entry!$L$1151)</f>
        <v/>
      </c>
      <c r="W1148">
        <f>IF([2]Entry!$M$1151="","",[2]Entry!$M$1151)</f>
        <v/>
      </c>
      <c r="X1148">
        <f>IF([2]Entry!$N$1151="","",[2]Entry!$N$1151)</f>
        <v/>
      </c>
      <c r="Y1148">
        <f>IF([2]Entry!$R$1151="","",[2]Entry!$R$1151)</f>
        <v/>
      </c>
    </row>
    <row r="1149">
      <c r="P1149">
        <f>IF([2]Entry!$C$1152="","",[2]Entry!$C$1152)</f>
        <v/>
      </c>
      <c r="Q1149">
        <f>IF([2]Entry!$D$1152="","",[2]Entry!$D$1152)</f>
        <v/>
      </c>
      <c r="R1149">
        <f>IF([2]Entry!$E$1152="","",[2]Entry!$E$1152)</f>
        <v/>
      </c>
      <c r="S1149">
        <f>IF([2]Entry!$G$1152="","",[2]Entry!$G$1152)</f>
        <v/>
      </c>
      <c r="T1149">
        <f>IF([2]Entry!$J$1152="","",[2]Entry!$J$1152)</f>
        <v/>
      </c>
      <c r="U1149">
        <f>IF([2]Entry!$K$1152="","",[2]Entry!$K$1152)</f>
        <v/>
      </c>
      <c r="V1149">
        <f>IF([2]Entry!$L$1152="","",[2]Entry!$L$1152)</f>
        <v/>
      </c>
      <c r="W1149">
        <f>IF([2]Entry!$M$1152="","",[2]Entry!$M$1152)</f>
        <v/>
      </c>
      <c r="X1149">
        <f>IF([2]Entry!$N$1152="","",[2]Entry!$N$1152)</f>
        <v/>
      </c>
      <c r="Y1149">
        <f>IF([2]Entry!$R$1152="","",[2]Entry!$R$1152)</f>
        <v/>
      </c>
    </row>
    <row r="1150">
      <c r="P1150">
        <f>IF([2]Entry!$C$1153="","",[2]Entry!$C$1153)</f>
        <v/>
      </c>
      <c r="Q1150">
        <f>IF([2]Entry!$D$1153="","",[2]Entry!$D$1153)</f>
        <v/>
      </c>
      <c r="R1150">
        <f>IF([2]Entry!$E$1153="","",[2]Entry!$E$1153)</f>
        <v/>
      </c>
      <c r="S1150">
        <f>IF([2]Entry!$G$1153="","",[2]Entry!$G$1153)</f>
        <v/>
      </c>
      <c r="T1150">
        <f>IF([2]Entry!$J$1153="","",[2]Entry!$J$1153)</f>
        <v/>
      </c>
      <c r="U1150">
        <f>IF([2]Entry!$K$1153="","",[2]Entry!$K$1153)</f>
        <v/>
      </c>
      <c r="V1150">
        <f>IF([2]Entry!$L$1153="","",[2]Entry!$L$1153)</f>
        <v/>
      </c>
      <c r="W1150">
        <f>IF([2]Entry!$M$1153="","",[2]Entry!$M$1153)</f>
        <v/>
      </c>
      <c r="X1150">
        <f>IF([2]Entry!$N$1153="","",[2]Entry!$N$1153)</f>
        <v/>
      </c>
      <c r="Y1150">
        <f>IF([2]Entry!$R$1153="","",[2]Entry!$R$1153)</f>
        <v/>
      </c>
    </row>
    <row r="1151">
      <c r="P1151">
        <f>IF([2]Entry!$C$1154="","",[2]Entry!$C$1154)</f>
        <v/>
      </c>
      <c r="Q1151">
        <f>IF([2]Entry!$D$1154="","",[2]Entry!$D$1154)</f>
        <v/>
      </c>
      <c r="R1151">
        <f>IF([2]Entry!$E$1154="","",[2]Entry!$E$1154)</f>
        <v/>
      </c>
      <c r="S1151">
        <f>IF([2]Entry!$G$1154="","",[2]Entry!$G$1154)</f>
        <v/>
      </c>
      <c r="T1151">
        <f>IF([2]Entry!$J$1154="","",[2]Entry!$J$1154)</f>
        <v/>
      </c>
      <c r="U1151">
        <f>IF([2]Entry!$K$1154="","",[2]Entry!$K$1154)</f>
        <v/>
      </c>
      <c r="V1151">
        <f>IF([2]Entry!$L$1154="","",[2]Entry!$L$1154)</f>
        <v/>
      </c>
      <c r="W1151">
        <f>IF([2]Entry!$M$1154="","",[2]Entry!$M$1154)</f>
        <v/>
      </c>
      <c r="X1151">
        <f>IF([2]Entry!$N$1154="","",[2]Entry!$N$1154)</f>
        <v/>
      </c>
      <c r="Y1151">
        <f>IF([2]Entry!$R$1154="","",[2]Entry!$R$1154)</f>
        <v/>
      </c>
    </row>
    <row r="1152">
      <c r="P1152">
        <f>IF([2]Entry!$C$1155="","",[2]Entry!$C$1155)</f>
        <v/>
      </c>
      <c r="Q1152">
        <f>IF([2]Entry!$D$1155="","",[2]Entry!$D$1155)</f>
        <v/>
      </c>
      <c r="R1152">
        <f>IF([2]Entry!$E$1155="","",[2]Entry!$E$1155)</f>
        <v/>
      </c>
      <c r="S1152">
        <f>IF([2]Entry!$G$1155="","",[2]Entry!$G$1155)</f>
        <v/>
      </c>
      <c r="T1152">
        <f>IF([2]Entry!$J$1155="","",[2]Entry!$J$1155)</f>
        <v/>
      </c>
      <c r="U1152">
        <f>IF([2]Entry!$K$1155="","",[2]Entry!$K$1155)</f>
        <v/>
      </c>
      <c r="V1152">
        <f>IF([2]Entry!$L$1155="","",[2]Entry!$L$1155)</f>
        <v/>
      </c>
      <c r="W1152">
        <f>IF([2]Entry!$M$1155="","",[2]Entry!$M$1155)</f>
        <v/>
      </c>
      <c r="X1152">
        <f>IF([2]Entry!$N$1155="","",[2]Entry!$N$1155)</f>
        <v/>
      </c>
      <c r="Y1152">
        <f>IF([2]Entry!$R$1155="","",[2]Entry!$R$1155)</f>
        <v/>
      </c>
    </row>
    <row r="1153">
      <c r="P1153">
        <f>IF([2]Entry!$C$1156="","",[2]Entry!$C$1156)</f>
        <v/>
      </c>
      <c r="Q1153">
        <f>IF([2]Entry!$D$1156="","",[2]Entry!$D$1156)</f>
        <v/>
      </c>
      <c r="R1153">
        <f>IF([2]Entry!$E$1156="","",[2]Entry!$E$1156)</f>
        <v/>
      </c>
      <c r="S1153">
        <f>IF([2]Entry!$G$1156="","",[2]Entry!$G$1156)</f>
        <v/>
      </c>
      <c r="T1153">
        <f>IF([2]Entry!$J$1156="","",[2]Entry!$J$1156)</f>
        <v/>
      </c>
      <c r="U1153">
        <f>IF([2]Entry!$K$1156="","",[2]Entry!$K$1156)</f>
        <v/>
      </c>
      <c r="V1153">
        <f>IF([2]Entry!$L$1156="","",[2]Entry!$L$1156)</f>
        <v/>
      </c>
      <c r="W1153">
        <f>IF([2]Entry!$M$1156="","",[2]Entry!$M$1156)</f>
        <v/>
      </c>
      <c r="X1153">
        <f>IF([2]Entry!$N$1156="","",[2]Entry!$N$1156)</f>
        <v/>
      </c>
      <c r="Y1153">
        <f>IF([2]Entry!$R$1156="","",[2]Entry!$R$1156)</f>
        <v/>
      </c>
    </row>
    <row r="1154">
      <c r="P1154">
        <f>IF([2]Entry!$C$1157="","",[2]Entry!$C$1157)</f>
        <v/>
      </c>
      <c r="Q1154">
        <f>IF([2]Entry!$D$1157="","",[2]Entry!$D$1157)</f>
        <v/>
      </c>
      <c r="R1154">
        <f>IF([2]Entry!$E$1157="","",[2]Entry!$E$1157)</f>
        <v/>
      </c>
      <c r="S1154">
        <f>IF([2]Entry!$G$1157="","",[2]Entry!$G$1157)</f>
        <v/>
      </c>
      <c r="T1154">
        <f>IF([2]Entry!$J$1157="","",[2]Entry!$J$1157)</f>
        <v/>
      </c>
      <c r="U1154">
        <f>IF([2]Entry!$K$1157="","",[2]Entry!$K$1157)</f>
        <v/>
      </c>
      <c r="V1154">
        <f>IF([2]Entry!$L$1157="","",[2]Entry!$L$1157)</f>
        <v/>
      </c>
      <c r="W1154">
        <f>IF([2]Entry!$M$1157="","",[2]Entry!$M$1157)</f>
        <v/>
      </c>
      <c r="X1154">
        <f>IF([2]Entry!$N$1157="","",[2]Entry!$N$1157)</f>
        <v/>
      </c>
      <c r="Y1154">
        <f>IF([2]Entry!$R$1157="","",[2]Entry!$R$1157)</f>
        <v/>
      </c>
    </row>
    <row r="1155">
      <c r="P1155">
        <f>IF([2]Entry!$C$1158="","",[2]Entry!$C$1158)</f>
        <v/>
      </c>
      <c r="Q1155">
        <f>IF([2]Entry!$D$1158="","",[2]Entry!$D$1158)</f>
        <v/>
      </c>
      <c r="R1155">
        <f>IF([2]Entry!$E$1158="","",[2]Entry!$E$1158)</f>
        <v/>
      </c>
      <c r="S1155">
        <f>IF([2]Entry!$G$1158="","",[2]Entry!$G$1158)</f>
        <v/>
      </c>
      <c r="T1155">
        <f>IF([2]Entry!$J$1158="","",[2]Entry!$J$1158)</f>
        <v/>
      </c>
      <c r="U1155">
        <f>IF([2]Entry!$K$1158="","",[2]Entry!$K$1158)</f>
        <v/>
      </c>
      <c r="V1155">
        <f>IF([2]Entry!$L$1158="","",[2]Entry!$L$1158)</f>
        <v/>
      </c>
      <c r="W1155">
        <f>IF([2]Entry!$M$1158="","",[2]Entry!$M$1158)</f>
        <v/>
      </c>
      <c r="X1155">
        <f>IF([2]Entry!$N$1158="","",[2]Entry!$N$1158)</f>
        <v/>
      </c>
      <c r="Y1155">
        <f>IF([2]Entry!$R$1158="","",[2]Entry!$R$1158)</f>
        <v/>
      </c>
    </row>
    <row r="1156">
      <c r="P1156">
        <f>IF([2]Entry!$C$1159="","",[2]Entry!$C$1159)</f>
        <v/>
      </c>
      <c r="Q1156">
        <f>IF([2]Entry!$D$1159="","",[2]Entry!$D$1159)</f>
        <v/>
      </c>
      <c r="R1156">
        <f>IF([2]Entry!$E$1159="","",[2]Entry!$E$1159)</f>
        <v/>
      </c>
      <c r="S1156">
        <f>IF([2]Entry!$G$1159="","",[2]Entry!$G$1159)</f>
        <v/>
      </c>
      <c r="T1156">
        <f>IF([2]Entry!$J$1159="","",[2]Entry!$J$1159)</f>
        <v/>
      </c>
      <c r="U1156">
        <f>IF([2]Entry!$K$1159="","",[2]Entry!$K$1159)</f>
        <v/>
      </c>
      <c r="V1156">
        <f>IF([2]Entry!$L$1159="","",[2]Entry!$L$1159)</f>
        <v/>
      </c>
      <c r="W1156">
        <f>IF([2]Entry!$M$1159="","",[2]Entry!$M$1159)</f>
        <v/>
      </c>
      <c r="X1156">
        <f>IF([2]Entry!$N$1159="","",[2]Entry!$N$1159)</f>
        <v/>
      </c>
      <c r="Y1156">
        <f>IF([2]Entry!$R$1159="","",[2]Entry!$R$1159)</f>
        <v/>
      </c>
    </row>
    <row r="1157">
      <c r="P1157">
        <f>IF([2]Entry!$C$1160="","",[2]Entry!$C$1160)</f>
        <v/>
      </c>
      <c r="Q1157">
        <f>IF([2]Entry!$D$1160="","",[2]Entry!$D$1160)</f>
        <v/>
      </c>
      <c r="R1157">
        <f>IF([2]Entry!$E$1160="","",[2]Entry!$E$1160)</f>
        <v/>
      </c>
      <c r="S1157">
        <f>IF([2]Entry!$G$1160="","",[2]Entry!$G$1160)</f>
        <v/>
      </c>
      <c r="T1157">
        <f>IF([2]Entry!$J$1160="","",[2]Entry!$J$1160)</f>
        <v/>
      </c>
      <c r="U1157">
        <f>IF([2]Entry!$K$1160="","",[2]Entry!$K$1160)</f>
        <v/>
      </c>
      <c r="V1157">
        <f>IF([2]Entry!$L$1160="","",[2]Entry!$L$1160)</f>
        <v/>
      </c>
      <c r="W1157">
        <f>IF([2]Entry!$M$1160="","",[2]Entry!$M$1160)</f>
        <v/>
      </c>
      <c r="X1157">
        <f>IF([2]Entry!$N$1160="","",[2]Entry!$N$1160)</f>
        <v/>
      </c>
      <c r="Y1157">
        <f>IF([2]Entry!$R$1160="","",[2]Entry!$R$1160)</f>
        <v/>
      </c>
    </row>
    <row r="1158">
      <c r="P1158">
        <f>IF([2]Entry!$C$1161="","",[2]Entry!$C$1161)</f>
        <v/>
      </c>
      <c r="Q1158">
        <f>IF([2]Entry!$D$1161="","",[2]Entry!$D$1161)</f>
        <v/>
      </c>
      <c r="R1158">
        <f>IF([2]Entry!$E$1161="","",[2]Entry!$E$1161)</f>
        <v/>
      </c>
      <c r="S1158">
        <f>IF([2]Entry!$G$1161="","",[2]Entry!$G$1161)</f>
        <v/>
      </c>
      <c r="T1158">
        <f>IF([2]Entry!$J$1161="","",[2]Entry!$J$1161)</f>
        <v/>
      </c>
      <c r="U1158">
        <f>IF([2]Entry!$K$1161="","",[2]Entry!$K$1161)</f>
        <v/>
      </c>
      <c r="V1158">
        <f>IF([2]Entry!$L$1161="","",[2]Entry!$L$1161)</f>
        <v/>
      </c>
      <c r="W1158">
        <f>IF([2]Entry!$M$1161="","",[2]Entry!$M$1161)</f>
        <v/>
      </c>
      <c r="X1158">
        <f>IF([2]Entry!$N$1161="","",[2]Entry!$N$1161)</f>
        <v/>
      </c>
      <c r="Y1158">
        <f>IF([2]Entry!$R$1161="","",[2]Entry!$R$1161)</f>
        <v/>
      </c>
    </row>
    <row r="1159">
      <c r="P1159">
        <f>IF([2]Entry!$C$1162="","",[2]Entry!$C$1162)</f>
        <v/>
      </c>
      <c r="Q1159">
        <f>IF([2]Entry!$D$1162="","",[2]Entry!$D$1162)</f>
        <v/>
      </c>
      <c r="R1159">
        <f>IF([2]Entry!$E$1162="","",[2]Entry!$E$1162)</f>
        <v/>
      </c>
      <c r="S1159">
        <f>IF([2]Entry!$G$1162="","",[2]Entry!$G$1162)</f>
        <v/>
      </c>
      <c r="T1159">
        <f>IF([2]Entry!$J$1162="","",[2]Entry!$J$1162)</f>
        <v/>
      </c>
      <c r="U1159">
        <f>IF([2]Entry!$K$1162="","",[2]Entry!$K$1162)</f>
        <v/>
      </c>
      <c r="V1159">
        <f>IF([2]Entry!$L$1162="","",[2]Entry!$L$1162)</f>
        <v/>
      </c>
      <c r="W1159">
        <f>IF([2]Entry!$M$1162="","",[2]Entry!$M$1162)</f>
        <v/>
      </c>
      <c r="X1159">
        <f>IF([2]Entry!$N$1162="","",[2]Entry!$N$1162)</f>
        <v/>
      </c>
      <c r="Y1159">
        <f>IF([2]Entry!$R$1162="","",[2]Entry!$R$1162)</f>
        <v/>
      </c>
    </row>
    <row r="1160">
      <c r="P1160">
        <f>IF([2]Entry!$C$1163="","",[2]Entry!$C$1163)</f>
        <v/>
      </c>
      <c r="Q1160">
        <f>IF([2]Entry!$D$1163="","",[2]Entry!$D$1163)</f>
        <v/>
      </c>
      <c r="R1160">
        <f>IF([2]Entry!$E$1163="","",[2]Entry!$E$1163)</f>
        <v/>
      </c>
      <c r="S1160">
        <f>IF([2]Entry!$G$1163="","",[2]Entry!$G$1163)</f>
        <v/>
      </c>
      <c r="T1160">
        <f>IF([2]Entry!$J$1163="","",[2]Entry!$J$1163)</f>
        <v/>
      </c>
      <c r="U1160">
        <f>IF([2]Entry!$K$1163="","",[2]Entry!$K$1163)</f>
        <v/>
      </c>
      <c r="V1160">
        <f>IF([2]Entry!$L$1163="","",[2]Entry!$L$1163)</f>
        <v/>
      </c>
      <c r="W1160">
        <f>IF([2]Entry!$M$1163="","",[2]Entry!$M$1163)</f>
        <v/>
      </c>
      <c r="X1160">
        <f>IF([2]Entry!$N$1163="","",[2]Entry!$N$1163)</f>
        <v/>
      </c>
      <c r="Y1160">
        <f>IF([2]Entry!$R$1163="","",[2]Entry!$R$1163)</f>
        <v/>
      </c>
    </row>
    <row r="1161">
      <c r="P1161">
        <f>IF([2]Entry!$C$1164="","",[2]Entry!$C$1164)</f>
        <v/>
      </c>
      <c r="Q1161">
        <f>IF([2]Entry!$D$1164="","",[2]Entry!$D$1164)</f>
        <v/>
      </c>
      <c r="R1161">
        <f>IF([2]Entry!$E$1164="","",[2]Entry!$E$1164)</f>
        <v/>
      </c>
      <c r="S1161">
        <f>IF([2]Entry!$G$1164="","",[2]Entry!$G$1164)</f>
        <v/>
      </c>
      <c r="T1161">
        <f>IF([2]Entry!$J$1164="","",[2]Entry!$J$1164)</f>
        <v/>
      </c>
      <c r="U1161">
        <f>IF([2]Entry!$K$1164="","",[2]Entry!$K$1164)</f>
        <v/>
      </c>
      <c r="V1161">
        <f>IF([2]Entry!$L$1164="","",[2]Entry!$L$1164)</f>
        <v/>
      </c>
      <c r="W1161">
        <f>IF([2]Entry!$M$1164="","",[2]Entry!$M$1164)</f>
        <v/>
      </c>
      <c r="X1161">
        <f>IF([2]Entry!$N$1164="","",[2]Entry!$N$1164)</f>
        <v/>
      </c>
      <c r="Y1161">
        <f>IF([2]Entry!$R$1164="","",[2]Entry!$R$1164)</f>
        <v/>
      </c>
    </row>
    <row r="1162">
      <c r="P1162">
        <f>IF([2]Entry!$C$1165="","",[2]Entry!$C$1165)</f>
        <v/>
      </c>
      <c r="Q1162">
        <f>IF([2]Entry!$D$1165="","",[2]Entry!$D$1165)</f>
        <v/>
      </c>
      <c r="R1162">
        <f>IF([2]Entry!$E$1165="","",[2]Entry!$E$1165)</f>
        <v/>
      </c>
      <c r="S1162">
        <f>IF([2]Entry!$G$1165="","",[2]Entry!$G$1165)</f>
        <v/>
      </c>
      <c r="T1162">
        <f>IF([2]Entry!$J$1165="","",[2]Entry!$J$1165)</f>
        <v/>
      </c>
      <c r="U1162">
        <f>IF([2]Entry!$K$1165="","",[2]Entry!$K$1165)</f>
        <v/>
      </c>
      <c r="V1162">
        <f>IF([2]Entry!$L$1165="","",[2]Entry!$L$1165)</f>
        <v/>
      </c>
      <c r="W1162">
        <f>IF([2]Entry!$M$1165="","",[2]Entry!$M$1165)</f>
        <v/>
      </c>
      <c r="X1162">
        <f>IF([2]Entry!$N$1165="","",[2]Entry!$N$1165)</f>
        <v/>
      </c>
      <c r="Y1162">
        <f>IF([2]Entry!$R$1165="","",[2]Entry!$R$1165)</f>
        <v/>
      </c>
    </row>
    <row r="1163">
      <c r="P1163">
        <f>IF([2]Entry!$C$1166="","",[2]Entry!$C$1166)</f>
        <v/>
      </c>
      <c r="Q1163">
        <f>IF([2]Entry!$D$1166="","",[2]Entry!$D$1166)</f>
        <v/>
      </c>
      <c r="R1163">
        <f>IF([2]Entry!$E$1166="","",[2]Entry!$E$1166)</f>
        <v/>
      </c>
      <c r="S1163">
        <f>IF([2]Entry!$G$1166="","",[2]Entry!$G$1166)</f>
        <v/>
      </c>
      <c r="T1163">
        <f>IF([2]Entry!$J$1166="","",[2]Entry!$J$1166)</f>
        <v/>
      </c>
      <c r="U1163">
        <f>IF([2]Entry!$K$1166="","",[2]Entry!$K$1166)</f>
        <v/>
      </c>
      <c r="V1163">
        <f>IF([2]Entry!$L$1166="","",[2]Entry!$L$1166)</f>
        <v/>
      </c>
      <c r="W1163">
        <f>IF([2]Entry!$M$1166="","",[2]Entry!$M$1166)</f>
        <v/>
      </c>
      <c r="X1163">
        <f>IF([2]Entry!$N$1166="","",[2]Entry!$N$1166)</f>
        <v/>
      </c>
      <c r="Y1163">
        <f>IF([2]Entry!$R$1166="","",[2]Entry!$R$1166)</f>
        <v/>
      </c>
    </row>
    <row r="1164">
      <c r="P1164">
        <f>IF([2]Entry!$C$1167="","",[2]Entry!$C$1167)</f>
        <v/>
      </c>
      <c r="Q1164">
        <f>IF([2]Entry!$D$1167="","",[2]Entry!$D$1167)</f>
        <v/>
      </c>
      <c r="R1164">
        <f>IF([2]Entry!$E$1167="","",[2]Entry!$E$1167)</f>
        <v/>
      </c>
      <c r="S1164">
        <f>IF([2]Entry!$G$1167="","",[2]Entry!$G$1167)</f>
        <v/>
      </c>
      <c r="T1164">
        <f>IF([2]Entry!$J$1167="","",[2]Entry!$J$1167)</f>
        <v/>
      </c>
      <c r="U1164">
        <f>IF([2]Entry!$K$1167="","",[2]Entry!$K$1167)</f>
        <v/>
      </c>
      <c r="V1164">
        <f>IF([2]Entry!$L$1167="","",[2]Entry!$L$1167)</f>
        <v/>
      </c>
      <c r="W1164">
        <f>IF([2]Entry!$M$1167="","",[2]Entry!$M$1167)</f>
        <v/>
      </c>
      <c r="X1164">
        <f>IF([2]Entry!$N$1167="","",[2]Entry!$N$1167)</f>
        <v/>
      </c>
      <c r="Y1164">
        <f>IF([2]Entry!$R$1167="","",[2]Entry!$R$1167)</f>
        <v/>
      </c>
    </row>
    <row r="1165">
      <c r="P1165">
        <f>IF([2]Entry!$C$1168="","",[2]Entry!$C$1168)</f>
        <v/>
      </c>
      <c r="Q1165">
        <f>IF([2]Entry!$D$1168="","",[2]Entry!$D$1168)</f>
        <v/>
      </c>
      <c r="R1165">
        <f>IF([2]Entry!$E$1168="","",[2]Entry!$E$1168)</f>
        <v/>
      </c>
      <c r="S1165">
        <f>IF([2]Entry!$G$1168="","",[2]Entry!$G$1168)</f>
        <v/>
      </c>
      <c r="T1165">
        <f>IF([2]Entry!$J$1168="","",[2]Entry!$J$1168)</f>
        <v/>
      </c>
      <c r="U1165">
        <f>IF([2]Entry!$K$1168="","",[2]Entry!$K$1168)</f>
        <v/>
      </c>
      <c r="V1165">
        <f>IF([2]Entry!$L$1168="","",[2]Entry!$L$1168)</f>
        <v/>
      </c>
      <c r="W1165">
        <f>IF([2]Entry!$M$1168="","",[2]Entry!$M$1168)</f>
        <v/>
      </c>
      <c r="X1165">
        <f>IF([2]Entry!$N$1168="","",[2]Entry!$N$1168)</f>
        <v/>
      </c>
      <c r="Y1165">
        <f>IF([2]Entry!$R$1168="","",[2]Entry!$R$1168)</f>
        <v/>
      </c>
    </row>
    <row r="1166">
      <c r="P1166">
        <f>IF([2]Entry!$C$1169="","",[2]Entry!$C$1169)</f>
        <v/>
      </c>
      <c r="Q1166">
        <f>IF([2]Entry!$D$1169="","",[2]Entry!$D$1169)</f>
        <v/>
      </c>
      <c r="R1166">
        <f>IF([2]Entry!$E$1169="","",[2]Entry!$E$1169)</f>
        <v/>
      </c>
      <c r="S1166">
        <f>IF([2]Entry!$G$1169="","",[2]Entry!$G$1169)</f>
        <v/>
      </c>
      <c r="T1166">
        <f>IF([2]Entry!$J$1169="","",[2]Entry!$J$1169)</f>
        <v/>
      </c>
      <c r="U1166">
        <f>IF([2]Entry!$K$1169="","",[2]Entry!$K$1169)</f>
        <v/>
      </c>
      <c r="V1166">
        <f>IF([2]Entry!$L$1169="","",[2]Entry!$L$1169)</f>
        <v/>
      </c>
      <c r="W1166">
        <f>IF([2]Entry!$M$1169="","",[2]Entry!$M$1169)</f>
        <v/>
      </c>
      <c r="X1166">
        <f>IF([2]Entry!$N$1169="","",[2]Entry!$N$1169)</f>
        <v/>
      </c>
      <c r="Y1166">
        <f>IF([2]Entry!$R$1169="","",[2]Entry!$R$1169)</f>
        <v/>
      </c>
    </row>
    <row r="1167">
      <c r="P1167">
        <f>IF([2]Entry!$C$1170="","",[2]Entry!$C$1170)</f>
        <v/>
      </c>
      <c r="Q1167">
        <f>IF([2]Entry!$D$1170="","",[2]Entry!$D$1170)</f>
        <v/>
      </c>
      <c r="R1167">
        <f>IF([2]Entry!$E$1170="","",[2]Entry!$E$1170)</f>
        <v/>
      </c>
      <c r="S1167">
        <f>IF([2]Entry!$G$1170="","",[2]Entry!$G$1170)</f>
        <v/>
      </c>
      <c r="T1167">
        <f>IF([2]Entry!$J$1170="","",[2]Entry!$J$1170)</f>
        <v/>
      </c>
      <c r="U1167">
        <f>IF([2]Entry!$K$1170="","",[2]Entry!$K$1170)</f>
        <v/>
      </c>
      <c r="V1167">
        <f>IF([2]Entry!$L$1170="","",[2]Entry!$L$1170)</f>
        <v/>
      </c>
      <c r="W1167">
        <f>IF([2]Entry!$M$1170="","",[2]Entry!$M$1170)</f>
        <v/>
      </c>
      <c r="X1167">
        <f>IF([2]Entry!$N$1170="","",[2]Entry!$N$1170)</f>
        <v/>
      </c>
      <c r="Y1167">
        <f>IF([2]Entry!$R$1170="","",[2]Entry!$R$1170)</f>
        <v/>
      </c>
    </row>
    <row r="1168">
      <c r="P1168">
        <f>IF([2]Entry!$C$1171="","",[2]Entry!$C$1171)</f>
        <v/>
      </c>
      <c r="Q1168">
        <f>IF([2]Entry!$D$1171="","",[2]Entry!$D$1171)</f>
        <v/>
      </c>
      <c r="R1168">
        <f>IF([2]Entry!$E$1171="","",[2]Entry!$E$1171)</f>
        <v/>
      </c>
      <c r="S1168">
        <f>IF([2]Entry!$G$1171="","",[2]Entry!$G$1171)</f>
        <v/>
      </c>
      <c r="T1168">
        <f>IF([2]Entry!$J$1171="","",[2]Entry!$J$1171)</f>
        <v/>
      </c>
      <c r="U1168">
        <f>IF([2]Entry!$K$1171="","",[2]Entry!$K$1171)</f>
        <v/>
      </c>
      <c r="V1168">
        <f>IF([2]Entry!$L$1171="","",[2]Entry!$L$1171)</f>
        <v/>
      </c>
      <c r="W1168">
        <f>IF([2]Entry!$M$1171="","",[2]Entry!$M$1171)</f>
        <v/>
      </c>
      <c r="X1168">
        <f>IF([2]Entry!$N$1171="","",[2]Entry!$N$1171)</f>
        <v/>
      </c>
      <c r="Y1168">
        <f>IF([2]Entry!$R$1171="","",[2]Entry!$R$1171)</f>
        <v/>
      </c>
    </row>
    <row r="1169">
      <c r="P1169">
        <f>IF([2]Entry!$C$1172="","",[2]Entry!$C$1172)</f>
        <v/>
      </c>
      <c r="Q1169">
        <f>IF([2]Entry!$D$1172="","",[2]Entry!$D$1172)</f>
        <v/>
      </c>
      <c r="R1169">
        <f>IF([2]Entry!$E$1172="","",[2]Entry!$E$1172)</f>
        <v/>
      </c>
      <c r="S1169">
        <f>IF([2]Entry!$G$1172="","",[2]Entry!$G$1172)</f>
        <v/>
      </c>
      <c r="T1169">
        <f>IF([2]Entry!$J$1172="","",[2]Entry!$J$1172)</f>
        <v/>
      </c>
      <c r="U1169">
        <f>IF([2]Entry!$K$1172="","",[2]Entry!$K$1172)</f>
        <v/>
      </c>
      <c r="V1169">
        <f>IF([2]Entry!$L$1172="","",[2]Entry!$L$1172)</f>
        <v/>
      </c>
      <c r="W1169">
        <f>IF([2]Entry!$M$1172="","",[2]Entry!$M$1172)</f>
        <v/>
      </c>
      <c r="X1169">
        <f>IF([2]Entry!$N$1172="","",[2]Entry!$N$1172)</f>
        <v/>
      </c>
      <c r="Y1169">
        <f>IF([2]Entry!$R$1172="","",[2]Entry!$R$1172)</f>
        <v/>
      </c>
    </row>
    <row r="1170">
      <c r="P1170">
        <f>IF([2]Entry!$C$1173="","",[2]Entry!$C$1173)</f>
        <v/>
      </c>
      <c r="Q1170">
        <f>IF([2]Entry!$D$1173="","",[2]Entry!$D$1173)</f>
        <v/>
      </c>
      <c r="R1170">
        <f>IF([2]Entry!$E$1173="","",[2]Entry!$E$1173)</f>
        <v/>
      </c>
      <c r="S1170">
        <f>IF([2]Entry!$G$1173="","",[2]Entry!$G$1173)</f>
        <v/>
      </c>
      <c r="T1170">
        <f>IF([2]Entry!$J$1173="","",[2]Entry!$J$1173)</f>
        <v/>
      </c>
      <c r="U1170">
        <f>IF([2]Entry!$K$1173="","",[2]Entry!$K$1173)</f>
        <v/>
      </c>
      <c r="V1170">
        <f>IF([2]Entry!$L$1173="","",[2]Entry!$L$1173)</f>
        <v/>
      </c>
      <c r="W1170">
        <f>IF([2]Entry!$M$1173="","",[2]Entry!$M$1173)</f>
        <v/>
      </c>
      <c r="X1170">
        <f>IF([2]Entry!$N$1173="","",[2]Entry!$N$1173)</f>
        <v/>
      </c>
      <c r="Y1170">
        <f>IF([2]Entry!$R$1173="","",[2]Entry!$R$1173)</f>
        <v/>
      </c>
    </row>
    <row r="1171">
      <c r="P1171">
        <f>IF([2]Entry!$C$1174="","",[2]Entry!$C$1174)</f>
        <v/>
      </c>
      <c r="Q1171">
        <f>IF([2]Entry!$D$1174="","",[2]Entry!$D$1174)</f>
        <v/>
      </c>
      <c r="R1171">
        <f>IF([2]Entry!$E$1174="","",[2]Entry!$E$1174)</f>
        <v/>
      </c>
      <c r="S1171">
        <f>IF([2]Entry!$G$1174="","",[2]Entry!$G$1174)</f>
        <v/>
      </c>
      <c r="T1171">
        <f>IF([2]Entry!$J$1174="","",[2]Entry!$J$1174)</f>
        <v/>
      </c>
      <c r="U1171">
        <f>IF([2]Entry!$K$1174="","",[2]Entry!$K$1174)</f>
        <v/>
      </c>
      <c r="V1171">
        <f>IF([2]Entry!$L$1174="","",[2]Entry!$L$1174)</f>
        <v/>
      </c>
      <c r="W1171">
        <f>IF([2]Entry!$M$1174="","",[2]Entry!$M$1174)</f>
        <v/>
      </c>
      <c r="X1171">
        <f>IF([2]Entry!$N$1174="","",[2]Entry!$N$1174)</f>
        <v/>
      </c>
      <c r="Y1171">
        <f>IF([2]Entry!$R$1174="","",[2]Entry!$R$1174)</f>
        <v/>
      </c>
    </row>
    <row r="1172">
      <c r="P1172">
        <f>IF([2]Entry!$C$1175="","",[2]Entry!$C$1175)</f>
        <v/>
      </c>
      <c r="Q1172">
        <f>IF([2]Entry!$D$1175="","",[2]Entry!$D$1175)</f>
        <v/>
      </c>
      <c r="R1172">
        <f>IF([2]Entry!$E$1175="","",[2]Entry!$E$1175)</f>
        <v/>
      </c>
      <c r="S1172">
        <f>IF([2]Entry!$G$1175="","",[2]Entry!$G$1175)</f>
        <v/>
      </c>
      <c r="T1172">
        <f>IF([2]Entry!$J$1175="","",[2]Entry!$J$1175)</f>
        <v/>
      </c>
      <c r="U1172">
        <f>IF([2]Entry!$K$1175="","",[2]Entry!$K$1175)</f>
        <v/>
      </c>
      <c r="V1172">
        <f>IF([2]Entry!$L$1175="","",[2]Entry!$L$1175)</f>
        <v/>
      </c>
      <c r="W1172">
        <f>IF([2]Entry!$M$1175="","",[2]Entry!$M$1175)</f>
        <v/>
      </c>
      <c r="X1172">
        <f>IF([2]Entry!$N$1175="","",[2]Entry!$N$1175)</f>
        <v/>
      </c>
      <c r="Y1172">
        <f>IF([2]Entry!$R$1175="","",[2]Entry!$R$1175)</f>
        <v/>
      </c>
    </row>
    <row r="1173">
      <c r="P1173">
        <f>IF([2]Entry!$C$1176="","",[2]Entry!$C$1176)</f>
        <v/>
      </c>
      <c r="Q1173">
        <f>IF([2]Entry!$D$1176="","",[2]Entry!$D$1176)</f>
        <v/>
      </c>
      <c r="R1173">
        <f>IF([2]Entry!$E$1176="","",[2]Entry!$E$1176)</f>
        <v/>
      </c>
      <c r="S1173">
        <f>IF([2]Entry!$G$1176="","",[2]Entry!$G$1176)</f>
        <v/>
      </c>
      <c r="T1173">
        <f>IF([2]Entry!$J$1176="","",[2]Entry!$J$1176)</f>
        <v/>
      </c>
      <c r="U1173">
        <f>IF([2]Entry!$K$1176="","",[2]Entry!$K$1176)</f>
        <v/>
      </c>
      <c r="V1173">
        <f>IF([2]Entry!$L$1176="","",[2]Entry!$L$1176)</f>
        <v/>
      </c>
      <c r="W1173">
        <f>IF([2]Entry!$M$1176="","",[2]Entry!$M$1176)</f>
        <v/>
      </c>
      <c r="X1173">
        <f>IF([2]Entry!$N$1176="","",[2]Entry!$N$1176)</f>
        <v/>
      </c>
      <c r="Y1173">
        <f>IF([2]Entry!$R$1176="","",[2]Entry!$R$1176)</f>
        <v/>
      </c>
    </row>
    <row r="1174">
      <c r="P1174">
        <f>IF([2]Entry!$C$1177="","",[2]Entry!$C$1177)</f>
        <v/>
      </c>
      <c r="Q1174">
        <f>IF([2]Entry!$D$1177="","",[2]Entry!$D$1177)</f>
        <v/>
      </c>
      <c r="R1174">
        <f>IF([2]Entry!$E$1177="","",[2]Entry!$E$1177)</f>
        <v/>
      </c>
      <c r="S1174">
        <f>IF([2]Entry!$G$1177="","",[2]Entry!$G$1177)</f>
        <v/>
      </c>
      <c r="T1174">
        <f>IF([2]Entry!$J$1177="","",[2]Entry!$J$1177)</f>
        <v/>
      </c>
      <c r="U1174">
        <f>IF([2]Entry!$K$1177="","",[2]Entry!$K$1177)</f>
        <v/>
      </c>
      <c r="V1174">
        <f>IF([2]Entry!$L$1177="","",[2]Entry!$L$1177)</f>
        <v/>
      </c>
      <c r="W1174">
        <f>IF([2]Entry!$M$1177="","",[2]Entry!$M$1177)</f>
        <v/>
      </c>
      <c r="X1174">
        <f>IF([2]Entry!$N$1177="","",[2]Entry!$N$1177)</f>
        <v/>
      </c>
      <c r="Y1174">
        <f>IF([2]Entry!$R$1177="","",[2]Entry!$R$1177)</f>
        <v/>
      </c>
    </row>
    <row r="1175">
      <c r="P1175">
        <f>IF([2]Entry!$C$1178="","",[2]Entry!$C$1178)</f>
        <v/>
      </c>
      <c r="Q1175">
        <f>IF([2]Entry!$D$1178="","",[2]Entry!$D$1178)</f>
        <v/>
      </c>
      <c r="R1175">
        <f>IF([2]Entry!$E$1178="","",[2]Entry!$E$1178)</f>
        <v/>
      </c>
      <c r="S1175">
        <f>IF([2]Entry!$G$1178="","",[2]Entry!$G$1178)</f>
        <v/>
      </c>
      <c r="T1175">
        <f>IF([2]Entry!$J$1178="","",[2]Entry!$J$1178)</f>
        <v/>
      </c>
      <c r="U1175">
        <f>IF([2]Entry!$K$1178="","",[2]Entry!$K$1178)</f>
        <v/>
      </c>
      <c r="V1175">
        <f>IF([2]Entry!$L$1178="","",[2]Entry!$L$1178)</f>
        <v/>
      </c>
      <c r="W1175">
        <f>IF([2]Entry!$M$1178="","",[2]Entry!$M$1178)</f>
        <v/>
      </c>
      <c r="X1175">
        <f>IF([2]Entry!$N$1178="","",[2]Entry!$N$1178)</f>
        <v/>
      </c>
      <c r="Y1175">
        <f>IF([2]Entry!$R$1178="","",[2]Entry!$R$1178)</f>
        <v/>
      </c>
    </row>
    <row r="1176">
      <c r="P1176">
        <f>IF([2]Entry!$C$1179="","",[2]Entry!$C$1179)</f>
        <v/>
      </c>
      <c r="Q1176">
        <f>IF([2]Entry!$D$1179="","",[2]Entry!$D$1179)</f>
        <v/>
      </c>
      <c r="R1176">
        <f>IF([2]Entry!$E$1179="","",[2]Entry!$E$1179)</f>
        <v/>
      </c>
      <c r="S1176">
        <f>IF([2]Entry!$G$1179="","",[2]Entry!$G$1179)</f>
        <v/>
      </c>
      <c r="T1176">
        <f>IF([2]Entry!$J$1179="","",[2]Entry!$J$1179)</f>
        <v/>
      </c>
      <c r="U1176">
        <f>IF([2]Entry!$K$1179="","",[2]Entry!$K$1179)</f>
        <v/>
      </c>
      <c r="V1176">
        <f>IF([2]Entry!$L$1179="","",[2]Entry!$L$1179)</f>
        <v/>
      </c>
      <c r="W1176">
        <f>IF([2]Entry!$M$1179="","",[2]Entry!$M$1179)</f>
        <v/>
      </c>
      <c r="X1176">
        <f>IF([2]Entry!$N$1179="","",[2]Entry!$N$1179)</f>
        <v/>
      </c>
      <c r="Y1176">
        <f>IF([2]Entry!$R$1179="","",[2]Entry!$R$1179)</f>
        <v/>
      </c>
    </row>
    <row r="1177">
      <c r="P1177">
        <f>IF([2]Entry!$C$1180="","",[2]Entry!$C$1180)</f>
        <v/>
      </c>
      <c r="Q1177">
        <f>IF([2]Entry!$D$1180="","",[2]Entry!$D$1180)</f>
        <v/>
      </c>
      <c r="R1177">
        <f>IF([2]Entry!$E$1180="","",[2]Entry!$E$1180)</f>
        <v/>
      </c>
      <c r="S1177">
        <f>IF([2]Entry!$G$1180="","",[2]Entry!$G$1180)</f>
        <v/>
      </c>
      <c r="T1177">
        <f>IF([2]Entry!$J$1180="","",[2]Entry!$J$1180)</f>
        <v/>
      </c>
      <c r="U1177">
        <f>IF([2]Entry!$K$1180="","",[2]Entry!$K$1180)</f>
        <v/>
      </c>
      <c r="V1177">
        <f>IF([2]Entry!$L$1180="","",[2]Entry!$L$1180)</f>
        <v/>
      </c>
      <c r="W1177">
        <f>IF([2]Entry!$M$1180="","",[2]Entry!$M$1180)</f>
        <v/>
      </c>
      <c r="X1177">
        <f>IF([2]Entry!$N$1180="","",[2]Entry!$N$1180)</f>
        <v/>
      </c>
      <c r="Y1177">
        <f>IF([2]Entry!$R$1180="","",[2]Entry!$R$1180)</f>
        <v/>
      </c>
    </row>
    <row r="1178">
      <c r="P1178">
        <f>IF([2]Entry!$C$1181="","",[2]Entry!$C$1181)</f>
        <v/>
      </c>
      <c r="Q1178">
        <f>IF([2]Entry!$D$1181="","",[2]Entry!$D$1181)</f>
        <v/>
      </c>
      <c r="R1178">
        <f>IF([2]Entry!$E$1181="","",[2]Entry!$E$1181)</f>
        <v/>
      </c>
      <c r="S1178">
        <f>IF([2]Entry!$G$1181="","",[2]Entry!$G$1181)</f>
        <v/>
      </c>
      <c r="T1178">
        <f>IF([2]Entry!$J$1181="","",[2]Entry!$J$1181)</f>
        <v/>
      </c>
      <c r="U1178">
        <f>IF([2]Entry!$K$1181="","",[2]Entry!$K$1181)</f>
        <v/>
      </c>
      <c r="V1178">
        <f>IF([2]Entry!$L$1181="","",[2]Entry!$L$1181)</f>
        <v/>
      </c>
      <c r="W1178">
        <f>IF([2]Entry!$M$1181="","",[2]Entry!$M$1181)</f>
        <v/>
      </c>
      <c r="X1178">
        <f>IF([2]Entry!$N$1181="","",[2]Entry!$N$1181)</f>
        <v/>
      </c>
      <c r="Y1178">
        <f>IF([2]Entry!$R$1181="","",[2]Entry!$R$1181)</f>
        <v/>
      </c>
    </row>
    <row r="1179">
      <c r="P1179">
        <f>IF([2]Entry!$C$1182="","",[2]Entry!$C$1182)</f>
        <v/>
      </c>
      <c r="Q1179">
        <f>IF([2]Entry!$D$1182="","",[2]Entry!$D$1182)</f>
        <v/>
      </c>
      <c r="R1179">
        <f>IF([2]Entry!$E$1182="","",[2]Entry!$E$1182)</f>
        <v/>
      </c>
      <c r="S1179">
        <f>IF([2]Entry!$G$1182="","",[2]Entry!$G$1182)</f>
        <v/>
      </c>
      <c r="T1179">
        <f>IF([2]Entry!$J$1182="","",[2]Entry!$J$1182)</f>
        <v/>
      </c>
      <c r="U1179">
        <f>IF([2]Entry!$K$1182="","",[2]Entry!$K$1182)</f>
        <v/>
      </c>
      <c r="V1179">
        <f>IF([2]Entry!$L$1182="","",[2]Entry!$L$1182)</f>
        <v/>
      </c>
      <c r="W1179">
        <f>IF([2]Entry!$M$1182="","",[2]Entry!$M$1182)</f>
        <v/>
      </c>
      <c r="X1179">
        <f>IF([2]Entry!$N$1182="","",[2]Entry!$N$1182)</f>
        <v/>
      </c>
      <c r="Y1179">
        <f>IF([2]Entry!$R$1182="","",[2]Entry!$R$1182)</f>
        <v/>
      </c>
    </row>
    <row r="1180">
      <c r="P1180">
        <f>IF([2]Entry!$C$1183="","",[2]Entry!$C$1183)</f>
        <v/>
      </c>
      <c r="Q1180">
        <f>IF([2]Entry!$D$1183="","",[2]Entry!$D$1183)</f>
        <v/>
      </c>
      <c r="R1180">
        <f>IF([2]Entry!$E$1183="","",[2]Entry!$E$1183)</f>
        <v/>
      </c>
      <c r="S1180">
        <f>IF([2]Entry!$G$1183="","",[2]Entry!$G$1183)</f>
        <v/>
      </c>
      <c r="T1180">
        <f>IF([2]Entry!$J$1183="","",[2]Entry!$J$1183)</f>
        <v/>
      </c>
      <c r="U1180">
        <f>IF([2]Entry!$K$1183="","",[2]Entry!$K$1183)</f>
        <v/>
      </c>
      <c r="V1180">
        <f>IF([2]Entry!$L$1183="","",[2]Entry!$L$1183)</f>
        <v/>
      </c>
      <c r="W1180">
        <f>IF([2]Entry!$M$1183="","",[2]Entry!$M$1183)</f>
        <v/>
      </c>
      <c r="X1180">
        <f>IF([2]Entry!$N$1183="","",[2]Entry!$N$1183)</f>
        <v/>
      </c>
      <c r="Y1180">
        <f>IF([2]Entry!$R$1183="","",[2]Entry!$R$1183)</f>
        <v/>
      </c>
    </row>
    <row r="1181">
      <c r="P1181">
        <f>IF([2]Entry!$C$1184="","",[2]Entry!$C$1184)</f>
        <v/>
      </c>
      <c r="Q1181">
        <f>IF([2]Entry!$D$1184="","",[2]Entry!$D$1184)</f>
        <v/>
      </c>
      <c r="R1181">
        <f>IF([2]Entry!$E$1184="","",[2]Entry!$E$1184)</f>
        <v/>
      </c>
      <c r="S1181">
        <f>IF([2]Entry!$G$1184="","",[2]Entry!$G$1184)</f>
        <v/>
      </c>
      <c r="T1181">
        <f>IF([2]Entry!$J$1184="","",[2]Entry!$J$1184)</f>
        <v/>
      </c>
      <c r="U1181">
        <f>IF([2]Entry!$K$1184="","",[2]Entry!$K$1184)</f>
        <v/>
      </c>
      <c r="V1181">
        <f>IF([2]Entry!$L$1184="","",[2]Entry!$L$1184)</f>
        <v/>
      </c>
      <c r="W1181">
        <f>IF([2]Entry!$M$1184="","",[2]Entry!$M$1184)</f>
        <v/>
      </c>
      <c r="X1181">
        <f>IF([2]Entry!$N$1184="","",[2]Entry!$N$1184)</f>
        <v/>
      </c>
      <c r="Y1181">
        <f>IF([2]Entry!$R$1184="","",[2]Entry!$R$1184)</f>
        <v/>
      </c>
    </row>
    <row r="1182">
      <c r="P1182">
        <f>IF([2]Entry!$C$1185="","",[2]Entry!$C$1185)</f>
        <v/>
      </c>
      <c r="Q1182">
        <f>IF([2]Entry!$D$1185="","",[2]Entry!$D$1185)</f>
        <v/>
      </c>
      <c r="R1182">
        <f>IF([2]Entry!$E$1185="","",[2]Entry!$E$1185)</f>
        <v/>
      </c>
      <c r="S1182">
        <f>IF([2]Entry!$G$1185="","",[2]Entry!$G$1185)</f>
        <v/>
      </c>
      <c r="T1182">
        <f>IF([2]Entry!$J$1185="","",[2]Entry!$J$1185)</f>
        <v/>
      </c>
      <c r="U1182">
        <f>IF([2]Entry!$K$1185="","",[2]Entry!$K$1185)</f>
        <v/>
      </c>
      <c r="V1182">
        <f>IF([2]Entry!$L$1185="","",[2]Entry!$L$1185)</f>
        <v/>
      </c>
      <c r="W1182">
        <f>IF([2]Entry!$M$1185="","",[2]Entry!$M$1185)</f>
        <v/>
      </c>
      <c r="X1182">
        <f>IF([2]Entry!$N$1185="","",[2]Entry!$N$1185)</f>
        <v/>
      </c>
      <c r="Y1182">
        <f>IF([2]Entry!$R$1185="","",[2]Entry!$R$1185)</f>
        <v/>
      </c>
    </row>
    <row r="1183">
      <c r="P1183">
        <f>IF([2]Entry!$C$1186="","",[2]Entry!$C$1186)</f>
        <v/>
      </c>
      <c r="Q1183">
        <f>IF([2]Entry!$D$1186="","",[2]Entry!$D$1186)</f>
        <v/>
      </c>
      <c r="R1183">
        <f>IF([2]Entry!$E$1186="","",[2]Entry!$E$1186)</f>
        <v/>
      </c>
      <c r="S1183">
        <f>IF([2]Entry!$G$1186="","",[2]Entry!$G$1186)</f>
        <v/>
      </c>
      <c r="T1183">
        <f>IF([2]Entry!$J$1186="","",[2]Entry!$J$1186)</f>
        <v/>
      </c>
      <c r="U1183">
        <f>IF([2]Entry!$K$1186="","",[2]Entry!$K$1186)</f>
        <v/>
      </c>
      <c r="V1183">
        <f>IF([2]Entry!$L$1186="","",[2]Entry!$L$1186)</f>
        <v/>
      </c>
      <c r="W1183">
        <f>IF([2]Entry!$M$1186="","",[2]Entry!$M$1186)</f>
        <v/>
      </c>
      <c r="X1183">
        <f>IF([2]Entry!$N$1186="","",[2]Entry!$N$1186)</f>
        <v/>
      </c>
      <c r="Y1183">
        <f>IF([2]Entry!$R$1186="","",[2]Entry!$R$1186)</f>
        <v/>
      </c>
    </row>
    <row r="1184">
      <c r="P1184">
        <f>IF([2]Entry!$C$1187="","",[2]Entry!$C$1187)</f>
        <v/>
      </c>
      <c r="Q1184">
        <f>IF([2]Entry!$D$1187="","",[2]Entry!$D$1187)</f>
        <v/>
      </c>
      <c r="R1184">
        <f>IF([2]Entry!$E$1187="","",[2]Entry!$E$1187)</f>
        <v/>
      </c>
      <c r="S1184">
        <f>IF([2]Entry!$G$1187="","",[2]Entry!$G$1187)</f>
        <v/>
      </c>
      <c r="T1184">
        <f>IF([2]Entry!$J$1187="","",[2]Entry!$J$1187)</f>
        <v/>
      </c>
      <c r="U1184">
        <f>IF([2]Entry!$K$1187="","",[2]Entry!$K$1187)</f>
        <v/>
      </c>
      <c r="V1184">
        <f>IF([2]Entry!$L$1187="","",[2]Entry!$L$1187)</f>
        <v/>
      </c>
      <c r="W1184">
        <f>IF([2]Entry!$M$1187="","",[2]Entry!$M$1187)</f>
        <v/>
      </c>
      <c r="X1184">
        <f>IF([2]Entry!$N$1187="","",[2]Entry!$N$1187)</f>
        <v/>
      </c>
      <c r="Y1184">
        <f>IF([2]Entry!$R$1187="","",[2]Entry!$R$1187)</f>
        <v/>
      </c>
    </row>
    <row r="1185">
      <c r="P1185">
        <f>IF([2]Entry!$C$1188="","",[2]Entry!$C$1188)</f>
        <v/>
      </c>
      <c r="Q1185">
        <f>IF([2]Entry!$D$1188="","",[2]Entry!$D$1188)</f>
        <v/>
      </c>
      <c r="R1185">
        <f>IF([2]Entry!$E$1188="","",[2]Entry!$E$1188)</f>
        <v/>
      </c>
      <c r="S1185">
        <f>IF([2]Entry!$G$1188="","",[2]Entry!$G$1188)</f>
        <v/>
      </c>
      <c r="T1185">
        <f>IF([2]Entry!$J$1188="","",[2]Entry!$J$1188)</f>
        <v/>
      </c>
      <c r="U1185">
        <f>IF([2]Entry!$K$1188="","",[2]Entry!$K$1188)</f>
        <v/>
      </c>
      <c r="V1185">
        <f>IF([2]Entry!$L$1188="","",[2]Entry!$L$1188)</f>
        <v/>
      </c>
      <c r="W1185">
        <f>IF([2]Entry!$M$1188="","",[2]Entry!$M$1188)</f>
        <v/>
      </c>
      <c r="X1185">
        <f>IF([2]Entry!$N$1188="","",[2]Entry!$N$1188)</f>
        <v/>
      </c>
      <c r="Y1185">
        <f>IF([2]Entry!$R$1188="","",[2]Entry!$R$1188)</f>
        <v/>
      </c>
    </row>
    <row r="1186">
      <c r="P1186">
        <f>IF([2]Entry!$C$1189="","",[2]Entry!$C$1189)</f>
        <v/>
      </c>
      <c r="Q1186">
        <f>IF([2]Entry!$D$1189="","",[2]Entry!$D$1189)</f>
        <v/>
      </c>
      <c r="R1186">
        <f>IF([2]Entry!$E$1189="","",[2]Entry!$E$1189)</f>
        <v/>
      </c>
      <c r="S1186">
        <f>IF([2]Entry!$G$1189="","",[2]Entry!$G$1189)</f>
        <v/>
      </c>
      <c r="T1186">
        <f>IF([2]Entry!$J$1189="","",[2]Entry!$J$1189)</f>
        <v/>
      </c>
      <c r="U1186">
        <f>IF([2]Entry!$K$1189="","",[2]Entry!$K$1189)</f>
        <v/>
      </c>
      <c r="V1186">
        <f>IF([2]Entry!$L$1189="","",[2]Entry!$L$1189)</f>
        <v/>
      </c>
      <c r="W1186">
        <f>IF([2]Entry!$M$1189="","",[2]Entry!$M$1189)</f>
        <v/>
      </c>
      <c r="X1186">
        <f>IF([2]Entry!$N$1189="","",[2]Entry!$N$1189)</f>
        <v/>
      </c>
      <c r="Y1186">
        <f>IF([2]Entry!$R$1189="","",[2]Entry!$R$1189)</f>
        <v/>
      </c>
    </row>
    <row r="1187">
      <c r="P1187">
        <f>IF([2]Entry!$C$1190="","",[2]Entry!$C$1190)</f>
        <v/>
      </c>
      <c r="Q1187">
        <f>IF([2]Entry!$D$1190="","",[2]Entry!$D$1190)</f>
        <v/>
      </c>
      <c r="R1187">
        <f>IF([2]Entry!$E$1190="","",[2]Entry!$E$1190)</f>
        <v/>
      </c>
      <c r="S1187">
        <f>IF([2]Entry!$G$1190="","",[2]Entry!$G$1190)</f>
        <v/>
      </c>
      <c r="T1187">
        <f>IF([2]Entry!$J$1190="","",[2]Entry!$J$1190)</f>
        <v/>
      </c>
      <c r="U1187">
        <f>IF([2]Entry!$K$1190="","",[2]Entry!$K$1190)</f>
        <v/>
      </c>
      <c r="V1187">
        <f>IF([2]Entry!$L$1190="","",[2]Entry!$L$1190)</f>
        <v/>
      </c>
      <c r="W1187">
        <f>IF([2]Entry!$M$1190="","",[2]Entry!$M$1190)</f>
        <v/>
      </c>
      <c r="X1187">
        <f>IF([2]Entry!$N$1190="","",[2]Entry!$N$1190)</f>
        <v/>
      </c>
      <c r="Y1187">
        <f>IF([2]Entry!$R$1190="","",[2]Entry!$R$1190)</f>
        <v/>
      </c>
    </row>
    <row r="1188">
      <c r="P1188">
        <f>IF([2]Entry!$C$1191="","",[2]Entry!$C$1191)</f>
        <v/>
      </c>
      <c r="Q1188">
        <f>IF([2]Entry!$D$1191="","",[2]Entry!$D$1191)</f>
        <v/>
      </c>
      <c r="R1188">
        <f>IF([2]Entry!$E$1191="","",[2]Entry!$E$1191)</f>
        <v/>
      </c>
      <c r="S1188">
        <f>IF([2]Entry!$G$1191="","",[2]Entry!$G$1191)</f>
        <v/>
      </c>
      <c r="T1188">
        <f>IF([2]Entry!$J$1191="","",[2]Entry!$J$1191)</f>
        <v/>
      </c>
      <c r="U1188">
        <f>IF([2]Entry!$K$1191="","",[2]Entry!$K$1191)</f>
        <v/>
      </c>
      <c r="V1188">
        <f>IF([2]Entry!$L$1191="","",[2]Entry!$L$1191)</f>
        <v/>
      </c>
      <c r="W1188">
        <f>IF([2]Entry!$M$1191="","",[2]Entry!$M$1191)</f>
        <v/>
      </c>
      <c r="X1188">
        <f>IF([2]Entry!$N$1191="","",[2]Entry!$N$1191)</f>
        <v/>
      </c>
      <c r="Y1188">
        <f>IF([2]Entry!$R$1191="","",[2]Entry!$R$1191)</f>
        <v/>
      </c>
    </row>
    <row r="1189">
      <c r="P1189">
        <f>IF([2]Entry!$C$1192="","",[2]Entry!$C$1192)</f>
        <v/>
      </c>
      <c r="Q1189">
        <f>IF([2]Entry!$D$1192="","",[2]Entry!$D$1192)</f>
        <v/>
      </c>
      <c r="R1189">
        <f>IF([2]Entry!$E$1192="","",[2]Entry!$E$1192)</f>
        <v/>
      </c>
      <c r="S1189">
        <f>IF([2]Entry!$G$1192="","",[2]Entry!$G$1192)</f>
        <v/>
      </c>
      <c r="T1189">
        <f>IF([2]Entry!$J$1192="","",[2]Entry!$J$1192)</f>
        <v/>
      </c>
      <c r="U1189">
        <f>IF([2]Entry!$K$1192="","",[2]Entry!$K$1192)</f>
        <v/>
      </c>
      <c r="V1189">
        <f>IF([2]Entry!$L$1192="","",[2]Entry!$L$1192)</f>
        <v/>
      </c>
      <c r="W1189">
        <f>IF([2]Entry!$M$1192="","",[2]Entry!$M$1192)</f>
        <v/>
      </c>
      <c r="X1189">
        <f>IF([2]Entry!$N$1192="","",[2]Entry!$N$1192)</f>
        <v/>
      </c>
      <c r="Y1189">
        <f>IF([2]Entry!$R$1192="","",[2]Entry!$R$1192)</f>
        <v/>
      </c>
    </row>
    <row r="1190">
      <c r="P1190">
        <f>IF([2]Entry!$C$1193="","",[2]Entry!$C$1193)</f>
        <v/>
      </c>
      <c r="Q1190">
        <f>IF([2]Entry!$D$1193="","",[2]Entry!$D$1193)</f>
        <v/>
      </c>
      <c r="R1190">
        <f>IF([2]Entry!$E$1193="","",[2]Entry!$E$1193)</f>
        <v/>
      </c>
      <c r="S1190">
        <f>IF([2]Entry!$G$1193="","",[2]Entry!$G$1193)</f>
        <v/>
      </c>
      <c r="T1190">
        <f>IF([2]Entry!$J$1193="","",[2]Entry!$J$1193)</f>
        <v/>
      </c>
      <c r="U1190">
        <f>IF([2]Entry!$K$1193="","",[2]Entry!$K$1193)</f>
        <v/>
      </c>
      <c r="V1190">
        <f>IF([2]Entry!$L$1193="","",[2]Entry!$L$1193)</f>
        <v/>
      </c>
      <c r="W1190">
        <f>IF([2]Entry!$M$1193="","",[2]Entry!$M$1193)</f>
        <v/>
      </c>
      <c r="X1190">
        <f>IF([2]Entry!$N$1193="","",[2]Entry!$N$1193)</f>
        <v/>
      </c>
      <c r="Y1190">
        <f>IF([2]Entry!$R$1193="","",[2]Entry!$R$1193)</f>
        <v/>
      </c>
    </row>
    <row r="1191">
      <c r="P1191">
        <f>IF([2]Entry!$C$1194="","",[2]Entry!$C$1194)</f>
        <v/>
      </c>
      <c r="Q1191">
        <f>IF([2]Entry!$D$1194="","",[2]Entry!$D$1194)</f>
        <v/>
      </c>
      <c r="R1191">
        <f>IF([2]Entry!$E$1194="","",[2]Entry!$E$1194)</f>
        <v/>
      </c>
      <c r="S1191">
        <f>IF([2]Entry!$G$1194="","",[2]Entry!$G$1194)</f>
        <v/>
      </c>
      <c r="T1191">
        <f>IF([2]Entry!$J$1194="","",[2]Entry!$J$1194)</f>
        <v/>
      </c>
      <c r="U1191">
        <f>IF([2]Entry!$K$1194="","",[2]Entry!$K$1194)</f>
        <v/>
      </c>
      <c r="V1191">
        <f>IF([2]Entry!$L$1194="","",[2]Entry!$L$1194)</f>
        <v/>
      </c>
      <c r="W1191">
        <f>IF([2]Entry!$M$1194="","",[2]Entry!$M$1194)</f>
        <v/>
      </c>
      <c r="X1191">
        <f>IF([2]Entry!$N$1194="","",[2]Entry!$N$1194)</f>
        <v/>
      </c>
      <c r="Y1191">
        <f>IF([2]Entry!$R$1194="","",[2]Entry!$R$1194)</f>
        <v/>
      </c>
    </row>
    <row r="1192">
      <c r="P1192">
        <f>IF([2]Entry!$C$1195="","",[2]Entry!$C$1195)</f>
        <v/>
      </c>
      <c r="Q1192">
        <f>IF([2]Entry!$D$1195="","",[2]Entry!$D$1195)</f>
        <v/>
      </c>
      <c r="R1192">
        <f>IF([2]Entry!$E$1195="","",[2]Entry!$E$1195)</f>
        <v/>
      </c>
      <c r="S1192">
        <f>IF([2]Entry!$G$1195="","",[2]Entry!$G$1195)</f>
        <v/>
      </c>
      <c r="T1192">
        <f>IF([2]Entry!$J$1195="","",[2]Entry!$J$1195)</f>
        <v/>
      </c>
      <c r="U1192">
        <f>IF([2]Entry!$K$1195="","",[2]Entry!$K$1195)</f>
        <v/>
      </c>
      <c r="V1192">
        <f>IF([2]Entry!$L$1195="","",[2]Entry!$L$1195)</f>
        <v/>
      </c>
      <c r="W1192">
        <f>IF([2]Entry!$M$1195="","",[2]Entry!$M$1195)</f>
        <v/>
      </c>
      <c r="X1192">
        <f>IF([2]Entry!$N$1195="","",[2]Entry!$N$1195)</f>
        <v/>
      </c>
      <c r="Y1192">
        <f>IF([2]Entry!$R$1195="","",[2]Entry!$R$1195)</f>
        <v/>
      </c>
    </row>
    <row r="1193">
      <c r="P1193">
        <f>IF([2]Entry!$C$1196="","",[2]Entry!$C$1196)</f>
        <v/>
      </c>
      <c r="Q1193">
        <f>IF([2]Entry!$D$1196="","",[2]Entry!$D$1196)</f>
        <v/>
      </c>
      <c r="R1193">
        <f>IF([2]Entry!$E$1196="","",[2]Entry!$E$1196)</f>
        <v/>
      </c>
      <c r="S1193">
        <f>IF([2]Entry!$G$1196="","",[2]Entry!$G$1196)</f>
        <v/>
      </c>
      <c r="T1193">
        <f>IF([2]Entry!$J$1196="","",[2]Entry!$J$1196)</f>
        <v/>
      </c>
      <c r="U1193">
        <f>IF([2]Entry!$K$1196="","",[2]Entry!$K$1196)</f>
        <v/>
      </c>
      <c r="V1193">
        <f>IF([2]Entry!$L$1196="","",[2]Entry!$L$1196)</f>
        <v/>
      </c>
      <c r="W1193">
        <f>IF([2]Entry!$M$1196="","",[2]Entry!$M$1196)</f>
        <v/>
      </c>
      <c r="X1193">
        <f>IF([2]Entry!$N$1196="","",[2]Entry!$N$1196)</f>
        <v/>
      </c>
      <c r="Y1193">
        <f>IF([2]Entry!$R$1196="","",[2]Entry!$R$1196)</f>
        <v/>
      </c>
    </row>
    <row r="1194">
      <c r="P1194">
        <f>IF([2]Entry!$C$1197="","",[2]Entry!$C$1197)</f>
        <v/>
      </c>
      <c r="Q1194">
        <f>IF([2]Entry!$D$1197="","",[2]Entry!$D$1197)</f>
        <v/>
      </c>
      <c r="R1194">
        <f>IF([2]Entry!$E$1197="","",[2]Entry!$E$1197)</f>
        <v/>
      </c>
      <c r="S1194">
        <f>IF([2]Entry!$G$1197="","",[2]Entry!$G$1197)</f>
        <v/>
      </c>
      <c r="T1194">
        <f>IF([2]Entry!$J$1197="","",[2]Entry!$J$1197)</f>
        <v/>
      </c>
      <c r="U1194">
        <f>IF([2]Entry!$K$1197="","",[2]Entry!$K$1197)</f>
        <v/>
      </c>
      <c r="V1194">
        <f>IF([2]Entry!$L$1197="","",[2]Entry!$L$1197)</f>
        <v/>
      </c>
      <c r="W1194">
        <f>IF([2]Entry!$M$1197="","",[2]Entry!$M$1197)</f>
        <v/>
      </c>
      <c r="X1194">
        <f>IF([2]Entry!$N$1197="","",[2]Entry!$N$1197)</f>
        <v/>
      </c>
      <c r="Y1194">
        <f>IF([2]Entry!$R$1197="","",[2]Entry!$R$1197)</f>
        <v/>
      </c>
    </row>
    <row r="1195">
      <c r="P1195">
        <f>IF([2]Entry!$C$1198="","",[2]Entry!$C$1198)</f>
        <v/>
      </c>
      <c r="Q1195">
        <f>IF([2]Entry!$D$1198="","",[2]Entry!$D$1198)</f>
        <v/>
      </c>
      <c r="R1195">
        <f>IF([2]Entry!$E$1198="","",[2]Entry!$E$1198)</f>
        <v/>
      </c>
      <c r="S1195">
        <f>IF([2]Entry!$G$1198="","",[2]Entry!$G$1198)</f>
        <v/>
      </c>
      <c r="T1195">
        <f>IF([2]Entry!$J$1198="","",[2]Entry!$J$1198)</f>
        <v/>
      </c>
      <c r="U1195">
        <f>IF([2]Entry!$K$1198="","",[2]Entry!$K$1198)</f>
        <v/>
      </c>
      <c r="V1195">
        <f>IF([2]Entry!$L$1198="","",[2]Entry!$L$1198)</f>
        <v/>
      </c>
      <c r="W1195">
        <f>IF([2]Entry!$M$1198="","",[2]Entry!$M$1198)</f>
        <v/>
      </c>
      <c r="X1195">
        <f>IF([2]Entry!$N$1198="","",[2]Entry!$N$1198)</f>
        <v/>
      </c>
      <c r="Y1195">
        <f>IF([2]Entry!$R$1198="","",[2]Entry!$R$1198)</f>
        <v/>
      </c>
    </row>
    <row r="1196">
      <c r="P1196">
        <f>IF([2]Entry!$C$1199="","",[2]Entry!$C$1199)</f>
        <v/>
      </c>
      <c r="Q1196">
        <f>IF([2]Entry!$D$1199="","",[2]Entry!$D$1199)</f>
        <v/>
      </c>
      <c r="R1196">
        <f>IF([2]Entry!$E$1199="","",[2]Entry!$E$1199)</f>
        <v/>
      </c>
      <c r="S1196">
        <f>IF([2]Entry!$G$1199="","",[2]Entry!$G$1199)</f>
        <v/>
      </c>
      <c r="T1196">
        <f>IF([2]Entry!$J$1199="","",[2]Entry!$J$1199)</f>
        <v/>
      </c>
      <c r="U1196">
        <f>IF([2]Entry!$K$1199="","",[2]Entry!$K$1199)</f>
        <v/>
      </c>
      <c r="V1196">
        <f>IF([2]Entry!$L$1199="","",[2]Entry!$L$1199)</f>
        <v/>
      </c>
      <c r="W1196">
        <f>IF([2]Entry!$M$1199="","",[2]Entry!$M$1199)</f>
        <v/>
      </c>
      <c r="X1196">
        <f>IF([2]Entry!$N$1199="","",[2]Entry!$N$1199)</f>
        <v/>
      </c>
      <c r="Y1196">
        <f>IF([2]Entry!$R$1199="","",[2]Entry!$R$1199)</f>
        <v/>
      </c>
    </row>
    <row r="1197">
      <c r="P1197">
        <f>IF([2]Entry!$C$1200="","",[2]Entry!$C$1200)</f>
        <v/>
      </c>
      <c r="Q1197">
        <f>IF([2]Entry!$D$1200="","",[2]Entry!$D$1200)</f>
        <v/>
      </c>
      <c r="R1197">
        <f>IF([2]Entry!$E$1200="","",[2]Entry!$E$1200)</f>
        <v/>
      </c>
      <c r="S1197">
        <f>IF([2]Entry!$G$1200="","",[2]Entry!$G$1200)</f>
        <v/>
      </c>
      <c r="T1197">
        <f>IF([2]Entry!$J$1200="","",[2]Entry!$J$1200)</f>
        <v/>
      </c>
      <c r="U1197">
        <f>IF([2]Entry!$K$1200="","",[2]Entry!$K$1200)</f>
        <v/>
      </c>
      <c r="V1197">
        <f>IF([2]Entry!$L$1200="","",[2]Entry!$L$1200)</f>
        <v/>
      </c>
      <c r="W1197">
        <f>IF([2]Entry!$M$1200="","",[2]Entry!$M$1200)</f>
        <v/>
      </c>
      <c r="X1197">
        <f>IF([2]Entry!$N$1200="","",[2]Entry!$N$1200)</f>
        <v/>
      </c>
      <c r="Y1197">
        <f>IF([2]Entry!$R$1200="","",[2]Entry!$R$1200)</f>
        <v/>
      </c>
    </row>
    <row r="1198">
      <c r="P1198">
        <f>IF([2]Entry!$C$1201="","",[2]Entry!$C$1201)</f>
        <v/>
      </c>
      <c r="Q1198">
        <f>IF([2]Entry!$D$1201="","",[2]Entry!$D$1201)</f>
        <v/>
      </c>
      <c r="R1198">
        <f>IF([2]Entry!$E$1201="","",[2]Entry!$E$1201)</f>
        <v/>
      </c>
      <c r="S1198">
        <f>IF([2]Entry!$G$1201="","",[2]Entry!$G$1201)</f>
        <v/>
      </c>
      <c r="T1198">
        <f>IF([2]Entry!$J$1201="","",[2]Entry!$J$1201)</f>
        <v/>
      </c>
      <c r="U1198">
        <f>IF([2]Entry!$K$1201="","",[2]Entry!$K$1201)</f>
        <v/>
      </c>
      <c r="V1198">
        <f>IF([2]Entry!$L$1201="","",[2]Entry!$L$1201)</f>
        <v/>
      </c>
      <c r="W1198">
        <f>IF([2]Entry!$M$1201="","",[2]Entry!$M$1201)</f>
        <v/>
      </c>
      <c r="X1198">
        <f>IF([2]Entry!$N$1201="","",[2]Entry!$N$1201)</f>
        <v/>
      </c>
      <c r="Y1198">
        <f>IF([2]Entry!$R$1201="","",[2]Entry!$R$1201)</f>
        <v/>
      </c>
    </row>
    <row r="1199">
      <c r="P1199">
        <f>IF([2]Entry!$C$1202="","",[2]Entry!$C$1202)</f>
        <v/>
      </c>
      <c r="Q1199">
        <f>IF([2]Entry!$D$1202="","",[2]Entry!$D$1202)</f>
        <v/>
      </c>
      <c r="R1199">
        <f>IF([2]Entry!$E$1202="","",[2]Entry!$E$1202)</f>
        <v/>
      </c>
      <c r="S1199">
        <f>IF([2]Entry!$G$1202="","",[2]Entry!$G$1202)</f>
        <v/>
      </c>
      <c r="T1199">
        <f>IF([2]Entry!$J$1202="","",[2]Entry!$J$1202)</f>
        <v/>
      </c>
      <c r="U1199">
        <f>IF([2]Entry!$K$1202="","",[2]Entry!$K$1202)</f>
        <v/>
      </c>
      <c r="V1199">
        <f>IF([2]Entry!$L$1202="","",[2]Entry!$L$1202)</f>
        <v/>
      </c>
      <c r="W1199">
        <f>IF([2]Entry!$M$1202="","",[2]Entry!$M$1202)</f>
        <v/>
      </c>
      <c r="X1199">
        <f>IF([2]Entry!$N$1202="","",[2]Entry!$N$1202)</f>
        <v/>
      </c>
      <c r="Y1199">
        <f>IF([2]Entry!$R$1202="","",[2]Entry!$R$1202)</f>
        <v/>
      </c>
    </row>
    <row r="1200">
      <c r="P1200">
        <f>IF([2]Entry!$C$1203="","",[2]Entry!$C$1203)</f>
        <v/>
      </c>
      <c r="Q1200">
        <f>IF([2]Entry!$D$1203="","",[2]Entry!$D$1203)</f>
        <v/>
      </c>
      <c r="R1200">
        <f>IF([2]Entry!$E$1203="","",[2]Entry!$E$1203)</f>
        <v/>
      </c>
      <c r="S1200">
        <f>IF([2]Entry!$G$1203="","",[2]Entry!$G$1203)</f>
        <v/>
      </c>
      <c r="T1200">
        <f>IF([2]Entry!$J$1203="","",[2]Entry!$J$1203)</f>
        <v/>
      </c>
      <c r="U1200">
        <f>IF([2]Entry!$K$1203="","",[2]Entry!$K$1203)</f>
        <v/>
      </c>
      <c r="V1200">
        <f>IF([2]Entry!$L$1203="","",[2]Entry!$L$1203)</f>
        <v/>
      </c>
      <c r="W1200">
        <f>IF([2]Entry!$M$1203="","",[2]Entry!$M$1203)</f>
        <v/>
      </c>
      <c r="X1200">
        <f>IF([2]Entry!$N$1203="","",[2]Entry!$N$1203)</f>
        <v/>
      </c>
      <c r="Y1200">
        <f>IF([2]Entry!$R$1203="","",[2]Entry!$R$1203)</f>
        <v/>
      </c>
    </row>
    <row r="1201">
      <c r="P1201">
        <f>IF([2]Entry!$C$1204="","",[2]Entry!$C$1204)</f>
        <v/>
      </c>
      <c r="Q1201">
        <f>IF([2]Entry!$D$1204="","",[2]Entry!$D$1204)</f>
        <v/>
      </c>
      <c r="R1201">
        <f>IF([2]Entry!$E$1204="","",[2]Entry!$E$1204)</f>
        <v/>
      </c>
      <c r="S1201">
        <f>IF([2]Entry!$G$1204="","",[2]Entry!$G$1204)</f>
        <v/>
      </c>
      <c r="T1201">
        <f>IF([2]Entry!$J$1204="","",[2]Entry!$J$1204)</f>
        <v/>
      </c>
      <c r="U1201">
        <f>IF([2]Entry!$K$1204="","",[2]Entry!$K$1204)</f>
        <v/>
      </c>
      <c r="V1201">
        <f>IF([2]Entry!$L$1204="","",[2]Entry!$L$1204)</f>
        <v/>
      </c>
      <c r="W1201">
        <f>IF([2]Entry!$M$1204="","",[2]Entry!$M$1204)</f>
        <v/>
      </c>
      <c r="X1201">
        <f>IF([2]Entry!$N$1204="","",[2]Entry!$N$1204)</f>
        <v/>
      </c>
      <c r="Y1201">
        <f>IF([2]Entry!$R$1204="","",[2]Entry!$R$1204)</f>
        <v/>
      </c>
    </row>
    <row r="1202">
      <c r="P1202">
        <f>IF([2]Entry!$C$1205="","",[2]Entry!$C$1205)</f>
        <v/>
      </c>
      <c r="Q1202">
        <f>IF([2]Entry!$D$1205="","",[2]Entry!$D$1205)</f>
        <v/>
      </c>
      <c r="R1202">
        <f>IF([2]Entry!$E$1205="","",[2]Entry!$E$1205)</f>
        <v/>
      </c>
      <c r="S1202">
        <f>IF([2]Entry!$G$1205="","",[2]Entry!$G$1205)</f>
        <v/>
      </c>
      <c r="T1202">
        <f>IF([2]Entry!$J$1205="","",[2]Entry!$J$1205)</f>
        <v/>
      </c>
      <c r="U1202">
        <f>IF([2]Entry!$K$1205="","",[2]Entry!$K$1205)</f>
        <v/>
      </c>
      <c r="V1202">
        <f>IF([2]Entry!$L$1205="","",[2]Entry!$L$1205)</f>
        <v/>
      </c>
      <c r="W1202">
        <f>IF([2]Entry!$M$1205="","",[2]Entry!$M$1205)</f>
        <v/>
      </c>
      <c r="X1202">
        <f>IF([2]Entry!$N$1205="","",[2]Entry!$N$1205)</f>
        <v/>
      </c>
      <c r="Y1202">
        <f>IF([2]Entry!$R$1205="","",[2]Entry!$R$1205)</f>
        <v/>
      </c>
    </row>
    <row r="1203">
      <c r="P1203">
        <f>IF([2]Entry!$C$1206="","",[2]Entry!$C$1206)</f>
        <v/>
      </c>
      <c r="Q1203">
        <f>IF([2]Entry!$D$1206="","",[2]Entry!$D$1206)</f>
        <v/>
      </c>
      <c r="R1203">
        <f>IF([2]Entry!$E$1206="","",[2]Entry!$E$1206)</f>
        <v/>
      </c>
      <c r="S1203">
        <f>IF([2]Entry!$G$1206="","",[2]Entry!$G$1206)</f>
        <v/>
      </c>
      <c r="T1203">
        <f>IF([2]Entry!$J$1206="","",[2]Entry!$J$1206)</f>
        <v/>
      </c>
      <c r="U1203">
        <f>IF([2]Entry!$K$1206="","",[2]Entry!$K$1206)</f>
        <v/>
      </c>
      <c r="V1203">
        <f>IF([2]Entry!$L$1206="","",[2]Entry!$L$1206)</f>
        <v/>
      </c>
      <c r="W1203">
        <f>IF([2]Entry!$M$1206="","",[2]Entry!$M$1206)</f>
        <v/>
      </c>
      <c r="X1203">
        <f>IF([2]Entry!$N$1206="","",[2]Entry!$N$1206)</f>
        <v/>
      </c>
      <c r="Y1203">
        <f>IF([2]Entry!$R$1206="","",[2]Entry!$R$1206)</f>
        <v/>
      </c>
    </row>
    <row r="1204">
      <c r="P1204">
        <f>IF([2]Entry!$C$1207="","",[2]Entry!$C$1207)</f>
        <v/>
      </c>
      <c r="Q1204">
        <f>IF([2]Entry!$D$1207="","",[2]Entry!$D$1207)</f>
        <v/>
      </c>
      <c r="R1204">
        <f>IF([2]Entry!$E$1207="","",[2]Entry!$E$1207)</f>
        <v/>
      </c>
      <c r="S1204">
        <f>IF([2]Entry!$G$1207="","",[2]Entry!$G$1207)</f>
        <v/>
      </c>
      <c r="T1204">
        <f>IF([2]Entry!$J$1207="","",[2]Entry!$J$1207)</f>
        <v/>
      </c>
      <c r="U1204">
        <f>IF([2]Entry!$K$1207="","",[2]Entry!$K$1207)</f>
        <v/>
      </c>
      <c r="V1204">
        <f>IF([2]Entry!$L$1207="","",[2]Entry!$L$1207)</f>
        <v/>
      </c>
      <c r="W1204">
        <f>IF([2]Entry!$M$1207="","",[2]Entry!$M$1207)</f>
        <v/>
      </c>
      <c r="X1204">
        <f>IF([2]Entry!$N$1207="","",[2]Entry!$N$1207)</f>
        <v/>
      </c>
      <c r="Y1204">
        <f>IF([2]Entry!$R$1207="","",[2]Entry!$R$1207)</f>
        <v/>
      </c>
    </row>
    <row r="1205">
      <c r="P1205">
        <f>IF([2]Entry!$C$1208="","",[2]Entry!$C$1208)</f>
        <v/>
      </c>
      <c r="Q1205">
        <f>IF([2]Entry!$D$1208="","",[2]Entry!$D$1208)</f>
        <v/>
      </c>
      <c r="R1205">
        <f>IF([2]Entry!$E$1208="","",[2]Entry!$E$1208)</f>
        <v/>
      </c>
      <c r="S1205">
        <f>IF([2]Entry!$G$1208="","",[2]Entry!$G$1208)</f>
        <v/>
      </c>
      <c r="T1205">
        <f>IF([2]Entry!$J$1208="","",[2]Entry!$J$1208)</f>
        <v/>
      </c>
      <c r="U1205">
        <f>IF([2]Entry!$K$1208="","",[2]Entry!$K$1208)</f>
        <v/>
      </c>
      <c r="V1205">
        <f>IF([2]Entry!$L$1208="","",[2]Entry!$L$1208)</f>
        <v/>
      </c>
      <c r="W1205">
        <f>IF([2]Entry!$M$1208="","",[2]Entry!$M$1208)</f>
        <v/>
      </c>
      <c r="X1205">
        <f>IF([2]Entry!$N$1208="","",[2]Entry!$N$1208)</f>
        <v/>
      </c>
      <c r="Y1205">
        <f>IF([2]Entry!$R$1208="","",[2]Entry!$R$1208)</f>
        <v/>
      </c>
    </row>
    <row r="1206">
      <c r="P1206">
        <f>IF([2]Entry!$C$1209="","",[2]Entry!$C$1209)</f>
        <v/>
      </c>
      <c r="Q1206">
        <f>IF([2]Entry!$D$1209="","",[2]Entry!$D$1209)</f>
        <v/>
      </c>
      <c r="R1206">
        <f>IF([2]Entry!$E$1209="","",[2]Entry!$E$1209)</f>
        <v/>
      </c>
      <c r="S1206">
        <f>IF([2]Entry!$G$1209="","",[2]Entry!$G$1209)</f>
        <v/>
      </c>
      <c r="T1206">
        <f>IF([2]Entry!$J$1209="","",[2]Entry!$J$1209)</f>
        <v/>
      </c>
      <c r="U1206">
        <f>IF([2]Entry!$K$1209="","",[2]Entry!$K$1209)</f>
        <v/>
      </c>
      <c r="V1206">
        <f>IF([2]Entry!$L$1209="","",[2]Entry!$L$1209)</f>
        <v/>
      </c>
      <c r="W1206">
        <f>IF([2]Entry!$M$1209="","",[2]Entry!$M$1209)</f>
        <v/>
      </c>
      <c r="X1206">
        <f>IF([2]Entry!$N$1209="","",[2]Entry!$N$1209)</f>
        <v/>
      </c>
      <c r="Y1206">
        <f>IF([2]Entry!$R$1209="","",[2]Entry!$R$1209)</f>
        <v/>
      </c>
    </row>
    <row r="1207">
      <c r="P1207">
        <f>IF([2]Entry!$C$1210="","",[2]Entry!$C$1210)</f>
        <v/>
      </c>
      <c r="Q1207">
        <f>IF([2]Entry!$D$1210="","",[2]Entry!$D$1210)</f>
        <v/>
      </c>
      <c r="R1207">
        <f>IF([2]Entry!$E$1210="","",[2]Entry!$E$1210)</f>
        <v/>
      </c>
      <c r="S1207">
        <f>IF([2]Entry!$G$1210="","",[2]Entry!$G$1210)</f>
        <v/>
      </c>
      <c r="T1207">
        <f>IF([2]Entry!$J$1210="","",[2]Entry!$J$1210)</f>
        <v/>
      </c>
      <c r="U1207">
        <f>IF([2]Entry!$K$1210="","",[2]Entry!$K$1210)</f>
        <v/>
      </c>
      <c r="V1207">
        <f>IF([2]Entry!$L$1210="","",[2]Entry!$L$1210)</f>
        <v/>
      </c>
      <c r="W1207">
        <f>IF([2]Entry!$M$1210="","",[2]Entry!$M$1210)</f>
        <v/>
      </c>
      <c r="X1207">
        <f>IF([2]Entry!$N$1210="","",[2]Entry!$N$1210)</f>
        <v/>
      </c>
      <c r="Y1207">
        <f>IF([2]Entry!$R$1210="","",[2]Entry!$R$1210)</f>
        <v/>
      </c>
    </row>
    <row r="1208">
      <c r="P1208">
        <f>IF([2]Entry!$C$1211="","",[2]Entry!$C$1211)</f>
        <v/>
      </c>
      <c r="Q1208">
        <f>IF([2]Entry!$D$1211="","",[2]Entry!$D$1211)</f>
        <v/>
      </c>
      <c r="R1208">
        <f>IF([2]Entry!$E$1211="","",[2]Entry!$E$1211)</f>
        <v/>
      </c>
      <c r="S1208">
        <f>IF([2]Entry!$G$1211="","",[2]Entry!$G$1211)</f>
        <v/>
      </c>
      <c r="T1208">
        <f>IF([2]Entry!$J$1211="","",[2]Entry!$J$1211)</f>
        <v/>
      </c>
      <c r="U1208">
        <f>IF([2]Entry!$K$1211="","",[2]Entry!$K$1211)</f>
        <v/>
      </c>
      <c r="V1208">
        <f>IF([2]Entry!$L$1211="","",[2]Entry!$L$1211)</f>
        <v/>
      </c>
      <c r="W1208">
        <f>IF([2]Entry!$M$1211="","",[2]Entry!$M$1211)</f>
        <v/>
      </c>
      <c r="X1208">
        <f>IF([2]Entry!$N$1211="","",[2]Entry!$N$1211)</f>
        <v/>
      </c>
      <c r="Y1208">
        <f>IF([2]Entry!$R$1211="","",[2]Entry!$R$1211)</f>
        <v/>
      </c>
    </row>
    <row r="1209">
      <c r="P1209">
        <f>IF([2]Entry!$C$1212="","",[2]Entry!$C$1212)</f>
        <v/>
      </c>
      <c r="Q1209">
        <f>IF([2]Entry!$D$1212="","",[2]Entry!$D$1212)</f>
        <v/>
      </c>
      <c r="R1209">
        <f>IF([2]Entry!$E$1212="","",[2]Entry!$E$1212)</f>
        <v/>
      </c>
      <c r="S1209">
        <f>IF([2]Entry!$G$1212="","",[2]Entry!$G$1212)</f>
        <v/>
      </c>
      <c r="T1209">
        <f>IF([2]Entry!$J$1212="","",[2]Entry!$J$1212)</f>
        <v/>
      </c>
      <c r="U1209">
        <f>IF([2]Entry!$K$1212="","",[2]Entry!$K$1212)</f>
        <v/>
      </c>
      <c r="V1209">
        <f>IF([2]Entry!$L$1212="","",[2]Entry!$L$1212)</f>
        <v/>
      </c>
      <c r="W1209">
        <f>IF([2]Entry!$M$1212="","",[2]Entry!$M$1212)</f>
        <v/>
      </c>
      <c r="X1209">
        <f>IF([2]Entry!$N$1212="","",[2]Entry!$N$1212)</f>
        <v/>
      </c>
      <c r="Y1209">
        <f>IF([2]Entry!$R$1212="","",[2]Entry!$R$1212)</f>
        <v/>
      </c>
    </row>
    <row r="1210">
      <c r="P1210">
        <f>IF([2]Entry!$C$1213="","",[2]Entry!$C$1213)</f>
        <v/>
      </c>
      <c r="Q1210">
        <f>IF([2]Entry!$D$1213="","",[2]Entry!$D$1213)</f>
        <v/>
      </c>
      <c r="R1210">
        <f>IF([2]Entry!$E$1213="","",[2]Entry!$E$1213)</f>
        <v/>
      </c>
      <c r="S1210">
        <f>IF([2]Entry!$G$1213="","",[2]Entry!$G$1213)</f>
        <v/>
      </c>
      <c r="T1210">
        <f>IF([2]Entry!$J$1213="","",[2]Entry!$J$1213)</f>
        <v/>
      </c>
      <c r="U1210">
        <f>IF([2]Entry!$K$1213="","",[2]Entry!$K$1213)</f>
        <v/>
      </c>
      <c r="V1210">
        <f>IF([2]Entry!$L$1213="","",[2]Entry!$L$1213)</f>
        <v/>
      </c>
      <c r="W1210">
        <f>IF([2]Entry!$M$1213="","",[2]Entry!$M$1213)</f>
        <v/>
      </c>
      <c r="X1210">
        <f>IF([2]Entry!$N$1213="","",[2]Entry!$N$1213)</f>
        <v/>
      </c>
      <c r="Y1210">
        <f>IF([2]Entry!$R$1213="","",[2]Entry!$R$1213)</f>
        <v/>
      </c>
    </row>
    <row r="1211">
      <c r="P1211">
        <f>IF([2]Entry!$C$1214="","",[2]Entry!$C$1214)</f>
        <v/>
      </c>
      <c r="Q1211">
        <f>IF([2]Entry!$D$1214="","",[2]Entry!$D$1214)</f>
        <v/>
      </c>
      <c r="R1211">
        <f>IF([2]Entry!$E$1214="","",[2]Entry!$E$1214)</f>
        <v/>
      </c>
      <c r="S1211">
        <f>IF([2]Entry!$G$1214="","",[2]Entry!$G$1214)</f>
        <v/>
      </c>
      <c r="T1211">
        <f>IF([2]Entry!$J$1214="","",[2]Entry!$J$1214)</f>
        <v/>
      </c>
      <c r="U1211">
        <f>IF([2]Entry!$K$1214="","",[2]Entry!$K$1214)</f>
        <v/>
      </c>
      <c r="V1211">
        <f>IF([2]Entry!$L$1214="","",[2]Entry!$L$1214)</f>
        <v/>
      </c>
      <c r="W1211">
        <f>IF([2]Entry!$M$1214="","",[2]Entry!$M$1214)</f>
        <v/>
      </c>
      <c r="X1211">
        <f>IF([2]Entry!$N$1214="","",[2]Entry!$N$1214)</f>
        <v/>
      </c>
      <c r="Y1211">
        <f>IF([2]Entry!$R$1214="","",[2]Entry!$R$1214)</f>
        <v/>
      </c>
    </row>
    <row r="1212">
      <c r="P1212">
        <f>IF([2]Entry!$C$1215="","",[2]Entry!$C$1215)</f>
        <v/>
      </c>
      <c r="Q1212">
        <f>IF([2]Entry!$D$1215="","",[2]Entry!$D$1215)</f>
        <v/>
      </c>
      <c r="R1212">
        <f>IF([2]Entry!$E$1215="","",[2]Entry!$E$1215)</f>
        <v/>
      </c>
      <c r="S1212">
        <f>IF([2]Entry!$G$1215="","",[2]Entry!$G$1215)</f>
        <v/>
      </c>
      <c r="T1212">
        <f>IF([2]Entry!$J$1215="","",[2]Entry!$J$1215)</f>
        <v/>
      </c>
      <c r="U1212">
        <f>IF([2]Entry!$K$1215="","",[2]Entry!$K$1215)</f>
        <v/>
      </c>
      <c r="V1212">
        <f>IF([2]Entry!$L$1215="","",[2]Entry!$L$1215)</f>
        <v/>
      </c>
      <c r="W1212">
        <f>IF([2]Entry!$M$1215="","",[2]Entry!$M$1215)</f>
        <v/>
      </c>
      <c r="X1212">
        <f>IF([2]Entry!$N$1215="","",[2]Entry!$N$1215)</f>
        <v/>
      </c>
      <c r="Y1212">
        <f>IF([2]Entry!$R$1215="","",[2]Entry!$R$1215)</f>
        <v/>
      </c>
    </row>
    <row r="1213">
      <c r="P1213">
        <f>IF([2]Entry!$C$1216="","",[2]Entry!$C$1216)</f>
        <v/>
      </c>
      <c r="Q1213">
        <f>IF([2]Entry!$D$1216="","",[2]Entry!$D$1216)</f>
        <v/>
      </c>
      <c r="R1213">
        <f>IF([2]Entry!$E$1216="","",[2]Entry!$E$1216)</f>
        <v/>
      </c>
      <c r="S1213">
        <f>IF([2]Entry!$G$1216="","",[2]Entry!$G$1216)</f>
        <v/>
      </c>
      <c r="T1213">
        <f>IF([2]Entry!$J$1216="","",[2]Entry!$J$1216)</f>
        <v/>
      </c>
      <c r="U1213">
        <f>IF([2]Entry!$K$1216="","",[2]Entry!$K$1216)</f>
        <v/>
      </c>
      <c r="V1213">
        <f>IF([2]Entry!$L$1216="","",[2]Entry!$L$1216)</f>
        <v/>
      </c>
      <c r="W1213">
        <f>IF([2]Entry!$M$1216="","",[2]Entry!$M$1216)</f>
        <v/>
      </c>
      <c r="X1213">
        <f>IF([2]Entry!$N$1216="","",[2]Entry!$N$1216)</f>
        <v/>
      </c>
      <c r="Y1213">
        <f>IF([2]Entry!$R$1216="","",[2]Entry!$R$1216)</f>
        <v/>
      </c>
    </row>
    <row r="1214">
      <c r="P1214">
        <f>IF([2]Entry!$C$1217="","",[2]Entry!$C$1217)</f>
        <v/>
      </c>
      <c r="Q1214">
        <f>IF([2]Entry!$D$1217="","",[2]Entry!$D$1217)</f>
        <v/>
      </c>
      <c r="R1214">
        <f>IF([2]Entry!$E$1217="","",[2]Entry!$E$1217)</f>
        <v/>
      </c>
      <c r="S1214">
        <f>IF([2]Entry!$G$1217="","",[2]Entry!$G$1217)</f>
        <v/>
      </c>
      <c r="T1214">
        <f>IF([2]Entry!$J$1217="","",[2]Entry!$J$1217)</f>
        <v/>
      </c>
      <c r="U1214">
        <f>IF([2]Entry!$K$1217="","",[2]Entry!$K$1217)</f>
        <v/>
      </c>
      <c r="V1214">
        <f>IF([2]Entry!$L$1217="","",[2]Entry!$L$1217)</f>
        <v/>
      </c>
      <c r="W1214">
        <f>IF([2]Entry!$M$1217="","",[2]Entry!$M$1217)</f>
        <v/>
      </c>
      <c r="X1214">
        <f>IF([2]Entry!$N$1217="","",[2]Entry!$N$1217)</f>
        <v/>
      </c>
      <c r="Y1214">
        <f>IF([2]Entry!$R$1217="","",[2]Entry!$R$1217)</f>
        <v/>
      </c>
    </row>
    <row r="1215">
      <c r="P1215">
        <f>IF([2]Entry!$C$1218="","",[2]Entry!$C$1218)</f>
        <v/>
      </c>
      <c r="Q1215">
        <f>IF([2]Entry!$D$1218="","",[2]Entry!$D$1218)</f>
        <v/>
      </c>
      <c r="R1215">
        <f>IF([2]Entry!$E$1218="","",[2]Entry!$E$1218)</f>
        <v/>
      </c>
      <c r="S1215">
        <f>IF([2]Entry!$G$1218="","",[2]Entry!$G$1218)</f>
        <v/>
      </c>
      <c r="T1215">
        <f>IF([2]Entry!$J$1218="","",[2]Entry!$J$1218)</f>
        <v/>
      </c>
      <c r="U1215">
        <f>IF([2]Entry!$K$1218="","",[2]Entry!$K$1218)</f>
        <v/>
      </c>
      <c r="V1215">
        <f>IF([2]Entry!$L$1218="","",[2]Entry!$L$1218)</f>
        <v/>
      </c>
      <c r="W1215">
        <f>IF([2]Entry!$M$1218="","",[2]Entry!$M$1218)</f>
        <v/>
      </c>
      <c r="X1215">
        <f>IF([2]Entry!$N$1218="","",[2]Entry!$N$1218)</f>
        <v/>
      </c>
      <c r="Y1215">
        <f>IF([2]Entry!$R$1218="","",[2]Entry!$R$1218)</f>
        <v/>
      </c>
    </row>
    <row r="1216">
      <c r="P1216">
        <f>IF([2]Entry!$C$1219="","",[2]Entry!$C$1219)</f>
        <v/>
      </c>
      <c r="Q1216">
        <f>IF([2]Entry!$D$1219="","",[2]Entry!$D$1219)</f>
        <v/>
      </c>
      <c r="R1216">
        <f>IF([2]Entry!$E$1219="","",[2]Entry!$E$1219)</f>
        <v/>
      </c>
      <c r="S1216">
        <f>IF([2]Entry!$G$1219="","",[2]Entry!$G$1219)</f>
        <v/>
      </c>
      <c r="T1216">
        <f>IF([2]Entry!$J$1219="","",[2]Entry!$J$1219)</f>
        <v/>
      </c>
      <c r="U1216">
        <f>IF([2]Entry!$K$1219="","",[2]Entry!$K$1219)</f>
        <v/>
      </c>
      <c r="V1216">
        <f>IF([2]Entry!$L$1219="","",[2]Entry!$L$1219)</f>
        <v/>
      </c>
      <c r="W1216">
        <f>IF([2]Entry!$M$1219="","",[2]Entry!$M$1219)</f>
        <v/>
      </c>
      <c r="X1216">
        <f>IF([2]Entry!$N$1219="","",[2]Entry!$N$1219)</f>
        <v/>
      </c>
      <c r="Y1216">
        <f>IF([2]Entry!$R$1219="","",[2]Entry!$R$1219)</f>
        <v/>
      </c>
    </row>
    <row r="1217">
      <c r="P1217">
        <f>IF([2]Entry!$C$1220="","",[2]Entry!$C$1220)</f>
        <v/>
      </c>
      <c r="Q1217">
        <f>IF([2]Entry!$D$1220="","",[2]Entry!$D$1220)</f>
        <v/>
      </c>
      <c r="R1217">
        <f>IF([2]Entry!$E$1220="","",[2]Entry!$E$1220)</f>
        <v/>
      </c>
      <c r="S1217">
        <f>IF([2]Entry!$G$1220="","",[2]Entry!$G$1220)</f>
        <v/>
      </c>
      <c r="T1217">
        <f>IF([2]Entry!$J$1220="","",[2]Entry!$J$1220)</f>
        <v/>
      </c>
      <c r="U1217">
        <f>IF([2]Entry!$K$1220="","",[2]Entry!$K$1220)</f>
        <v/>
      </c>
      <c r="V1217">
        <f>IF([2]Entry!$L$1220="","",[2]Entry!$L$1220)</f>
        <v/>
      </c>
      <c r="W1217">
        <f>IF([2]Entry!$M$1220="","",[2]Entry!$M$1220)</f>
        <v/>
      </c>
      <c r="X1217">
        <f>IF([2]Entry!$N$1220="","",[2]Entry!$N$1220)</f>
        <v/>
      </c>
      <c r="Y1217">
        <f>IF([2]Entry!$R$1220="","",[2]Entry!$R$1220)</f>
        <v/>
      </c>
    </row>
    <row r="1218">
      <c r="P1218">
        <f>IF([2]Entry!$C$1221="","",[2]Entry!$C$1221)</f>
        <v/>
      </c>
      <c r="Q1218">
        <f>IF([2]Entry!$D$1221="","",[2]Entry!$D$1221)</f>
        <v/>
      </c>
      <c r="R1218">
        <f>IF([2]Entry!$E$1221="","",[2]Entry!$E$1221)</f>
        <v/>
      </c>
      <c r="S1218">
        <f>IF([2]Entry!$G$1221="","",[2]Entry!$G$1221)</f>
        <v/>
      </c>
      <c r="T1218">
        <f>IF([2]Entry!$J$1221="","",[2]Entry!$J$1221)</f>
        <v/>
      </c>
      <c r="U1218">
        <f>IF([2]Entry!$K$1221="","",[2]Entry!$K$1221)</f>
        <v/>
      </c>
      <c r="V1218">
        <f>IF([2]Entry!$L$1221="","",[2]Entry!$L$1221)</f>
        <v/>
      </c>
      <c r="W1218">
        <f>IF([2]Entry!$M$1221="","",[2]Entry!$M$1221)</f>
        <v/>
      </c>
      <c r="X1218">
        <f>IF([2]Entry!$N$1221="","",[2]Entry!$N$1221)</f>
        <v/>
      </c>
      <c r="Y1218">
        <f>IF([2]Entry!$R$1221="","",[2]Entry!$R$1221)</f>
        <v/>
      </c>
    </row>
    <row r="1219">
      <c r="P1219">
        <f>IF([2]Entry!$C$1222="","",[2]Entry!$C$1222)</f>
        <v/>
      </c>
      <c r="Q1219">
        <f>IF([2]Entry!$D$1222="","",[2]Entry!$D$1222)</f>
        <v/>
      </c>
      <c r="R1219">
        <f>IF([2]Entry!$E$1222="","",[2]Entry!$E$1222)</f>
        <v/>
      </c>
      <c r="S1219">
        <f>IF([2]Entry!$G$1222="","",[2]Entry!$G$1222)</f>
        <v/>
      </c>
      <c r="T1219">
        <f>IF([2]Entry!$J$1222="","",[2]Entry!$J$1222)</f>
        <v/>
      </c>
      <c r="U1219">
        <f>IF([2]Entry!$K$1222="","",[2]Entry!$K$1222)</f>
        <v/>
      </c>
      <c r="V1219">
        <f>IF([2]Entry!$L$1222="","",[2]Entry!$L$1222)</f>
        <v/>
      </c>
      <c r="W1219">
        <f>IF([2]Entry!$M$1222="","",[2]Entry!$M$1222)</f>
        <v/>
      </c>
      <c r="X1219">
        <f>IF([2]Entry!$N$1222="","",[2]Entry!$N$1222)</f>
        <v/>
      </c>
      <c r="Y1219">
        <f>IF([2]Entry!$R$1222="","",[2]Entry!$R$1222)</f>
        <v/>
      </c>
    </row>
    <row r="1220">
      <c r="P1220">
        <f>IF([2]Entry!$C$1223="","",[2]Entry!$C$1223)</f>
        <v/>
      </c>
      <c r="Q1220">
        <f>IF([2]Entry!$D$1223="","",[2]Entry!$D$1223)</f>
        <v/>
      </c>
      <c r="R1220">
        <f>IF([2]Entry!$E$1223="","",[2]Entry!$E$1223)</f>
        <v/>
      </c>
      <c r="S1220">
        <f>IF([2]Entry!$G$1223="","",[2]Entry!$G$1223)</f>
        <v/>
      </c>
      <c r="T1220">
        <f>IF([2]Entry!$J$1223="","",[2]Entry!$J$1223)</f>
        <v/>
      </c>
      <c r="U1220">
        <f>IF([2]Entry!$K$1223="","",[2]Entry!$K$1223)</f>
        <v/>
      </c>
      <c r="V1220">
        <f>IF([2]Entry!$L$1223="","",[2]Entry!$L$1223)</f>
        <v/>
      </c>
      <c r="W1220">
        <f>IF([2]Entry!$M$1223="","",[2]Entry!$M$1223)</f>
        <v/>
      </c>
      <c r="X1220">
        <f>IF([2]Entry!$N$1223="","",[2]Entry!$N$1223)</f>
        <v/>
      </c>
      <c r="Y1220">
        <f>IF([2]Entry!$R$1223="","",[2]Entry!$R$1223)</f>
        <v/>
      </c>
    </row>
    <row r="1221">
      <c r="P1221">
        <f>IF([2]Entry!$C$1224="","",[2]Entry!$C$1224)</f>
        <v/>
      </c>
      <c r="Q1221">
        <f>IF([2]Entry!$D$1224="","",[2]Entry!$D$1224)</f>
        <v/>
      </c>
      <c r="R1221">
        <f>IF([2]Entry!$E$1224="","",[2]Entry!$E$1224)</f>
        <v/>
      </c>
      <c r="S1221">
        <f>IF([2]Entry!$G$1224="","",[2]Entry!$G$1224)</f>
        <v/>
      </c>
      <c r="T1221">
        <f>IF([2]Entry!$J$1224="","",[2]Entry!$J$1224)</f>
        <v/>
      </c>
      <c r="U1221">
        <f>IF([2]Entry!$K$1224="","",[2]Entry!$K$1224)</f>
        <v/>
      </c>
      <c r="V1221">
        <f>IF([2]Entry!$L$1224="","",[2]Entry!$L$1224)</f>
        <v/>
      </c>
      <c r="W1221">
        <f>IF([2]Entry!$M$1224="","",[2]Entry!$M$1224)</f>
        <v/>
      </c>
      <c r="X1221">
        <f>IF([2]Entry!$N$1224="","",[2]Entry!$N$1224)</f>
        <v/>
      </c>
      <c r="Y1221">
        <f>IF([2]Entry!$R$1224="","",[2]Entry!$R$1224)</f>
        <v/>
      </c>
    </row>
    <row r="1222">
      <c r="P1222">
        <f>IF([2]Entry!$C$1225="","",[2]Entry!$C$1225)</f>
        <v/>
      </c>
      <c r="Q1222">
        <f>IF([2]Entry!$D$1225="","",[2]Entry!$D$1225)</f>
        <v/>
      </c>
      <c r="R1222">
        <f>IF([2]Entry!$E$1225="","",[2]Entry!$E$1225)</f>
        <v/>
      </c>
      <c r="S1222">
        <f>IF([2]Entry!$G$1225="","",[2]Entry!$G$1225)</f>
        <v/>
      </c>
      <c r="T1222">
        <f>IF([2]Entry!$J$1225="","",[2]Entry!$J$1225)</f>
        <v/>
      </c>
      <c r="U1222">
        <f>IF([2]Entry!$K$1225="","",[2]Entry!$K$1225)</f>
        <v/>
      </c>
      <c r="V1222">
        <f>IF([2]Entry!$L$1225="","",[2]Entry!$L$1225)</f>
        <v/>
      </c>
      <c r="W1222">
        <f>IF([2]Entry!$M$1225="","",[2]Entry!$M$1225)</f>
        <v/>
      </c>
      <c r="X1222">
        <f>IF([2]Entry!$N$1225="","",[2]Entry!$N$1225)</f>
        <v/>
      </c>
      <c r="Y1222">
        <f>IF([2]Entry!$R$1225="","",[2]Entry!$R$1225)</f>
        <v/>
      </c>
    </row>
    <row r="1223">
      <c r="P1223">
        <f>IF([2]Entry!$C$1226="","",[2]Entry!$C$1226)</f>
        <v/>
      </c>
      <c r="Q1223">
        <f>IF([2]Entry!$D$1226="","",[2]Entry!$D$1226)</f>
        <v/>
      </c>
      <c r="R1223">
        <f>IF([2]Entry!$E$1226="","",[2]Entry!$E$1226)</f>
        <v/>
      </c>
      <c r="S1223">
        <f>IF([2]Entry!$G$1226="","",[2]Entry!$G$1226)</f>
        <v/>
      </c>
      <c r="T1223">
        <f>IF([2]Entry!$J$1226="","",[2]Entry!$J$1226)</f>
        <v/>
      </c>
      <c r="U1223">
        <f>IF([2]Entry!$K$1226="","",[2]Entry!$K$1226)</f>
        <v/>
      </c>
      <c r="V1223">
        <f>IF([2]Entry!$L$1226="","",[2]Entry!$L$1226)</f>
        <v/>
      </c>
      <c r="W1223">
        <f>IF([2]Entry!$M$1226="","",[2]Entry!$M$1226)</f>
        <v/>
      </c>
      <c r="X1223">
        <f>IF([2]Entry!$N$1226="","",[2]Entry!$N$1226)</f>
        <v/>
      </c>
      <c r="Y1223">
        <f>IF([2]Entry!$R$1226="","",[2]Entry!$R$1226)</f>
        <v/>
      </c>
    </row>
    <row r="1224">
      <c r="P1224">
        <f>IF([2]Entry!$C$1227="","",[2]Entry!$C$1227)</f>
        <v/>
      </c>
      <c r="Q1224">
        <f>IF([2]Entry!$D$1227="","",[2]Entry!$D$1227)</f>
        <v/>
      </c>
      <c r="R1224">
        <f>IF([2]Entry!$E$1227="","",[2]Entry!$E$1227)</f>
        <v/>
      </c>
      <c r="S1224">
        <f>IF([2]Entry!$G$1227="","",[2]Entry!$G$1227)</f>
        <v/>
      </c>
      <c r="T1224">
        <f>IF([2]Entry!$J$1227="","",[2]Entry!$J$1227)</f>
        <v/>
      </c>
      <c r="U1224">
        <f>IF([2]Entry!$K$1227="","",[2]Entry!$K$1227)</f>
        <v/>
      </c>
      <c r="V1224">
        <f>IF([2]Entry!$L$1227="","",[2]Entry!$L$1227)</f>
        <v/>
      </c>
      <c r="W1224">
        <f>IF([2]Entry!$M$1227="","",[2]Entry!$M$1227)</f>
        <v/>
      </c>
      <c r="X1224">
        <f>IF([2]Entry!$N$1227="","",[2]Entry!$N$1227)</f>
        <v/>
      </c>
      <c r="Y1224">
        <f>IF([2]Entry!$R$1227="","",[2]Entry!$R$1227)</f>
        <v/>
      </c>
    </row>
    <row r="1225">
      <c r="P1225">
        <f>IF([2]Entry!$C$1228="","",[2]Entry!$C$1228)</f>
        <v/>
      </c>
      <c r="Q1225">
        <f>IF([2]Entry!$D$1228="","",[2]Entry!$D$1228)</f>
        <v/>
      </c>
      <c r="R1225">
        <f>IF([2]Entry!$E$1228="","",[2]Entry!$E$1228)</f>
        <v/>
      </c>
      <c r="S1225">
        <f>IF([2]Entry!$G$1228="","",[2]Entry!$G$1228)</f>
        <v/>
      </c>
      <c r="T1225">
        <f>IF([2]Entry!$J$1228="","",[2]Entry!$J$1228)</f>
        <v/>
      </c>
      <c r="U1225">
        <f>IF([2]Entry!$K$1228="","",[2]Entry!$K$1228)</f>
        <v/>
      </c>
      <c r="V1225">
        <f>IF([2]Entry!$L$1228="","",[2]Entry!$L$1228)</f>
        <v/>
      </c>
      <c r="W1225">
        <f>IF([2]Entry!$M$1228="","",[2]Entry!$M$1228)</f>
        <v/>
      </c>
      <c r="X1225">
        <f>IF([2]Entry!$N$1228="","",[2]Entry!$N$1228)</f>
        <v/>
      </c>
      <c r="Y1225">
        <f>IF([2]Entry!$R$1228="","",[2]Entry!$R$1228)</f>
        <v/>
      </c>
    </row>
    <row r="1226">
      <c r="P1226">
        <f>IF([2]Entry!$C$1229="","",[2]Entry!$C$1229)</f>
        <v/>
      </c>
      <c r="Q1226">
        <f>IF([2]Entry!$D$1229="","",[2]Entry!$D$1229)</f>
        <v/>
      </c>
      <c r="R1226">
        <f>IF([2]Entry!$E$1229="","",[2]Entry!$E$1229)</f>
        <v/>
      </c>
      <c r="S1226">
        <f>IF([2]Entry!$G$1229="","",[2]Entry!$G$1229)</f>
        <v/>
      </c>
      <c r="T1226">
        <f>IF([2]Entry!$J$1229="","",[2]Entry!$J$1229)</f>
        <v/>
      </c>
      <c r="U1226">
        <f>IF([2]Entry!$K$1229="","",[2]Entry!$K$1229)</f>
        <v/>
      </c>
      <c r="V1226">
        <f>IF([2]Entry!$L$1229="","",[2]Entry!$L$1229)</f>
        <v/>
      </c>
      <c r="W1226">
        <f>IF([2]Entry!$M$1229="","",[2]Entry!$M$1229)</f>
        <v/>
      </c>
      <c r="X1226">
        <f>IF([2]Entry!$N$1229="","",[2]Entry!$N$1229)</f>
        <v/>
      </c>
      <c r="Y1226">
        <f>IF([2]Entry!$R$1229="","",[2]Entry!$R$1229)</f>
        <v/>
      </c>
    </row>
    <row r="1227">
      <c r="P1227">
        <f>IF([2]Entry!$C$1230="","",[2]Entry!$C$1230)</f>
        <v/>
      </c>
      <c r="Q1227">
        <f>IF([2]Entry!$D$1230="","",[2]Entry!$D$1230)</f>
        <v/>
      </c>
      <c r="R1227">
        <f>IF([2]Entry!$E$1230="","",[2]Entry!$E$1230)</f>
        <v/>
      </c>
      <c r="S1227">
        <f>IF([2]Entry!$G$1230="","",[2]Entry!$G$1230)</f>
        <v/>
      </c>
      <c r="T1227">
        <f>IF([2]Entry!$J$1230="","",[2]Entry!$J$1230)</f>
        <v/>
      </c>
      <c r="U1227">
        <f>IF([2]Entry!$K$1230="","",[2]Entry!$K$1230)</f>
        <v/>
      </c>
      <c r="V1227">
        <f>IF([2]Entry!$L$1230="","",[2]Entry!$L$1230)</f>
        <v/>
      </c>
      <c r="W1227">
        <f>IF([2]Entry!$M$1230="","",[2]Entry!$M$1230)</f>
        <v/>
      </c>
      <c r="X1227">
        <f>IF([2]Entry!$N$1230="","",[2]Entry!$N$1230)</f>
        <v/>
      </c>
      <c r="Y1227">
        <f>IF([2]Entry!$R$1230="","",[2]Entry!$R$1230)</f>
        <v/>
      </c>
    </row>
    <row r="1228">
      <c r="P1228">
        <f>IF([2]Entry!$C$1231="","",[2]Entry!$C$1231)</f>
        <v/>
      </c>
      <c r="Q1228">
        <f>IF([2]Entry!$D$1231="","",[2]Entry!$D$1231)</f>
        <v/>
      </c>
      <c r="R1228">
        <f>IF([2]Entry!$E$1231="","",[2]Entry!$E$1231)</f>
        <v/>
      </c>
      <c r="S1228">
        <f>IF([2]Entry!$G$1231="","",[2]Entry!$G$1231)</f>
        <v/>
      </c>
      <c r="T1228">
        <f>IF([2]Entry!$J$1231="","",[2]Entry!$J$1231)</f>
        <v/>
      </c>
      <c r="U1228">
        <f>IF([2]Entry!$K$1231="","",[2]Entry!$K$1231)</f>
        <v/>
      </c>
      <c r="V1228">
        <f>IF([2]Entry!$L$1231="","",[2]Entry!$L$1231)</f>
        <v/>
      </c>
      <c r="W1228">
        <f>IF([2]Entry!$M$1231="","",[2]Entry!$M$1231)</f>
        <v/>
      </c>
      <c r="X1228">
        <f>IF([2]Entry!$N$1231="","",[2]Entry!$N$1231)</f>
        <v/>
      </c>
      <c r="Y1228">
        <f>IF([2]Entry!$R$1231="","",[2]Entry!$R$1231)</f>
        <v/>
      </c>
    </row>
    <row r="1229">
      <c r="P1229">
        <f>IF([2]Entry!$C$1232="","",[2]Entry!$C$1232)</f>
        <v/>
      </c>
      <c r="Q1229">
        <f>IF([2]Entry!$D$1232="","",[2]Entry!$D$1232)</f>
        <v/>
      </c>
      <c r="R1229">
        <f>IF([2]Entry!$E$1232="","",[2]Entry!$E$1232)</f>
        <v/>
      </c>
      <c r="S1229">
        <f>IF([2]Entry!$G$1232="","",[2]Entry!$G$1232)</f>
        <v/>
      </c>
      <c r="T1229">
        <f>IF([2]Entry!$J$1232="","",[2]Entry!$J$1232)</f>
        <v/>
      </c>
      <c r="U1229">
        <f>IF([2]Entry!$K$1232="","",[2]Entry!$K$1232)</f>
        <v/>
      </c>
      <c r="V1229">
        <f>IF([2]Entry!$L$1232="","",[2]Entry!$L$1232)</f>
        <v/>
      </c>
      <c r="W1229">
        <f>IF([2]Entry!$M$1232="","",[2]Entry!$M$1232)</f>
        <v/>
      </c>
      <c r="X1229">
        <f>IF([2]Entry!$N$1232="","",[2]Entry!$N$1232)</f>
        <v/>
      </c>
      <c r="Y1229">
        <f>IF([2]Entry!$R$1232="","",[2]Entry!$R$1232)</f>
        <v/>
      </c>
    </row>
    <row r="1230">
      <c r="P1230">
        <f>IF([2]Entry!$C$1233="","",[2]Entry!$C$1233)</f>
        <v/>
      </c>
      <c r="Q1230">
        <f>IF([2]Entry!$D$1233="","",[2]Entry!$D$1233)</f>
        <v/>
      </c>
      <c r="R1230">
        <f>IF([2]Entry!$E$1233="","",[2]Entry!$E$1233)</f>
        <v/>
      </c>
      <c r="S1230">
        <f>IF([2]Entry!$G$1233="","",[2]Entry!$G$1233)</f>
        <v/>
      </c>
      <c r="T1230">
        <f>IF([2]Entry!$J$1233="","",[2]Entry!$J$1233)</f>
        <v/>
      </c>
      <c r="U1230">
        <f>IF([2]Entry!$K$1233="","",[2]Entry!$K$1233)</f>
        <v/>
      </c>
      <c r="V1230">
        <f>IF([2]Entry!$L$1233="","",[2]Entry!$L$1233)</f>
        <v/>
      </c>
      <c r="W1230">
        <f>IF([2]Entry!$M$1233="","",[2]Entry!$M$1233)</f>
        <v/>
      </c>
      <c r="X1230">
        <f>IF([2]Entry!$N$1233="","",[2]Entry!$N$1233)</f>
        <v/>
      </c>
      <c r="Y1230">
        <f>IF([2]Entry!$R$1233="","",[2]Entry!$R$1233)</f>
        <v/>
      </c>
    </row>
    <row r="1231">
      <c r="P1231">
        <f>IF([2]Entry!$C$1234="","",[2]Entry!$C$1234)</f>
        <v/>
      </c>
      <c r="Q1231">
        <f>IF([2]Entry!$D$1234="","",[2]Entry!$D$1234)</f>
        <v/>
      </c>
      <c r="R1231">
        <f>IF([2]Entry!$E$1234="","",[2]Entry!$E$1234)</f>
        <v/>
      </c>
      <c r="S1231">
        <f>IF([2]Entry!$G$1234="","",[2]Entry!$G$1234)</f>
        <v/>
      </c>
      <c r="T1231">
        <f>IF([2]Entry!$J$1234="","",[2]Entry!$J$1234)</f>
        <v/>
      </c>
      <c r="U1231">
        <f>IF([2]Entry!$K$1234="","",[2]Entry!$K$1234)</f>
        <v/>
      </c>
      <c r="V1231">
        <f>IF([2]Entry!$L$1234="","",[2]Entry!$L$1234)</f>
        <v/>
      </c>
      <c r="W1231">
        <f>IF([2]Entry!$M$1234="","",[2]Entry!$M$1234)</f>
        <v/>
      </c>
      <c r="X1231">
        <f>IF([2]Entry!$N$1234="","",[2]Entry!$N$1234)</f>
        <v/>
      </c>
      <c r="Y1231">
        <f>IF([2]Entry!$R$1234="","",[2]Entry!$R$1234)</f>
        <v/>
      </c>
    </row>
    <row r="1232">
      <c r="P1232">
        <f>IF([2]Entry!$C$1235="","",[2]Entry!$C$1235)</f>
        <v/>
      </c>
      <c r="Q1232">
        <f>IF([2]Entry!$D$1235="","",[2]Entry!$D$1235)</f>
        <v/>
      </c>
      <c r="R1232">
        <f>IF([2]Entry!$E$1235="","",[2]Entry!$E$1235)</f>
        <v/>
      </c>
      <c r="S1232">
        <f>IF([2]Entry!$G$1235="","",[2]Entry!$G$1235)</f>
        <v/>
      </c>
      <c r="T1232">
        <f>IF([2]Entry!$J$1235="","",[2]Entry!$J$1235)</f>
        <v/>
      </c>
      <c r="U1232">
        <f>IF([2]Entry!$K$1235="","",[2]Entry!$K$1235)</f>
        <v/>
      </c>
      <c r="V1232">
        <f>IF([2]Entry!$L$1235="","",[2]Entry!$L$1235)</f>
        <v/>
      </c>
      <c r="W1232">
        <f>IF([2]Entry!$M$1235="","",[2]Entry!$M$1235)</f>
        <v/>
      </c>
      <c r="X1232">
        <f>IF([2]Entry!$N$1235="","",[2]Entry!$N$1235)</f>
        <v/>
      </c>
      <c r="Y1232">
        <f>IF([2]Entry!$R$1235="","",[2]Entry!$R$1235)</f>
        <v/>
      </c>
    </row>
    <row r="1233">
      <c r="P1233">
        <f>IF([2]Entry!$C$1236="","",[2]Entry!$C$1236)</f>
        <v/>
      </c>
      <c r="Q1233">
        <f>IF([2]Entry!$D$1236="","",[2]Entry!$D$1236)</f>
        <v/>
      </c>
      <c r="R1233">
        <f>IF([2]Entry!$E$1236="","",[2]Entry!$E$1236)</f>
        <v/>
      </c>
      <c r="S1233">
        <f>IF([2]Entry!$G$1236="","",[2]Entry!$G$1236)</f>
        <v/>
      </c>
      <c r="T1233">
        <f>IF([2]Entry!$J$1236="","",[2]Entry!$J$1236)</f>
        <v/>
      </c>
      <c r="U1233">
        <f>IF([2]Entry!$K$1236="","",[2]Entry!$K$1236)</f>
        <v/>
      </c>
      <c r="V1233">
        <f>IF([2]Entry!$L$1236="","",[2]Entry!$L$1236)</f>
        <v/>
      </c>
      <c r="W1233">
        <f>IF([2]Entry!$M$1236="","",[2]Entry!$M$1236)</f>
        <v/>
      </c>
      <c r="X1233">
        <f>IF([2]Entry!$N$1236="","",[2]Entry!$N$1236)</f>
        <v/>
      </c>
      <c r="Y1233">
        <f>IF([2]Entry!$R$1236="","",[2]Entry!$R$1236)</f>
        <v/>
      </c>
    </row>
    <row r="1234">
      <c r="P1234">
        <f>IF([2]Entry!$C$1237="","",[2]Entry!$C$1237)</f>
        <v/>
      </c>
      <c r="Q1234">
        <f>IF([2]Entry!$D$1237="","",[2]Entry!$D$1237)</f>
        <v/>
      </c>
      <c r="R1234">
        <f>IF([2]Entry!$E$1237="","",[2]Entry!$E$1237)</f>
        <v/>
      </c>
      <c r="S1234">
        <f>IF([2]Entry!$G$1237="","",[2]Entry!$G$1237)</f>
        <v/>
      </c>
      <c r="T1234">
        <f>IF([2]Entry!$J$1237="","",[2]Entry!$J$1237)</f>
        <v/>
      </c>
      <c r="U1234">
        <f>IF([2]Entry!$K$1237="","",[2]Entry!$K$1237)</f>
        <v/>
      </c>
      <c r="V1234">
        <f>IF([2]Entry!$L$1237="","",[2]Entry!$L$1237)</f>
        <v/>
      </c>
      <c r="W1234">
        <f>IF([2]Entry!$M$1237="","",[2]Entry!$M$1237)</f>
        <v/>
      </c>
      <c r="X1234">
        <f>IF([2]Entry!$N$1237="","",[2]Entry!$N$1237)</f>
        <v/>
      </c>
      <c r="Y1234">
        <f>IF([2]Entry!$R$1237="","",[2]Entry!$R$1237)</f>
        <v/>
      </c>
    </row>
    <row r="1235">
      <c r="P1235">
        <f>IF([2]Entry!$C$1238="","",[2]Entry!$C$1238)</f>
        <v/>
      </c>
      <c r="Q1235">
        <f>IF([2]Entry!$D$1238="","",[2]Entry!$D$1238)</f>
        <v/>
      </c>
      <c r="R1235">
        <f>IF([2]Entry!$E$1238="","",[2]Entry!$E$1238)</f>
        <v/>
      </c>
      <c r="S1235">
        <f>IF([2]Entry!$G$1238="","",[2]Entry!$G$1238)</f>
        <v/>
      </c>
      <c r="T1235">
        <f>IF([2]Entry!$J$1238="","",[2]Entry!$J$1238)</f>
        <v/>
      </c>
      <c r="U1235">
        <f>IF([2]Entry!$K$1238="","",[2]Entry!$K$1238)</f>
        <v/>
      </c>
      <c r="V1235">
        <f>IF([2]Entry!$L$1238="","",[2]Entry!$L$1238)</f>
        <v/>
      </c>
      <c r="W1235">
        <f>IF([2]Entry!$M$1238="","",[2]Entry!$M$1238)</f>
        <v/>
      </c>
      <c r="X1235">
        <f>IF([2]Entry!$N$1238="","",[2]Entry!$N$1238)</f>
        <v/>
      </c>
      <c r="Y1235">
        <f>IF([2]Entry!$R$1238="","",[2]Entry!$R$1238)</f>
        <v/>
      </c>
    </row>
    <row r="1236">
      <c r="P1236">
        <f>IF([2]Entry!$C$1239="","",[2]Entry!$C$1239)</f>
        <v/>
      </c>
      <c r="Q1236">
        <f>IF([2]Entry!$D$1239="","",[2]Entry!$D$1239)</f>
        <v/>
      </c>
      <c r="R1236">
        <f>IF([2]Entry!$E$1239="","",[2]Entry!$E$1239)</f>
        <v/>
      </c>
      <c r="S1236">
        <f>IF([2]Entry!$G$1239="","",[2]Entry!$G$1239)</f>
        <v/>
      </c>
      <c r="T1236">
        <f>IF([2]Entry!$J$1239="","",[2]Entry!$J$1239)</f>
        <v/>
      </c>
      <c r="U1236">
        <f>IF([2]Entry!$K$1239="","",[2]Entry!$K$1239)</f>
        <v/>
      </c>
      <c r="V1236">
        <f>IF([2]Entry!$L$1239="","",[2]Entry!$L$1239)</f>
        <v/>
      </c>
      <c r="W1236">
        <f>IF([2]Entry!$M$1239="","",[2]Entry!$M$1239)</f>
        <v/>
      </c>
      <c r="X1236">
        <f>IF([2]Entry!$N$1239="","",[2]Entry!$N$1239)</f>
        <v/>
      </c>
      <c r="Y1236">
        <f>IF([2]Entry!$R$1239="","",[2]Entry!$R$1239)</f>
        <v/>
      </c>
    </row>
    <row r="1237">
      <c r="P1237">
        <f>IF([2]Entry!$C$1240="","",[2]Entry!$C$1240)</f>
        <v/>
      </c>
      <c r="Q1237">
        <f>IF([2]Entry!$D$1240="","",[2]Entry!$D$1240)</f>
        <v/>
      </c>
      <c r="R1237">
        <f>IF([2]Entry!$E$1240="","",[2]Entry!$E$1240)</f>
        <v/>
      </c>
      <c r="S1237">
        <f>IF([2]Entry!$G$1240="","",[2]Entry!$G$1240)</f>
        <v/>
      </c>
      <c r="T1237">
        <f>IF([2]Entry!$J$1240="","",[2]Entry!$J$1240)</f>
        <v/>
      </c>
      <c r="U1237">
        <f>IF([2]Entry!$K$1240="","",[2]Entry!$K$1240)</f>
        <v/>
      </c>
      <c r="V1237">
        <f>IF([2]Entry!$L$1240="","",[2]Entry!$L$1240)</f>
        <v/>
      </c>
      <c r="W1237">
        <f>IF([2]Entry!$M$1240="","",[2]Entry!$M$1240)</f>
        <v/>
      </c>
      <c r="X1237">
        <f>IF([2]Entry!$N$1240="","",[2]Entry!$N$1240)</f>
        <v/>
      </c>
      <c r="Y1237">
        <f>IF([2]Entry!$R$1240="","",[2]Entry!$R$1240)</f>
        <v/>
      </c>
    </row>
    <row r="1238">
      <c r="P1238">
        <f>IF([2]Entry!$C$1241="","",[2]Entry!$C$1241)</f>
        <v/>
      </c>
      <c r="Q1238">
        <f>IF([2]Entry!$D$1241="","",[2]Entry!$D$1241)</f>
        <v/>
      </c>
      <c r="R1238">
        <f>IF([2]Entry!$E$1241="","",[2]Entry!$E$1241)</f>
        <v/>
      </c>
      <c r="S1238">
        <f>IF([2]Entry!$G$1241="","",[2]Entry!$G$1241)</f>
        <v/>
      </c>
      <c r="T1238">
        <f>IF([2]Entry!$J$1241="","",[2]Entry!$J$1241)</f>
        <v/>
      </c>
      <c r="U1238">
        <f>IF([2]Entry!$K$1241="","",[2]Entry!$K$1241)</f>
        <v/>
      </c>
      <c r="V1238">
        <f>IF([2]Entry!$L$1241="","",[2]Entry!$L$1241)</f>
        <v/>
      </c>
      <c r="W1238">
        <f>IF([2]Entry!$M$1241="","",[2]Entry!$M$1241)</f>
        <v/>
      </c>
      <c r="X1238">
        <f>IF([2]Entry!$N$1241="","",[2]Entry!$N$1241)</f>
        <v/>
      </c>
      <c r="Y1238">
        <f>IF([2]Entry!$R$1241="","",[2]Entry!$R$1241)</f>
        <v/>
      </c>
    </row>
    <row r="1239">
      <c r="P1239">
        <f>IF([2]Entry!$C$1242="","",[2]Entry!$C$1242)</f>
        <v/>
      </c>
      <c r="Q1239">
        <f>IF([2]Entry!$D$1242="","",[2]Entry!$D$1242)</f>
        <v/>
      </c>
      <c r="R1239">
        <f>IF([2]Entry!$E$1242="","",[2]Entry!$E$1242)</f>
        <v/>
      </c>
      <c r="S1239">
        <f>IF([2]Entry!$G$1242="","",[2]Entry!$G$1242)</f>
        <v/>
      </c>
      <c r="T1239">
        <f>IF([2]Entry!$J$1242="","",[2]Entry!$J$1242)</f>
        <v/>
      </c>
      <c r="U1239">
        <f>IF([2]Entry!$K$1242="","",[2]Entry!$K$1242)</f>
        <v/>
      </c>
      <c r="V1239">
        <f>IF([2]Entry!$L$1242="","",[2]Entry!$L$1242)</f>
        <v/>
      </c>
      <c r="W1239">
        <f>IF([2]Entry!$M$1242="","",[2]Entry!$M$1242)</f>
        <v/>
      </c>
      <c r="X1239">
        <f>IF([2]Entry!$N$1242="","",[2]Entry!$N$1242)</f>
        <v/>
      </c>
      <c r="Y1239">
        <f>IF([2]Entry!$R$1242="","",[2]Entry!$R$1242)</f>
        <v/>
      </c>
    </row>
    <row r="1240">
      <c r="P1240">
        <f>IF([2]Entry!$C$1243="","",[2]Entry!$C$1243)</f>
        <v/>
      </c>
      <c r="Q1240">
        <f>IF([2]Entry!$D$1243="","",[2]Entry!$D$1243)</f>
        <v/>
      </c>
      <c r="R1240">
        <f>IF([2]Entry!$E$1243="","",[2]Entry!$E$1243)</f>
        <v/>
      </c>
      <c r="S1240">
        <f>IF([2]Entry!$G$1243="","",[2]Entry!$G$1243)</f>
        <v/>
      </c>
      <c r="T1240">
        <f>IF([2]Entry!$J$1243="","",[2]Entry!$J$1243)</f>
        <v/>
      </c>
      <c r="U1240">
        <f>IF([2]Entry!$K$1243="","",[2]Entry!$K$1243)</f>
        <v/>
      </c>
      <c r="V1240">
        <f>IF([2]Entry!$L$1243="","",[2]Entry!$L$1243)</f>
        <v/>
      </c>
      <c r="W1240">
        <f>IF([2]Entry!$M$1243="","",[2]Entry!$M$1243)</f>
        <v/>
      </c>
      <c r="X1240">
        <f>IF([2]Entry!$N$1243="","",[2]Entry!$N$1243)</f>
        <v/>
      </c>
      <c r="Y1240">
        <f>IF([2]Entry!$R$1243="","",[2]Entry!$R$1243)</f>
        <v/>
      </c>
    </row>
    <row r="1241">
      <c r="P1241">
        <f>IF([2]Entry!$C$1244="","",[2]Entry!$C$1244)</f>
        <v/>
      </c>
      <c r="Q1241">
        <f>IF([2]Entry!$D$1244="","",[2]Entry!$D$1244)</f>
        <v/>
      </c>
      <c r="R1241">
        <f>IF([2]Entry!$E$1244="","",[2]Entry!$E$1244)</f>
        <v/>
      </c>
      <c r="S1241">
        <f>IF([2]Entry!$G$1244="","",[2]Entry!$G$1244)</f>
        <v/>
      </c>
      <c r="T1241">
        <f>IF([2]Entry!$J$1244="","",[2]Entry!$J$1244)</f>
        <v/>
      </c>
      <c r="U1241">
        <f>IF([2]Entry!$K$1244="","",[2]Entry!$K$1244)</f>
        <v/>
      </c>
      <c r="V1241">
        <f>IF([2]Entry!$L$1244="","",[2]Entry!$L$1244)</f>
        <v/>
      </c>
      <c r="W1241">
        <f>IF([2]Entry!$M$1244="","",[2]Entry!$M$1244)</f>
        <v/>
      </c>
      <c r="X1241">
        <f>IF([2]Entry!$N$1244="","",[2]Entry!$N$1244)</f>
        <v/>
      </c>
      <c r="Y1241">
        <f>IF([2]Entry!$R$1244="","",[2]Entry!$R$1244)</f>
        <v/>
      </c>
    </row>
    <row r="1242">
      <c r="P1242">
        <f>IF([2]Entry!$C$1245="","",[2]Entry!$C$1245)</f>
        <v/>
      </c>
      <c r="Q1242">
        <f>IF([2]Entry!$D$1245="","",[2]Entry!$D$1245)</f>
        <v/>
      </c>
      <c r="R1242">
        <f>IF([2]Entry!$E$1245="","",[2]Entry!$E$1245)</f>
        <v/>
      </c>
      <c r="S1242">
        <f>IF([2]Entry!$G$1245="","",[2]Entry!$G$1245)</f>
        <v/>
      </c>
      <c r="T1242">
        <f>IF([2]Entry!$J$1245="","",[2]Entry!$J$1245)</f>
        <v/>
      </c>
      <c r="U1242">
        <f>IF([2]Entry!$K$1245="","",[2]Entry!$K$1245)</f>
        <v/>
      </c>
      <c r="V1242">
        <f>IF([2]Entry!$L$1245="","",[2]Entry!$L$1245)</f>
        <v/>
      </c>
      <c r="W1242">
        <f>IF([2]Entry!$M$1245="","",[2]Entry!$M$1245)</f>
        <v/>
      </c>
      <c r="X1242">
        <f>IF([2]Entry!$N$1245="","",[2]Entry!$N$1245)</f>
        <v/>
      </c>
      <c r="Y1242">
        <f>IF([2]Entry!$R$1245="","",[2]Entry!$R$1245)</f>
        <v/>
      </c>
    </row>
    <row r="1243">
      <c r="P1243">
        <f>IF([2]Entry!$C$1246="","",[2]Entry!$C$1246)</f>
        <v/>
      </c>
      <c r="Q1243">
        <f>IF([2]Entry!$D$1246="","",[2]Entry!$D$1246)</f>
        <v/>
      </c>
      <c r="R1243">
        <f>IF([2]Entry!$E$1246="","",[2]Entry!$E$1246)</f>
        <v/>
      </c>
      <c r="S1243">
        <f>IF([2]Entry!$G$1246="","",[2]Entry!$G$1246)</f>
        <v/>
      </c>
      <c r="T1243">
        <f>IF([2]Entry!$J$1246="","",[2]Entry!$J$1246)</f>
        <v/>
      </c>
      <c r="U1243">
        <f>IF([2]Entry!$K$1246="","",[2]Entry!$K$1246)</f>
        <v/>
      </c>
      <c r="V1243">
        <f>IF([2]Entry!$L$1246="","",[2]Entry!$L$1246)</f>
        <v/>
      </c>
      <c r="W1243">
        <f>IF([2]Entry!$M$1246="","",[2]Entry!$M$1246)</f>
        <v/>
      </c>
      <c r="X1243">
        <f>IF([2]Entry!$N$1246="","",[2]Entry!$N$1246)</f>
        <v/>
      </c>
      <c r="Y1243">
        <f>IF([2]Entry!$R$1246="","",[2]Entry!$R$1246)</f>
        <v/>
      </c>
    </row>
    <row r="1244">
      <c r="P1244">
        <f>IF([2]Entry!$C$1247="","",[2]Entry!$C$1247)</f>
        <v/>
      </c>
      <c r="Q1244">
        <f>IF([2]Entry!$D$1247="","",[2]Entry!$D$1247)</f>
        <v/>
      </c>
      <c r="R1244">
        <f>IF([2]Entry!$E$1247="","",[2]Entry!$E$1247)</f>
        <v/>
      </c>
      <c r="S1244">
        <f>IF([2]Entry!$G$1247="","",[2]Entry!$G$1247)</f>
        <v/>
      </c>
      <c r="T1244">
        <f>IF([2]Entry!$J$1247="","",[2]Entry!$J$1247)</f>
        <v/>
      </c>
      <c r="U1244">
        <f>IF([2]Entry!$K$1247="","",[2]Entry!$K$1247)</f>
        <v/>
      </c>
      <c r="V1244">
        <f>IF([2]Entry!$L$1247="","",[2]Entry!$L$1247)</f>
        <v/>
      </c>
      <c r="W1244">
        <f>IF([2]Entry!$M$1247="","",[2]Entry!$M$1247)</f>
        <v/>
      </c>
      <c r="X1244">
        <f>IF([2]Entry!$N$1247="","",[2]Entry!$N$1247)</f>
        <v/>
      </c>
      <c r="Y1244">
        <f>IF([2]Entry!$R$1247="","",[2]Entry!$R$1247)</f>
        <v/>
      </c>
    </row>
    <row r="1245">
      <c r="P1245">
        <f>IF([2]Entry!$C$1248="","",[2]Entry!$C$1248)</f>
        <v/>
      </c>
      <c r="Q1245">
        <f>IF([2]Entry!$D$1248="","",[2]Entry!$D$1248)</f>
        <v/>
      </c>
      <c r="R1245">
        <f>IF([2]Entry!$E$1248="","",[2]Entry!$E$1248)</f>
        <v/>
      </c>
      <c r="S1245">
        <f>IF([2]Entry!$G$1248="","",[2]Entry!$G$1248)</f>
        <v/>
      </c>
      <c r="T1245">
        <f>IF([2]Entry!$J$1248="","",[2]Entry!$J$1248)</f>
        <v/>
      </c>
      <c r="U1245">
        <f>IF([2]Entry!$K$1248="","",[2]Entry!$K$1248)</f>
        <v/>
      </c>
      <c r="V1245">
        <f>IF([2]Entry!$L$1248="","",[2]Entry!$L$1248)</f>
        <v/>
      </c>
      <c r="W1245">
        <f>IF([2]Entry!$M$1248="","",[2]Entry!$M$1248)</f>
        <v/>
      </c>
      <c r="X1245">
        <f>IF([2]Entry!$N$1248="","",[2]Entry!$N$1248)</f>
        <v/>
      </c>
      <c r="Y1245">
        <f>IF([2]Entry!$R$1248="","",[2]Entry!$R$1248)</f>
        <v/>
      </c>
    </row>
    <row r="1246">
      <c r="P1246">
        <f>IF([2]Entry!$C$1249="","",[2]Entry!$C$1249)</f>
        <v/>
      </c>
      <c r="Q1246">
        <f>IF([2]Entry!$D$1249="","",[2]Entry!$D$1249)</f>
        <v/>
      </c>
      <c r="R1246">
        <f>IF([2]Entry!$E$1249="","",[2]Entry!$E$1249)</f>
        <v/>
      </c>
      <c r="S1246">
        <f>IF([2]Entry!$G$1249="","",[2]Entry!$G$1249)</f>
        <v/>
      </c>
      <c r="T1246">
        <f>IF([2]Entry!$J$1249="","",[2]Entry!$J$1249)</f>
        <v/>
      </c>
      <c r="U1246">
        <f>IF([2]Entry!$K$1249="","",[2]Entry!$K$1249)</f>
        <v/>
      </c>
      <c r="V1246">
        <f>IF([2]Entry!$L$1249="","",[2]Entry!$L$1249)</f>
        <v/>
      </c>
      <c r="W1246">
        <f>IF([2]Entry!$M$1249="","",[2]Entry!$M$1249)</f>
        <v/>
      </c>
      <c r="X1246">
        <f>IF([2]Entry!$N$1249="","",[2]Entry!$N$1249)</f>
        <v/>
      </c>
      <c r="Y1246">
        <f>IF([2]Entry!$R$1249="","",[2]Entry!$R$1249)</f>
        <v/>
      </c>
    </row>
    <row r="1247">
      <c r="P1247">
        <f>IF([2]Entry!$C$1250="","",[2]Entry!$C$1250)</f>
        <v/>
      </c>
      <c r="Q1247">
        <f>IF([2]Entry!$D$1250="","",[2]Entry!$D$1250)</f>
        <v/>
      </c>
      <c r="R1247">
        <f>IF([2]Entry!$E$1250="","",[2]Entry!$E$1250)</f>
        <v/>
      </c>
      <c r="S1247">
        <f>IF([2]Entry!$G$1250="","",[2]Entry!$G$1250)</f>
        <v/>
      </c>
      <c r="T1247">
        <f>IF([2]Entry!$J$1250="","",[2]Entry!$J$1250)</f>
        <v/>
      </c>
      <c r="U1247">
        <f>IF([2]Entry!$K$1250="","",[2]Entry!$K$1250)</f>
        <v/>
      </c>
      <c r="V1247">
        <f>IF([2]Entry!$L$1250="","",[2]Entry!$L$1250)</f>
        <v/>
      </c>
      <c r="W1247">
        <f>IF([2]Entry!$M$1250="","",[2]Entry!$M$1250)</f>
        <v/>
      </c>
      <c r="X1247">
        <f>IF([2]Entry!$N$1250="","",[2]Entry!$N$1250)</f>
        <v/>
      </c>
      <c r="Y1247">
        <f>IF([2]Entry!$R$1250="","",[2]Entry!$R$1250)</f>
        <v/>
      </c>
    </row>
    <row r="1248">
      <c r="P1248">
        <f>IF([2]Entry!$C$1251="","",[2]Entry!$C$1251)</f>
        <v/>
      </c>
      <c r="Q1248">
        <f>IF([2]Entry!$D$1251="","",[2]Entry!$D$1251)</f>
        <v/>
      </c>
      <c r="R1248">
        <f>IF([2]Entry!$E$1251="","",[2]Entry!$E$1251)</f>
        <v/>
      </c>
      <c r="S1248">
        <f>IF([2]Entry!$G$1251="","",[2]Entry!$G$1251)</f>
        <v/>
      </c>
      <c r="T1248">
        <f>IF([2]Entry!$J$1251="","",[2]Entry!$J$1251)</f>
        <v/>
      </c>
      <c r="U1248">
        <f>IF([2]Entry!$K$1251="","",[2]Entry!$K$1251)</f>
        <v/>
      </c>
      <c r="V1248">
        <f>IF([2]Entry!$L$1251="","",[2]Entry!$L$1251)</f>
        <v/>
      </c>
      <c r="W1248">
        <f>IF([2]Entry!$M$1251="","",[2]Entry!$M$1251)</f>
        <v/>
      </c>
      <c r="X1248">
        <f>IF([2]Entry!$N$1251="","",[2]Entry!$N$1251)</f>
        <v/>
      </c>
      <c r="Y1248">
        <f>IF([2]Entry!$R$1251="","",[2]Entry!$R$1251)</f>
        <v/>
      </c>
    </row>
    <row r="1249">
      <c r="P1249">
        <f>IF([2]Entry!$C$1252="","",[2]Entry!$C$1252)</f>
        <v/>
      </c>
      <c r="Q1249">
        <f>IF([2]Entry!$D$1252="","",[2]Entry!$D$1252)</f>
        <v/>
      </c>
      <c r="R1249">
        <f>IF([2]Entry!$E$1252="","",[2]Entry!$E$1252)</f>
        <v/>
      </c>
      <c r="S1249">
        <f>IF([2]Entry!$G$1252="","",[2]Entry!$G$1252)</f>
        <v/>
      </c>
      <c r="T1249">
        <f>IF([2]Entry!$J$1252="","",[2]Entry!$J$1252)</f>
        <v/>
      </c>
      <c r="U1249">
        <f>IF([2]Entry!$K$1252="","",[2]Entry!$K$1252)</f>
        <v/>
      </c>
      <c r="V1249">
        <f>IF([2]Entry!$L$1252="","",[2]Entry!$L$1252)</f>
        <v/>
      </c>
      <c r="W1249">
        <f>IF([2]Entry!$M$1252="","",[2]Entry!$M$1252)</f>
        <v/>
      </c>
      <c r="X1249">
        <f>IF([2]Entry!$N$1252="","",[2]Entry!$N$1252)</f>
        <v/>
      </c>
      <c r="Y1249">
        <f>IF([2]Entry!$R$1252="","",[2]Entry!$R$1252)</f>
        <v/>
      </c>
    </row>
    <row r="1250">
      <c r="P1250">
        <f>IF([2]Entry!$C$1253="","",[2]Entry!$C$1253)</f>
        <v/>
      </c>
      <c r="Q1250">
        <f>IF([2]Entry!$D$1253="","",[2]Entry!$D$1253)</f>
        <v/>
      </c>
      <c r="R1250">
        <f>IF([2]Entry!$E$1253="","",[2]Entry!$E$1253)</f>
        <v/>
      </c>
      <c r="S1250">
        <f>IF([2]Entry!$G$1253="","",[2]Entry!$G$1253)</f>
        <v/>
      </c>
      <c r="T1250">
        <f>IF([2]Entry!$J$1253="","",[2]Entry!$J$1253)</f>
        <v/>
      </c>
      <c r="U1250">
        <f>IF([2]Entry!$K$1253="","",[2]Entry!$K$1253)</f>
        <v/>
      </c>
      <c r="V1250">
        <f>IF([2]Entry!$L$1253="","",[2]Entry!$L$1253)</f>
        <v/>
      </c>
      <c r="W1250">
        <f>IF([2]Entry!$M$1253="","",[2]Entry!$M$1253)</f>
        <v/>
      </c>
      <c r="X1250">
        <f>IF([2]Entry!$N$1253="","",[2]Entry!$N$1253)</f>
        <v/>
      </c>
      <c r="Y1250">
        <f>IF([2]Entry!$R$1253="","",[2]Entry!$R$1253)</f>
        <v/>
      </c>
    </row>
    <row r="1251">
      <c r="P1251">
        <f>IF([2]Entry!$C$1254="","",[2]Entry!$C$1254)</f>
        <v/>
      </c>
      <c r="Q1251">
        <f>IF([2]Entry!$D$1254="","",[2]Entry!$D$1254)</f>
        <v/>
      </c>
      <c r="R1251">
        <f>IF([2]Entry!$E$1254="","",[2]Entry!$E$1254)</f>
        <v/>
      </c>
      <c r="S1251">
        <f>IF([2]Entry!$G$1254="","",[2]Entry!$G$1254)</f>
        <v/>
      </c>
      <c r="T1251">
        <f>IF([2]Entry!$J$1254="","",[2]Entry!$J$1254)</f>
        <v/>
      </c>
      <c r="U1251">
        <f>IF([2]Entry!$K$1254="","",[2]Entry!$K$1254)</f>
        <v/>
      </c>
      <c r="V1251">
        <f>IF([2]Entry!$L$1254="","",[2]Entry!$L$1254)</f>
        <v/>
      </c>
      <c r="W1251">
        <f>IF([2]Entry!$M$1254="","",[2]Entry!$M$1254)</f>
        <v/>
      </c>
      <c r="X1251">
        <f>IF([2]Entry!$N$1254="","",[2]Entry!$N$1254)</f>
        <v/>
      </c>
      <c r="Y1251">
        <f>IF([2]Entry!$R$1254="","",[2]Entry!$R$1254)</f>
        <v/>
      </c>
    </row>
    <row r="1252">
      <c r="P1252">
        <f>IF([2]Entry!$C$1255="","",[2]Entry!$C$1255)</f>
        <v/>
      </c>
      <c r="Q1252">
        <f>IF([2]Entry!$D$1255="","",[2]Entry!$D$1255)</f>
        <v/>
      </c>
      <c r="R1252">
        <f>IF([2]Entry!$E$1255="","",[2]Entry!$E$1255)</f>
        <v/>
      </c>
      <c r="S1252">
        <f>IF([2]Entry!$G$1255="","",[2]Entry!$G$1255)</f>
        <v/>
      </c>
      <c r="T1252">
        <f>IF([2]Entry!$J$1255="","",[2]Entry!$J$1255)</f>
        <v/>
      </c>
      <c r="U1252">
        <f>IF([2]Entry!$K$1255="","",[2]Entry!$K$1255)</f>
        <v/>
      </c>
      <c r="V1252">
        <f>IF([2]Entry!$L$1255="","",[2]Entry!$L$1255)</f>
        <v/>
      </c>
      <c r="W1252">
        <f>IF([2]Entry!$M$1255="","",[2]Entry!$M$1255)</f>
        <v/>
      </c>
      <c r="X1252">
        <f>IF([2]Entry!$N$1255="","",[2]Entry!$N$1255)</f>
        <v/>
      </c>
      <c r="Y1252">
        <f>IF([2]Entry!$R$1255="","",[2]Entry!$R$1255)</f>
        <v/>
      </c>
    </row>
    <row r="1253">
      <c r="P1253">
        <f>IF([2]Entry!$C$1256="","",[2]Entry!$C$1256)</f>
        <v/>
      </c>
      <c r="Q1253">
        <f>IF([2]Entry!$D$1256="","",[2]Entry!$D$1256)</f>
        <v/>
      </c>
      <c r="R1253">
        <f>IF([2]Entry!$E$1256="","",[2]Entry!$E$1256)</f>
        <v/>
      </c>
      <c r="S1253">
        <f>IF([2]Entry!$G$1256="","",[2]Entry!$G$1256)</f>
        <v/>
      </c>
      <c r="T1253">
        <f>IF([2]Entry!$J$1256="","",[2]Entry!$J$1256)</f>
        <v/>
      </c>
      <c r="U1253">
        <f>IF([2]Entry!$K$1256="","",[2]Entry!$K$1256)</f>
        <v/>
      </c>
      <c r="V1253">
        <f>IF([2]Entry!$L$1256="","",[2]Entry!$L$1256)</f>
        <v/>
      </c>
      <c r="W1253">
        <f>IF([2]Entry!$M$1256="","",[2]Entry!$M$1256)</f>
        <v/>
      </c>
      <c r="X1253">
        <f>IF([2]Entry!$N$1256="","",[2]Entry!$N$1256)</f>
        <v/>
      </c>
      <c r="Y1253">
        <f>IF([2]Entry!$R$1256="","",[2]Entry!$R$1256)</f>
        <v/>
      </c>
    </row>
    <row r="1254">
      <c r="P1254">
        <f>IF([2]Entry!$C$1257="","",[2]Entry!$C$1257)</f>
        <v/>
      </c>
      <c r="Q1254">
        <f>IF([2]Entry!$D$1257="","",[2]Entry!$D$1257)</f>
        <v/>
      </c>
      <c r="R1254">
        <f>IF([2]Entry!$E$1257="","",[2]Entry!$E$1257)</f>
        <v/>
      </c>
      <c r="S1254">
        <f>IF([2]Entry!$G$1257="","",[2]Entry!$G$1257)</f>
        <v/>
      </c>
      <c r="T1254">
        <f>IF([2]Entry!$J$1257="","",[2]Entry!$J$1257)</f>
        <v/>
      </c>
      <c r="U1254">
        <f>IF([2]Entry!$K$1257="","",[2]Entry!$K$1257)</f>
        <v/>
      </c>
      <c r="V1254">
        <f>IF([2]Entry!$L$1257="","",[2]Entry!$L$1257)</f>
        <v/>
      </c>
      <c r="W1254">
        <f>IF([2]Entry!$M$1257="","",[2]Entry!$M$1257)</f>
        <v/>
      </c>
      <c r="X1254">
        <f>IF([2]Entry!$N$1257="","",[2]Entry!$N$1257)</f>
        <v/>
      </c>
      <c r="Y1254">
        <f>IF([2]Entry!$R$1257="","",[2]Entry!$R$1257)</f>
        <v/>
      </c>
    </row>
    <row r="1255">
      <c r="P1255">
        <f>IF([2]Entry!$C$1258="","",[2]Entry!$C$1258)</f>
        <v/>
      </c>
      <c r="Q1255">
        <f>IF([2]Entry!$D$1258="","",[2]Entry!$D$1258)</f>
        <v/>
      </c>
      <c r="R1255">
        <f>IF([2]Entry!$E$1258="","",[2]Entry!$E$1258)</f>
        <v/>
      </c>
      <c r="S1255">
        <f>IF([2]Entry!$G$1258="","",[2]Entry!$G$1258)</f>
        <v/>
      </c>
      <c r="T1255">
        <f>IF([2]Entry!$J$1258="","",[2]Entry!$J$1258)</f>
        <v/>
      </c>
      <c r="U1255">
        <f>IF([2]Entry!$K$1258="","",[2]Entry!$K$1258)</f>
        <v/>
      </c>
      <c r="V1255">
        <f>IF([2]Entry!$L$1258="","",[2]Entry!$L$1258)</f>
        <v/>
      </c>
      <c r="W1255">
        <f>IF([2]Entry!$M$1258="","",[2]Entry!$M$1258)</f>
        <v/>
      </c>
      <c r="X1255">
        <f>IF([2]Entry!$N$1258="","",[2]Entry!$N$1258)</f>
        <v/>
      </c>
      <c r="Y1255">
        <f>IF([2]Entry!$R$1258="","",[2]Entry!$R$1258)</f>
        <v/>
      </c>
    </row>
    <row r="1256">
      <c r="P1256">
        <f>IF([2]Entry!$C$1259="","",[2]Entry!$C$1259)</f>
        <v/>
      </c>
      <c r="Q1256">
        <f>IF([2]Entry!$D$1259="","",[2]Entry!$D$1259)</f>
        <v/>
      </c>
      <c r="R1256">
        <f>IF([2]Entry!$E$1259="","",[2]Entry!$E$1259)</f>
        <v/>
      </c>
      <c r="S1256">
        <f>IF([2]Entry!$G$1259="","",[2]Entry!$G$1259)</f>
        <v/>
      </c>
      <c r="T1256">
        <f>IF([2]Entry!$J$1259="","",[2]Entry!$J$1259)</f>
        <v/>
      </c>
      <c r="U1256">
        <f>IF([2]Entry!$K$1259="","",[2]Entry!$K$1259)</f>
        <v/>
      </c>
      <c r="V1256">
        <f>IF([2]Entry!$L$1259="","",[2]Entry!$L$1259)</f>
        <v/>
      </c>
      <c r="W1256">
        <f>IF([2]Entry!$M$1259="","",[2]Entry!$M$1259)</f>
        <v/>
      </c>
      <c r="X1256">
        <f>IF([2]Entry!$N$1259="","",[2]Entry!$N$1259)</f>
        <v/>
      </c>
      <c r="Y1256">
        <f>IF([2]Entry!$R$1259="","",[2]Entry!$R$1259)</f>
        <v/>
      </c>
    </row>
    <row r="1257">
      <c r="P1257">
        <f>IF([2]Entry!$C$1260="","",[2]Entry!$C$1260)</f>
        <v/>
      </c>
      <c r="Q1257">
        <f>IF([2]Entry!$D$1260="","",[2]Entry!$D$1260)</f>
        <v/>
      </c>
      <c r="R1257">
        <f>IF([2]Entry!$E$1260="","",[2]Entry!$E$1260)</f>
        <v/>
      </c>
      <c r="S1257">
        <f>IF([2]Entry!$G$1260="","",[2]Entry!$G$1260)</f>
        <v/>
      </c>
      <c r="T1257">
        <f>IF([2]Entry!$J$1260="","",[2]Entry!$J$1260)</f>
        <v/>
      </c>
      <c r="U1257">
        <f>IF([2]Entry!$K$1260="","",[2]Entry!$K$1260)</f>
        <v/>
      </c>
      <c r="V1257">
        <f>IF([2]Entry!$L$1260="","",[2]Entry!$L$1260)</f>
        <v/>
      </c>
      <c r="W1257">
        <f>IF([2]Entry!$M$1260="","",[2]Entry!$M$1260)</f>
        <v/>
      </c>
      <c r="X1257">
        <f>IF([2]Entry!$N$1260="","",[2]Entry!$N$1260)</f>
        <v/>
      </c>
      <c r="Y1257">
        <f>IF([2]Entry!$R$1260="","",[2]Entry!$R$1260)</f>
        <v/>
      </c>
    </row>
    <row r="1258">
      <c r="P1258">
        <f>IF([2]Entry!$C$1261="","",[2]Entry!$C$1261)</f>
        <v/>
      </c>
      <c r="Q1258">
        <f>IF([2]Entry!$D$1261="","",[2]Entry!$D$1261)</f>
        <v/>
      </c>
      <c r="R1258">
        <f>IF([2]Entry!$E$1261="","",[2]Entry!$E$1261)</f>
        <v/>
      </c>
      <c r="S1258">
        <f>IF([2]Entry!$G$1261="","",[2]Entry!$G$1261)</f>
        <v/>
      </c>
      <c r="T1258">
        <f>IF([2]Entry!$J$1261="","",[2]Entry!$J$1261)</f>
        <v/>
      </c>
      <c r="U1258">
        <f>IF([2]Entry!$K$1261="","",[2]Entry!$K$1261)</f>
        <v/>
      </c>
      <c r="V1258">
        <f>IF([2]Entry!$L$1261="","",[2]Entry!$L$1261)</f>
        <v/>
      </c>
      <c r="W1258">
        <f>IF([2]Entry!$M$1261="","",[2]Entry!$M$1261)</f>
        <v/>
      </c>
      <c r="X1258">
        <f>IF([2]Entry!$N$1261="","",[2]Entry!$N$1261)</f>
        <v/>
      </c>
      <c r="Y1258">
        <f>IF([2]Entry!$R$1261="","",[2]Entry!$R$1261)</f>
        <v/>
      </c>
    </row>
    <row r="1259">
      <c r="P1259">
        <f>IF([2]Entry!$C$1262="","",[2]Entry!$C$1262)</f>
        <v/>
      </c>
      <c r="Q1259">
        <f>IF([2]Entry!$D$1262="","",[2]Entry!$D$1262)</f>
        <v/>
      </c>
      <c r="R1259">
        <f>IF([2]Entry!$E$1262="","",[2]Entry!$E$1262)</f>
        <v/>
      </c>
      <c r="S1259">
        <f>IF([2]Entry!$G$1262="","",[2]Entry!$G$1262)</f>
        <v/>
      </c>
      <c r="T1259">
        <f>IF([2]Entry!$J$1262="","",[2]Entry!$J$1262)</f>
        <v/>
      </c>
      <c r="U1259">
        <f>IF([2]Entry!$K$1262="","",[2]Entry!$K$1262)</f>
        <v/>
      </c>
      <c r="V1259">
        <f>IF([2]Entry!$L$1262="","",[2]Entry!$L$1262)</f>
        <v/>
      </c>
      <c r="W1259">
        <f>IF([2]Entry!$M$1262="","",[2]Entry!$M$1262)</f>
        <v/>
      </c>
      <c r="X1259">
        <f>IF([2]Entry!$N$1262="","",[2]Entry!$N$1262)</f>
        <v/>
      </c>
      <c r="Y1259">
        <f>IF([2]Entry!$R$1262="","",[2]Entry!$R$1262)</f>
        <v/>
      </c>
    </row>
    <row r="1260">
      <c r="P1260">
        <f>IF([2]Entry!$C$1263="","",[2]Entry!$C$1263)</f>
        <v/>
      </c>
      <c r="Q1260">
        <f>IF([2]Entry!$D$1263="","",[2]Entry!$D$1263)</f>
        <v/>
      </c>
      <c r="R1260">
        <f>IF([2]Entry!$E$1263="","",[2]Entry!$E$1263)</f>
        <v/>
      </c>
      <c r="S1260">
        <f>IF([2]Entry!$G$1263="","",[2]Entry!$G$1263)</f>
        <v/>
      </c>
      <c r="T1260">
        <f>IF([2]Entry!$J$1263="","",[2]Entry!$J$1263)</f>
        <v/>
      </c>
      <c r="U1260">
        <f>IF([2]Entry!$K$1263="","",[2]Entry!$K$1263)</f>
        <v/>
      </c>
      <c r="V1260">
        <f>IF([2]Entry!$L$1263="","",[2]Entry!$L$1263)</f>
        <v/>
      </c>
      <c r="W1260">
        <f>IF([2]Entry!$M$1263="","",[2]Entry!$M$1263)</f>
        <v/>
      </c>
      <c r="X1260">
        <f>IF([2]Entry!$N$1263="","",[2]Entry!$N$1263)</f>
        <v/>
      </c>
      <c r="Y1260">
        <f>IF([2]Entry!$R$1263="","",[2]Entry!$R$1263)</f>
        <v/>
      </c>
    </row>
    <row r="1261">
      <c r="P1261">
        <f>IF([2]Entry!$C$1264="","",[2]Entry!$C$1264)</f>
        <v/>
      </c>
      <c r="Q1261">
        <f>IF([2]Entry!$D$1264="","",[2]Entry!$D$1264)</f>
        <v/>
      </c>
      <c r="R1261">
        <f>IF([2]Entry!$E$1264="","",[2]Entry!$E$1264)</f>
        <v/>
      </c>
      <c r="S1261">
        <f>IF([2]Entry!$G$1264="","",[2]Entry!$G$1264)</f>
        <v/>
      </c>
      <c r="T1261">
        <f>IF([2]Entry!$J$1264="","",[2]Entry!$J$1264)</f>
        <v/>
      </c>
      <c r="U1261">
        <f>IF([2]Entry!$K$1264="","",[2]Entry!$K$1264)</f>
        <v/>
      </c>
      <c r="V1261">
        <f>IF([2]Entry!$L$1264="","",[2]Entry!$L$1264)</f>
        <v/>
      </c>
      <c r="W1261">
        <f>IF([2]Entry!$M$1264="","",[2]Entry!$M$1264)</f>
        <v/>
      </c>
      <c r="X1261">
        <f>IF([2]Entry!$N$1264="","",[2]Entry!$N$1264)</f>
        <v/>
      </c>
      <c r="Y1261">
        <f>IF([2]Entry!$R$1264="","",[2]Entry!$R$1264)</f>
        <v/>
      </c>
    </row>
    <row r="1262">
      <c r="P1262">
        <f>IF([2]Entry!$C$1265="","",[2]Entry!$C$1265)</f>
        <v/>
      </c>
      <c r="Q1262">
        <f>IF([2]Entry!$D$1265="","",[2]Entry!$D$1265)</f>
        <v/>
      </c>
      <c r="R1262">
        <f>IF([2]Entry!$E$1265="","",[2]Entry!$E$1265)</f>
        <v/>
      </c>
      <c r="S1262">
        <f>IF([2]Entry!$G$1265="","",[2]Entry!$G$1265)</f>
        <v/>
      </c>
      <c r="T1262">
        <f>IF([2]Entry!$J$1265="","",[2]Entry!$J$1265)</f>
        <v/>
      </c>
      <c r="U1262">
        <f>IF([2]Entry!$K$1265="","",[2]Entry!$K$1265)</f>
        <v/>
      </c>
      <c r="V1262">
        <f>IF([2]Entry!$L$1265="","",[2]Entry!$L$1265)</f>
        <v/>
      </c>
      <c r="W1262">
        <f>IF([2]Entry!$M$1265="","",[2]Entry!$M$1265)</f>
        <v/>
      </c>
      <c r="X1262">
        <f>IF([2]Entry!$N$1265="","",[2]Entry!$N$1265)</f>
        <v/>
      </c>
      <c r="Y1262">
        <f>IF([2]Entry!$R$1265="","",[2]Entry!$R$1265)</f>
        <v/>
      </c>
    </row>
    <row r="1263">
      <c r="P1263">
        <f>IF([2]Entry!$C$1266="","",[2]Entry!$C$1266)</f>
        <v/>
      </c>
      <c r="Q1263">
        <f>IF([2]Entry!$D$1266="","",[2]Entry!$D$1266)</f>
        <v/>
      </c>
      <c r="R1263">
        <f>IF([2]Entry!$E$1266="","",[2]Entry!$E$1266)</f>
        <v/>
      </c>
      <c r="S1263">
        <f>IF([2]Entry!$G$1266="","",[2]Entry!$G$1266)</f>
        <v/>
      </c>
      <c r="T1263">
        <f>IF([2]Entry!$J$1266="","",[2]Entry!$J$1266)</f>
        <v/>
      </c>
      <c r="U1263">
        <f>IF([2]Entry!$K$1266="","",[2]Entry!$K$1266)</f>
        <v/>
      </c>
      <c r="V1263">
        <f>IF([2]Entry!$L$1266="","",[2]Entry!$L$1266)</f>
        <v/>
      </c>
      <c r="W1263">
        <f>IF([2]Entry!$M$1266="","",[2]Entry!$M$1266)</f>
        <v/>
      </c>
      <c r="X1263">
        <f>IF([2]Entry!$N$1266="","",[2]Entry!$N$1266)</f>
        <v/>
      </c>
      <c r="Y1263">
        <f>IF([2]Entry!$R$1266="","",[2]Entry!$R$1266)</f>
        <v/>
      </c>
    </row>
    <row r="1264">
      <c r="P1264">
        <f>IF([2]Entry!$C$1267="","",[2]Entry!$C$1267)</f>
        <v/>
      </c>
      <c r="Q1264">
        <f>IF([2]Entry!$D$1267="","",[2]Entry!$D$1267)</f>
        <v/>
      </c>
      <c r="R1264">
        <f>IF([2]Entry!$E$1267="","",[2]Entry!$E$1267)</f>
        <v/>
      </c>
      <c r="S1264">
        <f>IF([2]Entry!$G$1267="","",[2]Entry!$G$1267)</f>
        <v/>
      </c>
      <c r="T1264">
        <f>IF([2]Entry!$J$1267="","",[2]Entry!$J$1267)</f>
        <v/>
      </c>
      <c r="U1264">
        <f>IF([2]Entry!$K$1267="","",[2]Entry!$K$1267)</f>
        <v/>
      </c>
      <c r="V1264">
        <f>IF([2]Entry!$L$1267="","",[2]Entry!$L$1267)</f>
        <v/>
      </c>
      <c r="W1264">
        <f>IF([2]Entry!$M$1267="","",[2]Entry!$M$1267)</f>
        <v/>
      </c>
      <c r="X1264">
        <f>IF([2]Entry!$N$1267="","",[2]Entry!$N$1267)</f>
        <v/>
      </c>
      <c r="Y1264">
        <f>IF([2]Entry!$R$1267="","",[2]Entry!$R$1267)</f>
        <v/>
      </c>
    </row>
    <row r="1265">
      <c r="P1265">
        <f>IF([2]Entry!$C$1268="","",[2]Entry!$C$1268)</f>
        <v/>
      </c>
      <c r="Q1265">
        <f>IF([2]Entry!$D$1268="","",[2]Entry!$D$1268)</f>
        <v/>
      </c>
      <c r="R1265">
        <f>IF([2]Entry!$E$1268="","",[2]Entry!$E$1268)</f>
        <v/>
      </c>
      <c r="S1265">
        <f>IF([2]Entry!$G$1268="","",[2]Entry!$G$1268)</f>
        <v/>
      </c>
      <c r="T1265">
        <f>IF([2]Entry!$J$1268="","",[2]Entry!$J$1268)</f>
        <v/>
      </c>
      <c r="U1265">
        <f>IF([2]Entry!$K$1268="","",[2]Entry!$K$1268)</f>
        <v/>
      </c>
      <c r="V1265">
        <f>IF([2]Entry!$L$1268="","",[2]Entry!$L$1268)</f>
        <v/>
      </c>
      <c r="W1265">
        <f>IF([2]Entry!$M$1268="","",[2]Entry!$M$1268)</f>
        <v/>
      </c>
      <c r="X1265">
        <f>IF([2]Entry!$N$1268="","",[2]Entry!$N$1268)</f>
        <v/>
      </c>
      <c r="Y1265">
        <f>IF([2]Entry!$R$1268="","",[2]Entry!$R$1268)</f>
        <v/>
      </c>
    </row>
    <row r="1266">
      <c r="P1266">
        <f>IF([2]Entry!$C$1269="","",[2]Entry!$C$1269)</f>
        <v/>
      </c>
      <c r="Q1266">
        <f>IF([2]Entry!$D$1269="","",[2]Entry!$D$1269)</f>
        <v/>
      </c>
      <c r="R1266">
        <f>IF([2]Entry!$E$1269="","",[2]Entry!$E$1269)</f>
        <v/>
      </c>
      <c r="S1266">
        <f>IF([2]Entry!$G$1269="","",[2]Entry!$G$1269)</f>
        <v/>
      </c>
      <c r="T1266">
        <f>IF([2]Entry!$J$1269="","",[2]Entry!$J$1269)</f>
        <v/>
      </c>
      <c r="U1266">
        <f>IF([2]Entry!$K$1269="","",[2]Entry!$K$1269)</f>
        <v/>
      </c>
      <c r="V1266">
        <f>IF([2]Entry!$L$1269="","",[2]Entry!$L$1269)</f>
        <v/>
      </c>
      <c r="W1266">
        <f>IF([2]Entry!$M$1269="","",[2]Entry!$M$1269)</f>
        <v/>
      </c>
      <c r="X1266">
        <f>IF([2]Entry!$N$1269="","",[2]Entry!$N$1269)</f>
        <v/>
      </c>
      <c r="Y1266">
        <f>IF([2]Entry!$R$1269="","",[2]Entry!$R$1269)</f>
        <v/>
      </c>
    </row>
    <row r="1267">
      <c r="P1267">
        <f>IF([2]Entry!$C$1270="","",[2]Entry!$C$1270)</f>
        <v/>
      </c>
      <c r="Q1267">
        <f>IF([2]Entry!$D$1270="","",[2]Entry!$D$1270)</f>
        <v/>
      </c>
      <c r="R1267">
        <f>IF([2]Entry!$E$1270="","",[2]Entry!$E$1270)</f>
        <v/>
      </c>
      <c r="S1267">
        <f>IF([2]Entry!$G$1270="","",[2]Entry!$G$1270)</f>
        <v/>
      </c>
      <c r="T1267">
        <f>IF([2]Entry!$J$1270="","",[2]Entry!$J$1270)</f>
        <v/>
      </c>
      <c r="U1267">
        <f>IF([2]Entry!$K$1270="","",[2]Entry!$K$1270)</f>
        <v/>
      </c>
      <c r="V1267">
        <f>IF([2]Entry!$L$1270="","",[2]Entry!$L$1270)</f>
        <v/>
      </c>
      <c r="W1267">
        <f>IF([2]Entry!$M$1270="","",[2]Entry!$M$1270)</f>
        <v/>
      </c>
      <c r="X1267">
        <f>IF([2]Entry!$N$1270="","",[2]Entry!$N$1270)</f>
        <v/>
      </c>
      <c r="Y1267">
        <f>IF([2]Entry!$R$1270="","",[2]Entry!$R$1270)</f>
        <v/>
      </c>
    </row>
    <row r="1268">
      <c r="P1268">
        <f>IF([2]Entry!$C$1271="","",[2]Entry!$C$1271)</f>
        <v/>
      </c>
      <c r="Q1268">
        <f>IF([2]Entry!$D$1271="","",[2]Entry!$D$1271)</f>
        <v/>
      </c>
      <c r="R1268">
        <f>IF([2]Entry!$E$1271="","",[2]Entry!$E$1271)</f>
        <v/>
      </c>
      <c r="S1268">
        <f>IF([2]Entry!$G$1271="","",[2]Entry!$G$1271)</f>
        <v/>
      </c>
      <c r="T1268">
        <f>IF([2]Entry!$J$1271="","",[2]Entry!$J$1271)</f>
        <v/>
      </c>
      <c r="U1268">
        <f>IF([2]Entry!$K$1271="","",[2]Entry!$K$1271)</f>
        <v/>
      </c>
      <c r="V1268">
        <f>IF([2]Entry!$L$1271="","",[2]Entry!$L$1271)</f>
        <v/>
      </c>
      <c r="W1268">
        <f>IF([2]Entry!$M$1271="","",[2]Entry!$M$1271)</f>
        <v/>
      </c>
      <c r="X1268">
        <f>IF([2]Entry!$N$1271="","",[2]Entry!$N$1271)</f>
        <v/>
      </c>
      <c r="Y1268">
        <f>IF([2]Entry!$R$1271="","",[2]Entry!$R$1271)</f>
        <v/>
      </c>
    </row>
    <row r="1269">
      <c r="P1269">
        <f>IF([2]Entry!$C$1272="","",[2]Entry!$C$1272)</f>
        <v/>
      </c>
      <c r="Q1269">
        <f>IF([2]Entry!$D$1272="","",[2]Entry!$D$1272)</f>
        <v/>
      </c>
      <c r="R1269">
        <f>IF([2]Entry!$E$1272="","",[2]Entry!$E$1272)</f>
        <v/>
      </c>
      <c r="S1269">
        <f>IF([2]Entry!$G$1272="","",[2]Entry!$G$1272)</f>
        <v/>
      </c>
      <c r="T1269">
        <f>IF([2]Entry!$J$1272="","",[2]Entry!$J$1272)</f>
        <v/>
      </c>
      <c r="U1269">
        <f>IF([2]Entry!$K$1272="","",[2]Entry!$K$1272)</f>
        <v/>
      </c>
      <c r="V1269">
        <f>IF([2]Entry!$L$1272="","",[2]Entry!$L$1272)</f>
        <v/>
      </c>
      <c r="W1269">
        <f>IF([2]Entry!$M$1272="","",[2]Entry!$M$1272)</f>
        <v/>
      </c>
      <c r="X1269">
        <f>IF([2]Entry!$N$1272="","",[2]Entry!$N$1272)</f>
        <v/>
      </c>
      <c r="Y1269">
        <f>IF([2]Entry!$R$1272="","",[2]Entry!$R$1272)</f>
        <v/>
      </c>
    </row>
    <row r="1270">
      <c r="P1270">
        <f>IF([2]Entry!$C$1273="","",[2]Entry!$C$1273)</f>
        <v/>
      </c>
      <c r="Q1270">
        <f>IF([2]Entry!$D$1273="","",[2]Entry!$D$1273)</f>
        <v/>
      </c>
      <c r="R1270">
        <f>IF([2]Entry!$E$1273="","",[2]Entry!$E$1273)</f>
        <v/>
      </c>
      <c r="S1270">
        <f>IF([2]Entry!$G$1273="","",[2]Entry!$G$1273)</f>
        <v/>
      </c>
      <c r="T1270">
        <f>IF([2]Entry!$J$1273="","",[2]Entry!$J$1273)</f>
        <v/>
      </c>
      <c r="U1270">
        <f>IF([2]Entry!$K$1273="","",[2]Entry!$K$1273)</f>
        <v/>
      </c>
      <c r="V1270">
        <f>IF([2]Entry!$L$1273="","",[2]Entry!$L$1273)</f>
        <v/>
      </c>
      <c r="W1270">
        <f>IF([2]Entry!$M$1273="","",[2]Entry!$M$1273)</f>
        <v/>
      </c>
      <c r="X1270">
        <f>IF([2]Entry!$N$1273="","",[2]Entry!$N$1273)</f>
        <v/>
      </c>
      <c r="Y1270">
        <f>IF([2]Entry!$R$1273="","",[2]Entry!$R$1273)</f>
        <v/>
      </c>
    </row>
    <row r="1271">
      <c r="P1271">
        <f>IF([2]Entry!$C$1274="","",[2]Entry!$C$1274)</f>
        <v/>
      </c>
      <c r="Q1271">
        <f>IF([2]Entry!$D$1274="","",[2]Entry!$D$1274)</f>
        <v/>
      </c>
      <c r="R1271">
        <f>IF([2]Entry!$E$1274="","",[2]Entry!$E$1274)</f>
        <v/>
      </c>
      <c r="S1271">
        <f>IF([2]Entry!$G$1274="","",[2]Entry!$G$1274)</f>
        <v/>
      </c>
      <c r="T1271">
        <f>IF([2]Entry!$J$1274="","",[2]Entry!$J$1274)</f>
        <v/>
      </c>
      <c r="U1271">
        <f>IF([2]Entry!$K$1274="","",[2]Entry!$K$1274)</f>
        <v/>
      </c>
      <c r="V1271">
        <f>IF([2]Entry!$L$1274="","",[2]Entry!$L$1274)</f>
        <v/>
      </c>
      <c r="W1271">
        <f>IF([2]Entry!$M$1274="","",[2]Entry!$M$1274)</f>
        <v/>
      </c>
      <c r="X1271">
        <f>IF([2]Entry!$N$1274="","",[2]Entry!$N$1274)</f>
        <v/>
      </c>
      <c r="Y1271">
        <f>IF([2]Entry!$R$1274="","",[2]Entry!$R$1274)</f>
        <v/>
      </c>
    </row>
    <row r="1272">
      <c r="P1272">
        <f>IF([2]Entry!$C$1275="","",[2]Entry!$C$1275)</f>
        <v/>
      </c>
      <c r="Q1272">
        <f>IF([2]Entry!$D$1275="","",[2]Entry!$D$1275)</f>
        <v/>
      </c>
      <c r="R1272">
        <f>IF([2]Entry!$E$1275="","",[2]Entry!$E$1275)</f>
        <v/>
      </c>
      <c r="S1272">
        <f>IF([2]Entry!$G$1275="","",[2]Entry!$G$1275)</f>
        <v/>
      </c>
      <c r="T1272">
        <f>IF([2]Entry!$J$1275="","",[2]Entry!$J$1275)</f>
        <v/>
      </c>
      <c r="U1272">
        <f>IF([2]Entry!$K$1275="","",[2]Entry!$K$1275)</f>
        <v/>
      </c>
      <c r="V1272">
        <f>IF([2]Entry!$L$1275="","",[2]Entry!$L$1275)</f>
        <v/>
      </c>
      <c r="W1272">
        <f>IF([2]Entry!$M$1275="","",[2]Entry!$M$1275)</f>
        <v/>
      </c>
      <c r="X1272">
        <f>IF([2]Entry!$N$1275="","",[2]Entry!$N$1275)</f>
        <v/>
      </c>
      <c r="Y1272">
        <f>IF([2]Entry!$R$1275="","",[2]Entry!$R$1275)</f>
        <v/>
      </c>
    </row>
    <row r="1273">
      <c r="P1273">
        <f>IF([2]Entry!$C$1276="","",[2]Entry!$C$1276)</f>
        <v/>
      </c>
      <c r="Q1273">
        <f>IF([2]Entry!$D$1276="","",[2]Entry!$D$1276)</f>
        <v/>
      </c>
      <c r="R1273">
        <f>IF([2]Entry!$E$1276="","",[2]Entry!$E$1276)</f>
        <v/>
      </c>
      <c r="S1273">
        <f>IF([2]Entry!$G$1276="","",[2]Entry!$G$1276)</f>
        <v/>
      </c>
      <c r="T1273">
        <f>IF([2]Entry!$J$1276="","",[2]Entry!$J$1276)</f>
        <v/>
      </c>
      <c r="U1273">
        <f>IF([2]Entry!$K$1276="","",[2]Entry!$K$1276)</f>
        <v/>
      </c>
      <c r="V1273">
        <f>IF([2]Entry!$L$1276="","",[2]Entry!$L$1276)</f>
        <v/>
      </c>
      <c r="W1273">
        <f>IF([2]Entry!$M$1276="","",[2]Entry!$M$1276)</f>
        <v/>
      </c>
      <c r="X1273">
        <f>IF([2]Entry!$N$1276="","",[2]Entry!$N$1276)</f>
        <v/>
      </c>
      <c r="Y1273">
        <f>IF([2]Entry!$R$1276="","",[2]Entry!$R$1276)</f>
        <v/>
      </c>
    </row>
    <row r="1274">
      <c r="P1274">
        <f>IF([2]Entry!$C$1277="","",[2]Entry!$C$1277)</f>
        <v/>
      </c>
      <c r="Q1274">
        <f>IF([2]Entry!$D$1277="","",[2]Entry!$D$1277)</f>
        <v/>
      </c>
      <c r="R1274">
        <f>IF([2]Entry!$E$1277="","",[2]Entry!$E$1277)</f>
        <v/>
      </c>
      <c r="S1274">
        <f>IF([2]Entry!$G$1277="","",[2]Entry!$G$1277)</f>
        <v/>
      </c>
      <c r="T1274">
        <f>IF([2]Entry!$J$1277="","",[2]Entry!$J$1277)</f>
        <v/>
      </c>
      <c r="U1274">
        <f>IF([2]Entry!$K$1277="","",[2]Entry!$K$1277)</f>
        <v/>
      </c>
      <c r="V1274">
        <f>IF([2]Entry!$L$1277="","",[2]Entry!$L$1277)</f>
        <v/>
      </c>
      <c r="W1274">
        <f>IF([2]Entry!$M$1277="","",[2]Entry!$M$1277)</f>
        <v/>
      </c>
      <c r="X1274">
        <f>IF([2]Entry!$N$1277="","",[2]Entry!$N$1277)</f>
        <v/>
      </c>
      <c r="Y1274">
        <f>IF([2]Entry!$R$1277="","",[2]Entry!$R$1277)</f>
        <v/>
      </c>
    </row>
    <row r="1275">
      <c r="P1275">
        <f>IF([2]Entry!$C$1278="","",[2]Entry!$C$1278)</f>
        <v/>
      </c>
      <c r="Q1275">
        <f>IF([2]Entry!$D$1278="","",[2]Entry!$D$1278)</f>
        <v/>
      </c>
      <c r="R1275">
        <f>IF([2]Entry!$E$1278="","",[2]Entry!$E$1278)</f>
        <v/>
      </c>
      <c r="S1275">
        <f>IF([2]Entry!$G$1278="","",[2]Entry!$G$1278)</f>
        <v/>
      </c>
      <c r="T1275">
        <f>IF([2]Entry!$J$1278="","",[2]Entry!$J$1278)</f>
        <v/>
      </c>
      <c r="U1275">
        <f>IF([2]Entry!$K$1278="","",[2]Entry!$K$1278)</f>
        <v/>
      </c>
      <c r="V1275">
        <f>IF([2]Entry!$L$1278="","",[2]Entry!$L$1278)</f>
        <v/>
      </c>
      <c r="W1275">
        <f>IF([2]Entry!$M$1278="","",[2]Entry!$M$1278)</f>
        <v/>
      </c>
      <c r="X1275">
        <f>IF([2]Entry!$N$1278="","",[2]Entry!$N$1278)</f>
        <v/>
      </c>
      <c r="Y1275">
        <f>IF([2]Entry!$R$1278="","",[2]Entry!$R$1278)</f>
        <v/>
      </c>
    </row>
    <row r="1276">
      <c r="P1276">
        <f>IF([2]Entry!$C$1279="","",[2]Entry!$C$1279)</f>
        <v/>
      </c>
      <c r="Q1276">
        <f>IF([2]Entry!$D$1279="","",[2]Entry!$D$1279)</f>
        <v/>
      </c>
      <c r="R1276">
        <f>IF([2]Entry!$E$1279="","",[2]Entry!$E$1279)</f>
        <v/>
      </c>
      <c r="S1276">
        <f>IF([2]Entry!$G$1279="","",[2]Entry!$G$1279)</f>
        <v/>
      </c>
      <c r="T1276">
        <f>IF([2]Entry!$J$1279="","",[2]Entry!$J$1279)</f>
        <v/>
      </c>
      <c r="U1276">
        <f>IF([2]Entry!$K$1279="","",[2]Entry!$K$1279)</f>
        <v/>
      </c>
      <c r="V1276">
        <f>IF([2]Entry!$L$1279="","",[2]Entry!$L$1279)</f>
        <v/>
      </c>
      <c r="W1276">
        <f>IF([2]Entry!$M$1279="","",[2]Entry!$M$1279)</f>
        <v/>
      </c>
      <c r="X1276">
        <f>IF([2]Entry!$N$1279="","",[2]Entry!$N$1279)</f>
        <v/>
      </c>
      <c r="Y1276">
        <f>IF([2]Entry!$R$1279="","",[2]Entry!$R$1279)</f>
        <v/>
      </c>
    </row>
    <row r="1277">
      <c r="P1277">
        <f>IF([2]Entry!$C$1280="","",[2]Entry!$C$1280)</f>
        <v/>
      </c>
      <c r="Q1277">
        <f>IF([2]Entry!$D$1280="","",[2]Entry!$D$1280)</f>
        <v/>
      </c>
      <c r="R1277">
        <f>IF([2]Entry!$E$1280="","",[2]Entry!$E$1280)</f>
        <v/>
      </c>
      <c r="S1277">
        <f>IF([2]Entry!$G$1280="","",[2]Entry!$G$1280)</f>
        <v/>
      </c>
      <c r="T1277">
        <f>IF([2]Entry!$J$1280="","",[2]Entry!$J$1280)</f>
        <v/>
      </c>
      <c r="U1277">
        <f>IF([2]Entry!$K$1280="","",[2]Entry!$K$1280)</f>
        <v/>
      </c>
      <c r="V1277">
        <f>IF([2]Entry!$L$1280="","",[2]Entry!$L$1280)</f>
        <v/>
      </c>
      <c r="W1277">
        <f>IF([2]Entry!$M$1280="","",[2]Entry!$M$1280)</f>
        <v/>
      </c>
      <c r="X1277">
        <f>IF([2]Entry!$N$1280="","",[2]Entry!$N$1280)</f>
        <v/>
      </c>
      <c r="Y1277">
        <f>IF([2]Entry!$R$1280="","",[2]Entry!$R$1280)</f>
        <v/>
      </c>
    </row>
    <row r="1278">
      <c r="P1278">
        <f>IF([2]Entry!$C$1281="","",[2]Entry!$C$1281)</f>
        <v/>
      </c>
      <c r="Q1278">
        <f>IF([2]Entry!$D$1281="","",[2]Entry!$D$1281)</f>
        <v/>
      </c>
      <c r="R1278">
        <f>IF([2]Entry!$E$1281="","",[2]Entry!$E$1281)</f>
        <v/>
      </c>
      <c r="S1278">
        <f>IF([2]Entry!$G$1281="","",[2]Entry!$G$1281)</f>
        <v/>
      </c>
      <c r="T1278">
        <f>IF([2]Entry!$J$1281="","",[2]Entry!$J$1281)</f>
        <v/>
      </c>
      <c r="U1278">
        <f>IF([2]Entry!$K$1281="","",[2]Entry!$K$1281)</f>
        <v/>
      </c>
      <c r="V1278">
        <f>IF([2]Entry!$L$1281="","",[2]Entry!$L$1281)</f>
        <v/>
      </c>
      <c r="W1278">
        <f>IF([2]Entry!$M$1281="","",[2]Entry!$M$1281)</f>
        <v/>
      </c>
      <c r="X1278">
        <f>IF([2]Entry!$N$1281="","",[2]Entry!$N$1281)</f>
        <v/>
      </c>
      <c r="Y1278">
        <f>IF([2]Entry!$R$1281="","",[2]Entry!$R$1281)</f>
        <v/>
      </c>
    </row>
    <row r="1279">
      <c r="P1279">
        <f>IF([2]Entry!$C$1282="","",[2]Entry!$C$1282)</f>
        <v/>
      </c>
      <c r="Q1279">
        <f>IF([2]Entry!$D$1282="","",[2]Entry!$D$1282)</f>
        <v/>
      </c>
      <c r="R1279">
        <f>IF([2]Entry!$E$1282="","",[2]Entry!$E$1282)</f>
        <v/>
      </c>
      <c r="S1279">
        <f>IF([2]Entry!$G$1282="","",[2]Entry!$G$1282)</f>
        <v/>
      </c>
      <c r="T1279">
        <f>IF([2]Entry!$J$1282="","",[2]Entry!$J$1282)</f>
        <v/>
      </c>
      <c r="U1279">
        <f>IF([2]Entry!$K$1282="","",[2]Entry!$K$1282)</f>
        <v/>
      </c>
      <c r="V1279">
        <f>IF([2]Entry!$L$1282="","",[2]Entry!$L$1282)</f>
        <v/>
      </c>
      <c r="W1279">
        <f>IF([2]Entry!$M$1282="","",[2]Entry!$M$1282)</f>
        <v/>
      </c>
      <c r="X1279">
        <f>IF([2]Entry!$N$1282="","",[2]Entry!$N$1282)</f>
        <v/>
      </c>
      <c r="Y1279">
        <f>IF([2]Entry!$R$1282="","",[2]Entry!$R$1282)</f>
        <v/>
      </c>
    </row>
    <row r="1280">
      <c r="P1280">
        <f>IF([2]Entry!$C$1283="","",[2]Entry!$C$1283)</f>
        <v/>
      </c>
      <c r="Q1280">
        <f>IF([2]Entry!$D$1283="","",[2]Entry!$D$1283)</f>
        <v/>
      </c>
      <c r="R1280">
        <f>IF([2]Entry!$E$1283="","",[2]Entry!$E$1283)</f>
        <v/>
      </c>
      <c r="S1280">
        <f>IF([2]Entry!$G$1283="","",[2]Entry!$G$1283)</f>
        <v/>
      </c>
      <c r="T1280">
        <f>IF([2]Entry!$J$1283="","",[2]Entry!$J$1283)</f>
        <v/>
      </c>
      <c r="U1280">
        <f>IF([2]Entry!$K$1283="","",[2]Entry!$K$1283)</f>
        <v/>
      </c>
      <c r="V1280">
        <f>IF([2]Entry!$L$1283="","",[2]Entry!$L$1283)</f>
        <v/>
      </c>
      <c r="W1280">
        <f>IF([2]Entry!$M$1283="","",[2]Entry!$M$1283)</f>
        <v/>
      </c>
      <c r="X1280">
        <f>IF([2]Entry!$N$1283="","",[2]Entry!$N$1283)</f>
        <v/>
      </c>
      <c r="Y1280">
        <f>IF([2]Entry!$R$1283="","",[2]Entry!$R$1283)</f>
        <v/>
      </c>
    </row>
    <row r="1281">
      <c r="P1281">
        <f>IF([2]Entry!$C$1284="","",[2]Entry!$C$1284)</f>
        <v/>
      </c>
      <c r="Q1281">
        <f>IF([2]Entry!$D$1284="","",[2]Entry!$D$1284)</f>
        <v/>
      </c>
      <c r="R1281">
        <f>IF([2]Entry!$E$1284="","",[2]Entry!$E$1284)</f>
        <v/>
      </c>
      <c r="S1281">
        <f>IF([2]Entry!$G$1284="","",[2]Entry!$G$1284)</f>
        <v/>
      </c>
      <c r="T1281">
        <f>IF([2]Entry!$J$1284="","",[2]Entry!$J$1284)</f>
        <v/>
      </c>
      <c r="U1281">
        <f>IF([2]Entry!$K$1284="","",[2]Entry!$K$1284)</f>
        <v/>
      </c>
      <c r="V1281">
        <f>IF([2]Entry!$L$1284="","",[2]Entry!$L$1284)</f>
        <v/>
      </c>
      <c r="W1281">
        <f>IF([2]Entry!$M$1284="","",[2]Entry!$M$1284)</f>
        <v/>
      </c>
      <c r="X1281">
        <f>IF([2]Entry!$N$1284="","",[2]Entry!$N$1284)</f>
        <v/>
      </c>
      <c r="Y1281">
        <f>IF([2]Entry!$R$1284="","",[2]Entry!$R$1284)</f>
        <v/>
      </c>
    </row>
    <row r="1282">
      <c r="P1282">
        <f>IF([2]Entry!$C$1285="","",[2]Entry!$C$1285)</f>
        <v/>
      </c>
      <c r="Q1282">
        <f>IF([2]Entry!$D$1285="","",[2]Entry!$D$1285)</f>
        <v/>
      </c>
      <c r="R1282">
        <f>IF([2]Entry!$E$1285="","",[2]Entry!$E$1285)</f>
        <v/>
      </c>
      <c r="S1282">
        <f>IF([2]Entry!$G$1285="","",[2]Entry!$G$1285)</f>
        <v/>
      </c>
      <c r="T1282">
        <f>IF([2]Entry!$J$1285="","",[2]Entry!$J$1285)</f>
        <v/>
      </c>
      <c r="U1282">
        <f>IF([2]Entry!$K$1285="","",[2]Entry!$K$1285)</f>
        <v/>
      </c>
      <c r="V1282">
        <f>IF([2]Entry!$L$1285="","",[2]Entry!$L$1285)</f>
        <v/>
      </c>
      <c r="W1282">
        <f>IF([2]Entry!$M$1285="","",[2]Entry!$M$1285)</f>
        <v/>
      </c>
      <c r="X1282">
        <f>IF([2]Entry!$N$1285="","",[2]Entry!$N$1285)</f>
        <v/>
      </c>
      <c r="Y1282">
        <f>IF([2]Entry!$R$1285="","",[2]Entry!$R$1285)</f>
        <v/>
      </c>
    </row>
    <row r="1283">
      <c r="P1283">
        <f>IF([2]Entry!$C$1286="","",[2]Entry!$C$1286)</f>
        <v/>
      </c>
      <c r="Q1283">
        <f>IF([2]Entry!$D$1286="","",[2]Entry!$D$1286)</f>
        <v/>
      </c>
      <c r="R1283">
        <f>IF([2]Entry!$E$1286="","",[2]Entry!$E$1286)</f>
        <v/>
      </c>
      <c r="S1283">
        <f>IF([2]Entry!$G$1286="","",[2]Entry!$G$1286)</f>
        <v/>
      </c>
      <c r="T1283">
        <f>IF([2]Entry!$J$1286="","",[2]Entry!$J$1286)</f>
        <v/>
      </c>
      <c r="U1283">
        <f>IF([2]Entry!$K$1286="","",[2]Entry!$K$1286)</f>
        <v/>
      </c>
      <c r="V1283">
        <f>IF([2]Entry!$L$1286="","",[2]Entry!$L$1286)</f>
        <v/>
      </c>
      <c r="W1283">
        <f>IF([2]Entry!$M$1286="","",[2]Entry!$M$1286)</f>
        <v/>
      </c>
      <c r="X1283">
        <f>IF([2]Entry!$N$1286="","",[2]Entry!$N$1286)</f>
        <v/>
      </c>
      <c r="Y1283">
        <f>IF([2]Entry!$R$1286="","",[2]Entry!$R$1286)</f>
        <v/>
      </c>
    </row>
    <row r="1284">
      <c r="P1284">
        <f>IF([2]Entry!$C$1287="","",[2]Entry!$C$1287)</f>
        <v/>
      </c>
      <c r="Q1284">
        <f>IF([2]Entry!$D$1287="","",[2]Entry!$D$1287)</f>
        <v/>
      </c>
      <c r="R1284">
        <f>IF([2]Entry!$E$1287="","",[2]Entry!$E$1287)</f>
        <v/>
      </c>
      <c r="S1284">
        <f>IF([2]Entry!$G$1287="","",[2]Entry!$G$1287)</f>
        <v/>
      </c>
      <c r="T1284">
        <f>IF([2]Entry!$J$1287="","",[2]Entry!$J$1287)</f>
        <v/>
      </c>
      <c r="U1284">
        <f>IF([2]Entry!$K$1287="","",[2]Entry!$K$1287)</f>
        <v/>
      </c>
      <c r="V1284">
        <f>IF([2]Entry!$L$1287="","",[2]Entry!$L$1287)</f>
        <v/>
      </c>
      <c r="W1284">
        <f>IF([2]Entry!$M$1287="","",[2]Entry!$M$1287)</f>
        <v/>
      </c>
      <c r="X1284">
        <f>IF([2]Entry!$N$1287="","",[2]Entry!$N$1287)</f>
        <v/>
      </c>
      <c r="Y1284">
        <f>IF([2]Entry!$R$1287="","",[2]Entry!$R$1287)</f>
        <v/>
      </c>
    </row>
    <row r="1285">
      <c r="P1285">
        <f>IF([2]Entry!$C$1288="","",[2]Entry!$C$1288)</f>
        <v/>
      </c>
      <c r="Q1285">
        <f>IF([2]Entry!$D$1288="","",[2]Entry!$D$1288)</f>
        <v/>
      </c>
      <c r="R1285">
        <f>IF([2]Entry!$E$1288="","",[2]Entry!$E$1288)</f>
        <v/>
      </c>
      <c r="S1285">
        <f>IF([2]Entry!$G$1288="","",[2]Entry!$G$1288)</f>
        <v/>
      </c>
      <c r="T1285">
        <f>IF([2]Entry!$J$1288="","",[2]Entry!$J$1288)</f>
        <v/>
      </c>
      <c r="U1285">
        <f>IF([2]Entry!$K$1288="","",[2]Entry!$K$1288)</f>
        <v/>
      </c>
      <c r="V1285">
        <f>IF([2]Entry!$L$1288="","",[2]Entry!$L$1288)</f>
        <v/>
      </c>
      <c r="W1285">
        <f>IF([2]Entry!$M$1288="","",[2]Entry!$M$1288)</f>
        <v/>
      </c>
      <c r="X1285">
        <f>IF([2]Entry!$N$1288="","",[2]Entry!$N$1288)</f>
        <v/>
      </c>
      <c r="Y1285">
        <f>IF([2]Entry!$R$1288="","",[2]Entry!$R$1288)</f>
        <v/>
      </c>
    </row>
    <row r="1286">
      <c r="P1286">
        <f>IF([2]Entry!$C$1289="","",[2]Entry!$C$1289)</f>
        <v/>
      </c>
      <c r="Q1286">
        <f>IF([2]Entry!$D$1289="","",[2]Entry!$D$1289)</f>
        <v/>
      </c>
      <c r="R1286">
        <f>IF([2]Entry!$E$1289="","",[2]Entry!$E$1289)</f>
        <v/>
      </c>
      <c r="S1286">
        <f>IF([2]Entry!$G$1289="","",[2]Entry!$G$1289)</f>
        <v/>
      </c>
      <c r="T1286">
        <f>IF([2]Entry!$J$1289="","",[2]Entry!$J$1289)</f>
        <v/>
      </c>
      <c r="U1286">
        <f>IF([2]Entry!$K$1289="","",[2]Entry!$K$1289)</f>
        <v/>
      </c>
      <c r="V1286">
        <f>IF([2]Entry!$L$1289="","",[2]Entry!$L$1289)</f>
        <v/>
      </c>
      <c r="W1286">
        <f>IF([2]Entry!$M$1289="","",[2]Entry!$M$1289)</f>
        <v/>
      </c>
      <c r="X1286">
        <f>IF([2]Entry!$N$1289="","",[2]Entry!$N$1289)</f>
        <v/>
      </c>
      <c r="Y1286">
        <f>IF([2]Entry!$R$1289="","",[2]Entry!$R$1289)</f>
        <v/>
      </c>
    </row>
    <row r="1287">
      <c r="P1287">
        <f>IF([2]Entry!$C$1290="","",[2]Entry!$C$1290)</f>
        <v/>
      </c>
      <c r="Q1287">
        <f>IF([2]Entry!$D$1290="","",[2]Entry!$D$1290)</f>
        <v/>
      </c>
      <c r="R1287">
        <f>IF([2]Entry!$E$1290="","",[2]Entry!$E$1290)</f>
        <v/>
      </c>
      <c r="S1287">
        <f>IF([2]Entry!$G$1290="","",[2]Entry!$G$1290)</f>
        <v/>
      </c>
      <c r="T1287">
        <f>IF([2]Entry!$J$1290="","",[2]Entry!$J$1290)</f>
        <v/>
      </c>
      <c r="U1287">
        <f>IF([2]Entry!$K$1290="","",[2]Entry!$K$1290)</f>
        <v/>
      </c>
      <c r="V1287">
        <f>IF([2]Entry!$L$1290="","",[2]Entry!$L$1290)</f>
        <v/>
      </c>
      <c r="W1287">
        <f>IF([2]Entry!$M$1290="","",[2]Entry!$M$1290)</f>
        <v/>
      </c>
      <c r="X1287">
        <f>IF([2]Entry!$N$1290="","",[2]Entry!$N$1290)</f>
        <v/>
      </c>
      <c r="Y1287">
        <f>IF([2]Entry!$R$1290="","",[2]Entry!$R$1290)</f>
        <v/>
      </c>
    </row>
    <row r="1288">
      <c r="P1288">
        <f>IF([2]Entry!$C$1291="","",[2]Entry!$C$1291)</f>
        <v/>
      </c>
      <c r="Q1288">
        <f>IF([2]Entry!$D$1291="","",[2]Entry!$D$1291)</f>
        <v/>
      </c>
      <c r="R1288">
        <f>IF([2]Entry!$E$1291="","",[2]Entry!$E$1291)</f>
        <v/>
      </c>
      <c r="S1288">
        <f>IF([2]Entry!$G$1291="","",[2]Entry!$G$1291)</f>
        <v/>
      </c>
      <c r="T1288">
        <f>IF([2]Entry!$J$1291="","",[2]Entry!$J$1291)</f>
        <v/>
      </c>
      <c r="U1288">
        <f>IF([2]Entry!$K$1291="","",[2]Entry!$K$1291)</f>
        <v/>
      </c>
      <c r="V1288">
        <f>IF([2]Entry!$L$1291="","",[2]Entry!$L$1291)</f>
        <v/>
      </c>
      <c r="W1288">
        <f>IF([2]Entry!$M$1291="","",[2]Entry!$M$1291)</f>
        <v/>
      </c>
      <c r="X1288">
        <f>IF([2]Entry!$N$1291="","",[2]Entry!$N$1291)</f>
        <v/>
      </c>
      <c r="Y1288">
        <f>IF([2]Entry!$R$1291="","",[2]Entry!$R$1291)</f>
        <v/>
      </c>
    </row>
    <row r="1289">
      <c r="P1289">
        <f>IF([2]Entry!$C$1292="","",[2]Entry!$C$1292)</f>
        <v/>
      </c>
      <c r="Q1289">
        <f>IF([2]Entry!$D$1292="","",[2]Entry!$D$1292)</f>
        <v/>
      </c>
      <c r="R1289">
        <f>IF([2]Entry!$E$1292="","",[2]Entry!$E$1292)</f>
        <v/>
      </c>
      <c r="S1289">
        <f>IF([2]Entry!$G$1292="","",[2]Entry!$G$1292)</f>
        <v/>
      </c>
      <c r="T1289">
        <f>IF([2]Entry!$J$1292="","",[2]Entry!$J$1292)</f>
        <v/>
      </c>
      <c r="U1289">
        <f>IF([2]Entry!$K$1292="","",[2]Entry!$K$1292)</f>
        <v/>
      </c>
      <c r="V1289">
        <f>IF([2]Entry!$L$1292="","",[2]Entry!$L$1292)</f>
        <v/>
      </c>
      <c r="W1289">
        <f>IF([2]Entry!$M$1292="","",[2]Entry!$M$1292)</f>
        <v/>
      </c>
      <c r="X1289">
        <f>IF([2]Entry!$N$1292="","",[2]Entry!$N$1292)</f>
        <v/>
      </c>
      <c r="Y1289">
        <f>IF([2]Entry!$R$1292="","",[2]Entry!$R$1292)</f>
        <v/>
      </c>
    </row>
    <row r="1290">
      <c r="P1290">
        <f>IF([2]Entry!$C$1293="","",[2]Entry!$C$1293)</f>
        <v/>
      </c>
      <c r="Q1290">
        <f>IF([2]Entry!$D$1293="","",[2]Entry!$D$1293)</f>
        <v/>
      </c>
      <c r="R1290">
        <f>IF([2]Entry!$E$1293="","",[2]Entry!$E$1293)</f>
        <v/>
      </c>
      <c r="S1290">
        <f>IF([2]Entry!$G$1293="","",[2]Entry!$G$1293)</f>
        <v/>
      </c>
      <c r="T1290">
        <f>IF([2]Entry!$J$1293="","",[2]Entry!$J$1293)</f>
        <v/>
      </c>
      <c r="U1290">
        <f>IF([2]Entry!$K$1293="","",[2]Entry!$K$1293)</f>
        <v/>
      </c>
      <c r="V1290">
        <f>IF([2]Entry!$L$1293="","",[2]Entry!$L$1293)</f>
        <v/>
      </c>
      <c r="W1290">
        <f>IF([2]Entry!$M$1293="","",[2]Entry!$M$1293)</f>
        <v/>
      </c>
      <c r="X1290">
        <f>IF([2]Entry!$N$1293="","",[2]Entry!$N$1293)</f>
        <v/>
      </c>
      <c r="Y1290">
        <f>IF([2]Entry!$R$1293="","",[2]Entry!$R$1293)</f>
        <v/>
      </c>
    </row>
    <row r="1291">
      <c r="P1291">
        <f>IF([2]Entry!$C$1294="","",[2]Entry!$C$1294)</f>
        <v/>
      </c>
      <c r="Q1291">
        <f>IF([2]Entry!$D$1294="","",[2]Entry!$D$1294)</f>
        <v/>
      </c>
      <c r="R1291">
        <f>IF([2]Entry!$E$1294="","",[2]Entry!$E$1294)</f>
        <v/>
      </c>
      <c r="S1291">
        <f>IF([2]Entry!$G$1294="","",[2]Entry!$G$1294)</f>
        <v/>
      </c>
      <c r="T1291">
        <f>IF([2]Entry!$J$1294="","",[2]Entry!$J$1294)</f>
        <v/>
      </c>
      <c r="U1291">
        <f>IF([2]Entry!$K$1294="","",[2]Entry!$K$1294)</f>
        <v/>
      </c>
      <c r="V1291">
        <f>IF([2]Entry!$L$1294="","",[2]Entry!$L$1294)</f>
        <v/>
      </c>
      <c r="W1291">
        <f>IF([2]Entry!$M$1294="","",[2]Entry!$M$1294)</f>
        <v/>
      </c>
      <c r="X1291">
        <f>IF([2]Entry!$N$1294="","",[2]Entry!$N$1294)</f>
        <v/>
      </c>
      <c r="Y1291">
        <f>IF([2]Entry!$R$1294="","",[2]Entry!$R$1294)</f>
        <v/>
      </c>
    </row>
    <row r="1292">
      <c r="P1292">
        <f>IF([2]Entry!$C$1295="","",[2]Entry!$C$1295)</f>
        <v/>
      </c>
      <c r="Q1292">
        <f>IF([2]Entry!$D$1295="","",[2]Entry!$D$1295)</f>
        <v/>
      </c>
      <c r="R1292">
        <f>IF([2]Entry!$E$1295="","",[2]Entry!$E$1295)</f>
        <v/>
      </c>
      <c r="S1292">
        <f>IF([2]Entry!$G$1295="","",[2]Entry!$G$1295)</f>
        <v/>
      </c>
      <c r="T1292">
        <f>IF([2]Entry!$J$1295="","",[2]Entry!$J$1295)</f>
        <v/>
      </c>
      <c r="U1292">
        <f>IF([2]Entry!$K$1295="","",[2]Entry!$K$1295)</f>
        <v/>
      </c>
      <c r="V1292">
        <f>IF([2]Entry!$L$1295="","",[2]Entry!$L$1295)</f>
        <v/>
      </c>
      <c r="W1292">
        <f>IF([2]Entry!$M$1295="","",[2]Entry!$M$1295)</f>
        <v/>
      </c>
      <c r="X1292">
        <f>IF([2]Entry!$N$1295="","",[2]Entry!$N$1295)</f>
        <v/>
      </c>
      <c r="Y1292">
        <f>IF([2]Entry!$R$1295="","",[2]Entry!$R$1295)</f>
        <v/>
      </c>
    </row>
    <row r="1293">
      <c r="P1293">
        <f>IF([2]Entry!$C$1296="","",[2]Entry!$C$1296)</f>
        <v/>
      </c>
      <c r="Q1293">
        <f>IF([2]Entry!$D$1296="","",[2]Entry!$D$1296)</f>
        <v/>
      </c>
      <c r="R1293">
        <f>IF([2]Entry!$E$1296="","",[2]Entry!$E$1296)</f>
        <v/>
      </c>
      <c r="S1293">
        <f>IF([2]Entry!$G$1296="","",[2]Entry!$G$1296)</f>
        <v/>
      </c>
      <c r="T1293">
        <f>IF([2]Entry!$J$1296="","",[2]Entry!$J$1296)</f>
        <v/>
      </c>
      <c r="U1293">
        <f>IF([2]Entry!$K$1296="","",[2]Entry!$K$1296)</f>
        <v/>
      </c>
      <c r="V1293">
        <f>IF([2]Entry!$L$1296="","",[2]Entry!$L$1296)</f>
        <v/>
      </c>
      <c r="W1293">
        <f>IF([2]Entry!$M$1296="","",[2]Entry!$M$1296)</f>
        <v/>
      </c>
      <c r="X1293">
        <f>IF([2]Entry!$N$1296="","",[2]Entry!$N$1296)</f>
        <v/>
      </c>
      <c r="Y1293">
        <f>IF([2]Entry!$R$1296="","",[2]Entry!$R$1296)</f>
        <v/>
      </c>
    </row>
    <row r="1294">
      <c r="P1294">
        <f>IF([2]Entry!$C$1297="","",[2]Entry!$C$1297)</f>
        <v/>
      </c>
      <c r="Q1294">
        <f>IF([2]Entry!$D$1297="","",[2]Entry!$D$1297)</f>
        <v/>
      </c>
      <c r="R1294">
        <f>IF([2]Entry!$E$1297="","",[2]Entry!$E$1297)</f>
        <v/>
      </c>
      <c r="S1294">
        <f>IF([2]Entry!$G$1297="","",[2]Entry!$G$1297)</f>
        <v/>
      </c>
      <c r="T1294">
        <f>IF([2]Entry!$J$1297="","",[2]Entry!$J$1297)</f>
        <v/>
      </c>
      <c r="U1294">
        <f>IF([2]Entry!$K$1297="","",[2]Entry!$K$1297)</f>
        <v/>
      </c>
      <c r="V1294">
        <f>IF([2]Entry!$L$1297="","",[2]Entry!$L$1297)</f>
        <v/>
      </c>
      <c r="W1294">
        <f>IF([2]Entry!$M$1297="","",[2]Entry!$M$1297)</f>
        <v/>
      </c>
      <c r="X1294">
        <f>IF([2]Entry!$N$1297="","",[2]Entry!$N$1297)</f>
        <v/>
      </c>
      <c r="Y1294">
        <f>IF([2]Entry!$R$1297="","",[2]Entry!$R$1297)</f>
        <v/>
      </c>
    </row>
    <row r="1295">
      <c r="P1295">
        <f>IF([2]Entry!$C$1298="","",[2]Entry!$C$1298)</f>
        <v/>
      </c>
      <c r="Q1295">
        <f>IF([2]Entry!$D$1298="","",[2]Entry!$D$1298)</f>
        <v/>
      </c>
      <c r="R1295">
        <f>IF([2]Entry!$E$1298="","",[2]Entry!$E$1298)</f>
        <v/>
      </c>
      <c r="S1295">
        <f>IF([2]Entry!$G$1298="","",[2]Entry!$G$1298)</f>
        <v/>
      </c>
      <c r="T1295">
        <f>IF([2]Entry!$J$1298="","",[2]Entry!$J$1298)</f>
        <v/>
      </c>
      <c r="U1295">
        <f>IF([2]Entry!$K$1298="","",[2]Entry!$K$1298)</f>
        <v/>
      </c>
      <c r="V1295">
        <f>IF([2]Entry!$L$1298="","",[2]Entry!$L$1298)</f>
        <v/>
      </c>
      <c r="W1295">
        <f>IF([2]Entry!$M$1298="","",[2]Entry!$M$1298)</f>
        <v/>
      </c>
      <c r="X1295">
        <f>IF([2]Entry!$N$1298="","",[2]Entry!$N$1298)</f>
        <v/>
      </c>
      <c r="Y1295">
        <f>IF([2]Entry!$R$1298="","",[2]Entry!$R$1298)</f>
        <v/>
      </c>
    </row>
    <row r="1296">
      <c r="P1296">
        <f>IF([2]Entry!$C$1299="","",[2]Entry!$C$1299)</f>
        <v/>
      </c>
      <c r="Q1296">
        <f>IF([2]Entry!$D$1299="","",[2]Entry!$D$1299)</f>
        <v/>
      </c>
      <c r="R1296">
        <f>IF([2]Entry!$E$1299="","",[2]Entry!$E$1299)</f>
        <v/>
      </c>
      <c r="S1296">
        <f>IF([2]Entry!$G$1299="","",[2]Entry!$G$1299)</f>
        <v/>
      </c>
      <c r="T1296">
        <f>IF([2]Entry!$J$1299="","",[2]Entry!$J$1299)</f>
        <v/>
      </c>
      <c r="U1296">
        <f>IF([2]Entry!$K$1299="","",[2]Entry!$K$1299)</f>
        <v/>
      </c>
      <c r="V1296">
        <f>IF([2]Entry!$L$1299="","",[2]Entry!$L$1299)</f>
        <v/>
      </c>
      <c r="W1296">
        <f>IF([2]Entry!$M$1299="","",[2]Entry!$M$1299)</f>
        <v/>
      </c>
      <c r="X1296">
        <f>IF([2]Entry!$N$1299="","",[2]Entry!$N$1299)</f>
        <v/>
      </c>
      <c r="Y1296">
        <f>IF([2]Entry!$R$1299="","",[2]Entry!$R$1299)</f>
        <v/>
      </c>
    </row>
    <row r="1297">
      <c r="P1297">
        <f>IF([2]Entry!$C$1300="","",[2]Entry!$C$1300)</f>
        <v/>
      </c>
      <c r="Q1297">
        <f>IF([2]Entry!$D$1300="","",[2]Entry!$D$1300)</f>
        <v/>
      </c>
      <c r="R1297">
        <f>IF([2]Entry!$E$1300="","",[2]Entry!$E$1300)</f>
        <v/>
      </c>
      <c r="S1297">
        <f>IF([2]Entry!$G$1300="","",[2]Entry!$G$1300)</f>
        <v/>
      </c>
      <c r="T1297">
        <f>IF([2]Entry!$J$1300="","",[2]Entry!$J$1300)</f>
        <v/>
      </c>
      <c r="U1297">
        <f>IF([2]Entry!$K$1300="","",[2]Entry!$K$1300)</f>
        <v/>
      </c>
      <c r="V1297">
        <f>IF([2]Entry!$L$1300="","",[2]Entry!$L$1300)</f>
        <v/>
      </c>
      <c r="W1297">
        <f>IF([2]Entry!$M$1300="","",[2]Entry!$M$1300)</f>
        <v/>
      </c>
      <c r="X1297">
        <f>IF([2]Entry!$N$1300="","",[2]Entry!$N$1300)</f>
        <v/>
      </c>
      <c r="Y1297">
        <f>IF([2]Entry!$R$1300="","",[2]Entry!$R$1300)</f>
        <v/>
      </c>
    </row>
    <row r="1298">
      <c r="P1298">
        <f>IF([2]Entry!$C$1301="","",[2]Entry!$C$1301)</f>
        <v/>
      </c>
      <c r="Q1298">
        <f>IF([2]Entry!$D$1301="","",[2]Entry!$D$1301)</f>
        <v/>
      </c>
      <c r="R1298">
        <f>IF([2]Entry!$E$1301="","",[2]Entry!$E$1301)</f>
        <v/>
      </c>
      <c r="S1298">
        <f>IF([2]Entry!$G$1301="","",[2]Entry!$G$1301)</f>
        <v/>
      </c>
      <c r="T1298">
        <f>IF([2]Entry!$J$1301="","",[2]Entry!$J$1301)</f>
        <v/>
      </c>
      <c r="U1298">
        <f>IF([2]Entry!$K$1301="","",[2]Entry!$K$1301)</f>
        <v/>
      </c>
      <c r="V1298">
        <f>IF([2]Entry!$L$1301="","",[2]Entry!$L$1301)</f>
        <v/>
      </c>
      <c r="W1298">
        <f>IF([2]Entry!$M$1301="","",[2]Entry!$M$1301)</f>
        <v/>
      </c>
      <c r="X1298">
        <f>IF([2]Entry!$N$1301="","",[2]Entry!$N$1301)</f>
        <v/>
      </c>
      <c r="Y1298">
        <f>IF([2]Entry!$R$1301="","",[2]Entry!$R$1301)</f>
        <v/>
      </c>
    </row>
    <row r="1299">
      <c r="P1299">
        <f>IF([2]Entry!$C$1302="","",[2]Entry!$C$1302)</f>
        <v/>
      </c>
      <c r="Q1299">
        <f>IF([2]Entry!$D$1302="","",[2]Entry!$D$1302)</f>
        <v/>
      </c>
      <c r="R1299">
        <f>IF([2]Entry!$E$1302="","",[2]Entry!$E$1302)</f>
        <v/>
      </c>
      <c r="S1299">
        <f>IF([2]Entry!$G$1302="","",[2]Entry!$G$1302)</f>
        <v/>
      </c>
      <c r="T1299">
        <f>IF([2]Entry!$J$1302="","",[2]Entry!$J$1302)</f>
        <v/>
      </c>
      <c r="U1299">
        <f>IF([2]Entry!$K$1302="","",[2]Entry!$K$1302)</f>
        <v/>
      </c>
      <c r="V1299">
        <f>IF([2]Entry!$L$1302="","",[2]Entry!$L$1302)</f>
        <v/>
      </c>
      <c r="W1299">
        <f>IF([2]Entry!$M$1302="","",[2]Entry!$M$1302)</f>
        <v/>
      </c>
      <c r="X1299">
        <f>IF([2]Entry!$N$1302="","",[2]Entry!$N$1302)</f>
        <v/>
      </c>
      <c r="Y1299">
        <f>IF([2]Entry!$R$1302="","",[2]Entry!$R$1302)</f>
        <v/>
      </c>
    </row>
    <row r="1300">
      <c r="P1300">
        <f>IF([2]Entry!$C$1303="","",[2]Entry!$C$1303)</f>
        <v/>
      </c>
      <c r="Q1300">
        <f>IF([2]Entry!$D$1303="","",[2]Entry!$D$1303)</f>
        <v/>
      </c>
      <c r="R1300">
        <f>IF([2]Entry!$E$1303="","",[2]Entry!$E$1303)</f>
        <v/>
      </c>
      <c r="S1300">
        <f>IF([2]Entry!$G$1303="","",[2]Entry!$G$1303)</f>
        <v/>
      </c>
      <c r="T1300">
        <f>IF([2]Entry!$J$1303="","",[2]Entry!$J$1303)</f>
        <v/>
      </c>
      <c r="U1300">
        <f>IF([2]Entry!$K$1303="","",[2]Entry!$K$1303)</f>
        <v/>
      </c>
      <c r="V1300">
        <f>IF([2]Entry!$L$1303="","",[2]Entry!$L$1303)</f>
        <v/>
      </c>
      <c r="W1300">
        <f>IF([2]Entry!$M$1303="","",[2]Entry!$M$1303)</f>
        <v/>
      </c>
      <c r="X1300">
        <f>IF([2]Entry!$N$1303="","",[2]Entry!$N$1303)</f>
        <v/>
      </c>
      <c r="Y1300">
        <f>IF([2]Entry!$R$1303="","",[2]Entry!$R$1303)</f>
        <v/>
      </c>
    </row>
    <row r="1301">
      <c r="P1301">
        <f>IF([2]Entry!$C$1304="","",[2]Entry!$C$1304)</f>
        <v/>
      </c>
      <c r="Q1301">
        <f>IF([2]Entry!$D$1304="","",[2]Entry!$D$1304)</f>
        <v/>
      </c>
      <c r="R1301">
        <f>IF([2]Entry!$E$1304="","",[2]Entry!$E$1304)</f>
        <v/>
      </c>
      <c r="S1301">
        <f>IF([2]Entry!$G$1304="","",[2]Entry!$G$1304)</f>
        <v/>
      </c>
      <c r="T1301">
        <f>IF([2]Entry!$J$1304="","",[2]Entry!$J$1304)</f>
        <v/>
      </c>
      <c r="U1301">
        <f>IF([2]Entry!$K$1304="","",[2]Entry!$K$1304)</f>
        <v/>
      </c>
      <c r="V1301">
        <f>IF([2]Entry!$L$1304="","",[2]Entry!$L$1304)</f>
        <v/>
      </c>
      <c r="W1301">
        <f>IF([2]Entry!$M$1304="","",[2]Entry!$M$1304)</f>
        <v/>
      </c>
      <c r="X1301">
        <f>IF([2]Entry!$N$1304="","",[2]Entry!$N$1304)</f>
        <v/>
      </c>
      <c r="Y1301">
        <f>IF([2]Entry!$R$1304="","",[2]Entry!$R$1304)</f>
        <v/>
      </c>
    </row>
    <row r="1302">
      <c r="P1302">
        <f>IF([2]Entry!$C$1305="","",[2]Entry!$C$1305)</f>
        <v/>
      </c>
      <c r="Q1302">
        <f>IF([2]Entry!$D$1305="","",[2]Entry!$D$1305)</f>
        <v/>
      </c>
      <c r="R1302">
        <f>IF([2]Entry!$E$1305="","",[2]Entry!$E$1305)</f>
        <v/>
      </c>
      <c r="S1302">
        <f>IF([2]Entry!$G$1305="","",[2]Entry!$G$1305)</f>
        <v/>
      </c>
      <c r="T1302">
        <f>IF([2]Entry!$J$1305="","",[2]Entry!$J$1305)</f>
        <v/>
      </c>
      <c r="U1302">
        <f>IF([2]Entry!$K$1305="","",[2]Entry!$K$1305)</f>
        <v/>
      </c>
      <c r="V1302">
        <f>IF([2]Entry!$L$1305="","",[2]Entry!$L$1305)</f>
        <v/>
      </c>
      <c r="W1302">
        <f>IF([2]Entry!$M$1305="","",[2]Entry!$M$1305)</f>
        <v/>
      </c>
      <c r="X1302">
        <f>IF([2]Entry!$N$1305="","",[2]Entry!$N$1305)</f>
        <v/>
      </c>
      <c r="Y1302">
        <f>IF([2]Entry!$R$1305="","",[2]Entry!$R$1305)</f>
        <v/>
      </c>
    </row>
    <row r="1303">
      <c r="P1303">
        <f>IF([2]Entry!$C$1306="","",[2]Entry!$C$1306)</f>
        <v/>
      </c>
      <c r="Q1303">
        <f>IF([2]Entry!$D$1306="","",[2]Entry!$D$1306)</f>
        <v/>
      </c>
      <c r="R1303">
        <f>IF([2]Entry!$E$1306="","",[2]Entry!$E$1306)</f>
        <v/>
      </c>
      <c r="S1303">
        <f>IF([2]Entry!$G$1306="","",[2]Entry!$G$1306)</f>
        <v/>
      </c>
      <c r="T1303">
        <f>IF([2]Entry!$J$1306="","",[2]Entry!$J$1306)</f>
        <v/>
      </c>
      <c r="U1303">
        <f>IF([2]Entry!$K$1306="","",[2]Entry!$K$1306)</f>
        <v/>
      </c>
      <c r="V1303">
        <f>IF([2]Entry!$L$1306="","",[2]Entry!$L$1306)</f>
        <v/>
      </c>
      <c r="W1303">
        <f>IF([2]Entry!$M$1306="","",[2]Entry!$M$1306)</f>
        <v/>
      </c>
      <c r="X1303">
        <f>IF([2]Entry!$N$1306="","",[2]Entry!$N$1306)</f>
        <v/>
      </c>
      <c r="Y1303">
        <f>IF([2]Entry!$R$1306="","",[2]Entry!$R$1306)</f>
        <v/>
      </c>
    </row>
    <row r="1304">
      <c r="P1304">
        <f>IF([2]Entry!$C$1307="","",[2]Entry!$C$1307)</f>
        <v/>
      </c>
      <c r="Q1304">
        <f>IF([2]Entry!$D$1307="","",[2]Entry!$D$1307)</f>
        <v/>
      </c>
      <c r="R1304">
        <f>IF([2]Entry!$E$1307="","",[2]Entry!$E$1307)</f>
        <v/>
      </c>
      <c r="S1304">
        <f>IF([2]Entry!$G$1307="","",[2]Entry!$G$1307)</f>
        <v/>
      </c>
      <c r="T1304">
        <f>IF([2]Entry!$J$1307="","",[2]Entry!$J$1307)</f>
        <v/>
      </c>
      <c r="U1304">
        <f>IF([2]Entry!$K$1307="","",[2]Entry!$K$1307)</f>
        <v/>
      </c>
      <c r="V1304">
        <f>IF([2]Entry!$L$1307="","",[2]Entry!$L$1307)</f>
        <v/>
      </c>
      <c r="W1304">
        <f>IF([2]Entry!$M$1307="","",[2]Entry!$M$1307)</f>
        <v/>
      </c>
      <c r="X1304">
        <f>IF([2]Entry!$N$1307="","",[2]Entry!$N$1307)</f>
        <v/>
      </c>
      <c r="Y1304">
        <f>IF([2]Entry!$R$1307="","",[2]Entry!$R$1307)</f>
        <v/>
      </c>
    </row>
    <row r="1305">
      <c r="P1305">
        <f>IF([2]Entry!$C$1308="","",[2]Entry!$C$1308)</f>
        <v/>
      </c>
      <c r="Q1305">
        <f>IF([2]Entry!$D$1308="","",[2]Entry!$D$1308)</f>
        <v/>
      </c>
      <c r="R1305">
        <f>IF([2]Entry!$E$1308="","",[2]Entry!$E$1308)</f>
        <v/>
      </c>
      <c r="S1305">
        <f>IF([2]Entry!$G$1308="","",[2]Entry!$G$1308)</f>
        <v/>
      </c>
      <c r="T1305">
        <f>IF([2]Entry!$J$1308="","",[2]Entry!$J$1308)</f>
        <v/>
      </c>
      <c r="U1305">
        <f>IF([2]Entry!$K$1308="","",[2]Entry!$K$1308)</f>
        <v/>
      </c>
      <c r="V1305">
        <f>IF([2]Entry!$L$1308="","",[2]Entry!$L$1308)</f>
        <v/>
      </c>
      <c r="W1305">
        <f>IF([2]Entry!$M$1308="","",[2]Entry!$M$1308)</f>
        <v/>
      </c>
      <c r="X1305">
        <f>IF([2]Entry!$N$1308="","",[2]Entry!$N$1308)</f>
        <v/>
      </c>
      <c r="Y1305">
        <f>IF([2]Entry!$R$1308="","",[2]Entry!$R$1308)</f>
        <v/>
      </c>
    </row>
    <row r="1306">
      <c r="P1306">
        <f>IF([2]Entry!$C$1309="","",[2]Entry!$C$1309)</f>
        <v/>
      </c>
      <c r="Q1306">
        <f>IF([2]Entry!$D$1309="","",[2]Entry!$D$1309)</f>
        <v/>
      </c>
      <c r="R1306">
        <f>IF([2]Entry!$E$1309="","",[2]Entry!$E$1309)</f>
        <v/>
      </c>
      <c r="S1306">
        <f>IF([2]Entry!$G$1309="","",[2]Entry!$G$1309)</f>
        <v/>
      </c>
      <c r="T1306">
        <f>IF([2]Entry!$J$1309="","",[2]Entry!$J$1309)</f>
        <v/>
      </c>
      <c r="U1306">
        <f>IF([2]Entry!$K$1309="","",[2]Entry!$K$1309)</f>
        <v/>
      </c>
      <c r="V1306">
        <f>IF([2]Entry!$L$1309="","",[2]Entry!$L$1309)</f>
        <v/>
      </c>
      <c r="W1306">
        <f>IF([2]Entry!$M$1309="","",[2]Entry!$M$1309)</f>
        <v/>
      </c>
      <c r="X1306">
        <f>IF([2]Entry!$N$1309="","",[2]Entry!$N$1309)</f>
        <v/>
      </c>
      <c r="Y1306">
        <f>IF([2]Entry!$R$1309="","",[2]Entry!$R$1309)</f>
        <v/>
      </c>
    </row>
    <row r="1307">
      <c r="P1307">
        <f>IF([2]Entry!$C$1310="","",[2]Entry!$C$1310)</f>
        <v/>
      </c>
      <c r="Q1307">
        <f>IF([2]Entry!$D$1310="","",[2]Entry!$D$1310)</f>
        <v/>
      </c>
      <c r="R1307">
        <f>IF([2]Entry!$E$1310="","",[2]Entry!$E$1310)</f>
        <v/>
      </c>
      <c r="S1307">
        <f>IF([2]Entry!$G$1310="","",[2]Entry!$G$1310)</f>
        <v/>
      </c>
      <c r="T1307">
        <f>IF([2]Entry!$J$1310="","",[2]Entry!$J$1310)</f>
        <v/>
      </c>
      <c r="U1307">
        <f>IF([2]Entry!$K$1310="","",[2]Entry!$K$1310)</f>
        <v/>
      </c>
      <c r="V1307">
        <f>IF([2]Entry!$L$1310="","",[2]Entry!$L$1310)</f>
        <v/>
      </c>
      <c r="W1307">
        <f>IF([2]Entry!$M$1310="","",[2]Entry!$M$1310)</f>
        <v/>
      </c>
      <c r="X1307">
        <f>IF([2]Entry!$N$1310="","",[2]Entry!$N$1310)</f>
        <v/>
      </c>
      <c r="Y1307">
        <f>IF([2]Entry!$R$1310="","",[2]Entry!$R$1310)</f>
        <v/>
      </c>
    </row>
    <row r="1308">
      <c r="P1308">
        <f>IF([2]Entry!$C$1311="","",[2]Entry!$C$1311)</f>
        <v/>
      </c>
      <c r="Q1308">
        <f>IF([2]Entry!$D$1311="","",[2]Entry!$D$1311)</f>
        <v/>
      </c>
      <c r="R1308">
        <f>IF([2]Entry!$E$1311="","",[2]Entry!$E$1311)</f>
        <v/>
      </c>
      <c r="S1308">
        <f>IF([2]Entry!$G$1311="","",[2]Entry!$G$1311)</f>
        <v/>
      </c>
      <c r="T1308">
        <f>IF([2]Entry!$J$1311="","",[2]Entry!$J$1311)</f>
        <v/>
      </c>
      <c r="U1308">
        <f>IF([2]Entry!$K$1311="","",[2]Entry!$K$1311)</f>
        <v/>
      </c>
      <c r="V1308">
        <f>IF([2]Entry!$L$1311="","",[2]Entry!$L$1311)</f>
        <v/>
      </c>
      <c r="W1308">
        <f>IF([2]Entry!$M$1311="","",[2]Entry!$M$1311)</f>
        <v/>
      </c>
      <c r="X1308">
        <f>IF([2]Entry!$N$1311="","",[2]Entry!$N$1311)</f>
        <v/>
      </c>
      <c r="Y1308">
        <f>IF([2]Entry!$R$1311="","",[2]Entry!$R$1311)</f>
        <v/>
      </c>
    </row>
    <row r="1309">
      <c r="P1309">
        <f>IF([2]Entry!$C$1312="","",[2]Entry!$C$1312)</f>
        <v/>
      </c>
      <c r="Q1309">
        <f>IF([2]Entry!$D$1312="","",[2]Entry!$D$1312)</f>
        <v/>
      </c>
      <c r="R1309">
        <f>IF([2]Entry!$E$1312="","",[2]Entry!$E$1312)</f>
        <v/>
      </c>
      <c r="S1309">
        <f>IF([2]Entry!$G$1312="","",[2]Entry!$G$1312)</f>
        <v/>
      </c>
      <c r="T1309">
        <f>IF([2]Entry!$J$1312="","",[2]Entry!$J$1312)</f>
        <v/>
      </c>
      <c r="U1309">
        <f>IF([2]Entry!$K$1312="","",[2]Entry!$K$1312)</f>
        <v/>
      </c>
      <c r="V1309">
        <f>IF([2]Entry!$L$1312="","",[2]Entry!$L$1312)</f>
        <v/>
      </c>
      <c r="W1309">
        <f>IF([2]Entry!$M$1312="","",[2]Entry!$M$1312)</f>
        <v/>
      </c>
      <c r="X1309">
        <f>IF([2]Entry!$N$1312="","",[2]Entry!$N$1312)</f>
        <v/>
      </c>
      <c r="Y1309">
        <f>IF([2]Entry!$R$1312="","",[2]Entry!$R$1312)</f>
        <v/>
      </c>
    </row>
    <row r="1310">
      <c r="P1310">
        <f>IF([2]Entry!$C$1313="","",[2]Entry!$C$1313)</f>
        <v/>
      </c>
      <c r="Q1310">
        <f>IF([2]Entry!$D$1313="","",[2]Entry!$D$1313)</f>
        <v/>
      </c>
      <c r="R1310">
        <f>IF([2]Entry!$E$1313="","",[2]Entry!$E$1313)</f>
        <v/>
      </c>
      <c r="S1310">
        <f>IF([2]Entry!$G$1313="","",[2]Entry!$G$1313)</f>
        <v/>
      </c>
      <c r="T1310">
        <f>IF([2]Entry!$J$1313="","",[2]Entry!$J$1313)</f>
        <v/>
      </c>
      <c r="U1310">
        <f>IF([2]Entry!$K$1313="","",[2]Entry!$K$1313)</f>
        <v/>
      </c>
      <c r="V1310">
        <f>IF([2]Entry!$L$1313="","",[2]Entry!$L$1313)</f>
        <v/>
      </c>
      <c r="W1310">
        <f>IF([2]Entry!$M$1313="","",[2]Entry!$M$1313)</f>
        <v/>
      </c>
      <c r="X1310">
        <f>IF([2]Entry!$N$1313="","",[2]Entry!$N$1313)</f>
        <v/>
      </c>
      <c r="Y1310">
        <f>IF([2]Entry!$R$1313="","",[2]Entry!$R$1313)</f>
        <v/>
      </c>
    </row>
    <row r="1311">
      <c r="P1311">
        <f>IF([2]Entry!$C$1314="","",[2]Entry!$C$1314)</f>
        <v/>
      </c>
      <c r="Q1311">
        <f>IF([2]Entry!$D$1314="","",[2]Entry!$D$1314)</f>
        <v/>
      </c>
      <c r="R1311">
        <f>IF([2]Entry!$E$1314="","",[2]Entry!$E$1314)</f>
        <v/>
      </c>
      <c r="S1311">
        <f>IF([2]Entry!$G$1314="","",[2]Entry!$G$1314)</f>
        <v/>
      </c>
      <c r="T1311">
        <f>IF([2]Entry!$J$1314="","",[2]Entry!$J$1314)</f>
        <v/>
      </c>
      <c r="U1311">
        <f>IF([2]Entry!$K$1314="","",[2]Entry!$K$1314)</f>
        <v/>
      </c>
      <c r="V1311">
        <f>IF([2]Entry!$L$1314="","",[2]Entry!$L$1314)</f>
        <v/>
      </c>
      <c r="W1311">
        <f>IF([2]Entry!$M$1314="","",[2]Entry!$M$1314)</f>
        <v/>
      </c>
      <c r="X1311">
        <f>IF([2]Entry!$N$1314="","",[2]Entry!$N$1314)</f>
        <v/>
      </c>
      <c r="Y1311">
        <f>IF([2]Entry!$R$1314="","",[2]Entry!$R$1314)</f>
        <v/>
      </c>
    </row>
    <row r="1312">
      <c r="P1312">
        <f>IF([2]Entry!$C$1315="","",[2]Entry!$C$1315)</f>
        <v/>
      </c>
      <c r="Q1312">
        <f>IF([2]Entry!$D$1315="","",[2]Entry!$D$1315)</f>
        <v/>
      </c>
      <c r="R1312">
        <f>IF([2]Entry!$E$1315="","",[2]Entry!$E$1315)</f>
        <v/>
      </c>
      <c r="S1312">
        <f>IF([2]Entry!$G$1315="","",[2]Entry!$G$1315)</f>
        <v/>
      </c>
      <c r="T1312">
        <f>IF([2]Entry!$J$1315="","",[2]Entry!$J$1315)</f>
        <v/>
      </c>
      <c r="U1312">
        <f>IF([2]Entry!$K$1315="","",[2]Entry!$K$1315)</f>
        <v/>
      </c>
      <c r="V1312">
        <f>IF([2]Entry!$L$1315="","",[2]Entry!$L$1315)</f>
        <v/>
      </c>
      <c r="W1312">
        <f>IF([2]Entry!$M$1315="","",[2]Entry!$M$1315)</f>
        <v/>
      </c>
      <c r="X1312">
        <f>IF([2]Entry!$N$1315="","",[2]Entry!$N$1315)</f>
        <v/>
      </c>
      <c r="Y1312">
        <f>IF([2]Entry!$R$1315="","",[2]Entry!$R$1315)</f>
        <v/>
      </c>
    </row>
    <row r="1313">
      <c r="P1313">
        <f>IF([2]Entry!$C$1316="","",[2]Entry!$C$1316)</f>
        <v/>
      </c>
      <c r="Q1313">
        <f>IF([2]Entry!$D$1316="","",[2]Entry!$D$1316)</f>
        <v/>
      </c>
      <c r="R1313">
        <f>IF([2]Entry!$E$1316="","",[2]Entry!$E$1316)</f>
        <v/>
      </c>
      <c r="S1313">
        <f>IF([2]Entry!$G$1316="","",[2]Entry!$G$1316)</f>
        <v/>
      </c>
      <c r="T1313">
        <f>IF([2]Entry!$J$1316="","",[2]Entry!$J$1316)</f>
        <v/>
      </c>
      <c r="U1313">
        <f>IF([2]Entry!$K$1316="","",[2]Entry!$K$1316)</f>
        <v/>
      </c>
      <c r="V1313">
        <f>IF([2]Entry!$L$1316="","",[2]Entry!$L$1316)</f>
        <v/>
      </c>
      <c r="W1313">
        <f>IF([2]Entry!$M$1316="","",[2]Entry!$M$1316)</f>
        <v/>
      </c>
      <c r="X1313">
        <f>IF([2]Entry!$N$1316="","",[2]Entry!$N$1316)</f>
        <v/>
      </c>
      <c r="Y1313">
        <f>IF([2]Entry!$R$1316="","",[2]Entry!$R$1316)</f>
        <v/>
      </c>
    </row>
    <row r="1314">
      <c r="P1314">
        <f>IF([2]Entry!$C$1317="","",[2]Entry!$C$1317)</f>
        <v/>
      </c>
      <c r="Q1314">
        <f>IF([2]Entry!$D$1317="","",[2]Entry!$D$1317)</f>
        <v/>
      </c>
      <c r="R1314">
        <f>IF([2]Entry!$E$1317="","",[2]Entry!$E$1317)</f>
        <v/>
      </c>
      <c r="S1314">
        <f>IF([2]Entry!$G$1317="","",[2]Entry!$G$1317)</f>
        <v/>
      </c>
      <c r="T1314">
        <f>IF([2]Entry!$J$1317="","",[2]Entry!$J$1317)</f>
        <v/>
      </c>
      <c r="U1314">
        <f>IF([2]Entry!$K$1317="","",[2]Entry!$K$1317)</f>
        <v/>
      </c>
      <c r="V1314">
        <f>IF([2]Entry!$L$1317="","",[2]Entry!$L$1317)</f>
        <v/>
      </c>
      <c r="W1314">
        <f>IF([2]Entry!$M$1317="","",[2]Entry!$M$1317)</f>
        <v/>
      </c>
      <c r="X1314">
        <f>IF([2]Entry!$N$1317="","",[2]Entry!$N$1317)</f>
        <v/>
      </c>
      <c r="Y1314">
        <f>IF([2]Entry!$R$1317="","",[2]Entry!$R$1317)</f>
        <v/>
      </c>
    </row>
    <row r="1315">
      <c r="P1315">
        <f>IF([2]Entry!$C$1318="","",[2]Entry!$C$1318)</f>
        <v/>
      </c>
      <c r="Q1315">
        <f>IF([2]Entry!$D$1318="","",[2]Entry!$D$1318)</f>
        <v/>
      </c>
      <c r="R1315">
        <f>IF([2]Entry!$E$1318="","",[2]Entry!$E$1318)</f>
        <v/>
      </c>
      <c r="S1315">
        <f>IF([2]Entry!$G$1318="","",[2]Entry!$G$1318)</f>
        <v/>
      </c>
      <c r="T1315">
        <f>IF([2]Entry!$J$1318="","",[2]Entry!$J$1318)</f>
        <v/>
      </c>
      <c r="U1315">
        <f>IF([2]Entry!$K$1318="","",[2]Entry!$K$1318)</f>
        <v/>
      </c>
      <c r="V1315">
        <f>IF([2]Entry!$L$1318="","",[2]Entry!$L$1318)</f>
        <v/>
      </c>
      <c r="W1315">
        <f>IF([2]Entry!$M$1318="","",[2]Entry!$M$1318)</f>
        <v/>
      </c>
      <c r="X1315">
        <f>IF([2]Entry!$N$1318="","",[2]Entry!$N$1318)</f>
        <v/>
      </c>
      <c r="Y1315">
        <f>IF([2]Entry!$R$1318="","",[2]Entry!$R$1318)</f>
        <v/>
      </c>
    </row>
    <row r="1316">
      <c r="P1316">
        <f>IF([2]Entry!$C$1319="","",[2]Entry!$C$1319)</f>
        <v/>
      </c>
      <c r="Q1316">
        <f>IF([2]Entry!$D$1319="","",[2]Entry!$D$1319)</f>
        <v/>
      </c>
      <c r="R1316">
        <f>IF([2]Entry!$E$1319="","",[2]Entry!$E$1319)</f>
        <v/>
      </c>
      <c r="S1316">
        <f>IF([2]Entry!$G$1319="","",[2]Entry!$G$1319)</f>
        <v/>
      </c>
      <c r="T1316">
        <f>IF([2]Entry!$J$1319="","",[2]Entry!$J$1319)</f>
        <v/>
      </c>
      <c r="U1316">
        <f>IF([2]Entry!$K$1319="","",[2]Entry!$K$1319)</f>
        <v/>
      </c>
      <c r="V1316">
        <f>IF([2]Entry!$L$1319="","",[2]Entry!$L$1319)</f>
        <v/>
      </c>
      <c r="W1316">
        <f>IF([2]Entry!$M$1319="","",[2]Entry!$M$1319)</f>
        <v/>
      </c>
      <c r="X1316">
        <f>IF([2]Entry!$N$1319="","",[2]Entry!$N$1319)</f>
        <v/>
      </c>
      <c r="Y1316">
        <f>IF([2]Entry!$R$1319="","",[2]Entry!$R$1319)</f>
        <v/>
      </c>
    </row>
    <row r="1317">
      <c r="P1317">
        <f>IF([2]Entry!$C$1320="","",[2]Entry!$C$1320)</f>
        <v/>
      </c>
      <c r="Q1317">
        <f>IF([2]Entry!$D$1320="","",[2]Entry!$D$1320)</f>
        <v/>
      </c>
      <c r="R1317">
        <f>IF([2]Entry!$E$1320="","",[2]Entry!$E$1320)</f>
        <v/>
      </c>
      <c r="S1317">
        <f>IF([2]Entry!$G$1320="","",[2]Entry!$G$1320)</f>
        <v/>
      </c>
      <c r="T1317">
        <f>IF([2]Entry!$J$1320="","",[2]Entry!$J$1320)</f>
        <v/>
      </c>
      <c r="U1317">
        <f>IF([2]Entry!$K$1320="","",[2]Entry!$K$1320)</f>
        <v/>
      </c>
      <c r="V1317">
        <f>IF([2]Entry!$L$1320="","",[2]Entry!$L$1320)</f>
        <v/>
      </c>
      <c r="W1317">
        <f>IF([2]Entry!$M$1320="","",[2]Entry!$M$1320)</f>
        <v/>
      </c>
      <c r="X1317">
        <f>IF([2]Entry!$N$1320="","",[2]Entry!$N$1320)</f>
        <v/>
      </c>
      <c r="Y1317">
        <f>IF([2]Entry!$R$1320="","",[2]Entry!$R$1320)</f>
        <v/>
      </c>
    </row>
    <row r="1318">
      <c r="P1318">
        <f>IF([2]Entry!$C$1321="","",[2]Entry!$C$1321)</f>
        <v/>
      </c>
      <c r="Q1318">
        <f>IF([2]Entry!$D$1321="","",[2]Entry!$D$1321)</f>
        <v/>
      </c>
      <c r="R1318">
        <f>IF([2]Entry!$E$1321="","",[2]Entry!$E$1321)</f>
        <v/>
      </c>
      <c r="S1318">
        <f>IF([2]Entry!$G$1321="","",[2]Entry!$G$1321)</f>
        <v/>
      </c>
      <c r="T1318">
        <f>IF([2]Entry!$J$1321="","",[2]Entry!$J$1321)</f>
        <v/>
      </c>
      <c r="U1318">
        <f>IF([2]Entry!$K$1321="","",[2]Entry!$K$1321)</f>
        <v/>
      </c>
      <c r="V1318">
        <f>IF([2]Entry!$L$1321="","",[2]Entry!$L$1321)</f>
        <v/>
      </c>
      <c r="W1318">
        <f>IF([2]Entry!$M$1321="","",[2]Entry!$M$1321)</f>
        <v/>
      </c>
      <c r="X1318">
        <f>IF([2]Entry!$N$1321="","",[2]Entry!$N$1321)</f>
        <v/>
      </c>
      <c r="Y1318">
        <f>IF([2]Entry!$R$1321="","",[2]Entry!$R$1321)</f>
        <v/>
      </c>
    </row>
    <row r="1319">
      <c r="P1319">
        <f>IF([2]Entry!$C$1322="","",[2]Entry!$C$1322)</f>
        <v/>
      </c>
      <c r="Q1319">
        <f>IF([2]Entry!$D$1322="","",[2]Entry!$D$1322)</f>
        <v/>
      </c>
      <c r="R1319">
        <f>IF([2]Entry!$E$1322="","",[2]Entry!$E$1322)</f>
        <v/>
      </c>
      <c r="S1319">
        <f>IF([2]Entry!$G$1322="","",[2]Entry!$G$1322)</f>
        <v/>
      </c>
      <c r="T1319">
        <f>IF([2]Entry!$J$1322="","",[2]Entry!$J$1322)</f>
        <v/>
      </c>
      <c r="U1319">
        <f>IF([2]Entry!$K$1322="","",[2]Entry!$K$1322)</f>
        <v/>
      </c>
      <c r="V1319">
        <f>IF([2]Entry!$L$1322="","",[2]Entry!$L$1322)</f>
        <v/>
      </c>
      <c r="W1319">
        <f>IF([2]Entry!$M$1322="","",[2]Entry!$M$1322)</f>
        <v/>
      </c>
      <c r="X1319">
        <f>IF([2]Entry!$N$1322="","",[2]Entry!$N$1322)</f>
        <v/>
      </c>
      <c r="Y1319">
        <f>IF([2]Entry!$R$1322="","",[2]Entry!$R$1322)</f>
        <v/>
      </c>
    </row>
    <row r="1320">
      <c r="P1320">
        <f>IF([2]Entry!$C$1323="","",[2]Entry!$C$1323)</f>
        <v/>
      </c>
      <c r="Q1320">
        <f>IF([2]Entry!$D$1323="","",[2]Entry!$D$1323)</f>
        <v/>
      </c>
      <c r="R1320">
        <f>IF([2]Entry!$E$1323="","",[2]Entry!$E$1323)</f>
        <v/>
      </c>
      <c r="S1320">
        <f>IF([2]Entry!$G$1323="","",[2]Entry!$G$1323)</f>
        <v/>
      </c>
      <c r="T1320">
        <f>IF([2]Entry!$J$1323="","",[2]Entry!$J$1323)</f>
        <v/>
      </c>
      <c r="U1320">
        <f>IF([2]Entry!$K$1323="","",[2]Entry!$K$1323)</f>
        <v/>
      </c>
      <c r="V1320">
        <f>IF([2]Entry!$L$1323="","",[2]Entry!$L$1323)</f>
        <v/>
      </c>
      <c r="W1320">
        <f>IF([2]Entry!$M$1323="","",[2]Entry!$M$1323)</f>
        <v/>
      </c>
      <c r="X1320">
        <f>IF([2]Entry!$N$1323="","",[2]Entry!$N$1323)</f>
        <v/>
      </c>
      <c r="Y1320">
        <f>IF([2]Entry!$R$1323="","",[2]Entry!$R$1323)</f>
        <v/>
      </c>
    </row>
    <row r="1321">
      <c r="P1321">
        <f>IF([2]Entry!$C$1324="","",[2]Entry!$C$1324)</f>
        <v/>
      </c>
      <c r="Q1321">
        <f>IF([2]Entry!$D$1324="","",[2]Entry!$D$1324)</f>
        <v/>
      </c>
      <c r="R1321">
        <f>IF([2]Entry!$E$1324="","",[2]Entry!$E$1324)</f>
        <v/>
      </c>
      <c r="S1321">
        <f>IF([2]Entry!$G$1324="","",[2]Entry!$G$1324)</f>
        <v/>
      </c>
      <c r="T1321">
        <f>IF([2]Entry!$J$1324="","",[2]Entry!$J$1324)</f>
        <v/>
      </c>
      <c r="U1321">
        <f>IF([2]Entry!$K$1324="","",[2]Entry!$K$1324)</f>
        <v/>
      </c>
      <c r="V1321">
        <f>IF([2]Entry!$L$1324="","",[2]Entry!$L$1324)</f>
        <v/>
      </c>
      <c r="W1321">
        <f>IF([2]Entry!$M$1324="","",[2]Entry!$M$1324)</f>
        <v/>
      </c>
      <c r="X1321">
        <f>IF([2]Entry!$N$1324="","",[2]Entry!$N$1324)</f>
        <v/>
      </c>
      <c r="Y1321">
        <f>IF([2]Entry!$R$1324="","",[2]Entry!$R$1324)</f>
        <v/>
      </c>
    </row>
    <row r="1322">
      <c r="P1322">
        <f>IF([2]Entry!$C$1325="","",[2]Entry!$C$1325)</f>
        <v/>
      </c>
      <c r="Q1322">
        <f>IF([2]Entry!$D$1325="","",[2]Entry!$D$1325)</f>
        <v/>
      </c>
      <c r="R1322">
        <f>IF([2]Entry!$E$1325="","",[2]Entry!$E$1325)</f>
        <v/>
      </c>
      <c r="S1322">
        <f>IF([2]Entry!$G$1325="","",[2]Entry!$G$1325)</f>
        <v/>
      </c>
      <c r="T1322">
        <f>IF([2]Entry!$J$1325="","",[2]Entry!$J$1325)</f>
        <v/>
      </c>
      <c r="U1322">
        <f>IF([2]Entry!$K$1325="","",[2]Entry!$K$1325)</f>
        <v/>
      </c>
      <c r="V1322">
        <f>IF([2]Entry!$L$1325="","",[2]Entry!$L$1325)</f>
        <v/>
      </c>
      <c r="W1322">
        <f>IF([2]Entry!$M$1325="","",[2]Entry!$M$1325)</f>
        <v/>
      </c>
      <c r="X1322">
        <f>IF([2]Entry!$N$1325="","",[2]Entry!$N$1325)</f>
        <v/>
      </c>
      <c r="Y1322">
        <f>IF([2]Entry!$R$1325="","",[2]Entry!$R$1325)</f>
        <v/>
      </c>
    </row>
    <row r="1323">
      <c r="P1323">
        <f>IF([2]Entry!$C$1326="","",[2]Entry!$C$1326)</f>
        <v/>
      </c>
      <c r="Q1323">
        <f>IF([2]Entry!$D$1326="","",[2]Entry!$D$1326)</f>
        <v/>
      </c>
      <c r="R1323">
        <f>IF([2]Entry!$E$1326="","",[2]Entry!$E$1326)</f>
        <v/>
      </c>
      <c r="S1323">
        <f>IF([2]Entry!$G$1326="","",[2]Entry!$G$1326)</f>
        <v/>
      </c>
      <c r="T1323">
        <f>IF([2]Entry!$J$1326="","",[2]Entry!$J$1326)</f>
        <v/>
      </c>
      <c r="U1323">
        <f>IF([2]Entry!$K$1326="","",[2]Entry!$K$1326)</f>
        <v/>
      </c>
      <c r="V1323">
        <f>IF([2]Entry!$L$1326="","",[2]Entry!$L$1326)</f>
        <v/>
      </c>
      <c r="W1323">
        <f>IF([2]Entry!$M$1326="","",[2]Entry!$M$1326)</f>
        <v/>
      </c>
      <c r="X1323">
        <f>IF([2]Entry!$N$1326="","",[2]Entry!$N$1326)</f>
        <v/>
      </c>
      <c r="Y1323">
        <f>IF([2]Entry!$R$1326="","",[2]Entry!$R$1326)</f>
        <v/>
      </c>
    </row>
    <row r="1324">
      <c r="P1324">
        <f>IF([2]Entry!$C$1327="","",[2]Entry!$C$1327)</f>
        <v/>
      </c>
      <c r="Q1324">
        <f>IF([2]Entry!$D$1327="","",[2]Entry!$D$1327)</f>
        <v/>
      </c>
      <c r="R1324">
        <f>IF([2]Entry!$E$1327="","",[2]Entry!$E$1327)</f>
        <v/>
      </c>
      <c r="S1324">
        <f>IF([2]Entry!$G$1327="","",[2]Entry!$G$1327)</f>
        <v/>
      </c>
      <c r="T1324">
        <f>IF([2]Entry!$J$1327="","",[2]Entry!$J$1327)</f>
        <v/>
      </c>
      <c r="U1324">
        <f>IF([2]Entry!$K$1327="","",[2]Entry!$K$1327)</f>
        <v/>
      </c>
      <c r="V1324">
        <f>IF([2]Entry!$L$1327="","",[2]Entry!$L$1327)</f>
        <v/>
      </c>
      <c r="W1324">
        <f>IF([2]Entry!$M$1327="","",[2]Entry!$M$1327)</f>
        <v/>
      </c>
      <c r="X1324">
        <f>IF([2]Entry!$N$1327="","",[2]Entry!$N$1327)</f>
        <v/>
      </c>
      <c r="Y1324">
        <f>IF([2]Entry!$R$1327="","",[2]Entry!$R$1327)</f>
        <v/>
      </c>
    </row>
    <row r="1325">
      <c r="P1325">
        <f>IF([2]Entry!$C$1328="","",[2]Entry!$C$1328)</f>
        <v/>
      </c>
      <c r="Q1325">
        <f>IF([2]Entry!$D$1328="","",[2]Entry!$D$1328)</f>
        <v/>
      </c>
      <c r="R1325">
        <f>IF([2]Entry!$E$1328="","",[2]Entry!$E$1328)</f>
        <v/>
      </c>
      <c r="S1325">
        <f>IF([2]Entry!$G$1328="","",[2]Entry!$G$1328)</f>
        <v/>
      </c>
      <c r="T1325">
        <f>IF([2]Entry!$J$1328="","",[2]Entry!$J$1328)</f>
        <v/>
      </c>
      <c r="U1325">
        <f>IF([2]Entry!$K$1328="","",[2]Entry!$K$1328)</f>
        <v/>
      </c>
      <c r="V1325">
        <f>IF([2]Entry!$L$1328="","",[2]Entry!$L$1328)</f>
        <v/>
      </c>
      <c r="W1325">
        <f>IF([2]Entry!$M$1328="","",[2]Entry!$M$1328)</f>
        <v/>
      </c>
      <c r="X1325">
        <f>IF([2]Entry!$N$1328="","",[2]Entry!$N$1328)</f>
        <v/>
      </c>
      <c r="Y1325">
        <f>IF([2]Entry!$R$1328="","",[2]Entry!$R$1328)</f>
        <v/>
      </c>
    </row>
    <row r="1326">
      <c r="P1326">
        <f>IF([2]Entry!$C$1329="","",[2]Entry!$C$1329)</f>
        <v/>
      </c>
      <c r="Q1326">
        <f>IF([2]Entry!$D$1329="","",[2]Entry!$D$1329)</f>
        <v/>
      </c>
      <c r="R1326">
        <f>IF([2]Entry!$E$1329="","",[2]Entry!$E$1329)</f>
        <v/>
      </c>
      <c r="S1326">
        <f>IF([2]Entry!$G$1329="","",[2]Entry!$G$1329)</f>
        <v/>
      </c>
      <c r="T1326">
        <f>IF([2]Entry!$J$1329="","",[2]Entry!$J$1329)</f>
        <v/>
      </c>
      <c r="U1326">
        <f>IF([2]Entry!$K$1329="","",[2]Entry!$K$1329)</f>
        <v/>
      </c>
      <c r="V1326">
        <f>IF([2]Entry!$L$1329="","",[2]Entry!$L$1329)</f>
        <v/>
      </c>
      <c r="W1326">
        <f>IF([2]Entry!$M$1329="","",[2]Entry!$M$1329)</f>
        <v/>
      </c>
      <c r="X1326">
        <f>IF([2]Entry!$N$1329="","",[2]Entry!$N$1329)</f>
        <v/>
      </c>
      <c r="Y1326">
        <f>IF([2]Entry!$R$1329="","",[2]Entry!$R$1329)</f>
        <v/>
      </c>
    </row>
    <row r="1327">
      <c r="P1327">
        <f>IF([2]Entry!$C$1330="","",[2]Entry!$C$1330)</f>
        <v/>
      </c>
      <c r="Q1327">
        <f>IF([2]Entry!$D$1330="","",[2]Entry!$D$1330)</f>
        <v/>
      </c>
      <c r="R1327">
        <f>IF([2]Entry!$E$1330="","",[2]Entry!$E$1330)</f>
        <v/>
      </c>
      <c r="S1327">
        <f>IF([2]Entry!$G$1330="","",[2]Entry!$G$1330)</f>
        <v/>
      </c>
      <c r="T1327">
        <f>IF([2]Entry!$J$1330="","",[2]Entry!$J$1330)</f>
        <v/>
      </c>
      <c r="U1327">
        <f>IF([2]Entry!$K$1330="","",[2]Entry!$K$1330)</f>
        <v/>
      </c>
      <c r="V1327">
        <f>IF([2]Entry!$L$1330="","",[2]Entry!$L$1330)</f>
        <v/>
      </c>
      <c r="W1327">
        <f>IF([2]Entry!$M$1330="","",[2]Entry!$M$1330)</f>
        <v/>
      </c>
      <c r="X1327">
        <f>IF([2]Entry!$N$1330="","",[2]Entry!$N$1330)</f>
        <v/>
      </c>
      <c r="Y1327">
        <f>IF([2]Entry!$R$1330="","",[2]Entry!$R$1330)</f>
        <v/>
      </c>
    </row>
    <row r="1328">
      <c r="P1328">
        <f>IF([2]Entry!$C$1331="","",[2]Entry!$C$1331)</f>
        <v/>
      </c>
      <c r="Q1328">
        <f>IF([2]Entry!$D$1331="","",[2]Entry!$D$1331)</f>
        <v/>
      </c>
      <c r="R1328">
        <f>IF([2]Entry!$E$1331="","",[2]Entry!$E$1331)</f>
        <v/>
      </c>
      <c r="S1328">
        <f>IF([2]Entry!$G$1331="","",[2]Entry!$G$1331)</f>
        <v/>
      </c>
      <c r="T1328">
        <f>IF([2]Entry!$J$1331="","",[2]Entry!$J$1331)</f>
        <v/>
      </c>
      <c r="U1328">
        <f>IF([2]Entry!$K$1331="","",[2]Entry!$K$1331)</f>
        <v/>
      </c>
      <c r="V1328">
        <f>IF([2]Entry!$L$1331="","",[2]Entry!$L$1331)</f>
        <v/>
      </c>
      <c r="W1328">
        <f>IF([2]Entry!$M$1331="","",[2]Entry!$M$1331)</f>
        <v/>
      </c>
      <c r="X1328">
        <f>IF([2]Entry!$N$1331="","",[2]Entry!$N$1331)</f>
        <v/>
      </c>
      <c r="Y1328">
        <f>IF([2]Entry!$R$1331="","",[2]Entry!$R$1331)</f>
        <v/>
      </c>
    </row>
    <row r="1329">
      <c r="P1329">
        <f>IF([2]Entry!$C$1332="","",[2]Entry!$C$1332)</f>
        <v/>
      </c>
      <c r="Q1329">
        <f>IF([2]Entry!$D$1332="","",[2]Entry!$D$1332)</f>
        <v/>
      </c>
      <c r="R1329">
        <f>IF([2]Entry!$E$1332="","",[2]Entry!$E$1332)</f>
        <v/>
      </c>
      <c r="S1329">
        <f>IF([2]Entry!$G$1332="","",[2]Entry!$G$1332)</f>
        <v/>
      </c>
      <c r="T1329">
        <f>IF([2]Entry!$J$1332="","",[2]Entry!$J$1332)</f>
        <v/>
      </c>
      <c r="U1329">
        <f>IF([2]Entry!$K$1332="","",[2]Entry!$K$1332)</f>
        <v/>
      </c>
      <c r="V1329">
        <f>IF([2]Entry!$L$1332="","",[2]Entry!$L$1332)</f>
        <v/>
      </c>
      <c r="W1329">
        <f>IF([2]Entry!$M$1332="","",[2]Entry!$M$1332)</f>
        <v/>
      </c>
      <c r="X1329">
        <f>IF([2]Entry!$N$1332="","",[2]Entry!$N$1332)</f>
        <v/>
      </c>
      <c r="Y1329">
        <f>IF([2]Entry!$R$1332="","",[2]Entry!$R$1332)</f>
        <v/>
      </c>
    </row>
    <row r="1330">
      <c r="P1330">
        <f>IF([2]Entry!$C$1333="","",[2]Entry!$C$1333)</f>
        <v/>
      </c>
      <c r="Q1330">
        <f>IF([2]Entry!$D$1333="","",[2]Entry!$D$1333)</f>
        <v/>
      </c>
      <c r="R1330">
        <f>IF([2]Entry!$E$1333="","",[2]Entry!$E$1333)</f>
        <v/>
      </c>
      <c r="S1330">
        <f>IF([2]Entry!$G$1333="","",[2]Entry!$G$1333)</f>
        <v/>
      </c>
      <c r="T1330">
        <f>IF([2]Entry!$J$1333="","",[2]Entry!$J$1333)</f>
        <v/>
      </c>
      <c r="U1330">
        <f>IF([2]Entry!$K$1333="","",[2]Entry!$K$1333)</f>
        <v/>
      </c>
      <c r="V1330">
        <f>IF([2]Entry!$L$1333="","",[2]Entry!$L$1333)</f>
        <v/>
      </c>
      <c r="W1330">
        <f>IF([2]Entry!$M$1333="","",[2]Entry!$M$1333)</f>
        <v/>
      </c>
      <c r="X1330">
        <f>IF([2]Entry!$N$1333="","",[2]Entry!$N$1333)</f>
        <v/>
      </c>
      <c r="Y1330">
        <f>IF([2]Entry!$R$1333="","",[2]Entry!$R$1333)</f>
        <v/>
      </c>
    </row>
    <row r="1331">
      <c r="P1331">
        <f>IF([2]Entry!$C$1334="","",[2]Entry!$C$1334)</f>
        <v/>
      </c>
      <c r="Q1331">
        <f>IF([2]Entry!$D$1334="","",[2]Entry!$D$1334)</f>
        <v/>
      </c>
      <c r="R1331">
        <f>IF([2]Entry!$E$1334="","",[2]Entry!$E$1334)</f>
        <v/>
      </c>
      <c r="S1331">
        <f>IF([2]Entry!$G$1334="","",[2]Entry!$G$1334)</f>
        <v/>
      </c>
      <c r="T1331">
        <f>IF([2]Entry!$J$1334="","",[2]Entry!$J$1334)</f>
        <v/>
      </c>
      <c r="U1331">
        <f>IF([2]Entry!$K$1334="","",[2]Entry!$K$1334)</f>
        <v/>
      </c>
      <c r="V1331">
        <f>IF([2]Entry!$L$1334="","",[2]Entry!$L$1334)</f>
        <v/>
      </c>
      <c r="W1331">
        <f>IF([2]Entry!$M$1334="","",[2]Entry!$M$1334)</f>
        <v/>
      </c>
      <c r="X1331">
        <f>IF([2]Entry!$N$1334="","",[2]Entry!$N$1334)</f>
        <v/>
      </c>
      <c r="Y1331">
        <f>IF([2]Entry!$R$1334="","",[2]Entry!$R$1334)</f>
        <v/>
      </c>
    </row>
    <row r="1332">
      <c r="P1332">
        <f>IF([2]Entry!$C$1335="","",[2]Entry!$C$1335)</f>
        <v/>
      </c>
      <c r="Q1332">
        <f>IF([2]Entry!$D$1335="","",[2]Entry!$D$1335)</f>
        <v/>
      </c>
      <c r="R1332">
        <f>IF([2]Entry!$E$1335="","",[2]Entry!$E$1335)</f>
        <v/>
      </c>
      <c r="S1332">
        <f>IF([2]Entry!$G$1335="","",[2]Entry!$G$1335)</f>
        <v/>
      </c>
      <c r="T1332">
        <f>IF([2]Entry!$J$1335="","",[2]Entry!$J$1335)</f>
        <v/>
      </c>
      <c r="U1332">
        <f>IF([2]Entry!$K$1335="","",[2]Entry!$K$1335)</f>
        <v/>
      </c>
      <c r="V1332">
        <f>IF([2]Entry!$L$1335="","",[2]Entry!$L$1335)</f>
        <v/>
      </c>
      <c r="W1332">
        <f>IF([2]Entry!$M$1335="","",[2]Entry!$M$1335)</f>
        <v/>
      </c>
      <c r="X1332">
        <f>IF([2]Entry!$N$1335="","",[2]Entry!$N$1335)</f>
        <v/>
      </c>
      <c r="Y1332">
        <f>IF([2]Entry!$R$1335="","",[2]Entry!$R$1335)</f>
        <v/>
      </c>
    </row>
    <row r="1333">
      <c r="P1333">
        <f>IF([2]Entry!$C$1336="","",[2]Entry!$C$1336)</f>
        <v/>
      </c>
      <c r="Q1333">
        <f>IF([2]Entry!$D$1336="","",[2]Entry!$D$1336)</f>
        <v/>
      </c>
      <c r="R1333">
        <f>IF([2]Entry!$E$1336="","",[2]Entry!$E$1336)</f>
        <v/>
      </c>
      <c r="S1333">
        <f>IF([2]Entry!$G$1336="","",[2]Entry!$G$1336)</f>
        <v/>
      </c>
      <c r="T1333">
        <f>IF([2]Entry!$J$1336="","",[2]Entry!$J$1336)</f>
        <v/>
      </c>
      <c r="U1333">
        <f>IF([2]Entry!$K$1336="","",[2]Entry!$K$1336)</f>
        <v/>
      </c>
      <c r="V1333">
        <f>IF([2]Entry!$L$1336="","",[2]Entry!$L$1336)</f>
        <v/>
      </c>
      <c r="W1333">
        <f>IF([2]Entry!$M$1336="","",[2]Entry!$M$1336)</f>
        <v/>
      </c>
      <c r="X1333">
        <f>IF([2]Entry!$N$1336="","",[2]Entry!$N$1336)</f>
        <v/>
      </c>
      <c r="Y1333">
        <f>IF([2]Entry!$R$1336="","",[2]Entry!$R$1336)</f>
        <v/>
      </c>
    </row>
    <row r="1334">
      <c r="P1334">
        <f>IF([2]Entry!$C$1337="","",[2]Entry!$C$1337)</f>
        <v/>
      </c>
      <c r="Q1334">
        <f>IF([2]Entry!$D$1337="","",[2]Entry!$D$1337)</f>
        <v/>
      </c>
      <c r="R1334">
        <f>IF([2]Entry!$E$1337="","",[2]Entry!$E$1337)</f>
        <v/>
      </c>
      <c r="S1334">
        <f>IF([2]Entry!$G$1337="","",[2]Entry!$G$1337)</f>
        <v/>
      </c>
      <c r="T1334">
        <f>IF([2]Entry!$J$1337="","",[2]Entry!$J$1337)</f>
        <v/>
      </c>
      <c r="U1334">
        <f>IF([2]Entry!$K$1337="","",[2]Entry!$K$1337)</f>
        <v/>
      </c>
      <c r="V1334">
        <f>IF([2]Entry!$L$1337="","",[2]Entry!$L$1337)</f>
        <v/>
      </c>
      <c r="W1334">
        <f>IF([2]Entry!$M$1337="","",[2]Entry!$M$1337)</f>
        <v/>
      </c>
      <c r="X1334">
        <f>IF([2]Entry!$N$1337="","",[2]Entry!$N$1337)</f>
        <v/>
      </c>
      <c r="Y1334">
        <f>IF([2]Entry!$R$1337="","",[2]Entry!$R$1337)</f>
        <v/>
      </c>
    </row>
    <row r="1335">
      <c r="P1335">
        <f>IF([2]Entry!$C$1338="","",[2]Entry!$C$1338)</f>
        <v/>
      </c>
      <c r="Q1335">
        <f>IF([2]Entry!$D$1338="","",[2]Entry!$D$1338)</f>
        <v/>
      </c>
      <c r="R1335">
        <f>IF([2]Entry!$E$1338="","",[2]Entry!$E$1338)</f>
        <v/>
      </c>
      <c r="S1335">
        <f>IF([2]Entry!$G$1338="","",[2]Entry!$G$1338)</f>
        <v/>
      </c>
      <c r="T1335">
        <f>IF([2]Entry!$J$1338="","",[2]Entry!$J$1338)</f>
        <v/>
      </c>
      <c r="U1335">
        <f>IF([2]Entry!$K$1338="","",[2]Entry!$K$1338)</f>
        <v/>
      </c>
      <c r="V1335">
        <f>IF([2]Entry!$L$1338="","",[2]Entry!$L$1338)</f>
        <v/>
      </c>
      <c r="W1335">
        <f>IF([2]Entry!$M$1338="","",[2]Entry!$M$1338)</f>
        <v/>
      </c>
      <c r="X1335">
        <f>IF([2]Entry!$N$1338="","",[2]Entry!$N$1338)</f>
        <v/>
      </c>
      <c r="Y1335">
        <f>IF([2]Entry!$R$1338="","",[2]Entry!$R$1338)</f>
        <v/>
      </c>
    </row>
    <row r="1336">
      <c r="P1336">
        <f>IF([2]Entry!$C$1339="","",[2]Entry!$C$1339)</f>
        <v/>
      </c>
      <c r="Q1336">
        <f>IF([2]Entry!$D$1339="","",[2]Entry!$D$1339)</f>
        <v/>
      </c>
      <c r="R1336">
        <f>IF([2]Entry!$E$1339="","",[2]Entry!$E$1339)</f>
        <v/>
      </c>
      <c r="S1336">
        <f>IF([2]Entry!$G$1339="","",[2]Entry!$G$1339)</f>
        <v/>
      </c>
      <c r="T1336">
        <f>IF([2]Entry!$J$1339="","",[2]Entry!$J$1339)</f>
        <v/>
      </c>
      <c r="U1336">
        <f>IF([2]Entry!$K$1339="","",[2]Entry!$K$1339)</f>
        <v/>
      </c>
      <c r="V1336">
        <f>IF([2]Entry!$L$1339="","",[2]Entry!$L$1339)</f>
        <v/>
      </c>
      <c r="W1336">
        <f>IF([2]Entry!$M$1339="","",[2]Entry!$M$1339)</f>
        <v/>
      </c>
      <c r="X1336">
        <f>IF([2]Entry!$N$1339="","",[2]Entry!$N$1339)</f>
        <v/>
      </c>
      <c r="Y1336">
        <f>IF([2]Entry!$R$1339="","",[2]Entry!$R$1339)</f>
        <v/>
      </c>
    </row>
    <row r="1337">
      <c r="P1337">
        <f>IF([2]Entry!$C$1340="","",[2]Entry!$C$1340)</f>
        <v/>
      </c>
      <c r="Q1337">
        <f>IF([2]Entry!$D$1340="","",[2]Entry!$D$1340)</f>
        <v/>
      </c>
      <c r="R1337">
        <f>IF([2]Entry!$E$1340="","",[2]Entry!$E$1340)</f>
        <v/>
      </c>
      <c r="S1337">
        <f>IF([2]Entry!$G$1340="","",[2]Entry!$G$1340)</f>
        <v/>
      </c>
      <c r="T1337">
        <f>IF([2]Entry!$J$1340="","",[2]Entry!$J$1340)</f>
        <v/>
      </c>
      <c r="U1337">
        <f>IF([2]Entry!$K$1340="","",[2]Entry!$K$1340)</f>
        <v/>
      </c>
      <c r="V1337">
        <f>IF([2]Entry!$L$1340="","",[2]Entry!$L$1340)</f>
        <v/>
      </c>
      <c r="W1337">
        <f>IF([2]Entry!$M$1340="","",[2]Entry!$M$1340)</f>
        <v/>
      </c>
      <c r="X1337">
        <f>IF([2]Entry!$N$1340="","",[2]Entry!$N$1340)</f>
        <v/>
      </c>
      <c r="Y1337">
        <f>IF([2]Entry!$R$1340="","",[2]Entry!$R$1340)</f>
        <v/>
      </c>
    </row>
    <row r="1338">
      <c r="P1338">
        <f>IF([2]Entry!$C$1341="","",[2]Entry!$C$1341)</f>
        <v/>
      </c>
      <c r="Q1338">
        <f>IF([2]Entry!$D$1341="","",[2]Entry!$D$1341)</f>
        <v/>
      </c>
      <c r="R1338">
        <f>IF([2]Entry!$E$1341="","",[2]Entry!$E$1341)</f>
        <v/>
      </c>
      <c r="S1338">
        <f>IF([2]Entry!$G$1341="","",[2]Entry!$G$1341)</f>
        <v/>
      </c>
      <c r="T1338">
        <f>IF([2]Entry!$J$1341="","",[2]Entry!$J$1341)</f>
        <v/>
      </c>
      <c r="U1338">
        <f>IF([2]Entry!$K$1341="","",[2]Entry!$K$1341)</f>
        <v/>
      </c>
      <c r="V1338">
        <f>IF([2]Entry!$L$1341="","",[2]Entry!$L$1341)</f>
        <v/>
      </c>
      <c r="W1338">
        <f>IF([2]Entry!$M$1341="","",[2]Entry!$M$1341)</f>
        <v/>
      </c>
      <c r="X1338">
        <f>IF([2]Entry!$N$1341="","",[2]Entry!$N$1341)</f>
        <v/>
      </c>
      <c r="Y1338">
        <f>IF([2]Entry!$R$1341="","",[2]Entry!$R$1341)</f>
        <v/>
      </c>
    </row>
    <row r="1339">
      <c r="P1339">
        <f>IF([2]Entry!$C$1342="","",[2]Entry!$C$1342)</f>
        <v/>
      </c>
      <c r="Q1339">
        <f>IF([2]Entry!$D$1342="","",[2]Entry!$D$1342)</f>
        <v/>
      </c>
      <c r="R1339">
        <f>IF([2]Entry!$E$1342="","",[2]Entry!$E$1342)</f>
        <v/>
      </c>
      <c r="S1339">
        <f>IF([2]Entry!$G$1342="","",[2]Entry!$G$1342)</f>
        <v/>
      </c>
      <c r="T1339">
        <f>IF([2]Entry!$J$1342="","",[2]Entry!$J$1342)</f>
        <v/>
      </c>
      <c r="U1339">
        <f>IF([2]Entry!$K$1342="","",[2]Entry!$K$1342)</f>
        <v/>
      </c>
      <c r="V1339">
        <f>IF([2]Entry!$L$1342="","",[2]Entry!$L$1342)</f>
        <v/>
      </c>
      <c r="W1339">
        <f>IF([2]Entry!$M$1342="","",[2]Entry!$M$1342)</f>
        <v/>
      </c>
      <c r="X1339">
        <f>IF([2]Entry!$N$1342="","",[2]Entry!$N$1342)</f>
        <v/>
      </c>
      <c r="Y1339">
        <f>IF([2]Entry!$R$1342="","",[2]Entry!$R$1342)</f>
        <v/>
      </c>
    </row>
    <row r="1340">
      <c r="P1340">
        <f>IF([2]Entry!$C$1343="","",[2]Entry!$C$1343)</f>
        <v/>
      </c>
      <c r="Q1340">
        <f>IF([2]Entry!$D$1343="","",[2]Entry!$D$1343)</f>
        <v/>
      </c>
      <c r="R1340">
        <f>IF([2]Entry!$E$1343="","",[2]Entry!$E$1343)</f>
        <v/>
      </c>
      <c r="S1340">
        <f>IF([2]Entry!$G$1343="","",[2]Entry!$G$1343)</f>
        <v/>
      </c>
      <c r="T1340">
        <f>IF([2]Entry!$J$1343="","",[2]Entry!$J$1343)</f>
        <v/>
      </c>
      <c r="U1340">
        <f>IF([2]Entry!$K$1343="","",[2]Entry!$K$1343)</f>
        <v/>
      </c>
      <c r="V1340">
        <f>IF([2]Entry!$L$1343="","",[2]Entry!$L$1343)</f>
        <v/>
      </c>
      <c r="W1340">
        <f>IF([2]Entry!$M$1343="","",[2]Entry!$M$1343)</f>
        <v/>
      </c>
      <c r="X1340">
        <f>IF([2]Entry!$N$1343="","",[2]Entry!$N$1343)</f>
        <v/>
      </c>
      <c r="Y1340">
        <f>IF([2]Entry!$R$1343="","",[2]Entry!$R$1343)</f>
        <v/>
      </c>
    </row>
    <row r="1341">
      <c r="P1341">
        <f>IF([2]Entry!$C$1344="","",[2]Entry!$C$1344)</f>
        <v/>
      </c>
      <c r="Q1341">
        <f>IF([2]Entry!$D$1344="","",[2]Entry!$D$1344)</f>
        <v/>
      </c>
      <c r="R1341">
        <f>IF([2]Entry!$E$1344="","",[2]Entry!$E$1344)</f>
        <v/>
      </c>
      <c r="S1341">
        <f>IF([2]Entry!$G$1344="","",[2]Entry!$G$1344)</f>
        <v/>
      </c>
      <c r="T1341">
        <f>IF([2]Entry!$J$1344="","",[2]Entry!$J$1344)</f>
        <v/>
      </c>
      <c r="U1341">
        <f>IF([2]Entry!$K$1344="","",[2]Entry!$K$1344)</f>
        <v/>
      </c>
      <c r="V1341">
        <f>IF([2]Entry!$L$1344="","",[2]Entry!$L$1344)</f>
        <v/>
      </c>
      <c r="W1341">
        <f>IF([2]Entry!$M$1344="","",[2]Entry!$M$1344)</f>
        <v/>
      </c>
      <c r="X1341">
        <f>IF([2]Entry!$N$1344="","",[2]Entry!$N$1344)</f>
        <v/>
      </c>
      <c r="Y1341">
        <f>IF([2]Entry!$R$1344="","",[2]Entry!$R$1344)</f>
        <v/>
      </c>
    </row>
    <row r="1342">
      <c r="P1342">
        <f>IF([2]Entry!$C$1345="","",[2]Entry!$C$1345)</f>
        <v/>
      </c>
      <c r="Q1342">
        <f>IF([2]Entry!$D$1345="","",[2]Entry!$D$1345)</f>
        <v/>
      </c>
      <c r="R1342">
        <f>IF([2]Entry!$E$1345="","",[2]Entry!$E$1345)</f>
        <v/>
      </c>
      <c r="S1342">
        <f>IF([2]Entry!$G$1345="","",[2]Entry!$G$1345)</f>
        <v/>
      </c>
      <c r="T1342">
        <f>IF([2]Entry!$J$1345="","",[2]Entry!$J$1345)</f>
        <v/>
      </c>
      <c r="U1342">
        <f>IF([2]Entry!$K$1345="","",[2]Entry!$K$1345)</f>
        <v/>
      </c>
      <c r="V1342">
        <f>IF([2]Entry!$L$1345="","",[2]Entry!$L$1345)</f>
        <v/>
      </c>
      <c r="W1342">
        <f>IF([2]Entry!$M$1345="","",[2]Entry!$M$1345)</f>
        <v/>
      </c>
      <c r="X1342">
        <f>IF([2]Entry!$N$1345="","",[2]Entry!$N$1345)</f>
        <v/>
      </c>
      <c r="Y1342">
        <f>IF([2]Entry!$R$1345="","",[2]Entry!$R$1345)</f>
        <v/>
      </c>
    </row>
    <row r="1343">
      <c r="P1343">
        <f>IF([2]Entry!$C$1346="","",[2]Entry!$C$1346)</f>
        <v/>
      </c>
      <c r="Q1343">
        <f>IF([2]Entry!$D$1346="","",[2]Entry!$D$1346)</f>
        <v/>
      </c>
      <c r="R1343">
        <f>IF([2]Entry!$E$1346="","",[2]Entry!$E$1346)</f>
        <v/>
      </c>
      <c r="S1343">
        <f>IF([2]Entry!$G$1346="","",[2]Entry!$G$1346)</f>
        <v/>
      </c>
      <c r="T1343">
        <f>IF([2]Entry!$J$1346="","",[2]Entry!$J$1346)</f>
        <v/>
      </c>
      <c r="U1343">
        <f>IF([2]Entry!$K$1346="","",[2]Entry!$K$1346)</f>
        <v/>
      </c>
      <c r="V1343">
        <f>IF([2]Entry!$L$1346="","",[2]Entry!$L$1346)</f>
        <v/>
      </c>
      <c r="W1343">
        <f>IF([2]Entry!$M$1346="","",[2]Entry!$M$1346)</f>
        <v/>
      </c>
      <c r="X1343">
        <f>IF([2]Entry!$N$1346="","",[2]Entry!$N$1346)</f>
        <v/>
      </c>
      <c r="Y1343">
        <f>IF([2]Entry!$R$1346="","",[2]Entry!$R$1346)</f>
        <v/>
      </c>
    </row>
    <row r="1344">
      <c r="P1344">
        <f>IF([2]Entry!$C$1347="","",[2]Entry!$C$1347)</f>
        <v/>
      </c>
      <c r="Q1344">
        <f>IF([2]Entry!$D$1347="","",[2]Entry!$D$1347)</f>
        <v/>
      </c>
      <c r="R1344">
        <f>IF([2]Entry!$E$1347="","",[2]Entry!$E$1347)</f>
        <v/>
      </c>
      <c r="S1344">
        <f>IF([2]Entry!$G$1347="","",[2]Entry!$G$1347)</f>
        <v/>
      </c>
      <c r="T1344">
        <f>IF([2]Entry!$J$1347="","",[2]Entry!$J$1347)</f>
        <v/>
      </c>
      <c r="U1344">
        <f>IF([2]Entry!$K$1347="","",[2]Entry!$K$1347)</f>
        <v/>
      </c>
      <c r="V1344">
        <f>IF([2]Entry!$L$1347="","",[2]Entry!$L$1347)</f>
        <v/>
      </c>
      <c r="W1344">
        <f>IF([2]Entry!$M$1347="","",[2]Entry!$M$1347)</f>
        <v/>
      </c>
      <c r="X1344">
        <f>IF([2]Entry!$N$1347="","",[2]Entry!$N$1347)</f>
        <v/>
      </c>
      <c r="Y1344">
        <f>IF([2]Entry!$R$1347="","",[2]Entry!$R$1347)</f>
        <v/>
      </c>
    </row>
    <row r="1345">
      <c r="P1345">
        <f>IF([2]Entry!$C$1348="","",[2]Entry!$C$1348)</f>
        <v/>
      </c>
      <c r="Q1345">
        <f>IF([2]Entry!$D$1348="","",[2]Entry!$D$1348)</f>
        <v/>
      </c>
      <c r="R1345">
        <f>IF([2]Entry!$E$1348="","",[2]Entry!$E$1348)</f>
        <v/>
      </c>
      <c r="S1345">
        <f>IF([2]Entry!$G$1348="","",[2]Entry!$G$1348)</f>
        <v/>
      </c>
      <c r="T1345">
        <f>IF([2]Entry!$J$1348="","",[2]Entry!$J$1348)</f>
        <v/>
      </c>
      <c r="U1345">
        <f>IF([2]Entry!$K$1348="","",[2]Entry!$K$1348)</f>
        <v/>
      </c>
      <c r="V1345">
        <f>IF([2]Entry!$L$1348="","",[2]Entry!$L$1348)</f>
        <v/>
      </c>
      <c r="W1345">
        <f>IF([2]Entry!$M$1348="","",[2]Entry!$M$1348)</f>
        <v/>
      </c>
      <c r="X1345">
        <f>IF([2]Entry!$N$1348="","",[2]Entry!$N$1348)</f>
        <v/>
      </c>
      <c r="Y1345">
        <f>IF([2]Entry!$R$1348="","",[2]Entry!$R$1348)</f>
        <v/>
      </c>
    </row>
    <row r="1346">
      <c r="P1346">
        <f>IF([2]Entry!$C$1349="","",[2]Entry!$C$1349)</f>
        <v/>
      </c>
      <c r="Q1346">
        <f>IF([2]Entry!$D$1349="","",[2]Entry!$D$1349)</f>
        <v/>
      </c>
      <c r="R1346">
        <f>IF([2]Entry!$E$1349="","",[2]Entry!$E$1349)</f>
        <v/>
      </c>
      <c r="S1346">
        <f>IF([2]Entry!$G$1349="","",[2]Entry!$G$1349)</f>
        <v/>
      </c>
      <c r="T1346">
        <f>IF([2]Entry!$J$1349="","",[2]Entry!$J$1349)</f>
        <v/>
      </c>
      <c r="U1346">
        <f>IF([2]Entry!$K$1349="","",[2]Entry!$K$1349)</f>
        <v/>
      </c>
      <c r="V1346">
        <f>IF([2]Entry!$L$1349="","",[2]Entry!$L$1349)</f>
        <v/>
      </c>
      <c r="W1346">
        <f>IF([2]Entry!$M$1349="","",[2]Entry!$M$1349)</f>
        <v/>
      </c>
      <c r="X1346">
        <f>IF([2]Entry!$N$1349="","",[2]Entry!$N$1349)</f>
        <v/>
      </c>
      <c r="Y1346">
        <f>IF([2]Entry!$R$1349="","",[2]Entry!$R$1349)</f>
        <v/>
      </c>
    </row>
    <row r="1347">
      <c r="P1347">
        <f>IF([2]Entry!$C$1350="","",[2]Entry!$C$1350)</f>
        <v/>
      </c>
      <c r="Q1347">
        <f>IF([2]Entry!$D$1350="","",[2]Entry!$D$1350)</f>
        <v/>
      </c>
      <c r="R1347">
        <f>IF([2]Entry!$E$1350="","",[2]Entry!$E$1350)</f>
        <v/>
      </c>
      <c r="S1347">
        <f>IF([2]Entry!$G$1350="","",[2]Entry!$G$1350)</f>
        <v/>
      </c>
      <c r="T1347">
        <f>IF([2]Entry!$J$1350="","",[2]Entry!$J$1350)</f>
        <v/>
      </c>
      <c r="U1347">
        <f>IF([2]Entry!$K$1350="","",[2]Entry!$K$1350)</f>
        <v/>
      </c>
      <c r="V1347">
        <f>IF([2]Entry!$L$1350="","",[2]Entry!$L$1350)</f>
        <v/>
      </c>
      <c r="W1347">
        <f>IF([2]Entry!$M$1350="","",[2]Entry!$M$1350)</f>
        <v/>
      </c>
      <c r="X1347">
        <f>IF([2]Entry!$N$1350="","",[2]Entry!$N$1350)</f>
        <v/>
      </c>
      <c r="Y1347">
        <f>IF([2]Entry!$R$1350="","",[2]Entry!$R$1350)</f>
        <v/>
      </c>
    </row>
    <row r="1348">
      <c r="P1348">
        <f>IF([2]Entry!$C$1351="","",[2]Entry!$C$1351)</f>
        <v/>
      </c>
      <c r="Q1348">
        <f>IF([2]Entry!$D$1351="","",[2]Entry!$D$1351)</f>
        <v/>
      </c>
      <c r="R1348">
        <f>IF([2]Entry!$E$1351="","",[2]Entry!$E$1351)</f>
        <v/>
      </c>
      <c r="S1348">
        <f>IF([2]Entry!$G$1351="","",[2]Entry!$G$1351)</f>
        <v/>
      </c>
      <c r="T1348">
        <f>IF([2]Entry!$J$1351="","",[2]Entry!$J$1351)</f>
        <v/>
      </c>
      <c r="U1348">
        <f>IF([2]Entry!$K$1351="","",[2]Entry!$K$1351)</f>
        <v/>
      </c>
      <c r="V1348">
        <f>IF([2]Entry!$L$1351="","",[2]Entry!$L$1351)</f>
        <v/>
      </c>
      <c r="W1348">
        <f>IF([2]Entry!$M$1351="","",[2]Entry!$M$1351)</f>
        <v/>
      </c>
      <c r="X1348">
        <f>IF([2]Entry!$N$1351="","",[2]Entry!$N$1351)</f>
        <v/>
      </c>
      <c r="Y1348">
        <f>IF([2]Entry!$R$1351="","",[2]Entry!$R$1351)</f>
        <v/>
      </c>
    </row>
    <row r="1349">
      <c r="P1349">
        <f>IF([2]Entry!$C$1352="","",[2]Entry!$C$1352)</f>
        <v/>
      </c>
      <c r="Q1349">
        <f>IF([2]Entry!$D$1352="","",[2]Entry!$D$1352)</f>
        <v/>
      </c>
      <c r="R1349">
        <f>IF([2]Entry!$E$1352="","",[2]Entry!$E$1352)</f>
        <v/>
      </c>
      <c r="S1349">
        <f>IF([2]Entry!$G$1352="","",[2]Entry!$G$1352)</f>
        <v/>
      </c>
      <c r="T1349">
        <f>IF([2]Entry!$J$1352="","",[2]Entry!$J$1352)</f>
        <v/>
      </c>
      <c r="U1349">
        <f>IF([2]Entry!$K$1352="","",[2]Entry!$K$1352)</f>
        <v/>
      </c>
      <c r="V1349">
        <f>IF([2]Entry!$L$1352="","",[2]Entry!$L$1352)</f>
        <v/>
      </c>
      <c r="W1349">
        <f>IF([2]Entry!$M$1352="","",[2]Entry!$M$1352)</f>
        <v/>
      </c>
      <c r="X1349">
        <f>IF([2]Entry!$N$1352="","",[2]Entry!$N$1352)</f>
        <v/>
      </c>
      <c r="Y1349">
        <f>IF([2]Entry!$R$1352="","",[2]Entry!$R$1352)</f>
        <v/>
      </c>
    </row>
    <row r="1350">
      <c r="P1350">
        <f>IF([2]Entry!$C$1353="","",[2]Entry!$C$1353)</f>
        <v/>
      </c>
      <c r="Q1350">
        <f>IF([2]Entry!$D$1353="","",[2]Entry!$D$1353)</f>
        <v/>
      </c>
      <c r="R1350">
        <f>IF([2]Entry!$E$1353="","",[2]Entry!$E$1353)</f>
        <v/>
      </c>
      <c r="S1350">
        <f>IF([2]Entry!$G$1353="","",[2]Entry!$G$1353)</f>
        <v/>
      </c>
      <c r="T1350">
        <f>IF([2]Entry!$J$1353="","",[2]Entry!$J$1353)</f>
        <v/>
      </c>
      <c r="U1350">
        <f>IF([2]Entry!$K$1353="","",[2]Entry!$K$1353)</f>
        <v/>
      </c>
      <c r="V1350">
        <f>IF([2]Entry!$L$1353="","",[2]Entry!$L$1353)</f>
        <v/>
      </c>
      <c r="W1350">
        <f>IF([2]Entry!$M$1353="","",[2]Entry!$M$1353)</f>
        <v/>
      </c>
      <c r="X1350">
        <f>IF([2]Entry!$N$1353="","",[2]Entry!$N$1353)</f>
        <v/>
      </c>
      <c r="Y1350">
        <f>IF([2]Entry!$R$1353="","",[2]Entry!$R$1353)</f>
        <v/>
      </c>
    </row>
    <row r="1351">
      <c r="P1351">
        <f>IF([2]Entry!$C$1354="","",[2]Entry!$C$1354)</f>
        <v/>
      </c>
      <c r="Q1351">
        <f>IF([2]Entry!$D$1354="","",[2]Entry!$D$1354)</f>
        <v/>
      </c>
      <c r="R1351">
        <f>IF([2]Entry!$E$1354="","",[2]Entry!$E$1354)</f>
        <v/>
      </c>
      <c r="S1351">
        <f>IF([2]Entry!$G$1354="","",[2]Entry!$G$1354)</f>
        <v/>
      </c>
      <c r="T1351">
        <f>IF([2]Entry!$J$1354="","",[2]Entry!$J$1354)</f>
        <v/>
      </c>
      <c r="U1351">
        <f>IF([2]Entry!$K$1354="","",[2]Entry!$K$1354)</f>
        <v/>
      </c>
      <c r="V1351">
        <f>IF([2]Entry!$L$1354="","",[2]Entry!$L$1354)</f>
        <v/>
      </c>
      <c r="W1351">
        <f>IF([2]Entry!$M$1354="","",[2]Entry!$M$1354)</f>
        <v/>
      </c>
      <c r="X1351">
        <f>IF([2]Entry!$N$1354="","",[2]Entry!$N$1354)</f>
        <v/>
      </c>
      <c r="Y1351">
        <f>IF([2]Entry!$R$1354="","",[2]Entry!$R$1354)</f>
        <v/>
      </c>
    </row>
    <row r="1352">
      <c r="P1352">
        <f>IF([2]Entry!$C$1355="","",[2]Entry!$C$1355)</f>
        <v/>
      </c>
      <c r="Q1352">
        <f>IF([2]Entry!$D$1355="","",[2]Entry!$D$1355)</f>
        <v/>
      </c>
      <c r="R1352">
        <f>IF([2]Entry!$E$1355="","",[2]Entry!$E$1355)</f>
        <v/>
      </c>
      <c r="S1352">
        <f>IF([2]Entry!$G$1355="","",[2]Entry!$G$1355)</f>
        <v/>
      </c>
      <c r="T1352">
        <f>IF([2]Entry!$J$1355="","",[2]Entry!$J$1355)</f>
        <v/>
      </c>
      <c r="U1352">
        <f>IF([2]Entry!$K$1355="","",[2]Entry!$K$1355)</f>
        <v/>
      </c>
      <c r="V1352">
        <f>IF([2]Entry!$L$1355="","",[2]Entry!$L$1355)</f>
        <v/>
      </c>
      <c r="W1352">
        <f>IF([2]Entry!$M$1355="","",[2]Entry!$M$1355)</f>
        <v/>
      </c>
      <c r="X1352">
        <f>IF([2]Entry!$N$1355="","",[2]Entry!$N$1355)</f>
        <v/>
      </c>
      <c r="Y1352">
        <f>IF([2]Entry!$R$1355="","",[2]Entry!$R$1355)</f>
        <v/>
      </c>
    </row>
    <row r="1353">
      <c r="P1353">
        <f>IF([2]Entry!$C$1356="","",[2]Entry!$C$1356)</f>
        <v/>
      </c>
      <c r="Q1353">
        <f>IF([2]Entry!$D$1356="","",[2]Entry!$D$1356)</f>
        <v/>
      </c>
      <c r="R1353">
        <f>IF([2]Entry!$E$1356="","",[2]Entry!$E$1356)</f>
        <v/>
      </c>
      <c r="S1353">
        <f>IF([2]Entry!$G$1356="","",[2]Entry!$G$1356)</f>
        <v/>
      </c>
      <c r="T1353">
        <f>IF([2]Entry!$J$1356="","",[2]Entry!$J$1356)</f>
        <v/>
      </c>
      <c r="U1353">
        <f>IF([2]Entry!$K$1356="","",[2]Entry!$K$1356)</f>
        <v/>
      </c>
      <c r="V1353">
        <f>IF([2]Entry!$L$1356="","",[2]Entry!$L$1356)</f>
        <v/>
      </c>
      <c r="W1353">
        <f>IF([2]Entry!$M$1356="","",[2]Entry!$M$1356)</f>
        <v/>
      </c>
      <c r="X1353">
        <f>IF([2]Entry!$N$1356="","",[2]Entry!$N$1356)</f>
        <v/>
      </c>
      <c r="Y1353">
        <f>IF([2]Entry!$R$1356="","",[2]Entry!$R$1356)</f>
        <v/>
      </c>
    </row>
    <row r="1354">
      <c r="P1354">
        <f>IF([2]Entry!$C$1357="","",[2]Entry!$C$1357)</f>
        <v/>
      </c>
      <c r="Q1354">
        <f>IF([2]Entry!$D$1357="","",[2]Entry!$D$1357)</f>
        <v/>
      </c>
      <c r="R1354">
        <f>IF([2]Entry!$E$1357="","",[2]Entry!$E$1357)</f>
        <v/>
      </c>
      <c r="S1354">
        <f>IF([2]Entry!$G$1357="","",[2]Entry!$G$1357)</f>
        <v/>
      </c>
      <c r="T1354">
        <f>IF([2]Entry!$J$1357="","",[2]Entry!$J$1357)</f>
        <v/>
      </c>
      <c r="U1354">
        <f>IF([2]Entry!$K$1357="","",[2]Entry!$K$1357)</f>
        <v/>
      </c>
      <c r="V1354">
        <f>IF([2]Entry!$L$1357="","",[2]Entry!$L$1357)</f>
        <v/>
      </c>
      <c r="W1354">
        <f>IF([2]Entry!$M$1357="","",[2]Entry!$M$1357)</f>
        <v/>
      </c>
      <c r="X1354">
        <f>IF([2]Entry!$N$1357="","",[2]Entry!$N$1357)</f>
        <v/>
      </c>
      <c r="Y1354">
        <f>IF([2]Entry!$R$1357="","",[2]Entry!$R$1357)</f>
        <v/>
      </c>
    </row>
    <row r="1355">
      <c r="P1355">
        <f>IF([2]Entry!$C$1358="","",[2]Entry!$C$1358)</f>
        <v/>
      </c>
      <c r="Q1355">
        <f>IF([2]Entry!$D$1358="","",[2]Entry!$D$1358)</f>
        <v/>
      </c>
      <c r="R1355">
        <f>IF([2]Entry!$E$1358="","",[2]Entry!$E$1358)</f>
        <v/>
      </c>
      <c r="S1355">
        <f>IF([2]Entry!$G$1358="","",[2]Entry!$G$1358)</f>
        <v/>
      </c>
      <c r="T1355">
        <f>IF([2]Entry!$J$1358="","",[2]Entry!$J$1358)</f>
        <v/>
      </c>
      <c r="U1355">
        <f>IF([2]Entry!$K$1358="","",[2]Entry!$K$1358)</f>
        <v/>
      </c>
      <c r="V1355">
        <f>IF([2]Entry!$L$1358="","",[2]Entry!$L$1358)</f>
        <v/>
      </c>
      <c r="W1355">
        <f>IF([2]Entry!$M$1358="","",[2]Entry!$M$1358)</f>
        <v/>
      </c>
      <c r="X1355">
        <f>IF([2]Entry!$N$1358="","",[2]Entry!$N$1358)</f>
        <v/>
      </c>
      <c r="Y1355">
        <f>IF([2]Entry!$R$1358="","",[2]Entry!$R$1358)</f>
        <v/>
      </c>
    </row>
    <row r="1356">
      <c r="P1356">
        <f>IF([2]Entry!$C$1359="","",[2]Entry!$C$1359)</f>
        <v/>
      </c>
      <c r="Q1356">
        <f>IF([2]Entry!$D$1359="","",[2]Entry!$D$1359)</f>
        <v/>
      </c>
      <c r="R1356">
        <f>IF([2]Entry!$E$1359="","",[2]Entry!$E$1359)</f>
        <v/>
      </c>
      <c r="S1356">
        <f>IF([2]Entry!$G$1359="","",[2]Entry!$G$1359)</f>
        <v/>
      </c>
      <c r="T1356">
        <f>IF([2]Entry!$J$1359="","",[2]Entry!$J$1359)</f>
        <v/>
      </c>
      <c r="U1356">
        <f>IF([2]Entry!$K$1359="","",[2]Entry!$K$1359)</f>
        <v/>
      </c>
      <c r="V1356">
        <f>IF([2]Entry!$L$1359="","",[2]Entry!$L$1359)</f>
        <v/>
      </c>
      <c r="W1356">
        <f>IF([2]Entry!$M$1359="","",[2]Entry!$M$1359)</f>
        <v/>
      </c>
      <c r="X1356">
        <f>IF([2]Entry!$N$1359="","",[2]Entry!$N$1359)</f>
        <v/>
      </c>
      <c r="Y1356">
        <f>IF([2]Entry!$R$1359="","",[2]Entry!$R$1359)</f>
        <v/>
      </c>
    </row>
    <row r="1357">
      <c r="P1357">
        <f>IF([2]Entry!$C$1360="","",[2]Entry!$C$1360)</f>
        <v/>
      </c>
      <c r="Q1357">
        <f>IF([2]Entry!$D$1360="","",[2]Entry!$D$1360)</f>
        <v/>
      </c>
      <c r="R1357">
        <f>IF([2]Entry!$E$1360="","",[2]Entry!$E$1360)</f>
        <v/>
      </c>
      <c r="S1357">
        <f>IF([2]Entry!$G$1360="","",[2]Entry!$G$1360)</f>
        <v/>
      </c>
      <c r="T1357">
        <f>IF([2]Entry!$J$1360="","",[2]Entry!$J$1360)</f>
        <v/>
      </c>
      <c r="U1357">
        <f>IF([2]Entry!$K$1360="","",[2]Entry!$K$1360)</f>
        <v/>
      </c>
      <c r="V1357">
        <f>IF([2]Entry!$L$1360="","",[2]Entry!$L$1360)</f>
        <v/>
      </c>
      <c r="W1357">
        <f>IF([2]Entry!$M$1360="","",[2]Entry!$M$1360)</f>
        <v/>
      </c>
      <c r="X1357">
        <f>IF([2]Entry!$N$1360="","",[2]Entry!$N$1360)</f>
        <v/>
      </c>
      <c r="Y1357">
        <f>IF([2]Entry!$R$1360="","",[2]Entry!$R$1360)</f>
        <v/>
      </c>
    </row>
    <row r="1358">
      <c r="P1358">
        <f>IF([2]Entry!$C$1361="","",[2]Entry!$C$1361)</f>
        <v/>
      </c>
      <c r="Q1358">
        <f>IF([2]Entry!$D$1361="","",[2]Entry!$D$1361)</f>
        <v/>
      </c>
      <c r="R1358">
        <f>IF([2]Entry!$E$1361="","",[2]Entry!$E$1361)</f>
        <v/>
      </c>
      <c r="S1358">
        <f>IF([2]Entry!$G$1361="","",[2]Entry!$G$1361)</f>
        <v/>
      </c>
      <c r="T1358">
        <f>IF([2]Entry!$J$1361="","",[2]Entry!$J$1361)</f>
        <v/>
      </c>
      <c r="U1358">
        <f>IF([2]Entry!$K$1361="","",[2]Entry!$K$1361)</f>
        <v/>
      </c>
      <c r="V1358">
        <f>IF([2]Entry!$L$1361="","",[2]Entry!$L$1361)</f>
        <v/>
      </c>
      <c r="W1358">
        <f>IF([2]Entry!$M$1361="","",[2]Entry!$M$1361)</f>
        <v/>
      </c>
      <c r="X1358">
        <f>IF([2]Entry!$N$1361="","",[2]Entry!$N$1361)</f>
        <v/>
      </c>
      <c r="Y1358">
        <f>IF([2]Entry!$R$1361="","",[2]Entry!$R$1361)</f>
        <v/>
      </c>
    </row>
    <row r="1359">
      <c r="P1359">
        <f>IF([2]Entry!$C$1362="","",[2]Entry!$C$1362)</f>
        <v/>
      </c>
      <c r="Q1359">
        <f>IF([2]Entry!$D$1362="","",[2]Entry!$D$1362)</f>
        <v/>
      </c>
      <c r="R1359">
        <f>IF([2]Entry!$E$1362="","",[2]Entry!$E$1362)</f>
        <v/>
      </c>
      <c r="S1359">
        <f>IF([2]Entry!$G$1362="","",[2]Entry!$G$1362)</f>
        <v/>
      </c>
      <c r="T1359">
        <f>IF([2]Entry!$J$1362="","",[2]Entry!$J$1362)</f>
        <v/>
      </c>
      <c r="U1359">
        <f>IF([2]Entry!$K$1362="","",[2]Entry!$K$1362)</f>
        <v/>
      </c>
      <c r="V1359">
        <f>IF([2]Entry!$L$1362="","",[2]Entry!$L$1362)</f>
        <v/>
      </c>
      <c r="W1359">
        <f>IF([2]Entry!$M$1362="","",[2]Entry!$M$1362)</f>
        <v/>
      </c>
      <c r="X1359">
        <f>IF([2]Entry!$N$1362="","",[2]Entry!$N$1362)</f>
        <v/>
      </c>
      <c r="Y1359">
        <f>IF([2]Entry!$R$1362="","",[2]Entry!$R$1362)</f>
        <v/>
      </c>
    </row>
    <row r="1360">
      <c r="P1360">
        <f>IF([2]Entry!$C$1363="","",[2]Entry!$C$1363)</f>
        <v/>
      </c>
      <c r="Q1360">
        <f>IF([2]Entry!$D$1363="","",[2]Entry!$D$1363)</f>
        <v/>
      </c>
      <c r="R1360">
        <f>IF([2]Entry!$E$1363="","",[2]Entry!$E$1363)</f>
        <v/>
      </c>
      <c r="S1360">
        <f>IF([2]Entry!$G$1363="","",[2]Entry!$G$1363)</f>
        <v/>
      </c>
      <c r="T1360">
        <f>IF([2]Entry!$J$1363="","",[2]Entry!$J$1363)</f>
        <v/>
      </c>
      <c r="U1360">
        <f>IF([2]Entry!$K$1363="","",[2]Entry!$K$1363)</f>
        <v/>
      </c>
      <c r="V1360">
        <f>IF([2]Entry!$L$1363="","",[2]Entry!$L$1363)</f>
        <v/>
      </c>
      <c r="W1360">
        <f>IF([2]Entry!$M$1363="","",[2]Entry!$M$1363)</f>
        <v/>
      </c>
      <c r="X1360">
        <f>IF([2]Entry!$N$1363="","",[2]Entry!$N$1363)</f>
        <v/>
      </c>
      <c r="Y1360">
        <f>IF([2]Entry!$R$1363="","",[2]Entry!$R$1363)</f>
        <v/>
      </c>
    </row>
    <row r="1361">
      <c r="P1361">
        <f>IF([2]Entry!$C$1364="","",[2]Entry!$C$1364)</f>
        <v/>
      </c>
      <c r="Q1361">
        <f>IF([2]Entry!$D$1364="","",[2]Entry!$D$1364)</f>
        <v/>
      </c>
      <c r="R1361">
        <f>IF([2]Entry!$E$1364="","",[2]Entry!$E$1364)</f>
        <v/>
      </c>
      <c r="S1361">
        <f>IF([2]Entry!$G$1364="","",[2]Entry!$G$1364)</f>
        <v/>
      </c>
      <c r="T1361">
        <f>IF([2]Entry!$J$1364="","",[2]Entry!$J$1364)</f>
        <v/>
      </c>
      <c r="U1361">
        <f>IF([2]Entry!$K$1364="","",[2]Entry!$K$1364)</f>
        <v/>
      </c>
      <c r="V1361">
        <f>IF([2]Entry!$L$1364="","",[2]Entry!$L$1364)</f>
        <v/>
      </c>
      <c r="W1361">
        <f>IF([2]Entry!$M$1364="","",[2]Entry!$M$1364)</f>
        <v/>
      </c>
      <c r="X1361">
        <f>IF([2]Entry!$N$1364="","",[2]Entry!$N$1364)</f>
        <v/>
      </c>
      <c r="Y1361">
        <f>IF([2]Entry!$R$1364="","",[2]Entry!$R$1364)</f>
        <v/>
      </c>
    </row>
    <row r="1362">
      <c r="P1362">
        <f>IF([2]Entry!$C$1365="","",[2]Entry!$C$1365)</f>
        <v/>
      </c>
      <c r="Q1362">
        <f>IF([2]Entry!$D$1365="","",[2]Entry!$D$1365)</f>
        <v/>
      </c>
      <c r="R1362">
        <f>IF([2]Entry!$E$1365="","",[2]Entry!$E$1365)</f>
        <v/>
      </c>
      <c r="S1362">
        <f>IF([2]Entry!$G$1365="","",[2]Entry!$G$1365)</f>
        <v/>
      </c>
      <c r="T1362">
        <f>IF([2]Entry!$J$1365="","",[2]Entry!$J$1365)</f>
        <v/>
      </c>
      <c r="U1362">
        <f>IF([2]Entry!$K$1365="","",[2]Entry!$K$1365)</f>
        <v/>
      </c>
      <c r="V1362">
        <f>IF([2]Entry!$L$1365="","",[2]Entry!$L$1365)</f>
        <v/>
      </c>
      <c r="W1362">
        <f>IF([2]Entry!$M$1365="","",[2]Entry!$M$1365)</f>
        <v/>
      </c>
      <c r="X1362">
        <f>IF([2]Entry!$N$1365="","",[2]Entry!$N$1365)</f>
        <v/>
      </c>
      <c r="Y1362">
        <f>IF([2]Entry!$R$1365="","",[2]Entry!$R$1365)</f>
        <v/>
      </c>
    </row>
    <row r="1363">
      <c r="P1363">
        <f>IF([2]Entry!$C$1366="","",[2]Entry!$C$1366)</f>
        <v/>
      </c>
      <c r="Q1363">
        <f>IF([2]Entry!$D$1366="","",[2]Entry!$D$1366)</f>
        <v/>
      </c>
      <c r="R1363">
        <f>IF([2]Entry!$E$1366="","",[2]Entry!$E$1366)</f>
        <v/>
      </c>
      <c r="S1363">
        <f>IF([2]Entry!$G$1366="","",[2]Entry!$G$1366)</f>
        <v/>
      </c>
      <c r="T1363">
        <f>IF([2]Entry!$J$1366="","",[2]Entry!$J$1366)</f>
        <v/>
      </c>
      <c r="U1363">
        <f>IF([2]Entry!$K$1366="","",[2]Entry!$K$1366)</f>
        <v/>
      </c>
      <c r="V1363">
        <f>IF([2]Entry!$L$1366="","",[2]Entry!$L$1366)</f>
        <v/>
      </c>
      <c r="W1363">
        <f>IF([2]Entry!$M$1366="","",[2]Entry!$M$1366)</f>
        <v/>
      </c>
      <c r="X1363">
        <f>IF([2]Entry!$N$1366="","",[2]Entry!$N$1366)</f>
        <v/>
      </c>
      <c r="Y1363">
        <f>IF([2]Entry!$R$1366="","",[2]Entry!$R$1366)</f>
        <v/>
      </c>
    </row>
    <row r="1364">
      <c r="P1364">
        <f>IF([2]Entry!$C$1367="","",[2]Entry!$C$1367)</f>
        <v/>
      </c>
      <c r="Q1364">
        <f>IF([2]Entry!$D$1367="","",[2]Entry!$D$1367)</f>
        <v/>
      </c>
      <c r="R1364">
        <f>IF([2]Entry!$E$1367="","",[2]Entry!$E$1367)</f>
        <v/>
      </c>
      <c r="S1364">
        <f>IF([2]Entry!$G$1367="","",[2]Entry!$G$1367)</f>
        <v/>
      </c>
      <c r="T1364">
        <f>IF([2]Entry!$J$1367="","",[2]Entry!$J$1367)</f>
        <v/>
      </c>
      <c r="U1364">
        <f>IF([2]Entry!$K$1367="","",[2]Entry!$K$1367)</f>
        <v/>
      </c>
      <c r="V1364">
        <f>IF([2]Entry!$L$1367="","",[2]Entry!$L$1367)</f>
        <v/>
      </c>
      <c r="W1364">
        <f>IF([2]Entry!$M$1367="","",[2]Entry!$M$1367)</f>
        <v/>
      </c>
      <c r="X1364">
        <f>IF([2]Entry!$N$1367="","",[2]Entry!$N$1367)</f>
        <v/>
      </c>
      <c r="Y1364">
        <f>IF([2]Entry!$R$1367="","",[2]Entry!$R$1367)</f>
        <v/>
      </c>
    </row>
    <row r="1365">
      <c r="P1365">
        <f>IF([2]Entry!$C$1368="","",[2]Entry!$C$1368)</f>
        <v/>
      </c>
      <c r="Q1365">
        <f>IF([2]Entry!$D$1368="","",[2]Entry!$D$1368)</f>
        <v/>
      </c>
      <c r="R1365">
        <f>IF([2]Entry!$E$1368="","",[2]Entry!$E$1368)</f>
        <v/>
      </c>
      <c r="S1365">
        <f>IF([2]Entry!$G$1368="","",[2]Entry!$G$1368)</f>
        <v/>
      </c>
      <c r="T1365">
        <f>IF([2]Entry!$J$1368="","",[2]Entry!$J$1368)</f>
        <v/>
      </c>
      <c r="U1365">
        <f>IF([2]Entry!$K$1368="","",[2]Entry!$K$1368)</f>
        <v/>
      </c>
      <c r="V1365">
        <f>IF([2]Entry!$L$1368="","",[2]Entry!$L$1368)</f>
        <v/>
      </c>
      <c r="W1365">
        <f>IF([2]Entry!$M$1368="","",[2]Entry!$M$1368)</f>
        <v/>
      </c>
      <c r="X1365">
        <f>IF([2]Entry!$N$1368="","",[2]Entry!$N$1368)</f>
        <v/>
      </c>
      <c r="Y1365">
        <f>IF([2]Entry!$R$1368="","",[2]Entry!$R$1368)</f>
        <v/>
      </c>
    </row>
    <row r="1366">
      <c r="P1366">
        <f>IF([2]Entry!$C$1369="","",[2]Entry!$C$1369)</f>
        <v/>
      </c>
      <c r="Q1366">
        <f>IF([2]Entry!$D$1369="","",[2]Entry!$D$1369)</f>
        <v/>
      </c>
      <c r="R1366">
        <f>IF([2]Entry!$E$1369="","",[2]Entry!$E$1369)</f>
        <v/>
      </c>
      <c r="S1366">
        <f>IF([2]Entry!$G$1369="","",[2]Entry!$G$1369)</f>
        <v/>
      </c>
      <c r="T1366">
        <f>IF([2]Entry!$J$1369="","",[2]Entry!$J$1369)</f>
        <v/>
      </c>
      <c r="U1366">
        <f>IF([2]Entry!$K$1369="","",[2]Entry!$K$1369)</f>
        <v/>
      </c>
      <c r="V1366">
        <f>IF([2]Entry!$L$1369="","",[2]Entry!$L$1369)</f>
        <v/>
      </c>
      <c r="W1366">
        <f>IF([2]Entry!$M$1369="","",[2]Entry!$M$1369)</f>
        <v/>
      </c>
      <c r="X1366">
        <f>IF([2]Entry!$N$1369="","",[2]Entry!$N$1369)</f>
        <v/>
      </c>
      <c r="Y1366">
        <f>IF([2]Entry!$R$1369="","",[2]Entry!$R$1369)</f>
        <v/>
      </c>
    </row>
    <row r="1367">
      <c r="P1367">
        <f>IF([2]Entry!$C$1370="","",[2]Entry!$C$1370)</f>
        <v/>
      </c>
      <c r="Q1367">
        <f>IF([2]Entry!$D$1370="","",[2]Entry!$D$1370)</f>
        <v/>
      </c>
      <c r="R1367">
        <f>IF([2]Entry!$E$1370="","",[2]Entry!$E$1370)</f>
        <v/>
      </c>
      <c r="S1367">
        <f>IF([2]Entry!$G$1370="","",[2]Entry!$G$1370)</f>
        <v/>
      </c>
      <c r="T1367">
        <f>IF([2]Entry!$J$1370="","",[2]Entry!$J$1370)</f>
        <v/>
      </c>
      <c r="U1367">
        <f>IF([2]Entry!$K$1370="","",[2]Entry!$K$1370)</f>
        <v/>
      </c>
      <c r="V1367">
        <f>IF([2]Entry!$L$1370="","",[2]Entry!$L$1370)</f>
        <v/>
      </c>
      <c r="W1367">
        <f>IF([2]Entry!$M$1370="","",[2]Entry!$M$1370)</f>
        <v/>
      </c>
      <c r="X1367">
        <f>IF([2]Entry!$N$1370="","",[2]Entry!$N$1370)</f>
        <v/>
      </c>
      <c r="Y1367">
        <f>IF([2]Entry!$R$1370="","",[2]Entry!$R$1370)</f>
        <v/>
      </c>
    </row>
    <row r="1368">
      <c r="P1368">
        <f>IF([2]Entry!$C$1371="","",[2]Entry!$C$1371)</f>
        <v/>
      </c>
      <c r="Q1368">
        <f>IF([2]Entry!$D$1371="","",[2]Entry!$D$1371)</f>
        <v/>
      </c>
      <c r="R1368">
        <f>IF([2]Entry!$E$1371="","",[2]Entry!$E$1371)</f>
        <v/>
      </c>
      <c r="S1368">
        <f>IF([2]Entry!$G$1371="","",[2]Entry!$G$1371)</f>
        <v/>
      </c>
      <c r="T1368">
        <f>IF([2]Entry!$J$1371="","",[2]Entry!$J$1371)</f>
        <v/>
      </c>
      <c r="U1368">
        <f>IF([2]Entry!$K$1371="","",[2]Entry!$K$1371)</f>
        <v/>
      </c>
      <c r="V1368">
        <f>IF([2]Entry!$L$1371="","",[2]Entry!$L$1371)</f>
        <v/>
      </c>
      <c r="W1368">
        <f>IF([2]Entry!$M$1371="","",[2]Entry!$M$1371)</f>
        <v/>
      </c>
      <c r="X1368">
        <f>IF([2]Entry!$N$1371="","",[2]Entry!$N$1371)</f>
        <v/>
      </c>
      <c r="Y1368">
        <f>IF([2]Entry!$R$1371="","",[2]Entry!$R$1371)</f>
        <v/>
      </c>
    </row>
    <row r="1369">
      <c r="P1369">
        <f>IF([2]Entry!$C$1372="","",[2]Entry!$C$1372)</f>
        <v/>
      </c>
      <c r="Q1369">
        <f>IF([2]Entry!$D$1372="","",[2]Entry!$D$1372)</f>
        <v/>
      </c>
      <c r="R1369">
        <f>IF([2]Entry!$E$1372="","",[2]Entry!$E$1372)</f>
        <v/>
      </c>
      <c r="S1369">
        <f>IF([2]Entry!$G$1372="","",[2]Entry!$G$1372)</f>
        <v/>
      </c>
      <c r="T1369">
        <f>IF([2]Entry!$J$1372="","",[2]Entry!$J$1372)</f>
        <v/>
      </c>
      <c r="U1369">
        <f>IF([2]Entry!$K$1372="","",[2]Entry!$K$1372)</f>
        <v/>
      </c>
      <c r="V1369">
        <f>IF([2]Entry!$L$1372="","",[2]Entry!$L$1372)</f>
        <v/>
      </c>
      <c r="W1369">
        <f>IF([2]Entry!$M$1372="","",[2]Entry!$M$1372)</f>
        <v/>
      </c>
      <c r="X1369">
        <f>IF([2]Entry!$N$1372="","",[2]Entry!$N$1372)</f>
        <v/>
      </c>
      <c r="Y1369">
        <f>IF([2]Entry!$R$1372="","",[2]Entry!$R$1372)</f>
        <v/>
      </c>
    </row>
    <row r="1370">
      <c r="P1370">
        <f>IF([2]Entry!$C$1373="","",[2]Entry!$C$1373)</f>
        <v/>
      </c>
      <c r="Q1370">
        <f>IF([2]Entry!$D$1373="","",[2]Entry!$D$1373)</f>
        <v/>
      </c>
      <c r="R1370">
        <f>IF([2]Entry!$E$1373="","",[2]Entry!$E$1373)</f>
        <v/>
      </c>
      <c r="S1370">
        <f>IF([2]Entry!$G$1373="","",[2]Entry!$G$1373)</f>
        <v/>
      </c>
      <c r="T1370">
        <f>IF([2]Entry!$J$1373="","",[2]Entry!$J$1373)</f>
        <v/>
      </c>
      <c r="U1370">
        <f>IF([2]Entry!$K$1373="","",[2]Entry!$K$1373)</f>
        <v/>
      </c>
      <c r="V1370">
        <f>IF([2]Entry!$L$1373="","",[2]Entry!$L$1373)</f>
        <v/>
      </c>
      <c r="W1370">
        <f>IF([2]Entry!$M$1373="","",[2]Entry!$M$1373)</f>
        <v/>
      </c>
      <c r="X1370">
        <f>IF([2]Entry!$N$1373="","",[2]Entry!$N$1373)</f>
        <v/>
      </c>
      <c r="Y1370">
        <f>IF([2]Entry!$R$1373="","",[2]Entry!$R$1373)</f>
        <v/>
      </c>
    </row>
    <row r="1371">
      <c r="P1371">
        <f>IF([2]Entry!$C$1374="","",[2]Entry!$C$1374)</f>
        <v/>
      </c>
      <c r="Q1371">
        <f>IF([2]Entry!$D$1374="","",[2]Entry!$D$1374)</f>
        <v/>
      </c>
      <c r="R1371">
        <f>IF([2]Entry!$E$1374="","",[2]Entry!$E$1374)</f>
        <v/>
      </c>
      <c r="S1371">
        <f>IF([2]Entry!$G$1374="","",[2]Entry!$G$1374)</f>
        <v/>
      </c>
      <c r="T1371">
        <f>IF([2]Entry!$J$1374="","",[2]Entry!$J$1374)</f>
        <v/>
      </c>
      <c r="U1371">
        <f>IF([2]Entry!$K$1374="","",[2]Entry!$K$1374)</f>
        <v/>
      </c>
      <c r="V1371">
        <f>IF([2]Entry!$L$1374="","",[2]Entry!$L$1374)</f>
        <v/>
      </c>
      <c r="W1371">
        <f>IF([2]Entry!$M$1374="","",[2]Entry!$M$1374)</f>
        <v/>
      </c>
      <c r="X1371">
        <f>IF([2]Entry!$N$1374="","",[2]Entry!$N$1374)</f>
        <v/>
      </c>
      <c r="Y1371">
        <f>IF([2]Entry!$R$1374="","",[2]Entry!$R$1374)</f>
        <v/>
      </c>
    </row>
    <row r="1372">
      <c r="P1372">
        <f>IF([2]Entry!$C$1375="","",[2]Entry!$C$1375)</f>
        <v/>
      </c>
      <c r="Q1372">
        <f>IF([2]Entry!$D$1375="","",[2]Entry!$D$1375)</f>
        <v/>
      </c>
      <c r="R1372">
        <f>IF([2]Entry!$E$1375="","",[2]Entry!$E$1375)</f>
        <v/>
      </c>
      <c r="S1372">
        <f>IF([2]Entry!$G$1375="","",[2]Entry!$G$1375)</f>
        <v/>
      </c>
      <c r="T1372">
        <f>IF([2]Entry!$J$1375="","",[2]Entry!$J$1375)</f>
        <v/>
      </c>
      <c r="U1372">
        <f>IF([2]Entry!$K$1375="","",[2]Entry!$K$1375)</f>
        <v/>
      </c>
      <c r="V1372">
        <f>IF([2]Entry!$L$1375="","",[2]Entry!$L$1375)</f>
        <v/>
      </c>
      <c r="W1372">
        <f>IF([2]Entry!$M$1375="","",[2]Entry!$M$1375)</f>
        <v/>
      </c>
      <c r="X1372">
        <f>IF([2]Entry!$N$1375="","",[2]Entry!$N$1375)</f>
        <v/>
      </c>
      <c r="Y1372">
        <f>IF([2]Entry!$R$1375="","",[2]Entry!$R$1375)</f>
        <v/>
      </c>
    </row>
    <row r="1373">
      <c r="P1373">
        <f>IF([2]Entry!$C$1376="","",[2]Entry!$C$1376)</f>
        <v/>
      </c>
      <c r="Q1373">
        <f>IF([2]Entry!$D$1376="","",[2]Entry!$D$1376)</f>
        <v/>
      </c>
      <c r="R1373">
        <f>IF([2]Entry!$E$1376="","",[2]Entry!$E$1376)</f>
        <v/>
      </c>
      <c r="S1373">
        <f>IF([2]Entry!$G$1376="","",[2]Entry!$G$1376)</f>
        <v/>
      </c>
      <c r="T1373">
        <f>IF([2]Entry!$J$1376="","",[2]Entry!$J$1376)</f>
        <v/>
      </c>
      <c r="U1373">
        <f>IF([2]Entry!$K$1376="","",[2]Entry!$K$1376)</f>
        <v/>
      </c>
      <c r="V1373">
        <f>IF([2]Entry!$L$1376="","",[2]Entry!$L$1376)</f>
        <v/>
      </c>
      <c r="W1373">
        <f>IF([2]Entry!$M$1376="","",[2]Entry!$M$1376)</f>
        <v/>
      </c>
      <c r="X1373">
        <f>IF([2]Entry!$N$1376="","",[2]Entry!$N$1376)</f>
        <v/>
      </c>
      <c r="Y1373">
        <f>IF([2]Entry!$R$1376="","",[2]Entry!$R$1376)</f>
        <v/>
      </c>
    </row>
    <row r="1374">
      <c r="P1374">
        <f>IF([2]Entry!$C$1377="","",[2]Entry!$C$1377)</f>
        <v/>
      </c>
      <c r="Q1374">
        <f>IF([2]Entry!$D$1377="","",[2]Entry!$D$1377)</f>
        <v/>
      </c>
      <c r="R1374">
        <f>IF([2]Entry!$E$1377="","",[2]Entry!$E$1377)</f>
        <v/>
      </c>
      <c r="S1374">
        <f>IF([2]Entry!$G$1377="","",[2]Entry!$G$1377)</f>
        <v/>
      </c>
      <c r="T1374">
        <f>IF([2]Entry!$J$1377="","",[2]Entry!$J$1377)</f>
        <v/>
      </c>
      <c r="U1374">
        <f>IF([2]Entry!$K$1377="","",[2]Entry!$K$1377)</f>
        <v/>
      </c>
      <c r="V1374">
        <f>IF([2]Entry!$L$1377="","",[2]Entry!$L$1377)</f>
        <v/>
      </c>
      <c r="W1374">
        <f>IF([2]Entry!$M$1377="","",[2]Entry!$M$1377)</f>
        <v/>
      </c>
      <c r="X1374">
        <f>IF([2]Entry!$N$1377="","",[2]Entry!$N$1377)</f>
        <v/>
      </c>
      <c r="Y1374">
        <f>IF([2]Entry!$R$1377="","",[2]Entry!$R$1377)</f>
        <v/>
      </c>
    </row>
    <row r="1375">
      <c r="P1375">
        <f>IF([2]Entry!$C$1378="","",[2]Entry!$C$1378)</f>
        <v/>
      </c>
      <c r="Q1375">
        <f>IF([2]Entry!$D$1378="","",[2]Entry!$D$1378)</f>
        <v/>
      </c>
      <c r="R1375">
        <f>IF([2]Entry!$E$1378="","",[2]Entry!$E$1378)</f>
        <v/>
      </c>
      <c r="S1375">
        <f>IF([2]Entry!$G$1378="","",[2]Entry!$G$1378)</f>
        <v/>
      </c>
      <c r="T1375">
        <f>IF([2]Entry!$J$1378="","",[2]Entry!$J$1378)</f>
        <v/>
      </c>
      <c r="U1375">
        <f>IF([2]Entry!$K$1378="","",[2]Entry!$K$1378)</f>
        <v/>
      </c>
      <c r="V1375">
        <f>IF([2]Entry!$L$1378="","",[2]Entry!$L$1378)</f>
        <v/>
      </c>
      <c r="W1375">
        <f>IF([2]Entry!$M$1378="","",[2]Entry!$M$1378)</f>
        <v/>
      </c>
      <c r="X1375">
        <f>IF([2]Entry!$N$1378="","",[2]Entry!$N$1378)</f>
        <v/>
      </c>
      <c r="Y1375">
        <f>IF([2]Entry!$R$1378="","",[2]Entry!$R$1378)</f>
        <v/>
      </c>
    </row>
    <row r="1376">
      <c r="P1376">
        <f>IF([2]Entry!$C$1379="","",[2]Entry!$C$1379)</f>
        <v/>
      </c>
      <c r="Q1376">
        <f>IF([2]Entry!$D$1379="","",[2]Entry!$D$1379)</f>
        <v/>
      </c>
      <c r="R1376">
        <f>IF([2]Entry!$E$1379="","",[2]Entry!$E$1379)</f>
        <v/>
      </c>
      <c r="S1376">
        <f>IF([2]Entry!$G$1379="","",[2]Entry!$G$1379)</f>
        <v/>
      </c>
      <c r="T1376">
        <f>IF([2]Entry!$J$1379="","",[2]Entry!$J$1379)</f>
        <v/>
      </c>
      <c r="U1376">
        <f>IF([2]Entry!$K$1379="","",[2]Entry!$K$1379)</f>
        <v/>
      </c>
      <c r="V1376">
        <f>IF([2]Entry!$L$1379="","",[2]Entry!$L$1379)</f>
        <v/>
      </c>
      <c r="W1376">
        <f>IF([2]Entry!$M$1379="","",[2]Entry!$M$1379)</f>
        <v/>
      </c>
      <c r="X1376">
        <f>IF([2]Entry!$N$1379="","",[2]Entry!$N$1379)</f>
        <v/>
      </c>
      <c r="Y1376">
        <f>IF([2]Entry!$R$1379="","",[2]Entry!$R$1379)</f>
        <v/>
      </c>
    </row>
    <row r="1377">
      <c r="P1377">
        <f>IF([2]Entry!$C$1380="","",[2]Entry!$C$1380)</f>
        <v/>
      </c>
      <c r="Q1377">
        <f>IF([2]Entry!$D$1380="","",[2]Entry!$D$1380)</f>
        <v/>
      </c>
      <c r="R1377">
        <f>IF([2]Entry!$E$1380="","",[2]Entry!$E$1380)</f>
        <v/>
      </c>
      <c r="S1377">
        <f>IF([2]Entry!$G$1380="","",[2]Entry!$G$1380)</f>
        <v/>
      </c>
      <c r="T1377">
        <f>IF([2]Entry!$J$1380="","",[2]Entry!$J$1380)</f>
        <v/>
      </c>
      <c r="U1377">
        <f>IF([2]Entry!$K$1380="","",[2]Entry!$K$1380)</f>
        <v/>
      </c>
      <c r="V1377">
        <f>IF([2]Entry!$L$1380="","",[2]Entry!$L$1380)</f>
        <v/>
      </c>
      <c r="W1377">
        <f>IF([2]Entry!$M$1380="","",[2]Entry!$M$1380)</f>
        <v/>
      </c>
      <c r="X1377">
        <f>IF([2]Entry!$N$1380="","",[2]Entry!$N$1380)</f>
        <v/>
      </c>
      <c r="Y1377">
        <f>IF([2]Entry!$R$1380="","",[2]Entry!$R$1380)</f>
        <v/>
      </c>
    </row>
    <row r="1378">
      <c r="P1378">
        <f>IF([2]Entry!$C$1381="","",[2]Entry!$C$1381)</f>
        <v/>
      </c>
      <c r="Q1378">
        <f>IF([2]Entry!$D$1381="","",[2]Entry!$D$1381)</f>
        <v/>
      </c>
      <c r="R1378">
        <f>IF([2]Entry!$E$1381="","",[2]Entry!$E$1381)</f>
        <v/>
      </c>
      <c r="S1378">
        <f>IF([2]Entry!$G$1381="","",[2]Entry!$G$1381)</f>
        <v/>
      </c>
      <c r="T1378">
        <f>IF([2]Entry!$J$1381="","",[2]Entry!$J$1381)</f>
        <v/>
      </c>
      <c r="U1378">
        <f>IF([2]Entry!$K$1381="","",[2]Entry!$K$1381)</f>
        <v/>
      </c>
      <c r="V1378">
        <f>IF([2]Entry!$L$1381="","",[2]Entry!$L$1381)</f>
        <v/>
      </c>
      <c r="W1378">
        <f>IF([2]Entry!$M$1381="","",[2]Entry!$M$1381)</f>
        <v/>
      </c>
      <c r="X1378">
        <f>IF([2]Entry!$N$1381="","",[2]Entry!$N$1381)</f>
        <v/>
      </c>
      <c r="Y1378">
        <f>IF([2]Entry!$R$1381="","",[2]Entry!$R$1381)</f>
        <v/>
      </c>
    </row>
    <row r="1379">
      <c r="P1379">
        <f>IF([2]Entry!$C$1382="","",[2]Entry!$C$1382)</f>
        <v/>
      </c>
      <c r="Q1379">
        <f>IF([2]Entry!$D$1382="","",[2]Entry!$D$1382)</f>
        <v/>
      </c>
      <c r="R1379">
        <f>IF([2]Entry!$E$1382="","",[2]Entry!$E$1382)</f>
        <v/>
      </c>
      <c r="S1379">
        <f>IF([2]Entry!$G$1382="","",[2]Entry!$G$1382)</f>
        <v/>
      </c>
      <c r="T1379">
        <f>IF([2]Entry!$J$1382="","",[2]Entry!$J$1382)</f>
        <v/>
      </c>
      <c r="U1379">
        <f>IF([2]Entry!$K$1382="","",[2]Entry!$K$1382)</f>
        <v/>
      </c>
      <c r="V1379">
        <f>IF([2]Entry!$L$1382="","",[2]Entry!$L$1382)</f>
        <v/>
      </c>
      <c r="W1379">
        <f>IF([2]Entry!$M$1382="","",[2]Entry!$M$1382)</f>
        <v/>
      </c>
      <c r="X1379">
        <f>IF([2]Entry!$N$1382="","",[2]Entry!$N$1382)</f>
        <v/>
      </c>
      <c r="Y1379">
        <f>IF([2]Entry!$R$1382="","",[2]Entry!$R$1382)</f>
        <v/>
      </c>
    </row>
    <row r="1380">
      <c r="P1380">
        <f>IF([2]Entry!$C$1383="","",[2]Entry!$C$1383)</f>
        <v/>
      </c>
      <c r="Q1380">
        <f>IF([2]Entry!$D$1383="","",[2]Entry!$D$1383)</f>
        <v/>
      </c>
      <c r="R1380">
        <f>IF([2]Entry!$E$1383="","",[2]Entry!$E$1383)</f>
        <v/>
      </c>
      <c r="S1380">
        <f>IF([2]Entry!$G$1383="","",[2]Entry!$G$1383)</f>
        <v/>
      </c>
      <c r="T1380">
        <f>IF([2]Entry!$J$1383="","",[2]Entry!$J$1383)</f>
        <v/>
      </c>
      <c r="U1380">
        <f>IF([2]Entry!$K$1383="","",[2]Entry!$K$1383)</f>
        <v/>
      </c>
      <c r="V1380">
        <f>IF([2]Entry!$L$1383="","",[2]Entry!$L$1383)</f>
        <v/>
      </c>
      <c r="W1380">
        <f>IF([2]Entry!$M$1383="","",[2]Entry!$M$1383)</f>
        <v/>
      </c>
      <c r="X1380">
        <f>IF([2]Entry!$N$1383="","",[2]Entry!$N$1383)</f>
        <v/>
      </c>
      <c r="Y1380">
        <f>IF([2]Entry!$R$1383="","",[2]Entry!$R$1383)</f>
        <v/>
      </c>
    </row>
    <row r="1381">
      <c r="P1381">
        <f>IF([2]Entry!$C$1384="","",[2]Entry!$C$1384)</f>
        <v/>
      </c>
      <c r="Q1381">
        <f>IF([2]Entry!$D$1384="","",[2]Entry!$D$1384)</f>
        <v/>
      </c>
      <c r="R1381">
        <f>IF([2]Entry!$E$1384="","",[2]Entry!$E$1384)</f>
        <v/>
      </c>
      <c r="S1381">
        <f>IF([2]Entry!$G$1384="","",[2]Entry!$G$1384)</f>
        <v/>
      </c>
      <c r="T1381">
        <f>IF([2]Entry!$J$1384="","",[2]Entry!$J$1384)</f>
        <v/>
      </c>
      <c r="U1381">
        <f>IF([2]Entry!$K$1384="","",[2]Entry!$K$1384)</f>
        <v/>
      </c>
      <c r="V1381">
        <f>IF([2]Entry!$L$1384="","",[2]Entry!$L$1384)</f>
        <v/>
      </c>
      <c r="W1381">
        <f>IF([2]Entry!$M$1384="","",[2]Entry!$M$1384)</f>
        <v/>
      </c>
      <c r="X1381">
        <f>IF([2]Entry!$N$1384="","",[2]Entry!$N$1384)</f>
        <v/>
      </c>
      <c r="Y1381">
        <f>IF([2]Entry!$R$1384="","",[2]Entry!$R$1384)</f>
        <v/>
      </c>
    </row>
    <row r="1382">
      <c r="P1382">
        <f>IF([2]Entry!$C$1385="","",[2]Entry!$C$1385)</f>
        <v/>
      </c>
      <c r="Q1382">
        <f>IF([2]Entry!$D$1385="","",[2]Entry!$D$1385)</f>
        <v/>
      </c>
      <c r="R1382">
        <f>IF([2]Entry!$E$1385="","",[2]Entry!$E$1385)</f>
        <v/>
      </c>
      <c r="S1382">
        <f>IF([2]Entry!$G$1385="","",[2]Entry!$G$1385)</f>
        <v/>
      </c>
      <c r="T1382">
        <f>IF([2]Entry!$J$1385="","",[2]Entry!$J$1385)</f>
        <v/>
      </c>
      <c r="U1382">
        <f>IF([2]Entry!$K$1385="","",[2]Entry!$K$1385)</f>
        <v/>
      </c>
      <c r="V1382">
        <f>IF([2]Entry!$L$1385="","",[2]Entry!$L$1385)</f>
        <v/>
      </c>
      <c r="W1382">
        <f>IF([2]Entry!$M$1385="","",[2]Entry!$M$1385)</f>
        <v/>
      </c>
      <c r="X1382">
        <f>IF([2]Entry!$N$1385="","",[2]Entry!$N$1385)</f>
        <v/>
      </c>
      <c r="Y1382">
        <f>IF([2]Entry!$R$1385="","",[2]Entry!$R$1385)</f>
        <v/>
      </c>
    </row>
    <row r="1383">
      <c r="P1383">
        <f>IF([2]Entry!$C$1386="","",[2]Entry!$C$1386)</f>
        <v/>
      </c>
      <c r="Q1383">
        <f>IF([2]Entry!$D$1386="","",[2]Entry!$D$1386)</f>
        <v/>
      </c>
      <c r="R1383">
        <f>IF([2]Entry!$E$1386="","",[2]Entry!$E$1386)</f>
        <v/>
      </c>
      <c r="S1383">
        <f>IF([2]Entry!$G$1386="","",[2]Entry!$G$1386)</f>
        <v/>
      </c>
      <c r="T1383">
        <f>IF([2]Entry!$J$1386="","",[2]Entry!$J$1386)</f>
        <v/>
      </c>
      <c r="U1383">
        <f>IF([2]Entry!$K$1386="","",[2]Entry!$K$1386)</f>
        <v/>
      </c>
      <c r="V1383">
        <f>IF([2]Entry!$L$1386="","",[2]Entry!$L$1386)</f>
        <v/>
      </c>
      <c r="W1383">
        <f>IF([2]Entry!$M$1386="","",[2]Entry!$M$1386)</f>
        <v/>
      </c>
      <c r="X1383">
        <f>IF([2]Entry!$N$1386="","",[2]Entry!$N$1386)</f>
        <v/>
      </c>
      <c r="Y1383">
        <f>IF([2]Entry!$R$1386="","",[2]Entry!$R$1386)</f>
        <v/>
      </c>
    </row>
    <row r="1384">
      <c r="P1384">
        <f>IF([2]Entry!$C$1387="","",[2]Entry!$C$1387)</f>
        <v/>
      </c>
      <c r="Q1384">
        <f>IF([2]Entry!$D$1387="","",[2]Entry!$D$1387)</f>
        <v/>
      </c>
      <c r="R1384">
        <f>IF([2]Entry!$E$1387="","",[2]Entry!$E$1387)</f>
        <v/>
      </c>
      <c r="S1384">
        <f>IF([2]Entry!$G$1387="","",[2]Entry!$G$1387)</f>
        <v/>
      </c>
      <c r="T1384">
        <f>IF([2]Entry!$J$1387="","",[2]Entry!$J$1387)</f>
        <v/>
      </c>
      <c r="U1384">
        <f>IF([2]Entry!$K$1387="","",[2]Entry!$K$1387)</f>
        <v/>
      </c>
      <c r="V1384">
        <f>IF([2]Entry!$L$1387="","",[2]Entry!$L$1387)</f>
        <v/>
      </c>
      <c r="W1384">
        <f>IF([2]Entry!$M$1387="","",[2]Entry!$M$1387)</f>
        <v/>
      </c>
      <c r="X1384">
        <f>IF([2]Entry!$N$1387="","",[2]Entry!$N$1387)</f>
        <v/>
      </c>
      <c r="Y1384">
        <f>IF([2]Entry!$R$1387="","",[2]Entry!$R$1387)</f>
        <v/>
      </c>
    </row>
    <row r="1385">
      <c r="P1385">
        <f>IF([2]Entry!$C$1388="","",[2]Entry!$C$1388)</f>
        <v/>
      </c>
      <c r="Q1385">
        <f>IF([2]Entry!$D$1388="","",[2]Entry!$D$1388)</f>
        <v/>
      </c>
      <c r="R1385">
        <f>IF([2]Entry!$E$1388="","",[2]Entry!$E$1388)</f>
        <v/>
      </c>
      <c r="S1385">
        <f>IF([2]Entry!$G$1388="","",[2]Entry!$G$1388)</f>
        <v/>
      </c>
      <c r="T1385">
        <f>IF([2]Entry!$J$1388="","",[2]Entry!$J$1388)</f>
        <v/>
      </c>
      <c r="U1385">
        <f>IF([2]Entry!$K$1388="","",[2]Entry!$K$1388)</f>
        <v/>
      </c>
      <c r="V1385">
        <f>IF([2]Entry!$L$1388="","",[2]Entry!$L$1388)</f>
        <v/>
      </c>
      <c r="W1385">
        <f>IF([2]Entry!$M$1388="","",[2]Entry!$M$1388)</f>
        <v/>
      </c>
      <c r="X1385">
        <f>IF([2]Entry!$N$1388="","",[2]Entry!$N$1388)</f>
        <v/>
      </c>
      <c r="Y1385">
        <f>IF([2]Entry!$R$1388="","",[2]Entry!$R$1388)</f>
        <v/>
      </c>
    </row>
    <row r="1386">
      <c r="P1386">
        <f>IF([2]Entry!$C$1389="","",[2]Entry!$C$1389)</f>
        <v/>
      </c>
      <c r="Q1386">
        <f>IF([2]Entry!$D$1389="","",[2]Entry!$D$1389)</f>
        <v/>
      </c>
      <c r="R1386">
        <f>IF([2]Entry!$E$1389="","",[2]Entry!$E$1389)</f>
        <v/>
      </c>
      <c r="S1386">
        <f>IF([2]Entry!$G$1389="","",[2]Entry!$G$1389)</f>
        <v/>
      </c>
      <c r="T1386">
        <f>IF([2]Entry!$J$1389="","",[2]Entry!$J$1389)</f>
        <v/>
      </c>
      <c r="U1386">
        <f>IF([2]Entry!$K$1389="","",[2]Entry!$K$1389)</f>
        <v/>
      </c>
      <c r="V1386">
        <f>IF([2]Entry!$L$1389="","",[2]Entry!$L$1389)</f>
        <v/>
      </c>
      <c r="W1386">
        <f>IF([2]Entry!$M$1389="","",[2]Entry!$M$1389)</f>
        <v/>
      </c>
      <c r="X1386">
        <f>IF([2]Entry!$N$1389="","",[2]Entry!$N$1389)</f>
        <v/>
      </c>
      <c r="Y1386">
        <f>IF([2]Entry!$R$1389="","",[2]Entry!$R$1389)</f>
        <v/>
      </c>
    </row>
    <row r="1387">
      <c r="P1387">
        <f>IF([2]Entry!$C$1390="","",[2]Entry!$C$1390)</f>
        <v/>
      </c>
      <c r="Q1387">
        <f>IF([2]Entry!$D$1390="","",[2]Entry!$D$1390)</f>
        <v/>
      </c>
      <c r="R1387">
        <f>IF([2]Entry!$E$1390="","",[2]Entry!$E$1390)</f>
        <v/>
      </c>
      <c r="S1387">
        <f>IF([2]Entry!$G$1390="","",[2]Entry!$G$1390)</f>
        <v/>
      </c>
      <c r="T1387">
        <f>IF([2]Entry!$J$1390="","",[2]Entry!$J$1390)</f>
        <v/>
      </c>
      <c r="U1387">
        <f>IF([2]Entry!$K$1390="","",[2]Entry!$K$1390)</f>
        <v/>
      </c>
      <c r="V1387">
        <f>IF([2]Entry!$L$1390="","",[2]Entry!$L$1390)</f>
        <v/>
      </c>
      <c r="W1387">
        <f>IF([2]Entry!$M$1390="","",[2]Entry!$M$1390)</f>
        <v/>
      </c>
      <c r="X1387">
        <f>IF([2]Entry!$N$1390="","",[2]Entry!$N$1390)</f>
        <v/>
      </c>
      <c r="Y1387">
        <f>IF([2]Entry!$R$1390="","",[2]Entry!$R$1390)</f>
        <v/>
      </c>
    </row>
    <row r="1388">
      <c r="P1388">
        <f>IF([2]Entry!$C$1391="","",[2]Entry!$C$1391)</f>
        <v/>
      </c>
      <c r="Q1388">
        <f>IF([2]Entry!$D$1391="","",[2]Entry!$D$1391)</f>
        <v/>
      </c>
      <c r="R1388">
        <f>IF([2]Entry!$E$1391="","",[2]Entry!$E$1391)</f>
        <v/>
      </c>
      <c r="S1388">
        <f>IF([2]Entry!$G$1391="","",[2]Entry!$G$1391)</f>
        <v/>
      </c>
      <c r="T1388">
        <f>IF([2]Entry!$J$1391="","",[2]Entry!$J$1391)</f>
        <v/>
      </c>
      <c r="U1388">
        <f>IF([2]Entry!$K$1391="","",[2]Entry!$K$1391)</f>
        <v/>
      </c>
      <c r="V1388">
        <f>IF([2]Entry!$L$1391="","",[2]Entry!$L$1391)</f>
        <v/>
      </c>
      <c r="W1388">
        <f>IF([2]Entry!$M$1391="","",[2]Entry!$M$1391)</f>
        <v/>
      </c>
      <c r="X1388">
        <f>IF([2]Entry!$N$1391="","",[2]Entry!$N$1391)</f>
        <v/>
      </c>
      <c r="Y1388">
        <f>IF([2]Entry!$R$1391="","",[2]Entry!$R$1391)</f>
        <v/>
      </c>
    </row>
    <row r="1389">
      <c r="P1389">
        <f>IF([2]Entry!$C$1392="","",[2]Entry!$C$1392)</f>
        <v/>
      </c>
      <c r="Q1389">
        <f>IF([2]Entry!$D$1392="","",[2]Entry!$D$1392)</f>
        <v/>
      </c>
      <c r="R1389">
        <f>IF([2]Entry!$E$1392="","",[2]Entry!$E$1392)</f>
        <v/>
      </c>
      <c r="S1389">
        <f>IF([2]Entry!$G$1392="","",[2]Entry!$G$1392)</f>
        <v/>
      </c>
      <c r="T1389">
        <f>IF([2]Entry!$J$1392="","",[2]Entry!$J$1392)</f>
        <v/>
      </c>
      <c r="U1389">
        <f>IF([2]Entry!$K$1392="","",[2]Entry!$K$1392)</f>
        <v/>
      </c>
      <c r="V1389">
        <f>IF([2]Entry!$L$1392="","",[2]Entry!$L$1392)</f>
        <v/>
      </c>
      <c r="W1389">
        <f>IF([2]Entry!$M$1392="","",[2]Entry!$M$1392)</f>
        <v/>
      </c>
      <c r="X1389">
        <f>IF([2]Entry!$N$1392="","",[2]Entry!$N$1392)</f>
        <v/>
      </c>
      <c r="Y1389">
        <f>IF([2]Entry!$R$1392="","",[2]Entry!$R$1392)</f>
        <v/>
      </c>
    </row>
    <row r="1390">
      <c r="P1390">
        <f>IF([2]Entry!$C$1393="","",[2]Entry!$C$1393)</f>
        <v/>
      </c>
      <c r="Q1390">
        <f>IF([2]Entry!$D$1393="","",[2]Entry!$D$1393)</f>
        <v/>
      </c>
      <c r="R1390">
        <f>IF([2]Entry!$E$1393="","",[2]Entry!$E$1393)</f>
        <v/>
      </c>
      <c r="S1390">
        <f>IF([2]Entry!$G$1393="","",[2]Entry!$G$1393)</f>
        <v/>
      </c>
      <c r="T1390">
        <f>IF([2]Entry!$J$1393="","",[2]Entry!$J$1393)</f>
        <v/>
      </c>
      <c r="U1390">
        <f>IF([2]Entry!$K$1393="","",[2]Entry!$K$1393)</f>
        <v/>
      </c>
      <c r="V1390">
        <f>IF([2]Entry!$L$1393="","",[2]Entry!$L$1393)</f>
        <v/>
      </c>
      <c r="W1390">
        <f>IF([2]Entry!$M$1393="","",[2]Entry!$M$1393)</f>
        <v/>
      </c>
      <c r="X1390">
        <f>IF([2]Entry!$N$1393="","",[2]Entry!$N$1393)</f>
        <v/>
      </c>
      <c r="Y1390">
        <f>IF([2]Entry!$R$1393="","",[2]Entry!$R$1393)</f>
        <v/>
      </c>
    </row>
    <row r="1391">
      <c r="P1391">
        <f>IF([2]Entry!$C$1394="","",[2]Entry!$C$1394)</f>
        <v/>
      </c>
      <c r="Q1391">
        <f>IF([2]Entry!$D$1394="","",[2]Entry!$D$1394)</f>
        <v/>
      </c>
      <c r="R1391">
        <f>IF([2]Entry!$E$1394="","",[2]Entry!$E$1394)</f>
        <v/>
      </c>
      <c r="S1391">
        <f>IF([2]Entry!$G$1394="","",[2]Entry!$G$1394)</f>
        <v/>
      </c>
      <c r="T1391">
        <f>IF([2]Entry!$J$1394="","",[2]Entry!$J$1394)</f>
        <v/>
      </c>
      <c r="U1391">
        <f>IF([2]Entry!$K$1394="","",[2]Entry!$K$1394)</f>
        <v/>
      </c>
      <c r="V1391">
        <f>IF([2]Entry!$L$1394="","",[2]Entry!$L$1394)</f>
        <v/>
      </c>
      <c r="W1391">
        <f>IF([2]Entry!$M$1394="","",[2]Entry!$M$1394)</f>
        <v/>
      </c>
      <c r="X1391">
        <f>IF([2]Entry!$N$1394="","",[2]Entry!$N$1394)</f>
        <v/>
      </c>
      <c r="Y1391">
        <f>IF([2]Entry!$R$1394="","",[2]Entry!$R$1394)</f>
        <v/>
      </c>
    </row>
    <row r="1392">
      <c r="P1392">
        <f>IF([2]Entry!$C$1395="","",[2]Entry!$C$1395)</f>
        <v/>
      </c>
      <c r="Q1392">
        <f>IF([2]Entry!$D$1395="","",[2]Entry!$D$1395)</f>
        <v/>
      </c>
      <c r="R1392">
        <f>IF([2]Entry!$E$1395="","",[2]Entry!$E$1395)</f>
        <v/>
      </c>
      <c r="S1392">
        <f>IF([2]Entry!$G$1395="","",[2]Entry!$G$1395)</f>
        <v/>
      </c>
      <c r="T1392">
        <f>IF([2]Entry!$J$1395="","",[2]Entry!$J$1395)</f>
        <v/>
      </c>
      <c r="U1392">
        <f>IF([2]Entry!$K$1395="","",[2]Entry!$K$1395)</f>
        <v/>
      </c>
      <c r="V1392">
        <f>IF([2]Entry!$L$1395="","",[2]Entry!$L$1395)</f>
        <v/>
      </c>
      <c r="W1392">
        <f>IF([2]Entry!$M$1395="","",[2]Entry!$M$1395)</f>
        <v/>
      </c>
      <c r="X1392">
        <f>IF([2]Entry!$N$1395="","",[2]Entry!$N$1395)</f>
        <v/>
      </c>
      <c r="Y1392">
        <f>IF([2]Entry!$R$1395="","",[2]Entry!$R$1395)</f>
        <v/>
      </c>
    </row>
    <row r="1393">
      <c r="P1393">
        <f>IF([2]Entry!$C$1396="","",[2]Entry!$C$1396)</f>
        <v/>
      </c>
      <c r="Q1393">
        <f>IF([2]Entry!$D$1396="","",[2]Entry!$D$1396)</f>
        <v/>
      </c>
      <c r="R1393">
        <f>IF([2]Entry!$E$1396="","",[2]Entry!$E$1396)</f>
        <v/>
      </c>
      <c r="S1393">
        <f>IF([2]Entry!$G$1396="","",[2]Entry!$G$1396)</f>
        <v/>
      </c>
      <c r="T1393">
        <f>IF([2]Entry!$J$1396="","",[2]Entry!$J$1396)</f>
        <v/>
      </c>
      <c r="U1393">
        <f>IF([2]Entry!$K$1396="","",[2]Entry!$K$1396)</f>
        <v/>
      </c>
      <c r="V1393">
        <f>IF([2]Entry!$L$1396="","",[2]Entry!$L$1396)</f>
        <v/>
      </c>
      <c r="W1393">
        <f>IF([2]Entry!$M$1396="","",[2]Entry!$M$1396)</f>
        <v/>
      </c>
      <c r="X1393">
        <f>IF([2]Entry!$N$1396="","",[2]Entry!$N$1396)</f>
        <v/>
      </c>
      <c r="Y1393">
        <f>IF([2]Entry!$R$1396="","",[2]Entry!$R$1396)</f>
        <v/>
      </c>
    </row>
    <row r="1394">
      <c r="P1394">
        <f>IF([2]Entry!$C$1397="","",[2]Entry!$C$1397)</f>
        <v/>
      </c>
      <c r="Q1394">
        <f>IF([2]Entry!$D$1397="","",[2]Entry!$D$1397)</f>
        <v/>
      </c>
      <c r="R1394">
        <f>IF([2]Entry!$E$1397="","",[2]Entry!$E$1397)</f>
        <v/>
      </c>
      <c r="S1394">
        <f>IF([2]Entry!$G$1397="","",[2]Entry!$G$1397)</f>
        <v/>
      </c>
      <c r="T1394">
        <f>IF([2]Entry!$J$1397="","",[2]Entry!$J$1397)</f>
        <v/>
      </c>
      <c r="U1394">
        <f>IF([2]Entry!$K$1397="","",[2]Entry!$K$1397)</f>
        <v/>
      </c>
      <c r="V1394">
        <f>IF([2]Entry!$L$1397="","",[2]Entry!$L$1397)</f>
        <v/>
      </c>
      <c r="W1394">
        <f>IF([2]Entry!$M$1397="","",[2]Entry!$M$1397)</f>
        <v/>
      </c>
      <c r="X1394">
        <f>IF([2]Entry!$N$1397="","",[2]Entry!$N$1397)</f>
        <v/>
      </c>
      <c r="Y1394">
        <f>IF([2]Entry!$R$1397="","",[2]Entry!$R$1397)</f>
        <v/>
      </c>
    </row>
    <row r="1395">
      <c r="P1395">
        <f>IF([2]Entry!$C$1398="","",[2]Entry!$C$1398)</f>
        <v/>
      </c>
      <c r="Q1395">
        <f>IF([2]Entry!$D$1398="","",[2]Entry!$D$1398)</f>
        <v/>
      </c>
      <c r="R1395">
        <f>IF([2]Entry!$E$1398="","",[2]Entry!$E$1398)</f>
        <v/>
      </c>
      <c r="S1395">
        <f>IF([2]Entry!$G$1398="","",[2]Entry!$G$1398)</f>
        <v/>
      </c>
      <c r="T1395">
        <f>IF([2]Entry!$J$1398="","",[2]Entry!$J$1398)</f>
        <v/>
      </c>
      <c r="U1395">
        <f>IF([2]Entry!$K$1398="","",[2]Entry!$K$1398)</f>
        <v/>
      </c>
      <c r="V1395">
        <f>IF([2]Entry!$L$1398="","",[2]Entry!$L$1398)</f>
        <v/>
      </c>
      <c r="W1395">
        <f>IF([2]Entry!$M$1398="","",[2]Entry!$M$1398)</f>
        <v/>
      </c>
      <c r="X1395">
        <f>IF([2]Entry!$N$1398="","",[2]Entry!$N$1398)</f>
        <v/>
      </c>
      <c r="Y1395">
        <f>IF([2]Entry!$R$1398="","",[2]Entry!$R$1398)</f>
        <v/>
      </c>
    </row>
    <row r="1396">
      <c r="P1396">
        <f>IF([2]Entry!$C$1399="","",[2]Entry!$C$1399)</f>
        <v/>
      </c>
      <c r="Q1396">
        <f>IF([2]Entry!$D$1399="","",[2]Entry!$D$1399)</f>
        <v/>
      </c>
      <c r="R1396">
        <f>IF([2]Entry!$E$1399="","",[2]Entry!$E$1399)</f>
        <v/>
      </c>
      <c r="S1396">
        <f>IF([2]Entry!$G$1399="","",[2]Entry!$G$1399)</f>
        <v/>
      </c>
      <c r="T1396">
        <f>IF([2]Entry!$J$1399="","",[2]Entry!$J$1399)</f>
        <v/>
      </c>
      <c r="U1396">
        <f>IF([2]Entry!$K$1399="","",[2]Entry!$K$1399)</f>
        <v/>
      </c>
      <c r="V1396">
        <f>IF([2]Entry!$L$1399="","",[2]Entry!$L$1399)</f>
        <v/>
      </c>
      <c r="W1396">
        <f>IF([2]Entry!$M$1399="","",[2]Entry!$M$1399)</f>
        <v/>
      </c>
      <c r="X1396">
        <f>IF([2]Entry!$N$1399="","",[2]Entry!$N$1399)</f>
        <v/>
      </c>
      <c r="Y1396">
        <f>IF([2]Entry!$R$1399="","",[2]Entry!$R$1399)</f>
        <v/>
      </c>
    </row>
    <row r="1397">
      <c r="P1397">
        <f>IF([2]Entry!$C$1400="","",[2]Entry!$C$1400)</f>
        <v/>
      </c>
      <c r="Q1397">
        <f>IF([2]Entry!$D$1400="","",[2]Entry!$D$1400)</f>
        <v/>
      </c>
      <c r="R1397">
        <f>IF([2]Entry!$E$1400="","",[2]Entry!$E$1400)</f>
        <v/>
      </c>
      <c r="S1397">
        <f>IF([2]Entry!$G$1400="","",[2]Entry!$G$1400)</f>
        <v/>
      </c>
      <c r="T1397">
        <f>IF([2]Entry!$J$1400="","",[2]Entry!$J$1400)</f>
        <v/>
      </c>
      <c r="U1397">
        <f>IF([2]Entry!$K$1400="","",[2]Entry!$K$1400)</f>
        <v/>
      </c>
      <c r="V1397">
        <f>IF([2]Entry!$L$1400="","",[2]Entry!$L$1400)</f>
        <v/>
      </c>
      <c r="W1397">
        <f>IF([2]Entry!$M$1400="","",[2]Entry!$M$1400)</f>
        <v/>
      </c>
      <c r="X1397">
        <f>IF([2]Entry!$N$1400="","",[2]Entry!$N$1400)</f>
        <v/>
      </c>
      <c r="Y1397">
        <f>IF([2]Entry!$R$1400="","",[2]Entry!$R$1400)</f>
        <v/>
      </c>
    </row>
    <row r="1398">
      <c r="P1398">
        <f>IF([2]Entry!$C$1401="","",[2]Entry!$C$1401)</f>
        <v/>
      </c>
      <c r="Q1398">
        <f>IF([2]Entry!$D$1401="","",[2]Entry!$D$1401)</f>
        <v/>
      </c>
      <c r="R1398">
        <f>IF([2]Entry!$E$1401="","",[2]Entry!$E$1401)</f>
        <v/>
      </c>
      <c r="S1398">
        <f>IF([2]Entry!$G$1401="","",[2]Entry!$G$1401)</f>
        <v/>
      </c>
      <c r="T1398">
        <f>IF([2]Entry!$J$1401="","",[2]Entry!$J$1401)</f>
        <v/>
      </c>
      <c r="U1398">
        <f>IF([2]Entry!$K$1401="","",[2]Entry!$K$1401)</f>
        <v/>
      </c>
      <c r="V1398">
        <f>IF([2]Entry!$L$1401="","",[2]Entry!$L$1401)</f>
        <v/>
      </c>
      <c r="W1398">
        <f>IF([2]Entry!$M$1401="","",[2]Entry!$M$1401)</f>
        <v/>
      </c>
      <c r="X1398">
        <f>IF([2]Entry!$N$1401="","",[2]Entry!$N$1401)</f>
        <v/>
      </c>
      <c r="Y1398">
        <f>IF([2]Entry!$R$1401="","",[2]Entry!$R$1401)</f>
        <v/>
      </c>
    </row>
    <row r="1399">
      <c r="P1399">
        <f>IF([2]Entry!$C$1402="","",[2]Entry!$C$1402)</f>
        <v/>
      </c>
      <c r="Q1399">
        <f>IF([2]Entry!$D$1402="","",[2]Entry!$D$1402)</f>
        <v/>
      </c>
      <c r="R1399">
        <f>IF([2]Entry!$E$1402="","",[2]Entry!$E$1402)</f>
        <v/>
      </c>
      <c r="S1399">
        <f>IF([2]Entry!$G$1402="","",[2]Entry!$G$1402)</f>
        <v/>
      </c>
      <c r="T1399">
        <f>IF([2]Entry!$J$1402="","",[2]Entry!$J$1402)</f>
        <v/>
      </c>
      <c r="U1399">
        <f>IF([2]Entry!$K$1402="","",[2]Entry!$K$1402)</f>
        <v/>
      </c>
      <c r="V1399">
        <f>IF([2]Entry!$L$1402="","",[2]Entry!$L$1402)</f>
        <v/>
      </c>
      <c r="W1399">
        <f>IF([2]Entry!$M$1402="","",[2]Entry!$M$1402)</f>
        <v/>
      </c>
      <c r="X1399">
        <f>IF([2]Entry!$N$1402="","",[2]Entry!$N$1402)</f>
        <v/>
      </c>
      <c r="Y1399">
        <f>IF([2]Entry!$R$1402="","",[2]Entry!$R$1402)</f>
        <v/>
      </c>
    </row>
    <row r="1400">
      <c r="P1400">
        <f>IF([2]Entry!$C$1403="","",[2]Entry!$C$1403)</f>
        <v/>
      </c>
      <c r="Q1400">
        <f>IF([2]Entry!$D$1403="","",[2]Entry!$D$1403)</f>
        <v/>
      </c>
      <c r="R1400">
        <f>IF([2]Entry!$E$1403="","",[2]Entry!$E$1403)</f>
        <v/>
      </c>
      <c r="S1400">
        <f>IF([2]Entry!$G$1403="","",[2]Entry!$G$1403)</f>
        <v/>
      </c>
      <c r="T1400">
        <f>IF([2]Entry!$J$1403="","",[2]Entry!$J$1403)</f>
        <v/>
      </c>
      <c r="U1400">
        <f>IF([2]Entry!$K$1403="","",[2]Entry!$K$1403)</f>
        <v/>
      </c>
      <c r="V1400">
        <f>IF([2]Entry!$L$1403="","",[2]Entry!$L$1403)</f>
        <v/>
      </c>
      <c r="W1400">
        <f>IF([2]Entry!$M$1403="","",[2]Entry!$M$1403)</f>
        <v/>
      </c>
      <c r="X1400">
        <f>IF([2]Entry!$N$1403="","",[2]Entry!$N$1403)</f>
        <v/>
      </c>
      <c r="Y1400">
        <f>IF([2]Entry!$R$1403="","",[2]Entry!$R$1403)</f>
        <v/>
      </c>
    </row>
    <row r="1401">
      <c r="P1401">
        <f>IF([2]Entry!$C$1404="","",[2]Entry!$C$1404)</f>
        <v/>
      </c>
      <c r="Q1401">
        <f>IF([2]Entry!$D$1404="","",[2]Entry!$D$1404)</f>
        <v/>
      </c>
      <c r="R1401">
        <f>IF([2]Entry!$E$1404="","",[2]Entry!$E$1404)</f>
        <v/>
      </c>
      <c r="S1401">
        <f>IF([2]Entry!$G$1404="","",[2]Entry!$G$1404)</f>
        <v/>
      </c>
      <c r="T1401">
        <f>IF([2]Entry!$J$1404="","",[2]Entry!$J$1404)</f>
        <v/>
      </c>
      <c r="U1401">
        <f>IF([2]Entry!$K$1404="","",[2]Entry!$K$1404)</f>
        <v/>
      </c>
      <c r="V1401">
        <f>IF([2]Entry!$L$1404="","",[2]Entry!$L$1404)</f>
        <v/>
      </c>
      <c r="W1401">
        <f>IF([2]Entry!$M$1404="","",[2]Entry!$M$1404)</f>
        <v/>
      </c>
      <c r="X1401">
        <f>IF([2]Entry!$N$1404="","",[2]Entry!$N$1404)</f>
        <v/>
      </c>
      <c r="Y1401">
        <f>IF([2]Entry!$R$1404="","",[2]Entry!$R$1404)</f>
        <v/>
      </c>
    </row>
    <row r="1402">
      <c r="P1402">
        <f>IF([2]Entry!$C$1405="","",[2]Entry!$C$1405)</f>
        <v/>
      </c>
      <c r="Q1402">
        <f>IF([2]Entry!$D$1405="","",[2]Entry!$D$1405)</f>
        <v/>
      </c>
      <c r="R1402">
        <f>IF([2]Entry!$E$1405="","",[2]Entry!$E$1405)</f>
        <v/>
      </c>
      <c r="S1402">
        <f>IF([2]Entry!$G$1405="","",[2]Entry!$G$1405)</f>
        <v/>
      </c>
      <c r="T1402">
        <f>IF([2]Entry!$J$1405="","",[2]Entry!$J$1405)</f>
        <v/>
      </c>
      <c r="U1402">
        <f>IF([2]Entry!$K$1405="","",[2]Entry!$K$1405)</f>
        <v/>
      </c>
      <c r="V1402">
        <f>IF([2]Entry!$L$1405="","",[2]Entry!$L$1405)</f>
        <v/>
      </c>
      <c r="W1402">
        <f>IF([2]Entry!$M$1405="","",[2]Entry!$M$1405)</f>
        <v/>
      </c>
      <c r="X1402">
        <f>IF([2]Entry!$N$1405="","",[2]Entry!$N$1405)</f>
        <v/>
      </c>
      <c r="Y1402">
        <f>IF([2]Entry!$R$1405="","",[2]Entry!$R$1405)</f>
        <v/>
      </c>
    </row>
    <row r="1403">
      <c r="P1403">
        <f>IF([2]Entry!$C$1406="","",[2]Entry!$C$1406)</f>
        <v/>
      </c>
      <c r="Q1403">
        <f>IF([2]Entry!$D$1406="","",[2]Entry!$D$1406)</f>
        <v/>
      </c>
      <c r="R1403">
        <f>IF([2]Entry!$E$1406="","",[2]Entry!$E$1406)</f>
        <v/>
      </c>
      <c r="S1403">
        <f>IF([2]Entry!$G$1406="","",[2]Entry!$G$1406)</f>
        <v/>
      </c>
      <c r="T1403">
        <f>IF([2]Entry!$J$1406="","",[2]Entry!$J$1406)</f>
        <v/>
      </c>
      <c r="U1403">
        <f>IF([2]Entry!$K$1406="","",[2]Entry!$K$1406)</f>
        <v/>
      </c>
      <c r="V1403">
        <f>IF([2]Entry!$L$1406="","",[2]Entry!$L$1406)</f>
        <v/>
      </c>
      <c r="W1403">
        <f>IF([2]Entry!$M$1406="","",[2]Entry!$M$1406)</f>
        <v/>
      </c>
      <c r="X1403">
        <f>IF([2]Entry!$N$1406="","",[2]Entry!$N$1406)</f>
        <v/>
      </c>
      <c r="Y1403">
        <f>IF([2]Entry!$R$1406="","",[2]Entry!$R$1406)</f>
        <v/>
      </c>
    </row>
    <row r="1404">
      <c r="P1404">
        <f>IF([2]Entry!$C$1407="","",[2]Entry!$C$1407)</f>
        <v/>
      </c>
      <c r="Q1404">
        <f>IF([2]Entry!$D$1407="","",[2]Entry!$D$1407)</f>
        <v/>
      </c>
      <c r="R1404">
        <f>IF([2]Entry!$E$1407="","",[2]Entry!$E$1407)</f>
        <v/>
      </c>
      <c r="S1404">
        <f>IF([2]Entry!$G$1407="","",[2]Entry!$G$1407)</f>
        <v/>
      </c>
      <c r="T1404">
        <f>IF([2]Entry!$J$1407="","",[2]Entry!$J$1407)</f>
        <v/>
      </c>
      <c r="U1404">
        <f>IF([2]Entry!$K$1407="","",[2]Entry!$K$1407)</f>
        <v/>
      </c>
      <c r="V1404">
        <f>IF([2]Entry!$L$1407="","",[2]Entry!$L$1407)</f>
        <v/>
      </c>
      <c r="W1404">
        <f>IF([2]Entry!$M$1407="","",[2]Entry!$M$1407)</f>
        <v/>
      </c>
      <c r="X1404">
        <f>IF([2]Entry!$N$1407="","",[2]Entry!$N$1407)</f>
        <v/>
      </c>
      <c r="Y1404">
        <f>IF([2]Entry!$R$1407="","",[2]Entry!$R$1407)</f>
        <v/>
      </c>
    </row>
    <row r="1405">
      <c r="P1405">
        <f>IF([2]Entry!$C$1408="","",[2]Entry!$C$1408)</f>
        <v/>
      </c>
      <c r="Q1405">
        <f>IF([2]Entry!$D$1408="","",[2]Entry!$D$1408)</f>
        <v/>
      </c>
      <c r="R1405">
        <f>IF([2]Entry!$E$1408="","",[2]Entry!$E$1408)</f>
        <v/>
      </c>
      <c r="S1405">
        <f>IF([2]Entry!$G$1408="","",[2]Entry!$G$1408)</f>
        <v/>
      </c>
      <c r="T1405">
        <f>IF([2]Entry!$J$1408="","",[2]Entry!$J$1408)</f>
        <v/>
      </c>
      <c r="U1405">
        <f>IF([2]Entry!$K$1408="","",[2]Entry!$K$1408)</f>
        <v/>
      </c>
      <c r="V1405">
        <f>IF([2]Entry!$L$1408="","",[2]Entry!$L$1408)</f>
        <v/>
      </c>
      <c r="W1405">
        <f>IF([2]Entry!$M$1408="","",[2]Entry!$M$1408)</f>
        <v/>
      </c>
      <c r="X1405">
        <f>IF([2]Entry!$N$1408="","",[2]Entry!$N$1408)</f>
        <v/>
      </c>
      <c r="Y1405">
        <f>IF([2]Entry!$R$1408="","",[2]Entry!$R$1408)</f>
        <v/>
      </c>
    </row>
    <row r="1406">
      <c r="P1406">
        <f>IF([2]Entry!$C$1409="","",[2]Entry!$C$1409)</f>
        <v/>
      </c>
      <c r="Q1406">
        <f>IF([2]Entry!$D$1409="","",[2]Entry!$D$1409)</f>
        <v/>
      </c>
      <c r="R1406">
        <f>IF([2]Entry!$E$1409="","",[2]Entry!$E$1409)</f>
        <v/>
      </c>
      <c r="S1406">
        <f>IF([2]Entry!$G$1409="","",[2]Entry!$G$1409)</f>
        <v/>
      </c>
      <c r="T1406">
        <f>IF([2]Entry!$J$1409="","",[2]Entry!$J$1409)</f>
        <v/>
      </c>
      <c r="U1406">
        <f>IF([2]Entry!$K$1409="","",[2]Entry!$K$1409)</f>
        <v/>
      </c>
      <c r="V1406">
        <f>IF([2]Entry!$L$1409="","",[2]Entry!$L$1409)</f>
        <v/>
      </c>
      <c r="W1406">
        <f>IF([2]Entry!$M$1409="","",[2]Entry!$M$1409)</f>
        <v/>
      </c>
      <c r="X1406">
        <f>IF([2]Entry!$N$1409="","",[2]Entry!$N$1409)</f>
        <v/>
      </c>
      <c r="Y1406">
        <f>IF([2]Entry!$R$1409="","",[2]Entry!$R$1409)</f>
        <v/>
      </c>
    </row>
    <row r="1407">
      <c r="P1407">
        <f>IF([2]Entry!$C$1410="","",[2]Entry!$C$1410)</f>
        <v/>
      </c>
      <c r="Q1407">
        <f>IF([2]Entry!$D$1410="","",[2]Entry!$D$1410)</f>
        <v/>
      </c>
      <c r="R1407">
        <f>IF([2]Entry!$E$1410="","",[2]Entry!$E$1410)</f>
        <v/>
      </c>
      <c r="S1407">
        <f>IF([2]Entry!$G$1410="","",[2]Entry!$G$1410)</f>
        <v/>
      </c>
      <c r="T1407">
        <f>IF([2]Entry!$J$1410="","",[2]Entry!$J$1410)</f>
        <v/>
      </c>
      <c r="U1407">
        <f>IF([2]Entry!$K$1410="","",[2]Entry!$K$1410)</f>
        <v/>
      </c>
      <c r="V1407">
        <f>IF([2]Entry!$L$1410="","",[2]Entry!$L$1410)</f>
        <v/>
      </c>
      <c r="W1407">
        <f>IF([2]Entry!$M$1410="","",[2]Entry!$M$1410)</f>
        <v/>
      </c>
      <c r="X1407">
        <f>IF([2]Entry!$N$1410="","",[2]Entry!$N$1410)</f>
        <v/>
      </c>
      <c r="Y1407">
        <f>IF([2]Entry!$R$1410="","",[2]Entry!$R$1410)</f>
        <v/>
      </c>
    </row>
    <row r="1408">
      <c r="P1408">
        <f>IF([2]Entry!$C$1411="","",[2]Entry!$C$1411)</f>
        <v/>
      </c>
      <c r="Q1408">
        <f>IF([2]Entry!$D$1411="","",[2]Entry!$D$1411)</f>
        <v/>
      </c>
      <c r="R1408">
        <f>IF([2]Entry!$E$1411="","",[2]Entry!$E$1411)</f>
        <v/>
      </c>
      <c r="S1408">
        <f>IF([2]Entry!$G$1411="","",[2]Entry!$G$1411)</f>
        <v/>
      </c>
      <c r="T1408">
        <f>IF([2]Entry!$J$1411="","",[2]Entry!$J$1411)</f>
        <v/>
      </c>
      <c r="U1408">
        <f>IF([2]Entry!$K$1411="","",[2]Entry!$K$1411)</f>
        <v/>
      </c>
      <c r="V1408">
        <f>IF([2]Entry!$L$1411="","",[2]Entry!$L$1411)</f>
        <v/>
      </c>
      <c r="W1408">
        <f>IF([2]Entry!$M$1411="","",[2]Entry!$M$1411)</f>
        <v/>
      </c>
      <c r="X1408">
        <f>IF([2]Entry!$N$1411="","",[2]Entry!$N$1411)</f>
        <v/>
      </c>
      <c r="Y1408">
        <f>IF([2]Entry!$R$1411="","",[2]Entry!$R$1411)</f>
        <v/>
      </c>
    </row>
    <row r="1409">
      <c r="P1409">
        <f>IF([2]Entry!$C$1412="","",[2]Entry!$C$1412)</f>
        <v/>
      </c>
      <c r="Q1409">
        <f>IF([2]Entry!$D$1412="","",[2]Entry!$D$1412)</f>
        <v/>
      </c>
      <c r="R1409">
        <f>IF([2]Entry!$E$1412="","",[2]Entry!$E$1412)</f>
        <v/>
      </c>
      <c r="S1409">
        <f>IF([2]Entry!$G$1412="","",[2]Entry!$G$1412)</f>
        <v/>
      </c>
      <c r="T1409">
        <f>IF([2]Entry!$J$1412="","",[2]Entry!$J$1412)</f>
        <v/>
      </c>
      <c r="U1409">
        <f>IF([2]Entry!$K$1412="","",[2]Entry!$K$1412)</f>
        <v/>
      </c>
      <c r="V1409">
        <f>IF([2]Entry!$L$1412="","",[2]Entry!$L$1412)</f>
        <v/>
      </c>
      <c r="W1409">
        <f>IF([2]Entry!$M$1412="","",[2]Entry!$M$1412)</f>
        <v/>
      </c>
      <c r="X1409">
        <f>IF([2]Entry!$N$1412="","",[2]Entry!$N$1412)</f>
        <v/>
      </c>
      <c r="Y1409">
        <f>IF([2]Entry!$R$1412="","",[2]Entry!$R$1412)</f>
        <v/>
      </c>
    </row>
    <row r="1410">
      <c r="P1410">
        <f>IF([2]Entry!$C$1413="","",[2]Entry!$C$1413)</f>
        <v/>
      </c>
      <c r="Q1410">
        <f>IF([2]Entry!$D$1413="","",[2]Entry!$D$1413)</f>
        <v/>
      </c>
      <c r="R1410">
        <f>IF([2]Entry!$E$1413="","",[2]Entry!$E$1413)</f>
        <v/>
      </c>
      <c r="S1410">
        <f>IF([2]Entry!$G$1413="","",[2]Entry!$G$1413)</f>
        <v/>
      </c>
      <c r="T1410">
        <f>IF([2]Entry!$J$1413="","",[2]Entry!$J$1413)</f>
        <v/>
      </c>
      <c r="U1410">
        <f>IF([2]Entry!$K$1413="","",[2]Entry!$K$1413)</f>
        <v/>
      </c>
      <c r="V1410">
        <f>IF([2]Entry!$L$1413="","",[2]Entry!$L$1413)</f>
        <v/>
      </c>
      <c r="W1410">
        <f>IF([2]Entry!$M$1413="","",[2]Entry!$M$1413)</f>
        <v/>
      </c>
      <c r="X1410">
        <f>IF([2]Entry!$N$1413="","",[2]Entry!$N$1413)</f>
        <v/>
      </c>
      <c r="Y1410">
        <f>IF([2]Entry!$R$1413="","",[2]Entry!$R$1413)</f>
        <v/>
      </c>
    </row>
    <row r="1411">
      <c r="P1411">
        <f>IF([2]Entry!$C$1414="","",[2]Entry!$C$1414)</f>
        <v/>
      </c>
      <c r="Q1411">
        <f>IF([2]Entry!$D$1414="","",[2]Entry!$D$1414)</f>
        <v/>
      </c>
      <c r="R1411">
        <f>IF([2]Entry!$E$1414="","",[2]Entry!$E$1414)</f>
        <v/>
      </c>
      <c r="S1411">
        <f>IF([2]Entry!$G$1414="","",[2]Entry!$G$1414)</f>
        <v/>
      </c>
      <c r="T1411">
        <f>IF([2]Entry!$J$1414="","",[2]Entry!$J$1414)</f>
        <v/>
      </c>
      <c r="U1411">
        <f>IF([2]Entry!$K$1414="","",[2]Entry!$K$1414)</f>
        <v/>
      </c>
      <c r="V1411">
        <f>IF([2]Entry!$L$1414="","",[2]Entry!$L$1414)</f>
        <v/>
      </c>
      <c r="W1411">
        <f>IF([2]Entry!$M$1414="","",[2]Entry!$M$1414)</f>
        <v/>
      </c>
      <c r="X1411">
        <f>IF([2]Entry!$N$1414="","",[2]Entry!$N$1414)</f>
        <v/>
      </c>
      <c r="Y1411">
        <f>IF([2]Entry!$R$1414="","",[2]Entry!$R$1414)</f>
        <v/>
      </c>
    </row>
    <row r="1412">
      <c r="P1412">
        <f>IF([2]Entry!$C$1415="","",[2]Entry!$C$1415)</f>
        <v/>
      </c>
      <c r="Q1412">
        <f>IF([2]Entry!$D$1415="","",[2]Entry!$D$1415)</f>
        <v/>
      </c>
      <c r="R1412">
        <f>IF([2]Entry!$E$1415="","",[2]Entry!$E$1415)</f>
        <v/>
      </c>
      <c r="S1412">
        <f>IF([2]Entry!$G$1415="","",[2]Entry!$G$1415)</f>
        <v/>
      </c>
      <c r="T1412">
        <f>IF([2]Entry!$J$1415="","",[2]Entry!$J$1415)</f>
        <v/>
      </c>
      <c r="U1412">
        <f>IF([2]Entry!$K$1415="","",[2]Entry!$K$1415)</f>
        <v/>
      </c>
      <c r="V1412">
        <f>IF([2]Entry!$L$1415="","",[2]Entry!$L$1415)</f>
        <v/>
      </c>
      <c r="W1412">
        <f>IF([2]Entry!$M$1415="","",[2]Entry!$M$1415)</f>
        <v/>
      </c>
      <c r="X1412">
        <f>IF([2]Entry!$N$1415="","",[2]Entry!$N$1415)</f>
        <v/>
      </c>
      <c r="Y1412">
        <f>IF([2]Entry!$R$1415="","",[2]Entry!$R$1415)</f>
        <v/>
      </c>
    </row>
    <row r="1413">
      <c r="P1413">
        <f>IF([2]Entry!$C$1416="","",[2]Entry!$C$1416)</f>
        <v/>
      </c>
      <c r="Q1413">
        <f>IF([2]Entry!$D$1416="","",[2]Entry!$D$1416)</f>
        <v/>
      </c>
      <c r="R1413">
        <f>IF([2]Entry!$E$1416="","",[2]Entry!$E$1416)</f>
        <v/>
      </c>
      <c r="S1413">
        <f>IF([2]Entry!$G$1416="","",[2]Entry!$G$1416)</f>
        <v/>
      </c>
      <c r="T1413">
        <f>IF([2]Entry!$J$1416="","",[2]Entry!$J$1416)</f>
        <v/>
      </c>
      <c r="U1413">
        <f>IF([2]Entry!$K$1416="","",[2]Entry!$K$1416)</f>
        <v/>
      </c>
      <c r="V1413">
        <f>IF([2]Entry!$L$1416="","",[2]Entry!$L$1416)</f>
        <v/>
      </c>
      <c r="W1413">
        <f>IF([2]Entry!$M$1416="","",[2]Entry!$M$1416)</f>
        <v/>
      </c>
      <c r="X1413">
        <f>IF([2]Entry!$N$1416="","",[2]Entry!$N$1416)</f>
        <v/>
      </c>
      <c r="Y1413">
        <f>IF([2]Entry!$R$1416="","",[2]Entry!$R$1416)</f>
        <v/>
      </c>
    </row>
    <row r="1414">
      <c r="P1414">
        <f>IF([2]Entry!$C$1417="","",[2]Entry!$C$1417)</f>
        <v/>
      </c>
      <c r="Q1414">
        <f>IF([2]Entry!$D$1417="","",[2]Entry!$D$1417)</f>
        <v/>
      </c>
      <c r="R1414">
        <f>IF([2]Entry!$E$1417="","",[2]Entry!$E$1417)</f>
        <v/>
      </c>
      <c r="S1414">
        <f>IF([2]Entry!$G$1417="","",[2]Entry!$G$1417)</f>
        <v/>
      </c>
      <c r="T1414">
        <f>IF([2]Entry!$J$1417="","",[2]Entry!$J$1417)</f>
        <v/>
      </c>
      <c r="U1414">
        <f>IF([2]Entry!$K$1417="","",[2]Entry!$K$1417)</f>
        <v/>
      </c>
      <c r="V1414">
        <f>IF([2]Entry!$L$1417="","",[2]Entry!$L$1417)</f>
        <v/>
      </c>
      <c r="W1414">
        <f>IF([2]Entry!$M$1417="","",[2]Entry!$M$1417)</f>
        <v/>
      </c>
      <c r="X1414">
        <f>IF([2]Entry!$N$1417="","",[2]Entry!$N$1417)</f>
        <v/>
      </c>
      <c r="Y1414">
        <f>IF([2]Entry!$R$1417="","",[2]Entry!$R$1417)</f>
        <v/>
      </c>
    </row>
    <row r="1415">
      <c r="P1415">
        <f>IF([2]Entry!$C$1418="","",[2]Entry!$C$1418)</f>
        <v/>
      </c>
      <c r="Q1415">
        <f>IF([2]Entry!$D$1418="","",[2]Entry!$D$1418)</f>
        <v/>
      </c>
      <c r="R1415">
        <f>IF([2]Entry!$E$1418="","",[2]Entry!$E$1418)</f>
        <v/>
      </c>
      <c r="S1415">
        <f>IF([2]Entry!$G$1418="","",[2]Entry!$G$1418)</f>
        <v/>
      </c>
      <c r="T1415">
        <f>IF([2]Entry!$J$1418="","",[2]Entry!$J$1418)</f>
        <v/>
      </c>
      <c r="U1415">
        <f>IF([2]Entry!$K$1418="","",[2]Entry!$K$1418)</f>
        <v/>
      </c>
      <c r="V1415">
        <f>IF([2]Entry!$L$1418="","",[2]Entry!$L$1418)</f>
        <v/>
      </c>
      <c r="W1415">
        <f>IF([2]Entry!$M$1418="","",[2]Entry!$M$1418)</f>
        <v/>
      </c>
      <c r="X1415">
        <f>IF([2]Entry!$N$1418="","",[2]Entry!$N$1418)</f>
        <v/>
      </c>
      <c r="Y1415">
        <f>IF([2]Entry!$R$1418="","",[2]Entry!$R$1418)</f>
        <v/>
      </c>
    </row>
    <row r="1416">
      <c r="P1416">
        <f>IF([2]Entry!$C$1419="","",[2]Entry!$C$1419)</f>
        <v/>
      </c>
      <c r="Q1416">
        <f>IF([2]Entry!$D$1419="","",[2]Entry!$D$1419)</f>
        <v/>
      </c>
      <c r="R1416">
        <f>IF([2]Entry!$E$1419="","",[2]Entry!$E$1419)</f>
        <v/>
      </c>
      <c r="S1416">
        <f>IF([2]Entry!$G$1419="","",[2]Entry!$G$1419)</f>
        <v/>
      </c>
      <c r="T1416">
        <f>IF([2]Entry!$J$1419="","",[2]Entry!$J$1419)</f>
        <v/>
      </c>
      <c r="U1416">
        <f>IF([2]Entry!$K$1419="","",[2]Entry!$K$1419)</f>
        <v/>
      </c>
      <c r="V1416">
        <f>IF([2]Entry!$L$1419="","",[2]Entry!$L$1419)</f>
        <v/>
      </c>
      <c r="W1416">
        <f>IF([2]Entry!$M$1419="","",[2]Entry!$M$1419)</f>
        <v/>
      </c>
      <c r="X1416">
        <f>IF([2]Entry!$N$1419="","",[2]Entry!$N$1419)</f>
        <v/>
      </c>
      <c r="Y1416">
        <f>IF([2]Entry!$R$1419="","",[2]Entry!$R$1419)</f>
        <v/>
      </c>
    </row>
    <row r="1417">
      <c r="P1417">
        <f>IF([2]Entry!$C$1420="","",[2]Entry!$C$1420)</f>
        <v/>
      </c>
      <c r="Q1417">
        <f>IF([2]Entry!$D$1420="","",[2]Entry!$D$1420)</f>
        <v/>
      </c>
      <c r="R1417">
        <f>IF([2]Entry!$E$1420="","",[2]Entry!$E$1420)</f>
        <v/>
      </c>
      <c r="S1417">
        <f>IF([2]Entry!$G$1420="","",[2]Entry!$G$1420)</f>
        <v/>
      </c>
      <c r="T1417">
        <f>IF([2]Entry!$J$1420="","",[2]Entry!$J$1420)</f>
        <v/>
      </c>
      <c r="U1417">
        <f>IF([2]Entry!$K$1420="","",[2]Entry!$K$1420)</f>
        <v/>
      </c>
      <c r="V1417">
        <f>IF([2]Entry!$L$1420="","",[2]Entry!$L$1420)</f>
        <v/>
      </c>
      <c r="W1417">
        <f>IF([2]Entry!$M$1420="","",[2]Entry!$M$1420)</f>
        <v/>
      </c>
      <c r="X1417">
        <f>IF([2]Entry!$N$1420="","",[2]Entry!$N$1420)</f>
        <v/>
      </c>
      <c r="Y1417">
        <f>IF([2]Entry!$R$1420="","",[2]Entry!$R$1420)</f>
        <v/>
      </c>
    </row>
    <row r="1418">
      <c r="P1418">
        <f>IF([2]Entry!$C$1421="","",[2]Entry!$C$1421)</f>
        <v/>
      </c>
      <c r="Q1418">
        <f>IF([2]Entry!$D$1421="","",[2]Entry!$D$1421)</f>
        <v/>
      </c>
      <c r="R1418">
        <f>IF([2]Entry!$E$1421="","",[2]Entry!$E$1421)</f>
        <v/>
      </c>
      <c r="S1418">
        <f>IF([2]Entry!$G$1421="","",[2]Entry!$G$1421)</f>
        <v/>
      </c>
      <c r="T1418">
        <f>IF([2]Entry!$J$1421="","",[2]Entry!$J$1421)</f>
        <v/>
      </c>
      <c r="U1418">
        <f>IF([2]Entry!$K$1421="","",[2]Entry!$K$1421)</f>
        <v/>
      </c>
      <c r="V1418">
        <f>IF([2]Entry!$L$1421="","",[2]Entry!$L$1421)</f>
        <v/>
      </c>
      <c r="W1418">
        <f>IF([2]Entry!$M$1421="","",[2]Entry!$M$1421)</f>
        <v/>
      </c>
      <c r="X1418">
        <f>IF([2]Entry!$N$1421="","",[2]Entry!$N$1421)</f>
        <v/>
      </c>
      <c r="Y1418">
        <f>IF([2]Entry!$R$1421="","",[2]Entry!$R$1421)</f>
        <v/>
      </c>
    </row>
    <row r="1419">
      <c r="P1419">
        <f>IF([2]Entry!$C$1422="","",[2]Entry!$C$1422)</f>
        <v/>
      </c>
      <c r="Q1419">
        <f>IF([2]Entry!$D$1422="","",[2]Entry!$D$1422)</f>
        <v/>
      </c>
      <c r="R1419">
        <f>IF([2]Entry!$E$1422="","",[2]Entry!$E$1422)</f>
        <v/>
      </c>
      <c r="S1419">
        <f>IF([2]Entry!$G$1422="","",[2]Entry!$G$1422)</f>
        <v/>
      </c>
      <c r="T1419">
        <f>IF([2]Entry!$J$1422="","",[2]Entry!$J$1422)</f>
        <v/>
      </c>
      <c r="U1419">
        <f>IF([2]Entry!$K$1422="","",[2]Entry!$K$1422)</f>
        <v/>
      </c>
      <c r="V1419">
        <f>IF([2]Entry!$L$1422="","",[2]Entry!$L$1422)</f>
        <v/>
      </c>
      <c r="W1419">
        <f>IF([2]Entry!$M$1422="","",[2]Entry!$M$1422)</f>
        <v/>
      </c>
      <c r="X1419">
        <f>IF([2]Entry!$N$1422="","",[2]Entry!$N$1422)</f>
        <v/>
      </c>
      <c r="Y1419">
        <f>IF([2]Entry!$R$1422="","",[2]Entry!$R$1422)</f>
        <v/>
      </c>
    </row>
    <row r="1420">
      <c r="P1420">
        <f>IF([2]Entry!$C$1423="","",[2]Entry!$C$1423)</f>
        <v/>
      </c>
      <c r="Q1420">
        <f>IF([2]Entry!$D$1423="","",[2]Entry!$D$1423)</f>
        <v/>
      </c>
      <c r="R1420">
        <f>IF([2]Entry!$E$1423="","",[2]Entry!$E$1423)</f>
        <v/>
      </c>
      <c r="S1420">
        <f>IF([2]Entry!$G$1423="","",[2]Entry!$G$1423)</f>
        <v/>
      </c>
      <c r="T1420">
        <f>IF([2]Entry!$J$1423="","",[2]Entry!$J$1423)</f>
        <v/>
      </c>
      <c r="U1420">
        <f>IF([2]Entry!$K$1423="","",[2]Entry!$K$1423)</f>
        <v/>
      </c>
      <c r="V1420">
        <f>IF([2]Entry!$L$1423="","",[2]Entry!$L$1423)</f>
        <v/>
      </c>
      <c r="W1420">
        <f>IF([2]Entry!$M$1423="","",[2]Entry!$M$1423)</f>
        <v/>
      </c>
      <c r="X1420">
        <f>IF([2]Entry!$N$1423="","",[2]Entry!$N$1423)</f>
        <v/>
      </c>
      <c r="Y1420">
        <f>IF([2]Entry!$R$1423="","",[2]Entry!$R$1423)</f>
        <v/>
      </c>
    </row>
    <row r="1421">
      <c r="P1421">
        <f>IF([2]Entry!$C$1424="","",[2]Entry!$C$1424)</f>
        <v/>
      </c>
      <c r="Q1421">
        <f>IF([2]Entry!$D$1424="","",[2]Entry!$D$1424)</f>
        <v/>
      </c>
      <c r="R1421">
        <f>IF([2]Entry!$E$1424="","",[2]Entry!$E$1424)</f>
        <v/>
      </c>
      <c r="S1421">
        <f>IF([2]Entry!$G$1424="","",[2]Entry!$G$1424)</f>
        <v/>
      </c>
      <c r="T1421">
        <f>IF([2]Entry!$J$1424="","",[2]Entry!$J$1424)</f>
        <v/>
      </c>
      <c r="U1421">
        <f>IF([2]Entry!$K$1424="","",[2]Entry!$K$1424)</f>
        <v/>
      </c>
      <c r="V1421">
        <f>IF([2]Entry!$L$1424="","",[2]Entry!$L$1424)</f>
        <v/>
      </c>
      <c r="W1421">
        <f>IF([2]Entry!$M$1424="","",[2]Entry!$M$1424)</f>
        <v/>
      </c>
      <c r="X1421">
        <f>IF([2]Entry!$N$1424="","",[2]Entry!$N$1424)</f>
        <v/>
      </c>
      <c r="Y1421">
        <f>IF([2]Entry!$R$1424="","",[2]Entry!$R$1424)</f>
        <v/>
      </c>
    </row>
    <row r="1422">
      <c r="P1422">
        <f>IF([2]Entry!$C$1425="","",[2]Entry!$C$1425)</f>
        <v/>
      </c>
      <c r="Q1422">
        <f>IF([2]Entry!$D$1425="","",[2]Entry!$D$1425)</f>
        <v/>
      </c>
      <c r="R1422">
        <f>IF([2]Entry!$E$1425="","",[2]Entry!$E$1425)</f>
        <v/>
      </c>
      <c r="S1422">
        <f>IF([2]Entry!$G$1425="","",[2]Entry!$G$1425)</f>
        <v/>
      </c>
      <c r="T1422">
        <f>IF([2]Entry!$J$1425="","",[2]Entry!$J$1425)</f>
        <v/>
      </c>
      <c r="U1422">
        <f>IF([2]Entry!$K$1425="","",[2]Entry!$K$1425)</f>
        <v/>
      </c>
      <c r="V1422">
        <f>IF([2]Entry!$L$1425="","",[2]Entry!$L$1425)</f>
        <v/>
      </c>
      <c r="W1422">
        <f>IF([2]Entry!$M$1425="","",[2]Entry!$M$1425)</f>
        <v/>
      </c>
      <c r="X1422">
        <f>IF([2]Entry!$N$1425="","",[2]Entry!$N$1425)</f>
        <v/>
      </c>
      <c r="Y1422">
        <f>IF([2]Entry!$R$1425="","",[2]Entry!$R$1425)</f>
        <v/>
      </c>
    </row>
    <row r="1423">
      <c r="P1423">
        <f>IF([2]Entry!$C$1426="","",[2]Entry!$C$1426)</f>
        <v/>
      </c>
      <c r="Q1423">
        <f>IF([2]Entry!$D$1426="","",[2]Entry!$D$1426)</f>
        <v/>
      </c>
      <c r="R1423">
        <f>IF([2]Entry!$E$1426="","",[2]Entry!$E$1426)</f>
        <v/>
      </c>
      <c r="S1423">
        <f>IF([2]Entry!$G$1426="","",[2]Entry!$G$1426)</f>
        <v/>
      </c>
      <c r="T1423">
        <f>IF([2]Entry!$J$1426="","",[2]Entry!$J$1426)</f>
        <v/>
      </c>
      <c r="U1423">
        <f>IF([2]Entry!$K$1426="","",[2]Entry!$K$1426)</f>
        <v/>
      </c>
      <c r="V1423">
        <f>IF([2]Entry!$L$1426="","",[2]Entry!$L$1426)</f>
        <v/>
      </c>
      <c r="W1423">
        <f>IF([2]Entry!$M$1426="","",[2]Entry!$M$1426)</f>
        <v/>
      </c>
      <c r="X1423">
        <f>IF([2]Entry!$N$1426="","",[2]Entry!$N$1426)</f>
        <v/>
      </c>
      <c r="Y1423">
        <f>IF([2]Entry!$R$1426="","",[2]Entry!$R$1426)</f>
        <v/>
      </c>
    </row>
    <row r="1424">
      <c r="P1424">
        <f>IF([2]Entry!$C$1427="","",[2]Entry!$C$1427)</f>
        <v/>
      </c>
      <c r="Q1424">
        <f>IF([2]Entry!$D$1427="","",[2]Entry!$D$1427)</f>
        <v/>
      </c>
      <c r="R1424">
        <f>IF([2]Entry!$E$1427="","",[2]Entry!$E$1427)</f>
        <v/>
      </c>
      <c r="S1424">
        <f>IF([2]Entry!$G$1427="","",[2]Entry!$G$1427)</f>
        <v/>
      </c>
      <c r="T1424">
        <f>IF([2]Entry!$J$1427="","",[2]Entry!$J$1427)</f>
        <v/>
      </c>
      <c r="U1424">
        <f>IF([2]Entry!$K$1427="","",[2]Entry!$K$1427)</f>
        <v/>
      </c>
      <c r="V1424">
        <f>IF([2]Entry!$L$1427="","",[2]Entry!$L$1427)</f>
        <v/>
      </c>
      <c r="W1424">
        <f>IF([2]Entry!$M$1427="","",[2]Entry!$M$1427)</f>
        <v/>
      </c>
      <c r="X1424">
        <f>IF([2]Entry!$N$1427="","",[2]Entry!$N$1427)</f>
        <v/>
      </c>
      <c r="Y1424">
        <f>IF([2]Entry!$R$1427="","",[2]Entry!$R$1427)</f>
        <v/>
      </c>
    </row>
    <row r="1425">
      <c r="P1425">
        <f>IF([2]Entry!$C$1428="","",[2]Entry!$C$1428)</f>
        <v/>
      </c>
      <c r="Q1425">
        <f>IF([2]Entry!$D$1428="","",[2]Entry!$D$1428)</f>
        <v/>
      </c>
      <c r="R1425">
        <f>IF([2]Entry!$E$1428="","",[2]Entry!$E$1428)</f>
        <v/>
      </c>
      <c r="S1425">
        <f>IF([2]Entry!$G$1428="","",[2]Entry!$G$1428)</f>
        <v/>
      </c>
      <c r="T1425">
        <f>IF([2]Entry!$J$1428="","",[2]Entry!$J$1428)</f>
        <v/>
      </c>
      <c r="U1425">
        <f>IF([2]Entry!$K$1428="","",[2]Entry!$K$1428)</f>
        <v/>
      </c>
      <c r="V1425">
        <f>IF([2]Entry!$L$1428="","",[2]Entry!$L$1428)</f>
        <v/>
      </c>
      <c r="W1425">
        <f>IF([2]Entry!$M$1428="","",[2]Entry!$M$1428)</f>
        <v/>
      </c>
      <c r="X1425">
        <f>IF([2]Entry!$N$1428="","",[2]Entry!$N$1428)</f>
        <v/>
      </c>
      <c r="Y1425">
        <f>IF([2]Entry!$R$1428="","",[2]Entry!$R$1428)</f>
        <v/>
      </c>
    </row>
    <row r="1426">
      <c r="P1426">
        <f>IF([2]Entry!$C$1429="","",[2]Entry!$C$1429)</f>
        <v/>
      </c>
      <c r="Q1426">
        <f>IF([2]Entry!$D$1429="","",[2]Entry!$D$1429)</f>
        <v/>
      </c>
      <c r="R1426">
        <f>IF([2]Entry!$E$1429="","",[2]Entry!$E$1429)</f>
        <v/>
      </c>
      <c r="S1426">
        <f>IF([2]Entry!$G$1429="","",[2]Entry!$G$1429)</f>
        <v/>
      </c>
      <c r="T1426">
        <f>IF([2]Entry!$J$1429="","",[2]Entry!$J$1429)</f>
        <v/>
      </c>
      <c r="U1426">
        <f>IF([2]Entry!$K$1429="","",[2]Entry!$K$1429)</f>
        <v/>
      </c>
      <c r="V1426">
        <f>IF([2]Entry!$L$1429="","",[2]Entry!$L$1429)</f>
        <v/>
      </c>
      <c r="W1426">
        <f>IF([2]Entry!$M$1429="","",[2]Entry!$M$1429)</f>
        <v/>
      </c>
      <c r="X1426">
        <f>IF([2]Entry!$N$1429="","",[2]Entry!$N$1429)</f>
        <v/>
      </c>
      <c r="Y1426">
        <f>IF([2]Entry!$R$1429="","",[2]Entry!$R$1429)</f>
        <v/>
      </c>
    </row>
    <row r="1427">
      <c r="P1427">
        <f>IF([2]Entry!$C$1430="","",[2]Entry!$C$1430)</f>
        <v/>
      </c>
      <c r="Q1427">
        <f>IF([2]Entry!$D$1430="","",[2]Entry!$D$1430)</f>
        <v/>
      </c>
      <c r="R1427">
        <f>IF([2]Entry!$E$1430="","",[2]Entry!$E$1430)</f>
        <v/>
      </c>
      <c r="S1427">
        <f>IF([2]Entry!$G$1430="","",[2]Entry!$G$1430)</f>
        <v/>
      </c>
      <c r="T1427">
        <f>IF([2]Entry!$J$1430="","",[2]Entry!$J$1430)</f>
        <v/>
      </c>
      <c r="U1427">
        <f>IF([2]Entry!$K$1430="","",[2]Entry!$K$1430)</f>
        <v/>
      </c>
      <c r="V1427">
        <f>IF([2]Entry!$L$1430="","",[2]Entry!$L$1430)</f>
        <v/>
      </c>
      <c r="W1427">
        <f>IF([2]Entry!$M$1430="","",[2]Entry!$M$1430)</f>
        <v/>
      </c>
      <c r="X1427">
        <f>IF([2]Entry!$N$1430="","",[2]Entry!$N$1430)</f>
        <v/>
      </c>
      <c r="Y1427">
        <f>IF([2]Entry!$R$1430="","",[2]Entry!$R$1430)</f>
        <v/>
      </c>
    </row>
    <row r="1428">
      <c r="P1428">
        <f>IF([2]Entry!$C$1431="","",[2]Entry!$C$1431)</f>
        <v/>
      </c>
      <c r="Q1428">
        <f>IF([2]Entry!$D$1431="","",[2]Entry!$D$1431)</f>
        <v/>
      </c>
      <c r="R1428">
        <f>IF([2]Entry!$E$1431="","",[2]Entry!$E$1431)</f>
        <v/>
      </c>
      <c r="S1428">
        <f>IF([2]Entry!$G$1431="","",[2]Entry!$G$1431)</f>
        <v/>
      </c>
      <c r="T1428">
        <f>IF([2]Entry!$J$1431="","",[2]Entry!$J$1431)</f>
        <v/>
      </c>
      <c r="U1428">
        <f>IF([2]Entry!$K$1431="","",[2]Entry!$K$1431)</f>
        <v/>
      </c>
      <c r="V1428">
        <f>IF([2]Entry!$L$1431="","",[2]Entry!$L$1431)</f>
        <v/>
      </c>
      <c r="W1428">
        <f>IF([2]Entry!$M$1431="","",[2]Entry!$M$1431)</f>
        <v/>
      </c>
      <c r="X1428">
        <f>IF([2]Entry!$N$1431="","",[2]Entry!$N$1431)</f>
        <v/>
      </c>
      <c r="Y1428">
        <f>IF([2]Entry!$R$1431="","",[2]Entry!$R$1431)</f>
        <v/>
      </c>
    </row>
    <row r="1429">
      <c r="P1429">
        <f>IF([2]Entry!$C$1432="","",[2]Entry!$C$1432)</f>
        <v/>
      </c>
      <c r="Q1429">
        <f>IF([2]Entry!$D$1432="","",[2]Entry!$D$1432)</f>
        <v/>
      </c>
      <c r="R1429">
        <f>IF([2]Entry!$E$1432="","",[2]Entry!$E$1432)</f>
        <v/>
      </c>
      <c r="S1429">
        <f>IF([2]Entry!$G$1432="","",[2]Entry!$G$1432)</f>
        <v/>
      </c>
      <c r="T1429">
        <f>IF([2]Entry!$J$1432="","",[2]Entry!$J$1432)</f>
        <v/>
      </c>
      <c r="U1429">
        <f>IF([2]Entry!$K$1432="","",[2]Entry!$K$1432)</f>
        <v/>
      </c>
      <c r="V1429">
        <f>IF([2]Entry!$L$1432="","",[2]Entry!$L$1432)</f>
        <v/>
      </c>
      <c r="W1429">
        <f>IF([2]Entry!$M$1432="","",[2]Entry!$M$1432)</f>
        <v/>
      </c>
      <c r="X1429">
        <f>IF([2]Entry!$N$1432="","",[2]Entry!$N$1432)</f>
        <v/>
      </c>
      <c r="Y1429">
        <f>IF([2]Entry!$R$1432="","",[2]Entry!$R$1432)</f>
        <v/>
      </c>
    </row>
    <row r="1430">
      <c r="P1430">
        <f>IF([2]Entry!$C$1433="","",[2]Entry!$C$1433)</f>
        <v/>
      </c>
      <c r="Q1430">
        <f>IF([2]Entry!$D$1433="","",[2]Entry!$D$1433)</f>
        <v/>
      </c>
      <c r="R1430">
        <f>IF([2]Entry!$E$1433="","",[2]Entry!$E$1433)</f>
        <v/>
      </c>
      <c r="S1430">
        <f>IF([2]Entry!$G$1433="","",[2]Entry!$G$1433)</f>
        <v/>
      </c>
      <c r="T1430">
        <f>IF([2]Entry!$J$1433="","",[2]Entry!$J$1433)</f>
        <v/>
      </c>
      <c r="U1430">
        <f>IF([2]Entry!$K$1433="","",[2]Entry!$K$1433)</f>
        <v/>
      </c>
      <c r="V1430">
        <f>IF([2]Entry!$L$1433="","",[2]Entry!$L$1433)</f>
        <v/>
      </c>
      <c r="W1430">
        <f>IF([2]Entry!$M$1433="","",[2]Entry!$M$1433)</f>
        <v/>
      </c>
      <c r="X1430">
        <f>IF([2]Entry!$N$1433="","",[2]Entry!$N$1433)</f>
        <v/>
      </c>
      <c r="Y1430">
        <f>IF([2]Entry!$R$1433="","",[2]Entry!$R$1433)</f>
        <v/>
      </c>
    </row>
    <row r="1431">
      <c r="P1431">
        <f>IF([2]Entry!$C$1434="","",[2]Entry!$C$1434)</f>
        <v/>
      </c>
      <c r="Q1431">
        <f>IF([2]Entry!$D$1434="","",[2]Entry!$D$1434)</f>
        <v/>
      </c>
      <c r="R1431">
        <f>IF([2]Entry!$E$1434="","",[2]Entry!$E$1434)</f>
        <v/>
      </c>
      <c r="S1431">
        <f>IF([2]Entry!$G$1434="","",[2]Entry!$G$1434)</f>
        <v/>
      </c>
      <c r="T1431">
        <f>IF([2]Entry!$J$1434="","",[2]Entry!$J$1434)</f>
        <v/>
      </c>
      <c r="U1431">
        <f>IF([2]Entry!$K$1434="","",[2]Entry!$K$1434)</f>
        <v/>
      </c>
      <c r="V1431">
        <f>IF([2]Entry!$L$1434="","",[2]Entry!$L$1434)</f>
        <v/>
      </c>
      <c r="W1431">
        <f>IF([2]Entry!$M$1434="","",[2]Entry!$M$1434)</f>
        <v/>
      </c>
      <c r="X1431">
        <f>IF([2]Entry!$N$1434="","",[2]Entry!$N$1434)</f>
        <v/>
      </c>
      <c r="Y1431">
        <f>IF([2]Entry!$R$1434="","",[2]Entry!$R$1434)</f>
        <v/>
      </c>
    </row>
    <row r="1432">
      <c r="P1432">
        <f>IF([2]Entry!$C$1435="","",[2]Entry!$C$1435)</f>
        <v/>
      </c>
      <c r="Q1432">
        <f>IF([2]Entry!$D$1435="","",[2]Entry!$D$1435)</f>
        <v/>
      </c>
      <c r="R1432">
        <f>IF([2]Entry!$E$1435="","",[2]Entry!$E$1435)</f>
        <v/>
      </c>
      <c r="S1432">
        <f>IF([2]Entry!$G$1435="","",[2]Entry!$G$1435)</f>
        <v/>
      </c>
      <c r="T1432">
        <f>IF([2]Entry!$J$1435="","",[2]Entry!$J$1435)</f>
        <v/>
      </c>
      <c r="U1432">
        <f>IF([2]Entry!$K$1435="","",[2]Entry!$K$1435)</f>
        <v/>
      </c>
      <c r="V1432">
        <f>IF([2]Entry!$L$1435="","",[2]Entry!$L$1435)</f>
        <v/>
      </c>
      <c r="W1432">
        <f>IF([2]Entry!$M$1435="","",[2]Entry!$M$1435)</f>
        <v/>
      </c>
      <c r="X1432">
        <f>IF([2]Entry!$N$1435="","",[2]Entry!$N$1435)</f>
        <v/>
      </c>
      <c r="Y1432">
        <f>IF([2]Entry!$R$1435="","",[2]Entry!$R$1435)</f>
        <v/>
      </c>
    </row>
    <row r="1433">
      <c r="P1433">
        <f>IF([2]Entry!$C$1436="","",[2]Entry!$C$1436)</f>
        <v/>
      </c>
      <c r="Q1433">
        <f>IF([2]Entry!$D$1436="","",[2]Entry!$D$1436)</f>
        <v/>
      </c>
      <c r="R1433">
        <f>IF([2]Entry!$E$1436="","",[2]Entry!$E$1436)</f>
        <v/>
      </c>
      <c r="S1433">
        <f>IF([2]Entry!$G$1436="","",[2]Entry!$G$1436)</f>
        <v/>
      </c>
      <c r="T1433">
        <f>IF([2]Entry!$J$1436="","",[2]Entry!$J$1436)</f>
        <v/>
      </c>
      <c r="U1433">
        <f>IF([2]Entry!$K$1436="","",[2]Entry!$K$1436)</f>
        <v/>
      </c>
      <c r="V1433">
        <f>IF([2]Entry!$L$1436="","",[2]Entry!$L$1436)</f>
        <v/>
      </c>
      <c r="W1433">
        <f>IF([2]Entry!$M$1436="","",[2]Entry!$M$1436)</f>
        <v/>
      </c>
      <c r="X1433">
        <f>IF([2]Entry!$N$1436="","",[2]Entry!$N$1436)</f>
        <v/>
      </c>
      <c r="Y1433">
        <f>IF([2]Entry!$R$1436="","",[2]Entry!$R$1436)</f>
        <v/>
      </c>
    </row>
    <row r="1434">
      <c r="P1434">
        <f>IF([2]Entry!$C$1437="","",[2]Entry!$C$1437)</f>
        <v/>
      </c>
      <c r="Q1434">
        <f>IF([2]Entry!$D$1437="","",[2]Entry!$D$1437)</f>
        <v/>
      </c>
      <c r="R1434">
        <f>IF([2]Entry!$E$1437="","",[2]Entry!$E$1437)</f>
        <v/>
      </c>
      <c r="S1434">
        <f>IF([2]Entry!$G$1437="","",[2]Entry!$G$1437)</f>
        <v/>
      </c>
      <c r="T1434">
        <f>IF([2]Entry!$J$1437="","",[2]Entry!$J$1437)</f>
        <v/>
      </c>
      <c r="U1434">
        <f>IF([2]Entry!$K$1437="","",[2]Entry!$K$1437)</f>
        <v/>
      </c>
      <c r="V1434">
        <f>IF([2]Entry!$L$1437="","",[2]Entry!$L$1437)</f>
        <v/>
      </c>
      <c r="W1434">
        <f>IF([2]Entry!$M$1437="","",[2]Entry!$M$1437)</f>
        <v/>
      </c>
      <c r="X1434">
        <f>IF([2]Entry!$N$1437="","",[2]Entry!$N$1437)</f>
        <v/>
      </c>
      <c r="Y1434">
        <f>IF([2]Entry!$R$1437="","",[2]Entry!$R$1437)</f>
        <v/>
      </c>
    </row>
    <row r="1435">
      <c r="P1435">
        <f>IF([2]Entry!$C$1438="","",[2]Entry!$C$1438)</f>
        <v/>
      </c>
      <c r="Q1435">
        <f>IF([2]Entry!$D$1438="","",[2]Entry!$D$1438)</f>
        <v/>
      </c>
      <c r="R1435">
        <f>IF([2]Entry!$E$1438="","",[2]Entry!$E$1438)</f>
        <v/>
      </c>
      <c r="S1435">
        <f>IF([2]Entry!$G$1438="","",[2]Entry!$G$1438)</f>
        <v/>
      </c>
      <c r="T1435">
        <f>IF([2]Entry!$J$1438="","",[2]Entry!$J$1438)</f>
        <v/>
      </c>
      <c r="U1435">
        <f>IF([2]Entry!$K$1438="","",[2]Entry!$K$1438)</f>
        <v/>
      </c>
      <c r="V1435">
        <f>IF([2]Entry!$L$1438="","",[2]Entry!$L$1438)</f>
        <v/>
      </c>
      <c r="W1435">
        <f>IF([2]Entry!$M$1438="","",[2]Entry!$M$1438)</f>
        <v/>
      </c>
      <c r="X1435">
        <f>IF([2]Entry!$N$1438="","",[2]Entry!$N$1438)</f>
        <v/>
      </c>
      <c r="Y1435">
        <f>IF([2]Entry!$R$1438="","",[2]Entry!$R$1438)</f>
        <v/>
      </c>
    </row>
    <row r="1436">
      <c r="P1436">
        <f>IF([2]Entry!$C$1439="","",[2]Entry!$C$1439)</f>
        <v/>
      </c>
      <c r="Q1436">
        <f>IF([2]Entry!$D$1439="","",[2]Entry!$D$1439)</f>
        <v/>
      </c>
      <c r="R1436">
        <f>IF([2]Entry!$E$1439="","",[2]Entry!$E$1439)</f>
        <v/>
      </c>
      <c r="S1436">
        <f>IF([2]Entry!$G$1439="","",[2]Entry!$G$1439)</f>
        <v/>
      </c>
      <c r="T1436">
        <f>IF([2]Entry!$J$1439="","",[2]Entry!$J$1439)</f>
        <v/>
      </c>
      <c r="U1436">
        <f>IF([2]Entry!$K$1439="","",[2]Entry!$K$1439)</f>
        <v/>
      </c>
      <c r="V1436">
        <f>IF([2]Entry!$L$1439="","",[2]Entry!$L$1439)</f>
        <v/>
      </c>
      <c r="W1436">
        <f>IF([2]Entry!$M$1439="","",[2]Entry!$M$1439)</f>
        <v/>
      </c>
      <c r="X1436">
        <f>IF([2]Entry!$N$1439="","",[2]Entry!$N$1439)</f>
        <v/>
      </c>
      <c r="Y1436">
        <f>IF([2]Entry!$R$1439="","",[2]Entry!$R$1439)</f>
        <v/>
      </c>
    </row>
    <row r="1437">
      <c r="P1437">
        <f>IF([2]Entry!$C$1440="","",[2]Entry!$C$1440)</f>
        <v/>
      </c>
      <c r="Q1437">
        <f>IF([2]Entry!$D$1440="","",[2]Entry!$D$1440)</f>
        <v/>
      </c>
      <c r="R1437">
        <f>IF([2]Entry!$E$1440="","",[2]Entry!$E$1440)</f>
        <v/>
      </c>
      <c r="S1437">
        <f>IF([2]Entry!$G$1440="","",[2]Entry!$G$1440)</f>
        <v/>
      </c>
      <c r="T1437">
        <f>IF([2]Entry!$J$1440="","",[2]Entry!$J$1440)</f>
        <v/>
      </c>
      <c r="U1437">
        <f>IF([2]Entry!$K$1440="","",[2]Entry!$K$1440)</f>
        <v/>
      </c>
      <c r="V1437">
        <f>IF([2]Entry!$L$1440="","",[2]Entry!$L$1440)</f>
        <v/>
      </c>
      <c r="W1437">
        <f>IF([2]Entry!$M$1440="","",[2]Entry!$M$1440)</f>
        <v/>
      </c>
      <c r="X1437">
        <f>IF([2]Entry!$N$1440="","",[2]Entry!$N$1440)</f>
        <v/>
      </c>
      <c r="Y1437">
        <f>IF([2]Entry!$R$1440="","",[2]Entry!$R$1440)</f>
        <v/>
      </c>
    </row>
    <row r="1438">
      <c r="P1438">
        <f>IF([2]Entry!$C$1441="","",[2]Entry!$C$1441)</f>
        <v/>
      </c>
      <c r="Q1438">
        <f>IF([2]Entry!$D$1441="","",[2]Entry!$D$1441)</f>
        <v/>
      </c>
      <c r="R1438">
        <f>IF([2]Entry!$E$1441="","",[2]Entry!$E$1441)</f>
        <v/>
      </c>
      <c r="S1438">
        <f>IF([2]Entry!$G$1441="","",[2]Entry!$G$1441)</f>
        <v/>
      </c>
      <c r="T1438">
        <f>IF([2]Entry!$J$1441="","",[2]Entry!$J$1441)</f>
        <v/>
      </c>
      <c r="U1438">
        <f>IF([2]Entry!$K$1441="","",[2]Entry!$K$1441)</f>
        <v/>
      </c>
      <c r="V1438">
        <f>IF([2]Entry!$L$1441="","",[2]Entry!$L$1441)</f>
        <v/>
      </c>
      <c r="W1438">
        <f>IF([2]Entry!$M$1441="","",[2]Entry!$M$1441)</f>
        <v/>
      </c>
      <c r="X1438">
        <f>IF([2]Entry!$N$1441="","",[2]Entry!$N$1441)</f>
        <v/>
      </c>
      <c r="Y1438">
        <f>IF([2]Entry!$R$1441="","",[2]Entry!$R$1441)</f>
        <v/>
      </c>
    </row>
    <row r="1439">
      <c r="P1439">
        <f>IF([2]Entry!$C$1442="","",[2]Entry!$C$1442)</f>
        <v/>
      </c>
      <c r="Q1439">
        <f>IF([2]Entry!$D$1442="","",[2]Entry!$D$1442)</f>
        <v/>
      </c>
      <c r="R1439">
        <f>IF([2]Entry!$E$1442="","",[2]Entry!$E$1442)</f>
        <v/>
      </c>
      <c r="S1439">
        <f>IF([2]Entry!$G$1442="","",[2]Entry!$G$1442)</f>
        <v/>
      </c>
      <c r="T1439">
        <f>IF([2]Entry!$J$1442="","",[2]Entry!$J$1442)</f>
        <v/>
      </c>
      <c r="U1439">
        <f>IF([2]Entry!$K$1442="","",[2]Entry!$K$1442)</f>
        <v/>
      </c>
      <c r="V1439">
        <f>IF([2]Entry!$L$1442="","",[2]Entry!$L$1442)</f>
        <v/>
      </c>
      <c r="W1439">
        <f>IF([2]Entry!$M$1442="","",[2]Entry!$M$1442)</f>
        <v/>
      </c>
      <c r="X1439">
        <f>IF([2]Entry!$N$1442="","",[2]Entry!$N$1442)</f>
        <v/>
      </c>
      <c r="Y1439">
        <f>IF([2]Entry!$R$1442="","",[2]Entry!$R$1442)</f>
        <v/>
      </c>
    </row>
    <row r="1440">
      <c r="P1440">
        <f>IF([2]Entry!$C$1443="","",[2]Entry!$C$1443)</f>
        <v/>
      </c>
      <c r="Q1440">
        <f>IF([2]Entry!$D$1443="","",[2]Entry!$D$1443)</f>
        <v/>
      </c>
      <c r="R1440">
        <f>IF([2]Entry!$E$1443="","",[2]Entry!$E$1443)</f>
        <v/>
      </c>
      <c r="S1440">
        <f>IF([2]Entry!$G$1443="","",[2]Entry!$G$1443)</f>
        <v/>
      </c>
      <c r="T1440">
        <f>IF([2]Entry!$J$1443="","",[2]Entry!$J$1443)</f>
        <v/>
      </c>
      <c r="U1440">
        <f>IF([2]Entry!$K$1443="","",[2]Entry!$K$1443)</f>
        <v/>
      </c>
      <c r="V1440">
        <f>IF([2]Entry!$L$1443="","",[2]Entry!$L$1443)</f>
        <v/>
      </c>
      <c r="W1440">
        <f>IF([2]Entry!$M$1443="","",[2]Entry!$M$1443)</f>
        <v/>
      </c>
      <c r="X1440">
        <f>IF([2]Entry!$N$1443="","",[2]Entry!$N$1443)</f>
        <v/>
      </c>
      <c r="Y1440">
        <f>IF([2]Entry!$R$1443="","",[2]Entry!$R$1443)</f>
        <v/>
      </c>
    </row>
    <row r="1441">
      <c r="P1441">
        <f>IF([2]Entry!$C$1444="","",[2]Entry!$C$1444)</f>
        <v/>
      </c>
      <c r="Q1441">
        <f>IF([2]Entry!$D$1444="","",[2]Entry!$D$1444)</f>
        <v/>
      </c>
      <c r="R1441">
        <f>IF([2]Entry!$E$1444="","",[2]Entry!$E$1444)</f>
        <v/>
      </c>
      <c r="S1441">
        <f>IF([2]Entry!$G$1444="","",[2]Entry!$G$1444)</f>
        <v/>
      </c>
      <c r="T1441">
        <f>IF([2]Entry!$J$1444="","",[2]Entry!$J$1444)</f>
        <v/>
      </c>
      <c r="U1441">
        <f>IF([2]Entry!$K$1444="","",[2]Entry!$K$1444)</f>
        <v/>
      </c>
      <c r="V1441">
        <f>IF([2]Entry!$L$1444="","",[2]Entry!$L$1444)</f>
        <v/>
      </c>
      <c r="W1441">
        <f>IF([2]Entry!$M$1444="","",[2]Entry!$M$1444)</f>
        <v/>
      </c>
      <c r="X1441">
        <f>IF([2]Entry!$N$1444="","",[2]Entry!$N$1444)</f>
        <v/>
      </c>
      <c r="Y1441">
        <f>IF([2]Entry!$R$1444="","",[2]Entry!$R$1444)</f>
        <v/>
      </c>
    </row>
    <row r="1442">
      <c r="P1442">
        <f>IF([2]Entry!$C$1445="","",[2]Entry!$C$1445)</f>
        <v/>
      </c>
      <c r="Q1442">
        <f>IF([2]Entry!$D$1445="","",[2]Entry!$D$1445)</f>
        <v/>
      </c>
      <c r="R1442">
        <f>IF([2]Entry!$E$1445="","",[2]Entry!$E$1445)</f>
        <v/>
      </c>
      <c r="S1442">
        <f>IF([2]Entry!$G$1445="","",[2]Entry!$G$1445)</f>
        <v/>
      </c>
      <c r="T1442">
        <f>IF([2]Entry!$J$1445="","",[2]Entry!$J$1445)</f>
        <v/>
      </c>
      <c r="U1442">
        <f>IF([2]Entry!$K$1445="","",[2]Entry!$K$1445)</f>
        <v/>
      </c>
      <c r="V1442">
        <f>IF([2]Entry!$L$1445="","",[2]Entry!$L$1445)</f>
        <v/>
      </c>
      <c r="W1442">
        <f>IF([2]Entry!$M$1445="","",[2]Entry!$M$1445)</f>
        <v/>
      </c>
      <c r="X1442">
        <f>IF([2]Entry!$N$1445="","",[2]Entry!$N$1445)</f>
        <v/>
      </c>
      <c r="Y1442">
        <f>IF([2]Entry!$R$1445="","",[2]Entry!$R$1445)</f>
        <v/>
      </c>
    </row>
    <row r="1443">
      <c r="P1443">
        <f>IF([2]Entry!$C$1446="","",[2]Entry!$C$1446)</f>
        <v/>
      </c>
      <c r="Q1443">
        <f>IF([2]Entry!$D$1446="","",[2]Entry!$D$1446)</f>
        <v/>
      </c>
      <c r="R1443">
        <f>IF([2]Entry!$E$1446="","",[2]Entry!$E$1446)</f>
        <v/>
      </c>
      <c r="S1443">
        <f>IF([2]Entry!$G$1446="","",[2]Entry!$G$1446)</f>
        <v/>
      </c>
      <c r="T1443">
        <f>IF([2]Entry!$J$1446="","",[2]Entry!$J$1446)</f>
        <v/>
      </c>
      <c r="U1443">
        <f>IF([2]Entry!$K$1446="","",[2]Entry!$K$1446)</f>
        <v/>
      </c>
      <c r="V1443">
        <f>IF([2]Entry!$L$1446="","",[2]Entry!$L$1446)</f>
        <v/>
      </c>
      <c r="W1443">
        <f>IF([2]Entry!$M$1446="","",[2]Entry!$M$1446)</f>
        <v/>
      </c>
      <c r="X1443">
        <f>IF([2]Entry!$N$1446="","",[2]Entry!$N$1446)</f>
        <v/>
      </c>
      <c r="Y1443">
        <f>IF([2]Entry!$R$1446="","",[2]Entry!$R$1446)</f>
        <v/>
      </c>
    </row>
    <row r="1444">
      <c r="P1444">
        <f>IF([2]Entry!$C$1447="","",[2]Entry!$C$1447)</f>
        <v/>
      </c>
      <c r="Q1444">
        <f>IF([2]Entry!$D$1447="","",[2]Entry!$D$1447)</f>
        <v/>
      </c>
      <c r="R1444">
        <f>IF([2]Entry!$E$1447="","",[2]Entry!$E$1447)</f>
        <v/>
      </c>
      <c r="S1444">
        <f>IF([2]Entry!$G$1447="","",[2]Entry!$G$1447)</f>
        <v/>
      </c>
      <c r="T1444">
        <f>IF([2]Entry!$J$1447="","",[2]Entry!$J$1447)</f>
        <v/>
      </c>
      <c r="U1444">
        <f>IF([2]Entry!$K$1447="","",[2]Entry!$K$1447)</f>
        <v/>
      </c>
      <c r="V1444">
        <f>IF([2]Entry!$L$1447="","",[2]Entry!$L$1447)</f>
        <v/>
      </c>
      <c r="W1444">
        <f>IF([2]Entry!$M$1447="","",[2]Entry!$M$1447)</f>
        <v/>
      </c>
      <c r="X1444">
        <f>IF([2]Entry!$N$1447="","",[2]Entry!$N$1447)</f>
        <v/>
      </c>
      <c r="Y1444">
        <f>IF([2]Entry!$R$1447="","",[2]Entry!$R$1447)</f>
        <v/>
      </c>
    </row>
    <row r="1445">
      <c r="P1445">
        <f>IF([2]Entry!$C$1448="","",[2]Entry!$C$1448)</f>
        <v/>
      </c>
      <c r="Q1445">
        <f>IF([2]Entry!$D$1448="","",[2]Entry!$D$1448)</f>
        <v/>
      </c>
      <c r="R1445">
        <f>IF([2]Entry!$E$1448="","",[2]Entry!$E$1448)</f>
        <v/>
      </c>
      <c r="S1445">
        <f>IF([2]Entry!$G$1448="","",[2]Entry!$G$1448)</f>
        <v/>
      </c>
      <c r="T1445">
        <f>IF([2]Entry!$J$1448="","",[2]Entry!$J$1448)</f>
        <v/>
      </c>
      <c r="U1445">
        <f>IF([2]Entry!$K$1448="","",[2]Entry!$K$1448)</f>
        <v/>
      </c>
      <c r="V1445">
        <f>IF([2]Entry!$L$1448="","",[2]Entry!$L$1448)</f>
        <v/>
      </c>
      <c r="W1445">
        <f>IF([2]Entry!$M$1448="","",[2]Entry!$M$1448)</f>
        <v/>
      </c>
      <c r="X1445">
        <f>IF([2]Entry!$N$1448="","",[2]Entry!$N$1448)</f>
        <v/>
      </c>
      <c r="Y1445">
        <f>IF([2]Entry!$R$1448="","",[2]Entry!$R$1448)</f>
        <v/>
      </c>
    </row>
    <row r="1446">
      <c r="P1446">
        <f>IF([2]Entry!$C$1449="","",[2]Entry!$C$1449)</f>
        <v/>
      </c>
      <c r="Q1446">
        <f>IF([2]Entry!$D$1449="","",[2]Entry!$D$1449)</f>
        <v/>
      </c>
      <c r="R1446">
        <f>IF([2]Entry!$E$1449="","",[2]Entry!$E$1449)</f>
        <v/>
      </c>
      <c r="S1446">
        <f>IF([2]Entry!$G$1449="","",[2]Entry!$G$1449)</f>
        <v/>
      </c>
      <c r="T1446">
        <f>IF([2]Entry!$J$1449="","",[2]Entry!$J$1449)</f>
        <v/>
      </c>
      <c r="U1446">
        <f>IF([2]Entry!$K$1449="","",[2]Entry!$K$1449)</f>
        <v/>
      </c>
      <c r="V1446">
        <f>IF([2]Entry!$L$1449="","",[2]Entry!$L$1449)</f>
        <v/>
      </c>
      <c r="W1446">
        <f>IF([2]Entry!$M$1449="","",[2]Entry!$M$1449)</f>
        <v/>
      </c>
      <c r="X1446">
        <f>IF([2]Entry!$N$1449="","",[2]Entry!$N$1449)</f>
        <v/>
      </c>
      <c r="Y1446">
        <f>IF([2]Entry!$R$1449="","",[2]Entry!$R$1449)</f>
        <v/>
      </c>
    </row>
    <row r="1447">
      <c r="P1447">
        <f>IF([2]Entry!$C$1450="","",[2]Entry!$C$1450)</f>
        <v/>
      </c>
      <c r="Q1447">
        <f>IF([2]Entry!$D$1450="","",[2]Entry!$D$1450)</f>
        <v/>
      </c>
      <c r="R1447">
        <f>IF([2]Entry!$E$1450="","",[2]Entry!$E$1450)</f>
        <v/>
      </c>
      <c r="S1447">
        <f>IF([2]Entry!$G$1450="","",[2]Entry!$G$1450)</f>
        <v/>
      </c>
      <c r="T1447">
        <f>IF([2]Entry!$J$1450="","",[2]Entry!$J$1450)</f>
        <v/>
      </c>
      <c r="U1447">
        <f>IF([2]Entry!$K$1450="","",[2]Entry!$K$1450)</f>
        <v/>
      </c>
      <c r="V1447">
        <f>IF([2]Entry!$L$1450="","",[2]Entry!$L$1450)</f>
        <v/>
      </c>
      <c r="W1447">
        <f>IF([2]Entry!$M$1450="","",[2]Entry!$M$1450)</f>
        <v/>
      </c>
      <c r="X1447">
        <f>IF([2]Entry!$N$1450="","",[2]Entry!$N$1450)</f>
        <v/>
      </c>
      <c r="Y1447">
        <f>IF([2]Entry!$R$1450="","",[2]Entry!$R$1450)</f>
        <v/>
      </c>
    </row>
    <row r="1448">
      <c r="P1448">
        <f>IF([2]Entry!$C$1451="","",[2]Entry!$C$1451)</f>
        <v/>
      </c>
      <c r="Q1448">
        <f>IF([2]Entry!$D$1451="","",[2]Entry!$D$1451)</f>
        <v/>
      </c>
      <c r="R1448">
        <f>IF([2]Entry!$E$1451="","",[2]Entry!$E$1451)</f>
        <v/>
      </c>
      <c r="S1448">
        <f>IF([2]Entry!$G$1451="","",[2]Entry!$G$1451)</f>
        <v/>
      </c>
      <c r="T1448">
        <f>IF([2]Entry!$J$1451="","",[2]Entry!$J$1451)</f>
        <v/>
      </c>
      <c r="U1448">
        <f>IF([2]Entry!$K$1451="","",[2]Entry!$K$1451)</f>
        <v/>
      </c>
      <c r="V1448">
        <f>IF([2]Entry!$L$1451="","",[2]Entry!$L$1451)</f>
        <v/>
      </c>
      <c r="W1448">
        <f>IF([2]Entry!$M$1451="","",[2]Entry!$M$1451)</f>
        <v/>
      </c>
      <c r="X1448">
        <f>IF([2]Entry!$N$1451="","",[2]Entry!$N$1451)</f>
        <v/>
      </c>
      <c r="Y1448">
        <f>IF([2]Entry!$R$1451="","",[2]Entry!$R$1451)</f>
        <v/>
      </c>
    </row>
    <row r="1449">
      <c r="P1449">
        <f>IF([2]Entry!$C$1452="","",[2]Entry!$C$1452)</f>
        <v/>
      </c>
      <c r="Q1449">
        <f>IF([2]Entry!$D$1452="","",[2]Entry!$D$1452)</f>
        <v/>
      </c>
      <c r="R1449">
        <f>IF([2]Entry!$E$1452="","",[2]Entry!$E$1452)</f>
        <v/>
      </c>
      <c r="S1449">
        <f>IF([2]Entry!$G$1452="","",[2]Entry!$G$1452)</f>
        <v/>
      </c>
      <c r="T1449">
        <f>IF([2]Entry!$J$1452="","",[2]Entry!$J$1452)</f>
        <v/>
      </c>
      <c r="U1449">
        <f>IF([2]Entry!$K$1452="","",[2]Entry!$K$1452)</f>
        <v/>
      </c>
      <c r="V1449">
        <f>IF([2]Entry!$L$1452="","",[2]Entry!$L$1452)</f>
        <v/>
      </c>
      <c r="W1449">
        <f>IF([2]Entry!$M$1452="","",[2]Entry!$M$1452)</f>
        <v/>
      </c>
      <c r="X1449">
        <f>IF([2]Entry!$N$1452="","",[2]Entry!$N$1452)</f>
        <v/>
      </c>
      <c r="Y1449">
        <f>IF([2]Entry!$R$1452="","",[2]Entry!$R$1452)</f>
        <v/>
      </c>
    </row>
    <row r="1450">
      <c r="P1450">
        <f>IF([2]Entry!$C$1453="","",[2]Entry!$C$1453)</f>
        <v/>
      </c>
      <c r="Q1450">
        <f>IF([2]Entry!$D$1453="","",[2]Entry!$D$1453)</f>
        <v/>
      </c>
      <c r="R1450">
        <f>IF([2]Entry!$E$1453="","",[2]Entry!$E$1453)</f>
        <v/>
      </c>
      <c r="S1450">
        <f>IF([2]Entry!$G$1453="","",[2]Entry!$G$1453)</f>
        <v/>
      </c>
      <c r="T1450">
        <f>IF([2]Entry!$J$1453="","",[2]Entry!$J$1453)</f>
        <v/>
      </c>
      <c r="U1450">
        <f>IF([2]Entry!$K$1453="","",[2]Entry!$K$1453)</f>
        <v/>
      </c>
      <c r="V1450">
        <f>IF([2]Entry!$L$1453="","",[2]Entry!$L$1453)</f>
        <v/>
      </c>
      <c r="W1450">
        <f>IF([2]Entry!$M$1453="","",[2]Entry!$M$1453)</f>
        <v/>
      </c>
      <c r="X1450">
        <f>IF([2]Entry!$N$1453="","",[2]Entry!$N$1453)</f>
        <v/>
      </c>
      <c r="Y1450">
        <f>IF([2]Entry!$R$1453="","",[2]Entry!$R$1453)</f>
        <v/>
      </c>
    </row>
    <row r="1451">
      <c r="P1451">
        <f>IF([2]Entry!$C$1454="","",[2]Entry!$C$1454)</f>
        <v/>
      </c>
      <c r="Q1451">
        <f>IF([2]Entry!$D$1454="","",[2]Entry!$D$1454)</f>
        <v/>
      </c>
      <c r="R1451">
        <f>IF([2]Entry!$E$1454="","",[2]Entry!$E$1454)</f>
        <v/>
      </c>
      <c r="S1451">
        <f>IF([2]Entry!$G$1454="","",[2]Entry!$G$1454)</f>
        <v/>
      </c>
      <c r="T1451">
        <f>IF([2]Entry!$J$1454="","",[2]Entry!$J$1454)</f>
        <v/>
      </c>
      <c r="U1451">
        <f>IF([2]Entry!$K$1454="","",[2]Entry!$K$1454)</f>
        <v/>
      </c>
      <c r="V1451">
        <f>IF([2]Entry!$L$1454="","",[2]Entry!$L$1454)</f>
        <v/>
      </c>
      <c r="W1451">
        <f>IF([2]Entry!$M$1454="","",[2]Entry!$M$1454)</f>
        <v/>
      </c>
      <c r="X1451">
        <f>IF([2]Entry!$N$1454="","",[2]Entry!$N$1454)</f>
        <v/>
      </c>
      <c r="Y1451">
        <f>IF([2]Entry!$R$1454="","",[2]Entry!$R$1454)</f>
        <v/>
      </c>
    </row>
    <row r="1452">
      <c r="P1452">
        <f>IF([2]Entry!$C$1455="","",[2]Entry!$C$1455)</f>
        <v/>
      </c>
      <c r="Q1452">
        <f>IF([2]Entry!$D$1455="","",[2]Entry!$D$1455)</f>
        <v/>
      </c>
      <c r="R1452">
        <f>IF([2]Entry!$E$1455="","",[2]Entry!$E$1455)</f>
        <v/>
      </c>
      <c r="S1452">
        <f>IF([2]Entry!$G$1455="","",[2]Entry!$G$1455)</f>
        <v/>
      </c>
      <c r="T1452">
        <f>IF([2]Entry!$J$1455="","",[2]Entry!$J$1455)</f>
        <v/>
      </c>
      <c r="U1452">
        <f>IF([2]Entry!$K$1455="","",[2]Entry!$K$1455)</f>
        <v/>
      </c>
      <c r="V1452">
        <f>IF([2]Entry!$L$1455="","",[2]Entry!$L$1455)</f>
        <v/>
      </c>
      <c r="W1452">
        <f>IF([2]Entry!$M$1455="","",[2]Entry!$M$1455)</f>
        <v/>
      </c>
      <c r="X1452">
        <f>IF([2]Entry!$N$1455="","",[2]Entry!$N$1455)</f>
        <v/>
      </c>
      <c r="Y1452">
        <f>IF([2]Entry!$R$1455="","",[2]Entry!$R$1455)</f>
        <v/>
      </c>
    </row>
    <row r="1453">
      <c r="P1453">
        <f>IF([2]Entry!$C$1456="","",[2]Entry!$C$1456)</f>
        <v/>
      </c>
      <c r="Q1453">
        <f>IF([2]Entry!$D$1456="","",[2]Entry!$D$1456)</f>
        <v/>
      </c>
      <c r="R1453">
        <f>IF([2]Entry!$E$1456="","",[2]Entry!$E$1456)</f>
        <v/>
      </c>
      <c r="S1453">
        <f>IF([2]Entry!$G$1456="","",[2]Entry!$G$1456)</f>
        <v/>
      </c>
      <c r="T1453">
        <f>IF([2]Entry!$J$1456="","",[2]Entry!$J$1456)</f>
        <v/>
      </c>
      <c r="U1453">
        <f>IF([2]Entry!$K$1456="","",[2]Entry!$K$1456)</f>
        <v/>
      </c>
      <c r="V1453">
        <f>IF([2]Entry!$L$1456="","",[2]Entry!$L$1456)</f>
        <v/>
      </c>
      <c r="W1453">
        <f>IF([2]Entry!$M$1456="","",[2]Entry!$M$1456)</f>
        <v/>
      </c>
      <c r="X1453">
        <f>IF([2]Entry!$N$1456="","",[2]Entry!$N$1456)</f>
        <v/>
      </c>
      <c r="Y1453">
        <f>IF([2]Entry!$R$1456="","",[2]Entry!$R$1456)</f>
        <v/>
      </c>
    </row>
    <row r="1454">
      <c r="P1454">
        <f>IF([2]Entry!$C$1457="","",[2]Entry!$C$1457)</f>
        <v/>
      </c>
      <c r="Q1454">
        <f>IF([2]Entry!$D$1457="","",[2]Entry!$D$1457)</f>
        <v/>
      </c>
      <c r="R1454">
        <f>IF([2]Entry!$E$1457="","",[2]Entry!$E$1457)</f>
        <v/>
      </c>
      <c r="S1454">
        <f>IF([2]Entry!$G$1457="","",[2]Entry!$G$1457)</f>
        <v/>
      </c>
      <c r="T1454">
        <f>IF([2]Entry!$J$1457="","",[2]Entry!$J$1457)</f>
        <v/>
      </c>
      <c r="U1454">
        <f>IF([2]Entry!$K$1457="","",[2]Entry!$K$1457)</f>
        <v/>
      </c>
      <c r="V1454">
        <f>IF([2]Entry!$L$1457="","",[2]Entry!$L$1457)</f>
        <v/>
      </c>
      <c r="W1454">
        <f>IF([2]Entry!$M$1457="","",[2]Entry!$M$1457)</f>
        <v/>
      </c>
      <c r="X1454">
        <f>IF([2]Entry!$N$1457="","",[2]Entry!$N$1457)</f>
        <v/>
      </c>
      <c r="Y1454">
        <f>IF([2]Entry!$R$1457="","",[2]Entry!$R$1457)</f>
        <v/>
      </c>
    </row>
    <row r="1455">
      <c r="P1455">
        <f>IF([2]Entry!$C$1458="","",[2]Entry!$C$1458)</f>
        <v/>
      </c>
      <c r="Q1455">
        <f>IF([2]Entry!$D$1458="","",[2]Entry!$D$1458)</f>
        <v/>
      </c>
      <c r="R1455">
        <f>IF([2]Entry!$E$1458="","",[2]Entry!$E$1458)</f>
        <v/>
      </c>
      <c r="S1455">
        <f>IF([2]Entry!$G$1458="","",[2]Entry!$G$1458)</f>
        <v/>
      </c>
      <c r="T1455">
        <f>IF([2]Entry!$J$1458="","",[2]Entry!$J$1458)</f>
        <v/>
      </c>
      <c r="U1455">
        <f>IF([2]Entry!$K$1458="","",[2]Entry!$K$1458)</f>
        <v/>
      </c>
      <c r="V1455">
        <f>IF([2]Entry!$L$1458="","",[2]Entry!$L$1458)</f>
        <v/>
      </c>
      <c r="W1455">
        <f>IF([2]Entry!$M$1458="","",[2]Entry!$M$1458)</f>
        <v/>
      </c>
      <c r="X1455">
        <f>IF([2]Entry!$N$1458="","",[2]Entry!$N$1458)</f>
        <v/>
      </c>
      <c r="Y1455">
        <f>IF([2]Entry!$R$1458="","",[2]Entry!$R$1458)</f>
        <v/>
      </c>
    </row>
    <row r="1456">
      <c r="P1456">
        <f>IF([2]Entry!$C$1459="","",[2]Entry!$C$1459)</f>
        <v/>
      </c>
      <c r="Q1456">
        <f>IF([2]Entry!$D$1459="","",[2]Entry!$D$1459)</f>
        <v/>
      </c>
      <c r="R1456">
        <f>IF([2]Entry!$E$1459="","",[2]Entry!$E$1459)</f>
        <v/>
      </c>
      <c r="S1456">
        <f>IF([2]Entry!$G$1459="","",[2]Entry!$G$1459)</f>
        <v/>
      </c>
      <c r="T1456">
        <f>IF([2]Entry!$J$1459="","",[2]Entry!$J$1459)</f>
        <v/>
      </c>
      <c r="U1456">
        <f>IF([2]Entry!$K$1459="","",[2]Entry!$K$1459)</f>
        <v/>
      </c>
      <c r="V1456">
        <f>IF([2]Entry!$L$1459="","",[2]Entry!$L$1459)</f>
        <v/>
      </c>
      <c r="W1456">
        <f>IF([2]Entry!$M$1459="","",[2]Entry!$M$1459)</f>
        <v/>
      </c>
      <c r="X1456">
        <f>IF([2]Entry!$N$1459="","",[2]Entry!$N$1459)</f>
        <v/>
      </c>
      <c r="Y1456">
        <f>IF([2]Entry!$R$1459="","",[2]Entry!$R$1459)</f>
        <v/>
      </c>
    </row>
    <row r="1457">
      <c r="P1457">
        <f>IF([2]Entry!$C$1460="","",[2]Entry!$C$1460)</f>
        <v/>
      </c>
      <c r="Q1457">
        <f>IF([2]Entry!$D$1460="","",[2]Entry!$D$1460)</f>
        <v/>
      </c>
      <c r="R1457">
        <f>IF([2]Entry!$E$1460="","",[2]Entry!$E$1460)</f>
        <v/>
      </c>
      <c r="S1457">
        <f>IF([2]Entry!$G$1460="","",[2]Entry!$G$1460)</f>
        <v/>
      </c>
      <c r="T1457">
        <f>IF([2]Entry!$J$1460="","",[2]Entry!$J$1460)</f>
        <v/>
      </c>
      <c r="U1457">
        <f>IF([2]Entry!$K$1460="","",[2]Entry!$K$1460)</f>
        <v/>
      </c>
      <c r="V1457">
        <f>IF([2]Entry!$L$1460="","",[2]Entry!$L$1460)</f>
        <v/>
      </c>
      <c r="W1457">
        <f>IF([2]Entry!$M$1460="","",[2]Entry!$M$1460)</f>
        <v/>
      </c>
      <c r="X1457">
        <f>IF([2]Entry!$N$1460="","",[2]Entry!$N$1460)</f>
        <v/>
      </c>
      <c r="Y1457">
        <f>IF([2]Entry!$R$1460="","",[2]Entry!$R$1460)</f>
        <v/>
      </c>
    </row>
    <row r="1458">
      <c r="P1458">
        <f>IF([2]Entry!$C$1461="","",[2]Entry!$C$1461)</f>
        <v/>
      </c>
      <c r="Q1458">
        <f>IF([2]Entry!$D$1461="","",[2]Entry!$D$1461)</f>
        <v/>
      </c>
      <c r="R1458">
        <f>IF([2]Entry!$E$1461="","",[2]Entry!$E$1461)</f>
        <v/>
      </c>
      <c r="S1458">
        <f>IF([2]Entry!$G$1461="","",[2]Entry!$G$1461)</f>
        <v/>
      </c>
      <c r="T1458">
        <f>IF([2]Entry!$J$1461="","",[2]Entry!$J$1461)</f>
        <v/>
      </c>
      <c r="U1458">
        <f>IF([2]Entry!$K$1461="","",[2]Entry!$K$1461)</f>
        <v/>
      </c>
      <c r="V1458">
        <f>IF([2]Entry!$L$1461="","",[2]Entry!$L$1461)</f>
        <v/>
      </c>
      <c r="W1458">
        <f>IF([2]Entry!$M$1461="","",[2]Entry!$M$1461)</f>
        <v/>
      </c>
      <c r="X1458">
        <f>IF([2]Entry!$N$1461="","",[2]Entry!$N$1461)</f>
        <v/>
      </c>
      <c r="Y1458">
        <f>IF([2]Entry!$R$1461="","",[2]Entry!$R$1461)</f>
        <v/>
      </c>
    </row>
    <row r="1459">
      <c r="P1459">
        <f>IF([2]Entry!$C$1462="","",[2]Entry!$C$1462)</f>
        <v/>
      </c>
      <c r="Q1459">
        <f>IF([2]Entry!$D$1462="","",[2]Entry!$D$1462)</f>
        <v/>
      </c>
      <c r="R1459">
        <f>IF([2]Entry!$E$1462="","",[2]Entry!$E$1462)</f>
        <v/>
      </c>
      <c r="S1459">
        <f>IF([2]Entry!$G$1462="","",[2]Entry!$G$1462)</f>
        <v/>
      </c>
      <c r="T1459">
        <f>IF([2]Entry!$J$1462="","",[2]Entry!$J$1462)</f>
        <v/>
      </c>
      <c r="U1459">
        <f>IF([2]Entry!$K$1462="","",[2]Entry!$K$1462)</f>
        <v/>
      </c>
      <c r="V1459">
        <f>IF([2]Entry!$L$1462="","",[2]Entry!$L$1462)</f>
        <v/>
      </c>
      <c r="W1459">
        <f>IF([2]Entry!$M$1462="","",[2]Entry!$M$1462)</f>
        <v/>
      </c>
      <c r="X1459">
        <f>IF([2]Entry!$N$1462="","",[2]Entry!$N$1462)</f>
        <v/>
      </c>
      <c r="Y1459">
        <f>IF([2]Entry!$R$1462="","",[2]Entry!$R$1462)</f>
        <v/>
      </c>
    </row>
    <row r="1460">
      <c r="P1460">
        <f>IF([2]Entry!$C$1463="","",[2]Entry!$C$1463)</f>
        <v/>
      </c>
      <c r="Q1460">
        <f>IF([2]Entry!$D$1463="","",[2]Entry!$D$1463)</f>
        <v/>
      </c>
      <c r="R1460">
        <f>IF([2]Entry!$E$1463="","",[2]Entry!$E$1463)</f>
        <v/>
      </c>
      <c r="S1460">
        <f>IF([2]Entry!$G$1463="","",[2]Entry!$G$1463)</f>
        <v/>
      </c>
      <c r="T1460">
        <f>IF([2]Entry!$J$1463="","",[2]Entry!$J$1463)</f>
        <v/>
      </c>
      <c r="U1460">
        <f>IF([2]Entry!$K$1463="","",[2]Entry!$K$1463)</f>
        <v/>
      </c>
      <c r="V1460">
        <f>IF([2]Entry!$L$1463="","",[2]Entry!$L$1463)</f>
        <v/>
      </c>
      <c r="W1460">
        <f>IF([2]Entry!$M$1463="","",[2]Entry!$M$1463)</f>
        <v/>
      </c>
      <c r="X1460">
        <f>IF([2]Entry!$N$1463="","",[2]Entry!$N$1463)</f>
        <v/>
      </c>
      <c r="Y1460">
        <f>IF([2]Entry!$R$1463="","",[2]Entry!$R$1463)</f>
        <v/>
      </c>
    </row>
    <row r="1461">
      <c r="P1461">
        <f>IF([2]Entry!$C$1464="","",[2]Entry!$C$1464)</f>
        <v/>
      </c>
      <c r="Q1461">
        <f>IF([2]Entry!$D$1464="","",[2]Entry!$D$1464)</f>
        <v/>
      </c>
      <c r="R1461">
        <f>IF([2]Entry!$E$1464="","",[2]Entry!$E$1464)</f>
        <v/>
      </c>
      <c r="S1461">
        <f>IF([2]Entry!$G$1464="","",[2]Entry!$G$1464)</f>
        <v/>
      </c>
      <c r="T1461">
        <f>IF([2]Entry!$J$1464="","",[2]Entry!$J$1464)</f>
        <v/>
      </c>
      <c r="U1461">
        <f>IF([2]Entry!$K$1464="","",[2]Entry!$K$1464)</f>
        <v/>
      </c>
      <c r="V1461">
        <f>IF([2]Entry!$L$1464="","",[2]Entry!$L$1464)</f>
        <v/>
      </c>
      <c r="W1461">
        <f>IF([2]Entry!$M$1464="","",[2]Entry!$M$1464)</f>
        <v/>
      </c>
      <c r="X1461">
        <f>IF([2]Entry!$N$1464="","",[2]Entry!$N$1464)</f>
        <v/>
      </c>
      <c r="Y1461">
        <f>IF([2]Entry!$R$1464="","",[2]Entry!$R$1464)</f>
        <v/>
      </c>
    </row>
    <row r="1462">
      <c r="P1462">
        <f>IF([2]Entry!$C$1465="","",[2]Entry!$C$1465)</f>
        <v/>
      </c>
      <c r="Q1462">
        <f>IF([2]Entry!$D$1465="","",[2]Entry!$D$1465)</f>
        <v/>
      </c>
      <c r="R1462">
        <f>IF([2]Entry!$E$1465="","",[2]Entry!$E$1465)</f>
        <v/>
      </c>
      <c r="S1462">
        <f>IF([2]Entry!$G$1465="","",[2]Entry!$G$1465)</f>
        <v/>
      </c>
      <c r="T1462">
        <f>IF([2]Entry!$J$1465="","",[2]Entry!$J$1465)</f>
        <v/>
      </c>
      <c r="U1462">
        <f>IF([2]Entry!$K$1465="","",[2]Entry!$K$1465)</f>
        <v/>
      </c>
      <c r="V1462">
        <f>IF([2]Entry!$L$1465="","",[2]Entry!$L$1465)</f>
        <v/>
      </c>
      <c r="W1462">
        <f>IF([2]Entry!$M$1465="","",[2]Entry!$M$1465)</f>
        <v/>
      </c>
      <c r="X1462">
        <f>IF([2]Entry!$N$1465="","",[2]Entry!$N$1465)</f>
        <v/>
      </c>
      <c r="Y1462">
        <f>IF([2]Entry!$R$1465="","",[2]Entry!$R$1465)</f>
        <v/>
      </c>
    </row>
    <row r="1463">
      <c r="P1463">
        <f>IF([2]Entry!$C$1466="","",[2]Entry!$C$1466)</f>
        <v/>
      </c>
      <c r="Q1463">
        <f>IF([2]Entry!$D$1466="","",[2]Entry!$D$1466)</f>
        <v/>
      </c>
      <c r="R1463">
        <f>IF([2]Entry!$E$1466="","",[2]Entry!$E$1466)</f>
        <v/>
      </c>
      <c r="S1463">
        <f>IF([2]Entry!$G$1466="","",[2]Entry!$G$1466)</f>
        <v/>
      </c>
      <c r="T1463">
        <f>IF([2]Entry!$J$1466="","",[2]Entry!$J$1466)</f>
        <v/>
      </c>
      <c r="U1463">
        <f>IF([2]Entry!$K$1466="","",[2]Entry!$K$1466)</f>
        <v/>
      </c>
      <c r="V1463">
        <f>IF([2]Entry!$L$1466="","",[2]Entry!$L$1466)</f>
        <v/>
      </c>
      <c r="W1463">
        <f>IF([2]Entry!$M$1466="","",[2]Entry!$M$1466)</f>
        <v/>
      </c>
      <c r="X1463">
        <f>IF([2]Entry!$N$1466="","",[2]Entry!$N$1466)</f>
        <v/>
      </c>
      <c r="Y1463">
        <f>IF([2]Entry!$R$1466="","",[2]Entry!$R$1466)</f>
        <v/>
      </c>
    </row>
    <row r="1464">
      <c r="P1464">
        <f>IF([2]Entry!$C$1467="","",[2]Entry!$C$1467)</f>
        <v/>
      </c>
      <c r="Q1464">
        <f>IF([2]Entry!$D$1467="","",[2]Entry!$D$1467)</f>
        <v/>
      </c>
      <c r="R1464">
        <f>IF([2]Entry!$E$1467="","",[2]Entry!$E$1467)</f>
        <v/>
      </c>
      <c r="S1464">
        <f>IF([2]Entry!$G$1467="","",[2]Entry!$G$1467)</f>
        <v/>
      </c>
      <c r="T1464">
        <f>IF([2]Entry!$J$1467="","",[2]Entry!$J$1467)</f>
        <v/>
      </c>
      <c r="U1464">
        <f>IF([2]Entry!$K$1467="","",[2]Entry!$K$1467)</f>
        <v/>
      </c>
      <c r="V1464">
        <f>IF([2]Entry!$L$1467="","",[2]Entry!$L$1467)</f>
        <v/>
      </c>
      <c r="W1464">
        <f>IF([2]Entry!$M$1467="","",[2]Entry!$M$1467)</f>
        <v/>
      </c>
      <c r="X1464">
        <f>IF([2]Entry!$N$1467="","",[2]Entry!$N$1467)</f>
        <v/>
      </c>
      <c r="Y1464">
        <f>IF([2]Entry!$R$1467="","",[2]Entry!$R$1467)</f>
        <v/>
      </c>
    </row>
    <row r="1465">
      <c r="P1465">
        <f>IF([2]Entry!$C$1468="","",[2]Entry!$C$1468)</f>
        <v/>
      </c>
      <c r="Q1465">
        <f>IF([2]Entry!$D$1468="","",[2]Entry!$D$1468)</f>
        <v/>
      </c>
      <c r="R1465">
        <f>IF([2]Entry!$E$1468="","",[2]Entry!$E$1468)</f>
        <v/>
      </c>
      <c r="S1465">
        <f>IF([2]Entry!$G$1468="","",[2]Entry!$G$1468)</f>
        <v/>
      </c>
      <c r="T1465">
        <f>IF([2]Entry!$J$1468="","",[2]Entry!$J$1468)</f>
        <v/>
      </c>
      <c r="U1465">
        <f>IF([2]Entry!$K$1468="","",[2]Entry!$K$1468)</f>
        <v/>
      </c>
      <c r="V1465">
        <f>IF([2]Entry!$L$1468="","",[2]Entry!$L$1468)</f>
        <v/>
      </c>
      <c r="W1465">
        <f>IF([2]Entry!$M$1468="","",[2]Entry!$M$1468)</f>
        <v/>
      </c>
      <c r="X1465">
        <f>IF([2]Entry!$N$1468="","",[2]Entry!$N$1468)</f>
        <v/>
      </c>
      <c r="Y1465">
        <f>IF([2]Entry!$R$1468="","",[2]Entry!$R$1468)</f>
        <v/>
      </c>
    </row>
    <row r="1466">
      <c r="P1466">
        <f>IF([2]Entry!$C$1469="","",[2]Entry!$C$1469)</f>
        <v/>
      </c>
      <c r="Q1466">
        <f>IF([2]Entry!$D$1469="","",[2]Entry!$D$1469)</f>
        <v/>
      </c>
      <c r="R1466">
        <f>IF([2]Entry!$E$1469="","",[2]Entry!$E$1469)</f>
        <v/>
      </c>
      <c r="S1466">
        <f>IF([2]Entry!$G$1469="","",[2]Entry!$G$1469)</f>
        <v/>
      </c>
      <c r="T1466">
        <f>IF([2]Entry!$J$1469="","",[2]Entry!$J$1469)</f>
        <v/>
      </c>
      <c r="U1466">
        <f>IF([2]Entry!$K$1469="","",[2]Entry!$K$1469)</f>
        <v/>
      </c>
      <c r="V1466">
        <f>IF([2]Entry!$L$1469="","",[2]Entry!$L$1469)</f>
        <v/>
      </c>
      <c r="W1466">
        <f>IF([2]Entry!$M$1469="","",[2]Entry!$M$1469)</f>
        <v/>
      </c>
      <c r="X1466">
        <f>IF([2]Entry!$N$1469="","",[2]Entry!$N$1469)</f>
        <v/>
      </c>
      <c r="Y1466">
        <f>IF([2]Entry!$R$1469="","",[2]Entry!$R$1469)</f>
        <v/>
      </c>
    </row>
    <row r="1467">
      <c r="P1467">
        <f>IF([2]Entry!$C$1470="","",[2]Entry!$C$1470)</f>
        <v/>
      </c>
      <c r="Q1467">
        <f>IF([2]Entry!$D$1470="","",[2]Entry!$D$1470)</f>
        <v/>
      </c>
      <c r="R1467">
        <f>IF([2]Entry!$E$1470="","",[2]Entry!$E$1470)</f>
        <v/>
      </c>
      <c r="S1467">
        <f>IF([2]Entry!$G$1470="","",[2]Entry!$G$1470)</f>
        <v/>
      </c>
      <c r="T1467">
        <f>IF([2]Entry!$J$1470="","",[2]Entry!$J$1470)</f>
        <v/>
      </c>
      <c r="U1467">
        <f>IF([2]Entry!$K$1470="","",[2]Entry!$K$1470)</f>
        <v/>
      </c>
      <c r="V1467">
        <f>IF([2]Entry!$L$1470="","",[2]Entry!$L$1470)</f>
        <v/>
      </c>
      <c r="W1467">
        <f>IF([2]Entry!$M$1470="","",[2]Entry!$M$1470)</f>
        <v/>
      </c>
      <c r="X1467">
        <f>IF([2]Entry!$N$1470="","",[2]Entry!$N$1470)</f>
        <v/>
      </c>
      <c r="Y1467">
        <f>IF([2]Entry!$R$1470="","",[2]Entry!$R$1470)</f>
        <v/>
      </c>
    </row>
    <row r="1468">
      <c r="P1468">
        <f>IF([2]Entry!$C$1471="","",[2]Entry!$C$1471)</f>
        <v/>
      </c>
      <c r="Q1468">
        <f>IF([2]Entry!$D$1471="","",[2]Entry!$D$1471)</f>
        <v/>
      </c>
      <c r="R1468">
        <f>IF([2]Entry!$E$1471="","",[2]Entry!$E$1471)</f>
        <v/>
      </c>
      <c r="S1468">
        <f>IF([2]Entry!$G$1471="","",[2]Entry!$G$1471)</f>
        <v/>
      </c>
      <c r="T1468">
        <f>IF([2]Entry!$J$1471="","",[2]Entry!$J$1471)</f>
        <v/>
      </c>
      <c r="U1468">
        <f>IF([2]Entry!$K$1471="","",[2]Entry!$K$1471)</f>
        <v/>
      </c>
      <c r="V1468">
        <f>IF([2]Entry!$L$1471="","",[2]Entry!$L$1471)</f>
        <v/>
      </c>
      <c r="W1468">
        <f>IF([2]Entry!$M$1471="","",[2]Entry!$M$1471)</f>
        <v/>
      </c>
      <c r="X1468">
        <f>IF([2]Entry!$N$1471="","",[2]Entry!$N$1471)</f>
        <v/>
      </c>
      <c r="Y1468">
        <f>IF([2]Entry!$R$1471="","",[2]Entry!$R$1471)</f>
        <v/>
      </c>
    </row>
    <row r="1469">
      <c r="P1469">
        <f>IF([2]Entry!$C$1472="","",[2]Entry!$C$1472)</f>
        <v/>
      </c>
      <c r="Q1469">
        <f>IF([2]Entry!$D$1472="","",[2]Entry!$D$1472)</f>
        <v/>
      </c>
      <c r="R1469">
        <f>IF([2]Entry!$E$1472="","",[2]Entry!$E$1472)</f>
        <v/>
      </c>
      <c r="S1469">
        <f>IF([2]Entry!$G$1472="","",[2]Entry!$G$1472)</f>
        <v/>
      </c>
      <c r="T1469">
        <f>IF([2]Entry!$J$1472="","",[2]Entry!$J$1472)</f>
        <v/>
      </c>
      <c r="U1469">
        <f>IF([2]Entry!$K$1472="","",[2]Entry!$K$1472)</f>
        <v/>
      </c>
      <c r="V1469">
        <f>IF([2]Entry!$L$1472="","",[2]Entry!$L$1472)</f>
        <v/>
      </c>
      <c r="W1469">
        <f>IF([2]Entry!$M$1472="","",[2]Entry!$M$1472)</f>
        <v/>
      </c>
      <c r="X1469">
        <f>IF([2]Entry!$N$1472="","",[2]Entry!$N$1472)</f>
        <v/>
      </c>
      <c r="Y1469">
        <f>IF([2]Entry!$R$1472="","",[2]Entry!$R$1472)</f>
        <v/>
      </c>
    </row>
    <row r="1470">
      <c r="P1470">
        <f>IF([2]Entry!$C$1473="","",[2]Entry!$C$1473)</f>
        <v/>
      </c>
      <c r="Q1470">
        <f>IF([2]Entry!$D$1473="","",[2]Entry!$D$1473)</f>
        <v/>
      </c>
      <c r="R1470">
        <f>IF([2]Entry!$E$1473="","",[2]Entry!$E$1473)</f>
        <v/>
      </c>
      <c r="S1470">
        <f>IF([2]Entry!$G$1473="","",[2]Entry!$G$1473)</f>
        <v/>
      </c>
      <c r="T1470">
        <f>IF([2]Entry!$J$1473="","",[2]Entry!$J$1473)</f>
        <v/>
      </c>
      <c r="U1470">
        <f>IF([2]Entry!$K$1473="","",[2]Entry!$K$1473)</f>
        <v/>
      </c>
      <c r="V1470">
        <f>IF([2]Entry!$L$1473="","",[2]Entry!$L$1473)</f>
        <v/>
      </c>
      <c r="W1470">
        <f>IF([2]Entry!$M$1473="","",[2]Entry!$M$1473)</f>
        <v/>
      </c>
      <c r="X1470">
        <f>IF([2]Entry!$N$1473="","",[2]Entry!$N$1473)</f>
        <v/>
      </c>
      <c r="Y1470">
        <f>IF([2]Entry!$R$1473="","",[2]Entry!$R$1473)</f>
        <v/>
      </c>
    </row>
    <row r="1471">
      <c r="P1471">
        <f>IF([2]Entry!$C$1474="","",[2]Entry!$C$1474)</f>
        <v/>
      </c>
      <c r="Q1471">
        <f>IF([2]Entry!$D$1474="","",[2]Entry!$D$1474)</f>
        <v/>
      </c>
      <c r="R1471">
        <f>IF([2]Entry!$E$1474="","",[2]Entry!$E$1474)</f>
        <v/>
      </c>
      <c r="S1471">
        <f>IF([2]Entry!$G$1474="","",[2]Entry!$G$1474)</f>
        <v/>
      </c>
      <c r="T1471">
        <f>IF([2]Entry!$J$1474="","",[2]Entry!$J$1474)</f>
        <v/>
      </c>
      <c r="U1471">
        <f>IF([2]Entry!$K$1474="","",[2]Entry!$K$1474)</f>
        <v/>
      </c>
      <c r="V1471">
        <f>IF([2]Entry!$L$1474="","",[2]Entry!$L$1474)</f>
        <v/>
      </c>
      <c r="W1471">
        <f>IF([2]Entry!$M$1474="","",[2]Entry!$M$1474)</f>
        <v/>
      </c>
      <c r="X1471">
        <f>IF([2]Entry!$N$1474="","",[2]Entry!$N$1474)</f>
        <v/>
      </c>
      <c r="Y1471">
        <f>IF([2]Entry!$R$1474="","",[2]Entry!$R$1474)</f>
        <v/>
      </c>
    </row>
    <row r="1472">
      <c r="P1472">
        <f>IF([2]Entry!$C$1475="","",[2]Entry!$C$1475)</f>
        <v/>
      </c>
      <c r="Q1472">
        <f>IF([2]Entry!$D$1475="","",[2]Entry!$D$1475)</f>
        <v/>
      </c>
      <c r="R1472">
        <f>IF([2]Entry!$E$1475="","",[2]Entry!$E$1475)</f>
        <v/>
      </c>
      <c r="S1472">
        <f>IF([2]Entry!$G$1475="","",[2]Entry!$G$1475)</f>
        <v/>
      </c>
      <c r="T1472">
        <f>IF([2]Entry!$J$1475="","",[2]Entry!$J$1475)</f>
        <v/>
      </c>
      <c r="U1472">
        <f>IF([2]Entry!$K$1475="","",[2]Entry!$K$1475)</f>
        <v/>
      </c>
      <c r="V1472">
        <f>IF([2]Entry!$L$1475="","",[2]Entry!$L$1475)</f>
        <v/>
      </c>
      <c r="W1472">
        <f>IF([2]Entry!$M$1475="","",[2]Entry!$M$1475)</f>
        <v/>
      </c>
      <c r="X1472">
        <f>IF([2]Entry!$N$1475="","",[2]Entry!$N$1475)</f>
        <v/>
      </c>
      <c r="Y1472">
        <f>IF([2]Entry!$R$1475="","",[2]Entry!$R$1475)</f>
        <v/>
      </c>
    </row>
    <row r="1473">
      <c r="P1473">
        <f>IF([2]Entry!$C$1476="","",[2]Entry!$C$1476)</f>
        <v/>
      </c>
      <c r="Q1473">
        <f>IF([2]Entry!$D$1476="","",[2]Entry!$D$1476)</f>
        <v/>
      </c>
      <c r="R1473">
        <f>IF([2]Entry!$E$1476="","",[2]Entry!$E$1476)</f>
        <v/>
      </c>
      <c r="S1473">
        <f>IF([2]Entry!$G$1476="","",[2]Entry!$G$1476)</f>
        <v/>
      </c>
      <c r="T1473">
        <f>IF([2]Entry!$J$1476="","",[2]Entry!$J$1476)</f>
        <v/>
      </c>
      <c r="U1473">
        <f>IF([2]Entry!$K$1476="","",[2]Entry!$K$1476)</f>
        <v/>
      </c>
      <c r="V1473">
        <f>IF([2]Entry!$L$1476="","",[2]Entry!$L$1476)</f>
        <v/>
      </c>
      <c r="W1473">
        <f>IF([2]Entry!$M$1476="","",[2]Entry!$M$1476)</f>
        <v/>
      </c>
      <c r="X1473">
        <f>IF([2]Entry!$N$1476="","",[2]Entry!$N$1476)</f>
        <v/>
      </c>
      <c r="Y1473">
        <f>IF([2]Entry!$R$1476="","",[2]Entry!$R$1476)</f>
        <v/>
      </c>
    </row>
    <row r="1474">
      <c r="P1474">
        <f>IF([2]Entry!$C$1477="","",[2]Entry!$C$1477)</f>
        <v/>
      </c>
      <c r="Q1474">
        <f>IF([2]Entry!$D$1477="","",[2]Entry!$D$1477)</f>
        <v/>
      </c>
      <c r="R1474">
        <f>IF([2]Entry!$E$1477="","",[2]Entry!$E$1477)</f>
        <v/>
      </c>
      <c r="S1474">
        <f>IF([2]Entry!$G$1477="","",[2]Entry!$G$1477)</f>
        <v/>
      </c>
      <c r="T1474">
        <f>IF([2]Entry!$J$1477="","",[2]Entry!$J$1477)</f>
        <v/>
      </c>
      <c r="U1474">
        <f>IF([2]Entry!$K$1477="","",[2]Entry!$K$1477)</f>
        <v/>
      </c>
      <c r="V1474">
        <f>IF([2]Entry!$L$1477="","",[2]Entry!$L$1477)</f>
        <v/>
      </c>
      <c r="W1474">
        <f>IF([2]Entry!$M$1477="","",[2]Entry!$M$1477)</f>
        <v/>
      </c>
      <c r="X1474">
        <f>IF([2]Entry!$N$1477="","",[2]Entry!$N$1477)</f>
        <v/>
      </c>
      <c r="Y1474">
        <f>IF([2]Entry!$R$1477="","",[2]Entry!$R$1477)</f>
        <v/>
      </c>
    </row>
    <row r="1475">
      <c r="P1475">
        <f>IF([2]Entry!$C$1478="","",[2]Entry!$C$1478)</f>
        <v/>
      </c>
      <c r="Q1475">
        <f>IF([2]Entry!$D$1478="","",[2]Entry!$D$1478)</f>
        <v/>
      </c>
      <c r="R1475">
        <f>IF([2]Entry!$E$1478="","",[2]Entry!$E$1478)</f>
        <v/>
      </c>
      <c r="S1475">
        <f>IF([2]Entry!$G$1478="","",[2]Entry!$G$1478)</f>
        <v/>
      </c>
      <c r="T1475">
        <f>IF([2]Entry!$J$1478="","",[2]Entry!$J$1478)</f>
        <v/>
      </c>
      <c r="U1475">
        <f>IF([2]Entry!$K$1478="","",[2]Entry!$K$1478)</f>
        <v/>
      </c>
      <c r="V1475">
        <f>IF([2]Entry!$L$1478="","",[2]Entry!$L$1478)</f>
        <v/>
      </c>
      <c r="W1475">
        <f>IF([2]Entry!$M$1478="","",[2]Entry!$M$1478)</f>
        <v/>
      </c>
      <c r="X1475">
        <f>IF([2]Entry!$N$1478="","",[2]Entry!$N$1478)</f>
        <v/>
      </c>
      <c r="Y1475">
        <f>IF([2]Entry!$R$1478="","",[2]Entry!$R$1478)</f>
        <v/>
      </c>
    </row>
    <row r="1476">
      <c r="P1476">
        <f>IF([2]Entry!$C$1479="","",[2]Entry!$C$1479)</f>
        <v/>
      </c>
      <c r="Q1476">
        <f>IF([2]Entry!$D$1479="","",[2]Entry!$D$1479)</f>
        <v/>
      </c>
      <c r="R1476">
        <f>IF([2]Entry!$E$1479="","",[2]Entry!$E$1479)</f>
        <v/>
      </c>
      <c r="S1476">
        <f>IF([2]Entry!$G$1479="","",[2]Entry!$G$1479)</f>
        <v/>
      </c>
      <c r="T1476">
        <f>IF([2]Entry!$J$1479="","",[2]Entry!$J$1479)</f>
        <v/>
      </c>
      <c r="U1476">
        <f>IF([2]Entry!$K$1479="","",[2]Entry!$K$1479)</f>
        <v/>
      </c>
      <c r="V1476">
        <f>IF([2]Entry!$L$1479="","",[2]Entry!$L$1479)</f>
        <v/>
      </c>
      <c r="W1476">
        <f>IF([2]Entry!$M$1479="","",[2]Entry!$M$1479)</f>
        <v/>
      </c>
      <c r="X1476">
        <f>IF([2]Entry!$N$1479="","",[2]Entry!$N$1479)</f>
        <v/>
      </c>
      <c r="Y1476">
        <f>IF([2]Entry!$R$1479="","",[2]Entry!$R$1479)</f>
        <v/>
      </c>
    </row>
    <row r="1477">
      <c r="P1477">
        <f>IF([2]Entry!$C$1480="","",[2]Entry!$C$1480)</f>
        <v/>
      </c>
      <c r="Q1477">
        <f>IF([2]Entry!$D$1480="","",[2]Entry!$D$1480)</f>
        <v/>
      </c>
      <c r="R1477">
        <f>IF([2]Entry!$E$1480="","",[2]Entry!$E$1480)</f>
        <v/>
      </c>
      <c r="S1477">
        <f>IF([2]Entry!$G$1480="","",[2]Entry!$G$1480)</f>
        <v/>
      </c>
      <c r="T1477">
        <f>IF([2]Entry!$J$1480="","",[2]Entry!$J$1480)</f>
        <v/>
      </c>
      <c r="U1477">
        <f>IF([2]Entry!$K$1480="","",[2]Entry!$K$1480)</f>
        <v/>
      </c>
      <c r="V1477">
        <f>IF([2]Entry!$L$1480="","",[2]Entry!$L$1480)</f>
        <v/>
      </c>
      <c r="W1477">
        <f>IF([2]Entry!$M$1480="","",[2]Entry!$M$1480)</f>
        <v/>
      </c>
      <c r="X1477">
        <f>IF([2]Entry!$N$1480="","",[2]Entry!$N$1480)</f>
        <v/>
      </c>
      <c r="Y1477">
        <f>IF([2]Entry!$R$1480="","",[2]Entry!$R$1480)</f>
        <v/>
      </c>
    </row>
    <row r="1478">
      <c r="P1478">
        <f>IF([2]Entry!$C$1481="","",[2]Entry!$C$1481)</f>
        <v/>
      </c>
      <c r="Q1478">
        <f>IF([2]Entry!$D$1481="","",[2]Entry!$D$1481)</f>
        <v/>
      </c>
      <c r="R1478">
        <f>IF([2]Entry!$E$1481="","",[2]Entry!$E$1481)</f>
        <v/>
      </c>
      <c r="S1478">
        <f>IF([2]Entry!$G$1481="","",[2]Entry!$G$1481)</f>
        <v/>
      </c>
      <c r="T1478">
        <f>IF([2]Entry!$J$1481="","",[2]Entry!$J$1481)</f>
        <v/>
      </c>
      <c r="U1478">
        <f>IF([2]Entry!$K$1481="","",[2]Entry!$K$1481)</f>
        <v/>
      </c>
      <c r="V1478">
        <f>IF([2]Entry!$L$1481="","",[2]Entry!$L$1481)</f>
        <v/>
      </c>
      <c r="W1478">
        <f>IF([2]Entry!$M$1481="","",[2]Entry!$M$1481)</f>
        <v/>
      </c>
      <c r="X1478">
        <f>IF([2]Entry!$N$1481="","",[2]Entry!$N$1481)</f>
        <v/>
      </c>
      <c r="Y1478">
        <f>IF([2]Entry!$R$1481="","",[2]Entry!$R$1481)</f>
        <v/>
      </c>
    </row>
    <row r="1479">
      <c r="P1479">
        <f>IF([2]Entry!$C$1482="","",[2]Entry!$C$1482)</f>
        <v/>
      </c>
      <c r="Q1479">
        <f>IF([2]Entry!$D$1482="","",[2]Entry!$D$1482)</f>
        <v/>
      </c>
      <c r="R1479">
        <f>IF([2]Entry!$E$1482="","",[2]Entry!$E$1482)</f>
        <v/>
      </c>
      <c r="S1479">
        <f>IF([2]Entry!$G$1482="","",[2]Entry!$G$1482)</f>
        <v/>
      </c>
      <c r="T1479">
        <f>IF([2]Entry!$J$1482="","",[2]Entry!$J$1482)</f>
        <v/>
      </c>
      <c r="U1479">
        <f>IF([2]Entry!$K$1482="","",[2]Entry!$K$1482)</f>
        <v/>
      </c>
      <c r="V1479">
        <f>IF([2]Entry!$L$1482="","",[2]Entry!$L$1482)</f>
        <v/>
      </c>
      <c r="W1479">
        <f>IF([2]Entry!$M$1482="","",[2]Entry!$M$1482)</f>
        <v/>
      </c>
      <c r="X1479">
        <f>IF([2]Entry!$N$1482="","",[2]Entry!$N$1482)</f>
        <v/>
      </c>
      <c r="Y1479">
        <f>IF([2]Entry!$R$1482="","",[2]Entry!$R$1482)</f>
        <v/>
      </c>
    </row>
    <row r="1480">
      <c r="P1480">
        <f>IF([2]Entry!$C$1483="","",[2]Entry!$C$1483)</f>
        <v/>
      </c>
      <c r="Q1480">
        <f>IF([2]Entry!$D$1483="","",[2]Entry!$D$1483)</f>
        <v/>
      </c>
      <c r="R1480">
        <f>IF([2]Entry!$E$1483="","",[2]Entry!$E$1483)</f>
        <v/>
      </c>
      <c r="S1480">
        <f>IF([2]Entry!$G$1483="","",[2]Entry!$G$1483)</f>
        <v/>
      </c>
      <c r="T1480">
        <f>IF([2]Entry!$J$1483="","",[2]Entry!$J$1483)</f>
        <v/>
      </c>
      <c r="U1480">
        <f>IF([2]Entry!$K$1483="","",[2]Entry!$K$1483)</f>
        <v/>
      </c>
      <c r="V1480">
        <f>IF([2]Entry!$L$1483="","",[2]Entry!$L$1483)</f>
        <v/>
      </c>
      <c r="W1480">
        <f>IF([2]Entry!$M$1483="","",[2]Entry!$M$1483)</f>
        <v/>
      </c>
      <c r="X1480">
        <f>IF([2]Entry!$N$1483="","",[2]Entry!$N$1483)</f>
        <v/>
      </c>
      <c r="Y1480">
        <f>IF([2]Entry!$R$1483="","",[2]Entry!$R$1483)</f>
        <v/>
      </c>
    </row>
    <row r="1481">
      <c r="P1481">
        <f>IF([2]Entry!$C$1484="","",[2]Entry!$C$1484)</f>
        <v/>
      </c>
      <c r="Q1481">
        <f>IF([2]Entry!$D$1484="","",[2]Entry!$D$1484)</f>
        <v/>
      </c>
      <c r="R1481">
        <f>IF([2]Entry!$E$1484="","",[2]Entry!$E$1484)</f>
        <v/>
      </c>
      <c r="S1481">
        <f>IF([2]Entry!$G$1484="","",[2]Entry!$G$1484)</f>
        <v/>
      </c>
      <c r="T1481">
        <f>IF([2]Entry!$J$1484="","",[2]Entry!$J$1484)</f>
        <v/>
      </c>
      <c r="U1481">
        <f>IF([2]Entry!$K$1484="","",[2]Entry!$K$1484)</f>
        <v/>
      </c>
      <c r="V1481">
        <f>IF([2]Entry!$L$1484="","",[2]Entry!$L$1484)</f>
        <v/>
      </c>
      <c r="W1481">
        <f>IF([2]Entry!$M$1484="","",[2]Entry!$M$1484)</f>
        <v/>
      </c>
      <c r="X1481">
        <f>IF([2]Entry!$N$1484="","",[2]Entry!$N$1484)</f>
        <v/>
      </c>
      <c r="Y1481">
        <f>IF([2]Entry!$R$1484="","",[2]Entry!$R$1484)</f>
        <v/>
      </c>
    </row>
    <row r="1482">
      <c r="P1482">
        <f>IF([2]Entry!$C$1485="","",[2]Entry!$C$1485)</f>
        <v/>
      </c>
      <c r="Q1482">
        <f>IF([2]Entry!$D$1485="","",[2]Entry!$D$1485)</f>
        <v/>
      </c>
      <c r="R1482">
        <f>IF([2]Entry!$E$1485="","",[2]Entry!$E$1485)</f>
        <v/>
      </c>
      <c r="S1482">
        <f>IF([2]Entry!$G$1485="","",[2]Entry!$G$1485)</f>
        <v/>
      </c>
      <c r="T1482">
        <f>IF([2]Entry!$J$1485="","",[2]Entry!$J$1485)</f>
        <v/>
      </c>
      <c r="U1482">
        <f>IF([2]Entry!$K$1485="","",[2]Entry!$K$1485)</f>
        <v/>
      </c>
      <c r="V1482">
        <f>IF([2]Entry!$L$1485="","",[2]Entry!$L$1485)</f>
        <v/>
      </c>
      <c r="W1482">
        <f>IF([2]Entry!$M$1485="","",[2]Entry!$M$1485)</f>
        <v/>
      </c>
      <c r="X1482">
        <f>IF([2]Entry!$N$1485="","",[2]Entry!$N$1485)</f>
        <v/>
      </c>
      <c r="Y1482">
        <f>IF([2]Entry!$R$1485="","",[2]Entry!$R$1485)</f>
        <v/>
      </c>
    </row>
    <row r="1483">
      <c r="P1483">
        <f>IF([2]Entry!$C$1486="","",[2]Entry!$C$1486)</f>
        <v/>
      </c>
      <c r="Q1483">
        <f>IF([2]Entry!$D$1486="","",[2]Entry!$D$1486)</f>
        <v/>
      </c>
      <c r="R1483">
        <f>IF([2]Entry!$E$1486="","",[2]Entry!$E$1486)</f>
        <v/>
      </c>
      <c r="S1483">
        <f>IF([2]Entry!$G$1486="","",[2]Entry!$G$1486)</f>
        <v/>
      </c>
      <c r="T1483">
        <f>IF([2]Entry!$J$1486="","",[2]Entry!$J$1486)</f>
        <v/>
      </c>
      <c r="U1483">
        <f>IF([2]Entry!$K$1486="","",[2]Entry!$K$1486)</f>
        <v/>
      </c>
      <c r="V1483">
        <f>IF([2]Entry!$L$1486="","",[2]Entry!$L$1486)</f>
        <v/>
      </c>
      <c r="W1483">
        <f>IF([2]Entry!$M$1486="","",[2]Entry!$M$1486)</f>
        <v/>
      </c>
      <c r="X1483">
        <f>IF([2]Entry!$N$1486="","",[2]Entry!$N$1486)</f>
        <v/>
      </c>
      <c r="Y1483">
        <f>IF([2]Entry!$R$1486="","",[2]Entry!$R$1486)</f>
        <v/>
      </c>
    </row>
    <row r="1484">
      <c r="P1484">
        <f>IF([2]Entry!$C$1487="","",[2]Entry!$C$1487)</f>
        <v/>
      </c>
      <c r="Q1484">
        <f>IF([2]Entry!$D$1487="","",[2]Entry!$D$1487)</f>
        <v/>
      </c>
      <c r="R1484">
        <f>IF([2]Entry!$E$1487="","",[2]Entry!$E$1487)</f>
        <v/>
      </c>
      <c r="S1484">
        <f>IF([2]Entry!$G$1487="","",[2]Entry!$G$1487)</f>
        <v/>
      </c>
      <c r="T1484">
        <f>IF([2]Entry!$J$1487="","",[2]Entry!$J$1487)</f>
        <v/>
      </c>
      <c r="U1484">
        <f>IF([2]Entry!$K$1487="","",[2]Entry!$K$1487)</f>
        <v/>
      </c>
      <c r="V1484">
        <f>IF([2]Entry!$L$1487="","",[2]Entry!$L$1487)</f>
        <v/>
      </c>
      <c r="W1484">
        <f>IF([2]Entry!$M$1487="","",[2]Entry!$M$1487)</f>
        <v/>
      </c>
      <c r="X1484">
        <f>IF([2]Entry!$N$1487="","",[2]Entry!$N$1487)</f>
        <v/>
      </c>
      <c r="Y1484">
        <f>IF([2]Entry!$R$1487="","",[2]Entry!$R$1487)</f>
        <v/>
      </c>
    </row>
    <row r="1485">
      <c r="P1485">
        <f>IF([2]Entry!$C$1488="","",[2]Entry!$C$1488)</f>
        <v/>
      </c>
      <c r="Q1485">
        <f>IF([2]Entry!$D$1488="","",[2]Entry!$D$1488)</f>
        <v/>
      </c>
      <c r="R1485">
        <f>IF([2]Entry!$E$1488="","",[2]Entry!$E$1488)</f>
        <v/>
      </c>
      <c r="S1485">
        <f>IF([2]Entry!$G$1488="","",[2]Entry!$G$1488)</f>
        <v/>
      </c>
      <c r="T1485">
        <f>IF([2]Entry!$J$1488="","",[2]Entry!$J$1488)</f>
        <v/>
      </c>
      <c r="U1485">
        <f>IF([2]Entry!$K$1488="","",[2]Entry!$K$1488)</f>
        <v/>
      </c>
      <c r="V1485">
        <f>IF([2]Entry!$L$1488="","",[2]Entry!$L$1488)</f>
        <v/>
      </c>
      <c r="W1485">
        <f>IF([2]Entry!$M$1488="","",[2]Entry!$M$1488)</f>
        <v/>
      </c>
      <c r="X1485">
        <f>IF([2]Entry!$N$1488="","",[2]Entry!$N$1488)</f>
        <v/>
      </c>
      <c r="Y1485">
        <f>IF([2]Entry!$R$1488="","",[2]Entry!$R$1488)</f>
        <v/>
      </c>
    </row>
    <row r="1486">
      <c r="P1486">
        <f>IF([2]Entry!$C$1489="","",[2]Entry!$C$1489)</f>
        <v/>
      </c>
      <c r="Q1486">
        <f>IF([2]Entry!$D$1489="","",[2]Entry!$D$1489)</f>
        <v/>
      </c>
      <c r="R1486">
        <f>IF([2]Entry!$E$1489="","",[2]Entry!$E$1489)</f>
        <v/>
      </c>
      <c r="S1486">
        <f>IF([2]Entry!$G$1489="","",[2]Entry!$G$1489)</f>
        <v/>
      </c>
      <c r="T1486">
        <f>IF([2]Entry!$J$1489="","",[2]Entry!$J$1489)</f>
        <v/>
      </c>
      <c r="U1486">
        <f>IF([2]Entry!$K$1489="","",[2]Entry!$K$1489)</f>
        <v/>
      </c>
      <c r="V1486">
        <f>IF([2]Entry!$L$1489="","",[2]Entry!$L$1489)</f>
        <v/>
      </c>
      <c r="W1486">
        <f>IF([2]Entry!$M$1489="","",[2]Entry!$M$1489)</f>
        <v/>
      </c>
      <c r="X1486">
        <f>IF([2]Entry!$N$1489="","",[2]Entry!$N$1489)</f>
        <v/>
      </c>
      <c r="Y1486">
        <f>IF([2]Entry!$R$1489="","",[2]Entry!$R$1489)</f>
        <v/>
      </c>
    </row>
    <row r="1487">
      <c r="P1487">
        <f>IF([2]Entry!$C$1490="","",[2]Entry!$C$1490)</f>
        <v/>
      </c>
      <c r="Q1487">
        <f>IF([2]Entry!$D$1490="","",[2]Entry!$D$1490)</f>
        <v/>
      </c>
      <c r="R1487">
        <f>IF([2]Entry!$E$1490="","",[2]Entry!$E$1490)</f>
        <v/>
      </c>
      <c r="S1487">
        <f>IF([2]Entry!$G$1490="","",[2]Entry!$G$1490)</f>
        <v/>
      </c>
      <c r="T1487">
        <f>IF([2]Entry!$J$1490="","",[2]Entry!$J$1490)</f>
        <v/>
      </c>
      <c r="U1487">
        <f>IF([2]Entry!$K$1490="","",[2]Entry!$K$1490)</f>
        <v/>
      </c>
      <c r="V1487">
        <f>IF([2]Entry!$L$1490="","",[2]Entry!$L$1490)</f>
        <v/>
      </c>
      <c r="W1487">
        <f>IF([2]Entry!$M$1490="","",[2]Entry!$M$1490)</f>
        <v/>
      </c>
      <c r="X1487">
        <f>IF([2]Entry!$N$1490="","",[2]Entry!$N$1490)</f>
        <v/>
      </c>
      <c r="Y1487">
        <f>IF([2]Entry!$R$1490="","",[2]Entry!$R$1490)</f>
        <v/>
      </c>
    </row>
    <row r="1488">
      <c r="P1488">
        <f>IF([2]Entry!$C$1491="","",[2]Entry!$C$1491)</f>
        <v/>
      </c>
      <c r="Q1488">
        <f>IF([2]Entry!$D$1491="","",[2]Entry!$D$1491)</f>
        <v/>
      </c>
      <c r="R1488">
        <f>IF([2]Entry!$E$1491="","",[2]Entry!$E$1491)</f>
        <v/>
      </c>
      <c r="S1488">
        <f>IF([2]Entry!$G$1491="","",[2]Entry!$G$1491)</f>
        <v/>
      </c>
      <c r="T1488">
        <f>IF([2]Entry!$J$1491="","",[2]Entry!$J$1491)</f>
        <v/>
      </c>
      <c r="U1488">
        <f>IF([2]Entry!$K$1491="","",[2]Entry!$K$1491)</f>
        <v/>
      </c>
      <c r="V1488">
        <f>IF([2]Entry!$L$1491="","",[2]Entry!$L$1491)</f>
        <v/>
      </c>
      <c r="W1488">
        <f>IF([2]Entry!$M$1491="","",[2]Entry!$M$1491)</f>
        <v/>
      </c>
      <c r="X1488">
        <f>IF([2]Entry!$N$1491="","",[2]Entry!$N$1491)</f>
        <v/>
      </c>
      <c r="Y1488">
        <f>IF([2]Entry!$R$1491="","",[2]Entry!$R$1491)</f>
        <v/>
      </c>
    </row>
    <row r="1489">
      <c r="P1489">
        <f>IF([2]Entry!$C$1492="","",[2]Entry!$C$1492)</f>
        <v/>
      </c>
      <c r="Q1489">
        <f>IF([2]Entry!$D$1492="","",[2]Entry!$D$1492)</f>
        <v/>
      </c>
      <c r="R1489">
        <f>IF([2]Entry!$E$1492="","",[2]Entry!$E$1492)</f>
        <v/>
      </c>
      <c r="S1489">
        <f>IF([2]Entry!$G$1492="","",[2]Entry!$G$1492)</f>
        <v/>
      </c>
      <c r="T1489">
        <f>IF([2]Entry!$J$1492="","",[2]Entry!$J$1492)</f>
        <v/>
      </c>
      <c r="U1489">
        <f>IF([2]Entry!$K$1492="","",[2]Entry!$K$1492)</f>
        <v/>
      </c>
      <c r="V1489">
        <f>IF([2]Entry!$L$1492="","",[2]Entry!$L$1492)</f>
        <v/>
      </c>
      <c r="W1489">
        <f>IF([2]Entry!$M$1492="","",[2]Entry!$M$1492)</f>
        <v/>
      </c>
      <c r="X1489">
        <f>IF([2]Entry!$N$1492="","",[2]Entry!$N$1492)</f>
        <v/>
      </c>
      <c r="Y1489">
        <f>IF([2]Entry!$R$1492="","",[2]Entry!$R$1492)</f>
        <v/>
      </c>
    </row>
    <row r="1490">
      <c r="P1490">
        <f>IF([2]Entry!$C$1493="","",[2]Entry!$C$1493)</f>
        <v/>
      </c>
      <c r="Q1490">
        <f>IF([2]Entry!$D$1493="","",[2]Entry!$D$1493)</f>
        <v/>
      </c>
      <c r="R1490">
        <f>IF([2]Entry!$E$1493="","",[2]Entry!$E$1493)</f>
        <v/>
      </c>
      <c r="S1490">
        <f>IF([2]Entry!$G$1493="","",[2]Entry!$G$1493)</f>
        <v/>
      </c>
      <c r="T1490">
        <f>IF([2]Entry!$J$1493="","",[2]Entry!$J$1493)</f>
        <v/>
      </c>
      <c r="U1490">
        <f>IF([2]Entry!$K$1493="","",[2]Entry!$K$1493)</f>
        <v/>
      </c>
      <c r="V1490">
        <f>IF([2]Entry!$L$1493="","",[2]Entry!$L$1493)</f>
        <v/>
      </c>
      <c r="W1490">
        <f>IF([2]Entry!$M$1493="","",[2]Entry!$M$1493)</f>
        <v/>
      </c>
      <c r="X1490">
        <f>IF([2]Entry!$N$1493="","",[2]Entry!$N$1493)</f>
        <v/>
      </c>
      <c r="Y1490">
        <f>IF([2]Entry!$R$1493="","",[2]Entry!$R$1493)</f>
        <v/>
      </c>
    </row>
    <row r="1491">
      <c r="P1491">
        <f>IF([2]Entry!$C$1494="","",[2]Entry!$C$1494)</f>
        <v/>
      </c>
      <c r="Q1491">
        <f>IF([2]Entry!$D$1494="","",[2]Entry!$D$1494)</f>
        <v/>
      </c>
      <c r="R1491">
        <f>IF([2]Entry!$E$1494="","",[2]Entry!$E$1494)</f>
        <v/>
      </c>
      <c r="S1491">
        <f>IF([2]Entry!$G$1494="","",[2]Entry!$G$1494)</f>
        <v/>
      </c>
      <c r="T1491">
        <f>IF([2]Entry!$J$1494="","",[2]Entry!$J$1494)</f>
        <v/>
      </c>
      <c r="U1491">
        <f>IF([2]Entry!$K$1494="","",[2]Entry!$K$1494)</f>
        <v/>
      </c>
      <c r="V1491">
        <f>IF([2]Entry!$L$1494="","",[2]Entry!$L$1494)</f>
        <v/>
      </c>
      <c r="W1491">
        <f>IF([2]Entry!$M$1494="","",[2]Entry!$M$1494)</f>
        <v/>
      </c>
      <c r="X1491">
        <f>IF([2]Entry!$N$1494="","",[2]Entry!$N$1494)</f>
        <v/>
      </c>
      <c r="Y1491">
        <f>IF([2]Entry!$R$1494="","",[2]Entry!$R$1494)</f>
        <v/>
      </c>
    </row>
    <row r="1492">
      <c r="P1492">
        <f>IF([2]Entry!$C$1495="","",[2]Entry!$C$1495)</f>
        <v/>
      </c>
      <c r="Q1492">
        <f>IF([2]Entry!$D$1495="","",[2]Entry!$D$1495)</f>
        <v/>
      </c>
      <c r="R1492">
        <f>IF([2]Entry!$E$1495="","",[2]Entry!$E$1495)</f>
        <v/>
      </c>
      <c r="S1492">
        <f>IF([2]Entry!$G$1495="","",[2]Entry!$G$1495)</f>
        <v/>
      </c>
      <c r="T1492">
        <f>IF([2]Entry!$J$1495="","",[2]Entry!$J$1495)</f>
        <v/>
      </c>
      <c r="U1492">
        <f>IF([2]Entry!$K$1495="","",[2]Entry!$K$1495)</f>
        <v/>
      </c>
      <c r="V1492">
        <f>IF([2]Entry!$L$1495="","",[2]Entry!$L$1495)</f>
        <v/>
      </c>
      <c r="W1492">
        <f>IF([2]Entry!$M$1495="","",[2]Entry!$M$1495)</f>
        <v/>
      </c>
      <c r="X1492">
        <f>IF([2]Entry!$N$1495="","",[2]Entry!$N$1495)</f>
        <v/>
      </c>
      <c r="Y1492">
        <f>IF([2]Entry!$R$1495="","",[2]Entry!$R$1495)</f>
        <v/>
      </c>
    </row>
    <row r="1493">
      <c r="P1493">
        <f>IF([2]Entry!$C$1496="","",[2]Entry!$C$1496)</f>
        <v/>
      </c>
      <c r="Q1493">
        <f>IF([2]Entry!$D$1496="","",[2]Entry!$D$1496)</f>
        <v/>
      </c>
      <c r="R1493">
        <f>IF([2]Entry!$E$1496="","",[2]Entry!$E$1496)</f>
        <v/>
      </c>
      <c r="S1493">
        <f>IF([2]Entry!$G$1496="","",[2]Entry!$G$1496)</f>
        <v/>
      </c>
      <c r="T1493">
        <f>IF([2]Entry!$J$1496="","",[2]Entry!$J$1496)</f>
        <v/>
      </c>
      <c r="U1493">
        <f>IF([2]Entry!$K$1496="","",[2]Entry!$K$1496)</f>
        <v/>
      </c>
      <c r="V1493">
        <f>IF([2]Entry!$L$1496="","",[2]Entry!$L$1496)</f>
        <v/>
      </c>
      <c r="W1493">
        <f>IF([2]Entry!$M$1496="","",[2]Entry!$M$1496)</f>
        <v/>
      </c>
      <c r="X1493">
        <f>IF([2]Entry!$N$1496="","",[2]Entry!$N$1496)</f>
        <v/>
      </c>
      <c r="Y1493">
        <f>IF([2]Entry!$R$1496="","",[2]Entry!$R$1496)</f>
        <v/>
      </c>
    </row>
    <row r="1494">
      <c r="P1494">
        <f>IF([2]Entry!$C$1497="","",[2]Entry!$C$1497)</f>
        <v/>
      </c>
      <c r="Q1494">
        <f>IF([2]Entry!$D$1497="","",[2]Entry!$D$1497)</f>
        <v/>
      </c>
      <c r="R1494">
        <f>IF([2]Entry!$E$1497="","",[2]Entry!$E$1497)</f>
        <v/>
      </c>
      <c r="S1494">
        <f>IF([2]Entry!$G$1497="","",[2]Entry!$G$1497)</f>
        <v/>
      </c>
      <c r="T1494">
        <f>IF([2]Entry!$J$1497="","",[2]Entry!$J$1497)</f>
        <v/>
      </c>
      <c r="U1494">
        <f>IF([2]Entry!$K$1497="","",[2]Entry!$K$1497)</f>
        <v/>
      </c>
      <c r="V1494">
        <f>IF([2]Entry!$L$1497="","",[2]Entry!$L$1497)</f>
        <v/>
      </c>
      <c r="W1494">
        <f>IF([2]Entry!$M$1497="","",[2]Entry!$M$1497)</f>
        <v/>
      </c>
      <c r="X1494">
        <f>IF([2]Entry!$N$1497="","",[2]Entry!$N$1497)</f>
        <v/>
      </c>
      <c r="Y1494">
        <f>IF([2]Entry!$R$1497="","",[2]Entry!$R$1497)</f>
        <v/>
      </c>
    </row>
    <row r="1495">
      <c r="P1495">
        <f>IF([2]Entry!$C$1498="","",[2]Entry!$C$1498)</f>
        <v/>
      </c>
      <c r="Q1495">
        <f>IF([2]Entry!$D$1498="","",[2]Entry!$D$1498)</f>
        <v/>
      </c>
      <c r="R1495">
        <f>IF([2]Entry!$E$1498="","",[2]Entry!$E$1498)</f>
        <v/>
      </c>
      <c r="S1495">
        <f>IF([2]Entry!$G$1498="","",[2]Entry!$G$1498)</f>
        <v/>
      </c>
      <c r="T1495">
        <f>IF([2]Entry!$J$1498="","",[2]Entry!$J$1498)</f>
        <v/>
      </c>
      <c r="U1495">
        <f>IF([2]Entry!$K$1498="","",[2]Entry!$K$1498)</f>
        <v/>
      </c>
      <c r="V1495">
        <f>IF([2]Entry!$L$1498="","",[2]Entry!$L$1498)</f>
        <v/>
      </c>
      <c r="W1495">
        <f>IF([2]Entry!$M$1498="","",[2]Entry!$M$1498)</f>
        <v/>
      </c>
      <c r="X1495">
        <f>IF([2]Entry!$N$1498="","",[2]Entry!$N$1498)</f>
        <v/>
      </c>
      <c r="Y1495">
        <f>IF([2]Entry!$R$1498="","",[2]Entry!$R$1498)</f>
        <v/>
      </c>
    </row>
    <row r="1496">
      <c r="P1496">
        <f>IF([2]Entry!$C$1499="","",[2]Entry!$C$1499)</f>
        <v/>
      </c>
      <c r="Q1496">
        <f>IF([2]Entry!$D$1499="","",[2]Entry!$D$1499)</f>
        <v/>
      </c>
      <c r="R1496">
        <f>IF([2]Entry!$E$1499="","",[2]Entry!$E$1499)</f>
        <v/>
      </c>
      <c r="S1496">
        <f>IF([2]Entry!$G$1499="","",[2]Entry!$G$1499)</f>
        <v/>
      </c>
      <c r="T1496">
        <f>IF([2]Entry!$J$1499="","",[2]Entry!$J$1499)</f>
        <v/>
      </c>
      <c r="U1496">
        <f>IF([2]Entry!$K$1499="","",[2]Entry!$K$1499)</f>
        <v/>
      </c>
      <c r="V1496">
        <f>IF([2]Entry!$L$1499="","",[2]Entry!$L$1499)</f>
        <v/>
      </c>
      <c r="W1496">
        <f>IF([2]Entry!$M$1499="","",[2]Entry!$M$1499)</f>
        <v/>
      </c>
      <c r="X1496">
        <f>IF([2]Entry!$N$1499="","",[2]Entry!$N$1499)</f>
        <v/>
      </c>
      <c r="Y1496">
        <f>IF([2]Entry!$R$1499="","",[2]Entry!$R$1499)</f>
        <v/>
      </c>
    </row>
    <row r="1497">
      <c r="P1497">
        <f>IF([2]Entry!$C$1500="","",[2]Entry!$C$1500)</f>
        <v/>
      </c>
      <c r="Q1497">
        <f>IF([2]Entry!$D$1500="","",[2]Entry!$D$1500)</f>
        <v/>
      </c>
      <c r="R1497">
        <f>IF([2]Entry!$E$1500="","",[2]Entry!$E$1500)</f>
        <v/>
      </c>
      <c r="S1497">
        <f>IF([2]Entry!$G$1500="","",[2]Entry!$G$1500)</f>
        <v/>
      </c>
      <c r="T1497">
        <f>IF([2]Entry!$J$1500="","",[2]Entry!$J$1500)</f>
        <v/>
      </c>
      <c r="U1497">
        <f>IF([2]Entry!$K$1500="","",[2]Entry!$K$1500)</f>
        <v/>
      </c>
      <c r="V1497">
        <f>IF([2]Entry!$L$1500="","",[2]Entry!$L$1500)</f>
        <v/>
      </c>
      <c r="W1497">
        <f>IF([2]Entry!$M$1500="","",[2]Entry!$M$1500)</f>
        <v/>
      </c>
      <c r="X1497">
        <f>IF([2]Entry!$N$1500="","",[2]Entry!$N$1500)</f>
        <v/>
      </c>
      <c r="Y1497">
        <f>IF([2]Entry!$R$1500="","",[2]Entry!$R$1500)</f>
        <v/>
      </c>
    </row>
    <row r="1498">
      <c r="P1498">
        <f>IF([2]Entry!$C$1501="","",[2]Entry!$C$1501)</f>
        <v/>
      </c>
      <c r="Q1498">
        <f>IF([2]Entry!$D$1501="","",[2]Entry!$D$1501)</f>
        <v/>
      </c>
      <c r="R1498">
        <f>IF([2]Entry!$E$1501="","",[2]Entry!$E$1501)</f>
        <v/>
      </c>
      <c r="S1498">
        <f>IF([2]Entry!$G$1501="","",[2]Entry!$G$1501)</f>
        <v/>
      </c>
      <c r="T1498">
        <f>IF([2]Entry!$J$1501="","",[2]Entry!$J$1501)</f>
        <v/>
      </c>
      <c r="U1498">
        <f>IF([2]Entry!$K$1501="","",[2]Entry!$K$1501)</f>
        <v/>
      </c>
      <c r="V1498">
        <f>IF([2]Entry!$L$1501="","",[2]Entry!$L$1501)</f>
        <v/>
      </c>
      <c r="W1498">
        <f>IF([2]Entry!$M$1501="","",[2]Entry!$M$1501)</f>
        <v/>
      </c>
      <c r="X1498">
        <f>IF([2]Entry!$N$1501="","",[2]Entry!$N$1501)</f>
        <v/>
      </c>
      <c r="Y1498">
        <f>IF([2]Entry!$R$1501="","",[2]Entry!$R$1501)</f>
        <v/>
      </c>
    </row>
    <row r="1499">
      <c r="P1499">
        <f>IF([2]Entry!$C$1502="","",[2]Entry!$C$1502)</f>
        <v/>
      </c>
      <c r="Q1499">
        <f>IF([2]Entry!$D$1502="","",[2]Entry!$D$1502)</f>
        <v/>
      </c>
      <c r="R1499">
        <f>IF([2]Entry!$E$1502="","",[2]Entry!$E$1502)</f>
        <v/>
      </c>
      <c r="S1499">
        <f>IF([2]Entry!$G$1502="","",[2]Entry!$G$1502)</f>
        <v/>
      </c>
      <c r="T1499">
        <f>IF([2]Entry!$J$1502="","",[2]Entry!$J$1502)</f>
        <v/>
      </c>
      <c r="U1499">
        <f>IF([2]Entry!$K$1502="","",[2]Entry!$K$1502)</f>
        <v/>
      </c>
      <c r="V1499">
        <f>IF([2]Entry!$L$1502="","",[2]Entry!$L$1502)</f>
        <v/>
      </c>
      <c r="W1499">
        <f>IF([2]Entry!$M$1502="","",[2]Entry!$M$1502)</f>
        <v/>
      </c>
      <c r="X1499">
        <f>IF([2]Entry!$N$1502="","",[2]Entry!$N$1502)</f>
        <v/>
      </c>
      <c r="Y1499">
        <f>IF([2]Entry!$R$1502="","",[2]Entry!$R$1502)</f>
        <v/>
      </c>
    </row>
    <row r="1500">
      <c r="P1500">
        <f>IF([2]Entry!$C$1503="","",[2]Entry!$C$1503)</f>
        <v/>
      </c>
      <c r="Q1500">
        <f>IF([2]Entry!$D$1503="","",[2]Entry!$D$1503)</f>
        <v/>
      </c>
      <c r="R1500">
        <f>IF([2]Entry!$E$1503="","",[2]Entry!$E$1503)</f>
        <v/>
      </c>
      <c r="S1500">
        <f>IF([2]Entry!$G$1503="","",[2]Entry!$G$1503)</f>
        <v/>
      </c>
      <c r="T1500">
        <f>IF([2]Entry!$J$1503="","",[2]Entry!$J$1503)</f>
        <v/>
      </c>
      <c r="U1500">
        <f>IF([2]Entry!$K$1503="","",[2]Entry!$K$1503)</f>
        <v/>
      </c>
      <c r="V1500">
        <f>IF([2]Entry!$L$1503="","",[2]Entry!$L$1503)</f>
        <v/>
      </c>
      <c r="W1500">
        <f>IF([2]Entry!$M$1503="","",[2]Entry!$M$1503)</f>
        <v/>
      </c>
      <c r="X1500">
        <f>IF([2]Entry!$N$1503="","",[2]Entry!$N$1503)</f>
        <v/>
      </c>
      <c r="Y1500">
        <f>IF([2]Entry!$R$1503="","",[2]Entry!$R$1503)</f>
        <v/>
      </c>
    </row>
    <row r="1501">
      <c r="P1501">
        <f>IF([2]Entry!$C$1504="","",[2]Entry!$C$1504)</f>
        <v/>
      </c>
      <c r="Q1501">
        <f>IF([2]Entry!$D$1504="","",[2]Entry!$D$1504)</f>
        <v/>
      </c>
      <c r="R1501">
        <f>IF([2]Entry!$E$1504="","",[2]Entry!$E$1504)</f>
        <v/>
      </c>
      <c r="S1501">
        <f>IF([2]Entry!$G$1504="","",[2]Entry!$G$1504)</f>
        <v/>
      </c>
      <c r="T1501">
        <f>IF([2]Entry!$J$1504="","",[2]Entry!$J$1504)</f>
        <v/>
      </c>
      <c r="U1501">
        <f>IF([2]Entry!$K$1504="","",[2]Entry!$K$1504)</f>
        <v/>
      </c>
      <c r="V1501">
        <f>IF([2]Entry!$L$1504="","",[2]Entry!$L$1504)</f>
        <v/>
      </c>
      <c r="W1501">
        <f>IF([2]Entry!$M$1504="","",[2]Entry!$M$1504)</f>
        <v/>
      </c>
      <c r="X1501">
        <f>IF([2]Entry!$N$1504="","",[2]Entry!$N$1504)</f>
        <v/>
      </c>
      <c r="Y1501">
        <f>IF([2]Entry!$R$1504="","",[2]Entry!$R$1504)</f>
        <v/>
      </c>
    </row>
    <row r="1502">
      <c r="P1502">
        <f>IF([2]Entry!$C$1505="","",[2]Entry!$C$1505)</f>
        <v/>
      </c>
      <c r="Q1502">
        <f>IF([2]Entry!$D$1505="","",[2]Entry!$D$1505)</f>
        <v/>
      </c>
      <c r="R1502">
        <f>IF([2]Entry!$E$1505="","",[2]Entry!$E$1505)</f>
        <v/>
      </c>
      <c r="S1502">
        <f>IF([2]Entry!$G$1505="","",[2]Entry!$G$1505)</f>
        <v/>
      </c>
      <c r="T1502">
        <f>IF([2]Entry!$J$1505="","",[2]Entry!$J$1505)</f>
        <v/>
      </c>
      <c r="U1502">
        <f>IF([2]Entry!$K$1505="","",[2]Entry!$K$1505)</f>
        <v/>
      </c>
      <c r="V1502">
        <f>IF([2]Entry!$L$1505="","",[2]Entry!$L$1505)</f>
        <v/>
      </c>
      <c r="W1502">
        <f>IF([2]Entry!$M$1505="","",[2]Entry!$M$1505)</f>
        <v/>
      </c>
      <c r="X1502">
        <f>IF([2]Entry!$N$1505="","",[2]Entry!$N$1505)</f>
        <v/>
      </c>
      <c r="Y1502">
        <f>IF([2]Entry!$R$1505="","",[2]Entry!$R$1505)</f>
        <v/>
      </c>
    </row>
    <row r="1503">
      <c r="P1503">
        <f>IF([2]Entry!$C$1506="","",[2]Entry!$C$1506)</f>
        <v/>
      </c>
      <c r="Q1503">
        <f>IF([2]Entry!$D$1506="","",[2]Entry!$D$1506)</f>
        <v/>
      </c>
      <c r="R1503">
        <f>IF([2]Entry!$E$1506="","",[2]Entry!$E$1506)</f>
        <v/>
      </c>
      <c r="S1503">
        <f>IF([2]Entry!$G$1506="","",[2]Entry!$G$1506)</f>
        <v/>
      </c>
      <c r="T1503">
        <f>IF([2]Entry!$J$1506="","",[2]Entry!$J$1506)</f>
        <v/>
      </c>
      <c r="U1503">
        <f>IF([2]Entry!$K$1506="","",[2]Entry!$K$1506)</f>
        <v/>
      </c>
      <c r="V1503">
        <f>IF([2]Entry!$L$1506="","",[2]Entry!$L$1506)</f>
        <v/>
      </c>
      <c r="W1503">
        <f>IF([2]Entry!$M$1506="","",[2]Entry!$M$1506)</f>
        <v/>
      </c>
      <c r="X1503">
        <f>IF([2]Entry!$N$1506="","",[2]Entry!$N$1506)</f>
        <v/>
      </c>
      <c r="Y1503">
        <f>IF([2]Entry!$R$1506="","",[2]Entry!$R$1506)</f>
        <v/>
      </c>
    </row>
    <row r="1504">
      <c r="P1504">
        <f>IF([2]Entry!$C$1507="","",[2]Entry!$C$1507)</f>
        <v/>
      </c>
      <c r="Q1504">
        <f>IF([2]Entry!$D$1507="","",[2]Entry!$D$1507)</f>
        <v/>
      </c>
      <c r="R1504">
        <f>IF([2]Entry!$E$1507="","",[2]Entry!$E$1507)</f>
        <v/>
      </c>
      <c r="S1504">
        <f>IF([2]Entry!$G$1507="","",[2]Entry!$G$1507)</f>
        <v/>
      </c>
      <c r="T1504">
        <f>IF([2]Entry!$J$1507="","",[2]Entry!$J$1507)</f>
        <v/>
      </c>
      <c r="U1504">
        <f>IF([2]Entry!$K$1507="","",[2]Entry!$K$1507)</f>
        <v/>
      </c>
      <c r="V1504">
        <f>IF([2]Entry!$L$1507="","",[2]Entry!$L$1507)</f>
        <v/>
      </c>
      <c r="W1504">
        <f>IF([2]Entry!$M$1507="","",[2]Entry!$M$1507)</f>
        <v/>
      </c>
      <c r="X1504">
        <f>IF([2]Entry!$N$1507="","",[2]Entry!$N$1507)</f>
        <v/>
      </c>
      <c r="Y1504">
        <f>IF([2]Entry!$R$1507="","",[2]Entry!$R$1507)</f>
        <v/>
      </c>
    </row>
    <row r="1505">
      <c r="P1505">
        <f>IF([2]Entry!$C$1508="","",[2]Entry!$C$1508)</f>
        <v/>
      </c>
      <c r="Q1505">
        <f>IF([2]Entry!$D$1508="","",[2]Entry!$D$1508)</f>
        <v/>
      </c>
      <c r="R1505">
        <f>IF([2]Entry!$E$1508="","",[2]Entry!$E$1508)</f>
        <v/>
      </c>
      <c r="S1505">
        <f>IF([2]Entry!$G$1508="","",[2]Entry!$G$1508)</f>
        <v/>
      </c>
      <c r="T1505">
        <f>IF([2]Entry!$J$1508="","",[2]Entry!$J$1508)</f>
        <v/>
      </c>
      <c r="U1505">
        <f>IF([2]Entry!$K$1508="","",[2]Entry!$K$1508)</f>
        <v/>
      </c>
      <c r="V1505">
        <f>IF([2]Entry!$L$1508="","",[2]Entry!$L$1508)</f>
        <v/>
      </c>
      <c r="W1505">
        <f>IF([2]Entry!$M$1508="","",[2]Entry!$M$1508)</f>
        <v/>
      </c>
      <c r="X1505">
        <f>IF([2]Entry!$N$1508="","",[2]Entry!$N$1508)</f>
        <v/>
      </c>
      <c r="Y1505">
        <f>IF([2]Entry!$R$1508="","",[2]Entry!$R$1508)</f>
        <v/>
      </c>
    </row>
    <row r="1506">
      <c r="P1506">
        <f>IF([2]Entry!$C$1509="","",[2]Entry!$C$1509)</f>
        <v/>
      </c>
      <c r="Q1506">
        <f>IF([2]Entry!$D$1509="","",[2]Entry!$D$1509)</f>
        <v/>
      </c>
      <c r="R1506">
        <f>IF([2]Entry!$E$1509="","",[2]Entry!$E$1509)</f>
        <v/>
      </c>
      <c r="S1506">
        <f>IF([2]Entry!$G$1509="","",[2]Entry!$G$1509)</f>
        <v/>
      </c>
      <c r="T1506">
        <f>IF([2]Entry!$J$1509="","",[2]Entry!$J$1509)</f>
        <v/>
      </c>
      <c r="U1506">
        <f>IF([2]Entry!$K$1509="","",[2]Entry!$K$1509)</f>
        <v/>
      </c>
      <c r="V1506">
        <f>IF([2]Entry!$L$1509="","",[2]Entry!$L$1509)</f>
        <v/>
      </c>
      <c r="W1506">
        <f>IF([2]Entry!$M$1509="","",[2]Entry!$M$1509)</f>
        <v/>
      </c>
      <c r="X1506">
        <f>IF([2]Entry!$N$1509="","",[2]Entry!$N$1509)</f>
        <v/>
      </c>
      <c r="Y1506">
        <f>IF([2]Entry!$R$1509="","",[2]Entry!$R$1509)</f>
        <v/>
      </c>
    </row>
    <row r="1507">
      <c r="P1507">
        <f>IF([2]Entry!$C$1510="","",[2]Entry!$C$1510)</f>
        <v/>
      </c>
      <c r="Q1507">
        <f>IF([2]Entry!$D$1510="","",[2]Entry!$D$1510)</f>
        <v/>
      </c>
      <c r="R1507">
        <f>IF([2]Entry!$E$1510="","",[2]Entry!$E$1510)</f>
        <v/>
      </c>
      <c r="S1507">
        <f>IF([2]Entry!$G$1510="","",[2]Entry!$G$1510)</f>
        <v/>
      </c>
      <c r="T1507">
        <f>IF([2]Entry!$J$1510="","",[2]Entry!$J$1510)</f>
        <v/>
      </c>
      <c r="U1507">
        <f>IF([2]Entry!$K$1510="","",[2]Entry!$K$1510)</f>
        <v/>
      </c>
      <c r="V1507">
        <f>IF([2]Entry!$L$1510="","",[2]Entry!$L$1510)</f>
        <v/>
      </c>
      <c r="W1507">
        <f>IF([2]Entry!$M$1510="","",[2]Entry!$M$1510)</f>
        <v/>
      </c>
      <c r="X1507">
        <f>IF([2]Entry!$N$1510="","",[2]Entry!$N$1510)</f>
        <v/>
      </c>
      <c r="Y1507">
        <f>IF([2]Entry!$R$1510="","",[2]Entry!$R$1510)</f>
        <v/>
      </c>
    </row>
    <row r="1508">
      <c r="P1508">
        <f>IF([2]Entry!$C$1511="","",[2]Entry!$C$1511)</f>
        <v/>
      </c>
      <c r="Q1508">
        <f>IF([2]Entry!$D$1511="","",[2]Entry!$D$1511)</f>
        <v/>
      </c>
      <c r="R1508">
        <f>IF([2]Entry!$E$1511="","",[2]Entry!$E$1511)</f>
        <v/>
      </c>
      <c r="S1508">
        <f>IF([2]Entry!$G$1511="","",[2]Entry!$G$1511)</f>
        <v/>
      </c>
      <c r="T1508">
        <f>IF([2]Entry!$J$1511="","",[2]Entry!$J$1511)</f>
        <v/>
      </c>
      <c r="U1508">
        <f>IF([2]Entry!$K$1511="","",[2]Entry!$K$1511)</f>
        <v/>
      </c>
      <c r="V1508">
        <f>IF([2]Entry!$L$1511="","",[2]Entry!$L$1511)</f>
        <v/>
      </c>
      <c r="W1508">
        <f>IF([2]Entry!$M$1511="","",[2]Entry!$M$1511)</f>
        <v/>
      </c>
      <c r="X1508">
        <f>IF([2]Entry!$N$1511="","",[2]Entry!$N$1511)</f>
        <v/>
      </c>
      <c r="Y1508">
        <f>IF([2]Entry!$R$1511="","",[2]Entry!$R$1511)</f>
        <v/>
      </c>
    </row>
    <row r="1509">
      <c r="P1509">
        <f>IF([2]Entry!$C$1512="","",[2]Entry!$C$1512)</f>
        <v/>
      </c>
      <c r="Q1509">
        <f>IF([2]Entry!$D$1512="","",[2]Entry!$D$1512)</f>
        <v/>
      </c>
      <c r="R1509">
        <f>IF([2]Entry!$E$1512="","",[2]Entry!$E$1512)</f>
        <v/>
      </c>
      <c r="S1509">
        <f>IF([2]Entry!$G$1512="","",[2]Entry!$G$1512)</f>
        <v/>
      </c>
      <c r="T1509">
        <f>IF([2]Entry!$J$1512="","",[2]Entry!$J$1512)</f>
        <v/>
      </c>
      <c r="U1509">
        <f>IF([2]Entry!$K$1512="","",[2]Entry!$K$1512)</f>
        <v/>
      </c>
      <c r="V1509">
        <f>IF([2]Entry!$L$1512="","",[2]Entry!$L$1512)</f>
        <v/>
      </c>
      <c r="W1509">
        <f>IF([2]Entry!$M$1512="","",[2]Entry!$M$1512)</f>
        <v/>
      </c>
      <c r="X1509">
        <f>IF([2]Entry!$N$1512="","",[2]Entry!$N$1512)</f>
        <v/>
      </c>
      <c r="Y1509">
        <f>IF([2]Entry!$R$1512="","",[2]Entry!$R$1512)</f>
        <v/>
      </c>
    </row>
    <row r="1510">
      <c r="P1510">
        <f>IF([2]Entry!$C$1513="","",[2]Entry!$C$1513)</f>
        <v/>
      </c>
      <c r="Q1510">
        <f>IF([2]Entry!$D$1513="","",[2]Entry!$D$1513)</f>
        <v/>
      </c>
      <c r="R1510">
        <f>IF([2]Entry!$E$1513="","",[2]Entry!$E$1513)</f>
        <v/>
      </c>
      <c r="S1510">
        <f>IF([2]Entry!$G$1513="","",[2]Entry!$G$1513)</f>
        <v/>
      </c>
      <c r="T1510">
        <f>IF([2]Entry!$J$1513="","",[2]Entry!$J$1513)</f>
        <v/>
      </c>
      <c r="U1510">
        <f>IF([2]Entry!$K$1513="","",[2]Entry!$K$1513)</f>
        <v/>
      </c>
      <c r="V1510">
        <f>IF([2]Entry!$L$1513="","",[2]Entry!$L$1513)</f>
        <v/>
      </c>
      <c r="W1510">
        <f>IF([2]Entry!$M$1513="","",[2]Entry!$M$1513)</f>
        <v/>
      </c>
      <c r="X1510">
        <f>IF([2]Entry!$N$1513="","",[2]Entry!$N$1513)</f>
        <v/>
      </c>
      <c r="Y1510">
        <f>IF([2]Entry!$R$1513="","",[2]Entry!$R$1513)</f>
        <v/>
      </c>
    </row>
    <row r="1511">
      <c r="P1511">
        <f>IF([2]Entry!$C$1514="","",[2]Entry!$C$1514)</f>
        <v/>
      </c>
      <c r="Q1511">
        <f>IF([2]Entry!$D$1514="","",[2]Entry!$D$1514)</f>
        <v/>
      </c>
      <c r="R1511">
        <f>IF([2]Entry!$E$1514="","",[2]Entry!$E$1514)</f>
        <v/>
      </c>
      <c r="S1511">
        <f>IF([2]Entry!$G$1514="","",[2]Entry!$G$1514)</f>
        <v/>
      </c>
      <c r="T1511">
        <f>IF([2]Entry!$J$1514="","",[2]Entry!$J$1514)</f>
        <v/>
      </c>
      <c r="U1511">
        <f>IF([2]Entry!$K$1514="","",[2]Entry!$K$1514)</f>
        <v/>
      </c>
      <c r="V1511">
        <f>IF([2]Entry!$L$1514="","",[2]Entry!$L$1514)</f>
        <v/>
      </c>
      <c r="W1511">
        <f>IF([2]Entry!$M$1514="","",[2]Entry!$M$1514)</f>
        <v/>
      </c>
      <c r="X1511">
        <f>IF([2]Entry!$N$1514="","",[2]Entry!$N$1514)</f>
        <v/>
      </c>
      <c r="Y1511">
        <f>IF([2]Entry!$R$1514="","",[2]Entry!$R$1514)</f>
        <v/>
      </c>
    </row>
    <row r="1512">
      <c r="P1512">
        <f>IF([2]Entry!$C$1515="","",[2]Entry!$C$1515)</f>
        <v/>
      </c>
      <c r="Q1512">
        <f>IF([2]Entry!$D$1515="","",[2]Entry!$D$1515)</f>
        <v/>
      </c>
      <c r="R1512">
        <f>IF([2]Entry!$E$1515="","",[2]Entry!$E$1515)</f>
        <v/>
      </c>
      <c r="S1512">
        <f>IF([2]Entry!$G$1515="","",[2]Entry!$G$1515)</f>
        <v/>
      </c>
      <c r="T1512">
        <f>IF([2]Entry!$J$1515="","",[2]Entry!$J$1515)</f>
        <v/>
      </c>
      <c r="U1512">
        <f>IF([2]Entry!$K$1515="","",[2]Entry!$K$1515)</f>
        <v/>
      </c>
      <c r="V1512">
        <f>IF([2]Entry!$L$1515="","",[2]Entry!$L$1515)</f>
        <v/>
      </c>
      <c r="W1512">
        <f>IF([2]Entry!$M$1515="","",[2]Entry!$M$1515)</f>
        <v/>
      </c>
      <c r="X1512">
        <f>IF([2]Entry!$N$1515="","",[2]Entry!$N$1515)</f>
        <v/>
      </c>
      <c r="Y1512">
        <f>IF([2]Entry!$R$1515="","",[2]Entry!$R$1515)</f>
        <v/>
      </c>
    </row>
    <row r="1513">
      <c r="P1513">
        <f>IF([2]Entry!$C$1516="","",[2]Entry!$C$1516)</f>
        <v/>
      </c>
      <c r="Q1513">
        <f>IF([2]Entry!$D$1516="","",[2]Entry!$D$1516)</f>
        <v/>
      </c>
      <c r="R1513">
        <f>IF([2]Entry!$E$1516="","",[2]Entry!$E$1516)</f>
        <v/>
      </c>
      <c r="S1513">
        <f>IF([2]Entry!$G$1516="","",[2]Entry!$G$1516)</f>
        <v/>
      </c>
      <c r="T1513">
        <f>IF([2]Entry!$J$1516="","",[2]Entry!$J$1516)</f>
        <v/>
      </c>
      <c r="U1513">
        <f>IF([2]Entry!$K$1516="","",[2]Entry!$K$1516)</f>
        <v/>
      </c>
      <c r="V1513">
        <f>IF([2]Entry!$L$1516="","",[2]Entry!$L$1516)</f>
        <v/>
      </c>
      <c r="W1513">
        <f>IF([2]Entry!$M$1516="","",[2]Entry!$M$1516)</f>
        <v/>
      </c>
      <c r="X1513">
        <f>IF([2]Entry!$N$1516="","",[2]Entry!$N$1516)</f>
        <v/>
      </c>
      <c r="Y1513">
        <f>IF([2]Entry!$R$1516="","",[2]Entry!$R$1516)</f>
        <v/>
      </c>
    </row>
    <row r="1514">
      <c r="P1514">
        <f>IF([2]Entry!$C$1517="","",[2]Entry!$C$1517)</f>
        <v/>
      </c>
      <c r="Q1514">
        <f>IF([2]Entry!$D$1517="","",[2]Entry!$D$1517)</f>
        <v/>
      </c>
      <c r="R1514">
        <f>IF([2]Entry!$E$1517="","",[2]Entry!$E$1517)</f>
        <v/>
      </c>
      <c r="S1514">
        <f>IF([2]Entry!$G$1517="","",[2]Entry!$G$1517)</f>
        <v/>
      </c>
      <c r="T1514">
        <f>IF([2]Entry!$J$1517="","",[2]Entry!$J$1517)</f>
        <v/>
      </c>
      <c r="U1514">
        <f>IF([2]Entry!$K$1517="","",[2]Entry!$K$1517)</f>
        <v/>
      </c>
      <c r="V1514">
        <f>IF([2]Entry!$L$1517="","",[2]Entry!$L$1517)</f>
        <v/>
      </c>
      <c r="W1514">
        <f>IF([2]Entry!$M$1517="","",[2]Entry!$M$1517)</f>
        <v/>
      </c>
      <c r="X1514">
        <f>IF([2]Entry!$N$1517="","",[2]Entry!$N$1517)</f>
        <v/>
      </c>
      <c r="Y1514">
        <f>IF([2]Entry!$R$1517="","",[2]Entry!$R$1517)</f>
        <v/>
      </c>
    </row>
    <row r="1515">
      <c r="P1515">
        <f>IF([2]Entry!$C$1518="","",[2]Entry!$C$1518)</f>
        <v/>
      </c>
      <c r="Q1515">
        <f>IF([2]Entry!$D$1518="","",[2]Entry!$D$1518)</f>
        <v/>
      </c>
      <c r="R1515">
        <f>IF([2]Entry!$E$1518="","",[2]Entry!$E$1518)</f>
        <v/>
      </c>
      <c r="S1515">
        <f>IF([2]Entry!$G$1518="","",[2]Entry!$G$1518)</f>
        <v/>
      </c>
      <c r="T1515">
        <f>IF([2]Entry!$J$1518="","",[2]Entry!$J$1518)</f>
        <v/>
      </c>
      <c r="U1515">
        <f>IF([2]Entry!$K$1518="","",[2]Entry!$K$1518)</f>
        <v/>
      </c>
      <c r="V1515">
        <f>IF([2]Entry!$L$1518="","",[2]Entry!$L$1518)</f>
        <v/>
      </c>
      <c r="W1515">
        <f>IF([2]Entry!$M$1518="","",[2]Entry!$M$1518)</f>
        <v/>
      </c>
      <c r="X1515">
        <f>IF([2]Entry!$N$1518="","",[2]Entry!$N$1518)</f>
        <v/>
      </c>
      <c r="Y1515">
        <f>IF([2]Entry!$R$1518="","",[2]Entry!$R$1518)</f>
        <v/>
      </c>
    </row>
    <row r="1516">
      <c r="P1516">
        <f>IF([2]Entry!$C$1519="","",[2]Entry!$C$1519)</f>
        <v/>
      </c>
      <c r="Q1516">
        <f>IF([2]Entry!$D$1519="","",[2]Entry!$D$1519)</f>
        <v/>
      </c>
      <c r="R1516">
        <f>IF([2]Entry!$E$1519="","",[2]Entry!$E$1519)</f>
        <v/>
      </c>
      <c r="S1516">
        <f>IF([2]Entry!$G$1519="","",[2]Entry!$G$1519)</f>
        <v/>
      </c>
      <c r="T1516">
        <f>IF([2]Entry!$J$1519="","",[2]Entry!$J$1519)</f>
        <v/>
      </c>
      <c r="U1516">
        <f>IF([2]Entry!$K$1519="","",[2]Entry!$K$1519)</f>
        <v/>
      </c>
      <c r="V1516">
        <f>IF([2]Entry!$L$1519="","",[2]Entry!$L$1519)</f>
        <v/>
      </c>
      <c r="W1516">
        <f>IF([2]Entry!$M$1519="","",[2]Entry!$M$1519)</f>
        <v/>
      </c>
      <c r="X1516">
        <f>IF([2]Entry!$N$1519="","",[2]Entry!$N$1519)</f>
        <v/>
      </c>
      <c r="Y1516">
        <f>IF([2]Entry!$R$1519="","",[2]Entry!$R$1519)</f>
        <v/>
      </c>
    </row>
    <row r="1517">
      <c r="P1517">
        <f>IF([2]Entry!$C$1520="","",[2]Entry!$C$1520)</f>
        <v/>
      </c>
      <c r="Q1517">
        <f>IF([2]Entry!$D$1520="","",[2]Entry!$D$1520)</f>
        <v/>
      </c>
      <c r="R1517">
        <f>IF([2]Entry!$E$1520="","",[2]Entry!$E$1520)</f>
        <v/>
      </c>
      <c r="S1517">
        <f>IF([2]Entry!$G$1520="","",[2]Entry!$G$1520)</f>
        <v/>
      </c>
      <c r="T1517">
        <f>IF([2]Entry!$J$1520="","",[2]Entry!$J$1520)</f>
        <v/>
      </c>
      <c r="U1517">
        <f>IF([2]Entry!$K$1520="","",[2]Entry!$K$1520)</f>
        <v/>
      </c>
      <c r="V1517">
        <f>IF([2]Entry!$L$1520="","",[2]Entry!$L$1520)</f>
        <v/>
      </c>
      <c r="W1517">
        <f>IF([2]Entry!$M$1520="","",[2]Entry!$M$1520)</f>
        <v/>
      </c>
      <c r="X1517">
        <f>IF([2]Entry!$N$1520="","",[2]Entry!$N$1520)</f>
        <v/>
      </c>
      <c r="Y1517">
        <f>IF([2]Entry!$R$1520="","",[2]Entry!$R$1520)</f>
        <v/>
      </c>
    </row>
    <row r="1518">
      <c r="P1518">
        <f>IF([2]Entry!$C$1521="","",[2]Entry!$C$1521)</f>
        <v/>
      </c>
      <c r="Q1518">
        <f>IF([2]Entry!$D$1521="","",[2]Entry!$D$1521)</f>
        <v/>
      </c>
      <c r="R1518">
        <f>IF([2]Entry!$E$1521="","",[2]Entry!$E$1521)</f>
        <v/>
      </c>
      <c r="S1518">
        <f>IF([2]Entry!$G$1521="","",[2]Entry!$G$1521)</f>
        <v/>
      </c>
      <c r="T1518">
        <f>IF([2]Entry!$J$1521="","",[2]Entry!$J$1521)</f>
        <v/>
      </c>
      <c r="U1518">
        <f>IF([2]Entry!$K$1521="","",[2]Entry!$K$1521)</f>
        <v/>
      </c>
      <c r="V1518">
        <f>IF([2]Entry!$L$1521="","",[2]Entry!$L$1521)</f>
        <v/>
      </c>
      <c r="W1518">
        <f>IF([2]Entry!$M$1521="","",[2]Entry!$M$1521)</f>
        <v/>
      </c>
      <c r="X1518">
        <f>IF([2]Entry!$N$1521="","",[2]Entry!$N$1521)</f>
        <v/>
      </c>
      <c r="Y1518">
        <f>IF([2]Entry!$R$1521="","",[2]Entry!$R$1521)</f>
        <v/>
      </c>
    </row>
    <row r="1519">
      <c r="P1519">
        <f>IF([2]Entry!$C$1522="","",[2]Entry!$C$1522)</f>
        <v/>
      </c>
      <c r="Q1519">
        <f>IF([2]Entry!$D$1522="","",[2]Entry!$D$1522)</f>
        <v/>
      </c>
      <c r="R1519">
        <f>IF([2]Entry!$E$1522="","",[2]Entry!$E$1522)</f>
        <v/>
      </c>
      <c r="S1519">
        <f>IF([2]Entry!$G$1522="","",[2]Entry!$G$1522)</f>
        <v/>
      </c>
      <c r="T1519">
        <f>IF([2]Entry!$J$1522="","",[2]Entry!$J$1522)</f>
        <v/>
      </c>
      <c r="U1519">
        <f>IF([2]Entry!$K$1522="","",[2]Entry!$K$1522)</f>
        <v/>
      </c>
      <c r="V1519">
        <f>IF([2]Entry!$L$1522="","",[2]Entry!$L$1522)</f>
        <v/>
      </c>
      <c r="W1519">
        <f>IF([2]Entry!$M$1522="","",[2]Entry!$M$1522)</f>
        <v/>
      </c>
      <c r="X1519">
        <f>IF([2]Entry!$N$1522="","",[2]Entry!$N$1522)</f>
        <v/>
      </c>
      <c r="Y1519">
        <f>IF([2]Entry!$R$1522="","",[2]Entry!$R$1522)</f>
        <v/>
      </c>
    </row>
    <row r="1520">
      <c r="P1520">
        <f>IF([2]Entry!$C$1523="","",[2]Entry!$C$1523)</f>
        <v/>
      </c>
      <c r="Q1520">
        <f>IF([2]Entry!$D$1523="","",[2]Entry!$D$1523)</f>
        <v/>
      </c>
      <c r="R1520">
        <f>IF([2]Entry!$E$1523="","",[2]Entry!$E$1523)</f>
        <v/>
      </c>
      <c r="S1520">
        <f>IF([2]Entry!$G$1523="","",[2]Entry!$G$1523)</f>
        <v/>
      </c>
      <c r="T1520">
        <f>IF([2]Entry!$J$1523="","",[2]Entry!$J$1523)</f>
        <v/>
      </c>
      <c r="U1520">
        <f>IF([2]Entry!$K$1523="","",[2]Entry!$K$1523)</f>
        <v/>
      </c>
      <c r="V1520">
        <f>IF([2]Entry!$L$1523="","",[2]Entry!$L$1523)</f>
        <v/>
      </c>
      <c r="W1520">
        <f>IF([2]Entry!$M$1523="","",[2]Entry!$M$1523)</f>
        <v/>
      </c>
      <c r="X1520">
        <f>IF([2]Entry!$N$1523="","",[2]Entry!$N$1523)</f>
        <v/>
      </c>
      <c r="Y1520">
        <f>IF([2]Entry!$R$1523="","",[2]Entry!$R$1523)</f>
        <v/>
      </c>
    </row>
    <row r="1521">
      <c r="P1521">
        <f>IF([2]Entry!$C$1524="","",[2]Entry!$C$1524)</f>
        <v/>
      </c>
      <c r="Q1521">
        <f>IF([2]Entry!$D$1524="","",[2]Entry!$D$1524)</f>
        <v/>
      </c>
      <c r="R1521">
        <f>IF([2]Entry!$E$1524="","",[2]Entry!$E$1524)</f>
        <v/>
      </c>
      <c r="S1521">
        <f>IF([2]Entry!$G$1524="","",[2]Entry!$G$1524)</f>
        <v/>
      </c>
      <c r="T1521">
        <f>IF([2]Entry!$J$1524="","",[2]Entry!$J$1524)</f>
        <v/>
      </c>
      <c r="U1521">
        <f>IF([2]Entry!$K$1524="","",[2]Entry!$K$1524)</f>
        <v/>
      </c>
      <c r="V1521">
        <f>IF([2]Entry!$L$1524="","",[2]Entry!$L$1524)</f>
        <v/>
      </c>
      <c r="W1521">
        <f>IF([2]Entry!$M$1524="","",[2]Entry!$M$1524)</f>
        <v/>
      </c>
      <c r="X1521">
        <f>IF([2]Entry!$N$1524="","",[2]Entry!$N$1524)</f>
        <v/>
      </c>
      <c r="Y1521">
        <f>IF([2]Entry!$R$1524="","",[2]Entry!$R$1524)</f>
        <v/>
      </c>
    </row>
    <row r="1522">
      <c r="P1522">
        <f>IF([2]Entry!$C$1525="","",[2]Entry!$C$1525)</f>
        <v/>
      </c>
      <c r="Q1522">
        <f>IF([2]Entry!$D$1525="","",[2]Entry!$D$1525)</f>
        <v/>
      </c>
      <c r="R1522">
        <f>IF([2]Entry!$E$1525="","",[2]Entry!$E$1525)</f>
        <v/>
      </c>
      <c r="S1522">
        <f>IF([2]Entry!$G$1525="","",[2]Entry!$G$1525)</f>
        <v/>
      </c>
      <c r="T1522">
        <f>IF([2]Entry!$J$1525="","",[2]Entry!$J$1525)</f>
        <v/>
      </c>
      <c r="U1522">
        <f>IF([2]Entry!$K$1525="","",[2]Entry!$K$1525)</f>
        <v/>
      </c>
      <c r="V1522">
        <f>IF([2]Entry!$L$1525="","",[2]Entry!$L$1525)</f>
        <v/>
      </c>
      <c r="W1522">
        <f>IF([2]Entry!$M$1525="","",[2]Entry!$M$1525)</f>
        <v/>
      </c>
      <c r="X1522">
        <f>IF([2]Entry!$N$1525="","",[2]Entry!$N$1525)</f>
        <v/>
      </c>
      <c r="Y1522">
        <f>IF([2]Entry!$R$1525="","",[2]Entry!$R$1525)</f>
        <v/>
      </c>
    </row>
    <row r="1523">
      <c r="P1523">
        <f>IF([2]Entry!$C$1526="","",[2]Entry!$C$1526)</f>
        <v/>
      </c>
      <c r="Q1523">
        <f>IF([2]Entry!$D$1526="","",[2]Entry!$D$1526)</f>
        <v/>
      </c>
      <c r="R1523">
        <f>IF([2]Entry!$E$1526="","",[2]Entry!$E$1526)</f>
        <v/>
      </c>
      <c r="S1523">
        <f>IF([2]Entry!$G$1526="","",[2]Entry!$G$1526)</f>
        <v/>
      </c>
      <c r="T1523">
        <f>IF([2]Entry!$J$1526="","",[2]Entry!$J$1526)</f>
        <v/>
      </c>
      <c r="U1523">
        <f>IF([2]Entry!$K$1526="","",[2]Entry!$K$1526)</f>
        <v/>
      </c>
      <c r="V1523">
        <f>IF([2]Entry!$L$1526="","",[2]Entry!$L$1526)</f>
        <v/>
      </c>
      <c r="W1523">
        <f>IF([2]Entry!$M$1526="","",[2]Entry!$M$1526)</f>
        <v/>
      </c>
      <c r="X1523">
        <f>IF([2]Entry!$N$1526="","",[2]Entry!$N$1526)</f>
        <v/>
      </c>
      <c r="Y1523">
        <f>IF([2]Entry!$R$1526="","",[2]Entry!$R$1526)</f>
        <v/>
      </c>
    </row>
    <row r="1524">
      <c r="P1524">
        <f>IF([2]Entry!$C$1527="","",[2]Entry!$C$1527)</f>
        <v/>
      </c>
      <c r="Q1524">
        <f>IF([2]Entry!$D$1527="","",[2]Entry!$D$1527)</f>
        <v/>
      </c>
      <c r="R1524">
        <f>IF([2]Entry!$E$1527="","",[2]Entry!$E$1527)</f>
        <v/>
      </c>
      <c r="S1524">
        <f>IF([2]Entry!$G$1527="","",[2]Entry!$G$1527)</f>
        <v/>
      </c>
      <c r="T1524">
        <f>IF([2]Entry!$J$1527="","",[2]Entry!$J$1527)</f>
        <v/>
      </c>
      <c r="U1524">
        <f>IF([2]Entry!$K$1527="","",[2]Entry!$K$1527)</f>
        <v/>
      </c>
      <c r="V1524">
        <f>IF([2]Entry!$L$1527="","",[2]Entry!$L$1527)</f>
        <v/>
      </c>
      <c r="W1524">
        <f>IF([2]Entry!$M$1527="","",[2]Entry!$M$1527)</f>
        <v/>
      </c>
      <c r="X1524">
        <f>IF([2]Entry!$N$1527="","",[2]Entry!$N$1527)</f>
        <v/>
      </c>
      <c r="Y1524">
        <f>IF([2]Entry!$R$1527="","",[2]Entry!$R$1527)</f>
        <v/>
      </c>
    </row>
    <row r="1525">
      <c r="P1525">
        <f>IF([2]Entry!$C$1528="","",[2]Entry!$C$1528)</f>
        <v/>
      </c>
      <c r="Q1525">
        <f>IF([2]Entry!$D$1528="","",[2]Entry!$D$1528)</f>
        <v/>
      </c>
      <c r="R1525">
        <f>IF([2]Entry!$E$1528="","",[2]Entry!$E$1528)</f>
        <v/>
      </c>
      <c r="S1525">
        <f>IF([2]Entry!$G$1528="","",[2]Entry!$G$1528)</f>
        <v/>
      </c>
      <c r="T1525">
        <f>IF([2]Entry!$J$1528="","",[2]Entry!$J$1528)</f>
        <v/>
      </c>
      <c r="U1525">
        <f>IF([2]Entry!$K$1528="","",[2]Entry!$K$1528)</f>
        <v/>
      </c>
      <c r="V1525">
        <f>IF([2]Entry!$L$1528="","",[2]Entry!$L$1528)</f>
        <v/>
      </c>
      <c r="W1525">
        <f>IF([2]Entry!$M$1528="","",[2]Entry!$M$1528)</f>
        <v/>
      </c>
      <c r="X1525">
        <f>IF([2]Entry!$N$1528="","",[2]Entry!$N$1528)</f>
        <v/>
      </c>
      <c r="Y1525">
        <f>IF([2]Entry!$R$1528="","",[2]Entry!$R$1528)</f>
        <v/>
      </c>
    </row>
    <row r="1526">
      <c r="P1526">
        <f>IF([2]Entry!$C$1529="","",[2]Entry!$C$1529)</f>
        <v/>
      </c>
      <c r="Q1526">
        <f>IF([2]Entry!$D$1529="","",[2]Entry!$D$1529)</f>
        <v/>
      </c>
      <c r="R1526">
        <f>IF([2]Entry!$E$1529="","",[2]Entry!$E$1529)</f>
        <v/>
      </c>
      <c r="S1526">
        <f>IF([2]Entry!$G$1529="","",[2]Entry!$G$1529)</f>
        <v/>
      </c>
      <c r="T1526">
        <f>IF([2]Entry!$J$1529="","",[2]Entry!$J$1529)</f>
        <v/>
      </c>
      <c r="U1526">
        <f>IF([2]Entry!$K$1529="","",[2]Entry!$K$1529)</f>
        <v/>
      </c>
      <c r="V1526">
        <f>IF([2]Entry!$L$1529="","",[2]Entry!$L$1529)</f>
        <v/>
      </c>
      <c r="W1526">
        <f>IF([2]Entry!$M$1529="","",[2]Entry!$M$1529)</f>
        <v/>
      </c>
      <c r="X1526">
        <f>IF([2]Entry!$N$1529="","",[2]Entry!$N$1529)</f>
        <v/>
      </c>
      <c r="Y1526">
        <f>IF([2]Entry!$R$1529="","",[2]Entry!$R$1529)</f>
        <v/>
      </c>
    </row>
    <row r="1527">
      <c r="P1527">
        <f>IF([2]Entry!$C$1530="","",[2]Entry!$C$1530)</f>
        <v/>
      </c>
      <c r="Q1527">
        <f>IF([2]Entry!$D$1530="","",[2]Entry!$D$1530)</f>
        <v/>
      </c>
      <c r="R1527">
        <f>IF([2]Entry!$E$1530="","",[2]Entry!$E$1530)</f>
        <v/>
      </c>
      <c r="S1527">
        <f>IF([2]Entry!$G$1530="","",[2]Entry!$G$1530)</f>
        <v/>
      </c>
      <c r="T1527">
        <f>IF([2]Entry!$J$1530="","",[2]Entry!$J$1530)</f>
        <v/>
      </c>
      <c r="U1527">
        <f>IF([2]Entry!$K$1530="","",[2]Entry!$K$1530)</f>
        <v/>
      </c>
      <c r="V1527">
        <f>IF([2]Entry!$L$1530="","",[2]Entry!$L$1530)</f>
        <v/>
      </c>
      <c r="W1527">
        <f>IF([2]Entry!$M$1530="","",[2]Entry!$M$1530)</f>
        <v/>
      </c>
      <c r="X1527">
        <f>IF([2]Entry!$N$1530="","",[2]Entry!$N$1530)</f>
        <v/>
      </c>
      <c r="Y1527">
        <f>IF([2]Entry!$R$1530="","",[2]Entry!$R$1530)</f>
        <v/>
      </c>
    </row>
    <row r="1528">
      <c r="P1528">
        <f>IF([2]Entry!$C$1531="","",[2]Entry!$C$1531)</f>
        <v/>
      </c>
      <c r="Q1528">
        <f>IF([2]Entry!$D$1531="","",[2]Entry!$D$1531)</f>
        <v/>
      </c>
      <c r="R1528">
        <f>IF([2]Entry!$E$1531="","",[2]Entry!$E$1531)</f>
        <v/>
      </c>
      <c r="S1528">
        <f>IF([2]Entry!$G$1531="","",[2]Entry!$G$1531)</f>
        <v/>
      </c>
      <c r="T1528">
        <f>IF([2]Entry!$J$1531="","",[2]Entry!$J$1531)</f>
        <v/>
      </c>
      <c r="U1528">
        <f>IF([2]Entry!$K$1531="","",[2]Entry!$K$1531)</f>
        <v/>
      </c>
      <c r="V1528">
        <f>IF([2]Entry!$L$1531="","",[2]Entry!$L$1531)</f>
        <v/>
      </c>
      <c r="W1528">
        <f>IF([2]Entry!$M$1531="","",[2]Entry!$M$1531)</f>
        <v/>
      </c>
      <c r="X1528">
        <f>IF([2]Entry!$N$1531="","",[2]Entry!$N$1531)</f>
        <v/>
      </c>
      <c r="Y1528">
        <f>IF([2]Entry!$R$1531="","",[2]Entry!$R$1531)</f>
        <v/>
      </c>
    </row>
    <row r="1529">
      <c r="P1529">
        <f>IF([2]Entry!$C$1532="","",[2]Entry!$C$1532)</f>
        <v/>
      </c>
      <c r="Q1529">
        <f>IF([2]Entry!$D$1532="","",[2]Entry!$D$1532)</f>
        <v/>
      </c>
      <c r="R1529">
        <f>IF([2]Entry!$E$1532="","",[2]Entry!$E$1532)</f>
        <v/>
      </c>
      <c r="S1529">
        <f>IF([2]Entry!$G$1532="","",[2]Entry!$G$1532)</f>
        <v/>
      </c>
      <c r="T1529">
        <f>IF([2]Entry!$J$1532="","",[2]Entry!$J$1532)</f>
        <v/>
      </c>
      <c r="U1529">
        <f>IF([2]Entry!$K$1532="","",[2]Entry!$K$1532)</f>
        <v/>
      </c>
      <c r="V1529">
        <f>IF([2]Entry!$L$1532="","",[2]Entry!$L$1532)</f>
        <v/>
      </c>
      <c r="W1529">
        <f>IF([2]Entry!$M$1532="","",[2]Entry!$M$1532)</f>
        <v/>
      </c>
      <c r="X1529">
        <f>IF([2]Entry!$N$1532="","",[2]Entry!$N$1532)</f>
        <v/>
      </c>
      <c r="Y1529">
        <f>IF([2]Entry!$R$1532="","",[2]Entry!$R$1532)</f>
        <v/>
      </c>
    </row>
    <row r="1530">
      <c r="P1530">
        <f>IF([2]Entry!$C$1533="","",[2]Entry!$C$1533)</f>
        <v/>
      </c>
      <c r="Q1530">
        <f>IF([2]Entry!$D$1533="","",[2]Entry!$D$1533)</f>
        <v/>
      </c>
      <c r="R1530">
        <f>IF([2]Entry!$E$1533="","",[2]Entry!$E$1533)</f>
        <v/>
      </c>
      <c r="S1530">
        <f>IF([2]Entry!$G$1533="","",[2]Entry!$G$1533)</f>
        <v/>
      </c>
      <c r="T1530">
        <f>IF([2]Entry!$J$1533="","",[2]Entry!$J$1533)</f>
        <v/>
      </c>
      <c r="U1530">
        <f>IF([2]Entry!$K$1533="","",[2]Entry!$K$1533)</f>
        <v/>
      </c>
      <c r="V1530">
        <f>IF([2]Entry!$L$1533="","",[2]Entry!$L$1533)</f>
        <v/>
      </c>
      <c r="W1530">
        <f>IF([2]Entry!$M$1533="","",[2]Entry!$M$1533)</f>
        <v/>
      </c>
      <c r="X1530">
        <f>IF([2]Entry!$N$1533="","",[2]Entry!$N$1533)</f>
        <v/>
      </c>
      <c r="Y1530">
        <f>IF([2]Entry!$R$1533="","",[2]Entry!$R$1533)</f>
        <v/>
      </c>
    </row>
    <row r="1531">
      <c r="P1531">
        <f>IF([2]Entry!$C$1534="","",[2]Entry!$C$1534)</f>
        <v/>
      </c>
      <c r="Q1531">
        <f>IF([2]Entry!$D$1534="","",[2]Entry!$D$1534)</f>
        <v/>
      </c>
      <c r="R1531">
        <f>IF([2]Entry!$E$1534="","",[2]Entry!$E$1534)</f>
        <v/>
      </c>
      <c r="S1531">
        <f>IF([2]Entry!$G$1534="","",[2]Entry!$G$1534)</f>
        <v/>
      </c>
      <c r="T1531">
        <f>IF([2]Entry!$J$1534="","",[2]Entry!$J$1534)</f>
        <v/>
      </c>
      <c r="U1531">
        <f>IF([2]Entry!$K$1534="","",[2]Entry!$K$1534)</f>
        <v/>
      </c>
      <c r="V1531">
        <f>IF([2]Entry!$L$1534="","",[2]Entry!$L$1534)</f>
        <v/>
      </c>
      <c r="W1531">
        <f>IF([2]Entry!$M$1534="","",[2]Entry!$M$1534)</f>
        <v/>
      </c>
      <c r="X1531">
        <f>IF([2]Entry!$N$1534="","",[2]Entry!$N$1534)</f>
        <v/>
      </c>
      <c r="Y1531">
        <f>IF([2]Entry!$R$1534="","",[2]Entry!$R$1534)</f>
        <v/>
      </c>
    </row>
    <row r="1532">
      <c r="P1532">
        <f>IF([2]Entry!$C$1535="","",[2]Entry!$C$1535)</f>
        <v/>
      </c>
      <c r="Q1532">
        <f>IF([2]Entry!$D$1535="","",[2]Entry!$D$1535)</f>
        <v/>
      </c>
      <c r="R1532">
        <f>IF([2]Entry!$E$1535="","",[2]Entry!$E$1535)</f>
        <v/>
      </c>
      <c r="S1532">
        <f>IF([2]Entry!$G$1535="","",[2]Entry!$G$1535)</f>
        <v/>
      </c>
      <c r="T1532">
        <f>IF([2]Entry!$J$1535="","",[2]Entry!$J$1535)</f>
        <v/>
      </c>
      <c r="U1532">
        <f>IF([2]Entry!$K$1535="","",[2]Entry!$K$1535)</f>
        <v/>
      </c>
      <c r="V1532">
        <f>IF([2]Entry!$L$1535="","",[2]Entry!$L$1535)</f>
        <v/>
      </c>
      <c r="W1532">
        <f>IF([2]Entry!$M$1535="","",[2]Entry!$M$1535)</f>
        <v/>
      </c>
      <c r="X1532">
        <f>IF([2]Entry!$N$1535="","",[2]Entry!$N$1535)</f>
        <v/>
      </c>
      <c r="Y1532">
        <f>IF([2]Entry!$R$1535="","",[2]Entry!$R$1535)</f>
        <v/>
      </c>
    </row>
    <row r="1533">
      <c r="P1533">
        <f>IF([2]Entry!$C$1536="","",[2]Entry!$C$1536)</f>
        <v/>
      </c>
      <c r="Q1533">
        <f>IF([2]Entry!$D$1536="","",[2]Entry!$D$1536)</f>
        <v/>
      </c>
      <c r="R1533">
        <f>IF([2]Entry!$E$1536="","",[2]Entry!$E$1536)</f>
        <v/>
      </c>
      <c r="S1533">
        <f>IF([2]Entry!$G$1536="","",[2]Entry!$G$1536)</f>
        <v/>
      </c>
      <c r="T1533">
        <f>IF([2]Entry!$J$1536="","",[2]Entry!$J$1536)</f>
        <v/>
      </c>
      <c r="U1533">
        <f>IF([2]Entry!$K$1536="","",[2]Entry!$K$1536)</f>
        <v/>
      </c>
      <c r="V1533">
        <f>IF([2]Entry!$L$1536="","",[2]Entry!$L$1536)</f>
        <v/>
      </c>
      <c r="W1533">
        <f>IF([2]Entry!$M$1536="","",[2]Entry!$M$1536)</f>
        <v/>
      </c>
      <c r="X1533">
        <f>IF([2]Entry!$N$1536="","",[2]Entry!$N$1536)</f>
        <v/>
      </c>
      <c r="Y1533">
        <f>IF([2]Entry!$R$1536="","",[2]Entry!$R$1536)</f>
        <v/>
      </c>
    </row>
    <row r="1534">
      <c r="P1534">
        <f>IF([2]Entry!$C$1537="","",[2]Entry!$C$1537)</f>
        <v/>
      </c>
      <c r="Q1534">
        <f>IF([2]Entry!$D$1537="","",[2]Entry!$D$1537)</f>
        <v/>
      </c>
      <c r="R1534">
        <f>IF([2]Entry!$E$1537="","",[2]Entry!$E$1537)</f>
        <v/>
      </c>
      <c r="S1534">
        <f>IF([2]Entry!$G$1537="","",[2]Entry!$G$1537)</f>
        <v/>
      </c>
      <c r="T1534">
        <f>IF([2]Entry!$J$1537="","",[2]Entry!$J$1537)</f>
        <v/>
      </c>
      <c r="U1534">
        <f>IF([2]Entry!$K$1537="","",[2]Entry!$K$1537)</f>
        <v/>
      </c>
      <c r="V1534">
        <f>IF([2]Entry!$L$1537="","",[2]Entry!$L$1537)</f>
        <v/>
      </c>
      <c r="W1534">
        <f>IF([2]Entry!$M$1537="","",[2]Entry!$M$1537)</f>
        <v/>
      </c>
      <c r="X1534">
        <f>IF([2]Entry!$N$1537="","",[2]Entry!$N$1537)</f>
        <v/>
      </c>
      <c r="Y1534">
        <f>IF([2]Entry!$R$1537="","",[2]Entry!$R$1537)</f>
        <v/>
      </c>
    </row>
    <row r="1535">
      <c r="P1535">
        <f>IF([2]Entry!$C$1538="","",[2]Entry!$C$1538)</f>
        <v/>
      </c>
      <c r="Q1535">
        <f>IF([2]Entry!$D$1538="","",[2]Entry!$D$1538)</f>
        <v/>
      </c>
      <c r="R1535">
        <f>IF([2]Entry!$E$1538="","",[2]Entry!$E$1538)</f>
        <v/>
      </c>
      <c r="S1535">
        <f>IF([2]Entry!$G$1538="","",[2]Entry!$G$1538)</f>
        <v/>
      </c>
      <c r="T1535">
        <f>IF([2]Entry!$J$1538="","",[2]Entry!$J$1538)</f>
        <v/>
      </c>
      <c r="U1535">
        <f>IF([2]Entry!$K$1538="","",[2]Entry!$K$1538)</f>
        <v/>
      </c>
      <c r="V1535">
        <f>IF([2]Entry!$L$1538="","",[2]Entry!$L$1538)</f>
        <v/>
      </c>
      <c r="W1535">
        <f>IF([2]Entry!$M$1538="","",[2]Entry!$M$1538)</f>
        <v/>
      </c>
      <c r="X1535">
        <f>IF([2]Entry!$N$1538="","",[2]Entry!$N$1538)</f>
        <v/>
      </c>
      <c r="Y1535">
        <f>IF([2]Entry!$R$1538="","",[2]Entry!$R$1538)</f>
        <v/>
      </c>
    </row>
    <row r="1536">
      <c r="P1536">
        <f>IF([2]Entry!$C$1539="","",[2]Entry!$C$1539)</f>
        <v/>
      </c>
      <c r="Q1536">
        <f>IF([2]Entry!$D$1539="","",[2]Entry!$D$1539)</f>
        <v/>
      </c>
      <c r="R1536">
        <f>IF([2]Entry!$E$1539="","",[2]Entry!$E$1539)</f>
        <v/>
      </c>
      <c r="S1536">
        <f>IF([2]Entry!$G$1539="","",[2]Entry!$G$1539)</f>
        <v/>
      </c>
      <c r="T1536">
        <f>IF([2]Entry!$J$1539="","",[2]Entry!$J$1539)</f>
        <v/>
      </c>
      <c r="U1536">
        <f>IF([2]Entry!$K$1539="","",[2]Entry!$K$1539)</f>
        <v/>
      </c>
      <c r="V1536">
        <f>IF([2]Entry!$L$1539="","",[2]Entry!$L$1539)</f>
        <v/>
      </c>
      <c r="W1536">
        <f>IF([2]Entry!$M$1539="","",[2]Entry!$M$1539)</f>
        <v/>
      </c>
      <c r="X1536">
        <f>IF([2]Entry!$N$1539="","",[2]Entry!$N$1539)</f>
        <v/>
      </c>
      <c r="Y1536">
        <f>IF([2]Entry!$R$1539="","",[2]Entry!$R$1539)</f>
        <v/>
      </c>
    </row>
    <row r="1537">
      <c r="P1537">
        <f>IF([2]Entry!$C$1540="","",[2]Entry!$C$1540)</f>
        <v/>
      </c>
      <c r="Q1537">
        <f>IF([2]Entry!$D$1540="","",[2]Entry!$D$1540)</f>
        <v/>
      </c>
      <c r="R1537">
        <f>IF([2]Entry!$E$1540="","",[2]Entry!$E$1540)</f>
        <v/>
      </c>
      <c r="S1537">
        <f>IF([2]Entry!$G$1540="","",[2]Entry!$G$1540)</f>
        <v/>
      </c>
      <c r="T1537">
        <f>IF([2]Entry!$J$1540="","",[2]Entry!$J$1540)</f>
        <v/>
      </c>
      <c r="U1537">
        <f>IF([2]Entry!$K$1540="","",[2]Entry!$K$1540)</f>
        <v/>
      </c>
      <c r="V1537">
        <f>IF([2]Entry!$L$1540="","",[2]Entry!$L$1540)</f>
        <v/>
      </c>
      <c r="W1537">
        <f>IF([2]Entry!$M$1540="","",[2]Entry!$M$1540)</f>
        <v/>
      </c>
      <c r="X1537">
        <f>IF([2]Entry!$N$1540="","",[2]Entry!$N$1540)</f>
        <v/>
      </c>
      <c r="Y1537">
        <f>IF([2]Entry!$R$1540="","",[2]Entry!$R$1540)</f>
        <v/>
      </c>
    </row>
    <row r="1538">
      <c r="P1538">
        <f>IF([2]Entry!$C$1541="","",[2]Entry!$C$1541)</f>
        <v/>
      </c>
      <c r="Q1538">
        <f>IF([2]Entry!$D$1541="","",[2]Entry!$D$1541)</f>
        <v/>
      </c>
      <c r="R1538">
        <f>IF([2]Entry!$E$1541="","",[2]Entry!$E$1541)</f>
        <v/>
      </c>
      <c r="S1538">
        <f>IF([2]Entry!$G$1541="","",[2]Entry!$G$1541)</f>
        <v/>
      </c>
      <c r="T1538">
        <f>IF([2]Entry!$J$1541="","",[2]Entry!$J$1541)</f>
        <v/>
      </c>
      <c r="U1538">
        <f>IF([2]Entry!$K$1541="","",[2]Entry!$K$1541)</f>
        <v/>
      </c>
      <c r="V1538">
        <f>IF([2]Entry!$L$1541="","",[2]Entry!$L$1541)</f>
        <v/>
      </c>
      <c r="W1538">
        <f>IF([2]Entry!$M$1541="","",[2]Entry!$M$1541)</f>
        <v/>
      </c>
      <c r="X1538">
        <f>IF([2]Entry!$N$1541="","",[2]Entry!$N$1541)</f>
        <v/>
      </c>
      <c r="Y1538">
        <f>IF([2]Entry!$R$1541="","",[2]Entry!$R$1541)</f>
        <v/>
      </c>
    </row>
    <row r="1539">
      <c r="P1539">
        <f>IF([2]Entry!$C$1542="","",[2]Entry!$C$1542)</f>
        <v/>
      </c>
      <c r="Q1539">
        <f>IF([2]Entry!$D$1542="","",[2]Entry!$D$1542)</f>
        <v/>
      </c>
      <c r="R1539">
        <f>IF([2]Entry!$E$1542="","",[2]Entry!$E$1542)</f>
        <v/>
      </c>
      <c r="S1539">
        <f>IF([2]Entry!$G$1542="","",[2]Entry!$G$1542)</f>
        <v/>
      </c>
      <c r="T1539">
        <f>IF([2]Entry!$J$1542="","",[2]Entry!$J$1542)</f>
        <v/>
      </c>
      <c r="U1539">
        <f>IF([2]Entry!$K$1542="","",[2]Entry!$K$1542)</f>
        <v/>
      </c>
      <c r="V1539">
        <f>IF([2]Entry!$L$1542="","",[2]Entry!$L$1542)</f>
        <v/>
      </c>
      <c r="W1539">
        <f>IF([2]Entry!$M$1542="","",[2]Entry!$M$1542)</f>
        <v/>
      </c>
      <c r="X1539">
        <f>IF([2]Entry!$N$1542="","",[2]Entry!$N$1542)</f>
        <v/>
      </c>
      <c r="Y1539">
        <f>IF([2]Entry!$R$1542="","",[2]Entry!$R$1542)</f>
        <v/>
      </c>
    </row>
    <row r="1540">
      <c r="P1540">
        <f>IF([2]Entry!$C$1543="","",[2]Entry!$C$1543)</f>
        <v/>
      </c>
      <c r="Q1540">
        <f>IF([2]Entry!$D$1543="","",[2]Entry!$D$1543)</f>
        <v/>
      </c>
      <c r="R1540">
        <f>IF([2]Entry!$E$1543="","",[2]Entry!$E$1543)</f>
        <v/>
      </c>
      <c r="S1540">
        <f>IF([2]Entry!$G$1543="","",[2]Entry!$G$1543)</f>
        <v/>
      </c>
      <c r="T1540">
        <f>IF([2]Entry!$J$1543="","",[2]Entry!$J$1543)</f>
        <v/>
      </c>
      <c r="U1540">
        <f>IF([2]Entry!$K$1543="","",[2]Entry!$K$1543)</f>
        <v/>
      </c>
      <c r="V1540">
        <f>IF([2]Entry!$L$1543="","",[2]Entry!$L$1543)</f>
        <v/>
      </c>
      <c r="W1540">
        <f>IF([2]Entry!$M$1543="","",[2]Entry!$M$1543)</f>
        <v/>
      </c>
      <c r="X1540">
        <f>IF([2]Entry!$N$1543="","",[2]Entry!$N$1543)</f>
        <v/>
      </c>
      <c r="Y1540">
        <f>IF([2]Entry!$R$1543="","",[2]Entry!$R$1543)</f>
        <v/>
      </c>
    </row>
    <row r="1541">
      <c r="P1541">
        <f>IF([2]Entry!$C$1544="","",[2]Entry!$C$1544)</f>
        <v/>
      </c>
      <c r="Q1541">
        <f>IF([2]Entry!$D$1544="","",[2]Entry!$D$1544)</f>
        <v/>
      </c>
      <c r="R1541">
        <f>IF([2]Entry!$E$1544="","",[2]Entry!$E$1544)</f>
        <v/>
      </c>
      <c r="S1541">
        <f>IF([2]Entry!$G$1544="","",[2]Entry!$G$1544)</f>
        <v/>
      </c>
      <c r="T1541">
        <f>IF([2]Entry!$J$1544="","",[2]Entry!$J$1544)</f>
        <v/>
      </c>
      <c r="U1541">
        <f>IF([2]Entry!$K$1544="","",[2]Entry!$K$1544)</f>
        <v/>
      </c>
      <c r="V1541">
        <f>IF([2]Entry!$L$1544="","",[2]Entry!$L$1544)</f>
        <v/>
      </c>
      <c r="W1541">
        <f>IF([2]Entry!$M$1544="","",[2]Entry!$M$1544)</f>
        <v/>
      </c>
      <c r="X1541">
        <f>IF([2]Entry!$N$1544="","",[2]Entry!$N$1544)</f>
        <v/>
      </c>
      <c r="Y1541">
        <f>IF([2]Entry!$R$1544="","",[2]Entry!$R$1544)</f>
        <v/>
      </c>
    </row>
    <row r="1542">
      <c r="P1542">
        <f>IF([2]Entry!$C$1545="","",[2]Entry!$C$1545)</f>
        <v/>
      </c>
      <c r="Q1542">
        <f>IF([2]Entry!$D$1545="","",[2]Entry!$D$1545)</f>
        <v/>
      </c>
      <c r="R1542">
        <f>IF([2]Entry!$E$1545="","",[2]Entry!$E$1545)</f>
        <v/>
      </c>
      <c r="S1542">
        <f>IF([2]Entry!$G$1545="","",[2]Entry!$G$1545)</f>
        <v/>
      </c>
      <c r="T1542">
        <f>IF([2]Entry!$J$1545="","",[2]Entry!$J$1545)</f>
        <v/>
      </c>
      <c r="U1542">
        <f>IF([2]Entry!$K$1545="","",[2]Entry!$K$1545)</f>
        <v/>
      </c>
      <c r="V1542">
        <f>IF([2]Entry!$L$1545="","",[2]Entry!$L$1545)</f>
        <v/>
      </c>
      <c r="W1542">
        <f>IF([2]Entry!$M$1545="","",[2]Entry!$M$1545)</f>
        <v/>
      </c>
      <c r="X1542">
        <f>IF([2]Entry!$N$1545="","",[2]Entry!$N$1545)</f>
        <v/>
      </c>
      <c r="Y1542">
        <f>IF([2]Entry!$R$1545="","",[2]Entry!$R$1545)</f>
        <v/>
      </c>
    </row>
    <row r="1543">
      <c r="P1543">
        <f>IF([2]Entry!$C$1546="","",[2]Entry!$C$1546)</f>
        <v/>
      </c>
      <c r="Q1543">
        <f>IF([2]Entry!$D$1546="","",[2]Entry!$D$1546)</f>
        <v/>
      </c>
      <c r="R1543">
        <f>IF([2]Entry!$E$1546="","",[2]Entry!$E$1546)</f>
        <v/>
      </c>
      <c r="S1543">
        <f>IF([2]Entry!$G$1546="","",[2]Entry!$G$1546)</f>
        <v/>
      </c>
      <c r="T1543">
        <f>IF([2]Entry!$J$1546="","",[2]Entry!$J$1546)</f>
        <v/>
      </c>
      <c r="U1543">
        <f>IF([2]Entry!$K$1546="","",[2]Entry!$K$1546)</f>
        <v/>
      </c>
      <c r="V1543">
        <f>IF([2]Entry!$L$1546="","",[2]Entry!$L$1546)</f>
        <v/>
      </c>
      <c r="W1543">
        <f>IF([2]Entry!$M$1546="","",[2]Entry!$M$1546)</f>
        <v/>
      </c>
      <c r="X1543">
        <f>IF([2]Entry!$N$1546="","",[2]Entry!$N$1546)</f>
        <v/>
      </c>
      <c r="Y1543">
        <f>IF([2]Entry!$R$1546="","",[2]Entry!$R$1546)</f>
        <v/>
      </c>
    </row>
    <row r="1544">
      <c r="P1544">
        <f>IF([2]Entry!$C$1547="","",[2]Entry!$C$1547)</f>
        <v/>
      </c>
      <c r="Q1544">
        <f>IF([2]Entry!$D$1547="","",[2]Entry!$D$1547)</f>
        <v/>
      </c>
      <c r="R1544">
        <f>IF([2]Entry!$E$1547="","",[2]Entry!$E$1547)</f>
        <v/>
      </c>
      <c r="S1544">
        <f>IF([2]Entry!$G$1547="","",[2]Entry!$G$1547)</f>
        <v/>
      </c>
      <c r="T1544">
        <f>IF([2]Entry!$J$1547="","",[2]Entry!$J$1547)</f>
        <v/>
      </c>
      <c r="U1544">
        <f>IF([2]Entry!$K$1547="","",[2]Entry!$K$1547)</f>
        <v/>
      </c>
      <c r="V1544">
        <f>IF([2]Entry!$L$1547="","",[2]Entry!$L$1547)</f>
        <v/>
      </c>
      <c r="W1544">
        <f>IF([2]Entry!$M$1547="","",[2]Entry!$M$1547)</f>
        <v/>
      </c>
      <c r="X1544">
        <f>IF([2]Entry!$N$1547="","",[2]Entry!$N$1547)</f>
        <v/>
      </c>
      <c r="Y1544">
        <f>IF([2]Entry!$R$1547="","",[2]Entry!$R$1547)</f>
        <v/>
      </c>
    </row>
    <row r="1545">
      <c r="P1545">
        <f>IF([2]Entry!$C$1548="","",[2]Entry!$C$1548)</f>
        <v/>
      </c>
      <c r="Q1545">
        <f>IF([2]Entry!$D$1548="","",[2]Entry!$D$1548)</f>
        <v/>
      </c>
      <c r="R1545">
        <f>IF([2]Entry!$E$1548="","",[2]Entry!$E$1548)</f>
        <v/>
      </c>
      <c r="S1545">
        <f>IF([2]Entry!$G$1548="","",[2]Entry!$G$1548)</f>
        <v/>
      </c>
      <c r="T1545">
        <f>IF([2]Entry!$J$1548="","",[2]Entry!$J$1548)</f>
        <v/>
      </c>
      <c r="U1545">
        <f>IF([2]Entry!$K$1548="","",[2]Entry!$K$1548)</f>
        <v/>
      </c>
      <c r="V1545">
        <f>IF([2]Entry!$L$1548="","",[2]Entry!$L$1548)</f>
        <v/>
      </c>
      <c r="W1545">
        <f>IF([2]Entry!$M$1548="","",[2]Entry!$M$1548)</f>
        <v/>
      </c>
      <c r="X1545">
        <f>IF([2]Entry!$N$1548="","",[2]Entry!$N$1548)</f>
        <v/>
      </c>
      <c r="Y1545">
        <f>IF([2]Entry!$R$1548="","",[2]Entry!$R$1548)</f>
        <v/>
      </c>
    </row>
    <row r="1546">
      <c r="P1546">
        <f>IF([2]Entry!$C$1549="","",[2]Entry!$C$1549)</f>
        <v/>
      </c>
      <c r="Q1546">
        <f>IF([2]Entry!$D$1549="","",[2]Entry!$D$1549)</f>
        <v/>
      </c>
      <c r="R1546">
        <f>IF([2]Entry!$E$1549="","",[2]Entry!$E$1549)</f>
        <v/>
      </c>
      <c r="S1546">
        <f>IF([2]Entry!$G$1549="","",[2]Entry!$G$1549)</f>
        <v/>
      </c>
      <c r="T1546">
        <f>IF([2]Entry!$J$1549="","",[2]Entry!$J$1549)</f>
        <v/>
      </c>
      <c r="U1546">
        <f>IF([2]Entry!$K$1549="","",[2]Entry!$K$1549)</f>
        <v/>
      </c>
      <c r="V1546">
        <f>IF([2]Entry!$L$1549="","",[2]Entry!$L$1549)</f>
        <v/>
      </c>
      <c r="W1546">
        <f>IF([2]Entry!$M$1549="","",[2]Entry!$M$1549)</f>
        <v/>
      </c>
      <c r="X1546">
        <f>IF([2]Entry!$N$1549="","",[2]Entry!$N$1549)</f>
        <v/>
      </c>
      <c r="Y1546">
        <f>IF([2]Entry!$R$1549="","",[2]Entry!$R$1549)</f>
        <v/>
      </c>
    </row>
    <row r="1547">
      <c r="P1547">
        <f>IF([2]Entry!$C$1550="","",[2]Entry!$C$1550)</f>
        <v/>
      </c>
      <c r="Q1547">
        <f>IF([2]Entry!$D$1550="","",[2]Entry!$D$1550)</f>
        <v/>
      </c>
      <c r="R1547">
        <f>IF([2]Entry!$E$1550="","",[2]Entry!$E$1550)</f>
        <v/>
      </c>
      <c r="S1547">
        <f>IF([2]Entry!$G$1550="","",[2]Entry!$G$1550)</f>
        <v/>
      </c>
      <c r="T1547">
        <f>IF([2]Entry!$J$1550="","",[2]Entry!$J$1550)</f>
        <v/>
      </c>
      <c r="U1547">
        <f>IF([2]Entry!$K$1550="","",[2]Entry!$K$1550)</f>
        <v/>
      </c>
      <c r="V1547">
        <f>IF([2]Entry!$L$1550="","",[2]Entry!$L$1550)</f>
        <v/>
      </c>
      <c r="W1547">
        <f>IF([2]Entry!$M$1550="","",[2]Entry!$M$1550)</f>
        <v/>
      </c>
      <c r="X1547">
        <f>IF([2]Entry!$N$1550="","",[2]Entry!$N$1550)</f>
        <v/>
      </c>
      <c r="Y1547">
        <f>IF([2]Entry!$R$1550="","",[2]Entry!$R$1550)</f>
        <v/>
      </c>
    </row>
    <row r="1548">
      <c r="P1548">
        <f>IF([2]Entry!$C$1551="","",[2]Entry!$C$1551)</f>
        <v/>
      </c>
      <c r="Q1548">
        <f>IF([2]Entry!$D$1551="","",[2]Entry!$D$1551)</f>
        <v/>
      </c>
      <c r="R1548">
        <f>IF([2]Entry!$E$1551="","",[2]Entry!$E$1551)</f>
        <v/>
      </c>
      <c r="S1548">
        <f>IF([2]Entry!$G$1551="","",[2]Entry!$G$1551)</f>
        <v/>
      </c>
      <c r="T1548">
        <f>IF([2]Entry!$J$1551="","",[2]Entry!$J$1551)</f>
        <v/>
      </c>
      <c r="U1548">
        <f>IF([2]Entry!$K$1551="","",[2]Entry!$K$1551)</f>
        <v/>
      </c>
      <c r="V1548">
        <f>IF([2]Entry!$L$1551="","",[2]Entry!$L$1551)</f>
        <v/>
      </c>
      <c r="W1548">
        <f>IF([2]Entry!$M$1551="","",[2]Entry!$M$1551)</f>
        <v/>
      </c>
      <c r="X1548">
        <f>IF([2]Entry!$N$1551="","",[2]Entry!$N$1551)</f>
        <v/>
      </c>
      <c r="Y1548">
        <f>IF([2]Entry!$R$1551="","",[2]Entry!$R$1551)</f>
        <v/>
      </c>
    </row>
    <row r="1549">
      <c r="P1549">
        <f>IF([2]Entry!$C$1552="","",[2]Entry!$C$1552)</f>
        <v/>
      </c>
      <c r="Q1549">
        <f>IF([2]Entry!$D$1552="","",[2]Entry!$D$1552)</f>
        <v/>
      </c>
      <c r="R1549">
        <f>IF([2]Entry!$E$1552="","",[2]Entry!$E$1552)</f>
        <v/>
      </c>
      <c r="S1549">
        <f>IF([2]Entry!$G$1552="","",[2]Entry!$G$1552)</f>
        <v/>
      </c>
      <c r="T1549">
        <f>IF([2]Entry!$J$1552="","",[2]Entry!$J$1552)</f>
        <v/>
      </c>
      <c r="U1549">
        <f>IF([2]Entry!$K$1552="","",[2]Entry!$K$1552)</f>
        <v/>
      </c>
      <c r="V1549">
        <f>IF([2]Entry!$L$1552="","",[2]Entry!$L$1552)</f>
        <v/>
      </c>
      <c r="W1549">
        <f>IF([2]Entry!$M$1552="","",[2]Entry!$M$1552)</f>
        <v/>
      </c>
      <c r="X1549">
        <f>IF([2]Entry!$N$1552="","",[2]Entry!$N$1552)</f>
        <v/>
      </c>
      <c r="Y1549">
        <f>IF([2]Entry!$R$1552="","",[2]Entry!$R$1552)</f>
        <v/>
      </c>
    </row>
    <row r="1550">
      <c r="P1550">
        <f>IF([2]Entry!$C$1553="","",[2]Entry!$C$1553)</f>
        <v/>
      </c>
      <c r="Q1550">
        <f>IF([2]Entry!$D$1553="","",[2]Entry!$D$1553)</f>
        <v/>
      </c>
      <c r="R1550">
        <f>IF([2]Entry!$E$1553="","",[2]Entry!$E$1553)</f>
        <v/>
      </c>
      <c r="S1550">
        <f>IF([2]Entry!$G$1553="","",[2]Entry!$G$1553)</f>
        <v/>
      </c>
      <c r="T1550">
        <f>IF([2]Entry!$J$1553="","",[2]Entry!$J$1553)</f>
        <v/>
      </c>
      <c r="U1550">
        <f>IF([2]Entry!$K$1553="","",[2]Entry!$K$1553)</f>
        <v/>
      </c>
      <c r="V1550">
        <f>IF([2]Entry!$L$1553="","",[2]Entry!$L$1553)</f>
        <v/>
      </c>
      <c r="W1550">
        <f>IF([2]Entry!$M$1553="","",[2]Entry!$M$1553)</f>
        <v/>
      </c>
      <c r="X1550">
        <f>IF([2]Entry!$N$1553="","",[2]Entry!$N$1553)</f>
        <v/>
      </c>
      <c r="Y1550">
        <f>IF([2]Entry!$R$1553="","",[2]Entry!$R$1553)</f>
        <v/>
      </c>
    </row>
    <row r="1551">
      <c r="P1551">
        <f>IF([2]Entry!$C$1554="","",[2]Entry!$C$1554)</f>
        <v/>
      </c>
      <c r="Q1551">
        <f>IF([2]Entry!$D$1554="","",[2]Entry!$D$1554)</f>
        <v/>
      </c>
      <c r="R1551">
        <f>IF([2]Entry!$E$1554="","",[2]Entry!$E$1554)</f>
        <v/>
      </c>
      <c r="S1551">
        <f>IF([2]Entry!$G$1554="","",[2]Entry!$G$1554)</f>
        <v/>
      </c>
      <c r="T1551">
        <f>IF([2]Entry!$J$1554="","",[2]Entry!$J$1554)</f>
        <v/>
      </c>
      <c r="U1551">
        <f>IF([2]Entry!$K$1554="","",[2]Entry!$K$1554)</f>
        <v/>
      </c>
      <c r="V1551">
        <f>IF([2]Entry!$L$1554="","",[2]Entry!$L$1554)</f>
        <v/>
      </c>
      <c r="W1551">
        <f>IF([2]Entry!$M$1554="","",[2]Entry!$M$1554)</f>
        <v/>
      </c>
      <c r="X1551">
        <f>IF([2]Entry!$N$1554="","",[2]Entry!$N$1554)</f>
        <v/>
      </c>
      <c r="Y1551">
        <f>IF([2]Entry!$R$1554="","",[2]Entry!$R$1554)</f>
        <v/>
      </c>
    </row>
    <row r="1552">
      <c r="P1552">
        <f>IF([2]Entry!$C$1555="","",[2]Entry!$C$1555)</f>
        <v/>
      </c>
      <c r="Q1552">
        <f>IF([2]Entry!$D$1555="","",[2]Entry!$D$1555)</f>
        <v/>
      </c>
      <c r="R1552">
        <f>IF([2]Entry!$E$1555="","",[2]Entry!$E$1555)</f>
        <v/>
      </c>
      <c r="S1552">
        <f>IF([2]Entry!$G$1555="","",[2]Entry!$G$1555)</f>
        <v/>
      </c>
      <c r="T1552">
        <f>IF([2]Entry!$J$1555="","",[2]Entry!$J$1555)</f>
        <v/>
      </c>
      <c r="U1552">
        <f>IF([2]Entry!$K$1555="","",[2]Entry!$K$1555)</f>
        <v/>
      </c>
      <c r="V1552">
        <f>IF([2]Entry!$L$1555="","",[2]Entry!$L$1555)</f>
        <v/>
      </c>
      <c r="W1552">
        <f>IF([2]Entry!$M$1555="","",[2]Entry!$M$1555)</f>
        <v/>
      </c>
      <c r="X1552">
        <f>IF([2]Entry!$N$1555="","",[2]Entry!$N$1555)</f>
        <v/>
      </c>
      <c r="Y1552">
        <f>IF([2]Entry!$R$1555="","",[2]Entry!$R$1555)</f>
        <v/>
      </c>
    </row>
    <row r="1553">
      <c r="P1553">
        <f>IF([2]Entry!$C$1556="","",[2]Entry!$C$1556)</f>
        <v/>
      </c>
      <c r="Q1553">
        <f>IF([2]Entry!$D$1556="","",[2]Entry!$D$1556)</f>
        <v/>
      </c>
      <c r="R1553">
        <f>IF([2]Entry!$E$1556="","",[2]Entry!$E$1556)</f>
        <v/>
      </c>
      <c r="S1553">
        <f>IF([2]Entry!$G$1556="","",[2]Entry!$G$1556)</f>
        <v/>
      </c>
      <c r="T1553">
        <f>IF([2]Entry!$J$1556="","",[2]Entry!$J$1556)</f>
        <v/>
      </c>
      <c r="U1553">
        <f>IF([2]Entry!$K$1556="","",[2]Entry!$K$1556)</f>
        <v/>
      </c>
      <c r="V1553">
        <f>IF([2]Entry!$L$1556="","",[2]Entry!$L$1556)</f>
        <v/>
      </c>
      <c r="W1553">
        <f>IF([2]Entry!$M$1556="","",[2]Entry!$M$1556)</f>
        <v/>
      </c>
      <c r="X1553">
        <f>IF([2]Entry!$N$1556="","",[2]Entry!$N$1556)</f>
        <v/>
      </c>
      <c r="Y1553">
        <f>IF([2]Entry!$R$1556="","",[2]Entry!$R$1556)</f>
        <v/>
      </c>
    </row>
    <row r="1554">
      <c r="P1554">
        <f>IF([2]Entry!$C$1557="","",[2]Entry!$C$1557)</f>
        <v/>
      </c>
      <c r="Q1554">
        <f>IF([2]Entry!$D$1557="","",[2]Entry!$D$1557)</f>
        <v/>
      </c>
      <c r="R1554">
        <f>IF([2]Entry!$E$1557="","",[2]Entry!$E$1557)</f>
        <v/>
      </c>
      <c r="S1554">
        <f>IF([2]Entry!$G$1557="","",[2]Entry!$G$1557)</f>
        <v/>
      </c>
      <c r="T1554">
        <f>IF([2]Entry!$J$1557="","",[2]Entry!$J$1557)</f>
        <v/>
      </c>
      <c r="U1554">
        <f>IF([2]Entry!$K$1557="","",[2]Entry!$K$1557)</f>
        <v/>
      </c>
      <c r="V1554">
        <f>IF([2]Entry!$L$1557="","",[2]Entry!$L$1557)</f>
        <v/>
      </c>
      <c r="W1554">
        <f>IF([2]Entry!$M$1557="","",[2]Entry!$M$1557)</f>
        <v/>
      </c>
      <c r="X1554">
        <f>IF([2]Entry!$N$1557="","",[2]Entry!$N$1557)</f>
        <v/>
      </c>
      <c r="Y1554">
        <f>IF([2]Entry!$R$1557="","",[2]Entry!$R$1557)</f>
        <v/>
      </c>
    </row>
    <row r="1555">
      <c r="P1555">
        <f>IF([2]Entry!$C$1558="","",[2]Entry!$C$1558)</f>
        <v/>
      </c>
      <c r="Q1555">
        <f>IF([2]Entry!$D$1558="","",[2]Entry!$D$1558)</f>
        <v/>
      </c>
      <c r="R1555">
        <f>IF([2]Entry!$E$1558="","",[2]Entry!$E$1558)</f>
        <v/>
      </c>
      <c r="S1555">
        <f>IF([2]Entry!$G$1558="","",[2]Entry!$G$1558)</f>
        <v/>
      </c>
      <c r="T1555">
        <f>IF([2]Entry!$J$1558="","",[2]Entry!$J$1558)</f>
        <v/>
      </c>
      <c r="U1555">
        <f>IF([2]Entry!$K$1558="","",[2]Entry!$K$1558)</f>
        <v/>
      </c>
      <c r="V1555">
        <f>IF([2]Entry!$L$1558="","",[2]Entry!$L$1558)</f>
        <v/>
      </c>
      <c r="W1555">
        <f>IF([2]Entry!$M$1558="","",[2]Entry!$M$1558)</f>
        <v/>
      </c>
      <c r="X1555">
        <f>IF([2]Entry!$N$1558="","",[2]Entry!$N$1558)</f>
        <v/>
      </c>
      <c r="Y1555">
        <f>IF([2]Entry!$R$1558="","",[2]Entry!$R$1558)</f>
        <v/>
      </c>
    </row>
    <row r="1556">
      <c r="P1556">
        <f>IF([2]Entry!$C$1559="","",[2]Entry!$C$1559)</f>
        <v/>
      </c>
      <c r="Q1556">
        <f>IF([2]Entry!$D$1559="","",[2]Entry!$D$1559)</f>
        <v/>
      </c>
      <c r="R1556">
        <f>IF([2]Entry!$E$1559="","",[2]Entry!$E$1559)</f>
        <v/>
      </c>
      <c r="S1556">
        <f>IF([2]Entry!$G$1559="","",[2]Entry!$G$1559)</f>
        <v/>
      </c>
      <c r="T1556">
        <f>IF([2]Entry!$J$1559="","",[2]Entry!$J$1559)</f>
        <v/>
      </c>
      <c r="U1556">
        <f>IF([2]Entry!$K$1559="","",[2]Entry!$K$1559)</f>
        <v/>
      </c>
      <c r="V1556">
        <f>IF([2]Entry!$L$1559="","",[2]Entry!$L$1559)</f>
        <v/>
      </c>
      <c r="W1556">
        <f>IF([2]Entry!$M$1559="","",[2]Entry!$M$1559)</f>
        <v/>
      </c>
      <c r="X1556">
        <f>IF([2]Entry!$N$1559="","",[2]Entry!$N$1559)</f>
        <v/>
      </c>
      <c r="Y1556">
        <f>IF([2]Entry!$R$1559="","",[2]Entry!$R$1559)</f>
        <v/>
      </c>
    </row>
    <row r="1557">
      <c r="P1557">
        <f>IF([2]Entry!$C$1560="","",[2]Entry!$C$1560)</f>
        <v/>
      </c>
      <c r="Q1557">
        <f>IF([2]Entry!$D$1560="","",[2]Entry!$D$1560)</f>
        <v/>
      </c>
      <c r="R1557">
        <f>IF([2]Entry!$E$1560="","",[2]Entry!$E$1560)</f>
        <v/>
      </c>
      <c r="S1557">
        <f>IF([2]Entry!$G$1560="","",[2]Entry!$G$1560)</f>
        <v/>
      </c>
      <c r="T1557">
        <f>IF([2]Entry!$J$1560="","",[2]Entry!$J$1560)</f>
        <v/>
      </c>
      <c r="U1557">
        <f>IF([2]Entry!$K$1560="","",[2]Entry!$K$1560)</f>
        <v/>
      </c>
      <c r="V1557">
        <f>IF([2]Entry!$L$1560="","",[2]Entry!$L$1560)</f>
        <v/>
      </c>
      <c r="W1557">
        <f>IF([2]Entry!$M$1560="","",[2]Entry!$M$1560)</f>
        <v/>
      </c>
      <c r="X1557">
        <f>IF([2]Entry!$N$1560="","",[2]Entry!$N$1560)</f>
        <v/>
      </c>
      <c r="Y1557">
        <f>IF([2]Entry!$R$1560="","",[2]Entry!$R$1560)</f>
        <v/>
      </c>
    </row>
    <row r="1558">
      <c r="P1558">
        <f>IF([2]Entry!$C$1561="","",[2]Entry!$C$1561)</f>
        <v/>
      </c>
      <c r="Q1558">
        <f>IF([2]Entry!$D$1561="","",[2]Entry!$D$1561)</f>
        <v/>
      </c>
      <c r="R1558">
        <f>IF([2]Entry!$E$1561="","",[2]Entry!$E$1561)</f>
        <v/>
      </c>
      <c r="S1558">
        <f>IF([2]Entry!$G$1561="","",[2]Entry!$G$1561)</f>
        <v/>
      </c>
      <c r="T1558">
        <f>IF([2]Entry!$J$1561="","",[2]Entry!$J$1561)</f>
        <v/>
      </c>
      <c r="U1558">
        <f>IF([2]Entry!$K$1561="","",[2]Entry!$K$1561)</f>
        <v/>
      </c>
      <c r="V1558">
        <f>IF([2]Entry!$L$1561="","",[2]Entry!$L$1561)</f>
        <v/>
      </c>
      <c r="W1558">
        <f>IF([2]Entry!$M$1561="","",[2]Entry!$M$1561)</f>
        <v/>
      </c>
      <c r="X1558">
        <f>IF([2]Entry!$N$1561="","",[2]Entry!$N$1561)</f>
        <v/>
      </c>
      <c r="Y1558">
        <f>IF([2]Entry!$R$1561="","",[2]Entry!$R$1561)</f>
        <v/>
      </c>
    </row>
    <row r="1559">
      <c r="P1559">
        <f>IF([2]Entry!$C$1562="","",[2]Entry!$C$1562)</f>
        <v/>
      </c>
      <c r="Q1559">
        <f>IF([2]Entry!$D$1562="","",[2]Entry!$D$1562)</f>
        <v/>
      </c>
      <c r="R1559">
        <f>IF([2]Entry!$E$1562="","",[2]Entry!$E$1562)</f>
        <v/>
      </c>
      <c r="S1559">
        <f>IF([2]Entry!$G$1562="","",[2]Entry!$G$1562)</f>
        <v/>
      </c>
      <c r="T1559">
        <f>IF([2]Entry!$J$1562="","",[2]Entry!$J$1562)</f>
        <v/>
      </c>
      <c r="U1559">
        <f>IF([2]Entry!$K$1562="","",[2]Entry!$K$1562)</f>
        <v/>
      </c>
      <c r="V1559">
        <f>IF([2]Entry!$L$1562="","",[2]Entry!$L$1562)</f>
        <v/>
      </c>
      <c r="W1559">
        <f>IF([2]Entry!$M$1562="","",[2]Entry!$M$1562)</f>
        <v/>
      </c>
      <c r="X1559">
        <f>IF([2]Entry!$N$1562="","",[2]Entry!$N$1562)</f>
        <v/>
      </c>
      <c r="Y1559">
        <f>IF([2]Entry!$R$1562="","",[2]Entry!$R$1562)</f>
        <v/>
      </c>
    </row>
    <row r="1560">
      <c r="P1560">
        <f>IF([2]Entry!$C$1563="","",[2]Entry!$C$1563)</f>
        <v/>
      </c>
      <c r="Q1560">
        <f>IF([2]Entry!$D$1563="","",[2]Entry!$D$1563)</f>
        <v/>
      </c>
      <c r="R1560">
        <f>IF([2]Entry!$E$1563="","",[2]Entry!$E$1563)</f>
        <v/>
      </c>
      <c r="S1560">
        <f>IF([2]Entry!$G$1563="","",[2]Entry!$G$1563)</f>
        <v/>
      </c>
      <c r="T1560">
        <f>IF([2]Entry!$J$1563="","",[2]Entry!$J$1563)</f>
        <v/>
      </c>
      <c r="U1560">
        <f>IF([2]Entry!$K$1563="","",[2]Entry!$K$1563)</f>
        <v/>
      </c>
      <c r="V1560">
        <f>IF([2]Entry!$L$1563="","",[2]Entry!$L$1563)</f>
        <v/>
      </c>
      <c r="W1560">
        <f>IF([2]Entry!$M$1563="","",[2]Entry!$M$1563)</f>
        <v/>
      </c>
      <c r="X1560">
        <f>IF([2]Entry!$N$1563="","",[2]Entry!$N$1563)</f>
        <v/>
      </c>
      <c r="Y1560">
        <f>IF([2]Entry!$R$1563="","",[2]Entry!$R$1563)</f>
        <v/>
      </c>
    </row>
    <row r="1561">
      <c r="P1561">
        <f>IF([2]Entry!$C$1564="","",[2]Entry!$C$1564)</f>
        <v/>
      </c>
      <c r="Q1561">
        <f>IF([2]Entry!$D$1564="","",[2]Entry!$D$1564)</f>
        <v/>
      </c>
      <c r="R1561">
        <f>IF([2]Entry!$E$1564="","",[2]Entry!$E$1564)</f>
        <v/>
      </c>
      <c r="S1561">
        <f>IF([2]Entry!$G$1564="","",[2]Entry!$G$1564)</f>
        <v/>
      </c>
      <c r="T1561">
        <f>IF([2]Entry!$J$1564="","",[2]Entry!$J$1564)</f>
        <v/>
      </c>
      <c r="U1561">
        <f>IF([2]Entry!$K$1564="","",[2]Entry!$K$1564)</f>
        <v/>
      </c>
      <c r="V1561">
        <f>IF([2]Entry!$L$1564="","",[2]Entry!$L$1564)</f>
        <v/>
      </c>
      <c r="W1561">
        <f>IF([2]Entry!$M$1564="","",[2]Entry!$M$1564)</f>
        <v/>
      </c>
      <c r="X1561">
        <f>IF([2]Entry!$N$1564="","",[2]Entry!$N$1564)</f>
        <v/>
      </c>
      <c r="Y1561">
        <f>IF([2]Entry!$R$1564="","",[2]Entry!$R$1564)</f>
        <v/>
      </c>
    </row>
    <row r="1562">
      <c r="P1562">
        <f>IF([2]Entry!$C$1565="","",[2]Entry!$C$1565)</f>
        <v/>
      </c>
      <c r="Q1562">
        <f>IF([2]Entry!$D$1565="","",[2]Entry!$D$1565)</f>
        <v/>
      </c>
      <c r="R1562">
        <f>IF([2]Entry!$E$1565="","",[2]Entry!$E$1565)</f>
        <v/>
      </c>
      <c r="S1562">
        <f>IF([2]Entry!$G$1565="","",[2]Entry!$G$1565)</f>
        <v/>
      </c>
      <c r="T1562">
        <f>IF([2]Entry!$J$1565="","",[2]Entry!$J$1565)</f>
        <v/>
      </c>
      <c r="U1562">
        <f>IF([2]Entry!$K$1565="","",[2]Entry!$K$1565)</f>
        <v/>
      </c>
      <c r="V1562">
        <f>IF([2]Entry!$L$1565="","",[2]Entry!$L$1565)</f>
        <v/>
      </c>
      <c r="W1562">
        <f>IF([2]Entry!$M$1565="","",[2]Entry!$M$1565)</f>
        <v/>
      </c>
      <c r="X1562">
        <f>IF([2]Entry!$N$1565="","",[2]Entry!$N$1565)</f>
        <v/>
      </c>
      <c r="Y1562">
        <f>IF([2]Entry!$R$1565="","",[2]Entry!$R$1565)</f>
        <v/>
      </c>
    </row>
    <row r="1563">
      <c r="P1563">
        <f>IF([2]Entry!$C$1566="","",[2]Entry!$C$1566)</f>
        <v/>
      </c>
      <c r="Q1563">
        <f>IF([2]Entry!$D$1566="","",[2]Entry!$D$1566)</f>
        <v/>
      </c>
      <c r="R1563">
        <f>IF([2]Entry!$E$1566="","",[2]Entry!$E$1566)</f>
        <v/>
      </c>
      <c r="S1563">
        <f>IF([2]Entry!$G$1566="","",[2]Entry!$G$1566)</f>
        <v/>
      </c>
      <c r="T1563">
        <f>IF([2]Entry!$J$1566="","",[2]Entry!$J$1566)</f>
        <v/>
      </c>
      <c r="U1563">
        <f>IF([2]Entry!$K$1566="","",[2]Entry!$K$1566)</f>
        <v/>
      </c>
      <c r="V1563">
        <f>IF([2]Entry!$L$1566="","",[2]Entry!$L$1566)</f>
        <v/>
      </c>
      <c r="W1563">
        <f>IF([2]Entry!$M$1566="","",[2]Entry!$M$1566)</f>
        <v/>
      </c>
      <c r="X1563">
        <f>IF([2]Entry!$N$1566="","",[2]Entry!$N$1566)</f>
        <v/>
      </c>
      <c r="Y1563">
        <f>IF([2]Entry!$R$1566="","",[2]Entry!$R$1566)</f>
        <v/>
      </c>
    </row>
    <row r="1564">
      <c r="P1564">
        <f>IF([2]Entry!$C$1567="","",[2]Entry!$C$1567)</f>
        <v/>
      </c>
      <c r="Q1564">
        <f>IF([2]Entry!$D$1567="","",[2]Entry!$D$1567)</f>
        <v/>
      </c>
      <c r="R1564">
        <f>IF([2]Entry!$E$1567="","",[2]Entry!$E$1567)</f>
        <v/>
      </c>
      <c r="S1564">
        <f>IF([2]Entry!$G$1567="","",[2]Entry!$G$1567)</f>
        <v/>
      </c>
      <c r="T1564">
        <f>IF([2]Entry!$J$1567="","",[2]Entry!$J$1567)</f>
        <v/>
      </c>
      <c r="U1564">
        <f>IF([2]Entry!$K$1567="","",[2]Entry!$K$1567)</f>
        <v/>
      </c>
      <c r="V1564">
        <f>IF([2]Entry!$L$1567="","",[2]Entry!$L$1567)</f>
        <v/>
      </c>
      <c r="W1564">
        <f>IF([2]Entry!$M$1567="","",[2]Entry!$M$1567)</f>
        <v/>
      </c>
      <c r="X1564">
        <f>IF([2]Entry!$N$1567="","",[2]Entry!$N$1567)</f>
        <v/>
      </c>
      <c r="Y1564">
        <f>IF([2]Entry!$R$1567="","",[2]Entry!$R$1567)</f>
        <v/>
      </c>
    </row>
    <row r="1565">
      <c r="P1565">
        <f>IF([2]Entry!$C$1568="","",[2]Entry!$C$1568)</f>
        <v/>
      </c>
      <c r="Q1565">
        <f>IF([2]Entry!$D$1568="","",[2]Entry!$D$1568)</f>
        <v/>
      </c>
      <c r="R1565">
        <f>IF([2]Entry!$E$1568="","",[2]Entry!$E$1568)</f>
        <v/>
      </c>
      <c r="S1565">
        <f>IF([2]Entry!$G$1568="","",[2]Entry!$G$1568)</f>
        <v/>
      </c>
      <c r="T1565">
        <f>IF([2]Entry!$J$1568="","",[2]Entry!$J$1568)</f>
        <v/>
      </c>
      <c r="U1565">
        <f>IF([2]Entry!$K$1568="","",[2]Entry!$K$1568)</f>
        <v/>
      </c>
      <c r="V1565">
        <f>IF([2]Entry!$L$1568="","",[2]Entry!$L$1568)</f>
        <v/>
      </c>
      <c r="W1565">
        <f>IF([2]Entry!$M$1568="","",[2]Entry!$M$1568)</f>
        <v/>
      </c>
      <c r="X1565">
        <f>IF([2]Entry!$N$1568="","",[2]Entry!$N$1568)</f>
        <v/>
      </c>
      <c r="Y1565">
        <f>IF([2]Entry!$R$1568="","",[2]Entry!$R$1568)</f>
        <v/>
      </c>
    </row>
    <row r="1566">
      <c r="P1566">
        <f>IF([2]Entry!$C$1569="","",[2]Entry!$C$1569)</f>
        <v/>
      </c>
      <c r="Q1566">
        <f>IF([2]Entry!$D$1569="","",[2]Entry!$D$1569)</f>
        <v/>
      </c>
      <c r="R1566">
        <f>IF([2]Entry!$E$1569="","",[2]Entry!$E$1569)</f>
        <v/>
      </c>
      <c r="S1566">
        <f>IF([2]Entry!$G$1569="","",[2]Entry!$G$1569)</f>
        <v/>
      </c>
      <c r="T1566">
        <f>IF([2]Entry!$J$1569="","",[2]Entry!$J$1569)</f>
        <v/>
      </c>
      <c r="U1566">
        <f>IF([2]Entry!$K$1569="","",[2]Entry!$K$1569)</f>
        <v/>
      </c>
      <c r="V1566">
        <f>IF([2]Entry!$L$1569="","",[2]Entry!$L$1569)</f>
        <v/>
      </c>
      <c r="W1566">
        <f>IF([2]Entry!$M$1569="","",[2]Entry!$M$1569)</f>
        <v/>
      </c>
      <c r="X1566">
        <f>IF([2]Entry!$N$1569="","",[2]Entry!$N$1569)</f>
        <v/>
      </c>
      <c r="Y1566">
        <f>IF([2]Entry!$R$1569="","",[2]Entry!$R$1569)</f>
        <v/>
      </c>
    </row>
    <row r="1567">
      <c r="P1567">
        <f>IF([2]Entry!$C$1570="","",[2]Entry!$C$1570)</f>
        <v/>
      </c>
      <c r="Q1567">
        <f>IF([2]Entry!$D$1570="","",[2]Entry!$D$1570)</f>
        <v/>
      </c>
      <c r="R1567">
        <f>IF([2]Entry!$E$1570="","",[2]Entry!$E$1570)</f>
        <v/>
      </c>
      <c r="S1567">
        <f>IF([2]Entry!$G$1570="","",[2]Entry!$G$1570)</f>
        <v/>
      </c>
      <c r="T1567">
        <f>IF([2]Entry!$J$1570="","",[2]Entry!$J$1570)</f>
        <v/>
      </c>
      <c r="U1567">
        <f>IF([2]Entry!$K$1570="","",[2]Entry!$K$1570)</f>
        <v/>
      </c>
      <c r="V1567">
        <f>IF([2]Entry!$L$1570="","",[2]Entry!$L$1570)</f>
        <v/>
      </c>
      <c r="W1567">
        <f>IF([2]Entry!$M$1570="","",[2]Entry!$M$1570)</f>
        <v/>
      </c>
      <c r="X1567">
        <f>IF([2]Entry!$N$1570="","",[2]Entry!$N$1570)</f>
        <v/>
      </c>
      <c r="Y1567">
        <f>IF([2]Entry!$R$1570="","",[2]Entry!$R$1570)</f>
        <v/>
      </c>
    </row>
    <row r="1568">
      <c r="P1568">
        <f>IF([2]Entry!$C$1571="","",[2]Entry!$C$1571)</f>
        <v/>
      </c>
      <c r="Q1568">
        <f>IF([2]Entry!$D$1571="","",[2]Entry!$D$1571)</f>
        <v/>
      </c>
      <c r="R1568">
        <f>IF([2]Entry!$E$1571="","",[2]Entry!$E$1571)</f>
        <v/>
      </c>
      <c r="S1568">
        <f>IF([2]Entry!$G$1571="","",[2]Entry!$G$1571)</f>
        <v/>
      </c>
      <c r="T1568">
        <f>IF([2]Entry!$J$1571="","",[2]Entry!$J$1571)</f>
        <v/>
      </c>
      <c r="U1568">
        <f>IF([2]Entry!$K$1571="","",[2]Entry!$K$1571)</f>
        <v/>
      </c>
      <c r="V1568">
        <f>IF([2]Entry!$L$1571="","",[2]Entry!$L$1571)</f>
        <v/>
      </c>
      <c r="W1568">
        <f>IF([2]Entry!$M$1571="","",[2]Entry!$M$1571)</f>
        <v/>
      </c>
      <c r="X1568">
        <f>IF([2]Entry!$N$1571="","",[2]Entry!$N$1571)</f>
        <v/>
      </c>
      <c r="Y1568">
        <f>IF([2]Entry!$R$1571="","",[2]Entry!$R$1571)</f>
        <v/>
      </c>
    </row>
    <row r="1569">
      <c r="P1569">
        <f>IF([2]Entry!$C$1572="","",[2]Entry!$C$1572)</f>
        <v/>
      </c>
      <c r="Q1569">
        <f>IF([2]Entry!$D$1572="","",[2]Entry!$D$1572)</f>
        <v/>
      </c>
      <c r="R1569">
        <f>IF([2]Entry!$E$1572="","",[2]Entry!$E$1572)</f>
        <v/>
      </c>
      <c r="S1569">
        <f>IF([2]Entry!$G$1572="","",[2]Entry!$G$1572)</f>
        <v/>
      </c>
      <c r="T1569">
        <f>IF([2]Entry!$J$1572="","",[2]Entry!$J$1572)</f>
        <v/>
      </c>
      <c r="U1569">
        <f>IF([2]Entry!$K$1572="","",[2]Entry!$K$1572)</f>
        <v/>
      </c>
      <c r="V1569">
        <f>IF([2]Entry!$L$1572="","",[2]Entry!$L$1572)</f>
        <v/>
      </c>
      <c r="W1569">
        <f>IF([2]Entry!$M$1572="","",[2]Entry!$M$1572)</f>
        <v/>
      </c>
      <c r="X1569">
        <f>IF([2]Entry!$N$1572="","",[2]Entry!$N$1572)</f>
        <v/>
      </c>
      <c r="Y1569">
        <f>IF([2]Entry!$R$1572="","",[2]Entry!$R$1572)</f>
        <v/>
      </c>
    </row>
    <row r="1570">
      <c r="P1570">
        <f>IF([2]Entry!$C$1573="","",[2]Entry!$C$1573)</f>
        <v/>
      </c>
      <c r="Q1570">
        <f>IF([2]Entry!$D$1573="","",[2]Entry!$D$1573)</f>
        <v/>
      </c>
      <c r="R1570">
        <f>IF([2]Entry!$E$1573="","",[2]Entry!$E$1573)</f>
        <v/>
      </c>
      <c r="S1570">
        <f>IF([2]Entry!$G$1573="","",[2]Entry!$G$1573)</f>
        <v/>
      </c>
      <c r="T1570">
        <f>IF([2]Entry!$J$1573="","",[2]Entry!$J$1573)</f>
        <v/>
      </c>
      <c r="U1570">
        <f>IF([2]Entry!$K$1573="","",[2]Entry!$K$1573)</f>
        <v/>
      </c>
      <c r="V1570">
        <f>IF([2]Entry!$L$1573="","",[2]Entry!$L$1573)</f>
        <v/>
      </c>
      <c r="W1570">
        <f>IF([2]Entry!$M$1573="","",[2]Entry!$M$1573)</f>
        <v/>
      </c>
      <c r="X1570">
        <f>IF([2]Entry!$N$1573="","",[2]Entry!$N$1573)</f>
        <v/>
      </c>
      <c r="Y1570">
        <f>IF([2]Entry!$R$1573="","",[2]Entry!$R$1573)</f>
        <v/>
      </c>
    </row>
    <row r="1571">
      <c r="P1571">
        <f>IF([2]Entry!$C$1574="","",[2]Entry!$C$1574)</f>
        <v/>
      </c>
      <c r="Q1571">
        <f>IF([2]Entry!$D$1574="","",[2]Entry!$D$1574)</f>
        <v/>
      </c>
      <c r="R1571">
        <f>IF([2]Entry!$E$1574="","",[2]Entry!$E$1574)</f>
        <v/>
      </c>
      <c r="S1571">
        <f>IF([2]Entry!$G$1574="","",[2]Entry!$G$1574)</f>
        <v/>
      </c>
      <c r="T1571">
        <f>IF([2]Entry!$J$1574="","",[2]Entry!$J$1574)</f>
        <v/>
      </c>
      <c r="U1571">
        <f>IF([2]Entry!$K$1574="","",[2]Entry!$K$1574)</f>
        <v/>
      </c>
      <c r="V1571">
        <f>IF([2]Entry!$L$1574="","",[2]Entry!$L$1574)</f>
        <v/>
      </c>
      <c r="W1571">
        <f>IF([2]Entry!$M$1574="","",[2]Entry!$M$1574)</f>
        <v/>
      </c>
      <c r="X1571">
        <f>IF([2]Entry!$N$1574="","",[2]Entry!$N$1574)</f>
        <v/>
      </c>
      <c r="Y1571">
        <f>IF([2]Entry!$R$1574="","",[2]Entry!$R$1574)</f>
        <v/>
      </c>
    </row>
    <row r="1572">
      <c r="P1572">
        <f>IF([2]Entry!$C$1575="","",[2]Entry!$C$1575)</f>
        <v/>
      </c>
      <c r="Q1572">
        <f>IF([2]Entry!$D$1575="","",[2]Entry!$D$1575)</f>
        <v/>
      </c>
      <c r="R1572">
        <f>IF([2]Entry!$E$1575="","",[2]Entry!$E$1575)</f>
        <v/>
      </c>
      <c r="S1572">
        <f>IF([2]Entry!$G$1575="","",[2]Entry!$G$1575)</f>
        <v/>
      </c>
      <c r="T1572">
        <f>IF([2]Entry!$J$1575="","",[2]Entry!$J$1575)</f>
        <v/>
      </c>
      <c r="U1572">
        <f>IF([2]Entry!$K$1575="","",[2]Entry!$K$1575)</f>
        <v/>
      </c>
      <c r="V1572">
        <f>IF([2]Entry!$L$1575="","",[2]Entry!$L$1575)</f>
        <v/>
      </c>
      <c r="W1572">
        <f>IF([2]Entry!$M$1575="","",[2]Entry!$M$1575)</f>
        <v/>
      </c>
      <c r="X1572">
        <f>IF([2]Entry!$N$1575="","",[2]Entry!$N$1575)</f>
        <v/>
      </c>
      <c r="Y1572">
        <f>IF([2]Entry!$R$1575="","",[2]Entry!$R$1575)</f>
        <v/>
      </c>
    </row>
    <row r="1573">
      <c r="P1573">
        <f>IF([2]Entry!$C$1576="","",[2]Entry!$C$1576)</f>
        <v/>
      </c>
      <c r="Q1573">
        <f>IF([2]Entry!$D$1576="","",[2]Entry!$D$1576)</f>
        <v/>
      </c>
      <c r="R1573">
        <f>IF([2]Entry!$E$1576="","",[2]Entry!$E$1576)</f>
        <v/>
      </c>
      <c r="S1573">
        <f>IF([2]Entry!$G$1576="","",[2]Entry!$G$1576)</f>
        <v/>
      </c>
      <c r="T1573">
        <f>IF([2]Entry!$J$1576="","",[2]Entry!$J$1576)</f>
        <v/>
      </c>
      <c r="U1573">
        <f>IF([2]Entry!$K$1576="","",[2]Entry!$K$1576)</f>
        <v/>
      </c>
      <c r="V1573">
        <f>IF([2]Entry!$L$1576="","",[2]Entry!$L$1576)</f>
        <v/>
      </c>
      <c r="W1573">
        <f>IF([2]Entry!$M$1576="","",[2]Entry!$M$1576)</f>
        <v/>
      </c>
      <c r="X1573">
        <f>IF([2]Entry!$N$1576="","",[2]Entry!$N$1576)</f>
        <v/>
      </c>
      <c r="Y1573">
        <f>IF([2]Entry!$R$1576="","",[2]Entry!$R$1576)</f>
        <v/>
      </c>
    </row>
    <row r="1574">
      <c r="P1574">
        <f>IF([2]Entry!$C$1577="","",[2]Entry!$C$1577)</f>
        <v/>
      </c>
      <c r="Q1574">
        <f>IF([2]Entry!$D$1577="","",[2]Entry!$D$1577)</f>
        <v/>
      </c>
      <c r="R1574">
        <f>IF([2]Entry!$E$1577="","",[2]Entry!$E$1577)</f>
        <v/>
      </c>
      <c r="S1574">
        <f>IF([2]Entry!$G$1577="","",[2]Entry!$G$1577)</f>
        <v/>
      </c>
      <c r="T1574">
        <f>IF([2]Entry!$J$1577="","",[2]Entry!$J$1577)</f>
        <v/>
      </c>
      <c r="U1574">
        <f>IF([2]Entry!$K$1577="","",[2]Entry!$K$1577)</f>
        <v/>
      </c>
      <c r="V1574">
        <f>IF([2]Entry!$L$1577="","",[2]Entry!$L$1577)</f>
        <v/>
      </c>
      <c r="W1574">
        <f>IF([2]Entry!$M$1577="","",[2]Entry!$M$1577)</f>
        <v/>
      </c>
      <c r="X1574">
        <f>IF([2]Entry!$N$1577="","",[2]Entry!$N$1577)</f>
        <v/>
      </c>
      <c r="Y1574">
        <f>IF([2]Entry!$R$1577="","",[2]Entry!$R$1577)</f>
        <v/>
      </c>
    </row>
    <row r="1575">
      <c r="P1575">
        <f>IF([2]Entry!$C$1578="","",[2]Entry!$C$1578)</f>
        <v/>
      </c>
      <c r="Q1575">
        <f>IF([2]Entry!$D$1578="","",[2]Entry!$D$1578)</f>
        <v/>
      </c>
      <c r="R1575">
        <f>IF([2]Entry!$E$1578="","",[2]Entry!$E$1578)</f>
        <v/>
      </c>
      <c r="S1575">
        <f>IF([2]Entry!$G$1578="","",[2]Entry!$G$1578)</f>
        <v/>
      </c>
      <c r="T1575">
        <f>IF([2]Entry!$J$1578="","",[2]Entry!$J$1578)</f>
        <v/>
      </c>
      <c r="U1575">
        <f>IF([2]Entry!$K$1578="","",[2]Entry!$K$1578)</f>
        <v/>
      </c>
      <c r="V1575">
        <f>IF([2]Entry!$L$1578="","",[2]Entry!$L$1578)</f>
        <v/>
      </c>
      <c r="W1575">
        <f>IF([2]Entry!$M$1578="","",[2]Entry!$M$1578)</f>
        <v/>
      </c>
      <c r="X1575">
        <f>IF([2]Entry!$N$1578="","",[2]Entry!$N$1578)</f>
        <v/>
      </c>
      <c r="Y1575">
        <f>IF([2]Entry!$R$1578="","",[2]Entry!$R$1578)</f>
        <v/>
      </c>
    </row>
    <row r="1576">
      <c r="P1576">
        <f>IF([2]Entry!$C$1579="","",[2]Entry!$C$1579)</f>
        <v/>
      </c>
      <c r="Q1576">
        <f>IF([2]Entry!$D$1579="","",[2]Entry!$D$1579)</f>
        <v/>
      </c>
      <c r="R1576">
        <f>IF([2]Entry!$E$1579="","",[2]Entry!$E$1579)</f>
        <v/>
      </c>
      <c r="S1576">
        <f>IF([2]Entry!$G$1579="","",[2]Entry!$G$1579)</f>
        <v/>
      </c>
      <c r="T1576">
        <f>IF([2]Entry!$J$1579="","",[2]Entry!$J$1579)</f>
        <v/>
      </c>
      <c r="U1576">
        <f>IF([2]Entry!$K$1579="","",[2]Entry!$K$1579)</f>
        <v/>
      </c>
      <c r="V1576">
        <f>IF([2]Entry!$L$1579="","",[2]Entry!$L$1579)</f>
        <v/>
      </c>
      <c r="W1576">
        <f>IF([2]Entry!$M$1579="","",[2]Entry!$M$1579)</f>
        <v/>
      </c>
      <c r="X1576">
        <f>IF([2]Entry!$N$1579="","",[2]Entry!$N$1579)</f>
        <v/>
      </c>
      <c r="Y1576">
        <f>IF([2]Entry!$R$1579="","",[2]Entry!$R$1579)</f>
        <v/>
      </c>
    </row>
    <row r="1577">
      <c r="P1577">
        <f>IF([2]Entry!$C$1580="","",[2]Entry!$C$1580)</f>
        <v/>
      </c>
      <c r="Q1577">
        <f>IF([2]Entry!$D$1580="","",[2]Entry!$D$1580)</f>
        <v/>
      </c>
      <c r="R1577">
        <f>IF([2]Entry!$E$1580="","",[2]Entry!$E$1580)</f>
        <v/>
      </c>
      <c r="S1577">
        <f>IF([2]Entry!$G$1580="","",[2]Entry!$G$1580)</f>
        <v/>
      </c>
      <c r="T1577">
        <f>IF([2]Entry!$J$1580="","",[2]Entry!$J$1580)</f>
        <v/>
      </c>
      <c r="U1577">
        <f>IF([2]Entry!$K$1580="","",[2]Entry!$K$1580)</f>
        <v/>
      </c>
      <c r="V1577">
        <f>IF([2]Entry!$L$1580="","",[2]Entry!$L$1580)</f>
        <v/>
      </c>
      <c r="W1577">
        <f>IF([2]Entry!$M$1580="","",[2]Entry!$M$1580)</f>
        <v/>
      </c>
      <c r="X1577">
        <f>IF([2]Entry!$N$1580="","",[2]Entry!$N$1580)</f>
        <v/>
      </c>
      <c r="Y1577">
        <f>IF([2]Entry!$R$1580="","",[2]Entry!$R$1580)</f>
        <v/>
      </c>
    </row>
    <row r="1578">
      <c r="P1578">
        <f>IF([2]Entry!$C$1581="","",[2]Entry!$C$1581)</f>
        <v/>
      </c>
      <c r="Q1578">
        <f>IF([2]Entry!$D$1581="","",[2]Entry!$D$1581)</f>
        <v/>
      </c>
      <c r="R1578">
        <f>IF([2]Entry!$E$1581="","",[2]Entry!$E$1581)</f>
        <v/>
      </c>
      <c r="S1578">
        <f>IF([2]Entry!$G$1581="","",[2]Entry!$G$1581)</f>
        <v/>
      </c>
      <c r="T1578">
        <f>IF([2]Entry!$J$1581="","",[2]Entry!$J$1581)</f>
        <v/>
      </c>
      <c r="U1578">
        <f>IF([2]Entry!$K$1581="","",[2]Entry!$K$1581)</f>
        <v/>
      </c>
      <c r="V1578">
        <f>IF([2]Entry!$L$1581="","",[2]Entry!$L$1581)</f>
        <v/>
      </c>
      <c r="W1578">
        <f>IF([2]Entry!$M$1581="","",[2]Entry!$M$1581)</f>
        <v/>
      </c>
      <c r="X1578">
        <f>IF([2]Entry!$N$1581="","",[2]Entry!$N$1581)</f>
        <v/>
      </c>
      <c r="Y1578">
        <f>IF([2]Entry!$R$1581="","",[2]Entry!$R$1581)</f>
        <v/>
      </c>
    </row>
    <row r="1579">
      <c r="P1579">
        <f>IF([2]Entry!$C$1582="","",[2]Entry!$C$1582)</f>
        <v/>
      </c>
      <c r="Q1579">
        <f>IF([2]Entry!$D$1582="","",[2]Entry!$D$1582)</f>
        <v/>
      </c>
      <c r="R1579">
        <f>IF([2]Entry!$E$1582="","",[2]Entry!$E$1582)</f>
        <v/>
      </c>
      <c r="S1579">
        <f>IF([2]Entry!$G$1582="","",[2]Entry!$G$1582)</f>
        <v/>
      </c>
      <c r="T1579">
        <f>IF([2]Entry!$J$1582="","",[2]Entry!$J$1582)</f>
        <v/>
      </c>
      <c r="U1579">
        <f>IF([2]Entry!$K$1582="","",[2]Entry!$K$1582)</f>
        <v/>
      </c>
      <c r="V1579">
        <f>IF([2]Entry!$L$1582="","",[2]Entry!$L$1582)</f>
        <v/>
      </c>
      <c r="W1579">
        <f>IF([2]Entry!$M$1582="","",[2]Entry!$M$1582)</f>
        <v/>
      </c>
      <c r="X1579">
        <f>IF([2]Entry!$N$1582="","",[2]Entry!$N$1582)</f>
        <v/>
      </c>
      <c r="Y1579">
        <f>IF([2]Entry!$R$1582="","",[2]Entry!$R$1582)</f>
        <v/>
      </c>
    </row>
    <row r="1580">
      <c r="P1580">
        <f>IF([2]Entry!$C$1583="","",[2]Entry!$C$1583)</f>
        <v/>
      </c>
      <c r="Q1580">
        <f>IF([2]Entry!$D$1583="","",[2]Entry!$D$1583)</f>
        <v/>
      </c>
      <c r="R1580">
        <f>IF([2]Entry!$E$1583="","",[2]Entry!$E$1583)</f>
        <v/>
      </c>
      <c r="S1580">
        <f>IF([2]Entry!$G$1583="","",[2]Entry!$G$1583)</f>
        <v/>
      </c>
      <c r="T1580">
        <f>IF([2]Entry!$J$1583="","",[2]Entry!$J$1583)</f>
        <v/>
      </c>
      <c r="U1580">
        <f>IF([2]Entry!$K$1583="","",[2]Entry!$K$1583)</f>
        <v/>
      </c>
      <c r="V1580">
        <f>IF([2]Entry!$L$1583="","",[2]Entry!$L$1583)</f>
        <v/>
      </c>
      <c r="W1580">
        <f>IF([2]Entry!$M$1583="","",[2]Entry!$M$1583)</f>
        <v/>
      </c>
      <c r="X1580">
        <f>IF([2]Entry!$N$1583="","",[2]Entry!$N$1583)</f>
        <v/>
      </c>
      <c r="Y1580">
        <f>IF([2]Entry!$R$1583="","",[2]Entry!$R$1583)</f>
        <v/>
      </c>
    </row>
    <row r="1581">
      <c r="P1581">
        <f>IF([2]Entry!$C$1584="","",[2]Entry!$C$1584)</f>
        <v/>
      </c>
      <c r="Q1581">
        <f>IF([2]Entry!$D$1584="","",[2]Entry!$D$1584)</f>
        <v/>
      </c>
      <c r="R1581">
        <f>IF([2]Entry!$E$1584="","",[2]Entry!$E$1584)</f>
        <v/>
      </c>
      <c r="S1581">
        <f>IF([2]Entry!$G$1584="","",[2]Entry!$G$1584)</f>
        <v/>
      </c>
      <c r="T1581">
        <f>IF([2]Entry!$J$1584="","",[2]Entry!$J$1584)</f>
        <v/>
      </c>
      <c r="U1581">
        <f>IF([2]Entry!$K$1584="","",[2]Entry!$K$1584)</f>
        <v/>
      </c>
      <c r="V1581">
        <f>IF([2]Entry!$L$1584="","",[2]Entry!$L$1584)</f>
        <v/>
      </c>
      <c r="W1581">
        <f>IF([2]Entry!$M$1584="","",[2]Entry!$M$1584)</f>
        <v/>
      </c>
      <c r="X1581">
        <f>IF([2]Entry!$N$1584="","",[2]Entry!$N$1584)</f>
        <v/>
      </c>
      <c r="Y1581">
        <f>IF([2]Entry!$R$1584="","",[2]Entry!$R$1584)</f>
        <v/>
      </c>
    </row>
    <row r="1582">
      <c r="P1582">
        <f>IF([2]Entry!$C$1585="","",[2]Entry!$C$1585)</f>
        <v/>
      </c>
      <c r="Q1582">
        <f>IF([2]Entry!$D$1585="","",[2]Entry!$D$1585)</f>
        <v/>
      </c>
      <c r="R1582">
        <f>IF([2]Entry!$E$1585="","",[2]Entry!$E$1585)</f>
        <v/>
      </c>
      <c r="S1582">
        <f>IF([2]Entry!$G$1585="","",[2]Entry!$G$1585)</f>
        <v/>
      </c>
      <c r="T1582">
        <f>IF([2]Entry!$J$1585="","",[2]Entry!$J$1585)</f>
        <v/>
      </c>
      <c r="U1582">
        <f>IF([2]Entry!$K$1585="","",[2]Entry!$K$1585)</f>
        <v/>
      </c>
      <c r="V1582">
        <f>IF([2]Entry!$L$1585="","",[2]Entry!$L$1585)</f>
        <v/>
      </c>
      <c r="W1582">
        <f>IF([2]Entry!$M$1585="","",[2]Entry!$M$1585)</f>
        <v/>
      </c>
      <c r="X1582">
        <f>IF([2]Entry!$N$1585="","",[2]Entry!$N$1585)</f>
        <v/>
      </c>
      <c r="Y1582">
        <f>IF([2]Entry!$R$1585="","",[2]Entry!$R$1585)</f>
        <v/>
      </c>
    </row>
    <row r="1583">
      <c r="P1583">
        <f>IF([2]Entry!$C$1586="","",[2]Entry!$C$1586)</f>
        <v/>
      </c>
      <c r="Q1583">
        <f>IF([2]Entry!$D$1586="","",[2]Entry!$D$1586)</f>
        <v/>
      </c>
      <c r="R1583">
        <f>IF([2]Entry!$E$1586="","",[2]Entry!$E$1586)</f>
        <v/>
      </c>
      <c r="S1583">
        <f>IF([2]Entry!$G$1586="","",[2]Entry!$G$1586)</f>
        <v/>
      </c>
      <c r="T1583">
        <f>IF([2]Entry!$J$1586="","",[2]Entry!$J$1586)</f>
        <v/>
      </c>
      <c r="U1583">
        <f>IF([2]Entry!$K$1586="","",[2]Entry!$K$1586)</f>
        <v/>
      </c>
      <c r="V1583">
        <f>IF([2]Entry!$L$1586="","",[2]Entry!$L$1586)</f>
        <v/>
      </c>
      <c r="W1583">
        <f>IF([2]Entry!$M$1586="","",[2]Entry!$M$1586)</f>
        <v/>
      </c>
      <c r="X1583">
        <f>IF([2]Entry!$N$1586="","",[2]Entry!$N$1586)</f>
        <v/>
      </c>
      <c r="Y1583">
        <f>IF([2]Entry!$R$1586="","",[2]Entry!$R$1586)</f>
        <v/>
      </c>
    </row>
    <row r="1584">
      <c r="P1584">
        <f>IF([2]Entry!$C$1587="","",[2]Entry!$C$1587)</f>
        <v/>
      </c>
      <c r="Q1584">
        <f>IF([2]Entry!$D$1587="","",[2]Entry!$D$1587)</f>
        <v/>
      </c>
      <c r="R1584">
        <f>IF([2]Entry!$E$1587="","",[2]Entry!$E$1587)</f>
        <v/>
      </c>
      <c r="S1584">
        <f>IF([2]Entry!$G$1587="","",[2]Entry!$G$1587)</f>
        <v/>
      </c>
      <c r="T1584">
        <f>IF([2]Entry!$J$1587="","",[2]Entry!$J$1587)</f>
        <v/>
      </c>
      <c r="U1584">
        <f>IF([2]Entry!$K$1587="","",[2]Entry!$K$1587)</f>
        <v/>
      </c>
      <c r="V1584">
        <f>IF([2]Entry!$L$1587="","",[2]Entry!$L$1587)</f>
        <v/>
      </c>
      <c r="W1584">
        <f>IF([2]Entry!$M$1587="","",[2]Entry!$M$1587)</f>
        <v/>
      </c>
      <c r="X1584">
        <f>IF([2]Entry!$N$1587="","",[2]Entry!$N$1587)</f>
        <v/>
      </c>
      <c r="Y1584">
        <f>IF([2]Entry!$R$1587="","",[2]Entry!$R$1587)</f>
        <v/>
      </c>
    </row>
    <row r="1585">
      <c r="P1585">
        <f>IF([2]Entry!$C$1588="","",[2]Entry!$C$1588)</f>
        <v/>
      </c>
      <c r="Q1585">
        <f>IF([2]Entry!$D$1588="","",[2]Entry!$D$1588)</f>
        <v/>
      </c>
      <c r="R1585">
        <f>IF([2]Entry!$E$1588="","",[2]Entry!$E$1588)</f>
        <v/>
      </c>
      <c r="S1585">
        <f>IF([2]Entry!$G$1588="","",[2]Entry!$G$1588)</f>
        <v/>
      </c>
      <c r="T1585">
        <f>IF([2]Entry!$J$1588="","",[2]Entry!$J$1588)</f>
        <v/>
      </c>
      <c r="U1585">
        <f>IF([2]Entry!$K$1588="","",[2]Entry!$K$1588)</f>
        <v/>
      </c>
      <c r="V1585">
        <f>IF([2]Entry!$L$1588="","",[2]Entry!$L$1588)</f>
        <v/>
      </c>
      <c r="W1585">
        <f>IF([2]Entry!$M$1588="","",[2]Entry!$M$1588)</f>
        <v/>
      </c>
      <c r="X1585">
        <f>IF([2]Entry!$N$1588="","",[2]Entry!$N$1588)</f>
        <v/>
      </c>
      <c r="Y1585">
        <f>IF([2]Entry!$R$1588="","",[2]Entry!$R$1588)</f>
        <v/>
      </c>
    </row>
    <row r="1586">
      <c r="P1586">
        <f>IF([2]Entry!$C$1589="","",[2]Entry!$C$1589)</f>
        <v/>
      </c>
      <c r="Q1586">
        <f>IF([2]Entry!$D$1589="","",[2]Entry!$D$1589)</f>
        <v/>
      </c>
      <c r="R1586">
        <f>IF([2]Entry!$E$1589="","",[2]Entry!$E$1589)</f>
        <v/>
      </c>
      <c r="S1586">
        <f>IF([2]Entry!$G$1589="","",[2]Entry!$G$1589)</f>
        <v/>
      </c>
      <c r="T1586">
        <f>IF([2]Entry!$J$1589="","",[2]Entry!$J$1589)</f>
        <v/>
      </c>
      <c r="U1586">
        <f>IF([2]Entry!$K$1589="","",[2]Entry!$K$1589)</f>
        <v/>
      </c>
      <c r="V1586">
        <f>IF([2]Entry!$L$1589="","",[2]Entry!$L$1589)</f>
        <v/>
      </c>
      <c r="W1586">
        <f>IF([2]Entry!$M$1589="","",[2]Entry!$M$1589)</f>
        <v/>
      </c>
      <c r="X1586">
        <f>IF([2]Entry!$N$1589="","",[2]Entry!$N$1589)</f>
        <v/>
      </c>
      <c r="Y1586">
        <f>IF([2]Entry!$R$1589="","",[2]Entry!$R$1589)</f>
        <v/>
      </c>
    </row>
    <row r="1587">
      <c r="P1587">
        <f>IF([2]Entry!$C$1590="","",[2]Entry!$C$1590)</f>
        <v/>
      </c>
      <c r="Q1587">
        <f>IF([2]Entry!$D$1590="","",[2]Entry!$D$1590)</f>
        <v/>
      </c>
      <c r="R1587">
        <f>IF([2]Entry!$E$1590="","",[2]Entry!$E$1590)</f>
        <v/>
      </c>
      <c r="S1587">
        <f>IF([2]Entry!$G$1590="","",[2]Entry!$G$1590)</f>
        <v/>
      </c>
      <c r="T1587">
        <f>IF([2]Entry!$J$1590="","",[2]Entry!$J$1590)</f>
        <v/>
      </c>
      <c r="U1587">
        <f>IF([2]Entry!$K$1590="","",[2]Entry!$K$1590)</f>
        <v/>
      </c>
      <c r="V1587">
        <f>IF([2]Entry!$L$1590="","",[2]Entry!$L$1590)</f>
        <v/>
      </c>
      <c r="W1587">
        <f>IF([2]Entry!$M$1590="","",[2]Entry!$M$1590)</f>
        <v/>
      </c>
      <c r="X1587">
        <f>IF([2]Entry!$N$1590="","",[2]Entry!$N$1590)</f>
        <v/>
      </c>
      <c r="Y1587">
        <f>IF([2]Entry!$R$1590="","",[2]Entry!$R$1590)</f>
        <v/>
      </c>
    </row>
    <row r="1588">
      <c r="P1588">
        <f>IF([2]Entry!$C$1591="","",[2]Entry!$C$1591)</f>
        <v/>
      </c>
      <c r="Q1588">
        <f>IF([2]Entry!$D$1591="","",[2]Entry!$D$1591)</f>
        <v/>
      </c>
      <c r="R1588">
        <f>IF([2]Entry!$E$1591="","",[2]Entry!$E$1591)</f>
        <v/>
      </c>
      <c r="S1588">
        <f>IF([2]Entry!$G$1591="","",[2]Entry!$G$1591)</f>
        <v/>
      </c>
      <c r="T1588">
        <f>IF([2]Entry!$J$1591="","",[2]Entry!$J$1591)</f>
        <v/>
      </c>
      <c r="U1588">
        <f>IF([2]Entry!$K$1591="","",[2]Entry!$K$1591)</f>
        <v/>
      </c>
      <c r="V1588">
        <f>IF([2]Entry!$L$1591="","",[2]Entry!$L$1591)</f>
        <v/>
      </c>
      <c r="W1588">
        <f>IF([2]Entry!$M$1591="","",[2]Entry!$M$1591)</f>
        <v/>
      </c>
      <c r="X1588">
        <f>IF([2]Entry!$N$1591="","",[2]Entry!$N$1591)</f>
        <v/>
      </c>
      <c r="Y1588">
        <f>IF([2]Entry!$R$1591="","",[2]Entry!$R$1591)</f>
        <v/>
      </c>
    </row>
    <row r="1589">
      <c r="P1589">
        <f>IF([2]Entry!$C$1592="","",[2]Entry!$C$1592)</f>
        <v/>
      </c>
      <c r="Q1589">
        <f>IF([2]Entry!$D$1592="","",[2]Entry!$D$1592)</f>
        <v/>
      </c>
      <c r="R1589">
        <f>IF([2]Entry!$E$1592="","",[2]Entry!$E$1592)</f>
        <v/>
      </c>
      <c r="S1589">
        <f>IF([2]Entry!$G$1592="","",[2]Entry!$G$1592)</f>
        <v/>
      </c>
      <c r="T1589">
        <f>IF([2]Entry!$J$1592="","",[2]Entry!$J$1592)</f>
        <v/>
      </c>
      <c r="U1589">
        <f>IF([2]Entry!$K$1592="","",[2]Entry!$K$1592)</f>
        <v/>
      </c>
      <c r="V1589">
        <f>IF([2]Entry!$L$1592="","",[2]Entry!$L$1592)</f>
        <v/>
      </c>
      <c r="W1589">
        <f>IF([2]Entry!$M$1592="","",[2]Entry!$M$1592)</f>
        <v/>
      </c>
      <c r="X1589">
        <f>IF([2]Entry!$N$1592="","",[2]Entry!$N$1592)</f>
        <v/>
      </c>
      <c r="Y1589">
        <f>IF([2]Entry!$R$1592="","",[2]Entry!$R$1592)</f>
        <v/>
      </c>
    </row>
    <row r="1590">
      <c r="P1590">
        <f>IF([2]Entry!$C$1593="","",[2]Entry!$C$1593)</f>
        <v/>
      </c>
      <c r="Q1590">
        <f>IF([2]Entry!$D$1593="","",[2]Entry!$D$1593)</f>
        <v/>
      </c>
      <c r="R1590">
        <f>IF([2]Entry!$E$1593="","",[2]Entry!$E$1593)</f>
        <v/>
      </c>
      <c r="S1590">
        <f>IF([2]Entry!$G$1593="","",[2]Entry!$G$1593)</f>
        <v/>
      </c>
      <c r="T1590">
        <f>IF([2]Entry!$J$1593="","",[2]Entry!$J$1593)</f>
        <v/>
      </c>
      <c r="U1590">
        <f>IF([2]Entry!$K$1593="","",[2]Entry!$K$1593)</f>
        <v/>
      </c>
      <c r="V1590">
        <f>IF([2]Entry!$L$1593="","",[2]Entry!$L$1593)</f>
        <v/>
      </c>
      <c r="W1590">
        <f>IF([2]Entry!$M$1593="","",[2]Entry!$M$1593)</f>
        <v/>
      </c>
      <c r="X1590">
        <f>IF([2]Entry!$N$1593="","",[2]Entry!$N$1593)</f>
        <v/>
      </c>
      <c r="Y1590">
        <f>IF([2]Entry!$R$1593="","",[2]Entry!$R$1593)</f>
        <v/>
      </c>
    </row>
    <row r="1591">
      <c r="P1591">
        <f>IF([2]Entry!$C$1594="","",[2]Entry!$C$1594)</f>
        <v/>
      </c>
      <c r="Q1591">
        <f>IF([2]Entry!$D$1594="","",[2]Entry!$D$1594)</f>
        <v/>
      </c>
      <c r="R1591">
        <f>IF([2]Entry!$E$1594="","",[2]Entry!$E$1594)</f>
        <v/>
      </c>
      <c r="S1591">
        <f>IF([2]Entry!$G$1594="","",[2]Entry!$G$1594)</f>
        <v/>
      </c>
      <c r="T1591">
        <f>IF([2]Entry!$J$1594="","",[2]Entry!$J$1594)</f>
        <v/>
      </c>
      <c r="U1591">
        <f>IF([2]Entry!$K$1594="","",[2]Entry!$K$1594)</f>
        <v/>
      </c>
      <c r="V1591">
        <f>IF([2]Entry!$L$1594="","",[2]Entry!$L$1594)</f>
        <v/>
      </c>
      <c r="W1591">
        <f>IF([2]Entry!$M$1594="","",[2]Entry!$M$1594)</f>
        <v/>
      </c>
      <c r="X1591">
        <f>IF([2]Entry!$N$1594="","",[2]Entry!$N$1594)</f>
        <v/>
      </c>
      <c r="Y1591">
        <f>IF([2]Entry!$R$1594="","",[2]Entry!$R$1594)</f>
        <v/>
      </c>
    </row>
    <row r="1592">
      <c r="P1592">
        <f>IF([2]Entry!$C$1595="","",[2]Entry!$C$1595)</f>
        <v/>
      </c>
      <c r="Q1592">
        <f>IF([2]Entry!$D$1595="","",[2]Entry!$D$1595)</f>
        <v/>
      </c>
      <c r="R1592">
        <f>IF([2]Entry!$E$1595="","",[2]Entry!$E$1595)</f>
        <v/>
      </c>
      <c r="S1592">
        <f>IF([2]Entry!$G$1595="","",[2]Entry!$G$1595)</f>
        <v/>
      </c>
      <c r="T1592">
        <f>IF([2]Entry!$J$1595="","",[2]Entry!$J$1595)</f>
        <v/>
      </c>
      <c r="U1592">
        <f>IF([2]Entry!$K$1595="","",[2]Entry!$K$1595)</f>
        <v/>
      </c>
      <c r="V1592">
        <f>IF([2]Entry!$L$1595="","",[2]Entry!$L$1595)</f>
        <v/>
      </c>
      <c r="W1592">
        <f>IF([2]Entry!$M$1595="","",[2]Entry!$M$1595)</f>
        <v/>
      </c>
      <c r="X1592">
        <f>IF([2]Entry!$N$1595="","",[2]Entry!$N$1595)</f>
        <v/>
      </c>
      <c r="Y1592">
        <f>IF([2]Entry!$R$1595="","",[2]Entry!$R$1595)</f>
        <v/>
      </c>
    </row>
    <row r="1593">
      <c r="P1593">
        <f>IF([2]Entry!$C$1596="","",[2]Entry!$C$1596)</f>
        <v/>
      </c>
      <c r="Q1593">
        <f>IF([2]Entry!$D$1596="","",[2]Entry!$D$1596)</f>
        <v/>
      </c>
      <c r="R1593">
        <f>IF([2]Entry!$E$1596="","",[2]Entry!$E$1596)</f>
        <v/>
      </c>
      <c r="S1593">
        <f>IF([2]Entry!$G$1596="","",[2]Entry!$G$1596)</f>
        <v/>
      </c>
      <c r="T1593">
        <f>IF([2]Entry!$J$1596="","",[2]Entry!$J$1596)</f>
        <v/>
      </c>
      <c r="U1593">
        <f>IF([2]Entry!$K$1596="","",[2]Entry!$K$1596)</f>
        <v/>
      </c>
      <c r="V1593">
        <f>IF([2]Entry!$L$1596="","",[2]Entry!$L$1596)</f>
        <v/>
      </c>
      <c r="W1593">
        <f>IF([2]Entry!$M$1596="","",[2]Entry!$M$1596)</f>
        <v/>
      </c>
      <c r="X1593">
        <f>IF([2]Entry!$N$1596="","",[2]Entry!$N$1596)</f>
        <v/>
      </c>
      <c r="Y1593">
        <f>IF([2]Entry!$R$1596="","",[2]Entry!$R$1596)</f>
        <v/>
      </c>
    </row>
    <row r="1594">
      <c r="P1594">
        <f>IF([2]Entry!$C$1597="","",[2]Entry!$C$1597)</f>
        <v/>
      </c>
      <c r="Q1594">
        <f>IF([2]Entry!$D$1597="","",[2]Entry!$D$1597)</f>
        <v/>
      </c>
      <c r="R1594">
        <f>IF([2]Entry!$E$1597="","",[2]Entry!$E$1597)</f>
        <v/>
      </c>
      <c r="S1594">
        <f>IF([2]Entry!$G$1597="","",[2]Entry!$G$1597)</f>
        <v/>
      </c>
      <c r="T1594">
        <f>IF([2]Entry!$J$1597="","",[2]Entry!$J$1597)</f>
        <v/>
      </c>
      <c r="U1594">
        <f>IF([2]Entry!$K$1597="","",[2]Entry!$K$1597)</f>
        <v/>
      </c>
      <c r="V1594">
        <f>IF([2]Entry!$L$1597="","",[2]Entry!$L$1597)</f>
        <v/>
      </c>
      <c r="W1594">
        <f>IF([2]Entry!$M$1597="","",[2]Entry!$M$1597)</f>
        <v/>
      </c>
      <c r="X1594">
        <f>IF([2]Entry!$N$1597="","",[2]Entry!$N$1597)</f>
        <v/>
      </c>
      <c r="Y1594">
        <f>IF([2]Entry!$R$1597="","",[2]Entry!$R$1597)</f>
        <v/>
      </c>
    </row>
    <row r="1595">
      <c r="P1595">
        <f>IF([2]Entry!$C$1598="","",[2]Entry!$C$1598)</f>
        <v/>
      </c>
      <c r="Q1595">
        <f>IF([2]Entry!$D$1598="","",[2]Entry!$D$1598)</f>
        <v/>
      </c>
      <c r="R1595">
        <f>IF([2]Entry!$E$1598="","",[2]Entry!$E$1598)</f>
        <v/>
      </c>
      <c r="S1595">
        <f>IF([2]Entry!$G$1598="","",[2]Entry!$G$1598)</f>
        <v/>
      </c>
      <c r="T1595">
        <f>IF([2]Entry!$J$1598="","",[2]Entry!$J$1598)</f>
        <v/>
      </c>
      <c r="U1595">
        <f>IF([2]Entry!$K$1598="","",[2]Entry!$K$1598)</f>
        <v/>
      </c>
      <c r="V1595">
        <f>IF([2]Entry!$L$1598="","",[2]Entry!$L$1598)</f>
        <v/>
      </c>
      <c r="W1595">
        <f>IF([2]Entry!$M$1598="","",[2]Entry!$M$1598)</f>
        <v/>
      </c>
      <c r="X1595">
        <f>IF([2]Entry!$N$1598="","",[2]Entry!$N$1598)</f>
        <v/>
      </c>
      <c r="Y1595">
        <f>IF([2]Entry!$R$1598="","",[2]Entry!$R$1598)</f>
        <v/>
      </c>
    </row>
    <row r="1596">
      <c r="P1596">
        <f>IF([2]Entry!$C$1599="","",[2]Entry!$C$1599)</f>
        <v/>
      </c>
      <c r="Q1596">
        <f>IF([2]Entry!$D$1599="","",[2]Entry!$D$1599)</f>
        <v/>
      </c>
      <c r="R1596">
        <f>IF([2]Entry!$E$1599="","",[2]Entry!$E$1599)</f>
        <v/>
      </c>
      <c r="S1596">
        <f>IF([2]Entry!$G$1599="","",[2]Entry!$G$1599)</f>
        <v/>
      </c>
      <c r="T1596">
        <f>IF([2]Entry!$J$1599="","",[2]Entry!$J$1599)</f>
        <v/>
      </c>
      <c r="U1596">
        <f>IF([2]Entry!$K$1599="","",[2]Entry!$K$1599)</f>
        <v/>
      </c>
      <c r="V1596">
        <f>IF([2]Entry!$L$1599="","",[2]Entry!$L$1599)</f>
        <v/>
      </c>
      <c r="W1596">
        <f>IF([2]Entry!$M$1599="","",[2]Entry!$M$1599)</f>
        <v/>
      </c>
      <c r="X1596">
        <f>IF([2]Entry!$N$1599="","",[2]Entry!$N$1599)</f>
        <v/>
      </c>
      <c r="Y1596">
        <f>IF([2]Entry!$R$1599="","",[2]Entry!$R$1599)</f>
        <v/>
      </c>
    </row>
    <row r="1597">
      <c r="P1597">
        <f>IF([2]Entry!$C$1600="","",[2]Entry!$C$1600)</f>
        <v/>
      </c>
      <c r="Q1597">
        <f>IF([2]Entry!$D$1600="","",[2]Entry!$D$1600)</f>
        <v/>
      </c>
      <c r="R1597">
        <f>IF([2]Entry!$E$1600="","",[2]Entry!$E$1600)</f>
        <v/>
      </c>
      <c r="S1597">
        <f>IF([2]Entry!$G$1600="","",[2]Entry!$G$1600)</f>
        <v/>
      </c>
      <c r="T1597">
        <f>IF([2]Entry!$J$1600="","",[2]Entry!$J$1600)</f>
        <v/>
      </c>
      <c r="U1597">
        <f>IF([2]Entry!$K$1600="","",[2]Entry!$K$1600)</f>
        <v/>
      </c>
      <c r="V1597">
        <f>IF([2]Entry!$L$1600="","",[2]Entry!$L$1600)</f>
        <v/>
      </c>
      <c r="W1597">
        <f>IF([2]Entry!$M$1600="","",[2]Entry!$M$1600)</f>
        <v/>
      </c>
      <c r="X1597">
        <f>IF([2]Entry!$N$1600="","",[2]Entry!$N$1600)</f>
        <v/>
      </c>
      <c r="Y1597">
        <f>IF([2]Entry!$R$1600="","",[2]Entry!$R$1600)</f>
        <v/>
      </c>
    </row>
    <row r="1598">
      <c r="P1598">
        <f>IF([2]Entry!$C$1601="","",[2]Entry!$C$1601)</f>
        <v/>
      </c>
      <c r="Q1598">
        <f>IF([2]Entry!$D$1601="","",[2]Entry!$D$1601)</f>
        <v/>
      </c>
      <c r="R1598">
        <f>IF([2]Entry!$E$1601="","",[2]Entry!$E$1601)</f>
        <v/>
      </c>
      <c r="S1598">
        <f>IF([2]Entry!$G$1601="","",[2]Entry!$G$1601)</f>
        <v/>
      </c>
      <c r="T1598">
        <f>IF([2]Entry!$J$1601="","",[2]Entry!$J$1601)</f>
        <v/>
      </c>
      <c r="U1598">
        <f>IF([2]Entry!$K$1601="","",[2]Entry!$K$1601)</f>
        <v/>
      </c>
      <c r="V1598">
        <f>IF([2]Entry!$L$1601="","",[2]Entry!$L$1601)</f>
        <v/>
      </c>
      <c r="W1598">
        <f>IF([2]Entry!$M$1601="","",[2]Entry!$M$1601)</f>
        <v/>
      </c>
      <c r="X1598">
        <f>IF([2]Entry!$N$1601="","",[2]Entry!$N$1601)</f>
        <v/>
      </c>
      <c r="Y1598">
        <f>IF([2]Entry!$R$1601="","",[2]Entry!$R$1601)</f>
        <v/>
      </c>
    </row>
    <row r="1599">
      <c r="P1599">
        <f>IF([2]Entry!$C$1602="","",[2]Entry!$C$1602)</f>
        <v/>
      </c>
      <c r="Q1599">
        <f>IF([2]Entry!$D$1602="","",[2]Entry!$D$1602)</f>
        <v/>
      </c>
      <c r="R1599">
        <f>IF([2]Entry!$E$1602="","",[2]Entry!$E$1602)</f>
        <v/>
      </c>
      <c r="S1599">
        <f>IF([2]Entry!$G$1602="","",[2]Entry!$G$1602)</f>
        <v/>
      </c>
      <c r="T1599">
        <f>IF([2]Entry!$J$1602="","",[2]Entry!$J$1602)</f>
        <v/>
      </c>
      <c r="U1599">
        <f>IF([2]Entry!$K$1602="","",[2]Entry!$K$1602)</f>
        <v/>
      </c>
      <c r="V1599">
        <f>IF([2]Entry!$L$1602="","",[2]Entry!$L$1602)</f>
        <v/>
      </c>
      <c r="W1599">
        <f>IF([2]Entry!$M$1602="","",[2]Entry!$M$1602)</f>
        <v/>
      </c>
      <c r="X1599">
        <f>IF([2]Entry!$N$1602="","",[2]Entry!$N$1602)</f>
        <v/>
      </c>
      <c r="Y1599">
        <f>IF([2]Entry!$R$1602="","",[2]Entry!$R$1602)</f>
        <v/>
      </c>
    </row>
    <row r="1600">
      <c r="P1600">
        <f>IF([2]Entry!$C$1603="","",[2]Entry!$C$1603)</f>
        <v/>
      </c>
      <c r="Q1600">
        <f>IF([2]Entry!$D$1603="","",[2]Entry!$D$1603)</f>
        <v/>
      </c>
      <c r="R1600">
        <f>IF([2]Entry!$E$1603="","",[2]Entry!$E$1603)</f>
        <v/>
      </c>
      <c r="S1600">
        <f>IF([2]Entry!$G$1603="","",[2]Entry!$G$1603)</f>
        <v/>
      </c>
      <c r="T1600">
        <f>IF([2]Entry!$J$1603="","",[2]Entry!$J$1603)</f>
        <v/>
      </c>
      <c r="U1600">
        <f>IF([2]Entry!$K$1603="","",[2]Entry!$K$1603)</f>
        <v/>
      </c>
      <c r="V1600">
        <f>IF([2]Entry!$L$1603="","",[2]Entry!$L$1603)</f>
        <v/>
      </c>
      <c r="W1600">
        <f>IF([2]Entry!$M$1603="","",[2]Entry!$M$1603)</f>
        <v/>
      </c>
      <c r="X1600">
        <f>IF([2]Entry!$N$1603="","",[2]Entry!$N$1603)</f>
        <v/>
      </c>
      <c r="Y1600">
        <f>IF([2]Entry!$R$1603="","",[2]Entry!$R$1603)</f>
        <v/>
      </c>
    </row>
    <row r="1601">
      <c r="P1601">
        <f>IF([2]Entry!$C$1604="","",[2]Entry!$C$1604)</f>
        <v/>
      </c>
      <c r="Q1601">
        <f>IF([2]Entry!$D$1604="","",[2]Entry!$D$1604)</f>
        <v/>
      </c>
      <c r="R1601">
        <f>IF([2]Entry!$E$1604="","",[2]Entry!$E$1604)</f>
        <v/>
      </c>
      <c r="S1601">
        <f>IF([2]Entry!$G$1604="","",[2]Entry!$G$1604)</f>
        <v/>
      </c>
      <c r="T1601">
        <f>IF([2]Entry!$J$1604="","",[2]Entry!$J$1604)</f>
        <v/>
      </c>
      <c r="U1601">
        <f>IF([2]Entry!$K$1604="","",[2]Entry!$K$1604)</f>
        <v/>
      </c>
      <c r="V1601">
        <f>IF([2]Entry!$L$1604="","",[2]Entry!$L$1604)</f>
        <v/>
      </c>
      <c r="W1601">
        <f>IF([2]Entry!$M$1604="","",[2]Entry!$M$1604)</f>
        <v/>
      </c>
      <c r="X1601">
        <f>IF([2]Entry!$N$1604="","",[2]Entry!$N$1604)</f>
        <v/>
      </c>
      <c r="Y1601">
        <f>IF([2]Entry!$R$1604="","",[2]Entry!$R$1604)</f>
        <v/>
      </c>
    </row>
    <row r="1602">
      <c r="P1602">
        <f>IF([2]Entry!$C$1605="","",[2]Entry!$C$1605)</f>
        <v/>
      </c>
      <c r="Q1602">
        <f>IF([2]Entry!$D$1605="","",[2]Entry!$D$1605)</f>
        <v/>
      </c>
      <c r="R1602">
        <f>IF([2]Entry!$E$1605="","",[2]Entry!$E$1605)</f>
        <v/>
      </c>
      <c r="S1602">
        <f>IF([2]Entry!$G$1605="","",[2]Entry!$G$1605)</f>
        <v/>
      </c>
      <c r="T1602">
        <f>IF([2]Entry!$J$1605="","",[2]Entry!$J$1605)</f>
        <v/>
      </c>
      <c r="U1602">
        <f>IF([2]Entry!$K$1605="","",[2]Entry!$K$1605)</f>
        <v/>
      </c>
      <c r="V1602">
        <f>IF([2]Entry!$L$1605="","",[2]Entry!$L$1605)</f>
        <v/>
      </c>
      <c r="W1602">
        <f>IF([2]Entry!$M$1605="","",[2]Entry!$M$1605)</f>
        <v/>
      </c>
      <c r="X1602">
        <f>IF([2]Entry!$N$1605="","",[2]Entry!$N$1605)</f>
        <v/>
      </c>
      <c r="Y1602">
        <f>IF([2]Entry!$R$1605="","",[2]Entry!$R$1605)</f>
        <v/>
      </c>
    </row>
    <row r="1603">
      <c r="P1603">
        <f>IF([2]Entry!$C$1606="","",[2]Entry!$C$1606)</f>
        <v/>
      </c>
      <c r="Q1603">
        <f>IF([2]Entry!$D$1606="","",[2]Entry!$D$1606)</f>
        <v/>
      </c>
      <c r="R1603">
        <f>IF([2]Entry!$E$1606="","",[2]Entry!$E$1606)</f>
        <v/>
      </c>
      <c r="S1603">
        <f>IF([2]Entry!$G$1606="","",[2]Entry!$G$1606)</f>
        <v/>
      </c>
      <c r="T1603">
        <f>IF([2]Entry!$J$1606="","",[2]Entry!$J$1606)</f>
        <v/>
      </c>
      <c r="U1603">
        <f>IF([2]Entry!$K$1606="","",[2]Entry!$K$1606)</f>
        <v/>
      </c>
      <c r="V1603">
        <f>IF([2]Entry!$L$1606="","",[2]Entry!$L$1606)</f>
        <v/>
      </c>
      <c r="W1603">
        <f>IF([2]Entry!$M$1606="","",[2]Entry!$M$1606)</f>
        <v/>
      </c>
      <c r="X1603">
        <f>IF([2]Entry!$N$1606="","",[2]Entry!$N$1606)</f>
        <v/>
      </c>
      <c r="Y1603">
        <f>IF([2]Entry!$R$1606="","",[2]Entry!$R$1606)</f>
        <v/>
      </c>
    </row>
    <row r="1604">
      <c r="P1604">
        <f>IF([2]Entry!$C$1607="","",[2]Entry!$C$1607)</f>
        <v/>
      </c>
      <c r="Q1604">
        <f>IF([2]Entry!$D$1607="","",[2]Entry!$D$1607)</f>
        <v/>
      </c>
      <c r="R1604">
        <f>IF([2]Entry!$E$1607="","",[2]Entry!$E$1607)</f>
        <v/>
      </c>
      <c r="S1604">
        <f>IF([2]Entry!$G$1607="","",[2]Entry!$G$1607)</f>
        <v/>
      </c>
      <c r="T1604">
        <f>IF([2]Entry!$J$1607="","",[2]Entry!$J$1607)</f>
        <v/>
      </c>
      <c r="U1604">
        <f>IF([2]Entry!$K$1607="","",[2]Entry!$K$1607)</f>
        <v/>
      </c>
      <c r="V1604">
        <f>IF([2]Entry!$L$1607="","",[2]Entry!$L$1607)</f>
        <v/>
      </c>
      <c r="W1604">
        <f>IF([2]Entry!$M$1607="","",[2]Entry!$M$1607)</f>
        <v/>
      </c>
      <c r="X1604">
        <f>IF([2]Entry!$N$1607="","",[2]Entry!$N$1607)</f>
        <v/>
      </c>
      <c r="Y1604">
        <f>IF([2]Entry!$R$1607="","",[2]Entry!$R$1607)</f>
        <v/>
      </c>
    </row>
    <row r="1605">
      <c r="P1605">
        <f>IF([2]Entry!$C$1608="","",[2]Entry!$C$1608)</f>
        <v/>
      </c>
      <c r="Q1605">
        <f>IF([2]Entry!$D$1608="","",[2]Entry!$D$1608)</f>
        <v/>
      </c>
      <c r="R1605">
        <f>IF([2]Entry!$E$1608="","",[2]Entry!$E$1608)</f>
        <v/>
      </c>
      <c r="S1605">
        <f>IF([2]Entry!$G$1608="","",[2]Entry!$G$1608)</f>
        <v/>
      </c>
      <c r="T1605">
        <f>IF([2]Entry!$J$1608="","",[2]Entry!$J$1608)</f>
        <v/>
      </c>
      <c r="U1605">
        <f>IF([2]Entry!$K$1608="","",[2]Entry!$K$1608)</f>
        <v/>
      </c>
      <c r="V1605">
        <f>IF([2]Entry!$L$1608="","",[2]Entry!$L$1608)</f>
        <v/>
      </c>
      <c r="W1605">
        <f>IF([2]Entry!$M$1608="","",[2]Entry!$M$1608)</f>
        <v/>
      </c>
      <c r="X1605">
        <f>IF([2]Entry!$N$1608="","",[2]Entry!$N$1608)</f>
        <v/>
      </c>
      <c r="Y1605">
        <f>IF([2]Entry!$R$1608="","",[2]Entry!$R$1608)</f>
        <v/>
      </c>
    </row>
    <row r="1606">
      <c r="P1606">
        <f>IF([2]Entry!$C$1609="","",[2]Entry!$C$1609)</f>
        <v/>
      </c>
      <c r="Q1606">
        <f>IF([2]Entry!$D$1609="","",[2]Entry!$D$1609)</f>
        <v/>
      </c>
      <c r="R1606">
        <f>IF([2]Entry!$E$1609="","",[2]Entry!$E$1609)</f>
        <v/>
      </c>
      <c r="S1606">
        <f>IF([2]Entry!$G$1609="","",[2]Entry!$G$1609)</f>
        <v/>
      </c>
      <c r="T1606">
        <f>IF([2]Entry!$J$1609="","",[2]Entry!$J$1609)</f>
        <v/>
      </c>
      <c r="U1606">
        <f>IF([2]Entry!$K$1609="","",[2]Entry!$K$1609)</f>
        <v/>
      </c>
      <c r="V1606">
        <f>IF([2]Entry!$L$1609="","",[2]Entry!$L$1609)</f>
        <v/>
      </c>
      <c r="W1606">
        <f>IF([2]Entry!$M$1609="","",[2]Entry!$M$1609)</f>
        <v/>
      </c>
      <c r="X1606">
        <f>IF([2]Entry!$N$1609="","",[2]Entry!$N$1609)</f>
        <v/>
      </c>
      <c r="Y1606">
        <f>IF([2]Entry!$R$1609="","",[2]Entry!$R$1609)</f>
        <v/>
      </c>
    </row>
    <row r="1607">
      <c r="P1607">
        <f>IF([2]Entry!$C$1610="","",[2]Entry!$C$1610)</f>
        <v/>
      </c>
      <c r="Q1607">
        <f>IF([2]Entry!$D$1610="","",[2]Entry!$D$1610)</f>
        <v/>
      </c>
      <c r="R1607">
        <f>IF([2]Entry!$E$1610="","",[2]Entry!$E$1610)</f>
        <v/>
      </c>
      <c r="S1607">
        <f>IF([2]Entry!$G$1610="","",[2]Entry!$G$1610)</f>
        <v/>
      </c>
      <c r="T1607">
        <f>IF([2]Entry!$J$1610="","",[2]Entry!$J$1610)</f>
        <v/>
      </c>
      <c r="U1607">
        <f>IF([2]Entry!$K$1610="","",[2]Entry!$K$1610)</f>
        <v/>
      </c>
      <c r="V1607">
        <f>IF([2]Entry!$L$1610="","",[2]Entry!$L$1610)</f>
        <v/>
      </c>
      <c r="W1607">
        <f>IF([2]Entry!$M$1610="","",[2]Entry!$M$1610)</f>
        <v/>
      </c>
      <c r="X1607">
        <f>IF([2]Entry!$N$1610="","",[2]Entry!$N$1610)</f>
        <v/>
      </c>
      <c r="Y1607">
        <f>IF([2]Entry!$R$1610="","",[2]Entry!$R$1610)</f>
        <v/>
      </c>
    </row>
    <row r="1608">
      <c r="P1608">
        <f>IF([2]Entry!$C$1611="","",[2]Entry!$C$1611)</f>
        <v/>
      </c>
      <c r="Q1608">
        <f>IF([2]Entry!$D$1611="","",[2]Entry!$D$1611)</f>
        <v/>
      </c>
      <c r="R1608">
        <f>IF([2]Entry!$E$1611="","",[2]Entry!$E$1611)</f>
        <v/>
      </c>
      <c r="S1608">
        <f>IF([2]Entry!$G$1611="","",[2]Entry!$G$1611)</f>
        <v/>
      </c>
      <c r="T1608">
        <f>IF([2]Entry!$J$1611="","",[2]Entry!$J$1611)</f>
        <v/>
      </c>
      <c r="U1608">
        <f>IF([2]Entry!$K$1611="","",[2]Entry!$K$1611)</f>
        <v/>
      </c>
      <c r="V1608">
        <f>IF([2]Entry!$L$1611="","",[2]Entry!$L$1611)</f>
        <v/>
      </c>
      <c r="W1608">
        <f>IF([2]Entry!$M$1611="","",[2]Entry!$M$1611)</f>
        <v/>
      </c>
      <c r="X1608">
        <f>IF([2]Entry!$N$1611="","",[2]Entry!$N$1611)</f>
        <v/>
      </c>
      <c r="Y1608">
        <f>IF([2]Entry!$R$1611="","",[2]Entry!$R$1611)</f>
        <v/>
      </c>
    </row>
    <row r="1609">
      <c r="P1609">
        <f>IF([2]Entry!$C$1612="","",[2]Entry!$C$1612)</f>
        <v/>
      </c>
      <c r="Q1609">
        <f>IF([2]Entry!$D$1612="","",[2]Entry!$D$1612)</f>
        <v/>
      </c>
      <c r="R1609">
        <f>IF([2]Entry!$E$1612="","",[2]Entry!$E$1612)</f>
        <v/>
      </c>
      <c r="S1609">
        <f>IF([2]Entry!$G$1612="","",[2]Entry!$G$1612)</f>
        <v/>
      </c>
      <c r="T1609">
        <f>IF([2]Entry!$J$1612="","",[2]Entry!$J$1612)</f>
        <v/>
      </c>
      <c r="U1609">
        <f>IF([2]Entry!$K$1612="","",[2]Entry!$K$1612)</f>
        <v/>
      </c>
      <c r="V1609">
        <f>IF([2]Entry!$L$1612="","",[2]Entry!$L$1612)</f>
        <v/>
      </c>
      <c r="W1609">
        <f>IF([2]Entry!$M$1612="","",[2]Entry!$M$1612)</f>
        <v/>
      </c>
      <c r="X1609">
        <f>IF([2]Entry!$N$1612="","",[2]Entry!$N$1612)</f>
        <v/>
      </c>
      <c r="Y1609">
        <f>IF([2]Entry!$R$1612="","",[2]Entry!$R$1612)</f>
        <v/>
      </c>
    </row>
    <row r="1610">
      <c r="P1610">
        <f>IF([2]Entry!$C$1613="","",[2]Entry!$C$1613)</f>
        <v/>
      </c>
      <c r="Q1610">
        <f>IF([2]Entry!$D$1613="","",[2]Entry!$D$1613)</f>
        <v/>
      </c>
      <c r="R1610">
        <f>IF([2]Entry!$E$1613="","",[2]Entry!$E$1613)</f>
        <v/>
      </c>
      <c r="S1610">
        <f>IF([2]Entry!$G$1613="","",[2]Entry!$G$1613)</f>
        <v/>
      </c>
      <c r="T1610">
        <f>IF([2]Entry!$J$1613="","",[2]Entry!$J$1613)</f>
        <v/>
      </c>
      <c r="U1610">
        <f>IF([2]Entry!$K$1613="","",[2]Entry!$K$1613)</f>
        <v/>
      </c>
      <c r="V1610">
        <f>IF([2]Entry!$L$1613="","",[2]Entry!$L$1613)</f>
        <v/>
      </c>
      <c r="W1610">
        <f>IF([2]Entry!$M$1613="","",[2]Entry!$M$1613)</f>
        <v/>
      </c>
      <c r="X1610">
        <f>IF([2]Entry!$N$1613="","",[2]Entry!$N$1613)</f>
        <v/>
      </c>
      <c r="Y1610">
        <f>IF([2]Entry!$R$1613="","",[2]Entry!$R$1613)</f>
        <v/>
      </c>
    </row>
    <row r="1611">
      <c r="P1611">
        <f>IF([2]Entry!$C$1614="","",[2]Entry!$C$1614)</f>
        <v/>
      </c>
      <c r="Q1611">
        <f>IF([2]Entry!$D$1614="","",[2]Entry!$D$1614)</f>
        <v/>
      </c>
      <c r="R1611">
        <f>IF([2]Entry!$E$1614="","",[2]Entry!$E$1614)</f>
        <v/>
      </c>
      <c r="S1611">
        <f>IF([2]Entry!$G$1614="","",[2]Entry!$G$1614)</f>
        <v/>
      </c>
      <c r="T1611">
        <f>IF([2]Entry!$J$1614="","",[2]Entry!$J$1614)</f>
        <v/>
      </c>
      <c r="U1611">
        <f>IF([2]Entry!$K$1614="","",[2]Entry!$K$1614)</f>
        <v/>
      </c>
      <c r="V1611">
        <f>IF([2]Entry!$L$1614="","",[2]Entry!$L$1614)</f>
        <v/>
      </c>
      <c r="W1611">
        <f>IF([2]Entry!$M$1614="","",[2]Entry!$M$1614)</f>
        <v/>
      </c>
      <c r="X1611">
        <f>IF([2]Entry!$N$1614="","",[2]Entry!$N$1614)</f>
        <v/>
      </c>
      <c r="Y1611">
        <f>IF([2]Entry!$R$1614="","",[2]Entry!$R$1614)</f>
        <v/>
      </c>
    </row>
    <row r="1612">
      <c r="P1612">
        <f>IF([2]Entry!$C$1615="","",[2]Entry!$C$1615)</f>
        <v/>
      </c>
      <c r="Q1612">
        <f>IF([2]Entry!$D$1615="","",[2]Entry!$D$1615)</f>
        <v/>
      </c>
      <c r="R1612">
        <f>IF([2]Entry!$E$1615="","",[2]Entry!$E$1615)</f>
        <v/>
      </c>
      <c r="S1612">
        <f>IF([2]Entry!$G$1615="","",[2]Entry!$G$1615)</f>
        <v/>
      </c>
      <c r="T1612">
        <f>IF([2]Entry!$J$1615="","",[2]Entry!$J$1615)</f>
        <v/>
      </c>
      <c r="U1612">
        <f>IF([2]Entry!$K$1615="","",[2]Entry!$K$1615)</f>
        <v/>
      </c>
      <c r="V1612">
        <f>IF([2]Entry!$L$1615="","",[2]Entry!$L$1615)</f>
        <v/>
      </c>
      <c r="W1612">
        <f>IF([2]Entry!$M$1615="","",[2]Entry!$M$1615)</f>
        <v/>
      </c>
      <c r="X1612">
        <f>IF([2]Entry!$N$1615="","",[2]Entry!$N$1615)</f>
        <v/>
      </c>
      <c r="Y1612">
        <f>IF([2]Entry!$R$1615="","",[2]Entry!$R$1615)</f>
        <v/>
      </c>
    </row>
    <row r="1613">
      <c r="P1613">
        <f>IF([2]Entry!$C$1616="","",[2]Entry!$C$1616)</f>
        <v/>
      </c>
      <c r="Q1613">
        <f>IF([2]Entry!$D$1616="","",[2]Entry!$D$1616)</f>
        <v/>
      </c>
      <c r="R1613">
        <f>IF([2]Entry!$E$1616="","",[2]Entry!$E$1616)</f>
        <v/>
      </c>
      <c r="S1613">
        <f>IF([2]Entry!$G$1616="","",[2]Entry!$G$1616)</f>
        <v/>
      </c>
      <c r="T1613">
        <f>IF([2]Entry!$J$1616="","",[2]Entry!$J$1616)</f>
        <v/>
      </c>
      <c r="U1613">
        <f>IF([2]Entry!$K$1616="","",[2]Entry!$K$1616)</f>
        <v/>
      </c>
      <c r="V1613">
        <f>IF([2]Entry!$L$1616="","",[2]Entry!$L$1616)</f>
        <v/>
      </c>
      <c r="W1613">
        <f>IF([2]Entry!$M$1616="","",[2]Entry!$M$1616)</f>
        <v/>
      </c>
      <c r="X1613">
        <f>IF([2]Entry!$N$1616="","",[2]Entry!$N$1616)</f>
        <v/>
      </c>
      <c r="Y1613">
        <f>IF([2]Entry!$R$1616="","",[2]Entry!$R$1616)</f>
        <v/>
      </c>
    </row>
    <row r="1614">
      <c r="P1614">
        <f>IF([2]Entry!$C$1617="","",[2]Entry!$C$1617)</f>
        <v/>
      </c>
      <c r="Q1614">
        <f>IF([2]Entry!$D$1617="","",[2]Entry!$D$1617)</f>
        <v/>
      </c>
      <c r="R1614">
        <f>IF([2]Entry!$E$1617="","",[2]Entry!$E$1617)</f>
        <v/>
      </c>
      <c r="S1614">
        <f>IF([2]Entry!$G$1617="","",[2]Entry!$G$1617)</f>
        <v/>
      </c>
      <c r="T1614">
        <f>IF([2]Entry!$J$1617="","",[2]Entry!$J$1617)</f>
        <v/>
      </c>
      <c r="U1614">
        <f>IF([2]Entry!$K$1617="","",[2]Entry!$K$1617)</f>
        <v/>
      </c>
      <c r="V1614">
        <f>IF([2]Entry!$L$1617="","",[2]Entry!$L$1617)</f>
        <v/>
      </c>
      <c r="W1614">
        <f>IF([2]Entry!$M$1617="","",[2]Entry!$M$1617)</f>
        <v/>
      </c>
      <c r="X1614">
        <f>IF([2]Entry!$N$1617="","",[2]Entry!$N$1617)</f>
        <v/>
      </c>
      <c r="Y1614">
        <f>IF([2]Entry!$R$1617="","",[2]Entry!$R$1617)</f>
        <v/>
      </c>
    </row>
    <row r="1615">
      <c r="P1615">
        <f>IF([2]Entry!$C$1618="","",[2]Entry!$C$1618)</f>
        <v/>
      </c>
      <c r="Q1615">
        <f>IF([2]Entry!$D$1618="","",[2]Entry!$D$1618)</f>
        <v/>
      </c>
      <c r="R1615">
        <f>IF([2]Entry!$E$1618="","",[2]Entry!$E$1618)</f>
        <v/>
      </c>
      <c r="S1615">
        <f>IF([2]Entry!$G$1618="","",[2]Entry!$G$1618)</f>
        <v/>
      </c>
      <c r="T1615">
        <f>IF([2]Entry!$J$1618="","",[2]Entry!$J$1618)</f>
        <v/>
      </c>
      <c r="U1615">
        <f>IF([2]Entry!$K$1618="","",[2]Entry!$K$1618)</f>
        <v/>
      </c>
      <c r="V1615">
        <f>IF([2]Entry!$L$1618="","",[2]Entry!$L$1618)</f>
        <v/>
      </c>
      <c r="W1615">
        <f>IF([2]Entry!$M$1618="","",[2]Entry!$M$1618)</f>
        <v/>
      </c>
      <c r="X1615">
        <f>IF([2]Entry!$N$1618="","",[2]Entry!$N$1618)</f>
        <v/>
      </c>
      <c r="Y1615">
        <f>IF([2]Entry!$R$1618="","",[2]Entry!$R$1618)</f>
        <v/>
      </c>
    </row>
    <row r="1616">
      <c r="P1616">
        <f>IF([2]Entry!$C$1619="","",[2]Entry!$C$1619)</f>
        <v/>
      </c>
      <c r="Q1616">
        <f>IF([2]Entry!$D$1619="","",[2]Entry!$D$1619)</f>
        <v/>
      </c>
      <c r="R1616">
        <f>IF([2]Entry!$E$1619="","",[2]Entry!$E$1619)</f>
        <v/>
      </c>
      <c r="S1616">
        <f>IF([2]Entry!$G$1619="","",[2]Entry!$G$1619)</f>
        <v/>
      </c>
      <c r="T1616">
        <f>IF([2]Entry!$J$1619="","",[2]Entry!$J$1619)</f>
        <v/>
      </c>
      <c r="U1616">
        <f>IF([2]Entry!$K$1619="","",[2]Entry!$K$1619)</f>
        <v/>
      </c>
      <c r="V1616">
        <f>IF([2]Entry!$L$1619="","",[2]Entry!$L$1619)</f>
        <v/>
      </c>
      <c r="W1616">
        <f>IF([2]Entry!$M$1619="","",[2]Entry!$M$1619)</f>
        <v/>
      </c>
      <c r="X1616">
        <f>IF([2]Entry!$N$1619="","",[2]Entry!$N$1619)</f>
        <v/>
      </c>
      <c r="Y1616">
        <f>IF([2]Entry!$R$1619="","",[2]Entry!$R$1619)</f>
        <v/>
      </c>
    </row>
    <row r="1617">
      <c r="P1617">
        <f>IF([2]Entry!$C$1620="","",[2]Entry!$C$1620)</f>
        <v/>
      </c>
      <c r="Q1617">
        <f>IF([2]Entry!$D$1620="","",[2]Entry!$D$1620)</f>
        <v/>
      </c>
      <c r="R1617">
        <f>IF([2]Entry!$E$1620="","",[2]Entry!$E$1620)</f>
        <v/>
      </c>
      <c r="S1617">
        <f>IF([2]Entry!$G$1620="","",[2]Entry!$G$1620)</f>
        <v/>
      </c>
      <c r="T1617">
        <f>IF([2]Entry!$J$1620="","",[2]Entry!$J$1620)</f>
        <v/>
      </c>
      <c r="U1617">
        <f>IF([2]Entry!$K$1620="","",[2]Entry!$K$1620)</f>
        <v/>
      </c>
      <c r="V1617">
        <f>IF([2]Entry!$L$1620="","",[2]Entry!$L$1620)</f>
        <v/>
      </c>
      <c r="W1617">
        <f>IF([2]Entry!$M$1620="","",[2]Entry!$M$1620)</f>
        <v/>
      </c>
      <c r="X1617">
        <f>IF([2]Entry!$N$1620="","",[2]Entry!$N$1620)</f>
        <v/>
      </c>
      <c r="Y1617">
        <f>IF([2]Entry!$R$1620="","",[2]Entry!$R$1620)</f>
        <v/>
      </c>
    </row>
    <row r="1618">
      <c r="P1618">
        <f>IF([2]Entry!$C$1621="","",[2]Entry!$C$1621)</f>
        <v/>
      </c>
      <c r="Q1618">
        <f>IF([2]Entry!$D$1621="","",[2]Entry!$D$1621)</f>
        <v/>
      </c>
      <c r="R1618">
        <f>IF([2]Entry!$E$1621="","",[2]Entry!$E$1621)</f>
        <v/>
      </c>
      <c r="S1618">
        <f>IF([2]Entry!$G$1621="","",[2]Entry!$G$1621)</f>
        <v/>
      </c>
      <c r="T1618">
        <f>IF([2]Entry!$J$1621="","",[2]Entry!$J$1621)</f>
        <v/>
      </c>
      <c r="U1618">
        <f>IF([2]Entry!$K$1621="","",[2]Entry!$K$1621)</f>
        <v/>
      </c>
      <c r="V1618">
        <f>IF([2]Entry!$L$1621="","",[2]Entry!$L$1621)</f>
        <v/>
      </c>
      <c r="W1618">
        <f>IF([2]Entry!$M$1621="","",[2]Entry!$M$1621)</f>
        <v/>
      </c>
      <c r="X1618">
        <f>IF([2]Entry!$N$1621="","",[2]Entry!$N$1621)</f>
        <v/>
      </c>
      <c r="Y1618">
        <f>IF([2]Entry!$R$1621="","",[2]Entry!$R$1621)</f>
        <v/>
      </c>
    </row>
    <row r="1619">
      <c r="P1619">
        <f>IF([2]Entry!$C$1622="","",[2]Entry!$C$1622)</f>
        <v/>
      </c>
      <c r="Q1619">
        <f>IF([2]Entry!$D$1622="","",[2]Entry!$D$1622)</f>
        <v/>
      </c>
      <c r="R1619">
        <f>IF([2]Entry!$E$1622="","",[2]Entry!$E$1622)</f>
        <v/>
      </c>
      <c r="S1619">
        <f>IF([2]Entry!$G$1622="","",[2]Entry!$G$1622)</f>
        <v/>
      </c>
      <c r="T1619">
        <f>IF([2]Entry!$J$1622="","",[2]Entry!$J$1622)</f>
        <v/>
      </c>
      <c r="U1619">
        <f>IF([2]Entry!$K$1622="","",[2]Entry!$K$1622)</f>
        <v/>
      </c>
      <c r="V1619">
        <f>IF([2]Entry!$L$1622="","",[2]Entry!$L$1622)</f>
        <v/>
      </c>
      <c r="W1619">
        <f>IF([2]Entry!$M$1622="","",[2]Entry!$M$1622)</f>
        <v/>
      </c>
      <c r="X1619">
        <f>IF([2]Entry!$N$1622="","",[2]Entry!$N$1622)</f>
        <v/>
      </c>
      <c r="Y1619">
        <f>IF([2]Entry!$R$1622="","",[2]Entry!$R$1622)</f>
        <v/>
      </c>
    </row>
    <row r="1620">
      <c r="P1620">
        <f>IF([2]Entry!$C$1623="","",[2]Entry!$C$1623)</f>
        <v/>
      </c>
      <c r="Q1620">
        <f>IF([2]Entry!$D$1623="","",[2]Entry!$D$1623)</f>
        <v/>
      </c>
      <c r="R1620">
        <f>IF([2]Entry!$E$1623="","",[2]Entry!$E$1623)</f>
        <v/>
      </c>
      <c r="S1620">
        <f>IF([2]Entry!$G$1623="","",[2]Entry!$G$1623)</f>
        <v/>
      </c>
      <c r="T1620">
        <f>IF([2]Entry!$J$1623="","",[2]Entry!$J$1623)</f>
        <v/>
      </c>
      <c r="U1620">
        <f>IF([2]Entry!$K$1623="","",[2]Entry!$K$1623)</f>
        <v/>
      </c>
      <c r="V1620">
        <f>IF([2]Entry!$L$1623="","",[2]Entry!$L$1623)</f>
        <v/>
      </c>
      <c r="W1620">
        <f>IF([2]Entry!$M$1623="","",[2]Entry!$M$1623)</f>
        <v/>
      </c>
      <c r="X1620">
        <f>IF([2]Entry!$N$1623="","",[2]Entry!$N$1623)</f>
        <v/>
      </c>
      <c r="Y1620">
        <f>IF([2]Entry!$R$1623="","",[2]Entry!$R$1623)</f>
        <v/>
      </c>
    </row>
    <row r="1621">
      <c r="P1621">
        <f>IF([2]Entry!$C$1624="","",[2]Entry!$C$1624)</f>
        <v/>
      </c>
      <c r="Q1621">
        <f>IF([2]Entry!$D$1624="","",[2]Entry!$D$1624)</f>
        <v/>
      </c>
      <c r="R1621">
        <f>IF([2]Entry!$E$1624="","",[2]Entry!$E$1624)</f>
        <v/>
      </c>
      <c r="S1621">
        <f>IF([2]Entry!$G$1624="","",[2]Entry!$G$1624)</f>
        <v/>
      </c>
      <c r="T1621">
        <f>IF([2]Entry!$J$1624="","",[2]Entry!$J$1624)</f>
        <v/>
      </c>
      <c r="U1621">
        <f>IF([2]Entry!$K$1624="","",[2]Entry!$K$1624)</f>
        <v/>
      </c>
      <c r="V1621">
        <f>IF([2]Entry!$L$1624="","",[2]Entry!$L$1624)</f>
        <v/>
      </c>
      <c r="W1621">
        <f>IF([2]Entry!$M$1624="","",[2]Entry!$M$1624)</f>
        <v/>
      </c>
      <c r="X1621">
        <f>IF([2]Entry!$N$1624="","",[2]Entry!$N$1624)</f>
        <v/>
      </c>
      <c r="Y1621">
        <f>IF([2]Entry!$R$1624="","",[2]Entry!$R$1624)</f>
        <v/>
      </c>
    </row>
    <row r="1622">
      <c r="P1622">
        <f>IF([2]Entry!$C$1625="","",[2]Entry!$C$1625)</f>
        <v/>
      </c>
      <c r="Q1622">
        <f>IF([2]Entry!$D$1625="","",[2]Entry!$D$1625)</f>
        <v/>
      </c>
      <c r="R1622">
        <f>IF([2]Entry!$E$1625="","",[2]Entry!$E$1625)</f>
        <v/>
      </c>
      <c r="S1622">
        <f>IF([2]Entry!$G$1625="","",[2]Entry!$G$1625)</f>
        <v/>
      </c>
      <c r="T1622">
        <f>IF([2]Entry!$J$1625="","",[2]Entry!$J$1625)</f>
        <v/>
      </c>
      <c r="U1622">
        <f>IF([2]Entry!$K$1625="","",[2]Entry!$K$1625)</f>
        <v/>
      </c>
      <c r="V1622">
        <f>IF([2]Entry!$L$1625="","",[2]Entry!$L$1625)</f>
        <v/>
      </c>
      <c r="W1622">
        <f>IF([2]Entry!$M$1625="","",[2]Entry!$M$1625)</f>
        <v/>
      </c>
      <c r="X1622">
        <f>IF([2]Entry!$N$1625="","",[2]Entry!$N$1625)</f>
        <v/>
      </c>
      <c r="Y1622">
        <f>IF([2]Entry!$R$1625="","",[2]Entry!$R$1625)</f>
        <v/>
      </c>
    </row>
    <row r="1623">
      <c r="P1623">
        <f>IF([2]Entry!$C$1626="","",[2]Entry!$C$1626)</f>
        <v/>
      </c>
      <c r="Q1623">
        <f>IF([2]Entry!$D$1626="","",[2]Entry!$D$1626)</f>
        <v/>
      </c>
      <c r="R1623">
        <f>IF([2]Entry!$E$1626="","",[2]Entry!$E$1626)</f>
        <v/>
      </c>
      <c r="S1623">
        <f>IF([2]Entry!$G$1626="","",[2]Entry!$G$1626)</f>
        <v/>
      </c>
      <c r="T1623">
        <f>IF([2]Entry!$J$1626="","",[2]Entry!$J$1626)</f>
        <v/>
      </c>
      <c r="U1623">
        <f>IF([2]Entry!$K$1626="","",[2]Entry!$K$1626)</f>
        <v/>
      </c>
      <c r="V1623">
        <f>IF([2]Entry!$L$1626="","",[2]Entry!$L$1626)</f>
        <v/>
      </c>
      <c r="W1623">
        <f>IF([2]Entry!$M$1626="","",[2]Entry!$M$1626)</f>
        <v/>
      </c>
      <c r="X1623">
        <f>IF([2]Entry!$N$1626="","",[2]Entry!$N$1626)</f>
        <v/>
      </c>
      <c r="Y1623">
        <f>IF([2]Entry!$R$1626="","",[2]Entry!$R$1626)</f>
        <v/>
      </c>
    </row>
    <row r="1624">
      <c r="P1624">
        <f>IF([2]Entry!$C$1627="","",[2]Entry!$C$1627)</f>
        <v/>
      </c>
      <c r="Q1624">
        <f>IF([2]Entry!$D$1627="","",[2]Entry!$D$1627)</f>
        <v/>
      </c>
      <c r="R1624">
        <f>IF([2]Entry!$E$1627="","",[2]Entry!$E$1627)</f>
        <v/>
      </c>
      <c r="S1624">
        <f>IF([2]Entry!$G$1627="","",[2]Entry!$G$1627)</f>
        <v/>
      </c>
      <c r="T1624">
        <f>IF([2]Entry!$J$1627="","",[2]Entry!$J$1627)</f>
        <v/>
      </c>
      <c r="U1624">
        <f>IF([2]Entry!$K$1627="","",[2]Entry!$K$1627)</f>
        <v/>
      </c>
      <c r="V1624">
        <f>IF([2]Entry!$L$1627="","",[2]Entry!$L$1627)</f>
        <v/>
      </c>
      <c r="W1624">
        <f>IF([2]Entry!$M$1627="","",[2]Entry!$M$1627)</f>
        <v/>
      </c>
      <c r="X1624">
        <f>IF([2]Entry!$N$1627="","",[2]Entry!$N$1627)</f>
        <v/>
      </c>
      <c r="Y1624">
        <f>IF([2]Entry!$R$1627="","",[2]Entry!$R$1627)</f>
        <v/>
      </c>
    </row>
    <row r="1625">
      <c r="P1625">
        <f>IF([2]Entry!$C$1628="","",[2]Entry!$C$1628)</f>
        <v/>
      </c>
      <c r="Q1625">
        <f>IF([2]Entry!$D$1628="","",[2]Entry!$D$1628)</f>
        <v/>
      </c>
      <c r="R1625">
        <f>IF([2]Entry!$E$1628="","",[2]Entry!$E$1628)</f>
        <v/>
      </c>
      <c r="S1625">
        <f>IF([2]Entry!$G$1628="","",[2]Entry!$G$1628)</f>
        <v/>
      </c>
      <c r="T1625">
        <f>IF([2]Entry!$J$1628="","",[2]Entry!$J$1628)</f>
        <v/>
      </c>
      <c r="U1625">
        <f>IF([2]Entry!$K$1628="","",[2]Entry!$K$1628)</f>
        <v/>
      </c>
      <c r="V1625">
        <f>IF([2]Entry!$L$1628="","",[2]Entry!$L$1628)</f>
        <v/>
      </c>
      <c r="W1625">
        <f>IF([2]Entry!$M$1628="","",[2]Entry!$M$1628)</f>
        <v/>
      </c>
      <c r="X1625">
        <f>IF([2]Entry!$N$1628="","",[2]Entry!$N$1628)</f>
        <v/>
      </c>
      <c r="Y1625">
        <f>IF([2]Entry!$R$1628="","",[2]Entry!$R$1628)</f>
        <v/>
      </c>
    </row>
    <row r="1626">
      <c r="P1626">
        <f>IF([2]Entry!$C$1629="","",[2]Entry!$C$1629)</f>
        <v/>
      </c>
      <c r="Q1626">
        <f>IF([2]Entry!$D$1629="","",[2]Entry!$D$1629)</f>
        <v/>
      </c>
      <c r="R1626">
        <f>IF([2]Entry!$E$1629="","",[2]Entry!$E$1629)</f>
        <v/>
      </c>
      <c r="S1626">
        <f>IF([2]Entry!$G$1629="","",[2]Entry!$G$1629)</f>
        <v/>
      </c>
      <c r="T1626">
        <f>IF([2]Entry!$J$1629="","",[2]Entry!$J$1629)</f>
        <v/>
      </c>
      <c r="U1626">
        <f>IF([2]Entry!$K$1629="","",[2]Entry!$K$1629)</f>
        <v/>
      </c>
      <c r="V1626">
        <f>IF([2]Entry!$L$1629="","",[2]Entry!$L$1629)</f>
        <v/>
      </c>
      <c r="W1626">
        <f>IF([2]Entry!$M$1629="","",[2]Entry!$M$1629)</f>
        <v/>
      </c>
      <c r="X1626">
        <f>IF([2]Entry!$N$1629="","",[2]Entry!$N$1629)</f>
        <v/>
      </c>
      <c r="Y1626">
        <f>IF([2]Entry!$R$1629="","",[2]Entry!$R$1629)</f>
        <v/>
      </c>
    </row>
    <row r="1627">
      <c r="P1627">
        <f>IF([2]Entry!$C$1630="","",[2]Entry!$C$1630)</f>
        <v/>
      </c>
      <c r="Q1627">
        <f>IF([2]Entry!$D$1630="","",[2]Entry!$D$1630)</f>
        <v/>
      </c>
      <c r="R1627">
        <f>IF([2]Entry!$E$1630="","",[2]Entry!$E$1630)</f>
        <v/>
      </c>
      <c r="S1627">
        <f>IF([2]Entry!$G$1630="","",[2]Entry!$G$1630)</f>
        <v/>
      </c>
      <c r="T1627">
        <f>IF([2]Entry!$J$1630="","",[2]Entry!$J$1630)</f>
        <v/>
      </c>
      <c r="U1627">
        <f>IF([2]Entry!$K$1630="","",[2]Entry!$K$1630)</f>
        <v/>
      </c>
      <c r="V1627">
        <f>IF([2]Entry!$L$1630="","",[2]Entry!$L$1630)</f>
        <v/>
      </c>
      <c r="W1627">
        <f>IF([2]Entry!$M$1630="","",[2]Entry!$M$1630)</f>
        <v/>
      </c>
      <c r="X1627">
        <f>IF([2]Entry!$N$1630="","",[2]Entry!$N$1630)</f>
        <v/>
      </c>
      <c r="Y1627">
        <f>IF([2]Entry!$R$1630="","",[2]Entry!$R$1630)</f>
        <v/>
      </c>
    </row>
    <row r="1628">
      <c r="P1628">
        <f>IF([2]Entry!$C$1631="","",[2]Entry!$C$1631)</f>
        <v/>
      </c>
      <c r="Q1628">
        <f>IF([2]Entry!$D$1631="","",[2]Entry!$D$1631)</f>
        <v/>
      </c>
      <c r="R1628">
        <f>IF([2]Entry!$E$1631="","",[2]Entry!$E$1631)</f>
        <v/>
      </c>
      <c r="S1628">
        <f>IF([2]Entry!$G$1631="","",[2]Entry!$G$1631)</f>
        <v/>
      </c>
      <c r="T1628">
        <f>IF([2]Entry!$J$1631="","",[2]Entry!$J$1631)</f>
        <v/>
      </c>
      <c r="U1628">
        <f>IF([2]Entry!$K$1631="","",[2]Entry!$K$1631)</f>
        <v/>
      </c>
      <c r="V1628">
        <f>IF([2]Entry!$L$1631="","",[2]Entry!$L$1631)</f>
        <v/>
      </c>
      <c r="W1628">
        <f>IF([2]Entry!$M$1631="","",[2]Entry!$M$1631)</f>
        <v/>
      </c>
      <c r="X1628">
        <f>IF([2]Entry!$N$1631="","",[2]Entry!$N$1631)</f>
        <v/>
      </c>
      <c r="Y1628">
        <f>IF([2]Entry!$R$1631="","",[2]Entry!$R$1631)</f>
        <v/>
      </c>
    </row>
    <row r="1629">
      <c r="P1629">
        <f>IF([2]Entry!$C$1632="","",[2]Entry!$C$1632)</f>
        <v/>
      </c>
      <c r="Q1629">
        <f>IF([2]Entry!$D$1632="","",[2]Entry!$D$1632)</f>
        <v/>
      </c>
      <c r="R1629">
        <f>IF([2]Entry!$E$1632="","",[2]Entry!$E$1632)</f>
        <v/>
      </c>
      <c r="S1629">
        <f>IF([2]Entry!$G$1632="","",[2]Entry!$G$1632)</f>
        <v/>
      </c>
      <c r="T1629">
        <f>IF([2]Entry!$J$1632="","",[2]Entry!$J$1632)</f>
        <v/>
      </c>
      <c r="U1629">
        <f>IF([2]Entry!$K$1632="","",[2]Entry!$K$1632)</f>
        <v/>
      </c>
      <c r="V1629">
        <f>IF([2]Entry!$L$1632="","",[2]Entry!$L$1632)</f>
        <v/>
      </c>
      <c r="W1629">
        <f>IF([2]Entry!$M$1632="","",[2]Entry!$M$1632)</f>
        <v/>
      </c>
      <c r="X1629">
        <f>IF([2]Entry!$N$1632="","",[2]Entry!$N$1632)</f>
        <v/>
      </c>
      <c r="Y1629">
        <f>IF([2]Entry!$R$1632="","",[2]Entry!$R$1632)</f>
        <v/>
      </c>
    </row>
    <row r="1630">
      <c r="P1630">
        <f>IF([2]Entry!$C$1633="","",[2]Entry!$C$1633)</f>
        <v/>
      </c>
      <c r="Q1630">
        <f>IF([2]Entry!$D$1633="","",[2]Entry!$D$1633)</f>
        <v/>
      </c>
      <c r="R1630">
        <f>IF([2]Entry!$E$1633="","",[2]Entry!$E$1633)</f>
        <v/>
      </c>
      <c r="S1630">
        <f>IF([2]Entry!$G$1633="","",[2]Entry!$G$1633)</f>
        <v/>
      </c>
      <c r="T1630">
        <f>IF([2]Entry!$J$1633="","",[2]Entry!$J$1633)</f>
        <v/>
      </c>
      <c r="U1630">
        <f>IF([2]Entry!$K$1633="","",[2]Entry!$K$1633)</f>
        <v/>
      </c>
      <c r="V1630">
        <f>IF([2]Entry!$L$1633="","",[2]Entry!$L$1633)</f>
        <v/>
      </c>
      <c r="W1630">
        <f>IF([2]Entry!$M$1633="","",[2]Entry!$M$1633)</f>
        <v/>
      </c>
      <c r="X1630">
        <f>IF([2]Entry!$N$1633="","",[2]Entry!$N$1633)</f>
        <v/>
      </c>
      <c r="Y1630">
        <f>IF([2]Entry!$R$1633="","",[2]Entry!$R$1633)</f>
        <v/>
      </c>
    </row>
    <row r="1631">
      <c r="P1631">
        <f>IF([2]Entry!$C$1634="","",[2]Entry!$C$1634)</f>
        <v/>
      </c>
      <c r="Q1631">
        <f>IF([2]Entry!$D$1634="","",[2]Entry!$D$1634)</f>
        <v/>
      </c>
      <c r="R1631">
        <f>IF([2]Entry!$E$1634="","",[2]Entry!$E$1634)</f>
        <v/>
      </c>
      <c r="S1631">
        <f>IF([2]Entry!$G$1634="","",[2]Entry!$G$1634)</f>
        <v/>
      </c>
      <c r="T1631">
        <f>IF([2]Entry!$J$1634="","",[2]Entry!$J$1634)</f>
        <v/>
      </c>
      <c r="U1631">
        <f>IF([2]Entry!$K$1634="","",[2]Entry!$K$1634)</f>
        <v/>
      </c>
      <c r="V1631">
        <f>IF([2]Entry!$L$1634="","",[2]Entry!$L$1634)</f>
        <v/>
      </c>
      <c r="W1631">
        <f>IF([2]Entry!$M$1634="","",[2]Entry!$M$1634)</f>
        <v/>
      </c>
      <c r="X1631">
        <f>IF([2]Entry!$N$1634="","",[2]Entry!$N$1634)</f>
        <v/>
      </c>
      <c r="Y1631">
        <f>IF([2]Entry!$R$1634="","",[2]Entry!$R$1634)</f>
        <v/>
      </c>
    </row>
    <row r="1632">
      <c r="P1632">
        <f>IF([2]Entry!$C$1635="","",[2]Entry!$C$1635)</f>
        <v/>
      </c>
      <c r="Q1632">
        <f>IF([2]Entry!$D$1635="","",[2]Entry!$D$1635)</f>
        <v/>
      </c>
      <c r="R1632">
        <f>IF([2]Entry!$E$1635="","",[2]Entry!$E$1635)</f>
        <v/>
      </c>
      <c r="S1632">
        <f>IF([2]Entry!$G$1635="","",[2]Entry!$G$1635)</f>
        <v/>
      </c>
      <c r="T1632">
        <f>IF([2]Entry!$J$1635="","",[2]Entry!$J$1635)</f>
        <v/>
      </c>
      <c r="U1632">
        <f>IF([2]Entry!$K$1635="","",[2]Entry!$K$1635)</f>
        <v/>
      </c>
      <c r="V1632">
        <f>IF([2]Entry!$L$1635="","",[2]Entry!$L$1635)</f>
        <v/>
      </c>
      <c r="W1632">
        <f>IF([2]Entry!$M$1635="","",[2]Entry!$M$1635)</f>
        <v/>
      </c>
      <c r="X1632">
        <f>IF([2]Entry!$N$1635="","",[2]Entry!$N$1635)</f>
        <v/>
      </c>
      <c r="Y1632">
        <f>IF([2]Entry!$R$1635="","",[2]Entry!$R$1635)</f>
        <v/>
      </c>
    </row>
    <row r="1633">
      <c r="P1633">
        <f>IF([2]Entry!$C$1636="","",[2]Entry!$C$1636)</f>
        <v/>
      </c>
      <c r="Q1633">
        <f>IF([2]Entry!$D$1636="","",[2]Entry!$D$1636)</f>
        <v/>
      </c>
      <c r="R1633">
        <f>IF([2]Entry!$E$1636="","",[2]Entry!$E$1636)</f>
        <v/>
      </c>
      <c r="S1633">
        <f>IF([2]Entry!$G$1636="","",[2]Entry!$G$1636)</f>
        <v/>
      </c>
      <c r="T1633">
        <f>IF([2]Entry!$J$1636="","",[2]Entry!$J$1636)</f>
        <v/>
      </c>
      <c r="U1633">
        <f>IF([2]Entry!$K$1636="","",[2]Entry!$K$1636)</f>
        <v/>
      </c>
      <c r="V1633">
        <f>IF([2]Entry!$L$1636="","",[2]Entry!$L$1636)</f>
        <v/>
      </c>
      <c r="W1633">
        <f>IF([2]Entry!$M$1636="","",[2]Entry!$M$1636)</f>
        <v/>
      </c>
      <c r="X1633">
        <f>IF([2]Entry!$N$1636="","",[2]Entry!$N$1636)</f>
        <v/>
      </c>
      <c r="Y1633">
        <f>IF([2]Entry!$R$1636="","",[2]Entry!$R$1636)</f>
        <v/>
      </c>
    </row>
    <row r="1634">
      <c r="P1634">
        <f>IF([2]Entry!$C$1637="","",[2]Entry!$C$1637)</f>
        <v/>
      </c>
      <c r="Q1634">
        <f>IF([2]Entry!$D$1637="","",[2]Entry!$D$1637)</f>
        <v/>
      </c>
      <c r="R1634">
        <f>IF([2]Entry!$E$1637="","",[2]Entry!$E$1637)</f>
        <v/>
      </c>
      <c r="S1634">
        <f>IF([2]Entry!$G$1637="","",[2]Entry!$G$1637)</f>
        <v/>
      </c>
      <c r="T1634">
        <f>IF([2]Entry!$J$1637="","",[2]Entry!$J$1637)</f>
        <v/>
      </c>
      <c r="U1634">
        <f>IF([2]Entry!$K$1637="","",[2]Entry!$K$1637)</f>
        <v/>
      </c>
      <c r="V1634">
        <f>IF([2]Entry!$L$1637="","",[2]Entry!$L$1637)</f>
        <v/>
      </c>
      <c r="W1634">
        <f>IF([2]Entry!$M$1637="","",[2]Entry!$M$1637)</f>
        <v/>
      </c>
      <c r="X1634">
        <f>IF([2]Entry!$N$1637="","",[2]Entry!$N$1637)</f>
        <v/>
      </c>
      <c r="Y1634">
        <f>IF([2]Entry!$R$1637="","",[2]Entry!$R$1637)</f>
        <v/>
      </c>
    </row>
    <row r="1635">
      <c r="P1635">
        <f>IF([2]Entry!$C$1638="","",[2]Entry!$C$1638)</f>
        <v/>
      </c>
      <c r="Q1635">
        <f>IF([2]Entry!$D$1638="","",[2]Entry!$D$1638)</f>
        <v/>
      </c>
      <c r="R1635">
        <f>IF([2]Entry!$E$1638="","",[2]Entry!$E$1638)</f>
        <v/>
      </c>
      <c r="S1635">
        <f>IF([2]Entry!$G$1638="","",[2]Entry!$G$1638)</f>
        <v/>
      </c>
      <c r="T1635">
        <f>IF([2]Entry!$J$1638="","",[2]Entry!$J$1638)</f>
        <v/>
      </c>
      <c r="U1635">
        <f>IF([2]Entry!$K$1638="","",[2]Entry!$K$1638)</f>
        <v/>
      </c>
      <c r="V1635">
        <f>IF([2]Entry!$L$1638="","",[2]Entry!$L$1638)</f>
        <v/>
      </c>
      <c r="W1635">
        <f>IF([2]Entry!$M$1638="","",[2]Entry!$M$1638)</f>
        <v/>
      </c>
      <c r="X1635">
        <f>IF([2]Entry!$N$1638="","",[2]Entry!$N$1638)</f>
        <v/>
      </c>
      <c r="Y1635">
        <f>IF([2]Entry!$R$1638="","",[2]Entry!$R$1638)</f>
        <v/>
      </c>
    </row>
    <row r="1636">
      <c r="P1636">
        <f>IF([2]Entry!$C$1639="","",[2]Entry!$C$1639)</f>
        <v/>
      </c>
      <c r="Q1636">
        <f>IF([2]Entry!$D$1639="","",[2]Entry!$D$1639)</f>
        <v/>
      </c>
      <c r="R1636">
        <f>IF([2]Entry!$E$1639="","",[2]Entry!$E$1639)</f>
        <v/>
      </c>
      <c r="S1636">
        <f>IF([2]Entry!$G$1639="","",[2]Entry!$G$1639)</f>
        <v/>
      </c>
      <c r="T1636">
        <f>IF([2]Entry!$J$1639="","",[2]Entry!$J$1639)</f>
        <v/>
      </c>
      <c r="U1636">
        <f>IF([2]Entry!$K$1639="","",[2]Entry!$K$1639)</f>
        <v/>
      </c>
      <c r="V1636">
        <f>IF([2]Entry!$L$1639="","",[2]Entry!$L$1639)</f>
        <v/>
      </c>
      <c r="W1636">
        <f>IF([2]Entry!$M$1639="","",[2]Entry!$M$1639)</f>
        <v/>
      </c>
      <c r="X1636">
        <f>IF([2]Entry!$N$1639="","",[2]Entry!$N$1639)</f>
        <v/>
      </c>
      <c r="Y1636">
        <f>IF([2]Entry!$R$1639="","",[2]Entry!$R$1639)</f>
        <v/>
      </c>
    </row>
    <row r="1637">
      <c r="P1637">
        <f>IF([2]Entry!$C$1640="","",[2]Entry!$C$1640)</f>
        <v/>
      </c>
      <c r="Q1637">
        <f>IF([2]Entry!$D$1640="","",[2]Entry!$D$1640)</f>
        <v/>
      </c>
      <c r="R1637">
        <f>IF([2]Entry!$E$1640="","",[2]Entry!$E$1640)</f>
        <v/>
      </c>
      <c r="S1637">
        <f>IF([2]Entry!$G$1640="","",[2]Entry!$G$1640)</f>
        <v/>
      </c>
      <c r="T1637">
        <f>IF([2]Entry!$J$1640="","",[2]Entry!$J$1640)</f>
        <v/>
      </c>
      <c r="U1637">
        <f>IF([2]Entry!$K$1640="","",[2]Entry!$K$1640)</f>
        <v/>
      </c>
      <c r="V1637">
        <f>IF([2]Entry!$L$1640="","",[2]Entry!$L$1640)</f>
        <v/>
      </c>
      <c r="W1637">
        <f>IF([2]Entry!$M$1640="","",[2]Entry!$M$1640)</f>
        <v/>
      </c>
      <c r="X1637">
        <f>IF([2]Entry!$N$1640="","",[2]Entry!$N$1640)</f>
        <v/>
      </c>
      <c r="Y1637">
        <f>IF([2]Entry!$R$1640="","",[2]Entry!$R$1640)</f>
        <v/>
      </c>
    </row>
    <row r="1638">
      <c r="P1638">
        <f>IF([2]Entry!$C$1641="","",[2]Entry!$C$1641)</f>
        <v/>
      </c>
      <c r="Q1638">
        <f>IF([2]Entry!$D$1641="","",[2]Entry!$D$1641)</f>
        <v/>
      </c>
      <c r="R1638">
        <f>IF([2]Entry!$E$1641="","",[2]Entry!$E$1641)</f>
        <v/>
      </c>
      <c r="S1638">
        <f>IF([2]Entry!$G$1641="","",[2]Entry!$G$1641)</f>
        <v/>
      </c>
      <c r="T1638">
        <f>IF([2]Entry!$J$1641="","",[2]Entry!$J$1641)</f>
        <v/>
      </c>
      <c r="U1638">
        <f>IF([2]Entry!$K$1641="","",[2]Entry!$K$1641)</f>
        <v/>
      </c>
      <c r="V1638">
        <f>IF([2]Entry!$L$1641="","",[2]Entry!$L$1641)</f>
        <v/>
      </c>
      <c r="W1638">
        <f>IF([2]Entry!$M$1641="","",[2]Entry!$M$1641)</f>
        <v/>
      </c>
      <c r="X1638">
        <f>IF([2]Entry!$N$1641="","",[2]Entry!$N$1641)</f>
        <v/>
      </c>
      <c r="Y1638">
        <f>IF([2]Entry!$R$1641="","",[2]Entry!$R$1641)</f>
        <v/>
      </c>
    </row>
    <row r="1639">
      <c r="P1639">
        <f>IF([2]Entry!$C$1642="","",[2]Entry!$C$1642)</f>
        <v/>
      </c>
      <c r="Q1639">
        <f>IF([2]Entry!$D$1642="","",[2]Entry!$D$1642)</f>
        <v/>
      </c>
      <c r="R1639">
        <f>IF([2]Entry!$E$1642="","",[2]Entry!$E$1642)</f>
        <v/>
      </c>
      <c r="S1639">
        <f>IF([2]Entry!$G$1642="","",[2]Entry!$G$1642)</f>
        <v/>
      </c>
      <c r="T1639">
        <f>IF([2]Entry!$J$1642="","",[2]Entry!$J$1642)</f>
        <v/>
      </c>
      <c r="U1639">
        <f>IF([2]Entry!$K$1642="","",[2]Entry!$K$1642)</f>
        <v/>
      </c>
      <c r="V1639">
        <f>IF([2]Entry!$L$1642="","",[2]Entry!$L$1642)</f>
        <v/>
      </c>
      <c r="W1639">
        <f>IF([2]Entry!$M$1642="","",[2]Entry!$M$1642)</f>
        <v/>
      </c>
      <c r="X1639">
        <f>IF([2]Entry!$N$1642="","",[2]Entry!$N$1642)</f>
        <v/>
      </c>
      <c r="Y1639">
        <f>IF([2]Entry!$R$1642="","",[2]Entry!$R$1642)</f>
        <v/>
      </c>
    </row>
    <row r="1640">
      <c r="P1640">
        <f>IF([2]Entry!$C$1643="","",[2]Entry!$C$1643)</f>
        <v/>
      </c>
      <c r="Q1640">
        <f>IF([2]Entry!$D$1643="","",[2]Entry!$D$1643)</f>
        <v/>
      </c>
      <c r="R1640">
        <f>IF([2]Entry!$E$1643="","",[2]Entry!$E$1643)</f>
        <v/>
      </c>
      <c r="S1640">
        <f>IF([2]Entry!$G$1643="","",[2]Entry!$G$1643)</f>
        <v/>
      </c>
      <c r="T1640">
        <f>IF([2]Entry!$J$1643="","",[2]Entry!$J$1643)</f>
        <v/>
      </c>
      <c r="U1640">
        <f>IF([2]Entry!$K$1643="","",[2]Entry!$K$1643)</f>
        <v/>
      </c>
      <c r="V1640">
        <f>IF([2]Entry!$L$1643="","",[2]Entry!$L$1643)</f>
        <v/>
      </c>
      <c r="W1640">
        <f>IF([2]Entry!$M$1643="","",[2]Entry!$M$1643)</f>
        <v/>
      </c>
      <c r="X1640">
        <f>IF([2]Entry!$N$1643="","",[2]Entry!$N$1643)</f>
        <v/>
      </c>
      <c r="Y1640">
        <f>IF([2]Entry!$R$1643="","",[2]Entry!$R$1643)</f>
        <v/>
      </c>
    </row>
    <row r="1641">
      <c r="P1641">
        <f>IF([2]Entry!$C$1644="","",[2]Entry!$C$1644)</f>
        <v/>
      </c>
      <c r="Q1641">
        <f>IF([2]Entry!$D$1644="","",[2]Entry!$D$1644)</f>
        <v/>
      </c>
      <c r="R1641">
        <f>IF([2]Entry!$E$1644="","",[2]Entry!$E$1644)</f>
        <v/>
      </c>
      <c r="S1641">
        <f>IF([2]Entry!$G$1644="","",[2]Entry!$G$1644)</f>
        <v/>
      </c>
      <c r="T1641">
        <f>IF([2]Entry!$J$1644="","",[2]Entry!$J$1644)</f>
        <v/>
      </c>
      <c r="U1641">
        <f>IF([2]Entry!$K$1644="","",[2]Entry!$K$1644)</f>
        <v/>
      </c>
      <c r="V1641">
        <f>IF([2]Entry!$L$1644="","",[2]Entry!$L$1644)</f>
        <v/>
      </c>
      <c r="W1641">
        <f>IF([2]Entry!$M$1644="","",[2]Entry!$M$1644)</f>
        <v/>
      </c>
      <c r="X1641">
        <f>IF([2]Entry!$N$1644="","",[2]Entry!$N$1644)</f>
        <v/>
      </c>
      <c r="Y1641">
        <f>IF([2]Entry!$R$1644="","",[2]Entry!$R$1644)</f>
        <v/>
      </c>
    </row>
    <row r="1642">
      <c r="P1642">
        <f>IF([2]Entry!$C$1645="","",[2]Entry!$C$1645)</f>
        <v/>
      </c>
      <c r="Q1642">
        <f>IF([2]Entry!$D$1645="","",[2]Entry!$D$1645)</f>
        <v/>
      </c>
      <c r="R1642">
        <f>IF([2]Entry!$E$1645="","",[2]Entry!$E$1645)</f>
        <v/>
      </c>
      <c r="S1642">
        <f>IF([2]Entry!$G$1645="","",[2]Entry!$G$1645)</f>
        <v/>
      </c>
      <c r="T1642">
        <f>IF([2]Entry!$J$1645="","",[2]Entry!$J$1645)</f>
        <v/>
      </c>
      <c r="U1642">
        <f>IF([2]Entry!$K$1645="","",[2]Entry!$K$1645)</f>
        <v/>
      </c>
      <c r="V1642">
        <f>IF([2]Entry!$L$1645="","",[2]Entry!$L$1645)</f>
        <v/>
      </c>
      <c r="W1642">
        <f>IF([2]Entry!$M$1645="","",[2]Entry!$M$1645)</f>
        <v/>
      </c>
      <c r="X1642">
        <f>IF([2]Entry!$N$1645="","",[2]Entry!$N$1645)</f>
        <v/>
      </c>
      <c r="Y1642">
        <f>IF([2]Entry!$R$1645="","",[2]Entry!$R$1645)</f>
        <v/>
      </c>
    </row>
    <row r="1643">
      <c r="P1643">
        <f>IF([2]Entry!$C$1646="","",[2]Entry!$C$1646)</f>
        <v/>
      </c>
      <c r="Q1643">
        <f>IF([2]Entry!$D$1646="","",[2]Entry!$D$1646)</f>
        <v/>
      </c>
      <c r="R1643">
        <f>IF([2]Entry!$E$1646="","",[2]Entry!$E$1646)</f>
        <v/>
      </c>
      <c r="S1643">
        <f>IF([2]Entry!$G$1646="","",[2]Entry!$G$1646)</f>
        <v/>
      </c>
      <c r="T1643">
        <f>IF([2]Entry!$J$1646="","",[2]Entry!$J$1646)</f>
        <v/>
      </c>
      <c r="U1643">
        <f>IF([2]Entry!$K$1646="","",[2]Entry!$K$1646)</f>
        <v/>
      </c>
      <c r="V1643">
        <f>IF([2]Entry!$L$1646="","",[2]Entry!$L$1646)</f>
        <v/>
      </c>
      <c r="W1643">
        <f>IF([2]Entry!$M$1646="","",[2]Entry!$M$1646)</f>
        <v/>
      </c>
      <c r="X1643">
        <f>IF([2]Entry!$N$1646="","",[2]Entry!$N$1646)</f>
        <v/>
      </c>
      <c r="Y1643">
        <f>IF([2]Entry!$R$1646="","",[2]Entry!$R$1646)</f>
        <v/>
      </c>
    </row>
    <row r="1644">
      <c r="P1644">
        <f>IF([2]Entry!$C$1647="","",[2]Entry!$C$1647)</f>
        <v/>
      </c>
      <c r="Q1644">
        <f>IF([2]Entry!$D$1647="","",[2]Entry!$D$1647)</f>
        <v/>
      </c>
      <c r="R1644">
        <f>IF([2]Entry!$E$1647="","",[2]Entry!$E$1647)</f>
        <v/>
      </c>
      <c r="S1644">
        <f>IF([2]Entry!$G$1647="","",[2]Entry!$G$1647)</f>
        <v/>
      </c>
      <c r="T1644">
        <f>IF([2]Entry!$J$1647="","",[2]Entry!$J$1647)</f>
        <v/>
      </c>
      <c r="U1644">
        <f>IF([2]Entry!$K$1647="","",[2]Entry!$K$1647)</f>
        <v/>
      </c>
      <c r="V1644">
        <f>IF([2]Entry!$L$1647="","",[2]Entry!$L$1647)</f>
        <v/>
      </c>
      <c r="W1644">
        <f>IF([2]Entry!$M$1647="","",[2]Entry!$M$1647)</f>
        <v/>
      </c>
      <c r="X1644">
        <f>IF([2]Entry!$N$1647="","",[2]Entry!$N$1647)</f>
        <v/>
      </c>
      <c r="Y1644">
        <f>IF([2]Entry!$R$1647="","",[2]Entry!$R$1647)</f>
        <v/>
      </c>
    </row>
    <row r="1645">
      <c r="P1645">
        <f>IF([2]Entry!$C$1648="","",[2]Entry!$C$1648)</f>
        <v/>
      </c>
      <c r="Q1645">
        <f>IF([2]Entry!$D$1648="","",[2]Entry!$D$1648)</f>
        <v/>
      </c>
      <c r="R1645">
        <f>IF([2]Entry!$E$1648="","",[2]Entry!$E$1648)</f>
        <v/>
      </c>
      <c r="S1645">
        <f>IF([2]Entry!$G$1648="","",[2]Entry!$G$1648)</f>
        <v/>
      </c>
      <c r="T1645">
        <f>IF([2]Entry!$J$1648="","",[2]Entry!$J$1648)</f>
        <v/>
      </c>
      <c r="U1645">
        <f>IF([2]Entry!$K$1648="","",[2]Entry!$K$1648)</f>
        <v/>
      </c>
      <c r="V1645">
        <f>IF([2]Entry!$L$1648="","",[2]Entry!$L$1648)</f>
        <v/>
      </c>
      <c r="W1645">
        <f>IF([2]Entry!$M$1648="","",[2]Entry!$M$1648)</f>
        <v/>
      </c>
      <c r="X1645">
        <f>IF([2]Entry!$N$1648="","",[2]Entry!$N$1648)</f>
        <v/>
      </c>
      <c r="Y1645">
        <f>IF([2]Entry!$R$1648="","",[2]Entry!$R$1648)</f>
        <v/>
      </c>
    </row>
    <row r="1646">
      <c r="P1646">
        <f>IF([2]Entry!$C$1649="","",[2]Entry!$C$1649)</f>
        <v/>
      </c>
      <c r="Q1646">
        <f>IF([2]Entry!$D$1649="","",[2]Entry!$D$1649)</f>
        <v/>
      </c>
      <c r="R1646">
        <f>IF([2]Entry!$E$1649="","",[2]Entry!$E$1649)</f>
        <v/>
      </c>
      <c r="S1646">
        <f>IF([2]Entry!$G$1649="","",[2]Entry!$G$1649)</f>
        <v/>
      </c>
      <c r="T1646">
        <f>IF([2]Entry!$J$1649="","",[2]Entry!$J$1649)</f>
        <v/>
      </c>
      <c r="U1646">
        <f>IF([2]Entry!$K$1649="","",[2]Entry!$K$1649)</f>
        <v/>
      </c>
      <c r="V1646">
        <f>IF([2]Entry!$L$1649="","",[2]Entry!$L$1649)</f>
        <v/>
      </c>
      <c r="W1646">
        <f>IF([2]Entry!$M$1649="","",[2]Entry!$M$1649)</f>
        <v/>
      </c>
      <c r="X1646">
        <f>IF([2]Entry!$N$1649="","",[2]Entry!$N$1649)</f>
        <v/>
      </c>
      <c r="Y1646">
        <f>IF([2]Entry!$R$1649="","",[2]Entry!$R$1649)</f>
        <v/>
      </c>
    </row>
    <row r="1647">
      <c r="P1647">
        <f>IF([2]Entry!$C$1650="","",[2]Entry!$C$1650)</f>
        <v/>
      </c>
      <c r="Q1647">
        <f>IF([2]Entry!$D$1650="","",[2]Entry!$D$1650)</f>
        <v/>
      </c>
      <c r="R1647">
        <f>IF([2]Entry!$E$1650="","",[2]Entry!$E$1650)</f>
        <v/>
      </c>
      <c r="S1647">
        <f>IF([2]Entry!$G$1650="","",[2]Entry!$G$1650)</f>
        <v/>
      </c>
      <c r="T1647">
        <f>IF([2]Entry!$J$1650="","",[2]Entry!$J$1650)</f>
        <v/>
      </c>
      <c r="U1647">
        <f>IF([2]Entry!$K$1650="","",[2]Entry!$K$1650)</f>
        <v/>
      </c>
      <c r="V1647">
        <f>IF([2]Entry!$L$1650="","",[2]Entry!$L$1650)</f>
        <v/>
      </c>
      <c r="W1647">
        <f>IF([2]Entry!$M$1650="","",[2]Entry!$M$1650)</f>
        <v/>
      </c>
      <c r="X1647">
        <f>IF([2]Entry!$N$1650="","",[2]Entry!$N$1650)</f>
        <v/>
      </c>
      <c r="Y1647">
        <f>IF([2]Entry!$R$1650="","",[2]Entry!$R$1650)</f>
        <v/>
      </c>
    </row>
    <row r="1648">
      <c r="P1648">
        <f>IF([2]Entry!$C$1651="","",[2]Entry!$C$1651)</f>
        <v/>
      </c>
      <c r="Q1648">
        <f>IF([2]Entry!$D$1651="","",[2]Entry!$D$1651)</f>
        <v/>
      </c>
      <c r="R1648">
        <f>IF([2]Entry!$E$1651="","",[2]Entry!$E$1651)</f>
        <v/>
      </c>
      <c r="S1648">
        <f>IF([2]Entry!$G$1651="","",[2]Entry!$G$1651)</f>
        <v/>
      </c>
      <c r="T1648">
        <f>IF([2]Entry!$J$1651="","",[2]Entry!$J$1651)</f>
        <v/>
      </c>
      <c r="U1648">
        <f>IF([2]Entry!$K$1651="","",[2]Entry!$K$1651)</f>
        <v/>
      </c>
      <c r="V1648">
        <f>IF([2]Entry!$L$1651="","",[2]Entry!$L$1651)</f>
        <v/>
      </c>
      <c r="W1648">
        <f>IF([2]Entry!$M$1651="","",[2]Entry!$M$1651)</f>
        <v/>
      </c>
      <c r="X1648">
        <f>IF([2]Entry!$N$1651="","",[2]Entry!$N$1651)</f>
        <v/>
      </c>
      <c r="Y1648">
        <f>IF([2]Entry!$R$1651="","",[2]Entry!$R$1651)</f>
        <v/>
      </c>
    </row>
    <row r="1649">
      <c r="P1649">
        <f>IF([2]Entry!$C$1652="","",[2]Entry!$C$1652)</f>
        <v/>
      </c>
      <c r="Q1649">
        <f>IF([2]Entry!$D$1652="","",[2]Entry!$D$1652)</f>
        <v/>
      </c>
      <c r="R1649">
        <f>IF([2]Entry!$E$1652="","",[2]Entry!$E$1652)</f>
        <v/>
      </c>
      <c r="S1649">
        <f>IF([2]Entry!$G$1652="","",[2]Entry!$G$1652)</f>
        <v/>
      </c>
      <c r="T1649">
        <f>IF([2]Entry!$J$1652="","",[2]Entry!$J$1652)</f>
        <v/>
      </c>
      <c r="U1649">
        <f>IF([2]Entry!$K$1652="","",[2]Entry!$K$1652)</f>
        <v/>
      </c>
      <c r="V1649">
        <f>IF([2]Entry!$L$1652="","",[2]Entry!$L$1652)</f>
        <v/>
      </c>
      <c r="W1649">
        <f>IF([2]Entry!$M$1652="","",[2]Entry!$M$1652)</f>
        <v/>
      </c>
      <c r="X1649">
        <f>IF([2]Entry!$N$1652="","",[2]Entry!$N$1652)</f>
        <v/>
      </c>
      <c r="Y1649">
        <f>IF([2]Entry!$R$1652="","",[2]Entry!$R$1652)</f>
        <v/>
      </c>
    </row>
    <row r="1650">
      <c r="P1650">
        <f>IF([2]Entry!$C$1653="","",[2]Entry!$C$1653)</f>
        <v/>
      </c>
      <c r="Q1650">
        <f>IF([2]Entry!$D$1653="","",[2]Entry!$D$1653)</f>
        <v/>
      </c>
      <c r="R1650">
        <f>IF([2]Entry!$E$1653="","",[2]Entry!$E$1653)</f>
        <v/>
      </c>
      <c r="S1650">
        <f>IF([2]Entry!$G$1653="","",[2]Entry!$G$1653)</f>
        <v/>
      </c>
      <c r="T1650">
        <f>IF([2]Entry!$J$1653="","",[2]Entry!$J$1653)</f>
        <v/>
      </c>
      <c r="U1650">
        <f>IF([2]Entry!$K$1653="","",[2]Entry!$K$1653)</f>
        <v/>
      </c>
      <c r="V1650">
        <f>IF([2]Entry!$L$1653="","",[2]Entry!$L$1653)</f>
        <v/>
      </c>
      <c r="W1650">
        <f>IF([2]Entry!$M$1653="","",[2]Entry!$M$1653)</f>
        <v/>
      </c>
      <c r="X1650">
        <f>IF([2]Entry!$N$1653="","",[2]Entry!$N$1653)</f>
        <v/>
      </c>
      <c r="Y1650">
        <f>IF([2]Entry!$R$1653="","",[2]Entry!$R$1653)</f>
        <v/>
      </c>
    </row>
    <row r="1651">
      <c r="P1651">
        <f>IF([2]Entry!$C$1654="","",[2]Entry!$C$1654)</f>
        <v/>
      </c>
      <c r="Q1651">
        <f>IF([2]Entry!$D$1654="","",[2]Entry!$D$1654)</f>
        <v/>
      </c>
      <c r="R1651">
        <f>IF([2]Entry!$E$1654="","",[2]Entry!$E$1654)</f>
        <v/>
      </c>
      <c r="S1651">
        <f>IF([2]Entry!$G$1654="","",[2]Entry!$G$1654)</f>
        <v/>
      </c>
      <c r="T1651">
        <f>IF([2]Entry!$J$1654="","",[2]Entry!$J$1654)</f>
        <v/>
      </c>
      <c r="U1651">
        <f>IF([2]Entry!$K$1654="","",[2]Entry!$K$1654)</f>
        <v/>
      </c>
      <c r="V1651">
        <f>IF([2]Entry!$L$1654="","",[2]Entry!$L$1654)</f>
        <v/>
      </c>
      <c r="W1651">
        <f>IF([2]Entry!$M$1654="","",[2]Entry!$M$1654)</f>
        <v/>
      </c>
      <c r="X1651">
        <f>IF([2]Entry!$N$1654="","",[2]Entry!$N$1654)</f>
        <v/>
      </c>
      <c r="Y1651">
        <f>IF([2]Entry!$R$1654="","",[2]Entry!$R$1654)</f>
        <v/>
      </c>
    </row>
    <row r="1652">
      <c r="P1652">
        <f>IF([2]Entry!$C$1655="","",[2]Entry!$C$1655)</f>
        <v/>
      </c>
      <c r="Q1652">
        <f>IF([2]Entry!$D$1655="","",[2]Entry!$D$1655)</f>
        <v/>
      </c>
      <c r="R1652">
        <f>IF([2]Entry!$E$1655="","",[2]Entry!$E$1655)</f>
        <v/>
      </c>
      <c r="S1652">
        <f>IF([2]Entry!$G$1655="","",[2]Entry!$G$1655)</f>
        <v/>
      </c>
      <c r="T1652">
        <f>IF([2]Entry!$J$1655="","",[2]Entry!$J$1655)</f>
        <v/>
      </c>
      <c r="U1652">
        <f>IF([2]Entry!$K$1655="","",[2]Entry!$K$1655)</f>
        <v/>
      </c>
      <c r="V1652">
        <f>IF([2]Entry!$L$1655="","",[2]Entry!$L$1655)</f>
        <v/>
      </c>
      <c r="W1652">
        <f>IF([2]Entry!$M$1655="","",[2]Entry!$M$1655)</f>
        <v/>
      </c>
      <c r="X1652">
        <f>IF([2]Entry!$N$1655="","",[2]Entry!$N$1655)</f>
        <v/>
      </c>
      <c r="Y1652">
        <f>IF([2]Entry!$R$1655="","",[2]Entry!$R$1655)</f>
        <v/>
      </c>
    </row>
    <row r="1653">
      <c r="P1653">
        <f>IF([2]Entry!$C$1656="","",[2]Entry!$C$1656)</f>
        <v/>
      </c>
      <c r="Q1653">
        <f>IF([2]Entry!$D$1656="","",[2]Entry!$D$1656)</f>
        <v/>
      </c>
      <c r="R1653">
        <f>IF([2]Entry!$E$1656="","",[2]Entry!$E$1656)</f>
        <v/>
      </c>
      <c r="S1653">
        <f>IF([2]Entry!$G$1656="","",[2]Entry!$G$1656)</f>
        <v/>
      </c>
      <c r="T1653">
        <f>IF([2]Entry!$J$1656="","",[2]Entry!$J$1656)</f>
        <v/>
      </c>
      <c r="U1653">
        <f>IF([2]Entry!$K$1656="","",[2]Entry!$K$1656)</f>
        <v/>
      </c>
      <c r="V1653">
        <f>IF([2]Entry!$L$1656="","",[2]Entry!$L$1656)</f>
        <v/>
      </c>
      <c r="W1653">
        <f>IF([2]Entry!$M$1656="","",[2]Entry!$M$1656)</f>
        <v/>
      </c>
      <c r="X1653">
        <f>IF([2]Entry!$N$1656="","",[2]Entry!$N$1656)</f>
        <v/>
      </c>
      <c r="Y1653">
        <f>IF([2]Entry!$R$1656="","",[2]Entry!$R$1656)</f>
        <v/>
      </c>
    </row>
    <row r="1654">
      <c r="P1654">
        <f>IF([2]Entry!$C$1657="","",[2]Entry!$C$1657)</f>
        <v/>
      </c>
      <c r="Q1654">
        <f>IF([2]Entry!$D$1657="","",[2]Entry!$D$1657)</f>
        <v/>
      </c>
      <c r="R1654">
        <f>IF([2]Entry!$E$1657="","",[2]Entry!$E$1657)</f>
        <v/>
      </c>
      <c r="S1654">
        <f>IF([2]Entry!$G$1657="","",[2]Entry!$G$1657)</f>
        <v/>
      </c>
      <c r="T1654">
        <f>IF([2]Entry!$J$1657="","",[2]Entry!$J$1657)</f>
        <v/>
      </c>
      <c r="U1654">
        <f>IF([2]Entry!$K$1657="","",[2]Entry!$K$1657)</f>
        <v/>
      </c>
      <c r="V1654">
        <f>IF([2]Entry!$L$1657="","",[2]Entry!$L$1657)</f>
        <v/>
      </c>
      <c r="W1654">
        <f>IF([2]Entry!$M$1657="","",[2]Entry!$M$1657)</f>
        <v/>
      </c>
      <c r="X1654">
        <f>IF([2]Entry!$N$1657="","",[2]Entry!$N$1657)</f>
        <v/>
      </c>
      <c r="Y1654">
        <f>IF([2]Entry!$R$1657="","",[2]Entry!$R$1657)</f>
        <v/>
      </c>
    </row>
    <row r="1655">
      <c r="P1655">
        <f>IF([2]Entry!$C$1658="","",[2]Entry!$C$1658)</f>
        <v/>
      </c>
      <c r="Q1655">
        <f>IF([2]Entry!$D$1658="","",[2]Entry!$D$1658)</f>
        <v/>
      </c>
      <c r="R1655">
        <f>IF([2]Entry!$E$1658="","",[2]Entry!$E$1658)</f>
        <v/>
      </c>
      <c r="S1655">
        <f>IF([2]Entry!$G$1658="","",[2]Entry!$G$1658)</f>
        <v/>
      </c>
      <c r="T1655">
        <f>IF([2]Entry!$J$1658="","",[2]Entry!$J$1658)</f>
        <v/>
      </c>
      <c r="U1655">
        <f>IF([2]Entry!$K$1658="","",[2]Entry!$K$1658)</f>
        <v/>
      </c>
      <c r="V1655">
        <f>IF([2]Entry!$L$1658="","",[2]Entry!$L$1658)</f>
        <v/>
      </c>
      <c r="W1655">
        <f>IF([2]Entry!$M$1658="","",[2]Entry!$M$1658)</f>
        <v/>
      </c>
      <c r="X1655">
        <f>IF([2]Entry!$N$1658="","",[2]Entry!$N$1658)</f>
        <v/>
      </c>
      <c r="Y1655">
        <f>IF([2]Entry!$R$1658="","",[2]Entry!$R$1658)</f>
        <v/>
      </c>
    </row>
    <row r="1656">
      <c r="P1656">
        <f>IF([2]Entry!$C$1659="","",[2]Entry!$C$1659)</f>
        <v/>
      </c>
      <c r="Q1656">
        <f>IF([2]Entry!$D$1659="","",[2]Entry!$D$1659)</f>
        <v/>
      </c>
      <c r="R1656">
        <f>IF([2]Entry!$E$1659="","",[2]Entry!$E$1659)</f>
        <v/>
      </c>
      <c r="S1656">
        <f>IF([2]Entry!$G$1659="","",[2]Entry!$G$1659)</f>
        <v/>
      </c>
      <c r="T1656">
        <f>IF([2]Entry!$J$1659="","",[2]Entry!$J$1659)</f>
        <v/>
      </c>
      <c r="U1656">
        <f>IF([2]Entry!$K$1659="","",[2]Entry!$K$1659)</f>
        <v/>
      </c>
      <c r="V1656">
        <f>IF([2]Entry!$L$1659="","",[2]Entry!$L$1659)</f>
        <v/>
      </c>
      <c r="W1656">
        <f>IF([2]Entry!$M$1659="","",[2]Entry!$M$1659)</f>
        <v/>
      </c>
      <c r="X1656">
        <f>IF([2]Entry!$N$1659="","",[2]Entry!$N$1659)</f>
        <v/>
      </c>
      <c r="Y1656">
        <f>IF([2]Entry!$R$1659="","",[2]Entry!$R$1659)</f>
        <v/>
      </c>
    </row>
    <row r="1657">
      <c r="P1657">
        <f>IF([2]Entry!$C$1660="","",[2]Entry!$C$1660)</f>
        <v/>
      </c>
      <c r="Q1657">
        <f>IF([2]Entry!$D$1660="","",[2]Entry!$D$1660)</f>
        <v/>
      </c>
      <c r="R1657">
        <f>IF([2]Entry!$E$1660="","",[2]Entry!$E$1660)</f>
        <v/>
      </c>
      <c r="S1657">
        <f>IF([2]Entry!$G$1660="","",[2]Entry!$G$1660)</f>
        <v/>
      </c>
      <c r="T1657">
        <f>IF([2]Entry!$J$1660="","",[2]Entry!$J$1660)</f>
        <v/>
      </c>
      <c r="U1657">
        <f>IF([2]Entry!$K$1660="","",[2]Entry!$K$1660)</f>
        <v/>
      </c>
      <c r="V1657">
        <f>IF([2]Entry!$L$1660="","",[2]Entry!$L$1660)</f>
        <v/>
      </c>
      <c r="W1657">
        <f>IF([2]Entry!$M$1660="","",[2]Entry!$M$1660)</f>
        <v/>
      </c>
      <c r="X1657">
        <f>IF([2]Entry!$N$1660="","",[2]Entry!$N$1660)</f>
        <v/>
      </c>
      <c r="Y1657">
        <f>IF([2]Entry!$R$1660="","",[2]Entry!$R$1660)</f>
        <v/>
      </c>
    </row>
    <row r="1658">
      <c r="P1658">
        <f>IF([2]Entry!$C$1661="","",[2]Entry!$C$1661)</f>
        <v/>
      </c>
      <c r="Q1658">
        <f>IF([2]Entry!$D$1661="","",[2]Entry!$D$1661)</f>
        <v/>
      </c>
      <c r="R1658">
        <f>IF([2]Entry!$E$1661="","",[2]Entry!$E$1661)</f>
        <v/>
      </c>
      <c r="S1658">
        <f>IF([2]Entry!$G$1661="","",[2]Entry!$G$1661)</f>
        <v/>
      </c>
      <c r="T1658">
        <f>IF([2]Entry!$J$1661="","",[2]Entry!$J$1661)</f>
        <v/>
      </c>
      <c r="U1658">
        <f>IF([2]Entry!$K$1661="","",[2]Entry!$K$1661)</f>
        <v/>
      </c>
      <c r="V1658">
        <f>IF([2]Entry!$L$1661="","",[2]Entry!$L$1661)</f>
        <v/>
      </c>
      <c r="W1658">
        <f>IF([2]Entry!$M$1661="","",[2]Entry!$M$1661)</f>
        <v/>
      </c>
      <c r="X1658">
        <f>IF([2]Entry!$N$1661="","",[2]Entry!$N$1661)</f>
        <v/>
      </c>
      <c r="Y1658">
        <f>IF([2]Entry!$R$1661="","",[2]Entry!$R$1661)</f>
        <v/>
      </c>
    </row>
    <row r="1659">
      <c r="P1659">
        <f>IF([2]Entry!$C$1662="","",[2]Entry!$C$1662)</f>
        <v/>
      </c>
      <c r="Q1659">
        <f>IF([2]Entry!$D$1662="","",[2]Entry!$D$1662)</f>
        <v/>
      </c>
      <c r="R1659">
        <f>IF([2]Entry!$E$1662="","",[2]Entry!$E$1662)</f>
        <v/>
      </c>
      <c r="S1659">
        <f>IF([2]Entry!$G$1662="","",[2]Entry!$G$1662)</f>
        <v/>
      </c>
      <c r="T1659">
        <f>IF([2]Entry!$J$1662="","",[2]Entry!$J$1662)</f>
        <v/>
      </c>
      <c r="U1659">
        <f>IF([2]Entry!$K$1662="","",[2]Entry!$K$1662)</f>
        <v/>
      </c>
      <c r="V1659">
        <f>IF([2]Entry!$L$1662="","",[2]Entry!$L$1662)</f>
        <v/>
      </c>
      <c r="W1659">
        <f>IF([2]Entry!$M$1662="","",[2]Entry!$M$1662)</f>
        <v/>
      </c>
      <c r="X1659">
        <f>IF([2]Entry!$N$1662="","",[2]Entry!$N$1662)</f>
        <v/>
      </c>
      <c r="Y1659">
        <f>IF([2]Entry!$R$1662="","",[2]Entry!$R$1662)</f>
        <v/>
      </c>
    </row>
    <row r="1660">
      <c r="P1660">
        <f>IF([2]Entry!$C$1663="","",[2]Entry!$C$1663)</f>
        <v/>
      </c>
      <c r="Q1660">
        <f>IF([2]Entry!$D$1663="","",[2]Entry!$D$1663)</f>
        <v/>
      </c>
      <c r="R1660">
        <f>IF([2]Entry!$E$1663="","",[2]Entry!$E$1663)</f>
        <v/>
      </c>
      <c r="S1660">
        <f>IF([2]Entry!$G$1663="","",[2]Entry!$G$1663)</f>
        <v/>
      </c>
      <c r="T1660">
        <f>IF([2]Entry!$J$1663="","",[2]Entry!$J$1663)</f>
        <v/>
      </c>
      <c r="U1660">
        <f>IF([2]Entry!$K$1663="","",[2]Entry!$K$1663)</f>
        <v/>
      </c>
      <c r="V1660">
        <f>IF([2]Entry!$L$1663="","",[2]Entry!$L$1663)</f>
        <v/>
      </c>
      <c r="W1660">
        <f>IF([2]Entry!$M$1663="","",[2]Entry!$M$1663)</f>
        <v/>
      </c>
      <c r="X1660">
        <f>IF([2]Entry!$N$1663="","",[2]Entry!$N$1663)</f>
        <v/>
      </c>
      <c r="Y1660">
        <f>IF([2]Entry!$R$1663="","",[2]Entry!$R$1663)</f>
        <v/>
      </c>
    </row>
    <row r="1661">
      <c r="P1661">
        <f>IF([2]Entry!$C$1664="","",[2]Entry!$C$1664)</f>
        <v/>
      </c>
      <c r="Q1661">
        <f>IF([2]Entry!$D$1664="","",[2]Entry!$D$1664)</f>
        <v/>
      </c>
      <c r="R1661">
        <f>IF([2]Entry!$E$1664="","",[2]Entry!$E$1664)</f>
        <v/>
      </c>
      <c r="S1661">
        <f>IF([2]Entry!$G$1664="","",[2]Entry!$G$1664)</f>
        <v/>
      </c>
      <c r="T1661">
        <f>IF([2]Entry!$J$1664="","",[2]Entry!$J$1664)</f>
        <v/>
      </c>
      <c r="U1661">
        <f>IF([2]Entry!$K$1664="","",[2]Entry!$K$1664)</f>
        <v/>
      </c>
      <c r="V1661">
        <f>IF([2]Entry!$L$1664="","",[2]Entry!$L$1664)</f>
        <v/>
      </c>
      <c r="W1661">
        <f>IF([2]Entry!$M$1664="","",[2]Entry!$M$1664)</f>
        <v/>
      </c>
      <c r="X1661">
        <f>IF([2]Entry!$N$1664="","",[2]Entry!$N$1664)</f>
        <v/>
      </c>
      <c r="Y1661">
        <f>IF([2]Entry!$R$1664="","",[2]Entry!$R$1664)</f>
        <v/>
      </c>
    </row>
    <row r="1662">
      <c r="P1662">
        <f>IF([2]Entry!$C$1665="","",[2]Entry!$C$1665)</f>
        <v/>
      </c>
      <c r="Q1662">
        <f>IF([2]Entry!$D$1665="","",[2]Entry!$D$1665)</f>
        <v/>
      </c>
      <c r="R1662">
        <f>IF([2]Entry!$E$1665="","",[2]Entry!$E$1665)</f>
        <v/>
      </c>
      <c r="S1662">
        <f>IF([2]Entry!$G$1665="","",[2]Entry!$G$1665)</f>
        <v/>
      </c>
      <c r="T1662">
        <f>IF([2]Entry!$J$1665="","",[2]Entry!$J$1665)</f>
        <v/>
      </c>
      <c r="U1662">
        <f>IF([2]Entry!$K$1665="","",[2]Entry!$K$1665)</f>
        <v/>
      </c>
      <c r="V1662">
        <f>IF([2]Entry!$L$1665="","",[2]Entry!$L$1665)</f>
        <v/>
      </c>
      <c r="W1662">
        <f>IF([2]Entry!$M$1665="","",[2]Entry!$M$1665)</f>
        <v/>
      </c>
      <c r="X1662">
        <f>IF([2]Entry!$N$1665="","",[2]Entry!$N$1665)</f>
        <v/>
      </c>
      <c r="Y1662">
        <f>IF([2]Entry!$R$1665="","",[2]Entry!$R$1665)</f>
        <v/>
      </c>
    </row>
    <row r="1663">
      <c r="P1663">
        <f>IF([2]Entry!$C$1666="","",[2]Entry!$C$1666)</f>
        <v/>
      </c>
      <c r="Q1663">
        <f>IF([2]Entry!$D$1666="","",[2]Entry!$D$1666)</f>
        <v/>
      </c>
      <c r="R1663">
        <f>IF([2]Entry!$E$1666="","",[2]Entry!$E$1666)</f>
        <v/>
      </c>
      <c r="S1663">
        <f>IF([2]Entry!$G$1666="","",[2]Entry!$G$1666)</f>
        <v/>
      </c>
      <c r="T1663">
        <f>IF([2]Entry!$J$1666="","",[2]Entry!$J$1666)</f>
        <v/>
      </c>
      <c r="U1663">
        <f>IF([2]Entry!$K$1666="","",[2]Entry!$K$1666)</f>
        <v/>
      </c>
      <c r="V1663">
        <f>IF([2]Entry!$L$1666="","",[2]Entry!$L$1666)</f>
        <v/>
      </c>
      <c r="W1663">
        <f>IF([2]Entry!$M$1666="","",[2]Entry!$M$1666)</f>
        <v/>
      </c>
      <c r="X1663">
        <f>IF([2]Entry!$N$1666="","",[2]Entry!$N$1666)</f>
        <v/>
      </c>
      <c r="Y1663">
        <f>IF([2]Entry!$R$1666="","",[2]Entry!$R$1666)</f>
        <v/>
      </c>
    </row>
    <row r="1664">
      <c r="P1664">
        <f>IF([2]Entry!$C$1667="","",[2]Entry!$C$1667)</f>
        <v/>
      </c>
      <c r="Q1664">
        <f>IF([2]Entry!$D$1667="","",[2]Entry!$D$1667)</f>
        <v/>
      </c>
      <c r="R1664">
        <f>IF([2]Entry!$E$1667="","",[2]Entry!$E$1667)</f>
        <v/>
      </c>
      <c r="S1664">
        <f>IF([2]Entry!$G$1667="","",[2]Entry!$G$1667)</f>
        <v/>
      </c>
      <c r="T1664">
        <f>IF([2]Entry!$J$1667="","",[2]Entry!$J$1667)</f>
        <v/>
      </c>
      <c r="U1664">
        <f>IF([2]Entry!$K$1667="","",[2]Entry!$K$1667)</f>
        <v/>
      </c>
      <c r="V1664">
        <f>IF([2]Entry!$L$1667="","",[2]Entry!$L$1667)</f>
        <v/>
      </c>
      <c r="W1664">
        <f>IF([2]Entry!$M$1667="","",[2]Entry!$M$1667)</f>
        <v/>
      </c>
      <c r="X1664">
        <f>IF([2]Entry!$N$1667="","",[2]Entry!$N$1667)</f>
        <v/>
      </c>
      <c r="Y1664">
        <f>IF([2]Entry!$R$1667="","",[2]Entry!$R$1667)</f>
        <v/>
      </c>
    </row>
    <row r="1665">
      <c r="P1665">
        <f>IF([2]Entry!$C$1668="","",[2]Entry!$C$1668)</f>
        <v/>
      </c>
      <c r="Q1665">
        <f>IF([2]Entry!$D$1668="","",[2]Entry!$D$1668)</f>
        <v/>
      </c>
      <c r="R1665">
        <f>IF([2]Entry!$E$1668="","",[2]Entry!$E$1668)</f>
        <v/>
      </c>
      <c r="S1665">
        <f>IF([2]Entry!$G$1668="","",[2]Entry!$G$1668)</f>
        <v/>
      </c>
      <c r="T1665">
        <f>IF([2]Entry!$J$1668="","",[2]Entry!$J$1668)</f>
        <v/>
      </c>
      <c r="U1665">
        <f>IF([2]Entry!$K$1668="","",[2]Entry!$K$1668)</f>
        <v/>
      </c>
      <c r="V1665">
        <f>IF([2]Entry!$L$1668="","",[2]Entry!$L$1668)</f>
        <v/>
      </c>
      <c r="W1665">
        <f>IF([2]Entry!$M$1668="","",[2]Entry!$M$1668)</f>
        <v/>
      </c>
      <c r="X1665">
        <f>IF([2]Entry!$N$1668="","",[2]Entry!$N$1668)</f>
        <v/>
      </c>
      <c r="Y1665">
        <f>IF([2]Entry!$R$1668="","",[2]Entry!$R$1668)</f>
        <v/>
      </c>
    </row>
    <row r="1666">
      <c r="P1666">
        <f>IF([2]Entry!$C$1669="","",[2]Entry!$C$1669)</f>
        <v/>
      </c>
      <c r="Q1666">
        <f>IF([2]Entry!$D$1669="","",[2]Entry!$D$1669)</f>
        <v/>
      </c>
      <c r="R1666">
        <f>IF([2]Entry!$E$1669="","",[2]Entry!$E$1669)</f>
        <v/>
      </c>
      <c r="S1666">
        <f>IF([2]Entry!$G$1669="","",[2]Entry!$G$1669)</f>
        <v/>
      </c>
      <c r="T1666">
        <f>IF([2]Entry!$J$1669="","",[2]Entry!$J$1669)</f>
        <v/>
      </c>
      <c r="U1666">
        <f>IF([2]Entry!$K$1669="","",[2]Entry!$K$1669)</f>
        <v/>
      </c>
      <c r="V1666">
        <f>IF([2]Entry!$L$1669="","",[2]Entry!$L$1669)</f>
        <v/>
      </c>
      <c r="W1666">
        <f>IF([2]Entry!$M$1669="","",[2]Entry!$M$1669)</f>
        <v/>
      </c>
      <c r="X1666">
        <f>IF([2]Entry!$N$1669="","",[2]Entry!$N$1669)</f>
        <v/>
      </c>
      <c r="Y1666">
        <f>IF([2]Entry!$R$1669="","",[2]Entry!$R$1669)</f>
        <v/>
      </c>
    </row>
    <row r="1667">
      <c r="P1667">
        <f>IF([2]Entry!$C$1670="","",[2]Entry!$C$1670)</f>
        <v/>
      </c>
      <c r="Q1667">
        <f>IF([2]Entry!$D$1670="","",[2]Entry!$D$1670)</f>
        <v/>
      </c>
      <c r="R1667">
        <f>IF([2]Entry!$E$1670="","",[2]Entry!$E$1670)</f>
        <v/>
      </c>
      <c r="S1667">
        <f>IF([2]Entry!$G$1670="","",[2]Entry!$G$1670)</f>
        <v/>
      </c>
      <c r="T1667">
        <f>IF([2]Entry!$J$1670="","",[2]Entry!$J$1670)</f>
        <v/>
      </c>
      <c r="U1667">
        <f>IF([2]Entry!$K$1670="","",[2]Entry!$K$1670)</f>
        <v/>
      </c>
      <c r="V1667">
        <f>IF([2]Entry!$L$1670="","",[2]Entry!$L$1670)</f>
        <v/>
      </c>
      <c r="W1667">
        <f>IF([2]Entry!$M$1670="","",[2]Entry!$M$1670)</f>
        <v/>
      </c>
      <c r="X1667">
        <f>IF([2]Entry!$N$1670="","",[2]Entry!$N$1670)</f>
        <v/>
      </c>
      <c r="Y1667">
        <f>IF([2]Entry!$R$1670="","",[2]Entry!$R$1670)</f>
        <v/>
      </c>
    </row>
    <row r="1668">
      <c r="P1668">
        <f>IF([2]Entry!$C$1671="","",[2]Entry!$C$1671)</f>
        <v/>
      </c>
      <c r="Q1668">
        <f>IF([2]Entry!$D$1671="","",[2]Entry!$D$1671)</f>
        <v/>
      </c>
      <c r="R1668">
        <f>IF([2]Entry!$E$1671="","",[2]Entry!$E$1671)</f>
        <v/>
      </c>
      <c r="S1668">
        <f>IF([2]Entry!$G$1671="","",[2]Entry!$G$1671)</f>
        <v/>
      </c>
      <c r="T1668">
        <f>IF([2]Entry!$J$1671="","",[2]Entry!$J$1671)</f>
        <v/>
      </c>
      <c r="U1668">
        <f>IF([2]Entry!$K$1671="","",[2]Entry!$K$1671)</f>
        <v/>
      </c>
      <c r="V1668">
        <f>IF([2]Entry!$L$1671="","",[2]Entry!$L$1671)</f>
        <v/>
      </c>
      <c r="W1668">
        <f>IF([2]Entry!$M$1671="","",[2]Entry!$M$1671)</f>
        <v/>
      </c>
      <c r="X1668">
        <f>IF([2]Entry!$N$1671="","",[2]Entry!$N$1671)</f>
        <v/>
      </c>
      <c r="Y1668">
        <f>IF([2]Entry!$R$1671="","",[2]Entry!$R$1671)</f>
        <v/>
      </c>
    </row>
    <row r="1669">
      <c r="P1669">
        <f>IF([2]Entry!$C$1672="","",[2]Entry!$C$1672)</f>
        <v/>
      </c>
      <c r="Q1669">
        <f>IF([2]Entry!$D$1672="","",[2]Entry!$D$1672)</f>
        <v/>
      </c>
      <c r="R1669">
        <f>IF([2]Entry!$E$1672="","",[2]Entry!$E$1672)</f>
        <v/>
      </c>
      <c r="S1669">
        <f>IF([2]Entry!$G$1672="","",[2]Entry!$G$1672)</f>
        <v/>
      </c>
      <c r="T1669">
        <f>IF([2]Entry!$J$1672="","",[2]Entry!$J$1672)</f>
        <v/>
      </c>
      <c r="U1669">
        <f>IF([2]Entry!$K$1672="","",[2]Entry!$K$1672)</f>
        <v/>
      </c>
      <c r="V1669">
        <f>IF([2]Entry!$L$1672="","",[2]Entry!$L$1672)</f>
        <v/>
      </c>
      <c r="W1669">
        <f>IF([2]Entry!$M$1672="","",[2]Entry!$M$1672)</f>
        <v/>
      </c>
      <c r="X1669">
        <f>IF([2]Entry!$N$1672="","",[2]Entry!$N$1672)</f>
        <v/>
      </c>
      <c r="Y1669">
        <f>IF([2]Entry!$R$1672="","",[2]Entry!$R$1672)</f>
        <v/>
      </c>
    </row>
    <row r="1670">
      <c r="P1670">
        <f>IF([2]Entry!$C$1673="","",[2]Entry!$C$1673)</f>
        <v/>
      </c>
      <c r="Q1670">
        <f>IF([2]Entry!$D$1673="","",[2]Entry!$D$1673)</f>
        <v/>
      </c>
      <c r="R1670">
        <f>IF([2]Entry!$E$1673="","",[2]Entry!$E$1673)</f>
        <v/>
      </c>
      <c r="S1670">
        <f>IF([2]Entry!$G$1673="","",[2]Entry!$G$1673)</f>
        <v/>
      </c>
      <c r="T1670">
        <f>IF([2]Entry!$J$1673="","",[2]Entry!$J$1673)</f>
        <v/>
      </c>
      <c r="U1670">
        <f>IF([2]Entry!$K$1673="","",[2]Entry!$K$1673)</f>
        <v/>
      </c>
      <c r="V1670">
        <f>IF([2]Entry!$L$1673="","",[2]Entry!$L$1673)</f>
        <v/>
      </c>
      <c r="W1670">
        <f>IF([2]Entry!$M$1673="","",[2]Entry!$M$1673)</f>
        <v/>
      </c>
      <c r="X1670">
        <f>IF([2]Entry!$N$1673="","",[2]Entry!$N$1673)</f>
        <v/>
      </c>
      <c r="Y1670">
        <f>IF([2]Entry!$R$1673="","",[2]Entry!$R$1673)</f>
        <v/>
      </c>
    </row>
    <row r="1671">
      <c r="P1671">
        <f>IF([2]Entry!$C$1674="","",[2]Entry!$C$1674)</f>
        <v/>
      </c>
      <c r="Q1671">
        <f>IF([2]Entry!$D$1674="","",[2]Entry!$D$1674)</f>
        <v/>
      </c>
      <c r="R1671">
        <f>IF([2]Entry!$E$1674="","",[2]Entry!$E$1674)</f>
        <v/>
      </c>
      <c r="S1671">
        <f>IF([2]Entry!$G$1674="","",[2]Entry!$G$1674)</f>
        <v/>
      </c>
      <c r="T1671">
        <f>IF([2]Entry!$J$1674="","",[2]Entry!$J$1674)</f>
        <v/>
      </c>
      <c r="U1671">
        <f>IF([2]Entry!$K$1674="","",[2]Entry!$K$1674)</f>
        <v/>
      </c>
      <c r="V1671">
        <f>IF([2]Entry!$L$1674="","",[2]Entry!$L$1674)</f>
        <v/>
      </c>
      <c r="W1671">
        <f>IF([2]Entry!$M$1674="","",[2]Entry!$M$1674)</f>
        <v/>
      </c>
      <c r="X1671">
        <f>IF([2]Entry!$N$1674="","",[2]Entry!$N$1674)</f>
        <v/>
      </c>
      <c r="Y1671">
        <f>IF([2]Entry!$R$1674="","",[2]Entry!$R$1674)</f>
        <v/>
      </c>
    </row>
    <row r="1672">
      <c r="P1672">
        <f>IF([2]Entry!$C$1675="","",[2]Entry!$C$1675)</f>
        <v/>
      </c>
      <c r="Q1672">
        <f>IF([2]Entry!$D$1675="","",[2]Entry!$D$1675)</f>
        <v/>
      </c>
      <c r="R1672">
        <f>IF([2]Entry!$E$1675="","",[2]Entry!$E$1675)</f>
        <v/>
      </c>
      <c r="S1672">
        <f>IF([2]Entry!$G$1675="","",[2]Entry!$G$1675)</f>
        <v/>
      </c>
      <c r="T1672">
        <f>IF([2]Entry!$J$1675="","",[2]Entry!$J$1675)</f>
        <v/>
      </c>
      <c r="U1672">
        <f>IF([2]Entry!$K$1675="","",[2]Entry!$K$1675)</f>
        <v/>
      </c>
      <c r="V1672">
        <f>IF([2]Entry!$L$1675="","",[2]Entry!$L$1675)</f>
        <v/>
      </c>
      <c r="W1672">
        <f>IF([2]Entry!$M$1675="","",[2]Entry!$M$1675)</f>
        <v/>
      </c>
      <c r="X1672">
        <f>IF([2]Entry!$N$1675="","",[2]Entry!$N$1675)</f>
        <v/>
      </c>
      <c r="Y1672">
        <f>IF([2]Entry!$R$1675="","",[2]Entry!$R$1675)</f>
        <v/>
      </c>
    </row>
    <row r="1673">
      <c r="P1673">
        <f>IF([2]Entry!$C$1676="","",[2]Entry!$C$1676)</f>
        <v/>
      </c>
      <c r="Q1673">
        <f>IF([2]Entry!$D$1676="","",[2]Entry!$D$1676)</f>
        <v/>
      </c>
      <c r="R1673">
        <f>IF([2]Entry!$E$1676="","",[2]Entry!$E$1676)</f>
        <v/>
      </c>
      <c r="S1673">
        <f>IF([2]Entry!$G$1676="","",[2]Entry!$G$1676)</f>
        <v/>
      </c>
      <c r="T1673">
        <f>IF([2]Entry!$J$1676="","",[2]Entry!$J$1676)</f>
        <v/>
      </c>
      <c r="U1673">
        <f>IF([2]Entry!$K$1676="","",[2]Entry!$K$1676)</f>
        <v/>
      </c>
      <c r="V1673">
        <f>IF([2]Entry!$L$1676="","",[2]Entry!$L$1676)</f>
        <v/>
      </c>
      <c r="W1673">
        <f>IF([2]Entry!$M$1676="","",[2]Entry!$M$1676)</f>
        <v/>
      </c>
      <c r="X1673">
        <f>IF([2]Entry!$N$1676="","",[2]Entry!$N$1676)</f>
        <v/>
      </c>
      <c r="Y1673">
        <f>IF([2]Entry!$R$1676="","",[2]Entry!$R$1676)</f>
        <v/>
      </c>
    </row>
    <row r="1674">
      <c r="P1674">
        <f>IF([2]Entry!$C$1677="","",[2]Entry!$C$1677)</f>
        <v/>
      </c>
      <c r="Q1674">
        <f>IF([2]Entry!$D$1677="","",[2]Entry!$D$1677)</f>
        <v/>
      </c>
      <c r="R1674">
        <f>IF([2]Entry!$E$1677="","",[2]Entry!$E$1677)</f>
        <v/>
      </c>
      <c r="S1674">
        <f>IF([2]Entry!$G$1677="","",[2]Entry!$G$1677)</f>
        <v/>
      </c>
      <c r="T1674">
        <f>IF([2]Entry!$J$1677="","",[2]Entry!$J$1677)</f>
        <v/>
      </c>
      <c r="U1674">
        <f>IF([2]Entry!$K$1677="","",[2]Entry!$K$1677)</f>
        <v/>
      </c>
      <c r="V1674">
        <f>IF([2]Entry!$L$1677="","",[2]Entry!$L$1677)</f>
        <v/>
      </c>
      <c r="W1674">
        <f>IF([2]Entry!$M$1677="","",[2]Entry!$M$1677)</f>
        <v/>
      </c>
      <c r="X1674">
        <f>IF([2]Entry!$N$1677="","",[2]Entry!$N$1677)</f>
        <v/>
      </c>
      <c r="Y1674">
        <f>IF([2]Entry!$R$1677="","",[2]Entry!$R$1677)</f>
        <v/>
      </c>
    </row>
    <row r="1675">
      <c r="P1675">
        <f>IF([2]Entry!$C$1678="","",[2]Entry!$C$1678)</f>
        <v/>
      </c>
      <c r="Q1675">
        <f>IF([2]Entry!$D$1678="","",[2]Entry!$D$1678)</f>
        <v/>
      </c>
      <c r="R1675">
        <f>IF([2]Entry!$E$1678="","",[2]Entry!$E$1678)</f>
        <v/>
      </c>
      <c r="S1675">
        <f>IF([2]Entry!$G$1678="","",[2]Entry!$G$1678)</f>
        <v/>
      </c>
      <c r="T1675">
        <f>IF([2]Entry!$J$1678="","",[2]Entry!$J$1678)</f>
        <v/>
      </c>
      <c r="U1675">
        <f>IF([2]Entry!$K$1678="","",[2]Entry!$K$1678)</f>
        <v/>
      </c>
      <c r="V1675">
        <f>IF([2]Entry!$L$1678="","",[2]Entry!$L$1678)</f>
        <v/>
      </c>
      <c r="W1675">
        <f>IF([2]Entry!$M$1678="","",[2]Entry!$M$1678)</f>
        <v/>
      </c>
      <c r="X1675">
        <f>IF([2]Entry!$N$1678="","",[2]Entry!$N$1678)</f>
        <v/>
      </c>
      <c r="Y1675">
        <f>IF([2]Entry!$R$1678="","",[2]Entry!$R$1678)</f>
        <v/>
      </c>
    </row>
    <row r="1676">
      <c r="P1676">
        <f>IF([2]Entry!$C$1679="","",[2]Entry!$C$1679)</f>
        <v/>
      </c>
      <c r="Q1676">
        <f>IF([2]Entry!$D$1679="","",[2]Entry!$D$1679)</f>
        <v/>
      </c>
      <c r="R1676">
        <f>IF([2]Entry!$E$1679="","",[2]Entry!$E$1679)</f>
        <v/>
      </c>
      <c r="S1676">
        <f>IF([2]Entry!$G$1679="","",[2]Entry!$G$1679)</f>
        <v/>
      </c>
      <c r="T1676">
        <f>IF([2]Entry!$J$1679="","",[2]Entry!$J$1679)</f>
        <v/>
      </c>
      <c r="U1676">
        <f>IF([2]Entry!$K$1679="","",[2]Entry!$K$1679)</f>
        <v/>
      </c>
      <c r="V1676">
        <f>IF([2]Entry!$L$1679="","",[2]Entry!$L$1679)</f>
        <v/>
      </c>
      <c r="W1676">
        <f>IF([2]Entry!$M$1679="","",[2]Entry!$M$1679)</f>
        <v/>
      </c>
      <c r="X1676">
        <f>IF([2]Entry!$N$1679="","",[2]Entry!$N$1679)</f>
        <v/>
      </c>
      <c r="Y1676">
        <f>IF([2]Entry!$R$1679="","",[2]Entry!$R$1679)</f>
        <v/>
      </c>
    </row>
    <row r="1677">
      <c r="P1677">
        <f>IF([2]Entry!$C$1680="","",[2]Entry!$C$1680)</f>
        <v/>
      </c>
      <c r="Q1677">
        <f>IF([2]Entry!$D$1680="","",[2]Entry!$D$1680)</f>
        <v/>
      </c>
      <c r="R1677">
        <f>IF([2]Entry!$E$1680="","",[2]Entry!$E$1680)</f>
        <v/>
      </c>
      <c r="S1677">
        <f>IF([2]Entry!$G$1680="","",[2]Entry!$G$1680)</f>
        <v/>
      </c>
      <c r="T1677">
        <f>IF([2]Entry!$J$1680="","",[2]Entry!$J$1680)</f>
        <v/>
      </c>
      <c r="U1677">
        <f>IF([2]Entry!$K$1680="","",[2]Entry!$K$1680)</f>
        <v/>
      </c>
      <c r="V1677">
        <f>IF([2]Entry!$L$1680="","",[2]Entry!$L$1680)</f>
        <v/>
      </c>
      <c r="W1677">
        <f>IF([2]Entry!$M$1680="","",[2]Entry!$M$1680)</f>
        <v/>
      </c>
      <c r="X1677">
        <f>IF([2]Entry!$N$1680="","",[2]Entry!$N$1680)</f>
        <v/>
      </c>
      <c r="Y1677">
        <f>IF([2]Entry!$R$1680="","",[2]Entry!$R$1680)</f>
        <v/>
      </c>
    </row>
    <row r="1678">
      <c r="P1678">
        <f>IF([2]Entry!$C$1681="","",[2]Entry!$C$1681)</f>
        <v/>
      </c>
      <c r="Q1678">
        <f>IF([2]Entry!$D$1681="","",[2]Entry!$D$1681)</f>
        <v/>
      </c>
      <c r="R1678">
        <f>IF([2]Entry!$E$1681="","",[2]Entry!$E$1681)</f>
        <v/>
      </c>
      <c r="S1678">
        <f>IF([2]Entry!$G$1681="","",[2]Entry!$G$1681)</f>
        <v/>
      </c>
      <c r="T1678">
        <f>IF([2]Entry!$J$1681="","",[2]Entry!$J$1681)</f>
        <v/>
      </c>
      <c r="U1678">
        <f>IF([2]Entry!$K$1681="","",[2]Entry!$K$1681)</f>
        <v/>
      </c>
      <c r="V1678">
        <f>IF([2]Entry!$L$1681="","",[2]Entry!$L$1681)</f>
        <v/>
      </c>
      <c r="W1678">
        <f>IF([2]Entry!$M$1681="","",[2]Entry!$M$1681)</f>
        <v/>
      </c>
      <c r="X1678">
        <f>IF([2]Entry!$N$1681="","",[2]Entry!$N$1681)</f>
        <v/>
      </c>
      <c r="Y1678">
        <f>IF([2]Entry!$R$1681="","",[2]Entry!$R$1681)</f>
        <v/>
      </c>
    </row>
    <row r="1679">
      <c r="P1679">
        <f>IF([2]Entry!$C$1682="","",[2]Entry!$C$1682)</f>
        <v/>
      </c>
      <c r="Q1679">
        <f>IF([2]Entry!$D$1682="","",[2]Entry!$D$1682)</f>
        <v/>
      </c>
      <c r="R1679">
        <f>IF([2]Entry!$E$1682="","",[2]Entry!$E$1682)</f>
        <v/>
      </c>
      <c r="S1679">
        <f>IF([2]Entry!$G$1682="","",[2]Entry!$G$1682)</f>
        <v/>
      </c>
      <c r="T1679">
        <f>IF([2]Entry!$J$1682="","",[2]Entry!$J$1682)</f>
        <v/>
      </c>
      <c r="U1679">
        <f>IF([2]Entry!$K$1682="","",[2]Entry!$K$1682)</f>
        <v/>
      </c>
      <c r="V1679">
        <f>IF([2]Entry!$L$1682="","",[2]Entry!$L$1682)</f>
        <v/>
      </c>
      <c r="W1679">
        <f>IF([2]Entry!$M$1682="","",[2]Entry!$M$1682)</f>
        <v/>
      </c>
      <c r="X1679">
        <f>IF([2]Entry!$N$1682="","",[2]Entry!$N$1682)</f>
        <v/>
      </c>
      <c r="Y1679">
        <f>IF([2]Entry!$R$1682="","",[2]Entry!$R$1682)</f>
        <v/>
      </c>
    </row>
    <row r="1680">
      <c r="P1680">
        <f>IF([2]Entry!$C$1683="","",[2]Entry!$C$1683)</f>
        <v/>
      </c>
      <c r="Q1680">
        <f>IF([2]Entry!$D$1683="","",[2]Entry!$D$1683)</f>
        <v/>
      </c>
      <c r="R1680">
        <f>IF([2]Entry!$E$1683="","",[2]Entry!$E$1683)</f>
        <v/>
      </c>
      <c r="S1680">
        <f>IF([2]Entry!$G$1683="","",[2]Entry!$G$1683)</f>
        <v/>
      </c>
      <c r="T1680">
        <f>IF([2]Entry!$J$1683="","",[2]Entry!$J$1683)</f>
        <v/>
      </c>
      <c r="U1680">
        <f>IF([2]Entry!$K$1683="","",[2]Entry!$K$1683)</f>
        <v/>
      </c>
      <c r="V1680">
        <f>IF([2]Entry!$L$1683="","",[2]Entry!$L$1683)</f>
        <v/>
      </c>
      <c r="W1680">
        <f>IF([2]Entry!$M$1683="","",[2]Entry!$M$1683)</f>
        <v/>
      </c>
      <c r="X1680">
        <f>IF([2]Entry!$N$1683="","",[2]Entry!$N$1683)</f>
        <v/>
      </c>
      <c r="Y1680">
        <f>IF([2]Entry!$R$1683="","",[2]Entry!$R$1683)</f>
        <v/>
      </c>
    </row>
    <row r="1681">
      <c r="P1681">
        <f>IF([2]Entry!$C$1684="","",[2]Entry!$C$1684)</f>
        <v/>
      </c>
      <c r="Q1681">
        <f>IF([2]Entry!$D$1684="","",[2]Entry!$D$1684)</f>
        <v/>
      </c>
      <c r="R1681">
        <f>IF([2]Entry!$E$1684="","",[2]Entry!$E$1684)</f>
        <v/>
      </c>
      <c r="S1681">
        <f>IF([2]Entry!$G$1684="","",[2]Entry!$G$1684)</f>
        <v/>
      </c>
      <c r="T1681">
        <f>IF([2]Entry!$J$1684="","",[2]Entry!$J$1684)</f>
        <v/>
      </c>
      <c r="U1681">
        <f>IF([2]Entry!$K$1684="","",[2]Entry!$K$1684)</f>
        <v/>
      </c>
      <c r="V1681">
        <f>IF([2]Entry!$L$1684="","",[2]Entry!$L$1684)</f>
        <v/>
      </c>
      <c r="W1681">
        <f>IF([2]Entry!$M$1684="","",[2]Entry!$M$1684)</f>
        <v/>
      </c>
      <c r="X1681">
        <f>IF([2]Entry!$N$1684="","",[2]Entry!$N$1684)</f>
        <v/>
      </c>
      <c r="Y1681">
        <f>IF([2]Entry!$R$1684="","",[2]Entry!$R$1684)</f>
        <v/>
      </c>
    </row>
    <row r="1682">
      <c r="P1682">
        <f>IF([2]Entry!$C$1685="","",[2]Entry!$C$1685)</f>
        <v/>
      </c>
      <c r="Q1682">
        <f>IF([2]Entry!$D$1685="","",[2]Entry!$D$1685)</f>
        <v/>
      </c>
      <c r="R1682">
        <f>IF([2]Entry!$E$1685="","",[2]Entry!$E$1685)</f>
        <v/>
      </c>
      <c r="S1682">
        <f>IF([2]Entry!$G$1685="","",[2]Entry!$G$1685)</f>
        <v/>
      </c>
      <c r="T1682">
        <f>IF([2]Entry!$J$1685="","",[2]Entry!$J$1685)</f>
        <v/>
      </c>
      <c r="U1682">
        <f>IF([2]Entry!$K$1685="","",[2]Entry!$K$1685)</f>
        <v/>
      </c>
      <c r="V1682">
        <f>IF([2]Entry!$L$1685="","",[2]Entry!$L$1685)</f>
        <v/>
      </c>
      <c r="W1682">
        <f>IF([2]Entry!$M$1685="","",[2]Entry!$M$1685)</f>
        <v/>
      </c>
      <c r="X1682">
        <f>IF([2]Entry!$N$1685="","",[2]Entry!$N$1685)</f>
        <v/>
      </c>
      <c r="Y1682">
        <f>IF([2]Entry!$R$1685="","",[2]Entry!$R$1685)</f>
        <v/>
      </c>
    </row>
    <row r="1683">
      <c r="P1683">
        <f>IF([2]Entry!$C$1686="","",[2]Entry!$C$1686)</f>
        <v/>
      </c>
      <c r="Q1683">
        <f>IF([2]Entry!$D$1686="","",[2]Entry!$D$1686)</f>
        <v/>
      </c>
      <c r="R1683">
        <f>IF([2]Entry!$E$1686="","",[2]Entry!$E$1686)</f>
        <v/>
      </c>
      <c r="S1683">
        <f>IF([2]Entry!$G$1686="","",[2]Entry!$G$1686)</f>
        <v/>
      </c>
      <c r="T1683">
        <f>IF([2]Entry!$J$1686="","",[2]Entry!$J$1686)</f>
        <v/>
      </c>
      <c r="U1683">
        <f>IF([2]Entry!$K$1686="","",[2]Entry!$K$1686)</f>
        <v/>
      </c>
      <c r="V1683">
        <f>IF([2]Entry!$L$1686="","",[2]Entry!$L$1686)</f>
        <v/>
      </c>
      <c r="W1683">
        <f>IF([2]Entry!$M$1686="","",[2]Entry!$M$1686)</f>
        <v/>
      </c>
      <c r="X1683">
        <f>IF([2]Entry!$N$1686="","",[2]Entry!$N$1686)</f>
        <v/>
      </c>
      <c r="Y1683">
        <f>IF([2]Entry!$R$1686="","",[2]Entry!$R$1686)</f>
        <v/>
      </c>
    </row>
    <row r="1684">
      <c r="P1684">
        <f>IF([2]Entry!$C$1687="","",[2]Entry!$C$1687)</f>
        <v/>
      </c>
      <c r="Q1684">
        <f>IF([2]Entry!$D$1687="","",[2]Entry!$D$1687)</f>
        <v/>
      </c>
      <c r="R1684">
        <f>IF([2]Entry!$E$1687="","",[2]Entry!$E$1687)</f>
        <v/>
      </c>
      <c r="S1684">
        <f>IF([2]Entry!$G$1687="","",[2]Entry!$G$1687)</f>
        <v/>
      </c>
      <c r="T1684">
        <f>IF([2]Entry!$J$1687="","",[2]Entry!$J$1687)</f>
        <v/>
      </c>
      <c r="U1684">
        <f>IF([2]Entry!$K$1687="","",[2]Entry!$K$1687)</f>
        <v/>
      </c>
      <c r="V1684">
        <f>IF([2]Entry!$L$1687="","",[2]Entry!$L$1687)</f>
        <v/>
      </c>
      <c r="W1684">
        <f>IF([2]Entry!$M$1687="","",[2]Entry!$M$1687)</f>
        <v/>
      </c>
      <c r="X1684">
        <f>IF([2]Entry!$N$1687="","",[2]Entry!$N$1687)</f>
        <v/>
      </c>
      <c r="Y1684">
        <f>IF([2]Entry!$R$1687="","",[2]Entry!$R$1687)</f>
        <v/>
      </c>
    </row>
    <row r="1685">
      <c r="P1685">
        <f>IF([2]Entry!$C$1688="","",[2]Entry!$C$1688)</f>
        <v/>
      </c>
      <c r="Q1685">
        <f>IF([2]Entry!$D$1688="","",[2]Entry!$D$1688)</f>
        <v/>
      </c>
      <c r="R1685">
        <f>IF([2]Entry!$E$1688="","",[2]Entry!$E$1688)</f>
        <v/>
      </c>
      <c r="S1685">
        <f>IF([2]Entry!$G$1688="","",[2]Entry!$G$1688)</f>
        <v/>
      </c>
      <c r="T1685">
        <f>IF([2]Entry!$J$1688="","",[2]Entry!$J$1688)</f>
        <v/>
      </c>
      <c r="U1685">
        <f>IF([2]Entry!$K$1688="","",[2]Entry!$K$1688)</f>
        <v/>
      </c>
      <c r="V1685">
        <f>IF([2]Entry!$L$1688="","",[2]Entry!$L$1688)</f>
        <v/>
      </c>
      <c r="W1685">
        <f>IF([2]Entry!$M$1688="","",[2]Entry!$M$1688)</f>
        <v/>
      </c>
      <c r="X1685">
        <f>IF([2]Entry!$N$1688="","",[2]Entry!$N$1688)</f>
        <v/>
      </c>
      <c r="Y1685">
        <f>IF([2]Entry!$R$1688="","",[2]Entry!$R$1688)</f>
        <v/>
      </c>
    </row>
    <row r="1686">
      <c r="P1686">
        <f>IF([2]Entry!$C$1689="","",[2]Entry!$C$1689)</f>
        <v/>
      </c>
      <c r="Q1686">
        <f>IF([2]Entry!$D$1689="","",[2]Entry!$D$1689)</f>
        <v/>
      </c>
      <c r="R1686">
        <f>IF([2]Entry!$E$1689="","",[2]Entry!$E$1689)</f>
        <v/>
      </c>
      <c r="S1686">
        <f>IF([2]Entry!$G$1689="","",[2]Entry!$G$1689)</f>
        <v/>
      </c>
      <c r="T1686">
        <f>IF([2]Entry!$J$1689="","",[2]Entry!$J$1689)</f>
        <v/>
      </c>
      <c r="U1686">
        <f>IF([2]Entry!$K$1689="","",[2]Entry!$K$1689)</f>
        <v/>
      </c>
      <c r="V1686">
        <f>IF([2]Entry!$L$1689="","",[2]Entry!$L$1689)</f>
        <v/>
      </c>
      <c r="W1686">
        <f>IF([2]Entry!$M$1689="","",[2]Entry!$M$1689)</f>
        <v/>
      </c>
      <c r="X1686">
        <f>IF([2]Entry!$N$1689="","",[2]Entry!$N$1689)</f>
        <v/>
      </c>
      <c r="Y1686">
        <f>IF([2]Entry!$R$1689="","",[2]Entry!$R$1689)</f>
        <v/>
      </c>
    </row>
    <row r="1687">
      <c r="P1687">
        <f>IF([2]Entry!$C$1690="","",[2]Entry!$C$1690)</f>
        <v/>
      </c>
      <c r="Q1687">
        <f>IF([2]Entry!$D$1690="","",[2]Entry!$D$1690)</f>
        <v/>
      </c>
      <c r="R1687">
        <f>IF([2]Entry!$E$1690="","",[2]Entry!$E$1690)</f>
        <v/>
      </c>
      <c r="S1687">
        <f>IF([2]Entry!$G$1690="","",[2]Entry!$G$1690)</f>
        <v/>
      </c>
      <c r="T1687">
        <f>IF([2]Entry!$J$1690="","",[2]Entry!$J$1690)</f>
        <v/>
      </c>
      <c r="U1687">
        <f>IF([2]Entry!$K$1690="","",[2]Entry!$K$1690)</f>
        <v/>
      </c>
      <c r="V1687">
        <f>IF([2]Entry!$L$1690="","",[2]Entry!$L$1690)</f>
        <v/>
      </c>
      <c r="W1687">
        <f>IF([2]Entry!$M$1690="","",[2]Entry!$M$1690)</f>
        <v/>
      </c>
      <c r="X1687">
        <f>IF([2]Entry!$N$1690="","",[2]Entry!$N$1690)</f>
        <v/>
      </c>
      <c r="Y1687">
        <f>IF([2]Entry!$R$1690="","",[2]Entry!$R$1690)</f>
        <v/>
      </c>
    </row>
    <row r="1688">
      <c r="P1688">
        <f>IF([2]Entry!$C$1691="","",[2]Entry!$C$1691)</f>
        <v/>
      </c>
      <c r="Q1688">
        <f>IF([2]Entry!$D$1691="","",[2]Entry!$D$1691)</f>
        <v/>
      </c>
      <c r="R1688">
        <f>IF([2]Entry!$E$1691="","",[2]Entry!$E$1691)</f>
        <v/>
      </c>
      <c r="S1688">
        <f>IF([2]Entry!$G$1691="","",[2]Entry!$G$1691)</f>
        <v/>
      </c>
      <c r="T1688">
        <f>IF([2]Entry!$J$1691="","",[2]Entry!$J$1691)</f>
        <v/>
      </c>
      <c r="U1688">
        <f>IF([2]Entry!$K$1691="","",[2]Entry!$K$1691)</f>
        <v/>
      </c>
      <c r="V1688">
        <f>IF([2]Entry!$L$1691="","",[2]Entry!$L$1691)</f>
        <v/>
      </c>
      <c r="W1688">
        <f>IF([2]Entry!$M$1691="","",[2]Entry!$M$1691)</f>
        <v/>
      </c>
      <c r="X1688">
        <f>IF([2]Entry!$N$1691="","",[2]Entry!$N$1691)</f>
        <v/>
      </c>
      <c r="Y1688">
        <f>IF([2]Entry!$R$1691="","",[2]Entry!$R$1691)</f>
        <v/>
      </c>
    </row>
    <row r="1689">
      <c r="P1689">
        <f>IF([2]Entry!$C$1692="","",[2]Entry!$C$1692)</f>
        <v/>
      </c>
      <c r="Q1689">
        <f>IF([2]Entry!$D$1692="","",[2]Entry!$D$1692)</f>
        <v/>
      </c>
      <c r="R1689">
        <f>IF([2]Entry!$E$1692="","",[2]Entry!$E$1692)</f>
        <v/>
      </c>
      <c r="S1689">
        <f>IF([2]Entry!$G$1692="","",[2]Entry!$G$1692)</f>
        <v/>
      </c>
      <c r="T1689">
        <f>IF([2]Entry!$J$1692="","",[2]Entry!$J$1692)</f>
        <v/>
      </c>
      <c r="U1689">
        <f>IF([2]Entry!$K$1692="","",[2]Entry!$K$1692)</f>
        <v/>
      </c>
      <c r="V1689">
        <f>IF([2]Entry!$L$1692="","",[2]Entry!$L$1692)</f>
        <v/>
      </c>
      <c r="W1689">
        <f>IF([2]Entry!$M$1692="","",[2]Entry!$M$1692)</f>
        <v/>
      </c>
      <c r="X1689">
        <f>IF([2]Entry!$N$1692="","",[2]Entry!$N$1692)</f>
        <v/>
      </c>
      <c r="Y1689">
        <f>IF([2]Entry!$R$1692="","",[2]Entry!$R$1692)</f>
        <v/>
      </c>
    </row>
    <row r="1690">
      <c r="P1690">
        <f>IF([2]Entry!$C$1693="","",[2]Entry!$C$1693)</f>
        <v/>
      </c>
      <c r="Q1690">
        <f>IF([2]Entry!$D$1693="","",[2]Entry!$D$1693)</f>
        <v/>
      </c>
      <c r="R1690">
        <f>IF([2]Entry!$E$1693="","",[2]Entry!$E$1693)</f>
        <v/>
      </c>
      <c r="S1690">
        <f>IF([2]Entry!$G$1693="","",[2]Entry!$G$1693)</f>
        <v/>
      </c>
      <c r="T1690">
        <f>IF([2]Entry!$J$1693="","",[2]Entry!$J$1693)</f>
        <v/>
      </c>
      <c r="U1690">
        <f>IF([2]Entry!$K$1693="","",[2]Entry!$K$1693)</f>
        <v/>
      </c>
      <c r="V1690">
        <f>IF([2]Entry!$L$1693="","",[2]Entry!$L$1693)</f>
        <v/>
      </c>
      <c r="W1690">
        <f>IF([2]Entry!$M$1693="","",[2]Entry!$M$1693)</f>
        <v/>
      </c>
      <c r="X1690">
        <f>IF([2]Entry!$N$1693="","",[2]Entry!$N$1693)</f>
        <v/>
      </c>
      <c r="Y1690">
        <f>IF([2]Entry!$R$1693="","",[2]Entry!$R$1693)</f>
        <v/>
      </c>
    </row>
    <row r="1691">
      <c r="P1691">
        <f>IF([2]Entry!$C$1694="","",[2]Entry!$C$1694)</f>
        <v/>
      </c>
      <c r="Q1691">
        <f>IF([2]Entry!$D$1694="","",[2]Entry!$D$1694)</f>
        <v/>
      </c>
      <c r="R1691">
        <f>IF([2]Entry!$E$1694="","",[2]Entry!$E$1694)</f>
        <v/>
      </c>
      <c r="S1691">
        <f>IF([2]Entry!$G$1694="","",[2]Entry!$G$1694)</f>
        <v/>
      </c>
      <c r="T1691">
        <f>IF([2]Entry!$J$1694="","",[2]Entry!$J$1694)</f>
        <v/>
      </c>
      <c r="U1691">
        <f>IF([2]Entry!$K$1694="","",[2]Entry!$K$1694)</f>
        <v/>
      </c>
      <c r="V1691">
        <f>IF([2]Entry!$L$1694="","",[2]Entry!$L$1694)</f>
        <v/>
      </c>
      <c r="W1691">
        <f>IF([2]Entry!$M$1694="","",[2]Entry!$M$1694)</f>
        <v/>
      </c>
      <c r="X1691">
        <f>IF([2]Entry!$N$1694="","",[2]Entry!$N$1694)</f>
        <v/>
      </c>
      <c r="Y1691">
        <f>IF([2]Entry!$R$1694="","",[2]Entry!$R$1694)</f>
        <v/>
      </c>
    </row>
    <row r="1692">
      <c r="P1692">
        <f>IF([2]Entry!$C$1695="","",[2]Entry!$C$1695)</f>
        <v/>
      </c>
      <c r="Q1692">
        <f>IF([2]Entry!$D$1695="","",[2]Entry!$D$1695)</f>
        <v/>
      </c>
      <c r="R1692">
        <f>IF([2]Entry!$E$1695="","",[2]Entry!$E$1695)</f>
        <v/>
      </c>
      <c r="S1692">
        <f>IF([2]Entry!$G$1695="","",[2]Entry!$G$1695)</f>
        <v/>
      </c>
      <c r="T1692">
        <f>IF([2]Entry!$J$1695="","",[2]Entry!$J$1695)</f>
        <v/>
      </c>
      <c r="U1692">
        <f>IF([2]Entry!$K$1695="","",[2]Entry!$K$1695)</f>
        <v/>
      </c>
      <c r="V1692">
        <f>IF([2]Entry!$L$1695="","",[2]Entry!$L$1695)</f>
        <v/>
      </c>
      <c r="W1692">
        <f>IF([2]Entry!$M$1695="","",[2]Entry!$M$1695)</f>
        <v/>
      </c>
      <c r="X1692">
        <f>IF([2]Entry!$N$1695="","",[2]Entry!$N$1695)</f>
        <v/>
      </c>
      <c r="Y1692">
        <f>IF([2]Entry!$R$1695="","",[2]Entry!$R$1695)</f>
        <v/>
      </c>
    </row>
    <row r="1693">
      <c r="P1693">
        <f>IF([2]Entry!$C$1696="","",[2]Entry!$C$1696)</f>
        <v/>
      </c>
      <c r="Q1693">
        <f>IF([2]Entry!$D$1696="","",[2]Entry!$D$1696)</f>
        <v/>
      </c>
      <c r="R1693">
        <f>IF([2]Entry!$E$1696="","",[2]Entry!$E$1696)</f>
        <v/>
      </c>
      <c r="S1693">
        <f>IF([2]Entry!$G$1696="","",[2]Entry!$G$1696)</f>
        <v/>
      </c>
      <c r="T1693">
        <f>IF([2]Entry!$J$1696="","",[2]Entry!$J$1696)</f>
        <v/>
      </c>
      <c r="U1693">
        <f>IF([2]Entry!$K$1696="","",[2]Entry!$K$1696)</f>
        <v/>
      </c>
      <c r="V1693">
        <f>IF([2]Entry!$L$1696="","",[2]Entry!$L$1696)</f>
        <v/>
      </c>
      <c r="W1693">
        <f>IF([2]Entry!$M$1696="","",[2]Entry!$M$1696)</f>
        <v/>
      </c>
      <c r="X1693">
        <f>IF([2]Entry!$N$1696="","",[2]Entry!$N$1696)</f>
        <v/>
      </c>
      <c r="Y1693">
        <f>IF([2]Entry!$R$1696="","",[2]Entry!$R$1696)</f>
        <v/>
      </c>
    </row>
    <row r="1694">
      <c r="P1694">
        <f>IF([2]Entry!$C$1697="","",[2]Entry!$C$1697)</f>
        <v/>
      </c>
      <c r="Q1694">
        <f>IF([2]Entry!$D$1697="","",[2]Entry!$D$1697)</f>
        <v/>
      </c>
      <c r="R1694">
        <f>IF([2]Entry!$E$1697="","",[2]Entry!$E$1697)</f>
        <v/>
      </c>
      <c r="S1694">
        <f>IF([2]Entry!$G$1697="","",[2]Entry!$G$1697)</f>
        <v/>
      </c>
      <c r="T1694">
        <f>IF([2]Entry!$J$1697="","",[2]Entry!$J$1697)</f>
        <v/>
      </c>
      <c r="U1694">
        <f>IF([2]Entry!$K$1697="","",[2]Entry!$K$1697)</f>
        <v/>
      </c>
      <c r="V1694">
        <f>IF([2]Entry!$L$1697="","",[2]Entry!$L$1697)</f>
        <v/>
      </c>
      <c r="W1694">
        <f>IF([2]Entry!$M$1697="","",[2]Entry!$M$1697)</f>
        <v/>
      </c>
      <c r="X1694">
        <f>IF([2]Entry!$N$1697="","",[2]Entry!$N$1697)</f>
        <v/>
      </c>
      <c r="Y1694">
        <f>IF([2]Entry!$R$1697="","",[2]Entry!$R$1697)</f>
        <v/>
      </c>
    </row>
    <row r="1695">
      <c r="P1695">
        <f>IF([2]Entry!$C$1698="","",[2]Entry!$C$1698)</f>
        <v/>
      </c>
      <c r="Q1695">
        <f>IF([2]Entry!$D$1698="","",[2]Entry!$D$1698)</f>
        <v/>
      </c>
      <c r="R1695">
        <f>IF([2]Entry!$E$1698="","",[2]Entry!$E$1698)</f>
        <v/>
      </c>
      <c r="S1695">
        <f>IF([2]Entry!$G$1698="","",[2]Entry!$G$1698)</f>
        <v/>
      </c>
      <c r="T1695">
        <f>IF([2]Entry!$J$1698="","",[2]Entry!$J$1698)</f>
        <v/>
      </c>
      <c r="U1695">
        <f>IF([2]Entry!$K$1698="","",[2]Entry!$K$1698)</f>
        <v/>
      </c>
      <c r="V1695">
        <f>IF([2]Entry!$L$1698="","",[2]Entry!$L$1698)</f>
        <v/>
      </c>
      <c r="W1695">
        <f>IF([2]Entry!$M$1698="","",[2]Entry!$M$1698)</f>
        <v/>
      </c>
      <c r="X1695">
        <f>IF([2]Entry!$N$1698="","",[2]Entry!$N$1698)</f>
        <v/>
      </c>
      <c r="Y1695">
        <f>IF([2]Entry!$R$1698="","",[2]Entry!$R$1698)</f>
        <v/>
      </c>
    </row>
    <row r="1696">
      <c r="P1696">
        <f>IF([2]Entry!$C$1699="","",[2]Entry!$C$1699)</f>
        <v/>
      </c>
      <c r="Q1696">
        <f>IF([2]Entry!$D$1699="","",[2]Entry!$D$1699)</f>
        <v/>
      </c>
      <c r="R1696">
        <f>IF([2]Entry!$E$1699="","",[2]Entry!$E$1699)</f>
        <v/>
      </c>
      <c r="S1696">
        <f>IF([2]Entry!$G$1699="","",[2]Entry!$G$1699)</f>
        <v/>
      </c>
      <c r="T1696">
        <f>IF([2]Entry!$J$1699="","",[2]Entry!$J$1699)</f>
        <v/>
      </c>
      <c r="U1696">
        <f>IF([2]Entry!$K$1699="","",[2]Entry!$K$1699)</f>
        <v/>
      </c>
      <c r="V1696">
        <f>IF([2]Entry!$L$1699="","",[2]Entry!$L$1699)</f>
        <v/>
      </c>
      <c r="W1696">
        <f>IF([2]Entry!$M$1699="","",[2]Entry!$M$1699)</f>
        <v/>
      </c>
      <c r="X1696">
        <f>IF([2]Entry!$N$1699="","",[2]Entry!$N$1699)</f>
        <v/>
      </c>
      <c r="Y1696">
        <f>IF([2]Entry!$R$1699="","",[2]Entry!$R$1699)</f>
        <v/>
      </c>
    </row>
    <row r="1697">
      <c r="P1697">
        <f>IF([2]Entry!$C$1700="","",[2]Entry!$C$1700)</f>
        <v/>
      </c>
      <c r="Q1697">
        <f>IF([2]Entry!$D$1700="","",[2]Entry!$D$1700)</f>
        <v/>
      </c>
      <c r="R1697">
        <f>IF([2]Entry!$E$1700="","",[2]Entry!$E$1700)</f>
        <v/>
      </c>
      <c r="S1697">
        <f>IF([2]Entry!$G$1700="","",[2]Entry!$G$1700)</f>
        <v/>
      </c>
      <c r="T1697">
        <f>IF([2]Entry!$J$1700="","",[2]Entry!$J$1700)</f>
        <v/>
      </c>
      <c r="U1697">
        <f>IF([2]Entry!$K$1700="","",[2]Entry!$K$1700)</f>
        <v/>
      </c>
      <c r="V1697">
        <f>IF([2]Entry!$L$1700="","",[2]Entry!$L$1700)</f>
        <v/>
      </c>
      <c r="W1697">
        <f>IF([2]Entry!$M$1700="","",[2]Entry!$M$1700)</f>
        <v/>
      </c>
      <c r="X1697">
        <f>IF([2]Entry!$N$1700="","",[2]Entry!$N$1700)</f>
        <v/>
      </c>
      <c r="Y1697">
        <f>IF([2]Entry!$R$1700="","",[2]Entry!$R$1700)</f>
        <v/>
      </c>
    </row>
    <row r="1698">
      <c r="P1698">
        <f>IF([2]Entry!$C$1701="","",[2]Entry!$C$1701)</f>
        <v/>
      </c>
      <c r="Q1698">
        <f>IF([2]Entry!$D$1701="","",[2]Entry!$D$1701)</f>
        <v/>
      </c>
      <c r="R1698">
        <f>IF([2]Entry!$E$1701="","",[2]Entry!$E$1701)</f>
        <v/>
      </c>
      <c r="S1698">
        <f>IF([2]Entry!$G$1701="","",[2]Entry!$G$1701)</f>
        <v/>
      </c>
      <c r="T1698">
        <f>IF([2]Entry!$J$1701="","",[2]Entry!$J$1701)</f>
        <v/>
      </c>
      <c r="U1698">
        <f>IF([2]Entry!$K$1701="","",[2]Entry!$K$1701)</f>
        <v/>
      </c>
      <c r="V1698">
        <f>IF([2]Entry!$L$1701="","",[2]Entry!$L$1701)</f>
        <v/>
      </c>
      <c r="W1698">
        <f>IF([2]Entry!$M$1701="","",[2]Entry!$M$1701)</f>
        <v/>
      </c>
      <c r="X1698">
        <f>IF([2]Entry!$N$1701="","",[2]Entry!$N$1701)</f>
        <v/>
      </c>
      <c r="Y1698">
        <f>IF([2]Entry!$R$1701="","",[2]Entry!$R$1701)</f>
        <v/>
      </c>
    </row>
    <row r="1699">
      <c r="P1699">
        <f>IF([2]Entry!$C$1702="","",[2]Entry!$C$1702)</f>
        <v/>
      </c>
      <c r="Q1699">
        <f>IF([2]Entry!$D$1702="","",[2]Entry!$D$1702)</f>
        <v/>
      </c>
      <c r="R1699">
        <f>IF([2]Entry!$E$1702="","",[2]Entry!$E$1702)</f>
        <v/>
      </c>
      <c r="S1699">
        <f>IF([2]Entry!$G$1702="","",[2]Entry!$G$1702)</f>
        <v/>
      </c>
      <c r="T1699">
        <f>IF([2]Entry!$J$1702="","",[2]Entry!$J$1702)</f>
        <v/>
      </c>
      <c r="U1699">
        <f>IF([2]Entry!$K$1702="","",[2]Entry!$K$1702)</f>
        <v/>
      </c>
      <c r="V1699">
        <f>IF([2]Entry!$L$1702="","",[2]Entry!$L$1702)</f>
        <v/>
      </c>
      <c r="W1699">
        <f>IF([2]Entry!$M$1702="","",[2]Entry!$M$1702)</f>
        <v/>
      </c>
      <c r="X1699">
        <f>IF([2]Entry!$N$1702="","",[2]Entry!$N$1702)</f>
        <v/>
      </c>
      <c r="Y1699">
        <f>IF([2]Entry!$R$1702="","",[2]Entry!$R$1702)</f>
        <v/>
      </c>
    </row>
    <row r="1700">
      <c r="P1700">
        <f>IF([2]Entry!$C$1703="","",[2]Entry!$C$1703)</f>
        <v/>
      </c>
      <c r="Q1700">
        <f>IF([2]Entry!$D$1703="","",[2]Entry!$D$1703)</f>
        <v/>
      </c>
      <c r="R1700">
        <f>IF([2]Entry!$E$1703="","",[2]Entry!$E$1703)</f>
        <v/>
      </c>
      <c r="S1700">
        <f>IF([2]Entry!$G$1703="","",[2]Entry!$G$1703)</f>
        <v/>
      </c>
      <c r="T1700">
        <f>IF([2]Entry!$J$1703="","",[2]Entry!$J$1703)</f>
        <v/>
      </c>
      <c r="U1700">
        <f>IF([2]Entry!$K$1703="","",[2]Entry!$K$1703)</f>
        <v/>
      </c>
      <c r="V1700">
        <f>IF([2]Entry!$L$1703="","",[2]Entry!$L$1703)</f>
        <v/>
      </c>
      <c r="W1700">
        <f>IF([2]Entry!$M$1703="","",[2]Entry!$M$1703)</f>
        <v/>
      </c>
      <c r="X1700">
        <f>IF([2]Entry!$N$1703="","",[2]Entry!$N$1703)</f>
        <v/>
      </c>
      <c r="Y1700">
        <f>IF([2]Entry!$R$1703="","",[2]Entry!$R$1703)</f>
        <v/>
      </c>
    </row>
    <row r="1701">
      <c r="P1701">
        <f>IF([2]Entry!$C$1704="","",[2]Entry!$C$1704)</f>
        <v/>
      </c>
      <c r="Q1701">
        <f>IF([2]Entry!$D$1704="","",[2]Entry!$D$1704)</f>
        <v/>
      </c>
      <c r="R1701">
        <f>IF([2]Entry!$E$1704="","",[2]Entry!$E$1704)</f>
        <v/>
      </c>
      <c r="S1701">
        <f>IF([2]Entry!$G$1704="","",[2]Entry!$G$1704)</f>
        <v/>
      </c>
      <c r="T1701">
        <f>IF([2]Entry!$J$1704="","",[2]Entry!$J$1704)</f>
        <v/>
      </c>
      <c r="U1701">
        <f>IF([2]Entry!$K$1704="","",[2]Entry!$K$1704)</f>
        <v/>
      </c>
      <c r="V1701">
        <f>IF([2]Entry!$L$1704="","",[2]Entry!$L$1704)</f>
        <v/>
      </c>
      <c r="W1701">
        <f>IF([2]Entry!$M$1704="","",[2]Entry!$M$1704)</f>
        <v/>
      </c>
      <c r="X1701">
        <f>IF([2]Entry!$N$1704="","",[2]Entry!$N$1704)</f>
        <v/>
      </c>
      <c r="Y1701">
        <f>IF([2]Entry!$R$1704="","",[2]Entry!$R$1704)</f>
        <v/>
      </c>
    </row>
    <row r="1702">
      <c r="P1702">
        <f>IF([2]Entry!$C$1705="","",[2]Entry!$C$1705)</f>
        <v/>
      </c>
      <c r="Q1702">
        <f>IF([2]Entry!$D$1705="","",[2]Entry!$D$1705)</f>
        <v/>
      </c>
      <c r="R1702">
        <f>IF([2]Entry!$E$1705="","",[2]Entry!$E$1705)</f>
        <v/>
      </c>
      <c r="S1702">
        <f>IF([2]Entry!$G$1705="","",[2]Entry!$G$1705)</f>
        <v/>
      </c>
      <c r="T1702">
        <f>IF([2]Entry!$J$1705="","",[2]Entry!$J$1705)</f>
        <v/>
      </c>
      <c r="U1702">
        <f>IF([2]Entry!$K$1705="","",[2]Entry!$K$1705)</f>
        <v/>
      </c>
      <c r="V1702">
        <f>IF([2]Entry!$L$1705="","",[2]Entry!$L$1705)</f>
        <v/>
      </c>
      <c r="W1702">
        <f>IF([2]Entry!$M$1705="","",[2]Entry!$M$1705)</f>
        <v/>
      </c>
      <c r="X1702">
        <f>IF([2]Entry!$N$1705="","",[2]Entry!$N$1705)</f>
        <v/>
      </c>
      <c r="Y1702">
        <f>IF([2]Entry!$R$1705="","",[2]Entry!$R$1705)</f>
        <v/>
      </c>
    </row>
    <row r="1703">
      <c r="P1703">
        <f>IF([2]Entry!$C$1706="","",[2]Entry!$C$1706)</f>
        <v/>
      </c>
      <c r="Q1703">
        <f>IF([2]Entry!$D$1706="","",[2]Entry!$D$1706)</f>
        <v/>
      </c>
      <c r="R1703">
        <f>IF([2]Entry!$E$1706="","",[2]Entry!$E$1706)</f>
        <v/>
      </c>
      <c r="S1703">
        <f>IF([2]Entry!$G$1706="","",[2]Entry!$G$1706)</f>
        <v/>
      </c>
      <c r="T1703">
        <f>IF([2]Entry!$J$1706="","",[2]Entry!$J$1706)</f>
        <v/>
      </c>
      <c r="U1703">
        <f>IF([2]Entry!$K$1706="","",[2]Entry!$K$1706)</f>
        <v/>
      </c>
      <c r="V1703">
        <f>IF([2]Entry!$L$1706="","",[2]Entry!$L$1706)</f>
        <v/>
      </c>
      <c r="W1703">
        <f>IF([2]Entry!$M$1706="","",[2]Entry!$M$1706)</f>
        <v/>
      </c>
      <c r="X1703">
        <f>IF([2]Entry!$N$1706="","",[2]Entry!$N$1706)</f>
        <v/>
      </c>
      <c r="Y1703">
        <f>IF([2]Entry!$R$1706="","",[2]Entry!$R$1706)</f>
        <v/>
      </c>
    </row>
    <row r="1704">
      <c r="P1704">
        <f>IF([2]Entry!$C$1707="","",[2]Entry!$C$1707)</f>
        <v/>
      </c>
      <c r="Q1704">
        <f>IF([2]Entry!$D$1707="","",[2]Entry!$D$1707)</f>
        <v/>
      </c>
      <c r="R1704">
        <f>IF([2]Entry!$E$1707="","",[2]Entry!$E$1707)</f>
        <v/>
      </c>
      <c r="S1704">
        <f>IF([2]Entry!$G$1707="","",[2]Entry!$G$1707)</f>
        <v/>
      </c>
      <c r="T1704">
        <f>IF([2]Entry!$J$1707="","",[2]Entry!$J$1707)</f>
        <v/>
      </c>
      <c r="U1704">
        <f>IF([2]Entry!$K$1707="","",[2]Entry!$K$1707)</f>
        <v/>
      </c>
      <c r="V1704">
        <f>IF([2]Entry!$L$1707="","",[2]Entry!$L$1707)</f>
        <v/>
      </c>
      <c r="W1704">
        <f>IF([2]Entry!$M$1707="","",[2]Entry!$M$1707)</f>
        <v/>
      </c>
      <c r="X1704">
        <f>IF([2]Entry!$N$1707="","",[2]Entry!$N$1707)</f>
        <v/>
      </c>
      <c r="Y1704">
        <f>IF([2]Entry!$R$1707="","",[2]Entry!$R$1707)</f>
        <v/>
      </c>
    </row>
    <row r="1705">
      <c r="P1705">
        <f>IF([2]Entry!$C$1708="","",[2]Entry!$C$1708)</f>
        <v/>
      </c>
      <c r="Q1705">
        <f>IF([2]Entry!$D$1708="","",[2]Entry!$D$1708)</f>
        <v/>
      </c>
      <c r="R1705">
        <f>IF([2]Entry!$E$1708="","",[2]Entry!$E$1708)</f>
        <v/>
      </c>
      <c r="S1705">
        <f>IF([2]Entry!$G$1708="","",[2]Entry!$G$1708)</f>
        <v/>
      </c>
      <c r="T1705">
        <f>IF([2]Entry!$J$1708="","",[2]Entry!$J$1708)</f>
        <v/>
      </c>
      <c r="U1705">
        <f>IF([2]Entry!$K$1708="","",[2]Entry!$K$1708)</f>
        <v/>
      </c>
      <c r="V1705">
        <f>IF([2]Entry!$L$1708="","",[2]Entry!$L$1708)</f>
        <v/>
      </c>
      <c r="W1705">
        <f>IF([2]Entry!$M$1708="","",[2]Entry!$M$1708)</f>
        <v/>
      </c>
      <c r="X1705">
        <f>IF([2]Entry!$N$1708="","",[2]Entry!$N$1708)</f>
        <v/>
      </c>
      <c r="Y1705">
        <f>IF([2]Entry!$R$1708="","",[2]Entry!$R$1708)</f>
        <v/>
      </c>
    </row>
    <row r="1706">
      <c r="P1706">
        <f>IF([2]Entry!$C$1709="","",[2]Entry!$C$1709)</f>
        <v/>
      </c>
      <c r="Q1706">
        <f>IF([2]Entry!$D$1709="","",[2]Entry!$D$1709)</f>
        <v/>
      </c>
      <c r="R1706">
        <f>IF([2]Entry!$E$1709="","",[2]Entry!$E$1709)</f>
        <v/>
      </c>
      <c r="S1706">
        <f>IF([2]Entry!$G$1709="","",[2]Entry!$G$1709)</f>
        <v/>
      </c>
      <c r="T1706">
        <f>IF([2]Entry!$J$1709="","",[2]Entry!$J$1709)</f>
        <v/>
      </c>
      <c r="U1706">
        <f>IF([2]Entry!$K$1709="","",[2]Entry!$K$1709)</f>
        <v/>
      </c>
      <c r="V1706">
        <f>IF([2]Entry!$L$1709="","",[2]Entry!$L$1709)</f>
        <v/>
      </c>
      <c r="W1706">
        <f>IF([2]Entry!$M$1709="","",[2]Entry!$M$1709)</f>
        <v/>
      </c>
      <c r="X1706">
        <f>IF([2]Entry!$N$1709="","",[2]Entry!$N$1709)</f>
        <v/>
      </c>
      <c r="Y1706">
        <f>IF([2]Entry!$R$1709="","",[2]Entry!$R$1709)</f>
        <v/>
      </c>
    </row>
    <row r="1707">
      <c r="P1707">
        <f>IF([2]Entry!$C$1710="","",[2]Entry!$C$1710)</f>
        <v/>
      </c>
      <c r="Q1707">
        <f>IF([2]Entry!$D$1710="","",[2]Entry!$D$1710)</f>
        <v/>
      </c>
      <c r="R1707">
        <f>IF([2]Entry!$E$1710="","",[2]Entry!$E$1710)</f>
        <v/>
      </c>
      <c r="S1707">
        <f>IF([2]Entry!$G$1710="","",[2]Entry!$G$1710)</f>
        <v/>
      </c>
      <c r="T1707">
        <f>IF([2]Entry!$J$1710="","",[2]Entry!$J$1710)</f>
        <v/>
      </c>
      <c r="U1707">
        <f>IF([2]Entry!$K$1710="","",[2]Entry!$K$1710)</f>
        <v/>
      </c>
      <c r="V1707">
        <f>IF([2]Entry!$L$1710="","",[2]Entry!$L$1710)</f>
        <v/>
      </c>
      <c r="W1707">
        <f>IF([2]Entry!$M$1710="","",[2]Entry!$M$1710)</f>
        <v/>
      </c>
      <c r="X1707">
        <f>IF([2]Entry!$N$1710="","",[2]Entry!$N$1710)</f>
        <v/>
      </c>
      <c r="Y1707">
        <f>IF([2]Entry!$R$1710="","",[2]Entry!$R$1710)</f>
        <v/>
      </c>
    </row>
    <row r="1708">
      <c r="P1708">
        <f>IF([2]Entry!$C$1711="","",[2]Entry!$C$1711)</f>
        <v/>
      </c>
      <c r="Q1708">
        <f>IF([2]Entry!$D$1711="","",[2]Entry!$D$1711)</f>
        <v/>
      </c>
      <c r="R1708">
        <f>IF([2]Entry!$E$1711="","",[2]Entry!$E$1711)</f>
        <v/>
      </c>
      <c r="S1708">
        <f>IF([2]Entry!$G$1711="","",[2]Entry!$G$1711)</f>
        <v/>
      </c>
      <c r="T1708">
        <f>IF([2]Entry!$J$1711="","",[2]Entry!$J$1711)</f>
        <v/>
      </c>
      <c r="U1708">
        <f>IF([2]Entry!$K$1711="","",[2]Entry!$K$1711)</f>
        <v/>
      </c>
      <c r="V1708">
        <f>IF([2]Entry!$L$1711="","",[2]Entry!$L$1711)</f>
        <v/>
      </c>
      <c r="W1708">
        <f>IF([2]Entry!$M$1711="","",[2]Entry!$M$1711)</f>
        <v/>
      </c>
      <c r="X1708">
        <f>IF([2]Entry!$N$1711="","",[2]Entry!$N$1711)</f>
        <v/>
      </c>
      <c r="Y1708">
        <f>IF([2]Entry!$R$1711="","",[2]Entry!$R$1711)</f>
        <v/>
      </c>
    </row>
    <row r="1709">
      <c r="P1709">
        <f>IF([2]Entry!$C$1712="","",[2]Entry!$C$1712)</f>
        <v/>
      </c>
      <c r="Q1709">
        <f>IF([2]Entry!$D$1712="","",[2]Entry!$D$1712)</f>
        <v/>
      </c>
      <c r="R1709">
        <f>IF([2]Entry!$E$1712="","",[2]Entry!$E$1712)</f>
        <v/>
      </c>
      <c r="S1709">
        <f>IF([2]Entry!$G$1712="","",[2]Entry!$G$1712)</f>
        <v/>
      </c>
      <c r="T1709">
        <f>IF([2]Entry!$J$1712="","",[2]Entry!$J$1712)</f>
        <v/>
      </c>
      <c r="U1709">
        <f>IF([2]Entry!$K$1712="","",[2]Entry!$K$1712)</f>
        <v/>
      </c>
      <c r="V1709">
        <f>IF([2]Entry!$L$1712="","",[2]Entry!$L$1712)</f>
        <v/>
      </c>
      <c r="W1709">
        <f>IF([2]Entry!$M$1712="","",[2]Entry!$M$1712)</f>
        <v/>
      </c>
      <c r="X1709">
        <f>IF([2]Entry!$N$1712="","",[2]Entry!$N$1712)</f>
        <v/>
      </c>
      <c r="Y1709">
        <f>IF([2]Entry!$R$1712="","",[2]Entry!$R$1712)</f>
        <v/>
      </c>
    </row>
    <row r="1710">
      <c r="P1710">
        <f>IF([2]Entry!$C$1713="","",[2]Entry!$C$1713)</f>
        <v/>
      </c>
      <c r="Q1710">
        <f>IF([2]Entry!$D$1713="","",[2]Entry!$D$1713)</f>
        <v/>
      </c>
      <c r="R1710">
        <f>IF([2]Entry!$E$1713="","",[2]Entry!$E$1713)</f>
        <v/>
      </c>
      <c r="S1710">
        <f>IF([2]Entry!$G$1713="","",[2]Entry!$G$1713)</f>
        <v/>
      </c>
      <c r="T1710">
        <f>IF([2]Entry!$J$1713="","",[2]Entry!$J$1713)</f>
        <v/>
      </c>
      <c r="U1710">
        <f>IF([2]Entry!$K$1713="","",[2]Entry!$K$1713)</f>
        <v/>
      </c>
      <c r="V1710">
        <f>IF([2]Entry!$L$1713="","",[2]Entry!$L$1713)</f>
        <v/>
      </c>
      <c r="W1710">
        <f>IF([2]Entry!$M$1713="","",[2]Entry!$M$1713)</f>
        <v/>
      </c>
      <c r="X1710">
        <f>IF([2]Entry!$N$1713="","",[2]Entry!$N$1713)</f>
        <v/>
      </c>
      <c r="Y1710">
        <f>IF([2]Entry!$R$1713="","",[2]Entry!$R$1713)</f>
        <v/>
      </c>
    </row>
    <row r="1711">
      <c r="P1711">
        <f>IF([2]Entry!$C$1714="","",[2]Entry!$C$1714)</f>
        <v/>
      </c>
      <c r="Q1711">
        <f>IF([2]Entry!$D$1714="","",[2]Entry!$D$1714)</f>
        <v/>
      </c>
      <c r="R1711">
        <f>IF([2]Entry!$E$1714="","",[2]Entry!$E$1714)</f>
        <v/>
      </c>
      <c r="S1711">
        <f>IF([2]Entry!$G$1714="","",[2]Entry!$G$1714)</f>
        <v/>
      </c>
      <c r="T1711">
        <f>IF([2]Entry!$J$1714="","",[2]Entry!$J$1714)</f>
        <v/>
      </c>
      <c r="U1711">
        <f>IF([2]Entry!$K$1714="","",[2]Entry!$K$1714)</f>
        <v/>
      </c>
      <c r="V1711">
        <f>IF([2]Entry!$L$1714="","",[2]Entry!$L$1714)</f>
        <v/>
      </c>
      <c r="W1711">
        <f>IF([2]Entry!$M$1714="","",[2]Entry!$M$1714)</f>
        <v/>
      </c>
      <c r="X1711">
        <f>IF([2]Entry!$N$1714="","",[2]Entry!$N$1714)</f>
        <v/>
      </c>
      <c r="Y1711">
        <f>IF([2]Entry!$R$1714="","",[2]Entry!$R$1714)</f>
        <v/>
      </c>
    </row>
    <row r="1712">
      <c r="P1712">
        <f>IF([2]Entry!$C$1715="","",[2]Entry!$C$1715)</f>
        <v/>
      </c>
      <c r="Q1712">
        <f>IF([2]Entry!$D$1715="","",[2]Entry!$D$1715)</f>
        <v/>
      </c>
      <c r="R1712">
        <f>IF([2]Entry!$E$1715="","",[2]Entry!$E$1715)</f>
        <v/>
      </c>
      <c r="S1712">
        <f>IF([2]Entry!$G$1715="","",[2]Entry!$G$1715)</f>
        <v/>
      </c>
      <c r="T1712">
        <f>IF([2]Entry!$J$1715="","",[2]Entry!$J$1715)</f>
        <v/>
      </c>
      <c r="U1712">
        <f>IF([2]Entry!$K$1715="","",[2]Entry!$K$1715)</f>
        <v/>
      </c>
      <c r="V1712">
        <f>IF([2]Entry!$L$1715="","",[2]Entry!$L$1715)</f>
        <v/>
      </c>
      <c r="W1712">
        <f>IF([2]Entry!$M$1715="","",[2]Entry!$M$1715)</f>
        <v/>
      </c>
      <c r="X1712">
        <f>IF([2]Entry!$N$1715="","",[2]Entry!$N$1715)</f>
        <v/>
      </c>
      <c r="Y1712">
        <f>IF([2]Entry!$R$1715="","",[2]Entry!$R$1715)</f>
        <v/>
      </c>
    </row>
    <row r="1713">
      <c r="P1713">
        <f>IF([2]Entry!$C$1716="","",[2]Entry!$C$1716)</f>
        <v/>
      </c>
      <c r="Q1713">
        <f>IF([2]Entry!$D$1716="","",[2]Entry!$D$1716)</f>
        <v/>
      </c>
      <c r="R1713">
        <f>IF([2]Entry!$E$1716="","",[2]Entry!$E$1716)</f>
        <v/>
      </c>
      <c r="S1713">
        <f>IF([2]Entry!$G$1716="","",[2]Entry!$G$1716)</f>
        <v/>
      </c>
      <c r="T1713">
        <f>IF([2]Entry!$J$1716="","",[2]Entry!$J$1716)</f>
        <v/>
      </c>
      <c r="U1713">
        <f>IF([2]Entry!$K$1716="","",[2]Entry!$K$1716)</f>
        <v/>
      </c>
      <c r="V1713">
        <f>IF([2]Entry!$L$1716="","",[2]Entry!$L$1716)</f>
        <v/>
      </c>
      <c r="W1713">
        <f>IF([2]Entry!$M$1716="","",[2]Entry!$M$1716)</f>
        <v/>
      </c>
      <c r="X1713">
        <f>IF([2]Entry!$N$1716="","",[2]Entry!$N$1716)</f>
        <v/>
      </c>
      <c r="Y1713">
        <f>IF([2]Entry!$R$1716="","",[2]Entry!$R$1716)</f>
        <v/>
      </c>
    </row>
    <row r="1714">
      <c r="P1714">
        <f>IF([2]Entry!$C$1717="","",[2]Entry!$C$1717)</f>
        <v/>
      </c>
      <c r="Q1714">
        <f>IF([2]Entry!$D$1717="","",[2]Entry!$D$1717)</f>
        <v/>
      </c>
      <c r="R1714">
        <f>IF([2]Entry!$E$1717="","",[2]Entry!$E$1717)</f>
        <v/>
      </c>
      <c r="S1714">
        <f>IF([2]Entry!$G$1717="","",[2]Entry!$G$1717)</f>
        <v/>
      </c>
      <c r="T1714">
        <f>IF([2]Entry!$J$1717="","",[2]Entry!$J$1717)</f>
        <v/>
      </c>
      <c r="U1714">
        <f>IF([2]Entry!$K$1717="","",[2]Entry!$K$1717)</f>
        <v/>
      </c>
      <c r="V1714">
        <f>IF([2]Entry!$L$1717="","",[2]Entry!$L$1717)</f>
        <v/>
      </c>
      <c r="W1714">
        <f>IF([2]Entry!$M$1717="","",[2]Entry!$M$1717)</f>
        <v/>
      </c>
      <c r="X1714">
        <f>IF([2]Entry!$N$1717="","",[2]Entry!$N$1717)</f>
        <v/>
      </c>
      <c r="Y1714">
        <f>IF([2]Entry!$R$1717="","",[2]Entry!$R$1717)</f>
        <v/>
      </c>
    </row>
    <row r="1715">
      <c r="P1715">
        <f>IF([2]Entry!$C$1718="","",[2]Entry!$C$1718)</f>
        <v/>
      </c>
      <c r="Q1715">
        <f>IF([2]Entry!$D$1718="","",[2]Entry!$D$1718)</f>
        <v/>
      </c>
      <c r="R1715">
        <f>IF([2]Entry!$E$1718="","",[2]Entry!$E$1718)</f>
        <v/>
      </c>
      <c r="S1715">
        <f>IF([2]Entry!$G$1718="","",[2]Entry!$G$1718)</f>
        <v/>
      </c>
      <c r="T1715">
        <f>IF([2]Entry!$J$1718="","",[2]Entry!$J$1718)</f>
        <v/>
      </c>
      <c r="U1715">
        <f>IF([2]Entry!$K$1718="","",[2]Entry!$K$1718)</f>
        <v/>
      </c>
      <c r="V1715">
        <f>IF([2]Entry!$L$1718="","",[2]Entry!$L$1718)</f>
        <v/>
      </c>
      <c r="W1715">
        <f>IF([2]Entry!$M$1718="","",[2]Entry!$M$1718)</f>
        <v/>
      </c>
      <c r="X1715">
        <f>IF([2]Entry!$N$1718="","",[2]Entry!$N$1718)</f>
        <v/>
      </c>
      <c r="Y1715">
        <f>IF([2]Entry!$R$1718="","",[2]Entry!$R$1718)</f>
        <v/>
      </c>
    </row>
    <row r="1716">
      <c r="P1716">
        <f>IF([2]Entry!$C$1719="","",[2]Entry!$C$1719)</f>
        <v/>
      </c>
      <c r="Q1716">
        <f>IF([2]Entry!$D$1719="","",[2]Entry!$D$1719)</f>
        <v/>
      </c>
      <c r="R1716">
        <f>IF([2]Entry!$E$1719="","",[2]Entry!$E$1719)</f>
        <v/>
      </c>
      <c r="S1716">
        <f>IF([2]Entry!$G$1719="","",[2]Entry!$G$1719)</f>
        <v/>
      </c>
      <c r="T1716">
        <f>IF([2]Entry!$J$1719="","",[2]Entry!$J$1719)</f>
        <v/>
      </c>
      <c r="U1716">
        <f>IF([2]Entry!$K$1719="","",[2]Entry!$K$1719)</f>
        <v/>
      </c>
      <c r="V1716">
        <f>IF([2]Entry!$L$1719="","",[2]Entry!$L$1719)</f>
        <v/>
      </c>
      <c r="W1716">
        <f>IF([2]Entry!$M$1719="","",[2]Entry!$M$1719)</f>
        <v/>
      </c>
      <c r="X1716">
        <f>IF([2]Entry!$N$1719="","",[2]Entry!$N$1719)</f>
        <v/>
      </c>
      <c r="Y1716">
        <f>IF([2]Entry!$R$1719="","",[2]Entry!$R$1719)</f>
        <v/>
      </c>
    </row>
    <row r="1717">
      <c r="P1717">
        <f>IF([2]Entry!$C$1720="","",[2]Entry!$C$1720)</f>
        <v/>
      </c>
      <c r="Q1717">
        <f>IF([2]Entry!$D$1720="","",[2]Entry!$D$1720)</f>
        <v/>
      </c>
      <c r="R1717">
        <f>IF([2]Entry!$E$1720="","",[2]Entry!$E$1720)</f>
        <v/>
      </c>
      <c r="S1717">
        <f>IF([2]Entry!$G$1720="","",[2]Entry!$G$1720)</f>
        <v/>
      </c>
      <c r="T1717">
        <f>IF([2]Entry!$J$1720="","",[2]Entry!$J$1720)</f>
        <v/>
      </c>
      <c r="U1717">
        <f>IF([2]Entry!$K$1720="","",[2]Entry!$K$1720)</f>
        <v/>
      </c>
      <c r="V1717">
        <f>IF([2]Entry!$L$1720="","",[2]Entry!$L$1720)</f>
        <v/>
      </c>
      <c r="W1717">
        <f>IF([2]Entry!$M$1720="","",[2]Entry!$M$1720)</f>
        <v/>
      </c>
      <c r="X1717">
        <f>IF([2]Entry!$N$1720="","",[2]Entry!$N$1720)</f>
        <v/>
      </c>
      <c r="Y1717">
        <f>IF([2]Entry!$R$1720="","",[2]Entry!$R$1720)</f>
        <v/>
      </c>
    </row>
    <row r="1718">
      <c r="P1718">
        <f>IF([2]Entry!$C$1721="","",[2]Entry!$C$1721)</f>
        <v/>
      </c>
      <c r="Q1718">
        <f>IF([2]Entry!$D$1721="","",[2]Entry!$D$1721)</f>
        <v/>
      </c>
      <c r="R1718">
        <f>IF([2]Entry!$E$1721="","",[2]Entry!$E$1721)</f>
        <v/>
      </c>
      <c r="S1718">
        <f>IF([2]Entry!$G$1721="","",[2]Entry!$G$1721)</f>
        <v/>
      </c>
      <c r="T1718">
        <f>IF([2]Entry!$J$1721="","",[2]Entry!$J$1721)</f>
        <v/>
      </c>
      <c r="U1718">
        <f>IF([2]Entry!$K$1721="","",[2]Entry!$K$1721)</f>
        <v/>
      </c>
      <c r="V1718">
        <f>IF([2]Entry!$L$1721="","",[2]Entry!$L$1721)</f>
        <v/>
      </c>
      <c r="W1718">
        <f>IF([2]Entry!$M$1721="","",[2]Entry!$M$1721)</f>
        <v/>
      </c>
      <c r="X1718">
        <f>IF([2]Entry!$N$1721="","",[2]Entry!$N$1721)</f>
        <v/>
      </c>
      <c r="Y1718">
        <f>IF([2]Entry!$R$1721="","",[2]Entry!$R$1721)</f>
        <v/>
      </c>
    </row>
    <row r="1719">
      <c r="P1719">
        <f>IF([2]Entry!$C$1722="","",[2]Entry!$C$1722)</f>
        <v/>
      </c>
      <c r="Q1719">
        <f>IF([2]Entry!$D$1722="","",[2]Entry!$D$1722)</f>
        <v/>
      </c>
      <c r="R1719">
        <f>IF([2]Entry!$E$1722="","",[2]Entry!$E$1722)</f>
        <v/>
      </c>
      <c r="S1719">
        <f>IF([2]Entry!$G$1722="","",[2]Entry!$G$1722)</f>
        <v/>
      </c>
      <c r="T1719">
        <f>IF([2]Entry!$J$1722="","",[2]Entry!$J$1722)</f>
        <v/>
      </c>
      <c r="U1719">
        <f>IF([2]Entry!$K$1722="","",[2]Entry!$K$1722)</f>
        <v/>
      </c>
      <c r="V1719">
        <f>IF([2]Entry!$L$1722="","",[2]Entry!$L$1722)</f>
        <v/>
      </c>
      <c r="W1719">
        <f>IF([2]Entry!$M$1722="","",[2]Entry!$M$1722)</f>
        <v/>
      </c>
      <c r="X1719">
        <f>IF([2]Entry!$N$1722="","",[2]Entry!$N$1722)</f>
        <v/>
      </c>
      <c r="Y1719">
        <f>IF([2]Entry!$R$1722="","",[2]Entry!$R$1722)</f>
        <v/>
      </c>
    </row>
    <row r="1720">
      <c r="P1720">
        <f>IF([2]Entry!$C$1723="","",[2]Entry!$C$1723)</f>
        <v/>
      </c>
      <c r="Q1720">
        <f>IF([2]Entry!$D$1723="","",[2]Entry!$D$1723)</f>
        <v/>
      </c>
      <c r="R1720">
        <f>IF([2]Entry!$E$1723="","",[2]Entry!$E$1723)</f>
        <v/>
      </c>
      <c r="S1720">
        <f>IF([2]Entry!$G$1723="","",[2]Entry!$G$1723)</f>
        <v/>
      </c>
      <c r="T1720">
        <f>IF([2]Entry!$J$1723="","",[2]Entry!$J$1723)</f>
        <v/>
      </c>
      <c r="U1720">
        <f>IF([2]Entry!$K$1723="","",[2]Entry!$K$1723)</f>
        <v/>
      </c>
      <c r="V1720">
        <f>IF([2]Entry!$L$1723="","",[2]Entry!$L$1723)</f>
        <v/>
      </c>
      <c r="W1720">
        <f>IF([2]Entry!$M$1723="","",[2]Entry!$M$1723)</f>
        <v/>
      </c>
      <c r="X1720">
        <f>IF([2]Entry!$N$1723="","",[2]Entry!$N$1723)</f>
        <v/>
      </c>
      <c r="Y1720">
        <f>IF([2]Entry!$R$1723="","",[2]Entry!$R$1723)</f>
        <v/>
      </c>
    </row>
    <row r="1721">
      <c r="P1721">
        <f>IF([2]Entry!$C$1724="","",[2]Entry!$C$1724)</f>
        <v/>
      </c>
      <c r="Q1721">
        <f>IF([2]Entry!$D$1724="","",[2]Entry!$D$1724)</f>
        <v/>
      </c>
      <c r="R1721">
        <f>IF([2]Entry!$E$1724="","",[2]Entry!$E$1724)</f>
        <v/>
      </c>
      <c r="S1721">
        <f>IF([2]Entry!$G$1724="","",[2]Entry!$G$1724)</f>
        <v/>
      </c>
      <c r="T1721">
        <f>IF([2]Entry!$J$1724="","",[2]Entry!$J$1724)</f>
        <v/>
      </c>
      <c r="U1721">
        <f>IF([2]Entry!$K$1724="","",[2]Entry!$K$1724)</f>
        <v/>
      </c>
      <c r="V1721">
        <f>IF([2]Entry!$L$1724="","",[2]Entry!$L$1724)</f>
        <v/>
      </c>
      <c r="W1721">
        <f>IF([2]Entry!$M$1724="","",[2]Entry!$M$1724)</f>
        <v/>
      </c>
      <c r="X1721">
        <f>IF([2]Entry!$N$1724="","",[2]Entry!$N$1724)</f>
        <v/>
      </c>
      <c r="Y1721">
        <f>IF([2]Entry!$R$1724="","",[2]Entry!$R$1724)</f>
        <v/>
      </c>
    </row>
    <row r="1722">
      <c r="P1722">
        <f>IF([2]Entry!$C$1725="","",[2]Entry!$C$1725)</f>
        <v/>
      </c>
      <c r="Q1722">
        <f>IF([2]Entry!$D$1725="","",[2]Entry!$D$1725)</f>
        <v/>
      </c>
      <c r="R1722">
        <f>IF([2]Entry!$E$1725="","",[2]Entry!$E$1725)</f>
        <v/>
      </c>
      <c r="S1722">
        <f>IF([2]Entry!$G$1725="","",[2]Entry!$G$1725)</f>
        <v/>
      </c>
      <c r="T1722">
        <f>IF([2]Entry!$J$1725="","",[2]Entry!$J$1725)</f>
        <v/>
      </c>
      <c r="U1722">
        <f>IF([2]Entry!$K$1725="","",[2]Entry!$K$1725)</f>
        <v/>
      </c>
      <c r="V1722">
        <f>IF([2]Entry!$L$1725="","",[2]Entry!$L$1725)</f>
        <v/>
      </c>
      <c r="W1722">
        <f>IF([2]Entry!$M$1725="","",[2]Entry!$M$1725)</f>
        <v/>
      </c>
      <c r="X1722">
        <f>IF([2]Entry!$N$1725="","",[2]Entry!$N$1725)</f>
        <v/>
      </c>
      <c r="Y1722">
        <f>IF([2]Entry!$R$1725="","",[2]Entry!$R$1725)</f>
        <v/>
      </c>
    </row>
    <row r="1723">
      <c r="P1723">
        <f>IF([2]Entry!$C$1726="","",[2]Entry!$C$1726)</f>
        <v/>
      </c>
      <c r="Q1723">
        <f>IF([2]Entry!$D$1726="","",[2]Entry!$D$1726)</f>
        <v/>
      </c>
      <c r="R1723">
        <f>IF([2]Entry!$E$1726="","",[2]Entry!$E$1726)</f>
        <v/>
      </c>
      <c r="S1723">
        <f>IF([2]Entry!$G$1726="","",[2]Entry!$G$1726)</f>
        <v/>
      </c>
      <c r="T1723">
        <f>IF([2]Entry!$J$1726="","",[2]Entry!$J$1726)</f>
        <v/>
      </c>
      <c r="U1723">
        <f>IF([2]Entry!$K$1726="","",[2]Entry!$K$1726)</f>
        <v/>
      </c>
      <c r="V1723">
        <f>IF([2]Entry!$L$1726="","",[2]Entry!$L$1726)</f>
        <v/>
      </c>
      <c r="W1723">
        <f>IF([2]Entry!$M$1726="","",[2]Entry!$M$1726)</f>
        <v/>
      </c>
      <c r="X1723">
        <f>IF([2]Entry!$N$1726="","",[2]Entry!$N$1726)</f>
        <v/>
      </c>
      <c r="Y1723">
        <f>IF([2]Entry!$R$1726="","",[2]Entry!$R$1726)</f>
        <v/>
      </c>
    </row>
    <row r="1724">
      <c r="P1724">
        <f>IF([2]Entry!$C$1727="","",[2]Entry!$C$1727)</f>
        <v/>
      </c>
      <c r="Q1724">
        <f>IF([2]Entry!$D$1727="","",[2]Entry!$D$1727)</f>
        <v/>
      </c>
      <c r="R1724">
        <f>IF([2]Entry!$E$1727="","",[2]Entry!$E$1727)</f>
        <v/>
      </c>
      <c r="S1724">
        <f>IF([2]Entry!$G$1727="","",[2]Entry!$G$1727)</f>
        <v/>
      </c>
      <c r="T1724">
        <f>IF([2]Entry!$J$1727="","",[2]Entry!$J$1727)</f>
        <v/>
      </c>
      <c r="U1724">
        <f>IF([2]Entry!$K$1727="","",[2]Entry!$K$1727)</f>
        <v/>
      </c>
      <c r="V1724">
        <f>IF([2]Entry!$L$1727="","",[2]Entry!$L$1727)</f>
        <v/>
      </c>
      <c r="W1724">
        <f>IF([2]Entry!$M$1727="","",[2]Entry!$M$1727)</f>
        <v/>
      </c>
      <c r="X1724">
        <f>IF([2]Entry!$N$1727="","",[2]Entry!$N$1727)</f>
        <v/>
      </c>
      <c r="Y1724">
        <f>IF([2]Entry!$R$1727="","",[2]Entry!$R$1727)</f>
        <v/>
      </c>
    </row>
    <row r="1725">
      <c r="P1725">
        <f>IF([2]Entry!$C$1728="","",[2]Entry!$C$1728)</f>
        <v/>
      </c>
      <c r="Q1725">
        <f>IF([2]Entry!$D$1728="","",[2]Entry!$D$1728)</f>
        <v/>
      </c>
      <c r="R1725">
        <f>IF([2]Entry!$E$1728="","",[2]Entry!$E$1728)</f>
        <v/>
      </c>
      <c r="S1725">
        <f>IF([2]Entry!$G$1728="","",[2]Entry!$G$1728)</f>
        <v/>
      </c>
      <c r="T1725">
        <f>IF([2]Entry!$J$1728="","",[2]Entry!$J$1728)</f>
        <v/>
      </c>
      <c r="U1725">
        <f>IF([2]Entry!$K$1728="","",[2]Entry!$K$1728)</f>
        <v/>
      </c>
      <c r="V1725">
        <f>IF([2]Entry!$L$1728="","",[2]Entry!$L$1728)</f>
        <v/>
      </c>
      <c r="W1725">
        <f>IF([2]Entry!$M$1728="","",[2]Entry!$M$1728)</f>
        <v/>
      </c>
      <c r="X1725">
        <f>IF([2]Entry!$N$1728="","",[2]Entry!$N$1728)</f>
        <v/>
      </c>
      <c r="Y1725">
        <f>IF([2]Entry!$R$1728="","",[2]Entry!$R$1728)</f>
        <v/>
      </c>
    </row>
    <row r="1726">
      <c r="P1726">
        <f>IF([2]Entry!$C$1729="","",[2]Entry!$C$1729)</f>
        <v/>
      </c>
      <c r="Q1726">
        <f>IF([2]Entry!$D$1729="","",[2]Entry!$D$1729)</f>
        <v/>
      </c>
      <c r="R1726">
        <f>IF([2]Entry!$E$1729="","",[2]Entry!$E$1729)</f>
        <v/>
      </c>
      <c r="S1726">
        <f>IF([2]Entry!$G$1729="","",[2]Entry!$G$1729)</f>
        <v/>
      </c>
      <c r="T1726">
        <f>IF([2]Entry!$J$1729="","",[2]Entry!$J$1729)</f>
        <v/>
      </c>
      <c r="U1726">
        <f>IF([2]Entry!$K$1729="","",[2]Entry!$K$1729)</f>
        <v/>
      </c>
      <c r="V1726">
        <f>IF([2]Entry!$L$1729="","",[2]Entry!$L$1729)</f>
        <v/>
      </c>
      <c r="W1726">
        <f>IF([2]Entry!$M$1729="","",[2]Entry!$M$1729)</f>
        <v/>
      </c>
      <c r="X1726">
        <f>IF([2]Entry!$N$1729="","",[2]Entry!$N$1729)</f>
        <v/>
      </c>
      <c r="Y1726">
        <f>IF([2]Entry!$R$1729="","",[2]Entry!$R$1729)</f>
        <v/>
      </c>
    </row>
    <row r="1727">
      <c r="P1727">
        <f>IF([2]Entry!$C$1730="","",[2]Entry!$C$1730)</f>
        <v/>
      </c>
      <c r="Q1727">
        <f>IF([2]Entry!$D$1730="","",[2]Entry!$D$1730)</f>
        <v/>
      </c>
      <c r="R1727">
        <f>IF([2]Entry!$E$1730="","",[2]Entry!$E$1730)</f>
        <v/>
      </c>
      <c r="S1727">
        <f>IF([2]Entry!$G$1730="","",[2]Entry!$G$1730)</f>
        <v/>
      </c>
      <c r="T1727">
        <f>IF([2]Entry!$J$1730="","",[2]Entry!$J$1730)</f>
        <v/>
      </c>
      <c r="U1727">
        <f>IF([2]Entry!$K$1730="","",[2]Entry!$K$1730)</f>
        <v/>
      </c>
      <c r="V1727">
        <f>IF([2]Entry!$L$1730="","",[2]Entry!$L$1730)</f>
        <v/>
      </c>
      <c r="W1727">
        <f>IF([2]Entry!$M$1730="","",[2]Entry!$M$1730)</f>
        <v/>
      </c>
      <c r="X1727">
        <f>IF([2]Entry!$N$1730="","",[2]Entry!$N$1730)</f>
        <v/>
      </c>
      <c r="Y1727">
        <f>IF([2]Entry!$R$1730="","",[2]Entry!$R$1730)</f>
        <v/>
      </c>
    </row>
    <row r="1728">
      <c r="P1728">
        <f>IF([2]Entry!$C$1731="","",[2]Entry!$C$1731)</f>
        <v/>
      </c>
      <c r="Q1728">
        <f>IF([2]Entry!$D$1731="","",[2]Entry!$D$1731)</f>
        <v/>
      </c>
      <c r="R1728">
        <f>IF([2]Entry!$E$1731="","",[2]Entry!$E$1731)</f>
        <v/>
      </c>
      <c r="S1728">
        <f>IF([2]Entry!$G$1731="","",[2]Entry!$G$1731)</f>
        <v/>
      </c>
      <c r="T1728">
        <f>IF([2]Entry!$J$1731="","",[2]Entry!$J$1731)</f>
        <v/>
      </c>
      <c r="U1728">
        <f>IF([2]Entry!$K$1731="","",[2]Entry!$K$1731)</f>
        <v/>
      </c>
      <c r="V1728">
        <f>IF([2]Entry!$L$1731="","",[2]Entry!$L$1731)</f>
        <v/>
      </c>
      <c r="W1728">
        <f>IF([2]Entry!$M$1731="","",[2]Entry!$M$1731)</f>
        <v/>
      </c>
      <c r="X1728">
        <f>IF([2]Entry!$N$1731="","",[2]Entry!$N$1731)</f>
        <v/>
      </c>
      <c r="Y1728">
        <f>IF([2]Entry!$R$1731="","",[2]Entry!$R$1731)</f>
        <v/>
      </c>
    </row>
    <row r="1729">
      <c r="P1729">
        <f>IF([2]Entry!$C$1732="","",[2]Entry!$C$1732)</f>
        <v/>
      </c>
      <c r="Q1729">
        <f>IF([2]Entry!$D$1732="","",[2]Entry!$D$1732)</f>
        <v/>
      </c>
      <c r="R1729">
        <f>IF([2]Entry!$E$1732="","",[2]Entry!$E$1732)</f>
        <v/>
      </c>
      <c r="S1729">
        <f>IF([2]Entry!$G$1732="","",[2]Entry!$G$1732)</f>
        <v/>
      </c>
      <c r="T1729">
        <f>IF([2]Entry!$J$1732="","",[2]Entry!$J$1732)</f>
        <v/>
      </c>
      <c r="U1729">
        <f>IF([2]Entry!$K$1732="","",[2]Entry!$K$1732)</f>
        <v/>
      </c>
      <c r="V1729">
        <f>IF([2]Entry!$L$1732="","",[2]Entry!$L$1732)</f>
        <v/>
      </c>
      <c r="W1729">
        <f>IF([2]Entry!$M$1732="","",[2]Entry!$M$1732)</f>
        <v/>
      </c>
      <c r="X1729">
        <f>IF([2]Entry!$N$1732="","",[2]Entry!$N$1732)</f>
        <v/>
      </c>
      <c r="Y1729">
        <f>IF([2]Entry!$R$1732="","",[2]Entry!$R$1732)</f>
        <v/>
      </c>
    </row>
    <row r="1730">
      <c r="P1730">
        <f>IF([2]Entry!$C$1733="","",[2]Entry!$C$1733)</f>
        <v/>
      </c>
      <c r="Q1730">
        <f>IF([2]Entry!$D$1733="","",[2]Entry!$D$1733)</f>
        <v/>
      </c>
      <c r="R1730">
        <f>IF([2]Entry!$E$1733="","",[2]Entry!$E$1733)</f>
        <v/>
      </c>
      <c r="S1730">
        <f>IF([2]Entry!$G$1733="","",[2]Entry!$G$1733)</f>
        <v/>
      </c>
      <c r="T1730">
        <f>IF([2]Entry!$J$1733="","",[2]Entry!$J$1733)</f>
        <v/>
      </c>
      <c r="U1730">
        <f>IF([2]Entry!$K$1733="","",[2]Entry!$K$1733)</f>
        <v/>
      </c>
      <c r="V1730">
        <f>IF([2]Entry!$L$1733="","",[2]Entry!$L$1733)</f>
        <v/>
      </c>
      <c r="W1730">
        <f>IF([2]Entry!$M$1733="","",[2]Entry!$M$1733)</f>
        <v/>
      </c>
      <c r="X1730">
        <f>IF([2]Entry!$N$1733="","",[2]Entry!$N$1733)</f>
        <v/>
      </c>
      <c r="Y1730">
        <f>IF([2]Entry!$R$1733="","",[2]Entry!$R$1733)</f>
        <v/>
      </c>
    </row>
    <row r="1731">
      <c r="P1731">
        <f>IF([2]Entry!$C$1734="","",[2]Entry!$C$1734)</f>
        <v/>
      </c>
      <c r="Q1731">
        <f>IF([2]Entry!$D$1734="","",[2]Entry!$D$1734)</f>
        <v/>
      </c>
      <c r="R1731">
        <f>IF([2]Entry!$E$1734="","",[2]Entry!$E$1734)</f>
        <v/>
      </c>
      <c r="S1731">
        <f>IF([2]Entry!$G$1734="","",[2]Entry!$G$1734)</f>
        <v/>
      </c>
      <c r="T1731">
        <f>IF([2]Entry!$J$1734="","",[2]Entry!$J$1734)</f>
        <v/>
      </c>
      <c r="U1731">
        <f>IF([2]Entry!$K$1734="","",[2]Entry!$K$1734)</f>
        <v/>
      </c>
      <c r="V1731">
        <f>IF([2]Entry!$L$1734="","",[2]Entry!$L$1734)</f>
        <v/>
      </c>
      <c r="W1731">
        <f>IF([2]Entry!$M$1734="","",[2]Entry!$M$1734)</f>
        <v/>
      </c>
      <c r="X1731">
        <f>IF([2]Entry!$N$1734="","",[2]Entry!$N$1734)</f>
        <v/>
      </c>
      <c r="Y1731">
        <f>IF([2]Entry!$R$1734="","",[2]Entry!$R$1734)</f>
        <v/>
      </c>
    </row>
    <row r="1732">
      <c r="P1732">
        <f>IF([2]Entry!$C$1735="","",[2]Entry!$C$1735)</f>
        <v/>
      </c>
      <c r="Q1732">
        <f>IF([2]Entry!$D$1735="","",[2]Entry!$D$1735)</f>
        <v/>
      </c>
      <c r="R1732">
        <f>IF([2]Entry!$E$1735="","",[2]Entry!$E$1735)</f>
        <v/>
      </c>
      <c r="S1732">
        <f>IF([2]Entry!$G$1735="","",[2]Entry!$G$1735)</f>
        <v/>
      </c>
      <c r="T1732">
        <f>IF([2]Entry!$J$1735="","",[2]Entry!$J$1735)</f>
        <v/>
      </c>
      <c r="U1732">
        <f>IF([2]Entry!$K$1735="","",[2]Entry!$K$1735)</f>
        <v/>
      </c>
      <c r="V1732">
        <f>IF([2]Entry!$L$1735="","",[2]Entry!$L$1735)</f>
        <v/>
      </c>
      <c r="W1732">
        <f>IF([2]Entry!$M$1735="","",[2]Entry!$M$1735)</f>
        <v/>
      </c>
      <c r="X1732">
        <f>IF([2]Entry!$N$1735="","",[2]Entry!$N$1735)</f>
        <v/>
      </c>
      <c r="Y1732">
        <f>IF([2]Entry!$R$1735="","",[2]Entry!$R$1735)</f>
        <v/>
      </c>
    </row>
    <row r="1733">
      <c r="P1733">
        <f>IF([2]Entry!$C$1736="","",[2]Entry!$C$1736)</f>
        <v/>
      </c>
      <c r="Q1733">
        <f>IF([2]Entry!$D$1736="","",[2]Entry!$D$1736)</f>
        <v/>
      </c>
      <c r="R1733">
        <f>IF([2]Entry!$E$1736="","",[2]Entry!$E$1736)</f>
        <v/>
      </c>
      <c r="S1733">
        <f>IF([2]Entry!$G$1736="","",[2]Entry!$G$1736)</f>
        <v/>
      </c>
      <c r="T1733">
        <f>IF([2]Entry!$J$1736="","",[2]Entry!$J$1736)</f>
        <v/>
      </c>
      <c r="U1733">
        <f>IF([2]Entry!$K$1736="","",[2]Entry!$K$1736)</f>
        <v/>
      </c>
      <c r="V1733">
        <f>IF([2]Entry!$L$1736="","",[2]Entry!$L$1736)</f>
        <v/>
      </c>
      <c r="W1733">
        <f>IF([2]Entry!$M$1736="","",[2]Entry!$M$1736)</f>
        <v/>
      </c>
      <c r="X1733">
        <f>IF([2]Entry!$N$1736="","",[2]Entry!$N$1736)</f>
        <v/>
      </c>
      <c r="Y1733">
        <f>IF([2]Entry!$R$1736="","",[2]Entry!$R$1736)</f>
        <v/>
      </c>
    </row>
    <row r="1734">
      <c r="P1734">
        <f>IF([2]Entry!$C$1737="","",[2]Entry!$C$1737)</f>
        <v/>
      </c>
      <c r="Q1734">
        <f>IF([2]Entry!$D$1737="","",[2]Entry!$D$1737)</f>
        <v/>
      </c>
      <c r="R1734">
        <f>IF([2]Entry!$E$1737="","",[2]Entry!$E$1737)</f>
        <v/>
      </c>
      <c r="S1734">
        <f>IF([2]Entry!$G$1737="","",[2]Entry!$G$1737)</f>
        <v/>
      </c>
      <c r="T1734">
        <f>IF([2]Entry!$J$1737="","",[2]Entry!$J$1737)</f>
        <v/>
      </c>
      <c r="U1734">
        <f>IF([2]Entry!$K$1737="","",[2]Entry!$K$1737)</f>
        <v/>
      </c>
      <c r="V1734">
        <f>IF([2]Entry!$L$1737="","",[2]Entry!$L$1737)</f>
        <v/>
      </c>
      <c r="W1734">
        <f>IF([2]Entry!$M$1737="","",[2]Entry!$M$1737)</f>
        <v/>
      </c>
      <c r="X1734">
        <f>IF([2]Entry!$N$1737="","",[2]Entry!$N$1737)</f>
        <v/>
      </c>
      <c r="Y1734">
        <f>IF([2]Entry!$R$1737="","",[2]Entry!$R$1737)</f>
        <v/>
      </c>
    </row>
    <row r="1735">
      <c r="P1735">
        <f>IF([2]Entry!$C$1738="","",[2]Entry!$C$1738)</f>
        <v/>
      </c>
      <c r="Q1735">
        <f>IF([2]Entry!$D$1738="","",[2]Entry!$D$1738)</f>
        <v/>
      </c>
      <c r="R1735">
        <f>IF([2]Entry!$E$1738="","",[2]Entry!$E$1738)</f>
        <v/>
      </c>
      <c r="S1735">
        <f>IF([2]Entry!$G$1738="","",[2]Entry!$G$1738)</f>
        <v/>
      </c>
      <c r="T1735">
        <f>IF([2]Entry!$J$1738="","",[2]Entry!$J$1738)</f>
        <v/>
      </c>
      <c r="U1735">
        <f>IF([2]Entry!$K$1738="","",[2]Entry!$K$1738)</f>
        <v/>
      </c>
      <c r="V1735">
        <f>IF([2]Entry!$L$1738="","",[2]Entry!$L$1738)</f>
        <v/>
      </c>
      <c r="W1735">
        <f>IF([2]Entry!$M$1738="","",[2]Entry!$M$1738)</f>
        <v/>
      </c>
      <c r="X1735">
        <f>IF([2]Entry!$N$1738="","",[2]Entry!$N$1738)</f>
        <v/>
      </c>
      <c r="Y1735">
        <f>IF([2]Entry!$R$1738="","",[2]Entry!$R$1738)</f>
        <v/>
      </c>
    </row>
    <row r="1736">
      <c r="P1736">
        <f>IF([2]Entry!$C$1739="","",[2]Entry!$C$1739)</f>
        <v/>
      </c>
      <c r="Q1736">
        <f>IF([2]Entry!$D$1739="","",[2]Entry!$D$1739)</f>
        <v/>
      </c>
      <c r="R1736">
        <f>IF([2]Entry!$E$1739="","",[2]Entry!$E$1739)</f>
        <v/>
      </c>
      <c r="S1736">
        <f>IF([2]Entry!$G$1739="","",[2]Entry!$G$1739)</f>
        <v/>
      </c>
      <c r="T1736">
        <f>IF([2]Entry!$J$1739="","",[2]Entry!$J$1739)</f>
        <v/>
      </c>
      <c r="U1736">
        <f>IF([2]Entry!$K$1739="","",[2]Entry!$K$1739)</f>
        <v/>
      </c>
      <c r="V1736">
        <f>IF([2]Entry!$L$1739="","",[2]Entry!$L$1739)</f>
        <v/>
      </c>
      <c r="W1736">
        <f>IF([2]Entry!$M$1739="","",[2]Entry!$M$1739)</f>
        <v/>
      </c>
      <c r="X1736">
        <f>IF([2]Entry!$N$1739="","",[2]Entry!$N$1739)</f>
        <v/>
      </c>
      <c r="Y1736">
        <f>IF([2]Entry!$R$1739="","",[2]Entry!$R$1739)</f>
        <v/>
      </c>
    </row>
    <row r="1737">
      <c r="P1737">
        <f>IF([2]Entry!$C$1740="","",[2]Entry!$C$1740)</f>
        <v/>
      </c>
      <c r="Q1737">
        <f>IF([2]Entry!$D$1740="","",[2]Entry!$D$1740)</f>
        <v/>
      </c>
      <c r="R1737">
        <f>IF([2]Entry!$E$1740="","",[2]Entry!$E$1740)</f>
        <v/>
      </c>
      <c r="S1737">
        <f>IF([2]Entry!$G$1740="","",[2]Entry!$G$1740)</f>
        <v/>
      </c>
      <c r="T1737">
        <f>IF([2]Entry!$J$1740="","",[2]Entry!$J$1740)</f>
        <v/>
      </c>
      <c r="U1737">
        <f>IF([2]Entry!$K$1740="","",[2]Entry!$K$1740)</f>
        <v/>
      </c>
      <c r="V1737">
        <f>IF([2]Entry!$L$1740="","",[2]Entry!$L$1740)</f>
        <v/>
      </c>
      <c r="W1737">
        <f>IF([2]Entry!$M$1740="","",[2]Entry!$M$1740)</f>
        <v/>
      </c>
      <c r="X1737">
        <f>IF([2]Entry!$N$1740="","",[2]Entry!$N$1740)</f>
        <v/>
      </c>
      <c r="Y1737">
        <f>IF([2]Entry!$R$1740="","",[2]Entry!$R$1740)</f>
        <v/>
      </c>
    </row>
    <row r="1738">
      <c r="P1738">
        <f>IF([2]Entry!$C$1741="","",[2]Entry!$C$1741)</f>
        <v/>
      </c>
      <c r="Q1738">
        <f>IF([2]Entry!$D$1741="","",[2]Entry!$D$1741)</f>
        <v/>
      </c>
      <c r="R1738">
        <f>IF([2]Entry!$E$1741="","",[2]Entry!$E$1741)</f>
        <v/>
      </c>
      <c r="S1738">
        <f>IF([2]Entry!$G$1741="","",[2]Entry!$G$1741)</f>
        <v/>
      </c>
      <c r="T1738">
        <f>IF([2]Entry!$J$1741="","",[2]Entry!$J$1741)</f>
        <v/>
      </c>
      <c r="U1738">
        <f>IF([2]Entry!$K$1741="","",[2]Entry!$K$1741)</f>
        <v/>
      </c>
      <c r="V1738">
        <f>IF([2]Entry!$L$1741="","",[2]Entry!$L$1741)</f>
        <v/>
      </c>
      <c r="W1738">
        <f>IF([2]Entry!$M$1741="","",[2]Entry!$M$1741)</f>
        <v/>
      </c>
      <c r="X1738">
        <f>IF([2]Entry!$N$1741="","",[2]Entry!$N$1741)</f>
        <v/>
      </c>
      <c r="Y1738">
        <f>IF([2]Entry!$R$1741="","",[2]Entry!$R$1741)</f>
        <v/>
      </c>
    </row>
    <row r="1739">
      <c r="P1739">
        <f>IF([2]Entry!$C$1742="","",[2]Entry!$C$1742)</f>
        <v/>
      </c>
      <c r="Q1739">
        <f>IF([2]Entry!$D$1742="","",[2]Entry!$D$1742)</f>
        <v/>
      </c>
      <c r="R1739">
        <f>IF([2]Entry!$E$1742="","",[2]Entry!$E$1742)</f>
        <v/>
      </c>
      <c r="S1739">
        <f>IF([2]Entry!$G$1742="","",[2]Entry!$G$1742)</f>
        <v/>
      </c>
      <c r="T1739">
        <f>IF([2]Entry!$J$1742="","",[2]Entry!$J$1742)</f>
        <v/>
      </c>
      <c r="U1739">
        <f>IF([2]Entry!$K$1742="","",[2]Entry!$K$1742)</f>
        <v/>
      </c>
      <c r="V1739">
        <f>IF([2]Entry!$L$1742="","",[2]Entry!$L$1742)</f>
        <v/>
      </c>
      <c r="W1739">
        <f>IF([2]Entry!$M$1742="","",[2]Entry!$M$1742)</f>
        <v/>
      </c>
      <c r="X1739">
        <f>IF([2]Entry!$N$1742="","",[2]Entry!$N$1742)</f>
        <v/>
      </c>
      <c r="Y1739">
        <f>IF([2]Entry!$R$1742="","",[2]Entry!$R$1742)</f>
        <v/>
      </c>
    </row>
    <row r="1740">
      <c r="P1740">
        <f>IF([2]Entry!$C$1743="","",[2]Entry!$C$1743)</f>
        <v/>
      </c>
      <c r="Q1740">
        <f>IF([2]Entry!$D$1743="","",[2]Entry!$D$1743)</f>
        <v/>
      </c>
      <c r="R1740">
        <f>IF([2]Entry!$E$1743="","",[2]Entry!$E$1743)</f>
        <v/>
      </c>
      <c r="S1740">
        <f>IF([2]Entry!$G$1743="","",[2]Entry!$G$1743)</f>
        <v/>
      </c>
      <c r="T1740">
        <f>IF([2]Entry!$J$1743="","",[2]Entry!$J$1743)</f>
        <v/>
      </c>
      <c r="U1740">
        <f>IF([2]Entry!$K$1743="","",[2]Entry!$K$1743)</f>
        <v/>
      </c>
      <c r="V1740">
        <f>IF([2]Entry!$L$1743="","",[2]Entry!$L$1743)</f>
        <v/>
      </c>
      <c r="W1740">
        <f>IF([2]Entry!$M$1743="","",[2]Entry!$M$1743)</f>
        <v/>
      </c>
      <c r="X1740">
        <f>IF([2]Entry!$N$1743="","",[2]Entry!$N$1743)</f>
        <v/>
      </c>
      <c r="Y1740">
        <f>IF([2]Entry!$R$1743="","",[2]Entry!$R$1743)</f>
        <v/>
      </c>
    </row>
    <row r="1741">
      <c r="P1741">
        <f>IF([2]Entry!$C$1744="","",[2]Entry!$C$1744)</f>
        <v/>
      </c>
      <c r="Q1741">
        <f>IF([2]Entry!$D$1744="","",[2]Entry!$D$1744)</f>
        <v/>
      </c>
      <c r="R1741">
        <f>IF([2]Entry!$E$1744="","",[2]Entry!$E$1744)</f>
        <v/>
      </c>
      <c r="S1741">
        <f>IF([2]Entry!$G$1744="","",[2]Entry!$G$1744)</f>
        <v/>
      </c>
      <c r="T1741">
        <f>IF([2]Entry!$J$1744="","",[2]Entry!$J$1744)</f>
        <v/>
      </c>
      <c r="U1741">
        <f>IF([2]Entry!$K$1744="","",[2]Entry!$K$1744)</f>
        <v/>
      </c>
      <c r="V1741">
        <f>IF([2]Entry!$L$1744="","",[2]Entry!$L$1744)</f>
        <v/>
      </c>
      <c r="W1741">
        <f>IF([2]Entry!$M$1744="","",[2]Entry!$M$1744)</f>
        <v/>
      </c>
      <c r="X1741">
        <f>IF([2]Entry!$N$1744="","",[2]Entry!$N$1744)</f>
        <v/>
      </c>
      <c r="Y1741">
        <f>IF([2]Entry!$R$1744="","",[2]Entry!$R$1744)</f>
        <v/>
      </c>
    </row>
    <row r="1742">
      <c r="P1742">
        <f>IF([2]Entry!$C$1745="","",[2]Entry!$C$1745)</f>
        <v/>
      </c>
      <c r="Q1742">
        <f>IF([2]Entry!$D$1745="","",[2]Entry!$D$1745)</f>
        <v/>
      </c>
      <c r="R1742">
        <f>IF([2]Entry!$E$1745="","",[2]Entry!$E$1745)</f>
        <v/>
      </c>
      <c r="S1742">
        <f>IF([2]Entry!$G$1745="","",[2]Entry!$G$1745)</f>
        <v/>
      </c>
      <c r="T1742">
        <f>IF([2]Entry!$J$1745="","",[2]Entry!$J$1745)</f>
        <v/>
      </c>
      <c r="U1742">
        <f>IF([2]Entry!$K$1745="","",[2]Entry!$K$1745)</f>
        <v/>
      </c>
      <c r="V1742">
        <f>IF([2]Entry!$L$1745="","",[2]Entry!$L$1745)</f>
        <v/>
      </c>
      <c r="W1742">
        <f>IF([2]Entry!$M$1745="","",[2]Entry!$M$1745)</f>
        <v/>
      </c>
      <c r="X1742">
        <f>IF([2]Entry!$N$1745="","",[2]Entry!$N$1745)</f>
        <v/>
      </c>
      <c r="Y1742">
        <f>IF([2]Entry!$R$1745="","",[2]Entry!$R$1745)</f>
        <v/>
      </c>
    </row>
    <row r="1743">
      <c r="P1743">
        <f>IF([2]Entry!$C$1746="","",[2]Entry!$C$1746)</f>
        <v/>
      </c>
      <c r="Q1743">
        <f>IF([2]Entry!$D$1746="","",[2]Entry!$D$1746)</f>
        <v/>
      </c>
      <c r="R1743">
        <f>IF([2]Entry!$E$1746="","",[2]Entry!$E$1746)</f>
        <v/>
      </c>
      <c r="S1743">
        <f>IF([2]Entry!$G$1746="","",[2]Entry!$G$1746)</f>
        <v/>
      </c>
      <c r="T1743">
        <f>IF([2]Entry!$J$1746="","",[2]Entry!$J$1746)</f>
        <v/>
      </c>
      <c r="U1743">
        <f>IF([2]Entry!$K$1746="","",[2]Entry!$K$1746)</f>
        <v/>
      </c>
      <c r="V1743">
        <f>IF([2]Entry!$L$1746="","",[2]Entry!$L$1746)</f>
        <v/>
      </c>
      <c r="W1743">
        <f>IF([2]Entry!$M$1746="","",[2]Entry!$M$1746)</f>
        <v/>
      </c>
      <c r="X1743">
        <f>IF([2]Entry!$N$1746="","",[2]Entry!$N$1746)</f>
        <v/>
      </c>
      <c r="Y1743">
        <f>IF([2]Entry!$R$1746="","",[2]Entry!$R$1746)</f>
        <v/>
      </c>
    </row>
    <row r="1744">
      <c r="P1744">
        <f>IF([2]Entry!$C$1747="","",[2]Entry!$C$1747)</f>
        <v/>
      </c>
      <c r="Q1744">
        <f>IF([2]Entry!$D$1747="","",[2]Entry!$D$1747)</f>
        <v/>
      </c>
      <c r="R1744">
        <f>IF([2]Entry!$E$1747="","",[2]Entry!$E$1747)</f>
        <v/>
      </c>
      <c r="S1744">
        <f>IF([2]Entry!$G$1747="","",[2]Entry!$G$1747)</f>
        <v/>
      </c>
      <c r="T1744">
        <f>IF([2]Entry!$J$1747="","",[2]Entry!$J$1747)</f>
        <v/>
      </c>
      <c r="U1744">
        <f>IF([2]Entry!$K$1747="","",[2]Entry!$K$1747)</f>
        <v/>
      </c>
      <c r="V1744">
        <f>IF([2]Entry!$L$1747="","",[2]Entry!$L$1747)</f>
        <v/>
      </c>
      <c r="W1744">
        <f>IF([2]Entry!$M$1747="","",[2]Entry!$M$1747)</f>
        <v/>
      </c>
      <c r="X1744">
        <f>IF([2]Entry!$N$1747="","",[2]Entry!$N$1747)</f>
        <v/>
      </c>
      <c r="Y1744">
        <f>IF([2]Entry!$R$1747="","",[2]Entry!$R$1747)</f>
        <v/>
      </c>
    </row>
    <row r="1745">
      <c r="P1745">
        <f>IF([2]Entry!$C$1748="","",[2]Entry!$C$1748)</f>
        <v/>
      </c>
      <c r="Q1745">
        <f>IF([2]Entry!$D$1748="","",[2]Entry!$D$1748)</f>
        <v/>
      </c>
      <c r="R1745">
        <f>IF([2]Entry!$E$1748="","",[2]Entry!$E$1748)</f>
        <v/>
      </c>
      <c r="S1745">
        <f>IF([2]Entry!$G$1748="","",[2]Entry!$G$1748)</f>
        <v/>
      </c>
      <c r="T1745">
        <f>IF([2]Entry!$J$1748="","",[2]Entry!$J$1748)</f>
        <v/>
      </c>
      <c r="U1745">
        <f>IF([2]Entry!$K$1748="","",[2]Entry!$K$1748)</f>
        <v/>
      </c>
      <c r="V1745">
        <f>IF([2]Entry!$L$1748="","",[2]Entry!$L$1748)</f>
        <v/>
      </c>
      <c r="W1745">
        <f>IF([2]Entry!$M$1748="","",[2]Entry!$M$1748)</f>
        <v/>
      </c>
      <c r="X1745">
        <f>IF([2]Entry!$N$1748="","",[2]Entry!$N$1748)</f>
        <v/>
      </c>
      <c r="Y1745">
        <f>IF([2]Entry!$R$1748="","",[2]Entry!$R$1748)</f>
        <v/>
      </c>
    </row>
    <row r="1746">
      <c r="P1746">
        <f>IF([2]Entry!$C$1749="","",[2]Entry!$C$1749)</f>
        <v/>
      </c>
      <c r="Q1746">
        <f>IF([2]Entry!$D$1749="","",[2]Entry!$D$1749)</f>
        <v/>
      </c>
      <c r="R1746">
        <f>IF([2]Entry!$E$1749="","",[2]Entry!$E$1749)</f>
        <v/>
      </c>
      <c r="S1746">
        <f>IF([2]Entry!$G$1749="","",[2]Entry!$G$1749)</f>
        <v/>
      </c>
      <c r="T1746">
        <f>IF([2]Entry!$J$1749="","",[2]Entry!$J$1749)</f>
        <v/>
      </c>
      <c r="U1746">
        <f>IF([2]Entry!$K$1749="","",[2]Entry!$K$1749)</f>
        <v/>
      </c>
      <c r="V1746">
        <f>IF([2]Entry!$L$1749="","",[2]Entry!$L$1749)</f>
        <v/>
      </c>
      <c r="W1746">
        <f>IF([2]Entry!$M$1749="","",[2]Entry!$M$1749)</f>
        <v/>
      </c>
      <c r="X1746">
        <f>IF([2]Entry!$N$1749="","",[2]Entry!$N$1749)</f>
        <v/>
      </c>
      <c r="Y1746">
        <f>IF([2]Entry!$R$1749="","",[2]Entry!$R$1749)</f>
        <v/>
      </c>
    </row>
    <row r="1747">
      <c r="P1747">
        <f>IF([2]Entry!$C$1750="","",[2]Entry!$C$1750)</f>
        <v/>
      </c>
      <c r="Q1747">
        <f>IF([2]Entry!$D$1750="","",[2]Entry!$D$1750)</f>
        <v/>
      </c>
      <c r="R1747">
        <f>IF([2]Entry!$E$1750="","",[2]Entry!$E$1750)</f>
        <v/>
      </c>
      <c r="S1747">
        <f>IF([2]Entry!$G$1750="","",[2]Entry!$G$1750)</f>
        <v/>
      </c>
      <c r="T1747">
        <f>IF([2]Entry!$J$1750="","",[2]Entry!$J$1750)</f>
        <v/>
      </c>
      <c r="U1747">
        <f>IF([2]Entry!$K$1750="","",[2]Entry!$K$1750)</f>
        <v/>
      </c>
      <c r="V1747">
        <f>IF([2]Entry!$L$1750="","",[2]Entry!$L$1750)</f>
        <v/>
      </c>
      <c r="W1747">
        <f>IF([2]Entry!$M$1750="","",[2]Entry!$M$1750)</f>
        <v/>
      </c>
      <c r="X1747">
        <f>IF([2]Entry!$N$1750="","",[2]Entry!$N$1750)</f>
        <v/>
      </c>
      <c r="Y1747">
        <f>IF([2]Entry!$R$1750="","",[2]Entry!$R$1750)</f>
        <v/>
      </c>
    </row>
    <row r="1748">
      <c r="P1748">
        <f>IF([2]Entry!$C$1751="","",[2]Entry!$C$1751)</f>
        <v/>
      </c>
      <c r="Q1748">
        <f>IF([2]Entry!$D$1751="","",[2]Entry!$D$1751)</f>
        <v/>
      </c>
      <c r="R1748">
        <f>IF([2]Entry!$E$1751="","",[2]Entry!$E$1751)</f>
        <v/>
      </c>
      <c r="S1748">
        <f>IF([2]Entry!$G$1751="","",[2]Entry!$G$1751)</f>
        <v/>
      </c>
      <c r="T1748">
        <f>IF([2]Entry!$J$1751="","",[2]Entry!$J$1751)</f>
        <v/>
      </c>
      <c r="U1748">
        <f>IF([2]Entry!$K$1751="","",[2]Entry!$K$1751)</f>
        <v/>
      </c>
      <c r="V1748">
        <f>IF([2]Entry!$L$1751="","",[2]Entry!$L$1751)</f>
        <v/>
      </c>
      <c r="W1748">
        <f>IF([2]Entry!$M$1751="","",[2]Entry!$M$1751)</f>
        <v/>
      </c>
      <c r="X1748">
        <f>IF([2]Entry!$N$1751="","",[2]Entry!$N$1751)</f>
        <v/>
      </c>
      <c r="Y1748">
        <f>IF([2]Entry!$R$1751="","",[2]Entry!$R$1751)</f>
        <v/>
      </c>
    </row>
    <row r="1749">
      <c r="P1749">
        <f>IF([2]Entry!$C$1752="","",[2]Entry!$C$1752)</f>
        <v/>
      </c>
      <c r="Q1749">
        <f>IF([2]Entry!$D$1752="","",[2]Entry!$D$1752)</f>
        <v/>
      </c>
      <c r="R1749">
        <f>IF([2]Entry!$E$1752="","",[2]Entry!$E$1752)</f>
        <v/>
      </c>
      <c r="S1749">
        <f>IF([2]Entry!$G$1752="","",[2]Entry!$G$1752)</f>
        <v/>
      </c>
      <c r="T1749">
        <f>IF([2]Entry!$J$1752="","",[2]Entry!$J$1752)</f>
        <v/>
      </c>
      <c r="U1749">
        <f>IF([2]Entry!$K$1752="","",[2]Entry!$K$1752)</f>
        <v/>
      </c>
      <c r="V1749">
        <f>IF([2]Entry!$L$1752="","",[2]Entry!$L$1752)</f>
        <v/>
      </c>
      <c r="W1749">
        <f>IF([2]Entry!$M$1752="","",[2]Entry!$M$1752)</f>
        <v/>
      </c>
      <c r="X1749">
        <f>IF([2]Entry!$N$1752="","",[2]Entry!$N$1752)</f>
        <v/>
      </c>
      <c r="Y1749">
        <f>IF([2]Entry!$R$1752="","",[2]Entry!$R$1752)</f>
        <v/>
      </c>
    </row>
    <row r="1750">
      <c r="P1750">
        <f>IF([2]Entry!$C$1753="","",[2]Entry!$C$1753)</f>
        <v/>
      </c>
      <c r="Q1750">
        <f>IF([2]Entry!$D$1753="","",[2]Entry!$D$1753)</f>
        <v/>
      </c>
      <c r="R1750">
        <f>IF([2]Entry!$E$1753="","",[2]Entry!$E$1753)</f>
        <v/>
      </c>
      <c r="S1750">
        <f>IF([2]Entry!$G$1753="","",[2]Entry!$G$1753)</f>
        <v/>
      </c>
      <c r="T1750">
        <f>IF([2]Entry!$J$1753="","",[2]Entry!$J$1753)</f>
        <v/>
      </c>
      <c r="U1750">
        <f>IF([2]Entry!$K$1753="","",[2]Entry!$K$1753)</f>
        <v/>
      </c>
      <c r="V1750">
        <f>IF([2]Entry!$L$1753="","",[2]Entry!$L$1753)</f>
        <v/>
      </c>
      <c r="W1750">
        <f>IF([2]Entry!$M$1753="","",[2]Entry!$M$1753)</f>
        <v/>
      </c>
      <c r="X1750">
        <f>IF([2]Entry!$N$1753="","",[2]Entry!$N$1753)</f>
        <v/>
      </c>
      <c r="Y1750">
        <f>IF([2]Entry!$R$1753="","",[2]Entry!$R$1753)</f>
        <v/>
      </c>
    </row>
    <row r="1751">
      <c r="P1751">
        <f>IF([2]Entry!$C$1754="","",[2]Entry!$C$1754)</f>
        <v/>
      </c>
      <c r="Q1751">
        <f>IF([2]Entry!$D$1754="","",[2]Entry!$D$1754)</f>
        <v/>
      </c>
      <c r="R1751">
        <f>IF([2]Entry!$E$1754="","",[2]Entry!$E$1754)</f>
        <v/>
      </c>
      <c r="S1751">
        <f>IF([2]Entry!$G$1754="","",[2]Entry!$G$1754)</f>
        <v/>
      </c>
      <c r="T1751">
        <f>IF([2]Entry!$J$1754="","",[2]Entry!$J$1754)</f>
        <v/>
      </c>
      <c r="U1751">
        <f>IF([2]Entry!$K$1754="","",[2]Entry!$K$1754)</f>
        <v/>
      </c>
      <c r="V1751">
        <f>IF([2]Entry!$L$1754="","",[2]Entry!$L$1754)</f>
        <v/>
      </c>
      <c r="W1751">
        <f>IF([2]Entry!$M$1754="","",[2]Entry!$M$1754)</f>
        <v/>
      </c>
      <c r="X1751">
        <f>IF([2]Entry!$N$1754="","",[2]Entry!$N$1754)</f>
        <v/>
      </c>
      <c r="Y1751">
        <f>IF([2]Entry!$R$1754="","",[2]Entry!$R$1754)</f>
        <v/>
      </c>
    </row>
    <row r="1752">
      <c r="P1752">
        <f>IF([2]Entry!$C$1755="","",[2]Entry!$C$1755)</f>
        <v/>
      </c>
      <c r="Q1752">
        <f>IF([2]Entry!$D$1755="","",[2]Entry!$D$1755)</f>
        <v/>
      </c>
      <c r="R1752">
        <f>IF([2]Entry!$E$1755="","",[2]Entry!$E$1755)</f>
        <v/>
      </c>
      <c r="S1752">
        <f>IF([2]Entry!$G$1755="","",[2]Entry!$G$1755)</f>
        <v/>
      </c>
      <c r="T1752">
        <f>IF([2]Entry!$J$1755="","",[2]Entry!$J$1755)</f>
        <v/>
      </c>
      <c r="U1752">
        <f>IF([2]Entry!$K$1755="","",[2]Entry!$K$1755)</f>
        <v/>
      </c>
      <c r="V1752">
        <f>IF([2]Entry!$L$1755="","",[2]Entry!$L$1755)</f>
        <v/>
      </c>
      <c r="W1752">
        <f>IF([2]Entry!$M$1755="","",[2]Entry!$M$1755)</f>
        <v/>
      </c>
      <c r="X1752">
        <f>IF([2]Entry!$N$1755="","",[2]Entry!$N$1755)</f>
        <v/>
      </c>
      <c r="Y1752">
        <f>IF([2]Entry!$R$1755="","",[2]Entry!$R$1755)</f>
        <v/>
      </c>
    </row>
    <row r="1753">
      <c r="P1753">
        <f>IF([2]Entry!$C$1756="","",[2]Entry!$C$1756)</f>
        <v/>
      </c>
      <c r="Q1753">
        <f>IF([2]Entry!$D$1756="","",[2]Entry!$D$1756)</f>
        <v/>
      </c>
      <c r="R1753">
        <f>IF([2]Entry!$E$1756="","",[2]Entry!$E$1756)</f>
        <v/>
      </c>
      <c r="S1753">
        <f>IF([2]Entry!$G$1756="","",[2]Entry!$G$1756)</f>
        <v/>
      </c>
      <c r="T1753">
        <f>IF([2]Entry!$J$1756="","",[2]Entry!$J$1756)</f>
        <v/>
      </c>
      <c r="U1753">
        <f>IF([2]Entry!$K$1756="","",[2]Entry!$K$1756)</f>
        <v/>
      </c>
      <c r="V1753">
        <f>IF([2]Entry!$L$1756="","",[2]Entry!$L$1756)</f>
        <v/>
      </c>
      <c r="W1753">
        <f>IF([2]Entry!$M$1756="","",[2]Entry!$M$1756)</f>
        <v/>
      </c>
      <c r="X1753">
        <f>IF([2]Entry!$N$1756="","",[2]Entry!$N$1756)</f>
        <v/>
      </c>
      <c r="Y1753">
        <f>IF([2]Entry!$R$1756="","",[2]Entry!$R$1756)</f>
        <v/>
      </c>
    </row>
    <row r="1754">
      <c r="P1754">
        <f>IF([2]Entry!$C$1757="","",[2]Entry!$C$1757)</f>
        <v/>
      </c>
      <c r="Q1754">
        <f>IF([2]Entry!$D$1757="","",[2]Entry!$D$1757)</f>
        <v/>
      </c>
      <c r="R1754">
        <f>IF([2]Entry!$E$1757="","",[2]Entry!$E$1757)</f>
        <v/>
      </c>
      <c r="S1754">
        <f>IF([2]Entry!$G$1757="","",[2]Entry!$G$1757)</f>
        <v/>
      </c>
      <c r="T1754">
        <f>IF([2]Entry!$J$1757="","",[2]Entry!$J$1757)</f>
        <v/>
      </c>
      <c r="U1754">
        <f>IF([2]Entry!$K$1757="","",[2]Entry!$K$1757)</f>
        <v/>
      </c>
      <c r="V1754">
        <f>IF([2]Entry!$L$1757="","",[2]Entry!$L$1757)</f>
        <v/>
      </c>
      <c r="W1754">
        <f>IF([2]Entry!$M$1757="","",[2]Entry!$M$1757)</f>
        <v/>
      </c>
      <c r="X1754">
        <f>IF([2]Entry!$N$1757="","",[2]Entry!$N$1757)</f>
        <v/>
      </c>
      <c r="Y1754">
        <f>IF([2]Entry!$R$1757="","",[2]Entry!$R$1757)</f>
        <v/>
      </c>
    </row>
    <row r="1755">
      <c r="P1755">
        <f>IF([2]Entry!$C$1758="","",[2]Entry!$C$1758)</f>
        <v/>
      </c>
      <c r="Q1755">
        <f>IF([2]Entry!$D$1758="","",[2]Entry!$D$1758)</f>
        <v/>
      </c>
      <c r="R1755">
        <f>IF([2]Entry!$E$1758="","",[2]Entry!$E$1758)</f>
        <v/>
      </c>
      <c r="S1755">
        <f>IF([2]Entry!$G$1758="","",[2]Entry!$G$1758)</f>
        <v/>
      </c>
      <c r="T1755">
        <f>IF([2]Entry!$J$1758="","",[2]Entry!$J$1758)</f>
        <v/>
      </c>
      <c r="U1755">
        <f>IF([2]Entry!$K$1758="","",[2]Entry!$K$1758)</f>
        <v/>
      </c>
      <c r="V1755">
        <f>IF([2]Entry!$L$1758="","",[2]Entry!$L$1758)</f>
        <v/>
      </c>
      <c r="W1755">
        <f>IF([2]Entry!$M$1758="","",[2]Entry!$M$1758)</f>
        <v/>
      </c>
      <c r="X1755">
        <f>IF([2]Entry!$N$1758="","",[2]Entry!$N$1758)</f>
        <v/>
      </c>
      <c r="Y1755">
        <f>IF([2]Entry!$R$1758="","",[2]Entry!$R$1758)</f>
        <v/>
      </c>
    </row>
    <row r="1756">
      <c r="P1756">
        <f>IF([2]Entry!$C$1759="","",[2]Entry!$C$1759)</f>
        <v/>
      </c>
      <c r="Q1756">
        <f>IF([2]Entry!$D$1759="","",[2]Entry!$D$1759)</f>
        <v/>
      </c>
      <c r="R1756">
        <f>IF([2]Entry!$E$1759="","",[2]Entry!$E$1759)</f>
        <v/>
      </c>
      <c r="S1756">
        <f>IF([2]Entry!$G$1759="","",[2]Entry!$G$1759)</f>
        <v/>
      </c>
      <c r="T1756">
        <f>IF([2]Entry!$J$1759="","",[2]Entry!$J$1759)</f>
        <v/>
      </c>
      <c r="U1756">
        <f>IF([2]Entry!$K$1759="","",[2]Entry!$K$1759)</f>
        <v/>
      </c>
      <c r="V1756">
        <f>IF([2]Entry!$L$1759="","",[2]Entry!$L$1759)</f>
        <v/>
      </c>
      <c r="W1756">
        <f>IF([2]Entry!$M$1759="","",[2]Entry!$M$1759)</f>
        <v/>
      </c>
      <c r="X1756">
        <f>IF([2]Entry!$N$1759="","",[2]Entry!$N$1759)</f>
        <v/>
      </c>
      <c r="Y1756">
        <f>IF([2]Entry!$R$1759="","",[2]Entry!$R$1759)</f>
        <v/>
      </c>
    </row>
    <row r="1757">
      <c r="P1757">
        <f>IF([2]Entry!$C$1760="","",[2]Entry!$C$1760)</f>
        <v/>
      </c>
      <c r="Q1757">
        <f>IF([2]Entry!$D$1760="","",[2]Entry!$D$1760)</f>
        <v/>
      </c>
      <c r="R1757">
        <f>IF([2]Entry!$E$1760="","",[2]Entry!$E$1760)</f>
        <v/>
      </c>
      <c r="S1757">
        <f>IF([2]Entry!$G$1760="","",[2]Entry!$G$1760)</f>
        <v/>
      </c>
      <c r="T1757">
        <f>IF([2]Entry!$J$1760="","",[2]Entry!$J$1760)</f>
        <v/>
      </c>
      <c r="U1757">
        <f>IF([2]Entry!$K$1760="","",[2]Entry!$K$1760)</f>
        <v/>
      </c>
      <c r="V1757">
        <f>IF([2]Entry!$L$1760="","",[2]Entry!$L$1760)</f>
        <v/>
      </c>
      <c r="W1757">
        <f>IF([2]Entry!$M$1760="","",[2]Entry!$M$1760)</f>
        <v/>
      </c>
      <c r="X1757">
        <f>IF([2]Entry!$N$1760="","",[2]Entry!$N$1760)</f>
        <v/>
      </c>
      <c r="Y1757">
        <f>IF([2]Entry!$R$1760="","",[2]Entry!$R$1760)</f>
        <v/>
      </c>
    </row>
    <row r="1758">
      <c r="P1758">
        <f>IF([2]Entry!$C$1761="","",[2]Entry!$C$1761)</f>
        <v/>
      </c>
      <c r="Q1758">
        <f>IF([2]Entry!$D$1761="","",[2]Entry!$D$1761)</f>
        <v/>
      </c>
      <c r="R1758">
        <f>IF([2]Entry!$E$1761="","",[2]Entry!$E$1761)</f>
        <v/>
      </c>
      <c r="S1758">
        <f>IF([2]Entry!$G$1761="","",[2]Entry!$G$1761)</f>
        <v/>
      </c>
      <c r="T1758">
        <f>IF([2]Entry!$J$1761="","",[2]Entry!$J$1761)</f>
        <v/>
      </c>
      <c r="U1758">
        <f>IF([2]Entry!$K$1761="","",[2]Entry!$K$1761)</f>
        <v/>
      </c>
      <c r="V1758">
        <f>IF([2]Entry!$L$1761="","",[2]Entry!$L$1761)</f>
        <v/>
      </c>
      <c r="W1758">
        <f>IF([2]Entry!$M$1761="","",[2]Entry!$M$1761)</f>
        <v/>
      </c>
      <c r="X1758">
        <f>IF([2]Entry!$N$1761="","",[2]Entry!$N$1761)</f>
        <v/>
      </c>
      <c r="Y1758">
        <f>IF([2]Entry!$R$1761="","",[2]Entry!$R$1761)</f>
        <v/>
      </c>
    </row>
    <row r="1759">
      <c r="P1759">
        <f>IF([2]Entry!$C$1762="","",[2]Entry!$C$1762)</f>
        <v/>
      </c>
      <c r="Q1759">
        <f>IF([2]Entry!$D$1762="","",[2]Entry!$D$1762)</f>
        <v/>
      </c>
      <c r="R1759">
        <f>IF([2]Entry!$E$1762="","",[2]Entry!$E$1762)</f>
        <v/>
      </c>
      <c r="S1759">
        <f>IF([2]Entry!$G$1762="","",[2]Entry!$G$1762)</f>
        <v/>
      </c>
      <c r="T1759">
        <f>IF([2]Entry!$J$1762="","",[2]Entry!$J$1762)</f>
        <v/>
      </c>
      <c r="U1759">
        <f>IF([2]Entry!$K$1762="","",[2]Entry!$K$1762)</f>
        <v/>
      </c>
      <c r="V1759">
        <f>IF([2]Entry!$L$1762="","",[2]Entry!$L$1762)</f>
        <v/>
      </c>
      <c r="W1759">
        <f>IF([2]Entry!$M$1762="","",[2]Entry!$M$1762)</f>
        <v/>
      </c>
      <c r="X1759">
        <f>IF([2]Entry!$N$1762="","",[2]Entry!$N$1762)</f>
        <v/>
      </c>
      <c r="Y1759">
        <f>IF([2]Entry!$R$1762="","",[2]Entry!$R$1762)</f>
        <v/>
      </c>
    </row>
    <row r="1760">
      <c r="P1760">
        <f>IF([2]Entry!$C$1763="","",[2]Entry!$C$1763)</f>
        <v/>
      </c>
      <c r="Q1760">
        <f>IF([2]Entry!$D$1763="","",[2]Entry!$D$1763)</f>
        <v/>
      </c>
      <c r="R1760">
        <f>IF([2]Entry!$E$1763="","",[2]Entry!$E$1763)</f>
        <v/>
      </c>
      <c r="S1760">
        <f>IF([2]Entry!$G$1763="","",[2]Entry!$G$1763)</f>
        <v/>
      </c>
      <c r="T1760">
        <f>IF([2]Entry!$J$1763="","",[2]Entry!$J$1763)</f>
        <v/>
      </c>
      <c r="U1760">
        <f>IF([2]Entry!$K$1763="","",[2]Entry!$K$1763)</f>
        <v/>
      </c>
      <c r="V1760">
        <f>IF([2]Entry!$L$1763="","",[2]Entry!$L$1763)</f>
        <v/>
      </c>
      <c r="W1760">
        <f>IF([2]Entry!$M$1763="","",[2]Entry!$M$1763)</f>
        <v/>
      </c>
      <c r="X1760">
        <f>IF([2]Entry!$N$1763="","",[2]Entry!$N$1763)</f>
        <v/>
      </c>
      <c r="Y1760">
        <f>IF([2]Entry!$R$1763="","",[2]Entry!$R$1763)</f>
        <v/>
      </c>
    </row>
    <row r="1761">
      <c r="P1761">
        <f>IF([2]Entry!$C$1764="","",[2]Entry!$C$1764)</f>
        <v/>
      </c>
      <c r="Q1761">
        <f>IF([2]Entry!$D$1764="","",[2]Entry!$D$1764)</f>
        <v/>
      </c>
      <c r="R1761">
        <f>IF([2]Entry!$E$1764="","",[2]Entry!$E$1764)</f>
        <v/>
      </c>
      <c r="S1761">
        <f>IF([2]Entry!$G$1764="","",[2]Entry!$G$1764)</f>
        <v/>
      </c>
      <c r="T1761">
        <f>IF([2]Entry!$J$1764="","",[2]Entry!$J$1764)</f>
        <v/>
      </c>
      <c r="U1761">
        <f>IF([2]Entry!$K$1764="","",[2]Entry!$K$1764)</f>
        <v/>
      </c>
      <c r="V1761">
        <f>IF([2]Entry!$L$1764="","",[2]Entry!$L$1764)</f>
        <v/>
      </c>
      <c r="W1761">
        <f>IF([2]Entry!$M$1764="","",[2]Entry!$M$1764)</f>
        <v/>
      </c>
      <c r="X1761">
        <f>IF([2]Entry!$N$1764="","",[2]Entry!$N$1764)</f>
        <v/>
      </c>
      <c r="Y1761">
        <f>IF([2]Entry!$R$1764="","",[2]Entry!$R$1764)</f>
        <v/>
      </c>
    </row>
    <row r="1762">
      <c r="P1762">
        <f>IF([2]Entry!$C$1765="","",[2]Entry!$C$1765)</f>
        <v/>
      </c>
      <c r="Q1762">
        <f>IF([2]Entry!$D$1765="","",[2]Entry!$D$1765)</f>
        <v/>
      </c>
      <c r="R1762">
        <f>IF([2]Entry!$E$1765="","",[2]Entry!$E$1765)</f>
        <v/>
      </c>
      <c r="S1762">
        <f>IF([2]Entry!$G$1765="","",[2]Entry!$G$1765)</f>
        <v/>
      </c>
      <c r="T1762">
        <f>IF([2]Entry!$J$1765="","",[2]Entry!$J$1765)</f>
        <v/>
      </c>
      <c r="U1762">
        <f>IF([2]Entry!$K$1765="","",[2]Entry!$K$1765)</f>
        <v/>
      </c>
      <c r="V1762">
        <f>IF([2]Entry!$L$1765="","",[2]Entry!$L$1765)</f>
        <v/>
      </c>
      <c r="W1762">
        <f>IF([2]Entry!$M$1765="","",[2]Entry!$M$1765)</f>
        <v/>
      </c>
      <c r="X1762">
        <f>IF([2]Entry!$N$1765="","",[2]Entry!$N$1765)</f>
        <v/>
      </c>
      <c r="Y1762">
        <f>IF([2]Entry!$R$1765="","",[2]Entry!$R$1765)</f>
        <v/>
      </c>
    </row>
    <row r="1763">
      <c r="P1763">
        <f>IF([2]Entry!$C$1766="","",[2]Entry!$C$1766)</f>
        <v/>
      </c>
      <c r="Q1763">
        <f>IF([2]Entry!$D$1766="","",[2]Entry!$D$1766)</f>
        <v/>
      </c>
      <c r="R1763">
        <f>IF([2]Entry!$E$1766="","",[2]Entry!$E$1766)</f>
        <v/>
      </c>
      <c r="S1763">
        <f>IF([2]Entry!$G$1766="","",[2]Entry!$G$1766)</f>
        <v/>
      </c>
      <c r="T1763">
        <f>IF([2]Entry!$J$1766="","",[2]Entry!$J$1766)</f>
        <v/>
      </c>
      <c r="U1763">
        <f>IF([2]Entry!$K$1766="","",[2]Entry!$K$1766)</f>
        <v/>
      </c>
      <c r="V1763">
        <f>IF([2]Entry!$L$1766="","",[2]Entry!$L$1766)</f>
        <v/>
      </c>
      <c r="W1763">
        <f>IF([2]Entry!$M$1766="","",[2]Entry!$M$1766)</f>
        <v/>
      </c>
      <c r="X1763">
        <f>IF([2]Entry!$N$1766="","",[2]Entry!$N$1766)</f>
        <v/>
      </c>
      <c r="Y1763">
        <f>IF([2]Entry!$R$1766="","",[2]Entry!$R$1766)</f>
        <v/>
      </c>
    </row>
    <row r="1764">
      <c r="P1764">
        <f>IF([2]Entry!$C$1767="","",[2]Entry!$C$1767)</f>
        <v/>
      </c>
      <c r="Q1764">
        <f>IF([2]Entry!$D$1767="","",[2]Entry!$D$1767)</f>
        <v/>
      </c>
      <c r="R1764">
        <f>IF([2]Entry!$E$1767="","",[2]Entry!$E$1767)</f>
        <v/>
      </c>
      <c r="S1764">
        <f>IF([2]Entry!$G$1767="","",[2]Entry!$G$1767)</f>
        <v/>
      </c>
      <c r="T1764">
        <f>IF([2]Entry!$J$1767="","",[2]Entry!$J$1767)</f>
        <v/>
      </c>
      <c r="U1764">
        <f>IF([2]Entry!$K$1767="","",[2]Entry!$K$1767)</f>
        <v/>
      </c>
      <c r="V1764">
        <f>IF([2]Entry!$L$1767="","",[2]Entry!$L$1767)</f>
        <v/>
      </c>
      <c r="W1764">
        <f>IF([2]Entry!$M$1767="","",[2]Entry!$M$1767)</f>
        <v/>
      </c>
      <c r="X1764">
        <f>IF([2]Entry!$N$1767="","",[2]Entry!$N$1767)</f>
        <v/>
      </c>
      <c r="Y1764">
        <f>IF([2]Entry!$R$1767="","",[2]Entry!$R$1767)</f>
        <v/>
      </c>
    </row>
    <row r="1765">
      <c r="P1765">
        <f>IF([2]Entry!$C$1768="","",[2]Entry!$C$1768)</f>
        <v/>
      </c>
      <c r="Q1765">
        <f>IF([2]Entry!$D$1768="","",[2]Entry!$D$1768)</f>
        <v/>
      </c>
      <c r="R1765">
        <f>IF([2]Entry!$E$1768="","",[2]Entry!$E$1768)</f>
        <v/>
      </c>
      <c r="S1765">
        <f>IF([2]Entry!$G$1768="","",[2]Entry!$G$1768)</f>
        <v/>
      </c>
      <c r="T1765">
        <f>IF([2]Entry!$J$1768="","",[2]Entry!$J$1768)</f>
        <v/>
      </c>
      <c r="U1765">
        <f>IF([2]Entry!$K$1768="","",[2]Entry!$K$1768)</f>
        <v/>
      </c>
      <c r="V1765">
        <f>IF([2]Entry!$L$1768="","",[2]Entry!$L$1768)</f>
        <v/>
      </c>
      <c r="W1765">
        <f>IF([2]Entry!$M$1768="","",[2]Entry!$M$1768)</f>
        <v/>
      </c>
      <c r="X1765">
        <f>IF([2]Entry!$N$1768="","",[2]Entry!$N$1768)</f>
        <v/>
      </c>
      <c r="Y1765">
        <f>IF([2]Entry!$R$1768="","",[2]Entry!$R$1768)</f>
        <v/>
      </c>
    </row>
    <row r="1766">
      <c r="P1766">
        <f>IF([2]Entry!$C$1769="","",[2]Entry!$C$1769)</f>
        <v/>
      </c>
      <c r="Q1766">
        <f>IF([2]Entry!$D$1769="","",[2]Entry!$D$1769)</f>
        <v/>
      </c>
      <c r="R1766">
        <f>IF([2]Entry!$E$1769="","",[2]Entry!$E$1769)</f>
        <v/>
      </c>
      <c r="S1766">
        <f>IF([2]Entry!$G$1769="","",[2]Entry!$G$1769)</f>
        <v/>
      </c>
      <c r="T1766">
        <f>IF([2]Entry!$J$1769="","",[2]Entry!$J$1769)</f>
        <v/>
      </c>
      <c r="U1766">
        <f>IF([2]Entry!$K$1769="","",[2]Entry!$K$1769)</f>
        <v/>
      </c>
      <c r="V1766">
        <f>IF([2]Entry!$L$1769="","",[2]Entry!$L$1769)</f>
        <v/>
      </c>
      <c r="W1766">
        <f>IF([2]Entry!$M$1769="","",[2]Entry!$M$1769)</f>
        <v/>
      </c>
      <c r="X1766">
        <f>IF([2]Entry!$N$1769="","",[2]Entry!$N$1769)</f>
        <v/>
      </c>
      <c r="Y1766">
        <f>IF([2]Entry!$R$1769="","",[2]Entry!$R$1769)</f>
        <v/>
      </c>
    </row>
    <row r="1767">
      <c r="P1767">
        <f>IF([2]Entry!$C$1770="","",[2]Entry!$C$1770)</f>
        <v/>
      </c>
      <c r="Q1767">
        <f>IF([2]Entry!$D$1770="","",[2]Entry!$D$1770)</f>
        <v/>
      </c>
      <c r="R1767">
        <f>IF([2]Entry!$E$1770="","",[2]Entry!$E$1770)</f>
        <v/>
      </c>
      <c r="S1767">
        <f>IF([2]Entry!$G$1770="","",[2]Entry!$G$1770)</f>
        <v/>
      </c>
      <c r="T1767">
        <f>IF([2]Entry!$J$1770="","",[2]Entry!$J$1770)</f>
        <v/>
      </c>
      <c r="U1767">
        <f>IF([2]Entry!$K$1770="","",[2]Entry!$K$1770)</f>
        <v/>
      </c>
      <c r="V1767">
        <f>IF([2]Entry!$L$1770="","",[2]Entry!$L$1770)</f>
        <v/>
      </c>
      <c r="W1767">
        <f>IF([2]Entry!$M$1770="","",[2]Entry!$M$1770)</f>
        <v/>
      </c>
      <c r="X1767">
        <f>IF([2]Entry!$N$1770="","",[2]Entry!$N$1770)</f>
        <v/>
      </c>
      <c r="Y1767">
        <f>IF([2]Entry!$R$1770="","",[2]Entry!$R$1770)</f>
        <v/>
      </c>
    </row>
    <row r="1768">
      <c r="P1768">
        <f>IF([2]Entry!$C$1771="","",[2]Entry!$C$1771)</f>
        <v/>
      </c>
      <c r="Q1768">
        <f>IF([2]Entry!$D$1771="","",[2]Entry!$D$1771)</f>
        <v/>
      </c>
      <c r="R1768">
        <f>IF([2]Entry!$E$1771="","",[2]Entry!$E$1771)</f>
        <v/>
      </c>
      <c r="S1768">
        <f>IF([2]Entry!$G$1771="","",[2]Entry!$G$1771)</f>
        <v/>
      </c>
      <c r="T1768">
        <f>IF([2]Entry!$J$1771="","",[2]Entry!$J$1771)</f>
        <v/>
      </c>
      <c r="U1768">
        <f>IF([2]Entry!$K$1771="","",[2]Entry!$K$1771)</f>
        <v/>
      </c>
      <c r="V1768">
        <f>IF([2]Entry!$L$1771="","",[2]Entry!$L$1771)</f>
        <v/>
      </c>
      <c r="W1768">
        <f>IF([2]Entry!$M$1771="","",[2]Entry!$M$1771)</f>
        <v/>
      </c>
      <c r="X1768">
        <f>IF([2]Entry!$N$1771="","",[2]Entry!$N$1771)</f>
        <v/>
      </c>
      <c r="Y1768">
        <f>IF([2]Entry!$R$1771="","",[2]Entry!$R$1771)</f>
        <v/>
      </c>
    </row>
    <row r="1769">
      <c r="P1769">
        <f>IF([2]Entry!$C$1772="","",[2]Entry!$C$1772)</f>
        <v/>
      </c>
      <c r="Q1769">
        <f>IF([2]Entry!$D$1772="","",[2]Entry!$D$1772)</f>
        <v/>
      </c>
      <c r="R1769">
        <f>IF([2]Entry!$E$1772="","",[2]Entry!$E$1772)</f>
        <v/>
      </c>
      <c r="S1769">
        <f>IF([2]Entry!$G$1772="","",[2]Entry!$G$1772)</f>
        <v/>
      </c>
      <c r="T1769">
        <f>IF([2]Entry!$J$1772="","",[2]Entry!$J$1772)</f>
        <v/>
      </c>
      <c r="U1769">
        <f>IF([2]Entry!$K$1772="","",[2]Entry!$K$1772)</f>
        <v/>
      </c>
      <c r="V1769">
        <f>IF([2]Entry!$L$1772="","",[2]Entry!$L$1772)</f>
        <v/>
      </c>
      <c r="W1769">
        <f>IF([2]Entry!$M$1772="","",[2]Entry!$M$1772)</f>
        <v/>
      </c>
      <c r="X1769">
        <f>IF([2]Entry!$N$1772="","",[2]Entry!$N$1772)</f>
        <v/>
      </c>
      <c r="Y1769">
        <f>IF([2]Entry!$R$1772="","",[2]Entry!$R$1772)</f>
        <v/>
      </c>
    </row>
    <row r="1770">
      <c r="P1770">
        <f>IF([2]Entry!$C$1773="","",[2]Entry!$C$1773)</f>
        <v/>
      </c>
      <c r="Q1770">
        <f>IF([2]Entry!$D$1773="","",[2]Entry!$D$1773)</f>
        <v/>
      </c>
      <c r="R1770">
        <f>IF([2]Entry!$E$1773="","",[2]Entry!$E$1773)</f>
        <v/>
      </c>
      <c r="S1770">
        <f>IF([2]Entry!$G$1773="","",[2]Entry!$G$1773)</f>
        <v/>
      </c>
      <c r="T1770">
        <f>IF([2]Entry!$J$1773="","",[2]Entry!$J$1773)</f>
        <v/>
      </c>
      <c r="U1770">
        <f>IF([2]Entry!$K$1773="","",[2]Entry!$K$1773)</f>
        <v/>
      </c>
      <c r="V1770">
        <f>IF([2]Entry!$L$1773="","",[2]Entry!$L$1773)</f>
        <v/>
      </c>
      <c r="W1770">
        <f>IF([2]Entry!$M$1773="","",[2]Entry!$M$1773)</f>
        <v/>
      </c>
      <c r="X1770">
        <f>IF([2]Entry!$N$1773="","",[2]Entry!$N$1773)</f>
        <v/>
      </c>
      <c r="Y1770">
        <f>IF([2]Entry!$R$1773="","",[2]Entry!$R$1773)</f>
        <v/>
      </c>
    </row>
    <row r="1771">
      <c r="P1771">
        <f>IF([2]Entry!$C$1774="","",[2]Entry!$C$1774)</f>
        <v/>
      </c>
      <c r="Q1771">
        <f>IF([2]Entry!$D$1774="","",[2]Entry!$D$1774)</f>
        <v/>
      </c>
      <c r="R1771">
        <f>IF([2]Entry!$E$1774="","",[2]Entry!$E$1774)</f>
        <v/>
      </c>
      <c r="S1771">
        <f>IF([2]Entry!$G$1774="","",[2]Entry!$G$1774)</f>
        <v/>
      </c>
      <c r="T1771">
        <f>IF([2]Entry!$J$1774="","",[2]Entry!$J$1774)</f>
        <v/>
      </c>
      <c r="U1771">
        <f>IF([2]Entry!$K$1774="","",[2]Entry!$K$1774)</f>
        <v/>
      </c>
      <c r="V1771">
        <f>IF([2]Entry!$L$1774="","",[2]Entry!$L$1774)</f>
        <v/>
      </c>
      <c r="W1771">
        <f>IF([2]Entry!$M$1774="","",[2]Entry!$M$1774)</f>
        <v/>
      </c>
      <c r="X1771">
        <f>IF([2]Entry!$N$1774="","",[2]Entry!$N$1774)</f>
        <v/>
      </c>
      <c r="Y1771">
        <f>IF([2]Entry!$R$1774="","",[2]Entry!$R$1774)</f>
        <v/>
      </c>
    </row>
    <row r="1772">
      <c r="P1772">
        <f>IF([2]Entry!$C$1775="","",[2]Entry!$C$1775)</f>
        <v/>
      </c>
      <c r="Q1772">
        <f>IF([2]Entry!$D$1775="","",[2]Entry!$D$1775)</f>
        <v/>
      </c>
      <c r="R1772">
        <f>IF([2]Entry!$E$1775="","",[2]Entry!$E$1775)</f>
        <v/>
      </c>
      <c r="S1772">
        <f>IF([2]Entry!$G$1775="","",[2]Entry!$G$1775)</f>
        <v/>
      </c>
      <c r="T1772">
        <f>IF([2]Entry!$J$1775="","",[2]Entry!$J$1775)</f>
        <v/>
      </c>
      <c r="U1772">
        <f>IF([2]Entry!$K$1775="","",[2]Entry!$K$1775)</f>
        <v/>
      </c>
      <c r="V1772">
        <f>IF([2]Entry!$L$1775="","",[2]Entry!$L$1775)</f>
        <v/>
      </c>
      <c r="W1772">
        <f>IF([2]Entry!$M$1775="","",[2]Entry!$M$1775)</f>
        <v/>
      </c>
      <c r="X1772">
        <f>IF([2]Entry!$N$1775="","",[2]Entry!$N$1775)</f>
        <v/>
      </c>
      <c r="Y1772">
        <f>IF([2]Entry!$R$1775="","",[2]Entry!$R$1775)</f>
        <v/>
      </c>
    </row>
    <row r="1773">
      <c r="P1773">
        <f>IF([2]Entry!$C$1776="","",[2]Entry!$C$1776)</f>
        <v/>
      </c>
      <c r="Q1773">
        <f>IF([2]Entry!$D$1776="","",[2]Entry!$D$1776)</f>
        <v/>
      </c>
      <c r="R1773">
        <f>IF([2]Entry!$E$1776="","",[2]Entry!$E$1776)</f>
        <v/>
      </c>
      <c r="S1773">
        <f>IF([2]Entry!$G$1776="","",[2]Entry!$G$1776)</f>
        <v/>
      </c>
      <c r="T1773">
        <f>IF([2]Entry!$J$1776="","",[2]Entry!$J$1776)</f>
        <v/>
      </c>
      <c r="U1773">
        <f>IF([2]Entry!$K$1776="","",[2]Entry!$K$1776)</f>
        <v/>
      </c>
      <c r="V1773">
        <f>IF([2]Entry!$L$1776="","",[2]Entry!$L$1776)</f>
        <v/>
      </c>
      <c r="W1773">
        <f>IF([2]Entry!$M$1776="","",[2]Entry!$M$1776)</f>
        <v/>
      </c>
      <c r="X1773">
        <f>IF([2]Entry!$N$1776="","",[2]Entry!$N$1776)</f>
        <v/>
      </c>
      <c r="Y1773">
        <f>IF([2]Entry!$R$1776="","",[2]Entry!$R$1776)</f>
        <v/>
      </c>
    </row>
    <row r="1774">
      <c r="P1774">
        <f>IF([2]Entry!$C$1777="","",[2]Entry!$C$1777)</f>
        <v/>
      </c>
      <c r="Q1774">
        <f>IF([2]Entry!$D$1777="","",[2]Entry!$D$1777)</f>
        <v/>
      </c>
      <c r="R1774">
        <f>IF([2]Entry!$E$1777="","",[2]Entry!$E$1777)</f>
        <v/>
      </c>
      <c r="S1774">
        <f>IF([2]Entry!$G$1777="","",[2]Entry!$G$1777)</f>
        <v/>
      </c>
      <c r="T1774">
        <f>IF([2]Entry!$J$1777="","",[2]Entry!$J$1777)</f>
        <v/>
      </c>
      <c r="U1774">
        <f>IF([2]Entry!$K$1777="","",[2]Entry!$K$1777)</f>
        <v/>
      </c>
      <c r="V1774">
        <f>IF([2]Entry!$L$1777="","",[2]Entry!$L$1777)</f>
        <v/>
      </c>
      <c r="W1774">
        <f>IF([2]Entry!$M$1777="","",[2]Entry!$M$1777)</f>
        <v/>
      </c>
      <c r="X1774">
        <f>IF([2]Entry!$N$1777="","",[2]Entry!$N$1777)</f>
        <v/>
      </c>
      <c r="Y1774">
        <f>IF([2]Entry!$R$1777="","",[2]Entry!$R$1777)</f>
        <v/>
      </c>
    </row>
    <row r="1775">
      <c r="P1775">
        <f>IF([2]Entry!$C$1778="","",[2]Entry!$C$1778)</f>
        <v/>
      </c>
      <c r="Q1775">
        <f>IF([2]Entry!$D$1778="","",[2]Entry!$D$1778)</f>
        <v/>
      </c>
      <c r="R1775">
        <f>IF([2]Entry!$E$1778="","",[2]Entry!$E$1778)</f>
        <v/>
      </c>
      <c r="S1775">
        <f>IF([2]Entry!$G$1778="","",[2]Entry!$G$1778)</f>
        <v/>
      </c>
      <c r="T1775">
        <f>IF([2]Entry!$J$1778="","",[2]Entry!$J$1778)</f>
        <v/>
      </c>
      <c r="U1775">
        <f>IF([2]Entry!$K$1778="","",[2]Entry!$K$1778)</f>
        <v/>
      </c>
      <c r="V1775">
        <f>IF([2]Entry!$L$1778="","",[2]Entry!$L$1778)</f>
        <v/>
      </c>
      <c r="W1775">
        <f>IF([2]Entry!$M$1778="","",[2]Entry!$M$1778)</f>
        <v/>
      </c>
      <c r="X1775">
        <f>IF([2]Entry!$N$1778="","",[2]Entry!$N$1778)</f>
        <v/>
      </c>
      <c r="Y1775">
        <f>IF([2]Entry!$R$1778="","",[2]Entry!$R$1778)</f>
        <v/>
      </c>
    </row>
    <row r="1776">
      <c r="P1776">
        <f>IF([2]Entry!$C$1779="","",[2]Entry!$C$1779)</f>
        <v/>
      </c>
      <c r="Q1776">
        <f>IF([2]Entry!$D$1779="","",[2]Entry!$D$1779)</f>
        <v/>
      </c>
      <c r="R1776">
        <f>IF([2]Entry!$E$1779="","",[2]Entry!$E$1779)</f>
        <v/>
      </c>
      <c r="S1776">
        <f>IF([2]Entry!$G$1779="","",[2]Entry!$G$1779)</f>
        <v/>
      </c>
      <c r="T1776">
        <f>IF([2]Entry!$J$1779="","",[2]Entry!$J$1779)</f>
        <v/>
      </c>
      <c r="U1776">
        <f>IF([2]Entry!$K$1779="","",[2]Entry!$K$1779)</f>
        <v/>
      </c>
      <c r="V1776">
        <f>IF([2]Entry!$L$1779="","",[2]Entry!$L$1779)</f>
        <v/>
      </c>
      <c r="W1776">
        <f>IF([2]Entry!$M$1779="","",[2]Entry!$M$1779)</f>
        <v/>
      </c>
      <c r="X1776">
        <f>IF([2]Entry!$N$1779="","",[2]Entry!$N$1779)</f>
        <v/>
      </c>
      <c r="Y1776">
        <f>IF([2]Entry!$R$1779="","",[2]Entry!$R$1779)</f>
        <v/>
      </c>
    </row>
    <row r="1777">
      <c r="P1777">
        <f>IF([2]Entry!$C$1780="","",[2]Entry!$C$1780)</f>
        <v/>
      </c>
      <c r="Q1777">
        <f>IF([2]Entry!$D$1780="","",[2]Entry!$D$1780)</f>
        <v/>
      </c>
      <c r="R1777">
        <f>IF([2]Entry!$E$1780="","",[2]Entry!$E$1780)</f>
        <v/>
      </c>
      <c r="S1777">
        <f>IF([2]Entry!$G$1780="","",[2]Entry!$G$1780)</f>
        <v/>
      </c>
      <c r="T1777">
        <f>IF([2]Entry!$J$1780="","",[2]Entry!$J$1780)</f>
        <v/>
      </c>
      <c r="U1777">
        <f>IF([2]Entry!$K$1780="","",[2]Entry!$K$1780)</f>
        <v/>
      </c>
      <c r="V1777">
        <f>IF([2]Entry!$L$1780="","",[2]Entry!$L$1780)</f>
        <v/>
      </c>
      <c r="W1777">
        <f>IF([2]Entry!$M$1780="","",[2]Entry!$M$1780)</f>
        <v/>
      </c>
      <c r="X1777">
        <f>IF([2]Entry!$N$1780="","",[2]Entry!$N$1780)</f>
        <v/>
      </c>
      <c r="Y1777">
        <f>IF([2]Entry!$R$1780="","",[2]Entry!$R$1780)</f>
        <v/>
      </c>
    </row>
    <row r="1778">
      <c r="P1778">
        <f>IF([2]Entry!$C$1781="","",[2]Entry!$C$1781)</f>
        <v/>
      </c>
      <c r="Q1778">
        <f>IF([2]Entry!$D$1781="","",[2]Entry!$D$1781)</f>
        <v/>
      </c>
      <c r="R1778">
        <f>IF([2]Entry!$E$1781="","",[2]Entry!$E$1781)</f>
        <v/>
      </c>
      <c r="S1778">
        <f>IF([2]Entry!$G$1781="","",[2]Entry!$G$1781)</f>
        <v/>
      </c>
      <c r="T1778">
        <f>IF([2]Entry!$J$1781="","",[2]Entry!$J$1781)</f>
        <v/>
      </c>
      <c r="U1778">
        <f>IF([2]Entry!$K$1781="","",[2]Entry!$K$1781)</f>
        <v/>
      </c>
      <c r="V1778">
        <f>IF([2]Entry!$L$1781="","",[2]Entry!$L$1781)</f>
        <v/>
      </c>
      <c r="W1778">
        <f>IF([2]Entry!$M$1781="","",[2]Entry!$M$1781)</f>
        <v/>
      </c>
      <c r="X1778">
        <f>IF([2]Entry!$N$1781="","",[2]Entry!$N$1781)</f>
        <v/>
      </c>
      <c r="Y1778">
        <f>IF([2]Entry!$R$1781="","",[2]Entry!$R$1781)</f>
        <v/>
      </c>
    </row>
    <row r="1779">
      <c r="P1779">
        <f>IF([2]Entry!$C$1782="","",[2]Entry!$C$1782)</f>
        <v/>
      </c>
      <c r="Q1779">
        <f>IF([2]Entry!$D$1782="","",[2]Entry!$D$1782)</f>
        <v/>
      </c>
      <c r="R1779">
        <f>IF([2]Entry!$E$1782="","",[2]Entry!$E$1782)</f>
        <v/>
      </c>
      <c r="S1779">
        <f>IF([2]Entry!$G$1782="","",[2]Entry!$G$1782)</f>
        <v/>
      </c>
      <c r="T1779">
        <f>IF([2]Entry!$J$1782="","",[2]Entry!$J$1782)</f>
        <v/>
      </c>
      <c r="U1779">
        <f>IF([2]Entry!$K$1782="","",[2]Entry!$K$1782)</f>
        <v/>
      </c>
      <c r="V1779">
        <f>IF([2]Entry!$L$1782="","",[2]Entry!$L$1782)</f>
        <v/>
      </c>
      <c r="W1779">
        <f>IF([2]Entry!$M$1782="","",[2]Entry!$M$1782)</f>
        <v/>
      </c>
      <c r="X1779">
        <f>IF([2]Entry!$N$1782="","",[2]Entry!$N$1782)</f>
        <v/>
      </c>
      <c r="Y1779">
        <f>IF([2]Entry!$R$1782="","",[2]Entry!$R$1782)</f>
        <v/>
      </c>
    </row>
    <row r="1780">
      <c r="P1780">
        <f>IF([2]Entry!$C$1783="","",[2]Entry!$C$1783)</f>
        <v/>
      </c>
      <c r="Q1780">
        <f>IF([2]Entry!$D$1783="","",[2]Entry!$D$1783)</f>
        <v/>
      </c>
      <c r="R1780">
        <f>IF([2]Entry!$E$1783="","",[2]Entry!$E$1783)</f>
        <v/>
      </c>
      <c r="S1780">
        <f>IF([2]Entry!$G$1783="","",[2]Entry!$G$1783)</f>
        <v/>
      </c>
      <c r="T1780">
        <f>IF([2]Entry!$J$1783="","",[2]Entry!$J$1783)</f>
        <v/>
      </c>
      <c r="U1780">
        <f>IF([2]Entry!$K$1783="","",[2]Entry!$K$1783)</f>
        <v/>
      </c>
      <c r="V1780">
        <f>IF([2]Entry!$L$1783="","",[2]Entry!$L$1783)</f>
        <v/>
      </c>
      <c r="W1780">
        <f>IF([2]Entry!$M$1783="","",[2]Entry!$M$1783)</f>
        <v/>
      </c>
      <c r="X1780">
        <f>IF([2]Entry!$N$1783="","",[2]Entry!$N$1783)</f>
        <v/>
      </c>
      <c r="Y1780">
        <f>IF([2]Entry!$R$1783="","",[2]Entry!$R$1783)</f>
        <v/>
      </c>
    </row>
    <row r="1781">
      <c r="P1781">
        <f>IF([2]Entry!$C$1784="","",[2]Entry!$C$1784)</f>
        <v/>
      </c>
      <c r="Q1781">
        <f>IF([2]Entry!$D$1784="","",[2]Entry!$D$1784)</f>
        <v/>
      </c>
      <c r="R1781">
        <f>IF([2]Entry!$E$1784="","",[2]Entry!$E$1784)</f>
        <v/>
      </c>
      <c r="S1781">
        <f>IF([2]Entry!$G$1784="","",[2]Entry!$G$1784)</f>
        <v/>
      </c>
      <c r="T1781">
        <f>IF([2]Entry!$J$1784="","",[2]Entry!$J$1784)</f>
        <v/>
      </c>
      <c r="U1781">
        <f>IF([2]Entry!$K$1784="","",[2]Entry!$K$1784)</f>
        <v/>
      </c>
      <c r="V1781">
        <f>IF([2]Entry!$L$1784="","",[2]Entry!$L$1784)</f>
        <v/>
      </c>
      <c r="W1781">
        <f>IF([2]Entry!$M$1784="","",[2]Entry!$M$1784)</f>
        <v/>
      </c>
      <c r="X1781">
        <f>IF([2]Entry!$N$1784="","",[2]Entry!$N$1784)</f>
        <v/>
      </c>
      <c r="Y1781">
        <f>IF([2]Entry!$R$1784="","",[2]Entry!$R$1784)</f>
        <v/>
      </c>
    </row>
    <row r="1782">
      <c r="P1782">
        <f>IF([2]Entry!$C$1785="","",[2]Entry!$C$1785)</f>
        <v/>
      </c>
      <c r="Q1782">
        <f>IF([2]Entry!$D$1785="","",[2]Entry!$D$1785)</f>
        <v/>
      </c>
      <c r="R1782">
        <f>IF([2]Entry!$E$1785="","",[2]Entry!$E$1785)</f>
        <v/>
      </c>
      <c r="S1782">
        <f>IF([2]Entry!$G$1785="","",[2]Entry!$G$1785)</f>
        <v/>
      </c>
      <c r="T1782">
        <f>IF([2]Entry!$J$1785="","",[2]Entry!$J$1785)</f>
        <v/>
      </c>
      <c r="U1782">
        <f>IF([2]Entry!$K$1785="","",[2]Entry!$K$1785)</f>
        <v/>
      </c>
      <c r="V1782">
        <f>IF([2]Entry!$L$1785="","",[2]Entry!$L$1785)</f>
        <v/>
      </c>
      <c r="W1782">
        <f>IF([2]Entry!$M$1785="","",[2]Entry!$M$1785)</f>
        <v/>
      </c>
      <c r="X1782">
        <f>IF([2]Entry!$N$1785="","",[2]Entry!$N$1785)</f>
        <v/>
      </c>
      <c r="Y1782">
        <f>IF([2]Entry!$R$1785="","",[2]Entry!$R$1785)</f>
        <v/>
      </c>
    </row>
    <row r="1783">
      <c r="P1783">
        <f>IF([2]Entry!$C$1786="","",[2]Entry!$C$1786)</f>
        <v/>
      </c>
      <c r="Q1783">
        <f>IF([2]Entry!$D$1786="","",[2]Entry!$D$1786)</f>
        <v/>
      </c>
      <c r="R1783">
        <f>IF([2]Entry!$E$1786="","",[2]Entry!$E$1786)</f>
        <v/>
      </c>
      <c r="S1783">
        <f>IF([2]Entry!$G$1786="","",[2]Entry!$G$1786)</f>
        <v/>
      </c>
      <c r="T1783">
        <f>IF([2]Entry!$J$1786="","",[2]Entry!$J$1786)</f>
        <v/>
      </c>
      <c r="U1783">
        <f>IF([2]Entry!$K$1786="","",[2]Entry!$K$1786)</f>
        <v/>
      </c>
      <c r="V1783">
        <f>IF([2]Entry!$L$1786="","",[2]Entry!$L$1786)</f>
        <v/>
      </c>
      <c r="W1783">
        <f>IF([2]Entry!$M$1786="","",[2]Entry!$M$1786)</f>
        <v/>
      </c>
      <c r="X1783">
        <f>IF([2]Entry!$N$1786="","",[2]Entry!$N$1786)</f>
        <v/>
      </c>
      <c r="Y1783">
        <f>IF([2]Entry!$R$1786="","",[2]Entry!$R$1786)</f>
        <v/>
      </c>
    </row>
    <row r="1784">
      <c r="P1784">
        <f>IF([2]Entry!$C$1787="","",[2]Entry!$C$1787)</f>
        <v/>
      </c>
      <c r="Q1784">
        <f>IF([2]Entry!$D$1787="","",[2]Entry!$D$1787)</f>
        <v/>
      </c>
      <c r="R1784">
        <f>IF([2]Entry!$E$1787="","",[2]Entry!$E$1787)</f>
        <v/>
      </c>
      <c r="S1784">
        <f>IF([2]Entry!$G$1787="","",[2]Entry!$G$1787)</f>
        <v/>
      </c>
      <c r="T1784">
        <f>IF([2]Entry!$J$1787="","",[2]Entry!$J$1787)</f>
        <v/>
      </c>
      <c r="U1784">
        <f>IF([2]Entry!$K$1787="","",[2]Entry!$K$1787)</f>
        <v/>
      </c>
      <c r="V1784">
        <f>IF([2]Entry!$L$1787="","",[2]Entry!$L$1787)</f>
        <v/>
      </c>
      <c r="W1784">
        <f>IF([2]Entry!$M$1787="","",[2]Entry!$M$1787)</f>
        <v/>
      </c>
      <c r="X1784">
        <f>IF([2]Entry!$N$1787="","",[2]Entry!$N$1787)</f>
        <v/>
      </c>
      <c r="Y1784">
        <f>IF([2]Entry!$R$1787="","",[2]Entry!$R$1787)</f>
        <v/>
      </c>
    </row>
    <row r="1785">
      <c r="P1785">
        <f>IF([2]Entry!$C$1788="","",[2]Entry!$C$1788)</f>
        <v/>
      </c>
      <c r="Q1785">
        <f>IF([2]Entry!$D$1788="","",[2]Entry!$D$1788)</f>
        <v/>
      </c>
      <c r="R1785">
        <f>IF([2]Entry!$E$1788="","",[2]Entry!$E$1788)</f>
        <v/>
      </c>
      <c r="S1785">
        <f>IF([2]Entry!$G$1788="","",[2]Entry!$G$1788)</f>
        <v/>
      </c>
      <c r="T1785">
        <f>IF([2]Entry!$J$1788="","",[2]Entry!$J$1788)</f>
        <v/>
      </c>
      <c r="U1785">
        <f>IF([2]Entry!$K$1788="","",[2]Entry!$K$1788)</f>
        <v/>
      </c>
      <c r="V1785">
        <f>IF([2]Entry!$L$1788="","",[2]Entry!$L$1788)</f>
        <v/>
      </c>
      <c r="W1785">
        <f>IF([2]Entry!$M$1788="","",[2]Entry!$M$1788)</f>
        <v/>
      </c>
      <c r="X1785">
        <f>IF([2]Entry!$N$1788="","",[2]Entry!$N$1788)</f>
        <v/>
      </c>
      <c r="Y1785">
        <f>IF([2]Entry!$R$1788="","",[2]Entry!$R$1788)</f>
        <v/>
      </c>
    </row>
    <row r="1786">
      <c r="P1786">
        <f>IF([2]Entry!$C$1789="","",[2]Entry!$C$1789)</f>
        <v/>
      </c>
      <c r="Q1786">
        <f>IF([2]Entry!$D$1789="","",[2]Entry!$D$1789)</f>
        <v/>
      </c>
      <c r="R1786">
        <f>IF([2]Entry!$E$1789="","",[2]Entry!$E$1789)</f>
        <v/>
      </c>
      <c r="S1786">
        <f>IF([2]Entry!$G$1789="","",[2]Entry!$G$1789)</f>
        <v/>
      </c>
      <c r="T1786">
        <f>IF([2]Entry!$J$1789="","",[2]Entry!$J$1789)</f>
        <v/>
      </c>
      <c r="U1786">
        <f>IF([2]Entry!$K$1789="","",[2]Entry!$K$1789)</f>
        <v/>
      </c>
      <c r="V1786">
        <f>IF([2]Entry!$L$1789="","",[2]Entry!$L$1789)</f>
        <v/>
      </c>
      <c r="W1786">
        <f>IF([2]Entry!$M$1789="","",[2]Entry!$M$1789)</f>
        <v/>
      </c>
      <c r="X1786">
        <f>IF([2]Entry!$N$1789="","",[2]Entry!$N$1789)</f>
        <v/>
      </c>
      <c r="Y1786">
        <f>IF([2]Entry!$R$1789="","",[2]Entry!$R$1789)</f>
        <v/>
      </c>
    </row>
    <row r="1787">
      <c r="P1787">
        <f>IF([2]Entry!$C$1790="","",[2]Entry!$C$1790)</f>
        <v/>
      </c>
      <c r="Q1787">
        <f>IF([2]Entry!$D$1790="","",[2]Entry!$D$1790)</f>
        <v/>
      </c>
      <c r="R1787">
        <f>IF([2]Entry!$E$1790="","",[2]Entry!$E$1790)</f>
        <v/>
      </c>
      <c r="S1787">
        <f>IF([2]Entry!$G$1790="","",[2]Entry!$G$1790)</f>
        <v/>
      </c>
      <c r="T1787">
        <f>IF([2]Entry!$J$1790="","",[2]Entry!$J$1790)</f>
        <v/>
      </c>
      <c r="U1787">
        <f>IF([2]Entry!$K$1790="","",[2]Entry!$K$1790)</f>
        <v/>
      </c>
      <c r="V1787">
        <f>IF([2]Entry!$L$1790="","",[2]Entry!$L$1790)</f>
        <v/>
      </c>
      <c r="W1787">
        <f>IF([2]Entry!$M$1790="","",[2]Entry!$M$1790)</f>
        <v/>
      </c>
      <c r="X1787">
        <f>IF([2]Entry!$N$1790="","",[2]Entry!$N$1790)</f>
        <v/>
      </c>
      <c r="Y1787">
        <f>IF([2]Entry!$R$1790="","",[2]Entry!$R$1790)</f>
        <v/>
      </c>
    </row>
    <row r="1788">
      <c r="P1788">
        <f>IF([2]Entry!$C$1791="","",[2]Entry!$C$1791)</f>
        <v/>
      </c>
      <c r="Q1788">
        <f>IF([2]Entry!$D$1791="","",[2]Entry!$D$1791)</f>
        <v/>
      </c>
      <c r="R1788">
        <f>IF([2]Entry!$E$1791="","",[2]Entry!$E$1791)</f>
        <v/>
      </c>
      <c r="S1788">
        <f>IF([2]Entry!$G$1791="","",[2]Entry!$G$1791)</f>
        <v/>
      </c>
      <c r="T1788">
        <f>IF([2]Entry!$J$1791="","",[2]Entry!$J$1791)</f>
        <v/>
      </c>
      <c r="U1788">
        <f>IF([2]Entry!$K$1791="","",[2]Entry!$K$1791)</f>
        <v/>
      </c>
      <c r="V1788">
        <f>IF([2]Entry!$L$1791="","",[2]Entry!$L$1791)</f>
        <v/>
      </c>
      <c r="W1788">
        <f>IF([2]Entry!$M$1791="","",[2]Entry!$M$1791)</f>
        <v/>
      </c>
      <c r="X1788">
        <f>IF([2]Entry!$N$1791="","",[2]Entry!$N$1791)</f>
        <v/>
      </c>
      <c r="Y1788">
        <f>IF([2]Entry!$R$1791="","",[2]Entry!$R$1791)</f>
        <v/>
      </c>
    </row>
    <row r="1789">
      <c r="P1789">
        <f>IF([2]Entry!$C$1792="","",[2]Entry!$C$1792)</f>
        <v/>
      </c>
      <c r="Q1789">
        <f>IF([2]Entry!$D$1792="","",[2]Entry!$D$1792)</f>
        <v/>
      </c>
      <c r="R1789">
        <f>IF([2]Entry!$E$1792="","",[2]Entry!$E$1792)</f>
        <v/>
      </c>
      <c r="S1789">
        <f>IF([2]Entry!$G$1792="","",[2]Entry!$G$1792)</f>
        <v/>
      </c>
      <c r="T1789">
        <f>IF([2]Entry!$J$1792="","",[2]Entry!$J$1792)</f>
        <v/>
      </c>
      <c r="U1789">
        <f>IF([2]Entry!$K$1792="","",[2]Entry!$K$1792)</f>
        <v/>
      </c>
      <c r="V1789">
        <f>IF([2]Entry!$L$1792="","",[2]Entry!$L$1792)</f>
        <v/>
      </c>
      <c r="W1789">
        <f>IF([2]Entry!$M$1792="","",[2]Entry!$M$1792)</f>
        <v/>
      </c>
      <c r="X1789">
        <f>IF([2]Entry!$N$1792="","",[2]Entry!$N$1792)</f>
        <v/>
      </c>
      <c r="Y1789">
        <f>IF([2]Entry!$R$1792="","",[2]Entry!$R$1792)</f>
        <v/>
      </c>
    </row>
    <row r="1790">
      <c r="P1790">
        <f>IF([2]Entry!$C$1793="","",[2]Entry!$C$1793)</f>
        <v/>
      </c>
      <c r="Q1790">
        <f>IF([2]Entry!$D$1793="","",[2]Entry!$D$1793)</f>
        <v/>
      </c>
      <c r="R1790">
        <f>IF([2]Entry!$E$1793="","",[2]Entry!$E$1793)</f>
        <v/>
      </c>
      <c r="S1790">
        <f>IF([2]Entry!$G$1793="","",[2]Entry!$G$1793)</f>
        <v/>
      </c>
      <c r="T1790">
        <f>IF([2]Entry!$J$1793="","",[2]Entry!$J$1793)</f>
        <v/>
      </c>
      <c r="U1790">
        <f>IF([2]Entry!$K$1793="","",[2]Entry!$K$1793)</f>
        <v/>
      </c>
      <c r="V1790">
        <f>IF([2]Entry!$L$1793="","",[2]Entry!$L$1793)</f>
        <v/>
      </c>
      <c r="W1790">
        <f>IF([2]Entry!$M$1793="","",[2]Entry!$M$1793)</f>
        <v/>
      </c>
      <c r="X1790">
        <f>IF([2]Entry!$N$1793="","",[2]Entry!$N$1793)</f>
        <v/>
      </c>
      <c r="Y1790">
        <f>IF([2]Entry!$R$1793="","",[2]Entry!$R$1793)</f>
        <v/>
      </c>
    </row>
    <row r="1791">
      <c r="P1791">
        <f>IF([2]Entry!$C$1794="","",[2]Entry!$C$1794)</f>
        <v/>
      </c>
      <c r="Q1791">
        <f>IF([2]Entry!$D$1794="","",[2]Entry!$D$1794)</f>
        <v/>
      </c>
      <c r="R1791">
        <f>IF([2]Entry!$E$1794="","",[2]Entry!$E$1794)</f>
        <v/>
      </c>
      <c r="S1791">
        <f>IF([2]Entry!$G$1794="","",[2]Entry!$G$1794)</f>
        <v/>
      </c>
      <c r="T1791">
        <f>IF([2]Entry!$J$1794="","",[2]Entry!$J$1794)</f>
        <v/>
      </c>
      <c r="U1791">
        <f>IF([2]Entry!$K$1794="","",[2]Entry!$K$1794)</f>
        <v/>
      </c>
      <c r="V1791">
        <f>IF([2]Entry!$L$1794="","",[2]Entry!$L$1794)</f>
        <v/>
      </c>
      <c r="W1791">
        <f>IF([2]Entry!$M$1794="","",[2]Entry!$M$1794)</f>
        <v/>
      </c>
      <c r="X1791">
        <f>IF([2]Entry!$N$1794="","",[2]Entry!$N$1794)</f>
        <v/>
      </c>
      <c r="Y1791">
        <f>IF([2]Entry!$R$1794="","",[2]Entry!$R$1794)</f>
        <v/>
      </c>
    </row>
    <row r="1792">
      <c r="P1792">
        <f>IF([2]Entry!$C$1795="","",[2]Entry!$C$1795)</f>
        <v/>
      </c>
      <c r="Q1792">
        <f>IF([2]Entry!$D$1795="","",[2]Entry!$D$1795)</f>
        <v/>
      </c>
      <c r="R1792">
        <f>IF([2]Entry!$E$1795="","",[2]Entry!$E$1795)</f>
        <v/>
      </c>
      <c r="S1792">
        <f>IF([2]Entry!$G$1795="","",[2]Entry!$G$1795)</f>
        <v/>
      </c>
      <c r="T1792">
        <f>IF([2]Entry!$J$1795="","",[2]Entry!$J$1795)</f>
        <v/>
      </c>
      <c r="U1792">
        <f>IF([2]Entry!$K$1795="","",[2]Entry!$K$1795)</f>
        <v/>
      </c>
      <c r="V1792">
        <f>IF([2]Entry!$L$1795="","",[2]Entry!$L$1795)</f>
        <v/>
      </c>
      <c r="W1792">
        <f>IF([2]Entry!$M$1795="","",[2]Entry!$M$1795)</f>
        <v/>
      </c>
      <c r="X1792">
        <f>IF([2]Entry!$N$1795="","",[2]Entry!$N$1795)</f>
        <v/>
      </c>
      <c r="Y1792">
        <f>IF([2]Entry!$R$1795="","",[2]Entry!$R$1795)</f>
        <v/>
      </c>
    </row>
    <row r="1793">
      <c r="P1793">
        <f>IF([2]Entry!$C$1796="","",[2]Entry!$C$1796)</f>
        <v/>
      </c>
      <c r="Q1793">
        <f>IF([2]Entry!$D$1796="","",[2]Entry!$D$1796)</f>
        <v/>
      </c>
      <c r="R1793">
        <f>IF([2]Entry!$E$1796="","",[2]Entry!$E$1796)</f>
        <v/>
      </c>
      <c r="S1793">
        <f>IF([2]Entry!$G$1796="","",[2]Entry!$G$1796)</f>
        <v/>
      </c>
      <c r="T1793">
        <f>IF([2]Entry!$J$1796="","",[2]Entry!$J$1796)</f>
        <v/>
      </c>
      <c r="U1793">
        <f>IF([2]Entry!$K$1796="","",[2]Entry!$K$1796)</f>
        <v/>
      </c>
      <c r="V1793">
        <f>IF([2]Entry!$L$1796="","",[2]Entry!$L$1796)</f>
        <v/>
      </c>
      <c r="W1793">
        <f>IF([2]Entry!$M$1796="","",[2]Entry!$M$1796)</f>
        <v/>
      </c>
      <c r="X1793">
        <f>IF([2]Entry!$N$1796="","",[2]Entry!$N$1796)</f>
        <v/>
      </c>
      <c r="Y1793">
        <f>IF([2]Entry!$R$1796="","",[2]Entry!$R$1796)</f>
        <v/>
      </c>
    </row>
    <row r="1794">
      <c r="P1794">
        <f>IF([2]Entry!$C$1797="","",[2]Entry!$C$1797)</f>
        <v/>
      </c>
      <c r="Q1794">
        <f>IF([2]Entry!$D$1797="","",[2]Entry!$D$1797)</f>
        <v/>
      </c>
      <c r="R1794">
        <f>IF([2]Entry!$E$1797="","",[2]Entry!$E$1797)</f>
        <v/>
      </c>
      <c r="S1794">
        <f>IF([2]Entry!$G$1797="","",[2]Entry!$G$1797)</f>
        <v/>
      </c>
      <c r="T1794">
        <f>IF([2]Entry!$J$1797="","",[2]Entry!$J$1797)</f>
        <v/>
      </c>
      <c r="U1794">
        <f>IF([2]Entry!$K$1797="","",[2]Entry!$K$1797)</f>
        <v/>
      </c>
      <c r="V1794">
        <f>IF([2]Entry!$L$1797="","",[2]Entry!$L$1797)</f>
        <v/>
      </c>
      <c r="W1794">
        <f>IF([2]Entry!$M$1797="","",[2]Entry!$M$1797)</f>
        <v/>
      </c>
      <c r="X1794">
        <f>IF([2]Entry!$N$1797="","",[2]Entry!$N$1797)</f>
        <v/>
      </c>
      <c r="Y1794">
        <f>IF([2]Entry!$R$1797="","",[2]Entry!$R$1797)</f>
        <v/>
      </c>
    </row>
    <row r="1795">
      <c r="P1795">
        <f>IF([2]Entry!$C$1798="","",[2]Entry!$C$1798)</f>
        <v/>
      </c>
      <c r="Q1795">
        <f>IF([2]Entry!$D$1798="","",[2]Entry!$D$1798)</f>
        <v/>
      </c>
      <c r="R1795">
        <f>IF([2]Entry!$E$1798="","",[2]Entry!$E$1798)</f>
        <v/>
      </c>
      <c r="S1795">
        <f>IF([2]Entry!$G$1798="","",[2]Entry!$G$1798)</f>
        <v/>
      </c>
      <c r="T1795">
        <f>IF([2]Entry!$J$1798="","",[2]Entry!$J$1798)</f>
        <v/>
      </c>
      <c r="U1795">
        <f>IF([2]Entry!$K$1798="","",[2]Entry!$K$1798)</f>
        <v/>
      </c>
      <c r="V1795">
        <f>IF([2]Entry!$L$1798="","",[2]Entry!$L$1798)</f>
        <v/>
      </c>
      <c r="W1795">
        <f>IF([2]Entry!$M$1798="","",[2]Entry!$M$1798)</f>
        <v/>
      </c>
      <c r="X1795">
        <f>IF([2]Entry!$N$1798="","",[2]Entry!$N$1798)</f>
        <v/>
      </c>
      <c r="Y1795">
        <f>IF([2]Entry!$R$1798="","",[2]Entry!$R$1798)</f>
        <v/>
      </c>
    </row>
    <row r="1796">
      <c r="P1796">
        <f>IF([2]Entry!$C$1799="","",[2]Entry!$C$1799)</f>
        <v/>
      </c>
      <c r="Q1796">
        <f>IF([2]Entry!$D$1799="","",[2]Entry!$D$1799)</f>
        <v/>
      </c>
      <c r="R1796">
        <f>IF([2]Entry!$E$1799="","",[2]Entry!$E$1799)</f>
        <v/>
      </c>
      <c r="S1796">
        <f>IF([2]Entry!$G$1799="","",[2]Entry!$G$1799)</f>
        <v/>
      </c>
      <c r="T1796">
        <f>IF([2]Entry!$J$1799="","",[2]Entry!$J$1799)</f>
        <v/>
      </c>
      <c r="U1796">
        <f>IF([2]Entry!$K$1799="","",[2]Entry!$K$1799)</f>
        <v/>
      </c>
      <c r="V1796">
        <f>IF([2]Entry!$L$1799="","",[2]Entry!$L$1799)</f>
        <v/>
      </c>
      <c r="W1796">
        <f>IF([2]Entry!$M$1799="","",[2]Entry!$M$1799)</f>
        <v/>
      </c>
      <c r="X1796">
        <f>IF([2]Entry!$N$1799="","",[2]Entry!$N$1799)</f>
        <v/>
      </c>
      <c r="Y1796">
        <f>IF([2]Entry!$R$1799="","",[2]Entry!$R$1799)</f>
        <v/>
      </c>
    </row>
    <row r="1797">
      <c r="P1797">
        <f>IF([2]Entry!$C$1800="","",[2]Entry!$C$1800)</f>
        <v/>
      </c>
      <c r="Q1797">
        <f>IF([2]Entry!$D$1800="","",[2]Entry!$D$1800)</f>
        <v/>
      </c>
      <c r="R1797">
        <f>IF([2]Entry!$E$1800="","",[2]Entry!$E$1800)</f>
        <v/>
      </c>
      <c r="S1797">
        <f>IF([2]Entry!$G$1800="","",[2]Entry!$G$1800)</f>
        <v/>
      </c>
      <c r="T1797">
        <f>IF([2]Entry!$J$1800="","",[2]Entry!$J$1800)</f>
        <v/>
      </c>
      <c r="U1797">
        <f>IF([2]Entry!$K$1800="","",[2]Entry!$K$1800)</f>
        <v/>
      </c>
      <c r="V1797">
        <f>IF([2]Entry!$L$1800="","",[2]Entry!$L$1800)</f>
        <v/>
      </c>
      <c r="W1797">
        <f>IF([2]Entry!$M$1800="","",[2]Entry!$M$1800)</f>
        <v/>
      </c>
      <c r="X1797">
        <f>IF([2]Entry!$N$1800="","",[2]Entry!$N$1800)</f>
        <v/>
      </c>
      <c r="Y1797">
        <f>IF([2]Entry!$R$1800="","",[2]Entry!$R$1800)</f>
        <v/>
      </c>
    </row>
    <row r="1798">
      <c r="P1798">
        <f>IF([2]Entry!$C$1801="","",[2]Entry!$C$1801)</f>
        <v/>
      </c>
      <c r="Q1798">
        <f>IF([2]Entry!$D$1801="","",[2]Entry!$D$1801)</f>
        <v/>
      </c>
      <c r="R1798">
        <f>IF([2]Entry!$E$1801="","",[2]Entry!$E$1801)</f>
        <v/>
      </c>
      <c r="S1798">
        <f>IF([2]Entry!$G$1801="","",[2]Entry!$G$1801)</f>
        <v/>
      </c>
      <c r="T1798">
        <f>IF([2]Entry!$J$1801="","",[2]Entry!$J$1801)</f>
        <v/>
      </c>
      <c r="U1798">
        <f>IF([2]Entry!$K$1801="","",[2]Entry!$K$1801)</f>
        <v/>
      </c>
      <c r="V1798">
        <f>IF([2]Entry!$L$1801="","",[2]Entry!$L$1801)</f>
        <v/>
      </c>
      <c r="W1798">
        <f>IF([2]Entry!$M$1801="","",[2]Entry!$M$1801)</f>
        <v/>
      </c>
      <c r="X1798">
        <f>IF([2]Entry!$N$1801="","",[2]Entry!$N$1801)</f>
        <v/>
      </c>
      <c r="Y1798">
        <f>IF([2]Entry!$R$1801="","",[2]Entry!$R$1801)</f>
        <v/>
      </c>
    </row>
    <row r="1799">
      <c r="P1799">
        <f>IF([2]Entry!$C$1802="","",[2]Entry!$C$1802)</f>
        <v/>
      </c>
      <c r="Q1799">
        <f>IF([2]Entry!$D$1802="","",[2]Entry!$D$1802)</f>
        <v/>
      </c>
      <c r="R1799">
        <f>IF([2]Entry!$E$1802="","",[2]Entry!$E$1802)</f>
        <v/>
      </c>
      <c r="S1799">
        <f>IF([2]Entry!$G$1802="","",[2]Entry!$G$1802)</f>
        <v/>
      </c>
      <c r="T1799">
        <f>IF([2]Entry!$J$1802="","",[2]Entry!$J$1802)</f>
        <v/>
      </c>
      <c r="U1799">
        <f>IF([2]Entry!$K$1802="","",[2]Entry!$K$1802)</f>
        <v/>
      </c>
      <c r="V1799">
        <f>IF([2]Entry!$L$1802="","",[2]Entry!$L$1802)</f>
        <v/>
      </c>
      <c r="W1799">
        <f>IF([2]Entry!$M$1802="","",[2]Entry!$M$1802)</f>
        <v/>
      </c>
      <c r="X1799">
        <f>IF([2]Entry!$N$1802="","",[2]Entry!$N$1802)</f>
        <v/>
      </c>
      <c r="Y1799">
        <f>IF([2]Entry!$R$1802="","",[2]Entry!$R$1802)</f>
        <v/>
      </c>
    </row>
    <row r="1800">
      <c r="P1800">
        <f>IF([2]Entry!$C$1803="","",[2]Entry!$C$1803)</f>
        <v/>
      </c>
      <c r="Q1800">
        <f>IF([2]Entry!$D$1803="","",[2]Entry!$D$1803)</f>
        <v/>
      </c>
      <c r="R1800">
        <f>IF([2]Entry!$E$1803="","",[2]Entry!$E$1803)</f>
        <v/>
      </c>
      <c r="S1800">
        <f>IF([2]Entry!$G$1803="","",[2]Entry!$G$1803)</f>
        <v/>
      </c>
      <c r="T1800">
        <f>IF([2]Entry!$J$1803="","",[2]Entry!$J$1803)</f>
        <v/>
      </c>
      <c r="U1800">
        <f>IF([2]Entry!$K$1803="","",[2]Entry!$K$1803)</f>
        <v/>
      </c>
      <c r="V1800">
        <f>IF([2]Entry!$L$1803="","",[2]Entry!$L$1803)</f>
        <v/>
      </c>
      <c r="W1800">
        <f>IF([2]Entry!$M$1803="","",[2]Entry!$M$1803)</f>
        <v/>
      </c>
      <c r="X1800">
        <f>IF([2]Entry!$N$1803="","",[2]Entry!$N$1803)</f>
        <v/>
      </c>
      <c r="Y1800">
        <f>IF([2]Entry!$R$1803="","",[2]Entry!$R$1803)</f>
        <v/>
      </c>
    </row>
    <row r="1801">
      <c r="P1801">
        <f>IF([2]Entry!$C$1804="","",[2]Entry!$C$1804)</f>
        <v/>
      </c>
      <c r="Q1801">
        <f>IF([2]Entry!$D$1804="","",[2]Entry!$D$1804)</f>
        <v/>
      </c>
      <c r="R1801">
        <f>IF([2]Entry!$E$1804="","",[2]Entry!$E$1804)</f>
        <v/>
      </c>
      <c r="S1801">
        <f>IF([2]Entry!$G$1804="","",[2]Entry!$G$1804)</f>
        <v/>
      </c>
      <c r="T1801">
        <f>IF([2]Entry!$J$1804="","",[2]Entry!$J$1804)</f>
        <v/>
      </c>
      <c r="U1801">
        <f>IF([2]Entry!$K$1804="","",[2]Entry!$K$1804)</f>
        <v/>
      </c>
      <c r="V1801">
        <f>IF([2]Entry!$L$1804="","",[2]Entry!$L$1804)</f>
        <v/>
      </c>
      <c r="W1801">
        <f>IF([2]Entry!$M$1804="","",[2]Entry!$M$1804)</f>
        <v/>
      </c>
      <c r="X1801">
        <f>IF([2]Entry!$N$1804="","",[2]Entry!$N$1804)</f>
        <v/>
      </c>
      <c r="Y1801">
        <f>IF([2]Entry!$R$1804="","",[2]Entry!$R$1804)</f>
        <v/>
      </c>
    </row>
    <row r="1802">
      <c r="P1802">
        <f>IF([2]Entry!$C$1805="","",[2]Entry!$C$1805)</f>
        <v/>
      </c>
      <c r="Q1802">
        <f>IF([2]Entry!$D$1805="","",[2]Entry!$D$1805)</f>
        <v/>
      </c>
      <c r="R1802">
        <f>IF([2]Entry!$E$1805="","",[2]Entry!$E$1805)</f>
        <v/>
      </c>
      <c r="S1802">
        <f>IF([2]Entry!$G$1805="","",[2]Entry!$G$1805)</f>
        <v/>
      </c>
      <c r="T1802">
        <f>IF([2]Entry!$J$1805="","",[2]Entry!$J$1805)</f>
        <v/>
      </c>
      <c r="U1802">
        <f>IF([2]Entry!$K$1805="","",[2]Entry!$K$1805)</f>
        <v/>
      </c>
      <c r="V1802">
        <f>IF([2]Entry!$L$1805="","",[2]Entry!$L$1805)</f>
        <v/>
      </c>
      <c r="W1802">
        <f>IF([2]Entry!$M$1805="","",[2]Entry!$M$1805)</f>
        <v/>
      </c>
      <c r="X1802">
        <f>IF([2]Entry!$N$1805="","",[2]Entry!$N$1805)</f>
        <v/>
      </c>
      <c r="Y1802">
        <f>IF([2]Entry!$R$1805="","",[2]Entry!$R$1805)</f>
        <v/>
      </c>
    </row>
    <row r="1803">
      <c r="P1803">
        <f>IF([2]Entry!$C$1806="","",[2]Entry!$C$1806)</f>
        <v/>
      </c>
      <c r="Q1803">
        <f>IF([2]Entry!$D$1806="","",[2]Entry!$D$1806)</f>
        <v/>
      </c>
      <c r="R1803">
        <f>IF([2]Entry!$E$1806="","",[2]Entry!$E$1806)</f>
        <v/>
      </c>
      <c r="S1803">
        <f>IF([2]Entry!$G$1806="","",[2]Entry!$G$1806)</f>
        <v/>
      </c>
      <c r="T1803">
        <f>IF([2]Entry!$J$1806="","",[2]Entry!$J$1806)</f>
        <v/>
      </c>
      <c r="U1803">
        <f>IF([2]Entry!$K$1806="","",[2]Entry!$K$1806)</f>
        <v/>
      </c>
      <c r="V1803">
        <f>IF([2]Entry!$L$1806="","",[2]Entry!$L$1806)</f>
        <v/>
      </c>
      <c r="W1803">
        <f>IF([2]Entry!$M$1806="","",[2]Entry!$M$1806)</f>
        <v/>
      </c>
      <c r="X1803">
        <f>IF([2]Entry!$N$1806="","",[2]Entry!$N$1806)</f>
        <v/>
      </c>
      <c r="Y1803">
        <f>IF([2]Entry!$R$1806="","",[2]Entry!$R$1806)</f>
        <v/>
      </c>
    </row>
    <row r="1804">
      <c r="P1804">
        <f>IF([2]Entry!$C$1807="","",[2]Entry!$C$1807)</f>
        <v/>
      </c>
      <c r="Q1804">
        <f>IF([2]Entry!$D$1807="","",[2]Entry!$D$1807)</f>
        <v/>
      </c>
      <c r="R1804">
        <f>IF([2]Entry!$E$1807="","",[2]Entry!$E$1807)</f>
        <v/>
      </c>
      <c r="S1804">
        <f>IF([2]Entry!$G$1807="","",[2]Entry!$G$1807)</f>
        <v/>
      </c>
      <c r="T1804">
        <f>IF([2]Entry!$J$1807="","",[2]Entry!$J$1807)</f>
        <v/>
      </c>
      <c r="U1804">
        <f>IF([2]Entry!$K$1807="","",[2]Entry!$K$1807)</f>
        <v/>
      </c>
      <c r="V1804">
        <f>IF([2]Entry!$L$1807="","",[2]Entry!$L$1807)</f>
        <v/>
      </c>
      <c r="W1804">
        <f>IF([2]Entry!$M$1807="","",[2]Entry!$M$1807)</f>
        <v/>
      </c>
      <c r="X1804">
        <f>IF([2]Entry!$N$1807="","",[2]Entry!$N$1807)</f>
        <v/>
      </c>
      <c r="Y1804">
        <f>IF([2]Entry!$R$1807="","",[2]Entry!$R$1807)</f>
        <v/>
      </c>
    </row>
    <row r="1805">
      <c r="P1805">
        <f>IF([2]Entry!$C$1808="","",[2]Entry!$C$1808)</f>
        <v/>
      </c>
      <c r="Q1805">
        <f>IF([2]Entry!$D$1808="","",[2]Entry!$D$1808)</f>
        <v/>
      </c>
      <c r="R1805">
        <f>IF([2]Entry!$E$1808="","",[2]Entry!$E$1808)</f>
        <v/>
      </c>
      <c r="S1805">
        <f>IF([2]Entry!$G$1808="","",[2]Entry!$G$1808)</f>
        <v/>
      </c>
      <c r="T1805">
        <f>IF([2]Entry!$J$1808="","",[2]Entry!$J$1808)</f>
        <v/>
      </c>
      <c r="U1805">
        <f>IF([2]Entry!$K$1808="","",[2]Entry!$K$1808)</f>
        <v/>
      </c>
      <c r="V1805">
        <f>IF([2]Entry!$L$1808="","",[2]Entry!$L$1808)</f>
        <v/>
      </c>
      <c r="W1805">
        <f>IF([2]Entry!$M$1808="","",[2]Entry!$M$1808)</f>
        <v/>
      </c>
      <c r="X1805">
        <f>IF([2]Entry!$N$1808="","",[2]Entry!$N$1808)</f>
        <v/>
      </c>
      <c r="Y1805">
        <f>IF([2]Entry!$R$1808="","",[2]Entry!$R$1808)</f>
        <v/>
      </c>
    </row>
    <row r="1806">
      <c r="P1806">
        <f>IF([2]Entry!$C$1809="","",[2]Entry!$C$1809)</f>
        <v/>
      </c>
      <c r="Q1806">
        <f>IF([2]Entry!$D$1809="","",[2]Entry!$D$1809)</f>
        <v/>
      </c>
      <c r="R1806">
        <f>IF([2]Entry!$E$1809="","",[2]Entry!$E$1809)</f>
        <v/>
      </c>
      <c r="S1806">
        <f>IF([2]Entry!$G$1809="","",[2]Entry!$G$1809)</f>
        <v/>
      </c>
      <c r="T1806">
        <f>IF([2]Entry!$J$1809="","",[2]Entry!$J$1809)</f>
        <v/>
      </c>
      <c r="U1806">
        <f>IF([2]Entry!$K$1809="","",[2]Entry!$K$1809)</f>
        <v/>
      </c>
      <c r="V1806">
        <f>IF([2]Entry!$L$1809="","",[2]Entry!$L$1809)</f>
        <v/>
      </c>
      <c r="W1806">
        <f>IF([2]Entry!$M$1809="","",[2]Entry!$M$1809)</f>
        <v/>
      </c>
      <c r="X1806">
        <f>IF([2]Entry!$N$1809="","",[2]Entry!$N$1809)</f>
        <v/>
      </c>
      <c r="Y1806">
        <f>IF([2]Entry!$R$1809="","",[2]Entry!$R$1809)</f>
        <v/>
      </c>
    </row>
    <row r="1807">
      <c r="P1807">
        <f>IF([2]Entry!$C$1810="","",[2]Entry!$C$1810)</f>
        <v/>
      </c>
      <c r="Q1807">
        <f>IF([2]Entry!$D$1810="","",[2]Entry!$D$1810)</f>
        <v/>
      </c>
      <c r="R1807">
        <f>IF([2]Entry!$E$1810="","",[2]Entry!$E$1810)</f>
        <v/>
      </c>
      <c r="S1807">
        <f>IF([2]Entry!$G$1810="","",[2]Entry!$G$1810)</f>
        <v/>
      </c>
      <c r="T1807">
        <f>IF([2]Entry!$J$1810="","",[2]Entry!$J$1810)</f>
        <v/>
      </c>
      <c r="U1807">
        <f>IF([2]Entry!$K$1810="","",[2]Entry!$K$1810)</f>
        <v/>
      </c>
      <c r="V1807">
        <f>IF([2]Entry!$L$1810="","",[2]Entry!$L$1810)</f>
        <v/>
      </c>
      <c r="W1807">
        <f>IF([2]Entry!$M$1810="","",[2]Entry!$M$1810)</f>
        <v/>
      </c>
      <c r="X1807">
        <f>IF([2]Entry!$N$1810="","",[2]Entry!$N$1810)</f>
        <v/>
      </c>
      <c r="Y1807">
        <f>IF([2]Entry!$R$1810="","",[2]Entry!$R$1810)</f>
        <v/>
      </c>
    </row>
    <row r="1808">
      <c r="P1808">
        <f>IF([2]Entry!$C$1811="","",[2]Entry!$C$1811)</f>
        <v/>
      </c>
      <c r="Q1808">
        <f>IF([2]Entry!$D$1811="","",[2]Entry!$D$1811)</f>
        <v/>
      </c>
      <c r="R1808">
        <f>IF([2]Entry!$E$1811="","",[2]Entry!$E$1811)</f>
        <v/>
      </c>
      <c r="S1808">
        <f>IF([2]Entry!$G$1811="","",[2]Entry!$G$1811)</f>
        <v/>
      </c>
      <c r="T1808">
        <f>IF([2]Entry!$J$1811="","",[2]Entry!$J$1811)</f>
        <v/>
      </c>
      <c r="U1808">
        <f>IF([2]Entry!$K$1811="","",[2]Entry!$K$1811)</f>
        <v/>
      </c>
      <c r="V1808">
        <f>IF([2]Entry!$L$1811="","",[2]Entry!$L$1811)</f>
        <v/>
      </c>
      <c r="W1808">
        <f>IF([2]Entry!$M$1811="","",[2]Entry!$M$1811)</f>
        <v/>
      </c>
      <c r="X1808">
        <f>IF([2]Entry!$N$1811="","",[2]Entry!$N$1811)</f>
        <v/>
      </c>
      <c r="Y1808">
        <f>IF([2]Entry!$R$1811="","",[2]Entry!$R$1811)</f>
        <v/>
      </c>
    </row>
    <row r="1809">
      <c r="P1809">
        <f>IF([2]Entry!$C$1812="","",[2]Entry!$C$1812)</f>
        <v/>
      </c>
      <c r="Q1809">
        <f>IF([2]Entry!$D$1812="","",[2]Entry!$D$1812)</f>
        <v/>
      </c>
      <c r="R1809">
        <f>IF([2]Entry!$E$1812="","",[2]Entry!$E$1812)</f>
        <v/>
      </c>
      <c r="S1809">
        <f>IF([2]Entry!$G$1812="","",[2]Entry!$G$1812)</f>
        <v/>
      </c>
      <c r="T1809">
        <f>IF([2]Entry!$J$1812="","",[2]Entry!$J$1812)</f>
        <v/>
      </c>
      <c r="U1809">
        <f>IF([2]Entry!$K$1812="","",[2]Entry!$K$1812)</f>
        <v/>
      </c>
      <c r="V1809">
        <f>IF([2]Entry!$L$1812="","",[2]Entry!$L$1812)</f>
        <v/>
      </c>
      <c r="W1809">
        <f>IF([2]Entry!$M$1812="","",[2]Entry!$M$1812)</f>
        <v/>
      </c>
      <c r="X1809">
        <f>IF([2]Entry!$N$1812="","",[2]Entry!$N$1812)</f>
        <v/>
      </c>
      <c r="Y1809">
        <f>IF([2]Entry!$R$1812="","",[2]Entry!$R$1812)</f>
        <v/>
      </c>
    </row>
    <row r="1810">
      <c r="P1810">
        <f>IF([2]Entry!$C$1813="","",[2]Entry!$C$1813)</f>
        <v/>
      </c>
      <c r="Q1810">
        <f>IF([2]Entry!$D$1813="","",[2]Entry!$D$1813)</f>
        <v/>
      </c>
      <c r="R1810">
        <f>IF([2]Entry!$E$1813="","",[2]Entry!$E$1813)</f>
        <v/>
      </c>
      <c r="S1810">
        <f>IF([2]Entry!$G$1813="","",[2]Entry!$G$1813)</f>
        <v/>
      </c>
      <c r="T1810">
        <f>IF([2]Entry!$J$1813="","",[2]Entry!$J$1813)</f>
        <v/>
      </c>
      <c r="U1810">
        <f>IF([2]Entry!$K$1813="","",[2]Entry!$K$1813)</f>
        <v/>
      </c>
      <c r="V1810">
        <f>IF([2]Entry!$L$1813="","",[2]Entry!$L$1813)</f>
        <v/>
      </c>
      <c r="W1810">
        <f>IF([2]Entry!$M$1813="","",[2]Entry!$M$1813)</f>
        <v/>
      </c>
      <c r="X1810">
        <f>IF([2]Entry!$N$1813="","",[2]Entry!$N$1813)</f>
        <v/>
      </c>
      <c r="Y1810">
        <f>IF([2]Entry!$R$1813="","",[2]Entry!$R$1813)</f>
        <v/>
      </c>
    </row>
    <row r="1811">
      <c r="P1811">
        <f>IF([2]Entry!$C$1814="","",[2]Entry!$C$1814)</f>
        <v/>
      </c>
      <c r="Q1811">
        <f>IF([2]Entry!$D$1814="","",[2]Entry!$D$1814)</f>
        <v/>
      </c>
      <c r="R1811">
        <f>IF([2]Entry!$E$1814="","",[2]Entry!$E$1814)</f>
        <v/>
      </c>
      <c r="S1811">
        <f>IF([2]Entry!$G$1814="","",[2]Entry!$G$1814)</f>
        <v/>
      </c>
      <c r="T1811">
        <f>IF([2]Entry!$J$1814="","",[2]Entry!$J$1814)</f>
        <v/>
      </c>
      <c r="U1811">
        <f>IF([2]Entry!$K$1814="","",[2]Entry!$K$1814)</f>
        <v/>
      </c>
      <c r="V1811">
        <f>IF([2]Entry!$L$1814="","",[2]Entry!$L$1814)</f>
        <v/>
      </c>
      <c r="W1811">
        <f>IF([2]Entry!$M$1814="","",[2]Entry!$M$1814)</f>
        <v/>
      </c>
      <c r="X1811">
        <f>IF([2]Entry!$N$1814="","",[2]Entry!$N$1814)</f>
        <v/>
      </c>
      <c r="Y1811">
        <f>IF([2]Entry!$R$1814="","",[2]Entry!$R$1814)</f>
        <v/>
      </c>
    </row>
    <row r="1812">
      <c r="P1812">
        <f>IF([2]Entry!$C$1815="","",[2]Entry!$C$1815)</f>
        <v/>
      </c>
      <c r="Q1812">
        <f>IF([2]Entry!$D$1815="","",[2]Entry!$D$1815)</f>
        <v/>
      </c>
      <c r="R1812">
        <f>IF([2]Entry!$E$1815="","",[2]Entry!$E$1815)</f>
        <v/>
      </c>
      <c r="S1812">
        <f>IF([2]Entry!$G$1815="","",[2]Entry!$G$1815)</f>
        <v/>
      </c>
      <c r="T1812">
        <f>IF([2]Entry!$J$1815="","",[2]Entry!$J$1815)</f>
        <v/>
      </c>
      <c r="U1812">
        <f>IF([2]Entry!$K$1815="","",[2]Entry!$K$1815)</f>
        <v/>
      </c>
      <c r="V1812">
        <f>IF([2]Entry!$L$1815="","",[2]Entry!$L$1815)</f>
        <v/>
      </c>
      <c r="W1812">
        <f>IF([2]Entry!$M$1815="","",[2]Entry!$M$1815)</f>
        <v/>
      </c>
      <c r="X1812">
        <f>IF([2]Entry!$N$1815="","",[2]Entry!$N$1815)</f>
        <v/>
      </c>
      <c r="Y1812">
        <f>IF([2]Entry!$R$1815="","",[2]Entry!$R$1815)</f>
        <v/>
      </c>
    </row>
    <row r="1813">
      <c r="P1813">
        <f>IF([2]Entry!$C$1816="","",[2]Entry!$C$1816)</f>
        <v/>
      </c>
      <c r="Q1813">
        <f>IF([2]Entry!$D$1816="","",[2]Entry!$D$1816)</f>
        <v/>
      </c>
      <c r="R1813">
        <f>IF([2]Entry!$E$1816="","",[2]Entry!$E$1816)</f>
        <v/>
      </c>
      <c r="S1813">
        <f>IF([2]Entry!$G$1816="","",[2]Entry!$G$1816)</f>
        <v/>
      </c>
      <c r="T1813">
        <f>IF([2]Entry!$J$1816="","",[2]Entry!$J$1816)</f>
        <v/>
      </c>
      <c r="U1813">
        <f>IF([2]Entry!$K$1816="","",[2]Entry!$K$1816)</f>
        <v/>
      </c>
      <c r="V1813">
        <f>IF([2]Entry!$L$1816="","",[2]Entry!$L$1816)</f>
        <v/>
      </c>
      <c r="W1813">
        <f>IF([2]Entry!$M$1816="","",[2]Entry!$M$1816)</f>
        <v/>
      </c>
      <c r="X1813">
        <f>IF([2]Entry!$N$1816="","",[2]Entry!$N$1816)</f>
        <v/>
      </c>
      <c r="Y1813">
        <f>IF([2]Entry!$R$1816="","",[2]Entry!$R$1816)</f>
        <v/>
      </c>
    </row>
    <row r="1814">
      <c r="P1814">
        <f>IF([2]Entry!$C$1817="","",[2]Entry!$C$1817)</f>
        <v/>
      </c>
      <c r="Q1814">
        <f>IF([2]Entry!$D$1817="","",[2]Entry!$D$1817)</f>
        <v/>
      </c>
      <c r="R1814">
        <f>IF([2]Entry!$E$1817="","",[2]Entry!$E$1817)</f>
        <v/>
      </c>
      <c r="S1814">
        <f>IF([2]Entry!$G$1817="","",[2]Entry!$G$1817)</f>
        <v/>
      </c>
      <c r="T1814">
        <f>IF([2]Entry!$J$1817="","",[2]Entry!$J$1817)</f>
        <v/>
      </c>
      <c r="U1814">
        <f>IF([2]Entry!$K$1817="","",[2]Entry!$K$1817)</f>
        <v/>
      </c>
      <c r="V1814">
        <f>IF([2]Entry!$L$1817="","",[2]Entry!$L$1817)</f>
        <v/>
      </c>
      <c r="W1814">
        <f>IF([2]Entry!$M$1817="","",[2]Entry!$M$1817)</f>
        <v/>
      </c>
      <c r="X1814">
        <f>IF([2]Entry!$N$1817="","",[2]Entry!$N$1817)</f>
        <v/>
      </c>
      <c r="Y1814">
        <f>IF([2]Entry!$R$1817="","",[2]Entry!$R$1817)</f>
        <v/>
      </c>
    </row>
    <row r="1815">
      <c r="P1815">
        <f>IF([2]Entry!$C$1818="","",[2]Entry!$C$1818)</f>
        <v/>
      </c>
      <c r="Q1815">
        <f>IF([2]Entry!$D$1818="","",[2]Entry!$D$1818)</f>
        <v/>
      </c>
      <c r="R1815">
        <f>IF([2]Entry!$E$1818="","",[2]Entry!$E$1818)</f>
        <v/>
      </c>
      <c r="S1815">
        <f>IF([2]Entry!$G$1818="","",[2]Entry!$G$1818)</f>
        <v/>
      </c>
      <c r="T1815">
        <f>IF([2]Entry!$J$1818="","",[2]Entry!$J$1818)</f>
        <v/>
      </c>
      <c r="U1815">
        <f>IF([2]Entry!$K$1818="","",[2]Entry!$K$1818)</f>
        <v/>
      </c>
      <c r="V1815">
        <f>IF([2]Entry!$L$1818="","",[2]Entry!$L$1818)</f>
        <v/>
      </c>
      <c r="W1815">
        <f>IF([2]Entry!$M$1818="","",[2]Entry!$M$1818)</f>
        <v/>
      </c>
      <c r="X1815">
        <f>IF([2]Entry!$N$1818="","",[2]Entry!$N$1818)</f>
        <v/>
      </c>
      <c r="Y1815">
        <f>IF([2]Entry!$R$1818="","",[2]Entry!$R$1818)</f>
        <v/>
      </c>
    </row>
    <row r="1816">
      <c r="P1816">
        <f>IF([2]Entry!$C$1819="","",[2]Entry!$C$1819)</f>
        <v/>
      </c>
      <c r="Q1816">
        <f>IF([2]Entry!$D$1819="","",[2]Entry!$D$1819)</f>
        <v/>
      </c>
      <c r="R1816">
        <f>IF([2]Entry!$E$1819="","",[2]Entry!$E$1819)</f>
        <v/>
      </c>
      <c r="S1816">
        <f>IF([2]Entry!$G$1819="","",[2]Entry!$G$1819)</f>
        <v/>
      </c>
      <c r="T1816">
        <f>IF([2]Entry!$J$1819="","",[2]Entry!$J$1819)</f>
        <v/>
      </c>
      <c r="U1816">
        <f>IF([2]Entry!$K$1819="","",[2]Entry!$K$1819)</f>
        <v/>
      </c>
      <c r="V1816">
        <f>IF([2]Entry!$L$1819="","",[2]Entry!$L$1819)</f>
        <v/>
      </c>
      <c r="W1816">
        <f>IF([2]Entry!$M$1819="","",[2]Entry!$M$1819)</f>
        <v/>
      </c>
      <c r="X1816">
        <f>IF([2]Entry!$N$1819="","",[2]Entry!$N$1819)</f>
        <v/>
      </c>
      <c r="Y1816">
        <f>IF([2]Entry!$R$1819="","",[2]Entry!$R$1819)</f>
        <v/>
      </c>
    </row>
    <row r="1817">
      <c r="P1817">
        <f>IF([2]Entry!$C$1820="","",[2]Entry!$C$1820)</f>
        <v/>
      </c>
      <c r="Q1817">
        <f>IF([2]Entry!$D$1820="","",[2]Entry!$D$1820)</f>
        <v/>
      </c>
      <c r="R1817">
        <f>IF([2]Entry!$E$1820="","",[2]Entry!$E$1820)</f>
        <v/>
      </c>
      <c r="S1817">
        <f>IF([2]Entry!$G$1820="","",[2]Entry!$G$1820)</f>
        <v/>
      </c>
      <c r="T1817">
        <f>IF([2]Entry!$J$1820="","",[2]Entry!$J$1820)</f>
        <v/>
      </c>
      <c r="U1817">
        <f>IF([2]Entry!$K$1820="","",[2]Entry!$K$1820)</f>
        <v/>
      </c>
      <c r="V1817">
        <f>IF([2]Entry!$L$1820="","",[2]Entry!$L$1820)</f>
        <v/>
      </c>
      <c r="W1817">
        <f>IF([2]Entry!$M$1820="","",[2]Entry!$M$1820)</f>
        <v/>
      </c>
      <c r="X1817">
        <f>IF([2]Entry!$N$1820="","",[2]Entry!$N$1820)</f>
        <v/>
      </c>
      <c r="Y1817">
        <f>IF([2]Entry!$R$1820="","",[2]Entry!$R$1820)</f>
        <v/>
      </c>
    </row>
    <row r="1818">
      <c r="P1818">
        <f>IF([2]Entry!$C$1821="","",[2]Entry!$C$1821)</f>
        <v/>
      </c>
      <c r="Q1818">
        <f>IF([2]Entry!$D$1821="","",[2]Entry!$D$1821)</f>
        <v/>
      </c>
      <c r="R1818">
        <f>IF([2]Entry!$E$1821="","",[2]Entry!$E$1821)</f>
        <v/>
      </c>
      <c r="S1818">
        <f>IF([2]Entry!$G$1821="","",[2]Entry!$G$1821)</f>
        <v/>
      </c>
      <c r="T1818">
        <f>IF([2]Entry!$J$1821="","",[2]Entry!$J$1821)</f>
        <v/>
      </c>
      <c r="U1818">
        <f>IF([2]Entry!$K$1821="","",[2]Entry!$K$1821)</f>
        <v/>
      </c>
      <c r="V1818">
        <f>IF([2]Entry!$L$1821="","",[2]Entry!$L$1821)</f>
        <v/>
      </c>
      <c r="W1818">
        <f>IF([2]Entry!$M$1821="","",[2]Entry!$M$1821)</f>
        <v/>
      </c>
      <c r="X1818">
        <f>IF([2]Entry!$N$1821="","",[2]Entry!$N$1821)</f>
        <v/>
      </c>
      <c r="Y1818">
        <f>IF([2]Entry!$R$1821="","",[2]Entry!$R$1821)</f>
        <v/>
      </c>
    </row>
    <row r="1819">
      <c r="P1819">
        <f>IF([2]Entry!$C$1822="","",[2]Entry!$C$1822)</f>
        <v/>
      </c>
      <c r="Q1819">
        <f>IF([2]Entry!$D$1822="","",[2]Entry!$D$1822)</f>
        <v/>
      </c>
      <c r="R1819">
        <f>IF([2]Entry!$E$1822="","",[2]Entry!$E$1822)</f>
        <v/>
      </c>
      <c r="S1819">
        <f>IF([2]Entry!$G$1822="","",[2]Entry!$G$1822)</f>
        <v/>
      </c>
      <c r="T1819">
        <f>IF([2]Entry!$J$1822="","",[2]Entry!$J$1822)</f>
        <v/>
      </c>
      <c r="U1819">
        <f>IF([2]Entry!$K$1822="","",[2]Entry!$K$1822)</f>
        <v/>
      </c>
      <c r="V1819">
        <f>IF([2]Entry!$L$1822="","",[2]Entry!$L$1822)</f>
        <v/>
      </c>
      <c r="W1819">
        <f>IF([2]Entry!$M$1822="","",[2]Entry!$M$1822)</f>
        <v/>
      </c>
      <c r="X1819">
        <f>IF([2]Entry!$N$1822="","",[2]Entry!$N$1822)</f>
        <v/>
      </c>
      <c r="Y1819">
        <f>IF([2]Entry!$R$1822="","",[2]Entry!$R$1822)</f>
        <v/>
      </c>
    </row>
    <row r="1820">
      <c r="P1820">
        <f>IF([2]Entry!$C$1823="","",[2]Entry!$C$1823)</f>
        <v/>
      </c>
      <c r="Q1820">
        <f>IF([2]Entry!$D$1823="","",[2]Entry!$D$1823)</f>
        <v/>
      </c>
      <c r="R1820">
        <f>IF([2]Entry!$E$1823="","",[2]Entry!$E$1823)</f>
        <v/>
      </c>
      <c r="S1820">
        <f>IF([2]Entry!$G$1823="","",[2]Entry!$G$1823)</f>
        <v/>
      </c>
      <c r="T1820">
        <f>IF([2]Entry!$J$1823="","",[2]Entry!$J$1823)</f>
        <v/>
      </c>
      <c r="U1820">
        <f>IF([2]Entry!$K$1823="","",[2]Entry!$K$1823)</f>
        <v/>
      </c>
      <c r="V1820">
        <f>IF([2]Entry!$L$1823="","",[2]Entry!$L$1823)</f>
        <v/>
      </c>
      <c r="W1820">
        <f>IF([2]Entry!$M$1823="","",[2]Entry!$M$1823)</f>
        <v/>
      </c>
      <c r="X1820">
        <f>IF([2]Entry!$N$1823="","",[2]Entry!$N$1823)</f>
        <v/>
      </c>
      <c r="Y1820">
        <f>IF([2]Entry!$R$1823="","",[2]Entry!$R$1823)</f>
        <v/>
      </c>
    </row>
    <row r="1821">
      <c r="P1821">
        <f>IF([2]Entry!$C$1824="","",[2]Entry!$C$1824)</f>
        <v/>
      </c>
      <c r="Q1821">
        <f>IF([2]Entry!$D$1824="","",[2]Entry!$D$1824)</f>
        <v/>
      </c>
      <c r="R1821">
        <f>IF([2]Entry!$E$1824="","",[2]Entry!$E$1824)</f>
        <v/>
      </c>
      <c r="S1821">
        <f>IF([2]Entry!$G$1824="","",[2]Entry!$G$1824)</f>
        <v/>
      </c>
      <c r="T1821">
        <f>IF([2]Entry!$J$1824="","",[2]Entry!$J$1824)</f>
        <v/>
      </c>
      <c r="U1821">
        <f>IF([2]Entry!$K$1824="","",[2]Entry!$K$1824)</f>
        <v/>
      </c>
      <c r="V1821">
        <f>IF([2]Entry!$L$1824="","",[2]Entry!$L$1824)</f>
        <v/>
      </c>
      <c r="W1821">
        <f>IF([2]Entry!$M$1824="","",[2]Entry!$M$1824)</f>
        <v/>
      </c>
      <c r="X1821">
        <f>IF([2]Entry!$N$1824="","",[2]Entry!$N$1824)</f>
        <v/>
      </c>
      <c r="Y1821">
        <f>IF([2]Entry!$R$1824="","",[2]Entry!$R$1824)</f>
        <v/>
      </c>
    </row>
    <row r="1822">
      <c r="P1822">
        <f>IF([2]Entry!$C$1825="","",[2]Entry!$C$1825)</f>
        <v/>
      </c>
      <c r="Q1822">
        <f>IF([2]Entry!$D$1825="","",[2]Entry!$D$1825)</f>
        <v/>
      </c>
      <c r="R1822">
        <f>IF([2]Entry!$E$1825="","",[2]Entry!$E$1825)</f>
        <v/>
      </c>
      <c r="S1822">
        <f>IF([2]Entry!$G$1825="","",[2]Entry!$G$1825)</f>
        <v/>
      </c>
      <c r="T1822">
        <f>IF([2]Entry!$J$1825="","",[2]Entry!$J$1825)</f>
        <v/>
      </c>
      <c r="U1822">
        <f>IF([2]Entry!$K$1825="","",[2]Entry!$K$1825)</f>
        <v/>
      </c>
      <c r="V1822">
        <f>IF([2]Entry!$L$1825="","",[2]Entry!$L$1825)</f>
        <v/>
      </c>
      <c r="W1822">
        <f>IF([2]Entry!$M$1825="","",[2]Entry!$M$1825)</f>
        <v/>
      </c>
      <c r="X1822">
        <f>IF([2]Entry!$N$1825="","",[2]Entry!$N$1825)</f>
        <v/>
      </c>
      <c r="Y1822">
        <f>IF([2]Entry!$R$1825="","",[2]Entry!$R$1825)</f>
        <v/>
      </c>
    </row>
    <row r="1823">
      <c r="P1823">
        <f>IF([2]Entry!$C$1826="","",[2]Entry!$C$1826)</f>
        <v/>
      </c>
      <c r="Q1823">
        <f>IF([2]Entry!$D$1826="","",[2]Entry!$D$1826)</f>
        <v/>
      </c>
      <c r="R1823">
        <f>IF([2]Entry!$E$1826="","",[2]Entry!$E$1826)</f>
        <v/>
      </c>
      <c r="S1823">
        <f>IF([2]Entry!$G$1826="","",[2]Entry!$G$1826)</f>
        <v/>
      </c>
      <c r="T1823">
        <f>IF([2]Entry!$J$1826="","",[2]Entry!$J$1826)</f>
        <v/>
      </c>
      <c r="U1823">
        <f>IF([2]Entry!$K$1826="","",[2]Entry!$K$1826)</f>
        <v/>
      </c>
      <c r="V1823">
        <f>IF([2]Entry!$L$1826="","",[2]Entry!$L$1826)</f>
        <v/>
      </c>
      <c r="W1823">
        <f>IF([2]Entry!$M$1826="","",[2]Entry!$M$1826)</f>
        <v/>
      </c>
      <c r="X1823">
        <f>IF([2]Entry!$N$1826="","",[2]Entry!$N$1826)</f>
        <v/>
      </c>
      <c r="Y1823">
        <f>IF([2]Entry!$R$1826="","",[2]Entry!$R$1826)</f>
        <v/>
      </c>
    </row>
    <row r="1824">
      <c r="P1824">
        <f>IF([2]Entry!$C$1827="","",[2]Entry!$C$1827)</f>
        <v/>
      </c>
      <c r="Q1824">
        <f>IF([2]Entry!$D$1827="","",[2]Entry!$D$1827)</f>
        <v/>
      </c>
      <c r="R1824">
        <f>IF([2]Entry!$E$1827="","",[2]Entry!$E$1827)</f>
        <v/>
      </c>
      <c r="S1824">
        <f>IF([2]Entry!$G$1827="","",[2]Entry!$G$1827)</f>
        <v/>
      </c>
      <c r="T1824">
        <f>IF([2]Entry!$J$1827="","",[2]Entry!$J$1827)</f>
        <v/>
      </c>
      <c r="U1824">
        <f>IF([2]Entry!$K$1827="","",[2]Entry!$K$1827)</f>
        <v/>
      </c>
      <c r="V1824">
        <f>IF([2]Entry!$L$1827="","",[2]Entry!$L$1827)</f>
        <v/>
      </c>
      <c r="W1824">
        <f>IF([2]Entry!$M$1827="","",[2]Entry!$M$1827)</f>
        <v/>
      </c>
      <c r="X1824">
        <f>IF([2]Entry!$N$1827="","",[2]Entry!$N$1827)</f>
        <v/>
      </c>
      <c r="Y1824">
        <f>IF([2]Entry!$R$1827="","",[2]Entry!$R$1827)</f>
        <v/>
      </c>
    </row>
    <row r="1825">
      <c r="P1825">
        <f>IF([2]Entry!$C$1828="","",[2]Entry!$C$1828)</f>
        <v/>
      </c>
      <c r="Q1825">
        <f>IF([2]Entry!$D$1828="","",[2]Entry!$D$1828)</f>
        <v/>
      </c>
      <c r="R1825">
        <f>IF([2]Entry!$E$1828="","",[2]Entry!$E$1828)</f>
        <v/>
      </c>
      <c r="S1825">
        <f>IF([2]Entry!$G$1828="","",[2]Entry!$G$1828)</f>
        <v/>
      </c>
      <c r="T1825">
        <f>IF([2]Entry!$J$1828="","",[2]Entry!$J$1828)</f>
        <v/>
      </c>
      <c r="U1825">
        <f>IF([2]Entry!$K$1828="","",[2]Entry!$K$1828)</f>
        <v/>
      </c>
      <c r="V1825">
        <f>IF([2]Entry!$L$1828="","",[2]Entry!$L$1828)</f>
        <v/>
      </c>
      <c r="W1825">
        <f>IF([2]Entry!$M$1828="","",[2]Entry!$M$1828)</f>
        <v/>
      </c>
      <c r="X1825">
        <f>IF([2]Entry!$N$1828="","",[2]Entry!$N$1828)</f>
        <v/>
      </c>
      <c r="Y1825">
        <f>IF([2]Entry!$R$1828="","",[2]Entry!$R$1828)</f>
        <v/>
      </c>
    </row>
    <row r="1826">
      <c r="P1826">
        <f>IF([2]Entry!$C$1829="","",[2]Entry!$C$1829)</f>
        <v/>
      </c>
      <c r="Q1826">
        <f>IF([2]Entry!$D$1829="","",[2]Entry!$D$1829)</f>
        <v/>
      </c>
      <c r="R1826">
        <f>IF([2]Entry!$E$1829="","",[2]Entry!$E$1829)</f>
        <v/>
      </c>
      <c r="S1826">
        <f>IF([2]Entry!$G$1829="","",[2]Entry!$G$1829)</f>
        <v/>
      </c>
      <c r="T1826">
        <f>IF([2]Entry!$J$1829="","",[2]Entry!$J$1829)</f>
        <v/>
      </c>
      <c r="U1826">
        <f>IF([2]Entry!$K$1829="","",[2]Entry!$K$1829)</f>
        <v/>
      </c>
      <c r="V1826">
        <f>IF([2]Entry!$L$1829="","",[2]Entry!$L$1829)</f>
        <v/>
      </c>
      <c r="W1826">
        <f>IF([2]Entry!$M$1829="","",[2]Entry!$M$1829)</f>
        <v/>
      </c>
      <c r="X1826">
        <f>IF([2]Entry!$N$1829="","",[2]Entry!$N$1829)</f>
        <v/>
      </c>
      <c r="Y1826">
        <f>IF([2]Entry!$R$1829="","",[2]Entry!$R$1829)</f>
        <v/>
      </c>
    </row>
    <row r="1827">
      <c r="P1827">
        <f>IF([2]Entry!$C$1830="","",[2]Entry!$C$1830)</f>
        <v/>
      </c>
      <c r="Q1827">
        <f>IF([2]Entry!$D$1830="","",[2]Entry!$D$1830)</f>
        <v/>
      </c>
      <c r="R1827">
        <f>IF([2]Entry!$E$1830="","",[2]Entry!$E$1830)</f>
        <v/>
      </c>
      <c r="S1827">
        <f>IF([2]Entry!$G$1830="","",[2]Entry!$G$1830)</f>
        <v/>
      </c>
      <c r="T1827">
        <f>IF([2]Entry!$J$1830="","",[2]Entry!$J$1830)</f>
        <v/>
      </c>
      <c r="U1827">
        <f>IF([2]Entry!$K$1830="","",[2]Entry!$K$1830)</f>
        <v/>
      </c>
      <c r="V1827">
        <f>IF([2]Entry!$L$1830="","",[2]Entry!$L$1830)</f>
        <v/>
      </c>
      <c r="W1827">
        <f>IF([2]Entry!$M$1830="","",[2]Entry!$M$1830)</f>
        <v/>
      </c>
      <c r="X1827">
        <f>IF([2]Entry!$N$1830="","",[2]Entry!$N$1830)</f>
        <v/>
      </c>
      <c r="Y1827">
        <f>IF([2]Entry!$R$1830="","",[2]Entry!$R$1830)</f>
        <v/>
      </c>
    </row>
    <row r="1828">
      <c r="P1828">
        <f>IF([2]Entry!$C$1831="","",[2]Entry!$C$1831)</f>
        <v/>
      </c>
      <c r="Q1828">
        <f>IF([2]Entry!$D$1831="","",[2]Entry!$D$1831)</f>
        <v/>
      </c>
      <c r="R1828">
        <f>IF([2]Entry!$E$1831="","",[2]Entry!$E$1831)</f>
        <v/>
      </c>
      <c r="S1828">
        <f>IF([2]Entry!$G$1831="","",[2]Entry!$G$1831)</f>
        <v/>
      </c>
      <c r="T1828">
        <f>IF([2]Entry!$J$1831="","",[2]Entry!$J$1831)</f>
        <v/>
      </c>
      <c r="U1828">
        <f>IF([2]Entry!$K$1831="","",[2]Entry!$K$1831)</f>
        <v/>
      </c>
      <c r="V1828">
        <f>IF([2]Entry!$L$1831="","",[2]Entry!$L$1831)</f>
        <v/>
      </c>
      <c r="W1828">
        <f>IF([2]Entry!$M$1831="","",[2]Entry!$M$1831)</f>
        <v/>
      </c>
      <c r="X1828">
        <f>IF([2]Entry!$N$1831="","",[2]Entry!$N$1831)</f>
        <v/>
      </c>
      <c r="Y1828">
        <f>IF([2]Entry!$R$1831="","",[2]Entry!$R$1831)</f>
        <v/>
      </c>
    </row>
    <row r="1829">
      <c r="P1829">
        <f>IF([2]Entry!$C$1832="","",[2]Entry!$C$1832)</f>
        <v/>
      </c>
      <c r="Q1829">
        <f>IF([2]Entry!$D$1832="","",[2]Entry!$D$1832)</f>
        <v/>
      </c>
      <c r="R1829">
        <f>IF([2]Entry!$E$1832="","",[2]Entry!$E$1832)</f>
        <v/>
      </c>
      <c r="S1829">
        <f>IF([2]Entry!$G$1832="","",[2]Entry!$G$1832)</f>
        <v/>
      </c>
      <c r="T1829">
        <f>IF([2]Entry!$J$1832="","",[2]Entry!$J$1832)</f>
        <v/>
      </c>
      <c r="U1829">
        <f>IF([2]Entry!$K$1832="","",[2]Entry!$K$1832)</f>
        <v/>
      </c>
      <c r="V1829">
        <f>IF([2]Entry!$L$1832="","",[2]Entry!$L$1832)</f>
        <v/>
      </c>
      <c r="W1829">
        <f>IF([2]Entry!$M$1832="","",[2]Entry!$M$1832)</f>
        <v/>
      </c>
      <c r="X1829">
        <f>IF([2]Entry!$N$1832="","",[2]Entry!$N$1832)</f>
        <v/>
      </c>
      <c r="Y1829">
        <f>IF([2]Entry!$R$1832="","",[2]Entry!$R$1832)</f>
        <v/>
      </c>
    </row>
    <row r="1830">
      <c r="P1830">
        <f>IF([2]Entry!$C$1833="","",[2]Entry!$C$1833)</f>
        <v/>
      </c>
      <c r="Q1830">
        <f>IF([2]Entry!$D$1833="","",[2]Entry!$D$1833)</f>
        <v/>
      </c>
      <c r="R1830">
        <f>IF([2]Entry!$E$1833="","",[2]Entry!$E$1833)</f>
        <v/>
      </c>
      <c r="S1830">
        <f>IF([2]Entry!$G$1833="","",[2]Entry!$G$1833)</f>
        <v/>
      </c>
      <c r="T1830">
        <f>IF([2]Entry!$J$1833="","",[2]Entry!$J$1833)</f>
        <v/>
      </c>
      <c r="U1830">
        <f>IF([2]Entry!$K$1833="","",[2]Entry!$K$1833)</f>
        <v/>
      </c>
      <c r="V1830">
        <f>IF([2]Entry!$L$1833="","",[2]Entry!$L$1833)</f>
        <v/>
      </c>
      <c r="W1830">
        <f>IF([2]Entry!$M$1833="","",[2]Entry!$M$1833)</f>
        <v/>
      </c>
      <c r="X1830">
        <f>IF([2]Entry!$N$1833="","",[2]Entry!$N$1833)</f>
        <v/>
      </c>
      <c r="Y1830">
        <f>IF([2]Entry!$R$1833="","",[2]Entry!$R$1833)</f>
        <v/>
      </c>
    </row>
    <row r="1831">
      <c r="P1831">
        <f>IF([2]Entry!$C$1834="","",[2]Entry!$C$1834)</f>
        <v/>
      </c>
      <c r="Q1831">
        <f>IF([2]Entry!$D$1834="","",[2]Entry!$D$1834)</f>
        <v/>
      </c>
      <c r="R1831">
        <f>IF([2]Entry!$E$1834="","",[2]Entry!$E$1834)</f>
        <v/>
      </c>
      <c r="S1831">
        <f>IF([2]Entry!$G$1834="","",[2]Entry!$G$1834)</f>
        <v/>
      </c>
      <c r="T1831">
        <f>IF([2]Entry!$J$1834="","",[2]Entry!$J$1834)</f>
        <v/>
      </c>
      <c r="U1831">
        <f>IF([2]Entry!$K$1834="","",[2]Entry!$K$1834)</f>
        <v/>
      </c>
      <c r="V1831">
        <f>IF([2]Entry!$L$1834="","",[2]Entry!$L$1834)</f>
        <v/>
      </c>
      <c r="W1831">
        <f>IF([2]Entry!$M$1834="","",[2]Entry!$M$1834)</f>
        <v/>
      </c>
      <c r="X1831">
        <f>IF([2]Entry!$N$1834="","",[2]Entry!$N$1834)</f>
        <v/>
      </c>
      <c r="Y1831">
        <f>IF([2]Entry!$R$1834="","",[2]Entry!$R$1834)</f>
        <v/>
      </c>
    </row>
    <row r="1832">
      <c r="P1832">
        <f>IF([2]Entry!$C$1835="","",[2]Entry!$C$1835)</f>
        <v/>
      </c>
      <c r="Q1832">
        <f>IF([2]Entry!$D$1835="","",[2]Entry!$D$1835)</f>
        <v/>
      </c>
      <c r="R1832">
        <f>IF([2]Entry!$E$1835="","",[2]Entry!$E$1835)</f>
        <v/>
      </c>
      <c r="S1832">
        <f>IF([2]Entry!$G$1835="","",[2]Entry!$G$1835)</f>
        <v/>
      </c>
      <c r="T1832">
        <f>IF([2]Entry!$J$1835="","",[2]Entry!$J$1835)</f>
        <v/>
      </c>
      <c r="U1832">
        <f>IF([2]Entry!$K$1835="","",[2]Entry!$K$1835)</f>
        <v/>
      </c>
      <c r="V1832">
        <f>IF([2]Entry!$L$1835="","",[2]Entry!$L$1835)</f>
        <v/>
      </c>
      <c r="W1832">
        <f>IF([2]Entry!$M$1835="","",[2]Entry!$M$1835)</f>
        <v/>
      </c>
      <c r="X1832">
        <f>IF([2]Entry!$N$1835="","",[2]Entry!$N$1835)</f>
        <v/>
      </c>
      <c r="Y1832">
        <f>IF([2]Entry!$R$1835="","",[2]Entry!$R$1835)</f>
        <v/>
      </c>
    </row>
    <row r="1833">
      <c r="P1833">
        <f>IF([2]Entry!$C$1836="","",[2]Entry!$C$1836)</f>
        <v/>
      </c>
      <c r="Q1833">
        <f>IF([2]Entry!$D$1836="","",[2]Entry!$D$1836)</f>
        <v/>
      </c>
      <c r="R1833">
        <f>IF([2]Entry!$E$1836="","",[2]Entry!$E$1836)</f>
        <v/>
      </c>
      <c r="S1833">
        <f>IF([2]Entry!$G$1836="","",[2]Entry!$G$1836)</f>
        <v/>
      </c>
      <c r="T1833">
        <f>IF([2]Entry!$J$1836="","",[2]Entry!$J$1836)</f>
        <v/>
      </c>
      <c r="U1833">
        <f>IF([2]Entry!$K$1836="","",[2]Entry!$K$1836)</f>
        <v/>
      </c>
      <c r="V1833">
        <f>IF([2]Entry!$L$1836="","",[2]Entry!$L$1836)</f>
        <v/>
      </c>
      <c r="W1833">
        <f>IF([2]Entry!$M$1836="","",[2]Entry!$M$1836)</f>
        <v/>
      </c>
      <c r="X1833">
        <f>IF([2]Entry!$N$1836="","",[2]Entry!$N$1836)</f>
        <v/>
      </c>
      <c r="Y1833">
        <f>IF([2]Entry!$R$1836="","",[2]Entry!$R$1836)</f>
        <v/>
      </c>
    </row>
    <row r="1834">
      <c r="P1834">
        <f>IF([2]Entry!$C$1837="","",[2]Entry!$C$1837)</f>
        <v/>
      </c>
      <c r="Q1834">
        <f>IF([2]Entry!$D$1837="","",[2]Entry!$D$1837)</f>
        <v/>
      </c>
      <c r="R1834">
        <f>IF([2]Entry!$E$1837="","",[2]Entry!$E$1837)</f>
        <v/>
      </c>
      <c r="S1834">
        <f>IF([2]Entry!$G$1837="","",[2]Entry!$G$1837)</f>
        <v/>
      </c>
      <c r="T1834">
        <f>IF([2]Entry!$J$1837="","",[2]Entry!$J$1837)</f>
        <v/>
      </c>
      <c r="U1834">
        <f>IF([2]Entry!$K$1837="","",[2]Entry!$K$1837)</f>
        <v/>
      </c>
      <c r="V1834">
        <f>IF([2]Entry!$L$1837="","",[2]Entry!$L$1837)</f>
        <v/>
      </c>
      <c r="W1834">
        <f>IF([2]Entry!$M$1837="","",[2]Entry!$M$1837)</f>
        <v/>
      </c>
      <c r="X1834">
        <f>IF([2]Entry!$N$1837="","",[2]Entry!$N$1837)</f>
        <v/>
      </c>
      <c r="Y1834">
        <f>IF([2]Entry!$R$1837="","",[2]Entry!$R$1837)</f>
        <v/>
      </c>
    </row>
    <row r="1835">
      <c r="P1835">
        <f>IF([2]Entry!$C$1838="","",[2]Entry!$C$1838)</f>
        <v/>
      </c>
      <c r="Q1835">
        <f>IF([2]Entry!$D$1838="","",[2]Entry!$D$1838)</f>
        <v/>
      </c>
      <c r="R1835">
        <f>IF([2]Entry!$E$1838="","",[2]Entry!$E$1838)</f>
        <v/>
      </c>
      <c r="S1835">
        <f>IF([2]Entry!$G$1838="","",[2]Entry!$G$1838)</f>
        <v/>
      </c>
      <c r="T1835">
        <f>IF([2]Entry!$J$1838="","",[2]Entry!$J$1838)</f>
        <v/>
      </c>
      <c r="U1835">
        <f>IF([2]Entry!$K$1838="","",[2]Entry!$K$1838)</f>
        <v/>
      </c>
      <c r="V1835">
        <f>IF([2]Entry!$L$1838="","",[2]Entry!$L$1838)</f>
        <v/>
      </c>
      <c r="W1835">
        <f>IF([2]Entry!$M$1838="","",[2]Entry!$M$1838)</f>
        <v/>
      </c>
      <c r="X1835">
        <f>IF([2]Entry!$N$1838="","",[2]Entry!$N$1838)</f>
        <v/>
      </c>
      <c r="Y1835">
        <f>IF([2]Entry!$R$1838="","",[2]Entry!$R$1838)</f>
        <v/>
      </c>
    </row>
    <row r="1836">
      <c r="P1836">
        <f>IF([2]Entry!$C$1839="","",[2]Entry!$C$1839)</f>
        <v/>
      </c>
      <c r="Q1836">
        <f>IF([2]Entry!$D$1839="","",[2]Entry!$D$1839)</f>
        <v/>
      </c>
      <c r="R1836">
        <f>IF([2]Entry!$E$1839="","",[2]Entry!$E$1839)</f>
        <v/>
      </c>
      <c r="S1836">
        <f>IF([2]Entry!$G$1839="","",[2]Entry!$G$1839)</f>
        <v/>
      </c>
      <c r="T1836">
        <f>IF([2]Entry!$J$1839="","",[2]Entry!$J$1839)</f>
        <v/>
      </c>
      <c r="U1836">
        <f>IF([2]Entry!$K$1839="","",[2]Entry!$K$1839)</f>
        <v/>
      </c>
      <c r="V1836">
        <f>IF([2]Entry!$L$1839="","",[2]Entry!$L$1839)</f>
        <v/>
      </c>
      <c r="W1836">
        <f>IF([2]Entry!$M$1839="","",[2]Entry!$M$1839)</f>
        <v/>
      </c>
      <c r="X1836">
        <f>IF([2]Entry!$N$1839="","",[2]Entry!$N$1839)</f>
        <v/>
      </c>
      <c r="Y1836">
        <f>IF([2]Entry!$R$1839="","",[2]Entry!$R$1839)</f>
        <v/>
      </c>
    </row>
    <row r="1837">
      <c r="P1837">
        <f>IF([2]Entry!$C$1840="","",[2]Entry!$C$1840)</f>
        <v/>
      </c>
      <c r="Q1837">
        <f>IF([2]Entry!$D$1840="","",[2]Entry!$D$1840)</f>
        <v/>
      </c>
      <c r="R1837">
        <f>IF([2]Entry!$E$1840="","",[2]Entry!$E$1840)</f>
        <v/>
      </c>
      <c r="S1837">
        <f>IF([2]Entry!$G$1840="","",[2]Entry!$G$1840)</f>
        <v/>
      </c>
      <c r="T1837">
        <f>IF([2]Entry!$J$1840="","",[2]Entry!$J$1840)</f>
        <v/>
      </c>
      <c r="U1837">
        <f>IF([2]Entry!$K$1840="","",[2]Entry!$K$1840)</f>
        <v/>
      </c>
      <c r="V1837">
        <f>IF([2]Entry!$L$1840="","",[2]Entry!$L$1840)</f>
        <v/>
      </c>
      <c r="W1837">
        <f>IF([2]Entry!$M$1840="","",[2]Entry!$M$1840)</f>
        <v/>
      </c>
      <c r="X1837">
        <f>IF([2]Entry!$N$1840="","",[2]Entry!$N$1840)</f>
        <v/>
      </c>
      <c r="Y1837">
        <f>IF([2]Entry!$R$1840="","",[2]Entry!$R$1840)</f>
        <v/>
      </c>
    </row>
    <row r="1838">
      <c r="P1838">
        <f>IF([2]Entry!$C$1841="","",[2]Entry!$C$1841)</f>
        <v/>
      </c>
      <c r="Q1838">
        <f>IF([2]Entry!$D$1841="","",[2]Entry!$D$1841)</f>
        <v/>
      </c>
      <c r="R1838">
        <f>IF([2]Entry!$E$1841="","",[2]Entry!$E$1841)</f>
        <v/>
      </c>
      <c r="S1838">
        <f>IF([2]Entry!$G$1841="","",[2]Entry!$G$1841)</f>
        <v/>
      </c>
      <c r="T1838">
        <f>IF([2]Entry!$J$1841="","",[2]Entry!$J$1841)</f>
        <v/>
      </c>
      <c r="U1838">
        <f>IF([2]Entry!$K$1841="","",[2]Entry!$K$1841)</f>
        <v/>
      </c>
      <c r="V1838">
        <f>IF([2]Entry!$L$1841="","",[2]Entry!$L$1841)</f>
        <v/>
      </c>
      <c r="W1838">
        <f>IF([2]Entry!$M$1841="","",[2]Entry!$M$1841)</f>
        <v/>
      </c>
      <c r="X1838">
        <f>IF([2]Entry!$N$1841="","",[2]Entry!$N$1841)</f>
        <v/>
      </c>
      <c r="Y1838">
        <f>IF([2]Entry!$R$1841="","",[2]Entry!$R$1841)</f>
        <v/>
      </c>
    </row>
    <row r="1839">
      <c r="P1839">
        <f>IF([2]Entry!$C$1842="","",[2]Entry!$C$1842)</f>
        <v/>
      </c>
      <c r="Q1839">
        <f>IF([2]Entry!$D$1842="","",[2]Entry!$D$1842)</f>
        <v/>
      </c>
      <c r="R1839">
        <f>IF([2]Entry!$E$1842="","",[2]Entry!$E$1842)</f>
        <v/>
      </c>
      <c r="S1839">
        <f>IF([2]Entry!$G$1842="","",[2]Entry!$G$1842)</f>
        <v/>
      </c>
      <c r="T1839">
        <f>IF([2]Entry!$J$1842="","",[2]Entry!$J$1842)</f>
        <v/>
      </c>
      <c r="U1839">
        <f>IF([2]Entry!$K$1842="","",[2]Entry!$K$1842)</f>
        <v/>
      </c>
      <c r="V1839">
        <f>IF([2]Entry!$L$1842="","",[2]Entry!$L$1842)</f>
        <v/>
      </c>
      <c r="W1839">
        <f>IF([2]Entry!$M$1842="","",[2]Entry!$M$1842)</f>
        <v/>
      </c>
      <c r="X1839">
        <f>IF([2]Entry!$N$1842="","",[2]Entry!$N$1842)</f>
        <v/>
      </c>
      <c r="Y1839">
        <f>IF([2]Entry!$R$1842="","",[2]Entry!$R$1842)</f>
        <v/>
      </c>
    </row>
    <row r="1840">
      <c r="P1840">
        <f>IF([2]Entry!$C$1843="","",[2]Entry!$C$1843)</f>
        <v/>
      </c>
      <c r="Q1840">
        <f>IF([2]Entry!$D$1843="","",[2]Entry!$D$1843)</f>
        <v/>
      </c>
      <c r="R1840">
        <f>IF([2]Entry!$E$1843="","",[2]Entry!$E$1843)</f>
        <v/>
      </c>
      <c r="S1840">
        <f>IF([2]Entry!$G$1843="","",[2]Entry!$G$1843)</f>
        <v/>
      </c>
      <c r="T1840">
        <f>IF([2]Entry!$J$1843="","",[2]Entry!$J$1843)</f>
        <v/>
      </c>
      <c r="U1840">
        <f>IF([2]Entry!$K$1843="","",[2]Entry!$K$1843)</f>
        <v/>
      </c>
      <c r="V1840">
        <f>IF([2]Entry!$L$1843="","",[2]Entry!$L$1843)</f>
        <v/>
      </c>
      <c r="W1840">
        <f>IF([2]Entry!$M$1843="","",[2]Entry!$M$1843)</f>
        <v/>
      </c>
      <c r="X1840">
        <f>IF([2]Entry!$N$1843="","",[2]Entry!$N$1843)</f>
        <v/>
      </c>
      <c r="Y1840">
        <f>IF([2]Entry!$R$1843="","",[2]Entry!$R$1843)</f>
        <v/>
      </c>
    </row>
    <row r="1841">
      <c r="P1841">
        <f>IF([2]Entry!$C$1844="","",[2]Entry!$C$1844)</f>
        <v/>
      </c>
      <c r="Q1841">
        <f>IF([2]Entry!$D$1844="","",[2]Entry!$D$1844)</f>
        <v/>
      </c>
      <c r="R1841">
        <f>IF([2]Entry!$E$1844="","",[2]Entry!$E$1844)</f>
        <v/>
      </c>
      <c r="S1841">
        <f>IF([2]Entry!$G$1844="","",[2]Entry!$G$1844)</f>
        <v/>
      </c>
      <c r="T1841">
        <f>IF([2]Entry!$J$1844="","",[2]Entry!$J$1844)</f>
        <v/>
      </c>
      <c r="U1841">
        <f>IF([2]Entry!$K$1844="","",[2]Entry!$K$1844)</f>
        <v/>
      </c>
      <c r="V1841">
        <f>IF([2]Entry!$L$1844="","",[2]Entry!$L$1844)</f>
        <v/>
      </c>
      <c r="W1841">
        <f>IF([2]Entry!$M$1844="","",[2]Entry!$M$1844)</f>
        <v/>
      </c>
      <c r="X1841">
        <f>IF([2]Entry!$N$1844="","",[2]Entry!$N$1844)</f>
        <v/>
      </c>
      <c r="Y1841">
        <f>IF([2]Entry!$R$1844="","",[2]Entry!$R$1844)</f>
        <v/>
      </c>
    </row>
    <row r="1842">
      <c r="P1842">
        <f>IF([2]Entry!$C$1845="","",[2]Entry!$C$1845)</f>
        <v/>
      </c>
      <c r="Q1842">
        <f>IF([2]Entry!$D$1845="","",[2]Entry!$D$1845)</f>
        <v/>
      </c>
      <c r="R1842">
        <f>IF([2]Entry!$E$1845="","",[2]Entry!$E$1845)</f>
        <v/>
      </c>
      <c r="S1842">
        <f>IF([2]Entry!$G$1845="","",[2]Entry!$G$1845)</f>
        <v/>
      </c>
      <c r="T1842">
        <f>IF([2]Entry!$J$1845="","",[2]Entry!$J$1845)</f>
        <v/>
      </c>
      <c r="U1842">
        <f>IF([2]Entry!$K$1845="","",[2]Entry!$K$1845)</f>
        <v/>
      </c>
      <c r="V1842">
        <f>IF([2]Entry!$L$1845="","",[2]Entry!$L$1845)</f>
        <v/>
      </c>
      <c r="W1842">
        <f>IF([2]Entry!$M$1845="","",[2]Entry!$M$1845)</f>
        <v/>
      </c>
      <c r="X1842">
        <f>IF([2]Entry!$N$1845="","",[2]Entry!$N$1845)</f>
        <v/>
      </c>
      <c r="Y1842">
        <f>IF([2]Entry!$R$1845="","",[2]Entry!$R$1845)</f>
        <v/>
      </c>
    </row>
    <row r="1843">
      <c r="P1843">
        <f>IF([2]Entry!$C$1846="","",[2]Entry!$C$1846)</f>
        <v/>
      </c>
      <c r="Q1843">
        <f>IF([2]Entry!$D$1846="","",[2]Entry!$D$1846)</f>
        <v/>
      </c>
      <c r="R1843">
        <f>IF([2]Entry!$E$1846="","",[2]Entry!$E$1846)</f>
        <v/>
      </c>
      <c r="S1843">
        <f>IF([2]Entry!$G$1846="","",[2]Entry!$G$1846)</f>
        <v/>
      </c>
      <c r="T1843">
        <f>IF([2]Entry!$J$1846="","",[2]Entry!$J$1846)</f>
        <v/>
      </c>
      <c r="U1843">
        <f>IF([2]Entry!$K$1846="","",[2]Entry!$K$1846)</f>
        <v/>
      </c>
      <c r="V1843">
        <f>IF([2]Entry!$L$1846="","",[2]Entry!$L$1846)</f>
        <v/>
      </c>
      <c r="W1843">
        <f>IF([2]Entry!$M$1846="","",[2]Entry!$M$1846)</f>
        <v/>
      </c>
      <c r="X1843">
        <f>IF([2]Entry!$N$1846="","",[2]Entry!$N$1846)</f>
        <v/>
      </c>
      <c r="Y1843">
        <f>IF([2]Entry!$R$1846="","",[2]Entry!$R$1846)</f>
        <v/>
      </c>
    </row>
    <row r="1844">
      <c r="P1844">
        <f>IF([2]Entry!$C$1847="","",[2]Entry!$C$1847)</f>
        <v/>
      </c>
      <c r="Q1844">
        <f>IF([2]Entry!$D$1847="","",[2]Entry!$D$1847)</f>
        <v/>
      </c>
      <c r="R1844">
        <f>IF([2]Entry!$E$1847="","",[2]Entry!$E$1847)</f>
        <v/>
      </c>
      <c r="S1844">
        <f>IF([2]Entry!$G$1847="","",[2]Entry!$G$1847)</f>
        <v/>
      </c>
      <c r="T1844">
        <f>IF([2]Entry!$J$1847="","",[2]Entry!$J$1847)</f>
        <v/>
      </c>
      <c r="U1844">
        <f>IF([2]Entry!$K$1847="","",[2]Entry!$K$1847)</f>
        <v/>
      </c>
      <c r="V1844">
        <f>IF([2]Entry!$L$1847="","",[2]Entry!$L$1847)</f>
        <v/>
      </c>
      <c r="W1844">
        <f>IF([2]Entry!$M$1847="","",[2]Entry!$M$1847)</f>
        <v/>
      </c>
      <c r="X1844">
        <f>IF([2]Entry!$N$1847="","",[2]Entry!$N$1847)</f>
        <v/>
      </c>
      <c r="Y1844">
        <f>IF([2]Entry!$R$1847="","",[2]Entry!$R$1847)</f>
        <v/>
      </c>
    </row>
    <row r="1845">
      <c r="P1845">
        <f>IF([2]Entry!$C$1848="","",[2]Entry!$C$1848)</f>
        <v/>
      </c>
      <c r="Q1845">
        <f>IF([2]Entry!$D$1848="","",[2]Entry!$D$1848)</f>
        <v/>
      </c>
      <c r="R1845">
        <f>IF([2]Entry!$E$1848="","",[2]Entry!$E$1848)</f>
        <v/>
      </c>
      <c r="S1845">
        <f>IF([2]Entry!$G$1848="","",[2]Entry!$G$1848)</f>
        <v/>
      </c>
      <c r="T1845">
        <f>IF([2]Entry!$J$1848="","",[2]Entry!$J$1848)</f>
        <v/>
      </c>
      <c r="U1845">
        <f>IF([2]Entry!$K$1848="","",[2]Entry!$K$1848)</f>
        <v/>
      </c>
      <c r="V1845">
        <f>IF([2]Entry!$L$1848="","",[2]Entry!$L$1848)</f>
        <v/>
      </c>
      <c r="W1845">
        <f>IF([2]Entry!$M$1848="","",[2]Entry!$M$1848)</f>
        <v/>
      </c>
      <c r="X1845">
        <f>IF([2]Entry!$N$1848="","",[2]Entry!$N$1848)</f>
        <v/>
      </c>
      <c r="Y1845">
        <f>IF([2]Entry!$R$1848="","",[2]Entry!$R$1848)</f>
        <v/>
      </c>
    </row>
    <row r="1846">
      <c r="P1846">
        <f>IF([2]Entry!$C$1849="","",[2]Entry!$C$1849)</f>
        <v/>
      </c>
      <c r="Q1846">
        <f>IF([2]Entry!$D$1849="","",[2]Entry!$D$1849)</f>
        <v/>
      </c>
      <c r="R1846">
        <f>IF([2]Entry!$E$1849="","",[2]Entry!$E$1849)</f>
        <v/>
      </c>
      <c r="S1846">
        <f>IF([2]Entry!$G$1849="","",[2]Entry!$G$1849)</f>
        <v/>
      </c>
      <c r="T1846">
        <f>IF([2]Entry!$J$1849="","",[2]Entry!$J$1849)</f>
        <v/>
      </c>
      <c r="U1846">
        <f>IF([2]Entry!$K$1849="","",[2]Entry!$K$1849)</f>
        <v/>
      </c>
      <c r="V1846">
        <f>IF([2]Entry!$L$1849="","",[2]Entry!$L$1849)</f>
        <v/>
      </c>
      <c r="W1846">
        <f>IF([2]Entry!$M$1849="","",[2]Entry!$M$1849)</f>
        <v/>
      </c>
      <c r="X1846">
        <f>IF([2]Entry!$N$1849="","",[2]Entry!$N$1849)</f>
        <v/>
      </c>
      <c r="Y1846">
        <f>IF([2]Entry!$R$1849="","",[2]Entry!$R$1849)</f>
        <v/>
      </c>
    </row>
    <row r="1847">
      <c r="P1847">
        <f>IF([2]Entry!$C$1850="","",[2]Entry!$C$1850)</f>
        <v/>
      </c>
      <c r="Q1847">
        <f>IF([2]Entry!$D$1850="","",[2]Entry!$D$1850)</f>
        <v/>
      </c>
      <c r="R1847">
        <f>IF([2]Entry!$E$1850="","",[2]Entry!$E$1850)</f>
        <v/>
      </c>
      <c r="S1847">
        <f>IF([2]Entry!$G$1850="","",[2]Entry!$G$1850)</f>
        <v/>
      </c>
      <c r="T1847">
        <f>IF([2]Entry!$J$1850="","",[2]Entry!$J$1850)</f>
        <v/>
      </c>
      <c r="U1847">
        <f>IF([2]Entry!$K$1850="","",[2]Entry!$K$1850)</f>
        <v/>
      </c>
      <c r="V1847">
        <f>IF([2]Entry!$L$1850="","",[2]Entry!$L$1850)</f>
        <v/>
      </c>
      <c r="W1847">
        <f>IF([2]Entry!$M$1850="","",[2]Entry!$M$1850)</f>
        <v/>
      </c>
      <c r="X1847">
        <f>IF([2]Entry!$N$1850="","",[2]Entry!$N$1850)</f>
        <v/>
      </c>
      <c r="Y1847">
        <f>IF([2]Entry!$R$1850="","",[2]Entry!$R$1850)</f>
        <v/>
      </c>
    </row>
    <row r="1848">
      <c r="P1848">
        <f>IF([2]Entry!$C$1851="","",[2]Entry!$C$1851)</f>
        <v/>
      </c>
      <c r="Q1848">
        <f>IF([2]Entry!$D$1851="","",[2]Entry!$D$1851)</f>
        <v/>
      </c>
      <c r="R1848">
        <f>IF([2]Entry!$E$1851="","",[2]Entry!$E$1851)</f>
        <v/>
      </c>
      <c r="S1848">
        <f>IF([2]Entry!$G$1851="","",[2]Entry!$G$1851)</f>
        <v/>
      </c>
      <c r="T1848">
        <f>IF([2]Entry!$J$1851="","",[2]Entry!$J$1851)</f>
        <v/>
      </c>
      <c r="U1848">
        <f>IF([2]Entry!$K$1851="","",[2]Entry!$K$1851)</f>
        <v/>
      </c>
      <c r="V1848">
        <f>IF([2]Entry!$L$1851="","",[2]Entry!$L$1851)</f>
        <v/>
      </c>
      <c r="W1848">
        <f>IF([2]Entry!$M$1851="","",[2]Entry!$M$1851)</f>
        <v/>
      </c>
      <c r="X1848">
        <f>IF([2]Entry!$N$1851="","",[2]Entry!$N$1851)</f>
        <v/>
      </c>
      <c r="Y1848">
        <f>IF([2]Entry!$R$1851="","",[2]Entry!$R$1851)</f>
        <v/>
      </c>
    </row>
    <row r="1849">
      <c r="P1849">
        <f>IF([2]Entry!$C$1852="","",[2]Entry!$C$1852)</f>
        <v/>
      </c>
      <c r="Q1849">
        <f>IF([2]Entry!$D$1852="","",[2]Entry!$D$1852)</f>
        <v/>
      </c>
      <c r="R1849">
        <f>IF([2]Entry!$E$1852="","",[2]Entry!$E$1852)</f>
        <v/>
      </c>
      <c r="S1849">
        <f>IF([2]Entry!$G$1852="","",[2]Entry!$G$1852)</f>
        <v/>
      </c>
      <c r="T1849">
        <f>IF([2]Entry!$J$1852="","",[2]Entry!$J$1852)</f>
        <v/>
      </c>
      <c r="U1849">
        <f>IF([2]Entry!$K$1852="","",[2]Entry!$K$1852)</f>
        <v/>
      </c>
      <c r="V1849">
        <f>IF([2]Entry!$L$1852="","",[2]Entry!$L$1852)</f>
        <v/>
      </c>
      <c r="W1849">
        <f>IF([2]Entry!$M$1852="","",[2]Entry!$M$1852)</f>
        <v/>
      </c>
      <c r="X1849">
        <f>IF([2]Entry!$N$1852="","",[2]Entry!$N$1852)</f>
        <v/>
      </c>
      <c r="Y1849">
        <f>IF([2]Entry!$R$1852="","",[2]Entry!$R$1852)</f>
        <v/>
      </c>
    </row>
    <row r="1850">
      <c r="P1850">
        <f>IF([2]Entry!$C$1853="","",[2]Entry!$C$1853)</f>
        <v/>
      </c>
      <c r="Q1850">
        <f>IF([2]Entry!$D$1853="","",[2]Entry!$D$1853)</f>
        <v/>
      </c>
      <c r="R1850">
        <f>IF([2]Entry!$E$1853="","",[2]Entry!$E$1853)</f>
        <v/>
      </c>
      <c r="S1850">
        <f>IF([2]Entry!$G$1853="","",[2]Entry!$G$1853)</f>
        <v/>
      </c>
      <c r="T1850">
        <f>IF([2]Entry!$J$1853="","",[2]Entry!$J$1853)</f>
        <v/>
      </c>
      <c r="U1850">
        <f>IF([2]Entry!$K$1853="","",[2]Entry!$K$1853)</f>
        <v/>
      </c>
      <c r="V1850">
        <f>IF([2]Entry!$L$1853="","",[2]Entry!$L$1853)</f>
        <v/>
      </c>
      <c r="W1850">
        <f>IF([2]Entry!$M$1853="","",[2]Entry!$M$1853)</f>
        <v/>
      </c>
      <c r="X1850">
        <f>IF([2]Entry!$N$1853="","",[2]Entry!$N$1853)</f>
        <v/>
      </c>
      <c r="Y1850">
        <f>IF([2]Entry!$R$1853="","",[2]Entry!$R$1853)</f>
        <v/>
      </c>
    </row>
    <row r="1851">
      <c r="P1851">
        <f>IF([2]Entry!$C$1854="","",[2]Entry!$C$1854)</f>
        <v/>
      </c>
      <c r="Q1851">
        <f>IF([2]Entry!$D$1854="","",[2]Entry!$D$1854)</f>
        <v/>
      </c>
      <c r="R1851">
        <f>IF([2]Entry!$E$1854="","",[2]Entry!$E$1854)</f>
        <v/>
      </c>
      <c r="S1851">
        <f>IF([2]Entry!$G$1854="","",[2]Entry!$G$1854)</f>
        <v/>
      </c>
      <c r="T1851">
        <f>IF([2]Entry!$J$1854="","",[2]Entry!$J$1854)</f>
        <v/>
      </c>
      <c r="U1851">
        <f>IF([2]Entry!$K$1854="","",[2]Entry!$K$1854)</f>
        <v/>
      </c>
      <c r="V1851">
        <f>IF([2]Entry!$L$1854="","",[2]Entry!$L$1854)</f>
        <v/>
      </c>
      <c r="W1851">
        <f>IF([2]Entry!$M$1854="","",[2]Entry!$M$1854)</f>
        <v/>
      </c>
      <c r="X1851">
        <f>IF([2]Entry!$N$1854="","",[2]Entry!$N$1854)</f>
        <v/>
      </c>
      <c r="Y1851">
        <f>IF([2]Entry!$R$1854="","",[2]Entry!$R$1854)</f>
        <v/>
      </c>
    </row>
    <row r="1852">
      <c r="P1852">
        <f>IF([2]Entry!$C$1855="","",[2]Entry!$C$1855)</f>
        <v/>
      </c>
      <c r="Q1852">
        <f>IF([2]Entry!$D$1855="","",[2]Entry!$D$1855)</f>
        <v/>
      </c>
      <c r="R1852">
        <f>IF([2]Entry!$E$1855="","",[2]Entry!$E$1855)</f>
        <v/>
      </c>
      <c r="S1852">
        <f>IF([2]Entry!$G$1855="","",[2]Entry!$G$1855)</f>
        <v/>
      </c>
      <c r="T1852">
        <f>IF([2]Entry!$J$1855="","",[2]Entry!$J$1855)</f>
        <v/>
      </c>
      <c r="U1852">
        <f>IF([2]Entry!$K$1855="","",[2]Entry!$K$1855)</f>
        <v/>
      </c>
      <c r="V1852">
        <f>IF([2]Entry!$L$1855="","",[2]Entry!$L$1855)</f>
        <v/>
      </c>
      <c r="W1852">
        <f>IF([2]Entry!$M$1855="","",[2]Entry!$M$1855)</f>
        <v/>
      </c>
      <c r="X1852">
        <f>IF([2]Entry!$N$1855="","",[2]Entry!$N$1855)</f>
        <v/>
      </c>
      <c r="Y1852">
        <f>IF([2]Entry!$R$1855="","",[2]Entry!$R$1855)</f>
        <v/>
      </c>
    </row>
    <row r="1853">
      <c r="P1853">
        <f>IF([2]Entry!$C$1856="","",[2]Entry!$C$1856)</f>
        <v/>
      </c>
      <c r="Q1853">
        <f>IF([2]Entry!$D$1856="","",[2]Entry!$D$1856)</f>
        <v/>
      </c>
      <c r="R1853">
        <f>IF([2]Entry!$E$1856="","",[2]Entry!$E$1856)</f>
        <v/>
      </c>
      <c r="S1853">
        <f>IF([2]Entry!$G$1856="","",[2]Entry!$G$1856)</f>
        <v/>
      </c>
      <c r="T1853">
        <f>IF([2]Entry!$J$1856="","",[2]Entry!$J$1856)</f>
        <v/>
      </c>
      <c r="U1853">
        <f>IF([2]Entry!$K$1856="","",[2]Entry!$K$1856)</f>
        <v/>
      </c>
      <c r="V1853">
        <f>IF([2]Entry!$L$1856="","",[2]Entry!$L$1856)</f>
        <v/>
      </c>
      <c r="W1853">
        <f>IF([2]Entry!$M$1856="","",[2]Entry!$M$1856)</f>
        <v/>
      </c>
      <c r="X1853">
        <f>IF([2]Entry!$N$1856="","",[2]Entry!$N$1856)</f>
        <v/>
      </c>
      <c r="Y1853">
        <f>IF([2]Entry!$R$1856="","",[2]Entry!$R$1856)</f>
        <v/>
      </c>
    </row>
    <row r="1854">
      <c r="P1854">
        <f>IF([2]Entry!$C$1857="","",[2]Entry!$C$1857)</f>
        <v/>
      </c>
      <c r="Q1854">
        <f>IF([2]Entry!$D$1857="","",[2]Entry!$D$1857)</f>
        <v/>
      </c>
      <c r="R1854">
        <f>IF([2]Entry!$E$1857="","",[2]Entry!$E$1857)</f>
        <v/>
      </c>
      <c r="S1854">
        <f>IF([2]Entry!$G$1857="","",[2]Entry!$G$1857)</f>
        <v/>
      </c>
      <c r="T1854">
        <f>IF([2]Entry!$J$1857="","",[2]Entry!$J$1857)</f>
        <v/>
      </c>
      <c r="U1854">
        <f>IF([2]Entry!$K$1857="","",[2]Entry!$K$1857)</f>
        <v/>
      </c>
      <c r="V1854">
        <f>IF([2]Entry!$L$1857="","",[2]Entry!$L$1857)</f>
        <v/>
      </c>
      <c r="W1854">
        <f>IF([2]Entry!$M$1857="","",[2]Entry!$M$1857)</f>
        <v/>
      </c>
      <c r="X1854">
        <f>IF([2]Entry!$N$1857="","",[2]Entry!$N$1857)</f>
        <v/>
      </c>
      <c r="Y1854">
        <f>IF([2]Entry!$R$1857="","",[2]Entry!$R$1857)</f>
        <v/>
      </c>
    </row>
    <row r="1855">
      <c r="P1855">
        <f>IF([2]Entry!$C$1858="","",[2]Entry!$C$1858)</f>
        <v/>
      </c>
      <c r="Q1855">
        <f>IF([2]Entry!$D$1858="","",[2]Entry!$D$1858)</f>
        <v/>
      </c>
      <c r="R1855">
        <f>IF([2]Entry!$E$1858="","",[2]Entry!$E$1858)</f>
        <v/>
      </c>
      <c r="S1855">
        <f>IF([2]Entry!$G$1858="","",[2]Entry!$G$1858)</f>
        <v/>
      </c>
      <c r="T1855">
        <f>IF([2]Entry!$J$1858="","",[2]Entry!$J$1858)</f>
        <v/>
      </c>
      <c r="U1855">
        <f>IF([2]Entry!$K$1858="","",[2]Entry!$K$1858)</f>
        <v/>
      </c>
      <c r="V1855">
        <f>IF([2]Entry!$L$1858="","",[2]Entry!$L$1858)</f>
        <v/>
      </c>
      <c r="W1855">
        <f>IF([2]Entry!$M$1858="","",[2]Entry!$M$1858)</f>
        <v/>
      </c>
      <c r="X1855">
        <f>IF([2]Entry!$N$1858="","",[2]Entry!$N$1858)</f>
        <v/>
      </c>
      <c r="Y1855">
        <f>IF([2]Entry!$R$1858="","",[2]Entry!$R$1858)</f>
        <v/>
      </c>
    </row>
    <row r="1856">
      <c r="P1856">
        <f>IF([2]Entry!$C$1859="","",[2]Entry!$C$1859)</f>
        <v/>
      </c>
      <c r="Q1856">
        <f>IF([2]Entry!$D$1859="","",[2]Entry!$D$1859)</f>
        <v/>
      </c>
      <c r="R1856">
        <f>IF([2]Entry!$E$1859="","",[2]Entry!$E$1859)</f>
        <v/>
      </c>
      <c r="S1856">
        <f>IF([2]Entry!$G$1859="","",[2]Entry!$G$1859)</f>
        <v/>
      </c>
      <c r="T1856">
        <f>IF([2]Entry!$J$1859="","",[2]Entry!$J$1859)</f>
        <v/>
      </c>
      <c r="U1856">
        <f>IF([2]Entry!$K$1859="","",[2]Entry!$K$1859)</f>
        <v/>
      </c>
      <c r="V1856">
        <f>IF([2]Entry!$L$1859="","",[2]Entry!$L$1859)</f>
        <v/>
      </c>
      <c r="W1856">
        <f>IF([2]Entry!$M$1859="","",[2]Entry!$M$1859)</f>
        <v/>
      </c>
      <c r="X1856">
        <f>IF([2]Entry!$N$1859="","",[2]Entry!$N$1859)</f>
        <v/>
      </c>
      <c r="Y1856">
        <f>IF([2]Entry!$R$1859="","",[2]Entry!$R$1859)</f>
        <v/>
      </c>
    </row>
    <row r="1857">
      <c r="P1857">
        <f>IF([2]Entry!$C$1860="","",[2]Entry!$C$1860)</f>
        <v/>
      </c>
      <c r="Q1857">
        <f>IF([2]Entry!$D$1860="","",[2]Entry!$D$1860)</f>
        <v/>
      </c>
      <c r="R1857">
        <f>IF([2]Entry!$E$1860="","",[2]Entry!$E$1860)</f>
        <v/>
      </c>
      <c r="S1857">
        <f>IF([2]Entry!$G$1860="","",[2]Entry!$G$1860)</f>
        <v/>
      </c>
      <c r="T1857">
        <f>IF([2]Entry!$J$1860="","",[2]Entry!$J$1860)</f>
        <v/>
      </c>
      <c r="U1857">
        <f>IF([2]Entry!$K$1860="","",[2]Entry!$K$1860)</f>
        <v/>
      </c>
      <c r="V1857">
        <f>IF([2]Entry!$L$1860="","",[2]Entry!$L$1860)</f>
        <v/>
      </c>
      <c r="W1857">
        <f>IF([2]Entry!$M$1860="","",[2]Entry!$M$1860)</f>
        <v/>
      </c>
      <c r="X1857">
        <f>IF([2]Entry!$N$1860="","",[2]Entry!$N$1860)</f>
        <v/>
      </c>
      <c r="Y1857">
        <f>IF([2]Entry!$R$1860="","",[2]Entry!$R$1860)</f>
        <v/>
      </c>
    </row>
    <row r="1858">
      <c r="P1858">
        <f>IF([2]Entry!$C$1861="","",[2]Entry!$C$1861)</f>
        <v/>
      </c>
      <c r="Q1858">
        <f>IF([2]Entry!$D$1861="","",[2]Entry!$D$1861)</f>
        <v/>
      </c>
      <c r="R1858">
        <f>IF([2]Entry!$E$1861="","",[2]Entry!$E$1861)</f>
        <v/>
      </c>
      <c r="S1858">
        <f>IF([2]Entry!$G$1861="","",[2]Entry!$G$1861)</f>
        <v/>
      </c>
      <c r="T1858">
        <f>IF([2]Entry!$J$1861="","",[2]Entry!$J$1861)</f>
        <v/>
      </c>
      <c r="U1858">
        <f>IF([2]Entry!$K$1861="","",[2]Entry!$K$1861)</f>
        <v/>
      </c>
      <c r="V1858">
        <f>IF([2]Entry!$L$1861="","",[2]Entry!$L$1861)</f>
        <v/>
      </c>
      <c r="W1858">
        <f>IF([2]Entry!$M$1861="","",[2]Entry!$M$1861)</f>
        <v/>
      </c>
      <c r="X1858">
        <f>IF([2]Entry!$N$1861="","",[2]Entry!$N$1861)</f>
        <v/>
      </c>
      <c r="Y1858">
        <f>IF([2]Entry!$R$1861="","",[2]Entry!$R$1861)</f>
        <v/>
      </c>
    </row>
    <row r="1859">
      <c r="P1859">
        <f>IF([2]Entry!$C$1862="","",[2]Entry!$C$1862)</f>
        <v/>
      </c>
      <c r="Q1859">
        <f>IF([2]Entry!$D$1862="","",[2]Entry!$D$1862)</f>
        <v/>
      </c>
      <c r="R1859">
        <f>IF([2]Entry!$E$1862="","",[2]Entry!$E$1862)</f>
        <v/>
      </c>
      <c r="S1859">
        <f>IF([2]Entry!$G$1862="","",[2]Entry!$G$1862)</f>
        <v/>
      </c>
      <c r="T1859">
        <f>IF([2]Entry!$J$1862="","",[2]Entry!$J$1862)</f>
        <v/>
      </c>
      <c r="U1859">
        <f>IF([2]Entry!$K$1862="","",[2]Entry!$K$1862)</f>
        <v/>
      </c>
      <c r="V1859">
        <f>IF([2]Entry!$L$1862="","",[2]Entry!$L$1862)</f>
        <v/>
      </c>
      <c r="W1859">
        <f>IF([2]Entry!$M$1862="","",[2]Entry!$M$1862)</f>
        <v/>
      </c>
      <c r="X1859">
        <f>IF([2]Entry!$N$1862="","",[2]Entry!$N$1862)</f>
        <v/>
      </c>
      <c r="Y1859">
        <f>IF([2]Entry!$R$1862="","",[2]Entry!$R$1862)</f>
        <v/>
      </c>
    </row>
    <row r="1860">
      <c r="P1860">
        <f>IF([2]Entry!$C$1863="","",[2]Entry!$C$1863)</f>
        <v/>
      </c>
      <c r="Q1860">
        <f>IF([2]Entry!$D$1863="","",[2]Entry!$D$1863)</f>
        <v/>
      </c>
      <c r="R1860">
        <f>IF([2]Entry!$E$1863="","",[2]Entry!$E$1863)</f>
        <v/>
      </c>
      <c r="S1860">
        <f>IF([2]Entry!$G$1863="","",[2]Entry!$G$1863)</f>
        <v/>
      </c>
      <c r="T1860">
        <f>IF([2]Entry!$J$1863="","",[2]Entry!$J$1863)</f>
        <v/>
      </c>
      <c r="U1860">
        <f>IF([2]Entry!$K$1863="","",[2]Entry!$K$1863)</f>
        <v/>
      </c>
      <c r="V1860">
        <f>IF([2]Entry!$L$1863="","",[2]Entry!$L$1863)</f>
        <v/>
      </c>
      <c r="W1860">
        <f>IF([2]Entry!$M$1863="","",[2]Entry!$M$1863)</f>
        <v/>
      </c>
      <c r="X1860">
        <f>IF([2]Entry!$N$1863="","",[2]Entry!$N$1863)</f>
        <v/>
      </c>
      <c r="Y1860">
        <f>IF([2]Entry!$R$1863="","",[2]Entry!$R$1863)</f>
        <v/>
      </c>
    </row>
    <row r="1861">
      <c r="P1861">
        <f>IF([2]Entry!$C$1864="","",[2]Entry!$C$1864)</f>
        <v/>
      </c>
      <c r="Q1861">
        <f>IF([2]Entry!$D$1864="","",[2]Entry!$D$1864)</f>
        <v/>
      </c>
      <c r="R1861">
        <f>IF([2]Entry!$E$1864="","",[2]Entry!$E$1864)</f>
        <v/>
      </c>
      <c r="S1861">
        <f>IF([2]Entry!$G$1864="","",[2]Entry!$G$1864)</f>
        <v/>
      </c>
      <c r="T1861">
        <f>IF([2]Entry!$J$1864="","",[2]Entry!$J$1864)</f>
        <v/>
      </c>
      <c r="U1861">
        <f>IF([2]Entry!$K$1864="","",[2]Entry!$K$1864)</f>
        <v/>
      </c>
      <c r="V1861">
        <f>IF([2]Entry!$L$1864="","",[2]Entry!$L$1864)</f>
        <v/>
      </c>
      <c r="W1861">
        <f>IF([2]Entry!$M$1864="","",[2]Entry!$M$1864)</f>
        <v/>
      </c>
      <c r="X1861">
        <f>IF([2]Entry!$N$1864="","",[2]Entry!$N$1864)</f>
        <v/>
      </c>
      <c r="Y1861">
        <f>IF([2]Entry!$R$1864="","",[2]Entry!$R$1864)</f>
        <v/>
      </c>
    </row>
    <row r="1862">
      <c r="P1862">
        <f>IF([2]Entry!$C$1865="","",[2]Entry!$C$1865)</f>
        <v/>
      </c>
      <c r="Q1862">
        <f>IF([2]Entry!$D$1865="","",[2]Entry!$D$1865)</f>
        <v/>
      </c>
      <c r="R1862">
        <f>IF([2]Entry!$E$1865="","",[2]Entry!$E$1865)</f>
        <v/>
      </c>
      <c r="S1862">
        <f>IF([2]Entry!$G$1865="","",[2]Entry!$G$1865)</f>
        <v/>
      </c>
      <c r="T1862">
        <f>IF([2]Entry!$J$1865="","",[2]Entry!$J$1865)</f>
        <v/>
      </c>
      <c r="U1862">
        <f>IF([2]Entry!$K$1865="","",[2]Entry!$K$1865)</f>
        <v/>
      </c>
      <c r="V1862">
        <f>IF([2]Entry!$L$1865="","",[2]Entry!$L$1865)</f>
        <v/>
      </c>
      <c r="W1862">
        <f>IF([2]Entry!$M$1865="","",[2]Entry!$M$1865)</f>
        <v/>
      </c>
      <c r="X1862">
        <f>IF([2]Entry!$N$1865="","",[2]Entry!$N$1865)</f>
        <v/>
      </c>
      <c r="Y1862">
        <f>IF([2]Entry!$R$1865="","",[2]Entry!$R$1865)</f>
        <v/>
      </c>
    </row>
    <row r="1863">
      <c r="P1863">
        <f>IF([2]Entry!$C$1866="","",[2]Entry!$C$1866)</f>
        <v/>
      </c>
      <c r="Q1863">
        <f>IF([2]Entry!$D$1866="","",[2]Entry!$D$1866)</f>
        <v/>
      </c>
      <c r="R1863">
        <f>IF([2]Entry!$E$1866="","",[2]Entry!$E$1866)</f>
        <v/>
      </c>
      <c r="S1863">
        <f>IF([2]Entry!$G$1866="","",[2]Entry!$G$1866)</f>
        <v/>
      </c>
      <c r="T1863">
        <f>IF([2]Entry!$J$1866="","",[2]Entry!$J$1866)</f>
        <v/>
      </c>
      <c r="U1863">
        <f>IF([2]Entry!$K$1866="","",[2]Entry!$K$1866)</f>
        <v/>
      </c>
      <c r="V1863">
        <f>IF([2]Entry!$L$1866="","",[2]Entry!$L$1866)</f>
        <v/>
      </c>
      <c r="W1863">
        <f>IF([2]Entry!$M$1866="","",[2]Entry!$M$1866)</f>
        <v/>
      </c>
      <c r="X1863">
        <f>IF([2]Entry!$N$1866="","",[2]Entry!$N$1866)</f>
        <v/>
      </c>
      <c r="Y1863">
        <f>IF([2]Entry!$R$1866="","",[2]Entry!$R$1866)</f>
        <v/>
      </c>
    </row>
    <row r="1864">
      <c r="P1864">
        <f>IF([2]Entry!$C$1867="","",[2]Entry!$C$1867)</f>
        <v/>
      </c>
      <c r="Q1864">
        <f>IF([2]Entry!$D$1867="","",[2]Entry!$D$1867)</f>
        <v/>
      </c>
      <c r="R1864">
        <f>IF([2]Entry!$E$1867="","",[2]Entry!$E$1867)</f>
        <v/>
      </c>
      <c r="S1864">
        <f>IF([2]Entry!$G$1867="","",[2]Entry!$G$1867)</f>
        <v/>
      </c>
      <c r="T1864">
        <f>IF([2]Entry!$J$1867="","",[2]Entry!$J$1867)</f>
        <v/>
      </c>
      <c r="U1864">
        <f>IF([2]Entry!$K$1867="","",[2]Entry!$K$1867)</f>
        <v/>
      </c>
      <c r="V1864">
        <f>IF([2]Entry!$L$1867="","",[2]Entry!$L$1867)</f>
        <v/>
      </c>
      <c r="W1864">
        <f>IF([2]Entry!$M$1867="","",[2]Entry!$M$1867)</f>
        <v/>
      </c>
      <c r="X1864">
        <f>IF([2]Entry!$N$1867="","",[2]Entry!$N$1867)</f>
        <v/>
      </c>
      <c r="Y1864">
        <f>IF([2]Entry!$R$1867="","",[2]Entry!$R$1867)</f>
        <v/>
      </c>
    </row>
    <row r="1865">
      <c r="P1865">
        <f>IF([2]Entry!$C$1868="","",[2]Entry!$C$1868)</f>
        <v/>
      </c>
      <c r="Q1865">
        <f>IF([2]Entry!$D$1868="","",[2]Entry!$D$1868)</f>
        <v/>
      </c>
      <c r="R1865">
        <f>IF([2]Entry!$E$1868="","",[2]Entry!$E$1868)</f>
        <v/>
      </c>
      <c r="S1865">
        <f>IF([2]Entry!$G$1868="","",[2]Entry!$G$1868)</f>
        <v/>
      </c>
      <c r="T1865">
        <f>IF([2]Entry!$J$1868="","",[2]Entry!$J$1868)</f>
        <v/>
      </c>
      <c r="U1865">
        <f>IF([2]Entry!$K$1868="","",[2]Entry!$K$1868)</f>
        <v/>
      </c>
      <c r="V1865">
        <f>IF([2]Entry!$L$1868="","",[2]Entry!$L$1868)</f>
        <v/>
      </c>
      <c r="W1865">
        <f>IF([2]Entry!$M$1868="","",[2]Entry!$M$1868)</f>
        <v/>
      </c>
      <c r="X1865">
        <f>IF([2]Entry!$N$1868="","",[2]Entry!$N$1868)</f>
        <v/>
      </c>
      <c r="Y1865">
        <f>IF([2]Entry!$R$1868="","",[2]Entry!$R$1868)</f>
        <v/>
      </c>
    </row>
    <row r="1866">
      <c r="P1866">
        <f>IF([2]Entry!$C$1869="","",[2]Entry!$C$1869)</f>
        <v/>
      </c>
      <c r="Q1866">
        <f>IF([2]Entry!$D$1869="","",[2]Entry!$D$1869)</f>
        <v/>
      </c>
      <c r="R1866">
        <f>IF([2]Entry!$E$1869="","",[2]Entry!$E$1869)</f>
        <v/>
      </c>
      <c r="S1866">
        <f>IF([2]Entry!$G$1869="","",[2]Entry!$G$1869)</f>
        <v/>
      </c>
      <c r="T1866">
        <f>IF([2]Entry!$J$1869="","",[2]Entry!$J$1869)</f>
        <v/>
      </c>
      <c r="U1866">
        <f>IF([2]Entry!$K$1869="","",[2]Entry!$K$1869)</f>
        <v/>
      </c>
      <c r="V1866">
        <f>IF([2]Entry!$L$1869="","",[2]Entry!$L$1869)</f>
        <v/>
      </c>
      <c r="W1866">
        <f>IF([2]Entry!$M$1869="","",[2]Entry!$M$1869)</f>
        <v/>
      </c>
      <c r="X1866">
        <f>IF([2]Entry!$N$1869="","",[2]Entry!$N$1869)</f>
        <v/>
      </c>
      <c r="Y1866">
        <f>IF([2]Entry!$R$1869="","",[2]Entry!$R$1869)</f>
        <v/>
      </c>
    </row>
    <row r="1867">
      <c r="P1867">
        <f>IF([2]Entry!$C$1870="","",[2]Entry!$C$1870)</f>
        <v/>
      </c>
      <c r="Q1867">
        <f>IF([2]Entry!$D$1870="","",[2]Entry!$D$1870)</f>
        <v/>
      </c>
      <c r="R1867">
        <f>IF([2]Entry!$E$1870="","",[2]Entry!$E$1870)</f>
        <v/>
      </c>
      <c r="S1867">
        <f>IF([2]Entry!$G$1870="","",[2]Entry!$G$1870)</f>
        <v/>
      </c>
      <c r="T1867">
        <f>IF([2]Entry!$J$1870="","",[2]Entry!$J$1870)</f>
        <v/>
      </c>
      <c r="U1867">
        <f>IF([2]Entry!$K$1870="","",[2]Entry!$K$1870)</f>
        <v/>
      </c>
      <c r="V1867">
        <f>IF([2]Entry!$L$1870="","",[2]Entry!$L$1870)</f>
        <v/>
      </c>
      <c r="W1867">
        <f>IF([2]Entry!$M$1870="","",[2]Entry!$M$1870)</f>
        <v/>
      </c>
      <c r="X1867">
        <f>IF([2]Entry!$N$1870="","",[2]Entry!$N$1870)</f>
        <v/>
      </c>
      <c r="Y1867">
        <f>IF([2]Entry!$R$1870="","",[2]Entry!$R$1870)</f>
        <v/>
      </c>
    </row>
    <row r="1868">
      <c r="P1868">
        <f>IF([2]Entry!$C$1871="","",[2]Entry!$C$1871)</f>
        <v/>
      </c>
      <c r="Q1868">
        <f>IF([2]Entry!$D$1871="","",[2]Entry!$D$1871)</f>
        <v/>
      </c>
      <c r="R1868">
        <f>IF([2]Entry!$E$1871="","",[2]Entry!$E$1871)</f>
        <v/>
      </c>
      <c r="S1868">
        <f>IF([2]Entry!$G$1871="","",[2]Entry!$G$1871)</f>
        <v/>
      </c>
      <c r="T1868">
        <f>IF([2]Entry!$J$1871="","",[2]Entry!$J$1871)</f>
        <v/>
      </c>
      <c r="U1868">
        <f>IF([2]Entry!$K$1871="","",[2]Entry!$K$1871)</f>
        <v/>
      </c>
      <c r="V1868">
        <f>IF([2]Entry!$L$1871="","",[2]Entry!$L$1871)</f>
        <v/>
      </c>
      <c r="W1868">
        <f>IF([2]Entry!$M$1871="","",[2]Entry!$M$1871)</f>
        <v/>
      </c>
      <c r="X1868">
        <f>IF([2]Entry!$N$1871="","",[2]Entry!$N$1871)</f>
        <v/>
      </c>
      <c r="Y1868">
        <f>IF([2]Entry!$R$1871="","",[2]Entry!$R$1871)</f>
        <v/>
      </c>
    </row>
    <row r="1869">
      <c r="P1869">
        <f>IF([2]Entry!$C$1872="","",[2]Entry!$C$1872)</f>
        <v/>
      </c>
      <c r="Q1869">
        <f>IF([2]Entry!$D$1872="","",[2]Entry!$D$1872)</f>
        <v/>
      </c>
      <c r="R1869">
        <f>IF([2]Entry!$E$1872="","",[2]Entry!$E$1872)</f>
        <v/>
      </c>
      <c r="S1869">
        <f>IF([2]Entry!$G$1872="","",[2]Entry!$G$1872)</f>
        <v/>
      </c>
      <c r="T1869">
        <f>IF([2]Entry!$J$1872="","",[2]Entry!$J$1872)</f>
        <v/>
      </c>
      <c r="U1869">
        <f>IF([2]Entry!$K$1872="","",[2]Entry!$K$1872)</f>
        <v/>
      </c>
      <c r="V1869">
        <f>IF([2]Entry!$L$1872="","",[2]Entry!$L$1872)</f>
        <v/>
      </c>
      <c r="W1869">
        <f>IF([2]Entry!$M$1872="","",[2]Entry!$M$1872)</f>
        <v/>
      </c>
      <c r="X1869">
        <f>IF([2]Entry!$N$1872="","",[2]Entry!$N$1872)</f>
        <v/>
      </c>
      <c r="Y1869">
        <f>IF([2]Entry!$R$1872="","",[2]Entry!$R$1872)</f>
        <v/>
      </c>
    </row>
    <row r="1870">
      <c r="P1870">
        <f>IF([2]Entry!$C$1873="","",[2]Entry!$C$1873)</f>
        <v/>
      </c>
      <c r="Q1870">
        <f>IF([2]Entry!$D$1873="","",[2]Entry!$D$1873)</f>
        <v/>
      </c>
      <c r="R1870">
        <f>IF([2]Entry!$E$1873="","",[2]Entry!$E$1873)</f>
        <v/>
      </c>
      <c r="S1870">
        <f>IF([2]Entry!$G$1873="","",[2]Entry!$G$1873)</f>
        <v/>
      </c>
      <c r="T1870">
        <f>IF([2]Entry!$J$1873="","",[2]Entry!$J$1873)</f>
        <v/>
      </c>
      <c r="U1870">
        <f>IF([2]Entry!$K$1873="","",[2]Entry!$K$1873)</f>
        <v/>
      </c>
      <c r="V1870">
        <f>IF([2]Entry!$L$1873="","",[2]Entry!$L$1873)</f>
        <v/>
      </c>
      <c r="W1870">
        <f>IF([2]Entry!$M$1873="","",[2]Entry!$M$1873)</f>
        <v/>
      </c>
      <c r="X1870">
        <f>IF([2]Entry!$N$1873="","",[2]Entry!$N$1873)</f>
        <v/>
      </c>
      <c r="Y1870">
        <f>IF([2]Entry!$R$1873="","",[2]Entry!$R$1873)</f>
        <v/>
      </c>
    </row>
    <row r="1871">
      <c r="P1871">
        <f>IF([2]Entry!$C$1874="","",[2]Entry!$C$1874)</f>
        <v/>
      </c>
      <c r="Q1871">
        <f>IF([2]Entry!$D$1874="","",[2]Entry!$D$1874)</f>
        <v/>
      </c>
      <c r="R1871">
        <f>IF([2]Entry!$E$1874="","",[2]Entry!$E$1874)</f>
        <v/>
      </c>
      <c r="S1871">
        <f>IF([2]Entry!$G$1874="","",[2]Entry!$G$1874)</f>
        <v/>
      </c>
      <c r="T1871">
        <f>IF([2]Entry!$J$1874="","",[2]Entry!$J$1874)</f>
        <v/>
      </c>
      <c r="U1871">
        <f>IF([2]Entry!$K$1874="","",[2]Entry!$K$1874)</f>
        <v/>
      </c>
      <c r="V1871">
        <f>IF([2]Entry!$L$1874="","",[2]Entry!$L$1874)</f>
        <v/>
      </c>
      <c r="W1871">
        <f>IF([2]Entry!$M$1874="","",[2]Entry!$M$1874)</f>
        <v/>
      </c>
      <c r="X1871">
        <f>IF([2]Entry!$N$1874="","",[2]Entry!$N$1874)</f>
        <v/>
      </c>
      <c r="Y1871">
        <f>IF([2]Entry!$R$1874="","",[2]Entry!$R$1874)</f>
        <v/>
      </c>
    </row>
    <row r="1872">
      <c r="P1872">
        <f>IF([2]Entry!$C$1875="","",[2]Entry!$C$1875)</f>
        <v/>
      </c>
      <c r="Q1872">
        <f>IF([2]Entry!$D$1875="","",[2]Entry!$D$1875)</f>
        <v/>
      </c>
      <c r="R1872">
        <f>IF([2]Entry!$E$1875="","",[2]Entry!$E$1875)</f>
        <v/>
      </c>
      <c r="S1872">
        <f>IF([2]Entry!$G$1875="","",[2]Entry!$G$1875)</f>
        <v/>
      </c>
      <c r="T1872">
        <f>IF([2]Entry!$J$1875="","",[2]Entry!$J$1875)</f>
        <v/>
      </c>
      <c r="U1872">
        <f>IF([2]Entry!$K$1875="","",[2]Entry!$K$1875)</f>
        <v/>
      </c>
      <c r="V1872">
        <f>IF([2]Entry!$L$1875="","",[2]Entry!$L$1875)</f>
        <v/>
      </c>
      <c r="W1872">
        <f>IF([2]Entry!$M$1875="","",[2]Entry!$M$1875)</f>
        <v/>
      </c>
      <c r="X1872">
        <f>IF([2]Entry!$N$1875="","",[2]Entry!$N$1875)</f>
        <v/>
      </c>
      <c r="Y1872">
        <f>IF([2]Entry!$R$1875="","",[2]Entry!$R$1875)</f>
        <v/>
      </c>
    </row>
    <row r="1873">
      <c r="P1873">
        <f>IF([2]Entry!$C$1876="","",[2]Entry!$C$1876)</f>
        <v/>
      </c>
      <c r="Q1873">
        <f>IF([2]Entry!$D$1876="","",[2]Entry!$D$1876)</f>
        <v/>
      </c>
      <c r="R1873">
        <f>IF([2]Entry!$E$1876="","",[2]Entry!$E$1876)</f>
        <v/>
      </c>
      <c r="S1873">
        <f>IF([2]Entry!$G$1876="","",[2]Entry!$G$1876)</f>
        <v/>
      </c>
      <c r="T1873">
        <f>IF([2]Entry!$J$1876="","",[2]Entry!$J$1876)</f>
        <v/>
      </c>
      <c r="U1873">
        <f>IF([2]Entry!$K$1876="","",[2]Entry!$K$1876)</f>
        <v/>
      </c>
      <c r="V1873">
        <f>IF([2]Entry!$L$1876="","",[2]Entry!$L$1876)</f>
        <v/>
      </c>
      <c r="W1873">
        <f>IF([2]Entry!$M$1876="","",[2]Entry!$M$1876)</f>
        <v/>
      </c>
      <c r="X1873">
        <f>IF([2]Entry!$N$1876="","",[2]Entry!$N$1876)</f>
        <v/>
      </c>
      <c r="Y1873">
        <f>IF([2]Entry!$R$1876="","",[2]Entry!$R$1876)</f>
        <v/>
      </c>
    </row>
    <row r="1874">
      <c r="P1874">
        <f>IF([2]Entry!$C$1877="","",[2]Entry!$C$1877)</f>
        <v/>
      </c>
      <c r="Q1874">
        <f>IF([2]Entry!$D$1877="","",[2]Entry!$D$1877)</f>
        <v/>
      </c>
      <c r="R1874">
        <f>IF([2]Entry!$E$1877="","",[2]Entry!$E$1877)</f>
        <v/>
      </c>
      <c r="S1874">
        <f>IF([2]Entry!$G$1877="","",[2]Entry!$G$1877)</f>
        <v/>
      </c>
      <c r="T1874">
        <f>IF([2]Entry!$J$1877="","",[2]Entry!$J$1877)</f>
        <v/>
      </c>
      <c r="U1874">
        <f>IF([2]Entry!$K$1877="","",[2]Entry!$K$1877)</f>
        <v/>
      </c>
      <c r="V1874">
        <f>IF([2]Entry!$L$1877="","",[2]Entry!$L$1877)</f>
        <v/>
      </c>
      <c r="W1874">
        <f>IF([2]Entry!$M$1877="","",[2]Entry!$M$1877)</f>
        <v/>
      </c>
      <c r="X1874">
        <f>IF([2]Entry!$N$1877="","",[2]Entry!$N$1877)</f>
        <v/>
      </c>
      <c r="Y1874">
        <f>IF([2]Entry!$R$1877="","",[2]Entry!$R$1877)</f>
        <v/>
      </c>
    </row>
    <row r="1875">
      <c r="P1875">
        <f>IF([2]Entry!$C$1878="","",[2]Entry!$C$1878)</f>
        <v/>
      </c>
      <c r="Q1875">
        <f>IF([2]Entry!$D$1878="","",[2]Entry!$D$1878)</f>
        <v/>
      </c>
      <c r="R1875">
        <f>IF([2]Entry!$E$1878="","",[2]Entry!$E$1878)</f>
        <v/>
      </c>
      <c r="S1875">
        <f>IF([2]Entry!$G$1878="","",[2]Entry!$G$1878)</f>
        <v/>
      </c>
      <c r="T1875">
        <f>IF([2]Entry!$J$1878="","",[2]Entry!$J$1878)</f>
        <v/>
      </c>
      <c r="U1875">
        <f>IF([2]Entry!$K$1878="","",[2]Entry!$K$1878)</f>
        <v/>
      </c>
      <c r="V1875">
        <f>IF([2]Entry!$L$1878="","",[2]Entry!$L$1878)</f>
        <v/>
      </c>
      <c r="W1875">
        <f>IF([2]Entry!$M$1878="","",[2]Entry!$M$1878)</f>
        <v/>
      </c>
      <c r="X1875">
        <f>IF([2]Entry!$N$1878="","",[2]Entry!$N$1878)</f>
        <v/>
      </c>
      <c r="Y1875">
        <f>IF([2]Entry!$R$1878="","",[2]Entry!$R$1878)</f>
        <v/>
      </c>
    </row>
    <row r="1876">
      <c r="P1876">
        <f>IF([2]Entry!$C$1879="","",[2]Entry!$C$1879)</f>
        <v/>
      </c>
      <c r="Q1876">
        <f>IF([2]Entry!$D$1879="","",[2]Entry!$D$1879)</f>
        <v/>
      </c>
      <c r="R1876">
        <f>IF([2]Entry!$E$1879="","",[2]Entry!$E$1879)</f>
        <v/>
      </c>
      <c r="S1876">
        <f>IF([2]Entry!$G$1879="","",[2]Entry!$G$1879)</f>
        <v/>
      </c>
      <c r="T1876">
        <f>IF([2]Entry!$J$1879="","",[2]Entry!$J$1879)</f>
        <v/>
      </c>
      <c r="U1876">
        <f>IF([2]Entry!$K$1879="","",[2]Entry!$K$1879)</f>
        <v/>
      </c>
      <c r="V1876">
        <f>IF([2]Entry!$L$1879="","",[2]Entry!$L$1879)</f>
        <v/>
      </c>
      <c r="W1876">
        <f>IF([2]Entry!$M$1879="","",[2]Entry!$M$1879)</f>
        <v/>
      </c>
      <c r="X1876">
        <f>IF([2]Entry!$N$1879="","",[2]Entry!$N$1879)</f>
        <v/>
      </c>
      <c r="Y1876">
        <f>IF([2]Entry!$R$1879="","",[2]Entry!$R$1879)</f>
        <v/>
      </c>
    </row>
    <row r="1877">
      <c r="P1877">
        <f>IF([2]Entry!$C$1880="","",[2]Entry!$C$1880)</f>
        <v/>
      </c>
      <c r="Q1877">
        <f>IF([2]Entry!$D$1880="","",[2]Entry!$D$1880)</f>
        <v/>
      </c>
      <c r="R1877">
        <f>IF([2]Entry!$E$1880="","",[2]Entry!$E$1880)</f>
        <v/>
      </c>
      <c r="S1877">
        <f>IF([2]Entry!$G$1880="","",[2]Entry!$G$1880)</f>
        <v/>
      </c>
      <c r="T1877">
        <f>IF([2]Entry!$J$1880="","",[2]Entry!$J$1880)</f>
        <v/>
      </c>
      <c r="U1877">
        <f>IF([2]Entry!$K$1880="","",[2]Entry!$K$1880)</f>
        <v/>
      </c>
      <c r="V1877">
        <f>IF([2]Entry!$L$1880="","",[2]Entry!$L$1880)</f>
        <v/>
      </c>
      <c r="W1877">
        <f>IF([2]Entry!$M$1880="","",[2]Entry!$M$1880)</f>
        <v/>
      </c>
      <c r="X1877">
        <f>IF([2]Entry!$N$1880="","",[2]Entry!$N$1880)</f>
        <v/>
      </c>
      <c r="Y1877">
        <f>IF([2]Entry!$R$1880="","",[2]Entry!$R$1880)</f>
        <v/>
      </c>
    </row>
    <row r="1878">
      <c r="P1878">
        <f>IF([2]Entry!$C$1881="","",[2]Entry!$C$1881)</f>
        <v/>
      </c>
      <c r="Q1878">
        <f>IF([2]Entry!$D$1881="","",[2]Entry!$D$1881)</f>
        <v/>
      </c>
      <c r="R1878">
        <f>IF([2]Entry!$E$1881="","",[2]Entry!$E$1881)</f>
        <v/>
      </c>
      <c r="S1878">
        <f>IF([2]Entry!$G$1881="","",[2]Entry!$G$1881)</f>
        <v/>
      </c>
      <c r="T1878">
        <f>IF([2]Entry!$J$1881="","",[2]Entry!$J$1881)</f>
        <v/>
      </c>
      <c r="U1878">
        <f>IF([2]Entry!$K$1881="","",[2]Entry!$K$1881)</f>
        <v/>
      </c>
      <c r="V1878">
        <f>IF([2]Entry!$L$1881="","",[2]Entry!$L$1881)</f>
        <v/>
      </c>
      <c r="W1878">
        <f>IF([2]Entry!$M$1881="","",[2]Entry!$M$1881)</f>
        <v/>
      </c>
      <c r="X1878">
        <f>IF([2]Entry!$N$1881="","",[2]Entry!$N$1881)</f>
        <v/>
      </c>
      <c r="Y1878">
        <f>IF([2]Entry!$R$1881="","",[2]Entry!$R$1881)</f>
        <v/>
      </c>
    </row>
    <row r="1879">
      <c r="P1879">
        <f>IF([2]Entry!$C$1882="","",[2]Entry!$C$1882)</f>
        <v/>
      </c>
      <c r="Q1879">
        <f>IF([2]Entry!$D$1882="","",[2]Entry!$D$1882)</f>
        <v/>
      </c>
      <c r="R1879">
        <f>IF([2]Entry!$E$1882="","",[2]Entry!$E$1882)</f>
        <v/>
      </c>
      <c r="S1879">
        <f>IF([2]Entry!$G$1882="","",[2]Entry!$G$1882)</f>
        <v/>
      </c>
      <c r="T1879">
        <f>IF([2]Entry!$J$1882="","",[2]Entry!$J$1882)</f>
        <v/>
      </c>
      <c r="U1879">
        <f>IF([2]Entry!$K$1882="","",[2]Entry!$K$1882)</f>
        <v/>
      </c>
      <c r="V1879">
        <f>IF([2]Entry!$L$1882="","",[2]Entry!$L$1882)</f>
        <v/>
      </c>
      <c r="W1879">
        <f>IF([2]Entry!$M$1882="","",[2]Entry!$M$1882)</f>
        <v/>
      </c>
      <c r="X1879">
        <f>IF([2]Entry!$N$1882="","",[2]Entry!$N$1882)</f>
        <v/>
      </c>
      <c r="Y1879">
        <f>IF([2]Entry!$R$1882="","",[2]Entry!$R$1882)</f>
        <v/>
      </c>
    </row>
    <row r="1880">
      <c r="P1880">
        <f>IF([2]Entry!$C$1883="","",[2]Entry!$C$1883)</f>
        <v/>
      </c>
      <c r="Q1880">
        <f>IF([2]Entry!$D$1883="","",[2]Entry!$D$1883)</f>
        <v/>
      </c>
      <c r="R1880">
        <f>IF([2]Entry!$E$1883="","",[2]Entry!$E$1883)</f>
        <v/>
      </c>
      <c r="S1880">
        <f>IF([2]Entry!$G$1883="","",[2]Entry!$G$1883)</f>
        <v/>
      </c>
      <c r="T1880">
        <f>IF([2]Entry!$J$1883="","",[2]Entry!$J$1883)</f>
        <v/>
      </c>
      <c r="U1880">
        <f>IF([2]Entry!$K$1883="","",[2]Entry!$K$1883)</f>
        <v/>
      </c>
      <c r="V1880">
        <f>IF([2]Entry!$L$1883="","",[2]Entry!$L$1883)</f>
        <v/>
      </c>
      <c r="W1880">
        <f>IF([2]Entry!$M$1883="","",[2]Entry!$M$1883)</f>
        <v/>
      </c>
      <c r="X1880">
        <f>IF([2]Entry!$N$1883="","",[2]Entry!$N$1883)</f>
        <v/>
      </c>
      <c r="Y1880">
        <f>IF([2]Entry!$R$1883="","",[2]Entry!$R$1883)</f>
        <v/>
      </c>
    </row>
    <row r="1881">
      <c r="P1881">
        <f>IF([2]Entry!$C$1884="","",[2]Entry!$C$1884)</f>
        <v/>
      </c>
      <c r="Q1881">
        <f>IF([2]Entry!$D$1884="","",[2]Entry!$D$1884)</f>
        <v/>
      </c>
      <c r="R1881">
        <f>IF([2]Entry!$E$1884="","",[2]Entry!$E$1884)</f>
        <v/>
      </c>
      <c r="S1881">
        <f>IF([2]Entry!$G$1884="","",[2]Entry!$G$1884)</f>
        <v/>
      </c>
      <c r="T1881">
        <f>IF([2]Entry!$J$1884="","",[2]Entry!$J$1884)</f>
        <v/>
      </c>
      <c r="U1881">
        <f>IF([2]Entry!$K$1884="","",[2]Entry!$K$1884)</f>
        <v/>
      </c>
      <c r="V1881">
        <f>IF([2]Entry!$L$1884="","",[2]Entry!$L$1884)</f>
        <v/>
      </c>
      <c r="W1881">
        <f>IF([2]Entry!$M$1884="","",[2]Entry!$M$1884)</f>
        <v/>
      </c>
      <c r="X1881">
        <f>IF([2]Entry!$N$1884="","",[2]Entry!$N$1884)</f>
        <v/>
      </c>
      <c r="Y1881">
        <f>IF([2]Entry!$R$1884="","",[2]Entry!$R$1884)</f>
        <v/>
      </c>
    </row>
    <row r="1882">
      <c r="P1882">
        <f>IF([2]Entry!$C$1885="","",[2]Entry!$C$1885)</f>
        <v/>
      </c>
      <c r="Q1882">
        <f>IF([2]Entry!$D$1885="","",[2]Entry!$D$1885)</f>
        <v/>
      </c>
      <c r="R1882">
        <f>IF([2]Entry!$E$1885="","",[2]Entry!$E$1885)</f>
        <v/>
      </c>
      <c r="S1882">
        <f>IF([2]Entry!$G$1885="","",[2]Entry!$G$1885)</f>
        <v/>
      </c>
      <c r="T1882">
        <f>IF([2]Entry!$J$1885="","",[2]Entry!$J$1885)</f>
        <v/>
      </c>
      <c r="U1882">
        <f>IF([2]Entry!$K$1885="","",[2]Entry!$K$1885)</f>
        <v/>
      </c>
      <c r="V1882">
        <f>IF([2]Entry!$L$1885="","",[2]Entry!$L$1885)</f>
        <v/>
      </c>
      <c r="W1882">
        <f>IF([2]Entry!$M$1885="","",[2]Entry!$M$1885)</f>
        <v/>
      </c>
      <c r="X1882">
        <f>IF([2]Entry!$N$1885="","",[2]Entry!$N$1885)</f>
        <v/>
      </c>
      <c r="Y1882">
        <f>IF([2]Entry!$R$1885="","",[2]Entry!$R$1885)</f>
        <v/>
      </c>
    </row>
    <row r="1883">
      <c r="P1883">
        <f>IF([2]Entry!$C$1886="","",[2]Entry!$C$1886)</f>
        <v/>
      </c>
      <c r="Q1883">
        <f>IF([2]Entry!$D$1886="","",[2]Entry!$D$1886)</f>
        <v/>
      </c>
      <c r="R1883">
        <f>IF([2]Entry!$E$1886="","",[2]Entry!$E$1886)</f>
        <v/>
      </c>
      <c r="S1883">
        <f>IF([2]Entry!$G$1886="","",[2]Entry!$G$1886)</f>
        <v/>
      </c>
      <c r="T1883">
        <f>IF([2]Entry!$J$1886="","",[2]Entry!$J$1886)</f>
        <v/>
      </c>
      <c r="U1883">
        <f>IF([2]Entry!$K$1886="","",[2]Entry!$K$1886)</f>
        <v/>
      </c>
      <c r="V1883">
        <f>IF([2]Entry!$L$1886="","",[2]Entry!$L$1886)</f>
        <v/>
      </c>
      <c r="W1883">
        <f>IF([2]Entry!$M$1886="","",[2]Entry!$M$1886)</f>
        <v/>
      </c>
      <c r="X1883">
        <f>IF([2]Entry!$N$1886="","",[2]Entry!$N$1886)</f>
        <v/>
      </c>
      <c r="Y1883">
        <f>IF([2]Entry!$R$1886="","",[2]Entry!$R$1886)</f>
        <v/>
      </c>
    </row>
    <row r="1884">
      <c r="P1884">
        <f>IF([2]Entry!$C$1887="","",[2]Entry!$C$1887)</f>
        <v/>
      </c>
      <c r="Q1884">
        <f>IF([2]Entry!$D$1887="","",[2]Entry!$D$1887)</f>
        <v/>
      </c>
      <c r="R1884">
        <f>IF([2]Entry!$E$1887="","",[2]Entry!$E$1887)</f>
        <v/>
      </c>
      <c r="S1884">
        <f>IF([2]Entry!$G$1887="","",[2]Entry!$G$1887)</f>
        <v/>
      </c>
      <c r="T1884">
        <f>IF([2]Entry!$J$1887="","",[2]Entry!$J$1887)</f>
        <v/>
      </c>
      <c r="U1884">
        <f>IF([2]Entry!$K$1887="","",[2]Entry!$K$1887)</f>
        <v/>
      </c>
      <c r="V1884">
        <f>IF([2]Entry!$L$1887="","",[2]Entry!$L$1887)</f>
        <v/>
      </c>
      <c r="W1884">
        <f>IF([2]Entry!$M$1887="","",[2]Entry!$M$1887)</f>
        <v/>
      </c>
      <c r="X1884">
        <f>IF([2]Entry!$N$1887="","",[2]Entry!$N$1887)</f>
        <v/>
      </c>
      <c r="Y1884">
        <f>IF([2]Entry!$R$1887="","",[2]Entry!$R$1887)</f>
        <v/>
      </c>
    </row>
    <row r="1885">
      <c r="P1885">
        <f>IF([2]Entry!$C$1888="","",[2]Entry!$C$1888)</f>
        <v/>
      </c>
      <c r="Q1885">
        <f>IF([2]Entry!$D$1888="","",[2]Entry!$D$1888)</f>
        <v/>
      </c>
      <c r="R1885">
        <f>IF([2]Entry!$E$1888="","",[2]Entry!$E$1888)</f>
        <v/>
      </c>
      <c r="S1885">
        <f>IF([2]Entry!$G$1888="","",[2]Entry!$G$1888)</f>
        <v/>
      </c>
      <c r="T1885">
        <f>IF([2]Entry!$J$1888="","",[2]Entry!$J$1888)</f>
        <v/>
      </c>
      <c r="U1885">
        <f>IF([2]Entry!$K$1888="","",[2]Entry!$K$1888)</f>
        <v/>
      </c>
      <c r="V1885">
        <f>IF([2]Entry!$L$1888="","",[2]Entry!$L$1888)</f>
        <v/>
      </c>
      <c r="W1885">
        <f>IF([2]Entry!$M$1888="","",[2]Entry!$M$1888)</f>
        <v/>
      </c>
      <c r="X1885">
        <f>IF([2]Entry!$N$1888="","",[2]Entry!$N$1888)</f>
        <v/>
      </c>
      <c r="Y1885">
        <f>IF([2]Entry!$R$1888="","",[2]Entry!$R$1888)</f>
        <v/>
      </c>
    </row>
    <row r="1886">
      <c r="P1886">
        <f>IF([2]Entry!$C$1889="","",[2]Entry!$C$1889)</f>
        <v/>
      </c>
      <c r="Q1886">
        <f>IF([2]Entry!$D$1889="","",[2]Entry!$D$1889)</f>
        <v/>
      </c>
      <c r="R1886">
        <f>IF([2]Entry!$E$1889="","",[2]Entry!$E$1889)</f>
        <v/>
      </c>
      <c r="S1886">
        <f>IF([2]Entry!$G$1889="","",[2]Entry!$G$1889)</f>
        <v/>
      </c>
      <c r="T1886">
        <f>IF([2]Entry!$J$1889="","",[2]Entry!$J$1889)</f>
        <v/>
      </c>
      <c r="U1886">
        <f>IF([2]Entry!$K$1889="","",[2]Entry!$K$1889)</f>
        <v/>
      </c>
      <c r="V1886">
        <f>IF([2]Entry!$L$1889="","",[2]Entry!$L$1889)</f>
        <v/>
      </c>
      <c r="W1886">
        <f>IF([2]Entry!$M$1889="","",[2]Entry!$M$1889)</f>
        <v/>
      </c>
      <c r="X1886">
        <f>IF([2]Entry!$N$1889="","",[2]Entry!$N$1889)</f>
        <v/>
      </c>
      <c r="Y1886">
        <f>IF([2]Entry!$R$1889="","",[2]Entry!$R$1889)</f>
        <v/>
      </c>
    </row>
    <row r="1887">
      <c r="P1887">
        <f>IF([2]Entry!$C$1890="","",[2]Entry!$C$1890)</f>
        <v/>
      </c>
      <c r="Q1887">
        <f>IF([2]Entry!$D$1890="","",[2]Entry!$D$1890)</f>
        <v/>
      </c>
      <c r="R1887">
        <f>IF([2]Entry!$E$1890="","",[2]Entry!$E$1890)</f>
        <v/>
      </c>
      <c r="S1887">
        <f>IF([2]Entry!$G$1890="","",[2]Entry!$G$1890)</f>
        <v/>
      </c>
      <c r="T1887">
        <f>IF([2]Entry!$J$1890="","",[2]Entry!$J$1890)</f>
        <v/>
      </c>
      <c r="U1887">
        <f>IF([2]Entry!$K$1890="","",[2]Entry!$K$1890)</f>
        <v/>
      </c>
      <c r="V1887">
        <f>IF([2]Entry!$L$1890="","",[2]Entry!$L$1890)</f>
        <v/>
      </c>
      <c r="W1887">
        <f>IF([2]Entry!$M$1890="","",[2]Entry!$M$1890)</f>
        <v/>
      </c>
      <c r="X1887">
        <f>IF([2]Entry!$N$1890="","",[2]Entry!$N$1890)</f>
        <v/>
      </c>
      <c r="Y1887">
        <f>IF([2]Entry!$R$1890="","",[2]Entry!$R$1890)</f>
        <v/>
      </c>
    </row>
    <row r="1888">
      <c r="P1888">
        <f>IF([2]Entry!$C$1891="","",[2]Entry!$C$1891)</f>
        <v/>
      </c>
      <c r="Q1888">
        <f>IF([2]Entry!$D$1891="","",[2]Entry!$D$1891)</f>
        <v/>
      </c>
      <c r="R1888">
        <f>IF([2]Entry!$E$1891="","",[2]Entry!$E$1891)</f>
        <v/>
      </c>
      <c r="S1888">
        <f>IF([2]Entry!$G$1891="","",[2]Entry!$G$1891)</f>
        <v/>
      </c>
      <c r="T1888">
        <f>IF([2]Entry!$J$1891="","",[2]Entry!$J$1891)</f>
        <v/>
      </c>
      <c r="U1888">
        <f>IF([2]Entry!$K$1891="","",[2]Entry!$K$1891)</f>
        <v/>
      </c>
      <c r="V1888">
        <f>IF([2]Entry!$L$1891="","",[2]Entry!$L$1891)</f>
        <v/>
      </c>
      <c r="W1888">
        <f>IF([2]Entry!$M$1891="","",[2]Entry!$M$1891)</f>
        <v/>
      </c>
      <c r="X1888">
        <f>IF([2]Entry!$N$1891="","",[2]Entry!$N$1891)</f>
        <v/>
      </c>
      <c r="Y1888">
        <f>IF([2]Entry!$R$1891="","",[2]Entry!$R$1891)</f>
        <v/>
      </c>
    </row>
    <row r="1889">
      <c r="P1889">
        <f>IF([2]Entry!$C$1892="","",[2]Entry!$C$1892)</f>
        <v/>
      </c>
      <c r="Q1889">
        <f>IF([2]Entry!$D$1892="","",[2]Entry!$D$1892)</f>
        <v/>
      </c>
      <c r="R1889">
        <f>IF([2]Entry!$E$1892="","",[2]Entry!$E$1892)</f>
        <v/>
      </c>
      <c r="S1889">
        <f>IF([2]Entry!$G$1892="","",[2]Entry!$G$1892)</f>
        <v/>
      </c>
      <c r="T1889">
        <f>IF([2]Entry!$J$1892="","",[2]Entry!$J$1892)</f>
        <v/>
      </c>
      <c r="U1889">
        <f>IF([2]Entry!$K$1892="","",[2]Entry!$K$1892)</f>
        <v/>
      </c>
      <c r="V1889">
        <f>IF([2]Entry!$L$1892="","",[2]Entry!$L$1892)</f>
        <v/>
      </c>
      <c r="W1889">
        <f>IF([2]Entry!$M$1892="","",[2]Entry!$M$1892)</f>
        <v/>
      </c>
      <c r="X1889">
        <f>IF([2]Entry!$N$1892="","",[2]Entry!$N$1892)</f>
        <v/>
      </c>
      <c r="Y1889">
        <f>IF([2]Entry!$R$1892="","",[2]Entry!$R$1892)</f>
        <v/>
      </c>
    </row>
    <row r="1890">
      <c r="P1890">
        <f>IF([2]Entry!$C$1893="","",[2]Entry!$C$1893)</f>
        <v/>
      </c>
      <c r="Q1890">
        <f>IF([2]Entry!$D$1893="","",[2]Entry!$D$1893)</f>
        <v/>
      </c>
      <c r="R1890">
        <f>IF([2]Entry!$E$1893="","",[2]Entry!$E$1893)</f>
        <v/>
      </c>
      <c r="S1890">
        <f>IF([2]Entry!$G$1893="","",[2]Entry!$G$1893)</f>
        <v/>
      </c>
      <c r="T1890">
        <f>IF([2]Entry!$J$1893="","",[2]Entry!$J$1893)</f>
        <v/>
      </c>
      <c r="U1890">
        <f>IF([2]Entry!$K$1893="","",[2]Entry!$K$1893)</f>
        <v/>
      </c>
      <c r="V1890">
        <f>IF([2]Entry!$L$1893="","",[2]Entry!$L$1893)</f>
        <v/>
      </c>
      <c r="W1890">
        <f>IF([2]Entry!$M$1893="","",[2]Entry!$M$1893)</f>
        <v/>
      </c>
      <c r="X1890">
        <f>IF([2]Entry!$N$1893="","",[2]Entry!$N$1893)</f>
        <v/>
      </c>
      <c r="Y1890">
        <f>IF([2]Entry!$R$1893="","",[2]Entry!$R$1893)</f>
        <v/>
      </c>
    </row>
    <row r="1891">
      <c r="P1891">
        <f>IF([2]Entry!$C$1894="","",[2]Entry!$C$1894)</f>
        <v/>
      </c>
      <c r="Q1891">
        <f>IF([2]Entry!$D$1894="","",[2]Entry!$D$1894)</f>
        <v/>
      </c>
      <c r="R1891">
        <f>IF([2]Entry!$E$1894="","",[2]Entry!$E$1894)</f>
        <v/>
      </c>
      <c r="S1891">
        <f>IF([2]Entry!$G$1894="","",[2]Entry!$G$1894)</f>
        <v/>
      </c>
      <c r="T1891">
        <f>IF([2]Entry!$J$1894="","",[2]Entry!$J$1894)</f>
        <v/>
      </c>
      <c r="U1891">
        <f>IF([2]Entry!$K$1894="","",[2]Entry!$K$1894)</f>
        <v/>
      </c>
      <c r="V1891">
        <f>IF([2]Entry!$L$1894="","",[2]Entry!$L$1894)</f>
        <v/>
      </c>
      <c r="W1891">
        <f>IF([2]Entry!$M$1894="","",[2]Entry!$M$1894)</f>
        <v/>
      </c>
      <c r="X1891">
        <f>IF([2]Entry!$N$1894="","",[2]Entry!$N$1894)</f>
        <v/>
      </c>
      <c r="Y1891">
        <f>IF([2]Entry!$R$1894="","",[2]Entry!$R$1894)</f>
        <v/>
      </c>
    </row>
    <row r="1892">
      <c r="P1892">
        <f>IF([2]Entry!$C$1895="","",[2]Entry!$C$1895)</f>
        <v/>
      </c>
      <c r="Q1892">
        <f>IF([2]Entry!$D$1895="","",[2]Entry!$D$1895)</f>
        <v/>
      </c>
      <c r="R1892">
        <f>IF([2]Entry!$E$1895="","",[2]Entry!$E$1895)</f>
        <v/>
      </c>
      <c r="S1892">
        <f>IF([2]Entry!$G$1895="","",[2]Entry!$G$1895)</f>
        <v/>
      </c>
      <c r="T1892">
        <f>IF([2]Entry!$J$1895="","",[2]Entry!$J$1895)</f>
        <v/>
      </c>
      <c r="U1892">
        <f>IF([2]Entry!$K$1895="","",[2]Entry!$K$1895)</f>
        <v/>
      </c>
      <c r="V1892">
        <f>IF([2]Entry!$L$1895="","",[2]Entry!$L$1895)</f>
        <v/>
      </c>
      <c r="W1892">
        <f>IF([2]Entry!$M$1895="","",[2]Entry!$M$1895)</f>
        <v/>
      </c>
      <c r="X1892">
        <f>IF([2]Entry!$N$1895="","",[2]Entry!$N$1895)</f>
        <v/>
      </c>
      <c r="Y1892">
        <f>IF([2]Entry!$R$1895="","",[2]Entry!$R$1895)</f>
        <v/>
      </c>
    </row>
    <row r="1893">
      <c r="P1893">
        <f>IF([2]Entry!$C$1896="","",[2]Entry!$C$1896)</f>
        <v/>
      </c>
      <c r="Q1893">
        <f>IF([2]Entry!$D$1896="","",[2]Entry!$D$1896)</f>
        <v/>
      </c>
      <c r="R1893">
        <f>IF([2]Entry!$E$1896="","",[2]Entry!$E$1896)</f>
        <v/>
      </c>
      <c r="S1893">
        <f>IF([2]Entry!$G$1896="","",[2]Entry!$G$1896)</f>
        <v/>
      </c>
      <c r="T1893">
        <f>IF([2]Entry!$J$1896="","",[2]Entry!$J$1896)</f>
        <v/>
      </c>
      <c r="U1893">
        <f>IF([2]Entry!$K$1896="","",[2]Entry!$K$1896)</f>
        <v/>
      </c>
      <c r="V1893">
        <f>IF([2]Entry!$L$1896="","",[2]Entry!$L$1896)</f>
        <v/>
      </c>
      <c r="W1893">
        <f>IF([2]Entry!$M$1896="","",[2]Entry!$M$1896)</f>
        <v/>
      </c>
      <c r="X1893">
        <f>IF([2]Entry!$N$1896="","",[2]Entry!$N$1896)</f>
        <v/>
      </c>
      <c r="Y1893">
        <f>IF([2]Entry!$R$1896="","",[2]Entry!$R$1896)</f>
        <v/>
      </c>
    </row>
    <row r="1894">
      <c r="P1894">
        <f>IF([2]Entry!$C$1897="","",[2]Entry!$C$1897)</f>
        <v/>
      </c>
      <c r="Q1894">
        <f>IF([2]Entry!$D$1897="","",[2]Entry!$D$1897)</f>
        <v/>
      </c>
      <c r="R1894">
        <f>IF([2]Entry!$E$1897="","",[2]Entry!$E$1897)</f>
        <v/>
      </c>
      <c r="S1894">
        <f>IF([2]Entry!$G$1897="","",[2]Entry!$G$1897)</f>
        <v/>
      </c>
      <c r="T1894">
        <f>IF([2]Entry!$J$1897="","",[2]Entry!$J$1897)</f>
        <v/>
      </c>
      <c r="U1894">
        <f>IF([2]Entry!$K$1897="","",[2]Entry!$K$1897)</f>
        <v/>
      </c>
      <c r="V1894">
        <f>IF([2]Entry!$L$1897="","",[2]Entry!$L$1897)</f>
        <v/>
      </c>
      <c r="W1894">
        <f>IF([2]Entry!$M$1897="","",[2]Entry!$M$1897)</f>
        <v/>
      </c>
      <c r="X1894">
        <f>IF([2]Entry!$N$1897="","",[2]Entry!$N$1897)</f>
        <v/>
      </c>
      <c r="Y1894">
        <f>IF([2]Entry!$R$1897="","",[2]Entry!$R$1897)</f>
        <v/>
      </c>
    </row>
    <row r="1895">
      <c r="P1895">
        <f>IF([2]Entry!$C$1898="","",[2]Entry!$C$1898)</f>
        <v/>
      </c>
      <c r="Q1895">
        <f>IF([2]Entry!$D$1898="","",[2]Entry!$D$1898)</f>
        <v/>
      </c>
      <c r="R1895">
        <f>IF([2]Entry!$E$1898="","",[2]Entry!$E$1898)</f>
        <v/>
      </c>
      <c r="S1895">
        <f>IF([2]Entry!$G$1898="","",[2]Entry!$G$1898)</f>
        <v/>
      </c>
      <c r="T1895">
        <f>IF([2]Entry!$J$1898="","",[2]Entry!$J$1898)</f>
        <v/>
      </c>
      <c r="U1895">
        <f>IF([2]Entry!$K$1898="","",[2]Entry!$K$1898)</f>
        <v/>
      </c>
      <c r="V1895">
        <f>IF([2]Entry!$L$1898="","",[2]Entry!$L$1898)</f>
        <v/>
      </c>
      <c r="W1895">
        <f>IF([2]Entry!$M$1898="","",[2]Entry!$M$1898)</f>
        <v/>
      </c>
      <c r="X1895">
        <f>IF([2]Entry!$N$1898="","",[2]Entry!$N$1898)</f>
        <v/>
      </c>
      <c r="Y1895">
        <f>IF([2]Entry!$R$1898="","",[2]Entry!$R$1898)</f>
        <v/>
      </c>
    </row>
    <row r="1896">
      <c r="P1896">
        <f>IF([2]Entry!$C$1899="","",[2]Entry!$C$1899)</f>
        <v/>
      </c>
      <c r="Q1896">
        <f>IF([2]Entry!$D$1899="","",[2]Entry!$D$1899)</f>
        <v/>
      </c>
      <c r="R1896">
        <f>IF([2]Entry!$E$1899="","",[2]Entry!$E$1899)</f>
        <v/>
      </c>
      <c r="S1896">
        <f>IF([2]Entry!$G$1899="","",[2]Entry!$G$1899)</f>
        <v/>
      </c>
      <c r="T1896">
        <f>IF([2]Entry!$J$1899="","",[2]Entry!$J$1899)</f>
        <v/>
      </c>
      <c r="U1896">
        <f>IF([2]Entry!$K$1899="","",[2]Entry!$K$1899)</f>
        <v/>
      </c>
      <c r="V1896">
        <f>IF([2]Entry!$L$1899="","",[2]Entry!$L$1899)</f>
        <v/>
      </c>
      <c r="W1896">
        <f>IF([2]Entry!$M$1899="","",[2]Entry!$M$1899)</f>
        <v/>
      </c>
      <c r="X1896">
        <f>IF([2]Entry!$N$1899="","",[2]Entry!$N$1899)</f>
        <v/>
      </c>
      <c r="Y1896">
        <f>IF([2]Entry!$R$1899="","",[2]Entry!$R$1899)</f>
        <v/>
      </c>
    </row>
    <row r="1897">
      <c r="P1897">
        <f>IF([2]Entry!$C$1900="","",[2]Entry!$C$1900)</f>
        <v/>
      </c>
      <c r="Q1897">
        <f>IF([2]Entry!$D$1900="","",[2]Entry!$D$1900)</f>
        <v/>
      </c>
      <c r="R1897">
        <f>IF([2]Entry!$E$1900="","",[2]Entry!$E$1900)</f>
        <v/>
      </c>
      <c r="S1897">
        <f>IF([2]Entry!$G$1900="","",[2]Entry!$G$1900)</f>
        <v/>
      </c>
      <c r="T1897">
        <f>IF([2]Entry!$J$1900="","",[2]Entry!$J$1900)</f>
        <v/>
      </c>
      <c r="U1897">
        <f>IF([2]Entry!$K$1900="","",[2]Entry!$K$1900)</f>
        <v/>
      </c>
      <c r="V1897">
        <f>IF([2]Entry!$L$1900="","",[2]Entry!$L$1900)</f>
        <v/>
      </c>
      <c r="W1897">
        <f>IF([2]Entry!$M$1900="","",[2]Entry!$M$1900)</f>
        <v/>
      </c>
      <c r="X1897">
        <f>IF([2]Entry!$N$1900="","",[2]Entry!$N$1900)</f>
        <v/>
      </c>
      <c r="Y1897">
        <f>IF([2]Entry!$R$1900="","",[2]Entry!$R$1900)</f>
        <v/>
      </c>
    </row>
    <row r="1898">
      <c r="P1898">
        <f>IF([2]Entry!$C$1901="","",[2]Entry!$C$1901)</f>
        <v/>
      </c>
      <c r="Q1898">
        <f>IF([2]Entry!$D$1901="","",[2]Entry!$D$1901)</f>
        <v/>
      </c>
      <c r="R1898">
        <f>IF([2]Entry!$E$1901="","",[2]Entry!$E$1901)</f>
        <v/>
      </c>
      <c r="S1898">
        <f>IF([2]Entry!$G$1901="","",[2]Entry!$G$1901)</f>
        <v/>
      </c>
      <c r="T1898">
        <f>IF([2]Entry!$J$1901="","",[2]Entry!$J$1901)</f>
        <v/>
      </c>
      <c r="U1898">
        <f>IF([2]Entry!$K$1901="","",[2]Entry!$K$1901)</f>
        <v/>
      </c>
      <c r="V1898">
        <f>IF([2]Entry!$L$1901="","",[2]Entry!$L$1901)</f>
        <v/>
      </c>
      <c r="W1898">
        <f>IF([2]Entry!$M$1901="","",[2]Entry!$M$1901)</f>
        <v/>
      </c>
      <c r="X1898">
        <f>IF([2]Entry!$N$1901="","",[2]Entry!$N$1901)</f>
        <v/>
      </c>
      <c r="Y1898">
        <f>IF([2]Entry!$R$1901="","",[2]Entry!$R$1901)</f>
        <v/>
      </c>
    </row>
    <row r="1899">
      <c r="P1899">
        <f>IF([2]Entry!$C$1902="","",[2]Entry!$C$1902)</f>
        <v/>
      </c>
      <c r="Q1899">
        <f>IF([2]Entry!$D$1902="","",[2]Entry!$D$1902)</f>
        <v/>
      </c>
      <c r="R1899">
        <f>IF([2]Entry!$E$1902="","",[2]Entry!$E$1902)</f>
        <v/>
      </c>
      <c r="S1899">
        <f>IF([2]Entry!$G$1902="","",[2]Entry!$G$1902)</f>
        <v/>
      </c>
      <c r="T1899">
        <f>IF([2]Entry!$J$1902="","",[2]Entry!$J$1902)</f>
        <v/>
      </c>
      <c r="U1899">
        <f>IF([2]Entry!$K$1902="","",[2]Entry!$K$1902)</f>
        <v/>
      </c>
      <c r="V1899">
        <f>IF([2]Entry!$L$1902="","",[2]Entry!$L$1902)</f>
        <v/>
      </c>
      <c r="W1899">
        <f>IF([2]Entry!$M$1902="","",[2]Entry!$M$1902)</f>
        <v/>
      </c>
      <c r="X1899">
        <f>IF([2]Entry!$N$1902="","",[2]Entry!$N$1902)</f>
        <v/>
      </c>
      <c r="Y1899">
        <f>IF([2]Entry!$R$1902="","",[2]Entry!$R$1902)</f>
        <v/>
      </c>
    </row>
    <row r="1900">
      <c r="P1900">
        <f>IF([2]Entry!$C$1903="","",[2]Entry!$C$1903)</f>
        <v/>
      </c>
      <c r="Q1900">
        <f>IF([2]Entry!$D$1903="","",[2]Entry!$D$1903)</f>
        <v/>
      </c>
      <c r="R1900">
        <f>IF([2]Entry!$E$1903="","",[2]Entry!$E$1903)</f>
        <v/>
      </c>
      <c r="S1900">
        <f>IF([2]Entry!$G$1903="","",[2]Entry!$G$1903)</f>
        <v/>
      </c>
      <c r="T1900">
        <f>IF([2]Entry!$J$1903="","",[2]Entry!$J$1903)</f>
        <v/>
      </c>
      <c r="U1900">
        <f>IF([2]Entry!$K$1903="","",[2]Entry!$K$1903)</f>
        <v/>
      </c>
      <c r="V1900">
        <f>IF([2]Entry!$L$1903="","",[2]Entry!$L$1903)</f>
        <v/>
      </c>
      <c r="W1900">
        <f>IF([2]Entry!$M$1903="","",[2]Entry!$M$1903)</f>
        <v/>
      </c>
      <c r="X1900">
        <f>IF([2]Entry!$N$1903="","",[2]Entry!$N$1903)</f>
        <v/>
      </c>
      <c r="Y1900">
        <f>IF([2]Entry!$R$1903="","",[2]Entry!$R$1903)</f>
        <v/>
      </c>
    </row>
    <row r="1901">
      <c r="P1901">
        <f>IF([2]Entry!$C$1904="","",[2]Entry!$C$1904)</f>
        <v/>
      </c>
      <c r="Q1901">
        <f>IF([2]Entry!$D$1904="","",[2]Entry!$D$1904)</f>
        <v/>
      </c>
      <c r="R1901">
        <f>IF([2]Entry!$E$1904="","",[2]Entry!$E$1904)</f>
        <v/>
      </c>
      <c r="S1901">
        <f>IF([2]Entry!$G$1904="","",[2]Entry!$G$1904)</f>
        <v/>
      </c>
      <c r="T1901">
        <f>IF([2]Entry!$J$1904="","",[2]Entry!$J$1904)</f>
        <v/>
      </c>
      <c r="U1901">
        <f>IF([2]Entry!$K$1904="","",[2]Entry!$K$1904)</f>
        <v/>
      </c>
      <c r="V1901">
        <f>IF([2]Entry!$L$1904="","",[2]Entry!$L$1904)</f>
        <v/>
      </c>
      <c r="W1901">
        <f>IF([2]Entry!$M$1904="","",[2]Entry!$M$1904)</f>
        <v/>
      </c>
      <c r="X1901">
        <f>IF([2]Entry!$N$1904="","",[2]Entry!$N$1904)</f>
        <v/>
      </c>
      <c r="Y1901">
        <f>IF([2]Entry!$R$1904="","",[2]Entry!$R$1904)</f>
        <v/>
      </c>
    </row>
    <row r="1902">
      <c r="P1902">
        <f>IF([2]Entry!$C$1905="","",[2]Entry!$C$1905)</f>
        <v/>
      </c>
      <c r="Q1902">
        <f>IF([2]Entry!$D$1905="","",[2]Entry!$D$1905)</f>
        <v/>
      </c>
      <c r="R1902">
        <f>IF([2]Entry!$E$1905="","",[2]Entry!$E$1905)</f>
        <v/>
      </c>
      <c r="S1902">
        <f>IF([2]Entry!$G$1905="","",[2]Entry!$G$1905)</f>
        <v/>
      </c>
      <c r="T1902">
        <f>IF([2]Entry!$J$1905="","",[2]Entry!$J$1905)</f>
        <v/>
      </c>
      <c r="U1902">
        <f>IF([2]Entry!$K$1905="","",[2]Entry!$K$1905)</f>
        <v/>
      </c>
      <c r="V1902">
        <f>IF([2]Entry!$L$1905="","",[2]Entry!$L$1905)</f>
        <v/>
      </c>
      <c r="W1902">
        <f>IF([2]Entry!$M$1905="","",[2]Entry!$M$1905)</f>
        <v/>
      </c>
      <c r="X1902">
        <f>IF([2]Entry!$N$1905="","",[2]Entry!$N$1905)</f>
        <v/>
      </c>
      <c r="Y1902">
        <f>IF([2]Entry!$R$1905="","",[2]Entry!$R$1905)</f>
        <v/>
      </c>
    </row>
    <row r="1903">
      <c r="P1903">
        <f>IF([2]Entry!$C$1906="","",[2]Entry!$C$1906)</f>
        <v/>
      </c>
      <c r="Q1903">
        <f>IF([2]Entry!$D$1906="","",[2]Entry!$D$1906)</f>
        <v/>
      </c>
      <c r="R1903">
        <f>IF([2]Entry!$E$1906="","",[2]Entry!$E$1906)</f>
        <v/>
      </c>
      <c r="S1903">
        <f>IF([2]Entry!$G$1906="","",[2]Entry!$G$1906)</f>
        <v/>
      </c>
      <c r="T1903">
        <f>IF([2]Entry!$J$1906="","",[2]Entry!$J$1906)</f>
        <v/>
      </c>
      <c r="U1903">
        <f>IF([2]Entry!$K$1906="","",[2]Entry!$K$1906)</f>
        <v/>
      </c>
      <c r="V1903">
        <f>IF([2]Entry!$L$1906="","",[2]Entry!$L$1906)</f>
        <v/>
      </c>
      <c r="W1903">
        <f>IF([2]Entry!$M$1906="","",[2]Entry!$M$1906)</f>
        <v/>
      </c>
      <c r="X1903">
        <f>IF([2]Entry!$N$1906="","",[2]Entry!$N$1906)</f>
        <v/>
      </c>
      <c r="Y1903">
        <f>IF([2]Entry!$R$1906="","",[2]Entry!$R$1906)</f>
        <v/>
      </c>
    </row>
    <row r="1904">
      <c r="P1904">
        <f>IF([2]Entry!$C$1907="","",[2]Entry!$C$1907)</f>
        <v/>
      </c>
      <c r="Q1904">
        <f>IF([2]Entry!$D$1907="","",[2]Entry!$D$1907)</f>
        <v/>
      </c>
      <c r="R1904">
        <f>IF([2]Entry!$E$1907="","",[2]Entry!$E$1907)</f>
        <v/>
      </c>
      <c r="S1904">
        <f>IF([2]Entry!$G$1907="","",[2]Entry!$G$1907)</f>
        <v/>
      </c>
      <c r="T1904">
        <f>IF([2]Entry!$J$1907="","",[2]Entry!$J$1907)</f>
        <v/>
      </c>
      <c r="U1904">
        <f>IF([2]Entry!$K$1907="","",[2]Entry!$K$1907)</f>
        <v/>
      </c>
      <c r="V1904">
        <f>IF([2]Entry!$L$1907="","",[2]Entry!$L$1907)</f>
        <v/>
      </c>
      <c r="W1904">
        <f>IF([2]Entry!$M$1907="","",[2]Entry!$M$1907)</f>
        <v/>
      </c>
      <c r="X1904">
        <f>IF([2]Entry!$N$1907="","",[2]Entry!$N$1907)</f>
        <v/>
      </c>
      <c r="Y1904">
        <f>IF([2]Entry!$R$1907="","",[2]Entry!$R$1907)</f>
        <v/>
      </c>
    </row>
    <row r="1905">
      <c r="P1905">
        <f>IF([2]Entry!$C$1908="","",[2]Entry!$C$1908)</f>
        <v/>
      </c>
      <c r="Q1905">
        <f>IF([2]Entry!$D$1908="","",[2]Entry!$D$1908)</f>
        <v/>
      </c>
      <c r="R1905">
        <f>IF([2]Entry!$E$1908="","",[2]Entry!$E$1908)</f>
        <v/>
      </c>
      <c r="S1905">
        <f>IF([2]Entry!$G$1908="","",[2]Entry!$G$1908)</f>
        <v/>
      </c>
      <c r="T1905">
        <f>IF([2]Entry!$J$1908="","",[2]Entry!$J$1908)</f>
        <v/>
      </c>
      <c r="U1905">
        <f>IF([2]Entry!$K$1908="","",[2]Entry!$K$1908)</f>
        <v/>
      </c>
      <c r="V1905">
        <f>IF([2]Entry!$L$1908="","",[2]Entry!$L$1908)</f>
        <v/>
      </c>
      <c r="W1905">
        <f>IF([2]Entry!$M$1908="","",[2]Entry!$M$1908)</f>
        <v/>
      </c>
      <c r="X1905">
        <f>IF([2]Entry!$N$1908="","",[2]Entry!$N$1908)</f>
        <v/>
      </c>
      <c r="Y1905">
        <f>IF([2]Entry!$R$1908="","",[2]Entry!$R$1908)</f>
        <v/>
      </c>
    </row>
    <row r="1906">
      <c r="P1906">
        <f>IF([2]Entry!$C$1909="","",[2]Entry!$C$1909)</f>
        <v/>
      </c>
      <c r="Q1906">
        <f>IF([2]Entry!$D$1909="","",[2]Entry!$D$1909)</f>
        <v/>
      </c>
      <c r="R1906">
        <f>IF([2]Entry!$E$1909="","",[2]Entry!$E$1909)</f>
        <v/>
      </c>
      <c r="S1906">
        <f>IF([2]Entry!$G$1909="","",[2]Entry!$G$1909)</f>
        <v/>
      </c>
      <c r="T1906">
        <f>IF([2]Entry!$J$1909="","",[2]Entry!$J$1909)</f>
        <v/>
      </c>
      <c r="U1906">
        <f>IF([2]Entry!$K$1909="","",[2]Entry!$K$1909)</f>
        <v/>
      </c>
      <c r="V1906">
        <f>IF([2]Entry!$L$1909="","",[2]Entry!$L$1909)</f>
        <v/>
      </c>
      <c r="W1906">
        <f>IF([2]Entry!$M$1909="","",[2]Entry!$M$1909)</f>
        <v/>
      </c>
      <c r="X1906">
        <f>IF([2]Entry!$N$1909="","",[2]Entry!$N$1909)</f>
        <v/>
      </c>
      <c r="Y1906">
        <f>IF([2]Entry!$R$1909="","",[2]Entry!$R$1909)</f>
        <v/>
      </c>
    </row>
    <row r="1907">
      <c r="P1907">
        <f>IF([2]Entry!$C$1910="","",[2]Entry!$C$1910)</f>
        <v/>
      </c>
      <c r="Q1907">
        <f>IF([2]Entry!$D$1910="","",[2]Entry!$D$1910)</f>
        <v/>
      </c>
      <c r="R1907">
        <f>IF([2]Entry!$E$1910="","",[2]Entry!$E$1910)</f>
        <v/>
      </c>
      <c r="S1907">
        <f>IF([2]Entry!$G$1910="","",[2]Entry!$G$1910)</f>
        <v/>
      </c>
      <c r="T1907">
        <f>IF([2]Entry!$J$1910="","",[2]Entry!$J$1910)</f>
        <v/>
      </c>
      <c r="U1907">
        <f>IF([2]Entry!$K$1910="","",[2]Entry!$K$1910)</f>
        <v/>
      </c>
      <c r="V1907">
        <f>IF([2]Entry!$L$1910="","",[2]Entry!$L$1910)</f>
        <v/>
      </c>
      <c r="W1907">
        <f>IF([2]Entry!$M$1910="","",[2]Entry!$M$1910)</f>
        <v/>
      </c>
      <c r="X1907">
        <f>IF([2]Entry!$N$1910="","",[2]Entry!$N$1910)</f>
        <v/>
      </c>
      <c r="Y1907">
        <f>IF([2]Entry!$R$1910="","",[2]Entry!$R$1910)</f>
        <v/>
      </c>
    </row>
    <row r="1908">
      <c r="P1908">
        <f>IF([2]Entry!$C$1911="","",[2]Entry!$C$1911)</f>
        <v/>
      </c>
      <c r="Q1908">
        <f>IF([2]Entry!$D$1911="","",[2]Entry!$D$1911)</f>
        <v/>
      </c>
      <c r="R1908">
        <f>IF([2]Entry!$E$1911="","",[2]Entry!$E$1911)</f>
        <v/>
      </c>
      <c r="S1908">
        <f>IF([2]Entry!$G$1911="","",[2]Entry!$G$1911)</f>
        <v/>
      </c>
      <c r="T1908">
        <f>IF([2]Entry!$J$1911="","",[2]Entry!$J$1911)</f>
        <v/>
      </c>
      <c r="U1908">
        <f>IF([2]Entry!$K$1911="","",[2]Entry!$K$1911)</f>
        <v/>
      </c>
      <c r="V1908">
        <f>IF([2]Entry!$L$1911="","",[2]Entry!$L$1911)</f>
        <v/>
      </c>
      <c r="W1908">
        <f>IF([2]Entry!$M$1911="","",[2]Entry!$M$1911)</f>
        <v/>
      </c>
      <c r="X1908">
        <f>IF([2]Entry!$N$1911="","",[2]Entry!$N$1911)</f>
        <v/>
      </c>
      <c r="Y1908">
        <f>IF([2]Entry!$R$1911="","",[2]Entry!$R$1911)</f>
        <v/>
      </c>
    </row>
    <row r="1909">
      <c r="P1909">
        <f>IF([2]Entry!$C$1912="","",[2]Entry!$C$1912)</f>
        <v/>
      </c>
      <c r="Q1909">
        <f>IF([2]Entry!$D$1912="","",[2]Entry!$D$1912)</f>
        <v/>
      </c>
      <c r="R1909">
        <f>IF([2]Entry!$E$1912="","",[2]Entry!$E$1912)</f>
        <v/>
      </c>
      <c r="S1909">
        <f>IF([2]Entry!$G$1912="","",[2]Entry!$G$1912)</f>
        <v/>
      </c>
      <c r="T1909">
        <f>IF([2]Entry!$J$1912="","",[2]Entry!$J$1912)</f>
        <v/>
      </c>
      <c r="U1909">
        <f>IF([2]Entry!$K$1912="","",[2]Entry!$K$1912)</f>
        <v/>
      </c>
      <c r="V1909">
        <f>IF([2]Entry!$L$1912="","",[2]Entry!$L$1912)</f>
        <v/>
      </c>
      <c r="W1909">
        <f>IF([2]Entry!$M$1912="","",[2]Entry!$M$1912)</f>
        <v/>
      </c>
      <c r="X1909">
        <f>IF([2]Entry!$N$1912="","",[2]Entry!$N$1912)</f>
        <v/>
      </c>
      <c r="Y1909">
        <f>IF([2]Entry!$R$1912="","",[2]Entry!$R$1912)</f>
        <v/>
      </c>
    </row>
    <row r="1910">
      <c r="P1910">
        <f>IF([2]Entry!$C$1913="","",[2]Entry!$C$1913)</f>
        <v/>
      </c>
      <c r="Q1910">
        <f>IF([2]Entry!$D$1913="","",[2]Entry!$D$1913)</f>
        <v/>
      </c>
      <c r="R1910">
        <f>IF([2]Entry!$E$1913="","",[2]Entry!$E$1913)</f>
        <v/>
      </c>
      <c r="S1910">
        <f>IF([2]Entry!$G$1913="","",[2]Entry!$G$1913)</f>
        <v/>
      </c>
      <c r="T1910">
        <f>IF([2]Entry!$J$1913="","",[2]Entry!$J$1913)</f>
        <v/>
      </c>
      <c r="U1910">
        <f>IF([2]Entry!$K$1913="","",[2]Entry!$K$1913)</f>
        <v/>
      </c>
      <c r="V1910">
        <f>IF([2]Entry!$L$1913="","",[2]Entry!$L$1913)</f>
        <v/>
      </c>
      <c r="W1910">
        <f>IF([2]Entry!$M$1913="","",[2]Entry!$M$1913)</f>
        <v/>
      </c>
      <c r="X1910">
        <f>IF([2]Entry!$N$1913="","",[2]Entry!$N$1913)</f>
        <v/>
      </c>
      <c r="Y1910">
        <f>IF([2]Entry!$R$1913="","",[2]Entry!$R$1913)</f>
        <v/>
      </c>
    </row>
    <row r="1911">
      <c r="P1911">
        <f>IF([2]Entry!$C$1914="","",[2]Entry!$C$1914)</f>
        <v/>
      </c>
      <c r="Q1911">
        <f>IF([2]Entry!$D$1914="","",[2]Entry!$D$1914)</f>
        <v/>
      </c>
      <c r="R1911">
        <f>IF([2]Entry!$E$1914="","",[2]Entry!$E$1914)</f>
        <v/>
      </c>
      <c r="S1911">
        <f>IF([2]Entry!$G$1914="","",[2]Entry!$G$1914)</f>
        <v/>
      </c>
      <c r="T1911">
        <f>IF([2]Entry!$J$1914="","",[2]Entry!$J$1914)</f>
        <v/>
      </c>
      <c r="U1911">
        <f>IF([2]Entry!$K$1914="","",[2]Entry!$K$1914)</f>
        <v/>
      </c>
      <c r="V1911">
        <f>IF([2]Entry!$L$1914="","",[2]Entry!$L$1914)</f>
        <v/>
      </c>
      <c r="W1911">
        <f>IF([2]Entry!$M$1914="","",[2]Entry!$M$1914)</f>
        <v/>
      </c>
      <c r="X1911">
        <f>IF([2]Entry!$N$1914="","",[2]Entry!$N$1914)</f>
        <v/>
      </c>
      <c r="Y1911">
        <f>IF([2]Entry!$R$1914="","",[2]Entry!$R$1914)</f>
        <v/>
      </c>
    </row>
    <row r="1912">
      <c r="P1912">
        <f>IF([2]Entry!$C$1915="","",[2]Entry!$C$1915)</f>
        <v/>
      </c>
      <c r="Q1912">
        <f>IF([2]Entry!$D$1915="","",[2]Entry!$D$1915)</f>
        <v/>
      </c>
      <c r="R1912">
        <f>IF([2]Entry!$E$1915="","",[2]Entry!$E$1915)</f>
        <v/>
      </c>
      <c r="S1912">
        <f>IF([2]Entry!$G$1915="","",[2]Entry!$G$1915)</f>
        <v/>
      </c>
      <c r="T1912">
        <f>IF([2]Entry!$J$1915="","",[2]Entry!$J$1915)</f>
        <v/>
      </c>
      <c r="U1912">
        <f>IF([2]Entry!$K$1915="","",[2]Entry!$K$1915)</f>
        <v/>
      </c>
      <c r="V1912">
        <f>IF([2]Entry!$L$1915="","",[2]Entry!$L$1915)</f>
        <v/>
      </c>
      <c r="W1912">
        <f>IF([2]Entry!$M$1915="","",[2]Entry!$M$1915)</f>
        <v/>
      </c>
      <c r="X1912">
        <f>IF([2]Entry!$N$1915="","",[2]Entry!$N$1915)</f>
        <v/>
      </c>
      <c r="Y1912">
        <f>IF([2]Entry!$R$1915="","",[2]Entry!$R$1915)</f>
        <v/>
      </c>
    </row>
    <row r="1913">
      <c r="P1913">
        <f>IF([2]Entry!$C$1916="","",[2]Entry!$C$1916)</f>
        <v/>
      </c>
      <c r="Q1913">
        <f>IF([2]Entry!$D$1916="","",[2]Entry!$D$1916)</f>
        <v/>
      </c>
      <c r="R1913">
        <f>IF([2]Entry!$E$1916="","",[2]Entry!$E$1916)</f>
        <v/>
      </c>
      <c r="S1913">
        <f>IF([2]Entry!$G$1916="","",[2]Entry!$G$1916)</f>
        <v/>
      </c>
      <c r="T1913">
        <f>IF([2]Entry!$J$1916="","",[2]Entry!$J$1916)</f>
        <v/>
      </c>
      <c r="U1913">
        <f>IF([2]Entry!$K$1916="","",[2]Entry!$K$1916)</f>
        <v/>
      </c>
      <c r="V1913">
        <f>IF([2]Entry!$L$1916="","",[2]Entry!$L$1916)</f>
        <v/>
      </c>
      <c r="W1913">
        <f>IF([2]Entry!$M$1916="","",[2]Entry!$M$1916)</f>
        <v/>
      </c>
      <c r="X1913">
        <f>IF([2]Entry!$N$1916="","",[2]Entry!$N$1916)</f>
        <v/>
      </c>
      <c r="Y1913">
        <f>IF([2]Entry!$R$1916="","",[2]Entry!$R$1916)</f>
        <v/>
      </c>
    </row>
    <row r="1914">
      <c r="P1914">
        <f>IF([2]Entry!$C$1917="","",[2]Entry!$C$1917)</f>
        <v/>
      </c>
      <c r="Q1914">
        <f>IF([2]Entry!$D$1917="","",[2]Entry!$D$1917)</f>
        <v/>
      </c>
      <c r="R1914">
        <f>IF([2]Entry!$E$1917="","",[2]Entry!$E$1917)</f>
        <v/>
      </c>
      <c r="S1914">
        <f>IF([2]Entry!$G$1917="","",[2]Entry!$G$1917)</f>
        <v/>
      </c>
      <c r="T1914">
        <f>IF([2]Entry!$J$1917="","",[2]Entry!$J$1917)</f>
        <v/>
      </c>
      <c r="U1914">
        <f>IF([2]Entry!$K$1917="","",[2]Entry!$K$1917)</f>
        <v/>
      </c>
      <c r="V1914">
        <f>IF([2]Entry!$L$1917="","",[2]Entry!$L$1917)</f>
        <v/>
      </c>
      <c r="W1914">
        <f>IF([2]Entry!$M$1917="","",[2]Entry!$M$1917)</f>
        <v/>
      </c>
      <c r="X1914">
        <f>IF([2]Entry!$N$1917="","",[2]Entry!$N$1917)</f>
        <v/>
      </c>
      <c r="Y1914">
        <f>IF([2]Entry!$R$1917="","",[2]Entry!$R$1917)</f>
        <v/>
      </c>
    </row>
    <row r="1915">
      <c r="P1915">
        <f>IF([2]Entry!$C$1918="","",[2]Entry!$C$1918)</f>
        <v/>
      </c>
      <c r="Q1915">
        <f>IF([2]Entry!$D$1918="","",[2]Entry!$D$1918)</f>
        <v/>
      </c>
      <c r="R1915">
        <f>IF([2]Entry!$E$1918="","",[2]Entry!$E$1918)</f>
        <v/>
      </c>
      <c r="S1915">
        <f>IF([2]Entry!$G$1918="","",[2]Entry!$G$1918)</f>
        <v/>
      </c>
      <c r="T1915">
        <f>IF([2]Entry!$J$1918="","",[2]Entry!$J$1918)</f>
        <v/>
      </c>
      <c r="U1915">
        <f>IF([2]Entry!$K$1918="","",[2]Entry!$K$1918)</f>
        <v/>
      </c>
      <c r="V1915">
        <f>IF([2]Entry!$L$1918="","",[2]Entry!$L$1918)</f>
        <v/>
      </c>
      <c r="W1915">
        <f>IF([2]Entry!$M$1918="","",[2]Entry!$M$1918)</f>
        <v/>
      </c>
      <c r="X1915">
        <f>IF([2]Entry!$N$1918="","",[2]Entry!$N$1918)</f>
        <v/>
      </c>
      <c r="Y1915">
        <f>IF([2]Entry!$R$1918="","",[2]Entry!$R$1918)</f>
        <v/>
      </c>
    </row>
    <row r="1916">
      <c r="P1916">
        <f>IF([2]Entry!$C$1919="","",[2]Entry!$C$1919)</f>
        <v/>
      </c>
      <c r="Q1916">
        <f>IF([2]Entry!$D$1919="","",[2]Entry!$D$1919)</f>
        <v/>
      </c>
      <c r="R1916">
        <f>IF([2]Entry!$E$1919="","",[2]Entry!$E$1919)</f>
        <v/>
      </c>
      <c r="S1916">
        <f>IF([2]Entry!$G$1919="","",[2]Entry!$G$1919)</f>
        <v/>
      </c>
      <c r="T1916">
        <f>IF([2]Entry!$J$1919="","",[2]Entry!$J$1919)</f>
        <v/>
      </c>
      <c r="U1916">
        <f>IF([2]Entry!$K$1919="","",[2]Entry!$K$1919)</f>
        <v/>
      </c>
      <c r="V1916">
        <f>IF([2]Entry!$L$1919="","",[2]Entry!$L$1919)</f>
        <v/>
      </c>
      <c r="W1916">
        <f>IF([2]Entry!$M$1919="","",[2]Entry!$M$1919)</f>
        <v/>
      </c>
      <c r="X1916">
        <f>IF([2]Entry!$N$1919="","",[2]Entry!$N$1919)</f>
        <v/>
      </c>
      <c r="Y1916">
        <f>IF([2]Entry!$R$1919="","",[2]Entry!$R$1919)</f>
        <v/>
      </c>
    </row>
    <row r="1917">
      <c r="P1917">
        <f>IF([2]Entry!$C$1920="","",[2]Entry!$C$1920)</f>
        <v/>
      </c>
      <c r="Q1917">
        <f>IF([2]Entry!$D$1920="","",[2]Entry!$D$1920)</f>
        <v/>
      </c>
      <c r="R1917">
        <f>IF([2]Entry!$E$1920="","",[2]Entry!$E$1920)</f>
        <v/>
      </c>
      <c r="S1917">
        <f>IF([2]Entry!$G$1920="","",[2]Entry!$G$1920)</f>
        <v/>
      </c>
      <c r="T1917">
        <f>IF([2]Entry!$J$1920="","",[2]Entry!$J$1920)</f>
        <v/>
      </c>
      <c r="U1917">
        <f>IF([2]Entry!$K$1920="","",[2]Entry!$K$1920)</f>
        <v/>
      </c>
      <c r="V1917">
        <f>IF([2]Entry!$L$1920="","",[2]Entry!$L$1920)</f>
        <v/>
      </c>
      <c r="W1917">
        <f>IF([2]Entry!$M$1920="","",[2]Entry!$M$1920)</f>
        <v/>
      </c>
      <c r="X1917">
        <f>IF([2]Entry!$N$1920="","",[2]Entry!$N$1920)</f>
        <v/>
      </c>
      <c r="Y1917">
        <f>IF([2]Entry!$R$1920="","",[2]Entry!$R$1920)</f>
        <v/>
      </c>
    </row>
    <row r="1918">
      <c r="P1918">
        <f>IF([2]Entry!$C$1921="","",[2]Entry!$C$1921)</f>
        <v/>
      </c>
      <c r="Q1918">
        <f>IF([2]Entry!$D$1921="","",[2]Entry!$D$1921)</f>
        <v/>
      </c>
      <c r="R1918">
        <f>IF([2]Entry!$E$1921="","",[2]Entry!$E$1921)</f>
        <v/>
      </c>
      <c r="S1918">
        <f>IF([2]Entry!$G$1921="","",[2]Entry!$G$1921)</f>
        <v/>
      </c>
      <c r="T1918">
        <f>IF([2]Entry!$J$1921="","",[2]Entry!$J$1921)</f>
        <v/>
      </c>
      <c r="U1918">
        <f>IF([2]Entry!$K$1921="","",[2]Entry!$K$1921)</f>
        <v/>
      </c>
      <c r="V1918">
        <f>IF([2]Entry!$L$1921="","",[2]Entry!$L$1921)</f>
        <v/>
      </c>
      <c r="W1918">
        <f>IF([2]Entry!$M$1921="","",[2]Entry!$M$1921)</f>
        <v/>
      </c>
      <c r="X1918">
        <f>IF([2]Entry!$N$1921="","",[2]Entry!$N$1921)</f>
        <v/>
      </c>
      <c r="Y1918">
        <f>IF([2]Entry!$R$1921="","",[2]Entry!$R$1921)</f>
        <v/>
      </c>
    </row>
    <row r="1919">
      <c r="P1919">
        <f>IF([2]Entry!$C$1922="","",[2]Entry!$C$1922)</f>
        <v/>
      </c>
      <c r="Q1919">
        <f>IF([2]Entry!$D$1922="","",[2]Entry!$D$1922)</f>
        <v/>
      </c>
      <c r="R1919">
        <f>IF([2]Entry!$E$1922="","",[2]Entry!$E$1922)</f>
        <v/>
      </c>
      <c r="S1919">
        <f>IF([2]Entry!$G$1922="","",[2]Entry!$G$1922)</f>
        <v/>
      </c>
      <c r="T1919">
        <f>IF([2]Entry!$J$1922="","",[2]Entry!$J$1922)</f>
        <v/>
      </c>
      <c r="U1919">
        <f>IF([2]Entry!$K$1922="","",[2]Entry!$K$1922)</f>
        <v/>
      </c>
      <c r="V1919">
        <f>IF([2]Entry!$L$1922="","",[2]Entry!$L$1922)</f>
        <v/>
      </c>
      <c r="W1919">
        <f>IF([2]Entry!$M$1922="","",[2]Entry!$M$1922)</f>
        <v/>
      </c>
      <c r="X1919">
        <f>IF([2]Entry!$N$1922="","",[2]Entry!$N$1922)</f>
        <v/>
      </c>
      <c r="Y1919">
        <f>IF([2]Entry!$R$1922="","",[2]Entry!$R$1922)</f>
        <v/>
      </c>
    </row>
    <row r="1920">
      <c r="P1920">
        <f>IF([2]Entry!$C$1923="","",[2]Entry!$C$1923)</f>
        <v/>
      </c>
      <c r="Q1920">
        <f>IF([2]Entry!$D$1923="","",[2]Entry!$D$1923)</f>
        <v/>
      </c>
      <c r="R1920">
        <f>IF([2]Entry!$E$1923="","",[2]Entry!$E$1923)</f>
        <v/>
      </c>
      <c r="S1920">
        <f>IF([2]Entry!$G$1923="","",[2]Entry!$G$1923)</f>
        <v/>
      </c>
      <c r="T1920">
        <f>IF([2]Entry!$J$1923="","",[2]Entry!$J$1923)</f>
        <v/>
      </c>
      <c r="U1920">
        <f>IF([2]Entry!$K$1923="","",[2]Entry!$K$1923)</f>
        <v/>
      </c>
      <c r="V1920">
        <f>IF([2]Entry!$L$1923="","",[2]Entry!$L$1923)</f>
        <v/>
      </c>
      <c r="W1920">
        <f>IF([2]Entry!$M$1923="","",[2]Entry!$M$1923)</f>
        <v/>
      </c>
      <c r="X1920">
        <f>IF([2]Entry!$N$1923="","",[2]Entry!$N$1923)</f>
        <v/>
      </c>
      <c r="Y1920">
        <f>IF([2]Entry!$R$1923="","",[2]Entry!$R$1923)</f>
        <v/>
      </c>
    </row>
    <row r="1921">
      <c r="P1921">
        <f>IF([2]Entry!$C$1924="","",[2]Entry!$C$1924)</f>
        <v/>
      </c>
      <c r="Q1921">
        <f>IF([2]Entry!$D$1924="","",[2]Entry!$D$1924)</f>
        <v/>
      </c>
      <c r="R1921">
        <f>IF([2]Entry!$E$1924="","",[2]Entry!$E$1924)</f>
        <v/>
      </c>
      <c r="S1921">
        <f>IF([2]Entry!$G$1924="","",[2]Entry!$G$1924)</f>
        <v/>
      </c>
      <c r="T1921">
        <f>IF([2]Entry!$J$1924="","",[2]Entry!$J$1924)</f>
        <v/>
      </c>
      <c r="U1921">
        <f>IF([2]Entry!$K$1924="","",[2]Entry!$K$1924)</f>
        <v/>
      </c>
      <c r="V1921">
        <f>IF([2]Entry!$L$1924="","",[2]Entry!$L$1924)</f>
        <v/>
      </c>
      <c r="W1921">
        <f>IF([2]Entry!$M$1924="","",[2]Entry!$M$1924)</f>
        <v/>
      </c>
      <c r="X1921">
        <f>IF([2]Entry!$N$1924="","",[2]Entry!$N$1924)</f>
        <v/>
      </c>
      <c r="Y1921">
        <f>IF([2]Entry!$R$1924="","",[2]Entry!$R$1924)</f>
        <v/>
      </c>
    </row>
    <row r="1922">
      <c r="P1922">
        <f>IF([2]Entry!$C$1925="","",[2]Entry!$C$1925)</f>
        <v/>
      </c>
      <c r="Q1922">
        <f>IF([2]Entry!$D$1925="","",[2]Entry!$D$1925)</f>
        <v/>
      </c>
      <c r="R1922">
        <f>IF([2]Entry!$E$1925="","",[2]Entry!$E$1925)</f>
        <v/>
      </c>
      <c r="S1922">
        <f>IF([2]Entry!$G$1925="","",[2]Entry!$G$1925)</f>
        <v/>
      </c>
      <c r="T1922">
        <f>IF([2]Entry!$J$1925="","",[2]Entry!$J$1925)</f>
        <v/>
      </c>
      <c r="U1922">
        <f>IF([2]Entry!$K$1925="","",[2]Entry!$K$1925)</f>
        <v/>
      </c>
      <c r="V1922">
        <f>IF([2]Entry!$L$1925="","",[2]Entry!$L$1925)</f>
        <v/>
      </c>
      <c r="W1922">
        <f>IF([2]Entry!$M$1925="","",[2]Entry!$M$1925)</f>
        <v/>
      </c>
      <c r="X1922">
        <f>IF([2]Entry!$N$1925="","",[2]Entry!$N$1925)</f>
        <v/>
      </c>
      <c r="Y1922">
        <f>IF([2]Entry!$R$1925="","",[2]Entry!$R$1925)</f>
        <v/>
      </c>
    </row>
    <row r="1923">
      <c r="P1923">
        <f>IF([2]Entry!$C$1926="","",[2]Entry!$C$1926)</f>
        <v/>
      </c>
      <c r="Q1923">
        <f>IF([2]Entry!$D$1926="","",[2]Entry!$D$1926)</f>
        <v/>
      </c>
      <c r="R1923">
        <f>IF([2]Entry!$E$1926="","",[2]Entry!$E$1926)</f>
        <v/>
      </c>
      <c r="S1923">
        <f>IF([2]Entry!$G$1926="","",[2]Entry!$G$1926)</f>
        <v/>
      </c>
      <c r="T1923">
        <f>IF([2]Entry!$J$1926="","",[2]Entry!$J$1926)</f>
        <v/>
      </c>
      <c r="U1923">
        <f>IF([2]Entry!$K$1926="","",[2]Entry!$K$1926)</f>
        <v/>
      </c>
      <c r="V1923">
        <f>IF([2]Entry!$L$1926="","",[2]Entry!$L$1926)</f>
        <v/>
      </c>
      <c r="W1923">
        <f>IF([2]Entry!$M$1926="","",[2]Entry!$M$1926)</f>
        <v/>
      </c>
      <c r="X1923">
        <f>IF([2]Entry!$N$1926="","",[2]Entry!$N$1926)</f>
        <v/>
      </c>
      <c r="Y1923">
        <f>IF([2]Entry!$R$1926="","",[2]Entry!$R$1926)</f>
        <v/>
      </c>
    </row>
    <row r="1924">
      <c r="P1924">
        <f>IF([2]Entry!$C$1927="","",[2]Entry!$C$1927)</f>
        <v/>
      </c>
      <c r="Q1924">
        <f>IF([2]Entry!$D$1927="","",[2]Entry!$D$1927)</f>
        <v/>
      </c>
      <c r="R1924">
        <f>IF([2]Entry!$E$1927="","",[2]Entry!$E$1927)</f>
        <v/>
      </c>
      <c r="S1924">
        <f>IF([2]Entry!$G$1927="","",[2]Entry!$G$1927)</f>
        <v/>
      </c>
      <c r="T1924">
        <f>IF([2]Entry!$J$1927="","",[2]Entry!$J$1927)</f>
        <v/>
      </c>
      <c r="U1924">
        <f>IF([2]Entry!$K$1927="","",[2]Entry!$K$1927)</f>
        <v/>
      </c>
      <c r="V1924">
        <f>IF([2]Entry!$L$1927="","",[2]Entry!$L$1927)</f>
        <v/>
      </c>
      <c r="W1924">
        <f>IF([2]Entry!$M$1927="","",[2]Entry!$M$1927)</f>
        <v/>
      </c>
      <c r="X1924">
        <f>IF([2]Entry!$N$1927="","",[2]Entry!$N$1927)</f>
        <v/>
      </c>
      <c r="Y1924">
        <f>IF([2]Entry!$R$1927="","",[2]Entry!$R$1927)</f>
        <v/>
      </c>
    </row>
    <row r="1925">
      <c r="P1925">
        <f>IF([2]Entry!$C$1928="","",[2]Entry!$C$1928)</f>
        <v/>
      </c>
      <c r="Q1925">
        <f>IF([2]Entry!$D$1928="","",[2]Entry!$D$1928)</f>
        <v/>
      </c>
      <c r="R1925">
        <f>IF([2]Entry!$E$1928="","",[2]Entry!$E$1928)</f>
        <v/>
      </c>
      <c r="S1925">
        <f>IF([2]Entry!$G$1928="","",[2]Entry!$G$1928)</f>
        <v/>
      </c>
      <c r="T1925">
        <f>IF([2]Entry!$J$1928="","",[2]Entry!$J$1928)</f>
        <v/>
      </c>
      <c r="U1925">
        <f>IF([2]Entry!$K$1928="","",[2]Entry!$K$1928)</f>
        <v/>
      </c>
      <c r="V1925">
        <f>IF([2]Entry!$L$1928="","",[2]Entry!$L$1928)</f>
        <v/>
      </c>
      <c r="W1925">
        <f>IF([2]Entry!$M$1928="","",[2]Entry!$M$1928)</f>
        <v/>
      </c>
      <c r="X1925">
        <f>IF([2]Entry!$N$1928="","",[2]Entry!$N$1928)</f>
        <v/>
      </c>
      <c r="Y1925">
        <f>IF([2]Entry!$R$1928="","",[2]Entry!$R$1928)</f>
        <v/>
      </c>
    </row>
    <row r="1926">
      <c r="P1926">
        <f>IF([2]Entry!$C$1929="","",[2]Entry!$C$1929)</f>
        <v/>
      </c>
      <c r="Q1926">
        <f>IF([2]Entry!$D$1929="","",[2]Entry!$D$1929)</f>
        <v/>
      </c>
      <c r="R1926">
        <f>IF([2]Entry!$E$1929="","",[2]Entry!$E$1929)</f>
        <v/>
      </c>
      <c r="S1926">
        <f>IF([2]Entry!$G$1929="","",[2]Entry!$G$1929)</f>
        <v/>
      </c>
      <c r="T1926">
        <f>IF([2]Entry!$J$1929="","",[2]Entry!$J$1929)</f>
        <v/>
      </c>
      <c r="U1926">
        <f>IF([2]Entry!$K$1929="","",[2]Entry!$K$1929)</f>
        <v/>
      </c>
      <c r="V1926">
        <f>IF([2]Entry!$L$1929="","",[2]Entry!$L$1929)</f>
        <v/>
      </c>
      <c r="W1926">
        <f>IF([2]Entry!$M$1929="","",[2]Entry!$M$1929)</f>
        <v/>
      </c>
      <c r="X1926">
        <f>IF([2]Entry!$N$1929="","",[2]Entry!$N$1929)</f>
        <v/>
      </c>
      <c r="Y1926">
        <f>IF([2]Entry!$R$1929="","",[2]Entry!$R$1929)</f>
        <v/>
      </c>
    </row>
    <row r="1927">
      <c r="P1927">
        <f>IF([2]Entry!$C$1930="","",[2]Entry!$C$1930)</f>
        <v/>
      </c>
      <c r="Q1927">
        <f>IF([2]Entry!$D$1930="","",[2]Entry!$D$1930)</f>
        <v/>
      </c>
      <c r="R1927">
        <f>IF([2]Entry!$E$1930="","",[2]Entry!$E$1930)</f>
        <v/>
      </c>
      <c r="S1927">
        <f>IF([2]Entry!$G$1930="","",[2]Entry!$G$1930)</f>
        <v/>
      </c>
      <c r="T1927">
        <f>IF([2]Entry!$J$1930="","",[2]Entry!$J$1930)</f>
        <v/>
      </c>
      <c r="U1927">
        <f>IF([2]Entry!$K$1930="","",[2]Entry!$K$1930)</f>
        <v/>
      </c>
      <c r="V1927">
        <f>IF([2]Entry!$L$1930="","",[2]Entry!$L$1930)</f>
        <v/>
      </c>
      <c r="W1927">
        <f>IF([2]Entry!$M$1930="","",[2]Entry!$M$1930)</f>
        <v/>
      </c>
      <c r="X1927">
        <f>IF([2]Entry!$N$1930="","",[2]Entry!$N$1930)</f>
        <v/>
      </c>
      <c r="Y1927">
        <f>IF([2]Entry!$R$1930="","",[2]Entry!$R$1930)</f>
        <v/>
      </c>
    </row>
    <row r="1928">
      <c r="P1928">
        <f>IF([2]Entry!$C$1931="","",[2]Entry!$C$1931)</f>
        <v/>
      </c>
      <c r="Q1928">
        <f>IF([2]Entry!$D$1931="","",[2]Entry!$D$1931)</f>
        <v/>
      </c>
      <c r="R1928">
        <f>IF([2]Entry!$E$1931="","",[2]Entry!$E$1931)</f>
        <v/>
      </c>
      <c r="S1928">
        <f>IF([2]Entry!$G$1931="","",[2]Entry!$G$1931)</f>
        <v/>
      </c>
      <c r="T1928">
        <f>IF([2]Entry!$J$1931="","",[2]Entry!$J$1931)</f>
        <v/>
      </c>
      <c r="U1928">
        <f>IF([2]Entry!$K$1931="","",[2]Entry!$K$1931)</f>
        <v/>
      </c>
      <c r="V1928">
        <f>IF([2]Entry!$L$1931="","",[2]Entry!$L$1931)</f>
        <v/>
      </c>
      <c r="W1928">
        <f>IF([2]Entry!$M$1931="","",[2]Entry!$M$1931)</f>
        <v/>
      </c>
      <c r="X1928">
        <f>IF([2]Entry!$N$1931="","",[2]Entry!$N$1931)</f>
        <v/>
      </c>
      <c r="Y1928">
        <f>IF([2]Entry!$R$1931="","",[2]Entry!$R$1931)</f>
        <v/>
      </c>
    </row>
    <row r="1929">
      <c r="P1929">
        <f>IF([2]Entry!$C$1932="","",[2]Entry!$C$1932)</f>
        <v/>
      </c>
      <c r="Q1929">
        <f>IF([2]Entry!$D$1932="","",[2]Entry!$D$1932)</f>
        <v/>
      </c>
      <c r="R1929">
        <f>IF([2]Entry!$E$1932="","",[2]Entry!$E$1932)</f>
        <v/>
      </c>
      <c r="S1929">
        <f>IF([2]Entry!$G$1932="","",[2]Entry!$G$1932)</f>
        <v/>
      </c>
      <c r="T1929">
        <f>IF([2]Entry!$J$1932="","",[2]Entry!$J$1932)</f>
        <v/>
      </c>
      <c r="U1929">
        <f>IF([2]Entry!$K$1932="","",[2]Entry!$K$1932)</f>
        <v/>
      </c>
      <c r="V1929">
        <f>IF([2]Entry!$L$1932="","",[2]Entry!$L$1932)</f>
        <v/>
      </c>
      <c r="W1929">
        <f>IF([2]Entry!$M$1932="","",[2]Entry!$M$1932)</f>
        <v/>
      </c>
      <c r="X1929">
        <f>IF([2]Entry!$N$1932="","",[2]Entry!$N$1932)</f>
        <v/>
      </c>
      <c r="Y1929">
        <f>IF([2]Entry!$R$1932="","",[2]Entry!$R$1932)</f>
        <v/>
      </c>
    </row>
    <row r="1930">
      <c r="P1930">
        <f>IF([2]Entry!$C$1933="","",[2]Entry!$C$1933)</f>
        <v/>
      </c>
      <c r="Q1930">
        <f>IF([2]Entry!$D$1933="","",[2]Entry!$D$1933)</f>
        <v/>
      </c>
      <c r="R1930">
        <f>IF([2]Entry!$E$1933="","",[2]Entry!$E$1933)</f>
        <v/>
      </c>
      <c r="S1930">
        <f>IF([2]Entry!$G$1933="","",[2]Entry!$G$1933)</f>
        <v/>
      </c>
      <c r="T1930">
        <f>IF([2]Entry!$J$1933="","",[2]Entry!$J$1933)</f>
        <v/>
      </c>
      <c r="U1930">
        <f>IF([2]Entry!$K$1933="","",[2]Entry!$K$1933)</f>
        <v/>
      </c>
      <c r="V1930">
        <f>IF([2]Entry!$L$1933="","",[2]Entry!$L$1933)</f>
        <v/>
      </c>
      <c r="W1930">
        <f>IF([2]Entry!$M$1933="","",[2]Entry!$M$1933)</f>
        <v/>
      </c>
      <c r="X1930">
        <f>IF([2]Entry!$N$1933="","",[2]Entry!$N$1933)</f>
        <v/>
      </c>
      <c r="Y1930">
        <f>IF([2]Entry!$R$1933="","",[2]Entry!$R$1933)</f>
        <v/>
      </c>
    </row>
    <row r="1931">
      <c r="P1931">
        <f>IF([2]Entry!$C$1934="","",[2]Entry!$C$1934)</f>
        <v/>
      </c>
      <c r="Q1931">
        <f>IF([2]Entry!$D$1934="","",[2]Entry!$D$1934)</f>
        <v/>
      </c>
      <c r="R1931">
        <f>IF([2]Entry!$E$1934="","",[2]Entry!$E$1934)</f>
        <v/>
      </c>
      <c r="S1931">
        <f>IF([2]Entry!$G$1934="","",[2]Entry!$G$1934)</f>
        <v/>
      </c>
      <c r="T1931">
        <f>IF([2]Entry!$J$1934="","",[2]Entry!$J$1934)</f>
        <v/>
      </c>
      <c r="U1931">
        <f>IF([2]Entry!$K$1934="","",[2]Entry!$K$1934)</f>
        <v/>
      </c>
      <c r="V1931">
        <f>IF([2]Entry!$L$1934="","",[2]Entry!$L$1934)</f>
        <v/>
      </c>
      <c r="W1931">
        <f>IF([2]Entry!$M$1934="","",[2]Entry!$M$1934)</f>
        <v/>
      </c>
      <c r="X1931">
        <f>IF([2]Entry!$N$1934="","",[2]Entry!$N$1934)</f>
        <v/>
      </c>
      <c r="Y1931">
        <f>IF([2]Entry!$R$1934="","",[2]Entry!$R$1934)</f>
        <v/>
      </c>
    </row>
    <row r="1932">
      <c r="P1932">
        <f>IF([2]Entry!$C$1935="","",[2]Entry!$C$1935)</f>
        <v/>
      </c>
      <c r="Q1932">
        <f>IF([2]Entry!$D$1935="","",[2]Entry!$D$1935)</f>
        <v/>
      </c>
      <c r="R1932">
        <f>IF([2]Entry!$E$1935="","",[2]Entry!$E$1935)</f>
        <v/>
      </c>
      <c r="S1932">
        <f>IF([2]Entry!$G$1935="","",[2]Entry!$G$1935)</f>
        <v/>
      </c>
      <c r="T1932">
        <f>IF([2]Entry!$J$1935="","",[2]Entry!$J$1935)</f>
        <v/>
      </c>
      <c r="U1932">
        <f>IF([2]Entry!$K$1935="","",[2]Entry!$K$1935)</f>
        <v/>
      </c>
      <c r="V1932">
        <f>IF([2]Entry!$L$1935="","",[2]Entry!$L$1935)</f>
        <v/>
      </c>
      <c r="W1932">
        <f>IF([2]Entry!$M$1935="","",[2]Entry!$M$1935)</f>
        <v/>
      </c>
      <c r="X1932">
        <f>IF([2]Entry!$N$1935="","",[2]Entry!$N$1935)</f>
        <v/>
      </c>
      <c r="Y1932">
        <f>IF([2]Entry!$R$1935="","",[2]Entry!$R$1935)</f>
        <v/>
      </c>
    </row>
    <row r="1933">
      <c r="P1933">
        <f>IF([2]Entry!$C$1936="","",[2]Entry!$C$1936)</f>
        <v/>
      </c>
      <c r="Q1933">
        <f>IF([2]Entry!$D$1936="","",[2]Entry!$D$1936)</f>
        <v/>
      </c>
      <c r="R1933">
        <f>IF([2]Entry!$E$1936="","",[2]Entry!$E$1936)</f>
        <v/>
      </c>
      <c r="S1933">
        <f>IF([2]Entry!$G$1936="","",[2]Entry!$G$1936)</f>
        <v/>
      </c>
      <c r="T1933">
        <f>IF([2]Entry!$J$1936="","",[2]Entry!$J$1936)</f>
        <v/>
      </c>
      <c r="U1933">
        <f>IF([2]Entry!$K$1936="","",[2]Entry!$K$1936)</f>
        <v/>
      </c>
      <c r="V1933">
        <f>IF([2]Entry!$L$1936="","",[2]Entry!$L$1936)</f>
        <v/>
      </c>
      <c r="W1933">
        <f>IF([2]Entry!$M$1936="","",[2]Entry!$M$1936)</f>
        <v/>
      </c>
      <c r="X1933">
        <f>IF([2]Entry!$N$1936="","",[2]Entry!$N$1936)</f>
        <v/>
      </c>
      <c r="Y1933">
        <f>IF([2]Entry!$R$1936="","",[2]Entry!$R$1936)</f>
        <v/>
      </c>
    </row>
    <row r="1934">
      <c r="P1934">
        <f>IF([2]Entry!$C$1937="","",[2]Entry!$C$1937)</f>
        <v/>
      </c>
      <c r="Q1934">
        <f>IF([2]Entry!$D$1937="","",[2]Entry!$D$1937)</f>
        <v/>
      </c>
      <c r="R1934">
        <f>IF([2]Entry!$E$1937="","",[2]Entry!$E$1937)</f>
        <v/>
      </c>
      <c r="S1934">
        <f>IF([2]Entry!$G$1937="","",[2]Entry!$G$1937)</f>
        <v/>
      </c>
      <c r="T1934">
        <f>IF([2]Entry!$J$1937="","",[2]Entry!$J$1937)</f>
        <v/>
      </c>
      <c r="U1934">
        <f>IF([2]Entry!$K$1937="","",[2]Entry!$K$1937)</f>
        <v/>
      </c>
      <c r="V1934">
        <f>IF([2]Entry!$L$1937="","",[2]Entry!$L$1937)</f>
        <v/>
      </c>
      <c r="W1934">
        <f>IF([2]Entry!$M$1937="","",[2]Entry!$M$1937)</f>
        <v/>
      </c>
      <c r="X1934">
        <f>IF([2]Entry!$N$1937="","",[2]Entry!$N$1937)</f>
        <v/>
      </c>
      <c r="Y1934">
        <f>IF([2]Entry!$R$1937="","",[2]Entry!$R$1937)</f>
        <v/>
      </c>
    </row>
    <row r="1935">
      <c r="P1935">
        <f>IF([2]Entry!$C$1938="","",[2]Entry!$C$1938)</f>
        <v/>
      </c>
      <c r="Q1935">
        <f>IF([2]Entry!$D$1938="","",[2]Entry!$D$1938)</f>
        <v/>
      </c>
      <c r="R1935">
        <f>IF([2]Entry!$E$1938="","",[2]Entry!$E$1938)</f>
        <v/>
      </c>
      <c r="S1935">
        <f>IF([2]Entry!$G$1938="","",[2]Entry!$G$1938)</f>
        <v/>
      </c>
      <c r="T1935">
        <f>IF([2]Entry!$J$1938="","",[2]Entry!$J$1938)</f>
        <v/>
      </c>
      <c r="U1935">
        <f>IF([2]Entry!$K$1938="","",[2]Entry!$K$1938)</f>
        <v/>
      </c>
      <c r="V1935">
        <f>IF([2]Entry!$L$1938="","",[2]Entry!$L$1938)</f>
        <v/>
      </c>
      <c r="W1935">
        <f>IF([2]Entry!$M$1938="","",[2]Entry!$M$1938)</f>
        <v/>
      </c>
      <c r="X1935">
        <f>IF([2]Entry!$N$1938="","",[2]Entry!$N$1938)</f>
        <v/>
      </c>
      <c r="Y1935">
        <f>IF([2]Entry!$R$1938="","",[2]Entry!$R$1938)</f>
        <v/>
      </c>
    </row>
    <row r="1936">
      <c r="P1936">
        <f>IF([2]Entry!$C$1939="","",[2]Entry!$C$1939)</f>
        <v/>
      </c>
      <c r="Q1936">
        <f>IF([2]Entry!$D$1939="","",[2]Entry!$D$1939)</f>
        <v/>
      </c>
      <c r="R1936">
        <f>IF([2]Entry!$E$1939="","",[2]Entry!$E$1939)</f>
        <v/>
      </c>
      <c r="S1936">
        <f>IF([2]Entry!$G$1939="","",[2]Entry!$G$1939)</f>
        <v/>
      </c>
      <c r="T1936">
        <f>IF([2]Entry!$J$1939="","",[2]Entry!$J$1939)</f>
        <v/>
      </c>
      <c r="U1936">
        <f>IF([2]Entry!$K$1939="","",[2]Entry!$K$1939)</f>
        <v/>
      </c>
      <c r="V1936">
        <f>IF([2]Entry!$L$1939="","",[2]Entry!$L$1939)</f>
        <v/>
      </c>
      <c r="W1936">
        <f>IF([2]Entry!$M$1939="","",[2]Entry!$M$1939)</f>
        <v/>
      </c>
      <c r="X1936">
        <f>IF([2]Entry!$N$1939="","",[2]Entry!$N$1939)</f>
        <v/>
      </c>
      <c r="Y1936">
        <f>IF([2]Entry!$R$1939="","",[2]Entry!$R$1939)</f>
        <v/>
      </c>
    </row>
    <row r="1937">
      <c r="P1937">
        <f>IF([2]Entry!$C$1940="","",[2]Entry!$C$1940)</f>
        <v/>
      </c>
      <c r="Q1937">
        <f>IF([2]Entry!$D$1940="","",[2]Entry!$D$1940)</f>
        <v/>
      </c>
      <c r="R1937">
        <f>IF([2]Entry!$E$1940="","",[2]Entry!$E$1940)</f>
        <v/>
      </c>
      <c r="S1937">
        <f>IF([2]Entry!$G$1940="","",[2]Entry!$G$1940)</f>
        <v/>
      </c>
      <c r="T1937">
        <f>IF([2]Entry!$J$1940="","",[2]Entry!$J$1940)</f>
        <v/>
      </c>
      <c r="U1937">
        <f>IF([2]Entry!$K$1940="","",[2]Entry!$K$1940)</f>
        <v/>
      </c>
      <c r="V1937">
        <f>IF([2]Entry!$L$1940="","",[2]Entry!$L$1940)</f>
        <v/>
      </c>
      <c r="W1937">
        <f>IF([2]Entry!$M$1940="","",[2]Entry!$M$1940)</f>
        <v/>
      </c>
      <c r="X1937">
        <f>IF([2]Entry!$N$1940="","",[2]Entry!$N$1940)</f>
        <v/>
      </c>
      <c r="Y1937">
        <f>IF([2]Entry!$R$1940="","",[2]Entry!$R$1940)</f>
        <v/>
      </c>
    </row>
    <row r="1938">
      <c r="P1938">
        <f>IF([2]Entry!$C$1941="","",[2]Entry!$C$1941)</f>
        <v/>
      </c>
      <c r="Q1938">
        <f>IF([2]Entry!$D$1941="","",[2]Entry!$D$1941)</f>
        <v/>
      </c>
      <c r="R1938">
        <f>IF([2]Entry!$E$1941="","",[2]Entry!$E$1941)</f>
        <v/>
      </c>
      <c r="S1938">
        <f>IF([2]Entry!$G$1941="","",[2]Entry!$G$1941)</f>
        <v/>
      </c>
      <c r="T1938">
        <f>IF([2]Entry!$J$1941="","",[2]Entry!$J$1941)</f>
        <v/>
      </c>
      <c r="U1938">
        <f>IF([2]Entry!$K$1941="","",[2]Entry!$K$1941)</f>
        <v/>
      </c>
      <c r="V1938">
        <f>IF([2]Entry!$L$1941="","",[2]Entry!$L$1941)</f>
        <v/>
      </c>
      <c r="W1938">
        <f>IF([2]Entry!$M$1941="","",[2]Entry!$M$1941)</f>
        <v/>
      </c>
      <c r="X1938">
        <f>IF([2]Entry!$N$1941="","",[2]Entry!$N$1941)</f>
        <v/>
      </c>
      <c r="Y1938">
        <f>IF([2]Entry!$R$1941="","",[2]Entry!$R$1941)</f>
        <v/>
      </c>
    </row>
    <row r="1939">
      <c r="P1939">
        <f>IF([2]Entry!$C$1942="","",[2]Entry!$C$1942)</f>
        <v/>
      </c>
      <c r="Q1939">
        <f>IF([2]Entry!$D$1942="","",[2]Entry!$D$1942)</f>
        <v/>
      </c>
      <c r="R1939">
        <f>IF([2]Entry!$E$1942="","",[2]Entry!$E$1942)</f>
        <v/>
      </c>
      <c r="S1939">
        <f>IF([2]Entry!$G$1942="","",[2]Entry!$G$1942)</f>
        <v/>
      </c>
      <c r="T1939">
        <f>IF([2]Entry!$J$1942="","",[2]Entry!$J$1942)</f>
        <v/>
      </c>
      <c r="U1939">
        <f>IF([2]Entry!$K$1942="","",[2]Entry!$K$1942)</f>
        <v/>
      </c>
      <c r="V1939">
        <f>IF([2]Entry!$L$1942="","",[2]Entry!$L$1942)</f>
        <v/>
      </c>
      <c r="W1939">
        <f>IF([2]Entry!$M$1942="","",[2]Entry!$M$1942)</f>
        <v/>
      </c>
      <c r="X1939">
        <f>IF([2]Entry!$N$1942="","",[2]Entry!$N$1942)</f>
        <v/>
      </c>
      <c r="Y1939">
        <f>IF([2]Entry!$R$1942="","",[2]Entry!$R$1942)</f>
        <v/>
      </c>
    </row>
    <row r="1940">
      <c r="P1940">
        <f>IF([2]Entry!$C$1943="","",[2]Entry!$C$1943)</f>
        <v/>
      </c>
      <c r="Q1940">
        <f>IF([2]Entry!$D$1943="","",[2]Entry!$D$1943)</f>
        <v/>
      </c>
      <c r="R1940">
        <f>IF([2]Entry!$E$1943="","",[2]Entry!$E$1943)</f>
        <v/>
      </c>
      <c r="S1940">
        <f>IF([2]Entry!$G$1943="","",[2]Entry!$G$1943)</f>
        <v/>
      </c>
      <c r="T1940">
        <f>IF([2]Entry!$J$1943="","",[2]Entry!$J$1943)</f>
        <v/>
      </c>
      <c r="U1940">
        <f>IF([2]Entry!$K$1943="","",[2]Entry!$K$1943)</f>
        <v/>
      </c>
      <c r="V1940">
        <f>IF([2]Entry!$L$1943="","",[2]Entry!$L$1943)</f>
        <v/>
      </c>
      <c r="W1940">
        <f>IF([2]Entry!$M$1943="","",[2]Entry!$M$1943)</f>
        <v/>
      </c>
      <c r="X1940">
        <f>IF([2]Entry!$N$1943="","",[2]Entry!$N$1943)</f>
        <v/>
      </c>
      <c r="Y1940">
        <f>IF([2]Entry!$R$1943="","",[2]Entry!$R$1943)</f>
        <v/>
      </c>
    </row>
    <row r="1941">
      <c r="P1941">
        <f>IF([2]Entry!$C$1944="","",[2]Entry!$C$1944)</f>
        <v/>
      </c>
      <c r="Q1941">
        <f>IF([2]Entry!$D$1944="","",[2]Entry!$D$1944)</f>
        <v/>
      </c>
      <c r="R1941">
        <f>IF([2]Entry!$E$1944="","",[2]Entry!$E$1944)</f>
        <v/>
      </c>
      <c r="S1941">
        <f>IF([2]Entry!$G$1944="","",[2]Entry!$G$1944)</f>
        <v/>
      </c>
      <c r="T1941">
        <f>IF([2]Entry!$J$1944="","",[2]Entry!$J$1944)</f>
        <v/>
      </c>
      <c r="U1941">
        <f>IF([2]Entry!$K$1944="","",[2]Entry!$K$1944)</f>
        <v/>
      </c>
      <c r="V1941">
        <f>IF([2]Entry!$L$1944="","",[2]Entry!$L$1944)</f>
        <v/>
      </c>
      <c r="W1941">
        <f>IF([2]Entry!$M$1944="","",[2]Entry!$M$1944)</f>
        <v/>
      </c>
      <c r="X1941">
        <f>IF([2]Entry!$N$1944="","",[2]Entry!$N$1944)</f>
        <v/>
      </c>
      <c r="Y1941">
        <f>IF([2]Entry!$R$1944="","",[2]Entry!$R$1944)</f>
        <v/>
      </c>
    </row>
    <row r="1942">
      <c r="P1942">
        <f>IF([2]Entry!$C$1945="","",[2]Entry!$C$1945)</f>
        <v/>
      </c>
      <c r="Q1942">
        <f>IF([2]Entry!$D$1945="","",[2]Entry!$D$1945)</f>
        <v/>
      </c>
      <c r="R1942">
        <f>IF([2]Entry!$E$1945="","",[2]Entry!$E$1945)</f>
        <v/>
      </c>
      <c r="S1942">
        <f>IF([2]Entry!$G$1945="","",[2]Entry!$G$1945)</f>
        <v/>
      </c>
      <c r="T1942">
        <f>IF([2]Entry!$J$1945="","",[2]Entry!$J$1945)</f>
        <v/>
      </c>
      <c r="U1942">
        <f>IF([2]Entry!$K$1945="","",[2]Entry!$K$1945)</f>
        <v/>
      </c>
      <c r="V1942">
        <f>IF([2]Entry!$L$1945="","",[2]Entry!$L$1945)</f>
        <v/>
      </c>
      <c r="W1942">
        <f>IF([2]Entry!$M$1945="","",[2]Entry!$M$1945)</f>
        <v/>
      </c>
      <c r="X1942">
        <f>IF([2]Entry!$N$1945="","",[2]Entry!$N$1945)</f>
        <v/>
      </c>
      <c r="Y1942">
        <f>IF([2]Entry!$R$1945="","",[2]Entry!$R$1945)</f>
        <v/>
      </c>
    </row>
    <row r="1943">
      <c r="P1943">
        <f>IF([2]Entry!$C$1946="","",[2]Entry!$C$1946)</f>
        <v/>
      </c>
      <c r="Q1943">
        <f>IF([2]Entry!$D$1946="","",[2]Entry!$D$1946)</f>
        <v/>
      </c>
      <c r="R1943">
        <f>IF([2]Entry!$E$1946="","",[2]Entry!$E$1946)</f>
        <v/>
      </c>
      <c r="S1943">
        <f>IF([2]Entry!$G$1946="","",[2]Entry!$G$1946)</f>
        <v/>
      </c>
      <c r="T1943">
        <f>IF([2]Entry!$J$1946="","",[2]Entry!$J$1946)</f>
        <v/>
      </c>
      <c r="U1943">
        <f>IF([2]Entry!$K$1946="","",[2]Entry!$K$1946)</f>
        <v/>
      </c>
      <c r="V1943">
        <f>IF([2]Entry!$L$1946="","",[2]Entry!$L$1946)</f>
        <v/>
      </c>
      <c r="W1943">
        <f>IF([2]Entry!$M$1946="","",[2]Entry!$M$1946)</f>
        <v/>
      </c>
      <c r="X1943">
        <f>IF([2]Entry!$N$1946="","",[2]Entry!$N$1946)</f>
        <v/>
      </c>
      <c r="Y1943">
        <f>IF([2]Entry!$R$1946="","",[2]Entry!$R$1946)</f>
        <v/>
      </c>
    </row>
    <row r="1944">
      <c r="P1944">
        <f>IF([2]Entry!$C$1947="","",[2]Entry!$C$1947)</f>
        <v/>
      </c>
      <c r="Q1944">
        <f>IF([2]Entry!$D$1947="","",[2]Entry!$D$1947)</f>
        <v/>
      </c>
      <c r="R1944">
        <f>IF([2]Entry!$E$1947="","",[2]Entry!$E$1947)</f>
        <v/>
      </c>
      <c r="S1944">
        <f>IF([2]Entry!$G$1947="","",[2]Entry!$G$1947)</f>
        <v/>
      </c>
      <c r="T1944">
        <f>IF([2]Entry!$J$1947="","",[2]Entry!$J$1947)</f>
        <v/>
      </c>
      <c r="U1944">
        <f>IF([2]Entry!$K$1947="","",[2]Entry!$K$1947)</f>
        <v/>
      </c>
      <c r="V1944">
        <f>IF([2]Entry!$L$1947="","",[2]Entry!$L$1947)</f>
        <v/>
      </c>
      <c r="W1944">
        <f>IF([2]Entry!$M$1947="","",[2]Entry!$M$1947)</f>
        <v/>
      </c>
      <c r="X1944">
        <f>IF([2]Entry!$N$1947="","",[2]Entry!$N$1947)</f>
        <v/>
      </c>
      <c r="Y1944">
        <f>IF([2]Entry!$R$1947="","",[2]Entry!$R$1947)</f>
        <v/>
      </c>
    </row>
    <row r="1945">
      <c r="P1945">
        <f>IF([2]Entry!$C$1948="","",[2]Entry!$C$1948)</f>
        <v/>
      </c>
      <c r="Q1945">
        <f>IF([2]Entry!$D$1948="","",[2]Entry!$D$1948)</f>
        <v/>
      </c>
      <c r="R1945">
        <f>IF([2]Entry!$E$1948="","",[2]Entry!$E$1948)</f>
        <v/>
      </c>
      <c r="S1945">
        <f>IF([2]Entry!$G$1948="","",[2]Entry!$G$1948)</f>
        <v/>
      </c>
      <c r="T1945">
        <f>IF([2]Entry!$J$1948="","",[2]Entry!$J$1948)</f>
        <v/>
      </c>
      <c r="U1945">
        <f>IF([2]Entry!$K$1948="","",[2]Entry!$K$1948)</f>
        <v/>
      </c>
      <c r="V1945">
        <f>IF([2]Entry!$L$1948="","",[2]Entry!$L$1948)</f>
        <v/>
      </c>
      <c r="W1945">
        <f>IF([2]Entry!$M$1948="","",[2]Entry!$M$1948)</f>
        <v/>
      </c>
      <c r="X1945">
        <f>IF([2]Entry!$N$1948="","",[2]Entry!$N$1948)</f>
        <v/>
      </c>
      <c r="Y1945">
        <f>IF([2]Entry!$R$1948="","",[2]Entry!$R$1948)</f>
        <v/>
      </c>
    </row>
    <row r="1946">
      <c r="P1946">
        <f>IF([2]Entry!$C$1949="","",[2]Entry!$C$1949)</f>
        <v/>
      </c>
      <c r="Q1946">
        <f>IF([2]Entry!$D$1949="","",[2]Entry!$D$1949)</f>
        <v/>
      </c>
      <c r="R1946">
        <f>IF([2]Entry!$E$1949="","",[2]Entry!$E$1949)</f>
        <v/>
      </c>
      <c r="S1946">
        <f>IF([2]Entry!$G$1949="","",[2]Entry!$G$1949)</f>
        <v/>
      </c>
      <c r="T1946">
        <f>IF([2]Entry!$J$1949="","",[2]Entry!$J$1949)</f>
        <v/>
      </c>
      <c r="U1946">
        <f>IF([2]Entry!$K$1949="","",[2]Entry!$K$1949)</f>
        <v/>
      </c>
      <c r="V1946">
        <f>IF([2]Entry!$L$1949="","",[2]Entry!$L$1949)</f>
        <v/>
      </c>
      <c r="W1946">
        <f>IF([2]Entry!$M$1949="","",[2]Entry!$M$1949)</f>
        <v/>
      </c>
      <c r="X1946">
        <f>IF([2]Entry!$N$1949="","",[2]Entry!$N$1949)</f>
        <v/>
      </c>
      <c r="Y1946">
        <f>IF([2]Entry!$R$1949="","",[2]Entry!$R$1949)</f>
        <v/>
      </c>
    </row>
    <row r="1947">
      <c r="P1947">
        <f>IF([2]Entry!$C$1950="","",[2]Entry!$C$1950)</f>
        <v/>
      </c>
      <c r="Q1947">
        <f>IF([2]Entry!$D$1950="","",[2]Entry!$D$1950)</f>
        <v/>
      </c>
      <c r="R1947">
        <f>IF([2]Entry!$E$1950="","",[2]Entry!$E$1950)</f>
        <v/>
      </c>
      <c r="S1947">
        <f>IF([2]Entry!$G$1950="","",[2]Entry!$G$1950)</f>
        <v/>
      </c>
      <c r="T1947">
        <f>IF([2]Entry!$J$1950="","",[2]Entry!$J$1950)</f>
        <v/>
      </c>
      <c r="U1947">
        <f>IF([2]Entry!$K$1950="","",[2]Entry!$K$1950)</f>
        <v/>
      </c>
      <c r="V1947">
        <f>IF([2]Entry!$L$1950="","",[2]Entry!$L$1950)</f>
        <v/>
      </c>
      <c r="W1947">
        <f>IF([2]Entry!$M$1950="","",[2]Entry!$M$1950)</f>
        <v/>
      </c>
      <c r="X1947">
        <f>IF([2]Entry!$N$1950="","",[2]Entry!$N$1950)</f>
        <v/>
      </c>
      <c r="Y1947">
        <f>IF([2]Entry!$R$1950="","",[2]Entry!$R$1950)</f>
        <v/>
      </c>
    </row>
    <row r="1948">
      <c r="P1948">
        <f>IF([2]Entry!$C$1951="","",[2]Entry!$C$1951)</f>
        <v/>
      </c>
      <c r="Q1948">
        <f>IF([2]Entry!$D$1951="","",[2]Entry!$D$1951)</f>
        <v/>
      </c>
      <c r="R1948">
        <f>IF([2]Entry!$E$1951="","",[2]Entry!$E$1951)</f>
        <v/>
      </c>
      <c r="S1948">
        <f>IF([2]Entry!$G$1951="","",[2]Entry!$G$1951)</f>
        <v/>
      </c>
      <c r="T1948">
        <f>IF([2]Entry!$J$1951="","",[2]Entry!$J$1951)</f>
        <v/>
      </c>
      <c r="U1948">
        <f>IF([2]Entry!$K$1951="","",[2]Entry!$K$1951)</f>
        <v/>
      </c>
      <c r="V1948">
        <f>IF([2]Entry!$L$1951="","",[2]Entry!$L$1951)</f>
        <v/>
      </c>
      <c r="W1948">
        <f>IF([2]Entry!$M$1951="","",[2]Entry!$M$1951)</f>
        <v/>
      </c>
      <c r="X1948">
        <f>IF([2]Entry!$N$1951="","",[2]Entry!$N$1951)</f>
        <v/>
      </c>
      <c r="Y1948">
        <f>IF([2]Entry!$R$1951="","",[2]Entry!$R$1951)</f>
        <v/>
      </c>
    </row>
    <row r="1949">
      <c r="P1949">
        <f>IF([2]Entry!$C$1952="","",[2]Entry!$C$1952)</f>
        <v/>
      </c>
      <c r="Q1949">
        <f>IF([2]Entry!$D$1952="","",[2]Entry!$D$1952)</f>
        <v/>
      </c>
      <c r="R1949">
        <f>IF([2]Entry!$E$1952="","",[2]Entry!$E$1952)</f>
        <v/>
      </c>
      <c r="S1949">
        <f>IF([2]Entry!$G$1952="","",[2]Entry!$G$1952)</f>
        <v/>
      </c>
      <c r="T1949">
        <f>IF([2]Entry!$J$1952="","",[2]Entry!$J$1952)</f>
        <v/>
      </c>
      <c r="U1949">
        <f>IF([2]Entry!$K$1952="","",[2]Entry!$K$1952)</f>
        <v/>
      </c>
      <c r="V1949">
        <f>IF([2]Entry!$L$1952="","",[2]Entry!$L$1952)</f>
        <v/>
      </c>
      <c r="W1949">
        <f>IF([2]Entry!$M$1952="","",[2]Entry!$M$1952)</f>
        <v/>
      </c>
      <c r="X1949">
        <f>IF([2]Entry!$N$1952="","",[2]Entry!$N$1952)</f>
        <v/>
      </c>
      <c r="Y1949">
        <f>IF([2]Entry!$R$1952="","",[2]Entry!$R$1952)</f>
        <v/>
      </c>
    </row>
    <row r="1950">
      <c r="P1950">
        <f>IF([2]Entry!$C$1953="","",[2]Entry!$C$1953)</f>
        <v/>
      </c>
      <c r="Q1950">
        <f>IF([2]Entry!$D$1953="","",[2]Entry!$D$1953)</f>
        <v/>
      </c>
      <c r="R1950">
        <f>IF([2]Entry!$E$1953="","",[2]Entry!$E$1953)</f>
        <v/>
      </c>
      <c r="S1950">
        <f>IF([2]Entry!$G$1953="","",[2]Entry!$G$1953)</f>
        <v/>
      </c>
      <c r="T1950">
        <f>IF([2]Entry!$J$1953="","",[2]Entry!$J$1953)</f>
        <v/>
      </c>
      <c r="U1950">
        <f>IF([2]Entry!$K$1953="","",[2]Entry!$K$1953)</f>
        <v/>
      </c>
      <c r="V1950">
        <f>IF([2]Entry!$L$1953="","",[2]Entry!$L$1953)</f>
        <v/>
      </c>
      <c r="W1950">
        <f>IF([2]Entry!$M$1953="","",[2]Entry!$M$1953)</f>
        <v/>
      </c>
      <c r="X1950">
        <f>IF([2]Entry!$N$1953="","",[2]Entry!$N$1953)</f>
        <v/>
      </c>
      <c r="Y1950">
        <f>IF([2]Entry!$R$1953="","",[2]Entry!$R$1953)</f>
        <v/>
      </c>
    </row>
    <row r="1951">
      <c r="P1951">
        <f>IF([2]Entry!$C$1954="","",[2]Entry!$C$1954)</f>
        <v/>
      </c>
      <c r="Q1951">
        <f>IF([2]Entry!$D$1954="","",[2]Entry!$D$1954)</f>
        <v/>
      </c>
      <c r="R1951">
        <f>IF([2]Entry!$E$1954="","",[2]Entry!$E$1954)</f>
        <v/>
      </c>
      <c r="S1951">
        <f>IF([2]Entry!$G$1954="","",[2]Entry!$G$1954)</f>
        <v/>
      </c>
      <c r="T1951">
        <f>IF([2]Entry!$J$1954="","",[2]Entry!$J$1954)</f>
        <v/>
      </c>
      <c r="U1951">
        <f>IF([2]Entry!$K$1954="","",[2]Entry!$K$1954)</f>
        <v/>
      </c>
      <c r="V1951">
        <f>IF([2]Entry!$L$1954="","",[2]Entry!$L$1954)</f>
        <v/>
      </c>
      <c r="W1951">
        <f>IF([2]Entry!$M$1954="","",[2]Entry!$M$1954)</f>
        <v/>
      </c>
      <c r="X1951">
        <f>IF([2]Entry!$N$1954="","",[2]Entry!$N$1954)</f>
        <v/>
      </c>
      <c r="Y1951">
        <f>IF([2]Entry!$R$1954="","",[2]Entry!$R$1954)</f>
        <v/>
      </c>
    </row>
    <row r="1952">
      <c r="P1952">
        <f>IF([2]Entry!$C$1955="","",[2]Entry!$C$1955)</f>
        <v/>
      </c>
      <c r="Q1952">
        <f>IF([2]Entry!$D$1955="","",[2]Entry!$D$1955)</f>
        <v/>
      </c>
      <c r="R1952">
        <f>IF([2]Entry!$E$1955="","",[2]Entry!$E$1955)</f>
        <v/>
      </c>
      <c r="S1952">
        <f>IF([2]Entry!$G$1955="","",[2]Entry!$G$1955)</f>
        <v/>
      </c>
      <c r="T1952">
        <f>IF([2]Entry!$J$1955="","",[2]Entry!$J$1955)</f>
        <v/>
      </c>
      <c r="U1952">
        <f>IF([2]Entry!$K$1955="","",[2]Entry!$K$1955)</f>
        <v/>
      </c>
      <c r="V1952">
        <f>IF([2]Entry!$L$1955="","",[2]Entry!$L$1955)</f>
        <v/>
      </c>
      <c r="W1952">
        <f>IF([2]Entry!$M$1955="","",[2]Entry!$M$1955)</f>
        <v/>
      </c>
      <c r="X1952">
        <f>IF([2]Entry!$N$1955="","",[2]Entry!$N$1955)</f>
        <v/>
      </c>
      <c r="Y1952">
        <f>IF([2]Entry!$R$1955="","",[2]Entry!$R$1955)</f>
        <v/>
      </c>
    </row>
    <row r="1953">
      <c r="P1953">
        <f>IF([2]Entry!$C$1956="","",[2]Entry!$C$1956)</f>
        <v/>
      </c>
      <c r="Q1953">
        <f>IF([2]Entry!$D$1956="","",[2]Entry!$D$1956)</f>
        <v/>
      </c>
      <c r="R1953">
        <f>IF([2]Entry!$E$1956="","",[2]Entry!$E$1956)</f>
        <v/>
      </c>
      <c r="S1953">
        <f>IF([2]Entry!$G$1956="","",[2]Entry!$G$1956)</f>
        <v/>
      </c>
      <c r="T1953">
        <f>IF([2]Entry!$J$1956="","",[2]Entry!$J$1956)</f>
        <v/>
      </c>
      <c r="U1953">
        <f>IF([2]Entry!$K$1956="","",[2]Entry!$K$1956)</f>
        <v/>
      </c>
      <c r="V1953">
        <f>IF([2]Entry!$L$1956="","",[2]Entry!$L$1956)</f>
        <v/>
      </c>
      <c r="W1953">
        <f>IF([2]Entry!$M$1956="","",[2]Entry!$M$1956)</f>
        <v/>
      </c>
      <c r="X1953">
        <f>IF([2]Entry!$N$1956="","",[2]Entry!$N$1956)</f>
        <v/>
      </c>
      <c r="Y1953">
        <f>IF([2]Entry!$R$1956="","",[2]Entry!$R$1956)</f>
        <v/>
      </c>
    </row>
    <row r="1954">
      <c r="P1954">
        <f>IF([2]Entry!$C$1957="","",[2]Entry!$C$1957)</f>
        <v/>
      </c>
      <c r="Q1954">
        <f>IF([2]Entry!$D$1957="","",[2]Entry!$D$1957)</f>
        <v/>
      </c>
      <c r="R1954">
        <f>IF([2]Entry!$E$1957="","",[2]Entry!$E$1957)</f>
        <v/>
      </c>
      <c r="S1954">
        <f>IF([2]Entry!$G$1957="","",[2]Entry!$G$1957)</f>
        <v/>
      </c>
      <c r="T1954">
        <f>IF([2]Entry!$J$1957="","",[2]Entry!$J$1957)</f>
        <v/>
      </c>
      <c r="U1954">
        <f>IF([2]Entry!$K$1957="","",[2]Entry!$K$1957)</f>
        <v/>
      </c>
      <c r="V1954">
        <f>IF([2]Entry!$L$1957="","",[2]Entry!$L$1957)</f>
        <v/>
      </c>
      <c r="W1954">
        <f>IF([2]Entry!$M$1957="","",[2]Entry!$M$1957)</f>
        <v/>
      </c>
      <c r="X1954">
        <f>IF([2]Entry!$N$1957="","",[2]Entry!$N$1957)</f>
        <v/>
      </c>
      <c r="Y1954">
        <f>IF([2]Entry!$R$1957="","",[2]Entry!$R$1957)</f>
        <v/>
      </c>
    </row>
    <row r="1955">
      <c r="P1955">
        <f>IF([2]Entry!$C$1958="","",[2]Entry!$C$1958)</f>
        <v/>
      </c>
      <c r="Q1955">
        <f>IF([2]Entry!$D$1958="","",[2]Entry!$D$1958)</f>
        <v/>
      </c>
      <c r="R1955">
        <f>IF([2]Entry!$E$1958="","",[2]Entry!$E$1958)</f>
        <v/>
      </c>
      <c r="S1955">
        <f>IF([2]Entry!$G$1958="","",[2]Entry!$G$1958)</f>
        <v/>
      </c>
      <c r="T1955">
        <f>IF([2]Entry!$J$1958="","",[2]Entry!$J$1958)</f>
        <v/>
      </c>
      <c r="U1955">
        <f>IF([2]Entry!$K$1958="","",[2]Entry!$K$1958)</f>
        <v/>
      </c>
      <c r="V1955">
        <f>IF([2]Entry!$L$1958="","",[2]Entry!$L$1958)</f>
        <v/>
      </c>
      <c r="W1955">
        <f>IF([2]Entry!$M$1958="","",[2]Entry!$M$1958)</f>
        <v/>
      </c>
      <c r="X1955">
        <f>IF([2]Entry!$N$1958="","",[2]Entry!$N$1958)</f>
        <v/>
      </c>
      <c r="Y1955">
        <f>IF([2]Entry!$R$1958="","",[2]Entry!$R$1958)</f>
        <v/>
      </c>
    </row>
    <row r="1956">
      <c r="P1956">
        <f>IF([2]Entry!$C$1959="","",[2]Entry!$C$1959)</f>
        <v/>
      </c>
      <c r="Q1956">
        <f>IF([2]Entry!$D$1959="","",[2]Entry!$D$1959)</f>
        <v/>
      </c>
      <c r="R1956">
        <f>IF([2]Entry!$E$1959="","",[2]Entry!$E$1959)</f>
        <v/>
      </c>
      <c r="S1956">
        <f>IF([2]Entry!$G$1959="","",[2]Entry!$G$1959)</f>
        <v/>
      </c>
      <c r="T1956">
        <f>IF([2]Entry!$J$1959="","",[2]Entry!$J$1959)</f>
        <v/>
      </c>
      <c r="U1956">
        <f>IF([2]Entry!$K$1959="","",[2]Entry!$K$1959)</f>
        <v/>
      </c>
      <c r="V1956">
        <f>IF([2]Entry!$L$1959="","",[2]Entry!$L$1959)</f>
        <v/>
      </c>
      <c r="W1956">
        <f>IF([2]Entry!$M$1959="","",[2]Entry!$M$1959)</f>
        <v/>
      </c>
      <c r="X1956">
        <f>IF([2]Entry!$N$1959="","",[2]Entry!$N$1959)</f>
        <v/>
      </c>
      <c r="Y1956">
        <f>IF([2]Entry!$R$1959="","",[2]Entry!$R$1959)</f>
        <v/>
      </c>
    </row>
    <row r="1957">
      <c r="P1957">
        <f>IF([2]Entry!$C$1960="","",[2]Entry!$C$1960)</f>
        <v/>
      </c>
      <c r="Q1957">
        <f>IF([2]Entry!$D$1960="","",[2]Entry!$D$1960)</f>
        <v/>
      </c>
      <c r="R1957">
        <f>IF([2]Entry!$E$1960="","",[2]Entry!$E$1960)</f>
        <v/>
      </c>
      <c r="S1957">
        <f>IF([2]Entry!$G$1960="","",[2]Entry!$G$1960)</f>
        <v/>
      </c>
      <c r="T1957">
        <f>IF([2]Entry!$J$1960="","",[2]Entry!$J$1960)</f>
        <v/>
      </c>
      <c r="U1957">
        <f>IF([2]Entry!$K$1960="","",[2]Entry!$K$1960)</f>
        <v/>
      </c>
      <c r="V1957">
        <f>IF([2]Entry!$L$1960="","",[2]Entry!$L$1960)</f>
        <v/>
      </c>
      <c r="W1957">
        <f>IF([2]Entry!$M$1960="","",[2]Entry!$M$1960)</f>
        <v/>
      </c>
      <c r="X1957">
        <f>IF([2]Entry!$N$1960="","",[2]Entry!$N$1960)</f>
        <v/>
      </c>
      <c r="Y1957">
        <f>IF([2]Entry!$R$1960="","",[2]Entry!$R$1960)</f>
        <v/>
      </c>
    </row>
    <row r="1958">
      <c r="P1958">
        <f>IF([2]Entry!$C$1961="","",[2]Entry!$C$1961)</f>
        <v/>
      </c>
      <c r="Q1958">
        <f>IF([2]Entry!$D$1961="","",[2]Entry!$D$1961)</f>
        <v/>
      </c>
      <c r="R1958">
        <f>IF([2]Entry!$E$1961="","",[2]Entry!$E$1961)</f>
        <v/>
      </c>
      <c r="S1958">
        <f>IF([2]Entry!$G$1961="","",[2]Entry!$G$1961)</f>
        <v/>
      </c>
      <c r="T1958">
        <f>IF([2]Entry!$J$1961="","",[2]Entry!$J$1961)</f>
        <v/>
      </c>
      <c r="U1958">
        <f>IF([2]Entry!$K$1961="","",[2]Entry!$K$1961)</f>
        <v/>
      </c>
      <c r="V1958">
        <f>IF([2]Entry!$L$1961="","",[2]Entry!$L$1961)</f>
        <v/>
      </c>
      <c r="W1958">
        <f>IF([2]Entry!$M$1961="","",[2]Entry!$M$1961)</f>
        <v/>
      </c>
      <c r="X1958">
        <f>IF([2]Entry!$N$1961="","",[2]Entry!$N$1961)</f>
        <v/>
      </c>
      <c r="Y1958">
        <f>IF([2]Entry!$R$1961="","",[2]Entry!$R$1961)</f>
        <v/>
      </c>
    </row>
    <row r="1959">
      <c r="P1959">
        <f>IF([2]Entry!$C$1962="","",[2]Entry!$C$1962)</f>
        <v/>
      </c>
      <c r="Q1959">
        <f>IF([2]Entry!$D$1962="","",[2]Entry!$D$1962)</f>
        <v/>
      </c>
      <c r="R1959">
        <f>IF([2]Entry!$E$1962="","",[2]Entry!$E$1962)</f>
        <v/>
      </c>
      <c r="S1959">
        <f>IF([2]Entry!$G$1962="","",[2]Entry!$G$1962)</f>
        <v/>
      </c>
      <c r="T1959">
        <f>IF([2]Entry!$J$1962="","",[2]Entry!$J$1962)</f>
        <v/>
      </c>
      <c r="U1959">
        <f>IF([2]Entry!$K$1962="","",[2]Entry!$K$1962)</f>
        <v/>
      </c>
      <c r="V1959">
        <f>IF([2]Entry!$L$1962="","",[2]Entry!$L$1962)</f>
        <v/>
      </c>
      <c r="W1959">
        <f>IF([2]Entry!$M$1962="","",[2]Entry!$M$1962)</f>
        <v/>
      </c>
      <c r="X1959">
        <f>IF([2]Entry!$N$1962="","",[2]Entry!$N$1962)</f>
        <v/>
      </c>
      <c r="Y1959">
        <f>IF([2]Entry!$R$1962="","",[2]Entry!$R$1962)</f>
        <v/>
      </c>
    </row>
    <row r="1960">
      <c r="P1960">
        <f>IF([2]Entry!$C$1963="","",[2]Entry!$C$1963)</f>
        <v/>
      </c>
      <c r="Q1960">
        <f>IF([2]Entry!$D$1963="","",[2]Entry!$D$1963)</f>
        <v/>
      </c>
      <c r="R1960">
        <f>IF([2]Entry!$E$1963="","",[2]Entry!$E$1963)</f>
        <v/>
      </c>
      <c r="S1960">
        <f>IF([2]Entry!$G$1963="","",[2]Entry!$G$1963)</f>
        <v/>
      </c>
      <c r="T1960">
        <f>IF([2]Entry!$J$1963="","",[2]Entry!$J$1963)</f>
        <v/>
      </c>
      <c r="U1960">
        <f>IF([2]Entry!$K$1963="","",[2]Entry!$K$1963)</f>
        <v/>
      </c>
      <c r="V1960">
        <f>IF([2]Entry!$L$1963="","",[2]Entry!$L$1963)</f>
        <v/>
      </c>
      <c r="W1960">
        <f>IF([2]Entry!$M$1963="","",[2]Entry!$M$1963)</f>
        <v/>
      </c>
      <c r="X1960">
        <f>IF([2]Entry!$N$1963="","",[2]Entry!$N$1963)</f>
        <v/>
      </c>
      <c r="Y1960">
        <f>IF([2]Entry!$R$1963="","",[2]Entry!$R$1963)</f>
        <v/>
      </c>
    </row>
    <row r="1961">
      <c r="P1961">
        <f>IF([2]Entry!$C$1964="","",[2]Entry!$C$1964)</f>
        <v/>
      </c>
      <c r="Q1961">
        <f>IF([2]Entry!$D$1964="","",[2]Entry!$D$1964)</f>
        <v/>
      </c>
      <c r="R1961">
        <f>IF([2]Entry!$E$1964="","",[2]Entry!$E$1964)</f>
        <v/>
      </c>
      <c r="S1961">
        <f>IF([2]Entry!$G$1964="","",[2]Entry!$G$1964)</f>
        <v/>
      </c>
      <c r="T1961">
        <f>IF([2]Entry!$J$1964="","",[2]Entry!$J$1964)</f>
        <v/>
      </c>
      <c r="U1961">
        <f>IF([2]Entry!$K$1964="","",[2]Entry!$K$1964)</f>
        <v/>
      </c>
      <c r="V1961">
        <f>IF([2]Entry!$L$1964="","",[2]Entry!$L$1964)</f>
        <v/>
      </c>
      <c r="W1961">
        <f>IF([2]Entry!$M$1964="","",[2]Entry!$M$1964)</f>
        <v/>
      </c>
      <c r="X1961">
        <f>IF([2]Entry!$N$1964="","",[2]Entry!$N$1964)</f>
        <v/>
      </c>
      <c r="Y1961">
        <f>IF([2]Entry!$R$1964="","",[2]Entry!$R$1964)</f>
        <v/>
      </c>
    </row>
    <row r="1962">
      <c r="P1962">
        <f>IF([2]Entry!$C$1965="","",[2]Entry!$C$1965)</f>
        <v/>
      </c>
      <c r="Q1962">
        <f>IF([2]Entry!$D$1965="","",[2]Entry!$D$1965)</f>
        <v/>
      </c>
      <c r="R1962">
        <f>IF([2]Entry!$E$1965="","",[2]Entry!$E$1965)</f>
        <v/>
      </c>
      <c r="S1962">
        <f>IF([2]Entry!$G$1965="","",[2]Entry!$G$1965)</f>
        <v/>
      </c>
      <c r="T1962">
        <f>IF([2]Entry!$J$1965="","",[2]Entry!$J$1965)</f>
        <v/>
      </c>
      <c r="U1962">
        <f>IF([2]Entry!$K$1965="","",[2]Entry!$K$1965)</f>
        <v/>
      </c>
      <c r="V1962">
        <f>IF([2]Entry!$L$1965="","",[2]Entry!$L$1965)</f>
        <v/>
      </c>
      <c r="W1962">
        <f>IF([2]Entry!$M$1965="","",[2]Entry!$M$1965)</f>
        <v/>
      </c>
      <c r="X1962">
        <f>IF([2]Entry!$N$1965="","",[2]Entry!$N$1965)</f>
        <v/>
      </c>
      <c r="Y1962">
        <f>IF([2]Entry!$R$1965="","",[2]Entry!$R$1965)</f>
        <v/>
      </c>
    </row>
    <row r="1963">
      <c r="P1963">
        <f>IF([2]Entry!$C$1966="","",[2]Entry!$C$1966)</f>
        <v/>
      </c>
      <c r="Q1963">
        <f>IF([2]Entry!$D$1966="","",[2]Entry!$D$1966)</f>
        <v/>
      </c>
      <c r="R1963">
        <f>IF([2]Entry!$E$1966="","",[2]Entry!$E$1966)</f>
        <v/>
      </c>
      <c r="S1963">
        <f>IF([2]Entry!$G$1966="","",[2]Entry!$G$1966)</f>
        <v/>
      </c>
      <c r="T1963">
        <f>IF([2]Entry!$J$1966="","",[2]Entry!$J$1966)</f>
        <v/>
      </c>
      <c r="U1963">
        <f>IF([2]Entry!$K$1966="","",[2]Entry!$K$1966)</f>
        <v/>
      </c>
      <c r="V1963">
        <f>IF([2]Entry!$L$1966="","",[2]Entry!$L$1966)</f>
        <v/>
      </c>
      <c r="W1963">
        <f>IF([2]Entry!$M$1966="","",[2]Entry!$M$1966)</f>
        <v/>
      </c>
      <c r="X1963">
        <f>IF([2]Entry!$N$1966="","",[2]Entry!$N$1966)</f>
        <v/>
      </c>
      <c r="Y1963">
        <f>IF([2]Entry!$R$1966="","",[2]Entry!$R$1966)</f>
        <v/>
      </c>
    </row>
    <row r="1964">
      <c r="P1964">
        <f>IF([2]Entry!$C$1967="","",[2]Entry!$C$1967)</f>
        <v/>
      </c>
      <c r="Q1964">
        <f>IF([2]Entry!$D$1967="","",[2]Entry!$D$1967)</f>
        <v/>
      </c>
      <c r="R1964">
        <f>IF([2]Entry!$E$1967="","",[2]Entry!$E$1967)</f>
        <v/>
      </c>
      <c r="S1964">
        <f>IF([2]Entry!$G$1967="","",[2]Entry!$G$1967)</f>
        <v/>
      </c>
      <c r="T1964">
        <f>IF([2]Entry!$J$1967="","",[2]Entry!$J$1967)</f>
        <v/>
      </c>
      <c r="U1964">
        <f>IF([2]Entry!$K$1967="","",[2]Entry!$K$1967)</f>
        <v/>
      </c>
      <c r="V1964">
        <f>IF([2]Entry!$L$1967="","",[2]Entry!$L$1967)</f>
        <v/>
      </c>
      <c r="W1964">
        <f>IF([2]Entry!$M$1967="","",[2]Entry!$M$1967)</f>
        <v/>
      </c>
      <c r="X1964">
        <f>IF([2]Entry!$N$1967="","",[2]Entry!$N$1967)</f>
        <v/>
      </c>
      <c r="Y1964">
        <f>IF([2]Entry!$R$1967="","",[2]Entry!$R$1967)</f>
        <v/>
      </c>
    </row>
    <row r="1965">
      <c r="P1965">
        <f>IF([2]Entry!$C$1968="","",[2]Entry!$C$1968)</f>
        <v/>
      </c>
      <c r="Q1965">
        <f>IF([2]Entry!$D$1968="","",[2]Entry!$D$1968)</f>
        <v/>
      </c>
      <c r="R1965">
        <f>IF([2]Entry!$E$1968="","",[2]Entry!$E$1968)</f>
        <v/>
      </c>
      <c r="S1965">
        <f>IF([2]Entry!$G$1968="","",[2]Entry!$G$1968)</f>
        <v/>
      </c>
      <c r="T1965">
        <f>IF([2]Entry!$J$1968="","",[2]Entry!$J$1968)</f>
        <v/>
      </c>
      <c r="U1965">
        <f>IF([2]Entry!$K$1968="","",[2]Entry!$K$1968)</f>
        <v/>
      </c>
      <c r="V1965">
        <f>IF([2]Entry!$L$1968="","",[2]Entry!$L$1968)</f>
        <v/>
      </c>
      <c r="W1965">
        <f>IF([2]Entry!$M$1968="","",[2]Entry!$M$1968)</f>
        <v/>
      </c>
      <c r="X1965">
        <f>IF([2]Entry!$N$1968="","",[2]Entry!$N$1968)</f>
        <v/>
      </c>
      <c r="Y1965">
        <f>IF([2]Entry!$R$1968="","",[2]Entry!$R$1968)</f>
        <v/>
      </c>
    </row>
    <row r="1966">
      <c r="P1966">
        <f>IF([2]Entry!$C$1969="","",[2]Entry!$C$1969)</f>
        <v/>
      </c>
      <c r="Q1966">
        <f>IF([2]Entry!$D$1969="","",[2]Entry!$D$1969)</f>
        <v/>
      </c>
      <c r="R1966">
        <f>IF([2]Entry!$E$1969="","",[2]Entry!$E$1969)</f>
        <v/>
      </c>
      <c r="S1966">
        <f>IF([2]Entry!$G$1969="","",[2]Entry!$G$1969)</f>
        <v/>
      </c>
      <c r="T1966">
        <f>IF([2]Entry!$J$1969="","",[2]Entry!$J$1969)</f>
        <v/>
      </c>
      <c r="U1966">
        <f>IF([2]Entry!$K$1969="","",[2]Entry!$K$1969)</f>
        <v/>
      </c>
      <c r="V1966">
        <f>IF([2]Entry!$L$1969="","",[2]Entry!$L$1969)</f>
        <v/>
      </c>
      <c r="W1966">
        <f>IF([2]Entry!$M$1969="","",[2]Entry!$M$1969)</f>
        <v/>
      </c>
      <c r="X1966">
        <f>IF([2]Entry!$N$1969="","",[2]Entry!$N$1969)</f>
        <v/>
      </c>
      <c r="Y1966">
        <f>IF([2]Entry!$R$1969="","",[2]Entry!$R$1969)</f>
        <v/>
      </c>
    </row>
    <row r="1967">
      <c r="P1967">
        <f>IF([2]Entry!$C$1970="","",[2]Entry!$C$1970)</f>
        <v/>
      </c>
      <c r="Q1967">
        <f>IF([2]Entry!$D$1970="","",[2]Entry!$D$1970)</f>
        <v/>
      </c>
      <c r="R1967">
        <f>IF([2]Entry!$E$1970="","",[2]Entry!$E$1970)</f>
        <v/>
      </c>
      <c r="S1967">
        <f>IF([2]Entry!$G$1970="","",[2]Entry!$G$1970)</f>
        <v/>
      </c>
      <c r="T1967">
        <f>IF([2]Entry!$J$1970="","",[2]Entry!$J$1970)</f>
        <v/>
      </c>
      <c r="U1967">
        <f>IF([2]Entry!$K$1970="","",[2]Entry!$K$1970)</f>
        <v/>
      </c>
      <c r="V1967">
        <f>IF([2]Entry!$L$1970="","",[2]Entry!$L$1970)</f>
        <v/>
      </c>
      <c r="W1967">
        <f>IF([2]Entry!$M$1970="","",[2]Entry!$M$1970)</f>
        <v/>
      </c>
      <c r="X1967">
        <f>IF([2]Entry!$N$1970="","",[2]Entry!$N$1970)</f>
        <v/>
      </c>
      <c r="Y1967">
        <f>IF([2]Entry!$R$1970="","",[2]Entry!$R$1970)</f>
        <v/>
      </c>
    </row>
    <row r="1968">
      <c r="P1968">
        <f>IF([2]Entry!$C$1971="","",[2]Entry!$C$1971)</f>
        <v/>
      </c>
      <c r="Q1968">
        <f>IF([2]Entry!$D$1971="","",[2]Entry!$D$1971)</f>
        <v/>
      </c>
      <c r="R1968">
        <f>IF([2]Entry!$E$1971="","",[2]Entry!$E$1971)</f>
        <v/>
      </c>
      <c r="S1968">
        <f>IF([2]Entry!$G$1971="","",[2]Entry!$G$1971)</f>
        <v/>
      </c>
      <c r="T1968">
        <f>IF([2]Entry!$J$1971="","",[2]Entry!$J$1971)</f>
        <v/>
      </c>
      <c r="U1968">
        <f>IF([2]Entry!$K$1971="","",[2]Entry!$K$1971)</f>
        <v/>
      </c>
      <c r="V1968">
        <f>IF([2]Entry!$L$1971="","",[2]Entry!$L$1971)</f>
        <v/>
      </c>
      <c r="W1968">
        <f>IF([2]Entry!$M$1971="","",[2]Entry!$M$1971)</f>
        <v/>
      </c>
      <c r="X1968">
        <f>IF([2]Entry!$N$1971="","",[2]Entry!$N$1971)</f>
        <v/>
      </c>
      <c r="Y1968">
        <f>IF([2]Entry!$R$1971="","",[2]Entry!$R$1971)</f>
        <v/>
      </c>
    </row>
    <row r="1969">
      <c r="P1969">
        <f>IF([2]Entry!$C$1972="","",[2]Entry!$C$1972)</f>
        <v/>
      </c>
      <c r="Q1969">
        <f>IF([2]Entry!$D$1972="","",[2]Entry!$D$1972)</f>
        <v/>
      </c>
      <c r="R1969">
        <f>IF([2]Entry!$E$1972="","",[2]Entry!$E$1972)</f>
        <v/>
      </c>
      <c r="S1969">
        <f>IF([2]Entry!$G$1972="","",[2]Entry!$G$1972)</f>
        <v/>
      </c>
      <c r="T1969">
        <f>IF([2]Entry!$J$1972="","",[2]Entry!$J$1972)</f>
        <v/>
      </c>
      <c r="U1969">
        <f>IF([2]Entry!$K$1972="","",[2]Entry!$K$1972)</f>
        <v/>
      </c>
      <c r="V1969">
        <f>IF([2]Entry!$L$1972="","",[2]Entry!$L$1972)</f>
        <v/>
      </c>
      <c r="W1969">
        <f>IF([2]Entry!$M$1972="","",[2]Entry!$M$1972)</f>
        <v/>
      </c>
      <c r="X1969">
        <f>IF([2]Entry!$N$1972="","",[2]Entry!$N$1972)</f>
        <v/>
      </c>
      <c r="Y1969">
        <f>IF([2]Entry!$R$1972="","",[2]Entry!$R$1972)</f>
        <v/>
      </c>
    </row>
    <row r="1970">
      <c r="P1970">
        <f>IF([2]Entry!$C$1973="","",[2]Entry!$C$1973)</f>
        <v/>
      </c>
      <c r="Q1970">
        <f>IF([2]Entry!$D$1973="","",[2]Entry!$D$1973)</f>
        <v/>
      </c>
      <c r="R1970">
        <f>IF([2]Entry!$E$1973="","",[2]Entry!$E$1973)</f>
        <v/>
      </c>
      <c r="S1970">
        <f>IF([2]Entry!$G$1973="","",[2]Entry!$G$1973)</f>
        <v/>
      </c>
      <c r="T1970">
        <f>IF([2]Entry!$J$1973="","",[2]Entry!$J$1973)</f>
        <v/>
      </c>
      <c r="U1970">
        <f>IF([2]Entry!$K$1973="","",[2]Entry!$K$1973)</f>
        <v/>
      </c>
      <c r="V1970">
        <f>IF([2]Entry!$L$1973="","",[2]Entry!$L$1973)</f>
        <v/>
      </c>
      <c r="W1970">
        <f>IF([2]Entry!$M$1973="","",[2]Entry!$M$1973)</f>
        <v/>
      </c>
      <c r="X1970">
        <f>IF([2]Entry!$N$1973="","",[2]Entry!$N$1973)</f>
        <v/>
      </c>
      <c r="Y1970">
        <f>IF([2]Entry!$R$1973="","",[2]Entry!$R$1973)</f>
        <v/>
      </c>
    </row>
    <row r="1971">
      <c r="P1971">
        <f>IF([2]Entry!$C$1974="","",[2]Entry!$C$1974)</f>
        <v/>
      </c>
      <c r="Q1971">
        <f>IF([2]Entry!$D$1974="","",[2]Entry!$D$1974)</f>
        <v/>
      </c>
      <c r="R1971">
        <f>IF([2]Entry!$E$1974="","",[2]Entry!$E$1974)</f>
        <v/>
      </c>
      <c r="S1971">
        <f>IF([2]Entry!$G$1974="","",[2]Entry!$G$1974)</f>
        <v/>
      </c>
      <c r="T1971">
        <f>IF([2]Entry!$J$1974="","",[2]Entry!$J$1974)</f>
        <v/>
      </c>
      <c r="U1971">
        <f>IF([2]Entry!$K$1974="","",[2]Entry!$K$1974)</f>
        <v/>
      </c>
      <c r="V1971">
        <f>IF([2]Entry!$L$1974="","",[2]Entry!$L$1974)</f>
        <v/>
      </c>
      <c r="W1971">
        <f>IF([2]Entry!$M$1974="","",[2]Entry!$M$1974)</f>
        <v/>
      </c>
      <c r="X1971">
        <f>IF([2]Entry!$N$1974="","",[2]Entry!$N$1974)</f>
        <v/>
      </c>
      <c r="Y1971">
        <f>IF([2]Entry!$R$1974="","",[2]Entry!$R$1974)</f>
        <v/>
      </c>
    </row>
    <row r="1972">
      <c r="P1972">
        <f>IF([2]Entry!$C$1975="","",[2]Entry!$C$1975)</f>
        <v/>
      </c>
      <c r="Q1972">
        <f>IF([2]Entry!$D$1975="","",[2]Entry!$D$1975)</f>
        <v/>
      </c>
      <c r="R1972">
        <f>IF([2]Entry!$E$1975="","",[2]Entry!$E$1975)</f>
        <v/>
      </c>
      <c r="S1972">
        <f>IF([2]Entry!$G$1975="","",[2]Entry!$G$1975)</f>
        <v/>
      </c>
      <c r="T1972">
        <f>IF([2]Entry!$J$1975="","",[2]Entry!$J$1975)</f>
        <v/>
      </c>
      <c r="U1972">
        <f>IF([2]Entry!$K$1975="","",[2]Entry!$K$1975)</f>
        <v/>
      </c>
      <c r="V1972">
        <f>IF([2]Entry!$L$1975="","",[2]Entry!$L$1975)</f>
        <v/>
      </c>
      <c r="W1972">
        <f>IF([2]Entry!$M$1975="","",[2]Entry!$M$1975)</f>
        <v/>
      </c>
      <c r="X1972">
        <f>IF([2]Entry!$N$1975="","",[2]Entry!$N$1975)</f>
        <v/>
      </c>
      <c r="Y1972">
        <f>IF([2]Entry!$R$1975="","",[2]Entry!$R$1975)</f>
        <v/>
      </c>
    </row>
    <row r="1973">
      <c r="P1973">
        <f>IF([2]Entry!$C$1976="","",[2]Entry!$C$1976)</f>
        <v/>
      </c>
      <c r="Q1973">
        <f>IF([2]Entry!$D$1976="","",[2]Entry!$D$1976)</f>
        <v/>
      </c>
      <c r="R1973">
        <f>IF([2]Entry!$E$1976="","",[2]Entry!$E$1976)</f>
        <v/>
      </c>
      <c r="S1973">
        <f>IF([2]Entry!$G$1976="","",[2]Entry!$G$1976)</f>
        <v/>
      </c>
      <c r="T1973">
        <f>IF([2]Entry!$J$1976="","",[2]Entry!$J$1976)</f>
        <v/>
      </c>
      <c r="U1973">
        <f>IF([2]Entry!$K$1976="","",[2]Entry!$K$1976)</f>
        <v/>
      </c>
      <c r="V1973">
        <f>IF([2]Entry!$L$1976="","",[2]Entry!$L$1976)</f>
        <v/>
      </c>
      <c r="W1973">
        <f>IF([2]Entry!$M$1976="","",[2]Entry!$M$1976)</f>
        <v/>
      </c>
      <c r="X1973">
        <f>IF([2]Entry!$N$1976="","",[2]Entry!$N$1976)</f>
        <v/>
      </c>
      <c r="Y1973">
        <f>IF([2]Entry!$R$1976="","",[2]Entry!$R$1976)</f>
        <v/>
      </c>
    </row>
    <row r="1974">
      <c r="P1974">
        <f>IF([2]Entry!$C$1977="","",[2]Entry!$C$1977)</f>
        <v/>
      </c>
      <c r="Q1974">
        <f>IF([2]Entry!$D$1977="","",[2]Entry!$D$1977)</f>
        <v/>
      </c>
      <c r="R1974">
        <f>IF([2]Entry!$E$1977="","",[2]Entry!$E$1977)</f>
        <v/>
      </c>
      <c r="S1974">
        <f>IF([2]Entry!$G$1977="","",[2]Entry!$G$1977)</f>
        <v/>
      </c>
      <c r="T1974">
        <f>IF([2]Entry!$J$1977="","",[2]Entry!$J$1977)</f>
        <v/>
      </c>
      <c r="U1974">
        <f>IF([2]Entry!$K$1977="","",[2]Entry!$K$1977)</f>
        <v/>
      </c>
      <c r="V1974">
        <f>IF([2]Entry!$L$1977="","",[2]Entry!$L$1977)</f>
        <v/>
      </c>
      <c r="W1974">
        <f>IF([2]Entry!$M$1977="","",[2]Entry!$M$1977)</f>
        <v/>
      </c>
      <c r="X1974">
        <f>IF([2]Entry!$N$1977="","",[2]Entry!$N$1977)</f>
        <v/>
      </c>
      <c r="Y1974">
        <f>IF([2]Entry!$R$1977="","",[2]Entry!$R$1977)</f>
        <v/>
      </c>
    </row>
    <row r="1975">
      <c r="P1975">
        <f>IF([2]Entry!$C$1978="","",[2]Entry!$C$1978)</f>
        <v/>
      </c>
      <c r="Q1975">
        <f>IF([2]Entry!$D$1978="","",[2]Entry!$D$1978)</f>
        <v/>
      </c>
      <c r="R1975">
        <f>IF([2]Entry!$E$1978="","",[2]Entry!$E$1978)</f>
        <v/>
      </c>
      <c r="S1975">
        <f>IF([2]Entry!$G$1978="","",[2]Entry!$G$1978)</f>
        <v/>
      </c>
      <c r="T1975">
        <f>IF([2]Entry!$J$1978="","",[2]Entry!$J$1978)</f>
        <v/>
      </c>
      <c r="U1975">
        <f>IF([2]Entry!$K$1978="","",[2]Entry!$K$1978)</f>
        <v/>
      </c>
      <c r="V1975">
        <f>IF([2]Entry!$L$1978="","",[2]Entry!$L$1978)</f>
        <v/>
      </c>
      <c r="W1975">
        <f>IF([2]Entry!$M$1978="","",[2]Entry!$M$1978)</f>
        <v/>
      </c>
      <c r="X1975">
        <f>IF([2]Entry!$N$1978="","",[2]Entry!$N$1978)</f>
        <v/>
      </c>
      <c r="Y1975">
        <f>IF([2]Entry!$R$1978="","",[2]Entry!$R$1978)</f>
        <v/>
      </c>
    </row>
    <row r="1976">
      <c r="P1976">
        <f>IF([2]Entry!$C$1979="","",[2]Entry!$C$1979)</f>
        <v/>
      </c>
      <c r="Q1976">
        <f>IF([2]Entry!$D$1979="","",[2]Entry!$D$1979)</f>
        <v/>
      </c>
      <c r="R1976">
        <f>IF([2]Entry!$E$1979="","",[2]Entry!$E$1979)</f>
        <v/>
      </c>
      <c r="S1976">
        <f>IF([2]Entry!$G$1979="","",[2]Entry!$G$1979)</f>
        <v/>
      </c>
      <c r="T1976">
        <f>IF([2]Entry!$J$1979="","",[2]Entry!$J$1979)</f>
        <v/>
      </c>
      <c r="U1976">
        <f>IF([2]Entry!$K$1979="","",[2]Entry!$K$1979)</f>
        <v/>
      </c>
      <c r="V1976">
        <f>IF([2]Entry!$L$1979="","",[2]Entry!$L$1979)</f>
        <v/>
      </c>
      <c r="W1976">
        <f>IF([2]Entry!$M$1979="","",[2]Entry!$M$1979)</f>
        <v/>
      </c>
      <c r="X1976">
        <f>IF([2]Entry!$N$1979="","",[2]Entry!$N$1979)</f>
        <v/>
      </c>
      <c r="Y1976">
        <f>IF([2]Entry!$R$1979="","",[2]Entry!$R$1979)</f>
        <v/>
      </c>
    </row>
    <row r="1977">
      <c r="P1977">
        <f>IF([2]Entry!$C$1980="","",[2]Entry!$C$1980)</f>
        <v/>
      </c>
      <c r="Q1977">
        <f>IF([2]Entry!$D$1980="","",[2]Entry!$D$1980)</f>
        <v/>
      </c>
      <c r="R1977">
        <f>IF([2]Entry!$E$1980="","",[2]Entry!$E$1980)</f>
        <v/>
      </c>
      <c r="S1977">
        <f>IF([2]Entry!$G$1980="","",[2]Entry!$G$1980)</f>
        <v/>
      </c>
      <c r="T1977">
        <f>IF([2]Entry!$J$1980="","",[2]Entry!$J$1980)</f>
        <v/>
      </c>
      <c r="U1977">
        <f>IF([2]Entry!$K$1980="","",[2]Entry!$K$1980)</f>
        <v/>
      </c>
      <c r="V1977">
        <f>IF([2]Entry!$L$1980="","",[2]Entry!$L$1980)</f>
        <v/>
      </c>
      <c r="W1977">
        <f>IF([2]Entry!$M$1980="","",[2]Entry!$M$1980)</f>
        <v/>
      </c>
      <c r="X1977">
        <f>IF([2]Entry!$N$1980="","",[2]Entry!$N$1980)</f>
        <v/>
      </c>
      <c r="Y1977">
        <f>IF([2]Entry!$R$1980="","",[2]Entry!$R$1980)</f>
        <v/>
      </c>
    </row>
    <row r="1978">
      <c r="P1978">
        <f>IF([2]Entry!$C$1981="","",[2]Entry!$C$1981)</f>
        <v/>
      </c>
      <c r="Q1978">
        <f>IF([2]Entry!$D$1981="","",[2]Entry!$D$1981)</f>
        <v/>
      </c>
      <c r="R1978">
        <f>IF([2]Entry!$E$1981="","",[2]Entry!$E$1981)</f>
        <v/>
      </c>
      <c r="S1978">
        <f>IF([2]Entry!$G$1981="","",[2]Entry!$G$1981)</f>
        <v/>
      </c>
      <c r="T1978">
        <f>IF([2]Entry!$J$1981="","",[2]Entry!$J$1981)</f>
        <v/>
      </c>
      <c r="U1978">
        <f>IF([2]Entry!$K$1981="","",[2]Entry!$K$1981)</f>
        <v/>
      </c>
      <c r="V1978">
        <f>IF([2]Entry!$L$1981="","",[2]Entry!$L$1981)</f>
        <v/>
      </c>
      <c r="W1978">
        <f>IF([2]Entry!$M$1981="","",[2]Entry!$M$1981)</f>
        <v/>
      </c>
      <c r="X1978">
        <f>IF([2]Entry!$N$1981="","",[2]Entry!$N$1981)</f>
        <v/>
      </c>
      <c r="Y1978">
        <f>IF([2]Entry!$R$1981="","",[2]Entry!$R$1981)</f>
        <v/>
      </c>
    </row>
    <row r="1979">
      <c r="P1979">
        <f>IF([2]Entry!$C$1982="","",[2]Entry!$C$1982)</f>
        <v/>
      </c>
      <c r="Q1979">
        <f>IF([2]Entry!$D$1982="","",[2]Entry!$D$1982)</f>
        <v/>
      </c>
      <c r="R1979">
        <f>IF([2]Entry!$E$1982="","",[2]Entry!$E$1982)</f>
        <v/>
      </c>
      <c r="S1979">
        <f>IF([2]Entry!$G$1982="","",[2]Entry!$G$1982)</f>
        <v/>
      </c>
      <c r="T1979">
        <f>IF([2]Entry!$J$1982="","",[2]Entry!$J$1982)</f>
        <v/>
      </c>
      <c r="U1979">
        <f>IF([2]Entry!$K$1982="","",[2]Entry!$K$1982)</f>
        <v/>
      </c>
      <c r="V1979">
        <f>IF([2]Entry!$L$1982="","",[2]Entry!$L$1982)</f>
        <v/>
      </c>
      <c r="W1979">
        <f>IF([2]Entry!$M$1982="","",[2]Entry!$M$1982)</f>
        <v/>
      </c>
      <c r="X1979">
        <f>IF([2]Entry!$N$1982="","",[2]Entry!$N$1982)</f>
        <v/>
      </c>
      <c r="Y1979">
        <f>IF([2]Entry!$R$1982="","",[2]Entry!$R$1982)</f>
        <v/>
      </c>
    </row>
    <row r="1980">
      <c r="P1980">
        <f>IF([2]Entry!$C$1983="","",[2]Entry!$C$1983)</f>
        <v/>
      </c>
      <c r="Q1980">
        <f>IF([2]Entry!$D$1983="","",[2]Entry!$D$1983)</f>
        <v/>
      </c>
      <c r="R1980">
        <f>IF([2]Entry!$E$1983="","",[2]Entry!$E$1983)</f>
        <v/>
      </c>
      <c r="S1980">
        <f>IF([2]Entry!$G$1983="","",[2]Entry!$G$1983)</f>
        <v/>
      </c>
      <c r="T1980">
        <f>IF([2]Entry!$J$1983="","",[2]Entry!$J$1983)</f>
        <v/>
      </c>
      <c r="U1980">
        <f>IF([2]Entry!$K$1983="","",[2]Entry!$K$1983)</f>
        <v/>
      </c>
      <c r="V1980">
        <f>IF([2]Entry!$L$1983="","",[2]Entry!$L$1983)</f>
        <v/>
      </c>
      <c r="W1980">
        <f>IF([2]Entry!$M$1983="","",[2]Entry!$M$1983)</f>
        <v/>
      </c>
      <c r="X1980">
        <f>IF([2]Entry!$N$1983="","",[2]Entry!$N$1983)</f>
        <v/>
      </c>
      <c r="Y1980">
        <f>IF([2]Entry!$R$1983="","",[2]Entry!$R$1983)</f>
        <v/>
      </c>
    </row>
    <row r="1981">
      <c r="P1981">
        <f>IF([2]Entry!$C$1984="","",[2]Entry!$C$1984)</f>
        <v/>
      </c>
      <c r="Q1981">
        <f>IF([2]Entry!$D$1984="","",[2]Entry!$D$1984)</f>
        <v/>
      </c>
      <c r="R1981">
        <f>IF([2]Entry!$E$1984="","",[2]Entry!$E$1984)</f>
        <v/>
      </c>
      <c r="S1981">
        <f>IF([2]Entry!$G$1984="","",[2]Entry!$G$1984)</f>
        <v/>
      </c>
      <c r="T1981">
        <f>IF([2]Entry!$J$1984="","",[2]Entry!$J$1984)</f>
        <v/>
      </c>
      <c r="U1981">
        <f>IF([2]Entry!$K$1984="","",[2]Entry!$K$1984)</f>
        <v/>
      </c>
      <c r="V1981">
        <f>IF([2]Entry!$L$1984="","",[2]Entry!$L$1984)</f>
        <v/>
      </c>
      <c r="W1981">
        <f>IF([2]Entry!$M$1984="","",[2]Entry!$M$1984)</f>
        <v/>
      </c>
      <c r="X1981">
        <f>IF([2]Entry!$N$1984="","",[2]Entry!$N$1984)</f>
        <v/>
      </c>
      <c r="Y1981">
        <f>IF([2]Entry!$R$1984="","",[2]Entry!$R$1984)</f>
        <v/>
      </c>
    </row>
    <row r="1982">
      <c r="P1982">
        <f>IF([2]Entry!$C$1985="","",[2]Entry!$C$1985)</f>
        <v/>
      </c>
      <c r="Q1982">
        <f>IF([2]Entry!$D$1985="","",[2]Entry!$D$1985)</f>
        <v/>
      </c>
      <c r="R1982">
        <f>IF([2]Entry!$E$1985="","",[2]Entry!$E$1985)</f>
        <v/>
      </c>
      <c r="S1982">
        <f>IF([2]Entry!$G$1985="","",[2]Entry!$G$1985)</f>
        <v/>
      </c>
      <c r="T1982">
        <f>IF([2]Entry!$J$1985="","",[2]Entry!$J$1985)</f>
        <v/>
      </c>
      <c r="U1982">
        <f>IF([2]Entry!$K$1985="","",[2]Entry!$K$1985)</f>
        <v/>
      </c>
      <c r="V1982">
        <f>IF([2]Entry!$L$1985="","",[2]Entry!$L$1985)</f>
        <v/>
      </c>
      <c r="W1982">
        <f>IF([2]Entry!$M$1985="","",[2]Entry!$M$1985)</f>
        <v/>
      </c>
      <c r="X1982">
        <f>IF([2]Entry!$N$1985="","",[2]Entry!$N$1985)</f>
        <v/>
      </c>
      <c r="Y1982">
        <f>IF([2]Entry!$R$1985="","",[2]Entry!$R$1985)</f>
        <v/>
      </c>
    </row>
    <row r="1983">
      <c r="P1983">
        <f>IF([2]Entry!$C$1986="","",[2]Entry!$C$1986)</f>
        <v/>
      </c>
      <c r="Q1983">
        <f>IF([2]Entry!$D$1986="","",[2]Entry!$D$1986)</f>
        <v/>
      </c>
      <c r="R1983">
        <f>IF([2]Entry!$E$1986="","",[2]Entry!$E$1986)</f>
        <v/>
      </c>
      <c r="S1983">
        <f>IF([2]Entry!$G$1986="","",[2]Entry!$G$1986)</f>
        <v/>
      </c>
      <c r="T1983">
        <f>IF([2]Entry!$J$1986="","",[2]Entry!$J$1986)</f>
        <v/>
      </c>
      <c r="U1983">
        <f>IF([2]Entry!$K$1986="","",[2]Entry!$K$1986)</f>
        <v/>
      </c>
      <c r="V1983">
        <f>IF([2]Entry!$L$1986="","",[2]Entry!$L$1986)</f>
        <v/>
      </c>
      <c r="W1983">
        <f>IF([2]Entry!$M$1986="","",[2]Entry!$M$1986)</f>
        <v/>
      </c>
      <c r="X1983">
        <f>IF([2]Entry!$N$1986="","",[2]Entry!$N$1986)</f>
        <v/>
      </c>
      <c r="Y1983">
        <f>IF([2]Entry!$R$1986="","",[2]Entry!$R$1986)</f>
        <v/>
      </c>
    </row>
    <row r="1984">
      <c r="P1984">
        <f>IF([2]Entry!$C$1987="","",[2]Entry!$C$1987)</f>
        <v/>
      </c>
      <c r="Q1984">
        <f>IF([2]Entry!$D$1987="","",[2]Entry!$D$1987)</f>
        <v/>
      </c>
      <c r="R1984">
        <f>IF([2]Entry!$E$1987="","",[2]Entry!$E$1987)</f>
        <v/>
      </c>
      <c r="S1984">
        <f>IF([2]Entry!$G$1987="","",[2]Entry!$G$1987)</f>
        <v/>
      </c>
      <c r="T1984">
        <f>IF([2]Entry!$J$1987="","",[2]Entry!$J$1987)</f>
        <v/>
      </c>
      <c r="U1984">
        <f>IF([2]Entry!$K$1987="","",[2]Entry!$K$1987)</f>
        <v/>
      </c>
      <c r="V1984">
        <f>IF([2]Entry!$L$1987="","",[2]Entry!$L$1987)</f>
        <v/>
      </c>
      <c r="W1984">
        <f>IF([2]Entry!$M$1987="","",[2]Entry!$M$1987)</f>
        <v/>
      </c>
      <c r="X1984">
        <f>IF([2]Entry!$N$1987="","",[2]Entry!$N$1987)</f>
        <v/>
      </c>
      <c r="Y1984">
        <f>IF([2]Entry!$R$1987="","",[2]Entry!$R$1987)</f>
        <v/>
      </c>
    </row>
    <row r="1985">
      <c r="P1985">
        <f>IF([2]Entry!$C$1988="","",[2]Entry!$C$1988)</f>
        <v/>
      </c>
      <c r="Q1985">
        <f>IF([2]Entry!$D$1988="","",[2]Entry!$D$1988)</f>
        <v/>
      </c>
      <c r="R1985">
        <f>IF([2]Entry!$E$1988="","",[2]Entry!$E$1988)</f>
        <v/>
      </c>
      <c r="S1985">
        <f>IF([2]Entry!$G$1988="","",[2]Entry!$G$1988)</f>
        <v/>
      </c>
      <c r="T1985">
        <f>IF([2]Entry!$J$1988="","",[2]Entry!$J$1988)</f>
        <v/>
      </c>
      <c r="U1985">
        <f>IF([2]Entry!$K$1988="","",[2]Entry!$K$1988)</f>
        <v/>
      </c>
      <c r="V1985">
        <f>IF([2]Entry!$L$1988="","",[2]Entry!$L$1988)</f>
        <v/>
      </c>
      <c r="W1985">
        <f>IF([2]Entry!$M$1988="","",[2]Entry!$M$1988)</f>
        <v/>
      </c>
      <c r="X1985">
        <f>IF([2]Entry!$N$1988="","",[2]Entry!$N$1988)</f>
        <v/>
      </c>
      <c r="Y1985">
        <f>IF([2]Entry!$R$1988="","",[2]Entry!$R$1988)</f>
        <v/>
      </c>
    </row>
    <row r="1986">
      <c r="P1986">
        <f>IF([2]Entry!$C$1989="","",[2]Entry!$C$1989)</f>
        <v/>
      </c>
      <c r="Q1986">
        <f>IF([2]Entry!$D$1989="","",[2]Entry!$D$1989)</f>
        <v/>
      </c>
      <c r="R1986">
        <f>IF([2]Entry!$E$1989="","",[2]Entry!$E$1989)</f>
        <v/>
      </c>
      <c r="S1986">
        <f>IF([2]Entry!$G$1989="","",[2]Entry!$G$1989)</f>
        <v/>
      </c>
      <c r="T1986">
        <f>IF([2]Entry!$J$1989="","",[2]Entry!$J$1989)</f>
        <v/>
      </c>
      <c r="U1986">
        <f>IF([2]Entry!$K$1989="","",[2]Entry!$K$1989)</f>
        <v/>
      </c>
      <c r="V1986">
        <f>IF([2]Entry!$L$1989="","",[2]Entry!$L$1989)</f>
        <v/>
      </c>
      <c r="W1986">
        <f>IF([2]Entry!$M$1989="","",[2]Entry!$M$1989)</f>
        <v/>
      </c>
      <c r="X1986">
        <f>IF([2]Entry!$N$1989="","",[2]Entry!$N$1989)</f>
        <v/>
      </c>
      <c r="Y1986">
        <f>IF([2]Entry!$R$1989="","",[2]Entry!$R$1989)</f>
        <v/>
      </c>
    </row>
    <row r="1987">
      <c r="P1987">
        <f>IF([2]Entry!$C$1990="","",[2]Entry!$C$1990)</f>
        <v/>
      </c>
      <c r="Q1987">
        <f>IF([2]Entry!$D$1990="","",[2]Entry!$D$1990)</f>
        <v/>
      </c>
      <c r="R1987">
        <f>IF([2]Entry!$E$1990="","",[2]Entry!$E$1990)</f>
        <v/>
      </c>
      <c r="S1987">
        <f>IF([2]Entry!$G$1990="","",[2]Entry!$G$1990)</f>
        <v/>
      </c>
      <c r="T1987">
        <f>IF([2]Entry!$J$1990="","",[2]Entry!$J$1990)</f>
        <v/>
      </c>
      <c r="U1987">
        <f>IF([2]Entry!$K$1990="","",[2]Entry!$K$1990)</f>
        <v/>
      </c>
      <c r="V1987">
        <f>IF([2]Entry!$L$1990="","",[2]Entry!$L$1990)</f>
        <v/>
      </c>
      <c r="W1987">
        <f>IF([2]Entry!$M$1990="","",[2]Entry!$M$1990)</f>
        <v/>
      </c>
      <c r="X1987">
        <f>IF([2]Entry!$N$1990="","",[2]Entry!$N$1990)</f>
        <v/>
      </c>
      <c r="Y1987">
        <f>IF([2]Entry!$R$1990="","",[2]Entry!$R$1990)</f>
        <v/>
      </c>
    </row>
    <row r="1988">
      <c r="P1988">
        <f>IF([2]Entry!$C$1991="","",[2]Entry!$C$1991)</f>
        <v/>
      </c>
      <c r="Q1988">
        <f>IF([2]Entry!$D$1991="","",[2]Entry!$D$1991)</f>
        <v/>
      </c>
      <c r="R1988">
        <f>IF([2]Entry!$E$1991="","",[2]Entry!$E$1991)</f>
        <v/>
      </c>
      <c r="S1988">
        <f>IF([2]Entry!$G$1991="","",[2]Entry!$G$1991)</f>
        <v/>
      </c>
      <c r="T1988">
        <f>IF([2]Entry!$J$1991="","",[2]Entry!$J$1991)</f>
        <v/>
      </c>
      <c r="U1988">
        <f>IF([2]Entry!$K$1991="","",[2]Entry!$K$1991)</f>
        <v/>
      </c>
      <c r="V1988">
        <f>IF([2]Entry!$L$1991="","",[2]Entry!$L$1991)</f>
        <v/>
      </c>
      <c r="W1988">
        <f>IF([2]Entry!$M$1991="","",[2]Entry!$M$1991)</f>
        <v/>
      </c>
      <c r="X1988">
        <f>IF([2]Entry!$N$1991="","",[2]Entry!$N$1991)</f>
        <v/>
      </c>
      <c r="Y1988">
        <f>IF([2]Entry!$R$1991="","",[2]Entry!$R$1991)</f>
        <v/>
      </c>
    </row>
    <row r="1989">
      <c r="P1989">
        <f>IF([2]Entry!$C$1992="","",[2]Entry!$C$1992)</f>
        <v/>
      </c>
      <c r="Q1989">
        <f>IF([2]Entry!$D$1992="","",[2]Entry!$D$1992)</f>
        <v/>
      </c>
      <c r="R1989">
        <f>IF([2]Entry!$E$1992="","",[2]Entry!$E$1992)</f>
        <v/>
      </c>
      <c r="S1989">
        <f>IF([2]Entry!$G$1992="","",[2]Entry!$G$1992)</f>
        <v/>
      </c>
      <c r="T1989">
        <f>IF([2]Entry!$J$1992="","",[2]Entry!$J$1992)</f>
        <v/>
      </c>
      <c r="U1989">
        <f>IF([2]Entry!$K$1992="","",[2]Entry!$K$1992)</f>
        <v/>
      </c>
      <c r="V1989">
        <f>IF([2]Entry!$L$1992="","",[2]Entry!$L$1992)</f>
        <v/>
      </c>
      <c r="W1989">
        <f>IF([2]Entry!$M$1992="","",[2]Entry!$M$1992)</f>
        <v/>
      </c>
      <c r="X1989">
        <f>IF([2]Entry!$N$1992="","",[2]Entry!$N$1992)</f>
        <v/>
      </c>
      <c r="Y1989">
        <f>IF([2]Entry!$R$1992="","",[2]Entry!$R$1992)</f>
        <v/>
      </c>
    </row>
    <row r="1990">
      <c r="P1990">
        <f>IF([2]Entry!$C$1993="","",[2]Entry!$C$1993)</f>
        <v/>
      </c>
      <c r="Q1990">
        <f>IF([2]Entry!$D$1993="","",[2]Entry!$D$1993)</f>
        <v/>
      </c>
      <c r="R1990">
        <f>IF([2]Entry!$E$1993="","",[2]Entry!$E$1993)</f>
        <v/>
      </c>
      <c r="S1990">
        <f>IF([2]Entry!$G$1993="","",[2]Entry!$G$1993)</f>
        <v/>
      </c>
      <c r="T1990">
        <f>IF([2]Entry!$J$1993="","",[2]Entry!$J$1993)</f>
        <v/>
      </c>
      <c r="U1990">
        <f>IF([2]Entry!$K$1993="","",[2]Entry!$K$1993)</f>
        <v/>
      </c>
      <c r="V1990">
        <f>IF([2]Entry!$L$1993="","",[2]Entry!$L$1993)</f>
        <v/>
      </c>
      <c r="W1990">
        <f>IF([2]Entry!$M$1993="","",[2]Entry!$M$1993)</f>
        <v/>
      </c>
      <c r="X1990">
        <f>IF([2]Entry!$N$1993="","",[2]Entry!$N$1993)</f>
        <v/>
      </c>
      <c r="Y1990">
        <f>IF([2]Entry!$R$1993="","",[2]Entry!$R$1993)</f>
        <v/>
      </c>
    </row>
    <row r="1991">
      <c r="P1991">
        <f>IF([2]Entry!$C$1994="","",[2]Entry!$C$1994)</f>
        <v/>
      </c>
      <c r="Q1991">
        <f>IF([2]Entry!$D$1994="","",[2]Entry!$D$1994)</f>
        <v/>
      </c>
      <c r="R1991">
        <f>IF([2]Entry!$E$1994="","",[2]Entry!$E$1994)</f>
        <v/>
      </c>
      <c r="S1991">
        <f>IF([2]Entry!$G$1994="","",[2]Entry!$G$1994)</f>
        <v/>
      </c>
      <c r="T1991">
        <f>IF([2]Entry!$J$1994="","",[2]Entry!$J$1994)</f>
        <v/>
      </c>
      <c r="U1991">
        <f>IF([2]Entry!$K$1994="","",[2]Entry!$K$1994)</f>
        <v/>
      </c>
      <c r="V1991">
        <f>IF([2]Entry!$L$1994="","",[2]Entry!$L$1994)</f>
        <v/>
      </c>
      <c r="W1991">
        <f>IF([2]Entry!$M$1994="","",[2]Entry!$M$1994)</f>
        <v/>
      </c>
      <c r="X1991">
        <f>IF([2]Entry!$N$1994="","",[2]Entry!$N$1994)</f>
        <v/>
      </c>
      <c r="Y1991">
        <f>IF([2]Entry!$R$1994="","",[2]Entry!$R$1994)</f>
        <v/>
      </c>
    </row>
    <row r="1992">
      <c r="P1992">
        <f>IF([2]Entry!$C$1995="","",[2]Entry!$C$1995)</f>
        <v/>
      </c>
      <c r="Q1992">
        <f>IF([2]Entry!$D$1995="","",[2]Entry!$D$1995)</f>
        <v/>
      </c>
      <c r="R1992">
        <f>IF([2]Entry!$E$1995="","",[2]Entry!$E$1995)</f>
        <v/>
      </c>
      <c r="S1992">
        <f>IF([2]Entry!$G$1995="","",[2]Entry!$G$1995)</f>
        <v/>
      </c>
      <c r="T1992">
        <f>IF([2]Entry!$J$1995="","",[2]Entry!$J$1995)</f>
        <v/>
      </c>
      <c r="U1992">
        <f>IF([2]Entry!$K$1995="","",[2]Entry!$K$1995)</f>
        <v/>
      </c>
      <c r="V1992">
        <f>IF([2]Entry!$L$1995="","",[2]Entry!$L$1995)</f>
        <v/>
      </c>
      <c r="W1992">
        <f>IF([2]Entry!$M$1995="","",[2]Entry!$M$1995)</f>
        <v/>
      </c>
      <c r="X1992">
        <f>IF([2]Entry!$N$1995="","",[2]Entry!$N$1995)</f>
        <v/>
      </c>
      <c r="Y1992">
        <f>IF([2]Entry!$R$1995="","",[2]Entry!$R$1995)</f>
        <v/>
      </c>
    </row>
    <row r="1993">
      <c r="P1993">
        <f>IF([2]Entry!$C$1996="","",[2]Entry!$C$1996)</f>
        <v/>
      </c>
      <c r="Q1993">
        <f>IF([2]Entry!$D$1996="","",[2]Entry!$D$1996)</f>
        <v/>
      </c>
      <c r="R1993">
        <f>IF([2]Entry!$E$1996="","",[2]Entry!$E$1996)</f>
        <v/>
      </c>
      <c r="S1993">
        <f>IF([2]Entry!$G$1996="","",[2]Entry!$G$1996)</f>
        <v/>
      </c>
      <c r="T1993">
        <f>IF([2]Entry!$J$1996="","",[2]Entry!$J$1996)</f>
        <v/>
      </c>
      <c r="U1993">
        <f>IF([2]Entry!$K$1996="","",[2]Entry!$K$1996)</f>
        <v/>
      </c>
      <c r="V1993">
        <f>IF([2]Entry!$L$1996="","",[2]Entry!$L$1996)</f>
        <v/>
      </c>
      <c r="W1993">
        <f>IF([2]Entry!$M$1996="","",[2]Entry!$M$1996)</f>
        <v/>
      </c>
      <c r="X1993">
        <f>IF([2]Entry!$N$1996="","",[2]Entry!$N$1996)</f>
        <v/>
      </c>
      <c r="Y1993">
        <f>IF([2]Entry!$R$1996="","",[2]Entry!$R$1996)</f>
        <v/>
      </c>
    </row>
    <row r="1994">
      <c r="P1994">
        <f>IF([2]Entry!$C$1997="","",[2]Entry!$C$1997)</f>
        <v/>
      </c>
      <c r="Q1994">
        <f>IF([2]Entry!$D$1997="","",[2]Entry!$D$1997)</f>
        <v/>
      </c>
      <c r="R1994">
        <f>IF([2]Entry!$E$1997="","",[2]Entry!$E$1997)</f>
        <v/>
      </c>
      <c r="S1994">
        <f>IF([2]Entry!$G$1997="","",[2]Entry!$G$1997)</f>
        <v/>
      </c>
      <c r="T1994">
        <f>IF([2]Entry!$J$1997="","",[2]Entry!$J$1997)</f>
        <v/>
      </c>
      <c r="U1994">
        <f>IF([2]Entry!$K$1997="","",[2]Entry!$K$1997)</f>
        <v/>
      </c>
      <c r="V1994">
        <f>IF([2]Entry!$L$1997="","",[2]Entry!$L$1997)</f>
        <v/>
      </c>
      <c r="W1994">
        <f>IF([2]Entry!$M$1997="","",[2]Entry!$M$1997)</f>
        <v/>
      </c>
      <c r="X1994">
        <f>IF([2]Entry!$N$1997="","",[2]Entry!$N$1997)</f>
        <v/>
      </c>
      <c r="Y1994">
        <f>IF([2]Entry!$R$1997="","",[2]Entry!$R$1997)</f>
        <v/>
      </c>
    </row>
    <row r="1995">
      <c r="P1995">
        <f>IF([2]Entry!$C$1998="","",[2]Entry!$C$1998)</f>
        <v/>
      </c>
      <c r="Q1995">
        <f>IF([2]Entry!$D$1998="","",[2]Entry!$D$1998)</f>
        <v/>
      </c>
      <c r="R1995">
        <f>IF([2]Entry!$E$1998="","",[2]Entry!$E$1998)</f>
        <v/>
      </c>
      <c r="S1995">
        <f>IF([2]Entry!$G$1998="","",[2]Entry!$G$1998)</f>
        <v/>
      </c>
      <c r="T1995">
        <f>IF([2]Entry!$J$1998="","",[2]Entry!$J$1998)</f>
        <v/>
      </c>
      <c r="U1995">
        <f>IF([2]Entry!$K$1998="","",[2]Entry!$K$1998)</f>
        <v/>
      </c>
      <c r="V1995">
        <f>IF([2]Entry!$L$1998="","",[2]Entry!$L$1998)</f>
        <v/>
      </c>
      <c r="W1995">
        <f>IF([2]Entry!$M$1998="","",[2]Entry!$M$1998)</f>
        <v/>
      </c>
      <c r="X1995">
        <f>IF([2]Entry!$N$1998="","",[2]Entry!$N$1998)</f>
        <v/>
      </c>
      <c r="Y1995">
        <f>IF([2]Entry!$R$1998="","",[2]Entry!$R$1998)</f>
        <v/>
      </c>
    </row>
    <row r="1996">
      <c r="P1996">
        <f>IF([2]Entry!$C$1999="","",[2]Entry!$C$1999)</f>
        <v/>
      </c>
      <c r="Q1996">
        <f>IF([2]Entry!$D$1999="","",[2]Entry!$D$1999)</f>
        <v/>
      </c>
      <c r="R1996">
        <f>IF([2]Entry!$E$1999="","",[2]Entry!$E$1999)</f>
        <v/>
      </c>
      <c r="S1996">
        <f>IF([2]Entry!$G$1999="","",[2]Entry!$G$1999)</f>
        <v/>
      </c>
      <c r="T1996">
        <f>IF([2]Entry!$J$1999="","",[2]Entry!$J$1999)</f>
        <v/>
      </c>
      <c r="U1996">
        <f>IF([2]Entry!$K$1999="","",[2]Entry!$K$1999)</f>
        <v/>
      </c>
      <c r="V1996">
        <f>IF([2]Entry!$L$1999="","",[2]Entry!$L$1999)</f>
        <v/>
      </c>
      <c r="W1996">
        <f>IF([2]Entry!$M$1999="","",[2]Entry!$M$1999)</f>
        <v/>
      </c>
      <c r="X1996">
        <f>IF([2]Entry!$N$1999="","",[2]Entry!$N$1999)</f>
        <v/>
      </c>
      <c r="Y1996">
        <f>IF([2]Entry!$R$1999="","",[2]Entry!$R$1999)</f>
        <v/>
      </c>
    </row>
    <row r="1997">
      <c r="P1997">
        <f>IF([2]Entry!$C$2000="","",[2]Entry!$C$2000)</f>
        <v/>
      </c>
      <c r="Q1997">
        <f>IF([2]Entry!$D$2000="","",[2]Entry!$D$2000)</f>
        <v/>
      </c>
      <c r="R1997">
        <f>IF([2]Entry!$E$2000="","",[2]Entry!$E$2000)</f>
        <v/>
      </c>
      <c r="S1997">
        <f>IF([2]Entry!$G$2000="","",[2]Entry!$G$2000)</f>
        <v/>
      </c>
      <c r="T1997">
        <f>IF([2]Entry!$J$2000="","",[2]Entry!$J$2000)</f>
        <v/>
      </c>
      <c r="U1997">
        <f>IF([2]Entry!$K$2000="","",[2]Entry!$K$2000)</f>
        <v/>
      </c>
      <c r="V1997">
        <f>IF([2]Entry!$L$2000="","",[2]Entry!$L$2000)</f>
        <v/>
      </c>
      <c r="W1997">
        <f>IF([2]Entry!$M$2000="","",[2]Entry!$M$2000)</f>
        <v/>
      </c>
      <c r="X1997">
        <f>IF([2]Entry!$N$2000="","",[2]Entry!$N$2000)</f>
        <v/>
      </c>
      <c r="Y1997">
        <f>IF([2]Entry!$R$2000="","",[2]Entry!$R$2000)</f>
        <v/>
      </c>
    </row>
    <row r="1998">
      <c r="P1998">
        <f>IF([2]Entry!$C$2001="","",[2]Entry!$C$2001)</f>
        <v/>
      </c>
      <c r="Q1998">
        <f>IF([2]Entry!$D$2001="","",[2]Entry!$D$2001)</f>
        <v/>
      </c>
      <c r="R1998">
        <f>IF([2]Entry!$E$2001="","",[2]Entry!$E$2001)</f>
        <v/>
      </c>
      <c r="S1998">
        <f>IF([2]Entry!$G$2001="","",[2]Entry!$G$2001)</f>
        <v/>
      </c>
      <c r="T1998">
        <f>IF([2]Entry!$J$2001="","",[2]Entry!$J$2001)</f>
        <v/>
      </c>
      <c r="U1998">
        <f>IF([2]Entry!$K$2001="","",[2]Entry!$K$2001)</f>
        <v/>
      </c>
      <c r="V1998">
        <f>IF([2]Entry!$L$2001="","",[2]Entry!$L$2001)</f>
        <v/>
      </c>
      <c r="W1998">
        <f>IF([2]Entry!$M$2001="","",[2]Entry!$M$2001)</f>
        <v/>
      </c>
      <c r="X1998">
        <f>IF([2]Entry!$N$2001="","",[2]Entry!$N$2001)</f>
        <v/>
      </c>
      <c r="Y1998">
        <f>IF([2]Entry!$R$2001="","",[2]Entry!$R$2001)</f>
        <v/>
      </c>
    </row>
    <row r="1999">
      <c r="P1999">
        <f>IF([2]Entry!$C$2002="","",[2]Entry!$C$2002)</f>
        <v/>
      </c>
      <c r="Q1999">
        <f>IF([2]Entry!$D$2002="","",[2]Entry!$D$2002)</f>
        <v/>
      </c>
      <c r="R1999">
        <f>IF([2]Entry!$E$2002="","",[2]Entry!$E$2002)</f>
        <v/>
      </c>
      <c r="S1999">
        <f>IF([2]Entry!$G$2002="","",[2]Entry!$G$2002)</f>
        <v/>
      </c>
      <c r="T1999">
        <f>IF([2]Entry!$J$2002="","",[2]Entry!$J$2002)</f>
        <v/>
      </c>
      <c r="U1999">
        <f>IF([2]Entry!$K$2002="","",[2]Entry!$K$2002)</f>
        <v/>
      </c>
      <c r="V1999">
        <f>IF([2]Entry!$L$2002="","",[2]Entry!$L$2002)</f>
        <v/>
      </c>
      <c r="W1999">
        <f>IF([2]Entry!$M$2002="","",[2]Entry!$M$2002)</f>
        <v/>
      </c>
      <c r="X1999">
        <f>IF([2]Entry!$N$2002="","",[2]Entry!$N$2002)</f>
        <v/>
      </c>
      <c r="Y1999">
        <f>IF([2]Entry!$R$2002="","",[2]Entry!$R$2002)</f>
        <v/>
      </c>
    </row>
    <row r="2000">
      <c r="P2000">
        <f>IF([2]Entry!$C$2003="","",[2]Entry!$C$2003)</f>
        <v/>
      </c>
      <c r="Q2000">
        <f>IF([2]Entry!$D$2003="","",[2]Entry!$D$2003)</f>
        <v/>
      </c>
      <c r="R2000">
        <f>IF([2]Entry!$E$2003="","",[2]Entry!$E$2003)</f>
        <v/>
      </c>
      <c r="S2000">
        <f>IF([2]Entry!$G$2003="","",[2]Entry!$G$2003)</f>
        <v/>
      </c>
      <c r="T2000">
        <f>IF([2]Entry!$J$2003="","",[2]Entry!$J$2003)</f>
        <v/>
      </c>
      <c r="U2000">
        <f>IF([2]Entry!$K$2003="","",[2]Entry!$K$2003)</f>
        <v/>
      </c>
      <c r="V2000">
        <f>IF([2]Entry!$L$2003="","",[2]Entry!$L$2003)</f>
        <v/>
      </c>
      <c r="W2000">
        <f>IF([2]Entry!$M$2003="","",[2]Entry!$M$2003)</f>
        <v/>
      </c>
      <c r="X2000">
        <f>IF([2]Entry!$N$2003="","",[2]Entry!$N$2003)</f>
        <v/>
      </c>
      <c r="Y2000">
        <f>IF([2]Entry!$R$2003="","",[2]Entry!$R$2003)</f>
        <v/>
      </c>
    </row>
    <row r="2001">
      <c r="P2001">
        <f>IF([2]Entry!$C$2004="","",[2]Entry!$C$2004)</f>
        <v/>
      </c>
      <c r="Q2001">
        <f>IF([2]Entry!$D$2004="","",[2]Entry!$D$2004)</f>
        <v/>
      </c>
      <c r="R2001">
        <f>IF([2]Entry!$E$2004="","",[2]Entry!$E$2004)</f>
        <v/>
      </c>
      <c r="S2001">
        <f>IF([2]Entry!$G$2004="","",[2]Entry!$G$2004)</f>
        <v/>
      </c>
      <c r="T2001">
        <f>IF([2]Entry!$J$2004="","",[2]Entry!$J$2004)</f>
        <v/>
      </c>
      <c r="U2001">
        <f>IF([2]Entry!$K$2004="","",[2]Entry!$K$2004)</f>
        <v/>
      </c>
      <c r="V2001">
        <f>IF([2]Entry!$L$2004="","",[2]Entry!$L$2004)</f>
        <v/>
      </c>
      <c r="W2001">
        <f>IF([2]Entry!$M$2004="","",[2]Entry!$M$2004)</f>
        <v/>
      </c>
      <c r="X2001">
        <f>IF([2]Entry!$N$2004="","",[2]Entry!$N$2004)</f>
        <v/>
      </c>
      <c r="Y2001">
        <f>IF([2]Entry!$R$2004="","",[2]Entry!$R$2004)</f>
        <v/>
      </c>
    </row>
    <row r="2002">
      <c r="P2002">
        <f>IF([2]Entry!$C$2005="","",[2]Entry!$C$2005)</f>
        <v/>
      </c>
      <c r="Q2002">
        <f>IF([2]Entry!$D$2005="","",[2]Entry!$D$2005)</f>
        <v/>
      </c>
      <c r="R2002">
        <f>IF([2]Entry!$E$2005="","",[2]Entry!$E$2005)</f>
        <v/>
      </c>
      <c r="S2002">
        <f>IF([2]Entry!$G$2005="","",[2]Entry!$G$2005)</f>
        <v/>
      </c>
      <c r="T2002">
        <f>IF([2]Entry!$J$2005="","",[2]Entry!$J$2005)</f>
        <v/>
      </c>
      <c r="U2002">
        <f>IF([2]Entry!$K$2005="","",[2]Entry!$K$2005)</f>
        <v/>
      </c>
      <c r="V2002">
        <f>IF([2]Entry!$L$2005="","",[2]Entry!$L$2005)</f>
        <v/>
      </c>
      <c r="W2002">
        <f>IF([2]Entry!$M$2005="","",[2]Entry!$M$2005)</f>
        <v/>
      </c>
      <c r="X2002">
        <f>IF([2]Entry!$N$2005="","",[2]Entry!$N$2005)</f>
        <v/>
      </c>
      <c r="Y2002">
        <f>IF([2]Entry!$R$2005="","",[2]Entry!$R$2005)</f>
        <v/>
      </c>
    </row>
    <row r="2003">
      <c r="P2003">
        <f>IF([2]Entry!$C$2006="","",[2]Entry!$C$2006)</f>
        <v/>
      </c>
      <c r="Q2003">
        <f>IF([2]Entry!$D$2006="","",[2]Entry!$D$2006)</f>
        <v/>
      </c>
      <c r="R2003">
        <f>IF([2]Entry!$E$2006="","",[2]Entry!$E$2006)</f>
        <v/>
      </c>
      <c r="S2003">
        <f>IF([2]Entry!$G$2006="","",[2]Entry!$G$2006)</f>
        <v/>
      </c>
      <c r="T2003">
        <f>IF([2]Entry!$J$2006="","",[2]Entry!$J$2006)</f>
        <v/>
      </c>
      <c r="U2003">
        <f>IF([2]Entry!$K$2006="","",[2]Entry!$K$2006)</f>
        <v/>
      </c>
      <c r="V2003">
        <f>IF([2]Entry!$L$2006="","",[2]Entry!$L$2006)</f>
        <v/>
      </c>
      <c r="W2003">
        <f>IF([2]Entry!$M$2006="","",[2]Entry!$M$2006)</f>
        <v/>
      </c>
      <c r="X2003">
        <f>IF([2]Entry!$N$2006="","",[2]Entry!$N$2006)</f>
        <v/>
      </c>
      <c r="Y2003">
        <f>IF([2]Entry!$R$2006="","",[2]Entry!$R$2006)</f>
        <v/>
      </c>
    </row>
    <row r="2004">
      <c r="P2004">
        <f>IF([2]Entry!$C$2007="","",[2]Entry!$C$2007)</f>
        <v/>
      </c>
      <c r="Q2004">
        <f>IF([2]Entry!$D$2007="","",[2]Entry!$D$2007)</f>
        <v/>
      </c>
      <c r="R2004">
        <f>IF([2]Entry!$E$2007="","",[2]Entry!$E$2007)</f>
        <v/>
      </c>
      <c r="S2004">
        <f>IF([2]Entry!$G$2007="","",[2]Entry!$G$2007)</f>
        <v/>
      </c>
      <c r="T2004">
        <f>IF([2]Entry!$J$2007="","",[2]Entry!$J$2007)</f>
        <v/>
      </c>
      <c r="U2004">
        <f>IF([2]Entry!$K$2007="","",[2]Entry!$K$2007)</f>
        <v/>
      </c>
      <c r="V2004">
        <f>IF([2]Entry!$L$2007="","",[2]Entry!$L$2007)</f>
        <v/>
      </c>
      <c r="W2004">
        <f>IF([2]Entry!$M$2007="","",[2]Entry!$M$2007)</f>
        <v/>
      </c>
      <c r="X2004">
        <f>IF([2]Entry!$N$2007="","",[2]Entry!$N$2007)</f>
        <v/>
      </c>
      <c r="Y2004">
        <f>IF([2]Entry!$R$2007="","",[2]Entry!$R$2007)</f>
        <v/>
      </c>
    </row>
    <row r="2005">
      <c r="P2005">
        <f>IF([2]Entry!$C$2008="","",[2]Entry!$C$2008)</f>
        <v/>
      </c>
      <c r="Q2005">
        <f>IF([2]Entry!$D$2008="","",[2]Entry!$D$2008)</f>
        <v/>
      </c>
      <c r="R2005">
        <f>IF([2]Entry!$E$2008="","",[2]Entry!$E$2008)</f>
        <v/>
      </c>
      <c r="S2005">
        <f>IF([2]Entry!$G$2008="","",[2]Entry!$G$2008)</f>
        <v/>
      </c>
      <c r="T2005">
        <f>IF([2]Entry!$J$2008="","",[2]Entry!$J$2008)</f>
        <v/>
      </c>
      <c r="U2005">
        <f>IF([2]Entry!$K$2008="","",[2]Entry!$K$2008)</f>
        <v/>
      </c>
      <c r="V2005">
        <f>IF([2]Entry!$L$2008="","",[2]Entry!$L$2008)</f>
        <v/>
      </c>
      <c r="W2005">
        <f>IF([2]Entry!$M$2008="","",[2]Entry!$M$2008)</f>
        <v/>
      </c>
      <c r="X2005">
        <f>IF([2]Entry!$N$2008="","",[2]Entry!$N$2008)</f>
        <v/>
      </c>
      <c r="Y2005">
        <f>IF([2]Entry!$R$2008="","",[2]Entry!$R$2008)</f>
        <v/>
      </c>
    </row>
  </sheetData>
  <mergeCells count="3">
    <mergeCell ref="A1:AE1"/>
    <mergeCell ref="A3:AE3"/>
    <mergeCell ref="A2:A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0A4AE"/>
    <outlinePr summaryBelow="1" summaryRight="1"/>
    <pageSetUpPr/>
  </sheetPr>
  <dimension ref="A1:Q2008"/>
  <sheetViews>
    <sheetView showGridLines="0" rightToLeft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2" customWidth="1" min="5" max="5"/>
    <col width="8" customWidth="1" min="6" max="6"/>
    <col width="10" customWidth="1" min="7" max="7"/>
    <col width="24" customWidth="1" min="8" max="8"/>
    <col width="15" customWidth="1" min="9" max="9"/>
    <col width="11" customWidth="1" min="10" max="10"/>
    <col width="12" customWidth="1" min="11" max="11"/>
    <col width="12" customWidth="1" min="12" max="12"/>
    <col width="12" customWidth="1" min="13" max="13"/>
    <col width="7" customWidth="1" min="14" max="14"/>
    <col width="16" customWidth="1" min="15" max="15"/>
    <col width="7" customWidth="1" min="16" max="16"/>
    <col width="15" customWidth="1" min="17" max="17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44" t="inlineStr">
        <is>
          <t>برگه فنی — موتور محاسبات فایل هزینه (نرمال‌سازی تاریخ و رتبه‌بندی تراکنش‌های هر زیرگروه). فرمول‌ها را تغییر ندهید.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</row>
    <row r="8" ht="24" customHeight="1">
      <c r="A8" s="45" t="inlineStr">
        <is>
          <t>تاریخ خام · Raw</t>
        </is>
      </c>
      <c r="B8" s="45" t="inlineStr">
        <is>
          <t>سال · Y</t>
        </is>
      </c>
      <c r="C8" s="45" t="inlineStr">
        <is>
          <t>ماه · M</t>
        </is>
      </c>
      <c r="D8" s="45" t="inlineStr">
        <is>
          <t>روز · D</t>
        </is>
      </c>
      <c r="E8" s="45" t="inlineStr">
        <is>
          <t>تاریخ استاندارد · Norm</t>
        </is>
      </c>
      <c r="F8" s="45" t="inlineStr">
        <is>
          <t>ساعت · hhmm</t>
        </is>
      </c>
      <c r="G8" s="45" t="inlineStr">
        <is>
          <t>کد طرف · Party</t>
        </is>
      </c>
      <c r="H8" s="45" t="inlineStr">
        <is>
          <t>بانک · Bank</t>
        </is>
      </c>
      <c r="I8" s="45" t="inlineStr">
        <is>
          <t>نوع تراکنش · Type</t>
        </is>
      </c>
      <c r="J8" s="45" t="inlineStr">
        <is>
          <t>گروه · Group</t>
        </is>
      </c>
      <c r="K8" s="45" t="inlineStr">
        <is>
          <t>زیرگروه · Sub</t>
        </is>
      </c>
      <c r="L8" s="45" t="inlineStr">
        <is>
          <t>واریز · Dep</t>
        </is>
      </c>
      <c r="M8" s="45" t="inlineStr">
        <is>
          <t>برداشت · Wit</t>
        </is>
      </c>
      <c r="N8" s="45" t="inlineStr">
        <is>
          <t>فلگ هزینه · Flag</t>
        </is>
      </c>
      <c r="O8" s="45" t="inlineStr">
        <is>
          <t>کلید · Key</t>
        </is>
      </c>
      <c r="P8" s="45" t="inlineStr">
        <is>
          <t>رتبه · Rank</t>
        </is>
      </c>
      <c r="Q8" s="45" t="inlineStr">
        <is>
          <t>کلید رتبه · RankKey</t>
        </is>
      </c>
    </row>
    <row r="9">
      <c r="A9">
        <f>IF(Sync!$P6="","",Sync!$P6)</f>
        <v/>
      </c>
      <c r="B9">
        <f>IF($A9="","",IF(ISNUMBER($A9),IF(AND($A9&gt;=10000101,$A9&lt;=99991231),INT($A9/10000),""),IFERROR(VALUE(TRIM(LEFT($A9,FIND("/",$A9)-1))),"")))</f>
        <v/>
      </c>
      <c r="C9">
        <f>IF(OR($A9="",$B9=""),"",IF(ISNUMBER($A9),INT(MOD($A9,10000)/100),IFERROR(VALUE(TRIM(LEFT(MID($A9,FIND("/",$A9)+1,20),FIND("/",MID($A9,FIND("/",$A9)+1,20))-1))),"")))</f>
        <v/>
      </c>
      <c r="D9">
        <f>IF(OR($A9="",$B9=""),"",IF(ISNUMBER($A9),MOD($A9,100),IFERROR(VALUE(TRIM(MID(MID($A9,FIND("/",$A9)+1,20),FIND("/",MID($A9,FIND("/",$A9)+1,20))+1,20))),"")))</f>
        <v/>
      </c>
      <c r="E9">
        <f>IF($A9="","",IF(OR($B9="",$C9="",$D9="",$B9&lt;1300,$B9&gt;1500,$C9&lt;1,$C9&gt;12,$D9&lt;1,$D9&gt;31),"نامعتبر",RIGHT("0000"&amp;$B9,4)&amp;"/"&amp;RIGHT("00"&amp;$C9,2)&amp;"/"&amp;RIGHT("00"&amp;$D9,2)))</f>
        <v/>
      </c>
      <c r="F9">
        <f>IF(OR($E9="",$E9="نامعتبر"),"",IF(Sync!$Q6="","0000",IF(AND(ISNUMBER(Sync!$Q6),Sync!$Q6&gt;=0,Sync!$Q6&lt;1),RIGHT("00"&amp;HOUR(Sync!$Q6),2)&amp;RIGHT("00"&amp;MINUTE(Sync!$Q6),2),IFERROR(RIGHT("00"&amp;VALUE(LEFT(Sync!$Q6,FIND(":",Sync!$Q6)-1)),2)&amp;RIGHT("00"&amp;VALUE(MID(Sync!$Q6,FIND(":",Sync!$Q6)+1,2)),2),"0000"))))</f>
        <v/>
      </c>
      <c r="G9">
        <f>IF(OR($E9="",$E9="نامعتبر"),"",IF(Sync!$S6="","",Sync!$S6))</f>
        <v/>
      </c>
      <c r="H9">
        <f>IF(OR($E9="",$E9="نامعتبر"),"",IF(Sync!$R6="","",Sync!$R6))</f>
        <v/>
      </c>
      <c r="I9">
        <f>IF(OR($E9="",$E9="نامعتبر"),"",IF(Sync!$T6="","",Sync!$T6))</f>
        <v/>
      </c>
      <c r="J9">
        <f>IF(OR($E9="",$E9="نامعتبر"),"",IF(Sync!$U6="","",Sync!$U6))</f>
        <v/>
      </c>
      <c r="K9">
        <f>IF(OR($E9="",$E9="نامعتبر"),"",IF(Sync!$V6="","",IFERROR(INDEX(SubCodes,MATCH(Sync!$V6,SubTitles,0)),Sync!$V6)))</f>
        <v/>
      </c>
      <c r="L9">
        <f>IF(OR($E9="",$E9="نامعتبر"),"",IF(Sync!$W6="",0,Sync!$W6))</f>
        <v/>
      </c>
      <c r="M9">
        <f>IF(OR($E9="",$E9="نامعتبر"),"",IF(Sync!$X6="",0,Sync!$X6))</f>
        <v/>
      </c>
      <c r="N9">
        <f>IF(OR($E9="",$E9="نامعتبر"),"",IF(AND($J9="هزینه",$K9&lt;&gt;""),1,0))</f>
        <v/>
      </c>
      <c r="O9">
        <f>IF($N9=0,"",LEFT($E9,4)&amp;MID($E9,6,2)&amp;RIGHT($E9,2)&amp;$F9&amp;"|"&amp;"1"&amp;RIGHT("00000"&amp;1,5))</f>
        <v/>
      </c>
      <c r="P9">
        <f>IF($O9="","",COUNTIFS(ExpSub,$K9,ExpKey,"&lt;"&amp;$O9)+1)</f>
        <v/>
      </c>
      <c r="Q9">
        <f>IF($P9="","",$K9&amp;"|"&amp;RIGHT("000000"&amp;$P9,6))</f>
        <v/>
      </c>
    </row>
    <row r="10">
      <c r="A10">
        <f>IF(Sync!$P7="","",Sync!$P7)</f>
        <v/>
      </c>
      <c r="B10">
        <f>IF($A10="","",IF(ISNUMBER($A10),IF(AND($A10&gt;=10000101,$A10&lt;=99991231),INT($A10/10000),""),IFERROR(VALUE(TRIM(LEFT($A10,FIND("/",$A10)-1))),"")))</f>
        <v/>
      </c>
      <c r="C10">
        <f>IF(OR($A10="",$B10=""),"",IF(ISNUMBER($A10),INT(MOD($A10,10000)/100),IFERROR(VALUE(TRIM(LEFT(MID($A10,FIND("/",$A10)+1,20),FIND("/",MID($A10,FIND("/",$A10)+1,20))-1))),"")))</f>
        <v/>
      </c>
      <c r="D10">
        <f>IF(OR($A10="",$B10=""),"",IF(ISNUMBER($A10),MOD($A10,100),IFERROR(VALUE(TRIM(MID(MID($A10,FIND("/",$A10)+1,20),FIND("/",MID($A10,FIND("/",$A10)+1,20))+1,20))),"")))</f>
        <v/>
      </c>
      <c r="E10">
        <f>IF($A10="","",IF(OR($B10="",$C10="",$D10="",$B10&lt;1300,$B10&gt;1500,$C10&lt;1,$C10&gt;12,$D10&lt;1,$D10&gt;31),"نامعتبر",RIGHT("0000"&amp;$B10,4)&amp;"/"&amp;RIGHT("00"&amp;$C10,2)&amp;"/"&amp;RIGHT("00"&amp;$D10,2)))</f>
        <v/>
      </c>
      <c r="F10">
        <f>IF(OR($E10="",$E10="نامعتبر"),"",IF(Sync!$Q7="","0000",IF(AND(ISNUMBER(Sync!$Q7),Sync!$Q7&gt;=0,Sync!$Q7&lt;1),RIGHT("00"&amp;HOUR(Sync!$Q7),2)&amp;RIGHT("00"&amp;MINUTE(Sync!$Q7),2),IFERROR(RIGHT("00"&amp;VALUE(LEFT(Sync!$Q7,FIND(":",Sync!$Q7)-1)),2)&amp;RIGHT("00"&amp;VALUE(MID(Sync!$Q7,FIND(":",Sync!$Q7)+1,2)),2),"0000"))))</f>
        <v/>
      </c>
      <c r="G10">
        <f>IF(OR($E10="",$E10="نامعتبر"),"",IF(Sync!$S7="","",Sync!$S7))</f>
        <v/>
      </c>
      <c r="H10">
        <f>IF(OR($E10="",$E10="نامعتبر"),"",IF(Sync!$R7="","",Sync!$R7))</f>
        <v/>
      </c>
      <c r="I10">
        <f>IF(OR($E10="",$E10="نامعتبر"),"",IF(Sync!$T7="","",Sync!$T7))</f>
        <v/>
      </c>
      <c r="J10">
        <f>IF(OR($E10="",$E10="نامعتبر"),"",IF(Sync!$U7="","",Sync!$U7))</f>
        <v/>
      </c>
      <c r="K10">
        <f>IF(OR($E10="",$E10="نامعتبر"),"",IF(Sync!$V7="","",IFERROR(INDEX(SubCodes,MATCH(Sync!$V7,SubTitles,0)),Sync!$V7)))</f>
        <v/>
      </c>
      <c r="L10">
        <f>IF(OR($E10="",$E10="نامعتبر"),"",IF(Sync!$W7="",0,Sync!$W7))</f>
        <v/>
      </c>
      <c r="M10">
        <f>IF(OR($E10="",$E10="نامعتبر"),"",IF(Sync!$X7="",0,Sync!$X7))</f>
        <v/>
      </c>
      <c r="N10">
        <f>IF(OR($E10="",$E10="نامعتبر"),"",IF(AND($J10="هزینه",$K10&lt;&gt;""),1,0))</f>
        <v/>
      </c>
      <c r="O10">
        <f>IF($N10=0,"",LEFT($E10,4)&amp;MID($E10,6,2)&amp;RIGHT($E10,2)&amp;$F10&amp;"|"&amp;"1"&amp;RIGHT("00000"&amp;2,5))</f>
        <v/>
      </c>
      <c r="P10">
        <f>IF($O10="","",COUNTIFS(ExpSub,$K10,ExpKey,"&lt;"&amp;$O10)+1)</f>
        <v/>
      </c>
      <c r="Q10">
        <f>IF($P10="","",$K10&amp;"|"&amp;RIGHT("000000"&amp;$P10,6))</f>
        <v/>
      </c>
    </row>
    <row r="11">
      <c r="A11">
        <f>IF(Sync!$P8="","",Sync!$P8)</f>
        <v/>
      </c>
      <c r="B11">
        <f>IF($A11="","",IF(ISNUMBER($A11),IF(AND($A11&gt;=10000101,$A11&lt;=99991231),INT($A11/10000),""),IFERROR(VALUE(TRIM(LEFT($A11,FIND("/",$A11)-1))),"")))</f>
        <v/>
      </c>
      <c r="C11">
        <f>IF(OR($A11="",$B11=""),"",IF(ISNUMBER($A11),INT(MOD($A11,10000)/100),IFERROR(VALUE(TRIM(LEFT(MID($A11,FIND("/",$A11)+1,20),FIND("/",MID($A11,FIND("/",$A11)+1,20))-1))),"")))</f>
        <v/>
      </c>
      <c r="D11">
        <f>IF(OR($A11="",$B11=""),"",IF(ISNUMBER($A11),MOD($A11,100),IFERROR(VALUE(TRIM(MID(MID($A11,FIND("/",$A11)+1,20),FIND("/",MID($A11,FIND("/",$A11)+1,20))+1,20))),"")))</f>
        <v/>
      </c>
      <c r="E11">
        <f>IF($A11="","",IF(OR($B11="",$C11="",$D11="",$B11&lt;1300,$B11&gt;1500,$C11&lt;1,$C11&gt;12,$D11&lt;1,$D11&gt;31),"نامعتبر",RIGHT("0000"&amp;$B11,4)&amp;"/"&amp;RIGHT("00"&amp;$C11,2)&amp;"/"&amp;RIGHT("00"&amp;$D11,2)))</f>
        <v/>
      </c>
      <c r="F11">
        <f>IF(OR($E11="",$E11="نامعتبر"),"",IF(Sync!$Q8="","0000",IF(AND(ISNUMBER(Sync!$Q8),Sync!$Q8&gt;=0,Sync!$Q8&lt;1),RIGHT("00"&amp;HOUR(Sync!$Q8),2)&amp;RIGHT("00"&amp;MINUTE(Sync!$Q8),2),IFERROR(RIGHT("00"&amp;VALUE(LEFT(Sync!$Q8,FIND(":",Sync!$Q8)-1)),2)&amp;RIGHT("00"&amp;VALUE(MID(Sync!$Q8,FIND(":",Sync!$Q8)+1,2)),2),"0000"))))</f>
        <v/>
      </c>
      <c r="G11">
        <f>IF(OR($E11="",$E11="نامعتبر"),"",IF(Sync!$S8="","",Sync!$S8))</f>
        <v/>
      </c>
      <c r="H11">
        <f>IF(OR($E11="",$E11="نامعتبر"),"",IF(Sync!$R8="","",Sync!$R8))</f>
        <v/>
      </c>
      <c r="I11">
        <f>IF(OR($E11="",$E11="نامعتبر"),"",IF(Sync!$T8="","",Sync!$T8))</f>
        <v/>
      </c>
      <c r="J11">
        <f>IF(OR($E11="",$E11="نامعتبر"),"",IF(Sync!$U8="","",Sync!$U8))</f>
        <v/>
      </c>
      <c r="K11">
        <f>IF(OR($E11="",$E11="نامعتبر"),"",IF(Sync!$V8="","",IFERROR(INDEX(SubCodes,MATCH(Sync!$V8,SubTitles,0)),Sync!$V8)))</f>
        <v/>
      </c>
      <c r="L11">
        <f>IF(OR($E11="",$E11="نامعتبر"),"",IF(Sync!$W8="",0,Sync!$W8))</f>
        <v/>
      </c>
      <c r="M11">
        <f>IF(OR($E11="",$E11="نامعتبر"),"",IF(Sync!$X8="",0,Sync!$X8))</f>
        <v/>
      </c>
      <c r="N11">
        <f>IF(OR($E11="",$E11="نامعتبر"),"",IF(AND($J11="هزینه",$K11&lt;&gt;""),1,0))</f>
        <v/>
      </c>
      <c r="O11">
        <f>IF($N11=0,"",LEFT($E11,4)&amp;MID($E11,6,2)&amp;RIGHT($E11,2)&amp;$F11&amp;"|"&amp;"1"&amp;RIGHT("00000"&amp;3,5))</f>
        <v/>
      </c>
      <c r="P11">
        <f>IF($O11="","",COUNTIFS(ExpSub,$K11,ExpKey,"&lt;"&amp;$O11)+1)</f>
        <v/>
      </c>
      <c r="Q11">
        <f>IF($P11="","",$K11&amp;"|"&amp;RIGHT("000000"&amp;$P11,6))</f>
        <v/>
      </c>
    </row>
    <row r="12">
      <c r="A12">
        <f>IF(Sync!$P9="","",Sync!$P9)</f>
        <v/>
      </c>
      <c r="B12">
        <f>IF($A12="","",IF(ISNUMBER($A12),IF(AND($A12&gt;=10000101,$A12&lt;=99991231),INT($A12/10000),""),IFERROR(VALUE(TRIM(LEFT($A12,FIND("/",$A12)-1))),"")))</f>
        <v/>
      </c>
      <c r="C12">
        <f>IF(OR($A12="",$B12=""),"",IF(ISNUMBER($A12),INT(MOD($A12,10000)/100),IFERROR(VALUE(TRIM(LEFT(MID($A12,FIND("/",$A12)+1,20),FIND("/",MID($A12,FIND("/",$A12)+1,20))-1))),"")))</f>
        <v/>
      </c>
      <c r="D12">
        <f>IF(OR($A12="",$B12=""),"",IF(ISNUMBER($A12),MOD($A12,100),IFERROR(VALUE(TRIM(MID(MID($A12,FIND("/",$A12)+1,20),FIND("/",MID($A12,FIND("/",$A12)+1,20))+1,20))),"")))</f>
        <v/>
      </c>
      <c r="E12">
        <f>IF($A12="","",IF(OR($B12="",$C12="",$D12="",$B12&lt;1300,$B12&gt;1500,$C12&lt;1,$C12&gt;12,$D12&lt;1,$D12&gt;31),"نامعتبر",RIGHT("0000"&amp;$B12,4)&amp;"/"&amp;RIGHT("00"&amp;$C12,2)&amp;"/"&amp;RIGHT("00"&amp;$D12,2)))</f>
        <v/>
      </c>
      <c r="F12">
        <f>IF(OR($E12="",$E12="نامعتبر"),"",IF(Sync!$Q9="","0000",IF(AND(ISNUMBER(Sync!$Q9),Sync!$Q9&gt;=0,Sync!$Q9&lt;1),RIGHT("00"&amp;HOUR(Sync!$Q9),2)&amp;RIGHT("00"&amp;MINUTE(Sync!$Q9),2),IFERROR(RIGHT("00"&amp;VALUE(LEFT(Sync!$Q9,FIND(":",Sync!$Q9)-1)),2)&amp;RIGHT("00"&amp;VALUE(MID(Sync!$Q9,FIND(":",Sync!$Q9)+1,2)),2),"0000"))))</f>
        <v/>
      </c>
      <c r="G12">
        <f>IF(OR($E12="",$E12="نامعتبر"),"",IF(Sync!$S9="","",Sync!$S9))</f>
        <v/>
      </c>
      <c r="H12">
        <f>IF(OR($E12="",$E12="نامعتبر"),"",IF(Sync!$R9="","",Sync!$R9))</f>
        <v/>
      </c>
      <c r="I12">
        <f>IF(OR($E12="",$E12="نامعتبر"),"",IF(Sync!$T9="","",Sync!$T9))</f>
        <v/>
      </c>
      <c r="J12">
        <f>IF(OR($E12="",$E12="نامعتبر"),"",IF(Sync!$U9="","",Sync!$U9))</f>
        <v/>
      </c>
      <c r="K12">
        <f>IF(OR($E12="",$E12="نامعتبر"),"",IF(Sync!$V9="","",IFERROR(INDEX(SubCodes,MATCH(Sync!$V9,SubTitles,0)),Sync!$V9)))</f>
        <v/>
      </c>
      <c r="L12">
        <f>IF(OR($E12="",$E12="نامعتبر"),"",IF(Sync!$W9="",0,Sync!$W9))</f>
        <v/>
      </c>
      <c r="M12">
        <f>IF(OR($E12="",$E12="نامعتبر"),"",IF(Sync!$X9="",0,Sync!$X9))</f>
        <v/>
      </c>
      <c r="N12">
        <f>IF(OR($E12="",$E12="نامعتبر"),"",IF(AND($J12="هزینه",$K12&lt;&gt;""),1,0))</f>
        <v/>
      </c>
      <c r="O12">
        <f>IF($N12=0,"",LEFT($E12,4)&amp;MID($E12,6,2)&amp;RIGHT($E12,2)&amp;$F12&amp;"|"&amp;"1"&amp;RIGHT("00000"&amp;4,5))</f>
        <v/>
      </c>
      <c r="P12">
        <f>IF($O12="","",COUNTIFS(ExpSub,$K12,ExpKey,"&lt;"&amp;$O12)+1)</f>
        <v/>
      </c>
      <c r="Q12">
        <f>IF($P12="","",$K12&amp;"|"&amp;RIGHT("000000"&amp;$P12,6))</f>
        <v/>
      </c>
    </row>
    <row r="13">
      <c r="A13">
        <f>IF(Sync!$P10="","",Sync!$P10)</f>
        <v/>
      </c>
      <c r="B13">
        <f>IF($A13="","",IF(ISNUMBER($A13),IF(AND($A13&gt;=10000101,$A13&lt;=99991231),INT($A13/10000),""),IFERROR(VALUE(TRIM(LEFT($A13,FIND("/",$A13)-1))),"")))</f>
        <v/>
      </c>
      <c r="C13">
        <f>IF(OR($A13="",$B13=""),"",IF(ISNUMBER($A13),INT(MOD($A13,10000)/100),IFERROR(VALUE(TRIM(LEFT(MID($A13,FIND("/",$A13)+1,20),FIND("/",MID($A13,FIND("/",$A13)+1,20))-1))),"")))</f>
        <v/>
      </c>
      <c r="D13">
        <f>IF(OR($A13="",$B13=""),"",IF(ISNUMBER($A13),MOD($A13,100),IFERROR(VALUE(TRIM(MID(MID($A13,FIND("/",$A13)+1,20),FIND("/",MID($A13,FIND("/",$A13)+1,20))+1,20))),"")))</f>
        <v/>
      </c>
      <c r="E13">
        <f>IF($A13="","",IF(OR($B13="",$C13="",$D13="",$B13&lt;1300,$B13&gt;1500,$C13&lt;1,$C13&gt;12,$D13&lt;1,$D13&gt;31),"نامعتبر",RIGHT("0000"&amp;$B13,4)&amp;"/"&amp;RIGHT("00"&amp;$C13,2)&amp;"/"&amp;RIGHT("00"&amp;$D13,2)))</f>
        <v/>
      </c>
      <c r="F13">
        <f>IF(OR($E13="",$E13="نامعتبر"),"",IF(Sync!$Q10="","0000",IF(AND(ISNUMBER(Sync!$Q10),Sync!$Q10&gt;=0,Sync!$Q10&lt;1),RIGHT("00"&amp;HOUR(Sync!$Q10),2)&amp;RIGHT("00"&amp;MINUTE(Sync!$Q10),2),IFERROR(RIGHT("00"&amp;VALUE(LEFT(Sync!$Q10,FIND(":",Sync!$Q10)-1)),2)&amp;RIGHT("00"&amp;VALUE(MID(Sync!$Q10,FIND(":",Sync!$Q10)+1,2)),2),"0000"))))</f>
        <v/>
      </c>
      <c r="G13">
        <f>IF(OR($E13="",$E13="نامعتبر"),"",IF(Sync!$S10="","",Sync!$S10))</f>
        <v/>
      </c>
      <c r="H13">
        <f>IF(OR($E13="",$E13="نامعتبر"),"",IF(Sync!$R10="","",Sync!$R10))</f>
        <v/>
      </c>
      <c r="I13">
        <f>IF(OR($E13="",$E13="نامعتبر"),"",IF(Sync!$T10="","",Sync!$T10))</f>
        <v/>
      </c>
      <c r="J13">
        <f>IF(OR($E13="",$E13="نامعتبر"),"",IF(Sync!$U10="","",Sync!$U10))</f>
        <v/>
      </c>
      <c r="K13">
        <f>IF(OR($E13="",$E13="نامعتبر"),"",IF(Sync!$V10="","",IFERROR(INDEX(SubCodes,MATCH(Sync!$V10,SubTitles,0)),Sync!$V10)))</f>
        <v/>
      </c>
      <c r="L13">
        <f>IF(OR($E13="",$E13="نامعتبر"),"",IF(Sync!$W10="",0,Sync!$W10))</f>
        <v/>
      </c>
      <c r="M13">
        <f>IF(OR($E13="",$E13="نامعتبر"),"",IF(Sync!$X10="",0,Sync!$X10))</f>
        <v/>
      </c>
      <c r="N13">
        <f>IF(OR($E13="",$E13="نامعتبر"),"",IF(AND($J13="هزینه",$K13&lt;&gt;""),1,0))</f>
        <v/>
      </c>
      <c r="O13">
        <f>IF($N13=0,"",LEFT($E13,4)&amp;MID($E13,6,2)&amp;RIGHT($E13,2)&amp;$F13&amp;"|"&amp;"1"&amp;RIGHT("00000"&amp;5,5))</f>
        <v/>
      </c>
      <c r="P13">
        <f>IF($O13="","",COUNTIFS(ExpSub,$K13,ExpKey,"&lt;"&amp;$O13)+1)</f>
        <v/>
      </c>
      <c r="Q13">
        <f>IF($P13="","",$K13&amp;"|"&amp;RIGHT("000000"&amp;$P13,6))</f>
        <v/>
      </c>
    </row>
    <row r="14">
      <c r="A14">
        <f>IF(Sync!$P11="","",Sync!$P11)</f>
        <v/>
      </c>
      <c r="B14">
        <f>IF($A14="","",IF(ISNUMBER($A14),IF(AND($A14&gt;=10000101,$A14&lt;=99991231),INT($A14/10000),""),IFERROR(VALUE(TRIM(LEFT($A14,FIND("/",$A14)-1))),"")))</f>
        <v/>
      </c>
      <c r="C14">
        <f>IF(OR($A14="",$B14=""),"",IF(ISNUMBER($A14),INT(MOD($A14,10000)/100),IFERROR(VALUE(TRIM(LEFT(MID($A14,FIND("/",$A14)+1,20),FIND("/",MID($A14,FIND("/",$A14)+1,20))-1))),"")))</f>
        <v/>
      </c>
      <c r="D14">
        <f>IF(OR($A14="",$B14=""),"",IF(ISNUMBER($A14),MOD($A14,100),IFERROR(VALUE(TRIM(MID(MID($A14,FIND("/",$A14)+1,20),FIND("/",MID($A14,FIND("/",$A14)+1,20))+1,20))),"")))</f>
        <v/>
      </c>
      <c r="E14">
        <f>IF($A14="","",IF(OR($B14="",$C14="",$D14="",$B14&lt;1300,$B14&gt;1500,$C14&lt;1,$C14&gt;12,$D14&lt;1,$D14&gt;31),"نامعتبر",RIGHT("0000"&amp;$B14,4)&amp;"/"&amp;RIGHT("00"&amp;$C14,2)&amp;"/"&amp;RIGHT("00"&amp;$D14,2)))</f>
        <v/>
      </c>
      <c r="F14">
        <f>IF(OR($E14="",$E14="نامعتبر"),"",IF(Sync!$Q11="","0000",IF(AND(ISNUMBER(Sync!$Q11),Sync!$Q11&gt;=0,Sync!$Q11&lt;1),RIGHT("00"&amp;HOUR(Sync!$Q11),2)&amp;RIGHT("00"&amp;MINUTE(Sync!$Q11),2),IFERROR(RIGHT("00"&amp;VALUE(LEFT(Sync!$Q11,FIND(":",Sync!$Q11)-1)),2)&amp;RIGHT("00"&amp;VALUE(MID(Sync!$Q11,FIND(":",Sync!$Q11)+1,2)),2),"0000"))))</f>
        <v/>
      </c>
      <c r="G14">
        <f>IF(OR($E14="",$E14="نامعتبر"),"",IF(Sync!$S11="","",Sync!$S11))</f>
        <v/>
      </c>
      <c r="H14">
        <f>IF(OR($E14="",$E14="نامعتبر"),"",IF(Sync!$R11="","",Sync!$R11))</f>
        <v/>
      </c>
      <c r="I14">
        <f>IF(OR($E14="",$E14="نامعتبر"),"",IF(Sync!$T11="","",Sync!$T11))</f>
        <v/>
      </c>
      <c r="J14">
        <f>IF(OR($E14="",$E14="نامعتبر"),"",IF(Sync!$U11="","",Sync!$U11))</f>
        <v/>
      </c>
      <c r="K14">
        <f>IF(OR($E14="",$E14="نامعتبر"),"",IF(Sync!$V11="","",IFERROR(INDEX(SubCodes,MATCH(Sync!$V11,SubTitles,0)),Sync!$V11)))</f>
        <v/>
      </c>
      <c r="L14">
        <f>IF(OR($E14="",$E14="نامعتبر"),"",IF(Sync!$W11="",0,Sync!$W11))</f>
        <v/>
      </c>
      <c r="M14">
        <f>IF(OR($E14="",$E14="نامعتبر"),"",IF(Sync!$X11="",0,Sync!$X11))</f>
        <v/>
      </c>
      <c r="N14">
        <f>IF(OR($E14="",$E14="نامعتبر"),"",IF(AND($J14="هزینه",$K14&lt;&gt;""),1,0))</f>
        <v/>
      </c>
      <c r="O14">
        <f>IF($N14=0,"",LEFT($E14,4)&amp;MID($E14,6,2)&amp;RIGHT($E14,2)&amp;$F14&amp;"|"&amp;"1"&amp;RIGHT("00000"&amp;6,5))</f>
        <v/>
      </c>
      <c r="P14">
        <f>IF($O14="","",COUNTIFS(ExpSub,$K14,ExpKey,"&lt;"&amp;$O14)+1)</f>
        <v/>
      </c>
      <c r="Q14">
        <f>IF($P14="","",$K14&amp;"|"&amp;RIGHT("000000"&amp;$P14,6))</f>
        <v/>
      </c>
    </row>
    <row r="15">
      <c r="A15">
        <f>IF(Sync!$P12="","",Sync!$P12)</f>
        <v/>
      </c>
      <c r="B15">
        <f>IF($A15="","",IF(ISNUMBER($A15),IF(AND($A15&gt;=10000101,$A15&lt;=99991231),INT($A15/10000),""),IFERROR(VALUE(TRIM(LEFT($A15,FIND("/",$A15)-1))),"")))</f>
        <v/>
      </c>
      <c r="C15">
        <f>IF(OR($A15="",$B15=""),"",IF(ISNUMBER($A15),INT(MOD($A15,10000)/100),IFERROR(VALUE(TRIM(LEFT(MID($A15,FIND("/",$A15)+1,20),FIND("/",MID($A15,FIND("/",$A15)+1,20))-1))),"")))</f>
        <v/>
      </c>
      <c r="D15">
        <f>IF(OR($A15="",$B15=""),"",IF(ISNUMBER($A15),MOD($A15,100),IFERROR(VALUE(TRIM(MID(MID($A15,FIND("/",$A15)+1,20),FIND("/",MID($A15,FIND("/",$A15)+1,20))+1,20))),"")))</f>
        <v/>
      </c>
      <c r="E15">
        <f>IF($A15="","",IF(OR($B15="",$C15="",$D15="",$B15&lt;1300,$B15&gt;1500,$C15&lt;1,$C15&gt;12,$D15&lt;1,$D15&gt;31),"نامعتبر",RIGHT("0000"&amp;$B15,4)&amp;"/"&amp;RIGHT("00"&amp;$C15,2)&amp;"/"&amp;RIGHT("00"&amp;$D15,2)))</f>
        <v/>
      </c>
      <c r="F15">
        <f>IF(OR($E15="",$E15="نامعتبر"),"",IF(Sync!$Q12="","0000",IF(AND(ISNUMBER(Sync!$Q12),Sync!$Q12&gt;=0,Sync!$Q12&lt;1),RIGHT("00"&amp;HOUR(Sync!$Q12),2)&amp;RIGHT("00"&amp;MINUTE(Sync!$Q12),2),IFERROR(RIGHT("00"&amp;VALUE(LEFT(Sync!$Q12,FIND(":",Sync!$Q12)-1)),2)&amp;RIGHT("00"&amp;VALUE(MID(Sync!$Q12,FIND(":",Sync!$Q12)+1,2)),2),"0000"))))</f>
        <v/>
      </c>
      <c r="G15">
        <f>IF(OR($E15="",$E15="نامعتبر"),"",IF(Sync!$S12="","",Sync!$S12))</f>
        <v/>
      </c>
      <c r="H15">
        <f>IF(OR($E15="",$E15="نامعتبر"),"",IF(Sync!$R12="","",Sync!$R12))</f>
        <v/>
      </c>
      <c r="I15">
        <f>IF(OR($E15="",$E15="نامعتبر"),"",IF(Sync!$T12="","",Sync!$T12))</f>
        <v/>
      </c>
      <c r="J15">
        <f>IF(OR($E15="",$E15="نامعتبر"),"",IF(Sync!$U12="","",Sync!$U12))</f>
        <v/>
      </c>
      <c r="K15">
        <f>IF(OR($E15="",$E15="نامعتبر"),"",IF(Sync!$V12="","",IFERROR(INDEX(SubCodes,MATCH(Sync!$V12,SubTitles,0)),Sync!$V12)))</f>
        <v/>
      </c>
      <c r="L15">
        <f>IF(OR($E15="",$E15="نامعتبر"),"",IF(Sync!$W12="",0,Sync!$W12))</f>
        <v/>
      </c>
      <c r="M15">
        <f>IF(OR($E15="",$E15="نامعتبر"),"",IF(Sync!$X12="",0,Sync!$X12))</f>
        <v/>
      </c>
      <c r="N15">
        <f>IF(OR($E15="",$E15="نامعتبر"),"",IF(AND($J15="هزینه",$K15&lt;&gt;""),1,0))</f>
        <v/>
      </c>
      <c r="O15">
        <f>IF($N15=0,"",LEFT($E15,4)&amp;MID($E15,6,2)&amp;RIGHT($E15,2)&amp;$F15&amp;"|"&amp;"1"&amp;RIGHT("00000"&amp;7,5))</f>
        <v/>
      </c>
      <c r="P15">
        <f>IF($O15="","",COUNTIFS(ExpSub,$K15,ExpKey,"&lt;"&amp;$O15)+1)</f>
        <v/>
      </c>
      <c r="Q15">
        <f>IF($P15="","",$K15&amp;"|"&amp;RIGHT("000000"&amp;$P15,6))</f>
        <v/>
      </c>
    </row>
    <row r="16">
      <c r="A16">
        <f>IF(Sync!$P13="","",Sync!$P13)</f>
        <v/>
      </c>
      <c r="B16">
        <f>IF($A16="","",IF(ISNUMBER($A16),IF(AND($A16&gt;=10000101,$A16&lt;=99991231),INT($A16/10000),""),IFERROR(VALUE(TRIM(LEFT($A16,FIND("/",$A16)-1))),"")))</f>
        <v/>
      </c>
      <c r="C16">
        <f>IF(OR($A16="",$B16=""),"",IF(ISNUMBER($A16),INT(MOD($A16,10000)/100),IFERROR(VALUE(TRIM(LEFT(MID($A16,FIND("/",$A16)+1,20),FIND("/",MID($A16,FIND("/",$A16)+1,20))-1))),"")))</f>
        <v/>
      </c>
      <c r="D16">
        <f>IF(OR($A16="",$B16=""),"",IF(ISNUMBER($A16),MOD($A16,100),IFERROR(VALUE(TRIM(MID(MID($A16,FIND("/",$A16)+1,20),FIND("/",MID($A16,FIND("/",$A16)+1,20))+1,20))),"")))</f>
        <v/>
      </c>
      <c r="E16">
        <f>IF($A16="","",IF(OR($B16="",$C16="",$D16="",$B16&lt;1300,$B16&gt;1500,$C16&lt;1,$C16&gt;12,$D16&lt;1,$D16&gt;31),"نامعتبر",RIGHT("0000"&amp;$B16,4)&amp;"/"&amp;RIGHT("00"&amp;$C16,2)&amp;"/"&amp;RIGHT("00"&amp;$D16,2)))</f>
        <v/>
      </c>
      <c r="F16">
        <f>IF(OR($E16="",$E16="نامعتبر"),"",IF(Sync!$Q13="","0000",IF(AND(ISNUMBER(Sync!$Q13),Sync!$Q13&gt;=0,Sync!$Q13&lt;1),RIGHT("00"&amp;HOUR(Sync!$Q13),2)&amp;RIGHT("00"&amp;MINUTE(Sync!$Q13),2),IFERROR(RIGHT("00"&amp;VALUE(LEFT(Sync!$Q13,FIND(":",Sync!$Q13)-1)),2)&amp;RIGHT("00"&amp;VALUE(MID(Sync!$Q13,FIND(":",Sync!$Q13)+1,2)),2),"0000"))))</f>
        <v/>
      </c>
      <c r="G16">
        <f>IF(OR($E16="",$E16="نامعتبر"),"",IF(Sync!$S13="","",Sync!$S13))</f>
        <v/>
      </c>
      <c r="H16">
        <f>IF(OR($E16="",$E16="نامعتبر"),"",IF(Sync!$R13="","",Sync!$R13))</f>
        <v/>
      </c>
      <c r="I16">
        <f>IF(OR($E16="",$E16="نامعتبر"),"",IF(Sync!$T13="","",Sync!$T13))</f>
        <v/>
      </c>
      <c r="J16">
        <f>IF(OR($E16="",$E16="نامعتبر"),"",IF(Sync!$U13="","",Sync!$U13))</f>
        <v/>
      </c>
      <c r="K16">
        <f>IF(OR($E16="",$E16="نامعتبر"),"",IF(Sync!$V13="","",IFERROR(INDEX(SubCodes,MATCH(Sync!$V13,SubTitles,0)),Sync!$V13)))</f>
        <v/>
      </c>
      <c r="L16">
        <f>IF(OR($E16="",$E16="نامعتبر"),"",IF(Sync!$W13="",0,Sync!$W13))</f>
        <v/>
      </c>
      <c r="M16">
        <f>IF(OR($E16="",$E16="نامعتبر"),"",IF(Sync!$X13="",0,Sync!$X13))</f>
        <v/>
      </c>
      <c r="N16">
        <f>IF(OR($E16="",$E16="نامعتبر"),"",IF(AND($J16="هزینه",$K16&lt;&gt;""),1,0))</f>
        <v/>
      </c>
      <c r="O16">
        <f>IF($N16=0,"",LEFT($E16,4)&amp;MID($E16,6,2)&amp;RIGHT($E16,2)&amp;$F16&amp;"|"&amp;"1"&amp;RIGHT("00000"&amp;8,5))</f>
        <v/>
      </c>
      <c r="P16">
        <f>IF($O16="","",COUNTIFS(ExpSub,$K16,ExpKey,"&lt;"&amp;$O16)+1)</f>
        <v/>
      </c>
      <c r="Q16">
        <f>IF($P16="","",$K16&amp;"|"&amp;RIGHT("000000"&amp;$P16,6))</f>
        <v/>
      </c>
    </row>
    <row r="17">
      <c r="A17">
        <f>IF(Sync!$P14="","",Sync!$P14)</f>
        <v/>
      </c>
      <c r="B17">
        <f>IF($A17="","",IF(ISNUMBER($A17),IF(AND($A17&gt;=10000101,$A17&lt;=99991231),INT($A17/10000),""),IFERROR(VALUE(TRIM(LEFT($A17,FIND("/",$A17)-1))),"")))</f>
        <v/>
      </c>
      <c r="C17">
        <f>IF(OR($A17="",$B17=""),"",IF(ISNUMBER($A17),INT(MOD($A17,10000)/100),IFERROR(VALUE(TRIM(LEFT(MID($A17,FIND("/",$A17)+1,20),FIND("/",MID($A17,FIND("/",$A17)+1,20))-1))),"")))</f>
        <v/>
      </c>
      <c r="D17">
        <f>IF(OR($A17="",$B17=""),"",IF(ISNUMBER($A17),MOD($A17,100),IFERROR(VALUE(TRIM(MID(MID($A17,FIND("/",$A17)+1,20),FIND("/",MID($A17,FIND("/",$A17)+1,20))+1,20))),"")))</f>
        <v/>
      </c>
      <c r="E17">
        <f>IF($A17="","",IF(OR($B17="",$C17="",$D17="",$B17&lt;1300,$B17&gt;1500,$C17&lt;1,$C17&gt;12,$D17&lt;1,$D17&gt;31),"نامعتبر",RIGHT("0000"&amp;$B17,4)&amp;"/"&amp;RIGHT("00"&amp;$C17,2)&amp;"/"&amp;RIGHT("00"&amp;$D17,2)))</f>
        <v/>
      </c>
      <c r="F17">
        <f>IF(OR($E17="",$E17="نامعتبر"),"",IF(Sync!$Q14="","0000",IF(AND(ISNUMBER(Sync!$Q14),Sync!$Q14&gt;=0,Sync!$Q14&lt;1),RIGHT("00"&amp;HOUR(Sync!$Q14),2)&amp;RIGHT("00"&amp;MINUTE(Sync!$Q14),2),IFERROR(RIGHT("00"&amp;VALUE(LEFT(Sync!$Q14,FIND(":",Sync!$Q14)-1)),2)&amp;RIGHT("00"&amp;VALUE(MID(Sync!$Q14,FIND(":",Sync!$Q14)+1,2)),2),"0000"))))</f>
        <v/>
      </c>
      <c r="G17">
        <f>IF(OR($E17="",$E17="نامعتبر"),"",IF(Sync!$S14="","",Sync!$S14))</f>
        <v/>
      </c>
      <c r="H17">
        <f>IF(OR($E17="",$E17="نامعتبر"),"",IF(Sync!$R14="","",Sync!$R14))</f>
        <v/>
      </c>
      <c r="I17">
        <f>IF(OR($E17="",$E17="نامعتبر"),"",IF(Sync!$T14="","",Sync!$T14))</f>
        <v/>
      </c>
      <c r="J17">
        <f>IF(OR($E17="",$E17="نامعتبر"),"",IF(Sync!$U14="","",Sync!$U14))</f>
        <v/>
      </c>
      <c r="K17">
        <f>IF(OR($E17="",$E17="نامعتبر"),"",IF(Sync!$V14="","",IFERROR(INDEX(SubCodes,MATCH(Sync!$V14,SubTitles,0)),Sync!$V14)))</f>
        <v/>
      </c>
      <c r="L17">
        <f>IF(OR($E17="",$E17="نامعتبر"),"",IF(Sync!$W14="",0,Sync!$W14))</f>
        <v/>
      </c>
      <c r="M17">
        <f>IF(OR($E17="",$E17="نامعتبر"),"",IF(Sync!$X14="",0,Sync!$X14))</f>
        <v/>
      </c>
      <c r="N17">
        <f>IF(OR($E17="",$E17="نامعتبر"),"",IF(AND($J17="هزینه",$K17&lt;&gt;""),1,0))</f>
        <v/>
      </c>
      <c r="O17">
        <f>IF($N17=0,"",LEFT($E17,4)&amp;MID($E17,6,2)&amp;RIGHT($E17,2)&amp;$F17&amp;"|"&amp;"1"&amp;RIGHT("00000"&amp;9,5))</f>
        <v/>
      </c>
      <c r="P17">
        <f>IF($O17="","",COUNTIFS(ExpSub,$K17,ExpKey,"&lt;"&amp;$O17)+1)</f>
        <v/>
      </c>
      <c r="Q17">
        <f>IF($P17="","",$K17&amp;"|"&amp;RIGHT("000000"&amp;$P17,6))</f>
        <v/>
      </c>
    </row>
    <row r="18">
      <c r="A18">
        <f>IF(Sync!$P15="","",Sync!$P15)</f>
        <v/>
      </c>
      <c r="B18">
        <f>IF($A18="","",IF(ISNUMBER($A18),IF(AND($A18&gt;=10000101,$A18&lt;=99991231),INT($A18/10000),""),IFERROR(VALUE(TRIM(LEFT($A18,FIND("/",$A18)-1))),"")))</f>
        <v/>
      </c>
      <c r="C18">
        <f>IF(OR($A18="",$B18=""),"",IF(ISNUMBER($A18),INT(MOD($A18,10000)/100),IFERROR(VALUE(TRIM(LEFT(MID($A18,FIND("/",$A18)+1,20),FIND("/",MID($A18,FIND("/",$A18)+1,20))-1))),"")))</f>
        <v/>
      </c>
      <c r="D18">
        <f>IF(OR($A18="",$B18=""),"",IF(ISNUMBER($A18),MOD($A18,100),IFERROR(VALUE(TRIM(MID(MID($A18,FIND("/",$A18)+1,20),FIND("/",MID($A18,FIND("/",$A18)+1,20))+1,20))),"")))</f>
        <v/>
      </c>
      <c r="E18">
        <f>IF($A18="","",IF(OR($B18="",$C18="",$D18="",$B18&lt;1300,$B18&gt;1500,$C18&lt;1,$C18&gt;12,$D18&lt;1,$D18&gt;31),"نامعتبر",RIGHT("0000"&amp;$B18,4)&amp;"/"&amp;RIGHT("00"&amp;$C18,2)&amp;"/"&amp;RIGHT("00"&amp;$D18,2)))</f>
        <v/>
      </c>
      <c r="F18">
        <f>IF(OR($E18="",$E18="نامعتبر"),"",IF(Sync!$Q15="","0000",IF(AND(ISNUMBER(Sync!$Q15),Sync!$Q15&gt;=0,Sync!$Q15&lt;1),RIGHT("00"&amp;HOUR(Sync!$Q15),2)&amp;RIGHT("00"&amp;MINUTE(Sync!$Q15),2),IFERROR(RIGHT("00"&amp;VALUE(LEFT(Sync!$Q15,FIND(":",Sync!$Q15)-1)),2)&amp;RIGHT("00"&amp;VALUE(MID(Sync!$Q15,FIND(":",Sync!$Q15)+1,2)),2),"0000"))))</f>
        <v/>
      </c>
      <c r="G18">
        <f>IF(OR($E18="",$E18="نامعتبر"),"",IF(Sync!$S15="","",Sync!$S15))</f>
        <v/>
      </c>
      <c r="H18">
        <f>IF(OR($E18="",$E18="نامعتبر"),"",IF(Sync!$R15="","",Sync!$R15))</f>
        <v/>
      </c>
      <c r="I18">
        <f>IF(OR($E18="",$E18="نامعتبر"),"",IF(Sync!$T15="","",Sync!$T15))</f>
        <v/>
      </c>
      <c r="J18">
        <f>IF(OR($E18="",$E18="نامعتبر"),"",IF(Sync!$U15="","",Sync!$U15))</f>
        <v/>
      </c>
      <c r="K18">
        <f>IF(OR($E18="",$E18="نامعتبر"),"",IF(Sync!$V15="","",IFERROR(INDEX(SubCodes,MATCH(Sync!$V15,SubTitles,0)),Sync!$V15)))</f>
        <v/>
      </c>
      <c r="L18">
        <f>IF(OR($E18="",$E18="نامعتبر"),"",IF(Sync!$W15="",0,Sync!$W15))</f>
        <v/>
      </c>
      <c r="M18">
        <f>IF(OR($E18="",$E18="نامعتبر"),"",IF(Sync!$X15="",0,Sync!$X15))</f>
        <v/>
      </c>
      <c r="N18">
        <f>IF(OR($E18="",$E18="نامعتبر"),"",IF(AND($J18="هزینه",$K18&lt;&gt;""),1,0))</f>
        <v/>
      </c>
      <c r="O18">
        <f>IF($N18=0,"",LEFT($E18,4)&amp;MID($E18,6,2)&amp;RIGHT($E18,2)&amp;$F18&amp;"|"&amp;"1"&amp;RIGHT("00000"&amp;10,5))</f>
        <v/>
      </c>
      <c r="P18">
        <f>IF($O18="","",COUNTIFS(ExpSub,$K18,ExpKey,"&lt;"&amp;$O18)+1)</f>
        <v/>
      </c>
      <c r="Q18">
        <f>IF($P18="","",$K18&amp;"|"&amp;RIGHT("000000"&amp;$P18,6))</f>
        <v/>
      </c>
    </row>
    <row r="19">
      <c r="A19">
        <f>IF(Sync!$P16="","",Sync!$P16)</f>
        <v/>
      </c>
      <c r="B19">
        <f>IF($A19="","",IF(ISNUMBER($A19),IF(AND($A19&gt;=10000101,$A19&lt;=99991231),INT($A19/10000),""),IFERROR(VALUE(TRIM(LEFT($A19,FIND("/",$A19)-1))),"")))</f>
        <v/>
      </c>
      <c r="C19">
        <f>IF(OR($A19="",$B19=""),"",IF(ISNUMBER($A19),INT(MOD($A19,10000)/100),IFERROR(VALUE(TRIM(LEFT(MID($A19,FIND("/",$A19)+1,20),FIND("/",MID($A19,FIND("/",$A19)+1,20))-1))),"")))</f>
        <v/>
      </c>
      <c r="D19">
        <f>IF(OR($A19="",$B19=""),"",IF(ISNUMBER($A19),MOD($A19,100),IFERROR(VALUE(TRIM(MID(MID($A19,FIND("/",$A19)+1,20),FIND("/",MID($A19,FIND("/",$A19)+1,20))+1,20))),"")))</f>
        <v/>
      </c>
      <c r="E19">
        <f>IF($A19="","",IF(OR($B19="",$C19="",$D19="",$B19&lt;1300,$B19&gt;1500,$C19&lt;1,$C19&gt;12,$D19&lt;1,$D19&gt;31),"نامعتبر",RIGHT("0000"&amp;$B19,4)&amp;"/"&amp;RIGHT("00"&amp;$C19,2)&amp;"/"&amp;RIGHT("00"&amp;$D19,2)))</f>
        <v/>
      </c>
      <c r="F19">
        <f>IF(OR($E19="",$E19="نامعتبر"),"",IF(Sync!$Q16="","0000",IF(AND(ISNUMBER(Sync!$Q16),Sync!$Q16&gt;=0,Sync!$Q16&lt;1),RIGHT("00"&amp;HOUR(Sync!$Q16),2)&amp;RIGHT("00"&amp;MINUTE(Sync!$Q16),2),IFERROR(RIGHT("00"&amp;VALUE(LEFT(Sync!$Q16,FIND(":",Sync!$Q16)-1)),2)&amp;RIGHT("00"&amp;VALUE(MID(Sync!$Q16,FIND(":",Sync!$Q16)+1,2)),2),"0000"))))</f>
        <v/>
      </c>
      <c r="G19">
        <f>IF(OR($E19="",$E19="نامعتبر"),"",IF(Sync!$S16="","",Sync!$S16))</f>
        <v/>
      </c>
      <c r="H19">
        <f>IF(OR($E19="",$E19="نامعتبر"),"",IF(Sync!$R16="","",Sync!$R16))</f>
        <v/>
      </c>
      <c r="I19">
        <f>IF(OR($E19="",$E19="نامعتبر"),"",IF(Sync!$T16="","",Sync!$T16))</f>
        <v/>
      </c>
      <c r="J19">
        <f>IF(OR($E19="",$E19="نامعتبر"),"",IF(Sync!$U16="","",Sync!$U16))</f>
        <v/>
      </c>
      <c r="K19">
        <f>IF(OR($E19="",$E19="نامعتبر"),"",IF(Sync!$V16="","",IFERROR(INDEX(SubCodes,MATCH(Sync!$V16,SubTitles,0)),Sync!$V16)))</f>
        <v/>
      </c>
      <c r="L19">
        <f>IF(OR($E19="",$E19="نامعتبر"),"",IF(Sync!$W16="",0,Sync!$W16))</f>
        <v/>
      </c>
      <c r="M19">
        <f>IF(OR($E19="",$E19="نامعتبر"),"",IF(Sync!$X16="",0,Sync!$X16))</f>
        <v/>
      </c>
      <c r="N19">
        <f>IF(OR($E19="",$E19="نامعتبر"),"",IF(AND($J19="هزینه",$K19&lt;&gt;""),1,0))</f>
        <v/>
      </c>
      <c r="O19">
        <f>IF($N19=0,"",LEFT($E19,4)&amp;MID($E19,6,2)&amp;RIGHT($E19,2)&amp;$F19&amp;"|"&amp;"1"&amp;RIGHT("00000"&amp;11,5))</f>
        <v/>
      </c>
      <c r="P19">
        <f>IF($O19="","",COUNTIFS(ExpSub,$K19,ExpKey,"&lt;"&amp;$O19)+1)</f>
        <v/>
      </c>
      <c r="Q19">
        <f>IF($P19="","",$K19&amp;"|"&amp;RIGHT("000000"&amp;$P19,6))</f>
        <v/>
      </c>
    </row>
    <row r="20">
      <c r="A20">
        <f>IF(Sync!$P17="","",Sync!$P17)</f>
        <v/>
      </c>
      <c r="B20">
        <f>IF($A20="","",IF(ISNUMBER($A20),IF(AND($A20&gt;=10000101,$A20&lt;=99991231),INT($A20/10000),""),IFERROR(VALUE(TRIM(LEFT($A20,FIND("/",$A20)-1))),"")))</f>
        <v/>
      </c>
      <c r="C20">
        <f>IF(OR($A20="",$B20=""),"",IF(ISNUMBER($A20),INT(MOD($A20,10000)/100),IFERROR(VALUE(TRIM(LEFT(MID($A20,FIND("/",$A20)+1,20),FIND("/",MID($A20,FIND("/",$A20)+1,20))-1))),"")))</f>
        <v/>
      </c>
      <c r="D20">
        <f>IF(OR($A20="",$B20=""),"",IF(ISNUMBER($A20),MOD($A20,100),IFERROR(VALUE(TRIM(MID(MID($A20,FIND("/",$A20)+1,20),FIND("/",MID($A20,FIND("/",$A20)+1,20))+1,20))),"")))</f>
        <v/>
      </c>
      <c r="E20">
        <f>IF($A20="","",IF(OR($B20="",$C20="",$D20="",$B20&lt;1300,$B20&gt;1500,$C20&lt;1,$C20&gt;12,$D20&lt;1,$D20&gt;31),"نامعتبر",RIGHT("0000"&amp;$B20,4)&amp;"/"&amp;RIGHT("00"&amp;$C20,2)&amp;"/"&amp;RIGHT("00"&amp;$D20,2)))</f>
        <v/>
      </c>
      <c r="F20">
        <f>IF(OR($E20="",$E20="نامعتبر"),"",IF(Sync!$Q17="","0000",IF(AND(ISNUMBER(Sync!$Q17),Sync!$Q17&gt;=0,Sync!$Q17&lt;1),RIGHT("00"&amp;HOUR(Sync!$Q17),2)&amp;RIGHT("00"&amp;MINUTE(Sync!$Q17),2),IFERROR(RIGHT("00"&amp;VALUE(LEFT(Sync!$Q17,FIND(":",Sync!$Q17)-1)),2)&amp;RIGHT("00"&amp;VALUE(MID(Sync!$Q17,FIND(":",Sync!$Q17)+1,2)),2),"0000"))))</f>
        <v/>
      </c>
      <c r="G20">
        <f>IF(OR($E20="",$E20="نامعتبر"),"",IF(Sync!$S17="","",Sync!$S17))</f>
        <v/>
      </c>
      <c r="H20">
        <f>IF(OR($E20="",$E20="نامعتبر"),"",IF(Sync!$R17="","",Sync!$R17))</f>
        <v/>
      </c>
      <c r="I20">
        <f>IF(OR($E20="",$E20="نامعتبر"),"",IF(Sync!$T17="","",Sync!$T17))</f>
        <v/>
      </c>
      <c r="J20">
        <f>IF(OR($E20="",$E20="نامعتبر"),"",IF(Sync!$U17="","",Sync!$U17))</f>
        <v/>
      </c>
      <c r="K20">
        <f>IF(OR($E20="",$E20="نامعتبر"),"",IF(Sync!$V17="","",IFERROR(INDEX(SubCodes,MATCH(Sync!$V17,SubTitles,0)),Sync!$V17)))</f>
        <v/>
      </c>
      <c r="L20">
        <f>IF(OR($E20="",$E20="نامعتبر"),"",IF(Sync!$W17="",0,Sync!$W17))</f>
        <v/>
      </c>
      <c r="M20">
        <f>IF(OR($E20="",$E20="نامعتبر"),"",IF(Sync!$X17="",0,Sync!$X17))</f>
        <v/>
      </c>
      <c r="N20">
        <f>IF(OR($E20="",$E20="نامعتبر"),"",IF(AND($J20="هزینه",$K20&lt;&gt;""),1,0))</f>
        <v/>
      </c>
      <c r="O20">
        <f>IF($N20=0,"",LEFT($E20,4)&amp;MID($E20,6,2)&amp;RIGHT($E20,2)&amp;$F20&amp;"|"&amp;"1"&amp;RIGHT("00000"&amp;12,5))</f>
        <v/>
      </c>
      <c r="P20">
        <f>IF($O20="","",COUNTIFS(ExpSub,$K20,ExpKey,"&lt;"&amp;$O20)+1)</f>
        <v/>
      </c>
      <c r="Q20">
        <f>IF($P20="","",$K20&amp;"|"&amp;RIGHT("000000"&amp;$P20,6))</f>
        <v/>
      </c>
    </row>
    <row r="21">
      <c r="A21">
        <f>IF(Sync!$P18="","",Sync!$P18)</f>
        <v/>
      </c>
      <c r="B21">
        <f>IF($A21="","",IF(ISNUMBER($A21),IF(AND($A21&gt;=10000101,$A21&lt;=99991231),INT($A21/10000),""),IFERROR(VALUE(TRIM(LEFT($A21,FIND("/",$A21)-1))),"")))</f>
        <v/>
      </c>
      <c r="C21">
        <f>IF(OR($A21="",$B21=""),"",IF(ISNUMBER($A21),INT(MOD($A21,10000)/100),IFERROR(VALUE(TRIM(LEFT(MID($A21,FIND("/",$A21)+1,20),FIND("/",MID($A21,FIND("/",$A21)+1,20))-1))),"")))</f>
        <v/>
      </c>
      <c r="D21">
        <f>IF(OR($A21="",$B21=""),"",IF(ISNUMBER($A21),MOD($A21,100),IFERROR(VALUE(TRIM(MID(MID($A21,FIND("/",$A21)+1,20),FIND("/",MID($A21,FIND("/",$A21)+1,20))+1,20))),"")))</f>
        <v/>
      </c>
      <c r="E21">
        <f>IF($A21="","",IF(OR($B21="",$C21="",$D21="",$B21&lt;1300,$B21&gt;1500,$C21&lt;1,$C21&gt;12,$D21&lt;1,$D21&gt;31),"نامعتبر",RIGHT("0000"&amp;$B21,4)&amp;"/"&amp;RIGHT("00"&amp;$C21,2)&amp;"/"&amp;RIGHT("00"&amp;$D21,2)))</f>
        <v/>
      </c>
      <c r="F21">
        <f>IF(OR($E21="",$E21="نامعتبر"),"",IF(Sync!$Q18="","0000",IF(AND(ISNUMBER(Sync!$Q18),Sync!$Q18&gt;=0,Sync!$Q18&lt;1),RIGHT("00"&amp;HOUR(Sync!$Q18),2)&amp;RIGHT("00"&amp;MINUTE(Sync!$Q18),2),IFERROR(RIGHT("00"&amp;VALUE(LEFT(Sync!$Q18,FIND(":",Sync!$Q18)-1)),2)&amp;RIGHT("00"&amp;VALUE(MID(Sync!$Q18,FIND(":",Sync!$Q18)+1,2)),2),"0000"))))</f>
        <v/>
      </c>
      <c r="G21">
        <f>IF(OR($E21="",$E21="نامعتبر"),"",IF(Sync!$S18="","",Sync!$S18))</f>
        <v/>
      </c>
      <c r="H21">
        <f>IF(OR($E21="",$E21="نامعتبر"),"",IF(Sync!$R18="","",Sync!$R18))</f>
        <v/>
      </c>
      <c r="I21">
        <f>IF(OR($E21="",$E21="نامعتبر"),"",IF(Sync!$T18="","",Sync!$T18))</f>
        <v/>
      </c>
      <c r="J21">
        <f>IF(OR($E21="",$E21="نامعتبر"),"",IF(Sync!$U18="","",Sync!$U18))</f>
        <v/>
      </c>
      <c r="K21">
        <f>IF(OR($E21="",$E21="نامعتبر"),"",IF(Sync!$V18="","",IFERROR(INDEX(SubCodes,MATCH(Sync!$V18,SubTitles,0)),Sync!$V18)))</f>
        <v/>
      </c>
      <c r="L21">
        <f>IF(OR($E21="",$E21="نامعتبر"),"",IF(Sync!$W18="",0,Sync!$W18))</f>
        <v/>
      </c>
      <c r="M21">
        <f>IF(OR($E21="",$E21="نامعتبر"),"",IF(Sync!$X18="",0,Sync!$X18))</f>
        <v/>
      </c>
      <c r="N21">
        <f>IF(OR($E21="",$E21="نامعتبر"),"",IF(AND($J21="هزینه",$K21&lt;&gt;""),1,0))</f>
        <v/>
      </c>
      <c r="O21">
        <f>IF($N21=0,"",LEFT($E21,4)&amp;MID($E21,6,2)&amp;RIGHT($E21,2)&amp;$F21&amp;"|"&amp;"1"&amp;RIGHT("00000"&amp;13,5))</f>
        <v/>
      </c>
      <c r="P21">
        <f>IF($O21="","",COUNTIFS(ExpSub,$K21,ExpKey,"&lt;"&amp;$O21)+1)</f>
        <v/>
      </c>
      <c r="Q21">
        <f>IF($P21="","",$K21&amp;"|"&amp;RIGHT("000000"&amp;$P21,6))</f>
        <v/>
      </c>
    </row>
    <row r="22">
      <c r="A22">
        <f>IF(Sync!$P19="","",Sync!$P19)</f>
        <v/>
      </c>
      <c r="B22">
        <f>IF($A22="","",IF(ISNUMBER($A22),IF(AND($A22&gt;=10000101,$A22&lt;=99991231),INT($A22/10000),""),IFERROR(VALUE(TRIM(LEFT($A22,FIND("/",$A22)-1))),"")))</f>
        <v/>
      </c>
      <c r="C22">
        <f>IF(OR($A22="",$B22=""),"",IF(ISNUMBER($A22),INT(MOD($A22,10000)/100),IFERROR(VALUE(TRIM(LEFT(MID($A22,FIND("/",$A22)+1,20),FIND("/",MID($A22,FIND("/",$A22)+1,20))-1))),"")))</f>
        <v/>
      </c>
      <c r="D22">
        <f>IF(OR($A22="",$B22=""),"",IF(ISNUMBER($A22),MOD($A22,100),IFERROR(VALUE(TRIM(MID(MID($A22,FIND("/",$A22)+1,20),FIND("/",MID($A22,FIND("/",$A22)+1,20))+1,20))),"")))</f>
        <v/>
      </c>
      <c r="E22">
        <f>IF($A22="","",IF(OR($B22="",$C22="",$D22="",$B22&lt;1300,$B22&gt;1500,$C22&lt;1,$C22&gt;12,$D22&lt;1,$D22&gt;31),"نامعتبر",RIGHT("0000"&amp;$B22,4)&amp;"/"&amp;RIGHT("00"&amp;$C22,2)&amp;"/"&amp;RIGHT("00"&amp;$D22,2)))</f>
        <v/>
      </c>
      <c r="F22">
        <f>IF(OR($E22="",$E22="نامعتبر"),"",IF(Sync!$Q19="","0000",IF(AND(ISNUMBER(Sync!$Q19),Sync!$Q19&gt;=0,Sync!$Q19&lt;1),RIGHT("00"&amp;HOUR(Sync!$Q19),2)&amp;RIGHT("00"&amp;MINUTE(Sync!$Q19),2),IFERROR(RIGHT("00"&amp;VALUE(LEFT(Sync!$Q19,FIND(":",Sync!$Q19)-1)),2)&amp;RIGHT("00"&amp;VALUE(MID(Sync!$Q19,FIND(":",Sync!$Q19)+1,2)),2),"0000"))))</f>
        <v/>
      </c>
      <c r="G22">
        <f>IF(OR($E22="",$E22="نامعتبر"),"",IF(Sync!$S19="","",Sync!$S19))</f>
        <v/>
      </c>
      <c r="H22">
        <f>IF(OR($E22="",$E22="نامعتبر"),"",IF(Sync!$R19="","",Sync!$R19))</f>
        <v/>
      </c>
      <c r="I22">
        <f>IF(OR($E22="",$E22="نامعتبر"),"",IF(Sync!$T19="","",Sync!$T19))</f>
        <v/>
      </c>
      <c r="J22">
        <f>IF(OR($E22="",$E22="نامعتبر"),"",IF(Sync!$U19="","",Sync!$U19))</f>
        <v/>
      </c>
      <c r="K22">
        <f>IF(OR($E22="",$E22="نامعتبر"),"",IF(Sync!$V19="","",IFERROR(INDEX(SubCodes,MATCH(Sync!$V19,SubTitles,0)),Sync!$V19)))</f>
        <v/>
      </c>
      <c r="L22">
        <f>IF(OR($E22="",$E22="نامعتبر"),"",IF(Sync!$W19="",0,Sync!$W19))</f>
        <v/>
      </c>
      <c r="M22">
        <f>IF(OR($E22="",$E22="نامعتبر"),"",IF(Sync!$X19="",0,Sync!$X19))</f>
        <v/>
      </c>
      <c r="N22">
        <f>IF(OR($E22="",$E22="نامعتبر"),"",IF(AND($J22="هزینه",$K22&lt;&gt;""),1,0))</f>
        <v/>
      </c>
      <c r="O22">
        <f>IF($N22=0,"",LEFT($E22,4)&amp;MID($E22,6,2)&amp;RIGHT($E22,2)&amp;$F22&amp;"|"&amp;"1"&amp;RIGHT("00000"&amp;14,5))</f>
        <v/>
      </c>
      <c r="P22">
        <f>IF($O22="","",COUNTIFS(ExpSub,$K22,ExpKey,"&lt;"&amp;$O22)+1)</f>
        <v/>
      </c>
      <c r="Q22">
        <f>IF($P22="","",$K22&amp;"|"&amp;RIGHT("000000"&amp;$P22,6))</f>
        <v/>
      </c>
    </row>
    <row r="23">
      <c r="A23">
        <f>IF(Sync!$P20="","",Sync!$P20)</f>
        <v/>
      </c>
      <c r="B23">
        <f>IF($A23="","",IF(ISNUMBER($A23),IF(AND($A23&gt;=10000101,$A23&lt;=99991231),INT($A23/10000),""),IFERROR(VALUE(TRIM(LEFT($A23,FIND("/",$A23)-1))),"")))</f>
        <v/>
      </c>
      <c r="C23">
        <f>IF(OR($A23="",$B23=""),"",IF(ISNUMBER($A23),INT(MOD($A23,10000)/100),IFERROR(VALUE(TRIM(LEFT(MID($A23,FIND("/",$A23)+1,20),FIND("/",MID($A23,FIND("/",$A23)+1,20))-1))),"")))</f>
        <v/>
      </c>
      <c r="D23">
        <f>IF(OR($A23="",$B23=""),"",IF(ISNUMBER($A23),MOD($A23,100),IFERROR(VALUE(TRIM(MID(MID($A23,FIND("/",$A23)+1,20),FIND("/",MID($A23,FIND("/",$A23)+1,20))+1,20))),"")))</f>
        <v/>
      </c>
      <c r="E23">
        <f>IF($A23="","",IF(OR($B23="",$C23="",$D23="",$B23&lt;1300,$B23&gt;1500,$C23&lt;1,$C23&gt;12,$D23&lt;1,$D23&gt;31),"نامعتبر",RIGHT("0000"&amp;$B23,4)&amp;"/"&amp;RIGHT("00"&amp;$C23,2)&amp;"/"&amp;RIGHT("00"&amp;$D23,2)))</f>
        <v/>
      </c>
      <c r="F23">
        <f>IF(OR($E23="",$E23="نامعتبر"),"",IF(Sync!$Q20="","0000",IF(AND(ISNUMBER(Sync!$Q20),Sync!$Q20&gt;=0,Sync!$Q20&lt;1),RIGHT("00"&amp;HOUR(Sync!$Q20),2)&amp;RIGHT("00"&amp;MINUTE(Sync!$Q20),2),IFERROR(RIGHT("00"&amp;VALUE(LEFT(Sync!$Q20,FIND(":",Sync!$Q20)-1)),2)&amp;RIGHT("00"&amp;VALUE(MID(Sync!$Q20,FIND(":",Sync!$Q20)+1,2)),2),"0000"))))</f>
        <v/>
      </c>
      <c r="G23">
        <f>IF(OR($E23="",$E23="نامعتبر"),"",IF(Sync!$S20="","",Sync!$S20))</f>
        <v/>
      </c>
      <c r="H23">
        <f>IF(OR($E23="",$E23="نامعتبر"),"",IF(Sync!$R20="","",Sync!$R20))</f>
        <v/>
      </c>
      <c r="I23">
        <f>IF(OR($E23="",$E23="نامعتبر"),"",IF(Sync!$T20="","",Sync!$T20))</f>
        <v/>
      </c>
      <c r="J23">
        <f>IF(OR($E23="",$E23="نامعتبر"),"",IF(Sync!$U20="","",Sync!$U20))</f>
        <v/>
      </c>
      <c r="K23">
        <f>IF(OR($E23="",$E23="نامعتبر"),"",IF(Sync!$V20="","",IFERROR(INDEX(SubCodes,MATCH(Sync!$V20,SubTitles,0)),Sync!$V20)))</f>
        <v/>
      </c>
      <c r="L23">
        <f>IF(OR($E23="",$E23="نامعتبر"),"",IF(Sync!$W20="",0,Sync!$W20))</f>
        <v/>
      </c>
      <c r="M23">
        <f>IF(OR($E23="",$E23="نامعتبر"),"",IF(Sync!$X20="",0,Sync!$X20))</f>
        <v/>
      </c>
      <c r="N23">
        <f>IF(OR($E23="",$E23="نامعتبر"),"",IF(AND($J23="هزینه",$K23&lt;&gt;""),1,0))</f>
        <v/>
      </c>
      <c r="O23">
        <f>IF($N23=0,"",LEFT($E23,4)&amp;MID($E23,6,2)&amp;RIGHT($E23,2)&amp;$F23&amp;"|"&amp;"1"&amp;RIGHT("00000"&amp;15,5))</f>
        <v/>
      </c>
      <c r="P23">
        <f>IF($O23="","",COUNTIFS(ExpSub,$K23,ExpKey,"&lt;"&amp;$O23)+1)</f>
        <v/>
      </c>
      <c r="Q23">
        <f>IF($P23="","",$K23&amp;"|"&amp;RIGHT("000000"&amp;$P23,6))</f>
        <v/>
      </c>
    </row>
    <row r="24">
      <c r="A24">
        <f>IF(Sync!$P21="","",Sync!$P21)</f>
        <v/>
      </c>
      <c r="B24">
        <f>IF($A24="","",IF(ISNUMBER($A24),IF(AND($A24&gt;=10000101,$A24&lt;=99991231),INT($A24/10000),""),IFERROR(VALUE(TRIM(LEFT($A24,FIND("/",$A24)-1))),"")))</f>
        <v/>
      </c>
      <c r="C24">
        <f>IF(OR($A24="",$B24=""),"",IF(ISNUMBER($A24),INT(MOD($A24,10000)/100),IFERROR(VALUE(TRIM(LEFT(MID($A24,FIND("/",$A24)+1,20),FIND("/",MID($A24,FIND("/",$A24)+1,20))-1))),"")))</f>
        <v/>
      </c>
      <c r="D24">
        <f>IF(OR($A24="",$B24=""),"",IF(ISNUMBER($A24),MOD($A24,100),IFERROR(VALUE(TRIM(MID(MID($A24,FIND("/",$A24)+1,20),FIND("/",MID($A24,FIND("/",$A24)+1,20))+1,20))),"")))</f>
        <v/>
      </c>
      <c r="E24">
        <f>IF($A24="","",IF(OR($B24="",$C24="",$D24="",$B24&lt;1300,$B24&gt;1500,$C24&lt;1,$C24&gt;12,$D24&lt;1,$D24&gt;31),"نامعتبر",RIGHT("0000"&amp;$B24,4)&amp;"/"&amp;RIGHT("00"&amp;$C24,2)&amp;"/"&amp;RIGHT("00"&amp;$D24,2)))</f>
        <v/>
      </c>
      <c r="F24">
        <f>IF(OR($E24="",$E24="نامعتبر"),"",IF(Sync!$Q21="","0000",IF(AND(ISNUMBER(Sync!$Q21),Sync!$Q21&gt;=0,Sync!$Q21&lt;1),RIGHT("00"&amp;HOUR(Sync!$Q21),2)&amp;RIGHT("00"&amp;MINUTE(Sync!$Q21),2),IFERROR(RIGHT("00"&amp;VALUE(LEFT(Sync!$Q21,FIND(":",Sync!$Q21)-1)),2)&amp;RIGHT("00"&amp;VALUE(MID(Sync!$Q21,FIND(":",Sync!$Q21)+1,2)),2),"0000"))))</f>
        <v/>
      </c>
      <c r="G24">
        <f>IF(OR($E24="",$E24="نامعتبر"),"",IF(Sync!$S21="","",Sync!$S21))</f>
        <v/>
      </c>
      <c r="H24">
        <f>IF(OR($E24="",$E24="نامعتبر"),"",IF(Sync!$R21="","",Sync!$R21))</f>
        <v/>
      </c>
      <c r="I24">
        <f>IF(OR($E24="",$E24="نامعتبر"),"",IF(Sync!$T21="","",Sync!$T21))</f>
        <v/>
      </c>
      <c r="J24">
        <f>IF(OR($E24="",$E24="نامعتبر"),"",IF(Sync!$U21="","",Sync!$U21))</f>
        <v/>
      </c>
      <c r="K24">
        <f>IF(OR($E24="",$E24="نامعتبر"),"",IF(Sync!$V21="","",IFERROR(INDEX(SubCodes,MATCH(Sync!$V21,SubTitles,0)),Sync!$V21)))</f>
        <v/>
      </c>
      <c r="L24">
        <f>IF(OR($E24="",$E24="نامعتبر"),"",IF(Sync!$W21="",0,Sync!$W21))</f>
        <v/>
      </c>
      <c r="M24">
        <f>IF(OR($E24="",$E24="نامعتبر"),"",IF(Sync!$X21="",0,Sync!$X21))</f>
        <v/>
      </c>
      <c r="N24">
        <f>IF(OR($E24="",$E24="نامعتبر"),"",IF(AND($J24="هزینه",$K24&lt;&gt;""),1,0))</f>
        <v/>
      </c>
      <c r="O24">
        <f>IF($N24=0,"",LEFT($E24,4)&amp;MID($E24,6,2)&amp;RIGHT($E24,2)&amp;$F24&amp;"|"&amp;"1"&amp;RIGHT("00000"&amp;16,5))</f>
        <v/>
      </c>
      <c r="P24">
        <f>IF($O24="","",COUNTIFS(ExpSub,$K24,ExpKey,"&lt;"&amp;$O24)+1)</f>
        <v/>
      </c>
      <c r="Q24">
        <f>IF($P24="","",$K24&amp;"|"&amp;RIGHT("000000"&amp;$P24,6))</f>
        <v/>
      </c>
    </row>
    <row r="25">
      <c r="A25">
        <f>IF(Sync!$P22="","",Sync!$P22)</f>
        <v/>
      </c>
      <c r="B25">
        <f>IF($A25="","",IF(ISNUMBER($A25),IF(AND($A25&gt;=10000101,$A25&lt;=99991231),INT($A25/10000),""),IFERROR(VALUE(TRIM(LEFT($A25,FIND("/",$A25)-1))),"")))</f>
        <v/>
      </c>
      <c r="C25">
        <f>IF(OR($A25="",$B25=""),"",IF(ISNUMBER($A25),INT(MOD($A25,10000)/100),IFERROR(VALUE(TRIM(LEFT(MID($A25,FIND("/",$A25)+1,20),FIND("/",MID($A25,FIND("/",$A25)+1,20))-1))),"")))</f>
        <v/>
      </c>
      <c r="D25">
        <f>IF(OR($A25="",$B25=""),"",IF(ISNUMBER($A25),MOD($A25,100),IFERROR(VALUE(TRIM(MID(MID($A25,FIND("/",$A25)+1,20),FIND("/",MID($A25,FIND("/",$A25)+1,20))+1,20))),"")))</f>
        <v/>
      </c>
      <c r="E25">
        <f>IF($A25="","",IF(OR($B25="",$C25="",$D25="",$B25&lt;1300,$B25&gt;1500,$C25&lt;1,$C25&gt;12,$D25&lt;1,$D25&gt;31),"نامعتبر",RIGHT("0000"&amp;$B25,4)&amp;"/"&amp;RIGHT("00"&amp;$C25,2)&amp;"/"&amp;RIGHT("00"&amp;$D25,2)))</f>
        <v/>
      </c>
      <c r="F25">
        <f>IF(OR($E25="",$E25="نامعتبر"),"",IF(Sync!$Q22="","0000",IF(AND(ISNUMBER(Sync!$Q22),Sync!$Q22&gt;=0,Sync!$Q22&lt;1),RIGHT("00"&amp;HOUR(Sync!$Q22),2)&amp;RIGHT("00"&amp;MINUTE(Sync!$Q22),2),IFERROR(RIGHT("00"&amp;VALUE(LEFT(Sync!$Q22,FIND(":",Sync!$Q22)-1)),2)&amp;RIGHT("00"&amp;VALUE(MID(Sync!$Q22,FIND(":",Sync!$Q22)+1,2)),2),"0000"))))</f>
        <v/>
      </c>
      <c r="G25">
        <f>IF(OR($E25="",$E25="نامعتبر"),"",IF(Sync!$S22="","",Sync!$S22))</f>
        <v/>
      </c>
      <c r="H25">
        <f>IF(OR($E25="",$E25="نامعتبر"),"",IF(Sync!$R22="","",Sync!$R22))</f>
        <v/>
      </c>
      <c r="I25">
        <f>IF(OR($E25="",$E25="نامعتبر"),"",IF(Sync!$T22="","",Sync!$T22))</f>
        <v/>
      </c>
      <c r="J25">
        <f>IF(OR($E25="",$E25="نامعتبر"),"",IF(Sync!$U22="","",Sync!$U22))</f>
        <v/>
      </c>
      <c r="K25">
        <f>IF(OR($E25="",$E25="نامعتبر"),"",IF(Sync!$V22="","",IFERROR(INDEX(SubCodes,MATCH(Sync!$V22,SubTitles,0)),Sync!$V22)))</f>
        <v/>
      </c>
      <c r="L25">
        <f>IF(OR($E25="",$E25="نامعتبر"),"",IF(Sync!$W22="",0,Sync!$W22))</f>
        <v/>
      </c>
      <c r="M25">
        <f>IF(OR($E25="",$E25="نامعتبر"),"",IF(Sync!$X22="",0,Sync!$X22))</f>
        <v/>
      </c>
      <c r="N25">
        <f>IF(OR($E25="",$E25="نامعتبر"),"",IF(AND($J25="هزینه",$K25&lt;&gt;""),1,0))</f>
        <v/>
      </c>
      <c r="O25">
        <f>IF($N25=0,"",LEFT($E25,4)&amp;MID($E25,6,2)&amp;RIGHT($E25,2)&amp;$F25&amp;"|"&amp;"1"&amp;RIGHT("00000"&amp;17,5))</f>
        <v/>
      </c>
      <c r="P25">
        <f>IF($O25="","",COUNTIFS(ExpSub,$K25,ExpKey,"&lt;"&amp;$O25)+1)</f>
        <v/>
      </c>
      <c r="Q25">
        <f>IF($P25="","",$K25&amp;"|"&amp;RIGHT("000000"&amp;$P25,6))</f>
        <v/>
      </c>
    </row>
    <row r="26">
      <c r="A26">
        <f>IF(Sync!$P23="","",Sync!$P23)</f>
        <v/>
      </c>
      <c r="B26">
        <f>IF($A26="","",IF(ISNUMBER($A26),IF(AND($A26&gt;=10000101,$A26&lt;=99991231),INT($A26/10000),""),IFERROR(VALUE(TRIM(LEFT($A26,FIND("/",$A26)-1))),"")))</f>
        <v/>
      </c>
      <c r="C26">
        <f>IF(OR($A26="",$B26=""),"",IF(ISNUMBER($A26),INT(MOD($A26,10000)/100),IFERROR(VALUE(TRIM(LEFT(MID($A26,FIND("/",$A26)+1,20),FIND("/",MID($A26,FIND("/",$A26)+1,20))-1))),"")))</f>
        <v/>
      </c>
      <c r="D26">
        <f>IF(OR($A26="",$B26=""),"",IF(ISNUMBER($A26),MOD($A26,100),IFERROR(VALUE(TRIM(MID(MID($A26,FIND("/",$A26)+1,20),FIND("/",MID($A26,FIND("/",$A26)+1,20))+1,20))),"")))</f>
        <v/>
      </c>
      <c r="E26">
        <f>IF($A26="","",IF(OR($B26="",$C26="",$D26="",$B26&lt;1300,$B26&gt;1500,$C26&lt;1,$C26&gt;12,$D26&lt;1,$D26&gt;31),"نامعتبر",RIGHT("0000"&amp;$B26,4)&amp;"/"&amp;RIGHT("00"&amp;$C26,2)&amp;"/"&amp;RIGHT("00"&amp;$D26,2)))</f>
        <v/>
      </c>
      <c r="F26">
        <f>IF(OR($E26="",$E26="نامعتبر"),"",IF(Sync!$Q23="","0000",IF(AND(ISNUMBER(Sync!$Q23),Sync!$Q23&gt;=0,Sync!$Q23&lt;1),RIGHT("00"&amp;HOUR(Sync!$Q23),2)&amp;RIGHT("00"&amp;MINUTE(Sync!$Q23),2),IFERROR(RIGHT("00"&amp;VALUE(LEFT(Sync!$Q23,FIND(":",Sync!$Q23)-1)),2)&amp;RIGHT("00"&amp;VALUE(MID(Sync!$Q23,FIND(":",Sync!$Q23)+1,2)),2),"0000"))))</f>
        <v/>
      </c>
      <c r="G26">
        <f>IF(OR($E26="",$E26="نامعتبر"),"",IF(Sync!$S23="","",Sync!$S23))</f>
        <v/>
      </c>
      <c r="H26">
        <f>IF(OR($E26="",$E26="نامعتبر"),"",IF(Sync!$R23="","",Sync!$R23))</f>
        <v/>
      </c>
      <c r="I26">
        <f>IF(OR($E26="",$E26="نامعتبر"),"",IF(Sync!$T23="","",Sync!$T23))</f>
        <v/>
      </c>
      <c r="J26">
        <f>IF(OR($E26="",$E26="نامعتبر"),"",IF(Sync!$U23="","",Sync!$U23))</f>
        <v/>
      </c>
      <c r="K26">
        <f>IF(OR($E26="",$E26="نامعتبر"),"",IF(Sync!$V23="","",IFERROR(INDEX(SubCodes,MATCH(Sync!$V23,SubTitles,0)),Sync!$V23)))</f>
        <v/>
      </c>
      <c r="L26">
        <f>IF(OR($E26="",$E26="نامعتبر"),"",IF(Sync!$W23="",0,Sync!$W23))</f>
        <v/>
      </c>
      <c r="M26">
        <f>IF(OR($E26="",$E26="نامعتبر"),"",IF(Sync!$X23="",0,Sync!$X23))</f>
        <v/>
      </c>
      <c r="N26">
        <f>IF(OR($E26="",$E26="نامعتبر"),"",IF(AND($J26="هزینه",$K26&lt;&gt;""),1,0))</f>
        <v/>
      </c>
      <c r="O26">
        <f>IF($N26=0,"",LEFT($E26,4)&amp;MID($E26,6,2)&amp;RIGHT($E26,2)&amp;$F26&amp;"|"&amp;"1"&amp;RIGHT("00000"&amp;18,5))</f>
        <v/>
      </c>
      <c r="P26">
        <f>IF($O26="","",COUNTIFS(ExpSub,$K26,ExpKey,"&lt;"&amp;$O26)+1)</f>
        <v/>
      </c>
      <c r="Q26">
        <f>IF($P26="","",$K26&amp;"|"&amp;RIGHT("000000"&amp;$P26,6))</f>
        <v/>
      </c>
    </row>
    <row r="27">
      <c r="A27">
        <f>IF(Sync!$P24="","",Sync!$P24)</f>
        <v/>
      </c>
      <c r="B27">
        <f>IF($A27="","",IF(ISNUMBER($A27),IF(AND($A27&gt;=10000101,$A27&lt;=99991231),INT($A27/10000),""),IFERROR(VALUE(TRIM(LEFT($A27,FIND("/",$A27)-1))),"")))</f>
        <v/>
      </c>
      <c r="C27">
        <f>IF(OR($A27="",$B27=""),"",IF(ISNUMBER($A27),INT(MOD($A27,10000)/100),IFERROR(VALUE(TRIM(LEFT(MID($A27,FIND("/",$A27)+1,20),FIND("/",MID($A27,FIND("/",$A27)+1,20))-1))),"")))</f>
        <v/>
      </c>
      <c r="D27">
        <f>IF(OR($A27="",$B27=""),"",IF(ISNUMBER($A27),MOD($A27,100),IFERROR(VALUE(TRIM(MID(MID($A27,FIND("/",$A27)+1,20),FIND("/",MID($A27,FIND("/",$A27)+1,20))+1,20))),"")))</f>
        <v/>
      </c>
      <c r="E27">
        <f>IF($A27="","",IF(OR($B27="",$C27="",$D27="",$B27&lt;1300,$B27&gt;1500,$C27&lt;1,$C27&gt;12,$D27&lt;1,$D27&gt;31),"نامعتبر",RIGHT("0000"&amp;$B27,4)&amp;"/"&amp;RIGHT("00"&amp;$C27,2)&amp;"/"&amp;RIGHT("00"&amp;$D27,2)))</f>
        <v/>
      </c>
      <c r="F27">
        <f>IF(OR($E27="",$E27="نامعتبر"),"",IF(Sync!$Q24="","0000",IF(AND(ISNUMBER(Sync!$Q24),Sync!$Q24&gt;=0,Sync!$Q24&lt;1),RIGHT("00"&amp;HOUR(Sync!$Q24),2)&amp;RIGHT("00"&amp;MINUTE(Sync!$Q24),2),IFERROR(RIGHT("00"&amp;VALUE(LEFT(Sync!$Q24,FIND(":",Sync!$Q24)-1)),2)&amp;RIGHT("00"&amp;VALUE(MID(Sync!$Q24,FIND(":",Sync!$Q24)+1,2)),2),"0000"))))</f>
        <v/>
      </c>
      <c r="G27">
        <f>IF(OR($E27="",$E27="نامعتبر"),"",IF(Sync!$S24="","",Sync!$S24))</f>
        <v/>
      </c>
      <c r="H27">
        <f>IF(OR($E27="",$E27="نامعتبر"),"",IF(Sync!$R24="","",Sync!$R24))</f>
        <v/>
      </c>
      <c r="I27">
        <f>IF(OR($E27="",$E27="نامعتبر"),"",IF(Sync!$T24="","",Sync!$T24))</f>
        <v/>
      </c>
      <c r="J27">
        <f>IF(OR($E27="",$E27="نامعتبر"),"",IF(Sync!$U24="","",Sync!$U24))</f>
        <v/>
      </c>
      <c r="K27">
        <f>IF(OR($E27="",$E27="نامعتبر"),"",IF(Sync!$V24="","",IFERROR(INDEX(SubCodes,MATCH(Sync!$V24,SubTitles,0)),Sync!$V24)))</f>
        <v/>
      </c>
      <c r="L27">
        <f>IF(OR($E27="",$E27="نامعتبر"),"",IF(Sync!$W24="",0,Sync!$W24))</f>
        <v/>
      </c>
      <c r="M27">
        <f>IF(OR($E27="",$E27="نامعتبر"),"",IF(Sync!$X24="",0,Sync!$X24))</f>
        <v/>
      </c>
      <c r="N27">
        <f>IF(OR($E27="",$E27="نامعتبر"),"",IF(AND($J27="هزینه",$K27&lt;&gt;""),1,0))</f>
        <v/>
      </c>
      <c r="O27">
        <f>IF($N27=0,"",LEFT($E27,4)&amp;MID($E27,6,2)&amp;RIGHT($E27,2)&amp;$F27&amp;"|"&amp;"1"&amp;RIGHT("00000"&amp;19,5))</f>
        <v/>
      </c>
      <c r="P27">
        <f>IF($O27="","",COUNTIFS(ExpSub,$K27,ExpKey,"&lt;"&amp;$O27)+1)</f>
        <v/>
      </c>
      <c r="Q27">
        <f>IF($P27="","",$K27&amp;"|"&amp;RIGHT("000000"&amp;$P27,6))</f>
        <v/>
      </c>
    </row>
    <row r="28">
      <c r="A28">
        <f>IF(Sync!$P25="","",Sync!$P25)</f>
        <v/>
      </c>
      <c r="B28">
        <f>IF($A28="","",IF(ISNUMBER($A28),IF(AND($A28&gt;=10000101,$A28&lt;=99991231),INT($A28/10000),""),IFERROR(VALUE(TRIM(LEFT($A28,FIND("/",$A28)-1))),"")))</f>
        <v/>
      </c>
      <c r="C28">
        <f>IF(OR($A28="",$B28=""),"",IF(ISNUMBER($A28),INT(MOD($A28,10000)/100),IFERROR(VALUE(TRIM(LEFT(MID($A28,FIND("/",$A28)+1,20),FIND("/",MID($A28,FIND("/",$A28)+1,20))-1))),"")))</f>
        <v/>
      </c>
      <c r="D28">
        <f>IF(OR($A28="",$B28=""),"",IF(ISNUMBER($A28),MOD($A28,100),IFERROR(VALUE(TRIM(MID(MID($A28,FIND("/",$A28)+1,20),FIND("/",MID($A28,FIND("/",$A28)+1,20))+1,20))),"")))</f>
        <v/>
      </c>
      <c r="E28">
        <f>IF($A28="","",IF(OR($B28="",$C28="",$D28="",$B28&lt;1300,$B28&gt;1500,$C28&lt;1,$C28&gt;12,$D28&lt;1,$D28&gt;31),"نامعتبر",RIGHT("0000"&amp;$B28,4)&amp;"/"&amp;RIGHT("00"&amp;$C28,2)&amp;"/"&amp;RIGHT("00"&amp;$D28,2)))</f>
        <v/>
      </c>
      <c r="F28">
        <f>IF(OR($E28="",$E28="نامعتبر"),"",IF(Sync!$Q25="","0000",IF(AND(ISNUMBER(Sync!$Q25),Sync!$Q25&gt;=0,Sync!$Q25&lt;1),RIGHT("00"&amp;HOUR(Sync!$Q25),2)&amp;RIGHT("00"&amp;MINUTE(Sync!$Q25),2),IFERROR(RIGHT("00"&amp;VALUE(LEFT(Sync!$Q25,FIND(":",Sync!$Q25)-1)),2)&amp;RIGHT("00"&amp;VALUE(MID(Sync!$Q25,FIND(":",Sync!$Q25)+1,2)),2),"0000"))))</f>
        <v/>
      </c>
      <c r="G28">
        <f>IF(OR($E28="",$E28="نامعتبر"),"",IF(Sync!$S25="","",Sync!$S25))</f>
        <v/>
      </c>
      <c r="H28">
        <f>IF(OR($E28="",$E28="نامعتبر"),"",IF(Sync!$R25="","",Sync!$R25))</f>
        <v/>
      </c>
      <c r="I28">
        <f>IF(OR($E28="",$E28="نامعتبر"),"",IF(Sync!$T25="","",Sync!$T25))</f>
        <v/>
      </c>
      <c r="J28">
        <f>IF(OR($E28="",$E28="نامعتبر"),"",IF(Sync!$U25="","",Sync!$U25))</f>
        <v/>
      </c>
      <c r="K28">
        <f>IF(OR($E28="",$E28="نامعتبر"),"",IF(Sync!$V25="","",IFERROR(INDEX(SubCodes,MATCH(Sync!$V25,SubTitles,0)),Sync!$V25)))</f>
        <v/>
      </c>
      <c r="L28">
        <f>IF(OR($E28="",$E28="نامعتبر"),"",IF(Sync!$W25="",0,Sync!$W25))</f>
        <v/>
      </c>
      <c r="M28">
        <f>IF(OR($E28="",$E28="نامعتبر"),"",IF(Sync!$X25="",0,Sync!$X25))</f>
        <v/>
      </c>
      <c r="N28">
        <f>IF(OR($E28="",$E28="نامعتبر"),"",IF(AND($J28="هزینه",$K28&lt;&gt;""),1,0))</f>
        <v/>
      </c>
      <c r="O28">
        <f>IF($N28=0,"",LEFT($E28,4)&amp;MID($E28,6,2)&amp;RIGHT($E28,2)&amp;$F28&amp;"|"&amp;"1"&amp;RIGHT("00000"&amp;20,5))</f>
        <v/>
      </c>
      <c r="P28">
        <f>IF($O28="","",COUNTIFS(ExpSub,$K28,ExpKey,"&lt;"&amp;$O28)+1)</f>
        <v/>
      </c>
      <c r="Q28">
        <f>IF($P28="","",$K28&amp;"|"&amp;RIGHT("000000"&amp;$P28,6))</f>
        <v/>
      </c>
    </row>
    <row r="29">
      <c r="A29">
        <f>IF(Sync!$P26="","",Sync!$P26)</f>
        <v/>
      </c>
      <c r="B29">
        <f>IF($A29="","",IF(ISNUMBER($A29),IF(AND($A29&gt;=10000101,$A29&lt;=99991231),INT($A29/10000),""),IFERROR(VALUE(TRIM(LEFT($A29,FIND("/",$A29)-1))),"")))</f>
        <v/>
      </c>
      <c r="C29">
        <f>IF(OR($A29="",$B29=""),"",IF(ISNUMBER($A29),INT(MOD($A29,10000)/100),IFERROR(VALUE(TRIM(LEFT(MID($A29,FIND("/",$A29)+1,20),FIND("/",MID($A29,FIND("/",$A29)+1,20))-1))),"")))</f>
        <v/>
      </c>
      <c r="D29">
        <f>IF(OR($A29="",$B29=""),"",IF(ISNUMBER($A29),MOD($A29,100),IFERROR(VALUE(TRIM(MID(MID($A29,FIND("/",$A29)+1,20),FIND("/",MID($A29,FIND("/",$A29)+1,20))+1,20))),"")))</f>
        <v/>
      </c>
      <c r="E29">
        <f>IF($A29="","",IF(OR($B29="",$C29="",$D29="",$B29&lt;1300,$B29&gt;1500,$C29&lt;1,$C29&gt;12,$D29&lt;1,$D29&gt;31),"نامعتبر",RIGHT("0000"&amp;$B29,4)&amp;"/"&amp;RIGHT("00"&amp;$C29,2)&amp;"/"&amp;RIGHT("00"&amp;$D29,2)))</f>
        <v/>
      </c>
      <c r="F29">
        <f>IF(OR($E29="",$E29="نامعتبر"),"",IF(Sync!$Q26="","0000",IF(AND(ISNUMBER(Sync!$Q26),Sync!$Q26&gt;=0,Sync!$Q26&lt;1),RIGHT("00"&amp;HOUR(Sync!$Q26),2)&amp;RIGHT("00"&amp;MINUTE(Sync!$Q26),2),IFERROR(RIGHT("00"&amp;VALUE(LEFT(Sync!$Q26,FIND(":",Sync!$Q26)-1)),2)&amp;RIGHT("00"&amp;VALUE(MID(Sync!$Q26,FIND(":",Sync!$Q26)+1,2)),2),"0000"))))</f>
        <v/>
      </c>
      <c r="G29">
        <f>IF(OR($E29="",$E29="نامعتبر"),"",IF(Sync!$S26="","",Sync!$S26))</f>
        <v/>
      </c>
      <c r="H29">
        <f>IF(OR($E29="",$E29="نامعتبر"),"",IF(Sync!$R26="","",Sync!$R26))</f>
        <v/>
      </c>
      <c r="I29">
        <f>IF(OR($E29="",$E29="نامعتبر"),"",IF(Sync!$T26="","",Sync!$T26))</f>
        <v/>
      </c>
      <c r="J29">
        <f>IF(OR($E29="",$E29="نامعتبر"),"",IF(Sync!$U26="","",Sync!$U26))</f>
        <v/>
      </c>
      <c r="K29">
        <f>IF(OR($E29="",$E29="نامعتبر"),"",IF(Sync!$V26="","",IFERROR(INDEX(SubCodes,MATCH(Sync!$V26,SubTitles,0)),Sync!$V26)))</f>
        <v/>
      </c>
      <c r="L29">
        <f>IF(OR($E29="",$E29="نامعتبر"),"",IF(Sync!$W26="",0,Sync!$W26))</f>
        <v/>
      </c>
      <c r="M29">
        <f>IF(OR($E29="",$E29="نامعتبر"),"",IF(Sync!$X26="",0,Sync!$X26))</f>
        <v/>
      </c>
      <c r="N29">
        <f>IF(OR($E29="",$E29="نامعتبر"),"",IF(AND($J29="هزینه",$K29&lt;&gt;""),1,0))</f>
        <v/>
      </c>
      <c r="O29">
        <f>IF($N29=0,"",LEFT($E29,4)&amp;MID($E29,6,2)&amp;RIGHT($E29,2)&amp;$F29&amp;"|"&amp;"1"&amp;RIGHT("00000"&amp;21,5))</f>
        <v/>
      </c>
      <c r="P29">
        <f>IF($O29="","",COUNTIFS(ExpSub,$K29,ExpKey,"&lt;"&amp;$O29)+1)</f>
        <v/>
      </c>
      <c r="Q29">
        <f>IF($P29="","",$K29&amp;"|"&amp;RIGHT("000000"&amp;$P29,6))</f>
        <v/>
      </c>
    </row>
    <row r="30">
      <c r="A30">
        <f>IF(Sync!$P27="","",Sync!$P27)</f>
        <v/>
      </c>
      <c r="B30">
        <f>IF($A30="","",IF(ISNUMBER($A30),IF(AND($A30&gt;=10000101,$A30&lt;=99991231),INT($A30/10000),""),IFERROR(VALUE(TRIM(LEFT($A30,FIND("/",$A30)-1))),"")))</f>
        <v/>
      </c>
      <c r="C30">
        <f>IF(OR($A30="",$B30=""),"",IF(ISNUMBER($A30),INT(MOD($A30,10000)/100),IFERROR(VALUE(TRIM(LEFT(MID($A30,FIND("/",$A30)+1,20),FIND("/",MID($A30,FIND("/",$A30)+1,20))-1))),"")))</f>
        <v/>
      </c>
      <c r="D30">
        <f>IF(OR($A30="",$B30=""),"",IF(ISNUMBER($A30),MOD($A30,100),IFERROR(VALUE(TRIM(MID(MID($A30,FIND("/",$A30)+1,20),FIND("/",MID($A30,FIND("/",$A30)+1,20))+1,20))),"")))</f>
        <v/>
      </c>
      <c r="E30">
        <f>IF($A30="","",IF(OR($B30="",$C30="",$D30="",$B30&lt;1300,$B30&gt;1500,$C30&lt;1,$C30&gt;12,$D30&lt;1,$D30&gt;31),"نامعتبر",RIGHT("0000"&amp;$B30,4)&amp;"/"&amp;RIGHT("00"&amp;$C30,2)&amp;"/"&amp;RIGHT("00"&amp;$D30,2)))</f>
        <v/>
      </c>
      <c r="F30">
        <f>IF(OR($E30="",$E30="نامعتبر"),"",IF(Sync!$Q27="","0000",IF(AND(ISNUMBER(Sync!$Q27),Sync!$Q27&gt;=0,Sync!$Q27&lt;1),RIGHT("00"&amp;HOUR(Sync!$Q27),2)&amp;RIGHT("00"&amp;MINUTE(Sync!$Q27),2),IFERROR(RIGHT("00"&amp;VALUE(LEFT(Sync!$Q27,FIND(":",Sync!$Q27)-1)),2)&amp;RIGHT("00"&amp;VALUE(MID(Sync!$Q27,FIND(":",Sync!$Q27)+1,2)),2),"0000"))))</f>
        <v/>
      </c>
      <c r="G30">
        <f>IF(OR($E30="",$E30="نامعتبر"),"",IF(Sync!$S27="","",Sync!$S27))</f>
        <v/>
      </c>
      <c r="H30">
        <f>IF(OR($E30="",$E30="نامعتبر"),"",IF(Sync!$R27="","",Sync!$R27))</f>
        <v/>
      </c>
      <c r="I30">
        <f>IF(OR($E30="",$E30="نامعتبر"),"",IF(Sync!$T27="","",Sync!$T27))</f>
        <v/>
      </c>
      <c r="J30">
        <f>IF(OR($E30="",$E30="نامعتبر"),"",IF(Sync!$U27="","",Sync!$U27))</f>
        <v/>
      </c>
      <c r="K30">
        <f>IF(OR($E30="",$E30="نامعتبر"),"",IF(Sync!$V27="","",IFERROR(INDEX(SubCodes,MATCH(Sync!$V27,SubTitles,0)),Sync!$V27)))</f>
        <v/>
      </c>
      <c r="L30">
        <f>IF(OR($E30="",$E30="نامعتبر"),"",IF(Sync!$W27="",0,Sync!$W27))</f>
        <v/>
      </c>
      <c r="M30">
        <f>IF(OR($E30="",$E30="نامعتبر"),"",IF(Sync!$X27="",0,Sync!$X27))</f>
        <v/>
      </c>
      <c r="N30">
        <f>IF(OR($E30="",$E30="نامعتبر"),"",IF(AND($J30="هزینه",$K30&lt;&gt;""),1,0))</f>
        <v/>
      </c>
      <c r="O30">
        <f>IF($N30=0,"",LEFT($E30,4)&amp;MID($E30,6,2)&amp;RIGHT($E30,2)&amp;$F30&amp;"|"&amp;"1"&amp;RIGHT("00000"&amp;22,5))</f>
        <v/>
      </c>
      <c r="P30">
        <f>IF($O30="","",COUNTIFS(ExpSub,$K30,ExpKey,"&lt;"&amp;$O30)+1)</f>
        <v/>
      </c>
      <c r="Q30">
        <f>IF($P30="","",$K30&amp;"|"&amp;RIGHT("000000"&amp;$P30,6))</f>
        <v/>
      </c>
    </row>
    <row r="31">
      <c r="A31">
        <f>IF(Sync!$P28="","",Sync!$P28)</f>
        <v/>
      </c>
      <c r="B31">
        <f>IF($A31="","",IF(ISNUMBER($A31),IF(AND($A31&gt;=10000101,$A31&lt;=99991231),INT($A31/10000),""),IFERROR(VALUE(TRIM(LEFT($A31,FIND("/",$A31)-1))),"")))</f>
        <v/>
      </c>
      <c r="C31">
        <f>IF(OR($A31="",$B31=""),"",IF(ISNUMBER($A31),INT(MOD($A31,10000)/100),IFERROR(VALUE(TRIM(LEFT(MID($A31,FIND("/",$A31)+1,20),FIND("/",MID($A31,FIND("/",$A31)+1,20))-1))),"")))</f>
        <v/>
      </c>
      <c r="D31">
        <f>IF(OR($A31="",$B31=""),"",IF(ISNUMBER($A31),MOD($A31,100),IFERROR(VALUE(TRIM(MID(MID($A31,FIND("/",$A31)+1,20),FIND("/",MID($A31,FIND("/",$A31)+1,20))+1,20))),"")))</f>
        <v/>
      </c>
      <c r="E31">
        <f>IF($A31="","",IF(OR($B31="",$C31="",$D31="",$B31&lt;1300,$B31&gt;1500,$C31&lt;1,$C31&gt;12,$D31&lt;1,$D31&gt;31),"نامعتبر",RIGHT("0000"&amp;$B31,4)&amp;"/"&amp;RIGHT("00"&amp;$C31,2)&amp;"/"&amp;RIGHT("00"&amp;$D31,2)))</f>
        <v/>
      </c>
      <c r="F31">
        <f>IF(OR($E31="",$E31="نامعتبر"),"",IF(Sync!$Q28="","0000",IF(AND(ISNUMBER(Sync!$Q28),Sync!$Q28&gt;=0,Sync!$Q28&lt;1),RIGHT("00"&amp;HOUR(Sync!$Q28),2)&amp;RIGHT("00"&amp;MINUTE(Sync!$Q28),2),IFERROR(RIGHT("00"&amp;VALUE(LEFT(Sync!$Q28,FIND(":",Sync!$Q28)-1)),2)&amp;RIGHT("00"&amp;VALUE(MID(Sync!$Q28,FIND(":",Sync!$Q28)+1,2)),2),"0000"))))</f>
        <v/>
      </c>
      <c r="G31">
        <f>IF(OR($E31="",$E31="نامعتبر"),"",IF(Sync!$S28="","",Sync!$S28))</f>
        <v/>
      </c>
      <c r="H31">
        <f>IF(OR($E31="",$E31="نامعتبر"),"",IF(Sync!$R28="","",Sync!$R28))</f>
        <v/>
      </c>
      <c r="I31">
        <f>IF(OR($E31="",$E31="نامعتبر"),"",IF(Sync!$T28="","",Sync!$T28))</f>
        <v/>
      </c>
      <c r="J31">
        <f>IF(OR($E31="",$E31="نامعتبر"),"",IF(Sync!$U28="","",Sync!$U28))</f>
        <v/>
      </c>
      <c r="K31">
        <f>IF(OR($E31="",$E31="نامعتبر"),"",IF(Sync!$V28="","",IFERROR(INDEX(SubCodes,MATCH(Sync!$V28,SubTitles,0)),Sync!$V28)))</f>
        <v/>
      </c>
      <c r="L31">
        <f>IF(OR($E31="",$E31="نامعتبر"),"",IF(Sync!$W28="",0,Sync!$W28))</f>
        <v/>
      </c>
      <c r="M31">
        <f>IF(OR($E31="",$E31="نامعتبر"),"",IF(Sync!$X28="",0,Sync!$X28))</f>
        <v/>
      </c>
      <c r="N31">
        <f>IF(OR($E31="",$E31="نامعتبر"),"",IF(AND($J31="هزینه",$K31&lt;&gt;""),1,0))</f>
        <v/>
      </c>
      <c r="O31">
        <f>IF($N31=0,"",LEFT($E31,4)&amp;MID($E31,6,2)&amp;RIGHT($E31,2)&amp;$F31&amp;"|"&amp;"1"&amp;RIGHT("00000"&amp;23,5))</f>
        <v/>
      </c>
      <c r="P31">
        <f>IF($O31="","",COUNTIFS(ExpSub,$K31,ExpKey,"&lt;"&amp;$O31)+1)</f>
        <v/>
      </c>
      <c r="Q31">
        <f>IF($P31="","",$K31&amp;"|"&amp;RIGHT("000000"&amp;$P31,6))</f>
        <v/>
      </c>
    </row>
    <row r="32">
      <c r="A32">
        <f>IF(Sync!$P29="","",Sync!$P29)</f>
        <v/>
      </c>
      <c r="B32">
        <f>IF($A32="","",IF(ISNUMBER($A32),IF(AND($A32&gt;=10000101,$A32&lt;=99991231),INT($A32/10000),""),IFERROR(VALUE(TRIM(LEFT($A32,FIND("/",$A32)-1))),"")))</f>
        <v/>
      </c>
      <c r="C32">
        <f>IF(OR($A32="",$B32=""),"",IF(ISNUMBER($A32),INT(MOD($A32,10000)/100),IFERROR(VALUE(TRIM(LEFT(MID($A32,FIND("/",$A32)+1,20),FIND("/",MID($A32,FIND("/",$A32)+1,20))-1))),"")))</f>
        <v/>
      </c>
      <c r="D32">
        <f>IF(OR($A32="",$B32=""),"",IF(ISNUMBER($A32),MOD($A32,100),IFERROR(VALUE(TRIM(MID(MID($A32,FIND("/",$A32)+1,20),FIND("/",MID($A32,FIND("/",$A32)+1,20))+1,20))),"")))</f>
        <v/>
      </c>
      <c r="E32">
        <f>IF($A32="","",IF(OR($B32="",$C32="",$D32="",$B32&lt;1300,$B32&gt;1500,$C32&lt;1,$C32&gt;12,$D32&lt;1,$D32&gt;31),"نامعتبر",RIGHT("0000"&amp;$B32,4)&amp;"/"&amp;RIGHT("00"&amp;$C32,2)&amp;"/"&amp;RIGHT("00"&amp;$D32,2)))</f>
        <v/>
      </c>
      <c r="F32">
        <f>IF(OR($E32="",$E32="نامعتبر"),"",IF(Sync!$Q29="","0000",IF(AND(ISNUMBER(Sync!$Q29),Sync!$Q29&gt;=0,Sync!$Q29&lt;1),RIGHT("00"&amp;HOUR(Sync!$Q29),2)&amp;RIGHT("00"&amp;MINUTE(Sync!$Q29),2),IFERROR(RIGHT("00"&amp;VALUE(LEFT(Sync!$Q29,FIND(":",Sync!$Q29)-1)),2)&amp;RIGHT("00"&amp;VALUE(MID(Sync!$Q29,FIND(":",Sync!$Q29)+1,2)),2),"0000"))))</f>
        <v/>
      </c>
      <c r="G32">
        <f>IF(OR($E32="",$E32="نامعتبر"),"",IF(Sync!$S29="","",Sync!$S29))</f>
        <v/>
      </c>
      <c r="H32">
        <f>IF(OR($E32="",$E32="نامعتبر"),"",IF(Sync!$R29="","",Sync!$R29))</f>
        <v/>
      </c>
      <c r="I32">
        <f>IF(OR($E32="",$E32="نامعتبر"),"",IF(Sync!$T29="","",Sync!$T29))</f>
        <v/>
      </c>
      <c r="J32">
        <f>IF(OR($E32="",$E32="نامعتبر"),"",IF(Sync!$U29="","",Sync!$U29))</f>
        <v/>
      </c>
      <c r="K32">
        <f>IF(OR($E32="",$E32="نامعتبر"),"",IF(Sync!$V29="","",IFERROR(INDEX(SubCodes,MATCH(Sync!$V29,SubTitles,0)),Sync!$V29)))</f>
        <v/>
      </c>
      <c r="L32">
        <f>IF(OR($E32="",$E32="نامعتبر"),"",IF(Sync!$W29="",0,Sync!$W29))</f>
        <v/>
      </c>
      <c r="M32">
        <f>IF(OR($E32="",$E32="نامعتبر"),"",IF(Sync!$X29="",0,Sync!$X29))</f>
        <v/>
      </c>
      <c r="N32">
        <f>IF(OR($E32="",$E32="نامعتبر"),"",IF(AND($J32="هزینه",$K32&lt;&gt;""),1,0))</f>
        <v/>
      </c>
      <c r="O32">
        <f>IF($N32=0,"",LEFT($E32,4)&amp;MID($E32,6,2)&amp;RIGHT($E32,2)&amp;$F32&amp;"|"&amp;"1"&amp;RIGHT("00000"&amp;24,5))</f>
        <v/>
      </c>
      <c r="P32">
        <f>IF($O32="","",COUNTIFS(ExpSub,$K32,ExpKey,"&lt;"&amp;$O32)+1)</f>
        <v/>
      </c>
      <c r="Q32">
        <f>IF($P32="","",$K32&amp;"|"&amp;RIGHT("000000"&amp;$P32,6))</f>
        <v/>
      </c>
    </row>
    <row r="33">
      <c r="A33">
        <f>IF(Sync!$P30="","",Sync!$P30)</f>
        <v/>
      </c>
      <c r="B33">
        <f>IF($A33="","",IF(ISNUMBER($A33),IF(AND($A33&gt;=10000101,$A33&lt;=99991231),INT($A33/10000),""),IFERROR(VALUE(TRIM(LEFT($A33,FIND("/",$A33)-1))),"")))</f>
        <v/>
      </c>
      <c r="C33">
        <f>IF(OR($A33="",$B33=""),"",IF(ISNUMBER($A33),INT(MOD($A33,10000)/100),IFERROR(VALUE(TRIM(LEFT(MID($A33,FIND("/",$A33)+1,20),FIND("/",MID($A33,FIND("/",$A33)+1,20))-1))),"")))</f>
        <v/>
      </c>
      <c r="D33">
        <f>IF(OR($A33="",$B33=""),"",IF(ISNUMBER($A33),MOD($A33,100),IFERROR(VALUE(TRIM(MID(MID($A33,FIND("/",$A33)+1,20),FIND("/",MID($A33,FIND("/",$A33)+1,20))+1,20))),"")))</f>
        <v/>
      </c>
      <c r="E33">
        <f>IF($A33="","",IF(OR($B33="",$C33="",$D33="",$B33&lt;1300,$B33&gt;1500,$C33&lt;1,$C33&gt;12,$D33&lt;1,$D33&gt;31),"نامعتبر",RIGHT("0000"&amp;$B33,4)&amp;"/"&amp;RIGHT("00"&amp;$C33,2)&amp;"/"&amp;RIGHT("00"&amp;$D33,2)))</f>
        <v/>
      </c>
      <c r="F33">
        <f>IF(OR($E33="",$E33="نامعتبر"),"",IF(Sync!$Q30="","0000",IF(AND(ISNUMBER(Sync!$Q30),Sync!$Q30&gt;=0,Sync!$Q30&lt;1),RIGHT("00"&amp;HOUR(Sync!$Q30),2)&amp;RIGHT("00"&amp;MINUTE(Sync!$Q30),2),IFERROR(RIGHT("00"&amp;VALUE(LEFT(Sync!$Q30,FIND(":",Sync!$Q30)-1)),2)&amp;RIGHT("00"&amp;VALUE(MID(Sync!$Q30,FIND(":",Sync!$Q30)+1,2)),2),"0000"))))</f>
        <v/>
      </c>
      <c r="G33">
        <f>IF(OR($E33="",$E33="نامعتبر"),"",IF(Sync!$S30="","",Sync!$S30))</f>
        <v/>
      </c>
      <c r="H33">
        <f>IF(OR($E33="",$E33="نامعتبر"),"",IF(Sync!$R30="","",Sync!$R30))</f>
        <v/>
      </c>
      <c r="I33">
        <f>IF(OR($E33="",$E33="نامعتبر"),"",IF(Sync!$T30="","",Sync!$T30))</f>
        <v/>
      </c>
      <c r="J33">
        <f>IF(OR($E33="",$E33="نامعتبر"),"",IF(Sync!$U30="","",Sync!$U30))</f>
        <v/>
      </c>
      <c r="K33">
        <f>IF(OR($E33="",$E33="نامعتبر"),"",IF(Sync!$V30="","",IFERROR(INDEX(SubCodes,MATCH(Sync!$V30,SubTitles,0)),Sync!$V30)))</f>
        <v/>
      </c>
      <c r="L33">
        <f>IF(OR($E33="",$E33="نامعتبر"),"",IF(Sync!$W30="",0,Sync!$W30))</f>
        <v/>
      </c>
      <c r="M33">
        <f>IF(OR($E33="",$E33="نامعتبر"),"",IF(Sync!$X30="",0,Sync!$X30))</f>
        <v/>
      </c>
      <c r="N33">
        <f>IF(OR($E33="",$E33="نامعتبر"),"",IF(AND($J33="هزینه",$K33&lt;&gt;""),1,0))</f>
        <v/>
      </c>
      <c r="O33">
        <f>IF($N33=0,"",LEFT($E33,4)&amp;MID($E33,6,2)&amp;RIGHT($E33,2)&amp;$F33&amp;"|"&amp;"1"&amp;RIGHT("00000"&amp;25,5))</f>
        <v/>
      </c>
      <c r="P33">
        <f>IF($O33="","",COUNTIFS(ExpSub,$K33,ExpKey,"&lt;"&amp;$O33)+1)</f>
        <v/>
      </c>
      <c r="Q33">
        <f>IF($P33="","",$K33&amp;"|"&amp;RIGHT("000000"&amp;$P33,6))</f>
        <v/>
      </c>
    </row>
    <row r="34">
      <c r="A34">
        <f>IF(Sync!$P31="","",Sync!$P31)</f>
        <v/>
      </c>
      <c r="B34">
        <f>IF($A34="","",IF(ISNUMBER($A34),IF(AND($A34&gt;=10000101,$A34&lt;=99991231),INT($A34/10000),""),IFERROR(VALUE(TRIM(LEFT($A34,FIND("/",$A34)-1))),"")))</f>
        <v/>
      </c>
      <c r="C34">
        <f>IF(OR($A34="",$B34=""),"",IF(ISNUMBER($A34),INT(MOD($A34,10000)/100),IFERROR(VALUE(TRIM(LEFT(MID($A34,FIND("/",$A34)+1,20),FIND("/",MID($A34,FIND("/",$A34)+1,20))-1))),"")))</f>
        <v/>
      </c>
      <c r="D34">
        <f>IF(OR($A34="",$B34=""),"",IF(ISNUMBER($A34),MOD($A34,100),IFERROR(VALUE(TRIM(MID(MID($A34,FIND("/",$A34)+1,20),FIND("/",MID($A34,FIND("/",$A34)+1,20))+1,20))),"")))</f>
        <v/>
      </c>
      <c r="E34">
        <f>IF($A34="","",IF(OR($B34="",$C34="",$D34="",$B34&lt;1300,$B34&gt;1500,$C34&lt;1,$C34&gt;12,$D34&lt;1,$D34&gt;31),"نامعتبر",RIGHT("0000"&amp;$B34,4)&amp;"/"&amp;RIGHT("00"&amp;$C34,2)&amp;"/"&amp;RIGHT("00"&amp;$D34,2)))</f>
        <v/>
      </c>
      <c r="F34">
        <f>IF(OR($E34="",$E34="نامعتبر"),"",IF(Sync!$Q31="","0000",IF(AND(ISNUMBER(Sync!$Q31),Sync!$Q31&gt;=0,Sync!$Q31&lt;1),RIGHT("00"&amp;HOUR(Sync!$Q31),2)&amp;RIGHT("00"&amp;MINUTE(Sync!$Q31),2),IFERROR(RIGHT("00"&amp;VALUE(LEFT(Sync!$Q31,FIND(":",Sync!$Q31)-1)),2)&amp;RIGHT("00"&amp;VALUE(MID(Sync!$Q31,FIND(":",Sync!$Q31)+1,2)),2),"0000"))))</f>
        <v/>
      </c>
      <c r="G34">
        <f>IF(OR($E34="",$E34="نامعتبر"),"",IF(Sync!$S31="","",Sync!$S31))</f>
        <v/>
      </c>
      <c r="H34">
        <f>IF(OR($E34="",$E34="نامعتبر"),"",IF(Sync!$R31="","",Sync!$R31))</f>
        <v/>
      </c>
      <c r="I34">
        <f>IF(OR($E34="",$E34="نامعتبر"),"",IF(Sync!$T31="","",Sync!$T31))</f>
        <v/>
      </c>
      <c r="J34">
        <f>IF(OR($E34="",$E34="نامعتبر"),"",IF(Sync!$U31="","",Sync!$U31))</f>
        <v/>
      </c>
      <c r="K34">
        <f>IF(OR($E34="",$E34="نامعتبر"),"",IF(Sync!$V31="","",IFERROR(INDEX(SubCodes,MATCH(Sync!$V31,SubTitles,0)),Sync!$V31)))</f>
        <v/>
      </c>
      <c r="L34">
        <f>IF(OR($E34="",$E34="نامعتبر"),"",IF(Sync!$W31="",0,Sync!$W31))</f>
        <v/>
      </c>
      <c r="M34">
        <f>IF(OR($E34="",$E34="نامعتبر"),"",IF(Sync!$X31="",0,Sync!$X31))</f>
        <v/>
      </c>
      <c r="N34">
        <f>IF(OR($E34="",$E34="نامعتبر"),"",IF(AND($J34="هزینه",$K34&lt;&gt;""),1,0))</f>
        <v/>
      </c>
      <c r="O34">
        <f>IF($N34=0,"",LEFT($E34,4)&amp;MID($E34,6,2)&amp;RIGHT($E34,2)&amp;$F34&amp;"|"&amp;"1"&amp;RIGHT("00000"&amp;26,5))</f>
        <v/>
      </c>
      <c r="P34">
        <f>IF($O34="","",COUNTIFS(ExpSub,$K34,ExpKey,"&lt;"&amp;$O34)+1)</f>
        <v/>
      </c>
      <c r="Q34">
        <f>IF($P34="","",$K34&amp;"|"&amp;RIGHT("000000"&amp;$P34,6))</f>
        <v/>
      </c>
    </row>
    <row r="35">
      <c r="A35">
        <f>IF(Sync!$P32="","",Sync!$P32)</f>
        <v/>
      </c>
      <c r="B35">
        <f>IF($A35="","",IF(ISNUMBER($A35),IF(AND($A35&gt;=10000101,$A35&lt;=99991231),INT($A35/10000),""),IFERROR(VALUE(TRIM(LEFT($A35,FIND("/",$A35)-1))),"")))</f>
        <v/>
      </c>
      <c r="C35">
        <f>IF(OR($A35="",$B35=""),"",IF(ISNUMBER($A35),INT(MOD($A35,10000)/100),IFERROR(VALUE(TRIM(LEFT(MID($A35,FIND("/",$A35)+1,20),FIND("/",MID($A35,FIND("/",$A35)+1,20))-1))),"")))</f>
        <v/>
      </c>
      <c r="D35">
        <f>IF(OR($A35="",$B35=""),"",IF(ISNUMBER($A35),MOD($A35,100),IFERROR(VALUE(TRIM(MID(MID($A35,FIND("/",$A35)+1,20),FIND("/",MID($A35,FIND("/",$A35)+1,20))+1,20))),"")))</f>
        <v/>
      </c>
      <c r="E35">
        <f>IF($A35="","",IF(OR($B35="",$C35="",$D35="",$B35&lt;1300,$B35&gt;1500,$C35&lt;1,$C35&gt;12,$D35&lt;1,$D35&gt;31),"نامعتبر",RIGHT("0000"&amp;$B35,4)&amp;"/"&amp;RIGHT("00"&amp;$C35,2)&amp;"/"&amp;RIGHT("00"&amp;$D35,2)))</f>
        <v/>
      </c>
      <c r="F35">
        <f>IF(OR($E35="",$E35="نامعتبر"),"",IF(Sync!$Q32="","0000",IF(AND(ISNUMBER(Sync!$Q32),Sync!$Q32&gt;=0,Sync!$Q32&lt;1),RIGHT("00"&amp;HOUR(Sync!$Q32),2)&amp;RIGHT("00"&amp;MINUTE(Sync!$Q32),2),IFERROR(RIGHT("00"&amp;VALUE(LEFT(Sync!$Q32,FIND(":",Sync!$Q32)-1)),2)&amp;RIGHT("00"&amp;VALUE(MID(Sync!$Q32,FIND(":",Sync!$Q32)+1,2)),2),"0000"))))</f>
        <v/>
      </c>
      <c r="G35">
        <f>IF(OR($E35="",$E35="نامعتبر"),"",IF(Sync!$S32="","",Sync!$S32))</f>
        <v/>
      </c>
      <c r="H35">
        <f>IF(OR($E35="",$E35="نامعتبر"),"",IF(Sync!$R32="","",Sync!$R32))</f>
        <v/>
      </c>
      <c r="I35">
        <f>IF(OR($E35="",$E35="نامعتبر"),"",IF(Sync!$T32="","",Sync!$T32))</f>
        <v/>
      </c>
      <c r="J35">
        <f>IF(OR($E35="",$E35="نامعتبر"),"",IF(Sync!$U32="","",Sync!$U32))</f>
        <v/>
      </c>
      <c r="K35">
        <f>IF(OR($E35="",$E35="نامعتبر"),"",IF(Sync!$V32="","",IFERROR(INDEX(SubCodes,MATCH(Sync!$V32,SubTitles,0)),Sync!$V32)))</f>
        <v/>
      </c>
      <c r="L35">
        <f>IF(OR($E35="",$E35="نامعتبر"),"",IF(Sync!$W32="",0,Sync!$W32))</f>
        <v/>
      </c>
      <c r="M35">
        <f>IF(OR($E35="",$E35="نامعتبر"),"",IF(Sync!$X32="",0,Sync!$X32))</f>
        <v/>
      </c>
      <c r="N35">
        <f>IF(OR($E35="",$E35="نامعتبر"),"",IF(AND($J35="هزینه",$K35&lt;&gt;""),1,0))</f>
        <v/>
      </c>
      <c r="O35">
        <f>IF($N35=0,"",LEFT($E35,4)&amp;MID($E35,6,2)&amp;RIGHT($E35,2)&amp;$F35&amp;"|"&amp;"1"&amp;RIGHT("00000"&amp;27,5))</f>
        <v/>
      </c>
      <c r="P35">
        <f>IF($O35="","",COUNTIFS(ExpSub,$K35,ExpKey,"&lt;"&amp;$O35)+1)</f>
        <v/>
      </c>
      <c r="Q35">
        <f>IF($P35="","",$K35&amp;"|"&amp;RIGHT("000000"&amp;$P35,6))</f>
        <v/>
      </c>
    </row>
    <row r="36">
      <c r="A36">
        <f>IF(Sync!$P33="","",Sync!$P33)</f>
        <v/>
      </c>
      <c r="B36">
        <f>IF($A36="","",IF(ISNUMBER($A36),IF(AND($A36&gt;=10000101,$A36&lt;=99991231),INT($A36/10000),""),IFERROR(VALUE(TRIM(LEFT($A36,FIND("/",$A36)-1))),"")))</f>
        <v/>
      </c>
      <c r="C36">
        <f>IF(OR($A36="",$B36=""),"",IF(ISNUMBER($A36),INT(MOD($A36,10000)/100),IFERROR(VALUE(TRIM(LEFT(MID($A36,FIND("/",$A36)+1,20),FIND("/",MID($A36,FIND("/",$A36)+1,20))-1))),"")))</f>
        <v/>
      </c>
      <c r="D36">
        <f>IF(OR($A36="",$B36=""),"",IF(ISNUMBER($A36),MOD($A36,100),IFERROR(VALUE(TRIM(MID(MID($A36,FIND("/",$A36)+1,20),FIND("/",MID($A36,FIND("/",$A36)+1,20))+1,20))),"")))</f>
        <v/>
      </c>
      <c r="E36">
        <f>IF($A36="","",IF(OR($B36="",$C36="",$D36="",$B36&lt;1300,$B36&gt;1500,$C36&lt;1,$C36&gt;12,$D36&lt;1,$D36&gt;31),"نامعتبر",RIGHT("0000"&amp;$B36,4)&amp;"/"&amp;RIGHT("00"&amp;$C36,2)&amp;"/"&amp;RIGHT("00"&amp;$D36,2)))</f>
        <v/>
      </c>
      <c r="F36">
        <f>IF(OR($E36="",$E36="نامعتبر"),"",IF(Sync!$Q33="","0000",IF(AND(ISNUMBER(Sync!$Q33),Sync!$Q33&gt;=0,Sync!$Q33&lt;1),RIGHT("00"&amp;HOUR(Sync!$Q33),2)&amp;RIGHT("00"&amp;MINUTE(Sync!$Q33),2),IFERROR(RIGHT("00"&amp;VALUE(LEFT(Sync!$Q33,FIND(":",Sync!$Q33)-1)),2)&amp;RIGHT("00"&amp;VALUE(MID(Sync!$Q33,FIND(":",Sync!$Q33)+1,2)),2),"0000"))))</f>
        <v/>
      </c>
      <c r="G36">
        <f>IF(OR($E36="",$E36="نامعتبر"),"",IF(Sync!$S33="","",Sync!$S33))</f>
        <v/>
      </c>
      <c r="H36">
        <f>IF(OR($E36="",$E36="نامعتبر"),"",IF(Sync!$R33="","",Sync!$R33))</f>
        <v/>
      </c>
      <c r="I36">
        <f>IF(OR($E36="",$E36="نامعتبر"),"",IF(Sync!$T33="","",Sync!$T33))</f>
        <v/>
      </c>
      <c r="J36">
        <f>IF(OR($E36="",$E36="نامعتبر"),"",IF(Sync!$U33="","",Sync!$U33))</f>
        <v/>
      </c>
      <c r="K36">
        <f>IF(OR($E36="",$E36="نامعتبر"),"",IF(Sync!$V33="","",IFERROR(INDEX(SubCodes,MATCH(Sync!$V33,SubTitles,0)),Sync!$V33)))</f>
        <v/>
      </c>
      <c r="L36">
        <f>IF(OR($E36="",$E36="نامعتبر"),"",IF(Sync!$W33="",0,Sync!$W33))</f>
        <v/>
      </c>
      <c r="M36">
        <f>IF(OR($E36="",$E36="نامعتبر"),"",IF(Sync!$X33="",0,Sync!$X33))</f>
        <v/>
      </c>
      <c r="N36">
        <f>IF(OR($E36="",$E36="نامعتبر"),"",IF(AND($J36="هزینه",$K36&lt;&gt;""),1,0))</f>
        <v/>
      </c>
      <c r="O36">
        <f>IF($N36=0,"",LEFT($E36,4)&amp;MID($E36,6,2)&amp;RIGHT($E36,2)&amp;$F36&amp;"|"&amp;"1"&amp;RIGHT("00000"&amp;28,5))</f>
        <v/>
      </c>
      <c r="P36">
        <f>IF($O36="","",COUNTIFS(ExpSub,$K36,ExpKey,"&lt;"&amp;$O36)+1)</f>
        <v/>
      </c>
      <c r="Q36">
        <f>IF($P36="","",$K36&amp;"|"&amp;RIGHT("000000"&amp;$P36,6))</f>
        <v/>
      </c>
    </row>
    <row r="37">
      <c r="A37">
        <f>IF(Sync!$P34="","",Sync!$P34)</f>
        <v/>
      </c>
      <c r="B37">
        <f>IF($A37="","",IF(ISNUMBER($A37),IF(AND($A37&gt;=10000101,$A37&lt;=99991231),INT($A37/10000),""),IFERROR(VALUE(TRIM(LEFT($A37,FIND("/",$A37)-1))),"")))</f>
        <v/>
      </c>
      <c r="C37">
        <f>IF(OR($A37="",$B37=""),"",IF(ISNUMBER($A37),INT(MOD($A37,10000)/100),IFERROR(VALUE(TRIM(LEFT(MID($A37,FIND("/",$A37)+1,20),FIND("/",MID($A37,FIND("/",$A37)+1,20))-1))),"")))</f>
        <v/>
      </c>
      <c r="D37">
        <f>IF(OR($A37="",$B37=""),"",IF(ISNUMBER($A37),MOD($A37,100),IFERROR(VALUE(TRIM(MID(MID($A37,FIND("/",$A37)+1,20),FIND("/",MID($A37,FIND("/",$A37)+1,20))+1,20))),"")))</f>
        <v/>
      </c>
      <c r="E37">
        <f>IF($A37="","",IF(OR($B37="",$C37="",$D37="",$B37&lt;1300,$B37&gt;1500,$C37&lt;1,$C37&gt;12,$D37&lt;1,$D37&gt;31),"نامعتبر",RIGHT("0000"&amp;$B37,4)&amp;"/"&amp;RIGHT("00"&amp;$C37,2)&amp;"/"&amp;RIGHT("00"&amp;$D37,2)))</f>
        <v/>
      </c>
      <c r="F37">
        <f>IF(OR($E37="",$E37="نامعتبر"),"",IF(Sync!$Q34="","0000",IF(AND(ISNUMBER(Sync!$Q34),Sync!$Q34&gt;=0,Sync!$Q34&lt;1),RIGHT("00"&amp;HOUR(Sync!$Q34),2)&amp;RIGHT("00"&amp;MINUTE(Sync!$Q34),2),IFERROR(RIGHT("00"&amp;VALUE(LEFT(Sync!$Q34,FIND(":",Sync!$Q34)-1)),2)&amp;RIGHT("00"&amp;VALUE(MID(Sync!$Q34,FIND(":",Sync!$Q34)+1,2)),2),"0000"))))</f>
        <v/>
      </c>
      <c r="G37">
        <f>IF(OR($E37="",$E37="نامعتبر"),"",IF(Sync!$S34="","",Sync!$S34))</f>
        <v/>
      </c>
      <c r="H37">
        <f>IF(OR($E37="",$E37="نامعتبر"),"",IF(Sync!$R34="","",Sync!$R34))</f>
        <v/>
      </c>
      <c r="I37">
        <f>IF(OR($E37="",$E37="نامعتبر"),"",IF(Sync!$T34="","",Sync!$T34))</f>
        <v/>
      </c>
      <c r="J37">
        <f>IF(OR($E37="",$E37="نامعتبر"),"",IF(Sync!$U34="","",Sync!$U34))</f>
        <v/>
      </c>
      <c r="K37">
        <f>IF(OR($E37="",$E37="نامعتبر"),"",IF(Sync!$V34="","",IFERROR(INDEX(SubCodes,MATCH(Sync!$V34,SubTitles,0)),Sync!$V34)))</f>
        <v/>
      </c>
      <c r="L37">
        <f>IF(OR($E37="",$E37="نامعتبر"),"",IF(Sync!$W34="",0,Sync!$W34))</f>
        <v/>
      </c>
      <c r="M37">
        <f>IF(OR($E37="",$E37="نامعتبر"),"",IF(Sync!$X34="",0,Sync!$X34))</f>
        <v/>
      </c>
      <c r="N37">
        <f>IF(OR($E37="",$E37="نامعتبر"),"",IF(AND($J37="هزینه",$K37&lt;&gt;""),1,0))</f>
        <v/>
      </c>
      <c r="O37">
        <f>IF($N37=0,"",LEFT($E37,4)&amp;MID($E37,6,2)&amp;RIGHT($E37,2)&amp;$F37&amp;"|"&amp;"1"&amp;RIGHT("00000"&amp;29,5))</f>
        <v/>
      </c>
      <c r="P37">
        <f>IF($O37="","",COUNTIFS(ExpSub,$K37,ExpKey,"&lt;"&amp;$O37)+1)</f>
        <v/>
      </c>
      <c r="Q37">
        <f>IF($P37="","",$K37&amp;"|"&amp;RIGHT("000000"&amp;$P37,6))</f>
        <v/>
      </c>
    </row>
    <row r="38">
      <c r="A38">
        <f>IF(Sync!$P35="","",Sync!$P35)</f>
        <v/>
      </c>
      <c r="B38">
        <f>IF($A38="","",IF(ISNUMBER($A38),IF(AND($A38&gt;=10000101,$A38&lt;=99991231),INT($A38/10000),""),IFERROR(VALUE(TRIM(LEFT($A38,FIND("/",$A38)-1))),"")))</f>
        <v/>
      </c>
      <c r="C38">
        <f>IF(OR($A38="",$B38=""),"",IF(ISNUMBER($A38),INT(MOD($A38,10000)/100),IFERROR(VALUE(TRIM(LEFT(MID($A38,FIND("/",$A38)+1,20),FIND("/",MID($A38,FIND("/",$A38)+1,20))-1))),"")))</f>
        <v/>
      </c>
      <c r="D38">
        <f>IF(OR($A38="",$B38=""),"",IF(ISNUMBER($A38),MOD($A38,100),IFERROR(VALUE(TRIM(MID(MID($A38,FIND("/",$A38)+1,20),FIND("/",MID($A38,FIND("/",$A38)+1,20))+1,20))),"")))</f>
        <v/>
      </c>
      <c r="E38">
        <f>IF($A38="","",IF(OR($B38="",$C38="",$D38="",$B38&lt;1300,$B38&gt;1500,$C38&lt;1,$C38&gt;12,$D38&lt;1,$D38&gt;31),"نامعتبر",RIGHT("0000"&amp;$B38,4)&amp;"/"&amp;RIGHT("00"&amp;$C38,2)&amp;"/"&amp;RIGHT("00"&amp;$D38,2)))</f>
        <v/>
      </c>
      <c r="F38">
        <f>IF(OR($E38="",$E38="نامعتبر"),"",IF(Sync!$Q35="","0000",IF(AND(ISNUMBER(Sync!$Q35),Sync!$Q35&gt;=0,Sync!$Q35&lt;1),RIGHT("00"&amp;HOUR(Sync!$Q35),2)&amp;RIGHT("00"&amp;MINUTE(Sync!$Q35),2),IFERROR(RIGHT("00"&amp;VALUE(LEFT(Sync!$Q35,FIND(":",Sync!$Q35)-1)),2)&amp;RIGHT("00"&amp;VALUE(MID(Sync!$Q35,FIND(":",Sync!$Q35)+1,2)),2),"0000"))))</f>
        <v/>
      </c>
      <c r="G38">
        <f>IF(OR($E38="",$E38="نامعتبر"),"",IF(Sync!$S35="","",Sync!$S35))</f>
        <v/>
      </c>
      <c r="H38">
        <f>IF(OR($E38="",$E38="نامعتبر"),"",IF(Sync!$R35="","",Sync!$R35))</f>
        <v/>
      </c>
      <c r="I38">
        <f>IF(OR($E38="",$E38="نامعتبر"),"",IF(Sync!$T35="","",Sync!$T35))</f>
        <v/>
      </c>
      <c r="J38">
        <f>IF(OR($E38="",$E38="نامعتبر"),"",IF(Sync!$U35="","",Sync!$U35))</f>
        <v/>
      </c>
      <c r="K38">
        <f>IF(OR($E38="",$E38="نامعتبر"),"",IF(Sync!$V35="","",IFERROR(INDEX(SubCodes,MATCH(Sync!$V35,SubTitles,0)),Sync!$V35)))</f>
        <v/>
      </c>
      <c r="L38">
        <f>IF(OR($E38="",$E38="نامعتبر"),"",IF(Sync!$W35="",0,Sync!$W35))</f>
        <v/>
      </c>
      <c r="M38">
        <f>IF(OR($E38="",$E38="نامعتبر"),"",IF(Sync!$X35="",0,Sync!$X35))</f>
        <v/>
      </c>
      <c r="N38">
        <f>IF(OR($E38="",$E38="نامعتبر"),"",IF(AND($J38="هزینه",$K38&lt;&gt;""),1,0))</f>
        <v/>
      </c>
      <c r="O38">
        <f>IF($N38=0,"",LEFT($E38,4)&amp;MID($E38,6,2)&amp;RIGHT($E38,2)&amp;$F38&amp;"|"&amp;"1"&amp;RIGHT("00000"&amp;30,5))</f>
        <v/>
      </c>
      <c r="P38">
        <f>IF($O38="","",COUNTIFS(ExpSub,$K38,ExpKey,"&lt;"&amp;$O38)+1)</f>
        <v/>
      </c>
      <c r="Q38">
        <f>IF($P38="","",$K38&amp;"|"&amp;RIGHT("000000"&amp;$P38,6))</f>
        <v/>
      </c>
    </row>
    <row r="39">
      <c r="A39">
        <f>IF(Sync!$P36="","",Sync!$P36)</f>
        <v/>
      </c>
      <c r="B39">
        <f>IF($A39="","",IF(ISNUMBER($A39),IF(AND($A39&gt;=10000101,$A39&lt;=99991231),INT($A39/10000),""),IFERROR(VALUE(TRIM(LEFT($A39,FIND("/",$A39)-1))),"")))</f>
        <v/>
      </c>
      <c r="C39">
        <f>IF(OR($A39="",$B39=""),"",IF(ISNUMBER($A39),INT(MOD($A39,10000)/100),IFERROR(VALUE(TRIM(LEFT(MID($A39,FIND("/",$A39)+1,20),FIND("/",MID($A39,FIND("/",$A39)+1,20))-1))),"")))</f>
        <v/>
      </c>
      <c r="D39">
        <f>IF(OR($A39="",$B39=""),"",IF(ISNUMBER($A39),MOD($A39,100),IFERROR(VALUE(TRIM(MID(MID($A39,FIND("/",$A39)+1,20),FIND("/",MID($A39,FIND("/",$A39)+1,20))+1,20))),"")))</f>
        <v/>
      </c>
      <c r="E39">
        <f>IF($A39="","",IF(OR($B39="",$C39="",$D39="",$B39&lt;1300,$B39&gt;1500,$C39&lt;1,$C39&gt;12,$D39&lt;1,$D39&gt;31),"نامعتبر",RIGHT("0000"&amp;$B39,4)&amp;"/"&amp;RIGHT("00"&amp;$C39,2)&amp;"/"&amp;RIGHT("00"&amp;$D39,2)))</f>
        <v/>
      </c>
      <c r="F39">
        <f>IF(OR($E39="",$E39="نامعتبر"),"",IF(Sync!$Q36="","0000",IF(AND(ISNUMBER(Sync!$Q36),Sync!$Q36&gt;=0,Sync!$Q36&lt;1),RIGHT("00"&amp;HOUR(Sync!$Q36),2)&amp;RIGHT("00"&amp;MINUTE(Sync!$Q36),2),IFERROR(RIGHT("00"&amp;VALUE(LEFT(Sync!$Q36,FIND(":",Sync!$Q36)-1)),2)&amp;RIGHT("00"&amp;VALUE(MID(Sync!$Q36,FIND(":",Sync!$Q36)+1,2)),2),"0000"))))</f>
        <v/>
      </c>
      <c r="G39">
        <f>IF(OR($E39="",$E39="نامعتبر"),"",IF(Sync!$S36="","",Sync!$S36))</f>
        <v/>
      </c>
      <c r="H39">
        <f>IF(OR($E39="",$E39="نامعتبر"),"",IF(Sync!$R36="","",Sync!$R36))</f>
        <v/>
      </c>
      <c r="I39">
        <f>IF(OR($E39="",$E39="نامعتبر"),"",IF(Sync!$T36="","",Sync!$T36))</f>
        <v/>
      </c>
      <c r="J39">
        <f>IF(OR($E39="",$E39="نامعتبر"),"",IF(Sync!$U36="","",Sync!$U36))</f>
        <v/>
      </c>
      <c r="K39">
        <f>IF(OR($E39="",$E39="نامعتبر"),"",IF(Sync!$V36="","",IFERROR(INDEX(SubCodes,MATCH(Sync!$V36,SubTitles,0)),Sync!$V36)))</f>
        <v/>
      </c>
      <c r="L39">
        <f>IF(OR($E39="",$E39="نامعتبر"),"",IF(Sync!$W36="",0,Sync!$W36))</f>
        <v/>
      </c>
      <c r="M39">
        <f>IF(OR($E39="",$E39="نامعتبر"),"",IF(Sync!$X36="",0,Sync!$X36))</f>
        <v/>
      </c>
      <c r="N39">
        <f>IF(OR($E39="",$E39="نامعتبر"),"",IF(AND($J39="هزینه",$K39&lt;&gt;""),1,0))</f>
        <v/>
      </c>
      <c r="O39">
        <f>IF($N39=0,"",LEFT($E39,4)&amp;MID($E39,6,2)&amp;RIGHT($E39,2)&amp;$F39&amp;"|"&amp;"1"&amp;RIGHT("00000"&amp;31,5))</f>
        <v/>
      </c>
      <c r="P39">
        <f>IF($O39="","",COUNTIFS(ExpSub,$K39,ExpKey,"&lt;"&amp;$O39)+1)</f>
        <v/>
      </c>
      <c r="Q39">
        <f>IF($P39="","",$K39&amp;"|"&amp;RIGHT("000000"&amp;$P39,6))</f>
        <v/>
      </c>
    </row>
    <row r="40">
      <c r="A40">
        <f>IF(Sync!$P37="","",Sync!$P37)</f>
        <v/>
      </c>
      <c r="B40">
        <f>IF($A40="","",IF(ISNUMBER($A40),IF(AND($A40&gt;=10000101,$A40&lt;=99991231),INT($A40/10000),""),IFERROR(VALUE(TRIM(LEFT($A40,FIND("/",$A40)-1))),"")))</f>
        <v/>
      </c>
      <c r="C40">
        <f>IF(OR($A40="",$B40=""),"",IF(ISNUMBER($A40),INT(MOD($A40,10000)/100),IFERROR(VALUE(TRIM(LEFT(MID($A40,FIND("/",$A40)+1,20),FIND("/",MID($A40,FIND("/",$A40)+1,20))-1))),"")))</f>
        <v/>
      </c>
      <c r="D40">
        <f>IF(OR($A40="",$B40=""),"",IF(ISNUMBER($A40),MOD($A40,100),IFERROR(VALUE(TRIM(MID(MID($A40,FIND("/",$A40)+1,20),FIND("/",MID($A40,FIND("/",$A40)+1,20))+1,20))),"")))</f>
        <v/>
      </c>
      <c r="E40">
        <f>IF($A40="","",IF(OR($B40="",$C40="",$D40="",$B40&lt;1300,$B40&gt;1500,$C40&lt;1,$C40&gt;12,$D40&lt;1,$D40&gt;31),"نامعتبر",RIGHT("0000"&amp;$B40,4)&amp;"/"&amp;RIGHT("00"&amp;$C40,2)&amp;"/"&amp;RIGHT("00"&amp;$D40,2)))</f>
        <v/>
      </c>
      <c r="F40">
        <f>IF(OR($E40="",$E40="نامعتبر"),"",IF(Sync!$Q37="","0000",IF(AND(ISNUMBER(Sync!$Q37),Sync!$Q37&gt;=0,Sync!$Q37&lt;1),RIGHT("00"&amp;HOUR(Sync!$Q37),2)&amp;RIGHT("00"&amp;MINUTE(Sync!$Q37),2),IFERROR(RIGHT("00"&amp;VALUE(LEFT(Sync!$Q37,FIND(":",Sync!$Q37)-1)),2)&amp;RIGHT("00"&amp;VALUE(MID(Sync!$Q37,FIND(":",Sync!$Q37)+1,2)),2),"0000"))))</f>
        <v/>
      </c>
      <c r="G40">
        <f>IF(OR($E40="",$E40="نامعتبر"),"",IF(Sync!$S37="","",Sync!$S37))</f>
        <v/>
      </c>
      <c r="H40">
        <f>IF(OR($E40="",$E40="نامعتبر"),"",IF(Sync!$R37="","",Sync!$R37))</f>
        <v/>
      </c>
      <c r="I40">
        <f>IF(OR($E40="",$E40="نامعتبر"),"",IF(Sync!$T37="","",Sync!$T37))</f>
        <v/>
      </c>
      <c r="J40">
        <f>IF(OR($E40="",$E40="نامعتبر"),"",IF(Sync!$U37="","",Sync!$U37))</f>
        <v/>
      </c>
      <c r="K40">
        <f>IF(OR($E40="",$E40="نامعتبر"),"",IF(Sync!$V37="","",IFERROR(INDEX(SubCodes,MATCH(Sync!$V37,SubTitles,0)),Sync!$V37)))</f>
        <v/>
      </c>
      <c r="L40">
        <f>IF(OR($E40="",$E40="نامعتبر"),"",IF(Sync!$W37="",0,Sync!$W37))</f>
        <v/>
      </c>
      <c r="M40">
        <f>IF(OR($E40="",$E40="نامعتبر"),"",IF(Sync!$X37="",0,Sync!$X37))</f>
        <v/>
      </c>
      <c r="N40">
        <f>IF(OR($E40="",$E40="نامعتبر"),"",IF(AND($J40="هزینه",$K40&lt;&gt;""),1,0))</f>
        <v/>
      </c>
      <c r="O40">
        <f>IF($N40=0,"",LEFT($E40,4)&amp;MID($E40,6,2)&amp;RIGHT($E40,2)&amp;$F40&amp;"|"&amp;"1"&amp;RIGHT("00000"&amp;32,5))</f>
        <v/>
      </c>
      <c r="P40">
        <f>IF($O40="","",COUNTIFS(ExpSub,$K40,ExpKey,"&lt;"&amp;$O40)+1)</f>
        <v/>
      </c>
      <c r="Q40">
        <f>IF($P40="","",$K40&amp;"|"&amp;RIGHT("000000"&amp;$P40,6))</f>
        <v/>
      </c>
    </row>
    <row r="41">
      <c r="A41">
        <f>IF(Sync!$P38="","",Sync!$P38)</f>
        <v/>
      </c>
      <c r="B41">
        <f>IF($A41="","",IF(ISNUMBER($A41),IF(AND($A41&gt;=10000101,$A41&lt;=99991231),INT($A41/10000),""),IFERROR(VALUE(TRIM(LEFT($A41,FIND("/",$A41)-1))),"")))</f>
        <v/>
      </c>
      <c r="C41">
        <f>IF(OR($A41="",$B41=""),"",IF(ISNUMBER($A41),INT(MOD($A41,10000)/100),IFERROR(VALUE(TRIM(LEFT(MID($A41,FIND("/",$A41)+1,20),FIND("/",MID($A41,FIND("/",$A41)+1,20))-1))),"")))</f>
        <v/>
      </c>
      <c r="D41">
        <f>IF(OR($A41="",$B41=""),"",IF(ISNUMBER($A41),MOD($A41,100),IFERROR(VALUE(TRIM(MID(MID($A41,FIND("/",$A41)+1,20),FIND("/",MID($A41,FIND("/",$A41)+1,20))+1,20))),"")))</f>
        <v/>
      </c>
      <c r="E41">
        <f>IF($A41="","",IF(OR($B41="",$C41="",$D41="",$B41&lt;1300,$B41&gt;1500,$C41&lt;1,$C41&gt;12,$D41&lt;1,$D41&gt;31),"نامعتبر",RIGHT("0000"&amp;$B41,4)&amp;"/"&amp;RIGHT("00"&amp;$C41,2)&amp;"/"&amp;RIGHT("00"&amp;$D41,2)))</f>
        <v/>
      </c>
      <c r="F41">
        <f>IF(OR($E41="",$E41="نامعتبر"),"",IF(Sync!$Q38="","0000",IF(AND(ISNUMBER(Sync!$Q38),Sync!$Q38&gt;=0,Sync!$Q38&lt;1),RIGHT("00"&amp;HOUR(Sync!$Q38),2)&amp;RIGHT("00"&amp;MINUTE(Sync!$Q38),2),IFERROR(RIGHT("00"&amp;VALUE(LEFT(Sync!$Q38,FIND(":",Sync!$Q38)-1)),2)&amp;RIGHT("00"&amp;VALUE(MID(Sync!$Q38,FIND(":",Sync!$Q38)+1,2)),2),"0000"))))</f>
        <v/>
      </c>
      <c r="G41">
        <f>IF(OR($E41="",$E41="نامعتبر"),"",IF(Sync!$S38="","",Sync!$S38))</f>
        <v/>
      </c>
      <c r="H41">
        <f>IF(OR($E41="",$E41="نامعتبر"),"",IF(Sync!$R38="","",Sync!$R38))</f>
        <v/>
      </c>
      <c r="I41">
        <f>IF(OR($E41="",$E41="نامعتبر"),"",IF(Sync!$T38="","",Sync!$T38))</f>
        <v/>
      </c>
      <c r="J41">
        <f>IF(OR($E41="",$E41="نامعتبر"),"",IF(Sync!$U38="","",Sync!$U38))</f>
        <v/>
      </c>
      <c r="K41">
        <f>IF(OR($E41="",$E41="نامعتبر"),"",IF(Sync!$V38="","",IFERROR(INDEX(SubCodes,MATCH(Sync!$V38,SubTitles,0)),Sync!$V38)))</f>
        <v/>
      </c>
      <c r="L41">
        <f>IF(OR($E41="",$E41="نامعتبر"),"",IF(Sync!$W38="",0,Sync!$W38))</f>
        <v/>
      </c>
      <c r="M41">
        <f>IF(OR($E41="",$E41="نامعتبر"),"",IF(Sync!$X38="",0,Sync!$X38))</f>
        <v/>
      </c>
      <c r="N41">
        <f>IF(OR($E41="",$E41="نامعتبر"),"",IF(AND($J41="هزینه",$K41&lt;&gt;""),1,0))</f>
        <v/>
      </c>
      <c r="O41">
        <f>IF($N41=0,"",LEFT($E41,4)&amp;MID($E41,6,2)&amp;RIGHT($E41,2)&amp;$F41&amp;"|"&amp;"1"&amp;RIGHT("00000"&amp;33,5))</f>
        <v/>
      </c>
      <c r="P41">
        <f>IF($O41="","",COUNTIFS(ExpSub,$K41,ExpKey,"&lt;"&amp;$O41)+1)</f>
        <v/>
      </c>
      <c r="Q41">
        <f>IF($P41="","",$K41&amp;"|"&amp;RIGHT("000000"&amp;$P41,6))</f>
        <v/>
      </c>
    </row>
    <row r="42">
      <c r="A42">
        <f>IF(Sync!$P39="","",Sync!$P39)</f>
        <v/>
      </c>
      <c r="B42">
        <f>IF($A42="","",IF(ISNUMBER($A42),IF(AND($A42&gt;=10000101,$A42&lt;=99991231),INT($A42/10000),""),IFERROR(VALUE(TRIM(LEFT($A42,FIND("/",$A42)-1))),"")))</f>
        <v/>
      </c>
      <c r="C42">
        <f>IF(OR($A42="",$B42=""),"",IF(ISNUMBER($A42),INT(MOD($A42,10000)/100),IFERROR(VALUE(TRIM(LEFT(MID($A42,FIND("/",$A42)+1,20),FIND("/",MID($A42,FIND("/",$A42)+1,20))-1))),"")))</f>
        <v/>
      </c>
      <c r="D42">
        <f>IF(OR($A42="",$B42=""),"",IF(ISNUMBER($A42),MOD($A42,100),IFERROR(VALUE(TRIM(MID(MID($A42,FIND("/",$A42)+1,20),FIND("/",MID($A42,FIND("/",$A42)+1,20))+1,20))),"")))</f>
        <v/>
      </c>
      <c r="E42">
        <f>IF($A42="","",IF(OR($B42="",$C42="",$D42="",$B42&lt;1300,$B42&gt;1500,$C42&lt;1,$C42&gt;12,$D42&lt;1,$D42&gt;31),"نامعتبر",RIGHT("0000"&amp;$B42,4)&amp;"/"&amp;RIGHT("00"&amp;$C42,2)&amp;"/"&amp;RIGHT("00"&amp;$D42,2)))</f>
        <v/>
      </c>
      <c r="F42">
        <f>IF(OR($E42="",$E42="نامعتبر"),"",IF(Sync!$Q39="","0000",IF(AND(ISNUMBER(Sync!$Q39),Sync!$Q39&gt;=0,Sync!$Q39&lt;1),RIGHT("00"&amp;HOUR(Sync!$Q39),2)&amp;RIGHT("00"&amp;MINUTE(Sync!$Q39),2),IFERROR(RIGHT("00"&amp;VALUE(LEFT(Sync!$Q39,FIND(":",Sync!$Q39)-1)),2)&amp;RIGHT("00"&amp;VALUE(MID(Sync!$Q39,FIND(":",Sync!$Q39)+1,2)),2),"0000"))))</f>
        <v/>
      </c>
      <c r="G42">
        <f>IF(OR($E42="",$E42="نامعتبر"),"",IF(Sync!$S39="","",Sync!$S39))</f>
        <v/>
      </c>
      <c r="H42">
        <f>IF(OR($E42="",$E42="نامعتبر"),"",IF(Sync!$R39="","",Sync!$R39))</f>
        <v/>
      </c>
      <c r="I42">
        <f>IF(OR($E42="",$E42="نامعتبر"),"",IF(Sync!$T39="","",Sync!$T39))</f>
        <v/>
      </c>
      <c r="J42">
        <f>IF(OR($E42="",$E42="نامعتبر"),"",IF(Sync!$U39="","",Sync!$U39))</f>
        <v/>
      </c>
      <c r="K42">
        <f>IF(OR($E42="",$E42="نامعتبر"),"",IF(Sync!$V39="","",IFERROR(INDEX(SubCodes,MATCH(Sync!$V39,SubTitles,0)),Sync!$V39)))</f>
        <v/>
      </c>
      <c r="L42">
        <f>IF(OR($E42="",$E42="نامعتبر"),"",IF(Sync!$W39="",0,Sync!$W39))</f>
        <v/>
      </c>
      <c r="M42">
        <f>IF(OR($E42="",$E42="نامعتبر"),"",IF(Sync!$X39="",0,Sync!$X39))</f>
        <v/>
      </c>
      <c r="N42">
        <f>IF(OR($E42="",$E42="نامعتبر"),"",IF(AND($J42="هزینه",$K42&lt;&gt;""),1,0))</f>
        <v/>
      </c>
      <c r="O42">
        <f>IF($N42=0,"",LEFT($E42,4)&amp;MID($E42,6,2)&amp;RIGHT($E42,2)&amp;$F42&amp;"|"&amp;"1"&amp;RIGHT("00000"&amp;34,5))</f>
        <v/>
      </c>
      <c r="P42">
        <f>IF($O42="","",COUNTIFS(ExpSub,$K42,ExpKey,"&lt;"&amp;$O42)+1)</f>
        <v/>
      </c>
      <c r="Q42">
        <f>IF($P42="","",$K42&amp;"|"&amp;RIGHT("000000"&amp;$P42,6))</f>
        <v/>
      </c>
    </row>
    <row r="43">
      <c r="A43">
        <f>IF(Sync!$P40="","",Sync!$P40)</f>
        <v/>
      </c>
      <c r="B43">
        <f>IF($A43="","",IF(ISNUMBER($A43),IF(AND($A43&gt;=10000101,$A43&lt;=99991231),INT($A43/10000),""),IFERROR(VALUE(TRIM(LEFT($A43,FIND("/",$A43)-1))),"")))</f>
        <v/>
      </c>
      <c r="C43">
        <f>IF(OR($A43="",$B43=""),"",IF(ISNUMBER($A43),INT(MOD($A43,10000)/100),IFERROR(VALUE(TRIM(LEFT(MID($A43,FIND("/",$A43)+1,20),FIND("/",MID($A43,FIND("/",$A43)+1,20))-1))),"")))</f>
        <v/>
      </c>
      <c r="D43">
        <f>IF(OR($A43="",$B43=""),"",IF(ISNUMBER($A43),MOD($A43,100),IFERROR(VALUE(TRIM(MID(MID($A43,FIND("/",$A43)+1,20),FIND("/",MID($A43,FIND("/",$A43)+1,20))+1,20))),"")))</f>
        <v/>
      </c>
      <c r="E43">
        <f>IF($A43="","",IF(OR($B43="",$C43="",$D43="",$B43&lt;1300,$B43&gt;1500,$C43&lt;1,$C43&gt;12,$D43&lt;1,$D43&gt;31),"نامعتبر",RIGHT("0000"&amp;$B43,4)&amp;"/"&amp;RIGHT("00"&amp;$C43,2)&amp;"/"&amp;RIGHT("00"&amp;$D43,2)))</f>
        <v/>
      </c>
      <c r="F43">
        <f>IF(OR($E43="",$E43="نامعتبر"),"",IF(Sync!$Q40="","0000",IF(AND(ISNUMBER(Sync!$Q40),Sync!$Q40&gt;=0,Sync!$Q40&lt;1),RIGHT("00"&amp;HOUR(Sync!$Q40),2)&amp;RIGHT("00"&amp;MINUTE(Sync!$Q40),2),IFERROR(RIGHT("00"&amp;VALUE(LEFT(Sync!$Q40,FIND(":",Sync!$Q40)-1)),2)&amp;RIGHT("00"&amp;VALUE(MID(Sync!$Q40,FIND(":",Sync!$Q40)+1,2)),2),"0000"))))</f>
        <v/>
      </c>
      <c r="G43">
        <f>IF(OR($E43="",$E43="نامعتبر"),"",IF(Sync!$S40="","",Sync!$S40))</f>
        <v/>
      </c>
      <c r="H43">
        <f>IF(OR($E43="",$E43="نامعتبر"),"",IF(Sync!$R40="","",Sync!$R40))</f>
        <v/>
      </c>
      <c r="I43">
        <f>IF(OR($E43="",$E43="نامعتبر"),"",IF(Sync!$T40="","",Sync!$T40))</f>
        <v/>
      </c>
      <c r="J43">
        <f>IF(OR($E43="",$E43="نامعتبر"),"",IF(Sync!$U40="","",Sync!$U40))</f>
        <v/>
      </c>
      <c r="K43">
        <f>IF(OR($E43="",$E43="نامعتبر"),"",IF(Sync!$V40="","",IFERROR(INDEX(SubCodes,MATCH(Sync!$V40,SubTitles,0)),Sync!$V40)))</f>
        <v/>
      </c>
      <c r="L43">
        <f>IF(OR($E43="",$E43="نامعتبر"),"",IF(Sync!$W40="",0,Sync!$W40))</f>
        <v/>
      </c>
      <c r="M43">
        <f>IF(OR($E43="",$E43="نامعتبر"),"",IF(Sync!$X40="",0,Sync!$X40))</f>
        <v/>
      </c>
      <c r="N43">
        <f>IF(OR($E43="",$E43="نامعتبر"),"",IF(AND($J43="هزینه",$K43&lt;&gt;""),1,0))</f>
        <v/>
      </c>
      <c r="O43">
        <f>IF($N43=0,"",LEFT($E43,4)&amp;MID($E43,6,2)&amp;RIGHT($E43,2)&amp;$F43&amp;"|"&amp;"1"&amp;RIGHT("00000"&amp;35,5))</f>
        <v/>
      </c>
      <c r="P43">
        <f>IF($O43="","",COUNTIFS(ExpSub,$K43,ExpKey,"&lt;"&amp;$O43)+1)</f>
        <v/>
      </c>
      <c r="Q43">
        <f>IF($P43="","",$K43&amp;"|"&amp;RIGHT("000000"&amp;$P43,6))</f>
        <v/>
      </c>
    </row>
    <row r="44">
      <c r="A44">
        <f>IF(Sync!$P41="","",Sync!$P41)</f>
        <v/>
      </c>
      <c r="B44">
        <f>IF($A44="","",IF(ISNUMBER($A44),IF(AND($A44&gt;=10000101,$A44&lt;=99991231),INT($A44/10000),""),IFERROR(VALUE(TRIM(LEFT($A44,FIND("/",$A44)-1))),"")))</f>
        <v/>
      </c>
      <c r="C44">
        <f>IF(OR($A44="",$B44=""),"",IF(ISNUMBER($A44),INT(MOD($A44,10000)/100),IFERROR(VALUE(TRIM(LEFT(MID($A44,FIND("/",$A44)+1,20),FIND("/",MID($A44,FIND("/",$A44)+1,20))-1))),"")))</f>
        <v/>
      </c>
      <c r="D44">
        <f>IF(OR($A44="",$B44=""),"",IF(ISNUMBER($A44),MOD($A44,100),IFERROR(VALUE(TRIM(MID(MID($A44,FIND("/",$A44)+1,20),FIND("/",MID($A44,FIND("/",$A44)+1,20))+1,20))),"")))</f>
        <v/>
      </c>
      <c r="E44">
        <f>IF($A44="","",IF(OR($B44="",$C44="",$D44="",$B44&lt;1300,$B44&gt;1500,$C44&lt;1,$C44&gt;12,$D44&lt;1,$D44&gt;31),"نامعتبر",RIGHT("0000"&amp;$B44,4)&amp;"/"&amp;RIGHT("00"&amp;$C44,2)&amp;"/"&amp;RIGHT("00"&amp;$D44,2)))</f>
        <v/>
      </c>
      <c r="F44">
        <f>IF(OR($E44="",$E44="نامعتبر"),"",IF(Sync!$Q41="","0000",IF(AND(ISNUMBER(Sync!$Q41),Sync!$Q41&gt;=0,Sync!$Q41&lt;1),RIGHT("00"&amp;HOUR(Sync!$Q41),2)&amp;RIGHT("00"&amp;MINUTE(Sync!$Q41),2),IFERROR(RIGHT("00"&amp;VALUE(LEFT(Sync!$Q41,FIND(":",Sync!$Q41)-1)),2)&amp;RIGHT("00"&amp;VALUE(MID(Sync!$Q41,FIND(":",Sync!$Q41)+1,2)),2),"0000"))))</f>
        <v/>
      </c>
      <c r="G44">
        <f>IF(OR($E44="",$E44="نامعتبر"),"",IF(Sync!$S41="","",Sync!$S41))</f>
        <v/>
      </c>
      <c r="H44">
        <f>IF(OR($E44="",$E44="نامعتبر"),"",IF(Sync!$R41="","",Sync!$R41))</f>
        <v/>
      </c>
      <c r="I44">
        <f>IF(OR($E44="",$E44="نامعتبر"),"",IF(Sync!$T41="","",Sync!$T41))</f>
        <v/>
      </c>
      <c r="J44">
        <f>IF(OR($E44="",$E44="نامعتبر"),"",IF(Sync!$U41="","",Sync!$U41))</f>
        <v/>
      </c>
      <c r="K44">
        <f>IF(OR($E44="",$E44="نامعتبر"),"",IF(Sync!$V41="","",IFERROR(INDEX(SubCodes,MATCH(Sync!$V41,SubTitles,0)),Sync!$V41)))</f>
        <v/>
      </c>
      <c r="L44">
        <f>IF(OR($E44="",$E44="نامعتبر"),"",IF(Sync!$W41="",0,Sync!$W41))</f>
        <v/>
      </c>
      <c r="M44">
        <f>IF(OR($E44="",$E44="نامعتبر"),"",IF(Sync!$X41="",0,Sync!$X41))</f>
        <v/>
      </c>
      <c r="N44">
        <f>IF(OR($E44="",$E44="نامعتبر"),"",IF(AND($J44="هزینه",$K44&lt;&gt;""),1,0))</f>
        <v/>
      </c>
      <c r="O44">
        <f>IF($N44=0,"",LEFT($E44,4)&amp;MID($E44,6,2)&amp;RIGHT($E44,2)&amp;$F44&amp;"|"&amp;"1"&amp;RIGHT("00000"&amp;36,5))</f>
        <v/>
      </c>
      <c r="P44">
        <f>IF($O44="","",COUNTIFS(ExpSub,$K44,ExpKey,"&lt;"&amp;$O44)+1)</f>
        <v/>
      </c>
      <c r="Q44">
        <f>IF($P44="","",$K44&amp;"|"&amp;RIGHT("000000"&amp;$P44,6))</f>
        <v/>
      </c>
    </row>
    <row r="45">
      <c r="A45">
        <f>IF(Sync!$P42="","",Sync!$P42)</f>
        <v/>
      </c>
      <c r="B45">
        <f>IF($A45="","",IF(ISNUMBER($A45),IF(AND($A45&gt;=10000101,$A45&lt;=99991231),INT($A45/10000),""),IFERROR(VALUE(TRIM(LEFT($A45,FIND("/",$A45)-1))),"")))</f>
        <v/>
      </c>
      <c r="C45">
        <f>IF(OR($A45="",$B45=""),"",IF(ISNUMBER($A45),INT(MOD($A45,10000)/100),IFERROR(VALUE(TRIM(LEFT(MID($A45,FIND("/",$A45)+1,20),FIND("/",MID($A45,FIND("/",$A45)+1,20))-1))),"")))</f>
        <v/>
      </c>
      <c r="D45">
        <f>IF(OR($A45="",$B45=""),"",IF(ISNUMBER($A45),MOD($A45,100),IFERROR(VALUE(TRIM(MID(MID($A45,FIND("/",$A45)+1,20),FIND("/",MID($A45,FIND("/",$A45)+1,20))+1,20))),"")))</f>
        <v/>
      </c>
      <c r="E45">
        <f>IF($A45="","",IF(OR($B45="",$C45="",$D45="",$B45&lt;1300,$B45&gt;1500,$C45&lt;1,$C45&gt;12,$D45&lt;1,$D45&gt;31),"نامعتبر",RIGHT("0000"&amp;$B45,4)&amp;"/"&amp;RIGHT("00"&amp;$C45,2)&amp;"/"&amp;RIGHT("00"&amp;$D45,2)))</f>
        <v/>
      </c>
      <c r="F45">
        <f>IF(OR($E45="",$E45="نامعتبر"),"",IF(Sync!$Q42="","0000",IF(AND(ISNUMBER(Sync!$Q42),Sync!$Q42&gt;=0,Sync!$Q42&lt;1),RIGHT("00"&amp;HOUR(Sync!$Q42),2)&amp;RIGHT("00"&amp;MINUTE(Sync!$Q42),2),IFERROR(RIGHT("00"&amp;VALUE(LEFT(Sync!$Q42,FIND(":",Sync!$Q42)-1)),2)&amp;RIGHT("00"&amp;VALUE(MID(Sync!$Q42,FIND(":",Sync!$Q42)+1,2)),2),"0000"))))</f>
        <v/>
      </c>
      <c r="G45">
        <f>IF(OR($E45="",$E45="نامعتبر"),"",IF(Sync!$S42="","",Sync!$S42))</f>
        <v/>
      </c>
      <c r="H45">
        <f>IF(OR($E45="",$E45="نامعتبر"),"",IF(Sync!$R42="","",Sync!$R42))</f>
        <v/>
      </c>
      <c r="I45">
        <f>IF(OR($E45="",$E45="نامعتبر"),"",IF(Sync!$T42="","",Sync!$T42))</f>
        <v/>
      </c>
      <c r="J45">
        <f>IF(OR($E45="",$E45="نامعتبر"),"",IF(Sync!$U42="","",Sync!$U42))</f>
        <v/>
      </c>
      <c r="K45">
        <f>IF(OR($E45="",$E45="نامعتبر"),"",IF(Sync!$V42="","",IFERROR(INDEX(SubCodes,MATCH(Sync!$V42,SubTitles,0)),Sync!$V42)))</f>
        <v/>
      </c>
      <c r="L45">
        <f>IF(OR($E45="",$E45="نامعتبر"),"",IF(Sync!$W42="",0,Sync!$W42))</f>
        <v/>
      </c>
      <c r="M45">
        <f>IF(OR($E45="",$E45="نامعتبر"),"",IF(Sync!$X42="",0,Sync!$X42))</f>
        <v/>
      </c>
      <c r="N45">
        <f>IF(OR($E45="",$E45="نامعتبر"),"",IF(AND($J45="هزینه",$K45&lt;&gt;""),1,0))</f>
        <v/>
      </c>
      <c r="O45">
        <f>IF($N45=0,"",LEFT($E45,4)&amp;MID($E45,6,2)&amp;RIGHT($E45,2)&amp;$F45&amp;"|"&amp;"1"&amp;RIGHT("00000"&amp;37,5))</f>
        <v/>
      </c>
      <c r="P45">
        <f>IF($O45="","",COUNTIFS(ExpSub,$K45,ExpKey,"&lt;"&amp;$O45)+1)</f>
        <v/>
      </c>
      <c r="Q45">
        <f>IF($P45="","",$K45&amp;"|"&amp;RIGHT("000000"&amp;$P45,6))</f>
        <v/>
      </c>
    </row>
    <row r="46">
      <c r="A46">
        <f>IF(Sync!$P43="","",Sync!$P43)</f>
        <v/>
      </c>
      <c r="B46">
        <f>IF($A46="","",IF(ISNUMBER($A46),IF(AND($A46&gt;=10000101,$A46&lt;=99991231),INT($A46/10000),""),IFERROR(VALUE(TRIM(LEFT($A46,FIND("/",$A46)-1))),"")))</f>
        <v/>
      </c>
      <c r="C46">
        <f>IF(OR($A46="",$B46=""),"",IF(ISNUMBER($A46),INT(MOD($A46,10000)/100),IFERROR(VALUE(TRIM(LEFT(MID($A46,FIND("/",$A46)+1,20),FIND("/",MID($A46,FIND("/",$A46)+1,20))-1))),"")))</f>
        <v/>
      </c>
      <c r="D46">
        <f>IF(OR($A46="",$B46=""),"",IF(ISNUMBER($A46),MOD($A46,100),IFERROR(VALUE(TRIM(MID(MID($A46,FIND("/",$A46)+1,20),FIND("/",MID($A46,FIND("/",$A46)+1,20))+1,20))),"")))</f>
        <v/>
      </c>
      <c r="E46">
        <f>IF($A46="","",IF(OR($B46="",$C46="",$D46="",$B46&lt;1300,$B46&gt;1500,$C46&lt;1,$C46&gt;12,$D46&lt;1,$D46&gt;31),"نامعتبر",RIGHT("0000"&amp;$B46,4)&amp;"/"&amp;RIGHT("00"&amp;$C46,2)&amp;"/"&amp;RIGHT("00"&amp;$D46,2)))</f>
        <v/>
      </c>
      <c r="F46">
        <f>IF(OR($E46="",$E46="نامعتبر"),"",IF(Sync!$Q43="","0000",IF(AND(ISNUMBER(Sync!$Q43),Sync!$Q43&gt;=0,Sync!$Q43&lt;1),RIGHT("00"&amp;HOUR(Sync!$Q43),2)&amp;RIGHT("00"&amp;MINUTE(Sync!$Q43),2),IFERROR(RIGHT("00"&amp;VALUE(LEFT(Sync!$Q43,FIND(":",Sync!$Q43)-1)),2)&amp;RIGHT("00"&amp;VALUE(MID(Sync!$Q43,FIND(":",Sync!$Q43)+1,2)),2),"0000"))))</f>
        <v/>
      </c>
      <c r="G46">
        <f>IF(OR($E46="",$E46="نامعتبر"),"",IF(Sync!$S43="","",Sync!$S43))</f>
        <v/>
      </c>
      <c r="H46">
        <f>IF(OR($E46="",$E46="نامعتبر"),"",IF(Sync!$R43="","",Sync!$R43))</f>
        <v/>
      </c>
      <c r="I46">
        <f>IF(OR($E46="",$E46="نامعتبر"),"",IF(Sync!$T43="","",Sync!$T43))</f>
        <v/>
      </c>
      <c r="J46">
        <f>IF(OR($E46="",$E46="نامعتبر"),"",IF(Sync!$U43="","",Sync!$U43))</f>
        <v/>
      </c>
      <c r="K46">
        <f>IF(OR($E46="",$E46="نامعتبر"),"",IF(Sync!$V43="","",IFERROR(INDEX(SubCodes,MATCH(Sync!$V43,SubTitles,0)),Sync!$V43)))</f>
        <v/>
      </c>
      <c r="L46">
        <f>IF(OR($E46="",$E46="نامعتبر"),"",IF(Sync!$W43="",0,Sync!$W43))</f>
        <v/>
      </c>
      <c r="M46">
        <f>IF(OR($E46="",$E46="نامعتبر"),"",IF(Sync!$X43="",0,Sync!$X43))</f>
        <v/>
      </c>
      <c r="N46">
        <f>IF(OR($E46="",$E46="نامعتبر"),"",IF(AND($J46="هزینه",$K46&lt;&gt;""),1,0))</f>
        <v/>
      </c>
      <c r="O46">
        <f>IF($N46=0,"",LEFT($E46,4)&amp;MID($E46,6,2)&amp;RIGHT($E46,2)&amp;$F46&amp;"|"&amp;"1"&amp;RIGHT("00000"&amp;38,5))</f>
        <v/>
      </c>
      <c r="P46">
        <f>IF($O46="","",COUNTIFS(ExpSub,$K46,ExpKey,"&lt;"&amp;$O46)+1)</f>
        <v/>
      </c>
      <c r="Q46">
        <f>IF($P46="","",$K46&amp;"|"&amp;RIGHT("000000"&amp;$P46,6))</f>
        <v/>
      </c>
    </row>
    <row r="47">
      <c r="A47">
        <f>IF(Sync!$P44="","",Sync!$P44)</f>
        <v/>
      </c>
      <c r="B47">
        <f>IF($A47="","",IF(ISNUMBER($A47),IF(AND($A47&gt;=10000101,$A47&lt;=99991231),INT($A47/10000),""),IFERROR(VALUE(TRIM(LEFT($A47,FIND("/",$A47)-1))),"")))</f>
        <v/>
      </c>
      <c r="C47">
        <f>IF(OR($A47="",$B47=""),"",IF(ISNUMBER($A47),INT(MOD($A47,10000)/100),IFERROR(VALUE(TRIM(LEFT(MID($A47,FIND("/",$A47)+1,20),FIND("/",MID($A47,FIND("/",$A47)+1,20))-1))),"")))</f>
        <v/>
      </c>
      <c r="D47">
        <f>IF(OR($A47="",$B47=""),"",IF(ISNUMBER($A47),MOD($A47,100),IFERROR(VALUE(TRIM(MID(MID($A47,FIND("/",$A47)+1,20),FIND("/",MID($A47,FIND("/",$A47)+1,20))+1,20))),"")))</f>
        <v/>
      </c>
      <c r="E47">
        <f>IF($A47="","",IF(OR($B47="",$C47="",$D47="",$B47&lt;1300,$B47&gt;1500,$C47&lt;1,$C47&gt;12,$D47&lt;1,$D47&gt;31),"نامعتبر",RIGHT("0000"&amp;$B47,4)&amp;"/"&amp;RIGHT("00"&amp;$C47,2)&amp;"/"&amp;RIGHT("00"&amp;$D47,2)))</f>
        <v/>
      </c>
      <c r="F47">
        <f>IF(OR($E47="",$E47="نامعتبر"),"",IF(Sync!$Q44="","0000",IF(AND(ISNUMBER(Sync!$Q44),Sync!$Q44&gt;=0,Sync!$Q44&lt;1),RIGHT("00"&amp;HOUR(Sync!$Q44),2)&amp;RIGHT("00"&amp;MINUTE(Sync!$Q44),2),IFERROR(RIGHT("00"&amp;VALUE(LEFT(Sync!$Q44,FIND(":",Sync!$Q44)-1)),2)&amp;RIGHT("00"&amp;VALUE(MID(Sync!$Q44,FIND(":",Sync!$Q44)+1,2)),2),"0000"))))</f>
        <v/>
      </c>
      <c r="G47">
        <f>IF(OR($E47="",$E47="نامعتبر"),"",IF(Sync!$S44="","",Sync!$S44))</f>
        <v/>
      </c>
      <c r="H47">
        <f>IF(OR($E47="",$E47="نامعتبر"),"",IF(Sync!$R44="","",Sync!$R44))</f>
        <v/>
      </c>
      <c r="I47">
        <f>IF(OR($E47="",$E47="نامعتبر"),"",IF(Sync!$T44="","",Sync!$T44))</f>
        <v/>
      </c>
      <c r="J47">
        <f>IF(OR($E47="",$E47="نامعتبر"),"",IF(Sync!$U44="","",Sync!$U44))</f>
        <v/>
      </c>
      <c r="K47">
        <f>IF(OR($E47="",$E47="نامعتبر"),"",IF(Sync!$V44="","",IFERROR(INDEX(SubCodes,MATCH(Sync!$V44,SubTitles,0)),Sync!$V44)))</f>
        <v/>
      </c>
      <c r="L47">
        <f>IF(OR($E47="",$E47="نامعتبر"),"",IF(Sync!$W44="",0,Sync!$W44))</f>
        <v/>
      </c>
      <c r="M47">
        <f>IF(OR($E47="",$E47="نامعتبر"),"",IF(Sync!$X44="",0,Sync!$X44))</f>
        <v/>
      </c>
      <c r="N47">
        <f>IF(OR($E47="",$E47="نامعتبر"),"",IF(AND($J47="هزینه",$K47&lt;&gt;""),1,0))</f>
        <v/>
      </c>
      <c r="O47">
        <f>IF($N47=0,"",LEFT($E47,4)&amp;MID($E47,6,2)&amp;RIGHT($E47,2)&amp;$F47&amp;"|"&amp;"1"&amp;RIGHT("00000"&amp;39,5))</f>
        <v/>
      </c>
      <c r="P47">
        <f>IF($O47="","",COUNTIFS(ExpSub,$K47,ExpKey,"&lt;"&amp;$O47)+1)</f>
        <v/>
      </c>
      <c r="Q47">
        <f>IF($P47="","",$K47&amp;"|"&amp;RIGHT("000000"&amp;$P47,6))</f>
        <v/>
      </c>
    </row>
    <row r="48">
      <c r="A48">
        <f>IF(Sync!$P45="","",Sync!$P45)</f>
        <v/>
      </c>
      <c r="B48">
        <f>IF($A48="","",IF(ISNUMBER($A48),IF(AND($A48&gt;=10000101,$A48&lt;=99991231),INT($A48/10000),""),IFERROR(VALUE(TRIM(LEFT($A48,FIND("/",$A48)-1))),"")))</f>
        <v/>
      </c>
      <c r="C48">
        <f>IF(OR($A48="",$B48=""),"",IF(ISNUMBER($A48),INT(MOD($A48,10000)/100),IFERROR(VALUE(TRIM(LEFT(MID($A48,FIND("/",$A48)+1,20),FIND("/",MID($A48,FIND("/",$A48)+1,20))-1))),"")))</f>
        <v/>
      </c>
      <c r="D48">
        <f>IF(OR($A48="",$B48=""),"",IF(ISNUMBER($A48),MOD($A48,100),IFERROR(VALUE(TRIM(MID(MID($A48,FIND("/",$A48)+1,20),FIND("/",MID($A48,FIND("/",$A48)+1,20))+1,20))),"")))</f>
        <v/>
      </c>
      <c r="E48">
        <f>IF($A48="","",IF(OR($B48="",$C48="",$D48="",$B48&lt;1300,$B48&gt;1500,$C48&lt;1,$C48&gt;12,$D48&lt;1,$D48&gt;31),"نامعتبر",RIGHT("0000"&amp;$B48,4)&amp;"/"&amp;RIGHT("00"&amp;$C48,2)&amp;"/"&amp;RIGHT("00"&amp;$D48,2)))</f>
        <v/>
      </c>
      <c r="F48">
        <f>IF(OR($E48="",$E48="نامعتبر"),"",IF(Sync!$Q45="","0000",IF(AND(ISNUMBER(Sync!$Q45),Sync!$Q45&gt;=0,Sync!$Q45&lt;1),RIGHT("00"&amp;HOUR(Sync!$Q45),2)&amp;RIGHT("00"&amp;MINUTE(Sync!$Q45),2),IFERROR(RIGHT("00"&amp;VALUE(LEFT(Sync!$Q45,FIND(":",Sync!$Q45)-1)),2)&amp;RIGHT("00"&amp;VALUE(MID(Sync!$Q45,FIND(":",Sync!$Q45)+1,2)),2),"0000"))))</f>
        <v/>
      </c>
      <c r="G48">
        <f>IF(OR($E48="",$E48="نامعتبر"),"",IF(Sync!$S45="","",Sync!$S45))</f>
        <v/>
      </c>
      <c r="H48">
        <f>IF(OR($E48="",$E48="نامعتبر"),"",IF(Sync!$R45="","",Sync!$R45))</f>
        <v/>
      </c>
      <c r="I48">
        <f>IF(OR($E48="",$E48="نامعتبر"),"",IF(Sync!$T45="","",Sync!$T45))</f>
        <v/>
      </c>
      <c r="J48">
        <f>IF(OR($E48="",$E48="نامعتبر"),"",IF(Sync!$U45="","",Sync!$U45))</f>
        <v/>
      </c>
      <c r="K48">
        <f>IF(OR($E48="",$E48="نامعتبر"),"",IF(Sync!$V45="","",IFERROR(INDEX(SubCodes,MATCH(Sync!$V45,SubTitles,0)),Sync!$V45)))</f>
        <v/>
      </c>
      <c r="L48">
        <f>IF(OR($E48="",$E48="نامعتبر"),"",IF(Sync!$W45="",0,Sync!$W45))</f>
        <v/>
      </c>
      <c r="M48">
        <f>IF(OR($E48="",$E48="نامعتبر"),"",IF(Sync!$X45="",0,Sync!$X45))</f>
        <v/>
      </c>
      <c r="N48">
        <f>IF(OR($E48="",$E48="نامعتبر"),"",IF(AND($J48="هزینه",$K48&lt;&gt;""),1,0))</f>
        <v/>
      </c>
      <c r="O48">
        <f>IF($N48=0,"",LEFT($E48,4)&amp;MID($E48,6,2)&amp;RIGHT($E48,2)&amp;$F48&amp;"|"&amp;"1"&amp;RIGHT("00000"&amp;40,5))</f>
        <v/>
      </c>
      <c r="P48">
        <f>IF($O48="","",COUNTIFS(ExpSub,$K48,ExpKey,"&lt;"&amp;$O48)+1)</f>
        <v/>
      </c>
      <c r="Q48">
        <f>IF($P48="","",$K48&amp;"|"&amp;RIGHT("000000"&amp;$P48,6))</f>
        <v/>
      </c>
    </row>
    <row r="49">
      <c r="A49">
        <f>IF(Sync!$P46="","",Sync!$P46)</f>
        <v/>
      </c>
      <c r="B49">
        <f>IF($A49="","",IF(ISNUMBER($A49),IF(AND($A49&gt;=10000101,$A49&lt;=99991231),INT($A49/10000),""),IFERROR(VALUE(TRIM(LEFT($A49,FIND("/",$A49)-1))),"")))</f>
        <v/>
      </c>
      <c r="C49">
        <f>IF(OR($A49="",$B49=""),"",IF(ISNUMBER($A49),INT(MOD($A49,10000)/100),IFERROR(VALUE(TRIM(LEFT(MID($A49,FIND("/",$A49)+1,20),FIND("/",MID($A49,FIND("/",$A49)+1,20))-1))),"")))</f>
        <v/>
      </c>
      <c r="D49">
        <f>IF(OR($A49="",$B49=""),"",IF(ISNUMBER($A49),MOD($A49,100),IFERROR(VALUE(TRIM(MID(MID($A49,FIND("/",$A49)+1,20),FIND("/",MID($A49,FIND("/",$A49)+1,20))+1,20))),"")))</f>
        <v/>
      </c>
      <c r="E49">
        <f>IF($A49="","",IF(OR($B49="",$C49="",$D49="",$B49&lt;1300,$B49&gt;1500,$C49&lt;1,$C49&gt;12,$D49&lt;1,$D49&gt;31),"نامعتبر",RIGHT("0000"&amp;$B49,4)&amp;"/"&amp;RIGHT("00"&amp;$C49,2)&amp;"/"&amp;RIGHT("00"&amp;$D49,2)))</f>
        <v/>
      </c>
      <c r="F49">
        <f>IF(OR($E49="",$E49="نامعتبر"),"",IF(Sync!$Q46="","0000",IF(AND(ISNUMBER(Sync!$Q46),Sync!$Q46&gt;=0,Sync!$Q46&lt;1),RIGHT("00"&amp;HOUR(Sync!$Q46),2)&amp;RIGHT("00"&amp;MINUTE(Sync!$Q46),2),IFERROR(RIGHT("00"&amp;VALUE(LEFT(Sync!$Q46,FIND(":",Sync!$Q46)-1)),2)&amp;RIGHT("00"&amp;VALUE(MID(Sync!$Q46,FIND(":",Sync!$Q46)+1,2)),2),"0000"))))</f>
        <v/>
      </c>
      <c r="G49">
        <f>IF(OR($E49="",$E49="نامعتبر"),"",IF(Sync!$S46="","",Sync!$S46))</f>
        <v/>
      </c>
      <c r="H49">
        <f>IF(OR($E49="",$E49="نامعتبر"),"",IF(Sync!$R46="","",Sync!$R46))</f>
        <v/>
      </c>
      <c r="I49">
        <f>IF(OR($E49="",$E49="نامعتبر"),"",IF(Sync!$T46="","",Sync!$T46))</f>
        <v/>
      </c>
      <c r="J49">
        <f>IF(OR($E49="",$E49="نامعتبر"),"",IF(Sync!$U46="","",Sync!$U46))</f>
        <v/>
      </c>
      <c r="K49">
        <f>IF(OR($E49="",$E49="نامعتبر"),"",IF(Sync!$V46="","",IFERROR(INDEX(SubCodes,MATCH(Sync!$V46,SubTitles,0)),Sync!$V46)))</f>
        <v/>
      </c>
      <c r="L49">
        <f>IF(OR($E49="",$E49="نامعتبر"),"",IF(Sync!$W46="",0,Sync!$W46))</f>
        <v/>
      </c>
      <c r="M49">
        <f>IF(OR($E49="",$E49="نامعتبر"),"",IF(Sync!$X46="",0,Sync!$X46))</f>
        <v/>
      </c>
      <c r="N49">
        <f>IF(OR($E49="",$E49="نامعتبر"),"",IF(AND($J49="هزینه",$K49&lt;&gt;""),1,0))</f>
        <v/>
      </c>
      <c r="O49">
        <f>IF($N49=0,"",LEFT($E49,4)&amp;MID($E49,6,2)&amp;RIGHT($E49,2)&amp;$F49&amp;"|"&amp;"1"&amp;RIGHT("00000"&amp;41,5))</f>
        <v/>
      </c>
      <c r="P49">
        <f>IF($O49="","",COUNTIFS(ExpSub,$K49,ExpKey,"&lt;"&amp;$O49)+1)</f>
        <v/>
      </c>
      <c r="Q49">
        <f>IF($P49="","",$K49&amp;"|"&amp;RIGHT("000000"&amp;$P49,6))</f>
        <v/>
      </c>
    </row>
    <row r="50">
      <c r="A50">
        <f>IF(Sync!$P47="","",Sync!$P47)</f>
        <v/>
      </c>
      <c r="B50">
        <f>IF($A50="","",IF(ISNUMBER($A50),IF(AND($A50&gt;=10000101,$A50&lt;=99991231),INT($A50/10000),""),IFERROR(VALUE(TRIM(LEFT($A50,FIND("/",$A50)-1))),"")))</f>
        <v/>
      </c>
      <c r="C50">
        <f>IF(OR($A50="",$B50=""),"",IF(ISNUMBER($A50),INT(MOD($A50,10000)/100),IFERROR(VALUE(TRIM(LEFT(MID($A50,FIND("/",$A50)+1,20),FIND("/",MID($A50,FIND("/",$A50)+1,20))-1))),"")))</f>
        <v/>
      </c>
      <c r="D50">
        <f>IF(OR($A50="",$B50=""),"",IF(ISNUMBER($A50),MOD($A50,100),IFERROR(VALUE(TRIM(MID(MID($A50,FIND("/",$A50)+1,20),FIND("/",MID($A50,FIND("/",$A50)+1,20))+1,20))),"")))</f>
        <v/>
      </c>
      <c r="E50">
        <f>IF($A50="","",IF(OR($B50="",$C50="",$D50="",$B50&lt;1300,$B50&gt;1500,$C50&lt;1,$C50&gt;12,$D50&lt;1,$D50&gt;31),"نامعتبر",RIGHT("0000"&amp;$B50,4)&amp;"/"&amp;RIGHT("00"&amp;$C50,2)&amp;"/"&amp;RIGHT("00"&amp;$D50,2)))</f>
        <v/>
      </c>
      <c r="F50">
        <f>IF(OR($E50="",$E50="نامعتبر"),"",IF(Sync!$Q47="","0000",IF(AND(ISNUMBER(Sync!$Q47),Sync!$Q47&gt;=0,Sync!$Q47&lt;1),RIGHT("00"&amp;HOUR(Sync!$Q47),2)&amp;RIGHT("00"&amp;MINUTE(Sync!$Q47),2),IFERROR(RIGHT("00"&amp;VALUE(LEFT(Sync!$Q47,FIND(":",Sync!$Q47)-1)),2)&amp;RIGHT("00"&amp;VALUE(MID(Sync!$Q47,FIND(":",Sync!$Q47)+1,2)),2),"0000"))))</f>
        <v/>
      </c>
      <c r="G50">
        <f>IF(OR($E50="",$E50="نامعتبر"),"",IF(Sync!$S47="","",Sync!$S47))</f>
        <v/>
      </c>
      <c r="H50">
        <f>IF(OR($E50="",$E50="نامعتبر"),"",IF(Sync!$R47="","",Sync!$R47))</f>
        <v/>
      </c>
      <c r="I50">
        <f>IF(OR($E50="",$E50="نامعتبر"),"",IF(Sync!$T47="","",Sync!$T47))</f>
        <v/>
      </c>
      <c r="J50">
        <f>IF(OR($E50="",$E50="نامعتبر"),"",IF(Sync!$U47="","",Sync!$U47))</f>
        <v/>
      </c>
      <c r="K50">
        <f>IF(OR($E50="",$E50="نامعتبر"),"",IF(Sync!$V47="","",IFERROR(INDEX(SubCodes,MATCH(Sync!$V47,SubTitles,0)),Sync!$V47)))</f>
        <v/>
      </c>
      <c r="L50">
        <f>IF(OR($E50="",$E50="نامعتبر"),"",IF(Sync!$W47="",0,Sync!$W47))</f>
        <v/>
      </c>
      <c r="M50">
        <f>IF(OR($E50="",$E50="نامعتبر"),"",IF(Sync!$X47="",0,Sync!$X47))</f>
        <v/>
      </c>
      <c r="N50">
        <f>IF(OR($E50="",$E50="نامعتبر"),"",IF(AND($J50="هزینه",$K50&lt;&gt;""),1,0))</f>
        <v/>
      </c>
      <c r="O50">
        <f>IF($N50=0,"",LEFT($E50,4)&amp;MID($E50,6,2)&amp;RIGHT($E50,2)&amp;$F50&amp;"|"&amp;"1"&amp;RIGHT("00000"&amp;42,5))</f>
        <v/>
      </c>
      <c r="P50">
        <f>IF($O50="","",COUNTIFS(ExpSub,$K50,ExpKey,"&lt;"&amp;$O50)+1)</f>
        <v/>
      </c>
      <c r="Q50">
        <f>IF($P50="","",$K50&amp;"|"&amp;RIGHT("000000"&amp;$P50,6))</f>
        <v/>
      </c>
    </row>
    <row r="51">
      <c r="A51">
        <f>IF(Sync!$P48="","",Sync!$P48)</f>
        <v/>
      </c>
      <c r="B51">
        <f>IF($A51="","",IF(ISNUMBER($A51),IF(AND($A51&gt;=10000101,$A51&lt;=99991231),INT($A51/10000),""),IFERROR(VALUE(TRIM(LEFT($A51,FIND("/",$A51)-1))),"")))</f>
        <v/>
      </c>
      <c r="C51">
        <f>IF(OR($A51="",$B51=""),"",IF(ISNUMBER($A51),INT(MOD($A51,10000)/100),IFERROR(VALUE(TRIM(LEFT(MID($A51,FIND("/",$A51)+1,20),FIND("/",MID($A51,FIND("/",$A51)+1,20))-1))),"")))</f>
        <v/>
      </c>
      <c r="D51">
        <f>IF(OR($A51="",$B51=""),"",IF(ISNUMBER($A51),MOD($A51,100),IFERROR(VALUE(TRIM(MID(MID($A51,FIND("/",$A51)+1,20),FIND("/",MID($A51,FIND("/",$A51)+1,20))+1,20))),"")))</f>
        <v/>
      </c>
      <c r="E51">
        <f>IF($A51="","",IF(OR($B51="",$C51="",$D51="",$B51&lt;1300,$B51&gt;1500,$C51&lt;1,$C51&gt;12,$D51&lt;1,$D51&gt;31),"نامعتبر",RIGHT("0000"&amp;$B51,4)&amp;"/"&amp;RIGHT("00"&amp;$C51,2)&amp;"/"&amp;RIGHT("00"&amp;$D51,2)))</f>
        <v/>
      </c>
      <c r="F51">
        <f>IF(OR($E51="",$E51="نامعتبر"),"",IF(Sync!$Q48="","0000",IF(AND(ISNUMBER(Sync!$Q48),Sync!$Q48&gt;=0,Sync!$Q48&lt;1),RIGHT("00"&amp;HOUR(Sync!$Q48),2)&amp;RIGHT("00"&amp;MINUTE(Sync!$Q48),2),IFERROR(RIGHT("00"&amp;VALUE(LEFT(Sync!$Q48,FIND(":",Sync!$Q48)-1)),2)&amp;RIGHT("00"&amp;VALUE(MID(Sync!$Q48,FIND(":",Sync!$Q48)+1,2)),2),"0000"))))</f>
        <v/>
      </c>
      <c r="G51">
        <f>IF(OR($E51="",$E51="نامعتبر"),"",IF(Sync!$S48="","",Sync!$S48))</f>
        <v/>
      </c>
      <c r="H51">
        <f>IF(OR($E51="",$E51="نامعتبر"),"",IF(Sync!$R48="","",Sync!$R48))</f>
        <v/>
      </c>
      <c r="I51">
        <f>IF(OR($E51="",$E51="نامعتبر"),"",IF(Sync!$T48="","",Sync!$T48))</f>
        <v/>
      </c>
      <c r="J51">
        <f>IF(OR($E51="",$E51="نامعتبر"),"",IF(Sync!$U48="","",Sync!$U48))</f>
        <v/>
      </c>
      <c r="K51">
        <f>IF(OR($E51="",$E51="نامعتبر"),"",IF(Sync!$V48="","",IFERROR(INDEX(SubCodes,MATCH(Sync!$V48,SubTitles,0)),Sync!$V48)))</f>
        <v/>
      </c>
      <c r="L51">
        <f>IF(OR($E51="",$E51="نامعتبر"),"",IF(Sync!$W48="",0,Sync!$W48))</f>
        <v/>
      </c>
      <c r="M51">
        <f>IF(OR($E51="",$E51="نامعتبر"),"",IF(Sync!$X48="",0,Sync!$X48))</f>
        <v/>
      </c>
      <c r="N51">
        <f>IF(OR($E51="",$E51="نامعتبر"),"",IF(AND($J51="هزینه",$K51&lt;&gt;""),1,0))</f>
        <v/>
      </c>
      <c r="O51">
        <f>IF($N51=0,"",LEFT($E51,4)&amp;MID($E51,6,2)&amp;RIGHT($E51,2)&amp;$F51&amp;"|"&amp;"1"&amp;RIGHT("00000"&amp;43,5))</f>
        <v/>
      </c>
      <c r="P51">
        <f>IF($O51="","",COUNTIFS(ExpSub,$K51,ExpKey,"&lt;"&amp;$O51)+1)</f>
        <v/>
      </c>
      <c r="Q51">
        <f>IF($P51="","",$K51&amp;"|"&amp;RIGHT("000000"&amp;$P51,6))</f>
        <v/>
      </c>
    </row>
    <row r="52">
      <c r="A52">
        <f>IF(Sync!$P49="","",Sync!$P49)</f>
        <v/>
      </c>
      <c r="B52">
        <f>IF($A52="","",IF(ISNUMBER($A52),IF(AND($A52&gt;=10000101,$A52&lt;=99991231),INT($A52/10000),""),IFERROR(VALUE(TRIM(LEFT($A52,FIND("/",$A52)-1))),"")))</f>
        <v/>
      </c>
      <c r="C52">
        <f>IF(OR($A52="",$B52=""),"",IF(ISNUMBER($A52),INT(MOD($A52,10000)/100),IFERROR(VALUE(TRIM(LEFT(MID($A52,FIND("/",$A52)+1,20),FIND("/",MID($A52,FIND("/",$A52)+1,20))-1))),"")))</f>
        <v/>
      </c>
      <c r="D52">
        <f>IF(OR($A52="",$B52=""),"",IF(ISNUMBER($A52),MOD($A52,100),IFERROR(VALUE(TRIM(MID(MID($A52,FIND("/",$A52)+1,20),FIND("/",MID($A52,FIND("/",$A52)+1,20))+1,20))),"")))</f>
        <v/>
      </c>
      <c r="E52">
        <f>IF($A52="","",IF(OR($B52="",$C52="",$D52="",$B52&lt;1300,$B52&gt;1500,$C52&lt;1,$C52&gt;12,$D52&lt;1,$D52&gt;31),"نامعتبر",RIGHT("0000"&amp;$B52,4)&amp;"/"&amp;RIGHT("00"&amp;$C52,2)&amp;"/"&amp;RIGHT("00"&amp;$D52,2)))</f>
        <v/>
      </c>
      <c r="F52">
        <f>IF(OR($E52="",$E52="نامعتبر"),"",IF(Sync!$Q49="","0000",IF(AND(ISNUMBER(Sync!$Q49),Sync!$Q49&gt;=0,Sync!$Q49&lt;1),RIGHT("00"&amp;HOUR(Sync!$Q49),2)&amp;RIGHT("00"&amp;MINUTE(Sync!$Q49),2),IFERROR(RIGHT("00"&amp;VALUE(LEFT(Sync!$Q49,FIND(":",Sync!$Q49)-1)),2)&amp;RIGHT("00"&amp;VALUE(MID(Sync!$Q49,FIND(":",Sync!$Q49)+1,2)),2),"0000"))))</f>
        <v/>
      </c>
      <c r="G52">
        <f>IF(OR($E52="",$E52="نامعتبر"),"",IF(Sync!$S49="","",Sync!$S49))</f>
        <v/>
      </c>
      <c r="H52">
        <f>IF(OR($E52="",$E52="نامعتبر"),"",IF(Sync!$R49="","",Sync!$R49))</f>
        <v/>
      </c>
      <c r="I52">
        <f>IF(OR($E52="",$E52="نامعتبر"),"",IF(Sync!$T49="","",Sync!$T49))</f>
        <v/>
      </c>
      <c r="J52">
        <f>IF(OR($E52="",$E52="نامعتبر"),"",IF(Sync!$U49="","",Sync!$U49))</f>
        <v/>
      </c>
      <c r="K52">
        <f>IF(OR($E52="",$E52="نامعتبر"),"",IF(Sync!$V49="","",IFERROR(INDEX(SubCodes,MATCH(Sync!$V49,SubTitles,0)),Sync!$V49)))</f>
        <v/>
      </c>
      <c r="L52">
        <f>IF(OR($E52="",$E52="نامعتبر"),"",IF(Sync!$W49="",0,Sync!$W49))</f>
        <v/>
      </c>
      <c r="M52">
        <f>IF(OR($E52="",$E52="نامعتبر"),"",IF(Sync!$X49="",0,Sync!$X49))</f>
        <v/>
      </c>
      <c r="N52">
        <f>IF(OR($E52="",$E52="نامعتبر"),"",IF(AND($J52="هزینه",$K52&lt;&gt;""),1,0))</f>
        <v/>
      </c>
      <c r="O52">
        <f>IF($N52=0,"",LEFT($E52,4)&amp;MID($E52,6,2)&amp;RIGHT($E52,2)&amp;$F52&amp;"|"&amp;"1"&amp;RIGHT("00000"&amp;44,5))</f>
        <v/>
      </c>
      <c r="P52">
        <f>IF($O52="","",COUNTIFS(ExpSub,$K52,ExpKey,"&lt;"&amp;$O52)+1)</f>
        <v/>
      </c>
      <c r="Q52">
        <f>IF($P52="","",$K52&amp;"|"&amp;RIGHT("000000"&amp;$P52,6))</f>
        <v/>
      </c>
    </row>
    <row r="53">
      <c r="A53">
        <f>IF(Sync!$P50="","",Sync!$P50)</f>
        <v/>
      </c>
      <c r="B53">
        <f>IF($A53="","",IF(ISNUMBER($A53),IF(AND($A53&gt;=10000101,$A53&lt;=99991231),INT($A53/10000),""),IFERROR(VALUE(TRIM(LEFT($A53,FIND("/",$A53)-1))),"")))</f>
        <v/>
      </c>
      <c r="C53">
        <f>IF(OR($A53="",$B53=""),"",IF(ISNUMBER($A53),INT(MOD($A53,10000)/100),IFERROR(VALUE(TRIM(LEFT(MID($A53,FIND("/",$A53)+1,20),FIND("/",MID($A53,FIND("/",$A53)+1,20))-1))),"")))</f>
        <v/>
      </c>
      <c r="D53">
        <f>IF(OR($A53="",$B53=""),"",IF(ISNUMBER($A53),MOD($A53,100),IFERROR(VALUE(TRIM(MID(MID($A53,FIND("/",$A53)+1,20),FIND("/",MID($A53,FIND("/",$A53)+1,20))+1,20))),"")))</f>
        <v/>
      </c>
      <c r="E53">
        <f>IF($A53="","",IF(OR($B53="",$C53="",$D53="",$B53&lt;1300,$B53&gt;1500,$C53&lt;1,$C53&gt;12,$D53&lt;1,$D53&gt;31),"نامعتبر",RIGHT("0000"&amp;$B53,4)&amp;"/"&amp;RIGHT("00"&amp;$C53,2)&amp;"/"&amp;RIGHT("00"&amp;$D53,2)))</f>
        <v/>
      </c>
      <c r="F53">
        <f>IF(OR($E53="",$E53="نامعتبر"),"",IF(Sync!$Q50="","0000",IF(AND(ISNUMBER(Sync!$Q50),Sync!$Q50&gt;=0,Sync!$Q50&lt;1),RIGHT("00"&amp;HOUR(Sync!$Q50),2)&amp;RIGHT("00"&amp;MINUTE(Sync!$Q50),2),IFERROR(RIGHT("00"&amp;VALUE(LEFT(Sync!$Q50,FIND(":",Sync!$Q50)-1)),2)&amp;RIGHT("00"&amp;VALUE(MID(Sync!$Q50,FIND(":",Sync!$Q50)+1,2)),2),"0000"))))</f>
        <v/>
      </c>
      <c r="G53">
        <f>IF(OR($E53="",$E53="نامعتبر"),"",IF(Sync!$S50="","",Sync!$S50))</f>
        <v/>
      </c>
      <c r="H53">
        <f>IF(OR($E53="",$E53="نامعتبر"),"",IF(Sync!$R50="","",Sync!$R50))</f>
        <v/>
      </c>
      <c r="I53">
        <f>IF(OR($E53="",$E53="نامعتبر"),"",IF(Sync!$T50="","",Sync!$T50))</f>
        <v/>
      </c>
      <c r="J53">
        <f>IF(OR($E53="",$E53="نامعتبر"),"",IF(Sync!$U50="","",Sync!$U50))</f>
        <v/>
      </c>
      <c r="K53">
        <f>IF(OR($E53="",$E53="نامعتبر"),"",IF(Sync!$V50="","",IFERROR(INDEX(SubCodes,MATCH(Sync!$V50,SubTitles,0)),Sync!$V50)))</f>
        <v/>
      </c>
      <c r="L53">
        <f>IF(OR($E53="",$E53="نامعتبر"),"",IF(Sync!$W50="",0,Sync!$W50))</f>
        <v/>
      </c>
      <c r="M53">
        <f>IF(OR($E53="",$E53="نامعتبر"),"",IF(Sync!$X50="",0,Sync!$X50))</f>
        <v/>
      </c>
      <c r="N53">
        <f>IF(OR($E53="",$E53="نامعتبر"),"",IF(AND($J53="هزینه",$K53&lt;&gt;""),1,0))</f>
        <v/>
      </c>
      <c r="O53">
        <f>IF($N53=0,"",LEFT($E53,4)&amp;MID($E53,6,2)&amp;RIGHT($E53,2)&amp;$F53&amp;"|"&amp;"1"&amp;RIGHT("00000"&amp;45,5))</f>
        <v/>
      </c>
      <c r="P53">
        <f>IF($O53="","",COUNTIFS(ExpSub,$K53,ExpKey,"&lt;"&amp;$O53)+1)</f>
        <v/>
      </c>
      <c r="Q53">
        <f>IF($P53="","",$K53&amp;"|"&amp;RIGHT("000000"&amp;$P53,6))</f>
        <v/>
      </c>
    </row>
    <row r="54">
      <c r="A54">
        <f>IF(Sync!$P51="","",Sync!$P51)</f>
        <v/>
      </c>
      <c r="B54">
        <f>IF($A54="","",IF(ISNUMBER($A54),IF(AND($A54&gt;=10000101,$A54&lt;=99991231),INT($A54/10000),""),IFERROR(VALUE(TRIM(LEFT($A54,FIND("/",$A54)-1))),"")))</f>
        <v/>
      </c>
      <c r="C54">
        <f>IF(OR($A54="",$B54=""),"",IF(ISNUMBER($A54),INT(MOD($A54,10000)/100),IFERROR(VALUE(TRIM(LEFT(MID($A54,FIND("/",$A54)+1,20),FIND("/",MID($A54,FIND("/",$A54)+1,20))-1))),"")))</f>
        <v/>
      </c>
      <c r="D54">
        <f>IF(OR($A54="",$B54=""),"",IF(ISNUMBER($A54),MOD($A54,100),IFERROR(VALUE(TRIM(MID(MID($A54,FIND("/",$A54)+1,20),FIND("/",MID($A54,FIND("/",$A54)+1,20))+1,20))),"")))</f>
        <v/>
      </c>
      <c r="E54">
        <f>IF($A54="","",IF(OR($B54="",$C54="",$D54="",$B54&lt;1300,$B54&gt;1500,$C54&lt;1,$C54&gt;12,$D54&lt;1,$D54&gt;31),"نامعتبر",RIGHT("0000"&amp;$B54,4)&amp;"/"&amp;RIGHT("00"&amp;$C54,2)&amp;"/"&amp;RIGHT("00"&amp;$D54,2)))</f>
        <v/>
      </c>
      <c r="F54">
        <f>IF(OR($E54="",$E54="نامعتبر"),"",IF(Sync!$Q51="","0000",IF(AND(ISNUMBER(Sync!$Q51),Sync!$Q51&gt;=0,Sync!$Q51&lt;1),RIGHT("00"&amp;HOUR(Sync!$Q51),2)&amp;RIGHT("00"&amp;MINUTE(Sync!$Q51),2),IFERROR(RIGHT("00"&amp;VALUE(LEFT(Sync!$Q51,FIND(":",Sync!$Q51)-1)),2)&amp;RIGHT("00"&amp;VALUE(MID(Sync!$Q51,FIND(":",Sync!$Q51)+1,2)),2),"0000"))))</f>
        <v/>
      </c>
      <c r="G54">
        <f>IF(OR($E54="",$E54="نامعتبر"),"",IF(Sync!$S51="","",Sync!$S51))</f>
        <v/>
      </c>
      <c r="H54">
        <f>IF(OR($E54="",$E54="نامعتبر"),"",IF(Sync!$R51="","",Sync!$R51))</f>
        <v/>
      </c>
      <c r="I54">
        <f>IF(OR($E54="",$E54="نامعتبر"),"",IF(Sync!$T51="","",Sync!$T51))</f>
        <v/>
      </c>
      <c r="J54">
        <f>IF(OR($E54="",$E54="نامعتبر"),"",IF(Sync!$U51="","",Sync!$U51))</f>
        <v/>
      </c>
      <c r="K54">
        <f>IF(OR($E54="",$E54="نامعتبر"),"",IF(Sync!$V51="","",IFERROR(INDEX(SubCodes,MATCH(Sync!$V51,SubTitles,0)),Sync!$V51)))</f>
        <v/>
      </c>
      <c r="L54">
        <f>IF(OR($E54="",$E54="نامعتبر"),"",IF(Sync!$W51="",0,Sync!$W51))</f>
        <v/>
      </c>
      <c r="M54">
        <f>IF(OR($E54="",$E54="نامعتبر"),"",IF(Sync!$X51="",0,Sync!$X51))</f>
        <v/>
      </c>
      <c r="N54">
        <f>IF(OR($E54="",$E54="نامعتبر"),"",IF(AND($J54="هزینه",$K54&lt;&gt;""),1,0))</f>
        <v/>
      </c>
      <c r="O54">
        <f>IF($N54=0,"",LEFT($E54,4)&amp;MID($E54,6,2)&amp;RIGHT($E54,2)&amp;$F54&amp;"|"&amp;"1"&amp;RIGHT("00000"&amp;46,5))</f>
        <v/>
      </c>
      <c r="P54">
        <f>IF($O54="","",COUNTIFS(ExpSub,$K54,ExpKey,"&lt;"&amp;$O54)+1)</f>
        <v/>
      </c>
      <c r="Q54">
        <f>IF($P54="","",$K54&amp;"|"&amp;RIGHT("000000"&amp;$P54,6))</f>
        <v/>
      </c>
    </row>
    <row r="55">
      <c r="A55">
        <f>IF(Sync!$P52="","",Sync!$P52)</f>
        <v/>
      </c>
      <c r="B55">
        <f>IF($A55="","",IF(ISNUMBER($A55),IF(AND($A55&gt;=10000101,$A55&lt;=99991231),INT($A55/10000),""),IFERROR(VALUE(TRIM(LEFT($A55,FIND("/",$A55)-1))),"")))</f>
        <v/>
      </c>
      <c r="C55">
        <f>IF(OR($A55="",$B55=""),"",IF(ISNUMBER($A55),INT(MOD($A55,10000)/100),IFERROR(VALUE(TRIM(LEFT(MID($A55,FIND("/",$A55)+1,20),FIND("/",MID($A55,FIND("/",$A55)+1,20))-1))),"")))</f>
        <v/>
      </c>
      <c r="D55">
        <f>IF(OR($A55="",$B55=""),"",IF(ISNUMBER($A55),MOD($A55,100),IFERROR(VALUE(TRIM(MID(MID($A55,FIND("/",$A55)+1,20),FIND("/",MID($A55,FIND("/",$A55)+1,20))+1,20))),"")))</f>
        <v/>
      </c>
      <c r="E55">
        <f>IF($A55="","",IF(OR($B55="",$C55="",$D55="",$B55&lt;1300,$B55&gt;1500,$C55&lt;1,$C55&gt;12,$D55&lt;1,$D55&gt;31),"نامعتبر",RIGHT("0000"&amp;$B55,4)&amp;"/"&amp;RIGHT("00"&amp;$C55,2)&amp;"/"&amp;RIGHT("00"&amp;$D55,2)))</f>
        <v/>
      </c>
      <c r="F55">
        <f>IF(OR($E55="",$E55="نامعتبر"),"",IF(Sync!$Q52="","0000",IF(AND(ISNUMBER(Sync!$Q52),Sync!$Q52&gt;=0,Sync!$Q52&lt;1),RIGHT("00"&amp;HOUR(Sync!$Q52),2)&amp;RIGHT("00"&amp;MINUTE(Sync!$Q52),2),IFERROR(RIGHT("00"&amp;VALUE(LEFT(Sync!$Q52,FIND(":",Sync!$Q52)-1)),2)&amp;RIGHT("00"&amp;VALUE(MID(Sync!$Q52,FIND(":",Sync!$Q52)+1,2)),2),"0000"))))</f>
        <v/>
      </c>
      <c r="G55">
        <f>IF(OR($E55="",$E55="نامعتبر"),"",IF(Sync!$S52="","",Sync!$S52))</f>
        <v/>
      </c>
      <c r="H55">
        <f>IF(OR($E55="",$E55="نامعتبر"),"",IF(Sync!$R52="","",Sync!$R52))</f>
        <v/>
      </c>
      <c r="I55">
        <f>IF(OR($E55="",$E55="نامعتبر"),"",IF(Sync!$T52="","",Sync!$T52))</f>
        <v/>
      </c>
      <c r="J55">
        <f>IF(OR($E55="",$E55="نامعتبر"),"",IF(Sync!$U52="","",Sync!$U52))</f>
        <v/>
      </c>
      <c r="K55">
        <f>IF(OR($E55="",$E55="نامعتبر"),"",IF(Sync!$V52="","",IFERROR(INDEX(SubCodes,MATCH(Sync!$V52,SubTitles,0)),Sync!$V52)))</f>
        <v/>
      </c>
      <c r="L55">
        <f>IF(OR($E55="",$E55="نامعتبر"),"",IF(Sync!$W52="",0,Sync!$W52))</f>
        <v/>
      </c>
      <c r="M55">
        <f>IF(OR($E55="",$E55="نامعتبر"),"",IF(Sync!$X52="",0,Sync!$X52))</f>
        <v/>
      </c>
      <c r="N55">
        <f>IF(OR($E55="",$E55="نامعتبر"),"",IF(AND($J55="هزینه",$K55&lt;&gt;""),1,0))</f>
        <v/>
      </c>
      <c r="O55">
        <f>IF($N55=0,"",LEFT($E55,4)&amp;MID($E55,6,2)&amp;RIGHT($E55,2)&amp;$F55&amp;"|"&amp;"1"&amp;RIGHT("00000"&amp;47,5))</f>
        <v/>
      </c>
      <c r="P55">
        <f>IF($O55="","",COUNTIFS(ExpSub,$K55,ExpKey,"&lt;"&amp;$O55)+1)</f>
        <v/>
      </c>
      <c r="Q55">
        <f>IF($P55="","",$K55&amp;"|"&amp;RIGHT("000000"&amp;$P55,6))</f>
        <v/>
      </c>
    </row>
    <row r="56">
      <c r="A56">
        <f>IF(Sync!$P53="","",Sync!$P53)</f>
        <v/>
      </c>
      <c r="B56">
        <f>IF($A56="","",IF(ISNUMBER($A56),IF(AND($A56&gt;=10000101,$A56&lt;=99991231),INT($A56/10000),""),IFERROR(VALUE(TRIM(LEFT($A56,FIND("/",$A56)-1))),"")))</f>
        <v/>
      </c>
      <c r="C56">
        <f>IF(OR($A56="",$B56=""),"",IF(ISNUMBER($A56),INT(MOD($A56,10000)/100),IFERROR(VALUE(TRIM(LEFT(MID($A56,FIND("/",$A56)+1,20),FIND("/",MID($A56,FIND("/",$A56)+1,20))-1))),"")))</f>
        <v/>
      </c>
      <c r="D56">
        <f>IF(OR($A56="",$B56=""),"",IF(ISNUMBER($A56),MOD($A56,100),IFERROR(VALUE(TRIM(MID(MID($A56,FIND("/",$A56)+1,20),FIND("/",MID($A56,FIND("/",$A56)+1,20))+1,20))),"")))</f>
        <v/>
      </c>
      <c r="E56">
        <f>IF($A56="","",IF(OR($B56="",$C56="",$D56="",$B56&lt;1300,$B56&gt;1500,$C56&lt;1,$C56&gt;12,$D56&lt;1,$D56&gt;31),"نامعتبر",RIGHT("0000"&amp;$B56,4)&amp;"/"&amp;RIGHT("00"&amp;$C56,2)&amp;"/"&amp;RIGHT("00"&amp;$D56,2)))</f>
        <v/>
      </c>
      <c r="F56">
        <f>IF(OR($E56="",$E56="نامعتبر"),"",IF(Sync!$Q53="","0000",IF(AND(ISNUMBER(Sync!$Q53),Sync!$Q53&gt;=0,Sync!$Q53&lt;1),RIGHT("00"&amp;HOUR(Sync!$Q53),2)&amp;RIGHT("00"&amp;MINUTE(Sync!$Q53),2),IFERROR(RIGHT("00"&amp;VALUE(LEFT(Sync!$Q53,FIND(":",Sync!$Q53)-1)),2)&amp;RIGHT("00"&amp;VALUE(MID(Sync!$Q53,FIND(":",Sync!$Q53)+1,2)),2),"0000"))))</f>
        <v/>
      </c>
      <c r="G56">
        <f>IF(OR($E56="",$E56="نامعتبر"),"",IF(Sync!$S53="","",Sync!$S53))</f>
        <v/>
      </c>
      <c r="H56">
        <f>IF(OR($E56="",$E56="نامعتبر"),"",IF(Sync!$R53="","",Sync!$R53))</f>
        <v/>
      </c>
      <c r="I56">
        <f>IF(OR($E56="",$E56="نامعتبر"),"",IF(Sync!$T53="","",Sync!$T53))</f>
        <v/>
      </c>
      <c r="J56">
        <f>IF(OR($E56="",$E56="نامعتبر"),"",IF(Sync!$U53="","",Sync!$U53))</f>
        <v/>
      </c>
      <c r="K56">
        <f>IF(OR($E56="",$E56="نامعتبر"),"",IF(Sync!$V53="","",IFERROR(INDEX(SubCodes,MATCH(Sync!$V53,SubTitles,0)),Sync!$V53)))</f>
        <v/>
      </c>
      <c r="L56">
        <f>IF(OR($E56="",$E56="نامعتبر"),"",IF(Sync!$W53="",0,Sync!$W53))</f>
        <v/>
      </c>
      <c r="M56">
        <f>IF(OR($E56="",$E56="نامعتبر"),"",IF(Sync!$X53="",0,Sync!$X53))</f>
        <v/>
      </c>
      <c r="N56">
        <f>IF(OR($E56="",$E56="نامعتبر"),"",IF(AND($J56="هزینه",$K56&lt;&gt;""),1,0))</f>
        <v/>
      </c>
      <c r="O56">
        <f>IF($N56=0,"",LEFT($E56,4)&amp;MID($E56,6,2)&amp;RIGHT($E56,2)&amp;$F56&amp;"|"&amp;"1"&amp;RIGHT("00000"&amp;48,5))</f>
        <v/>
      </c>
      <c r="P56">
        <f>IF($O56="","",COUNTIFS(ExpSub,$K56,ExpKey,"&lt;"&amp;$O56)+1)</f>
        <v/>
      </c>
      <c r="Q56">
        <f>IF($P56="","",$K56&amp;"|"&amp;RIGHT("000000"&amp;$P56,6))</f>
        <v/>
      </c>
    </row>
    <row r="57">
      <c r="A57">
        <f>IF(Sync!$P54="","",Sync!$P54)</f>
        <v/>
      </c>
      <c r="B57">
        <f>IF($A57="","",IF(ISNUMBER($A57),IF(AND($A57&gt;=10000101,$A57&lt;=99991231),INT($A57/10000),""),IFERROR(VALUE(TRIM(LEFT($A57,FIND("/",$A57)-1))),"")))</f>
        <v/>
      </c>
      <c r="C57">
        <f>IF(OR($A57="",$B57=""),"",IF(ISNUMBER($A57),INT(MOD($A57,10000)/100),IFERROR(VALUE(TRIM(LEFT(MID($A57,FIND("/",$A57)+1,20),FIND("/",MID($A57,FIND("/",$A57)+1,20))-1))),"")))</f>
        <v/>
      </c>
      <c r="D57">
        <f>IF(OR($A57="",$B57=""),"",IF(ISNUMBER($A57),MOD($A57,100),IFERROR(VALUE(TRIM(MID(MID($A57,FIND("/",$A57)+1,20),FIND("/",MID($A57,FIND("/",$A57)+1,20))+1,20))),"")))</f>
        <v/>
      </c>
      <c r="E57">
        <f>IF($A57="","",IF(OR($B57="",$C57="",$D57="",$B57&lt;1300,$B57&gt;1500,$C57&lt;1,$C57&gt;12,$D57&lt;1,$D57&gt;31),"نامعتبر",RIGHT("0000"&amp;$B57,4)&amp;"/"&amp;RIGHT("00"&amp;$C57,2)&amp;"/"&amp;RIGHT("00"&amp;$D57,2)))</f>
        <v/>
      </c>
      <c r="F57">
        <f>IF(OR($E57="",$E57="نامعتبر"),"",IF(Sync!$Q54="","0000",IF(AND(ISNUMBER(Sync!$Q54),Sync!$Q54&gt;=0,Sync!$Q54&lt;1),RIGHT("00"&amp;HOUR(Sync!$Q54),2)&amp;RIGHT("00"&amp;MINUTE(Sync!$Q54),2),IFERROR(RIGHT("00"&amp;VALUE(LEFT(Sync!$Q54,FIND(":",Sync!$Q54)-1)),2)&amp;RIGHT("00"&amp;VALUE(MID(Sync!$Q54,FIND(":",Sync!$Q54)+1,2)),2),"0000"))))</f>
        <v/>
      </c>
      <c r="G57">
        <f>IF(OR($E57="",$E57="نامعتبر"),"",IF(Sync!$S54="","",Sync!$S54))</f>
        <v/>
      </c>
      <c r="H57">
        <f>IF(OR($E57="",$E57="نامعتبر"),"",IF(Sync!$R54="","",Sync!$R54))</f>
        <v/>
      </c>
      <c r="I57">
        <f>IF(OR($E57="",$E57="نامعتبر"),"",IF(Sync!$T54="","",Sync!$T54))</f>
        <v/>
      </c>
      <c r="J57">
        <f>IF(OR($E57="",$E57="نامعتبر"),"",IF(Sync!$U54="","",Sync!$U54))</f>
        <v/>
      </c>
      <c r="K57">
        <f>IF(OR($E57="",$E57="نامعتبر"),"",IF(Sync!$V54="","",IFERROR(INDEX(SubCodes,MATCH(Sync!$V54,SubTitles,0)),Sync!$V54)))</f>
        <v/>
      </c>
      <c r="L57">
        <f>IF(OR($E57="",$E57="نامعتبر"),"",IF(Sync!$W54="",0,Sync!$W54))</f>
        <v/>
      </c>
      <c r="M57">
        <f>IF(OR($E57="",$E57="نامعتبر"),"",IF(Sync!$X54="",0,Sync!$X54))</f>
        <v/>
      </c>
      <c r="N57">
        <f>IF(OR($E57="",$E57="نامعتبر"),"",IF(AND($J57="هزینه",$K57&lt;&gt;""),1,0))</f>
        <v/>
      </c>
      <c r="O57">
        <f>IF($N57=0,"",LEFT($E57,4)&amp;MID($E57,6,2)&amp;RIGHT($E57,2)&amp;$F57&amp;"|"&amp;"1"&amp;RIGHT("00000"&amp;49,5))</f>
        <v/>
      </c>
      <c r="P57">
        <f>IF($O57="","",COUNTIFS(ExpSub,$K57,ExpKey,"&lt;"&amp;$O57)+1)</f>
        <v/>
      </c>
      <c r="Q57">
        <f>IF($P57="","",$K57&amp;"|"&amp;RIGHT("000000"&amp;$P57,6))</f>
        <v/>
      </c>
    </row>
    <row r="58">
      <c r="A58">
        <f>IF(Sync!$P55="","",Sync!$P55)</f>
        <v/>
      </c>
      <c r="B58">
        <f>IF($A58="","",IF(ISNUMBER($A58),IF(AND($A58&gt;=10000101,$A58&lt;=99991231),INT($A58/10000),""),IFERROR(VALUE(TRIM(LEFT($A58,FIND("/",$A58)-1))),"")))</f>
        <v/>
      </c>
      <c r="C58">
        <f>IF(OR($A58="",$B58=""),"",IF(ISNUMBER($A58),INT(MOD($A58,10000)/100),IFERROR(VALUE(TRIM(LEFT(MID($A58,FIND("/",$A58)+1,20),FIND("/",MID($A58,FIND("/",$A58)+1,20))-1))),"")))</f>
        <v/>
      </c>
      <c r="D58">
        <f>IF(OR($A58="",$B58=""),"",IF(ISNUMBER($A58),MOD($A58,100),IFERROR(VALUE(TRIM(MID(MID($A58,FIND("/",$A58)+1,20),FIND("/",MID($A58,FIND("/",$A58)+1,20))+1,20))),"")))</f>
        <v/>
      </c>
      <c r="E58">
        <f>IF($A58="","",IF(OR($B58="",$C58="",$D58="",$B58&lt;1300,$B58&gt;1500,$C58&lt;1,$C58&gt;12,$D58&lt;1,$D58&gt;31),"نامعتبر",RIGHT("0000"&amp;$B58,4)&amp;"/"&amp;RIGHT("00"&amp;$C58,2)&amp;"/"&amp;RIGHT("00"&amp;$D58,2)))</f>
        <v/>
      </c>
      <c r="F58">
        <f>IF(OR($E58="",$E58="نامعتبر"),"",IF(Sync!$Q55="","0000",IF(AND(ISNUMBER(Sync!$Q55),Sync!$Q55&gt;=0,Sync!$Q55&lt;1),RIGHT("00"&amp;HOUR(Sync!$Q55),2)&amp;RIGHT("00"&amp;MINUTE(Sync!$Q55),2),IFERROR(RIGHT("00"&amp;VALUE(LEFT(Sync!$Q55,FIND(":",Sync!$Q55)-1)),2)&amp;RIGHT("00"&amp;VALUE(MID(Sync!$Q55,FIND(":",Sync!$Q55)+1,2)),2),"0000"))))</f>
        <v/>
      </c>
      <c r="G58">
        <f>IF(OR($E58="",$E58="نامعتبر"),"",IF(Sync!$S55="","",Sync!$S55))</f>
        <v/>
      </c>
      <c r="H58">
        <f>IF(OR($E58="",$E58="نامعتبر"),"",IF(Sync!$R55="","",Sync!$R55))</f>
        <v/>
      </c>
      <c r="I58">
        <f>IF(OR($E58="",$E58="نامعتبر"),"",IF(Sync!$T55="","",Sync!$T55))</f>
        <v/>
      </c>
      <c r="J58">
        <f>IF(OR($E58="",$E58="نامعتبر"),"",IF(Sync!$U55="","",Sync!$U55))</f>
        <v/>
      </c>
      <c r="K58">
        <f>IF(OR($E58="",$E58="نامعتبر"),"",IF(Sync!$V55="","",IFERROR(INDEX(SubCodes,MATCH(Sync!$V55,SubTitles,0)),Sync!$V55)))</f>
        <v/>
      </c>
      <c r="L58">
        <f>IF(OR($E58="",$E58="نامعتبر"),"",IF(Sync!$W55="",0,Sync!$W55))</f>
        <v/>
      </c>
      <c r="M58">
        <f>IF(OR($E58="",$E58="نامعتبر"),"",IF(Sync!$X55="",0,Sync!$X55))</f>
        <v/>
      </c>
      <c r="N58">
        <f>IF(OR($E58="",$E58="نامعتبر"),"",IF(AND($J58="هزینه",$K58&lt;&gt;""),1,0))</f>
        <v/>
      </c>
      <c r="O58">
        <f>IF($N58=0,"",LEFT($E58,4)&amp;MID($E58,6,2)&amp;RIGHT($E58,2)&amp;$F58&amp;"|"&amp;"1"&amp;RIGHT("00000"&amp;50,5))</f>
        <v/>
      </c>
      <c r="P58">
        <f>IF($O58="","",COUNTIFS(ExpSub,$K58,ExpKey,"&lt;"&amp;$O58)+1)</f>
        <v/>
      </c>
      <c r="Q58">
        <f>IF($P58="","",$K58&amp;"|"&amp;RIGHT("000000"&amp;$P58,6))</f>
        <v/>
      </c>
    </row>
    <row r="59">
      <c r="A59">
        <f>IF(Sync!$P56="","",Sync!$P56)</f>
        <v/>
      </c>
      <c r="B59">
        <f>IF($A59="","",IF(ISNUMBER($A59),IF(AND($A59&gt;=10000101,$A59&lt;=99991231),INT($A59/10000),""),IFERROR(VALUE(TRIM(LEFT($A59,FIND("/",$A59)-1))),"")))</f>
        <v/>
      </c>
      <c r="C59">
        <f>IF(OR($A59="",$B59=""),"",IF(ISNUMBER($A59),INT(MOD($A59,10000)/100),IFERROR(VALUE(TRIM(LEFT(MID($A59,FIND("/",$A59)+1,20),FIND("/",MID($A59,FIND("/",$A59)+1,20))-1))),"")))</f>
        <v/>
      </c>
      <c r="D59">
        <f>IF(OR($A59="",$B59=""),"",IF(ISNUMBER($A59),MOD($A59,100),IFERROR(VALUE(TRIM(MID(MID($A59,FIND("/",$A59)+1,20),FIND("/",MID($A59,FIND("/",$A59)+1,20))+1,20))),"")))</f>
        <v/>
      </c>
      <c r="E59">
        <f>IF($A59="","",IF(OR($B59="",$C59="",$D59="",$B59&lt;1300,$B59&gt;1500,$C59&lt;1,$C59&gt;12,$D59&lt;1,$D59&gt;31),"نامعتبر",RIGHT("0000"&amp;$B59,4)&amp;"/"&amp;RIGHT("00"&amp;$C59,2)&amp;"/"&amp;RIGHT("00"&amp;$D59,2)))</f>
        <v/>
      </c>
      <c r="F59">
        <f>IF(OR($E59="",$E59="نامعتبر"),"",IF(Sync!$Q56="","0000",IF(AND(ISNUMBER(Sync!$Q56),Sync!$Q56&gt;=0,Sync!$Q56&lt;1),RIGHT("00"&amp;HOUR(Sync!$Q56),2)&amp;RIGHT("00"&amp;MINUTE(Sync!$Q56),2),IFERROR(RIGHT("00"&amp;VALUE(LEFT(Sync!$Q56,FIND(":",Sync!$Q56)-1)),2)&amp;RIGHT("00"&amp;VALUE(MID(Sync!$Q56,FIND(":",Sync!$Q56)+1,2)),2),"0000"))))</f>
        <v/>
      </c>
      <c r="G59">
        <f>IF(OR($E59="",$E59="نامعتبر"),"",IF(Sync!$S56="","",Sync!$S56))</f>
        <v/>
      </c>
      <c r="H59">
        <f>IF(OR($E59="",$E59="نامعتبر"),"",IF(Sync!$R56="","",Sync!$R56))</f>
        <v/>
      </c>
      <c r="I59">
        <f>IF(OR($E59="",$E59="نامعتبر"),"",IF(Sync!$T56="","",Sync!$T56))</f>
        <v/>
      </c>
      <c r="J59">
        <f>IF(OR($E59="",$E59="نامعتبر"),"",IF(Sync!$U56="","",Sync!$U56))</f>
        <v/>
      </c>
      <c r="K59">
        <f>IF(OR($E59="",$E59="نامعتبر"),"",IF(Sync!$V56="","",IFERROR(INDEX(SubCodes,MATCH(Sync!$V56,SubTitles,0)),Sync!$V56)))</f>
        <v/>
      </c>
      <c r="L59">
        <f>IF(OR($E59="",$E59="نامعتبر"),"",IF(Sync!$W56="",0,Sync!$W56))</f>
        <v/>
      </c>
      <c r="M59">
        <f>IF(OR($E59="",$E59="نامعتبر"),"",IF(Sync!$X56="",0,Sync!$X56))</f>
        <v/>
      </c>
      <c r="N59">
        <f>IF(OR($E59="",$E59="نامعتبر"),"",IF(AND($J59="هزینه",$K59&lt;&gt;""),1,0))</f>
        <v/>
      </c>
      <c r="O59">
        <f>IF($N59=0,"",LEFT($E59,4)&amp;MID($E59,6,2)&amp;RIGHT($E59,2)&amp;$F59&amp;"|"&amp;"1"&amp;RIGHT("00000"&amp;51,5))</f>
        <v/>
      </c>
      <c r="P59">
        <f>IF($O59="","",COUNTIFS(ExpSub,$K59,ExpKey,"&lt;"&amp;$O59)+1)</f>
        <v/>
      </c>
      <c r="Q59">
        <f>IF($P59="","",$K59&amp;"|"&amp;RIGHT("000000"&amp;$P59,6))</f>
        <v/>
      </c>
    </row>
    <row r="60">
      <c r="A60">
        <f>IF(Sync!$P57="","",Sync!$P57)</f>
        <v/>
      </c>
      <c r="B60">
        <f>IF($A60="","",IF(ISNUMBER($A60),IF(AND($A60&gt;=10000101,$A60&lt;=99991231),INT($A60/10000),""),IFERROR(VALUE(TRIM(LEFT($A60,FIND("/",$A60)-1))),"")))</f>
        <v/>
      </c>
      <c r="C60">
        <f>IF(OR($A60="",$B60=""),"",IF(ISNUMBER($A60),INT(MOD($A60,10000)/100),IFERROR(VALUE(TRIM(LEFT(MID($A60,FIND("/",$A60)+1,20),FIND("/",MID($A60,FIND("/",$A60)+1,20))-1))),"")))</f>
        <v/>
      </c>
      <c r="D60">
        <f>IF(OR($A60="",$B60=""),"",IF(ISNUMBER($A60),MOD($A60,100),IFERROR(VALUE(TRIM(MID(MID($A60,FIND("/",$A60)+1,20),FIND("/",MID($A60,FIND("/",$A60)+1,20))+1,20))),"")))</f>
        <v/>
      </c>
      <c r="E60">
        <f>IF($A60="","",IF(OR($B60="",$C60="",$D60="",$B60&lt;1300,$B60&gt;1500,$C60&lt;1,$C60&gt;12,$D60&lt;1,$D60&gt;31),"نامعتبر",RIGHT("0000"&amp;$B60,4)&amp;"/"&amp;RIGHT("00"&amp;$C60,2)&amp;"/"&amp;RIGHT("00"&amp;$D60,2)))</f>
        <v/>
      </c>
      <c r="F60">
        <f>IF(OR($E60="",$E60="نامعتبر"),"",IF(Sync!$Q57="","0000",IF(AND(ISNUMBER(Sync!$Q57),Sync!$Q57&gt;=0,Sync!$Q57&lt;1),RIGHT("00"&amp;HOUR(Sync!$Q57),2)&amp;RIGHT("00"&amp;MINUTE(Sync!$Q57),2),IFERROR(RIGHT("00"&amp;VALUE(LEFT(Sync!$Q57,FIND(":",Sync!$Q57)-1)),2)&amp;RIGHT("00"&amp;VALUE(MID(Sync!$Q57,FIND(":",Sync!$Q57)+1,2)),2),"0000"))))</f>
        <v/>
      </c>
      <c r="G60">
        <f>IF(OR($E60="",$E60="نامعتبر"),"",IF(Sync!$S57="","",Sync!$S57))</f>
        <v/>
      </c>
      <c r="H60">
        <f>IF(OR($E60="",$E60="نامعتبر"),"",IF(Sync!$R57="","",Sync!$R57))</f>
        <v/>
      </c>
      <c r="I60">
        <f>IF(OR($E60="",$E60="نامعتبر"),"",IF(Sync!$T57="","",Sync!$T57))</f>
        <v/>
      </c>
      <c r="J60">
        <f>IF(OR($E60="",$E60="نامعتبر"),"",IF(Sync!$U57="","",Sync!$U57))</f>
        <v/>
      </c>
      <c r="K60">
        <f>IF(OR($E60="",$E60="نامعتبر"),"",IF(Sync!$V57="","",IFERROR(INDEX(SubCodes,MATCH(Sync!$V57,SubTitles,0)),Sync!$V57)))</f>
        <v/>
      </c>
      <c r="L60">
        <f>IF(OR($E60="",$E60="نامعتبر"),"",IF(Sync!$W57="",0,Sync!$W57))</f>
        <v/>
      </c>
      <c r="M60">
        <f>IF(OR($E60="",$E60="نامعتبر"),"",IF(Sync!$X57="",0,Sync!$X57))</f>
        <v/>
      </c>
      <c r="N60">
        <f>IF(OR($E60="",$E60="نامعتبر"),"",IF(AND($J60="هزینه",$K60&lt;&gt;""),1,0))</f>
        <v/>
      </c>
      <c r="O60">
        <f>IF($N60=0,"",LEFT($E60,4)&amp;MID($E60,6,2)&amp;RIGHT($E60,2)&amp;$F60&amp;"|"&amp;"1"&amp;RIGHT("00000"&amp;52,5))</f>
        <v/>
      </c>
      <c r="P60">
        <f>IF($O60="","",COUNTIFS(ExpSub,$K60,ExpKey,"&lt;"&amp;$O60)+1)</f>
        <v/>
      </c>
      <c r="Q60">
        <f>IF($P60="","",$K60&amp;"|"&amp;RIGHT("000000"&amp;$P60,6))</f>
        <v/>
      </c>
    </row>
    <row r="61">
      <c r="A61">
        <f>IF(Sync!$P58="","",Sync!$P58)</f>
        <v/>
      </c>
      <c r="B61">
        <f>IF($A61="","",IF(ISNUMBER($A61),IF(AND($A61&gt;=10000101,$A61&lt;=99991231),INT($A61/10000),""),IFERROR(VALUE(TRIM(LEFT($A61,FIND("/",$A61)-1))),"")))</f>
        <v/>
      </c>
      <c r="C61">
        <f>IF(OR($A61="",$B61=""),"",IF(ISNUMBER($A61),INT(MOD($A61,10000)/100),IFERROR(VALUE(TRIM(LEFT(MID($A61,FIND("/",$A61)+1,20),FIND("/",MID($A61,FIND("/",$A61)+1,20))-1))),"")))</f>
        <v/>
      </c>
      <c r="D61">
        <f>IF(OR($A61="",$B61=""),"",IF(ISNUMBER($A61),MOD($A61,100),IFERROR(VALUE(TRIM(MID(MID($A61,FIND("/",$A61)+1,20),FIND("/",MID($A61,FIND("/",$A61)+1,20))+1,20))),"")))</f>
        <v/>
      </c>
      <c r="E61">
        <f>IF($A61="","",IF(OR($B61="",$C61="",$D61="",$B61&lt;1300,$B61&gt;1500,$C61&lt;1,$C61&gt;12,$D61&lt;1,$D61&gt;31),"نامعتبر",RIGHT("0000"&amp;$B61,4)&amp;"/"&amp;RIGHT("00"&amp;$C61,2)&amp;"/"&amp;RIGHT("00"&amp;$D61,2)))</f>
        <v/>
      </c>
      <c r="F61">
        <f>IF(OR($E61="",$E61="نامعتبر"),"",IF(Sync!$Q58="","0000",IF(AND(ISNUMBER(Sync!$Q58),Sync!$Q58&gt;=0,Sync!$Q58&lt;1),RIGHT("00"&amp;HOUR(Sync!$Q58),2)&amp;RIGHT("00"&amp;MINUTE(Sync!$Q58),2),IFERROR(RIGHT("00"&amp;VALUE(LEFT(Sync!$Q58,FIND(":",Sync!$Q58)-1)),2)&amp;RIGHT("00"&amp;VALUE(MID(Sync!$Q58,FIND(":",Sync!$Q58)+1,2)),2),"0000"))))</f>
        <v/>
      </c>
      <c r="G61">
        <f>IF(OR($E61="",$E61="نامعتبر"),"",IF(Sync!$S58="","",Sync!$S58))</f>
        <v/>
      </c>
      <c r="H61">
        <f>IF(OR($E61="",$E61="نامعتبر"),"",IF(Sync!$R58="","",Sync!$R58))</f>
        <v/>
      </c>
      <c r="I61">
        <f>IF(OR($E61="",$E61="نامعتبر"),"",IF(Sync!$T58="","",Sync!$T58))</f>
        <v/>
      </c>
      <c r="J61">
        <f>IF(OR($E61="",$E61="نامعتبر"),"",IF(Sync!$U58="","",Sync!$U58))</f>
        <v/>
      </c>
      <c r="K61">
        <f>IF(OR($E61="",$E61="نامعتبر"),"",IF(Sync!$V58="","",IFERROR(INDEX(SubCodes,MATCH(Sync!$V58,SubTitles,0)),Sync!$V58)))</f>
        <v/>
      </c>
      <c r="L61">
        <f>IF(OR($E61="",$E61="نامعتبر"),"",IF(Sync!$W58="",0,Sync!$W58))</f>
        <v/>
      </c>
      <c r="M61">
        <f>IF(OR($E61="",$E61="نامعتبر"),"",IF(Sync!$X58="",0,Sync!$X58))</f>
        <v/>
      </c>
      <c r="N61">
        <f>IF(OR($E61="",$E61="نامعتبر"),"",IF(AND($J61="هزینه",$K61&lt;&gt;""),1,0))</f>
        <v/>
      </c>
      <c r="O61">
        <f>IF($N61=0,"",LEFT($E61,4)&amp;MID($E61,6,2)&amp;RIGHT($E61,2)&amp;$F61&amp;"|"&amp;"1"&amp;RIGHT("00000"&amp;53,5))</f>
        <v/>
      </c>
      <c r="P61">
        <f>IF($O61="","",COUNTIFS(ExpSub,$K61,ExpKey,"&lt;"&amp;$O61)+1)</f>
        <v/>
      </c>
      <c r="Q61">
        <f>IF($P61="","",$K61&amp;"|"&amp;RIGHT("000000"&amp;$P61,6))</f>
        <v/>
      </c>
    </row>
    <row r="62">
      <c r="A62">
        <f>IF(Sync!$P59="","",Sync!$P59)</f>
        <v/>
      </c>
      <c r="B62">
        <f>IF($A62="","",IF(ISNUMBER($A62),IF(AND($A62&gt;=10000101,$A62&lt;=99991231),INT($A62/10000),""),IFERROR(VALUE(TRIM(LEFT($A62,FIND("/",$A62)-1))),"")))</f>
        <v/>
      </c>
      <c r="C62">
        <f>IF(OR($A62="",$B62=""),"",IF(ISNUMBER($A62),INT(MOD($A62,10000)/100),IFERROR(VALUE(TRIM(LEFT(MID($A62,FIND("/",$A62)+1,20),FIND("/",MID($A62,FIND("/",$A62)+1,20))-1))),"")))</f>
        <v/>
      </c>
      <c r="D62">
        <f>IF(OR($A62="",$B62=""),"",IF(ISNUMBER($A62),MOD($A62,100),IFERROR(VALUE(TRIM(MID(MID($A62,FIND("/",$A62)+1,20),FIND("/",MID($A62,FIND("/",$A62)+1,20))+1,20))),"")))</f>
        <v/>
      </c>
      <c r="E62">
        <f>IF($A62="","",IF(OR($B62="",$C62="",$D62="",$B62&lt;1300,$B62&gt;1500,$C62&lt;1,$C62&gt;12,$D62&lt;1,$D62&gt;31),"نامعتبر",RIGHT("0000"&amp;$B62,4)&amp;"/"&amp;RIGHT("00"&amp;$C62,2)&amp;"/"&amp;RIGHT("00"&amp;$D62,2)))</f>
        <v/>
      </c>
      <c r="F62">
        <f>IF(OR($E62="",$E62="نامعتبر"),"",IF(Sync!$Q59="","0000",IF(AND(ISNUMBER(Sync!$Q59),Sync!$Q59&gt;=0,Sync!$Q59&lt;1),RIGHT("00"&amp;HOUR(Sync!$Q59),2)&amp;RIGHT("00"&amp;MINUTE(Sync!$Q59),2),IFERROR(RIGHT("00"&amp;VALUE(LEFT(Sync!$Q59,FIND(":",Sync!$Q59)-1)),2)&amp;RIGHT("00"&amp;VALUE(MID(Sync!$Q59,FIND(":",Sync!$Q59)+1,2)),2),"0000"))))</f>
        <v/>
      </c>
      <c r="G62">
        <f>IF(OR($E62="",$E62="نامعتبر"),"",IF(Sync!$S59="","",Sync!$S59))</f>
        <v/>
      </c>
      <c r="H62">
        <f>IF(OR($E62="",$E62="نامعتبر"),"",IF(Sync!$R59="","",Sync!$R59))</f>
        <v/>
      </c>
      <c r="I62">
        <f>IF(OR($E62="",$E62="نامعتبر"),"",IF(Sync!$T59="","",Sync!$T59))</f>
        <v/>
      </c>
      <c r="J62">
        <f>IF(OR($E62="",$E62="نامعتبر"),"",IF(Sync!$U59="","",Sync!$U59))</f>
        <v/>
      </c>
      <c r="K62">
        <f>IF(OR($E62="",$E62="نامعتبر"),"",IF(Sync!$V59="","",IFERROR(INDEX(SubCodes,MATCH(Sync!$V59,SubTitles,0)),Sync!$V59)))</f>
        <v/>
      </c>
      <c r="L62">
        <f>IF(OR($E62="",$E62="نامعتبر"),"",IF(Sync!$W59="",0,Sync!$W59))</f>
        <v/>
      </c>
      <c r="M62">
        <f>IF(OR($E62="",$E62="نامعتبر"),"",IF(Sync!$X59="",0,Sync!$X59))</f>
        <v/>
      </c>
      <c r="N62">
        <f>IF(OR($E62="",$E62="نامعتبر"),"",IF(AND($J62="هزینه",$K62&lt;&gt;""),1,0))</f>
        <v/>
      </c>
      <c r="O62">
        <f>IF($N62=0,"",LEFT($E62,4)&amp;MID($E62,6,2)&amp;RIGHT($E62,2)&amp;$F62&amp;"|"&amp;"1"&amp;RIGHT("00000"&amp;54,5))</f>
        <v/>
      </c>
      <c r="P62">
        <f>IF($O62="","",COUNTIFS(ExpSub,$K62,ExpKey,"&lt;"&amp;$O62)+1)</f>
        <v/>
      </c>
      <c r="Q62">
        <f>IF($P62="","",$K62&amp;"|"&amp;RIGHT("000000"&amp;$P62,6))</f>
        <v/>
      </c>
    </row>
    <row r="63">
      <c r="A63">
        <f>IF(Sync!$P60="","",Sync!$P60)</f>
        <v/>
      </c>
      <c r="B63">
        <f>IF($A63="","",IF(ISNUMBER($A63),IF(AND($A63&gt;=10000101,$A63&lt;=99991231),INT($A63/10000),""),IFERROR(VALUE(TRIM(LEFT($A63,FIND("/",$A63)-1))),"")))</f>
        <v/>
      </c>
      <c r="C63">
        <f>IF(OR($A63="",$B63=""),"",IF(ISNUMBER($A63),INT(MOD($A63,10000)/100),IFERROR(VALUE(TRIM(LEFT(MID($A63,FIND("/",$A63)+1,20),FIND("/",MID($A63,FIND("/",$A63)+1,20))-1))),"")))</f>
        <v/>
      </c>
      <c r="D63">
        <f>IF(OR($A63="",$B63=""),"",IF(ISNUMBER($A63),MOD($A63,100),IFERROR(VALUE(TRIM(MID(MID($A63,FIND("/",$A63)+1,20),FIND("/",MID($A63,FIND("/",$A63)+1,20))+1,20))),"")))</f>
        <v/>
      </c>
      <c r="E63">
        <f>IF($A63="","",IF(OR($B63="",$C63="",$D63="",$B63&lt;1300,$B63&gt;1500,$C63&lt;1,$C63&gt;12,$D63&lt;1,$D63&gt;31),"نامعتبر",RIGHT("0000"&amp;$B63,4)&amp;"/"&amp;RIGHT("00"&amp;$C63,2)&amp;"/"&amp;RIGHT("00"&amp;$D63,2)))</f>
        <v/>
      </c>
      <c r="F63">
        <f>IF(OR($E63="",$E63="نامعتبر"),"",IF(Sync!$Q60="","0000",IF(AND(ISNUMBER(Sync!$Q60),Sync!$Q60&gt;=0,Sync!$Q60&lt;1),RIGHT("00"&amp;HOUR(Sync!$Q60),2)&amp;RIGHT("00"&amp;MINUTE(Sync!$Q60),2),IFERROR(RIGHT("00"&amp;VALUE(LEFT(Sync!$Q60,FIND(":",Sync!$Q60)-1)),2)&amp;RIGHT("00"&amp;VALUE(MID(Sync!$Q60,FIND(":",Sync!$Q60)+1,2)),2),"0000"))))</f>
        <v/>
      </c>
      <c r="G63">
        <f>IF(OR($E63="",$E63="نامعتبر"),"",IF(Sync!$S60="","",Sync!$S60))</f>
        <v/>
      </c>
      <c r="H63">
        <f>IF(OR($E63="",$E63="نامعتبر"),"",IF(Sync!$R60="","",Sync!$R60))</f>
        <v/>
      </c>
      <c r="I63">
        <f>IF(OR($E63="",$E63="نامعتبر"),"",IF(Sync!$T60="","",Sync!$T60))</f>
        <v/>
      </c>
      <c r="J63">
        <f>IF(OR($E63="",$E63="نامعتبر"),"",IF(Sync!$U60="","",Sync!$U60))</f>
        <v/>
      </c>
      <c r="K63">
        <f>IF(OR($E63="",$E63="نامعتبر"),"",IF(Sync!$V60="","",IFERROR(INDEX(SubCodes,MATCH(Sync!$V60,SubTitles,0)),Sync!$V60)))</f>
        <v/>
      </c>
      <c r="L63">
        <f>IF(OR($E63="",$E63="نامعتبر"),"",IF(Sync!$W60="",0,Sync!$W60))</f>
        <v/>
      </c>
      <c r="M63">
        <f>IF(OR($E63="",$E63="نامعتبر"),"",IF(Sync!$X60="",0,Sync!$X60))</f>
        <v/>
      </c>
      <c r="N63">
        <f>IF(OR($E63="",$E63="نامعتبر"),"",IF(AND($J63="هزینه",$K63&lt;&gt;""),1,0))</f>
        <v/>
      </c>
      <c r="O63">
        <f>IF($N63=0,"",LEFT($E63,4)&amp;MID($E63,6,2)&amp;RIGHT($E63,2)&amp;$F63&amp;"|"&amp;"1"&amp;RIGHT("00000"&amp;55,5))</f>
        <v/>
      </c>
      <c r="P63">
        <f>IF($O63="","",COUNTIFS(ExpSub,$K63,ExpKey,"&lt;"&amp;$O63)+1)</f>
        <v/>
      </c>
      <c r="Q63">
        <f>IF($P63="","",$K63&amp;"|"&amp;RIGHT("000000"&amp;$P63,6))</f>
        <v/>
      </c>
    </row>
    <row r="64">
      <c r="A64">
        <f>IF(Sync!$P61="","",Sync!$P61)</f>
        <v/>
      </c>
      <c r="B64">
        <f>IF($A64="","",IF(ISNUMBER($A64),IF(AND($A64&gt;=10000101,$A64&lt;=99991231),INT($A64/10000),""),IFERROR(VALUE(TRIM(LEFT($A64,FIND("/",$A64)-1))),"")))</f>
        <v/>
      </c>
      <c r="C64">
        <f>IF(OR($A64="",$B64=""),"",IF(ISNUMBER($A64),INT(MOD($A64,10000)/100),IFERROR(VALUE(TRIM(LEFT(MID($A64,FIND("/",$A64)+1,20),FIND("/",MID($A64,FIND("/",$A64)+1,20))-1))),"")))</f>
        <v/>
      </c>
      <c r="D64">
        <f>IF(OR($A64="",$B64=""),"",IF(ISNUMBER($A64),MOD($A64,100),IFERROR(VALUE(TRIM(MID(MID($A64,FIND("/",$A64)+1,20),FIND("/",MID($A64,FIND("/",$A64)+1,20))+1,20))),"")))</f>
        <v/>
      </c>
      <c r="E64">
        <f>IF($A64="","",IF(OR($B64="",$C64="",$D64="",$B64&lt;1300,$B64&gt;1500,$C64&lt;1,$C64&gt;12,$D64&lt;1,$D64&gt;31),"نامعتبر",RIGHT("0000"&amp;$B64,4)&amp;"/"&amp;RIGHT("00"&amp;$C64,2)&amp;"/"&amp;RIGHT("00"&amp;$D64,2)))</f>
        <v/>
      </c>
      <c r="F64">
        <f>IF(OR($E64="",$E64="نامعتبر"),"",IF(Sync!$Q61="","0000",IF(AND(ISNUMBER(Sync!$Q61),Sync!$Q61&gt;=0,Sync!$Q61&lt;1),RIGHT("00"&amp;HOUR(Sync!$Q61),2)&amp;RIGHT("00"&amp;MINUTE(Sync!$Q61),2),IFERROR(RIGHT("00"&amp;VALUE(LEFT(Sync!$Q61,FIND(":",Sync!$Q61)-1)),2)&amp;RIGHT("00"&amp;VALUE(MID(Sync!$Q61,FIND(":",Sync!$Q61)+1,2)),2),"0000"))))</f>
        <v/>
      </c>
      <c r="G64">
        <f>IF(OR($E64="",$E64="نامعتبر"),"",IF(Sync!$S61="","",Sync!$S61))</f>
        <v/>
      </c>
      <c r="H64">
        <f>IF(OR($E64="",$E64="نامعتبر"),"",IF(Sync!$R61="","",Sync!$R61))</f>
        <v/>
      </c>
      <c r="I64">
        <f>IF(OR($E64="",$E64="نامعتبر"),"",IF(Sync!$T61="","",Sync!$T61))</f>
        <v/>
      </c>
      <c r="J64">
        <f>IF(OR($E64="",$E64="نامعتبر"),"",IF(Sync!$U61="","",Sync!$U61))</f>
        <v/>
      </c>
      <c r="K64">
        <f>IF(OR($E64="",$E64="نامعتبر"),"",IF(Sync!$V61="","",IFERROR(INDEX(SubCodes,MATCH(Sync!$V61,SubTitles,0)),Sync!$V61)))</f>
        <v/>
      </c>
      <c r="L64">
        <f>IF(OR($E64="",$E64="نامعتبر"),"",IF(Sync!$W61="",0,Sync!$W61))</f>
        <v/>
      </c>
      <c r="M64">
        <f>IF(OR($E64="",$E64="نامعتبر"),"",IF(Sync!$X61="",0,Sync!$X61))</f>
        <v/>
      </c>
      <c r="N64">
        <f>IF(OR($E64="",$E64="نامعتبر"),"",IF(AND($J64="هزینه",$K64&lt;&gt;""),1,0))</f>
        <v/>
      </c>
      <c r="O64">
        <f>IF($N64=0,"",LEFT($E64,4)&amp;MID($E64,6,2)&amp;RIGHT($E64,2)&amp;$F64&amp;"|"&amp;"1"&amp;RIGHT("00000"&amp;56,5))</f>
        <v/>
      </c>
      <c r="P64">
        <f>IF($O64="","",COUNTIFS(ExpSub,$K64,ExpKey,"&lt;"&amp;$O64)+1)</f>
        <v/>
      </c>
      <c r="Q64">
        <f>IF($P64="","",$K64&amp;"|"&amp;RIGHT("000000"&amp;$P64,6))</f>
        <v/>
      </c>
    </row>
    <row r="65">
      <c r="A65">
        <f>IF(Sync!$P62="","",Sync!$P62)</f>
        <v/>
      </c>
      <c r="B65">
        <f>IF($A65="","",IF(ISNUMBER($A65),IF(AND($A65&gt;=10000101,$A65&lt;=99991231),INT($A65/10000),""),IFERROR(VALUE(TRIM(LEFT($A65,FIND("/",$A65)-1))),"")))</f>
        <v/>
      </c>
      <c r="C65">
        <f>IF(OR($A65="",$B65=""),"",IF(ISNUMBER($A65),INT(MOD($A65,10000)/100),IFERROR(VALUE(TRIM(LEFT(MID($A65,FIND("/",$A65)+1,20),FIND("/",MID($A65,FIND("/",$A65)+1,20))-1))),"")))</f>
        <v/>
      </c>
      <c r="D65">
        <f>IF(OR($A65="",$B65=""),"",IF(ISNUMBER($A65),MOD($A65,100),IFERROR(VALUE(TRIM(MID(MID($A65,FIND("/",$A65)+1,20),FIND("/",MID($A65,FIND("/",$A65)+1,20))+1,20))),"")))</f>
        <v/>
      </c>
      <c r="E65">
        <f>IF($A65="","",IF(OR($B65="",$C65="",$D65="",$B65&lt;1300,$B65&gt;1500,$C65&lt;1,$C65&gt;12,$D65&lt;1,$D65&gt;31),"نامعتبر",RIGHT("0000"&amp;$B65,4)&amp;"/"&amp;RIGHT("00"&amp;$C65,2)&amp;"/"&amp;RIGHT("00"&amp;$D65,2)))</f>
        <v/>
      </c>
      <c r="F65">
        <f>IF(OR($E65="",$E65="نامعتبر"),"",IF(Sync!$Q62="","0000",IF(AND(ISNUMBER(Sync!$Q62),Sync!$Q62&gt;=0,Sync!$Q62&lt;1),RIGHT("00"&amp;HOUR(Sync!$Q62),2)&amp;RIGHT("00"&amp;MINUTE(Sync!$Q62),2),IFERROR(RIGHT("00"&amp;VALUE(LEFT(Sync!$Q62,FIND(":",Sync!$Q62)-1)),2)&amp;RIGHT("00"&amp;VALUE(MID(Sync!$Q62,FIND(":",Sync!$Q62)+1,2)),2),"0000"))))</f>
        <v/>
      </c>
      <c r="G65">
        <f>IF(OR($E65="",$E65="نامعتبر"),"",IF(Sync!$S62="","",Sync!$S62))</f>
        <v/>
      </c>
      <c r="H65">
        <f>IF(OR($E65="",$E65="نامعتبر"),"",IF(Sync!$R62="","",Sync!$R62))</f>
        <v/>
      </c>
      <c r="I65">
        <f>IF(OR($E65="",$E65="نامعتبر"),"",IF(Sync!$T62="","",Sync!$T62))</f>
        <v/>
      </c>
      <c r="J65">
        <f>IF(OR($E65="",$E65="نامعتبر"),"",IF(Sync!$U62="","",Sync!$U62))</f>
        <v/>
      </c>
      <c r="K65">
        <f>IF(OR($E65="",$E65="نامعتبر"),"",IF(Sync!$V62="","",IFERROR(INDEX(SubCodes,MATCH(Sync!$V62,SubTitles,0)),Sync!$V62)))</f>
        <v/>
      </c>
      <c r="L65">
        <f>IF(OR($E65="",$E65="نامعتبر"),"",IF(Sync!$W62="",0,Sync!$W62))</f>
        <v/>
      </c>
      <c r="M65">
        <f>IF(OR($E65="",$E65="نامعتبر"),"",IF(Sync!$X62="",0,Sync!$X62))</f>
        <v/>
      </c>
      <c r="N65">
        <f>IF(OR($E65="",$E65="نامعتبر"),"",IF(AND($J65="هزینه",$K65&lt;&gt;""),1,0))</f>
        <v/>
      </c>
      <c r="O65">
        <f>IF($N65=0,"",LEFT($E65,4)&amp;MID($E65,6,2)&amp;RIGHT($E65,2)&amp;$F65&amp;"|"&amp;"1"&amp;RIGHT("00000"&amp;57,5))</f>
        <v/>
      </c>
      <c r="P65">
        <f>IF($O65="","",COUNTIFS(ExpSub,$K65,ExpKey,"&lt;"&amp;$O65)+1)</f>
        <v/>
      </c>
      <c r="Q65">
        <f>IF($P65="","",$K65&amp;"|"&amp;RIGHT("000000"&amp;$P65,6))</f>
        <v/>
      </c>
    </row>
    <row r="66">
      <c r="A66">
        <f>IF(Sync!$P63="","",Sync!$P63)</f>
        <v/>
      </c>
      <c r="B66">
        <f>IF($A66="","",IF(ISNUMBER($A66),IF(AND($A66&gt;=10000101,$A66&lt;=99991231),INT($A66/10000),""),IFERROR(VALUE(TRIM(LEFT($A66,FIND("/",$A66)-1))),"")))</f>
        <v/>
      </c>
      <c r="C66">
        <f>IF(OR($A66="",$B66=""),"",IF(ISNUMBER($A66),INT(MOD($A66,10000)/100),IFERROR(VALUE(TRIM(LEFT(MID($A66,FIND("/",$A66)+1,20),FIND("/",MID($A66,FIND("/",$A66)+1,20))-1))),"")))</f>
        <v/>
      </c>
      <c r="D66">
        <f>IF(OR($A66="",$B66=""),"",IF(ISNUMBER($A66),MOD($A66,100),IFERROR(VALUE(TRIM(MID(MID($A66,FIND("/",$A66)+1,20),FIND("/",MID($A66,FIND("/",$A66)+1,20))+1,20))),"")))</f>
        <v/>
      </c>
      <c r="E66">
        <f>IF($A66="","",IF(OR($B66="",$C66="",$D66="",$B66&lt;1300,$B66&gt;1500,$C66&lt;1,$C66&gt;12,$D66&lt;1,$D66&gt;31),"نامعتبر",RIGHT("0000"&amp;$B66,4)&amp;"/"&amp;RIGHT("00"&amp;$C66,2)&amp;"/"&amp;RIGHT("00"&amp;$D66,2)))</f>
        <v/>
      </c>
      <c r="F66">
        <f>IF(OR($E66="",$E66="نامعتبر"),"",IF(Sync!$Q63="","0000",IF(AND(ISNUMBER(Sync!$Q63),Sync!$Q63&gt;=0,Sync!$Q63&lt;1),RIGHT("00"&amp;HOUR(Sync!$Q63),2)&amp;RIGHT("00"&amp;MINUTE(Sync!$Q63),2),IFERROR(RIGHT("00"&amp;VALUE(LEFT(Sync!$Q63,FIND(":",Sync!$Q63)-1)),2)&amp;RIGHT("00"&amp;VALUE(MID(Sync!$Q63,FIND(":",Sync!$Q63)+1,2)),2),"0000"))))</f>
        <v/>
      </c>
      <c r="G66">
        <f>IF(OR($E66="",$E66="نامعتبر"),"",IF(Sync!$S63="","",Sync!$S63))</f>
        <v/>
      </c>
      <c r="H66">
        <f>IF(OR($E66="",$E66="نامعتبر"),"",IF(Sync!$R63="","",Sync!$R63))</f>
        <v/>
      </c>
      <c r="I66">
        <f>IF(OR($E66="",$E66="نامعتبر"),"",IF(Sync!$T63="","",Sync!$T63))</f>
        <v/>
      </c>
      <c r="J66">
        <f>IF(OR($E66="",$E66="نامعتبر"),"",IF(Sync!$U63="","",Sync!$U63))</f>
        <v/>
      </c>
      <c r="K66">
        <f>IF(OR($E66="",$E66="نامعتبر"),"",IF(Sync!$V63="","",IFERROR(INDEX(SubCodes,MATCH(Sync!$V63,SubTitles,0)),Sync!$V63)))</f>
        <v/>
      </c>
      <c r="L66">
        <f>IF(OR($E66="",$E66="نامعتبر"),"",IF(Sync!$W63="",0,Sync!$W63))</f>
        <v/>
      </c>
      <c r="M66">
        <f>IF(OR($E66="",$E66="نامعتبر"),"",IF(Sync!$X63="",0,Sync!$X63))</f>
        <v/>
      </c>
      <c r="N66">
        <f>IF(OR($E66="",$E66="نامعتبر"),"",IF(AND($J66="هزینه",$K66&lt;&gt;""),1,0))</f>
        <v/>
      </c>
      <c r="O66">
        <f>IF($N66=0,"",LEFT($E66,4)&amp;MID($E66,6,2)&amp;RIGHT($E66,2)&amp;$F66&amp;"|"&amp;"1"&amp;RIGHT("00000"&amp;58,5))</f>
        <v/>
      </c>
      <c r="P66">
        <f>IF($O66="","",COUNTIFS(ExpSub,$K66,ExpKey,"&lt;"&amp;$O66)+1)</f>
        <v/>
      </c>
      <c r="Q66">
        <f>IF($P66="","",$K66&amp;"|"&amp;RIGHT("000000"&amp;$P66,6))</f>
        <v/>
      </c>
    </row>
    <row r="67">
      <c r="A67">
        <f>IF(Sync!$P64="","",Sync!$P64)</f>
        <v/>
      </c>
      <c r="B67">
        <f>IF($A67="","",IF(ISNUMBER($A67),IF(AND($A67&gt;=10000101,$A67&lt;=99991231),INT($A67/10000),""),IFERROR(VALUE(TRIM(LEFT($A67,FIND("/",$A67)-1))),"")))</f>
        <v/>
      </c>
      <c r="C67">
        <f>IF(OR($A67="",$B67=""),"",IF(ISNUMBER($A67),INT(MOD($A67,10000)/100),IFERROR(VALUE(TRIM(LEFT(MID($A67,FIND("/",$A67)+1,20),FIND("/",MID($A67,FIND("/",$A67)+1,20))-1))),"")))</f>
        <v/>
      </c>
      <c r="D67">
        <f>IF(OR($A67="",$B67=""),"",IF(ISNUMBER($A67),MOD($A67,100),IFERROR(VALUE(TRIM(MID(MID($A67,FIND("/",$A67)+1,20),FIND("/",MID($A67,FIND("/",$A67)+1,20))+1,20))),"")))</f>
        <v/>
      </c>
      <c r="E67">
        <f>IF($A67="","",IF(OR($B67="",$C67="",$D67="",$B67&lt;1300,$B67&gt;1500,$C67&lt;1,$C67&gt;12,$D67&lt;1,$D67&gt;31),"نامعتبر",RIGHT("0000"&amp;$B67,4)&amp;"/"&amp;RIGHT("00"&amp;$C67,2)&amp;"/"&amp;RIGHT("00"&amp;$D67,2)))</f>
        <v/>
      </c>
      <c r="F67">
        <f>IF(OR($E67="",$E67="نامعتبر"),"",IF(Sync!$Q64="","0000",IF(AND(ISNUMBER(Sync!$Q64),Sync!$Q64&gt;=0,Sync!$Q64&lt;1),RIGHT("00"&amp;HOUR(Sync!$Q64),2)&amp;RIGHT("00"&amp;MINUTE(Sync!$Q64),2),IFERROR(RIGHT("00"&amp;VALUE(LEFT(Sync!$Q64,FIND(":",Sync!$Q64)-1)),2)&amp;RIGHT("00"&amp;VALUE(MID(Sync!$Q64,FIND(":",Sync!$Q64)+1,2)),2),"0000"))))</f>
        <v/>
      </c>
      <c r="G67">
        <f>IF(OR($E67="",$E67="نامعتبر"),"",IF(Sync!$S64="","",Sync!$S64))</f>
        <v/>
      </c>
      <c r="H67">
        <f>IF(OR($E67="",$E67="نامعتبر"),"",IF(Sync!$R64="","",Sync!$R64))</f>
        <v/>
      </c>
      <c r="I67">
        <f>IF(OR($E67="",$E67="نامعتبر"),"",IF(Sync!$T64="","",Sync!$T64))</f>
        <v/>
      </c>
      <c r="J67">
        <f>IF(OR($E67="",$E67="نامعتبر"),"",IF(Sync!$U64="","",Sync!$U64))</f>
        <v/>
      </c>
      <c r="K67">
        <f>IF(OR($E67="",$E67="نامعتبر"),"",IF(Sync!$V64="","",IFERROR(INDEX(SubCodes,MATCH(Sync!$V64,SubTitles,0)),Sync!$V64)))</f>
        <v/>
      </c>
      <c r="L67">
        <f>IF(OR($E67="",$E67="نامعتبر"),"",IF(Sync!$W64="",0,Sync!$W64))</f>
        <v/>
      </c>
      <c r="M67">
        <f>IF(OR($E67="",$E67="نامعتبر"),"",IF(Sync!$X64="",0,Sync!$X64))</f>
        <v/>
      </c>
      <c r="N67">
        <f>IF(OR($E67="",$E67="نامعتبر"),"",IF(AND($J67="هزینه",$K67&lt;&gt;""),1,0))</f>
        <v/>
      </c>
      <c r="O67">
        <f>IF($N67=0,"",LEFT($E67,4)&amp;MID($E67,6,2)&amp;RIGHT($E67,2)&amp;$F67&amp;"|"&amp;"1"&amp;RIGHT("00000"&amp;59,5))</f>
        <v/>
      </c>
      <c r="P67">
        <f>IF($O67="","",COUNTIFS(ExpSub,$K67,ExpKey,"&lt;"&amp;$O67)+1)</f>
        <v/>
      </c>
      <c r="Q67">
        <f>IF($P67="","",$K67&amp;"|"&amp;RIGHT("000000"&amp;$P67,6))</f>
        <v/>
      </c>
    </row>
    <row r="68">
      <c r="A68">
        <f>IF(Sync!$P65="","",Sync!$P65)</f>
        <v/>
      </c>
      <c r="B68">
        <f>IF($A68="","",IF(ISNUMBER($A68),IF(AND($A68&gt;=10000101,$A68&lt;=99991231),INT($A68/10000),""),IFERROR(VALUE(TRIM(LEFT($A68,FIND("/",$A68)-1))),"")))</f>
        <v/>
      </c>
      <c r="C68">
        <f>IF(OR($A68="",$B68=""),"",IF(ISNUMBER($A68),INT(MOD($A68,10000)/100),IFERROR(VALUE(TRIM(LEFT(MID($A68,FIND("/",$A68)+1,20),FIND("/",MID($A68,FIND("/",$A68)+1,20))-1))),"")))</f>
        <v/>
      </c>
      <c r="D68">
        <f>IF(OR($A68="",$B68=""),"",IF(ISNUMBER($A68),MOD($A68,100),IFERROR(VALUE(TRIM(MID(MID($A68,FIND("/",$A68)+1,20),FIND("/",MID($A68,FIND("/",$A68)+1,20))+1,20))),"")))</f>
        <v/>
      </c>
      <c r="E68">
        <f>IF($A68="","",IF(OR($B68="",$C68="",$D68="",$B68&lt;1300,$B68&gt;1500,$C68&lt;1,$C68&gt;12,$D68&lt;1,$D68&gt;31),"نامعتبر",RIGHT("0000"&amp;$B68,4)&amp;"/"&amp;RIGHT("00"&amp;$C68,2)&amp;"/"&amp;RIGHT("00"&amp;$D68,2)))</f>
        <v/>
      </c>
      <c r="F68">
        <f>IF(OR($E68="",$E68="نامعتبر"),"",IF(Sync!$Q65="","0000",IF(AND(ISNUMBER(Sync!$Q65),Sync!$Q65&gt;=0,Sync!$Q65&lt;1),RIGHT("00"&amp;HOUR(Sync!$Q65),2)&amp;RIGHT("00"&amp;MINUTE(Sync!$Q65),2),IFERROR(RIGHT("00"&amp;VALUE(LEFT(Sync!$Q65,FIND(":",Sync!$Q65)-1)),2)&amp;RIGHT("00"&amp;VALUE(MID(Sync!$Q65,FIND(":",Sync!$Q65)+1,2)),2),"0000"))))</f>
        <v/>
      </c>
      <c r="G68">
        <f>IF(OR($E68="",$E68="نامعتبر"),"",IF(Sync!$S65="","",Sync!$S65))</f>
        <v/>
      </c>
      <c r="H68">
        <f>IF(OR($E68="",$E68="نامعتبر"),"",IF(Sync!$R65="","",Sync!$R65))</f>
        <v/>
      </c>
      <c r="I68">
        <f>IF(OR($E68="",$E68="نامعتبر"),"",IF(Sync!$T65="","",Sync!$T65))</f>
        <v/>
      </c>
      <c r="J68">
        <f>IF(OR($E68="",$E68="نامعتبر"),"",IF(Sync!$U65="","",Sync!$U65))</f>
        <v/>
      </c>
      <c r="K68">
        <f>IF(OR($E68="",$E68="نامعتبر"),"",IF(Sync!$V65="","",IFERROR(INDEX(SubCodes,MATCH(Sync!$V65,SubTitles,0)),Sync!$V65)))</f>
        <v/>
      </c>
      <c r="L68">
        <f>IF(OR($E68="",$E68="نامعتبر"),"",IF(Sync!$W65="",0,Sync!$W65))</f>
        <v/>
      </c>
      <c r="M68">
        <f>IF(OR($E68="",$E68="نامعتبر"),"",IF(Sync!$X65="",0,Sync!$X65))</f>
        <v/>
      </c>
      <c r="N68">
        <f>IF(OR($E68="",$E68="نامعتبر"),"",IF(AND($J68="هزینه",$K68&lt;&gt;""),1,0))</f>
        <v/>
      </c>
      <c r="O68">
        <f>IF($N68=0,"",LEFT($E68,4)&amp;MID($E68,6,2)&amp;RIGHT($E68,2)&amp;$F68&amp;"|"&amp;"1"&amp;RIGHT("00000"&amp;60,5))</f>
        <v/>
      </c>
      <c r="P68">
        <f>IF($O68="","",COUNTIFS(ExpSub,$K68,ExpKey,"&lt;"&amp;$O68)+1)</f>
        <v/>
      </c>
      <c r="Q68">
        <f>IF($P68="","",$K68&amp;"|"&amp;RIGHT("000000"&amp;$P68,6))</f>
        <v/>
      </c>
    </row>
    <row r="69">
      <c r="A69">
        <f>IF(Sync!$P66="","",Sync!$P66)</f>
        <v/>
      </c>
      <c r="B69">
        <f>IF($A69="","",IF(ISNUMBER($A69),IF(AND($A69&gt;=10000101,$A69&lt;=99991231),INT($A69/10000),""),IFERROR(VALUE(TRIM(LEFT($A69,FIND("/",$A69)-1))),"")))</f>
        <v/>
      </c>
      <c r="C69">
        <f>IF(OR($A69="",$B69=""),"",IF(ISNUMBER($A69),INT(MOD($A69,10000)/100),IFERROR(VALUE(TRIM(LEFT(MID($A69,FIND("/",$A69)+1,20),FIND("/",MID($A69,FIND("/",$A69)+1,20))-1))),"")))</f>
        <v/>
      </c>
      <c r="D69">
        <f>IF(OR($A69="",$B69=""),"",IF(ISNUMBER($A69),MOD($A69,100),IFERROR(VALUE(TRIM(MID(MID($A69,FIND("/",$A69)+1,20),FIND("/",MID($A69,FIND("/",$A69)+1,20))+1,20))),"")))</f>
        <v/>
      </c>
      <c r="E69">
        <f>IF($A69="","",IF(OR($B69="",$C69="",$D69="",$B69&lt;1300,$B69&gt;1500,$C69&lt;1,$C69&gt;12,$D69&lt;1,$D69&gt;31),"نامعتبر",RIGHT("0000"&amp;$B69,4)&amp;"/"&amp;RIGHT("00"&amp;$C69,2)&amp;"/"&amp;RIGHT("00"&amp;$D69,2)))</f>
        <v/>
      </c>
      <c r="F69">
        <f>IF(OR($E69="",$E69="نامعتبر"),"",IF(Sync!$Q66="","0000",IF(AND(ISNUMBER(Sync!$Q66),Sync!$Q66&gt;=0,Sync!$Q66&lt;1),RIGHT("00"&amp;HOUR(Sync!$Q66),2)&amp;RIGHT("00"&amp;MINUTE(Sync!$Q66),2),IFERROR(RIGHT("00"&amp;VALUE(LEFT(Sync!$Q66,FIND(":",Sync!$Q66)-1)),2)&amp;RIGHT("00"&amp;VALUE(MID(Sync!$Q66,FIND(":",Sync!$Q66)+1,2)),2),"0000"))))</f>
        <v/>
      </c>
      <c r="G69">
        <f>IF(OR($E69="",$E69="نامعتبر"),"",IF(Sync!$S66="","",Sync!$S66))</f>
        <v/>
      </c>
      <c r="H69">
        <f>IF(OR($E69="",$E69="نامعتبر"),"",IF(Sync!$R66="","",Sync!$R66))</f>
        <v/>
      </c>
      <c r="I69">
        <f>IF(OR($E69="",$E69="نامعتبر"),"",IF(Sync!$T66="","",Sync!$T66))</f>
        <v/>
      </c>
      <c r="J69">
        <f>IF(OR($E69="",$E69="نامعتبر"),"",IF(Sync!$U66="","",Sync!$U66))</f>
        <v/>
      </c>
      <c r="K69">
        <f>IF(OR($E69="",$E69="نامعتبر"),"",IF(Sync!$V66="","",IFERROR(INDEX(SubCodes,MATCH(Sync!$V66,SubTitles,0)),Sync!$V66)))</f>
        <v/>
      </c>
      <c r="L69">
        <f>IF(OR($E69="",$E69="نامعتبر"),"",IF(Sync!$W66="",0,Sync!$W66))</f>
        <v/>
      </c>
      <c r="M69">
        <f>IF(OR($E69="",$E69="نامعتبر"),"",IF(Sync!$X66="",0,Sync!$X66))</f>
        <v/>
      </c>
      <c r="N69">
        <f>IF(OR($E69="",$E69="نامعتبر"),"",IF(AND($J69="هزینه",$K69&lt;&gt;""),1,0))</f>
        <v/>
      </c>
      <c r="O69">
        <f>IF($N69=0,"",LEFT($E69,4)&amp;MID($E69,6,2)&amp;RIGHT($E69,2)&amp;$F69&amp;"|"&amp;"1"&amp;RIGHT("00000"&amp;61,5))</f>
        <v/>
      </c>
      <c r="P69">
        <f>IF($O69="","",COUNTIFS(ExpSub,$K69,ExpKey,"&lt;"&amp;$O69)+1)</f>
        <v/>
      </c>
      <c r="Q69">
        <f>IF($P69="","",$K69&amp;"|"&amp;RIGHT("000000"&amp;$P69,6))</f>
        <v/>
      </c>
    </row>
    <row r="70">
      <c r="A70">
        <f>IF(Sync!$P67="","",Sync!$P67)</f>
        <v/>
      </c>
      <c r="B70">
        <f>IF($A70="","",IF(ISNUMBER($A70),IF(AND($A70&gt;=10000101,$A70&lt;=99991231),INT($A70/10000),""),IFERROR(VALUE(TRIM(LEFT($A70,FIND("/",$A70)-1))),"")))</f>
        <v/>
      </c>
      <c r="C70">
        <f>IF(OR($A70="",$B70=""),"",IF(ISNUMBER($A70),INT(MOD($A70,10000)/100),IFERROR(VALUE(TRIM(LEFT(MID($A70,FIND("/",$A70)+1,20),FIND("/",MID($A70,FIND("/",$A70)+1,20))-1))),"")))</f>
        <v/>
      </c>
      <c r="D70">
        <f>IF(OR($A70="",$B70=""),"",IF(ISNUMBER($A70),MOD($A70,100),IFERROR(VALUE(TRIM(MID(MID($A70,FIND("/",$A70)+1,20),FIND("/",MID($A70,FIND("/",$A70)+1,20))+1,20))),"")))</f>
        <v/>
      </c>
      <c r="E70">
        <f>IF($A70="","",IF(OR($B70="",$C70="",$D70="",$B70&lt;1300,$B70&gt;1500,$C70&lt;1,$C70&gt;12,$D70&lt;1,$D70&gt;31),"نامعتبر",RIGHT("0000"&amp;$B70,4)&amp;"/"&amp;RIGHT("00"&amp;$C70,2)&amp;"/"&amp;RIGHT("00"&amp;$D70,2)))</f>
        <v/>
      </c>
      <c r="F70">
        <f>IF(OR($E70="",$E70="نامعتبر"),"",IF(Sync!$Q67="","0000",IF(AND(ISNUMBER(Sync!$Q67),Sync!$Q67&gt;=0,Sync!$Q67&lt;1),RIGHT("00"&amp;HOUR(Sync!$Q67),2)&amp;RIGHT("00"&amp;MINUTE(Sync!$Q67),2),IFERROR(RIGHT("00"&amp;VALUE(LEFT(Sync!$Q67,FIND(":",Sync!$Q67)-1)),2)&amp;RIGHT("00"&amp;VALUE(MID(Sync!$Q67,FIND(":",Sync!$Q67)+1,2)),2),"0000"))))</f>
        <v/>
      </c>
      <c r="G70">
        <f>IF(OR($E70="",$E70="نامعتبر"),"",IF(Sync!$S67="","",Sync!$S67))</f>
        <v/>
      </c>
      <c r="H70">
        <f>IF(OR($E70="",$E70="نامعتبر"),"",IF(Sync!$R67="","",Sync!$R67))</f>
        <v/>
      </c>
      <c r="I70">
        <f>IF(OR($E70="",$E70="نامعتبر"),"",IF(Sync!$T67="","",Sync!$T67))</f>
        <v/>
      </c>
      <c r="J70">
        <f>IF(OR($E70="",$E70="نامعتبر"),"",IF(Sync!$U67="","",Sync!$U67))</f>
        <v/>
      </c>
      <c r="K70">
        <f>IF(OR($E70="",$E70="نامعتبر"),"",IF(Sync!$V67="","",IFERROR(INDEX(SubCodes,MATCH(Sync!$V67,SubTitles,0)),Sync!$V67)))</f>
        <v/>
      </c>
      <c r="L70">
        <f>IF(OR($E70="",$E70="نامعتبر"),"",IF(Sync!$W67="",0,Sync!$W67))</f>
        <v/>
      </c>
      <c r="M70">
        <f>IF(OR($E70="",$E70="نامعتبر"),"",IF(Sync!$X67="",0,Sync!$X67))</f>
        <v/>
      </c>
      <c r="N70">
        <f>IF(OR($E70="",$E70="نامعتبر"),"",IF(AND($J70="هزینه",$K70&lt;&gt;""),1,0))</f>
        <v/>
      </c>
      <c r="O70">
        <f>IF($N70=0,"",LEFT($E70,4)&amp;MID($E70,6,2)&amp;RIGHT($E70,2)&amp;$F70&amp;"|"&amp;"1"&amp;RIGHT("00000"&amp;62,5))</f>
        <v/>
      </c>
      <c r="P70">
        <f>IF($O70="","",COUNTIFS(ExpSub,$K70,ExpKey,"&lt;"&amp;$O70)+1)</f>
        <v/>
      </c>
      <c r="Q70">
        <f>IF($P70="","",$K70&amp;"|"&amp;RIGHT("000000"&amp;$P70,6))</f>
        <v/>
      </c>
    </row>
    <row r="71">
      <c r="A71">
        <f>IF(Sync!$P68="","",Sync!$P68)</f>
        <v/>
      </c>
      <c r="B71">
        <f>IF($A71="","",IF(ISNUMBER($A71),IF(AND($A71&gt;=10000101,$A71&lt;=99991231),INT($A71/10000),""),IFERROR(VALUE(TRIM(LEFT($A71,FIND("/",$A71)-1))),"")))</f>
        <v/>
      </c>
      <c r="C71">
        <f>IF(OR($A71="",$B71=""),"",IF(ISNUMBER($A71),INT(MOD($A71,10000)/100),IFERROR(VALUE(TRIM(LEFT(MID($A71,FIND("/",$A71)+1,20),FIND("/",MID($A71,FIND("/",$A71)+1,20))-1))),"")))</f>
        <v/>
      </c>
      <c r="D71">
        <f>IF(OR($A71="",$B71=""),"",IF(ISNUMBER($A71),MOD($A71,100),IFERROR(VALUE(TRIM(MID(MID($A71,FIND("/",$A71)+1,20),FIND("/",MID($A71,FIND("/",$A71)+1,20))+1,20))),"")))</f>
        <v/>
      </c>
      <c r="E71">
        <f>IF($A71="","",IF(OR($B71="",$C71="",$D71="",$B71&lt;1300,$B71&gt;1500,$C71&lt;1,$C71&gt;12,$D71&lt;1,$D71&gt;31),"نامعتبر",RIGHT("0000"&amp;$B71,4)&amp;"/"&amp;RIGHT("00"&amp;$C71,2)&amp;"/"&amp;RIGHT("00"&amp;$D71,2)))</f>
        <v/>
      </c>
      <c r="F71">
        <f>IF(OR($E71="",$E71="نامعتبر"),"",IF(Sync!$Q68="","0000",IF(AND(ISNUMBER(Sync!$Q68),Sync!$Q68&gt;=0,Sync!$Q68&lt;1),RIGHT("00"&amp;HOUR(Sync!$Q68),2)&amp;RIGHT("00"&amp;MINUTE(Sync!$Q68),2),IFERROR(RIGHT("00"&amp;VALUE(LEFT(Sync!$Q68,FIND(":",Sync!$Q68)-1)),2)&amp;RIGHT("00"&amp;VALUE(MID(Sync!$Q68,FIND(":",Sync!$Q68)+1,2)),2),"0000"))))</f>
        <v/>
      </c>
      <c r="G71">
        <f>IF(OR($E71="",$E71="نامعتبر"),"",IF(Sync!$S68="","",Sync!$S68))</f>
        <v/>
      </c>
      <c r="H71">
        <f>IF(OR($E71="",$E71="نامعتبر"),"",IF(Sync!$R68="","",Sync!$R68))</f>
        <v/>
      </c>
      <c r="I71">
        <f>IF(OR($E71="",$E71="نامعتبر"),"",IF(Sync!$T68="","",Sync!$T68))</f>
        <v/>
      </c>
      <c r="J71">
        <f>IF(OR($E71="",$E71="نامعتبر"),"",IF(Sync!$U68="","",Sync!$U68))</f>
        <v/>
      </c>
      <c r="K71">
        <f>IF(OR($E71="",$E71="نامعتبر"),"",IF(Sync!$V68="","",IFERROR(INDEX(SubCodes,MATCH(Sync!$V68,SubTitles,0)),Sync!$V68)))</f>
        <v/>
      </c>
      <c r="L71">
        <f>IF(OR($E71="",$E71="نامعتبر"),"",IF(Sync!$W68="",0,Sync!$W68))</f>
        <v/>
      </c>
      <c r="M71">
        <f>IF(OR($E71="",$E71="نامعتبر"),"",IF(Sync!$X68="",0,Sync!$X68))</f>
        <v/>
      </c>
      <c r="N71">
        <f>IF(OR($E71="",$E71="نامعتبر"),"",IF(AND($J71="هزینه",$K71&lt;&gt;""),1,0))</f>
        <v/>
      </c>
      <c r="O71">
        <f>IF($N71=0,"",LEFT($E71,4)&amp;MID($E71,6,2)&amp;RIGHT($E71,2)&amp;$F71&amp;"|"&amp;"1"&amp;RIGHT("00000"&amp;63,5))</f>
        <v/>
      </c>
      <c r="P71">
        <f>IF($O71="","",COUNTIFS(ExpSub,$K71,ExpKey,"&lt;"&amp;$O71)+1)</f>
        <v/>
      </c>
      <c r="Q71">
        <f>IF($P71="","",$K71&amp;"|"&amp;RIGHT("000000"&amp;$P71,6))</f>
        <v/>
      </c>
    </row>
    <row r="72">
      <c r="A72">
        <f>IF(Sync!$P69="","",Sync!$P69)</f>
        <v/>
      </c>
      <c r="B72">
        <f>IF($A72="","",IF(ISNUMBER($A72),IF(AND($A72&gt;=10000101,$A72&lt;=99991231),INT($A72/10000),""),IFERROR(VALUE(TRIM(LEFT($A72,FIND("/",$A72)-1))),"")))</f>
        <v/>
      </c>
      <c r="C72">
        <f>IF(OR($A72="",$B72=""),"",IF(ISNUMBER($A72),INT(MOD($A72,10000)/100),IFERROR(VALUE(TRIM(LEFT(MID($A72,FIND("/",$A72)+1,20),FIND("/",MID($A72,FIND("/",$A72)+1,20))-1))),"")))</f>
        <v/>
      </c>
      <c r="D72">
        <f>IF(OR($A72="",$B72=""),"",IF(ISNUMBER($A72),MOD($A72,100),IFERROR(VALUE(TRIM(MID(MID($A72,FIND("/",$A72)+1,20),FIND("/",MID($A72,FIND("/",$A72)+1,20))+1,20))),"")))</f>
        <v/>
      </c>
      <c r="E72">
        <f>IF($A72="","",IF(OR($B72="",$C72="",$D72="",$B72&lt;1300,$B72&gt;1500,$C72&lt;1,$C72&gt;12,$D72&lt;1,$D72&gt;31),"نامعتبر",RIGHT("0000"&amp;$B72,4)&amp;"/"&amp;RIGHT("00"&amp;$C72,2)&amp;"/"&amp;RIGHT("00"&amp;$D72,2)))</f>
        <v/>
      </c>
      <c r="F72">
        <f>IF(OR($E72="",$E72="نامعتبر"),"",IF(Sync!$Q69="","0000",IF(AND(ISNUMBER(Sync!$Q69),Sync!$Q69&gt;=0,Sync!$Q69&lt;1),RIGHT("00"&amp;HOUR(Sync!$Q69),2)&amp;RIGHT("00"&amp;MINUTE(Sync!$Q69),2),IFERROR(RIGHT("00"&amp;VALUE(LEFT(Sync!$Q69,FIND(":",Sync!$Q69)-1)),2)&amp;RIGHT("00"&amp;VALUE(MID(Sync!$Q69,FIND(":",Sync!$Q69)+1,2)),2),"0000"))))</f>
        <v/>
      </c>
      <c r="G72">
        <f>IF(OR($E72="",$E72="نامعتبر"),"",IF(Sync!$S69="","",Sync!$S69))</f>
        <v/>
      </c>
      <c r="H72">
        <f>IF(OR($E72="",$E72="نامعتبر"),"",IF(Sync!$R69="","",Sync!$R69))</f>
        <v/>
      </c>
      <c r="I72">
        <f>IF(OR($E72="",$E72="نامعتبر"),"",IF(Sync!$T69="","",Sync!$T69))</f>
        <v/>
      </c>
      <c r="J72">
        <f>IF(OR($E72="",$E72="نامعتبر"),"",IF(Sync!$U69="","",Sync!$U69))</f>
        <v/>
      </c>
      <c r="K72">
        <f>IF(OR($E72="",$E72="نامعتبر"),"",IF(Sync!$V69="","",IFERROR(INDEX(SubCodes,MATCH(Sync!$V69,SubTitles,0)),Sync!$V69)))</f>
        <v/>
      </c>
      <c r="L72">
        <f>IF(OR($E72="",$E72="نامعتبر"),"",IF(Sync!$W69="",0,Sync!$W69))</f>
        <v/>
      </c>
      <c r="M72">
        <f>IF(OR($E72="",$E72="نامعتبر"),"",IF(Sync!$X69="",0,Sync!$X69))</f>
        <v/>
      </c>
      <c r="N72">
        <f>IF(OR($E72="",$E72="نامعتبر"),"",IF(AND($J72="هزینه",$K72&lt;&gt;""),1,0))</f>
        <v/>
      </c>
      <c r="O72">
        <f>IF($N72=0,"",LEFT($E72,4)&amp;MID($E72,6,2)&amp;RIGHT($E72,2)&amp;$F72&amp;"|"&amp;"1"&amp;RIGHT("00000"&amp;64,5))</f>
        <v/>
      </c>
      <c r="P72">
        <f>IF($O72="","",COUNTIFS(ExpSub,$K72,ExpKey,"&lt;"&amp;$O72)+1)</f>
        <v/>
      </c>
      <c r="Q72">
        <f>IF($P72="","",$K72&amp;"|"&amp;RIGHT("000000"&amp;$P72,6))</f>
        <v/>
      </c>
    </row>
    <row r="73">
      <c r="A73">
        <f>IF(Sync!$P70="","",Sync!$P70)</f>
        <v/>
      </c>
      <c r="B73">
        <f>IF($A73="","",IF(ISNUMBER($A73),IF(AND($A73&gt;=10000101,$A73&lt;=99991231),INT($A73/10000),""),IFERROR(VALUE(TRIM(LEFT($A73,FIND("/",$A73)-1))),"")))</f>
        <v/>
      </c>
      <c r="C73">
        <f>IF(OR($A73="",$B73=""),"",IF(ISNUMBER($A73),INT(MOD($A73,10000)/100),IFERROR(VALUE(TRIM(LEFT(MID($A73,FIND("/",$A73)+1,20),FIND("/",MID($A73,FIND("/",$A73)+1,20))-1))),"")))</f>
        <v/>
      </c>
      <c r="D73">
        <f>IF(OR($A73="",$B73=""),"",IF(ISNUMBER($A73),MOD($A73,100),IFERROR(VALUE(TRIM(MID(MID($A73,FIND("/",$A73)+1,20),FIND("/",MID($A73,FIND("/",$A73)+1,20))+1,20))),"")))</f>
        <v/>
      </c>
      <c r="E73">
        <f>IF($A73="","",IF(OR($B73="",$C73="",$D73="",$B73&lt;1300,$B73&gt;1500,$C73&lt;1,$C73&gt;12,$D73&lt;1,$D73&gt;31),"نامعتبر",RIGHT("0000"&amp;$B73,4)&amp;"/"&amp;RIGHT("00"&amp;$C73,2)&amp;"/"&amp;RIGHT("00"&amp;$D73,2)))</f>
        <v/>
      </c>
      <c r="F73">
        <f>IF(OR($E73="",$E73="نامعتبر"),"",IF(Sync!$Q70="","0000",IF(AND(ISNUMBER(Sync!$Q70),Sync!$Q70&gt;=0,Sync!$Q70&lt;1),RIGHT("00"&amp;HOUR(Sync!$Q70),2)&amp;RIGHT("00"&amp;MINUTE(Sync!$Q70),2),IFERROR(RIGHT("00"&amp;VALUE(LEFT(Sync!$Q70,FIND(":",Sync!$Q70)-1)),2)&amp;RIGHT("00"&amp;VALUE(MID(Sync!$Q70,FIND(":",Sync!$Q70)+1,2)),2),"0000"))))</f>
        <v/>
      </c>
      <c r="G73">
        <f>IF(OR($E73="",$E73="نامعتبر"),"",IF(Sync!$S70="","",Sync!$S70))</f>
        <v/>
      </c>
      <c r="H73">
        <f>IF(OR($E73="",$E73="نامعتبر"),"",IF(Sync!$R70="","",Sync!$R70))</f>
        <v/>
      </c>
      <c r="I73">
        <f>IF(OR($E73="",$E73="نامعتبر"),"",IF(Sync!$T70="","",Sync!$T70))</f>
        <v/>
      </c>
      <c r="J73">
        <f>IF(OR($E73="",$E73="نامعتبر"),"",IF(Sync!$U70="","",Sync!$U70))</f>
        <v/>
      </c>
      <c r="K73">
        <f>IF(OR($E73="",$E73="نامعتبر"),"",IF(Sync!$V70="","",IFERROR(INDEX(SubCodes,MATCH(Sync!$V70,SubTitles,0)),Sync!$V70)))</f>
        <v/>
      </c>
      <c r="L73">
        <f>IF(OR($E73="",$E73="نامعتبر"),"",IF(Sync!$W70="",0,Sync!$W70))</f>
        <v/>
      </c>
      <c r="M73">
        <f>IF(OR($E73="",$E73="نامعتبر"),"",IF(Sync!$X70="",0,Sync!$X70))</f>
        <v/>
      </c>
      <c r="N73">
        <f>IF(OR($E73="",$E73="نامعتبر"),"",IF(AND($J73="هزینه",$K73&lt;&gt;""),1,0))</f>
        <v/>
      </c>
      <c r="O73">
        <f>IF($N73=0,"",LEFT($E73,4)&amp;MID($E73,6,2)&amp;RIGHT($E73,2)&amp;$F73&amp;"|"&amp;"1"&amp;RIGHT("00000"&amp;65,5))</f>
        <v/>
      </c>
      <c r="P73">
        <f>IF($O73="","",COUNTIFS(ExpSub,$K73,ExpKey,"&lt;"&amp;$O73)+1)</f>
        <v/>
      </c>
      <c r="Q73">
        <f>IF($P73="","",$K73&amp;"|"&amp;RIGHT("000000"&amp;$P73,6))</f>
        <v/>
      </c>
    </row>
    <row r="74">
      <c r="A74">
        <f>IF(Sync!$P71="","",Sync!$P71)</f>
        <v/>
      </c>
      <c r="B74">
        <f>IF($A74="","",IF(ISNUMBER($A74),IF(AND($A74&gt;=10000101,$A74&lt;=99991231),INT($A74/10000),""),IFERROR(VALUE(TRIM(LEFT($A74,FIND("/",$A74)-1))),"")))</f>
        <v/>
      </c>
      <c r="C74">
        <f>IF(OR($A74="",$B74=""),"",IF(ISNUMBER($A74),INT(MOD($A74,10000)/100),IFERROR(VALUE(TRIM(LEFT(MID($A74,FIND("/",$A74)+1,20),FIND("/",MID($A74,FIND("/",$A74)+1,20))-1))),"")))</f>
        <v/>
      </c>
      <c r="D74">
        <f>IF(OR($A74="",$B74=""),"",IF(ISNUMBER($A74),MOD($A74,100),IFERROR(VALUE(TRIM(MID(MID($A74,FIND("/",$A74)+1,20),FIND("/",MID($A74,FIND("/",$A74)+1,20))+1,20))),"")))</f>
        <v/>
      </c>
      <c r="E74">
        <f>IF($A74="","",IF(OR($B74="",$C74="",$D74="",$B74&lt;1300,$B74&gt;1500,$C74&lt;1,$C74&gt;12,$D74&lt;1,$D74&gt;31),"نامعتبر",RIGHT("0000"&amp;$B74,4)&amp;"/"&amp;RIGHT("00"&amp;$C74,2)&amp;"/"&amp;RIGHT("00"&amp;$D74,2)))</f>
        <v/>
      </c>
      <c r="F74">
        <f>IF(OR($E74="",$E74="نامعتبر"),"",IF(Sync!$Q71="","0000",IF(AND(ISNUMBER(Sync!$Q71),Sync!$Q71&gt;=0,Sync!$Q71&lt;1),RIGHT("00"&amp;HOUR(Sync!$Q71),2)&amp;RIGHT("00"&amp;MINUTE(Sync!$Q71),2),IFERROR(RIGHT("00"&amp;VALUE(LEFT(Sync!$Q71,FIND(":",Sync!$Q71)-1)),2)&amp;RIGHT("00"&amp;VALUE(MID(Sync!$Q71,FIND(":",Sync!$Q71)+1,2)),2),"0000"))))</f>
        <v/>
      </c>
      <c r="G74">
        <f>IF(OR($E74="",$E74="نامعتبر"),"",IF(Sync!$S71="","",Sync!$S71))</f>
        <v/>
      </c>
      <c r="H74">
        <f>IF(OR($E74="",$E74="نامعتبر"),"",IF(Sync!$R71="","",Sync!$R71))</f>
        <v/>
      </c>
      <c r="I74">
        <f>IF(OR($E74="",$E74="نامعتبر"),"",IF(Sync!$T71="","",Sync!$T71))</f>
        <v/>
      </c>
      <c r="J74">
        <f>IF(OR($E74="",$E74="نامعتبر"),"",IF(Sync!$U71="","",Sync!$U71))</f>
        <v/>
      </c>
      <c r="K74">
        <f>IF(OR($E74="",$E74="نامعتبر"),"",IF(Sync!$V71="","",IFERROR(INDEX(SubCodes,MATCH(Sync!$V71,SubTitles,0)),Sync!$V71)))</f>
        <v/>
      </c>
      <c r="L74">
        <f>IF(OR($E74="",$E74="نامعتبر"),"",IF(Sync!$W71="",0,Sync!$W71))</f>
        <v/>
      </c>
      <c r="M74">
        <f>IF(OR($E74="",$E74="نامعتبر"),"",IF(Sync!$X71="",0,Sync!$X71))</f>
        <v/>
      </c>
      <c r="N74">
        <f>IF(OR($E74="",$E74="نامعتبر"),"",IF(AND($J74="هزینه",$K74&lt;&gt;""),1,0))</f>
        <v/>
      </c>
      <c r="O74">
        <f>IF($N74=0,"",LEFT($E74,4)&amp;MID($E74,6,2)&amp;RIGHT($E74,2)&amp;$F74&amp;"|"&amp;"1"&amp;RIGHT("00000"&amp;66,5))</f>
        <v/>
      </c>
      <c r="P74">
        <f>IF($O74="","",COUNTIFS(ExpSub,$K74,ExpKey,"&lt;"&amp;$O74)+1)</f>
        <v/>
      </c>
      <c r="Q74">
        <f>IF($P74="","",$K74&amp;"|"&amp;RIGHT("000000"&amp;$P74,6))</f>
        <v/>
      </c>
    </row>
    <row r="75">
      <c r="A75">
        <f>IF(Sync!$P72="","",Sync!$P72)</f>
        <v/>
      </c>
      <c r="B75">
        <f>IF($A75="","",IF(ISNUMBER($A75),IF(AND($A75&gt;=10000101,$A75&lt;=99991231),INT($A75/10000),""),IFERROR(VALUE(TRIM(LEFT($A75,FIND("/",$A75)-1))),"")))</f>
        <v/>
      </c>
      <c r="C75">
        <f>IF(OR($A75="",$B75=""),"",IF(ISNUMBER($A75),INT(MOD($A75,10000)/100),IFERROR(VALUE(TRIM(LEFT(MID($A75,FIND("/",$A75)+1,20),FIND("/",MID($A75,FIND("/",$A75)+1,20))-1))),"")))</f>
        <v/>
      </c>
      <c r="D75">
        <f>IF(OR($A75="",$B75=""),"",IF(ISNUMBER($A75),MOD($A75,100),IFERROR(VALUE(TRIM(MID(MID($A75,FIND("/",$A75)+1,20),FIND("/",MID($A75,FIND("/",$A75)+1,20))+1,20))),"")))</f>
        <v/>
      </c>
      <c r="E75">
        <f>IF($A75="","",IF(OR($B75="",$C75="",$D75="",$B75&lt;1300,$B75&gt;1500,$C75&lt;1,$C75&gt;12,$D75&lt;1,$D75&gt;31),"نامعتبر",RIGHT("0000"&amp;$B75,4)&amp;"/"&amp;RIGHT("00"&amp;$C75,2)&amp;"/"&amp;RIGHT("00"&amp;$D75,2)))</f>
        <v/>
      </c>
      <c r="F75">
        <f>IF(OR($E75="",$E75="نامعتبر"),"",IF(Sync!$Q72="","0000",IF(AND(ISNUMBER(Sync!$Q72),Sync!$Q72&gt;=0,Sync!$Q72&lt;1),RIGHT("00"&amp;HOUR(Sync!$Q72),2)&amp;RIGHT("00"&amp;MINUTE(Sync!$Q72),2),IFERROR(RIGHT("00"&amp;VALUE(LEFT(Sync!$Q72,FIND(":",Sync!$Q72)-1)),2)&amp;RIGHT("00"&amp;VALUE(MID(Sync!$Q72,FIND(":",Sync!$Q72)+1,2)),2),"0000"))))</f>
        <v/>
      </c>
      <c r="G75">
        <f>IF(OR($E75="",$E75="نامعتبر"),"",IF(Sync!$S72="","",Sync!$S72))</f>
        <v/>
      </c>
      <c r="H75">
        <f>IF(OR($E75="",$E75="نامعتبر"),"",IF(Sync!$R72="","",Sync!$R72))</f>
        <v/>
      </c>
      <c r="I75">
        <f>IF(OR($E75="",$E75="نامعتبر"),"",IF(Sync!$T72="","",Sync!$T72))</f>
        <v/>
      </c>
      <c r="J75">
        <f>IF(OR($E75="",$E75="نامعتبر"),"",IF(Sync!$U72="","",Sync!$U72))</f>
        <v/>
      </c>
      <c r="K75">
        <f>IF(OR($E75="",$E75="نامعتبر"),"",IF(Sync!$V72="","",IFERROR(INDEX(SubCodes,MATCH(Sync!$V72,SubTitles,0)),Sync!$V72)))</f>
        <v/>
      </c>
      <c r="L75">
        <f>IF(OR($E75="",$E75="نامعتبر"),"",IF(Sync!$W72="",0,Sync!$W72))</f>
        <v/>
      </c>
      <c r="M75">
        <f>IF(OR($E75="",$E75="نامعتبر"),"",IF(Sync!$X72="",0,Sync!$X72))</f>
        <v/>
      </c>
      <c r="N75">
        <f>IF(OR($E75="",$E75="نامعتبر"),"",IF(AND($J75="هزینه",$K75&lt;&gt;""),1,0))</f>
        <v/>
      </c>
      <c r="O75">
        <f>IF($N75=0,"",LEFT($E75,4)&amp;MID($E75,6,2)&amp;RIGHT($E75,2)&amp;$F75&amp;"|"&amp;"1"&amp;RIGHT("00000"&amp;67,5))</f>
        <v/>
      </c>
      <c r="P75">
        <f>IF($O75="","",COUNTIFS(ExpSub,$K75,ExpKey,"&lt;"&amp;$O75)+1)</f>
        <v/>
      </c>
      <c r="Q75">
        <f>IF($P75="","",$K75&amp;"|"&amp;RIGHT("000000"&amp;$P75,6))</f>
        <v/>
      </c>
    </row>
    <row r="76">
      <c r="A76">
        <f>IF(Sync!$P73="","",Sync!$P73)</f>
        <v/>
      </c>
      <c r="B76">
        <f>IF($A76="","",IF(ISNUMBER($A76),IF(AND($A76&gt;=10000101,$A76&lt;=99991231),INT($A76/10000),""),IFERROR(VALUE(TRIM(LEFT($A76,FIND("/",$A76)-1))),"")))</f>
        <v/>
      </c>
      <c r="C76">
        <f>IF(OR($A76="",$B76=""),"",IF(ISNUMBER($A76),INT(MOD($A76,10000)/100),IFERROR(VALUE(TRIM(LEFT(MID($A76,FIND("/",$A76)+1,20),FIND("/",MID($A76,FIND("/",$A76)+1,20))-1))),"")))</f>
        <v/>
      </c>
      <c r="D76">
        <f>IF(OR($A76="",$B76=""),"",IF(ISNUMBER($A76),MOD($A76,100),IFERROR(VALUE(TRIM(MID(MID($A76,FIND("/",$A76)+1,20),FIND("/",MID($A76,FIND("/",$A76)+1,20))+1,20))),"")))</f>
        <v/>
      </c>
      <c r="E76">
        <f>IF($A76="","",IF(OR($B76="",$C76="",$D76="",$B76&lt;1300,$B76&gt;1500,$C76&lt;1,$C76&gt;12,$D76&lt;1,$D76&gt;31),"نامعتبر",RIGHT("0000"&amp;$B76,4)&amp;"/"&amp;RIGHT("00"&amp;$C76,2)&amp;"/"&amp;RIGHT("00"&amp;$D76,2)))</f>
        <v/>
      </c>
      <c r="F76">
        <f>IF(OR($E76="",$E76="نامعتبر"),"",IF(Sync!$Q73="","0000",IF(AND(ISNUMBER(Sync!$Q73),Sync!$Q73&gt;=0,Sync!$Q73&lt;1),RIGHT("00"&amp;HOUR(Sync!$Q73),2)&amp;RIGHT("00"&amp;MINUTE(Sync!$Q73),2),IFERROR(RIGHT("00"&amp;VALUE(LEFT(Sync!$Q73,FIND(":",Sync!$Q73)-1)),2)&amp;RIGHT("00"&amp;VALUE(MID(Sync!$Q73,FIND(":",Sync!$Q73)+1,2)),2),"0000"))))</f>
        <v/>
      </c>
      <c r="G76">
        <f>IF(OR($E76="",$E76="نامعتبر"),"",IF(Sync!$S73="","",Sync!$S73))</f>
        <v/>
      </c>
      <c r="H76">
        <f>IF(OR($E76="",$E76="نامعتبر"),"",IF(Sync!$R73="","",Sync!$R73))</f>
        <v/>
      </c>
      <c r="I76">
        <f>IF(OR($E76="",$E76="نامعتبر"),"",IF(Sync!$T73="","",Sync!$T73))</f>
        <v/>
      </c>
      <c r="J76">
        <f>IF(OR($E76="",$E76="نامعتبر"),"",IF(Sync!$U73="","",Sync!$U73))</f>
        <v/>
      </c>
      <c r="K76">
        <f>IF(OR($E76="",$E76="نامعتبر"),"",IF(Sync!$V73="","",IFERROR(INDEX(SubCodes,MATCH(Sync!$V73,SubTitles,0)),Sync!$V73)))</f>
        <v/>
      </c>
      <c r="L76">
        <f>IF(OR($E76="",$E76="نامعتبر"),"",IF(Sync!$W73="",0,Sync!$W73))</f>
        <v/>
      </c>
      <c r="M76">
        <f>IF(OR($E76="",$E76="نامعتبر"),"",IF(Sync!$X73="",0,Sync!$X73))</f>
        <v/>
      </c>
      <c r="N76">
        <f>IF(OR($E76="",$E76="نامعتبر"),"",IF(AND($J76="هزینه",$K76&lt;&gt;""),1,0))</f>
        <v/>
      </c>
      <c r="O76">
        <f>IF($N76=0,"",LEFT($E76,4)&amp;MID($E76,6,2)&amp;RIGHT($E76,2)&amp;$F76&amp;"|"&amp;"1"&amp;RIGHT("00000"&amp;68,5))</f>
        <v/>
      </c>
      <c r="P76">
        <f>IF($O76="","",COUNTIFS(ExpSub,$K76,ExpKey,"&lt;"&amp;$O76)+1)</f>
        <v/>
      </c>
      <c r="Q76">
        <f>IF($P76="","",$K76&amp;"|"&amp;RIGHT("000000"&amp;$P76,6))</f>
        <v/>
      </c>
    </row>
    <row r="77">
      <c r="A77">
        <f>IF(Sync!$P74="","",Sync!$P74)</f>
        <v/>
      </c>
      <c r="B77">
        <f>IF($A77="","",IF(ISNUMBER($A77),IF(AND($A77&gt;=10000101,$A77&lt;=99991231),INT($A77/10000),""),IFERROR(VALUE(TRIM(LEFT($A77,FIND("/",$A77)-1))),"")))</f>
        <v/>
      </c>
      <c r="C77">
        <f>IF(OR($A77="",$B77=""),"",IF(ISNUMBER($A77),INT(MOD($A77,10000)/100),IFERROR(VALUE(TRIM(LEFT(MID($A77,FIND("/",$A77)+1,20),FIND("/",MID($A77,FIND("/",$A77)+1,20))-1))),"")))</f>
        <v/>
      </c>
      <c r="D77">
        <f>IF(OR($A77="",$B77=""),"",IF(ISNUMBER($A77),MOD($A77,100),IFERROR(VALUE(TRIM(MID(MID($A77,FIND("/",$A77)+1,20),FIND("/",MID($A77,FIND("/",$A77)+1,20))+1,20))),"")))</f>
        <v/>
      </c>
      <c r="E77">
        <f>IF($A77="","",IF(OR($B77="",$C77="",$D77="",$B77&lt;1300,$B77&gt;1500,$C77&lt;1,$C77&gt;12,$D77&lt;1,$D77&gt;31),"نامعتبر",RIGHT("0000"&amp;$B77,4)&amp;"/"&amp;RIGHT("00"&amp;$C77,2)&amp;"/"&amp;RIGHT("00"&amp;$D77,2)))</f>
        <v/>
      </c>
      <c r="F77">
        <f>IF(OR($E77="",$E77="نامعتبر"),"",IF(Sync!$Q74="","0000",IF(AND(ISNUMBER(Sync!$Q74),Sync!$Q74&gt;=0,Sync!$Q74&lt;1),RIGHT("00"&amp;HOUR(Sync!$Q74),2)&amp;RIGHT("00"&amp;MINUTE(Sync!$Q74),2),IFERROR(RIGHT("00"&amp;VALUE(LEFT(Sync!$Q74,FIND(":",Sync!$Q74)-1)),2)&amp;RIGHT("00"&amp;VALUE(MID(Sync!$Q74,FIND(":",Sync!$Q74)+1,2)),2),"0000"))))</f>
        <v/>
      </c>
      <c r="G77">
        <f>IF(OR($E77="",$E77="نامعتبر"),"",IF(Sync!$S74="","",Sync!$S74))</f>
        <v/>
      </c>
      <c r="H77">
        <f>IF(OR($E77="",$E77="نامعتبر"),"",IF(Sync!$R74="","",Sync!$R74))</f>
        <v/>
      </c>
      <c r="I77">
        <f>IF(OR($E77="",$E77="نامعتبر"),"",IF(Sync!$T74="","",Sync!$T74))</f>
        <v/>
      </c>
      <c r="J77">
        <f>IF(OR($E77="",$E77="نامعتبر"),"",IF(Sync!$U74="","",Sync!$U74))</f>
        <v/>
      </c>
      <c r="K77">
        <f>IF(OR($E77="",$E77="نامعتبر"),"",IF(Sync!$V74="","",IFERROR(INDEX(SubCodes,MATCH(Sync!$V74,SubTitles,0)),Sync!$V74)))</f>
        <v/>
      </c>
      <c r="L77">
        <f>IF(OR($E77="",$E77="نامعتبر"),"",IF(Sync!$W74="",0,Sync!$W74))</f>
        <v/>
      </c>
      <c r="M77">
        <f>IF(OR($E77="",$E77="نامعتبر"),"",IF(Sync!$X74="",0,Sync!$X74))</f>
        <v/>
      </c>
      <c r="N77">
        <f>IF(OR($E77="",$E77="نامعتبر"),"",IF(AND($J77="هزینه",$K77&lt;&gt;""),1,0))</f>
        <v/>
      </c>
      <c r="O77">
        <f>IF($N77=0,"",LEFT($E77,4)&amp;MID($E77,6,2)&amp;RIGHT($E77,2)&amp;$F77&amp;"|"&amp;"1"&amp;RIGHT("00000"&amp;69,5))</f>
        <v/>
      </c>
      <c r="P77">
        <f>IF($O77="","",COUNTIFS(ExpSub,$K77,ExpKey,"&lt;"&amp;$O77)+1)</f>
        <v/>
      </c>
      <c r="Q77">
        <f>IF($P77="","",$K77&amp;"|"&amp;RIGHT("000000"&amp;$P77,6))</f>
        <v/>
      </c>
    </row>
    <row r="78">
      <c r="A78">
        <f>IF(Sync!$P75="","",Sync!$P75)</f>
        <v/>
      </c>
      <c r="B78">
        <f>IF($A78="","",IF(ISNUMBER($A78),IF(AND($A78&gt;=10000101,$A78&lt;=99991231),INT($A78/10000),""),IFERROR(VALUE(TRIM(LEFT($A78,FIND("/",$A78)-1))),"")))</f>
        <v/>
      </c>
      <c r="C78">
        <f>IF(OR($A78="",$B78=""),"",IF(ISNUMBER($A78),INT(MOD($A78,10000)/100),IFERROR(VALUE(TRIM(LEFT(MID($A78,FIND("/",$A78)+1,20),FIND("/",MID($A78,FIND("/",$A78)+1,20))-1))),"")))</f>
        <v/>
      </c>
      <c r="D78">
        <f>IF(OR($A78="",$B78=""),"",IF(ISNUMBER($A78),MOD($A78,100),IFERROR(VALUE(TRIM(MID(MID($A78,FIND("/",$A78)+1,20),FIND("/",MID($A78,FIND("/",$A78)+1,20))+1,20))),"")))</f>
        <v/>
      </c>
      <c r="E78">
        <f>IF($A78="","",IF(OR($B78="",$C78="",$D78="",$B78&lt;1300,$B78&gt;1500,$C78&lt;1,$C78&gt;12,$D78&lt;1,$D78&gt;31),"نامعتبر",RIGHT("0000"&amp;$B78,4)&amp;"/"&amp;RIGHT("00"&amp;$C78,2)&amp;"/"&amp;RIGHT("00"&amp;$D78,2)))</f>
        <v/>
      </c>
      <c r="F78">
        <f>IF(OR($E78="",$E78="نامعتبر"),"",IF(Sync!$Q75="","0000",IF(AND(ISNUMBER(Sync!$Q75),Sync!$Q75&gt;=0,Sync!$Q75&lt;1),RIGHT("00"&amp;HOUR(Sync!$Q75),2)&amp;RIGHT("00"&amp;MINUTE(Sync!$Q75),2),IFERROR(RIGHT("00"&amp;VALUE(LEFT(Sync!$Q75,FIND(":",Sync!$Q75)-1)),2)&amp;RIGHT("00"&amp;VALUE(MID(Sync!$Q75,FIND(":",Sync!$Q75)+1,2)),2),"0000"))))</f>
        <v/>
      </c>
      <c r="G78">
        <f>IF(OR($E78="",$E78="نامعتبر"),"",IF(Sync!$S75="","",Sync!$S75))</f>
        <v/>
      </c>
      <c r="H78">
        <f>IF(OR($E78="",$E78="نامعتبر"),"",IF(Sync!$R75="","",Sync!$R75))</f>
        <v/>
      </c>
      <c r="I78">
        <f>IF(OR($E78="",$E78="نامعتبر"),"",IF(Sync!$T75="","",Sync!$T75))</f>
        <v/>
      </c>
      <c r="J78">
        <f>IF(OR($E78="",$E78="نامعتبر"),"",IF(Sync!$U75="","",Sync!$U75))</f>
        <v/>
      </c>
      <c r="K78">
        <f>IF(OR($E78="",$E78="نامعتبر"),"",IF(Sync!$V75="","",IFERROR(INDEX(SubCodes,MATCH(Sync!$V75,SubTitles,0)),Sync!$V75)))</f>
        <v/>
      </c>
      <c r="L78">
        <f>IF(OR($E78="",$E78="نامعتبر"),"",IF(Sync!$W75="",0,Sync!$W75))</f>
        <v/>
      </c>
      <c r="M78">
        <f>IF(OR($E78="",$E78="نامعتبر"),"",IF(Sync!$X75="",0,Sync!$X75))</f>
        <v/>
      </c>
      <c r="N78">
        <f>IF(OR($E78="",$E78="نامعتبر"),"",IF(AND($J78="هزینه",$K78&lt;&gt;""),1,0))</f>
        <v/>
      </c>
      <c r="O78">
        <f>IF($N78=0,"",LEFT($E78,4)&amp;MID($E78,6,2)&amp;RIGHT($E78,2)&amp;$F78&amp;"|"&amp;"1"&amp;RIGHT("00000"&amp;70,5))</f>
        <v/>
      </c>
      <c r="P78">
        <f>IF($O78="","",COUNTIFS(ExpSub,$K78,ExpKey,"&lt;"&amp;$O78)+1)</f>
        <v/>
      </c>
      <c r="Q78">
        <f>IF($P78="","",$K78&amp;"|"&amp;RIGHT("000000"&amp;$P78,6))</f>
        <v/>
      </c>
    </row>
    <row r="79">
      <c r="A79">
        <f>IF(Sync!$P76="","",Sync!$P76)</f>
        <v/>
      </c>
      <c r="B79">
        <f>IF($A79="","",IF(ISNUMBER($A79),IF(AND($A79&gt;=10000101,$A79&lt;=99991231),INT($A79/10000),""),IFERROR(VALUE(TRIM(LEFT($A79,FIND("/",$A79)-1))),"")))</f>
        <v/>
      </c>
      <c r="C79">
        <f>IF(OR($A79="",$B79=""),"",IF(ISNUMBER($A79),INT(MOD($A79,10000)/100),IFERROR(VALUE(TRIM(LEFT(MID($A79,FIND("/",$A79)+1,20),FIND("/",MID($A79,FIND("/",$A79)+1,20))-1))),"")))</f>
        <v/>
      </c>
      <c r="D79">
        <f>IF(OR($A79="",$B79=""),"",IF(ISNUMBER($A79),MOD($A79,100),IFERROR(VALUE(TRIM(MID(MID($A79,FIND("/",$A79)+1,20),FIND("/",MID($A79,FIND("/",$A79)+1,20))+1,20))),"")))</f>
        <v/>
      </c>
      <c r="E79">
        <f>IF($A79="","",IF(OR($B79="",$C79="",$D79="",$B79&lt;1300,$B79&gt;1500,$C79&lt;1,$C79&gt;12,$D79&lt;1,$D79&gt;31),"نامعتبر",RIGHT("0000"&amp;$B79,4)&amp;"/"&amp;RIGHT("00"&amp;$C79,2)&amp;"/"&amp;RIGHT("00"&amp;$D79,2)))</f>
        <v/>
      </c>
      <c r="F79">
        <f>IF(OR($E79="",$E79="نامعتبر"),"",IF(Sync!$Q76="","0000",IF(AND(ISNUMBER(Sync!$Q76),Sync!$Q76&gt;=0,Sync!$Q76&lt;1),RIGHT("00"&amp;HOUR(Sync!$Q76),2)&amp;RIGHT("00"&amp;MINUTE(Sync!$Q76),2),IFERROR(RIGHT("00"&amp;VALUE(LEFT(Sync!$Q76,FIND(":",Sync!$Q76)-1)),2)&amp;RIGHT("00"&amp;VALUE(MID(Sync!$Q76,FIND(":",Sync!$Q76)+1,2)),2),"0000"))))</f>
        <v/>
      </c>
      <c r="G79">
        <f>IF(OR($E79="",$E79="نامعتبر"),"",IF(Sync!$S76="","",Sync!$S76))</f>
        <v/>
      </c>
      <c r="H79">
        <f>IF(OR($E79="",$E79="نامعتبر"),"",IF(Sync!$R76="","",Sync!$R76))</f>
        <v/>
      </c>
      <c r="I79">
        <f>IF(OR($E79="",$E79="نامعتبر"),"",IF(Sync!$T76="","",Sync!$T76))</f>
        <v/>
      </c>
      <c r="J79">
        <f>IF(OR($E79="",$E79="نامعتبر"),"",IF(Sync!$U76="","",Sync!$U76))</f>
        <v/>
      </c>
      <c r="K79">
        <f>IF(OR($E79="",$E79="نامعتبر"),"",IF(Sync!$V76="","",IFERROR(INDEX(SubCodes,MATCH(Sync!$V76,SubTitles,0)),Sync!$V76)))</f>
        <v/>
      </c>
      <c r="L79">
        <f>IF(OR($E79="",$E79="نامعتبر"),"",IF(Sync!$W76="",0,Sync!$W76))</f>
        <v/>
      </c>
      <c r="M79">
        <f>IF(OR($E79="",$E79="نامعتبر"),"",IF(Sync!$X76="",0,Sync!$X76))</f>
        <v/>
      </c>
      <c r="N79">
        <f>IF(OR($E79="",$E79="نامعتبر"),"",IF(AND($J79="هزینه",$K79&lt;&gt;""),1,0))</f>
        <v/>
      </c>
      <c r="O79">
        <f>IF($N79=0,"",LEFT($E79,4)&amp;MID($E79,6,2)&amp;RIGHT($E79,2)&amp;$F79&amp;"|"&amp;"1"&amp;RIGHT("00000"&amp;71,5))</f>
        <v/>
      </c>
      <c r="P79">
        <f>IF($O79="","",COUNTIFS(ExpSub,$K79,ExpKey,"&lt;"&amp;$O79)+1)</f>
        <v/>
      </c>
      <c r="Q79">
        <f>IF($P79="","",$K79&amp;"|"&amp;RIGHT("000000"&amp;$P79,6))</f>
        <v/>
      </c>
    </row>
    <row r="80">
      <c r="A80">
        <f>IF(Sync!$P77="","",Sync!$P77)</f>
        <v/>
      </c>
      <c r="B80">
        <f>IF($A80="","",IF(ISNUMBER($A80),IF(AND($A80&gt;=10000101,$A80&lt;=99991231),INT($A80/10000),""),IFERROR(VALUE(TRIM(LEFT($A80,FIND("/",$A80)-1))),"")))</f>
        <v/>
      </c>
      <c r="C80">
        <f>IF(OR($A80="",$B80=""),"",IF(ISNUMBER($A80),INT(MOD($A80,10000)/100),IFERROR(VALUE(TRIM(LEFT(MID($A80,FIND("/",$A80)+1,20),FIND("/",MID($A80,FIND("/",$A80)+1,20))-1))),"")))</f>
        <v/>
      </c>
      <c r="D80">
        <f>IF(OR($A80="",$B80=""),"",IF(ISNUMBER($A80),MOD($A80,100),IFERROR(VALUE(TRIM(MID(MID($A80,FIND("/",$A80)+1,20),FIND("/",MID($A80,FIND("/",$A80)+1,20))+1,20))),"")))</f>
        <v/>
      </c>
      <c r="E80">
        <f>IF($A80="","",IF(OR($B80="",$C80="",$D80="",$B80&lt;1300,$B80&gt;1500,$C80&lt;1,$C80&gt;12,$D80&lt;1,$D80&gt;31),"نامعتبر",RIGHT("0000"&amp;$B80,4)&amp;"/"&amp;RIGHT("00"&amp;$C80,2)&amp;"/"&amp;RIGHT("00"&amp;$D80,2)))</f>
        <v/>
      </c>
      <c r="F80">
        <f>IF(OR($E80="",$E80="نامعتبر"),"",IF(Sync!$Q77="","0000",IF(AND(ISNUMBER(Sync!$Q77),Sync!$Q77&gt;=0,Sync!$Q77&lt;1),RIGHT("00"&amp;HOUR(Sync!$Q77),2)&amp;RIGHT("00"&amp;MINUTE(Sync!$Q77),2),IFERROR(RIGHT("00"&amp;VALUE(LEFT(Sync!$Q77,FIND(":",Sync!$Q77)-1)),2)&amp;RIGHT("00"&amp;VALUE(MID(Sync!$Q77,FIND(":",Sync!$Q77)+1,2)),2),"0000"))))</f>
        <v/>
      </c>
      <c r="G80">
        <f>IF(OR($E80="",$E80="نامعتبر"),"",IF(Sync!$S77="","",Sync!$S77))</f>
        <v/>
      </c>
      <c r="H80">
        <f>IF(OR($E80="",$E80="نامعتبر"),"",IF(Sync!$R77="","",Sync!$R77))</f>
        <v/>
      </c>
      <c r="I80">
        <f>IF(OR($E80="",$E80="نامعتبر"),"",IF(Sync!$T77="","",Sync!$T77))</f>
        <v/>
      </c>
      <c r="J80">
        <f>IF(OR($E80="",$E80="نامعتبر"),"",IF(Sync!$U77="","",Sync!$U77))</f>
        <v/>
      </c>
      <c r="K80">
        <f>IF(OR($E80="",$E80="نامعتبر"),"",IF(Sync!$V77="","",IFERROR(INDEX(SubCodes,MATCH(Sync!$V77,SubTitles,0)),Sync!$V77)))</f>
        <v/>
      </c>
      <c r="L80">
        <f>IF(OR($E80="",$E80="نامعتبر"),"",IF(Sync!$W77="",0,Sync!$W77))</f>
        <v/>
      </c>
      <c r="M80">
        <f>IF(OR($E80="",$E80="نامعتبر"),"",IF(Sync!$X77="",0,Sync!$X77))</f>
        <v/>
      </c>
      <c r="N80">
        <f>IF(OR($E80="",$E80="نامعتبر"),"",IF(AND($J80="هزینه",$K80&lt;&gt;""),1,0))</f>
        <v/>
      </c>
      <c r="O80">
        <f>IF($N80=0,"",LEFT($E80,4)&amp;MID($E80,6,2)&amp;RIGHT($E80,2)&amp;$F80&amp;"|"&amp;"1"&amp;RIGHT("00000"&amp;72,5))</f>
        <v/>
      </c>
      <c r="P80">
        <f>IF($O80="","",COUNTIFS(ExpSub,$K80,ExpKey,"&lt;"&amp;$O80)+1)</f>
        <v/>
      </c>
      <c r="Q80">
        <f>IF($P80="","",$K80&amp;"|"&amp;RIGHT("000000"&amp;$P80,6))</f>
        <v/>
      </c>
    </row>
    <row r="81">
      <c r="A81">
        <f>IF(Sync!$P78="","",Sync!$P78)</f>
        <v/>
      </c>
      <c r="B81">
        <f>IF($A81="","",IF(ISNUMBER($A81),IF(AND($A81&gt;=10000101,$A81&lt;=99991231),INT($A81/10000),""),IFERROR(VALUE(TRIM(LEFT($A81,FIND("/",$A81)-1))),"")))</f>
        <v/>
      </c>
      <c r="C81">
        <f>IF(OR($A81="",$B81=""),"",IF(ISNUMBER($A81),INT(MOD($A81,10000)/100),IFERROR(VALUE(TRIM(LEFT(MID($A81,FIND("/",$A81)+1,20),FIND("/",MID($A81,FIND("/",$A81)+1,20))-1))),"")))</f>
        <v/>
      </c>
      <c r="D81">
        <f>IF(OR($A81="",$B81=""),"",IF(ISNUMBER($A81),MOD($A81,100),IFERROR(VALUE(TRIM(MID(MID($A81,FIND("/",$A81)+1,20),FIND("/",MID($A81,FIND("/",$A81)+1,20))+1,20))),"")))</f>
        <v/>
      </c>
      <c r="E81">
        <f>IF($A81="","",IF(OR($B81="",$C81="",$D81="",$B81&lt;1300,$B81&gt;1500,$C81&lt;1,$C81&gt;12,$D81&lt;1,$D81&gt;31),"نامعتبر",RIGHT("0000"&amp;$B81,4)&amp;"/"&amp;RIGHT("00"&amp;$C81,2)&amp;"/"&amp;RIGHT("00"&amp;$D81,2)))</f>
        <v/>
      </c>
      <c r="F81">
        <f>IF(OR($E81="",$E81="نامعتبر"),"",IF(Sync!$Q78="","0000",IF(AND(ISNUMBER(Sync!$Q78),Sync!$Q78&gt;=0,Sync!$Q78&lt;1),RIGHT("00"&amp;HOUR(Sync!$Q78),2)&amp;RIGHT("00"&amp;MINUTE(Sync!$Q78),2),IFERROR(RIGHT("00"&amp;VALUE(LEFT(Sync!$Q78,FIND(":",Sync!$Q78)-1)),2)&amp;RIGHT("00"&amp;VALUE(MID(Sync!$Q78,FIND(":",Sync!$Q78)+1,2)),2),"0000"))))</f>
        <v/>
      </c>
      <c r="G81">
        <f>IF(OR($E81="",$E81="نامعتبر"),"",IF(Sync!$S78="","",Sync!$S78))</f>
        <v/>
      </c>
      <c r="H81">
        <f>IF(OR($E81="",$E81="نامعتبر"),"",IF(Sync!$R78="","",Sync!$R78))</f>
        <v/>
      </c>
      <c r="I81">
        <f>IF(OR($E81="",$E81="نامعتبر"),"",IF(Sync!$T78="","",Sync!$T78))</f>
        <v/>
      </c>
      <c r="J81">
        <f>IF(OR($E81="",$E81="نامعتبر"),"",IF(Sync!$U78="","",Sync!$U78))</f>
        <v/>
      </c>
      <c r="K81">
        <f>IF(OR($E81="",$E81="نامعتبر"),"",IF(Sync!$V78="","",IFERROR(INDEX(SubCodes,MATCH(Sync!$V78,SubTitles,0)),Sync!$V78)))</f>
        <v/>
      </c>
      <c r="L81">
        <f>IF(OR($E81="",$E81="نامعتبر"),"",IF(Sync!$W78="",0,Sync!$W78))</f>
        <v/>
      </c>
      <c r="M81">
        <f>IF(OR($E81="",$E81="نامعتبر"),"",IF(Sync!$X78="",0,Sync!$X78))</f>
        <v/>
      </c>
      <c r="N81">
        <f>IF(OR($E81="",$E81="نامعتبر"),"",IF(AND($J81="هزینه",$K81&lt;&gt;""),1,0))</f>
        <v/>
      </c>
      <c r="O81">
        <f>IF($N81=0,"",LEFT($E81,4)&amp;MID($E81,6,2)&amp;RIGHT($E81,2)&amp;$F81&amp;"|"&amp;"1"&amp;RIGHT("00000"&amp;73,5))</f>
        <v/>
      </c>
      <c r="P81">
        <f>IF($O81="","",COUNTIFS(ExpSub,$K81,ExpKey,"&lt;"&amp;$O81)+1)</f>
        <v/>
      </c>
      <c r="Q81">
        <f>IF($P81="","",$K81&amp;"|"&amp;RIGHT("000000"&amp;$P81,6))</f>
        <v/>
      </c>
    </row>
    <row r="82">
      <c r="A82">
        <f>IF(Sync!$P79="","",Sync!$P79)</f>
        <v/>
      </c>
      <c r="B82">
        <f>IF($A82="","",IF(ISNUMBER($A82),IF(AND($A82&gt;=10000101,$A82&lt;=99991231),INT($A82/10000),""),IFERROR(VALUE(TRIM(LEFT($A82,FIND("/",$A82)-1))),"")))</f>
        <v/>
      </c>
      <c r="C82">
        <f>IF(OR($A82="",$B82=""),"",IF(ISNUMBER($A82),INT(MOD($A82,10000)/100),IFERROR(VALUE(TRIM(LEFT(MID($A82,FIND("/",$A82)+1,20),FIND("/",MID($A82,FIND("/",$A82)+1,20))-1))),"")))</f>
        <v/>
      </c>
      <c r="D82">
        <f>IF(OR($A82="",$B82=""),"",IF(ISNUMBER($A82),MOD($A82,100),IFERROR(VALUE(TRIM(MID(MID($A82,FIND("/",$A82)+1,20),FIND("/",MID($A82,FIND("/",$A82)+1,20))+1,20))),"")))</f>
        <v/>
      </c>
      <c r="E82">
        <f>IF($A82="","",IF(OR($B82="",$C82="",$D82="",$B82&lt;1300,$B82&gt;1500,$C82&lt;1,$C82&gt;12,$D82&lt;1,$D82&gt;31),"نامعتبر",RIGHT("0000"&amp;$B82,4)&amp;"/"&amp;RIGHT("00"&amp;$C82,2)&amp;"/"&amp;RIGHT("00"&amp;$D82,2)))</f>
        <v/>
      </c>
      <c r="F82">
        <f>IF(OR($E82="",$E82="نامعتبر"),"",IF(Sync!$Q79="","0000",IF(AND(ISNUMBER(Sync!$Q79),Sync!$Q79&gt;=0,Sync!$Q79&lt;1),RIGHT("00"&amp;HOUR(Sync!$Q79),2)&amp;RIGHT("00"&amp;MINUTE(Sync!$Q79),2),IFERROR(RIGHT("00"&amp;VALUE(LEFT(Sync!$Q79,FIND(":",Sync!$Q79)-1)),2)&amp;RIGHT("00"&amp;VALUE(MID(Sync!$Q79,FIND(":",Sync!$Q79)+1,2)),2),"0000"))))</f>
        <v/>
      </c>
      <c r="G82">
        <f>IF(OR($E82="",$E82="نامعتبر"),"",IF(Sync!$S79="","",Sync!$S79))</f>
        <v/>
      </c>
      <c r="H82">
        <f>IF(OR($E82="",$E82="نامعتبر"),"",IF(Sync!$R79="","",Sync!$R79))</f>
        <v/>
      </c>
      <c r="I82">
        <f>IF(OR($E82="",$E82="نامعتبر"),"",IF(Sync!$T79="","",Sync!$T79))</f>
        <v/>
      </c>
      <c r="J82">
        <f>IF(OR($E82="",$E82="نامعتبر"),"",IF(Sync!$U79="","",Sync!$U79))</f>
        <v/>
      </c>
      <c r="K82">
        <f>IF(OR($E82="",$E82="نامعتبر"),"",IF(Sync!$V79="","",IFERROR(INDEX(SubCodes,MATCH(Sync!$V79,SubTitles,0)),Sync!$V79)))</f>
        <v/>
      </c>
      <c r="L82">
        <f>IF(OR($E82="",$E82="نامعتبر"),"",IF(Sync!$W79="",0,Sync!$W79))</f>
        <v/>
      </c>
      <c r="M82">
        <f>IF(OR($E82="",$E82="نامعتبر"),"",IF(Sync!$X79="",0,Sync!$X79))</f>
        <v/>
      </c>
      <c r="N82">
        <f>IF(OR($E82="",$E82="نامعتبر"),"",IF(AND($J82="هزینه",$K82&lt;&gt;""),1,0))</f>
        <v/>
      </c>
      <c r="O82">
        <f>IF($N82=0,"",LEFT($E82,4)&amp;MID($E82,6,2)&amp;RIGHT($E82,2)&amp;$F82&amp;"|"&amp;"1"&amp;RIGHT("00000"&amp;74,5))</f>
        <v/>
      </c>
      <c r="P82">
        <f>IF($O82="","",COUNTIFS(ExpSub,$K82,ExpKey,"&lt;"&amp;$O82)+1)</f>
        <v/>
      </c>
      <c r="Q82">
        <f>IF($P82="","",$K82&amp;"|"&amp;RIGHT("000000"&amp;$P82,6))</f>
        <v/>
      </c>
    </row>
    <row r="83">
      <c r="A83">
        <f>IF(Sync!$P80="","",Sync!$P80)</f>
        <v/>
      </c>
      <c r="B83">
        <f>IF($A83="","",IF(ISNUMBER($A83),IF(AND($A83&gt;=10000101,$A83&lt;=99991231),INT($A83/10000),""),IFERROR(VALUE(TRIM(LEFT($A83,FIND("/",$A83)-1))),"")))</f>
        <v/>
      </c>
      <c r="C83">
        <f>IF(OR($A83="",$B83=""),"",IF(ISNUMBER($A83),INT(MOD($A83,10000)/100),IFERROR(VALUE(TRIM(LEFT(MID($A83,FIND("/",$A83)+1,20),FIND("/",MID($A83,FIND("/",$A83)+1,20))-1))),"")))</f>
        <v/>
      </c>
      <c r="D83">
        <f>IF(OR($A83="",$B83=""),"",IF(ISNUMBER($A83),MOD($A83,100),IFERROR(VALUE(TRIM(MID(MID($A83,FIND("/",$A83)+1,20),FIND("/",MID($A83,FIND("/",$A83)+1,20))+1,20))),"")))</f>
        <v/>
      </c>
      <c r="E83">
        <f>IF($A83="","",IF(OR($B83="",$C83="",$D83="",$B83&lt;1300,$B83&gt;1500,$C83&lt;1,$C83&gt;12,$D83&lt;1,$D83&gt;31),"نامعتبر",RIGHT("0000"&amp;$B83,4)&amp;"/"&amp;RIGHT("00"&amp;$C83,2)&amp;"/"&amp;RIGHT("00"&amp;$D83,2)))</f>
        <v/>
      </c>
      <c r="F83">
        <f>IF(OR($E83="",$E83="نامعتبر"),"",IF(Sync!$Q80="","0000",IF(AND(ISNUMBER(Sync!$Q80),Sync!$Q80&gt;=0,Sync!$Q80&lt;1),RIGHT("00"&amp;HOUR(Sync!$Q80),2)&amp;RIGHT("00"&amp;MINUTE(Sync!$Q80),2),IFERROR(RIGHT("00"&amp;VALUE(LEFT(Sync!$Q80,FIND(":",Sync!$Q80)-1)),2)&amp;RIGHT("00"&amp;VALUE(MID(Sync!$Q80,FIND(":",Sync!$Q80)+1,2)),2),"0000"))))</f>
        <v/>
      </c>
      <c r="G83">
        <f>IF(OR($E83="",$E83="نامعتبر"),"",IF(Sync!$S80="","",Sync!$S80))</f>
        <v/>
      </c>
      <c r="H83">
        <f>IF(OR($E83="",$E83="نامعتبر"),"",IF(Sync!$R80="","",Sync!$R80))</f>
        <v/>
      </c>
      <c r="I83">
        <f>IF(OR($E83="",$E83="نامعتبر"),"",IF(Sync!$T80="","",Sync!$T80))</f>
        <v/>
      </c>
      <c r="J83">
        <f>IF(OR($E83="",$E83="نامعتبر"),"",IF(Sync!$U80="","",Sync!$U80))</f>
        <v/>
      </c>
      <c r="K83">
        <f>IF(OR($E83="",$E83="نامعتبر"),"",IF(Sync!$V80="","",IFERROR(INDEX(SubCodes,MATCH(Sync!$V80,SubTitles,0)),Sync!$V80)))</f>
        <v/>
      </c>
      <c r="L83">
        <f>IF(OR($E83="",$E83="نامعتبر"),"",IF(Sync!$W80="",0,Sync!$W80))</f>
        <v/>
      </c>
      <c r="M83">
        <f>IF(OR($E83="",$E83="نامعتبر"),"",IF(Sync!$X80="",0,Sync!$X80))</f>
        <v/>
      </c>
      <c r="N83">
        <f>IF(OR($E83="",$E83="نامعتبر"),"",IF(AND($J83="هزینه",$K83&lt;&gt;""),1,0))</f>
        <v/>
      </c>
      <c r="O83">
        <f>IF($N83=0,"",LEFT($E83,4)&amp;MID($E83,6,2)&amp;RIGHT($E83,2)&amp;$F83&amp;"|"&amp;"1"&amp;RIGHT("00000"&amp;75,5))</f>
        <v/>
      </c>
      <c r="P83">
        <f>IF($O83="","",COUNTIFS(ExpSub,$K83,ExpKey,"&lt;"&amp;$O83)+1)</f>
        <v/>
      </c>
      <c r="Q83">
        <f>IF($P83="","",$K83&amp;"|"&amp;RIGHT("000000"&amp;$P83,6))</f>
        <v/>
      </c>
    </row>
    <row r="84">
      <c r="A84">
        <f>IF(Sync!$P81="","",Sync!$P81)</f>
        <v/>
      </c>
      <c r="B84">
        <f>IF($A84="","",IF(ISNUMBER($A84),IF(AND($A84&gt;=10000101,$A84&lt;=99991231),INT($A84/10000),""),IFERROR(VALUE(TRIM(LEFT($A84,FIND("/",$A84)-1))),"")))</f>
        <v/>
      </c>
      <c r="C84">
        <f>IF(OR($A84="",$B84=""),"",IF(ISNUMBER($A84),INT(MOD($A84,10000)/100),IFERROR(VALUE(TRIM(LEFT(MID($A84,FIND("/",$A84)+1,20),FIND("/",MID($A84,FIND("/",$A84)+1,20))-1))),"")))</f>
        <v/>
      </c>
      <c r="D84">
        <f>IF(OR($A84="",$B84=""),"",IF(ISNUMBER($A84),MOD($A84,100),IFERROR(VALUE(TRIM(MID(MID($A84,FIND("/",$A84)+1,20),FIND("/",MID($A84,FIND("/",$A84)+1,20))+1,20))),"")))</f>
        <v/>
      </c>
      <c r="E84">
        <f>IF($A84="","",IF(OR($B84="",$C84="",$D84="",$B84&lt;1300,$B84&gt;1500,$C84&lt;1,$C84&gt;12,$D84&lt;1,$D84&gt;31),"نامعتبر",RIGHT("0000"&amp;$B84,4)&amp;"/"&amp;RIGHT("00"&amp;$C84,2)&amp;"/"&amp;RIGHT("00"&amp;$D84,2)))</f>
        <v/>
      </c>
      <c r="F84">
        <f>IF(OR($E84="",$E84="نامعتبر"),"",IF(Sync!$Q81="","0000",IF(AND(ISNUMBER(Sync!$Q81),Sync!$Q81&gt;=0,Sync!$Q81&lt;1),RIGHT("00"&amp;HOUR(Sync!$Q81),2)&amp;RIGHT("00"&amp;MINUTE(Sync!$Q81),2),IFERROR(RIGHT("00"&amp;VALUE(LEFT(Sync!$Q81,FIND(":",Sync!$Q81)-1)),2)&amp;RIGHT("00"&amp;VALUE(MID(Sync!$Q81,FIND(":",Sync!$Q81)+1,2)),2),"0000"))))</f>
        <v/>
      </c>
      <c r="G84">
        <f>IF(OR($E84="",$E84="نامعتبر"),"",IF(Sync!$S81="","",Sync!$S81))</f>
        <v/>
      </c>
      <c r="H84">
        <f>IF(OR($E84="",$E84="نامعتبر"),"",IF(Sync!$R81="","",Sync!$R81))</f>
        <v/>
      </c>
      <c r="I84">
        <f>IF(OR($E84="",$E84="نامعتبر"),"",IF(Sync!$T81="","",Sync!$T81))</f>
        <v/>
      </c>
      <c r="J84">
        <f>IF(OR($E84="",$E84="نامعتبر"),"",IF(Sync!$U81="","",Sync!$U81))</f>
        <v/>
      </c>
      <c r="K84">
        <f>IF(OR($E84="",$E84="نامعتبر"),"",IF(Sync!$V81="","",IFERROR(INDEX(SubCodes,MATCH(Sync!$V81,SubTitles,0)),Sync!$V81)))</f>
        <v/>
      </c>
      <c r="L84">
        <f>IF(OR($E84="",$E84="نامعتبر"),"",IF(Sync!$W81="",0,Sync!$W81))</f>
        <v/>
      </c>
      <c r="M84">
        <f>IF(OR($E84="",$E84="نامعتبر"),"",IF(Sync!$X81="",0,Sync!$X81))</f>
        <v/>
      </c>
      <c r="N84">
        <f>IF(OR($E84="",$E84="نامعتبر"),"",IF(AND($J84="هزینه",$K84&lt;&gt;""),1,0))</f>
        <v/>
      </c>
      <c r="O84">
        <f>IF($N84=0,"",LEFT($E84,4)&amp;MID($E84,6,2)&amp;RIGHT($E84,2)&amp;$F84&amp;"|"&amp;"1"&amp;RIGHT("00000"&amp;76,5))</f>
        <v/>
      </c>
      <c r="P84">
        <f>IF($O84="","",COUNTIFS(ExpSub,$K84,ExpKey,"&lt;"&amp;$O84)+1)</f>
        <v/>
      </c>
      <c r="Q84">
        <f>IF($P84="","",$K84&amp;"|"&amp;RIGHT("000000"&amp;$P84,6))</f>
        <v/>
      </c>
    </row>
    <row r="85">
      <c r="A85">
        <f>IF(Sync!$P82="","",Sync!$P82)</f>
        <v/>
      </c>
      <c r="B85">
        <f>IF($A85="","",IF(ISNUMBER($A85),IF(AND($A85&gt;=10000101,$A85&lt;=99991231),INT($A85/10000),""),IFERROR(VALUE(TRIM(LEFT($A85,FIND("/",$A85)-1))),"")))</f>
        <v/>
      </c>
      <c r="C85">
        <f>IF(OR($A85="",$B85=""),"",IF(ISNUMBER($A85),INT(MOD($A85,10000)/100),IFERROR(VALUE(TRIM(LEFT(MID($A85,FIND("/",$A85)+1,20),FIND("/",MID($A85,FIND("/",$A85)+1,20))-1))),"")))</f>
        <v/>
      </c>
      <c r="D85">
        <f>IF(OR($A85="",$B85=""),"",IF(ISNUMBER($A85),MOD($A85,100),IFERROR(VALUE(TRIM(MID(MID($A85,FIND("/",$A85)+1,20),FIND("/",MID($A85,FIND("/",$A85)+1,20))+1,20))),"")))</f>
        <v/>
      </c>
      <c r="E85">
        <f>IF($A85="","",IF(OR($B85="",$C85="",$D85="",$B85&lt;1300,$B85&gt;1500,$C85&lt;1,$C85&gt;12,$D85&lt;1,$D85&gt;31),"نامعتبر",RIGHT("0000"&amp;$B85,4)&amp;"/"&amp;RIGHT("00"&amp;$C85,2)&amp;"/"&amp;RIGHT("00"&amp;$D85,2)))</f>
        <v/>
      </c>
      <c r="F85">
        <f>IF(OR($E85="",$E85="نامعتبر"),"",IF(Sync!$Q82="","0000",IF(AND(ISNUMBER(Sync!$Q82),Sync!$Q82&gt;=0,Sync!$Q82&lt;1),RIGHT("00"&amp;HOUR(Sync!$Q82),2)&amp;RIGHT("00"&amp;MINUTE(Sync!$Q82),2),IFERROR(RIGHT("00"&amp;VALUE(LEFT(Sync!$Q82,FIND(":",Sync!$Q82)-1)),2)&amp;RIGHT("00"&amp;VALUE(MID(Sync!$Q82,FIND(":",Sync!$Q82)+1,2)),2),"0000"))))</f>
        <v/>
      </c>
      <c r="G85">
        <f>IF(OR($E85="",$E85="نامعتبر"),"",IF(Sync!$S82="","",Sync!$S82))</f>
        <v/>
      </c>
      <c r="H85">
        <f>IF(OR($E85="",$E85="نامعتبر"),"",IF(Sync!$R82="","",Sync!$R82))</f>
        <v/>
      </c>
      <c r="I85">
        <f>IF(OR($E85="",$E85="نامعتبر"),"",IF(Sync!$T82="","",Sync!$T82))</f>
        <v/>
      </c>
      <c r="J85">
        <f>IF(OR($E85="",$E85="نامعتبر"),"",IF(Sync!$U82="","",Sync!$U82))</f>
        <v/>
      </c>
      <c r="K85">
        <f>IF(OR($E85="",$E85="نامعتبر"),"",IF(Sync!$V82="","",IFERROR(INDEX(SubCodes,MATCH(Sync!$V82,SubTitles,0)),Sync!$V82)))</f>
        <v/>
      </c>
      <c r="L85">
        <f>IF(OR($E85="",$E85="نامعتبر"),"",IF(Sync!$W82="",0,Sync!$W82))</f>
        <v/>
      </c>
      <c r="M85">
        <f>IF(OR($E85="",$E85="نامعتبر"),"",IF(Sync!$X82="",0,Sync!$X82))</f>
        <v/>
      </c>
      <c r="N85">
        <f>IF(OR($E85="",$E85="نامعتبر"),"",IF(AND($J85="هزینه",$K85&lt;&gt;""),1,0))</f>
        <v/>
      </c>
      <c r="O85">
        <f>IF($N85=0,"",LEFT($E85,4)&amp;MID($E85,6,2)&amp;RIGHT($E85,2)&amp;$F85&amp;"|"&amp;"1"&amp;RIGHT("00000"&amp;77,5))</f>
        <v/>
      </c>
      <c r="P85">
        <f>IF($O85="","",COUNTIFS(ExpSub,$K85,ExpKey,"&lt;"&amp;$O85)+1)</f>
        <v/>
      </c>
      <c r="Q85">
        <f>IF($P85="","",$K85&amp;"|"&amp;RIGHT("000000"&amp;$P85,6))</f>
        <v/>
      </c>
    </row>
    <row r="86">
      <c r="A86">
        <f>IF(Sync!$P83="","",Sync!$P83)</f>
        <v/>
      </c>
      <c r="B86">
        <f>IF($A86="","",IF(ISNUMBER($A86),IF(AND($A86&gt;=10000101,$A86&lt;=99991231),INT($A86/10000),""),IFERROR(VALUE(TRIM(LEFT($A86,FIND("/",$A86)-1))),"")))</f>
        <v/>
      </c>
      <c r="C86">
        <f>IF(OR($A86="",$B86=""),"",IF(ISNUMBER($A86),INT(MOD($A86,10000)/100),IFERROR(VALUE(TRIM(LEFT(MID($A86,FIND("/",$A86)+1,20),FIND("/",MID($A86,FIND("/",$A86)+1,20))-1))),"")))</f>
        <v/>
      </c>
      <c r="D86">
        <f>IF(OR($A86="",$B86=""),"",IF(ISNUMBER($A86),MOD($A86,100),IFERROR(VALUE(TRIM(MID(MID($A86,FIND("/",$A86)+1,20),FIND("/",MID($A86,FIND("/",$A86)+1,20))+1,20))),"")))</f>
        <v/>
      </c>
      <c r="E86">
        <f>IF($A86="","",IF(OR($B86="",$C86="",$D86="",$B86&lt;1300,$B86&gt;1500,$C86&lt;1,$C86&gt;12,$D86&lt;1,$D86&gt;31),"نامعتبر",RIGHT("0000"&amp;$B86,4)&amp;"/"&amp;RIGHT("00"&amp;$C86,2)&amp;"/"&amp;RIGHT("00"&amp;$D86,2)))</f>
        <v/>
      </c>
      <c r="F86">
        <f>IF(OR($E86="",$E86="نامعتبر"),"",IF(Sync!$Q83="","0000",IF(AND(ISNUMBER(Sync!$Q83),Sync!$Q83&gt;=0,Sync!$Q83&lt;1),RIGHT("00"&amp;HOUR(Sync!$Q83),2)&amp;RIGHT("00"&amp;MINUTE(Sync!$Q83),2),IFERROR(RIGHT("00"&amp;VALUE(LEFT(Sync!$Q83,FIND(":",Sync!$Q83)-1)),2)&amp;RIGHT("00"&amp;VALUE(MID(Sync!$Q83,FIND(":",Sync!$Q83)+1,2)),2),"0000"))))</f>
        <v/>
      </c>
      <c r="G86">
        <f>IF(OR($E86="",$E86="نامعتبر"),"",IF(Sync!$S83="","",Sync!$S83))</f>
        <v/>
      </c>
      <c r="H86">
        <f>IF(OR($E86="",$E86="نامعتبر"),"",IF(Sync!$R83="","",Sync!$R83))</f>
        <v/>
      </c>
      <c r="I86">
        <f>IF(OR($E86="",$E86="نامعتبر"),"",IF(Sync!$T83="","",Sync!$T83))</f>
        <v/>
      </c>
      <c r="J86">
        <f>IF(OR($E86="",$E86="نامعتبر"),"",IF(Sync!$U83="","",Sync!$U83))</f>
        <v/>
      </c>
      <c r="K86">
        <f>IF(OR($E86="",$E86="نامعتبر"),"",IF(Sync!$V83="","",IFERROR(INDEX(SubCodes,MATCH(Sync!$V83,SubTitles,0)),Sync!$V83)))</f>
        <v/>
      </c>
      <c r="L86">
        <f>IF(OR($E86="",$E86="نامعتبر"),"",IF(Sync!$W83="",0,Sync!$W83))</f>
        <v/>
      </c>
      <c r="M86">
        <f>IF(OR($E86="",$E86="نامعتبر"),"",IF(Sync!$X83="",0,Sync!$X83))</f>
        <v/>
      </c>
      <c r="N86">
        <f>IF(OR($E86="",$E86="نامعتبر"),"",IF(AND($J86="هزینه",$K86&lt;&gt;""),1,0))</f>
        <v/>
      </c>
      <c r="O86">
        <f>IF($N86=0,"",LEFT($E86,4)&amp;MID($E86,6,2)&amp;RIGHT($E86,2)&amp;$F86&amp;"|"&amp;"1"&amp;RIGHT("00000"&amp;78,5))</f>
        <v/>
      </c>
      <c r="P86">
        <f>IF($O86="","",COUNTIFS(ExpSub,$K86,ExpKey,"&lt;"&amp;$O86)+1)</f>
        <v/>
      </c>
      <c r="Q86">
        <f>IF($P86="","",$K86&amp;"|"&amp;RIGHT("000000"&amp;$P86,6))</f>
        <v/>
      </c>
    </row>
    <row r="87">
      <c r="A87">
        <f>IF(Sync!$P84="","",Sync!$P84)</f>
        <v/>
      </c>
      <c r="B87">
        <f>IF($A87="","",IF(ISNUMBER($A87),IF(AND($A87&gt;=10000101,$A87&lt;=99991231),INT($A87/10000),""),IFERROR(VALUE(TRIM(LEFT($A87,FIND("/",$A87)-1))),"")))</f>
        <v/>
      </c>
      <c r="C87">
        <f>IF(OR($A87="",$B87=""),"",IF(ISNUMBER($A87),INT(MOD($A87,10000)/100),IFERROR(VALUE(TRIM(LEFT(MID($A87,FIND("/",$A87)+1,20),FIND("/",MID($A87,FIND("/",$A87)+1,20))-1))),"")))</f>
        <v/>
      </c>
      <c r="D87">
        <f>IF(OR($A87="",$B87=""),"",IF(ISNUMBER($A87),MOD($A87,100),IFERROR(VALUE(TRIM(MID(MID($A87,FIND("/",$A87)+1,20),FIND("/",MID($A87,FIND("/",$A87)+1,20))+1,20))),"")))</f>
        <v/>
      </c>
      <c r="E87">
        <f>IF($A87="","",IF(OR($B87="",$C87="",$D87="",$B87&lt;1300,$B87&gt;1500,$C87&lt;1,$C87&gt;12,$D87&lt;1,$D87&gt;31),"نامعتبر",RIGHT("0000"&amp;$B87,4)&amp;"/"&amp;RIGHT("00"&amp;$C87,2)&amp;"/"&amp;RIGHT("00"&amp;$D87,2)))</f>
        <v/>
      </c>
      <c r="F87">
        <f>IF(OR($E87="",$E87="نامعتبر"),"",IF(Sync!$Q84="","0000",IF(AND(ISNUMBER(Sync!$Q84),Sync!$Q84&gt;=0,Sync!$Q84&lt;1),RIGHT("00"&amp;HOUR(Sync!$Q84),2)&amp;RIGHT("00"&amp;MINUTE(Sync!$Q84),2),IFERROR(RIGHT("00"&amp;VALUE(LEFT(Sync!$Q84,FIND(":",Sync!$Q84)-1)),2)&amp;RIGHT("00"&amp;VALUE(MID(Sync!$Q84,FIND(":",Sync!$Q84)+1,2)),2),"0000"))))</f>
        <v/>
      </c>
      <c r="G87">
        <f>IF(OR($E87="",$E87="نامعتبر"),"",IF(Sync!$S84="","",Sync!$S84))</f>
        <v/>
      </c>
      <c r="H87">
        <f>IF(OR($E87="",$E87="نامعتبر"),"",IF(Sync!$R84="","",Sync!$R84))</f>
        <v/>
      </c>
      <c r="I87">
        <f>IF(OR($E87="",$E87="نامعتبر"),"",IF(Sync!$T84="","",Sync!$T84))</f>
        <v/>
      </c>
      <c r="J87">
        <f>IF(OR($E87="",$E87="نامعتبر"),"",IF(Sync!$U84="","",Sync!$U84))</f>
        <v/>
      </c>
      <c r="K87">
        <f>IF(OR($E87="",$E87="نامعتبر"),"",IF(Sync!$V84="","",IFERROR(INDEX(SubCodes,MATCH(Sync!$V84,SubTitles,0)),Sync!$V84)))</f>
        <v/>
      </c>
      <c r="L87">
        <f>IF(OR($E87="",$E87="نامعتبر"),"",IF(Sync!$W84="",0,Sync!$W84))</f>
        <v/>
      </c>
      <c r="M87">
        <f>IF(OR($E87="",$E87="نامعتبر"),"",IF(Sync!$X84="",0,Sync!$X84))</f>
        <v/>
      </c>
      <c r="N87">
        <f>IF(OR($E87="",$E87="نامعتبر"),"",IF(AND($J87="هزینه",$K87&lt;&gt;""),1,0))</f>
        <v/>
      </c>
      <c r="O87">
        <f>IF($N87=0,"",LEFT($E87,4)&amp;MID($E87,6,2)&amp;RIGHT($E87,2)&amp;$F87&amp;"|"&amp;"1"&amp;RIGHT("00000"&amp;79,5))</f>
        <v/>
      </c>
      <c r="P87">
        <f>IF($O87="","",COUNTIFS(ExpSub,$K87,ExpKey,"&lt;"&amp;$O87)+1)</f>
        <v/>
      </c>
      <c r="Q87">
        <f>IF($P87="","",$K87&amp;"|"&amp;RIGHT("000000"&amp;$P87,6))</f>
        <v/>
      </c>
    </row>
    <row r="88">
      <c r="A88">
        <f>IF(Sync!$P85="","",Sync!$P85)</f>
        <v/>
      </c>
      <c r="B88">
        <f>IF($A88="","",IF(ISNUMBER($A88),IF(AND($A88&gt;=10000101,$A88&lt;=99991231),INT($A88/10000),""),IFERROR(VALUE(TRIM(LEFT($A88,FIND("/",$A88)-1))),"")))</f>
        <v/>
      </c>
      <c r="C88">
        <f>IF(OR($A88="",$B88=""),"",IF(ISNUMBER($A88),INT(MOD($A88,10000)/100),IFERROR(VALUE(TRIM(LEFT(MID($A88,FIND("/",$A88)+1,20),FIND("/",MID($A88,FIND("/",$A88)+1,20))-1))),"")))</f>
        <v/>
      </c>
      <c r="D88">
        <f>IF(OR($A88="",$B88=""),"",IF(ISNUMBER($A88),MOD($A88,100),IFERROR(VALUE(TRIM(MID(MID($A88,FIND("/",$A88)+1,20),FIND("/",MID($A88,FIND("/",$A88)+1,20))+1,20))),"")))</f>
        <v/>
      </c>
      <c r="E88">
        <f>IF($A88="","",IF(OR($B88="",$C88="",$D88="",$B88&lt;1300,$B88&gt;1500,$C88&lt;1,$C88&gt;12,$D88&lt;1,$D88&gt;31),"نامعتبر",RIGHT("0000"&amp;$B88,4)&amp;"/"&amp;RIGHT("00"&amp;$C88,2)&amp;"/"&amp;RIGHT("00"&amp;$D88,2)))</f>
        <v/>
      </c>
      <c r="F88">
        <f>IF(OR($E88="",$E88="نامعتبر"),"",IF(Sync!$Q85="","0000",IF(AND(ISNUMBER(Sync!$Q85),Sync!$Q85&gt;=0,Sync!$Q85&lt;1),RIGHT("00"&amp;HOUR(Sync!$Q85),2)&amp;RIGHT("00"&amp;MINUTE(Sync!$Q85),2),IFERROR(RIGHT("00"&amp;VALUE(LEFT(Sync!$Q85,FIND(":",Sync!$Q85)-1)),2)&amp;RIGHT("00"&amp;VALUE(MID(Sync!$Q85,FIND(":",Sync!$Q85)+1,2)),2),"0000"))))</f>
        <v/>
      </c>
      <c r="G88">
        <f>IF(OR($E88="",$E88="نامعتبر"),"",IF(Sync!$S85="","",Sync!$S85))</f>
        <v/>
      </c>
      <c r="H88">
        <f>IF(OR($E88="",$E88="نامعتبر"),"",IF(Sync!$R85="","",Sync!$R85))</f>
        <v/>
      </c>
      <c r="I88">
        <f>IF(OR($E88="",$E88="نامعتبر"),"",IF(Sync!$T85="","",Sync!$T85))</f>
        <v/>
      </c>
      <c r="J88">
        <f>IF(OR($E88="",$E88="نامعتبر"),"",IF(Sync!$U85="","",Sync!$U85))</f>
        <v/>
      </c>
      <c r="K88">
        <f>IF(OR($E88="",$E88="نامعتبر"),"",IF(Sync!$V85="","",IFERROR(INDEX(SubCodes,MATCH(Sync!$V85,SubTitles,0)),Sync!$V85)))</f>
        <v/>
      </c>
      <c r="L88">
        <f>IF(OR($E88="",$E88="نامعتبر"),"",IF(Sync!$W85="",0,Sync!$W85))</f>
        <v/>
      </c>
      <c r="M88">
        <f>IF(OR($E88="",$E88="نامعتبر"),"",IF(Sync!$X85="",0,Sync!$X85))</f>
        <v/>
      </c>
      <c r="N88">
        <f>IF(OR($E88="",$E88="نامعتبر"),"",IF(AND($J88="هزینه",$K88&lt;&gt;""),1,0))</f>
        <v/>
      </c>
      <c r="O88">
        <f>IF($N88=0,"",LEFT($E88,4)&amp;MID($E88,6,2)&amp;RIGHT($E88,2)&amp;$F88&amp;"|"&amp;"1"&amp;RIGHT("00000"&amp;80,5))</f>
        <v/>
      </c>
      <c r="P88">
        <f>IF($O88="","",COUNTIFS(ExpSub,$K88,ExpKey,"&lt;"&amp;$O88)+1)</f>
        <v/>
      </c>
      <c r="Q88">
        <f>IF($P88="","",$K88&amp;"|"&amp;RIGHT("000000"&amp;$P88,6))</f>
        <v/>
      </c>
    </row>
    <row r="89">
      <c r="A89">
        <f>IF(Sync!$P86="","",Sync!$P86)</f>
        <v/>
      </c>
      <c r="B89">
        <f>IF($A89="","",IF(ISNUMBER($A89),IF(AND($A89&gt;=10000101,$A89&lt;=99991231),INT($A89/10000),""),IFERROR(VALUE(TRIM(LEFT($A89,FIND("/",$A89)-1))),"")))</f>
        <v/>
      </c>
      <c r="C89">
        <f>IF(OR($A89="",$B89=""),"",IF(ISNUMBER($A89),INT(MOD($A89,10000)/100),IFERROR(VALUE(TRIM(LEFT(MID($A89,FIND("/",$A89)+1,20),FIND("/",MID($A89,FIND("/",$A89)+1,20))-1))),"")))</f>
        <v/>
      </c>
      <c r="D89">
        <f>IF(OR($A89="",$B89=""),"",IF(ISNUMBER($A89),MOD($A89,100),IFERROR(VALUE(TRIM(MID(MID($A89,FIND("/",$A89)+1,20),FIND("/",MID($A89,FIND("/",$A89)+1,20))+1,20))),"")))</f>
        <v/>
      </c>
      <c r="E89">
        <f>IF($A89="","",IF(OR($B89="",$C89="",$D89="",$B89&lt;1300,$B89&gt;1500,$C89&lt;1,$C89&gt;12,$D89&lt;1,$D89&gt;31),"نامعتبر",RIGHT("0000"&amp;$B89,4)&amp;"/"&amp;RIGHT("00"&amp;$C89,2)&amp;"/"&amp;RIGHT("00"&amp;$D89,2)))</f>
        <v/>
      </c>
      <c r="F89">
        <f>IF(OR($E89="",$E89="نامعتبر"),"",IF(Sync!$Q86="","0000",IF(AND(ISNUMBER(Sync!$Q86),Sync!$Q86&gt;=0,Sync!$Q86&lt;1),RIGHT("00"&amp;HOUR(Sync!$Q86),2)&amp;RIGHT("00"&amp;MINUTE(Sync!$Q86),2),IFERROR(RIGHT("00"&amp;VALUE(LEFT(Sync!$Q86,FIND(":",Sync!$Q86)-1)),2)&amp;RIGHT("00"&amp;VALUE(MID(Sync!$Q86,FIND(":",Sync!$Q86)+1,2)),2),"0000"))))</f>
        <v/>
      </c>
      <c r="G89">
        <f>IF(OR($E89="",$E89="نامعتبر"),"",IF(Sync!$S86="","",Sync!$S86))</f>
        <v/>
      </c>
      <c r="H89">
        <f>IF(OR($E89="",$E89="نامعتبر"),"",IF(Sync!$R86="","",Sync!$R86))</f>
        <v/>
      </c>
      <c r="I89">
        <f>IF(OR($E89="",$E89="نامعتبر"),"",IF(Sync!$T86="","",Sync!$T86))</f>
        <v/>
      </c>
      <c r="J89">
        <f>IF(OR($E89="",$E89="نامعتبر"),"",IF(Sync!$U86="","",Sync!$U86))</f>
        <v/>
      </c>
      <c r="K89">
        <f>IF(OR($E89="",$E89="نامعتبر"),"",IF(Sync!$V86="","",IFERROR(INDEX(SubCodes,MATCH(Sync!$V86,SubTitles,0)),Sync!$V86)))</f>
        <v/>
      </c>
      <c r="L89">
        <f>IF(OR($E89="",$E89="نامعتبر"),"",IF(Sync!$W86="",0,Sync!$W86))</f>
        <v/>
      </c>
      <c r="M89">
        <f>IF(OR($E89="",$E89="نامعتبر"),"",IF(Sync!$X86="",0,Sync!$X86))</f>
        <v/>
      </c>
      <c r="N89">
        <f>IF(OR($E89="",$E89="نامعتبر"),"",IF(AND($J89="هزینه",$K89&lt;&gt;""),1,0))</f>
        <v/>
      </c>
      <c r="O89">
        <f>IF($N89=0,"",LEFT($E89,4)&amp;MID($E89,6,2)&amp;RIGHT($E89,2)&amp;$F89&amp;"|"&amp;"1"&amp;RIGHT("00000"&amp;81,5))</f>
        <v/>
      </c>
      <c r="P89">
        <f>IF($O89="","",COUNTIFS(ExpSub,$K89,ExpKey,"&lt;"&amp;$O89)+1)</f>
        <v/>
      </c>
      <c r="Q89">
        <f>IF($P89="","",$K89&amp;"|"&amp;RIGHT("000000"&amp;$P89,6))</f>
        <v/>
      </c>
    </row>
    <row r="90">
      <c r="A90">
        <f>IF(Sync!$P87="","",Sync!$P87)</f>
        <v/>
      </c>
      <c r="B90">
        <f>IF($A90="","",IF(ISNUMBER($A90),IF(AND($A90&gt;=10000101,$A90&lt;=99991231),INT($A90/10000),""),IFERROR(VALUE(TRIM(LEFT($A90,FIND("/",$A90)-1))),"")))</f>
        <v/>
      </c>
      <c r="C90">
        <f>IF(OR($A90="",$B90=""),"",IF(ISNUMBER($A90),INT(MOD($A90,10000)/100),IFERROR(VALUE(TRIM(LEFT(MID($A90,FIND("/",$A90)+1,20),FIND("/",MID($A90,FIND("/",$A90)+1,20))-1))),"")))</f>
        <v/>
      </c>
      <c r="D90">
        <f>IF(OR($A90="",$B90=""),"",IF(ISNUMBER($A90),MOD($A90,100),IFERROR(VALUE(TRIM(MID(MID($A90,FIND("/",$A90)+1,20),FIND("/",MID($A90,FIND("/",$A90)+1,20))+1,20))),"")))</f>
        <v/>
      </c>
      <c r="E90">
        <f>IF($A90="","",IF(OR($B90="",$C90="",$D90="",$B90&lt;1300,$B90&gt;1500,$C90&lt;1,$C90&gt;12,$D90&lt;1,$D90&gt;31),"نامعتبر",RIGHT("0000"&amp;$B90,4)&amp;"/"&amp;RIGHT("00"&amp;$C90,2)&amp;"/"&amp;RIGHT("00"&amp;$D90,2)))</f>
        <v/>
      </c>
      <c r="F90">
        <f>IF(OR($E90="",$E90="نامعتبر"),"",IF(Sync!$Q87="","0000",IF(AND(ISNUMBER(Sync!$Q87),Sync!$Q87&gt;=0,Sync!$Q87&lt;1),RIGHT("00"&amp;HOUR(Sync!$Q87),2)&amp;RIGHT("00"&amp;MINUTE(Sync!$Q87),2),IFERROR(RIGHT("00"&amp;VALUE(LEFT(Sync!$Q87,FIND(":",Sync!$Q87)-1)),2)&amp;RIGHT("00"&amp;VALUE(MID(Sync!$Q87,FIND(":",Sync!$Q87)+1,2)),2),"0000"))))</f>
        <v/>
      </c>
      <c r="G90">
        <f>IF(OR($E90="",$E90="نامعتبر"),"",IF(Sync!$S87="","",Sync!$S87))</f>
        <v/>
      </c>
      <c r="H90">
        <f>IF(OR($E90="",$E90="نامعتبر"),"",IF(Sync!$R87="","",Sync!$R87))</f>
        <v/>
      </c>
      <c r="I90">
        <f>IF(OR($E90="",$E90="نامعتبر"),"",IF(Sync!$T87="","",Sync!$T87))</f>
        <v/>
      </c>
      <c r="J90">
        <f>IF(OR($E90="",$E90="نامعتبر"),"",IF(Sync!$U87="","",Sync!$U87))</f>
        <v/>
      </c>
      <c r="K90">
        <f>IF(OR($E90="",$E90="نامعتبر"),"",IF(Sync!$V87="","",IFERROR(INDEX(SubCodes,MATCH(Sync!$V87,SubTitles,0)),Sync!$V87)))</f>
        <v/>
      </c>
      <c r="L90">
        <f>IF(OR($E90="",$E90="نامعتبر"),"",IF(Sync!$W87="",0,Sync!$W87))</f>
        <v/>
      </c>
      <c r="M90">
        <f>IF(OR($E90="",$E90="نامعتبر"),"",IF(Sync!$X87="",0,Sync!$X87))</f>
        <v/>
      </c>
      <c r="N90">
        <f>IF(OR($E90="",$E90="نامعتبر"),"",IF(AND($J90="هزینه",$K90&lt;&gt;""),1,0))</f>
        <v/>
      </c>
      <c r="O90">
        <f>IF($N90=0,"",LEFT($E90,4)&amp;MID($E90,6,2)&amp;RIGHT($E90,2)&amp;$F90&amp;"|"&amp;"1"&amp;RIGHT("00000"&amp;82,5))</f>
        <v/>
      </c>
      <c r="P90">
        <f>IF($O90="","",COUNTIFS(ExpSub,$K90,ExpKey,"&lt;"&amp;$O90)+1)</f>
        <v/>
      </c>
      <c r="Q90">
        <f>IF($P90="","",$K90&amp;"|"&amp;RIGHT("000000"&amp;$P90,6))</f>
        <v/>
      </c>
    </row>
    <row r="91">
      <c r="A91">
        <f>IF(Sync!$P88="","",Sync!$P88)</f>
        <v/>
      </c>
      <c r="B91">
        <f>IF($A91="","",IF(ISNUMBER($A91),IF(AND($A91&gt;=10000101,$A91&lt;=99991231),INT($A91/10000),""),IFERROR(VALUE(TRIM(LEFT($A91,FIND("/",$A91)-1))),"")))</f>
        <v/>
      </c>
      <c r="C91">
        <f>IF(OR($A91="",$B91=""),"",IF(ISNUMBER($A91),INT(MOD($A91,10000)/100),IFERROR(VALUE(TRIM(LEFT(MID($A91,FIND("/",$A91)+1,20),FIND("/",MID($A91,FIND("/",$A91)+1,20))-1))),"")))</f>
        <v/>
      </c>
      <c r="D91">
        <f>IF(OR($A91="",$B91=""),"",IF(ISNUMBER($A91),MOD($A91,100),IFERROR(VALUE(TRIM(MID(MID($A91,FIND("/",$A91)+1,20),FIND("/",MID($A91,FIND("/",$A91)+1,20))+1,20))),"")))</f>
        <v/>
      </c>
      <c r="E91">
        <f>IF($A91="","",IF(OR($B91="",$C91="",$D91="",$B91&lt;1300,$B91&gt;1500,$C91&lt;1,$C91&gt;12,$D91&lt;1,$D91&gt;31),"نامعتبر",RIGHT("0000"&amp;$B91,4)&amp;"/"&amp;RIGHT("00"&amp;$C91,2)&amp;"/"&amp;RIGHT("00"&amp;$D91,2)))</f>
        <v/>
      </c>
      <c r="F91">
        <f>IF(OR($E91="",$E91="نامعتبر"),"",IF(Sync!$Q88="","0000",IF(AND(ISNUMBER(Sync!$Q88),Sync!$Q88&gt;=0,Sync!$Q88&lt;1),RIGHT("00"&amp;HOUR(Sync!$Q88),2)&amp;RIGHT("00"&amp;MINUTE(Sync!$Q88),2),IFERROR(RIGHT("00"&amp;VALUE(LEFT(Sync!$Q88,FIND(":",Sync!$Q88)-1)),2)&amp;RIGHT("00"&amp;VALUE(MID(Sync!$Q88,FIND(":",Sync!$Q88)+1,2)),2),"0000"))))</f>
        <v/>
      </c>
      <c r="G91">
        <f>IF(OR($E91="",$E91="نامعتبر"),"",IF(Sync!$S88="","",Sync!$S88))</f>
        <v/>
      </c>
      <c r="H91">
        <f>IF(OR($E91="",$E91="نامعتبر"),"",IF(Sync!$R88="","",Sync!$R88))</f>
        <v/>
      </c>
      <c r="I91">
        <f>IF(OR($E91="",$E91="نامعتبر"),"",IF(Sync!$T88="","",Sync!$T88))</f>
        <v/>
      </c>
      <c r="J91">
        <f>IF(OR($E91="",$E91="نامعتبر"),"",IF(Sync!$U88="","",Sync!$U88))</f>
        <v/>
      </c>
      <c r="K91">
        <f>IF(OR($E91="",$E91="نامعتبر"),"",IF(Sync!$V88="","",IFERROR(INDEX(SubCodes,MATCH(Sync!$V88,SubTitles,0)),Sync!$V88)))</f>
        <v/>
      </c>
      <c r="L91">
        <f>IF(OR($E91="",$E91="نامعتبر"),"",IF(Sync!$W88="",0,Sync!$W88))</f>
        <v/>
      </c>
      <c r="M91">
        <f>IF(OR($E91="",$E91="نامعتبر"),"",IF(Sync!$X88="",0,Sync!$X88))</f>
        <v/>
      </c>
      <c r="N91">
        <f>IF(OR($E91="",$E91="نامعتبر"),"",IF(AND($J91="هزینه",$K91&lt;&gt;""),1,0))</f>
        <v/>
      </c>
      <c r="O91">
        <f>IF($N91=0,"",LEFT($E91,4)&amp;MID($E91,6,2)&amp;RIGHT($E91,2)&amp;$F91&amp;"|"&amp;"1"&amp;RIGHT("00000"&amp;83,5))</f>
        <v/>
      </c>
      <c r="P91">
        <f>IF($O91="","",COUNTIFS(ExpSub,$K91,ExpKey,"&lt;"&amp;$O91)+1)</f>
        <v/>
      </c>
      <c r="Q91">
        <f>IF($P91="","",$K91&amp;"|"&amp;RIGHT("000000"&amp;$P91,6))</f>
        <v/>
      </c>
    </row>
    <row r="92">
      <c r="A92">
        <f>IF(Sync!$P89="","",Sync!$P89)</f>
        <v/>
      </c>
      <c r="B92">
        <f>IF($A92="","",IF(ISNUMBER($A92),IF(AND($A92&gt;=10000101,$A92&lt;=99991231),INT($A92/10000),""),IFERROR(VALUE(TRIM(LEFT($A92,FIND("/",$A92)-1))),"")))</f>
        <v/>
      </c>
      <c r="C92">
        <f>IF(OR($A92="",$B92=""),"",IF(ISNUMBER($A92),INT(MOD($A92,10000)/100),IFERROR(VALUE(TRIM(LEFT(MID($A92,FIND("/",$A92)+1,20),FIND("/",MID($A92,FIND("/",$A92)+1,20))-1))),"")))</f>
        <v/>
      </c>
      <c r="D92">
        <f>IF(OR($A92="",$B92=""),"",IF(ISNUMBER($A92),MOD($A92,100),IFERROR(VALUE(TRIM(MID(MID($A92,FIND("/",$A92)+1,20),FIND("/",MID($A92,FIND("/",$A92)+1,20))+1,20))),"")))</f>
        <v/>
      </c>
      <c r="E92">
        <f>IF($A92="","",IF(OR($B92="",$C92="",$D92="",$B92&lt;1300,$B92&gt;1500,$C92&lt;1,$C92&gt;12,$D92&lt;1,$D92&gt;31),"نامعتبر",RIGHT("0000"&amp;$B92,4)&amp;"/"&amp;RIGHT("00"&amp;$C92,2)&amp;"/"&amp;RIGHT("00"&amp;$D92,2)))</f>
        <v/>
      </c>
      <c r="F92">
        <f>IF(OR($E92="",$E92="نامعتبر"),"",IF(Sync!$Q89="","0000",IF(AND(ISNUMBER(Sync!$Q89),Sync!$Q89&gt;=0,Sync!$Q89&lt;1),RIGHT("00"&amp;HOUR(Sync!$Q89),2)&amp;RIGHT("00"&amp;MINUTE(Sync!$Q89),2),IFERROR(RIGHT("00"&amp;VALUE(LEFT(Sync!$Q89,FIND(":",Sync!$Q89)-1)),2)&amp;RIGHT("00"&amp;VALUE(MID(Sync!$Q89,FIND(":",Sync!$Q89)+1,2)),2),"0000"))))</f>
        <v/>
      </c>
      <c r="G92">
        <f>IF(OR($E92="",$E92="نامعتبر"),"",IF(Sync!$S89="","",Sync!$S89))</f>
        <v/>
      </c>
      <c r="H92">
        <f>IF(OR($E92="",$E92="نامعتبر"),"",IF(Sync!$R89="","",Sync!$R89))</f>
        <v/>
      </c>
      <c r="I92">
        <f>IF(OR($E92="",$E92="نامعتبر"),"",IF(Sync!$T89="","",Sync!$T89))</f>
        <v/>
      </c>
      <c r="J92">
        <f>IF(OR($E92="",$E92="نامعتبر"),"",IF(Sync!$U89="","",Sync!$U89))</f>
        <v/>
      </c>
      <c r="K92">
        <f>IF(OR($E92="",$E92="نامعتبر"),"",IF(Sync!$V89="","",IFERROR(INDEX(SubCodes,MATCH(Sync!$V89,SubTitles,0)),Sync!$V89)))</f>
        <v/>
      </c>
      <c r="L92">
        <f>IF(OR($E92="",$E92="نامعتبر"),"",IF(Sync!$W89="",0,Sync!$W89))</f>
        <v/>
      </c>
      <c r="M92">
        <f>IF(OR($E92="",$E92="نامعتبر"),"",IF(Sync!$X89="",0,Sync!$X89))</f>
        <v/>
      </c>
      <c r="N92">
        <f>IF(OR($E92="",$E92="نامعتبر"),"",IF(AND($J92="هزینه",$K92&lt;&gt;""),1,0))</f>
        <v/>
      </c>
      <c r="O92">
        <f>IF($N92=0,"",LEFT($E92,4)&amp;MID($E92,6,2)&amp;RIGHT($E92,2)&amp;$F92&amp;"|"&amp;"1"&amp;RIGHT("00000"&amp;84,5))</f>
        <v/>
      </c>
      <c r="P92">
        <f>IF($O92="","",COUNTIFS(ExpSub,$K92,ExpKey,"&lt;"&amp;$O92)+1)</f>
        <v/>
      </c>
      <c r="Q92">
        <f>IF($P92="","",$K92&amp;"|"&amp;RIGHT("000000"&amp;$P92,6))</f>
        <v/>
      </c>
    </row>
    <row r="93">
      <c r="A93">
        <f>IF(Sync!$P90="","",Sync!$P90)</f>
        <v/>
      </c>
      <c r="B93">
        <f>IF($A93="","",IF(ISNUMBER($A93),IF(AND($A93&gt;=10000101,$A93&lt;=99991231),INT($A93/10000),""),IFERROR(VALUE(TRIM(LEFT($A93,FIND("/",$A93)-1))),"")))</f>
        <v/>
      </c>
      <c r="C93">
        <f>IF(OR($A93="",$B93=""),"",IF(ISNUMBER($A93),INT(MOD($A93,10000)/100),IFERROR(VALUE(TRIM(LEFT(MID($A93,FIND("/",$A93)+1,20),FIND("/",MID($A93,FIND("/",$A93)+1,20))-1))),"")))</f>
        <v/>
      </c>
      <c r="D93">
        <f>IF(OR($A93="",$B93=""),"",IF(ISNUMBER($A93),MOD($A93,100),IFERROR(VALUE(TRIM(MID(MID($A93,FIND("/",$A93)+1,20),FIND("/",MID($A93,FIND("/",$A93)+1,20))+1,20))),"")))</f>
        <v/>
      </c>
      <c r="E93">
        <f>IF($A93="","",IF(OR($B93="",$C93="",$D93="",$B93&lt;1300,$B93&gt;1500,$C93&lt;1,$C93&gt;12,$D93&lt;1,$D93&gt;31),"نامعتبر",RIGHT("0000"&amp;$B93,4)&amp;"/"&amp;RIGHT("00"&amp;$C93,2)&amp;"/"&amp;RIGHT("00"&amp;$D93,2)))</f>
        <v/>
      </c>
      <c r="F93">
        <f>IF(OR($E93="",$E93="نامعتبر"),"",IF(Sync!$Q90="","0000",IF(AND(ISNUMBER(Sync!$Q90),Sync!$Q90&gt;=0,Sync!$Q90&lt;1),RIGHT("00"&amp;HOUR(Sync!$Q90),2)&amp;RIGHT("00"&amp;MINUTE(Sync!$Q90),2),IFERROR(RIGHT("00"&amp;VALUE(LEFT(Sync!$Q90,FIND(":",Sync!$Q90)-1)),2)&amp;RIGHT("00"&amp;VALUE(MID(Sync!$Q90,FIND(":",Sync!$Q90)+1,2)),2),"0000"))))</f>
        <v/>
      </c>
      <c r="G93">
        <f>IF(OR($E93="",$E93="نامعتبر"),"",IF(Sync!$S90="","",Sync!$S90))</f>
        <v/>
      </c>
      <c r="H93">
        <f>IF(OR($E93="",$E93="نامعتبر"),"",IF(Sync!$R90="","",Sync!$R90))</f>
        <v/>
      </c>
      <c r="I93">
        <f>IF(OR($E93="",$E93="نامعتبر"),"",IF(Sync!$T90="","",Sync!$T90))</f>
        <v/>
      </c>
      <c r="J93">
        <f>IF(OR($E93="",$E93="نامعتبر"),"",IF(Sync!$U90="","",Sync!$U90))</f>
        <v/>
      </c>
      <c r="K93">
        <f>IF(OR($E93="",$E93="نامعتبر"),"",IF(Sync!$V90="","",IFERROR(INDEX(SubCodes,MATCH(Sync!$V90,SubTitles,0)),Sync!$V90)))</f>
        <v/>
      </c>
      <c r="L93">
        <f>IF(OR($E93="",$E93="نامعتبر"),"",IF(Sync!$W90="",0,Sync!$W90))</f>
        <v/>
      </c>
      <c r="M93">
        <f>IF(OR($E93="",$E93="نامعتبر"),"",IF(Sync!$X90="",0,Sync!$X90))</f>
        <v/>
      </c>
      <c r="N93">
        <f>IF(OR($E93="",$E93="نامعتبر"),"",IF(AND($J93="هزینه",$K93&lt;&gt;""),1,0))</f>
        <v/>
      </c>
      <c r="O93">
        <f>IF($N93=0,"",LEFT($E93,4)&amp;MID($E93,6,2)&amp;RIGHT($E93,2)&amp;$F93&amp;"|"&amp;"1"&amp;RIGHT("00000"&amp;85,5))</f>
        <v/>
      </c>
      <c r="P93">
        <f>IF($O93="","",COUNTIFS(ExpSub,$K93,ExpKey,"&lt;"&amp;$O93)+1)</f>
        <v/>
      </c>
      <c r="Q93">
        <f>IF($P93="","",$K93&amp;"|"&amp;RIGHT("000000"&amp;$P93,6))</f>
        <v/>
      </c>
    </row>
    <row r="94">
      <c r="A94">
        <f>IF(Sync!$P91="","",Sync!$P91)</f>
        <v/>
      </c>
      <c r="B94">
        <f>IF($A94="","",IF(ISNUMBER($A94),IF(AND($A94&gt;=10000101,$A94&lt;=99991231),INT($A94/10000),""),IFERROR(VALUE(TRIM(LEFT($A94,FIND("/",$A94)-1))),"")))</f>
        <v/>
      </c>
      <c r="C94">
        <f>IF(OR($A94="",$B94=""),"",IF(ISNUMBER($A94),INT(MOD($A94,10000)/100),IFERROR(VALUE(TRIM(LEFT(MID($A94,FIND("/",$A94)+1,20),FIND("/",MID($A94,FIND("/",$A94)+1,20))-1))),"")))</f>
        <v/>
      </c>
      <c r="D94">
        <f>IF(OR($A94="",$B94=""),"",IF(ISNUMBER($A94),MOD($A94,100),IFERROR(VALUE(TRIM(MID(MID($A94,FIND("/",$A94)+1,20),FIND("/",MID($A94,FIND("/",$A94)+1,20))+1,20))),"")))</f>
        <v/>
      </c>
      <c r="E94">
        <f>IF($A94="","",IF(OR($B94="",$C94="",$D94="",$B94&lt;1300,$B94&gt;1500,$C94&lt;1,$C94&gt;12,$D94&lt;1,$D94&gt;31),"نامعتبر",RIGHT("0000"&amp;$B94,4)&amp;"/"&amp;RIGHT("00"&amp;$C94,2)&amp;"/"&amp;RIGHT("00"&amp;$D94,2)))</f>
        <v/>
      </c>
      <c r="F94">
        <f>IF(OR($E94="",$E94="نامعتبر"),"",IF(Sync!$Q91="","0000",IF(AND(ISNUMBER(Sync!$Q91),Sync!$Q91&gt;=0,Sync!$Q91&lt;1),RIGHT("00"&amp;HOUR(Sync!$Q91),2)&amp;RIGHT("00"&amp;MINUTE(Sync!$Q91),2),IFERROR(RIGHT("00"&amp;VALUE(LEFT(Sync!$Q91,FIND(":",Sync!$Q91)-1)),2)&amp;RIGHT("00"&amp;VALUE(MID(Sync!$Q91,FIND(":",Sync!$Q91)+1,2)),2),"0000"))))</f>
        <v/>
      </c>
      <c r="G94">
        <f>IF(OR($E94="",$E94="نامعتبر"),"",IF(Sync!$S91="","",Sync!$S91))</f>
        <v/>
      </c>
      <c r="H94">
        <f>IF(OR($E94="",$E94="نامعتبر"),"",IF(Sync!$R91="","",Sync!$R91))</f>
        <v/>
      </c>
      <c r="I94">
        <f>IF(OR($E94="",$E94="نامعتبر"),"",IF(Sync!$T91="","",Sync!$T91))</f>
        <v/>
      </c>
      <c r="J94">
        <f>IF(OR($E94="",$E94="نامعتبر"),"",IF(Sync!$U91="","",Sync!$U91))</f>
        <v/>
      </c>
      <c r="K94">
        <f>IF(OR($E94="",$E94="نامعتبر"),"",IF(Sync!$V91="","",IFERROR(INDEX(SubCodes,MATCH(Sync!$V91,SubTitles,0)),Sync!$V91)))</f>
        <v/>
      </c>
      <c r="L94">
        <f>IF(OR($E94="",$E94="نامعتبر"),"",IF(Sync!$W91="",0,Sync!$W91))</f>
        <v/>
      </c>
      <c r="M94">
        <f>IF(OR($E94="",$E94="نامعتبر"),"",IF(Sync!$X91="",0,Sync!$X91))</f>
        <v/>
      </c>
      <c r="N94">
        <f>IF(OR($E94="",$E94="نامعتبر"),"",IF(AND($J94="هزینه",$K94&lt;&gt;""),1,0))</f>
        <v/>
      </c>
      <c r="O94">
        <f>IF($N94=0,"",LEFT($E94,4)&amp;MID($E94,6,2)&amp;RIGHT($E94,2)&amp;$F94&amp;"|"&amp;"1"&amp;RIGHT("00000"&amp;86,5))</f>
        <v/>
      </c>
      <c r="P94">
        <f>IF($O94="","",COUNTIFS(ExpSub,$K94,ExpKey,"&lt;"&amp;$O94)+1)</f>
        <v/>
      </c>
      <c r="Q94">
        <f>IF($P94="","",$K94&amp;"|"&amp;RIGHT("000000"&amp;$P94,6))</f>
        <v/>
      </c>
    </row>
    <row r="95">
      <c r="A95">
        <f>IF(Sync!$P92="","",Sync!$P92)</f>
        <v/>
      </c>
      <c r="B95">
        <f>IF($A95="","",IF(ISNUMBER($A95),IF(AND($A95&gt;=10000101,$A95&lt;=99991231),INT($A95/10000),""),IFERROR(VALUE(TRIM(LEFT($A95,FIND("/",$A95)-1))),"")))</f>
        <v/>
      </c>
      <c r="C95">
        <f>IF(OR($A95="",$B95=""),"",IF(ISNUMBER($A95),INT(MOD($A95,10000)/100),IFERROR(VALUE(TRIM(LEFT(MID($A95,FIND("/",$A95)+1,20),FIND("/",MID($A95,FIND("/",$A95)+1,20))-1))),"")))</f>
        <v/>
      </c>
      <c r="D95">
        <f>IF(OR($A95="",$B95=""),"",IF(ISNUMBER($A95),MOD($A95,100),IFERROR(VALUE(TRIM(MID(MID($A95,FIND("/",$A95)+1,20),FIND("/",MID($A95,FIND("/",$A95)+1,20))+1,20))),"")))</f>
        <v/>
      </c>
      <c r="E95">
        <f>IF($A95="","",IF(OR($B95="",$C95="",$D95="",$B95&lt;1300,$B95&gt;1500,$C95&lt;1,$C95&gt;12,$D95&lt;1,$D95&gt;31),"نامعتبر",RIGHT("0000"&amp;$B95,4)&amp;"/"&amp;RIGHT("00"&amp;$C95,2)&amp;"/"&amp;RIGHT("00"&amp;$D95,2)))</f>
        <v/>
      </c>
      <c r="F95">
        <f>IF(OR($E95="",$E95="نامعتبر"),"",IF(Sync!$Q92="","0000",IF(AND(ISNUMBER(Sync!$Q92),Sync!$Q92&gt;=0,Sync!$Q92&lt;1),RIGHT("00"&amp;HOUR(Sync!$Q92),2)&amp;RIGHT("00"&amp;MINUTE(Sync!$Q92),2),IFERROR(RIGHT("00"&amp;VALUE(LEFT(Sync!$Q92,FIND(":",Sync!$Q92)-1)),2)&amp;RIGHT("00"&amp;VALUE(MID(Sync!$Q92,FIND(":",Sync!$Q92)+1,2)),2),"0000"))))</f>
        <v/>
      </c>
      <c r="G95">
        <f>IF(OR($E95="",$E95="نامعتبر"),"",IF(Sync!$S92="","",Sync!$S92))</f>
        <v/>
      </c>
      <c r="H95">
        <f>IF(OR($E95="",$E95="نامعتبر"),"",IF(Sync!$R92="","",Sync!$R92))</f>
        <v/>
      </c>
      <c r="I95">
        <f>IF(OR($E95="",$E95="نامعتبر"),"",IF(Sync!$T92="","",Sync!$T92))</f>
        <v/>
      </c>
      <c r="J95">
        <f>IF(OR($E95="",$E95="نامعتبر"),"",IF(Sync!$U92="","",Sync!$U92))</f>
        <v/>
      </c>
      <c r="K95">
        <f>IF(OR($E95="",$E95="نامعتبر"),"",IF(Sync!$V92="","",IFERROR(INDEX(SubCodes,MATCH(Sync!$V92,SubTitles,0)),Sync!$V92)))</f>
        <v/>
      </c>
      <c r="L95">
        <f>IF(OR($E95="",$E95="نامعتبر"),"",IF(Sync!$W92="",0,Sync!$W92))</f>
        <v/>
      </c>
      <c r="M95">
        <f>IF(OR($E95="",$E95="نامعتبر"),"",IF(Sync!$X92="",0,Sync!$X92))</f>
        <v/>
      </c>
      <c r="N95">
        <f>IF(OR($E95="",$E95="نامعتبر"),"",IF(AND($J95="هزینه",$K95&lt;&gt;""),1,0))</f>
        <v/>
      </c>
      <c r="O95">
        <f>IF($N95=0,"",LEFT($E95,4)&amp;MID($E95,6,2)&amp;RIGHT($E95,2)&amp;$F95&amp;"|"&amp;"1"&amp;RIGHT("00000"&amp;87,5))</f>
        <v/>
      </c>
      <c r="P95">
        <f>IF($O95="","",COUNTIFS(ExpSub,$K95,ExpKey,"&lt;"&amp;$O95)+1)</f>
        <v/>
      </c>
      <c r="Q95">
        <f>IF($P95="","",$K95&amp;"|"&amp;RIGHT("000000"&amp;$P95,6))</f>
        <v/>
      </c>
    </row>
    <row r="96">
      <c r="A96">
        <f>IF(Sync!$P93="","",Sync!$P93)</f>
        <v/>
      </c>
      <c r="B96">
        <f>IF($A96="","",IF(ISNUMBER($A96),IF(AND($A96&gt;=10000101,$A96&lt;=99991231),INT($A96/10000),""),IFERROR(VALUE(TRIM(LEFT($A96,FIND("/",$A96)-1))),"")))</f>
        <v/>
      </c>
      <c r="C96">
        <f>IF(OR($A96="",$B96=""),"",IF(ISNUMBER($A96),INT(MOD($A96,10000)/100),IFERROR(VALUE(TRIM(LEFT(MID($A96,FIND("/",$A96)+1,20),FIND("/",MID($A96,FIND("/",$A96)+1,20))-1))),"")))</f>
        <v/>
      </c>
      <c r="D96">
        <f>IF(OR($A96="",$B96=""),"",IF(ISNUMBER($A96),MOD($A96,100),IFERROR(VALUE(TRIM(MID(MID($A96,FIND("/",$A96)+1,20),FIND("/",MID($A96,FIND("/",$A96)+1,20))+1,20))),"")))</f>
        <v/>
      </c>
      <c r="E96">
        <f>IF($A96="","",IF(OR($B96="",$C96="",$D96="",$B96&lt;1300,$B96&gt;1500,$C96&lt;1,$C96&gt;12,$D96&lt;1,$D96&gt;31),"نامعتبر",RIGHT("0000"&amp;$B96,4)&amp;"/"&amp;RIGHT("00"&amp;$C96,2)&amp;"/"&amp;RIGHT("00"&amp;$D96,2)))</f>
        <v/>
      </c>
      <c r="F96">
        <f>IF(OR($E96="",$E96="نامعتبر"),"",IF(Sync!$Q93="","0000",IF(AND(ISNUMBER(Sync!$Q93),Sync!$Q93&gt;=0,Sync!$Q93&lt;1),RIGHT("00"&amp;HOUR(Sync!$Q93),2)&amp;RIGHT("00"&amp;MINUTE(Sync!$Q93),2),IFERROR(RIGHT("00"&amp;VALUE(LEFT(Sync!$Q93,FIND(":",Sync!$Q93)-1)),2)&amp;RIGHT("00"&amp;VALUE(MID(Sync!$Q93,FIND(":",Sync!$Q93)+1,2)),2),"0000"))))</f>
        <v/>
      </c>
      <c r="G96">
        <f>IF(OR($E96="",$E96="نامعتبر"),"",IF(Sync!$S93="","",Sync!$S93))</f>
        <v/>
      </c>
      <c r="H96">
        <f>IF(OR($E96="",$E96="نامعتبر"),"",IF(Sync!$R93="","",Sync!$R93))</f>
        <v/>
      </c>
      <c r="I96">
        <f>IF(OR($E96="",$E96="نامعتبر"),"",IF(Sync!$T93="","",Sync!$T93))</f>
        <v/>
      </c>
      <c r="J96">
        <f>IF(OR($E96="",$E96="نامعتبر"),"",IF(Sync!$U93="","",Sync!$U93))</f>
        <v/>
      </c>
      <c r="K96">
        <f>IF(OR($E96="",$E96="نامعتبر"),"",IF(Sync!$V93="","",IFERROR(INDEX(SubCodes,MATCH(Sync!$V93,SubTitles,0)),Sync!$V93)))</f>
        <v/>
      </c>
      <c r="L96">
        <f>IF(OR($E96="",$E96="نامعتبر"),"",IF(Sync!$W93="",0,Sync!$W93))</f>
        <v/>
      </c>
      <c r="M96">
        <f>IF(OR($E96="",$E96="نامعتبر"),"",IF(Sync!$X93="",0,Sync!$X93))</f>
        <v/>
      </c>
      <c r="N96">
        <f>IF(OR($E96="",$E96="نامعتبر"),"",IF(AND($J96="هزینه",$K96&lt;&gt;""),1,0))</f>
        <v/>
      </c>
      <c r="O96">
        <f>IF($N96=0,"",LEFT($E96,4)&amp;MID($E96,6,2)&amp;RIGHT($E96,2)&amp;$F96&amp;"|"&amp;"1"&amp;RIGHT("00000"&amp;88,5))</f>
        <v/>
      </c>
      <c r="P96">
        <f>IF($O96="","",COUNTIFS(ExpSub,$K96,ExpKey,"&lt;"&amp;$O96)+1)</f>
        <v/>
      </c>
      <c r="Q96">
        <f>IF($P96="","",$K96&amp;"|"&amp;RIGHT("000000"&amp;$P96,6))</f>
        <v/>
      </c>
    </row>
    <row r="97">
      <c r="A97">
        <f>IF(Sync!$P94="","",Sync!$P94)</f>
        <v/>
      </c>
      <c r="B97">
        <f>IF($A97="","",IF(ISNUMBER($A97),IF(AND($A97&gt;=10000101,$A97&lt;=99991231),INT($A97/10000),""),IFERROR(VALUE(TRIM(LEFT($A97,FIND("/",$A97)-1))),"")))</f>
        <v/>
      </c>
      <c r="C97">
        <f>IF(OR($A97="",$B97=""),"",IF(ISNUMBER($A97),INT(MOD($A97,10000)/100),IFERROR(VALUE(TRIM(LEFT(MID($A97,FIND("/",$A97)+1,20),FIND("/",MID($A97,FIND("/",$A97)+1,20))-1))),"")))</f>
        <v/>
      </c>
      <c r="D97">
        <f>IF(OR($A97="",$B97=""),"",IF(ISNUMBER($A97),MOD($A97,100),IFERROR(VALUE(TRIM(MID(MID($A97,FIND("/",$A97)+1,20),FIND("/",MID($A97,FIND("/",$A97)+1,20))+1,20))),"")))</f>
        <v/>
      </c>
      <c r="E97">
        <f>IF($A97="","",IF(OR($B97="",$C97="",$D97="",$B97&lt;1300,$B97&gt;1500,$C97&lt;1,$C97&gt;12,$D97&lt;1,$D97&gt;31),"نامعتبر",RIGHT("0000"&amp;$B97,4)&amp;"/"&amp;RIGHT("00"&amp;$C97,2)&amp;"/"&amp;RIGHT("00"&amp;$D97,2)))</f>
        <v/>
      </c>
      <c r="F97">
        <f>IF(OR($E97="",$E97="نامعتبر"),"",IF(Sync!$Q94="","0000",IF(AND(ISNUMBER(Sync!$Q94),Sync!$Q94&gt;=0,Sync!$Q94&lt;1),RIGHT("00"&amp;HOUR(Sync!$Q94),2)&amp;RIGHT("00"&amp;MINUTE(Sync!$Q94),2),IFERROR(RIGHT("00"&amp;VALUE(LEFT(Sync!$Q94,FIND(":",Sync!$Q94)-1)),2)&amp;RIGHT("00"&amp;VALUE(MID(Sync!$Q94,FIND(":",Sync!$Q94)+1,2)),2),"0000"))))</f>
        <v/>
      </c>
      <c r="G97">
        <f>IF(OR($E97="",$E97="نامعتبر"),"",IF(Sync!$S94="","",Sync!$S94))</f>
        <v/>
      </c>
      <c r="H97">
        <f>IF(OR($E97="",$E97="نامعتبر"),"",IF(Sync!$R94="","",Sync!$R94))</f>
        <v/>
      </c>
      <c r="I97">
        <f>IF(OR($E97="",$E97="نامعتبر"),"",IF(Sync!$T94="","",Sync!$T94))</f>
        <v/>
      </c>
      <c r="J97">
        <f>IF(OR($E97="",$E97="نامعتبر"),"",IF(Sync!$U94="","",Sync!$U94))</f>
        <v/>
      </c>
      <c r="K97">
        <f>IF(OR($E97="",$E97="نامعتبر"),"",IF(Sync!$V94="","",IFERROR(INDEX(SubCodes,MATCH(Sync!$V94,SubTitles,0)),Sync!$V94)))</f>
        <v/>
      </c>
      <c r="L97">
        <f>IF(OR($E97="",$E97="نامعتبر"),"",IF(Sync!$W94="",0,Sync!$W94))</f>
        <v/>
      </c>
      <c r="M97">
        <f>IF(OR($E97="",$E97="نامعتبر"),"",IF(Sync!$X94="",0,Sync!$X94))</f>
        <v/>
      </c>
      <c r="N97">
        <f>IF(OR($E97="",$E97="نامعتبر"),"",IF(AND($J97="هزینه",$K97&lt;&gt;""),1,0))</f>
        <v/>
      </c>
      <c r="O97">
        <f>IF($N97=0,"",LEFT($E97,4)&amp;MID($E97,6,2)&amp;RIGHT($E97,2)&amp;$F97&amp;"|"&amp;"1"&amp;RIGHT("00000"&amp;89,5))</f>
        <v/>
      </c>
      <c r="P97">
        <f>IF($O97="","",COUNTIFS(ExpSub,$K97,ExpKey,"&lt;"&amp;$O97)+1)</f>
        <v/>
      </c>
      <c r="Q97">
        <f>IF($P97="","",$K97&amp;"|"&amp;RIGHT("000000"&amp;$P97,6))</f>
        <v/>
      </c>
    </row>
    <row r="98">
      <c r="A98">
        <f>IF(Sync!$P95="","",Sync!$P95)</f>
        <v/>
      </c>
      <c r="B98">
        <f>IF($A98="","",IF(ISNUMBER($A98),IF(AND($A98&gt;=10000101,$A98&lt;=99991231),INT($A98/10000),""),IFERROR(VALUE(TRIM(LEFT($A98,FIND("/",$A98)-1))),"")))</f>
        <v/>
      </c>
      <c r="C98">
        <f>IF(OR($A98="",$B98=""),"",IF(ISNUMBER($A98),INT(MOD($A98,10000)/100),IFERROR(VALUE(TRIM(LEFT(MID($A98,FIND("/",$A98)+1,20),FIND("/",MID($A98,FIND("/",$A98)+1,20))-1))),"")))</f>
        <v/>
      </c>
      <c r="D98">
        <f>IF(OR($A98="",$B98=""),"",IF(ISNUMBER($A98),MOD($A98,100),IFERROR(VALUE(TRIM(MID(MID($A98,FIND("/",$A98)+1,20),FIND("/",MID($A98,FIND("/",$A98)+1,20))+1,20))),"")))</f>
        <v/>
      </c>
      <c r="E98">
        <f>IF($A98="","",IF(OR($B98="",$C98="",$D98="",$B98&lt;1300,$B98&gt;1500,$C98&lt;1,$C98&gt;12,$D98&lt;1,$D98&gt;31),"نامعتبر",RIGHT("0000"&amp;$B98,4)&amp;"/"&amp;RIGHT("00"&amp;$C98,2)&amp;"/"&amp;RIGHT("00"&amp;$D98,2)))</f>
        <v/>
      </c>
      <c r="F98">
        <f>IF(OR($E98="",$E98="نامعتبر"),"",IF(Sync!$Q95="","0000",IF(AND(ISNUMBER(Sync!$Q95),Sync!$Q95&gt;=0,Sync!$Q95&lt;1),RIGHT("00"&amp;HOUR(Sync!$Q95),2)&amp;RIGHT("00"&amp;MINUTE(Sync!$Q95),2),IFERROR(RIGHT("00"&amp;VALUE(LEFT(Sync!$Q95,FIND(":",Sync!$Q95)-1)),2)&amp;RIGHT("00"&amp;VALUE(MID(Sync!$Q95,FIND(":",Sync!$Q95)+1,2)),2),"0000"))))</f>
        <v/>
      </c>
      <c r="G98">
        <f>IF(OR($E98="",$E98="نامعتبر"),"",IF(Sync!$S95="","",Sync!$S95))</f>
        <v/>
      </c>
      <c r="H98">
        <f>IF(OR($E98="",$E98="نامعتبر"),"",IF(Sync!$R95="","",Sync!$R95))</f>
        <v/>
      </c>
      <c r="I98">
        <f>IF(OR($E98="",$E98="نامعتبر"),"",IF(Sync!$T95="","",Sync!$T95))</f>
        <v/>
      </c>
      <c r="J98">
        <f>IF(OR($E98="",$E98="نامعتبر"),"",IF(Sync!$U95="","",Sync!$U95))</f>
        <v/>
      </c>
      <c r="K98">
        <f>IF(OR($E98="",$E98="نامعتبر"),"",IF(Sync!$V95="","",IFERROR(INDEX(SubCodes,MATCH(Sync!$V95,SubTitles,0)),Sync!$V95)))</f>
        <v/>
      </c>
      <c r="L98">
        <f>IF(OR($E98="",$E98="نامعتبر"),"",IF(Sync!$W95="",0,Sync!$W95))</f>
        <v/>
      </c>
      <c r="M98">
        <f>IF(OR($E98="",$E98="نامعتبر"),"",IF(Sync!$X95="",0,Sync!$X95))</f>
        <v/>
      </c>
      <c r="N98">
        <f>IF(OR($E98="",$E98="نامعتبر"),"",IF(AND($J98="هزینه",$K98&lt;&gt;""),1,0))</f>
        <v/>
      </c>
      <c r="O98">
        <f>IF($N98=0,"",LEFT($E98,4)&amp;MID($E98,6,2)&amp;RIGHT($E98,2)&amp;$F98&amp;"|"&amp;"1"&amp;RIGHT("00000"&amp;90,5))</f>
        <v/>
      </c>
      <c r="P98">
        <f>IF($O98="","",COUNTIFS(ExpSub,$K98,ExpKey,"&lt;"&amp;$O98)+1)</f>
        <v/>
      </c>
      <c r="Q98">
        <f>IF($P98="","",$K98&amp;"|"&amp;RIGHT("000000"&amp;$P98,6))</f>
        <v/>
      </c>
    </row>
    <row r="99">
      <c r="A99">
        <f>IF(Sync!$P96="","",Sync!$P96)</f>
        <v/>
      </c>
      <c r="B99">
        <f>IF($A99="","",IF(ISNUMBER($A99),IF(AND($A99&gt;=10000101,$A99&lt;=99991231),INT($A99/10000),""),IFERROR(VALUE(TRIM(LEFT($A99,FIND("/",$A99)-1))),"")))</f>
        <v/>
      </c>
      <c r="C99">
        <f>IF(OR($A99="",$B99=""),"",IF(ISNUMBER($A99),INT(MOD($A99,10000)/100),IFERROR(VALUE(TRIM(LEFT(MID($A99,FIND("/",$A99)+1,20),FIND("/",MID($A99,FIND("/",$A99)+1,20))-1))),"")))</f>
        <v/>
      </c>
      <c r="D99">
        <f>IF(OR($A99="",$B99=""),"",IF(ISNUMBER($A99),MOD($A99,100),IFERROR(VALUE(TRIM(MID(MID($A99,FIND("/",$A99)+1,20),FIND("/",MID($A99,FIND("/",$A99)+1,20))+1,20))),"")))</f>
        <v/>
      </c>
      <c r="E99">
        <f>IF($A99="","",IF(OR($B99="",$C99="",$D99="",$B99&lt;1300,$B99&gt;1500,$C99&lt;1,$C99&gt;12,$D99&lt;1,$D99&gt;31),"نامعتبر",RIGHT("0000"&amp;$B99,4)&amp;"/"&amp;RIGHT("00"&amp;$C99,2)&amp;"/"&amp;RIGHT("00"&amp;$D99,2)))</f>
        <v/>
      </c>
      <c r="F99">
        <f>IF(OR($E99="",$E99="نامعتبر"),"",IF(Sync!$Q96="","0000",IF(AND(ISNUMBER(Sync!$Q96),Sync!$Q96&gt;=0,Sync!$Q96&lt;1),RIGHT("00"&amp;HOUR(Sync!$Q96),2)&amp;RIGHT("00"&amp;MINUTE(Sync!$Q96),2),IFERROR(RIGHT("00"&amp;VALUE(LEFT(Sync!$Q96,FIND(":",Sync!$Q96)-1)),2)&amp;RIGHT("00"&amp;VALUE(MID(Sync!$Q96,FIND(":",Sync!$Q96)+1,2)),2),"0000"))))</f>
        <v/>
      </c>
      <c r="G99">
        <f>IF(OR($E99="",$E99="نامعتبر"),"",IF(Sync!$S96="","",Sync!$S96))</f>
        <v/>
      </c>
      <c r="H99">
        <f>IF(OR($E99="",$E99="نامعتبر"),"",IF(Sync!$R96="","",Sync!$R96))</f>
        <v/>
      </c>
      <c r="I99">
        <f>IF(OR($E99="",$E99="نامعتبر"),"",IF(Sync!$T96="","",Sync!$T96))</f>
        <v/>
      </c>
      <c r="J99">
        <f>IF(OR($E99="",$E99="نامعتبر"),"",IF(Sync!$U96="","",Sync!$U96))</f>
        <v/>
      </c>
      <c r="K99">
        <f>IF(OR($E99="",$E99="نامعتبر"),"",IF(Sync!$V96="","",IFERROR(INDEX(SubCodes,MATCH(Sync!$V96,SubTitles,0)),Sync!$V96)))</f>
        <v/>
      </c>
      <c r="L99">
        <f>IF(OR($E99="",$E99="نامعتبر"),"",IF(Sync!$W96="",0,Sync!$W96))</f>
        <v/>
      </c>
      <c r="M99">
        <f>IF(OR($E99="",$E99="نامعتبر"),"",IF(Sync!$X96="",0,Sync!$X96))</f>
        <v/>
      </c>
      <c r="N99">
        <f>IF(OR($E99="",$E99="نامعتبر"),"",IF(AND($J99="هزینه",$K99&lt;&gt;""),1,0))</f>
        <v/>
      </c>
      <c r="O99">
        <f>IF($N99=0,"",LEFT($E99,4)&amp;MID($E99,6,2)&amp;RIGHT($E99,2)&amp;$F99&amp;"|"&amp;"1"&amp;RIGHT("00000"&amp;91,5))</f>
        <v/>
      </c>
      <c r="P99">
        <f>IF($O99="","",COUNTIFS(ExpSub,$K99,ExpKey,"&lt;"&amp;$O99)+1)</f>
        <v/>
      </c>
      <c r="Q99">
        <f>IF($P99="","",$K99&amp;"|"&amp;RIGHT("000000"&amp;$P99,6))</f>
        <v/>
      </c>
    </row>
    <row r="100">
      <c r="A100">
        <f>IF(Sync!$P97="","",Sync!$P97)</f>
        <v/>
      </c>
      <c r="B100">
        <f>IF($A100="","",IF(ISNUMBER($A100),IF(AND($A100&gt;=10000101,$A100&lt;=99991231),INT($A100/10000),""),IFERROR(VALUE(TRIM(LEFT($A100,FIND("/",$A100)-1))),"")))</f>
        <v/>
      </c>
      <c r="C100">
        <f>IF(OR($A100="",$B100=""),"",IF(ISNUMBER($A100),INT(MOD($A100,10000)/100),IFERROR(VALUE(TRIM(LEFT(MID($A100,FIND("/",$A100)+1,20),FIND("/",MID($A100,FIND("/",$A100)+1,20))-1))),"")))</f>
        <v/>
      </c>
      <c r="D100">
        <f>IF(OR($A100="",$B100=""),"",IF(ISNUMBER($A100),MOD($A100,100),IFERROR(VALUE(TRIM(MID(MID($A100,FIND("/",$A100)+1,20),FIND("/",MID($A100,FIND("/",$A100)+1,20))+1,20))),"")))</f>
        <v/>
      </c>
      <c r="E100">
        <f>IF($A100="","",IF(OR($B100="",$C100="",$D100="",$B100&lt;1300,$B100&gt;1500,$C100&lt;1,$C100&gt;12,$D100&lt;1,$D100&gt;31),"نامعتبر",RIGHT("0000"&amp;$B100,4)&amp;"/"&amp;RIGHT("00"&amp;$C100,2)&amp;"/"&amp;RIGHT("00"&amp;$D100,2)))</f>
        <v/>
      </c>
      <c r="F100">
        <f>IF(OR($E100="",$E100="نامعتبر"),"",IF(Sync!$Q97="","0000",IF(AND(ISNUMBER(Sync!$Q97),Sync!$Q97&gt;=0,Sync!$Q97&lt;1),RIGHT("00"&amp;HOUR(Sync!$Q97),2)&amp;RIGHT("00"&amp;MINUTE(Sync!$Q97),2),IFERROR(RIGHT("00"&amp;VALUE(LEFT(Sync!$Q97,FIND(":",Sync!$Q97)-1)),2)&amp;RIGHT("00"&amp;VALUE(MID(Sync!$Q97,FIND(":",Sync!$Q97)+1,2)),2),"0000"))))</f>
        <v/>
      </c>
      <c r="G100">
        <f>IF(OR($E100="",$E100="نامعتبر"),"",IF(Sync!$S97="","",Sync!$S97))</f>
        <v/>
      </c>
      <c r="H100">
        <f>IF(OR($E100="",$E100="نامعتبر"),"",IF(Sync!$R97="","",Sync!$R97))</f>
        <v/>
      </c>
      <c r="I100">
        <f>IF(OR($E100="",$E100="نامعتبر"),"",IF(Sync!$T97="","",Sync!$T97))</f>
        <v/>
      </c>
      <c r="J100">
        <f>IF(OR($E100="",$E100="نامعتبر"),"",IF(Sync!$U97="","",Sync!$U97))</f>
        <v/>
      </c>
      <c r="K100">
        <f>IF(OR($E100="",$E100="نامعتبر"),"",IF(Sync!$V97="","",IFERROR(INDEX(SubCodes,MATCH(Sync!$V97,SubTitles,0)),Sync!$V97)))</f>
        <v/>
      </c>
      <c r="L100">
        <f>IF(OR($E100="",$E100="نامعتبر"),"",IF(Sync!$W97="",0,Sync!$W97))</f>
        <v/>
      </c>
      <c r="M100">
        <f>IF(OR($E100="",$E100="نامعتبر"),"",IF(Sync!$X97="",0,Sync!$X97))</f>
        <v/>
      </c>
      <c r="N100">
        <f>IF(OR($E100="",$E100="نامعتبر"),"",IF(AND($J100="هزینه",$K100&lt;&gt;""),1,0))</f>
        <v/>
      </c>
      <c r="O100">
        <f>IF($N100=0,"",LEFT($E100,4)&amp;MID($E100,6,2)&amp;RIGHT($E100,2)&amp;$F100&amp;"|"&amp;"1"&amp;RIGHT("00000"&amp;92,5))</f>
        <v/>
      </c>
      <c r="P100">
        <f>IF($O100="","",COUNTIFS(ExpSub,$K100,ExpKey,"&lt;"&amp;$O100)+1)</f>
        <v/>
      </c>
      <c r="Q100">
        <f>IF($P100="","",$K100&amp;"|"&amp;RIGHT("000000"&amp;$P100,6))</f>
        <v/>
      </c>
    </row>
    <row r="101">
      <c r="A101">
        <f>IF(Sync!$P98="","",Sync!$P98)</f>
        <v/>
      </c>
      <c r="B101">
        <f>IF($A101="","",IF(ISNUMBER($A101),IF(AND($A101&gt;=10000101,$A101&lt;=99991231),INT($A101/10000),""),IFERROR(VALUE(TRIM(LEFT($A101,FIND("/",$A101)-1))),"")))</f>
        <v/>
      </c>
      <c r="C101">
        <f>IF(OR($A101="",$B101=""),"",IF(ISNUMBER($A101),INT(MOD($A101,10000)/100),IFERROR(VALUE(TRIM(LEFT(MID($A101,FIND("/",$A101)+1,20),FIND("/",MID($A101,FIND("/",$A101)+1,20))-1))),"")))</f>
        <v/>
      </c>
      <c r="D101">
        <f>IF(OR($A101="",$B101=""),"",IF(ISNUMBER($A101),MOD($A101,100),IFERROR(VALUE(TRIM(MID(MID($A101,FIND("/",$A101)+1,20),FIND("/",MID($A101,FIND("/",$A101)+1,20))+1,20))),"")))</f>
        <v/>
      </c>
      <c r="E101">
        <f>IF($A101="","",IF(OR($B101="",$C101="",$D101="",$B101&lt;1300,$B101&gt;1500,$C101&lt;1,$C101&gt;12,$D101&lt;1,$D101&gt;31),"نامعتبر",RIGHT("0000"&amp;$B101,4)&amp;"/"&amp;RIGHT("00"&amp;$C101,2)&amp;"/"&amp;RIGHT("00"&amp;$D101,2)))</f>
        <v/>
      </c>
      <c r="F101">
        <f>IF(OR($E101="",$E101="نامعتبر"),"",IF(Sync!$Q98="","0000",IF(AND(ISNUMBER(Sync!$Q98),Sync!$Q98&gt;=0,Sync!$Q98&lt;1),RIGHT("00"&amp;HOUR(Sync!$Q98),2)&amp;RIGHT("00"&amp;MINUTE(Sync!$Q98),2),IFERROR(RIGHT("00"&amp;VALUE(LEFT(Sync!$Q98,FIND(":",Sync!$Q98)-1)),2)&amp;RIGHT("00"&amp;VALUE(MID(Sync!$Q98,FIND(":",Sync!$Q98)+1,2)),2),"0000"))))</f>
        <v/>
      </c>
      <c r="G101">
        <f>IF(OR($E101="",$E101="نامعتبر"),"",IF(Sync!$S98="","",Sync!$S98))</f>
        <v/>
      </c>
      <c r="H101">
        <f>IF(OR($E101="",$E101="نامعتبر"),"",IF(Sync!$R98="","",Sync!$R98))</f>
        <v/>
      </c>
      <c r="I101">
        <f>IF(OR($E101="",$E101="نامعتبر"),"",IF(Sync!$T98="","",Sync!$T98))</f>
        <v/>
      </c>
      <c r="J101">
        <f>IF(OR($E101="",$E101="نامعتبر"),"",IF(Sync!$U98="","",Sync!$U98))</f>
        <v/>
      </c>
      <c r="K101">
        <f>IF(OR($E101="",$E101="نامعتبر"),"",IF(Sync!$V98="","",IFERROR(INDEX(SubCodes,MATCH(Sync!$V98,SubTitles,0)),Sync!$V98)))</f>
        <v/>
      </c>
      <c r="L101">
        <f>IF(OR($E101="",$E101="نامعتبر"),"",IF(Sync!$W98="",0,Sync!$W98))</f>
        <v/>
      </c>
      <c r="M101">
        <f>IF(OR($E101="",$E101="نامعتبر"),"",IF(Sync!$X98="",0,Sync!$X98))</f>
        <v/>
      </c>
      <c r="N101">
        <f>IF(OR($E101="",$E101="نامعتبر"),"",IF(AND($J101="هزینه",$K101&lt;&gt;""),1,0))</f>
        <v/>
      </c>
      <c r="O101">
        <f>IF($N101=0,"",LEFT($E101,4)&amp;MID($E101,6,2)&amp;RIGHT($E101,2)&amp;$F101&amp;"|"&amp;"1"&amp;RIGHT("00000"&amp;93,5))</f>
        <v/>
      </c>
      <c r="P101">
        <f>IF($O101="","",COUNTIFS(ExpSub,$K101,ExpKey,"&lt;"&amp;$O101)+1)</f>
        <v/>
      </c>
      <c r="Q101">
        <f>IF($P101="","",$K101&amp;"|"&amp;RIGHT("000000"&amp;$P101,6))</f>
        <v/>
      </c>
    </row>
    <row r="102">
      <c r="A102">
        <f>IF(Sync!$P99="","",Sync!$P99)</f>
        <v/>
      </c>
      <c r="B102">
        <f>IF($A102="","",IF(ISNUMBER($A102),IF(AND($A102&gt;=10000101,$A102&lt;=99991231),INT($A102/10000),""),IFERROR(VALUE(TRIM(LEFT($A102,FIND("/",$A102)-1))),"")))</f>
        <v/>
      </c>
      <c r="C102">
        <f>IF(OR($A102="",$B102=""),"",IF(ISNUMBER($A102),INT(MOD($A102,10000)/100),IFERROR(VALUE(TRIM(LEFT(MID($A102,FIND("/",$A102)+1,20),FIND("/",MID($A102,FIND("/",$A102)+1,20))-1))),"")))</f>
        <v/>
      </c>
      <c r="D102">
        <f>IF(OR($A102="",$B102=""),"",IF(ISNUMBER($A102),MOD($A102,100),IFERROR(VALUE(TRIM(MID(MID($A102,FIND("/",$A102)+1,20),FIND("/",MID($A102,FIND("/",$A102)+1,20))+1,20))),"")))</f>
        <v/>
      </c>
      <c r="E102">
        <f>IF($A102="","",IF(OR($B102="",$C102="",$D102="",$B102&lt;1300,$B102&gt;1500,$C102&lt;1,$C102&gt;12,$D102&lt;1,$D102&gt;31),"نامعتبر",RIGHT("0000"&amp;$B102,4)&amp;"/"&amp;RIGHT("00"&amp;$C102,2)&amp;"/"&amp;RIGHT("00"&amp;$D102,2)))</f>
        <v/>
      </c>
      <c r="F102">
        <f>IF(OR($E102="",$E102="نامعتبر"),"",IF(Sync!$Q99="","0000",IF(AND(ISNUMBER(Sync!$Q99),Sync!$Q99&gt;=0,Sync!$Q99&lt;1),RIGHT("00"&amp;HOUR(Sync!$Q99),2)&amp;RIGHT("00"&amp;MINUTE(Sync!$Q99),2),IFERROR(RIGHT("00"&amp;VALUE(LEFT(Sync!$Q99,FIND(":",Sync!$Q99)-1)),2)&amp;RIGHT("00"&amp;VALUE(MID(Sync!$Q99,FIND(":",Sync!$Q99)+1,2)),2),"0000"))))</f>
        <v/>
      </c>
      <c r="G102">
        <f>IF(OR($E102="",$E102="نامعتبر"),"",IF(Sync!$S99="","",Sync!$S99))</f>
        <v/>
      </c>
      <c r="H102">
        <f>IF(OR($E102="",$E102="نامعتبر"),"",IF(Sync!$R99="","",Sync!$R99))</f>
        <v/>
      </c>
      <c r="I102">
        <f>IF(OR($E102="",$E102="نامعتبر"),"",IF(Sync!$T99="","",Sync!$T99))</f>
        <v/>
      </c>
      <c r="J102">
        <f>IF(OR($E102="",$E102="نامعتبر"),"",IF(Sync!$U99="","",Sync!$U99))</f>
        <v/>
      </c>
      <c r="K102">
        <f>IF(OR($E102="",$E102="نامعتبر"),"",IF(Sync!$V99="","",IFERROR(INDEX(SubCodes,MATCH(Sync!$V99,SubTitles,0)),Sync!$V99)))</f>
        <v/>
      </c>
      <c r="L102">
        <f>IF(OR($E102="",$E102="نامعتبر"),"",IF(Sync!$W99="",0,Sync!$W99))</f>
        <v/>
      </c>
      <c r="M102">
        <f>IF(OR($E102="",$E102="نامعتبر"),"",IF(Sync!$X99="",0,Sync!$X99))</f>
        <v/>
      </c>
      <c r="N102">
        <f>IF(OR($E102="",$E102="نامعتبر"),"",IF(AND($J102="هزینه",$K102&lt;&gt;""),1,0))</f>
        <v/>
      </c>
      <c r="O102">
        <f>IF($N102=0,"",LEFT($E102,4)&amp;MID($E102,6,2)&amp;RIGHT($E102,2)&amp;$F102&amp;"|"&amp;"1"&amp;RIGHT("00000"&amp;94,5))</f>
        <v/>
      </c>
      <c r="P102">
        <f>IF($O102="","",COUNTIFS(ExpSub,$K102,ExpKey,"&lt;"&amp;$O102)+1)</f>
        <v/>
      </c>
      <c r="Q102">
        <f>IF($P102="","",$K102&amp;"|"&amp;RIGHT("000000"&amp;$P102,6))</f>
        <v/>
      </c>
    </row>
    <row r="103">
      <c r="A103">
        <f>IF(Sync!$P100="","",Sync!$P100)</f>
        <v/>
      </c>
      <c r="B103">
        <f>IF($A103="","",IF(ISNUMBER($A103),IF(AND($A103&gt;=10000101,$A103&lt;=99991231),INT($A103/10000),""),IFERROR(VALUE(TRIM(LEFT($A103,FIND("/",$A103)-1))),"")))</f>
        <v/>
      </c>
      <c r="C103">
        <f>IF(OR($A103="",$B103=""),"",IF(ISNUMBER($A103),INT(MOD($A103,10000)/100),IFERROR(VALUE(TRIM(LEFT(MID($A103,FIND("/",$A103)+1,20),FIND("/",MID($A103,FIND("/",$A103)+1,20))-1))),"")))</f>
        <v/>
      </c>
      <c r="D103">
        <f>IF(OR($A103="",$B103=""),"",IF(ISNUMBER($A103),MOD($A103,100),IFERROR(VALUE(TRIM(MID(MID($A103,FIND("/",$A103)+1,20),FIND("/",MID($A103,FIND("/",$A103)+1,20))+1,20))),"")))</f>
        <v/>
      </c>
      <c r="E103">
        <f>IF($A103="","",IF(OR($B103="",$C103="",$D103="",$B103&lt;1300,$B103&gt;1500,$C103&lt;1,$C103&gt;12,$D103&lt;1,$D103&gt;31),"نامعتبر",RIGHT("0000"&amp;$B103,4)&amp;"/"&amp;RIGHT("00"&amp;$C103,2)&amp;"/"&amp;RIGHT("00"&amp;$D103,2)))</f>
        <v/>
      </c>
      <c r="F103">
        <f>IF(OR($E103="",$E103="نامعتبر"),"",IF(Sync!$Q100="","0000",IF(AND(ISNUMBER(Sync!$Q100),Sync!$Q100&gt;=0,Sync!$Q100&lt;1),RIGHT("00"&amp;HOUR(Sync!$Q100),2)&amp;RIGHT("00"&amp;MINUTE(Sync!$Q100),2),IFERROR(RIGHT("00"&amp;VALUE(LEFT(Sync!$Q100,FIND(":",Sync!$Q100)-1)),2)&amp;RIGHT("00"&amp;VALUE(MID(Sync!$Q100,FIND(":",Sync!$Q100)+1,2)),2),"0000"))))</f>
        <v/>
      </c>
      <c r="G103">
        <f>IF(OR($E103="",$E103="نامعتبر"),"",IF(Sync!$S100="","",Sync!$S100))</f>
        <v/>
      </c>
      <c r="H103">
        <f>IF(OR($E103="",$E103="نامعتبر"),"",IF(Sync!$R100="","",Sync!$R100))</f>
        <v/>
      </c>
      <c r="I103">
        <f>IF(OR($E103="",$E103="نامعتبر"),"",IF(Sync!$T100="","",Sync!$T100))</f>
        <v/>
      </c>
      <c r="J103">
        <f>IF(OR($E103="",$E103="نامعتبر"),"",IF(Sync!$U100="","",Sync!$U100))</f>
        <v/>
      </c>
      <c r="K103">
        <f>IF(OR($E103="",$E103="نامعتبر"),"",IF(Sync!$V100="","",IFERROR(INDEX(SubCodes,MATCH(Sync!$V100,SubTitles,0)),Sync!$V100)))</f>
        <v/>
      </c>
      <c r="L103">
        <f>IF(OR($E103="",$E103="نامعتبر"),"",IF(Sync!$W100="",0,Sync!$W100))</f>
        <v/>
      </c>
      <c r="M103">
        <f>IF(OR($E103="",$E103="نامعتبر"),"",IF(Sync!$X100="",0,Sync!$X100))</f>
        <v/>
      </c>
      <c r="N103">
        <f>IF(OR($E103="",$E103="نامعتبر"),"",IF(AND($J103="هزینه",$K103&lt;&gt;""),1,0))</f>
        <v/>
      </c>
      <c r="O103">
        <f>IF($N103=0,"",LEFT($E103,4)&amp;MID($E103,6,2)&amp;RIGHT($E103,2)&amp;$F103&amp;"|"&amp;"1"&amp;RIGHT("00000"&amp;95,5))</f>
        <v/>
      </c>
      <c r="P103">
        <f>IF($O103="","",COUNTIFS(ExpSub,$K103,ExpKey,"&lt;"&amp;$O103)+1)</f>
        <v/>
      </c>
      <c r="Q103">
        <f>IF($P103="","",$K103&amp;"|"&amp;RIGHT("000000"&amp;$P103,6))</f>
        <v/>
      </c>
    </row>
    <row r="104">
      <c r="A104">
        <f>IF(Sync!$P101="","",Sync!$P101)</f>
        <v/>
      </c>
      <c r="B104">
        <f>IF($A104="","",IF(ISNUMBER($A104),IF(AND($A104&gt;=10000101,$A104&lt;=99991231),INT($A104/10000),""),IFERROR(VALUE(TRIM(LEFT($A104,FIND("/",$A104)-1))),"")))</f>
        <v/>
      </c>
      <c r="C104">
        <f>IF(OR($A104="",$B104=""),"",IF(ISNUMBER($A104),INT(MOD($A104,10000)/100),IFERROR(VALUE(TRIM(LEFT(MID($A104,FIND("/",$A104)+1,20),FIND("/",MID($A104,FIND("/",$A104)+1,20))-1))),"")))</f>
        <v/>
      </c>
      <c r="D104">
        <f>IF(OR($A104="",$B104=""),"",IF(ISNUMBER($A104),MOD($A104,100),IFERROR(VALUE(TRIM(MID(MID($A104,FIND("/",$A104)+1,20),FIND("/",MID($A104,FIND("/",$A104)+1,20))+1,20))),"")))</f>
        <v/>
      </c>
      <c r="E104">
        <f>IF($A104="","",IF(OR($B104="",$C104="",$D104="",$B104&lt;1300,$B104&gt;1500,$C104&lt;1,$C104&gt;12,$D104&lt;1,$D104&gt;31),"نامعتبر",RIGHT("0000"&amp;$B104,4)&amp;"/"&amp;RIGHT("00"&amp;$C104,2)&amp;"/"&amp;RIGHT("00"&amp;$D104,2)))</f>
        <v/>
      </c>
      <c r="F104">
        <f>IF(OR($E104="",$E104="نامعتبر"),"",IF(Sync!$Q101="","0000",IF(AND(ISNUMBER(Sync!$Q101),Sync!$Q101&gt;=0,Sync!$Q101&lt;1),RIGHT("00"&amp;HOUR(Sync!$Q101),2)&amp;RIGHT("00"&amp;MINUTE(Sync!$Q101),2),IFERROR(RIGHT("00"&amp;VALUE(LEFT(Sync!$Q101,FIND(":",Sync!$Q101)-1)),2)&amp;RIGHT("00"&amp;VALUE(MID(Sync!$Q101,FIND(":",Sync!$Q101)+1,2)),2),"0000"))))</f>
        <v/>
      </c>
      <c r="G104">
        <f>IF(OR($E104="",$E104="نامعتبر"),"",IF(Sync!$S101="","",Sync!$S101))</f>
        <v/>
      </c>
      <c r="H104">
        <f>IF(OR($E104="",$E104="نامعتبر"),"",IF(Sync!$R101="","",Sync!$R101))</f>
        <v/>
      </c>
      <c r="I104">
        <f>IF(OR($E104="",$E104="نامعتبر"),"",IF(Sync!$T101="","",Sync!$T101))</f>
        <v/>
      </c>
      <c r="J104">
        <f>IF(OR($E104="",$E104="نامعتبر"),"",IF(Sync!$U101="","",Sync!$U101))</f>
        <v/>
      </c>
      <c r="K104">
        <f>IF(OR($E104="",$E104="نامعتبر"),"",IF(Sync!$V101="","",IFERROR(INDEX(SubCodes,MATCH(Sync!$V101,SubTitles,0)),Sync!$V101)))</f>
        <v/>
      </c>
      <c r="L104">
        <f>IF(OR($E104="",$E104="نامعتبر"),"",IF(Sync!$W101="",0,Sync!$W101))</f>
        <v/>
      </c>
      <c r="M104">
        <f>IF(OR($E104="",$E104="نامعتبر"),"",IF(Sync!$X101="",0,Sync!$X101))</f>
        <v/>
      </c>
      <c r="N104">
        <f>IF(OR($E104="",$E104="نامعتبر"),"",IF(AND($J104="هزینه",$K104&lt;&gt;""),1,0))</f>
        <v/>
      </c>
      <c r="O104">
        <f>IF($N104=0,"",LEFT($E104,4)&amp;MID($E104,6,2)&amp;RIGHT($E104,2)&amp;$F104&amp;"|"&amp;"1"&amp;RIGHT("00000"&amp;96,5))</f>
        <v/>
      </c>
      <c r="P104">
        <f>IF($O104="","",COUNTIFS(ExpSub,$K104,ExpKey,"&lt;"&amp;$O104)+1)</f>
        <v/>
      </c>
      <c r="Q104">
        <f>IF($P104="","",$K104&amp;"|"&amp;RIGHT("000000"&amp;$P104,6))</f>
        <v/>
      </c>
    </row>
    <row r="105">
      <c r="A105">
        <f>IF(Sync!$P102="","",Sync!$P102)</f>
        <v/>
      </c>
      <c r="B105">
        <f>IF($A105="","",IF(ISNUMBER($A105),IF(AND($A105&gt;=10000101,$A105&lt;=99991231),INT($A105/10000),""),IFERROR(VALUE(TRIM(LEFT($A105,FIND("/",$A105)-1))),"")))</f>
        <v/>
      </c>
      <c r="C105">
        <f>IF(OR($A105="",$B105=""),"",IF(ISNUMBER($A105),INT(MOD($A105,10000)/100),IFERROR(VALUE(TRIM(LEFT(MID($A105,FIND("/",$A105)+1,20),FIND("/",MID($A105,FIND("/",$A105)+1,20))-1))),"")))</f>
        <v/>
      </c>
      <c r="D105">
        <f>IF(OR($A105="",$B105=""),"",IF(ISNUMBER($A105),MOD($A105,100),IFERROR(VALUE(TRIM(MID(MID($A105,FIND("/",$A105)+1,20),FIND("/",MID($A105,FIND("/",$A105)+1,20))+1,20))),"")))</f>
        <v/>
      </c>
      <c r="E105">
        <f>IF($A105="","",IF(OR($B105="",$C105="",$D105="",$B105&lt;1300,$B105&gt;1500,$C105&lt;1,$C105&gt;12,$D105&lt;1,$D105&gt;31),"نامعتبر",RIGHT("0000"&amp;$B105,4)&amp;"/"&amp;RIGHT("00"&amp;$C105,2)&amp;"/"&amp;RIGHT("00"&amp;$D105,2)))</f>
        <v/>
      </c>
      <c r="F105">
        <f>IF(OR($E105="",$E105="نامعتبر"),"",IF(Sync!$Q102="","0000",IF(AND(ISNUMBER(Sync!$Q102),Sync!$Q102&gt;=0,Sync!$Q102&lt;1),RIGHT("00"&amp;HOUR(Sync!$Q102),2)&amp;RIGHT("00"&amp;MINUTE(Sync!$Q102),2),IFERROR(RIGHT("00"&amp;VALUE(LEFT(Sync!$Q102,FIND(":",Sync!$Q102)-1)),2)&amp;RIGHT("00"&amp;VALUE(MID(Sync!$Q102,FIND(":",Sync!$Q102)+1,2)),2),"0000"))))</f>
        <v/>
      </c>
      <c r="G105">
        <f>IF(OR($E105="",$E105="نامعتبر"),"",IF(Sync!$S102="","",Sync!$S102))</f>
        <v/>
      </c>
      <c r="H105">
        <f>IF(OR($E105="",$E105="نامعتبر"),"",IF(Sync!$R102="","",Sync!$R102))</f>
        <v/>
      </c>
      <c r="I105">
        <f>IF(OR($E105="",$E105="نامعتبر"),"",IF(Sync!$T102="","",Sync!$T102))</f>
        <v/>
      </c>
      <c r="J105">
        <f>IF(OR($E105="",$E105="نامعتبر"),"",IF(Sync!$U102="","",Sync!$U102))</f>
        <v/>
      </c>
      <c r="K105">
        <f>IF(OR($E105="",$E105="نامعتبر"),"",IF(Sync!$V102="","",IFERROR(INDEX(SubCodes,MATCH(Sync!$V102,SubTitles,0)),Sync!$V102)))</f>
        <v/>
      </c>
      <c r="L105">
        <f>IF(OR($E105="",$E105="نامعتبر"),"",IF(Sync!$W102="",0,Sync!$W102))</f>
        <v/>
      </c>
      <c r="M105">
        <f>IF(OR($E105="",$E105="نامعتبر"),"",IF(Sync!$X102="",0,Sync!$X102))</f>
        <v/>
      </c>
      <c r="N105">
        <f>IF(OR($E105="",$E105="نامعتبر"),"",IF(AND($J105="هزینه",$K105&lt;&gt;""),1,0))</f>
        <v/>
      </c>
      <c r="O105">
        <f>IF($N105=0,"",LEFT($E105,4)&amp;MID($E105,6,2)&amp;RIGHT($E105,2)&amp;$F105&amp;"|"&amp;"1"&amp;RIGHT("00000"&amp;97,5))</f>
        <v/>
      </c>
      <c r="P105">
        <f>IF($O105="","",COUNTIFS(ExpSub,$K105,ExpKey,"&lt;"&amp;$O105)+1)</f>
        <v/>
      </c>
      <c r="Q105">
        <f>IF($P105="","",$K105&amp;"|"&amp;RIGHT("000000"&amp;$P105,6))</f>
        <v/>
      </c>
    </row>
    <row r="106">
      <c r="A106">
        <f>IF(Sync!$P103="","",Sync!$P103)</f>
        <v/>
      </c>
      <c r="B106">
        <f>IF($A106="","",IF(ISNUMBER($A106),IF(AND($A106&gt;=10000101,$A106&lt;=99991231),INT($A106/10000),""),IFERROR(VALUE(TRIM(LEFT($A106,FIND("/",$A106)-1))),"")))</f>
        <v/>
      </c>
      <c r="C106">
        <f>IF(OR($A106="",$B106=""),"",IF(ISNUMBER($A106),INT(MOD($A106,10000)/100),IFERROR(VALUE(TRIM(LEFT(MID($A106,FIND("/",$A106)+1,20),FIND("/",MID($A106,FIND("/",$A106)+1,20))-1))),"")))</f>
        <v/>
      </c>
      <c r="D106">
        <f>IF(OR($A106="",$B106=""),"",IF(ISNUMBER($A106),MOD($A106,100),IFERROR(VALUE(TRIM(MID(MID($A106,FIND("/",$A106)+1,20),FIND("/",MID($A106,FIND("/",$A106)+1,20))+1,20))),"")))</f>
        <v/>
      </c>
      <c r="E106">
        <f>IF($A106="","",IF(OR($B106="",$C106="",$D106="",$B106&lt;1300,$B106&gt;1500,$C106&lt;1,$C106&gt;12,$D106&lt;1,$D106&gt;31),"نامعتبر",RIGHT("0000"&amp;$B106,4)&amp;"/"&amp;RIGHT("00"&amp;$C106,2)&amp;"/"&amp;RIGHT("00"&amp;$D106,2)))</f>
        <v/>
      </c>
      <c r="F106">
        <f>IF(OR($E106="",$E106="نامعتبر"),"",IF(Sync!$Q103="","0000",IF(AND(ISNUMBER(Sync!$Q103),Sync!$Q103&gt;=0,Sync!$Q103&lt;1),RIGHT("00"&amp;HOUR(Sync!$Q103),2)&amp;RIGHT("00"&amp;MINUTE(Sync!$Q103),2),IFERROR(RIGHT("00"&amp;VALUE(LEFT(Sync!$Q103,FIND(":",Sync!$Q103)-1)),2)&amp;RIGHT("00"&amp;VALUE(MID(Sync!$Q103,FIND(":",Sync!$Q103)+1,2)),2),"0000"))))</f>
        <v/>
      </c>
      <c r="G106">
        <f>IF(OR($E106="",$E106="نامعتبر"),"",IF(Sync!$S103="","",Sync!$S103))</f>
        <v/>
      </c>
      <c r="H106">
        <f>IF(OR($E106="",$E106="نامعتبر"),"",IF(Sync!$R103="","",Sync!$R103))</f>
        <v/>
      </c>
      <c r="I106">
        <f>IF(OR($E106="",$E106="نامعتبر"),"",IF(Sync!$T103="","",Sync!$T103))</f>
        <v/>
      </c>
      <c r="J106">
        <f>IF(OR($E106="",$E106="نامعتبر"),"",IF(Sync!$U103="","",Sync!$U103))</f>
        <v/>
      </c>
      <c r="K106">
        <f>IF(OR($E106="",$E106="نامعتبر"),"",IF(Sync!$V103="","",IFERROR(INDEX(SubCodes,MATCH(Sync!$V103,SubTitles,0)),Sync!$V103)))</f>
        <v/>
      </c>
      <c r="L106">
        <f>IF(OR($E106="",$E106="نامعتبر"),"",IF(Sync!$W103="",0,Sync!$W103))</f>
        <v/>
      </c>
      <c r="M106">
        <f>IF(OR($E106="",$E106="نامعتبر"),"",IF(Sync!$X103="",0,Sync!$X103))</f>
        <v/>
      </c>
      <c r="N106">
        <f>IF(OR($E106="",$E106="نامعتبر"),"",IF(AND($J106="هزینه",$K106&lt;&gt;""),1,0))</f>
        <v/>
      </c>
      <c r="O106">
        <f>IF($N106=0,"",LEFT($E106,4)&amp;MID($E106,6,2)&amp;RIGHT($E106,2)&amp;$F106&amp;"|"&amp;"1"&amp;RIGHT("00000"&amp;98,5))</f>
        <v/>
      </c>
      <c r="P106">
        <f>IF($O106="","",COUNTIFS(ExpSub,$K106,ExpKey,"&lt;"&amp;$O106)+1)</f>
        <v/>
      </c>
      <c r="Q106">
        <f>IF($P106="","",$K106&amp;"|"&amp;RIGHT("000000"&amp;$P106,6))</f>
        <v/>
      </c>
    </row>
    <row r="107">
      <c r="A107">
        <f>IF(Sync!$P104="","",Sync!$P104)</f>
        <v/>
      </c>
      <c r="B107">
        <f>IF($A107="","",IF(ISNUMBER($A107),IF(AND($A107&gt;=10000101,$A107&lt;=99991231),INT($A107/10000),""),IFERROR(VALUE(TRIM(LEFT($A107,FIND("/",$A107)-1))),"")))</f>
        <v/>
      </c>
      <c r="C107">
        <f>IF(OR($A107="",$B107=""),"",IF(ISNUMBER($A107),INT(MOD($A107,10000)/100),IFERROR(VALUE(TRIM(LEFT(MID($A107,FIND("/",$A107)+1,20),FIND("/",MID($A107,FIND("/",$A107)+1,20))-1))),"")))</f>
        <v/>
      </c>
      <c r="D107">
        <f>IF(OR($A107="",$B107=""),"",IF(ISNUMBER($A107),MOD($A107,100),IFERROR(VALUE(TRIM(MID(MID($A107,FIND("/",$A107)+1,20),FIND("/",MID($A107,FIND("/",$A107)+1,20))+1,20))),"")))</f>
        <v/>
      </c>
      <c r="E107">
        <f>IF($A107="","",IF(OR($B107="",$C107="",$D107="",$B107&lt;1300,$B107&gt;1500,$C107&lt;1,$C107&gt;12,$D107&lt;1,$D107&gt;31),"نامعتبر",RIGHT("0000"&amp;$B107,4)&amp;"/"&amp;RIGHT("00"&amp;$C107,2)&amp;"/"&amp;RIGHT("00"&amp;$D107,2)))</f>
        <v/>
      </c>
      <c r="F107">
        <f>IF(OR($E107="",$E107="نامعتبر"),"",IF(Sync!$Q104="","0000",IF(AND(ISNUMBER(Sync!$Q104),Sync!$Q104&gt;=0,Sync!$Q104&lt;1),RIGHT("00"&amp;HOUR(Sync!$Q104),2)&amp;RIGHT("00"&amp;MINUTE(Sync!$Q104),2),IFERROR(RIGHT("00"&amp;VALUE(LEFT(Sync!$Q104,FIND(":",Sync!$Q104)-1)),2)&amp;RIGHT("00"&amp;VALUE(MID(Sync!$Q104,FIND(":",Sync!$Q104)+1,2)),2),"0000"))))</f>
        <v/>
      </c>
      <c r="G107">
        <f>IF(OR($E107="",$E107="نامعتبر"),"",IF(Sync!$S104="","",Sync!$S104))</f>
        <v/>
      </c>
      <c r="H107">
        <f>IF(OR($E107="",$E107="نامعتبر"),"",IF(Sync!$R104="","",Sync!$R104))</f>
        <v/>
      </c>
      <c r="I107">
        <f>IF(OR($E107="",$E107="نامعتبر"),"",IF(Sync!$T104="","",Sync!$T104))</f>
        <v/>
      </c>
      <c r="J107">
        <f>IF(OR($E107="",$E107="نامعتبر"),"",IF(Sync!$U104="","",Sync!$U104))</f>
        <v/>
      </c>
      <c r="K107">
        <f>IF(OR($E107="",$E107="نامعتبر"),"",IF(Sync!$V104="","",IFERROR(INDEX(SubCodes,MATCH(Sync!$V104,SubTitles,0)),Sync!$V104)))</f>
        <v/>
      </c>
      <c r="L107">
        <f>IF(OR($E107="",$E107="نامعتبر"),"",IF(Sync!$W104="",0,Sync!$W104))</f>
        <v/>
      </c>
      <c r="M107">
        <f>IF(OR($E107="",$E107="نامعتبر"),"",IF(Sync!$X104="",0,Sync!$X104))</f>
        <v/>
      </c>
      <c r="N107">
        <f>IF(OR($E107="",$E107="نامعتبر"),"",IF(AND($J107="هزینه",$K107&lt;&gt;""),1,0))</f>
        <v/>
      </c>
      <c r="O107">
        <f>IF($N107=0,"",LEFT($E107,4)&amp;MID($E107,6,2)&amp;RIGHT($E107,2)&amp;$F107&amp;"|"&amp;"1"&amp;RIGHT("00000"&amp;99,5))</f>
        <v/>
      </c>
      <c r="P107">
        <f>IF($O107="","",COUNTIFS(ExpSub,$K107,ExpKey,"&lt;"&amp;$O107)+1)</f>
        <v/>
      </c>
      <c r="Q107">
        <f>IF($P107="","",$K107&amp;"|"&amp;RIGHT("000000"&amp;$P107,6))</f>
        <v/>
      </c>
    </row>
    <row r="108">
      <c r="A108">
        <f>IF(Sync!$P105="","",Sync!$P105)</f>
        <v/>
      </c>
      <c r="B108">
        <f>IF($A108="","",IF(ISNUMBER($A108),IF(AND($A108&gt;=10000101,$A108&lt;=99991231),INT($A108/10000),""),IFERROR(VALUE(TRIM(LEFT($A108,FIND("/",$A108)-1))),"")))</f>
        <v/>
      </c>
      <c r="C108">
        <f>IF(OR($A108="",$B108=""),"",IF(ISNUMBER($A108),INT(MOD($A108,10000)/100),IFERROR(VALUE(TRIM(LEFT(MID($A108,FIND("/",$A108)+1,20),FIND("/",MID($A108,FIND("/",$A108)+1,20))-1))),"")))</f>
        <v/>
      </c>
      <c r="D108">
        <f>IF(OR($A108="",$B108=""),"",IF(ISNUMBER($A108),MOD($A108,100),IFERROR(VALUE(TRIM(MID(MID($A108,FIND("/",$A108)+1,20),FIND("/",MID($A108,FIND("/",$A108)+1,20))+1,20))),"")))</f>
        <v/>
      </c>
      <c r="E108">
        <f>IF($A108="","",IF(OR($B108="",$C108="",$D108="",$B108&lt;1300,$B108&gt;1500,$C108&lt;1,$C108&gt;12,$D108&lt;1,$D108&gt;31),"نامعتبر",RIGHT("0000"&amp;$B108,4)&amp;"/"&amp;RIGHT("00"&amp;$C108,2)&amp;"/"&amp;RIGHT("00"&amp;$D108,2)))</f>
        <v/>
      </c>
      <c r="F108">
        <f>IF(OR($E108="",$E108="نامعتبر"),"",IF(Sync!$Q105="","0000",IF(AND(ISNUMBER(Sync!$Q105),Sync!$Q105&gt;=0,Sync!$Q105&lt;1),RIGHT("00"&amp;HOUR(Sync!$Q105),2)&amp;RIGHT("00"&amp;MINUTE(Sync!$Q105),2),IFERROR(RIGHT("00"&amp;VALUE(LEFT(Sync!$Q105,FIND(":",Sync!$Q105)-1)),2)&amp;RIGHT("00"&amp;VALUE(MID(Sync!$Q105,FIND(":",Sync!$Q105)+1,2)),2),"0000"))))</f>
        <v/>
      </c>
      <c r="G108">
        <f>IF(OR($E108="",$E108="نامعتبر"),"",IF(Sync!$S105="","",Sync!$S105))</f>
        <v/>
      </c>
      <c r="H108">
        <f>IF(OR($E108="",$E108="نامعتبر"),"",IF(Sync!$R105="","",Sync!$R105))</f>
        <v/>
      </c>
      <c r="I108">
        <f>IF(OR($E108="",$E108="نامعتبر"),"",IF(Sync!$T105="","",Sync!$T105))</f>
        <v/>
      </c>
      <c r="J108">
        <f>IF(OR($E108="",$E108="نامعتبر"),"",IF(Sync!$U105="","",Sync!$U105))</f>
        <v/>
      </c>
      <c r="K108">
        <f>IF(OR($E108="",$E108="نامعتبر"),"",IF(Sync!$V105="","",IFERROR(INDEX(SubCodes,MATCH(Sync!$V105,SubTitles,0)),Sync!$V105)))</f>
        <v/>
      </c>
      <c r="L108">
        <f>IF(OR($E108="",$E108="نامعتبر"),"",IF(Sync!$W105="",0,Sync!$W105))</f>
        <v/>
      </c>
      <c r="M108">
        <f>IF(OR($E108="",$E108="نامعتبر"),"",IF(Sync!$X105="",0,Sync!$X105))</f>
        <v/>
      </c>
      <c r="N108">
        <f>IF(OR($E108="",$E108="نامعتبر"),"",IF(AND($J108="هزینه",$K108&lt;&gt;""),1,0))</f>
        <v/>
      </c>
      <c r="O108">
        <f>IF($N108=0,"",LEFT($E108,4)&amp;MID($E108,6,2)&amp;RIGHT($E108,2)&amp;$F108&amp;"|"&amp;"1"&amp;RIGHT("00000"&amp;100,5))</f>
        <v/>
      </c>
      <c r="P108">
        <f>IF($O108="","",COUNTIFS(ExpSub,$K108,ExpKey,"&lt;"&amp;$O108)+1)</f>
        <v/>
      </c>
      <c r="Q108">
        <f>IF($P108="","",$K108&amp;"|"&amp;RIGHT("000000"&amp;$P108,6))</f>
        <v/>
      </c>
    </row>
    <row r="109">
      <c r="A109">
        <f>IF(Sync!$P106="","",Sync!$P106)</f>
        <v/>
      </c>
      <c r="B109">
        <f>IF($A109="","",IF(ISNUMBER($A109),IF(AND($A109&gt;=10000101,$A109&lt;=99991231),INT($A109/10000),""),IFERROR(VALUE(TRIM(LEFT($A109,FIND("/",$A109)-1))),"")))</f>
        <v/>
      </c>
      <c r="C109">
        <f>IF(OR($A109="",$B109=""),"",IF(ISNUMBER($A109),INT(MOD($A109,10000)/100),IFERROR(VALUE(TRIM(LEFT(MID($A109,FIND("/",$A109)+1,20),FIND("/",MID($A109,FIND("/",$A109)+1,20))-1))),"")))</f>
        <v/>
      </c>
      <c r="D109">
        <f>IF(OR($A109="",$B109=""),"",IF(ISNUMBER($A109),MOD($A109,100),IFERROR(VALUE(TRIM(MID(MID($A109,FIND("/",$A109)+1,20),FIND("/",MID($A109,FIND("/",$A109)+1,20))+1,20))),"")))</f>
        <v/>
      </c>
      <c r="E109">
        <f>IF($A109="","",IF(OR($B109="",$C109="",$D109="",$B109&lt;1300,$B109&gt;1500,$C109&lt;1,$C109&gt;12,$D109&lt;1,$D109&gt;31),"نامعتبر",RIGHT("0000"&amp;$B109,4)&amp;"/"&amp;RIGHT("00"&amp;$C109,2)&amp;"/"&amp;RIGHT("00"&amp;$D109,2)))</f>
        <v/>
      </c>
      <c r="F109">
        <f>IF(OR($E109="",$E109="نامعتبر"),"",IF(Sync!$Q106="","0000",IF(AND(ISNUMBER(Sync!$Q106),Sync!$Q106&gt;=0,Sync!$Q106&lt;1),RIGHT("00"&amp;HOUR(Sync!$Q106),2)&amp;RIGHT("00"&amp;MINUTE(Sync!$Q106),2),IFERROR(RIGHT("00"&amp;VALUE(LEFT(Sync!$Q106,FIND(":",Sync!$Q106)-1)),2)&amp;RIGHT("00"&amp;VALUE(MID(Sync!$Q106,FIND(":",Sync!$Q106)+1,2)),2),"0000"))))</f>
        <v/>
      </c>
      <c r="G109">
        <f>IF(OR($E109="",$E109="نامعتبر"),"",IF(Sync!$S106="","",Sync!$S106))</f>
        <v/>
      </c>
      <c r="H109">
        <f>IF(OR($E109="",$E109="نامعتبر"),"",IF(Sync!$R106="","",Sync!$R106))</f>
        <v/>
      </c>
      <c r="I109">
        <f>IF(OR($E109="",$E109="نامعتبر"),"",IF(Sync!$T106="","",Sync!$T106))</f>
        <v/>
      </c>
      <c r="J109">
        <f>IF(OR($E109="",$E109="نامعتبر"),"",IF(Sync!$U106="","",Sync!$U106))</f>
        <v/>
      </c>
      <c r="K109">
        <f>IF(OR($E109="",$E109="نامعتبر"),"",IF(Sync!$V106="","",IFERROR(INDEX(SubCodes,MATCH(Sync!$V106,SubTitles,0)),Sync!$V106)))</f>
        <v/>
      </c>
      <c r="L109">
        <f>IF(OR($E109="",$E109="نامعتبر"),"",IF(Sync!$W106="",0,Sync!$W106))</f>
        <v/>
      </c>
      <c r="M109">
        <f>IF(OR($E109="",$E109="نامعتبر"),"",IF(Sync!$X106="",0,Sync!$X106))</f>
        <v/>
      </c>
      <c r="N109">
        <f>IF(OR($E109="",$E109="نامعتبر"),"",IF(AND($J109="هزینه",$K109&lt;&gt;""),1,0))</f>
        <v/>
      </c>
      <c r="O109">
        <f>IF($N109=0,"",LEFT($E109,4)&amp;MID($E109,6,2)&amp;RIGHT($E109,2)&amp;$F109&amp;"|"&amp;"1"&amp;RIGHT("00000"&amp;101,5))</f>
        <v/>
      </c>
      <c r="P109">
        <f>IF($O109="","",COUNTIFS(ExpSub,$K109,ExpKey,"&lt;"&amp;$O109)+1)</f>
        <v/>
      </c>
      <c r="Q109">
        <f>IF($P109="","",$K109&amp;"|"&amp;RIGHT("000000"&amp;$P109,6))</f>
        <v/>
      </c>
    </row>
    <row r="110">
      <c r="A110">
        <f>IF(Sync!$P107="","",Sync!$P107)</f>
        <v/>
      </c>
      <c r="B110">
        <f>IF($A110="","",IF(ISNUMBER($A110),IF(AND($A110&gt;=10000101,$A110&lt;=99991231),INT($A110/10000),""),IFERROR(VALUE(TRIM(LEFT($A110,FIND("/",$A110)-1))),"")))</f>
        <v/>
      </c>
      <c r="C110">
        <f>IF(OR($A110="",$B110=""),"",IF(ISNUMBER($A110),INT(MOD($A110,10000)/100),IFERROR(VALUE(TRIM(LEFT(MID($A110,FIND("/",$A110)+1,20),FIND("/",MID($A110,FIND("/",$A110)+1,20))-1))),"")))</f>
        <v/>
      </c>
      <c r="D110">
        <f>IF(OR($A110="",$B110=""),"",IF(ISNUMBER($A110),MOD($A110,100),IFERROR(VALUE(TRIM(MID(MID($A110,FIND("/",$A110)+1,20),FIND("/",MID($A110,FIND("/",$A110)+1,20))+1,20))),"")))</f>
        <v/>
      </c>
      <c r="E110">
        <f>IF($A110="","",IF(OR($B110="",$C110="",$D110="",$B110&lt;1300,$B110&gt;1500,$C110&lt;1,$C110&gt;12,$D110&lt;1,$D110&gt;31),"نامعتبر",RIGHT("0000"&amp;$B110,4)&amp;"/"&amp;RIGHT("00"&amp;$C110,2)&amp;"/"&amp;RIGHT("00"&amp;$D110,2)))</f>
        <v/>
      </c>
      <c r="F110">
        <f>IF(OR($E110="",$E110="نامعتبر"),"",IF(Sync!$Q107="","0000",IF(AND(ISNUMBER(Sync!$Q107),Sync!$Q107&gt;=0,Sync!$Q107&lt;1),RIGHT("00"&amp;HOUR(Sync!$Q107),2)&amp;RIGHT("00"&amp;MINUTE(Sync!$Q107),2),IFERROR(RIGHT("00"&amp;VALUE(LEFT(Sync!$Q107,FIND(":",Sync!$Q107)-1)),2)&amp;RIGHT("00"&amp;VALUE(MID(Sync!$Q107,FIND(":",Sync!$Q107)+1,2)),2),"0000"))))</f>
        <v/>
      </c>
      <c r="G110">
        <f>IF(OR($E110="",$E110="نامعتبر"),"",IF(Sync!$S107="","",Sync!$S107))</f>
        <v/>
      </c>
      <c r="H110">
        <f>IF(OR($E110="",$E110="نامعتبر"),"",IF(Sync!$R107="","",Sync!$R107))</f>
        <v/>
      </c>
      <c r="I110">
        <f>IF(OR($E110="",$E110="نامعتبر"),"",IF(Sync!$T107="","",Sync!$T107))</f>
        <v/>
      </c>
      <c r="J110">
        <f>IF(OR($E110="",$E110="نامعتبر"),"",IF(Sync!$U107="","",Sync!$U107))</f>
        <v/>
      </c>
      <c r="K110">
        <f>IF(OR($E110="",$E110="نامعتبر"),"",IF(Sync!$V107="","",IFERROR(INDEX(SubCodes,MATCH(Sync!$V107,SubTitles,0)),Sync!$V107)))</f>
        <v/>
      </c>
      <c r="L110">
        <f>IF(OR($E110="",$E110="نامعتبر"),"",IF(Sync!$W107="",0,Sync!$W107))</f>
        <v/>
      </c>
      <c r="M110">
        <f>IF(OR($E110="",$E110="نامعتبر"),"",IF(Sync!$X107="",0,Sync!$X107))</f>
        <v/>
      </c>
      <c r="N110">
        <f>IF(OR($E110="",$E110="نامعتبر"),"",IF(AND($J110="هزینه",$K110&lt;&gt;""),1,0))</f>
        <v/>
      </c>
      <c r="O110">
        <f>IF($N110=0,"",LEFT($E110,4)&amp;MID($E110,6,2)&amp;RIGHT($E110,2)&amp;$F110&amp;"|"&amp;"1"&amp;RIGHT("00000"&amp;102,5))</f>
        <v/>
      </c>
      <c r="P110">
        <f>IF($O110="","",COUNTIFS(ExpSub,$K110,ExpKey,"&lt;"&amp;$O110)+1)</f>
        <v/>
      </c>
      <c r="Q110">
        <f>IF($P110="","",$K110&amp;"|"&amp;RIGHT("000000"&amp;$P110,6))</f>
        <v/>
      </c>
    </row>
    <row r="111">
      <c r="A111">
        <f>IF(Sync!$P108="","",Sync!$P108)</f>
        <v/>
      </c>
      <c r="B111">
        <f>IF($A111="","",IF(ISNUMBER($A111),IF(AND($A111&gt;=10000101,$A111&lt;=99991231),INT($A111/10000),""),IFERROR(VALUE(TRIM(LEFT($A111,FIND("/",$A111)-1))),"")))</f>
        <v/>
      </c>
      <c r="C111">
        <f>IF(OR($A111="",$B111=""),"",IF(ISNUMBER($A111),INT(MOD($A111,10000)/100),IFERROR(VALUE(TRIM(LEFT(MID($A111,FIND("/",$A111)+1,20),FIND("/",MID($A111,FIND("/",$A111)+1,20))-1))),"")))</f>
        <v/>
      </c>
      <c r="D111">
        <f>IF(OR($A111="",$B111=""),"",IF(ISNUMBER($A111),MOD($A111,100),IFERROR(VALUE(TRIM(MID(MID($A111,FIND("/",$A111)+1,20),FIND("/",MID($A111,FIND("/",$A111)+1,20))+1,20))),"")))</f>
        <v/>
      </c>
      <c r="E111">
        <f>IF($A111="","",IF(OR($B111="",$C111="",$D111="",$B111&lt;1300,$B111&gt;1500,$C111&lt;1,$C111&gt;12,$D111&lt;1,$D111&gt;31),"نامعتبر",RIGHT("0000"&amp;$B111,4)&amp;"/"&amp;RIGHT("00"&amp;$C111,2)&amp;"/"&amp;RIGHT("00"&amp;$D111,2)))</f>
        <v/>
      </c>
      <c r="F111">
        <f>IF(OR($E111="",$E111="نامعتبر"),"",IF(Sync!$Q108="","0000",IF(AND(ISNUMBER(Sync!$Q108),Sync!$Q108&gt;=0,Sync!$Q108&lt;1),RIGHT("00"&amp;HOUR(Sync!$Q108),2)&amp;RIGHT("00"&amp;MINUTE(Sync!$Q108),2),IFERROR(RIGHT("00"&amp;VALUE(LEFT(Sync!$Q108,FIND(":",Sync!$Q108)-1)),2)&amp;RIGHT("00"&amp;VALUE(MID(Sync!$Q108,FIND(":",Sync!$Q108)+1,2)),2),"0000"))))</f>
        <v/>
      </c>
      <c r="G111">
        <f>IF(OR($E111="",$E111="نامعتبر"),"",IF(Sync!$S108="","",Sync!$S108))</f>
        <v/>
      </c>
      <c r="H111">
        <f>IF(OR($E111="",$E111="نامعتبر"),"",IF(Sync!$R108="","",Sync!$R108))</f>
        <v/>
      </c>
      <c r="I111">
        <f>IF(OR($E111="",$E111="نامعتبر"),"",IF(Sync!$T108="","",Sync!$T108))</f>
        <v/>
      </c>
      <c r="J111">
        <f>IF(OR($E111="",$E111="نامعتبر"),"",IF(Sync!$U108="","",Sync!$U108))</f>
        <v/>
      </c>
      <c r="K111">
        <f>IF(OR($E111="",$E111="نامعتبر"),"",IF(Sync!$V108="","",IFERROR(INDEX(SubCodes,MATCH(Sync!$V108,SubTitles,0)),Sync!$V108)))</f>
        <v/>
      </c>
      <c r="L111">
        <f>IF(OR($E111="",$E111="نامعتبر"),"",IF(Sync!$W108="",0,Sync!$W108))</f>
        <v/>
      </c>
      <c r="M111">
        <f>IF(OR($E111="",$E111="نامعتبر"),"",IF(Sync!$X108="",0,Sync!$X108))</f>
        <v/>
      </c>
      <c r="N111">
        <f>IF(OR($E111="",$E111="نامعتبر"),"",IF(AND($J111="هزینه",$K111&lt;&gt;""),1,0))</f>
        <v/>
      </c>
      <c r="O111">
        <f>IF($N111=0,"",LEFT($E111,4)&amp;MID($E111,6,2)&amp;RIGHT($E111,2)&amp;$F111&amp;"|"&amp;"1"&amp;RIGHT("00000"&amp;103,5))</f>
        <v/>
      </c>
      <c r="P111">
        <f>IF($O111="","",COUNTIFS(ExpSub,$K111,ExpKey,"&lt;"&amp;$O111)+1)</f>
        <v/>
      </c>
      <c r="Q111">
        <f>IF($P111="","",$K111&amp;"|"&amp;RIGHT("000000"&amp;$P111,6))</f>
        <v/>
      </c>
    </row>
    <row r="112">
      <c r="A112">
        <f>IF(Sync!$P109="","",Sync!$P109)</f>
        <v/>
      </c>
      <c r="B112">
        <f>IF($A112="","",IF(ISNUMBER($A112),IF(AND($A112&gt;=10000101,$A112&lt;=99991231),INT($A112/10000),""),IFERROR(VALUE(TRIM(LEFT($A112,FIND("/",$A112)-1))),"")))</f>
        <v/>
      </c>
      <c r="C112">
        <f>IF(OR($A112="",$B112=""),"",IF(ISNUMBER($A112),INT(MOD($A112,10000)/100),IFERROR(VALUE(TRIM(LEFT(MID($A112,FIND("/",$A112)+1,20),FIND("/",MID($A112,FIND("/",$A112)+1,20))-1))),"")))</f>
        <v/>
      </c>
      <c r="D112">
        <f>IF(OR($A112="",$B112=""),"",IF(ISNUMBER($A112),MOD($A112,100),IFERROR(VALUE(TRIM(MID(MID($A112,FIND("/",$A112)+1,20),FIND("/",MID($A112,FIND("/",$A112)+1,20))+1,20))),"")))</f>
        <v/>
      </c>
      <c r="E112">
        <f>IF($A112="","",IF(OR($B112="",$C112="",$D112="",$B112&lt;1300,$B112&gt;1500,$C112&lt;1,$C112&gt;12,$D112&lt;1,$D112&gt;31),"نامعتبر",RIGHT("0000"&amp;$B112,4)&amp;"/"&amp;RIGHT("00"&amp;$C112,2)&amp;"/"&amp;RIGHT("00"&amp;$D112,2)))</f>
        <v/>
      </c>
      <c r="F112">
        <f>IF(OR($E112="",$E112="نامعتبر"),"",IF(Sync!$Q109="","0000",IF(AND(ISNUMBER(Sync!$Q109),Sync!$Q109&gt;=0,Sync!$Q109&lt;1),RIGHT("00"&amp;HOUR(Sync!$Q109),2)&amp;RIGHT("00"&amp;MINUTE(Sync!$Q109),2),IFERROR(RIGHT("00"&amp;VALUE(LEFT(Sync!$Q109,FIND(":",Sync!$Q109)-1)),2)&amp;RIGHT("00"&amp;VALUE(MID(Sync!$Q109,FIND(":",Sync!$Q109)+1,2)),2),"0000"))))</f>
        <v/>
      </c>
      <c r="G112">
        <f>IF(OR($E112="",$E112="نامعتبر"),"",IF(Sync!$S109="","",Sync!$S109))</f>
        <v/>
      </c>
      <c r="H112">
        <f>IF(OR($E112="",$E112="نامعتبر"),"",IF(Sync!$R109="","",Sync!$R109))</f>
        <v/>
      </c>
      <c r="I112">
        <f>IF(OR($E112="",$E112="نامعتبر"),"",IF(Sync!$T109="","",Sync!$T109))</f>
        <v/>
      </c>
      <c r="J112">
        <f>IF(OR($E112="",$E112="نامعتبر"),"",IF(Sync!$U109="","",Sync!$U109))</f>
        <v/>
      </c>
      <c r="K112">
        <f>IF(OR($E112="",$E112="نامعتبر"),"",IF(Sync!$V109="","",IFERROR(INDEX(SubCodes,MATCH(Sync!$V109,SubTitles,0)),Sync!$V109)))</f>
        <v/>
      </c>
      <c r="L112">
        <f>IF(OR($E112="",$E112="نامعتبر"),"",IF(Sync!$W109="",0,Sync!$W109))</f>
        <v/>
      </c>
      <c r="M112">
        <f>IF(OR($E112="",$E112="نامعتبر"),"",IF(Sync!$X109="",0,Sync!$X109))</f>
        <v/>
      </c>
      <c r="N112">
        <f>IF(OR($E112="",$E112="نامعتبر"),"",IF(AND($J112="هزینه",$K112&lt;&gt;""),1,0))</f>
        <v/>
      </c>
      <c r="O112">
        <f>IF($N112=0,"",LEFT($E112,4)&amp;MID($E112,6,2)&amp;RIGHT($E112,2)&amp;$F112&amp;"|"&amp;"1"&amp;RIGHT("00000"&amp;104,5))</f>
        <v/>
      </c>
      <c r="P112">
        <f>IF($O112="","",COUNTIFS(ExpSub,$K112,ExpKey,"&lt;"&amp;$O112)+1)</f>
        <v/>
      </c>
      <c r="Q112">
        <f>IF($P112="","",$K112&amp;"|"&amp;RIGHT("000000"&amp;$P112,6))</f>
        <v/>
      </c>
    </row>
    <row r="113">
      <c r="A113">
        <f>IF(Sync!$P110="","",Sync!$P110)</f>
        <v/>
      </c>
      <c r="B113">
        <f>IF($A113="","",IF(ISNUMBER($A113),IF(AND($A113&gt;=10000101,$A113&lt;=99991231),INT($A113/10000),""),IFERROR(VALUE(TRIM(LEFT($A113,FIND("/",$A113)-1))),"")))</f>
        <v/>
      </c>
      <c r="C113">
        <f>IF(OR($A113="",$B113=""),"",IF(ISNUMBER($A113),INT(MOD($A113,10000)/100),IFERROR(VALUE(TRIM(LEFT(MID($A113,FIND("/",$A113)+1,20),FIND("/",MID($A113,FIND("/",$A113)+1,20))-1))),"")))</f>
        <v/>
      </c>
      <c r="D113">
        <f>IF(OR($A113="",$B113=""),"",IF(ISNUMBER($A113),MOD($A113,100),IFERROR(VALUE(TRIM(MID(MID($A113,FIND("/",$A113)+1,20),FIND("/",MID($A113,FIND("/",$A113)+1,20))+1,20))),"")))</f>
        <v/>
      </c>
      <c r="E113">
        <f>IF($A113="","",IF(OR($B113="",$C113="",$D113="",$B113&lt;1300,$B113&gt;1500,$C113&lt;1,$C113&gt;12,$D113&lt;1,$D113&gt;31),"نامعتبر",RIGHT("0000"&amp;$B113,4)&amp;"/"&amp;RIGHT("00"&amp;$C113,2)&amp;"/"&amp;RIGHT("00"&amp;$D113,2)))</f>
        <v/>
      </c>
      <c r="F113">
        <f>IF(OR($E113="",$E113="نامعتبر"),"",IF(Sync!$Q110="","0000",IF(AND(ISNUMBER(Sync!$Q110),Sync!$Q110&gt;=0,Sync!$Q110&lt;1),RIGHT("00"&amp;HOUR(Sync!$Q110),2)&amp;RIGHT("00"&amp;MINUTE(Sync!$Q110),2),IFERROR(RIGHT("00"&amp;VALUE(LEFT(Sync!$Q110,FIND(":",Sync!$Q110)-1)),2)&amp;RIGHT("00"&amp;VALUE(MID(Sync!$Q110,FIND(":",Sync!$Q110)+1,2)),2),"0000"))))</f>
        <v/>
      </c>
      <c r="G113">
        <f>IF(OR($E113="",$E113="نامعتبر"),"",IF(Sync!$S110="","",Sync!$S110))</f>
        <v/>
      </c>
      <c r="H113">
        <f>IF(OR($E113="",$E113="نامعتبر"),"",IF(Sync!$R110="","",Sync!$R110))</f>
        <v/>
      </c>
      <c r="I113">
        <f>IF(OR($E113="",$E113="نامعتبر"),"",IF(Sync!$T110="","",Sync!$T110))</f>
        <v/>
      </c>
      <c r="J113">
        <f>IF(OR($E113="",$E113="نامعتبر"),"",IF(Sync!$U110="","",Sync!$U110))</f>
        <v/>
      </c>
      <c r="K113">
        <f>IF(OR($E113="",$E113="نامعتبر"),"",IF(Sync!$V110="","",IFERROR(INDEX(SubCodes,MATCH(Sync!$V110,SubTitles,0)),Sync!$V110)))</f>
        <v/>
      </c>
      <c r="L113">
        <f>IF(OR($E113="",$E113="نامعتبر"),"",IF(Sync!$W110="",0,Sync!$W110))</f>
        <v/>
      </c>
      <c r="M113">
        <f>IF(OR($E113="",$E113="نامعتبر"),"",IF(Sync!$X110="",0,Sync!$X110))</f>
        <v/>
      </c>
      <c r="N113">
        <f>IF(OR($E113="",$E113="نامعتبر"),"",IF(AND($J113="هزینه",$K113&lt;&gt;""),1,0))</f>
        <v/>
      </c>
      <c r="O113">
        <f>IF($N113=0,"",LEFT($E113,4)&amp;MID($E113,6,2)&amp;RIGHT($E113,2)&amp;$F113&amp;"|"&amp;"1"&amp;RIGHT("00000"&amp;105,5))</f>
        <v/>
      </c>
      <c r="P113">
        <f>IF($O113="","",COUNTIFS(ExpSub,$K113,ExpKey,"&lt;"&amp;$O113)+1)</f>
        <v/>
      </c>
      <c r="Q113">
        <f>IF($P113="","",$K113&amp;"|"&amp;RIGHT("000000"&amp;$P113,6))</f>
        <v/>
      </c>
    </row>
    <row r="114">
      <c r="A114">
        <f>IF(Sync!$P111="","",Sync!$P111)</f>
        <v/>
      </c>
      <c r="B114">
        <f>IF($A114="","",IF(ISNUMBER($A114),IF(AND($A114&gt;=10000101,$A114&lt;=99991231),INT($A114/10000),""),IFERROR(VALUE(TRIM(LEFT($A114,FIND("/",$A114)-1))),"")))</f>
        <v/>
      </c>
      <c r="C114">
        <f>IF(OR($A114="",$B114=""),"",IF(ISNUMBER($A114),INT(MOD($A114,10000)/100),IFERROR(VALUE(TRIM(LEFT(MID($A114,FIND("/",$A114)+1,20),FIND("/",MID($A114,FIND("/",$A114)+1,20))-1))),"")))</f>
        <v/>
      </c>
      <c r="D114">
        <f>IF(OR($A114="",$B114=""),"",IF(ISNUMBER($A114),MOD($A114,100),IFERROR(VALUE(TRIM(MID(MID($A114,FIND("/",$A114)+1,20),FIND("/",MID($A114,FIND("/",$A114)+1,20))+1,20))),"")))</f>
        <v/>
      </c>
      <c r="E114">
        <f>IF($A114="","",IF(OR($B114="",$C114="",$D114="",$B114&lt;1300,$B114&gt;1500,$C114&lt;1,$C114&gt;12,$D114&lt;1,$D114&gt;31),"نامعتبر",RIGHT("0000"&amp;$B114,4)&amp;"/"&amp;RIGHT("00"&amp;$C114,2)&amp;"/"&amp;RIGHT("00"&amp;$D114,2)))</f>
        <v/>
      </c>
      <c r="F114">
        <f>IF(OR($E114="",$E114="نامعتبر"),"",IF(Sync!$Q111="","0000",IF(AND(ISNUMBER(Sync!$Q111),Sync!$Q111&gt;=0,Sync!$Q111&lt;1),RIGHT("00"&amp;HOUR(Sync!$Q111),2)&amp;RIGHT("00"&amp;MINUTE(Sync!$Q111),2),IFERROR(RIGHT("00"&amp;VALUE(LEFT(Sync!$Q111,FIND(":",Sync!$Q111)-1)),2)&amp;RIGHT("00"&amp;VALUE(MID(Sync!$Q111,FIND(":",Sync!$Q111)+1,2)),2),"0000"))))</f>
        <v/>
      </c>
      <c r="G114">
        <f>IF(OR($E114="",$E114="نامعتبر"),"",IF(Sync!$S111="","",Sync!$S111))</f>
        <v/>
      </c>
      <c r="H114">
        <f>IF(OR($E114="",$E114="نامعتبر"),"",IF(Sync!$R111="","",Sync!$R111))</f>
        <v/>
      </c>
      <c r="I114">
        <f>IF(OR($E114="",$E114="نامعتبر"),"",IF(Sync!$T111="","",Sync!$T111))</f>
        <v/>
      </c>
      <c r="J114">
        <f>IF(OR($E114="",$E114="نامعتبر"),"",IF(Sync!$U111="","",Sync!$U111))</f>
        <v/>
      </c>
      <c r="K114">
        <f>IF(OR($E114="",$E114="نامعتبر"),"",IF(Sync!$V111="","",IFERROR(INDEX(SubCodes,MATCH(Sync!$V111,SubTitles,0)),Sync!$V111)))</f>
        <v/>
      </c>
      <c r="L114">
        <f>IF(OR($E114="",$E114="نامعتبر"),"",IF(Sync!$W111="",0,Sync!$W111))</f>
        <v/>
      </c>
      <c r="M114">
        <f>IF(OR($E114="",$E114="نامعتبر"),"",IF(Sync!$X111="",0,Sync!$X111))</f>
        <v/>
      </c>
      <c r="N114">
        <f>IF(OR($E114="",$E114="نامعتبر"),"",IF(AND($J114="هزینه",$K114&lt;&gt;""),1,0))</f>
        <v/>
      </c>
      <c r="O114">
        <f>IF($N114=0,"",LEFT($E114,4)&amp;MID($E114,6,2)&amp;RIGHT($E114,2)&amp;$F114&amp;"|"&amp;"1"&amp;RIGHT("00000"&amp;106,5))</f>
        <v/>
      </c>
      <c r="P114">
        <f>IF($O114="","",COUNTIFS(ExpSub,$K114,ExpKey,"&lt;"&amp;$O114)+1)</f>
        <v/>
      </c>
      <c r="Q114">
        <f>IF($P114="","",$K114&amp;"|"&amp;RIGHT("000000"&amp;$P114,6))</f>
        <v/>
      </c>
    </row>
    <row r="115">
      <c r="A115">
        <f>IF(Sync!$P112="","",Sync!$P112)</f>
        <v/>
      </c>
      <c r="B115">
        <f>IF($A115="","",IF(ISNUMBER($A115),IF(AND($A115&gt;=10000101,$A115&lt;=99991231),INT($A115/10000),""),IFERROR(VALUE(TRIM(LEFT($A115,FIND("/",$A115)-1))),"")))</f>
        <v/>
      </c>
      <c r="C115">
        <f>IF(OR($A115="",$B115=""),"",IF(ISNUMBER($A115),INT(MOD($A115,10000)/100),IFERROR(VALUE(TRIM(LEFT(MID($A115,FIND("/",$A115)+1,20),FIND("/",MID($A115,FIND("/",$A115)+1,20))-1))),"")))</f>
        <v/>
      </c>
      <c r="D115">
        <f>IF(OR($A115="",$B115=""),"",IF(ISNUMBER($A115),MOD($A115,100),IFERROR(VALUE(TRIM(MID(MID($A115,FIND("/",$A115)+1,20),FIND("/",MID($A115,FIND("/",$A115)+1,20))+1,20))),"")))</f>
        <v/>
      </c>
      <c r="E115">
        <f>IF($A115="","",IF(OR($B115="",$C115="",$D115="",$B115&lt;1300,$B115&gt;1500,$C115&lt;1,$C115&gt;12,$D115&lt;1,$D115&gt;31),"نامعتبر",RIGHT("0000"&amp;$B115,4)&amp;"/"&amp;RIGHT("00"&amp;$C115,2)&amp;"/"&amp;RIGHT("00"&amp;$D115,2)))</f>
        <v/>
      </c>
      <c r="F115">
        <f>IF(OR($E115="",$E115="نامعتبر"),"",IF(Sync!$Q112="","0000",IF(AND(ISNUMBER(Sync!$Q112),Sync!$Q112&gt;=0,Sync!$Q112&lt;1),RIGHT("00"&amp;HOUR(Sync!$Q112),2)&amp;RIGHT("00"&amp;MINUTE(Sync!$Q112),2),IFERROR(RIGHT("00"&amp;VALUE(LEFT(Sync!$Q112,FIND(":",Sync!$Q112)-1)),2)&amp;RIGHT("00"&amp;VALUE(MID(Sync!$Q112,FIND(":",Sync!$Q112)+1,2)),2),"0000"))))</f>
        <v/>
      </c>
      <c r="G115">
        <f>IF(OR($E115="",$E115="نامعتبر"),"",IF(Sync!$S112="","",Sync!$S112))</f>
        <v/>
      </c>
      <c r="H115">
        <f>IF(OR($E115="",$E115="نامعتبر"),"",IF(Sync!$R112="","",Sync!$R112))</f>
        <v/>
      </c>
      <c r="I115">
        <f>IF(OR($E115="",$E115="نامعتبر"),"",IF(Sync!$T112="","",Sync!$T112))</f>
        <v/>
      </c>
      <c r="J115">
        <f>IF(OR($E115="",$E115="نامعتبر"),"",IF(Sync!$U112="","",Sync!$U112))</f>
        <v/>
      </c>
      <c r="K115">
        <f>IF(OR($E115="",$E115="نامعتبر"),"",IF(Sync!$V112="","",IFERROR(INDEX(SubCodes,MATCH(Sync!$V112,SubTitles,0)),Sync!$V112)))</f>
        <v/>
      </c>
      <c r="L115">
        <f>IF(OR($E115="",$E115="نامعتبر"),"",IF(Sync!$W112="",0,Sync!$W112))</f>
        <v/>
      </c>
      <c r="M115">
        <f>IF(OR($E115="",$E115="نامعتبر"),"",IF(Sync!$X112="",0,Sync!$X112))</f>
        <v/>
      </c>
      <c r="N115">
        <f>IF(OR($E115="",$E115="نامعتبر"),"",IF(AND($J115="هزینه",$K115&lt;&gt;""),1,0))</f>
        <v/>
      </c>
      <c r="O115">
        <f>IF($N115=0,"",LEFT($E115,4)&amp;MID($E115,6,2)&amp;RIGHT($E115,2)&amp;$F115&amp;"|"&amp;"1"&amp;RIGHT("00000"&amp;107,5))</f>
        <v/>
      </c>
      <c r="P115">
        <f>IF($O115="","",COUNTIFS(ExpSub,$K115,ExpKey,"&lt;"&amp;$O115)+1)</f>
        <v/>
      </c>
      <c r="Q115">
        <f>IF($P115="","",$K115&amp;"|"&amp;RIGHT("000000"&amp;$P115,6))</f>
        <v/>
      </c>
    </row>
    <row r="116">
      <c r="A116">
        <f>IF(Sync!$P113="","",Sync!$P113)</f>
        <v/>
      </c>
      <c r="B116">
        <f>IF($A116="","",IF(ISNUMBER($A116),IF(AND($A116&gt;=10000101,$A116&lt;=99991231),INT($A116/10000),""),IFERROR(VALUE(TRIM(LEFT($A116,FIND("/",$A116)-1))),"")))</f>
        <v/>
      </c>
      <c r="C116">
        <f>IF(OR($A116="",$B116=""),"",IF(ISNUMBER($A116),INT(MOD($A116,10000)/100),IFERROR(VALUE(TRIM(LEFT(MID($A116,FIND("/",$A116)+1,20),FIND("/",MID($A116,FIND("/",$A116)+1,20))-1))),"")))</f>
        <v/>
      </c>
      <c r="D116">
        <f>IF(OR($A116="",$B116=""),"",IF(ISNUMBER($A116),MOD($A116,100),IFERROR(VALUE(TRIM(MID(MID($A116,FIND("/",$A116)+1,20),FIND("/",MID($A116,FIND("/",$A116)+1,20))+1,20))),"")))</f>
        <v/>
      </c>
      <c r="E116">
        <f>IF($A116="","",IF(OR($B116="",$C116="",$D116="",$B116&lt;1300,$B116&gt;1500,$C116&lt;1,$C116&gt;12,$D116&lt;1,$D116&gt;31),"نامعتبر",RIGHT("0000"&amp;$B116,4)&amp;"/"&amp;RIGHT("00"&amp;$C116,2)&amp;"/"&amp;RIGHT("00"&amp;$D116,2)))</f>
        <v/>
      </c>
      <c r="F116">
        <f>IF(OR($E116="",$E116="نامعتبر"),"",IF(Sync!$Q113="","0000",IF(AND(ISNUMBER(Sync!$Q113),Sync!$Q113&gt;=0,Sync!$Q113&lt;1),RIGHT("00"&amp;HOUR(Sync!$Q113),2)&amp;RIGHT("00"&amp;MINUTE(Sync!$Q113),2),IFERROR(RIGHT("00"&amp;VALUE(LEFT(Sync!$Q113,FIND(":",Sync!$Q113)-1)),2)&amp;RIGHT("00"&amp;VALUE(MID(Sync!$Q113,FIND(":",Sync!$Q113)+1,2)),2),"0000"))))</f>
        <v/>
      </c>
      <c r="G116">
        <f>IF(OR($E116="",$E116="نامعتبر"),"",IF(Sync!$S113="","",Sync!$S113))</f>
        <v/>
      </c>
      <c r="H116">
        <f>IF(OR($E116="",$E116="نامعتبر"),"",IF(Sync!$R113="","",Sync!$R113))</f>
        <v/>
      </c>
      <c r="I116">
        <f>IF(OR($E116="",$E116="نامعتبر"),"",IF(Sync!$T113="","",Sync!$T113))</f>
        <v/>
      </c>
      <c r="J116">
        <f>IF(OR($E116="",$E116="نامعتبر"),"",IF(Sync!$U113="","",Sync!$U113))</f>
        <v/>
      </c>
      <c r="K116">
        <f>IF(OR($E116="",$E116="نامعتبر"),"",IF(Sync!$V113="","",IFERROR(INDEX(SubCodes,MATCH(Sync!$V113,SubTitles,0)),Sync!$V113)))</f>
        <v/>
      </c>
      <c r="L116">
        <f>IF(OR($E116="",$E116="نامعتبر"),"",IF(Sync!$W113="",0,Sync!$W113))</f>
        <v/>
      </c>
      <c r="M116">
        <f>IF(OR($E116="",$E116="نامعتبر"),"",IF(Sync!$X113="",0,Sync!$X113))</f>
        <v/>
      </c>
      <c r="N116">
        <f>IF(OR($E116="",$E116="نامعتبر"),"",IF(AND($J116="هزینه",$K116&lt;&gt;""),1,0))</f>
        <v/>
      </c>
      <c r="O116">
        <f>IF($N116=0,"",LEFT($E116,4)&amp;MID($E116,6,2)&amp;RIGHT($E116,2)&amp;$F116&amp;"|"&amp;"1"&amp;RIGHT("00000"&amp;108,5))</f>
        <v/>
      </c>
      <c r="P116">
        <f>IF($O116="","",COUNTIFS(ExpSub,$K116,ExpKey,"&lt;"&amp;$O116)+1)</f>
        <v/>
      </c>
      <c r="Q116">
        <f>IF($P116="","",$K116&amp;"|"&amp;RIGHT("000000"&amp;$P116,6))</f>
        <v/>
      </c>
    </row>
    <row r="117">
      <c r="A117">
        <f>IF(Sync!$P114="","",Sync!$P114)</f>
        <v/>
      </c>
      <c r="B117">
        <f>IF($A117="","",IF(ISNUMBER($A117),IF(AND($A117&gt;=10000101,$A117&lt;=99991231),INT($A117/10000),""),IFERROR(VALUE(TRIM(LEFT($A117,FIND("/",$A117)-1))),"")))</f>
        <v/>
      </c>
      <c r="C117">
        <f>IF(OR($A117="",$B117=""),"",IF(ISNUMBER($A117),INT(MOD($A117,10000)/100),IFERROR(VALUE(TRIM(LEFT(MID($A117,FIND("/",$A117)+1,20),FIND("/",MID($A117,FIND("/",$A117)+1,20))-1))),"")))</f>
        <v/>
      </c>
      <c r="D117">
        <f>IF(OR($A117="",$B117=""),"",IF(ISNUMBER($A117),MOD($A117,100),IFERROR(VALUE(TRIM(MID(MID($A117,FIND("/",$A117)+1,20),FIND("/",MID($A117,FIND("/",$A117)+1,20))+1,20))),"")))</f>
        <v/>
      </c>
      <c r="E117">
        <f>IF($A117="","",IF(OR($B117="",$C117="",$D117="",$B117&lt;1300,$B117&gt;1500,$C117&lt;1,$C117&gt;12,$D117&lt;1,$D117&gt;31),"نامعتبر",RIGHT("0000"&amp;$B117,4)&amp;"/"&amp;RIGHT("00"&amp;$C117,2)&amp;"/"&amp;RIGHT("00"&amp;$D117,2)))</f>
        <v/>
      </c>
      <c r="F117">
        <f>IF(OR($E117="",$E117="نامعتبر"),"",IF(Sync!$Q114="","0000",IF(AND(ISNUMBER(Sync!$Q114),Sync!$Q114&gt;=0,Sync!$Q114&lt;1),RIGHT("00"&amp;HOUR(Sync!$Q114),2)&amp;RIGHT("00"&amp;MINUTE(Sync!$Q114),2),IFERROR(RIGHT("00"&amp;VALUE(LEFT(Sync!$Q114,FIND(":",Sync!$Q114)-1)),2)&amp;RIGHT("00"&amp;VALUE(MID(Sync!$Q114,FIND(":",Sync!$Q114)+1,2)),2),"0000"))))</f>
        <v/>
      </c>
      <c r="G117">
        <f>IF(OR($E117="",$E117="نامعتبر"),"",IF(Sync!$S114="","",Sync!$S114))</f>
        <v/>
      </c>
      <c r="H117">
        <f>IF(OR($E117="",$E117="نامعتبر"),"",IF(Sync!$R114="","",Sync!$R114))</f>
        <v/>
      </c>
      <c r="I117">
        <f>IF(OR($E117="",$E117="نامعتبر"),"",IF(Sync!$T114="","",Sync!$T114))</f>
        <v/>
      </c>
      <c r="J117">
        <f>IF(OR($E117="",$E117="نامعتبر"),"",IF(Sync!$U114="","",Sync!$U114))</f>
        <v/>
      </c>
      <c r="K117">
        <f>IF(OR($E117="",$E117="نامعتبر"),"",IF(Sync!$V114="","",IFERROR(INDEX(SubCodes,MATCH(Sync!$V114,SubTitles,0)),Sync!$V114)))</f>
        <v/>
      </c>
      <c r="L117">
        <f>IF(OR($E117="",$E117="نامعتبر"),"",IF(Sync!$W114="",0,Sync!$W114))</f>
        <v/>
      </c>
      <c r="M117">
        <f>IF(OR($E117="",$E117="نامعتبر"),"",IF(Sync!$X114="",0,Sync!$X114))</f>
        <v/>
      </c>
      <c r="N117">
        <f>IF(OR($E117="",$E117="نامعتبر"),"",IF(AND($J117="هزینه",$K117&lt;&gt;""),1,0))</f>
        <v/>
      </c>
      <c r="O117">
        <f>IF($N117=0,"",LEFT($E117,4)&amp;MID($E117,6,2)&amp;RIGHT($E117,2)&amp;$F117&amp;"|"&amp;"1"&amp;RIGHT("00000"&amp;109,5))</f>
        <v/>
      </c>
      <c r="P117">
        <f>IF($O117="","",COUNTIFS(ExpSub,$K117,ExpKey,"&lt;"&amp;$O117)+1)</f>
        <v/>
      </c>
      <c r="Q117">
        <f>IF($P117="","",$K117&amp;"|"&amp;RIGHT("000000"&amp;$P117,6))</f>
        <v/>
      </c>
    </row>
    <row r="118">
      <c r="A118">
        <f>IF(Sync!$P115="","",Sync!$P115)</f>
        <v/>
      </c>
      <c r="B118">
        <f>IF($A118="","",IF(ISNUMBER($A118),IF(AND($A118&gt;=10000101,$A118&lt;=99991231),INT($A118/10000),""),IFERROR(VALUE(TRIM(LEFT($A118,FIND("/",$A118)-1))),"")))</f>
        <v/>
      </c>
      <c r="C118">
        <f>IF(OR($A118="",$B118=""),"",IF(ISNUMBER($A118),INT(MOD($A118,10000)/100),IFERROR(VALUE(TRIM(LEFT(MID($A118,FIND("/",$A118)+1,20),FIND("/",MID($A118,FIND("/",$A118)+1,20))-1))),"")))</f>
        <v/>
      </c>
      <c r="D118">
        <f>IF(OR($A118="",$B118=""),"",IF(ISNUMBER($A118),MOD($A118,100),IFERROR(VALUE(TRIM(MID(MID($A118,FIND("/",$A118)+1,20),FIND("/",MID($A118,FIND("/",$A118)+1,20))+1,20))),"")))</f>
        <v/>
      </c>
      <c r="E118">
        <f>IF($A118="","",IF(OR($B118="",$C118="",$D118="",$B118&lt;1300,$B118&gt;1500,$C118&lt;1,$C118&gt;12,$D118&lt;1,$D118&gt;31),"نامعتبر",RIGHT("0000"&amp;$B118,4)&amp;"/"&amp;RIGHT("00"&amp;$C118,2)&amp;"/"&amp;RIGHT("00"&amp;$D118,2)))</f>
        <v/>
      </c>
      <c r="F118">
        <f>IF(OR($E118="",$E118="نامعتبر"),"",IF(Sync!$Q115="","0000",IF(AND(ISNUMBER(Sync!$Q115),Sync!$Q115&gt;=0,Sync!$Q115&lt;1),RIGHT("00"&amp;HOUR(Sync!$Q115),2)&amp;RIGHT("00"&amp;MINUTE(Sync!$Q115),2),IFERROR(RIGHT("00"&amp;VALUE(LEFT(Sync!$Q115,FIND(":",Sync!$Q115)-1)),2)&amp;RIGHT("00"&amp;VALUE(MID(Sync!$Q115,FIND(":",Sync!$Q115)+1,2)),2),"0000"))))</f>
        <v/>
      </c>
      <c r="G118">
        <f>IF(OR($E118="",$E118="نامعتبر"),"",IF(Sync!$S115="","",Sync!$S115))</f>
        <v/>
      </c>
      <c r="H118">
        <f>IF(OR($E118="",$E118="نامعتبر"),"",IF(Sync!$R115="","",Sync!$R115))</f>
        <v/>
      </c>
      <c r="I118">
        <f>IF(OR($E118="",$E118="نامعتبر"),"",IF(Sync!$T115="","",Sync!$T115))</f>
        <v/>
      </c>
      <c r="J118">
        <f>IF(OR($E118="",$E118="نامعتبر"),"",IF(Sync!$U115="","",Sync!$U115))</f>
        <v/>
      </c>
      <c r="K118">
        <f>IF(OR($E118="",$E118="نامعتبر"),"",IF(Sync!$V115="","",IFERROR(INDEX(SubCodes,MATCH(Sync!$V115,SubTitles,0)),Sync!$V115)))</f>
        <v/>
      </c>
      <c r="L118">
        <f>IF(OR($E118="",$E118="نامعتبر"),"",IF(Sync!$W115="",0,Sync!$W115))</f>
        <v/>
      </c>
      <c r="M118">
        <f>IF(OR($E118="",$E118="نامعتبر"),"",IF(Sync!$X115="",0,Sync!$X115))</f>
        <v/>
      </c>
      <c r="N118">
        <f>IF(OR($E118="",$E118="نامعتبر"),"",IF(AND($J118="هزینه",$K118&lt;&gt;""),1,0))</f>
        <v/>
      </c>
      <c r="O118">
        <f>IF($N118=0,"",LEFT($E118,4)&amp;MID($E118,6,2)&amp;RIGHT($E118,2)&amp;$F118&amp;"|"&amp;"1"&amp;RIGHT("00000"&amp;110,5))</f>
        <v/>
      </c>
      <c r="P118">
        <f>IF($O118="","",COUNTIFS(ExpSub,$K118,ExpKey,"&lt;"&amp;$O118)+1)</f>
        <v/>
      </c>
      <c r="Q118">
        <f>IF($P118="","",$K118&amp;"|"&amp;RIGHT("000000"&amp;$P118,6))</f>
        <v/>
      </c>
    </row>
    <row r="119">
      <c r="A119">
        <f>IF(Sync!$P116="","",Sync!$P116)</f>
        <v/>
      </c>
      <c r="B119">
        <f>IF($A119="","",IF(ISNUMBER($A119),IF(AND($A119&gt;=10000101,$A119&lt;=99991231),INT($A119/10000),""),IFERROR(VALUE(TRIM(LEFT($A119,FIND("/",$A119)-1))),"")))</f>
        <v/>
      </c>
      <c r="C119">
        <f>IF(OR($A119="",$B119=""),"",IF(ISNUMBER($A119),INT(MOD($A119,10000)/100),IFERROR(VALUE(TRIM(LEFT(MID($A119,FIND("/",$A119)+1,20),FIND("/",MID($A119,FIND("/",$A119)+1,20))-1))),"")))</f>
        <v/>
      </c>
      <c r="D119">
        <f>IF(OR($A119="",$B119=""),"",IF(ISNUMBER($A119),MOD($A119,100),IFERROR(VALUE(TRIM(MID(MID($A119,FIND("/",$A119)+1,20),FIND("/",MID($A119,FIND("/",$A119)+1,20))+1,20))),"")))</f>
        <v/>
      </c>
      <c r="E119">
        <f>IF($A119="","",IF(OR($B119="",$C119="",$D119="",$B119&lt;1300,$B119&gt;1500,$C119&lt;1,$C119&gt;12,$D119&lt;1,$D119&gt;31),"نامعتبر",RIGHT("0000"&amp;$B119,4)&amp;"/"&amp;RIGHT("00"&amp;$C119,2)&amp;"/"&amp;RIGHT("00"&amp;$D119,2)))</f>
        <v/>
      </c>
      <c r="F119">
        <f>IF(OR($E119="",$E119="نامعتبر"),"",IF(Sync!$Q116="","0000",IF(AND(ISNUMBER(Sync!$Q116),Sync!$Q116&gt;=0,Sync!$Q116&lt;1),RIGHT("00"&amp;HOUR(Sync!$Q116),2)&amp;RIGHT("00"&amp;MINUTE(Sync!$Q116),2),IFERROR(RIGHT("00"&amp;VALUE(LEFT(Sync!$Q116,FIND(":",Sync!$Q116)-1)),2)&amp;RIGHT("00"&amp;VALUE(MID(Sync!$Q116,FIND(":",Sync!$Q116)+1,2)),2),"0000"))))</f>
        <v/>
      </c>
      <c r="G119">
        <f>IF(OR($E119="",$E119="نامعتبر"),"",IF(Sync!$S116="","",Sync!$S116))</f>
        <v/>
      </c>
      <c r="H119">
        <f>IF(OR($E119="",$E119="نامعتبر"),"",IF(Sync!$R116="","",Sync!$R116))</f>
        <v/>
      </c>
      <c r="I119">
        <f>IF(OR($E119="",$E119="نامعتبر"),"",IF(Sync!$T116="","",Sync!$T116))</f>
        <v/>
      </c>
      <c r="J119">
        <f>IF(OR($E119="",$E119="نامعتبر"),"",IF(Sync!$U116="","",Sync!$U116))</f>
        <v/>
      </c>
      <c r="K119">
        <f>IF(OR($E119="",$E119="نامعتبر"),"",IF(Sync!$V116="","",IFERROR(INDEX(SubCodes,MATCH(Sync!$V116,SubTitles,0)),Sync!$V116)))</f>
        <v/>
      </c>
      <c r="L119">
        <f>IF(OR($E119="",$E119="نامعتبر"),"",IF(Sync!$W116="",0,Sync!$W116))</f>
        <v/>
      </c>
      <c r="M119">
        <f>IF(OR($E119="",$E119="نامعتبر"),"",IF(Sync!$X116="",0,Sync!$X116))</f>
        <v/>
      </c>
      <c r="N119">
        <f>IF(OR($E119="",$E119="نامعتبر"),"",IF(AND($J119="هزینه",$K119&lt;&gt;""),1,0))</f>
        <v/>
      </c>
      <c r="O119">
        <f>IF($N119=0,"",LEFT($E119,4)&amp;MID($E119,6,2)&amp;RIGHT($E119,2)&amp;$F119&amp;"|"&amp;"1"&amp;RIGHT("00000"&amp;111,5))</f>
        <v/>
      </c>
      <c r="P119">
        <f>IF($O119="","",COUNTIFS(ExpSub,$K119,ExpKey,"&lt;"&amp;$O119)+1)</f>
        <v/>
      </c>
      <c r="Q119">
        <f>IF($P119="","",$K119&amp;"|"&amp;RIGHT("000000"&amp;$P119,6))</f>
        <v/>
      </c>
    </row>
    <row r="120">
      <c r="A120">
        <f>IF(Sync!$P117="","",Sync!$P117)</f>
        <v/>
      </c>
      <c r="B120">
        <f>IF($A120="","",IF(ISNUMBER($A120),IF(AND($A120&gt;=10000101,$A120&lt;=99991231),INT($A120/10000),""),IFERROR(VALUE(TRIM(LEFT($A120,FIND("/",$A120)-1))),"")))</f>
        <v/>
      </c>
      <c r="C120">
        <f>IF(OR($A120="",$B120=""),"",IF(ISNUMBER($A120),INT(MOD($A120,10000)/100),IFERROR(VALUE(TRIM(LEFT(MID($A120,FIND("/",$A120)+1,20),FIND("/",MID($A120,FIND("/",$A120)+1,20))-1))),"")))</f>
        <v/>
      </c>
      <c r="D120">
        <f>IF(OR($A120="",$B120=""),"",IF(ISNUMBER($A120),MOD($A120,100),IFERROR(VALUE(TRIM(MID(MID($A120,FIND("/",$A120)+1,20),FIND("/",MID($A120,FIND("/",$A120)+1,20))+1,20))),"")))</f>
        <v/>
      </c>
      <c r="E120">
        <f>IF($A120="","",IF(OR($B120="",$C120="",$D120="",$B120&lt;1300,$B120&gt;1500,$C120&lt;1,$C120&gt;12,$D120&lt;1,$D120&gt;31),"نامعتبر",RIGHT("0000"&amp;$B120,4)&amp;"/"&amp;RIGHT("00"&amp;$C120,2)&amp;"/"&amp;RIGHT("00"&amp;$D120,2)))</f>
        <v/>
      </c>
      <c r="F120">
        <f>IF(OR($E120="",$E120="نامعتبر"),"",IF(Sync!$Q117="","0000",IF(AND(ISNUMBER(Sync!$Q117),Sync!$Q117&gt;=0,Sync!$Q117&lt;1),RIGHT("00"&amp;HOUR(Sync!$Q117),2)&amp;RIGHT("00"&amp;MINUTE(Sync!$Q117),2),IFERROR(RIGHT("00"&amp;VALUE(LEFT(Sync!$Q117,FIND(":",Sync!$Q117)-1)),2)&amp;RIGHT("00"&amp;VALUE(MID(Sync!$Q117,FIND(":",Sync!$Q117)+1,2)),2),"0000"))))</f>
        <v/>
      </c>
      <c r="G120">
        <f>IF(OR($E120="",$E120="نامعتبر"),"",IF(Sync!$S117="","",Sync!$S117))</f>
        <v/>
      </c>
      <c r="H120">
        <f>IF(OR($E120="",$E120="نامعتبر"),"",IF(Sync!$R117="","",Sync!$R117))</f>
        <v/>
      </c>
      <c r="I120">
        <f>IF(OR($E120="",$E120="نامعتبر"),"",IF(Sync!$T117="","",Sync!$T117))</f>
        <v/>
      </c>
      <c r="J120">
        <f>IF(OR($E120="",$E120="نامعتبر"),"",IF(Sync!$U117="","",Sync!$U117))</f>
        <v/>
      </c>
      <c r="K120">
        <f>IF(OR($E120="",$E120="نامعتبر"),"",IF(Sync!$V117="","",IFERROR(INDEX(SubCodes,MATCH(Sync!$V117,SubTitles,0)),Sync!$V117)))</f>
        <v/>
      </c>
      <c r="L120">
        <f>IF(OR($E120="",$E120="نامعتبر"),"",IF(Sync!$W117="",0,Sync!$W117))</f>
        <v/>
      </c>
      <c r="M120">
        <f>IF(OR($E120="",$E120="نامعتبر"),"",IF(Sync!$X117="",0,Sync!$X117))</f>
        <v/>
      </c>
      <c r="N120">
        <f>IF(OR($E120="",$E120="نامعتبر"),"",IF(AND($J120="هزینه",$K120&lt;&gt;""),1,0))</f>
        <v/>
      </c>
      <c r="O120">
        <f>IF($N120=0,"",LEFT($E120,4)&amp;MID($E120,6,2)&amp;RIGHT($E120,2)&amp;$F120&amp;"|"&amp;"1"&amp;RIGHT("00000"&amp;112,5))</f>
        <v/>
      </c>
      <c r="P120">
        <f>IF($O120="","",COUNTIFS(ExpSub,$K120,ExpKey,"&lt;"&amp;$O120)+1)</f>
        <v/>
      </c>
      <c r="Q120">
        <f>IF($P120="","",$K120&amp;"|"&amp;RIGHT("000000"&amp;$P120,6))</f>
        <v/>
      </c>
    </row>
    <row r="121">
      <c r="A121">
        <f>IF(Sync!$P118="","",Sync!$P118)</f>
        <v/>
      </c>
      <c r="B121">
        <f>IF($A121="","",IF(ISNUMBER($A121),IF(AND($A121&gt;=10000101,$A121&lt;=99991231),INT($A121/10000),""),IFERROR(VALUE(TRIM(LEFT($A121,FIND("/",$A121)-1))),"")))</f>
        <v/>
      </c>
      <c r="C121">
        <f>IF(OR($A121="",$B121=""),"",IF(ISNUMBER($A121),INT(MOD($A121,10000)/100),IFERROR(VALUE(TRIM(LEFT(MID($A121,FIND("/",$A121)+1,20),FIND("/",MID($A121,FIND("/",$A121)+1,20))-1))),"")))</f>
        <v/>
      </c>
      <c r="D121">
        <f>IF(OR($A121="",$B121=""),"",IF(ISNUMBER($A121),MOD($A121,100),IFERROR(VALUE(TRIM(MID(MID($A121,FIND("/",$A121)+1,20),FIND("/",MID($A121,FIND("/",$A121)+1,20))+1,20))),"")))</f>
        <v/>
      </c>
      <c r="E121">
        <f>IF($A121="","",IF(OR($B121="",$C121="",$D121="",$B121&lt;1300,$B121&gt;1500,$C121&lt;1,$C121&gt;12,$D121&lt;1,$D121&gt;31),"نامعتبر",RIGHT("0000"&amp;$B121,4)&amp;"/"&amp;RIGHT("00"&amp;$C121,2)&amp;"/"&amp;RIGHT("00"&amp;$D121,2)))</f>
        <v/>
      </c>
      <c r="F121">
        <f>IF(OR($E121="",$E121="نامعتبر"),"",IF(Sync!$Q118="","0000",IF(AND(ISNUMBER(Sync!$Q118),Sync!$Q118&gt;=0,Sync!$Q118&lt;1),RIGHT("00"&amp;HOUR(Sync!$Q118),2)&amp;RIGHT("00"&amp;MINUTE(Sync!$Q118),2),IFERROR(RIGHT("00"&amp;VALUE(LEFT(Sync!$Q118,FIND(":",Sync!$Q118)-1)),2)&amp;RIGHT("00"&amp;VALUE(MID(Sync!$Q118,FIND(":",Sync!$Q118)+1,2)),2),"0000"))))</f>
        <v/>
      </c>
      <c r="G121">
        <f>IF(OR($E121="",$E121="نامعتبر"),"",IF(Sync!$S118="","",Sync!$S118))</f>
        <v/>
      </c>
      <c r="H121">
        <f>IF(OR($E121="",$E121="نامعتبر"),"",IF(Sync!$R118="","",Sync!$R118))</f>
        <v/>
      </c>
      <c r="I121">
        <f>IF(OR($E121="",$E121="نامعتبر"),"",IF(Sync!$T118="","",Sync!$T118))</f>
        <v/>
      </c>
      <c r="J121">
        <f>IF(OR($E121="",$E121="نامعتبر"),"",IF(Sync!$U118="","",Sync!$U118))</f>
        <v/>
      </c>
      <c r="K121">
        <f>IF(OR($E121="",$E121="نامعتبر"),"",IF(Sync!$V118="","",IFERROR(INDEX(SubCodes,MATCH(Sync!$V118,SubTitles,0)),Sync!$V118)))</f>
        <v/>
      </c>
      <c r="L121">
        <f>IF(OR($E121="",$E121="نامعتبر"),"",IF(Sync!$W118="",0,Sync!$W118))</f>
        <v/>
      </c>
      <c r="M121">
        <f>IF(OR($E121="",$E121="نامعتبر"),"",IF(Sync!$X118="",0,Sync!$X118))</f>
        <v/>
      </c>
      <c r="N121">
        <f>IF(OR($E121="",$E121="نامعتبر"),"",IF(AND($J121="هزینه",$K121&lt;&gt;""),1,0))</f>
        <v/>
      </c>
      <c r="O121">
        <f>IF($N121=0,"",LEFT($E121,4)&amp;MID($E121,6,2)&amp;RIGHT($E121,2)&amp;$F121&amp;"|"&amp;"1"&amp;RIGHT("00000"&amp;113,5))</f>
        <v/>
      </c>
      <c r="P121">
        <f>IF($O121="","",COUNTIFS(ExpSub,$K121,ExpKey,"&lt;"&amp;$O121)+1)</f>
        <v/>
      </c>
      <c r="Q121">
        <f>IF($P121="","",$K121&amp;"|"&amp;RIGHT("000000"&amp;$P121,6))</f>
        <v/>
      </c>
    </row>
    <row r="122">
      <c r="A122">
        <f>IF(Sync!$P119="","",Sync!$P119)</f>
        <v/>
      </c>
      <c r="B122">
        <f>IF($A122="","",IF(ISNUMBER($A122),IF(AND($A122&gt;=10000101,$A122&lt;=99991231),INT($A122/10000),""),IFERROR(VALUE(TRIM(LEFT($A122,FIND("/",$A122)-1))),"")))</f>
        <v/>
      </c>
      <c r="C122">
        <f>IF(OR($A122="",$B122=""),"",IF(ISNUMBER($A122),INT(MOD($A122,10000)/100),IFERROR(VALUE(TRIM(LEFT(MID($A122,FIND("/",$A122)+1,20),FIND("/",MID($A122,FIND("/",$A122)+1,20))-1))),"")))</f>
        <v/>
      </c>
      <c r="D122">
        <f>IF(OR($A122="",$B122=""),"",IF(ISNUMBER($A122),MOD($A122,100),IFERROR(VALUE(TRIM(MID(MID($A122,FIND("/",$A122)+1,20),FIND("/",MID($A122,FIND("/",$A122)+1,20))+1,20))),"")))</f>
        <v/>
      </c>
      <c r="E122">
        <f>IF($A122="","",IF(OR($B122="",$C122="",$D122="",$B122&lt;1300,$B122&gt;1500,$C122&lt;1,$C122&gt;12,$D122&lt;1,$D122&gt;31),"نامعتبر",RIGHT("0000"&amp;$B122,4)&amp;"/"&amp;RIGHT("00"&amp;$C122,2)&amp;"/"&amp;RIGHT("00"&amp;$D122,2)))</f>
        <v/>
      </c>
      <c r="F122">
        <f>IF(OR($E122="",$E122="نامعتبر"),"",IF(Sync!$Q119="","0000",IF(AND(ISNUMBER(Sync!$Q119),Sync!$Q119&gt;=0,Sync!$Q119&lt;1),RIGHT("00"&amp;HOUR(Sync!$Q119),2)&amp;RIGHT("00"&amp;MINUTE(Sync!$Q119),2),IFERROR(RIGHT("00"&amp;VALUE(LEFT(Sync!$Q119,FIND(":",Sync!$Q119)-1)),2)&amp;RIGHT("00"&amp;VALUE(MID(Sync!$Q119,FIND(":",Sync!$Q119)+1,2)),2),"0000"))))</f>
        <v/>
      </c>
      <c r="G122">
        <f>IF(OR($E122="",$E122="نامعتبر"),"",IF(Sync!$S119="","",Sync!$S119))</f>
        <v/>
      </c>
      <c r="H122">
        <f>IF(OR($E122="",$E122="نامعتبر"),"",IF(Sync!$R119="","",Sync!$R119))</f>
        <v/>
      </c>
      <c r="I122">
        <f>IF(OR($E122="",$E122="نامعتبر"),"",IF(Sync!$T119="","",Sync!$T119))</f>
        <v/>
      </c>
      <c r="J122">
        <f>IF(OR($E122="",$E122="نامعتبر"),"",IF(Sync!$U119="","",Sync!$U119))</f>
        <v/>
      </c>
      <c r="K122">
        <f>IF(OR($E122="",$E122="نامعتبر"),"",IF(Sync!$V119="","",IFERROR(INDEX(SubCodes,MATCH(Sync!$V119,SubTitles,0)),Sync!$V119)))</f>
        <v/>
      </c>
      <c r="L122">
        <f>IF(OR($E122="",$E122="نامعتبر"),"",IF(Sync!$W119="",0,Sync!$W119))</f>
        <v/>
      </c>
      <c r="M122">
        <f>IF(OR($E122="",$E122="نامعتبر"),"",IF(Sync!$X119="",0,Sync!$X119))</f>
        <v/>
      </c>
      <c r="N122">
        <f>IF(OR($E122="",$E122="نامعتبر"),"",IF(AND($J122="هزینه",$K122&lt;&gt;""),1,0))</f>
        <v/>
      </c>
      <c r="O122">
        <f>IF($N122=0,"",LEFT($E122,4)&amp;MID($E122,6,2)&amp;RIGHT($E122,2)&amp;$F122&amp;"|"&amp;"1"&amp;RIGHT("00000"&amp;114,5))</f>
        <v/>
      </c>
      <c r="P122">
        <f>IF($O122="","",COUNTIFS(ExpSub,$K122,ExpKey,"&lt;"&amp;$O122)+1)</f>
        <v/>
      </c>
      <c r="Q122">
        <f>IF($P122="","",$K122&amp;"|"&amp;RIGHT("000000"&amp;$P122,6))</f>
        <v/>
      </c>
    </row>
    <row r="123">
      <c r="A123">
        <f>IF(Sync!$P120="","",Sync!$P120)</f>
        <v/>
      </c>
      <c r="B123">
        <f>IF($A123="","",IF(ISNUMBER($A123),IF(AND($A123&gt;=10000101,$A123&lt;=99991231),INT($A123/10000),""),IFERROR(VALUE(TRIM(LEFT($A123,FIND("/",$A123)-1))),"")))</f>
        <v/>
      </c>
      <c r="C123">
        <f>IF(OR($A123="",$B123=""),"",IF(ISNUMBER($A123),INT(MOD($A123,10000)/100),IFERROR(VALUE(TRIM(LEFT(MID($A123,FIND("/",$A123)+1,20),FIND("/",MID($A123,FIND("/",$A123)+1,20))-1))),"")))</f>
        <v/>
      </c>
      <c r="D123">
        <f>IF(OR($A123="",$B123=""),"",IF(ISNUMBER($A123),MOD($A123,100),IFERROR(VALUE(TRIM(MID(MID($A123,FIND("/",$A123)+1,20),FIND("/",MID($A123,FIND("/",$A123)+1,20))+1,20))),"")))</f>
        <v/>
      </c>
      <c r="E123">
        <f>IF($A123="","",IF(OR($B123="",$C123="",$D123="",$B123&lt;1300,$B123&gt;1500,$C123&lt;1,$C123&gt;12,$D123&lt;1,$D123&gt;31),"نامعتبر",RIGHT("0000"&amp;$B123,4)&amp;"/"&amp;RIGHT("00"&amp;$C123,2)&amp;"/"&amp;RIGHT("00"&amp;$D123,2)))</f>
        <v/>
      </c>
      <c r="F123">
        <f>IF(OR($E123="",$E123="نامعتبر"),"",IF(Sync!$Q120="","0000",IF(AND(ISNUMBER(Sync!$Q120),Sync!$Q120&gt;=0,Sync!$Q120&lt;1),RIGHT("00"&amp;HOUR(Sync!$Q120),2)&amp;RIGHT("00"&amp;MINUTE(Sync!$Q120),2),IFERROR(RIGHT("00"&amp;VALUE(LEFT(Sync!$Q120,FIND(":",Sync!$Q120)-1)),2)&amp;RIGHT("00"&amp;VALUE(MID(Sync!$Q120,FIND(":",Sync!$Q120)+1,2)),2),"0000"))))</f>
        <v/>
      </c>
      <c r="G123">
        <f>IF(OR($E123="",$E123="نامعتبر"),"",IF(Sync!$S120="","",Sync!$S120))</f>
        <v/>
      </c>
      <c r="H123">
        <f>IF(OR($E123="",$E123="نامعتبر"),"",IF(Sync!$R120="","",Sync!$R120))</f>
        <v/>
      </c>
      <c r="I123">
        <f>IF(OR($E123="",$E123="نامعتبر"),"",IF(Sync!$T120="","",Sync!$T120))</f>
        <v/>
      </c>
      <c r="J123">
        <f>IF(OR($E123="",$E123="نامعتبر"),"",IF(Sync!$U120="","",Sync!$U120))</f>
        <v/>
      </c>
      <c r="K123">
        <f>IF(OR($E123="",$E123="نامعتبر"),"",IF(Sync!$V120="","",IFERROR(INDEX(SubCodes,MATCH(Sync!$V120,SubTitles,0)),Sync!$V120)))</f>
        <v/>
      </c>
      <c r="L123">
        <f>IF(OR($E123="",$E123="نامعتبر"),"",IF(Sync!$W120="",0,Sync!$W120))</f>
        <v/>
      </c>
      <c r="M123">
        <f>IF(OR($E123="",$E123="نامعتبر"),"",IF(Sync!$X120="",0,Sync!$X120))</f>
        <v/>
      </c>
      <c r="N123">
        <f>IF(OR($E123="",$E123="نامعتبر"),"",IF(AND($J123="هزینه",$K123&lt;&gt;""),1,0))</f>
        <v/>
      </c>
      <c r="O123">
        <f>IF($N123=0,"",LEFT($E123,4)&amp;MID($E123,6,2)&amp;RIGHT($E123,2)&amp;$F123&amp;"|"&amp;"1"&amp;RIGHT("00000"&amp;115,5))</f>
        <v/>
      </c>
      <c r="P123">
        <f>IF($O123="","",COUNTIFS(ExpSub,$K123,ExpKey,"&lt;"&amp;$O123)+1)</f>
        <v/>
      </c>
      <c r="Q123">
        <f>IF($P123="","",$K123&amp;"|"&amp;RIGHT("000000"&amp;$P123,6))</f>
        <v/>
      </c>
    </row>
    <row r="124">
      <c r="A124">
        <f>IF(Sync!$P121="","",Sync!$P121)</f>
        <v/>
      </c>
      <c r="B124">
        <f>IF($A124="","",IF(ISNUMBER($A124),IF(AND($A124&gt;=10000101,$A124&lt;=99991231),INT($A124/10000),""),IFERROR(VALUE(TRIM(LEFT($A124,FIND("/",$A124)-1))),"")))</f>
        <v/>
      </c>
      <c r="C124">
        <f>IF(OR($A124="",$B124=""),"",IF(ISNUMBER($A124),INT(MOD($A124,10000)/100),IFERROR(VALUE(TRIM(LEFT(MID($A124,FIND("/",$A124)+1,20),FIND("/",MID($A124,FIND("/",$A124)+1,20))-1))),"")))</f>
        <v/>
      </c>
      <c r="D124">
        <f>IF(OR($A124="",$B124=""),"",IF(ISNUMBER($A124),MOD($A124,100),IFERROR(VALUE(TRIM(MID(MID($A124,FIND("/",$A124)+1,20),FIND("/",MID($A124,FIND("/",$A124)+1,20))+1,20))),"")))</f>
        <v/>
      </c>
      <c r="E124">
        <f>IF($A124="","",IF(OR($B124="",$C124="",$D124="",$B124&lt;1300,$B124&gt;1500,$C124&lt;1,$C124&gt;12,$D124&lt;1,$D124&gt;31),"نامعتبر",RIGHT("0000"&amp;$B124,4)&amp;"/"&amp;RIGHT("00"&amp;$C124,2)&amp;"/"&amp;RIGHT("00"&amp;$D124,2)))</f>
        <v/>
      </c>
      <c r="F124">
        <f>IF(OR($E124="",$E124="نامعتبر"),"",IF(Sync!$Q121="","0000",IF(AND(ISNUMBER(Sync!$Q121),Sync!$Q121&gt;=0,Sync!$Q121&lt;1),RIGHT("00"&amp;HOUR(Sync!$Q121),2)&amp;RIGHT("00"&amp;MINUTE(Sync!$Q121),2),IFERROR(RIGHT("00"&amp;VALUE(LEFT(Sync!$Q121,FIND(":",Sync!$Q121)-1)),2)&amp;RIGHT("00"&amp;VALUE(MID(Sync!$Q121,FIND(":",Sync!$Q121)+1,2)),2),"0000"))))</f>
        <v/>
      </c>
      <c r="G124">
        <f>IF(OR($E124="",$E124="نامعتبر"),"",IF(Sync!$S121="","",Sync!$S121))</f>
        <v/>
      </c>
      <c r="H124">
        <f>IF(OR($E124="",$E124="نامعتبر"),"",IF(Sync!$R121="","",Sync!$R121))</f>
        <v/>
      </c>
      <c r="I124">
        <f>IF(OR($E124="",$E124="نامعتبر"),"",IF(Sync!$T121="","",Sync!$T121))</f>
        <v/>
      </c>
      <c r="J124">
        <f>IF(OR($E124="",$E124="نامعتبر"),"",IF(Sync!$U121="","",Sync!$U121))</f>
        <v/>
      </c>
      <c r="K124">
        <f>IF(OR($E124="",$E124="نامعتبر"),"",IF(Sync!$V121="","",IFERROR(INDEX(SubCodes,MATCH(Sync!$V121,SubTitles,0)),Sync!$V121)))</f>
        <v/>
      </c>
      <c r="L124">
        <f>IF(OR($E124="",$E124="نامعتبر"),"",IF(Sync!$W121="",0,Sync!$W121))</f>
        <v/>
      </c>
      <c r="M124">
        <f>IF(OR($E124="",$E124="نامعتبر"),"",IF(Sync!$X121="",0,Sync!$X121))</f>
        <v/>
      </c>
      <c r="N124">
        <f>IF(OR($E124="",$E124="نامعتبر"),"",IF(AND($J124="هزینه",$K124&lt;&gt;""),1,0))</f>
        <v/>
      </c>
      <c r="O124">
        <f>IF($N124=0,"",LEFT($E124,4)&amp;MID($E124,6,2)&amp;RIGHT($E124,2)&amp;$F124&amp;"|"&amp;"1"&amp;RIGHT("00000"&amp;116,5))</f>
        <v/>
      </c>
      <c r="P124">
        <f>IF($O124="","",COUNTIFS(ExpSub,$K124,ExpKey,"&lt;"&amp;$O124)+1)</f>
        <v/>
      </c>
      <c r="Q124">
        <f>IF($P124="","",$K124&amp;"|"&amp;RIGHT("000000"&amp;$P124,6))</f>
        <v/>
      </c>
    </row>
    <row r="125">
      <c r="A125">
        <f>IF(Sync!$P122="","",Sync!$P122)</f>
        <v/>
      </c>
      <c r="B125">
        <f>IF($A125="","",IF(ISNUMBER($A125),IF(AND($A125&gt;=10000101,$A125&lt;=99991231),INT($A125/10000),""),IFERROR(VALUE(TRIM(LEFT($A125,FIND("/",$A125)-1))),"")))</f>
        <v/>
      </c>
      <c r="C125">
        <f>IF(OR($A125="",$B125=""),"",IF(ISNUMBER($A125),INT(MOD($A125,10000)/100),IFERROR(VALUE(TRIM(LEFT(MID($A125,FIND("/",$A125)+1,20),FIND("/",MID($A125,FIND("/",$A125)+1,20))-1))),"")))</f>
        <v/>
      </c>
      <c r="D125">
        <f>IF(OR($A125="",$B125=""),"",IF(ISNUMBER($A125),MOD($A125,100),IFERROR(VALUE(TRIM(MID(MID($A125,FIND("/",$A125)+1,20),FIND("/",MID($A125,FIND("/",$A125)+1,20))+1,20))),"")))</f>
        <v/>
      </c>
      <c r="E125">
        <f>IF($A125="","",IF(OR($B125="",$C125="",$D125="",$B125&lt;1300,$B125&gt;1500,$C125&lt;1,$C125&gt;12,$D125&lt;1,$D125&gt;31),"نامعتبر",RIGHT("0000"&amp;$B125,4)&amp;"/"&amp;RIGHT("00"&amp;$C125,2)&amp;"/"&amp;RIGHT("00"&amp;$D125,2)))</f>
        <v/>
      </c>
      <c r="F125">
        <f>IF(OR($E125="",$E125="نامعتبر"),"",IF(Sync!$Q122="","0000",IF(AND(ISNUMBER(Sync!$Q122),Sync!$Q122&gt;=0,Sync!$Q122&lt;1),RIGHT("00"&amp;HOUR(Sync!$Q122),2)&amp;RIGHT("00"&amp;MINUTE(Sync!$Q122),2),IFERROR(RIGHT("00"&amp;VALUE(LEFT(Sync!$Q122,FIND(":",Sync!$Q122)-1)),2)&amp;RIGHT("00"&amp;VALUE(MID(Sync!$Q122,FIND(":",Sync!$Q122)+1,2)),2),"0000"))))</f>
        <v/>
      </c>
      <c r="G125">
        <f>IF(OR($E125="",$E125="نامعتبر"),"",IF(Sync!$S122="","",Sync!$S122))</f>
        <v/>
      </c>
      <c r="H125">
        <f>IF(OR($E125="",$E125="نامعتبر"),"",IF(Sync!$R122="","",Sync!$R122))</f>
        <v/>
      </c>
      <c r="I125">
        <f>IF(OR($E125="",$E125="نامعتبر"),"",IF(Sync!$T122="","",Sync!$T122))</f>
        <v/>
      </c>
      <c r="J125">
        <f>IF(OR($E125="",$E125="نامعتبر"),"",IF(Sync!$U122="","",Sync!$U122))</f>
        <v/>
      </c>
      <c r="K125">
        <f>IF(OR($E125="",$E125="نامعتبر"),"",IF(Sync!$V122="","",IFERROR(INDEX(SubCodes,MATCH(Sync!$V122,SubTitles,0)),Sync!$V122)))</f>
        <v/>
      </c>
      <c r="L125">
        <f>IF(OR($E125="",$E125="نامعتبر"),"",IF(Sync!$W122="",0,Sync!$W122))</f>
        <v/>
      </c>
      <c r="M125">
        <f>IF(OR($E125="",$E125="نامعتبر"),"",IF(Sync!$X122="",0,Sync!$X122))</f>
        <v/>
      </c>
      <c r="N125">
        <f>IF(OR($E125="",$E125="نامعتبر"),"",IF(AND($J125="هزینه",$K125&lt;&gt;""),1,0))</f>
        <v/>
      </c>
      <c r="O125">
        <f>IF($N125=0,"",LEFT($E125,4)&amp;MID($E125,6,2)&amp;RIGHT($E125,2)&amp;$F125&amp;"|"&amp;"1"&amp;RIGHT("00000"&amp;117,5))</f>
        <v/>
      </c>
      <c r="P125">
        <f>IF($O125="","",COUNTIFS(ExpSub,$K125,ExpKey,"&lt;"&amp;$O125)+1)</f>
        <v/>
      </c>
      <c r="Q125">
        <f>IF($P125="","",$K125&amp;"|"&amp;RIGHT("000000"&amp;$P125,6))</f>
        <v/>
      </c>
    </row>
    <row r="126">
      <c r="A126">
        <f>IF(Sync!$P123="","",Sync!$P123)</f>
        <v/>
      </c>
      <c r="B126">
        <f>IF($A126="","",IF(ISNUMBER($A126),IF(AND($A126&gt;=10000101,$A126&lt;=99991231),INT($A126/10000),""),IFERROR(VALUE(TRIM(LEFT($A126,FIND("/",$A126)-1))),"")))</f>
        <v/>
      </c>
      <c r="C126">
        <f>IF(OR($A126="",$B126=""),"",IF(ISNUMBER($A126),INT(MOD($A126,10000)/100),IFERROR(VALUE(TRIM(LEFT(MID($A126,FIND("/",$A126)+1,20),FIND("/",MID($A126,FIND("/",$A126)+1,20))-1))),"")))</f>
        <v/>
      </c>
      <c r="D126">
        <f>IF(OR($A126="",$B126=""),"",IF(ISNUMBER($A126),MOD($A126,100),IFERROR(VALUE(TRIM(MID(MID($A126,FIND("/",$A126)+1,20),FIND("/",MID($A126,FIND("/",$A126)+1,20))+1,20))),"")))</f>
        <v/>
      </c>
      <c r="E126">
        <f>IF($A126="","",IF(OR($B126="",$C126="",$D126="",$B126&lt;1300,$B126&gt;1500,$C126&lt;1,$C126&gt;12,$D126&lt;1,$D126&gt;31),"نامعتبر",RIGHT("0000"&amp;$B126,4)&amp;"/"&amp;RIGHT("00"&amp;$C126,2)&amp;"/"&amp;RIGHT("00"&amp;$D126,2)))</f>
        <v/>
      </c>
      <c r="F126">
        <f>IF(OR($E126="",$E126="نامعتبر"),"",IF(Sync!$Q123="","0000",IF(AND(ISNUMBER(Sync!$Q123),Sync!$Q123&gt;=0,Sync!$Q123&lt;1),RIGHT("00"&amp;HOUR(Sync!$Q123),2)&amp;RIGHT("00"&amp;MINUTE(Sync!$Q123),2),IFERROR(RIGHT("00"&amp;VALUE(LEFT(Sync!$Q123,FIND(":",Sync!$Q123)-1)),2)&amp;RIGHT("00"&amp;VALUE(MID(Sync!$Q123,FIND(":",Sync!$Q123)+1,2)),2),"0000"))))</f>
        <v/>
      </c>
      <c r="G126">
        <f>IF(OR($E126="",$E126="نامعتبر"),"",IF(Sync!$S123="","",Sync!$S123))</f>
        <v/>
      </c>
      <c r="H126">
        <f>IF(OR($E126="",$E126="نامعتبر"),"",IF(Sync!$R123="","",Sync!$R123))</f>
        <v/>
      </c>
      <c r="I126">
        <f>IF(OR($E126="",$E126="نامعتبر"),"",IF(Sync!$T123="","",Sync!$T123))</f>
        <v/>
      </c>
      <c r="J126">
        <f>IF(OR($E126="",$E126="نامعتبر"),"",IF(Sync!$U123="","",Sync!$U123))</f>
        <v/>
      </c>
      <c r="K126">
        <f>IF(OR($E126="",$E126="نامعتبر"),"",IF(Sync!$V123="","",IFERROR(INDEX(SubCodes,MATCH(Sync!$V123,SubTitles,0)),Sync!$V123)))</f>
        <v/>
      </c>
      <c r="L126">
        <f>IF(OR($E126="",$E126="نامعتبر"),"",IF(Sync!$W123="",0,Sync!$W123))</f>
        <v/>
      </c>
      <c r="M126">
        <f>IF(OR($E126="",$E126="نامعتبر"),"",IF(Sync!$X123="",0,Sync!$X123))</f>
        <v/>
      </c>
      <c r="N126">
        <f>IF(OR($E126="",$E126="نامعتبر"),"",IF(AND($J126="هزینه",$K126&lt;&gt;""),1,0))</f>
        <v/>
      </c>
      <c r="O126">
        <f>IF($N126=0,"",LEFT($E126,4)&amp;MID($E126,6,2)&amp;RIGHT($E126,2)&amp;$F126&amp;"|"&amp;"1"&amp;RIGHT("00000"&amp;118,5))</f>
        <v/>
      </c>
      <c r="P126">
        <f>IF($O126="","",COUNTIFS(ExpSub,$K126,ExpKey,"&lt;"&amp;$O126)+1)</f>
        <v/>
      </c>
      <c r="Q126">
        <f>IF($P126="","",$K126&amp;"|"&amp;RIGHT("000000"&amp;$P126,6))</f>
        <v/>
      </c>
    </row>
    <row r="127">
      <c r="A127">
        <f>IF(Sync!$P124="","",Sync!$P124)</f>
        <v/>
      </c>
      <c r="B127">
        <f>IF($A127="","",IF(ISNUMBER($A127),IF(AND($A127&gt;=10000101,$A127&lt;=99991231),INT($A127/10000),""),IFERROR(VALUE(TRIM(LEFT($A127,FIND("/",$A127)-1))),"")))</f>
        <v/>
      </c>
      <c r="C127">
        <f>IF(OR($A127="",$B127=""),"",IF(ISNUMBER($A127),INT(MOD($A127,10000)/100),IFERROR(VALUE(TRIM(LEFT(MID($A127,FIND("/",$A127)+1,20),FIND("/",MID($A127,FIND("/",$A127)+1,20))-1))),"")))</f>
        <v/>
      </c>
      <c r="D127">
        <f>IF(OR($A127="",$B127=""),"",IF(ISNUMBER($A127),MOD($A127,100),IFERROR(VALUE(TRIM(MID(MID($A127,FIND("/",$A127)+1,20),FIND("/",MID($A127,FIND("/",$A127)+1,20))+1,20))),"")))</f>
        <v/>
      </c>
      <c r="E127">
        <f>IF($A127="","",IF(OR($B127="",$C127="",$D127="",$B127&lt;1300,$B127&gt;1500,$C127&lt;1,$C127&gt;12,$D127&lt;1,$D127&gt;31),"نامعتبر",RIGHT("0000"&amp;$B127,4)&amp;"/"&amp;RIGHT("00"&amp;$C127,2)&amp;"/"&amp;RIGHT("00"&amp;$D127,2)))</f>
        <v/>
      </c>
      <c r="F127">
        <f>IF(OR($E127="",$E127="نامعتبر"),"",IF(Sync!$Q124="","0000",IF(AND(ISNUMBER(Sync!$Q124),Sync!$Q124&gt;=0,Sync!$Q124&lt;1),RIGHT("00"&amp;HOUR(Sync!$Q124),2)&amp;RIGHT("00"&amp;MINUTE(Sync!$Q124),2),IFERROR(RIGHT("00"&amp;VALUE(LEFT(Sync!$Q124,FIND(":",Sync!$Q124)-1)),2)&amp;RIGHT("00"&amp;VALUE(MID(Sync!$Q124,FIND(":",Sync!$Q124)+1,2)),2),"0000"))))</f>
        <v/>
      </c>
      <c r="G127">
        <f>IF(OR($E127="",$E127="نامعتبر"),"",IF(Sync!$S124="","",Sync!$S124))</f>
        <v/>
      </c>
      <c r="H127">
        <f>IF(OR($E127="",$E127="نامعتبر"),"",IF(Sync!$R124="","",Sync!$R124))</f>
        <v/>
      </c>
      <c r="I127">
        <f>IF(OR($E127="",$E127="نامعتبر"),"",IF(Sync!$T124="","",Sync!$T124))</f>
        <v/>
      </c>
      <c r="J127">
        <f>IF(OR($E127="",$E127="نامعتبر"),"",IF(Sync!$U124="","",Sync!$U124))</f>
        <v/>
      </c>
      <c r="K127">
        <f>IF(OR($E127="",$E127="نامعتبر"),"",IF(Sync!$V124="","",IFERROR(INDEX(SubCodes,MATCH(Sync!$V124,SubTitles,0)),Sync!$V124)))</f>
        <v/>
      </c>
      <c r="L127">
        <f>IF(OR($E127="",$E127="نامعتبر"),"",IF(Sync!$W124="",0,Sync!$W124))</f>
        <v/>
      </c>
      <c r="M127">
        <f>IF(OR($E127="",$E127="نامعتبر"),"",IF(Sync!$X124="",0,Sync!$X124))</f>
        <v/>
      </c>
      <c r="N127">
        <f>IF(OR($E127="",$E127="نامعتبر"),"",IF(AND($J127="هزینه",$K127&lt;&gt;""),1,0))</f>
        <v/>
      </c>
      <c r="O127">
        <f>IF($N127=0,"",LEFT($E127,4)&amp;MID($E127,6,2)&amp;RIGHT($E127,2)&amp;$F127&amp;"|"&amp;"1"&amp;RIGHT("00000"&amp;119,5))</f>
        <v/>
      </c>
      <c r="P127">
        <f>IF($O127="","",COUNTIFS(ExpSub,$K127,ExpKey,"&lt;"&amp;$O127)+1)</f>
        <v/>
      </c>
      <c r="Q127">
        <f>IF($P127="","",$K127&amp;"|"&amp;RIGHT("000000"&amp;$P127,6))</f>
        <v/>
      </c>
    </row>
    <row r="128">
      <c r="A128">
        <f>IF(Sync!$P125="","",Sync!$P125)</f>
        <v/>
      </c>
      <c r="B128">
        <f>IF($A128="","",IF(ISNUMBER($A128),IF(AND($A128&gt;=10000101,$A128&lt;=99991231),INT($A128/10000),""),IFERROR(VALUE(TRIM(LEFT($A128,FIND("/",$A128)-1))),"")))</f>
        <v/>
      </c>
      <c r="C128">
        <f>IF(OR($A128="",$B128=""),"",IF(ISNUMBER($A128),INT(MOD($A128,10000)/100),IFERROR(VALUE(TRIM(LEFT(MID($A128,FIND("/",$A128)+1,20),FIND("/",MID($A128,FIND("/",$A128)+1,20))-1))),"")))</f>
        <v/>
      </c>
      <c r="D128">
        <f>IF(OR($A128="",$B128=""),"",IF(ISNUMBER($A128),MOD($A128,100),IFERROR(VALUE(TRIM(MID(MID($A128,FIND("/",$A128)+1,20),FIND("/",MID($A128,FIND("/",$A128)+1,20))+1,20))),"")))</f>
        <v/>
      </c>
      <c r="E128">
        <f>IF($A128="","",IF(OR($B128="",$C128="",$D128="",$B128&lt;1300,$B128&gt;1500,$C128&lt;1,$C128&gt;12,$D128&lt;1,$D128&gt;31),"نامعتبر",RIGHT("0000"&amp;$B128,4)&amp;"/"&amp;RIGHT("00"&amp;$C128,2)&amp;"/"&amp;RIGHT("00"&amp;$D128,2)))</f>
        <v/>
      </c>
      <c r="F128">
        <f>IF(OR($E128="",$E128="نامعتبر"),"",IF(Sync!$Q125="","0000",IF(AND(ISNUMBER(Sync!$Q125),Sync!$Q125&gt;=0,Sync!$Q125&lt;1),RIGHT("00"&amp;HOUR(Sync!$Q125),2)&amp;RIGHT("00"&amp;MINUTE(Sync!$Q125),2),IFERROR(RIGHT("00"&amp;VALUE(LEFT(Sync!$Q125,FIND(":",Sync!$Q125)-1)),2)&amp;RIGHT("00"&amp;VALUE(MID(Sync!$Q125,FIND(":",Sync!$Q125)+1,2)),2),"0000"))))</f>
        <v/>
      </c>
      <c r="G128">
        <f>IF(OR($E128="",$E128="نامعتبر"),"",IF(Sync!$S125="","",Sync!$S125))</f>
        <v/>
      </c>
      <c r="H128">
        <f>IF(OR($E128="",$E128="نامعتبر"),"",IF(Sync!$R125="","",Sync!$R125))</f>
        <v/>
      </c>
      <c r="I128">
        <f>IF(OR($E128="",$E128="نامعتبر"),"",IF(Sync!$T125="","",Sync!$T125))</f>
        <v/>
      </c>
      <c r="J128">
        <f>IF(OR($E128="",$E128="نامعتبر"),"",IF(Sync!$U125="","",Sync!$U125))</f>
        <v/>
      </c>
      <c r="K128">
        <f>IF(OR($E128="",$E128="نامعتبر"),"",IF(Sync!$V125="","",IFERROR(INDEX(SubCodes,MATCH(Sync!$V125,SubTitles,0)),Sync!$V125)))</f>
        <v/>
      </c>
      <c r="L128">
        <f>IF(OR($E128="",$E128="نامعتبر"),"",IF(Sync!$W125="",0,Sync!$W125))</f>
        <v/>
      </c>
      <c r="M128">
        <f>IF(OR($E128="",$E128="نامعتبر"),"",IF(Sync!$X125="",0,Sync!$X125))</f>
        <v/>
      </c>
      <c r="N128">
        <f>IF(OR($E128="",$E128="نامعتبر"),"",IF(AND($J128="هزینه",$K128&lt;&gt;""),1,0))</f>
        <v/>
      </c>
      <c r="O128">
        <f>IF($N128=0,"",LEFT($E128,4)&amp;MID($E128,6,2)&amp;RIGHT($E128,2)&amp;$F128&amp;"|"&amp;"1"&amp;RIGHT("00000"&amp;120,5))</f>
        <v/>
      </c>
      <c r="P128">
        <f>IF($O128="","",COUNTIFS(ExpSub,$K128,ExpKey,"&lt;"&amp;$O128)+1)</f>
        <v/>
      </c>
      <c r="Q128">
        <f>IF($P128="","",$K128&amp;"|"&amp;RIGHT("000000"&amp;$P128,6))</f>
        <v/>
      </c>
    </row>
    <row r="129">
      <c r="A129">
        <f>IF(Sync!$P126="","",Sync!$P126)</f>
        <v/>
      </c>
      <c r="B129">
        <f>IF($A129="","",IF(ISNUMBER($A129),IF(AND($A129&gt;=10000101,$A129&lt;=99991231),INT($A129/10000),""),IFERROR(VALUE(TRIM(LEFT($A129,FIND("/",$A129)-1))),"")))</f>
        <v/>
      </c>
      <c r="C129">
        <f>IF(OR($A129="",$B129=""),"",IF(ISNUMBER($A129),INT(MOD($A129,10000)/100),IFERROR(VALUE(TRIM(LEFT(MID($A129,FIND("/",$A129)+1,20),FIND("/",MID($A129,FIND("/",$A129)+1,20))-1))),"")))</f>
        <v/>
      </c>
      <c r="D129">
        <f>IF(OR($A129="",$B129=""),"",IF(ISNUMBER($A129),MOD($A129,100),IFERROR(VALUE(TRIM(MID(MID($A129,FIND("/",$A129)+1,20),FIND("/",MID($A129,FIND("/",$A129)+1,20))+1,20))),"")))</f>
        <v/>
      </c>
      <c r="E129">
        <f>IF($A129="","",IF(OR($B129="",$C129="",$D129="",$B129&lt;1300,$B129&gt;1500,$C129&lt;1,$C129&gt;12,$D129&lt;1,$D129&gt;31),"نامعتبر",RIGHT("0000"&amp;$B129,4)&amp;"/"&amp;RIGHT("00"&amp;$C129,2)&amp;"/"&amp;RIGHT("00"&amp;$D129,2)))</f>
        <v/>
      </c>
      <c r="F129">
        <f>IF(OR($E129="",$E129="نامعتبر"),"",IF(Sync!$Q126="","0000",IF(AND(ISNUMBER(Sync!$Q126),Sync!$Q126&gt;=0,Sync!$Q126&lt;1),RIGHT("00"&amp;HOUR(Sync!$Q126),2)&amp;RIGHT("00"&amp;MINUTE(Sync!$Q126),2),IFERROR(RIGHT("00"&amp;VALUE(LEFT(Sync!$Q126,FIND(":",Sync!$Q126)-1)),2)&amp;RIGHT("00"&amp;VALUE(MID(Sync!$Q126,FIND(":",Sync!$Q126)+1,2)),2),"0000"))))</f>
        <v/>
      </c>
      <c r="G129">
        <f>IF(OR($E129="",$E129="نامعتبر"),"",IF(Sync!$S126="","",Sync!$S126))</f>
        <v/>
      </c>
      <c r="H129">
        <f>IF(OR($E129="",$E129="نامعتبر"),"",IF(Sync!$R126="","",Sync!$R126))</f>
        <v/>
      </c>
      <c r="I129">
        <f>IF(OR($E129="",$E129="نامعتبر"),"",IF(Sync!$T126="","",Sync!$T126))</f>
        <v/>
      </c>
      <c r="J129">
        <f>IF(OR($E129="",$E129="نامعتبر"),"",IF(Sync!$U126="","",Sync!$U126))</f>
        <v/>
      </c>
      <c r="K129">
        <f>IF(OR($E129="",$E129="نامعتبر"),"",IF(Sync!$V126="","",IFERROR(INDEX(SubCodes,MATCH(Sync!$V126,SubTitles,0)),Sync!$V126)))</f>
        <v/>
      </c>
      <c r="L129">
        <f>IF(OR($E129="",$E129="نامعتبر"),"",IF(Sync!$W126="",0,Sync!$W126))</f>
        <v/>
      </c>
      <c r="M129">
        <f>IF(OR($E129="",$E129="نامعتبر"),"",IF(Sync!$X126="",0,Sync!$X126))</f>
        <v/>
      </c>
      <c r="N129">
        <f>IF(OR($E129="",$E129="نامعتبر"),"",IF(AND($J129="هزینه",$K129&lt;&gt;""),1,0))</f>
        <v/>
      </c>
      <c r="O129">
        <f>IF($N129=0,"",LEFT($E129,4)&amp;MID($E129,6,2)&amp;RIGHT($E129,2)&amp;$F129&amp;"|"&amp;"1"&amp;RIGHT("00000"&amp;121,5))</f>
        <v/>
      </c>
      <c r="P129">
        <f>IF($O129="","",COUNTIFS(ExpSub,$K129,ExpKey,"&lt;"&amp;$O129)+1)</f>
        <v/>
      </c>
      <c r="Q129">
        <f>IF($P129="","",$K129&amp;"|"&amp;RIGHT("000000"&amp;$P129,6))</f>
        <v/>
      </c>
    </row>
    <row r="130">
      <c r="A130">
        <f>IF(Sync!$P127="","",Sync!$P127)</f>
        <v/>
      </c>
      <c r="B130">
        <f>IF($A130="","",IF(ISNUMBER($A130),IF(AND($A130&gt;=10000101,$A130&lt;=99991231),INT($A130/10000),""),IFERROR(VALUE(TRIM(LEFT($A130,FIND("/",$A130)-1))),"")))</f>
        <v/>
      </c>
      <c r="C130">
        <f>IF(OR($A130="",$B130=""),"",IF(ISNUMBER($A130),INT(MOD($A130,10000)/100),IFERROR(VALUE(TRIM(LEFT(MID($A130,FIND("/",$A130)+1,20),FIND("/",MID($A130,FIND("/",$A130)+1,20))-1))),"")))</f>
        <v/>
      </c>
      <c r="D130">
        <f>IF(OR($A130="",$B130=""),"",IF(ISNUMBER($A130),MOD($A130,100),IFERROR(VALUE(TRIM(MID(MID($A130,FIND("/",$A130)+1,20),FIND("/",MID($A130,FIND("/",$A130)+1,20))+1,20))),"")))</f>
        <v/>
      </c>
      <c r="E130">
        <f>IF($A130="","",IF(OR($B130="",$C130="",$D130="",$B130&lt;1300,$B130&gt;1500,$C130&lt;1,$C130&gt;12,$D130&lt;1,$D130&gt;31),"نامعتبر",RIGHT("0000"&amp;$B130,4)&amp;"/"&amp;RIGHT("00"&amp;$C130,2)&amp;"/"&amp;RIGHT("00"&amp;$D130,2)))</f>
        <v/>
      </c>
      <c r="F130">
        <f>IF(OR($E130="",$E130="نامعتبر"),"",IF(Sync!$Q127="","0000",IF(AND(ISNUMBER(Sync!$Q127),Sync!$Q127&gt;=0,Sync!$Q127&lt;1),RIGHT("00"&amp;HOUR(Sync!$Q127),2)&amp;RIGHT("00"&amp;MINUTE(Sync!$Q127),2),IFERROR(RIGHT("00"&amp;VALUE(LEFT(Sync!$Q127,FIND(":",Sync!$Q127)-1)),2)&amp;RIGHT("00"&amp;VALUE(MID(Sync!$Q127,FIND(":",Sync!$Q127)+1,2)),2),"0000"))))</f>
        <v/>
      </c>
      <c r="G130">
        <f>IF(OR($E130="",$E130="نامعتبر"),"",IF(Sync!$S127="","",Sync!$S127))</f>
        <v/>
      </c>
      <c r="H130">
        <f>IF(OR($E130="",$E130="نامعتبر"),"",IF(Sync!$R127="","",Sync!$R127))</f>
        <v/>
      </c>
      <c r="I130">
        <f>IF(OR($E130="",$E130="نامعتبر"),"",IF(Sync!$T127="","",Sync!$T127))</f>
        <v/>
      </c>
      <c r="J130">
        <f>IF(OR($E130="",$E130="نامعتبر"),"",IF(Sync!$U127="","",Sync!$U127))</f>
        <v/>
      </c>
      <c r="K130">
        <f>IF(OR($E130="",$E130="نامعتبر"),"",IF(Sync!$V127="","",IFERROR(INDEX(SubCodes,MATCH(Sync!$V127,SubTitles,0)),Sync!$V127)))</f>
        <v/>
      </c>
      <c r="L130">
        <f>IF(OR($E130="",$E130="نامعتبر"),"",IF(Sync!$W127="",0,Sync!$W127))</f>
        <v/>
      </c>
      <c r="M130">
        <f>IF(OR($E130="",$E130="نامعتبر"),"",IF(Sync!$X127="",0,Sync!$X127))</f>
        <v/>
      </c>
      <c r="N130">
        <f>IF(OR($E130="",$E130="نامعتبر"),"",IF(AND($J130="هزینه",$K130&lt;&gt;""),1,0))</f>
        <v/>
      </c>
      <c r="O130">
        <f>IF($N130=0,"",LEFT($E130,4)&amp;MID($E130,6,2)&amp;RIGHT($E130,2)&amp;$F130&amp;"|"&amp;"1"&amp;RIGHT("00000"&amp;122,5))</f>
        <v/>
      </c>
      <c r="P130">
        <f>IF($O130="","",COUNTIFS(ExpSub,$K130,ExpKey,"&lt;"&amp;$O130)+1)</f>
        <v/>
      </c>
      <c r="Q130">
        <f>IF($P130="","",$K130&amp;"|"&amp;RIGHT("000000"&amp;$P130,6))</f>
        <v/>
      </c>
    </row>
    <row r="131">
      <c r="A131">
        <f>IF(Sync!$P128="","",Sync!$P128)</f>
        <v/>
      </c>
      <c r="B131">
        <f>IF($A131="","",IF(ISNUMBER($A131),IF(AND($A131&gt;=10000101,$A131&lt;=99991231),INT($A131/10000),""),IFERROR(VALUE(TRIM(LEFT($A131,FIND("/",$A131)-1))),"")))</f>
        <v/>
      </c>
      <c r="C131">
        <f>IF(OR($A131="",$B131=""),"",IF(ISNUMBER($A131),INT(MOD($A131,10000)/100),IFERROR(VALUE(TRIM(LEFT(MID($A131,FIND("/",$A131)+1,20),FIND("/",MID($A131,FIND("/",$A131)+1,20))-1))),"")))</f>
        <v/>
      </c>
      <c r="D131">
        <f>IF(OR($A131="",$B131=""),"",IF(ISNUMBER($A131),MOD($A131,100),IFERROR(VALUE(TRIM(MID(MID($A131,FIND("/",$A131)+1,20),FIND("/",MID($A131,FIND("/",$A131)+1,20))+1,20))),"")))</f>
        <v/>
      </c>
      <c r="E131">
        <f>IF($A131="","",IF(OR($B131="",$C131="",$D131="",$B131&lt;1300,$B131&gt;1500,$C131&lt;1,$C131&gt;12,$D131&lt;1,$D131&gt;31),"نامعتبر",RIGHT("0000"&amp;$B131,4)&amp;"/"&amp;RIGHT("00"&amp;$C131,2)&amp;"/"&amp;RIGHT("00"&amp;$D131,2)))</f>
        <v/>
      </c>
      <c r="F131">
        <f>IF(OR($E131="",$E131="نامعتبر"),"",IF(Sync!$Q128="","0000",IF(AND(ISNUMBER(Sync!$Q128),Sync!$Q128&gt;=0,Sync!$Q128&lt;1),RIGHT("00"&amp;HOUR(Sync!$Q128),2)&amp;RIGHT("00"&amp;MINUTE(Sync!$Q128),2),IFERROR(RIGHT("00"&amp;VALUE(LEFT(Sync!$Q128,FIND(":",Sync!$Q128)-1)),2)&amp;RIGHT("00"&amp;VALUE(MID(Sync!$Q128,FIND(":",Sync!$Q128)+1,2)),2),"0000"))))</f>
        <v/>
      </c>
      <c r="G131">
        <f>IF(OR($E131="",$E131="نامعتبر"),"",IF(Sync!$S128="","",Sync!$S128))</f>
        <v/>
      </c>
      <c r="H131">
        <f>IF(OR($E131="",$E131="نامعتبر"),"",IF(Sync!$R128="","",Sync!$R128))</f>
        <v/>
      </c>
      <c r="I131">
        <f>IF(OR($E131="",$E131="نامعتبر"),"",IF(Sync!$T128="","",Sync!$T128))</f>
        <v/>
      </c>
      <c r="J131">
        <f>IF(OR($E131="",$E131="نامعتبر"),"",IF(Sync!$U128="","",Sync!$U128))</f>
        <v/>
      </c>
      <c r="K131">
        <f>IF(OR($E131="",$E131="نامعتبر"),"",IF(Sync!$V128="","",IFERROR(INDEX(SubCodes,MATCH(Sync!$V128,SubTitles,0)),Sync!$V128)))</f>
        <v/>
      </c>
      <c r="L131">
        <f>IF(OR($E131="",$E131="نامعتبر"),"",IF(Sync!$W128="",0,Sync!$W128))</f>
        <v/>
      </c>
      <c r="M131">
        <f>IF(OR($E131="",$E131="نامعتبر"),"",IF(Sync!$X128="",0,Sync!$X128))</f>
        <v/>
      </c>
      <c r="N131">
        <f>IF(OR($E131="",$E131="نامعتبر"),"",IF(AND($J131="هزینه",$K131&lt;&gt;""),1,0))</f>
        <v/>
      </c>
      <c r="O131">
        <f>IF($N131=0,"",LEFT($E131,4)&amp;MID($E131,6,2)&amp;RIGHT($E131,2)&amp;$F131&amp;"|"&amp;"1"&amp;RIGHT("00000"&amp;123,5))</f>
        <v/>
      </c>
      <c r="P131">
        <f>IF($O131="","",COUNTIFS(ExpSub,$K131,ExpKey,"&lt;"&amp;$O131)+1)</f>
        <v/>
      </c>
      <c r="Q131">
        <f>IF($P131="","",$K131&amp;"|"&amp;RIGHT("000000"&amp;$P131,6))</f>
        <v/>
      </c>
    </row>
    <row r="132">
      <c r="A132">
        <f>IF(Sync!$P129="","",Sync!$P129)</f>
        <v/>
      </c>
      <c r="B132">
        <f>IF($A132="","",IF(ISNUMBER($A132),IF(AND($A132&gt;=10000101,$A132&lt;=99991231),INT($A132/10000),""),IFERROR(VALUE(TRIM(LEFT($A132,FIND("/",$A132)-1))),"")))</f>
        <v/>
      </c>
      <c r="C132">
        <f>IF(OR($A132="",$B132=""),"",IF(ISNUMBER($A132),INT(MOD($A132,10000)/100),IFERROR(VALUE(TRIM(LEFT(MID($A132,FIND("/",$A132)+1,20),FIND("/",MID($A132,FIND("/",$A132)+1,20))-1))),"")))</f>
        <v/>
      </c>
      <c r="D132">
        <f>IF(OR($A132="",$B132=""),"",IF(ISNUMBER($A132),MOD($A132,100),IFERROR(VALUE(TRIM(MID(MID($A132,FIND("/",$A132)+1,20),FIND("/",MID($A132,FIND("/",$A132)+1,20))+1,20))),"")))</f>
        <v/>
      </c>
      <c r="E132">
        <f>IF($A132="","",IF(OR($B132="",$C132="",$D132="",$B132&lt;1300,$B132&gt;1500,$C132&lt;1,$C132&gt;12,$D132&lt;1,$D132&gt;31),"نامعتبر",RIGHT("0000"&amp;$B132,4)&amp;"/"&amp;RIGHT("00"&amp;$C132,2)&amp;"/"&amp;RIGHT("00"&amp;$D132,2)))</f>
        <v/>
      </c>
      <c r="F132">
        <f>IF(OR($E132="",$E132="نامعتبر"),"",IF(Sync!$Q129="","0000",IF(AND(ISNUMBER(Sync!$Q129),Sync!$Q129&gt;=0,Sync!$Q129&lt;1),RIGHT("00"&amp;HOUR(Sync!$Q129),2)&amp;RIGHT("00"&amp;MINUTE(Sync!$Q129),2),IFERROR(RIGHT("00"&amp;VALUE(LEFT(Sync!$Q129,FIND(":",Sync!$Q129)-1)),2)&amp;RIGHT("00"&amp;VALUE(MID(Sync!$Q129,FIND(":",Sync!$Q129)+1,2)),2),"0000"))))</f>
        <v/>
      </c>
      <c r="G132">
        <f>IF(OR($E132="",$E132="نامعتبر"),"",IF(Sync!$S129="","",Sync!$S129))</f>
        <v/>
      </c>
      <c r="H132">
        <f>IF(OR($E132="",$E132="نامعتبر"),"",IF(Sync!$R129="","",Sync!$R129))</f>
        <v/>
      </c>
      <c r="I132">
        <f>IF(OR($E132="",$E132="نامعتبر"),"",IF(Sync!$T129="","",Sync!$T129))</f>
        <v/>
      </c>
      <c r="J132">
        <f>IF(OR($E132="",$E132="نامعتبر"),"",IF(Sync!$U129="","",Sync!$U129))</f>
        <v/>
      </c>
      <c r="K132">
        <f>IF(OR($E132="",$E132="نامعتبر"),"",IF(Sync!$V129="","",IFERROR(INDEX(SubCodes,MATCH(Sync!$V129,SubTitles,0)),Sync!$V129)))</f>
        <v/>
      </c>
      <c r="L132">
        <f>IF(OR($E132="",$E132="نامعتبر"),"",IF(Sync!$W129="",0,Sync!$W129))</f>
        <v/>
      </c>
      <c r="M132">
        <f>IF(OR($E132="",$E132="نامعتبر"),"",IF(Sync!$X129="",0,Sync!$X129))</f>
        <v/>
      </c>
      <c r="N132">
        <f>IF(OR($E132="",$E132="نامعتبر"),"",IF(AND($J132="هزینه",$K132&lt;&gt;""),1,0))</f>
        <v/>
      </c>
      <c r="O132">
        <f>IF($N132=0,"",LEFT($E132,4)&amp;MID($E132,6,2)&amp;RIGHT($E132,2)&amp;$F132&amp;"|"&amp;"1"&amp;RIGHT("00000"&amp;124,5))</f>
        <v/>
      </c>
      <c r="P132">
        <f>IF($O132="","",COUNTIFS(ExpSub,$K132,ExpKey,"&lt;"&amp;$O132)+1)</f>
        <v/>
      </c>
      <c r="Q132">
        <f>IF($P132="","",$K132&amp;"|"&amp;RIGHT("000000"&amp;$P132,6))</f>
        <v/>
      </c>
    </row>
    <row r="133">
      <c r="A133">
        <f>IF(Sync!$P130="","",Sync!$P130)</f>
        <v/>
      </c>
      <c r="B133">
        <f>IF($A133="","",IF(ISNUMBER($A133),IF(AND($A133&gt;=10000101,$A133&lt;=99991231),INT($A133/10000),""),IFERROR(VALUE(TRIM(LEFT($A133,FIND("/",$A133)-1))),"")))</f>
        <v/>
      </c>
      <c r="C133">
        <f>IF(OR($A133="",$B133=""),"",IF(ISNUMBER($A133),INT(MOD($A133,10000)/100),IFERROR(VALUE(TRIM(LEFT(MID($A133,FIND("/",$A133)+1,20),FIND("/",MID($A133,FIND("/",$A133)+1,20))-1))),"")))</f>
        <v/>
      </c>
      <c r="D133">
        <f>IF(OR($A133="",$B133=""),"",IF(ISNUMBER($A133),MOD($A133,100),IFERROR(VALUE(TRIM(MID(MID($A133,FIND("/",$A133)+1,20),FIND("/",MID($A133,FIND("/",$A133)+1,20))+1,20))),"")))</f>
        <v/>
      </c>
      <c r="E133">
        <f>IF($A133="","",IF(OR($B133="",$C133="",$D133="",$B133&lt;1300,$B133&gt;1500,$C133&lt;1,$C133&gt;12,$D133&lt;1,$D133&gt;31),"نامعتبر",RIGHT("0000"&amp;$B133,4)&amp;"/"&amp;RIGHT("00"&amp;$C133,2)&amp;"/"&amp;RIGHT("00"&amp;$D133,2)))</f>
        <v/>
      </c>
      <c r="F133">
        <f>IF(OR($E133="",$E133="نامعتبر"),"",IF(Sync!$Q130="","0000",IF(AND(ISNUMBER(Sync!$Q130),Sync!$Q130&gt;=0,Sync!$Q130&lt;1),RIGHT("00"&amp;HOUR(Sync!$Q130),2)&amp;RIGHT("00"&amp;MINUTE(Sync!$Q130),2),IFERROR(RIGHT("00"&amp;VALUE(LEFT(Sync!$Q130,FIND(":",Sync!$Q130)-1)),2)&amp;RIGHT("00"&amp;VALUE(MID(Sync!$Q130,FIND(":",Sync!$Q130)+1,2)),2),"0000"))))</f>
        <v/>
      </c>
      <c r="G133">
        <f>IF(OR($E133="",$E133="نامعتبر"),"",IF(Sync!$S130="","",Sync!$S130))</f>
        <v/>
      </c>
      <c r="H133">
        <f>IF(OR($E133="",$E133="نامعتبر"),"",IF(Sync!$R130="","",Sync!$R130))</f>
        <v/>
      </c>
      <c r="I133">
        <f>IF(OR($E133="",$E133="نامعتبر"),"",IF(Sync!$T130="","",Sync!$T130))</f>
        <v/>
      </c>
      <c r="J133">
        <f>IF(OR($E133="",$E133="نامعتبر"),"",IF(Sync!$U130="","",Sync!$U130))</f>
        <v/>
      </c>
      <c r="K133">
        <f>IF(OR($E133="",$E133="نامعتبر"),"",IF(Sync!$V130="","",IFERROR(INDEX(SubCodes,MATCH(Sync!$V130,SubTitles,0)),Sync!$V130)))</f>
        <v/>
      </c>
      <c r="L133">
        <f>IF(OR($E133="",$E133="نامعتبر"),"",IF(Sync!$W130="",0,Sync!$W130))</f>
        <v/>
      </c>
      <c r="M133">
        <f>IF(OR($E133="",$E133="نامعتبر"),"",IF(Sync!$X130="",0,Sync!$X130))</f>
        <v/>
      </c>
      <c r="N133">
        <f>IF(OR($E133="",$E133="نامعتبر"),"",IF(AND($J133="هزینه",$K133&lt;&gt;""),1,0))</f>
        <v/>
      </c>
      <c r="O133">
        <f>IF($N133=0,"",LEFT($E133,4)&amp;MID($E133,6,2)&amp;RIGHT($E133,2)&amp;$F133&amp;"|"&amp;"1"&amp;RIGHT("00000"&amp;125,5))</f>
        <v/>
      </c>
      <c r="P133">
        <f>IF($O133="","",COUNTIFS(ExpSub,$K133,ExpKey,"&lt;"&amp;$O133)+1)</f>
        <v/>
      </c>
      <c r="Q133">
        <f>IF($P133="","",$K133&amp;"|"&amp;RIGHT("000000"&amp;$P133,6))</f>
        <v/>
      </c>
    </row>
    <row r="134">
      <c r="A134">
        <f>IF(Sync!$P131="","",Sync!$P131)</f>
        <v/>
      </c>
      <c r="B134">
        <f>IF($A134="","",IF(ISNUMBER($A134),IF(AND($A134&gt;=10000101,$A134&lt;=99991231),INT($A134/10000),""),IFERROR(VALUE(TRIM(LEFT($A134,FIND("/",$A134)-1))),"")))</f>
        <v/>
      </c>
      <c r="C134">
        <f>IF(OR($A134="",$B134=""),"",IF(ISNUMBER($A134),INT(MOD($A134,10000)/100),IFERROR(VALUE(TRIM(LEFT(MID($A134,FIND("/",$A134)+1,20),FIND("/",MID($A134,FIND("/",$A134)+1,20))-1))),"")))</f>
        <v/>
      </c>
      <c r="D134">
        <f>IF(OR($A134="",$B134=""),"",IF(ISNUMBER($A134),MOD($A134,100),IFERROR(VALUE(TRIM(MID(MID($A134,FIND("/",$A134)+1,20),FIND("/",MID($A134,FIND("/",$A134)+1,20))+1,20))),"")))</f>
        <v/>
      </c>
      <c r="E134">
        <f>IF($A134="","",IF(OR($B134="",$C134="",$D134="",$B134&lt;1300,$B134&gt;1500,$C134&lt;1,$C134&gt;12,$D134&lt;1,$D134&gt;31),"نامعتبر",RIGHT("0000"&amp;$B134,4)&amp;"/"&amp;RIGHT("00"&amp;$C134,2)&amp;"/"&amp;RIGHT("00"&amp;$D134,2)))</f>
        <v/>
      </c>
      <c r="F134">
        <f>IF(OR($E134="",$E134="نامعتبر"),"",IF(Sync!$Q131="","0000",IF(AND(ISNUMBER(Sync!$Q131),Sync!$Q131&gt;=0,Sync!$Q131&lt;1),RIGHT("00"&amp;HOUR(Sync!$Q131),2)&amp;RIGHT("00"&amp;MINUTE(Sync!$Q131),2),IFERROR(RIGHT("00"&amp;VALUE(LEFT(Sync!$Q131,FIND(":",Sync!$Q131)-1)),2)&amp;RIGHT("00"&amp;VALUE(MID(Sync!$Q131,FIND(":",Sync!$Q131)+1,2)),2),"0000"))))</f>
        <v/>
      </c>
      <c r="G134">
        <f>IF(OR($E134="",$E134="نامعتبر"),"",IF(Sync!$S131="","",Sync!$S131))</f>
        <v/>
      </c>
      <c r="H134">
        <f>IF(OR($E134="",$E134="نامعتبر"),"",IF(Sync!$R131="","",Sync!$R131))</f>
        <v/>
      </c>
      <c r="I134">
        <f>IF(OR($E134="",$E134="نامعتبر"),"",IF(Sync!$T131="","",Sync!$T131))</f>
        <v/>
      </c>
      <c r="J134">
        <f>IF(OR($E134="",$E134="نامعتبر"),"",IF(Sync!$U131="","",Sync!$U131))</f>
        <v/>
      </c>
      <c r="K134">
        <f>IF(OR($E134="",$E134="نامعتبر"),"",IF(Sync!$V131="","",IFERROR(INDEX(SubCodes,MATCH(Sync!$V131,SubTitles,0)),Sync!$V131)))</f>
        <v/>
      </c>
      <c r="L134">
        <f>IF(OR($E134="",$E134="نامعتبر"),"",IF(Sync!$W131="",0,Sync!$W131))</f>
        <v/>
      </c>
      <c r="M134">
        <f>IF(OR($E134="",$E134="نامعتبر"),"",IF(Sync!$X131="",0,Sync!$X131))</f>
        <v/>
      </c>
      <c r="N134">
        <f>IF(OR($E134="",$E134="نامعتبر"),"",IF(AND($J134="هزینه",$K134&lt;&gt;""),1,0))</f>
        <v/>
      </c>
      <c r="O134">
        <f>IF($N134=0,"",LEFT($E134,4)&amp;MID($E134,6,2)&amp;RIGHT($E134,2)&amp;$F134&amp;"|"&amp;"1"&amp;RIGHT("00000"&amp;126,5))</f>
        <v/>
      </c>
      <c r="P134">
        <f>IF($O134="","",COUNTIFS(ExpSub,$K134,ExpKey,"&lt;"&amp;$O134)+1)</f>
        <v/>
      </c>
      <c r="Q134">
        <f>IF($P134="","",$K134&amp;"|"&amp;RIGHT("000000"&amp;$P134,6))</f>
        <v/>
      </c>
    </row>
    <row r="135">
      <c r="A135">
        <f>IF(Sync!$P132="","",Sync!$P132)</f>
        <v/>
      </c>
      <c r="B135">
        <f>IF($A135="","",IF(ISNUMBER($A135),IF(AND($A135&gt;=10000101,$A135&lt;=99991231),INT($A135/10000),""),IFERROR(VALUE(TRIM(LEFT($A135,FIND("/",$A135)-1))),"")))</f>
        <v/>
      </c>
      <c r="C135">
        <f>IF(OR($A135="",$B135=""),"",IF(ISNUMBER($A135),INT(MOD($A135,10000)/100),IFERROR(VALUE(TRIM(LEFT(MID($A135,FIND("/",$A135)+1,20),FIND("/",MID($A135,FIND("/",$A135)+1,20))-1))),"")))</f>
        <v/>
      </c>
      <c r="D135">
        <f>IF(OR($A135="",$B135=""),"",IF(ISNUMBER($A135),MOD($A135,100),IFERROR(VALUE(TRIM(MID(MID($A135,FIND("/",$A135)+1,20),FIND("/",MID($A135,FIND("/",$A135)+1,20))+1,20))),"")))</f>
        <v/>
      </c>
      <c r="E135">
        <f>IF($A135="","",IF(OR($B135="",$C135="",$D135="",$B135&lt;1300,$B135&gt;1500,$C135&lt;1,$C135&gt;12,$D135&lt;1,$D135&gt;31),"نامعتبر",RIGHT("0000"&amp;$B135,4)&amp;"/"&amp;RIGHT("00"&amp;$C135,2)&amp;"/"&amp;RIGHT("00"&amp;$D135,2)))</f>
        <v/>
      </c>
      <c r="F135">
        <f>IF(OR($E135="",$E135="نامعتبر"),"",IF(Sync!$Q132="","0000",IF(AND(ISNUMBER(Sync!$Q132),Sync!$Q132&gt;=0,Sync!$Q132&lt;1),RIGHT("00"&amp;HOUR(Sync!$Q132),2)&amp;RIGHT("00"&amp;MINUTE(Sync!$Q132),2),IFERROR(RIGHT("00"&amp;VALUE(LEFT(Sync!$Q132,FIND(":",Sync!$Q132)-1)),2)&amp;RIGHT("00"&amp;VALUE(MID(Sync!$Q132,FIND(":",Sync!$Q132)+1,2)),2),"0000"))))</f>
        <v/>
      </c>
      <c r="G135">
        <f>IF(OR($E135="",$E135="نامعتبر"),"",IF(Sync!$S132="","",Sync!$S132))</f>
        <v/>
      </c>
      <c r="H135">
        <f>IF(OR($E135="",$E135="نامعتبر"),"",IF(Sync!$R132="","",Sync!$R132))</f>
        <v/>
      </c>
      <c r="I135">
        <f>IF(OR($E135="",$E135="نامعتبر"),"",IF(Sync!$T132="","",Sync!$T132))</f>
        <v/>
      </c>
      <c r="J135">
        <f>IF(OR($E135="",$E135="نامعتبر"),"",IF(Sync!$U132="","",Sync!$U132))</f>
        <v/>
      </c>
      <c r="K135">
        <f>IF(OR($E135="",$E135="نامعتبر"),"",IF(Sync!$V132="","",IFERROR(INDEX(SubCodes,MATCH(Sync!$V132,SubTitles,0)),Sync!$V132)))</f>
        <v/>
      </c>
      <c r="L135">
        <f>IF(OR($E135="",$E135="نامعتبر"),"",IF(Sync!$W132="",0,Sync!$W132))</f>
        <v/>
      </c>
      <c r="M135">
        <f>IF(OR($E135="",$E135="نامعتبر"),"",IF(Sync!$X132="",0,Sync!$X132))</f>
        <v/>
      </c>
      <c r="N135">
        <f>IF(OR($E135="",$E135="نامعتبر"),"",IF(AND($J135="هزینه",$K135&lt;&gt;""),1,0))</f>
        <v/>
      </c>
      <c r="O135">
        <f>IF($N135=0,"",LEFT($E135,4)&amp;MID($E135,6,2)&amp;RIGHT($E135,2)&amp;$F135&amp;"|"&amp;"1"&amp;RIGHT("00000"&amp;127,5))</f>
        <v/>
      </c>
      <c r="P135">
        <f>IF($O135="","",COUNTIFS(ExpSub,$K135,ExpKey,"&lt;"&amp;$O135)+1)</f>
        <v/>
      </c>
      <c r="Q135">
        <f>IF($P135="","",$K135&amp;"|"&amp;RIGHT("000000"&amp;$P135,6))</f>
        <v/>
      </c>
    </row>
    <row r="136">
      <c r="A136">
        <f>IF(Sync!$P133="","",Sync!$P133)</f>
        <v/>
      </c>
      <c r="B136">
        <f>IF($A136="","",IF(ISNUMBER($A136),IF(AND($A136&gt;=10000101,$A136&lt;=99991231),INT($A136/10000),""),IFERROR(VALUE(TRIM(LEFT($A136,FIND("/",$A136)-1))),"")))</f>
        <v/>
      </c>
      <c r="C136">
        <f>IF(OR($A136="",$B136=""),"",IF(ISNUMBER($A136),INT(MOD($A136,10000)/100),IFERROR(VALUE(TRIM(LEFT(MID($A136,FIND("/",$A136)+1,20),FIND("/",MID($A136,FIND("/",$A136)+1,20))-1))),"")))</f>
        <v/>
      </c>
      <c r="D136">
        <f>IF(OR($A136="",$B136=""),"",IF(ISNUMBER($A136),MOD($A136,100),IFERROR(VALUE(TRIM(MID(MID($A136,FIND("/",$A136)+1,20),FIND("/",MID($A136,FIND("/",$A136)+1,20))+1,20))),"")))</f>
        <v/>
      </c>
      <c r="E136">
        <f>IF($A136="","",IF(OR($B136="",$C136="",$D136="",$B136&lt;1300,$B136&gt;1500,$C136&lt;1,$C136&gt;12,$D136&lt;1,$D136&gt;31),"نامعتبر",RIGHT("0000"&amp;$B136,4)&amp;"/"&amp;RIGHT("00"&amp;$C136,2)&amp;"/"&amp;RIGHT("00"&amp;$D136,2)))</f>
        <v/>
      </c>
      <c r="F136">
        <f>IF(OR($E136="",$E136="نامعتبر"),"",IF(Sync!$Q133="","0000",IF(AND(ISNUMBER(Sync!$Q133),Sync!$Q133&gt;=0,Sync!$Q133&lt;1),RIGHT("00"&amp;HOUR(Sync!$Q133),2)&amp;RIGHT("00"&amp;MINUTE(Sync!$Q133),2),IFERROR(RIGHT("00"&amp;VALUE(LEFT(Sync!$Q133,FIND(":",Sync!$Q133)-1)),2)&amp;RIGHT("00"&amp;VALUE(MID(Sync!$Q133,FIND(":",Sync!$Q133)+1,2)),2),"0000"))))</f>
        <v/>
      </c>
      <c r="G136">
        <f>IF(OR($E136="",$E136="نامعتبر"),"",IF(Sync!$S133="","",Sync!$S133))</f>
        <v/>
      </c>
      <c r="H136">
        <f>IF(OR($E136="",$E136="نامعتبر"),"",IF(Sync!$R133="","",Sync!$R133))</f>
        <v/>
      </c>
      <c r="I136">
        <f>IF(OR($E136="",$E136="نامعتبر"),"",IF(Sync!$T133="","",Sync!$T133))</f>
        <v/>
      </c>
      <c r="J136">
        <f>IF(OR($E136="",$E136="نامعتبر"),"",IF(Sync!$U133="","",Sync!$U133))</f>
        <v/>
      </c>
      <c r="K136">
        <f>IF(OR($E136="",$E136="نامعتبر"),"",IF(Sync!$V133="","",IFERROR(INDEX(SubCodes,MATCH(Sync!$V133,SubTitles,0)),Sync!$V133)))</f>
        <v/>
      </c>
      <c r="L136">
        <f>IF(OR($E136="",$E136="نامعتبر"),"",IF(Sync!$W133="",0,Sync!$W133))</f>
        <v/>
      </c>
      <c r="M136">
        <f>IF(OR($E136="",$E136="نامعتبر"),"",IF(Sync!$X133="",0,Sync!$X133))</f>
        <v/>
      </c>
      <c r="N136">
        <f>IF(OR($E136="",$E136="نامعتبر"),"",IF(AND($J136="هزینه",$K136&lt;&gt;""),1,0))</f>
        <v/>
      </c>
      <c r="O136">
        <f>IF($N136=0,"",LEFT($E136,4)&amp;MID($E136,6,2)&amp;RIGHT($E136,2)&amp;$F136&amp;"|"&amp;"1"&amp;RIGHT("00000"&amp;128,5))</f>
        <v/>
      </c>
      <c r="P136">
        <f>IF($O136="","",COUNTIFS(ExpSub,$K136,ExpKey,"&lt;"&amp;$O136)+1)</f>
        <v/>
      </c>
      <c r="Q136">
        <f>IF($P136="","",$K136&amp;"|"&amp;RIGHT("000000"&amp;$P136,6))</f>
        <v/>
      </c>
    </row>
    <row r="137">
      <c r="A137">
        <f>IF(Sync!$P134="","",Sync!$P134)</f>
        <v/>
      </c>
      <c r="B137">
        <f>IF($A137="","",IF(ISNUMBER($A137),IF(AND($A137&gt;=10000101,$A137&lt;=99991231),INT($A137/10000),""),IFERROR(VALUE(TRIM(LEFT($A137,FIND("/",$A137)-1))),"")))</f>
        <v/>
      </c>
      <c r="C137">
        <f>IF(OR($A137="",$B137=""),"",IF(ISNUMBER($A137),INT(MOD($A137,10000)/100),IFERROR(VALUE(TRIM(LEFT(MID($A137,FIND("/",$A137)+1,20),FIND("/",MID($A137,FIND("/",$A137)+1,20))-1))),"")))</f>
        <v/>
      </c>
      <c r="D137">
        <f>IF(OR($A137="",$B137=""),"",IF(ISNUMBER($A137),MOD($A137,100),IFERROR(VALUE(TRIM(MID(MID($A137,FIND("/",$A137)+1,20),FIND("/",MID($A137,FIND("/",$A137)+1,20))+1,20))),"")))</f>
        <v/>
      </c>
      <c r="E137">
        <f>IF($A137="","",IF(OR($B137="",$C137="",$D137="",$B137&lt;1300,$B137&gt;1500,$C137&lt;1,$C137&gt;12,$D137&lt;1,$D137&gt;31),"نامعتبر",RIGHT("0000"&amp;$B137,4)&amp;"/"&amp;RIGHT("00"&amp;$C137,2)&amp;"/"&amp;RIGHT("00"&amp;$D137,2)))</f>
        <v/>
      </c>
      <c r="F137">
        <f>IF(OR($E137="",$E137="نامعتبر"),"",IF(Sync!$Q134="","0000",IF(AND(ISNUMBER(Sync!$Q134),Sync!$Q134&gt;=0,Sync!$Q134&lt;1),RIGHT("00"&amp;HOUR(Sync!$Q134),2)&amp;RIGHT("00"&amp;MINUTE(Sync!$Q134),2),IFERROR(RIGHT("00"&amp;VALUE(LEFT(Sync!$Q134,FIND(":",Sync!$Q134)-1)),2)&amp;RIGHT("00"&amp;VALUE(MID(Sync!$Q134,FIND(":",Sync!$Q134)+1,2)),2),"0000"))))</f>
        <v/>
      </c>
      <c r="G137">
        <f>IF(OR($E137="",$E137="نامعتبر"),"",IF(Sync!$S134="","",Sync!$S134))</f>
        <v/>
      </c>
      <c r="H137">
        <f>IF(OR($E137="",$E137="نامعتبر"),"",IF(Sync!$R134="","",Sync!$R134))</f>
        <v/>
      </c>
      <c r="I137">
        <f>IF(OR($E137="",$E137="نامعتبر"),"",IF(Sync!$T134="","",Sync!$T134))</f>
        <v/>
      </c>
      <c r="J137">
        <f>IF(OR($E137="",$E137="نامعتبر"),"",IF(Sync!$U134="","",Sync!$U134))</f>
        <v/>
      </c>
      <c r="K137">
        <f>IF(OR($E137="",$E137="نامعتبر"),"",IF(Sync!$V134="","",IFERROR(INDEX(SubCodes,MATCH(Sync!$V134,SubTitles,0)),Sync!$V134)))</f>
        <v/>
      </c>
      <c r="L137">
        <f>IF(OR($E137="",$E137="نامعتبر"),"",IF(Sync!$W134="",0,Sync!$W134))</f>
        <v/>
      </c>
      <c r="M137">
        <f>IF(OR($E137="",$E137="نامعتبر"),"",IF(Sync!$X134="",0,Sync!$X134))</f>
        <v/>
      </c>
      <c r="N137">
        <f>IF(OR($E137="",$E137="نامعتبر"),"",IF(AND($J137="هزینه",$K137&lt;&gt;""),1,0))</f>
        <v/>
      </c>
      <c r="O137">
        <f>IF($N137=0,"",LEFT($E137,4)&amp;MID($E137,6,2)&amp;RIGHT($E137,2)&amp;$F137&amp;"|"&amp;"1"&amp;RIGHT("00000"&amp;129,5))</f>
        <v/>
      </c>
      <c r="P137">
        <f>IF($O137="","",COUNTIFS(ExpSub,$K137,ExpKey,"&lt;"&amp;$O137)+1)</f>
        <v/>
      </c>
      <c r="Q137">
        <f>IF($P137="","",$K137&amp;"|"&amp;RIGHT("000000"&amp;$P137,6))</f>
        <v/>
      </c>
    </row>
    <row r="138">
      <c r="A138">
        <f>IF(Sync!$P135="","",Sync!$P135)</f>
        <v/>
      </c>
      <c r="B138">
        <f>IF($A138="","",IF(ISNUMBER($A138),IF(AND($A138&gt;=10000101,$A138&lt;=99991231),INT($A138/10000),""),IFERROR(VALUE(TRIM(LEFT($A138,FIND("/",$A138)-1))),"")))</f>
        <v/>
      </c>
      <c r="C138">
        <f>IF(OR($A138="",$B138=""),"",IF(ISNUMBER($A138),INT(MOD($A138,10000)/100),IFERROR(VALUE(TRIM(LEFT(MID($A138,FIND("/",$A138)+1,20),FIND("/",MID($A138,FIND("/",$A138)+1,20))-1))),"")))</f>
        <v/>
      </c>
      <c r="D138">
        <f>IF(OR($A138="",$B138=""),"",IF(ISNUMBER($A138),MOD($A138,100),IFERROR(VALUE(TRIM(MID(MID($A138,FIND("/",$A138)+1,20),FIND("/",MID($A138,FIND("/",$A138)+1,20))+1,20))),"")))</f>
        <v/>
      </c>
      <c r="E138">
        <f>IF($A138="","",IF(OR($B138="",$C138="",$D138="",$B138&lt;1300,$B138&gt;1500,$C138&lt;1,$C138&gt;12,$D138&lt;1,$D138&gt;31),"نامعتبر",RIGHT("0000"&amp;$B138,4)&amp;"/"&amp;RIGHT("00"&amp;$C138,2)&amp;"/"&amp;RIGHT("00"&amp;$D138,2)))</f>
        <v/>
      </c>
      <c r="F138">
        <f>IF(OR($E138="",$E138="نامعتبر"),"",IF(Sync!$Q135="","0000",IF(AND(ISNUMBER(Sync!$Q135),Sync!$Q135&gt;=0,Sync!$Q135&lt;1),RIGHT("00"&amp;HOUR(Sync!$Q135),2)&amp;RIGHT("00"&amp;MINUTE(Sync!$Q135),2),IFERROR(RIGHT("00"&amp;VALUE(LEFT(Sync!$Q135,FIND(":",Sync!$Q135)-1)),2)&amp;RIGHT("00"&amp;VALUE(MID(Sync!$Q135,FIND(":",Sync!$Q135)+1,2)),2),"0000"))))</f>
        <v/>
      </c>
      <c r="G138">
        <f>IF(OR($E138="",$E138="نامعتبر"),"",IF(Sync!$S135="","",Sync!$S135))</f>
        <v/>
      </c>
      <c r="H138">
        <f>IF(OR($E138="",$E138="نامعتبر"),"",IF(Sync!$R135="","",Sync!$R135))</f>
        <v/>
      </c>
      <c r="I138">
        <f>IF(OR($E138="",$E138="نامعتبر"),"",IF(Sync!$T135="","",Sync!$T135))</f>
        <v/>
      </c>
      <c r="J138">
        <f>IF(OR($E138="",$E138="نامعتبر"),"",IF(Sync!$U135="","",Sync!$U135))</f>
        <v/>
      </c>
      <c r="K138">
        <f>IF(OR($E138="",$E138="نامعتبر"),"",IF(Sync!$V135="","",IFERROR(INDEX(SubCodes,MATCH(Sync!$V135,SubTitles,0)),Sync!$V135)))</f>
        <v/>
      </c>
      <c r="L138">
        <f>IF(OR($E138="",$E138="نامعتبر"),"",IF(Sync!$W135="",0,Sync!$W135))</f>
        <v/>
      </c>
      <c r="M138">
        <f>IF(OR($E138="",$E138="نامعتبر"),"",IF(Sync!$X135="",0,Sync!$X135))</f>
        <v/>
      </c>
      <c r="N138">
        <f>IF(OR($E138="",$E138="نامعتبر"),"",IF(AND($J138="هزینه",$K138&lt;&gt;""),1,0))</f>
        <v/>
      </c>
      <c r="O138">
        <f>IF($N138=0,"",LEFT($E138,4)&amp;MID($E138,6,2)&amp;RIGHT($E138,2)&amp;$F138&amp;"|"&amp;"1"&amp;RIGHT("00000"&amp;130,5))</f>
        <v/>
      </c>
      <c r="P138">
        <f>IF($O138="","",COUNTIFS(ExpSub,$K138,ExpKey,"&lt;"&amp;$O138)+1)</f>
        <v/>
      </c>
      <c r="Q138">
        <f>IF($P138="","",$K138&amp;"|"&amp;RIGHT("000000"&amp;$P138,6))</f>
        <v/>
      </c>
    </row>
    <row r="139">
      <c r="A139">
        <f>IF(Sync!$P136="","",Sync!$P136)</f>
        <v/>
      </c>
      <c r="B139">
        <f>IF($A139="","",IF(ISNUMBER($A139),IF(AND($A139&gt;=10000101,$A139&lt;=99991231),INT($A139/10000),""),IFERROR(VALUE(TRIM(LEFT($A139,FIND("/",$A139)-1))),"")))</f>
        <v/>
      </c>
      <c r="C139">
        <f>IF(OR($A139="",$B139=""),"",IF(ISNUMBER($A139),INT(MOD($A139,10000)/100),IFERROR(VALUE(TRIM(LEFT(MID($A139,FIND("/",$A139)+1,20),FIND("/",MID($A139,FIND("/",$A139)+1,20))-1))),"")))</f>
        <v/>
      </c>
      <c r="D139">
        <f>IF(OR($A139="",$B139=""),"",IF(ISNUMBER($A139),MOD($A139,100),IFERROR(VALUE(TRIM(MID(MID($A139,FIND("/",$A139)+1,20),FIND("/",MID($A139,FIND("/",$A139)+1,20))+1,20))),"")))</f>
        <v/>
      </c>
      <c r="E139">
        <f>IF($A139="","",IF(OR($B139="",$C139="",$D139="",$B139&lt;1300,$B139&gt;1500,$C139&lt;1,$C139&gt;12,$D139&lt;1,$D139&gt;31),"نامعتبر",RIGHT("0000"&amp;$B139,4)&amp;"/"&amp;RIGHT("00"&amp;$C139,2)&amp;"/"&amp;RIGHT("00"&amp;$D139,2)))</f>
        <v/>
      </c>
      <c r="F139">
        <f>IF(OR($E139="",$E139="نامعتبر"),"",IF(Sync!$Q136="","0000",IF(AND(ISNUMBER(Sync!$Q136),Sync!$Q136&gt;=0,Sync!$Q136&lt;1),RIGHT("00"&amp;HOUR(Sync!$Q136),2)&amp;RIGHT("00"&amp;MINUTE(Sync!$Q136),2),IFERROR(RIGHT("00"&amp;VALUE(LEFT(Sync!$Q136,FIND(":",Sync!$Q136)-1)),2)&amp;RIGHT("00"&amp;VALUE(MID(Sync!$Q136,FIND(":",Sync!$Q136)+1,2)),2),"0000"))))</f>
        <v/>
      </c>
      <c r="G139">
        <f>IF(OR($E139="",$E139="نامعتبر"),"",IF(Sync!$S136="","",Sync!$S136))</f>
        <v/>
      </c>
      <c r="H139">
        <f>IF(OR($E139="",$E139="نامعتبر"),"",IF(Sync!$R136="","",Sync!$R136))</f>
        <v/>
      </c>
      <c r="I139">
        <f>IF(OR($E139="",$E139="نامعتبر"),"",IF(Sync!$T136="","",Sync!$T136))</f>
        <v/>
      </c>
      <c r="J139">
        <f>IF(OR($E139="",$E139="نامعتبر"),"",IF(Sync!$U136="","",Sync!$U136))</f>
        <v/>
      </c>
      <c r="K139">
        <f>IF(OR($E139="",$E139="نامعتبر"),"",IF(Sync!$V136="","",IFERROR(INDEX(SubCodes,MATCH(Sync!$V136,SubTitles,0)),Sync!$V136)))</f>
        <v/>
      </c>
      <c r="L139">
        <f>IF(OR($E139="",$E139="نامعتبر"),"",IF(Sync!$W136="",0,Sync!$W136))</f>
        <v/>
      </c>
      <c r="M139">
        <f>IF(OR($E139="",$E139="نامعتبر"),"",IF(Sync!$X136="",0,Sync!$X136))</f>
        <v/>
      </c>
      <c r="N139">
        <f>IF(OR($E139="",$E139="نامعتبر"),"",IF(AND($J139="هزینه",$K139&lt;&gt;""),1,0))</f>
        <v/>
      </c>
      <c r="O139">
        <f>IF($N139=0,"",LEFT($E139,4)&amp;MID($E139,6,2)&amp;RIGHT($E139,2)&amp;$F139&amp;"|"&amp;"1"&amp;RIGHT("00000"&amp;131,5))</f>
        <v/>
      </c>
      <c r="P139">
        <f>IF($O139="","",COUNTIFS(ExpSub,$K139,ExpKey,"&lt;"&amp;$O139)+1)</f>
        <v/>
      </c>
      <c r="Q139">
        <f>IF($P139="","",$K139&amp;"|"&amp;RIGHT("000000"&amp;$P139,6))</f>
        <v/>
      </c>
    </row>
    <row r="140">
      <c r="A140">
        <f>IF(Sync!$P137="","",Sync!$P137)</f>
        <v/>
      </c>
      <c r="B140">
        <f>IF($A140="","",IF(ISNUMBER($A140),IF(AND($A140&gt;=10000101,$A140&lt;=99991231),INT($A140/10000),""),IFERROR(VALUE(TRIM(LEFT($A140,FIND("/",$A140)-1))),"")))</f>
        <v/>
      </c>
      <c r="C140">
        <f>IF(OR($A140="",$B140=""),"",IF(ISNUMBER($A140),INT(MOD($A140,10000)/100),IFERROR(VALUE(TRIM(LEFT(MID($A140,FIND("/",$A140)+1,20),FIND("/",MID($A140,FIND("/",$A140)+1,20))-1))),"")))</f>
        <v/>
      </c>
      <c r="D140">
        <f>IF(OR($A140="",$B140=""),"",IF(ISNUMBER($A140),MOD($A140,100),IFERROR(VALUE(TRIM(MID(MID($A140,FIND("/",$A140)+1,20),FIND("/",MID($A140,FIND("/",$A140)+1,20))+1,20))),"")))</f>
        <v/>
      </c>
      <c r="E140">
        <f>IF($A140="","",IF(OR($B140="",$C140="",$D140="",$B140&lt;1300,$B140&gt;1500,$C140&lt;1,$C140&gt;12,$D140&lt;1,$D140&gt;31),"نامعتبر",RIGHT("0000"&amp;$B140,4)&amp;"/"&amp;RIGHT("00"&amp;$C140,2)&amp;"/"&amp;RIGHT("00"&amp;$D140,2)))</f>
        <v/>
      </c>
      <c r="F140">
        <f>IF(OR($E140="",$E140="نامعتبر"),"",IF(Sync!$Q137="","0000",IF(AND(ISNUMBER(Sync!$Q137),Sync!$Q137&gt;=0,Sync!$Q137&lt;1),RIGHT("00"&amp;HOUR(Sync!$Q137),2)&amp;RIGHT("00"&amp;MINUTE(Sync!$Q137),2),IFERROR(RIGHT("00"&amp;VALUE(LEFT(Sync!$Q137,FIND(":",Sync!$Q137)-1)),2)&amp;RIGHT("00"&amp;VALUE(MID(Sync!$Q137,FIND(":",Sync!$Q137)+1,2)),2),"0000"))))</f>
        <v/>
      </c>
      <c r="G140">
        <f>IF(OR($E140="",$E140="نامعتبر"),"",IF(Sync!$S137="","",Sync!$S137))</f>
        <v/>
      </c>
      <c r="H140">
        <f>IF(OR($E140="",$E140="نامعتبر"),"",IF(Sync!$R137="","",Sync!$R137))</f>
        <v/>
      </c>
      <c r="I140">
        <f>IF(OR($E140="",$E140="نامعتبر"),"",IF(Sync!$T137="","",Sync!$T137))</f>
        <v/>
      </c>
      <c r="J140">
        <f>IF(OR($E140="",$E140="نامعتبر"),"",IF(Sync!$U137="","",Sync!$U137))</f>
        <v/>
      </c>
      <c r="K140">
        <f>IF(OR($E140="",$E140="نامعتبر"),"",IF(Sync!$V137="","",IFERROR(INDEX(SubCodes,MATCH(Sync!$V137,SubTitles,0)),Sync!$V137)))</f>
        <v/>
      </c>
      <c r="L140">
        <f>IF(OR($E140="",$E140="نامعتبر"),"",IF(Sync!$W137="",0,Sync!$W137))</f>
        <v/>
      </c>
      <c r="M140">
        <f>IF(OR($E140="",$E140="نامعتبر"),"",IF(Sync!$X137="",0,Sync!$X137))</f>
        <v/>
      </c>
      <c r="N140">
        <f>IF(OR($E140="",$E140="نامعتبر"),"",IF(AND($J140="هزینه",$K140&lt;&gt;""),1,0))</f>
        <v/>
      </c>
      <c r="O140">
        <f>IF($N140=0,"",LEFT($E140,4)&amp;MID($E140,6,2)&amp;RIGHT($E140,2)&amp;$F140&amp;"|"&amp;"1"&amp;RIGHT("00000"&amp;132,5))</f>
        <v/>
      </c>
      <c r="P140">
        <f>IF($O140="","",COUNTIFS(ExpSub,$K140,ExpKey,"&lt;"&amp;$O140)+1)</f>
        <v/>
      </c>
      <c r="Q140">
        <f>IF($P140="","",$K140&amp;"|"&amp;RIGHT("000000"&amp;$P140,6))</f>
        <v/>
      </c>
    </row>
    <row r="141">
      <c r="A141">
        <f>IF(Sync!$P138="","",Sync!$P138)</f>
        <v/>
      </c>
      <c r="B141">
        <f>IF($A141="","",IF(ISNUMBER($A141),IF(AND($A141&gt;=10000101,$A141&lt;=99991231),INT($A141/10000),""),IFERROR(VALUE(TRIM(LEFT($A141,FIND("/",$A141)-1))),"")))</f>
        <v/>
      </c>
      <c r="C141">
        <f>IF(OR($A141="",$B141=""),"",IF(ISNUMBER($A141),INT(MOD($A141,10000)/100),IFERROR(VALUE(TRIM(LEFT(MID($A141,FIND("/",$A141)+1,20),FIND("/",MID($A141,FIND("/",$A141)+1,20))-1))),"")))</f>
        <v/>
      </c>
      <c r="D141">
        <f>IF(OR($A141="",$B141=""),"",IF(ISNUMBER($A141),MOD($A141,100),IFERROR(VALUE(TRIM(MID(MID($A141,FIND("/",$A141)+1,20),FIND("/",MID($A141,FIND("/",$A141)+1,20))+1,20))),"")))</f>
        <v/>
      </c>
      <c r="E141">
        <f>IF($A141="","",IF(OR($B141="",$C141="",$D141="",$B141&lt;1300,$B141&gt;1500,$C141&lt;1,$C141&gt;12,$D141&lt;1,$D141&gt;31),"نامعتبر",RIGHT("0000"&amp;$B141,4)&amp;"/"&amp;RIGHT("00"&amp;$C141,2)&amp;"/"&amp;RIGHT("00"&amp;$D141,2)))</f>
        <v/>
      </c>
      <c r="F141">
        <f>IF(OR($E141="",$E141="نامعتبر"),"",IF(Sync!$Q138="","0000",IF(AND(ISNUMBER(Sync!$Q138),Sync!$Q138&gt;=0,Sync!$Q138&lt;1),RIGHT("00"&amp;HOUR(Sync!$Q138),2)&amp;RIGHT("00"&amp;MINUTE(Sync!$Q138),2),IFERROR(RIGHT("00"&amp;VALUE(LEFT(Sync!$Q138,FIND(":",Sync!$Q138)-1)),2)&amp;RIGHT("00"&amp;VALUE(MID(Sync!$Q138,FIND(":",Sync!$Q138)+1,2)),2),"0000"))))</f>
        <v/>
      </c>
      <c r="G141">
        <f>IF(OR($E141="",$E141="نامعتبر"),"",IF(Sync!$S138="","",Sync!$S138))</f>
        <v/>
      </c>
      <c r="H141">
        <f>IF(OR($E141="",$E141="نامعتبر"),"",IF(Sync!$R138="","",Sync!$R138))</f>
        <v/>
      </c>
      <c r="I141">
        <f>IF(OR($E141="",$E141="نامعتبر"),"",IF(Sync!$T138="","",Sync!$T138))</f>
        <v/>
      </c>
      <c r="J141">
        <f>IF(OR($E141="",$E141="نامعتبر"),"",IF(Sync!$U138="","",Sync!$U138))</f>
        <v/>
      </c>
      <c r="K141">
        <f>IF(OR($E141="",$E141="نامعتبر"),"",IF(Sync!$V138="","",IFERROR(INDEX(SubCodes,MATCH(Sync!$V138,SubTitles,0)),Sync!$V138)))</f>
        <v/>
      </c>
      <c r="L141">
        <f>IF(OR($E141="",$E141="نامعتبر"),"",IF(Sync!$W138="",0,Sync!$W138))</f>
        <v/>
      </c>
      <c r="M141">
        <f>IF(OR($E141="",$E141="نامعتبر"),"",IF(Sync!$X138="",0,Sync!$X138))</f>
        <v/>
      </c>
      <c r="N141">
        <f>IF(OR($E141="",$E141="نامعتبر"),"",IF(AND($J141="هزینه",$K141&lt;&gt;""),1,0))</f>
        <v/>
      </c>
      <c r="O141">
        <f>IF($N141=0,"",LEFT($E141,4)&amp;MID($E141,6,2)&amp;RIGHT($E141,2)&amp;$F141&amp;"|"&amp;"1"&amp;RIGHT("00000"&amp;133,5))</f>
        <v/>
      </c>
      <c r="P141">
        <f>IF($O141="","",COUNTIFS(ExpSub,$K141,ExpKey,"&lt;"&amp;$O141)+1)</f>
        <v/>
      </c>
      <c r="Q141">
        <f>IF($P141="","",$K141&amp;"|"&amp;RIGHT("000000"&amp;$P141,6))</f>
        <v/>
      </c>
    </row>
    <row r="142">
      <c r="A142">
        <f>IF(Sync!$P139="","",Sync!$P139)</f>
        <v/>
      </c>
      <c r="B142">
        <f>IF($A142="","",IF(ISNUMBER($A142),IF(AND($A142&gt;=10000101,$A142&lt;=99991231),INT($A142/10000),""),IFERROR(VALUE(TRIM(LEFT($A142,FIND("/",$A142)-1))),"")))</f>
        <v/>
      </c>
      <c r="C142">
        <f>IF(OR($A142="",$B142=""),"",IF(ISNUMBER($A142),INT(MOD($A142,10000)/100),IFERROR(VALUE(TRIM(LEFT(MID($A142,FIND("/",$A142)+1,20),FIND("/",MID($A142,FIND("/",$A142)+1,20))-1))),"")))</f>
        <v/>
      </c>
      <c r="D142">
        <f>IF(OR($A142="",$B142=""),"",IF(ISNUMBER($A142),MOD($A142,100),IFERROR(VALUE(TRIM(MID(MID($A142,FIND("/",$A142)+1,20),FIND("/",MID($A142,FIND("/",$A142)+1,20))+1,20))),"")))</f>
        <v/>
      </c>
      <c r="E142">
        <f>IF($A142="","",IF(OR($B142="",$C142="",$D142="",$B142&lt;1300,$B142&gt;1500,$C142&lt;1,$C142&gt;12,$D142&lt;1,$D142&gt;31),"نامعتبر",RIGHT("0000"&amp;$B142,4)&amp;"/"&amp;RIGHT("00"&amp;$C142,2)&amp;"/"&amp;RIGHT("00"&amp;$D142,2)))</f>
        <v/>
      </c>
      <c r="F142">
        <f>IF(OR($E142="",$E142="نامعتبر"),"",IF(Sync!$Q139="","0000",IF(AND(ISNUMBER(Sync!$Q139),Sync!$Q139&gt;=0,Sync!$Q139&lt;1),RIGHT("00"&amp;HOUR(Sync!$Q139),2)&amp;RIGHT("00"&amp;MINUTE(Sync!$Q139),2),IFERROR(RIGHT("00"&amp;VALUE(LEFT(Sync!$Q139,FIND(":",Sync!$Q139)-1)),2)&amp;RIGHT("00"&amp;VALUE(MID(Sync!$Q139,FIND(":",Sync!$Q139)+1,2)),2),"0000"))))</f>
        <v/>
      </c>
      <c r="G142">
        <f>IF(OR($E142="",$E142="نامعتبر"),"",IF(Sync!$S139="","",Sync!$S139))</f>
        <v/>
      </c>
      <c r="H142">
        <f>IF(OR($E142="",$E142="نامعتبر"),"",IF(Sync!$R139="","",Sync!$R139))</f>
        <v/>
      </c>
      <c r="I142">
        <f>IF(OR($E142="",$E142="نامعتبر"),"",IF(Sync!$T139="","",Sync!$T139))</f>
        <v/>
      </c>
      <c r="J142">
        <f>IF(OR($E142="",$E142="نامعتبر"),"",IF(Sync!$U139="","",Sync!$U139))</f>
        <v/>
      </c>
      <c r="K142">
        <f>IF(OR($E142="",$E142="نامعتبر"),"",IF(Sync!$V139="","",IFERROR(INDEX(SubCodes,MATCH(Sync!$V139,SubTitles,0)),Sync!$V139)))</f>
        <v/>
      </c>
      <c r="L142">
        <f>IF(OR($E142="",$E142="نامعتبر"),"",IF(Sync!$W139="",0,Sync!$W139))</f>
        <v/>
      </c>
      <c r="M142">
        <f>IF(OR($E142="",$E142="نامعتبر"),"",IF(Sync!$X139="",0,Sync!$X139))</f>
        <v/>
      </c>
      <c r="N142">
        <f>IF(OR($E142="",$E142="نامعتبر"),"",IF(AND($J142="هزینه",$K142&lt;&gt;""),1,0))</f>
        <v/>
      </c>
      <c r="O142">
        <f>IF($N142=0,"",LEFT($E142,4)&amp;MID($E142,6,2)&amp;RIGHT($E142,2)&amp;$F142&amp;"|"&amp;"1"&amp;RIGHT("00000"&amp;134,5))</f>
        <v/>
      </c>
      <c r="P142">
        <f>IF($O142="","",COUNTIFS(ExpSub,$K142,ExpKey,"&lt;"&amp;$O142)+1)</f>
        <v/>
      </c>
      <c r="Q142">
        <f>IF($P142="","",$K142&amp;"|"&amp;RIGHT("000000"&amp;$P142,6))</f>
        <v/>
      </c>
    </row>
    <row r="143">
      <c r="A143">
        <f>IF(Sync!$P140="","",Sync!$P140)</f>
        <v/>
      </c>
      <c r="B143">
        <f>IF($A143="","",IF(ISNUMBER($A143),IF(AND($A143&gt;=10000101,$A143&lt;=99991231),INT($A143/10000),""),IFERROR(VALUE(TRIM(LEFT($A143,FIND("/",$A143)-1))),"")))</f>
        <v/>
      </c>
      <c r="C143">
        <f>IF(OR($A143="",$B143=""),"",IF(ISNUMBER($A143),INT(MOD($A143,10000)/100),IFERROR(VALUE(TRIM(LEFT(MID($A143,FIND("/",$A143)+1,20),FIND("/",MID($A143,FIND("/",$A143)+1,20))-1))),"")))</f>
        <v/>
      </c>
      <c r="D143">
        <f>IF(OR($A143="",$B143=""),"",IF(ISNUMBER($A143),MOD($A143,100),IFERROR(VALUE(TRIM(MID(MID($A143,FIND("/",$A143)+1,20),FIND("/",MID($A143,FIND("/",$A143)+1,20))+1,20))),"")))</f>
        <v/>
      </c>
      <c r="E143">
        <f>IF($A143="","",IF(OR($B143="",$C143="",$D143="",$B143&lt;1300,$B143&gt;1500,$C143&lt;1,$C143&gt;12,$D143&lt;1,$D143&gt;31),"نامعتبر",RIGHT("0000"&amp;$B143,4)&amp;"/"&amp;RIGHT("00"&amp;$C143,2)&amp;"/"&amp;RIGHT("00"&amp;$D143,2)))</f>
        <v/>
      </c>
      <c r="F143">
        <f>IF(OR($E143="",$E143="نامعتبر"),"",IF(Sync!$Q140="","0000",IF(AND(ISNUMBER(Sync!$Q140),Sync!$Q140&gt;=0,Sync!$Q140&lt;1),RIGHT("00"&amp;HOUR(Sync!$Q140),2)&amp;RIGHT("00"&amp;MINUTE(Sync!$Q140),2),IFERROR(RIGHT("00"&amp;VALUE(LEFT(Sync!$Q140,FIND(":",Sync!$Q140)-1)),2)&amp;RIGHT("00"&amp;VALUE(MID(Sync!$Q140,FIND(":",Sync!$Q140)+1,2)),2),"0000"))))</f>
        <v/>
      </c>
      <c r="G143">
        <f>IF(OR($E143="",$E143="نامعتبر"),"",IF(Sync!$S140="","",Sync!$S140))</f>
        <v/>
      </c>
      <c r="H143">
        <f>IF(OR($E143="",$E143="نامعتبر"),"",IF(Sync!$R140="","",Sync!$R140))</f>
        <v/>
      </c>
      <c r="I143">
        <f>IF(OR($E143="",$E143="نامعتبر"),"",IF(Sync!$T140="","",Sync!$T140))</f>
        <v/>
      </c>
      <c r="J143">
        <f>IF(OR($E143="",$E143="نامعتبر"),"",IF(Sync!$U140="","",Sync!$U140))</f>
        <v/>
      </c>
      <c r="K143">
        <f>IF(OR($E143="",$E143="نامعتبر"),"",IF(Sync!$V140="","",IFERROR(INDEX(SubCodes,MATCH(Sync!$V140,SubTitles,0)),Sync!$V140)))</f>
        <v/>
      </c>
      <c r="L143">
        <f>IF(OR($E143="",$E143="نامعتبر"),"",IF(Sync!$W140="",0,Sync!$W140))</f>
        <v/>
      </c>
      <c r="M143">
        <f>IF(OR($E143="",$E143="نامعتبر"),"",IF(Sync!$X140="",0,Sync!$X140))</f>
        <v/>
      </c>
      <c r="N143">
        <f>IF(OR($E143="",$E143="نامعتبر"),"",IF(AND($J143="هزینه",$K143&lt;&gt;""),1,0))</f>
        <v/>
      </c>
      <c r="O143">
        <f>IF($N143=0,"",LEFT($E143,4)&amp;MID($E143,6,2)&amp;RIGHT($E143,2)&amp;$F143&amp;"|"&amp;"1"&amp;RIGHT("00000"&amp;135,5))</f>
        <v/>
      </c>
      <c r="P143">
        <f>IF($O143="","",COUNTIFS(ExpSub,$K143,ExpKey,"&lt;"&amp;$O143)+1)</f>
        <v/>
      </c>
      <c r="Q143">
        <f>IF($P143="","",$K143&amp;"|"&amp;RIGHT("000000"&amp;$P143,6))</f>
        <v/>
      </c>
    </row>
    <row r="144">
      <c r="A144">
        <f>IF(Sync!$P141="","",Sync!$P141)</f>
        <v/>
      </c>
      <c r="B144">
        <f>IF($A144="","",IF(ISNUMBER($A144),IF(AND($A144&gt;=10000101,$A144&lt;=99991231),INT($A144/10000),""),IFERROR(VALUE(TRIM(LEFT($A144,FIND("/",$A144)-1))),"")))</f>
        <v/>
      </c>
      <c r="C144">
        <f>IF(OR($A144="",$B144=""),"",IF(ISNUMBER($A144),INT(MOD($A144,10000)/100),IFERROR(VALUE(TRIM(LEFT(MID($A144,FIND("/",$A144)+1,20),FIND("/",MID($A144,FIND("/",$A144)+1,20))-1))),"")))</f>
        <v/>
      </c>
      <c r="D144">
        <f>IF(OR($A144="",$B144=""),"",IF(ISNUMBER($A144),MOD($A144,100),IFERROR(VALUE(TRIM(MID(MID($A144,FIND("/",$A144)+1,20),FIND("/",MID($A144,FIND("/",$A144)+1,20))+1,20))),"")))</f>
        <v/>
      </c>
      <c r="E144">
        <f>IF($A144="","",IF(OR($B144="",$C144="",$D144="",$B144&lt;1300,$B144&gt;1500,$C144&lt;1,$C144&gt;12,$D144&lt;1,$D144&gt;31),"نامعتبر",RIGHT("0000"&amp;$B144,4)&amp;"/"&amp;RIGHT("00"&amp;$C144,2)&amp;"/"&amp;RIGHT("00"&amp;$D144,2)))</f>
        <v/>
      </c>
      <c r="F144">
        <f>IF(OR($E144="",$E144="نامعتبر"),"",IF(Sync!$Q141="","0000",IF(AND(ISNUMBER(Sync!$Q141),Sync!$Q141&gt;=0,Sync!$Q141&lt;1),RIGHT("00"&amp;HOUR(Sync!$Q141),2)&amp;RIGHT("00"&amp;MINUTE(Sync!$Q141),2),IFERROR(RIGHT("00"&amp;VALUE(LEFT(Sync!$Q141,FIND(":",Sync!$Q141)-1)),2)&amp;RIGHT("00"&amp;VALUE(MID(Sync!$Q141,FIND(":",Sync!$Q141)+1,2)),2),"0000"))))</f>
        <v/>
      </c>
      <c r="G144">
        <f>IF(OR($E144="",$E144="نامعتبر"),"",IF(Sync!$S141="","",Sync!$S141))</f>
        <v/>
      </c>
      <c r="H144">
        <f>IF(OR($E144="",$E144="نامعتبر"),"",IF(Sync!$R141="","",Sync!$R141))</f>
        <v/>
      </c>
      <c r="I144">
        <f>IF(OR($E144="",$E144="نامعتبر"),"",IF(Sync!$T141="","",Sync!$T141))</f>
        <v/>
      </c>
      <c r="J144">
        <f>IF(OR($E144="",$E144="نامعتبر"),"",IF(Sync!$U141="","",Sync!$U141))</f>
        <v/>
      </c>
      <c r="K144">
        <f>IF(OR($E144="",$E144="نامعتبر"),"",IF(Sync!$V141="","",IFERROR(INDEX(SubCodes,MATCH(Sync!$V141,SubTitles,0)),Sync!$V141)))</f>
        <v/>
      </c>
      <c r="L144">
        <f>IF(OR($E144="",$E144="نامعتبر"),"",IF(Sync!$W141="",0,Sync!$W141))</f>
        <v/>
      </c>
      <c r="M144">
        <f>IF(OR($E144="",$E144="نامعتبر"),"",IF(Sync!$X141="",0,Sync!$X141))</f>
        <v/>
      </c>
      <c r="N144">
        <f>IF(OR($E144="",$E144="نامعتبر"),"",IF(AND($J144="هزینه",$K144&lt;&gt;""),1,0))</f>
        <v/>
      </c>
      <c r="O144">
        <f>IF($N144=0,"",LEFT($E144,4)&amp;MID($E144,6,2)&amp;RIGHT($E144,2)&amp;$F144&amp;"|"&amp;"1"&amp;RIGHT("00000"&amp;136,5))</f>
        <v/>
      </c>
      <c r="P144">
        <f>IF($O144="","",COUNTIFS(ExpSub,$K144,ExpKey,"&lt;"&amp;$O144)+1)</f>
        <v/>
      </c>
      <c r="Q144">
        <f>IF($P144="","",$K144&amp;"|"&amp;RIGHT("000000"&amp;$P144,6))</f>
        <v/>
      </c>
    </row>
    <row r="145">
      <c r="A145">
        <f>IF(Sync!$P142="","",Sync!$P142)</f>
        <v/>
      </c>
      <c r="B145">
        <f>IF($A145="","",IF(ISNUMBER($A145),IF(AND($A145&gt;=10000101,$A145&lt;=99991231),INT($A145/10000),""),IFERROR(VALUE(TRIM(LEFT($A145,FIND("/",$A145)-1))),"")))</f>
        <v/>
      </c>
      <c r="C145">
        <f>IF(OR($A145="",$B145=""),"",IF(ISNUMBER($A145),INT(MOD($A145,10000)/100),IFERROR(VALUE(TRIM(LEFT(MID($A145,FIND("/",$A145)+1,20),FIND("/",MID($A145,FIND("/",$A145)+1,20))-1))),"")))</f>
        <v/>
      </c>
      <c r="D145">
        <f>IF(OR($A145="",$B145=""),"",IF(ISNUMBER($A145),MOD($A145,100),IFERROR(VALUE(TRIM(MID(MID($A145,FIND("/",$A145)+1,20),FIND("/",MID($A145,FIND("/",$A145)+1,20))+1,20))),"")))</f>
        <v/>
      </c>
      <c r="E145">
        <f>IF($A145="","",IF(OR($B145="",$C145="",$D145="",$B145&lt;1300,$B145&gt;1500,$C145&lt;1,$C145&gt;12,$D145&lt;1,$D145&gt;31),"نامعتبر",RIGHT("0000"&amp;$B145,4)&amp;"/"&amp;RIGHT("00"&amp;$C145,2)&amp;"/"&amp;RIGHT("00"&amp;$D145,2)))</f>
        <v/>
      </c>
      <c r="F145">
        <f>IF(OR($E145="",$E145="نامعتبر"),"",IF(Sync!$Q142="","0000",IF(AND(ISNUMBER(Sync!$Q142),Sync!$Q142&gt;=0,Sync!$Q142&lt;1),RIGHT("00"&amp;HOUR(Sync!$Q142),2)&amp;RIGHT("00"&amp;MINUTE(Sync!$Q142),2),IFERROR(RIGHT("00"&amp;VALUE(LEFT(Sync!$Q142,FIND(":",Sync!$Q142)-1)),2)&amp;RIGHT("00"&amp;VALUE(MID(Sync!$Q142,FIND(":",Sync!$Q142)+1,2)),2),"0000"))))</f>
        <v/>
      </c>
      <c r="G145">
        <f>IF(OR($E145="",$E145="نامعتبر"),"",IF(Sync!$S142="","",Sync!$S142))</f>
        <v/>
      </c>
      <c r="H145">
        <f>IF(OR($E145="",$E145="نامعتبر"),"",IF(Sync!$R142="","",Sync!$R142))</f>
        <v/>
      </c>
      <c r="I145">
        <f>IF(OR($E145="",$E145="نامعتبر"),"",IF(Sync!$T142="","",Sync!$T142))</f>
        <v/>
      </c>
      <c r="J145">
        <f>IF(OR($E145="",$E145="نامعتبر"),"",IF(Sync!$U142="","",Sync!$U142))</f>
        <v/>
      </c>
      <c r="K145">
        <f>IF(OR($E145="",$E145="نامعتبر"),"",IF(Sync!$V142="","",IFERROR(INDEX(SubCodes,MATCH(Sync!$V142,SubTitles,0)),Sync!$V142)))</f>
        <v/>
      </c>
      <c r="L145">
        <f>IF(OR($E145="",$E145="نامعتبر"),"",IF(Sync!$W142="",0,Sync!$W142))</f>
        <v/>
      </c>
      <c r="M145">
        <f>IF(OR($E145="",$E145="نامعتبر"),"",IF(Sync!$X142="",0,Sync!$X142))</f>
        <v/>
      </c>
      <c r="N145">
        <f>IF(OR($E145="",$E145="نامعتبر"),"",IF(AND($J145="هزینه",$K145&lt;&gt;""),1,0))</f>
        <v/>
      </c>
      <c r="O145">
        <f>IF($N145=0,"",LEFT($E145,4)&amp;MID($E145,6,2)&amp;RIGHT($E145,2)&amp;$F145&amp;"|"&amp;"1"&amp;RIGHT("00000"&amp;137,5))</f>
        <v/>
      </c>
      <c r="P145">
        <f>IF($O145="","",COUNTIFS(ExpSub,$K145,ExpKey,"&lt;"&amp;$O145)+1)</f>
        <v/>
      </c>
      <c r="Q145">
        <f>IF($P145="","",$K145&amp;"|"&amp;RIGHT("000000"&amp;$P145,6))</f>
        <v/>
      </c>
    </row>
    <row r="146">
      <c r="A146">
        <f>IF(Sync!$P143="","",Sync!$P143)</f>
        <v/>
      </c>
      <c r="B146">
        <f>IF($A146="","",IF(ISNUMBER($A146),IF(AND($A146&gt;=10000101,$A146&lt;=99991231),INT($A146/10000),""),IFERROR(VALUE(TRIM(LEFT($A146,FIND("/",$A146)-1))),"")))</f>
        <v/>
      </c>
      <c r="C146">
        <f>IF(OR($A146="",$B146=""),"",IF(ISNUMBER($A146),INT(MOD($A146,10000)/100),IFERROR(VALUE(TRIM(LEFT(MID($A146,FIND("/",$A146)+1,20),FIND("/",MID($A146,FIND("/",$A146)+1,20))-1))),"")))</f>
        <v/>
      </c>
      <c r="D146">
        <f>IF(OR($A146="",$B146=""),"",IF(ISNUMBER($A146),MOD($A146,100),IFERROR(VALUE(TRIM(MID(MID($A146,FIND("/",$A146)+1,20),FIND("/",MID($A146,FIND("/",$A146)+1,20))+1,20))),"")))</f>
        <v/>
      </c>
      <c r="E146">
        <f>IF($A146="","",IF(OR($B146="",$C146="",$D146="",$B146&lt;1300,$B146&gt;1500,$C146&lt;1,$C146&gt;12,$D146&lt;1,$D146&gt;31),"نامعتبر",RIGHT("0000"&amp;$B146,4)&amp;"/"&amp;RIGHT("00"&amp;$C146,2)&amp;"/"&amp;RIGHT("00"&amp;$D146,2)))</f>
        <v/>
      </c>
      <c r="F146">
        <f>IF(OR($E146="",$E146="نامعتبر"),"",IF(Sync!$Q143="","0000",IF(AND(ISNUMBER(Sync!$Q143),Sync!$Q143&gt;=0,Sync!$Q143&lt;1),RIGHT("00"&amp;HOUR(Sync!$Q143),2)&amp;RIGHT("00"&amp;MINUTE(Sync!$Q143),2),IFERROR(RIGHT("00"&amp;VALUE(LEFT(Sync!$Q143,FIND(":",Sync!$Q143)-1)),2)&amp;RIGHT("00"&amp;VALUE(MID(Sync!$Q143,FIND(":",Sync!$Q143)+1,2)),2),"0000"))))</f>
        <v/>
      </c>
      <c r="G146">
        <f>IF(OR($E146="",$E146="نامعتبر"),"",IF(Sync!$S143="","",Sync!$S143))</f>
        <v/>
      </c>
      <c r="H146">
        <f>IF(OR($E146="",$E146="نامعتبر"),"",IF(Sync!$R143="","",Sync!$R143))</f>
        <v/>
      </c>
      <c r="I146">
        <f>IF(OR($E146="",$E146="نامعتبر"),"",IF(Sync!$T143="","",Sync!$T143))</f>
        <v/>
      </c>
      <c r="J146">
        <f>IF(OR($E146="",$E146="نامعتبر"),"",IF(Sync!$U143="","",Sync!$U143))</f>
        <v/>
      </c>
      <c r="K146">
        <f>IF(OR($E146="",$E146="نامعتبر"),"",IF(Sync!$V143="","",IFERROR(INDEX(SubCodes,MATCH(Sync!$V143,SubTitles,0)),Sync!$V143)))</f>
        <v/>
      </c>
      <c r="L146">
        <f>IF(OR($E146="",$E146="نامعتبر"),"",IF(Sync!$W143="",0,Sync!$W143))</f>
        <v/>
      </c>
      <c r="M146">
        <f>IF(OR($E146="",$E146="نامعتبر"),"",IF(Sync!$X143="",0,Sync!$X143))</f>
        <v/>
      </c>
      <c r="N146">
        <f>IF(OR($E146="",$E146="نامعتبر"),"",IF(AND($J146="هزینه",$K146&lt;&gt;""),1,0))</f>
        <v/>
      </c>
      <c r="O146">
        <f>IF($N146=0,"",LEFT($E146,4)&amp;MID($E146,6,2)&amp;RIGHT($E146,2)&amp;$F146&amp;"|"&amp;"1"&amp;RIGHT("00000"&amp;138,5))</f>
        <v/>
      </c>
      <c r="P146">
        <f>IF($O146="","",COUNTIFS(ExpSub,$K146,ExpKey,"&lt;"&amp;$O146)+1)</f>
        <v/>
      </c>
      <c r="Q146">
        <f>IF($P146="","",$K146&amp;"|"&amp;RIGHT("000000"&amp;$P146,6))</f>
        <v/>
      </c>
    </row>
    <row r="147">
      <c r="A147">
        <f>IF(Sync!$P144="","",Sync!$P144)</f>
        <v/>
      </c>
      <c r="B147">
        <f>IF($A147="","",IF(ISNUMBER($A147),IF(AND($A147&gt;=10000101,$A147&lt;=99991231),INT($A147/10000),""),IFERROR(VALUE(TRIM(LEFT($A147,FIND("/",$A147)-1))),"")))</f>
        <v/>
      </c>
      <c r="C147">
        <f>IF(OR($A147="",$B147=""),"",IF(ISNUMBER($A147),INT(MOD($A147,10000)/100),IFERROR(VALUE(TRIM(LEFT(MID($A147,FIND("/",$A147)+1,20),FIND("/",MID($A147,FIND("/",$A147)+1,20))-1))),"")))</f>
        <v/>
      </c>
      <c r="D147">
        <f>IF(OR($A147="",$B147=""),"",IF(ISNUMBER($A147),MOD($A147,100),IFERROR(VALUE(TRIM(MID(MID($A147,FIND("/",$A147)+1,20),FIND("/",MID($A147,FIND("/",$A147)+1,20))+1,20))),"")))</f>
        <v/>
      </c>
      <c r="E147">
        <f>IF($A147="","",IF(OR($B147="",$C147="",$D147="",$B147&lt;1300,$B147&gt;1500,$C147&lt;1,$C147&gt;12,$D147&lt;1,$D147&gt;31),"نامعتبر",RIGHT("0000"&amp;$B147,4)&amp;"/"&amp;RIGHT("00"&amp;$C147,2)&amp;"/"&amp;RIGHT("00"&amp;$D147,2)))</f>
        <v/>
      </c>
      <c r="F147">
        <f>IF(OR($E147="",$E147="نامعتبر"),"",IF(Sync!$Q144="","0000",IF(AND(ISNUMBER(Sync!$Q144),Sync!$Q144&gt;=0,Sync!$Q144&lt;1),RIGHT("00"&amp;HOUR(Sync!$Q144),2)&amp;RIGHT("00"&amp;MINUTE(Sync!$Q144),2),IFERROR(RIGHT("00"&amp;VALUE(LEFT(Sync!$Q144,FIND(":",Sync!$Q144)-1)),2)&amp;RIGHT("00"&amp;VALUE(MID(Sync!$Q144,FIND(":",Sync!$Q144)+1,2)),2),"0000"))))</f>
        <v/>
      </c>
      <c r="G147">
        <f>IF(OR($E147="",$E147="نامعتبر"),"",IF(Sync!$S144="","",Sync!$S144))</f>
        <v/>
      </c>
      <c r="H147">
        <f>IF(OR($E147="",$E147="نامعتبر"),"",IF(Sync!$R144="","",Sync!$R144))</f>
        <v/>
      </c>
      <c r="I147">
        <f>IF(OR($E147="",$E147="نامعتبر"),"",IF(Sync!$T144="","",Sync!$T144))</f>
        <v/>
      </c>
      <c r="J147">
        <f>IF(OR($E147="",$E147="نامعتبر"),"",IF(Sync!$U144="","",Sync!$U144))</f>
        <v/>
      </c>
      <c r="K147">
        <f>IF(OR($E147="",$E147="نامعتبر"),"",IF(Sync!$V144="","",IFERROR(INDEX(SubCodes,MATCH(Sync!$V144,SubTitles,0)),Sync!$V144)))</f>
        <v/>
      </c>
      <c r="L147">
        <f>IF(OR($E147="",$E147="نامعتبر"),"",IF(Sync!$W144="",0,Sync!$W144))</f>
        <v/>
      </c>
      <c r="M147">
        <f>IF(OR($E147="",$E147="نامعتبر"),"",IF(Sync!$X144="",0,Sync!$X144))</f>
        <v/>
      </c>
      <c r="N147">
        <f>IF(OR($E147="",$E147="نامعتبر"),"",IF(AND($J147="هزینه",$K147&lt;&gt;""),1,0))</f>
        <v/>
      </c>
      <c r="O147">
        <f>IF($N147=0,"",LEFT($E147,4)&amp;MID($E147,6,2)&amp;RIGHT($E147,2)&amp;$F147&amp;"|"&amp;"1"&amp;RIGHT("00000"&amp;139,5))</f>
        <v/>
      </c>
      <c r="P147">
        <f>IF($O147="","",COUNTIFS(ExpSub,$K147,ExpKey,"&lt;"&amp;$O147)+1)</f>
        <v/>
      </c>
      <c r="Q147">
        <f>IF($P147="","",$K147&amp;"|"&amp;RIGHT("000000"&amp;$P147,6))</f>
        <v/>
      </c>
    </row>
    <row r="148">
      <c r="A148">
        <f>IF(Sync!$P145="","",Sync!$P145)</f>
        <v/>
      </c>
      <c r="B148">
        <f>IF($A148="","",IF(ISNUMBER($A148),IF(AND($A148&gt;=10000101,$A148&lt;=99991231),INT($A148/10000),""),IFERROR(VALUE(TRIM(LEFT($A148,FIND("/",$A148)-1))),"")))</f>
        <v/>
      </c>
      <c r="C148">
        <f>IF(OR($A148="",$B148=""),"",IF(ISNUMBER($A148),INT(MOD($A148,10000)/100),IFERROR(VALUE(TRIM(LEFT(MID($A148,FIND("/",$A148)+1,20),FIND("/",MID($A148,FIND("/",$A148)+1,20))-1))),"")))</f>
        <v/>
      </c>
      <c r="D148">
        <f>IF(OR($A148="",$B148=""),"",IF(ISNUMBER($A148),MOD($A148,100),IFERROR(VALUE(TRIM(MID(MID($A148,FIND("/",$A148)+1,20),FIND("/",MID($A148,FIND("/",$A148)+1,20))+1,20))),"")))</f>
        <v/>
      </c>
      <c r="E148">
        <f>IF($A148="","",IF(OR($B148="",$C148="",$D148="",$B148&lt;1300,$B148&gt;1500,$C148&lt;1,$C148&gt;12,$D148&lt;1,$D148&gt;31),"نامعتبر",RIGHT("0000"&amp;$B148,4)&amp;"/"&amp;RIGHT("00"&amp;$C148,2)&amp;"/"&amp;RIGHT("00"&amp;$D148,2)))</f>
        <v/>
      </c>
      <c r="F148">
        <f>IF(OR($E148="",$E148="نامعتبر"),"",IF(Sync!$Q145="","0000",IF(AND(ISNUMBER(Sync!$Q145),Sync!$Q145&gt;=0,Sync!$Q145&lt;1),RIGHT("00"&amp;HOUR(Sync!$Q145),2)&amp;RIGHT("00"&amp;MINUTE(Sync!$Q145),2),IFERROR(RIGHT("00"&amp;VALUE(LEFT(Sync!$Q145,FIND(":",Sync!$Q145)-1)),2)&amp;RIGHT("00"&amp;VALUE(MID(Sync!$Q145,FIND(":",Sync!$Q145)+1,2)),2),"0000"))))</f>
        <v/>
      </c>
      <c r="G148">
        <f>IF(OR($E148="",$E148="نامعتبر"),"",IF(Sync!$S145="","",Sync!$S145))</f>
        <v/>
      </c>
      <c r="H148">
        <f>IF(OR($E148="",$E148="نامعتبر"),"",IF(Sync!$R145="","",Sync!$R145))</f>
        <v/>
      </c>
      <c r="I148">
        <f>IF(OR($E148="",$E148="نامعتبر"),"",IF(Sync!$T145="","",Sync!$T145))</f>
        <v/>
      </c>
      <c r="J148">
        <f>IF(OR($E148="",$E148="نامعتبر"),"",IF(Sync!$U145="","",Sync!$U145))</f>
        <v/>
      </c>
      <c r="K148">
        <f>IF(OR($E148="",$E148="نامعتبر"),"",IF(Sync!$V145="","",IFERROR(INDEX(SubCodes,MATCH(Sync!$V145,SubTitles,0)),Sync!$V145)))</f>
        <v/>
      </c>
      <c r="L148">
        <f>IF(OR($E148="",$E148="نامعتبر"),"",IF(Sync!$W145="",0,Sync!$W145))</f>
        <v/>
      </c>
      <c r="M148">
        <f>IF(OR($E148="",$E148="نامعتبر"),"",IF(Sync!$X145="",0,Sync!$X145))</f>
        <v/>
      </c>
      <c r="N148">
        <f>IF(OR($E148="",$E148="نامعتبر"),"",IF(AND($J148="هزینه",$K148&lt;&gt;""),1,0))</f>
        <v/>
      </c>
      <c r="O148">
        <f>IF($N148=0,"",LEFT($E148,4)&amp;MID($E148,6,2)&amp;RIGHT($E148,2)&amp;$F148&amp;"|"&amp;"1"&amp;RIGHT("00000"&amp;140,5))</f>
        <v/>
      </c>
      <c r="P148">
        <f>IF($O148="","",COUNTIFS(ExpSub,$K148,ExpKey,"&lt;"&amp;$O148)+1)</f>
        <v/>
      </c>
      <c r="Q148">
        <f>IF($P148="","",$K148&amp;"|"&amp;RIGHT("000000"&amp;$P148,6))</f>
        <v/>
      </c>
    </row>
    <row r="149">
      <c r="A149">
        <f>IF(Sync!$P146="","",Sync!$P146)</f>
        <v/>
      </c>
      <c r="B149">
        <f>IF($A149="","",IF(ISNUMBER($A149),IF(AND($A149&gt;=10000101,$A149&lt;=99991231),INT($A149/10000),""),IFERROR(VALUE(TRIM(LEFT($A149,FIND("/",$A149)-1))),"")))</f>
        <v/>
      </c>
      <c r="C149">
        <f>IF(OR($A149="",$B149=""),"",IF(ISNUMBER($A149),INT(MOD($A149,10000)/100),IFERROR(VALUE(TRIM(LEFT(MID($A149,FIND("/",$A149)+1,20),FIND("/",MID($A149,FIND("/",$A149)+1,20))-1))),"")))</f>
        <v/>
      </c>
      <c r="D149">
        <f>IF(OR($A149="",$B149=""),"",IF(ISNUMBER($A149),MOD($A149,100),IFERROR(VALUE(TRIM(MID(MID($A149,FIND("/",$A149)+1,20),FIND("/",MID($A149,FIND("/",$A149)+1,20))+1,20))),"")))</f>
        <v/>
      </c>
      <c r="E149">
        <f>IF($A149="","",IF(OR($B149="",$C149="",$D149="",$B149&lt;1300,$B149&gt;1500,$C149&lt;1,$C149&gt;12,$D149&lt;1,$D149&gt;31),"نامعتبر",RIGHT("0000"&amp;$B149,4)&amp;"/"&amp;RIGHT("00"&amp;$C149,2)&amp;"/"&amp;RIGHT("00"&amp;$D149,2)))</f>
        <v/>
      </c>
      <c r="F149">
        <f>IF(OR($E149="",$E149="نامعتبر"),"",IF(Sync!$Q146="","0000",IF(AND(ISNUMBER(Sync!$Q146),Sync!$Q146&gt;=0,Sync!$Q146&lt;1),RIGHT("00"&amp;HOUR(Sync!$Q146),2)&amp;RIGHT("00"&amp;MINUTE(Sync!$Q146),2),IFERROR(RIGHT("00"&amp;VALUE(LEFT(Sync!$Q146,FIND(":",Sync!$Q146)-1)),2)&amp;RIGHT("00"&amp;VALUE(MID(Sync!$Q146,FIND(":",Sync!$Q146)+1,2)),2),"0000"))))</f>
        <v/>
      </c>
      <c r="G149">
        <f>IF(OR($E149="",$E149="نامعتبر"),"",IF(Sync!$S146="","",Sync!$S146))</f>
        <v/>
      </c>
      <c r="H149">
        <f>IF(OR($E149="",$E149="نامعتبر"),"",IF(Sync!$R146="","",Sync!$R146))</f>
        <v/>
      </c>
      <c r="I149">
        <f>IF(OR($E149="",$E149="نامعتبر"),"",IF(Sync!$T146="","",Sync!$T146))</f>
        <v/>
      </c>
      <c r="J149">
        <f>IF(OR($E149="",$E149="نامعتبر"),"",IF(Sync!$U146="","",Sync!$U146))</f>
        <v/>
      </c>
      <c r="K149">
        <f>IF(OR($E149="",$E149="نامعتبر"),"",IF(Sync!$V146="","",IFERROR(INDEX(SubCodes,MATCH(Sync!$V146,SubTitles,0)),Sync!$V146)))</f>
        <v/>
      </c>
      <c r="L149">
        <f>IF(OR($E149="",$E149="نامعتبر"),"",IF(Sync!$W146="",0,Sync!$W146))</f>
        <v/>
      </c>
      <c r="M149">
        <f>IF(OR($E149="",$E149="نامعتبر"),"",IF(Sync!$X146="",0,Sync!$X146))</f>
        <v/>
      </c>
      <c r="N149">
        <f>IF(OR($E149="",$E149="نامعتبر"),"",IF(AND($J149="هزینه",$K149&lt;&gt;""),1,0))</f>
        <v/>
      </c>
      <c r="O149">
        <f>IF($N149=0,"",LEFT($E149,4)&amp;MID($E149,6,2)&amp;RIGHT($E149,2)&amp;$F149&amp;"|"&amp;"1"&amp;RIGHT("00000"&amp;141,5))</f>
        <v/>
      </c>
      <c r="P149">
        <f>IF($O149="","",COUNTIFS(ExpSub,$K149,ExpKey,"&lt;"&amp;$O149)+1)</f>
        <v/>
      </c>
      <c r="Q149">
        <f>IF($P149="","",$K149&amp;"|"&amp;RIGHT("000000"&amp;$P149,6))</f>
        <v/>
      </c>
    </row>
    <row r="150">
      <c r="A150">
        <f>IF(Sync!$P147="","",Sync!$P147)</f>
        <v/>
      </c>
      <c r="B150">
        <f>IF($A150="","",IF(ISNUMBER($A150),IF(AND($A150&gt;=10000101,$A150&lt;=99991231),INT($A150/10000),""),IFERROR(VALUE(TRIM(LEFT($A150,FIND("/",$A150)-1))),"")))</f>
        <v/>
      </c>
      <c r="C150">
        <f>IF(OR($A150="",$B150=""),"",IF(ISNUMBER($A150),INT(MOD($A150,10000)/100),IFERROR(VALUE(TRIM(LEFT(MID($A150,FIND("/",$A150)+1,20),FIND("/",MID($A150,FIND("/",$A150)+1,20))-1))),"")))</f>
        <v/>
      </c>
      <c r="D150">
        <f>IF(OR($A150="",$B150=""),"",IF(ISNUMBER($A150),MOD($A150,100),IFERROR(VALUE(TRIM(MID(MID($A150,FIND("/",$A150)+1,20),FIND("/",MID($A150,FIND("/",$A150)+1,20))+1,20))),"")))</f>
        <v/>
      </c>
      <c r="E150">
        <f>IF($A150="","",IF(OR($B150="",$C150="",$D150="",$B150&lt;1300,$B150&gt;1500,$C150&lt;1,$C150&gt;12,$D150&lt;1,$D150&gt;31),"نامعتبر",RIGHT("0000"&amp;$B150,4)&amp;"/"&amp;RIGHT("00"&amp;$C150,2)&amp;"/"&amp;RIGHT("00"&amp;$D150,2)))</f>
        <v/>
      </c>
      <c r="F150">
        <f>IF(OR($E150="",$E150="نامعتبر"),"",IF(Sync!$Q147="","0000",IF(AND(ISNUMBER(Sync!$Q147),Sync!$Q147&gt;=0,Sync!$Q147&lt;1),RIGHT("00"&amp;HOUR(Sync!$Q147),2)&amp;RIGHT("00"&amp;MINUTE(Sync!$Q147),2),IFERROR(RIGHT("00"&amp;VALUE(LEFT(Sync!$Q147,FIND(":",Sync!$Q147)-1)),2)&amp;RIGHT("00"&amp;VALUE(MID(Sync!$Q147,FIND(":",Sync!$Q147)+1,2)),2),"0000"))))</f>
        <v/>
      </c>
      <c r="G150">
        <f>IF(OR($E150="",$E150="نامعتبر"),"",IF(Sync!$S147="","",Sync!$S147))</f>
        <v/>
      </c>
      <c r="H150">
        <f>IF(OR($E150="",$E150="نامعتبر"),"",IF(Sync!$R147="","",Sync!$R147))</f>
        <v/>
      </c>
      <c r="I150">
        <f>IF(OR($E150="",$E150="نامعتبر"),"",IF(Sync!$T147="","",Sync!$T147))</f>
        <v/>
      </c>
      <c r="J150">
        <f>IF(OR($E150="",$E150="نامعتبر"),"",IF(Sync!$U147="","",Sync!$U147))</f>
        <v/>
      </c>
      <c r="K150">
        <f>IF(OR($E150="",$E150="نامعتبر"),"",IF(Sync!$V147="","",IFERROR(INDEX(SubCodes,MATCH(Sync!$V147,SubTitles,0)),Sync!$V147)))</f>
        <v/>
      </c>
      <c r="L150">
        <f>IF(OR($E150="",$E150="نامعتبر"),"",IF(Sync!$W147="",0,Sync!$W147))</f>
        <v/>
      </c>
      <c r="M150">
        <f>IF(OR($E150="",$E150="نامعتبر"),"",IF(Sync!$X147="",0,Sync!$X147))</f>
        <v/>
      </c>
      <c r="N150">
        <f>IF(OR($E150="",$E150="نامعتبر"),"",IF(AND($J150="هزینه",$K150&lt;&gt;""),1,0))</f>
        <v/>
      </c>
      <c r="O150">
        <f>IF($N150=0,"",LEFT($E150,4)&amp;MID($E150,6,2)&amp;RIGHT($E150,2)&amp;$F150&amp;"|"&amp;"1"&amp;RIGHT("00000"&amp;142,5))</f>
        <v/>
      </c>
      <c r="P150">
        <f>IF($O150="","",COUNTIFS(ExpSub,$K150,ExpKey,"&lt;"&amp;$O150)+1)</f>
        <v/>
      </c>
      <c r="Q150">
        <f>IF($P150="","",$K150&amp;"|"&amp;RIGHT("000000"&amp;$P150,6))</f>
        <v/>
      </c>
    </row>
    <row r="151">
      <c r="A151">
        <f>IF(Sync!$P148="","",Sync!$P148)</f>
        <v/>
      </c>
      <c r="B151">
        <f>IF($A151="","",IF(ISNUMBER($A151),IF(AND($A151&gt;=10000101,$A151&lt;=99991231),INT($A151/10000),""),IFERROR(VALUE(TRIM(LEFT($A151,FIND("/",$A151)-1))),"")))</f>
        <v/>
      </c>
      <c r="C151">
        <f>IF(OR($A151="",$B151=""),"",IF(ISNUMBER($A151),INT(MOD($A151,10000)/100),IFERROR(VALUE(TRIM(LEFT(MID($A151,FIND("/",$A151)+1,20),FIND("/",MID($A151,FIND("/",$A151)+1,20))-1))),"")))</f>
        <v/>
      </c>
      <c r="D151">
        <f>IF(OR($A151="",$B151=""),"",IF(ISNUMBER($A151),MOD($A151,100),IFERROR(VALUE(TRIM(MID(MID($A151,FIND("/",$A151)+1,20),FIND("/",MID($A151,FIND("/",$A151)+1,20))+1,20))),"")))</f>
        <v/>
      </c>
      <c r="E151">
        <f>IF($A151="","",IF(OR($B151="",$C151="",$D151="",$B151&lt;1300,$B151&gt;1500,$C151&lt;1,$C151&gt;12,$D151&lt;1,$D151&gt;31),"نامعتبر",RIGHT("0000"&amp;$B151,4)&amp;"/"&amp;RIGHT("00"&amp;$C151,2)&amp;"/"&amp;RIGHT("00"&amp;$D151,2)))</f>
        <v/>
      </c>
      <c r="F151">
        <f>IF(OR($E151="",$E151="نامعتبر"),"",IF(Sync!$Q148="","0000",IF(AND(ISNUMBER(Sync!$Q148),Sync!$Q148&gt;=0,Sync!$Q148&lt;1),RIGHT("00"&amp;HOUR(Sync!$Q148),2)&amp;RIGHT("00"&amp;MINUTE(Sync!$Q148),2),IFERROR(RIGHT("00"&amp;VALUE(LEFT(Sync!$Q148,FIND(":",Sync!$Q148)-1)),2)&amp;RIGHT("00"&amp;VALUE(MID(Sync!$Q148,FIND(":",Sync!$Q148)+1,2)),2),"0000"))))</f>
        <v/>
      </c>
      <c r="G151">
        <f>IF(OR($E151="",$E151="نامعتبر"),"",IF(Sync!$S148="","",Sync!$S148))</f>
        <v/>
      </c>
      <c r="H151">
        <f>IF(OR($E151="",$E151="نامعتبر"),"",IF(Sync!$R148="","",Sync!$R148))</f>
        <v/>
      </c>
      <c r="I151">
        <f>IF(OR($E151="",$E151="نامعتبر"),"",IF(Sync!$T148="","",Sync!$T148))</f>
        <v/>
      </c>
      <c r="J151">
        <f>IF(OR($E151="",$E151="نامعتبر"),"",IF(Sync!$U148="","",Sync!$U148))</f>
        <v/>
      </c>
      <c r="K151">
        <f>IF(OR($E151="",$E151="نامعتبر"),"",IF(Sync!$V148="","",IFERROR(INDEX(SubCodes,MATCH(Sync!$V148,SubTitles,0)),Sync!$V148)))</f>
        <v/>
      </c>
      <c r="L151">
        <f>IF(OR($E151="",$E151="نامعتبر"),"",IF(Sync!$W148="",0,Sync!$W148))</f>
        <v/>
      </c>
      <c r="M151">
        <f>IF(OR($E151="",$E151="نامعتبر"),"",IF(Sync!$X148="",0,Sync!$X148))</f>
        <v/>
      </c>
      <c r="N151">
        <f>IF(OR($E151="",$E151="نامعتبر"),"",IF(AND($J151="هزینه",$K151&lt;&gt;""),1,0))</f>
        <v/>
      </c>
      <c r="O151">
        <f>IF($N151=0,"",LEFT($E151,4)&amp;MID($E151,6,2)&amp;RIGHT($E151,2)&amp;$F151&amp;"|"&amp;"1"&amp;RIGHT("00000"&amp;143,5))</f>
        <v/>
      </c>
      <c r="P151">
        <f>IF($O151="","",COUNTIFS(ExpSub,$K151,ExpKey,"&lt;"&amp;$O151)+1)</f>
        <v/>
      </c>
      <c r="Q151">
        <f>IF($P151="","",$K151&amp;"|"&amp;RIGHT("000000"&amp;$P151,6))</f>
        <v/>
      </c>
    </row>
    <row r="152">
      <c r="A152">
        <f>IF(Sync!$P149="","",Sync!$P149)</f>
        <v/>
      </c>
      <c r="B152">
        <f>IF($A152="","",IF(ISNUMBER($A152),IF(AND($A152&gt;=10000101,$A152&lt;=99991231),INT($A152/10000),""),IFERROR(VALUE(TRIM(LEFT($A152,FIND("/",$A152)-1))),"")))</f>
        <v/>
      </c>
      <c r="C152">
        <f>IF(OR($A152="",$B152=""),"",IF(ISNUMBER($A152),INT(MOD($A152,10000)/100),IFERROR(VALUE(TRIM(LEFT(MID($A152,FIND("/",$A152)+1,20),FIND("/",MID($A152,FIND("/",$A152)+1,20))-1))),"")))</f>
        <v/>
      </c>
      <c r="D152">
        <f>IF(OR($A152="",$B152=""),"",IF(ISNUMBER($A152),MOD($A152,100),IFERROR(VALUE(TRIM(MID(MID($A152,FIND("/",$A152)+1,20),FIND("/",MID($A152,FIND("/",$A152)+1,20))+1,20))),"")))</f>
        <v/>
      </c>
      <c r="E152">
        <f>IF($A152="","",IF(OR($B152="",$C152="",$D152="",$B152&lt;1300,$B152&gt;1500,$C152&lt;1,$C152&gt;12,$D152&lt;1,$D152&gt;31),"نامعتبر",RIGHT("0000"&amp;$B152,4)&amp;"/"&amp;RIGHT("00"&amp;$C152,2)&amp;"/"&amp;RIGHT("00"&amp;$D152,2)))</f>
        <v/>
      </c>
      <c r="F152">
        <f>IF(OR($E152="",$E152="نامعتبر"),"",IF(Sync!$Q149="","0000",IF(AND(ISNUMBER(Sync!$Q149),Sync!$Q149&gt;=0,Sync!$Q149&lt;1),RIGHT("00"&amp;HOUR(Sync!$Q149),2)&amp;RIGHT("00"&amp;MINUTE(Sync!$Q149),2),IFERROR(RIGHT("00"&amp;VALUE(LEFT(Sync!$Q149,FIND(":",Sync!$Q149)-1)),2)&amp;RIGHT("00"&amp;VALUE(MID(Sync!$Q149,FIND(":",Sync!$Q149)+1,2)),2),"0000"))))</f>
        <v/>
      </c>
      <c r="G152">
        <f>IF(OR($E152="",$E152="نامعتبر"),"",IF(Sync!$S149="","",Sync!$S149))</f>
        <v/>
      </c>
      <c r="H152">
        <f>IF(OR($E152="",$E152="نامعتبر"),"",IF(Sync!$R149="","",Sync!$R149))</f>
        <v/>
      </c>
      <c r="I152">
        <f>IF(OR($E152="",$E152="نامعتبر"),"",IF(Sync!$T149="","",Sync!$T149))</f>
        <v/>
      </c>
      <c r="J152">
        <f>IF(OR($E152="",$E152="نامعتبر"),"",IF(Sync!$U149="","",Sync!$U149))</f>
        <v/>
      </c>
      <c r="K152">
        <f>IF(OR($E152="",$E152="نامعتبر"),"",IF(Sync!$V149="","",IFERROR(INDEX(SubCodes,MATCH(Sync!$V149,SubTitles,0)),Sync!$V149)))</f>
        <v/>
      </c>
      <c r="L152">
        <f>IF(OR($E152="",$E152="نامعتبر"),"",IF(Sync!$W149="",0,Sync!$W149))</f>
        <v/>
      </c>
      <c r="M152">
        <f>IF(OR($E152="",$E152="نامعتبر"),"",IF(Sync!$X149="",0,Sync!$X149))</f>
        <v/>
      </c>
      <c r="N152">
        <f>IF(OR($E152="",$E152="نامعتبر"),"",IF(AND($J152="هزینه",$K152&lt;&gt;""),1,0))</f>
        <v/>
      </c>
      <c r="O152">
        <f>IF($N152=0,"",LEFT($E152,4)&amp;MID($E152,6,2)&amp;RIGHT($E152,2)&amp;$F152&amp;"|"&amp;"1"&amp;RIGHT("00000"&amp;144,5))</f>
        <v/>
      </c>
      <c r="P152">
        <f>IF($O152="","",COUNTIFS(ExpSub,$K152,ExpKey,"&lt;"&amp;$O152)+1)</f>
        <v/>
      </c>
      <c r="Q152">
        <f>IF($P152="","",$K152&amp;"|"&amp;RIGHT("000000"&amp;$P152,6))</f>
        <v/>
      </c>
    </row>
    <row r="153">
      <c r="A153">
        <f>IF(Sync!$P150="","",Sync!$P150)</f>
        <v/>
      </c>
      <c r="B153">
        <f>IF($A153="","",IF(ISNUMBER($A153),IF(AND($A153&gt;=10000101,$A153&lt;=99991231),INT($A153/10000),""),IFERROR(VALUE(TRIM(LEFT($A153,FIND("/",$A153)-1))),"")))</f>
        <v/>
      </c>
      <c r="C153">
        <f>IF(OR($A153="",$B153=""),"",IF(ISNUMBER($A153),INT(MOD($A153,10000)/100),IFERROR(VALUE(TRIM(LEFT(MID($A153,FIND("/",$A153)+1,20),FIND("/",MID($A153,FIND("/",$A153)+1,20))-1))),"")))</f>
        <v/>
      </c>
      <c r="D153">
        <f>IF(OR($A153="",$B153=""),"",IF(ISNUMBER($A153),MOD($A153,100),IFERROR(VALUE(TRIM(MID(MID($A153,FIND("/",$A153)+1,20),FIND("/",MID($A153,FIND("/",$A153)+1,20))+1,20))),"")))</f>
        <v/>
      </c>
      <c r="E153">
        <f>IF($A153="","",IF(OR($B153="",$C153="",$D153="",$B153&lt;1300,$B153&gt;1500,$C153&lt;1,$C153&gt;12,$D153&lt;1,$D153&gt;31),"نامعتبر",RIGHT("0000"&amp;$B153,4)&amp;"/"&amp;RIGHT("00"&amp;$C153,2)&amp;"/"&amp;RIGHT("00"&amp;$D153,2)))</f>
        <v/>
      </c>
      <c r="F153">
        <f>IF(OR($E153="",$E153="نامعتبر"),"",IF(Sync!$Q150="","0000",IF(AND(ISNUMBER(Sync!$Q150),Sync!$Q150&gt;=0,Sync!$Q150&lt;1),RIGHT("00"&amp;HOUR(Sync!$Q150),2)&amp;RIGHT("00"&amp;MINUTE(Sync!$Q150),2),IFERROR(RIGHT("00"&amp;VALUE(LEFT(Sync!$Q150,FIND(":",Sync!$Q150)-1)),2)&amp;RIGHT("00"&amp;VALUE(MID(Sync!$Q150,FIND(":",Sync!$Q150)+1,2)),2),"0000"))))</f>
        <v/>
      </c>
      <c r="G153">
        <f>IF(OR($E153="",$E153="نامعتبر"),"",IF(Sync!$S150="","",Sync!$S150))</f>
        <v/>
      </c>
      <c r="H153">
        <f>IF(OR($E153="",$E153="نامعتبر"),"",IF(Sync!$R150="","",Sync!$R150))</f>
        <v/>
      </c>
      <c r="I153">
        <f>IF(OR($E153="",$E153="نامعتبر"),"",IF(Sync!$T150="","",Sync!$T150))</f>
        <v/>
      </c>
      <c r="J153">
        <f>IF(OR($E153="",$E153="نامعتبر"),"",IF(Sync!$U150="","",Sync!$U150))</f>
        <v/>
      </c>
      <c r="K153">
        <f>IF(OR($E153="",$E153="نامعتبر"),"",IF(Sync!$V150="","",IFERROR(INDEX(SubCodes,MATCH(Sync!$V150,SubTitles,0)),Sync!$V150)))</f>
        <v/>
      </c>
      <c r="L153">
        <f>IF(OR($E153="",$E153="نامعتبر"),"",IF(Sync!$W150="",0,Sync!$W150))</f>
        <v/>
      </c>
      <c r="M153">
        <f>IF(OR($E153="",$E153="نامعتبر"),"",IF(Sync!$X150="",0,Sync!$X150))</f>
        <v/>
      </c>
      <c r="N153">
        <f>IF(OR($E153="",$E153="نامعتبر"),"",IF(AND($J153="هزینه",$K153&lt;&gt;""),1,0))</f>
        <v/>
      </c>
      <c r="O153">
        <f>IF($N153=0,"",LEFT($E153,4)&amp;MID($E153,6,2)&amp;RIGHT($E153,2)&amp;$F153&amp;"|"&amp;"1"&amp;RIGHT("00000"&amp;145,5))</f>
        <v/>
      </c>
      <c r="P153">
        <f>IF($O153="","",COUNTIFS(ExpSub,$K153,ExpKey,"&lt;"&amp;$O153)+1)</f>
        <v/>
      </c>
      <c r="Q153">
        <f>IF($P153="","",$K153&amp;"|"&amp;RIGHT("000000"&amp;$P153,6))</f>
        <v/>
      </c>
    </row>
    <row r="154">
      <c r="A154">
        <f>IF(Sync!$P151="","",Sync!$P151)</f>
        <v/>
      </c>
      <c r="B154">
        <f>IF($A154="","",IF(ISNUMBER($A154),IF(AND($A154&gt;=10000101,$A154&lt;=99991231),INT($A154/10000),""),IFERROR(VALUE(TRIM(LEFT($A154,FIND("/",$A154)-1))),"")))</f>
        <v/>
      </c>
      <c r="C154">
        <f>IF(OR($A154="",$B154=""),"",IF(ISNUMBER($A154),INT(MOD($A154,10000)/100),IFERROR(VALUE(TRIM(LEFT(MID($A154,FIND("/",$A154)+1,20),FIND("/",MID($A154,FIND("/",$A154)+1,20))-1))),"")))</f>
        <v/>
      </c>
      <c r="D154">
        <f>IF(OR($A154="",$B154=""),"",IF(ISNUMBER($A154),MOD($A154,100),IFERROR(VALUE(TRIM(MID(MID($A154,FIND("/",$A154)+1,20),FIND("/",MID($A154,FIND("/",$A154)+1,20))+1,20))),"")))</f>
        <v/>
      </c>
      <c r="E154">
        <f>IF($A154="","",IF(OR($B154="",$C154="",$D154="",$B154&lt;1300,$B154&gt;1500,$C154&lt;1,$C154&gt;12,$D154&lt;1,$D154&gt;31),"نامعتبر",RIGHT("0000"&amp;$B154,4)&amp;"/"&amp;RIGHT("00"&amp;$C154,2)&amp;"/"&amp;RIGHT("00"&amp;$D154,2)))</f>
        <v/>
      </c>
      <c r="F154">
        <f>IF(OR($E154="",$E154="نامعتبر"),"",IF(Sync!$Q151="","0000",IF(AND(ISNUMBER(Sync!$Q151),Sync!$Q151&gt;=0,Sync!$Q151&lt;1),RIGHT("00"&amp;HOUR(Sync!$Q151),2)&amp;RIGHT("00"&amp;MINUTE(Sync!$Q151),2),IFERROR(RIGHT("00"&amp;VALUE(LEFT(Sync!$Q151,FIND(":",Sync!$Q151)-1)),2)&amp;RIGHT("00"&amp;VALUE(MID(Sync!$Q151,FIND(":",Sync!$Q151)+1,2)),2),"0000"))))</f>
        <v/>
      </c>
      <c r="G154">
        <f>IF(OR($E154="",$E154="نامعتبر"),"",IF(Sync!$S151="","",Sync!$S151))</f>
        <v/>
      </c>
      <c r="H154">
        <f>IF(OR($E154="",$E154="نامعتبر"),"",IF(Sync!$R151="","",Sync!$R151))</f>
        <v/>
      </c>
      <c r="I154">
        <f>IF(OR($E154="",$E154="نامعتبر"),"",IF(Sync!$T151="","",Sync!$T151))</f>
        <v/>
      </c>
      <c r="J154">
        <f>IF(OR($E154="",$E154="نامعتبر"),"",IF(Sync!$U151="","",Sync!$U151))</f>
        <v/>
      </c>
      <c r="K154">
        <f>IF(OR($E154="",$E154="نامعتبر"),"",IF(Sync!$V151="","",IFERROR(INDEX(SubCodes,MATCH(Sync!$V151,SubTitles,0)),Sync!$V151)))</f>
        <v/>
      </c>
      <c r="L154">
        <f>IF(OR($E154="",$E154="نامعتبر"),"",IF(Sync!$W151="",0,Sync!$W151))</f>
        <v/>
      </c>
      <c r="M154">
        <f>IF(OR($E154="",$E154="نامعتبر"),"",IF(Sync!$X151="",0,Sync!$X151))</f>
        <v/>
      </c>
      <c r="N154">
        <f>IF(OR($E154="",$E154="نامعتبر"),"",IF(AND($J154="هزینه",$K154&lt;&gt;""),1,0))</f>
        <v/>
      </c>
      <c r="O154">
        <f>IF($N154=0,"",LEFT($E154,4)&amp;MID($E154,6,2)&amp;RIGHT($E154,2)&amp;$F154&amp;"|"&amp;"1"&amp;RIGHT("00000"&amp;146,5))</f>
        <v/>
      </c>
      <c r="P154">
        <f>IF($O154="","",COUNTIFS(ExpSub,$K154,ExpKey,"&lt;"&amp;$O154)+1)</f>
        <v/>
      </c>
      <c r="Q154">
        <f>IF($P154="","",$K154&amp;"|"&amp;RIGHT("000000"&amp;$P154,6))</f>
        <v/>
      </c>
    </row>
    <row r="155">
      <c r="A155">
        <f>IF(Sync!$P152="","",Sync!$P152)</f>
        <v/>
      </c>
      <c r="B155">
        <f>IF($A155="","",IF(ISNUMBER($A155),IF(AND($A155&gt;=10000101,$A155&lt;=99991231),INT($A155/10000),""),IFERROR(VALUE(TRIM(LEFT($A155,FIND("/",$A155)-1))),"")))</f>
        <v/>
      </c>
      <c r="C155">
        <f>IF(OR($A155="",$B155=""),"",IF(ISNUMBER($A155),INT(MOD($A155,10000)/100),IFERROR(VALUE(TRIM(LEFT(MID($A155,FIND("/",$A155)+1,20),FIND("/",MID($A155,FIND("/",$A155)+1,20))-1))),"")))</f>
        <v/>
      </c>
      <c r="D155">
        <f>IF(OR($A155="",$B155=""),"",IF(ISNUMBER($A155),MOD($A155,100),IFERROR(VALUE(TRIM(MID(MID($A155,FIND("/",$A155)+1,20),FIND("/",MID($A155,FIND("/",$A155)+1,20))+1,20))),"")))</f>
        <v/>
      </c>
      <c r="E155">
        <f>IF($A155="","",IF(OR($B155="",$C155="",$D155="",$B155&lt;1300,$B155&gt;1500,$C155&lt;1,$C155&gt;12,$D155&lt;1,$D155&gt;31),"نامعتبر",RIGHT("0000"&amp;$B155,4)&amp;"/"&amp;RIGHT("00"&amp;$C155,2)&amp;"/"&amp;RIGHT("00"&amp;$D155,2)))</f>
        <v/>
      </c>
      <c r="F155">
        <f>IF(OR($E155="",$E155="نامعتبر"),"",IF(Sync!$Q152="","0000",IF(AND(ISNUMBER(Sync!$Q152),Sync!$Q152&gt;=0,Sync!$Q152&lt;1),RIGHT("00"&amp;HOUR(Sync!$Q152),2)&amp;RIGHT("00"&amp;MINUTE(Sync!$Q152),2),IFERROR(RIGHT("00"&amp;VALUE(LEFT(Sync!$Q152,FIND(":",Sync!$Q152)-1)),2)&amp;RIGHT("00"&amp;VALUE(MID(Sync!$Q152,FIND(":",Sync!$Q152)+1,2)),2),"0000"))))</f>
        <v/>
      </c>
      <c r="G155">
        <f>IF(OR($E155="",$E155="نامعتبر"),"",IF(Sync!$S152="","",Sync!$S152))</f>
        <v/>
      </c>
      <c r="H155">
        <f>IF(OR($E155="",$E155="نامعتبر"),"",IF(Sync!$R152="","",Sync!$R152))</f>
        <v/>
      </c>
      <c r="I155">
        <f>IF(OR($E155="",$E155="نامعتبر"),"",IF(Sync!$T152="","",Sync!$T152))</f>
        <v/>
      </c>
      <c r="J155">
        <f>IF(OR($E155="",$E155="نامعتبر"),"",IF(Sync!$U152="","",Sync!$U152))</f>
        <v/>
      </c>
      <c r="K155">
        <f>IF(OR($E155="",$E155="نامعتبر"),"",IF(Sync!$V152="","",IFERROR(INDEX(SubCodes,MATCH(Sync!$V152,SubTitles,0)),Sync!$V152)))</f>
        <v/>
      </c>
      <c r="L155">
        <f>IF(OR($E155="",$E155="نامعتبر"),"",IF(Sync!$W152="",0,Sync!$W152))</f>
        <v/>
      </c>
      <c r="M155">
        <f>IF(OR($E155="",$E155="نامعتبر"),"",IF(Sync!$X152="",0,Sync!$X152))</f>
        <v/>
      </c>
      <c r="N155">
        <f>IF(OR($E155="",$E155="نامعتبر"),"",IF(AND($J155="هزینه",$K155&lt;&gt;""),1,0))</f>
        <v/>
      </c>
      <c r="O155">
        <f>IF($N155=0,"",LEFT($E155,4)&amp;MID($E155,6,2)&amp;RIGHT($E155,2)&amp;$F155&amp;"|"&amp;"1"&amp;RIGHT("00000"&amp;147,5))</f>
        <v/>
      </c>
      <c r="P155">
        <f>IF($O155="","",COUNTIFS(ExpSub,$K155,ExpKey,"&lt;"&amp;$O155)+1)</f>
        <v/>
      </c>
      <c r="Q155">
        <f>IF($P155="","",$K155&amp;"|"&amp;RIGHT("000000"&amp;$P155,6))</f>
        <v/>
      </c>
    </row>
    <row r="156">
      <c r="A156">
        <f>IF(Sync!$P153="","",Sync!$P153)</f>
        <v/>
      </c>
      <c r="B156">
        <f>IF($A156="","",IF(ISNUMBER($A156),IF(AND($A156&gt;=10000101,$A156&lt;=99991231),INT($A156/10000),""),IFERROR(VALUE(TRIM(LEFT($A156,FIND("/",$A156)-1))),"")))</f>
        <v/>
      </c>
      <c r="C156">
        <f>IF(OR($A156="",$B156=""),"",IF(ISNUMBER($A156),INT(MOD($A156,10000)/100),IFERROR(VALUE(TRIM(LEFT(MID($A156,FIND("/",$A156)+1,20),FIND("/",MID($A156,FIND("/",$A156)+1,20))-1))),"")))</f>
        <v/>
      </c>
      <c r="D156">
        <f>IF(OR($A156="",$B156=""),"",IF(ISNUMBER($A156),MOD($A156,100),IFERROR(VALUE(TRIM(MID(MID($A156,FIND("/",$A156)+1,20),FIND("/",MID($A156,FIND("/",$A156)+1,20))+1,20))),"")))</f>
        <v/>
      </c>
      <c r="E156">
        <f>IF($A156="","",IF(OR($B156="",$C156="",$D156="",$B156&lt;1300,$B156&gt;1500,$C156&lt;1,$C156&gt;12,$D156&lt;1,$D156&gt;31),"نامعتبر",RIGHT("0000"&amp;$B156,4)&amp;"/"&amp;RIGHT("00"&amp;$C156,2)&amp;"/"&amp;RIGHT("00"&amp;$D156,2)))</f>
        <v/>
      </c>
      <c r="F156">
        <f>IF(OR($E156="",$E156="نامعتبر"),"",IF(Sync!$Q153="","0000",IF(AND(ISNUMBER(Sync!$Q153),Sync!$Q153&gt;=0,Sync!$Q153&lt;1),RIGHT("00"&amp;HOUR(Sync!$Q153),2)&amp;RIGHT("00"&amp;MINUTE(Sync!$Q153),2),IFERROR(RIGHT("00"&amp;VALUE(LEFT(Sync!$Q153,FIND(":",Sync!$Q153)-1)),2)&amp;RIGHT("00"&amp;VALUE(MID(Sync!$Q153,FIND(":",Sync!$Q153)+1,2)),2),"0000"))))</f>
        <v/>
      </c>
      <c r="G156">
        <f>IF(OR($E156="",$E156="نامعتبر"),"",IF(Sync!$S153="","",Sync!$S153))</f>
        <v/>
      </c>
      <c r="H156">
        <f>IF(OR($E156="",$E156="نامعتبر"),"",IF(Sync!$R153="","",Sync!$R153))</f>
        <v/>
      </c>
      <c r="I156">
        <f>IF(OR($E156="",$E156="نامعتبر"),"",IF(Sync!$T153="","",Sync!$T153))</f>
        <v/>
      </c>
      <c r="J156">
        <f>IF(OR($E156="",$E156="نامعتبر"),"",IF(Sync!$U153="","",Sync!$U153))</f>
        <v/>
      </c>
      <c r="K156">
        <f>IF(OR($E156="",$E156="نامعتبر"),"",IF(Sync!$V153="","",IFERROR(INDEX(SubCodes,MATCH(Sync!$V153,SubTitles,0)),Sync!$V153)))</f>
        <v/>
      </c>
      <c r="L156">
        <f>IF(OR($E156="",$E156="نامعتبر"),"",IF(Sync!$W153="",0,Sync!$W153))</f>
        <v/>
      </c>
      <c r="M156">
        <f>IF(OR($E156="",$E156="نامعتبر"),"",IF(Sync!$X153="",0,Sync!$X153))</f>
        <v/>
      </c>
      <c r="N156">
        <f>IF(OR($E156="",$E156="نامعتبر"),"",IF(AND($J156="هزینه",$K156&lt;&gt;""),1,0))</f>
        <v/>
      </c>
      <c r="O156">
        <f>IF($N156=0,"",LEFT($E156,4)&amp;MID($E156,6,2)&amp;RIGHT($E156,2)&amp;$F156&amp;"|"&amp;"1"&amp;RIGHT("00000"&amp;148,5))</f>
        <v/>
      </c>
      <c r="P156">
        <f>IF($O156="","",COUNTIFS(ExpSub,$K156,ExpKey,"&lt;"&amp;$O156)+1)</f>
        <v/>
      </c>
      <c r="Q156">
        <f>IF($P156="","",$K156&amp;"|"&amp;RIGHT("000000"&amp;$P156,6))</f>
        <v/>
      </c>
    </row>
    <row r="157">
      <c r="A157">
        <f>IF(Sync!$P154="","",Sync!$P154)</f>
        <v/>
      </c>
      <c r="B157">
        <f>IF($A157="","",IF(ISNUMBER($A157),IF(AND($A157&gt;=10000101,$A157&lt;=99991231),INT($A157/10000),""),IFERROR(VALUE(TRIM(LEFT($A157,FIND("/",$A157)-1))),"")))</f>
        <v/>
      </c>
      <c r="C157">
        <f>IF(OR($A157="",$B157=""),"",IF(ISNUMBER($A157),INT(MOD($A157,10000)/100),IFERROR(VALUE(TRIM(LEFT(MID($A157,FIND("/",$A157)+1,20),FIND("/",MID($A157,FIND("/",$A157)+1,20))-1))),"")))</f>
        <v/>
      </c>
      <c r="D157">
        <f>IF(OR($A157="",$B157=""),"",IF(ISNUMBER($A157),MOD($A157,100),IFERROR(VALUE(TRIM(MID(MID($A157,FIND("/",$A157)+1,20),FIND("/",MID($A157,FIND("/",$A157)+1,20))+1,20))),"")))</f>
        <v/>
      </c>
      <c r="E157">
        <f>IF($A157="","",IF(OR($B157="",$C157="",$D157="",$B157&lt;1300,$B157&gt;1500,$C157&lt;1,$C157&gt;12,$D157&lt;1,$D157&gt;31),"نامعتبر",RIGHT("0000"&amp;$B157,4)&amp;"/"&amp;RIGHT("00"&amp;$C157,2)&amp;"/"&amp;RIGHT("00"&amp;$D157,2)))</f>
        <v/>
      </c>
      <c r="F157">
        <f>IF(OR($E157="",$E157="نامعتبر"),"",IF(Sync!$Q154="","0000",IF(AND(ISNUMBER(Sync!$Q154),Sync!$Q154&gt;=0,Sync!$Q154&lt;1),RIGHT("00"&amp;HOUR(Sync!$Q154),2)&amp;RIGHT("00"&amp;MINUTE(Sync!$Q154),2),IFERROR(RIGHT("00"&amp;VALUE(LEFT(Sync!$Q154,FIND(":",Sync!$Q154)-1)),2)&amp;RIGHT("00"&amp;VALUE(MID(Sync!$Q154,FIND(":",Sync!$Q154)+1,2)),2),"0000"))))</f>
        <v/>
      </c>
      <c r="G157">
        <f>IF(OR($E157="",$E157="نامعتبر"),"",IF(Sync!$S154="","",Sync!$S154))</f>
        <v/>
      </c>
      <c r="H157">
        <f>IF(OR($E157="",$E157="نامعتبر"),"",IF(Sync!$R154="","",Sync!$R154))</f>
        <v/>
      </c>
      <c r="I157">
        <f>IF(OR($E157="",$E157="نامعتبر"),"",IF(Sync!$T154="","",Sync!$T154))</f>
        <v/>
      </c>
      <c r="J157">
        <f>IF(OR($E157="",$E157="نامعتبر"),"",IF(Sync!$U154="","",Sync!$U154))</f>
        <v/>
      </c>
      <c r="K157">
        <f>IF(OR($E157="",$E157="نامعتبر"),"",IF(Sync!$V154="","",IFERROR(INDEX(SubCodes,MATCH(Sync!$V154,SubTitles,0)),Sync!$V154)))</f>
        <v/>
      </c>
      <c r="L157">
        <f>IF(OR($E157="",$E157="نامعتبر"),"",IF(Sync!$W154="",0,Sync!$W154))</f>
        <v/>
      </c>
      <c r="M157">
        <f>IF(OR($E157="",$E157="نامعتبر"),"",IF(Sync!$X154="",0,Sync!$X154))</f>
        <v/>
      </c>
      <c r="N157">
        <f>IF(OR($E157="",$E157="نامعتبر"),"",IF(AND($J157="هزینه",$K157&lt;&gt;""),1,0))</f>
        <v/>
      </c>
      <c r="O157">
        <f>IF($N157=0,"",LEFT($E157,4)&amp;MID($E157,6,2)&amp;RIGHT($E157,2)&amp;$F157&amp;"|"&amp;"1"&amp;RIGHT("00000"&amp;149,5))</f>
        <v/>
      </c>
      <c r="P157">
        <f>IF($O157="","",COUNTIFS(ExpSub,$K157,ExpKey,"&lt;"&amp;$O157)+1)</f>
        <v/>
      </c>
      <c r="Q157">
        <f>IF($P157="","",$K157&amp;"|"&amp;RIGHT("000000"&amp;$P157,6))</f>
        <v/>
      </c>
    </row>
    <row r="158">
      <c r="A158">
        <f>IF(Sync!$P155="","",Sync!$P155)</f>
        <v/>
      </c>
      <c r="B158">
        <f>IF($A158="","",IF(ISNUMBER($A158),IF(AND($A158&gt;=10000101,$A158&lt;=99991231),INT($A158/10000),""),IFERROR(VALUE(TRIM(LEFT($A158,FIND("/",$A158)-1))),"")))</f>
        <v/>
      </c>
      <c r="C158">
        <f>IF(OR($A158="",$B158=""),"",IF(ISNUMBER($A158),INT(MOD($A158,10000)/100),IFERROR(VALUE(TRIM(LEFT(MID($A158,FIND("/",$A158)+1,20),FIND("/",MID($A158,FIND("/",$A158)+1,20))-1))),"")))</f>
        <v/>
      </c>
      <c r="D158">
        <f>IF(OR($A158="",$B158=""),"",IF(ISNUMBER($A158),MOD($A158,100),IFERROR(VALUE(TRIM(MID(MID($A158,FIND("/",$A158)+1,20),FIND("/",MID($A158,FIND("/",$A158)+1,20))+1,20))),"")))</f>
        <v/>
      </c>
      <c r="E158">
        <f>IF($A158="","",IF(OR($B158="",$C158="",$D158="",$B158&lt;1300,$B158&gt;1500,$C158&lt;1,$C158&gt;12,$D158&lt;1,$D158&gt;31),"نامعتبر",RIGHT("0000"&amp;$B158,4)&amp;"/"&amp;RIGHT("00"&amp;$C158,2)&amp;"/"&amp;RIGHT("00"&amp;$D158,2)))</f>
        <v/>
      </c>
      <c r="F158">
        <f>IF(OR($E158="",$E158="نامعتبر"),"",IF(Sync!$Q155="","0000",IF(AND(ISNUMBER(Sync!$Q155),Sync!$Q155&gt;=0,Sync!$Q155&lt;1),RIGHT("00"&amp;HOUR(Sync!$Q155),2)&amp;RIGHT("00"&amp;MINUTE(Sync!$Q155),2),IFERROR(RIGHT("00"&amp;VALUE(LEFT(Sync!$Q155,FIND(":",Sync!$Q155)-1)),2)&amp;RIGHT("00"&amp;VALUE(MID(Sync!$Q155,FIND(":",Sync!$Q155)+1,2)),2),"0000"))))</f>
        <v/>
      </c>
      <c r="G158">
        <f>IF(OR($E158="",$E158="نامعتبر"),"",IF(Sync!$S155="","",Sync!$S155))</f>
        <v/>
      </c>
      <c r="H158">
        <f>IF(OR($E158="",$E158="نامعتبر"),"",IF(Sync!$R155="","",Sync!$R155))</f>
        <v/>
      </c>
      <c r="I158">
        <f>IF(OR($E158="",$E158="نامعتبر"),"",IF(Sync!$T155="","",Sync!$T155))</f>
        <v/>
      </c>
      <c r="J158">
        <f>IF(OR($E158="",$E158="نامعتبر"),"",IF(Sync!$U155="","",Sync!$U155))</f>
        <v/>
      </c>
      <c r="K158">
        <f>IF(OR($E158="",$E158="نامعتبر"),"",IF(Sync!$V155="","",IFERROR(INDEX(SubCodes,MATCH(Sync!$V155,SubTitles,0)),Sync!$V155)))</f>
        <v/>
      </c>
      <c r="L158">
        <f>IF(OR($E158="",$E158="نامعتبر"),"",IF(Sync!$W155="",0,Sync!$W155))</f>
        <v/>
      </c>
      <c r="M158">
        <f>IF(OR($E158="",$E158="نامعتبر"),"",IF(Sync!$X155="",0,Sync!$X155))</f>
        <v/>
      </c>
      <c r="N158">
        <f>IF(OR($E158="",$E158="نامعتبر"),"",IF(AND($J158="هزینه",$K158&lt;&gt;""),1,0))</f>
        <v/>
      </c>
      <c r="O158">
        <f>IF($N158=0,"",LEFT($E158,4)&amp;MID($E158,6,2)&amp;RIGHT($E158,2)&amp;$F158&amp;"|"&amp;"1"&amp;RIGHT("00000"&amp;150,5))</f>
        <v/>
      </c>
      <c r="P158">
        <f>IF($O158="","",COUNTIFS(ExpSub,$K158,ExpKey,"&lt;"&amp;$O158)+1)</f>
        <v/>
      </c>
      <c r="Q158">
        <f>IF($P158="","",$K158&amp;"|"&amp;RIGHT("000000"&amp;$P158,6))</f>
        <v/>
      </c>
    </row>
    <row r="159">
      <c r="A159">
        <f>IF(Sync!$P156="","",Sync!$P156)</f>
        <v/>
      </c>
      <c r="B159">
        <f>IF($A159="","",IF(ISNUMBER($A159),IF(AND($A159&gt;=10000101,$A159&lt;=99991231),INT($A159/10000),""),IFERROR(VALUE(TRIM(LEFT($A159,FIND("/",$A159)-1))),"")))</f>
        <v/>
      </c>
      <c r="C159">
        <f>IF(OR($A159="",$B159=""),"",IF(ISNUMBER($A159),INT(MOD($A159,10000)/100),IFERROR(VALUE(TRIM(LEFT(MID($A159,FIND("/",$A159)+1,20),FIND("/",MID($A159,FIND("/",$A159)+1,20))-1))),"")))</f>
        <v/>
      </c>
      <c r="D159">
        <f>IF(OR($A159="",$B159=""),"",IF(ISNUMBER($A159),MOD($A159,100),IFERROR(VALUE(TRIM(MID(MID($A159,FIND("/",$A159)+1,20),FIND("/",MID($A159,FIND("/",$A159)+1,20))+1,20))),"")))</f>
        <v/>
      </c>
      <c r="E159">
        <f>IF($A159="","",IF(OR($B159="",$C159="",$D159="",$B159&lt;1300,$B159&gt;1500,$C159&lt;1,$C159&gt;12,$D159&lt;1,$D159&gt;31),"نامعتبر",RIGHT("0000"&amp;$B159,4)&amp;"/"&amp;RIGHT("00"&amp;$C159,2)&amp;"/"&amp;RIGHT("00"&amp;$D159,2)))</f>
        <v/>
      </c>
      <c r="F159">
        <f>IF(OR($E159="",$E159="نامعتبر"),"",IF(Sync!$Q156="","0000",IF(AND(ISNUMBER(Sync!$Q156),Sync!$Q156&gt;=0,Sync!$Q156&lt;1),RIGHT("00"&amp;HOUR(Sync!$Q156),2)&amp;RIGHT("00"&amp;MINUTE(Sync!$Q156),2),IFERROR(RIGHT("00"&amp;VALUE(LEFT(Sync!$Q156,FIND(":",Sync!$Q156)-1)),2)&amp;RIGHT("00"&amp;VALUE(MID(Sync!$Q156,FIND(":",Sync!$Q156)+1,2)),2),"0000"))))</f>
        <v/>
      </c>
      <c r="G159">
        <f>IF(OR($E159="",$E159="نامعتبر"),"",IF(Sync!$S156="","",Sync!$S156))</f>
        <v/>
      </c>
      <c r="H159">
        <f>IF(OR($E159="",$E159="نامعتبر"),"",IF(Sync!$R156="","",Sync!$R156))</f>
        <v/>
      </c>
      <c r="I159">
        <f>IF(OR($E159="",$E159="نامعتبر"),"",IF(Sync!$T156="","",Sync!$T156))</f>
        <v/>
      </c>
      <c r="J159">
        <f>IF(OR($E159="",$E159="نامعتبر"),"",IF(Sync!$U156="","",Sync!$U156))</f>
        <v/>
      </c>
      <c r="K159">
        <f>IF(OR($E159="",$E159="نامعتبر"),"",IF(Sync!$V156="","",IFERROR(INDEX(SubCodes,MATCH(Sync!$V156,SubTitles,0)),Sync!$V156)))</f>
        <v/>
      </c>
      <c r="L159">
        <f>IF(OR($E159="",$E159="نامعتبر"),"",IF(Sync!$W156="",0,Sync!$W156))</f>
        <v/>
      </c>
      <c r="M159">
        <f>IF(OR($E159="",$E159="نامعتبر"),"",IF(Sync!$X156="",0,Sync!$X156))</f>
        <v/>
      </c>
      <c r="N159">
        <f>IF(OR($E159="",$E159="نامعتبر"),"",IF(AND($J159="هزینه",$K159&lt;&gt;""),1,0))</f>
        <v/>
      </c>
      <c r="O159">
        <f>IF($N159=0,"",LEFT($E159,4)&amp;MID($E159,6,2)&amp;RIGHT($E159,2)&amp;$F159&amp;"|"&amp;"1"&amp;RIGHT("00000"&amp;151,5))</f>
        <v/>
      </c>
      <c r="P159">
        <f>IF($O159="","",COUNTIFS(ExpSub,$K159,ExpKey,"&lt;"&amp;$O159)+1)</f>
        <v/>
      </c>
      <c r="Q159">
        <f>IF($P159="","",$K159&amp;"|"&amp;RIGHT("000000"&amp;$P159,6))</f>
        <v/>
      </c>
    </row>
    <row r="160">
      <c r="A160">
        <f>IF(Sync!$P157="","",Sync!$P157)</f>
        <v/>
      </c>
      <c r="B160">
        <f>IF($A160="","",IF(ISNUMBER($A160),IF(AND($A160&gt;=10000101,$A160&lt;=99991231),INT($A160/10000),""),IFERROR(VALUE(TRIM(LEFT($A160,FIND("/",$A160)-1))),"")))</f>
        <v/>
      </c>
      <c r="C160">
        <f>IF(OR($A160="",$B160=""),"",IF(ISNUMBER($A160),INT(MOD($A160,10000)/100),IFERROR(VALUE(TRIM(LEFT(MID($A160,FIND("/",$A160)+1,20),FIND("/",MID($A160,FIND("/",$A160)+1,20))-1))),"")))</f>
        <v/>
      </c>
      <c r="D160">
        <f>IF(OR($A160="",$B160=""),"",IF(ISNUMBER($A160),MOD($A160,100),IFERROR(VALUE(TRIM(MID(MID($A160,FIND("/",$A160)+1,20),FIND("/",MID($A160,FIND("/",$A160)+1,20))+1,20))),"")))</f>
        <v/>
      </c>
      <c r="E160">
        <f>IF($A160="","",IF(OR($B160="",$C160="",$D160="",$B160&lt;1300,$B160&gt;1500,$C160&lt;1,$C160&gt;12,$D160&lt;1,$D160&gt;31),"نامعتبر",RIGHT("0000"&amp;$B160,4)&amp;"/"&amp;RIGHT("00"&amp;$C160,2)&amp;"/"&amp;RIGHT("00"&amp;$D160,2)))</f>
        <v/>
      </c>
      <c r="F160">
        <f>IF(OR($E160="",$E160="نامعتبر"),"",IF(Sync!$Q157="","0000",IF(AND(ISNUMBER(Sync!$Q157),Sync!$Q157&gt;=0,Sync!$Q157&lt;1),RIGHT("00"&amp;HOUR(Sync!$Q157),2)&amp;RIGHT("00"&amp;MINUTE(Sync!$Q157),2),IFERROR(RIGHT("00"&amp;VALUE(LEFT(Sync!$Q157,FIND(":",Sync!$Q157)-1)),2)&amp;RIGHT("00"&amp;VALUE(MID(Sync!$Q157,FIND(":",Sync!$Q157)+1,2)),2),"0000"))))</f>
        <v/>
      </c>
      <c r="G160">
        <f>IF(OR($E160="",$E160="نامعتبر"),"",IF(Sync!$S157="","",Sync!$S157))</f>
        <v/>
      </c>
      <c r="H160">
        <f>IF(OR($E160="",$E160="نامعتبر"),"",IF(Sync!$R157="","",Sync!$R157))</f>
        <v/>
      </c>
      <c r="I160">
        <f>IF(OR($E160="",$E160="نامعتبر"),"",IF(Sync!$T157="","",Sync!$T157))</f>
        <v/>
      </c>
      <c r="J160">
        <f>IF(OR($E160="",$E160="نامعتبر"),"",IF(Sync!$U157="","",Sync!$U157))</f>
        <v/>
      </c>
      <c r="K160">
        <f>IF(OR($E160="",$E160="نامعتبر"),"",IF(Sync!$V157="","",IFERROR(INDEX(SubCodes,MATCH(Sync!$V157,SubTitles,0)),Sync!$V157)))</f>
        <v/>
      </c>
      <c r="L160">
        <f>IF(OR($E160="",$E160="نامعتبر"),"",IF(Sync!$W157="",0,Sync!$W157))</f>
        <v/>
      </c>
      <c r="M160">
        <f>IF(OR($E160="",$E160="نامعتبر"),"",IF(Sync!$X157="",0,Sync!$X157))</f>
        <v/>
      </c>
      <c r="N160">
        <f>IF(OR($E160="",$E160="نامعتبر"),"",IF(AND($J160="هزینه",$K160&lt;&gt;""),1,0))</f>
        <v/>
      </c>
      <c r="O160">
        <f>IF($N160=0,"",LEFT($E160,4)&amp;MID($E160,6,2)&amp;RIGHT($E160,2)&amp;$F160&amp;"|"&amp;"1"&amp;RIGHT("00000"&amp;152,5))</f>
        <v/>
      </c>
      <c r="P160">
        <f>IF($O160="","",COUNTIFS(ExpSub,$K160,ExpKey,"&lt;"&amp;$O160)+1)</f>
        <v/>
      </c>
      <c r="Q160">
        <f>IF($P160="","",$K160&amp;"|"&amp;RIGHT("000000"&amp;$P160,6))</f>
        <v/>
      </c>
    </row>
    <row r="161">
      <c r="A161">
        <f>IF(Sync!$P158="","",Sync!$P158)</f>
        <v/>
      </c>
      <c r="B161">
        <f>IF($A161="","",IF(ISNUMBER($A161),IF(AND($A161&gt;=10000101,$A161&lt;=99991231),INT($A161/10000),""),IFERROR(VALUE(TRIM(LEFT($A161,FIND("/",$A161)-1))),"")))</f>
        <v/>
      </c>
      <c r="C161">
        <f>IF(OR($A161="",$B161=""),"",IF(ISNUMBER($A161),INT(MOD($A161,10000)/100),IFERROR(VALUE(TRIM(LEFT(MID($A161,FIND("/",$A161)+1,20),FIND("/",MID($A161,FIND("/",$A161)+1,20))-1))),"")))</f>
        <v/>
      </c>
      <c r="D161">
        <f>IF(OR($A161="",$B161=""),"",IF(ISNUMBER($A161),MOD($A161,100),IFERROR(VALUE(TRIM(MID(MID($A161,FIND("/",$A161)+1,20),FIND("/",MID($A161,FIND("/",$A161)+1,20))+1,20))),"")))</f>
        <v/>
      </c>
      <c r="E161">
        <f>IF($A161="","",IF(OR($B161="",$C161="",$D161="",$B161&lt;1300,$B161&gt;1500,$C161&lt;1,$C161&gt;12,$D161&lt;1,$D161&gt;31),"نامعتبر",RIGHT("0000"&amp;$B161,4)&amp;"/"&amp;RIGHT("00"&amp;$C161,2)&amp;"/"&amp;RIGHT("00"&amp;$D161,2)))</f>
        <v/>
      </c>
      <c r="F161">
        <f>IF(OR($E161="",$E161="نامعتبر"),"",IF(Sync!$Q158="","0000",IF(AND(ISNUMBER(Sync!$Q158),Sync!$Q158&gt;=0,Sync!$Q158&lt;1),RIGHT("00"&amp;HOUR(Sync!$Q158),2)&amp;RIGHT("00"&amp;MINUTE(Sync!$Q158),2),IFERROR(RIGHT("00"&amp;VALUE(LEFT(Sync!$Q158,FIND(":",Sync!$Q158)-1)),2)&amp;RIGHT("00"&amp;VALUE(MID(Sync!$Q158,FIND(":",Sync!$Q158)+1,2)),2),"0000"))))</f>
        <v/>
      </c>
      <c r="G161">
        <f>IF(OR($E161="",$E161="نامعتبر"),"",IF(Sync!$S158="","",Sync!$S158))</f>
        <v/>
      </c>
      <c r="H161">
        <f>IF(OR($E161="",$E161="نامعتبر"),"",IF(Sync!$R158="","",Sync!$R158))</f>
        <v/>
      </c>
      <c r="I161">
        <f>IF(OR($E161="",$E161="نامعتبر"),"",IF(Sync!$T158="","",Sync!$T158))</f>
        <v/>
      </c>
      <c r="J161">
        <f>IF(OR($E161="",$E161="نامعتبر"),"",IF(Sync!$U158="","",Sync!$U158))</f>
        <v/>
      </c>
      <c r="K161">
        <f>IF(OR($E161="",$E161="نامعتبر"),"",IF(Sync!$V158="","",IFERROR(INDEX(SubCodes,MATCH(Sync!$V158,SubTitles,0)),Sync!$V158)))</f>
        <v/>
      </c>
      <c r="L161">
        <f>IF(OR($E161="",$E161="نامعتبر"),"",IF(Sync!$W158="",0,Sync!$W158))</f>
        <v/>
      </c>
      <c r="M161">
        <f>IF(OR($E161="",$E161="نامعتبر"),"",IF(Sync!$X158="",0,Sync!$X158))</f>
        <v/>
      </c>
      <c r="N161">
        <f>IF(OR($E161="",$E161="نامعتبر"),"",IF(AND($J161="هزینه",$K161&lt;&gt;""),1,0))</f>
        <v/>
      </c>
      <c r="O161">
        <f>IF($N161=0,"",LEFT($E161,4)&amp;MID($E161,6,2)&amp;RIGHT($E161,2)&amp;$F161&amp;"|"&amp;"1"&amp;RIGHT("00000"&amp;153,5))</f>
        <v/>
      </c>
      <c r="P161">
        <f>IF($O161="","",COUNTIFS(ExpSub,$K161,ExpKey,"&lt;"&amp;$O161)+1)</f>
        <v/>
      </c>
      <c r="Q161">
        <f>IF($P161="","",$K161&amp;"|"&amp;RIGHT("000000"&amp;$P161,6))</f>
        <v/>
      </c>
    </row>
    <row r="162">
      <c r="A162">
        <f>IF(Sync!$P159="","",Sync!$P159)</f>
        <v/>
      </c>
      <c r="B162">
        <f>IF($A162="","",IF(ISNUMBER($A162),IF(AND($A162&gt;=10000101,$A162&lt;=99991231),INT($A162/10000),""),IFERROR(VALUE(TRIM(LEFT($A162,FIND("/",$A162)-1))),"")))</f>
        <v/>
      </c>
      <c r="C162">
        <f>IF(OR($A162="",$B162=""),"",IF(ISNUMBER($A162),INT(MOD($A162,10000)/100),IFERROR(VALUE(TRIM(LEFT(MID($A162,FIND("/",$A162)+1,20),FIND("/",MID($A162,FIND("/",$A162)+1,20))-1))),"")))</f>
        <v/>
      </c>
      <c r="D162">
        <f>IF(OR($A162="",$B162=""),"",IF(ISNUMBER($A162),MOD($A162,100),IFERROR(VALUE(TRIM(MID(MID($A162,FIND("/",$A162)+1,20),FIND("/",MID($A162,FIND("/",$A162)+1,20))+1,20))),"")))</f>
        <v/>
      </c>
      <c r="E162">
        <f>IF($A162="","",IF(OR($B162="",$C162="",$D162="",$B162&lt;1300,$B162&gt;1500,$C162&lt;1,$C162&gt;12,$D162&lt;1,$D162&gt;31),"نامعتبر",RIGHT("0000"&amp;$B162,4)&amp;"/"&amp;RIGHT("00"&amp;$C162,2)&amp;"/"&amp;RIGHT("00"&amp;$D162,2)))</f>
        <v/>
      </c>
      <c r="F162">
        <f>IF(OR($E162="",$E162="نامعتبر"),"",IF(Sync!$Q159="","0000",IF(AND(ISNUMBER(Sync!$Q159),Sync!$Q159&gt;=0,Sync!$Q159&lt;1),RIGHT("00"&amp;HOUR(Sync!$Q159),2)&amp;RIGHT("00"&amp;MINUTE(Sync!$Q159),2),IFERROR(RIGHT("00"&amp;VALUE(LEFT(Sync!$Q159,FIND(":",Sync!$Q159)-1)),2)&amp;RIGHT("00"&amp;VALUE(MID(Sync!$Q159,FIND(":",Sync!$Q159)+1,2)),2),"0000"))))</f>
        <v/>
      </c>
      <c r="G162">
        <f>IF(OR($E162="",$E162="نامعتبر"),"",IF(Sync!$S159="","",Sync!$S159))</f>
        <v/>
      </c>
      <c r="H162">
        <f>IF(OR($E162="",$E162="نامعتبر"),"",IF(Sync!$R159="","",Sync!$R159))</f>
        <v/>
      </c>
      <c r="I162">
        <f>IF(OR($E162="",$E162="نامعتبر"),"",IF(Sync!$T159="","",Sync!$T159))</f>
        <v/>
      </c>
      <c r="J162">
        <f>IF(OR($E162="",$E162="نامعتبر"),"",IF(Sync!$U159="","",Sync!$U159))</f>
        <v/>
      </c>
      <c r="K162">
        <f>IF(OR($E162="",$E162="نامعتبر"),"",IF(Sync!$V159="","",IFERROR(INDEX(SubCodes,MATCH(Sync!$V159,SubTitles,0)),Sync!$V159)))</f>
        <v/>
      </c>
      <c r="L162">
        <f>IF(OR($E162="",$E162="نامعتبر"),"",IF(Sync!$W159="",0,Sync!$W159))</f>
        <v/>
      </c>
      <c r="M162">
        <f>IF(OR($E162="",$E162="نامعتبر"),"",IF(Sync!$X159="",0,Sync!$X159))</f>
        <v/>
      </c>
      <c r="N162">
        <f>IF(OR($E162="",$E162="نامعتبر"),"",IF(AND($J162="هزینه",$K162&lt;&gt;""),1,0))</f>
        <v/>
      </c>
      <c r="O162">
        <f>IF($N162=0,"",LEFT($E162,4)&amp;MID($E162,6,2)&amp;RIGHT($E162,2)&amp;$F162&amp;"|"&amp;"1"&amp;RIGHT("00000"&amp;154,5))</f>
        <v/>
      </c>
      <c r="P162">
        <f>IF($O162="","",COUNTIFS(ExpSub,$K162,ExpKey,"&lt;"&amp;$O162)+1)</f>
        <v/>
      </c>
      <c r="Q162">
        <f>IF($P162="","",$K162&amp;"|"&amp;RIGHT("000000"&amp;$P162,6))</f>
        <v/>
      </c>
    </row>
    <row r="163">
      <c r="A163">
        <f>IF(Sync!$P160="","",Sync!$P160)</f>
        <v/>
      </c>
      <c r="B163">
        <f>IF($A163="","",IF(ISNUMBER($A163),IF(AND($A163&gt;=10000101,$A163&lt;=99991231),INT($A163/10000),""),IFERROR(VALUE(TRIM(LEFT($A163,FIND("/",$A163)-1))),"")))</f>
        <v/>
      </c>
      <c r="C163">
        <f>IF(OR($A163="",$B163=""),"",IF(ISNUMBER($A163),INT(MOD($A163,10000)/100),IFERROR(VALUE(TRIM(LEFT(MID($A163,FIND("/",$A163)+1,20),FIND("/",MID($A163,FIND("/",$A163)+1,20))-1))),"")))</f>
        <v/>
      </c>
      <c r="D163">
        <f>IF(OR($A163="",$B163=""),"",IF(ISNUMBER($A163),MOD($A163,100),IFERROR(VALUE(TRIM(MID(MID($A163,FIND("/",$A163)+1,20),FIND("/",MID($A163,FIND("/",$A163)+1,20))+1,20))),"")))</f>
        <v/>
      </c>
      <c r="E163">
        <f>IF($A163="","",IF(OR($B163="",$C163="",$D163="",$B163&lt;1300,$B163&gt;1500,$C163&lt;1,$C163&gt;12,$D163&lt;1,$D163&gt;31),"نامعتبر",RIGHT("0000"&amp;$B163,4)&amp;"/"&amp;RIGHT("00"&amp;$C163,2)&amp;"/"&amp;RIGHT("00"&amp;$D163,2)))</f>
        <v/>
      </c>
      <c r="F163">
        <f>IF(OR($E163="",$E163="نامعتبر"),"",IF(Sync!$Q160="","0000",IF(AND(ISNUMBER(Sync!$Q160),Sync!$Q160&gt;=0,Sync!$Q160&lt;1),RIGHT("00"&amp;HOUR(Sync!$Q160),2)&amp;RIGHT("00"&amp;MINUTE(Sync!$Q160),2),IFERROR(RIGHT("00"&amp;VALUE(LEFT(Sync!$Q160,FIND(":",Sync!$Q160)-1)),2)&amp;RIGHT("00"&amp;VALUE(MID(Sync!$Q160,FIND(":",Sync!$Q160)+1,2)),2),"0000"))))</f>
        <v/>
      </c>
      <c r="G163">
        <f>IF(OR($E163="",$E163="نامعتبر"),"",IF(Sync!$S160="","",Sync!$S160))</f>
        <v/>
      </c>
      <c r="H163">
        <f>IF(OR($E163="",$E163="نامعتبر"),"",IF(Sync!$R160="","",Sync!$R160))</f>
        <v/>
      </c>
      <c r="I163">
        <f>IF(OR($E163="",$E163="نامعتبر"),"",IF(Sync!$T160="","",Sync!$T160))</f>
        <v/>
      </c>
      <c r="J163">
        <f>IF(OR($E163="",$E163="نامعتبر"),"",IF(Sync!$U160="","",Sync!$U160))</f>
        <v/>
      </c>
      <c r="K163">
        <f>IF(OR($E163="",$E163="نامعتبر"),"",IF(Sync!$V160="","",IFERROR(INDEX(SubCodes,MATCH(Sync!$V160,SubTitles,0)),Sync!$V160)))</f>
        <v/>
      </c>
      <c r="L163">
        <f>IF(OR($E163="",$E163="نامعتبر"),"",IF(Sync!$W160="",0,Sync!$W160))</f>
        <v/>
      </c>
      <c r="M163">
        <f>IF(OR($E163="",$E163="نامعتبر"),"",IF(Sync!$X160="",0,Sync!$X160))</f>
        <v/>
      </c>
      <c r="N163">
        <f>IF(OR($E163="",$E163="نامعتبر"),"",IF(AND($J163="هزینه",$K163&lt;&gt;""),1,0))</f>
        <v/>
      </c>
      <c r="O163">
        <f>IF($N163=0,"",LEFT($E163,4)&amp;MID($E163,6,2)&amp;RIGHT($E163,2)&amp;$F163&amp;"|"&amp;"1"&amp;RIGHT("00000"&amp;155,5))</f>
        <v/>
      </c>
      <c r="P163">
        <f>IF($O163="","",COUNTIFS(ExpSub,$K163,ExpKey,"&lt;"&amp;$O163)+1)</f>
        <v/>
      </c>
      <c r="Q163">
        <f>IF($P163="","",$K163&amp;"|"&amp;RIGHT("000000"&amp;$P163,6))</f>
        <v/>
      </c>
    </row>
    <row r="164">
      <c r="A164">
        <f>IF(Sync!$P161="","",Sync!$P161)</f>
        <v/>
      </c>
      <c r="B164">
        <f>IF($A164="","",IF(ISNUMBER($A164),IF(AND($A164&gt;=10000101,$A164&lt;=99991231),INT($A164/10000),""),IFERROR(VALUE(TRIM(LEFT($A164,FIND("/",$A164)-1))),"")))</f>
        <v/>
      </c>
      <c r="C164">
        <f>IF(OR($A164="",$B164=""),"",IF(ISNUMBER($A164),INT(MOD($A164,10000)/100),IFERROR(VALUE(TRIM(LEFT(MID($A164,FIND("/",$A164)+1,20),FIND("/",MID($A164,FIND("/",$A164)+1,20))-1))),"")))</f>
        <v/>
      </c>
      <c r="D164">
        <f>IF(OR($A164="",$B164=""),"",IF(ISNUMBER($A164),MOD($A164,100),IFERROR(VALUE(TRIM(MID(MID($A164,FIND("/",$A164)+1,20),FIND("/",MID($A164,FIND("/",$A164)+1,20))+1,20))),"")))</f>
        <v/>
      </c>
      <c r="E164">
        <f>IF($A164="","",IF(OR($B164="",$C164="",$D164="",$B164&lt;1300,$B164&gt;1500,$C164&lt;1,$C164&gt;12,$D164&lt;1,$D164&gt;31),"نامعتبر",RIGHT("0000"&amp;$B164,4)&amp;"/"&amp;RIGHT("00"&amp;$C164,2)&amp;"/"&amp;RIGHT("00"&amp;$D164,2)))</f>
        <v/>
      </c>
      <c r="F164">
        <f>IF(OR($E164="",$E164="نامعتبر"),"",IF(Sync!$Q161="","0000",IF(AND(ISNUMBER(Sync!$Q161),Sync!$Q161&gt;=0,Sync!$Q161&lt;1),RIGHT("00"&amp;HOUR(Sync!$Q161),2)&amp;RIGHT("00"&amp;MINUTE(Sync!$Q161),2),IFERROR(RIGHT("00"&amp;VALUE(LEFT(Sync!$Q161,FIND(":",Sync!$Q161)-1)),2)&amp;RIGHT("00"&amp;VALUE(MID(Sync!$Q161,FIND(":",Sync!$Q161)+1,2)),2),"0000"))))</f>
        <v/>
      </c>
      <c r="G164">
        <f>IF(OR($E164="",$E164="نامعتبر"),"",IF(Sync!$S161="","",Sync!$S161))</f>
        <v/>
      </c>
      <c r="H164">
        <f>IF(OR($E164="",$E164="نامعتبر"),"",IF(Sync!$R161="","",Sync!$R161))</f>
        <v/>
      </c>
      <c r="I164">
        <f>IF(OR($E164="",$E164="نامعتبر"),"",IF(Sync!$T161="","",Sync!$T161))</f>
        <v/>
      </c>
      <c r="J164">
        <f>IF(OR($E164="",$E164="نامعتبر"),"",IF(Sync!$U161="","",Sync!$U161))</f>
        <v/>
      </c>
      <c r="K164">
        <f>IF(OR($E164="",$E164="نامعتبر"),"",IF(Sync!$V161="","",IFERROR(INDEX(SubCodes,MATCH(Sync!$V161,SubTitles,0)),Sync!$V161)))</f>
        <v/>
      </c>
      <c r="L164">
        <f>IF(OR($E164="",$E164="نامعتبر"),"",IF(Sync!$W161="",0,Sync!$W161))</f>
        <v/>
      </c>
      <c r="M164">
        <f>IF(OR($E164="",$E164="نامعتبر"),"",IF(Sync!$X161="",0,Sync!$X161))</f>
        <v/>
      </c>
      <c r="N164">
        <f>IF(OR($E164="",$E164="نامعتبر"),"",IF(AND($J164="هزینه",$K164&lt;&gt;""),1,0))</f>
        <v/>
      </c>
      <c r="O164">
        <f>IF($N164=0,"",LEFT($E164,4)&amp;MID($E164,6,2)&amp;RIGHT($E164,2)&amp;$F164&amp;"|"&amp;"1"&amp;RIGHT("00000"&amp;156,5))</f>
        <v/>
      </c>
      <c r="P164">
        <f>IF($O164="","",COUNTIFS(ExpSub,$K164,ExpKey,"&lt;"&amp;$O164)+1)</f>
        <v/>
      </c>
      <c r="Q164">
        <f>IF($P164="","",$K164&amp;"|"&amp;RIGHT("000000"&amp;$P164,6))</f>
        <v/>
      </c>
    </row>
    <row r="165">
      <c r="A165">
        <f>IF(Sync!$P162="","",Sync!$P162)</f>
        <v/>
      </c>
      <c r="B165">
        <f>IF($A165="","",IF(ISNUMBER($A165),IF(AND($A165&gt;=10000101,$A165&lt;=99991231),INT($A165/10000),""),IFERROR(VALUE(TRIM(LEFT($A165,FIND("/",$A165)-1))),"")))</f>
        <v/>
      </c>
      <c r="C165">
        <f>IF(OR($A165="",$B165=""),"",IF(ISNUMBER($A165),INT(MOD($A165,10000)/100),IFERROR(VALUE(TRIM(LEFT(MID($A165,FIND("/",$A165)+1,20),FIND("/",MID($A165,FIND("/",$A165)+1,20))-1))),"")))</f>
        <v/>
      </c>
      <c r="D165">
        <f>IF(OR($A165="",$B165=""),"",IF(ISNUMBER($A165),MOD($A165,100),IFERROR(VALUE(TRIM(MID(MID($A165,FIND("/",$A165)+1,20),FIND("/",MID($A165,FIND("/",$A165)+1,20))+1,20))),"")))</f>
        <v/>
      </c>
      <c r="E165">
        <f>IF($A165="","",IF(OR($B165="",$C165="",$D165="",$B165&lt;1300,$B165&gt;1500,$C165&lt;1,$C165&gt;12,$D165&lt;1,$D165&gt;31),"نامعتبر",RIGHT("0000"&amp;$B165,4)&amp;"/"&amp;RIGHT("00"&amp;$C165,2)&amp;"/"&amp;RIGHT("00"&amp;$D165,2)))</f>
        <v/>
      </c>
      <c r="F165">
        <f>IF(OR($E165="",$E165="نامعتبر"),"",IF(Sync!$Q162="","0000",IF(AND(ISNUMBER(Sync!$Q162),Sync!$Q162&gt;=0,Sync!$Q162&lt;1),RIGHT("00"&amp;HOUR(Sync!$Q162),2)&amp;RIGHT("00"&amp;MINUTE(Sync!$Q162),2),IFERROR(RIGHT("00"&amp;VALUE(LEFT(Sync!$Q162,FIND(":",Sync!$Q162)-1)),2)&amp;RIGHT("00"&amp;VALUE(MID(Sync!$Q162,FIND(":",Sync!$Q162)+1,2)),2),"0000"))))</f>
        <v/>
      </c>
      <c r="G165">
        <f>IF(OR($E165="",$E165="نامعتبر"),"",IF(Sync!$S162="","",Sync!$S162))</f>
        <v/>
      </c>
      <c r="H165">
        <f>IF(OR($E165="",$E165="نامعتبر"),"",IF(Sync!$R162="","",Sync!$R162))</f>
        <v/>
      </c>
      <c r="I165">
        <f>IF(OR($E165="",$E165="نامعتبر"),"",IF(Sync!$T162="","",Sync!$T162))</f>
        <v/>
      </c>
      <c r="J165">
        <f>IF(OR($E165="",$E165="نامعتبر"),"",IF(Sync!$U162="","",Sync!$U162))</f>
        <v/>
      </c>
      <c r="K165">
        <f>IF(OR($E165="",$E165="نامعتبر"),"",IF(Sync!$V162="","",IFERROR(INDEX(SubCodes,MATCH(Sync!$V162,SubTitles,0)),Sync!$V162)))</f>
        <v/>
      </c>
      <c r="L165">
        <f>IF(OR($E165="",$E165="نامعتبر"),"",IF(Sync!$W162="",0,Sync!$W162))</f>
        <v/>
      </c>
      <c r="M165">
        <f>IF(OR($E165="",$E165="نامعتبر"),"",IF(Sync!$X162="",0,Sync!$X162))</f>
        <v/>
      </c>
      <c r="N165">
        <f>IF(OR($E165="",$E165="نامعتبر"),"",IF(AND($J165="هزینه",$K165&lt;&gt;""),1,0))</f>
        <v/>
      </c>
      <c r="O165">
        <f>IF($N165=0,"",LEFT($E165,4)&amp;MID($E165,6,2)&amp;RIGHT($E165,2)&amp;$F165&amp;"|"&amp;"1"&amp;RIGHT("00000"&amp;157,5))</f>
        <v/>
      </c>
      <c r="P165">
        <f>IF($O165="","",COUNTIFS(ExpSub,$K165,ExpKey,"&lt;"&amp;$O165)+1)</f>
        <v/>
      </c>
      <c r="Q165">
        <f>IF($P165="","",$K165&amp;"|"&amp;RIGHT("000000"&amp;$P165,6))</f>
        <v/>
      </c>
    </row>
    <row r="166">
      <c r="A166">
        <f>IF(Sync!$P163="","",Sync!$P163)</f>
        <v/>
      </c>
      <c r="B166">
        <f>IF($A166="","",IF(ISNUMBER($A166),IF(AND($A166&gt;=10000101,$A166&lt;=99991231),INT($A166/10000),""),IFERROR(VALUE(TRIM(LEFT($A166,FIND("/",$A166)-1))),"")))</f>
        <v/>
      </c>
      <c r="C166">
        <f>IF(OR($A166="",$B166=""),"",IF(ISNUMBER($A166),INT(MOD($A166,10000)/100),IFERROR(VALUE(TRIM(LEFT(MID($A166,FIND("/",$A166)+1,20),FIND("/",MID($A166,FIND("/",$A166)+1,20))-1))),"")))</f>
        <v/>
      </c>
      <c r="D166">
        <f>IF(OR($A166="",$B166=""),"",IF(ISNUMBER($A166),MOD($A166,100),IFERROR(VALUE(TRIM(MID(MID($A166,FIND("/",$A166)+1,20),FIND("/",MID($A166,FIND("/",$A166)+1,20))+1,20))),"")))</f>
        <v/>
      </c>
      <c r="E166">
        <f>IF($A166="","",IF(OR($B166="",$C166="",$D166="",$B166&lt;1300,$B166&gt;1500,$C166&lt;1,$C166&gt;12,$D166&lt;1,$D166&gt;31),"نامعتبر",RIGHT("0000"&amp;$B166,4)&amp;"/"&amp;RIGHT("00"&amp;$C166,2)&amp;"/"&amp;RIGHT("00"&amp;$D166,2)))</f>
        <v/>
      </c>
      <c r="F166">
        <f>IF(OR($E166="",$E166="نامعتبر"),"",IF(Sync!$Q163="","0000",IF(AND(ISNUMBER(Sync!$Q163),Sync!$Q163&gt;=0,Sync!$Q163&lt;1),RIGHT("00"&amp;HOUR(Sync!$Q163),2)&amp;RIGHT("00"&amp;MINUTE(Sync!$Q163),2),IFERROR(RIGHT("00"&amp;VALUE(LEFT(Sync!$Q163,FIND(":",Sync!$Q163)-1)),2)&amp;RIGHT("00"&amp;VALUE(MID(Sync!$Q163,FIND(":",Sync!$Q163)+1,2)),2),"0000"))))</f>
        <v/>
      </c>
      <c r="G166">
        <f>IF(OR($E166="",$E166="نامعتبر"),"",IF(Sync!$S163="","",Sync!$S163))</f>
        <v/>
      </c>
      <c r="H166">
        <f>IF(OR($E166="",$E166="نامعتبر"),"",IF(Sync!$R163="","",Sync!$R163))</f>
        <v/>
      </c>
      <c r="I166">
        <f>IF(OR($E166="",$E166="نامعتبر"),"",IF(Sync!$T163="","",Sync!$T163))</f>
        <v/>
      </c>
      <c r="J166">
        <f>IF(OR($E166="",$E166="نامعتبر"),"",IF(Sync!$U163="","",Sync!$U163))</f>
        <v/>
      </c>
      <c r="K166">
        <f>IF(OR($E166="",$E166="نامعتبر"),"",IF(Sync!$V163="","",IFERROR(INDEX(SubCodes,MATCH(Sync!$V163,SubTitles,0)),Sync!$V163)))</f>
        <v/>
      </c>
      <c r="L166">
        <f>IF(OR($E166="",$E166="نامعتبر"),"",IF(Sync!$W163="",0,Sync!$W163))</f>
        <v/>
      </c>
      <c r="M166">
        <f>IF(OR($E166="",$E166="نامعتبر"),"",IF(Sync!$X163="",0,Sync!$X163))</f>
        <v/>
      </c>
      <c r="N166">
        <f>IF(OR($E166="",$E166="نامعتبر"),"",IF(AND($J166="هزینه",$K166&lt;&gt;""),1,0))</f>
        <v/>
      </c>
      <c r="O166">
        <f>IF($N166=0,"",LEFT($E166,4)&amp;MID($E166,6,2)&amp;RIGHT($E166,2)&amp;$F166&amp;"|"&amp;"1"&amp;RIGHT("00000"&amp;158,5))</f>
        <v/>
      </c>
      <c r="P166">
        <f>IF($O166="","",COUNTIFS(ExpSub,$K166,ExpKey,"&lt;"&amp;$O166)+1)</f>
        <v/>
      </c>
      <c r="Q166">
        <f>IF($P166="","",$K166&amp;"|"&amp;RIGHT("000000"&amp;$P166,6))</f>
        <v/>
      </c>
    </row>
    <row r="167">
      <c r="A167">
        <f>IF(Sync!$P164="","",Sync!$P164)</f>
        <v/>
      </c>
      <c r="B167">
        <f>IF($A167="","",IF(ISNUMBER($A167),IF(AND($A167&gt;=10000101,$A167&lt;=99991231),INT($A167/10000),""),IFERROR(VALUE(TRIM(LEFT($A167,FIND("/",$A167)-1))),"")))</f>
        <v/>
      </c>
      <c r="C167">
        <f>IF(OR($A167="",$B167=""),"",IF(ISNUMBER($A167),INT(MOD($A167,10000)/100),IFERROR(VALUE(TRIM(LEFT(MID($A167,FIND("/",$A167)+1,20),FIND("/",MID($A167,FIND("/",$A167)+1,20))-1))),"")))</f>
        <v/>
      </c>
      <c r="D167">
        <f>IF(OR($A167="",$B167=""),"",IF(ISNUMBER($A167),MOD($A167,100),IFERROR(VALUE(TRIM(MID(MID($A167,FIND("/",$A167)+1,20),FIND("/",MID($A167,FIND("/",$A167)+1,20))+1,20))),"")))</f>
        <v/>
      </c>
      <c r="E167">
        <f>IF($A167="","",IF(OR($B167="",$C167="",$D167="",$B167&lt;1300,$B167&gt;1500,$C167&lt;1,$C167&gt;12,$D167&lt;1,$D167&gt;31),"نامعتبر",RIGHT("0000"&amp;$B167,4)&amp;"/"&amp;RIGHT("00"&amp;$C167,2)&amp;"/"&amp;RIGHT("00"&amp;$D167,2)))</f>
        <v/>
      </c>
      <c r="F167">
        <f>IF(OR($E167="",$E167="نامعتبر"),"",IF(Sync!$Q164="","0000",IF(AND(ISNUMBER(Sync!$Q164),Sync!$Q164&gt;=0,Sync!$Q164&lt;1),RIGHT("00"&amp;HOUR(Sync!$Q164),2)&amp;RIGHT("00"&amp;MINUTE(Sync!$Q164),2),IFERROR(RIGHT("00"&amp;VALUE(LEFT(Sync!$Q164,FIND(":",Sync!$Q164)-1)),2)&amp;RIGHT("00"&amp;VALUE(MID(Sync!$Q164,FIND(":",Sync!$Q164)+1,2)),2),"0000"))))</f>
        <v/>
      </c>
      <c r="G167">
        <f>IF(OR($E167="",$E167="نامعتبر"),"",IF(Sync!$S164="","",Sync!$S164))</f>
        <v/>
      </c>
      <c r="H167">
        <f>IF(OR($E167="",$E167="نامعتبر"),"",IF(Sync!$R164="","",Sync!$R164))</f>
        <v/>
      </c>
      <c r="I167">
        <f>IF(OR($E167="",$E167="نامعتبر"),"",IF(Sync!$T164="","",Sync!$T164))</f>
        <v/>
      </c>
      <c r="J167">
        <f>IF(OR($E167="",$E167="نامعتبر"),"",IF(Sync!$U164="","",Sync!$U164))</f>
        <v/>
      </c>
      <c r="K167">
        <f>IF(OR($E167="",$E167="نامعتبر"),"",IF(Sync!$V164="","",IFERROR(INDEX(SubCodes,MATCH(Sync!$V164,SubTitles,0)),Sync!$V164)))</f>
        <v/>
      </c>
      <c r="L167">
        <f>IF(OR($E167="",$E167="نامعتبر"),"",IF(Sync!$W164="",0,Sync!$W164))</f>
        <v/>
      </c>
      <c r="M167">
        <f>IF(OR($E167="",$E167="نامعتبر"),"",IF(Sync!$X164="",0,Sync!$X164))</f>
        <v/>
      </c>
      <c r="N167">
        <f>IF(OR($E167="",$E167="نامعتبر"),"",IF(AND($J167="هزینه",$K167&lt;&gt;""),1,0))</f>
        <v/>
      </c>
      <c r="O167">
        <f>IF($N167=0,"",LEFT($E167,4)&amp;MID($E167,6,2)&amp;RIGHT($E167,2)&amp;$F167&amp;"|"&amp;"1"&amp;RIGHT("00000"&amp;159,5))</f>
        <v/>
      </c>
      <c r="P167">
        <f>IF($O167="","",COUNTIFS(ExpSub,$K167,ExpKey,"&lt;"&amp;$O167)+1)</f>
        <v/>
      </c>
      <c r="Q167">
        <f>IF($P167="","",$K167&amp;"|"&amp;RIGHT("000000"&amp;$P167,6))</f>
        <v/>
      </c>
    </row>
    <row r="168">
      <c r="A168">
        <f>IF(Sync!$P165="","",Sync!$P165)</f>
        <v/>
      </c>
      <c r="B168">
        <f>IF($A168="","",IF(ISNUMBER($A168),IF(AND($A168&gt;=10000101,$A168&lt;=99991231),INT($A168/10000),""),IFERROR(VALUE(TRIM(LEFT($A168,FIND("/",$A168)-1))),"")))</f>
        <v/>
      </c>
      <c r="C168">
        <f>IF(OR($A168="",$B168=""),"",IF(ISNUMBER($A168),INT(MOD($A168,10000)/100),IFERROR(VALUE(TRIM(LEFT(MID($A168,FIND("/",$A168)+1,20),FIND("/",MID($A168,FIND("/",$A168)+1,20))-1))),"")))</f>
        <v/>
      </c>
      <c r="D168">
        <f>IF(OR($A168="",$B168=""),"",IF(ISNUMBER($A168),MOD($A168,100),IFERROR(VALUE(TRIM(MID(MID($A168,FIND("/",$A168)+1,20),FIND("/",MID($A168,FIND("/",$A168)+1,20))+1,20))),"")))</f>
        <v/>
      </c>
      <c r="E168">
        <f>IF($A168="","",IF(OR($B168="",$C168="",$D168="",$B168&lt;1300,$B168&gt;1500,$C168&lt;1,$C168&gt;12,$D168&lt;1,$D168&gt;31),"نامعتبر",RIGHT("0000"&amp;$B168,4)&amp;"/"&amp;RIGHT("00"&amp;$C168,2)&amp;"/"&amp;RIGHT("00"&amp;$D168,2)))</f>
        <v/>
      </c>
      <c r="F168">
        <f>IF(OR($E168="",$E168="نامعتبر"),"",IF(Sync!$Q165="","0000",IF(AND(ISNUMBER(Sync!$Q165),Sync!$Q165&gt;=0,Sync!$Q165&lt;1),RIGHT("00"&amp;HOUR(Sync!$Q165),2)&amp;RIGHT("00"&amp;MINUTE(Sync!$Q165),2),IFERROR(RIGHT("00"&amp;VALUE(LEFT(Sync!$Q165,FIND(":",Sync!$Q165)-1)),2)&amp;RIGHT("00"&amp;VALUE(MID(Sync!$Q165,FIND(":",Sync!$Q165)+1,2)),2),"0000"))))</f>
        <v/>
      </c>
      <c r="G168">
        <f>IF(OR($E168="",$E168="نامعتبر"),"",IF(Sync!$S165="","",Sync!$S165))</f>
        <v/>
      </c>
      <c r="H168">
        <f>IF(OR($E168="",$E168="نامعتبر"),"",IF(Sync!$R165="","",Sync!$R165))</f>
        <v/>
      </c>
      <c r="I168">
        <f>IF(OR($E168="",$E168="نامعتبر"),"",IF(Sync!$T165="","",Sync!$T165))</f>
        <v/>
      </c>
      <c r="J168">
        <f>IF(OR($E168="",$E168="نامعتبر"),"",IF(Sync!$U165="","",Sync!$U165))</f>
        <v/>
      </c>
      <c r="K168">
        <f>IF(OR($E168="",$E168="نامعتبر"),"",IF(Sync!$V165="","",IFERROR(INDEX(SubCodes,MATCH(Sync!$V165,SubTitles,0)),Sync!$V165)))</f>
        <v/>
      </c>
      <c r="L168">
        <f>IF(OR($E168="",$E168="نامعتبر"),"",IF(Sync!$W165="",0,Sync!$W165))</f>
        <v/>
      </c>
      <c r="M168">
        <f>IF(OR($E168="",$E168="نامعتبر"),"",IF(Sync!$X165="",0,Sync!$X165))</f>
        <v/>
      </c>
      <c r="N168">
        <f>IF(OR($E168="",$E168="نامعتبر"),"",IF(AND($J168="هزینه",$K168&lt;&gt;""),1,0))</f>
        <v/>
      </c>
      <c r="O168">
        <f>IF($N168=0,"",LEFT($E168,4)&amp;MID($E168,6,2)&amp;RIGHT($E168,2)&amp;$F168&amp;"|"&amp;"1"&amp;RIGHT("00000"&amp;160,5))</f>
        <v/>
      </c>
      <c r="P168">
        <f>IF($O168="","",COUNTIFS(ExpSub,$K168,ExpKey,"&lt;"&amp;$O168)+1)</f>
        <v/>
      </c>
      <c r="Q168">
        <f>IF($P168="","",$K168&amp;"|"&amp;RIGHT("000000"&amp;$P168,6))</f>
        <v/>
      </c>
    </row>
    <row r="169">
      <c r="A169">
        <f>IF(Sync!$P166="","",Sync!$P166)</f>
        <v/>
      </c>
      <c r="B169">
        <f>IF($A169="","",IF(ISNUMBER($A169),IF(AND($A169&gt;=10000101,$A169&lt;=99991231),INT($A169/10000),""),IFERROR(VALUE(TRIM(LEFT($A169,FIND("/",$A169)-1))),"")))</f>
        <v/>
      </c>
      <c r="C169">
        <f>IF(OR($A169="",$B169=""),"",IF(ISNUMBER($A169),INT(MOD($A169,10000)/100),IFERROR(VALUE(TRIM(LEFT(MID($A169,FIND("/",$A169)+1,20),FIND("/",MID($A169,FIND("/",$A169)+1,20))-1))),"")))</f>
        <v/>
      </c>
      <c r="D169">
        <f>IF(OR($A169="",$B169=""),"",IF(ISNUMBER($A169),MOD($A169,100),IFERROR(VALUE(TRIM(MID(MID($A169,FIND("/",$A169)+1,20),FIND("/",MID($A169,FIND("/",$A169)+1,20))+1,20))),"")))</f>
        <v/>
      </c>
      <c r="E169">
        <f>IF($A169="","",IF(OR($B169="",$C169="",$D169="",$B169&lt;1300,$B169&gt;1500,$C169&lt;1,$C169&gt;12,$D169&lt;1,$D169&gt;31),"نامعتبر",RIGHT("0000"&amp;$B169,4)&amp;"/"&amp;RIGHT("00"&amp;$C169,2)&amp;"/"&amp;RIGHT("00"&amp;$D169,2)))</f>
        <v/>
      </c>
      <c r="F169">
        <f>IF(OR($E169="",$E169="نامعتبر"),"",IF(Sync!$Q166="","0000",IF(AND(ISNUMBER(Sync!$Q166),Sync!$Q166&gt;=0,Sync!$Q166&lt;1),RIGHT("00"&amp;HOUR(Sync!$Q166),2)&amp;RIGHT("00"&amp;MINUTE(Sync!$Q166),2),IFERROR(RIGHT("00"&amp;VALUE(LEFT(Sync!$Q166,FIND(":",Sync!$Q166)-1)),2)&amp;RIGHT("00"&amp;VALUE(MID(Sync!$Q166,FIND(":",Sync!$Q166)+1,2)),2),"0000"))))</f>
        <v/>
      </c>
      <c r="G169">
        <f>IF(OR($E169="",$E169="نامعتبر"),"",IF(Sync!$S166="","",Sync!$S166))</f>
        <v/>
      </c>
      <c r="H169">
        <f>IF(OR($E169="",$E169="نامعتبر"),"",IF(Sync!$R166="","",Sync!$R166))</f>
        <v/>
      </c>
      <c r="I169">
        <f>IF(OR($E169="",$E169="نامعتبر"),"",IF(Sync!$T166="","",Sync!$T166))</f>
        <v/>
      </c>
      <c r="J169">
        <f>IF(OR($E169="",$E169="نامعتبر"),"",IF(Sync!$U166="","",Sync!$U166))</f>
        <v/>
      </c>
      <c r="K169">
        <f>IF(OR($E169="",$E169="نامعتبر"),"",IF(Sync!$V166="","",IFERROR(INDEX(SubCodes,MATCH(Sync!$V166,SubTitles,0)),Sync!$V166)))</f>
        <v/>
      </c>
      <c r="L169">
        <f>IF(OR($E169="",$E169="نامعتبر"),"",IF(Sync!$W166="",0,Sync!$W166))</f>
        <v/>
      </c>
      <c r="M169">
        <f>IF(OR($E169="",$E169="نامعتبر"),"",IF(Sync!$X166="",0,Sync!$X166))</f>
        <v/>
      </c>
      <c r="N169">
        <f>IF(OR($E169="",$E169="نامعتبر"),"",IF(AND($J169="هزینه",$K169&lt;&gt;""),1,0))</f>
        <v/>
      </c>
      <c r="O169">
        <f>IF($N169=0,"",LEFT($E169,4)&amp;MID($E169,6,2)&amp;RIGHT($E169,2)&amp;$F169&amp;"|"&amp;"1"&amp;RIGHT("00000"&amp;161,5))</f>
        <v/>
      </c>
      <c r="P169">
        <f>IF($O169="","",COUNTIFS(ExpSub,$K169,ExpKey,"&lt;"&amp;$O169)+1)</f>
        <v/>
      </c>
      <c r="Q169">
        <f>IF($P169="","",$K169&amp;"|"&amp;RIGHT("000000"&amp;$P169,6))</f>
        <v/>
      </c>
    </row>
    <row r="170">
      <c r="A170">
        <f>IF(Sync!$P167="","",Sync!$P167)</f>
        <v/>
      </c>
      <c r="B170">
        <f>IF($A170="","",IF(ISNUMBER($A170),IF(AND($A170&gt;=10000101,$A170&lt;=99991231),INT($A170/10000),""),IFERROR(VALUE(TRIM(LEFT($A170,FIND("/",$A170)-1))),"")))</f>
        <v/>
      </c>
      <c r="C170">
        <f>IF(OR($A170="",$B170=""),"",IF(ISNUMBER($A170),INT(MOD($A170,10000)/100),IFERROR(VALUE(TRIM(LEFT(MID($A170,FIND("/",$A170)+1,20),FIND("/",MID($A170,FIND("/",$A170)+1,20))-1))),"")))</f>
        <v/>
      </c>
      <c r="D170">
        <f>IF(OR($A170="",$B170=""),"",IF(ISNUMBER($A170),MOD($A170,100),IFERROR(VALUE(TRIM(MID(MID($A170,FIND("/",$A170)+1,20),FIND("/",MID($A170,FIND("/",$A170)+1,20))+1,20))),"")))</f>
        <v/>
      </c>
      <c r="E170">
        <f>IF($A170="","",IF(OR($B170="",$C170="",$D170="",$B170&lt;1300,$B170&gt;1500,$C170&lt;1,$C170&gt;12,$D170&lt;1,$D170&gt;31),"نامعتبر",RIGHT("0000"&amp;$B170,4)&amp;"/"&amp;RIGHT("00"&amp;$C170,2)&amp;"/"&amp;RIGHT("00"&amp;$D170,2)))</f>
        <v/>
      </c>
      <c r="F170">
        <f>IF(OR($E170="",$E170="نامعتبر"),"",IF(Sync!$Q167="","0000",IF(AND(ISNUMBER(Sync!$Q167),Sync!$Q167&gt;=0,Sync!$Q167&lt;1),RIGHT("00"&amp;HOUR(Sync!$Q167),2)&amp;RIGHT("00"&amp;MINUTE(Sync!$Q167),2),IFERROR(RIGHT("00"&amp;VALUE(LEFT(Sync!$Q167,FIND(":",Sync!$Q167)-1)),2)&amp;RIGHT("00"&amp;VALUE(MID(Sync!$Q167,FIND(":",Sync!$Q167)+1,2)),2),"0000"))))</f>
        <v/>
      </c>
      <c r="G170">
        <f>IF(OR($E170="",$E170="نامعتبر"),"",IF(Sync!$S167="","",Sync!$S167))</f>
        <v/>
      </c>
      <c r="H170">
        <f>IF(OR($E170="",$E170="نامعتبر"),"",IF(Sync!$R167="","",Sync!$R167))</f>
        <v/>
      </c>
      <c r="I170">
        <f>IF(OR($E170="",$E170="نامعتبر"),"",IF(Sync!$T167="","",Sync!$T167))</f>
        <v/>
      </c>
      <c r="J170">
        <f>IF(OR($E170="",$E170="نامعتبر"),"",IF(Sync!$U167="","",Sync!$U167))</f>
        <v/>
      </c>
      <c r="K170">
        <f>IF(OR($E170="",$E170="نامعتبر"),"",IF(Sync!$V167="","",IFERROR(INDEX(SubCodes,MATCH(Sync!$V167,SubTitles,0)),Sync!$V167)))</f>
        <v/>
      </c>
      <c r="L170">
        <f>IF(OR($E170="",$E170="نامعتبر"),"",IF(Sync!$W167="",0,Sync!$W167))</f>
        <v/>
      </c>
      <c r="M170">
        <f>IF(OR($E170="",$E170="نامعتبر"),"",IF(Sync!$X167="",0,Sync!$X167))</f>
        <v/>
      </c>
      <c r="N170">
        <f>IF(OR($E170="",$E170="نامعتبر"),"",IF(AND($J170="هزینه",$K170&lt;&gt;""),1,0))</f>
        <v/>
      </c>
      <c r="O170">
        <f>IF($N170=0,"",LEFT($E170,4)&amp;MID($E170,6,2)&amp;RIGHT($E170,2)&amp;$F170&amp;"|"&amp;"1"&amp;RIGHT("00000"&amp;162,5))</f>
        <v/>
      </c>
      <c r="P170">
        <f>IF($O170="","",COUNTIFS(ExpSub,$K170,ExpKey,"&lt;"&amp;$O170)+1)</f>
        <v/>
      </c>
      <c r="Q170">
        <f>IF($P170="","",$K170&amp;"|"&amp;RIGHT("000000"&amp;$P170,6))</f>
        <v/>
      </c>
    </row>
    <row r="171">
      <c r="A171">
        <f>IF(Sync!$P168="","",Sync!$P168)</f>
        <v/>
      </c>
      <c r="B171">
        <f>IF($A171="","",IF(ISNUMBER($A171),IF(AND($A171&gt;=10000101,$A171&lt;=99991231),INT($A171/10000),""),IFERROR(VALUE(TRIM(LEFT($A171,FIND("/",$A171)-1))),"")))</f>
        <v/>
      </c>
      <c r="C171">
        <f>IF(OR($A171="",$B171=""),"",IF(ISNUMBER($A171),INT(MOD($A171,10000)/100),IFERROR(VALUE(TRIM(LEFT(MID($A171,FIND("/",$A171)+1,20),FIND("/",MID($A171,FIND("/",$A171)+1,20))-1))),"")))</f>
        <v/>
      </c>
      <c r="D171">
        <f>IF(OR($A171="",$B171=""),"",IF(ISNUMBER($A171),MOD($A171,100),IFERROR(VALUE(TRIM(MID(MID($A171,FIND("/",$A171)+1,20),FIND("/",MID($A171,FIND("/",$A171)+1,20))+1,20))),"")))</f>
        <v/>
      </c>
      <c r="E171">
        <f>IF($A171="","",IF(OR($B171="",$C171="",$D171="",$B171&lt;1300,$B171&gt;1500,$C171&lt;1,$C171&gt;12,$D171&lt;1,$D171&gt;31),"نامعتبر",RIGHT("0000"&amp;$B171,4)&amp;"/"&amp;RIGHT("00"&amp;$C171,2)&amp;"/"&amp;RIGHT("00"&amp;$D171,2)))</f>
        <v/>
      </c>
      <c r="F171">
        <f>IF(OR($E171="",$E171="نامعتبر"),"",IF(Sync!$Q168="","0000",IF(AND(ISNUMBER(Sync!$Q168),Sync!$Q168&gt;=0,Sync!$Q168&lt;1),RIGHT("00"&amp;HOUR(Sync!$Q168),2)&amp;RIGHT("00"&amp;MINUTE(Sync!$Q168),2),IFERROR(RIGHT("00"&amp;VALUE(LEFT(Sync!$Q168,FIND(":",Sync!$Q168)-1)),2)&amp;RIGHT("00"&amp;VALUE(MID(Sync!$Q168,FIND(":",Sync!$Q168)+1,2)),2),"0000"))))</f>
        <v/>
      </c>
      <c r="G171">
        <f>IF(OR($E171="",$E171="نامعتبر"),"",IF(Sync!$S168="","",Sync!$S168))</f>
        <v/>
      </c>
      <c r="H171">
        <f>IF(OR($E171="",$E171="نامعتبر"),"",IF(Sync!$R168="","",Sync!$R168))</f>
        <v/>
      </c>
      <c r="I171">
        <f>IF(OR($E171="",$E171="نامعتبر"),"",IF(Sync!$T168="","",Sync!$T168))</f>
        <v/>
      </c>
      <c r="J171">
        <f>IF(OR($E171="",$E171="نامعتبر"),"",IF(Sync!$U168="","",Sync!$U168))</f>
        <v/>
      </c>
      <c r="K171">
        <f>IF(OR($E171="",$E171="نامعتبر"),"",IF(Sync!$V168="","",IFERROR(INDEX(SubCodes,MATCH(Sync!$V168,SubTitles,0)),Sync!$V168)))</f>
        <v/>
      </c>
      <c r="L171">
        <f>IF(OR($E171="",$E171="نامعتبر"),"",IF(Sync!$W168="",0,Sync!$W168))</f>
        <v/>
      </c>
      <c r="M171">
        <f>IF(OR($E171="",$E171="نامعتبر"),"",IF(Sync!$X168="",0,Sync!$X168))</f>
        <v/>
      </c>
      <c r="N171">
        <f>IF(OR($E171="",$E171="نامعتبر"),"",IF(AND($J171="هزینه",$K171&lt;&gt;""),1,0))</f>
        <v/>
      </c>
      <c r="O171">
        <f>IF($N171=0,"",LEFT($E171,4)&amp;MID($E171,6,2)&amp;RIGHT($E171,2)&amp;$F171&amp;"|"&amp;"1"&amp;RIGHT("00000"&amp;163,5))</f>
        <v/>
      </c>
      <c r="P171">
        <f>IF($O171="","",COUNTIFS(ExpSub,$K171,ExpKey,"&lt;"&amp;$O171)+1)</f>
        <v/>
      </c>
      <c r="Q171">
        <f>IF($P171="","",$K171&amp;"|"&amp;RIGHT("000000"&amp;$P171,6))</f>
        <v/>
      </c>
    </row>
    <row r="172">
      <c r="A172">
        <f>IF(Sync!$P169="","",Sync!$P169)</f>
        <v/>
      </c>
      <c r="B172">
        <f>IF($A172="","",IF(ISNUMBER($A172),IF(AND($A172&gt;=10000101,$A172&lt;=99991231),INT($A172/10000),""),IFERROR(VALUE(TRIM(LEFT($A172,FIND("/",$A172)-1))),"")))</f>
        <v/>
      </c>
      <c r="C172">
        <f>IF(OR($A172="",$B172=""),"",IF(ISNUMBER($A172),INT(MOD($A172,10000)/100),IFERROR(VALUE(TRIM(LEFT(MID($A172,FIND("/",$A172)+1,20),FIND("/",MID($A172,FIND("/",$A172)+1,20))-1))),"")))</f>
        <v/>
      </c>
      <c r="D172">
        <f>IF(OR($A172="",$B172=""),"",IF(ISNUMBER($A172),MOD($A172,100),IFERROR(VALUE(TRIM(MID(MID($A172,FIND("/",$A172)+1,20),FIND("/",MID($A172,FIND("/",$A172)+1,20))+1,20))),"")))</f>
        <v/>
      </c>
      <c r="E172">
        <f>IF($A172="","",IF(OR($B172="",$C172="",$D172="",$B172&lt;1300,$B172&gt;1500,$C172&lt;1,$C172&gt;12,$D172&lt;1,$D172&gt;31),"نامعتبر",RIGHT("0000"&amp;$B172,4)&amp;"/"&amp;RIGHT("00"&amp;$C172,2)&amp;"/"&amp;RIGHT("00"&amp;$D172,2)))</f>
        <v/>
      </c>
      <c r="F172">
        <f>IF(OR($E172="",$E172="نامعتبر"),"",IF(Sync!$Q169="","0000",IF(AND(ISNUMBER(Sync!$Q169),Sync!$Q169&gt;=0,Sync!$Q169&lt;1),RIGHT("00"&amp;HOUR(Sync!$Q169),2)&amp;RIGHT("00"&amp;MINUTE(Sync!$Q169),2),IFERROR(RIGHT("00"&amp;VALUE(LEFT(Sync!$Q169,FIND(":",Sync!$Q169)-1)),2)&amp;RIGHT("00"&amp;VALUE(MID(Sync!$Q169,FIND(":",Sync!$Q169)+1,2)),2),"0000"))))</f>
        <v/>
      </c>
      <c r="G172">
        <f>IF(OR($E172="",$E172="نامعتبر"),"",IF(Sync!$S169="","",Sync!$S169))</f>
        <v/>
      </c>
      <c r="H172">
        <f>IF(OR($E172="",$E172="نامعتبر"),"",IF(Sync!$R169="","",Sync!$R169))</f>
        <v/>
      </c>
      <c r="I172">
        <f>IF(OR($E172="",$E172="نامعتبر"),"",IF(Sync!$T169="","",Sync!$T169))</f>
        <v/>
      </c>
      <c r="J172">
        <f>IF(OR($E172="",$E172="نامعتبر"),"",IF(Sync!$U169="","",Sync!$U169))</f>
        <v/>
      </c>
      <c r="K172">
        <f>IF(OR($E172="",$E172="نامعتبر"),"",IF(Sync!$V169="","",IFERROR(INDEX(SubCodes,MATCH(Sync!$V169,SubTitles,0)),Sync!$V169)))</f>
        <v/>
      </c>
      <c r="L172">
        <f>IF(OR($E172="",$E172="نامعتبر"),"",IF(Sync!$W169="",0,Sync!$W169))</f>
        <v/>
      </c>
      <c r="M172">
        <f>IF(OR($E172="",$E172="نامعتبر"),"",IF(Sync!$X169="",0,Sync!$X169))</f>
        <v/>
      </c>
      <c r="N172">
        <f>IF(OR($E172="",$E172="نامعتبر"),"",IF(AND($J172="هزینه",$K172&lt;&gt;""),1,0))</f>
        <v/>
      </c>
      <c r="O172">
        <f>IF($N172=0,"",LEFT($E172,4)&amp;MID($E172,6,2)&amp;RIGHT($E172,2)&amp;$F172&amp;"|"&amp;"1"&amp;RIGHT("00000"&amp;164,5))</f>
        <v/>
      </c>
      <c r="P172">
        <f>IF($O172="","",COUNTIFS(ExpSub,$K172,ExpKey,"&lt;"&amp;$O172)+1)</f>
        <v/>
      </c>
      <c r="Q172">
        <f>IF($P172="","",$K172&amp;"|"&amp;RIGHT("000000"&amp;$P172,6))</f>
        <v/>
      </c>
    </row>
    <row r="173">
      <c r="A173">
        <f>IF(Sync!$P170="","",Sync!$P170)</f>
        <v/>
      </c>
      <c r="B173">
        <f>IF($A173="","",IF(ISNUMBER($A173),IF(AND($A173&gt;=10000101,$A173&lt;=99991231),INT($A173/10000),""),IFERROR(VALUE(TRIM(LEFT($A173,FIND("/",$A173)-1))),"")))</f>
        <v/>
      </c>
      <c r="C173">
        <f>IF(OR($A173="",$B173=""),"",IF(ISNUMBER($A173),INT(MOD($A173,10000)/100),IFERROR(VALUE(TRIM(LEFT(MID($A173,FIND("/",$A173)+1,20),FIND("/",MID($A173,FIND("/",$A173)+1,20))-1))),"")))</f>
        <v/>
      </c>
      <c r="D173">
        <f>IF(OR($A173="",$B173=""),"",IF(ISNUMBER($A173),MOD($A173,100),IFERROR(VALUE(TRIM(MID(MID($A173,FIND("/",$A173)+1,20),FIND("/",MID($A173,FIND("/",$A173)+1,20))+1,20))),"")))</f>
        <v/>
      </c>
      <c r="E173">
        <f>IF($A173="","",IF(OR($B173="",$C173="",$D173="",$B173&lt;1300,$B173&gt;1500,$C173&lt;1,$C173&gt;12,$D173&lt;1,$D173&gt;31),"نامعتبر",RIGHT("0000"&amp;$B173,4)&amp;"/"&amp;RIGHT("00"&amp;$C173,2)&amp;"/"&amp;RIGHT("00"&amp;$D173,2)))</f>
        <v/>
      </c>
      <c r="F173">
        <f>IF(OR($E173="",$E173="نامعتبر"),"",IF(Sync!$Q170="","0000",IF(AND(ISNUMBER(Sync!$Q170),Sync!$Q170&gt;=0,Sync!$Q170&lt;1),RIGHT("00"&amp;HOUR(Sync!$Q170),2)&amp;RIGHT("00"&amp;MINUTE(Sync!$Q170),2),IFERROR(RIGHT("00"&amp;VALUE(LEFT(Sync!$Q170,FIND(":",Sync!$Q170)-1)),2)&amp;RIGHT("00"&amp;VALUE(MID(Sync!$Q170,FIND(":",Sync!$Q170)+1,2)),2),"0000"))))</f>
        <v/>
      </c>
      <c r="G173">
        <f>IF(OR($E173="",$E173="نامعتبر"),"",IF(Sync!$S170="","",Sync!$S170))</f>
        <v/>
      </c>
      <c r="H173">
        <f>IF(OR($E173="",$E173="نامعتبر"),"",IF(Sync!$R170="","",Sync!$R170))</f>
        <v/>
      </c>
      <c r="I173">
        <f>IF(OR($E173="",$E173="نامعتبر"),"",IF(Sync!$T170="","",Sync!$T170))</f>
        <v/>
      </c>
      <c r="J173">
        <f>IF(OR($E173="",$E173="نامعتبر"),"",IF(Sync!$U170="","",Sync!$U170))</f>
        <v/>
      </c>
      <c r="K173">
        <f>IF(OR($E173="",$E173="نامعتبر"),"",IF(Sync!$V170="","",IFERROR(INDEX(SubCodes,MATCH(Sync!$V170,SubTitles,0)),Sync!$V170)))</f>
        <v/>
      </c>
      <c r="L173">
        <f>IF(OR($E173="",$E173="نامعتبر"),"",IF(Sync!$W170="",0,Sync!$W170))</f>
        <v/>
      </c>
      <c r="M173">
        <f>IF(OR($E173="",$E173="نامعتبر"),"",IF(Sync!$X170="",0,Sync!$X170))</f>
        <v/>
      </c>
      <c r="N173">
        <f>IF(OR($E173="",$E173="نامعتبر"),"",IF(AND($J173="هزینه",$K173&lt;&gt;""),1,0))</f>
        <v/>
      </c>
      <c r="O173">
        <f>IF($N173=0,"",LEFT($E173,4)&amp;MID($E173,6,2)&amp;RIGHT($E173,2)&amp;$F173&amp;"|"&amp;"1"&amp;RIGHT("00000"&amp;165,5))</f>
        <v/>
      </c>
      <c r="P173">
        <f>IF($O173="","",COUNTIFS(ExpSub,$K173,ExpKey,"&lt;"&amp;$O173)+1)</f>
        <v/>
      </c>
      <c r="Q173">
        <f>IF($P173="","",$K173&amp;"|"&amp;RIGHT("000000"&amp;$P173,6))</f>
        <v/>
      </c>
    </row>
    <row r="174">
      <c r="A174">
        <f>IF(Sync!$P171="","",Sync!$P171)</f>
        <v/>
      </c>
      <c r="B174">
        <f>IF($A174="","",IF(ISNUMBER($A174),IF(AND($A174&gt;=10000101,$A174&lt;=99991231),INT($A174/10000),""),IFERROR(VALUE(TRIM(LEFT($A174,FIND("/",$A174)-1))),"")))</f>
        <v/>
      </c>
      <c r="C174">
        <f>IF(OR($A174="",$B174=""),"",IF(ISNUMBER($A174),INT(MOD($A174,10000)/100),IFERROR(VALUE(TRIM(LEFT(MID($A174,FIND("/",$A174)+1,20),FIND("/",MID($A174,FIND("/",$A174)+1,20))-1))),"")))</f>
        <v/>
      </c>
      <c r="D174">
        <f>IF(OR($A174="",$B174=""),"",IF(ISNUMBER($A174),MOD($A174,100),IFERROR(VALUE(TRIM(MID(MID($A174,FIND("/",$A174)+1,20),FIND("/",MID($A174,FIND("/",$A174)+1,20))+1,20))),"")))</f>
        <v/>
      </c>
      <c r="E174">
        <f>IF($A174="","",IF(OR($B174="",$C174="",$D174="",$B174&lt;1300,$B174&gt;1500,$C174&lt;1,$C174&gt;12,$D174&lt;1,$D174&gt;31),"نامعتبر",RIGHT("0000"&amp;$B174,4)&amp;"/"&amp;RIGHT("00"&amp;$C174,2)&amp;"/"&amp;RIGHT("00"&amp;$D174,2)))</f>
        <v/>
      </c>
      <c r="F174">
        <f>IF(OR($E174="",$E174="نامعتبر"),"",IF(Sync!$Q171="","0000",IF(AND(ISNUMBER(Sync!$Q171),Sync!$Q171&gt;=0,Sync!$Q171&lt;1),RIGHT("00"&amp;HOUR(Sync!$Q171),2)&amp;RIGHT("00"&amp;MINUTE(Sync!$Q171),2),IFERROR(RIGHT("00"&amp;VALUE(LEFT(Sync!$Q171,FIND(":",Sync!$Q171)-1)),2)&amp;RIGHT("00"&amp;VALUE(MID(Sync!$Q171,FIND(":",Sync!$Q171)+1,2)),2),"0000"))))</f>
        <v/>
      </c>
      <c r="G174">
        <f>IF(OR($E174="",$E174="نامعتبر"),"",IF(Sync!$S171="","",Sync!$S171))</f>
        <v/>
      </c>
      <c r="H174">
        <f>IF(OR($E174="",$E174="نامعتبر"),"",IF(Sync!$R171="","",Sync!$R171))</f>
        <v/>
      </c>
      <c r="I174">
        <f>IF(OR($E174="",$E174="نامعتبر"),"",IF(Sync!$T171="","",Sync!$T171))</f>
        <v/>
      </c>
      <c r="J174">
        <f>IF(OR($E174="",$E174="نامعتبر"),"",IF(Sync!$U171="","",Sync!$U171))</f>
        <v/>
      </c>
      <c r="K174">
        <f>IF(OR($E174="",$E174="نامعتبر"),"",IF(Sync!$V171="","",IFERROR(INDEX(SubCodes,MATCH(Sync!$V171,SubTitles,0)),Sync!$V171)))</f>
        <v/>
      </c>
      <c r="L174">
        <f>IF(OR($E174="",$E174="نامعتبر"),"",IF(Sync!$W171="",0,Sync!$W171))</f>
        <v/>
      </c>
      <c r="M174">
        <f>IF(OR($E174="",$E174="نامعتبر"),"",IF(Sync!$X171="",0,Sync!$X171))</f>
        <v/>
      </c>
      <c r="N174">
        <f>IF(OR($E174="",$E174="نامعتبر"),"",IF(AND($J174="هزینه",$K174&lt;&gt;""),1,0))</f>
        <v/>
      </c>
      <c r="O174">
        <f>IF($N174=0,"",LEFT($E174,4)&amp;MID($E174,6,2)&amp;RIGHT($E174,2)&amp;$F174&amp;"|"&amp;"1"&amp;RIGHT("00000"&amp;166,5))</f>
        <v/>
      </c>
      <c r="P174">
        <f>IF($O174="","",COUNTIFS(ExpSub,$K174,ExpKey,"&lt;"&amp;$O174)+1)</f>
        <v/>
      </c>
      <c r="Q174">
        <f>IF($P174="","",$K174&amp;"|"&amp;RIGHT("000000"&amp;$P174,6))</f>
        <v/>
      </c>
    </row>
    <row r="175">
      <c r="A175">
        <f>IF(Sync!$P172="","",Sync!$P172)</f>
        <v/>
      </c>
      <c r="B175">
        <f>IF($A175="","",IF(ISNUMBER($A175),IF(AND($A175&gt;=10000101,$A175&lt;=99991231),INT($A175/10000),""),IFERROR(VALUE(TRIM(LEFT($A175,FIND("/",$A175)-1))),"")))</f>
        <v/>
      </c>
      <c r="C175">
        <f>IF(OR($A175="",$B175=""),"",IF(ISNUMBER($A175),INT(MOD($A175,10000)/100),IFERROR(VALUE(TRIM(LEFT(MID($A175,FIND("/",$A175)+1,20),FIND("/",MID($A175,FIND("/",$A175)+1,20))-1))),"")))</f>
        <v/>
      </c>
      <c r="D175">
        <f>IF(OR($A175="",$B175=""),"",IF(ISNUMBER($A175),MOD($A175,100),IFERROR(VALUE(TRIM(MID(MID($A175,FIND("/",$A175)+1,20),FIND("/",MID($A175,FIND("/",$A175)+1,20))+1,20))),"")))</f>
        <v/>
      </c>
      <c r="E175">
        <f>IF($A175="","",IF(OR($B175="",$C175="",$D175="",$B175&lt;1300,$B175&gt;1500,$C175&lt;1,$C175&gt;12,$D175&lt;1,$D175&gt;31),"نامعتبر",RIGHT("0000"&amp;$B175,4)&amp;"/"&amp;RIGHT("00"&amp;$C175,2)&amp;"/"&amp;RIGHT("00"&amp;$D175,2)))</f>
        <v/>
      </c>
      <c r="F175">
        <f>IF(OR($E175="",$E175="نامعتبر"),"",IF(Sync!$Q172="","0000",IF(AND(ISNUMBER(Sync!$Q172),Sync!$Q172&gt;=0,Sync!$Q172&lt;1),RIGHT("00"&amp;HOUR(Sync!$Q172),2)&amp;RIGHT("00"&amp;MINUTE(Sync!$Q172),2),IFERROR(RIGHT("00"&amp;VALUE(LEFT(Sync!$Q172,FIND(":",Sync!$Q172)-1)),2)&amp;RIGHT("00"&amp;VALUE(MID(Sync!$Q172,FIND(":",Sync!$Q172)+1,2)),2),"0000"))))</f>
        <v/>
      </c>
      <c r="G175">
        <f>IF(OR($E175="",$E175="نامعتبر"),"",IF(Sync!$S172="","",Sync!$S172))</f>
        <v/>
      </c>
      <c r="H175">
        <f>IF(OR($E175="",$E175="نامعتبر"),"",IF(Sync!$R172="","",Sync!$R172))</f>
        <v/>
      </c>
      <c r="I175">
        <f>IF(OR($E175="",$E175="نامعتبر"),"",IF(Sync!$T172="","",Sync!$T172))</f>
        <v/>
      </c>
      <c r="J175">
        <f>IF(OR($E175="",$E175="نامعتبر"),"",IF(Sync!$U172="","",Sync!$U172))</f>
        <v/>
      </c>
      <c r="K175">
        <f>IF(OR($E175="",$E175="نامعتبر"),"",IF(Sync!$V172="","",IFERROR(INDEX(SubCodes,MATCH(Sync!$V172,SubTitles,0)),Sync!$V172)))</f>
        <v/>
      </c>
      <c r="L175">
        <f>IF(OR($E175="",$E175="نامعتبر"),"",IF(Sync!$W172="",0,Sync!$W172))</f>
        <v/>
      </c>
      <c r="M175">
        <f>IF(OR($E175="",$E175="نامعتبر"),"",IF(Sync!$X172="",0,Sync!$X172))</f>
        <v/>
      </c>
      <c r="N175">
        <f>IF(OR($E175="",$E175="نامعتبر"),"",IF(AND($J175="هزینه",$K175&lt;&gt;""),1,0))</f>
        <v/>
      </c>
      <c r="O175">
        <f>IF($N175=0,"",LEFT($E175,4)&amp;MID($E175,6,2)&amp;RIGHT($E175,2)&amp;$F175&amp;"|"&amp;"1"&amp;RIGHT("00000"&amp;167,5))</f>
        <v/>
      </c>
      <c r="P175">
        <f>IF($O175="","",COUNTIFS(ExpSub,$K175,ExpKey,"&lt;"&amp;$O175)+1)</f>
        <v/>
      </c>
      <c r="Q175">
        <f>IF($P175="","",$K175&amp;"|"&amp;RIGHT("000000"&amp;$P175,6))</f>
        <v/>
      </c>
    </row>
    <row r="176">
      <c r="A176">
        <f>IF(Sync!$P173="","",Sync!$P173)</f>
        <v/>
      </c>
      <c r="B176">
        <f>IF($A176="","",IF(ISNUMBER($A176),IF(AND($A176&gt;=10000101,$A176&lt;=99991231),INT($A176/10000),""),IFERROR(VALUE(TRIM(LEFT($A176,FIND("/",$A176)-1))),"")))</f>
        <v/>
      </c>
      <c r="C176">
        <f>IF(OR($A176="",$B176=""),"",IF(ISNUMBER($A176),INT(MOD($A176,10000)/100),IFERROR(VALUE(TRIM(LEFT(MID($A176,FIND("/",$A176)+1,20),FIND("/",MID($A176,FIND("/",$A176)+1,20))-1))),"")))</f>
        <v/>
      </c>
      <c r="D176">
        <f>IF(OR($A176="",$B176=""),"",IF(ISNUMBER($A176),MOD($A176,100),IFERROR(VALUE(TRIM(MID(MID($A176,FIND("/",$A176)+1,20),FIND("/",MID($A176,FIND("/",$A176)+1,20))+1,20))),"")))</f>
        <v/>
      </c>
      <c r="E176">
        <f>IF($A176="","",IF(OR($B176="",$C176="",$D176="",$B176&lt;1300,$B176&gt;1500,$C176&lt;1,$C176&gt;12,$D176&lt;1,$D176&gt;31),"نامعتبر",RIGHT("0000"&amp;$B176,4)&amp;"/"&amp;RIGHT("00"&amp;$C176,2)&amp;"/"&amp;RIGHT("00"&amp;$D176,2)))</f>
        <v/>
      </c>
      <c r="F176">
        <f>IF(OR($E176="",$E176="نامعتبر"),"",IF(Sync!$Q173="","0000",IF(AND(ISNUMBER(Sync!$Q173),Sync!$Q173&gt;=0,Sync!$Q173&lt;1),RIGHT("00"&amp;HOUR(Sync!$Q173),2)&amp;RIGHT("00"&amp;MINUTE(Sync!$Q173),2),IFERROR(RIGHT("00"&amp;VALUE(LEFT(Sync!$Q173,FIND(":",Sync!$Q173)-1)),2)&amp;RIGHT("00"&amp;VALUE(MID(Sync!$Q173,FIND(":",Sync!$Q173)+1,2)),2),"0000"))))</f>
        <v/>
      </c>
      <c r="G176">
        <f>IF(OR($E176="",$E176="نامعتبر"),"",IF(Sync!$S173="","",Sync!$S173))</f>
        <v/>
      </c>
      <c r="H176">
        <f>IF(OR($E176="",$E176="نامعتبر"),"",IF(Sync!$R173="","",Sync!$R173))</f>
        <v/>
      </c>
      <c r="I176">
        <f>IF(OR($E176="",$E176="نامعتبر"),"",IF(Sync!$T173="","",Sync!$T173))</f>
        <v/>
      </c>
      <c r="J176">
        <f>IF(OR($E176="",$E176="نامعتبر"),"",IF(Sync!$U173="","",Sync!$U173))</f>
        <v/>
      </c>
      <c r="K176">
        <f>IF(OR($E176="",$E176="نامعتبر"),"",IF(Sync!$V173="","",IFERROR(INDEX(SubCodes,MATCH(Sync!$V173,SubTitles,0)),Sync!$V173)))</f>
        <v/>
      </c>
      <c r="L176">
        <f>IF(OR($E176="",$E176="نامعتبر"),"",IF(Sync!$W173="",0,Sync!$W173))</f>
        <v/>
      </c>
      <c r="M176">
        <f>IF(OR($E176="",$E176="نامعتبر"),"",IF(Sync!$X173="",0,Sync!$X173))</f>
        <v/>
      </c>
      <c r="N176">
        <f>IF(OR($E176="",$E176="نامعتبر"),"",IF(AND($J176="هزینه",$K176&lt;&gt;""),1,0))</f>
        <v/>
      </c>
      <c r="O176">
        <f>IF($N176=0,"",LEFT($E176,4)&amp;MID($E176,6,2)&amp;RIGHT($E176,2)&amp;$F176&amp;"|"&amp;"1"&amp;RIGHT("00000"&amp;168,5))</f>
        <v/>
      </c>
      <c r="P176">
        <f>IF($O176="","",COUNTIFS(ExpSub,$K176,ExpKey,"&lt;"&amp;$O176)+1)</f>
        <v/>
      </c>
      <c r="Q176">
        <f>IF($P176="","",$K176&amp;"|"&amp;RIGHT("000000"&amp;$P176,6))</f>
        <v/>
      </c>
    </row>
    <row r="177">
      <c r="A177">
        <f>IF(Sync!$P174="","",Sync!$P174)</f>
        <v/>
      </c>
      <c r="B177">
        <f>IF($A177="","",IF(ISNUMBER($A177),IF(AND($A177&gt;=10000101,$A177&lt;=99991231),INT($A177/10000),""),IFERROR(VALUE(TRIM(LEFT($A177,FIND("/",$A177)-1))),"")))</f>
        <v/>
      </c>
      <c r="C177">
        <f>IF(OR($A177="",$B177=""),"",IF(ISNUMBER($A177),INT(MOD($A177,10000)/100),IFERROR(VALUE(TRIM(LEFT(MID($A177,FIND("/",$A177)+1,20),FIND("/",MID($A177,FIND("/",$A177)+1,20))-1))),"")))</f>
        <v/>
      </c>
      <c r="D177">
        <f>IF(OR($A177="",$B177=""),"",IF(ISNUMBER($A177),MOD($A177,100),IFERROR(VALUE(TRIM(MID(MID($A177,FIND("/",$A177)+1,20),FIND("/",MID($A177,FIND("/",$A177)+1,20))+1,20))),"")))</f>
        <v/>
      </c>
      <c r="E177">
        <f>IF($A177="","",IF(OR($B177="",$C177="",$D177="",$B177&lt;1300,$B177&gt;1500,$C177&lt;1,$C177&gt;12,$D177&lt;1,$D177&gt;31),"نامعتبر",RIGHT("0000"&amp;$B177,4)&amp;"/"&amp;RIGHT("00"&amp;$C177,2)&amp;"/"&amp;RIGHT("00"&amp;$D177,2)))</f>
        <v/>
      </c>
      <c r="F177">
        <f>IF(OR($E177="",$E177="نامعتبر"),"",IF(Sync!$Q174="","0000",IF(AND(ISNUMBER(Sync!$Q174),Sync!$Q174&gt;=0,Sync!$Q174&lt;1),RIGHT("00"&amp;HOUR(Sync!$Q174),2)&amp;RIGHT("00"&amp;MINUTE(Sync!$Q174),2),IFERROR(RIGHT("00"&amp;VALUE(LEFT(Sync!$Q174,FIND(":",Sync!$Q174)-1)),2)&amp;RIGHT("00"&amp;VALUE(MID(Sync!$Q174,FIND(":",Sync!$Q174)+1,2)),2),"0000"))))</f>
        <v/>
      </c>
      <c r="G177">
        <f>IF(OR($E177="",$E177="نامعتبر"),"",IF(Sync!$S174="","",Sync!$S174))</f>
        <v/>
      </c>
      <c r="H177">
        <f>IF(OR($E177="",$E177="نامعتبر"),"",IF(Sync!$R174="","",Sync!$R174))</f>
        <v/>
      </c>
      <c r="I177">
        <f>IF(OR($E177="",$E177="نامعتبر"),"",IF(Sync!$T174="","",Sync!$T174))</f>
        <v/>
      </c>
      <c r="J177">
        <f>IF(OR($E177="",$E177="نامعتبر"),"",IF(Sync!$U174="","",Sync!$U174))</f>
        <v/>
      </c>
      <c r="K177">
        <f>IF(OR($E177="",$E177="نامعتبر"),"",IF(Sync!$V174="","",IFERROR(INDEX(SubCodes,MATCH(Sync!$V174,SubTitles,0)),Sync!$V174)))</f>
        <v/>
      </c>
      <c r="L177">
        <f>IF(OR($E177="",$E177="نامعتبر"),"",IF(Sync!$W174="",0,Sync!$W174))</f>
        <v/>
      </c>
      <c r="M177">
        <f>IF(OR($E177="",$E177="نامعتبر"),"",IF(Sync!$X174="",0,Sync!$X174))</f>
        <v/>
      </c>
      <c r="N177">
        <f>IF(OR($E177="",$E177="نامعتبر"),"",IF(AND($J177="هزینه",$K177&lt;&gt;""),1,0))</f>
        <v/>
      </c>
      <c r="O177">
        <f>IF($N177=0,"",LEFT($E177,4)&amp;MID($E177,6,2)&amp;RIGHT($E177,2)&amp;$F177&amp;"|"&amp;"1"&amp;RIGHT("00000"&amp;169,5))</f>
        <v/>
      </c>
      <c r="P177">
        <f>IF($O177="","",COUNTIFS(ExpSub,$K177,ExpKey,"&lt;"&amp;$O177)+1)</f>
        <v/>
      </c>
      <c r="Q177">
        <f>IF($P177="","",$K177&amp;"|"&amp;RIGHT("000000"&amp;$P177,6))</f>
        <v/>
      </c>
    </row>
    <row r="178">
      <c r="A178">
        <f>IF(Sync!$P175="","",Sync!$P175)</f>
        <v/>
      </c>
      <c r="B178">
        <f>IF($A178="","",IF(ISNUMBER($A178),IF(AND($A178&gt;=10000101,$A178&lt;=99991231),INT($A178/10000),""),IFERROR(VALUE(TRIM(LEFT($A178,FIND("/",$A178)-1))),"")))</f>
        <v/>
      </c>
      <c r="C178">
        <f>IF(OR($A178="",$B178=""),"",IF(ISNUMBER($A178),INT(MOD($A178,10000)/100),IFERROR(VALUE(TRIM(LEFT(MID($A178,FIND("/",$A178)+1,20),FIND("/",MID($A178,FIND("/",$A178)+1,20))-1))),"")))</f>
        <v/>
      </c>
      <c r="D178">
        <f>IF(OR($A178="",$B178=""),"",IF(ISNUMBER($A178),MOD($A178,100),IFERROR(VALUE(TRIM(MID(MID($A178,FIND("/",$A178)+1,20),FIND("/",MID($A178,FIND("/",$A178)+1,20))+1,20))),"")))</f>
        <v/>
      </c>
      <c r="E178">
        <f>IF($A178="","",IF(OR($B178="",$C178="",$D178="",$B178&lt;1300,$B178&gt;1500,$C178&lt;1,$C178&gt;12,$D178&lt;1,$D178&gt;31),"نامعتبر",RIGHT("0000"&amp;$B178,4)&amp;"/"&amp;RIGHT("00"&amp;$C178,2)&amp;"/"&amp;RIGHT("00"&amp;$D178,2)))</f>
        <v/>
      </c>
      <c r="F178">
        <f>IF(OR($E178="",$E178="نامعتبر"),"",IF(Sync!$Q175="","0000",IF(AND(ISNUMBER(Sync!$Q175),Sync!$Q175&gt;=0,Sync!$Q175&lt;1),RIGHT("00"&amp;HOUR(Sync!$Q175),2)&amp;RIGHT("00"&amp;MINUTE(Sync!$Q175),2),IFERROR(RIGHT("00"&amp;VALUE(LEFT(Sync!$Q175,FIND(":",Sync!$Q175)-1)),2)&amp;RIGHT("00"&amp;VALUE(MID(Sync!$Q175,FIND(":",Sync!$Q175)+1,2)),2),"0000"))))</f>
        <v/>
      </c>
      <c r="G178">
        <f>IF(OR($E178="",$E178="نامعتبر"),"",IF(Sync!$S175="","",Sync!$S175))</f>
        <v/>
      </c>
      <c r="H178">
        <f>IF(OR($E178="",$E178="نامعتبر"),"",IF(Sync!$R175="","",Sync!$R175))</f>
        <v/>
      </c>
      <c r="I178">
        <f>IF(OR($E178="",$E178="نامعتبر"),"",IF(Sync!$T175="","",Sync!$T175))</f>
        <v/>
      </c>
      <c r="J178">
        <f>IF(OR($E178="",$E178="نامعتبر"),"",IF(Sync!$U175="","",Sync!$U175))</f>
        <v/>
      </c>
      <c r="K178">
        <f>IF(OR($E178="",$E178="نامعتبر"),"",IF(Sync!$V175="","",IFERROR(INDEX(SubCodes,MATCH(Sync!$V175,SubTitles,0)),Sync!$V175)))</f>
        <v/>
      </c>
      <c r="L178">
        <f>IF(OR($E178="",$E178="نامعتبر"),"",IF(Sync!$W175="",0,Sync!$W175))</f>
        <v/>
      </c>
      <c r="M178">
        <f>IF(OR($E178="",$E178="نامعتبر"),"",IF(Sync!$X175="",0,Sync!$X175))</f>
        <v/>
      </c>
      <c r="N178">
        <f>IF(OR($E178="",$E178="نامعتبر"),"",IF(AND($J178="هزینه",$K178&lt;&gt;""),1,0))</f>
        <v/>
      </c>
      <c r="O178">
        <f>IF($N178=0,"",LEFT($E178,4)&amp;MID($E178,6,2)&amp;RIGHT($E178,2)&amp;$F178&amp;"|"&amp;"1"&amp;RIGHT("00000"&amp;170,5))</f>
        <v/>
      </c>
      <c r="P178">
        <f>IF($O178="","",COUNTIFS(ExpSub,$K178,ExpKey,"&lt;"&amp;$O178)+1)</f>
        <v/>
      </c>
      <c r="Q178">
        <f>IF($P178="","",$K178&amp;"|"&amp;RIGHT("000000"&amp;$P178,6))</f>
        <v/>
      </c>
    </row>
    <row r="179">
      <c r="A179">
        <f>IF(Sync!$P176="","",Sync!$P176)</f>
        <v/>
      </c>
      <c r="B179">
        <f>IF($A179="","",IF(ISNUMBER($A179),IF(AND($A179&gt;=10000101,$A179&lt;=99991231),INT($A179/10000),""),IFERROR(VALUE(TRIM(LEFT($A179,FIND("/",$A179)-1))),"")))</f>
        <v/>
      </c>
      <c r="C179">
        <f>IF(OR($A179="",$B179=""),"",IF(ISNUMBER($A179),INT(MOD($A179,10000)/100),IFERROR(VALUE(TRIM(LEFT(MID($A179,FIND("/",$A179)+1,20),FIND("/",MID($A179,FIND("/",$A179)+1,20))-1))),"")))</f>
        <v/>
      </c>
      <c r="D179">
        <f>IF(OR($A179="",$B179=""),"",IF(ISNUMBER($A179),MOD($A179,100),IFERROR(VALUE(TRIM(MID(MID($A179,FIND("/",$A179)+1,20),FIND("/",MID($A179,FIND("/",$A179)+1,20))+1,20))),"")))</f>
        <v/>
      </c>
      <c r="E179">
        <f>IF($A179="","",IF(OR($B179="",$C179="",$D179="",$B179&lt;1300,$B179&gt;1500,$C179&lt;1,$C179&gt;12,$D179&lt;1,$D179&gt;31),"نامعتبر",RIGHT("0000"&amp;$B179,4)&amp;"/"&amp;RIGHT("00"&amp;$C179,2)&amp;"/"&amp;RIGHT("00"&amp;$D179,2)))</f>
        <v/>
      </c>
      <c r="F179">
        <f>IF(OR($E179="",$E179="نامعتبر"),"",IF(Sync!$Q176="","0000",IF(AND(ISNUMBER(Sync!$Q176),Sync!$Q176&gt;=0,Sync!$Q176&lt;1),RIGHT("00"&amp;HOUR(Sync!$Q176),2)&amp;RIGHT("00"&amp;MINUTE(Sync!$Q176),2),IFERROR(RIGHT("00"&amp;VALUE(LEFT(Sync!$Q176,FIND(":",Sync!$Q176)-1)),2)&amp;RIGHT("00"&amp;VALUE(MID(Sync!$Q176,FIND(":",Sync!$Q176)+1,2)),2),"0000"))))</f>
        <v/>
      </c>
      <c r="G179">
        <f>IF(OR($E179="",$E179="نامعتبر"),"",IF(Sync!$S176="","",Sync!$S176))</f>
        <v/>
      </c>
      <c r="H179">
        <f>IF(OR($E179="",$E179="نامعتبر"),"",IF(Sync!$R176="","",Sync!$R176))</f>
        <v/>
      </c>
      <c r="I179">
        <f>IF(OR($E179="",$E179="نامعتبر"),"",IF(Sync!$T176="","",Sync!$T176))</f>
        <v/>
      </c>
      <c r="J179">
        <f>IF(OR($E179="",$E179="نامعتبر"),"",IF(Sync!$U176="","",Sync!$U176))</f>
        <v/>
      </c>
      <c r="K179">
        <f>IF(OR($E179="",$E179="نامعتبر"),"",IF(Sync!$V176="","",IFERROR(INDEX(SubCodes,MATCH(Sync!$V176,SubTitles,0)),Sync!$V176)))</f>
        <v/>
      </c>
      <c r="L179">
        <f>IF(OR($E179="",$E179="نامعتبر"),"",IF(Sync!$W176="",0,Sync!$W176))</f>
        <v/>
      </c>
      <c r="M179">
        <f>IF(OR($E179="",$E179="نامعتبر"),"",IF(Sync!$X176="",0,Sync!$X176))</f>
        <v/>
      </c>
      <c r="N179">
        <f>IF(OR($E179="",$E179="نامعتبر"),"",IF(AND($J179="هزینه",$K179&lt;&gt;""),1,0))</f>
        <v/>
      </c>
      <c r="O179">
        <f>IF($N179=0,"",LEFT($E179,4)&amp;MID($E179,6,2)&amp;RIGHT($E179,2)&amp;$F179&amp;"|"&amp;"1"&amp;RIGHT("00000"&amp;171,5))</f>
        <v/>
      </c>
      <c r="P179">
        <f>IF($O179="","",COUNTIFS(ExpSub,$K179,ExpKey,"&lt;"&amp;$O179)+1)</f>
        <v/>
      </c>
      <c r="Q179">
        <f>IF($P179="","",$K179&amp;"|"&amp;RIGHT("000000"&amp;$P179,6))</f>
        <v/>
      </c>
    </row>
    <row r="180">
      <c r="A180">
        <f>IF(Sync!$P177="","",Sync!$P177)</f>
        <v/>
      </c>
      <c r="B180">
        <f>IF($A180="","",IF(ISNUMBER($A180),IF(AND($A180&gt;=10000101,$A180&lt;=99991231),INT($A180/10000),""),IFERROR(VALUE(TRIM(LEFT($A180,FIND("/",$A180)-1))),"")))</f>
        <v/>
      </c>
      <c r="C180">
        <f>IF(OR($A180="",$B180=""),"",IF(ISNUMBER($A180),INT(MOD($A180,10000)/100),IFERROR(VALUE(TRIM(LEFT(MID($A180,FIND("/",$A180)+1,20),FIND("/",MID($A180,FIND("/",$A180)+1,20))-1))),"")))</f>
        <v/>
      </c>
      <c r="D180">
        <f>IF(OR($A180="",$B180=""),"",IF(ISNUMBER($A180),MOD($A180,100),IFERROR(VALUE(TRIM(MID(MID($A180,FIND("/",$A180)+1,20),FIND("/",MID($A180,FIND("/",$A180)+1,20))+1,20))),"")))</f>
        <v/>
      </c>
      <c r="E180">
        <f>IF($A180="","",IF(OR($B180="",$C180="",$D180="",$B180&lt;1300,$B180&gt;1500,$C180&lt;1,$C180&gt;12,$D180&lt;1,$D180&gt;31),"نامعتبر",RIGHT("0000"&amp;$B180,4)&amp;"/"&amp;RIGHT("00"&amp;$C180,2)&amp;"/"&amp;RIGHT("00"&amp;$D180,2)))</f>
        <v/>
      </c>
      <c r="F180">
        <f>IF(OR($E180="",$E180="نامعتبر"),"",IF(Sync!$Q177="","0000",IF(AND(ISNUMBER(Sync!$Q177),Sync!$Q177&gt;=0,Sync!$Q177&lt;1),RIGHT("00"&amp;HOUR(Sync!$Q177),2)&amp;RIGHT("00"&amp;MINUTE(Sync!$Q177),2),IFERROR(RIGHT("00"&amp;VALUE(LEFT(Sync!$Q177,FIND(":",Sync!$Q177)-1)),2)&amp;RIGHT("00"&amp;VALUE(MID(Sync!$Q177,FIND(":",Sync!$Q177)+1,2)),2),"0000"))))</f>
        <v/>
      </c>
      <c r="G180">
        <f>IF(OR($E180="",$E180="نامعتبر"),"",IF(Sync!$S177="","",Sync!$S177))</f>
        <v/>
      </c>
      <c r="H180">
        <f>IF(OR($E180="",$E180="نامعتبر"),"",IF(Sync!$R177="","",Sync!$R177))</f>
        <v/>
      </c>
      <c r="I180">
        <f>IF(OR($E180="",$E180="نامعتبر"),"",IF(Sync!$T177="","",Sync!$T177))</f>
        <v/>
      </c>
      <c r="J180">
        <f>IF(OR($E180="",$E180="نامعتبر"),"",IF(Sync!$U177="","",Sync!$U177))</f>
        <v/>
      </c>
      <c r="K180">
        <f>IF(OR($E180="",$E180="نامعتبر"),"",IF(Sync!$V177="","",IFERROR(INDEX(SubCodes,MATCH(Sync!$V177,SubTitles,0)),Sync!$V177)))</f>
        <v/>
      </c>
      <c r="L180">
        <f>IF(OR($E180="",$E180="نامعتبر"),"",IF(Sync!$W177="",0,Sync!$W177))</f>
        <v/>
      </c>
      <c r="M180">
        <f>IF(OR($E180="",$E180="نامعتبر"),"",IF(Sync!$X177="",0,Sync!$X177))</f>
        <v/>
      </c>
      <c r="N180">
        <f>IF(OR($E180="",$E180="نامعتبر"),"",IF(AND($J180="هزینه",$K180&lt;&gt;""),1,0))</f>
        <v/>
      </c>
      <c r="O180">
        <f>IF($N180=0,"",LEFT($E180,4)&amp;MID($E180,6,2)&amp;RIGHT($E180,2)&amp;$F180&amp;"|"&amp;"1"&amp;RIGHT("00000"&amp;172,5))</f>
        <v/>
      </c>
      <c r="P180">
        <f>IF($O180="","",COUNTIFS(ExpSub,$K180,ExpKey,"&lt;"&amp;$O180)+1)</f>
        <v/>
      </c>
      <c r="Q180">
        <f>IF($P180="","",$K180&amp;"|"&amp;RIGHT("000000"&amp;$P180,6))</f>
        <v/>
      </c>
    </row>
    <row r="181">
      <c r="A181">
        <f>IF(Sync!$P178="","",Sync!$P178)</f>
        <v/>
      </c>
      <c r="B181">
        <f>IF($A181="","",IF(ISNUMBER($A181),IF(AND($A181&gt;=10000101,$A181&lt;=99991231),INT($A181/10000),""),IFERROR(VALUE(TRIM(LEFT($A181,FIND("/",$A181)-1))),"")))</f>
        <v/>
      </c>
      <c r="C181">
        <f>IF(OR($A181="",$B181=""),"",IF(ISNUMBER($A181),INT(MOD($A181,10000)/100),IFERROR(VALUE(TRIM(LEFT(MID($A181,FIND("/",$A181)+1,20),FIND("/",MID($A181,FIND("/",$A181)+1,20))-1))),"")))</f>
        <v/>
      </c>
      <c r="D181">
        <f>IF(OR($A181="",$B181=""),"",IF(ISNUMBER($A181),MOD($A181,100),IFERROR(VALUE(TRIM(MID(MID($A181,FIND("/",$A181)+1,20),FIND("/",MID($A181,FIND("/",$A181)+1,20))+1,20))),"")))</f>
        <v/>
      </c>
      <c r="E181">
        <f>IF($A181="","",IF(OR($B181="",$C181="",$D181="",$B181&lt;1300,$B181&gt;1500,$C181&lt;1,$C181&gt;12,$D181&lt;1,$D181&gt;31),"نامعتبر",RIGHT("0000"&amp;$B181,4)&amp;"/"&amp;RIGHT("00"&amp;$C181,2)&amp;"/"&amp;RIGHT("00"&amp;$D181,2)))</f>
        <v/>
      </c>
      <c r="F181">
        <f>IF(OR($E181="",$E181="نامعتبر"),"",IF(Sync!$Q178="","0000",IF(AND(ISNUMBER(Sync!$Q178),Sync!$Q178&gt;=0,Sync!$Q178&lt;1),RIGHT("00"&amp;HOUR(Sync!$Q178),2)&amp;RIGHT("00"&amp;MINUTE(Sync!$Q178),2),IFERROR(RIGHT("00"&amp;VALUE(LEFT(Sync!$Q178,FIND(":",Sync!$Q178)-1)),2)&amp;RIGHT("00"&amp;VALUE(MID(Sync!$Q178,FIND(":",Sync!$Q178)+1,2)),2),"0000"))))</f>
        <v/>
      </c>
      <c r="G181">
        <f>IF(OR($E181="",$E181="نامعتبر"),"",IF(Sync!$S178="","",Sync!$S178))</f>
        <v/>
      </c>
      <c r="H181">
        <f>IF(OR($E181="",$E181="نامعتبر"),"",IF(Sync!$R178="","",Sync!$R178))</f>
        <v/>
      </c>
      <c r="I181">
        <f>IF(OR($E181="",$E181="نامعتبر"),"",IF(Sync!$T178="","",Sync!$T178))</f>
        <v/>
      </c>
      <c r="J181">
        <f>IF(OR($E181="",$E181="نامعتبر"),"",IF(Sync!$U178="","",Sync!$U178))</f>
        <v/>
      </c>
      <c r="K181">
        <f>IF(OR($E181="",$E181="نامعتبر"),"",IF(Sync!$V178="","",IFERROR(INDEX(SubCodes,MATCH(Sync!$V178,SubTitles,0)),Sync!$V178)))</f>
        <v/>
      </c>
      <c r="L181">
        <f>IF(OR($E181="",$E181="نامعتبر"),"",IF(Sync!$W178="",0,Sync!$W178))</f>
        <v/>
      </c>
      <c r="M181">
        <f>IF(OR($E181="",$E181="نامعتبر"),"",IF(Sync!$X178="",0,Sync!$X178))</f>
        <v/>
      </c>
      <c r="N181">
        <f>IF(OR($E181="",$E181="نامعتبر"),"",IF(AND($J181="هزینه",$K181&lt;&gt;""),1,0))</f>
        <v/>
      </c>
      <c r="O181">
        <f>IF($N181=0,"",LEFT($E181,4)&amp;MID($E181,6,2)&amp;RIGHT($E181,2)&amp;$F181&amp;"|"&amp;"1"&amp;RIGHT("00000"&amp;173,5))</f>
        <v/>
      </c>
      <c r="P181">
        <f>IF($O181="","",COUNTIFS(ExpSub,$K181,ExpKey,"&lt;"&amp;$O181)+1)</f>
        <v/>
      </c>
      <c r="Q181">
        <f>IF($P181="","",$K181&amp;"|"&amp;RIGHT("000000"&amp;$P181,6))</f>
        <v/>
      </c>
    </row>
    <row r="182">
      <c r="A182">
        <f>IF(Sync!$P179="","",Sync!$P179)</f>
        <v/>
      </c>
      <c r="B182">
        <f>IF($A182="","",IF(ISNUMBER($A182),IF(AND($A182&gt;=10000101,$A182&lt;=99991231),INT($A182/10000),""),IFERROR(VALUE(TRIM(LEFT($A182,FIND("/",$A182)-1))),"")))</f>
        <v/>
      </c>
      <c r="C182">
        <f>IF(OR($A182="",$B182=""),"",IF(ISNUMBER($A182),INT(MOD($A182,10000)/100),IFERROR(VALUE(TRIM(LEFT(MID($A182,FIND("/",$A182)+1,20),FIND("/",MID($A182,FIND("/",$A182)+1,20))-1))),"")))</f>
        <v/>
      </c>
      <c r="D182">
        <f>IF(OR($A182="",$B182=""),"",IF(ISNUMBER($A182),MOD($A182,100),IFERROR(VALUE(TRIM(MID(MID($A182,FIND("/",$A182)+1,20),FIND("/",MID($A182,FIND("/",$A182)+1,20))+1,20))),"")))</f>
        <v/>
      </c>
      <c r="E182">
        <f>IF($A182="","",IF(OR($B182="",$C182="",$D182="",$B182&lt;1300,$B182&gt;1500,$C182&lt;1,$C182&gt;12,$D182&lt;1,$D182&gt;31),"نامعتبر",RIGHT("0000"&amp;$B182,4)&amp;"/"&amp;RIGHT("00"&amp;$C182,2)&amp;"/"&amp;RIGHT("00"&amp;$D182,2)))</f>
        <v/>
      </c>
      <c r="F182">
        <f>IF(OR($E182="",$E182="نامعتبر"),"",IF(Sync!$Q179="","0000",IF(AND(ISNUMBER(Sync!$Q179),Sync!$Q179&gt;=0,Sync!$Q179&lt;1),RIGHT("00"&amp;HOUR(Sync!$Q179),2)&amp;RIGHT("00"&amp;MINUTE(Sync!$Q179),2),IFERROR(RIGHT("00"&amp;VALUE(LEFT(Sync!$Q179,FIND(":",Sync!$Q179)-1)),2)&amp;RIGHT("00"&amp;VALUE(MID(Sync!$Q179,FIND(":",Sync!$Q179)+1,2)),2),"0000"))))</f>
        <v/>
      </c>
      <c r="G182">
        <f>IF(OR($E182="",$E182="نامعتبر"),"",IF(Sync!$S179="","",Sync!$S179))</f>
        <v/>
      </c>
      <c r="H182">
        <f>IF(OR($E182="",$E182="نامعتبر"),"",IF(Sync!$R179="","",Sync!$R179))</f>
        <v/>
      </c>
      <c r="I182">
        <f>IF(OR($E182="",$E182="نامعتبر"),"",IF(Sync!$T179="","",Sync!$T179))</f>
        <v/>
      </c>
      <c r="J182">
        <f>IF(OR($E182="",$E182="نامعتبر"),"",IF(Sync!$U179="","",Sync!$U179))</f>
        <v/>
      </c>
      <c r="K182">
        <f>IF(OR($E182="",$E182="نامعتبر"),"",IF(Sync!$V179="","",IFERROR(INDEX(SubCodes,MATCH(Sync!$V179,SubTitles,0)),Sync!$V179)))</f>
        <v/>
      </c>
      <c r="L182">
        <f>IF(OR($E182="",$E182="نامعتبر"),"",IF(Sync!$W179="",0,Sync!$W179))</f>
        <v/>
      </c>
      <c r="M182">
        <f>IF(OR($E182="",$E182="نامعتبر"),"",IF(Sync!$X179="",0,Sync!$X179))</f>
        <v/>
      </c>
      <c r="N182">
        <f>IF(OR($E182="",$E182="نامعتبر"),"",IF(AND($J182="هزینه",$K182&lt;&gt;""),1,0))</f>
        <v/>
      </c>
      <c r="O182">
        <f>IF($N182=0,"",LEFT($E182,4)&amp;MID($E182,6,2)&amp;RIGHT($E182,2)&amp;$F182&amp;"|"&amp;"1"&amp;RIGHT("00000"&amp;174,5))</f>
        <v/>
      </c>
      <c r="P182">
        <f>IF($O182="","",COUNTIFS(ExpSub,$K182,ExpKey,"&lt;"&amp;$O182)+1)</f>
        <v/>
      </c>
      <c r="Q182">
        <f>IF($P182="","",$K182&amp;"|"&amp;RIGHT("000000"&amp;$P182,6))</f>
        <v/>
      </c>
    </row>
    <row r="183">
      <c r="A183">
        <f>IF(Sync!$P180="","",Sync!$P180)</f>
        <v/>
      </c>
      <c r="B183">
        <f>IF($A183="","",IF(ISNUMBER($A183),IF(AND($A183&gt;=10000101,$A183&lt;=99991231),INT($A183/10000),""),IFERROR(VALUE(TRIM(LEFT($A183,FIND("/",$A183)-1))),"")))</f>
        <v/>
      </c>
      <c r="C183">
        <f>IF(OR($A183="",$B183=""),"",IF(ISNUMBER($A183),INT(MOD($A183,10000)/100),IFERROR(VALUE(TRIM(LEFT(MID($A183,FIND("/",$A183)+1,20),FIND("/",MID($A183,FIND("/",$A183)+1,20))-1))),"")))</f>
        <v/>
      </c>
      <c r="D183">
        <f>IF(OR($A183="",$B183=""),"",IF(ISNUMBER($A183),MOD($A183,100),IFERROR(VALUE(TRIM(MID(MID($A183,FIND("/",$A183)+1,20),FIND("/",MID($A183,FIND("/",$A183)+1,20))+1,20))),"")))</f>
        <v/>
      </c>
      <c r="E183">
        <f>IF($A183="","",IF(OR($B183="",$C183="",$D183="",$B183&lt;1300,$B183&gt;1500,$C183&lt;1,$C183&gt;12,$D183&lt;1,$D183&gt;31),"نامعتبر",RIGHT("0000"&amp;$B183,4)&amp;"/"&amp;RIGHT("00"&amp;$C183,2)&amp;"/"&amp;RIGHT("00"&amp;$D183,2)))</f>
        <v/>
      </c>
      <c r="F183">
        <f>IF(OR($E183="",$E183="نامعتبر"),"",IF(Sync!$Q180="","0000",IF(AND(ISNUMBER(Sync!$Q180),Sync!$Q180&gt;=0,Sync!$Q180&lt;1),RIGHT("00"&amp;HOUR(Sync!$Q180),2)&amp;RIGHT("00"&amp;MINUTE(Sync!$Q180),2),IFERROR(RIGHT("00"&amp;VALUE(LEFT(Sync!$Q180,FIND(":",Sync!$Q180)-1)),2)&amp;RIGHT("00"&amp;VALUE(MID(Sync!$Q180,FIND(":",Sync!$Q180)+1,2)),2),"0000"))))</f>
        <v/>
      </c>
      <c r="G183">
        <f>IF(OR($E183="",$E183="نامعتبر"),"",IF(Sync!$S180="","",Sync!$S180))</f>
        <v/>
      </c>
      <c r="H183">
        <f>IF(OR($E183="",$E183="نامعتبر"),"",IF(Sync!$R180="","",Sync!$R180))</f>
        <v/>
      </c>
      <c r="I183">
        <f>IF(OR($E183="",$E183="نامعتبر"),"",IF(Sync!$T180="","",Sync!$T180))</f>
        <v/>
      </c>
      <c r="J183">
        <f>IF(OR($E183="",$E183="نامعتبر"),"",IF(Sync!$U180="","",Sync!$U180))</f>
        <v/>
      </c>
      <c r="K183">
        <f>IF(OR($E183="",$E183="نامعتبر"),"",IF(Sync!$V180="","",IFERROR(INDEX(SubCodes,MATCH(Sync!$V180,SubTitles,0)),Sync!$V180)))</f>
        <v/>
      </c>
      <c r="L183">
        <f>IF(OR($E183="",$E183="نامعتبر"),"",IF(Sync!$W180="",0,Sync!$W180))</f>
        <v/>
      </c>
      <c r="M183">
        <f>IF(OR($E183="",$E183="نامعتبر"),"",IF(Sync!$X180="",0,Sync!$X180))</f>
        <v/>
      </c>
      <c r="N183">
        <f>IF(OR($E183="",$E183="نامعتبر"),"",IF(AND($J183="هزینه",$K183&lt;&gt;""),1,0))</f>
        <v/>
      </c>
      <c r="O183">
        <f>IF($N183=0,"",LEFT($E183,4)&amp;MID($E183,6,2)&amp;RIGHT($E183,2)&amp;$F183&amp;"|"&amp;"1"&amp;RIGHT("00000"&amp;175,5))</f>
        <v/>
      </c>
      <c r="P183">
        <f>IF($O183="","",COUNTIFS(ExpSub,$K183,ExpKey,"&lt;"&amp;$O183)+1)</f>
        <v/>
      </c>
      <c r="Q183">
        <f>IF($P183="","",$K183&amp;"|"&amp;RIGHT("000000"&amp;$P183,6))</f>
        <v/>
      </c>
    </row>
    <row r="184">
      <c r="A184">
        <f>IF(Sync!$P181="","",Sync!$P181)</f>
        <v/>
      </c>
      <c r="B184">
        <f>IF($A184="","",IF(ISNUMBER($A184),IF(AND($A184&gt;=10000101,$A184&lt;=99991231),INT($A184/10000),""),IFERROR(VALUE(TRIM(LEFT($A184,FIND("/",$A184)-1))),"")))</f>
        <v/>
      </c>
      <c r="C184">
        <f>IF(OR($A184="",$B184=""),"",IF(ISNUMBER($A184),INT(MOD($A184,10000)/100),IFERROR(VALUE(TRIM(LEFT(MID($A184,FIND("/",$A184)+1,20),FIND("/",MID($A184,FIND("/",$A184)+1,20))-1))),"")))</f>
        <v/>
      </c>
      <c r="D184">
        <f>IF(OR($A184="",$B184=""),"",IF(ISNUMBER($A184),MOD($A184,100),IFERROR(VALUE(TRIM(MID(MID($A184,FIND("/",$A184)+1,20),FIND("/",MID($A184,FIND("/",$A184)+1,20))+1,20))),"")))</f>
        <v/>
      </c>
      <c r="E184">
        <f>IF($A184="","",IF(OR($B184="",$C184="",$D184="",$B184&lt;1300,$B184&gt;1500,$C184&lt;1,$C184&gt;12,$D184&lt;1,$D184&gt;31),"نامعتبر",RIGHT("0000"&amp;$B184,4)&amp;"/"&amp;RIGHT("00"&amp;$C184,2)&amp;"/"&amp;RIGHT("00"&amp;$D184,2)))</f>
        <v/>
      </c>
      <c r="F184">
        <f>IF(OR($E184="",$E184="نامعتبر"),"",IF(Sync!$Q181="","0000",IF(AND(ISNUMBER(Sync!$Q181),Sync!$Q181&gt;=0,Sync!$Q181&lt;1),RIGHT("00"&amp;HOUR(Sync!$Q181),2)&amp;RIGHT("00"&amp;MINUTE(Sync!$Q181),2),IFERROR(RIGHT("00"&amp;VALUE(LEFT(Sync!$Q181,FIND(":",Sync!$Q181)-1)),2)&amp;RIGHT("00"&amp;VALUE(MID(Sync!$Q181,FIND(":",Sync!$Q181)+1,2)),2),"0000"))))</f>
        <v/>
      </c>
      <c r="G184">
        <f>IF(OR($E184="",$E184="نامعتبر"),"",IF(Sync!$S181="","",Sync!$S181))</f>
        <v/>
      </c>
      <c r="H184">
        <f>IF(OR($E184="",$E184="نامعتبر"),"",IF(Sync!$R181="","",Sync!$R181))</f>
        <v/>
      </c>
      <c r="I184">
        <f>IF(OR($E184="",$E184="نامعتبر"),"",IF(Sync!$T181="","",Sync!$T181))</f>
        <v/>
      </c>
      <c r="J184">
        <f>IF(OR($E184="",$E184="نامعتبر"),"",IF(Sync!$U181="","",Sync!$U181))</f>
        <v/>
      </c>
      <c r="K184">
        <f>IF(OR($E184="",$E184="نامعتبر"),"",IF(Sync!$V181="","",IFERROR(INDEX(SubCodes,MATCH(Sync!$V181,SubTitles,0)),Sync!$V181)))</f>
        <v/>
      </c>
      <c r="L184">
        <f>IF(OR($E184="",$E184="نامعتبر"),"",IF(Sync!$W181="",0,Sync!$W181))</f>
        <v/>
      </c>
      <c r="M184">
        <f>IF(OR($E184="",$E184="نامعتبر"),"",IF(Sync!$X181="",0,Sync!$X181))</f>
        <v/>
      </c>
      <c r="N184">
        <f>IF(OR($E184="",$E184="نامعتبر"),"",IF(AND($J184="هزینه",$K184&lt;&gt;""),1,0))</f>
        <v/>
      </c>
      <c r="O184">
        <f>IF($N184=0,"",LEFT($E184,4)&amp;MID($E184,6,2)&amp;RIGHT($E184,2)&amp;$F184&amp;"|"&amp;"1"&amp;RIGHT("00000"&amp;176,5))</f>
        <v/>
      </c>
      <c r="P184">
        <f>IF($O184="","",COUNTIFS(ExpSub,$K184,ExpKey,"&lt;"&amp;$O184)+1)</f>
        <v/>
      </c>
      <c r="Q184">
        <f>IF($P184="","",$K184&amp;"|"&amp;RIGHT("000000"&amp;$P184,6))</f>
        <v/>
      </c>
    </row>
    <row r="185">
      <c r="A185">
        <f>IF(Sync!$P182="","",Sync!$P182)</f>
        <v/>
      </c>
      <c r="B185">
        <f>IF($A185="","",IF(ISNUMBER($A185),IF(AND($A185&gt;=10000101,$A185&lt;=99991231),INT($A185/10000),""),IFERROR(VALUE(TRIM(LEFT($A185,FIND("/",$A185)-1))),"")))</f>
        <v/>
      </c>
      <c r="C185">
        <f>IF(OR($A185="",$B185=""),"",IF(ISNUMBER($A185),INT(MOD($A185,10000)/100),IFERROR(VALUE(TRIM(LEFT(MID($A185,FIND("/",$A185)+1,20),FIND("/",MID($A185,FIND("/",$A185)+1,20))-1))),"")))</f>
        <v/>
      </c>
      <c r="D185">
        <f>IF(OR($A185="",$B185=""),"",IF(ISNUMBER($A185),MOD($A185,100),IFERROR(VALUE(TRIM(MID(MID($A185,FIND("/",$A185)+1,20),FIND("/",MID($A185,FIND("/",$A185)+1,20))+1,20))),"")))</f>
        <v/>
      </c>
      <c r="E185">
        <f>IF($A185="","",IF(OR($B185="",$C185="",$D185="",$B185&lt;1300,$B185&gt;1500,$C185&lt;1,$C185&gt;12,$D185&lt;1,$D185&gt;31),"نامعتبر",RIGHT("0000"&amp;$B185,4)&amp;"/"&amp;RIGHT("00"&amp;$C185,2)&amp;"/"&amp;RIGHT("00"&amp;$D185,2)))</f>
        <v/>
      </c>
      <c r="F185">
        <f>IF(OR($E185="",$E185="نامعتبر"),"",IF(Sync!$Q182="","0000",IF(AND(ISNUMBER(Sync!$Q182),Sync!$Q182&gt;=0,Sync!$Q182&lt;1),RIGHT("00"&amp;HOUR(Sync!$Q182),2)&amp;RIGHT("00"&amp;MINUTE(Sync!$Q182),2),IFERROR(RIGHT("00"&amp;VALUE(LEFT(Sync!$Q182,FIND(":",Sync!$Q182)-1)),2)&amp;RIGHT("00"&amp;VALUE(MID(Sync!$Q182,FIND(":",Sync!$Q182)+1,2)),2),"0000"))))</f>
        <v/>
      </c>
      <c r="G185">
        <f>IF(OR($E185="",$E185="نامعتبر"),"",IF(Sync!$S182="","",Sync!$S182))</f>
        <v/>
      </c>
      <c r="H185">
        <f>IF(OR($E185="",$E185="نامعتبر"),"",IF(Sync!$R182="","",Sync!$R182))</f>
        <v/>
      </c>
      <c r="I185">
        <f>IF(OR($E185="",$E185="نامعتبر"),"",IF(Sync!$T182="","",Sync!$T182))</f>
        <v/>
      </c>
      <c r="J185">
        <f>IF(OR($E185="",$E185="نامعتبر"),"",IF(Sync!$U182="","",Sync!$U182))</f>
        <v/>
      </c>
      <c r="K185">
        <f>IF(OR($E185="",$E185="نامعتبر"),"",IF(Sync!$V182="","",IFERROR(INDEX(SubCodes,MATCH(Sync!$V182,SubTitles,0)),Sync!$V182)))</f>
        <v/>
      </c>
      <c r="L185">
        <f>IF(OR($E185="",$E185="نامعتبر"),"",IF(Sync!$W182="",0,Sync!$W182))</f>
        <v/>
      </c>
      <c r="M185">
        <f>IF(OR($E185="",$E185="نامعتبر"),"",IF(Sync!$X182="",0,Sync!$X182))</f>
        <v/>
      </c>
      <c r="N185">
        <f>IF(OR($E185="",$E185="نامعتبر"),"",IF(AND($J185="هزینه",$K185&lt;&gt;""),1,0))</f>
        <v/>
      </c>
      <c r="O185">
        <f>IF($N185=0,"",LEFT($E185,4)&amp;MID($E185,6,2)&amp;RIGHT($E185,2)&amp;$F185&amp;"|"&amp;"1"&amp;RIGHT("00000"&amp;177,5))</f>
        <v/>
      </c>
      <c r="P185">
        <f>IF($O185="","",COUNTIFS(ExpSub,$K185,ExpKey,"&lt;"&amp;$O185)+1)</f>
        <v/>
      </c>
      <c r="Q185">
        <f>IF($P185="","",$K185&amp;"|"&amp;RIGHT("000000"&amp;$P185,6))</f>
        <v/>
      </c>
    </row>
    <row r="186">
      <c r="A186">
        <f>IF(Sync!$P183="","",Sync!$P183)</f>
        <v/>
      </c>
      <c r="B186">
        <f>IF($A186="","",IF(ISNUMBER($A186),IF(AND($A186&gt;=10000101,$A186&lt;=99991231),INT($A186/10000),""),IFERROR(VALUE(TRIM(LEFT($A186,FIND("/",$A186)-1))),"")))</f>
        <v/>
      </c>
      <c r="C186">
        <f>IF(OR($A186="",$B186=""),"",IF(ISNUMBER($A186),INT(MOD($A186,10000)/100),IFERROR(VALUE(TRIM(LEFT(MID($A186,FIND("/",$A186)+1,20),FIND("/",MID($A186,FIND("/",$A186)+1,20))-1))),"")))</f>
        <v/>
      </c>
      <c r="D186">
        <f>IF(OR($A186="",$B186=""),"",IF(ISNUMBER($A186),MOD($A186,100),IFERROR(VALUE(TRIM(MID(MID($A186,FIND("/",$A186)+1,20),FIND("/",MID($A186,FIND("/",$A186)+1,20))+1,20))),"")))</f>
        <v/>
      </c>
      <c r="E186">
        <f>IF($A186="","",IF(OR($B186="",$C186="",$D186="",$B186&lt;1300,$B186&gt;1500,$C186&lt;1,$C186&gt;12,$D186&lt;1,$D186&gt;31),"نامعتبر",RIGHT("0000"&amp;$B186,4)&amp;"/"&amp;RIGHT("00"&amp;$C186,2)&amp;"/"&amp;RIGHT("00"&amp;$D186,2)))</f>
        <v/>
      </c>
      <c r="F186">
        <f>IF(OR($E186="",$E186="نامعتبر"),"",IF(Sync!$Q183="","0000",IF(AND(ISNUMBER(Sync!$Q183),Sync!$Q183&gt;=0,Sync!$Q183&lt;1),RIGHT("00"&amp;HOUR(Sync!$Q183),2)&amp;RIGHT("00"&amp;MINUTE(Sync!$Q183),2),IFERROR(RIGHT("00"&amp;VALUE(LEFT(Sync!$Q183,FIND(":",Sync!$Q183)-1)),2)&amp;RIGHT("00"&amp;VALUE(MID(Sync!$Q183,FIND(":",Sync!$Q183)+1,2)),2),"0000"))))</f>
        <v/>
      </c>
      <c r="G186">
        <f>IF(OR($E186="",$E186="نامعتبر"),"",IF(Sync!$S183="","",Sync!$S183))</f>
        <v/>
      </c>
      <c r="H186">
        <f>IF(OR($E186="",$E186="نامعتبر"),"",IF(Sync!$R183="","",Sync!$R183))</f>
        <v/>
      </c>
      <c r="I186">
        <f>IF(OR($E186="",$E186="نامعتبر"),"",IF(Sync!$T183="","",Sync!$T183))</f>
        <v/>
      </c>
      <c r="J186">
        <f>IF(OR($E186="",$E186="نامعتبر"),"",IF(Sync!$U183="","",Sync!$U183))</f>
        <v/>
      </c>
      <c r="K186">
        <f>IF(OR($E186="",$E186="نامعتبر"),"",IF(Sync!$V183="","",IFERROR(INDEX(SubCodes,MATCH(Sync!$V183,SubTitles,0)),Sync!$V183)))</f>
        <v/>
      </c>
      <c r="L186">
        <f>IF(OR($E186="",$E186="نامعتبر"),"",IF(Sync!$W183="",0,Sync!$W183))</f>
        <v/>
      </c>
      <c r="M186">
        <f>IF(OR($E186="",$E186="نامعتبر"),"",IF(Sync!$X183="",0,Sync!$X183))</f>
        <v/>
      </c>
      <c r="N186">
        <f>IF(OR($E186="",$E186="نامعتبر"),"",IF(AND($J186="هزینه",$K186&lt;&gt;""),1,0))</f>
        <v/>
      </c>
      <c r="O186">
        <f>IF($N186=0,"",LEFT($E186,4)&amp;MID($E186,6,2)&amp;RIGHT($E186,2)&amp;$F186&amp;"|"&amp;"1"&amp;RIGHT("00000"&amp;178,5))</f>
        <v/>
      </c>
      <c r="P186">
        <f>IF($O186="","",COUNTIFS(ExpSub,$K186,ExpKey,"&lt;"&amp;$O186)+1)</f>
        <v/>
      </c>
      <c r="Q186">
        <f>IF($P186="","",$K186&amp;"|"&amp;RIGHT("000000"&amp;$P186,6))</f>
        <v/>
      </c>
    </row>
    <row r="187">
      <c r="A187">
        <f>IF(Sync!$P184="","",Sync!$P184)</f>
        <v/>
      </c>
      <c r="B187">
        <f>IF($A187="","",IF(ISNUMBER($A187),IF(AND($A187&gt;=10000101,$A187&lt;=99991231),INT($A187/10000),""),IFERROR(VALUE(TRIM(LEFT($A187,FIND("/",$A187)-1))),"")))</f>
        <v/>
      </c>
      <c r="C187">
        <f>IF(OR($A187="",$B187=""),"",IF(ISNUMBER($A187),INT(MOD($A187,10000)/100),IFERROR(VALUE(TRIM(LEFT(MID($A187,FIND("/",$A187)+1,20),FIND("/",MID($A187,FIND("/",$A187)+1,20))-1))),"")))</f>
        <v/>
      </c>
      <c r="D187">
        <f>IF(OR($A187="",$B187=""),"",IF(ISNUMBER($A187),MOD($A187,100),IFERROR(VALUE(TRIM(MID(MID($A187,FIND("/",$A187)+1,20),FIND("/",MID($A187,FIND("/",$A187)+1,20))+1,20))),"")))</f>
        <v/>
      </c>
      <c r="E187">
        <f>IF($A187="","",IF(OR($B187="",$C187="",$D187="",$B187&lt;1300,$B187&gt;1500,$C187&lt;1,$C187&gt;12,$D187&lt;1,$D187&gt;31),"نامعتبر",RIGHT("0000"&amp;$B187,4)&amp;"/"&amp;RIGHT("00"&amp;$C187,2)&amp;"/"&amp;RIGHT("00"&amp;$D187,2)))</f>
        <v/>
      </c>
      <c r="F187">
        <f>IF(OR($E187="",$E187="نامعتبر"),"",IF(Sync!$Q184="","0000",IF(AND(ISNUMBER(Sync!$Q184),Sync!$Q184&gt;=0,Sync!$Q184&lt;1),RIGHT("00"&amp;HOUR(Sync!$Q184),2)&amp;RIGHT("00"&amp;MINUTE(Sync!$Q184),2),IFERROR(RIGHT("00"&amp;VALUE(LEFT(Sync!$Q184,FIND(":",Sync!$Q184)-1)),2)&amp;RIGHT("00"&amp;VALUE(MID(Sync!$Q184,FIND(":",Sync!$Q184)+1,2)),2),"0000"))))</f>
        <v/>
      </c>
      <c r="G187">
        <f>IF(OR($E187="",$E187="نامعتبر"),"",IF(Sync!$S184="","",Sync!$S184))</f>
        <v/>
      </c>
      <c r="H187">
        <f>IF(OR($E187="",$E187="نامعتبر"),"",IF(Sync!$R184="","",Sync!$R184))</f>
        <v/>
      </c>
      <c r="I187">
        <f>IF(OR($E187="",$E187="نامعتبر"),"",IF(Sync!$T184="","",Sync!$T184))</f>
        <v/>
      </c>
      <c r="J187">
        <f>IF(OR($E187="",$E187="نامعتبر"),"",IF(Sync!$U184="","",Sync!$U184))</f>
        <v/>
      </c>
      <c r="K187">
        <f>IF(OR($E187="",$E187="نامعتبر"),"",IF(Sync!$V184="","",IFERROR(INDEX(SubCodes,MATCH(Sync!$V184,SubTitles,0)),Sync!$V184)))</f>
        <v/>
      </c>
      <c r="L187">
        <f>IF(OR($E187="",$E187="نامعتبر"),"",IF(Sync!$W184="",0,Sync!$W184))</f>
        <v/>
      </c>
      <c r="M187">
        <f>IF(OR($E187="",$E187="نامعتبر"),"",IF(Sync!$X184="",0,Sync!$X184))</f>
        <v/>
      </c>
      <c r="N187">
        <f>IF(OR($E187="",$E187="نامعتبر"),"",IF(AND($J187="هزینه",$K187&lt;&gt;""),1,0))</f>
        <v/>
      </c>
      <c r="O187">
        <f>IF($N187=0,"",LEFT($E187,4)&amp;MID($E187,6,2)&amp;RIGHT($E187,2)&amp;$F187&amp;"|"&amp;"1"&amp;RIGHT("00000"&amp;179,5))</f>
        <v/>
      </c>
      <c r="P187">
        <f>IF($O187="","",COUNTIFS(ExpSub,$K187,ExpKey,"&lt;"&amp;$O187)+1)</f>
        <v/>
      </c>
      <c r="Q187">
        <f>IF($P187="","",$K187&amp;"|"&amp;RIGHT("000000"&amp;$P187,6))</f>
        <v/>
      </c>
    </row>
    <row r="188">
      <c r="A188">
        <f>IF(Sync!$P185="","",Sync!$P185)</f>
        <v/>
      </c>
      <c r="B188">
        <f>IF($A188="","",IF(ISNUMBER($A188),IF(AND($A188&gt;=10000101,$A188&lt;=99991231),INT($A188/10000),""),IFERROR(VALUE(TRIM(LEFT($A188,FIND("/",$A188)-1))),"")))</f>
        <v/>
      </c>
      <c r="C188">
        <f>IF(OR($A188="",$B188=""),"",IF(ISNUMBER($A188),INT(MOD($A188,10000)/100),IFERROR(VALUE(TRIM(LEFT(MID($A188,FIND("/",$A188)+1,20),FIND("/",MID($A188,FIND("/",$A188)+1,20))-1))),"")))</f>
        <v/>
      </c>
      <c r="D188">
        <f>IF(OR($A188="",$B188=""),"",IF(ISNUMBER($A188),MOD($A188,100),IFERROR(VALUE(TRIM(MID(MID($A188,FIND("/",$A188)+1,20),FIND("/",MID($A188,FIND("/",$A188)+1,20))+1,20))),"")))</f>
        <v/>
      </c>
      <c r="E188">
        <f>IF($A188="","",IF(OR($B188="",$C188="",$D188="",$B188&lt;1300,$B188&gt;1500,$C188&lt;1,$C188&gt;12,$D188&lt;1,$D188&gt;31),"نامعتبر",RIGHT("0000"&amp;$B188,4)&amp;"/"&amp;RIGHT("00"&amp;$C188,2)&amp;"/"&amp;RIGHT("00"&amp;$D188,2)))</f>
        <v/>
      </c>
      <c r="F188">
        <f>IF(OR($E188="",$E188="نامعتبر"),"",IF(Sync!$Q185="","0000",IF(AND(ISNUMBER(Sync!$Q185),Sync!$Q185&gt;=0,Sync!$Q185&lt;1),RIGHT("00"&amp;HOUR(Sync!$Q185),2)&amp;RIGHT("00"&amp;MINUTE(Sync!$Q185),2),IFERROR(RIGHT("00"&amp;VALUE(LEFT(Sync!$Q185,FIND(":",Sync!$Q185)-1)),2)&amp;RIGHT("00"&amp;VALUE(MID(Sync!$Q185,FIND(":",Sync!$Q185)+1,2)),2),"0000"))))</f>
        <v/>
      </c>
      <c r="G188">
        <f>IF(OR($E188="",$E188="نامعتبر"),"",IF(Sync!$S185="","",Sync!$S185))</f>
        <v/>
      </c>
      <c r="H188">
        <f>IF(OR($E188="",$E188="نامعتبر"),"",IF(Sync!$R185="","",Sync!$R185))</f>
        <v/>
      </c>
      <c r="I188">
        <f>IF(OR($E188="",$E188="نامعتبر"),"",IF(Sync!$T185="","",Sync!$T185))</f>
        <v/>
      </c>
      <c r="J188">
        <f>IF(OR($E188="",$E188="نامعتبر"),"",IF(Sync!$U185="","",Sync!$U185))</f>
        <v/>
      </c>
      <c r="K188">
        <f>IF(OR($E188="",$E188="نامعتبر"),"",IF(Sync!$V185="","",IFERROR(INDEX(SubCodes,MATCH(Sync!$V185,SubTitles,0)),Sync!$V185)))</f>
        <v/>
      </c>
      <c r="L188">
        <f>IF(OR($E188="",$E188="نامعتبر"),"",IF(Sync!$W185="",0,Sync!$W185))</f>
        <v/>
      </c>
      <c r="M188">
        <f>IF(OR($E188="",$E188="نامعتبر"),"",IF(Sync!$X185="",0,Sync!$X185))</f>
        <v/>
      </c>
      <c r="N188">
        <f>IF(OR($E188="",$E188="نامعتبر"),"",IF(AND($J188="هزینه",$K188&lt;&gt;""),1,0))</f>
        <v/>
      </c>
      <c r="O188">
        <f>IF($N188=0,"",LEFT($E188,4)&amp;MID($E188,6,2)&amp;RIGHT($E188,2)&amp;$F188&amp;"|"&amp;"1"&amp;RIGHT("00000"&amp;180,5))</f>
        <v/>
      </c>
      <c r="P188">
        <f>IF($O188="","",COUNTIFS(ExpSub,$K188,ExpKey,"&lt;"&amp;$O188)+1)</f>
        <v/>
      </c>
      <c r="Q188">
        <f>IF($P188="","",$K188&amp;"|"&amp;RIGHT("000000"&amp;$P188,6))</f>
        <v/>
      </c>
    </row>
    <row r="189">
      <c r="A189">
        <f>IF(Sync!$P186="","",Sync!$P186)</f>
        <v/>
      </c>
      <c r="B189">
        <f>IF($A189="","",IF(ISNUMBER($A189),IF(AND($A189&gt;=10000101,$A189&lt;=99991231),INT($A189/10000),""),IFERROR(VALUE(TRIM(LEFT($A189,FIND("/",$A189)-1))),"")))</f>
        <v/>
      </c>
      <c r="C189">
        <f>IF(OR($A189="",$B189=""),"",IF(ISNUMBER($A189),INT(MOD($A189,10000)/100),IFERROR(VALUE(TRIM(LEFT(MID($A189,FIND("/",$A189)+1,20),FIND("/",MID($A189,FIND("/",$A189)+1,20))-1))),"")))</f>
        <v/>
      </c>
      <c r="D189">
        <f>IF(OR($A189="",$B189=""),"",IF(ISNUMBER($A189),MOD($A189,100),IFERROR(VALUE(TRIM(MID(MID($A189,FIND("/",$A189)+1,20),FIND("/",MID($A189,FIND("/",$A189)+1,20))+1,20))),"")))</f>
        <v/>
      </c>
      <c r="E189">
        <f>IF($A189="","",IF(OR($B189="",$C189="",$D189="",$B189&lt;1300,$B189&gt;1500,$C189&lt;1,$C189&gt;12,$D189&lt;1,$D189&gt;31),"نامعتبر",RIGHT("0000"&amp;$B189,4)&amp;"/"&amp;RIGHT("00"&amp;$C189,2)&amp;"/"&amp;RIGHT("00"&amp;$D189,2)))</f>
        <v/>
      </c>
      <c r="F189">
        <f>IF(OR($E189="",$E189="نامعتبر"),"",IF(Sync!$Q186="","0000",IF(AND(ISNUMBER(Sync!$Q186),Sync!$Q186&gt;=0,Sync!$Q186&lt;1),RIGHT("00"&amp;HOUR(Sync!$Q186),2)&amp;RIGHT("00"&amp;MINUTE(Sync!$Q186),2),IFERROR(RIGHT("00"&amp;VALUE(LEFT(Sync!$Q186,FIND(":",Sync!$Q186)-1)),2)&amp;RIGHT("00"&amp;VALUE(MID(Sync!$Q186,FIND(":",Sync!$Q186)+1,2)),2),"0000"))))</f>
        <v/>
      </c>
      <c r="G189">
        <f>IF(OR($E189="",$E189="نامعتبر"),"",IF(Sync!$S186="","",Sync!$S186))</f>
        <v/>
      </c>
      <c r="H189">
        <f>IF(OR($E189="",$E189="نامعتبر"),"",IF(Sync!$R186="","",Sync!$R186))</f>
        <v/>
      </c>
      <c r="I189">
        <f>IF(OR($E189="",$E189="نامعتبر"),"",IF(Sync!$T186="","",Sync!$T186))</f>
        <v/>
      </c>
      <c r="J189">
        <f>IF(OR($E189="",$E189="نامعتبر"),"",IF(Sync!$U186="","",Sync!$U186))</f>
        <v/>
      </c>
      <c r="K189">
        <f>IF(OR($E189="",$E189="نامعتبر"),"",IF(Sync!$V186="","",IFERROR(INDEX(SubCodes,MATCH(Sync!$V186,SubTitles,0)),Sync!$V186)))</f>
        <v/>
      </c>
      <c r="L189">
        <f>IF(OR($E189="",$E189="نامعتبر"),"",IF(Sync!$W186="",0,Sync!$W186))</f>
        <v/>
      </c>
      <c r="M189">
        <f>IF(OR($E189="",$E189="نامعتبر"),"",IF(Sync!$X186="",0,Sync!$X186))</f>
        <v/>
      </c>
      <c r="N189">
        <f>IF(OR($E189="",$E189="نامعتبر"),"",IF(AND($J189="هزینه",$K189&lt;&gt;""),1,0))</f>
        <v/>
      </c>
      <c r="O189">
        <f>IF($N189=0,"",LEFT($E189,4)&amp;MID($E189,6,2)&amp;RIGHT($E189,2)&amp;$F189&amp;"|"&amp;"1"&amp;RIGHT("00000"&amp;181,5))</f>
        <v/>
      </c>
      <c r="P189">
        <f>IF($O189="","",COUNTIFS(ExpSub,$K189,ExpKey,"&lt;"&amp;$O189)+1)</f>
        <v/>
      </c>
      <c r="Q189">
        <f>IF($P189="","",$K189&amp;"|"&amp;RIGHT("000000"&amp;$P189,6))</f>
        <v/>
      </c>
    </row>
    <row r="190">
      <c r="A190">
        <f>IF(Sync!$P187="","",Sync!$P187)</f>
        <v/>
      </c>
      <c r="B190">
        <f>IF($A190="","",IF(ISNUMBER($A190),IF(AND($A190&gt;=10000101,$A190&lt;=99991231),INT($A190/10000),""),IFERROR(VALUE(TRIM(LEFT($A190,FIND("/",$A190)-1))),"")))</f>
        <v/>
      </c>
      <c r="C190">
        <f>IF(OR($A190="",$B190=""),"",IF(ISNUMBER($A190),INT(MOD($A190,10000)/100),IFERROR(VALUE(TRIM(LEFT(MID($A190,FIND("/",$A190)+1,20),FIND("/",MID($A190,FIND("/",$A190)+1,20))-1))),"")))</f>
        <v/>
      </c>
      <c r="D190">
        <f>IF(OR($A190="",$B190=""),"",IF(ISNUMBER($A190),MOD($A190,100),IFERROR(VALUE(TRIM(MID(MID($A190,FIND("/",$A190)+1,20),FIND("/",MID($A190,FIND("/",$A190)+1,20))+1,20))),"")))</f>
        <v/>
      </c>
      <c r="E190">
        <f>IF($A190="","",IF(OR($B190="",$C190="",$D190="",$B190&lt;1300,$B190&gt;1500,$C190&lt;1,$C190&gt;12,$D190&lt;1,$D190&gt;31),"نامعتبر",RIGHT("0000"&amp;$B190,4)&amp;"/"&amp;RIGHT("00"&amp;$C190,2)&amp;"/"&amp;RIGHT("00"&amp;$D190,2)))</f>
        <v/>
      </c>
      <c r="F190">
        <f>IF(OR($E190="",$E190="نامعتبر"),"",IF(Sync!$Q187="","0000",IF(AND(ISNUMBER(Sync!$Q187),Sync!$Q187&gt;=0,Sync!$Q187&lt;1),RIGHT("00"&amp;HOUR(Sync!$Q187),2)&amp;RIGHT("00"&amp;MINUTE(Sync!$Q187),2),IFERROR(RIGHT("00"&amp;VALUE(LEFT(Sync!$Q187,FIND(":",Sync!$Q187)-1)),2)&amp;RIGHT("00"&amp;VALUE(MID(Sync!$Q187,FIND(":",Sync!$Q187)+1,2)),2),"0000"))))</f>
        <v/>
      </c>
      <c r="G190">
        <f>IF(OR($E190="",$E190="نامعتبر"),"",IF(Sync!$S187="","",Sync!$S187))</f>
        <v/>
      </c>
      <c r="H190">
        <f>IF(OR($E190="",$E190="نامعتبر"),"",IF(Sync!$R187="","",Sync!$R187))</f>
        <v/>
      </c>
      <c r="I190">
        <f>IF(OR($E190="",$E190="نامعتبر"),"",IF(Sync!$T187="","",Sync!$T187))</f>
        <v/>
      </c>
      <c r="J190">
        <f>IF(OR($E190="",$E190="نامعتبر"),"",IF(Sync!$U187="","",Sync!$U187))</f>
        <v/>
      </c>
      <c r="K190">
        <f>IF(OR($E190="",$E190="نامعتبر"),"",IF(Sync!$V187="","",IFERROR(INDEX(SubCodes,MATCH(Sync!$V187,SubTitles,0)),Sync!$V187)))</f>
        <v/>
      </c>
      <c r="L190">
        <f>IF(OR($E190="",$E190="نامعتبر"),"",IF(Sync!$W187="",0,Sync!$W187))</f>
        <v/>
      </c>
      <c r="M190">
        <f>IF(OR($E190="",$E190="نامعتبر"),"",IF(Sync!$X187="",0,Sync!$X187))</f>
        <v/>
      </c>
      <c r="N190">
        <f>IF(OR($E190="",$E190="نامعتبر"),"",IF(AND($J190="هزینه",$K190&lt;&gt;""),1,0))</f>
        <v/>
      </c>
      <c r="O190">
        <f>IF($N190=0,"",LEFT($E190,4)&amp;MID($E190,6,2)&amp;RIGHT($E190,2)&amp;$F190&amp;"|"&amp;"1"&amp;RIGHT("00000"&amp;182,5))</f>
        <v/>
      </c>
      <c r="P190">
        <f>IF($O190="","",COUNTIFS(ExpSub,$K190,ExpKey,"&lt;"&amp;$O190)+1)</f>
        <v/>
      </c>
      <c r="Q190">
        <f>IF($P190="","",$K190&amp;"|"&amp;RIGHT("000000"&amp;$P190,6))</f>
        <v/>
      </c>
    </row>
    <row r="191">
      <c r="A191">
        <f>IF(Sync!$P188="","",Sync!$P188)</f>
        <v/>
      </c>
      <c r="B191">
        <f>IF($A191="","",IF(ISNUMBER($A191),IF(AND($A191&gt;=10000101,$A191&lt;=99991231),INT($A191/10000),""),IFERROR(VALUE(TRIM(LEFT($A191,FIND("/",$A191)-1))),"")))</f>
        <v/>
      </c>
      <c r="C191">
        <f>IF(OR($A191="",$B191=""),"",IF(ISNUMBER($A191),INT(MOD($A191,10000)/100),IFERROR(VALUE(TRIM(LEFT(MID($A191,FIND("/",$A191)+1,20),FIND("/",MID($A191,FIND("/",$A191)+1,20))-1))),"")))</f>
        <v/>
      </c>
      <c r="D191">
        <f>IF(OR($A191="",$B191=""),"",IF(ISNUMBER($A191),MOD($A191,100),IFERROR(VALUE(TRIM(MID(MID($A191,FIND("/",$A191)+1,20),FIND("/",MID($A191,FIND("/",$A191)+1,20))+1,20))),"")))</f>
        <v/>
      </c>
      <c r="E191">
        <f>IF($A191="","",IF(OR($B191="",$C191="",$D191="",$B191&lt;1300,$B191&gt;1500,$C191&lt;1,$C191&gt;12,$D191&lt;1,$D191&gt;31),"نامعتبر",RIGHT("0000"&amp;$B191,4)&amp;"/"&amp;RIGHT("00"&amp;$C191,2)&amp;"/"&amp;RIGHT("00"&amp;$D191,2)))</f>
        <v/>
      </c>
      <c r="F191">
        <f>IF(OR($E191="",$E191="نامعتبر"),"",IF(Sync!$Q188="","0000",IF(AND(ISNUMBER(Sync!$Q188),Sync!$Q188&gt;=0,Sync!$Q188&lt;1),RIGHT("00"&amp;HOUR(Sync!$Q188),2)&amp;RIGHT("00"&amp;MINUTE(Sync!$Q188),2),IFERROR(RIGHT("00"&amp;VALUE(LEFT(Sync!$Q188,FIND(":",Sync!$Q188)-1)),2)&amp;RIGHT("00"&amp;VALUE(MID(Sync!$Q188,FIND(":",Sync!$Q188)+1,2)),2),"0000"))))</f>
        <v/>
      </c>
      <c r="G191">
        <f>IF(OR($E191="",$E191="نامعتبر"),"",IF(Sync!$S188="","",Sync!$S188))</f>
        <v/>
      </c>
      <c r="H191">
        <f>IF(OR($E191="",$E191="نامعتبر"),"",IF(Sync!$R188="","",Sync!$R188))</f>
        <v/>
      </c>
      <c r="I191">
        <f>IF(OR($E191="",$E191="نامعتبر"),"",IF(Sync!$T188="","",Sync!$T188))</f>
        <v/>
      </c>
      <c r="J191">
        <f>IF(OR($E191="",$E191="نامعتبر"),"",IF(Sync!$U188="","",Sync!$U188))</f>
        <v/>
      </c>
      <c r="K191">
        <f>IF(OR($E191="",$E191="نامعتبر"),"",IF(Sync!$V188="","",IFERROR(INDEX(SubCodes,MATCH(Sync!$V188,SubTitles,0)),Sync!$V188)))</f>
        <v/>
      </c>
      <c r="L191">
        <f>IF(OR($E191="",$E191="نامعتبر"),"",IF(Sync!$W188="",0,Sync!$W188))</f>
        <v/>
      </c>
      <c r="M191">
        <f>IF(OR($E191="",$E191="نامعتبر"),"",IF(Sync!$X188="",0,Sync!$X188))</f>
        <v/>
      </c>
      <c r="N191">
        <f>IF(OR($E191="",$E191="نامعتبر"),"",IF(AND($J191="هزینه",$K191&lt;&gt;""),1,0))</f>
        <v/>
      </c>
      <c r="O191">
        <f>IF($N191=0,"",LEFT($E191,4)&amp;MID($E191,6,2)&amp;RIGHT($E191,2)&amp;$F191&amp;"|"&amp;"1"&amp;RIGHT("00000"&amp;183,5))</f>
        <v/>
      </c>
      <c r="P191">
        <f>IF($O191="","",COUNTIFS(ExpSub,$K191,ExpKey,"&lt;"&amp;$O191)+1)</f>
        <v/>
      </c>
      <c r="Q191">
        <f>IF($P191="","",$K191&amp;"|"&amp;RIGHT("000000"&amp;$P191,6))</f>
        <v/>
      </c>
    </row>
    <row r="192">
      <c r="A192">
        <f>IF(Sync!$P189="","",Sync!$P189)</f>
        <v/>
      </c>
      <c r="B192">
        <f>IF($A192="","",IF(ISNUMBER($A192),IF(AND($A192&gt;=10000101,$A192&lt;=99991231),INT($A192/10000),""),IFERROR(VALUE(TRIM(LEFT($A192,FIND("/",$A192)-1))),"")))</f>
        <v/>
      </c>
      <c r="C192">
        <f>IF(OR($A192="",$B192=""),"",IF(ISNUMBER($A192),INT(MOD($A192,10000)/100),IFERROR(VALUE(TRIM(LEFT(MID($A192,FIND("/",$A192)+1,20),FIND("/",MID($A192,FIND("/",$A192)+1,20))-1))),"")))</f>
        <v/>
      </c>
      <c r="D192">
        <f>IF(OR($A192="",$B192=""),"",IF(ISNUMBER($A192),MOD($A192,100),IFERROR(VALUE(TRIM(MID(MID($A192,FIND("/",$A192)+1,20),FIND("/",MID($A192,FIND("/",$A192)+1,20))+1,20))),"")))</f>
        <v/>
      </c>
      <c r="E192">
        <f>IF($A192="","",IF(OR($B192="",$C192="",$D192="",$B192&lt;1300,$B192&gt;1500,$C192&lt;1,$C192&gt;12,$D192&lt;1,$D192&gt;31),"نامعتبر",RIGHT("0000"&amp;$B192,4)&amp;"/"&amp;RIGHT("00"&amp;$C192,2)&amp;"/"&amp;RIGHT("00"&amp;$D192,2)))</f>
        <v/>
      </c>
      <c r="F192">
        <f>IF(OR($E192="",$E192="نامعتبر"),"",IF(Sync!$Q189="","0000",IF(AND(ISNUMBER(Sync!$Q189),Sync!$Q189&gt;=0,Sync!$Q189&lt;1),RIGHT("00"&amp;HOUR(Sync!$Q189),2)&amp;RIGHT("00"&amp;MINUTE(Sync!$Q189),2),IFERROR(RIGHT("00"&amp;VALUE(LEFT(Sync!$Q189,FIND(":",Sync!$Q189)-1)),2)&amp;RIGHT("00"&amp;VALUE(MID(Sync!$Q189,FIND(":",Sync!$Q189)+1,2)),2),"0000"))))</f>
        <v/>
      </c>
      <c r="G192">
        <f>IF(OR($E192="",$E192="نامعتبر"),"",IF(Sync!$S189="","",Sync!$S189))</f>
        <v/>
      </c>
      <c r="H192">
        <f>IF(OR($E192="",$E192="نامعتبر"),"",IF(Sync!$R189="","",Sync!$R189))</f>
        <v/>
      </c>
      <c r="I192">
        <f>IF(OR($E192="",$E192="نامعتبر"),"",IF(Sync!$T189="","",Sync!$T189))</f>
        <v/>
      </c>
      <c r="J192">
        <f>IF(OR($E192="",$E192="نامعتبر"),"",IF(Sync!$U189="","",Sync!$U189))</f>
        <v/>
      </c>
      <c r="K192">
        <f>IF(OR($E192="",$E192="نامعتبر"),"",IF(Sync!$V189="","",IFERROR(INDEX(SubCodes,MATCH(Sync!$V189,SubTitles,0)),Sync!$V189)))</f>
        <v/>
      </c>
      <c r="L192">
        <f>IF(OR($E192="",$E192="نامعتبر"),"",IF(Sync!$W189="",0,Sync!$W189))</f>
        <v/>
      </c>
      <c r="M192">
        <f>IF(OR($E192="",$E192="نامعتبر"),"",IF(Sync!$X189="",0,Sync!$X189))</f>
        <v/>
      </c>
      <c r="N192">
        <f>IF(OR($E192="",$E192="نامعتبر"),"",IF(AND($J192="هزینه",$K192&lt;&gt;""),1,0))</f>
        <v/>
      </c>
      <c r="O192">
        <f>IF($N192=0,"",LEFT($E192,4)&amp;MID($E192,6,2)&amp;RIGHT($E192,2)&amp;$F192&amp;"|"&amp;"1"&amp;RIGHT("00000"&amp;184,5))</f>
        <v/>
      </c>
      <c r="P192">
        <f>IF($O192="","",COUNTIFS(ExpSub,$K192,ExpKey,"&lt;"&amp;$O192)+1)</f>
        <v/>
      </c>
      <c r="Q192">
        <f>IF($P192="","",$K192&amp;"|"&amp;RIGHT("000000"&amp;$P192,6))</f>
        <v/>
      </c>
    </row>
    <row r="193">
      <c r="A193">
        <f>IF(Sync!$P190="","",Sync!$P190)</f>
        <v/>
      </c>
      <c r="B193">
        <f>IF($A193="","",IF(ISNUMBER($A193),IF(AND($A193&gt;=10000101,$A193&lt;=99991231),INT($A193/10000),""),IFERROR(VALUE(TRIM(LEFT($A193,FIND("/",$A193)-1))),"")))</f>
        <v/>
      </c>
      <c r="C193">
        <f>IF(OR($A193="",$B193=""),"",IF(ISNUMBER($A193),INT(MOD($A193,10000)/100),IFERROR(VALUE(TRIM(LEFT(MID($A193,FIND("/",$A193)+1,20),FIND("/",MID($A193,FIND("/",$A193)+1,20))-1))),"")))</f>
        <v/>
      </c>
      <c r="D193">
        <f>IF(OR($A193="",$B193=""),"",IF(ISNUMBER($A193),MOD($A193,100),IFERROR(VALUE(TRIM(MID(MID($A193,FIND("/",$A193)+1,20),FIND("/",MID($A193,FIND("/",$A193)+1,20))+1,20))),"")))</f>
        <v/>
      </c>
      <c r="E193">
        <f>IF($A193="","",IF(OR($B193="",$C193="",$D193="",$B193&lt;1300,$B193&gt;1500,$C193&lt;1,$C193&gt;12,$D193&lt;1,$D193&gt;31),"نامعتبر",RIGHT("0000"&amp;$B193,4)&amp;"/"&amp;RIGHT("00"&amp;$C193,2)&amp;"/"&amp;RIGHT("00"&amp;$D193,2)))</f>
        <v/>
      </c>
      <c r="F193">
        <f>IF(OR($E193="",$E193="نامعتبر"),"",IF(Sync!$Q190="","0000",IF(AND(ISNUMBER(Sync!$Q190),Sync!$Q190&gt;=0,Sync!$Q190&lt;1),RIGHT("00"&amp;HOUR(Sync!$Q190),2)&amp;RIGHT("00"&amp;MINUTE(Sync!$Q190),2),IFERROR(RIGHT("00"&amp;VALUE(LEFT(Sync!$Q190,FIND(":",Sync!$Q190)-1)),2)&amp;RIGHT("00"&amp;VALUE(MID(Sync!$Q190,FIND(":",Sync!$Q190)+1,2)),2),"0000"))))</f>
        <v/>
      </c>
      <c r="G193">
        <f>IF(OR($E193="",$E193="نامعتبر"),"",IF(Sync!$S190="","",Sync!$S190))</f>
        <v/>
      </c>
      <c r="H193">
        <f>IF(OR($E193="",$E193="نامعتبر"),"",IF(Sync!$R190="","",Sync!$R190))</f>
        <v/>
      </c>
      <c r="I193">
        <f>IF(OR($E193="",$E193="نامعتبر"),"",IF(Sync!$T190="","",Sync!$T190))</f>
        <v/>
      </c>
      <c r="J193">
        <f>IF(OR($E193="",$E193="نامعتبر"),"",IF(Sync!$U190="","",Sync!$U190))</f>
        <v/>
      </c>
      <c r="K193">
        <f>IF(OR($E193="",$E193="نامعتبر"),"",IF(Sync!$V190="","",IFERROR(INDEX(SubCodes,MATCH(Sync!$V190,SubTitles,0)),Sync!$V190)))</f>
        <v/>
      </c>
      <c r="L193">
        <f>IF(OR($E193="",$E193="نامعتبر"),"",IF(Sync!$W190="",0,Sync!$W190))</f>
        <v/>
      </c>
      <c r="M193">
        <f>IF(OR($E193="",$E193="نامعتبر"),"",IF(Sync!$X190="",0,Sync!$X190))</f>
        <v/>
      </c>
      <c r="N193">
        <f>IF(OR($E193="",$E193="نامعتبر"),"",IF(AND($J193="هزینه",$K193&lt;&gt;""),1,0))</f>
        <v/>
      </c>
      <c r="O193">
        <f>IF($N193=0,"",LEFT($E193,4)&amp;MID($E193,6,2)&amp;RIGHT($E193,2)&amp;$F193&amp;"|"&amp;"1"&amp;RIGHT("00000"&amp;185,5))</f>
        <v/>
      </c>
      <c r="P193">
        <f>IF($O193="","",COUNTIFS(ExpSub,$K193,ExpKey,"&lt;"&amp;$O193)+1)</f>
        <v/>
      </c>
      <c r="Q193">
        <f>IF($P193="","",$K193&amp;"|"&amp;RIGHT("000000"&amp;$P193,6))</f>
        <v/>
      </c>
    </row>
    <row r="194">
      <c r="A194">
        <f>IF(Sync!$P191="","",Sync!$P191)</f>
        <v/>
      </c>
      <c r="B194">
        <f>IF($A194="","",IF(ISNUMBER($A194),IF(AND($A194&gt;=10000101,$A194&lt;=99991231),INT($A194/10000),""),IFERROR(VALUE(TRIM(LEFT($A194,FIND("/",$A194)-1))),"")))</f>
        <v/>
      </c>
      <c r="C194">
        <f>IF(OR($A194="",$B194=""),"",IF(ISNUMBER($A194),INT(MOD($A194,10000)/100),IFERROR(VALUE(TRIM(LEFT(MID($A194,FIND("/",$A194)+1,20),FIND("/",MID($A194,FIND("/",$A194)+1,20))-1))),"")))</f>
        <v/>
      </c>
      <c r="D194">
        <f>IF(OR($A194="",$B194=""),"",IF(ISNUMBER($A194),MOD($A194,100),IFERROR(VALUE(TRIM(MID(MID($A194,FIND("/",$A194)+1,20),FIND("/",MID($A194,FIND("/",$A194)+1,20))+1,20))),"")))</f>
        <v/>
      </c>
      <c r="E194">
        <f>IF($A194="","",IF(OR($B194="",$C194="",$D194="",$B194&lt;1300,$B194&gt;1500,$C194&lt;1,$C194&gt;12,$D194&lt;1,$D194&gt;31),"نامعتبر",RIGHT("0000"&amp;$B194,4)&amp;"/"&amp;RIGHT("00"&amp;$C194,2)&amp;"/"&amp;RIGHT("00"&amp;$D194,2)))</f>
        <v/>
      </c>
      <c r="F194">
        <f>IF(OR($E194="",$E194="نامعتبر"),"",IF(Sync!$Q191="","0000",IF(AND(ISNUMBER(Sync!$Q191),Sync!$Q191&gt;=0,Sync!$Q191&lt;1),RIGHT("00"&amp;HOUR(Sync!$Q191),2)&amp;RIGHT("00"&amp;MINUTE(Sync!$Q191),2),IFERROR(RIGHT("00"&amp;VALUE(LEFT(Sync!$Q191,FIND(":",Sync!$Q191)-1)),2)&amp;RIGHT("00"&amp;VALUE(MID(Sync!$Q191,FIND(":",Sync!$Q191)+1,2)),2),"0000"))))</f>
        <v/>
      </c>
      <c r="G194">
        <f>IF(OR($E194="",$E194="نامعتبر"),"",IF(Sync!$S191="","",Sync!$S191))</f>
        <v/>
      </c>
      <c r="H194">
        <f>IF(OR($E194="",$E194="نامعتبر"),"",IF(Sync!$R191="","",Sync!$R191))</f>
        <v/>
      </c>
      <c r="I194">
        <f>IF(OR($E194="",$E194="نامعتبر"),"",IF(Sync!$T191="","",Sync!$T191))</f>
        <v/>
      </c>
      <c r="J194">
        <f>IF(OR($E194="",$E194="نامعتبر"),"",IF(Sync!$U191="","",Sync!$U191))</f>
        <v/>
      </c>
      <c r="K194">
        <f>IF(OR($E194="",$E194="نامعتبر"),"",IF(Sync!$V191="","",IFERROR(INDEX(SubCodes,MATCH(Sync!$V191,SubTitles,0)),Sync!$V191)))</f>
        <v/>
      </c>
      <c r="L194">
        <f>IF(OR($E194="",$E194="نامعتبر"),"",IF(Sync!$W191="",0,Sync!$W191))</f>
        <v/>
      </c>
      <c r="M194">
        <f>IF(OR($E194="",$E194="نامعتبر"),"",IF(Sync!$X191="",0,Sync!$X191))</f>
        <v/>
      </c>
      <c r="N194">
        <f>IF(OR($E194="",$E194="نامعتبر"),"",IF(AND($J194="هزینه",$K194&lt;&gt;""),1,0))</f>
        <v/>
      </c>
      <c r="O194">
        <f>IF($N194=0,"",LEFT($E194,4)&amp;MID($E194,6,2)&amp;RIGHT($E194,2)&amp;$F194&amp;"|"&amp;"1"&amp;RIGHT("00000"&amp;186,5))</f>
        <v/>
      </c>
      <c r="P194">
        <f>IF($O194="","",COUNTIFS(ExpSub,$K194,ExpKey,"&lt;"&amp;$O194)+1)</f>
        <v/>
      </c>
      <c r="Q194">
        <f>IF($P194="","",$K194&amp;"|"&amp;RIGHT("000000"&amp;$P194,6))</f>
        <v/>
      </c>
    </row>
    <row r="195">
      <c r="A195">
        <f>IF(Sync!$P192="","",Sync!$P192)</f>
        <v/>
      </c>
      <c r="B195">
        <f>IF($A195="","",IF(ISNUMBER($A195),IF(AND($A195&gt;=10000101,$A195&lt;=99991231),INT($A195/10000),""),IFERROR(VALUE(TRIM(LEFT($A195,FIND("/",$A195)-1))),"")))</f>
        <v/>
      </c>
      <c r="C195">
        <f>IF(OR($A195="",$B195=""),"",IF(ISNUMBER($A195),INT(MOD($A195,10000)/100),IFERROR(VALUE(TRIM(LEFT(MID($A195,FIND("/",$A195)+1,20),FIND("/",MID($A195,FIND("/",$A195)+1,20))-1))),"")))</f>
        <v/>
      </c>
      <c r="D195">
        <f>IF(OR($A195="",$B195=""),"",IF(ISNUMBER($A195),MOD($A195,100),IFERROR(VALUE(TRIM(MID(MID($A195,FIND("/",$A195)+1,20),FIND("/",MID($A195,FIND("/",$A195)+1,20))+1,20))),"")))</f>
        <v/>
      </c>
      <c r="E195">
        <f>IF($A195="","",IF(OR($B195="",$C195="",$D195="",$B195&lt;1300,$B195&gt;1500,$C195&lt;1,$C195&gt;12,$D195&lt;1,$D195&gt;31),"نامعتبر",RIGHT("0000"&amp;$B195,4)&amp;"/"&amp;RIGHT("00"&amp;$C195,2)&amp;"/"&amp;RIGHT("00"&amp;$D195,2)))</f>
        <v/>
      </c>
      <c r="F195">
        <f>IF(OR($E195="",$E195="نامعتبر"),"",IF(Sync!$Q192="","0000",IF(AND(ISNUMBER(Sync!$Q192),Sync!$Q192&gt;=0,Sync!$Q192&lt;1),RIGHT("00"&amp;HOUR(Sync!$Q192),2)&amp;RIGHT("00"&amp;MINUTE(Sync!$Q192),2),IFERROR(RIGHT("00"&amp;VALUE(LEFT(Sync!$Q192,FIND(":",Sync!$Q192)-1)),2)&amp;RIGHT("00"&amp;VALUE(MID(Sync!$Q192,FIND(":",Sync!$Q192)+1,2)),2),"0000"))))</f>
        <v/>
      </c>
      <c r="G195">
        <f>IF(OR($E195="",$E195="نامعتبر"),"",IF(Sync!$S192="","",Sync!$S192))</f>
        <v/>
      </c>
      <c r="H195">
        <f>IF(OR($E195="",$E195="نامعتبر"),"",IF(Sync!$R192="","",Sync!$R192))</f>
        <v/>
      </c>
      <c r="I195">
        <f>IF(OR($E195="",$E195="نامعتبر"),"",IF(Sync!$T192="","",Sync!$T192))</f>
        <v/>
      </c>
      <c r="J195">
        <f>IF(OR($E195="",$E195="نامعتبر"),"",IF(Sync!$U192="","",Sync!$U192))</f>
        <v/>
      </c>
      <c r="K195">
        <f>IF(OR($E195="",$E195="نامعتبر"),"",IF(Sync!$V192="","",IFERROR(INDEX(SubCodes,MATCH(Sync!$V192,SubTitles,0)),Sync!$V192)))</f>
        <v/>
      </c>
      <c r="L195">
        <f>IF(OR($E195="",$E195="نامعتبر"),"",IF(Sync!$W192="",0,Sync!$W192))</f>
        <v/>
      </c>
      <c r="M195">
        <f>IF(OR($E195="",$E195="نامعتبر"),"",IF(Sync!$X192="",0,Sync!$X192))</f>
        <v/>
      </c>
      <c r="N195">
        <f>IF(OR($E195="",$E195="نامعتبر"),"",IF(AND($J195="هزینه",$K195&lt;&gt;""),1,0))</f>
        <v/>
      </c>
      <c r="O195">
        <f>IF($N195=0,"",LEFT($E195,4)&amp;MID($E195,6,2)&amp;RIGHT($E195,2)&amp;$F195&amp;"|"&amp;"1"&amp;RIGHT("00000"&amp;187,5))</f>
        <v/>
      </c>
      <c r="P195">
        <f>IF($O195="","",COUNTIFS(ExpSub,$K195,ExpKey,"&lt;"&amp;$O195)+1)</f>
        <v/>
      </c>
      <c r="Q195">
        <f>IF($P195="","",$K195&amp;"|"&amp;RIGHT("000000"&amp;$P195,6))</f>
        <v/>
      </c>
    </row>
    <row r="196">
      <c r="A196">
        <f>IF(Sync!$P193="","",Sync!$P193)</f>
        <v/>
      </c>
      <c r="B196">
        <f>IF($A196="","",IF(ISNUMBER($A196),IF(AND($A196&gt;=10000101,$A196&lt;=99991231),INT($A196/10000),""),IFERROR(VALUE(TRIM(LEFT($A196,FIND("/",$A196)-1))),"")))</f>
        <v/>
      </c>
      <c r="C196">
        <f>IF(OR($A196="",$B196=""),"",IF(ISNUMBER($A196),INT(MOD($A196,10000)/100),IFERROR(VALUE(TRIM(LEFT(MID($A196,FIND("/",$A196)+1,20),FIND("/",MID($A196,FIND("/",$A196)+1,20))-1))),"")))</f>
        <v/>
      </c>
      <c r="D196">
        <f>IF(OR($A196="",$B196=""),"",IF(ISNUMBER($A196),MOD($A196,100),IFERROR(VALUE(TRIM(MID(MID($A196,FIND("/",$A196)+1,20),FIND("/",MID($A196,FIND("/",$A196)+1,20))+1,20))),"")))</f>
        <v/>
      </c>
      <c r="E196">
        <f>IF($A196="","",IF(OR($B196="",$C196="",$D196="",$B196&lt;1300,$B196&gt;1500,$C196&lt;1,$C196&gt;12,$D196&lt;1,$D196&gt;31),"نامعتبر",RIGHT("0000"&amp;$B196,4)&amp;"/"&amp;RIGHT("00"&amp;$C196,2)&amp;"/"&amp;RIGHT("00"&amp;$D196,2)))</f>
        <v/>
      </c>
      <c r="F196">
        <f>IF(OR($E196="",$E196="نامعتبر"),"",IF(Sync!$Q193="","0000",IF(AND(ISNUMBER(Sync!$Q193),Sync!$Q193&gt;=0,Sync!$Q193&lt;1),RIGHT("00"&amp;HOUR(Sync!$Q193),2)&amp;RIGHT("00"&amp;MINUTE(Sync!$Q193),2),IFERROR(RIGHT("00"&amp;VALUE(LEFT(Sync!$Q193,FIND(":",Sync!$Q193)-1)),2)&amp;RIGHT("00"&amp;VALUE(MID(Sync!$Q193,FIND(":",Sync!$Q193)+1,2)),2),"0000"))))</f>
        <v/>
      </c>
      <c r="G196">
        <f>IF(OR($E196="",$E196="نامعتبر"),"",IF(Sync!$S193="","",Sync!$S193))</f>
        <v/>
      </c>
      <c r="H196">
        <f>IF(OR($E196="",$E196="نامعتبر"),"",IF(Sync!$R193="","",Sync!$R193))</f>
        <v/>
      </c>
      <c r="I196">
        <f>IF(OR($E196="",$E196="نامعتبر"),"",IF(Sync!$T193="","",Sync!$T193))</f>
        <v/>
      </c>
      <c r="J196">
        <f>IF(OR($E196="",$E196="نامعتبر"),"",IF(Sync!$U193="","",Sync!$U193))</f>
        <v/>
      </c>
      <c r="K196">
        <f>IF(OR($E196="",$E196="نامعتبر"),"",IF(Sync!$V193="","",IFERROR(INDEX(SubCodes,MATCH(Sync!$V193,SubTitles,0)),Sync!$V193)))</f>
        <v/>
      </c>
      <c r="L196">
        <f>IF(OR($E196="",$E196="نامعتبر"),"",IF(Sync!$W193="",0,Sync!$W193))</f>
        <v/>
      </c>
      <c r="M196">
        <f>IF(OR($E196="",$E196="نامعتبر"),"",IF(Sync!$X193="",0,Sync!$X193))</f>
        <v/>
      </c>
      <c r="N196">
        <f>IF(OR($E196="",$E196="نامعتبر"),"",IF(AND($J196="هزینه",$K196&lt;&gt;""),1,0))</f>
        <v/>
      </c>
      <c r="O196">
        <f>IF($N196=0,"",LEFT($E196,4)&amp;MID($E196,6,2)&amp;RIGHT($E196,2)&amp;$F196&amp;"|"&amp;"1"&amp;RIGHT("00000"&amp;188,5))</f>
        <v/>
      </c>
      <c r="P196">
        <f>IF($O196="","",COUNTIFS(ExpSub,$K196,ExpKey,"&lt;"&amp;$O196)+1)</f>
        <v/>
      </c>
      <c r="Q196">
        <f>IF($P196="","",$K196&amp;"|"&amp;RIGHT("000000"&amp;$P196,6))</f>
        <v/>
      </c>
    </row>
    <row r="197">
      <c r="A197">
        <f>IF(Sync!$P194="","",Sync!$P194)</f>
        <v/>
      </c>
      <c r="B197">
        <f>IF($A197="","",IF(ISNUMBER($A197),IF(AND($A197&gt;=10000101,$A197&lt;=99991231),INT($A197/10000),""),IFERROR(VALUE(TRIM(LEFT($A197,FIND("/",$A197)-1))),"")))</f>
        <v/>
      </c>
      <c r="C197">
        <f>IF(OR($A197="",$B197=""),"",IF(ISNUMBER($A197),INT(MOD($A197,10000)/100),IFERROR(VALUE(TRIM(LEFT(MID($A197,FIND("/",$A197)+1,20),FIND("/",MID($A197,FIND("/",$A197)+1,20))-1))),"")))</f>
        <v/>
      </c>
      <c r="D197">
        <f>IF(OR($A197="",$B197=""),"",IF(ISNUMBER($A197),MOD($A197,100),IFERROR(VALUE(TRIM(MID(MID($A197,FIND("/",$A197)+1,20),FIND("/",MID($A197,FIND("/",$A197)+1,20))+1,20))),"")))</f>
        <v/>
      </c>
      <c r="E197">
        <f>IF($A197="","",IF(OR($B197="",$C197="",$D197="",$B197&lt;1300,$B197&gt;1500,$C197&lt;1,$C197&gt;12,$D197&lt;1,$D197&gt;31),"نامعتبر",RIGHT("0000"&amp;$B197,4)&amp;"/"&amp;RIGHT("00"&amp;$C197,2)&amp;"/"&amp;RIGHT("00"&amp;$D197,2)))</f>
        <v/>
      </c>
      <c r="F197">
        <f>IF(OR($E197="",$E197="نامعتبر"),"",IF(Sync!$Q194="","0000",IF(AND(ISNUMBER(Sync!$Q194),Sync!$Q194&gt;=0,Sync!$Q194&lt;1),RIGHT("00"&amp;HOUR(Sync!$Q194),2)&amp;RIGHT("00"&amp;MINUTE(Sync!$Q194),2),IFERROR(RIGHT("00"&amp;VALUE(LEFT(Sync!$Q194,FIND(":",Sync!$Q194)-1)),2)&amp;RIGHT("00"&amp;VALUE(MID(Sync!$Q194,FIND(":",Sync!$Q194)+1,2)),2),"0000"))))</f>
        <v/>
      </c>
      <c r="G197">
        <f>IF(OR($E197="",$E197="نامعتبر"),"",IF(Sync!$S194="","",Sync!$S194))</f>
        <v/>
      </c>
      <c r="H197">
        <f>IF(OR($E197="",$E197="نامعتبر"),"",IF(Sync!$R194="","",Sync!$R194))</f>
        <v/>
      </c>
      <c r="I197">
        <f>IF(OR($E197="",$E197="نامعتبر"),"",IF(Sync!$T194="","",Sync!$T194))</f>
        <v/>
      </c>
      <c r="J197">
        <f>IF(OR($E197="",$E197="نامعتبر"),"",IF(Sync!$U194="","",Sync!$U194))</f>
        <v/>
      </c>
      <c r="K197">
        <f>IF(OR($E197="",$E197="نامعتبر"),"",IF(Sync!$V194="","",IFERROR(INDEX(SubCodes,MATCH(Sync!$V194,SubTitles,0)),Sync!$V194)))</f>
        <v/>
      </c>
      <c r="L197">
        <f>IF(OR($E197="",$E197="نامعتبر"),"",IF(Sync!$W194="",0,Sync!$W194))</f>
        <v/>
      </c>
      <c r="M197">
        <f>IF(OR($E197="",$E197="نامعتبر"),"",IF(Sync!$X194="",0,Sync!$X194))</f>
        <v/>
      </c>
      <c r="N197">
        <f>IF(OR($E197="",$E197="نامعتبر"),"",IF(AND($J197="هزینه",$K197&lt;&gt;""),1,0))</f>
        <v/>
      </c>
      <c r="O197">
        <f>IF($N197=0,"",LEFT($E197,4)&amp;MID($E197,6,2)&amp;RIGHT($E197,2)&amp;$F197&amp;"|"&amp;"1"&amp;RIGHT("00000"&amp;189,5))</f>
        <v/>
      </c>
      <c r="P197">
        <f>IF($O197="","",COUNTIFS(ExpSub,$K197,ExpKey,"&lt;"&amp;$O197)+1)</f>
        <v/>
      </c>
      <c r="Q197">
        <f>IF($P197="","",$K197&amp;"|"&amp;RIGHT("000000"&amp;$P197,6))</f>
        <v/>
      </c>
    </row>
    <row r="198">
      <c r="A198">
        <f>IF(Sync!$P195="","",Sync!$P195)</f>
        <v/>
      </c>
      <c r="B198">
        <f>IF($A198="","",IF(ISNUMBER($A198),IF(AND($A198&gt;=10000101,$A198&lt;=99991231),INT($A198/10000),""),IFERROR(VALUE(TRIM(LEFT($A198,FIND("/",$A198)-1))),"")))</f>
        <v/>
      </c>
      <c r="C198">
        <f>IF(OR($A198="",$B198=""),"",IF(ISNUMBER($A198),INT(MOD($A198,10000)/100),IFERROR(VALUE(TRIM(LEFT(MID($A198,FIND("/",$A198)+1,20),FIND("/",MID($A198,FIND("/",$A198)+1,20))-1))),"")))</f>
        <v/>
      </c>
      <c r="D198">
        <f>IF(OR($A198="",$B198=""),"",IF(ISNUMBER($A198),MOD($A198,100),IFERROR(VALUE(TRIM(MID(MID($A198,FIND("/",$A198)+1,20),FIND("/",MID($A198,FIND("/",$A198)+1,20))+1,20))),"")))</f>
        <v/>
      </c>
      <c r="E198">
        <f>IF($A198="","",IF(OR($B198="",$C198="",$D198="",$B198&lt;1300,$B198&gt;1500,$C198&lt;1,$C198&gt;12,$D198&lt;1,$D198&gt;31),"نامعتبر",RIGHT("0000"&amp;$B198,4)&amp;"/"&amp;RIGHT("00"&amp;$C198,2)&amp;"/"&amp;RIGHT("00"&amp;$D198,2)))</f>
        <v/>
      </c>
      <c r="F198">
        <f>IF(OR($E198="",$E198="نامعتبر"),"",IF(Sync!$Q195="","0000",IF(AND(ISNUMBER(Sync!$Q195),Sync!$Q195&gt;=0,Sync!$Q195&lt;1),RIGHT("00"&amp;HOUR(Sync!$Q195),2)&amp;RIGHT("00"&amp;MINUTE(Sync!$Q195),2),IFERROR(RIGHT("00"&amp;VALUE(LEFT(Sync!$Q195,FIND(":",Sync!$Q195)-1)),2)&amp;RIGHT("00"&amp;VALUE(MID(Sync!$Q195,FIND(":",Sync!$Q195)+1,2)),2),"0000"))))</f>
        <v/>
      </c>
      <c r="G198">
        <f>IF(OR($E198="",$E198="نامعتبر"),"",IF(Sync!$S195="","",Sync!$S195))</f>
        <v/>
      </c>
      <c r="H198">
        <f>IF(OR($E198="",$E198="نامعتبر"),"",IF(Sync!$R195="","",Sync!$R195))</f>
        <v/>
      </c>
      <c r="I198">
        <f>IF(OR($E198="",$E198="نامعتبر"),"",IF(Sync!$T195="","",Sync!$T195))</f>
        <v/>
      </c>
      <c r="J198">
        <f>IF(OR($E198="",$E198="نامعتبر"),"",IF(Sync!$U195="","",Sync!$U195))</f>
        <v/>
      </c>
      <c r="K198">
        <f>IF(OR($E198="",$E198="نامعتبر"),"",IF(Sync!$V195="","",IFERROR(INDEX(SubCodes,MATCH(Sync!$V195,SubTitles,0)),Sync!$V195)))</f>
        <v/>
      </c>
      <c r="L198">
        <f>IF(OR($E198="",$E198="نامعتبر"),"",IF(Sync!$W195="",0,Sync!$W195))</f>
        <v/>
      </c>
      <c r="M198">
        <f>IF(OR($E198="",$E198="نامعتبر"),"",IF(Sync!$X195="",0,Sync!$X195))</f>
        <v/>
      </c>
      <c r="N198">
        <f>IF(OR($E198="",$E198="نامعتبر"),"",IF(AND($J198="هزینه",$K198&lt;&gt;""),1,0))</f>
        <v/>
      </c>
      <c r="O198">
        <f>IF($N198=0,"",LEFT($E198,4)&amp;MID($E198,6,2)&amp;RIGHT($E198,2)&amp;$F198&amp;"|"&amp;"1"&amp;RIGHT("00000"&amp;190,5))</f>
        <v/>
      </c>
      <c r="P198">
        <f>IF($O198="","",COUNTIFS(ExpSub,$K198,ExpKey,"&lt;"&amp;$O198)+1)</f>
        <v/>
      </c>
      <c r="Q198">
        <f>IF($P198="","",$K198&amp;"|"&amp;RIGHT("000000"&amp;$P198,6))</f>
        <v/>
      </c>
    </row>
    <row r="199">
      <c r="A199">
        <f>IF(Sync!$P196="","",Sync!$P196)</f>
        <v/>
      </c>
      <c r="B199">
        <f>IF($A199="","",IF(ISNUMBER($A199),IF(AND($A199&gt;=10000101,$A199&lt;=99991231),INT($A199/10000),""),IFERROR(VALUE(TRIM(LEFT($A199,FIND("/",$A199)-1))),"")))</f>
        <v/>
      </c>
      <c r="C199">
        <f>IF(OR($A199="",$B199=""),"",IF(ISNUMBER($A199),INT(MOD($A199,10000)/100),IFERROR(VALUE(TRIM(LEFT(MID($A199,FIND("/",$A199)+1,20),FIND("/",MID($A199,FIND("/",$A199)+1,20))-1))),"")))</f>
        <v/>
      </c>
      <c r="D199">
        <f>IF(OR($A199="",$B199=""),"",IF(ISNUMBER($A199),MOD($A199,100),IFERROR(VALUE(TRIM(MID(MID($A199,FIND("/",$A199)+1,20),FIND("/",MID($A199,FIND("/",$A199)+1,20))+1,20))),"")))</f>
        <v/>
      </c>
      <c r="E199">
        <f>IF($A199="","",IF(OR($B199="",$C199="",$D199="",$B199&lt;1300,$B199&gt;1500,$C199&lt;1,$C199&gt;12,$D199&lt;1,$D199&gt;31),"نامعتبر",RIGHT("0000"&amp;$B199,4)&amp;"/"&amp;RIGHT("00"&amp;$C199,2)&amp;"/"&amp;RIGHT("00"&amp;$D199,2)))</f>
        <v/>
      </c>
      <c r="F199">
        <f>IF(OR($E199="",$E199="نامعتبر"),"",IF(Sync!$Q196="","0000",IF(AND(ISNUMBER(Sync!$Q196),Sync!$Q196&gt;=0,Sync!$Q196&lt;1),RIGHT("00"&amp;HOUR(Sync!$Q196),2)&amp;RIGHT("00"&amp;MINUTE(Sync!$Q196),2),IFERROR(RIGHT("00"&amp;VALUE(LEFT(Sync!$Q196,FIND(":",Sync!$Q196)-1)),2)&amp;RIGHT("00"&amp;VALUE(MID(Sync!$Q196,FIND(":",Sync!$Q196)+1,2)),2),"0000"))))</f>
        <v/>
      </c>
      <c r="G199">
        <f>IF(OR($E199="",$E199="نامعتبر"),"",IF(Sync!$S196="","",Sync!$S196))</f>
        <v/>
      </c>
      <c r="H199">
        <f>IF(OR($E199="",$E199="نامعتبر"),"",IF(Sync!$R196="","",Sync!$R196))</f>
        <v/>
      </c>
      <c r="I199">
        <f>IF(OR($E199="",$E199="نامعتبر"),"",IF(Sync!$T196="","",Sync!$T196))</f>
        <v/>
      </c>
      <c r="J199">
        <f>IF(OR($E199="",$E199="نامعتبر"),"",IF(Sync!$U196="","",Sync!$U196))</f>
        <v/>
      </c>
      <c r="K199">
        <f>IF(OR($E199="",$E199="نامعتبر"),"",IF(Sync!$V196="","",IFERROR(INDEX(SubCodes,MATCH(Sync!$V196,SubTitles,0)),Sync!$V196)))</f>
        <v/>
      </c>
      <c r="L199">
        <f>IF(OR($E199="",$E199="نامعتبر"),"",IF(Sync!$W196="",0,Sync!$W196))</f>
        <v/>
      </c>
      <c r="M199">
        <f>IF(OR($E199="",$E199="نامعتبر"),"",IF(Sync!$X196="",0,Sync!$X196))</f>
        <v/>
      </c>
      <c r="N199">
        <f>IF(OR($E199="",$E199="نامعتبر"),"",IF(AND($J199="هزینه",$K199&lt;&gt;""),1,0))</f>
        <v/>
      </c>
      <c r="O199">
        <f>IF($N199=0,"",LEFT($E199,4)&amp;MID($E199,6,2)&amp;RIGHT($E199,2)&amp;$F199&amp;"|"&amp;"1"&amp;RIGHT("00000"&amp;191,5))</f>
        <v/>
      </c>
      <c r="P199">
        <f>IF($O199="","",COUNTIFS(ExpSub,$K199,ExpKey,"&lt;"&amp;$O199)+1)</f>
        <v/>
      </c>
      <c r="Q199">
        <f>IF($P199="","",$K199&amp;"|"&amp;RIGHT("000000"&amp;$P199,6))</f>
        <v/>
      </c>
    </row>
    <row r="200">
      <c r="A200">
        <f>IF(Sync!$P197="","",Sync!$P197)</f>
        <v/>
      </c>
      <c r="B200">
        <f>IF($A200="","",IF(ISNUMBER($A200),IF(AND($A200&gt;=10000101,$A200&lt;=99991231),INT($A200/10000),""),IFERROR(VALUE(TRIM(LEFT($A200,FIND("/",$A200)-1))),"")))</f>
        <v/>
      </c>
      <c r="C200">
        <f>IF(OR($A200="",$B200=""),"",IF(ISNUMBER($A200),INT(MOD($A200,10000)/100),IFERROR(VALUE(TRIM(LEFT(MID($A200,FIND("/",$A200)+1,20),FIND("/",MID($A200,FIND("/",$A200)+1,20))-1))),"")))</f>
        <v/>
      </c>
      <c r="D200">
        <f>IF(OR($A200="",$B200=""),"",IF(ISNUMBER($A200),MOD($A200,100),IFERROR(VALUE(TRIM(MID(MID($A200,FIND("/",$A200)+1,20),FIND("/",MID($A200,FIND("/",$A200)+1,20))+1,20))),"")))</f>
        <v/>
      </c>
      <c r="E200">
        <f>IF($A200="","",IF(OR($B200="",$C200="",$D200="",$B200&lt;1300,$B200&gt;1500,$C200&lt;1,$C200&gt;12,$D200&lt;1,$D200&gt;31),"نامعتبر",RIGHT("0000"&amp;$B200,4)&amp;"/"&amp;RIGHT("00"&amp;$C200,2)&amp;"/"&amp;RIGHT("00"&amp;$D200,2)))</f>
        <v/>
      </c>
      <c r="F200">
        <f>IF(OR($E200="",$E200="نامعتبر"),"",IF(Sync!$Q197="","0000",IF(AND(ISNUMBER(Sync!$Q197),Sync!$Q197&gt;=0,Sync!$Q197&lt;1),RIGHT("00"&amp;HOUR(Sync!$Q197),2)&amp;RIGHT("00"&amp;MINUTE(Sync!$Q197),2),IFERROR(RIGHT("00"&amp;VALUE(LEFT(Sync!$Q197,FIND(":",Sync!$Q197)-1)),2)&amp;RIGHT("00"&amp;VALUE(MID(Sync!$Q197,FIND(":",Sync!$Q197)+1,2)),2),"0000"))))</f>
        <v/>
      </c>
      <c r="G200">
        <f>IF(OR($E200="",$E200="نامعتبر"),"",IF(Sync!$S197="","",Sync!$S197))</f>
        <v/>
      </c>
      <c r="H200">
        <f>IF(OR($E200="",$E200="نامعتبر"),"",IF(Sync!$R197="","",Sync!$R197))</f>
        <v/>
      </c>
      <c r="I200">
        <f>IF(OR($E200="",$E200="نامعتبر"),"",IF(Sync!$T197="","",Sync!$T197))</f>
        <v/>
      </c>
      <c r="J200">
        <f>IF(OR($E200="",$E200="نامعتبر"),"",IF(Sync!$U197="","",Sync!$U197))</f>
        <v/>
      </c>
      <c r="K200">
        <f>IF(OR($E200="",$E200="نامعتبر"),"",IF(Sync!$V197="","",IFERROR(INDEX(SubCodes,MATCH(Sync!$V197,SubTitles,0)),Sync!$V197)))</f>
        <v/>
      </c>
      <c r="L200">
        <f>IF(OR($E200="",$E200="نامعتبر"),"",IF(Sync!$W197="",0,Sync!$W197))</f>
        <v/>
      </c>
      <c r="M200">
        <f>IF(OR($E200="",$E200="نامعتبر"),"",IF(Sync!$X197="",0,Sync!$X197))</f>
        <v/>
      </c>
      <c r="N200">
        <f>IF(OR($E200="",$E200="نامعتبر"),"",IF(AND($J200="هزینه",$K200&lt;&gt;""),1,0))</f>
        <v/>
      </c>
      <c r="O200">
        <f>IF($N200=0,"",LEFT($E200,4)&amp;MID($E200,6,2)&amp;RIGHT($E200,2)&amp;$F200&amp;"|"&amp;"1"&amp;RIGHT("00000"&amp;192,5))</f>
        <v/>
      </c>
      <c r="P200">
        <f>IF($O200="","",COUNTIFS(ExpSub,$K200,ExpKey,"&lt;"&amp;$O200)+1)</f>
        <v/>
      </c>
      <c r="Q200">
        <f>IF($P200="","",$K200&amp;"|"&amp;RIGHT("000000"&amp;$P200,6))</f>
        <v/>
      </c>
    </row>
    <row r="201">
      <c r="A201">
        <f>IF(Sync!$P198="","",Sync!$P198)</f>
        <v/>
      </c>
      <c r="B201">
        <f>IF($A201="","",IF(ISNUMBER($A201),IF(AND($A201&gt;=10000101,$A201&lt;=99991231),INT($A201/10000),""),IFERROR(VALUE(TRIM(LEFT($A201,FIND("/",$A201)-1))),"")))</f>
        <v/>
      </c>
      <c r="C201">
        <f>IF(OR($A201="",$B201=""),"",IF(ISNUMBER($A201),INT(MOD($A201,10000)/100),IFERROR(VALUE(TRIM(LEFT(MID($A201,FIND("/",$A201)+1,20),FIND("/",MID($A201,FIND("/",$A201)+1,20))-1))),"")))</f>
        <v/>
      </c>
      <c r="D201">
        <f>IF(OR($A201="",$B201=""),"",IF(ISNUMBER($A201),MOD($A201,100),IFERROR(VALUE(TRIM(MID(MID($A201,FIND("/",$A201)+1,20),FIND("/",MID($A201,FIND("/",$A201)+1,20))+1,20))),"")))</f>
        <v/>
      </c>
      <c r="E201">
        <f>IF($A201="","",IF(OR($B201="",$C201="",$D201="",$B201&lt;1300,$B201&gt;1500,$C201&lt;1,$C201&gt;12,$D201&lt;1,$D201&gt;31),"نامعتبر",RIGHT("0000"&amp;$B201,4)&amp;"/"&amp;RIGHT("00"&amp;$C201,2)&amp;"/"&amp;RIGHT("00"&amp;$D201,2)))</f>
        <v/>
      </c>
      <c r="F201">
        <f>IF(OR($E201="",$E201="نامعتبر"),"",IF(Sync!$Q198="","0000",IF(AND(ISNUMBER(Sync!$Q198),Sync!$Q198&gt;=0,Sync!$Q198&lt;1),RIGHT("00"&amp;HOUR(Sync!$Q198),2)&amp;RIGHT("00"&amp;MINUTE(Sync!$Q198),2),IFERROR(RIGHT("00"&amp;VALUE(LEFT(Sync!$Q198,FIND(":",Sync!$Q198)-1)),2)&amp;RIGHT("00"&amp;VALUE(MID(Sync!$Q198,FIND(":",Sync!$Q198)+1,2)),2),"0000"))))</f>
        <v/>
      </c>
      <c r="G201">
        <f>IF(OR($E201="",$E201="نامعتبر"),"",IF(Sync!$S198="","",Sync!$S198))</f>
        <v/>
      </c>
      <c r="H201">
        <f>IF(OR($E201="",$E201="نامعتبر"),"",IF(Sync!$R198="","",Sync!$R198))</f>
        <v/>
      </c>
      <c r="I201">
        <f>IF(OR($E201="",$E201="نامعتبر"),"",IF(Sync!$T198="","",Sync!$T198))</f>
        <v/>
      </c>
      <c r="J201">
        <f>IF(OR($E201="",$E201="نامعتبر"),"",IF(Sync!$U198="","",Sync!$U198))</f>
        <v/>
      </c>
      <c r="K201">
        <f>IF(OR($E201="",$E201="نامعتبر"),"",IF(Sync!$V198="","",IFERROR(INDEX(SubCodes,MATCH(Sync!$V198,SubTitles,0)),Sync!$V198)))</f>
        <v/>
      </c>
      <c r="L201">
        <f>IF(OR($E201="",$E201="نامعتبر"),"",IF(Sync!$W198="",0,Sync!$W198))</f>
        <v/>
      </c>
      <c r="M201">
        <f>IF(OR($E201="",$E201="نامعتبر"),"",IF(Sync!$X198="",0,Sync!$X198))</f>
        <v/>
      </c>
      <c r="N201">
        <f>IF(OR($E201="",$E201="نامعتبر"),"",IF(AND($J201="هزینه",$K201&lt;&gt;""),1,0))</f>
        <v/>
      </c>
      <c r="O201">
        <f>IF($N201=0,"",LEFT($E201,4)&amp;MID($E201,6,2)&amp;RIGHT($E201,2)&amp;$F201&amp;"|"&amp;"1"&amp;RIGHT("00000"&amp;193,5))</f>
        <v/>
      </c>
      <c r="P201">
        <f>IF($O201="","",COUNTIFS(ExpSub,$K201,ExpKey,"&lt;"&amp;$O201)+1)</f>
        <v/>
      </c>
      <c r="Q201">
        <f>IF($P201="","",$K201&amp;"|"&amp;RIGHT("000000"&amp;$P201,6))</f>
        <v/>
      </c>
    </row>
    <row r="202">
      <c r="A202">
        <f>IF(Sync!$P199="","",Sync!$P199)</f>
        <v/>
      </c>
      <c r="B202">
        <f>IF($A202="","",IF(ISNUMBER($A202),IF(AND($A202&gt;=10000101,$A202&lt;=99991231),INT($A202/10000),""),IFERROR(VALUE(TRIM(LEFT($A202,FIND("/",$A202)-1))),"")))</f>
        <v/>
      </c>
      <c r="C202">
        <f>IF(OR($A202="",$B202=""),"",IF(ISNUMBER($A202),INT(MOD($A202,10000)/100),IFERROR(VALUE(TRIM(LEFT(MID($A202,FIND("/",$A202)+1,20),FIND("/",MID($A202,FIND("/",$A202)+1,20))-1))),"")))</f>
        <v/>
      </c>
      <c r="D202">
        <f>IF(OR($A202="",$B202=""),"",IF(ISNUMBER($A202),MOD($A202,100),IFERROR(VALUE(TRIM(MID(MID($A202,FIND("/",$A202)+1,20),FIND("/",MID($A202,FIND("/",$A202)+1,20))+1,20))),"")))</f>
        <v/>
      </c>
      <c r="E202">
        <f>IF($A202="","",IF(OR($B202="",$C202="",$D202="",$B202&lt;1300,$B202&gt;1500,$C202&lt;1,$C202&gt;12,$D202&lt;1,$D202&gt;31),"نامعتبر",RIGHT("0000"&amp;$B202,4)&amp;"/"&amp;RIGHT("00"&amp;$C202,2)&amp;"/"&amp;RIGHT("00"&amp;$D202,2)))</f>
        <v/>
      </c>
      <c r="F202">
        <f>IF(OR($E202="",$E202="نامعتبر"),"",IF(Sync!$Q199="","0000",IF(AND(ISNUMBER(Sync!$Q199),Sync!$Q199&gt;=0,Sync!$Q199&lt;1),RIGHT("00"&amp;HOUR(Sync!$Q199),2)&amp;RIGHT("00"&amp;MINUTE(Sync!$Q199),2),IFERROR(RIGHT("00"&amp;VALUE(LEFT(Sync!$Q199,FIND(":",Sync!$Q199)-1)),2)&amp;RIGHT("00"&amp;VALUE(MID(Sync!$Q199,FIND(":",Sync!$Q199)+1,2)),2),"0000"))))</f>
        <v/>
      </c>
      <c r="G202">
        <f>IF(OR($E202="",$E202="نامعتبر"),"",IF(Sync!$S199="","",Sync!$S199))</f>
        <v/>
      </c>
      <c r="H202">
        <f>IF(OR($E202="",$E202="نامعتبر"),"",IF(Sync!$R199="","",Sync!$R199))</f>
        <v/>
      </c>
      <c r="I202">
        <f>IF(OR($E202="",$E202="نامعتبر"),"",IF(Sync!$T199="","",Sync!$T199))</f>
        <v/>
      </c>
      <c r="J202">
        <f>IF(OR($E202="",$E202="نامعتبر"),"",IF(Sync!$U199="","",Sync!$U199))</f>
        <v/>
      </c>
      <c r="K202">
        <f>IF(OR($E202="",$E202="نامعتبر"),"",IF(Sync!$V199="","",IFERROR(INDEX(SubCodes,MATCH(Sync!$V199,SubTitles,0)),Sync!$V199)))</f>
        <v/>
      </c>
      <c r="L202">
        <f>IF(OR($E202="",$E202="نامعتبر"),"",IF(Sync!$W199="",0,Sync!$W199))</f>
        <v/>
      </c>
      <c r="M202">
        <f>IF(OR($E202="",$E202="نامعتبر"),"",IF(Sync!$X199="",0,Sync!$X199))</f>
        <v/>
      </c>
      <c r="N202">
        <f>IF(OR($E202="",$E202="نامعتبر"),"",IF(AND($J202="هزینه",$K202&lt;&gt;""),1,0))</f>
        <v/>
      </c>
      <c r="O202">
        <f>IF($N202=0,"",LEFT($E202,4)&amp;MID($E202,6,2)&amp;RIGHT($E202,2)&amp;$F202&amp;"|"&amp;"1"&amp;RIGHT("00000"&amp;194,5))</f>
        <v/>
      </c>
      <c r="P202">
        <f>IF($O202="","",COUNTIFS(ExpSub,$K202,ExpKey,"&lt;"&amp;$O202)+1)</f>
        <v/>
      </c>
      <c r="Q202">
        <f>IF($P202="","",$K202&amp;"|"&amp;RIGHT("000000"&amp;$P202,6))</f>
        <v/>
      </c>
    </row>
    <row r="203">
      <c r="A203">
        <f>IF(Sync!$P200="","",Sync!$P200)</f>
        <v/>
      </c>
      <c r="B203">
        <f>IF($A203="","",IF(ISNUMBER($A203),IF(AND($A203&gt;=10000101,$A203&lt;=99991231),INT($A203/10000),""),IFERROR(VALUE(TRIM(LEFT($A203,FIND("/",$A203)-1))),"")))</f>
        <v/>
      </c>
      <c r="C203">
        <f>IF(OR($A203="",$B203=""),"",IF(ISNUMBER($A203),INT(MOD($A203,10000)/100),IFERROR(VALUE(TRIM(LEFT(MID($A203,FIND("/",$A203)+1,20),FIND("/",MID($A203,FIND("/",$A203)+1,20))-1))),"")))</f>
        <v/>
      </c>
      <c r="D203">
        <f>IF(OR($A203="",$B203=""),"",IF(ISNUMBER($A203),MOD($A203,100),IFERROR(VALUE(TRIM(MID(MID($A203,FIND("/",$A203)+1,20),FIND("/",MID($A203,FIND("/",$A203)+1,20))+1,20))),"")))</f>
        <v/>
      </c>
      <c r="E203">
        <f>IF($A203="","",IF(OR($B203="",$C203="",$D203="",$B203&lt;1300,$B203&gt;1500,$C203&lt;1,$C203&gt;12,$D203&lt;1,$D203&gt;31),"نامعتبر",RIGHT("0000"&amp;$B203,4)&amp;"/"&amp;RIGHT("00"&amp;$C203,2)&amp;"/"&amp;RIGHT("00"&amp;$D203,2)))</f>
        <v/>
      </c>
      <c r="F203">
        <f>IF(OR($E203="",$E203="نامعتبر"),"",IF(Sync!$Q200="","0000",IF(AND(ISNUMBER(Sync!$Q200),Sync!$Q200&gt;=0,Sync!$Q200&lt;1),RIGHT("00"&amp;HOUR(Sync!$Q200),2)&amp;RIGHT("00"&amp;MINUTE(Sync!$Q200),2),IFERROR(RIGHT("00"&amp;VALUE(LEFT(Sync!$Q200,FIND(":",Sync!$Q200)-1)),2)&amp;RIGHT("00"&amp;VALUE(MID(Sync!$Q200,FIND(":",Sync!$Q200)+1,2)),2),"0000"))))</f>
        <v/>
      </c>
      <c r="G203">
        <f>IF(OR($E203="",$E203="نامعتبر"),"",IF(Sync!$S200="","",Sync!$S200))</f>
        <v/>
      </c>
      <c r="H203">
        <f>IF(OR($E203="",$E203="نامعتبر"),"",IF(Sync!$R200="","",Sync!$R200))</f>
        <v/>
      </c>
      <c r="I203">
        <f>IF(OR($E203="",$E203="نامعتبر"),"",IF(Sync!$T200="","",Sync!$T200))</f>
        <v/>
      </c>
      <c r="J203">
        <f>IF(OR($E203="",$E203="نامعتبر"),"",IF(Sync!$U200="","",Sync!$U200))</f>
        <v/>
      </c>
      <c r="K203">
        <f>IF(OR($E203="",$E203="نامعتبر"),"",IF(Sync!$V200="","",IFERROR(INDEX(SubCodes,MATCH(Sync!$V200,SubTitles,0)),Sync!$V200)))</f>
        <v/>
      </c>
      <c r="L203">
        <f>IF(OR($E203="",$E203="نامعتبر"),"",IF(Sync!$W200="",0,Sync!$W200))</f>
        <v/>
      </c>
      <c r="M203">
        <f>IF(OR($E203="",$E203="نامعتبر"),"",IF(Sync!$X200="",0,Sync!$X200))</f>
        <v/>
      </c>
      <c r="N203">
        <f>IF(OR($E203="",$E203="نامعتبر"),"",IF(AND($J203="هزینه",$K203&lt;&gt;""),1,0))</f>
        <v/>
      </c>
      <c r="O203">
        <f>IF($N203=0,"",LEFT($E203,4)&amp;MID($E203,6,2)&amp;RIGHT($E203,2)&amp;$F203&amp;"|"&amp;"1"&amp;RIGHT("00000"&amp;195,5))</f>
        <v/>
      </c>
      <c r="P203">
        <f>IF($O203="","",COUNTIFS(ExpSub,$K203,ExpKey,"&lt;"&amp;$O203)+1)</f>
        <v/>
      </c>
      <c r="Q203">
        <f>IF($P203="","",$K203&amp;"|"&amp;RIGHT("000000"&amp;$P203,6))</f>
        <v/>
      </c>
    </row>
    <row r="204">
      <c r="A204">
        <f>IF(Sync!$P201="","",Sync!$P201)</f>
        <v/>
      </c>
      <c r="B204">
        <f>IF($A204="","",IF(ISNUMBER($A204),IF(AND($A204&gt;=10000101,$A204&lt;=99991231),INT($A204/10000),""),IFERROR(VALUE(TRIM(LEFT($A204,FIND("/",$A204)-1))),"")))</f>
        <v/>
      </c>
      <c r="C204">
        <f>IF(OR($A204="",$B204=""),"",IF(ISNUMBER($A204),INT(MOD($A204,10000)/100),IFERROR(VALUE(TRIM(LEFT(MID($A204,FIND("/",$A204)+1,20),FIND("/",MID($A204,FIND("/",$A204)+1,20))-1))),"")))</f>
        <v/>
      </c>
      <c r="D204">
        <f>IF(OR($A204="",$B204=""),"",IF(ISNUMBER($A204),MOD($A204,100),IFERROR(VALUE(TRIM(MID(MID($A204,FIND("/",$A204)+1,20),FIND("/",MID($A204,FIND("/",$A204)+1,20))+1,20))),"")))</f>
        <v/>
      </c>
      <c r="E204">
        <f>IF($A204="","",IF(OR($B204="",$C204="",$D204="",$B204&lt;1300,$B204&gt;1500,$C204&lt;1,$C204&gt;12,$D204&lt;1,$D204&gt;31),"نامعتبر",RIGHT("0000"&amp;$B204,4)&amp;"/"&amp;RIGHT("00"&amp;$C204,2)&amp;"/"&amp;RIGHT("00"&amp;$D204,2)))</f>
        <v/>
      </c>
      <c r="F204">
        <f>IF(OR($E204="",$E204="نامعتبر"),"",IF(Sync!$Q201="","0000",IF(AND(ISNUMBER(Sync!$Q201),Sync!$Q201&gt;=0,Sync!$Q201&lt;1),RIGHT("00"&amp;HOUR(Sync!$Q201),2)&amp;RIGHT("00"&amp;MINUTE(Sync!$Q201),2),IFERROR(RIGHT("00"&amp;VALUE(LEFT(Sync!$Q201,FIND(":",Sync!$Q201)-1)),2)&amp;RIGHT("00"&amp;VALUE(MID(Sync!$Q201,FIND(":",Sync!$Q201)+1,2)),2),"0000"))))</f>
        <v/>
      </c>
      <c r="G204">
        <f>IF(OR($E204="",$E204="نامعتبر"),"",IF(Sync!$S201="","",Sync!$S201))</f>
        <v/>
      </c>
      <c r="H204">
        <f>IF(OR($E204="",$E204="نامعتبر"),"",IF(Sync!$R201="","",Sync!$R201))</f>
        <v/>
      </c>
      <c r="I204">
        <f>IF(OR($E204="",$E204="نامعتبر"),"",IF(Sync!$T201="","",Sync!$T201))</f>
        <v/>
      </c>
      <c r="J204">
        <f>IF(OR($E204="",$E204="نامعتبر"),"",IF(Sync!$U201="","",Sync!$U201))</f>
        <v/>
      </c>
      <c r="K204">
        <f>IF(OR($E204="",$E204="نامعتبر"),"",IF(Sync!$V201="","",IFERROR(INDEX(SubCodes,MATCH(Sync!$V201,SubTitles,0)),Sync!$V201)))</f>
        <v/>
      </c>
      <c r="L204">
        <f>IF(OR($E204="",$E204="نامعتبر"),"",IF(Sync!$W201="",0,Sync!$W201))</f>
        <v/>
      </c>
      <c r="M204">
        <f>IF(OR($E204="",$E204="نامعتبر"),"",IF(Sync!$X201="",0,Sync!$X201))</f>
        <v/>
      </c>
      <c r="N204">
        <f>IF(OR($E204="",$E204="نامعتبر"),"",IF(AND($J204="هزینه",$K204&lt;&gt;""),1,0))</f>
        <v/>
      </c>
      <c r="O204">
        <f>IF($N204=0,"",LEFT($E204,4)&amp;MID($E204,6,2)&amp;RIGHT($E204,2)&amp;$F204&amp;"|"&amp;"1"&amp;RIGHT("00000"&amp;196,5))</f>
        <v/>
      </c>
      <c r="P204">
        <f>IF($O204="","",COUNTIFS(ExpSub,$K204,ExpKey,"&lt;"&amp;$O204)+1)</f>
        <v/>
      </c>
      <c r="Q204">
        <f>IF($P204="","",$K204&amp;"|"&amp;RIGHT("000000"&amp;$P204,6))</f>
        <v/>
      </c>
    </row>
    <row r="205">
      <c r="A205">
        <f>IF(Sync!$P202="","",Sync!$P202)</f>
        <v/>
      </c>
      <c r="B205">
        <f>IF($A205="","",IF(ISNUMBER($A205),IF(AND($A205&gt;=10000101,$A205&lt;=99991231),INT($A205/10000),""),IFERROR(VALUE(TRIM(LEFT($A205,FIND("/",$A205)-1))),"")))</f>
        <v/>
      </c>
      <c r="C205">
        <f>IF(OR($A205="",$B205=""),"",IF(ISNUMBER($A205),INT(MOD($A205,10000)/100),IFERROR(VALUE(TRIM(LEFT(MID($A205,FIND("/",$A205)+1,20),FIND("/",MID($A205,FIND("/",$A205)+1,20))-1))),"")))</f>
        <v/>
      </c>
      <c r="D205">
        <f>IF(OR($A205="",$B205=""),"",IF(ISNUMBER($A205),MOD($A205,100),IFERROR(VALUE(TRIM(MID(MID($A205,FIND("/",$A205)+1,20),FIND("/",MID($A205,FIND("/",$A205)+1,20))+1,20))),"")))</f>
        <v/>
      </c>
      <c r="E205">
        <f>IF($A205="","",IF(OR($B205="",$C205="",$D205="",$B205&lt;1300,$B205&gt;1500,$C205&lt;1,$C205&gt;12,$D205&lt;1,$D205&gt;31),"نامعتبر",RIGHT("0000"&amp;$B205,4)&amp;"/"&amp;RIGHT("00"&amp;$C205,2)&amp;"/"&amp;RIGHT("00"&amp;$D205,2)))</f>
        <v/>
      </c>
      <c r="F205">
        <f>IF(OR($E205="",$E205="نامعتبر"),"",IF(Sync!$Q202="","0000",IF(AND(ISNUMBER(Sync!$Q202),Sync!$Q202&gt;=0,Sync!$Q202&lt;1),RIGHT("00"&amp;HOUR(Sync!$Q202),2)&amp;RIGHT("00"&amp;MINUTE(Sync!$Q202),2),IFERROR(RIGHT("00"&amp;VALUE(LEFT(Sync!$Q202,FIND(":",Sync!$Q202)-1)),2)&amp;RIGHT("00"&amp;VALUE(MID(Sync!$Q202,FIND(":",Sync!$Q202)+1,2)),2),"0000"))))</f>
        <v/>
      </c>
      <c r="G205">
        <f>IF(OR($E205="",$E205="نامعتبر"),"",IF(Sync!$S202="","",Sync!$S202))</f>
        <v/>
      </c>
      <c r="H205">
        <f>IF(OR($E205="",$E205="نامعتبر"),"",IF(Sync!$R202="","",Sync!$R202))</f>
        <v/>
      </c>
      <c r="I205">
        <f>IF(OR($E205="",$E205="نامعتبر"),"",IF(Sync!$T202="","",Sync!$T202))</f>
        <v/>
      </c>
      <c r="J205">
        <f>IF(OR($E205="",$E205="نامعتبر"),"",IF(Sync!$U202="","",Sync!$U202))</f>
        <v/>
      </c>
      <c r="K205">
        <f>IF(OR($E205="",$E205="نامعتبر"),"",IF(Sync!$V202="","",IFERROR(INDEX(SubCodes,MATCH(Sync!$V202,SubTitles,0)),Sync!$V202)))</f>
        <v/>
      </c>
      <c r="L205">
        <f>IF(OR($E205="",$E205="نامعتبر"),"",IF(Sync!$W202="",0,Sync!$W202))</f>
        <v/>
      </c>
      <c r="M205">
        <f>IF(OR($E205="",$E205="نامعتبر"),"",IF(Sync!$X202="",0,Sync!$X202))</f>
        <v/>
      </c>
      <c r="N205">
        <f>IF(OR($E205="",$E205="نامعتبر"),"",IF(AND($J205="هزینه",$K205&lt;&gt;""),1,0))</f>
        <v/>
      </c>
      <c r="O205">
        <f>IF($N205=0,"",LEFT($E205,4)&amp;MID($E205,6,2)&amp;RIGHT($E205,2)&amp;$F205&amp;"|"&amp;"1"&amp;RIGHT("00000"&amp;197,5))</f>
        <v/>
      </c>
      <c r="P205">
        <f>IF($O205="","",COUNTIFS(ExpSub,$K205,ExpKey,"&lt;"&amp;$O205)+1)</f>
        <v/>
      </c>
      <c r="Q205">
        <f>IF($P205="","",$K205&amp;"|"&amp;RIGHT("000000"&amp;$P205,6))</f>
        <v/>
      </c>
    </row>
    <row r="206">
      <c r="A206">
        <f>IF(Sync!$P203="","",Sync!$P203)</f>
        <v/>
      </c>
      <c r="B206">
        <f>IF($A206="","",IF(ISNUMBER($A206),IF(AND($A206&gt;=10000101,$A206&lt;=99991231),INT($A206/10000),""),IFERROR(VALUE(TRIM(LEFT($A206,FIND("/",$A206)-1))),"")))</f>
        <v/>
      </c>
      <c r="C206">
        <f>IF(OR($A206="",$B206=""),"",IF(ISNUMBER($A206),INT(MOD($A206,10000)/100),IFERROR(VALUE(TRIM(LEFT(MID($A206,FIND("/",$A206)+1,20),FIND("/",MID($A206,FIND("/",$A206)+1,20))-1))),"")))</f>
        <v/>
      </c>
      <c r="D206">
        <f>IF(OR($A206="",$B206=""),"",IF(ISNUMBER($A206),MOD($A206,100),IFERROR(VALUE(TRIM(MID(MID($A206,FIND("/",$A206)+1,20),FIND("/",MID($A206,FIND("/",$A206)+1,20))+1,20))),"")))</f>
        <v/>
      </c>
      <c r="E206">
        <f>IF($A206="","",IF(OR($B206="",$C206="",$D206="",$B206&lt;1300,$B206&gt;1500,$C206&lt;1,$C206&gt;12,$D206&lt;1,$D206&gt;31),"نامعتبر",RIGHT("0000"&amp;$B206,4)&amp;"/"&amp;RIGHT("00"&amp;$C206,2)&amp;"/"&amp;RIGHT("00"&amp;$D206,2)))</f>
        <v/>
      </c>
      <c r="F206">
        <f>IF(OR($E206="",$E206="نامعتبر"),"",IF(Sync!$Q203="","0000",IF(AND(ISNUMBER(Sync!$Q203),Sync!$Q203&gt;=0,Sync!$Q203&lt;1),RIGHT("00"&amp;HOUR(Sync!$Q203),2)&amp;RIGHT("00"&amp;MINUTE(Sync!$Q203),2),IFERROR(RIGHT("00"&amp;VALUE(LEFT(Sync!$Q203,FIND(":",Sync!$Q203)-1)),2)&amp;RIGHT("00"&amp;VALUE(MID(Sync!$Q203,FIND(":",Sync!$Q203)+1,2)),2),"0000"))))</f>
        <v/>
      </c>
      <c r="G206">
        <f>IF(OR($E206="",$E206="نامعتبر"),"",IF(Sync!$S203="","",Sync!$S203))</f>
        <v/>
      </c>
      <c r="H206">
        <f>IF(OR($E206="",$E206="نامعتبر"),"",IF(Sync!$R203="","",Sync!$R203))</f>
        <v/>
      </c>
      <c r="I206">
        <f>IF(OR($E206="",$E206="نامعتبر"),"",IF(Sync!$T203="","",Sync!$T203))</f>
        <v/>
      </c>
      <c r="J206">
        <f>IF(OR($E206="",$E206="نامعتبر"),"",IF(Sync!$U203="","",Sync!$U203))</f>
        <v/>
      </c>
      <c r="K206">
        <f>IF(OR($E206="",$E206="نامعتبر"),"",IF(Sync!$V203="","",IFERROR(INDEX(SubCodes,MATCH(Sync!$V203,SubTitles,0)),Sync!$V203)))</f>
        <v/>
      </c>
      <c r="L206">
        <f>IF(OR($E206="",$E206="نامعتبر"),"",IF(Sync!$W203="",0,Sync!$W203))</f>
        <v/>
      </c>
      <c r="M206">
        <f>IF(OR($E206="",$E206="نامعتبر"),"",IF(Sync!$X203="",0,Sync!$X203))</f>
        <v/>
      </c>
      <c r="N206">
        <f>IF(OR($E206="",$E206="نامعتبر"),"",IF(AND($J206="هزینه",$K206&lt;&gt;""),1,0))</f>
        <v/>
      </c>
      <c r="O206">
        <f>IF($N206=0,"",LEFT($E206,4)&amp;MID($E206,6,2)&amp;RIGHT($E206,2)&amp;$F206&amp;"|"&amp;"1"&amp;RIGHT("00000"&amp;198,5))</f>
        <v/>
      </c>
      <c r="P206">
        <f>IF($O206="","",COUNTIFS(ExpSub,$K206,ExpKey,"&lt;"&amp;$O206)+1)</f>
        <v/>
      </c>
      <c r="Q206">
        <f>IF($P206="","",$K206&amp;"|"&amp;RIGHT("000000"&amp;$P206,6))</f>
        <v/>
      </c>
    </row>
    <row r="207">
      <c r="A207">
        <f>IF(Sync!$P204="","",Sync!$P204)</f>
        <v/>
      </c>
      <c r="B207">
        <f>IF($A207="","",IF(ISNUMBER($A207),IF(AND($A207&gt;=10000101,$A207&lt;=99991231),INT($A207/10000),""),IFERROR(VALUE(TRIM(LEFT($A207,FIND("/",$A207)-1))),"")))</f>
        <v/>
      </c>
      <c r="C207">
        <f>IF(OR($A207="",$B207=""),"",IF(ISNUMBER($A207),INT(MOD($A207,10000)/100),IFERROR(VALUE(TRIM(LEFT(MID($A207,FIND("/",$A207)+1,20),FIND("/",MID($A207,FIND("/",$A207)+1,20))-1))),"")))</f>
        <v/>
      </c>
      <c r="D207">
        <f>IF(OR($A207="",$B207=""),"",IF(ISNUMBER($A207),MOD($A207,100),IFERROR(VALUE(TRIM(MID(MID($A207,FIND("/",$A207)+1,20),FIND("/",MID($A207,FIND("/",$A207)+1,20))+1,20))),"")))</f>
        <v/>
      </c>
      <c r="E207">
        <f>IF($A207="","",IF(OR($B207="",$C207="",$D207="",$B207&lt;1300,$B207&gt;1500,$C207&lt;1,$C207&gt;12,$D207&lt;1,$D207&gt;31),"نامعتبر",RIGHT("0000"&amp;$B207,4)&amp;"/"&amp;RIGHT("00"&amp;$C207,2)&amp;"/"&amp;RIGHT("00"&amp;$D207,2)))</f>
        <v/>
      </c>
      <c r="F207">
        <f>IF(OR($E207="",$E207="نامعتبر"),"",IF(Sync!$Q204="","0000",IF(AND(ISNUMBER(Sync!$Q204),Sync!$Q204&gt;=0,Sync!$Q204&lt;1),RIGHT("00"&amp;HOUR(Sync!$Q204),2)&amp;RIGHT("00"&amp;MINUTE(Sync!$Q204),2),IFERROR(RIGHT("00"&amp;VALUE(LEFT(Sync!$Q204,FIND(":",Sync!$Q204)-1)),2)&amp;RIGHT("00"&amp;VALUE(MID(Sync!$Q204,FIND(":",Sync!$Q204)+1,2)),2),"0000"))))</f>
        <v/>
      </c>
      <c r="G207">
        <f>IF(OR($E207="",$E207="نامعتبر"),"",IF(Sync!$S204="","",Sync!$S204))</f>
        <v/>
      </c>
      <c r="H207">
        <f>IF(OR($E207="",$E207="نامعتبر"),"",IF(Sync!$R204="","",Sync!$R204))</f>
        <v/>
      </c>
      <c r="I207">
        <f>IF(OR($E207="",$E207="نامعتبر"),"",IF(Sync!$T204="","",Sync!$T204))</f>
        <v/>
      </c>
      <c r="J207">
        <f>IF(OR($E207="",$E207="نامعتبر"),"",IF(Sync!$U204="","",Sync!$U204))</f>
        <v/>
      </c>
      <c r="K207">
        <f>IF(OR($E207="",$E207="نامعتبر"),"",IF(Sync!$V204="","",IFERROR(INDEX(SubCodes,MATCH(Sync!$V204,SubTitles,0)),Sync!$V204)))</f>
        <v/>
      </c>
      <c r="L207">
        <f>IF(OR($E207="",$E207="نامعتبر"),"",IF(Sync!$W204="",0,Sync!$W204))</f>
        <v/>
      </c>
      <c r="M207">
        <f>IF(OR($E207="",$E207="نامعتبر"),"",IF(Sync!$X204="",0,Sync!$X204))</f>
        <v/>
      </c>
      <c r="N207">
        <f>IF(OR($E207="",$E207="نامعتبر"),"",IF(AND($J207="هزینه",$K207&lt;&gt;""),1,0))</f>
        <v/>
      </c>
      <c r="O207">
        <f>IF($N207=0,"",LEFT($E207,4)&amp;MID($E207,6,2)&amp;RIGHT($E207,2)&amp;$F207&amp;"|"&amp;"1"&amp;RIGHT("00000"&amp;199,5))</f>
        <v/>
      </c>
      <c r="P207">
        <f>IF($O207="","",COUNTIFS(ExpSub,$K207,ExpKey,"&lt;"&amp;$O207)+1)</f>
        <v/>
      </c>
      <c r="Q207">
        <f>IF($P207="","",$K207&amp;"|"&amp;RIGHT("000000"&amp;$P207,6))</f>
        <v/>
      </c>
    </row>
    <row r="208">
      <c r="A208">
        <f>IF(Sync!$P205="","",Sync!$P205)</f>
        <v/>
      </c>
      <c r="B208">
        <f>IF($A208="","",IF(ISNUMBER($A208),IF(AND($A208&gt;=10000101,$A208&lt;=99991231),INT($A208/10000),""),IFERROR(VALUE(TRIM(LEFT($A208,FIND("/",$A208)-1))),"")))</f>
        <v/>
      </c>
      <c r="C208">
        <f>IF(OR($A208="",$B208=""),"",IF(ISNUMBER($A208),INT(MOD($A208,10000)/100),IFERROR(VALUE(TRIM(LEFT(MID($A208,FIND("/",$A208)+1,20),FIND("/",MID($A208,FIND("/",$A208)+1,20))-1))),"")))</f>
        <v/>
      </c>
      <c r="D208">
        <f>IF(OR($A208="",$B208=""),"",IF(ISNUMBER($A208),MOD($A208,100),IFERROR(VALUE(TRIM(MID(MID($A208,FIND("/",$A208)+1,20),FIND("/",MID($A208,FIND("/",$A208)+1,20))+1,20))),"")))</f>
        <v/>
      </c>
      <c r="E208">
        <f>IF($A208="","",IF(OR($B208="",$C208="",$D208="",$B208&lt;1300,$B208&gt;1500,$C208&lt;1,$C208&gt;12,$D208&lt;1,$D208&gt;31),"نامعتبر",RIGHT("0000"&amp;$B208,4)&amp;"/"&amp;RIGHT("00"&amp;$C208,2)&amp;"/"&amp;RIGHT("00"&amp;$D208,2)))</f>
        <v/>
      </c>
      <c r="F208">
        <f>IF(OR($E208="",$E208="نامعتبر"),"",IF(Sync!$Q205="","0000",IF(AND(ISNUMBER(Sync!$Q205),Sync!$Q205&gt;=0,Sync!$Q205&lt;1),RIGHT("00"&amp;HOUR(Sync!$Q205),2)&amp;RIGHT("00"&amp;MINUTE(Sync!$Q205),2),IFERROR(RIGHT("00"&amp;VALUE(LEFT(Sync!$Q205,FIND(":",Sync!$Q205)-1)),2)&amp;RIGHT("00"&amp;VALUE(MID(Sync!$Q205,FIND(":",Sync!$Q205)+1,2)),2),"0000"))))</f>
        <v/>
      </c>
      <c r="G208">
        <f>IF(OR($E208="",$E208="نامعتبر"),"",IF(Sync!$S205="","",Sync!$S205))</f>
        <v/>
      </c>
      <c r="H208">
        <f>IF(OR($E208="",$E208="نامعتبر"),"",IF(Sync!$R205="","",Sync!$R205))</f>
        <v/>
      </c>
      <c r="I208">
        <f>IF(OR($E208="",$E208="نامعتبر"),"",IF(Sync!$T205="","",Sync!$T205))</f>
        <v/>
      </c>
      <c r="J208">
        <f>IF(OR($E208="",$E208="نامعتبر"),"",IF(Sync!$U205="","",Sync!$U205))</f>
        <v/>
      </c>
      <c r="K208">
        <f>IF(OR($E208="",$E208="نامعتبر"),"",IF(Sync!$V205="","",IFERROR(INDEX(SubCodes,MATCH(Sync!$V205,SubTitles,0)),Sync!$V205)))</f>
        <v/>
      </c>
      <c r="L208">
        <f>IF(OR($E208="",$E208="نامعتبر"),"",IF(Sync!$W205="",0,Sync!$W205))</f>
        <v/>
      </c>
      <c r="M208">
        <f>IF(OR($E208="",$E208="نامعتبر"),"",IF(Sync!$X205="",0,Sync!$X205))</f>
        <v/>
      </c>
      <c r="N208">
        <f>IF(OR($E208="",$E208="نامعتبر"),"",IF(AND($J208="هزینه",$K208&lt;&gt;""),1,0))</f>
        <v/>
      </c>
      <c r="O208">
        <f>IF($N208=0,"",LEFT($E208,4)&amp;MID($E208,6,2)&amp;RIGHT($E208,2)&amp;$F208&amp;"|"&amp;"1"&amp;RIGHT("00000"&amp;200,5))</f>
        <v/>
      </c>
      <c r="P208">
        <f>IF($O208="","",COUNTIFS(ExpSub,$K208,ExpKey,"&lt;"&amp;$O208)+1)</f>
        <v/>
      </c>
      <c r="Q208">
        <f>IF($P208="","",$K208&amp;"|"&amp;RIGHT("000000"&amp;$P208,6))</f>
        <v/>
      </c>
    </row>
    <row r="209">
      <c r="A209">
        <f>IF(Sync!$P206="","",Sync!$P206)</f>
        <v/>
      </c>
      <c r="B209">
        <f>IF($A209="","",IF(ISNUMBER($A209),IF(AND($A209&gt;=10000101,$A209&lt;=99991231),INT($A209/10000),""),IFERROR(VALUE(TRIM(LEFT($A209,FIND("/",$A209)-1))),"")))</f>
        <v/>
      </c>
      <c r="C209">
        <f>IF(OR($A209="",$B209=""),"",IF(ISNUMBER($A209),INT(MOD($A209,10000)/100),IFERROR(VALUE(TRIM(LEFT(MID($A209,FIND("/",$A209)+1,20),FIND("/",MID($A209,FIND("/",$A209)+1,20))-1))),"")))</f>
        <v/>
      </c>
      <c r="D209">
        <f>IF(OR($A209="",$B209=""),"",IF(ISNUMBER($A209),MOD($A209,100),IFERROR(VALUE(TRIM(MID(MID($A209,FIND("/",$A209)+1,20),FIND("/",MID($A209,FIND("/",$A209)+1,20))+1,20))),"")))</f>
        <v/>
      </c>
      <c r="E209">
        <f>IF($A209="","",IF(OR($B209="",$C209="",$D209="",$B209&lt;1300,$B209&gt;1500,$C209&lt;1,$C209&gt;12,$D209&lt;1,$D209&gt;31),"نامعتبر",RIGHT("0000"&amp;$B209,4)&amp;"/"&amp;RIGHT("00"&amp;$C209,2)&amp;"/"&amp;RIGHT("00"&amp;$D209,2)))</f>
        <v/>
      </c>
      <c r="F209">
        <f>IF(OR($E209="",$E209="نامعتبر"),"",IF(Sync!$Q206="","0000",IF(AND(ISNUMBER(Sync!$Q206),Sync!$Q206&gt;=0,Sync!$Q206&lt;1),RIGHT("00"&amp;HOUR(Sync!$Q206),2)&amp;RIGHT("00"&amp;MINUTE(Sync!$Q206),2),IFERROR(RIGHT("00"&amp;VALUE(LEFT(Sync!$Q206,FIND(":",Sync!$Q206)-1)),2)&amp;RIGHT("00"&amp;VALUE(MID(Sync!$Q206,FIND(":",Sync!$Q206)+1,2)),2),"0000"))))</f>
        <v/>
      </c>
      <c r="G209">
        <f>IF(OR($E209="",$E209="نامعتبر"),"",IF(Sync!$S206="","",Sync!$S206))</f>
        <v/>
      </c>
      <c r="H209">
        <f>IF(OR($E209="",$E209="نامعتبر"),"",IF(Sync!$R206="","",Sync!$R206))</f>
        <v/>
      </c>
      <c r="I209">
        <f>IF(OR($E209="",$E209="نامعتبر"),"",IF(Sync!$T206="","",Sync!$T206))</f>
        <v/>
      </c>
      <c r="J209">
        <f>IF(OR($E209="",$E209="نامعتبر"),"",IF(Sync!$U206="","",Sync!$U206))</f>
        <v/>
      </c>
      <c r="K209">
        <f>IF(OR($E209="",$E209="نامعتبر"),"",IF(Sync!$V206="","",IFERROR(INDEX(SubCodes,MATCH(Sync!$V206,SubTitles,0)),Sync!$V206)))</f>
        <v/>
      </c>
      <c r="L209">
        <f>IF(OR($E209="",$E209="نامعتبر"),"",IF(Sync!$W206="",0,Sync!$W206))</f>
        <v/>
      </c>
      <c r="M209">
        <f>IF(OR($E209="",$E209="نامعتبر"),"",IF(Sync!$X206="",0,Sync!$X206))</f>
        <v/>
      </c>
      <c r="N209">
        <f>IF(OR($E209="",$E209="نامعتبر"),"",IF(AND($J209="هزینه",$K209&lt;&gt;""),1,0))</f>
        <v/>
      </c>
      <c r="O209">
        <f>IF($N209=0,"",LEFT($E209,4)&amp;MID($E209,6,2)&amp;RIGHT($E209,2)&amp;$F209&amp;"|"&amp;"1"&amp;RIGHT("00000"&amp;201,5))</f>
        <v/>
      </c>
      <c r="P209">
        <f>IF($O209="","",COUNTIFS(ExpSub,$K209,ExpKey,"&lt;"&amp;$O209)+1)</f>
        <v/>
      </c>
      <c r="Q209">
        <f>IF($P209="","",$K209&amp;"|"&amp;RIGHT("000000"&amp;$P209,6))</f>
        <v/>
      </c>
    </row>
    <row r="210">
      <c r="A210">
        <f>IF(Sync!$P207="","",Sync!$P207)</f>
        <v/>
      </c>
      <c r="B210">
        <f>IF($A210="","",IF(ISNUMBER($A210),IF(AND($A210&gt;=10000101,$A210&lt;=99991231),INT($A210/10000),""),IFERROR(VALUE(TRIM(LEFT($A210,FIND("/",$A210)-1))),"")))</f>
        <v/>
      </c>
      <c r="C210">
        <f>IF(OR($A210="",$B210=""),"",IF(ISNUMBER($A210),INT(MOD($A210,10000)/100),IFERROR(VALUE(TRIM(LEFT(MID($A210,FIND("/",$A210)+1,20),FIND("/",MID($A210,FIND("/",$A210)+1,20))-1))),"")))</f>
        <v/>
      </c>
      <c r="D210">
        <f>IF(OR($A210="",$B210=""),"",IF(ISNUMBER($A210),MOD($A210,100),IFERROR(VALUE(TRIM(MID(MID($A210,FIND("/",$A210)+1,20),FIND("/",MID($A210,FIND("/",$A210)+1,20))+1,20))),"")))</f>
        <v/>
      </c>
      <c r="E210">
        <f>IF($A210="","",IF(OR($B210="",$C210="",$D210="",$B210&lt;1300,$B210&gt;1500,$C210&lt;1,$C210&gt;12,$D210&lt;1,$D210&gt;31),"نامعتبر",RIGHT("0000"&amp;$B210,4)&amp;"/"&amp;RIGHT("00"&amp;$C210,2)&amp;"/"&amp;RIGHT("00"&amp;$D210,2)))</f>
        <v/>
      </c>
      <c r="F210">
        <f>IF(OR($E210="",$E210="نامعتبر"),"",IF(Sync!$Q207="","0000",IF(AND(ISNUMBER(Sync!$Q207),Sync!$Q207&gt;=0,Sync!$Q207&lt;1),RIGHT("00"&amp;HOUR(Sync!$Q207),2)&amp;RIGHT("00"&amp;MINUTE(Sync!$Q207),2),IFERROR(RIGHT("00"&amp;VALUE(LEFT(Sync!$Q207,FIND(":",Sync!$Q207)-1)),2)&amp;RIGHT("00"&amp;VALUE(MID(Sync!$Q207,FIND(":",Sync!$Q207)+1,2)),2),"0000"))))</f>
        <v/>
      </c>
      <c r="G210">
        <f>IF(OR($E210="",$E210="نامعتبر"),"",IF(Sync!$S207="","",Sync!$S207))</f>
        <v/>
      </c>
      <c r="H210">
        <f>IF(OR($E210="",$E210="نامعتبر"),"",IF(Sync!$R207="","",Sync!$R207))</f>
        <v/>
      </c>
      <c r="I210">
        <f>IF(OR($E210="",$E210="نامعتبر"),"",IF(Sync!$T207="","",Sync!$T207))</f>
        <v/>
      </c>
      <c r="J210">
        <f>IF(OR($E210="",$E210="نامعتبر"),"",IF(Sync!$U207="","",Sync!$U207))</f>
        <v/>
      </c>
      <c r="K210">
        <f>IF(OR($E210="",$E210="نامعتبر"),"",IF(Sync!$V207="","",IFERROR(INDEX(SubCodes,MATCH(Sync!$V207,SubTitles,0)),Sync!$V207)))</f>
        <v/>
      </c>
      <c r="L210">
        <f>IF(OR($E210="",$E210="نامعتبر"),"",IF(Sync!$W207="",0,Sync!$W207))</f>
        <v/>
      </c>
      <c r="M210">
        <f>IF(OR($E210="",$E210="نامعتبر"),"",IF(Sync!$X207="",0,Sync!$X207))</f>
        <v/>
      </c>
      <c r="N210">
        <f>IF(OR($E210="",$E210="نامعتبر"),"",IF(AND($J210="هزینه",$K210&lt;&gt;""),1,0))</f>
        <v/>
      </c>
      <c r="O210">
        <f>IF($N210=0,"",LEFT($E210,4)&amp;MID($E210,6,2)&amp;RIGHT($E210,2)&amp;$F210&amp;"|"&amp;"1"&amp;RIGHT("00000"&amp;202,5))</f>
        <v/>
      </c>
      <c r="P210">
        <f>IF($O210="","",COUNTIFS(ExpSub,$K210,ExpKey,"&lt;"&amp;$O210)+1)</f>
        <v/>
      </c>
      <c r="Q210">
        <f>IF($P210="","",$K210&amp;"|"&amp;RIGHT("000000"&amp;$P210,6))</f>
        <v/>
      </c>
    </row>
    <row r="211">
      <c r="A211">
        <f>IF(Sync!$P208="","",Sync!$P208)</f>
        <v/>
      </c>
      <c r="B211">
        <f>IF($A211="","",IF(ISNUMBER($A211),IF(AND($A211&gt;=10000101,$A211&lt;=99991231),INT($A211/10000),""),IFERROR(VALUE(TRIM(LEFT($A211,FIND("/",$A211)-1))),"")))</f>
        <v/>
      </c>
      <c r="C211">
        <f>IF(OR($A211="",$B211=""),"",IF(ISNUMBER($A211),INT(MOD($A211,10000)/100),IFERROR(VALUE(TRIM(LEFT(MID($A211,FIND("/",$A211)+1,20),FIND("/",MID($A211,FIND("/",$A211)+1,20))-1))),"")))</f>
        <v/>
      </c>
      <c r="D211">
        <f>IF(OR($A211="",$B211=""),"",IF(ISNUMBER($A211),MOD($A211,100),IFERROR(VALUE(TRIM(MID(MID($A211,FIND("/",$A211)+1,20),FIND("/",MID($A211,FIND("/",$A211)+1,20))+1,20))),"")))</f>
        <v/>
      </c>
      <c r="E211">
        <f>IF($A211="","",IF(OR($B211="",$C211="",$D211="",$B211&lt;1300,$B211&gt;1500,$C211&lt;1,$C211&gt;12,$D211&lt;1,$D211&gt;31),"نامعتبر",RIGHT("0000"&amp;$B211,4)&amp;"/"&amp;RIGHT("00"&amp;$C211,2)&amp;"/"&amp;RIGHT("00"&amp;$D211,2)))</f>
        <v/>
      </c>
      <c r="F211">
        <f>IF(OR($E211="",$E211="نامعتبر"),"",IF(Sync!$Q208="","0000",IF(AND(ISNUMBER(Sync!$Q208),Sync!$Q208&gt;=0,Sync!$Q208&lt;1),RIGHT("00"&amp;HOUR(Sync!$Q208),2)&amp;RIGHT("00"&amp;MINUTE(Sync!$Q208),2),IFERROR(RIGHT("00"&amp;VALUE(LEFT(Sync!$Q208,FIND(":",Sync!$Q208)-1)),2)&amp;RIGHT("00"&amp;VALUE(MID(Sync!$Q208,FIND(":",Sync!$Q208)+1,2)),2),"0000"))))</f>
        <v/>
      </c>
      <c r="G211">
        <f>IF(OR($E211="",$E211="نامعتبر"),"",IF(Sync!$S208="","",Sync!$S208))</f>
        <v/>
      </c>
      <c r="H211">
        <f>IF(OR($E211="",$E211="نامعتبر"),"",IF(Sync!$R208="","",Sync!$R208))</f>
        <v/>
      </c>
      <c r="I211">
        <f>IF(OR($E211="",$E211="نامعتبر"),"",IF(Sync!$T208="","",Sync!$T208))</f>
        <v/>
      </c>
      <c r="J211">
        <f>IF(OR($E211="",$E211="نامعتبر"),"",IF(Sync!$U208="","",Sync!$U208))</f>
        <v/>
      </c>
      <c r="K211">
        <f>IF(OR($E211="",$E211="نامعتبر"),"",IF(Sync!$V208="","",IFERROR(INDEX(SubCodes,MATCH(Sync!$V208,SubTitles,0)),Sync!$V208)))</f>
        <v/>
      </c>
      <c r="L211">
        <f>IF(OR($E211="",$E211="نامعتبر"),"",IF(Sync!$W208="",0,Sync!$W208))</f>
        <v/>
      </c>
      <c r="M211">
        <f>IF(OR($E211="",$E211="نامعتبر"),"",IF(Sync!$X208="",0,Sync!$X208))</f>
        <v/>
      </c>
      <c r="N211">
        <f>IF(OR($E211="",$E211="نامعتبر"),"",IF(AND($J211="هزینه",$K211&lt;&gt;""),1,0))</f>
        <v/>
      </c>
      <c r="O211">
        <f>IF($N211=0,"",LEFT($E211,4)&amp;MID($E211,6,2)&amp;RIGHT($E211,2)&amp;$F211&amp;"|"&amp;"1"&amp;RIGHT("00000"&amp;203,5))</f>
        <v/>
      </c>
      <c r="P211">
        <f>IF($O211="","",COUNTIFS(ExpSub,$K211,ExpKey,"&lt;"&amp;$O211)+1)</f>
        <v/>
      </c>
      <c r="Q211">
        <f>IF($P211="","",$K211&amp;"|"&amp;RIGHT("000000"&amp;$P211,6))</f>
        <v/>
      </c>
    </row>
    <row r="212">
      <c r="A212">
        <f>IF(Sync!$P209="","",Sync!$P209)</f>
        <v/>
      </c>
      <c r="B212">
        <f>IF($A212="","",IF(ISNUMBER($A212),IF(AND($A212&gt;=10000101,$A212&lt;=99991231),INT($A212/10000),""),IFERROR(VALUE(TRIM(LEFT($A212,FIND("/",$A212)-1))),"")))</f>
        <v/>
      </c>
      <c r="C212">
        <f>IF(OR($A212="",$B212=""),"",IF(ISNUMBER($A212),INT(MOD($A212,10000)/100),IFERROR(VALUE(TRIM(LEFT(MID($A212,FIND("/",$A212)+1,20),FIND("/",MID($A212,FIND("/",$A212)+1,20))-1))),"")))</f>
        <v/>
      </c>
      <c r="D212">
        <f>IF(OR($A212="",$B212=""),"",IF(ISNUMBER($A212),MOD($A212,100),IFERROR(VALUE(TRIM(MID(MID($A212,FIND("/",$A212)+1,20),FIND("/",MID($A212,FIND("/",$A212)+1,20))+1,20))),"")))</f>
        <v/>
      </c>
      <c r="E212">
        <f>IF($A212="","",IF(OR($B212="",$C212="",$D212="",$B212&lt;1300,$B212&gt;1500,$C212&lt;1,$C212&gt;12,$D212&lt;1,$D212&gt;31),"نامعتبر",RIGHT("0000"&amp;$B212,4)&amp;"/"&amp;RIGHT("00"&amp;$C212,2)&amp;"/"&amp;RIGHT("00"&amp;$D212,2)))</f>
        <v/>
      </c>
      <c r="F212">
        <f>IF(OR($E212="",$E212="نامعتبر"),"",IF(Sync!$Q209="","0000",IF(AND(ISNUMBER(Sync!$Q209),Sync!$Q209&gt;=0,Sync!$Q209&lt;1),RIGHT("00"&amp;HOUR(Sync!$Q209),2)&amp;RIGHT("00"&amp;MINUTE(Sync!$Q209),2),IFERROR(RIGHT("00"&amp;VALUE(LEFT(Sync!$Q209,FIND(":",Sync!$Q209)-1)),2)&amp;RIGHT("00"&amp;VALUE(MID(Sync!$Q209,FIND(":",Sync!$Q209)+1,2)),2),"0000"))))</f>
        <v/>
      </c>
      <c r="G212">
        <f>IF(OR($E212="",$E212="نامعتبر"),"",IF(Sync!$S209="","",Sync!$S209))</f>
        <v/>
      </c>
      <c r="H212">
        <f>IF(OR($E212="",$E212="نامعتبر"),"",IF(Sync!$R209="","",Sync!$R209))</f>
        <v/>
      </c>
      <c r="I212">
        <f>IF(OR($E212="",$E212="نامعتبر"),"",IF(Sync!$T209="","",Sync!$T209))</f>
        <v/>
      </c>
      <c r="J212">
        <f>IF(OR($E212="",$E212="نامعتبر"),"",IF(Sync!$U209="","",Sync!$U209))</f>
        <v/>
      </c>
      <c r="K212">
        <f>IF(OR($E212="",$E212="نامعتبر"),"",IF(Sync!$V209="","",IFERROR(INDEX(SubCodes,MATCH(Sync!$V209,SubTitles,0)),Sync!$V209)))</f>
        <v/>
      </c>
      <c r="L212">
        <f>IF(OR($E212="",$E212="نامعتبر"),"",IF(Sync!$W209="",0,Sync!$W209))</f>
        <v/>
      </c>
      <c r="M212">
        <f>IF(OR($E212="",$E212="نامعتبر"),"",IF(Sync!$X209="",0,Sync!$X209))</f>
        <v/>
      </c>
      <c r="N212">
        <f>IF(OR($E212="",$E212="نامعتبر"),"",IF(AND($J212="هزینه",$K212&lt;&gt;""),1,0))</f>
        <v/>
      </c>
      <c r="O212">
        <f>IF($N212=0,"",LEFT($E212,4)&amp;MID($E212,6,2)&amp;RIGHT($E212,2)&amp;$F212&amp;"|"&amp;"1"&amp;RIGHT("00000"&amp;204,5))</f>
        <v/>
      </c>
      <c r="P212">
        <f>IF($O212="","",COUNTIFS(ExpSub,$K212,ExpKey,"&lt;"&amp;$O212)+1)</f>
        <v/>
      </c>
      <c r="Q212">
        <f>IF($P212="","",$K212&amp;"|"&amp;RIGHT("000000"&amp;$P212,6))</f>
        <v/>
      </c>
    </row>
    <row r="213">
      <c r="A213">
        <f>IF(Sync!$P210="","",Sync!$P210)</f>
        <v/>
      </c>
      <c r="B213">
        <f>IF($A213="","",IF(ISNUMBER($A213),IF(AND($A213&gt;=10000101,$A213&lt;=99991231),INT($A213/10000),""),IFERROR(VALUE(TRIM(LEFT($A213,FIND("/",$A213)-1))),"")))</f>
        <v/>
      </c>
      <c r="C213">
        <f>IF(OR($A213="",$B213=""),"",IF(ISNUMBER($A213),INT(MOD($A213,10000)/100),IFERROR(VALUE(TRIM(LEFT(MID($A213,FIND("/",$A213)+1,20),FIND("/",MID($A213,FIND("/",$A213)+1,20))-1))),"")))</f>
        <v/>
      </c>
      <c r="D213">
        <f>IF(OR($A213="",$B213=""),"",IF(ISNUMBER($A213),MOD($A213,100),IFERROR(VALUE(TRIM(MID(MID($A213,FIND("/",$A213)+1,20),FIND("/",MID($A213,FIND("/",$A213)+1,20))+1,20))),"")))</f>
        <v/>
      </c>
      <c r="E213">
        <f>IF($A213="","",IF(OR($B213="",$C213="",$D213="",$B213&lt;1300,$B213&gt;1500,$C213&lt;1,$C213&gt;12,$D213&lt;1,$D213&gt;31),"نامعتبر",RIGHT("0000"&amp;$B213,4)&amp;"/"&amp;RIGHT("00"&amp;$C213,2)&amp;"/"&amp;RIGHT("00"&amp;$D213,2)))</f>
        <v/>
      </c>
      <c r="F213">
        <f>IF(OR($E213="",$E213="نامعتبر"),"",IF(Sync!$Q210="","0000",IF(AND(ISNUMBER(Sync!$Q210),Sync!$Q210&gt;=0,Sync!$Q210&lt;1),RIGHT("00"&amp;HOUR(Sync!$Q210),2)&amp;RIGHT("00"&amp;MINUTE(Sync!$Q210),2),IFERROR(RIGHT("00"&amp;VALUE(LEFT(Sync!$Q210,FIND(":",Sync!$Q210)-1)),2)&amp;RIGHT("00"&amp;VALUE(MID(Sync!$Q210,FIND(":",Sync!$Q210)+1,2)),2),"0000"))))</f>
        <v/>
      </c>
      <c r="G213">
        <f>IF(OR($E213="",$E213="نامعتبر"),"",IF(Sync!$S210="","",Sync!$S210))</f>
        <v/>
      </c>
      <c r="H213">
        <f>IF(OR($E213="",$E213="نامعتبر"),"",IF(Sync!$R210="","",Sync!$R210))</f>
        <v/>
      </c>
      <c r="I213">
        <f>IF(OR($E213="",$E213="نامعتبر"),"",IF(Sync!$T210="","",Sync!$T210))</f>
        <v/>
      </c>
      <c r="J213">
        <f>IF(OR($E213="",$E213="نامعتبر"),"",IF(Sync!$U210="","",Sync!$U210))</f>
        <v/>
      </c>
      <c r="K213">
        <f>IF(OR($E213="",$E213="نامعتبر"),"",IF(Sync!$V210="","",IFERROR(INDEX(SubCodes,MATCH(Sync!$V210,SubTitles,0)),Sync!$V210)))</f>
        <v/>
      </c>
      <c r="L213">
        <f>IF(OR($E213="",$E213="نامعتبر"),"",IF(Sync!$W210="",0,Sync!$W210))</f>
        <v/>
      </c>
      <c r="M213">
        <f>IF(OR($E213="",$E213="نامعتبر"),"",IF(Sync!$X210="",0,Sync!$X210))</f>
        <v/>
      </c>
      <c r="N213">
        <f>IF(OR($E213="",$E213="نامعتبر"),"",IF(AND($J213="هزینه",$K213&lt;&gt;""),1,0))</f>
        <v/>
      </c>
      <c r="O213">
        <f>IF($N213=0,"",LEFT($E213,4)&amp;MID($E213,6,2)&amp;RIGHT($E213,2)&amp;$F213&amp;"|"&amp;"1"&amp;RIGHT("00000"&amp;205,5))</f>
        <v/>
      </c>
      <c r="P213">
        <f>IF($O213="","",COUNTIFS(ExpSub,$K213,ExpKey,"&lt;"&amp;$O213)+1)</f>
        <v/>
      </c>
      <c r="Q213">
        <f>IF($P213="","",$K213&amp;"|"&amp;RIGHT("000000"&amp;$P213,6))</f>
        <v/>
      </c>
    </row>
    <row r="214">
      <c r="A214">
        <f>IF(Sync!$P211="","",Sync!$P211)</f>
        <v/>
      </c>
      <c r="B214">
        <f>IF($A214="","",IF(ISNUMBER($A214),IF(AND($A214&gt;=10000101,$A214&lt;=99991231),INT($A214/10000),""),IFERROR(VALUE(TRIM(LEFT($A214,FIND("/",$A214)-1))),"")))</f>
        <v/>
      </c>
      <c r="C214">
        <f>IF(OR($A214="",$B214=""),"",IF(ISNUMBER($A214),INT(MOD($A214,10000)/100),IFERROR(VALUE(TRIM(LEFT(MID($A214,FIND("/",$A214)+1,20),FIND("/",MID($A214,FIND("/",$A214)+1,20))-1))),"")))</f>
        <v/>
      </c>
      <c r="D214">
        <f>IF(OR($A214="",$B214=""),"",IF(ISNUMBER($A214),MOD($A214,100),IFERROR(VALUE(TRIM(MID(MID($A214,FIND("/",$A214)+1,20),FIND("/",MID($A214,FIND("/",$A214)+1,20))+1,20))),"")))</f>
        <v/>
      </c>
      <c r="E214">
        <f>IF($A214="","",IF(OR($B214="",$C214="",$D214="",$B214&lt;1300,$B214&gt;1500,$C214&lt;1,$C214&gt;12,$D214&lt;1,$D214&gt;31),"نامعتبر",RIGHT("0000"&amp;$B214,4)&amp;"/"&amp;RIGHT("00"&amp;$C214,2)&amp;"/"&amp;RIGHT("00"&amp;$D214,2)))</f>
        <v/>
      </c>
      <c r="F214">
        <f>IF(OR($E214="",$E214="نامعتبر"),"",IF(Sync!$Q211="","0000",IF(AND(ISNUMBER(Sync!$Q211),Sync!$Q211&gt;=0,Sync!$Q211&lt;1),RIGHT("00"&amp;HOUR(Sync!$Q211),2)&amp;RIGHT("00"&amp;MINUTE(Sync!$Q211),2),IFERROR(RIGHT("00"&amp;VALUE(LEFT(Sync!$Q211,FIND(":",Sync!$Q211)-1)),2)&amp;RIGHT("00"&amp;VALUE(MID(Sync!$Q211,FIND(":",Sync!$Q211)+1,2)),2),"0000"))))</f>
        <v/>
      </c>
      <c r="G214">
        <f>IF(OR($E214="",$E214="نامعتبر"),"",IF(Sync!$S211="","",Sync!$S211))</f>
        <v/>
      </c>
      <c r="H214">
        <f>IF(OR($E214="",$E214="نامعتبر"),"",IF(Sync!$R211="","",Sync!$R211))</f>
        <v/>
      </c>
      <c r="I214">
        <f>IF(OR($E214="",$E214="نامعتبر"),"",IF(Sync!$T211="","",Sync!$T211))</f>
        <v/>
      </c>
      <c r="J214">
        <f>IF(OR($E214="",$E214="نامعتبر"),"",IF(Sync!$U211="","",Sync!$U211))</f>
        <v/>
      </c>
      <c r="K214">
        <f>IF(OR($E214="",$E214="نامعتبر"),"",IF(Sync!$V211="","",IFERROR(INDEX(SubCodes,MATCH(Sync!$V211,SubTitles,0)),Sync!$V211)))</f>
        <v/>
      </c>
      <c r="L214">
        <f>IF(OR($E214="",$E214="نامعتبر"),"",IF(Sync!$W211="",0,Sync!$W211))</f>
        <v/>
      </c>
      <c r="M214">
        <f>IF(OR($E214="",$E214="نامعتبر"),"",IF(Sync!$X211="",0,Sync!$X211))</f>
        <v/>
      </c>
      <c r="N214">
        <f>IF(OR($E214="",$E214="نامعتبر"),"",IF(AND($J214="هزینه",$K214&lt;&gt;""),1,0))</f>
        <v/>
      </c>
      <c r="O214">
        <f>IF($N214=0,"",LEFT($E214,4)&amp;MID($E214,6,2)&amp;RIGHT($E214,2)&amp;$F214&amp;"|"&amp;"1"&amp;RIGHT("00000"&amp;206,5))</f>
        <v/>
      </c>
      <c r="P214">
        <f>IF($O214="","",COUNTIFS(ExpSub,$K214,ExpKey,"&lt;"&amp;$O214)+1)</f>
        <v/>
      </c>
      <c r="Q214">
        <f>IF($P214="","",$K214&amp;"|"&amp;RIGHT("000000"&amp;$P214,6))</f>
        <v/>
      </c>
    </row>
    <row r="215">
      <c r="A215">
        <f>IF(Sync!$P212="","",Sync!$P212)</f>
        <v/>
      </c>
      <c r="B215">
        <f>IF($A215="","",IF(ISNUMBER($A215),IF(AND($A215&gt;=10000101,$A215&lt;=99991231),INT($A215/10000),""),IFERROR(VALUE(TRIM(LEFT($A215,FIND("/",$A215)-1))),"")))</f>
        <v/>
      </c>
      <c r="C215">
        <f>IF(OR($A215="",$B215=""),"",IF(ISNUMBER($A215),INT(MOD($A215,10000)/100),IFERROR(VALUE(TRIM(LEFT(MID($A215,FIND("/",$A215)+1,20),FIND("/",MID($A215,FIND("/",$A215)+1,20))-1))),"")))</f>
        <v/>
      </c>
      <c r="D215">
        <f>IF(OR($A215="",$B215=""),"",IF(ISNUMBER($A215),MOD($A215,100),IFERROR(VALUE(TRIM(MID(MID($A215,FIND("/",$A215)+1,20),FIND("/",MID($A215,FIND("/",$A215)+1,20))+1,20))),"")))</f>
        <v/>
      </c>
      <c r="E215">
        <f>IF($A215="","",IF(OR($B215="",$C215="",$D215="",$B215&lt;1300,$B215&gt;1500,$C215&lt;1,$C215&gt;12,$D215&lt;1,$D215&gt;31),"نامعتبر",RIGHT("0000"&amp;$B215,4)&amp;"/"&amp;RIGHT("00"&amp;$C215,2)&amp;"/"&amp;RIGHT("00"&amp;$D215,2)))</f>
        <v/>
      </c>
      <c r="F215">
        <f>IF(OR($E215="",$E215="نامعتبر"),"",IF(Sync!$Q212="","0000",IF(AND(ISNUMBER(Sync!$Q212),Sync!$Q212&gt;=0,Sync!$Q212&lt;1),RIGHT("00"&amp;HOUR(Sync!$Q212),2)&amp;RIGHT("00"&amp;MINUTE(Sync!$Q212),2),IFERROR(RIGHT("00"&amp;VALUE(LEFT(Sync!$Q212,FIND(":",Sync!$Q212)-1)),2)&amp;RIGHT("00"&amp;VALUE(MID(Sync!$Q212,FIND(":",Sync!$Q212)+1,2)),2),"0000"))))</f>
        <v/>
      </c>
      <c r="G215">
        <f>IF(OR($E215="",$E215="نامعتبر"),"",IF(Sync!$S212="","",Sync!$S212))</f>
        <v/>
      </c>
      <c r="H215">
        <f>IF(OR($E215="",$E215="نامعتبر"),"",IF(Sync!$R212="","",Sync!$R212))</f>
        <v/>
      </c>
      <c r="I215">
        <f>IF(OR($E215="",$E215="نامعتبر"),"",IF(Sync!$T212="","",Sync!$T212))</f>
        <v/>
      </c>
      <c r="J215">
        <f>IF(OR($E215="",$E215="نامعتبر"),"",IF(Sync!$U212="","",Sync!$U212))</f>
        <v/>
      </c>
      <c r="K215">
        <f>IF(OR($E215="",$E215="نامعتبر"),"",IF(Sync!$V212="","",IFERROR(INDEX(SubCodes,MATCH(Sync!$V212,SubTitles,0)),Sync!$V212)))</f>
        <v/>
      </c>
      <c r="L215">
        <f>IF(OR($E215="",$E215="نامعتبر"),"",IF(Sync!$W212="",0,Sync!$W212))</f>
        <v/>
      </c>
      <c r="M215">
        <f>IF(OR($E215="",$E215="نامعتبر"),"",IF(Sync!$X212="",0,Sync!$X212))</f>
        <v/>
      </c>
      <c r="N215">
        <f>IF(OR($E215="",$E215="نامعتبر"),"",IF(AND($J215="هزینه",$K215&lt;&gt;""),1,0))</f>
        <v/>
      </c>
      <c r="O215">
        <f>IF($N215=0,"",LEFT($E215,4)&amp;MID($E215,6,2)&amp;RIGHT($E215,2)&amp;$F215&amp;"|"&amp;"1"&amp;RIGHT("00000"&amp;207,5))</f>
        <v/>
      </c>
      <c r="P215">
        <f>IF($O215="","",COUNTIFS(ExpSub,$K215,ExpKey,"&lt;"&amp;$O215)+1)</f>
        <v/>
      </c>
      <c r="Q215">
        <f>IF($P215="","",$K215&amp;"|"&amp;RIGHT("000000"&amp;$P215,6))</f>
        <v/>
      </c>
    </row>
    <row r="216">
      <c r="A216">
        <f>IF(Sync!$P213="","",Sync!$P213)</f>
        <v/>
      </c>
      <c r="B216">
        <f>IF($A216="","",IF(ISNUMBER($A216),IF(AND($A216&gt;=10000101,$A216&lt;=99991231),INT($A216/10000),""),IFERROR(VALUE(TRIM(LEFT($A216,FIND("/",$A216)-1))),"")))</f>
        <v/>
      </c>
      <c r="C216">
        <f>IF(OR($A216="",$B216=""),"",IF(ISNUMBER($A216),INT(MOD($A216,10000)/100),IFERROR(VALUE(TRIM(LEFT(MID($A216,FIND("/",$A216)+1,20),FIND("/",MID($A216,FIND("/",$A216)+1,20))-1))),"")))</f>
        <v/>
      </c>
      <c r="D216">
        <f>IF(OR($A216="",$B216=""),"",IF(ISNUMBER($A216),MOD($A216,100),IFERROR(VALUE(TRIM(MID(MID($A216,FIND("/",$A216)+1,20),FIND("/",MID($A216,FIND("/",$A216)+1,20))+1,20))),"")))</f>
        <v/>
      </c>
      <c r="E216">
        <f>IF($A216="","",IF(OR($B216="",$C216="",$D216="",$B216&lt;1300,$B216&gt;1500,$C216&lt;1,$C216&gt;12,$D216&lt;1,$D216&gt;31),"نامعتبر",RIGHT("0000"&amp;$B216,4)&amp;"/"&amp;RIGHT("00"&amp;$C216,2)&amp;"/"&amp;RIGHT("00"&amp;$D216,2)))</f>
        <v/>
      </c>
      <c r="F216">
        <f>IF(OR($E216="",$E216="نامعتبر"),"",IF(Sync!$Q213="","0000",IF(AND(ISNUMBER(Sync!$Q213),Sync!$Q213&gt;=0,Sync!$Q213&lt;1),RIGHT("00"&amp;HOUR(Sync!$Q213),2)&amp;RIGHT("00"&amp;MINUTE(Sync!$Q213),2),IFERROR(RIGHT("00"&amp;VALUE(LEFT(Sync!$Q213,FIND(":",Sync!$Q213)-1)),2)&amp;RIGHT("00"&amp;VALUE(MID(Sync!$Q213,FIND(":",Sync!$Q213)+1,2)),2),"0000"))))</f>
        <v/>
      </c>
      <c r="G216">
        <f>IF(OR($E216="",$E216="نامعتبر"),"",IF(Sync!$S213="","",Sync!$S213))</f>
        <v/>
      </c>
      <c r="H216">
        <f>IF(OR($E216="",$E216="نامعتبر"),"",IF(Sync!$R213="","",Sync!$R213))</f>
        <v/>
      </c>
      <c r="I216">
        <f>IF(OR($E216="",$E216="نامعتبر"),"",IF(Sync!$T213="","",Sync!$T213))</f>
        <v/>
      </c>
      <c r="J216">
        <f>IF(OR($E216="",$E216="نامعتبر"),"",IF(Sync!$U213="","",Sync!$U213))</f>
        <v/>
      </c>
      <c r="K216">
        <f>IF(OR($E216="",$E216="نامعتبر"),"",IF(Sync!$V213="","",IFERROR(INDEX(SubCodes,MATCH(Sync!$V213,SubTitles,0)),Sync!$V213)))</f>
        <v/>
      </c>
      <c r="L216">
        <f>IF(OR($E216="",$E216="نامعتبر"),"",IF(Sync!$W213="",0,Sync!$W213))</f>
        <v/>
      </c>
      <c r="M216">
        <f>IF(OR($E216="",$E216="نامعتبر"),"",IF(Sync!$X213="",0,Sync!$X213))</f>
        <v/>
      </c>
      <c r="N216">
        <f>IF(OR($E216="",$E216="نامعتبر"),"",IF(AND($J216="هزینه",$K216&lt;&gt;""),1,0))</f>
        <v/>
      </c>
      <c r="O216">
        <f>IF($N216=0,"",LEFT($E216,4)&amp;MID($E216,6,2)&amp;RIGHT($E216,2)&amp;$F216&amp;"|"&amp;"1"&amp;RIGHT("00000"&amp;208,5))</f>
        <v/>
      </c>
      <c r="P216">
        <f>IF($O216="","",COUNTIFS(ExpSub,$K216,ExpKey,"&lt;"&amp;$O216)+1)</f>
        <v/>
      </c>
      <c r="Q216">
        <f>IF($P216="","",$K216&amp;"|"&amp;RIGHT("000000"&amp;$P216,6))</f>
        <v/>
      </c>
    </row>
    <row r="217">
      <c r="A217">
        <f>IF(Sync!$P214="","",Sync!$P214)</f>
        <v/>
      </c>
      <c r="B217">
        <f>IF($A217="","",IF(ISNUMBER($A217),IF(AND($A217&gt;=10000101,$A217&lt;=99991231),INT($A217/10000),""),IFERROR(VALUE(TRIM(LEFT($A217,FIND("/",$A217)-1))),"")))</f>
        <v/>
      </c>
      <c r="C217">
        <f>IF(OR($A217="",$B217=""),"",IF(ISNUMBER($A217),INT(MOD($A217,10000)/100),IFERROR(VALUE(TRIM(LEFT(MID($A217,FIND("/",$A217)+1,20),FIND("/",MID($A217,FIND("/",$A217)+1,20))-1))),"")))</f>
        <v/>
      </c>
      <c r="D217">
        <f>IF(OR($A217="",$B217=""),"",IF(ISNUMBER($A217),MOD($A217,100),IFERROR(VALUE(TRIM(MID(MID($A217,FIND("/",$A217)+1,20),FIND("/",MID($A217,FIND("/",$A217)+1,20))+1,20))),"")))</f>
        <v/>
      </c>
      <c r="E217">
        <f>IF($A217="","",IF(OR($B217="",$C217="",$D217="",$B217&lt;1300,$B217&gt;1500,$C217&lt;1,$C217&gt;12,$D217&lt;1,$D217&gt;31),"نامعتبر",RIGHT("0000"&amp;$B217,4)&amp;"/"&amp;RIGHT("00"&amp;$C217,2)&amp;"/"&amp;RIGHT("00"&amp;$D217,2)))</f>
        <v/>
      </c>
      <c r="F217">
        <f>IF(OR($E217="",$E217="نامعتبر"),"",IF(Sync!$Q214="","0000",IF(AND(ISNUMBER(Sync!$Q214),Sync!$Q214&gt;=0,Sync!$Q214&lt;1),RIGHT("00"&amp;HOUR(Sync!$Q214),2)&amp;RIGHT("00"&amp;MINUTE(Sync!$Q214),2),IFERROR(RIGHT("00"&amp;VALUE(LEFT(Sync!$Q214,FIND(":",Sync!$Q214)-1)),2)&amp;RIGHT("00"&amp;VALUE(MID(Sync!$Q214,FIND(":",Sync!$Q214)+1,2)),2),"0000"))))</f>
        <v/>
      </c>
      <c r="G217">
        <f>IF(OR($E217="",$E217="نامعتبر"),"",IF(Sync!$S214="","",Sync!$S214))</f>
        <v/>
      </c>
      <c r="H217">
        <f>IF(OR($E217="",$E217="نامعتبر"),"",IF(Sync!$R214="","",Sync!$R214))</f>
        <v/>
      </c>
      <c r="I217">
        <f>IF(OR($E217="",$E217="نامعتبر"),"",IF(Sync!$T214="","",Sync!$T214))</f>
        <v/>
      </c>
      <c r="J217">
        <f>IF(OR($E217="",$E217="نامعتبر"),"",IF(Sync!$U214="","",Sync!$U214))</f>
        <v/>
      </c>
      <c r="K217">
        <f>IF(OR($E217="",$E217="نامعتبر"),"",IF(Sync!$V214="","",IFERROR(INDEX(SubCodes,MATCH(Sync!$V214,SubTitles,0)),Sync!$V214)))</f>
        <v/>
      </c>
      <c r="L217">
        <f>IF(OR($E217="",$E217="نامعتبر"),"",IF(Sync!$W214="",0,Sync!$W214))</f>
        <v/>
      </c>
      <c r="M217">
        <f>IF(OR($E217="",$E217="نامعتبر"),"",IF(Sync!$X214="",0,Sync!$X214))</f>
        <v/>
      </c>
      <c r="N217">
        <f>IF(OR($E217="",$E217="نامعتبر"),"",IF(AND($J217="هزینه",$K217&lt;&gt;""),1,0))</f>
        <v/>
      </c>
      <c r="O217">
        <f>IF($N217=0,"",LEFT($E217,4)&amp;MID($E217,6,2)&amp;RIGHT($E217,2)&amp;$F217&amp;"|"&amp;"1"&amp;RIGHT("00000"&amp;209,5))</f>
        <v/>
      </c>
      <c r="P217">
        <f>IF($O217="","",COUNTIFS(ExpSub,$K217,ExpKey,"&lt;"&amp;$O217)+1)</f>
        <v/>
      </c>
      <c r="Q217">
        <f>IF($P217="","",$K217&amp;"|"&amp;RIGHT("000000"&amp;$P217,6))</f>
        <v/>
      </c>
    </row>
    <row r="218">
      <c r="A218">
        <f>IF(Sync!$P215="","",Sync!$P215)</f>
        <v/>
      </c>
      <c r="B218">
        <f>IF($A218="","",IF(ISNUMBER($A218),IF(AND($A218&gt;=10000101,$A218&lt;=99991231),INT($A218/10000),""),IFERROR(VALUE(TRIM(LEFT($A218,FIND("/",$A218)-1))),"")))</f>
        <v/>
      </c>
      <c r="C218">
        <f>IF(OR($A218="",$B218=""),"",IF(ISNUMBER($A218),INT(MOD($A218,10000)/100),IFERROR(VALUE(TRIM(LEFT(MID($A218,FIND("/",$A218)+1,20),FIND("/",MID($A218,FIND("/",$A218)+1,20))-1))),"")))</f>
        <v/>
      </c>
      <c r="D218">
        <f>IF(OR($A218="",$B218=""),"",IF(ISNUMBER($A218),MOD($A218,100),IFERROR(VALUE(TRIM(MID(MID($A218,FIND("/",$A218)+1,20),FIND("/",MID($A218,FIND("/",$A218)+1,20))+1,20))),"")))</f>
        <v/>
      </c>
      <c r="E218">
        <f>IF($A218="","",IF(OR($B218="",$C218="",$D218="",$B218&lt;1300,$B218&gt;1500,$C218&lt;1,$C218&gt;12,$D218&lt;1,$D218&gt;31),"نامعتبر",RIGHT("0000"&amp;$B218,4)&amp;"/"&amp;RIGHT("00"&amp;$C218,2)&amp;"/"&amp;RIGHT("00"&amp;$D218,2)))</f>
        <v/>
      </c>
      <c r="F218">
        <f>IF(OR($E218="",$E218="نامعتبر"),"",IF(Sync!$Q215="","0000",IF(AND(ISNUMBER(Sync!$Q215),Sync!$Q215&gt;=0,Sync!$Q215&lt;1),RIGHT("00"&amp;HOUR(Sync!$Q215),2)&amp;RIGHT("00"&amp;MINUTE(Sync!$Q215),2),IFERROR(RIGHT("00"&amp;VALUE(LEFT(Sync!$Q215,FIND(":",Sync!$Q215)-1)),2)&amp;RIGHT("00"&amp;VALUE(MID(Sync!$Q215,FIND(":",Sync!$Q215)+1,2)),2),"0000"))))</f>
        <v/>
      </c>
      <c r="G218">
        <f>IF(OR($E218="",$E218="نامعتبر"),"",IF(Sync!$S215="","",Sync!$S215))</f>
        <v/>
      </c>
      <c r="H218">
        <f>IF(OR($E218="",$E218="نامعتبر"),"",IF(Sync!$R215="","",Sync!$R215))</f>
        <v/>
      </c>
      <c r="I218">
        <f>IF(OR($E218="",$E218="نامعتبر"),"",IF(Sync!$T215="","",Sync!$T215))</f>
        <v/>
      </c>
      <c r="J218">
        <f>IF(OR($E218="",$E218="نامعتبر"),"",IF(Sync!$U215="","",Sync!$U215))</f>
        <v/>
      </c>
      <c r="K218">
        <f>IF(OR($E218="",$E218="نامعتبر"),"",IF(Sync!$V215="","",IFERROR(INDEX(SubCodes,MATCH(Sync!$V215,SubTitles,0)),Sync!$V215)))</f>
        <v/>
      </c>
      <c r="L218">
        <f>IF(OR($E218="",$E218="نامعتبر"),"",IF(Sync!$W215="",0,Sync!$W215))</f>
        <v/>
      </c>
      <c r="M218">
        <f>IF(OR($E218="",$E218="نامعتبر"),"",IF(Sync!$X215="",0,Sync!$X215))</f>
        <v/>
      </c>
      <c r="N218">
        <f>IF(OR($E218="",$E218="نامعتبر"),"",IF(AND($J218="هزینه",$K218&lt;&gt;""),1,0))</f>
        <v/>
      </c>
      <c r="O218">
        <f>IF($N218=0,"",LEFT($E218,4)&amp;MID($E218,6,2)&amp;RIGHT($E218,2)&amp;$F218&amp;"|"&amp;"1"&amp;RIGHT("00000"&amp;210,5))</f>
        <v/>
      </c>
      <c r="P218">
        <f>IF($O218="","",COUNTIFS(ExpSub,$K218,ExpKey,"&lt;"&amp;$O218)+1)</f>
        <v/>
      </c>
      <c r="Q218">
        <f>IF($P218="","",$K218&amp;"|"&amp;RIGHT("000000"&amp;$P218,6))</f>
        <v/>
      </c>
    </row>
    <row r="219">
      <c r="A219">
        <f>IF(Sync!$P216="","",Sync!$P216)</f>
        <v/>
      </c>
      <c r="B219">
        <f>IF($A219="","",IF(ISNUMBER($A219),IF(AND($A219&gt;=10000101,$A219&lt;=99991231),INT($A219/10000),""),IFERROR(VALUE(TRIM(LEFT($A219,FIND("/",$A219)-1))),"")))</f>
        <v/>
      </c>
      <c r="C219">
        <f>IF(OR($A219="",$B219=""),"",IF(ISNUMBER($A219),INT(MOD($A219,10000)/100),IFERROR(VALUE(TRIM(LEFT(MID($A219,FIND("/",$A219)+1,20),FIND("/",MID($A219,FIND("/",$A219)+1,20))-1))),"")))</f>
        <v/>
      </c>
      <c r="D219">
        <f>IF(OR($A219="",$B219=""),"",IF(ISNUMBER($A219),MOD($A219,100),IFERROR(VALUE(TRIM(MID(MID($A219,FIND("/",$A219)+1,20),FIND("/",MID($A219,FIND("/",$A219)+1,20))+1,20))),"")))</f>
        <v/>
      </c>
      <c r="E219">
        <f>IF($A219="","",IF(OR($B219="",$C219="",$D219="",$B219&lt;1300,$B219&gt;1500,$C219&lt;1,$C219&gt;12,$D219&lt;1,$D219&gt;31),"نامعتبر",RIGHT("0000"&amp;$B219,4)&amp;"/"&amp;RIGHT("00"&amp;$C219,2)&amp;"/"&amp;RIGHT("00"&amp;$D219,2)))</f>
        <v/>
      </c>
      <c r="F219">
        <f>IF(OR($E219="",$E219="نامعتبر"),"",IF(Sync!$Q216="","0000",IF(AND(ISNUMBER(Sync!$Q216),Sync!$Q216&gt;=0,Sync!$Q216&lt;1),RIGHT("00"&amp;HOUR(Sync!$Q216),2)&amp;RIGHT("00"&amp;MINUTE(Sync!$Q216),2),IFERROR(RIGHT("00"&amp;VALUE(LEFT(Sync!$Q216,FIND(":",Sync!$Q216)-1)),2)&amp;RIGHT("00"&amp;VALUE(MID(Sync!$Q216,FIND(":",Sync!$Q216)+1,2)),2),"0000"))))</f>
        <v/>
      </c>
      <c r="G219">
        <f>IF(OR($E219="",$E219="نامعتبر"),"",IF(Sync!$S216="","",Sync!$S216))</f>
        <v/>
      </c>
      <c r="H219">
        <f>IF(OR($E219="",$E219="نامعتبر"),"",IF(Sync!$R216="","",Sync!$R216))</f>
        <v/>
      </c>
      <c r="I219">
        <f>IF(OR($E219="",$E219="نامعتبر"),"",IF(Sync!$T216="","",Sync!$T216))</f>
        <v/>
      </c>
      <c r="J219">
        <f>IF(OR($E219="",$E219="نامعتبر"),"",IF(Sync!$U216="","",Sync!$U216))</f>
        <v/>
      </c>
      <c r="K219">
        <f>IF(OR($E219="",$E219="نامعتبر"),"",IF(Sync!$V216="","",IFERROR(INDEX(SubCodes,MATCH(Sync!$V216,SubTitles,0)),Sync!$V216)))</f>
        <v/>
      </c>
      <c r="L219">
        <f>IF(OR($E219="",$E219="نامعتبر"),"",IF(Sync!$W216="",0,Sync!$W216))</f>
        <v/>
      </c>
      <c r="M219">
        <f>IF(OR($E219="",$E219="نامعتبر"),"",IF(Sync!$X216="",0,Sync!$X216))</f>
        <v/>
      </c>
      <c r="N219">
        <f>IF(OR($E219="",$E219="نامعتبر"),"",IF(AND($J219="هزینه",$K219&lt;&gt;""),1,0))</f>
        <v/>
      </c>
      <c r="O219">
        <f>IF($N219=0,"",LEFT($E219,4)&amp;MID($E219,6,2)&amp;RIGHT($E219,2)&amp;$F219&amp;"|"&amp;"1"&amp;RIGHT("00000"&amp;211,5))</f>
        <v/>
      </c>
      <c r="P219">
        <f>IF($O219="","",COUNTIFS(ExpSub,$K219,ExpKey,"&lt;"&amp;$O219)+1)</f>
        <v/>
      </c>
      <c r="Q219">
        <f>IF($P219="","",$K219&amp;"|"&amp;RIGHT("000000"&amp;$P219,6))</f>
        <v/>
      </c>
    </row>
    <row r="220">
      <c r="A220">
        <f>IF(Sync!$P217="","",Sync!$P217)</f>
        <v/>
      </c>
      <c r="B220">
        <f>IF($A220="","",IF(ISNUMBER($A220),IF(AND($A220&gt;=10000101,$A220&lt;=99991231),INT($A220/10000),""),IFERROR(VALUE(TRIM(LEFT($A220,FIND("/",$A220)-1))),"")))</f>
        <v/>
      </c>
      <c r="C220">
        <f>IF(OR($A220="",$B220=""),"",IF(ISNUMBER($A220),INT(MOD($A220,10000)/100),IFERROR(VALUE(TRIM(LEFT(MID($A220,FIND("/",$A220)+1,20),FIND("/",MID($A220,FIND("/",$A220)+1,20))-1))),"")))</f>
        <v/>
      </c>
      <c r="D220">
        <f>IF(OR($A220="",$B220=""),"",IF(ISNUMBER($A220),MOD($A220,100),IFERROR(VALUE(TRIM(MID(MID($A220,FIND("/",$A220)+1,20),FIND("/",MID($A220,FIND("/",$A220)+1,20))+1,20))),"")))</f>
        <v/>
      </c>
      <c r="E220">
        <f>IF($A220="","",IF(OR($B220="",$C220="",$D220="",$B220&lt;1300,$B220&gt;1500,$C220&lt;1,$C220&gt;12,$D220&lt;1,$D220&gt;31),"نامعتبر",RIGHT("0000"&amp;$B220,4)&amp;"/"&amp;RIGHT("00"&amp;$C220,2)&amp;"/"&amp;RIGHT("00"&amp;$D220,2)))</f>
        <v/>
      </c>
      <c r="F220">
        <f>IF(OR($E220="",$E220="نامعتبر"),"",IF(Sync!$Q217="","0000",IF(AND(ISNUMBER(Sync!$Q217),Sync!$Q217&gt;=0,Sync!$Q217&lt;1),RIGHT("00"&amp;HOUR(Sync!$Q217),2)&amp;RIGHT("00"&amp;MINUTE(Sync!$Q217),2),IFERROR(RIGHT("00"&amp;VALUE(LEFT(Sync!$Q217,FIND(":",Sync!$Q217)-1)),2)&amp;RIGHT("00"&amp;VALUE(MID(Sync!$Q217,FIND(":",Sync!$Q217)+1,2)),2),"0000"))))</f>
        <v/>
      </c>
      <c r="G220">
        <f>IF(OR($E220="",$E220="نامعتبر"),"",IF(Sync!$S217="","",Sync!$S217))</f>
        <v/>
      </c>
      <c r="H220">
        <f>IF(OR($E220="",$E220="نامعتبر"),"",IF(Sync!$R217="","",Sync!$R217))</f>
        <v/>
      </c>
      <c r="I220">
        <f>IF(OR($E220="",$E220="نامعتبر"),"",IF(Sync!$T217="","",Sync!$T217))</f>
        <v/>
      </c>
      <c r="J220">
        <f>IF(OR($E220="",$E220="نامعتبر"),"",IF(Sync!$U217="","",Sync!$U217))</f>
        <v/>
      </c>
      <c r="K220">
        <f>IF(OR($E220="",$E220="نامعتبر"),"",IF(Sync!$V217="","",IFERROR(INDEX(SubCodes,MATCH(Sync!$V217,SubTitles,0)),Sync!$V217)))</f>
        <v/>
      </c>
      <c r="L220">
        <f>IF(OR($E220="",$E220="نامعتبر"),"",IF(Sync!$W217="",0,Sync!$W217))</f>
        <v/>
      </c>
      <c r="M220">
        <f>IF(OR($E220="",$E220="نامعتبر"),"",IF(Sync!$X217="",0,Sync!$X217))</f>
        <v/>
      </c>
      <c r="N220">
        <f>IF(OR($E220="",$E220="نامعتبر"),"",IF(AND($J220="هزینه",$K220&lt;&gt;""),1,0))</f>
        <v/>
      </c>
      <c r="O220">
        <f>IF($N220=0,"",LEFT($E220,4)&amp;MID($E220,6,2)&amp;RIGHT($E220,2)&amp;$F220&amp;"|"&amp;"1"&amp;RIGHT("00000"&amp;212,5))</f>
        <v/>
      </c>
      <c r="P220">
        <f>IF($O220="","",COUNTIFS(ExpSub,$K220,ExpKey,"&lt;"&amp;$O220)+1)</f>
        <v/>
      </c>
      <c r="Q220">
        <f>IF($P220="","",$K220&amp;"|"&amp;RIGHT("000000"&amp;$P220,6))</f>
        <v/>
      </c>
    </row>
    <row r="221">
      <c r="A221">
        <f>IF(Sync!$P218="","",Sync!$P218)</f>
        <v/>
      </c>
      <c r="B221">
        <f>IF($A221="","",IF(ISNUMBER($A221),IF(AND($A221&gt;=10000101,$A221&lt;=99991231),INT($A221/10000),""),IFERROR(VALUE(TRIM(LEFT($A221,FIND("/",$A221)-1))),"")))</f>
        <v/>
      </c>
      <c r="C221">
        <f>IF(OR($A221="",$B221=""),"",IF(ISNUMBER($A221),INT(MOD($A221,10000)/100),IFERROR(VALUE(TRIM(LEFT(MID($A221,FIND("/",$A221)+1,20),FIND("/",MID($A221,FIND("/",$A221)+1,20))-1))),"")))</f>
        <v/>
      </c>
      <c r="D221">
        <f>IF(OR($A221="",$B221=""),"",IF(ISNUMBER($A221),MOD($A221,100),IFERROR(VALUE(TRIM(MID(MID($A221,FIND("/",$A221)+1,20),FIND("/",MID($A221,FIND("/",$A221)+1,20))+1,20))),"")))</f>
        <v/>
      </c>
      <c r="E221">
        <f>IF($A221="","",IF(OR($B221="",$C221="",$D221="",$B221&lt;1300,$B221&gt;1500,$C221&lt;1,$C221&gt;12,$D221&lt;1,$D221&gt;31),"نامعتبر",RIGHT("0000"&amp;$B221,4)&amp;"/"&amp;RIGHT("00"&amp;$C221,2)&amp;"/"&amp;RIGHT("00"&amp;$D221,2)))</f>
        <v/>
      </c>
      <c r="F221">
        <f>IF(OR($E221="",$E221="نامعتبر"),"",IF(Sync!$Q218="","0000",IF(AND(ISNUMBER(Sync!$Q218),Sync!$Q218&gt;=0,Sync!$Q218&lt;1),RIGHT("00"&amp;HOUR(Sync!$Q218),2)&amp;RIGHT("00"&amp;MINUTE(Sync!$Q218),2),IFERROR(RIGHT("00"&amp;VALUE(LEFT(Sync!$Q218,FIND(":",Sync!$Q218)-1)),2)&amp;RIGHT("00"&amp;VALUE(MID(Sync!$Q218,FIND(":",Sync!$Q218)+1,2)),2),"0000"))))</f>
        <v/>
      </c>
      <c r="G221">
        <f>IF(OR($E221="",$E221="نامعتبر"),"",IF(Sync!$S218="","",Sync!$S218))</f>
        <v/>
      </c>
      <c r="H221">
        <f>IF(OR($E221="",$E221="نامعتبر"),"",IF(Sync!$R218="","",Sync!$R218))</f>
        <v/>
      </c>
      <c r="I221">
        <f>IF(OR($E221="",$E221="نامعتبر"),"",IF(Sync!$T218="","",Sync!$T218))</f>
        <v/>
      </c>
      <c r="J221">
        <f>IF(OR($E221="",$E221="نامعتبر"),"",IF(Sync!$U218="","",Sync!$U218))</f>
        <v/>
      </c>
      <c r="K221">
        <f>IF(OR($E221="",$E221="نامعتبر"),"",IF(Sync!$V218="","",IFERROR(INDEX(SubCodes,MATCH(Sync!$V218,SubTitles,0)),Sync!$V218)))</f>
        <v/>
      </c>
      <c r="L221">
        <f>IF(OR($E221="",$E221="نامعتبر"),"",IF(Sync!$W218="",0,Sync!$W218))</f>
        <v/>
      </c>
      <c r="M221">
        <f>IF(OR($E221="",$E221="نامعتبر"),"",IF(Sync!$X218="",0,Sync!$X218))</f>
        <v/>
      </c>
      <c r="N221">
        <f>IF(OR($E221="",$E221="نامعتبر"),"",IF(AND($J221="هزینه",$K221&lt;&gt;""),1,0))</f>
        <v/>
      </c>
      <c r="O221">
        <f>IF($N221=0,"",LEFT($E221,4)&amp;MID($E221,6,2)&amp;RIGHT($E221,2)&amp;$F221&amp;"|"&amp;"1"&amp;RIGHT("00000"&amp;213,5))</f>
        <v/>
      </c>
      <c r="P221">
        <f>IF($O221="","",COUNTIFS(ExpSub,$K221,ExpKey,"&lt;"&amp;$O221)+1)</f>
        <v/>
      </c>
      <c r="Q221">
        <f>IF($P221="","",$K221&amp;"|"&amp;RIGHT("000000"&amp;$P221,6))</f>
        <v/>
      </c>
    </row>
    <row r="222">
      <c r="A222">
        <f>IF(Sync!$P219="","",Sync!$P219)</f>
        <v/>
      </c>
      <c r="B222">
        <f>IF($A222="","",IF(ISNUMBER($A222),IF(AND($A222&gt;=10000101,$A222&lt;=99991231),INT($A222/10000),""),IFERROR(VALUE(TRIM(LEFT($A222,FIND("/",$A222)-1))),"")))</f>
        <v/>
      </c>
      <c r="C222">
        <f>IF(OR($A222="",$B222=""),"",IF(ISNUMBER($A222),INT(MOD($A222,10000)/100),IFERROR(VALUE(TRIM(LEFT(MID($A222,FIND("/",$A222)+1,20),FIND("/",MID($A222,FIND("/",$A222)+1,20))-1))),"")))</f>
        <v/>
      </c>
      <c r="D222">
        <f>IF(OR($A222="",$B222=""),"",IF(ISNUMBER($A222),MOD($A222,100),IFERROR(VALUE(TRIM(MID(MID($A222,FIND("/",$A222)+1,20),FIND("/",MID($A222,FIND("/",$A222)+1,20))+1,20))),"")))</f>
        <v/>
      </c>
      <c r="E222">
        <f>IF($A222="","",IF(OR($B222="",$C222="",$D222="",$B222&lt;1300,$B222&gt;1500,$C222&lt;1,$C222&gt;12,$D222&lt;1,$D222&gt;31),"نامعتبر",RIGHT("0000"&amp;$B222,4)&amp;"/"&amp;RIGHT("00"&amp;$C222,2)&amp;"/"&amp;RIGHT("00"&amp;$D222,2)))</f>
        <v/>
      </c>
      <c r="F222">
        <f>IF(OR($E222="",$E222="نامعتبر"),"",IF(Sync!$Q219="","0000",IF(AND(ISNUMBER(Sync!$Q219),Sync!$Q219&gt;=0,Sync!$Q219&lt;1),RIGHT("00"&amp;HOUR(Sync!$Q219),2)&amp;RIGHT("00"&amp;MINUTE(Sync!$Q219),2),IFERROR(RIGHT("00"&amp;VALUE(LEFT(Sync!$Q219,FIND(":",Sync!$Q219)-1)),2)&amp;RIGHT("00"&amp;VALUE(MID(Sync!$Q219,FIND(":",Sync!$Q219)+1,2)),2),"0000"))))</f>
        <v/>
      </c>
      <c r="G222">
        <f>IF(OR($E222="",$E222="نامعتبر"),"",IF(Sync!$S219="","",Sync!$S219))</f>
        <v/>
      </c>
      <c r="H222">
        <f>IF(OR($E222="",$E222="نامعتبر"),"",IF(Sync!$R219="","",Sync!$R219))</f>
        <v/>
      </c>
      <c r="I222">
        <f>IF(OR($E222="",$E222="نامعتبر"),"",IF(Sync!$T219="","",Sync!$T219))</f>
        <v/>
      </c>
      <c r="J222">
        <f>IF(OR($E222="",$E222="نامعتبر"),"",IF(Sync!$U219="","",Sync!$U219))</f>
        <v/>
      </c>
      <c r="K222">
        <f>IF(OR($E222="",$E222="نامعتبر"),"",IF(Sync!$V219="","",IFERROR(INDEX(SubCodes,MATCH(Sync!$V219,SubTitles,0)),Sync!$V219)))</f>
        <v/>
      </c>
      <c r="L222">
        <f>IF(OR($E222="",$E222="نامعتبر"),"",IF(Sync!$W219="",0,Sync!$W219))</f>
        <v/>
      </c>
      <c r="M222">
        <f>IF(OR($E222="",$E222="نامعتبر"),"",IF(Sync!$X219="",0,Sync!$X219))</f>
        <v/>
      </c>
      <c r="N222">
        <f>IF(OR($E222="",$E222="نامعتبر"),"",IF(AND($J222="هزینه",$K222&lt;&gt;""),1,0))</f>
        <v/>
      </c>
      <c r="O222">
        <f>IF($N222=0,"",LEFT($E222,4)&amp;MID($E222,6,2)&amp;RIGHT($E222,2)&amp;$F222&amp;"|"&amp;"1"&amp;RIGHT("00000"&amp;214,5))</f>
        <v/>
      </c>
      <c r="P222">
        <f>IF($O222="","",COUNTIFS(ExpSub,$K222,ExpKey,"&lt;"&amp;$O222)+1)</f>
        <v/>
      </c>
      <c r="Q222">
        <f>IF($P222="","",$K222&amp;"|"&amp;RIGHT("000000"&amp;$P222,6))</f>
        <v/>
      </c>
    </row>
    <row r="223">
      <c r="A223">
        <f>IF(Sync!$P220="","",Sync!$P220)</f>
        <v/>
      </c>
      <c r="B223">
        <f>IF($A223="","",IF(ISNUMBER($A223),IF(AND($A223&gt;=10000101,$A223&lt;=99991231),INT($A223/10000),""),IFERROR(VALUE(TRIM(LEFT($A223,FIND("/",$A223)-1))),"")))</f>
        <v/>
      </c>
      <c r="C223">
        <f>IF(OR($A223="",$B223=""),"",IF(ISNUMBER($A223),INT(MOD($A223,10000)/100),IFERROR(VALUE(TRIM(LEFT(MID($A223,FIND("/",$A223)+1,20),FIND("/",MID($A223,FIND("/",$A223)+1,20))-1))),"")))</f>
        <v/>
      </c>
      <c r="D223">
        <f>IF(OR($A223="",$B223=""),"",IF(ISNUMBER($A223),MOD($A223,100),IFERROR(VALUE(TRIM(MID(MID($A223,FIND("/",$A223)+1,20),FIND("/",MID($A223,FIND("/",$A223)+1,20))+1,20))),"")))</f>
        <v/>
      </c>
      <c r="E223">
        <f>IF($A223="","",IF(OR($B223="",$C223="",$D223="",$B223&lt;1300,$B223&gt;1500,$C223&lt;1,$C223&gt;12,$D223&lt;1,$D223&gt;31),"نامعتبر",RIGHT("0000"&amp;$B223,4)&amp;"/"&amp;RIGHT("00"&amp;$C223,2)&amp;"/"&amp;RIGHT("00"&amp;$D223,2)))</f>
        <v/>
      </c>
      <c r="F223">
        <f>IF(OR($E223="",$E223="نامعتبر"),"",IF(Sync!$Q220="","0000",IF(AND(ISNUMBER(Sync!$Q220),Sync!$Q220&gt;=0,Sync!$Q220&lt;1),RIGHT("00"&amp;HOUR(Sync!$Q220),2)&amp;RIGHT("00"&amp;MINUTE(Sync!$Q220),2),IFERROR(RIGHT("00"&amp;VALUE(LEFT(Sync!$Q220,FIND(":",Sync!$Q220)-1)),2)&amp;RIGHT("00"&amp;VALUE(MID(Sync!$Q220,FIND(":",Sync!$Q220)+1,2)),2),"0000"))))</f>
        <v/>
      </c>
      <c r="G223">
        <f>IF(OR($E223="",$E223="نامعتبر"),"",IF(Sync!$S220="","",Sync!$S220))</f>
        <v/>
      </c>
      <c r="H223">
        <f>IF(OR($E223="",$E223="نامعتبر"),"",IF(Sync!$R220="","",Sync!$R220))</f>
        <v/>
      </c>
      <c r="I223">
        <f>IF(OR($E223="",$E223="نامعتبر"),"",IF(Sync!$T220="","",Sync!$T220))</f>
        <v/>
      </c>
      <c r="J223">
        <f>IF(OR($E223="",$E223="نامعتبر"),"",IF(Sync!$U220="","",Sync!$U220))</f>
        <v/>
      </c>
      <c r="K223">
        <f>IF(OR($E223="",$E223="نامعتبر"),"",IF(Sync!$V220="","",IFERROR(INDEX(SubCodes,MATCH(Sync!$V220,SubTitles,0)),Sync!$V220)))</f>
        <v/>
      </c>
      <c r="L223">
        <f>IF(OR($E223="",$E223="نامعتبر"),"",IF(Sync!$W220="",0,Sync!$W220))</f>
        <v/>
      </c>
      <c r="M223">
        <f>IF(OR($E223="",$E223="نامعتبر"),"",IF(Sync!$X220="",0,Sync!$X220))</f>
        <v/>
      </c>
      <c r="N223">
        <f>IF(OR($E223="",$E223="نامعتبر"),"",IF(AND($J223="هزینه",$K223&lt;&gt;""),1,0))</f>
        <v/>
      </c>
      <c r="O223">
        <f>IF($N223=0,"",LEFT($E223,4)&amp;MID($E223,6,2)&amp;RIGHT($E223,2)&amp;$F223&amp;"|"&amp;"1"&amp;RIGHT("00000"&amp;215,5))</f>
        <v/>
      </c>
      <c r="P223">
        <f>IF($O223="","",COUNTIFS(ExpSub,$K223,ExpKey,"&lt;"&amp;$O223)+1)</f>
        <v/>
      </c>
      <c r="Q223">
        <f>IF($P223="","",$K223&amp;"|"&amp;RIGHT("000000"&amp;$P223,6))</f>
        <v/>
      </c>
    </row>
    <row r="224">
      <c r="A224">
        <f>IF(Sync!$P221="","",Sync!$P221)</f>
        <v/>
      </c>
      <c r="B224">
        <f>IF($A224="","",IF(ISNUMBER($A224),IF(AND($A224&gt;=10000101,$A224&lt;=99991231),INT($A224/10000),""),IFERROR(VALUE(TRIM(LEFT($A224,FIND("/",$A224)-1))),"")))</f>
        <v/>
      </c>
      <c r="C224">
        <f>IF(OR($A224="",$B224=""),"",IF(ISNUMBER($A224),INT(MOD($A224,10000)/100),IFERROR(VALUE(TRIM(LEFT(MID($A224,FIND("/",$A224)+1,20),FIND("/",MID($A224,FIND("/",$A224)+1,20))-1))),"")))</f>
        <v/>
      </c>
      <c r="D224">
        <f>IF(OR($A224="",$B224=""),"",IF(ISNUMBER($A224),MOD($A224,100),IFERROR(VALUE(TRIM(MID(MID($A224,FIND("/",$A224)+1,20),FIND("/",MID($A224,FIND("/",$A224)+1,20))+1,20))),"")))</f>
        <v/>
      </c>
      <c r="E224">
        <f>IF($A224="","",IF(OR($B224="",$C224="",$D224="",$B224&lt;1300,$B224&gt;1500,$C224&lt;1,$C224&gt;12,$D224&lt;1,$D224&gt;31),"نامعتبر",RIGHT("0000"&amp;$B224,4)&amp;"/"&amp;RIGHT("00"&amp;$C224,2)&amp;"/"&amp;RIGHT("00"&amp;$D224,2)))</f>
        <v/>
      </c>
      <c r="F224">
        <f>IF(OR($E224="",$E224="نامعتبر"),"",IF(Sync!$Q221="","0000",IF(AND(ISNUMBER(Sync!$Q221),Sync!$Q221&gt;=0,Sync!$Q221&lt;1),RIGHT("00"&amp;HOUR(Sync!$Q221),2)&amp;RIGHT("00"&amp;MINUTE(Sync!$Q221),2),IFERROR(RIGHT("00"&amp;VALUE(LEFT(Sync!$Q221,FIND(":",Sync!$Q221)-1)),2)&amp;RIGHT("00"&amp;VALUE(MID(Sync!$Q221,FIND(":",Sync!$Q221)+1,2)),2),"0000"))))</f>
        <v/>
      </c>
      <c r="G224">
        <f>IF(OR($E224="",$E224="نامعتبر"),"",IF(Sync!$S221="","",Sync!$S221))</f>
        <v/>
      </c>
      <c r="H224">
        <f>IF(OR($E224="",$E224="نامعتبر"),"",IF(Sync!$R221="","",Sync!$R221))</f>
        <v/>
      </c>
      <c r="I224">
        <f>IF(OR($E224="",$E224="نامعتبر"),"",IF(Sync!$T221="","",Sync!$T221))</f>
        <v/>
      </c>
      <c r="J224">
        <f>IF(OR($E224="",$E224="نامعتبر"),"",IF(Sync!$U221="","",Sync!$U221))</f>
        <v/>
      </c>
      <c r="K224">
        <f>IF(OR($E224="",$E224="نامعتبر"),"",IF(Sync!$V221="","",IFERROR(INDEX(SubCodes,MATCH(Sync!$V221,SubTitles,0)),Sync!$V221)))</f>
        <v/>
      </c>
      <c r="L224">
        <f>IF(OR($E224="",$E224="نامعتبر"),"",IF(Sync!$W221="",0,Sync!$W221))</f>
        <v/>
      </c>
      <c r="M224">
        <f>IF(OR($E224="",$E224="نامعتبر"),"",IF(Sync!$X221="",0,Sync!$X221))</f>
        <v/>
      </c>
      <c r="N224">
        <f>IF(OR($E224="",$E224="نامعتبر"),"",IF(AND($J224="هزینه",$K224&lt;&gt;""),1,0))</f>
        <v/>
      </c>
      <c r="O224">
        <f>IF($N224=0,"",LEFT($E224,4)&amp;MID($E224,6,2)&amp;RIGHT($E224,2)&amp;$F224&amp;"|"&amp;"1"&amp;RIGHT("00000"&amp;216,5))</f>
        <v/>
      </c>
      <c r="P224">
        <f>IF($O224="","",COUNTIFS(ExpSub,$K224,ExpKey,"&lt;"&amp;$O224)+1)</f>
        <v/>
      </c>
      <c r="Q224">
        <f>IF($P224="","",$K224&amp;"|"&amp;RIGHT("000000"&amp;$P224,6))</f>
        <v/>
      </c>
    </row>
    <row r="225">
      <c r="A225">
        <f>IF(Sync!$P222="","",Sync!$P222)</f>
        <v/>
      </c>
      <c r="B225">
        <f>IF($A225="","",IF(ISNUMBER($A225),IF(AND($A225&gt;=10000101,$A225&lt;=99991231),INT($A225/10000),""),IFERROR(VALUE(TRIM(LEFT($A225,FIND("/",$A225)-1))),"")))</f>
        <v/>
      </c>
      <c r="C225">
        <f>IF(OR($A225="",$B225=""),"",IF(ISNUMBER($A225),INT(MOD($A225,10000)/100),IFERROR(VALUE(TRIM(LEFT(MID($A225,FIND("/",$A225)+1,20),FIND("/",MID($A225,FIND("/",$A225)+1,20))-1))),"")))</f>
        <v/>
      </c>
      <c r="D225">
        <f>IF(OR($A225="",$B225=""),"",IF(ISNUMBER($A225),MOD($A225,100),IFERROR(VALUE(TRIM(MID(MID($A225,FIND("/",$A225)+1,20),FIND("/",MID($A225,FIND("/",$A225)+1,20))+1,20))),"")))</f>
        <v/>
      </c>
      <c r="E225">
        <f>IF($A225="","",IF(OR($B225="",$C225="",$D225="",$B225&lt;1300,$B225&gt;1500,$C225&lt;1,$C225&gt;12,$D225&lt;1,$D225&gt;31),"نامعتبر",RIGHT("0000"&amp;$B225,4)&amp;"/"&amp;RIGHT("00"&amp;$C225,2)&amp;"/"&amp;RIGHT("00"&amp;$D225,2)))</f>
        <v/>
      </c>
      <c r="F225">
        <f>IF(OR($E225="",$E225="نامعتبر"),"",IF(Sync!$Q222="","0000",IF(AND(ISNUMBER(Sync!$Q222),Sync!$Q222&gt;=0,Sync!$Q222&lt;1),RIGHT("00"&amp;HOUR(Sync!$Q222),2)&amp;RIGHT("00"&amp;MINUTE(Sync!$Q222),2),IFERROR(RIGHT("00"&amp;VALUE(LEFT(Sync!$Q222,FIND(":",Sync!$Q222)-1)),2)&amp;RIGHT("00"&amp;VALUE(MID(Sync!$Q222,FIND(":",Sync!$Q222)+1,2)),2),"0000"))))</f>
        <v/>
      </c>
      <c r="G225">
        <f>IF(OR($E225="",$E225="نامعتبر"),"",IF(Sync!$S222="","",Sync!$S222))</f>
        <v/>
      </c>
      <c r="H225">
        <f>IF(OR($E225="",$E225="نامعتبر"),"",IF(Sync!$R222="","",Sync!$R222))</f>
        <v/>
      </c>
      <c r="I225">
        <f>IF(OR($E225="",$E225="نامعتبر"),"",IF(Sync!$T222="","",Sync!$T222))</f>
        <v/>
      </c>
      <c r="J225">
        <f>IF(OR($E225="",$E225="نامعتبر"),"",IF(Sync!$U222="","",Sync!$U222))</f>
        <v/>
      </c>
      <c r="K225">
        <f>IF(OR($E225="",$E225="نامعتبر"),"",IF(Sync!$V222="","",IFERROR(INDEX(SubCodes,MATCH(Sync!$V222,SubTitles,0)),Sync!$V222)))</f>
        <v/>
      </c>
      <c r="L225">
        <f>IF(OR($E225="",$E225="نامعتبر"),"",IF(Sync!$W222="",0,Sync!$W222))</f>
        <v/>
      </c>
      <c r="M225">
        <f>IF(OR($E225="",$E225="نامعتبر"),"",IF(Sync!$X222="",0,Sync!$X222))</f>
        <v/>
      </c>
      <c r="N225">
        <f>IF(OR($E225="",$E225="نامعتبر"),"",IF(AND($J225="هزینه",$K225&lt;&gt;""),1,0))</f>
        <v/>
      </c>
      <c r="O225">
        <f>IF($N225=0,"",LEFT($E225,4)&amp;MID($E225,6,2)&amp;RIGHT($E225,2)&amp;$F225&amp;"|"&amp;"1"&amp;RIGHT("00000"&amp;217,5))</f>
        <v/>
      </c>
      <c r="P225">
        <f>IF($O225="","",COUNTIFS(ExpSub,$K225,ExpKey,"&lt;"&amp;$O225)+1)</f>
        <v/>
      </c>
      <c r="Q225">
        <f>IF($P225="","",$K225&amp;"|"&amp;RIGHT("000000"&amp;$P225,6))</f>
        <v/>
      </c>
    </row>
    <row r="226">
      <c r="A226">
        <f>IF(Sync!$P223="","",Sync!$P223)</f>
        <v/>
      </c>
      <c r="B226">
        <f>IF($A226="","",IF(ISNUMBER($A226),IF(AND($A226&gt;=10000101,$A226&lt;=99991231),INT($A226/10000),""),IFERROR(VALUE(TRIM(LEFT($A226,FIND("/",$A226)-1))),"")))</f>
        <v/>
      </c>
      <c r="C226">
        <f>IF(OR($A226="",$B226=""),"",IF(ISNUMBER($A226),INT(MOD($A226,10000)/100),IFERROR(VALUE(TRIM(LEFT(MID($A226,FIND("/",$A226)+1,20),FIND("/",MID($A226,FIND("/",$A226)+1,20))-1))),"")))</f>
        <v/>
      </c>
      <c r="D226">
        <f>IF(OR($A226="",$B226=""),"",IF(ISNUMBER($A226),MOD($A226,100),IFERROR(VALUE(TRIM(MID(MID($A226,FIND("/",$A226)+1,20),FIND("/",MID($A226,FIND("/",$A226)+1,20))+1,20))),"")))</f>
        <v/>
      </c>
      <c r="E226">
        <f>IF($A226="","",IF(OR($B226="",$C226="",$D226="",$B226&lt;1300,$B226&gt;1500,$C226&lt;1,$C226&gt;12,$D226&lt;1,$D226&gt;31),"نامعتبر",RIGHT("0000"&amp;$B226,4)&amp;"/"&amp;RIGHT("00"&amp;$C226,2)&amp;"/"&amp;RIGHT("00"&amp;$D226,2)))</f>
        <v/>
      </c>
      <c r="F226">
        <f>IF(OR($E226="",$E226="نامعتبر"),"",IF(Sync!$Q223="","0000",IF(AND(ISNUMBER(Sync!$Q223),Sync!$Q223&gt;=0,Sync!$Q223&lt;1),RIGHT("00"&amp;HOUR(Sync!$Q223),2)&amp;RIGHT("00"&amp;MINUTE(Sync!$Q223),2),IFERROR(RIGHT("00"&amp;VALUE(LEFT(Sync!$Q223,FIND(":",Sync!$Q223)-1)),2)&amp;RIGHT("00"&amp;VALUE(MID(Sync!$Q223,FIND(":",Sync!$Q223)+1,2)),2),"0000"))))</f>
        <v/>
      </c>
      <c r="G226">
        <f>IF(OR($E226="",$E226="نامعتبر"),"",IF(Sync!$S223="","",Sync!$S223))</f>
        <v/>
      </c>
      <c r="H226">
        <f>IF(OR($E226="",$E226="نامعتبر"),"",IF(Sync!$R223="","",Sync!$R223))</f>
        <v/>
      </c>
      <c r="I226">
        <f>IF(OR($E226="",$E226="نامعتبر"),"",IF(Sync!$T223="","",Sync!$T223))</f>
        <v/>
      </c>
      <c r="J226">
        <f>IF(OR($E226="",$E226="نامعتبر"),"",IF(Sync!$U223="","",Sync!$U223))</f>
        <v/>
      </c>
      <c r="K226">
        <f>IF(OR($E226="",$E226="نامعتبر"),"",IF(Sync!$V223="","",IFERROR(INDEX(SubCodes,MATCH(Sync!$V223,SubTitles,0)),Sync!$V223)))</f>
        <v/>
      </c>
      <c r="L226">
        <f>IF(OR($E226="",$E226="نامعتبر"),"",IF(Sync!$W223="",0,Sync!$W223))</f>
        <v/>
      </c>
      <c r="M226">
        <f>IF(OR($E226="",$E226="نامعتبر"),"",IF(Sync!$X223="",0,Sync!$X223))</f>
        <v/>
      </c>
      <c r="N226">
        <f>IF(OR($E226="",$E226="نامعتبر"),"",IF(AND($J226="هزینه",$K226&lt;&gt;""),1,0))</f>
        <v/>
      </c>
      <c r="O226">
        <f>IF($N226=0,"",LEFT($E226,4)&amp;MID($E226,6,2)&amp;RIGHT($E226,2)&amp;$F226&amp;"|"&amp;"1"&amp;RIGHT("00000"&amp;218,5))</f>
        <v/>
      </c>
      <c r="P226">
        <f>IF($O226="","",COUNTIFS(ExpSub,$K226,ExpKey,"&lt;"&amp;$O226)+1)</f>
        <v/>
      </c>
      <c r="Q226">
        <f>IF($P226="","",$K226&amp;"|"&amp;RIGHT("000000"&amp;$P226,6))</f>
        <v/>
      </c>
    </row>
    <row r="227">
      <c r="A227">
        <f>IF(Sync!$P224="","",Sync!$P224)</f>
        <v/>
      </c>
      <c r="B227">
        <f>IF($A227="","",IF(ISNUMBER($A227),IF(AND($A227&gt;=10000101,$A227&lt;=99991231),INT($A227/10000),""),IFERROR(VALUE(TRIM(LEFT($A227,FIND("/",$A227)-1))),"")))</f>
        <v/>
      </c>
      <c r="C227">
        <f>IF(OR($A227="",$B227=""),"",IF(ISNUMBER($A227),INT(MOD($A227,10000)/100),IFERROR(VALUE(TRIM(LEFT(MID($A227,FIND("/",$A227)+1,20),FIND("/",MID($A227,FIND("/",$A227)+1,20))-1))),"")))</f>
        <v/>
      </c>
      <c r="D227">
        <f>IF(OR($A227="",$B227=""),"",IF(ISNUMBER($A227),MOD($A227,100),IFERROR(VALUE(TRIM(MID(MID($A227,FIND("/",$A227)+1,20),FIND("/",MID($A227,FIND("/",$A227)+1,20))+1,20))),"")))</f>
        <v/>
      </c>
      <c r="E227">
        <f>IF($A227="","",IF(OR($B227="",$C227="",$D227="",$B227&lt;1300,$B227&gt;1500,$C227&lt;1,$C227&gt;12,$D227&lt;1,$D227&gt;31),"نامعتبر",RIGHT("0000"&amp;$B227,4)&amp;"/"&amp;RIGHT("00"&amp;$C227,2)&amp;"/"&amp;RIGHT("00"&amp;$D227,2)))</f>
        <v/>
      </c>
      <c r="F227">
        <f>IF(OR($E227="",$E227="نامعتبر"),"",IF(Sync!$Q224="","0000",IF(AND(ISNUMBER(Sync!$Q224),Sync!$Q224&gt;=0,Sync!$Q224&lt;1),RIGHT("00"&amp;HOUR(Sync!$Q224),2)&amp;RIGHT("00"&amp;MINUTE(Sync!$Q224),2),IFERROR(RIGHT("00"&amp;VALUE(LEFT(Sync!$Q224,FIND(":",Sync!$Q224)-1)),2)&amp;RIGHT("00"&amp;VALUE(MID(Sync!$Q224,FIND(":",Sync!$Q224)+1,2)),2),"0000"))))</f>
        <v/>
      </c>
      <c r="G227">
        <f>IF(OR($E227="",$E227="نامعتبر"),"",IF(Sync!$S224="","",Sync!$S224))</f>
        <v/>
      </c>
      <c r="H227">
        <f>IF(OR($E227="",$E227="نامعتبر"),"",IF(Sync!$R224="","",Sync!$R224))</f>
        <v/>
      </c>
      <c r="I227">
        <f>IF(OR($E227="",$E227="نامعتبر"),"",IF(Sync!$T224="","",Sync!$T224))</f>
        <v/>
      </c>
      <c r="J227">
        <f>IF(OR($E227="",$E227="نامعتبر"),"",IF(Sync!$U224="","",Sync!$U224))</f>
        <v/>
      </c>
      <c r="K227">
        <f>IF(OR($E227="",$E227="نامعتبر"),"",IF(Sync!$V224="","",IFERROR(INDEX(SubCodes,MATCH(Sync!$V224,SubTitles,0)),Sync!$V224)))</f>
        <v/>
      </c>
      <c r="L227">
        <f>IF(OR($E227="",$E227="نامعتبر"),"",IF(Sync!$W224="",0,Sync!$W224))</f>
        <v/>
      </c>
      <c r="M227">
        <f>IF(OR($E227="",$E227="نامعتبر"),"",IF(Sync!$X224="",0,Sync!$X224))</f>
        <v/>
      </c>
      <c r="N227">
        <f>IF(OR($E227="",$E227="نامعتبر"),"",IF(AND($J227="هزینه",$K227&lt;&gt;""),1,0))</f>
        <v/>
      </c>
      <c r="O227">
        <f>IF($N227=0,"",LEFT($E227,4)&amp;MID($E227,6,2)&amp;RIGHT($E227,2)&amp;$F227&amp;"|"&amp;"1"&amp;RIGHT("00000"&amp;219,5))</f>
        <v/>
      </c>
      <c r="P227">
        <f>IF($O227="","",COUNTIFS(ExpSub,$K227,ExpKey,"&lt;"&amp;$O227)+1)</f>
        <v/>
      </c>
      <c r="Q227">
        <f>IF($P227="","",$K227&amp;"|"&amp;RIGHT("000000"&amp;$P227,6))</f>
        <v/>
      </c>
    </row>
    <row r="228">
      <c r="A228">
        <f>IF(Sync!$P225="","",Sync!$P225)</f>
        <v/>
      </c>
      <c r="B228">
        <f>IF($A228="","",IF(ISNUMBER($A228),IF(AND($A228&gt;=10000101,$A228&lt;=99991231),INT($A228/10000),""),IFERROR(VALUE(TRIM(LEFT($A228,FIND("/",$A228)-1))),"")))</f>
        <v/>
      </c>
      <c r="C228">
        <f>IF(OR($A228="",$B228=""),"",IF(ISNUMBER($A228),INT(MOD($A228,10000)/100),IFERROR(VALUE(TRIM(LEFT(MID($A228,FIND("/",$A228)+1,20),FIND("/",MID($A228,FIND("/",$A228)+1,20))-1))),"")))</f>
        <v/>
      </c>
      <c r="D228">
        <f>IF(OR($A228="",$B228=""),"",IF(ISNUMBER($A228),MOD($A228,100),IFERROR(VALUE(TRIM(MID(MID($A228,FIND("/",$A228)+1,20),FIND("/",MID($A228,FIND("/",$A228)+1,20))+1,20))),"")))</f>
        <v/>
      </c>
      <c r="E228">
        <f>IF($A228="","",IF(OR($B228="",$C228="",$D228="",$B228&lt;1300,$B228&gt;1500,$C228&lt;1,$C228&gt;12,$D228&lt;1,$D228&gt;31),"نامعتبر",RIGHT("0000"&amp;$B228,4)&amp;"/"&amp;RIGHT("00"&amp;$C228,2)&amp;"/"&amp;RIGHT("00"&amp;$D228,2)))</f>
        <v/>
      </c>
      <c r="F228">
        <f>IF(OR($E228="",$E228="نامعتبر"),"",IF(Sync!$Q225="","0000",IF(AND(ISNUMBER(Sync!$Q225),Sync!$Q225&gt;=0,Sync!$Q225&lt;1),RIGHT("00"&amp;HOUR(Sync!$Q225),2)&amp;RIGHT("00"&amp;MINUTE(Sync!$Q225),2),IFERROR(RIGHT("00"&amp;VALUE(LEFT(Sync!$Q225,FIND(":",Sync!$Q225)-1)),2)&amp;RIGHT("00"&amp;VALUE(MID(Sync!$Q225,FIND(":",Sync!$Q225)+1,2)),2),"0000"))))</f>
        <v/>
      </c>
      <c r="G228">
        <f>IF(OR($E228="",$E228="نامعتبر"),"",IF(Sync!$S225="","",Sync!$S225))</f>
        <v/>
      </c>
      <c r="H228">
        <f>IF(OR($E228="",$E228="نامعتبر"),"",IF(Sync!$R225="","",Sync!$R225))</f>
        <v/>
      </c>
      <c r="I228">
        <f>IF(OR($E228="",$E228="نامعتبر"),"",IF(Sync!$T225="","",Sync!$T225))</f>
        <v/>
      </c>
      <c r="J228">
        <f>IF(OR($E228="",$E228="نامعتبر"),"",IF(Sync!$U225="","",Sync!$U225))</f>
        <v/>
      </c>
      <c r="K228">
        <f>IF(OR($E228="",$E228="نامعتبر"),"",IF(Sync!$V225="","",IFERROR(INDEX(SubCodes,MATCH(Sync!$V225,SubTitles,0)),Sync!$V225)))</f>
        <v/>
      </c>
      <c r="L228">
        <f>IF(OR($E228="",$E228="نامعتبر"),"",IF(Sync!$W225="",0,Sync!$W225))</f>
        <v/>
      </c>
      <c r="M228">
        <f>IF(OR($E228="",$E228="نامعتبر"),"",IF(Sync!$X225="",0,Sync!$X225))</f>
        <v/>
      </c>
      <c r="N228">
        <f>IF(OR($E228="",$E228="نامعتبر"),"",IF(AND($J228="هزینه",$K228&lt;&gt;""),1,0))</f>
        <v/>
      </c>
      <c r="O228">
        <f>IF($N228=0,"",LEFT($E228,4)&amp;MID($E228,6,2)&amp;RIGHT($E228,2)&amp;$F228&amp;"|"&amp;"1"&amp;RIGHT("00000"&amp;220,5))</f>
        <v/>
      </c>
      <c r="P228">
        <f>IF($O228="","",COUNTIFS(ExpSub,$K228,ExpKey,"&lt;"&amp;$O228)+1)</f>
        <v/>
      </c>
      <c r="Q228">
        <f>IF($P228="","",$K228&amp;"|"&amp;RIGHT("000000"&amp;$P228,6))</f>
        <v/>
      </c>
    </row>
    <row r="229">
      <c r="A229">
        <f>IF(Sync!$P226="","",Sync!$P226)</f>
        <v/>
      </c>
      <c r="B229">
        <f>IF($A229="","",IF(ISNUMBER($A229),IF(AND($A229&gt;=10000101,$A229&lt;=99991231),INT($A229/10000),""),IFERROR(VALUE(TRIM(LEFT($A229,FIND("/",$A229)-1))),"")))</f>
        <v/>
      </c>
      <c r="C229">
        <f>IF(OR($A229="",$B229=""),"",IF(ISNUMBER($A229),INT(MOD($A229,10000)/100),IFERROR(VALUE(TRIM(LEFT(MID($A229,FIND("/",$A229)+1,20),FIND("/",MID($A229,FIND("/",$A229)+1,20))-1))),"")))</f>
        <v/>
      </c>
      <c r="D229">
        <f>IF(OR($A229="",$B229=""),"",IF(ISNUMBER($A229),MOD($A229,100),IFERROR(VALUE(TRIM(MID(MID($A229,FIND("/",$A229)+1,20),FIND("/",MID($A229,FIND("/",$A229)+1,20))+1,20))),"")))</f>
        <v/>
      </c>
      <c r="E229">
        <f>IF($A229="","",IF(OR($B229="",$C229="",$D229="",$B229&lt;1300,$B229&gt;1500,$C229&lt;1,$C229&gt;12,$D229&lt;1,$D229&gt;31),"نامعتبر",RIGHT("0000"&amp;$B229,4)&amp;"/"&amp;RIGHT("00"&amp;$C229,2)&amp;"/"&amp;RIGHT("00"&amp;$D229,2)))</f>
        <v/>
      </c>
      <c r="F229">
        <f>IF(OR($E229="",$E229="نامعتبر"),"",IF(Sync!$Q226="","0000",IF(AND(ISNUMBER(Sync!$Q226),Sync!$Q226&gt;=0,Sync!$Q226&lt;1),RIGHT("00"&amp;HOUR(Sync!$Q226),2)&amp;RIGHT("00"&amp;MINUTE(Sync!$Q226),2),IFERROR(RIGHT("00"&amp;VALUE(LEFT(Sync!$Q226,FIND(":",Sync!$Q226)-1)),2)&amp;RIGHT("00"&amp;VALUE(MID(Sync!$Q226,FIND(":",Sync!$Q226)+1,2)),2),"0000"))))</f>
        <v/>
      </c>
      <c r="G229">
        <f>IF(OR($E229="",$E229="نامعتبر"),"",IF(Sync!$S226="","",Sync!$S226))</f>
        <v/>
      </c>
      <c r="H229">
        <f>IF(OR($E229="",$E229="نامعتبر"),"",IF(Sync!$R226="","",Sync!$R226))</f>
        <v/>
      </c>
      <c r="I229">
        <f>IF(OR($E229="",$E229="نامعتبر"),"",IF(Sync!$T226="","",Sync!$T226))</f>
        <v/>
      </c>
      <c r="J229">
        <f>IF(OR($E229="",$E229="نامعتبر"),"",IF(Sync!$U226="","",Sync!$U226))</f>
        <v/>
      </c>
      <c r="K229">
        <f>IF(OR($E229="",$E229="نامعتبر"),"",IF(Sync!$V226="","",IFERROR(INDEX(SubCodes,MATCH(Sync!$V226,SubTitles,0)),Sync!$V226)))</f>
        <v/>
      </c>
      <c r="L229">
        <f>IF(OR($E229="",$E229="نامعتبر"),"",IF(Sync!$W226="",0,Sync!$W226))</f>
        <v/>
      </c>
      <c r="M229">
        <f>IF(OR($E229="",$E229="نامعتبر"),"",IF(Sync!$X226="",0,Sync!$X226))</f>
        <v/>
      </c>
      <c r="N229">
        <f>IF(OR($E229="",$E229="نامعتبر"),"",IF(AND($J229="هزینه",$K229&lt;&gt;""),1,0))</f>
        <v/>
      </c>
      <c r="O229">
        <f>IF($N229=0,"",LEFT($E229,4)&amp;MID($E229,6,2)&amp;RIGHT($E229,2)&amp;$F229&amp;"|"&amp;"1"&amp;RIGHT("00000"&amp;221,5))</f>
        <v/>
      </c>
      <c r="P229">
        <f>IF($O229="","",COUNTIFS(ExpSub,$K229,ExpKey,"&lt;"&amp;$O229)+1)</f>
        <v/>
      </c>
      <c r="Q229">
        <f>IF($P229="","",$K229&amp;"|"&amp;RIGHT("000000"&amp;$P229,6))</f>
        <v/>
      </c>
    </row>
    <row r="230">
      <c r="A230">
        <f>IF(Sync!$P227="","",Sync!$P227)</f>
        <v/>
      </c>
      <c r="B230">
        <f>IF($A230="","",IF(ISNUMBER($A230),IF(AND($A230&gt;=10000101,$A230&lt;=99991231),INT($A230/10000),""),IFERROR(VALUE(TRIM(LEFT($A230,FIND("/",$A230)-1))),"")))</f>
        <v/>
      </c>
      <c r="C230">
        <f>IF(OR($A230="",$B230=""),"",IF(ISNUMBER($A230),INT(MOD($A230,10000)/100),IFERROR(VALUE(TRIM(LEFT(MID($A230,FIND("/",$A230)+1,20),FIND("/",MID($A230,FIND("/",$A230)+1,20))-1))),"")))</f>
        <v/>
      </c>
      <c r="D230">
        <f>IF(OR($A230="",$B230=""),"",IF(ISNUMBER($A230),MOD($A230,100),IFERROR(VALUE(TRIM(MID(MID($A230,FIND("/",$A230)+1,20),FIND("/",MID($A230,FIND("/",$A230)+1,20))+1,20))),"")))</f>
        <v/>
      </c>
      <c r="E230">
        <f>IF($A230="","",IF(OR($B230="",$C230="",$D230="",$B230&lt;1300,$B230&gt;1500,$C230&lt;1,$C230&gt;12,$D230&lt;1,$D230&gt;31),"نامعتبر",RIGHT("0000"&amp;$B230,4)&amp;"/"&amp;RIGHT("00"&amp;$C230,2)&amp;"/"&amp;RIGHT("00"&amp;$D230,2)))</f>
        <v/>
      </c>
      <c r="F230">
        <f>IF(OR($E230="",$E230="نامعتبر"),"",IF(Sync!$Q227="","0000",IF(AND(ISNUMBER(Sync!$Q227),Sync!$Q227&gt;=0,Sync!$Q227&lt;1),RIGHT("00"&amp;HOUR(Sync!$Q227),2)&amp;RIGHT("00"&amp;MINUTE(Sync!$Q227),2),IFERROR(RIGHT("00"&amp;VALUE(LEFT(Sync!$Q227,FIND(":",Sync!$Q227)-1)),2)&amp;RIGHT("00"&amp;VALUE(MID(Sync!$Q227,FIND(":",Sync!$Q227)+1,2)),2),"0000"))))</f>
        <v/>
      </c>
      <c r="G230">
        <f>IF(OR($E230="",$E230="نامعتبر"),"",IF(Sync!$S227="","",Sync!$S227))</f>
        <v/>
      </c>
      <c r="H230">
        <f>IF(OR($E230="",$E230="نامعتبر"),"",IF(Sync!$R227="","",Sync!$R227))</f>
        <v/>
      </c>
      <c r="I230">
        <f>IF(OR($E230="",$E230="نامعتبر"),"",IF(Sync!$T227="","",Sync!$T227))</f>
        <v/>
      </c>
      <c r="J230">
        <f>IF(OR($E230="",$E230="نامعتبر"),"",IF(Sync!$U227="","",Sync!$U227))</f>
        <v/>
      </c>
      <c r="K230">
        <f>IF(OR($E230="",$E230="نامعتبر"),"",IF(Sync!$V227="","",IFERROR(INDEX(SubCodes,MATCH(Sync!$V227,SubTitles,0)),Sync!$V227)))</f>
        <v/>
      </c>
      <c r="L230">
        <f>IF(OR($E230="",$E230="نامعتبر"),"",IF(Sync!$W227="",0,Sync!$W227))</f>
        <v/>
      </c>
      <c r="M230">
        <f>IF(OR($E230="",$E230="نامعتبر"),"",IF(Sync!$X227="",0,Sync!$X227))</f>
        <v/>
      </c>
      <c r="N230">
        <f>IF(OR($E230="",$E230="نامعتبر"),"",IF(AND($J230="هزینه",$K230&lt;&gt;""),1,0))</f>
        <v/>
      </c>
      <c r="O230">
        <f>IF($N230=0,"",LEFT($E230,4)&amp;MID($E230,6,2)&amp;RIGHT($E230,2)&amp;$F230&amp;"|"&amp;"1"&amp;RIGHT("00000"&amp;222,5))</f>
        <v/>
      </c>
      <c r="P230">
        <f>IF($O230="","",COUNTIFS(ExpSub,$K230,ExpKey,"&lt;"&amp;$O230)+1)</f>
        <v/>
      </c>
      <c r="Q230">
        <f>IF($P230="","",$K230&amp;"|"&amp;RIGHT("000000"&amp;$P230,6))</f>
        <v/>
      </c>
    </row>
    <row r="231">
      <c r="A231">
        <f>IF(Sync!$P228="","",Sync!$P228)</f>
        <v/>
      </c>
      <c r="B231">
        <f>IF($A231="","",IF(ISNUMBER($A231),IF(AND($A231&gt;=10000101,$A231&lt;=99991231),INT($A231/10000),""),IFERROR(VALUE(TRIM(LEFT($A231,FIND("/",$A231)-1))),"")))</f>
        <v/>
      </c>
      <c r="C231">
        <f>IF(OR($A231="",$B231=""),"",IF(ISNUMBER($A231),INT(MOD($A231,10000)/100),IFERROR(VALUE(TRIM(LEFT(MID($A231,FIND("/",$A231)+1,20),FIND("/",MID($A231,FIND("/",$A231)+1,20))-1))),"")))</f>
        <v/>
      </c>
      <c r="D231">
        <f>IF(OR($A231="",$B231=""),"",IF(ISNUMBER($A231),MOD($A231,100),IFERROR(VALUE(TRIM(MID(MID($A231,FIND("/",$A231)+1,20),FIND("/",MID($A231,FIND("/",$A231)+1,20))+1,20))),"")))</f>
        <v/>
      </c>
      <c r="E231">
        <f>IF($A231="","",IF(OR($B231="",$C231="",$D231="",$B231&lt;1300,$B231&gt;1500,$C231&lt;1,$C231&gt;12,$D231&lt;1,$D231&gt;31),"نامعتبر",RIGHT("0000"&amp;$B231,4)&amp;"/"&amp;RIGHT("00"&amp;$C231,2)&amp;"/"&amp;RIGHT("00"&amp;$D231,2)))</f>
        <v/>
      </c>
      <c r="F231">
        <f>IF(OR($E231="",$E231="نامعتبر"),"",IF(Sync!$Q228="","0000",IF(AND(ISNUMBER(Sync!$Q228),Sync!$Q228&gt;=0,Sync!$Q228&lt;1),RIGHT("00"&amp;HOUR(Sync!$Q228),2)&amp;RIGHT("00"&amp;MINUTE(Sync!$Q228),2),IFERROR(RIGHT("00"&amp;VALUE(LEFT(Sync!$Q228,FIND(":",Sync!$Q228)-1)),2)&amp;RIGHT("00"&amp;VALUE(MID(Sync!$Q228,FIND(":",Sync!$Q228)+1,2)),2),"0000"))))</f>
        <v/>
      </c>
      <c r="G231">
        <f>IF(OR($E231="",$E231="نامعتبر"),"",IF(Sync!$S228="","",Sync!$S228))</f>
        <v/>
      </c>
      <c r="H231">
        <f>IF(OR($E231="",$E231="نامعتبر"),"",IF(Sync!$R228="","",Sync!$R228))</f>
        <v/>
      </c>
      <c r="I231">
        <f>IF(OR($E231="",$E231="نامعتبر"),"",IF(Sync!$T228="","",Sync!$T228))</f>
        <v/>
      </c>
      <c r="J231">
        <f>IF(OR($E231="",$E231="نامعتبر"),"",IF(Sync!$U228="","",Sync!$U228))</f>
        <v/>
      </c>
      <c r="K231">
        <f>IF(OR($E231="",$E231="نامعتبر"),"",IF(Sync!$V228="","",IFERROR(INDEX(SubCodes,MATCH(Sync!$V228,SubTitles,0)),Sync!$V228)))</f>
        <v/>
      </c>
      <c r="L231">
        <f>IF(OR($E231="",$E231="نامعتبر"),"",IF(Sync!$W228="",0,Sync!$W228))</f>
        <v/>
      </c>
      <c r="M231">
        <f>IF(OR($E231="",$E231="نامعتبر"),"",IF(Sync!$X228="",0,Sync!$X228))</f>
        <v/>
      </c>
      <c r="N231">
        <f>IF(OR($E231="",$E231="نامعتبر"),"",IF(AND($J231="هزینه",$K231&lt;&gt;""),1,0))</f>
        <v/>
      </c>
      <c r="O231">
        <f>IF($N231=0,"",LEFT($E231,4)&amp;MID($E231,6,2)&amp;RIGHT($E231,2)&amp;$F231&amp;"|"&amp;"1"&amp;RIGHT("00000"&amp;223,5))</f>
        <v/>
      </c>
      <c r="P231">
        <f>IF($O231="","",COUNTIFS(ExpSub,$K231,ExpKey,"&lt;"&amp;$O231)+1)</f>
        <v/>
      </c>
      <c r="Q231">
        <f>IF($P231="","",$K231&amp;"|"&amp;RIGHT("000000"&amp;$P231,6))</f>
        <v/>
      </c>
    </row>
    <row r="232">
      <c r="A232">
        <f>IF(Sync!$P229="","",Sync!$P229)</f>
        <v/>
      </c>
      <c r="B232">
        <f>IF($A232="","",IF(ISNUMBER($A232),IF(AND($A232&gt;=10000101,$A232&lt;=99991231),INT($A232/10000),""),IFERROR(VALUE(TRIM(LEFT($A232,FIND("/",$A232)-1))),"")))</f>
        <v/>
      </c>
      <c r="C232">
        <f>IF(OR($A232="",$B232=""),"",IF(ISNUMBER($A232),INT(MOD($A232,10000)/100),IFERROR(VALUE(TRIM(LEFT(MID($A232,FIND("/",$A232)+1,20),FIND("/",MID($A232,FIND("/",$A232)+1,20))-1))),"")))</f>
        <v/>
      </c>
      <c r="D232">
        <f>IF(OR($A232="",$B232=""),"",IF(ISNUMBER($A232),MOD($A232,100),IFERROR(VALUE(TRIM(MID(MID($A232,FIND("/",$A232)+1,20),FIND("/",MID($A232,FIND("/",$A232)+1,20))+1,20))),"")))</f>
        <v/>
      </c>
      <c r="E232">
        <f>IF($A232="","",IF(OR($B232="",$C232="",$D232="",$B232&lt;1300,$B232&gt;1500,$C232&lt;1,$C232&gt;12,$D232&lt;1,$D232&gt;31),"نامعتبر",RIGHT("0000"&amp;$B232,4)&amp;"/"&amp;RIGHT("00"&amp;$C232,2)&amp;"/"&amp;RIGHT("00"&amp;$D232,2)))</f>
        <v/>
      </c>
      <c r="F232">
        <f>IF(OR($E232="",$E232="نامعتبر"),"",IF(Sync!$Q229="","0000",IF(AND(ISNUMBER(Sync!$Q229),Sync!$Q229&gt;=0,Sync!$Q229&lt;1),RIGHT("00"&amp;HOUR(Sync!$Q229),2)&amp;RIGHT("00"&amp;MINUTE(Sync!$Q229),2),IFERROR(RIGHT("00"&amp;VALUE(LEFT(Sync!$Q229,FIND(":",Sync!$Q229)-1)),2)&amp;RIGHT("00"&amp;VALUE(MID(Sync!$Q229,FIND(":",Sync!$Q229)+1,2)),2),"0000"))))</f>
        <v/>
      </c>
      <c r="G232">
        <f>IF(OR($E232="",$E232="نامعتبر"),"",IF(Sync!$S229="","",Sync!$S229))</f>
        <v/>
      </c>
      <c r="H232">
        <f>IF(OR($E232="",$E232="نامعتبر"),"",IF(Sync!$R229="","",Sync!$R229))</f>
        <v/>
      </c>
      <c r="I232">
        <f>IF(OR($E232="",$E232="نامعتبر"),"",IF(Sync!$T229="","",Sync!$T229))</f>
        <v/>
      </c>
      <c r="J232">
        <f>IF(OR($E232="",$E232="نامعتبر"),"",IF(Sync!$U229="","",Sync!$U229))</f>
        <v/>
      </c>
      <c r="K232">
        <f>IF(OR($E232="",$E232="نامعتبر"),"",IF(Sync!$V229="","",IFERROR(INDEX(SubCodes,MATCH(Sync!$V229,SubTitles,0)),Sync!$V229)))</f>
        <v/>
      </c>
      <c r="L232">
        <f>IF(OR($E232="",$E232="نامعتبر"),"",IF(Sync!$W229="",0,Sync!$W229))</f>
        <v/>
      </c>
      <c r="M232">
        <f>IF(OR($E232="",$E232="نامعتبر"),"",IF(Sync!$X229="",0,Sync!$X229))</f>
        <v/>
      </c>
      <c r="N232">
        <f>IF(OR($E232="",$E232="نامعتبر"),"",IF(AND($J232="هزینه",$K232&lt;&gt;""),1,0))</f>
        <v/>
      </c>
      <c r="O232">
        <f>IF($N232=0,"",LEFT($E232,4)&amp;MID($E232,6,2)&amp;RIGHT($E232,2)&amp;$F232&amp;"|"&amp;"1"&amp;RIGHT("00000"&amp;224,5))</f>
        <v/>
      </c>
      <c r="P232">
        <f>IF($O232="","",COUNTIFS(ExpSub,$K232,ExpKey,"&lt;"&amp;$O232)+1)</f>
        <v/>
      </c>
      <c r="Q232">
        <f>IF($P232="","",$K232&amp;"|"&amp;RIGHT("000000"&amp;$P232,6))</f>
        <v/>
      </c>
    </row>
    <row r="233">
      <c r="A233">
        <f>IF(Sync!$P230="","",Sync!$P230)</f>
        <v/>
      </c>
      <c r="B233">
        <f>IF($A233="","",IF(ISNUMBER($A233),IF(AND($A233&gt;=10000101,$A233&lt;=99991231),INT($A233/10000),""),IFERROR(VALUE(TRIM(LEFT($A233,FIND("/",$A233)-1))),"")))</f>
        <v/>
      </c>
      <c r="C233">
        <f>IF(OR($A233="",$B233=""),"",IF(ISNUMBER($A233),INT(MOD($A233,10000)/100),IFERROR(VALUE(TRIM(LEFT(MID($A233,FIND("/",$A233)+1,20),FIND("/",MID($A233,FIND("/",$A233)+1,20))-1))),"")))</f>
        <v/>
      </c>
      <c r="D233">
        <f>IF(OR($A233="",$B233=""),"",IF(ISNUMBER($A233),MOD($A233,100),IFERROR(VALUE(TRIM(MID(MID($A233,FIND("/",$A233)+1,20),FIND("/",MID($A233,FIND("/",$A233)+1,20))+1,20))),"")))</f>
        <v/>
      </c>
      <c r="E233">
        <f>IF($A233="","",IF(OR($B233="",$C233="",$D233="",$B233&lt;1300,$B233&gt;1500,$C233&lt;1,$C233&gt;12,$D233&lt;1,$D233&gt;31),"نامعتبر",RIGHT("0000"&amp;$B233,4)&amp;"/"&amp;RIGHT("00"&amp;$C233,2)&amp;"/"&amp;RIGHT("00"&amp;$D233,2)))</f>
        <v/>
      </c>
      <c r="F233">
        <f>IF(OR($E233="",$E233="نامعتبر"),"",IF(Sync!$Q230="","0000",IF(AND(ISNUMBER(Sync!$Q230),Sync!$Q230&gt;=0,Sync!$Q230&lt;1),RIGHT("00"&amp;HOUR(Sync!$Q230),2)&amp;RIGHT("00"&amp;MINUTE(Sync!$Q230),2),IFERROR(RIGHT("00"&amp;VALUE(LEFT(Sync!$Q230,FIND(":",Sync!$Q230)-1)),2)&amp;RIGHT("00"&amp;VALUE(MID(Sync!$Q230,FIND(":",Sync!$Q230)+1,2)),2),"0000"))))</f>
        <v/>
      </c>
      <c r="G233">
        <f>IF(OR($E233="",$E233="نامعتبر"),"",IF(Sync!$S230="","",Sync!$S230))</f>
        <v/>
      </c>
      <c r="H233">
        <f>IF(OR($E233="",$E233="نامعتبر"),"",IF(Sync!$R230="","",Sync!$R230))</f>
        <v/>
      </c>
      <c r="I233">
        <f>IF(OR($E233="",$E233="نامعتبر"),"",IF(Sync!$T230="","",Sync!$T230))</f>
        <v/>
      </c>
      <c r="J233">
        <f>IF(OR($E233="",$E233="نامعتبر"),"",IF(Sync!$U230="","",Sync!$U230))</f>
        <v/>
      </c>
      <c r="K233">
        <f>IF(OR($E233="",$E233="نامعتبر"),"",IF(Sync!$V230="","",IFERROR(INDEX(SubCodes,MATCH(Sync!$V230,SubTitles,0)),Sync!$V230)))</f>
        <v/>
      </c>
      <c r="L233">
        <f>IF(OR($E233="",$E233="نامعتبر"),"",IF(Sync!$W230="",0,Sync!$W230))</f>
        <v/>
      </c>
      <c r="M233">
        <f>IF(OR($E233="",$E233="نامعتبر"),"",IF(Sync!$X230="",0,Sync!$X230))</f>
        <v/>
      </c>
      <c r="N233">
        <f>IF(OR($E233="",$E233="نامعتبر"),"",IF(AND($J233="هزینه",$K233&lt;&gt;""),1,0))</f>
        <v/>
      </c>
      <c r="O233">
        <f>IF($N233=0,"",LEFT($E233,4)&amp;MID($E233,6,2)&amp;RIGHT($E233,2)&amp;$F233&amp;"|"&amp;"1"&amp;RIGHT("00000"&amp;225,5))</f>
        <v/>
      </c>
      <c r="P233">
        <f>IF($O233="","",COUNTIFS(ExpSub,$K233,ExpKey,"&lt;"&amp;$O233)+1)</f>
        <v/>
      </c>
      <c r="Q233">
        <f>IF($P233="","",$K233&amp;"|"&amp;RIGHT("000000"&amp;$P233,6))</f>
        <v/>
      </c>
    </row>
    <row r="234">
      <c r="A234">
        <f>IF(Sync!$P231="","",Sync!$P231)</f>
        <v/>
      </c>
      <c r="B234">
        <f>IF($A234="","",IF(ISNUMBER($A234),IF(AND($A234&gt;=10000101,$A234&lt;=99991231),INT($A234/10000),""),IFERROR(VALUE(TRIM(LEFT($A234,FIND("/",$A234)-1))),"")))</f>
        <v/>
      </c>
      <c r="C234">
        <f>IF(OR($A234="",$B234=""),"",IF(ISNUMBER($A234),INT(MOD($A234,10000)/100),IFERROR(VALUE(TRIM(LEFT(MID($A234,FIND("/",$A234)+1,20),FIND("/",MID($A234,FIND("/",$A234)+1,20))-1))),"")))</f>
        <v/>
      </c>
      <c r="D234">
        <f>IF(OR($A234="",$B234=""),"",IF(ISNUMBER($A234),MOD($A234,100),IFERROR(VALUE(TRIM(MID(MID($A234,FIND("/",$A234)+1,20),FIND("/",MID($A234,FIND("/",$A234)+1,20))+1,20))),"")))</f>
        <v/>
      </c>
      <c r="E234">
        <f>IF($A234="","",IF(OR($B234="",$C234="",$D234="",$B234&lt;1300,$B234&gt;1500,$C234&lt;1,$C234&gt;12,$D234&lt;1,$D234&gt;31),"نامعتبر",RIGHT("0000"&amp;$B234,4)&amp;"/"&amp;RIGHT("00"&amp;$C234,2)&amp;"/"&amp;RIGHT("00"&amp;$D234,2)))</f>
        <v/>
      </c>
      <c r="F234">
        <f>IF(OR($E234="",$E234="نامعتبر"),"",IF(Sync!$Q231="","0000",IF(AND(ISNUMBER(Sync!$Q231),Sync!$Q231&gt;=0,Sync!$Q231&lt;1),RIGHT("00"&amp;HOUR(Sync!$Q231),2)&amp;RIGHT("00"&amp;MINUTE(Sync!$Q231),2),IFERROR(RIGHT("00"&amp;VALUE(LEFT(Sync!$Q231,FIND(":",Sync!$Q231)-1)),2)&amp;RIGHT("00"&amp;VALUE(MID(Sync!$Q231,FIND(":",Sync!$Q231)+1,2)),2),"0000"))))</f>
        <v/>
      </c>
      <c r="G234">
        <f>IF(OR($E234="",$E234="نامعتبر"),"",IF(Sync!$S231="","",Sync!$S231))</f>
        <v/>
      </c>
      <c r="H234">
        <f>IF(OR($E234="",$E234="نامعتبر"),"",IF(Sync!$R231="","",Sync!$R231))</f>
        <v/>
      </c>
      <c r="I234">
        <f>IF(OR($E234="",$E234="نامعتبر"),"",IF(Sync!$T231="","",Sync!$T231))</f>
        <v/>
      </c>
      <c r="J234">
        <f>IF(OR($E234="",$E234="نامعتبر"),"",IF(Sync!$U231="","",Sync!$U231))</f>
        <v/>
      </c>
      <c r="K234">
        <f>IF(OR($E234="",$E234="نامعتبر"),"",IF(Sync!$V231="","",IFERROR(INDEX(SubCodes,MATCH(Sync!$V231,SubTitles,0)),Sync!$V231)))</f>
        <v/>
      </c>
      <c r="L234">
        <f>IF(OR($E234="",$E234="نامعتبر"),"",IF(Sync!$W231="",0,Sync!$W231))</f>
        <v/>
      </c>
      <c r="M234">
        <f>IF(OR($E234="",$E234="نامعتبر"),"",IF(Sync!$X231="",0,Sync!$X231))</f>
        <v/>
      </c>
      <c r="N234">
        <f>IF(OR($E234="",$E234="نامعتبر"),"",IF(AND($J234="هزینه",$K234&lt;&gt;""),1,0))</f>
        <v/>
      </c>
      <c r="O234">
        <f>IF($N234=0,"",LEFT($E234,4)&amp;MID($E234,6,2)&amp;RIGHT($E234,2)&amp;$F234&amp;"|"&amp;"1"&amp;RIGHT("00000"&amp;226,5))</f>
        <v/>
      </c>
      <c r="P234">
        <f>IF($O234="","",COUNTIFS(ExpSub,$K234,ExpKey,"&lt;"&amp;$O234)+1)</f>
        <v/>
      </c>
      <c r="Q234">
        <f>IF($P234="","",$K234&amp;"|"&amp;RIGHT("000000"&amp;$P234,6))</f>
        <v/>
      </c>
    </row>
    <row r="235">
      <c r="A235">
        <f>IF(Sync!$P232="","",Sync!$P232)</f>
        <v/>
      </c>
      <c r="B235">
        <f>IF($A235="","",IF(ISNUMBER($A235),IF(AND($A235&gt;=10000101,$A235&lt;=99991231),INT($A235/10000),""),IFERROR(VALUE(TRIM(LEFT($A235,FIND("/",$A235)-1))),"")))</f>
        <v/>
      </c>
      <c r="C235">
        <f>IF(OR($A235="",$B235=""),"",IF(ISNUMBER($A235),INT(MOD($A235,10000)/100),IFERROR(VALUE(TRIM(LEFT(MID($A235,FIND("/",$A235)+1,20),FIND("/",MID($A235,FIND("/",$A235)+1,20))-1))),"")))</f>
        <v/>
      </c>
      <c r="D235">
        <f>IF(OR($A235="",$B235=""),"",IF(ISNUMBER($A235),MOD($A235,100),IFERROR(VALUE(TRIM(MID(MID($A235,FIND("/",$A235)+1,20),FIND("/",MID($A235,FIND("/",$A235)+1,20))+1,20))),"")))</f>
        <v/>
      </c>
      <c r="E235">
        <f>IF($A235="","",IF(OR($B235="",$C235="",$D235="",$B235&lt;1300,$B235&gt;1500,$C235&lt;1,$C235&gt;12,$D235&lt;1,$D235&gt;31),"نامعتبر",RIGHT("0000"&amp;$B235,4)&amp;"/"&amp;RIGHT("00"&amp;$C235,2)&amp;"/"&amp;RIGHT("00"&amp;$D235,2)))</f>
        <v/>
      </c>
      <c r="F235">
        <f>IF(OR($E235="",$E235="نامعتبر"),"",IF(Sync!$Q232="","0000",IF(AND(ISNUMBER(Sync!$Q232),Sync!$Q232&gt;=0,Sync!$Q232&lt;1),RIGHT("00"&amp;HOUR(Sync!$Q232),2)&amp;RIGHT("00"&amp;MINUTE(Sync!$Q232),2),IFERROR(RIGHT("00"&amp;VALUE(LEFT(Sync!$Q232,FIND(":",Sync!$Q232)-1)),2)&amp;RIGHT("00"&amp;VALUE(MID(Sync!$Q232,FIND(":",Sync!$Q232)+1,2)),2),"0000"))))</f>
        <v/>
      </c>
      <c r="G235">
        <f>IF(OR($E235="",$E235="نامعتبر"),"",IF(Sync!$S232="","",Sync!$S232))</f>
        <v/>
      </c>
      <c r="H235">
        <f>IF(OR($E235="",$E235="نامعتبر"),"",IF(Sync!$R232="","",Sync!$R232))</f>
        <v/>
      </c>
      <c r="I235">
        <f>IF(OR($E235="",$E235="نامعتبر"),"",IF(Sync!$T232="","",Sync!$T232))</f>
        <v/>
      </c>
      <c r="J235">
        <f>IF(OR($E235="",$E235="نامعتبر"),"",IF(Sync!$U232="","",Sync!$U232))</f>
        <v/>
      </c>
      <c r="K235">
        <f>IF(OR($E235="",$E235="نامعتبر"),"",IF(Sync!$V232="","",IFERROR(INDEX(SubCodes,MATCH(Sync!$V232,SubTitles,0)),Sync!$V232)))</f>
        <v/>
      </c>
      <c r="L235">
        <f>IF(OR($E235="",$E235="نامعتبر"),"",IF(Sync!$W232="",0,Sync!$W232))</f>
        <v/>
      </c>
      <c r="M235">
        <f>IF(OR($E235="",$E235="نامعتبر"),"",IF(Sync!$X232="",0,Sync!$X232))</f>
        <v/>
      </c>
      <c r="N235">
        <f>IF(OR($E235="",$E235="نامعتبر"),"",IF(AND($J235="هزینه",$K235&lt;&gt;""),1,0))</f>
        <v/>
      </c>
      <c r="O235">
        <f>IF($N235=0,"",LEFT($E235,4)&amp;MID($E235,6,2)&amp;RIGHT($E235,2)&amp;$F235&amp;"|"&amp;"1"&amp;RIGHT("00000"&amp;227,5))</f>
        <v/>
      </c>
      <c r="P235">
        <f>IF($O235="","",COUNTIFS(ExpSub,$K235,ExpKey,"&lt;"&amp;$O235)+1)</f>
        <v/>
      </c>
      <c r="Q235">
        <f>IF($P235="","",$K235&amp;"|"&amp;RIGHT("000000"&amp;$P235,6))</f>
        <v/>
      </c>
    </row>
    <row r="236">
      <c r="A236">
        <f>IF(Sync!$P233="","",Sync!$P233)</f>
        <v/>
      </c>
      <c r="B236">
        <f>IF($A236="","",IF(ISNUMBER($A236),IF(AND($A236&gt;=10000101,$A236&lt;=99991231),INT($A236/10000),""),IFERROR(VALUE(TRIM(LEFT($A236,FIND("/",$A236)-1))),"")))</f>
        <v/>
      </c>
      <c r="C236">
        <f>IF(OR($A236="",$B236=""),"",IF(ISNUMBER($A236),INT(MOD($A236,10000)/100),IFERROR(VALUE(TRIM(LEFT(MID($A236,FIND("/",$A236)+1,20),FIND("/",MID($A236,FIND("/",$A236)+1,20))-1))),"")))</f>
        <v/>
      </c>
      <c r="D236">
        <f>IF(OR($A236="",$B236=""),"",IF(ISNUMBER($A236),MOD($A236,100),IFERROR(VALUE(TRIM(MID(MID($A236,FIND("/",$A236)+1,20),FIND("/",MID($A236,FIND("/",$A236)+1,20))+1,20))),"")))</f>
        <v/>
      </c>
      <c r="E236">
        <f>IF($A236="","",IF(OR($B236="",$C236="",$D236="",$B236&lt;1300,$B236&gt;1500,$C236&lt;1,$C236&gt;12,$D236&lt;1,$D236&gt;31),"نامعتبر",RIGHT("0000"&amp;$B236,4)&amp;"/"&amp;RIGHT("00"&amp;$C236,2)&amp;"/"&amp;RIGHT("00"&amp;$D236,2)))</f>
        <v/>
      </c>
      <c r="F236">
        <f>IF(OR($E236="",$E236="نامعتبر"),"",IF(Sync!$Q233="","0000",IF(AND(ISNUMBER(Sync!$Q233),Sync!$Q233&gt;=0,Sync!$Q233&lt;1),RIGHT("00"&amp;HOUR(Sync!$Q233),2)&amp;RIGHT("00"&amp;MINUTE(Sync!$Q233),2),IFERROR(RIGHT("00"&amp;VALUE(LEFT(Sync!$Q233,FIND(":",Sync!$Q233)-1)),2)&amp;RIGHT("00"&amp;VALUE(MID(Sync!$Q233,FIND(":",Sync!$Q233)+1,2)),2),"0000"))))</f>
        <v/>
      </c>
      <c r="G236">
        <f>IF(OR($E236="",$E236="نامعتبر"),"",IF(Sync!$S233="","",Sync!$S233))</f>
        <v/>
      </c>
      <c r="H236">
        <f>IF(OR($E236="",$E236="نامعتبر"),"",IF(Sync!$R233="","",Sync!$R233))</f>
        <v/>
      </c>
      <c r="I236">
        <f>IF(OR($E236="",$E236="نامعتبر"),"",IF(Sync!$T233="","",Sync!$T233))</f>
        <v/>
      </c>
      <c r="J236">
        <f>IF(OR($E236="",$E236="نامعتبر"),"",IF(Sync!$U233="","",Sync!$U233))</f>
        <v/>
      </c>
      <c r="K236">
        <f>IF(OR($E236="",$E236="نامعتبر"),"",IF(Sync!$V233="","",IFERROR(INDEX(SubCodes,MATCH(Sync!$V233,SubTitles,0)),Sync!$V233)))</f>
        <v/>
      </c>
      <c r="L236">
        <f>IF(OR($E236="",$E236="نامعتبر"),"",IF(Sync!$W233="",0,Sync!$W233))</f>
        <v/>
      </c>
      <c r="M236">
        <f>IF(OR($E236="",$E236="نامعتبر"),"",IF(Sync!$X233="",0,Sync!$X233))</f>
        <v/>
      </c>
      <c r="N236">
        <f>IF(OR($E236="",$E236="نامعتبر"),"",IF(AND($J236="هزینه",$K236&lt;&gt;""),1,0))</f>
        <v/>
      </c>
      <c r="O236">
        <f>IF($N236=0,"",LEFT($E236,4)&amp;MID($E236,6,2)&amp;RIGHT($E236,2)&amp;$F236&amp;"|"&amp;"1"&amp;RIGHT("00000"&amp;228,5))</f>
        <v/>
      </c>
      <c r="P236">
        <f>IF($O236="","",COUNTIFS(ExpSub,$K236,ExpKey,"&lt;"&amp;$O236)+1)</f>
        <v/>
      </c>
      <c r="Q236">
        <f>IF($P236="","",$K236&amp;"|"&amp;RIGHT("000000"&amp;$P236,6))</f>
        <v/>
      </c>
    </row>
    <row r="237">
      <c r="A237">
        <f>IF(Sync!$P234="","",Sync!$P234)</f>
        <v/>
      </c>
      <c r="B237">
        <f>IF($A237="","",IF(ISNUMBER($A237),IF(AND($A237&gt;=10000101,$A237&lt;=99991231),INT($A237/10000),""),IFERROR(VALUE(TRIM(LEFT($A237,FIND("/",$A237)-1))),"")))</f>
        <v/>
      </c>
      <c r="C237">
        <f>IF(OR($A237="",$B237=""),"",IF(ISNUMBER($A237),INT(MOD($A237,10000)/100),IFERROR(VALUE(TRIM(LEFT(MID($A237,FIND("/",$A237)+1,20),FIND("/",MID($A237,FIND("/",$A237)+1,20))-1))),"")))</f>
        <v/>
      </c>
      <c r="D237">
        <f>IF(OR($A237="",$B237=""),"",IF(ISNUMBER($A237),MOD($A237,100),IFERROR(VALUE(TRIM(MID(MID($A237,FIND("/",$A237)+1,20),FIND("/",MID($A237,FIND("/",$A237)+1,20))+1,20))),"")))</f>
        <v/>
      </c>
      <c r="E237">
        <f>IF($A237="","",IF(OR($B237="",$C237="",$D237="",$B237&lt;1300,$B237&gt;1500,$C237&lt;1,$C237&gt;12,$D237&lt;1,$D237&gt;31),"نامعتبر",RIGHT("0000"&amp;$B237,4)&amp;"/"&amp;RIGHT("00"&amp;$C237,2)&amp;"/"&amp;RIGHT("00"&amp;$D237,2)))</f>
        <v/>
      </c>
      <c r="F237">
        <f>IF(OR($E237="",$E237="نامعتبر"),"",IF(Sync!$Q234="","0000",IF(AND(ISNUMBER(Sync!$Q234),Sync!$Q234&gt;=0,Sync!$Q234&lt;1),RIGHT("00"&amp;HOUR(Sync!$Q234),2)&amp;RIGHT("00"&amp;MINUTE(Sync!$Q234),2),IFERROR(RIGHT("00"&amp;VALUE(LEFT(Sync!$Q234,FIND(":",Sync!$Q234)-1)),2)&amp;RIGHT("00"&amp;VALUE(MID(Sync!$Q234,FIND(":",Sync!$Q234)+1,2)),2),"0000"))))</f>
        <v/>
      </c>
      <c r="G237">
        <f>IF(OR($E237="",$E237="نامعتبر"),"",IF(Sync!$S234="","",Sync!$S234))</f>
        <v/>
      </c>
      <c r="H237">
        <f>IF(OR($E237="",$E237="نامعتبر"),"",IF(Sync!$R234="","",Sync!$R234))</f>
        <v/>
      </c>
      <c r="I237">
        <f>IF(OR($E237="",$E237="نامعتبر"),"",IF(Sync!$T234="","",Sync!$T234))</f>
        <v/>
      </c>
      <c r="J237">
        <f>IF(OR($E237="",$E237="نامعتبر"),"",IF(Sync!$U234="","",Sync!$U234))</f>
        <v/>
      </c>
      <c r="K237">
        <f>IF(OR($E237="",$E237="نامعتبر"),"",IF(Sync!$V234="","",IFERROR(INDEX(SubCodes,MATCH(Sync!$V234,SubTitles,0)),Sync!$V234)))</f>
        <v/>
      </c>
      <c r="L237">
        <f>IF(OR($E237="",$E237="نامعتبر"),"",IF(Sync!$W234="",0,Sync!$W234))</f>
        <v/>
      </c>
      <c r="M237">
        <f>IF(OR($E237="",$E237="نامعتبر"),"",IF(Sync!$X234="",0,Sync!$X234))</f>
        <v/>
      </c>
      <c r="N237">
        <f>IF(OR($E237="",$E237="نامعتبر"),"",IF(AND($J237="هزینه",$K237&lt;&gt;""),1,0))</f>
        <v/>
      </c>
      <c r="O237">
        <f>IF($N237=0,"",LEFT($E237,4)&amp;MID($E237,6,2)&amp;RIGHT($E237,2)&amp;$F237&amp;"|"&amp;"1"&amp;RIGHT("00000"&amp;229,5))</f>
        <v/>
      </c>
      <c r="P237">
        <f>IF($O237="","",COUNTIFS(ExpSub,$K237,ExpKey,"&lt;"&amp;$O237)+1)</f>
        <v/>
      </c>
      <c r="Q237">
        <f>IF($P237="","",$K237&amp;"|"&amp;RIGHT("000000"&amp;$P237,6))</f>
        <v/>
      </c>
    </row>
    <row r="238">
      <c r="A238">
        <f>IF(Sync!$P235="","",Sync!$P235)</f>
        <v/>
      </c>
      <c r="B238">
        <f>IF($A238="","",IF(ISNUMBER($A238),IF(AND($A238&gt;=10000101,$A238&lt;=99991231),INT($A238/10000),""),IFERROR(VALUE(TRIM(LEFT($A238,FIND("/",$A238)-1))),"")))</f>
        <v/>
      </c>
      <c r="C238">
        <f>IF(OR($A238="",$B238=""),"",IF(ISNUMBER($A238),INT(MOD($A238,10000)/100),IFERROR(VALUE(TRIM(LEFT(MID($A238,FIND("/",$A238)+1,20),FIND("/",MID($A238,FIND("/",$A238)+1,20))-1))),"")))</f>
        <v/>
      </c>
      <c r="D238">
        <f>IF(OR($A238="",$B238=""),"",IF(ISNUMBER($A238),MOD($A238,100),IFERROR(VALUE(TRIM(MID(MID($A238,FIND("/",$A238)+1,20),FIND("/",MID($A238,FIND("/",$A238)+1,20))+1,20))),"")))</f>
        <v/>
      </c>
      <c r="E238">
        <f>IF($A238="","",IF(OR($B238="",$C238="",$D238="",$B238&lt;1300,$B238&gt;1500,$C238&lt;1,$C238&gt;12,$D238&lt;1,$D238&gt;31),"نامعتبر",RIGHT("0000"&amp;$B238,4)&amp;"/"&amp;RIGHT("00"&amp;$C238,2)&amp;"/"&amp;RIGHT("00"&amp;$D238,2)))</f>
        <v/>
      </c>
      <c r="F238">
        <f>IF(OR($E238="",$E238="نامعتبر"),"",IF(Sync!$Q235="","0000",IF(AND(ISNUMBER(Sync!$Q235),Sync!$Q235&gt;=0,Sync!$Q235&lt;1),RIGHT("00"&amp;HOUR(Sync!$Q235),2)&amp;RIGHT("00"&amp;MINUTE(Sync!$Q235),2),IFERROR(RIGHT("00"&amp;VALUE(LEFT(Sync!$Q235,FIND(":",Sync!$Q235)-1)),2)&amp;RIGHT("00"&amp;VALUE(MID(Sync!$Q235,FIND(":",Sync!$Q235)+1,2)),2),"0000"))))</f>
        <v/>
      </c>
      <c r="G238">
        <f>IF(OR($E238="",$E238="نامعتبر"),"",IF(Sync!$S235="","",Sync!$S235))</f>
        <v/>
      </c>
      <c r="H238">
        <f>IF(OR($E238="",$E238="نامعتبر"),"",IF(Sync!$R235="","",Sync!$R235))</f>
        <v/>
      </c>
      <c r="I238">
        <f>IF(OR($E238="",$E238="نامعتبر"),"",IF(Sync!$T235="","",Sync!$T235))</f>
        <v/>
      </c>
      <c r="J238">
        <f>IF(OR($E238="",$E238="نامعتبر"),"",IF(Sync!$U235="","",Sync!$U235))</f>
        <v/>
      </c>
      <c r="K238">
        <f>IF(OR($E238="",$E238="نامعتبر"),"",IF(Sync!$V235="","",IFERROR(INDEX(SubCodes,MATCH(Sync!$V235,SubTitles,0)),Sync!$V235)))</f>
        <v/>
      </c>
      <c r="L238">
        <f>IF(OR($E238="",$E238="نامعتبر"),"",IF(Sync!$W235="",0,Sync!$W235))</f>
        <v/>
      </c>
      <c r="M238">
        <f>IF(OR($E238="",$E238="نامعتبر"),"",IF(Sync!$X235="",0,Sync!$X235))</f>
        <v/>
      </c>
      <c r="N238">
        <f>IF(OR($E238="",$E238="نامعتبر"),"",IF(AND($J238="هزینه",$K238&lt;&gt;""),1,0))</f>
        <v/>
      </c>
      <c r="O238">
        <f>IF($N238=0,"",LEFT($E238,4)&amp;MID($E238,6,2)&amp;RIGHT($E238,2)&amp;$F238&amp;"|"&amp;"1"&amp;RIGHT("00000"&amp;230,5))</f>
        <v/>
      </c>
      <c r="P238">
        <f>IF($O238="","",COUNTIFS(ExpSub,$K238,ExpKey,"&lt;"&amp;$O238)+1)</f>
        <v/>
      </c>
      <c r="Q238">
        <f>IF($P238="","",$K238&amp;"|"&amp;RIGHT("000000"&amp;$P238,6))</f>
        <v/>
      </c>
    </row>
    <row r="239">
      <c r="A239">
        <f>IF(Sync!$P236="","",Sync!$P236)</f>
        <v/>
      </c>
      <c r="B239">
        <f>IF($A239="","",IF(ISNUMBER($A239),IF(AND($A239&gt;=10000101,$A239&lt;=99991231),INT($A239/10000),""),IFERROR(VALUE(TRIM(LEFT($A239,FIND("/",$A239)-1))),"")))</f>
        <v/>
      </c>
      <c r="C239">
        <f>IF(OR($A239="",$B239=""),"",IF(ISNUMBER($A239),INT(MOD($A239,10000)/100),IFERROR(VALUE(TRIM(LEFT(MID($A239,FIND("/",$A239)+1,20),FIND("/",MID($A239,FIND("/",$A239)+1,20))-1))),"")))</f>
        <v/>
      </c>
      <c r="D239">
        <f>IF(OR($A239="",$B239=""),"",IF(ISNUMBER($A239),MOD($A239,100),IFERROR(VALUE(TRIM(MID(MID($A239,FIND("/",$A239)+1,20),FIND("/",MID($A239,FIND("/",$A239)+1,20))+1,20))),"")))</f>
        <v/>
      </c>
      <c r="E239">
        <f>IF($A239="","",IF(OR($B239="",$C239="",$D239="",$B239&lt;1300,$B239&gt;1500,$C239&lt;1,$C239&gt;12,$D239&lt;1,$D239&gt;31),"نامعتبر",RIGHT("0000"&amp;$B239,4)&amp;"/"&amp;RIGHT("00"&amp;$C239,2)&amp;"/"&amp;RIGHT("00"&amp;$D239,2)))</f>
        <v/>
      </c>
      <c r="F239">
        <f>IF(OR($E239="",$E239="نامعتبر"),"",IF(Sync!$Q236="","0000",IF(AND(ISNUMBER(Sync!$Q236),Sync!$Q236&gt;=0,Sync!$Q236&lt;1),RIGHT("00"&amp;HOUR(Sync!$Q236),2)&amp;RIGHT("00"&amp;MINUTE(Sync!$Q236),2),IFERROR(RIGHT("00"&amp;VALUE(LEFT(Sync!$Q236,FIND(":",Sync!$Q236)-1)),2)&amp;RIGHT("00"&amp;VALUE(MID(Sync!$Q236,FIND(":",Sync!$Q236)+1,2)),2),"0000"))))</f>
        <v/>
      </c>
      <c r="G239">
        <f>IF(OR($E239="",$E239="نامعتبر"),"",IF(Sync!$S236="","",Sync!$S236))</f>
        <v/>
      </c>
      <c r="H239">
        <f>IF(OR($E239="",$E239="نامعتبر"),"",IF(Sync!$R236="","",Sync!$R236))</f>
        <v/>
      </c>
      <c r="I239">
        <f>IF(OR($E239="",$E239="نامعتبر"),"",IF(Sync!$T236="","",Sync!$T236))</f>
        <v/>
      </c>
      <c r="J239">
        <f>IF(OR($E239="",$E239="نامعتبر"),"",IF(Sync!$U236="","",Sync!$U236))</f>
        <v/>
      </c>
      <c r="K239">
        <f>IF(OR($E239="",$E239="نامعتبر"),"",IF(Sync!$V236="","",IFERROR(INDEX(SubCodes,MATCH(Sync!$V236,SubTitles,0)),Sync!$V236)))</f>
        <v/>
      </c>
      <c r="L239">
        <f>IF(OR($E239="",$E239="نامعتبر"),"",IF(Sync!$W236="",0,Sync!$W236))</f>
        <v/>
      </c>
      <c r="M239">
        <f>IF(OR($E239="",$E239="نامعتبر"),"",IF(Sync!$X236="",0,Sync!$X236))</f>
        <v/>
      </c>
      <c r="N239">
        <f>IF(OR($E239="",$E239="نامعتبر"),"",IF(AND($J239="هزینه",$K239&lt;&gt;""),1,0))</f>
        <v/>
      </c>
      <c r="O239">
        <f>IF($N239=0,"",LEFT($E239,4)&amp;MID($E239,6,2)&amp;RIGHT($E239,2)&amp;$F239&amp;"|"&amp;"1"&amp;RIGHT("00000"&amp;231,5))</f>
        <v/>
      </c>
      <c r="P239">
        <f>IF($O239="","",COUNTIFS(ExpSub,$K239,ExpKey,"&lt;"&amp;$O239)+1)</f>
        <v/>
      </c>
      <c r="Q239">
        <f>IF($P239="","",$K239&amp;"|"&amp;RIGHT("000000"&amp;$P239,6))</f>
        <v/>
      </c>
    </row>
    <row r="240">
      <c r="A240">
        <f>IF(Sync!$P237="","",Sync!$P237)</f>
        <v/>
      </c>
      <c r="B240">
        <f>IF($A240="","",IF(ISNUMBER($A240),IF(AND($A240&gt;=10000101,$A240&lt;=99991231),INT($A240/10000),""),IFERROR(VALUE(TRIM(LEFT($A240,FIND("/",$A240)-1))),"")))</f>
        <v/>
      </c>
      <c r="C240">
        <f>IF(OR($A240="",$B240=""),"",IF(ISNUMBER($A240),INT(MOD($A240,10000)/100),IFERROR(VALUE(TRIM(LEFT(MID($A240,FIND("/",$A240)+1,20),FIND("/",MID($A240,FIND("/",$A240)+1,20))-1))),"")))</f>
        <v/>
      </c>
      <c r="D240">
        <f>IF(OR($A240="",$B240=""),"",IF(ISNUMBER($A240),MOD($A240,100),IFERROR(VALUE(TRIM(MID(MID($A240,FIND("/",$A240)+1,20),FIND("/",MID($A240,FIND("/",$A240)+1,20))+1,20))),"")))</f>
        <v/>
      </c>
      <c r="E240">
        <f>IF($A240="","",IF(OR($B240="",$C240="",$D240="",$B240&lt;1300,$B240&gt;1500,$C240&lt;1,$C240&gt;12,$D240&lt;1,$D240&gt;31),"نامعتبر",RIGHT("0000"&amp;$B240,4)&amp;"/"&amp;RIGHT("00"&amp;$C240,2)&amp;"/"&amp;RIGHT("00"&amp;$D240,2)))</f>
        <v/>
      </c>
      <c r="F240">
        <f>IF(OR($E240="",$E240="نامعتبر"),"",IF(Sync!$Q237="","0000",IF(AND(ISNUMBER(Sync!$Q237),Sync!$Q237&gt;=0,Sync!$Q237&lt;1),RIGHT("00"&amp;HOUR(Sync!$Q237),2)&amp;RIGHT("00"&amp;MINUTE(Sync!$Q237),2),IFERROR(RIGHT("00"&amp;VALUE(LEFT(Sync!$Q237,FIND(":",Sync!$Q237)-1)),2)&amp;RIGHT("00"&amp;VALUE(MID(Sync!$Q237,FIND(":",Sync!$Q237)+1,2)),2),"0000"))))</f>
        <v/>
      </c>
      <c r="G240">
        <f>IF(OR($E240="",$E240="نامعتبر"),"",IF(Sync!$S237="","",Sync!$S237))</f>
        <v/>
      </c>
      <c r="H240">
        <f>IF(OR($E240="",$E240="نامعتبر"),"",IF(Sync!$R237="","",Sync!$R237))</f>
        <v/>
      </c>
      <c r="I240">
        <f>IF(OR($E240="",$E240="نامعتبر"),"",IF(Sync!$T237="","",Sync!$T237))</f>
        <v/>
      </c>
      <c r="J240">
        <f>IF(OR($E240="",$E240="نامعتبر"),"",IF(Sync!$U237="","",Sync!$U237))</f>
        <v/>
      </c>
      <c r="K240">
        <f>IF(OR($E240="",$E240="نامعتبر"),"",IF(Sync!$V237="","",IFERROR(INDEX(SubCodes,MATCH(Sync!$V237,SubTitles,0)),Sync!$V237)))</f>
        <v/>
      </c>
      <c r="L240">
        <f>IF(OR($E240="",$E240="نامعتبر"),"",IF(Sync!$W237="",0,Sync!$W237))</f>
        <v/>
      </c>
      <c r="M240">
        <f>IF(OR($E240="",$E240="نامعتبر"),"",IF(Sync!$X237="",0,Sync!$X237))</f>
        <v/>
      </c>
      <c r="N240">
        <f>IF(OR($E240="",$E240="نامعتبر"),"",IF(AND($J240="هزینه",$K240&lt;&gt;""),1,0))</f>
        <v/>
      </c>
      <c r="O240">
        <f>IF($N240=0,"",LEFT($E240,4)&amp;MID($E240,6,2)&amp;RIGHT($E240,2)&amp;$F240&amp;"|"&amp;"1"&amp;RIGHT("00000"&amp;232,5))</f>
        <v/>
      </c>
      <c r="P240">
        <f>IF($O240="","",COUNTIFS(ExpSub,$K240,ExpKey,"&lt;"&amp;$O240)+1)</f>
        <v/>
      </c>
      <c r="Q240">
        <f>IF($P240="","",$K240&amp;"|"&amp;RIGHT("000000"&amp;$P240,6))</f>
        <v/>
      </c>
    </row>
    <row r="241">
      <c r="A241">
        <f>IF(Sync!$P238="","",Sync!$P238)</f>
        <v/>
      </c>
      <c r="B241">
        <f>IF($A241="","",IF(ISNUMBER($A241),IF(AND($A241&gt;=10000101,$A241&lt;=99991231),INT($A241/10000),""),IFERROR(VALUE(TRIM(LEFT($A241,FIND("/",$A241)-1))),"")))</f>
        <v/>
      </c>
      <c r="C241">
        <f>IF(OR($A241="",$B241=""),"",IF(ISNUMBER($A241),INT(MOD($A241,10000)/100),IFERROR(VALUE(TRIM(LEFT(MID($A241,FIND("/",$A241)+1,20),FIND("/",MID($A241,FIND("/",$A241)+1,20))-1))),"")))</f>
        <v/>
      </c>
      <c r="D241">
        <f>IF(OR($A241="",$B241=""),"",IF(ISNUMBER($A241),MOD($A241,100),IFERROR(VALUE(TRIM(MID(MID($A241,FIND("/",$A241)+1,20),FIND("/",MID($A241,FIND("/",$A241)+1,20))+1,20))),"")))</f>
        <v/>
      </c>
      <c r="E241">
        <f>IF($A241="","",IF(OR($B241="",$C241="",$D241="",$B241&lt;1300,$B241&gt;1500,$C241&lt;1,$C241&gt;12,$D241&lt;1,$D241&gt;31),"نامعتبر",RIGHT("0000"&amp;$B241,4)&amp;"/"&amp;RIGHT("00"&amp;$C241,2)&amp;"/"&amp;RIGHT("00"&amp;$D241,2)))</f>
        <v/>
      </c>
      <c r="F241">
        <f>IF(OR($E241="",$E241="نامعتبر"),"",IF(Sync!$Q238="","0000",IF(AND(ISNUMBER(Sync!$Q238),Sync!$Q238&gt;=0,Sync!$Q238&lt;1),RIGHT("00"&amp;HOUR(Sync!$Q238),2)&amp;RIGHT("00"&amp;MINUTE(Sync!$Q238),2),IFERROR(RIGHT("00"&amp;VALUE(LEFT(Sync!$Q238,FIND(":",Sync!$Q238)-1)),2)&amp;RIGHT("00"&amp;VALUE(MID(Sync!$Q238,FIND(":",Sync!$Q238)+1,2)),2),"0000"))))</f>
        <v/>
      </c>
      <c r="G241">
        <f>IF(OR($E241="",$E241="نامعتبر"),"",IF(Sync!$S238="","",Sync!$S238))</f>
        <v/>
      </c>
      <c r="H241">
        <f>IF(OR($E241="",$E241="نامعتبر"),"",IF(Sync!$R238="","",Sync!$R238))</f>
        <v/>
      </c>
      <c r="I241">
        <f>IF(OR($E241="",$E241="نامعتبر"),"",IF(Sync!$T238="","",Sync!$T238))</f>
        <v/>
      </c>
      <c r="J241">
        <f>IF(OR($E241="",$E241="نامعتبر"),"",IF(Sync!$U238="","",Sync!$U238))</f>
        <v/>
      </c>
      <c r="K241">
        <f>IF(OR($E241="",$E241="نامعتبر"),"",IF(Sync!$V238="","",IFERROR(INDEX(SubCodes,MATCH(Sync!$V238,SubTitles,0)),Sync!$V238)))</f>
        <v/>
      </c>
      <c r="L241">
        <f>IF(OR($E241="",$E241="نامعتبر"),"",IF(Sync!$W238="",0,Sync!$W238))</f>
        <v/>
      </c>
      <c r="M241">
        <f>IF(OR($E241="",$E241="نامعتبر"),"",IF(Sync!$X238="",0,Sync!$X238))</f>
        <v/>
      </c>
      <c r="N241">
        <f>IF(OR($E241="",$E241="نامعتبر"),"",IF(AND($J241="هزینه",$K241&lt;&gt;""),1,0))</f>
        <v/>
      </c>
      <c r="O241">
        <f>IF($N241=0,"",LEFT($E241,4)&amp;MID($E241,6,2)&amp;RIGHT($E241,2)&amp;$F241&amp;"|"&amp;"1"&amp;RIGHT("00000"&amp;233,5))</f>
        <v/>
      </c>
      <c r="P241">
        <f>IF($O241="","",COUNTIFS(ExpSub,$K241,ExpKey,"&lt;"&amp;$O241)+1)</f>
        <v/>
      </c>
      <c r="Q241">
        <f>IF($P241="","",$K241&amp;"|"&amp;RIGHT("000000"&amp;$P241,6))</f>
        <v/>
      </c>
    </row>
    <row r="242">
      <c r="A242">
        <f>IF(Sync!$P239="","",Sync!$P239)</f>
        <v/>
      </c>
      <c r="B242">
        <f>IF($A242="","",IF(ISNUMBER($A242),IF(AND($A242&gt;=10000101,$A242&lt;=99991231),INT($A242/10000),""),IFERROR(VALUE(TRIM(LEFT($A242,FIND("/",$A242)-1))),"")))</f>
        <v/>
      </c>
      <c r="C242">
        <f>IF(OR($A242="",$B242=""),"",IF(ISNUMBER($A242),INT(MOD($A242,10000)/100),IFERROR(VALUE(TRIM(LEFT(MID($A242,FIND("/",$A242)+1,20),FIND("/",MID($A242,FIND("/",$A242)+1,20))-1))),"")))</f>
        <v/>
      </c>
      <c r="D242">
        <f>IF(OR($A242="",$B242=""),"",IF(ISNUMBER($A242),MOD($A242,100),IFERROR(VALUE(TRIM(MID(MID($A242,FIND("/",$A242)+1,20),FIND("/",MID($A242,FIND("/",$A242)+1,20))+1,20))),"")))</f>
        <v/>
      </c>
      <c r="E242">
        <f>IF($A242="","",IF(OR($B242="",$C242="",$D242="",$B242&lt;1300,$B242&gt;1500,$C242&lt;1,$C242&gt;12,$D242&lt;1,$D242&gt;31),"نامعتبر",RIGHT("0000"&amp;$B242,4)&amp;"/"&amp;RIGHT("00"&amp;$C242,2)&amp;"/"&amp;RIGHT("00"&amp;$D242,2)))</f>
        <v/>
      </c>
      <c r="F242">
        <f>IF(OR($E242="",$E242="نامعتبر"),"",IF(Sync!$Q239="","0000",IF(AND(ISNUMBER(Sync!$Q239),Sync!$Q239&gt;=0,Sync!$Q239&lt;1),RIGHT("00"&amp;HOUR(Sync!$Q239),2)&amp;RIGHT("00"&amp;MINUTE(Sync!$Q239),2),IFERROR(RIGHT("00"&amp;VALUE(LEFT(Sync!$Q239,FIND(":",Sync!$Q239)-1)),2)&amp;RIGHT("00"&amp;VALUE(MID(Sync!$Q239,FIND(":",Sync!$Q239)+1,2)),2),"0000"))))</f>
        <v/>
      </c>
      <c r="G242">
        <f>IF(OR($E242="",$E242="نامعتبر"),"",IF(Sync!$S239="","",Sync!$S239))</f>
        <v/>
      </c>
      <c r="H242">
        <f>IF(OR($E242="",$E242="نامعتبر"),"",IF(Sync!$R239="","",Sync!$R239))</f>
        <v/>
      </c>
      <c r="I242">
        <f>IF(OR($E242="",$E242="نامعتبر"),"",IF(Sync!$T239="","",Sync!$T239))</f>
        <v/>
      </c>
      <c r="J242">
        <f>IF(OR($E242="",$E242="نامعتبر"),"",IF(Sync!$U239="","",Sync!$U239))</f>
        <v/>
      </c>
      <c r="K242">
        <f>IF(OR($E242="",$E242="نامعتبر"),"",IF(Sync!$V239="","",IFERROR(INDEX(SubCodes,MATCH(Sync!$V239,SubTitles,0)),Sync!$V239)))</f>
        <v/>
      </c>
      <c r="L242">
        <f>IF(OR($E242="",$E242="نامعتبر"),"",IF(Sync!$W239="",0,Sync!$W239))</f>
        <v/>
      </c>
      <c r="M242">
        <f>IF(OR($E242="",$E242="نامعتبر"),"",IF(Sync!$X239="",0,Sync!$X239))</f>
        <v/>
      </c>
      <c r="N242">
        <f>IF(OR($E242="",$E242="نامعتبر"),"",IF(AND($J242="هزینه",$K242&lt;&gt;""),1,0))</f>
        <v/>
      </c>
      <c r="O242">
        <f>IF($N242=0,"",LEFT($E242,4)&amp;MID($E242,6,2)&amp;RIGHT($E242,2)&amp;$F242&amp;"|"&amp;"1"&amp;RIGHT("00000"&amp;234,5))</f>
        <v/>
      </c>
      <c r="P242">
        <f>IF($O242="","",COUNTIFS(ExpSub,$K242,ExpKey,"&lt;"&amp;$O242)+1)</f>
        <v/>
      </c>
      <c r="Q242">
        <f>IF($P242="","",$K242&amp;"|"&amp;RIGHT("000000"&amp;$P242,6))</f>
        <v/>
      </c>
    </row>
    <row r="243">
      <c r="A243">
        <f>IF(Sync!$P240="","",Sync!$P240)</f>
        <v/>
      </c>
      <c r="B243">
        <f>IF($A243="","",IF(ISNUMBER($A243),IF(AND($A243&gt;=10000101,$A243&lt;=99991231),INT($A243/10000),""),IFERROR(VALUE(TRIM(LEFT($A243,FIND("/",$A243)-1))),"")))</f>
        <v/>
      </c>
      <c r="C243">
        <f>IF(OR($A243="",$B243=""),"",IF(ISNUMBER($A243),INT(MOD($A243,10000)/100),IFERROR(VALUE(TRIM(LEFT(MID($A243,FIND("/",$A243)+1,20),FIND("/",MID($A243,FIND("/",$A243)+1,20))-1))),"")))</f>
        <v/>
      </c>
      <c r="D243">
        <f>IF(OR($A243="",$B243=""),"",IF(ISNUMBER($A243),MOD($A243,100),IFERROR(VALUE(TRIM(MID(MID($A243,FIND("/",$A243)+1,20),FIND("/",MID($A243,FIND("/",$A243)+1,20))+1,20))),"")))</f>
        <v/>
      </c>
      <c r="E243">
        <f>IF($A243="","",IF(OR($B243="",$C243="",$D243="",$B243&lt;1300,$B243&gt;1500,$C243&lt;1,$C243&gt;12,$D243&lt;1,$D243&gt;31),"نامعتبر",RIGHT("0000"&amp;$B243,4)&amp;"/"&amp;RIGHT("00"&amp;$C243,2)&amp;"/"&amp;RIGHT("00"&amp;$D243,2)))</f>
        <v/>
      </c>
      <c r="F243">
        <f>IF(OR($E243="",$E243="نامعتبر"),"",IF(Sync!$Q240="","0000",IF(AND(ISNUMBER(Sync!$Q240),Sync!$Q240&gt;=0,Sync!$Q240&lt;1),RIGHT("00"&amp;HOUR(Sync!$Q240),2)&amp;RIGHT("00"&amp;MINUTE(Sync!$Q240),2),IFERROR(RIGHT("00"&amp;VALUE(LEFT(Sync!$Q240,FIND(":",Sync!$Q240)-1)),2)&amp;RIGHT("00"&amp;VALUE(MID(Sync!$Q240,FIND(":",Sync!$Q240)+1,2)),2),"0000"))))</f>
        <v/>
      </c>
      <c r="G243">
        <f>IF(OR($E243="",$E243="نامعتبر"),"",IF(Sync!$S240="","",Sync!$S240))</f>
        <v/>
      </c>
      <c r="H243">
        <f>IF(OR($E243="",$E243="نامعتبر"),"",IF(Sync!$R240="","",Sync!$R240))</f>
        <v/>
      </c>
      <c r="I243">
        <f>IF(OR($E243="",$E243="نامعتبر"),"",IF(Sync!$T240="","",Sync!$T240))</f>
        <v/>
      </c>
      <c r="J243">
        <f>IF(OR($E243="",$E243="نامعتبر"),"",IF(Sync!$U240="","",Sync!$U240))</f>
        <v/>
      </c>
      <c r="K243">
        <f>IF(OR($E243="",$E243="نامعتبر"),"",IF(Sync!$V240="","",IFERROR(INDEX(SubCodes,MATCH(Sync!$V240,SubTitles,0)),Sync!$V240)))</f>
        <v/>
      </c>
      <c r="L243">
        <f>IF(OR($E243="",$E243="نامعتبر"),"",IF(Sync!$W240="",0,Sync!$W240))</f>
        <v/>
      </c>
      <c r="M243">
        <f>IF(OR($E243="",$E243="نامعتبر"),"",IF(Sync!$X240="",0,Sync!$X240))</f>
        <v/>
      </c>
      <c r="N243">
        <f>IF(OR($E243="",$E243="نامعتبر"),"",IF(AND($J243="هزینه",$K243&lt;&gt;""),1,0))</f>
        <v/>
      </c>
      <c r="O243">
        <f>IF($N243=0,"",LEFT($E243,4)&amp;MID($E243,6,2)&amp;RIGHT($E243,2)&amp;$F243&amp;"|"&amp;"1"&amp;RIGHT("00000"&amp;235,5))</f>
        <v/>
      </c>
      <c r="P243">
        <f>IF($O243="","",COUNTIFS(ExpSub,$K243,ExpKey,"&lt;"&amp;$O243)+1)</f>
        <v/>
      </c>
      <c r="Q243">
        <f>IF($P243="","",$K243&amp;"|"&amp;RIGHT("000000"&amp;$P243,6))</f>
        <v/>
      </c>
    </row>
    <row r="244">
      <c r="A244">
        <f>IF(Sync!$P241="","",Sync!$P241)</f>
        <v/>
      </c>
      <c r="B244">
        <f>IF($A244="","",IF(ISNUMBER($A244),IF(AND($A244&gt;=10000101,$A244&lt;=99991231),INT($A244/10000),""),IFERROR(VALUE(TRIM(LEFT($A244,FIND("/",$A244)-1))),"")))</f>
        <v/>
      </c>
      <c r="C244">
        <f>IF(OR($A244="",$B244=""),"",IF(ISNUMBER($A244),INT(MOD($A244,10000)/100),IFERROR(VALUE(TRIM(LEFT(MID($A244,FIND("/",$A244)+1,20),FIND("/",MID($A244,FIND("/",$A244)+1,20))-1))),"")))</f>
        <v/>
      </c>
      <c r="D244">
        <f>IF(OR($A244="",$B244=""),"",IF(ISNUMBER($A244),MOD($A244,100),IFERROR(VALUE(TRIM(MID(MID($A244,FIND("/",$A244)+1,20),FIND("/",MID($A244,FIND("/",$A244)+1,20))+1,20))),"")))</f>
        <v/>
      </c>
      <c r="E244">
        <f>IF($A244="","",IF(OR($B244="",$C244="",$D244="",$B244&lt;1300,$B244&gt;1500,$C244&lt;1,$C244&gt;12,$D244&lt;1,$D244&gt;31),"نامعتبر",RIGHT("0000"&amp;$B244,4)&amp;"/"&amp;RIGHT("00"&amp;$C244,2)&amp;"/"&amp;RIGHT("00"&amp;$D244,2)))</f>
        <v/>
      </c>
      <c r="F244">
        <f>IF(OR($E244="",$E244="نامعتبر"),"",IF(Sync!$Q241="","0000",IF(AND(ISNUMBER(Sync!$Q241),Sync!$Q241&gt;=0,Sync!$Q241&lt;1),RIGHT("00"&amp;HOUR(Sync!$Q241),2)&amp;RIGHT("00"&amp;MINUTE(Sync!$Q241),2),IFERROR(RIGHT("00"&amp;VALUE(LEFT(Sync!$Q241,FIND(":",Sync!$Q241)-1)),2)&amp;RIGHT("00"&amp;VALUE(MID(Sync!$Q241,FIND(":",Sync!$Q241)+1,2)),2),"0000"))))</f>
        <v/>
      </c>
      <c r="G244">
        <f>IF(OR($E244="",$E244="نامعتبر"),"",IF(Sync!$S241="","",Sync!$S241))</f>
        <v/>
      </c>
      <c r="H244">
        <f>IF(OR($E244="",$E244="نامعتبر"),"",IF(Sync!$R241="","",Sync!$R241))</f>
        <v/>
      </c>
      <c r="I244">
        <f>IF(OR($E244="",$E244="نامعتبر"),"",IF(Sync!$T241="","",Sync!$T241))</f>
        <v/>
      </c>
      <c r="J244">
        <f>IF(OR($E244="",$E244="نامعتبر"),"",IF(Sync!$U241="","",Sync!$U241))</f>
        <v/>
      </c>
      <c r="K244">
        <f>IF(OR($E244="",$E244="نامعتبر"),"",IF(Sync!$V241="","",IFERROR(INDEX(SubCodes,MATCH(Sync!$V241,SubTitles,0)),Sync!$V241)))</f>
        <v/>
      </c>
      <c r="L244">
        <f>IF(OR($E244="",$E244="نامعتبر"),"",IF(Sync!$W241="",0,Sync!$W241))</f>
        <v/>
      </c>
      <c r="M244">
        <f>IF(OR($E244="",$E244="نامعتبر"),"",IF(Sync!$X241="",0,Sync!$X241))</f>
        <v/>
      </c>
      <c r="N244">
        <f>IF(OR($E244="",$E244="نامعتبر"),"",IF(AND($J244="هزینه",$K244&lt;&gt;""),1,0))</f>
        <v/>
      </c>
      <c r="O244">
        <f>IF($N244=0,"",LEFT($E244,4)&amp;MID($E244,6,2)&amp;RIGHT($E244,2)&amp;$F244&amp;"|"&amp;"1"&amp;RIGHT("00000"&amp;236,5))</f>
        <v/>
      </c>
      <c r="P244">
        <f>IF($O244="","",COUNTIFS(ExpSub,$K244,ExpKey,"&lt;"&amp;$O244)+1)</f>
        <v/>
      </c>
      <c r="Q244">
        <f>IF($P244="","",$K244&amp;"|"&amp;RIGHT("000000"&amp;$P244,6))</f>
        <v/>
      </c>
    </row>
    <row r="245">
      <c r="A245">
        <f>IF(Sync!$P242="","",Sync!$P242)</f>
        <v/>
      </c>
      <c r="B245">
        <f>IF($A245="","",IF(ISNUMBER($A245),IF(AND($A245&gt;=10000101,$A245&lt;=99991231),INT($A245/10000),""),IFERROR(VALUE(TRIM(LEFT($A245,FIND("/",$A245)-1))),"")))</f>
        <v/>
      </c>
      <c r="C245">
        <f>IF(OR($A245="",$B245=""),"",IF(ISNUMBER($A245),INT(MOD($A245,10000)/100),IFERROR(VALUE(TRIM(LEFT(MID($A245,FIND("/",$A245)+1,20),FIND("/",MID($A245,FIND("/",$A245)+1,20))-1))),"")))</f>
        <v/>
      </c>
      <c r="D245">
        <f>IF(OR($A245="",$B245=""),"",IF(ISNUMBER($A245),MOD($A245,100),IFERROR(VALUE(TRIM(MID(MID($A245,FIND("/",$A245)+1,20),FIND("/",MID($A245,FIND("/",$A245)+1,20))+1,20))),"")))</f>
        <v/>
      </c>
      <c r="E245">
        <f>IF($A245="","",IF(OR($B245="",$C245="",$D245="",$B245&lt;1300,$B245&gt;1500,$C245&lt;1,$C245&gt;12,$D245&lt;1,$D245&gt;31),"نامعتبر",RIGHT("0000"&amp;$B245,4)&amp;"/"&amp;RIGHT("00"&amp;$C245,2)&amp;"/"&amp;RIGHT("00"&amp;$D245,2)))</f>
        <v/>
      </c>
      <c r="F245">
        <f>IF(OR($E245="",$E245="نامعتبر"),"",IF(Sync!$Q242="","0000",IF(AND(ISNUMBER(Sync!$Q242),Sync!$Q242&gt;=0,Sync!$Q242&lt;1),RIGHT("00"&amp;HOUR(Sync!$Q242),2)&amp;RIGHT("00"&amp;MINUTE(Sync!$Q242),2),IFERROR(RIGHT("00"&amp;VALUE(LEFT(Sync!$Q242,FIND(":",Sync!$Q242)-1)),2)&amp;RIGHT("00"&amp;VALUE(MID(Sync!$Q242,FIND(":",Sync!$Q242)+1,2)),2),"0000"))))</f>
        <v/>
      </c>
      <c r="G245">
        <f>IF(OR($E245="",$E245="نامعتبر"),"",IF(Sync!$S242="","",Sync!$S242))</f>
        <v/>
      </c>
      <c r="H245">
        <f>IF(OR($E245="",$E245="نامعتبر"),"",IF(Sync!$R242="","",Sync!$R242))</f>
        <v/>
      </c>
      <c r="I245">
        <f>IF(OR($E245="",$E245="نامعتبر"),"",IF(Sync!$T242="","",Sync!$T242))</f>
        <v/>
      </c>
      <c r="J245">
        <f>IF(OR($E245="",$E245="نامعتبر"),"",IF(Sync!$U242="","",Sync!$U242))</f>
        <v/>
      </c>
      <c r="K245">
        <f>IF(OR($E245="",$E245="نامعتبر"),"",IF(Sync!$V242="","",IFERROR(INDEX(SubCodes,MATCH(Sync!$V242,SubTitles,0)),Sync!$V242)))</f>
        <v/>
      </c>
      <c r="L245">
        <f>IF(OR($E245="",$E245="نامعتبر"),"",IF(Sync!$W242="",0,Sync!$W242))</f>
        <v/>
      </c>
      <c r="M245">
        <f>IF(OR($E245="",$E245="نامعتبر"),"",IF(Sync!$X242="",0,Sync!$X242))</f>
        <v/>
      </c>
      <c r="N245">
        <f>IF(OR($E245="",$E245="نامعتبر"),"",IF(AND($J245="هزینه",$K245&lt;&gt;""),1,0))</f>
        <v/>
      </c>
      <c r="O245">
        <f>IF($N245=0,"",LEFT($E245,4)&amp;MID($E245,6,2)&amp;RIGHT($E245,2)&amp;$F245&amp;"|"&amp;"1"&amp;RIGHT("00000"&amp;237,5))</f>
        <v/>
      </c>
      <c r="P245">
        <f>IF($O245="","",COUNTIFS(ExpSub,$K245,ExpKey,"&lt;"&amp;$O245)+1)</f>
        <v/>
      </c>
      <c r="Q245">
        <f>IF($P245="","",$K245&amp;"|"&amp;RIGHT("000000"&amp;$P245,6))</f>
        <v/>
      </c>
    </row>
    <row r="246">
      <c r="A246">
        <f>IF(Sync!$P243="","",Sync!$P243)</f>
        <v/>
      </c>
      <c r="B246">
        <f>IF($A246="","",IF(ISNUMBER($A246),IF(AND($A246&gt;=10000101,$A246&lt;=99991231),INT($A246/10000),""),IFERROR(VALUE(TRIM(LEFT($A246,FIND("/",$A246)-1))),"")))</f>
        <v/>
      </c>
      <c r="C246">
        <f>IF(OR($A246="",$B246=""),"",IF(ISNUMBER($A246),INT(MOD($A246,10000)/100),IFERROR(VALUE(TRIM(LEFT(MID($A246,FIND("/",$A246)+1,20),FIND("/",MID($A246,FIND("/",$A246)+1,20))-1))),"")))</f>
        <v/>
      </c>
      <c r="D246">
        <f>IF(OR($A246="",$B246=""),"",IF(ISNUMBER($A246),MOD($A246,100),IFERROR(VALUE(TRIM(MID(MID($A246,FIND("/",$A246)+1,20),FIND("/",MID($A246,FIND("/",$A246)+1,20))+1,20))),"")))</f>
        <v/>
      </c>
      <c r="E246">
        <f>IF($A246="","",IF(OR($B246="",$C246="",$D246="",$B246&lt;1300,$B246&gt;1500,$C246&lt;1,$C246&gt;12,$D246&lt;1,$D246&gt;31),"نامعتبر",RIGHT("0000"&amp;$B246,4)&amp;"/"&amp;RIGHT("00"&amp;$C246,2)&amp;"/"&amp;RIGHT("00"&amp;$D246,2)))</f>
        <v/>
      </c>
      <c r="F246">
        <f>IF(OR($E246="",$E246="نامعتبر"),"",IF(Sync!$Q243="","0000",IF(AND(ISNUMBER(Sync!$Q243),Sync!$Q243&gt;=0,Sync!$Q243&lt;1),RIGHT("00"&amp;HOUR(Sync!$Q243),2)&amp;RIGHT("00"&amp;MINUTE(Sync!$Q243),2),IFERROR(RIGHT("00"&amp;VALUE(LEFT(Sync!$Q243,FIND(":",Sync!$Q243)-1)),2)&amp;RIGHT("00"&amp;VALUE(MID(Sync!$Q243,FIND(":",Sync!$Q243)+1,2)),2),"0000"))))</f>
        <v/>
      </c>
      <c r="G246">
        <f>IF(OR($E246="",$E246="نامعتبر"),"",IF(Sync!$S243="","",Sync!$S243))</f>
        <v/>
      </c>
      <c r="H246">
        <f>IF(OR($E246="",$E246="نامعتبر"),"",IF(Sync!$R243="","",Sync!$R243))</f>
        <v/>
      </c>
      <c r="I246">
        <f>IF(OR($E246="",$E246="نامعتبر"),"",IF(Sync!$T243="","",Sync!$T243))</f>
        <v/>
      </c>
      <c r="J246">
        <f>IF(OR($E246="",$E246="نامعتبر"),"",IF(Sync!$U243="","",Sync!$U243))</f>
        <v/>
      </c>
      <c r="K246">
        <f>IF(OR($E246="",$E246="نامعتبر"),"",IF(Sync!$V243="","",IFERROR(INDEX(SubCodes,MATCH(Sync!$V243,SubTitles,0)),Sync!$V243)))</f>
        <v/>
      </c>
      <c r="L246">
        <f>IF(OR($E246="",$E246="نامعتبر"),"",IF(Sync!$W243="",0,Sync!$W243))</f>
        <v/>
      </c>
      <c r="M246">
        <f>IF(OR($E246="",$E246="نامعتبر"),"",IF(Sync!$X243="",0,Sync!$X243))</f>
        <v/>
      </c>
      <c r="N246">
        <f>IF(OR($E246="",$E246="نامعتبر"),"",IF(AND($J246="هزینه",$K246&lt;&gt;""),1,0))</f>
        <v/>
      </c>
      <c r="O246">
        <f>IF($N246=0,"",LEFT($E246,4)&amp;MID($E246,6,2)&amp;RIGHT($E246,2)&amp;$F246&amp;"|"&amp;"1"&amp;RIGHT("00000"&amp;238,5))</f>
        <v/>
      </c>
      <c r="P246">
        <f>IF($O246="","",COUNTIFS(ExpSub,$K246,ExpKey,"&lt;"&amp;$O246)+1)</f>
        <v/>
      </c>
      <c r="Q246">
        <f>IF($P246="","",$K246&amp;"|"&amp;RIGHT("000000"&amp;$P246,6))</f>
        <v/>
      </c>
    </row>
    <row r="247">
      <c r="A247">
        <f>IF(Sync!$P244="","",Sync!$P244)</f>
        <v/>
      </c>
      <c r="B247">
        <f>IF($A247="","",IF(ISNUMBER($A247),IF(AND($A247&gt;=10000101,$A247&lt;=99991231),INT($A247/10000),""),IFERROR(VALUE(TRIM(LEFT($A247,FIND("/",$A247)-1))),"")))</f>
        <v/>
      </c>
      <c r="C247">
        <f>IF(OR($A247="",$B247=""),"",IF(ISNUMBER($A247),INT(MOD($A247,10000)/100),IFERROR(VALUE(TRIM(LEFT(MID($A247,FIND("/",$A247)+1,20),FIND("/",MID($A247,FIND("/",$A247)+1,20))-1))),"")))</f>
        <v/>
      </c>
      <c r="D247">
        <f>IF(OR($A247="",$B247=""),"",IF(ISNUMBER($A247),MOD($A247,100),IFERROR(VALUE(TRIM(MID(MID($A247,FIND("/",$A247)+1,20),FIND("/",MID($A247,FIND("/",$A247)+1,20))+1,20))),"")))</f>
        <v/>
      </c>
      <c r="E247">
        <f>IF($A247="","",IF(OR($B247="",$C247="",$D247="",$B247&lt;1300,$B247&gt;1500,$C247&lt;1,$C247&gt;12,$D247&lt;1,$D247&gt;31),"نامعتبر",RIGHT("0000"&amp;$B247,4)&amp;"/"&amp;RIGHT("00"&amp;$C247,2)&amp;"/"&amp;RIGHT("00"&amp;$D247,2)))</f>
        <v/>
      </c>
      <c r="F247">
        <f>IF(OR($E247="",$E247="نامعتبر"),"",IF(Sync!$Q244="","0000",IF(AND(ISNUMBER(Sync!$Q244),Sync!$Q244&gt;=0,Sync!$Q244&lt;1),RIGHT("00"&amp;HOUR(Sync!$Q244),2)&amp;RIGHT("00"&amp;MINUTE(Sync!$Q244),2),IFERROR(RIGHT("00"&amp;VALUE(LEFT(Sync!$Q244,FIND(":",Sync!$Q244)-1)),2)&amp;RIGHT("00"&amp;VALUE(MID(Sync!$Q244,FIND(":",Sync!$Q244)+1,2)),2),"0000"))))</f>
        <v/>
      </c>
      <c r="G247">
        <f>IF(OR($E247="",$E247="نامعتبر"),"",IF(Sync!$S244="","",Sync!$S244))</f>
        <v/>
      </c>
      <c r="H247">
        <f>IF(OR($E247="",$E247="نامعتبر"),"",IF(Sync!$R244="","",Sync!$R244))</f>
        <v/>
      </c>
      <c r="I247">
        <f>IF(OR($E247="",$E247="نامعتبر"),"",IF(Sync!$T244="","",Sync!$T244))</f>
        <v/>
      </c>
      <c r="J247">
        <f>IF(OR($E247="",$E247="نامعتبر"),"",IF(Sync!$U244="","",Sync!$U244))</f>
        <v/>
      </c>
      <c r="K247">
        <f>IF(OR($E247="",$E247="نامعتبر"),"",IF(Sync!$V244="","",IFERROR(INDEX(SubCodes,MATCH(Sync!$V244,SubTitles,0)),Sync!$V244)))</f>
        <v/>
      </c>
      <c r="L247">
        <f>IF(OR($E247="",$E247="نامعتبر"),"",IF(Sync!$W244="",0,Sync!$W244))</f>
        <v/>
      </c>
      <c r="M247">
        <f>IF(OR($E247="",$E247="نامعتبر"),"",IF(Sync!$X244="",0,Sync!$X244))</f>
        <v/>
      </c>
      <c r="N247">
        <f>IF(OR($E247="",$E247="نامعتبر"),"",IF(AND($J247="هزینه",$K247&lt;&gt;""),1,0))</f>
        <v/>
      </c>
      <c r="O247">
        <f>IF($N247=0,"",LEFT($E247,4)&amp;MID($E247,6,2)&amp;RIGHT($E247,2)&amp;$F247&amp;"|"&amp;"1"&amp;RIGHT("00000"&amp;239,5))</f>
        <v/>
      </c>
      <c r="P247">
        <f>IF($O247="","",COUNTIFS(ExpSub,$K247,ExpKey,"&lt;"&amp;$O247)+1)</f>
        <v/>
      </c>
      <c r="Q247">
        <f>IF($P247="","",$K247&amp;"|"&amp;RIGHT("000000"&amp;$P247,6))</f>
        <v/>
      </c>
    </row>
    <row r="248">
      <c r="A248">
        <f>IF(Sync!$P245="","",Sync!$P245)</f>
        <v/>
      </c>
      <c r="B248">
        <f>IF($A248="","",IF(ISNUMBER($A248),IF(AND($A248&gt;=10000101,$A248&lt;=99991231),INT($A248/10000),""),IFERROR(VALUE(TRIM(LEFT($A248,FIND("/",$A248)-1))),"")))</f>
        <v/>
      </c>
      <c r="C248">
        <f>IF(OR($A248="",$B248=""),"",IF(ISNUMBER($A248),INT(MOD($A248,10000)/100),IFERROR(VALUE(TRIM(LEFT(MID($A248,FIND("/",$A248)+1,20),FIND("/",MID($A248,FIND("/",$A248)+1,20))-1))),"")))</f>
        <v/>
      </c>
      <c r="D248">
        <f>IF(OR($A248="",$B248=""),"",IF(ISNUMBER($A248),MOD($A248,100),IFERROR(VALUE(TRIM(MID(MID($A248,FIND("/",$A248)+1,20),FIND("/",MID($A248,FIND("/",$A248)+1,20))+1,20))),"")))</f>
        <v/>
      </c>
      <c r="E248">
        <f>IF($A248="","",IF(OR($B248="",$C248="",$D248="",$B248&lt;1300,$B248&gt;1500,$C248&lt;1,$C248&gt;12,$D248&lt;1,$D248&gt;31),"نامعتبر",RIGHT("0000"&amp;$B248,4)&amp;"/"&amp;RIGHT("00"&amp;$C248,2)&amp;"/"&amp;RIGHT("00"&amp;$D248,2)))</f>
        <v/>
      </c>
      <c r="F248">
        <f>IF(OR($E248="",$E248="نامعتبر"),"",IF(Sync!$Q245="","0000",IF(AND(ISNUMBER(Sync!$Q245),Sync!$Q245&gt;=0,Sync!$Q245&lt;1),RIGHT("00"&amp;HOUR(Sync!$Q245),2)&amp;RIGHT("00"&amp;MINUTE(Sync!$Q245),2),IFERROR(RIGHT("00"&amp;VALUE(LEFT(Sync!$Q245,FIND(":",Sync!$Q245)-1)),2)&amp;RIGHT("00"&amp;VALUE(MID(Sync!$Q245,FIND(":",Sync!$Q245)+1,2)),2),"0000"))))</f>
        <v/>
      </c>
      <c r="G248">
        <f>IF(OR($E248="",$E248="نامعتبر"),"",IF(Sync!$S245="","",Sync!$S245))</f>
        <v/>
      </c>
      <c r="H248">
        <f>IF(OR($E248="",$E248="نامعتبر"),"",IF(Sync!$R245="","",Sync!$R245))</f>
        <v/>
      </c>
      <c r="I248">
        <f>IF(OR($E248="",$E248="نامعتبر"),"",IF(Sync!$T245="","",Sync!$T245))</f>
        <v/>
      </c>
      <c r="J248">
        <f>IF(OR($E248="",$E248="نامعتبر"),"",IF(Sync!$U245="","",Sync!$U245))</f>
        <v/>
      </c>
      <c r="K248">
        <f>IF(OR($E248="",$E248="نامعتبر"),"",IF(Sync!$V245="","",IFERROR(INDEX(SubCodes,MATCH(Sync!$V245,SubTitles,0)),Sync!$V245)))</f>
        <v/>
      </c>
      <c r="L248">
        <f>IF(OR($E248="",$E248="نامعتبر"),"",IF(Sync!$W245="",0,Sync!$W245))</f>
        <v/>
      </c>
      <c r="M248">
        <f>IF(OR($E248="",$E248="نامعتبر"),"",IF(Sync!$X245="",0,Sync!$X245))</f>
        <v/>
      </c>
      <c r="N248">
        <f>IF(OR($E248="",$E248="نامعتبر"),"",IF(AND($J248="هزینه",$K248&lt;&gt;""),1,0))</f>
        <v/>
      </c>
      <c r="O248">
        <f>IF($N248=0,"",LEFT($E248,4)&amp;MID($E248,6,2)&amp;RIGHT($E248,2)&amp;$F248&amp;"|"&amp;"1"&amp;RIGHT("00000"&amp;240,5))</f>
        <v/>
      </c>
      <c r="P248">
        <f>IF($O248="","",COUNTIFS(ExpSub,$K248,ExpKey,"&lt;"&amp;$O248)+1)</f>
        <v/>
      </c>
      <c r="Q248">
        <f>IF($P248="","",$K248&amp;"|"&amp;RIGHT("000000"&amp;$P248,6))</f>
        <v/>
      </c>
    </row>
    <row r="249">
      <c r="A249">
        <f>IF(Sync!$P246="","",Sync!$P246)</f>
        <v/>
      </c>
      <c r="B249">
        <f>IF($A249="","",IF(ISNUMBER($A249),IF(AND($A249&gt;=10000101,$A249&lt;=99991231),INT($A249/10000),""),IFERROR(VALUE(TRIM(LEFT($A249,FIND("/",$A249)-1))),"")))</f>
        <v/>
      </c>
      <c r="C249">
        <f>IF(OR($A249="",$B249=""),"",IF(ISNUMBER($A249),INT(MOD($A249,10000)/100),IFERROR(VALUE(TRIM(LEFT(MID($A249,FIND("/",$A249)+1,20),FIND("/",MID($A249,FIND("/",$A249)+1,20))-1))),"")))</f>
        <v/>
      </c>
      <c r="D249">
        <f>IF(OR($A249="",$B249=""),"",IF(ISNUMBER($A249),MOD($A249,100),IFERROR(VALUE(TRIM(MID(MID($A249,FIND("/",$A249)+1,20),FIND("/",MID($A249,FIND("/",$A249)+1,20))+1,20))),"")))</f>
        <v/>
      </c>
      <c r="E249">
        <f>IF($A249="","",IF(OR($B249="",$C249="",$D249="",$B249&lt;1300,$B249&gt;1500,$C249&lt;1,$C249&gt;12,$D249&lt;1,$D249&gt;31),"نامعتبر",RIGHT("0000"&amp;$B249,4)&amp;"/"&amp;RIGHT("00"&amp;$C249,2)&amp;"/"&amp;RIGHT("00"&amp;$D249,2)))</f>
        <v/>
      </c>
      <c r="F249">
        <f>IF(OR($E249="",$E249="نامعتبر"),"",IF(Sync!$Q246="","0000",IF(AND(ISNUMBER(Sync!$Q246),Sync!$Q246&gt;=0,Sync!$Q246&lt;1),RIGHT("00"&amp;HOUR(Sync!$Q246),2)&amp;RIGHT("00"&amp;MINUTE(Sync!$Q246),2),IFERROR(RIGHT("00"&amp;VALUE(LEFT(Sync!$Q246,FIND(":",Sync!$Q246)-1)),2)&amp;RIGHT("00"&amp;VALUE(MID(Sync!$Q246,FIND(":",Sync!$Q246)+1,2)),2),"0000"))))</f>
        <v/>
      </c>
      <c r="G249">
        <f>IF(OR($E249="",$E249="نامعتبر"),"",IF(Sync!$S246="","",Sync!$S246))</f>
        <v/>
      </c>
      <c r="H249">
        <f>IF(OR($E249="",$E249="نامعتبر"),"",IF(Sync!$R246="","",Sync!$R246))</f>
        <v/>
      </c>
      <c r="I249">
        <f>IF(OR($E249="",$E249="نامعتبر"),"",IF(Sync!$T246="","",Sync!$T246))</f>
        <v/>
      </c>
      <c r="J249">
        <f>IF(OR($E249="",$E249="نامعتبر"),"",IF(Sync!$U246="","",Sync!$U246))</f>
        <v/>
      </c>
      <c r="K249">
        <f>IF(OR($E249="",$E249="نامعتبر"),"",IF(Sync!$V246="","",IFERROR(INDEX(SubCodes,MATCH(Sync!$V246,SubTitles,0)),Sync!$V246)))</f>
        <v/>
      </c>
      <c r="L249">
        <f>IF(OR($E249="",$E249="نامعتبر"),"",IF(Sync!$W246="",0,Sync!$W246))</f>
        <v/>
      </c>
      <c r="M249">
        <f>IF(OR($E249="",$E249="نامعتبر"),"",IF(Sync!$X246="",0,Sync!$X246))</f>
        <v/>
      </c>
      <c r="N249">
        <f>IF(OR($E249="",$E249="نامعتبر"),"",IF(AND($J249="هزینه",$K249&lt;&gt;""),1,0))</f>
        <v/>
      </c>
      <c r="O249">
        <f>IF($N249=0,"",LEFT($E249,4)&amp;MID($E249,6,2)&amp;RIGHT($E249,2)&amp;$F249&amp;"|"&amp;"1"&amp;RIGHT("00000"&amp;241,5))</f>
        <v/>
      </c>
      <c r="P249">
        <f>IF($O249="","",COUNTIFS(ExpSub,$K249,ExpKey,"&lt;"&amp;$O249)+1)</f>
        <v/>
      </c>
      <c r="Q249">
        <f>IF($P249="","",$K249&amp;"|"&amp;RIGHT("000000"&amp;$P249,6))</f>
        <v/>
      </c>
    </row>
    <row r="250">
      <c r="A250">
        <f>IF(Sync!$P247="","",Sync!$P247)</f>
        <v/>
      </c>
      <c r="B250">
        <f>IF($A250="","",IF(ISNUMBER($A250),IF(AND($A250&gt;=10000101,$A250&lt;=99991231),INT($A250/10000),""),IFERROR(VALUE(TRIM(LEFT($A250,FIND("/",$A250)-1))),"")))</f>
        <v/>
      </c>
      <c r="C250">
        <f>IF(OR($A250="",$B250=""),"",IF(ISNUMBER($A250),INT(MOD($A250,10000)/100),IFERROR(VALUE(TRIM(LEFT(MID($A250,FIND("/",$A250)+1,20),FIND("/",MID($A250,FIND("/",$A250)+1,20))-1))),"")))</f>
        <v/>
      </c>
      <c r="D250">
        <f>IF(OR($A250="",$B250=""),"",IF(ISNUMBER($A250),MOD($A250,100),IFERROR(VALUE(TRIM(MID(MID($A250,FIND("/",$A250)+1,20),FIND("/",MID($A250,FIND("/",$A250)+1,20))+1,20))),"")))</f>
        <v/>
      </c>
      <c r="E250">
        <f>IF($A250="","",IF(OR($B250="",$C250="",$D250="",$B250&lt;1300,$B250&gt;1500,$C250&lt;1,$C250&gt;12,$D250&lt;1,$D250&gt;31),"نامعتبر",RIGHT("0000"&amp;$B250,4)&amp;"/"&amp;RIGHT("00"&amp;$C250,2)&amp;"/"&amp;RIGHT("00"&amp;$D250,2)))</f>
        <v/>
      </c>
      <c r="F250">
        <f>IF(OR($E250="",$E250="نامعتبر"),"",IF(Sync!$Q247="","0000",IF(AND(ISNUMBER(Sync!$Q247),Sync!$Q247&gt;=0,Sync!$Q247&lt;1),RIGHT("00"&amp;HOUR(Sync!$Q247),2)&amp;RIGHT("00"&amp;MINUTE(Sync!$Q247),2),IFERROR(RIGHT("00"&amp;VALUE(LEFT(Sync!$Q247,FIND(":",Sync!$Q247)-1)),2)&amp;RIGHT("00"&amp;VALUE(MID(Sync!$Q247,FIND(":",Sync!$Q247)+1,2)),2),"0000"))))</f>
        <v/>
      </c>
      <c r="G250">
        <f>IF(OR($E250="",$E250="نامعتبر"),"",IF(Sync!$S247="","",Sync!$S247))</f>
        <v/>
      </c>
      <c r="H250">
        <f>IF(OR($E250="",$E250="نامعتبر"),"",IF(Sync!$R247="","",Sync!$R247))</f>
        <v/>
      </c>
      <c r="I250">
        <f>IF(OR($E250="",$E250="نامعتبر"),"",IF(Sync!$T247="","",Sync!$T247))</f>
        <v/>
      </c>
      <c r="J250">
        <f>IF(OR($E250="",$E250="نامعتبر"),"",IF(Sync!$U247="","",Sync!$U247))</f>
        <v/>
      </c>
      <c r="K250">
        <f>IF(OR($E250="",$E250="نامعتبر"),"",IF(Sync!$V247="","",IFERROR(INDEX(SubCodes,MATCH(Sync!$V247,SubTitles,0)),Sync!$V247)))</f>
        <v/>
      </c>
      <c r="L250">
        <f>IF(OR($E250="",$E250="نامعتبر"),"",IF(Sync!$W247="",0,Sync!$W247))</f>
        <v/>
      </c>
      <c r="M250">
        <f>IF(OR($E250="",$E250="نامعتبر"),"",IF(Sync!$X247="",0,Sync!$X247))</f>
        <v/>
      </c>
      <c r="N250">
        <f>IF(OR($E250="",$E250="نامعتبر"),"",IF(AND($J250="هزینه",$K250&lt;&gt;""),1,0))</f>
        <v/>
      </c>
      <c r="O250">
        <f>IF($N250=0,"",LEFT($E250,4)&amp;MID($E250,6,2)&amp;RIGHT($E250,2)&amp;$F250&amp;"|"&amp;"1"&amp;RIGHT("00000"&amp;242,5))</f>
        <v/>
      </c>
      <c r="P250">
        <f>IF($O250="","",COUNTIFS(ExpSub,$K250,ExpKey,"&lt;"&amp;$O250)+1)</f>
        <v/>
      </c>
      <c r="Q250">
        <f>IF($P250="","",$K250&amp;"|"&amp;RIGHT("000000"&amp;$P250,6))</f>
        <v/>
      </c>
    </row>
    <row r="251">
      <c r="A251">
        <f>IF(Sync!$P248="","",Sync!$P248)</f>
        <v/>
      </c>
      <c r="B251">
        <f>IF($A251="","",IF(ISNUMBER($A251),IF(AND($A251&gt;=10000101,$A251&lt;=99991231),INT($A251/10000),""),IFERROR(VALUE(TRIM(LEFT($A251,FIND("/",$A251)-1))),"")))</f>
        <v/>
      </c>
      <c r="C251">
        <f>IF(OR($A251="",$B251=""),"",IF(ISNUMBER($A251),INT(MOD($A251,10000)/100),IFERROR(VALUE(TRIM(LEFT(MID($A251,FIND("/",$A251)+1,20),FIND("/",MID($A251,FIND("/",$A251)+1,20))-1))),"")))</f>
        <v/>
      </c>
      <c r="D251">
        <f>IF(OR($A251="",$B251=""),"",IF(ISNUMBER($A251),MOD($A251,100),IFERROR(VALUE(TRIM(MID(MID($A251,FIND("/",$A251)+1,20),FIND("/",MID($A251,FIND("/",$A251)+1,20))+1,20))),"")))</f>
        <v/>
      </c>
      <c r="E251">
        <f>IF($A251="","",IF(OR($B251="",$C251="",$D251="",$B251&lt;1300,$B251&gt;1500,$C251&lt;1,$C251&gt;12,$D251&lt;1,$D251&gt;31),"نامعتبر",RIGHT("0000"&amp;$B251,4)&amp;"/"&amp;RIGHT("00"&amp;$C251,2)&amp;"/"&amp;RIGHT("00"&amp;$D251,2)))</f>
        <v/>
      </c>
      <c r="F251">
        <f>IF(OR($E251="",$E251="نامعتبر"),"",IF(Sync!$Q248="","0000",IF(AND(ISNUMBER(Sync!$Q248),Sync!$Q248&gt;=0,Sync!$Q248&lt;1),RIGHT("00"&amp;HOUR(Sync!$Q248),2)&amp;RIGHT("00"&amp;MINUTE(Sync!$Q248),2),IFERROR(RIGHT("00"&amp;VALUE(LEFT(Sync!$Q248,FIND(":",Sync!$Q248)-1)),2)&amp;RIGHT("00"&amp;VALUE(MID(Sync!$Q248,FIND(":",Sync!$Q248)+1,2)),2),"0000"))))</f>
        <v/>
      </c>
      <c r="G251">
        <f>IF(OR($E251="",$E251="نامعتبر"),"",IF(Sync!$S248="","",Sync!$S248))</f>
        <v/>
      </c>
      <c r="H251">
        <f>IF(OR($E251="",$E251="نامعتبر"),"",IF(Sync!$R248="","",Sync!$R248))</f>
        <v/>
      </c>
      <c r="I251">
        <f>IF(OR($E251="",$E251="نامعتبر"),"",IF(Sync!$T248="","",Sync!$T248))</f>
        <v/>
      </c>
      <c r="J251">
        <f>IF(OR($E251="",$E251="نامعتبر"),"",IF(Sync!$U248="","",Sync!$U248))</f>
        <v/>
      </c>
      <c r="K251">
        <f>IF(OR($E251="",$E251="نامعتبر"),"",IF(Sync!$V248="","",IFERROR(INDEX(SubCodes,MATCH(Sync!$V248,SubTitles,0)),Sync!$V248)))</f>
        <v/>
      </c>
      <c r="L251">
        <f>IF(OR($E251="",$E251="نامعتبر"),"",IF(Sync!$W248="",0,Sync!$W248))</f>
        <v/>
      </c>
      <c r="M251">
        <f>IF(OR($E251="",$E251="نامعتبر"),"",IF(Sync!$X248="",0,Sync!$X248))</f>
        <v/>
      </c>
      <c r="N251">
        <f>IF(OR($E251="",$E251="نامعتبر"),"",IF(AND($J251="هزینه",$K251&lt;&gt;""),1,0))</f>
        <v/>
      </c>
      <c r="O251">
        <f>IF($N251=0,"",LEFT($E251,4)&amp;MID($E251,6,2)&amp;RIGHT($E251,2)&amp;$F251&amp;"|"&amp;"1"&amp;RIGHT("00000"&amp;243,5))</f>
        <v/>
      </c>
      <c r="P251">
        <f>IF($O251="","",COUNTIFS(ExpSub,$K251,ExpKey,"&lt;"&amp;$O251)+1)</f>
        <v/>
      </c>
      <c r="Q251">
        <f>IF($P251="","",$K251&amp;"|"&amp;RIGHT("000000"&amp;$P251,6))</f>
        <v/>
      </c>
    </row>
    <row r="252">
      <c r="A252">
        <f>IF(Sync!$P249="","",Sync!$P249)</f>
        <v/>
      </c>
      <c r="B252">
        <f>IF($A252="","",IF(ISNUMBER($A252),IF(AND($A252&gt;=10000101,$A252&lt;=99991231),INT($A252/10000),""),IFERROR(VALUE(TRIM(LEFT($A252,FIND("/",$A252)-1))),"")))</f>
        <v/>
      </c>
      <c r="C252">
        <f>IF(OR($A252="",$B252=""),"",IF(ISNUMBER($A252),INT(MOD($A252,10000)/100),IFERROR(VALUE(TRIM(LEFT(MID($A252,FIND("/",$A252)+1,20),FIND("/",MID($A252,FIND("/",$A252)+1,20))-1))),"")))</f>
        <v/>
      </c>
      <c r="D252">
        <f>IF(OR($A252="",$B252=""),"",IF(ISNUMBER($A252),MOD($A252,100),IFERROR(VALUE(TRIM(MID(MID($A252,FIND("/",$A252)+1,20),FIND("/",MID($A252,FIND("/",$A252)+1,20))+1,20))),"")))</f>
        <v/>
      </c>
      <c r="E252">
        <f>IF($A252="","",IF(OR($B252="",$C252="",$D252="",$B252&lt;1300,$B252&gt;1500,$C252&lt;1,$C252&gt;12,$D252&lt;1,$D252&gt;31),"نامعتبر",RIGHT("0000"&amp;$B252,4)&amp;"/"&amp;RIGHT("00"&amp;$C252,2)&amp;"/"&amp;RIGHT("00"&amp;$D252,2)))</f>
        <v/>
      </c>
      <c r="F252">
        <f>IF(OR($E252="",$E252="نامعتبر"),"",IF(Sync!$Q249="","0000",IF(AND(ISNUMBER(Sync!$Q249),Sync!$Q249&gt;=0,Sync!$Q249&lt;1),RIGHT("00"&amp;HOUR(Sync!$Q249),2)&amp;RIGHT("00"&amp;MINUTE(Sync!$Q249),2),IFERROR(RIGHT("00"&amp;VALUE(LEFT(Sync!$Q249,FIND(":",Sync!$Q249)-1)),2)&amp;RIGHT("00"&amp;VALUE(MID(Sync!$Q249,FIND(":",Sync!$Q249)+1,2)),2),"0000"))))</f>
        <v/>
      </c>
      <c r="G252">
        <f>IF(OR($E252="",$E252="نامعتبر"),"",IF(Sync!$S249="","",Sync!$S249))</f>
        <v/>
      </c>
      <c r="H252">
        <f>IF(OR($E252="",$E252="نامعتبر"),"",IF(Sync!$R249="","",Sync!$R249))</f>
        <v/>
      </c>
      <c r="I252">
        <f>IF(OR($E252="",$E252="نامعتبر"),"",IF(Sync!$T249="","",Sync!$T249))</f>
        <v/>
      </c>
      <c r="J252">
        <f>IF(OR($E252="",$E252="نامعتبر"),"",IF(Sync!$U249="","",Sync!$U249))</f>
        <v/>
      </c>
      <c r="K252">
        <f>IF(OR($E252="",$E252="نامعتبر"),"",IF(Sync!$V249="","",IFERROR(INDEX(SubCodes,MATCH(Sync!$V249,SubTitles,0)),Sync!$V249)))</f>
        <v/>
      </c>
      <c r="L252">
        <f>IF(OR($E252="",$E252="نامعتبر"),"",IF(Sync!$W249="",0,Sync!$W249))</f>
        <v/>
      </c>
      <c r="M252">
        <f>IF(OR($E252="",$E252="نامعتبر"),"",IF(Sync!$X249="",0,Sync!$X249))</f>
        <v/>
      </c>
      <c r="N252">
        <f>IF(OR($E252="",$E252="نامعتبر"),"",IF(AND($J252="هزینه",$K252&lt;&gt;""),1,0))</f>
        <v/>
      </c>
      <c r="O252">
        <f>IF($N252=0,"",LEFT($E252,4)&amp;MID($E252,6,2)&amp;RIGHT($E252,2)&amp;$F252&amp;"|"&amp;"1"&amp;RIGHT("00000"&amp;244,5))</f>
        <v/>
      </c>
      <c r="P252">
        <f>IF($O252="","",COUNTIFS(ExpSub,$K252,ExpKey,"&lt;"&amp;$O252)+1)</f>
        <v/>
      </c>
      <c r="Q252">
        <f>IF($P252="","",$K252&amp;"|"&amp;RIGHT("000000"&amp;$P252,6))</f>
        <v/>
      </c>
    </row>
    <row r="253">
      <c r="A253">
        <f>IF(Sync!$P250="","",Sync!$P250)</f>
        <v/>
      </c>
      <c r="B253">
        <f>IF($A253="","",IF(ISNUMBER($A253),IF(AND($A253&gt;=10000101,$A253&lt;=99991231),INT($A253/10000),""),IFERROR(VALUE(TRIM(LEFT($A253,FIND("/",$A253)-1))),"")))</f>
        <v/>
      </c>
      <c r="C253">
        <f>IF(OR($A253="",$B253=""),"",IF(ISNUMBER($A253),INT(MOD($A253,10000)/100),IFERROR(VALUE(TRIM(LEFT(MID($A253,FIND("/",$A253)+1,20),FIND("/",MID($A253,FIND("/",$A253)+1,20))-1))),"")))</f>
        <v/>
      </c>
      <c r="D253">
        <f>IF(OR($A253="",$B253=""),"",IF(ISNUMBER($A253),MOD($A253,100),IFERROR(VALUE(TRIM(MID(MID($A253,FIND("/",$A253)+1,20),FIND("/",MID($A253,FIND("/",$A253)+1,20))+1,20))),"")))</f>
        <v/>
      </c>
      <c r="E253">
        <f>IF($A253="","",IF(OR($B253="",$C253="",$D253="",$B253&lt;1300,$B253&gt;1500,$C253&lt;1,$C253&gt;12,$D253&lt;1,$D253&gt;31),"نامعتبر",RIGHT("0000"&amp;$B253,4)&amp;"/"&amp;RIGHT("00"&amp;$C253,2)&amp;"/"&amp;RIGHT("00"&amp;$D253,2)))</f>
        <v/>
      </c>
      <c r="F253">
        <f>IF(OR($E253="",$E253="نامعتبر"),"",IF(Sync!$Q250="","0000",IF(AND(ISNUMBER(Sync!$Q250),Sync!$Q250&gt;=0,Sync!$Q250&lt;1),RIGHT("00"&amp;HOUR(Sync!$Q250),2)&amp;RIGHT("00"&amp;MINUTE(Sync!$Q250),2),IFERROR(RIGHT("00"&amp;VALUE(LEFT(Sync!$Q250,FIND(":",Sync!$Q250)-1)),2)&amp;RIGHT("00"&amp;VALUE(MID(Sync!$Q250,FIND(":",Sync!$Q250)+1,2)),2),"0000"))))</f>
        <v/>
      </c>
      <c r="G253">
        <f>IF(OR($E253="",$E253="نامعتبر"),"",IF(Sync!$S250="","",Sync!$S250))</f>
        <v/>
      </c>
      <c r="H253">
        <f>IF(OR($E253="",$E253="نامعتبر"),"",IF(Sync!$R250="","",Sync!$R250))</f>
        <v/>
      </c>
      <c r="I253">
        <f>IF(OR($E253="",$E253="نامعتبر"),"",IF(Sync!$T250="","",Sync!$T250))</f>
        <v/>
      </c>
      <c r="J253">
        <f>IF(OR($E253="",$E253="نامعتبر"),"",IF(Sync!$U250="","",Sync!$U250))</f>
        <v/>
      </c>
      <c r="K253">
        <f>IF(OR($E253="",$E253="نامعتبر"),"",IF(Sync!$V250="","",IFERROR(INDEX(SubCodes,MATCH(Sync!$V250,SubTitles,0)),Sync!$V250)))</f>
        <v/>
      </c>
      <c r="L253">
        <f>IF(OR($E253="",$E253="نامعتبر"),"",IF(Sync!$W250="",0,Sync!$W250))</f>
        <v/>
      </c>
      <c r="M253">
        <f>IF(OR($E253="",$E253="نامعتبر"),"",IF(Sync!$X250="",0,Sync!$X250))</f>
        <v/>
      </c>
      <c r="N253">
        <f>IF(OR($E253="",$E253="نامعتبر"),"",IF(AND($J253="هزینه",$K253&lt;&gt;""),1,0))</f>
        <v/>
      </c>
      <c r="O253">
        <f>IF($N253=0,"",LEFT($E253,4)&amp;MID($E253,6,2)&amp;RIGHT($E253,2)&amp;$F253&amp;"|"&amp;"1"&amp;RIGHT("00000"&amp;245,5))</f>
        <v/>
      </c>
      <c r="P253">
        <f>IF($O253="","",COUNTIFS(ExpSub,$K253,ExpKey,"&lt;"&amp;$O253)+1)</f>
        <v/>
      </c>
      <c r="Q253">
        <f>IF($P253="","",$K253&amp;"|"&amp;RIGHT("000000"&amp;$P253,6))</f>
        <v/>
      </c>
    </row>
    <row r="254">
      <c r="A254">
        <f>IF(Sync!$P251="","",Sync!$P251)</f>
        <v/>
      </c>
      <c r="B254">
        <f>IF($A254="","",IF(ISNUMBER($A254),IF(AND($A254&gt;=10000101,$A254&lt;=99991231),INT($A254/10000),""),IFERROR(VALUE(TRIM(LEFT($A254,FIND("/",$A254)-1))),"")))</f>
        <v/>
      </c>
      <c r="C254">
        <f>IF(OR($A254="",$B254=""),"",IF(ISNUMBER($A254),INT(MOD($A254,10000)/100),IFERROR(VALUE(TRIM(LEFT(MID($A254,FIND("/",$A254)+1,20),FIND("/",MID($A254,FIND("/",$A254)+1,20))-1))),"")))</f>
        <v/>
      </c>
      <c r="D254">
        <f>IF(OR($A254="",$B254=""),"",IF(ISNUMBER($A254),MOD($A254,100),IFERROR(VALUE(TRIM(MID(MID($A254,FIND("/",$A254)+1,20),FIND("/",MID($A254,FIND("/",$A254)+1,20))+1,20))),"")))</f>
        <v/>
      </c>
      <c r="E254">
        <f>IF($A254="","",IF(OR($B254="",$C254="",$D254="",$B254&lt;1300,$B254&gt;1500,$C254&lt;1,$C254&gt;12,$D254&lt;1,$D254&gt;31),"نامعتبر",RIGHT("0000"&amp;$B254,4)&amp;"/"&amp;RIGHT("00"&amp;$C254,2)&amp;"/"&amp;RIGHT("00"&amp;$D254,2)))</f>
        <v/>
      </c>
      <c r="F254">
        <f>IF(OR($E254="",$E254="نامعتبر"),"",IF(Sync!$Q251="","0000",IF(AND(ISNUMBER(Sync!$Q251),Sync!$Q251&gt;=0,Sync!$Q251&lt;1),RIGHT("00"&amp;HOUR(Sync!$Q251),2)&amp;RIGHT("00"&amp;MINUTE(Sync!$Q251),2),IFERROR(RIGHT("00"&amp;VALUE(LEFT(Sync!$Q251,FIND(":",Sync!$Q251)-1)),2)&amp;RIGHT("00"&amp;VALUE(MID(Sync!$Q251,FIND(":",Sync!$Q251)+1,2)),2),"0000"))))</f>
        <v/>
      </c>
      <c r="G254">
        <f>IF(OR($E254="",$E254="نامعتبر"),"",IF(Sync!$S251="","",Sync!$S251))</f>
        <v/>
      </c>
      <c r="H254">
        <f>IF(OR($E254="",$E254="نامعتبر"),"",IF(Sync!$R251="","",Sync!$R251))</f>
        <v/>
      </c>
      <c r="I254">
        <f>IF(OR($E254="",$E254="نامعتبر"),"",IF(Sync!$T251="","",Sync!$T251))</f>
        <v/>
      </c>
      <c r="J254">
        <f>IF(OR($E254="",$E254="نامعتبر"),"",IF(Sync!$U251="","",Sync!$U251))</f>
        <v/>
      </c>
      <c r="K254">
        <f>IF(OR($E254="",$E254="نامعتبر"),"",IF(Sync!$V251="","",IFERROR(INDEX(SubCodes,MATCH(Sync!$V251,SubTitles,0)),Sync!$V251)))</f>
        <v/>
      </c>
      <c r="L254">
        <f>IF(OR($E254="",$E254="نامعتبر"),"",IF(Sync!$W251="",0,Sync!$W251))</f>
        <v/>
      </c>
      <c r="M254">
        <f>IF(OR($E254="",$E254="نامعتبر"),"",IF(Sync!$X251="",0,Sync!$X251))</f>
        <v/>
      </c>
      <c r="N254">
        <f>IF(OR($E254="",$E254="نامعتبر"),"",IF(AND($J254="هزینه",$K254&lt;&gt;""),1,0))</f>
        <v/>
      </c>
      <c r="O254">
        <f>IF($N254=0,"",LEFT($E254,4)&amp;MID($E254,6,2)&amp;RIGHT($E254,2)&amp;$F254&amp;"|"&amp;"1"&amp;RIGHT("00000"&amp;246,5))</f>
        <v/>
      </c>
      <c r="P254">
        <f>IF($O254="","",COUNTIFS(ExpSub,$K254,ExpKey,"&lt;"&amp;$O254)+1)</f>
        <v/>
      </c>
      <c r="Q254">
        <f>IF($P254="","",$K254&amp;"|"&amp;RIGHT("000000"&amp;$P254,6))</f>
        <v/>
      </c>
    </row>
    <row r="255">
      <c r="A255">
        <f>IF(Sync!$P252="","",Sync!$P252)</f>
        <v/>
      </c>
      <c r="B255">
        <f>IF($A255="","",IF(ISNUMBER($A255),IF(AND($A255&gt;=10000101,$A255&lt;=99991231),INT($A255/10000),""),IFERROR(VALUE(TRIM(LEFT($A255,FIND("/",$A255)-1))),"")))</f>
        <v/>
      </c>
      <c r="C255">
        <f>IF(OR($A255="",$B255=""),"",IF(ISNUMBER($A255),INT(MOD($A255,10000)/100),IFERROR(VALUE(TRIM(LEFT(MID($A255,FIND("/",$A255)+1,20),FIND("/",MID($A255,FIND("/",$A255)+1,20))-1))),"")))</f>
        <v/>
      </c>
      <c r="D255">
        <f>IF(OR($A255="",$B255=""),"",IF(ISNUMBER($A255),MOD($A255,100),IFERROR(VALUE(TRIM(MID(MID($A255,FIND("/",$A255)+1,20),FIND("/",MID($A255,FIND("/",$A255)+1,20))+1,20))),"")))</f>
        <v/>
      </c>
      <c r="E255">
        <f>IF($A255="","",IF(OR($B255="",$C255="",$D255="",$B255&lt;1300,$B255&gt;1500,$C255&lt;1,$C255&gt;12,$D255&lt;1,$D255&gt;31),"نامعتبر",RIGHT("0000"&amp;$B255,4)&amp;"/"&amp;RIGHT("00"&amp;$C255,2)&amp;"/"&amp;RIGHT("00"&amp;$D255,2)))</f>
        <v/>
      </c>
      <c r="F255">
        <f>IF(OR($E255="",$E255="نامعتبر"),"",IF(Sync!$Q252="","0000",IF(AND(ISNUMBER(Sync!$Q252),Sync!$Q252&gt;=0,Sync!$Q252&lt;1),RIGHT("00"&amp;HOUR(Sync!$Q252),2)&amp;RIGHT("00"&amp;MINUTE(Sync!$Q252),2),IFERROR(RIGHT("00"&amp;VALUE(LEFT(Sync!$Q252,FIND(":",Sync!$Q252)-1)),2)&amp;RIGHT("00"&amp;VALUE(MID(Sync!$Q252,FIND(":",Sync!$Q252)+1,2)),2),"0000"))))</f>
        <v/>
      </c>
      <c r="G255">
        <f>IF(OR($E255="",$E255="نامعتبر"),"",IF(Sync!$S252="","",Sync!$S252))</f>
        <v/>
      </c>
      <c r="H255">
        <f>IF(OR($E255="",$E255="نامعتبر"),"",IF(Sync!$R252="","",Sync!$R252))</f>
        <v/>
      </c>
      <c r="I255">
        <f>IF(OR($E255="",$E255="نامعتبر"),"",IF(Sync!$T252="","",Sync!$T252))</f>
        <v/>
      </c>
      <c r="J255">
        <f>IF(OR($E255="",$E255="نامعتبر"),"",IF(Sync!$U252="","",Sync!$U252))</f>
        <v/>
      </c>
      <c r="K255">
        <f>IF(OR($E255="",$E255="نامعتبر"),"",IF(Sync!$V252="","",IFERROR(INDEX(SubCodes,MATCH(Sync!$V252,SubTitles,0)),Sync!$V252)))</f>
        <v/>
      </c>
      <c r="L255">
        <f>IF(OR($E255="",$E255="نامعتبر"),"",IF(Sync!$W252="",0,Sync!$W252))</f>
        <v/>
      </c>
      <c r="M255">
        <f>IF(OR($E255="",$E255="نامعتبر"),"",IF(Sync!$X252="",0,Sync!$X252))</f>
        <v/>
      </c>
      <c r="N255">
        <f>IF(OR($E255="",$E255="نامعتبر"),"",IF(AND($J255="هزینه",$K255&lt;&gt;""),1,0))</f>
        <v/>
      </c>
      <c r="O255">
        <f>IF($N255=0,"",LEFT($E255,4)&amp;MID($E255,6,2)&amp;RIGHT($E255,2)&amp;$F255&amp;"|"&amp;"1"&amp;RIGHT("00000"&amp;247,5))</f>
        <v/>
      </c>
      <c r="P255">
        <f>IF($O255="","",COUNTIFS(ExpSub,$K255,ExpKey,"&lt;"&amp;$O255)+1)</f>
        <v/>
      </c>
      <c r="Q255">
        <f>IF($P255="","",$K255&amp;"|"&amp;RIGHT("000000"&amp;$P255,6))</f>
        <v/>
      </c>
    </row>
    <row r="256">
      <c r="A256">
        <f>IF(Sync!$P253="","",Sync!$P253)</f>
        <v/>
      </c>
      <c r="B256">
        <f>IF($A256="","",IF(ISNUMBER($A256),IF(AND($A256&gt;=10000101,$A256&lt;=99991231),INT($A256/10000),""),IFERROR(VALUE(TRIM(LEFT($A256,FIND("/",$A256)-1))),"")))</f>
        <v/>
      </c>
      <c r="C256">
        <f>IF(OR($A256="",$B256=""),"",IF(ISNUMBER($A256),INT(MOD($A256,10000)/100),IFERROR(VALUE(TRIM(LEFT(MID($A256,FIND("/",$A256)+1,20),FIND("/",MID($A256,FIND("/",$A256)+1,20))-1))),"")))</f>
        <v/>
      </c>
      <c r="D256">
        <f>IF(OR($A256="",$B256=""),"",IF(ISNUMBER($A256),MOD($A256,100),IFERROR(VALUE(TRIM(MID(MID($A256,FIND("/",$A256)+1,20),FIND("/",MID($A256,FIND("/",$A256)+1,20))+1,20))),"")))</f>
        <v/>
      </c>
      <c r="E256">
        <f>IF($A256="","",IF(OR($B256="",$C256="",$D256="",$B256&lt;1300,$B256&gt;1500,$C256&lt;1,$C256&gt;12,$D256&lt;1,$D256&gt;31),"نامعتبر",RIGHT("0000"&amp;$B256,4)&amp;"/"&amp;RIGHT("00"&amp;$C256,2)&amp;"/"&amp;RIGHT("00"&amp;$D256,2)))</f>
        <v/>
      </c>
      <c r="F256">
        <f>IF(OR($E256="",$E256="نامعتبر"),"",IF(Sync!$Q253="","0000",IF(AND(ISNUMBER(Sync!$Q253),Sync!$Q253&gt;=0,Sync!$Q253&lt;1),RIGHT("00"&amp;HOUR(Sync!$Q253),2)&amp;RIGHT("00"&amp;MINUTE(Sync!$Q253),2),IFERROR(RIGHT("00"&amp;VALUE(LEFT(Sync!$Q253,FIND(":",Sync!$Q253)-1)),2)&amp;RIGHT("00"&amp;VALUE(MID(Sync!$Q253,FIND(":",Sync!$Q253)+1,2)),2),"0000"))))</f>
        <v/>
      </c>
      <c r="G256">
        <f>IF(OR($E256="",$E256="نامعتبر"),"",IF(Sync!$S253="","",Sync!$S253))</f>
        <v/>
      </c>
      <c r="H256">
        <f>IF(OR($E256="",$E256="نامعتبر"),"",IF(Sync!$R253="","",Sync!$R253))</f>
        <v/>
      </c>
      <c r="I256">
        <f>IF(OR($E256="",$E256="نامعتبر"),"",IF(Sync!$T253="","",Sync!$T253))</f>
        <v/>
      </c>
      <c r="J256">
        <f>IF(OR($E256="",$E256="نامعتبر"),"",IF(Sync!$U253="","",Sync!$U253))</f>
        <v/>
      </c>
      <c r="K256">
        <f>IF(OR($E256="",$E256="نامعتبر"),"",IF(Sync!$V253="","",IFERROR(INDEX(SubCodes,MATCH(Sync!$V253,SubTitles,0)),Sync!$V253)))</f>
        <v/>
      </c>
      <c r="L256">
        <f>IF(OR($E256="",$E256="نامعتبر"),"",IF(Sync!$W253="",0,Sync!$W253))</f>
        <v/>
      </c>
      <c r="M256">
        <f>IF(OR($E256="",$E256="نامعتبر"),"",IF(Sync!$X253="",0,Sync!$X253))</f>
        <v/>
      </c>
      <c r="N256">
        <f>IF(OR($E256="",$E256="نامعتبر"),"",IF(AND($J256="هزینه",$K256&lt;&gt;""),1,0))</f>
        <v/>
      </c>
      <c r="O256">
        <f>IF($N256=0,"",LEFT($E256,4)&amp;MID($E256,6,2)&amp;RIGHT($E256,2)&amp;$F256&amp;"|"&amp;"1"&amp;RIGHT("00000"&amp;248,5))</f>
        <v/>
      </c>
      <c r="P256">
        <f>IF($O256="","",COUNTIFS(ExpSub,$K256,ExpKey,"&lt;"&amp;$O256)+1)</f>
        <v/>
      </c>
      <c r="Q256">
        <f>IF($P256="","",$K256&amp;"|"&amp;RIGHT("000000"&amp;$P256,6))</f>
        <v/>
      </c>
    </row>
    <row r="257">
      <c r="A257">
        <f>IF(Sync!$P254="","",Sync!$P254)</f>
        <v/>
      </c>
      <c r="B257">
        <f>IF($A257="","",IF(ISNUMBER($A257),IF(AND($A257&gt;=10000101,$A257&lt;=99991231),INT($A257/10000),""),IFERROR(VALUE(TRIM(LEFT($A257,FIND("/",$A257)-1))),"")))</f>
        <v/>
      </c>
      <c r="C257">
        <f>IF(OR($A257="",$B257=""),"",IF(ISNUMBER($A257),INT(MOD($A257,10000)/100),IFERROR(VALUE(TRIM(LEFT(MID($A257,FIND("/",$A257)+1,20),FIND("/",MID($A257,FIND("/",$A257)+1,20))-1))),"")))</f>
        <v/>
      </c>
      <c r="D257">
        <f>IF(OR($A257="",$B257=""),"",IF(ISNUMBER($A257),MOD($A257,100),IFERROR(VALUE(TRIM(MID(MID($A257,FIND("/",$A257)+1,20),FIND("/",MID($A257,FIND("/",$A257)+1,20))+1,20))),"")))</f>
        <v/>
      </c>
      <c r="E257">
        <f>IF($A257="","",IF(OR($B257="",$C257="",$D257="",$B257&lt;1300,$B257&gt;1500,$C257&lt;1,$C257&gt;12,$D257&lt;1,$D257&gt;31),"نامعتبر",RIGHT("0000"&amp;$B257,4)&amp;"/"&amp;RIGHT("00"&amp;$C257,2)&amp;"/"&amp;RIGHT("00"&amp;$D257,2)))</f>
        <v/>
      </c>
      <c r="F257">
        <f>IF(OR($E257="",$E257="نامعتبر"),"",IF(Sync!$Q254="","0000",IF(AND(ISNUMBER(Sync!$Q254),Sync!$Q254&gt;=0,Sync!$Q254&lt;1),RIGHT("00"&amp;HOUR(Sync!$Q254),2)&amp;RIGHT("00"&amp;MINUTE(Sync!$Q254),2),IFERROR(RIGHT("00"&amp;VALUE(LEFT(Sync!$Q254,FIND(":",Sync!$Q254)-1)),2)&amp;RIGHT("00"&amp;VALUE(MID(Sync!$Q254,FIND(":",Sync!$Q254)+1,2)),2),"0000"))))</f>
        <v/>
      </c>
      <c r="G257">
        <f>IF(OR($E257="",$E257="نامعتبر"),"",IF(Sync!$S254="","",Sync!$S254))</f>
        <v/>
      </c>
      <c r="H257">
        <f>IF(OR($E257="",$E257="نامعتبر"),"",IF(Sync!$R254="","",Sync!$R254))</f>
        <v/>
      </c>
      <c r="I257">
        <f>IF(OR($E257="",$E257="نامعتبر"),"",IF(Sync!$T254="","",Sync!$T254))</f>
        <v/>
      </c>
      <c r="J257">
        <f>IF(OR($E257="",$E257="نامعتبر"),"",IF(Sync!$U254="","",Sync!$U254))</f>
        <v/>
      </c>
      <c r="K257">
        <f>IF(OR($E257="",$E257="نامعتبر"),"",IF(Sync!$V254="","",IFERROR(INDEX(SubCodes,MATCH(Sync!$V254,SubTitles,0)),Sync!$V254)))</f>
        <v/>
      </c>
      <c r="L257">
        <f>IF(OR($E257="",$E257="نامعتبر"),"",IF(Sync!$W254="",0,Sync!$W254))</f>
        <v/>
      </c>
      <c r="M257">
        <f>IF(OR($E257="",$E257="نامعتبر"),"",IF(Sync!$X254="",0,Sync!$X254))</f>
        <v/>
      </c>
      <c r="N257">
        <f>IF(OR($E257="",$E257="نامعتبر"),"",IF(AND($J257="هزینه",$K257&lt;&gt;""),1,0))</f>
        <v/>
      </c>
      <c r="O257">
        <f>IF($N257=0,"",LEFT($E257,4)&amp;MID($E257,6,2)&amp;RIGHT($E257,2)&amp;$F257&amp;"|"&amp;"1"&amp;RIGHT("00000"&amp;249,5))</f>
        <v/>
      </c>
      <c r="P257">
        <f>IF($O257="","",COUNTIFS(ExpSub,$K257,ExpKey,"&lt;"&amp;$O257)+1)</f>
        <v/>
      </c>
      <c r="Q257">
        <f>IF($P257="","",$K257&amp;"|"&amp;RIGHT("000000"&amp;$P257,6))</f>
        <v/>
      </c>
    </row>
    <row r="258">
      <c r="A258">
        <f>IF(Sync!$P255="","",Sync!$P255)</f>
        <v/>
      </c>
      <c r="B258">
        <f>IF($A258="","",IF(ISNUMBER($A258),IF(AND($A258&gt;=10000101,$A258&lt;=99991231),INT($A258/10000),""),IFERROR(VALUE(TRIM(LEFT($A258,FIND("/",$A258)-1))),"")))</f>
        <v/>
      </c>
      <c r="C258">
        <f>IF(OR($A258="",$B258=""),"",IF(ISNUMBER($A258),INT(MOD($A258,10000)/100),IFERROR(VALUE(TRIM(LEFT(MID($A258,FIND("/",$A258)+1,20),FIND("/",MID($A258,FIND("/",$A258)+1,20))-1))),"")))</f>
        <v/>
      </c>
      <c r="D258">
        <f>IF(OR($A258="",$B258=""),"",IF(ISNUMBER($A258),MOD($A258,100),IFERROR(VALUE(TRIM(MID(MID($A258,FIND("/",$A258)+1,20),FIND("/",MID($A258,FIND("/",$A258)+1,20))+1,20))),"")))</f>
        <v/>
      </c>
      <c r="E258">
        <f>IF($A258="","",IF(OR($B258="",$C258="",$D258="",$B258&lt;1300,$B258&gt;1500,$C258&lt;1,$C258&gt;12,$D258&lt;1,$D258&gt;31),"نامعتبر",RIGHT("0000"&amp;$B258,4)&amp;"/"&amp;RIGHT("00"&amp;$C258,2)&amp;"/"&amp;RIGHT("00"&amp;$D258,2)))</f>
        <v/>
      </c>
      <c r="F258">
        <f>IF(OR($E258="",$E258="نامعتبر"),"",IF(Sync!$Q255="","0000",IF(AND(ISNUMBER(Sync!$Q255),Sync!$Q255&gt;=0,Sync!$Q255&lt;1),RIGHT("00"&amp;HOUR(Sync!$Q255),2)&amp;RIGHT("00"&amp;MINUTE(Sync!$Q255),2),IFERROR(RIGHT("00"&amp;VALUE(LEFT(Sync!$Q255,FIND(":",Sync!$Q255)-1)),2)&amp;RIGHT("00"&amp;VALUE(MID(Sync!$Q255,FIND(":",Sync!$Q255)+1,2)),2),"0000"))))</f>
        <v/>
      </c>
      <c r="G258">
        <f>IF(OR($E258="",$E258="نامعتبر"),"",IF(Sync!$S255="","",Sync!$S255))</f>
        <v/>
      </c>
      <c r="H258">
        <f>IF(OR($E258="",$E258="نامعتبر"),"",IF(Sync!$R255="","",Sync!$R255))</f>
        <v/>
      </c>
      <c r="I258">
        <f>IF(OR($E258="",$E258="نامعتبر"),"",IF(Sync!$T255="","",Sync!$T255))</f>
        <v/>
      </c>
      <c r="J258">
        <f>IF(OR($E258="",$E258="نامعتبر"),"",IF(Sync!$U255="","",Sync!$U255))</f>
        <v/>
      </c>
      <c r="K258">
        <f>IF(OR($E258="",$E258="نامعتبر"),"",IF(Sync!$V255="","",IFERROR(INDEX(SubCodes,MATCH(Sync!$V255,SubTitles,0)),Sync!$V255)))</f>
        <v/>
      </c>
      <c r="L258">
        <f>IF(OR($E258="",$E258="نامعتبر"),"",IF(Sync!$W255="",0,Sync!$W255))</f>
        <v/>
      </c>
      <c r="M258">
        <f>IF(OR($E258="",$E258="نامعتبر"),"",IF(Sync!$X255="",0,Sync!$X255))</f>
        <v/>
      </c>
      <c r="N258">
        <f>IF(OR($E258="",$E258="نامعتبر"),"",IF(AND($J258="هزینه",$K258&lt;&gt;""),1,0))</f>
        <v/>
      </c>
      <c r="O258">
        <f>IF($N258=0,"",LEFT($E258,4)&amp;MID($E258,6,2)&amp;RIGHT($E258,2)&amp;$F258&amp;"|"&amp;"1"&amp;RIGHT("00000"&amp;250,5))</f>
        <v/>
      </c>
      <c r="P258">
        <f>IF($O258="","",COUNTIFS(ExpSub,$K258,ExpKey,"&lt;"&amp;$O258)+1)</f>
        <v/>
      </c>
      <c r="Q258">
        <f>IF($P258="","",$K258&amp;"|"&amp;RIGHT("000000"&amp;$P258,6))</f>
        <v/>
      </c>
    </row>
    <row r="259">
      <c r="A259">
        <f>IF(Sync!$P256="","",Sync!$P256)</f>
        <v/>
      </c>
      <c r="B259">
        <f>IF($A259="","",IF(ISNUMBER($A259),IF(AND($A259&gt;=10000101,$A259&lt;=99991231),INT($A259/10000),""),IFERROR(VALUE(TRIM(LEFT($A259,FIND("/",$A259)-1))),"")))</f>
        <v/>
      </c>
      <c r="C259">
        <f>IF(OR($A259="",$B259=""),"",IF(ISNUMBER($A259),INT(MOD($A259,10000)/100),IFERROR(VALUE(TRIM(LEFT(MID($A259,FIND("/",$A259)+1,20),FIND("/",MID($A259,FIND("/",$A259)+1,20))-1))),"")))</f>
        <v/>
      </c>
      <c r="D259">
        <f>IF(OR($A259="",$B259=""),"",IF(ISNUMBER($A259),MOD($A259,100),IFERROR(VALUE(TRIM(MID(MID($A259,FIND("/",$A259)+1,20),FIND("/",MID($A259,FIND("/",$A259)+1,20))+1,20))),"")))</f>
        <v/>
      </c>
      <c r="E259">
        <f>IF($A259="","",IF(OR($B259="",$C259="",$D259="",$B259&lt;1300,$B259&gt;1500,$C259&lt;1,$C259&gt;12,$D259&lt;1,$D259&gt;31),"نامعتبر",RIGHT("0000"&amp;$B259,4)&amp;"/"&amp;RIGHT("00"&amp;$C259,2)&amp;"/"&amp;RIGHT("00"&amp;$D259,2)))</f>
        <v/>
      </c>
      <c r="F259">
        <f>IF(OR($E259="",$E259="نامعتبر"),"",IF(Sync!$Q256="","0000",IF(AND(ISNUMBER(Sync!$Q256),Sync!$Q256&gt;=0,Sync!$Q256&lt;1),RIGHT("00"&amp;HOUR(Sync!$Q256),2)&amp;RIGHT("00"&amp;MINUTE(Sync!$Q256),2),IFERROR(RIGHT("00"&amp;VALUE(LEFT(Sync!$Q256,FIND(":",Sync!$Q256)-1)),2)&amp;RIGHT("00"&amp;VALUE(MID(Sync!$Q256,FIND(":",Sync!$Q256)+1,2)),2),"0000"))))</f>
        <v/>
      </c>
      <c r="G259">
        <f>IF(OR($E259="",$E259="نامعتبر"),"",IF(Sync!$S256="","",Sync!$S256))</f>
        <v/>
      </c>
      <c r="H259">
        <f>IF(OR($E259="",$E259="نامعتبر"),"",IF(Sync!$R256="","",Sync!$R256))</f>
        <v/>
      </c>
      <c r="I259">
        <f>IF(OR($E259="",$E259="نامعتبر"),"",IF(Sync!$T256="","",Sync!$T256))</f>
        <v/>
      </c>
      <c r="J259">
        <f>IF(OR($E259="",$E259="نامعتبر"),"",IF(Sync!$U256="","",Sync!$U256))</f>
        <v/>
      </c>
      <c r="K259">
        <f>IF(OR($E259="",$E259="نامعتبر"),"",IF(Sync!$V256="","",IFERROR(INDEX(SubCodes,MATCH(Sync!$V256,SubTitles,0)),Sync!$V256)))</f>
        <v/>
      </c>
      <c r="L259">
        <f>IF(OR($E259="",$E259="نامعتبر"),"",IF(Sync!$W256="",0,Sync!$W256))</f>
        <v/>
      </c>
      <c r="M259">
        <f>IF(OR($E259="",$E259="نامعتبر"),"",IF(Sync!$X256="",0,Sync!$X256))</f>
        <v/>
      </c>
      <c r="N259">
        <f>IF(OR($E259="",$E259="نامعتبر"),"",IF(AND($J259="هزینه",$K259&lt;&gt;""),1,0))</f>
        <v/>
      </c>
      <c r="O259">
        <f>IF($N259=0,"",LEFT($E259,4)&amp;MID($E259,6,2)&amp;RIGHT($E259,2)&amp;$F259&amp;"|"&amp;"1"&amp;RIGHT("00000"&amp;251,5))</f>
        <v/>
      </c>
      <c r="P259">
        <f>IF($O259="","",COUNTIFS(ExpSub,$K259,ExpKey,"&lt;"&amp;$O259)+1)</f>
        <v/>
      </c>
      <c r="Q259">
        <f>IF($P259="","",$K259&amp;"|"&amp;RIGHT("000000"&amp;$P259,6))</f>
        <v/>
      </c>
    </row>
    <row r="260">
      <c r="A260">
        <f>IF(Sync!$P257="","",Sync!$P257)</f>
        <v/>
      </c>
      <c r="B260">
        <f>IF($A260="","",IF(ISNUMBER($A260),IF(AND($A260&gt;=10000101,$A260&lt;=99991231),INT($A260/10000),""),IFERROR(VALUE(TRIM(LEFT($A260,FIND("/",$A260)-1))),"")))</f>
        <v/>
      </c>
      <c r="C260">
        <f>IF(OR($A260="",$B260=""),"",IF(ISNUMBER($A260),INT(MOD($A260,10000)/100),IFERROR(VALUE(TRIM(LEFT(MID($A260,FIND("/",$A260)+1,20),FIND("/",MID($A260,FIND("/",$A260)+1,20))-1))),"")))</f>
        <v/>
      </c>
      <c r="D260">
        <f>IF(OR($A260="",$B260=""),"",IF(ISNUMBER($A260),MOD($A260,100),IFERROR(VALUE(TRIM(MID(MID($A260,FIND("/",$A260)+1,20),FIND("/",MID($A260,FIND("/",$A260)+1,20))+1,20))),"")))</f>
        <v/>
      </c>
      <c r="E260">
        <f>IF($A260="","",IF(OR($B260="",$C260="",$D260="",$B260&lt;1300,$B260&gt;1500,$C260&lt;1,$C260&gt;12,$D260&lt;1,$D260&gt;31),"نامعتبر",RIGHT("0000"&amp;$B260,4)&amp;"/"&amp;RIGHT("00"&amp;$C260,2)&amp;"/"&amp;RIGHT("00"&amp;$D260,2)))</f>
        <v/>
      </c>
      <c r="F260">
        <f>IF(OR($E260="",$E260="نامعتبر"),"",IF(Sync!$Q257="","0000",IF(AND(ISNUMBER(Sync!$Q257),Sync!$Q257&gt;=0,Sync!$Q257&lt;1),RIGHT("00"&amp;HOUR(Sync!$Q257),2)&amp;RIGHT("00"&amp;MINUTE(Sync!$Q257),2),IFERROR(RIGHT("00"&amp;VALUE(LEFT(Sync!$Q257,FIND(":",Sync!$Q257)-1)),2)&amp;RIGHT("00"&amp;VALUE(MID(Sync!$Q257,FIND(":",Sync!$Q257)+1,2)),2),"0000"))))</f>
        <v/>
      </c>
      <c r="G260">
        <f>IF(OR($E260="",$E260="نامعتبر"),"",IF(Sync!$S257="","",Sync!$S257))</f>
        <v/>
      </c>
      <c r="H260">
        <f>IF(OR($E260="",$E260="نامعتبر"),"",IF(Sync!$R257="","",Sync!$R257))</f>
        <v/>
      </c>
      <c r="I260">
        <f>IF(OR($E260="",$E260="نامعتبر"),"",IF(Sync!$T257="","",Sync!$T257))</f>
        <v/>
      </c>
      <c r="J260">
        <f>IF(OR($E260="",$E260="نامعتبر"),"",IF(Sync!$U257="","",Sync!$U257))</f>
        <v/>
      </c>
      <c r="K260">
        <f>IF(OR($E260="",$E260="نامعتبر"),"",IF(Sync!$V257="","",IFERROR(INDEX(SubCodes,MATCH(Sync!$V257,SubTitles,0)),Sync!$V257)))</f>
        <v/>
      </c>
      <c r="L260">
        <f>IF(OR($E260="",$E260="نامعتبر"),"",IF(Sync!$W257="",0,Sync!$W257))</f>
        <v/>
      </c>
      <c r="M260">
        <f>IF(OR($E260="",$E260="نامعتبر"),"",IF(Sync!$X257="",0,Sync!$X257))</f>
        <v/>
      </c>
      <c r="N260">
        <f>IF(OR($E260="",$E260="نامعتبر"),"",IF(AND($J260="هزینه",$K260&lt;&gt;""),1,0))</f>
        <v/>
      </c>
      <c r="O260">
        <f>IF($N260=0,"",LEFT($E260,4)&amp;MID($E260,6,2)&amp;RIGHT($E260,2)&amp;$F260&amp;"|"&amp;"1"&amp;RIGHT("00000"&amp;252,5))</f>
        <v/>
      </c>
      <c r="P260">
        <f>IF($O260="","",COUNTIFS(ExpSub,$K260,ExpKey,"&lt;"&amp;$O260)+1)</f>
        <v/>
      </c>
      <c r="Q260">
        <f>IF($P260="","",$K260&amp;"|"&amp;RIGHT("000000"&amp;$P260,6))</f>
        <v/>
      </c>
    </row>
    <row r="261">
      <c r="A261">
        <f>IF(Sync!$P258="","",Sync!$P258)</f>
        <v/>
      </c>
      <c r="B261">
        <f>IF($A261="","",IF(ISNUMBER($A261),IF(AND($A261&gt;=10000101,$A261&lt;=99991231),INT($A261/10000),""),IFERROR(VALUE(TRIM(LEFT($A261,FIND("/",$A261)-1))),"")))</f>
        <v/>
      </c>
      <c r="C261">
        <f>IF(OR($A261="",$B261=""),"",IF(ISNUMBER($A261),INT(MOD($A261,10000)/100),IFERROR(VALUE(TRIM(LEFT(MID($A261,FIND("/",$A261)+1,20),FIND("/",MID($A261,FIND("/",$A261)+1,20))-1))),"")))</f>
        <v/>
      </c>
      <c r="D261">
        <f>IF(OR($A261="",$B261=""),"",IF(ISNUMBER($A261),MOD($A261,100),IFERROR(VALUE(TRIM(MID(MID($A261,FIND("/",$A261)+1,20),FIND("/",MID($A261,FIND("/",$A261)+1,20))+1,20))),"")))</f>
        <v/>
      </c>
      <c r="E261">
        <f>IF($A261="","",IF(OR($B261="",$C261="",$D261="",$B261&lt;1300,$B261&gt;1500,$C261&lt;1,$C261&gt;12,$D261&lt;1,$D261&gt;31),"نامعتبر",RIGHT("0000"&amp;$B261,4)&amp;"/"&amp;RIGHT("00"&amp;$C261,2)&amp;"/"&amp;RIGHT("00"&amp;$D261,2)))</f>
        <v/>
      </c>
      <c r="F261">
        <f>IF(OR($E261="",$E261="نامعتبر"),"",IF(Sync!$Q258="","0000",IF(AND(ISNUMBER(Sync!$Q258),Sync!$Q258&gt;=0,Sync!$Q258&lt;1),RIGHT("00"&amp;HOUR(Sync!$Q258),2)&amp;RIGHT("00"&amp;MINUTE(Sync!$Q258),2),IFERROR(RIGHT("00"&amp;VALUE(LEFT(Sync!$Q258,FIND(":",Sync!$Q258)-1)),2)&amp;RIGHT("00"&amp;VALUE(MID(Sync!$Q258,FIND(":",Sync!$Q258)+1,2)),2),"0000"))))</f>
        <v/>
      </c>
      <c r="G261">
        <f>IF(OR($E261="",$E261="نامعتبر"),"",IF(Sync!$S258="","",Sync!$S258))</f>
        <v/>
      </c>
      <c r="H261">
        <f>IF(OR($E261="",$E261="نامعتبر"),"",IF(Sync!$R258="","",Sync!$R258))</f>
        <v/>
      </c>
      <c r="I261">
        <f>IF(OR($E261="",$E261="نامعتبر"),"",IF(Sync!$T258="","",Sync!$T258))</f>
        <v/>
      </c>
      <c r="J261">
        <f>IF(OR($E261="",$E261="نامعتبر"),"",IF(Sync!$U258="","",Sync!$U258))</f>
        <v/>
      </c>
      <c r="K261">
        <f>IF(OR($E261="",$E261="نامعتبر"),"",IF(Sync!$V258="","",IFERROR(INDEX(SubCodes,MATCH(Sync!$V258,SubTitles,0)),Sync!$V258)))</f>
        <v/>
      </c>
      <c r="L261">
        <f>IF(OR($E261="",$E261="نامعتبر"),"",IF(Sync!$W258="",0,Sync!$W258))</f>
        <v/>
      </c>
      <c r="M261">
        <f>IF(OR($E261="",$E261="نامعتبر"),"",IF(Sync!$X258="",0,Sync!$X258))</f>
        <v/>
      </c>
      <c r="N261">
        <f>IF(OR($E261="",$E261="نامعتبر"),"",IF(AND($J261="هزینه",$K261&lt;&gt;""),1,0))</f>
        <v/>
      </c>
      <c r="O261">
        <f>IF($N261=0,"",LEFT($E261,4)&amp;MID($E261,6,2)&amp;RIGHT($E261,2)&amp;$F261&amp;"|"&amp;"1"&amp;RIGHT("00000"&amp;253,5))</f>
        <v/>
      </c>
      <c r="P261">
        <f>IF($O261="","",COUNTIFS(ExpSub,$K261,ExpKey,"&lt;"&amp;$O261)+1)</f>
        <v/>
      </c>
      <c r="Q261">
        <f>IF($P261="","",$K261&amp;"|"&amp;RIGHT("000000"&amp;$P261,6))</f>
        <v/>
      </c>
    </row>
    <row r="262">
      <c r="A262">
        <f>IF(Sync!$P259="","",Sync!$P259)</f>
        <v/>
      </c>
      <c r="B262">
        <f>IF($A262="","",IF(ISNUMBER($A262),IF(AND($A262&gt;=10000101,$A262&lt;=99991231),INT($A262/10000),""),IFERROR(VALUE(TRIM(LEFT($A262,FIND("/",$A262)-1))),"")))</f>
        <v/>
      </c>
      <c r="C262">
        <f>IF(OR($A262="",$B262=""),"",IF(ISNUMBER($A262),INT(MOD($A262,10000)/100),IFERROR(VALUE(TRIM(LEFT(MID($A262,FIND("/",$A262)+1,20),FIND("/",MID($A262,FIND("/",$A262)+1,20))-1))),"")))</f>
        <v/>
      </c>
      <c r="D262">
        <f>IF(OR($A262="",$B262=""),"",IF(ISNUMBER($A262),MOD($A262,100),IFERROR(VALUE(TRIM(MID(MID($A262,FIND("/",$A262)+1,20),FIND("/",MID($A262,FIND("/",$A262)+1,20))+1,20))),"")))</f>
        <v/>
      </c>
      <c r="E262">
        <f>IF($A262="","",IF(OR($B262="",$C262="",$D262="",$B262&lt;1300,$B262&gt;1500,$C262&lt;1,$C262&gt;12,$D262&lt;1,$D262&gt;31),"نامعتبر",RIGHT("0000"&amp;$B262,4)&amp;"/"&amp;RIGHT("00"&amp;$C262,2)&amp;"/"&amp;RIGHT("00"&amp;$D262,2)))</f>
        <v/>
      </c>
      <c r="F262">
        <f>IF(OR($E262="",$E262="نامعتبر"),"",IF(Sync!$Q259="","0000",IF(AND(ISNUMBER(Sync!$Q259),Sync!$Q259&gt;=0,Sync!$Q259&lt;1),RIGHT("00"&amp;HOUR(Sync!$Q259),2)&amp;RIGHT("00"&amp;MINUTE(Sync!$Q259),2),IFERROR(RIGHT("00"&amp;VALUE(LEFT(Sync!$Q259,FIND(":",Sync!$Q259)-1)),2)&amp;RIGHT("00"&amp;VALUE(MID(Sync!$Q259,FIND(":",Sync!$Q259)+1,2)),2),"0000"))))</f>
        <v/>
      </c>
      <c r="G262">
        <f>IF(OR($E262="",$E262="نامعتبر"),"",IF(Sync!$S259="","",Sync!$S259))</f>
        <v/>
      </c>
      <c r="H262">
        <f>IF(OR($E262="",$E262="نامعتبر"),"",IF(Sync!$R259="","",Sync!$R259))</f>
        <v/>
      </c>
      <c r="I262">
        <f>IF(OR($E262="",$E262="نامعتبر"),"",IF(Sync!$T259="","",Sync!$T259))</f>
        <v/>
      </c>
      <c r="J262">
        <f>IF(OR($E262="",$E262="نامعتبر"),"",IF(Sync!$U259="","",Sync!$U259))</f>
        <v/>
      </c>
      <c r="K262">
        <f>IF(OR($E262="",$E262="نامعتبر"),"",IF(Sync!$V259="","",IFERROR(INDEX(SubCodes,MATCH(Sync!$V259,SubTitles,0)),Sync!$V259)))</f>
        <v/>
      </c>
      <c r="L262">
        <f>IF(OR($E262="",$E262="نامعتبر"),"",IF(Sync!$W259="",0,Sync!$W259))</f>
        <v/>
      </c>
      <c r="M262">
        <f>IF(OR($E262="",$E262="نامعتبر"),"",IF(Sync!$X259="",0,Sync!$X259))</f>
        <v/>
      </c>
      <c r="N262">
        <f>IF(OR($E262="",$E262="نامعتبر"),"",IF(AND($J262="هزینه",$K262&lt;&gt;""),1,0))</f>
        <v/>
      </c>
      <c r="O262">
        <f>IF($N262=0,"",LEFT($E262,4)&amp;MID($E262,6,2)&amp;RIGHT($E262,2)&amp;$F262&amp;"|"&amp;"1"&amp;RIGHT("00000"&amp;254,5))</f>
        <v/>
      </c>
      <c r="P262">
        <f>IF($O262="","",COUNTIFS(ExpSub,$K262,ExpKey,"&lt;"&amp;$O262)+1)</f>
        <v/>
      </c>
      <c r="Q262">
        <f>IF($P262="","",$K262&amp;"|"&amp;RIGHT("000000"&amp;$P262,6))</f>
        <v/>
      </c>
    </row>
    <row r="263">
      <c r="A263">
        <f>IF(Sync!$P260="","",Sync!$P260)</f>
        <v/>
      </c>
      <c r="B263">
        <f>IF($A263="","",IF(ISNUMBER($A263),IF(AND($A263&gt;=10000101,$A263&lt;=99991231),INT($A263/10000),""),IFERROR(VALUE(TRIM(LEFT($A263,FIND("/",$A263)-1))),"")))</f>
        <v/>
      </c>
      <c r="C263">
        <f>IF(OR($A263="",$B263=""),"",IF(ISNUMBER($A263),INT(MOD($A263,10000)/100),IFERROR(VALUE(TRIM(LEFT(MID($A263,FIND("/",$A263)+1,20),FIND("/",MID($A263,FIND("/",$A263)+1,20))-1))),"")))</f>
        <v/>
      </c>
      <c r="D263">
        <f>IF(OR($A263="",$B263=""),"",IF(ISNUMBER($A263),MOD($A263,100),IFERROR(VALUE(TRIM(MID(MID($A263,FIND("/",$A263)+1,20),FIND("/",MID($A263,FIND("/",$A263)+1,20))+1,20))),"")))</f>
        <v/>
      </c>
      <c r="E263">
        <f>IF($A263="","",IF(OR($B263="",$C263="",$D263="",$B263&lt;1300,$B263&gt;1500,$C263&lt;1,$C263&gt;12,$D263&lt;1,$D263&gt;31),"نامعتبر",RIGHT("0000"&amp;$B263,4)&amp;"/"&amp;RIGHT("00"&amp;$C263,2)&amp;"/"&amp;RIGHT("00"&amp;$D263,2)))</f>
        <v/>
      </c>
      <c r="F263">
        <f>IF(OR($E263="",$E263="نامعتبر"),"",IF(Sync!$Q260="","0000",IF(AND(ISNUMBER(Sync!$Q260),Sync!$Q260&gt;=0,Sync!$Q260&lt;1),RIGHT("00"&amp;HOUR(Sync!$Q260),2)&amp;RIGHT("00"&amp;MINUTE(Sync!$Q260),2),IFERROR(RIGHT("00"&amp;VALUE(LEFT(Sync!$Q260,FIND(":",Sync!$Q260)-1)),2)&amp;RIGHT("00"&amp;VALUE(MID(Sync!$Q260,FIND(":",Sync!$Q260)+1,2)),2),"0000"))))</f>
        <v/>
      </c>
      <c r="G263">
        <f>IF(OR($E263="",$E263="نامعتبر"),"",IF(Sync!$S260="","",Sync!$S260))</f>
        <v/>
      </c>
      <c r="H263">
        <f>IF(OR($E263="",$E263="نامعتبر"),"",IF(Sync!$R260="","",Sync!$R260))</f>
        <v/>
      </c>
      <c r="I263">
        <f>IF(OR($E263="",$E263="نامعتبر"),"",IF(Sync!$T260="","",Sync!$T260))</f>
        <v/>
      </c>
      <c r="J263">
        <f>IF(OR($E263="",$E263="نامعتبر"),"",IF(Sync!$U260="","",Sync!$U260))</f>
        <v/>
      </c>
      <c r="K263">
        <f>IF(OR($E263="",$E263="نامعتبر"),"",IF(Sync!$V260="","",IFERROR(INDEX(SubCodes,MATCH(Sync!$V260,SubTitles,0)),Sync!$V260)))</f>
        <v/>
      </c>
      <c r="L263">
        <f>IF(OR($E263="",$E263="نامعتبر"),"",IF(Sync!$W260="",0,Sync!$W260))</f>
        <v/>
      </c>
      <c r="M263">
        <f>IF(OR($E263="",$E263="نامعتبر"),"",IF(Sync!$X260="",0,Sync!$X260))</f>
        <v/>
      </c>
      <c r="N263">
        <f>IF(OR($E263="",$E263="نامعتبر"),"",IF(AND($J263="هزینه",$K263&lt;&gt;""),1,0))</f>
        <v/>
      </c>
      <c r="O263">
        <f>IF($N263=0,"",LEFT($E263,4)&amp;MID($E263,6,2)&amp;RIGHT($E263,2)&amp;$F263&amp;"|"&amp;"1"&amp;RIGHT("00000"&amp;255,5))</f>
        <v/>
      </c>
      <c r="P263">
        <f>IF($O263="","",COUNTIFS(ExpSub,$K263,ExpKey,"&lt;"&amp;$O263)+1)</f>
        <v/>
      </c>
      <c r="Q263">
        <f>IF($P263="","",$K263&amp;"|"&amp;RIGHT("000000"&amp;$P263,6))</f>
        <v/>
      </c>
    </row>
    <row r="264">
      <c r="A264">
        <f>IF(Sync!$P261="","",Sync!$P261)</f>
        <v/>
      </c>
      <c r="B264">
        <f>IF($A264="","",IF(ISNUMBER($A264),IF(AND($A264&gt;=10000101,$A264&lt;=99991231),INT($A264/10000),""),IFERROR(VALUE(TRIM(LEFT($A264,FIND("/",$A264)-1))),"")))</f>
        <v/>
      </c>
      <c r="C264">
        <f>IF(OR($A264="",$B264=""),"",IF(ISNUMBER($A264),INT(MOD($A264,10000)/100),IFERROR(VALUE(TRIM(LEFT(MID($A264,FIND("/",$A264)+1,20),FIND("/",MID($A264,FIND("/",$A264)+1,20))-1))),"")))</f>
        <v/>
      </c>
      <c r="D264">
        <f>IF(OR($A264="",$B264=""),"",IF(ISNUMBER($A264),MOD($A264,100),IFERROR(VALUE(TRIM(MID(MID($A264,FIND("/",$A264)+1,20),FIND("/",MID($A264,FIND("/",$A264)+1,20))+1,20))),"")))</f>
        <v/>
      </c>
      <c r="E264">
        <f>IF($A264="","",IF(OR($B264="",$C264="",$D264="",$B264&lt;1300,$B264&gt;1500,$C264&lt;1,$C264&gt;12,$D264&lt;1,$D264&gt;31),"نامعتبر",RIGHT("0000"&amp;$B264,4)&amp;"/"&amp;RIGHT("00"&amp;$C264,2)&amp;"/"&amp;RIGHT("00"&amp;$D264,2)))</f>
        <v/>
      </c>
      <c r="F264">
        <f>IF(OR($E264="",$E264="نامعتبر"),"",IF(Sync!$Q261="","0000",IF(AND(ISNUMBER(Sync!$Q261),Sync!$Q261&gt;=0,Sync!$Q261&lt;1),RIGHT("00"&amp;HOUR(Sync!$Q261),2)&amp;RIGHT("00"&amp;MINUTE(Sync!$Q261),2),IFERROR(RIGHT("00"&amp;VALUE(LEFT(Sync!$Q261,FIND(":",Sync!$Q261)-1)),2)&amp;RIGHT("00"&amp;VALUE(MID(Sync!$Q261,FIND(":",Sync!$Q261)+1,2)),2),"0000"))))</f>
        <v/>
      </c>
      <c r="G264">
        <f>IF(OR($E264="",$E264="نامعتبر"),"",IF(Sync!$S261="","",Sync!$S261))</f>
        <v/>
      </c>
      <c r="H264">
        <f>IF(OR($E264="",$E264="نامعتبر"),"",IF(Sync!$R261="","",Sync!$R261))</f>
        <v/>
      </c>
      <c r="I264">
        <f>IF(OR($E264="",$E264="نامعتبر"),"",IF(Sync!$T261="","",Sync!$T261))</f>
        <v/>
      </c>
      <c r="J264">
        <f>IF(OR($E264="",$E264="نامعتبر"),"",IF(Sync!$U261="","",Sync!$U261))</f>
        <v/>
      </c>
      <c r="K264">
        <f>IF(OR($E264="",$E264="نامعتبر"),"",IF(Sync!$V261="","",IFERROR(INDEX(SubCodes,MATCH(Sync!$V261,SubTitles,0)),Sync!$V261)))</f>
        <v/>
      </c>
      <c r="L264">
        <f>IF(OR($E264="",$E264="نامعتبر"),"",IF(Sync!$W261="",0,Sync!$W261))</f>
        <v/>
      </c>
      <c r="M264">
        <f>IF(OR($E264="",$E264="نامعتبر"),"",IF(Sync!$X261="",0,Sync!$X261))</f>
        <v/>
      </c>
      <c r="N264">
        <f>IF(OR($E264="",$E264="نامعتبر"),"",IF(AND($J264="هزینه",$K264&lt;&gt;""),1,0))</f>
        <v/>
      </c>
      <c r="O264">
        <f>IF($N264=0,"",LEFT($E264,4)&amp;MID($E264,6,2)&amp;RIGHT($E264,2)&amp;$F264&amp;"|"&amp;"1"&amp;RIGHT("00000"&amp;256,5))</f>
        <v/>
      </c>
      <c r="P264">
        <f>IF($O264="","",COUNTIFS(ExpSub,$K264,ExpKey,"&lt;"&amp;$O264)+1)</f>
        <v/>
      </c>
      <c r="Q264">
        <f>IF($P264="","",$K264&amp;"|"&amp;RIGHT("000000"&amp;$P264,6))</f>
        <v/>
      </c>
    </row>
    <row r="265">
      <c r="A265">
        <f>IF(Sync!$P262="","",Sync!$P262)</f>
        <v/>
      </c>
      <c r="B265">
        <f>IF($A265="","",IF(ISNUMBER($A265),IF(AND($A265&gt;=10000101,$A265&lt;=99991231),INT($A265/10000),""),IFERROR(VALUE(TRIM(LEFT($A265,FIND("/",$A265)-1))),"")))</f>
        <v/>
      </c>
      <c r="C265">
        <f>IF(OR($A265="",$B265=""),"",IF(ISNUMBER($A265),INT(MOD($A265,10000)/100),IFERROR(VALUE(TRIM(LEFT(MID($A265,FIND("/",$A265)+1,20),FIND("/",MID($A265,FIND("/",$A265)+1,20))-1))),"")))</f>
        <v/>
      </c>
      <c r="D265">
        <f>IF(OR($A265="",$B265=""),"",IF(ISNUMBER($A265),MOD($A265,100),IFERROR(VALUE(TRIM(MID(MID($A265,FIND("/",$A265)+1,20),FIND("/",MID($A265,FIND("/",$A265)+1,20))+1,20))),"")))</f>
        <v/>
      </c>
      <c r="E265">
        <f>IF($A265="","",IF(OR($B265="",$C265="",$D265="",$B265&lt;1300,$B265&gt;1500,$C265&lt;1,$C265&gt;12,$D265&lt;1,$D265&gt;31),"نامعتبر",RIGHT("0000"&amp;$B265,4)&amp;"/"&amp;RIGHT("00"&amp;$C265,2)&amp;"/"&amp;RIGHT("00"&amp;$D265,2)))</f>
        <v/>
      </c>
      <c r="F265">
        <f>IF(OR($E265="",$E265="نامعتبر"),"",IF(Sync!$Q262="","0000",IF(AND(ISNUMBER(Sync!$Q262),Sync!$Q262&gt;=0,Sync!$Q262&lt;1),RIGHT("00"&amp;HOUR(Sync!$Q262),2)&amp;RIGHT("00"&amp;MINUTE(Sync!$Q262),2),IFERROR(RIGHT("00"&amp;VALUE(LEFT(Sync!$Q262,FIND(":",Sync!$Q262)-1)),2)&amp;RIGHT("00"&amp;VALUE(MID(Sync!$Q262,FIND(":",Sync!$Q262)+1,2)),2),"0000"))))</f>
        <v/>
      </c>
      <c r="G265">
        <f>IF(OR($E265="",$E265="نامعتبر"),"",IF(Sync!$S262="","",Sync!$S262))</f>
        <v/>
      </c>
      <c r="H265">
        <f>IF(OR($E265="",$E265="نامعتبر"),"",IF(Sync!$R262="","",Sync!$R262))</f>
        <v/>
      </c>
      <c r="I265">
        <f>IF(OR($E265="",$E265="نامعتبر"),"",IF(Sync!$T262="","",Sync!$T262))</f>
        <v/>
      </c>
      <c r="J265">
        <f>IF(OR($E265="",$E265="نامعتبر"),"",IF(Sync!$U262="","",Sync!$U262))</f>
        <v/>
      </c>
      <c r="K265">
        <f>IF(OR($E265="",$E265="نامعتبر"),"",IF(Sync!$V262="","",IFERROR(INDEX(SubCodes,MATCH(Sync!$V262,SubTitles,0)),Sync!$V262)))</f>
        <v/>
      </c>
      <c r="L265">
        <f>IF(OR($E265="",$E265="نامعتبر"),"",IF(Sync!$W262="",0,Sync!$W262))</f>
        <v/>
      </c>
      <c r="M265">
        <f>IF(OR($E265="",$E265="نامعتبر"),"",IF(Sync!$X262="",0,Sync!$X262))</f>
        <v/>
      </c>
      <c r="N265">
        <f>IF(OR($E265="",$E265="نامعتبر"),"",IF(AND($J265="هزینه",$K265&lt;&gt;""),1,0))</f>
        <v/>
      </c>
      <c r="O265">
        <f>IF($N265=0,"",LEFT($E265,4)&amp;MID($E265,6,2)&amp;RIGHT($E265,2)&amp;$F265&amp;"|"&amp;"1"&amp;RIGHT("00000"&amp;257,5))</f>
        <v/>
      </c>
      <c r="P265">
        <f>IF($O265="","",COUNTIFS(ExpSub,$K265,ExpKey,"&lt;"&amp;$O265)+1)</f>
        <v/>
      </c>
      <c r="Q265">
        <f>IF($P265="","",$K265&amp;"|"&amp;RIGHT("000000"&amp;$P265,6))</f>
        <v/>
      </c>
    </row>
    <row r="266">
      <c r="A266">
        <f>IF(Sync!$P263="","",Sync!$P263)</f>
        <v/>
      </c>
      <c r="B266">
        <f>IF($A266="","",IF(ISNUMBER($A266),IF(AND($A266&gt;=10000101,$A266&lt;=99991231),INT($A266/10000),""),IFERROR(VALUE(TRIM(LEFT($A266,FIND("/",$A266)-1))),"")))</f>
        <v/>
      </c>
      <c r="C266">
        <f>IF(OR($A266="",$B266=""),"",IF(ISNUMBER($A266),INT(MOD($A266,10000)/100),IFERROR(VALUE(TRIM(LEFT(MID($A266,FIND("/",$A266)+1,20),FIND("/",MID($A266,FIND("/",$A266)+1,20))-1))),"")))</f>
        <v/>
      </c>
      <c r="D266">
        <f>IF(OR($A266="",$B266=""),"",IF(ISNUMBER($A266),MOD($A266,100),IFERROR(VALUE(TRIM(MID(MID($A266,FIND("/",$A266)+1,20),FIND("/",MID($A266,FIND("/",$A266)+1,20))+1,20))),"")))</f>
        <v/>
      </c>
      <c r="E266">
        <f>IF($A266="","",IF(OR($B266="",$C266="",$D266="",$B266&lt;1300,$B266&gt;1500,$C266&lt;1,$C266&gt;12,$D266&lt;1,$D266&gt;31),"نامعتبر",RIGHT("0000"&amp;$B266,4)&amp;"/"&amp;RIGHT("00"&amp;$C266,2)&amp;"/"&amp;RIGHT("00"&amp;$D266,2)))</f>
        <v/>
      </c>
      <c r="F266">
        <f>IF(OR($E266="",$E266="نامعتبر"),"",IF(Sync!$Q263="","0000",IF(AND(ISNUMBER(Sync!$Q263),Sync!$Q263&gt;=0,Sync!$Q263&lt;1),RIGHT("00"&amp;HOUR(Sync!$Q263),2)&amp;RIGHT("00"&amp;MINUTE(Sync!$Q263),2),IFERROR(RIGHT("00"&amp;VALUE(LEFT(Sync!$Q263,FIND(":",Sync!$Q263)-1)),2)&amp;RIGHT("00"&amp;VALUE(MID(Sync!$Q263,FIND(":",Sync!$Q263)+1,2)),2),"0000"))))</f>
        <v/>
      </c>
      <c r="G266">
        <f>IF(OR($E266="",$E266="نامعتبر"),"",IF(Sync!$S263="","",Sync!$S263))</f>
        <v/>
      </c>
      <c r="H266">
        <f>IF(OR($E266="",$E266="نامعتبر"),"",IF(Sync!$R263="","",Sync!$R263))</f>
        <v/>
      </c>
      <c r="I266">
        <f>IF(OR($E266="",$E266="نامعتبر"),"",IF(Sync!$T263="","",Sync!$T263))</f>
        <v/>
      </c>
      <c r="J266">
        <f>IF(OR($E266="",$E266="نامعتبر"),"",IF(Sync!$U263="","",Sync!$U263))</f>
        <v/>
      </c>
      <c r="K266">
        <f>IF(OR($E266="",$E266="نامعتبر"),"",IF(Sync!$V263="","",IFERROR(INDEX(SubCodes,MATCH(Sync!$V263,SubTitles,0)),Sync!$V263)))</f>
        <v/>
      </c>
      <c r="L266">
        <f>IF(OR($E266="",$E266="نامعتبر"),"",IF(Sync!$W263="",0,Sync!$W263))</f>
        <v/>
      </c>
      <c r="M266">
        <f>IF(OR($E266="",$E266="نامعتبر"),"",IF(Sync!$X263="",0,Sync!$X263))</f>
        <v/>
      </c>
      <c r="N266">
        <f>IF(OR($E266="",$E266="نامعتبر"),"",IF(AND($J266="هزینه",$K266&lt;&gt;""),1,0))</f>
        <v/>
      </c>
      <c r="O266">
        <f>IF($N266=0,"",LEFT($E266,4)&amp;MID($E266,6,2)&amp;RIGHT($E266,2)&amp;$F266&amp;"|"&amp;"1"&amp;RIGHT("00000"&amp;258,5))</f>
        <v/>
      </c>
      <c r="P266">
        <f>IF($O266="","",COUNTIFS(ExpSub,$K266,ExpKey,"&lt;"&amp;$O266)+1)</f>
        <v/>
      </c>
      <c r="Q266">
        <f>IF($P266="","",$K266&amp;"|"&amp;RIGHT("000000"&amp;$P266,6))</f>
        <v/>
      </c>
    </row>
    <row r="267">
      <c r="A267">
        <f>IF(Sync!$P264="","",Sync!$P264)</f>
        <v/>
      </c>
      <c r="B267">
        <f>IF($A267="","",IF(ISNUMBER($A267),IF(AND($A267&gt;=10000101,$A267&lt;=99991231),INT($A267/10000),""),IFERROR(VALUE(TRIM(LEFT($A267,FIND("/",$A267)-1))),"")))</f>
        <v/>
      </c>
      <c r="C267">
        <f>IF(OR($A267="",$B267=""),"",IF(ISNUMBER($A267),INT(MOD($A267,10000)/100),IFERROR(VALUE(TRIM(LEFT(MID($A267,FIND("/",$A267)+1,20),FIND("/",MID($A267,FIND("/",$A267)+1,20))-1))),"")))</f>
        <v/>
      </c>
      <c r="D267">
        <f>IF(OR($A267="",$B267=""),"",IF(ISNUMBER($A267),MOD($A267,100),IFERROR(VALUE(TRIM(MID(MID($A267,FIND("/",$A267)+1,20),FIND("/",MID($A267,FIND("/",$A267)+1,20))+1,20))),"")))</f>
        <v/>
      </c>
      <c r="E267">
        <f>IF($A267="","",IF(OR($B267="",$C267="",$D267="",$B267&lt;1300,$B267&gt;1500,$C267&lt;1,$C267&gt;12,$D267&lt;1,$D267&gt;31),"نامعتبر",RIGHT("0000"&amp;$B267,4)&amp;"/"&amp;RIGHT("00"&amp;$C267,2)&amp;"/"&amp;RIGHT("00"&amp;$D267,2)))</f>
        <v/>
      </c>
      <c r="F267">
        <f>IF(OR($E267="",$E267="نامعتبر"),"",IF(Sync!$Q264="","0000",IF(AND(ISNUMBER(Sync!$Q264),Sync!$Q264&gt;=0,Sync!$Q264&lt;1),RIGHT("00"&amp;HOUR(Sync!$Q264),2)&amp;RIGHT("00"&amp;MINUTE(Sync!$Q264),2),IFERROR(RIGHT("00"&amp;VALUE(LEFT(Sync!$Q264,FIND(":",Sync!$Q264)-1)),2)&amp;RIGHT("00"&amp;VALUE(MID(Sync!$Q264,FIND(":",Sync!$Q264)+1,2)),2),"0000"))))</f>
        <v/>
      </c>
      <c r="G267">
        <f>IF(OR($E267="",$E267="نامعتبر"),"",IF(Sync!$S264="","",Sync!$S264))</f>
        <v/>
      </c>
      <c r="H267">
        <f>IF(OR($E267="",$E267="نامعتبر"),"",IF(Sync!$R264="","",Sync!$R264))</f>
        <v/>
      </c>
      <c r="I267">
        <f>IF(OR($E267="",$E267="نامعتبر"),"",IF(Sync!$T264="","",Sync!$T264))</f>
        <v/>
      </c>
      <c r="J267">
        <f>IF(OR($E267="",$E267="نامعتبر"),"",IF(Sync!$U264="","",Sync!$U264))</f>
        <v/>
      </c>
      <c r="K267">
        <f>IF(OR($E267="",$E267="نامعتبر"),"",IF(Sync!$V264="","",IFERROR(INDEX(SubCodes,MATCH(Sync!$V264,SubTitles,0)),Sync!$V264)))</f>
        <v/>
      </c>
      <c r="L267">
        <f>IF(OR($E267="",$E267="نامعتبر"),"",IF(Sync!$W264="",0,Sync!$W264))</f>
        <v/>
      </c>
      <c r="M267">
        <f>IF(OR($E267="",$E267="نامعتبر"),"",IF(Sync!$X264="",0,Sync!$X264))</f>
        <v/>
      </c>
      <c r="N267">
        <f>IF(OR($E267="",$E267="نامعتبر"),"",IF(AND($J267="هزینه",$K267&lt;&gt;""),1,0))</f>
        <v/>
      </c>
      <c r="O267">
        <f>IF($N267=0,"",LEFT($E267,4)&amp;MID($E267,6,2)&amp;RIGHT($E267,2)&amp;$F267&amp;"|"&amp;"1"&amp;RIGHT("00000"&amp;259,5))</f>
        <v/>
      </c>
      <c r="P267">
        <f>IF($O267="","",COUNTIFS(ExpSub,$K267,ExpKey,"&lt;"&amp;$O267)+1)</f>
        <v/>
      </c>
      <c r="Q267">
        <f>IF($P267="","",$K267&amp;"|"&amp;RIGHT("000000"&amp;$P267,6))</f>
        <v/>
      </c>
    </row>
    <row r="268">
      <c r="A268">
        <f>IF(Sync!$P265="","",Sync!$P265)</f>
        <v/>
      </c>
      <c r="B268">
        <f>IF($A268="","",IF(ISNUMBER($A268),IF(AND($A268&gt;=10000101,$A268&lt;=99991231),INT($A268/10000),""),IFERROR(VALUE(TRIM(LEFT($A268,FIND("/",$A268)-1))),"")))</f>
        <v/>
      </c>
      <c r="C268">
        <f>IF(OR($A268="",$B268=""),"",IF(ISNUMBER($A268),INT(MOD($A268,10000)/100),IFERROR(VALUE(TRIM(LEFT(MID($A268,FIND("/",$A268)+1,20),FIND("/",MID($A268,FIND("/",$A268)+1,20))-1))),"")))</f>
        <v/>
      </c>
      <c r="D268">
        <f>IF(OR($A268="",$B268=""),"",IF(ISNUMBER($A268),MOD($A268,100),IFERROR(VALUE(TRIM(MID(MID($A268,FIND("/",$A268)+1,20),FIND("/",MID($A268,FIND("/",$A268)+1,20))+1,20))),"")))</f>
        <v/>
      </c>
      <c r="E268">
        <f>IF($A268="","",IF(OR($B268="",$C268="",$D268="",$B268&lt;1300,$B268&gt;1500,$C268&lt;1,$C268&gt;12,$D268&lt;1,$D268&gt;31),"نامعتبر",RIGHT("0000"&amp;$B268,4)&amp;"/"&amp;RIGHT("00"&amp;$C268,2)&amp;"/"&amp;RIGHT("00"&amp;$D268,2)))</f>
        <v/>
      </c>
      <c r="F268">
        <f>IF(OR($E268="",$E268="نامعتبر"),"",IF(Sync!$Q265="","0000",IF(AND(ISNUMBER(Sync!$Q265),Sync!$Q265&gt;=0,Sync!$Q265&lt;1),RIGHT("00"&amp;HOUR(Sync!$Q265),2)&amp;RIGHT("00"&amp;MINUTE(Sync!$Q265),2),IFERROR(RIGHT("00"&amp;VALUE(LEFT(Sync!$Q265,FIND(":",Sync!$Q265)-1)),2)&amp;RIGHT("00"&amp;VALUE(MID(Sync!$Q265,FIND(":",Sync!$Q265)+1,2)),2),"0000"))))</f>
        <v/>
      </c>
      <c r="G268">
        <f>IF(OR($E268="",$E268="نامعتبر"),"",IF(Sync!$S265="","",Sync!$S265))</f>
        <v/>
      </c>
      <c r="H268">
        <f>IF(OR($E268="",$E268="نامعتبر"),"",IF(Sync!$R265="","",Sync!$R265))</f>
        <v/>
      </c>
      <c r="I268">
        <f>IF(OR($E268="",$E268="نامعتبر"),"",IF(Sync!$T265="","",Sync!$T265))</f>
        <v/>
      </c>
      <c r="J268">
        <f>IF(OR($E268="",$E268="نامعتبر"),"",IF(Sync!$U265="","",Sync!$U265))</f>
        <v/>
      </c>
      <c r="K268">
        <f>IF(OR($E268="",$E268="نامعتبر"),"",IF(Sync!$V265="","",IFERROR(INDEX(SubCodes,MATCH(Sync!$V265,SubTitles,0)),Sync!$V265)))</f>
        <v/>
      </c>
      <c r="L268">
        <f>IF(OR($E268="",$E268="نامعتبر"),"",IF(Sync!$W265="",0,Sync!$W265))</f>
        <v/>
      </c>
      <c r="M268">
        <f>IF(OR($E268="",$E268="نامعتبر"),"",IF(Sync!$X265="",0,Sync!$X265))</f>
        <v/>
      </c>
      <c r="N268">
        <f>IF(OR($E268="",$E268="نامعتبر"),"",IF(AND($J268="هزینه",$K268&lt;&gt;""),1,0))</f>
        <v/>
      </c>
      <c r="O268">
        <f>IF($N268=0,"",LEFT($E268,4)&amp;MID($E268,6,2)&amp;RIGHT($E268,2)&amp;$F268&amp;"|"&amp;"1"&amp;RIGHT("00000"&amp;260,5))</f>
        <v/>
      </c>
      <c r="P268">
        <f>IF($O268="","",COUNTIFS(ExpSub,$K268,ExpKey,"&lt;"&amp;$O268)+1)</f>
        <v/>
      </c>
      <c r="Q268">
        <f>IF($P268="","",$K268&amp;"|"&amp;RIGHT("000000"&amp;$P268,6))</f>
        <v/>
      </c>
    </row>
    <row r="269">
      <c r="A269">
        <f>IF(Sync!$P266="","",Sync!$P266)</f>
        <v/>
      </c>
      <c r="B269">
        <f>IF($A269="","",IF(ISNUMBER($A269),IF(AND($A269&gt;=10000101,$A269&lt;=99991231),INT($A269/10000),""),IFERROR(VALUE(TRIM(LEFT($A269,FIND("/",$A269)-1))),"")))</f>
        <v/>
      </c>
      <c r="C269">
        <f>IF(OR($A269="",$B269=""),"",IF(ISNUMBER($A269),INT(MOD($A269,10000)/100),IFERROR(VALUE(TRIM(LEFT(MID($A269,FIND("/",$A269)+1,20),FIND("/",MID($A269,FIND("/",$A269)+1,20))-1))),"")))</f>
        <v/>
      </c>
      <c r="D269">
        <f>IF(OR($A269="",$B269=""),"",IF(ISNUMBER($A269),MOD($A269,100),IFERROR(VALUE(TRIM(MID(MID($A269,FIND("/",$A269)+1,20),FIND("/",MID($A269,FIND("/",$A269)+1,20))+1,20))),"")))</f>
        <v/>
      </c>
      <c r="E269">
        <f>IF($A269="","",IF(OR($B269="",$C269="",$D269="",$B269&lt;1300,$B269&gt;1500,$C269&lt;1,$C269&gt;12,$D269&lt;1,$D269&gt;31),"نامعتبر",RIGHT("0000"&amp;$B269,4)&amp;"/"&amp;RIGHT("00"&amp;$C269,2)&amp;"/"&amp;RIGHT("00"&amp;$D269,2)))</f>
        <v/>
      </c>
      <c r="F269">
        <f>IF(OR($E269="",$E269="نامعتبر"),"",IF(Sync!$Q266="","0000",IF(AND(ISNUMBER(Sync!$Q266),Sync!$Q266&gt;=0,Sync!$Q266&lt;1),RIGHT("00"&amp;HOUR(Sync!$Q266),2)&amp;RIGHT("00"&amp;MINUTE(Sync!$Q266),2),IFERROR(RIGHT("00"&amp;VALUE(LEFT(Sync!$Q266,FIND(":",Sync!$Q266)-1)),2)&amp;RIGHT("00"&amp;VALUE(MID(Sync!$Q266,FIND(":",Sync!$Q266)+1,2)),2),"0000"))))</f>
        <v/>
      </c>
      <c r="G269">
        <f>IF(OR($E269="",$E269="نامعتبر"),"",IF(Sync!$S266="","",Sync!$S266))</f>
        <v/>
      </c>
      <c r="H269">
        <f>IF(OR($E269="",$E269="نامعتبر"),"",IF(Sync!$R266="","",Sync!$R266))</f>
        <v/>
      </c>
      <c r="I269">
        <f>IF(OR($E269="",$E269="نامعتبر"),"",IF(Sync!$T266="","",Sync!$T266))</f>
        <v/>
      </c>
      <c r="J269">
        <f>IF(OR($E269="",$E269="نامعتبر"),"",IF(Sync!$U266="","",Sync!$U266))</f>
        <v/>
      </c>
      <c r="K269">
        <f>IF(OR($E269="",$E269="نامعتبر"),"",IF(Sync!$V266="","",IFERROR(INDEX(SubCodes,MATCH(Sync!$V266,SubTitles,0)),Sync!$V266)))</f>
        <v/>
      </c>
      <c r="L269">
        <f>IF(OR($E269="",$E269="نامعتبر"),"",IF(Sync!$W266="",0,Sync!$W266))</f>
        <v/>
      </c>
      <c r="M269">
        <f>IF(OR($E269="",$E269="نامعتبر"),"",IF(Sync!$X266="",0,Sync!$X266))</f>
        <v/>
      </c>
      <c r="N269">
        <f>IF(OR($E269="",$E269="نامعتبر"),"",IF(AND($J269="هزینه",$K269&lt;&gt;""),1,0))</f>
        <v/>
      </c>
      <c r="O269">
        <f>IF($N269=0,"",LEFT($E269,4)&amp;MID($E269,6,2)&amp;RIGHT($E269,2)&amp;$F269&amp;"|"&amp;"1"&amp;RIGHT("00000"&amp;261,5))</f>
        <v/>
      </c>
      <c r="P269">
        <f>IF($O269="","",COUNTIFS(ExpSub,$K269,ExpKey,"&lt;"&amp;$O269)+1)</f>
        <v/>
      </c>
      <c r="Q269">
        <f>IF($P269="","",$K269&amp;"|"&amp;RIGHT("000000"&amp;$P269,6))</f>
        <v/>
      </c>
    </row>
    <row r="270">
      <c r="A270">
        <f>IF(Sync!$P267="","",Sync!$P267)</f>
        <v/>
      </c>
      <c r="B270">
        <f>IF($A270="","",IF(ISNUMBER($A270),IF(AND($A270&gt;=10000101,$A270&lt;=99991231),INT($A270/10000),""),IFERROR(VALUE(TRIM(LEFT($A270,FIND("/",$A270)-1))),"")))</f>
        <v/>
      </c>
      <c r="C270">
        <f>IF(OR($A270="",$B270=""),"",IF(ISNUMBER($A270),INT(MOD($A270,10000)/100),IFERROR(VALUE(TRIM(LEFT(MID($A270,FIND("/",$A270)+1,20),FIND("/",MID($A270,FIND("/",$A270)+1,20))-1))),"")))</f>
        <v/>
      </c>
      <c r="D270">
        <f>IF(OR($A270="",$B270=""),"",IF(ISNUMBER($A270),MOD($A270,100),IFERROR(VALUE(TRIM(MID(MID($A270,FIND("/",$A270)+1,20),FIND("/",MID($A270,FIND("/",$A270)+1,20))+1,20))),"")))</f>
        <v/>
      </c>
      <c r="E270">
        <f>IF($A270="","",IF(OR($B270="",$C270="",$D270="",$B270&lt;1300,$B270&gt;1500,$C270&lt;1,$C270&gt;12,$D270&lt;1,$D270&gt;31),"نامعتبر",RIGHT("0000"&amp;$B270,4)&amp;"/"&amp;RIGHT("00"&amp;$C270,2)&amp;"/"&amp;RIGHT("00"&amp;$D270,2)))</f>
        <v/>
      </c>
      <c r="F270">
        <f>IF(OR($E270="",$E270="نامعتبر"),"",IF(Sync!$Q267="","0000",IF(AND(ISNUMBER(Sync!$Q267),Sync!$Q267&gt;=0,Sync!$Q267&lt;1),RIGHT("00"&amp;HOUR(Sync!$Q267),2)&amp;RIGHT("00"&amp;MINUTE(Sync!$Q267),2),IFERROR(RIGHT("00"&amp;VALUE(LEFT(Sync!$Q267,FIND(":",Sync!$Q267)-1)),2)&amp;RIGHT("00"&amp;VALUE(MID(Sync!$Q267,FIND(":",Sync!$Q267)+1,2)),2),"0000"))))</f>
        <v/>
      </c>
      <c r="G270">
        <f>IF(OR($E270="",$E270="نامعتبر"),"",IF(Sync!$S267="","",Sync!$S267))</f>
        <v/>
      </c>
      <c r="H270">
        <f>IF(OR($E270="",$E270="نامعتبر"),"",IF(Sync!$R267="","",Sync!$R267))</f>
        <v/>
      </c>
      <c r="I270">
        <f>IF(OR($E270="",$E270="نامعتبر"),"",IF(Sync!$T267="","",Sync!$T267))</f>
        <v/>
      </c>
      <c r="J270">
        <f>IF(OR($E270="",$E270="نامعتبر"),"",IF(Sync!$U267="","",Sync!$U267))</f>
        <v/>
      </c>
      <c r="K270">
        <f>IF(OR($E270="",$E270="نامعتبر"),"",IF(Sync!$V267="","",IFERROR(INDEX(SubCodes,MATCH(Sync!$V267,SubTitles,0)),Sync!$V267)))</f>
        <v/>
      </c>
      <c r="L270">
        <f>IF(OR($E270="",$E270="نامعتبر"),"",IF(Sync!$W267="",0,Sync!$W267))</f>
        <v/>
      </c>
      <c r="M270">
        <f>IF(OR($E270="",$E270="نامعتبر"),"",IF(Sync!$X267="",0,Sync!$X267))</f>
        <v/>
      </c>
      <c r="N270">
        <f>IF(OR($E270="",$E270="نامعتبر"),"",IF(AND($J270="هزینه",$K270&lt;&gt;""),1,0))</f>
        <v/>
      </c>
      <c r="O270">
        <f>IF($N270=0,"",LEFT($E270,4)&amp;MID($E270,6,2)&amp;RIGHT($E270,2)&amp;$F270&amp;"|"&amp;"1"&amp;RIGHT("00000"&amp;262,5))</f>
        <v/>
      </c>
      <c r="P270">
        <f>IF($O270="","",COUNTIFS(ExpSub,$K270,ExpKey,"&lt;"&amp;$O270)+1)</f>
        <v/>
      </c>
      <c r="Q270">
        <f>IF($P270="","",$K270&amp;"|"&amp;RIGHT("000000"&amp;$P270,6))</f>
        <v/>
      </c>
    </row>
    <row r="271">
      <c r="A271">
        <f>IF(Sync!$P268="","",Sync!$P268)</f>
        <v/>
      </c>
      <c r="B271">
        <f>IF($A271="","",IF(ISNUMBER($A271),IF(AND($A271&gt;=10000101,$A271&lt;=99991231),INT($A271/10000),""),IFERROR(VALUE(TRIM(LEFT($A271,FIND("/",$A271)-1))),"")))</f>
        <v/>
      </c>
      <c r="C271">
        <f>IF(OR($A271="",$B271=""),"",IF(ISNUMBER($A271),INT(MOD($A271,10000)/100),IFERROR(VALUE(TRIM(LEFT(MID($A271,FIND("/",$A271)+1,20),FIND("/",MID($A271,FIND("/",$A271)+1,20))-1))),"")))</f>
        <v/>
      </c>
      <c r="D271">
        <f>IF(OR($A271="",$B271=""),"",IF(ISNUMBER($A271),MOD($A271,100),IFERROR(VALUE(TRIM(MID(MID($A271,FIND("/",$A271)+1,20),FIND("/",MID($A271,FIND("/",$A271)+1,20))+1,20))),"")))</f>
        <v/>
      </c>
      <c r="E271">
        <f>IF($A271="","",IF(OR($B271="",$C271="",$D271="",$B271&lt;1300,$B271&gt;1500,$C271&lt;1,$C271&gt;12,$D271&lt;1,$D271&gt;31),"نامعتبر",RIGHT("0000"&amp;$B271,4)&amp;"/"&amp;RIGHT("00"&amp;$C271,2)&amp;"/"&amp;RIGHT("00"&amp;$D271,2)))</f>
        <v/>
      </c>
      <c r="F271">
        <f>IF(OR($E271="",$E271="نامعتبر"),"",IF(Sync!$Q268="","0000",IF(AND(ISNUMBER(Sync!$Q268),Sync!$Q268&gt;=0,Sync!$Q268&lt;1),RIGHT("00"&amp;HOUR(Sync!$Q268),2)&amp;RIGHT("00"&amp;MINUTE(Sync!$Q268),2),IFERROR(RIGHT("00"&amp;VALUE(LEFT(Sync!$Q268,FIND(":",Sync!$Q268)-1)),2)&amp;RIGHT("00"&amp;VALUE(MID(Sync!$Q268,FIND(":",Sync!$Q268)+1,2)),2),"0000"))))</f>
        <v/>
      </c>
      <c r="G271">
        <f>IF(OR($E271="",$E271="نامعتبر"),"",IF(Sync!$S268="","",Sync!$S268))</f>
        <v/>
      </c>
      <c r="H271">
        <f>IF(OR($E271="",$E271="نامعتبر"),"",IF(Sync!$R268="","",Sync!$R268))</f>
        <v/>
      </c>
      <c r="I271">
        <f>IF(OR($E271="",$E271="نامعتبر"),"",IF(Sync!$T268="","",Sync!$T268))</f>
        <v/>
      </c>
      <c r="J271">
        <f>IF(OR($E271="",$E271="نامعتبر"),"",IF(Sync!$U268="","",Sync!$U268))</f>
        <v/>
      </c>
      <c r="K271">
        <f>IF(OR($E271="",$E271="نامعتبر"),"",IF(Sync!$V268="","",IFERROR(INDEX(SubCodes,MATCH(Sync!$V268,SubTitles,0)),Sync!$V268)))</f>
        <v/>
      </c>
      <c r="L271">
        <f>IF(OR($E271="",$E271="نامعتبر"),"",IF(Sync!$W268="",0,Sync!$W268))</f>
        <v/>
      </c>
      <c r="M271">
        <f>IF(OR($E271="",$E271="نامعتبر"),"",IF(Sync!$X268="",0,Sync!$X268))</f>
        <v/>
      </c>
      <c r="N271">
        <f>IF(OR($E271="",$E271="نامعتبر"),"",IF(AND($J271="هزینه",$K271&lt;&gt;""),1,0))</f>
        <v/>
      </c>
      <c r="O271">
        <f>IF($N271=0,"",LEFT($E271,4)&amp;MID($E271,6,2)&amp;RIGHT($E271,2)&amp;$F271&amp;"|"&amp;"1"&amp;RIGHT("00000"&amp;263,5))</f>
        <v/>
      </c>
      <c r="P271">
        <f>IF($O271="","",COUNTIFS(ExpSub,$K271,ExpKey,"&lt;"&amp;$O271)+1)</f>
        <v/>
      </c>
      <c r="Q271">
        <f>IF($P271="","",$K271&amp;"|"&amp;RIGHT("000000"&amp;$P271,6))</f>
        <v/>
      </c>
    </row>
    <row r="272">
      <c r="A272">
        <f>IF(Sync!$P269="","",Sync!$P269)</f>
        <v/>
      </c>
      <c r="B272">
        <f>IF($A272="","",IF(ISNUMBER($A272),IF(AND($A272&gt;=10000101,$A272&lt;=99991231),INT($A272/10000),""),IFERROR(VALUE(TRIM(LEFT($A272,FIND("/",$A272)-1))),"")))</f>
        <v/>
      </c>
      <c r="C272">
        <f>IF(OR($A272="",$B272=""),"",IF(ISNUMBER($A272),INT(MOD($A272,10000)/100),IFERROR(VALUE(TRIM(LEFT(MID($A272,FIND("/",$A272)+1,20),FIND("/",MID($A272,FIND("/",$A272)+1,20))-1))),"")))</f>
        <v/>
      </c>
      <c r="D272">
        <f>IF(OR($A272="",$B272=""),"",IF(ISNUMBER($A272),MOD($A272,100),IFERROR(VALUE(TRIM(MID(MID($A272,FIND("/",$A272)+1,20),FIND("/",MID($A272,FIND("/",$A272)+1,20))+1,20))),"")))</f>
        <v/>
      </c>
      <c r="E272">
        <f>IF($A272="","",IF(OR($B272="",$C272="",$D272="",$B272&lt;1300,$B272&gt;1500,$C272&lt;1,$C272&gt;12,$D272&lt;1,$D272&gt;31),"نامعتبر",RIGHT("0000"&amp;$B272,4)&amp;"/"&amp;RIGHT("00"&amp;$C272,2)&amp;"/"&amp;RIGHT("00"&amp;$D272,2)))</f>
        <v/>
      </c>
      <c r="F272">
        <f>IF(OR($E272="",$E272="نامعتبر"),"",IF(Sync!$Q269="","0000",IF(AND(ISNUMBER(Sync!$Q269),Sync!$Q269&gt;=0,Sync!$Q269&lt;1),RIGHT("00"&amp;HOUR(Sync!$Q269),2)&amp;RIGHT("00"&amp;MINUTE(Sync!$Q269),2),IFERROR(RIGHT("00"&amp;VALUE(LEFT(Sync!$Q269,FIND(":",Sync!$Q269)-1)),2)&amp;RIGHT("00"&amp;VALUE(MID(Sync!$Q269,FIND(":",Sync!$Q269)+1,2)),2),"0000"))))</f>
        <v/>
      </c>
      <c r="G272">
        <f>IF(OR($E272="",$E272="نامعتبر"),"",IF(Sync!$S269="","",Sync!$S269))</f>
        <v/>
      </c>
      <c r="H272">
        <f>IF(OR($E272="",$E272="نامعتبر"),"",IF(Sync!$R269="","",Sync!$R269))</f>
        <v/>
      </c>
      <c r="I272">
        <f>IF(OR($E272="",$E272="نامعتبر"),"",IF(Sync!$T269="","",Sync!$T269))</f>
        <v/>
      </c>
      <c r="J272">
        <f>IF(OR($E272="",$E272="نامعتبر"),"",IF(Sync!$U269="","",Sync!$U269))</f>
        <v/>
      </c>
      <c r="K272">
        <f>IF(OR($E272="",$E272="نامعتبر"),"",IF(Sync!$V269="","",IFERROR(INDEX(SubCodes,MATCH(Sync!$V269,SubTitles,0)),Sync!$V269)))</f>
        <v/>
      </c>
      <c r="L272">
        <f>IF(OR($E272="",$E272="نامعتبر"),"",IF(Sync!$W269="",0,Sync!$W269))</f>
        <v/>
      </c>
      <c r="M272">
        <f>IF(OR($E272="",$E272="نامعتبر"),"",IF(Sync!$X269="",0,Sync!$X269))</f>
        <v/>
      </c>
      <c r="N272">
        <f>IF(OR($E272="",$E272="نامعتبر"),"",IF(AND($J272="هزینه",$K272&lt;&gt;""),1,0))</f>
        <v/>
      </c>
      <c r="O272">
        <f>IF($N272=0,"",LEFT($E272,4)&amp;MID($E272,6,2)&amp;RIGHT($E272,2)&amp;$F272&amp;"|"&amp;"1"&amp;RIGHT("00000"&amp;264,5))</f>
        <v/>
      </c>
      <c r="P272">
        <f>IF($O272="","",COUNTIFS(ExpSub,$K272,ExpKey,"&lt;"&amp;$O272)+1)</f>
        <v/>
      </c>
      <c r="Q272">
        <f>IF($P272="","",$K272&amp;"|"&amp;RIGHT("000000"&amp;$P272,6))</f>
        <v/>
      </c>
    </row>
    <row r="273">
      <c r="A273">
        <f>IF(Sync!$P270="","",Sync!$P270)</f>
        <v/>
      </c>
      <c r="B273">
        <f>IF($A273="","",IF(ISNUMBER($A273),IF(AND($A273&gt;=10000101,$A273&lt;=99991231),INT($A273/10000),""),IFERROR(VALUE(TRIM(LEFT($A273,FIND("/",$A273)-1))),"")))</f>
        <v/>
      </c>
      <c r="C273">
        <f>IF(OR($A273="",$B273=""),"",IF(ISNUMBER($A273),INT(MOD($A273,10000)/100),IFERROR(VALUE(TRIM(LEFT(MID($A273,FIND("/",$A273)+1,20),FIND("/",MID($A273,FIND("/",$A273)+1,20))-1))),"")))</f>
        <v/>
      </c>
      <c r="D273">
        <f>IF(OR($A273="",$B273=""),"",IF(ISNUMBER($A273),MOD($A273,100),IFERROR(VALUE(TRIM(MID(MID($A273,FIND("/",$A273)+1,20),FIND("/",MID($A273,FIND("/",$A273)+1,20))+1,20))),"")))</f>
        <v/>
      </c>
      <c r="E273">
        <f>IF($A273="","",IF(OR($B273="",$C273="",$D273="",$B273&lt;1300,$B273&gt;1500,$C273&lt;1,$C273&gt;12,$D273&lt;1,$D273&gt;31),"نامعتبر",RIGHT("0000"&amp;$B273,4)&amp;"/"&amp;RIGHT("00"&amp;$C273,2)&amp;"/"&amp;RIGHT("00"&amp;$D273,2)))</f>
        <v/>
      </c>
      <c r="F273">
        <f>IF(OR($E273="",$E273="نامعتبر"),"",IF(Sync!$Q270="","0000",IF(AND(ISNUMBER(Sync!$Q270),Sync!$Q270&gt;=0,Sync!$Q270&lt;1),RIGHT("00"&amp;HOUR(Sync!$Q270),2)&amp;RIGHT("00"&amp;MINUTE(Sync!$Q270),2),IFERROR(RIGHT("00"&amp;VALUE(LEFT(Sync!$Q270,FIND(":",Sync!$Q270)-1)),2)&amp;RIGHT("00"&amp;VALUE(MID(Sync!$Q270,FIND(":",Sync!$Q270)+1,2)),2),"0000"))))</f>
        <v/>
      </c>
      <c r="G273">
        <f>IF(OR($E273="",$E273="نامعتبر"),"",IF(Sync!$S270="","",Sync!$S270))</f>
        <v/>
      </c>
      <c r="H273">
        <f>IF(OR($E273="",$E273="نامعتبر"),"",IF(Sync!$R270="","",Sync!$R270))</f>
        <v/>
      </c>
      <c r="I273">
        <f>IF(OR($E273="",$E273="نامعتبر"),"",IF(Sync!$T270="","",Sync!$T270))</f>
        <v/>
      </c>
      <c r="J273">
        <f>IF(OR($E273="",$E273="نامعتبر"),"",IF(Sync!$U270="","",Sync!$U270))</f>
        <v/>
      </c>
      <c r="K273">
        <f>IF(OR($E273="",$E273="نامعتبر"),"",IF(Sync!$V270="","",IFERROR(INDEX(SubCodes,MATCH(Sync!$V270,SubTitles,0)),Sync!$V270)))</f>
        <v/>
      </c>
      <c r="L273">
        <f>IF(OR($E273="",$E273="نامعتبر"),"",IF(Sync!$W270="",0,Sync!$W270))</f>
        <v/>
      </c>
      <c r="M273">
        <f>IF(OR($E273="",$E273="نامعتبر"),"",IF(Sync!$X270="",0,Sync!$X270))</f>
        <v/>
      </c>
      <c r="N273">
        <f>IF(OR($E273="",$E273="نامعتبر"),"",IF(AND($J273="هزینه",$K273&lt;&gt;""),1,0))</f>
        <v/>
      </c>
      <c r="O273">
        <f>IF($N273=0,"",LEFT($E273,4)&amp;MID($E273,6,2)&amp;RIGHT($E273,2)&amp;$F273&amp;"|"&amp;"1"&amp;RIGHT("00000"&amp;265,5))</f>
        <v/>
      </c>
      <c r="P273">
        <f>IF($O273="","",COUNTIFS(ExpSub,$K273,ExpKey,"&lt;"&amp;$O273)+1)</f>
        <v/>
      </c>
      <c r="Q273">
        <f>IF($P273="","",$K273&amp;"|"&amp;RIGHT("000000"&amp;$P273,6))</f>
        <v/>
      </c>
    </row>
    <row r="274">
      <c r="A274">
        <f>IF(Sync!$P271="","",Sync!$P271)</f>
        <v/>
      </c>
      <c r="B274">
        <f>IF($A274="","",IF(ISNUMBER($A274),IF(AND($A274&gt;=10000101,$A274&lt;=99991231),INT($A274/10000),""),IFERROR(VALUE(TRIM(LEFT($A274,FIND("/",$A274)-1))),"")))</f>
        <v/>
      </c>
      <c r="C274">
        <f>IF(OR($A274="",$B274=""),"",IF(ISNUMBER($A274),INT(MOD($A274,10000)/100),IFERROR(VALUE(TRIM(LEFT(MID($A274,FIND("/",$A274)+1,20),FIND("/",MID($A274,FIND("/",$A274)+1,20))-1))),"")))</f>
        <v/>
      </c>
      <c r="D274">
        <f>IF(OR($A274="",$B274=""),"",IF(ISNUMBER($A274),MOD($A274,100),IFERROR(VALUE(TRIM(MID(MID($A274,FIND("/",$A274)+1,20),FIND("/",MID($A274,FIND("/",$A274)+1,20))+1,20))),"")))</f>
        <v/>
      </c>
      <c r="E274">
        <f>IF($A274="","",IF(OR($B274="",$C274="",$D274="",$B274&lt;1300,$B274&gt;1500,$C274&lt;1,$C274&gt;12,$D274&lt;1,$D274&gt;31),"نامعتبر",RIGHT("0000"&amp;$B274,4)&amp;"/"&amp;RIGHT("00"&amp;$C274,2)&amp;"/"&amp;RIGHT("00"&amp;$D274,2)))</f>
        <v/>
      </c>
      <c r="F274">
        <f>IF(OR($E274="",$E274="نامعتبر"),"",IF(Sync!$Q271="","0000",IF(AND(ISNUMBER(Sync!$Q271),Sync!$Q271&gt;=0,Sync!$Q271&lt;1),RIGHT("00"&amp;HOUR(Sync!$Q271),2)&amp;RIGHT("00"&amp;MINUTE(Sync!$Q271),2),IFERROR(RIGHT("00"&amp;VALUE(LEFT(Sync!$Q271,FIND(":",Sync!$Q271)-1)),2)&amp;RIGHT("00"&amp;VALUE(MID(Sync!$Q271,FIND(":",Sync!$Q271)+1,2)),2),"0000"))))</f>
        <v/>
      </c>
      <c r="G274">
        <f>IF(OR($E274="",$E274="نامعتبر"),"",IF(Sync!$S271="","",Sync!$S271))</f>
        <v/>
      </c>
      <c r="H274">
        <f>IF(OR($E274="",$E274="نامعتبر"),"",IF(Sync!$R271="","",Sync!$R271))</f>
        <v/>
      </c>
      <c r="I274">
        <f>IF(OR($E274="",$E274="نامعتبر"),"",IF(Sync!$T271="","",Sync!$T271))</f>
        <v/>
      </c>
      <c r="J274">
        <f>IF(OR($E274="",$E274="نامعتبر"),"",IF(Sync!$U271="","",Sync!$U271))</f>
        <v/>
      </c>
      <c r="K274">
        <f>IF(OR($E274="",$E274="نامعتبر"),"",IF(Sync!$V271="","",IFERROR(INDEX(SubCodes,MATCH(Sync!$V271,SubTitles,0)),Sync!$V271)))</f>
        <v/>
      </c>
      <c r="L274">
        <f>IF(OR($E274="",$E274="نامعتبر"),"",IF(Sync!$W271="",0,Sync!$W271))</f>
        <v/>
      </c>
      <c r="M274">
        <f>IF(OR($E274="",$E274="نامعتبر"),"",IF(Sync!$X271="",0,Sync!$X271))</f>
        <v/>
      </c>
      <c r="N274">
        <f>IF(OR($E274="",$E274="نامعتبر"),"",IF(AND($J274="هزینه",$K274&lt;&gt;""),1,0))</f>
        <v/>
      </c>
      <c r="O274">
        <f>IF($N274=0,"",LEFT($E274,4)&amp;MID($E274,6,2)&amp;RIGHT($E274,2)&amp;$F274&amp;"|"&amp;"1"&amp;RIGHT("00000"&amp;266,5))</f>
        <v/>
      </c>
      <c r="P274">
        <f>IF($O274="","",COUNTIFS(ExpSub,$K274,ExpKey,"&lt;"&amp;$O274)+1)</f>
        <v/>
      </c>
      <c r="Q274">
        <f>IF($P274="","",$K274&amp;"|"&amp;RIGHT("000000"&amp;$P274,6))</f>
        <v/>
      </c>
    </row>
    <row r="275">
      <c r="A275">
        <f>IF(Sync!$P272="","",Sync!$P272)</f>
        <v/>
      </c>
      <c r="B275">
        <f>IF($A275="","",IF(ISNUMBER($A275),IF(AND($A275&gt;=10000101,$A275&lt;=99991231),INT($A275/10000),""),IFERROR(VALUE(TRIM(LEFT($A275,FIND("/",$A275)-1))),"")))</f>
        <v/>
      </c>
      <c r="C275">
        <f>IF(OR($A275="",$B275=""),"",IF(ISNUMBER($A275),INT(MOD($A275,10000)/100),IFERROR(VALUE(TRIM(LEFT(MID($A275,FIND("/",$A275)+1,20),FIND("/",MID($A275,FIND("/",$A275)+1,20))-1))),"")))</f>
        <v/>
      </c>
      <c r="D275">
        <f>IF(OR($A275="",$B275=""),"",IF(ISNUMBER($A275),MOD($A275,100),IFERROR(VALUE(TRIM(MID(MID($A275,FIND("/",$A275)+1,20),FIND("/",MID($A275,FIND("/",$A275)+1,20))+1,20))),"")))</f>
        <v/>
      </c>
      <c r="E275">
        <f>IF($A275="","",IF(OR($B275="",$C275="",$D275="",$B275&lt;1300,$B275&gt;1500,$C275&lt;1,$C275&gt;12,$D275&lt;1,$D275&gt;31),"نامعتبر",RIGHT("0000"&amp;$B275,4)&amp;"/"&amp;RIGHT("00"&amp;$C275,2)&amp;"/"&amp;RIGHT("00"&amp;$D275,2)))</f>
        <v/>
      </c>
      <c r="F275">
        <f>IF(OR($E275="",$E275="نامعتبر"),"",IF(Sync!$Q272="","0000",IF(AND(ISNUMBER(Sync!$Q272),Sync!$Q272&gt;=0,Sync!$Q272&lt;1),RIGHT("00"&amp;HOUR(Sync!$Q272),2)&amp;RIGHT("00"&amp;MINUTE(Sync!$Q272),2),IFERROR(RIGHT("00"&amp;VALUE(LEFT(Sync!$Q272,FIND(":",Sync!$Q272)-1)),2)&amp;RIGHT("00"&amp;VALUE(MID(Sync!$Q272,FIND(":",Sync!$Q272)+1,2)),2),"0000"))))</f>
        <v/>
      </c>
      <c r="G275">
        <f>IF(OR($E275="",$E275="نامعتبر"),"",IF(Sync!$S272="","",Sync!$S272))</f>
        <v/>
      </c>
      <c r="H275">
        <f>IF(OR($E275="",$E275="نامعتبر"),"",IF(Sync!$R272="","",Sync!$R272))</f>
        <v/>
      </c>
      <c r="I275">
        <f>IF(OR($E275="",$E275="نامعتبر"),"",IF(Sync!$T272="","",Sync!$T272))</f>
        <v/>
      </c>
      <c r="J275">
        <f>IF(OR($E275="",$E275="نامعتبر"),"",IF(Sync!$U272="","",Sync!$U272))</f>
        <v/>
      </c>
      <c r="K275">
        <f>IF(OR($E275="",$E275="نامعتبر"),"",IF(Sync!$V272="","",IFERROR(INDEX(SubCodes,MATCH(Sync!$V272,SubTitles,0)),Sync!$V272)))</f>
        <v/>
      </c>
      <c r="L275">
        <f>IF(OR($E275="",$E275="نامعتبر"),"",IF(Sync!$W272="",0,Sync!$W272))</f>
        <v/>
      </c>
      <c r="M275">
        <f>IF(OR($E275="",$E275="نامعتبر"),"",IF(Sync!$X272="",0,Sync!$X272))</f>
        <v/>
      </c>
      <c r="N275">
        <f>IF(OR($E275="",$E275="نامعتبر"),"",IF(AND($J275="هزینه",$K275&lt;&gt;""),1,0))</f>
        <v/>
      </c>
      <c r="O275">
        <f>IF($N275=0,"",LEFT($E275,4)&amp;MID($E275,6,2)&amp;RIGHT($E275,2)&amp;$F275&amp;"|"&amp;"1"&amp;RIGHT("00000"&amp;267,5))</f>
        <v/>
      </c>
      <c r="P275">
        <f>IF($O275="","",COUNTIFS(ExpSub,$K275,ExpKey,"&lt;"&amp;$O275)+1)</f>
        <v/>
      </c>
      <c r="Q275">
        <f>IF($P275="","",$K275&amp;"|"&amp;RIGHT("000000"&amp;$P275,6))</f>
        <v/>
      </c>
    </row>
    <row r="276">
      <c r="A276">
        <f>IF(Sync!$P273="","",Sync!$P273)</f>
        <v/>
      </c>
      <c r="B276">
        <f>IF($A276="","",IF(ISNUMBER($A276),IF(AND($A276&gt;=10000101,$A276&lt;=99991231),INT($A276/10000),""),IFERROR(VALUE(TRIM(LEFT($A276,FIND("/",$A276)-1))),"")))</f>
        <v/>
      </c>
      <c r="C276">
        <f>IF(OR($A276="",$B276=""),"",IF(ISNUMBER($A276),INT(MOD($A276,10000)/100),IFERROR(VALUE(TRIM(LEFT(MID($A276,FIND("/",$A276)+1,20),FIND("/",MID($A276,FIND("/",$A276)+1,20))-1))),"")))</f>
        <v/>
      </c>
      <c r="D276">
        <f>IF(OR($A276="",$B276=""),"",IF(ISNUMBER($A276),MOD($A276,100),IFERROR(VALUE(TRIM(MID(MID($A276,FIND("/",$A276)+1,20),FIND("/",MID($A276,FIND("/",$A276)+1,20))+1,20))),"")))</f>
        <v/>
      </c>
      <c r="E276">
        <f>IF($A276="","",IF(OR($B276="",$C276="",$D276="",$B276&lt;1300,$B276&gt;1500,$C276&lt;1,$C276&gt;12,$D276&lt;1,$D276&gt;31),"نامعتبر",RIGHT("0000"&amp;$B276,4)&amp;"/"&amp;RIGHT("00"&amp;$C276,2)&amp;"/"&amp;RIGHT("00"&amp;$D276,2)))</f>
        <v/>
      </c>
      <c r="F276">
        <f>IF(OR($E276="",$E276="نامعتبر"),"",IF(Sync!$Q273="","0000",IF(AND(ISNUMBER(Sync!$Q273),Sync!$Q273&gt;=0,Sync!$Q273&lt;1),RIGHT("00"&amp;HOUR(Sync!$Q273),2)&amp;RIGHT("00"&amp;MINUTE(Sync!$Q273),2),IFERROR(RIGHT("00"&amp;VALUE(LEFT(Sync!$Q273,FIND(":",Sync!$Q273)-1)),2)&amp;RIGHT("00"&amp;VALUE(MID(Sync!$Q273,FIND(":",Sync!$Q273)+1,2)),2),"0000"))))</f>
        <v/>
      </c>
      <c r="G276">
        <f>IF(OR($E276="",$E276="نامعتبر"),"",IF(Sync!$S273="","",Sync!$S273))</f>
        <v/>
      </c>
      <c r="H276">
        <f>IF(OR($E276="",$E276="نامعتبر"),"",IF(Sync!$R273="","",Sync!$R273))</f>
        <v/>
      </c>
      <c r="I276">
        <f>IF(OR($E276="",$E276="نامعتبر"),"",IF(Sync!$T273="","",Sync!$T273))</f>
        <v/>
      </c>
      <c r="J276">
        <f>IF(OR($E276="",$E276="نامعتبر"),"",IF(Sync!$U273="","",Sync!$U273))</f>
        <v/>
      </c>
      <c r="K276">
        <f>IF(OR($E276="",$E276="نامعتبر"),"",IF(Sync!$V273="","",IFERROR(INDEX(SubCodes,MATCH(Sync!$V273,SubTitles,0)),Sync!$V273)))</f>
        <v/>
      </c>
      <c r="L276">
        <f>IF(OR($E276="",$E276="نامعتبر"),"",IF(Sync!$W273="",0,Sync!$W273))</f>
        <v/>
      </c>
      <c r="M276">
        <f>IF(OR($E276="",$E276="نامعتبر"),"",IF(Sync!$X273="",0,Sync!$X273))</f>
        <v/>
      </c>
      <c r="N276">
        <f>IF(OR($E276="",$E276="نامعتبر"),"",IF(AND($J276="هزینه",$K276&lt;&gt;""),1,0))</f>
        <v/>
      </c>
      <c r="O276">
        <f>IF($N276=0,"",LEFT($E276,4)&amp;MID($E276,6,2)&amp;RIGHT($E276,2)&amp;$F276&amp;"|"&amp;"1"&amp;RIGHT("00000"&amp;268,5))</f>
        <v/>
      </c>
      <c r="P276">
        <f>IF($O276="","",COUNTIFS(ExpSub,$K276,ExpKey,"&lt;"&amp;$O276)+1)</f>
        <v/>
      </c>
      <c r="Q276">
        <f>IF($P276="","",$K276&amp;"|"&amp;RIGHT("000000"&amp;$P276,6))</f>
        <v/>
      </c>
    </row>
    <row r="277">
      <c r="A277">
        <f>IF(Sync!$P274="","",Sync!$P274)</f>
        <v/>
      </c>
      <c r="B277">
        <f>IF($A277="","",IF(ISNUMBER($A277),IF(AND($A277&gt;=10000101,$A277&lt;=99991231),INT($A277/10000),""),IFERROR(VALUE(TRIM(LEFT($A277,FIND("/",$A277)-1))),"")))</f>
        <v/>
      </c>
      <c r="C277">
        <f>IF(OR($A277="",$B277=""),"",IF(ISNUMBER($A277),INT(MOD($A277,10000)/100),IFERROR(VALUE(TRIM(LEFT(MID($A277,FIND("/",$A277)+1,20),FIND("/",MID($A277,FIND("/",$A277)+1,20))-1))),"")))</f>
        <v/>
      </c>
      <c r="D277">
        <f>IF(OR($A277="",$B277=""),"",IF(ISNUMBER($A277),MOD($A277,100),IFERROR(VALUE(TRIM(MID(MID($A277,FIND("/",$A277)+1,20),FIND("/",MID($A277,FIND("/",$A277)+1,20))+1,20))),"")))</f>
        <v/>
      </c>
      <c r="E277">
        <f>IF($A277="","",IF(OR($B277="",$C277="",$D277="",$B277&lt;1300,$B277&gt;1500,$C277&lt;1,$C277&gt;12,$D277&lt;1,$D277&gt;31),"نامعتبر",RIGHT("0000"&amp;$B277,4)&amp;"/"&amp;RIGHT("00"&amp;$C277,2)&amp;"/"&amp;RIGHT("00"&amp;$D277,2)))</f>
        <v/>
      </c>
      <c r="F277">
        <f>IF(OR($E277="",$E277="نامعتبر"),"",IF(Sync!$Q274="","0000",IF(AND(ISNUMBER(Sync!$Q274),Sync!$Q274&gt;=0,Sync!$Q274&lt;1),RIGHT("00"&amp;HOUR(Sync!$Q274),2)&amp;RIGHT("00"&amp;MINUTE(Sync!$Q274),2),IFERROR(RIGHT("00"&amp;VALUE(LEFT(Sync!$Q274,FIND(":",Sync!$Q274)-1)),2)&amp;RIGHT("00"&amp;VALUE(MID(Sync!$Q274,FIND(":",Sync!$Q274)+1,2)),2),"0000"))))</f>
        <v/>
      </c>
      <c r="G277">
        <f>IF(OR($E277="",$E277="نامعتبر"),"",IF(Sync!$S274="","",Sync!$S274))</f>
        <v/>
      </c>
      <c r="H277">
        <f>IF(OR($E277="",$E277="نامعتبر"),"",IF(Sync!$R274="","",Sync!$R274))</f>
        <v/>
      </c>
      <c r="I277">
        <f>IF(OR($E277="",$E277="نامعتبر"),"",IF(Sync!$T274="","",Sync!$T274))</f>
        <v/>
      </c>
      <c r="J277">
        <f>IF(OR($E277="",$E277="نامعتبر"),"",IF(Sync!$U274="","",Sync!$U274))</f>
        <v/>
      </c>
      <c r="K277">
        <f>IF(OR($E277="",$E277="نامعتبر"),"",IF(Sync!$V274="","",IFERROR(INDEX(SubCodes,MATCH(Sync!$V274,SubTitles,0)),Sync!$V274)))</f>
        <v/>
      </c>
      <c r="L277">
        <f>IF(OR($E277="",$E277="نامعتبر"),"",IF(Sync!$W274="",0,Sync!$W274))</f>
        <v/>
      </c>
      <c r="M277">
        <f>IF(OR($E277="",$E277="نامعتبر"),"",IF(Sync!$X274="",0,Sync!$X274))</f>
        <v/>
      </c>
      <c r="N277">
        <f>IF(OR($E277="",$E277="نامعتبر"),"",IF(AND($J277="هزینه",$K277&lt;&gt;""),1,0))</f>
        <v/>
      </c>
      <c r="O277">
        <f>IF($N277=0,"",LEFT($E277,4)&amp;MID($E277,6,2)&amp;RIGHT($E277,2)&amp;$F277&amp;"|"&amp;"1"&amp;RIGHT("00000"&amp;269,5))</f>
        <v/>
      </c>
      <c r="P277">
        <f>IF($O277="","",COUNTIFS(ExpSub,$K277,ExpKey,"&lt;"&amp;$O277)+1)</f>
        <v/>
      </c>
      <c r="Q277">
        <f>IF($P277="","",$K277&amp;"|"&amp;RIGHT("000000"&amp;$P277,6))</f>
        <v/>
      </c>
    </row>
    <row r="278">
      <c r="A278">
        <f>IF(Sync!$P275="","",Sync!$P275)</f>
        <v/>
      </c>
      <c r="B278">
        <f>IF($A278="","",IF(ISNUMBER($A278),IF(AND($A278&gt;=10000101,$A278&lt;=99991231),INT($A278/10000),""),IFERROR(VALUE(TRIM(LEFT($A278,FIND("/",$A278)-1))),"")))</f>
        <v/>
      </c>
      <c r="C278">
        <f>IF(OR($A278="",$B278=""),"",IF(ISNUMBER($A278),INT(MOD($A278,10000)/100),IFERROR(VALUE(TRIM(LEFT(MID($A278,FIND("/",$A278)+1,20),FIND("/",MID($A278,FIND("/",$A278)+1,20))-1))),"")))</f>
        <v/>
      </c>
      <c r="D278">
        <f>IF(OR($A278="",$B278=""),"",IF(ISNUMBER($A278),MOD($A278,100),IFERROR(VALUE(TRIM(MID(MID($A278,FIND("/",$A278)+1,20),FIND("/",MID($A278,FIND("/",$A278)+1,20))+1,20))),"")))</f>
        <v/>
      </c>
      <c r="E278">
        <f>IF($A278="","",IF(OR($B278="",$C278="",$D278="",$B278&lt;1300,$B278&gt;1500,$C278&lt;1,$C278&gt;12,$D278&lt;1,$D278&gt;31),"نامعتبر",RIGHT("0000"&amp;$B278,4)&amp;"/"&amp;RIGHT("00"&amp;$C278,2)&amp;"/"&amp;RIGHT("00"&amp;$D278,2)))</f>
        <v/>
      </c>
      <c r="F278">
        <f>IF(OR($E278="",$E278="نامعتبر"),"",IF(Sync!$Q275="","0000",IF(AND(ISNUMBER(Sync!$Q275),Sync!$Q275&gt;=0,Sync!$Q275&lt;1),RIGHT("00"&amp;HOUR(Sync!$Q275),2)&amp;RIGHT("00"&amp;MINUTE(Sync!$Q275),2),IFERROR(RIGHT("00"&amp;VALUE(LEFT(Sync!$Q275,FIND(":",Sync!$Q275)-1)),2)&amp;RIGHT("00"&amp;VALUE(MID(Sync!$Q275,FIND(":",Sync!$Q275)+1,2)),2),"0000"))))</f>
        <v/>
      </c>
      <c r="G278">
        <f>IF(OR($E278="",$E278="نامعتبر"),"",IF(Sync!$S275="","",Sync!$S275))</f>
        <v/>
      </c>
      <c r="H278">
        <f>IF(OR($E278="",$E278="نامعتبر"),"",IF(Sync!$R275="","",Sync!$R275))</f>
        <v/>
      </c>
      <c r="I278">
        <f>IF(OR($E278="",$E278="نامعتبر"),"",IF(Sync!$T275="","",Sync!$T275))</f>
        <v/>
      </c>
      <c r="J278">
        <f>IF(OR($E278="",$E278="نامعتبر"),"",IF(Sync!$U275="","",Sync!$U275))</f>
        <v/>
      </c>
      <c r="K278">
        <f>IF(OR($E278="",$E278="نامعتبر"),"",IF(Sync!$V275="","",IFERROR(INDEX(SubCodes,MATCH(Sync!$V275,SubTitles,0)),Sync!$V275)))</f>
        <v/>
      </c>
      <c r="L278">
        <f>IF(OR($E278="",$E278="نامعتبر"),"",IF(Sync!$W275="",0,Sync!$W275))</f>
        <v/>
      </c>
      <c r="M278">
        <f>IF(OR($E278="",$E278="نامعتبر"),"",IF(Sync!$X275="",0,Sync!$X275))</f>
        <v/>
      </c>
      <c r="N278">
        <f>IF(OR($E278="",$E278="نامعتبر"),"",IF(AND($J278="هزینه",$K278&lt;&gt;""),1,0))</f>
        <v/>
      </c>
      <c r="O278">
        <f>IF($N278=0,"",LEFT($E278,4)&amp;MID($E278,6,2)&amp;RIGHT($E278,2)&amp;$F278&amp;"|"&amp;"1"&amp;RIGHT("00000"&amp;270,5))</f>
        <v/>
      </c>
      <c r="P278">
        <f>IF($O278="","",COUNTIFS(ExpSub,$K278,ExpKey,"&lt;"&amp;$O278)+1)</f>
        <v/>
      </c>
      <c r="Q278">
        <f>IF($P278="","",$K278&amp;"|"&amp;RIGHT("000000"&amp;$P278,6))</f>
        <v/>
      </c>
    </row>
    <row r="279">
      <c r="A279">
        <f>IF(Sync!$P276="","",Sync!$P276)</f>
        <v/>
      </c>
      <c r="B279">
        <f>IF($A279="","",IF(ISNUMBER($A279),IF(AND($A279&gt;=10000101,$A279&lt;=99991231),INT($A279/10000),""),IFERROR(VALUE(TRIM(LEFT($A279,FIND("/",$A279)-1))),"")))</f>
        <v/>
      </c>
      <c r="C279">
        <f>IF(OR($A279="",$B279=""),"",IF(ISNUMBER($A279),INT(MOD($A279,10000)/100),IFERROR(VALUE(TRIM(LEFT(MID($A279,FIND("/",$A279)+1,20),FIND("/",MID($A279,FIND("/",$A279)+1,20))-1))),"")))</f>
        <v/>
      </c>
      <c r="D279">
        <f>IF(OR($A279="",$B279=""),"",IF(ISNUMBER($A279),MOD($A279,100),IFERROR(VALUE(TRIM(MID(MID($A279,FIND("/",$A279)+1,20),FIND("/",MID($A279,FIND("/",$A279)+1,20))+1,20))),"")))</f>
        <v/>
      </c>
      <c r="E279">
        <f>IF($A279="","",IF(OR($B279="",$C279="",$D279="",$B279&lt;1300,$B279&gt;1500,$C279&lt;1,$C279&gt;12,$D279&lt;1,$D279&gt;31),"نامعتبر",RIGHT("0000"&amp;$B279,4)&amp;"/"&amp;RIGHT("00"&amp;$C279,2)&amp;"/"&amp;RIGHT("00"&amp;$D279,2)))</f>
        <v/>
      </c>
      <c r="F279">
        <f>IF(OR($E279="",$E279="نامعتبر"),"",IF(Sync!$Q276="","0000",IF(AND(ISNUMBER(Sync!$Q276),Sync!$Q276&gt;=0,Sync!$Q276&lt;1),RIGHT("00"&amp;HOUR(Sync!$Q276),2)&amp;RIGHT("00"&amp;MINUTE(Sync!$Q276),2),IFERROR(RIGHT("00"&amp;VALUE(LEFT(Sync!$Q276,FIND(":",Sync!$Q276)-1)),2)&amp;RIGHT("00"&amp;VALUE(MID(Sync!$Q276,FIND(":",Sync!$Q276)+1,2)),2),"0000"))))</f>
        <v/>
      </c>
      <c r="G279">
        <f>IF(OR($E279="",$E279="نامعتبر"),"",IF(Sync!$S276="","",Sync!$S276))</f>
        <v/>
      </c>
      <c r="H279">
        <f>IF(OR($E279="",$E279="نامعتبر"),"",IF(Sync!$R276="","",Sync!$R276))</f>
        <v/>
      </c>
      <c r="I279">
        <f>IF(OR($E279="",$E279="نامعتبر"),"",IF(Sync!$T276="","",Sync!$T276))</f>
        <v/>
      </c>
      <c r="J279">
        <f>IF(OR($E279="",$E279="نامعتبر"),"",IF(Sync!$U276="","",Sync!$U276))</f>
        <v/>
      </c>
      <c r="K279">
        <f>IF(OR($E279="",$E279="نامعتبر"),"",IF(Sync!$V276="","",IFERROR(INDEX(SubCodes,MATCH(Sync!$V276,SubTitles,0)),Sync!$V276)))</f>
        <v/>
      </c>
      <c r="L279">
        <f>IF(OR($E279="",$E279="نامعتبر"),"",IF(Sync!$W276="",0,Sync!$W276))</f>
        <v/>
      </c>
      <c r="M279">
        <f>IF(OR($E279="",$E279="نامعتبر"),"",IF(Sync!$X276="",0,Sync!$X276))</f>
        <v/>
      </c>
      <c r="N279">
        <f>IF(OR($E279="",$E279="نامعتبر"),"",IF(AND($J279="هزینه",$K279&lt;&gt;""),1,0))</f>
        <v/>
      </c>
      <c r="O279">
        <f>IF($N279=0,"",LEFT($E279,4)&amp;MID($E279,6,2)&amp;RIGHT($E279,2)&amp;$F279&amp;"|"&amp;"1"&amp;RIGHT("00000"&amp;271,5))</f>
        <v/>
      </c>
      <c r="P279">
        <f>IF($O279="","",COUNTIFS(ExpSub,$K279,ExpKey,"&lt;"&amp;$O279)+1)</f>
        <v/>
      </c>
      <c r="Q279">
        <f>IF($P279="","",$K279&amp;"|"&amp;RIGHT("000000"&amp;$P279,6))</f>
        <v/>
      </c>
    </row>
    <row r="280">
      <c r="A280">
        <f>IF(Sync!$P277="","",Sync!$P277)</f>
        <v/>
      </c>
      <c r="B280">
        <f>IF($A280="","",IF(ISNUMBER($A280),IF(AND($A280&gt;=10000101,$A280&lt;=99991231),INT($A280/10000),""),IFERROR(VALUE(TRIM(LEFT($A280,FIND("/",$A280)-1))),"")))</f>
        <v/>
      </c>
      <c r="C280">
        <f>IF(OR($A280="",$B280=""),"",IF(ISNUMBER($A280),INT(MOD($A280,10000)/100),IFERROR(VALUE(TRIM(LEFT(MID($A280,FIND("/",$A280)+1,20),FIND("/",MID($A280,FIND("/",$A280)+1,20))-1))),"")))</f>
        <v/>
      </c>
      <c r="D280">
        <f>IF(OR($A280="",$B280=""),"",IF(ISNUMBER($A280),MOD($A280,100),IFERROR(VALUE(TRIM(MID(MID($A280,FIND("/",$A280)+1,20),FIND("/",MID($A280,FIND("/",$A280)+1,20))+1,20))),"")))</f>
        <v/>
      </c>
      <c r="E280">
        <f>IF($A280="","",IF(OR($B280="",$C280="",$D280="",$B280&lt;1300,$B280&gt;1500,$C280&lt;1,$C280&gt;12,$D280&lt;1,$D280&gt;31),"نامعتبر",RIGHT("0000"&amp;$B280,4)&amp;"/"&amp;RIGHT("00"&amp;$C280,2)&amp;"/"&amp;RIGHT("00"&amp;$D280,2)))</f>
        <v/>
      </c>
      <c r="F280">
        <f>IF(OR($E280="",$E280="نامعتبر"),"",IF(Sync!$Q277="","0000",IF(AND(ISNUMBER(Sync!$Q277),Sync!$Q277&gt;=0,Sync!$Q277&lt;1),RIGHT("00"&amp;HOUR(Sync!$Q277),2)&amp;RIGHT("00"&amp;MINUTE(Sync!$Q277),2),IFERROR(RIGHT("00"&amp;VALUE(LEFT(Sync!$Q277,FIND(":",Sync!$Q277)-1)),2)&amp;RIGHT("00"&amp;VALUE(MID(Sync!$Q277,FIND(":",Sync!$Q277)+1,2)),2),"0000"))))</f>
        <v/>
      </c>
      <c r="G280">
        <f>IF(OR($E280="",$E280="نامعتبر"),"",IF(Sync!$S277="","",Sync!$S277))</f>
        <v/>
      </c>
      <c r="H280">
        <f>IF(OR($E280="",$E280="نامعتبر"),"",IF(Sync!$R277="","",Sync!$R277))</f>
        <v/>
      </c>
      <c r="I280">
        <f>IF(OR($E280="",$E280="نامعتبر"),"",IF(Sync!$T277="","",Sync!$T277))</f>
        <v/>
      </c>
      <c r="J280">
        <f>IF(OR($E280="",$E280="نامعتبر"),"",IF(Sync!$U277="","",Sync!$U277))</f>
        <v/>
      </c>
      <c r="K280">
        <f>IF(OR($E280="",$E280="نامعتبر"),"",IF(Sync!$V277="","",IFERROR(INDEX(SubCodes,MATCH(Sync!$V277,SubTitles,0)),Sync!$V277)))</f>
        <v/>
      </c>
      <c r="L280">
        <f>IF(OR($E280="",$E280="نامعتبر"),"",IF(Sync!$W277="",0,Sync!$W277))</f>
        <v/>
      </c>
      <c r="M280">
        <f>IF(OR($E280="",$E280="نامعتبر"),"",IF(Sync!$X277="",0,Sync!$X277))</f>
        <v/>
      </c>
      <c r="N280">
        <f>IF(OR($E280="",$E280="نامعتبر"),"",IF(AND($J280="هزینه",$K280&lt;&gt;""),1,0))</f>
        <v/>
      </c>
      <c r="O280">
        <f>IF($N280=0,"",LEFT($E280,4)&amp;MID($E280,6,2)&amp;RIGHT($E280,2)&amp;$F280&amp;"|"&amp;"1"&amp;RIGHT("00000"&amp;272,5))</f>
        <v/>
      </c>
      <c r="P280">
        <f>IF($O280="","",COUNTIFS(ExpSub,$K280,ExpKey,"&lt;"&amp;$O280)+1)</f>
        <v/>
      </c>
      <c r="Q280">
        <f>IF($P280="","",$K280&amp;"|"&amp;RIGHT("000000"&amp;$P280,6))</f>
        <v/>
      </c>
    </row>
    <row r="281">
      <c r="A281">
        <f>IF(Sync!$P278="","",Sync!$P278)</f>
        <v/>
      </c>
      <c r="B281">
        <f>IF($A281="","",IF(ISNUMBER($A281),IF(AND($A281&gt;=10000101,$A281&lt;=99991231),INT($A281/10000),""),IFERROR(VALUE(TRIM(LEFT($A281,FIND("/",$A281)-1))),"")))</f>
        <v/>
      </c>
      <c r="C281">
        <f>IF(OR($A281="",$B281=""),"",IF(ISNUMBER($A281),INT(MOD($A281,10000)/100),IFERROR(VALUE(TRIM(LEFT(MID($A281,FIND("/",$A281)+1,20),FIND("/",MID($A281,FIND("/",$A281)+1,20))-1))),"")))</f>
        <v/>
      </c>
      <c r="D281">
        <f>IF(OR($A281="",$B281=""),"",IF(ISNUMBER($A281),MOD($A281,100),IFERROR(VALUE(TRIM(MID(MID($A281,FIND("/",$A281)+1,20),FIND("/",MID($A281,FIND("/",$A281)+1,20))+1,20))),"")))</f>
        <v/>
      </c>
      <c r="E281">
        <f>IF($A281="","",IF(OR($B281="",$C281="",$D281="",$B281&lt;1300,$B281&gt;1500,$C281&lt;1,$C281&gt;12,$D281&lt;1,$D281&gt;31),"نامعتبر",RIGHT("0000"&amp;$B281,4)&amp;"/"&amp;RIGHT("00"&amp;$C281,2)&amp;"/"&amp;RIGHT("00"&amp;$D281,2)))</f>
        <v/>
      </c>
      <c r="F281">
        <f>IF(OR($E281="",$E281="نامعتبر"),"",IF(Sync!$Q278="","0000",IF(AND(ISNUMBER(Sync!$Q278),Sync!$Q278&gt;=0,Sync!$Q278&lt;1),RIGHT("00"&amp;HOUR(Sync!$Q278),2)&amp;RIGHT("00"&amp;MINUTE(Sync!$Q278),2),IFERROR(RIGHT("00"&amp;VALUE(LEFT(Sync!$Q278,FIND(":",Sync!$Q278)-1)),2)&amp;RIGHT("00"&amp;VALUE(MID(Sync!$Q278,FIND(":",Sync!$Q278)+1,2)),2),"0000"))))</f>
        <v/>
      </c>
      <c r="G281">
        <f>IF(OR($E281="",$E281="نامعتبر"),"",IF(Sync!$S278="","",Sync!$S278))</f>
        <v/>
      </c>
      <c r="H281">
        <f>IF(OR($E281="",$E281="نامعتبر"),"",IF(Sync!$R278="","",Sync!$R278))</f>
        <v/>
      </c>
      <c r="I281">
        <f>IF(OR($E281="",$E281="نامعتبر"),"",IF(Sync!$T278="","",Sync!$T278))</f>
        <v/>
      </c>
      <c r="J281">
        <f>IF(OR($E281="",$E281="نامعتبر"),"",IF(Sync!$U278="","",Sync!$U278))</f>
        <v/>
      </c>
      <c r="K281">
        <f>IF(OR($E281="",$E281="نامعتبر"),"",IF(Sync!$V278="","",IFERROR(INDEX(SubCodes,MATCH(Sync!$V278,SubTitles,0)),Sync!$V278)))</f>
        <v/>
      </c>
      <c r="L281">
        <f>IF(OR($E281="",$E281="نامعتبر"),"",IF(Sync!$W278="",0,Sync!$W278))</f>
        <v/>
      </c>
      <c r="M281">
        <f>IF(OR($E281="",$E281="نامعتبر"),"",IF(Sync!$X278="",0,Sync!$X278))</f>
        <v/>
      </c>
      <c r="N281">
        <f>IF(OR($E281="",$E281="نامعتبر"),"",IF(AND($J281="هزینه",$K281&lt;&gt;""),1,0))</f>
        <v/>
      </c>
      <c r="O281">
        <f>IF($N281=0,"",LEFT($E281,4)&amp;MID($E281,6,2)&amp;RIGHT($E281,2)&amp;$F281&amp;"|"&amp;"1"&amp;RIGHT("00000"&amp;273,5))</f>
        <v/>
      </c>
      <c r="P281">
        <f>IF($O281="","",COUNTIFS(ExpSub,$K281,ExpKey,"&lt;"&amp;$O281)+1)</f>
        <v/>
      </c>
      <c r="Q281">
        <f>IF($P281="","",$K281&amp;"|"&amp;RIGHT("000000"&amp;$P281,6))</f>
        <v/>
      </c>
    </row>
    <row r="282">
      <c r="A282">
        <f>IF(Sync!$P279="","",Sync!$P279)</f>
        <v/>
      </c>
      <c r="B282">
        <f>IF($A282="","",IF(ISNUMBER($A282),IF(AND($A282&gt;=10000101,$A282&lt;=99991231),INT($A282/10000),""),IFERROR(VALUE(TRIM(LEFT($A282,FIND("/",$A282)-1))),"")))</f>
        <v/>
      </c>
      <c r="C282">
        <f>IF(OR($A282="",$B282=""),"",IF(ISNUMBER($A282),INT(MOD($A282,10000)/100),IFERROR(VALUE(TRIM(LEFT(MID($A282,FIND("/",$A282)+1,20),FIND("/",MID($A282,FIND("/",$A282)+1,20))-1))),"")))</f>
        <v/>
      </c>
      <c r="D282">
        <f>IF(OR($A282="",$B282=""),"",IF(ISNUMBER($A282),MOD($A282,100),IFERROR(VALUE(TRIM(MID(MID($A282,FIND("/",$A282)+1,20),FIND("/",MID($A282,FIND("/",$A282)+1,20))+1,20))),"")))</f>
        <v/>
      </c>
      <c r="E282">
        <f>IF($A282="","",IF(OR($B282="",$C282="",$D282="",$B282&lt;1300,$B282&gt;1500,$C282&lt;1,$C282&gt;12,$D282&lt;1,$D282&gt;31),"نامعتبر",RIGHT("0000"&amp;$B282,4)&amp;"/"&amp;RIGHT("00"&amp;$C282,2)&amp;"/"&amp;RIGHT("00"&amp;$D282,2)))</f>
        <v/>
      </c>
      <c r="F282">
        <f>IF(OR($E282="",$E282="نامعتبر"),"",IF(Sync!$Q279="","0000",IF(AND(ISNUMBER(Sync!$Q279),Sync!$Q279&gt;=0,Sync!$Q279&lt;1),RIGHT("00"&amp;HOUR(Sync!$Q279),2)&amp;RIGHT("00"&amp;MINUTE(Sync!$Q279),2),IFERROR(RIGHT("00"&amp;VALUE(LEFT(Sync!$Q279,FIND(":",Sync!$Q279)-1)),2)&amp;RIGHT("00"&amp;VALUE(MID(Sync!$Q279,FIND(":",Sync!$Q279)+1,2)),2),"0000"))))</f>
        <v/>
      </c>
      <c r="G282">
        <f>IF(OR($E282="",$E282="نامعتبر"),"",IF(Sync!$S279="","",Sync!$S279))</f>
        <v/>
      </c>
      <c r="H282">
        <f>IF(OR($E282="",$E282="نامعتبر"),"",IF(Sync!$R279="","",Sync!$R279))</f>
        <v/>
      </c>
      <c r="I282">
        <f>IF(OR($E282="",$E282="نامعتبر"),"",IF(Sync!$T279="","",Sync!$T279))</f>
        <v/>
      </c>
      <c r="J282">
        <f>IF(OR($E282="",$E282="نامعتبر"),"",IF(Sync!$U279="","",Sync!$U279))</f>
        <v/>
      </c>
      <c r="K282">
        <f>IF(OR($E282="",$E282="نامعتبر"),"",IF(Sync!$V279="","",IFERROR(INDEX(SubCodes,MATCH(Sync!$V279,SubTitles,0)),Sync!$V279)))</f>
        <v/>
      </c>
      <c r="L282">
        <f>IF(OR($E282="",$E282="نامعتبر"),"",IF(Sync!$W279="",0,Sync!$W279))</f>
        <v/>
      </c>
      <c r="M282">
        <f>IF(OR($E282="",$E282="نامعتبر"),"",IF(Sync!$X279="",0,Sync!$X279))</f>
        <v/>
      </c>
      <c r="N282">
        <f>IF(OR($E282="",$E282="نامعتبر"),"",IF(AND($J282="هزینه",$K282&lt;&gt;""),1,0))</f>
        <v/>
      </c>
      <c r="O282">
        <f>IF($N282=0,"",LEFT($E282,4)&amp;MID($E282,6,2)&amp;RIGHT($E282,2)&amp;$F282&amp;"|"&amp;"1"&amp;RIGHT("00000"&amp;274,5))</f>
        <v/>
      </c>
      <c r="P282">
        <f>IF($O282="","",COUNTIFS(ExpSub,$K282,ExpKey,"&lt;"&amp;$O282)+1)</f>
        <v/>
      </c>
      <c r="Q282">
        <f>IF($P282="","",$K282&amp;"|"&amp;RIGHT("000000"&amp;$P282,6))</f>
        <v/>
      </c>
    </row>
    <row r="283">
      <c r="A283">
        <f>IF(Sync!$P280="","",Sync!$P280)</f>
        <v/>
      </c>
      <c r="B283">
        <f>IF($A283="","",IF(ISNUMBER($A283),IF(AND($A283&gt;=10000101,$A283&lt;=99991231),INT($A283/10000),""),IFERROR(VALUE(TRIM(LEFT($A283,FIND("/",$A283)-1))),"")))</f>
        <v/>
      </c>
      <c r="C283">
        <f>IF(OR($A283="",$B283=""),"",IF(ISNUMBER($A283),INT(MOD($A283,10000)/100),IFERROR(VALUE(TRIM(LEFT(MID($A283,FIND("/",$A283)+1,20),FIND("/",MID($A283,FIND("/",$A283)+1,20))-1))),"")))</f>
        <v/>
      </c>
      <c r="D283">
        <f>IF(OR($A283="",$B283=""),"",IF(ISNUMBER($A283),MOD($A283,100),IFERROR(VALUE(TRIM(MID(MID($A283,FIND("/",$A283)+1,20),FIND("/",MID($A283,FIND("/",$A283)+1,20))+1,20))),"")))</f>
        <v/>
      </c>
      <c r="E283">
        <f>IF($A283="","",IF(OR($B283="",$C283="",$D283="",$B283&lt;1300,$B283&gt;1500,$C283&lt;1,$C283&gt;12,$D283&lt;1,$D283&gt;31),"نامعتبر",RIGHT("0000"&amp;$B283,4)&amp;"/"&amp;RIGHT("00"&amp;$C283,2)&amp;"/"&amp;RIGHT("00"&amp;$D283,2)))</f>
        <v/>
      </c>
      <c r="F283">
        <f>IF(OR($E283="",$E283="نامعتبر"),"",IF(Sync!$Q280="","0000",IF(AND(ISNUMBER(Sync!$Q280),Sync!$Q280&gt;=0,Sync!$Q280&lt;1),RIGHT("00"&amp;HOUR(Sync!$Q280),2)&amp;RIGHT("00"&amp;MINUTE(Sync!$Q280),2),IFERROR(RIGHT("00"&amp;VALUE(LEFT(Sync!$Q280,FIND(":",Sync!$Q280)-1)),2)&amp;RIGHT("00"&amp;VALUE(MID(Sync!$Q280,FIND(":",Sync!$Q280)+1,2)),2),"0000"))))</f>
        <v/>
      </c>
      <c r="G283">
        <f>IF(OR($E283="",$E283="نامعتبر"),"",IF(Sync!$S280="","",Sync!$S280))</f>
        <v/>
      </c>
      <c r="H283">
        <f>IF(OR($E283="",$E283="نامعتبر"),"",IF(Sync!$R280="","",Sync!$R280))</f>
        <v/>
      </c>
      <c r="I283">
        <f>IF(OR($E283="",$E283="نامعتبر"),"",IF(Sync!$T280="","",Sync!$T280))</f>
        <v/>
      </c>
      <c r="J283">
        <f>IF(OR($E283="",$E283="نامعتبر"),"",IF(Sync!$U280="","",Sync!$U280))</f>
        <v/>
      </c>
      <c r="K283">
        <f>IF(OR($E283="",$E283="نامعتبر"),"",IF(Sync!$V280="","",IFERROR(INDEX(SubCodes,MATCH(Sync!$V280,SubTitles,0)),Sync!$V280)))</f>
        <v/>
      </c>
      <c r="L283">
        <f>IF(OR($E283="",$E283="نامعتبر"),"",IF(Sync!$W280="",0,Sync!$W280))</f>
        <v/>
      </c>
      <c r="M283">
        <f>IF(OR($E283="",$E283="نامعتبر"),"",IF(Sync!$X280="",0,Sync!$X280))</f>
        <v/>
      </c>
      <c r="N283">
        <f>IF(OR($E283="",$E283="نامعتبر"),"",IF(AND($J283="هزینه",$K283&lt;&gt;""),1,0))</f>
        <v/>
      </c>
      <c r="O283">
        <f>IF($N283=0,"",LEFT($E283,4)&amp;MID($E283,6,2)&amp;RIGHT($E283,2)&amp;$F283&amp;"|"&amp;"1"&amp;RIGHT("00000"&amp;275,5))</f>
        <v/>
      </c>
      <c r="P283">
        <f>IF($O283="","",COUNTIFS(ExpSub,$K283,ExpKey,"&lt;"&amp;$O283)+1)</f>
        <v/>
      </c>
      <c r="Q283">
        <f>IF($P283="","",$K283&amp;"|"&amp;RIGHT("000000"&amp;$P283,6))</f>
        <v/>
      </c>
    </row>
    <row r="284">
      <c r="A284">
        <f>IF(Sync!$P281="","",Sync!$P281)</f>
        <v/>
      </c>
      <c r="B284">
        <f>IF($A284="","",IF(ISNUMBER($A284),IF(AND($A284&gt;=10000101,$A284&lt;=99991231),INT($A284/10000),""),IFERROR(VALUE(TRIM(LEFT($A284,FIND("/",$A284)-1))),"")))</f>
        <v/>
      </c>
      <c r="C284">
        <f>IF(OR($A284="",$B284=""),"",IF(ISNUMBER($A284),INT(MOD($A284,10000)/100),IFERROR(VALUE(TRIM(LEFT(MID($A284,FIND("/",$A284)+1,20),FIND("/",MID($A284,FIND("/",$A284)+1,20))-1))),"")))</f>
        <v/>
      </c>
      <c r="D284">
        <f>IF(OR($A284="",$B284=""),"",IF(ISNUMBER($A284),MOD($A284,100),IFERROR(VALUE(TRIM(MID(MID($A284,FIND("/",$A284)+1,20),FIND("/",MID($A284,FIND("/",$A284)+1,20))+1,20))),"")))</f>
        <v/>
      </c>
      <c r="E284">
        <f>IF($A284="","",IF(OR($B284="",$C284="",$D284="",$B284&lt;1300,$B284&gt;1500,$C284&lt;1,$C284&gt;12,$D284&lt;1,$D284&gt;31),"نامعتبر",RIGHT("0000"&amp;$B284,4)&amp;"/"&amp;RIGHT("00"&amp;$C284,2)&amp;"/"&amp;RIGHT("00"&amp;$D284,2)))</f>
        <v/>
      </c>
      <c r="F284">
        <f>IF(OR($E284="",$E284="نامعتبر"),"",IF(Sync!$Q281="","0000",IF(AND(ISNUMBER(Sync!$Q281),Sync!$Q281&gt;=0,Sync!$Q281&lt;1),RIGHT("00"&amp;HOUR(Sync!$Q281),2)&amp;RIGHT("00"&amp;MINUTE(Sync!$Q281),2),IFERROR(RIGHT("00"&amp;VALUE(LEFT(Sync!$Q281,FIND(":",Sync!$Q281)-1)),2)&amp;RIGHT("00"&amp;VALUE(MID(Sync!$Q281,FIND(":",Sync!$Q281)+1,2)),2),"0000"))))</f>
        <v/>
      </c>
      <c r="G284">
        <f>IF(OR($E284="",$E284="نامعتبر"),"",IF(Sync!$S281="","",Sync!$S281))</f>
        <v/>
      </c>
      <c r="H284">
        <f>IF(OR($E284="",$E284="نامعتبر"),"",IF(Sync!$R281="","",Sync!$R281))</f>
        <v/>
      </c>
      <c r="I284">
        <f>IF(OR($E284="",$E284="نامعتبر"),"",IF(Sync!$T281="","",Sync!$T281))</f>
        <v/>
      </c>
      <c r="J284">
        <f>IF(OR($E284="",$E284="نامعتبر"),"",IF(Sync!$U281="","",Sync!$U281))</f>
        <v/>
      </c>
      <c r="K284">
        <f>IF(OR($E284="",$E284="نامعتبر"),"",IF(Sync!$V281="","",IFERROR(INDEX(SubCodes,MATCH(Sync!$V281,SubTitles,0)),Sync!$V281)))</f>
        <v/>
      </c>
      <c r="L284">
        <f>IF(OR($E284="",$E284="نامعتبر"),"",IF(Sync!$W281="",0,Sync!$W281))</f>
        <v/>
      </c>
      <c r="M284">
        <f>IF(OR($E284="",$E284="نامعتبر"),"",IF(Sync!$X281="",0,Sync!$X281))</f>
        <v/>
      </c>
      <c r="N284">
        <f>IF(OR($E284="",$E284="نامعتبر"),"",IF(AND($J284="هزینه",$K284&lt;&gt;""),1,0))</f>
        <v/>
      </c>
      <c r="O284">
        <f>IF($N284=0,"",LEFT($E284,4)&amp;MID($E284,6,2)&amp;RIGHT($E284,2)&amp;$F284&amp;"|"&amp;"1"&amp;RIGHT("00000"&amp;276,5))</f>
        <v/>
      </c>
      <c r="P284">
        <f>IF($O284="","",COUNTIFS(ExpSub,$K284,ExpKey,"&lt;"&amp;$O284)+1)</f>
        <v/>
      </c>
      <c r="Q284">
        <f>IF($P284="","",$K284&amp;"|"&amp;RIGHT("000000"&amp;$P284,6))</f>
        <v/>
      </c>
    </row>
    <row r="285">
      <c r="A285">
        <f>IF(Sync!$P282="","",Sync!$P282)</f>
        <v/>
      </c>
      <c r="B285">
        <f>IF($A285="","",IF(ISNUMBER($A285),IF(AND($A285&gt;=10000101,$A285&lt;=99991231),INT($A285/10000),""),IFERROR(VALUE(TRIM(LEFT($A285,FIND("/",$A285)-1))),"")))</f>
        <v/>
      </c>
      <c r="C285">
        <f>IF(OR($A285="",$B285=""),"",IF(ISNUMBER($A285),INT(MOD($A285,10000)/100),IFERROR(VALUE(TRIM(LEFT(MID($A285,FIND("/",$A285)+1,20),FIND("/",MID($A285,FIND("/",$A285)+1,20))-1))),"")))</f>
        <v/>
      </c>
      <c r="D285">
        <f>IF(OR($A285="",$B285=""),"",IF(ISNUMBER($A285),MOD($A285,100),IFERROR(VALUE(TRIM(MID(MID($A285,FIND("/",$A285)+1,20),FIND("/",MID($A285,FIND("/",$A285)+1,20))+1,20))),"")))</f>
        <v/>
      </c>
      <c r="E285">
        <f>IF($A285="","",IF(OR($B285="",$C285="",$D285="",$B285&lt;1300,$B285&gt;1500,$C285&lt;1,$C285&gt;12,$D285&lt;1,$D285&gt;31),"نامعتبر",RIGHT("0000"&amp;$B285,4)&amp;"/"&amp;RIGHT("00"&amp;$C285,2)&amp;"/"&amp;RIGHT("00"&amp;$D285,2)))</f>
        <v/>
      </c>
      <c r="F285">
        <f>IF(OR($E285="",$E285="نامعتبر"),"",IF(Sync!$Q282="","0000",IF(AND(ISNUMBER(Sync!$Q282),Sync!$Q282&gt;=0,Sync!$Q282&lt;1),RIGHT("00"&amp;HOUR(Sync!$Q282),2)&amp;RIGHT("00"&amp;MINUTE(Sync!$Q282),2),IFERROR(RIGHT("00"&amp;VALUE(LEFT(Sync!$Q282,FIND(":",Sync!$Q282)-1)),2)&amp;RIGHT("00"&amp;VALUE(MID(Sync!$Q282,FIND(":",Sync!$Q282)+1,2)),2),"0000"))))</f>
        <v/>
      </c>
      <c r="G285">
        <f>IF(OR($E285="",$E285="نامعتبر"),"",IF(Sync!$S282="","",Sync!$S282))</f>
        <v/>
      </c>
      <c r="H285">
        <f>IF(OR($E285="",$E285="نامعتبر"),"",IF(Sync!$R282="","",Sync!$R282))</f>
        <v/>
      </c>
      <c r="I285">
        <f>IF(OR($E285="",$E285="نامعتبر"),"",IF(Sync!$T282="","",Sync!$T282))</f>
        <v/>
      </c>
      <c r="J285">
        <f>IF(OR($E285="",$E285="نامعتبر"),"",IF(Sync!$U282="","",Sync!$U282))</f>
        <v/>
      </c>
      <c r="K285">
        <f>IF(OR($E285="",$E285="نامعتبر"),"",IF(Sync!$V282="","",IFERROR(INDEX(SubCodes,MATCH(Sync!$V282,SubTitles,0)),Sync!$V282)))</f>
        <v/>
      </c>
      <c r="L285">
        <f>IF(OR($E285="",$E285="نامعتبر"),"",IF(Sync!$W282="",0,Sync!$W282))</f>
        <v/>
      </c>
      <c r="M285">
        <f>IF(OR($E285="",$E285="نامعتبر"),"",IF(Sync!$X282="",0,Sync!$X282))</f>
        <v/>
      </c>
      <c r="N285">
        <f>IF(OR($E285="",$E285="نامعتبر"),"",IF(AND($J285="هزینه",$K285&lt;&gt;""),1,0))</f>
        <v/>
      </c>
      <c r="O285">
        <f>IF($N285=0,"",LEFT($E285,4)&amp;MID($E285,6,2)&amp;RIGHT($E285,2)&amp;$F285&amp;"|"&amp;"1"&amp;RIGHT("00000"&amp;277,5))</f>
        <v/>
      </c>
      <c r="P285">
        <f>IF($O285="","",COUNTIFS(ExpSub,$K285,ExpKey,"&lt;"&amp;$O285)+1)</f>
        <v/>
      </c>
      <c r="Q285">
        <f>IF($P285="","",$K285&amp;"|"&amp;RIGHT("000000"&amp;$P285,6))</f>
        <v/>
      </c>
    </row>
    <row r="286">
      <c r="A286">
        <f>IF(Sync!$P283="","",Sync!$P283)</f>
        <v/>
      </c>
      <c r="B286">
        <f>IF($A286="","",IF(ISNUMBER($A286),IF(AND($A286&gt;=10000101,$A286&lt;=99991231),INT($A286/10000),""),IFERROR(VALUE(TRIM(LEFT($A286,FIND("/",$A286)-1))),"")))</f>
        <v/>
      </c>
      <c r="C286">
        <f>IF(OR($A286="",$B286=""),"",IF(ISNUMBER($A286),INT(MOD($A286,10000)/100),IFERROR(VALUE(TRIM(LEFT(MID($A286,FIND("/",$A286)+1,20),FIND("/",MID($A286,FIND("/",$A286)+1,20))-1))),"")))</f>
        <v/>
      </c>
      <c r="D286">
        <f>IF(OR($A286="",$B286=""),"",IF(ISNUMBER($A286),MOD($A286,100),IFERROR(VALUE(TRIM(MID(MID($A286,FIND("/",$A286)+1,20),FIND("/",MID($A286,FIND("/",$A286)+1,20))+1,20))),"")))</f>
        <v/>
      </c>
      <c r="E286">
        <f>IF($A286="","",IF(OR($B286="",$C286="",$D286="",$B286&lt;1300,$B286&gt;1500,$C286&lt;1,$C286&gt;12,$D286&lt;1,$D286&gt;31),"نامعتبر",RIGHT("0000"&amp;$B286,4)&amp;"/"&amp;RIGHT("00"&amp;$C286,2)&amp;"/"&amp;RIGHT("00"&amp;$D286,2)))</f>
        <v/>
      </c>
      <c r="F286">
        <f>IF(OR($E286="",$E286="نامعتبر"),"",IF(Sync!$Q283="","0000",IF(AND(ISNUMBER(Sync!$Q283),Sync!$Q283&gt;=0,Sync!$Q283&lt;1),RIGHT("00"&amp;HOUR(Sync!$Q283),2)&amp;RIGHT("00"&amp;MINUTE(Sync!$Q283),2),IFERROR(RIGHT("00"&amp;VALUE(LEFT(Sync!$Q283,FIND(":",Sync!$Q283)-1)),2)&amp;RIGHT("00"&amp;VALUE(MID(Sync!$Q283,FIND(":",Sync!$Q283)+1,2)),2),"0000"))))</f>
        <v/>
      </c>
      <c r="G286">
        <f>IF(OR($E286="",$E286="نامعتبر"),"",IF(Sync!$S283="","",Sync!$S283))</f>
        <v/>
      </c>
      <c r="H286">
        <f>IF(OR($E286="",$E286="نامعتبر"),"",IF(Sync!$R283="","",Sync!$R283))</f>
        <v/>
      </c>
      <c r="I286">
        <f>IF(OR($E286="",$E286="نامعتبر"),"",IF(Sync!$T283="","",Sync!$T283))</f>
        <v/>
      </c>
      <c r="J286">
        <f>IF(OR($E286="",$E286="نامعتبر"),"",IF(Sync!$U283="","",Sync!$U283))</f>
        <v/>
      </c>
      <c r="K286">
        <f>IF(OR($E286="",$E286="نامعتبر"),"",IF(Sync!$V283="","",IFERROR(INDEX(SubCodes,MATCH(Sync!$V283,SubTitles,0)),Sync!$V283)))</f>
        <v/>
      </c>
      <c r="L286">
        <f>IF(OR($E286="",$E286="نامعتبر"),"",IF(Sync!$W283="",0,Sync!$W283))</f>
        <v/>
      </c>
      <c r="M286">
        <f>IF(OR($E286="",$E286="نامعتبر"),"",IF(Sync!$X283="",0,Sync!$X283))</f>
        <v/>
      </c>
      <c r="N286">
        <f>IF(OR($E286="",$E286="نامعتبر"),"",IF(AND($J286="هزینه",$K286&lt;&gt;""),1,0))</f>
        <v/>
      </c>
      <c r="O286">
        <f>IF($N286=0,"",LEFT($E286,4)&amp;MID($E286,6,2)&amp;RIGHT($E286,2)&amp;$F286&amp;"|"&amp;"1"&amp;RIGHT("00000"&amp;278,5))</f>
        <v/>
      </c>
      <c r="P286">
        <f>IF($O286="","",COUNTIFS(ExpSub,$K286,ExpKey,"&lt;"&amp;$O286)+1)</f>
        <v/>
      </c>
      <c r="Q286">
        <f>IF($P286="","",$K286&amp;"|"&amp;RIGHT("000000"&amp;$P286,6))</f>
        <v/>
      </c>
    </row>
    <row r="287">
      <c r="A287">
        <f>IF(Sync!$P284="","",Sync!$P284)</f>
        <v/>
      </c>
      <c r="B287">
        <f>IF($A287="","",IF(ISNUMBER($A287),IF(AND($A287&gt;=10000101,$A287&lt;=99991231),INT($A287/10000),""),IFERROR(VALUE(TRIM(LEFT($A287,FIND("/",$A287)-1))),"")))</f>
        <v/>
      </c>
      <c r="C287">
        <f>IF(OR($A287="",$B287=""),"",IF(ISNUMBER($A287),INT(MOD($A287,10000)/100),IFERROR(VALUE(TRIM(LEFT(MID($A287,FIND("/",$A287)+1,20),FIND("/",MID($A287,FIND("/",$A287)+1,20))-1))),"")))</f>
        <v/>
      </c>
      <c r="D287">
        <f>IF(OR($A287="",$B287=""),"",IF(ISNUMBER($A287),MOD($A287,100),IFERROR(VALUE(TRIM(MID(MID($A287,FIND("/",$A287)+1,20),FIND("/",MID($A287,FIND("/",$A287)+1,20))+1,20))),"")))</f>
        <v/>
      </c>
      <c r="E287">
        <f>IF($A287="","",IF(OR($B287="",$C287="",$D287="",$B287&lt;1300,$B287&gt;1500,$C287&lt;1,$C287&gt;12,$D287&lt;1,$D287&gt;31),"نامعتبر",RIGHT("0000"&amp;$B287,4)&amp;"/"&amp;RIGHT("00"&amp;$C287,2)&amp;"/"&amp;RIGHT("00"&amp;$D287,2)))</f>
        <v/>
      </c>
      <c r="F287">
        <f>IF(OR($E287="",$E287="نامعتبر"),"",IF(Sync!$Q284="","0000",IF(AND(ISNUMBER(Sync!$Q284),Sync!$Q284&gt;=0,Sync!$Q284&lt;1),RIGHT("00"&amp;HOUR(Sync!$Q284),2)&amp;RIGHT("00"&amp;MINUTE(Sync!$Q284),2),IFERROR(RIGHT("00"&amp;VALUE(LEFT(Sync!$Q284,FIND(":",Sync!$Q284)-1)),2)&amp;RIGHT("00"&amp;VALUE(MID(Sync!$Q284,FIND(":",Sync!$Q284)+1,2)),2),"0000"))))</f>
        <v/>
      </c>
      <c r="G287">
        <f>IF(OR($E287="",$E287="نامعتبر"),"",IF(Sync!$S284="","",Sync!$S284))</f>
        <v/>
      </c>
      <c r="H287">
        <f>IF(OR($E287="",$E287="نامعتبر"),"",IF(Sync!$R284="","",Sync!$R284))</f>
        <v/>
      </c>
      <c r="I287">
        <f>IF(OR($E287="",$E287="نامعتبر"),"",IF(Sync!$T284="","",Sync!$T284))</f>
        <v/>
      </c>
      <c r="J287">
        <f>IF(OR($E287="",$E287="نامعتبر"),"",IF(Sync!$U284="","",Sync!$U284))</f>
        <v/>
      </c>
      <c r="K287">
        <f>IF(OR($E287="",$E287="نامعتبر"),"",IF(Sync!$V284="","",IFERROR(INDEX(SubCodes,MATCH(Sync!$V284,SubTitles,0)),Sync!$V284)))</f>
        <v/>
      </c>
      <c r="L287">
        <f>IF(OR($E287="",$E287="نامعتبر"),"",IF(Sync!$W284="",0,Sync!$W284))</f>
        <v/>
      </c>
      <c r="M287">
        <f>IF(OR($E287="",$E287="نامعتبر"),"",IF(Sync!$X284="",0,Sync!$X284))</f>
        <v/>
      </c>
      <c r="N287">
        <f>IF(OR($E287="",$E287="نامعتبر"),"",IF(AND($J287="هزینه",$K287&lt;&gt;""),1,0))</f>
        <v/>
      </c>
      <c r="O287">
        <f>IF($N287=0,"",LEFT($E287,4)&amp;MID($E287,6,2)&amp;RIGHT($E287,2)&amp;$F287&amp;"|"&amp;"1"&amp;RIGHT("00000"&amp;279,5))</f>
        <v/>
      </c>
      <c r="P287">
        <f>IF($O287="","",COUNTIFS(ExpSub,$K287,ExpKey,"&lt;"&amp;$O287)+1)</f>
        <v/>
      </c>
      <c r="Q287">
        <f>IF($P287="","",$K287&amp;"|"&amp;RIGHT("000000"&amp;$P287,6))</f>
        <v/>
      </c>
    </row>
    <row r="288">
      <c r="A288">
        <f>IF(Sync!$P285="","",Sync!$P285)</f>
        <v/>
      </c>
      <c r="B288">
        <f>IF($A288="","",IF(ISNUMBER($A288),IF(AND($A288&gt;=10000101,$A288&lt;=99991231),INT($A288/10000),""),IFERROR(VALUE(TRIM(LEFT($A288,FIND("/",$A288)-1))),"")))</f>
        <v/>
      </c>
      <c r="C288">
        <f>IF(OR($A288="",$B288=""),"",IF(ISNUMBER($A288),INT(MOD($A288,10000)/100),IFERROR(VALUE(TRIM(LEFT(MID($A288,FIND("/",$A288)+1,20),FIND("/",MID($A288,FIND("/",$A288)+1,20))-1))),"")))</f>
        <v/>
      </c>
      <c r="D288">
        <f>IF(OR($A288="",$B288=""),"",IF(ISNUMBER($A288),MOD($A288,100),IFERROR(VALUE(TRIM(MID(MID($A288,FIND("/",$A288)+1,20),FIND("/",MID($A288,FIND("/",$A288)+1,20))+1,20))),"")))</f>
        <v/>
      </c>
      <c r="E288">
        <f>IF($A288="","",IF(OR($B288="",$C288="",$D288="",$B288&lt;1300,$B288&gt;1500,$C288&lt;1,$C288&gt;12,$D288&lt;1,$D288&gt;31),"نامعتبر",RIGHT("0000"&amp;$B288,4)&amp;"/"&amp;RIGHT("00"&amp;$C288,2)&amp;"/"&amp;RIGHT("00"&amp;$D288,2)))</f>
        <v/>
      </c>
      <c r="F288">
        <f>IF(OR($E288="",$E288="نامعتبر"),"",IF(Sync!$Q285="","0000",IF(AND(ISNUMBER(Sync!$Q285),Sync!$Q285&gt;=0,Sync!$Q285&lt;1),RIGHT("00"&amp;HOUR(Sync!$Q285),2)&amp;RIGHT("00"&amp;MINUTE(Sync!$Q285),2),IFERROR(RIGHT("00"&amp;VALUE(LEFT(Sync!$Q285,FIND(":",Sync!$Q285)-1)),2)&amp;RIGHT("00"&amp;VALUE(MID(Sync!$Q285,FIND(":",Sync!$Q285)+1,2)),2),"0000"))))</f>
        <v/>
      </c>
      <c r="G288">
        <f>IF(OR($E288="",$E288="نامعتبر"),"",IF(Sync!$S285="","",Sync!$S285))</f>
        <v/>
      </c>
      <c r="H288">
        <f>IF(OR($E288="",$E288="نامعتبر"),"",IF(Sync!$R285="","",Sync!$R285))</f>
        <v/>
      </c>
      <c r="I288">
        <f>IF(OR($E288="",$E288="نامعتبر"),"",IF(Sync!$T285="","",Sync!$T285))</f>
        <v/>
      </c>
      <c r="J288">
        <f>IF(OR($E288="",$E288="نامعتبر"),"",IF(Sync!$U285="","",Sync!$U285))</f>
        <v/>
      </c>
      <c r="K288">
        <f>IF(OR($E288="",$E288="نامعتبر"),"",IF(Sync!$V285="","",IFERROR(INDEX(SubCodes,MATCH(Sync!$V285,SubTitles,0)),Sync!$V285)))</f>
        <v/>
      </c>
      <c r="L288">
        <f>IF(OR($E288="",$E288="نامعتبر"),"",IF(Sync!$W285="",0,Sync!$W285))</f>
        <v/>
      </c>
      <c r="M288">
        <f>IF(OR($E288="",$E288="نامعتبر"),"",IF(Sync!$X285="",0,Sync!$X285))</f>
        <v/>
      </c>
      <c r="N288">
        <f>IF(OR($E288="",$E288="نامعتبر"),"",IF(AND($J288="هزینه",$K288&lt;&gt;""),1,0))</f>
        <v/>
      </c>
      <c r="O288">
        <f>IF($N288=0,"",LEFT($E288,4)&amp;MID($E288,6,2)&amp;RIGHT($E288,2)&amp;$F288&amp;"|"&amp;"1"&amp;RIGHT("00000"&amp;280,5))</f>
        <v/>
      </c>
      <c r="P288">
        <f>IF($O288="","",COUNTIFS(ExpSub,$K288,ExpKey,"&lt;"&amp;$O288)+1)</f>
        <v/>
      </c>
      <c r="Q288">
        <f>IF($P288="","",$K288&amp;"|"&amp;RIGHT("000000"&amp;$P288,6))</f>
        <v/>
      </c>
    </row>
    <row r="289">
      <c r="A289">
        <f>IF(Sync!$P286="","",Sync!$P286)</f>
        <v/>
      </c>
      <c r="B289">
        <f>IF($A289="","",IF(ISNUMBER($A289),IF(AND($A289&gt;=10000101,$A289&lt;=99991231),INT($A289/10000),""),IFERROR(VALUE(TRIM(LEFT($A289,FIND("/",$A289)-1))),"")))</f>
        <v/>
      </c>
      <c r="C289">
        <f>IF(OR($A289="",$B289=""),"",IF(ISNUMBER($A289),INT(MOD($A289,10000)/100),IFERROR(VALUE(TRIM(LEFT(MID($A289,FIND("/",$A289)+1,20),FIND("/",MID($A289,FIND("/",$A289)+1,20))-1))),"")))</f>
        <v/>
      </c>
      <c r="D289">
        <f>IF(OR($A289="",$B289=""),"",IF(ISNUMBER($A289),MOD($A289,100),IFERROR(VALUE(TRIM(MID(MID($A289,FIND("/",$A289)+1,20),FIND("/",MID($A289,FIND("/",$A289)+1,20))+1,20))),"")))</f>
        <v/>
      </c>
      <c r="E289">
        <f>IF($A289="","",IF(OR($B289="",$C289="",$D289="",$B289&lt;1300,$B289&gt;1500,$C289&lt;1,$C289&gt;12,$D289&lt;1,$D289&gt;31),"نامعتبر",RIGHT("0000"&amp;$B289,4)&amp;"/"&amp;RIGHT("00"&amp;$C289,2)&amp;"/"&amp;RIGHT("00"&amp;$D289,2)))</f>
        <v/>
      </c>
      <c r="F289">
        <f>IF(OR($E289="",$E289="نامعتبر"),"",IF(Sync!$Q286="","0000",IF(AND(ISNUMBER(Sync!$Q286),Sync!$Q286&gt;=0,Sync!$Q286&lt;1),RIGHT("00"&amp;HOUR(Sync!$Q286),2)&amp;RIGHT("00"&amp;MINUTE(Sync!$Q286),2),IFERROR(RIGHT("00"&amp;VALUE(LEFT(Sync!$Q286,FIND(":",Sync!$Q286)-1)),2)&amp;RIGHT("00"&amp;VALUE(MID(Sync!$Q286,FIND(":",Sync!$Q286)+1,2)),2),"0000"))))</f>
        <v/>
      </c>
      <c r="G289">
        <f>IF(OR($E289="",$E289="نامعتبر"),"",IF(Sync!$S286="","",Sync!$S286))</f>
        <v/>
      </c>
      <c r="H289">
        <f>IF(OR($E289="",$E289="نامعتبر"),"",IF(Sync!$R286="","",Sync!$R286))</f>
        <v/>
      </c>
      <c r="I289">
        <f>IF(OR($E289="",$E289="نامعتبر"),"",IF(Sync!$T286="","",Sync!$T286))</f>
        <v/>
      </c>
      <c r="J289">
        <f>IF(OR($E289="",$E289="نامعتبر"),"",IF(Sync!$U286="","",Sync!$U286))</f>
        <v/>
      </c>
      <c r="K289">
        <f>IF(OR($E289="",$E289="نامعتبر"),"",IF(Sync!$V286="","",IFERROR(INDEX(SubCodes,MATCH(Sync!$V286,SubTitles,0)),Sync!$V286)))</f>
        <v/>
      </c>
      <c r="L289">
        <f>IF(OR($E289="",$E289="نامعتبر"),"",IF(Sync!$W286="",0,Sync!$W286))</f>
        <v/>
      </c>
      <c r="M289">
        <f>IF(OR($E289="",$E289="نامعتبر"),"",IF(Sync!$X286="",0,Sync!$X286))</f>
        <v/>
      </c>
      <c r="N289">
        <f>IF(OR($E289="",$E289="نامعتبر"),"",IF(AND($J289="هزینه",$K289&lt;&gt;""),1,0))</f>
        <v/>
      </c>
      <c r="O289">
        <f>IF($N289=0,"",LEFT($E289,4)&amp;MID($E289,6,2)&amp;RIGHT($E289,2)&amp;$F289&amp;"|"&amp;"1"&amp;RIGHT("00000"&amp;281,5))</f>
        <v/>
      </c>
      <c r="P289">
        <f>IF($O289="","",COUNTIFS(ExpSub,$K289,ExpKey,"&lt;"&amp;$O289)+1)</f>
        <v/>
      </c>
      <c r="Q289">
        <f>IF($P289="","",$K289&amp;"|"&amp;RIGHT("000000"&amp;$P289,6))</f>
        <v/>
      </c>
    </row>
    <row r="290">
      <c r="A290">
        <f>IF(Sync!$P287="","",Sync!$P287)</f>
        <v/>
      </c>
      <c r="B290">
        <f>IF($A290="","",IF(ISNUMBER($A290),IF(AND($A290&gt;=10000101,$A290&lt;=99991231),INT($A290/10000),""),IFERROR(VALUE(TRIM(LEFT($A290,FIND("/",$A290)-1))),"")))</f>
        <v/>
      </c>
      <c r="C290">
        <f>IF(OR($A290="",$B290=""),"",IF(ISNUMBER($A290),INT(MOD($A290,10000)/100),IFERROR(VALUE(TRIM(LEFT(MID($A290,FIND("/",$A290)+1,20),FIND("/",MID($A290,FIND("/",$A290)+1,20))-1))),"")))</f>
        <v/>
      </c>
      <c r="D290">
        <f>IF(OR($A290="",$B290=""),"",IF(ISNUMBER($A290),MOD($A290,100),IFERROR(VALUE(TRIM(MID(MID($A290,FIND("/",$A290)+1,20),FIND("/",MID($A290,FIND("/",$A290)+1,20))+1,20))),"")))</f>
        <v/>
      </c>
      <c r="E290">
        <f>IF($A290="","",IF(OR($B290="",$C290="",$D290="",$B290&lt;1300,$B290&gt;1500,$C290&lt;1,$C290&gt;12,$D290&lt;1,$D290&gt;31),"نامعتبر",RIGHT("0000"&amp;$B290,4)&amp;"/"&amp;RIGHT("00"&amp;$C290,2)&amp;"/"&amp;RIGHT("00"&amp;$D290,2)))</f>
        <v/>
      </c>
      <c r="F290">
        <f>IF(OR($E290="",$E290="نامعتبر"),"",IF(Sync!$Q287="","0000",IF(AND(ISNUMBER(Sync!$Q287),Sync!$Q287&gt;=0,Sync!$Q287&lt;1),RIGHT("00"&amp;HOUR(Sync!$Q287),2)&amp;RIGHT("00"&amp;MINUTE(Sync!$Q287),2),IFERROR(RIGHT("00"&amp;VALUE(LEFT(Sync!$Q287,FIND(":",Sync!$Q287)-1)),2)&amp;RIGHT("00"&amp;VALUE(MID(Sync!$Q287,FIND(":",Sync!$Q287)+1,2)),2),"0000"))))</f>
        <v/>
      </c>
      <c r="G290">
        <f>IF(OR($E290="",$E290="نامعتبر"),"",IF(Sync!$S287="","",Sync!$S287))</f>
        <v/>
      </c>
      <c r="H290">
        <f>IF(OR($E290="",$E290="نامعتبر"),"",IF(Sync!$R287="","",Sync!$R287))</f>
        <v/>
      </c>
      <c r="I290">
        <f>IF(OR($E290="",$E290="نامعتبر"),"",IF(Sync!$T287="","",Sync!$T287))</f>
        <v/>
      </c>
      <c r="J290">
        <f>IF(OR($E290="",$E290="نامعتبر"),"",IF(Sync!$U287="","",Sync!$U287))</f>
        <v/>
      </c>
      <c r="K290">
        <f>IF(OR($E290="",$E290="نامعتبر"),"",IF(Sync!$V287="","",IFERROR(INDEX(SubCodes,MATCH(Sync!$V287,SubTitles,0)),Sync!$V287)))</f>
        <v/>
      </c>
      <c r="L290">
        <f>IF(OR($E290="",$E290="نامعتبر"),"",IF(Sync!$W287="",0,Sync!$W287))</f>
        <v/>
      </c>
      <c r="M290">
        <f>IF(OR($E290="",$E290="نامعتبر"),"",IF(Sync!$X287="",0,Sync!$X287))</f>
        <v/>
      </c>
      <c r="N290">
        <f>IF(OR($E290="",$E290="نامعتبر"),"",IF(AND($J290="هزینه",$K290&lt;&gt;""),1,0))</f>
        <v/>
      </c>
      <c r="O290">
        <f>IF($N290=0,"",LEFT($E290,4)&amp;MID($E290,6,2)&amp;RIGHT($E290,2)&amp;$F290&amp;"|"&amp;"1"&amp;RIGHT("00000"&amp;282,5))</f>
        <v/>
      </c>
      <c r="P290">
        <f>IF($O290="","",COUNTIFS(ExpSub,$K290,ExpKey,"&lt;"&amp;$O290)+1)</f>
        <v/>
      </c>
      <c r="Q290">
        <f>IF($P290="","",$K290&amp;"|"&amp;RIGHT("000000"&amp;$P290,6))</f>
        <v/>
      </c>
    </row>
    <row r="291">
      <c r="A291">
        <f>IF(Sync!$P288="","",Sync!$P288)</f>
        <v/>
      </c>
      <c r="B291">
        <f>IF($A291="","",IF(ISNUMBER($A291),IF(AND($A291&gt;=10000101,$A291&lt;=99991231),INT($A291/10000),""),IFERROR(VALUE(TRIM(LEFT($A291,FIND("/",$A291)-1))),"")))</f>
        <v/>
      </c>
      <c r="C291">
        <f>IF(OR($A291="",$B291=""),"",IF(ISNUMBER($A291),INT(MOD($A291,10000)/100),IFERROR(VALUE(TRIM(LEFT(MID($A291,FIND("/",$A291)+1,20),FIND("/",MID($A291,FIND("/",$A291)+1,20))-1))),"")))</f>
        <v/>
      </c>
      <c r="D291">
        <f>IF(OR($A291="",$B291=""),"",IF(ISNUMBER($A291),MOD($A291,100),IFERROR(VALUE(TRIM(MID(MID($A291,FIND("/",$A291)+1,20),FIND("/",MID($A291,FIND("/",$A291)+1,20))+1,20))),"")))</f>
        <v/>
      </c>
      <c r="E291">
        <f>IF($A291="","",IF(OR($B291="",$C291="",$D291="",$B291&lt;1300,$B291&gt;1500,$C291&lt;1,$C291&gt;12,$D291&lt;1,$D291&gt;31),"نامعتبر",RIGHT("0000"&amp;$B291,4)&amp;"/"&amp;RIGHT("00"&amp;$C291,2)&amp;"/"&amp;RIGHT("00"&amp;$D291,2)))</f>
        <v/>
      </c>
      <c r="F291">
        <f>IF(OR($E291="",$E291="نامعتبر"),"",IF(Sync!$Q288="","0000",IF(AND(ISNUMBER(Sync!$Q288),Sync!$Q288&gt;=0,Sync!$Q288&lt;1),RIGHT("00"&amp;HOUR(Sync!$Q288),2)&amp;RIGHT("00"&amp;MINUTE(Sync!$Q288),2),IFERROR(RIGHT("00"&amp;VALUE(LEFT(Sync!$Q288,FIND(":",Sync!$Q288)-1)),2)&amp;RIGHT("00"&amp;VALUE(MID(Sync!$Q288,FIND(":",Sync!$Q288)+1,2)),2),"0000"))))</f>
        <v/>
      </c>
      <c r="G291">
        <f>IF(OR($E291="",$E291="نامعتبر"),"",IF(Sync!$S288="","",Sync!$S288))</f>
        <v/>
      </c>
      <c r="H291">
        <f>IF(OR($E291="",$E291="نامعتبر"),"",IF(Sync!$R288="","",Sync!$R288))</f>
        <v/>
      </c>
      <c r="I291">
        <f>IF(OR($E291="",$E291="نامعتبر"),"",IF(Sync!$T288="","",Sync!$T288))</f>
        <v/>
      </c>
      <c r="J291">
        <f>IF(OR($E291="",$E291="نامعتبر"),"",IF(Sync!$U288="","",Sync!$U288))</f>
        <v/>
      </c>
      <c r="K291">
        <f>IF(OR($E291="",$E291="نامعتبر"),"",IF(Sync!$V288="","",IFERROR(INDEX(SubCodes,MATCH(Sync!$V288,SubTitles,0)),Sync!$V288)))</f>
        <v/>
      </c>
      <c r="L291">
        <f>IF(OR($E291="",$E291="نامعتبر"),"",IF(Sync!$W288="",0,Sync!$W288))</f>
        <v/>
      </c>
      <c r="M291">
        <f>IF(OR($E291="",$E291="نامعتبر"),"",IF(Sync!$X288="",0,Sync!$X288))</f>
        <v/>
      </c>
      <c r="N291">
        <f>IF(OR($E291="",$E291="نامعتبر"),"",IF(AND($J291="هزینه",$K291&lt;&gt;""),1,0))</f>
        <v/>
      </c>
      <c r="O291">
        <f>IF($N291=0,"",LEFT($E291,4)&amp;MID($E291,6,2)&amp;RIGHT($E291,2)&amp;$F291&amp;"|"&amp;"1"&amp;RIGHT("00000"&amp;283,5))</f>
        <v/>
      </c>
      <c r="P291">
        <f>IF($O291="","",COUNTIFS(ExpSub,$K291,ExpKey,"&lt;"&amp;$O291)+1)</f>
        <v/>
      </c>
      <c r="Q291">
        <f>IF($P291="","",$K291&amp;"|"&amp;RIGHT("000000"&amp;$P291,6))</f>
        <v/>
      </c>
    </row>
    <row r="292">
      <c r="A292">
        <f>IF(Sync!$P289="","",Sync!$P289)</f>
        <v/>
      </c>
      <c r="B292">
        <f>IF($A292="","",IF(ISNUMBER($A292),IF(AND($A292&gt;=10000101,$A292&lt;=99991231),INT($A292/10000),""),IFERROR(VALUE(TRIM(LEFT($A292,FIND("/",$A292)-1))),"")))</f>
        <v/>
      </c>
      <c r="C292">
        <f>IF(OR($A292="",$B292=""),"",IF(ISNUMBER($A292),INT(MOD($A292,10000)/100),IFERROR(VALUE(TRIM(LEFT(MID($A292,FIND("/",$A292)+1,20),FIND("/",MID($A292,FIND("/",$A292)+1,20))-1))),"")))</f>
        <v/>
      </c>
      <c r="D292">
        <f>IF(OR($A292="",$B292=""),"",IF(ISNUMBER($A292),MOD($A292,100),IFERROR(VALUE(TRIM(MID(MID($A292,FIND("/",$A292)+1,20),FIND("/",MID($A292,FIND("/",$A292)+1,20))+1,20))),"")))</f>
        <v/>
      </c>
      <c r="E292">
        <f>IF($A292="","",IF(OR($B292="",$C292="",$D292="",$B292&lt;1300,$B292&gt;1500,$C292&lt;1,$C292&gt;12,$D292&lt;1,$D292&gt;31),"نامعتبر",RIGHT("0000"&amp;$B292,4)&amp;"/"&amp;RIGHT("00"&amp;$C292,2)&amp;"/"&amp;RIGHT("00"&amp;$D292,2)))</f>
        <v/>
      </c>
      <c r="F292">
        <f>IF(OR($E292="",$E292="نامعتبر"),"",IF(Sync!$Q289="","0000",IF(AND(ISNUMBER(Sync!$Q289),Sync!$Q289&gt;=0,Sync!$Q289&lt;1),RIGHT("00"&amp;HOUR(Sync!$Q289),2)&amp;RIGHT("00"&amp;MINUTE(Sync!$Q289),2),IFERROR(RIGHT("00"&amp;VALUE(LEFT(Sync!$Q289,FIND(":",Sync!$Q289)-1)),2)&amp;RIGHT("00"&amp;VALUE(MID(Sync!$Q289,FIND(":",Sync!$Q289)+1,2)),2),"0000"))))</f>
        <v/>
      </c>
      <c r="G292">
        <f>IF(OR($E292="",$E292="نامعتبر"),"",IF(Sync!$S289="","",Sync!$S289))</f>
        <v/>
      </c>
      <c r="H292">
        <f>IF(OR($E292="",$E292="نامعتبر"),"",IF(Sync!$R289="","",Sync!$R289))</f>
        <v/>
      </c>
      <c r="I292">
        <f>IF(OR($E292="",$E292="نامعتبر"),"",IF(Sync!$T289="","",Sync!$T289))</f>
        <v/>
      </c>
      <c r="J292">
        <f>IF(OR($E292="",$E292="نامعتبر"),"",IF(Sync!$U289="","",Sync!$U289))</f>
        <v/>
      </c>
      <c r="K292">
        <f>IF(OR($E292="",$E292="نامعتبر"),"",IF(Sync!$V289="","",IFERROR(INDEX(SubCodes,MATCH(Sync!$V289,SubTitles,0)),Sync!$V289)))</f>
        <v/>
      </c>
      <c r="L292">
        <f>IF(OR($E292="",$E292="نامعتبر"),"",IF(Sync!$W289="",0,Sync!$W289))</f>
        <v/>
      </c>
      <c r="M292">
        <f>IF(OR($E292="",$E292="نامعتبر"),"",IF(Sync!$X289="",0,Sync!$X289))</f>
        <v/>
      </c>
      <c r="N292">
        <f>IF(OR($E292="",$E292="نامعتبر"),"",IF(AND($J292="هزینه",$K292&lt;&gt;""),1,0))</f>
        <v/>
      </c>
      <c r="O292">
        <f>IF($N292=0,"",LEFT($E292,4)&amp;MID($E292,6,2)&amp;RIGHT($E292,2)&amp;$F292&amp;"|"&amp;"1"&amp;RIGHT("00000"&amp;284,5))</f>
        <v/>
      </c>
      <c r="P292">
        <f>IF($O292="","",COUNTIFS(ExpSub,$K292,ExpKey,"&lt;"&amp;$O292)+1)</f>
        <v/>
      </c>
      <c r="Q292">
        <f>IF($P292="","",$K292&amp;"|"&amp;RIGHT("000000"&amp;$P292,6))</f>
        <v/>
      </c>
    </row>
    <row r="293">
      <c r="A293">
        <f>IF(Sync!$P290="","",Sync!$P290)</f>
        <v/>
      </c>
      <c r="B293">
        <f>IF($A293="","",IF(ISNUMBER($A293),IF(AND($A293&gt;=10000101,$A293&lt;=99991231),INT($A293/10000),""),IFERROR(VALUE(TRIM(LEFT($A293,FIND("/",$A293)-1))),"")))</f>
        <v/>
      </c>
      <c r="C293">
        <f>IF(OR($A293="",$B293=""),"",IF(ISNUMBER($A293),INT(MOD($A293,10000)/100),IFERROR(VALUE(TRIM(LEFT(MID($A293,FIND("/",$A293)+1,20),FIND("/",MID($A293,FIND("/",$A293)+1,20))-1))),"")))</f>
        <v/>
      </c>
      <c r="D293">
        <f>IF(OR($A293="",$B293=""),"",IF(ISNUMBER($A293),MOD($A293,100),IFERROR(VALUE(TRIM(MID(MID($A293,FIND("/",$A293)+1,20),FIND("/",MID($A293,FIND("/",$A293)+1,20))+1,20))),"")))</f>
        <v/>
      </c>
      <c r="E293">
        <f>IF($A293="","",IF(OR($B293="",$C293="",$D293="",$B293&lt;1300,$B293&gt;1500,$C293&lt;1,$C293&gt;12,$D293&lt;1,$D293&gt;31),"نامعتبر",RIGHT("0000"&amp;$B293,4)&amp;"/"&amp;RIGHT("00"&amp;$C293,2)&amp;"/"&amp;RIGHT("00"&amp;$D293,2)))</f>
        <v/>
      </c>
      <c r="F293">
        <f>IF(OR($E293="",$E293="نامعتبر"),"",IF(Sync!$Q290="","0000",IF(AND(ISNUMBER(Sync!$Q290),Sync!$Q290&gt;=0,Sync!$Q290&lt;1),RIGHT("00"&amp;HOUR(Sync!$Q290),2)&amp;RIGHT("00"&amp;MINUTE(Sync!$Q290),2),IFERROR(RIGHT("00"&amp;VALUE(LEFT(Sync!$Q290,FIND(":",Sync!$Q290)-1)),2)&amp;RIGHT("00"&amp;VALUE(MID(Sync!$Q290,FIND(":",Sync!$Q290)+1,2)),2),"0000"))))</f>
        <v/>
      </c>
      <c r="G293">
        <f>IF(OR($E293="",$E293="نامعتبر"),"",IF(Sync!$S290="","",Sync!$S290))</f>
        <v/>
      </c>
      <c r="H293">
        <f>IF(OR($E293="",$E293="نامعتبر"),"",IF(Sync!$R290="","",Sync!$R290))</f>
        <v/>
      </c>
      <c r="I293">
        <f>IF(OR($E293="",$E293="نامعتبر"),"",IF(Sync!$T290="","",Sync!$T290))</f>
        <v/>
      </c>
      <c r="J293">
        <f>IF(OR($E293="",$E293="نامعتبر"),"",IF(Sync!$U290="","",Sync!$U290))</f>
        <v/>
      </c>
      <c r="K293">
        <f>IF(OR($E293="",$E293="نامعتبر"),"",IF(Sync!$V290="","",IFERROR(INDEX(SubCodes,MATCH(Sync!$V290,SubTitles,0)),Sync!$V290)))</f>
        <v/>
      </c>
      <c r="L293">
        <f>IF(OR($E293="",$E293="نامعتبر"),"",IF(Sync!$W290="",0,Sync!$W290))</f>
        <v/>
      </c>
      <c r="M293">
        <f>IF(OR($E293="",$E293="نامعتبر"),"",IF(Sync!$X290="",0,Sync!$X290))</f>
        <v/>
      </c>
      <c r="N293">
        <f>IF(OR($E293="",$E293="نامعتبر"),"",IF(AND($J293="هزینه",$K293&lt;&gt;""),1,0))</f>
        <v/>
      </c>
      <c r="O293">
        <f>IF($N293=0,"",LEFT($E293,4)&amp;MID($E293,6,2)&amp;RIGHT($E293,2)&amp;$F293&amp;"|"&amp;"1"&amp;RIGHT("00000"&amp;285,5))</f>
        <v/>
      </c>
      <c r="P293">
        <f>IF($O293="","",COUNTIFS(ExpSub,$K293,ExpKey,"&lt;"&amp;$O293)+1)</f>
        <v/>
      </c>
      <c r="Q293">
        <f>IF($P293="","",$K293&amp;"|"&amp;RIGHT("000000"&amp;$P293,6))</f>
        <v/>
      </c>
    </row>
    <row r="294">
      <c r="A294">
        <f>IF(Sync!$P291="","",Sync!$P291)</f>
        <v/>
      </c>
      <c r="B294">
        <f>IF($A294="","",IF(ISNUMBER($A294),IF(AND($A294&gt;=10000101,$A294&lt;=99991231),INT($A294/10000),""),IFERROR(VALUE(TRIM(LEFT($A294,FIND("/",$A294)-1))),"")))</f>
        <v/>
      </c>
      <c r="C294">
        <f>IF(OR($A294="",$B294=""),"",IF(ISNUMBER($A294),INT(MOD($A294,10000)/100),IFERROR(VALUE(TRIM(LEFT(MID($A294,FIND("/",$A294)+1,20),FIND("/",MID($A294,FIND("/",$A294)+1,20))-1))),"")))</f>
        <v/>
      </c>
      <c r="D294">
        <f>IF(OR($A294="",$B294=""),"",IF(ISNUMBER($A294),MOD($A294,100),IFERROR(VALUE(TRIM(MID(MID($A294,FIND("/",$A294)+1,20),FIND("/",MID($A294,FIND("/",$A294)+1,20))+1,20))),"")))</f>
        <v/>
      </c>
      <c r="E294">
        <f>IF($A294="","",IF(OR($B294="",$C294="",$D294="",$B294&lt;1300,$B294&gt;1500,$C294&lt;1,$C294&gt;12,$D294&lt;1,$D294&gt;31),"نامعتبر",RIGHT("0000"&amp;$B294,4)&amp;"/"&amp;RIGHT("00"&amp;$C294,2)&amp;"/"&amp;RIGHT("00"&amp;$D294,2)))</f>
        <v/>
      </c>
      <c r="F294">
        <f>IF(OR($E294="",$E294="نامعتبر"),"",IF(Sync!$Q291="","0000",IF(AND(ISNUMBER(Sync!$Q291),Sync!$Q291&gt;=0,Sync!$Q291&lt;1),RIGHT("00"&amp;HOUR(Sync!$Q291),2)&amp;RIGHT("00"&amp;MINUTE(Sync!$Q291),2),IFERROR(RIGHT("00"&amp;VALUE(LEFT(Sync!$Q291,FIND(":",Sync!$Q291)-1)),2)&amp;RIGHT("00"&amp;VALUE(MID(Sync!$Q291,FIND(":",Sync!$Q291)+1,2)),2),"0000"))))</f>
        <v/>
      </c>
      <c r="G294">
        <f>IF(OR($E294="",$E294="نامعتبر"),"",IF(Sync!$S291="","",Sync!$S291))</f>
        <v/>
      </c>
      <c r="H294">
        <f>IF(OR($E294="",$E294="نامعتبر"),"",IF(Sync!$R291="","",Sync!$R291))</f>
        <v/>
      </c>
      <c r="I294">
        <f>IF(OR($E294="",$E294="نامعتبر"),"",IF(Sync!$T291="","",Sync!$T291))</f>
        <v/>
      </c>
      <c r="J294">
        <f>IF(OR($E294="",$E294="نامعتبر"),"",IF(Sync!$U291="","",Sync!$U291))</f>
        <v/>
      </c>
      <c r="K294">
        <f>IF(OR($E294="",$E294="نامعتبر"),"",IF(Sync!$V291="","",IFERROR(INDEX(SubCodes,MATCH(Sync!$V291,SubTitles,0)),Sync!$V291)))</f>
        <v/>
      </c>
      <c r="L294">
        <f>IF(OR($E294="",$E294="نامعتبر"),"",IF(Sync!$W291="",0,Sync!$W291))</f>
        <v/>
      </c>
      <c r="M294">
        <f>IF(OR($E294="",$E294="نامعتبر"),"",IF(Sync!$X291="",0,Sync!$X291))</f>
        <v/>
      </c>
      <c r="N294">
        <f>IF(OR($E294="",$E294="نامعتبر"),"",IF(AND($J294="هزینه",$K294&lt;&gt;""),1,0))</f>
        <v/>
      </c>
      <c r="O294">
        <f>IF($N294=0,"",LEFT($E294,4)&amp;MID($E294,6,2)&amp;RIGHT($E294,2)&amp;$F294&amp;"|"&amp;"1"&amp;RIGHT("00000"&amp;286,5))</f>
        <v/>
      </c>
      <c r="P294">
        <f>IF($O294="","",COUNTIFS(ExpSub,$K294,ExpKey,"&lt;"&amp;$O294)+1)</f>
        <v/>
      </c>
      <c r="Q294">
        <f>IF($P294="","",$K294&amp;"|"&amp;RIGHT("000000"&amp;$P294,6))</f>
        <v/>
      </c>
    </row>
    <row r="295">
      <c r="A295">
        <f>IF(Sync!$P292="","",Sync!$P292)</f>
        <v/>
      </c>
      <c r="B295">
        <f>IF($A295="","",IF(ISNUMBER($A295),IF(AND($A295&gt;=10000101,$A295&lt;=99991231),INT($A295/10000),""),IFERROR(VALUE(TRIM(LEFT($A295,FIND("/",$A295)-1))),"")))</f>
        <v/>
      </c>
      <c r="C295">
        <f>IF(OR($A295="",$B295=""),"",IF(ISNUMBER($A295),INT(MOD($A295,10000)/100),IFERROR(VALUE(TRIM(LEFT(MID($A295,FIND("/",$A295)+1,20),FIND("/",MID($A295,FIND("/",$A295)+1,20))-1))),"")))</f>
        <v/>
      </c>
      <c r="D295">
        <f>IF(OR($A295="",$B295=""),"",IF(ISNUMBER($A295),MOD($A295,100),IFERROR(VALUE(TRIM(MID(MID($A295,FIND("/",$A295)+1,20),FIND("/",MID($A295,FIND("/",$A295)+1,20))+1,20))),"")))</f>
        <v/>
      </c>
      <c r="E295">
        <f>IF($A295="","",IF(OR($B295="",$C295="",$D295="",$B295&lt;1300,$B295&gt;1500,$C295&lt;1,$C295&gt;12,$D295&lt;1,$D295&gt;31),"نامعتبر",RIGHT("0000"&amp;$B295,4)&amp;"/"&amp;RIGHT("00"&amp;$C295,2)&amp;"/"&amp;RIGHT("00"&amp;$D295,2)))</f>
        <v/>
      </c>
      <c r="F295">
        <f>IF(OR($E295="",$E295="نامعتبر"),"",IF(Sync!$Q292="","0000",IF(AND(ISNUMBER(Sync!$Q292),Sync!$Q292&gt;=0,Sync!$Q292&lt;1),RIGHT("00"&amp;HOUR(Sync!$Q292),2)&amp;RIGHT("00"&amp;MINUTE(Sync!$Q292),2),IFERROR(RIGHT("00"&amp;VALUE(LEFT(Sync!$Q292,FIND(":",Sync!$Q292)-1)),2)&amp;RIGHT("00"&amp;VALUE(MID(Sync!$Q292,FIND(":",Sync!$Q292)+1,2)),2),"0000"))))</f>
        <v/>
      </c>
      <c r="G295">
        <f>IF(OR($E295="",$E295="نامعتبر"),"",IF(Sync!$S292="","",Sync!$S292))</f>
        <v/>
      </c>
      <c r="H295">
        <f>IF(OR($E295="",$E295="نامعتبر"),"",IF(Sync!$R292="","",Sync!$R292))</f>
        <v/>
      </c>
      <c r="I295">
        <f>IF(OR($E295="",$E295="نامعتبر"),"",IF(Sync!$T292="","",Sync!$T292))</f>
        <v/>
      </c>
      <c r="J295">
        <f>IF(OR($E295="",$E295="نامعتبر"),"",IF(Sync!$U292="","",Sync!$U292))</f>
        <v/>
      </c>
      <c r="K295">
        <f>IF(OR($E295="",$E295="نامعتبر"),"",IF(Sync!$V292="","",IFERROR(INDEX(SubCodes,MATCH(Sync!$V292,SubTitles,0)),Sync!$V292)))</f>
        <v/>
      </c>
      <c r="L295">
        <f>IF(OR($E295="",$E295="نامعتبر"),"",IF(Sync!$W292="",0,Sync!$W292))</f>
        <v/>
      </c>
      <c r="M295">
        <f>IF(OR($E295="",$E295="نامعتبر"),"",IF(Sync!$X292="",0,Sync!$X292))</f>
        <v/>
      </c>
      <c r="N295">
        <f>IF(OR($E295="",$E295="نامعتبر"),"",IF(AND($J295="هزینه",$K295&lt;&gt;""),1,0))</f>
        <v/>
      </c>
      <c r="O295">
        <f>IF($N295=0,"",LEFT($E295,4)&amp;MID($E295,6,2)&amp;RIGHT($E295,2)&amp;$F295&amp;"|"&amp;"1"&amp;RIGHT("00000"&amp;287,5))</f>
        <v/>
      </c>
      <c r="P295">
        <f>IF($O295="","",COUNTIFS(ExpSub,$K295,ExpKey,"&lt;"&amp;$O295)+1)</f>
        <v/>
      </c>
      <c r="Q295">
        <f>IF($P295="","",$K295&amp;"|"&amp;RIGHT("000000"&amp;$P295,6))</f>
        <v/>
      </c>
    </row>
    <row r="296">
      <c r="A296">
        <f>IF(Sync!$P293="","",Sync!$P293)</f>
        <v/>
      </c>
      <c r="B296">
        <f>IF($A296="","",IF(ISNUMBER($A296),IF(AND($A296&gt;=10000101,$A296&lt;=99991231),INT($A296/10000),""),IFERROR(VALUE(TRIM(LEFT($A296,FIND("/",$A296)-1))),"")))</f>
        <v/>
      </c>
      <c r="C296">
        <f>IF(OR($A296="",$B296=""),"",IF(ISNUMBER($A296),INT(MOD($A296,10000)/100),IFERROR(VALUE(TRIM(LEFT(MID($A296,FIND("/",$A296)+1,20),FIND("/",MID($A296,FIND("/",$A296)+1,20))-1))),"")))</f>
        <v/>
      </c>
      <c r="D296">
        <f>IF(OR($A296="",$B296=""),"",IF(ISNUMBER($A296),MOD($A296,100),IFERROR(VALUE(TRIM(MID(MID($A296,FIND("/",$A296)+1,20),FIND("/",MID($A296,FIND("/",$A296)+1,20))+1,20))),"")))</f>
        <v/>
      </c>
      <c r="E296">
        <f>IF($A296="","",IF(OR($B296="",$C296="",$D296="",$B296&lt;1300,$B296&gt;1500,$C296&lt;1,$C296&gt;12,$D296&lt;1,$D296&gt;31),"نامعتبر",RIGHT("0000"&amp;$B296,4)&amp;"/"&amp;RIGHT("00"&amp;$C296,2)&amp;"/"&amp;RIGHT("00"&amp;$D296,2)))</f>
        <v/>
      </c>
      <c r="F296">
        <f>IF(OR($E296="",$E296="نامعتبر"),"",IF(Sync!$Q293="","0000",IF(AND(ISNUMBER(Sync!$Q293),Sync!$Q293&gt;=0,Sync!$Q293&lt;1),RIGHT("00"&amp;HOUR(Sync!$Q293),2)&amp;RIGHT("00"&amp;MINUTE(Sync!$Q293),2),IFERROR(RIGHT("00"&amp;VALUE(LEFT(Sync!$Q293,FIND(":",Sync!$Q293)-1)),2)&amp;RIGHT("00"&amp;VALUE(MID(Sync!$Q293,FIND(":",Sync!$Q293)+1,2)),2),"0000"))))</f>
        <v/>
      </c>
      <c r="G296">
        <f>IF(OR($E296="",$E296="نامعتبر"),"",IF(Sync!$S293="","",Sync!$S293))</f>
        <v/>
      </c>
      <c r="H296">
        <f>IF(OR($E296="",$E296="نامعتبر"),"",IF(Sync!$R293="","",Sync!$R293))</f>
        <v/>
      </c>
      <c r="I296">
        <f>IF(OR($E296="",$E296="نامعتبر"),"",IF(Sync!$T293="","",Sync!$T293))</f>
        <v/>
      </c>
      <c r="J296">
        <f>IF(OR($E296="",$E296="نامعتبر"),"",IF(Sync!$U293="","",Sync!$U293))</f>
        <v/>
      </c>
      <c r="K296">
        <f>IF(OR($E296="",$E296="نامعتبر"),"",IF(Sync!$V293="","",IFERROR(INDEX(SubCodes,MATCH(Sync!$V293,SubTitles,0)),Sync!$V293)))</f>
        <v/>
      </c>
      <c r="L296">
        <f>IF(OR($E296="",$E296="نامعتبر"),"",IF(Sync!$W293="",0,Sync!$W293))</f>
        <v/>
      </c>
      <c r="M296">
        <f>IF(OR($E296="",$E296="نامعتبر"),"",IF(Sync!$X293="",0,Sync!$X293))</f>
        <v/>
      </c>
      <c r="N296">
        <f>IF(OR($E296="",$E296="نامعتبر"),"",IF(AND($J296="هزینه",$K296&lt;&gt;""),1,0))</f>
        <v/>
      </c>
      <c r="O296">
        <f>IF($N296=0,"",LEFT($E296,4)&amp;MID($E296,6,2)&amp;RIGHT($E296,2)&amp;$F296&amp;"|"&amp;"1"&amp;RIGHT("00000"&amp;288,5))</f>
        <v/>
      </c>
      <c r="P296">
        <f>IF($O296="","",COUNTIFS(ExpSub,$K296,ExpKey,"&lt;"&amp;$O296)+1)</f>
        <v/>
      </c>
      <c r="Q296">
        <f>IF($P296="","",$K296&amp;"|"&amp;RIGHT("000000"&amp;$P296,6))</f>
        <v/>
      </c>
    </row>
    <row r="297">
      <c r="A297">
        <f>IF(Sync!$P294="","",Sync!$P294)</f>
        <v/>
      </c>
      <c r="B297">
        <f>IF($A297="","",IF(ISNUMBER($A297),IF(AND($A297&gt;=10000101,$A297&lt;=99991231),INT($A297/10000),""),IFERROR(VALUE(TRIM(LEFT($A297,FIND("/",$A297)-1))),"")))</f>
        <v/>
      </c>
      <c r="C297">
        <f>IF(OR($A297="",$B297=""),"",IF(ISNUMBER($A297),INT(MOD($A297,10000)/100),IFERROR(VALUE(TRIM(LEFT(MID($A297,FIND("/",$A297)+1,20),FIND("/",MID($A297,FIND("/",$A297)+1,20))-1))),"")))</f>
        <v/>
      </c>
      <c r="D297">
        <f>IF(OR($A297="",$B297=""),"",IF(ISNUMBER($A297),MOD($A297,100),IFERROR(VALUE(TRIM(MID(MID($A297,FIND("/",$A297)+1,20),FIND("/",MID($A297,FIND("/",$A297)+1,20))+1,20))),"")))</f>
        <v/>
      </c>
      <c r="E297">
        <f>IF($A297="","",IF(OR($B297="",$C297="",$D297="",$B297&lt;1300,$B297&gt;1500,$C297&lt;1,$C297&gt;12,$D297&lt;1,$D297&gt;31),"نامعتبر",RIGHT("0000"&amp;$B297,4)&amp;"/"&amp;RIGHT("00"&amp;$C297,2)&amp;"/"&amp;RIGHT("00"&amp;$D297,2)))</f>
        <v/>
      </c>
      <c r="F297">
        <f>IF(OR($E297="",$E297="نامعتبر"),"",IF(Sync!$Q294="","0000",IF(AND(ISNUMBER(Sync!$Q294),Sync!$Q294&gt;=0,Sync!$Q294&lt;1),RIGHT("00"&amp;HOUR(Sync!$Q294),2)&amp;RIGHT("00"&amp;MINUTE(Sync!$Q294),2),IFERROR(RIGHT("00"&amp;VALUE(LEFT(Sync!$Q294,FIND(":",Sync!$Q294)-1)),2)&amp;RIGHT("00"&amp;VALUE(MID(Sync!$Q294,FIND(":",Sync!$Q294)+1,2)),2),"0000"))))</f>
        <v/>
      </c>
      <c r="G297">
        <f>IF(OR($E297="",$E297="نامعتبر"),"",IF(Sync!$S294="","",Sync!$S294))</f>
        <v/>
      </c>
      <c r="H297">
        <f>IF(OR($E297="",$E297="نامعتبر"),"",IF(Sync!$R294="","",Sync!$R294))</f>
        <v/>
      </c>
      <c r="I297">
        <f>IF(OR($E297="",$E297="نامعتبر"),"",IF(Sync!$T294="","",Sync!$T294))</f>
        <v/>
      </c>
      <c r="J297">
        <f>IF(OR($E297="",$E297="نامعتبر"),"",IF(Sync!$U294="","",Sync!$U294))</f>
        <v/>
      </c>
      <c r="K297">
        <f>IF(OR($E297="",$E297="نامعتبر"),"",IF(Sync!$V294="","",IFERROR(INDEX(SubCodes,MATCH(Sync!$V294,SubTitles,0)),Sync!$V294)))</f>
        <v/>
      </c>
      <c r="L297">
        <f>IF(OR($E297="",$E297="نامعتبر"),"",IF(Sync!$W294="",0,Sync!$W294))</f>
        <v/>
      </c>
      <c r="M297">
        <f>IF(OR($E297="",$E297="نامعتبر"),"",IF(Sync!$X294="",0,Sync!$X294))</f>
        <v/>
      </c>
      <c r="N297">
        <f>IF(OR($E297="",$E297="نامعتبر"),"",IF(AND($J297="هزینه",$K297&lt;&gt;""),1,0))</f>
        <v/>
      </c>
      <c r="O297">
        <f>IF($N297=0,"",LEFT($E297,4)&amp;MID($E297,6,2)&amp;RIGHT($E297,2)&amp;$F297&amp;"|"&amp;"1"&amp;RIGHT("00000"&amp;289,5))</f>
        <v/>
      </c>
      <c r="P297">
        <f>IF($O297="","",COUNTIFS(ExpSub,$K297,ExpKey,"&lt;"&amp;$O297)+1)</f>
        <v/>
      </c>
      <c r="Q297">
        <f>IF($P297="","",$K297&amp;"|"&amp;RIGHT("000000"&amp;$P297,6))</f>
        <v/>
      </c>
    </row>
    <row r="298">
      <c r="A298">
        <f>IF(Sync!$P295="","",Sync!$P295)</f>
        <v/>
      </c>
      <c r="B298">
        <f>IF($A298="","",IF(ISNUMBER($A298),IF(AND($A298&gt;=10000101,$A298&lt;=99991231),INT($A298/10000),""),IFERROR(VALUE(TRIM(LEFT($A298,FIND("/",$A298)-1))),"")))</f>
        <v/>
      </c>
      <c r="C298">
        <f>IF(OR($A298="",$B298=""),"",IF(ISNUMBER($A298),INT(MOD($A298,10000)/100),IFERROR(VALUE(TRIM(LEFT(MID($A298,FIND("/",$A298)+1,20),FIND("/",MID($A298,FIND("/",$A298)+1,20))-1))),"")))</f>
        <v/>
      </c>
      <c r="D298">
        <f>IF(OR($A298="",$B298=""),"",IF(ISNUMBER($A298),MOD($A298,100),IFERROR(VALUE(TRIM(MID(MID($A298,FIND("/",$A298)+1,20),FIND("/",MID($A298,FIND("/",$A298)+1,20))+1,20))),"")))</f>
        <v/>
      </c>
      <c r="E298">
        <f>IF($A298="","",IF(OR($B298="",$C298="",$D298="",$B298&lt;1300,$B298&gt;1500,$C298&lt;1,$C298&gt;12,$D298&lt;1,$D298&gt;31),"نامعتبر",RIGHT("0000"&amp;$B298,4)&amp;"/"&amp;RIGHT("00"&amp;$C298,2)&amp;"/"&amp;RIGHT("00"&amp;$D298,2)))</f>
        <v/>
      </c>
      <c r="F298">
        <f>IF(OR($E298="",$E298="نامعتبر"),"",IF(Sync!$Q295="","0000",IF(AND(ISNUMBER(Sync!$Q295),Sync!$Q295&gt;=0,Sync!$Q295&lt;1),RIGHT("00"&amp;HOUR(Sync!$Q295),2)&amp;RIGHT("00"&amp;MINUTE(Sync!$Q295),2),IFERROR(RIGHT("00"&amp;VALUE(LEFT(Sync!$Q295,FIND(":",Sync!$Q295)-1)),2)&amp;RIGHT("00"&amp;VALUE(MID(Sync!$Q295,FIND(":",Sync!$Q295)+1,2)),2),"0000"))))</f>
        <v/>
      </c>
      <c r="G298">
        <f>IF(OR($E298="",$E298="نامعتبر"),"",IF(Sync!$S295="","",Sync!$S295))</f>
        <v/>
      </c>
      <c r="H298">
        <f>IF(OR($E298="",$E298="نامعتبر"),"",IF(Sync!$R295="","",Sync!$R295))</f>
        <v/>
      </c>
      <c r="I298">
        <f>IF(OR($E298="",$E298="نامعتبر"),"",IF(Sync!$T295="","",Sync!$T295))</f>
        <v/>
      </c>
      <c r="J298">
        <f>IF(OR($E298="",$E298="نامعتبر"),"",IF(Sync!$U295="","",Sync!$U295))</f>
        <v/>
      </c>
      <c r="K298">
        <f>IF(OR($E298="",$E298="نامعتبر"),"",IF(Sync!$V295="","",IFERROR(INDEX(SubCodes,MATCH(Sync!$V295,SubTitles,0)),Sync!$V295)))</f>
        <v/>
      </c>
      <c r="L298">
        <f>IF(OR($E298="",$E298="نامعتبر"),"",IF(Sync!$W295="",0,Sync!$W295))</f>
        <v/>
      </c>
      <c r="M298">
        <f>IF(OR($E298="",$E298="نامعتبر"),"",IF(Sync!$X295="",0,Sync!$X295))</f>
        <v/>
      </c>
      <c r="N298">
        <f>IF(OR($E298="",$E298="نامعتبر"),"",IF(AND($J298="هزینه",$K298&lt;&gt;""),1,0))</f>
        <v/>
      </c>
      <c r="O298">
        <f>IF($N298=0,"",LEFT($E298,4)&amp;MID($E298,6,2)&amp;RIGHT($E298,2)&amp;$F298&amp;"|"&amp;"1"&amp;RIGHT("00000"&amp;290,5))</f>
        <v/>
      </c>
      <c r="P298">
        <f>IF($O298="","",COUNTIFS(ExpSub,$K298,ExpKey,"&lt;"&amp;$O298)+1)</f>
        <v/>
      </c>
      <c r="Q298">
        <f>IF($P298="","",$K298&amp;"|"&amp;RIGHT("000000"&amp;$P298,6))</f>
        <v/>
      </c>
    </row>
    <row r="299">
      <c r="A299">
        <f>IF(Sync!$P296="","",Sync!$P296)</f>
        <v/>
      </c>
      <c r="B299">
        <f>IF($A299="","",IF(ISNUMBER($A299),IF(AND($A299&gt;=10000101,$A299&lt;=99991231),INT($A299/10000),""),IFERROR(VALUE(TRIM(LEFT($A299,FIND("/",$A299)-1))),"")))</f>
        <v/>
      </c>
      <c r="C299">
        <f>IF(OR($A299="",$B299=""),"",IF(ISNUMBER($A299),INT(MOD($A299,10000)/100),IFERROR(VALUE(TRIM(LEFT(MID($A299,FIND("/",$A299)+1,20),FIND("/",MID($A299,FIND("/",$A299)+1,20))-1))),"")))</f>
        <v/>
      </c>
      <c r="D299">
        <f>IF(OR($A299="",$B299=""),"",IF(ISNUMBER($A299),MOD($A299,100),IFERROR(VALUE(TRIM(MID(MID($A299,FIND("/",$A299)+1,20),FIND("/",MID($A299,FIND("/",$A299)+1,20))+1,20))),"")))</f>
        <v/>
      </c>
      <c r="E299">
        <f>IF($A299="","",IF(OR($B299="",$C299="",$D299="",$B299&lt;1300,$B299&gt;1500,$C299&lt;1,$C299&gt;12,$D299&lt;1,$D299&gt;31),"نامعتبر",RIGHT("0000"&amp;$B299,4)&amp;"/"&amp;RIGHT("00"&amp;$C299,2)&amp;"/"&amp;RIGHT("00"&amp;$D299,2)))</f>
        <v/>
      </c>
      <c r="F299">
        <f>IF(OR($E299="",$E299="نامعتبر"),"",IF(Sync!$Q296="","0000",IF(AND(ISNUMBER(Sync!$Q296),Sync!$Q296&gt;=0,Sync!$Q296&lt;1),RIGHT("00"&amp;HOUR(Sync!$Q296),2)&amp;RIGHT("00"&amp;MINUTE(Sync!$Q296),2),IFERROR(RIGHT("00"&amp;VALUE(LEFT(Sync!$Q296,FIND(":",Sync!$Q296)-1)),2)&amp;RIGHT("00"&amp;VALUE(MID(Sync!$Q296,FIND(":",Sync!$Q296)+1,2)),2),"0000"))))</f>
        <v/>
      </c>
      <c r="G299">
        <f>IF(OR($E299="",$E299="نامعتبر"),"",IF(Sync!$S296="","",Sync!$S296))</f>
        <v/>
      </c>
      <c r="H299">
        <f>IF(OR($E299="",$E299="نامعتبر"),"",IF(Sync!$R296="","",Sync!$R296))</f>
        <v/>
      </c>
      <c r="I299">
        <f>IF(OR($E299="",$E299="نامعتبر"),"",IF(Sync!$T296="","",Sync!$T296))</f>
        <v/>
      </c>
      <c r="J299">
        <f>IF(OR($E299="",$E299="نامعتبر"),"",IF(Sync!$U296="","",Sync!$U296))</f>
        <v/>
      </c>
      <c r="K299">
        <f>IF(OR($E299="",$E299="نامعتبر"),"",IF(Sync!$V296="","",IFERROR(INDEX(SubCodes,MATCH(Sync!$V296,SubTitles,0)),Sync!$V296)))</f>
        <v/>
      </c>
      <c r="L299">
        <f>IF(OR($E299="",$E299="نامعتبر"),"",IF(Sync!$W296="",0,Sync!$W296))</f>
        <v/>
      </c>
      <c r="M299">
        <f>IF(OR($E299="",$E299="نامعتبر"),"",IF(Sync!$X296="",0,Sync!$X296))</f>
        <v/>
      </c>
      <c r="N299">
        <f>IF(OR($E299="",$E299="نامعتبر"),"",IF(AND($J299="هزینه",$K299&lt;&gt;""),1,0))</f>
        <v/>
      </c>
      <c r="O299">
        <f>IF($N299=0,"",LEFT($E299,4)&amp;MID($E299,6,2)&amp;RIGHT($E299,2)&amp;$F299&amp;"|"&amp;"1"&amp;RIGHT("00000"&amp;291,5))</f>
        <v/>
      </c>
      <c r="P299">
        <f>IF($O299="","",COUNTIFS(ExpSub,$K299,ExpKey,"&lt;"&amp;$O299)+1)</f>
        <v/>
      </c>
      <c r="Q299">
        <f>IF($P299="","",$K299&amp;"|"&amp;RIGHT("000000"&amp;$P299,6))</f>
        <v/>
      </c>
    </row>
    <row r="300">
      <c r="A300">
        <f>IF(Sync!$P297="","",Sync!$P297)</f>
        <v/>
      </c>
      <c r="B300">
        <f>IF($A300="","",IF(ISNUMBER($A300),IF(AND($A300&gt;=10000101,$A300&lt;=99991231),INT($A300/10000),""),IFERROR(VALUE(TRIM(LEFT($A300,FIND("/",$A300)-1))),"")))</f>
        <v/>
      </c>
      <c r="C300">
        <f>IF(OR($A300="",$B300=""),"",IF(ISNUMBER($A300),INT(MOD($A300,10000)/100),IFERROR(VALUE(TRIM(LEFT(MID($A300,FIND("/",$A300)+1,20),FIND("/",MID($A300,FIND("/",$A300)+1,20))-1))),"")))</f>
        <v/>
      </c>
      <c r="D300">
        <f>IF(OR($A300="",$B300=""),"",IF(ISNUMBER($A300),MOD($A300,100),IFERROR(VALUE(TRIM(MID(MID($A300,FIND("/",$A300)+1,20),FIND("/",MID($A300,FIND("/",$A300)+1,20))+1,20))),"")))</f>
        <v/>
      </c>
      <c r="E300">
        <f>IF($A300="","",IF(OR($B300="",$C300="",$D300="",$B300&lt;1300,$B300&gt;1500,$C300&lt;1,$C300&gt;12,$D300&lt;1,$D300&gt;31),"نامعتبر",RIGHT("0000"&amp;$B300,4)&amp;"/"&amp;RIGHT("00"&amp;$C300,2)&amp;"/"&amp;RIGHT("00"&amp;$D300,2)))</f>
        <v/>
      </c>
      <c r="F300">
        <f>IF(OR($E300="",$E300="نامعتبر"),"",IF(Sync!$Q297="","0000",IF(AND(ISNUMBER(Sync!$Q297),Sync!$Q297&gt;=0,Sync!$Q297&lt;1),RIGHT("00"&amp;HOUR(Sync!$Q297),2)&amp;RIGHT("00"&amp;MINUTE(Sync!$Q297),2),IFERROR(RIGHT("00"&amp;VALUE(LEFT(Sync!$Q297,FIND(":",Sync!$Q297)-1)),2)&amp;RIGHT("00"&amp;VALUE(MID(Sync!$Q297,FIND(":",Sync!$Q297)+1,2)),2),"0000"))))</f>
        <v/>
      </c>
      <c r="G300">
        <f>IF(OR($E300="",$E300="نامعتبر"),"",IF(Sync!$S297="","",Sync!$S297))</f>
        <v/>
      </c>
      <c r="H300">
        <f>IF(OR($E300="",$E300="نامعتبر"),"",IF(Sync!$R297="","",Sync!$R297))</f>
        <v/>
      </c>
      <c r="I300">
        <f>IF(OR($E300="",$E300="نامعتبر"),"",IF(Sync!$T297="","",Sync!$T297))</f>
        <v/>
      </c>
      <c r="J300">
        <f>IF(OR($E300="",$E300="نامعتبر"),"",IF(Sync!$U297="","",Sync!$U297))</f>
        <v/>
      </c>
      <c r="K300">
        <f>IF(OR($E300="",$E300="نامعتبر"),"",IF(Sync!$V297="","",IFERROR(INDEX(SubCodes,MATCH(Sync!$V297,SubTitles,0)),Sync!$V297)))</f>
        <v/>
      </c>
      <c r="L300">
        <f>IF(OR($E300="",$E300="نامعتبر"),"",IF(Sync!$W297="",0,Sync!$W297))</f>
        <v/>
      </c>
      <c r="M300">
        <f>IF(OR($E300="",$E300="نامعتبر"),"",IF(Sync!$X297="",0,Sync!$X297))</f>
        <v/>
      </c>
      <c r="N300">
        <f>IF(OR($E300="",$E300="نامعتبر"),"",IF(AND($J300="هزینه",$K300&lt;&gt;""),1,0))</f>
        <v/>
      </c>
      <c r="O300">
        <f>IF($N300=0,"",LEFT($E300,4)&amp;MID($E300,6,2)&amp;RIGHT($E300,2)&amp;$F300&amp;"|"&amp;"1"&amp;RIGHT("00000"&amp;292,5))</f>
        <v/>
      </c>
      <c r="P300">
        <f>IF($O300="","",COUNTIFS(ExpSub,$K300,ExpKey,"&lt;"&amp;$O300)+1)</f>
        <v/>
      </c>
      <c r="Q300">
        <f>IF($P300="","",$K300&amp;"|"&amp;RIGHT("000000"&amp;$P300,6))</f>
        <v/>
      </c>
    </row>
    <row r="301">
      <c r="A301">
        <f>IF(Sync!$P298="","",Sync!$P298)</f>
        <v/>
      </c>
      <c r="B301">
        <f>IF($A301="","",IF(ISNUMBER($A301),IF(AND($A301&gt;=10000101,$A301&lt;=99991231),INT($A301/10000),""),IFERROR(VALUE(TRIM(LEFT($A301,FIND("/",$A301)-1))),"")))</f>
        <v/>
      </c>
      <c r="C301">
        <f>IF(OR($A301="",$B301=""),"",IF(ISNUMBER($A301),INT(MOD($A301,10000)/100),IFERROR(VALUE(TRIM(LEFT(MID($A301,FIND("/",$A301)+1,20),FIND("/",MID($A301,FIND("/",$A301)+1,20))-1))),"")))</f>
        <v/>
      </c>
      <c r="D301">
        <f>IF(OR($A301="",$B301=""),"",IF(ISNUMBER($A301),MOD($A301,100),IFERROR(VALUE(TRIM(MID(MID($A301,FIND("/",$A301)+1,20),FIND("/",MID($A301,FIND("/",$A301)+1,20))+1,20))),"")))</f>
        <v/>
      </c>
      <c r="E301">
        <f>IF($A301="","",IF(OR($B301="",$C301="",$D301="",$B301&lt;1300,$B301&gt;1500,$C301&lt;1,$C301&gt;12,$D301&lt;1,$D301&gt;31),"نامعتبر",RIGHT("0000"&amp;$B301,4)&amp;"/"&amp;RIGHT("00"&amp;$C301,2)&amp;"/"&amp;RIGHT("00"&amp;$D301,2)))</f>
        <v/>
      </c>
      <c r="F301">
        <f>IF(OR($E301="",$E301="نامعتبر"),"",IF(Sync!$Q298="","0000",IF(AND(ISNUMBER(Sync!$Q298),Sync!$Q298&gt;=0,Sync!$Q298&lt;1),RIGHT("00"&amp;HOUR(Sync!$Q298),2)&amp;RIGHT("00"&amp;MINUTE(Sync!$Q298),2),IFERROR(RIGHT("00"&amp;VALUE(LEFT(Sync!$Q298,FIND(":",Sync!$Q298)-1)),2)&amp;RIGHT("00"&amp;VALUE(MID(Sync!$Q298,FIND(":",Sync!$Q298)+1,2)),2),"0000"))))</f>
        <v/>
      </c>
      <c r="G301">
        <f>IF(OR($E301="",$E301="نامعتبر"),"",IF(Sync!$S298="","",Sync!$S298))</f>
        <v/>
      </c>
      <c r="H301">
        <f>IF(OR($E301="",$E301="نامعتبر"),"",IF(Sync!$R298="","",Sync!$R298))</f>
        <v/>
      </c>
      <c r="I301">
        <f>IF(OR($E301="",$E301="نامعتبر"),"",IF(Sync!$T298="","",Sync!$T298))</f>
        <v/>
      </c>
      <c r="J301">
        <f>IF(OR($E301="",$E301="نامعتبر"),"",IF(Sync!$U298="","",Sync!$U298))</f>
        <v/>
      </c>
      <c r="K301">
        <f>IF(OR($E301="",$E301="نامعتبر"),"",IF(Sync!$V298="","",IFERROR(INDEX(SubCodes,MATCH(Sync!$V298,SubTitles,0)),Sync!$V298)))</f>
        <v/>
      </c>
      <c r="L301">
        <f>IF(OR($E301="",$E301="نامعتبر"),"",IF(Sync!$W298="",0,Sync!$W298))</f>
        <v/>
      </c>
      <c r="M301">
        <f>IF(OR($E301="",$E301="نامعتبر"),"",IF(Sync!$X298="",0,Sync!$X298))</f>
        <v/>
      </c>
      <c r="N301">
        <f>IF(OR($E301="",$E301="نامعتبر"),"",IF(AND($J301="هزینه",$K301&lt;&gt;""),1,0))</f>
        <v/>
      </c>
      <c r="O301">
        <f>IF($N301=0,"",LEFT($E301,4)&amp;MID($E301,6,2)&amp;RIGHT($E301,2)&amp;$F301&amp;"|"&amp;"1"&amp;RIGHT("00000"&amp;293,5))</f>
        <v/>
      </c>
      <c r="P301">
        <f>IF($O301="","",COUNTIFS(ExpSub,$K301,ExpKey,"&lt;"&amp;$O301)+1)</f>
        <v/>
      </c>
      <c r="Q301">
        <f>IF($P301="","",$K301&amp;"|"&amp;RIGHT("000000"&amp;$P301,6))</f>
        <v/>
      </c>
    </row>
    <row r="302">
      <c r="A302">
        <f>IF(Sync!$P299="","",Sync!$P299)</f>
        <v/>
      </c>
      <c r="B302">
        <f>IF($A302="","",IF(ISNUMBER($A302),IF(AND($A302&gt;=10000101,$A302&lt;=99991231),INT($A302/10000),""),IFERROR(VALUE(TRIM(LEFT($A302,FIND("/",$A302)-1))),"")))</f>
        <v/>
      </c>
      <c r="C302">
        <f>IF(OR($A302="",$B302=""),"",IF(ISNUMBER($A302),INT(MOD($A302,10000)/100),IFERROR(VALUE(TRIM(LEFT(MID($A302,FIND("/",$A302)+1,20),FIND("/",MID($A302,FIND("/",$A302)+1,20))-1))),"")))</f>
        <v/>
      </c>
      <c r="D302">
        <f>IF(OR($A302="",$B302=""),"",IF(ISNUMBER($A302),MOD($A302,100),IFERROR(VALUE(TRIM(MID(MID($A302,FIND("/",$A302)+1,20),FIND("/",MID($A302,FIND("/",$A302)+1,20))+1,20))),"")))</f>
        <v/>
      </c>
      <c r="E302">
        <f>IF($A302="","",IF(OR($B302="",$C302="",$D302="",$B302&lt;1300,$B302&gt;1500,$C302&lt;1,$C302&gt;12,$D302&lt;1,$D302&gt;31),"نامعتبر",RIGHT("0000"&amp;$B302,4)&amp;"/"&amp;RIGHT("00"&amp;$C302,2)&amp;"/"&amp;RIGHT("00"&amp;$D302,2)))</f>
        <v/>
      </c>
      <c r="F302">
        <f>IF(OR($E302="",$E302="نامعتبر"),"",IF(Sync!$Q299="","0000",IF(AND(ISNUMBER(Sync!$Q299),Sync!$Q299&gt;=0,Sync!$Q299&lt;1),RIGHT("00"&amp;HOUR(Sync!$Q299),2)&amp;RIGHT("00"&amp;MINUTE(Sync!$Q299),2),IFERROR(RIGHT("00"&amp;VALUE(LEFT(Sync!$Q299,FIND(":",Sync!$Q299)-1)),2)&amp;RIGHT("00"&amp;VALUE(MID(Sync!$Q299,FIND(":",Sync!$Q299)+1,2)),2),"0000"))))</f>
        <v/>
      </c>
      <c r="G302">
        <f>IF(OR($E302="",$E302="نامعتبر"),"",IF(Sync!$S299="","",Sync!$S299))</f>
        <v/>
      </c>
      <c r="H302">
        <f>IF(OR($E302="",$E302="نامعتبر"),"",IF(Sync!$R299="","",Sync!$R299))</f>
        <v/>
      </c>
      <c r="I302">
        <f>IF(OR($E302="",$E302="نامعتبر"),"",IF(Sync!$T299="","",Sync!$T299))</f>
        <v/>
      </c>
      <c r="J302">
        <f>IF(OR($E302="",$E302="نامعتبر"),"",IF(Sync!$U299="","",Sync!$U299))</f>
        <v/>
      </c>
      <c r="K302">
        <f>IF(OR($E302="",$E302="نامعتبر"),"",IF(Sync!$V299="","",IFERROR(INDEX(SubCodes,MATCH(Sync!$V299,SubTitles,0)),Sync!$V299)))</f>
        <v/>
      </c>
      <c r="L302">
        <f>IF(OR($E302="",$E302="نامعتبر"),"",IF(Sync!$W299="",0,Sync!$W299))</f>
        <v/>
      </c>
      <c r="M302">
        <f>IF(OR($E302="",$E302="نامعتبر"),"",IF(Sync!$X299="",0,Sync!$X299))</f>
        <v/>
      </c>
      <c r="N302">
        <f>IF(OR($E302="",$E302="نامعتبر"),"",IF(AND($J302="هزینه",$K302&lt;&gt;""),1,0))</f>
        <v/>
      </c>
      <c r="O302">
        <f>IF($N302=0,"",LEFT($E302,4)&amp;MID($E302,6,2)&amp;RIGHT($E302,2)&amp;$F302&amp;"|"&amp;"1"&amp;RIGHT("00000"&amp;294,5))</f>
        <v/>
      </c>
      <c r="P302">
        <f>IF($O302="","",COUNTIFS(ExpSub,$K302,ExpKey,"&lt;"&amp;$O302)+1)</f>
        <v/>
      </c>
      <c r="Q302">
        <f>IF($P302="","",$K302&amp;"|"&amp;RIGHT("000000"&amp;$P302,6))</f>
        <v/>
      </c>
    </row>
    <row r="303">
      <c r="A303">
        <f>IF(Sync!$P300="","",Sync!$P300)</f>
        <v/>
      </c>
      <c r="B303">
        <f>IF($A303="","",IF(ISNUMBER($A303),IF(AND($A303&gt;=10000101,$A303&lt;=99991231),INT($A303/10000),""),IFERROR(VALUE(TRIM(LEFT($A303,FIND("/",$A303)-1))),"")))</f>
        <v/>
      </c>
      <c r="C303">
        <f>IF(OR($A303="",$B303=""),"",IF(ISNUMBER($A303),INT(MOD($A303,10000)/100),IFERROR(VALUE(TRIM(LEFT(MID($A303,FIND("/",$A303)+1,20),FIND("/",MID($A303,FIND("/",$A303)+1,20))-1))),"")))</f>
        <v/>
      </c>
      <c r="D303">
        <f>IF(OR($A303="",$B303=""),"",IF(ISNUMBER($A303),MOD($A303,100),IFERROR(VALUE(TRIM(MID(MID($A303,FIND("/",$A303)+1,20),FIND("/",MID($A303,FIND("/",$A303)+1,20))+1,20))),"")))</f>
        <v/>
      </c>
      <c r="E303">
        <f>IF($A303="","",IF(OR($B303="",$C303="",$D303="",$B303&lt;1300,$B303&gt;1500,$C303&lt;1,$C303&gt;12,$D303&lt;1,$D303&gt;31),"نامعتبر",RIGHT("0000"&amp;$B303,4)&amp;"/"&amp;RIGHT("00"&amp;$C303,2)&amp;"/"&amp;RIGHT("00"&amp;$D303,2)))</f>
        <v/>
      </c>
      <c r="F303">
        <f>IF(OR($E303="",$E303="نامعتبر"),"",IF(Sync!$Q300="","0000",IF(AND(ISNUMBER(Sync!$Q300),Sync!$Q300&gt;=0,Sync!$Q300&lt;1),RIGHT("00"&amp;HOUR(Sync!$Q300),2)&amp;RIGHT("00"&amp;MINUTE(Sync!$Q300),2),IFERROR(RIGHT("00"&amp;VALUE(LEFT(Sync!$Q300,FIND(":",Sync!$Q300)-1)),2)&amp;RIGHT("00"&amp;VALUE(MID(Sync!$Q300,FIND(":",Sync!$Q300)+1,2)),2),"0000"))))</f>
        <v/>
      </c>
      <c r="G303">
        <f>IF(OR($E303="",$E303="نامعتبر"),"",IF(Sync!$S300="","",Sync!$S300))</f>
        <v/>
      </c>
      <c r="H303">
        <f>IF(OR($E303="",$E303="نامعتبر"),"",IF(Sync!$R300="","",Sync!$R300))</f>
        <v/>
      </c>
      <c r="I303">
        <f>IF(OR($E303="",$E303="نامعتبر"),"",IF(Sync!$T300="","",Sync!$T300))</f>
        <v/>
      </c>
      <c r="J303">
        <f>IF(OR($E303="",$E303="نامعتبر"),"",IF(Sync!$U300="","",Sync!$U300))</f>
        <v/>
      </c>
      <c r="K303">
        <f>IF(OR($E303="",$E303="نامعتبر"),"",IF(Sync!$V300="","",IFERROR(INDEX(SubCodes,MATCH(Sync!$V300,SubTitles,0)),Sync!$V300)))</f>
        <v/>
      </c>
      <c r="L303">
        <f>IF(OR($E303="",$E303="نامعتبر"),"",IF(Sync!$W300="",0,Sync!$W300))</f>
        <v/>
      </c>
      <c r="M303">
        <f>IF(OR($E303="",$E303="نامعتبر"),"",IF(Sync!$X300="",0,Sync!$X300))</f>
        <v/>
      </c>
      <c r="N303">
        <f>IF(OR($E303="",$E303="نامعتبر"),"",IF(AND($J303="هزینه",$K303&lt;&gt;""),1,0))</f>
        <v/>
      </c>
      <c r="O303">
        <f>IF($N303=0,"",LEFT($E303,4)&amp;MID($E303,6,2)&amp;RIGHT($E303,2)&amp;$F303&amp;"|"&amp;"1"&amp;RIGHT("00000"&amp;295,5))</f>
        <v/>
      </c>
      <c r="P303">
        <f>IF($O303="","",COUNTIFS(ExpSub,$K303,ExpKey,"&lt;"&amp;$O303)+1)</f>
        <v/>
      </c>
      <c r="Q303">
        <f>IF($P303="","",$K303&amp;"|"&amp;RIGHT("000000"&amp;$P303,6))</f>
        <v/>
      </c>
    </row>
    <row r="304">
      <c r="A304">
        <f>IF(Sync!$P301="","",Sync!$P301)</f>
        <v/>
      </c>
      <c r="B304">
        <f>IF($A304="","",IF(ISNUMBER($A304),IF(AND($A304&gt;=10000101,$A304&lt;=99991231),INT($A304/10000),""),IFERROR(VALUE(TRIM(LEFT($A304,FIND("/",$A304)-1))),"")))</f>
        <v/>
      </c>
      <c r="C304">
        <f>IF(OR($A304="",$B304=""),"",IF(ISNUMBER($A304),INT(MOD($A304,10000)/100),IFERROR(VALUE(TRIM(LEFT(MID($A304,FIND("/",$A304)+1,20),FIND("/",MID($A304,FIND("/",$A304)+1,20))-1))),"")))</f>
        <v/>
      </c>
      <c r="D304">
        <f>IF(OR($A304="",$B304=""),"",IF(ISNUMBER($A304),MOD($A304,100),IFERROR(VALUE(TRIM(MID(MID($A304,FIND("/",$A304)+1,20),FIND("/",MID($A304,FIND("/",$A304)+1,20))+1,20))),"")))</f>
        <v/>
      </c>
      <c r="E304">
        <f>IF($A304="","",IF(OR($B304="",$C304="",$D304="",$B304&lt;1300,$B304&gt;1500,$C304&lt;1,$C304&gt;12,$D304&lt;1,$D304&gt;31),"نامعتبر",RIGHT("0000"&amp;$B304,4)&amp;"/"&amp;RIGHT("00"&amp;$C304,2)&amp;"/"&amp;RIGHT("00"&amp;$D304,2)))</f>
        <v/>
      </c>
      <c r="F304">
        <f>IF(OR($E304="",$E304="نامعتبر"),"",IF(Sync!$Q301="","0000",IF(AND(ISNUMBER(Sync!$Q301),Sync!$Q301&gt;=0,Sync!$Q301&lt;1),RIGHT("00"&amp;HOUR(Sync!$Q301),2)&amp;RIGHT("00"&amp;MINUTE(Sync!$Q301),2),IFERROR(RIGHT("00"&amp;VALUE(LEFT(Sync!$Q301,FIND(":",Sync!$Q301)-1)),2)&amp;RIGHT("00"&amp;VALUE(MID(Sync!$Q301,FIND(":",Sync!$Q301)+1,2)),2),"0000"))))</f>
        <v/>
      </c>
      <c r="G304">
        <f>IF(OR($E304="",$E304="نامعتبر"),"",IF(Sync!$S301="","",Sync!$S301))</f>
        <v/>
      </c>
      <c r="H304">
        <f>IF(OR($E304="",$E304="نامعتبر"),"",IF(Sync!$R301="","",Sync!$R301))</f>
        <v/>
      </c>
      <c r="I304">
        <f>IF(OR($E304="",$E304="نامعتبر"),"",IF(Sync!$T301="","",Sync!$T301))</f>
        <v/>
      </c>
      <c r="J304">
        <f>IF(OR($E304="",$E304="نامعتبر"),"",IF(Sync!$U301="","",Sync!$U301))</f>
        <v/>
      </c>
      <c r="K304">
        <f>IF(OR($E304="",$E304="نامعتبر"),"",IF(Sync!$V301="","",IFERROR(INDEX(SubCodes,MATCH(Sync!$V301,SubTitles,0)),Sync!$V301)))</f>
        <v/>
      </c>
      <c r="L304">
        <f>IF(OR($E304="",$E304="نامعتبر"),"",IF(Sync!$W301="",0,Sync!$W301))</f>
        <v/>
      </c>
      <c r="M304">
        <f>IF(OR($E304="",$E304="نامعتبر"),"",IF(Sync!$X301="",0,Sync!$X301))</f>
        <v/>
      </c>
      <c r="N304">
        <f>IF(OR($E304="",$E304="نامعتبر"),"",IF(AND($J304="هزینه",$K304&lt;&gt;""),1,0))</f>
        <v/>
      </c>
      <c r="O304">
        <f>IF($N304=0,"",LEFT($E304,4)&amp;MID($E304,6,2)&amp;RIGHT($E304,2)&amp;$F304&amp;"|"&amp;"1"&amp;RIGHT("00000"&amp;296,5))</f>
        <v/>
      </c>
      <c r="P304">
        <f>IF($O304="","",COUNTIFS(ExpSub,$K304,ExpKey,"&lt;"&amp;$O304)+1)</f>
        <v/>
      </c>
      <c r="Q304">
        <f>IF($P304="","",$K304&amp;"|"&amp;RIGHT("000000"&amp;$P304,6))</f>
        <v/>
      </c>
    </row>
    <row r="305">
      <c r="A305">
        <f>IF(Sync!$P302="","",Sync!$P302)</f>
        <v/>
      </c>
      <c r="B305">
        <f>IF($A305="","",IF(ISNUMBER($A305),IF(AND($A305&gt;=10000101,$A305&lt;=99991231),INT($A305/10000),""),IFERROR(VALUE(TRIM(LEFT($A305,FIND("/",$A305)-1))),"")))</f>
        <v/>
      </c>
      <c r="C305">
        <f>IF(OR($A305="",$B305=""),"",IF(ISNUMBER($A305),INT(MOD($A305,10000)/100),IFERROR(VALUE(TRIM(LEFT(MID($A305,FIND("/",$A305)+1,20),FIND("/",MID($A305,FIND("/",$A305)+1,20))-1))),"")))</f>
        <v/>
      </c>
      <c r="D305">
        <f>IF(OR($A305="",$B305=""),"",IF(ISNUMBER($A305),MOD($A305,100),IFERROR(VALUE(TRIM(MID(MID($A305,FIND("/",$A305)+1,20),FIND("/",MID($A305,FIND("/",$A305)+1,20))+1,20))),"")))</f>
        <v/>
      </c>
      <c r="E305">
        <f>IF($A305="","",IF(OR($B305="",$C305="",$D305="",$B305&lt;1300,$B305&gt;1500,$C305&lt;1,$C305&gt;12,$D305&lt;1,$D305&gt;31),"نامعتبر",RIGHT("0000"&amp;$B305,4)&amp;"/"&amp;RIGHT("00"&amp;$C305,2)&amp;"/"&amp;RIGHT("00"&amp;$D305,2)))</f>
        <v/>
      </c>
      <c r="F305">
        <f>IF(OR($E305="",$E305="نامعتبر"),"",IF(Sync!$Q302="","0000",IF(AND(ISNUMBER(Sync!$Q302),Sync!$Q302&gt;=0,Sync!$Q302&lt;1),RIGHT("00"&amp;HOUR(Sync!$Q302),2)&amp;RIGHT("00"&amp;MINUTE(Sync!$Q302),2),IFERROR(RIGHT("00"&amp;VALUE(LEFT(Sync!$Q302,FIND(":",Sync!$Q302)-1)),2)&amp;RIGHT("00"&amp;VALUE(MID(Sync!$Q302,FIND(":",Sync!$Q302)+1,2)),2),"0000"))))</f>
        <v/>
      </c>
      <c r="G305">
        <f>IF(OR($E305="",$E305="نامعتبر"),"",IF(Sync!$S302="","",Sync!$S302))</f>
        <v/>
      </c>
      <c r="H305">
        <f>IF(OR($E305="",$E305="نامعتبر"),"",IF(Sync!$R302="","",Sync!$R302))</f>
        <v/>
      </c>
      <c r="I305">
        <f>IF(OR($E305="",$E305="نامعتبر"),"",IF(Sync!$T302="","",Sync!$T302))</f>
        <v/>
      </c>
      <c r="J305">
        <f>IF(OR($E305="",$E305="نامعتبر"),"",IF(Sync!$U302="","",Sync!$U302))</f>
        <v/>
      </c>
      <c r="K305">
        <f>IF(OR($E305="",$E305="نامعتبر"),"",IF(Sync!$V302="","",IFERROR(INDEX(SubCodes,MATCH(Sync!$V302,SubTitles,0)),Sync!$V302)))</f>
        <v/>
      </c>
      <c r="L305">
        <f>IF(OR($E305="",$E305="نامعتبر"),"",IF(Sync!$W302="",0,Sync!$W302))</f>
        <v/>
      </c>
      <c r="M305">
        <f>IF(OR($E305="",$E305="نامعتبر"),"",IF(Sync!$X302="",0,Sync!$X302))</f>
        <v/>
      </c>
      <c r="N305">
        <f>IF(OR($E305="",$E305="نامعتبر"),"",IF(AND($J305="هزینه",$K305&lt;&gt;""),1,0))</f>
        <v/>
      </c>
      <c r="O305">
        <f>IF($N305=0,"",LEFT($E305,4)&amp;MID($E305,6,2)&amp;RIGHT($E305,2)&amp;$F305&amp;"|"&amp;"1"&amp;RIGHT("00000"&amp;297,5))</f>
        <v/>
      </c>
      <c r="P305">
        <f>IF($O305="","",COUNTIFS(ExpSub,$K305,ExpKey,"&lt;"&amp;$O305)+1)</f>
        <v/>
      </c>
      <c r="Q305">
        <f>IF($P305="","",$K305&amp;"|"&amp;RIGHT("000000"&amp;$P305,6))</f>
        <v/>
      </c>
    </row>
    <row r="306">
      <c r="A306">
        <f>IF(Sync!$P303="","",Sync!$P303)</f>
        <v/>
      </c>
      <c r="B306">
        <f>IF($A306="","",IF(ISNUMBER($A306),IF(AND($A306&gt;=10000101,$A306&lt;=99991231),INT($A306/10000),""),IFERROR(VALUE(TRIM(LEFT($A306,FIND("/",$A306)-1))),"")))</f>
        <v/>
      </c>
      <c r="C306">
        <f>IF(OR($A306="",$B306=""),"",IF(ISNUMBER($A306),INT(MOD($A306,10000)/100),IFERROR(VALUE(TRIM(LEFT(MID($A306,FIND("/",$A306)+1,20),FIND("/",MID($A306,FIND("/",$A306)+1,20))-1))),"")))</f>
        <v/>
      </c>
      <c r="D306">
        <f>IF(OR($A306="",$B306=""),"",IF(ISNUMBER($A306),MOD($A306,100),IFERROR(VALUE(TRIM(MID(MID($A306,FIND("/",$A306)+1,20),FIND("/",MID($A306,FIND("/",$A306)+1,20))+1,20))),"")))</f>
        <v/>
      </c>
      <c r="E306">
        <f>IF($A306="","",IF(OR($B306="",$C306="",$D306="",$B306&lt;1300,$B306&gt;1500,$C306&lt;1,$C306&gt;12,$D306&lt;1,$D306&gt;31),"نامعتبر",RIGHT("0000"&amp;$B306,4)&amp;"/"&amp;RIGHT("00"&amp;$C306,2)&amp;"/"&amp;RIGHT("00"&amp;$D306,2)))</f>
        <v/>
      </c>
      <c r="F306">
        <f>IF(OR($E306="",$E306="نامعتبر"),"",IF(Sync!$Q303="","0000",IF(AND(ISNUMBER(Sync!$Q303),Sync!$Q303&gt;=0,Sync!$Q303&lt;1),RIGHT("00"&amp;HOUR(Sync!$Q303),2)&amp;RIGHT("00"&amp;MINUTE(Sync!$Q303),2),IFERROR(RIGHT("00"&amp;VALUE(LEFT(Sync!$Q303,FIND(":",Sync!$Q303)-1)),2)&amp;RIGHT("00"&amp;VALUE(MID(Sync!$Q303,FIND(":",Sync!$Q303)+1,2)),2),"0000"))))</f>
        <v/>
      </c>
      <c r="G306">
        <f>IF(OR($E306="",$E306="نامعتبر"),"",IF(Sync!$S303="","",Sync!$S303))</f>
        <v/>
      </c>
      <c r="H306">
        <f>IF(OR($E306="",$E306="نامعتبر"),"",IF(Sync!$R303="","",Sync!$R303))</f>
        <v/>
      </c>
      <c r="I306">
        <f>IF(OR($E306="",$E306="نامعتبر"),"",IF(Sync!$T303="","",Sync!$T303))</f>
        <v/>
      </c>
      <c r="J306">
        <f>IF(OR($E306="",$E306="نامعتبر"),"",IF(Sync!$U303="","",Sync!$U303))</f>
        <v/>
      </c>
      <c r="K306">
        <f>IF(OR($E306="",$E306="نامعتبر"),"",IF(Sync!$V303="","",IFERROR(INDEX(SubCodes,MATCH(Sync!$V303,SubTitles,0)),Sync!$V303)))</f>
        <v/>
      </c>
      <c r="L306">
        <f>IF(OR($E306="",$E306="نامعتبر"),"",IF(Sync!$W303="",0,Sync!$W303))</f>
        <v/>
      </c>
      <c r="M306">
        <f>IF(OR($E306="",$E306="نامعتبر"),"",IF(Sync!$X303="",0,Sync!$X303))</f>
        <v/>
      </c>
      <c r="N306">
        <f>IF(OR($E306="",$E306="نامعتبر"),"",IF(AND($J306="هزینه",$K306&lt;&gt;""),1,0))</f>
        <v/>
      </c>
      <c r="O306">
        <f>IF($N306=0,"",LEFT($E306,4)&amp;MID($E306,6,2)&amp;RIGHT($E306,2)&amp;$F306&amp;"|"&amp;"1"&amp;RIGHT("00000"&amp;298,5))</f>
        <v/>
      </c>
      <c r="P306">
        <f>IF($O306="","",COUNTIFS(ExpSub,$K306,ExpKey,"&lt;"&amp;$O306)+1)</f>
        <v/>
      </c>
      <c r="Q306">
        <f>IF($P306="","",$K306&amp;"|"&amp;RIGHT("000000"&amp;$P306,6))</f>
        <v/>
      </c>
    </row>
    <row r="307">
      <c r="A307">
        <f>IF(Sync!$P304="","",Sync!$P304)</f>
        <v/>
      </c>
      <c r="B307">
        <f>IF($A307="","",IF(ISNUMBER($A307),IF(AND($A307&gt;=10000101,$A307&lt;=99991231),INT($A307/10000),""),IFERROR(VALUE(TRIM(LEFT($A307,FIND("/",$A307)-1))),"")))</f>
        <v/>
      </c>
      <c r="C307">
        <f>IF(OR($A307="",$B307=""),"",IF(ISNUMBER($A307),INT(MOD($A307,10000)/100),IFERROR(VALUE(TRIM(LEFT(MID($A307,FIND("/",$A307)+1,20),FIND("/",MID($A307,FIND("/",$A307)+1,20))-1))),"")))</f>
        <v/>
      </c>
      <c r="D307">
        <f>IF(OR($A307="",$B307=""),"",IF(ISNUMBER($A307),MOD($A307,100),IFERROR(VALUE(TRIM(MID(MID($A307,FIND("/",$A307)+1,20),FIND("/",MID($A307,FIND("/",$A307)+1,20))+1,20))),"")))</f>
        <v/>
      </c>
      <c r="E307">
        <f>IF($A307="","",IF(OR($B307="",$C307="",$D307="",$B307&lt;1300,$B307&gt;1500,$C307&lt;1,$C307&gt;12,$D307&lt;1,$D307&gt;31),"نامعتبر",RIGHT("0000"&amp;$B307,4)&amp;"/"&amp;RIGHT("00"&amp;$C307,2)&amp;"/"&amp;RIGHT("00"&amp;$D307,2)))</f>
        <v/>
      </c>
      <c r="F307">
        <f>IF(OR($E307="",$E307="نامعتبر"),"",IF(Sync!$Q304="","0000",IF(AND(ISNUMBER(Sync!$Q304),Sync!$Q304&gt;=0,Sync!$Q304&lt;1),RIGHT("00"&amp;HOUR(Sync!$Q304),2)&amp;RIGHT("00"&amp;MINUTE(Sync!$Q304),2),IFERROR(RIGHT("00"&amp;VALUE(LEFT(Sync!$Q304,FIND(":",Sync!$Q304)-1)),2)&amp;RIGHT("00"&amp;VALUE(MID(Sync!$Q304,FIND(":",Sync!$Q304)+1,2)),2),"0000"))))</f>
        <v/>
      </c>
      <c r="G307">
        <f>IF(OR($E307="",$E307="نامعتبر"),"",IF(Sync!$S304="","",Sync!$S304))</f>
        <v/>
      </c>
      <c r="H307">
        <f>IF(OR($E307="",$E307="نامعتبر"),"",IF(Sync!$R304="","",Sync!$R304))</f>
        <v/>
      </c>
      <c r="I307">
        <f>IF(OR($E307="",$E307="نامعتبر"),"",IF(Sync!$T304="","",Sync!$T304))</f>
        <v/>
      </c>
      <c r="J307">
        <f>IF(OR($E307="",$E307="نامعتبر"),"",IF(Sync!$U304="","",Sync!$U304))</f>
        <v/>
      </c>
      <c r="K307">
        <f>IF(OR($E307="",$E307="نامعتبر"),"",IF(Sync!$V304="","",IFERROR(INDEX(SubCodes,MATCH(Sync!$V304,SubTitles,0)),Sync!$V304)))</f>
        <v/>
      </c>
      <c r="L307">
        <f>IF(OR($E307="",$E307="نامعتبر"),"",IF(Sync!$W304="",0,Sync!$W304))</f>
        <v/>
      </c>
      <c r="M307">
        <f>IF(OR($E307="",$E307="نامعتبر"),"",IF(Sync!$X304="",0,Sync!$X304))</f>
        <v/>
      </c>
      <c r="N307">
        <f>IF(OR($E307="",$E307="نامعتبر"),"",IF(AND($J307="هزینه",$K307&lt;&gt;""),1,0))</f>
        <v/>
      </c>
      <c r="O307">
        <f>IF($N307=0,"",LEFT($E307,4)&amp;MID($E307,6,2)&amp;RIGHT($E307,2)&amp;$F307&amp;"|"&amp;"1"&amp;RIGHT("00000"&amp;299,5))</f>
        <v/>
      </c>
      <c r="P307">
        <f>IF($O307="","",COUNTIFS(ExpSub,$K307,ExpKey,"&lt;"&amp;$O307)+1)</f>
        <v/>
      </c>
      <c r="Q307">
        <f>IF($P307="","",$K307&amp;"|"&amp;RIGHT("000000"&amp;$P307,6))</f>
        <v/>
      </c>
    </row>
    <row r="308">
      <c r="A308">
        <f>IF(Sync!$P305="","",Sync!$P305)</f>
        <v/>
      </c>
      <c r="B308">
        <f>IF($A308="","",IF(ISNUMBER($A308),IF(AND($A308&gt;=10000101,$A308&lt;=99991231),INT($A308/10000),""),IFERROR(VALUE(TRIM(LEFT($A308,FIND("/",$A308)-1))),"")))</f>
        <v/>
      </c>
      <c r="C308">
        <f>IF(OR($A308="",$B308=""),"",IF(ISNUMBER($A308),INT(MOD($A308,10000)/100),IFERROR(VALUE(TRIM(LEFT(MID($A308,FIND("/",$A308)+1,20),FIND("/",MID($A308,FIND("/",$A308)+1,20))-1))),"")))</f>
        <v/>
      </c>
      <c r="D308">
        <f>IF(OR($A308="",$B308=""),"",IF(ISNUMBER($A308),MOD($A308,100),IFERROR(VALUE(TRIM(MID(MID($A308,FIND("/",$A308)+1,20),FIND("/",MID($A308,FIND("/",$A308)+1,20))+1,20))),"")))</f>
        <v/>
      </c>
      <c r="E308">
        <f>IF($A308="","",IF(OR($B308="",$C308="",$D308="",$B308&lt;1300,$B308&gt;1500,$C308&lt;1,$C308&gt;12,$D308&lt;1,$D308&gt;31),"نامعتبر",RIGHT("0000"&amp;$B308,4)&amp;"/"&amp;RIGHT("00"&amp;$C308,2)&amp;"/"&amp;RIGHT("00"&amp;$D308,2)))</f>
        <v/>
      </c>
      <c r="F308">
        <f>IF(OR($E308="",$E308="نامعتبر"),"",IF(Sync!$Q305="","0000",IF(AND(ISNUMBER(Sync!$Q305),Sync!$Q305&gt;=0,Sync!$Q305&lt;1),RIGHT("00"&amp;HOUR(Sync!$Q305),2)&amp;RIGHT("00"&amp;MINUTE(Sync!$Q305),2),IFERROR(RIGHT("00"&amp;VALUE(LEFT(Sync!$Q305,FIND(":",Sync!$Q305)-1)),2)&amp;RIGHT("00"&amp;VALUE(MID(Sync!$Q305,FIND(":",Sync!$Q305)+1,2)),2),"0000"))))</f>
        <v/>
      </c>
      <c r="G308">
        <f>IF(OR($E308="",$E308="نامعتبر"),"",IF(Sync!$S305="","",Sync!$S305))</f>
        <v/>
      </c>
      <c r="H308">
        <f>IF(OR($E308="",$E308="نامعتبر"),"",IF(Sync!$R305="","",Sync!$R305))</f>
        <v/>
      </c>
      <c r="I308">
        <f>IF(OR($E308="",$E308="نامعتبر"),"",IF(Sync!$T305="","",Sync!$T305))</f>
        <v/>
      </c>
      <c r="J308">
        <f>IF(OR($E308="",$E308="نامعتبر"),"",IF(Sync!$U305="","",Sync!$U305))</f>
        <v/>
      </c>
      <c r="K308">
        <f>IF(OR($E308="",$E308="نامعتبر"),"",IF(Sync!$V305="","",IFERROR(INDEX(SubCodes,MATCH(Sync!$V305,SubTitles,0)),Sync!$V305)))</f>
        <v/>
      </c>
      <c r="L308">
        <f>IF(OR($E308="",$E308="نامعتبر"),"",IF(Sync!$W305="",0,Sync!$W305))</f>
        <v/>
      </c>
      <c r="M308">
        <f>IF(OR($E308="",$E308="نامعتبر"),"",IF(Sync!$X305="",0,Sync!$X305))</f>
        <v/>
      </c>
      <c r="N308">
        <f>IF(OR($E308="",$E308="نامعتبر"),"",IF(AND($J308="هزینه",$K308&lt;&gt;""),1,0))</f>
        <v/>
      </c>
      <c r="O308">
        <f>IF($N308=0,"",LEFT($E308,4)&amp;MID($E308,6,2)&amp;RIGHT($E308,2)&amp;$F308&amp;"|"&amp;"1"&amp;RIGHT("00000"&amp;300,5))</f>
        <v/>
      </c>
      <c r="P308">
        <f>IF($O308="","",COUNTIFS(ExpSub,$K308,ExpKey,"&lt;"&amp;$O308)+1)</f>
        <v/>
      </c>
      <c r="Q308">
        <f>IF($P308="","",$K308&amp;"|"&amp;RIGHT("000000"&amp;$P308,6))</f>
        <v/>
      </c>
    </row>
    <row r="309">
      <c r="A309">
        <f>IF(Sync!$P306="","",Sync!$P306)</f>
        <v/>
      </c>
      <c r="B309">
        <f>IF($A309="","",IF(ISNUMBER($A309),IF(AND($A309&gt;=10000101,$A309&lt;=99991231),INT($A309/10000),""),IFERROR(VALUE(TRIM(LEFT($A309,FIND("/",$A309)-1))),"")))</f>
        <v/>
      </c>
      <c r="C309">
        <f>IF(OR($A309="",$B309=""),"",IF(ISNUMBER($A309),INT(MOD($A309,10000)/100),IFERROR(VALUE(TRIM(LEFT(MID($A309,FIND("/",$A309)+1,20),FIND("/",MID($A309,FIND("/",$A309)+1,20))-1))),"")))</f>
        <v/>
      </c>
      <c r="D309">
        <f>IF(OR($A309="",$B309=""),"",IF(ISNUMBER($A309),MOD($A309,100),IFERROR(VALUE(TRIM(MID(MID($A309,FIND("/",$A309)+1,20),FIND("/",MID($A309,FIND("/",$A309)+1,20))+1,20))),"")))</f>
        <v/>
      </c>
      <c r="E309">
        <f>IF($A309="","",IF(OR($B309="",$C309="",$D309="",$B309&lt;1300,$B309&gt;1500,$C309&lt;1,$C309&gt;12,$D309&lt;1,$D309&gt;31),"نامعتبر",RIGHT("0000"&amp;$B309,4)&amp;"/"&amp;RIGHT("00"&amp;$C309,2)&amp;"/"&amp;RIGHT("00"&amp;$D309,2)))</f>
        <v/>
      </c>
      <c r="F309">
        <f>IF(OR($E309="",$E309="نامعتبر"),"",IF(Sync!$Q306="","0000",IF(AND(ISNUMBER(Sync!$Q306),Sync!$Q306&gt;=0,Sync!$Q306&lt;1),RIGHT("00"&amp;HOUR(Sync!$Q306),2)&amp;RIGHT("00"&amp;MINUTE(Sync!$Q306),2),IFERROR(RIGHT("00"&amp;VALUE(LEFT(Sync!$Q306,FIND(":",Sync!$Q306)-1)),2)&amp;RIGHT("00"&amp;VALUE(MID(Sync!$Q306,FIND(":",Sync!$Q306)+1,2)),2),"0000"))))</f>
        <v/>
      </c>
      <c r="G309">
        <f>IF(OR($E309="",$E309="نامعتبر"),"",IF(Sync!$S306="","",Sync!$S306))</f>
        <v/>
      </c>
      <c r="H309">
        <f>IF(OR($E309="",$E309="نامعتبر"),"",IF(Sync!$R306="","",Sync!$R306))</f>
        <v/>
      </c>
      <c r="I309">
        <f>IF(OR($E309="",$E309="نامعتبر"),"",IF(Sync!$T306="","",Sync!$T306))</f>
        <v/>
      </c>
      <c r="J309">
        <f>IF(OR($E309="",$E309="نامعتبر"),"",IF(Sync!$U306="","",Sync!$U306))</f>
        <v/>
      </c>
      <c r="K309">
        <f>IF(OR($E309="",$E309="نامعتبر"),"",IF(Sync!$V306="","",IFERROR(INDEX(SubCodes,MATCH(Sync!$V306,SubTitles,0)),Sync!$V306)))</f>
        <v/>
      </c>
      <c r="L309">
        <f>IF(OR($E309="",$E309="نامعتبر"),"",IF(Sync!$W306="",0,Sync!$W306))</f>
        <v/>
      </c>
      <c r="M309">
        <f>IF(OR($E309="",$E309="نامعتبر"),"",IF(Sync!$X306="",0,Sync!$X306))</f>
        <v/>
      </c>
      <c r="N309">
        <f>IF(OR($E309="",$E309="نامعتبر"),"",IF(AND($J309="هزینه",$K309&lt;&gt;""),1,0))</f>
        <v/>
      </c>
      <c r="O309">
        <f>IF($N309=0,"",LEFT($E309,4)&amp;MID($E309,6,2)&amp;RIGHT($E309,2)&amp;$F309&amp;"|"&amp;"1"&amp;RIGHT("00000"&amp;301,5))</f>
        <v/>
      </c>
      <c r="P309">
        <f>IF($O309="","",COUNTIFS(ExpSub,$K309,ExpKey,"&lt;"&amp;$O309)+1)</f>
        <v/>
      </c>
      <c r="Q309">
        <f>IF($P309="","",$K309&amp;"|"&amp;RIGHT("000000"&amp;$P309,6))</f>
        <v/>
      </c>
    </row>
    <row r="310">
      <c r="A310">
        <f>IF(Sync!$P307="","",Sync!$P307)</f>
        <v/>
      </c>
      <c r="B310">
        <f>IF($A310="","",IF(ISNUMBER($A310),IF(AND($A310&gt;=10000101,$A310&lt;=99991231),INT($A310/10000),""),IFERROR(VALUE(TRIM(LEFT($A310,FIND("/",$A310)-1))),"")))</f>
        <v/>
      </c>
      <c r="C310">
        <f>IF(OR($A310="",$B310=""),"",IF(ISNUMBER($A310),INT(MOD($A310,10000)/100),IFERROR(VALUE(TRIM(LEFT(MID($A310,FIND("/",$A310)+1,20),FIND("/",MID($A310,FIND("/",$A310)+1,20))-1))),"")))</f>
        <v/>
      </c>
      <c r="D310">
        <f>IF(OR($A310="",$B310=""),"",IF(ISNUMBER($A310),MOD($A310,100),IFERROR(VALUE(TRIM(MID(MID($A310,FIND("/",$A310)+1,20),FIND("/",MID($A310,FIND("/",$A310)+1,20))+1,20))),"")))</f>
        <v/>
      </c>
      <c r="E310">
        <f>IF($A310="","",IF(OR($B310="",$C310="",$D310="",$B310&lt;1300,$B310&gt;1500,$C310&lt;1,$C310&gt;12,$D310&lt;1,$D310&gt;31),"نامعتبر",RIGHT("0000"&amp;$B310,4)&amp;"/"&amp;RIGHT("00"&amp;$C310,2)&amp;"/"&amp;RIGHT("00"&amp;$D310,2)))</f>
        <v/>
      </c>
      <c r="F310">
        <f>IF(OR($E310="",$E310="نامعتبر"),"",IF(Sync!$Q307="","0000",IF(AND(ISNUMBER(Sync!$Q307),Sync!$Q307&gt;=0,Sync!$Q307&lt;1),RIGHT("00"&amp;HOUR(Sync!$Q307),2)&amp;RIGHT("00"&amp;MINUTE(Sync!$Q307),2),IFERROR(RIGHT("00"&amp;VALUE(LEFT(Sync!$Q307,FIND(":",Sync!$Q307)-1)),2)&amp;RIGHT("00"&amp;VALUE(MID(Sync!$Q307,FIND(":",Sync!$Q307)+1,2)),2),"0000"))))</f>
        <v/>
      </c>
      <c r="G310">
        <f>IF(OR($E310="",$E310="نامعتبر"),"",IF(Sync!$S307="","",Sync!$S307))</f>
        <v/>
      </c>
      <c r="H310">
        <f>IF(OR($E310="",$E310="نامعتبر"),"",IF(Sync!$R307="","",Sync!$R307))</f>
        <v/>
      </c>
      <c r="I310">
        <f>IF(OR($E310="",$E310="نامعتبر"),"",IF(Sync!$T307="","",Sync!$T307))</f>
        <v/>
      </c>
      <c r="J310">
        <f>IF(OR($E310="",$E310="نامعتبر"),"",IF(Sync!$U307="","",Sync!$U307))</f>
        <v/>
      </c>
      <c r="K310">
        <f>IF(OR($E310="",$E310="نامعتبر"),"",IF(Sync!$V307="","",IFERROR(INDEX(SubCodes,MATCH(Sync!$V307,SubTitles,0)),Sync!$V307)))</f>
        <v/>
      </c>
      <c r="L310">
        <f>IF(OR($E310="",$E310="نامعتبر"),"",IF(Sync!$W307="",0,Sync!$W307))</f>
        <v/>
      </c>
      <c r="M310">
        <f>IF(OR($E310="",$E310="نامعتبر"),"",IF(Sync!$X307="",0,Sync!$X307))</f>
        <v/>
      </c>
      <c r="N310">
        <f>IF(OR($E310="",$E310="نامعتبر"),"",IF(AND($J310="هزینه",$K310&lt;&gt;""),1,0))</f>
        <v/>
      </c>
      <c r="O310">
        <f>IF($N310=0,"",LEFT($E310,4)&amp;MID($E310,6,2)&amp;RIGHT($E310,2)&amp;$F310&amp;"|"&amp;"1"&amp;RIGHT("00000"&amp;302,5))</f>
        <v/>
      </c>
      <c r="P310">
        <f>IF($O310="","",COUNTIFS(ExpSub,$K310,ExpKey,"&lt;"&amp;$O310)+1)</f>
        <v/>
      </c>
      <c r="Q310">
        <f>IF($P310="","",$K310&amp;"|"&amp;RIGHT("000000"&amp;$P310,6))</f>
        <v/>
      </c>
    </row>
    <row r="311">
      <c r="A311">
        <f>IF(Sync!$P308="","",Sync!$P308)</f>
        <v/>
      </c>
      <c r="B311">
        <f>IF($A311="","",IF(ISNUMBER($A311),IF(AND($A311&gt;=10000101,$A311&lt;=99991231),INT($A311/10000),""),IFERROR(VALUE(TRIM(LEFT($A311,FIND("/",$A311)-1))),"")))</f>
        <v/>
      </c>
      <c r="C311">
        <f>IF(OR($A311="",$B311=""),"",IF(ISNUMBER($A311),INT(MOD($A311,10000)/100),IFERROR(VALUE(TRIM(LEFT(MID($A311,FIND("/",$A311)+1,20),FIND("/",MID($A311,FIND("/",$A311)+1,20))-1))),"")))</f>
        <v/>
      </c>
      <c r="D311">
        <f>IF(OR($A311="",$B311=""),"",IF(ISNUMBER($A311),MOD($A311,100),IFERROR(VALUE(TRIM(MID(MID($A311,FIND("/",$A311)+1,20),FIND("/",MID($A311,FIND("/",$A311)+1,20))+1,20))),"")))</f>
        <v/>
      </c>
      <c r="E311">
        <f>IF($A311="","",IF(OR($B311="",$C311="",$D311="",$B311&lt;1300,$B311&gt;1500,$C311&lt;1,$C311&gt;12,$D311&lt;1,$D311&gt;31),"نامعتبر",RIGHT("0000"&amp;$B311,4)&amp;"/"&amp;RIGHT("00"&amp;$C311,2)&amp;"/"&amp;RIGHT("00"&amp;$D311,2)))</f>
        <v/>
      </c>
      <c r="F311">
        <f>IF(OR($E311="",$E311="نامعتبر"),"",IF(Sync!$Q308="","0000",IF(AND(ISNUMBER(Sync!$Q308),Sync!$Q308&gt;=0,Sync!$Q308&lt;1),RIGHT("00"&amp;HOUR(Sync!$Q308),2)&amp;RIGHT("00"&amp;MINUTE(Sync!$Q308),2),IFERROR(RIGHT("00"&amp;VALUE(LEFT(Sync!$Q308,FIND(":",Sync!$Q308)-1)),2)&amp;RIGHT("00"&amp;VALUE(MID(Sync!$Q308,FIND(":",Sync!$Q308)+1,2)),2),"0000"))))</f>
        <v/>
      </c>
      <c r="G311">
        <f>IF(OR($E311="",$E311="نامعتبر"),"",IF(Sync!$S308="","",Sync!$S308))</f>
        <v/>
      </c>
      <c r="H311">
        <f>IF(OR($E311="",$E311="نامعتبر"),"",IF(Sync!$R308="","",Sync!$R308))</f>
        <v/>
      </c>
      <c r="I311">
        <f>IF(OR($E311="",$E311="نامعتبر"),"",IF(Sync!$T308="","",Sync!$T308))</f>
        <v/>
      </c>
      <c r="J311">
        <f>IF(OR($E311="",$E311="نامعتبر"),"",IF(Sync!$U308="","",Sync!$U308))</f>
        <v/>
      </c>
      <c r="K311">
        <f>IF(OR($E311="",$E311="نامعتبر"),"",IF(Sync!$V308="","",IFERROR(INDEX(SubCodes,MATCH(Sync!$V308,SubTitles,0)),Sync!$V308)))</f>
        <v/>
      </c>
      <c r="L311">
        <f>IF(OR($E311="",$E311="نامعتبر"),"",IF(Sync!$W308="",0,Sync!$W308))</f>
        <v/>
      </c>
      <c r="M311">
        <f>IF(OR($E311="",$E311="نامعتبر"),"",IF(Sync!$X308="",0,Sync!$X308))</f>
        <v/>
      </c>
      <c r="N311">
        <f>IF(OR($E311="",$E311="نامعتبر"),"",IF(AND($J311="هزینه",$K311&lt;&gt;""),1,0))</f>
        <v/>
      </c>
      <c r="O311">
        <f>IF($N311=0,"",LEFT($E311,4)&amp;MID($E311,6,2)&amp;RIGHT($E311,2)&amp;$F311&amp;"|"&amp;"1"&amp;RIGHT("00000"&amp;303,5))</f>
        <v/>
      </c>
      <c r="P311">
        <f>IF($O311="","",COUNTIFS(ExpSub,$K311,ExpKey,"&lt;"&amp;$O311)+1)</f>
        <v/>
      </c>
      <c r="Q311">
        <f>IF($P311="","",$K311&amp;"|"&amp;RIGHT("000000"&amp;$P311,6))</f>
        <v/>
      </c>
    </row>
    <row r="312">
      <c r="A312">
        <f>IF(Sync!$P309="","",Sync!$P309)</f>
        <v/>
      </c>
      <c r="B312">
        <f>IF($A312="","",IF(ISNUMBER($A312),IF(AND($A312&gt;=10000101,$A312&lt;=99991231),INT($A312/10000),""),IFERROR(VALUE(TRIM(LEFT($A312,FIND("/",$A312)-1))),"")))</f>
        <v/>
      </c>
      <c r="C312">
        <f>IF(OR($A312="",$B312=""),"",IF(ISNUMBER($A312),INT(MOD($A312,10000)/100),IFERROR(VALUE(TRIM(LEFT(MID($A312,FIND("/",$A312)+1,20),FIND("/",MID($A312,FIND("/",$A312)+1,20))-1))),"")))</f>
        <v/>
      </c>
      <c r="D312">
        <f>IF(OR($A312="",$B312=""),"",IF(ISNUMBER($A312),MOD($A312,100),IFERROR(VALUE(TRIM(MID(MID($A312,FIND("/",$A312)+1,20),FIND("/",MID($A312,FIND("/",$A312)+1,20))+1,20))),"")))</f>
        <v/>
      </c>
      <c r="E312">
        <f>IF($A312="","",IF(OR($B312="",$C312="",$D312="",$B312&lt;1300,$B312&gt;1500,$C312&lt;1,$C312&gt;12,$D312&lt;1,$D312&gt;31),"نامعتبر",RIGHT("0000"&amp;$B312,4)&amp;"/"&amp;RIGHT("00"&amp;$C312,2)&amp;"/"&amp;RIGHT("00"&amp;$D312,2)))</f>
        <v/>
      </c>
      <c r="F312">
        <f>IF(OR($E312="",$E312="نامعتبر"),"",IF(Sync!$Q309="","0000",IF(AND(ISNUMBER(Sync!$Q309),Sync!$Q309&gt;=0,Sync!$Q309&lt;1),RIGHT("00"&amp;HOUR(Sync!$Q309),2)&amp;RIGHT("00"&amp;MINUTE(Sync!$Q309),2),IFERROR(RIGHT("00"&amp;VALUE(LEFT(Sync!$Q309,FIND(":",Sync!$Q309)-1)),2)&amp;RIGHT("00"&amp;VALUE(MID(Sync!$Q309,FIND(":",Sync!$Q309)+1,2)),2),"0000"))))</f>
        <v/>
      </c>
      <c r="G312">
        <f>IF(OR($E312="",$E312="نامعتبر"),"",IF(Sync!$S309="","",Sync!$S309))</f>
        <v/>
      </c>
      <c r="H312">
        <f>IF(OR($E312="",$E312="نامعتبر"),"",IF(Sync!$R309="","",Sync!$R309))</f>
        <v/>
      </c>
      <c r="I312">
        <f>IF(OR($E312="",$E312="نامعتبر"),"",IF(Sync!$T309="","",Sync!$T309))</f>
        <v/>
      </c>
      <c r="J312">
        <f>IF(OR($E312="",$E312="نامعتبر"),"",IF(Sync!$U309="","",Sync!$U309))</f>
        <v/>
      </c>
      <c r="K312">
        <f>IF(OR($E312="",$E312="نامعتبر"),"",IF(Sync!$V309="","",IFERROR(INDEX(SubCodes,MATCH(Sync!$V309,SubTitles,0)),Sync!$V309)))</f>
        <v/>
      </c>
      <c r="L312">
        <f>IF(OR($E312="",$E312="نامعتبر"),"",IF(Sync!$W309="",0,Sync!$W309))</f>
        <v/>
      </c>
      <c r="M312">
        <f>IF(OR($E312="",$E312="نامعتبر"),"",IF(Sync!$X309="",0,Sync!$X309))</f>
        <v/>
      </c>
      <c r="N312">
        <f>IF(OR($E312="",$E312="نامعتبر"),"",IF(AND($J312="هزینه",$K312&lt;&gt;""),1,0))</f>
        <v/>
      </c>
      <c r="O312">
        <f>IF($N312=0,"",LEFT($E312,4)&amp;MID($E312,6,2)&amp;RIGHT($E312,2)&amp;$F312&amp;"|"&amp;"1"&amp;RIGHT("00000"&amp;304,5))</f>
        <v/>
      </c>
      <c r="P312">
        <f>IF($O312="","",COUNTIFS(ExpSub,$K312,ExpKey,"&lt;"&amp;$O312)+1)</f>
        <v/>
      </c>
      <c r="Q312">
        <f>IF($P312="","",$K312&amp;"|"&amp;RIGHT("000000"&amp;$P312,6))</f>
        <v/>
      </c>
    </row>
    <row r="313">
      <c r="A313">
        <f>IF(Sync!$P310="","",Sync!$P310)</f>
        <v/>
      </c>
      <c r="B313">
        <f>IF($A313="","",IF(ISNUMBER($A313),IF(AND($A313&gt;=10000101,$A313&lt;=99991231),INT($A313/10000),""),IFERROR(VALUE(TRIM(LEFT($A313,FIND("/",$A313)-1))),"")))</f>
        <v/>
      </c>
      <c r="C313">
        <f>IF(OR($A313="",$B313=""),"",IF(ISNUMBER($A313),INT(MOD($A313,10000)/100),IFERROR(VALUE(TRIM(LEFT(MID($A313,FIND("/",$A313)+1,20),FIND("/",MID($A313,FIND("/",$A313)+1,20))-1))),"")))</f>
        <v/>
      </c>
      <c r="D313">
        <f>IF(OR($A313="",$B313=""),"",IF(ISNUMBER($A313),MOD($A313,100),IFERROR(VALUE(TRIM(MID(MID($A313,FIND("/",$A313)+1,20),FIND("/",MID($A313,FIND("/",$A313)+1,20))+1,20))),"")))</f>
        <v/>
      </c>
      <c r="E313">
        <f>IF($A313="","",IF(OR($B313="",$C313="",$D313="",$B313&lt;1300,$B313&gt;1500,$C313&lt;1,$C313&gt;12,$D313&lt;1,$D313&gt;31),"نامعتبر",RIGHT("0000"&amp;$B313,4)&amp;"/"&amp;RIGHT("00"&amp;$C313,2)&amp;"/"&amp;RIGHT("00"&amp;$D313,2)))</f>
        <v/>
      </c>
      <c r="F313">
        <f>IF(OR($E313="",$E313="نامعتبر"),"",IF(Sync!$Q310="","0000",IF(AND(ISNUMBER(Sync!$Q310),Sync!$Q310&gt;=0,Sync!$Q310&lt;1),RIGHT("00"&amp;HOUR(Sync!$Q310),2)&amp;RIGHT("00"&amp;MINUTE(Sync!$Q310),2),IFERROR(RIGHT("00"&amp;VALUE(LEFT(Sync!$Q310,FIND(":",Sync!$Q310)-1)),2)&amp;RIGHT("00"&amp;VALUE(MID(Sync!$Q310,FIND(":",Sync!$Q310)+1,2)),2),"0000"))))</f>
        <v/>
      </c>
      <c r="G313">
        <f>IF(OR($E313="",$E313="نامعتبر"),"",IF(Sync!$S310="","",Sync!$S310))</f>
        <v/>
      </c>
      <c r="H313">
        <f>IF(OR($E313="",$E313="نامعتبر"),"",IF(Sync!$R310="","",Sync!$R310))</f>
        <v/>
      </c>
      <c r="I313">
        <f>IF(OR($E313="",$E313="نامعتبر"),"",IF(Sync!$T310="","",Sync!$T310))</f>
        <v/>
      </c>
      <c r="J313">
        <f>IF(OR($E313="",$E313="نامعتبر"),"",IF(Sync!$U310="","",Sync!$U310))</f>
        <v/>
      </c>
      <c r="K313">
        <f>IF(OR($E313="",$E313="نامعتبر"),"",IF(Sync!$V310="","",IFERROR(INDEX(SubCodes,MATCH(Sync!$V310,SubTitles,0)),Sync!$V310)))</f>
        <v/>
      </c>
      <c r="L313">
        <f>IF(OR($E313="",$E313="نامعتبر"),"",IF(Sync!$W310="",0,Sync!$W310))</f>
        <v/>
      </c>
      <c r="M313">
        <f>IF(OR($E313="",$E313="نامعتبر"),"",IF(Sync!$X310="",0,Sync!$X310))</f>
        <v/>
      </c>
      <c r="N313">
        <f>IF(OR($E313="",$E313="نامعتبر"),"",IF(AND($J313="هزینه",$K313&lt;&gt;""),1,0))</f>
        <v/>
      </c>
      <c r="O313">
        <f>IF($N313=0,"",LEFT($E313,4)&amp;MID($E313,6,2)&amp;RIGHT($E313,2)&amp;$F313&amp;"|"&amp;"1"&amp;RIGHT("00000"&amp;305,5))</f>
        <v/>
      </c>
      <c r="P313">
        <f>IF($O313="","",COUNTIFS(ExpSub,$K313,ExpKey,"&lt;"&amp;$O313)+1)</f>
        <v/>
      </c>
      <c r="Q313">
        <f>IF($P313="","",$K313&amp;"|"&amp;RIGHT("000000"&amp;$P313,6))</f>
        <v/>
      </c>
    </row>
    <row r="314">
      <c r="A314">
        <f>IF(Sync!$P311="","",Sync!$P311)</f>
        <v/>
      </c>
      <c r="B314">
        <f>IF($A314="","",IF(ISNUMBER($A314),IF(AND($A314&gt;=10000101,$A314&lt;=99991231),INT($A314/10000),""),IFERROR(VALUE(TRIM(LEFT($A314,FIND("/",$A314)-1))),"")))</f>
        <v/>
      </c>
      <c r="C314">
        <f>IF(OR($A314="",$B314=""),"",IF(ISNUMBER($A314),INT(MOD($A314,10000)/100),IFERROR(VALUE(TRIM(LEFT(MID($A314,FIND("/",$A314)+1,20),FIND("/",MID($A314,FIND("/",$A314)+1,20))-1))),"")))</f>
        <v/>
      </c>
      <c r="D314">
        <f>IF(OR($A314="",$B314=""),"",IF(ISNUMBER($A314),MOD($A314,100),IFERROR(VALUE(TRIM(MID(MID($A314,FIND("/",$A314)+1,20),FIND("/",MID($A314,FIND("/",$A314)+1,20))+1,20))),"")))</f>
        <v/>
      </c>
      <c r="E314">
        <f>IF($A314="","",IF(OR($B314="",$C314="",$D314="",$B314&lt;1300,$B314&gt;1500,$C314&lt;1,$C314&gt;12,$D314&lt;1,$D314&gt;31),"نامعتبر",RIGHT("0000"&amp;$B314,4)&amp;"/"&amp;RIGHT("00"&amp;$C314,2)&amp;"/"&amp;RIGHT("00"&amp;$D314,2)))</f>
        <v/>
      </c>
      <c r="F314">
        <f>IF(OR($E314="",$E314="نامعتبر"),"",IF(Sync!$Q311="","0000",IF(AND(ISNUMBER(Sync!$Q311),Sync!$Q311&gt;=0,Sync!$Q311&lt;1),RIGHT("00"&amp;HOUR(Sync!$Q311),2)&amp;RIGHT("00"&amp;MINUTE(Sync!$Q311),2),IFERROR(RIGHT("00"&amp;VALUE(LEFT(Sync!$Q311,FIND(":",Sync!$Q311)-1)),2)&amp;RIGHT("00"&amp;VALUE(MID(Sync!$Q311,FIND(":",Sync!$Q311)+1,2)),2),"0000"))))</f>
        <v/>
      </c>
      <c r="G314">
        <f>IF(OR($E314="",$E314="نامعتبر"),"",IF(Sync!$S311="","",Sync!$S311))</f>
        <v/>
      </c>
      <c r="H314">
        <f>IF(OR($E314="",$E314="نامعتبر"),"",IF(Sync!$R311="","",Sync!$R311))</f>
        <v/>
      </c>
      <c r="I314">
        <f>IF(OR($E314="",$E314="نامعتبر"),"",IF(Sync!$T311="","",Sync!$T311))</f>
        <v/>
      </c>
      <c r="J314">
        <f>IF(OR($E314="",$E314="نامعتبر"),"",IF(Sync!$U311="","",Sync!$U311))</f>
        <v/>
      </c>
      <c r="K314">
        <f>IF(OR($E314="",$E314="نامعتبر"),"",IF(Sync!$V311="","",IFERROR(INDEX(SubCodes,MATCH(Sync!$V311,SubTitles,0)),Sync!$V311)))</f>
        <v/>
      </c>
      <c r="L314">
        <f>IF(OR($E314="",$E314="نامعتبر"),"",IF(Sync!$W311="",0,Sync!$W311))</f>
        <v/>
      </c>
      <c r="M314">
        <f>IF(OR($E314="",$E314="نامعتبر"),"",IF(Sync!$X311="",0,Sync!$X311))</f>
        <v/>
      </c>
      <c r="N314">
        <f>IF(OR($E314="",$E314="نامعتبر"),"",IF(AND($J314="هزینه",$K314&lt;&gt;""),1,0))</f>
        <v/>
      </c>
      <c r="O314">
        <f>IF($N314=0,"",LEFT($E314,4)&amp;MID($E314,6,2)&amp;RIGHT($E314,2)&amp;$F314&amp;"|"&amp;"1"&amp;RIGHT("00000"&amp;306,5))</f>
        <v/>
      </c>
      <c r="P314">
        <f>IF($O314="","",COUNTIFS(ExpSub,$K314,ExpKey,"&lt;"&amp;$O314)+1)</f>
        <v/>
      </c>
      <c r="Q314">
        <f>IF($P314="","",$K314&amp;"|"&amp;RIGHT("000000"&amp;$P314,6))</f>
        <v/>
      </c>
    </row>
    <row r="315">
      <c r="A315">
        <f>IF(Sync!$P312="","",Sync!$P312)</f>
        <v/>
      </c>
      <c r="B315">
        <f>IF($A315="","",IF(ISNUMBER($A315),IF(AND($A315&gt;=10000101,$A315&lt;=99991231),INT($A315/10000),""),IFERROR(VALUE(TRIM(LEFT($A315,FIND("/",$A315)-1))),"")))</f>
        <v/>
      </c>
      <c r="C315">
        <f>IF(OR($A315="",$B315=""),"",IF(ISNUMBER($A315),INT(MOD($A315,10000)/100),IFERROR(VALUE(TRIM(LEFT(MID($A315,FIND("/",$A315)+1,20),FIND("/",MID($A315,FIND("/",$A315)+1,20))-1))),"")))</f>
        <v/>
      </c>
      <c r="D315">
        <f>IF(OR($A315="",$B315=""),"",IF(ISNUMBER($A315),MOD($A315,100),IFERROR(VALUE(TRIM(MID(MID($A315,FIND("/",$A315)+1,20),FIND("/",MID($A315,FIND("/",$A315)+1,20))+1,20))),"")))</f>
        <v/>
      </c>
      <c r="E315">
        <f>IF($A315="","",IF(OR($B315="",$C315="",$D315="",$B315&lt;1300,$B315&gt;1500,$C315&lt;1,$C315&gt;12,$D315&lt;1,$D315&gt;31),"نامعتبر",RIGHT("0000"&amp;$B315,4)&amp;"/"&amp;RIGHT("00"&amp;$C315,2)&amp;"/"&amp;RIGHT("00"&amp;$D315,2)))</f>
        <v/>
      </c>
      <c r="F315">
        <f>IF(OR($E315="",$E315="نامعتبر"),"",IF(Sync!$Q312="","0000",IF(AND(ISNUMBER(Sync!$Q312),Sync!$Q312&gt;=0,Sync!$Q312&lt;1),RIGHT("00"&amp;HOUR(Sync!$Q312),2)&amp;RIGHT("00"&amp;MINUTE(Sync!$Q312),2),IFERROR(RIGHT("00"&amp;VALUE(LEFT(Sync!$Q312,FIND(":",Sync!$Q312)-1)),2)&amp;RIGHT("00"&amp;VALUE(MID(Sync!$Q312,FIND(":",Sync!$Q312)+1,2)),2),"0000"))))</f>
        <v/>
      </c>
      <c r="G315">
        <f>IF(OR($E315="",$E315="نامعتبر"),"",IF(Sync!$S312="","",Sync!$S312))</f>
        <v/>
      </c>
      <c r="H315">
        <f>IF(OR($E315="",$E315="نامعتبر"),"",IF(Sync!$R312="","",Sync!$R312))</f>
        <v/>
      </c>
      <c r="I315">
        <f>IF(OR($E315="",$E315="نامعتبر"),"",IF(Sync!$T312="","",Sync!$T312))</f>
        <v/>
      </c>
      <c r="J315">
        <f>IF(OR($E315="",$E315="نامعتبر"),"",IF(Sync!$U312="","",Sync!$U312))</f>
        <v/>
      </c>
      <c r="K315">
        <f>IF(OR($E315="",$E315="نامعتبر"),"",IF(Sync!$V312="","",IFERROR(INDEX(SubCodes,MATCH(Sync!$V312,SubTitles,0)),Sync!$V312)))</f>
        <v/>
      </c>
      <c r="L315">
        <f>IF(OR($E315="",$E315="نامعتبر"),"",IF(Sync!$W312="",0,Sync!$W312))</f>
        <v/>
      </c>
      <c r="M315">
        <f>IF(OR($E315="",$E315="نامعتبر"),"",IF(Sync!$X312="",0,Sync!$X312))</f>
        <v/>
      </c>
      <c r="N315">
        <f>IF(OR($E315="",$E315="نامعتبر"),"",IF(AND($J315="هزینه",$K315&lt;&gt;""),1,0))</f>
        <v/>
      </c>
      <c r="O315">
        <f>IF($N315=0,"",LEFT($E315,4)&amp;MID($E315,6,2)&amp;RIGHT($E315,2)&amp;$F315&amp;"|"&amp;"1"&amp;RIGHT("00000"&amp;307,5))</f>
        <v/>
      </c>
      <c r="P315">
        <f>IF($O315="","",COUNTIFS(ExpSub,$K315,ExpKey,"&lt;"&amp;$O315)+1)</f>
        <v/>
      </c>
      <c r="Q315">
        <f>IF($P315="","",$K315&amp;"|"&amp;RIGHT("000000"&amp;$P315,6))</f>
        <v/>
      </c>
    </row>
    <row r="316">
      <c r="A316">
        <f>IF(Sync!$P313="","",Sync!$P313)</f>
        <v/>
      </c>
      <c r="B316">
        <f>IF($A316="","",IF(ISNUMBER($A316),IF(AND($A316&gt;=10000101,$A316&lt;=99991231),INT($A316/10000),""),IFERROR(VALUE(TRIM(LEFT($A316,FIND("/",$A316)-1))),"")))</f>
        <v/>
      </c>
      <c r="C316">
        <f>IF(OR($A316="",$B316=""),"",IF(ISNUMBER($A316),INT(MOD($A316,10000)/100),IFERROR(VALUE(TRIM(LEFT(MID($A316,FIND("/",$A316)+1,20),FIND("/",MID($A316,FIND("/",$A316)+1,20))-1))),"")))</f>
        <v/>
      </c>
      <c r="D316">
        <f>IF(OR($A316="",$B316=""),"",IF(ISNUMBER($A316),MOD($A316,100),IFERROR(VALUE(TRIM(MID(MID($A316,FIND("/",$A316)+1,20),FIND("/",MID($A316,FIND("/",$A316)+1,20))+1,20))),"")))</f>
        <v/>
      </c>
      <c r="E316">
        <f>IF($A316="","",IF(OR($B316="",$C316="",$D316="",$B316&lt;1300,$B316&gt;1500,$C316&lt;1,$C316&gt;12,$D316&lt;1,$D316&gt;31),"نامعتبر",RIGHT("0000"&amp;$B316,4)&amp;"/"&amp;RIGHT("00"&amp;$C316,2)&amp;"/"&amp;RIGHT("00"&amp;$D316,2)))</f>
        <v/>
      </c>
      <c r="F316">
        <f>IF(OR($E316="",$E316="نامعتبر"),"",IF(Sync!$Q313="","0000",IF(AND(ISNUMBER(Sync!$Q313),Sync!$Q313&gt;=0,Sync!$Q313&lt;1),RIGHT("00"&amp;HOUR(Sync!$Q313),2)&amp;RIGHT("00"&amp;MINUTE(Sync!$Q313),2),IFERROR(RIGHT("00"&amp;VALUE(LEFT(Sync!$Q313,FIND(":",Sync!$Q313)-1)),2)&amp;RIGHT("00"&amp;VALUE(MID(Sync!$Q313,FIND(":",Sync!$Q313)+1,2)),2),"0000"))))</f>
        <v/>
      </c>
      <c r="G316">
        <f>IF(OR($E316="",$E316="نامعتبر"),"",IF(Sync!$S313="","",Sync!$S313))</f>
        <v/>
      </c>
      <c r="H316">
        <f>IF(OR($E316="",$E316="نامعتبر"),"",IF(Sync!$R313="","",Sync!$R313))</f>
        <v/>
      </c>
      <c r="I316">
        <f>IF(OR($E316="",$E316="نامعتبر"),"",IF(Sync!$T313="","",Sync!$T313))</f>
        <v/>
      </c>
      <c r="J316">
        <f>IF(OR($E316="",$E316="نامعتبر"),"",IF(Sync!$U313="","",Sync!$U313))</f>
        <v/>
      </c>
      <c r="K316">
        <f>IF(OR($E316="",$E316="نامعتبر"),"",IF(Sync!$V313="","",IFERROR(INDEX(SubCodes,MATCH(Sync!$V313,SubTitles,0)),Sync!$V313)))</f>
        <v/>
      </c>
      <c r="L316">
        <f>IF(OR($E316="",$E316="نامعتبر"),"",IF(Sync!$W313="",0,Sync!$W313))</f>
        <v/>
      </c>
      <c r="M316">
        <f>IF(OR($E316="",$E316="نامعتبر"),"",IF(Sync!$X313="",0,Sync!$X313))</f>
        <v/>
      </c>
      <c r="N316">
        <f>IF(OR($E316="",$E316="نامعتبر"),"",IF(AND($J316="هزینه",$K316&lt;&gt;""),1,0))</f>
        <v/>
      </c>
      <c r="O316">
        <f>IF($N316=0,"",LEFT($E316,4)&amp;MID($E316,6,2)&amp;RIGHT($E316,2)&amp;$F316&amp;"|"&amp;"1"&amp;RIGHT("00000"&amp;308,5))</f>
        <v/>
      </c>
      <c r="P316">
        <f>IF($O316="","",COUNTIFS(ExpSub,$K316,ExpKey,"&lt;"&amp;$O316)+1)</f>
        <v/>
      </c>
      <c r="Q316">
        <f>IF($P316="","",$K316&amp;"|"&amp;RIGHT("000000"&amp;$P316,6))</f>
        <v/>
      </c>
    </row>
    <row r="317">
      <c r="A317">
        <f>IF(Sync!$P314="","",Sync!$P314)</f>
        <v/>
      </c>
      <c r="B317">
        <f>IF($A317="","",IF(ISNUMBER($A317),IF(AND($A317&gt;=10000101,$A317&lt;=99991231),INT($A317/10000),""),IFERROR(VALUE(TRIM(LEFT($A317,FIND("/",$A317)-1))),"")))</f>
        <v/>
      </c>
      <c r="C317">
        <f>IF(OR($A317="",$B317=""),"",IF(ISNUMBER($A317),INT(MOD($A317,10000)/100),IFERROR(VALUE(TRIM(LEFT(MID($A317,FIND("/",$A317)+1,20),FIND("/",MID($A317,FIND("/",$A317)+1,20))-1))),"")))</f>
        <v/>
      </c>
      <c r="D317">
        <f>IF(OR($A317="",$B317=""),"",IF(ISNUMBER($A317),MOD($A317,100),IFERROR(VALUE(TRIM(MID(MID($A317,FIND("/",$A317)+1,20),FIND("/",MID($A317,FIND("/",$A317)+1,20))+1,20))),"")))</f>
        <v/>
      </c>
      <c r="E317">
        <f>IF($A317="","",IF(OR($B317="",$C317="",$D317="",$B317&lt;1300,$B317&gt;1500,$C317&lt;1,$C317&gt;12,$D317&lt;1,$D317&gt;31),"نامعتبر",RIGHT("0000"&amp;$B317,4)&amp;"/"&amp;RIGHT("00"&amp;$C317,2)&amp;"/"&amp;RIGHT("00"&amp;$D317,2)))</f>
        <v/>
      </c>
      <c r="F317">
        <f>IF(OR($E317="",$E317="نامعتبر"),"",IF(Sync!$Q314="","0000",IF(AND(ISNUMBER(Sync!$Q314),Sync!$Q314&gt;=0,Sync!$Q314&lt;1),RIGHT("00"&amp;HOUR(Sync!$Q314),2)&amp;RIGHT("00"&amp;MINUTE(Sync!$Q314),2),IFERROR(RIGHT("00"&amp;VALUE(LEFT(Sync!$Q314,FIND(":",Sync!$Q314)-1)),2)&amp;RIGHT("00"&amp;VALUE(MID(Sync!$Q314,FIND(":",Sync!$Q314)+1,2)),2),"0000"))))</f>
        <v/>
      </c>
      <c r="G317">
        <f>IF(OR($E317="",$E317="نامعتبر"),"",IF(Sync!$S314="","",Sync!$S314))</f>
        <v/>
      </c>
      <c r="H317">
        <f>IF(OR($E317="",$E317="نامعتبر"),"",IF(Sync!$R314="","",Sync!$R314))</f>
        <v/>
      </c>
      <c r="I317">
        <f>IF(OR($E317="",$E317="نامعتبر"),"",IF(Sync!$T314="","",Sync!$T314))</f>
        <v/>
      </c>
      <c r="J317">
        <f>IF(OR($E317="",$E317="نامعتبر"),"",IF(Sync!$U314="","",Sync!$U314))</f>
        <v/>
      </c>
      <c r="K317">
        <f>IF(OR($E317="",$E317="نامعتبر"),"",IF(Sync!$V314="","",IFERROR(INDEX(SubCodes,MATCH(Sync!$V314,SubTitles,0)),Sync!$V314)))</f>
        <v/>
      </c>
      <c r="L317">
        <f>IF(OR($E317="",$E317="نامعتبر"),"",IF(Sync!$W314="",0,Sync!$W314))</f>
        <v/>
      </c>
      <c r="M317">
        <f>IF(OR($E317="",$E317="نامعتبر"),"",IF(Sync!$X314="",0,Sync!$X314))</f>
        <v/>
      </c>
      <c r="N317">
        <f>IF(OR($E317="",$E317="نامعتبر"),"",IF(AND($J317="هزینه",$K317&lt;&gt;""),1,0))</f>
        <v/>
      </c>
      <c r="O317">
        <f>IF($N317=0,"",LEFT($E317,4)&amp;MID($E317,6,2)&amp;RIGHT($E317,2)&amp;$F317&amp;"|"&amp;"1"&amp;RIGHT("00000"&amp;309,5))</f>
        <v/>
      </c>
      <c r="P317">
        <f>IF($O317="","",COUNTIFS(ExpSub,$K317,ExpKey,"&lt;"&amp;$O317)+1)</f>
        <v/>
      </c>
      <c r="Q317">
        <f>IF($P317="","",$K317&amp;"|"&amp;RIGHT("000000"&amp;$P317,6))</f>
        <v/>
      </c>
    </row>
    <row r="318">
      <c r="A318">
        <f>IF(Sync!$P315="","",Sync!$P315)</f>
        <v/>
      </c>
      <c r="B318">
        <f>IF($A318="","",IF(ISNUMBER($A318),IF(AND($A318&gt;=10000101,$A318&lt;=99991231),INT($A318/10000),""),IFERROR(VALUE(TRIM(LEFT($A318,FIND("/",$A318)-1))),"")))</f>
        <v/>
      </c>
      <c r="C318">
        <f>IF(OR($A318="",$B318=""),"",IF(ISNUMBER($A318),INT(MOD($A318,10000)/100),IFERROR(VALUE(TRIM(LEFT(MID($A318,FIND("/",$A318)+1,20),FIND("/",MID($A318,FIND("/",$A318)+1,20))-1))),"")))</f>
        <v/>
      </c>
      <c r="D318">
        <f>IF(OR($A318="",$B318=""),"",IF(ISNUMBER($A318),MOD($A318,100),IFERROR(VALUE(TRIM(MID(MID($A318,FIND("/",$A318)+1,20),FIND("/",MID($A318,FIND("/",$A318)+1,20))+1,20))),"")))</f>
        <v/>
      </c>
      <c r="E318">
        <f>IF($A318="","",IF(OR($B318="",$C318="",$D318="",$B318&lt;1300,$B318&gt;1500,$C318&lt;1,$C318&gt;12,$D318&lt;1,$D318&gt;31),"نامعتبر",RIGHT("0000"&amp;$B318,4)&amp;"/"&amp;RIGHT("00"&amp;$C318,2)&amp;"/"&amp;RIGHT("00"&amp;$D318,2)))</f>
        <v/>
      </c>
      <c r="F318">
        <f>IF(OR($E318="",$E318="نامعتبر"),"",IF(Sync!$Q315="","0000",IF(AND(ISNUMBER(Sync!$Q315),Sync!$Q315&gt;=0,Sync!$Q315&lt;1),RIGHT("00"&amp;HOUR(Sync!$Q315),2)&amp;RIGHT("00"&amp;MINUTE(Sync!$Q315),2),IFERROR(RIGHT("00"&amp;VALUE(LEFT(Sync!$Q315,FIND(":",Sync!$Q315)-1)),2)&amp;RIGHT("00"&amp;VALUE(MID(Sync!$Q315,FIND(":",Sync!$Q315)+1,2)),2),"0000"))))</f>
        <v/>
      </c>
      <c r="G318">
        <f>IF(OR($E318="",$E318="نامعتبر"),"",IF(Sync!$S315="","",Sync!$S315))</f>
        <v/>
      </c>
      <c r="H318">
        <f>IF(OR($E318="",$E318="نامعتبر"),"",IF(Sync!$R315="","",Sync!$R315))</f>
        <v/>
      </c>
      <c r="I318">
        <f>IF(OR($E318="",$E318="نامعتبر"),"",IF(Sync!$T315="","",Sync!$T315))</f>
        <v/>
      </c>
      <c r="J318">
        <f>IF(OR($E318="",$E318="نامعتبر"),"",IF(Sync!$U315="","",Sync!$U315))</f>
        <v/>
      </c>
      <c r="K318">
        <f>IF(OR($E318="",$E318="نامعتبر"),"",IF(Sync!$V315="","",IFERROR(INDEX(SubCodes,MATCH(Sync!$V315,SubTitles,0)),Sync!$V315)))</f>
        <v/>
      </c>
      <c r="L318">
        <f>IF(OR($E318="",$E318="نامعتبر"),"",IF(Sync!$W315="",0,Sync!$W315))</f>
        <v/>
      </c>
      <c r="M318">
        <f>IF(OR($E318="",$E318="نامعتبر"),"",IF(Sync!$X315="",0,Sync!$X315))</f>
        <v/>
      </c>
      <c r="N318">
        <f>IF(OR($E318="",$E318="نامعتبر"),"",IF(AND($J318="هزینه",$K318&lt;&gt;""),1,0))</f>
        <v/>
      </c>
      <c r="O318">
        <f>IF($N318=0,"",LEFT($E318,4)&amp;MID($E318,6,2)&amp;RIGHT($E318,2)&amp;$F318&amp;"|"&amp;"1"&amp;RIGHT("00000"&amp;310,5))</f>
        <v/>
      </c>
      <c r="P318">
        <f>IF($O318="","",COUNTIFS(ExpSub,$K318,ExpKey,"&lt;"&amp;$O318)+1)</f>
        <v/>
      </c>
      <c r="Q318">
        <f>IF($P318="","",$K318&amp;"|"&amp;RIGHT("000000"&amp;$P318,6))</f>
        <v/>
      </c>
    </row>
    <row r="319">
      <c r="A319">
        <f>IF(Sync!$P316="","",Sync!$P316)</f>
        <v/>
      </c>
      <c r="B319">
        <f>IF($A319="","",IF(ISNUMBER($A319),IF(AND($A319&gt;=10000101,$A319&lt;=99991231),INT($A319/10000),""),IFERROR(VALUE(TRIM(LEFT($A319,FIND("/",$A319)-1))),"")))</f>
        <v/>
      </c>
      <c r="C319">
        <f>IF(OR($A319="",$B319=""),"",IF(ISNUMBER($A319),INT(MOD($A319,10000)/100),IFERROR(VALUE(TRIM(LEFT(MID($A319,FIND("/",$A319)+1,20),FIND("/",MID($A319,FIND("/",$A319)+1,20))-1))),"")))</f>
        <v/>
      </c>
      <c r="D319">
        <f>IF(OR($A319="",$B319=""),"",IF(ISNUMBER($A319),MOD($A319,100),IFERROR(VALUE(TRIM(MID(MID($A319,FIND("/",$A319)+1,20),FIND("/",MID($A319,FIND("/",$A319)+1,20))+1,20))),"")))</f>
        <v/>
      </c>
      <c r="E319">
        <f>IF($A319="","",IF(OR($B319="",$C319="",$D319="",$B319&lt;1300,$B319&gt;1500,$C319&lt;1,$C319&gt;12,$D319&lt;1,$D319&gt;31),"نامعتبر",RIGHT("0000"&amp;$B319,4)&amp;"/"&amp;RIGHT("00"&amp;$C319,2)&amp;"/"&amp;RIGHT("00"&amp;$D319,2)))</f>
        <v/>
      </c>
      <c r="F319">
        <f>IF(OR($E319="",$E319="نامعتبر"),"",IF(Sync!$Q316="","0000",IF(AND(ISNUMBER(Sync!$Q316),Sync!$Q316&gt;=0,Sync!$Q316&lt;1),RIGHT("00"&amp;HOUR(Sync!$Q316),2)&amp;RIGHT("00"&amp;MINUTE(Sync!$Q316),2),IFERROR(RIGHT("00"&amp;VALUE(LEFT(Sync!$Q316,FIND(":",Sync!$Q316)-1)),2)&amp;RIGHT("00"&amp;VALUE(MID(Sync!$Q316,FIND(":",Sync!$Q316)+1,2)),2),"0000"))))</f>
        <v/>
      </c>
      <c r="G319">
        <f>IF(OR($E319="",$E319="نامعتبر"),"",IF(Sync!$S316="","",Sync!$S316))</f>
        <v/>
      </c>
      <c r="H319">
        <f>IF(OR($E319="",$E319="نامعتبر"),"",IF(Sync!$R316="","",Sync!$R316))</f>
        <v/>
      </c>
      <c r="I319">
        <f>IF(OR($E319="",$E319="نامعتبر"),"",IF(Sync!$T316="","",Sync!$T316))</f>
        <v/>
      </c>
      <c r="J319">
        <f>IF(OR($E319="",$E319="نامعتبر"),"",IF(Sync!$U316="","",Sync!$U316))</f>
        <v/>
      </c>
      <c r="K319">
        <f>IF(OR($E319="",$E319="نامعتبر"),"",IF(Sync!$V316="","",IFERROR(INDEX(SubCodes,MATCH(Sync!$V316,SubTitles,0)),Sync!$V316)))</f>
        <v/>
      </c>
      <c r="L319">
        <f>IF(OR($E319="",$E319="نامعتبر"),"",IF(Sync!$W316="",0,Sync!$W316))</f>
        <v/>
      </c>
      <c r="M319">
        <f>IF(OR($E319="",$E319="نامعتبر"),"",IF(Sync!$X316="",0,Sync!$X316))</f>
        <v/>
      </c>
      <c r="N319">
        <f>IF(OR($E319="",$E319="نامعتبر"),"",IF(AND($J319="هزینه",$K319&lt;&gt;""),1,0))</f>
        <v/>
      </c>
      <c r="O319">
        <f>IF($N319=0,"",LEFT($E319,4)&amp;MID($E319,6,2)&amp;RIGHT($E319,2)&amp;$F319&amp;"|"&amp;"1"&amp;RIGHT("00000"&amp;311,5))</f>
        <v/>
      </c>
      <c r="P319">
        <f>IF($O319="","",COUNTIFS(ExpSub,$K319,ExpKey,"&lt;"&amp;$O319)+1)</f>
        <v/>
      </c>
      <c r="Q319">
        <f>IF($P319="","",$K319&amp;"|"&amp;RIGHT("000000"&amp;$P319,6))</f>
        <v/>
      </c>
    </row>
    <row r="320">
      <c r="A320">
        <f>IF(Sync!$P317="","",Sync!$P317)</f>
        <v/>
      </c>
      <c r="B320">
        <f>IF($A320="","",IF(ISNUMBER($A320),IF(AND($A320&gt;=10000101,$A320&lt;=99991231),INT($A320/10000),""),IFERROR(VALUE(TRIM(LEFT($A320,FIND("/",$A320)-1))),"")))</f>
        <v/>
      </c>
      <c r="C320">
        <f>IF(OR($A320="",$B320=""),"",IF(ISNUMBER($A320),INT(MOD($A320,10000)/100),IFERROR(VALUE(TRIM(LEFT(MID($A320,FIND("/",$A320)+1,20),FIND("/",MID($A320,FIND("/",$A320)+1,20))-1))),"")))</f>
        <v/>
      </c>
      <c r="D320">
        <f>IF(OR($A320="",$B320=""),"",IF(ISNUMBER($A320),MOD($A320,100),IFERROR(VALUE(TRIM(MID(MID($A320,FIND("/",$A320)+1,20),FIND("/",MID($A320,FIND("/",$A320)+1,20))+1,20))),"")))</f>
        <v/>
      </c>
      <c r="E320">
        <f>IF($A320="","",IF(OR($B320="",$C320="",$D320="",$B320&lt;1300,$B320&gt;1500,$C320&lt;1,$C320&gt;12,$D320&lt;1,$D320&gt;31),"نامعتبر",RIGHT("0000"&amp;$B320,4)&amp;"/"&amp;RIGHT("00"&amp;$C320,2)&amp;"/"&amp;RIGHT("00"&amp;$D320,2)))</f>
        <v/>
      </c>
      <c r="F320">
        <f>IF(OR($E320="",$E320="نامعتبر"),"",IF(Sync!$Q317="","0000",IF(AND(ISNUMBER(Sync!$Q317),Sync!$Q317&gt;=0,Sync!$Q317&lt;1),RIGHT("00"&amp;HOUR(Sync!$Q317),2)&amp;RIGHT("00"&amp;MINUTE(Sync!$Q317),2),IFERROR(RIGHT("00"&amp;VALUE(LEFT(Sync!$Q317,FIND(":",Sync!$Q317)-1)),2)&amp;RIGHT("00"&amp;VALUE(MID(Sync!$Q317,FIND(":",Sync!$Q317)+1,2)),2),"0000"))))</f>
        <v/>
      </c>
      <c r="G320">
        <f>IF(OR($E320="",$E320="نامعتبر"),"",IF(Sync!$S317="","",Sync!$S317))</f>
        <v/>
      </c>
      <c r="H320">
        <f>IF(OR($E320="",$E320="نامعتبر"),"",IF(Sync!$R317="","",Sync!$R317))</f>
        <v/>
      </c>
      <c r="I320">
        <f>IF(OR($E320="",$E320="نامعتبر"),"",IF(Sync!$T317="","",Sync!$T317))</f>
        <v/>
      </c>
      <c r="J320">
        <f>IF(OR($E320="",$E320="نامعتبر"),"",IF(Sync!$U317="","",Sync!$U317))</f>
        <v/>
      </c>
      <c r="K320">
        <f>IF(OR($E320="",$E320="نامعتبر"),"",IF(Sync!$V317="","",IFERROR(INDEX(SubCodes,MATCH(Sync!$V317,SubTitles,0)),Sync!$V317)))</f>
        <v/>
      </c>
      <c r="L320">
        <f>IF(OR($E320="",$E320="نامعتبر"),"",IF(Sync!$W317="",0,Sync!$W317))</f>
        <v/>
      </c>
      <c r="M320">
        <f>IF(OR($E320="",$E320="نامعتبر"),"",IF(Sync!$X317="",0,Sync!$X317))</f>
        <v/>
      </c>
      <c r="N320">
        <f>IF(OR($E320="",$E320="نامعتبر"),"",IF(AND($J320="هزینه",$K320&lt;&gt;""),1,0))</f>
        <v/>
      </c>
      <c r="O320">
        <f>IF($N320=0,"",LEFT($E320,4)&amp;MID($E320,6,2)&amp;RIGHT($E320,2)&amp;$F320&amp;"|"&amp;"1"&amp;RIGHT("00000"&amp;312,5))</f>
        <v/>
      </c>
      <c r="P320">
        <f>IF($O320="","",COUNTIFS(ExpSub,$K320,ExpKey,"&lt;"&amp;$O320)+1)</f>
        <v/>
      </c>
      <c r="Q320">
        <f>IF($P320="","",$K320&amp;"|"&amp;RIGHT("000000"&amp;$P320,6))</f>
        <v/>
      </c>
    </row>
    <row r="321">
      <c r="A321">
        <f>IF(Sync!$P318="","",Sync!$P318)</f>
        <v/>
      </c>
      <c r="B321">
        <f>IF($A321="","",IF(ISNUMBER($A321),IF(AND($A321&gt;=10000101,$A321&lt;=99991231),INT($A321/10000),""),IFERROR(VALUE(TRIM(LEFT($A321,FIND("/",$A321)-1))),"")))</f>
        <v/>
      </c>
      <c r="C321">
        <f>IF(OR($A321="",$B321=""),"",IF(ISNUMBER($A321),INT(MOD($A321,10000)/100),IFERROR(VALUE(TRIM(LEFT(MID($A321,FIND("/",$A321)+1,20),FIND("/",MID($A321,FIND("/",$A321)+1,20))-1))),"")))</f>
        <v/>
      </c>
      <c r="D321">
        <f>IF(OR($A321="",$B321=""),"",IF(ISNUMBER($A321),MOD($A321,100),IFERROR(VALUE(TRIM(MID(MID($A321,FIND("/",$A321)+1,20),FIND("/",MID($A321,FIND("/",$A321)+1,20))+1,20))),"")))</f>
        <v/>
      </c>
      <c r="E321">
        <f>IF($A321="","",IF(OR($B321="",$C321="",$D321="",$B321&lt;1300,$B321&gt;1500,$C321&lt;1,$C321&gt;12,$D321&lt;1,$D321&gt;31),"نامعتبر",RIGHT("0000"&amp;$B321,4)&amp;"/"&amp;RIGHT("00"&amp;$C321,2)&amp;"/"&amp;RIGHT("00"&amp;$D321,2)))</f>
        <v/>
      </c>
      <c r="F321">
        <f>IF(OR($E321="",$E321="نامعتبر"),"",IF(Sync!$Q318="","0000",IF(AND(ISNUMBER(Sync!$Q318),Sync!$Q318&gt;=0,Sync!$Q318&lt;1),RIGHT("00"&amp;HOUR(Sync!$Q318),2)&amp;RIGHT("00"&amp;MINUTE(Sync!$Q318),2),IFERROR(RIGHT("00"&amp;VALUE(LEFT(Sync!$Q318,FIND(":",Sync!$Q318)-1)),2)&amp;RIGHT("00"&amp;VALUE(MID(Sync!$Q318,FIND(":",Sync!$Q318)+1,2)),2),"0000"))))</f>
        <v/>
      </c>
      <c r="G321">
        <f>IF(OR($E321="",$E321="نامعتبر"),"",IF(Sync!$S318="","",Sync!$S318))</f>
        <v/>
      </c>
      <c r="H321">
        <f>IF(OR($E321="",$E321="نامعتبر"),"",IF(Sync!$R318="","",Sync!$R318))</f>
        <v/>
      </c>
      <c r="I321">
        <f>IF(OR($E321="",$E321="نامعتبر"),"",IF(Sync!$T318="","",Sync!$T318))</f>
        <v/>
      </c>
      <c r="J321">
        <f>IF(OR($E321="",$E321="نامعتبر"),"",IF(Sync!$U318="","",Sync!$U318))</f>
        <v/>
      </c>
      <c r="K321">
        <f>IF(OR($E321="",$E321="نامعتبر"),"",IF(Sync!$V318="","",IFERROR(INDEX(SubCodes,MATCH(Sync!$V318,SubTitles,0)),Sync!$V318)))</f>
        <v/>
      </c>
      <c r="L321">
        <f>IF(OR($E321="",$E321="نامعتبر"),"",IF(Sync!$W318="",0,Sync!$W318))</f>
        <v/>
      </c>
      <c r="M321">
        <f>IF(OR($E321="",$E321="نامعتبر"),"",IF(Sync!$X318="",0,Sync!$X318))</f>
        <v/>
      </c>
      <c r="N321">
        <f>IF(OR($E321="",$E321="نامعتبر"),"",IF(AND($J321="هزینه",$K321&lt;&gt;""),1,0))</f>
        <v/>
      </c>
      <c r="O321">
        <f>IF($N321=0,"",LEFT($E321,4)&amp;MID($E321,6,2)&amp;RIGHT($E321,2)&amp;$F321&amp;"|"&amp;"1"&amp;RIGHT("00000"&amp;313,5))</f>
        <v/>
      </c>
      <c r="P321">
        <f>IF($O321="","",COUNTIFS(ExpSub,$K321,ExpKey,"&lt;"&amp;$O321)+1)</f>
        <v/>
      </c>
      <c r="Q321">
        <f>IF($P321="","",$K321&amp;"|"&amp;RIGHT("000000"&amp;$P321,6))</f>
        <v/>
      </c>
    </row>
    <row r="322">
      <c r="A322">
        <f>IF(Sync!$P319="","",Sync!$P319)</f>
        <v/>
      </c>
      <c r="B322">
        <f>IF($A322="","",IF(ISNUMBER($A322),IF(AND($A322&gt;=10000101,$A322&lt;=99991231),INT($A322/10000),""),IFERROR(VALUE(TRIM(LEFT($A322,FIND("/",$A322)-1))),"")))</f>
        <v/>
      </c>
      <c r="C322">
        <f>IF(OR($A322="",$B322=""),"",IF(ISNUMBER($A322),INT(MOD($A322,10000)/100),IFERROR(VALUE(TRIM(LEFT(MID($A322,FIND("/",$A322)+1,20),FIND("/",MID($A322,FIND("/",$A322)+1,20))-1))),"")))</f>
        <v/>
      </c>
      <c r="D322">
        <f>IF(OR($A322="",$B322=""),"",IF(ISNUMBER($A322),MOD($A322,100),IFERROR(VALUE(TRIM(MID(MID($A322,FIND("/",$A322)+1,20),FIND("/",MID($A322,FIND("/",$A322)+1,20))+1,20))),"")))</f>
        <v/>
      </c>
      <c r="E322">
        <f>IF($A322="","",IF(OR($B322="",$C322="",$D322="",$B322&lt;1300,$B322&gt;1500,$C322&lt;1,$C322&gt;12,$D322&lt;1,$D322&gt;31),"نامعتبر",RIGHT("0000"&amp;$B322,4)&amp;"/"&amp;RIGHT("00"&amp;$C322,2)&amp;"/"&amp;RIGHT("00"&amp;$D322,2)))</f>
        <v/>
      </c>
      <c r="F322">
        <f>IF(OR($E322="",$E322="نامعتبر"),"",IF(Sync!$Q319="","0000",IF(AND(ISNUMBER(Sync!$Q319),Sync!$Q319&gt;=0,Sync!$Q319&lt;1),RIGHT("00"&amp;HOUR(Sync!$Q319),2)&amp;RIGHT("00"&amp;MINUTE(Sync!$Q319),2),IFERROR(RIGHT("00"&amp;VALUE(LEFT(Sync!$Q319,FIND(":",Sync!$Q319)-1)),2)&amp;RIGHT("00"&amp;VALUE(MID(Sync!$Q319,FIND(":",Sync!$Q319)+1,2)),2),"0000"))))</f>
        <v/>
      </c>
      <c r="G322">
        <f>IF(OR($E322="",$E322="نامعتبر"),"",IF(Sync!$S319="","",Sync!$S319))</f>
        <v/>
      </c>
      <c r="H322">
        <f>IF(OR($E322="",$E322="نامعتبر"),"",IF(Sync!$R319="","",Sync!$R319))</f>
        <v/>
      </c>
      <c r="I322">
        <f>IF(OR($E322="",$E322="نامعتبر"),"",IF(Sync!$T319="","",Sync!$T319))</f>
        <v/>
      </c>
      <c r="J322">
        <f>IF(OR($E322="",$E322="نامعتبر"),"",IF(Sync!$U319="","",Sync!$U319))</f>
        <v/>
      </c>
      <c r="K322">
        <f>IF(OR($E322="",$E322="نامعتبر"),"",IF(Sync!$V319="","",IFERROR(INDEX(SubCodes,MATCH(Sync!$V319,SubTitles,0)),Sync!$V319)))</f>
        <v/>
      </c>
      <c r="L322">
        <f>IF(OR($E322="",$E322="نامعتبر"),"",IF(Sync!$W319="",0,Sync!$W319))</f>
        <v/>
      </c>
      <c r="M322">
        <f>IF(OR($E322="",$E322="نامعتبر"),"",IF(Sync!$X319="",0,Sync!$X319))</f>
        <v/>
      </c>
      <c r="N322">
        <f>IF(OR($E322="",$E322="نامعتبر"),"",IF(AND($J322="هزینه",$K322&lt;&gt;""),1,0))</f>
        <v/>
      </c>
      <c r="O322">
        <f>IF($N322=0,"",LEFT($E322,4)&amp;MID($E322,6,2)&amp;RIGHT($E322,2)&amp;$F322&amp;"|"&amp;"1"&amp;RIGHT("00000"&amp;314,5))</f>
        <v/>
      </c>
      <c r="P322">
        <f>IF($O322="","",COUNTIFS(ExpSub,$K322,ExpKey,"&lt;"&amp;$O322)+1)</f>
        <v/>
      </c>
      <c r="Q322">
        <f>IF($P322="","",$K322&amp;"|"&amp;RIGHT("000000"&amp;$P322,6))</f>
        <v/>
      </c>
    </row>
    <row r="323">
      <c r="A323">
        <f>IF(Sync!$P320="","",Sync!$P320)</f>
        <v/>
      </c>
      <c r="B323">
        <f>IF($A323="","",IF(ISNUMBER($A323),IF(AND($A323&gt;=10000101,$A323&lt;=99991231),INT($A323/10000),""),IFERROR(VALUE(TRIM(LEFT($A323,FIND("/",$A323)-1))),"")))</f>
        <v/>
      </c>
      <c r="C323">
        <f>IF(OR($A323="",$B323=""),"",IF(ISNUMBER($A323),INT(MOD($A323,10000)/100),IFERROR(VALUE(TRIM(LEFT(MID($A323,FIND("/",$A323)+1,20),FIND("/",MID($A323,FIND("/",$A323)+1,20))-1))),"")))</f>
        <v/>
      </c>
      <c r="D323">
        <f>IF(OR($A323="",$B323=""),"",IF(ISNUMBER($A323),MOD($A323,100),IFERROR(VALUE(TRIM(MID(MID($A323,FIND("/",$A323)+1,20),FIND("/",MID($A323,FIND("/",$A323)+1,20))+1,20))),"")))</f>
        <v/>
      </c>
      <c r="E323">
        <f>IF($A323="","",IF(OR($B323="",$C323="",$D323="",$B323&lt;1300,$B323&gt;1500,$C323&lt;1,$C323&gt;12,$D323&lt;1,$D323&gt;31),"نامعتبر",RIGHT("0000"&amp;$B323,4)&amp;"/"&amp;RIGHT("00"&amp;$C323,2)&amp;"/"&amp;RIGHT("00"&amp;$D323,2)))</f>
        <v/>
      </c>
      <c r="F323">
        <f>IF(OR($E323="",$E323="نامعتبر"),"",IF(Sync!$Q320="","0000",IF(AND(ISNUMBER(Sync!$Q320),Sync!$Q320&gt;=0,Sync!$Q320&lt;1),RIGHT("00"&amp;HOUR(Sync!$Q320),2)&amp;RIGHT("00"&amp;MINUTE(Sync!$Q320),2),IFERROR(RIGHT("00"&amp;VALUE(LEFT(Sync!$Q320,FIND(":",Sync!$Q320)-1)),2)&amp;RIGHT("00"&amp;VALUE(MID(Sync!$Q320,FIND(":",Sync!$Q320)+1,2)),2),"0000"))))</f>
        <v/>
      </c>
      <c r="G323">
        <f>IF(OR($E323="",$E323="نامعتبر"),"",IF(Sync!$S320="","",Sync!$S320))</f>
        <v/>
      </c>
      <c r="H323">
        <f>IF(OR($E323="",$E323="نامعتبر"),"",IF(Sync!$R320="","",Sync!$R320))</f>
        <v/>
      </c>
      <c r="I323">
        <f>IF(OR($E323="",$E323="نامعتبر"),"",IF(Sync!$T320="","",Sync!$T320))</f>
        <v/>
      </c>
      <c r="J323">
        <f>IF(OR($E323="",$E323="نامعتبر"),"",IF(Sync!$U320="","",Sync!$U320))</f>
        <v/>
      </c>
      <c r="K323">
        <f>IF(OR($E323="",$E323="نامعتبر"),"",IF(Sync!$V320="","",IFERROR(INDEX(SubCodes,MATCH(Sync!$V320,SubTitles,0)),Sync!$V320)))</f>
        <v/>
      </c>
      <c r="L323">
        <f>IF(OR($E323="",$E323="نامعتبر"),"",IF(Sync!$W320="",0,Sync!$W320))</f>
        <v/>
      </c>
      <c r="M323">
        <f>IF(OR($E323="",$E323="نامعتبر"),"",IF(Sync!$X320="",0,Sync!$X320))</f>
        <v/>
      </c>
      <c r="N323">
        <f>IF(OR($E323="",$E323="نامعتبر"),"",IF(AND($J323="هزینه",$K323&lt;&gt;""),1,0))</f>
        <v/>
      </c>
      <c r="O323">
        <f>IF($N323=0,"",LEFT($E323,4)&amp;MID($E323,6,2)&amp;RIGHT($E323,2)&amp;$F323&amp;"|"&amp;"1"&amp;RIGHT("00000"&amp;315,5))</f>
        <v/>
      </c>
      <c r="P323">
        <f>IF($O323="","",COUNTIFS(ExpSub,$K323,ExpKey,"&lt;"&amp;$O323)+1)</f>
        <v/>
      </c>
      <c r="Q323">
        <f>IF($P323="","",$K323&amp;"|"&amp;RIGHT("000000"&amp;$P323,6))</f>
        <v/>
      </c>
    </row>
    <row r="324">
      <c r="A324">
        <f>IF(Sync!$P321="","",Sync!$P321)</f>
        <v/>
      </c>
      <c r="B324">
        <f>IF($A324="","",IF(ISNUMBER($A324),IF(AND($A324&gt;=10000101,$A324&lt;=99991231),INT($A324/10000),""),IFERROR(VALUE(TRIM(LEFT($A324,FIND("/",$A324)-1))),"")))</f>
        <v/>
      </c>
      <c r="C324">
        <f>IF(OR($A324="",$B324=""),"",IF(ISNUMBER($A324),INT(MOD($A324,10000)/100),IFERROR(VALUE(TRIM(LEFT(MID($A324,FIND("/",$A324)+1,20),FIND("/",MID($A324,FIND("/",$A324)+1,20))-1))),"")))</f>
        <v/>
      </c>
      <c r="D324">
        <f>IF(OR($A324="",$B324=""),"",IF(ISNUMBER($A324),MOD($A324,100),IFERROR(VALUE(TRIM(MID(MID($A324,FIND("/",$A324)+1,20),FIND("/",MID($A324,FIND("/",$A324)+1,20))+1,20))),"")))</f>
        <v/>
      </c>
      <c r="E324">
        <f>IF($A324="","",IF(OR($B324="",$C324="",$D324="",$B324&lt;1300,$B324&gt;1500,$C324&lt;1,$C324&gt;12,$D324&lt;1,$D324&gt;31),"نامعتبر",RIGHT("0000"&amp;$B324,4)&amp;"/"&amp;RIGHT("00"&amp;$C324,2)&amp;"/"&amp;RIGHT("00"&amp;$D324,2)))</f>
        <v/>
      </c>
      <c r="F324">
        <f>IF(OR($E324="",$E324="نامعتبر"),"",IF(Sync!$Q321="","0000",IF(AND(ISNUMBER(Sync!$Q321),Sync!$Q321&gt;=0,Sync!$Q321&lt;1),RIGHT("00"&amp;HOUR(Sync!$Q321),2)&amp;RIGHT("00"&amp;MINUTE(Sync!$Q321),2),IFERROR(RIGHT("00"&amp;VALUE(LEFT(Sync!$Q321,FIND(":",Sync!$Q321)-1)),2)&amp;RIGHT("00"&amp;VALUE(MID(Sync!$Q321,FIND(":",Sync!$Q321)+1,2)),2),"0000"))))</f>
        <v/>
      </c>
      <c r="G324">
        <f>IF(OR($E324="",$E324="نامعتبر"),"",IF(Sync!$S321="","",Sync!$S321))</f>
        <v/>
      </c>
      <c r="H324">
        <f>IF(OR($E324="",$E324="نامعتبر"),"",IF(Sync!$R321="","",Sync!$R321))</f>
        <v/>
      </c>
      <c r="I324">
        <f>IF(OR($E324="",$E324="نامعتبر"),"",IF(Sync!$T321="","",Sync!$T321))</f>
        <v/>
      </c>
      <c r="J324">
        <f>IF(OR($E324="",$E324="نامعتبر"),"",IF(Sync!$U321="","",Sync!$U321))</f>
        <v/>
      </c>
      <c r="K324">
        <f>IF(OR($E324="",$E324="نامعتبر"),"",IF(Sync!$V321="","",IFERROR(INDEX(SubCodes,MATCH(Sync!$V321,SubTitles,0)),Sync!$V321)))</f>
        <v/>
      </c>
      <c r="L324">
        <f>IF(OR($E324="",$E324="نامعتبر"),"",IF(Sync!$W321="",0,Sync!$W321))</f>
        <v/>
      </c>
      <c r="M324">
        <f>IF(OR($E324="",$E324="نامعتبر"),"",IF(Sync!$X321="",0,Sync!$X321))</f>
        <v/>
      </c>
      <c r="N324">
        <f>IF(OR($E324="",$E324="نامعتبر"),"",IF(AND($J324="هزینه",$K324&lt;&gt;""),1,0))</f>
        <v/>
      </c>
      <c r="O324">
        <f>IF($N324=0,"",LEFT($E324,4)&amp;MID($E324,6,2)&amp;RIGHT($E324,2)&amp;$F324&amp;"|"&amp;"1"&amp;RIGHT("00000"&amp;316,5))</f>
        <v/>
      </c>
      <c r="P324">
        <f>IF($O324="","",COUNTIFS(ExpSub,$K324,ExpKey,"&lt;"&amp;$O324)+1)</f>
        <v/>
      </c>
      <c r="Q324">
        <f>IF($P324="","",$K324&amp;"|"&amp;RIGHT("000000"&amp;$P324,6))</f>
        <v/>
      </c>
    </row>
    <row r="325">
      <c r="A325">
        <f>IF(Sync!$P322="","",Sync!$P322)</f>
        <v/>
      </c>
      <c r="B325">
        <f>IF($A325="","",IF(ISNUMBER($A325),IF(AND($A325&gt;=10000101,$A325&lt;=99991231),INT($A325/10000),""),IFERROR(VALUE(TRIM(LEFT($A325,FIND("/",$A325)-1))),"")))</f>
        <v/>
      </c>
      <c r="C325">
        <f>IF(OR($A325="",$B325=""),"",IF(ISNUMBER($A325),INT(MOD($A325,10000)/100),IFERROR(VALUE(TRIM(LEFT(MID($A325,FIND("/",$A325)+1,20),FIND("/",MID($A325,FIND("/",$A325)+1,20))-1))),"")))</f>
        <v/>
      </c>
      <c r="D325">
        <f>IF(OR($A325="",$B325=""),"",IF(ISNUMBER($A325),MOD($A325,100),IFERROR(VALUE(TRIM(MID(MID($A325,FIND("/",$A325)+1,20),FIND("/",MID($A325,FIND("/",$A325)+1,20))+1,20))),"")))</f>
        <v/>
      </c>
      <c r="E325">
        <f>IF($A325="","",IF(OR($B325="",$C325="",$D325="",$B325&lt;1300,$B325&gt;1500,$C325&lt;1,$C325&gt;12,$D325&lt;1,$D325&gt;31),"نامعتبر",RIGHT("0000"&amp;$B325,4)&amp;"/"&amp;RIGHT("00"&amp;$C325,2)&amp;"/"&amp;RIGHT("00"&amp;$D325,2)))</f>
        <v/>
      </c>
      <c r="F325">
        <f>IF(OR($E325="",$E325="نامعتبر"),"",IF(Sync!$Q322="","0000",IF(AND(ISNUMBER(Sync!$Q322),Sync!$Q322&gt;=0,Sync!$Q322&lt;1),RIGHT("00"&amp;HOUR(Sync!$Q322),2)&amp;RIGHT("00"&amp;MINUTE(Sync!$Q322),2),IFERROR(RIGHT("00"&amp;VALUE(LEFT(Sync!$Q322,FIND(":",Sync!$Q322)-1)),2)&amp;RIGHT("00"&amp;VALUE(MID(Sync!$Q322,FIND(":",Sync!$Q322)+1,2)),2),"0000"))))</f>
        <v/>
      </c>
      <c r="G325">
        <f>IF(OR($E325="",$E325="نامعتبر"),"",IF(Sync!$S322="","",Sync!$S322))</f>
        <v/>
      </c>
      <c r="H325">
        <f>IF(OR($E325="",$E325="نامعتبر"),"",IF(Sync!$R322="","",Sync!$R322))</f>
        <v/>
      </c>
      <c r="I325">
        <f>IF(OR($E325="",$E325="نامعتبر"),"",IF(Sync!$T322="","",Sync!$T322))</f>
        <v/>
      </c>
      <c r="J325">
        <f>IF(OR($E325="",$E325="نامعتبر"),"",IF(Sync!$U322="","",Sync!$U322))</f>
        <v/>
      </c>
      <c r="K325">
        <f>IF(OR($E325="",$E325="نامعتبر"),"",IF(Sync!$V322="","",IFERROR(INDEX(SubCodes,MATCH(Sync!$V322,SubTitles,0)),Sync!$V322)))</f>
        <v/>
      </c>
      <c r="L325">
        <f>IF(OR($E325="",$E325="نامعتبر"),"",IF(Sync!$W322="",0,Sync!$W322))</f>
        <v/>
      </c>
      <c r="M325">
        <f>IF(OR($E325="",$E325="نامعتبر"),"",IF(Sync!$X322="",0,Sync!$X322))</f>
        <v/>
      </c>
      <c r="N325">
        <f>IF(OR($E325="",$E325="نامعتبر"),"",IF(AND($J325="هزینه",$K325&lt;&gt;""),1,0))</f>
        <v/>
      </c>
      <c r="O325">
        <f>IF($N325=0,"",LEFT($E325,4)&amp;MID($E325,6,2)&amp;RIGHT($E325,2)&amp;$F325&amp;"|"&amp;"1"&amp;RIGHT("00000"&amp;317,5))</f>
        <v/>
      </c>
      <c r="P325">
        <f>IF($O325="","",COUNTIFS(ExpSub,$K325,ExpKey,"&lt;"&amp;$O325)+1)</f>
        <v/>
      </c>
      <c r="Q325">
        <f>IF($P325="","",$K325&amp;"|"&amp;RIGHT("000000"&amp;$P325,6))</f>
        <v/>
      </c>
    </row>
    <row r="326">
      <c r="A326">
        <f>IF(Sync!$P323="","",Sync!$P323)</f>
        <v/>
      </c>
      <c r="B326">
        <f>IF($A326="","",IF(ISNUMBER($A326),IF(AND($A326&gt;=10000101,$A326&lt;=99991231),INT($A326/10000),""),IFERROR(VALUE(TRIM(LEFT($A326,FIND("/",$A326)-1))),"")))</f>
        <v/>
      </c>
      <c r="C326">
        <f>IF(OR($A326="",$B326=""),"",IF(ISNUMBER($A326),INT(MOD($A326,10000)/100),IFERROR(VALUE(TRIM(LEFT(MID($A326,FIND("/",$A326)+1,20),FIND("/",MID($A326,FIND("/",$A326)+1,20))-1))),"")))</f>
        <v/>
      </c>
      <c r="D326">
        <f>IF(OR($A326="",$B326=""),"",IF(ISNUMBER($A326),MOD($A326,100),IFERROR(VALUE(TRIM(MID(MID($A326,FIND("/",$A326)+1,20),FIND("/",MID($A326,FIND("/",$A326)+1,20))+1,20))),"")))</f>
        <v/>
      </c>
      <c r="E326">
        <f>IF($A326="","",IF(OR($B326="",$C326="",$D326="",$B326&lt;1300,$B326&gt;1500,$C326&lt;1,$C326&gt;12,$D326&lt;1,$D326&gt;31),"نامعتبر",RIGHT("0000"&amp;$B326,4)&amp;"/"&amp;RIGHT("00"&amp;$C326,2)&amp;"/"&amp;RIGHT("00"&amp;$D326,2)))</f>
        <v/>
      </c>
      <c r="F326">
        <f>IF(OR($E326="",$E326="نامعتبر"),"",IF(Sync!$Q323="","0000",IF(AND(ISNUMBER(Sync!$Q323),Sync!$Q323&gt;=0,Sync!$Q323&lt;1),RIGHT("00"&amp;HOUR(Sync!$Q323),2)&amp;RIGHT("00"&amp;MINUTE(Sync!$Q323),2),IFERROR(RIGHT("00"&amp;VALUE(LEFT(Sync!$Q323,FIND(":",Sync!$Q323)-1)),2)&amp;RIGHT("00"&amp;VALUE(MID(Sync!$Q323,FIND(":",Sync!$Q323)+1,2)),2),"0000"))))</f>
        <v/>
      </c>
      <c r="G326">
        <f>IF(OR($E326="",$E326="نامعتبر"),"",IF(Sync!$S323="","",Sync!$S323))</f>
        <v/>
      </c>
      <c r="H326">
        <f>IF(OR($E326="",$E326="نامعتبر"),"",IF(Sync!$R323="","",Sync!$R323))</f>
        <v/>
      </c>
      <c r="I326">
        <f>IF(OR($E326="",$E326="نامعتبر"),"",IF(Sync!$T323="","",Sync!$T323))</f>
        <v/>
      </c>
      <c r="J326">
        <f>IF(OR($E326="",$E326="نامعتبر"),"",IF(Sync!$U323="","",Sync!$U323))</f>
        <v/>
      </c>
      <c r="K326">
        <f>IF(OR($E326="",$E326="نامعتبر"),"",IF(Sync!$V323="","",IFERROR(INDEX(SubCodes,MATCH(Sync!$V323,SubTitles,0)),Sync!$V323)))</f>
        <v/>
      </c>
      <c r="L326">
        <f>IF(OR($E326="",$E326="نامعتبر"),"",IF(Sync!$W323="",0,Sync!$W323))</f>
        <v/>
      </c>
      <c r="M326">
        <f>IF(OR($E326="",$E326="نامعتبر"),"",IF(Sync!$X323="",0,Sync!$X323))</f>
        <v/>
      </c>
      <c r="N326">
        <f>IF(OR($E326="",$E326="نامعتبر"),"",IF(AND($J326="هزینه",$K326&lt;&gt;""),1,0))</f>
        <v/>
      </c>
      <c r="O326">
        <f>IF($N326=0,"",LEFT($E326,4)&amp;MID($E326,6,2)&amp;RIGHT($E326,2)&amp;$F326&amp;"|"&amp;"1"&amp;RIGHT("00000"&amp;318,5))</f>
        <v/>
      </c>
      <c r="P326">
        <f>IF($O326="","",COUNTIFS(ExpSub,$K326,ExpKey,"&lt;"&amp;$O326)+1)</f>
        <v/>
      </c>
      <c r="Q326">
        <f>IF($P326="","",$K326&amp;"|"&amp;RIGHT("000000"&amp;$P326,6))</f>
        <v/>
      </c>
    </row>
    <row r="327">
      <c r="A327">
        <f>IF(Sync!$P324="","",Sync!$P324)</f>
        <v/>
      </c>
      <c r="B327">
        <f>IF($A327="","",IF(ISNUMBER($A327),IF(AND($A327&gt;=10000101,$A327&lt;=99991231),INT($A327/10000),""),IFERROR(VALUE(TRIM(LEFT($A327,FIND("/",$A327)-1))),"")))</f>
        <v/>
      </c>
      <c r="C327">
        <f>IF(OR($A327="",$B327=""),"",IF(ISNUMBER($A327),INT(MOD($A327,10000)/100),IFERROR(VALUE(TRIM(LEFT(MID($A327,FIND("/",$A327)+1,20),FIND("/",MID($A327,FIND("/",$A327)+1,20))-1))),"")))</f>
        <v/>
      </c>
      <c r="D327">
        <f>IF(OR($A327="",$B327=""),"",IF(ISNUMBER($A327),MOD($A327,100),IFERROR(VALUE(TRIM(MID(MID($A327,FIND("/",$A327)+1,20),FIND("/",MID($A327,FIND("/",$A327)+1,20))+1,20))),"")))</f>
        <v/>
      </c>
      <c r="E327">
        <f>IF($A327="","",IF(OR($B327="",$C327="",$D327="",$B327&lt;1300,$B327&gt;1500,$C327&lt;1,$C327&gt;12,$D327&lt;1,$D327&gt;31),"نامعتبر",RIGHT("0000"&amp;$B327,4)&amp;"/"&amp;RIGHT("00"&amp;$C327,2)&amp;"/"&amp;RIGHT("00"&amp;$D327,2)))</f>
        <v/>
      </c>
      <c r="F327">
        <f>IF(OR($E327="",$E327="نامعتبر"),"",IF(Sync!$Q324="","0000",IF(AND(ISNUMBER(Sync!$Q324),Sync!$Q324&gt;=0,Sync!$Q324&lt;1),RIGHT("00"&amp;HOUR(Sync!$Q324),2)&amp;RIGHT("00"&amp;MINUTE(Sync!$Q324),2),IFERROR(RIGHT("00"&amp;VALUE(LEFT(Sync!$Q324,FIND(":",Sync!$Q324)-1)),2)&amp;RIGHT("00"&amp;VALUE(MID(Sync!$Q324,FIND(":",Sync!$Q324)+1,2)),2),"0000"))))</f>
        <v/>
      </c>
      <c r="G327">
        <f>IF(OR($E327="",$E327="نامعتبر"),"",IF(Sync!$S324="","",Sync!$S324))</f>
        <v/>
      </c>
      <c r="H327">
        <f>IF(OR($E327="",$E327="نامعتبر"),"",IF(Sync!$R324="","",Sync!$R324))</f>
        <v/>
      </c>
      <c r="I327">
        <f>IF(OR($E327="",$E327="نامعتبر"),"",IF(Sync!$T324="","",Sync!$T324))</f>
        <v/>
      </c>
      <c r="J327">
        <f>IF(OR($E327="",$E327="نامعتبر"),"",IF(Sync!$U324="","",Sync!$U324))</f>
        <v/>
      </c>
      <c r="K327">
        <f>IF(OR($E327="",$E327="نامعتبر"),"",IF(Sync!$V324="","",IFERROR(INDEX(SubCodes,MATCH(Sync!$V324,SubTitles,0)),Sync!$V324)))</f>
        <v/>
      </c>
      <c r="L327">
        <f>IF(OR($E327="",$E327="نامعتبر"),"",IF(Sync!$W324="",0,Sync!$W324))</f>
        <v/>
      </c>
      <c r="M327">
        <f>IF(OR($E327="",$E327="نامعتبر"),"",IF(Sync!$X324="",0,Sync!$X324))</f>
        <v/>
      </c>
      <c r="N327">
        <f>IF(OR($E327="",$E327="نامعتبر"),"",IF(AND($J327="هزینه",$K327&lt;&gt;""),1,0))</f>
        <v/>
      </c>
      <c r="O327">
        <f>IF($N327=0,"",LEFT($E327,4)&amp;MID($E327,6,2)&amp;RIGHT($E327,2)&amp;$F327&amp;"|"&amp;"1"&amp;RIGHT("00000"&amp;319,5))</f>
        <v/>
      </c>
      <c r="P327">
        <f>IF($O327="","",COUNTIFS(ExpSub,$K327,ExpKey,"&lt;"&amp;$O327)+1)</f>
        <v/>
      </c>
      <c r="Q327">
        <f>IF($P327="","",$K327&amp;"|"&amp;RIGHT("000000"&amp;$P327,6))</f>
        <v/>
      </c>
    </row>
    <row r="328">
      <c r="A328">
        <f>IF(Sync!$P325="","",Sync!$P325)</f>
        <v/>
      </c>
      <c r="B328">
        <f>IF($A328="","",IF(ISNUMBER($A328),IF(AND($A328&gt;=10000101,$A328&lt;=99991231),INT($A328/10000),""),IFERROR(VALUE(TRIM(LEFT($A328,FIND("/",$A328)-1))),"")))</f>
        <v/>
      </c>
      <c r="C328">
        <f>IF(OR($A328="",$B328=""),"",IF(ISNUMBER($A328),INT(MOD($A328,10000)/100),IFERROR(VALUE(TRIM(LEFT(MID($A328,FIND("/",$A328)+1,20),FIND("/",MID($A328,FIND("/",$A328)+1,20))-1))),"")))</f>
        <v/>
      </c>
      <c r="D328">
        <f>IF(OR($A328="",$B328=""),"",IF(ISNUMBER($A328),MOD($A328,100),IFERROR(VALUE(TRIM(MID(MID($A328,FIND("/",$A328)+1,20),FIND("/",MID($A328,FIND("/",$A328)+1,20))+1,20))),"")))</f>
        <v/>
      </c>
      <c r="E328">
        <f>IF($A328="","",IF(OR($B328="",$C328="",$D328="",$B328&lt;1300,$B328&gt;1500,$C328&lt;1,$C328&gt;12,$D328&lt;1,$D328&gt;31),"نامعتبر",RIGHT("0000"&amp;$B328,4)&amp;"/"&amp;RIGHT("00"&amp;$C328,2)&amp;"/"&amp;RIGHT("00"&amp;$D328,2)))</f>
        <v/>
      </c>
      <c r="F328">
        <f>IF(OR($E328="",$E328="نامعتبر"),"",IF(Sync!$Q325="","0000",IF(AND(ISNUMBER(Sync!$Q325),Sync!$Q325&gt;=0,Sync!$Q325&lt;1),RIGHT("00"&amp;HOUR(Sync!$Q325),2)&amp;RIGHT("00"&amp;MINUTE(Sync!$Q325),2),IFERROR(RIGHT("00"&amp;VALUE(LEFT(Sync!$Q325,FIND(":",Sync!$Q325)-1)),2)&amp;RIGHT("00"&amp;VALUE(MID(Sync!$Q325,FIND(":",Sync!$Q325)+1,2)),2),"0000"))))</f>
        <v/>
      </c>
      <c r="G328">
        <f>IF(OR($E328="",$E328="نامعتبر"),"",IF(Sync!$S325="","",Sync!$S325))</f>
        <v/>
      </c>
      <c r="H328">
        <f>IF(OR($E328="",$E328="نامعتبر"),"",IF(Sync!$R325="","",Sync!$R325))</f>
        <v/>
      </c>
      <c r="I328">
        <f>IF(OR($E328="",$E328="نامعتبر"),"",IF(Sync!$T325="","",Sync!$T325))</f>
        <v/>
      </c>
      <c r="J328">
        <f>IF(OR($E328="",$E328="نامعتبر"),"",IF(Sync!$U325="","",Sync!$U325))</f>
        <v/>
      </c>
      <c r="K328">
        <f>IF(OR($E328="",$E328="نامعتبر"),"",IF(Sync!$V325="","",IFERROR(INDEX(SubCodes,MATCH(Sync!$V325,SubTitles,0)),Sync!$V325)))</f>
        <v/>
      </c>
      <c r="L328">
        <f>IF(OR($E328="",$E328="نامعتبر"),"",IF(Sync!$W325="",0,Sync!$W325))</f>
        <v/>
      </c>
      <c r="M328">
        <f>IF(OR($E328="",$E328="نامعتبر"),"",IF(Sync!$X325="",0,Sync!$X325))</f>
        <v/>
      </c>
      <c r="N328">
        <f>IF(OR($E328="",$E328="نامعتبر"),"",IF(AND($J328="هزینه",$K328&lt;&gt;""),1,0))</f>
        <v/>
      </c>
      <c r="O328">
        <f>IF($N328=0,"",LEFT($E328,4)&amp;MID($E328,6,2)&amp;RIGHT($E328,2)&amp;$F328&amp;"|"&amp;"1"&amp;RIGHT("00000"&amp;320,5))</f>
        <v/>
      </c>
      <c r="P328">
        <f>IF($O328="","",COUNTIFS(ExpSub,$K328,ExpKey,"&lt;"&amp;$O328)+1)</f>
        <v/>
      </c>
      <c r="Q328">
        <f>IF($P328="","",$K328&amp;"|"&amp;RIGHT("000000"&amp;$P328,6))</f>
        <v/>
      </c>
    </row>
    <row r="329">
      <c r="A329">
        <f>IF(Sync!$P326="","",Sync!$P326)</f>
        <v/>
      </c>
      <c r="B329">
        <f>IF($A329="","",IF(ISNUMBER($A329),IF(AND($A329&gt;=10000101,$A329&lt;=99991231),INT($A329/10000),""),IFERROR(VALUE(TRIM(LEFT($A329,FIND("/",$A329)-1))),"")))</f>
        <v/>
      </c>
      <c r="C329">
        <f>IF(OR($A329="",$B329=""),"",IF(ISNUMBER($A329),INT(MOD($A329,10000)/100),IFERROR(VALUE(TRIM(LEFT(MID($A329,FIND("/",$A329)+1,20),FIND("/",MID($A329,FIND("/",$A329)+1,20))-1))),"")))</f>
        <v/>
      </c>
      <c r="D329">
        <f>IF(OR($A329="",$B329=""),"",IF(ISNUMBER($A329),MOD($A329,100),IFERROR(VALUE(TRIM(MID(MID($A329,FIND("/",$A329)+1,20),FIND("/",MID($A329,FIND("/",$A329)+1,20))+1,20))),"")))</f>
        <v/>
      </c>
      <c r="E329">
        <f>IF($A329="","",IF(OR($B329="",$C329="",$D329="",$B329&lt;1300,$B329&gt;1500,$C329&lt;1,$C329&gt;12,$D329&lt;1,$D329&gt;31),"نامعتبر",RIGHT("0000"&amp;$B329,4)&amp;"/"&amp;RIGHT("00"&amp;$C329,2)&amp;"/"&amp;RIGHT("00"&amp;$D329,2)))</f>
        <v/>
      </c>
      <c r="F329">
        <f>IF(OR($E329="",$E329="نامعتبر"),"",IF(Sync!$Q326="","0000",IF(AND(ISNUMBER(Sync!$Q326),Sync!$Q326&gt;=0,Sync!$Q326&lt;1),RIGHT("00"&amp;HOUR(Sync!$Q326),2)&amp;RIGHT("00"&amp;MINUTE(Sync!$Q326),2),IFERROR(RIGHT("00"&amp;VALUE(LEFT(Sync!$Q326,FIND(":",Sync!$Q326)-1)),2)&amp;RIGHT("00"&amp;VALUE(MID(Sync!$Q326,FIND(":",Sync!$Q326)+1,2)),2),"0000"))))</f>
        <v/>
      </c>
      <c r="G329">
        <f>IF(OR($E329="",$E329="نامعتبر"),"",IF(Sync!$S326="","",Sync!$S326))</f>
        <v/>
      </c>
      <c r="H329">
        <f>IF(OR($E329="",$E329="نامعتبر"),"",IF(Sync!$R326="","",Sync!$R326))</f>
        <v/>
      </c>
      <c r="I329">
        <f>IF(OR($E329="",$E329="نامعتبر"),"",IF(Sync!$T326="","",Sync!$T326))</f>
        <v/>
      </c>
      <c r="J329">
        <f>IF(OR($E329="",$E329="نامعتبر"),"",IF(Sync!$U326="","",Sync!$U326))</f>
        <v/>
      </c>
      <c r="K329">
        <f>IF(OR($E329="",$E329="نامعتبر"),"",IF(Sync!$V326="","",IFERROR(INDEX(SubCodes,MATCH(Sync!$V326,SubTitles,0)),Sync!$V326)))</f>
        <v/>
      </c>
      <c r="L329">
        <f>IF(OR($E329="",$E329="نامعتبر"),"",IF(Sync!$W326="",0,Sync!$W326))</f>
        <v/>
      </c>
      <c r="M329">
        <f>IF(OR($E329="",$E329="نامعتبر"),"",IF(Sync!$X326="",0,Sync!$X326))</f>
        <v/>
      </c>
      <c r="N329">
        <f>IF(OR($E329="",$E329="نامعتبر"),"",IF(AND($J329="هزینه",$K329&lt;&gt;""),1,0))</f>
        <v/>
      </c>
      <c r="O329">
        <f>IF($N329=0,"",LEFT($E329,4)&amp;MID($E329,6,2)&amp;RIGHT($E329,2)&amp;$F329&amp;"|"&amp;"1"&amp;RIGHT("00000"&amp;321,5))</f>
        <v/>
      </c>
      <c r="P329">
        <f>IF($O329="","",COUNTIFS(ExpSub,$K329,ExpKey,"&lt;"&amp;$O329)+1)</f>
        <v/>
      </c>
      <c r="Q329">
        <f>IF($P329="","",$K329&amp;"|"&amp;RIGHT("000000"&amp;$P329,6))</f>
        <v/>
      </c>
    </row>
    <row r="330">
      <c r="A330">
        <f>IF(Sync!$P327="","",Sync!$P327)</f>
        <v/>
      </c>
      <c r="B330">
        <f>IF($A330="","",IF(ISNUMBER($A330),IF(AND($A330&gt;=10000101,$A330&lt;=99991231),INT($A330/10000),""),IFERROR(VALUE(TRIM(LEFT($A330,FIND("/",$A330)-1))),"")))</f>
        <v/>
      </c>
      <c r="C330">
        <f>IF(OR($A330="",$B330=""),"",IF(ISNUMBER($A330),INT(MOD($A330,10000)/100),IFERROR(VALUE(TRIM(LEFT(MID($A330,FIND("/",$A330)+1,20),FIND("/",MID($A330,FIND("/",$A330)+1,20))-1))),"")))</f>
        <v/>
      </c>
      <c r="D330">
        <f>IF(OR($A330="",$B330=""),"",IF(ISNUMBER($A330),MOD($A330,100),IFERROR(VALUE(TRIM(MID(MID($A330,FIND("/",$A330)+1,20),FIND("/",MID($A330,FIND("/",$A330)+1,20))+1,20))),"")))</f>
        <v/>
      </c>
      <c r="E330">
        <f>IF($A330="","",IF(OR($B330="",$C330="",$D330="",$B330&lt;1300,$B330&gt;1500,$C330&lt;1,$C330&gt;12,$D330&lt;1,$D330&gt;31),"نامعتبر",RIGHT("0000"&amp;$B330,4)&amp;"/"&amp;RIGHT("00"&amp;$C330,2)&amp;"/"&amp;RIGHT("00"&amp;$D330,2)))</f>
        <v/>
      </c>
      <c r="F330">
        <f>IF(OR($E330="",$E330="نامعتبر"),"",IF(Sync!$Q327="","0000",IF(AND(ISNUMBER(Sync!$Q327),Sync!$Q327&gt;=0,Sync!$Q327&lt;1),RIGHT("00"&amp;HOUR(Sync!$Q327),2)&amp;RIGHT("00"&amp;MINUTE(Sync!$Q327),2),IFERROR(RIGHT("00"&amp;VALUE(LEFT(Sync!$Q327,FIND(":",Sync!$Q327)-1)),2)&amp;RIGHT("00"&amp;VALUE(MID(Sync!$Q327,FIND(":",Sync!$Q327)+1,2)),2),"0000"))))</f>
        <v/>
      </c>
      <c r="G330">
        <f>IF(OR($E330="",$E330="نامعتبر"),"",IF(Sync!$S327="","",Sync!$S327))</f>
        <v/>
      </c>
      <c r="H330">
        <f>IF(OR($E330="",$E330="نامعتبر"),"",IF(Sync!$R327="","",Sync!$R327))</f>
        <v/>
      </c>
      <c r="I330">
        <f>IF(OR($E330="",$E330="نامعتبر"),"",IF(Sync!$T327="","",Sync!$T327))</f>
        <v/>
      </c>
      <c r="J330">
        <f>IF(OR($E330="",$E330="نامعتبر"),"",IF(Sync!$U327="","",Sync!$U327))</f>
        <v/>
      </c>
      <c r="K330">
        <f>IF(OR($E330="",$E330="نامعتبر"),"",IF(Sync!$V327="","",IFERROR(INDEX(SubCodes,MATCH(Sync!$V327,SubTitles,0)),Sync!$V327)))</f>
        <v/>
      </c>
      <c r="L330">
        <f>IF(OR($E330="",$E330="نامعتبر"),"",IF(Sync!$W327="",0,Sync!$W327))</f>
        <v/>
      </c>
      <c r="M330">
        <f>IF(OR($E330="",$E330="نامعتبر"),"",IF(Sync!$X327="",0,Sync!$X327))</f>
        <v/>
      </c>
      <c r="N330">
        <f>IF(OR($E330="",$E330="نامعتبر"),"",IF(AND($J330="هزینه",$K330&lt;&gt;""),1,0))</f>
        <v/>
      </c>
      <c r="O330">
        <f>IF($N330=0,"",LEFT($E330,4)&amp;MID($E330,6,2)&amp;RIGHT($E330,2)&amp;$F330&amp;"|"&amp;"1"&amp;RIGHT("00000"&amp;322,5))</f>
        <v/>
      </c>
      <c r="P330">
        <f>IF($O330="","",COUNTIFS(ExpSub,$K330,ExpKey,"&lt;"&amp;$O330)+1)</f>
        <v/>
      </c>
      <c r="Q330">
        <f>IF($P330="","",$K330&amp;"|"&amp;RIGHT("000000"&amp;$P330,6))</f>
        <v/>
      </c>
    </row>
    <row r="331">
      <c r="A331">
        <f>IF(Sync!$P328="","",Sync!$P328)</f>
        <v/>
      </c>
      <c r="B331">
        <f>IF($A331="","",IF(ISNUMBER($A331),IF(AND($A331&gt;=10000101,$A331&lt;=99991231),INT($A331/10000),""),IFERROR(VALUE(TRIM(LEFT($A331,FIND("/",$A331)-1))),"")))</f>
        <v/>
      </c>
      <c r="C331">
        <f>IF(OR($A331="",$B331=""),"",IF(ISNUMBER($A331),INT(MOD($A331,10000)/100),IFERROR(VALUE(TRIM(LEFT(MID($A331,FIND("/",$A331)+1,20),FIND("/",MID($A331,FIND("/",$A331)+1,20))-1))),"")))</f>
        <v/>
      </c>
      <c r="D331">
        <f>IF(OR($A331="",$B331=""),"",IF(ISNUMBER($A331),MOD($A331,100),IFERROR(VALUE(TRIM(MID(MID($A331,FIND("/",$A331)+1,20),FIND("/",MID($A331,FIND("/",$A331)+1,20))+1,20))),"")))</f>
        <v/>
      </c>
      <c r="E331">
        <f>IF($A331="","",IF(OR($B331="",$C331="",$D331="",$B331&lt;1300,$B331&gt;1500,$C331&lt;1,$C331&gt;12,$D331&lt;1,$D331&gt;31),"نامعتبر",RIGHT("0000"&amp;$B331,4)&amp;"/"&amp;RIGHT("00"&amp;$C331,2)&amp;"/"&amp;RIGHT("00"&amp;$D331,2)))</f>
        <v/>
      </c>
      <c r="F331">
        <f>IF(OR($E331="",$E331="نامعتبر"),"",IF(Sync!$Q328="","0000",IF(AND(ISNUMBER(Sync!$Q328),Sync!$Q328&gt;=0,Sync!$Q328&lt;1),RIGHT("00"&amp;HOUR(Sync!$Q328),2)&amp;RIGHT("00"&amp;MINUTE(Sync!$Q328),2),IFERROR(RIGHT("00"&amp;VALUE(LEFT(Sync!$Q328,FIND(":",Sync!$Q328)-1)),2)&amp;RIGHT("00"&amp;VALUE(MID(Sync!$Q328,FIND(":",Sync!$Q328)+1,2)),2),"0000"))))</f>
        <v/>
      </c>
      <c r="G331">
        <f>IF(OR($E331="",$E331="نامعتبر"),"",IF(Sync!$S328="","",Sync!$S328))</f>
        <v/>
      </c>
      <c r="H331">
        <f>IF(OR($E331="",$E331="نامعتبر"),"",IF(Sync!$R328="","",Sync!$R328))</f>
        <v/>
      </c>
      <c r="I331">
        <f>IF(OR($E331="",$E331="نامعتبر"),"",IF(Sync!$T328="","",Sync!$T328))</f>
        <v/>
      </c>
      <c r="J331">
        <f>IF(OR($E331="",$E331="نامعتبر"),"",IF(Sync!$U328="","",Sync!$U328))</f>
        <v/>
      </c>
      <c r="K331">
        <f>IF(OR($E331="",$E331="نامعتبر"),"",IF(Sync!$V328="","",IFERROR(INDEX(SubCodes,MATCH(Sync!$V328,SubTitles,0)),Sync!$V328)))</f>
        <v/>
      </c>
      <c r="L331">
        <f>IF(OR($E331="",$E331="نامعتبر"),"",IF(Sync!$W328="",0,Sync!$W328))</f>
        <v/>
      </c>
      <c r="M331">
        <f>IF(OR($E331="",$E331="نامعتبر"),"",IF(Sync!$X328="",0,Sync!$X328))</f>
        <v/>
      </c>
      <c r="N331">
        <f>IF(OR($E331="",$E331="نامعتبر"),"",IF(AND($J331="هزینه",$K331&lt;&gt;""),1,0))</f>
        <v/>
      </c>
      <c r="O331">
        <f>IF($N331=0,"",LEFT($E331,4)&amp;MID($E331,6,2)&amp;RIGHT($E331,2)&amp;$F331&amp;"|"&amp;"1"&amp;RIGHT("00000"&amp;323,5))</f>
        <v/>
      </c>
      <c r="P331">
        <f>IF($O331="","",COUNTIFS(ExpSub,$K331,ExpKey,"&lt;"&amp;$O331)+1)</f>
        <v/>
      </c>
      <c r="Q331">
        <f>IF($P331="","",$K331&amp;"|"&amp;RIGHT("000000"&amp;$P331,6))</f>
        <v/>
      </c>
    </row>
    <row r="332">
      <c r="A332">
        <f>IF(Sync!$P329="","",Sync!$P329)</f>
        <v/>
      </c>
      <c r="B332">
        <f>IF($A332="","",IF(ISNUMBER($A332),IF(AND($A332&gt;=10000101,$A332&lt;=99991231),INT($A332/10000),""),IFERROR(VALUE(TRIM(LEFT($A332,FIND("/",$A332)-1))),"")))</f>
        <v/>
      </c>
      <c r="C332">
        <f>IF(OR($A332="",$B332=""),"",IF(ISNUMBER($A332),INT(MOD($A332,10000)/100),IFERROR(VALUE(TRIM(LEFT(MID($A332,FIND("/",$A332)+1,20),FIND("/",MID($A332,FIND("/",$A332)+1,20))-1))),"")))</f>
        <v/>
      </c>
      <c r="D332">
        <f>IF(OR($A332="",$B332=""),"",IF(ISNUMBER($A332),MOD($A332,100),IFERROR(VALUE(TRIM(MID(MID($A332,FIND("/",$A332)+1,20),FIND("/",MID($A332,FIND("/",$A332)+1,20))+1,20))),"")))</f>
        <v/>
      </c>
      <c r="E332">
        <f>IF($A332="","",IF(OR($B332="",$C332="",$D332="",$B332&lt;1300,$B332&gt;1500,$C332&lt;1,$C332&gt;12,$D332&lt;1,$D332&gt;31),"نامعتبر",RIGHT("0000"&amp;$B332,4)&amp;"/"&amp;RIGHT("00"&amp;$C332,2)&amp;"/"&amp;RIGHT("00"&amp;$D332,2)))</f>
        <v/>
      </c>
      <c r="F332">
        <f>IF(OR($E332="",$E332="نامعتبر"),"",IF(Sync!$Q329="","0000",IF(AND(ISNUMBER(Sync!$Q329),Sync!$Q329&gt;=0,Sync!$Q329&lt;1),RIGHT("00"&amp;HOUR(Sync!$Q329),2)&amp;RIGHT("00"&amp;MINUTE(Sync!$Q329),2),IFERROR(RIGHT("00"&amp;VALUE(LEFT(Sync!$Q329,FIND(":",Sync!$Q329)-1)),2)&amp;RIGHT("00"&amp;VALUE(MID(Sync!$Q329,FIND(":",Sync!$Q329)+1,2)),2),"0000"))))</f>
        <v/>
      </c>
      <c r="G332">
        <f>IF(OR($E332="",$E332="نامعتبر"),"",IF(Sync!$S329="","",Sync!$S329))</f>
        <v/>
      </c>
      <c r="H332">
        <f>IF(OR($E332="",$E332="نامعتبر"),"",IF(Sync!$R329="","",Sync!$R329))</f>
        <v/>
      </c>
      <c r="I332">
        <f>IF(OR($E332="",$E332="نامعتبر"),"",IF(Sync!$T329="","",Sync!$T329))</f>
        <v/>
      </c>
      <c r="J332">
        <f>IF(OR($E332="",$E332="نامعتبر"),"",IF(Sync!$U329="","",Sync!$U329))</f>
        <v/>
      </c>
      <c r="K332">
        <f>IF(OR($E332="",$E332="نامعتبر"),"",IF(Sync!$V329="","",IFERROR(INDEX(SubCodes,MATCH(Sync!$V329,SubTitles,0)),Sync!$V329)))</f>
        <v/>
      </c>
      <c r="L332">
        <f>IF(OR($E332="",$E332="نامعتبر"),"",IF(Sync!$W329="",0,Sync!$W329))</f>
        <v/>
      </c>
      <c r="M332">
        <f>IF(OR($E332="",$E332="نامعتبر"),"",IF(Sync!$X329="",0,Sync!$X329))</f>
        <v/>
      </c>
      <c r="N332">
        <f>IF(OR($E332="",$E332="نامعتبر"),"",IF(AND($J332="هزینه",$K332&lt;&gt;""),1,0))</f>
        <v/>
      </c>
      <c r="O332">
        <f>IF($N332=0,"",LEFT($E332,4)&amp;MID($E332,6,2)&amp;RIGHT($E332,2)&amp;$F332&amp;"|"&amp;"1"&amp;RIGHT("00000"&amp;324,5))</f>
        <v/>
      </c>
      <c r="P332">
        <f>IF($O332="","",COUNTIFS(ExpSub,$K332,ExpKey,"&lt;"&amp;$O332)+1)</f>
        <v/>
      </c>
      <c r="Q332">
        <f>IF($P332="","",$K332&amp;"|"&amp;RIGHT("000000"&amp;$P332,6))</f>
        <v/>
      </c>
    </row>
    <row r="333">
      <c r="A333">
        <f>IF(Sync!$P330="","",Sync!$P330)</f>
        <v/>
      </c>
      <c r="B333">
        <f>IF($A333="","",IF(ISNUMBER($A333),IF(AND($A333&gt;=10000101,$A333&lt;=99991231),INT($A333/10000),""),IFERROR(VALUE(TRIM(LEFT($A333,FIND("/",$A333)-1))),"")))</f>
        <v/>
      </c>
      <c r="C333">
        <f>IF(OR($A333="",$B333=""),"",IF(ISNUMBER($A333),INT(MOD($A333,10000)/100),IFERROR(VALUE(TRIM(LEFT(MID($A333,FIND("/",$A333)+1,20),FIND("/",MID($A333,FIND("/",$A333)+1,20))-1))),"")))</f>
        <v/>
      </c>
      <c r="D333">
        <f>IF(OR($A333="",$B333=""),"",IF(ISNUMBER($A333),MOD($A333,100),IFERROR(VALUE(TRIM(MID(MID($A333,FIND("/",$A333)+1,20),FIND("/",MID($A333,FIND("/",$A333)+1,20))+1,20))),"")))</f>
        <v/>
      </c>
      <c r="E333">
        <f>IF($A333="","",IF(OR($B333="",$C333="",$D333="",$B333&lt;1300,$B333&gt;1500,$C333&lt;1,$C333&gt;12,$D333&lt;1,$D333&gt;31),"نامعتبر",RIGHT("0000"&amp;$B333,4)&amp;"/"&amp;RIGHT("00"&amp;$C333,2)&amp;"/"&amp;RIGHT("00"&amp;$D333,2)))</f>
        <v/>
      </c>
      <c r="F333">
        <f>IF(OR($E333="",$E333="نامعتبر"),"",IF(Sync!$Q330="","0000",IF(AND(ISNUMBER(Sync!$Q330),Sync!$Q330&gt;=0,Sync!$Q330&lt;1),RIGHT("00"&amp;HOUR(Sync!$Q330),2)&amp;RIGHT("00"&amp;MINUTE(Sync!$Q330),2),IFERROR(RIGHT("00"&amp;VALUE(LEFT(Sync!$Q330,FIND(":",Sync!$Q330)-1)),2)&amp;RIGHT("00"&amp;VALUE(MID(Sync!$Q330,FIND(":",Sync!$Q330)+1,2)),2),"0000"))))</f>
        <v/>
      </c>
      <c r="G333">
        <f>IF(OR($E333="",$E333="نامعتبر"),"",IF(Sync!$S330="","",Sync!$S330))</f>
        <v/>
      </c>
      <c r="H333">
        <f>IF(OR($E333="",$E333="نامعتبر"),"",IF(Sync!$R330="","",Sync!$R330))</f>
        <v/>
      </c>
      <c r="I333">
        <f>IF(OR($E333="",$E333="نامعتبر"),"",IF(Sync!$T330="","",Sync!$T330))</f>
        <v/>
      </c>
      <c r="J333">
        <f>IF(OR($E333="",$E333="نامعتبر"),"",IF(Sync!$U330="","",Sync!$U330))</f>
        <v/>
      </c>
      <c r="K333">
        <f>IF(OR($E333="",$E333="نامعتبر"),"",IF(Sync!$V330="","",IFERROR(INDEX(SubCodes,MATCH(Sync!$V330,SubTitles,0)),Sync!$V330)))</f>
        <v/>
      </c>
      <c r="L333">
        <f>IF(OR($E333="",$E333="نامعتبر"),"",IF(Sync!$W330="",0,Sync!$W330))</f>
        <v/>
      </c>
      <c r="M333">
        <f>IF(OR($E333="",$E333="نامعتبر"),"",IF(Sync!$X330="",0,Sync!$X330))</f>
        <v/>
      </c>
      <c r="N333">
        <f>IF(OR($E333="",$E333="نامعتبر"),"",IF(AND($J333="هزینه",$K333&lt;&gt;""),1,0))</f>
        <v/>
      </c>
      <c r="O333">
        <f>IF($N333=0,"",LEFT($E333,4)&amp;MID($E333,6,2)&amp;RIGHT($E333,2)&amp;$F333&amp;"|"&amp;"1"&amp;RIGHT("00000"&amp;325,5))</f>
        <v/>
      </c>
      <c r="P333">
        <f>IF($O333="","",COUNTIFS(ExpSub,$K333,ExpKey,"&lt;"&amp;$O333)+1)</f>
        <v/>
      </c>
      <c r="Q333">
        <f>IF($P333="","",$K333&amp;"|"&amp;RIGHT("000000"&amp;$P333,6))</f>
        <v/>
      </c>
    </row>
    <row r="334">
      <c r="A334">
        <f>IF(Sync!$P331="","",Sync!$P331)</f>
        <v/>
      </c>
      <c r="B334">
        <f>IF($A334="","",IF(ISNUMBER($A334),IF(AND($A334&gt;=10000101,$A334&lt;=99991231),INT($A334/10000),""),IFERROR(VALUE(TRIM(LEFT($A334,FIND("/",$A334)-1))),"")))</f>
        <v/>
      </c>
      <c r="C334">
        <f>IF(OR($A334="",$B334=""),"",IF(ISNUMBER($A334),INT(MOD($A334,10000)/100),IFERROR(VALUE(TRIM(LEFT(MID($A334,FIND("/",$A334)+1,20),FIND("/",MID($A334,FIND("/",$A334)+1,20))-1))),"")))</f>
        <v/>
      </c>
      <c r="D334">
        <f>IF(OR($A334="",$B334=""),"",IF(ISNUMBER($A334),MOD($A334,100),IFERROR(VALUE(TRIM(MID(MID($A334,FIND("/",$A334)+1,20),FIND("/",MID($A334,FIND("/",$A334)+1,20))+1,20))),"")))</f>
        <v/>
      </c>
      <c r="E334">
        <f>IF($A334="","",IF(OR($B334="",$C334="",$D334="",$B334&lt;1300,$B334&gt;1500,$C334&lt;1,$C334&gt;12,$D334&lt;1,$D334&gt;31),"نامعتبر",RIGHT("0000"&amp;$B334,4)&amp;"/"&amp;RIGHT("00"&amp;$C334,2)&amp;"/"&amp;RIGHT("00"&amp;$D334,2)))</f>
        <v/>
      </c>
      <c r="F334">
        <f>IF(OR($E334="",$E334="نامعتبر"),"",IF(Sync!$Q331="","0000",IF(AND(ISNUMBER(Sync!$Q331),Sync!$Q331&gt;=0,Sync!$Q331&lt;1),RIGHT("00"&amp;HOUR(Sync!$Q331),2)&amp;RIGHT("00"&amp;MINUTE(Sync!$Q331),2),IFERROR(RIGHT("00"&amp;VALUE(LEFT(Sync!$Q331,FIND(":",Sync!$Q331)-1)),2)&amp;RIGHT("00"&amp;VALUE(MID(Sync!$Q331,FIND(":",Sync!$Q331)+1,2)),2),"0000"))))</f>
        <v/>
      </c>
      <c r="G334">
        <f>IF(OR($E334="",$E334="نامعتبر"),"",IF(Sync!$S331="","",Sync!$S331))</f>
        <v/>
      </c>
      <c r="H334">
        <f>IF(OR($E334="",$E334="نامعتبر"),"",IF(Sync!$R331="","",Sync!$R331))</f>
        <v/>
      </c>
      <c r="I334">
        <f>IF(OR($E334="",$E334="نامعتبر"),"",IF(Sync!$T331="","",Sync!$T331))</f>
        <v/>
      </c>
      <c r="J334">
        <f>IF(OR($E334="",$E334="نامعتبر"),"",IF(Sync!$U331="","",Sync!$U331))</f>
        <v/>
      </c>
      <c r="K334">
        <f>IF(OR($E334="",$E334="نامعتبر"),"",IF(Sync!$V331="","",IFERROR(INDEX(SubCodes,MATCH(Sync!$V331,SubTitles,0)),Sync!$V331)))</f>
        <v/>
      </c>
      <c r="L334">
        <f>IF(OR($E334="",$E334="نامعتبر"),"",IF(Sync!$W331="",0,Sync!$W331))</f>
        <v/>
      </c>
      <c r="M334">
        <f>IF(OR($E334="",$E334="نامعتبر"),"",IF(Sync!$X331="",0,Sync!$X331))</f>
        <v/>
      </c>
      <c r="N334">
        <f>IF(OR($E334="",$E334="نامعتبر"),"",IF(AND($J334="هزینه",$K334&lt;&gt;""),1,0))</f>
        <v/>
      </c>
      <c r="O334">
        <f>IF($N334=0,"",LEFT($E334,4)&amp;MID($E334,6,2)&amp;RIGHT($E334,2)&amp;$F334&amp;"|"&amp;"1"&amp;RIGHT("00000"&amp;326,5))</f>
        <v/>
      </c>
      <c r="P334">
        <f>IF($O334="","",COUNTIFS(ExpSub,$K334,ExpKey,"&lt;"&amp;$O334)+1)</f>
        <v/>
      </c>
      <c r="Q334">
        <f>IF($P334="","",$K334&amp;"|"&amp;RIGHT("000000"&amp;$P334,6))</f>
        <v/>
      </c>
    </row>
    <row r="335">
      <c r="A335">
        <f>IF(Sync!$P332="","",Sync!$P332)</f>
        <v/>
      </c>
      <c r="B335">
        <f>IF($A335="","",IF(ISNUMBER($A335),IF(AND($A335&gt;=10000101,$A335&lt;=99991231),INT($A335/10000),""),IFERROR(VALUE(TRIM(LEFT($A335,FIND("/",$A335)-1))),"")))</f>
        <v/>
      </c>
      <c r="C335">
        <f>IF(OR($A335="",$B335=""),"",IF(ISNUMBER($A335),INT(MOD($A335,10000)/100),IFERROR(VALUE(TRIM(LEFT(MID($A335,FIND("/",$A335)+1,20),FIND("/",MID($A335,FIND("/",$A335)+1,20))-1))),"")))</f>
        <v/>
      </c>
      <c r="D335">
        <f>IF(OR($A335="",$B335=""),"",IF(ISNUMBER($A335),MOD($A335,100),IFERROR(VALUE(TRIM(MID(MID($A335,FIND("/",$A335)+1,20),FIND("/",MID($A335,FIND("/",$A335)+1,20))+1,20))),"")))</f>
        <v/>
      </c>
      <c r="E335">
        <f>IF($A335="","",IF(OR($B335="",$C335="",$D335="",$B335&lt;1300,$B335&gt;1500,$C335&lt;1,$C335&gt;12,$D335&lt;1,$D335&gt;31),"نامعتبر",RIGHT("0000"&amp;$B335,4)&amp;"/"&amp;RIGHT("00"&amp;$C335,2)&amp;"/"&amp;RIGHT("00"&amp;$D335,2)))</f>
        <v/>
      </c>
      <c r="F335">
        <f>IF(OR($E335="",$E335="نامعتبر"),"",IF(Sync!$Q332="","0000",IF(AND(ISNUMBER(Sync!$Q332),Sync!$Q332&gt;=0,Sync!$Q332&lt;1),RIGHT("00"&amp;HOUR(Sync!$Q332),2)&amp;RIGHT("00"&amp;MINUTE(Sync!$Q332),2),IFERROR(RIGHT("00"&amp;VALUE(LEFT(Sync!$Q332,FIND(":",Sync!$Q332)-1)),2)&amp;RIGHT("00"&amp;VALUE(MID(Sync!$Q332,FIND(":",Sync!$Q332)+1,2)),2),"0000"))))</f>
        <v/>
      </c>
      <c r="G335">
        <f>IF(OR($E335="",$E335="نامعتبر"),"",IF(Sync!$S332="","",Sync!$S332))</f>
        <v/>
      </c>
      <c r="H335">
        <f>IF(OR($E335="",$E335="نامعتبر"),"",IF(Sync!$R332="","",Sync!$R332))</f>
        <v/>
      </c>
      <c r="I335">
        <f>IF(OR($E335="",$E335="نامعتبر"),"",IF(Sync!$T332="","",Sync!$T332))</f>
        <v/>
      </c>
      <c r="J335">
        <f>IF(OR($E335="",$E335="نامعتبر"),"",IF(Sync!$U332="","",Sync!$U332))</f>
        <v/>
      </c>
      <c r="K335">
        <f>IF(OR($E335="",$E335="نامعتبر"),"",IF(Sync!$V332="","",IFERROR(INDEX(SubCodes,MATCH(Sync!$V332,SubTitles,0)),Sync!$V332)))</f>
        <v/>
      </c>
      <c r="L335">
        <f>IF(OR($E335="",$E335="نامعتبر"),"",IF(Sync!$W332="",0,Sync!$W332))</f>
        <v/>
      </c>
      <c r="M335">
        <f>IF(OR($E335="",$E335="نامعتبر"),"",IF(Sync!$X332="",0,Sync!$X332))</f>
        <v/>
      </c>
      <c r="N335">
        <f>IF(OR($E335="",$E335="نامعتبر"),"",IF(AND($J335="هزینه",$K335&lt;&gt;""),1,0))</f>
        <v/>
      </c>
      <c r="O335">
        <f>IF($N335=0,"",LEFT($E335,4)&amp;MID($E335,6,2)&amp;RIGHT($E335,2)&amp;$F335&amp;"|"&amp;"1"&amp;RIGHT("00000"&amp;327,5))</f>
        <v/>
      </c>
      <c r="P335">
        <f>IF($O335="","",COUNTIFS(ExpSub,$K335,ExpKey,"&lt;"&amp;$O335)+1)</f>
        <v/>
      </c>
      <c r="Q335">
        <f>IF($P335="","",$K335&amp;"|"&amp;RIGHT("000000"&amp;$P335,6))</f>
        <v/>
      </c>
    </row>
    <row r="336">
      <c r="A336">
        <f>IF(Sync!$P333="","",Sync!$P333)</f>
        <v/>
      </c>
      <c r="B336">
        <f>IF($A336="","",IF(ISNUMBER($A336),IF(AND($A336&gt;=10000101,$A336&lt;=99991231),INT($A336/10000),""),IFERROR(VALUE(TRIM(LEFT($A336,FIND("/",$A336)-1))),"")))</f>
        <v/>
      </c>
      <c r="C336">
        <f>IF(OR($A336="",$B336=""),"",IF(ISNUMBER($A336),INT(MOD($A336,10000)/100),IFERROR(VALUE(TRIM(LEFT(MID($A336,FIND("/",$A336)+1,20),FIND("/",MID($A336,FIND("/",$A336)+1,20))-1))),"")))</f>
        <v/>
      </c>
      <c r="D336">
        <f>IF(OR($A336="",$B336=""),"",IF(ISNUMBER($A336),MOD($A336,100),IFERROR(VALUE(TRIM(MID(MID($A336,FIND("/",$A336)+1,20),FIND("/",MID($A336,FIND("/",$A336)+1,20))+1,20))),"")))</f>
        <v/>
      </c>
      <c r="E336">
        <f>IF($A336="","",IF(OR($B336="",$C336="",$D336="",$B336&lt;1300,$B336&gt;1500,$C336&lt;1,$C336&gt;12,$D336&lt;1,$D336&gt;31),"نامعتبر",RIGHT("0000"&amp;$B336,4)&amp;"/"&amp;RIGHT("00"&amp;$C336,2)&amp;"/"&amp;RIGHT("00"&amp;$D336,2)))</f>
        <v/>
      </c>
      <c r="F336">
        <f>IF(OR($E336="",$E336="نامعتبر"),"",IF(Sync!$Q333="","0000",IF(AND(ISNUMBER(Sync!$Q333),Sync!$Q333&gt;=0,Sync!$Q333&lt;1),RIGHT("00"&amp;HOUR(Sync!$Q333),2)&amp;RIGHT("00"&amp;MINUTE(Sync!$Q333),2),IFERROR(RIGHT("00"&amp;VALUE(LEFT(Sync!$Q333,FIND(":",Sync!$Q333)-1)),2)&amp;RIGHT("00"&amp;VALUE(MID(Sync!$Q333,FIND(":",Sync!$Q333)+1,2)),2),"0000"))))</f>
        <v/>
      </c>
      <c r="G336">
        <f>IF(OR($E336="",$E336="نامعتبر"),"",IF(Sync!$S333="","",Sync!$S333))</f>
        <v/>
      </c>
      <c r="H336">
        <f>IF(OR($E336="",$E336="نامعتبر"),"",IF(Sync!$R333="","",Sync!$R333))</f>
        <v/>
      </c>
      <c r="I336">
        <f>IF(OR($E336="",$E336="نامعتبر"),"",IF(Sync!$T333="","",Sync!$T333))</f>
        <v/>
      </c>
      <c r="J336">
        <f>IF(OR($E336="",$E336="نامعتبر"),"",IF(Sync!$U333="","",Sync!$U333))</f>
        <v/>
      </c>
      <c r="K336">
        <f>IF(OR($E336="",$E336="نامعتبر"),"",IF(Sync!$V333="","",IFERROR(INDEX(SubCodes,MATCH(Sync!$V333,SubTitles,0)),Sync!$V333)))</f>
        <v/>
      </c>
      <c r="L336">
        <f>IF(OR($E336="",$E336="نامعتبر"),"",IF(Sync!$W333="",0,Sync!$W333))</f>
        <v/>
      </c>
      <c r="M336">
        <f>IF(OR($E336="",$E336="نامعتبر"),"",IF(Sync!$X333="",0,Sync!$X333))</f>
        <v/>
      </c>
      <c r="N336">
        <f>IF(OR($E336="",$E336="نامعتبر"),"",IF(AND($J336="هزینه",$K336&lt;&gt;""),1,0))</f>
        <v/>
      </c>
      <c r="O336">
        <f>IF($N336=0,"",LEFT($E336,4)&amp;MID($E336,6,2)&amp;RIGHT($E336,2)&amp;$F336&amp;"|"&amp;"1"&amp;RIGHT("00000"&amp;328,5))</f>
        <v/>
      </c>
      <c r="P336">
        <f>IF($O336="","",COUNTIFS(ExpSub,$K336,ExpKey,"&lt;"&amp;$O336)+1)</f>
        <v/>
      </c>
      <c r="Q336">
        <f>IF($P336="","",$K336&amp;"|"&amp;RIGHT("000000"&amp;$P336,6))</f>
        <v/>
      </c>
    </row>
    <row r="337">
      <c r="A337">
        <f>IF(Sync!$P334="","",Sync!$P334)</f>
        <v/>
      </c>
      <c r="B337">
        <f>IF($A337="","",IF(ISNUMBER($A337),IF(AND($A337&gt;=10000101,$A337&lt;=99991231),INT($A337/10000),""),IFERROR(VALUE(TRIM(LEFT($A337,FIND("/",$A337)-1))),"")))</f>
        <v/>
      </c>
      <c r="C337">
        <f>IF(OR($A337="",$B337=""),"",IF(ISNUMBER($A337),INT(MOD($A337,10000)/100),IFERROR(VALUE(TRIM(LEFT(MID($A337,FIND("/",$A337)+1,20),FIND("/",MID($A337,FIND("/",$A337)+1,20))-1))),"")))</f>
        <v/>
      </c>
      <c r="D337">
        <f>IF(OR($A337="",$B337=""),"",IF(ISNUMBER($A337),MOD($A337,100),IFERROR(VALUE(TRIM(MID(MID($A337,FIND("/",$A337)+1,20),FIND("/",MID($A337,FIND("/",$A337)+1,20))+1,20))),"")))</f>
        <v/>
      </c>
      <c r="E337">
        <f>IF($A337="","",IF(OR($B337="",$C337="",$D337="",$B337&lt;1300,$B337&gt;1500,$C337&lt;1,$C337&gt;12,$D337&lt;1,$D337&gt;31),"نامعتبر",RIGHT("0000"&amp;$B337,4)&amp;"/"&amp;RIGHT("00"&amp;$C337,2)&amp;"/"&amp;RIGHT("00"&amp;$D337,2)))</f>
        <v/>
      </c>
      <c r="F337">
        <f>IF(OR($E337="",$E337="نامعتبر"),"",IF(Sync!$Q334="","0000",IF(AND(ISNUMBER(Sync!$Q334),Sync!$Q334&gt;=0,Sync!$Q334&lt;1),RIGHT("00"&amp;HOUR(Sync!$Q334),2)&amp;RIGHT("00"&amp;MINUTE(Sync!$Q334),2),IFERROR(RIGHT("00"&amp;VALUE(LEFT(Sync!$Q334,FIND(":",Sync!$Q334)-1)),2)&amp;RIGHT("00"&amp;VALUE(MID(Sync!$Q334,FIND(":",Sync!$Q334)+1,2)),2),"0000"))))</f>
        <v/>
      </c>
      <c r="G337">
        <f>IF(OR($E337="",$E337="نامعتبر"),"",IF(Sync!$S334="","",Sync!$S334))</f>
        <v/>
      </c>
      <c r="H337">
        <f>IF(OR($E337="",$E337="نامعتبر"),"",IF(Sync!$R334="","",Sync!$R334))</f>
        <v/>
      </c>
      <c r="I337">
        <f>IF(OR($E337="",$E337="نامعتبر"),"",IF(Sync!$T334="","",Sync!$T334))</f>
        <v/>
      </c>
      <c r="J337">
        <f>IF(OR($E337="",$E337="نامعتبر"),"",IF(Sync!$U334="","",Sync!$U334))</f>
        <v/>
      </c>
      <c r="K337">
        <f>IF(OR($E337="",$E337="نامعتبر"),"",IF(Sync!$V334="","",IFERROR(INDEX(SubCodes,MATCH(Sync!$V334,SubTitles,0)),Sync!$V334)))</f>
        <v/>
      </c>
      <c r="L337">
        <f>IF(OR($E337="",$E337="نامعتبر"),"",IF(Sync!$W334="",0,Sync!$W334))</f>
        <v/>
      </c>
      <c r="M337">
        <f>IF(OR($E337="",$E337="نامعتبر"),"",IF(Sync!$X334="",0,Sync!$X334))</f>
        <v/>
      </c>
      <c r="N337">
        <f>IF(OR($E337="",$E337="نامعتبر"),"",IF(AND($J337="هزینه",$K337&lt;&gt;""),1,0))</f>
        <v/>
      </c>
      <c r="O337">
        <f>IF($N337=0,"",LEFT($E337,4)&amp;MID($E337,6,2)&amp;RIGHT($E337,2)&amp;$F337&amp;"|"&amp;"1"&amp;RIGHT("00000"&amp;329,5))</f>
        <v/>
      </c>
      <c r="P337">
        <f>IF($O337="","",COUNTIFS(ExpSub,$K337,ExpKey,"&lt;"&amp;$O337)+1)</f>
        <v/>
      </c>
      <c r="Q337">
        <f>IF($P337="","",$K337&amp;"|"&amp;RIGHT("000000"&amp;$P337,6))</f>
        <v/>
      </c>
    </row>
    <row r="338">
      <c r="A338">
        <f>IF(Sync!$P335="","",Sync!$P335)</f>
        <v/>
      </c>
      <c r="B338">
        <f>IF($A338="","",IF(ISNUMBER($A338),IF(AND($A338&gt;=10000101,$A338&lt;=99991231),INT($A338/10000),""),IFERROR(VALUE(TRIM(LEFT($A338,FIND("/",$A338)-1))),"")))</f>
        <v/>
      </c>
      <c r="C338">
        <f>IF(OR($A338="",$B338=""),"",IF(ISNUMBER($A338),INT(MOD($A338,10000)/100),IFERROR(VALUE(TRIM(LEFT(MID($A338,FIND("/",$A338)+1,20),FIND("/",MID($A338,FIND("/",$A338)+1,20))-1))),"")))</f>
        <v/>
      </c>
      <c r="D338">
        <f>IF(OR($A338="",$B338=""),"",IF(ISNUMBER($A338),MOD($A338,100),IFERROR(VALUE(TRIM(MID(MID($A338,FIND("/",$A338)+1,20),FIND("/",MID($A338,FIND("/",$A338)+1,20))+1,20))),"")))</f>
        <v/>
      </c>
      <c r="E338">
        <f>IF($A338="","",IF(OR($B338="",$C338="",$D338="",$B338&lt;1300,$B338&gt;1500,$C338&lt;1,$C338&gt;12,$D338&lt;1,$D338&gt;31),"نامعتبر",RIGHT("0000"&amp;$B338,4)&amp;"/"&amp;RIGHT("00"&amp;$C338,2)&amp;"/"&amp;RIGHT("00"&amp;$D338,2)))</f>
        <v/>
      </c>
      <c r="F338">
        <f>IF(OR($E338="",$E338="نامعتبر"),"",IF(Sync!$Q335="","0000",IF(AND(ISNUMBER(Sync!$Q335),Sync!$Q335&gt;=0,Sync!$Q335&lt;1),RIGHT("00"&amp;HOUR(Sync!$Q335),2)&amp;RIGHT("00"&amp;MINUTE(Sync!$Q335),2),IFERROR(RIGHT("00"&amp;VALUE(LEFT(Sync!$Q335,FIND(":",Sync!$Q335)-1)),2)&amp;RIGHT("00"&amp;VALUE(MID(Sync!$Q335,FIND(":",Sync!$Q335)+1,2)),2),"0000"))))</f>
        <v/>
      </c>
      <c r="G338">
        <f>IF(OR($E338="",$E338="نامعتبر"),"",IF(Sync!$S335="","",Sync!$S335))</f>
        <v/>
      </c>
      <c r="H338">
        <f>IF(OR($E338="",$E338="نامعتبر"),"",IF(Sync!$R335="","",Sync!$R335))</f>
        <v/>
      </c>
      <c r="I338">
        <f>IF(OR($E338="",$E338="نامعتبر"),"",IF(Sync!$T335="","",Sync!$T335))</f>
        <v/>
      </c>
      <c r="J338">
        <f>IF(OR($E338="",$E338="نامعتبر"),"",IF(Sync!$U335="","",Sync!$U335))</f>
        <v/>
      </c>
      <c r="K338">
        <f>IF(OR($E338="",$E338="نامعتبر"),"",IF(Sync!$V335="","",IFERROR(INDEX(SubCodes,MATCH(Sync!$V335,SubTitles,0)),Sync!$V335)))</f>
        <v/>
      </c>
      <c r="L338">
        <f>IF(OR($E338="",$E338="نامعتبر"),"",IF(Sync!$W335="",0,Sync!$W335))</f>
        <v/>
      </c>
      <c r="M338">
        <f>IF(OR($E338="",$E338="نامعتبر"),"",IF(Sync!$X335="",0,Sync!$X335))</f>
        <v/>
      </c>
      <c r="N338">
        <f>IF(OR($E338="",$E338="نامعتبر"),"",IF(AND($J338="هزینه",$K338&lt;&gt;""),1,0))</f>
        <v/>
      </c>
      <c r="O338">
        <f>IF($N338=0,"",LEFT($E338,4)&amp;MID($E338,6,2)&amp;RIGHT($E338,2)&amp;$F338&amp;"|"&amp;"1"&amp;RIGHT("00000"&amp;330,5))</f>
        <v/>
      </c>
      <c r="P338">
        <f>IF($O338="","",COUNTIFS(ExpSub,$K338,ExpKey,"&lt;"&amp;$O338)+1)</f>
        <v/>
      </c>
      <c r="Q338">
        <f>IF($P338="","",$K338&amp;"|"&amp;RIGHT("000000"&amp;$P338,6))</f>
        <v/>
      </c>
    </row>
    <row r="339">
      <c r="A339">
        <f>IF(Sync!$P336="","",Sync!$P336)</f>
        <v/>
      </c>
      <c r="B339">
        <f>IF($A339="","",IF(ISNUMBER($A339),IF(AND($A339&gt;=10000101,$A339&lt;=99991231),INT($A339/10000),""),IFERROR(VALUE(TRIM(LEFT($A339,FIND("/",$A339)-1))),"")))</f>
        <v/>
      </c>
      <c r="C339">
        <f>IF(OR($A339="",$B339=""),"",IF(ISNUMBER($A339),INT(MOD($A339,10000)/100),IFERROR(VALUE(TRIM(LEFT(MID($A339,FIND("/",$A339)+1,20),FIND("/",MID($A339,FIND("/",$A339)+1,20))-1))),"")))</f>
        <v/>
      </c>
      <c r="D339">
        <f>IF(OR($A339="",$B339=""),"",IF(ISNUMBER($A339),MOD($A339,100),IFERROR(VALUE(TRIM(MID(MID($A339,FIND("/",$A339)+1,20),FIND("/",MID($A339,FIND("/",$A339)+1,20))+1,20))),"")))</f>
        <v/>
      </c>
      <c r="E339">
        <f>IF($A339="","",IF(OR($B339="",$C339="",$D339="",$B339&lt;1300,$B339&gt;1500,$C339&lt;1,$C339&gt;12,$D339&lt;1,$D339&gt;31),"نامعتبر",RIGHT("0000"&amp;$B339,4)&amp;"/"&amp;RIGHT("00"&amp;$C339,2)&amp;"/"&amp;RIGHT("00"&amp;$D339,2)))</f>
        <v/>
      </c>
      <c r="F339">
        <f>IF(OR($E339="",$E339="نامعتبر"),"",IF(Sync!$Q336="","0000",IF(AND(ISNUMBER(Sync!$Q336),Sync!$Q336&gt;=0,Sync!$Q336&lt;1),RIGHT("00"&amp;HOUR(Sync!$Q336),2)&amp;RIGHT("00"&amp;MINUTE(Sync!$Q336),2),IFERROR(RIGHT("00"&amp;VALUE(LEFT(Sync!$Q336,FIND(":",Sync!$Q336)-1)),2)&amp;RIGHT("00"&amp;VALUE(MID(Sync!$Q336,FIND(":",Sync!$Q336)+1,2)),2),"0000"))))</f>
        <v/>
      </c>
      <c r="G339">
        <f>IF(OR($E339="",$E339="نامعتبر"),"",IF(Sync!$S336="","",Sync!$S336))</f>
        <v/>
      </c>
      <c r="H339">
        <f>IF(OR($E339="",$E339="نامعتبر"),"",IF(Sync!$R336="","",Sync!$R336))</f>
        <v/>
      </c>
      <c r="I339">
        <f>IF(OR($E339="",$E339="نامعتبر"),"",IF(Sync!$T336="","",Sync!$T336))</f>
        <v/>
      </c>
      <c r="J339">
        <f>IF(OR($E339="",$E339="نامعتبر"),"",IF(Sync!$U336="","",Sync!$U336))</f>
        <v/>
      </c>
      <c r="K339">
        <f>IF(OR($E339="",$E339="نامعتبر"),"",IF(Sync!$V336="","",IFERROR(INDEX(SubCodes,MATCH(Sync!$V336,SubTitles,0)),Sync!$V336)))</f>
        <v/>
      </c>
      <c r="L339">
        <f>IF(OR($E339="",$E339="نامعتبر"),"",IF(Sync!$W336="",0,Sync!$W336))</f>
        <v/>
      </c>
      <c r="M339">
        <f>IF(OR($E339="",$E339="نامعتبر"),"",IF(Sync!$X336="",0,Sync!$X336))</f>
        <v/>
      </c>
      <c r="N339">
        <f>IF(OR($E339="",$E339="نامعتبر"),"",IF(AND($J339="هزینه",$K339&lt;&gt;""),1,0))</f>
        <v/>
      </c>
      <c r="O339">
        <f>IF($N339=0,"",LEFT($E339,4)&amp;MID($E339,6,2)&amp;RIGHT($E339,2)&amp;$F339&amp;"|"&amp;"1"&amp;RIGHT("00000"&amp;331,5))</f>
        <v/>
      </c>
      <c r="P339">
        <f>IF($O339="","",COUNTIFS(ExpSub,$K339,ExpKey,"&lt;"&amp;$O339)+1)</f>
        <v/>
      </c>
      <c r="Q339">
        <f>IF($P339="","",$K339&amp;"|"&amp;RIGHT("000000"&amp;$P339,6))</f>
        <v/>
      </c>
    </row>
    <row r="340">
      <c r="A340">
        <f>IF(Sync!$P337="","",Sync!$P337)</f>
        <v/>
      </c>
      <c r="B340">
        <f>IF($A340="","",IF(ISNUMBER($A340),IF(AND($A340&gt;=10000101,$A340&lt;=99991231),INT($A340/10000),""),IFERROR(VALUE(TRIM(LEFT($A340,FIND("/",$A340)-1))),"")))</f>
        <v/>
      </c>
      <c r="C340">
        <f>IF(OR($A340="",$B340=""),"",IF(ISNUMBER($A340),INT(MOD($A340,10000)/100),IFERROR(VALUE(TRIM(LEFT(MID($A340,FIND("/",$A340)+1,20),FIND("/",MID($A340,FIND("/",$A340)+1,20))-1))),"")))</f>
        <v/>
      </c>
      <c r="D340">
        <f>IF(OR($A340="",$B340=""),"",IF(ISNUMBER($A340),MOD($A340,100),IFERROR(VALUE(TRIM(MID(MID($A340,FIND("/",$A340)+1,20),FIND("/",MID($A340,FIND("/",$A340)+1,20))+1,20))),"")))</f>
        <v/>
      </c>
      <c r="E340">
        <f>IF($A340="","",IF(OR($B340="",$C340="",$D340="",$B340&lt;1300,$B340&gt;1500,$C340&lt;1,$C340&gt;12,$D340&lt;1,$D340&gt;31),"نامعتبر",RIGHT("0000"&amp;$B340,4)&amp;"/"&amp;RIGHT("00"&amp;$C340,2)&amp;"/"&amp;RIGHT("00"&amp;$D340,2)))</f>
        <v/>
      </c>
      <c r="F340">
        <f>IF(OR($E340="",$E340="نامعتبر"),"",IF(Sync!$Q337="","0000",IF(AND(ISNUMBER(Sync!$Q337),Sync!$Q337&gt;=0,Sync!$Q337&lt;1),RIGHT("00"&amp;HOUR(Sync!$Q337),2)&amp;RIGHT("00"&amp;MINUTE(Sync!$Q337),2),IFERROR(RIGHT("00"&amp;VALUE(LEFT(Sync!$Q337,FIND(":",Sync!$Q337)-1)),2)&amp;RIGHT("00"&amp;VALUE(MID(Sync!$Q337,FIND(":",Sync!$Q337)+1,2)),2),"0000"))))</f>
        <v/>
      </c>
      <c r="G340">
        <f>IF(OR($E340="",$E340="نامعتبر"),"",IF(Sync!$S337="","",Sync!$S337))</f>
        <v/>
      </c>
      <c r="H340">
        <f>IF(OR($E340="",$E340="نامعتبر"),"",IF(Sync!$R337="","",Sync!$R337))</f>
        <v/>
      </c>
      <c r="I340">
        <f>IF(OR($E340="",$E340="نامعتبر"),"",IF(Sync!$T337="","",Sync!$T337))</f>
        <v/>
      </c>
      <c r="J340">
        <f>IF(OR($E340="",$E340="نامعتبر"),"",IF(Sync!$U337="","",Sync!$U337))</f>
        <v/>
      </c>
      <c r="K340">
        <f>IF(OR($E340="",$E340="نامعتبر"),"",IF(Sync!$V337="","",IFERROR(INDEX(SubCodes,MATCH(Sync!$V337,SubTitles,0)),Sync!$V337)))</f>
        <v/>
      </c>
      <c r="L340">
        <f>IF(OR($E340="",$E340="نامعتبر"),"",IF(Sync!$W337="",0,Sync!$W337))</f>
        <v/>
      </c>
      <c r="M340">
        <f>IF(OR($E340="",$E340="نامعتبر"),"",IF(Sync!$X337="",0,Sync!$X337))</f>
        <v/>
      </c>
      <c r="N340">
        <f>IF(OR($E340="",$E340="نامعتبر"),"",IF(AND($J340="هزینه",$K340&lt;&gt;""),1,0))</f>
        <v/>
      </c>
      <c r="O340">
        <f>IF($N340=0,"",LEFT($E340,4)&amp;MID($E340,6,2)&amp;RIGHT($E340,2)&amp;$F340&amp;"|"&amp;"1"&amp;RIGHT("00000"&amp;332,5))</f>
        <v/>
      </c>
      <c r="P340">
        <f>IF($O340="","",COUNTIFS(ExpSub,$K340,ExpKey,"&lt;"&amp;$O340)+1)</f>
        <v/>
      </c>
      <c r="Q340">
        <f>IF($P340="","",$K340&amp;"|"&amp;RIGHT("000000"&amp;$P340,6))</f>
        <v/>
      </c>
    </row>
    <row r="341">
      <c r="A341">
        <f>IF(Sync!$P338="","",Sync!$P338)</f>
        <v/>
      </c>
      <c r="B341">
        <f>IF($A341="","",IF(ISNUMBER($A341),IF(AND($A341&gt;=10000101,$A341&lt;=99991231),INT($A341/10000),""),IFERROR(VALUE(TRIM(LEFT($A341,FIND("/",$A341)-1))),"")))</f>
        <v/>
      </c>
      <c r="C341">
        <f>IF(OR($A341="",$B341=""),"",IF(ISNUMBER($A341),INT(MOD($A341,10000)/100),IFERROR(VALUE(TRIM(LEFT(MID($A341,FIND("/",$A341)+1,20),FIND("/",MID($A341,FIND("/",$A341)+1,20))-1))),"")))</f>
        <v/>
      </c>
      <c r="D341">
        <f>IF(OR($A341="",$B341=""),"",IF(ISNUMBER($A341),MOD($A341,100),IFERROR(VALUE(TRIM(MID(MID($A341,FIND("/",$A341)+1,20),FIND("/",MID($A341,FIND("/",$A341)+1,20))+1,20))),"")))</f>
        <v/>
      </c>
      <c r="E341">
        <f>IF($A341="","",IF(OR($B341="",$C341="",$D341="",$B341&lt;1300,$B341&gt;1500,$C341&lt;1,$C341&gt;12,$D341&lt;1,$D341&gt;31),"نامعتبر",RIGHT("0000"&amp;$B341,4)&amp;"/"&amp;RIGHT("00"&amp;$C341,2)&amp;"/"&amp;RIGHT("00"&amp;$D341,2)))</f>
        <v/>
      </c>
      <c r="F341">
        <f>IF(OR($E341="",$E341="نامعتبر"),"",IF(Sync!$Q338="","0000",IF(AND(ISNUMBER(Sync!$Q338),Sync!$Q338&gt;=0,Sync!$Q338&lt;1),RIGHT("00"&amp;HOUR(Sync!$Q338),2)&amp;RIGHT("00"&amp;MINUTE(Sync!$Q338),2),IFERROR(RIGHT("00"&amp;VALUE(LEFT(Sync!$Q338,FIND(":",Sync!$Q338)-1)),2)&amp;RIGHT("00"&amp;VALUE(MID(Sync!$Q338,FIND(":",Sync!$Q338)+1,2)),2),"0000"))))</f>
        <v/>
      </c>
      <c r="G341">
        <f>IF(OR($E341="",$E341="نامعتبر"),"",IF(Sync!$S338="","",Sync!$S338))</f>
        <v/>
      </c>
      <c r="H341">
        <f>IF(OR($E341="",$E341="نامعتبر"),"",IF(Sync!$R338="","",Sync!$R338))</f>
        <v/>
      </c>
      <c r="I341">
        <f>IF(OR($E341="",$E341="نامعتبر"),"",IF(Sync!$T338="","",Sync!$T338))</f>
        <v/>
      </c>
      <c r="J341">
        <f>IF(OR($E341="",$E341="نامعتبر"),"",IF(Sync!$U338="","",Sync!$U338))</f>
        <v/>
      </c>
      <c r="K341">
        <f>IF(OR($E341="",$E341="نامعتبر"),"",IF(Sync!$V338="","",IFERROR(INDEX(SubCodes,MATCH(Sync!$V338,SubTitles,0)),Sync!$V338)))</f>
        <v/>
      </c>
      <c r="L341">
        <f>IF(OR($E341="",$E341="نامعتبر"),"",IF(Sync!$W338="",0,Sync!$W338))</f>
        <v/>
      </c>
      <c r="M341">
        <f>IF(OR($E341="",$E341="نامعتبر"),"",IF(Sync!$X338="",0,Sync!$X338))</f>
        <v/>
      </c>
      <c r="N341">
        <f>IF(OR($E341="",$E341="نامعتبر"),"",IF(AND($J341="هزینه",$K341&lt;&gt;""),1,0))</f>
        <v/>
      </c>
      <c r="O341">
        <f>IF($N341=0,"",LEFT($E341,4)&amp;MID($E341,6,2)&amp;RIGHT($E341,2)&amp;$F341&amp;"|"&amp;"1"&amp;RIGHT("00000"&amp;333,5))</f>
        <v/>
      </c>
      <c r="P341">
        <f>IF($O341="","",COUNTIFS(ExpSub,$K341,ExpKey,"&lt;"&amp;$O341)+1)</f>
        <v/>
      </c>
      <c r="Q341">
        <f>IF($P341="","",$K341&amp;"|"&amp;RIGHT("000000"&amp;$P341,6))</f>
        <v/>
      </c>
    </row>
    <row r="342">
      <c r="A342">
        <f>IF(Sync!$P339="","",Sync!$P339)</f>
        <v/>
      </c>
      <c r="B342">
        <f>IF($A342="","",IF(ISNUMBER($A342),IF(AND($A342&gt;=10000101,$A342&lt;=99991231),INT($A342/10000),""),IFERROR(VALUE(TRIM(LEFT($A342,FIND("/",$A342)-1))),"")))</f>
        <v/>
      </c>
      <c r="C342">
        <f>IF(OR($A342="",$B342=""),"",IF(ISNUMBER($A342),INT(MOD($A342,10000)/100),IFERROR(VALUE(TRIM(LEFT(MID($A342,FIND("/",$A342)+1,20),FIND("/",MID($A342,FIND("/",$A342)+1,20))-1))),"")))</f>
        <v/>
      </c>
      <c r="D342">
        <f>IF(OR($A342="",$B342=""),"",IF(ISNUMBER($A342),MOD($A342,100),IFERROR(VALUE(TRIM(MID(MID($A342,FIND("/",$A342)+1,20),FIND("/",MID($A342,FIND("/",$A342)+1,20))+1,20))),"")))</f>
        <v/>
      </c>
      <c r="E342">
        <f>IF($A342="","",IF(OR($B342="",$C342="",$D342="",$B342&lt;1300,$B342&gt;1500,$C342&lt;1,$C342&gt;12,$D342&lt;1,$D342&gt;31),"نامعتبر",RIGHT("0000"&amp;$B342,4)&amp;"/"&amp;RIGHT("00"&amp;$C342,2)&amp;"/"&amp;RIGHT("00"&amp;$D342,2)))</f>
        <v/>
      </c>
      <c r="F342">
        <f>IF(OR($E342="",$E342="نامعتبر"),"",IF(Sync!$Q339="","0000",IF(AND(ISNUMBER(Sync!$Q339),Sync!$Q339&gt;=0,Sync!$Q339&lt;1),RIGHT("00"&amp;HOUR(Sync!$Q339),2)&amp;RIGHT("00"&amp;MINUTE(Sync!$Q339),2),IFERROR(RIGHT("00"&amp;VALUE(LEFT(Sync!$Q339,FIND(":",Sync!$Q339)-1)),2)&amp;RIGHT("00"&amp;VALUE(MID(Sync!$Q339,FIND(":",Sync!$Q339)+1,2)),2),"0000"))))</f>
        <v/>
      </c>
      <c r="G342">
        <f>IF(OR($E342="",$E342="نامعتبر"),"",IF(Sync!$S339="","",Sync!$S339))</f>
        <v/>
      </c>
      <c r="H342">
        <f>IF(OR($E342="",$E342="نامعتبر"),"",IF(Sync!$R339="","",Sync!$R339))</f>
        <v/>
      </c>
      <c r="I342">
        <f>IF(OR($E342="",$E342="نامعتبر"),"",IF(Sync!$T339="","",Sync!$T339))</f>
        <v/>
      </c>
      <c r="J342">
        <f>IF(OR($E342="",$E342="نامعتبر"),"",IF(Sync!$U339="","",Sync!$U339))</f>
        <v/>
      </c>
      <c r="K342">
        <f>IF(OR($E342="",$E342="نامعتبر"),"",IF(Sync!$V339="","",IFERROR(INDEX(SubCodes,MATCH(Sync!$V339,SubTitles,0)),Sync!$V339)))</f>
        <v/>
      </c>
      <c r="L342">
        <f>IF(OR($E342="",$E342="نامعتبر"),"",IF(Sync!$W339="",0,Sync!$W339))</f>
        <v/>
      </c>
      <c r="M342">
        <f>IF(OR($E342="",$E342="نامعتبر"),"",IF(Sync!$X339="",0,Sync!$X339))</f>
        <v/>
      </c>
      <c r="N342">
        <f>IF(OR($E342="",$E342="نامعتبر"),"",IF(AND($J342="هزینه",$K342&lt;&gt;""),1,0))</f>
        <v/>
      </c>
      <c r="O342">
        <f>IF($N342=0,"",LEFT($E342,4)&amp;MID($E342,6,2)&amp;RIGHT($E342,2)&amp;$F342&amp;"|"&amp;"1"&amp;RIGHT("00000"&amp;334,5))</f>
        <v/>
      </c>
      <c r="P342">
        <f>IF($O342="","",COUNTIFS(ExpSub,$K342,ExpKey,"&lt;"&amp;$O342)+1)</f>
        <v/>
      </c>
      <c r="Q342">
        <f>IF($P342="","",$K342&amp;"|"&amp;RIGHT("000000"&amp;$P342,6))</f>
        <v/>
      </c>
    </row>
    <row r="343">
      <c r="A343">
        <f>IF(Sync!$P340="","",Sync!$P340)</f>
        <v/>
      </c>
      <c r="B343">
        <f>IF($A343="","",IF(ISNUMBER($A343),IF(AND($A343&gt;=10000101,$A343&lt;=99991231),INT($A343/10000),""),IFERROR(VALUE(TRIM(LEFT($A343,FIND("/",$A343)-1))),"")))</f>
        <v/>
      </c>
      <c r="C343">
        <f>IF(OR($A343="",$B343=""),"",IF(ISNUMBER($A343),INT(MOD($A343,10000)/100),IFERROR(VALUE(TRIM(LEFT(MID($A343,FIND("/",$A343)+1,20),FIND("/",MID($A343,FIND("/",$A343)+1,20))-1))),"")))</f>
        <v/>
      </c>
      <c r="D343">
        <f>IF(OR($A343="",$B343=""),"",IF(ISNUMBER($A343),MOD($A343,100),IFERROR(VALUE(TRIM(MID(MID($A343,FIND("/",$A343)+1,20),FIND("/",MID($A343,FIND("/",$A343)+1,20))+1,20))),"")))</f>
        <v/>
      </c>
      <c r="E343">
        <f>IF($A343="","",IF(OR($B343="",$C343="",$D343="",$B343&lt;1300,$B343&gt;1500,$C343&lt;1,$C343&gt;12,$D343&lt;1,$D343&gt;31),"نامعتبر",RIGHT("0000"&amp;$B343,4)&amp;"/"&amp;RIGHT("00"&amp;$C343,2)&amp;"/"&amp;RIGHT("00"&amp;$D343,2)))</f>
        <v/>
      </c>
      <c r="F343">
        <f>IF(OR($E343="",$E343="نامعتبر"),"",IF(Sync!$Q340="","0000",IF(AND(ISNUMBER(Sync!$Q340),Sync!$Q340&gt;=0,Sync!$Q340&lt;1),RIGHT("00"&amp;HOUR(Sync!$Q340),2)&amp;RIGHT("00"&amp;MINUTE(Sync!$Q340),2),IFERROR(RIGHT("00"&amp;VALUE(LEFT(Sync!$Q340,FIND(":",Sync!$Q340)-1)),2)&amp;RIGHT("00"&amp;VALUE(MID(Sync!$Q340,FIND(":",Sync!$Q340)+1,2)),2),"0000"))))</f>
        <v/>
      </c>
      <c r="G343">
        <f>IF(OR($E343="",$E343="نامعتبر"),"",IF(Sync!$S340="","",Sync!$S340))</f>
        <v/>
      </c>
      <c r="H343">
        <f>IF(OR($E343="",$E343="نامعتبر"),"",IF(Sync!$R340="","",Sync!$R340))</f>
        <v/>
      </c>
      <c r="I343">
        <f>IF(OR($E343="",$E343="نامعتبر"),"",IF(Sync!$T340="","",Sync!$T340))</f>
        <v/>
      </c>
      <c r="J343">
        <f>IF(OR($E343="",$E343="نامعتبر"),"",IF(Sync!$U340="","",Sync!$U340))</f>
        <v/>
      </c>
      <c r="K343">
        <f>IF(OR($E343="",$E343="نامعتبر"),"",IF(Sync!$V340="","",IFERROR(INDEX(SubCodes,MATCH(Sync!$V340,SubTitles,0)),Sync!$V340)))</f>
        <v/>
      </c>
      <c r="L343">
        <f>IF(OR($E343="",$E343="نامعتبر"),"",IF(Sync!$W340="",0,Sync!$W340))</f>
        <v/>
      </c>
      <c r="M343">
        <f>IF(OR($E343="",$E343="نامعتبر"),"",IF(Sync!$X340="",0,Sync!$X340))</f>
        <v/>
      </c>
      <c r="N343">
        <f>IF(OR($E343="",$E343="نامعتبر"),"",IF(AND($J343="هزینه",$K343&lt;&gt;""),1,0))</f>
        <v/>
      </c>
      <c r="O343">
        <f>IF($N343=0,"",LEFT($E343,4)&amp;MID($E343,6,2)&amp;RIGHT($E343,2)&amp;$F343&amp;"|"&amp;"1"&amp;RIGHT("00000"&amp;335,5))</f>
        <v/>
      </c>
      <c r="P343">
        <f>IF($O343="","",COUNTIFS(ExpSub,$K343,ExpKey,"&lt;"&amp;$O343)+1)</f>
        <v/>
      </c>
      <c r="Q343">
        <f>IF($P343="","",$K343&amp;"|"&amp;RIGHT("000000"&amp;$P343,6))</f>
        <v/>
      </c>
    </row>
    <row r="344">
      <c r="A344">
        <f>IF(Sync!$P341="","",Sync!$P341)</f>
        <v/>
      </c>
      <c r="B344">
        <f>IF($A344="","",IF(ISNUMBER($A344),IF(AND($A344&gt;=10000101,$A344&lt;=99991231),INT($A344/10000),""),IFERROR(VALUE(TRIM(LEFT($A344,FIND("/",$A344)-1))),"")))</f>
        <v/>
      </c>
      <c r="C344">
        <f>IF(OR($A344="",$B344=""),"",IF(ISNUMBER($A344),INT(MOD($A344,10000)/100),IFERROR(VALUE(TRIM(LEFT(MID($A344,FIND("/",$A344)+1,20),FIND("/",MID($A344,FIND("/",$A344)+1,20))-1))),"")))</f>
        <v/>
      </c>
      <c r="D344">
        <f>IF(OR($A344="",$B344=""),"",IF(ISNUMBER($A344),MOD($A344,100),IFERROR(VALUE(TRIM(MID(MID($A344,FIND("/",$A344)+1,20),FIND("/",MID($A344,FIND("/",$A344)+1,20))+1,20))),"")))</f>
        <v/>
      </c>
      <c r="E344">
        <f>IF($A344="","",IF(OR($B344="",$C344="",$D344="",$B344&lt;1300,$B344&gt;1500,$C344&lt;1,$C344&gt;12,$D344&lt;1,$D344&gt;31),"نامعتبر",RIGHT("0000"&amp;$B344,4)&amp;"/"&amp;RIGHT("00"&amp;$C344,2)&amp;"/"&amp;RIGHT("00"&amp;$D344,2)))</f>
        <v/>
      </c>
      <c r="F344">
        <f>IF(OR($E344="",$E344="نامعتبر"),"",IF(Sync!$Q341="","0000",IF(AND(ISNUMBER(Sync!$Q341),Sync!$Q341&gt;=0,Sync!$Q341&lt;1),RIGHT("00"&amp;HOUR(Sync!$Q341),2)&amp;RIGHT("00"&amp;MINUTE(Sync!$Q341),2),IFERROR(RIGHT("00"&amp;VALUE(LEFT(Sync!$Q341,FIND(":",Sync!$Q341)-1)),2)&amp;RIGHT("00"&amp;VALUE(MID(Sync!$Q341,FIND(":",Sync!$Q341)+1,2)),2),"0000"))))</f>
        <v/>
      </c>
      <c r="G344">
        <f>IF(OR($E344="",$E344="نامعتبر"),"",IF(Sync!$S341="","",Sync!$S341))</f>
        <v/>
      </c>
      <c r="H344">
        <f>IF(OR($E344="",$E344="نامعتبر"),"",IF(Sync!$R341="","",Sync!$R341))</f>
        <v/>
      </c>
      <c r="I344">
        <f>IF(OR($E344="",$E344="نامعتبر"),"",IF(Sync!$T341="","",Sync!$T341))</f>
        <v/>
      </c>
      <c r="J344">
        <f>IF(OR($E344="",$E344="نامعتبر"),"",IF(Sync!$U341="","",Sync!$U341))</f>
        <v/>
      </c>
      <c r="K344">
        <f>IF(OR($E344="",$E344="نامعتبر"),"",IF(Sync!$V341="","",IFERROR(INDEX(SubCodes,MATCH(Sync!$V341,SubTitles,0)),Sync!$V341)))</f>
        <v/>
      </c>
      <c r="L344">
        <f>IF(OR($E344="",$E344="نامعتبر"),"",IF(Sync!$W341="",0,Sync!$W341))</f>
        <v/>
      </c>
      <c r="M344">
        <f>IF(OR($E344="",$E344="نامعتبر"),"",IF(Sync!$X341="",0,Sync!$X341))</f>
        <v/>
      </c>
      <c r="N344">
        <f>IF(OR($E344="",$E344="نامعتبر"),"",IF(AND($J344="هزینه",$K344&lt;&gt;""),1,0))</f>
        <v/>
      </c>
      <c r="O344">
        <f>IF($N344=0,"",LEFT($E344,4)&amp;MID($E344,6,2)&amp;RIGHT($E344,2)&amp;$F344&amp;"|"&amp;"1"&amp;RIGHT("00000"&amp;336,5))</f>
        <v/>
      </c>
      <c r="P344">
        <f>IF($O344="","",COUNTIFS(ExpSub,$K344,ExpKey,"&lt;"&amp;$O344)+1)</f>
        <v/>
      </c>
      <c r="Q344">
        <f>IF($P344="","",$K344&amp;"|"&amp;RIGHT("000000"&amp;$P344,6))</f>
        <v/>
      </c>
    </row>
    <row r="345">
      <c r="A345">
        <f>IF(Sync!$P342="","",Sync!$P342)</f>
        <v/>
      </c>
      <c r="B345">
        <f>IF($A345="","",IF(ISNUMBER($A345),IF(AND($A345&gt;=10000101,$A345&lt;=99991231),INT($A345/10000),""),IFERROR(VALUE(TRIM(LEFT($A345,FIND("/",$A345)-1))),"")))</f>
        <v/>
      </c>
      <c r="C345">
        <f>IF(OR($A345="",$B345=""),"",IF(ISNUMBER($A345),INT(MOD($A345,10000)/100),IFERROR(VALUE(TRIM(LEFT(MID($A345,FIND("/",$A345)+1,20),FIND("/",MID($A345,FIND("/",$A345)+1,20))-1))),"")))</f>
        <v/>
      </c>
      <c r="D345">
        <f>IF(OR($A345="",$B345=""),"",IF(ISNUMBER($A345),MOD($A345,100),IFERROR(VALUE(TRIM(MID(MID($A345,FIND("/",$A345)+1,20),FIND("/",MID($A345,FIND("/",$A345)+1,20))+1,20))),"")))</f>
        <v/>
      </c>
      <c r="E345">
        <f>IF($A345="","",IF(OR($B345="",$C345="",$D345="",$B345&lt;1300,$B345&gt;1500,$C345&lt;1,$C345&gt;12,$D345&lt;1,$D345&gt;31),"نامعتبر",RIGHT("0000"&amp;$B345,4)&amp;"/"&amp;RIGHT("00"&amp;$C345,2)&amp;"/"&amp;RIGHT("00"&amp;$D345,2)))</f>
        <v/>
      </c>
      <c r="F345">
        <f>IF(OR($E345="",$E345="نامعتبر"),"",IF(Sync!$Q342="","0000",IF(AND(ISNUMBER(Sync!$Q342),Sync!$Q342&gt;=0,Sync!$Q342&lt;1),RIGHT("00"&amp;HOUR(Sync!$Q342),2)&amp;RIGHT("00"&amp;MINUTE(Sync!$Q342),2),IFERROR(RIGHT("00"&amp;VALUE(LEFT(Sync!$Q342,FIND(":",Sync!$Q342)-1)),2)&amp;RIGHT("00"&amp;VALUE(MID(Sync!$Q342,FIND(":",Sync!$Q342)+1,2)),2),"0000"))))</f>
        <v/>
      </c>
      <c r="G345">
        <f>IF(OR($E345="",$E345="نامعتبر"),"",IF(Sync!$S342="","",Sync!$S342))</f>
        <v/>
      </c>
      <c r="H345">
        <f>IF(OR($E345="",$E345="نامعتبر"),"",IF(Sync!$R342="","",Sync!$R342))</f>
        <v/>
      </c>
      <c r="I345">
        <f>IF(OR($E345="",$E345="نامعتبر"),"",IF(Sync!$T342="","",Sync!$T342))</f>
        <v/>
      </c>
      <c r="J345">
        <f>IF(OR($E345="",$E345="نامعتبر"),"",IF(Sync!$U342="","",Sync!$U342))</f>
        <v/>
      </c>
      <c r="K345">
        <f>IF(OR($E345="",$E345="نامعتبر"),"",IF(Sync!$V342="","",IFERROR(INDEX(SubCodes,MATCH(Sync!$V342,SubTitles,0)),Sync!$V342)))</f>
        <v/>
      </c>
      <c r="L345">
        <f>IF(OR($E345="",$E345="نامعتبر"),"",IF(Sync!$W342="",0,Sync!$W342))</f>
        <v/>
      </c>
      <c r="M345">
        <f>IF(OR($E345="",$E345="نامعتبر"),"",IF(Sync!$X342="",0,Sync!$X342))</f>
        <v/>
      </c>
      <c r="N345">
        <f>IF(OR($E345="",$E345="نامعتبر"),"",IF(AND($J345="هزینه",$K345&lt;&gt;""),1,0))</f>
        <v/>
      </c>
      <c r="O345">
        <f>IF($N345=0,"",LEFT($E345,4)&amp;MID($E345,6,2)&amp;RIGHT($E345,2)&amp;$F345&amp;"|"&amp;"1"&amp;RIGHT("00000"&amp;337,5))</f>
        <v/>
      </c>
      <c r="P345">
        <f>IF($O345="","",COUNTIFS(ExpSub,$K345,ExpKey,"&lt;"&amp;$O345)+1)</f>
        <v/>
      </c>
      <c r="Q345">
        <f>IF($P345="","",$K345&amp;"|"&amp;RIGHT("000000"&amp;$P345,6))</f>
        <v/>
      </c>
    </row>
    <row r="346">
      <c r="A346">
        <f>IF(Sync!$P343="","",Sync!$P343)</f>
        <v/>
      </c>
      <c r="B346">
        <f>IF($A346="","",IF(ISNUMBER($A346),IF(AND($A346&gt;=10000101,$A346&lt;=99991231),INT($A346/10000),""),IFERROR(VALUE(TRIM(LEFT($A346,FIND("/",$A346)-1))),"")))</f>
        <v/>
      </c>
      <c r="C346">
        <f>IF(OR($A346="",$B346=""),"",IF(ISNUMBER($A346),INT(MOD($A346,10000)/100),IFERROR(VALUE(TRIM(LEFT(MID($A346,FIND("/",$A346)+1,20),FIND("/",MID($A346,FIND("/",$A346)+1,20))-1))),"")))</f>
        <v/>
      </c>
      <c r="D346">
        <f>IF(OR($A346="",$B346=""),"",IF(ISNUMBER($A346),MOD($A346,100),IFERROR(VALUE(TRIM(MID(MID($A346,FIND("/",$A346)+1,20),FIND("/",MID($A346,FIND("/",$A346)+1,20))+1,20))),"")))</f>
        <v/>
      </c>
      <c r="E346">
        <f>IF($A346="","",IF(OR($B346="",$C346="",$D346="",$B346&lt;1300,$B346&gt;1500,$C346&lt;1,$C346&gt;12,$D346&lt;1,$D346&gt;31),"نامعتبر",RIGHT("0000"&amp;$B346,4)&amp;"/"&amp;RIGHT("00"&amp;$C346,2)&amp;"/"&amp;RIGHT("00"&amp;$D346,2)))</f>
        <v/>
      </c>
      <c r="F346">
        <f>IF(OR($E346="",$E346="نامعتبر"),"",IF(Sync!$Q343="","0000",IF(AND(ISNUMBER(Sync!$Q343),Sync!$Q343&gt;=0,Sync!$Q343&lt;1),RIGHT("00"&amp;HOUR(Sync!$Q343),2)&amp;RIGHT("00"&amp;MINUTE(Sync!$Q343),2),IFERROR(RIGHT("00"&amp;VALUE(LEFT(Sync!$Q343,FIND(":",Sync!$Q343)-1)),2)&amp;RIGHT("00"&amp;VALUE(MID(Sync!$Q343,FIND(":",Sync!$Q343)+1,2)),2),"0000"))))</f>
        <v/>
      </c>
      <c r="G346">
        <f>IF(OR($E346="",$E346="نامعتبر"),"",IF(Sync!$S343="","",Sync!$S343))</f>
        <v/>
      </c>
      <c r="H346">
        <f>IF(OR($E346="",$E346="نامعتبر"),"",IF(Sync!$R343="","",Sync!$R343))</f>
        <v/>
      </c>
      <c r="I346">
        <f>IF(OR($E346="",$E346="نامعتبر"),"",IF(Sync!$T343="","",Sync!$T343))</f>
        <v/>
      </c>
      <c r="J346">
        <f>IF(OR($E346="",$E346="نامعتبر"),"",IF(Sync!$U343="","",Sync!$U343))</f>
        <v/>
      </c>
      <c r="K346">
        <f>IF(OR($E346="",$E346="نامعتبر"),"",IF(Sync!$V343="","",IFERROR(INDEX(SubCodes,MATCH(Sync!$V343,SubTitles,0)),Sync!$V343)))</f>
        <v/>
      </c>
      <c r="L346">
        <f>IF(OR($E346="",$E346="نامعتبر"),"",IF(Sync!$W343="",0,Sync!$W343))</f>
        <v/>
      </c>
      <c r="M346">
        <f>IF(OR($E346="",$E346="نامعتبر"),"",IF(Sync!$X343="",0,Sync!$X343))</f>
        <v/>
      </c>
      <c r="N346">
        <f>IF(OR($E346="",$E346="نامعتبر"),"",IF(AND($J346="هزینه",$K346&lt;&gt;""),1,0))</f>
        <v/>
      </c>
      <c r="O346">
        <f>IF($N346=0,"",LEFT($E346,4)&amp;MID($E346,6,2)&amp;RIGHT($E346,2)&amp;$F346&amp;"|"&amp;"1"&amp;RIGHT("00000"&amp;338,5))</f>
        <v/>
      </c>
      <c r="P346">
        <f>IF($O346="","",COUNTIFS(ExpSub,$K346,ExpKey,"&lt;"&amp;$O346)+1)</f>
        <v/>
      </c>
      <c r="Q346">
        <f>IF($P346="","",$K346&amp;"|"&amp;RIGHT("000000"&amp;$P346,6))</f>
        <v/>
      </c>
    </row>
    <row r="347">
      <c r="A347">
        <f>IF(Sync!$P344="","",Sync!$P344)</f>
        <v/>
      </c>
      <c r="B347">
        <f>IF($A347="","",IF(ISNUMBER($A347),IF(AND($A347&gt;=10000101,$A347&lt;=99991231),INT($A347/10000),""),IFERROR(VALUE(TRIM(LEFT($A347,FIND("/",$A347)-1))),"")))</f>
        <v/>
      </c>
      <c r="C347">
        <f>IF(OR($A347="",$B347=""),"",IF(ISNUMBER($A347),INT(MOD($A347,10000)/100),IFERROR(VALUE(TRIM(LEFT(MID($A347,FIND("/",$A347)+1,20),FIND("/",MID($A347,FIND("/",$A347)+1,20))-1))),"")))</f>
        <v/>
      </c>
      <c r="D347">
        <f>IF(OR($A347="",$B347=""),"",IF(ISNUMBER($A347),MOD($A347,100),IFERROR(VALUE(TRIM(MID(MID($A347,FIND("/",$A347)+1,20),FIND("/",MID($A347,FIND("/",$A347)+1,20))+1,20))),"")))</f>
        <v/>
      </c>
      <c r="E347">
        <f>IF($A347="","",IF(OR($B347="",$C347="",$D347="",$B347&lt;1300,$B347&gt;1500,$C347&lt;1,$C347&gt;12,$D347&lt;1,$D347&gt;31),"نامعتبر",RIGHT("0000"&amp;$B347,4)&amp;"/"&amp;RIGHT("00"&amp;$C347,2)&amp;"/"&amp;RIGHT("00"&amp;$D347,2)))</f>
        <v/>
      </c>
      <c r="F347">
        <f>IF(OR($E347="",$E347="نامعتبر"),"",IF(Sync!$Q344="","0000",IF(AND(ISNUMBER(Sync!$Q344),Sync!$Q344&gt;=0,Sync!$Q344&lt;1),RIGHT("00"&amp;HOUR(Sync!$Q344),2)&amp;RIGHT("00"&amp;MINUTE(Sync!$Q344),2),IFERROR(RIGHT("00"&amp;VALUE(LEFT(Sync!$Q344,FIND(":",Sync!$Q344)-1)),2)&amp;RIGHT("00"&amp;VALUE(MID(Sync!$Q344,FIND(":",Sync!$Q344)+1,2)),2),"0000"))))</f>
        <v/>
      </c>
      <c r="G347">
        <f>IF(OR($E347="",$E347="نامعتبر"),"",IF(Sync!$S344="","",Sync!$S344))</f>
        <v/>
      </c>
      <c r="H347">
        <f>IF(OR($E347="",$E347="نامعتبر"),"",IF(Sync!$R344="","",Sync!$R344))</f>
        <v/>
      </c>
      <c r="I347">
        <f>IF(OR($E347="",$E347="نامعتبر"),"",IF(Sync!$T344="","",Sync!$T344))</f>
        <v/>
      </c>
      <c r="J347">
        <f>IF(OR($E347="",$E347="نامعتبر"),"",IF(Sync!$U344="","",Sync!$U344))</f>
        <v/>
      </c>
      <c r="K347">
        <f>IF(OR($E347="",$E347="نامعتبر"),"",IF(Sync!$V344="","",IFERROR(INDEX(SubCodes,MATCH(Sync!$V344,SubTitles,0)),Sync!$V344)))</f>
        <v/>
      </c>
      <c r="L347">
        <f>IF(OR($E347="",$E347="نامعتبر"),"",IF(Sync!$W344="",0,Sync!$W344))</f>
        <v/>
      </c>
      <c r="M347">
        <f>IF(OR($E347="",$E347="نامعتبر"),"",IF(Sync!$X344="",0,Sync!$X344))</f>
        <v/>
      </c>
      <c r="N347">
        <f>IF(OR($E347="",$E347="نامعتبر"),"",IF(AND($J347="هزینه",$K347&lt;&gt;""),1,0))</f>
        <v/>
      </c>
      <c r="O347">
        <f>IF($N347=0,"",LEFT($E347,4)&amp;MID($E347,6,2)&amp;RIGHT($E347,2)&amp;$F347&amp;"|"&amp;"1"&amp;RIGHT("00000"&amp;339,5))</f>
        <v/>
      </c>
      <c r="P347">
        <f>IF($O347="","",COUNTIFS(ExpSub,$K347,ExpKey,"&lt;"&amp;$O347)+1)</f>
        <v/>
      </c>
      <c r="Q347">
        <f>IF($P347="","",$K347&amp;"|"&amp;RIGHT("000000"&amp;$P347,6))</f>
        <v/>
      </c>
    </row>
    <row r="348">
      <c r="A348">
        <f>IF(Sync!$P345="","",Sync!$P345)</f>
        <v/>
      </c>
      <c r="B348">
        <f>IF($A348="","",IF(ISNUMBER($A348),IF(AND($A348&gt;=10000101,$A348&lt;=99991231),INT($A348/10000),""),IFERROR(VALUE(TRIM(LEFT($A348,FIND("/",$A348)-1))),"")))</f>
        <v/>
      </c>
      <c r="C348">
        <f>IF(OR($A348="",$B348=""),"",IF(ISNUMBER($A348),INT(MOD($A348,10000)/100),IFERROR(VALUE(TRIM(LEFT(MID($A348,FIND("/",$A348)+1,20),FIND("/",MID($A348,FIND("/",$A348)+1,20))-1))),"")))</f>
        <v/>
      </c>
      <c r="D348">
        <f>IF(OR($A348="",$B348=""),"",IF(ISNUMBER($A348),MOD($A348,100),IFERROR(VALUE(TRIM(MID(MID($A348,FIND("/",$A348)+1,20),FIND("/",MID($A348,FIND("/",$A348)+1,20))+1,20))),"")))</f>
        <v/>
      </c>
      <c r="E348">
        <f>IF($A348="","",IF(OR($B348="",$C348="",$D348="",$B348&lt;1300,$B348&gt;1500,$C348&lt;1,$C348&gt;12,$D348&lt;1,$D348&gt;31),"نامعتبر",RIGHT("0000"&amp;$B348,4)&amp;"/"&amp;RIGHT("00"&amp;$C348,2)&amp;"/"&amp;RIGHT("00"&amp;$D348,2)))</f>
        <v/>
      </c>
      <c r="F348">
        <f>IF(OR($E348="",$E348="نامعتبر"),"",IF(Sync!$Q345="","0000",IF(AND(ISNUMBER(Sync!$Q345),Sync!$Q345&gt;=0,Sync!$Q345&lt;1),RIGHT("00"&amp;HOUR(Sync!$Q345),2)&amp;RIGHT("00"&amp;MINUTE(Sync!$Q345),2),IFERROR(RIGHT("00"&amp;VALUE(LEFT(Sync!$Q345,FIND(":",Sync!$Q345)-1)),2)&amp;RIGHT("00"&amp;VALUE(MID(Sync!$Q345,FIND(":",Sync!$Q345)+1,2)),2),"0000"))))</f>
        <v/>
      </c>
      <c r="G348">
        <f>IF(OR($E348="",$E348="نامعتبر"),"",IF(Sync!$S345="","",Sync!$S345))</f>
        <v/>
      </c>
      <c r="H348">
        <f>IF(OR($E348="",$E348="نامعتبر"),"",IF(Sync!$R345="","",Sync!$R345))</f>
        <v/>
      </c>
      <c r="I348">
        <f>IF(OR($E348="",$E348="نامعتبر"),"",IF(Sync!$T345="","",Sync!$T345))</f>
        <v/>
      </c>
      <c r="J348">
        <f>IF(OR($E348="",$E348="نامعتبر"),"",IF(Sync!$U345="","",Sync!$U345))</f>
        <v/>
      </c>
      <c r="K348">
        <f>IF(OR($E348="",$E348="نامعتبر"),"",IF(Sync!$V345="","",IFERROR(INDEX(SubCodes,MATCH(Sync!$V345,SubTitles,0)),Sync!$V345)))</f>
        <v/>
      </c>
      <c r="L348">
        <f>IF(OR($E348="",$E348="نامعتبر"),"",IF(Sync!$W345="",0,Sync!$W345))</f>
        <v/>
      </c>
      <c r="M348">
        <f>IF(OR($E348="",$E348="نامعتبر"),"",IF(Sync!$X345="",0,Sync!$X345))</f>
        <v/>
      </c>
      <c r="N348">
        <f>IF(OR($E348="",$E348="نامعتبر"),"",IF(AND($J348="هزینه",$K348&lt;&gt;""),1,0))</f>
        <v/>
      </c>
      <c r="O348">
        <f>IF($N348=0,"",LEFT($E348,4)&amp;MID($E348,6,2)&amp;RIGHT($E348,2)&amp;$F348&amp;"|"&amp;"1"&amp;RIGHT("00000"&amp;340,5))</f>
        <v/>
      </c>
      <c r="P348">
        <f>IF($O348="","",COUNTIFS(ExpSub,$K348,ExpKey,"&lt;"&amp;$O348)+1)</f>
        <v/>
      </c>
      <c r="Q348">
        <f>IF($P348="","",$K348&amp;"|"&amp;RIGHT("000000"&amp;$P348,6))</f>
        <v/>
      </c>
    </row>
    <row r="349">
      <c r="A349">
        <f>IF(Sync!$P346="","",Sync!$P346)</f>
        <v/>
      </c>
      <c r="B349">
        <f>IF($A349="","",IF(ISNUMBER($A349),IF(AND($A349&gt;=10000101,$A349&lt;=99991231),INT($A349/10000),""),IFERROR(VALUE(TRIM(LEFT($A349,FIND("/",$A349)-1))),"")))</f>
        <v/>
      </c>
      <c r="C349">
        <f>IF(OR($A349="",$B349=""),"",IF(ISNUMBER($A349),INT(MOD($A349,10000)/100),IFERROR(VALUE(TRIM(LEFT(MID($A349,FIND("/",$A349)+1,20),FIND("/",MID($A349,FIND("/",$A349)+1,20))-1))),"")))</f>
        <v/>
      </c>
      <c r="D349">
        <f>IF(OR($A349="",$B349=""),"",IF(ISNUMBER($A349),MOD($A349,100),IFERROR(VALUE(TRIM(MID(MID($A349,FIND("/",$A349)+1,20),FIND("/",MID($A349,FIND("/",$A349)+1,20))+1,20))),"")))</f>
        <v/>
      </c>
      <c r="E349">
        <f>IF($A349="","",IF(OR($B349="",$C349="",$D349="",$B349&lt;1300,$B349&gt;1500,$C349&lt;1,$C349&gt;12,$D349&lt;1,$D349&gt;31),"نامعتبر",RIGHT("0000"&amp;$B349,4)&amp;"/"&amp;RIGHT("00"&amp;$C349,2)&amp;"/"&amp;RIGHT("00"&amp;$D349,2)))</f>
        <v/>
      </c>
      <c r="F349">
        <f>IF(OR($E349="",$E349="نامعتبر"),"",IF(Sync!$Q346="","0000",IF(AND(ISNUMBER(Sync!$Q346),Sync!$Q346&gt;=0,Sync!$Q346&lt;1),RIGHT("00"&amp;HOUR(Sync!$Q346),2)&amp;RIGHT("00"&amp;MINUTE(Sync!$Q346),2),IFERROR(RIGHT("00"&amp;VALUE(LEFT(Sync!$Q346,FIND(":",Sync!$Q346)-1)),2)&amp;RIGHT("00"&amp;VALUE(MID(Sync!$Q346,FIND(":",Sync!$Q346)+1,2)),2),"0000"))))</f>
        <v/>
      </c>
      <c r="G349">
        <f>IF(OR($E349="",$E349="نامعتبر"),"",IF(Sync!$S346="","",Sync!$S346))</f>
        <v/>
      </c>
      <c r="H349">
        <f>IF(OR($E349="",$E349="نامعتبر"),"",IF(Sync!$R346="","",Sync!$R346))</f>
        <v/>
      </c>
      <c r="I349">
        <f>IF(OR($E349="",$E349="نامعتبر"),"",IF(Sync!$T346="","",Sync!$T346))</f>
        <v/>
      </c>
      <c r="J349">
        <f>IF(OR($E349="",$E349="نامعتبر"),"",IF(Sync!$U346="","",Sync!$U346))</f>
        <v/>
      </c>
      <c r="K349">
        <f>IF(OR($E349="",$E349="نامعتبر"),"",IF(Sync!$V346="","",IFERROR(INDEX(SubCodes,MATCH(Sync!$V346,SubTitles,0)),Sync!$V346)))</f>
        <v/>
      </c>
      <c r="L349">
        <f>IF(OR($E349="",$E349="نامعتبر"),"",IF(Sync!$W346="",0,Sync!$W346))</f>
        <v/>
      </c>
      <c r="M349">
        <f>IF(OR($E349="",$E349="نامعتبر"),"",IF(Sync!$X346="",0,Sync!$X346))</f>
        <v/>
      </c>
      <c r="N349">
        <f>IF(OR($E349="",$E349="نامعتبر"),"",IF(AND($J349="هزینه",$K349&lt;&gt;""),1,0))</f>
        <v/>
      </c>
      <c r="O349">
        <f>IF($N349=0,"",LEFT($E349,4)&amp;MID($E349,6,2)&amp;RIGHT($E349,2)&amp;$F349&amp;"|"&amp;"1"&amp;RIGHT("00000"&amp;341,5))</f>
        <v/>
      </c>
      <c r="P349">
        <f>IF($O349="","",COUNTIFS(ExpSub,$K349,ExpKey,"&lt;"&amp;$O349)+1)</f>
        <v/>
      </c>
      <c r="Q349">
        <f>IF($P349="","",$K349&amp;"|"&amp;RIGHT("000000"&amp;$P349,6))</f>
        <v/>
      </c>
    </row>
    <row r="350">
      <c r="A350">
        <f>IF(Sync!$P347="","",Sync!$P347)</f>
        <v/>
      </c>
      <c r="B350">
        <f>IF($A350="","",IF(ISNUMBER($A350),IF(AND($A350&gt;=10000101,$A350&lt;=99991231),INT($A350/10000),""),IFERROR(VALUE(TRIM(LEFT($A350,FIND("/",$A350)-1))),"")))</f>
        <v/>
      </c>
      <c r="C350">
        <f>IF(OR($A350="",$B350=""),"",IF(ISNUMBER($A350),INT(MOD($A350,10000)/100),IFERROR(VALUE(TRIM(LEFT(MID($A350,FIND("/",$A350)+1,20),FIND("/",MID($A350,FIND("/",$A350)+1,20))-1))),"")))</f>
        <v/>
      </c>
      <c r="D350">
        <f>IF(OR($A350="",$B350=""),"",IF(ISNUMBER($A350),MOD($A350,100),IFERROR(VALUE(TRIM(MID(MID($A350,FIND("/",$A350)+1,20),FIND("/",MID($A350,FIND("/",$A350)+1,20))+1,20))),"")))</f>
        <v/>
      </c>
      <c r="E350">
        <f>IF($A350="","",IF(OR($B350="",$C350="",$D350="",$B350&lt;1300,$B350&gt;1500,$C350&lt;1,$C350&gt;12,$D350&lt;1,$D350&gt;31),"نامعتبر",RIGHT("0000"&amp;$B350,4)&amp;"/"&amp;RIGHT("00"&amp;$C350,2)&amp;"/"&amp;RIGHT("00"&amp;$D350,2)))</f>
        <v/>
      </c>
      <c r="F350">
        <f>IF(OR($E350="",$E350="نامعتبر"),"",IF(Sync!$Q347="","0000",IF(AND(ISNUMBER(Sync!$Q347),Sync!$Q347&gt;=0,Sync!$Q347&lt;1),RIGHT("00"&amp;HOUR(Sync!$Q347),2)&amp;RIGHT("00"&amp;MINUTE(Sync!$Q347),2),IFERROR(RIGHT("00"&amp;VALUE(LEFT(Sync!$Q347,FIND(":",Sync!$Q347)-1)),2)&amp;RIGHT("00"&amp;VALUE(MID(Sync!$Q347,FIND(":",Sync!$Q347)+1,2)),2),"0000"))))</f>
        <v/>
      </c>
      <c r="G350">
        <f>IF(OR($E350="",$E350="نامعتبر"),"",IF(Sync!$S347="","",Sync!$S347))</f>
        <v/>
      </c>
      <c r="H350">
        <f>IF(OR($E350="",$E350="نامعتبر"),"",IF(Sync!$R347="","",Sync!$R347))</f>
        <v/>
      </c>
      <c r="I350">
        <f>IF(OR($E350="",$E350="نامعتبر"),"",IF(Sync!$T347="","",Sync!$T347))</f>
        <v/>
      </c>
      <c r="J350">
        <f>IF(OR($E350="",$E350="نامعتبر"),"",IF(Sync!$U347="","",Sync!$U347))</f>
        <v/>
      </c>
      <c r="K350">
        <f>IF(OR($E350="",$E350="نامعتبر"),"",IF(Sync!$V347="","",IFERROR(INDEX(SubCodes,MATCH(Sync!$V347,SubTitles,0)),Sync!$V347)))</f>
        <v/>
      </c>
      <c r="L350">
        <f>IF(OR($E350="",$E350="نامعتبر"),"",IF(Sync!$W347="",0,Sync!$W347))</f>
        <v/>
      </c>
      <c r="M350">
        <f>IF(OR($E350="",$E350="نامعتبر"),"",IF(Sync!$X347="",0,Sync!$X347))</f>
        <v/>
      </c>
      <c r="N350">
        <f>IF(OR($E350="",$E350="نامعتبر"),"",IF(AND($J350="هزینه",$K350&lt;&gt;""),1,0))</f>
        <v/>
      </c>
      <c r="O350">
        <f>IF($N350=0,"",LEFT($E350,4)&amp;MID($E350,6,2)&amp;RIGHT($E350,2)&amp;$F350&amp;"|"&amp;"1"&amp;RIGHT("00000"&amp;342,5))</f>
        <v/>
      </c>
      <c r="P350">
        <f>IF($O350="","",COUNTIFS(ExpSub,$K350,ExpKey,"&lt;"&amp;$O350)+1)</f>
        <v/>
      </c>
      <c r="Q350">
        <f>IF($P350="","",$K350&amp;"|"&amp;RIGHT("000000"&amp;$P350,6))</f>
        <v/>
      </c>
    </row>
    <row r="351">
      <c r="A351">
        <f>IF(Sync!$P348="","",Sync!$P348)</f>
        <v/>
      </c>
      <c r="B351">
        <f>IF($A351="","",IF(ISNUMBER($A351),IF(AND($A351&gt;=10000101,$A351&lt;=99991231),INT($A351/10000),""),IFERROR(VALUE(TRIM(LEFT($A351,FIND("/",$A351)-1))),"")))</f>
        <v/>
      </c>
      <c r="C351">
        <f>IF(OR($A351="",$B351=""),"",IF(ISNUMBER($A351),INT(MOD($A351,10000)/100),IFERROR(VALUE(TRIM(LEFT(MID($A351,FIND("/",$A351)+1,20),FIND("/",MID($A351,FIND("/",$A351)+1,20))-1))),"")))</f>
        <v/>
      </c>
      <c r="D351">
        <f>IF(OR($A351="",$B351=""),"",IF(ISNUMBER($A351),MOD($A351,100),IFERROR(VALUE(TRIM(MID(MID($A351,FIND("/",$A351)+1,20),FIND("/",MID($A351,FIND("/",$A351)+1,20))+1,20))),"")))</f>
        <v/>
      </c>
      <c r="E351">
        <f>IF($A351="","",IF(OR($B351="",$C351="",$D351="",$B351&lt;1300,$B351&gt;1500,$C351&lt;1,$C351&gt;12,$D351&lt;1,$D351&gt;31),"نامعتبر",RIGHT("0000"&amp;$B351,4)&amp;"/"&amp;RIGHT("00"&amp;$C351,2)&amp;"/"&amp;RIGHT("00"&amp;$D351,2)))</f>
        <v/>
      </c>
      <c r="F351">
        <f>IF(OR($E351="",$E351="نامعتبر"),"",IF(Sync!$Q348="","0000",IF(AND(ISNUMBER(Sync!$Q348),Sync!$Q348&gt;=0,Sync!$Q348&lt;1),RIGHT("00"&amp;HOUR(Sync!$Q348),2)&amp;RIGHT("00"&amp;MINUTE(Sync!$Q348),2),IFERROR(RIGHT("00"&amp;VALUE(LEFT(Sync!$Q348,FIND(":",Sync!$Q348)-1)),2)&amp;RIGHT("00"&amp;VALUE(MID(Sync!$Q348,FIND(":",Sync!$Q348)+1,2)),2),"0000"))))</f>
        <v/>
      </c>
      <c r="G351">
        <f>IF(OR($E351="",$E351="نامعتبر"),"",IF(Sync!$S348="","",Sync!$S348))</f>
        <v/>
      </c>
      <c r="H351">
        <f>IF(OR($E351="",$E351="نامعتبر"),"",IF(Sync!$R348="","",Sync!$R348))</f>
        <v/>
      </c>
      <c r="I351">
        <f>IF(OR($E351="",$E351="نامعتبر"),"",IF(Sync!$T348="","",Sync!$T348))</f>
        <v/>
      </c>
      <c r="J351">
        <f>IF(OR($E351="",$E351="نامعتبر"),"",IF(Sync!$U348="","",Sync!$U348))</f>
        <v/>
      </c>
      <c r="K351">
        <f>IF(OR($E351="",$E351="نامعتبر"),"",IF(Sync!$V348="","",IFERROR(INDEX(SubCodes,MATCH(Sync!$V348,SubTitles,0)),Sync!$V348)))</f>
        <v/>
      </c>
      <c r="L351">
        <f>IF(OR($E351="",$E351="نامعتبر"),"",IF(Sync!$W348="",0,Sync!$W348))</f>
        <v/>
      </c>
      <c r="M351">
        <f>IF(OR($E351="",$E351="نامعتبر"),"",IF(Sync!$X348="",0,Sync!$X348))</f>
        <v/>
      </c>
      <c r="N351">
        <f>IF(OR($E351="",$E351="نامعتبر"),"",IF(AND($J351="هزینه",$K351&lt;&gt;""),1,0))</f>
        <v/>
      </c>
      <c r="O351">
        <f>IF($N351=0,"",LEFT($E351,4)&amp;MID($E351,6,2)&amp;RIGHT($E351,2)&amp;$F351&amp;"|"&amp;"1"&amp;RIGHT("00000"&amp;343,5))</f>
        <v/>
      </c>
      <c r="P351">
        <f>IF($O351="","",COUNTIFS(ExpSub,$K351,ExpKey,"&lt;"&amp;$O351)+1)</f>
        <v/>
      </c>
      <c r="Q351">
        <f>IF($P351="","",$K351&amp;"|"&amp;RIGHT("000000"&amp;$P351,6))</f>
        <v/>
      </c>
    </row>
    <row r="352">
      <c r="A352">
        <f>IF(Sync!$P349="","",Sync!$P349)</f>
        <v/>
      </c>
      <c r="B352">
        <f>IF($A352="","",IF(ISNUMBER($A352),IF(AND($A352&gt;=10000101,$A352&lt;=99991231),INT($A352/10000),""),IFERROR(VALUE(TRIM(LEFT($A352,FIND("/",$A352)-1))),"")))</f>
        <v/>
      </c>
      <c r="C352">
        <f>IF(OR($A352="",$B352=""),"",IF(ISNUMBER($A352),INT(MOD($A352,10000)/100),IFERROR(VALUE(TRIM(LEFT(MID($A352,FIND("/",$A352)+1,20),FIND("/",MID($A352,FIND("/",$A352)+1,20))-1))),"")))</f>
        <v/>
      </c>
      <c r="D352">
        <f>IF(OR($A352="",$B352=""),"",IF(ISNUMBER($A352),MOD($A352,100),IFERROR(VALUE(TRIM(MID(MID($A352,FIND("/",$A352)+1,20),FIND("/",MID($A352,FIND("/",$A352)+1,20))+1,20))),"")))</f>
        <v/>
      </c>
      <c r="E352">
        <f>IF($A352="","",IF(OR($B352="",$C352="",$D352="",$B352&lt;1300,$B352&gt;1500,$C352&lt;1,$C352&gt;12,$D352&lt;1,$D352&gt;31),"نامعتبر",RIGHT("0000"&amp;$B352,4)&amp;"/"&amp;RIGHT("00"&amp;$C352,2)&amp;"/"&amp;RIGHT("00"&amp;$D352,2)))</f>
        <v/>
      </c>
      <c r="F352">
        <f>IF(OR($E352="",$E352="نامعتبر"),"",IF(Sync!$Q349="","0000",IF(AND(ISNUMBER(Sync!$Q349),Sync!$Q349&gt;=0,Sync!$Q349&lt;1),RIGHT("00"&amp;HOUR(Sync!$Q349),2)&amp;RIGHT("00"&amp;MINUTE(Sync!$Q349),2),IFERROR(RIGHT("00"&amp;VALUE(LEFT(Sync!$Q349,FIND(":",Sync!$Q349)-1)),2)&amp;RIGHT("00"&amp;VALUE(MID(Sync!$Q349,FIND(":",Sync!$Q349)+1,2)),2),"0000"))))</f>
        <v/>
      </c>
      <c r="G352">
        <f>IF(OR($E352="",$E352="نامعتبر"),"",IF(Sync!$S349="","",Sync!$S349))</f>
        <v/>
      </c>
      <c r="H352">
        <f>IF(OR($E352="",$E352="نامعتبر"),"",IF(Sync!$R349="","",Sync!$R349))</f>
        <v/>
      </c>
      <c r="I352">
        <f>IF(OR($E352="",$E352="نامعتبر"),"",IF(Sync!$T349="","",Sync!$T349))</f>
        <v/>
      </c>
      <c r="J352">
        <f>IF(OR($E352="",$E352="نامعتبر"),"",IF(Sync!$U349="","",Sync!$U349))</f>
        <v/>
      </c>
      <c r="K352">
        <f>IF(OR($E352="",$E352="نامعتبر"),"",IF(Sync!$V349="","",IFERROR(INDEX(SubCodes,MATCH(Sync!$V349,SubTitles,0)),Sync!$V349)))</f>
        <v/>
      </c>
      <c r="L352">
        <f>IF(OR($E352="",$E352="نامعتبر"),"",IF(Sync!$W349="",0,Sync!$W349))</f>
        <v/>
      </c>
      <c r="M352">
        <f>IF(OR($E352="",$E352="نامعتبر"),"",IF(Sync!$X349="",0,Sync!$X349))</f>
        <v/>
      </c>
      <c r="N352">
        <f>IF(OR($E352="",$E352="نامعتبر"),"",IF(AND($J352="هزینه",$K352&lt;&gt;""),1,0))</f>
        <v/>
      </c>
      <c r="O352">
        <f>IF($N352=0,"",LEFT($E352,4)&amp;MID($E352,6,2)&amp;RIGHT($E352,2)&amp;$F352&amp;"|"&amp;"1"&amp;RIGHT("00000"&amp;344,5))</f>
        <v/>
      </c>
      <c r="P352">
        <f>IF($O352="","",COUNTIFS(ExpSub,$K352,ExpKey,"&lt;"&amp;$O352)+1)</f>
        <v/>
      </c>
      <c r="Q352">
        <f>IF($P352="","",$K352&amp;"|"&amp;RIGHT("000000"&amp;$P352,6))</f>
        <v/>
      </c>
    </row>
    <row r="353">
      <c r="A353">
        <f>IF(Sync!$P350="","",Sync!$P350)</f>
        <v/>
      </c>
      <c r="B353">
        <f>IF($A353="","",IF(ISNUMBER($A353),IF(AND($A353&gt;=10000101,$A353&lt;=99991231),INT($A353/10000),""),IFERROR(VALUE(TRIM(LEFT($A353,FIND("/",$A353)-1))),"")))</f>
        <v/>
      </c>
      <c r="C353">
        <f>IF(OR($A353="",$B353=""),"",IF(ISNUMBER($A353),INT(MOD($A353,10000)/100),IFERROR(VALUE(TRIM(LEFT(MID($A353,FIND("/",$A353)+1,20),FIND("/",MID($A353,FIND("/",$A353)+1,20))-1))),"")))</f>
        <v/>
      </c>
      <c r="D353">
        <f>IF(OR($A353="",$B353=""),"",IF(ISNUMBER($A353),MOD($A353,100),IFERROR(VALUE(TRIM(MID(MID($A353,FIND("/",$A353)+1,20),FIND("/",MID($A353,FIND("/",$A353)+1,20))+1,20))),"")))</f>
        <v/>
      </c>
      <c r="E353">
        <f>IF($A353="","",IF(OR($B353="",$C353="",$D353="",$B353&lt;1300,$B353&gt;1500,$C353&lt;1,$C353&gt;12,$D353&lt;1,$D353&gt;31),"نامعتبر",RIGHT("0000"&amp;$B353,4)&amp;"/"&amp;RIGHT("00"&amp;$C353,2)&amp;"/"&amp;RIGHT("00"&amp;$D353,2)))</f>
        <v/>
      </c>
      <c r="F353">
        <f>IF(OR($E353="",$E353="نامعتبر"),"",IF(Sync!$Q350="","0000",IF(AND(ISNUMBER(Sync!$Q350),Sync!$Q350&gt;=0,Sync!$Q350&lt;1),RIGHT("00"&amp;HOUR(Sync!$Q350),2)&amp;RIGHT("00"&amp;MINUTE(Sync!$Q350),2),IFERROR(RIGHT("00"&amp;VALUE(LEFT(Sync!$Q350,FIND(":",Sync!$Q350)-1)),2)&amp;RIGHT("00"&amp;VALUE(MID(Sync!$Q350,FIND(":",Sync!$Q350)+1,2)),2),"0000"))))</f>
        <v/>
      </c>
      <c r="G353">
        <f>IF(OR($E353="",$E353="نامعتبر"),"",IF(Sync!$S350="","",Sync!$S350))</f>
        <v/>
      </c>
      <c r="H353">
        <f>IF(OR($E353="",$E353="نامعتبر"),"",IF(Sync!$R350="","",Sync!$R350))</f>
        <v/>
      </c>
      <c r="I353">
        <f>IF(OR($E353="",$E353="نامعتبر"),"",IF(Sync!$T350="","",Sync!$T350))</f>
        <v/>
      </c>
      <c r="J353">
        <f>IF(OR($E353="",$E353="نامعتبر"),"",IF(Sync!$U350="","",Sync!$U350))</f>
        <v/>
      </c>
      <c r="K353">
        <f>IF(OR($E353="",$E353="نامعتبر"),"",IF(Sync!$V350="","",IFERROR(INDEX(SubCodes,MATCH(Sync!$V350,SubTitles,0)),Sync!$V350)))</f>
        <v/>
      </c>
      <c r="L353">
        <f>IF(OR($E353="",$E353="نامعتبر"),"",IF(Sync!$W350="",0,Sync!$W350))</f>
        <v/>
      </c>
      <c r="M353">
        <f>IF(OR($E353="",$E353="نامعتبر"),"",IF(Sync!$X350="",0,Sync!$X350))</f>
        <v/>
      </c>
      <c r="N353">
        <f>IF(OR($E353="",$E353="نامعتبر"),"",IF(AND($J353="هزینه",$K353&lt;&gt;""),1,0))</f>
        <v/>
      </c>
      <c r="O353">
        <f>IF($N353=0,"",LEFT($E353,4)&amp;MID($E353,6,2)&amp;RIGHT($E353,2)&amp;$F353&amp;"|"&amp;"1"&amp;RIGHT("00000"&amp;345,5))</f>
        <v/>
      </c>
      <c r="P353">
        <f>IF($O353="","",COUNTIFS(ExpSub,$K353,ExpKey,"&lt;"&amp;$O353)+1)</f>
        <v/>
      </c>
      <c r="Q353">
        <f>IF($P353="","",$K353&amp;"|"&amp;RIGHT("000000"&amp;$P353,6))</f>
        <v/>
      </c>
    </row>
    <row r="354">
      <c r="A354">
        <f>IF(Sync!$P351="","",Sync!$P351)</f>
        <v/>
      </c>
      <c r="B354">
        <f>IF($A354="","",IF(ISNUMBER($A354),IF(AND($A354&gt;=10000101,$A354&lt;=99991231),INT($A354/10000),""),IFERROR(VALUE(TRIM(LEFT($A354,FIND("/",$A354)-1))),"")))</f>
        <v/>
      </c>
      <c r="C354">
        <f>IF(OR($A354="",$B354=""),"",IF(ISNUMBER($A354),INT(MOD($A354,10000)/100),IFERROR(VALUE(TRIM(LEFT(MID($A354,FIND("/",$A354)+1,20),FIND("/",MID($A354,FIND("/",$A354)+1,20))-1))),"")))</f>
        <v/>
      </c>
      <c r="D354">
        <f>IF(OR($A354="",$B354=""),"",IF(ISNUMBER($A354),MOD($A354,100),IFERROR(VALUE(TRIM(MID(MID($A354,FIND("/",$A354)+1,20),FIND("/",MID($A354,FIND("/",$A354)+1,20))+1,20))),"")))</f>
        <v/>
      </c>
      <c r="E354">
        <f>IF($A354="","",IF(OR($B354="",$C354="",$D354="",$B354&lt;1300,$B354&gt;1500,$C354&lt;1,$C354&gt;12,$D354&lt;1,$D354&gt;31),"نامعتبر",RIGHT("0000"&amp;$B354,4)&amp;"/"&amp;RIGHT("00"&amp;$C354,2)&amp;"/"&amp;RIGHT("00"&amp;$D354,2)))</f>
        <v/>
      </c>
      <c r="F354">
        <f>IF(OR($E354="",$E354="نامعتبر"),"",IF(Sync!$Q351="","0000",IF(AND(ISNUMBER(Sync!$Q351),Sync!$Q351&gt;=0,Sync!$Q351&lt;1),RIGHT("00"&amp;HOUR(Sync!$Q351),2)&amp;RIGHT("00"&amp;MINUTE(Sync!$Q351),2),IFERROR(RIGHT("00"&amp;VALUE(LEFT(Sync!$Q351,FIND(":",Sync!$Q351)-1)),2)&amp;RIGHT("00"&amp;VALUE(MID(Sync!$Q351,FIND(":",Sync!$Q351)+1,2)),2),"0000"))))</f>
        <v/>
      </c>
      <c r="G354">
        <f>IF(OR($E354="",$E354="نامعتبر"),"",IF(Sync!$S351="","",Sync!$S351))</f>
        <v/>
      </c>
      <c r="H354">
        <f>IF(OR($E354="",$E354="نامعتبر"),"",IF(Sync!$R351="","",Sync!$R351))</f>
        <v/>
      </c>
      <c r="I354">
        <f>IF(OR($E354="",$E354="نامعتبر"),"",IF(Sync!$T351="","",Sync!$T351))</f>
        <v/>
      </c>
      <c r="J354">
        <f>IF(OR($E354="",$E354="نامعتبر"),"",IF(Sync!$U351="","",Sync!$U351))</f>
        <v/>
      </c>
      <c r="K354">
        <f>IF(OR($E354="",$E354="نامعتبر"),"",IF(Sync!$V351="","",IFERROR(INDEX(SubCodes,MATCH(Sync!$V351,SubTitles,0)),Sync!$V351)))</f>
        <v/>
      </c>
      <c r="L354">
        <f>IF(OR($E354="",$E354="نامعتبر"),"",IF(Sync!$W351="",0,Sync!$W351))</f>
        <v/>
      </c>
      <c r="M354">
        <f>IF(OR($E354="",$E354="نامعتبر"),"",IF(Sync!$X351="",0,Sync!$X351))</f>
        <v/>
      </c>
      <c r="N354">
        <f>IF(OR($E354="",$E354="نامعتبر"),"",IF(AND($J354="هزینه",$K354&lt;&gt;""),1,0))</f>
        <v/>
      </c>
      <c r="O354">
        <f>IF($N354=0,"",LEFT($E354,4)&amp;MID($E354,6,2)&amp;RIGHT($E354,2)&amp;$F354&amp;"|"&amp;"1"&amp;RIGHT("00000"&amp;346,5))</f>
        <v/>
      </c>
      <c r="P354">
        <f>IF($O354="","",COUNTIFS(ExpSub,$K354,ExpKey,"&lt;"&amp;$O354)+1)</f>
        <v/>
      </c>
      <c r="Q354">
        <f>IF($P354="","",$K354&amp;"|"&amp;RIGHT("000000"&amp;$P354,6))</f>
        <v/>
      </c>
    </row>
    <row r="355">
      <c r="A355">
        <f>IF(Sync!$P352="","",Sync!$P352)</f>
        <v/>
      </c>
      <c r="B355">
        <f>IF($A355="","",IF(ISNUMBER($A355),IF(AND($A355&gt;=10000101,$A355&lt;=99991231),INT($A355/10000),""),IFERROR(VALUE(TRIM(LEFT($A355,FIND("/",$A355)-1))),"")))</f>
        <v/>
      </c>
      <c r="C355">
        <f>IF(OR($A355="",$B355=""),"",IF(ISNUMBER($A355),INT(MOD($A355,10000)/100),IFERROR(VALUE(TRIM(LEFT(MID($A355,FIND("/",$A355)+1,20),FIND("/",MID($A355,FIND("/",$A355)+1,20))-1))),"")))</f>
        <v/>
      </c>
      <c r="D355">
        <f>IF(OR($A355="",$B355=""),"",IF(ISNUMBER($A355),MOD($A355,100),IFERROR(VALUE(TRIM(MID(MID($A355,FIND("/",$A355)+1,20),FIND("/",MID($A355,FIND("/",$A355)+1,20))+1,20))),"")))</f>
        <v/>
      </c>
      <c r="E355">
        <f>IF($A355="","",IF(OR($B355="",$C355="",$D355="",$B355&lt;1300,$B355&gt;1500,$C355&lt;1,$C355&gt;12,$D355&lt;1,$D355&gt;31),"نامعتبر",RIGHT("0000"&amp;$B355,4)&amp;"/"&amp;RIGHT("00"&amp;$C355,2)&amp;"/"&amp;RIGHT("00"&amp;$D355,2)))</f>
        <v/>
      </c>
      <c r="F355">
        <f>IF(OR($E355="",$E355="نامعتبر"),"",IF(Sync!$Q352="","0000",IF(AND(ISNUMBER(Sync!$Q352),Sync!$Q352&gt;=0,Sync!$Q352&lt;1),RIGHT("00"&amp;HOUR(Sync!$Q352),2)&amp;RIGHT("00"&amp;MINUTE(Sync!$Q352),2),IFERROR(RIGHT("00"&amp;VALUE(LEFT(Sync!$Q352,FIND(":",Sync!$Q352)-1)),2)&amp;RIGHT("00"&amp;VALUE(MID(Sync!$Q352,FIND(":",Sync!$Q352)+1,2)),2),"0000"))))</f>
        <v/>
      </c>
      <c r="G355">
        <f>IF(OR($E355="",$E355="نامعتبر"),"",IF(Sync!$S352="","",Sync!$S352))</f>
        <v/>
      </c>
      <c r="H355">
        <f>IF(OR($E355="",$E355="نامعتبر"),"",IF(Sync!$R352="","",Sync!$R352))</f>
        <v/>
      </c>
      <c r="I355">
        <f>IF(OR($E355="",$E355="نامعتبر"),"",IF(Sync!$T352="","",Sync!$T352))</f>
        <v/>
      </c>
      <c r="J355">
        <f>IF(OR($E355="",$E355="نامعتبر"),"",IF(Sync!$U352="","",Sync!$U352))</f>
        <v/>
      </c>
      <c r="K355">
        <f>IF(OR($E355="",$E355="نامعتبر"),"",IF(Sync!$V352="","",IFERROR(INDEX(SubCodes,MATCH(Sync!$V352,SubTitles,0)),Sync!$V352)))</f>
        <v/>
      </c>
      <c r="L355">
        <f>IF(OR($E355="",$E355="نامعتبر"),"",IF(Sync!$W352="",0,Sync!$W352))</f>
        <v/>
      </c>
      <c r="M355">
        <f>IF(OR($E355="",$E355="نامعتبر"),"",IF(Sync!$X352="",0,Sync!$X352))</f>
        <v/>
      </c>
      <c r="N355">
        <f>IF(OR($E355="",$E355="نامعتبر"),"",IF(AND($J355="هزینه",$K355&lt;&gt;""),1,0))</f>
        <v/>
      </c>
      <c r="O355">
        <f>IF($N355=0,"",LEFT($E355,4)&amp;MID($E355,6,2)&amp;RIGHT($E355,2)&amp;$F355&amp;"|"&amp;"1"&amp;RIGHT("00000"&amp;347,5))</f>
        <v/>
      </c>
      <c r="P355">
        <f>IF($O355="","",COUNTIFS(ExpSub,$K355,ExpKey,"&lt;"&amp;$O355)+1)</f>
        <v/>
      </c>
      <c r="Q355">
        <f>IF($P355="","",$K355&amp;"|"&amp;RIGHT("000000"&amp;$P355,6))</f>
        <v/>
      </c>
    </row>
    <row r="356">
      <c r="A356">
        <f>IF(Sync!$P353="","",Sync!$P353)</f>
        <v/>
      </c>
      <c r="B356">
        <f>IF($A356="","",IF(ISNUMBER($A356),IF(AND($A356&gt;=10000101,$A356&lt;=99991231),INT($A356/10000),""),IFERROR(VALUE(TRIM(LEFT($A356,FIND("/",$A356)-1))),"")))</f>
        <v/>
      </c>
      <c r="C356">
        <f>IF(OR($A356="",$B356=""),"",IF(ISNUMBER($A356),INT(MOD($A356,10000)/100),IFERROR(VALUE(TRIM(LEFT(MID($A356,FIND("/",$A356)+1,20),FIND("/",MID($A356,FIND("/",$A356)+1,20))-1))),"")))</f>
        <v/>
      </c>
      <c r="D356">
        <f>IF(OR($A356="",$B356=""),"",IF(ISNUMBER($A356),MOD($A356,100),IFERROR(VALUE(TRIM(MID(MID($A356,FIND("/",$A356)+1,20),FIND("/",MID($A356,FIND("/",$A356)+1,20))+1,20))),"")))</f>
        <v/>
      </c>
      <c r="E356">
        <f>IF($A356="","",IF(OR($B356="",$C356="",$D356="",$B356&lt;1300,$B356&gt;1500,$C356&lt;1,$C356&gt;12,$D356&lt;1,$D356&gt;31),"نامعتبر",RIGHT("0000"&amp;$B356,4)&amp;"/"&amp;RIGHT("00"&amp;$C356,2)&amp;"/"&amp;RIGHT("00"&amp;$D356,2)))</f>
        <v/>
      </c>
      <c r="F356">
        <f>IF(OR($E356="",$E356="نامعتبر"),"",IF(Sync!$Q353="","0000",IF(AND(ISNUMBER(Sync!$Q353),Sync!$Q353&gt;=0,Sync!$Q353&lt;1),RIGHT("00"&amp;HOUR(Sync!$Q353),2)&amp;RIGHT("00"&amp;MINUTE(Sync!$Q353),2),IFERROR(RIGHT("00"&amp;VALUE(LEFT(Sync!$Q353,FIND(":",Sync!$Q353)-1)),2)&amp;RIGHT("00"&amp;VALUE(MID(Sync!$Q353,FIND(":",Sync!$Q353)+1,2)),2),"0000"))))</f>
        <v/>
      </c>
      <c r="G356">
        <f>IF(OR($E356="",$E356="نامعتبر"),"",IF(Sync!$S353="","",Sync!$S353))</f>
        <v/>
      </c>
      <c r="H356">
        <f>IF(OR($E356="",$E356="نامعتبر"),"",IF(Sync!$R353="","",Sync!$R353))</f>
        <v/>
      </c>
      <c r="I356">
        <f>IF(OR($E356="",$E356="نامعتبر"),"",IF(Sync!$T353="","",Sync!$T353))</f>
        <v/>
      </c>
      <c r="J356">
        <f>IF(OR($E356="",$E356="نامعتبر"),"",IF(Sync!$U353="","",Sync!$U353))</f>
        <v/>
      </c>
      <c r="K356">
        <f>IF(OR($E356="",$E356="نامعتبر"),"",IF(Sync!$V353="","",IFERROR(INDEX(SubCodes,MATCH(Sync!$V353,SubTitles,0)),Sync!$V353)))</f>
        <v/>
      </c>
      <c r="L356">
        <f>IF(OR($E356="",$E356="نامعتبر"),"",IF(Sync!$W353="",0,Sync!$W353))</f>
        <v/>
      </c>
      <c r="M356">
        <f>IF(OR($E356="",$E356="نامعتبر"),"",IF(Sync!$X353="",0,Sync!$X353))</f>
        <v/>
      </c>
      <c r="N356">
        <f>IF(OR($E356="",$E356="نامعتبر"),"",IF(AND($J356="هزینه",$K356&lt;&gt;""),1,0))</f>
        <v/>
      </c>
      <c r="O356">
        <f>IF($N356=0,"",LEFT($E356,4)&amp;MID($E356,6,2)&amp;RIGHT($E356,2)&amp;$F356&amp;"|"&amp;"1"&amp;RIGHT("00000"&amp;348,5))</f>
        <v/>
      </c>
      <c r="P356">
        <f>IF($O356="","",COUNTIFS(ExpSub,$K356,ExpKey,"&lt;"&amp;$O356)+1)</f>
        <v/>
      </c>
      <c r="Q356">
        <f>IF($P356="","",$K356&amp;"|"&amp;RIGHT("000000"&amp;$P356,6))</f>
        <v/>
      </c>
    </row>
    <row r="357">
      <c r="A357">
        <f>IF(Sync!$P354="","",Sync!$P354)</f>
        <v/>
      </c>
      <c r="B357">
        <f>IF($A357="","",IF(ISNUMBER($A357),IF(AND($A357&gt;=10000101,$A357&lt;=99991231),INT($A357/10000),""),IFERROR(VALUE(TRIM(LEFT($A357,FIND("/",$A357)-1))),"")))</f>
        <v/>
      </c>
      <c r="C357">
        <f>IF(OR($A357="",$B357=""),"",IF(ISNUMBER($A357),INT(MOD($A357,10000)/100),IFERROR(VALUE(TRIM(LEFT(MID($A357,FIND("/",$A357)+1,20),FIND("/",MID($A357,FIND("/",$A357)+1,20))-1))),"")))</f>
        <v/>
      </c>
      <c r="D357">
        <f>IF(OR($A357="",$B357=""),"",IF(ISNUMBER($A357),MOD($A357,100),IFERROR(VALUE(TRIM(MID(MID($A357,FIND("/",$A357)+1,20),FIND("/",MID($A357,FIND("/",$A357)+1,20))+1,20))),"")))</f>
        <v/>
      </c>
      <c r="E357">
        <f>IF($A357="","",IF(OR($B357="",$C357="",$D357="",$B357&lt;1300,$B357&gt;1500,$C357&lt;1,$C357&gt;12,$D357&lt;1,$D357&gt;31),"نامعتبر",RIGHT("0000"&amp;$B357,4)&amp;"/"&amp;RIGHT("00"&amp;$C357,2)&amp;"/"&amp;RIGHT("00"&amp;$D357,2)))</f>
        <v/>
      </c>
      <c r="F357">
        <f>IF(OR($E357="",$E357="نامعتبر"),"",IF(Sync!$Q354="","0000",IF(AND(ISNUMBER(Sync!$Q354),Sync!$Q354&gt;=0,Sync!$Q354&lt;1),RIGHT("00"&amp;HOUR(Sync!$Q354),2)&amp;RIGHT("00"&amp;MINUTE(Sync!$Q354),2),IFERROR(RIGHT("00"&amp;VALUE(LEFT(Sync!$Q354,FIND(":",Sync!$Q354)-1)),2)&amp;RIGHT("00"&amp;VALUE(MID(Sync!$Q354,FIND(":",Sync!$Q354)+1,2)),2),"0000"))))</f>
        <v/>
      </c>
      <c r="G357">
        <f>IF(OR($E357="",$E357="نامعتبر"),"",IF(Sync!$S354="","",Sync!$S354))</f>
        <v/>
      </c>
      <c r="H357">
        <f>IF(OR($E357="",$E357="نامعتبر"),"",IF(Sync!$R354="","",Sync!$R354))</f>
        <v/>
      </c>
      <c r="I357">
        <f>IF(OR($E357="",$E357="نامعتبر"),"",IF(Sync!$T354="","",Sync!$T354))</f>
        <v/>
      </c>
      <c r="J357">
        <f>IF(OR($E357="",$E357="نامعتبر"),"",IF(Sync!$U354="","",Sync!$U354))</f>
        <v/>
      </c>
      <c r="K357">
        <f>IF(OR($E357="",$E357="نامعتبر"),"",IF(Sync!$V354="","",IFERROR(INDEX(SubCodes,MATCH(Sync!$V354,SubTitles,0)),Sync!$V354)))</f>
        <v/>
      </c>
      <c r="L357">
        <f>IF(OR($E357="",$E357="نامعتبر"),"",IF(Sync!$W354="",0,Sync!$W354))</f>
        <v/>
      </c>
      <c r="M357">
        <f>IF(OR($E357="",$E357="نامعتبر"),"",IF(Sync!$X354="",0,Sync!$X354))</f>
        <v/>
      </c>
      <c r="N357">
        <f>IF(OR($E357="",$E357="نامعتبر"),"",IF(AND($J357="هزینه",$K357&lt;&gt;""),1,0))</f>
        <v/>
      </c>
      <c r="O357">
        <f>IF($N357=0,"",LEFT($E357,4)&amp;MID($E357,6,2)&amp;RIGHT($E357,2)&amp;$F357&amp;"|"&amp;"1"&amp;RIGHT("00000"&amp;349,5))</f>
        <v/>
      </c>
      <c r="P357">
        <f>IF($O357="","",COUNTIFS(ExpSub,$K357,ExpKey,"&lt;"&amp;$O357)+1)</f>
        <v/>
      </c>
      <c r="Q357">
        <f>IF($P357="","",$K357&amp;"|"&amp;RIGHT("000000"&amp;$P357,6))</f>
        <v/>
      </c>
    </row>
    <row r="358">
      <c r="A358">
        <f>IF(Sync!$P355="","",Sync!$P355)</f>
        <v/>
      </c>
      <c r="B358">
        <f>IF($A358="","",IF(ISNUMBER($A358),IF(AND($A358&gt;=10000101,$A358&lt;=99991231),INT($A358/10000),""),IFERROR(VALUE(TRIM(LEFT($A358,FIND("/",$A358)-1))),"")))</f>
        <v/>
      </c>
      <c r="C358">
        <f>IF(OR($A358="",$B358=""),"",IF(ISNUMBER($A358),INT(MOD($A358,10000)/100),IFERROR(VALUE(TRIM(LEFT(MID($A358,FIND("/",$A358)+1,20),FIND("/",MID($A358,FIND("/",$A358)+1,20))-1))),"")))</f>
        <v/>
      </c>
      <c r="D358">
        <f>IF(OR($A358="",$B358=""),"",IF(ISNUMBER($A358),MOD($A358,100),IFERROR(VALUE(TRIM(MID(MID($A358,FIND("/",$A358)+1,20),FIND("/",MID($A358,FIND("/",$A358)+1,20))+1,20))),"")))</f>
        <v/>
      </c>
      <c r="E358">
        <f>IF($A358="","",IF(OR($B358="",$C358="",$D358="",$B358&lt;1300,$B358&gt;1500,$C358&lt;1,$C358&gt;12,$D358&lt;1,$D358&gt;31),"نامعتبر",RIGHT("0000"&amp;$B358,4)&amp;"/"&amp;RIGHT("00"&amp;$C358,2)&amp;"/"&amp;RIGHT("00"&amp;$D358,2)))</f>
        <v/>
      </c>
      <c r="F358">
        <f>IF(OR($E358="",$E358="نامعتبر"),"",IF(Sync!$Q355="","0000",IF(AND(ISNUMBER(Sync!$Q355),Sync!$Q355&gt;=0,Sync!$Q355&lt;1),RIGHT("00"&amp;HOUR(Sync!$Q355),2)&amp;RIGHT("00"&amp;MINUTE(Sync!$Q355),2),IFERROR(RIGHT("00"&amp;VALUE(LEFT(Sync!$Q355,FIND(":",Sync!$Q355)-1)),2)&amp;RIGHT("00"&amp;VALUE(MID(Sync!$Q355,FIND(":",Sync!$Q355)+1,2)),2),"0000"))))</f>
        <v/>
      </c>
      <c r="G358">
        <f>IF(OR($E358="",$E358="نامعتبر"),"",IF(Sync!$S355="","",Sync!$S355))</f>
        <v/>
      </c>
      <c r="H358">
        <f>IF(OR($E358="",$E358="نامعتبر"),"",IF(Sync!$R355="","",Sync!$R355))</f>
        <v/>
      </c>
      <c r="I358">
        <f>IF(OR($E358="",$E358="نامعتبر"),"",IF(Sync!$T355="","",Sync!$T355))</f>
        <v/>
      </c>
      <c r="J358">
        <f>IF(OR($E358="",$E358="نامعتبر"),"",IF(Sync!$U355="","",Sync!$U355))</f>
        <v/>
      </c>
      <c r="K358">
        <f>IF(OR($E358="",$E358="نامعتبر"),"",IF(Sync!$V355="","",IFERROR(INDEX(SubCodes,MATCH(Sync!$V355,SubTitles,0)),Sync!$V355)))</f>
        <v/>
      </c>
      <c r="L358">
        <f>IF(OR($E358="",$E358="نامعتبر"),"",IF(Sync!$W355="",0,Sync!$W355))</f>
        <v/>
      </c>
      <c r="M358">
        <f>IF(OR($E358="",$E358="نامعتبر"),"",IF(Sync!$X355="",0,Sync!$X355))</f>
        <v/>
      </c>
      <c r="N358">
        <f>IF(OR($E358="",$E358="نامعتبر"),"",IF(AND($J358="هزینه",$K358&lt;&gt;""),1,0))</f>
        <v/>
      </c>
      <c r="O358">
        <f>IF($N358=0,"",LEFT($E358,4)&amp;MID($E358,6,2)&amp;RIGHT($E358,2)&amp;$F358&amp;"|"&amp;"1"&amp;RIGHT("00000"&amp;350,5))</f>
        <v/>
      </c>
      <c r="P358">
        <f>IF($O358="","",COUNTIFS(ExpSub,$K358,ExpKey,"&lt;"&amp;$O358)+1)</f>
        <v/>
      </c>
      <c r="Q358">
        <f>IF($P358="","",$K358&amp;"|"&amp;RIGHT("000000"&amp;$P358,6))</f>
        <v/>
      </c>
    </row>
    <row r="359">
      <c r="A359">
        <f>IF(Sync!$P356="","",Sync!$P356)</f>
        <v/>
      </c>
      <c r="B359">
        <f>IF($A359="","",IF(ISNUMBER($A359),IF(AND($A359&gt;=10000101,$A359&lt;=99991231),INT($A359/10000),""),IFERROR(VALUE(TRIM(LEFT($A359,FIND("/",$A359)-1))),"")))</f>
        <v/>
      </c>
      <c r="C359">
        <f>IF(OR($A359="",$B359=""),"",IF(ISNUMBER($A359),INT(MOD($A359,10000)/100),IFERROR(VALUE(TRIM(LEFT(MID($A359,FIND("/",$A359)+1,20),FIND("/",MID($A359,FIND("/",$A359)+1,20))-1))),"")))</f>
        <v/>
      </c>
      <c r="D359">
        <f>IF(OR($A359="",$B359=""),"",IF(ISNUMBER($A359),MOD($A359,100),IFERROR(VALUE(TRIM(MID(MID($A359,FIND("/",$A359)+1,20),FIND("/",MID($A359,FIND("/",$A359)+1,20))+1,20))),"")))</f>
        <v/>
      </c>
      <c r="E359">
        <f>IF($A359="","",IF(OR($B359="",$C359="",$D359="",$B359&lt;1300,$B359&gt;1500,$C359&lt;1,$C359&gt;12,$D359&lt;1,$D359&gt;31),"نامعتبر",RIGHT("0000"&amp;$B359,4)&amp;"/"&amp;RIGHT("00"&amp;$C359,2)&amp;"/"&amp;RIGHT("00"&amp;$D359,2)))</f>
        <v/>
      </c>
      <c r="F359">
        <f>IF(OR($E359="",$E359="نامعتبر"),"",IF(Sync!$Q356="","0000",IF(AND(ISNUMBER(Sync!$Q356),Sync!$Q356&gt;=0,Sync!$Q356&lt;1),RIGHT("00"&amp;HOUR(Sync!$Q356),2)&amp;RIGHT("00"&amp;MINUTE(Sync!$Q356),2),IFERROR(RIGHT("00"&amp;VALUE(LEFT(Sync!$Q356,FIND(":",Sync!$Q356)-1)),2)&amp;RIGHT("00"&amp;VALUE(MID(Sync!$Q356,FIND(":",Sync!$Q356)+1,2)),2),"0000"))))</f>
        <v/>
      </c>
      <c r="G359">
        <f>IF(OR($E359="",$E359="نامعتبر"),"",IF(Sync!$S356="","",Sync!$S356))</f>
        <v/>
      </c>
      <c r="H359">
        <f>IF(OR($E359="",$E359="نامعتبر"),"",IF(Sync!$R356="","",Sync!$R356))</f>
        <v/>
      </c>
      <c r="I359">
        <f>IF(OR($E359="",$E359="نامعتبر"),"",IF(Sync!$T356="","",Sync!$T356))</f>
        <v/>
      </c>
      <c r="J359">
        <f>IF(OR($E359="",$E359="نامعتبر"),"",IF(Sync!$U356="","",Sync!$U356))</f>
        <v/>
      </c>
      <c r="K359">
        <f>IF(OR($E359="",$E359="نامعتبر"),"",IF(Sync!$V356="","",IFERROR(INDEX(SubCodes,MATCH(Sync!$V356,SubTitles,0)),Sync!$V356)))</f>
        <v/>
      </c>
      <c r="L359">
        <f>IF(OR($E359="",$E359="نامعتبر"),"",IF(Sync!$W356="",0,Sync!$W356))</f>
        <v/>
      </c>
      <c r="M359">
        <f>IF(OR($E359="",$E359="نامعتبر"),"",IF(Sync!$X356="",0,Sync!$X356))</f>
        <v/>
      </c>
      <c r="N359">
        <f>IF(OR($E359="",$E359="نامعتبر"),"",IF(AND($J359="هزینه",$K359&lt;&gt;""),1,0))</f>
        <v/>
      </c>
      <c r="O359">
        <f>IF($N359=0,"",LEFT($E359,4)&amp;MID($E359,6,2)&amp;RIGHT($E359,2)&amp;$F359&amp;"|"&amp;"1"&amp;RIGHT("00000"&amp;351,5))</f>
        <v/>
      </c>
      <c r="P359">
        <f>IF($O359="","",COUNTIFS(ExpSub,$K359,ExpKey,"&lt;"&amp;$O359)+1)</f>
        <v/>
      </c>
      <c r="Q359">
        <f>IF($P359="","",$K359&amp;"|"&amp;RIGHT("000000"&amp;$P359,6))</f>
        <v/>
      </c>
    </row>
    <row r="360">
      <c r="A360">
        <f>IF(Sync!$P357="","",Sync!$P357)</f>
        <v/>
      </c>
      <c r="B360">
        <f>IF($A360="","",IF(ISNUMBER($A360),IF(AND($A360&gt;=10000101,$A360&lt;=99991231),INT($A360/10000),""),IFERROR(VALUE(TRIM(LEFT($A360,FIND("/",$A360)-1))),"")))</f>
        <v/>
      </c>
      <c r="C360">
        <f>IF(OR($A360="",$B360=""),"",IF(ISNUMBER($A360),INT(MOD($A360,10000)/100),IFERROR(VALUE(TRIM(LEFT(MID($A360,FIND("/",$A360)+1,20),FIND("/",MID($A360,FIND("/",$A360)+1,20))-1))),"")))</f>
        <v/>
      </c>
      <c r="D360">
        <f>IF(OR($A360="",$B360=""),"",IF(ISNUMBER($A360),MOD($A360,100),IFERROR(VALUE(TRIM(MID(MID($A360,FIND("/",$A360)+1,20),FIND("/",MID($A360,FIND("/",$A360)+1,20))+1,20))),"")))</f>
        <v/>
      </c>
      <c r="E360">
        <f>IF($A360="","",IF(OR($B360="",$C360="",$D360="",$B360&lt;1300,$B360&gt;1500,$C360&lt;1,$C360&gt;12,$D360&lt;1,$D360&gt;31),"نامعتبر",RIGHT("0000"&amp;$B360,4)&amp;"/"&amp;RIGHT("00"&amp;$C360,2)&amp;"/"&amp;RIGHT("00"&amp;$D360,2)))</f>
        <v/>
      </c>
      <c r="F360">
        <f>IF(OR($E360="",$E360="نامعتبر"),"",IF(Sync!$Q357="","0000",IF(AND(ISNUMBER(Sync!$Q357),Sync!$Q357&gt;=0,Sync!$Q357&lt;1),RIGHT("00"&amp;HOUR(Sync!$Q357),2)&amp;RIGHT("00"&amp;MINUTE(Sync!$Q357),2),IFERROR(RIGHT("00"&amp;VALUE(LEFT(Sync!$Q357,FIND(":",Sync!$Q357)-1)),2)&amp;RIGHT("00"&amp;VALUE(MID(Sync!$Q357,FIND(":",Sync!$Q357)+1,2)),2),"0000"))))</f>
        <v/>
      </c>
      <c r="G360">
        <f>IF(OR($E360="",$E360="نامعتبر"),"",IF(Sync!$S357="","",Sync!$S357))</f>
        <v/>
      </c>
      <c r="H360">
        <f>IF(OR($E360="",$E360="نامعتبر"),"",IF(Sync!$R357="","",Sync!$R357))</f>
        <v/>
      </c>
      <c r="I360">
        <f>IF(OR($E360="",$E360="نامعتبر"),"",IF(Sync!$T357="","",Sync!$T357))</f>
        <v/>
      </c>
      <c r="J360">
        <f>IF(OR($E360="",$E360="نامعتبر"),"",IF(Sync!$U357="","",Sync!$U357))</f>
        <v/>
      </c>
      <c r="K360">
        <f>IF(OR($E360="",$E360="نامعتبر"),"",IF(Sync!$V357="","",IFERROR(INDEX(SubCodes,MATCH(Sync!$V357,SubTitles,0)),Sync!$V357)))</f>
        <v/>
      </c>
      <c r="L360">
        <f>IF(OR($E360="",$E360="نامعتبر"),"",IF(Sync!$W357="",0,Sync!$W357))</f>
        <v/>
      </c>
      <c r="M360">
        <f>IF(OR($E360="",$E360="نامعتبر"),"",IF(Sync!$X357="",0,Sync!$X357))</f>
        <v/>
      </c>
      <c r="N360">
        <f>IF(OR($E360="",$E360="نامعتبر"),"",IF(AND($J360="هزینه",$K360&lt;&gt;""),1,0))</f>
        <v/>
      </c>
      <c r="O360">
        <f>IF($N360=0,"",LEFT($E360,4)&amp;MID($E360,6,2)&amp;RIGHT($E360,2)&amp;$F360&amp;"|"&amp;"1"&amp;RIGHT("00000"&amp;352,5))</f>
        <v/>
      </c>
      <c r="P360">
        <f>IF($O360="","",COUNTIFS(ExpSub,$K360,ExpKey,"&lt;"&amp;$O360)+1)</f>
        <v/>
      </c>
      <c r="Q360">
        <f>IF($P360="","",$K360&amp;"|"&amp;RIGHT("000000"&amp;$P360,6))</f>
        <v/>
      </c>
    </row>
    <row r="361">
      <c r="A361">
        <f>IF(Sync!$P358="","",Sync!$P358)</f>
        <v/>
      </c>
      <c r="B361">
        <f>IF($A361="","",IF(ISNUMBER($A361),IF(AND($A361&gt;=10000101,$A361&lt;=99991231),INT($A361/10000),""),IFERROR(VALUE(TRIM(LEFT($A361,FIND("/",$A361)-1))),"")))</f>
        <v/>
      </c>
      <c r="C361">
        <f>IF(OR($A361="",$B361=""),"",IF(ISNUMBER($A361),INT(MOD($A361,10000)/100),IFERROR(VALUE(TRIM(LEFT(MID($A361,FIND("/",$A361)+1,20),FIND("/",MID($A361,FIND("/",$A361)+1,20))-1))),"")))</f>
        <v/>
      </c>
      <c r="D361">
        <f>IF(OR($A361="",$B361=""),"",IF(ISNUMBER($A361),MOD($A361,100),IFERROR(VALUE(TRIM(MID(MID($A361,FIND("/",$A361)+1,20),FIND("/",MID($A361,FIND("/",$A361)+1,20))+1,20))),"")))</f>
        <v/>
      </c>
      <c r="E361">
        <f>IF($A361="","",IF(OR($B361="",$C361="",$D361="",$B361&lt;1300,$B361&gt;1500,$C361&lt;1,$C361&gt;12,$D361&lt;1,$D361&gt;31),"نامعتبر",RIGHT("0000"&amp;$B361,4)&amp;"/"&amp;RIGHT("00"&amp;$C361,2)&amp;"/"&amp;RIGHT("00"&amp;$D361,2)))</f>
        <v/>
      </c>
      <c r="F361">
        <f>IF(OR($E361="",$E361="نامعتبر"),"",IF(Sync!$Q358="","0000",IF(AND(ISNUMBER(Sync!$Q358),Sync!$Q358&gt;=0,Sync!$Q358&lt;1),RIGHT("00"&amp;HOUR(Sync!$Q358),2)&amp;RIGHT("00"&amp;MINUTE(Sync!$Q358),2),IFERROR(RIGHT("00"&amp;VALUE(LEFT(Sync!$Q358,FIND(":",Sync!$Q358)-1)),2)&amp;RIGHT("00"&amp;VALUE(MID(Sync!$Q358,FIND(":",Sync!$Q358)+1,2)),2),"0000"))))</f>
        <v/>
      </c>
      <c r="G361">
        <f>IF(OR($E361="",$E361="نامعتبر"),"",IF(Sync!$S358="","",Sync!$S358))</f>
        <v/>
      </c>
      <c r="H361">
        <f>IF(OR($E361="",$E361="نامعتبر"),"",IF(Sync!$R358="","",Sync!$R358))</f>
        <v/>
      </c>
      <c r="I361">
        <f>IF(OR($E361="",$E361="نامعتبر"),"",IF(Sync!$T358="","",Sync!$T358))</f>
        <v/>
      </c>
      <c r="J361">
        <f>IF(OR($E361="",$E361="نامعتبر"),"",IF(Sync!$U358="","",Sync!$U358))</f>
        <v/>
      </c>
      <c r="K361">
        <f>IF(OR($E361="",$E361="نامعتبر"),"",IF(Sync!$V358="","",IFERROR(INDEX(SubCodes,MATCH(Sync!$V358,SubTitles,0)),Sync!$V358)))</f>
        <v/>
      </c>
      <c r="L361">
        <f>IF(OR($E361="",$E361="نامعتبر"),"",IF(Sync!$W358="",0,Sync!$W358))</f>
        <v/>
      </c>
      <c r="M361">
        <f>IF(OR($E361="",$E361="نامعتبر"),"",IF(Sync!$X358="",0,Sync!$X358))</f>
        <v/>
      </c>
      <c r="N361">
        <f>IF(OR($E361="",$E361="نامعتبر"),"",IF(AND($J361="هزینه",$K361&lt;&gt;""),1,0))</f>
        <v/>
      </c>
      <c r="O361">
        <f>IF($N361=0,"",LEFT($E361,4)&amp;MID($E361,6,2)&amp;RIGHT($E361,2)&amp;$F361&amp;"|"&amp;"1"&amp;RIGHT("00000"&amp;353,5))</f>
        <v/>
      </c>
      <c r="P361">
        <f>IF($O361="","",COUNTIFS(ExpSub,$K361,ExpKey,"&lt;"&amp;$O361)+1)</f>
        <v/>
      </c>
      <c r="Q361">
        <f>IF($P361="","",$K361&amp;"|"&amp;RIGHT("000000"&amp;$P361,6))</f>
        <v/>
      </c>
    </row>
    <row r="362">
      <c r="A362">
        <f>IF(Sync!$P359="","",Sync!$P359)</f>
        <v/>
      </c>
      <c r="B362">
        <f>IF($A362="","",IF(ISNUMBER($A362),IF(AND($A362&gt;=10000101,$A362&lt;=99991231),INT($A362/10000),""),IFERROR(VALUE(TRIM(LEFT($A362,FIND("/",$A362)-1))),"")))</f>
        <v/>
      </c>
      <c r="C362">
        <f>IF(OR($A362="",$B362=""),"",IF(ISNUMBER($A362),INT(MOD($A362,10000)/100),IFERROR(VALUE(TRIM(LEFT(MID($A362,FIND("/",$A362)+1,20),FIND("/",MID($A362,FIND("/",$A362)+1,20))-1))),"")))</f>
        <v/>
      </c>
      <c r="D362">
        <f>IF(OR($A362="",$B362=""),"",IF(ISNUMBER($A362),MOD($A362,100),IFERROR(VALUE(TRIM(MID(MID($A362,FIND("/",$A362)+1,20),FIND("/",MID($A362,FIND("/",$A362)+1,20))+1,20))),"")))</f>
        <v/>
      </c>
      <c r="E362">
        <f>IF($A362="","",IF(OR($B362="",$C362="",$D362="",$B362&lt;1300,$B362&gt;1500,$C362&lt;1,$C362&gt;12,$D362&lt;1,$D362&gt;31),"نامعتبر",RIGHT("0000"&amp;$B362,4)&amp;"/"&amp;RIGHT("00"&amp;$C362,2)&amp;"/"&amp;RIGHT("00"&amp;$D362,2)))</f>
        <v/>
      </c>
      <c r="F362">
        <f>IF(OR($E362="",$E362="نامعتبر"),"",IF(Sync!$Q359="","0000",IF(AND(ISNUMBER(Sync!$Q359),Sync!$Q359&gt;=0,Sync!$Q359&lt;1),RIGHT("00"&amp;HOUR(Sync!$Q359),2)&amp;RIGHT("00"&amp;MINUTE(Sync!$Q359),2),IFERROR(RIGHT("00"&amp;VALUE(LEFT(Sync!$Q359,FIND(":",Sync!$Q359)-1)),2)&amp;RIGHT("00"&amp;VALUE(MID(Sync!$Q359,FIND(":",Sync!$Q359)+1,2)),2),"0000"))))</f>
        <v/>
      </c>
      <c r="G362">
        <f>IF(OR($E362="",$E362="نامعتبر"),"",IF(Sync!$S359="","",Sync!$S359))</f>
        <v/>
      </c>
      <c r="H362">
        <f>IF(OR($E362="",$E362="نامعتبر"),"",IF(Sync!$R359="","",Sync!$R359))</f>
        <v/>
      </c>
      <c r="I362">
        <f>IF(OR($E362="",$E362="نامعتبر"),"",IF(Sync!$T359="","",Sync!$T359))</f>
        <v/>
      </c>
      <c r="J362">
        <f>IF(OR($E362="",$E362="نامعتبر"),"",IF(Sync!$U359="","",Sync!$U359))</f>
        <v/>
      </c>
      <c r="K362">
        <f>IF(OR($E362="",$E362="نامعتبر"),"",IF(Sync!$V359="","",IFERROR(INDEX(SubCodes,MATCH(Sync!$V359,SubTitles,0)),Sync!$V359)))</f>
        <v/>
      </c>
      <c r="L362">
        <f>IF(OR($E362="",$E362="نامعتبر"),"",IF(Sync!$W359="",0,Sync!$W359))</f>
        <v/>
      </c>
      <c r="M362">
        <f>IF(OR($E362="",$E362="نامعتبر"),"",IF(Sync!$X359="",0,Sync!$X359))</f>
        <v/>
      </c>
      <c r="N362">
        <f>IF(OR($E362="",$E362="نامعتبر"),"",IF(AND($J362="هزینه",$K362&lt;&gt;""),1,0))</f>
        <v/>
      </c>
      <c r="O362">
        <f>IF($N362=0,"",LEFT($E362,4)&amp;MID($E362,6,2)&amp;RIGHT($E362,2)&amp;$F362&amp;"|"&amp;"1"&amp;RIGHT("00000"&amp;354,5))</f>
        <v/>
      </c>
      <c r="P362">
        <f>IF($O362="","",COUNTIFS(ExpSub,$K362,ExpKey,"&lt;"&amp;$O362)+1)</f>
        <v/>
      </c>
      <c r="Q362">
        <f>IF($P362="","",$K362&amp;"|"&amp;RIGHT("000000"&amp;$P362,6))</f>
        <v/>
      </c>
    </row>
    <row r="363">
      <c r="A363">
        <f>IF(Sync!$P360="","",Sync!$P360)</f>
        <v/>
      </c>
      <c r="B363">
        <f>IF($A363="","",IF(ISNUMBER($A363),IF(AND($A363&gt;=10000101,$A363&lt;=99991231),INT($A363/10000),""),IFERROR(VALUE(TRIM(LEFT($A363,FIND("/",$A363)-1))),"")))</f>
        <v/>
      </c>
      <c r="C363">
        <f>IF(OR($A363="",$B363=""),"",IF(ISNUMBER($A363),INT(MOD($A363,10000)/100),IFERROR(VALUE(TRIM(LEFT(MID($A363,FIND("/",$A363)+1,20),FIND("/",MID($A363,FIND("/",$A363)+1,20))-1))),"")))</f>
        <v/>
      </c>
      <c r="D363">
        <f>IF(OR($A363="",$B363=""),"",IF(ISNUMBER($A363),MOD($A363,100),IFERROR(VALUE(TRIM(MID(MID($A363,FIND("/",$A363)+1,20),FIND("/",MID($A363,FIND("/",$A363)+1,20))+1,20))),"")))</f>
        <v/>
      </c>
      <c r="E363">
        <f>IF($A363="","",IF(OR($B363="",$C363="",$D363="",$B363&lt;1300,$B363&gt;1500,$C363&lt;1,$C363&gt;12,$D363&lt;1,$D363&gt;31),"نامعتبر",RIGHT("0000"&amp;$B363,4)&amp;"/"&amp;RIGHT("00"&amp;$C363,2)&amp;"/"&amp;RIGHT("00"&amp;$D363,2)))</f>
        <v/>
      </c>
      <c r="F363">
        <f>IF(OR($E363="",$E363="نامعتبر"),"",IF(Sync!$Q360="","0000",IF(AND(ISNUMBER(Sync!$Q360),Sync!$Q360&gt;=0,Sync!$Q360&lt;1),RIGHT("00"&amp;HOUR(Sync!$Q360),2)&amp;RIGHT("00"&amp;MINUTE(Sync!$Q360),2),IFERROR(RIGHT("00"&amp;VALUE(LEFT(Sync!$Q360,FIND(":",Sync!$Q360)-1)),2)&amp;RIGHT("00"&amp;VALUE(MID(Sync!$Q360,FIND(":",Sync!$Q360)+1,2)),2),"0000"))))</f>
        <v/>
      </c>
      <c r="G363">
        <f>IF(OR($E363="",$E363="نامعتبر"),"",IF(Sync!$S360="","",Sync!$S360))</f>
        <v/>
      </c>
      <c r="H363">
        <f>IF(OR($E363="",$E363="نامعتبر"),"",IF(Sync!$R360="","",Sync!$R360))</f>
        <v/>
      </c>
      <c r="I363">
        <f>IF(OR($E363="",$E363="نامعتبر"),"",IF(Sync!$T360="","",Sync!$T360))</f>
        <v/>
      </c>
      <c r="J363">
        <f>IF(OR($E363="",$E363="نامعتبر"),"",IF(Sync!$U360="","",Sync!$U360))</f>
        <v/>
      </c>
      <c r="K363">
        <f>IF(OR($E363="",$E363="نامعتبر"),"",IF(Sync!$V360="","",IFERROR(INDEX(SubCodes,MATCH(Sync!$V360,SubTitles,0)),Sync!$V360)))</f>
        <v/>
      </c>
      <c r="L363">
        <f>IF(OR($E363="",$E363="نامعتبر"),"",IF(Sync!$W360="",0,Sync!$W360))</f>
        <v/>
      </c>
      <c r="M363">
        <f>IF(OR($E363="",$E363="نامعتبر"),"",IF(Sync!$X360="",0,Sync!$X360))</f>
        <v/>
      </c>
      <c r="N363">
        <f>IF(OR($E363="",$E363="نامعتبر"),"",IF(AND($J363="هزینه",$K363&lt;&gt;""),1,0))</f>
        <v/>
      </c>
      <c r="O363">
        <f>IF($N363=0,"",LEFT($E363,4)&amp;MID($E363,6,2)&amp;RIGHT($E363,2)&amp;$F363&amp;"|"&amp;"1"&amp;RIGHT("00000"&amp;355,5))</f>
        <v/>
      </c>
      <c r="P363">
        <f>IF($O363="","",COUNTIFS(ExpSub,$K363,ExpKey,"&lt;"&amp;$O363)+1)</f>
        <v/>
      </c>
      <c r="Q363">
        <f>IF($P363="","",$K363&amp;"|"&amp;RIGHT("000000"&amp;$P363,6))</f>
        <v/>
      </c>
    </row>
    <row r="364">
      <c r="A364">
        <f>IF(Sync!$P361="","",Sync!$P361)</f>
        <v/>
      </c>
      <c r="B364">
        <f>IF($A364="","",IF(ISNUMBER($A364),IF(AND($A364&gt;=10000101,$A364&lt;=99991231),INT($A364/10000),""),IFERROR(VALUE(TRIM(LEFT($A364,FIND("/",$A364)-1))),"")))</f>
        <v/>
      </c>
      <c r="C364">
        <f>IF(OR($A364="",$B364=""),"",IF(ISNUMBER($A364),INT(MOD($A364,10000)/100),IFERROR(VALUE(TRIM(LEFT(MID($A364,FIND("/",$A364)+1,20),FIND("/",MID($A364,FIND("/",$A364)+1,20))-1))),"")))</f>
        <v/>
      </c>
      <c r="D364">
        <f>IF(OR($A364="",$B364=""),"",IF(ISNUMBER($A364),MOD($A364,100),IFERROR(VALUE(TRIM(MID(MID($A364,FIND("/",$A364)+1,20),FIND("/",MID($A364,FIND("/",$A364)+1,20))+1,20))),"")))</f>
        <v/>
      </c>
      <c r="E364">
        <f>IF($A364="","",IF(OR($B364="",$C364="",$D364="",$B364&lt;1300,$B364&gt;1500,$C364&lt;1,$C364&gt;12,$D364&lt;1,$D364&gt;31),"نامعتبر",RIGHT("0000"&amp;$B364,4)&amp;"/"&amp;RIGHT("00"&amp;$C364,2)&amp;"/"&amp;RIGHT("00"&amp;$D364,2)))</f>
        <v/>
      </c>
      <c r="F364">
        <f>IF(OR($E364="",$E364="نامعتبر"),"",IF(Sync!$Q361="","0000",IF(AND(ISNUMBER(Sync!$Q361),Sync!$Q361&gt;=0,Sync!$Q361&lt;1),RIGHT("00"&amp;HOUR(Sync!$Q361),2)&amp;RIGHT("00"&amp;MINUTE(Sync!$Q361),2),IFERROR(RIGHT("00"&amp;VALUE(LEFT(Sync!$Q361,FIND(":",Sync!$Q361)-1)),2)&amp;RIGHT("00"&amp;VALUE(MID(Sync!$Q361,FIND(":",Sync!$Q361)+1,2)),2),"0000"))))</f>
        <v/>
      </c>
      <c r="G364">
        <f>IF(OR($E364="",$E364="نامعتبر"),"",IF(Sync!$S361="","",Sync!$S361))</f>
        <v/>
      </c>
      <c r="H364">
        <f>IF(OR($E364="",$E364="نامعتبر"),"",IF(Sync!$R361="","",Sync!$R361))</f>
        <v/>
      </c>
      <c r="I364">
        <f>IF(OR($E364="",$E364="نامعتبر"),"",IF(Sync!$T361="","",Sync!$T361))</f>
        <v/>
      </c>
      <c r="J364">
        <f>IF(OR($E364="",$E364="نامعتبر"),"",IF(Sync!$U361="","",Sync!$U361))</f>
        <v/>
      </c>
      <c r="K364">
        <f>IF(OR($E364="",$E364="نامعتبر"),"",IF(Sync!$V361="","",IFERROR(INDEX(SubCodes,MATCH(Sync!$V361,SubTitles,0)),Sync!$V361)))</f>
        <v/>
      </c>
      <c r="L364">
        <f>IF(OR($E364="",$E364="نامعتبر"),"",IF(Sync!$W361="",0,Sync!$W361))</f>
        <v/>
      </c>
      <c r="M364">
        <f>IF(OR($E364="",$E364="نامعتبر"),"",IF(Sync!$X361="",0,Sync!$X361))</f>
        <v/>
      </c>
      <c r="N364">
        <f>IF(OR($E364="",$E364="نامعتبر"),"",IF(AND($J364="هزینه",$K364&lt;&gt;""),1,0))</f>
        <v/>
      </c>
      <c r="O364">
        <f>IF($N364=0,"",LEFT($E364,4)&amp;MID($E364,6,2)&amp;RIGHT($E364,2)&amp;$F364&amp;"|"&amp;"1"&amp;RIGHT("00000"&amp;356,5))</f>
        <v/>
      </c>
      <c r="P364">
        <f>IF($O364="","",COUNTIFS(ExpSub,$K364,ExpKey,"&lt;"&amp;$O364)+1)</f>
        <v/>
      </c>
      <c r="Q364">
        <f>IF($P364="","",$K364&amp;"|"&amp;RIGHT("000000"&amp;$P364,6))</f>
        <v/>
      </c>
    </row>
    <row r="365">
      <c r="A365">
        <f>IF(Sync!$P362="","",Sync!$P362)</f>
        <v/>
      </c>
      <c r="B365">
        <f>IF($A365="","",IF(ISNUMBER($A365),IF(AND($A365&gt;=10000101,$A365&lt;=99991231),INT($A365/10000),""),IFERROR(VALUE(TRIM(LEFT($A365,FIND("/",$A365)-1))),"")))</f>
        <v/>
      </c>
      <c r="C365">
        <f>IF(OR($A365="",$B365=""),"",IF(ISNUMBER($A365),INT(MOD($A365,10000)/100),IFERROR(VALUE(TRIM(LEFT(MID($A365,FIND("/",$A365)+1,20),FIND("/",MID($A365,FIND("/",$A365)+1,20))-1))),"")))</f>
        <v/>
      </c>
      <c r="D365">
        <f>IF(OR($A365="",$B365=""),"",IF(ISNUMBER($A365),MOD($A365,100),IFERROR(VALUE(TRIM(MID(MID($A365,FIND("/",$A365)+1,20),FIND("/",MID($A365,FIND("/",$A365)+1,20))+1,20))),"")))</f>
        <v/>
      </c>
      <c r="E365">
        <f>IF($A365="","",IF(OR($B365="",$C365="",$D365="",$B365&lt;1300,$B365&gt;1500,$C365&lt;1,$C365&gt;12,$D365&lt;1,$D365&gt;31),"نامعتبر",RIGHT("0000"&amp;$B365,4)&amp;"/"&amp;RIGHT("00"&amp;$C365,2)&amp;"/"&amp;RIGHT("00"&amp;$D365,2)))</f>
        <v/>
      </c>
      <c r="F365">
        <f>IF(OR($E365="",$E365="نامعتبر"),"",IF(Sync!$Q362="","0000",IF(AND(ISNUMBER(Sync!$Q362),Sync!$Q362&gt;=0,Sync!$Q362&lt;1),RIGHT("00"&amp;HOUR(Sync!$Q362),2)&amp;RIGHT("00"&amp;MINUTE(Sync!$Q362),2),IFERROR(RIGHT("00"&amp;VALUE(LEFT(Sync!$Q362,FIND(":",Sync!$Q362)-1)),2)&amp;RIGHT("00"&amp;VALUE(MID(Sync!$Q362,FIND(":",Sync!$Q362)+1,2)),2),"0000"))))</f>
        <v/>
      </c>
      <c r="G365">
        <f>IF(OR($E365="",$E365="نامعتبر"),"",IF(Sync!$S362="","",Sync!$S362))</f>
        <v/>
      </c>
      <c r="H365">
        <f>IF(OR($E365="",$E365="نامعتبر"),"",IF(Sync!$R362="","",Sync!$R362))</f>
        <v/>
      </c>
      <c r="I365">
        <f>IF(OR($E365="",$E365="نامعتبر"),"",IF(Sync!$T362="","",Sync!$T362))</f>
        <v/>
      </c>
      <c r="J365">
        <f>IF(OR($E365="",$E365="نامعتبر"),"",IF(Sync!$U362="","",Sync!$U362))</f>
        <v/>
      </c>
      <c r="K365">
        <f>IF(OR($E365="",$E365="نامعتبر"),"",IF(Sync!$V362="","",IFERROR(INDEX(SubCodes,MATCH(Sync!$V362,SubTitles,0)),Sync!$V362)))</f>
        <v/>
      </c>
      <c r="L365">
        <f>IF(OR($E365="",$E365="نامعتبر"),"",IF(Sync!$W362="",0,Sync!$W362))</f>
        <v/>
      </c>
      <c r="M365">
        <f>IF(OR($E365="",$E365="نامعتبر"),"",IF(Sync!$X362="",0,Sync!$X362))</f>
        <v/>
      </c>
      <c r="N365">
        <f>IF(OR($E365="",$E365="نامعتبر"),"",IF(AND($J365="هزینه",$K365&lt;&gt;""),1,0))</f>
        <v/>
      </c>
      <c r="O365">
        <f>IF($N365=0,"",LEFT($E365,4)&amp;MID($E365,6,2)&amp;RIGHT($E365,2)&amp;$F365&amp;"|"&amp;"1"&amp;RIGHT("00000"&amp;357,5))</f>
        <v/>
      </c>
      <c r="P365">
        <f>IF($O365="","",COUNTIFS(ExpSub,$K365,ExpKey,"&lt;"&amp;$O365)+1)</f>
        <v/>
      </c>
      <c r="Q365">
        <f>IF($P365="","",$K365&amp;"|"&amp;RIGHT("000000"&amp;$P365,6))</f>
        <v/>
      </c>
    </row>
    <row r="366">
      <c r="A366">
        <f>IF(Sync!$P363="","",Sync!$P363)</f>
        <v/>
      </c>
      <c r="B366">
        <f>IF($A366="","",IF(ISNUMBER($A366),IF(AND($A366&gt;=10000101,$A366&lt;=99991231),INT($A366/10000),""),IFERROR(VALUE(TRIM(LEFT($A366,FIND("/",$A366)-1))),"")))</f>
        <v/>
      </c>
      <c r="C366">
        <f>IF(OR($A366="",$B366=""),"",IF(ISNUMBER($A366),INT(MOD($A366,10000)/100),IFERROR(VALUE(TRIM(LEFT(MID($A366,FIND("/",$A366)+1,20),FIND("/",MID($A366,FIND("/",$A366)+1,20))-1))),"")))</f>
        <v/>
      </c>
      <c r="D366">
        <f>IF(OR($A366="",$B366=""),"",IF(ISNUMBER($A366),MOD($A366,100),IFERROR(VALUE(TRIM(MID(MID($A366,FIND("/",$A366)+1,20),FIND("/",MID($A366,FIND("/",$A366)+1,20))+1,20))),"")))</f>
        <v/>
      </c>
      <c r="E366">
        <f>IF($A366="","",IF(OR($B366="",$C366="",$D366="",$B366&lt;1300,$B366&gt;1500,$C366&lt;1,$C366&gt;12,$D366&lt;1,$D366&gt;31),"نامعتبر",RIGHT("0000"&amp;$B366,4)&amp;"/"&amp;RIGHT("00"&amp;$C366,2)&amp;"/"&amp;RIGHT("00"&amp;$D366,2)))</f>
        <v/>
      </c>
      <c r="F366">
        <f>IF(OR($E366="",$E366="نامعتبر"),"",IF(Sync!$Q363="","0000",IF(AND(ISNUMBER(Sync!$Q363),Sync!$Q363&gt;=0,Sync!$Q363&lt;1),RIGHT("00"&amp;HOUR(Sync!$Q363),2)&amp;RIGHT("00"&amp;MINUTE(Sync!$Q363),2),IFERROR(RIGHT("00"&amp;VALUE(LEFT(Sync!$Q363,FIND(":",Sync!$Q363)-1)),2)&amp;RIGHT("00"&amp;VALUE(MID(Sync!$Q363,FIND(":",Sync!$Q363)+1,2)),2),"0000"))))</f>
        <v/>
      </c>
      <c r="G366">
        <f>IF(OR($E366="",$E366="نامعتبر"),"",IF(Sync!$S363="","",Sync!$S363))</f>
        <v/>
      </c>
      <c r="H366">
        <f>IF(OR($E366="",$E366="نامعتبر"),"",IF(Sync!$R363="","",Sync!$R363))</f>
        <v/>
      </c>
      <c r="I366">
        <f>IF(OR($E366="",$E366="نامعتبر"),"",IF(Sync!$T363="","",Sync!$T363))</f>
        <v/>
      </c>
      <c r="J366">
        <f>IF(OR($E366="",$E366="نامعتبر"),"",IF(Sync!$U363="","",Sync!$U363))</f>
        <v/>
      </c>
      <c r="K366">
        <f>IF(OR($E366="",$E366="نامعتبر"),"",IF(Sync!$V363="","",IFERROR(INDEX(SubCodes,MATCH(Sync!$V363,SubTitles,0)),Sync!$V363)))</f>
        <v/>
      </c>
      <c r="L366">
        <f>IF(OR($E366="",$E366="نامعتبر"),"",IF(Sync!$W363="",0,Sync!$W363))</f>
        <v/>
      </c>
      <c r="M366">
        <f>IF(OR($E366="",$E366="نامعتبر"),"",IF(Sync!$X363="",0,Sync!$X363))</f>
        <v/>
      </c>
      <c r="N366">
        <f>IF(OR($E366="",$E366="نامعتبر"),"",IF(AND($J366="هزینه",$K366&lt;&gt;""),1,0))</f>
        <v/>
      </c>
      <c r="O366">
        <f>IF($N366=0,"",LEFT($E366,4)&amp;MID($E366,6,2)&amp;RIGHT($E366,2)&amp;$F366&amp;"|"&amp;"1"&amp;RIGHT("00000"&amp;358,5))</f>
        <v/>
      </c>
      <c r="P366">
        <f>IF($O366="","",COUNTIFS(ExpSub,$K366,ExpKey,"&lt;"&amp;$O366)+1)</f>
        <v/>
      </c>
      <c r="Q366">
        <f>IF($P366="","",$K366&amp;"|"&amp;RIGHT("000000"&amp;$P366,6))</f>
        <v/>
      </c>
    </row>
    <row r="367">
      <c r="A367">
        <f>IF(Sync!$P364="","",Sync!$P364)</f>
        <v/>
      </c>
      <c r="B367">
        <f>IF($A367="","",IF(ISNUMBER($A367),IF(AND($A367&gt;=10000101,$A367&lt;=99991231),INT($A367/10000),""),IFERROR(VALUE(TRIM(LEFT($A367,FIND("/",$A367)-1))),"")))</f>
        <v/>
      </c>
      <c r="C367">
        <f>IF(OR($A367="",$B367=""),"",IF(ISNUMBER($A367),INT(MOD($A367,10000)/100),IFERROR(VALUE(TRIM(LEFT(MID($A367,FIND("/",$A367)+1,20),FIND("/",MID($A367,FIND("/",$A367)+1,20))-1))),"")))</f>
        <v/>
      </c>
      <c r="D367">
        <f>IF(OR($A367="",$B367=""),"",IF(ISNUMBER($A367),MOD($A367,100),IFERROR(VALUE(TRIM(MID(MID($A367,FIND("/",$A367)+1,20),FIND("/",MID($A367,FIND("/",$A367)+1,20))+1,20))),"")))</f>
        <v/>
      </c>
      <c r="E367">
        <f>IF($A367="","",IF(OR($B367="",$C367="",$D367="",$B367&lt;1300,$B367&gt;1500,$C367&lt;1,$C367&gt;12,$D367&lt;1,$D367&gt;31),"نامعتبر",RIGHT("0000"&amp;$B367,4)&amp;"/"&amp;RIGHT("00"&amp;$C367,2)&amp;"/"&amp;RIGHT("00"&amp;$D367,2)))</f>
        <v/>
      </c>
      <c r="F367">
        <f>IF(OR($E367="",$E367="نامعتبر"),"",IF(Sync!$Q364="","0000",IF(AND(ISNUMBER(Sync!$Q364),Sync!$Q364&gt;=0,Sync!$Q364&lt;1),RIGHT("00"&amp;HOUR(Sync!$Q364),2)&amp;RIGHT("00"&amp;MINUTE(Sync!$Q364),2),IFERROR(RIGHT("00"&amp;VALUE(LEFT(Sync!$Q364,FIND(":",Sync!$Q364)-1)),2)&amp;RIGHT("00"&amp;VALUE(MID(Sync!$Q364,FIND(":",Sync!$Q364)+1,2)),2),"0000"))))</f>
        <v/>
      </c>
      <c r="G367">
        <f>IF(OR($E367="",$E367="نامعتبر"),"",IF(Sync!$S364="","",Sync!$S364))</f>
        <v/>
      </c>
      <c r="H367">
        <f>IF(OR($E367="",$E367="نامعتبر"),"",IF(Sync!$R364="","",Sync!$R364))</f>
        <v/>
      </c>
      <c r="I367">
        <f>IF(OR($E367="",$E367="نامعتبر"),"",IF(Sync!$T364="","",Sync!$T364))</f>
        <v/>
      </c>
      <c r="J367">
        <f>IF(OR($E367="",$E367="نامعتبر"),"",IF(Sync!$U364="","",Sync!$U364))</f>
        <v/>
      </c>
      <c r="K367">
        <f>IF(OR($E367="",$E367="نامعتبر"),"",IF(Sync!$V364="","",IFERROR(INDEX(SubCodes,MATCH(Sync!$V364,SubTitles,0)),Sync!$V364)))</f>
        <v/>
      </c>
      <c r="L367">
        <f>IF(OR($E367="",$E367="نامعتبر"),"",IF(Sync!$W364="",0,Sync!$W364))</f>
        <v/>
      </c>
      <c r="M367">
        <f>IF(OR($E367="",$E367="نامعتبر"),"",IF(Sync!$X364="",0,Sync!$X364))</f>
        <v/>
      </c>
      <c r="N367">
        <f>IF(OR($E367="",$E367="نامعتبر"),"",IF(AND($J367="هزینه",$K367&lt;&gt;""),1,0))</f>
        <v/>
      </c>
      <c r="O367">
        <f>IF($N367=0,"",LEFT($E367,4)&amp;MID($E367,6,2)&amp;RIGHT($E367,2)&amp;$F367&amp;"|"&amp;"1"&amp;RIGHT("00000"&amp;359,5))</f>
        <v/>
      </c>
      <c r="P367">
        <f>IF($O367="","",COUNTIFS(ExpSub,$K367,ExpKey,"&lt;"&amp;$O367)+1)</f>
        <v/>
      </c>
      <c r="Q367">
        <f>IF($P367="","",$K367&amp;"|"&amp;RIGHT("000000"&amp;$P367,6))</f>
        <v/>
      </c>
    </row>
    <row r="368">
      <c r="A368">
        <f>IF(Sync!$P365="","",Sync!$P365)</f>
        <v/>
      </c>
      <c r="B368">
        <f>IF($A368="","",IF(ISNUMBER($A368),IF(AND($A368&gt;=10000101,$A368&lt;=99991231),INT($A368/10000),""),IFERROR(VALUE(TRIM(LEFT($A368,FIND("/",$A368)-1))),"")))</f>
        <v/>
      </c>
      <c r="C368">
        <f>IF(OR($A368="",$B368=""),"",IF(ISNUMBER($A368),INT(MOD($A368,10000)/100),IFERROR(VALUE(TRIM(LEFT(MID($A368,FIND("/",$A368)+1,20),FIND("/",MID($A368,FIND("/",$A368)+1,20))-1))),"")))</f>
        <v/>
      </c>
      <c r="D368">
        <f>IF(OR($A368="",$B368=""),"",IF(ISNUMBER($A368),MOD($A368,100),IFERROR(VALUE(TRIM(MID(MID($A368,FIND("/",$A368)+1,20),FIND("/",MID($A368,FIND("/",$A368)+1,20))+1,20))),"")))</f>
        <v/>
      </c>
      <c r="E368">
        <f>IF($A368="","",IF(OR($B368="",$C368="",$D368="",$B368&lt;1300,$B368&gt;1500,$C368&lt;1,$C368&gt;12,$D368&lt;1,$D368&gt;31),"نامعتبر",RIGHT("0000"&amp;$B368,4)&amp;"/"&amp;RIGHT("00"&amp;$C368,2)&amp;"/"&amp;RIGHT("00"&amp;$D368,2)))</f>
        <v/>
      </c>
      <c r="F368">
        <f>IF(OR($E368="",$E368="نامعتبر"),"",IF(Sync!$Q365="","0000",IF(AND(ISNUMBER(Sync!$Q365),Sync!$Q365&gt;=0,Sync!$Q365&lt;1),RIGHT("00"&amp;HOUR(Sync!$Q365),2)&amp;RIGHT("00"&amp;MINUTE(Sync!$Q365),2),IFERROR(RIGHT("00"&amp;VALUE(LEFT(Sync!$Q365,FIND(":",Sync!$Q365)-1)),2)&amp;RIGHT("00"&amp;VALUE(MID(Sync!$Q365,FIND(":",Sync!$Q365)+1,2)),2),"0000"))))</f>
        <v/>
      </c>
      <c r="G368">
        <f>IF(OR($E368="",$E368="نامعتبر"),"",IF(Sync!$S365="","",Sync!$S365))</f>
        <v/>
      </c>
      <c r="H368">
        <f>IF(OR($E368="",$E368="نامعتبر"),"",IF(Sync!$R365="","",Sync!$R365))</f>
        <v/>
      </c>
      <c r="I368">
        <f>IF(OR($E368="",$E368="نامعتبر"),"",IF(Sync!$T365="","",Sync!$T365))</f>
        <v/>
      </c>
      <c r="J368">
        <f>IF(OR($E368="",$E368="نامعتبر"),"",IF(Sync!$U365="","",Sync!$U365))</f>
        <v/>
      </c>
      <c r="K368">
        <f>IF(OR($E368="",$E368="نامعتبر"),"",IF(Sync!$V365="","",IFERROR(INDEX(SubCodes,MATCH(Sync!$V365,SubTitles,0)),Sync!$V365)))</f>
        <v/>
      </c>
      <c r="L368">
        <f>IF(OR($E368="",$E368="نامعتبر"),"",IF(Sync!$W365="",0,Sync!$W365))</f>
        <v/>
      </c>
      <c r="M368">
        <f>IF(OR($E368="",$E368="نامعتبر"),"",IF(Sync!$X365="",0,Sync!$X365))</f>
        <v/>
      </c>
      <c r="N368">
        <f>IF(OR($E368="",$E368="نامعتبر"),"",IF(AND($J368="هزینه",$K368&lt;&gt;""),1,0))</f>
        <v/>
      </c>
      <c r="O368">
        <f>IF($N368=0,"",LEFT($E368,4)&amp;MID($E368,6,2)&amp;RIGHT($E368,2)&amp;$F368&amp;"|"&amp;"1"&amp;RIGHT("00000"&amp;360,5))</f>
        <v/>
      </c>
      <c r="P368">
        <f>IF($O368="","",COUNTIFS(ExpSub,$K368,ExpKey,"&lt;"&amp;$O368)+1)</f>
        <v/>
      </c>
      <c r="Q368">
        <f>IF($P368="","",$K368&amp;"|"&amp;RIGHT("000000"&amp;$P368,6))</f>
        <v/>
      </c>
    </row>
    <row r="369">
      <c r="A369">
        <f>IF(Sync!$P366="","",Sync!$P366)</f>
        <v/>
      </c>
      <c r="B369">
        <f>IF($A369="","",IF(ISNUMBER($A369),IF(AND($A369&gt;=10000101,$A369&lt;=99991231),INT($A369/10000),""),IFERROR(VALUE(TRIM(LEFT($A369,FIND("/",$A369)-1))),"")))</f>
        <v/>
      </c>
      <c r="C369">
        <f>IF(OR($A369="",$B369=""),"",IF(ISNUMBER($A369),INT(MOD($A369,10000)/100),IFERROR(VALUE(TRIM(LEFT(MID($A369,FIND("/",$A369)+1,20),FIND("/",MID($A369,FIND("/",$A369)+1,20))-1))),"")))</f>
        <v/>
      </c>
      <c r="D369">
        <f>IF(OR($A369="",$B369=""),"",IF(ISNUMBER($A369),MOD($A369,100),IFERROR(VALUE(TRIM(MID(MID($A369,FIND("/",$A369)+1,20),FIND("/",MID($A369,FIND("/",$A369)+1,20))+1,20))),"")))</f>
        <v/>
      </c>
      <c r="E369">
        <f>IF($A369="","",IF(OR($B369="",$C369="",$D369="",$B369&lt;1300,$B369&gt;1500,$C369&lt;1,$C369&gt;12,$D369&lt;1,$D369&gt;31),"نامعتبر",RIGHT("0000"&amp;$B369,4)&amp;"/"&amp;RIGHT("00"&amp;$C369,2)&amp;"/"&amp;RIGHT("00"&amp;$D369,2)))</f>
        <v/>
      </c>
      <c r="F369">
        <f>IF(OR($E369="",$E369="نامعتبر"),"",IF(Sync!$Q366="","0000",IF(AND(ISNUMBER(Sync!$Q366),Sync!$Q366&gt;=0,Sync!$Q366&lt;1),RIGHT("00"&amp;HOUR(Sync!$Q366),2)&amp;RIGHT("00"&amp;MINUTE(Sync!$Q366),2),IFERROR(RIGHT("00"&amp;VALUE(LEFT(Sync!$Q366,FIND(":",Sync!$Q366)-1)),2)&amp;RIGHT("00"&amp;VALUE(MID(Sync!$Q366,FIND(":",Sync!$Q366)+1,2)),2),"0000"))))</f>
        <v/>
      </c>
      <c r="G369">
        <f>IF(OR($E369="",$E369="نامعتبر"),"",IF(Sync!$S366="","",Sync!$S366))</f>
        <v/>
      </c>
      <c r="H369">
        <f>IF(OR($E369="",$E369="نامعتبر"),"",IF(Sync!$R366="","",Sync!$R366))</f>
        <v/>
      </c>
      <c r="I369">
        <f>IF(OR($E369="",$E369="نامعتبر"),"",IF(Sync!$T366="","",Sync!$T366))</f>
        <v/>
      </c>
      <c r="J369">
        <f>IF(OR($E369="",$E369="نامعتبر"),"",IF(Sync!$U366="","",Sync!$U366))</f>
        <v/>
      </c>
      <c r="K369">
        <f>IF(OR($E369="",$E369="نامعتبر"),"",IF(Sync!$V366="","",IFERROR(INDEX(SubCodes,MATCH(Sync!$V366,SubTitles,0)),Sync!$V366)))</f>
        <v/>
      </c>
      <c r="L369">
        <f>IF(OR($E369="",$E369="نامعتبر"),"",IF(Sync!$W366="",0,Sync!$W366))</f>
        <v/>
      </c>
      <c r="M369">
        <f>IF(OR($E369="",$E369="نامعتبر"),"",IF(Sync!$X366="",0,Sync!$X366))</f>
        <v/>
      </c>
      <c r="N369">
        <f>IF(OR($E369="",$E369="نامعتبر"),"",IF(AND($J369="هزینه",$K369&lt;&gt;""),1,0))</f>
        <v/>
      </c>
      <c r="O369">
        <f>IF($N369=0,"",LEFT($E369,4)&amp;MID($E369,6,2)&amp;RIGHT($E369,2)&amp;$F369&amp;"|"&amp;"1"&amp;RIGHT("00000"&amp;361,5))</f>
        <v/>
      </c>
      <c r="P369">
        <f>IF($O369="","",COUNTIFS(ExpSub,$K369,ExpKey,"&lt;"&amp;$O369)+1)</f>
        <v/>
      </c>
      <c r="Q369">
        <f>IF($P369="","",$K369&amp;"|"&amp;RIGHT("000000"&amp;$P369,6))</f>
        <v/>
      </c>
    </row>
    <row r="370">
      <c r="A370">
        <f>IF(Sync!$P367="","",Sync!$P367)</f>
        <v/>
      </c>
      <c r="B370">
        <f>IF($A370="","",IF(ISNUMBER($A370),IF(AND($A370&gt;=10000101,$A370&lt;=99991231),INT($A370/10000),""),IFERROR(VALUE(TRIM(LEFT($A370,FIND("/",$A370)-1))),"")))</f>
        <v/>
      </c>
      <c r="C370">
        <f>IF(OR($A370="",$B370=""),"",IF(ISNUMBER($A370),INT(MOD($A370,10000)/100),IFERROR(VALUE(TRIM(LEFT(MID($A370,FIND("/",$A370)+1,20),FIND("/",MID($A370,FIND("/",$A370)+1,20))-1))),"")))</f>
        <v/>
      </c>
      <c r="D370">
        <f>IF(OR($A370="",$B370=""),"",IF(ISNUMBER($A370),MOD($A370,100),IFERROR(VALUE(TRIM(MID(MID($A370,FIND("/",$A370)+1,20),FIND("/",MID($A370,FIND("/",$A370)+1,20))+1,20))),"")))</f>
        <v/>
      </c>
      <c r="E370">
        <f>IF($A370="","",IF(OR($B370="",$C370="",$D370="",$B370&lt;1300,$B370&gt;1500,$C370&lt;1,$C370&gt;12,$D370&lt;1,$D370&gt;31),"نامعتبر",RIGHT("0000"&amp;$B370,4)&amp;"/"&amp;RIGHT("00"&amp;$C370,2)&amp;"/"&amp;RIGHT("00"&amp;$D370,2)))</f>
        <v/>
      </c>
      <c r="F370">
        <f>IF(OR($E370="",$E370="نامعتبر"),"",IF(Sync!$Q367="","0000",IF(AND(ISNUMBER(Sync!$Q367),Sync!$Q367&gt;=0,Sync!$Q367&lt;1),RIGHT("00"&amp;HOUR(Sync!$Q367),2)&amp;RIGHT("00"&amp;MINUTE(Sync!$Q367),2),IFERROR(RIGHT("00"&amp;VALUE(LEFT(Sync!$Q367,FIND(":",Sync!$Q367)-1)),2)&amp;RIGHT("00"&amp;VALUE(MID(Sync!$Q367,FIND(":",Sync!$Q367)+1,2)),2),"0000"))))</f>
        <v/>
      </c>
      <c r="G370">
        <f>IF(OR($E370="",$E370="نامعتبر"),"",IF(Sync!$S367="","",Sync!$S367))</f>
        <v/>
      </c>
      <c r="H370">
        <f>IF(OR($E370="",$E370="نامعتبر"),"",IF(Sync!$R367="","",Sync!$R367))</f>
        <v/>
      </c>
      <c r="I370">
        <f>IF(OR($E370="",$E370="نامعتبر"),"",IF(Sync!$T367="","",Sync!$T367))</f>
        <v/>
      </c>
      <c r="J370">
        <f>IF(OR($E370="",$E370="نامعتبر"),"",IF(Sync!$U367="","",Sync!$U367))</f>
        <v/>
      </c>
      <c r="K370">
        <f>IF(OR($E370="",$E370="نامعتبر"),"",IF(Sync!$V367="","",IFERROR(INDEX(SubCodes,MATCH(Sync!$V367,SubTitles,0)),Sync!$V367)))</f>
        <v/>
      </c>
      <c r="L370">
        <f>IF(OR($E370="",$E370="نامعتبر"),"",IF(Sync!$W367="",0,Sync!$W367))</f>
        <v/>
      </c>
      <c r="M370">
        <f>IF(OR($E370="",$E370="نامعتبر"),"",IF(Sync!$X367="",0,Sync!$X367))</f>
        <v/>
      </c>
      <c r="N370">
        <f>IF(OR($E370="",$E370="نامعتبر"),"",IF(AND($J370="هزینه",$K370&lt;&gt;""),1,0))</f>
        <v/>
      </c>
      <c r="O370">
        <f>IF($N370=0,"",LEFT($E370,4)&amp;MID($E370,6,2)&amp;RIGHT($E370,2)&amp;$F370&amp;"|"&amp;"1"&amp;RIGHT("00000"&amp;362,5))</f>
        <v/>
      </c>
      <c r="P370">
        <f>IF($O370="","",COUNTIFS(ExpSub,$K370,ExpKey,"&lt;"&amp;$O370)+1)</f>
        <v/>
      </c>
      <c r="Q370">
        <f>IF($P370="","",$K370&amp;"|"&amp;RIGHT("000000"&amp;$P370,6))</f>
        <v/>
      </c>
    </row>
    <row r="371">
      <c r="A371">
        <f>IF(Sync!$P368="","",Sync!$P368)</f>
        <v/>
      </c>
      <c r="B371">
        <f>IF($A371="","",IF(ISNUMBER($A371),IF(AND($A371&gt;=10000101,$A371&lt;=99991231),INT($A371/10000),""),IFERROR(VALUE(TRIM(LEFT($A371,FIND("/",$A371)-1))),"")))</f>
        <v/>
      </c>
      <c r="C371">
        <f>IF(OR($A371="",$B371=""),"",IF(ISNUMBER($A371),INT(MOD($A371,10000)/100),IFERROR(VALUE(TRIM(LEFT(MID($A371,FIND("/",$A371)+1,20),FIND("/",MID($A371,FIND("/",$A371)+1,20))-1))),"")))</f>
        <v/>
      </c>
      <c r="D371">
        <f>IF(OR($A371="",$B371=""),"",IF(ISNUMBER($A371),MOD($A371,100),IFERROR(VALUE(TRIM(MID(MID($A371,FIND("/",$A371)+1,20),FIND("/",MID($A371,FIND("/",$A371)+1,20))+1,20))),"")))</f>
        <v/>
      </c>
      <c r="E371">
        <f>IF($A371="","",IF(OR($B371="",$C371="",$D371="",$B371&lt;1300,$B371&gt;1500,$C371&lt;1,$C371&gt;12,$D371&lt;1,$D371&gt;31),"نامعتبر",RIGHT("0000"&amp;$B371,4)&amp;"/"&amp;RIGHT("00"&amp;$C371,2)&amp;"/"&amp;RIGHT("00"&amp;$D371,2)))</f>
        <v/>
      </c>
      <c r="F371">
        <f>IF(OR($E371="",$E371="نامعتبر"),"",IF(Sync!$Q368="","0000",IF(AND(ISNUMBER(Sync!$Q368),Sync!$Q368&gt;=0,Sync!$Q368&lt;1),RIGHT("00"&amp;HOUR(Sync!$Q368),2)&amp;RIGHT("00"&amp;MINUTE(Sync!$Q368),2),IFERROR(RIGHT("00"&amp;VALUE(LEFT(Sync!$Q368,FIND(":",Sync!$Q368)-1)),2)&amp;RIGHT("00"&amp;VALUE(MID(Sync!$Q368,FIND(":",Sync!$Q368)+1,2)),2),"0000"))))</f>
        <v/>
      </c>
      <c r="G371">
        <f>IF(OR($E371="",$E371="نامعتبر"),"",IF(Sync!$S368="","",Sync!$S368))</f>
        <v/>
      </c>
      <c r="H371">
        <f>IF(OR($E371="",$E371="نامعتبر"),"",IF(Sync!$R368="","",Sync!$R368))</f>
        <v/>
      </c>
      <c r="I371">
        <f>IF(OR($E371="",$E371="نامعتبر"),"",IF(Sync!$T368="","",Sync!$T368))</f>
        <v/>
      </c>
      <c r="J371">
        <f>IF(OR($E371="",$E371="نامعتبر"),"",IF(Sync!$U368="","",Sync!$U368))</f>
        <v/>
      </c>
      <c r="K371">
        <f>IF(OR($E371="",$E371="نامعتبر"),"",IF(Sync!$V368="","",IFERROR(INDEX(SubCodes,MATCH(Sync!$V368,SubTitles,0)),Sync!$V368)))</f>
        <v/>
      </c>
      <c r="L371">
        <f>IF(OR($E371="",$E371="نامعتبر"),"",IF(Sync!$W368="",0,Sync!$W368))</f>
        <v/>
      </c>
      <c r="M371">
        <f>IF(OR($E371="",$E371="نامعتبر"),"",IF(Sync!$X368="",0,Sync!$X368))</f>
        <v/>
      </c>
      <c r="N371">
        <f>IF(OR($E371="",$E371="نامعتبر"),"",IF(AND($J371="هزینه",$K371&lt;&gt;""),1,0))</f>
        <v/>
      </c>
      <c r="O371">
        <f>IF($N371=0,"",LEFT($E371,4)&amp;MID($E371,6,2)&amp;RIGHT($E371,2)&amp;$F371&amp;"|"&amp;"1"&amp;RIGHT("00000"&amp;363,5))</f>
        <v/>
      </c>
      <c r="P371">
        <f>IF($O371="","",COUNTIFS(ExpSub,$K371,ExpKey,"&lt;"&amp;$O371)+1)</f>
        <v/>
      </c>
      <c r="Q371">
        <f>IF($P371="","",$K371&amp;"|"&amp;RIGHT("000000"&amp;$P371,6))</f>
        <v/>
      </c>
    </row>
    <row r="372">
      <c r="A372">
        <f>IF(Sync!$P369="","",Sync!$P369)</f>
        <v/>
      </c>
      <c r="B372">
        <f>IF($A372="","",IF(ISNUMBER($A372),IF(AND($A372&gt;=10000101,$A372&lt;=99991231),INT($A372/10000),""),IFERROR(VALUE(TRIM(LEFT($A372,FIND("/",$A372)-1))),"")))</f>
        <v/>
      </c>
      <c r="C372">
        <f>IF(OR($A372="",$B372=""),"",IF(ISNUMBER($A372),INT(MOD($A372,10000)/100),IFERROR(VALUE(TRIM(LEFT(MID($A372,FIND("/",$A372)+1,20),FIND("/",MID($A372,FIND("/",$A372)+1,20))-1))),"")))</f>
        <v/>
      </c>
      <c r="D372">
        <f>IF(OR($A372="",$B372=""),"",IF(ISNUMBER($A372),MOD($A372,100),IFERROR(VALUE(TRIM(MID(MID($A372,FIND("/",$A372)+1,20),FIND("/",MID($A372,FIND("/",$A372)+1,20))+1,20))),"")))</f>
        <v/>
      </c>
      <c r="E372">
        <f>IF($A372="","",IF(OR($B372="",$C372="",$D372="",$B372&lt;1300,$B372&gt;1500,$C372&lt;1,$C372&gt;12,$D372&lt;1,$D372&gt;31),"نامعتبر",RIGHT("0000"&amp;$B372,4)&amp;"/"&amp;RIGHT("00"&amp;$C372,2)&amp;"/"&amp;RIGHT("00"&amp;$D372,2)))</f>
        <v/>
      </c>
      <c r="F372">
        <f>IF(OR($E372="",$E372="نامعتبر"),"",IF(Sync!$Q369="","0000",IF(AND(ISNUMBER(Sync!$Q369),Sync!$Q369&gt;=0,Sync!$Q369&lt;1),RIGHT("00"&amp;HOUR(Sync!$Q369),2)&amp;RIGHT("00"&amp;MINUTE(Sync!$Q369),2),IFERROR(RIGHT("00"&amp;VALUE(LEFT(Sync!$Q369,FIND(":",Sync!$Q369)-1)),2)&amp;RIGHT("00"&amp;VALUE(MID(Sync!$Q369,FIND(":",Sync!$Q369)+1,2)),2),"0000"))))</f>
        <v/>
      </c>
      <c r="G372">
        <f>IF(OR($E372="",$E372="نامعتبر"),"",IF(Sync!$S369="","",Sync!$S369))</f>
        <v/>
      </c>
      <c r="H372">
        <f>IF(OR($E372="",$E372="نامعتبر"),"",IF(Sync!$R369="","",Sync!$R369))</f>
        <v/>
      </c>
      <c r="I372">
        <f>IF(OR($E372="",$E372="نامعتبر"),"",IF(Sync!$T369="","",Sync!$T369))</f>
        <v/>
      </c>
      <c r="J372">
        <f>IF(OR($E372="",$E372="نامعتبر"),"",IF(Sync!$U369="","",Sync!$U369))</f>
        <v/>
      </c>
      <c r="K372">
        <f>IF(OR($E372="",$E372="نامعتبر"),"",IF(Sync!$V369="","",IFERROR(INDEX(SubCodes,MATCH(Sync!$V369,SubTitles,0)),Sync!$V369)))</f>
        <v/>
      </c>
      <c r="L372">
        <f>IF(OR($E372="",$E372="نامعتبر"),"",IF(Sync!$W369="",0,Sync!$W369))</f>
        <v/>
      </c>
      <c r="M372">
        <f>IF(OR($E372="",$E372="نامعتبر"),"",IF(Sync!$X369="",0,Sync!$X369))</f>
        <v/>
      </c>
      <c r="N372">
        <f>IF(OR($E372="",$E372="نامعتبر"),"",IF(AND($J372="هزینه",$K372&lt;&gt;""),1,0))</f>
        <v/>
      </c>
      <c r="O372">
        <f>IF($N372=0,"",LEFT($E372,4)&amp;MID($E372,6,2)&amp;RIGHT($E372,2)&amp;$F372&amp;"|"&amp;"1"&amp;RIGHT("00000"&amp;364,5))</f>
        <v/>
      </c>
      <c r="P372">
        <f>IF($O372="","",COUNTIFS(ExpSub,$K372,ExpKey,"&lt;"&amp;$O372)+1)</f>
        <v/>
      </c>
      <c r="Q372">
        <f>IF($P372="","",$K372&amp;"|"&amp;RIGHT("000000"&amp;$P372,6))</f>
        <v/>
      </c>
    </row>
    <row r="373">
      <c r="A373">
        <f>IF(Sync!$P370="","",Sync!$P370)</f>
        <v/>
      </c>
      <c r="B373">
        <f>IF($A373="","",IF(ISNUMBER($A373),IF(AND($A373&gt;=10000101,$A373&lt;=99991231),INT($A373/10000),""),IFERROR(VALUE(TRIM(LEFT($A373,FIND("/",$A373)-1))),"")))</f>
        <v/>
      </c>
      <c r="C373">
        <f>IF(OR($A373="",$B373=""),"",IF(ISNUMBER($A373),INT(MOD($A373,10000)/100),IFERROR(VALUE(TRIM(LEFT(MID($A373,FIND("/",$A373)+1,20),FIND("/",MID($A373,FIND("/",$A373)+1,20))-1))),"")))</f>
        <v/>
      </c>
      <c r="D373">
        <f>IF(OR($A373="",$B373=""),"",IF(ISNUMBER($A373),MOD($A373,100),IFERROR(VALUE(TRIM(MID(MID($A373,FIND("/",$A373)+1,20),FIND("/",MID($A373,FIND("/",$A373)+1,20))+1,20))),"")))</f>
        <v/>
      </c>
      <c r="E373">
        <f>IF($A373="","",IF(OR($B373="",$C373="",$D373="",$B373&lt;1300,$B373&gt;1500,$C373&lt;1,$C373&gt;12,$D373&lt;1,$D373&gt;31),"نامعتبر",RIGHT("0000"&amp;$B373,4)&amp;"/"&amp;RIGHT("00"&amp;$C373,2)&amp;"/"&amp;RIGHT("00"&amp;$D373,2)))</f>
        <v/>
      </c>
      <c r="F373">
        <f>IF(OR($E373="",$E373="نامعتبر"),"",IF(Sync!$Q370="","0000",IF(AND(ISNUMBER(Sync!$Q370),Sync!$Q370&gt;=0,Sync!$Q370&lt;1),RIGHT("00"&amp;HOUR(Sync!$Q370),2)&amp;RIGHT("00"&amp;MINUTE(Sync!$Q370),2),IFERROR(RIGHT("00"&amp;VALUE(LEFT(Sync!$Q370,FIND(":",Sync!$Q370)-1)),2)&amp;RIGHT("00"&amp;VALUE(MID(Sync!$Q370,FIND(":",Sync!$Q370)+1,2)),2),"0000"))))</f>
        <v/>
      </c>
      <c r="G373">
        <f>IF(OR($E373="",$E373="نامعتبر"),"",IF(Sync!$S370="","",Sync!$S370))</f>
        <v/>
      </c>
      <c r="H373">
        <f>IF(OR($E373="",$E373="نامعتبر"),"",IF(Sync!$R370="","",Sync!$R370))</f>
        <v/>
      </c>
      <c r="I373">
        <f>IF(OR($E373="",$E373="نامعتبر"),"",IF(Sync!$T370="","",Sync!$T370))</f>
        <v/>
      </c>
      <c r="J373">
        <f>IF(OR($E373="",$E373="نامعتبر"),"",IF(Sync!$U370="","",Sync!$U370))</f>
        <v/>
      </c>
      <c r="K373">
        <f>IF(OR($E373="",$E373="نامعتبر"),"",IF(Sync!$V370="","",IFERROR(INDEX(SubCodes,MATCH(Sync!$V370,SubTitles,0)),Sync!$V370)))</f>
        <v/>
      </c>
      <c r="L373">
        <f>IF(OR($E373="",$E373="نامعتبر"),"",IF(Sync!$W370="",0,Sync!$W370))</f>
        <v/>
      </c>
      <c r="M373">
        <f>IF(OR($E373="",$E373="نامعتبر"),"",IF(Sync!$X370="",0,Sync!$X370))</f>
        <v/>
      </c>
      <c r="N373">
        <f>IF(OR($E373="",$E373="نامعتبر"),"",IF(AND($J373="هزینه",$K373&lt;&gt;""),1,0))</f>
        <v/>
      </c>
      <c r="O373">
        <f>IF($N373=0,"",LEFT($E373,4)&amp;MID($E373,6,2)&amp;RIGHT($E373,2)&amp;$F373&amp;"|"&amp;"1"&amp;RIGHT("00000"&amp;365,5))</f>
        <v/>
      </c>
      <c r="P373">
        <f>IF($O373="","",COUNTIFS(ExpSub,$K373,ExpKey,"&lt;"&amp;$O373)+1)</f>
        <v/>
      </c>
      <c r="Q373">
        <f>IF($P373="","",$K373&amp;"|"&amp;RIGHT("000000"&amp;$P373,6))</f>
        <v/>
      </c>
    </row>
    <row r="374">
      <c r="A374">
        <f>IF(Sync!$P371="","",Sync!$P371)</f>
        <v/>
      </c>
      <c r="B374">
        <f>IF($A374="","",IF(ISNUMBER($A374),IF(AND($A374&gt;=10000101,$A374&lt;=99991231),INT($A374/10000),""),IFERROR(VALUE(TRIM(LEFT($A374,FIND("/",$A374)-1))),"")))</f>
        <v/>
      </c>
      <c r="C374">
        <f>IF(OR($A374="",$B374=""),"",IF(ISNUMBER($A374),INT(MOD($A374,10000)/100),IFERROR(VALUE(TRIM(LEFT(MID($A374,FIND("/",$A374)+1,20),FIND("/",MID($A374,FIND("/",$A374)+1,20))-1))),"")))</f>
        <v/>
      </c>
      <c r="D374">
        <f>IF(OR($A374="",$B374=""),"",IF(ISNUMBER($A374),MOD($A374,100),IFERROR(VALUE(TRIM(MID(MID($A374,FIND("/",$A374)+1,20),FIND("/",MID($A374,FIND("/",$A374)+1,20))+1,20))),"")))</f>
        <v/>
      </c>
      <c r="E374">
        <f>IF($A374="","",IF(OR($B374="",$C374="",$D374="",$B374&lt;1300,$B374&gt;1500,$C374&lt;1,$C374&gt;12,$D374&lt;1,$D374&gt;31),"نامعتبر",RIGHT("0000"&amp;$B374,4)&amp;"/"&amp;RIGHT("00"&amp;$C374,2)&amp;"/"&amp;RIGHT("00"&amp;$D374,2)))</f>
        <v/>
      </c>
      <c r="F374">
        <f>IF(OR($E374="",$E374="نامعتبر"),"",IF(Sync!$Q371="","0000",IF(AND(ISNUMBER(Sync!$Q371),Sync!$Q371&gt;=0,Sync!$Q371&lt;1),RIGHT("00"&amp;HOUR(Sync!$Q371),2)&amp;RIGHT("00"&amp;MINUTE(Sync!$Q371),2),IFERROR(RIGHT("00"&amp;VALUE(LEFT(Sync!$Q371,FIND(":",Sync!$Q371)-1)),2)&amp;RIGHT("00"&amp;VALUE(MID(Sync!$Q371,FIND(":",Sync!$Q371)+1,2)),2),"0000"))))</f>
        <v/>
      </c>
      <c r="G374">
        <f>IF(OR($E374="",$E374="نامعتبر"),"",IF(Sync!$S371="","",Sync!$S371))</f>
        <v/>
      </c>
      <c r="H374">
        <f>IF(OR($E374="",$E374="نامعتبر"),"",IF(Sync!$R371="","",Sync!$R371))</f>
        <v/>
      </c>
      <c r="I374">
        <f>IF(OR($E374="",$E374="نامعتبر"),"",IF(Sync!$T371="","",Sync!$T371))</f>
        <v/>
      </c>
      <c r="J374">
        <f>IF(OR($E374="",$E374="نامعتبر"),"",IF(Sync!$U371="","",Sync!$U371))</f>
        <v/>
      </c>
      <c r="K374">
        <f>IF(OR($E374="",$E374="نامعتبر"),"",IF(Sync!$V371="","",IFERROR(INDEX(SubCodes,MATCH(Sync!$V371,SubTitles,0)),Sync!$V371)))</f>
        <v/>
      </c>
      <c r="L374">
        <f>IF(OR($E374="",$E374="نامعتبر"),"",IF(Sync!$W371="",0,Sync!$W371))</f>
        <v/>
      </c>
      <c r="M374">
        <f>IF(OR($E374="",$E374="نامعتبر"),"",IF(Sync!$X371="",0,Sync!$X371))</f>
        <v/>
      </c>
      <c r="N374">
        <f>IF(OR($E374="",$E374="نامعتبر"),"",IF(AND($J374="هزینه",$K374&lt;&gt;""),1,0))</f>
        <v/>
      </c>
      <c r="O374">
        <f>IF($N374=0,"",LEFT($E374,4)&amp;MID($E374,6,2)&amp;RIGHT($E374,2)&amp;$F374&amp;"|"&amp;"1"&amp;RIGHT("00000"&amp;366,5))</f>
        <v/>
      </c>
      <c r="P374">
        <f>IF($O374="","",COUNTIFS(ExpSub,$K374,ExpKey,"&lt;"&amp;$O374)+1)</f>
        <v/>
      </c>
      <c r="Q374">
        <f>IF($P374="","",$K374&amp;"|"&amp;RIGHT("000000"&amp;$P374,6))</f>
        <v/>
      </c>
    </row>
    <row r="375">
      <c r="A375">
        <f>IF(Sync!$P372="","",Sync!$P372)</f>
        <v/>
      </c>
      <c r="B375">
        <f>IF($A375="","",IF(ISNUMBER($A375),IF(AND($A375&gt;=10000101,$A375&lt;=99991231),INT($A375/10000),""),IFERROR(VALUE(TRIM(LEFT($A375,FIND("/",$A375)-1))),"")))</f>
        <v/>
      </c>
      <c r="C375">
        <f>IF(OR($A375="",$B375=""),"",IF(ISNUMBER($A375),INT(MOD($A375,10000)/100),IFERROR(VALUE(TRIM(LEFT(MID($A375,FIND("/",$A375)+1,20),FIND("/",MID($A375,FIND("/",$A375)+1,20))-1))),"")))</f>
        <v/>
      </c>
      <c r="D375">
        <f>IF(OR($A375="",$B375=""),"",IF(ISNUMBER($A375),MOD($A375,100),IFERROR(VALUE(TRIM(MID(MID($A375,FIND("/",$A375)+1,20),FIND("/",MID($A375,FIND("/",$A375)+1,20))+1,20))),"")))</f>
        <v/>
      </c>
      <c r="E375">
        <f>IF($A375="","",IF(OR($B375="",$C375="",$D375="",$B375&lt;1300,$B375&gt;1500,$C375&lt;1,$C375&gt;12,$D375&lt;1,$D375&gt;31),"نامعتبر",RIGHT("0000"&amp;$B375,4)&amp;"/"&amp;RIGHT("00"&amp;$C375,2)&amp;"/"&amp;RIGHT("00"&amp;$D375,2)))</f>
        <v/>
      </c>
      <c r="F375">
        <f>IF(OR($E375="",$E375="نامعتبر"),"",IF(Sync!$Q372="","0000",IF(AND(ISNUMBER(Sync!$Q372),Sync!$Q372&gt;=0,Sync!$Q372&lt;1),RIGHT("00"&amp;HOUR(Sync!$Q372),2)&amp;RIGHT("00"&amp;MINUTE(Sync!$Q372),2),IFERROR(RIGHT("00"&amp;VALUE(LEFT(Sync!$Q372,FIND(":",Sync!$Q372)-1)),2)&amp;RIGHT("00"&amp;VALUE(MID(Sync!$Q372,FIND(":",Sync!$Q372)+1,2)),2),"0000"))))</f>
        <v/>
      </c>
      <c r="G375">
        <f>IF(OR($E375="",$E375="نامعتبر"),"",IF(Sync!$S372="","",Sync!$S372))</f>
        <v/>
      </c>
      <c r="H375">
        <f>IF(OR($E375="",$E375="نامعتبر"),"",IF(Sync!$R372="","",Sync!$R372))</f>
        <v/>
      </c>
      <c r="I375">
        <f>IF(OR($E375="",$E375="نامعتبر"),"",IF(Sync!$T372="","",Sync!$T372))</f>
        <v/>
      </c>
      <c r="J375">
        <f>IF(OR($E375="",$E375="نامعتبر"),"",IF(Sync!$U372="","",Sync!$U372))</f>
        <v/>
      </c>
      <c r="K375">
        <f>IF(OR($E375="",$E375="نامعتبر"),"",IF(Sync!$V372="","",IFERROR(INDEX(SubCodes,MATCH(Sync!$V372,SubTitles,0)),Sync!$V372)))</f>
        <v/>
      </c>
      <c r="L375">
        <f>IF(OR($E375="",$E375="نامعتبر"),"",IF(Sync!$W372="",0,Sync!$W372))</f>
        <v/>
      </c>
      <c r="M375">
        <f>IF(OR($E375="",$E375="نامعتبر"),"",IF(Sync!$X372="",0,Sync!$X372))</f>
        <v/>
      </c>
      <c r="N375">
        <f>IF(OR($E375="",$E375="نامعتبر"),"",IF(AND($J375="هزینه",$K375&lt;&gt;""),1,0))</f>
        <v/>
      </c>
      <c r="O375">
        <f>IF($N375=0,"",LEFT($E375,4)&amp;MID($E375,6,2)&amp;RIGHT($E375,2)&amp;$F375&amp;"|"&amp;"1"&amp;RIGHT("00000"&amp;367,5))</f>
        <v/>
      </c>
      <c r="P375">
        <f>IF($O375="","",COUNTIFS(ExpSub,$K375,ExpKey,"&lt;"&amp;$O375)+1)</f>
        <v/>
      </c>
      <c r="Q375">
        <f>IF($P375="","",$K375&amp;"|"&amp;RIGHT("000000"&amp;$P375,6))</f>
        <v/>
      </c>
    </row>
    <row r="376">
      <c r="A376">
        <f>IF(Sync!$P373="","",Sync!$P373)</f>
        <v/>
      </c>
      <c r="B376">
        <f>IF($A376="","",IF(ISNUMBER($A376),IF(AND($A376&gt;=10000101,$A376&lt;=99991231),INT($A376/10000),""),IFERROR(VALUE(TRIM(LEFT($A376,FIND("/",$A376)-1))),"")))</f>
        <v/>
      </c>
      <c r="C376">
        <f>IF(OR($A376="",$B376=""),"",IF(ISNUMBER($A376),INT(MOD($A376,10000)/100),IFERROR(VALUE(TRIM(LEFT(MID($A376,FIND("/",$A376)+1,20),FIND("/",MID($A376,FIND("/",$A376)+1,20))-1))),"")))</f>
        <v/>
      </c>
      <c r="D376">
        <f>IF(OR($A376="",$B376=""),"",IF(ISNUMBER($A376),MOD($A376,100),IFERROR(VALUE(TRIM(MID(MID($A376,FIND("/",$A376)+1,20),FIND("/",MID($A376,FIND("/",$A376)+1,20))+1,20))),"")))</f>
        <v/>
      </c>
      <c r="E376">
        <f>IF($A376="","",IF(OR($B376="",$C376="",$D376="",$B376&lt;1300,$B376&gt;1500,$C376&lt;1,$C376&gt;12,$D376&lt;1,$D376&gt;31),"نامعتبر",RIGHT("0000"&amp;$B376,4)&amp;"/"&amp;RIGHT("00"&amp;$C376,2)&amp;"/"&amp;RIGHT("00"&amp;$D376,2)))</f>
        <v/>
      </c>
      <c r="F376">
        <f>IF(OR($E376="",$E376="نامعتبر"),"",IF(Sync!$Q373="","0000",IF(AND(ISNUMBER(Sync!$Q373),Sync!$Q373&gt;=0,Sync!$Q373&lt;1),RIGHT("00"&amp;HOUR(Sync!$Q373),2)&amp;RIGHT("00"&amp;MINUTE(Sync!$Q373),2),IFERROR(RIGHT("00"&amp;VALUE(LEFT(Sync!$Q373,FIND(":",Sync!$Q373)-1)),2)&amp;RIGHT("00"&amp;VALUE(MID(Sync!$Q373,FIND(":",Sync!$Q373)+1,2)),2),"0000"))))</f>
        <v/>
      </c>
      <c r="G376">
        <f>IF(OR($E376="",$E376="نامعتبر"),"",IF(Sync!$S373="","",Sync!$S373))</f>
        <v/>
      </c>
      <c r="H376">
        <f>IF(OR($E376="",$E376="نامعتبر"),"",IF(Sync!$R373="","",Sync!$R373))</f>
        <v/>
      </c>
      <c r="I376">
        <f>IF(OR($E376="",$E376="نامعتبر"),"",IF(Sync!$T373="","",Sync!$T373))</f>
        <v/>
      </c>
      <c r="J376">
        <f>IF(OR($E376="",$E376="نامعتبر"),"",IF(Sync!$U373="","",Sync!$U373))</f>
        <v/>
      </c>
      <c r="K376">
        <f>IF(OR($E376="",$E376="نامعتبر"),"",IF(Sync!$V373="","",IFERROR(INDEX(SubCodes,MATCH(Sync!$V373,SubTitles,0)),Sync!$V373)))</f>
        <v/>
      </c>
      <c r="L376">
        <f>IF(OR($E376="",$E376="نامعتبر"),"",IF(Sync!$W373="",0,Sync!$W373))</f>
        <v/>
      </c>
      <c r="M376">
        <f>IF(OR($E376="",$E376="نامعتبر"),"",IF(Sync!$X373="",0,Sync!$X373))</f>
        <v/>
      </c>
      <c r="N376">
        <f>IF(OR($E376="",$E376="نامعتبر"),"",IF(AND($J376="هزینه",$K376&lt;&gt;""),1,0))</f>
        <v/>
      </c>
      <c r="O376">
        <f>IF($N376=0,"",LEFT($E376,4)&amp;MID($E376,6,2)&amp;RIGHT($E376,2)&amp;$F376&amp;"|"&amp;"1"&amp;RIGHT("00000"&amp;368,5))</f>
        <v/>
      </c>
      <c r="P376">
        <f>IF($O376="","",COUNTIFS(ExpSub,$K376,ExpKey,"&lt;"&amp;$O376)+1)</f>
        <v/>
      </c>
      <c r="Q376">
        <f>IF($P376="","",$K376&amp;"|"&amp;RIGHT("000000"&amp;$P376,6))</f>
        <v/>
      </c>
    </row>
    <row r="377">
      <c r="A377">
        <f>IF(Sync!$P374="","",Sync!$P374)</f>
        <v/>
      </c>
      <c r="B377">
        <f>IF($A377="","",IF(ISNUMBER($A377),IF(AND($A377&gt;=10000101,$A377&lt;=99991231),INT($A377/10000),""),IFERROR(VALUE(TRIM(LEFT($A377,FIND("/",$A377)-1))),"")))</f>
        <v/>
      </c>
      <c r="C377">
        <f>IF(OR($A377="",$B377=""),"",IF(ISNUMBER($A377),INT(MOD($A377,10000)/100),IFERROR(VALUE(TRIM(LEFT(MID($A377,FIND("/",$A377)+1,20),FIND("/",MID($A377,FIND("/",$A377)+1,20))-1))),"")))</f>
        <v/>
      </c>
      <c r="D377">
        <f>IF(OR($A377="",$B377=""),"",IF(ISNUMBER($A377),MOD($A377,100),IFERROR(VALUE(TRIM(MID(MID($A377,FIND("/",$A377)+1,20),FIND("/",MID($A377,FIND("/",$A377)+1,20))+1,20))),"")))</f>
        <v/>
      </c>
      <c r="E377">
        <f>IF($A377="","",IF(OR($B377="",$C377="",$D377="",$B377&lt;1300,$B377&gt;1500,$C377&lt;1,$C377&gt;12,$D377&lt;1,$D377&gt;31),"نامعتبر",RIGHT("0000"&amp;$B377,4)&amp;"/"&amp;RIGHT("00"&amp;$C377,2)&amp;"/"&amp;RIGHT("00"&amp;$D377,2)))</f>
        <v/>
      </c>
      <c r="F377">
        <f>IF(OR($E377="",$E377="نامعتبر"),"",IF(Sync!$Q374="","0000",IF(AND(ISNUMBER(Sync!$Q374),Sync!$Q374&gt;=0,Sync!$Q374&lt;1),RIGHT("00"&amp;HOUR(Sync!$Q374),2)&amp;RIGHT("00"&amp;MINUTE(Sync!$Q374),2),IFERROR(RIGHT("00"&amp;VALUE(LEFT(Sync!$Q374,FIND(":",Sync!$Q374)-1)),2)&amp;RIGHT("00"&amp;VALUE(MID(Sync!$Q374,FIND(":",Sync!$Q374)+1,2)),2),"0000"))))</f>
        <v/>
      </c>
      <c r="G377">
        <f>IF(OR($E377="",$E377="نامعتبر"),"",IF(Sync!$S374="","",Sync!$S374))</f>
        <v/>
      </c>
      <c r="H377">
        <f>IF(OR($E377="",$E377="نامعتبر"),"",IF(Sync!$R374="","",Sync!$R374))</f>
        <v/>
      </c>
      <c r="I377">
        <f>IF(OR($E377="",$E377="نامعتبر"),"",IF(Sync!$T374="","",Sync!$T374))</f>
        <v/>
      </c>
      <c r="J377">
        <f>IF(OR($E377="",$E377="نامعتبر"),"",IF(Sync!$U374="","",Sync!$U374))</f>
        <v/>
      </c>
      <c r="K377">
        <f>IF(OR($E377="",$E377="نامعتبر"),"",IF(Sync!$V374="","",IFERROR(INDEX(SubCodes,MATCH(Sync!$V374,SubTitles,0)),Sync!$V374)))</f>
        <v/>
      </c>
      <c r="L377">
        <f>IF(OR($E377="",$E377="نامعتبر"),"",IF(Sync!$W374="",0,Sync!$W374))</f>
        <v/>
      </c>
      <c r="M377">
        <f>IF(OR($E377="",$E377="نامعتبر"),"",IF(Sync!$X374="",0,Sync!$X374))</f>
        <v/>
      </c>
      <c r="N377">
        <f>IF(OR($E377="",$E377="نامعتبر"),"",IF(AND($J377="هزینه",$K377&lt;&gt;""),1,0))</f>
        <v/>
      </c>
      <c r="O377">
        <f>IF($N377=0,"",LEFT($E377,4)&amp;MID($E377,6,2)&amp;RIGHT($E377,2)&amp;$F377&amp;"|"&amp;"1"&amp;RIGHT("00000"&amp;369,5))</f>
        <v/>
      </c>
      <c r="P377">
        <f>IF($O377="","",COUNTIFS(ExpSub,$K377,ExpKey,"&lt;"&amp;$O377)+1)</f>
        <v/>
      </c>
      <c r="Q377">
        <f>IF($P377="","",$K377&amp;"|"&amp;RIGHT("000000"&amp;$P377,6))</f>
        <v/>
      </c>
    </row>
    <row r="378">
      <c r="A378">
        <f>IF(Sync!$P375="","",Sync!$P375)</f>
        <v/>
      </c>
      <c r="B378">
        <f>IF($A378="","",IF(ISNUMBER($A378),IF(AND($A378&gt;=10000101,$A378&lt;=99991231),INT($A378/10000),""),IFERROR(VALUE(TRIM(LEFT($A378,FIND("/",$A378)-1))),"")))</f>
        <v/>
      </c>
      <c r="C378">
        <f>IF(OR($A378="",$B378=""),"",IF(ISNUMBER($A378),INT(MOD($A378,10000)/100),IFERROR(VALUE(TRIM(LEFT(MID($A378,FIND("/",$A378)+1,20),FIND("/",MID($A378,FIND("/",$A378)+1,20))-1))),"")))</f>
        <v/>
      </c>
      <c r="D378">
        <f>IF(OR($A378="",$B378=""),"",IF(ISNUMBER($A378),MOD($A378,100),IFERROR(VALUE(TRIM(MID(MID($A378,FIND("/",$A378)+1,20),FIND("/",MID($A378,FIND("/",$A378)+1,20))+1,20))),"")))</f>
        <v/>
      </c>
      <c r="E378">
        <f>IF($A378="","",IF(OR($B378="",$C378="",$D378="",$B378&lt;1300,$B378&gt;1500,$C378&lt;1,$C378&gt;12,$D378&lt;1,$D378&gt;31),"نامعتبر",RIGHT("0000"&amp;$B378,4)&amp;"/"&amp;RIGHT("00"&amp;$C378,2)&amp;"/"&amp;RIGHT("00"&amp;$D378,2)))</f>
        <v/>
      </c>
      <c r="F378">
        <f>IF(OR($E378="",$E378="نامعتبر"),"",IF(Sync!$Q375="","0000",IF(AND(ISNUMBER(Sync!$Q375),Sync!$Q375&gt;=0,Sync!$Q375&lt;1),RIGHT("00"&amp;HOUR(Sync!$Q375),2)&amp;RIGHT("00"&amp;MINUTE(Sync!$Q375),2),IFERROR(RIGHT("00"&amp;VALUE(LEFT(Sync!$Q375,FIND(":",Sync!$Q375)-1)),2)&amp;RIGHT("00"&amp;VALUE(MID(Sync!$Q375,FIND(":",Sync!$Q375)+1,2)),2),"0000"))))</f>
        <v/>
      </c>
      <c r="G378">
        <f>IF(OR($E378="",$E378="نامعتبر"),"",IF(Sync!$S375="","",Sync!$S375))</f>
        <v/>
      </c>
      <c r="H378">
        <f>IF(OR($E378="",$E378="نامعتبر"),"",IF(Sync!$R375="","",Sync!$R375))</f>
        <v/>
      </c>
      <c r="I378">
        <f>IF(OR($E378="",$E378="نامعتبر"),"",IF(Sync!$T375="","",Sync!$T375))</f>
        <v/>
      </c>
      <c r="J378">
        <f>IF(OR($E378="",$E378="نامعتبر"),"",IF(Sync!$U375="","",Sync!$U375))</f>
        <v/>
      </c>
      <c r="K378">
        <f>IF(OR($E378="",$E378="نامعتبر"),"",IF(Sync!$V375="","",IFERROR(INDEX(SubCodes,MATCH(Sync!$V375,SubTitles,0)),Sync!$V375)))</f>
        <v/>
      </c>
      <c r="L378">
        <f>IF(OR($E378="",$E378="نامعتبر"),"",IF(Sync!$W375="",0,Sync!$W375))</f>
        <v/>
      </c>
      <c r="M378">
        <f>IF(OR($E378="",$E378="نامعتبر"),"",IF(Sync!$X375="",0,Sync!$X375))</f>
        <v/>
      </c>
      <c r="N378">
        <f>IF(OR($E378="",$E378="نامعتبر"),"",IF(AND($J378="هزینه",$K378&lt;&gt;""),1,0))</f>
        <v/>
      </c>
      <c r="O378">
        <f>IF($N378=0,"",LEFT($E378,4)&amp;MID($E378,6,2)&amp;RIGHT($E378,2)&amp;$F378&amp;"|"&amp;"1"&amp;RIGHT("00000"&amp;370,5))</f>
        <v/>
      </c>
      <c r="P378">
        <f>IF($O378="","",COUNTIFS(ExpSub,$K378,ExpKey,"&lt;"&amp;$O378)+1)</f>
        <v/>
      </c>
      <c r="Q378">
        <f>IF($P378="","",$K378&amp;"|"&amp;RIGHT("000000"&amp;$P378,6))</f>
        <v/>
      </c>
    </row>
    <row r="379">
      <c r="A379">
        <f>IF(Sync!$P376="","",Sync!$P376)</f>
        <v/>
      </c>
      <c r="B379">
        <f>IF($A379="","",IF(ISNUMBER($A379),IF(AND($A379&gt;=10000101,$A379&lt;=99991231),INT($A379/10000),""),IFERROR(VALUE(TRIM(LEFT($A379,FIND("/",$A379)-1))),"")))</f>
        <v/>
      </c>
      <c r="C379">
        <f>IF(OR($A379="",$B379=""),"",IF(ISNUMBER($A379),INT(MOD($A379,10000)/100),IFERROR(VALUE(TRIM(LEFT(MID($A379,FIND("/",$A379)+1,20),FIND("/",MID($A379,FIND("/",$A379)+1,20))-1))),"")))</f>
        <v/>
      </c>
      <c r="D379">
        <f>IF(OR($A379="",$B379=""),"",IF(ISNUMBER($A379),MOD($A379,100),IFERROR(VALUE(TRIM(MID(MID($A379,FIND("/",$A379)+1,20),FIND("/",MID($A379,FIND("/",$A379)+1,20))+1,20))),"")))</f>
        <v/>
      </c>
      <c r="E379">
        <f>IF($A379="","",IF(OR($B379="",$C379="",$D379="",$B379&lt;1300,$B379&gt;1500,$C379&lt;1,$C379&gt;12,$D379&lt;1,$D379&gt;31),"نامعتبر",RIGHT("0000"&amp;$B379,4)&amp;"/"&amp;RIGHT("00"&amp;$C379,2)&amp;"/"&amp;RIGHT("00"&amp;$D379,2)))</f>
        <v/>
      </c>
      <c r="F379">
        <f>IF(OR($E379="",$E379="نامعتبر"),"",IF(Sync!$Q376="","0000",IF(AND(ISNUMBER(Sync!$Q376),Sync!$Q376&gt;=0,Sync!$Q376&lt;1),RIGHT("00"&amp;HOUR(Sync!$Q376),2)&amp;RIGHT("00"&amp;MINUTE(Sync!$Q376),2),IFERROR(RIGHT("00"&amp;VALUE(LEFT(Sync!$Q376,FIND(":",Sync!$Q376)-1)),2)&amp;RIGHT("00"&amp;VALUE(MID(Sync!$Q376,FIND(":",Sync!$Q376)+1,2)),2),"0000"))))</f>
        <v/>
      </c>
      <c r="G379">
        <f>IF(OR($E379="",$E379="نامعتبر"),"",IF(Sync!$S376="","",Sync!$S376))</f>
        <v/>
      </c>
      <c r="H379">
        <f>IF(OR($E379="",$E379="نامعتبر"),"",IF(Sync!$R376="","",Sync!$R376))</f>
        <v/>
      </c>
      <c r="I379">
        <f>IF(OR($E379="",$E379="نامعتبر"),"",IF(Sync!$T376="","",Sync!$T376))</f>
        <v/>
      </c>
      <c r="J379">
        <f>IF(OR($E379="",$E379="نامعتبر"),"",IF(Sync!$U376="","",Sync!$U376))</f>
        <v/>
      </c>
      <c r="K379">
        <f>IF(OR($E379="",$E379="نامعتبر"),"",IF(Sync!$V376="","",IFERROR(INDEX(SubCodes,MATCH(Sync!$V376,SubTitles,0)),Sync!$V376)))</f>
        <v/>
      </c>
      <c r="L379">
        <f>IF(OR($E379="",$E379="نامعتبر"),"",IF(Sync!$W376="",0,Sync!$W376))</f>
        <v/>
      </c>
      <c r="M379">
        <f>IF(OR($E379="",$E379="نامعتبر"),"",IF(Sync!$X376="",0,Sync!$X376))</f>
        <v/>
      </c>
      <c r="N379">
        <f>IF(OR($E379="",$E379="نامعتبر"),"",IF(AND($J379="هزینه",$K379&lt;&gt;""),1,0))</f>
        <v/>
      </c>
      <c r="O379">
        <f>IF($N379=0,"",LEFT($E379,4)&amp;MID($E379,6,2)&amp;RIGHT($E379,2)&amp;$F379&amp;"|"&amp;"1"&amp;RIGHT("00000"&amp;371,5))</f>
        <v/>
      </c>
      <c r="P379">
        <f>IF($O379="","",COUNTIFS(ExpSub,$K379,ExpKey,"&lt;"&amp;$O379)+1)</f>
        <v/>
      </c>
      <c r="Q379">
        <f>IF($P379="","",$K379&amp;"|"&amp;RIGHT("000000"&amp;$P379,6))</f>
        <v/>
      </c>
    </row>
    <row r="380">
      <c r="A380">
        <f>IF(Sync!$P377="","",Sync!$P377)</f>
        <v/>
      </c>
      <c r="B380">
        <f>IF($A380="","",IF(ISNUMBER($A380),IF(AND($A380&gt;=10000101,$A380&lt;=99991231),INT($A380/10000),""),IFERROR(VALUE(TRIM(LEFT($A380,FIND("/",$A380)-1))),"")))</f>
        <v/>
      </c>
      <c r="C380">
        <f>IF(OR($A380="",$B380=""),"",IF(ISNUMBER($A380),INT(MOD($A380,10000)/100),IFERROR(VALUE(TRIM(LEFT(MID($A380,FIND("/",$A380)+1,20),FIND("/",MID($A380,FIND("/",$A380)+1,20))-1))),"")))</f>
        <v/>
      </c>
      <c r="D380">
        <f>IF(OR($A380="",$B380=""),"",IF(ISNUMBER($A380),MOD($A380,100),IFERROR(VALUE(TRIM(MID(MID($A380,FIND("/",$A380)+1,20),FIND("/",MID($A380,FIND("/",$A380)+1,20))+1,20))),"")))</f>
        <v/>
      </c>
      <c r="E380">
        <f>IF($A380="","",IF(OR($B380="",$C380="",$D380="",$B380&lt;1300,$B380&gt;1500,$C380&lt;1,$C380&gt;12,$D380&lt;1,$D380&gt;31),"نامعتبر",RIGHT("0000"&amp;$B380,4)&amp;"/"&amp;RIGHT("00"&amp;$C380,2)&amp;"/"&amp;RIGHT("00"&amp;$D380,2)))</f>
        <v/>
      </c>
      <c r="F380">
        <f>IF(OR($E380="",$E380="نامعتبر"),"",IF(Sync!$Q377="","0000",IF(AND(ISNUMBER(Sync!$Q377),Sync!$Q377&gt;=0,Sync!$Q377&lt;1),RIGHT("00"&amp;HOUR(Sync!$Q377),2)&amp;RIGHT("00"&amp;MINUTE(Sync!$Q377),2),IFERROR(RIGHT("00"&amp;VALUE(LEFT(Sync!$Q377,FIND(":",Sync!$Q377)-1)),2)&amp;RIGHT("00"&amp;VALUE(MID(Sync!$Q377,FIND(":",Sync!$Q377)+1,2)),2),"0000"))))</f>
        <v/>
      </c>
      <c r="G380">
        <f>IF(OR($E380="",$E380="نامعتبر"),"",IF(Sync!$S377="","",Sync!$S377))</f>
        <v/>
      </c>
      <c r="H380">
        <f>IF(OR($E380="",$E380="نامعتبر"),"",IF(Sync!$R377="","",Sync!$R377))</f>
        <v/>
      </c>
      <c r="I380">
        <f>IF(OR($E380="",$E380="نامعتبر"),"",IF(Sync!$T377="","",Sync!$T377))</f>
        <v/>
      </c>
      <c r="J380">
        <f>IF(OR($E380="",$E380="نامعتبر"),"",IF(Sync!$U377="","",Sync!$U377))</f>
        <v/>
      </c>
      <c r="K380">
        <f>IF(OR($E380="",$E380="نامعتبر"),"",IF(Sync!$V377="","",IFERROR(INDEX(SubCodes,MATCH(Sync!$V377,SubTitles,0)),Sync!$V377)))</f>
        <v/>
      </c>
      <c r="L380">
        <f>IF(OR($E380="",$E380="نامعتبر"),"",IF(Sync!$W377="",0,Sync!$W377))</f>
        <v/>
      </c>
      <c r="M380">
        <f>IF(OR($E380="",$E380="نامعتبر"),"",IF(Sync!$X377="",0,Sync!$X377))</f>
        <v/>
      </c>
      <c r="N380">
        <f>IF(OR($E380="",$E380="نامعتبر"),"",IF(AND($J380="هزینه",$K380&lt;&gt;""),1,0))</f>
        <v/>
      </c>
      <c r="O380">
        <f>IF($N380=0,"",LEFT($E380,4)&amp;MID($E380,6,2)&amp;RIGHT($E380,2)&amp;$F380&amp;"|"&amp;"1"&amp;RIGHT("00000"&amp;372,5))</f>
        <v/>
      </c>
      <c r="P380">
        <f>IF($O380="","",COUNTIFS(ExpSub,$K380,ExpKey,"&lt;"&amp;$O380)+1)</f>
        <v/>
      </c>
      <c r="Q380">
        <f>IF($P380="","",$K380&amp;"|"&amp;RIGHT("000000"&amp;$P380,6))</f>
        <v/>
      </c>
    </row>
    <row r="381">
      <c r="A381">
        <f>IF(Sync!$P378="","",Sync!$P378)</f>
        <v/>
      </c>
      <c r="B381">
        <f>IF($A381="","",IF(ISNUMBER($A381),IF(AND($A381&gt;=10000101,$A381&lt;=99991231),INT($A381/10000),""),IFERROR(VALUE(TRIM(LEFT($A381,FIND("/",$A381)-1))),"")))</f>
        <v/>
      </c>
      <c r="C381">
        <f>IF(OR($A381="",$B381=""),"",IF(ISNUMBER($A381),INT(MOD($A381,10000)/100),IFERROR(VALUE(TRIM(LEFT(MID($A381,FIND("/",$A381)+1,20),FIND("/",MID($A381,FIND("/",$A381)+1,20))-1))),"")))</f>
        <v/>
      </c>
      <c r="D381">
        <f>IF(OR($A381="",$B381=""),"",IF(ISNUMBER($A381),MOD($A381,100),IFERROR(VALUE(TRIM(MID(MID($A381,FIND("/",$A381)+1,20),FIND("/",MID($A381,FIND("/",$A381)+1,20))+1,20))),"")))</f>
        <v/>
      </c>
      <c r="E381">
        <f>IF($A381="","",IF(OR($B381="",$C381="",$D381="",$B381&lt;1300,$B381&gt;1500,$C381&lt;1,$C381&gt;12,$D381&lt;1,$D381&gt;31),"نامعتبر",RIGHT("0000"&amp;$B381,4)&amp;"/"&amp;RIGHT("00"&amp;$C381,2)&amp;"/"&amp;RIGHT("00"&amp;$D381,2)))</f>
        <v/>
      </c>
      <c r="F381">
        <f>IF(OR($E381="",$E381="نامعتبر"),"",IF(Sync!$Q378="","0000",IF(AND(ISNUMBER(Sync!$Q378),Sync!$Q378&gt;=0,Sync!$Q378&lt;1),RIGHT("00"&amp;HOUR(Sync!$Q378),2)&amp;RIGHT("00"&amp;MINUTE(Sync!$Q378),2),IFERROR(RIGHT("00"&amp;VALUE(LEFT(Sync!$Q378,FIND(":",Sync!$Q378)-1)),2)&amp;RIGHT("00"&amp;VALUE(MID(Sync!$Q378,FIND(":",Sync!$Q378)+1,2)),2),"0000"))))</f>
        <v/>
      </c>
      <c r="G381">
        <f>IF(OR($E381="",$E381="نامعتبر"),"",IF(Sync!$S378="","",Sync!$S378))</f>
        <v/>
      </c>
      <c r="H381">
        <f>IF(OR($E381="",$E381="نامعتبر"),"",IF(Sync!$R378="","",Sync!$R378))</f>
        <v/>
      </c>
      <c r="I381">
        <f>IF(OR($E381="",$E381="نامعتبر"),"",IF(Sync!$T378="","",Sync!$T378))</f>
        <v/>
      </c>
      <c r="J381">
        <f>IF(OR($E381="",$E381="نامعتبر"),"",IF(Sync!$U378="","",Sync!$U378))</f>
        <v/>
      </c>
      <c r="K381">
        <f>IF(OR($E381="",$E381="نامعتبر"),"",IF(Sync!$V378="","",IFERROR(INDEX(SubCodes,MATCH(Sync!$V378,SubTitles,0)),Sync!$V378)))</f>
        <v/>
      </c>
      <c r="L381">
        <f>IF(OR($E381="",$E381="نامعتبر"),"",IF(Sync!$W378="",0,Sync!$W378))</f>
        <v/>
      </c>
      <c r="M381">
        <f>IF(OR($E381="",$E381="نامعتبر"),"",IF(Sync!$X378="",0,Sync!$X378))</f>
        <v/>
      </c>
      <c r="N381">
        <f>IF(OR($E381="",$E381="نامعتبر"),"",IF(AND($J381="هزینه",$K381&lt;&gt;""),1,0))</f>
        <v/>
      </c>
      <c r="O381">
        <f>IF($N381=0,"",LEFT($E381,4)&amp;MID($E381,6,2)&amp;RIGHT($E381,2)&amp;$F381&amp;"|"&amp;"1"&amp;RIGHT("00000"&amp;373,5))</f>
        <v/>
      </c>
      <c r="P381">
        <f>IF($O381="","",COUNTIFS(ExpSub,$K381,ExpKey,"&lt;"&amp;$O381)+1)</f>
        <v/>
      </c>
      <c r="Q381">
        <f>IF($P381="","",$K381&amp;"|"&amp;RIGHT("000000"&amp;$P381,6))</f>
        <v/>
      </c>
    </row>
    <row r="382">
      <c r="A382">
        <f>IF(Sync!$P379="","",Sync!$P379)</f>
        <v/>
      </c>
      <c r="B382">
        <f>IF($A382="","",IF(ISNUMBER($A382),IF(AND($A382&gt;=10000101,$A382&lt;=99991231),INT($A382/10000),""),IFERROR(VALUE(TRIM(LEFT($A382,FIND("/",$A382)-1))),"")))</f>
        <v/>
      </c>
      <c r="C382">
        <f>IF(OR($A382="",$B382=""),"",IF(ISNUMBER($A382),INT(MOD($A382,10000)/100),IFERROR(VALUE(TRIM(LEFT(MID($A382,FIND("/",$A382)+1,20),FIND("/",MID($A382,FIND("/",$A382)+1,20))-1))),"")))</f>
        <v/>
      </c>
      <c r="D382">
        <f>IF(OR($A382="",$B382=""),"",IF(ISNUMBER($A382),MOD($A382,100),IFERROR(VALUE(TRIM(MID(MID($A382,FIND("/",$A382)+1,20),FIND("/",MID($A382,FIND("/",$A382)+1,20))+1,20))),"")))</f>
        <v/>
      </c>
      <c r="E382">
        <f>IF($A382="","",IF(OR($B382="",$C382="",$D382="",$B382&lt;1300,$B382&gt;1500,$C382&lt;1,$C382&gt;12,$D382&lt;1,$D382&gt;31),"نامعتبر",RIGHT("0000"&amp;$B382,4)&amp;"/"&amp;RIGHT("00"&amp;$C382,2)&amp;"/"&amp;RIGHT("00"&amp;$D382,2)))</f>
        <v/>
      </c>
      <c r="F382">
        <f>IF(OR($E382="",$E382="نامعتبر"),"",IF(Sync!$Q379="","0000",IF(AND(ISNUMBER(Sync!$Q379),Sync!$Q379&gt;=0,Sync!$Q379&lt;1),RIGHT("00"&amp;HOUR(Sync!$Q379),2)&amp;RIGHT("00"&amp;MINUTE(Sync!$Q379),2),IFERROR(RIGHT("00"&amp;VALUE(LEFT(Sync!$Q379,FIND(":",Sync!$Q379)-1)),2)&amp;RIGHT("00"&amp;VALUE(MID(Sync!$Q379,FIND(":",Sync!$Q379)+1,2)),2),"0000"))))</f>
        <v/>
      </c>
      <c r="G382">
        <f>IF(OR($E382="",$E382="نامعتبر"),"",IF(Sync!$S379="","",Sync!$S379))</f>
        <v/>
      </c>
      <c r="H382">
        <f>IF(OR($E382="",$E382="نامعتبر"),"",IF(Sync!$R379="","",Sync!$R379))</f>
        <v/>
      </c>
      <c r="I382">
        <f>IF(OR($E382="",$E382="نامعتبر"),"",IF(Sync!$T379="","",Sync!$T379))</f>
        <v/>
      </c>
      <c r="J382">
        <f>IF(OR($E382="",$E382="نامعتبر"),"",IF(Sync!$U379="","",Sync!$U379))</f>
        <v/>
      </c>
      <c r="K382">
        <f>IF(OR($E382="",$E382="نامعتبر"),"",IF(Sync!$V379="","",IFERROR(INDEX(SubCodes,MATCH(Sync!$V379,SubTitles,0)),Sync!$V379)))</f>
        <v/>
      </c>
      <c r="L382">
        <f>IF(OR($E382="",$E382="نامعتبر"),"",IF(Sync!$W379="",0,Sync!$W379))</f>
        <v/>
      </c>
      <c r="M382">
        <f>IF(OR($E382="",$E382="نامعتبر"),"",IF(Sync!$X379="",0,Sync!$X379))</f>
        <v/>
      </c>
      <c r="N382">
        <f>IF(OR($E382="",$E382="نامعتبر"),"",IF(AND($J382="هزینه",$K382&lt;&gt;""),1,0))</f>
        <v/>
      </c>
      <c r="O382">
        <f>IF($N382=0,"",LEFT($E382,4)&amp;MID($E382,6,2)&amp;RIGHT($E382,2)&amp;$F382&amp;"|"&amp;"1"&amp;RIGHT("00000"&amp;374,5))</f>
        <v/>
      </c>
      <c r="P382">
        <f>IF($O382="","",COUNTIFS(ExpSub,$K382,ExpKey,"&lt;"&amp;$O382)+1)</f>
        <v/>
      </c>
      <c r="Q382">
        <f>IF($P382="","",$K382&amp;"|"&amp;RIGHT("000000"&amp;$P382,6))</f>
        <v/>
      </c>
    </row>
    <row r="383">
      <c r="A383">
        <f>IF(Sync!$P380="","",Sync!$P380)</f>
        <v/>
      </c>
      <c r="B383">
        <f>IF($A383="","",IF(ISNUMBER($A383),IF(AND($A383&gt;=10000101,$A383&lt;=99991231),INT($A383/10000),""),IFERROR(VALUE(TRIM(LEFT($A383,FIND("/",$A383)-1))),"")))</f>
        <v/>
      </c>
      <c r="C383">
        <f>IF(OR($A383="",$B383=""),"",IF(ISNUMBER($A383),INT(MOD($A383,10000)/100),IFERROR(VALUE(TRIM(LEFT(MID($A383,FIND("/",$A383)+1,20),FIND("/",MID($A383,FIND("/",$A383)+1,20))-1))),"")))</f>
        <v/>
      </c>
      <c r="D383">
        <f>IF(OR($A383="",$B383=""),"",IF(ISNUMBER($A383),MOD($A383,100),IFERROR(VALUE(TRIM(MID(MID($A383,FIND("/",$A383)+1,20),FIND("/",MID($A383,FIND("/",$A383)+1,20))+1,20))),"")))</f>
        <v/>
      </c>
      <c r="E383">
        <f>IF($A383="","",IF(OR($B383="",$C383="",$D383="",$B383&lt;1300,$B383&gt;1500,$C383&lt;1,$C383&gt;12,$D383&lt;1,$D383&gt;31),"نامعتبر",RIGHT("0000"&amp;$B383,4)&amp;"/"&amp;RIGHT("00"&amp;$C383,2)&amp;"/"&amp;RIGHT("00"&amp;$D383,2)))</f>
        <v/>
      </c>
      <c r="F383">
        <f>IF(OR($E383="",$E383="نامعتبر"),"",IF(Sync!$Q380="","0000",IF(AND(ISNUMBER(Sync!$Q380),Sync!$Q380&gt;=0,Sync!$Q380&lt;1),RIGHT("00"&amp;HOUR(Sync!$Q380),2)&amp;RIGHT("00"&amp;MINUTE(Sync!$Q380),2),IFERROR(RIGHT("00"&amp;VALUE(LEFT(Sync!$Q380,FIND(":",Sync!$Q380)-1)),2)&amp;RIGHT("00"&amp;VALUE(MID(Sync!$Q380,FIND(":",Sync!$Q380)+1,2)),2),"0000"))))</f>
        <v/>
      </c>
      <c r="G383">
        <f>IF(OR($E383="",$E383="نامعتبر"),"",IF(Sync!$S380="","",Sync!$S380))</f>
        <v/>
      </c>
      <c r="H383">
        <f>IF(OR($E383="",$E383="نامعتبر"),"",IF(Sync!$R380="","",Sync!$R380))</f>
        <v/>
      </c>
      <c r="I383">
        <f>IF(OR($E383="",$E383="نامعتبر"),"",IF(Sync!$T380="","",Sync!$T380))</f>
        <v/>
      </c>
      <c r="J383">
        <f>IF(OR($E383="",$E383="نامعتبر"),"",IF(Sync!$U380="","",Sync!$U380))</f>
        <v/>
      </c>
      <c r="K383">
        <f>IF(OR($E383="",$E383="نامعتبر"),"",IF(Sync!$V380="","",IFERROR(INDEX(SubCodes,MATCH(Sync!$V380,SubTitles,0)),Sync!$V380)))</f>
        <v/>
      </c>
      <c r="L383">
        <f>IF(OR($E383="",$E383="نامعتبر"),"",IF(Sync!$W380="",0,Sync!$W380))</f>
        <v/>
      </c>
      <c r="M383">
        <f>IF(OR($E383="",$E383="نامعتبر"),"",IF(Sync!$X380="",0,Sync!$X380))</f>
        <v/>
      </c>
      <c r="N383">
        <f>IF(OR($E383="",$E383="نامعتبر"),"",IF(AND($J383="هزینه",$K383&lt;&gt;""),1,0))</f>
        <v/>
      </c>
      <c r="O383">
        <f>IF($N383=0,"",LEFT($E383,4)&amp;MID($E383,6,2)&amp;RIGHT($E383,2)&amp;$F383&amp;"|"&amp;"1"&amp;RIGHT("00000"&amp;375,5))</f>
        <v/>
      </c>
      <c r="P383">
        <f>IF($O383="","",COUNTIFS(ExpSub,$K383,ExpKey,"&lt;"&amp;$O383)+1)</f>
        <v/>
      </c>
      <c r="Q383">
        <f>IF($P383="","",$K383&amp;"|"&amp;RIGHT("000000"&amp;$P383,6))</f>
        <v/>
      </c>
    </row>
    <row r="384">
      <c r="A384">
        <f>IF(Sync!$P381="","",Sync!$P381)</f>
        <v/>
      </c>
      <c r="B384">
        <f>IF($A384="","",IF(ISNUMBER($A384),IF(AND($A384&gt;=10000101,$A384&lt;=99991231),INT($A384/10000),""),IFERROR(VALUE(TRIM(LEFT($A384,FIND("/",$A384)-1))),"")))</f>
        <v/>
      </c>
      <c r="C384">
        <f>IF(OR($A384="",$B384=""),"",IF(ISNUMBER($A384),INT(MOD($A384,10000)/100),IFERROR(VALUE(TRIM(LEFT(MID($A384,FIND("/",$A384)+1,20),FIND("/",MID($A384,FIND("/",$A384)+1,20))-1))),"")))</f>
        <v/>
      </c>
      <c r="D384">
        <f>IF(OR($A384="",$B384=""),"",IF(ISNUMBER($A384),MOD($A384,100),IFERROR(VALUE(TRIM(MID(MID($A384,FIND("/",$A384)+1,20),FIND("/",MID($A384,FIND("/",$A384)+1,20))+1,20))),"")))</f>
        <v/>
      </c>
      <c r="E384">
        <f>IF($A384="","",IF(OR($B384="",$C384="",$D384="",$B384&lt;1300,$B384&gt;1500,$C384&lt;1,$C384&gt;12,$D384&lt;1,$D384&gt;31),"نامعتبر",RIGHT("0000"&amp;$B384,4)&amp;"/"&amp;RIGHT("00"&amp;$C384,2)&amp;"/"&amp;RIGHT("00"&amp;$D384,2)))</f>
        <v/>
      </c>
      <c r="F384">
        <f>IF(OR($E384="",$E384="نامعتبر"),"",IF(Sync!$Q381="","0000",IF(AND(ISNUMBER(Sync!$Q381),Sync!$Q381&gt;=0,Sync!$Q381&lt;1),RIGHT("00"&amp;HOUR(Sync!$Q381),2)&amp;RIGHT("00"&amp;MINUTE(Sync!$Q381),2),IFERROR(RIGHT("00"&amp;VALUE(LEFT(Sync!$Q381,FIND(":",Sync!$Q381)-1)),2)&amp;RIGHT("00"&amp;VALUE(MID(Sync!$Q381,FIND(":",Sync!$Q381)+1,2)),2),"0000"))))</f>
        <v/>
      </c>
      <c r="G384">
        <f>IF(OR($E384="",$E384="نامعتبر"),"",IF(Sync!$S381="","",Sync!$S381))</f>
        <v/>
      </c>
      <c r="H384">
        <f>IF(OR($E384="",$E384="نامعتبر"),"",IF(Sync!$R381="","",Sync!$R381))</f>
        <v/>
      </c>
      <c r="I384">
        <f>IF(OR($E384="",$E384="نامعتبر"),"",IF(Sync!$T381="","",Sync!$T381))</f>
        <v/>
      </c>
      <c r="J384">
        <f>IF(OR($E384="",$E384="نامعتبر"),"",IF(Sync!$U381="","",Sync!$U381))</f>
        <v/>
      </c>
      <c r="K384">
        <f>IF(OR($E384="",$E384="نامعتبر"),"",IF(Sync!$V381="","",IFERROR(INDEX(SubCodes,MATCH(Sync!$V381,SubTitles,0)),Sync!$V381)))</f>
        <v/>
      </c>
      <c r="L384">
        <f>IF(OR($E384="",$E384="نامعتبر"),"",IF(Sync!$W381="",0,Sync!$W381))</f>
        <v/>
      </c>
      <c r="M384">
        <f>IF(OR($E384="",$E384="نامعتبر"),"",IF(Sync!$X381="",0,Sync!$X381))</f>
        <v/>
      </c>
      <c r="N384">
        <f>IF(OR($E384="",$E384="نامعتبر"),"",IF(AND($J384="هزینه",$K384&lt;&gt;""),1,0))</f>
        <v/>
      </c>
      <c r="O384">
        <f>IF($N384=0,"",LEFT($E384,4)&amp;MID($E384,6,2)&amp;RIGHT($E384,2)&amp;$F384&amp;"|"&amp;"1"&amp;RIGHT("00000"&amp;376,5))</f>
        <v/>
      </c>
      <c r="P384">
        <f>IF($O384="","",COUNTIFS(ExpSub,$K384,ExpKey,"&lt;"&amp;$O384)+1)</f>
        <v/>
      </c>
      <c r="Q384">
        <f>IF($P384="","",$K384&amp;"|"&amp;RIGHT("000000"&amp;$P384,6))</f>
        <v/>
      </c>
    </row>
    <row r="385">
      <c r="A385">
        <f>IF(Sync!$P382="","",Sync!$P382)</f>
        <v/>
      </c>
      <c r="B385">
        <f>IF($A385="","",IF(ISNUMBER($A385),IF(AND($A385&gt;=10000101,$A385&lt;=99991231),INT($A385/10000),""),IFERROR(VALUE(TRIM(LEFT($A385,FIND("/",$A385)-1))),"")))</f>
        <v/>
      </c>
      <c r="C385">
        <f>IF(OR($A385="",$B385=""),"",IF(ISNUMBER($A385),INT(MOD($A385,10000)/100),IFERROR(VALUE(TRIM(LEFT(MID($A385,FIND("/",$A385)+1,20),FIND("/",MID($A385,FIND("/",$A385)+1,20))-1))),"")))</f>
        <v/>
      </c>
      <c r="D385">
        <f>IF(OR($A385="",$B385=""),"",IF(ISNUMBER($A385),MOD($A385,100),IFERROR(VALUE(TRIM(MID(MID($A385,FIND("/",$A385)+1,20),FIND("/",MID($A385,FIND("/",$A385)+1,20))+1,20))),"")))</f>
        <v/>
      </c>
      <c r="E385">
        <f>IF($A385="","",IF(OR($B385="",$C385="",$D385="",$B385&lt;1300,$B385&gt;1500,$C385&lt;1,$C385&gt;12,$D385&lt;1,$D385&gt;31),"نامعتبر",RIGHT("0000"&amp;$B385,4)&amp;"/"&amp;RIGHT("00"&amp;$C385,2)&amp;"/"&amp;RIGHT("00"&amp;$D385,2)))</f>
        <v/>
      </c>
      <c r="F385">
        <f>IF(OR($E385="",$E385="نامعتبر"),"",IF(Sync!$Q382="","0000",IF(AND(ISNUMBER(Sync!$Q382),Sync!$Q382&gt;=0,Sync!$Q382&lt;1),RIGHT("00"&amp;HOUR(Sync!$Q382),2)&amp;RIGHT("00"&amp;MINUTE(Sync!$Q382),2),IFERROR(RIGHT("00"&amp;VALUE(LEFT(Sync!$Q382,FIND(":",Sync!$Q382)-1)),2)&amp;RIGHT("00"&amp;VALUE(MID(Sync!$Q382,FIND(":",Sync!$Q382)+1,2)),2),"0000"))))</f>
        <v/>
      </c>
      <c r="G385">
        <f>IF(OR($E385="",$E385="نامعتبر"),"",IF(Sync!$S382="","",Sync!$S382))</f>
        <v/>
      </c>
      <c r="H385">
        <f>IF(OR($E385="",$E385="نامعتبر"),"",IF(Sync!$R382="","",Sync!$R382))</f>
        <v/>
      </c>
      <c r="I385">
        <f>IF(OR($E385="",$E385="نامعتبر"),"",IF(Sync!$T382="","",Sync!$T382))</f>
        <v/>
      </c>
      <c r="J385">
        <f>IF(OR($E385="",$E385="نامعتبر"),"",IF(Sync!$U382="","",Sync!$U382))</f>
        <v/>
      </c>
      <c r="K385">
        <f>IF(OR($E385="",$E385="نامعتبر"),"",IF(Sync!$V382="","",IFERROR(INDEX(SubCodes,MATCH(Sync!$V382,SubTitles,0)),Sync!$V382)))</f>
        <v/>
      </c>
      <c r="L385">
        <f>IF(OR($E385="",$E385="نامعتبر"),"",IF(Sync!$W382="",0,Sync!$W382))</f>
        <v/>
      </c>
      <c r="M385">
        <f>IF(OR($E385="",$E385="نامعتبر"),"",IF(Sync!$X382="",0,Sync!$X382))</f>
        <v/>
      </c>
      <c r="N385">
        <f>IF(OR($E385="",$E385="نامعتبر"),"",IF(AND($J385="هزینه",$K385&lt;&gt;""),1,0))</f>
        <v/>
      </c>
      <c r="O385">
        <f>IF($N385=0,"",LEFT($E385,4)&amp;MID($E385,6,2)&amp;RIGHT($E385,2)&amp;$F385&amp;"|"&amp;"1"&amp;RIGHT("00000"&amp;377,5))</f>
        <v/>
      </c>
      <c r="P385">
        <f>IF($O385="","",COUNTIFS(ExpSub,$K385,ExpKey,"&lt;"&amp;$O385)+1)</f>
        <v/>
      </c>
      <c r="Q385">
        <f>IF($P385="","",$K385&amp;"|"&amp;RIGHT("000000"&amp;$P385,6))</f>
        <v/>
      </c>
    </row>
    <row r="386">
      <c r="A386">
        <f>IF(Sync!$P383="","",Sync!$P383)</f>
        <v/>
      </c>
      <c r="B386">
        <f>IF($A386="","",IF(ISNUMBER($A386),IF(AND($A386&gt;=10000101,$A386&lt;=99991231),INT($A386/10000),""),IFERROR(VALUE(TRIM(LEFT($A386,FIND("/",$A386)-1))),"")))</f>
        <v/>
      </c>
      <c r="C386">
        <f>IF(OR($A386="",$B386=""),"",IF(ISNUMBER($A386),INT(MOD($A386,10000)/100),IFERROR(VALUE(TRIM(LEFT(MID($A386,FIND("/",$A386)+1,20),FIND("/",MID($A386,FIND("/",$A386)+1,20))-1))),"")))</f>
        <v/>
      </c>
      <c r="D386">
        <f>IF(OR($A386="",$B386=""),"",IF(ISNUMBER($A386),MOD($A386,100),IFERROR(VALUE(TRIM(MID(MID($A386,FIND("/",$A386)+1,20),FIND("/",MID($A386,FIND("/",$A386)+1,20))+1,20))),"")))</f>
        <v/>
      </c>
      <c r="E386">
        <f>IF($A386="","",IF(OR($B386="",$C386="",$D386="",$B386&lt;1300,$B386&gt;1500,$C386&lt;1,$C386&gt;12,$D386&lt;1,$D386&gt;31),"نامعتبر",RIGHT("0000"&amp;$B386,4)&amp;"/"&amp;RIGHT("00"&amp;$C386,2)&amp;"/"&amp;RIGHT("00"&amp;$D386,2)))</f>
        <v/>
      </c>
      <c r="F386">
        <f>IF(OR($E386="",$E386="نامعتبر"),"",IF(Sync!$Q383="","0000",IF(AND(ISNUMBER(Sync!$Q383),Sync!$Q383&gt;=0,Sync!$Q383&lt;1),RIGHT("00"&amp;HOUR(Sync!$Q383),2)&amp;RIGHT("00"&amp;MINUTE(Sync!$Q383),2),IFERROR(RIGHT("00"&amp;VALUE(LEFT(Sync!$Q383,FIND(":",Sync!$Q383)-1)),2)&amp;RIGHT("00"&amp;VALUE(MID(Sync!$Q383,FIND(":",Sync!$Q383)+1,2)),2),"0000"))))</f>
        <v/>
      </c>
      <c r="G386">
        <f>IF(OR($E386="",$E386="نامعتبر"),"",IF(Sync!$S383="","",Sync!$S383))</f>
        <v/>
      </c>
      <c r="H386">
        <f>IF(OR($E386="",$E386="نامعتبر"),"",IF(Sync!$R383="","",Sync!$R383))</f>
        <v/>
      </c>
      <c r="I386">
        <f>IF(OR($E386="",$E386="نامعتبر"),"",IF(Sync!$T383="","",Sync!$T383))</f>
        <v/>
      </c>
      <c r="J386">
        <f>IF(OR($E386="",$E386="نامعتبر"),"",IF(Sync!$U383="","",Sync!$U383))</f>
        <v/>
      </c>
      <c r="K386">
        <f>IF(OR($E386="",$E386="نامعتبر"),"",IF(Sync!$V383="","",IFERROR(INDEX(SubCodes,MATCH(Sync!$V383,SubTitles,0)),Sync!$V383)))</f>
        <v/>
      </c>
      <c r="L386">
        <f>IF(OR($E386="",$E386="نامعتبر"),"",IF(Sync!$W383="",0,Sync!$W383))</f>
        <v/>
      </c>
      <c r="M386">
        <f>IF(OR($E386="",$E386="نامعتبر"),"",IF(Sync!$X383="",0,Sync!$X383))</f>
        <v/>
      </c>
      <c r="N386">
        <f>IF(OR($E386="",$E386="نامعتبر"),"",IF(AND($J386="هزینه",$K386&lt;&gt;""),1,0))</f>
        <v/>
      </c>
      <c r="O386">
        <f>IF($N386=0,"",LEFT($E386,4)&amp;MID($E386,6,2)&amp;RIGHT($E386,2)&amp;$F386&amp;"|"&amp;"1"&amp;RIGHT("00000"&amp;378,5))</f>
        <v/>
      </c>
      <c r="P386">
        <f>IF($O386="","",COUNTIFS(ExpSub,$K386,ExpKey,"&lt;"&amp;$O386)+1)</f>
        <v/>
      </c>
      <c r="Q386">
        <f>IF($P386="","",$K386&amp;"|"&amp;RIGHT("000000"&amp;$P386,6))</f>
        <v/>
      </c>
    </row>
    <row r="387">
      <c r="A387">
        <f>IF(Sync!$P384="","",Sync!$P384)</f>
        <v/>
      </c>
      <c r="B387">
        <f>IF($A387="","",IF(ISNUMBER($A387),IF(AND($A387&gt;=10000101,$A387&lt;=99991231),INT($A387/10000),""),IFERROR(VALUE(TRIM(LEFT($A387,FIND("/",$A387)-1))),"")))</f>
        <v/>
      </c>
      <c r="C387">
        <f>IF(OR($A387="",$B387=""),"",IF(ISNUMBER($A387),INT(MOD($A387,10000)/100),IFERROR(VALUE(TRIM(LEFT(MID($A387,FIND("/",$A387)+1,20),FIND("/",MID($A387,FIND("/",$A387)+1,20))-1))),"")))</f>
        <v/>
      </c>
      <c r="D387">
        <f>IF(OR($A387="",$B387=""),"",IF(ISNUMBER($A387),MOD($A387,100),IFERROR(VALUE(TRIM(MID(MID($A387,FIND("/",$A387)+1,20),FIND("/",MID($A387,FIND("/",$A387)+1,20))+1,20))),"")))</f>
        <v/>
      </c>
      <c r="E387">
        <f>IF($A387="","",IF(OR($B387="",$C387="",$D387="",$B387&lt;1300,$B387&gt;1500,$C387&lt;1,$C387&gt;12,$D387&lt;1,$D387&gt;31),"نامعتبر",RIGHT("0000"&amp;$B387,4)&amp;"/"&amp;RIGHT("00"&amp;$C387,2)&amp;"/"&amp;RIGHT("00"&amp;$D387,2)))</f>
        <v/>
      </c>
      <c r="F387">
        <f>IF(OR($E387="",$E387="نامعتبر"),"",IF(Sync!$Q384="","0000",IF(AND(ISNUMBER(Sync!$Q384),Sync!$Q384&gt;=0,Sync!$Q384&lt;1),RIGHT("00"&amp;HOUR(Sync!$Q384),2)&amp;RIGHT("00"&amp;MINUTE(Sync!$Q384),2),IFERROR(RIGHT("00"&amp;VALUE(LEFT(Sync!$Q384,FIND(":",Sync!$Q384)-1)),2)&amp;RIGHT("00"&amp;VALUE(MID(Sync!$Q384,FIND(":",Sync!$Q384)+1,2)),2),"0000"))))</f>
        <v/>
      </c>
      <c r="G387">
        <f>IF(OR($E387="",$E387="نامعتبر"),"",IF(Sync!$S384="","",Sync!$S384))</f>
        <v/>
      </c>
      <c r="H387">
        <f>IF(OR($E387="",$E387="نامعتبر"),"",IF(Sync!$R384="","",Sync!$R384))</f>
        <v/>
      </c>
      <c r="I387">
        <f>IF(OR($E387="",$E387="نامعتبر"),"",IF(Sync!$T384="","",Sync!$T384))</f>
        <v/>
      </c>
      <c r="J387">
        <f>IF(OR($E387="",$E387="نامعتبر"),"",IF(Sync!$U384="","",Sync!$U384))</f>
        <v/>
      </c>
      <c r="K387">
        <f>IF(OR($E387="",$E387="نامعتبر"),"",IF(Sync!$V384="","",IFERROR(INDEX(SubCodes,MATCH(Sync!$V384,SubTitles,0)),Sync!$V384)))</f>
        <v/>
      </c>
      <c r="L387">
        <f>IF(OR($E387="",$E387="نامعتبر"),"",IF(Sync!$W384="",0,Sync!$W384))</f>
        <v/>
      </c>
      <c r="M387">
        <f>IF(OR($E387="",$E387="نامعتبر"),"",IF(Sync!$X384="",0,Sync!$X384))</f>
        <v/>
      </c>
      <c r="N387">
        <f>IF(OR($E387="",$E387="نامعتبر"),"",IF(AND($J387="هزینه",$K387&lt;&gt;""),1,0))</f>
        <v/>
      </c>
      <c r="O387">
        <f>IF($N387=0,"",LEFT($E387,4)&amp;MID($E387,6,2)&amp;RIGHT($E387,2)&amp;$F387&amp;"|"&amp;"1"&amp;RIGHT("00000"&amp;379,5))</f>
        <v/>
      </c>
      <c r="P387">
        <f>IF($O387="","",COUNTIFS(ExpSub,$K387,ExpKey,"&lt;"&amp;$O387)+1)</f>
        <v/>
      </c>
      <c r="Q387">
        <f>IF($P387="","",$K387&amp;"|"&amp;RIGHT("000000"&amp;$P387,6))</f>
        <v/>
      </c>
    </row>
    <row r="388">
      <c r="A388">
        <f>IF(Sync!$P385="","",Sync!$P385)</f>
        <v/>
      </c>
      <c r="B388">
        <f>IF($A388="","",IF(ISNUMBER($A388),IF(AND($A388&gt;=10000101,$A388&lt;=99991231),INT($A388/10000),""),IFERROR(VALUE(TRIM(LEFT($A388,FIND("/",$A388)-1))),"")))</f>
        <v/>
      </c>
      <c r="C388">
        <f>IF(OR($A388="",$B388=""),"",IF(ISNUMBER($A388),INT(MOD($A388,10000)/100),IFERROR(VALUE(TRIM(LEFT(MID($A388,FIND("/",$A388)+1,20),FIND("/",MID($A388,FIND("/",$A388)+1,20))-1))),"")))</f>
        <v/>
      </c>
      <c r="D388">
        <f>IF(OR($A388="",$B388=""),"",IF(ISNUMBER($A388),MOD($A388,100),IFERROR(VALUE(TRIM(MID(MID($A388,FIND("/",$A388)+1,20),FIND("/",MID($A388,FIND("/",$A388)+1,20))+1,20))),"")))</f>
        <v/>
      </c>
      <c r="E388">
        <f>IF($A388="","",IF(OR($B388="",$C388="",$D388="",$B388&lt;1300,$B388&gt;1500,$C388&lt;1,$C388&gt;12,$D388&lt;1,$D388&gt;31),"نامعتبر",RIGHT("0000"&amp;$B388,4)&amp;"/"&amp;RIGHT("00"&amp;$C388,2)&amp;"/"&amp;RIGHT("00"&amp;$D388,2)))</f>
        <v/>
      </c>
      <c r="F388">
        <f>IF(OR($E388="",$E388="نامعتبر"),"",IF(Sync!$Q385="","0000",IF(AND(ISNUMBER(Sync!$Q385),Sync!$Q385&gt;=0,Sync!$Q385&lt;1),RIGHT("00"&amp;HOUR(Sync!$Q385),2)&amp;RIGHT("00"&amp;MINUTE(Sync!$Q385),2),IFERROR(RIGHT("00"&amp;VALUE(LEFT(Sync!$Q385,FIND(":",Sync!$Q385)-1)),2)&amp;RIGHT("00"&amp;VALUE(MID(Sync!$Q385,FIND(":",Sync!$Q385)+1,2)),2),"0000"))))</f>
        <v/>
      </c>
      <c r="G388">
        <f>IF(OR($E388="",$E388="نامعتبر"),"",IF(Sync!$S385="","",Sync!$S385))</f>
        <v/>
      </c>
      <c r="H388">
        <f>IF(OR($E388="",$E388="نامعتبر"),"",IF(Sync!$R385="","",Sync!$R385))</f>
        <v/>
      </c>
      <c r="I388">
        <f>IF(OR($E388="",$E388="نامعتبر"),"",IF(Sync!$T385="","",Sync!$T385))</f>
        <v/>
      </c>
      <c r="J388">
        <f>IF(OR($E388="",$E388="نامعتبر"),"",IF(Sync!$U385="","",Sync!$U385))</f>
        <v/>
      </c>
      <c r="K388">
        <f>IF(OR($E388="",$E388="نامعتبر"),"",IF(Sync!$V385="","",IFERROR(INDEX(SubCodes,MATCH(Sync!$V385,SubTitles,0)),Sync!$V385)))</f>
        <v/>
      </c>
      <c r="L388">
        <f>IF(OR($E388="",$E388="نامعتبر"),"",IF(Sync!$W385="",0,Sync!$W385))</f>
        <v/>
      </c>
      <c r="M388">
        <f>IF(OR($E388="",$E388="نامعتبر"),"",IF(Sync!$X385="",0,Sync!$X385))</f>
        <v/>
      </c>
      <c r="N388">
        <f>IF(OR($E388="",$E388="نامعتبر"),"",IF(AND($J388="هزینه",$K388&lt;&gt;""),1,0))</f>
        <v/>
      </c>
      <c r="O388">
        <f>IF($N388=0,"",LEFT($E388,4)&amp;MID($E388,6,2)&amp;RIGHT($E388,2)&amp;$F388&amp;"|"&amp;"1"&amp;RIGHT("00000"&amp;380,5))</f>
        <v/>
      </c>
      <c r="P388">
        <f>IF($O388="","",COUNTIFS(ExpSub,$K388,ExpKey,"&lt;"&amp;$O388)+1)</f>
        <v/>
      </c>
      <c r="Q388">
        <f>IF($P388="","",$K388&amp;"|"&amp;RIGHT("000000"&amp;$P388,6))</f>
        <v/>
      </c>
    </row>
    <row r="389">
      <c r="A389">
        <f>IF(Sync!$P386="","",Sync!$P386)</f>
        <v/>
      </c>
      <c r="B389">
        <f>IF($A389="","",IF(ISNUMBER($A389),IF(AND($A389&gt;=10000101,$A389&lt;=99991231),INT($A389/10000),""),IFERROR(VALUE(TRIM(LEFT($A389,FIND("/",$A389)-1))),"")))</f>
        <v/>
      </c>
      <c r="C389">
        <f>IF(OR($A389="",$B389=""),"",IF(ISNUMBER($A389),INT(MOD($A389,10000)/100),IFERROR(VALUE(TRIM(LEFT(MID($A389,FIND("/",$A389)+1,20),FIND("/",MID($A389,FIND("/",$A389)+1,20))-1))),"")))</f>
        <v/>
      </c>
      <c r="D389">
        <f>IF(OR($A389="",$B389=""),"",IF(ISNUMBER($A389),MOD($A389,100),IFERROR(VALUE(TRIM(MID(MID($A389,FIND("/",$A389)+1,20),FIND("/",MID($A389,FIND("/",$A389)+1,20))+1,20))),"")))</f>
        <v/>
      </c>
      <c r="E389">
        <f>IF($A389="","",IF(OR($B389="",$C389="",$D389="",$B389&lt;1300,$B389&gt;1500,$C389&lt;1,$C389&gt;12,$D389&lt;1,$D389&gt;31),"نامعتبر",RIGHT("0000"&amp;$B389,4)&amp;"/"&amp;RIGHT("00"&amp;$C389,2)&amp;"/"&amp;RIGHT("00"&amp;$D389,2)))</f>
        <v/>
      </c>
      <c r="F389">
        <f>IF(OR($E389="",$E389="نامعتبر"),"",IF(Sync!$Q386="","0000",IF(AND(ISNUMBER(Sync!$Q386),Sync!$Q386&gt;=0,Sync!$Q386&lt;1),RIGHT("00"&amp;HOUR(Sync!$Q386),2)&amp;RIGHT("00"&amp;MINUTE(Sync!$Q386),2),IFERROR(RIGHT("00"&amp;VALUE(LEFT(Sync!$Q386,FIND(":",Sync!$Q386)-1)),2)&amp;RIGHT("00"&amp;VALUE(MID(Sync!$Q386,FIND(":",Sync!$Q386)+1,2)),2),"0000"))))</f>
        <v/>
      </c>
      <c r="G389">
        <f>IF(OR($E389="",$E389="نامعتبر"),"",IF(Sync!$S386="","",Sync!$S386))</f>
        <v/>
      </c>
      <c r="H389">
        <f>IF(OR($E389="",$E389="نامعتبر"),"",IF(Sync!$R386="","",Sync!$R386))</f>
        <v/>
      </c>
      <c r="I389">
        <f>IF(OR($E389="",$E389="نامعتبر"),"",IF(Sync!$T386="","",Sync!$T386))</f>
        <v/>
      </c>
      <c r="J389">
        <f>IF(OR($E389="",$E389="نامعتبر"),"",IF(Sync!$U386="","",Sync!$U386))</f>
        <v/>
      </c>
      <c r="K389">
        <f>IF(OR($E389="",$E389="نامعتبر"),"",IF(Sync!$V386="","",IFERROR(INDEX(SubCodes,MATCH(Sync!$V386,SubTitles,0)),Sync!$V386)))</f>
        <v/>
      </c>
      <c r="L389">
        <f>IF(OR($E389="",$E389="نامعتبر"),"",IF(Sync!$W386="",0,Sync!$W386))</f>
        <v/>
      </c>
      <c r="M389">
        <f>IF(OR($E389="",$E389="نامعتبر"),"",IF(Sync!$X386="",0,Sync!$X386))</f>
        <v/>
      </c>
      <c r="N389">
        <f>IF(OR($E389="",$E389="نامعتبر"),"",IF(AND($J389="هزینه",$K389&lt;&gt;""),1,0))</f>
        <v/>
      </c>
      <c r="O389">
        <f>IF($N389=0,"",LEFT($E389,4)&amp;MID($E389,6,2)&amp;RIGHT($E389,2)&amp;$F389&amp;"|"&amp;"1"&amp;RIGHT("00000"&amp;381,5))</f>
        <v/>
      </c>
      <c r="P389">
        <f>IF($O389="","",COUNTIFS(ExpSub,$K389,ExpKey,"&lt;"&amp;$O389)+1)</f>
        <v/>
      </c>
      <c r="Q389">
        <f>IF($P389="","",$K389&amp;"|"&amp;RIGHT("000000"&amp;$P389,6))</f>
        <v/>
      </c>
    </row>
    <row r="390">
      <c r="A390">
        <f>IF(Sync!$P387="","",Sync!$P387)</f>
        <v/>
      </c>
      <c r="B390">
        <f>IF($A390="","",IF(ISNUMBER($A390),IF(AND($A390&gt;=10000101,$A390&lt;=99991231),INT($A390/10000),""),IFERROR(VALUE(TRIM(LEFT($A390,FIND("/",$A390)-1))),"")))</f>
        <v/>
      </c>
      <c r="C390">
        <f>IF(OR($A390="",$B390=""),"",IF(ISNUMBER($A390),INT(MOD($A390,10000)/100),IFERROR(VALUE(TRIM(LEFT(MID($A390,FIND("/",$A390)+1,20),FIND("/",MID($A390,FIND("/",$A390)+1,20))-1))),"")))</f>
        <v/>
      </c>
      <c r="D390">
        <f>IF(OR($A390="",$B390=""),"",IF(ISNUMBER($A390),MOD($A390,100),IFERROR(VALUE(TRIM(MID(MID($A390,FIND("/",$A390)+1,20),FIND("/",MID($A390,FIND("/",$A390)+1,20))+1,20))),"")))</f>
        <v/>
      </c>
      <c r="E390">
        <f>IF($A390="","",IF(OR($B390="",$C390="",$D390="",$B390&lt;1300,$B390&gt;1500,$C390&lt;1,$C390&gt;12,$D390&lt;1,$D390&gt;31),"نامعتبر",RIGHT("0000"&amp;$B390,4)&amp;"/"&amp;RIGHT("00"&amp;$C390,2)&amp;"/"&amp;RIGHT("00"&amp;$D390,2)))</f>
        <v/>
      </c>
      <c r="F390">
        <f>IF(OR($E390="",$E390="نامعتبر"),"",IF(Sync!$Q387="","0000",IF(AND(ISNUMBER(Sync!$Q387),Sync!$Q387&gt;=0,Sync!$Q387&lt;1),RIGHT("00"&amp;HOUR(Sync!$Q387),2)&amp;RIGHT("00"&amp;MINUTE(Sync!$Q387),2),IFERROR(RIGHT("00"&amp;VALUE(LEFT(Sync!$Q387,FIND(":",Sync!$Q387)-1)),2)&amp;RIGHT("00"&amp;VALUE(MID(Sync!$Q387,FIND(":",Sync!$Q387)+1,2)),2),"0000"))))</f>
        <v/>
      </c>
      <c r="G390">
        <f>IF(OR($E390="",$E390="نامعتبر"),"",IF(Sync!$S387="","",Sync!$S387))</f>
        <v/>
      </c>
      <c r="H390">
        <f>IF(OR($E390="",$E390="نامعتبر"),"",IF(Sync!$R387="","",Sync!$R387))</f>
        <v/>
      </c>
      <c r="I390">
        <f>IF(OR($E390="",$E390="نامعتبر"),"",IF(Sync!$T387="","",Sync!$T387))</f>
        <v/>
      </c>
      <c r="J390">
        <f>IF(OR($E390="",$E390="نامعتبر"),"",IF(Sync!$U387="","",Sync!$U387))</f>
        <v/>
      </c>
      <c r="K390">
        <f>IF(OR($E390="",$E390="نامعتبر"),"",IF(Sync!$V387="","",IFERROR(INDEX(SubCodes,MATCH(Sync!$V387,SubTitles,0)),Sync!$V387)))</f>
        <v/>
      </c>
      <c r="L390">
        <f>IF(OR($E390="",$E390="نامعتبر"),"",IF(Sync!$W387="",0,Sync!$W387))</f>
        <v/>
      </c>
      <c r="M390">
        <f>IF(OR($E390="",$E390="نامعتبر"),"",IF(Sync!$X387="",0,Sync!$X387))</f>
        <v/>
      </c>
      <c r="N390">
        <f>IF(OR($E390="",$E390="نامعتبر"),"",IF(AND($J390="هزینه",$K390&lt;&gt;""),1,0))</f>
        <v/>
      </c>
      <c r="O390">
        <f>IF($N390=0,"",LEFT($E390,4)&amp;MID($E390,6,2)&amp;RIGHT($E390,2)&amp;$F390&amp;"|"&amp;"1"&amp;RIGHT("00000"&amp;382,5))</f>
        <v/>
      </c>
      <c r="P390">
        <f>IF($O390="","",COUNTIFS(ExpSub,$K390,ExpKey,"&lt;"&amp;$O390)+1)</f>
        <v/>
      </c>
      <c r="Q390">
        <f>IF($P390="","",$K390&amp;"|"&amp;RIGHT("000000"&amp;$P390,6))</f>
        <v/>
      </c>
    </row>
    <row r="391">
      <c r="A391">
        <f>IF(Sync!$P388="","",Sync!$P388)</f>
        <v/>
      </c>
      <c r="B391">
        <f>IF($A391="","",IF(ISNUMBER($A391),IF(AND($A391&gt;=10000101,$A391&lt;=99991231),INT($A391/10000),""),IFERROR(VALUE(TRIM(LEFT($A391,FIND("/",$A391)-1))),"")))</f>
        <v/>
      </c>
      <c r="C391">
        <f>IF(OR($A391="",$B391=""),"",IF(ISNUMBER($A391),INT(MOD($A391,10000)/100),IFERROR(VALUE(TRIM(LEFT(MID($A391,FIND("/",$A391)+1,20),FIND("/",MID($A391,FIND("/",$A391)+1,20))-1))),"")))</f>
        <v/>
      </c>
      <c r="D391">
        <f>IF(OR($A391="",$B391=""),"",IF(ISNUMBER($A391),MOD($A391,100),IFERROR(VALUE(TRIM(MID(MID($A391,FIND("/",$A391)+1,20),FIND("/",MID($A391,FIND("/",$A391)+1,20))+1,20))),"")))</f>
        <v/>
      </c>
      <c r="E391">
        <f>IF($A391="","",IF(OR($B391="",$C391="",$D391="",$B391&lt;1300,$B391&gt;1500,$C391&lt;1,$C391&gt;12,$D391&lt;1,$D391&gt;31),"نامعتبر",RIGHT("0000"&amp;$B391,4)&amp;"/"&amp;RIGHT("00"&amp;$C391,2)&amp;"/"&amp;RIGHT("00"&amp;$D391,2)))</f>
        <v/>
      </c>
      <c r="F391">
        <f>IF(OR($E391="",$E391="نامعتبر"),"",IF(Sync!$Q388="","0000",IF(AND(ISNUMBER(Sync!$Q388),Sync!$Q388&gt;=0,Sync!$Q388&lt;1),RIGHT("00"&amp;HOUR(Sync!$Q388),2)&amp;RIGHT("00"&amp;MINUTE(Sync!$Q388),2),IFERROR(RIGHT("00"&amp;VALUE(LEFT(Sync!$Q388,FIND(":",Sync!$Q388)-1)),2)&amp;RIGHT("00"&amp;VALUE(MID(Sync!$Q388,FIND(":",Sync!$Q388)+1,2)),2),"0000"))))</f>
        <v/>
      </c>
      <c r="G391">
        <f>IF(OR($E391="",$E391="نامعتبر"),"",IF(Sync!$S388="","",Sync!$S388))</f>
        <v/>
      </c>
      <c r="H391">
        <f>IF(OR($E391="",$E391="نامعتبر"),"",IF(Sync!$R388="","",Sync!$R388))</f>
        <v/>
      </c>
      <c r="I391">
        <f>IF(OR($E391="",$E391="نامعتبر"),"",IF(Sync!$T388="","",Sync!$T388))</f>
        <v/>
      </c>
      <c r="J391">
        <f>IF(OR($E391="",$E391="نامعتبر"),"",IF(Sync!$U388="","",Sync!$U388))</f>
        <v/>
      </c>
      <c r="K391">
        <f>IF(OR($E391="",$E391="نامعتبر"),"",IF(Sync!$V388="","",IFERROR(INDEX(SubCodes,MATCH(Sync!$V388,SubTitles,0)),Sync!$V388)))</f>
        <v/>
      </c>
      <c r="L391">
        <f>IF(OR($E391="",$E391="نامعتبر"),"",IF(Sync!$W388="",0,Sync!$W388))</f>
        <v/>
      </c>
      <c r="M391">
        <f>IF(OR($E391="",$E391="نامعتبر"),"",IF(Sync!$X388="",0,Sync!$X388))</f>
        <v/>
      </c>
      <c r="N391">
        <f>IF(OR($E391="",$E391="نامعتبر"),"",IF(AND($J391="هزینه",$K391&lt;&gt;""),1,0))</f>
        <v/>
      </c>
      <c r="O391">
        <f>IF($N391=0,"",LEFT($E391,4)&amp;MID($E391,6,2)&amp;RIGHT($E391,2)&amp;$F391&amp;"|"&amp;"1"&amp;RIGHT("00000"&amp;383,5))</f>
        <v/>
      </c>
      <c r="P391">
        <f>IF($O391="","",COUNTIFS(ExpSub,$K391,ExpKey,"&lt;"&amp;$O391)+1)</f>
        <v/>
      </c>
      <c r="Q391">
        <f>IF($P391="","",$K391&amp;"|"&amp;RIGHT("000000"&amp;$P391,6))</f>
        <v/>
      </c>
    </row>
    <row r="392">
      <c r="A392">
        <f>IF(Sync!$P389="","",Sync!$P389)</f>
        <v/>
      </c>
      <c r="B392">
        <f>IF($A392="","",IF(ISNUMBER($A392),IF(AND($A392&gt;=10000101,$A392&lt;=99991231),INT($A392/10000),""),IFERROR(VALUE(TRIM(LEFT($A392,FIND("/",$A392)-1))),"")))</f>
        <v/>
      </c>
      <c r="C392">
        <f>IF(OR($A392="",$B392=""),"",IF(ISNUMBER($A392),INT(MOD($A392,10000)/100),IFERROR(VALUE(TRIM(LEFT(MID($A392,FIND("/",$A392)+1,20),FIND("/",MID($A392,FIND("/",$A392)+1,20))-1))),"")))</f>
        <v/>
      </c>
      <c r="D392">
        <f>IF(OR($A392="",$B392=""),"",IF(ISNUMBER($A392),MOD($A392,100),IFERROR(VALUE(TRIM(MID(MID($A392,FIND("/",$A392)+1,20),FIND("/",MID($A392,FIND("/",$A392)+1,20))+1,20))),"")))</f>
        <v/>
      </c>
      <c r="E392">
        <f>IF($A392="","",IF(OR($B392="",$C392="",$D392="",$B392&lt;1300,$B392&gt;1500,$C392&lt;1,$C392&gt;12,$D392&lt;1,$D392&gt;31),"نامعتبر",RIGHT("0000"&amp;$B392,4)&amp;"/"&amp;RIGHT("00"&amp;$C392,2)&amp;"/"&amp;RIGHT("00"&amp;$D392,2)))</f>
        <v/>
      </c>
      <c r="F392">
        <f>IF(OR($E392="",$E392="نامعتبر"),"",IF(Sync!$Q389="","0000",IF(AND(ISNUMBER(Sync!$Q389),Sync!$Q389&gt;=0,Sync!$Q389&lt;1),RIGHT("00"&amp;HOUR(Sync!$Q389),2)&amp;RIGHT("00"&amp;MINUTE(Sync!$Q389),2),IFERROR(RIGHT("00"&amp;VALUE(LEFT(Sync!$Q389,FIND(":",Sync!$Q389)-1)),2)&amp;RIGHT("00"&amp;VALUE(MID(Sync!$Q389,FIND(":",Sync!$Q389)+1,2)),2),"0000"))))</f>
        <v/>
      </c>
      <c r="G392">
        <f>IF(OR($E392="",$E392="نامعتبر"),"",IF(Sync!$S389="","",Sync!$S389))</f>
        <v/>
      </c>
      <c r="H392">
        <f>IF(OR($E392="",$E392="نامعتبر"),"",IF(Sync!$R389="","",Sync!$R389))</f>
        <v/>
      </c>
      <c r="I392">
        <f>IF(OR($E392="",$E392="نامعتبر"),"",IF(Sync!$T389="","",Sync!$T389))</f>
        <v/>
      </c>
      <c r="J392">
        <f>IF(OR($E392="",$E392="نامعتبر"),"",IF(Sync!$U389="","",Sync!$U389))</f>
        <v/>
      </c>
      <c r="K392">
        <f>IF(OR($E392="",$E392="نامعتبر"),"",IF(Sync!$V389="","",IFERROR(INDEX(SubCodes,MATCH(Sync!$V389,SubTitles,0)),Sync!$V389)))</f>
        <v/>
      </c>
      <c r="L392">
        <f>IF(OR($E392="",$E392="نامعتبر"),"",IF(Sync!$W389="",0,Sync!$W389))</f>
        <v/>
      </c>
      <c r="M392">
        <f>IF(OR($E392="",$E392="نامعتبر"),"",IF(Sync!$X389="",0,Sync!$X389))</f>
        <v/>
      </c>
      <c r="N392">
        <f>IF(OR($E392="",$E392="نامعتبر"),"",IF(AND($J392="هزینه",$K392&lt;&gt;""),1,0))</f>
        <v/>
      </c>
      <c r="O392">
        <f>IF($N392=0,"",LEFT($E392,4)&amp;MID($E392,6,2)&amp;RIGHT($E392,2)&amp;$F392&amp;"|"&amp;"1"&amp;RIGHT("00000"&amp;384,5))</f>
        <v/>
      </c>
      <c r="P392">
        <f>IF($O392="","",COUNTIFS(ExpSub,$K392,ExpKey,"&lt;"&amp;$O392)+1)</f>
        <v/>
      </c>
      <c r="Q392">
        <f>IF($P392="","",$K392&amp;"|"&amp;RIGHT("000000"&amp;$P392,6))</f>
        <v/>
      </c>
    </row>
    <row r="393">
      <c r="A393">
        <f>IF(Sync!$P390="","",Sync!$P390)</f>
        <v/>
      </c>
      <c r="B393">
        <f>IF($A393="","",IF(ISNUMBER($A393),IF(AND($A393&gt;=10000101,$A393&lt;=99991231),INT($A393/10000),""),IFERROR(VALUE(TRIM(LEFT($A393,FIND("/",$A393)-1))),"")))</f>
        <v/>
      </c>
      <c r="C393">
        <f>IF(OR($A393="",$B393=""),"",IF(ISNUMBER($A393),INT(MOD($A393,10000)/100),IFERROR(VALUE(TRIM(LEFT(MID($A393,FIND("/",$A393)+1,20),FIND("/",MID($A393,FIND("/",$A393)+1,20))-1))),"")))</f>
        <v/>
      </c>
      <c r="D393">
        <f>IF(OR($A393="",$B393=""),"",IF(ISNUMBER($A393),MOD($A393,100),IFERROR(VALUE(TRIM(MID(MID($A393,FIND("/",$A393)+1,20),FIND("/",MID($A393,FIND("/",$A393)+1,20))+1,20))),"")))</f>
        <v/>
      </c>
      <c r="E393">
        <f>IF($A393="","",IF(OR($B393="",$C393="",$D393="",$B393&lt;1300,$B393&gt;1500,$C393&lt;1,$C393&gt;12,$D393&lt;1,$D393&gt;31),"نامعتبر",RIGHT("0000"&amp;$B393,4)&amp;"/"&amp;RIGHT("00"&amp;$C393,2)&amp;"/"&amp;RIGHT("00"&amp;$D393,2)))</f>
        <v/>
      </c>
      <c r="F393">
        <f>IF(OR($E393="",$E393="نامعتبر"),"",IF(Sync!$Q390="","0000",IF(AND(ISNUMBER(Sync!$Q390),Sync!$Q390&gt;=0,Sync!$Q390&lt;1),RIGHT("00"&amp;HOUR(Sync!$Q390),2)&amp;RIGHT("00"&amp;MINUTE(Sync!$Q390),2),IFERROR(RIGHT("00"&amp;VALUE(LEFT(Sync!$Q390,FIND(":",Sync!$Q390)-1)),2)&amp;RIGHT("00"&amp;VALUE(MID(Sync!$Q390,FIND(":",Sync!$Q390)+1,2)),2),"0000"))))</f>
        <v/>
      </c>
      <c r="G393">
        <f>IF(OR($E393="",$E393="نامعتبر"),"",IF(Sync!$S390="","",Sync!$S390))</f>
        <v/>
      </c>
      <c r="H393">
        <f>IF(OR($E393="",$E393="نامعتبر"),"",IF(Sync!$R390="","",Sync!$R390))</f>
        <v/>
      </c>
      <c r="I393">
        <f>IF(OR($E393="",$E393="نامعتبر"),"",IF(Sync!$T390="","",Sync!$T390))</f>
        <v/>
      </c>
      <c r="J393">
        <f>IF(OR($E393="",$E393="نامعتبر"),"",IF(Sync!$U390="","",Sync!$U390))</f>
        <v/>
      </c>
      <c r="K393">
        <f>IF(OR($E393="",$E393="نامعتبر"),"",IF(Sync!$V390="","",IFERROR(INDEX(SubCodes,MATCH(Sync!$V390,SubTitles,0)),Sync!$V390)))</f>
        <v/>
      </c>
      <c r="L393">
        <f>IF(OR($E393="",$E393="نامعتبر"),"",IF(Sync!$W390="",0,Sync!$W390))</f>
        <v/>
      </c>
      <c r="M393">
        <f>IF(OR($E393="",$E393="نامعتبر"),"",IF(Sync!$X390="",0,Sync!$X390))</f>
        <v/>
      </c>
      <c r="N393">
        <f>IF(OR($E393="",$E393="نامعتبر"),"",IF(AND($J393="هزینه",$K393&lt;&gt;""),1,0))</f>
        <v/>
      </c>
      <c r="O393">
        <f>IF($N393=0,"",LEFT($E393,4)&amp;MID($E393,6,2)&amp;RIGHT($E393,2)&amp;$F393&amp;"|"&amp;"1"&amp;RIGHT("00000"&amp;385,5))</f>
        <v/>
      </c>
      <c r="P393">
        <f>IF($O393="","",COUNTIFS(ExpSub,$K393,ExpKey,"&lt;"&amp;$O393)+1)</f>
        <v/>
      </c>
      <c r="Q393">
        <f>IF($P393="","",$K393&amp;"|"&amp;RIGHT("000000"&amp;$P393,6))</f>
        <v/>
      </c>
    </row>
    <row r="394">
      <c r="A394">
        <f>IF(Sync!$P391="","",Sync!$P391)</f>
        <v/>
      </c>
      <c r="B394">
        <f>IF($A394="","",IF(ISNUMBER($A394),IF(AND($A394&gt;=10000101,$A394&lt;=99991231),INT($A394/10000),""),IFERROR(VALUE(TRIM(LEFT($A394,FIND("/",$A394)-1))),"")))</f>
        <v/>
      </c>
      <c r="C394">
        <f>IF(OR($A394="",$B394=""),"",IF(ISNUMBER($A394),INT(MOD($A394,10000)/100),IFERROR(VALUE(TRIM(LEFT(MID($A394,FIND("/",$A394)+1,20),FIND("/",MID($A394,FIND("/",$A394)+1,20))-1))),"")))</f>
        <v/>
      </c>
      <c r="D394">
        <f>IF(OR($A394="",$B394=""),"",IF(ISNUMBER($A394),MOD($A394,100),IFERROR(VALUE(TRIM(MID(MID($A394,FIND("/",$A394)+1,20),FIND("/",MID($A394,FIND("/",$A394)+1,20))+1,20))),"")))</f>
        <v/>
      </c>
      <c r="E394">
        <f>IF($A394="","",IF(OR($B394="",$C394="",$D394="",$B394&lt;1300,$B394&gt;1500,$C394&lt;1,$C394&gt;12,$D394&lt;1,$D394&gt;31),"نامعتبر",RIGHT("0000"&amp;$B394,4)&amp;"/"&amp;RIGHT("00"&amp;$C394,2)&amp;"/"&amp;RIGHT("00"&amp;$D394,2)))</f>
        <v/>
      </c>
      <c r="F394">
        <f>IF(OR($E394="",$E394="نامعتبر"),"",IF(Sync!$Q391="","0000",IF(AND(ISNUMBER(Sync!$Q391),Sync!$Q391&gt;=0,Sync!$Q391&lt;1),RIGHT("00"&amp;HOUR(Sync!$Q391),2)&amp;RIGHT("00"&amp;MINUTE(Sync!$Q391),2),IFERROR(RIGHT("00"&amp;VALUE(LEFT(Sync!$Q391,FIND(":",Sync!$Q391)-1)),2)&amp;RIGHT("00"&amp;VALUE(MID(Sync!$Q391,FIND(":",Sync!$Q391)+1,2)),2),"0000"))))</f>
        <v/>
      </c>
      <c r="G394">
        <f>IF(OR($E394="",$E394="نامعتبر"),"",IF(Sync!$S391="","",Sync!$S391))</f>
        <v/>
      </c>
      <c r="H394">
        <f>IF(OR($E394="",$E394="نامعتبر"),"",IF(Sync!$R391="","",Sync!$R391))</f>
        <v/>
      </c>
      <c r="I394">
        <f>IF(OR($E394="",$E394="نامعتبر"),"",IF(Sync!$T391="","",Sync!$T391))</f>
        <v/>
      </c>
      <c r="J394">
        <f>IF(OR($E394="",$E394="نامعتبر"),"",IF(Sync!$U391="","",Sync!$U391))</f>
        <v/>
      </c>
      <c r="K394">
        <f>IF(OR($E394="",$E394="نامعتبر"),"",IF(Sync!$V391="","",IFERROR(INDEX(SubCodes,MATCH(Sync!$V391,SubTitles,0)),Sync!$V391)))</f>
        <v/>
      </c>
      <c r="L394">
        <f>IF(OR($E394="",$E394="نامعتبر"),"",IF(Sync!$W391="",0,Sync!$W391))</f>
        <v/>
      </c>
      <c r="M394">
        <f>IF(OR($E394="",$E394="نامعتبر"),"",IF(Sync!$X391="",0,Sync!$X391))</f>
        <v/>
      </c>
      <c r="N394">
        <f>IF(OR($E394="",$E394="نامعتبر"),"",IF(AND($J394="هزینه",$K394&lt;&gt;""),1,0))</f>
        <v/>
      </c>
      <c r="O394">
        <f>IF($N394=0,"",LEFT($E394,4)&amp;MID($E394,6,2)&amp;RIGHT($E394,2)&amp;$F394&amp;"|"&amp;"1"&amp;RIGHT("00000"&amp;386,5))</f>
        <v/>
      </c>
      <c r="P394">
        <f>IF($O394="","",COUNTIFS(ExpSub,$K394,ExpKey,"&lt;"&amp;$O394)+1)</f>
        <v/>
      </c>
      <c r="Q394">
        <f>IF($P394="","",$K394&amp;"|"&amp;RIGHT("000000"&amp;$P394,6))</f>
        <v/>
      </c>
    </row>
    <row r="395">
      <c r="A395">
        <f>IF(Sync!$P392="","",Sync!$P392)</f>
        <v/>
      </c>
      <c r="B395">
        <f>IF($A395="","",IF(ISNUMBER($A395),IF(AND($A395&gt;=10000101,$A395&lt;=99991231),INT($A395/10000),""),IFERROR(VALUE(TRIM(LEFT($A395,FIND("/",$A395)-1))),"")))</f>
        <v/>
      </c>
      <c r="C395">
        <f>IF(OR($A395="",$B395=""),"",IF(ISNUMBER($A395),INT(MOD($A395,10000)/100),IFERROR(VALUE(TRIM(LEFT(MID($A395,FIND("/",$A395)+1,20),FIND("/",MID($A395,FIND("/",$A395)+1,20))-1))),"")))</f>
        <v/>
      </c>
      <c r="D395">
        <f>IF(OR($A395="",$B395=""),"",IF(ISNUMBER($A395),MOD($A395,100),IFERROR(VALUE(TRIM(MID(MID($A395,FIND("/",$A395)+1,20),FIND("/",MID($A395,FIND("/",$A395)+1,20))+1,20))),"")))</f>
        <v/>
      </c>
      <c r="E395">
        <f>IF($A395="","",IF(OR($B395="",$C395="",$D395="",$B395&lt;1300,$B395&gt;1500,$C395&lt;1,$C395&gt;12,$D395&lt;1,$D395&gt;31),"نامعتبر",RIGHT("0000"&amp;$B395,4)&amp;"/"&amp;RIGHT("00"&amp;$C395,2)&amp;"/"&amp;RIGHT("00"&amp;$D395,2)))</f>
        <v/>
      </c>
      <c r="F395">
        <f>IF(OR($E395="",$E395="نامعتبر"),"",IF(Sync!$Q392="","0000",IF(AND(ISNUMBER(Sync!$Q392),Sync!$Q392&gt;=0,Sync!$Q392&lt;1),RIGHT("00"&amp;HOUR(Sync!$Q392),2)&amp;RIGHT("00"&amp;MINUTE(Sync!$Q392),2),IFERROR(RIGHT("00"&amp;VALUE(LEFT(Sync!$Q392,FIND(":",Sync!$Q392)-1)),2)&amp;RIGHT("00"&amp;VALUE(MID(Sync!$Q392,FIND(":",Sync!$Q392)+1,2)),2),"0000"))))</f>
        <v/>
      </c>
      <c r="G395">
        <f>IF(OR($E395="",$E395="نامعتبر"),"",IF(Sync!$S392="","",Sync!$S392))</f>
        <v/>
      </c>
      <c r="H395">
        <f>IF(OR($E395="",$E395="نامعتبر"),"",IF(Sync!$R392="","",Sync!$R392))</f>
        <v/>
      </c>
      <c r="I395">
        <f>IF(OR($E395="",$E395="نامعتبر"),"",IF(Sync!$T392="","",Sync!$T392))</f>
        <v/>
      </c>
      <c r="J395">
        <f>IF(OR($E395="",$E395="نامعتبر"),"",IF(Sync!$U392="","",Sync!$U392))</f>
        <v/>
      </c>
      <c r="K395">
        <f>IF(OR($E395="",$E395="نامعتبر"),"",IF(Sync!$V392="","",IFERROR(INDEX(SubCodes,MATCH(Sync!$V392,SubTitles,0)),Sync!$V392)))</f>
        <v/>
      </c>
      <c r="L395">
        <f>IF(OR($E395="",$E395="نامعتبر"),"",IF(Sync!$W392="",0,Sync!$W392))</f>
        <v/>
      </c>
      <c r="M395">
        <f>IF(OR($E395="",$E395="نامعتبر"),"",IF(Sync!$X392="",0,Sync!$X392))</f>
        <v/>
      </c>
      <c r="N395">
        <f>IF(OR($E395="",$E395="نامعتبر"),"",IF(AND($J395="هزینه",$K395&lt;&gt;""),1,0))</f>
        <v/>
      </c>
      <c r="O395">
        <f>IF($N395=0,"",LEFT($E395,4)&amp;MID($E395,6,2)&amp;RIGHT($E395,2)&amp;$F395&amp;"|"&amp;"1"&amp;RIGHT("00000"&amp;387,5))</f>
        <v/>
      </c>
      <c r="P395">
        <f>IF($O395="","",COUNTIFS(ExpSub,$K395,ExpKey,"&lt;"&amp;$O395)+1)</f>
        <v/>
      </c>
      <c r="Q395">
        <f>IF($P395="","",$K395&amp;"|"&amp;RIGHT("000000"&amp;$P395,6))</f>
        <v/>
      </c>
    </row>
    <row r="396">
      <c r="A396">
        <f>IF(Sync!$P393="","",Sync!$P393)</f>
        <v/>
      </c>
      <c r="B396">
        <f>IF($A396="","",IF(ISNUMBER($A396),IF(AND($A396&gt;=10000101,$A396&lt;=99991231),INT($A396/10000),""),IFERROR(VALUE(TRIM(LEFT($A396,FIND("/",$A396)-1))),"")))</f>
        <v/>
      </c>
      <c r="C396">
        <f>IF(OR($A396="",$B396=""),"",IF(ISNUMBER($A396),INT(MOD($A396,10000)/100),IFERROR(VALUE(TRIM(LEFT(MID($A396,FIND("/",$A396)+1,20),FIND("/",MID($A396,FIND("/",$A396)+1,20))-1))),"")))</f>
        <v/>
      </c>
      <c r="D396">
        <f>IF(OR($A396="",$B396=""),"",IF(ISNUMBER($A396),MOD($A396,100),IFERROR(VALUE(TRIM(MID(MID($A396,FIND("/",$A396)+1,20),FIND("/",MID($A396,FIND("/",$A396)+1,20))+1,20))),"")))</f>
        <v/>
      </c>
      <c r="E396">
        <f>IF($A396="","",IF(OR($B396="",$C396="",$D396="",$B396&lt;1300,$B396&gt;1500,$C396&lt;1,$C396&gt;12,$D396&lt;1,$D396&gt;31),"نامعتبر",RIGHT("0000"&amp;$B396,4)&amp;"/"&amp;RIGHT("00"&amp;$C396,2)&amp;"/"&amp;RIGHT("00"&amp;$D396,2)))</f>
        <v/>
      </c>
      <c r="F396">
        <f>IF(OR($E396="",$E396="نامعتبر"),"",IF(Sync!$Q393="","0000",IF(AND(ISNUMBER(Sync!$Q393),Sync!$Q393&gt;=0,Sync!$Q393&lt;1),RIGHT("00"&amp;HOUR(Sync!$Q393),2)&amp;RIGHT("00"&amp;MINUTE(Sync!$Q393),2),IFERROR(RIGHT("00"&amp;VALUE(LEFT(Sync!$Q393,FIND(":",Sync!$Q393)-1)),2)&amp;RIGHT("00"&amp;VALUE(MID(Sync!$Q393,FIND(":",Sync!$Q393)+1,2)),2),"0000"))))</f>
        <v/>
      </c>
      <c r="G396">
        <f>IF(OR($E396="",$E396="نامعتبر"),"",IF(Sync!$S393="","",Sync!$S393))</f>
        <v/>
      </c>
      <c r="H396">
        <f>IF(OR($E396="",$E396="نامعتبر"),"",IF(Sync!$R393="","",Sync!$R393))</f>
        <v/>
      </c>
      <c r="I396">
        <f>IF(OR($E396="",$E396="نامعتبر"),"",IF(Sync!$T393="","",Sync!$T393))</f>
        <v/>
      </c>
      <c r="J396">
        <f>IF(OR($E396="",$E396="نامعتبر"),"",IF(Sync!$U393="","",Sync!$U393))</f>
        <v/>
      </c>
      <c r="K396">
        <f>IF(OR($E396="",$E396="نامعتبر"),"",IF(Sync!$V393="","",IFERROR(INDEX(SubCodes,MATCH(Sync!$V393,SubTitles,0)),Sync!$V393)))</f>
        <v/>
      </c>
      <c r="L396">
        <f>IF(OR($E396="",$E396="نامعتبر"),"",IF(Sync!$W393="",0,Sync!$W393))</f>
        <v/>
      </c>
      <c r="M396">
        <f>IF(OR($E396="",$E396="نامعتبر"),"",IF(Sync!$X393="",0,Sync!$X393))</f>
        <v/>
      </c>
      <c r="N396">
        <f>IF(OR($E396="",$E396="نامعتبر"),"",IF(AND($J396="هزینه",$K396&lt;&gt;""),1,0))</f>
        <v/>
      </c>
      <c r="O396">
        <f>IF($N396=0,"",LEFT($E396,4)&amp;MID($E396,6,2)&amp;RIGHT($E396,2)&amp;$F396&amp;"|"&amp;"1"&amp;RIGHT("00000"&amp;388,5))</f>
        <v/>
      </c>
      <c r="P396">
        <f>IF($O396="","",COUNTIFS(ExpSub,$K396,ExpKey,"&lt;"&amp;$O396)+1)</f>
        <v/>
      </c>
      <c r="Q396">
        <f>IF($P396="","",$K396&amp;"|"&amp;RIGHT("000000"&amp;$P396,6))</f>
        <v/>
      </c>
    </row>
    <row r="397">
      <c r="A397">
        <f>IF(Sync!$P394="","",Sync!$P394)</f>
        <v/>
      </c>
      <c r="B397">
        <f>IF($A397="","",IF(ISNUMBER($A397),IF(AND($A397&gt;=10000101,$A397&lt;=99991231),INT($A397/10000),""),IFERROR(VALUE(TRIM(LEFT($A397,FIND("/",$A397)-1))),"")))</f>
        <v/>
      </c>
      <c r="C397">
        <f>IF(OR($A397="",$B397=""),"",IF(ISNUMBER($A397),INT(MOD($A397,10000)/100),IFERROR(VALUE(TRIM(LEFT(MID($A397,FIND("/",$A397)+1,20),FIND("/",MID($A397,FIND("/",$A397)+1,20))-1))),"")))</f>
        <v/>
      </c>
      <c r="D397">
        <f>IF(OR($A397="",$B397=""),"",IF(ISNUMBER($A397),MOD($A397,100),IFERROR(VALUE(TRIM(MID(MID($A397,FIND("/",$A397)+1,20),FIND("/",MID($A397,FIND("/",$A397)+1,20))+1,20))),"")))</f>
        <v/>
      </c>
      <c r="E397">
        <f>IF($A397="","",IF(OR($B397="",$C397="",$D397="",$B397&lt;1300,$B397&gt;1500,$C397&lt;1,$C397&gt;12,$D397&lt;1,$D397&gt;31),"نامعتبر",RIGHT("0000"&amp;$B397,4)&amp;"/"&amp;RIGHT("00"&amp;$C397,2)&amp;"/"&amp;RIGHT("00"&amp;$D397,2)))</f>
        <v/>
      </c>
      <c r="F397">
        <f>IF(OR($E397="",$E397="نامعتبر"),"",IF(Sync!$Q394="","0000",IF(AND(ISNUMBER(Sync!$Q394),Sync!$Q394&gt;=0,Sync!$Q394&lt;1),RIGHT("00"&amp;HOUR(Sync!$Q394),2)&amp;RIGHT("00"&amp;MINUTE(Sync!$Q394),2),IFERROR(RIGHT("00"&amp;VALUE(LEFT(Sync!$Q394,FIND(":",Sync!$Q394)-1)),2)&amp;RIGHT("00"&amp;VALUE(MID(Sync!$Q394,FIND(":",Sync!$Q394)+1,2)),2),"0000"))))</f>
        <v/>
      </c>
      <c r="G397">
        <f>IF(OR($E397="",$E397="نامعتبر"),"",IF(Sync!$S394="","",Sync!$S394))</f>
        <v/>
      </c>
      <c r="H397">
        <f>IF(OR($E397="",$E397="نامعتبر"),"",IF(Sync!$R394="","",Sync!$R394))</f>
        <v/>
      </c>
      <c r="I397">
        <f>IF(OR($E397="",$E397="نامعتبر"),"",IF(Sync!$T394="","",Sync!$T394))</f>
        <v/>
      </c>
      <c r="J397">
        <f>IF(OR($E397="",$E397="نامعتبر"),"",IF(Sync!$U394="","",Sync!$U394))</f>
        <v/>
      </c>
      <c r="K397">
        <f>IF(OR($E397="",$E397="نامعتبر"),"",IF(Sync!$V394="","",IFERROR(INDEX(SubCodes,MATCH(Sync!$V394,SubTitles,0)),Sync!$V394)))</f>
        <v/>
      </c>
      <c r="L397">
        <f>IF(OR($E397="",$E397="نامعتبر"),"",IF(Sync!$W394="",0,Sync!$W394))</f>
        <v/>
      </c>
      <c r="M397">
        <f>IF(OR($E397="",$E397="نامعتبر"),"",IF(Sync!$X394="",0,Sync!$X394))</f>
        <v/>
      </c>
      <c r="N397">
        <f>IF(OR($E397="",$E397="نامعتبر"),"",IF(AND($J397="هزینه",$K397&lt;&gt;""),1,0))</f>
        <v/>
      </c>
      <c r="O397">
        <f>IF($N397=0,"",LEFT($E397,4)&amp;MID($E397,6,2)&amp;RIGHT($E397,2)&amp;$F397&amp;"|"&amp;"1"&amp;RIGHT("00000"&amp;389,5))</f>
        <v/>
      </c>
      <c r="P397">
        <f>IF($O397="","",COUNTIFS(ExpSub,$K397,ExpKey,"&lt;"&amp;$O397)+1)</f>
        <v/>
      </c>
      <c r="Q397">
        <f>IF($P397="","",$K397&amp;"|"&amp;RIGHT("000000"&amp;$P397,6))</f>
        <v/>
      </c>
    </row>
    <row r="398">
      <c r="A398">
        <f>IF(Sync!$P395="","",Sync!$P395)</f>
        <v/>
      </c>
      <c r="B398">
        <f>IF($A398="","",IF(ISNUMBER($A398),IF(AND($A398&gt;=10000101,$A398&lt;=99991231),INT($A398/10000),""),IFERROR(VALUE(TRIM(LEFT($A398,FIND("/",$A398)-1))),"")))</f>
        <v/>
      </c>
      <c r="C398">
        <f>IF(OR($A398="",$B398=""),"",IF(ISNUMBER($A398),INT(MOD($A398,10000)/100),IFERROR(VALUE(TRIM(LEFT(MID($A398,FIND("/",$A398)+1,20),FIND("/",MID($A398,FIND("/",$A398)+1,20))-1))),"")))</f>
        <v/>
      </c>
      <c r="D398">
        <f>IF(OR($A398="",$B398=""),"",IF(ISNUMBER($A398),MOD($A398,100),IFERROR(VALUE(TRIM(MID(MID($A398,FIND("/",$A398)+1,20),FIND("/",MID($A398,FIND("/",$A398)+1,20))+1,20))),"")))</f>
        <v/>
      </c>
      <c r="E398">
        <f>IF($A398="","",IF(OR($B398="",$C398="",$D398="",$B398&lt;1300,$B398&gt;1500,$C398&lt;1,$C398&gt;12,$D398&lt;1,$D398&gt;31),"نامعتبر",RIGHT("0000"&amp;$B398,4)&amp;"/"&amp;RIGHT("00"&amp;$C398,2)&amp;"/"&amp;RIGHT("00"&amp;$D398,2)))</f>
        <v/>
      </c>
      <c r="F398">
        <f>IF(OR($E398="",$E398="نامعتبر"),"",IF(Sync!$Q395="","0000",IF(AND(ISNUMBER(Sync!$Q395),Sync!$Q395&gt;=0,Sync!$Q395&lt;1),RIGHT("00"&amp;HOUR(Sync!$Q395),2)&amp;RIGHT("00"&amp;MINUTE(Sync!$Q395),2),IFERROR(RIGHT("00"&amp;VALUE(LEFT(Sync!$Q395,FIND(":",Sync!$Q395)-1)),2)&amp;RIGHT("00"&amp;VALUE(MID(Sync!$Q395,FIND(":",Sync!$Q395)+1,2)),2),"0000"))))</f>
        <v/>
      </c>
      <c r="G398">
        <f>IF(OR($E398="",$E398="نامعتبر"),"",IF(Sync!$S395="","",Sync!$S395))</f>
        <v/>
      </c>
      <c r="H398">
        <f>IF(OR($E398="",$E398="نامعتبر"),"",IF(Sync!$R395="","",Sync!$R395))</f>
        <v/>
      </c>
      <c r="I398">
        <f>IF(OR($E398="",$E398="نامعتبر"),"",IF(Sync!$T395="","",Sync!$T395))</f>
        <v/>
      </c>
      <c r="J398">
        <f>IF(OR($E398="",$E398="نامعتبر"),"",IF(Sync!$U395="","",Sync!$U395))</f>
        <v/>
      </c>
      <c r="K398">
        <f>IF(OR($E398="",$E398="نامعتبر"),"",IF(Sync!$V395="","",IFERROR(INDEX(SubCodes,MATCH(Sync!$V395,SubTitles,0)),Sync!$V395)))</f>
        <v/>
      </c>
      <c r="L398">
        <f>IF(OR($E398="",$E398="نامعتبر"),"",IF(Sync!$W395="",0,Sync!$W395))</f>
        <v/>
      </c>
      <c r="M398">
        <f>IF(OR($E398="",$E398="نامعتبر"),"",IF(Sync!$X395="",0,Sync!$X395))</f>
        <v/>
      </c>
      <c r="N398">
        <f>IF(OR($E398="",$E398="نامعتبر"),"",IF(AND($J398="هزینه",$K398&lt;&gt;""),1,0))</f>
        <v/>
      </c>
      <c r="O398">
        <f>IF($N398=0,"",LEFT($E398,4)&amp;MID($E398,6,2)&amp;RIGHT($E398,2)&amp;$F398&amp;"|"&amp;"1"&amp;RIGHT("00000"&amp;390,5))</f>
        <v/>
      </c>
      <c r="P398">
        <f>IF($O398="","",COUNTIFS(ExpSub,$K398,ExpKey,"&lt;"&amp;$O398)+1)</f>
        <v/>
      </c>
      <c r="Q398">
        <f>IF($P398="","",$K398&amp;"|"&amp;RIGHT("000000"&amp;$P398,6))</f>
        <v/>
      </c>
    </row>
    <row r="399">
      <c r="A399">
        <f>IF(Sync!$P396="","",Sync!$P396)</f>
        <v/>
      </c>
      <c r="B399">
        <f>IF($A399="","",IF(ISNUMBER($A399),IF(AND($A399&gt;=10000101,$A399&lt;=99991231),INT($A399/10000),""),IFERROR(VALUE(TRIM(LEFT($A399,FIND("/",$A399)-1))),"")))</f>
        <v/>
      </c>
      <c r="C399">
        <f>IF(OR($A399="",$B399=""),"",IF(ISNUMBER($A399),INT(MOD($A399,10000)/100),IFERROR(VALUE(TRIM(LEFT(MID($A399,FIND("/",$A399)+1,20),FIND("/",MID($A399,FIND("/",$A399)+1,20))-1))),"")))</f>
        <v/>
      </c>
      <c r="D399">
        <f>IF(OR($A399="",$B399=""),"",IF(ISNUMBER($A399),MOD($A399,100),IFERROR(VALUE(TRIM(MID(MID($A399,FIND("/",$A399)+1,20),FIND("/",MID($A399,FIND("/",$A399)+1,20))+1,20))),"")))</f>
        <v/>
      </c>
      <c r="E399">
        <f>IF($A399="","",IF(OR($B399="",$C399="",$D399="",$B399&lt;1300,$B399&gt;1500,$C399&lt;1,$C399&gt;12,$D399&lt;1,$D399&gt;31),"نامعتبر",RIGHT("0000"&amp;$B399,4)&amp;"/"&amp;RIGHT("00"&amp;$C399,2)&amp;"/"&amp;RIGHT("00"&amp;$D399,2)))</f>
        <v/>
      </c>
      <c r="F399">
        <f>IF(OR($E399="",$E399="نامعتبر"),"",IF(Sync!$Q396="","0000",IF(AND(ISNUMBER(Sync!$Q396),Sync!$Q396&gt;=0,Sync!$Q396&lt;1),RIGHT("00"&amp;HOUR(Sync!$Q396),2)&amp;RIGHT("00"&amp;MINUTE(Sync!$Q396),2),IFERROR(RIGHT("00"&amp;VALUE(LEFT(Sync!$Q396,FIND(":",Sync!$Q396)-1)),2)&amp;RIGHT("00"&amp;VALUE(MID(Sync!$Q396,FIND(":",Sync!$Q396)+1,2)),2),"0000"))))</f>
        <v/>
      </c>
      <c r="G399">
        <f>IF(OR($E399="",$E399="نامعتبر"),"",IF(Sync!$S396="","",Sync!$S396))</f>
        <v/>
      </c>
      <c r="H399">
        <f>IF(OR($E399="",$E399="نامعتبر"),"",IF(Sync!$R396="","",Sync!$R396))</f>
        <v/>
      </c>
      <c r="I399">
        <f>IF(OR($E399="",$E399="نامعتبر"),"",IF(Sync!$T396="","",Sync!$T396))</f>
        <v/>
      </c>
      <c r="J399">
        <f>IF(OR($E399="",$E399="نامعتبر"),"",IF(Sync!$U396="","",Sync!$U396))</f>
        <v/>
      </c>
      <c r="K399">
        <f>IF(OR($E399="",$E399="نامعتبر"),"",IF(Sync!$V396="","",IFERROR(INDEX(SubCodes,MATCH(Sync!$V396,SubTitles,0)),Sync!$V396)))</f>
        <v/>
      </c>
      <c r="L399">
        <f>IF(OR($E399="",$E399="نامعتبر"),"",IF(Sync!$W396="",0,Sync!$W396))</f>
        <v/>
      </c>
      <c r="M399">
        <f>IF(OR($E399="",$E399="نامعتبر"),"",IF(Sync!$X396="",0,Sync!$X396))</f>
        <v/>
      </c>
      <c r="N399">
        <f>IF(OR($E399="",$E399="نامعتبر"),"",IF(AND($J399="هزینه",$K399&lt;&gt;""),1,0))</f>
        <v/>
      </c>
      <c r="O399">
        <f>IF($N399=0,"",LEFT($E399,4)&amp;MID($E399,6,2)&amp;RIGHT($E399,2)&amp;$F399&amp;"|"&amp;"1"&amp;RIGHT("00000"&amp;391,5))</f>
        <v/>
      </c>
      <c r="P399">
        <f>IF($O399="","",COUNTIFS(ExpSub,$K399,ExpKey,"&lt;"&amp;$O399)+1)</f>
        <v/>
      </c>
      <c r="Q399">
        <f>IF($P399="","",$K399&amp;"|"&amp;RIGHT("000000"&amp;$P399,6))</f>
        <v/>
      </c>
    </row>
    <row r="400">
      <c r="A400">
        <f>IF(Sync!$P397="","",Sync!$P397)</f>
        <v/>
      </c>
      <c r="B400">
        <f>IF($A400="","",IF(ISNUMBER($A400),IF(AND($A400&gt;=10000101,$A400&lt;=99991231),INT($A400/10000),""),IFERROR(VALUE(TRIM(LEFT($A400,FIND("/",$A400)-1))),"")))</f>
        <v/>
      </c>
      <c r="C400">
        <f>IF(OR($A400="",$B400=""),"",IF(ISNUMBER($A400),INT(MOD($A400,10000)/100),IFERROR(VALUE(TRIM(LEFT(MID($A400,FIND("/",$A400)+1,20),FIND("/",MID($A400,FIND("/",$A400)+1,20))-1))),"")))</f>
        <v/>
      </c>
      <c r="D400">
        <f>IF(OR($A400="",$B400=""),"",IF(ISNUMBER($A400),MOD($A400,100),IFERROR(VALUE(TRIM(MID(MID($A400,FIND("/",$A400)+1,20),FIND("/",MID($A400,FIND("/",$A400)+1,20))+1,20))),"")))</f>
        <v/>
      </c>
      <c r="E400">
        <f>IF($A400="","",IF(OR($B400="",$C400="",$D400="",$B400&lt;1300,$B400&gt;1500,$C400&lt;1,$C400&gt;12,$D400&lt;1,$D400&gt;31),"نامعتبر",RIGHT("0000"&amp;$B400,4)&amp;"/"&amp;RIGHT("00"&amp;$C400,2)&amp;"/"&amp;RIGHT("00"&amp;$D400,2)))</f>
        <v/>
      </c>
      <c r="F400">
        <f>IF(OR($E400="",$E400="نامعتبر"),"",IF(Sync!$Q397="","0000",IF(AND(ISNUMBER(Sync!$Q397),Sync!$Q397&gt;=0,Sync!$Q397&lt;1),RIGHT("00"&amp;HOUR(Sync!$Q397),2)&amp;RIGHT("00"&amp;MINUTE(Sync!$Q397),2),IFERROR(RIGHT("00"&amp;VALUE(LEFT(Sync!$Q397,FIND(":",Sync!$Q397)-1)),2)&amp;RIGHT("00"&amp;VALUE(MID(Sync!$Q397,FIND(":",Sync!$Q397)+1,2)),2),"0000"))))</f>
        <v/>
      </c>
      <c r="G400">
        <f>IF(OR($E400="",$E400="نامعتبر"),"",IF(Sync!$S397="","",Sync!$S397))</f>
        <v/>
      </c>
      <c r="H400">
        <f>IF(OR($E400="",$E400="نامعتبر"),"",IF(Sync!$R397="","",Sync!$R397))</f>
        <v/>
      </c>
      <c r="I400">
        <f>IF(OR($E400="",$E400="نامعتبر"),"",IF(Sync!$T397="","",Sync!$T397))</f>
        <v/>
      </c>
      <c r="J400">
        <f>IF(OR($E400="",$E400="نامعتبر"),"",IF(Sync!$U397="","",Sync!$U397))</f>
        <v/>
      </c>
      <c r="K400">
        <f>IF(OR($E400="",$E400="نامعتبر"),"",IF(Sync!$V397="","",IFERROR(INDEX(SubCodes,MATCH(Sync!$V397,SubTitles,0)),Sync!$V397)))</f>
        <v/>
      </c>
      <c r="L400">
        <f>IF(OR($E400="",$E400="نامعتبر"),"",IF(Sync!$W397="",0,Sync!$W397))</f>
        <v/>
      </c>
      <c r="M400">
        <f>IF(OR($E400="",$E400="نامعتبر"),"",IF(Sync!$X397="",0,Sync!$X397))</f>
        <v/>
      </c>
      <c r="N400">
        <f>IF(OR($E400="",$E400="نامعتبر"),"",IF(AND($J400="هزینه",$K400&lt;&gt;""),1,0))</f>
        <v/>
      </c>
      <c r="O400">
        <f>IF($N400=0,"",LEFT($E400,4)&amp;MID($E400,6,2)&amp;RIGHT($E400,2)&amp;$F400&amp;"|"&amp;"1"&amp;RIGHT("00000"&amp;392,5))</f>
        <v/>
      </c>
      <c r="P400">
        <f>IF($O400="","",COUNTIFS(ExpSub,$K400,ExpKey,"&lt;"&amp;$O400)+1)</f>
        <v/>
      </c>
      <c r="Q400">
        <f>IF($P400="","",$K400&amp;"|"&amp;RIGHT("000000"&amp;$P400,6))</f>
        <v/>
      </c>
    </row>
    <row r="401">
      <c r="A401">
        <f>IF(Sync!$P398="","",Sync!$P398)</f>
        <v/>
      </c>
      <c r="B401">
        <f>IF($A401="","",IF(ISNUMBER($A401),IF(AND($A401&gt;=10000101,$A401&lt;=99991231),INT($A401/10000),""),IFERROR(VALUE(TRIM(LEFT($A401,FIND("/",$A401)-1))),"")))</f>
        <v/>
      </c>
      <c r="C401">
        <f>IF(OR($A401="",$B401=""),"",IF(ISNUMBER($A401),INT(MOD($A401,10000)/100),IFERROR(VALUE(TRIM(LEFT(MID($A401,FIND("/",$A401)+1,20),FIND("/",MID($A401,FIND("/",$A401)+1,20))-1))),"")))</f>
        <v/>
      </c>
      <c r="D401">
        <f>IF(OR($A401="",$B401=""),"",IF(ISNUMBER($A401),MOD($A401,100),IFERROR(VALUE(TRIM(MID(MID($A401,FIND("/",$A401)+1,20),FIND("/",MID($A401,FIND("/",$A401)+1,20))+1,20))),"")))</f>
        <v/>
      </c>
      <c r="E401">
        <f>IF($A401="","",IF(OR($B401="",$C401="",$D401="",$B401&lt;1300,$B401&gt;1500,$C401&lt;1,$C401&gt;12,$D401&lt;1,$D401&gt;31),"نامعتبر",RIGHT("0000"&amp;$B401,4)&amp;"/"&amp;RIGHT("00"&amp;$C401,2)&amp;"/"&amp;RIGHT("00"&amp;$D401,2)))</f>
        <v/>
      </c>
      <c r="F401">
        <f>IF(OR($E401="",$E401="نامعتبر"),"",IF(Sync!$Q398="","0000",IF(AND(ISNUMBER(Sync!$Q398),Sync!$Q398&gt;=0,Sync!$Q398&lt;1),RIGHT("00"&amp;HOUR(Sync!$Q398),2)&amp;RIGHT("00"&amp;MINUTE(Sync!$Q398),2),IFERROR(RIGHT("00"&amp;VALUE(LEFT(Sync!$Q398,FIND(":",Sync!$Q398)-1)),2)&amp;RIGHT("00"&amp;VALUE(MID(Sync!$Q398,FIND(":",Sync!$Q398)+1,2)),2),"0000"))))</f>
        <v/>
      </c>
      <c r="G401">
        <f>IF(OR($E401="",$E401="نامعتبر"),"",IF(Sync!$S398="","",Sync!$S398))</f>
        <v/>
      </c>
      <c r="H401">
        <f>IF(OR($E401="",$E401="نامعتبر"),"",IF(Sync!$R398="","",Sync!$R398))</f>
        <v/>
      </c>
      <c r="I401">
        <f>IF(OR($E401="",$E401="نامعتبر"),"",IF(Sync!$T398="","",Sync!$T398))</f>
        <v/>
      </c>
      <c r="J401">
        <f>IF(OR($E401="",$E401="نامعتبر"),"",IF(Sync!$U398="","",Sync!$U398))</f>
        <v/>
      </c>
      <c r="K401">
        <f>IF(OR($E401="",$E401="نامعتبر"),"",IF(Sync!$V398="","",IFERROR(INDEX(SubCodes,MATCH(Sync!$V398,SubTitles,0)),Sync!$V398)))</f>
        <v/>
      </c>
      <c r="L401">
        <f>IF(OR($E401="",$E401="نامعتبر"),"",IF(Sync!$W398="",0,Sync!$W398))</f>
        <v/>
      </c>
      <c r="M401">
        <f>IF(OR($E401="",$E401="نامعتبر"),"",IF(Sync!$X398="",0,Sync!$X398))</f>
        <v/>
      </c>
      <c r="N401">
        <f>IF(OR($E401="",$E401="نامعتبر"),"",IF(AND($J401="هزینه",$K401&lt;&gt;""),1,0))</f>
        <v/>
      </c>
      <c r="O401">
        <f>IF($N401=0,"",LEFT($E401,4)&amp;MID($E401,6,2)&amp;RIGHT($E401,2)&amp;$F401&amp;"|"&amp;"1"&amp;RIGHT("00000"&amp;393,5))</f>
        <v/>
      </c>
      <c r="P401">
        <f>IF($O401="","",COUNTIFS(ExpSub,$K401,ExpKey,"&lt;"&amp;$O401)+1)</f>
        <v/>
      </c>
      <c r="Q401">
        <f>IF($P401="","",$K401&amp;"|"&amp;RIGHT("000000"&amp;$P401,6))</f>
        <v/>
      </c>
    </row>
    <row r="402">
      <c r="A402">
        <f>IF(Sync!$P399="","",Sync!$P399)</f>
        <v/>
      </c>
      <c r="B402">
        <f>IF($A402="","",IF(ISNUMBER($A402),IF(AND($A402&gt;=10000101,$A402&lt;=99991231),INT($A402/10000),""),IFERROR(VALUE(TRIM(LEFT($A402,FIND("/",$A402)-1))),"")))</f>
        <v/>
      </c>
      <c r="C402">
        <f>IF(OR($A402="",$B402=""),"",IF(ISNUMBER($A402),INT(MOD($A402,10000)/100),IFERROR(VALUE(TRIM(LEFT(MID($A402,FIND("/",$A402)+1,20),FIND("/",MID($A402,FIND("/",$A402)+1,20))-1))),"")))</f>
        <v/>
      </c>
      <c r="D402">
        <f>IF(OR($A402="",$B402=""),"",IF(ISNUMBER($A402),MOD($A402,100),IFERROR(VALUE(TRIM(MID(MID($A402,FIND("/",$A402)+1,20),FIND("/",MID($A402,FIND("/",$A402)+1,20))+1,20))),"")))</f>
        <v/>
      </c>
      <c r="E402">
        <f>IF($A402="","",IF(OR($B402="",$C402="",$D402="",$B402&lt;1300,$B402&gt;1500,$C402&lt;1,$C402&gt;12,$D402&lt;1,$D402&gt;31),"نامعتبر",RIGHT("0000"&amp;$B402,4)&amp;"/"&amp;RIGHT("00"&amp;$C402,2)&amp;"/"&amp;RIGHT("00"&amp;$D402,2)))</f>
        <v/>
      </c>
      <c r="F402">
        <f>IF(OR($E402="",$E402="نامعتبر"),"",IF(Sync!$Q399="","0000",IF(AND(ISNUMBER(Sync!$Q399),Sync!$Q399&gt;=0,Sync!$Q399&lt;1),RIGHT("00"&amp;HOUR(Sync!$Q399),2)&amp;RIGHT("00"&amp;MINUTE(Sync!$Q399),2),IFERROR(RIGHT("00"&amp;VALUE(LEFT(Sync!$Q399,FIND(":",Sync!$Q399)-1)),2)&amp;RIGHT("00"&amp;VALUE(MID(Sync!$Q399,FIND(":",Sync!$Q399)+1,2)),2),"0000"))))</f>
        <v/>
      </c>
      <c r="G402">
        <f>IF(OR($E402="",$E402="نامعتبر"),"",IF(Sync!$S399="","",Sync!$S399))</f>
        <v/>
      </c>
      <c r="H402">
        <f>IF(OR($E402="",$E402="نامعتبر"),"",IF(Sync!$R399="","",Sync!$R399))</f>
        <v/>
      </c>
      <c r="I402">
        <f>IF(OR($E402="",$E402="نامعتبر"),"",IF(Sync!$T399="","",Sync!$T399))</f>
        <v/>
      </c>
      <c r="J402">
        <f>IF(OR($E402="",$E402="نامعتبر"),"",IF(Sync!$U399="","",Sync!$U399))</f>
        <v/>
      </c>
      <c r="K402">
        <f>IF(OR($E402="",$E402="نامعتبر"),"",IF(Sync!$V399="","",IFERROR(INDEX(SubCodes,MATCH(Sync!$V399,SubTitles,0)),Sync!$V399)))</f>
        <v/>
      </c>
      <c r="L402">
        <f>IF(OR($E402="",$E402="نامعتبر"),"",IF(Sync!$W399="",0,Sync!$W399))</f>
        <v/>
      </c>
      <c r="M402">
        <f>IF(OR($E402="",$E402="نامعتبر"),"",IF(Sync!$X399="",0,Sync!$X399))</f>
        <v/>
      </c>
      <c r="N402">
        <f>IF(OR($E402="",$E402="نامعتبر"),"",IF(AND($J402="هزینه",$K402&lt;&gt;""),1,0))</f>
        <v/>
      </c>
      <c r="O402">
        <f>IF($N402=0,"",LEFT($E402,4)&amp;MID($E402,6,2)&amp;RIGHT($E402,2)&amp;$F402&amp;"|"&amp;"1"&amp;RIGHT("00000"&amp;394,5))</f>
        <v/>
      </c>
      <c r="P402">
        <f>IF($O402="","",COUNTIFS(ExpSub,$K402,ExpKey,"&lt;"&amp;$O402)+1)</f>
        <v/>
      </c>
      <c r="Q402">
        <f>IF($P402="","",$K402&amp;"|"&amp;RIGHT("000000"&amp;$P402,6))</f>
        <v/>
      </c>
    </row>
    <row r="403">
      <c r="A403">
        <f>IF(Sync!$P400="","",Sync!$P400)</f>
        <v/>
      </c>
      <c r="B403">
        <f>IF($A403="","",IF(ISNUMBER($A403),IF(AND($A403&gt;=10000101,$A403&lt;=99991231),INT($A403/10000),""),IFERROR(VALUE(TRIM(LEFT($A403,FIND("/",$A403)-1))),"")))</f>
        <v/>
      </c>
      <c r="C403">
        <f>IF(OR($A403="",$B403=""),"",IF(ISNUMBER($A403),INT(MOD($A403,10000)/100),IFERROR(VALUE(TRIM(LEFT(MID($A403,FIND("/",$A403)+1,20),FIND("/",MID($A403,FIND("/",$A403)+1,20))-1))),"")))</f>
        <v/>
      </c>
      <c r="D403">
        <f>IF(OR($A403="",$B403=""),"",IF(ISNUMBER($A403),MOD($A403,100),IFERROR(VALUE(TRIM(MID(MID($A403,FIND("/",$A403)+1,20),FIND("/",MID($A403,FIND("/",$A403)+1,20))+1,20))),"")))</f>
        <v/>
      </c>
      <c r="E403">
        <f>IF($A403="","",IF(OR($B403="",$C403="",$D403="",$B403&lt;1300,$B403&gt;1500,$C403&lt;1,$C403&gt;12,$D403&lt;1,$D403&gt;31),"نامعتبر",RIGHT("0000"&amp;$B403,4)&amp;"/"&amp;RIGHT("00"&amp;$C403,2)&amp;"/"&amp;RIGHT("00"&amp;$D403,2)))</f>
        <v/>
      </c>
      <c r="F403">
        <f>IF(OR($E403="",$E403="نامعتبر"),"",IF(Sync!$Q400="","0000",IF(AND(ISNUMBER(Sync!$Q400),Sync!$Q400&gt;=0,Sync!$Q400&lt;1),RIGHT("00"&amp;HOUR(Sync!$Q400),2)&amp;RIGHT("00"&amp;MINUTE(Sync!$Q400),2),IFERROR(RIGHT("00"&amp;VALUE(LEFT(Sync!$Q400,FIND(":",Sync!$Q400)-1)),2)&amp;RIGHT("00"&amp;VALUE(MID(Sync!$Q400,FIND(":",Sync!$Q400)+1,2)),2),"0000"))))</f>
        <v/>
      </c>
      <c r="G403">
        <f>IF(OR($E403="",$E403="نامعتبر"),"",IF(Sync!$S400="","",Sync!$S400))</f>
        <v/>
      </c>
      <c r="H403">
        <f>IF(OR($E403="",$E403="نامعتبر"),"",IF(Sync!$R400="","",Sync!$R400))</f>
        <v/>
      </c>
      <c r="I403">
        <f>IF(OR($E403="",$E403="نامعتبر"),"",IF(Sync!$T400="","",Sync!$T400))</f>
        <v/>
      </c>
      <c r="J403">
        <f>IF(OR($E403="",$E403="نامعتبر"),"",IF(Sync!$U400="","",Sync!$U400))</f>
        <v/>
      </c>
      <c r="K403">
        <f>IF(OR($E403="",$E403="نامعتبر"),"",IF(Sync!$V400="","",IFERROR(INDEX(SubCodes,MATCH(Sync!$V400,SubTitles,0)),Sync!$V400)))</f>
        <v/>
      </c>
      <c r="L403">
        <f>IF(OR($E403="",$E403="نامعتبر"),"",IF(Sync!$W400="",0,Sync!$W400))</f>
        <v/>
      </c>
      <c r="M403">
        <f>IF(OR($E403="",$E403="نامعتبر"),"",IF(Sync!$X400="",0,Sync!$X400))</f>
        <v/>
      </c>
      <c r="N403">
        <f>IF(OR($E403="",$E403="نامعتبر"),"",IF(AND($J403="هزینه",$K403&lt;&gt;""),1,0))</f>
        <v/>
      </c>
      <c r="O403">
        <f>IF($N403=0,"",LEFT($E403,4)&amp;MID($E403,6,2)&amp;RIGHT($E403,2)&amp;$F403&amp;"|"&amp;"1"&amp;RIGHT("00000"&amp;395,5))</f>
        <v/>
      </c>
      <c r="P403">
        <f>IF($O403="","",COUNTIFS(ExpSub,$K403,ExpKey,"&lt;"&amp;$O403)+1)</f>
        <v/>
      </c>
      <c r="Q403">
        <f>IF($P403="","",$K403&amp;"|"&amp;RIGHT("000000"&amp;$P403,6))</f>
        <v/>
      </c>
    </row>
    <row r="404">
      <c r="A404">
        <f>IF(Sync!$P401="","",Sync!$P401)</f>
        <v/>
      </c>
      <c r="B404">
        <f>IF($A404="","",IF(ISNUMBER($A404),IF(AND($A404&gt;=10000101,$A404&lt;=99991231),INT($A404/10000),""),IFERROR(VALUE(TRIM(LEFT($A404,FIND("/",$A404)-1))),"")))</f>
        <v/>
      </c>
      <c r="C404">
        <f>IF(OR($A404="",$B404=""),"",IF(ISNUMBER($A404),INT(MOD($A404,10000)/100),IFERROR(VALUE(TRIM(LEFT(MID($A404,FIND("/",$A404)+1,20),FIND("/",MID($A404,FIND("/",$A404)+1,20))-1))),"")))</f>
        <v/>
      </c>
      <c r="D404">
        <f>IF(OR($A404="",$B404=""),"",IF(ISNUMBER($A404),MOD($A404,100),IFERROR(VALUE(TRIM(MID(MID($A404,FIND("/",$A404)+1,20),FIND("/",MID($A404,FIND("/",$A404)+1,20))+1,20))),"")))</f>
        <v/>
      </c>
      <c r="E404">
        <f>IF($A404="","",IF(OR($B404="",$C404="",$D404="",$B404&lt;1300,$B404&gt;1500,$C404&lt;1,$C404&gt;12,$D404&lt;1,$D404&gt;31),"نامعتبر",RIGHT("0000"&amp;$B404,4)&amp;"/"&amp;RIGHT("00"&amp;$C404,2)&amp;"/"&amp;RIGHT("00"&amp;$D404,2)))</f>
        <v/>
      </c>
      <c r="F404">
        <f>IF(OR($E404="",$E404="نامعتبر"),"",IF(Sync!$Q401="","0000",IF(AND(ISNUMBER(Sync!$Q401),Sync!$Q401&gt;=0,Sync!$Q401&lt;1),RIGHT("00"&amp;HOUR(Sync!$Q401),2)&amp;RIGHT("00"&amp;MINUTE(Sync!$Q401),2),IFERROR(RIGHT("00"&amp;VALUE(LEFT(Sync!$Q401,FIND(":",Sync!$Q401)-1)),2)&amp;RIGHT("00"&amp;VALUE(MID(Sync!$Q401,FIND(":",Sync!$Q401)+1,2)),2),"0000"))))</f>
        <v/>
      </c>
      <c r="G404">
        <f>IF(OR($E404="",$E404="نامعتبر"),"",IF(Sync!$S401="","",Sync!$S401))</f>
        <v/>
      </c>
      <c r="H404">
        <f>IF(OR($E404="",$E404="نامعتبر"),"",IF(Sync!$R401="","",Sync!$R401))</f>
        <v/>
      </c>
      <c r="I404">
        <f>IF(OR($E404="",$E404="نامعتبر"),"",IF(Sync!$T401="","",Sync!$T401))</f>
        <v/>
      </c>
      <c r="J404">
        <f>IF(OR($E404="",$E404="نامعتبر"),"",IF(Sync!$U401="","",Sync!$U401))</f>
        <v/>
      </c>
      <c r="K404">
        <f>IF(OR($E404="",$E404="نامعتبر"),"",IF(Sync!$V401="","",IFERROR(INDEX(SubCodes,MATCH(Sync!$V401,SubTitles,0)),Sync!$V401)))</f>
        <v/>
      </c>
      <c r="L404">
        <f>IF(OR($E404="",$E404="نامعتبر"),"",IF(Sync!$W401="",0,Sync!$W401))</f>
        <v/>
      </c>
      <c r="M404">
        <f>IF(OR($E404="",$E404="نامعتبر"),"",IF(Sync!$X401="",0,Sync!$X401))</f>
        <v/>
      </c>
      <c r="N404">
        <f>IF(OR($E404="",$E404="نامعتبر"),"",IF(AND($J404="هزینه",$K404&lt;&gt;""),1,0))</f>
        <v/>
      </c>
      <c r="O404">
        <f>IF($N404=0,"",LEFT($E404,4)&amp;MID($E404,6,2)&amp;RIGHT($E404,2)&amp;$F404&amp;"|"&amp;"1"&amp;RIGHT("00000"&amp;396,5))</f>
        <v/>
      </c>
      <c r="P404">
        <f>IF($O404="","",COUNTIFS(ExpSub,$K404,ExpKey,"&lt;"&amp;$O404)+1)</f>
        <v/>
      </c>
      <c r="Q404">
        <f>IF($P404="","",$K404&amp;"|"&amp;RIGHT("000000"&amp;$P404,6))</f>
        <v/>
      </c>
    </row>
    <row r="405">
      <c r="A405">
        <f>IF(Sync!$P402="","",Sync!$P402)</f>
        <v/>
      </c>
      <c r="B405">
        <f>IF($A405="","",IF(ISNUMBER($A405),IF(AND($A405&gt;=10000101,$A405&lt;=99991231),INT($A405/10000),""),IFERROR(VALUE(TRIM(LEFT($A405,FIND("/",$A405)-1))),"")))</f>
        <v/>
      </c>
      <c r="C405">
        <f>IF(OR($A405="",$B405=""),"",IF(ISNUMBER($A405),INT(MOD($A405,10000)/100),IFERROR(VALUE(TRIM(LEFT(MID($A405,FIND("/",$A405)+1,20),FIND("/",MID($A405,FIND("/",$A405)+1,20))-1))),"")))</f>
        <v/>
      </c>
      <c r="D405">
        <f>IF(OR($A405="",$B405=""),"",IF(ISNUMBER($A405),MOD($A405,100),IFERROR(VALUE(TRIM(MID(MID($A405,FIND("/",$A405)+1,20),FIND("/",MID($A405,FIND("/",$A405)+1,20))+1,20))),"")))</f>
        <v/>
      </c>
      <c r="E405">
        <f>IF($A405="","",IF(OR($B405="",$C405="",$D405="",$B405&lt;1300,$B405&gt;1500,$C405&lt;1,$C405&gt;12,$D405&lt;1,$D405&gt;31),"نامعتبر",RIGHT("0000"&amp;$B405,4)&amp;"/"&amp;RIGHT("00"&amp;$C405,2)&amp;"/"&amp;RIGHT("00"&amp;$D405,2)))</f>
        <v/>
      </c>
      <c r="F405">
        <f>IF(OR($E405="",$E405="نامعتبر"),"",IF(Sync!$Q402="","0000",IF(AND(ISNUMBER(Sync!$Q402),Sync!$Q402&gt;=0,Sync!$Q402&lt;1),RIGHT("00"&amp;HOUR(Sync!$Q402),2)&amp;RIGHT("00"&amp;MINUTE(Sync!$Q402),2),IFERROR(RIGHT("00"&amp;VALUE(LEFT(Sync!$Q402,FIND(":",Sync!$Q402)-1)),2)&amp;RIGHT("00"&amp;VALUE(MID(Sync!$Q402,FIND(":",Sync!$Q402)+1,2)),2),"0000"))))</f>
        <v/>
      </c>
      <c r="G405">
        <f>IF(OR($E405="",$E405="نامعتبر"),"",IF(Sync!$S402="","",Sync!$S402))</f>
        <v/>
      </c>
      <c r="H405">
        <f>IF(OR($E405="",$E405="نامعتبر"),"",IF(Sync!$R402="","",Sync!$R402))</f>
        <v/>
      </c>
      <c r="I405">
        <f>IF(OR($E405="",$E405="نامعتبر"),"",IF(Sync!$T402="","",Sync!$T402))</f>
        <v/>
      </c>
      <c r="J405">
        <f>IF(OR($E405="",$E405="نامعتبر"),"",IF(Sync!$U402="","",Sync!$U402))</f>
        <v/>
      </c>
      <c r="K405">
        <f>IF(OR($E405="",$E405="نامعتبر"),"",IF(Sync!$V402="","",IFERROR(INDEX(SubCodes,MATCH(Sync!$V402,SubTitles,0)),Sync!$V402)))</f>
        <v/>
      </c>
      <c r="L405">
        <f>IF(OR($E405="",$E405="نامعتبر"),"",IF(Sync!$W402="",0,Sync!$W402))</f>
        <v/>
      </c>
      <c r="M405">
        <f>IF(OR($E405="",$E405="نامعتبر"),"",IF(Sync!$X402="",0,Sync!$X402))</f>
        <v/>
      </c>
      <c r="N405">
        <f>IF(OR($E405="",$E405="نامعتبر"),"",IF(AND($J405="هزینه",$K405&lt;&gt;""),1,0))</f>
        <v/>
      </c>
      <c r="O405">
        <f>IF($N405=0,"",LEFT($E405,4)&amp;MID($E405,6,2)&amp;RIGHT($E405,2)&amp;$F405&amp;"|"&amp;"1"&amp;RIGHT("00000"&amp;397,5))</f>
        <v/>
      </c>
      <c r="P405">
        <f>IF($O405="","",COUNTIFS(ExpSub,$K405,ExpKey,"&lt;"&amp;$O405)+1)</f>
        <v/>
      </c>
      <c r="Q405">
        <f>IF($P405="","",$K405&amp;"|"&amp;RIGHT("000000"&amp;$P405,6))</f>
        <v/>
      </c>
    </row>
    <row r="406">
      <c r="A406">
        <f>IF(Sync!$P403="","",Sync!$P403)</f>
        <v/>
      </c>
      <c r="B406">
        <f>IF($A406="","",IF(ISNUMBER($A406),IF(AND($A406&gt;=10000101,$A406&lt;=99991231),INT($A406/10000),""),IFERROR(VALUE(TRIM(LEFT($A406,FIND("/",$A406)-1))),"")))</f>
        <v/>
      </c>
      <c r="C406">
        <f>IF(OR($A406="",$B406=""),"",IF(ISNUMBER($A406),INT(MOD($A406,10000)/100),IFERROR(VALUE(TRIM(LEFT(MID($A406,FIND("/",$A406)+1,20),FIND("/",MID($A406,FIND("/",$A406)+1,20))-1))),"")))</f>
        <v/>
      </c>
      <c r="D406">
        <f>IF(OR($A406="",$B406=""),"",IF(ISNUMBER($A406),MOD($A406,100),IFERROR(VALUE(TRIM(MID(MID($A406,FIND("/",$A406)+1,20),FIND("/",MID($A406,FIND("/",$A406)+1,20))+1,20))),"")))</f>
        <v/>
      </c>
      <c r="E406">
        <f>IF($A406="","",IF(OR($B406="",$C406="",$D406="",$B406&lt;1300,$B406&gt;1500,$C406&lt;1,$C406&gt;12,$D406&lt;1,$D406&gt;31),"نامعتبر",RIGHT("0000"&amp;$B406,4)&amp;"/"&amp;RIGHT("00"&amp;$C406,2)&amp;"/"&amp;RIGHT("00"&amp;$D406,2)))</f>
        <v/>
      </c>
      <c r="F406">
        <f>IF(OR($E406="",$E406="نامعتبر"),"",IF(Sync!$Q403="","0000",IF(AND(ISNUMBER(Sync!$Q403),Sync!$Q403&gt;=0,Sync!$Q403&lt;1),RIGHT("00"&amp;HOUR(Sync!$Q403),2)&amp;RIGHT("00"&amp;MINUTE(Sync!$Q403),2),IFERROR(RIGHT("00"&amp;VALUE(LEFT(Sync!$Q403,FIND(":",Sync!$Q403)-1)),2)&amp;RIGHT("00"&amp;VALUE(MID(Sync!$Q403,FIND(":",Sync!$Q403)+1,2)),2),"0000"))))</f>
        <v/>
      </c>
      <c r="G406">
        <f>IF(OR($E406="",$E406="نامعتبر"),"",IF(Sync!$S403="","",Sync!$S403))</f>
        <v/>
      </c>
      <c r="H406">
        <f>IF(OR($E406="",$E406="نامعتبر"),"",IF(Sync!$R403="","",Sync!$R403))</f>
        <v/>
      </c>
      <c r="I406">
        <f>IF(OR($E406="",$E406="نامعتبر"),"",IF(Sync!$T403="","",Sync!$T403))</f>
        <v/>
      </c>
      <c r="J406">
        <f>IF(OR($E406="",$E406="نامعتبر"),"",IF(Sync!$U403="","",Sync!$U403))</f>
        <v/>
      </c>
      <c r="K406">
        <f>IF(OR($E406="",$E406="نامعتبر"),"",IF(Sync!$V403="","",IFERROR(INDEX(SubCodes,MATCH(Sync!$V403,SubTitles,0)),Sync!$V403)))</f>
        <v/>
      </c>
      <c r="L406">
        <f>IF(OR($E406="",$E406="نامعتبر"),"",IF(Sync!$W403="",0,Sync!$W403))</f>
        <v/>
      </c>
      <c r="M406">
        <f>IF(OR($E406="",$E406="نامعتبر"),"",IF(Sync!$X403="",0,Sync!$X403))</f>
        <v/>
      </c>
      <c r="N406">
        <f>IF(OR($E406="",$E406="نامعتبر"),"",IF(AND($J406="هزینه",$K406&lt;&gt;""),1,0))</f>
        <v/>
      </c>
      <c r="O406">
        <f>IF($N406=0,"",LEFT($E406,4)&amp;MID($E406,6,2)&amp;RIGHT($E406,2)&amp;$F406&amp;"|"&amp;"1"&amp;RIGHT("00000"&amp;398,5))</f>
        <v/>
      </c>
      <c r="P406">
        <f>IF($O406="","",COUNTIFS(ExpSub,$K406,ExpKey,"&lt;"&amp;$O406)+1)</f>
        <v/>
      </c>
      <c r="Q406">
        <f>IF($P406="","",$K406&amp;"|"&amp;RIGHT("000000"&amp;$P406,6))</f>
        <v/>
      </c>
    </row>
    <row r="407">
      <c r="A407">
        <f>IF(Sync!$P404="","",Sync!$P404)</f>
        <v/>
      </c>
      <c r="B407">
        <f>IF($A407="","",IF(ISNUMBER($A407),IF(AND($A407&gt;=10000101,$A407&lt;=99991231),INT($A407/10000),""),IFERROR(VALUE(TRIM(LEFT($A407,FIND("/",$A407)-1))),"")))</f>
        <v/>
      </c>
      <c r="C407">
        <f>IF(OR($A407="",$B407=""),"",IF(ISNUMBER($A407),INT(MOD($A407,10000)/100),IFERROR(VALUE(TRIM(LEFT(MID($A407,FIND("/",$A407)+1,20),FIND("/",MID($A407,FIND("/",$A407)+1,20))-1))),"")))</f>
        <v/>
      </c>
      <c r="D407">
        <f>IF(OR($A407="",$B407=""),"",IF(ISNUMBER($A407),MOD($A407,100),IFERROR(VALUE(TRIM(MID(MID($A407,FIND("/",$A407)+1,20),FIND("/",MID($A407,FIND("/",$A407)+1,20))+1,20))),"")))</f>
        <v/>
      </c>
      <c r="E407">
        <f>IF($A407="","",IF(OR($B407="",$C407="",$D407="",$B407&lt;1300,$B407&gt;1500,$C407&lt;1,$C407&gt;12,$D407&lt;1,$D407&gt;31),"نامعتبر",RIGHT("0000"&amp;$B407,4)&amp;"/"&amp;RIGHT("00"&amp;$C407,2)&amp;"/"&amp;RIGHT("00"&amp;$D407,2)))</f>
        <v/>
      </c>
      <c r="F407">
        <f>IF(OR($E407="",$E407="نامعتبر"),"",IF(Sync!$Q404="","0000",IF(AND(ISNUMBER(Sync!$Q404),Sync!$Q404&gt;=0,Sync!$Q404&lt;1),RIGHT("00"&amp;HOUR(Sync!$Q404),2)&amp;RIGHT("00"&amp;MINUTE(Sync!$Q404),2),IFERROR(RIGHT("00"&amp;VALUE(LEFT(Sync!$Q404,FIND(":",Sync!$Q404)-1)),2)&amp;RIGHT("00"&amp;VALUE(MID(Sync!$Q404,FIND(":",Sync!$Q404)+1,2)),2),"0000"))))</f>
        <v/>
      </c>
      <c r="G407">
        <f>IF(OR($E407="",$E407="نامعتبر"),"",IF(Sync!$S404="","",Sync!$S404))</f>
        <v/>
      </c>
      <c r="H407">
        <f>IF(OR($E407="",$E407="نامعتبر"),"",IF(Sync!$R404="","",Sync!$R404))</f>
        <v/>
      </c>
      <c r="I407">
        <f>IF(OR($E407="",$E407="نامعتبر"),"",IF(Sync!$T404="","",Sync!$T404))</f>
        <v/>
      </c>
      <c r="J407">
        <f>IF(OR($E407="",$E407="نامعتبر"),"",IF(Sync!$U404="","",Sync!$U404))</f>
        <v/>
      </c>
      <c r="K407">
        <f>IF(OR($E407="",$E407="نامعتبر"),"",IF(Sync!$V404="","",IFERROR(INDEX(SubCodes,MATCH(Sync!$V404,SubTitles,0)),Sync!$V404)))</f>
        <v/>
      </c>
      <c r="L407">
        <f>IF(OR($E407="",$E407="نامعتبر"),"",IF(Sync!$W404="",0,Sync!$W404))</f>
        <v/>
      </c>
      <c r="M407">
        <f>IF(OR($E407="",$E407="نامعتبر"),"",IF(Sync!$X404="",0,Sync!$X404))</f>
        <v/>
      </c>
      <c r="N407">
        <f>IF(OR($E407="",$E407="نامعتبر"),"",IF(AND($J407="هزینه",$K407&lt;&gt;""),1,0))</f>
        <v/>
      </c>
      <c r="O407">
        <f>IF($N407=0,"",LEFT($E407,4)&amp;MID($E407,6,2)&amp;RIGHT($E407,2)&amp;$F407&amp;"|"&amp;"1"&amp;RIGHT("00000"&amp;399,5))</f>
        <v/>
      </c>
      <c r="P407">
        <f>IF($O407="","",COUNTIFS(ExpSub,$K407,ExpKey,"&lt;"&amp;$O407)+1)</f>
        <v/>
      </c>
      <c r="Q407">
        <f>IF($P407="","",$K407&amp;"|"&amp;RIGHT("000000"&amp;$P407,6))</f>
        <v/>
      </c>
    </row>
    <row r="408">
      <c r="A408">
        <f>IF(Sync!$P405="","",Sync!$P405)</f>
        <v/>
      </c>
      <c r="B408">
        <f>IF($A408="","",IF(ISNUMBER($A408),IF(AND($A408&gt;=10000101,$A408&lt;=99991231),INT($A408/10000),""),IFERROR(VALUE(TRIM(LEFT($A408,FIND("/",$A408)-1))),"")))</f>
        <v/>
      </c>
      <c r="C408">
        <f>IF(OR($A408="",$B408=""),"",IF(ISNUMBER($A408),INT(MOD($A408,10000)/100),IFERROR(VALUE(TRIM(LEFT(MID($A408,FIND("/",$A408)+1,20),FIND("/",MID($A408,FIND("/",$A408)+1,20))-1))),"")))</f>
        <v/>
      </c>
      <c r="D408">
        <f>IF(OR($A408="",$B408=""),"",IF(ISNUMBER($A408),MOD($A408,100),IFERROR(VALUE(TRIM(MID(MID($A408,FIND("/",$A408)+1,20),FIND("/",MID($A408,FIND("/",$A408)+1,20))+1,20))),"")))</f>
        <v/>
      </c>
      <c r="E408">
        <f>IF($A408="","",IF(OR($B408="",$C408="",$D408="",$B408&lt;1300,$B408&gt;1500,$C408&lt;1,$C408&gt;12,$D408&lt;1,$D408&gt;31),"نامعتبر",RIGHT("0000"&amp;$B408,4)&amp;"/"&amp;RIGHT("00"&amp;$C408,2)&amp;"/"&amp;RIGHT("00"&amp;$D408,2)))</f>
        <v/>
      </c>
      <c r="F408">
        <f>IF(OR($E408="",$E408="نامعتبر"),"",IF(Sync!$Q405="","0000",IF(AND(ISNUMBER(Sync!$Q405),Sync!$Q405&gt;=0,Sync!$Q405&lt;1),RIGHT("00"&amp;HOUR(Sync!$Q405),2)&amp;RIGHT("00"&amp;MINUTE(Sync!$Q405),2),IFERROR(RIGHT("00"&amp;VALUE(LEFT(Sync!$Q405,FIND(":",Sync!$Q405)-1)),2)&amp;RIGHT("00"&amp;VALUE(MID(Sync!$Q405,FIND(":",Sync!$Q405)+1,2)),2),"0000"))))</f>
        <v/>
      </c>
      <c r="G408">
        <f>IF(OR($E408="",$E408="نامعتبر"),"",IF(Sync!$S405="","",Sync!$S405))</f>
        <v/>
      </c>
      <c r="H408">
        <f>IF(OR($E408="",$E408="نامعتبر"),"",IF(Sync!$R405="","",Sync!$R405))</f>
        <v/>
      </c>
      <c r="I408">
        <f>IF(OR($E408="",$E408="نامعتبر"),"",IF(Sync!$T405="","",Sync!$T405))</f>
        <v/>
      </c>
      <c r="J408">
        <f>IF(OR($E408="",$E408="نامعتبر"),"",IF(Sync!$U405="","",Sync!$U405))</f>
        <v/>
      </c>
      <c r="K408">
        <f>IF(OR($E408="",$E408="نامعتبر"),"",IF(Sync!$V405="","",IFERROR(INDEX(SubCodes,MATCH(Sync!$V405,SubTitles,0)),Sync!$V405)))</f>
        <v/>
      </c>
      <c r="L408">
        <f>IF(OR($E408="",$E408="نامعتبر"),"",IF(Sync!$W405="",0,Sync!$W405))</f>
        <v/>
      </c>
      <c r="M408">
        <f>IF(OR($E408="",$E408="نامعتبر"),"",IF(Sync!$X405="",0,Sync!$X405))</f>
        <v/>
      </c>
      <c r="N408">
        <f>IF(OR($E408="",$E408="نامعتبر"),"",IF(AND($J408="هزینه",$K408&lt;&gt;""),1,0))</f>
        <v/>
      </c>
      <c r="O408">
        <f>IF($N408=0,"",LEFT($E408,4)&amp;MID($E408,6,2)&amp;RIGHT($E408,2)&amp;$F408&amp;"|"&amp;"1"&amp;RIGHT("00000"&amp;400,5))</f>
        <v/>
      </c>
      <c r="P408">
        <f>IF($O408="","",COUNTIFS(ExpSub,$K408,ExpKey,"&lt;"&amp;$O408)+1)</f>
        <v/>
      </c>
      <c r="Q408">
        <f>IF($P408="","",$K408&amp;"|"&amp;RIGHT("000000"&amp;$P408,6))</f>
        <v/>
      </c>
    </row>
    <row r="409">
      <c r="A409">
        <f>IF(Sync!$P406="","",Sync!$P406)</f>
        <v/>
      </c>
      <c r="B409">
        <f>IF($A409="","",IF(ISNUMBER($A409),IF(AND($A409&gt;=10000101,$A409&lt;=99991231),INT($A409/10000),""),IFERROR(VALUE(TRIM(LEFT($A409,FIND("/",$A409)-1))),"")))</f>
        <v/>
      </c>
      <c r="C409">
        <f>IF(OR($A409="",$B409=""),"",IF(ISNUMBER($A409),INT(MOD($A409,10000)/100),IFERROR(VALUE(TRIM(LEFT(MID($A409,FIND("/",$A409)+1,20),FIND("/",MID($A409,FIND("/",$A409)+1,20))-1))),"")))</f>
        <v/>
      </c>
      <c r="D409">
        <f>IF(OR($A409="",$B409=""),"",IF(ISNUMBER($A409),MOD($A409,100),IFERROR(VALUE(TRIM(MID(MID($A409,FIND("/",$A409)+1,20),FIND("/",MID($A409,FIND("/",$A409)+1,20))+1,20))),"")))</f>
        <v/>
      </c>
      <c r="E409">
        <f>IF($A409="","",IF(OR($B409="",$C409="",$D409="",$B409&lt;1300,$B409&gt;1500,$C409&lt;1,$C409&gt;12,$D409&lt;1,$D409&gt;31),"نامعتبر",RIGHT("0000"&amp;$B409,4)&amp;"/"&amp;RIGHT("00"&amp;$C409,2)&amp;"/"&amp;RIGHT("00"&amp;$D409,2)))</f>
        <v/>
      </c>
      <c r="F409">
        <f>IF(OR($E409="",$E409="نامعتبر"),"",IF(Sync!$Q406="","0000",IF(AND(ISNUMBER(Sync!$Q406),Sync!$Q406&gt;=0,Sync!$Q406&lt;1),RIGHT("00"&amp;HOUR(Sync!$Q406),2)&amp;RIGHT("00"&amp;MINUTE(Sync!$Q406),2),IFERROR(RIGHT("00"&amp;VALUE(LEFT(Sync!$Q406,FIND(":",Sync!$Q406)-1)),2)&amp;RIGHT("00"&amp;VALUE(MID(Sync!$Q406,FIND(":",Sync!$Q406)+1,2)),2),"0000"))))</f>
        <v/>
      </c>
      <c r="G409">
        <f>IF(OR($E409="",$E409="نامعتبر"),"",IF(Sync!$S406="","",Sync!$S406))</f>
        <v/>
      </c>
      <c r="H409">
        <f>IF(OR($E409="",$E409="نامعتبر"),"",IF(Sync!$R406="","",Sync!$R406))</f>
        <v/>
      </c>
      <c r="I409">
        <f>IF(OR($E409="",$E409="نامعتبر"),"",IF(Sync!$T406="","",Sync!$T406))</f>
        <v/>
      </c>
      <c r="J409">
        <f>IF(OR($E409="",$E409="نامعتبر"),"",IF(Sync!$U406="","",Sync!$U406))</f>
        <v/>
      </c>
      <c r="K409">
        <f>IF(OR($E409="",$E409="نامعتبر"),"",IF(Sync!$V406="","",IFERROR(INDEX(SubCodes,MATCH(Sync!$V406,SubTitles,0)),Sync!$V406)))</f>
        <v/>
      </c>
      <c r="L409">
        <f>IF(OR($E409="",$E409="نامعتبر"),"",IF(Sync!$W406="",0,Sync!$W406))</f>
        <v/>
      </c>
      <c r="M409">
        <f>IF(OR($E409="",$E409="نامعتبر"),"",IF(Sync!$X406="",0,Sync!$X406))</f>
        <v/>
      </c>
      <c r="N409">
        <f>IF(OR($E409="",$E409="نامعتبر"),"",IF(AND($J409="هزینه",$K409&lt;&gt;""),1,0))</f>
        <v/>
      </c>
      <c r="O409">
        <f>IF($N409=0,"",LEFT($E409,4)&amp;MID($E409,6,2)&amp;RIGHT($E409,2)&amp;$F409&amp;"|"&amp;"1"&amp;RIGHT("00000"&amp;401,5))</f>
        <v/>
      </c>
      <c r="P409">
        <f>IF($O409="","",COUNTIFS(ExpSub,$K409,ExpKey,"&lt;"&amp;$O409)+1)</f>
        <v/>
      </c>
      <c r="Q409">
        <f>IF($P409="","",$K409&amp;"|"&amp;RIGHT("000000"&amp;$P409,6))</f>
        <v/>
      </c>
    </row>
    <row r="410">
      <c r="A410">
        <f>IF(Sync!$P407="","",Sync!$P407)</f>
        <v/>
      </c>
      <c r="B410">
        <f>IF($A410="","",IF(ISNUMBER($A410),IF(AND($A410&gt;=10000101,$A410&lt;=99991231),INT($A410/10000),""),IFERROR(VALUE(TRIM(LEFT($A410,FIND("/",$A410)-1))),"")))</f>
        <v/>
      </c>
      <c r="C410">
        <f>IF(OR($A410="",$B410=""),"",IF(ISNUMBER($A410),INT(MOD($A410,10000)/100),IFERROR(VALUE(TRIM(LEFT(MID($A410,FIND("/",$A410)+1,20),FIND("/",MID($A410,FIND("/",$A410)+1,20))-1))),"")))</f>
        <v/>
      </c>
      <c r="D410">
        <f>IF(OR($A410="",$B410=""),"",IF(ISNUMBER($A410),MOD($A410,100),IFERROR(VALUE(TRIM(MID(MID($A410,FIND("/",$A410)+1,20),FIND("/",MID($A410,FIND("/",$A410)+1,20))+1,20))),"")))</f>
        <v/>
      </c>
      <c r="E410">
        <f>IF($A410="","",IF(OR($B410="",$C410="",$D410="",$B410&lt;1300,$B410&gt;1500,$C410&lt;1,$C410&gt;12,$D410&lt;1,$D410&gt;31),"نامعتبر",RIGHT("0000"&amp;$B410,4)&amp;"/"&amp;RIGHT("00"&amp;$C410,2)&amp;"/"&amp;RIGHT("00"&amp;$D410,2)))</f>
        <v/>
      </c>
      <c r="F410">
        <f>IF(OR($E410="",$E410="نامعتبر"),"",IF(Sync!$Q407="","0000",IF(AND(ISNUMBER(Sync!$Q407),Sync!$Q407&gt;=0,Sync!$Q407&lt;1),RIGHT("00"&amp;HOUR(Sync!$Q407),2)&amp;RIGHT("00"&amp;MINUTE(Sync!$Q407),2),IFERROR(RIGHT("00"&amp;VALUE(LEFT(Sync!$Q407,FIND(":",Sync!$Q407)-1)),2)&amp;RIGHT("00"&amp;VALUE(MID(Sync!$Q407,FIND(":",Sync!$Q407)+1,2)),2),"0000"))))</f>
        <v/>
      </c>
      <c r="G410">
        <f>IF(OR($E410="",$E410="نامعتبر"),"",IF(Sync!$S407="","",Sync!$S407))</f>
        <v/>
      </c>
      <c r="H410">
        <f>IF(OR($E410="",$E410="نامعتبر"),"",IF(Sync!$R407="","",Sync!$R407))</f>
        <v/>
      </c>
      <c r="I410">
        <f>IF(OR($E410="",$E410="نامعتبر"),"",IF(Sync!$T407="","",Sync!$T407))</f>
        <v/>
      </c>
      <c r="J410">
        <f>IF(OR($E410="",$E410="نامعتبر"),"",IF(Sync!$U407="","",Sync!$U407))</f>
        <v/>
      </c>
      <c r="K410">
        <f>IF(OR($E410="",$E410="نامعتبر"),"",IF(Sync!$V407="","",IFERROR(INDEX(SubCodes,MATCH(Sync!$V407,SubTitles,0)),Sync!$V407)))</f>
        <v/>
      </c>
      <c r="L410">
        <f>IF(OR($E410="",$E410="نامعتبر"),"",IF(Sync!$W407="",0,Sync!$W407))</f>
        <v/>
      </c>
      <c r="M410">
        <f>IF(OR($E410="",$E410="نامعتبر"),"",IF(Sync!$X407="",0,Sync!$X407))</f>
        <v/>
      </c>
      <c r="N410">
        <f>IF(OR($E410="",$E410="نامعتبر"),"",IF(AND($J410="هزینه",$K410&lt;&gt;""),1,0))</f>
        <v/>
      </c>
      <c r="O410">
        <f>IF($N410=0,"",LEFT($E410,4)&amp;MID($E410,6,2)&amp;RIGHT($E410,2)&amp;$F410&amp;"|"&amp;"1"&amp;RIGHT("00000"&amp;402,5))</f>
        <v/>
      </c>
      <c r="P410">
        <f>IF($O410="","",COUNTIFS(ExpSub,$K410,ExpKey,"&lt;"&amp;$O410)+1)</f>
        <v/>
      </c>
      <c r="Q410">
        <f>IF($P410="","",$K410&amp;"|"&amp;RIGHT("000000"&amp;$P410,6))</f>
        <v/>
      </c>
    </row>
    <row r="411">
      <c r="A411">
        <f>IF(Sync!$P408="","",Sync!$P408)</f>
        <v/>
      </c>
      <c r="B411">
        <f>IF($A411="","",IF(ISNUMBER($A411),IF(AND($A411&gt;=10000101,$A411&lt;=99991231),INT($A411/10000),""),IFERROR(VALUE(TRIM(LEFT($A411,FIND("/",$A411)-1))),"")))</f>
        <v/>
      </c>
      <c r="C411">
        <f>IF(OR($A411="",$B411=""),"",IF(ISNUMBER($A411),INT(MOD($A411,10000)/100),IFERROR(VALUE(TRIM(LEFT(MID($A411,FIND("/",$A411)+1,20),FIND("/",MID($A411,FIND("/",$A411)+1,20))-1))),"")))</f>
        <v/>
      </c>
      <c r="D411">
        <f>IF(OR($A411="",$B411=""),"",IF(ISNUMBER($A411),MOD($A411,100),IFERROR(VALUE(TRIM(MID(MID($A411,FIND("/",$A411)+1,20),FIND("/",MID($A411,FIND("/",$A411)+1,20))+1,20))),"")))</f>
        <v/>
      </c>
      <c r="E411">
        <f>IF($A411="","",IF(OR($B411="",$C411="",$D411="",$B411&lt;1300,$B411&gt;1500,$C411&lt;1,$C411&gt;12,$D411&lt;1,$D411&gt;31),"نامعتبر",RIGHT("0000"&amp;$B411,4)&amp;"/"&amp;RIGHT("00"&amp;$C411,2)&amp;"/"&amp;RIGHT("00"&amp;$D411,2)))</f>
        <v/>
      </c>
      <c r="F411">
        <f>IF(OR($E411="",$E411="نامعتبر"),"",IF(Sync!$Q408="","0000",IF(AND(ISNUMBER(Sync!$Q408),Sync!$Q408&gt;=0,Sync!$Q408&lt;1),RIGHT("00"&amp;HOUR(Sync!$Q408),2)&amp;RIGHT("00"&amp;MINUTE(Sync!$Q408),2),IFERROR(RIGHT("00"&amp;VALUE(LEFT(Sync!$Q408,FIND(":",Sync!$Q408)-1)),2)&amp;RIGHT("00"&amp;VALUE(MID(Sync!$Q408,FIND(":",Sync!$Q408)+1,2)),2),"0000"))))</f>
        <v/>
      </c>
      <c r="G411">
        <f>IF(OR($E411="",$E411="نامعتبر"),"",IF(Sync!$S408="","",Sync!$S408))</f>
        <v/>
      </c>
      <c r="H411">
        <f>IF(OR($E411="",$E411="نامعتبر"),"",IF(Sync!$R408="","",Sync!$R408))</f>
        <v/>
      </c>
      <c r="I411">
        <f>IF(OR($E411="",$E411="نامعتبر"),"",IF(Sync!$T408="","",Sync!$T408))</f>
        <v/>
      </c>
      <c r="J411">
        <f>IF(OR($E411="",$E411="نامعتبر"),"",IF(Sync!$U408="","",Sync!$U408))</f>
        <v/>
      </c>
      <c r="K411">
        <f>IF(OR($E411="",$E411="نامعتبر"),"",IF(Sync!$V408="","",IFERROR(INDEX(SubCodes,MATCH(Sync!$V408,SubTitles,0)),Sync!$V408)))</f>
        <v/>
      </c>
      <c r="L411">
        <f>IF(OR($E411="",$E411="نامعتبر"),"",IF(Sync!$W408="",0,Sync!$W408))</f>
        <v/>
      </c>
      <c r="M411">
        <f>IF(OR($E411="",$E411="نامعتبر"),"",IF(Sync!$X408="",0,Sync!$X408))</f>
        <v/>
      </c>
      <c r="N411">
        <f>IF(OR($E411="",$E411="نامعتبر"),"",IF(AND($J411="هزینه",$K411&lt;&gt;""),1,0))</f>
        <v/>
      </c>
      <c r="O411">
        <f>IF($N411=0,"",LEFT($E411,4)&amp;MID($E411,6,2)&amp;RIGHT($E411,2)&amp;$F411&amp;"|"&amp;"1"&amp;RIGHT("00000"&amp;403,5))</f>
        <v/>
      </c>
      <c r="P411">
        <f>IF($O411="","",COUNTIFS(ExpSub,$K411,ExpKey,"&lt;"&amp;$O411)+1)</f>
        <v/>
      </c>
      <c r="Q411">
        <f>IF($P411="","",$K411&amp;"|"&amp;RIGHT("000000"&amp;$P411,6))</f>
        <v/>
      </c>
    </row>
    <row r="412">
      <c r="A412">
        <f>IF(Sync!$P409="","",Sync!$P409)</f>
        <v/>
      </c>
      <c r="B412">
        <f>IF($A412="","",IF(ISNUMBER($A412),IF(AND($A412&gt;=10000101,$A412&lt;=99991231),INT($A412/10000),""),IFERROR(VALUE(TRIM(LEFT($A412,FIND("/",$A412)-1))),"")))</f>
        <v/>
      </c>
      <c r="C412">
        <f>IF(OR($A412="",$B412=""),"",IF(ISNUMBER($A412),INT(MOD($A412,10000)/100),IFERROR(VALUE(TRIM(LEFT(MID($A412,FIND("/",$A412)+1,20),FIND("/",MID($A412,FIND("/",$A412)+1,20))-1))),"")))</f>
        <v/>
      </c>
      <c r="D412">
        <f>IF(OR($A412="",$B412=""),"",IF(ISNUMBER($A412),MOD($A412,100),IFERROR(VALUE(TRIM(MID(MID($A412,FIND("/",$A412)+1,20),FIND("/",MID($A412,FIND("/",$A412)+1,20))+1,20))),"")))</f>
        <v/>
      </c>
      <c r="E412">
        <f>IF($A412="","",IF(OR($B412="",$C412="",$D412="",$B412&lt;1300,$B412&gt;1500,$C412&lt;1,$C412&gt;12,$D412&lt;1,$D412&gt;31),"نامعتبر",RIGHT("0000"&amp;$B412,4)&amp;"/"&amp;RIGHT("00"&amp;$C412,2)&amp;"/"&amp;RIGHT("00"&amp;$D412,2)))</f>
        <v/>
      </c>
      <c r="F412">
        <f>IF(OR($E412="",$E412="نامعتبر"),"",IF(Sync!$Q409="","0000",IF(AND(ISNUMBER(Sync!$Q409),Sync!$Q409&gt;=0,Sync!$Q409&lt;1),RIGHT("00"&amp;HOUR(Sync!$Q409),2)&amp;RIGHT("00"&amp;MINUTE(Sync!$Q409),2),IFERROR(RIGHT("00"&amp;VALUE(LEFT(Sync!$Q409,FIND(":",Sync!$Q409)-1)),2)&amp;RIGHT("00"&amp;VALUE(MID(Sync!$Q409,FIND(":",Sync!$Q409)+1,2)),2),"0000"))))</f>
        <v/>
      </c>
      <c r="G412">
        <f>IF(OR($E412="",$E412="نامعتبر"),"",IF(Sync!$S409="","",Sync!$S409))</f>
        <v/>
      </c>
      <c r="H412">
        <f>IF(OR($E412="",$E412="نامعتبر"),"",IF(Sync!$R409="","",Sync!$R409))</f>
        <v/>
      </c>
      <c r="I412">
        <f>IF(OR($E412="",$E412="نامعتبر"),"",IF(Sync!$T409="","",Sync!$T409))</f>
        <v/>
      </c>
      <c r="J412">
        <f>IF(OR($E412="",$E412="نامعتبر"),"",IF(Sync!$U409="","",Sync!$U409))</f>
        <v/>
      </c>
      <c r="K412">
        <f>IF(OR($E412="",$E412="نامعتبر"),"",IF(Sync!$V409="","",IFERROR(INDEX(SubCodes,MATCH(Sync!$V409,SubTitles,0)),Sync!$V409)))</f>
        <v/>
      </c>
      <c r="L412">
        <f>IF(OR($E412="",$E412="نامعتبر"),"",IF(Sync!$W409="",0,Sync!$W409))</f>
        <v/>
      </c>
      <c r="M412">
        <f>IF(OR($E412="",$E412="نامعتبر"),"",IF(Sync!$X409="",0,Sync!$X409))</f>
        <v/>
      </c>
      <c r="N412">
        <f>IF(OR($E412="",$E412="نامعتبر"),"",IF(AND($J412="هزینه",$K412&lt;&gt;""),1,0))</f>
        <v/>
      </c>
      <c r="O412">
        <f>IF($N412=0,"",LEFT($E412,4)&amp;MID($E412,6,2)&amp;RIGHT($E412,2)&amp;$F412&amp;"|"&amp;"1"&amp;RIGHT("00000"&amp;404,5))</f>
        <v/>
      </c>
      <c r="P412">
        <f>IF($O412="","",COUNTIFS(ExpSub,$K412,ExpKey,"&lt;"&amp;$O412)+1)</f>
        <v/>
      </c>
      <c r="Q412">
        <f>IF($P412="","",$K412&amp;"|"&amp;RIGHT("000000"&amp;$P412,6))</f>
        <v/>
      </c>
    </row>
    <row r="413">
      <c r="A413">
        <f>IF(Sync!$P410="","",Sync!$P410)</f>
        <v/>
      </c>
      <c r="B413">
        <f>IF($A413="","",IF(ISNUMBER($A413),IF(AND($A413&gt;=10000101,$A413&lt;=99991231),INT($A413/10000),""),IFERROR(VALUE(TRIM(LEFT($A413,FIND("/",$A413)-1))),"")))</f>
        <v/>
      </c>
      <c r="C413">
        <f>IF(OR($A413="",$B413=""),"",IF(ISNUMBER($A413),INT(MOD($A413,10000)/100),IFERROR(VALUE(TRIM(LEFT(MID($A413,FIND("/",$A413)+1,20),FIND("/",MID($A413,FIND("/",$A413)+1,20))-1))),"")))</f>
        <v/>
      </c>
      <c r="D413">
        <f>IF(OR($A413="",$B413=""),"",IF(ISNUMBER($A413),MOD($A413,100),IFERROR(VALUE(TRIM(MID(MID($A413,FIND("/",$A413)+1,20),FIND("/",MID($A413,FIND("/",$A413)+1,20))+1,20))),"")))</f>
        <v/>
      </c>
      <c r="E413">
        <f>IF($A413="","",IF(OR($B413="",$C413="",$D413="",$B413&lt;1300,$B413&gt;1500,$C413&lt;1,$C413&gt;12,$D413&lt;1,$D413&gt;31),"نامعتبر",RIGHT("0000"&amp;$B413,4)&amp;"/"&amp;RIGHT("00"&amp;$C413,2)&amp;"/"&amp;RIGHT("00"&amp;$D413,2)))</f>
        <v/>
      </c>
      <c r="F413">
        <f>IF(OR($E413="",$E413="نامعتبر"),"",IF(Sync!$Q410="","0000",IF(AND(ISNUMBER(Sync!$Q410),Sync!$Q410&gt;=0,Sync!$Q410&lt;1),RIGHT("00"&amp;HOUR(Sync!$Q410),2)&amp;RIGHT("00"&amp;MINUTE(Sync!$Q410),2),IFERROR(RIGHT("00"&amp;VALUE(LEFT(Sync!$Q410,FIND(":",Sync!$Q410)-1)),2)&amp;RIGHT("00"&amp;VALUE(MID(Sync!$Q410,FIND(":",Sync!$Q410)+1,2)),2),"0000"))))</f>
        <v/>
      </c>
      <c r="G413">
        <f>IF(OR($E413="",$E413="نامعتبر"),"",IF(Sync!$S410="","",Sync!$S410))</f>
        <v/>
      </c>
      <c r="H413">
        <f>IF(OR($E413="",$E413="نامعتبر"),"",IF(Sync!$R410="","",Sync!$R410))</f>
        <v/>
      </c>
      <c r="I413">
        <f>IF(OR($E413="",$E413="نامعتبر"),"",IF(Sync!$T410="","",Sync!$T410))</f>
        <v/>
      </c>
      <c r="J413">
        <f>IF(OR($E413="",$E413="نامعتبر"),"",IF(Sync!$U410="","",Sync!$U410))</f>
        <v/>
      </c>
      <c r="K413">
        <f>IF(OR($E413="",$E413="نامعتبر"),"",IF(Sync!$V410="","",IFERROR(INDEX(SubCodes,MATCH(Sync!$V410,SubTitles,0)),Sync!$V410)))</f>
        <v/>
      </c>
      <c r="L413">
        <f>IF(OR($E413="",$E413="نامعتبر"),"",IF(Sync!$W410="",0,Sync!$W410))</f>
        <v/>
      </c>
      <c r="M413">
        <f>IF(OR($E413="",$E413="نامعتبر"),"",IF(Sync!$X410="",0,Sync!$X410))</f>
        <v/>
      </c>
      <c r="N413">
        <f>IF(OR($E413="",$E413="نامعتبر"),"",IF(AND($J413="هزینه",$K413&lt;&gt;""),1,0))</f>
        <v/>
      </c>
      <c r="O413">
        <f>IF($N413=0,"",LEFT($E413,4)&amp;MID($E413,6,2)&amp;RIGHT($E413,2)&amp;$F413&amp;"|"&amp;"1"&amp;RIGHT("00000"&amp;405,5))</f>
        <v/>
      </c>
      <c r="P413">
        <f>IF($O413="","",COUNTIFS(ExpSub,$K413,ExpKey,"&lt;"&amp;$O413)+1)</f>
        <v/>
      </c>
      <c r="Q413">
        <f>IF($P413="","",$K413&amp;"|"&amp;RIGHT("000000"&amp;$P413,6))</f>
        <v/>
      </c>
    </row>
    <row r="414">
      <c r="A414">
        <f>IF(Sync!$P411="","",Sync!$P411)</f>
        <v/>
      </c>
      <c r="B414">
        <f>IF($A414="","",IF(ISNUMBER($A414),IF(AND($A414&gt;=10000101,$A414&lt;=99991231),INT($A414/10000),""),IFERROR(VALUE(TRIM(LEFT($A414,FIND("/",$A414)-1))),"")))</f>
        <v/>
      </c>
      <c r="C414">
        <f>IF(OR($A414="",$B414=""),"",IF(ISNUMBER($A414),INT(MOD($A414,10000)/100),IFERROR(VALUE(TRIM(LEFT(MID($A414,FIND("/",$A414)+1,20),FIND("/",MID($A414,FIND("/",$A414)+1,20))-1))),"")))</f>
        <v/>
      </c>
      <c r="D414">
        <f>IF(OR($A414="",$B414=""),"",IF(ISNUMBER($A414),MOD($A414,100),IFERROR(VALUE(TRIM(MID(MID($A414,FIND("/",$A414)+1,20),FIND("/",MID($A414,FIND("/",$A414)+1,20))+1,20))),"")))</f>
        <v/>
      </c>
      <c r="E414">
        <f>IF($A414="","",IF(OR($B414="",$C414="",$D414="",$B414&lt;1300,$B414&gt;1500,$C414&lt;1,$C414&gt;12,$D414&lt;1,$D414&gt;31),"نامعتبر",RIGHT("0000"&amp;$B414,4)&amp;"/"&amp;RIGHT("00"&amp;$C414,2)&amp;"/"&amp;RIGHT("00"&amp;$D414,2)))</f>
        <v/>
      </c>
      <c r="F414">
        <f>IF(OR($E414="",$E414="نامعتبر"),"",IF(Sync!$Q411="","0000",IF(AND(ISNUMBER(Sync!$Q411),Sync!$Q411&gt;=0,Sync!$Q411&lt;1),RIGHT("00"&amp;HOUR(Sync!$Q411),2)&amp;RIGHT("00"&amp;MINUTE(Sync!$Q411),2),IFERROR(RIGHT("00"&amp;VALUE(LEFT(Sync!$Q411,FIND(":",Sync!$Q411)-1)),2)&amp;RIGHT("00"&amp;VALUE(MID(Sync!$Q411,FIND(":",Sync!$Q411)+1,2)),2),"0000"))))</f>
        <v/>
      </c>
      <c r="G414">
        <f>IF(OR($E414="",$E414="نامعتبر"),"",IF(Sync!$S411="","",Sync!$S411))</f>
        <v/>
      </c>
      <c r="H414">
        <f>IF(OR($E414="",$E414="نامعتبر"),"",IF(Sync!$R411="","",Sync!$R411))</f>
        <v/>
      </c>
      <c r="I414">
        <f>IF(OR($E414="",$E414="نامعتبر"),"",IF(Sync!$T411="","",Sync!$T411))</f>
        <v/>
      </c>
      <c r="J414">
        <f>IF(OR($E414="",$E414="نامعتبر"),"",IF(Sync!$U411="","",Sync!$U411))</f>
        <v/>
      </c>
      <c r="K414">
        <f>IF(OR($E414="",$E414="نامعتبر"),"",IF(Sync!$V411="","",IFERROR(INDEX(SubCodes,MATCH(Sync!$V411,SubTitles,0)),Sync!$V411)))</f>
        <v/>
      </c>
      <c r="L414">
        <f>IF(OR($E414="",$E414="نامعتبر"),"",IF(Sync!$W411="",0,Sync!$W411))</f>
        <v/>
      </c>
      <c r="M414">
        <f>IF(OR($E414="",$E414="نامعتبر"),"",IF(Sync!$X411="",0,Sync!$X411))</f>
        <v/>
      </c>
      <c r="N414">
        <f>IF(OR($E414="",$E414="نامعتبر"),"",IF(AND($J414="هزینه",$K414&lt;&gt;""),1,0))</f>
        <v/>
      </c>
      <c r="O414">
        <f>IF($N414=0,"",LEFT($E414,4)&amp;MID($E414,6,2)&amp;RIGHT($E414,2)&amp;$F414&amp;"|"&amp;"1"&amp;RIGHT("00000"&amp;406,5))</f>
        <v/>
      </c>
      <c r="P414">
        <f>IF($O414="","",COUNTIFS(ExpSub,$K414,ExpKey,"&lt;"&amp;$O414)+1)</f>
        <v/>
      </c>
      <c r="Q414">
        <f>IF($P414="","",$K414&amp;"|"&amp;RIGHT("000000"&amp;$P414,6))</f>
        <v/>
      </c>
    </row>
    <row r="415">
      <c r="A415">
        <f>IF(Sync!$P412="","",Sync!$P412)</f>
        <v/>
      </c>
      <c r="B415">
        <f>IF($A415="","",IF(ISNUMBER($A415),IF(AND($A415&gt;=10000101,$A415&lt;=99991231),INT($A415/10000),""),IFERROR(VALUE(TRIM(LEFT($A415,FIND("/",$A415)-1))),"")))</f>
        <v/>
      </c>
      <c r="C415">
        <f>IF(OR($A415="",$B415=""),"",IF(ISNUMBER($A415),INT(MOD($A415,10000)/100),IFERROR(VALUE(TRIM(LEFT(MID($A415,FIND("/",$A415)+1,20),FIND("/",MID($A415,FIND("/",$A415)+1,20))-1))),"")))</f>
        <v/>
      </c>
      <c r="D415">
        <f>IF(OR($A415="",$B415=""),"",IF(ISNUMBER($A415),MOD($A415,100),IFERROR(VALUE(TRIM(MID(MID($A415,FIND("/",$A415)+1,20),FIND("/",MID($A415,FIND("/",$A415)+1,20))+1,20))),"")))</f>
        <v/>
      </c>
      <c r="E415">
        <f>IF($A415="","",IF(OR($B415="",$C415="",$D415="",$B415&lt;1300,$B415&gt;1500,$C415&lt;1,$C415&gt;12,$D415&lt;1,$D415&gt;31),"نامعتبر",RIGHT("0000"&amp;$B415,4)&amp;"/"&amp;RIGHT("00"&amp;$C415,2)&amp;"/"&amp;RIGHT("00"&amp;$D415,2)))</f>
        <v/>
      </c>
      <c r="F415">
        <f>IF(OR($E415="",$E415="نامعتبر"),"",IF(Sync!$Q412="","0000",IF(AND(ISNUMBER(Sync!$Q412),Sync!$Q412&gt;=0,Sync!$Q412&lt;1),RIGHT("00"&amp;HOUR(Sync!$Q412),2)&amp;RIGHT("00"&amp;MINUTE(Sync!$Q412),2),IFERROR(RIGHT("00"&amp;VALUE(LEFT(Sync!$Q412,FIND(":",Sync!$Q412)-1)),2)&amp;RIGHT("00"&amp;VALUE(MID(Sync!$Q412,FIND(":",Sync!$Q412)+1,2)),2),"0000"))))</f>
        <v/>
      </c>
      <c r="G415">
        <f>IF(OR($E415="",$E415="نامعتبر"),"",IF(Sync!$S412="","",Sync!$S412))</f>
        <v/>
      </c>
      <c r="H415">
        <f>IF(OR($E415="",$E415="نامعتبر"),"",IF(Sync!$R412="","",Sync!$R412))</f>
        <v/>
      </c>
      <c r="I415">
        <f>IF(OR($E415="",$E415="نامعتبر"),"",IF(Sync!$T412="","",Sync!$T412))</f>
        <v/>
      </c>
      <c r="J415">
        <f>IF(OR($E415="",$E415="نامعتبر"),"",IF(Sync!$U412="","",Sync!$U412))</f>
        <v/>
      </c>
      <c r="K415">
        <f>IF(OR($E415="",$E415="نامعتبر"),"",IF(Sync!$V412="","",IFERROR(INDEX(SubCodes,MATCH(Sync!$V412,SubTitles,0)),Sync!$V412)))</f>
        <v/>
      </c>
      <c r="L415">
        <f>IF(OR($E415="",$E415="نامعتبر"),"",IF(Sync!$W412="",0,Sync!$W412))</f>
        <v/>
      </c>
      <c r="M415">
        <f>IF(OR($E415="",$E415="نامعتبر"),"",IF(Sync!$X412="",0,Sync!$X412))</f>
        <v/>
      </c>
      <c r="N415">
        <f>IF(OR($E415="",$E415="نامعتبر"),"",IF(AND($J415="هزینه",$K415&lt;&gt;""),1,0))</f>
        <v/>
      </c>
      <c r="O415">
        <f>IF($N415=0,"",LEFT($E415,4)&amp;MID($E415,6,2)&amp;RIGHT($E415,2)&amp;$F415&amp;"|"&amp;"1"&amp;RIGHT("00000"&amp;407,5))</f>
        <v/>
      </c>
      <c r="P415">
        <f>IF($O415="","",COUNTIFS(ExpSub,$K415,ExpKey,"&lt;"&amp;$O415)+1)</f>
        <v/>
      </c>
      <c r="Q415">
        <f>IF($P415="","",$K415&amp;"|"&amp;RIGHT("000000"&amp;$P415,6))</f>
        <v/>
      </c>
    </row>
    <row r="416">
      <c r="A416">
        <f>IF(Sync!$P413="","",Sync!$P413)</f>
        <v/>
      </c>
      <c r="B416">
        <f>IF($A416="","",IF(ISNUMBER($A416),IF(AND($A416&gt;=10000101,$A416&lt;=99991231),INT($A416/10000),""),IFERROR(VALUE(TRIM(LEFT($A416,FIND("/",$A416)-1))),"")))</f>
        <v/>
      </c>
      <c r="C416">
        <f>IF(OR($A416="",$B416=""),"",IF(ISNUMBER($A416),INT(MOD($A416,10000)/100),IFERROR(VALUE(TRIM(LEFT(MID($A416,FIND("/",$A416)+1,20),FIND("/",MID($A416,FIND("/",$A416)+1,20))-1))),"")))</f>
        <v/>
      </c>
      <c r="D416">
        <f>IF(OR($A416="",$B416=""),"",IF(ISNUMBER($A416),MOD($A416,100),IFERROR(VALUE(TRIM(MID(MID($A416,FIND("/",$A416)+1,20),FIND("/",MID($A416,FIND("/",$A416)+1,20))+1,20))),"")))</f>
        <v/>
      </c>
      <c r="E416">
        <f>IF($A416="","",IF(OR($B416="",$C416="",$D416="",$B416&lt;1300,$B416&gt;1500,$C416&lt;1,$C416&gt;12,$D416&lt;1,$D416&gt;31),"نامعتبر",RIGHT("0000"&amp;$B416,4)&amp;"/"&amp;RIGHT("00"&amp;$C416,2)&amp;"/"&amp;RIGHT("00"&amp;$D416,2)))</f>
        <v/>
      </c>
      <c r="F416">
        <f>IF(OR($E416="",$E416="نامعتبر"),"",IF(Sync!$Q413="","0000",IF(AND(ISNUMBER(Sync!$Q413),Sync!$Q413&gt;=0,Sync!$Q413&lt;1),RIGHT("00"&amp;HOUR(Sync!$Q413),2)&amp;RIGHT("00"&amp;MINUTE(Sync!$Q413),2),IFERROR(RIGHT("00"&amp;VALUE(LEFT(Sync!$Q413,FIND(":",Sync!$Q413)-1)),2)&amp;RIGHT("00"&amp;VALUE(MID(Sync!$Q413,FIND(":",Sync!$Q413)+1,2)),2),"0000"))))</f>
        <v/>
      </c>
      <c r="G416">
        <f>IF(OR($E416="",$E416="نامعتبر"),"",IF(Sync!$S413="","",Sync!$S413))</f>
        <v/>
      </c>
      <c r="H416">
        <f>IF(OR($E416="",$E416="نامعتبر"),"",IF(Sync!$R413="","",Sync!$R413))</f>
        <v/>
      </c>
      <c r="I416">
        <f>IF(OR($E416="",$E416="نامعتبر"),"",IF(Sync!$T413="","",Sync!$T413))</f>
        <v/>
      </c>
      <c r="J416">
        <f>IF(OR($E416="",$E416="نامعتبر"),"",IF(Sync!$U413="","",Sync!$U413))</f>
        <v/>
      </c>
      <c r="K416">
        <f>IF(OR($E416="",$E416="نامعتبر"),"",IF(Sync!$V413="","",IFERROR(INDEX(SubCodes,MATCH(Sync!$V413,SubTitles,0)),Sync!$V413)))</f>
        <v/>
      </c>
      <c r="L416">
        <f>IF(OR($E416="",$E416="نامعتبر"),"",IF(Sync!$W413="",0,Sync!$W413))</f>
        <v/>
      </c>
      <c r="M416">
        <f>IF(OR($E416="",$E416="نامعتبر"),"",IF(Sync!$X413="",0,Sync!$X413))</f>
        <v/>
      </c>
      <c r="N416">
        <f>IF(OR($E416="",$E416="نامعتبر"),"",IF(AND($J416="هزینه",$K416&lt;&gt;""),1,0))</f>
        <v/>
      </c>
      <c r="O416">
        <f>IF($N416=0,"",LEFT($E416,4)&amp;MID($E416,6,2)&amp;RIGHT($E416,2)&amp;$F416&amp;"|"&amp;"1"&amp;RIGHT("00000"&amp;408,5))</f>
        <v/>
      </c>
      <c r="P416">
        <f>IF($O416="","",COUNTIFS(ExpSub,$K416,ExpKey,"&lt;"&amp;$O416)+1)</f>
        <v/>
      </c>
      <c r="Q416">
        <f>IF($P416="","",$K416&amp;"|"&amp;RIGHT("000000"&amp;$P416,6))</f>
        <v/>
      </c>
    </row>
    <row r="417">
      <c r="A417">
        <f>IF(Sync!$P414="","",Sync!$P414)</f>
        <v/>
      </c>
      <c r="B417">
        <f>IF($A417="","",IF(ISNUMBER($A417),IF(AND($A417&gt;=10000101,$A417&lt;=99991231),INT($A417/10000),""),IFERROR(VALUE(TRIM(LEFT($A417,FIND("/",$A417)-1))),"")))</f>
        <v/>
      </c>
      <c r="C417">
        <f>IF(OR($A417="",$B417=""),"",IF(ISNUMBER($A417),INT(MOD($A417,10000)/100),IFERROR(VALUE(TRIM(LEFT(MID($A417,FIND("/",$A417)+1,20),FIND("/",MID($A417,FIND("/",$A417)+1,20))-1))),"")))</f>
        <v/>
      </c>
      <c r="D417">
        <f>IF(OR($A417="",$B417=""),"",IF(ISNUMBER($A417),MOD($A417,100),IFERROR(VALUE(TRIM(MID(MID($A417,FIND("/",$A417)+1,20),FIND("/",MID($A417,FIND("/",$A417)+1,20))+1,20))),"")))</f>
        <v/>
      </c>
      <c r="E417">
        <f>IF($A417="","",IF(OR($B417="",$C417="",$D417="",$B417&lt;1300,$B417&gt;1500,$C417&lt;1,$C417&gt;12,$D417&lt;1,$D417&gt;31),"نامعتبر",RIGHT("0000"&amp;$B417,4)&amp;"/"&amp;RIGHT("00"&amp;$C417,2)&amp;"/"&amp;RIGHT("00"&amp;$D417,2)))</f>
        <v/>
      </c>
      <c r="F417">
        <f>IF(OR($E417="",$E417="نامعتبر"),"",IF(Sync!$Q414="","0000",IF(AND(ISNUMBER(Sync!$Q414),Sync!$Q414&gt;=0,Sync!$Q414&lt;1),RIGHT("00"&amp;HOUR(Sync!$Q414),2)&amp;RIGHT("00"&amp;MINUTE(Sync!$Q414),2),IFERROR(RIGHT("00"&amp;VALUE(LEFT(Sync!$Q414,FIND(":",Sync!$Q414)-1)),2)&amp;RIGHT("00"&amp;VALUE(MID(Sync!$Q414,FIND(":",Sync!$Q414)+1,2)),2),"0000"))))</f>
        <v/>
      </c>
      <c r="G417">
        <f>IF(OR($E417="",$E417="نامعتبر"),"",IF(Sync!$S414="","",Sync!$S414))</f>
        <v/>
      </c>
      <c r="H417">
        <f>IF(OR($E417="",$E417="نامعتبر"),"",IF(Sync!$R414="","",Sync!$R414))</f>
        <v/>
      </c>
      <c r="I417">
        <f>IF(OR($E417="",$E417="نامعتبر"),"",IF(Sync!$T414="","",Sync!$T414))</f>
        <v/>
      </c>
      <c r="J417">
        <f>IF(OR($E417="",$E417="نامعتبر"),"",IF(Sync!$U414="","",Sync!$U414))</f>
        <v/>
      </c>
      <c r="K417">
        <f>IF(OR($E417="",$E417="نامعتبر"),"",IF(Sync!$V414="","",IFERROR(INDEX(SubCodes,MATCH(Sync!$V414,SubTitles,0)),Sync!$V414)))</f>
        <v/>
      </c>
      <c r="L417">
        <f>IF(OR($E417="",$E417="نامعتبر"),"",IF(Sync!$W414="",0,Sync!$W414))</f>
        <v/>
      </c>
      <c r="M417">
        <f>IF(OR($E417="",$E417="نامعتبر"),"",IF(Sync!$X414="",0,Sync!$X414))</f>
        <v/>
      </c>
      <c r="N417">
        <f>IF(OR($E417="",$E417="نامعتبر"),"",IF(AND($J417="هزینه",$K417&lt;&gt;""),1,0))</f>
        <v/>
      </c>
      <c r="O417">
        <f>IF($N417=0,"",LEFT($E417,4)&amp;MID($E417,6,2)&amp;RIGHT($E417,2)&amp;$F417&amp;"|"&amp;"1"&amp;RIGHT("00000"&amp;409,5))</f>
        <v/>
      </c>
      <c r="P417">
        <f>IF($O417="","",COUNTIFS(ExpSub,$K417,ExpKey,"&lt;"&amp;$O417)+1)</f>
        <v/>
      </c>
      <c r="Q417">
        <f>IF($P417="","",$K417&amp;"|"&amp;RIGHT("000000"&amp;$P417,6))</f>
        <v/>
      </c>
    </row>
    <row r="418">
      <c r="A418">
        <f>IF(Sync!$P415="","",Sync!$P415)</f>
        <v/>
      </c>
      <c r="B418">
        <f>IF($A418="","",IF(ISNUMBER($A418),IF(AND($A418&gt;=10000101,$A418&lt;=99991231),INT($A418/10000),""),IFERROR(VALUE(TRIM(LEFT($A418,FIND("/",$A418)-1))),"")))</f>
        <v/>
      </c>
      <c r="C418">
        <f>IF(OR($A418="",$B418=""),"",IF(ISNUMBER($A418),INT(MOD($A418,10000)/100),IFERROR(VALUE(TRIM(LEFT(MID($A418,FIND("/",$A418)+1,20),FIND("/",MID($A418,FIND("/",$A418)+1,20))-1))),"")))</f>
        <v/>
      </c>
      <c r="D418">
        <f>IF(OR($A418="",$B418=""),"",IF(ISNUMBER($A418),MOD($A418,100),IFERROR(VALUE(TRIM(MID(MID($A418,FIND("/",$A418)+1,20),FIND("/",MID($A418,FIND("/",$A418)+1,20))+1,20))),"")))</f>
        <v/>
      </c>
      <c r="E418">
        <f>IF($A418="","",IF(OR($B418="",$C418="",$D418="",$B418&lt;1300,$B418&gt;1500,$C418&lt;1,$C418&gt;12,$D418&lt;1,$D418&gt;31),"نامعتبر",RIGHT("0000"&amp;$B418,4)&amp;"/"&amp;RIGHT("00"&amp;$C418,2)&amp;"/"&amp;RIGHT("00"&amp;$D418,2)))</f>
        <v/>
      </c>
      <c r="F418">
        <f>IF(OR($E418="",$E418="نامعتبر"),"",IF(Sync!$Q415="","0000",IF(AND(ISNUMBER(Sync!$Q415),Sync!$Q415&gt;=0,Sync!$Q415&lt;1),RIGHT("00"&amp;HOUR(Sync!$Q415),2)&amp;RIGHT("00"&amp;MINUTE(Sync!$Q415),2),IFERROR(RIGHT("00"&amp;VALUE(LEFT(Sync!$Q415,FIND(":",Sync!$Q415)-1)),2)&amp;RIGHT("00"&amp;VALUE(MID(Sync!$Q415,FIND(":",Sync!$Q415)+1,2)),2),"0000"))))</f>
        <v/>
      </c>
      <c r="G418">
        <f>IF(OR($E418="",$E418="نامعتبر"),"",IF(Sync!$S415="","",Sync!$S415))</f>
        <v/>
      </c>
      <c r="H418">
        <f>IF(OR($E418="",$E418="نامعتبر"),"",IF(Sync!$R415="","",Sync!$R415))</f>
        <v/>
      </c>
      <c r="I418">
        <f>IF(OR($E418="",$E418="نامعتبر"),"",IF(Sync!$T415="","",Sync!$T415))</f>
        <v/>
      </c>
      <c r="J418">
        <f>IF(OR($E418="",$E418="نامعتبر"),"",IF(Sync!$U415="","",Sync!$U415))</f>
        <v/>
      </c>
      <c r="K418">
        <f>IF(OR($E418="",$E418="نامعتبر"),"",IF(Sync!$V415="","",IFERROR(INDEX(SubCodes,MATCH(Sync!$V415,SubTitles,0)),Sync!$V415)))</f>
        <v/>
      </c>
      <c r="L418">
        <f>IF(OR($E418="",$E418="نامعتبر"),"",IF(Sync!$W415="",0,Sync!$W415))</f>
        <v/>
      </c>
      <c r="M418">
        <f>IF(OR($E418="",$E418="نامعتبر"),"",IF(Sync!$X415="",0,Sync!$X415))</f>
        <v/>
      </c>
      <c r="N418">
        <f>IF(OR($E418="",$E418="نامعتبر"),"",IF(AND($J418="هزینه",$K418&lt;&gt;""),1,0))</f>
        <v/>
      </c>
      <c r="O418">
        <f>IF($N418=0,"",LEFT($E418,4)&amp;MID($E418,6,2)&amp;RIGHT($E418,2)&amp;$F418&amp;"|"&amp;"1"&amp;RIGHT("00000"&amp;410,5))</f>
        <v/>
      </c>
      <c r="P418">
        <f>IF($O418="","",COUNTIFS(ExpSub,$K418,ExpKey,"&lt;"&amp;$O418)+1)</f>
        <v/>
      </c>
      <c r="Q418">
        <f>IF($P418="","",$K418&amp;"|"&amp;RIGHT("000000"&amp;$P418,6))</f>
        <v/>
      </c>
    </row>
    <row r="419">
      <c r="A419">
        <f>IF(Sync!$P416="","",Sync!$P416)</f>
        <v/>
      </c>
      <c r="B419">
        <f>IF($A419="","",IF(ISNUMBER($A419),IF(AND($A419&gt;=10000101,$A419&lt;=99991231),INT($A419/10000),""),IFERROR(VALUE(TRIM(LEFT($A419,FIND("/",$A419)-1))),"")))</f>
        <v/>
      </c>
      <c r="C419">
        <f>IF(OR($A419="",$B419=""),"",IF(ISNUMBER($A419),INT(MOD($A419,10000)/100),IFERROR(VALUE(TRIM(LEFT(MID($A419,FIND("/",$A419)+1,20),FIND("/",MID($A419,FIND("/",$A419)+1,20))-1))),"")))</f>
        <v/>
      </c>
      <c r="D419">
        <f>IF(OR($A419="",$B419=""),"",IF(ISNUMBER($A419),MOD($A419,100),IFERROR(VALUE(TRIM(MID(MID($A419,FIND("/",$A419)+1,20),FIND("/",MID($A419,FIND("/",$A419)+1,20))+1,20))),"")))</f>
        <v/>
      </c>
      <c r="E419">
        <f>IF($A419="","",IF(OR($B419="",$C419="",$D419="",$B419&lt;1300,$B419&gt;1500,$C419&lt;1,$C419&gt;12,$D419&lt;1,$D419&gt;31),"نامعتبر",RIGHT("0000"&amp;$B419,4)&amp;"/"&amp;RIGHT("00"&amp;$C419,2)&amp;"/"&amp;RIGHT("00"&amp;$D419,2)))</f>
        <v/>
      </c>
      <c r="F419">
        <f>IF(OR($E419="",$E419="نامعتبر"),"",IF(Sync!$Q416="","0000",IF(AND(ISNUMBER(Sync!$Q416),Sync!$Q416&gt;=0,Sync!$Q416&lt;1),RIGHT("00"&amp;HOUR(Sync!$Q416),2)&amp;RIGHT("00"&amp;MINUTE(Sync!$Q416),2),IFERROR(RIGHT("00"&amp;VALUE(LEFT(Sync!$Q416,FIND(":",Sync!$Q416)-1)),2)&amp;RIGHT("00"&amp;VALUE(MID(Sync!$Q416,FIND(":",Sync!$Q416)+1,2)),2),"0000"))))</f>
        <v/>
      </c>
      <c r="G419">
        <f>IF(OR($E419="",$E419="نامعتبر"),"",IF(Sync!$S416="","",Sync!$S416))</f>
        <v/>
      </c>
      <c r="H419">
        <f>IF(OR($E419="",$E419="نامعتبر"),"",IF(Sync!$R416="","",Sync!$R416))</f>
        <v/>
      </c>
      <c r="I419">
        <f>IF(OR($E419="",$E419="نامعتبر"),"",IF(Sync!$T416="","",Sync!$T416))</f>
        <v/>
      </c>
      <c r="J419">
        <f>IF(OR($E419="",$E419="نامعتبر"),"",IF(Sync!$U416="","",Sync!$U416))</f>
        <v/>
      </c>
      <c r="K419">
        <f>IF(OR($E419="",$E419="نامعتبر"),"",IF(Sync!$V416="","",IFERROR(INDEX(SubCodes,MATCH(Sync!$V416,SubTitles,0)),Sync!$V416)))</f>
        <v/>
      </c>
      <c r="L419">
        <f>IF(OR($E419="",$E419="نامعتبر"),"",IF(Sync!$W416="",0,Sync!$W416))</f>
        <v/>
      </c>
      <c r="M419">
        <f>IF(OR($E419="",$E419="نامعتبر"),"",IF(Sync!$X416="",0,Sync!$X416))</f>
        <v/>
      </c>
      <c r="N419">
        <f>IF(OR($E419="",$E419="نامعتبر"),"",IF(AND($J419="هزینه",$K419&lt;&gt;""),1,0))</f>
        <v/>
      </c>
      <c r="O419">
        <f>IF($N419=0,"",LEFT($E419,4)&amp;MID($E419,6,2)&amp;RIGHT($E419,2)&amp;$F419&amp;"|"&amp;"1"&amp;RIGHT("00000"&amp;411,5))</f>
        <v/>
      </c>
      <c r="P419">
        <f>IF($O419="","",COUNTIFS(ExpSub,$K419,ExpKey,"&lt;"&amp;$O419)+1)</f>
        <v/>
      </c>
      <c r="Q419">
        <f>IF($P419="","",$K419&amp;"|"&amp;RIGHT("000000"&amp;$P419,6))</f>
        <v/>
      </c>
    </row>
    <row r="420">
      <c r="A420">
        <f>IF(Sync!$P417="","",Sync!$P417)</f>
        <v/>
      </c>
      <c r="B420">
        <f>IF($A420="","",IF(ISNUMBER($A420),IF(AND($A420&gt;=10000101,$A420&lt;=99991231),INT($A420/10000),""),IFERROR(VALUE(TRIM(LEFT($A420,FIND("/",$A420)-1))),"")))</f>
        <v/>
      </c>
      <c r="C420">
        <f>IF(OR($A420="",$B420=""),"",IF(ISNUMBER($A420),INT(MOD($A420,10000)/100),IFERROR(VALUE(TRIM(LEFT(MID($A420,FIND("/",$A420)+1,20),FIND("/",MID($A420,FIND("/",$A420)+1,20))-1))),"")))</f>
        <v/>
      </c>
      <c r="D420">
        <f>IF(OR($A420="",$B420=""),"",IF(ISNUMBER($A420),MOD($A420,100),IFERROR(VALUE(TRIM(MID(MID($A420,FIND("/",$A420)+1,20),FIND("/",MID($A420,FIND("/",$A420)+1,20))+1,20))),"")))</f>
        <v/>
      </c>
      <c r="E420">
        <f>IF($A420="","",IF(OR($B420="",$C420="",$D420="",$B420&lt;1300,$B420&gt;1500,$C420&lt;1,$C420&gt;12,$D420&lt;1,$D420&gt;31),"نامعتبر",RIGHT("0000"&amp;$B420,4)&amp;"/"&amp;RIGHT("00"&amp;$C420,2)&amp;"/"&amp;RIGHT("00"&amp;$D420,2)))</f>
        <v/>
      </c>
      <c r="F420">
        <f>IF(OR($E420="",$E420="نامعتبر"),"",IF(Sync!$Q417="","0000",IF(AND(ISNUMBER(Sync!$Q417),Sync!$Q417&gt;=0,Sync!$Q417&lt;1),RIGHT("00"&amp;HOUR(Sync!$Q417),2)&amp;RIGHT("00"&amp;MINUTE(Sync!$Q417),2),IFERROR(RIGHT("00"&amp;VALUE(LEFT(Sync!$Q417,FIND(":",Sync!$Q417)-1)),2)&amp;RIGHT("00"&amp;VALUE(MID(Sync!$Q417,FIND(":",Sync!$Q417)+1,2)),2),"0000"))))</f>
        <v/>
      </c>
      <c r="G420">
        <f>IF(OR($E420="",$E420="نامعتبر"),"",IF(Sync!$S417="","",Sync!$S417))</f>
        <v/>
      </c>
      <c r="H420">
        <f>IF(OR($E420="",$E420="نامعتبر"),"",IF(Sync!$R417="","",Sync!$R417))</f>
        <v/>
      </c>
      <c r="I420">
        <f>IF(OR($E420="",$E420="نامعتبر"),"",IF(Sync!$T417="","",Sync!$T417))</f>
        <v/>
      </c>
      <c r="J420">
        <f>IF(OR($E420="",$E420="نامعتبر"),"",IF(Sync!$U417="","",Sync!$U417))</f>
        <v/>
      </c>
      <c r="K420">
        <f>IF(OR($E420="",$E420="نامعتبر"),"",IF(Sync!$V417="","",IFERROR(INDEX(SubCodes,MATCH(Sync!$V417,SubTitles,0)),Sync!$V417)))</f>
        <v/>
      </c>
      <c r="L420">
        <f>IF(OR($E420="",$E420="نامعتبر"),"",IF(Sync!$W417="",0,Sync!$W417))</f>
        <v/>
      </c>
      <c r="M420">
        <f>IF(OR($E420="",$E420="نامعتبر"),"",IF(Sync!$X417="",0,Sync!$X417))</f>
        <v/>
      </c>
      <c r="N420">
        <f>IF(OR($E420="",$E420="نامعتبر"),"",IF(AND($J420="هزینه",$K420&lt;&gt;""),1,0))</f>
        <v/>
      </c>
      <c r="O420">
        <f>IF($N420=0,"",LEFT($E420,4)&amp;MID($E420,6,2)&amp;RIGHT($E420,2)&amp;$F420&amp;"|"&amp;"1"&amp;RIGHT("00000"&amp;412,5))</f>
        <v/>
      </c>
      <c r="P420">
        <f>IF($O420="","",COUNTIFS(ExpSub,$K420,ExpKey,"&lt;"&amp;$O420)+1)</f>
        <v/>
      </c>
      <c r="Q420">
        <f>IF($P420="","",$K420&amp;"|"&amp;RIGHT("000000"&amp;$P420,6))</f>
        <v/>
      </c>
    </row>
    <row r="421">
      <c r="A421">
        <f>IF(Sync!$P418="","",Sync!$P418)</f>
        <v/>
      </c>
      <c r="B421">
        <f>IF($A421="","",IF(ISNUMBER($A421),IF(AND($A421&gt;=10000101,$A421&lt;=99991231),INT($A421/10000),""),IFERROR(VALUE(TRIM(LEFT($A421,FIND("/",$A421)-1))),"")))</f>
        <v/>
      </c>
      <c r="C421">
        <f>IF(OR($A421="",$B421=""),"",IF(ISNUMBER($A421),INT(MOD($A421,10000)/100),IFERROR(VALUE(TRIM(LEFT(MID($A421,FIND("/",$A421)+1,20),FIND("/",MID($A421,FIND("/",$A421)+1,20))-1))),"")))</f>
        <v/>
      </c>
      <c r="D421">
        <f>IF(OR($A421="",$B421=""),"",IF(ISNUMBER($A421),MOD($A421,100),IFERROR(VALUE(TRIM(MID(MID($A421,FIND("/",$A421)+1,20),FIND("/",MID($A421,FIND("/",$A421)+1,20))+1,20))),"")))</f>
        <v/>
      </c>
      <c r="E421">
        <f>IF($A421="","",IF(OR($B421="",$C421="",$D421="",$B421&lt;1300,$B421&gt;1500,$C421&lt;1,$C421&gt;12,$D421&lt;1,$D421&gt;31),"نامعتبر",RIGHT("0000"&amp;$B421,4)&amp;"/"&amp;RIGHT("00"&amp;$C421,2)&amp;"/"&amp;RIGHT("00"&amp;$D421,2)))</f>
        <v/>
      </c>
      <c r="F421">
        <f>IF(OR($E421="",$E421="نامعتبر"),"",IF(Sync!$Q418="","0000",IF(AND(ISNUMBER(Sync!$Q418),Sync!$Q418&gt;=0,Sync!$Q418&lt;1),RIGHT("00"&amp;HOUR(Sync!$Q418),2)&amp;RIGHT("00"&amp;MINUTE(Sync!$Q418),2),IFERROR(RIGHT("00"&amp;VALUE(LEFT(Sync!$Q418,FIND(":",Sync!$Q418)-1)),2)&amp;RIGHT("00"&amp;VALUE(MID(Sync!$Q418,FIND(":",Sync!$Q418)+1,2)),2),"0000"))))</f>
        <v/>
      </c>
      <c r="G421">
        <f>IF(OR($E421="",$E421="نامعتبر"),"",IF(Sync!$S418="","",Sync!$S418))</f>
        <v/>
      </c>
      <c r="H421">
        <f>IF(OR($E421="",$E421="نامعتبر"),"",IF(Sync!$R418="","",Sync!$R418))</f>
        <v/>
      </c>
      <c r="I421">
        <f>IF(OR($E421="",$E421="نامعتبر"),"",IF(Sync!$T418="","",Sync!$T418))</f>
        <v/>
      </c>
      <c r="J421">
        <f>IF(OR($E421="",$E421="نامعتبر"),"",IF(Sync!$U418="","",Sync!$U418))</f>
        <v/>
      </c>
      <c r="K421">
        <f>IF(OR($E421="",$E421="نامعتبر"),"",IF(Sync!$V418="","",IFERROR(INDEX(SubCodes,MATCH(Sync!$V418,SubTitles,0)),Sync!$V418)))</f>
        <v/>
      </c>
      <c r="L421">
        <f>IF(OR($E421="",$E421="نامعتبر"),"",IF(Sync!$W418="",0,Sync!$W418))</f>
        <v/>
      </c>
      <c r="M421">
        <f>IF(OR($E421="",$E421="نامعتبر"),"",IF(Sync!$X418="",0,Sync!$X418))</f>
        <v/>
      </c>
      <c r="N421">
        <f>IF(OR($E421="",$E421="نامعتبر"),"",IF(AND($J421="هزینه",$K421&lt;&gt;""),1,0))</f>
        <v/>
      </c>
      <c r="O421">
        <f>IF($N421=0,"",LEFT($E421,4)&amp;MID($E421,6,2)&amp;RIGHT($E421,2)&amp;$F421&amp;"|"&amp;"1"&amp;RIGHT("00000"&amp;413,5))</f>
        <v/>
      </c>
      <c r="P421">
        <f>IF($O421="","",COUNTIFS(ExpSub,$K421,ExpKey,"&lt;"&amp;$O421)+1)</f>
        <v/>
      </c>
      <c r="Q421">
        <f>IF($P421="","",$K421&amp;"|"&amp;RIGHT("000000"&amp;$P421,6))</f>
        <v/>
      </c>
    </row>
    <row r="422">
      <c r="A422">
        <f>IF(Sync!$P419="","",Sync!$P419)</f>
        <v/>
      </c>
      <c r="B422">
        <f>IF($A422="","",IF(ISNUMBER($A422),IF(AND($A422&gt;=10000101,$A422&lt;=99991231),INT($A422/10000),""),IFERROR(VALUE(TRIM(LEFT($A422,FIND("/",$A422)-1))),"")))</f>
        <v/>
      </c>
      <c r="C422">
        <f>IF(OR($A422="",$B422=""),"",IF(ISNUMBER($A422),INT(MOD($A422,10000)/100),IFERROR(VALUE(TRIM(LEFT(MID($A422,FIND("/",$A422)+1,20),FIND("/",MID($A422,FIND("/",$A422)+1,20))-1))),"")))</f>
        <v/>
      </c>
      <c r="D422">
        <f>IF(OR($A422="",$B422=""),"",IF(ISNUMBER($A422),MOD($A422,100),IFERROR(VALUE(TRIM(MID(MID($A422,FIND("/",$A422)+1,20),FIND("/",MID($A422,FIND("/",$A422)+1,20))+1,20))),"")))</f>
        <v/>
      </c>
      <c r="E422">
        <f>IF($A422="","",IF(OR($B422="",$C422="",$D422="",$B422&lt;1300,$B422&gt;1500,$C422&lt;1,$C422&gt;12,$D422&lt;1,$D422&gt;31),"نامعتبر",RIGHT("0000"&amp;$B422,4)&amp;"/"&amp;RIGHT("00"&amp;$C422,2)&amp;"/"&amp;RIGHT("00"&amp;$D422,2)))</f>
        <v/>
      </c>
      <c r="F422">
        <f>IF(OR($E422="",$E422="نامعتبر"),"",IF(Sync!$Q419="","0000",IF(AND(ISNUMBER(Sync!$Q419),Sync!$Q419&gt;=0,Sync!$Q419&lt;1),RIGHT("00"&amp;HOUR(Sync!$Q419),2)&amp;RIGHT("00"&amp;MINUTE(Sync!$Q419),2),IFERROR(RIGHT("00"&amp;VALUE(LEFT(Sync!$Q419,FIND(":",Sync!$Q419)-1)),2)&amp;RIGHT("00"&amp;VALUE(MID(Sync!$Q419,FIND(":",Sync!$Q419)+1,2)),2),"0000"))))</f>
        <v/>
      </c>
      <c r="G422">
        <f>IF(OR($E422="",$E422="نامعتبر"),"",IF(Sync!$S419="","",Sync!$S419))</f>
        <v/>
      </c>
      <c r="H422">
        <f>IF(OR($E422="",$E422="نامعتبر"),"",IF(Sync!$R419="","",Sync!$R419))</f>
        <v/>
      </c>
      <c r="I422">
        <f>IF(OR($E422="",$E422="نامعتبر"),"",IF(Sync!$T419="","",Sync!$T419))</f>
        <v/>
      </c>
      <c r="J422">
        <f>IF(OR($E422="",$E422="نامعتبر"),"",IF(Sync!$U419="","",Sync!$U419))</f>
        <v/>
      </c>
      <c r="K422">
        <f>IF(OR($E422="",$E422="نامعتبر"),"",IF(Sync!$V419="","",IFERROR(INDEX(SubCodes,MATCH(Sync!$V419,SubTitles,0)),Sync!$V419)))</f>
        <v/>
      </c>
      <c r="L422">
        <f>IF(OR($E422="",$E422="نامعتبر"),"",IF(Sync!$W419="",0,Sync!$W419))</f>
        <v/>
      </c>
      <c r="M422">
        <f>IF(OR($E422="",$E422="نامعتبر"),"",IF(Sync!$X419="",0,Sync!$X419))</f>
        <v/>
      </c>
      <c r="N422">
        <f>IF(OR($E422="",$E422="نامعتبر"),"",IF(AND($J422="هزینه",$K422&lt;&gt;""),1,0))</f>
        <v/>
      </c>
      <c r="O422">
        <f>IF($N422=0,"",LEFT($E422,4)&amp;MID($E422,6,2)&amp;RIGHT($E422,2)&amp;$F422&amp;"|"&amp;"1"&amp;RIGHT("00000"&amp;414,5))</f>
        <v/>
      </c>
      <c r="P422">
        <f>IF($O422="","",COUNTIFS(ExpSub,$K422,ExpKey,"&lt;"&amp;$O422)+1)</f>
        <v/>
      </c>
      <c r="Q422">
        <f>IF($P422="","",$K422&amp;"|"&amp;RIGHT("000000"&amp;$P422,6))</f>
        <v/>
      </c>
    </row>
    <row r="423">
      <c r="A423">
        <f>IF(Sync!$P420="","",Sync!$P420)</f>
        <v/>
      </c>
      <c r="B423">
        <f>IF($A423="","",IF(ISNUMBER($A423),IF(AND($A423&gt;=10000101,$A423&lt;=99991231),INT($A423/10000),""),IFERROR(VALUE(TRIM(LEFT($A423,FIND("/",$A423)-1))),"")))</f>
        <v/>
      </c>
      <c r="C423">
        <f>IF(OR($A423="",$B423=""),"",IF(ISNUMBER($A423),INT(MOD($A423,10000)/100),IFERROR(VALUE(TRIM(LEFT(MID($A423,FIND("/",$A423)+1,20),FIND("/",MID($A423,FIND("/",$A423)+1,20))-1))),"")))</f>
        <v/>
      </c>
      <c r="D423">
        <f>IF(OR($A423="",$B423=""),"",IF(ISNUMBER($A423),MOD($A423,100),IFERROR(VALUE(TRIM(MID(MID($A423,FIND("/",$A423)+1,20),FIND("/",MID($A423,FIND("/",$A423)+1,20))+1,20))),"")))</f>
        <v/>
      </c>
      <c r="E423">
        <f>IF($A423="","",IF(OR($B423="",$C423="",$D423="",$B423&lt;1300,$B423&gt;1500,$C423&lt;1,$C423&gt;12,$D423&lt;1,$D423&gt;31),"نامعتبر",RIGHT("0000"&amp;$B423,4)&amp;"/"&amp;RIGHT("00"&amp;$C423,2)&amp;"/"&amp;RIGHT("00"&amp;$D423,2)))</f>
        <v/>
      </c>
      <c r="F423">
        <f>IF(OR($E423="",$E423="نامعتبر"),"",IF(Sync!$Q420="","0000",IF(AND(ISNUMBER(Sync!$Q420),Sync!$Q420&gt;=0,Sync!$Q420&lt;1),RIGHT("00"&amp;HOUR(Sync!$Q420),2)&amp;RIGHT("00"&amp;MINUTE(Sync!$Q420),2),IFERROR(RIGHT("00"&amp;VALUE(LEFT(Sync!$Q420,FIND(":",Sync!$Q420)-1)),2)&amp;RIGHT("00"&amp;VALUE(MID(Sync!$Q420,FIND(":",Sync!$Q420)+1,2)),2),"0000"))))</f>
        <v/>
      </c>
      <c r="G423">
        <f>IF(OR($E423="",$E423="نامعتبر"),"",IF(Sync!$S420="","",Sync!$S420))</f>
        <v/>
      </c>
      <c r="H423">
        <f>IF(OR($E423="",$E423="نامعتبر"),"",IF(Sync!$R420="","",Sync!$R420))</f>
        <v/>
      </c>
      <c r="I423">
        <f>IF(OR($E423="",$E423="نامعتبر"),"",IF(Sync!$T420="","",Sync!$T420))</f>
        <v/>
      </c>
      <c r="J423">
        <f>IF(OR($E423="",$E423="نامعتبر"),"",IF(Sync!$U420="","",Sync!$U420))</f>
        <v/>
      </c>
      <c r="K423">
        <f>IF(OR($E423="",$E423="نامعتبر"),"",IF(Sync!$V420="","",IFERROR(INDEX(SubCodes,MATCH(Sync!$V420,SubTitles,0)),Sync!$V420)))</f>
        <v/>
      </c>
      <c r="L423">
        <f>IF(OR($E423="",$E423="نامعتبر"),"",IF(Sync!$W420="",0,Sync!$W420))</f>
        <v/>
      </c>
      <c r="M423">
        <f>IF(OR($E423="",$E423="نامعتبر"),"",IF(Sync!$X420="",0,Sync!$X420))</f>
        <v/>
      </c>
      <c r="N423">
        <f>IF(OR($E423="",$E423="نامعتبر"),"",IF(AND($J423="هزینه",$K423&lt;&gt;""),1,0))</f>
        <v/>
      </c>
      <c r="O423">
        <f>IF($N423=0,"",LEFT($E423,4)&amp;MID($E423,6,2)&amp;RIGHT($E423,2)&amp;$F423&amp;"|"&amp;"1"&amp;RIGHT("00000"&amp;415,5))</f>
        <v/>
      </c>
      <c r="P423">
        <f>IF($O423="","",COUNTIFS(ExpSub,$K423,ExpKey,"&lt;"&amp;$O423)+1)</f>
        <v/>
      </c>
      <c r="Q423">
        <f>IF($P423="","",$K423&amp;"|"&amp;RIGHT("000000"&amp;$P423,6))</f>
        <v/>
      </c>
    </row>
    <row r="424">
      <c r="A424">
        <f>IF(Sync!$P421="","",Sync!$P421)</f>
        <v/>
      </c>
      <c r="B424">
        <f>IF($A424="","",IF(ISNUMBER($A424),IF(AND($A424&gt;=10000101,$A424&lt;=99991231),INT($A424/10000),""),IFERROR(VALUE(TRIM(LEFT($A424,FIND("/",$A424)-1))),"")))</f>
        <v/>
      </c>
      <c r="C424">
        <f>IF(OR($A424="",$B424=""),"",IF(ISNUMBER($A424),INT(MOD($A424,10000)/100),IFERROR(VALUE(TRIM(LEFT(MID($A424,FIND("/",$A424)+1,20),FIND("/",MID($A424,FIND("/",$A424)+1,20))-1))),"")))</f>
        <v/>
      </c>
      <c r="D424">
        <f>IF(OR($A424="",$B424=""),"",IF(ISNUMBER($A424),MOD($A424,100),IFERROR(VALUE(TRIM(MID(MID($A424,FIND("/",$A424)+1,20),FIND("/",MID($A424,FIND("/",$A424)+1,20))+1,20))),"")))</f>
        <v/>
      </c>
      <c r="E424">
        <f>IF($A424="","",IF(OR($B424="",$C424="",$D424="",$B424&lt;1300,$B424&gt;1500,$C424&lt;1,$C424&gt;12,$D424&lt;1,$D424&gt;31),"نامعتبر",RIGHT("0000"&amp;$B424,4)&amp;"/"&amp;RIGHT("00"&amp;$C424,2)&amp;"/"&amp;RIGHT("00"&amp;$D424,2)))</f>
        <v/>
      </c>
      <c r="F424">
        <f>IF(OR($E424="",$E424="نامعتبر"),"",IF(Sync!$Q421="","0000",IF(AND(ISNUMBER(Sync!$Q421),Sync!$Q421&gt;=0,Sync!$Q421&lt;1),RIGHT("00"&amp;HOUR(Sync!$Q421),2)&amp;RIGHT("00"&amp;MINUTE(Sync!$Q421),2),IFERROR(RIGHT("00"&amp;VALUE(LEFT(Sync!$Q421,FIND(":",Sync!$Q421)-1)),2)&amp;RIGHT("00"&amp;VALUE(MID(Sync!$Q421,FIND(":",Sync!$Q421)+1,2)),2),"0000"))))</f>
        <v/>
      </c>
      <c r="G424">
        <f>IF(OR($E424="",$E424="نامعتبر"),"",IF(Sync!$S421="","",Sync!$S421))</f>
        <v/>
      </c>
      <c r="H424">
        <f>IF(OR($E424="",$E424="نامعتبر"),"",IF(Sync!$R421="","",Sync!$R421))</f>
        <v/>
      </c>
      <c r="I424">
        <f>IF(OR($E424="",$E424="نامعتبر"),"",IF(Sync!$T421="","",Sync!$T421))</f>
        <v/>
      </c>
      <c r="J424">
        <f>IF(OR($E424="",$E424="نامعتبر"),"",IF(Sync!$U421="","",Sync!$U421))</f>
        <v/>
      </c>
      <c r="K424">
        <f>IF(OR($E424="",$E424="نامعتبر"),"",IF(Sync!$V421="","",IFERROR(INDEX(SubCodes,MATCH(Sync!$V421,SubTitles,0)),Sync!$V421)))</f>
        <v/>
      </c>
      <c r="L424">
        <f>IF(OR($E424="",$E424="نامعتبر"),"",IF(Sync!$W421="",0,Sync!$W421))</f>
        <v/>
      </c>
      <c r="M424">
        <f>IF(OR($E424="",$E424="نامعتبر"),"",IF(Sync!$X421="",0,Sync!$X421))</f>
        <v/>
      </c>
      <c r="N424">
        <f>IF(OR($E424="",$E424="نامعتبر"),"",IF(AND($J424="هزینه",$K424&lt;&gt;""),1,0))</f>
        <v/>
      </c>
      <c r="O424">
        <f>IF($N424=0,"",LEFT($E424,4)&amp;MID($E424,6,2)&amp;RIGHT($E424,2)&amp;$F424&amp;"|"&amp;"1"&amp;RIGHT("00000"&amp;416,5))</f>
        <v/>
      </c>
      <c r="P424">
        <f>IF($O424="","",COUNTIFS(ExpSub,$K424,ExpKey,"&lt;"&amp;$O424)+1)</f>
        <v/>
      </c>
      <c r="Q424">
        <f>IF($P424="","",$K424&amp;"|"&amp;RIGHT("000000"&amp;$P424,6))</f>
        <v/>
      </c>
    </row>
    <row r="425">
      <c r="A425">
        <f>IF(Sync!$P422="","",Sync!$P422)</f>
        <v/>
      </c>
      <c r="B425">
        <f>IF($A425="","",IF(ISNUMBER($A425),IF(AND($A425&gt;=10000101,$A425&lt;=99991231),INT($A425/10000),""),IFERROR(VALUE(TRIM(LEFT($A425,FIND("/",$A425)-1))),"")))</f>
        <v/>
      </c>
      <c r="C425">
        <f>IF(OR($A425="",$B425=""),"",IF(ISNUMBER($A425),INT(MOD($A425,10000)/100),IFERROR(VALUE(TRIM(LEFT(MID($A425,FIND("/",$A425)+1,20),FIND("/",MID($A425,FIND("/",$A425)+1,20))-1))),"")))</f>
        <v/>
      </c>
      <c r="D425">
        <f>IF(OR($A425="",$B425=""),"",IF(ISNUMBER($A425),MOD($A425,100),IFERROR(VALUE(TRIM(MID(MID($A425,FIND("/",$A425)+1,20),FIND("/",MID($A425,FIND("/",$A425)+1,20))+1,20))),"")))</f>
        <v/>
      </c>
      <c r="E425">
        <f>IF($A425="","",IF(OR($B425="",$C425="",$D425="",$B425&lt;1300,$B425&gt;1500,$C425&lt;1,$C425&gt;12,$D425&lt;1,$D425&gt;31),"نامعتبر",RIGHT("0000"&amp;$B425,4)&amp;"/"&amp;RIGHT("00"&amp;$C425,2)&amp;"/"&amp;RIGHT("00"&amp;$D425,2)))</f>
        <v/>
      </c>
      <c r="F425">
        <f>IF(OR($E425="",$E425="نامعتبر"),"",IF(Sync!$Q422="","0000",IF(AND(ISNUMBER(Sync!$Q422),Sync!$Q422&gt;=0,Sync!$Q422&lt;1),RIGHT("00"&amp;HOUR(Sync!$Q422),2)&amp;RIGHT("00"&amp;MINUTE(Sync!$Q422),2),IFERROR(RIGHT("00"&amp;VALUE(LEFT(Sync!$Q422,FIND(":",Sync!$Q422)-1)),2)&amp;RIGHT("00"&amp;VALUE(MID(Sync!$Q422,FIND(":",Sync!$Q422)+1,2)),2),"0000"))))</f>
        <v/>
      </c>
      <c r="G425">
        <f>IF(OR($E425="",$E425="نامعتبر"),"",IF(Sync!$S422="","",Sync!$S422))</f>
        <v/>
      </c>
      <c r="H425">
        <f>IF(OR($E425="",$E425="نامعتبر"),"",IF(Sync!$R422="","",Sync!$R422))</f>
        <v/>
      </c>
      <c r="I425">
        <f>IF(OR($E425="",$E425="نامعتبر"),"",IF(Sync!$T422="","",Sync!$T422))</f>
        <v/>
      </c>
      <c r="J425">
        <f>IF(OR($E425="",$E425="نامعتبر"),"",IF(Sync!$U422="","",Sync!$U422))</f>
        <v/>
      </c>
      <c r="K425">
        <f>IF(OR($E425="",$E425="نامعتبر"),"",IF(Sync!$V422="","",IFERROR(INDEX(SubCodes,MATCH(Sync!$V422,SubTitles,0)),Sync!$V422)))</f>
        <v/>
      </c>
      <c r="L425">
        <f>IF(OR($E425="",$E425="نامعتبر"),"",IF(Sync!$W422="",0,Sync!$W422))</f>
        <v/>
      </c>
      <c r="M425">
        <f>IF(OR($E425="",$E425="نامعتبر"),"",IF(Sync!$X422="",0,Sync!$X422))</f>
        <v/>
      </c>
      <c r="N425">
        <f>IF(OR($E425="",$E425="نامعتبر"),"",IF(AND($J425="هزینه",$K425&lt;&gt;""),1,0))</f>
        <v/>
      </c>
      <c r="O425">
        <f>IF($N425=0,"",LEFT($E425,4)&amp;MID($E425,6,2)&amp;RIGHT($E425,2)&amp;$F425&amp;"|"&amp;"1"&amp;RIGHT("00000"&amp;417,5))</f>
        <v/>
      </c>
      <c r="P425">
        <f>IF($O425="","",COUNTIFS(ExpSub,$K425,ExpKey,"&lt;"&amp;$O425)+1)</f>
        <v/>
      </c>
      <c r="Q425">
        <f>IF($P425="","",$K425&amp;"|"&amp;RIGHT("000000"&amp;$P425,6))</f>
        <v/>
      </c>
    </row>
    <row r="426">
      <c r="A426">
        <f>IF(Sync!$P423="","",Sync!$P423)</f>
        <v/>
      </c>
      <c r="B426">
        <f>IF($A426="","",IF(ISNUMBER($A426),IF(AND($A426&gt;=10000101,$A426&lt;=99991231),INT($A426/10000),""),IFERROR(VALUE(TRIM(LEFT($A426,FIND("/",$A426)-1))),"")))</f>
        <v/>
      </c>
      <c r="C426">
        <f>IF(OR($A426="",$B426=""),"",IF(ISNUMBER($A426),INT(MOD($A426,10000)/100),IFERROR(VALUE(TRIM(LEFT(MID($A426,FIND("/",$A426)+1,20),FIND("/",MID($A426,FIND("/",$A426)+1,20))-1))),"")))</f>
        <v/>
      </c>
      <c r="D426">
        <f>IF(OR($A426="",$B426=""),"",IF(ISNUMBER($A426),MOD($A426,100),IFERROR(VALUE(TRIM(MID(MID($A426,FIND("/",$A426)+1,20),FIND("/",MID($A426,FIND("/",$A426)+1,20))+1,20))),"")))</f>
        <v/>
      </c>
      <c r="E426">
        <f>IF($A426="","",IF(OR($B426="",$C426="",$D426="",$B426&lt;1300,$B426&gt;1500,$C426&lt;1,$C426&gt;12,$D426&lt;1,$D426&gt;31),"نامعتبر",RIGHT("0000"&amp;$B426,4)&amp;"/"&amp;RIGHT("00"&amp;$C426,2)&amp;"/"&amp;RIGHT("00"&amp;$D426,2)))</f>
        <v/>
      </c>
      <c r="F426">
        <f>IF(OR($E426="",$E426="نامعتبر"),"",IF(Sync!$Q423="","0000",IF(AND(ISNUMBER(Sync!$Q423),Sync!$Q423&gt;=0,Sync!$Q423&lt;1),RIGHT("00"&amp;HOUR(Sync!$Q423),2)&amp;RIGHT("00"&amp;MINUTE(Sync!$Q423),2),IFERROR(RIGHT("00"&amp;VALUE(LEFT(Sync!$Q423,FIND(":",Sync!$Q423)-1)),2)&amp;RIGHT("00"&amp;VALUE(MID(Sync!$Q423,FIND(":",Sync!$Q423)+1,2)),2),"0000"))))</f>
        <v/>
      </c>
      <c r="G426">
        <f>IF(OR($E426="",$E426="نامعتبر"),"",IF(Sync!$S423="","",Sync!$S423))</f>
        <v/>
      </c>
      <c r="H426">
        <f>IF(OR($E426="",$E426="نامعتبر"),"",IF(Sync!$R423="","",Sync!$R423))</f>
        <v/>
      </c>
      <c r="I426">
        <f>IF(OR($E426="",$E426="نامعتبر"),"",IF(Sync!$T423="","",Sync!$T423))</f>
        <v/>
      </c>
      <c r="J426">
        <f>IF(OR($E426="",$E426="نامعتبر"),"",IF(Sync!$U423="","",Sync!$U423))</f>
        <v/>
      </c>
      <c r="K426">
        <f>IF(OR($E426="",$E426="نامعتبر"),"",IF(Sync!$V423="","",IFERROR(INDEX(SubCodes,MATCH(Sync!$V423,SubTitles,0)),Sync!$V423)))</f>
        <v/>
      </c>
      <c r="L426">
        <f>IF(OR($E426="",$E426="نامعتبر"),"",IF(Sync!$W423="",0,Sync!$W423))</f>
        <v/>
      </c>
      <c r="M426">
        <f>IF(OR($E426="",$E426="نامعتبر"),"",IF(Sync!$X423="",0,Sync!$X423))</f>
        <v/>
      </c>
      <c r="N426">
        <f>IF(OR($E426="",$E426="نامعتبر"),"",IF(AND($J426="هزینه",$K426&lt;&gt;""),1,0))</f>
        <v/>
      </c>
      <c r="O426">
        <f>IF($N426=0,"",LEFT($E426,4)&amp;MID($E426,6,2)&amp;RIGHT($E426,2)&amp;$F426&amp;"|"&amp;"1"&amp;RIGHT("00000"&amp;418,5))</f>
        <v/>
      </c>
      <c r="P426">
        <f>IF($O426="","",COUNTIFS(ExpSub,$K426,ExpKey,"&lt;"&amp;$O426)+1)</f>
        <v/>
      </c>
      <c r="Q426">
        <f>IF($P426="","",$K426&amp;"|"&amp;RIGHT("000000"&amp;$P426,6))</f>
        <v/>
      </c>
    </row>
    <row r="427">
      <c r="A427">
        <f>IF(Sync!$P424="","",Sync!$P424)</f>
        <v/>
      </c>
      <c r="B427">
        <f>IF($A427="","",IF(ISNUMBER($A427),IF(AND($A427&gt;=10000101,$A427&lt;=99991231),INT($A427/10000),""),IFERROR(VALUE(TRIM(LEFT($A427,FIND("/",$A427)-1))),"")))</f>
        <v/>
      </c>
      <c r="C427">
        <f>IF(OR($A427="",$B427=""),"",IF(ISNUMBER($A427),INT(MOD($A427,10000)/100),IFERROR(VALUE(TRIM(LEFT(MID($A427,FIND("/",$A427)+1,20),FIND("/",MID($A427,FIND("/",$A427)+1,20))-1))),"")))</f>
        <v/>
      </c>
      <c r="D427">
        <f>IF(OR($A427="",$B427=""),"",IF(ISNUMBER($A427),MOD($A427,100),IFERROR(VALUE(TRIM(MID(MID($A427,FIND("/",$A427)+1,20),FIND("/",MID($A427,FIND("/",$A427)+1,20))+1,20))),"")))</f>
        <v/>
      </c>
      <c r="E427">
        <f>IF($A427="","",IF(OR($B427="",$C427="",$D427="",$B427&lt;1300,$B427&gt;1500,$C427&lt;1,$C427&gt;12,$D427&lt;1,$D427&gt;31),"نامعتبر",RIGHT("0000"&amp;$B427,4)&amp;"/"&amp;RIGHT("00"&amp;$C427,2)&amp;"/"&amp;RIGHT("00"&amp;$D427,2)))</f>
        <v/>
      </c>
      <c r="F427">
        <f>IF(OR($E427="",$E427="نامعتبر"),"",IF(Sync!$Q424="","0000",IF(AND(ISNUMBER(Sync!$Q424),Sync!$Q424&gt;=0,Sync!$Q424&lt;1),RIGHT("00"&amp;HOUR(Sync!$Q424),2)&amp;RIGHT("00"&amp;MINUTE(Sync!$Q424),2),IFERROR(RIGHT("00"&amp;VALUE(LEFT(Sync!$Q424,FIND(":",Sync!$Q424)-1)),2)&amp;RIGHT("00"&amp;VALUE(MID(Sync!$Q424,FIND(":",Sync!$Q424)+1,2)),2),"0000"))))</f>
        <v/>
      </c>
      <c r="G427">
        <f>IF(OR($E427="",$E427="نامعتبر"),"",IF(Sync!$S424="","",Sync!$S424))</f>
        <v/>
      </c>
      <c r="H427">
        <f>IF(OR($E427="",$E427="نامعتبر"),"",IF(Sync!$R424="","",Sync!$R424))</f>
        <v/>
      </c>
      <c r="I427">
        <f>IF(OR($E427="",$E427="نامعتبر"),"",IF(Sync!$T424="","",Sync!$T424))</f>
        <v/>
      </c>
      <c r="J427">
        <f>IF(OR($E427="",$E427="نامعتبر"),"",IF(Sync!$U424="","",Sync!$U424))</f>
        <v/>
      </c>
      <c r="K427">
        <f>IF(OR($E427="",$E427="نامعتبر"),"",IF(Sync!$V424="","",IFERROR(INDEX(SubCodes,MATCH(Sync!$V424,SubTitles,0)),Sync!$V424)))</f>
        <v/>
      </c>
      <c r="L427">
        <f>IF(OR($E427="",$E427="نامعتبر"),"",IF(Sync!$W424="",0,Sync!$W424))</f>
        <v/>
      </c>
      <c r="M427">
        <f>IF(OR($E427="",$E427="نامعتبر"),"",IF(Sync!$X424="",0,Sync!$X424))</f>
        <v/>
      </c>
      <c r="N427">
        <f>IF(OR($E427="",$E427="نامعتبر"),"",IF(AND($J427="هزینه",$K427&lt;&gt;""),1,0))</f>
        <v/>
      </c>
      <c r="O427">
        <f>IF($N427=0,"",LEFT($E427,4)&amp;MID($E427,6,2)&amp;RIGHT($E427,2)&amp;$F427&amp;"|"&amp;"1"&amp;RIGHT("00000"&amp;419,5))</f>
        <v/>
      </c>
      <c r="P427">
        <f>IF($O427="","",COUNTIFS(ExpSub,$K427,ExpKey,"&lt;"&amp;$O427)+1)</f>
        <v/>
      </c>
      <c r="Q427">
        <f>IF($P427="","",$K427&amp;"|"&amp;RIGHT("000000"&amp;$P427,6))</f>
        <v/>
      </c>
    </row>
    <row r="428">
      <c r="A428">
        <f>IF(Sync!$P425="","",Sync!$P425)</f>
        <v/>
      </c>
      <c r="B428">
        <f>IF($A428="","",IF(ISNUMBER($A428),IF(AND($A428&gt;=10000101,$A428&lt;=99991231),INT($A428/10000),""),IFERROR(VALUE(TRIM(LEFT($A428,FIND("/",$A428)-1))),"")))</f>
        <v/>
      </c>
      <c r="C428">
        <f>IF(OR($A428="",$B428=""),"",IF(ISNUMBER($A428),INT(MOD($A428,10000)/100),IFERROR(VALUE(TRIM(LEFT(MID($A428,FIND("/",$A428)+1,20),FIND("/",MID($A428,FIND("/",$A428)+1,20))-1))),"")))</f>
        <v/>
      </c>
      <c r="D428">
        <f>IF(OR($A428="",$B428=""),"",IF(ISNUMBER($A428),MOD($A428,100),IFERROR(VALUE(TRIM(MID(MID($A428,FIND("/",$A428)+1,20),FIND("/",MID($A428,FIND("/",$A428)+1,20))+1,20))),"")))</f>
        <v/>
      </c>
      <c r="E428">
        <f>IF($A428="","",IF(OR($B428="",$C428="",$D428="",$B428&lt;1300,$B428&gt;1500,$C428&lt;1,$C428&gt;12,$D428&lt;1,$D428&gt;31),"نامعتبر",RIGHT("0000"&amp;$B428,4)&amp;"/"&amp;RIGHT("00"&amp;$C428,2)&amp;"/"&amp;RIGHT("00"&amp;$D428,2)))</f>
        <v/>
      </c>
      <c r="F428">
        <f>IF(OR($E428="",$E428="نامعتبر"),"",IF(Sync!$Q425="","0000",IF(AND(ISNUMBER(Sync!$Q425),Sync!$Q425&gt;=0,Sync!$Q425&lt;1),RIGHT("00"&amp;HOUR(Sync!$Q425),2)&amp;RIGHT("00"&amp;MINUTE(Sync!$Q425),2),IFERROR(RIGHT("00"&amp;VALUE(LEFT(Sync!$Q425,FIND(":",Sync!$Q425)-1)),2)&amp;RIGHT("00"&amp;VALUE(MID(Sync!$Q425,FIND(":",Sync!$Q425)+1,2)),2),"0000"))))</f>
        <v/>
      </c>
      <c r="G428">
        <f>IF(OR($E428="",$E428="نامعتبر"),"",IF(Sync!$S425="","",Sync!$S425))</f>
        <v/>
      </c>
      <c r="H428">
        <f>IF(OR($E428="",$E428="نامعتبر"),"",IF(Sync!$R425="","",Sync!$R425))</f>
        <v/>
      </c>
      <c r="I428">
        <f>IF(OR($E428="",$E428="نامعتبر"),"",IF(Sync!$T425="","",Sync!$T425))</f>
        <v/>
      </c>
      <c r="J428">
        <f>IF(OR($E428="",$E428="نامعتبر"),"",IF(Sync!$U425="","",Sync!$U425))</f>
        <v/>
      </c>
      <c r="K428">
        <f>IF(OR($E428="",$E428="نامعتبر"),"",IF(Sync!$V425="","",IFERROR(INDEX(SubCodes,MATCH(Sync!$V425,SubTitles,0)),Sync!$V425)))</f>
        <v/>
      </c>
      <c r="L428">
        <f>IF(OR($E428="",$E428="نامعتبر"),"",IF(Sync!$W425="",0,Sync!$W425))</f>
        <v/>
      </c>
      <c r="M428">
        <f>IF(OR($E428="",$E428="نامعتبر"),"",IF(Sync!$X425="",0,Sync!$X425))</f>
        <v/>
      </c>
      <c r="N428">
        <f>IF(OR($E428="",$E428="نامعتبر"),"",IF(AND($J428="هزینه",$K428&lt;&gt;""),1,0))</f>
        <v/>
      </c>
      <c r="O428">
        <f>IF($N428=0,"",LEFT($E428,4)&amp;MID($E428,6,2)&amp;RIGHT($E428,2)&amp;$F428&amp;"|"&amp;"1"&amp;RIGHT("00000"&amp;420,5))</f>
        <v/>
      </c>
      <c r="P428">
        <f>IF($O428="","",COUNTIFS(ExpSub,$K428,ExpKey,"&lt;"&amp;$O428)+1)</f>
        <v/>
      </c>
      <c r="Q428">
        <f>IF($P428="","",$K428&amp;"|"&amp;RIGHT("000000"&amp;$P428,6))</f>
        <v/>
      </c>
    </row>
    <row r="429">
      <c r="A429">
        <f>IF(Sync!$P426="","",Sync!$P426)</f>
        <v/>
      </c>
      <c r="B429">
        <f>IF($A429="","",IF(ISNUMBER($A429),IF(AND($A429&gt;=10000101,$A429&lt;=99991231),INT($A429/10000),""),IFERROR(VALUE(TRIM(LEFT($A429,FIND("/",$A429)-1))),"")))</f>
        <v/>
      </c>
      <c r="C429">
        <f>IF(OR($A429="",$B429=""),"",IF(ISNUMBER($A429),INT(MOD($A429,10000)/100),IFERROR(VALUE(TRIM(LEFT(MID($A429,FIND("/",$A429)+1,20),FIND("/",MID($A429,FIND("/",$A429)+1,20))-1))),"")))</f>
        <v/>
      </c>
      <c r="D429">
        <f>IF(OR($A429="",$B429=""),"",IF(ISNUMBER($A429),MOD($A429,100),IFERROR(VALUE(TRIM(MID(MID($A429,FIND("/",$A429)+1,20),FIND("/",MID($A429,FIND("/",$A429)+1,20))+1,20))),"")))</f>
        <v/>
      </c>
      <c r="E429">
        <f>IF($A429="","",IF(OR($B429="",$C429="",$D429="",$B429&lt;1300,$B429&gt;1500,$C429&lt;1,$C429&gt;12,$D429&lt;1,$D429&gt;31),"نامعتبر",RIGHT("0000"&amp;$B429,4)&amp;"/"&amp;RIGHT("00"&amp;$C429,2)&amp;"/"&amp;RIGHT("00"&amp;$D429,2)))</f>
        <v/>
      </c>
      <c r="F429">
        <f>IF(OR($E429="",$E429="نامعتبر"),"",IF(Sync!$Q426="","0000",IF(AND(ISNUMBER(Sync!$Q426),Sync!$Q426&gt;=0,Sync!$Q426&lt;1),RIGHT("00"&amp;HOUR(Sync!$Q426),2)&amp;RIGHT("00"&amp;MINUTE(Sync!$Q426),2),IFERROR(RIGHT("00"&amp;VALUE(LEFT(Sync!$Q426,FIND(":",Sync!$Q426)-1)),2)&amp;RIGHT("00"&amp;VALUE(MID(Sync!$Q426,FIND(":",Sync!$Q426)+1,2)),2),"0000"))))</f>
        <v/>
      </c>
      <c r="G429">
        <f>IF(OR($E429="",$E429="نامعتبر"),"",IF(Sync!$S426="","",Sync!$S426))</f>
        <v/>
      </c>
      <c r="H429">
        <f>IF(OR($E429="",$E429="نامعتبر"),"",IF(Sync!$R426="","",Sync!$R426))</f>
        <v/>
      </c>
      <c r="I429">
        <f>IF(OR($E429="",$E429="نامعتبر"),"",IF(Sync!$T426="","",Sync!$T426))</f>
        <v/>
      </c>
      <c r="J429">
        <f>IF(OR($E429="",$E429="نامعتبر"),"",IF(Sync!$U426="","",Sync!$U426))</f>
        <v/>
      </c>
      <c r="K429">
        <f>IF(OR($E429="",$E429="نامعتبر"),"",IF(Sync!$V426="","",IFERROR(INDEX(SubCodes,MATCH(Sync!$V426,SubTitles,0)),Sync!$V426)))</f>
        <v/>
      </c>
      <c r="L429">
        <f>IF(OR($E429="",$E429="نامعتبر"),"",IF(Sync!$W426="",0,Sync!$W426))</f>
        <v/>
      </c>
      <c r="M429">
        <f>IF(OR($E429="",$E429="نامعتبر"),"",IF(Sync!$X426="",0,Sync!$X426))</f>
        <v/>
      </c>
      <c r="N429">
        <f>IF(OR($E429="",$E429="نامعتبر"),"",IF(AND($J429="هزینه",$K429&lt;&gt;""),1,0))</f>
        <v/>
      </c>
      <c r="O429">
        <f>IF($N429=0,"",LEFT($E429,4)&amp;MID($E429,6,2)&amp;RIGHT($E429,2)&amp;$F429&amp;"|"&amp;"1"&amp;RIGHT("00000"&amp;421,5))</f>
        <v/>
      </c>
      <c r="P429">
        <f>IF($O429="","",COUNTIFS(ExpSub,$K429,ExpKey,"&lt;"&amp;$O429)+1)</f>
        <v/>
      </c>
      <c r="Q429">
        <f>IF($P429="","",$K429&amp;"|"&amp;RIGHT("000000"&amp;$P429,6))</f>
        <v/>
      </c>
    </row>
    <row r="430">
      <c r="A430">
        <f>IF(Sync!$P427="","",Sync!$P427)</f>
        <v/>
      </c>
      <c r="B430">
        <f>IF($A430="","",IF(ISNUMBER($A430),IF(AND($A430&gt;=10000101,$A430&lt;=99991231),INT($A430/10000),""),IFERROR(VALUE(TRIM(LEFT($A430,FIND("/",$A430)-1))),"")))</f>
        <v/>
      </c>
      <c r="C430">
        <f>IF(OR($A430="",$B430=""),"",IF(ISNUMBER($A430),INT(MOD($A430,10000)/100),IFERROR(VALUE(TRIM(LEFT(MID($A430,FIND("/",$A430)+1,20),FIND("/",MID($A430,FIND("/",$A430)+1,20))-1))),"")))</f>
        <v/>
      </c>
      <c r="D430">
        <f>IF(OR($A430="",$B430=""),"",IF(ISNUMBER($A430),MOD($A430,100),IFERROR(VALUE(TRIM(MID(MID($A430,FIND("/",$A430)+1,20),FIND("/",MID($A430,FIND("/",$A430)+1,20))+1,20))),"")))</f>
        <v/>
      </c>
      <c r="E430">
        <f>IF($A430="","",IF(OR($B430="",$C430="",$D430="",$B430&lt;1300,$B430&gt;1500,$C430&lt;1,$C430&gt;12,$D430&lt;1,$D430&gt;31),"نامعتبر",RIGHT("0000"&amp;$B430,4)&amp;"/"&amp;RIGHT("00"&amp;$C430,2)&amp;"/"&amp;RIGHT("00"&amp;$D430,2)))</f>
        <v/>
      </c>
      <c r="F430">
        <f>IF(OR($E430="",$E430="نامعتبر"),"",IF(Sync!$Q427="","0000",IF(AND(ISNUMBER(Sync!$Q427),Sync!$Q427&gt;=0,Sync!$Q427&lt;1),RIGHT("00"&amp;HOUR(Sync!$Q427),2)&amp;RIGHT("00"&amp;MINUTE(Sync!$Q427),2),IFERROR(RIGHT("00"&amp;VALUE(LEFT(Sync!$Q427,FIND(":",Sync!$Q427)-1)),2)&amp;RIGHT("00"&amp;VALUE(MID(Sync!$Q427,FIND(":",Sync!$Q427)+1,2)),2),"0000"))))</f>
        <v/>
      </c>
      <c r="G430">
        <f>IF(OR($E430="",$E430="نامعتبر"),"",IF(Sync!$S427="","",Sync!$S427))</f>
        <v/>
      </c>
      <c r="H430">
        <f>IF(OR($E430="",$E430="نامعتبر"),"",IF(Sync!$R427="","",Sync!$R427))</f>
        <v/>
      </c>
      <c r="I430">
        <f>IF(OR($E430="",$E430="نامعتبر"),"",IF(Sync!$T427="","",Sync!$T427))</f>
        <v/>
      </c>
      <c r="J430">
        <f>IF(OR($E430="",$E430="نامعتبر"),"",IF(Sync!$U427="","",Sync!$U427))</f>
        <v/>
      </c>
      <c r="K430">
        <f>IF(OR($E430="",$E430="نامعتبر"),"",IF(Sync!$V427="","",IFERROR(INDEX(SubCodes,MATCH(Sync!$V427,SubTitles,0)),Sync!$V427)))</f>
        <v/>
      </c>
      <c r="L430">
        <f>IF(OR($E430="",$E430="نامعتبر"),"",IF(Sync!$W427="",0,Sync!$W427))</f>
        <v/>
      </c>
      <c r="M430">
        <f>IF(OR($E430="",$E430="نامعتبر"),"",IF(Sync!$X427="",0,Sync!$X427))</f>
        <v/>
      </c>
      <c r="N430">
        <f>IF(OR($E430="",$E430="نامعتبر"),"",IF(AND($J430="هزینه",$K430&lt;&gt;""),1,0))</f>
        <v/>
      </c>
      <c r="O430">
        <f>IF($N430=0,"",LEFT($E430,4)&amp;MID($E430,6,2)&amp;RIGHT($E430,2)&amp;$F430&amp;"|"&amp;"1"&amp;RIGHT("00000"&amp;422,5))</f>
        <v/>
      </c>
      <c r="P430">
        <f>IF($O430="","",COUNTIFS(ExpSub,$K430,ExpKey,"&lt;"&amp;$O430)+1)</f>
        <v/>
      </c>
      <c r="Q430">
        <f>IF($P430="","",$K430&amp;"|"&amp;RIGHT("000000"&amp;$P430,6))</f>
        <v/>
      </c>
    </row>
    <row r="431">
      <c r="A431">
        <f>IF(Sync!$P428="","",Sync!$P428)</f>
        <v/>
      </c>
      <c r="B431">
        <f>IF($A431="","",IF(ISNUMBER($A431),IF(AND($A431&gt;=10000101,$A431&lt;=99991231),INT($A431/10000),""),IFERROR(VALUE(TRIM(LEFT($A431,FIND("/",$A431)-1))),"")))</f>
        <v/>
      </c>
      <c r="C431">
        <f>IF(OR($A431="",$B431=""),"",IF(ISNUMBER($A431),INT(MOD($A431,10000)/100),IFERROR(VALUE(TRIM(LEFT(MID($A431,FIND("/",$A431)+1,20),FIND("/",MID($A431,FIND("/",$A431)+1,20))-1))),"")))</f>
        <v/>
      </c>
      <c r="D431">
        <f>IF(OR($A431="",$B431=""),"",IF(ISNUMBER($A431),MOD($A431,100),IFERROR(VALUE(TRIM(MID(MID($A431,FIND("/",$A431)+1,20),FIND("/",MID($A431,FIND("/",$A431)+1,20))+1,20))),"")))</f>
        <v/>
      </c>
      <c r="E431">
        <f>IF($A431="","",IF(OR($B431="",$C431="",$D431="",$B431&lt;1300,$B431&gt;1500,$C431&lt;1,$C431&gt;12,$D431&lt;1,$D431&gt;31),"نامعتبر",RIGHT("0000"&amp;$B431,4)&amp;"/"&amp;RIGHT("00"&amp;$C431,2)&amp;"/"&amp;RIGHT("00"&amp;$D431,2)))</f>
        <v/>
      </c>
      <c r="F431">
        <f>IF(OR($E431="",$E431="نامعتبر"),"",IF(Sync!$Q428="","0000",IF(AND(ISNUMBER(Sync!$Q428),Sync!$Q428&gt;=0,Sync!$Q428&lt;1),RIGHT("00"&amp;HOUR(Sync!$Q428),2)&amp;RIGHT("00"&amp;MINUTE(Sync!$Q428),2),IFERROR(RIGHT("00"&amp;VALUE(LEFT(Sync!$Q428,FIND(":",Sync!$Q428)-1)),2)&amp;RIGHT("00"&amp;VALUE(MID(Sync!$Q428,FIND(":",Sync!$Q428)+1,2)),2),"0000"))))</f>
        <v/>
      </c>
      <c r="G431">
        <f>IF(OR($E431="",$E431="نامعتبر"),"",IF(Sync!$S428="","",Sync!$S428))</f>
        <v/>
      </c>
      <c r="H431">
        <f>IF(OR($E431="",$E431="نامعتبر"),"",IF(Sync!$R428="","",Sync!$R428))</f>
        <v/>
      </c>
      <c r="I431">
        <f>IF(OR($E431="",$E431="نامعتبر"),"",IF(Sync!$T428="","",Sync!$T428))</f>
        <v/>
      </c>
      <c r="J431">
        <f>IF(OR($E431="",$E431="نامعتبر"),"",IF(Sync!$U428="","",Sync!$U428))</f>
        <v/>
      </c>
      <c r="K431">
        <f>IF(OR($E431="",$E431="نامعتبر"),"",IF(Sync!$V428="","",IFERROR(INDEX(SubCodes,MATCH(Sync!$V428,SubTitles,0)),Sync!$V428)))</f>
        <v/>
      </c>
      <c r="L431">
        <f>IF(OR($E431="",$E431="نامعتبر"),"",IF(Sync!$W428="",0,Sync!$W428))</f>
        <v/>
      </c>
      <c r="M431">
        <f>IF(OR($E431="",$E431="نامعتبر"),"",IF(Sync!$X428="",0,Sync!$X428))</f>
        <v/>
      </c>
      <c r="N431">
        <f>IF(OR($E431="",$E431="نامعتبر"),"",IF(AND($J431="هزینه",$K431&lt;&gt;""),1,0))</f>
        <v/>
      </c>
      <c r="O431">
        <f>IF($N431=0,"",LEFT($E431,4)&amp;MID($E431,6,2)&amp;RIGHT($E431,2)&amp;$F431&amp;"|"&amp;"1"&amp;RIGHT("00000"&amp;423,5))</f>
        <v/>
      </c>
      <c r="P431">
        <f>IF($O431="","",COUNTIFS(ExpSub,$K431,ExpKey,"&lt;"&amp;$O431)+1)</f>
        <v/>
      </c>
      <c r="Q431">
        <f>IF($P431="","",$K431&amp;"|"&amp;RIGHT("000000"&amp;$P431,6))</f>
        <v/>
      </c>
    </row>
    <row r="432">
      <c r="A432">
        <f>IF(Sync!$P429="","",Sync!$P429)</f>
        <v/>
      </c>
      <c r="B432">
        <f>IF($A432="","",IF(ISNUMBER($A432),IF(AND($A432&gt;=10000101,$A432&lt;=99991231),INT($A432/10000),""),IFERROR(VALUE(TRIM(LEFT($A432,FIND("/",$A432)-1))),"")))</f>
        <v/>
      </c>
      <c r="C432">
        <f>IF(OR($A432="",$B432=""),"",IF(ISNUMBER($A432),INT(MOD($A432,10000)/100),IFERROR(VALUE(TRIM(LEFT(MID($A432,FIND("/",$A432)+1,20),FIND("/",MID($A432,FIND("/",$A432)+1,20))-1))),"")))</f>
        <v/>
      </c>
      <c r="D432">
        <f>IF(OR($A432="",$B432=""),"",IF(ISNUMBER($A432),MOD($A432,100),IFERROR(VALUE(TRIM(MID(MID($A432,FIND("/",$A432)+1,20),FIND("/",MID($A432,FIND("/",$A432)+1,20))+1,20))),"")))</f>
        <v/>
      </c>
      <c r="E432">
        <f>IF($A432="","",IF(OR($B432="",$C432="",$D432="",$B432&lt;1300,$B432&gt;1500,$C432&lt;1,$C432&gt;12,$D432&lt;1,$D432&gt;31),"نامعتبر",RIGHT("0000"&amp;$B432,4)&amp;"/"&amp;RIGHT("00"&amp;$C432,2)&amp;"/"&amp;RIGHT("00"&amp;$D432,2)))</f>
        <v/>
      </c>
      <c r="F432">
        <f>IF(OR($E432="",$E432="نامعتبر"),"",IF(Sync!$Q429="","0000",IF(AND(ISNUMBER(Sync!$Q429),Sync!$Q429&gt;=0,Sync!$Q429&lt;1),RIGHT("00"&amp;HOUR(Sync!$Q429),2)&amp;RIGHT("00"&amp;MINUTE(Sync!$Q429),2),IFERROR(RIGHT("00"&amp;VALUE(LEFT(Sync!$Q429,FIND(":",Sync!$Q429)-1)),2)&amp;RIGHT("00"&amp;VALUE(MID(Sync!$Q429,FIND(":",Sync!$Q429)+1,2)),2),"0000"))))</f>
        <v/>
      </c>
      <c r="G432">
        <f>IF(OR($E432="",$E432="نامعتبر"),"",IF(Sync!$S429="","",Sync!$S429))</f>
        <v/>
      </c>
      <c r="H432">
        <f>IF(OR($E432="",$E432="نامعتبر"),"",IF(Sync!$R429="","",Sync!$R429))</f>
        <v/>
      </c>
      <c r="I432">
        <f>IF(OR($E432="",$E432="نامعتبر"),"",IF(Sync!$T429="","",Sync!$T429))</f>
        <v/>
      </c>
      <c r="J432">
        <f>IF(OR($E432="",$E432="نامعتبر"),"",IF(Sync!$U429="","",Sync!$U429))</f>
        <v/>
      </c>
      <c r="K432">
        <f>IF(OR($E432="",$E432="نامعتبر"),"",IF(Sync!$V429="","",IFERROR(INDEX(SubCodes,MATCH(Sync!$V429,SubTitles,0)),Sync!$V429)))</f>
        <v/>
      </c>
      <c r="L432">
        <f>IF(OR($E432="",$E432="نامعتبر"),"",IF(Sync!$W429="",0,Sync!$W429))</f>
        <v/>
      </c>
      <c r="M432">
        <f>IF(OR($E432="",$E432="نامعتبر"),"",IF(Sync!$X429="",0,Sync!$X429))</f>
        <v/>
      </c>
      <c r="N432">
        <f>IF(OR($E432="",$E432="نامعتبر"),"",IF(AND($J432="هزینه",$K432&lt;&gt;""),1,0))</f>
        <v/>
      </c>
      <c r="O432">
        <f>IF($N432=0,"",LEFT($E432,4)&amp;MID($E432,6,2)&amp;RIGHT($E432,2)&amp;$F432&amp;"|"&amp;"1"&amp;RIGHT("00000"&amp;424,5))</f>
        <v/>
      </c>
      <c r="P432">
        <f>IF($O432="","",COUNTIFS(ExpSub,$K432,ExpKey,"&lt;"&amp;$O432)+1)</f>
        <v/>
      </c>
      <c r="Q432">
        <f>IF($P432="","",$K432&amp;"|"&amp;RIGHT("000000"&amp;$P432,6))</f>
        <v/>
      </c>
    </row>
    <row r="433">
      <c r="A433">
        <f>IF(Sync!$P430="","",Sync!$P430)</f>
        <v/>
      </c>
      <c r="B433">
        <f>IF($A433="","",IF(ISNUMBER($A433),IF(AND($A433&gt;=10000101,$A433&lt;=99991231),INT($A433/10000),""),IFERROR(VALUE(TRIM(LEFT($A433,FIND("/",$A433)-1))),"")))</f>
        <v/>
      </c>
      <c r="C433">
        <f>IF(OR($A433="",$B433=""),"",IF(ISNUMBER($A433),INT(MOD($A433,10000)/100),IFERROR(VALUE(TRIM(LEFT(MID($A433,FIND("/",$A433)+1,20),FIND("/",MID($A433,FIND("/",$A433)+1,20))-1))),"")))</f>
        <v/>
      </c>
      <c r="D433">
        <f>IF(OR($A433="",$B433=""),"",IF(ISNUMBER($A433),MOD($A433,100),IFERROR(VALUE(TRIM(MID(MID($A433,FIND("/",$A433)+1,20),FIND("/",MID($A433,FIND("/",$A433)+1,20))+1,20))),"")))</f>
        <v/>
      </c>
      <c r="E433">
        <f>IF($A433="","",IF(OR($B433="",$C433="",$D433="",$B433&lt;1300,$B433&gt;1500,$C433&lt;1,$C433&gt;12,$D433&lt;1,$D433&gt;31),"نامعتبر",RIGHT("0000"&amp;$B433,4)&amp;"/"&amp;RIGHT("00"&amp;$C433,2)&amp;"/"&amp;RIGHT("00"&amp;$D433,2)))</f>
        <v/>
      </c>
      <c r="F433">
        <f>IF(OR($E433="",$E433="نامعتبر"),"",IF(Sync!$Q430="","0000",IF(AND(ISNUMBER(Sync!$Q430),Sync!$Q430&gt;=0,Sync!$Q430&lt;1),RIGHT("00"&amp;HOUR(Sync!$Q430),2)&amp;RIGHT("00"&amp;MINUTE(Sync!$Q430),2),IFERROR(RIGHT("00"&amp;VALUE(LEFT(Sync!$Q430,FIND(":",Sync!$Q430)-1)),2)&amp;RIGHT("00"&amp;VALUE(MID(Sync!$Q430,FIND(":",Sync!$Q430)+1,2)),2),"0000"))))</f>
        <v/>
      </c>
      <c r="G433">
        <f>IF(OR($E433="",$E433="نامعتبر"),"",IF(Sync!$S430="","",Sync!$S430))</f>
        <v/>
      </c>
      <c r="H433">
        <f>IF(OR($E433="",$E433="نامعتبر"),"",IF(Sync!$R430="","",Sync!$R430))</f>
        <v/>
      </c>
      <c r="I433">
        <f>IF(OR($E433="",$E433="نامعتبر"),"",IF(Sync!$T430="","",Sync!$T430))</f>
        <v/>
      </c>
      <c r="J433">
        <f>IF(OR($E433="",$E433="نامعتبر"),"",IF(Sync!$U430="","",Sync!$U430))</f>
        <v/>
      </c>
      <c r="K433">
        <f>IF(OR($E433="",$E433="نامعتبر"),"",IF(Sync!$V430="","",IFERROR(INDEX(SubCodes,MATCH(Sync!$V430,SubTitles,0)),Sync!$V430)))</f>
        <v/>
      </c>
      <c r="L433">
        <f>IF(OR($E433="",$E433="نامعتبر"),"",IF(Sync!$W430="",0,Sync!$W430))</f>
        <v/>
      </c>
      <c r="M433">
        <f>IF(OR($E433="",$E433="نامعتبر"),"",IF(Sync!$X430="",0,Sync!$X430))</f>
        <v/>
      </c>
      <c r="N433">
        <f>IF(OR($E433="",$E433="نامعتبر"),"",IF(AND($J433="هزینه",$K433&lt;&gt;""),1,0))</f>
        <v/>
      </c>
      <c r="O433">
        <f>IF($N433=0,"",LEFT($E433,4)&amp;MID($E433,6,2)&amp;RIGHT($E433,2)&amp;$F433&amp;"|"&amp;"1"&amp;RIGHT("00000"&amp;425,5))</f>
        <v/>
      </c>
      <c r="P433">
        <f>IF($O433="","",COUNTIFS(ExpSub,$K433,ExpKey,"&lt;"&amp;$O433)+1)</f>
        <v/>
      </c>
      <c r="Q433">
        <f>IF($P433="","",$K433&amp;"|"&amp;RIGHT("000000"&amp;$P433,6))</f>
        <v/>
      </c>
    </row>
    <row r="434">
      <c r="A434">
        <f>IF(Sync!$P431="","",Sync!$P431)</f>
        <v/>
      </c>
      <c r="B434">
        <f>IF($A434="","",IF(ISNUMBER($A434),IF(AND($A434&gt;=10000101,$A434&lt;=99991231),INT($A434/10000),""),IFERROR(VALUE(TRIM(LEFT($A434,FIND("/",$A434)-1))),"")))</f>
        <v/>
      </c>
      <c r="C434">
        <f>IF(OR($A434="",$B434=""),"",IF(ISNUMBER($A434),INT(MOD($A434,10000)/100),IFERROR(VALUE(TRIM(LEFT(MID($A434,FIND("/",$A434)+1,20),FIND("/",MID($A434,FIND("/",$A434)+1,20))-1))),"")))</f>
        <v/>
      </c>
      <c r="D434">
        <f>IF(OR($A434="",$B434=""),"",IF(ISNUMBER($A434),MOD($A434,100),IFERROR(VALUE(TRIM(MID(MID($A434,FIND("/",$A434)+1,20),FIND("/",MID($A434,FIND("/",$A434)+1,20))+1,20))),"")))</f>
        <v/>
      </c>
      <c r="E434">
        <f>IF($A434="","",IF(OR($B434="",$C434="",$D434="",$B434&lt;1300,$B434&gt;1500,$C434&lt;1,$C434&gt;12,$D434&lt;1,$D434&gt;31),"نامعتبر",RIGHT("0000"&amp;$B434,4)&amp;"/"&amp;RIGHT("00"&amp;$C434,2)&amp;"/"&amp;RIGHT("00"&amp;$D434,2)))</f>
        <v/>
      </c>
      <c r="F434">
        <f>IF(OR($E434="",$E434="نامعتبر"),"",IF(Sync!$Q431="","0000",IF(AND(ISNUMBER(Sync!$Q431),Sync!$Q431&gt;=0,Sync!$Q431&lt;1),RIGHT("00"&amp;HOUR(Sync!$Q431),2)&amp;RIGHT("00"&amp;MINUTE(Sync!$Q431),2),IFERROR(RIGHT("00"&amp;VALUE(LEFT(Sync!$Q431,FIND(":",Sync!$Q431)-1)),2)&amp;RIGHT("00"&amp;VALUE(MID(Sync!$Q431,FIND(":",Sync!$Q431)+1,2)),2),"0000"))))</f>
        <v/>
      </c>
      <c r="G434">
        <f>IF(OR($E434="",$E434="نامعتبر"),"",IF(Sync!$S431="","",Sync!$S431))</f>
        <v/>
      </c>
      <c r="H434">
        <f>IF(OR($E434="",$E434="نامعتبر"),"",IF(Sync!$R431="","",Sync!$R431))</f>
        <v/>
      </c>
      <c r="I434">
        <f>IF(OR($E434="",$E434="نامعتبر"),"",IF(Sync!$T431="","",Sync!$T431))</f>
        <v/>
      </c>
      <c r="J434">
        <f>IF(OR($E434="",$E434="نامعتبر"),"",IF(Sync!$U431="","",Sync!$U431))</f>
        <v/>
      </c>
      <c r="K434">
        <f>IF(OR($E434="",$E434="نامعتبر"),"",IF(Sync!$V431="","",IFERROR(INDEX(SubCodes,MATCH(Sync!$V431,SubTitles,0)),Sync!$V431)))</f>
        <v/>
      </c>
      <c r="L434">
        <f>IF(OR($E434="",$E434="نامعتبر"),"",IF(Sync!$W431="",0,Sync!$W431))</f>
        <v/>
      </c>
      <c r="M434">
        <f>IF(OR($E434="",$E434="نامعتبر"),"",IF(Sync!$X431="",0,Sync!$X431))</f>
        <v/>
      </c>
      <c r="N434">
        <f>IF(OR($E434="",$E434="نامعتبر"),"",IF(AND($J434="هزینه",$K434&lt;&gt;""),1,0))</f>
        <v/>
      </c>
      <c r="O434">
        <f>IF($N434=0,"",LEFT($E434,4)&amp;MID($E434,6,2)&amp;RIGHT($E434,2)&amp;$F434&amp;"|"&amp;"1"&amp;RIGHT("00000"&amp;426,5))</f>
        <v/>
      </c>
      <c r="P434">
        <f>IF($O434="","",COUNTIFS(ExpSub,$K434,ExpKey,"&lt;"&amp;$O434)+1)</f>
        <v/>
      </c>
      <c r="Q434">
        <f>IF($P434="","",$K434&amp;"|"&amp;RIGHT("000000"&amp;$P434,6))</f>
        <v/>
      </c>
    </row>
    <row r="435">
      <c r="A435">
        <f>IF(Sync!$P432="","",Sync!$P432)</f>
        <v/>
      </c>
      <c r="B435">
        <f>IF($A435="","",IF(ISNUMBER($A435),IF(AND($A435&gt;=10000101,$A435&lt;=99991231),INT($A435/10000),""),IFERROR(VALUE(TRIM(LEFT($A435,FIND("/",$A435)-1))),"")))</f>
        <v/>
      </c>
      <c r="C435">
        <f>IF(OR($A435="",$B435=""),"",IF(ISNUMBER($A435),INT(MOD($A435,10000)/100),IFERROR(VALUE(TRIM(LEFT(MID($A435,FIND("/",$A435)+1,20),FIND("/",MID($A435,FIND("/",$A435)+1,20))-1))),"")))</f>
        <v/>
      </c>
      <c r="D435">
        <f>IF(OR($A435="",$B435=""),"",IF(ISNUMBER($A435),MOD($A435,100),IFERROR(VALUE(TRIM(MID(MID($A435,FIND("/",$A435)+1,20),FIND("/",MID($A435,FIND("/",$A435)+1,20))+1,20))),"")))</f>
        <v/>
      </c>
      <c r="E435">
        <f>IF($A435="","",IF(OR($B435="",$C435="",$D435="",$B435&lt;1300,$B435&gt;1500,$C435&lt;1,$C435&gt;12,$D435&lt;1,$D435&gt;31),"نامعتبر",RIGHT("0000"&amp;$B435,4)&amp;"/"&amp;RIGHT("00"&amp;$C435,2)&amp;"/"&amp;RIGHT("00"&amp;$D435,2)))</f>
        <v/>
      </c>
      <c r="F435">
        <f>IF(OR($E435="",$E435="نامعتبر"),"",IF(Sync!$Q432="","0000",IF(AND(ISNUMBER(Sync!$Q432),Sync!$Q432&gt;=0,Sync!$Q432&lt;1),RIGHT("00"&amp;HOUR(Sync!$Q432),2)&amp;RIGHT("00"&amp;MINUTE(Sync!$Q432),2),IFERROR(RIGHT("00"&amp;VALUE(LEFT(Sync!$Q432,FIND(":",Sync!$Q432)-1)),2)&amp;RIGHT("00"&amp;VALUE(MID(Sync!$Q432,FIND(":",Sync!$Q432)+1,2)),2),"0000"))))</f>
        <v/>
      </c>
      <c r="G435">
        <f>IF(OR($E435="",$E435="نامعتبر"),"",IF(Sync!$S432="","",Sync!$S432))</f>
        <v/>
      </c>
      <c r="H435">
        <f>IF(OR($E435="",$E435="نامعتبر"),"",IF(Sync!$R432="","",Sync!$R432))</f>
        <v/>
      </c>
      <c r="I435">
        <f>IF(OR($E435="",$E435="نامعتبر"),"",IF(Sync!$T432="","",Sync!$T432))</f>
        <v/>
      </c>
      <c r="J435">
        <f>IF(OR($E435="",$E435="نامعتبر"),"",IF(Sync!$U432="","",Sync!$U432))</f>
        <v/>
      </c>
      <c r="K435">
        <f>IF(OR($E435="",$E435="نامعتبر"),"",IF(Sync!$V432="","",IFERROR(INDEX(SubCodes,MATCH(Sync!$V432,SubTitles,0)),Sync!$V432)))</f>
        <v/>
      </c>
      <c r="L435">
        <f>IF(OR($E435="",$E435="نامعتبر"),"",IF(Sync!$W432="",0,Sync!$W432))</f>
        <v/>
      </c>
      <c r="M435">
        <f>IF(OR($E435="",$E435="نامعتبر"),"",IF(Sync!$X432="",0,Sync!$X432))</f>
        <v/>
      </c>
      <c r="N435">
        <f>IF(OR($E435="",$E435="نامعتبر"),"",IF(AND($J435="هزینه",$K435&lt;&gt;""),1,0))</f>
        <v/>
      </c>
      <c r="O435">
        <f>IF($N435=0,"",LEFT($E435,4)&amp;MID($E435,6,2)&amp;RIGHT($E435,2)&amp;$F435&amp;"|"&amp;"1"&amp;RIGHT("00000"&amp;427,5))</f>
        <v/>
      </c>
      <c r="P435">
        <f>IF($O435="","",COUNTIFS(ExpSub,$K435,ExpKey,"&lt;"&amp;$O435)+1)</f>
        <v/>
      </c>
      <c r="Q435">
        <f>IF($P435="","",$K435&amp;"|"&amp;RIGHT("000000"&amp;$P435,6))</f>
        <v/>
      </c>
    </row>
    <row r="436">
      <c r="A436">
        <f>IF(Sync!$P433="","",Sync!$P433)</f>
        <v/>
      </c>
      <c r="B436">
        <f>IF($A436="","",IF(ISNUMBER($A436),IF(AND($A436&gt;=10000101,$A436&lt;=99991231),INT($A436/10000),""),IFERROR(VALUE(TRIM(LEFT($A436,FIND("/",$A436)-1))),"")))</f>
        <v/>
      </c>
      <c r="C436">
        <f>IF(OR($A436="",$B436=""),"",IF(ISNUMBER($A436),INT(MOD($A436,10000)/100),IFERROR(VALUE(TRIM(LEFT(MID($A436,FIND("/",$A436)+1,20),FIND("/",MID($A436,FIND("/",$A436)+1,20))-1))),"")))</f>
        <v/>
      </c>
      <c r="D436">
        <f>IF(OR($A436="",$B436=""),"",IF(ISNUMBER($A436),MOD($A436,100),IFERROR(VALUE(TRIM(MID(MID($A436,FIND("/",$A436)+1,20),FIND("/",MID($A436,FIND("/",$A436)+1,20))+1,20))),"")))</f>
        <v/>
      </c>
      <c r="E436">
        <f>IF($A436="","",IF(OR($B436="",$C436="",$D436="",$B436&lt;1300,$B436&gt;1500,$C436&lt;1,$C436&gt;12,$D436&lt;1,$D436&gt;31),"نامعتبر",RIGHT("0000"&amp;$B436,4)&amp;"/"&amp;RIGHT("00"&amp;$C436,2)&amp;"/"&amp;RIGHT("00"&amp;$D436,2)))</f>
        <v/>
      </c>
      <c r="F436">
        <f>IF(OR($E436="",$E436="نامعتبر"),"",IF(Sync!$Q433="","0000",IF(AND(ISNUMBER(Sync!$Q433),Sync!$Q433&gt;=0,Sync!$Q433&lt;1),RIGHT("00"&amp;HOUR(Sync!$Q433),2)&amp;RIGHT("00"&amp;MINUTE(Sync!$Q433),2),IFERROR(RIGHT("00"&amp;VALUE(LEFT(Sync!$Q433,FIND(":",Sync!$Q433)-1)),2)&amp;RIGHT("00"&amp;VALUE(MID(Sync!$Q433,FIND(":",Sync!$Q433)+1,2)),2),"0000"))))</f>
        <v/>
      </c>
      <c r="G436">
        <f>IF(OR($E436="",$E436="نامعتبر"),"",IF(Sync!$S433="","",Sync!$S433))</f>
        <v/>
      </c>
      <c r="H436">
        <f>IF(OR($E436="",$E436="نامعتبر"),"",IF(Sync!$R433="","",Sync!$R433))</f>
        <v/>
      </c>
      <c r="I436">
        <f>IF(OR($E436="",$E436="نامعتبر"),"",IF(Sync!$T433="","",Sync!$T433))</f>
        <v/>
      </c>
      <c r="J436">
        <f>IF(OR($E436="",$E436="نامعتبر"),"",IF(Sync!$U433="","",Sync!$U433))</f>
        <v/>
      </c>
      <c r="K436">
        <f>IF(OR($E436="",$E436="نامعتبر"),"",IF(Sync!$V433="","",IFERROR(INDEX(SubCodes,MATCH(Sync!$V433,SubTitles,0)),Sync!$V433)))</f>
        <v/>
      </c>
      <c r="L436">
        <f>IF(OR($E436="",$E436="نامعتبر"),"",IF(Sync!$W433="",0,Sync!$W433))</f>
        <v/>
      </c>
      <c r="M436">
        <f>IF(OR($E436="",$E436="نامعتبر"),"",IF(Sync!$X433="",0,Sync!$X433))</f>
        <v/>
      </c>
      <c r="N436">
        <f>IF(OR($E436="",$E436="نامعتبر"),"",IF(AND($J436="هزینه",$K436&lt;&gt;""),1,0))</f>
        <v/>
      </c>
      <c r="O436">
        <f>IF($N436=0,"",LEFT($E436,4)&amp;MID($E436,6,2)&amp;RIGHT($E436,2)&amp;$F436&amp;"|"&amp;"1"&amp;RIGHT("00000"&amp;428,5))</f>
        <v/>
      </c>
      <c r="P436">
        <f>IF($O436="","",COUNTIFS(ExpSub,$K436,ExpKey,"&lt;"&amp;$O436)+1)</f>
        <v/>
      </c>
      <c r="Q436">
        <f>IF($P436="","",$K436&amp;"|"&amp;RIGHT("000000"&amp;$P436,6))</f>
        <v/>
      </c>
    </row>
    <row r="437">
      <c r="A437">
        <f>IF(Sync!$P434="","",Sync!$P434)</f>
        <v/>
      </c>
      <c r="B437">
        <f>IF($A437="","",IF(ISNUMBER($A437),IF(AND($A437&gt;=10000101,$A437&lt;=99991231),INT($A437/10000),""),IFERROR(VALUE(TRIM(LEFT($A437,FIND("/",$A437)-1))),"")))</f>
        <v/>
      </c>
      <c r="C437">
        <f>IF(OR($A437="",$B437=""),"",IF(ISNUMBER($A437),INT(MOD($A437,10000)/100),IFERROR(VALUE(TRIM(LEFT(MID($A437,FIND("/",$A437)+1,20),FIND("/",MID($A437,FIND("/",$A437)+1,20))-1))),"")))</f>
        <v/>
      </c>
      <c r="D437">
        <f>IF(OR($A437="",$B437=""),"",IF(ISNUMBER($A437),MOD($A437,100),IFERROR(VALUE(TRIM(MID(MID($A437,FIND("/",$A437)+1,20),FIND("/",MID($A437,FIND("/",$A437)+1,20))+1,20))),"")))</f>
        <v/>
      </c>
      <c r="E437">
        <f>IF($A437="","",IF(OR($B437="",$C437="",$D437="",$B437&lt;1300,$B437&gt;1500,$C437&lt;1,$C437&gt;12,$D437&lt;1,$D437&gt;31),"نامعتبر",RIGHT("0000"&amp;$B437,4)&amp;"/"&amp;RIGHT("00"&amp;$C437,2)&amp;"/"&amp;RIGHT("00"&amp;$D437,2)))</f>
        <v/>
      </c>
      <c r="F437">
        <f>IF(OR($E437="",$E437="نامعتبر"),"",IF(Sync!$Q434="","0000",IF(AND(ISNUMBER(Sync!$Q434),Sync!$Q434&gt;=0,Sync!$Q434&lt;1),RIGHT("00"&amp;HOUR(Sync!$Q434),2)&amp;RIGHT("00"&amp;MINUTE(Sync!$Q434),2),IFERROR(RIGHT("00"&amp;VALUE(LEFT(Sync!$Q434,FIND(":",Sync!$Q434)-1)),2)&amp;RIGHT("00"&amp;VALUE(MID(Sync!$Q434,FIND(":",Sync!$Q434)+1,2)),2),"0000"))))</f>
        <v/>
      </c>
      <c r="G437">
        <f>IF(OR($E437="",$E437="نامعتبر"),"",IF(Sync!$S434="","",Sync!$S434))</f>
        <v/>
      </c>
      <c r="H437">
        <f>IF(OR($E437="",$E437="نامعتبر"),"",IF(Sync!$R434="","",Sync!$R434))</f>
        <v/>
      </c>
      <c r="I437">
        <f>IF(OR($E437="",$E437="نامعتبر"),"",IF(Sync!$T434="","",Sync!$T434))</f>
        <v/>
      </c>
      <c r="J437">
        <f>IF(OR($E437="",$E437="نامعتبر"),"",IF(Sync!$U434="","",Sync!$U434))</f>
        <v/>
      </c>
      <c r="K437">
        <f>IF(OR($E437="",$E437="نامعتبر"),"",IF(Sync!$V434="","",IFERROR(INDEX(SubCodes,MATCH(Sync!$V434,SubTitles,0)),Sync!$V434)))</f>
        <v/>
      </c>
      <c r="L437">
        <f>IF(OR($E437="",$E437="نامعتبر"),"",IF(Sync!$W434="",0,Sync!$W434))</f>
        <v/>
      </c>
      <c r="M437">
        <f>IF(OR($E437="",$E437="نامعتبر"),"",IF(Sync!$X434="",0,Sync!$X434))</f>
        <v/>
      </c>
      <c r="N437">
        <f>IF(OR($E437="",$E437="نامعتبر"),"",IF(AND($J437="هزینه",$K437&lt;&gt;""),1,0))</f>
        <v/>
      </c>
      <c r="O437">
        <f>IF($N437=0,"",LEFT($E437,4)&amp;MID($E437,6,2)&amp;RIGHT($E437,2)&amp;$F437&amp;"|"&amp;"1"&amp;RIGHT("00000"&amp;429,5))</f>
        <v/>
      </c>
      <c r="P437">
        <f>IF($O437="","",COUNTIFS(ExpSub,$K437,ExpKey,"&lt;"&amp;$O437)+1)</f>
        <v/>
      </c>
      <c r="Q437">
        <f>IF($P437="","",$K437&amp;"|"&amp;RIGHT("000000"&amp;$P437,6))</f>
        <v/>
      </c>
    </row>
    <row r="438">
      <c r="A438">
        <f>IF(Sync!$P435="","",Sync!$P435)</f>
        <v/>
      </c>
      <c r="B438">
        <f>IF($A438="","",IF(ISNUMBER($A438),IF(AND($A438&gt;=10000101,$A438&lt;=99991231),INT($A438/10000),""),IFERROR(VALUE(TRIM(LEFT($A438,FIND("/",$A438)-1))),"")))</f>
        <v/>
      </c>
      <c r="C438">
        <f>IF(OR($A438="",$B438=""),"",IF(ISNUMBER($A438),INT(MOD($A438,10000)/100),IFERROR(VALUE(TRIM(LEFT(MID($A438,FIND("/",$A438)+1,20),FIND("/",MID($A438,FIND("/",$A438)+1,20))-1))),"")))</f>
        <v/>
      </c>
      <c r="D438">
        <f>IF(OR($A438="",$B438=""),"",IF(ISNUMBER($A438),MOD($A438,100),IFERROR(VALUE(TRIM(MID(MID($A438,FIND("/",$A438)+1,20),FIND("/",MID($A438,FIND("/",$A438)+1,20))+1,20))),"")))</f>
        <v/>
      </c>
      <c r="E438">
        <f>IF($A438="","",IF(OR($B438="",$C438="",$D438="",$B438&lt;1300,$B438&gt;1500,$C438&lt;1,$C438&gt;12,$D438&lt;1,$D438&gt;31),"نامعتبر",RIGHT("0000"&amp;$B438,4)&amp;"/"&amp;RIGHT("00"&amp;$C438,2)&amp;"/"&amp;RIGHT("00"&amp;$D438,2)))</f>
        <v/>
      </c>
      <c r="F438">
        <f>IF(OR($E438="",$E438="نامعتبر"),"",IF(Sync!$Q435="","0000",IF(AND(ISNUMBER(Sync!$Q435),Sync!$Q435&gt;=0,Sync!$Q435&lt;1),RIGHT("00"&amp;HOUR(Sync!$Q435),2)&amp;RIGHT("00"&amp;MINUTE(Sync!$Q435),2),IFERROR(RIGHT("00"&amp;VALUE(LEFT(Sync!$Q435,FIND(":",Sync!$Q435)-1)),2)&amp;RIGHT("00"&amp;VALUE(MID(Sync!$Q435,FIND(":",Sync!$Q435)+1,2)),2),"0000"))))</f>
        <v/>
      </c>
      <c r="G438">
        <f>IF(OR($E438="",$E438="نامعتبر"),"",IF(Sync!$S435="","",Sync!$S435))</f>
        <v/>
      </c>
      <c r="H438">
        <f>IF(OR($E438="",$E438="نامعتبر"),"",IF(Sync!$R435="","",Sync!$R435))</f>
        <v/>
      </c>
      <c r="I438">
        <f>IF(OR($E438="",$E438="نامعتبر"),"",IF(Sync!$T435="","",Sync!$T435))</f>
        <v/>
      </c>
      <c r="J438">
        <f>IF(OR($E438="",$E438="نامعتبر"),"",IF(Sync!$U435="","",Sync!$U435))</f>
        <v/>
      </c>
      <c r="K438">
        <f>IF(OR($E438="",$E438="نامعتبر"),"",IF(Sync!$V435="","",IFERROR(INDEX(SubCodes,MATCH(Sync!$V435,SubTitles,0)),Sync!$V435)))</f>
        <v/>
      </c>
      <c r="L438">
        <f>IF(OR($E438="",$E438="نامعتبر"),"",IF(Sync!$W435="",0,Sync!$W435))</f>
        <v/>
      </c>
      <c r="M438">
        <f>IF(OR($E438="",$E438="نامعتبر"),"",IF(Sync!$X435="",0,Sync!$X435))</f>
        <v/>
      </c>
      <c r="N438">
        <f>IF(OR($E438="",$E438="نامعتبر"),"",IF(AND($J438="هزینه",$K438&lt;&gt;""),1,0))</f>
        <v/>
      </c>
      <c r="O438">
        <f>IF($N438=0,"",LEFT($E438,4)&amp;MID($E438,6,2)&amp;RIGHT($E438,2)&amp;$F438&amp;"|"&amp;"1"&amp;RIGHT("00000"&amp;430,5))</f>
        <v/>
      </c>
      <c r="P438">
        <f>IF($O438="","",COUNTIFS(ExpSub,$K438,ExpKey,"&lt;"&amp;$O438)+1)</f>
        <v/>
      </c>
      <c r="Q438">
        <f>IF($P438="","",$K438&amp;"|"&amp;RIGHT("000000"&amp;$P438,6))</f>
        <v/>
      </c>
    </row>
    <row r="439">
      <c r="A439">
        <f>IF(Sync!$P436="","",Sync!$P436)</f>
        <v/>
      </c>
      <c r="B439">
        <f>IF($A439="","",IF(ISNUMBER($A439),IF(AND($A439&gt;=10000101,$A439&lt;=99991231),INT($A439/10000),""),IFERROR(VALUE(TRIM(LEFT($A439,FIND("/",$A439)-1))),"")))</f>
        <v/>
      </c>
      <c r="C439">
        <f>IF(OR($A439="",$B439=""),"",IF(ISNUMBER($A439),INT(MOD($A439,10000)/100),IFERROR(VALUE(TRIM(LEFT(MID($A439,FIND("/",$A439)+1,20),FIND("/",MID($A439,FIND("/",$A439)+1,20))-1))),"")))</f>
        <v/>
      </c>
      <c r="D439">
        <f>IF(OR($A439="",$B439=""),"",IF(ISNUMBER($A439),MOD($A439,100),IFERROR(VALUE(TRIM(MID(MID($A439,FIND("/",$A439)+1,20),FIND("/",MID($A439,FIND("/",$A439)+1,20))+1,20))),"")))</f>
        <v/>
      </c>
      <c r="E439">
        <f>IF($A439="","",IF(OR($B439="",$C439="",$D439="",$B439&lt;1300,$B439&gt;1500,$C439&lt;1,$C439&gt;12,$D439&lt;1,$D439&gt;31),"نامعتبر",RIGHT("0000"&amp;$B439,4)&amp;"/"&amp;RIGHT("00"&amp;$C439,2)&amp;"/"&amp;RIGHT("00"&amp;$D439,2)))</f>
        <v/>
      </c>
      <c r="F439">
        <f>IF(OR($E439="",$E439="نامعتبر"),"",IF(Sync!$Q436="","0000",IF(AND(ISNUMBER(Sync!$Q436),Sync!$Q436&gt;=0,Sync!$Q436&lt;1),RIGHT("00"&amp;HOUR(Sync!$Q436),2)&amp;RIGHT("00"&amp;MINUTE(Sync!$Q436),2),IFERROR(RIGHT("00"&amp;VALUE(LEFT(Sync!$Q436,FIND(":",Sync!$Q436)-1)),2)&amp;RIGHT("00"&amp;VALUE(MID(Sync!$Q436,FIND(":",Sync!$Q436)+1,2)),2),"0000"))))</f>
        <v/>
      </c>
      <c r="G439">
        <f>IF(OR($E439="",$E439="نامعتبر"),"",IF(Sync!$S436="","",Sync!$S436))</f>
        <v/>
      </c>
      <c r="H439">
        <f>IF(OR($E439="",$E439="نامعتبر"),"",IF(Sync!$R436="","",Sync!$R436))</f>
        <v/>
      </c>
      <c r="I439">
        <f>IF(OR($E439="",$E439="نامعتبر"),"",IF(Sync!$T436="","",Sync!$T436))</f>
        <v/>
      </c>
      <c r="J439">
        <f>IF(OR($E439="",$E439="نامعتبر"),"",IF(Sync!$U436="","",Sync!$U436))</f>
        <v/>
      </c>
      <c r="K439">
        <f>IF(OR($E439="",$E439="نامعتبر"),"",IF(Sync!$V436="","",IFERROR(INDEX(SubCodes,MATCH(Sync!$V436,SubTitles,0)),Sync!$V436)))</f>
        <v/>
      </c>
      <c r="L439">
        <f>IF(OR($E439="",$E439="نامعتبر"),"",IF(Sync!$W436="",0,Sync!$W436))</f>
        <v/>
      </c>
      <c r="M439">
        <f>IF(OR($E439="",$E439="نامعتبر"),"",IF(Sync!$X436="",0,Sync!$X436))</f>
        <v/>
      </c>
      <c r="N439">
        <f>IF(OR($E439="",$E439="نامعتبر"),"",IF(AND($J439="هزینه",$K439&lt;&gt;""),1,0))</f>
        <v/>
      </c>
      <c r="O439">
        <f>IF($N439=0,"",LEFT($E439,4)&amp;MID($E439,6,2)&amp;RIGHT($E439,2)&amp;$F439&amp;"|"&amp;"1"&amp;RIGHT("00000"&amp;431,5))</f>
        <v/>
      </c>
      <c r="P439">
        <f>IF($O439="","",COUNTIFS(ExpSub,$K439,ExpKey,"&lt;"&amp;$O439)+1)</f>
        <v/>
      </c>
      <c r="Q439">
        <f>IF($P439="","",$K439&amp;"|"&amp;RIGHT("000000"&amp;$P439,6))</f>
        <v/>
      </c>
    </row>
    <row r="440">
      <c r="A440">
        <f>IF(Sync!$P437="","",Sync!$P437)</f>
        <v/>
      </c>
      <c r="B440">
        <f>IF($A440="","",IF(ISNUMBER($A440),IF(AND($A440&gt;=10000101,$A440&lt;=99991231),INT($A440/10000),""),IFERROR(VALUE(TRIM(LEFT($A440,FIND("/",$A440)-1))),"")))</f>
        <v/>
      </c>
      <c r="C440">
        <f>IF(OR($A440="",$B440=""),"",IF(ISNUMBER($A440),INT(MOD($A440,10000)/100),IFERROR(VALUE(TRIM(LEFT(MID($A440,FIND("/",$A440)+1,20),FIND("/",MID($A440,FIND("/",$A440)+1,20))-1))),"")))</f>
        <v/>
      </c>
      <c r="D440">
        <f>IF(OR($A440="",$B440=""),"",IF(ISNUMBER($A440),MOD($A440,100),IFERROR(VALUE(TRIM(MID(MID($A440,FIND("/",$A440)+1,20),FIND("/",MID($A440,FIND("/",$A440)+1,20))+1,20))),"")))</f>
        <v/>
      </c>
      <c r="E440">
        <f>IF($A440="","",IF(OR($B440="",$C440="",$D440="",$B440&lt;1300,$B440&gt;1500,$C440&lt;1,$C440&gt;12,$D440&lt;1,$D440&gt;31),"نامعتبر",RIGHT("0000"&amp;$B440,4)&amp;"/"&amp;RIGHT("00"&amp;$C440,2)&amp;"/"&amp;RIGHT("00"&amp;$D440,2)))</f>
        <v/>
      </c>
      <c r="F440">
        <f>IF(OR($E440="",$E440="نامعتبر"),"",IF(Sync!$Q437="","0000",IF(AND(ISNUMBER(Sync!$Q437),Sync!$Q437&gt;=0,Sync!$Q437&lt;1),RIGHT("00"&amp;HOUR(Sync!$Q437),2)&amp;RIGHT("00"&amp;MINUTE(Sync!$Q437),2),IFERROR(RIGHT("00"&amp;VALUE(LEFT(Sync!$Q437,FIND(":",Sync!$Q437)-1)),2)&amp;RIGHT("00"&amp;VALUE(MID(Sync!$Q437,FIND(":",Sync!$Q437)+1,2)),2),"0000"))))</f>
        <v/>
      </c>
      <c r="G440">
        <f>IF(OR($E440="",$E440="نامعتبر"),"",IF(Sync!$S437="","",Sync!$S437))</f>
        <v/>
      </c>
      <c r="H440">
        <f>IF(OR($E440="",$E440="نامعتبر"),"",IF(Sync!$R437="","",Sync!$R437))</f>
        <v/>
      </c>
      <c r="I440">
        <f>IF(OR($E440="",$E440="نامعتبر"),"",IF(Sync!$T437="","",Sync!$T437))</f>
        <v/>
      </c>
      <c r="J440">
        <f>IF(OR($E440="",$E440="نامعتبر"),"",IF(Sync!$U437="","",Sync!$U437))</f>
        <v/>
      </c>
      <c r="K440">
        <f>IF(OR($E440="",$E440="نامعتبر"),"",IF(Sync!$V437="","",IFERROR(INDEX(SubCodes,MATCH(Sync!$V437,SubTitles,0)),Sync!$V437)))</f>
        <v/>
      </c>
      <c r="L440">
        <f>IF(OR($E440="",$E440="نامعتبر"),"",IF(Sync!$W437="",0,Sync!$W437))</f>
        <v/>
      </c>
      <c r="M440">
        <f>IF(OR($E440="",$E440="نامعتبر"),"",IF(Sync!$X437="",0,Sync!$X437))</f>
        <v/>
      </c>
      <c r="N440">
        <f>IF(OR($E440="",$E440="نامعتبر"),"",IF(AND($J440="هزینه",$K440&lt;&gt;""),1,0))</f>
        <v/>
      </c>
      <c r="O440">
        <f>IF($N440=0,"",LEFT($E440,4)&amp;MID($E440,6,2)&amp;RIGHT($E440,2)&amp;$F440&amp;"|"&amp;"1"&amp;RIGHT("00000"&amp;432,5))</f>
        <v/>
      </c>
      <c r="P440">
        <f>IF($O440="","",COUNTIFS(ExpSub,$K440,ExpKey,"&lt;"&amp;$O440)+1)</f>
        <v/>
      </c>
      <c r="Q440">
        <f>IF($P440="","",$K440&amp;"|"&amp;RIGHT("000000"&amp;$P440,6))</f>
        <v/>
      </c>
    </row>
    <row r="441">
      <c r="A441">
        <f>IF(Sync!$P438="","",Sync!$P438)</f>
        <v/>
      </c>
      <c r="B441">
        <f>IF($A441="","",IF(ISNUMBER($A441),IF(AND($A441&gt;=10000101,$A441&lt;=99991231),INT($A441/10000),""),IFERROR(VALUE(TRIM(LEFT($A441,FIND("/",$A441)-1))),"")))</f>
        <v/>
      </c>
      <c r="C441">
        <f>IF(OR($A441="",$B441=""),"",IF(ISNUMBER($A441),INT(MOD($A441,10000)/100),IFERROR(VALUE(TRIM(LEFT(MID($A441,FIND("/",$A441)+1,20),FIND("/",MID($A441,FIND("/",$A441)+1,20))-1))),"")))</f>
        <v/>
      </c>
      <c r="D441">
        <f>IF(OR($A441="",$B441=""),"",IF(ISNUMBER($A441),MOD($A441,100),IFERROR(VALUE(TRIM(MID(MID($A441,FIND("/",$A441)+1,20),FIND("/",MID($A441,FIND("/",$A441)+1,20))+1,20))),"")))</f>
        <v/>
      </c>
      <c r="E441">
        <f>IF($A441="","",IF(OR($B441="",$C441="",$D441="",$B441&lt;1300,$B441&gt;1500,$C441&lt;1,$C441&gt;12,$D441&lt;1,$D441&gt;31),"نامعتبر",RIGHT("0000"&amp;$B441,4)&amp;"/"&amp;RIGHT("00"&amp;$C441,2)&amp;"/"&amp;RIGHT("00"&amp;$D441,2)))</f>
        <v/>
      </c>
      <c r="F441">
        <f>IF(OR($E441="",$E441="نامعتبر"),"",IF(Sync!$Q438="","0000",IF(AND(ISNUMBER(Sync!$Q438),Sync!$Q438&gt;=0,Sync!$Q438&lt;1),RIGHT("00"&amp;HOUR(Sync!$Q438),2)&amp;RIGHT("00"&amp;MINUTE(Sync!$Q438),2),IFERROR(RIGHT("00"&amp;VALUE(LEFT(Sync!$Q438,FIND(":",Sync!$Q438)-1)),2)&amp;RIGHT("00"&amp;VALUE(MID(Sync!$Q438,FIND(":",Sync!$Q438)+1,2)),2),"0000"))))</f>
        <v/>
      </c>
      <c r="G441">
        <f>IF(OR($E441="",$E441="نامعتبر"),"",IF(Sync!$S438="","",Sync!$S438))</f>
        <v/>
      </c>
      <c r="H441">
        <f>IF(OR($E441="",$E441="نامعتبر"),"",IF(Sync!$R438="","",Sync!$R438))</f>
        <v/>
      </c>
      <c r="I441">
        <f>IF(OR($E441="",$E441="نامعتبر"),"",IF(Sync!$T438="","",Sync!$T438))</f>
        <v/>
      </c>
      <c r="J441">
        <f>IF(OR($E441="",$E441="نامعتبر"),"",IF(Sync!$U438="","",Sync!$U438))</f>
        <v/>
      </c>
      <c r="K441">
        <f>IF(OR($E441="",$E441="نامعتبر"),"",IF(Sync!$V438="","",IFERROR(INDEX(SubCodes,MATCH(Sync!$V438,SubTitles,0)),Sync!$V438)))</f>
        <v/>
      </c>
      <c r="L441">
        <f>IF(OR($E441="",$E441="نامعتبر"),"",IF(Sync!$W438="",0,Sync!$W438))</f>
        <v/>
      </c>
      <c r="M441">
        <f>IF(OR($E441="",$E441="نامعتبر"),"",IF(Sync!$X438="",0,Sync!$X438))</f>
        <v/>
      </c>
      <c r="N441">
        <f>IF(OR($E441="",$E441="نامعتبر"),"",IF(AND($J441="هزینه",$K441&lt;&gt;""),1,0))</f>
        <v/>
      </c>
      <c r="O441">
        <f>IF($N441=0,"",LEFT($E441,4)&amp;MID($E441,6,2)&amp;RIGHT($E441,2)&amp;$F441&amp;"|"&amp;"1"&amp;RIGHT("00000"&amp;433,5))</f>
        <v/>
      </c>
      <c r="P441">
        <f>IF($O441="","",COUNTIFS(ExpSub,$K441,ExpKey,"&lt;"&amp;$O441)+1)</f>
        <v/>
      </c>
      <c r="Q441">
        <f>IF($P441="","",$K441&amp;"|"&amp;RIGHT("000000"&amp;$P441,6))</f>
        <v/>
      </c>
    </row>
    <row r="442">
      <c r="A442">
        <f>IF(Sync!$P439="","",Sync!$P439)</f>
        <v/>
      </c>
      <c r="B442">
        <f>IF($A442="","",IF(ISNUMBER($A442),IF(AND($A442&gt;=10000101,$A442&lt;=99991231),INT($A442/10000),""),IFERROR(VALUE(TRIM(LEFT($A442,FIND("/",$A442)-1))),"")))</f>
        <v/>
      </c>
      <c r="C442">
        <f>IF(OR($A442="",$B442=""),"",IF(ISNUMBER($A442),INT(MOD($A442,10000)/100),IFERROR(VALUE(TRIM(LEFT(MID($A442,FIND("/",$A442)+1,20),FIND("/",MID($A442,FIND("/",$A442)+1,20))-1))),"")))</f>
        <v/>
      </c>
      <c r="D442">
        <f>IF(OR($A442="",$B442=""),"",IF(ISNUMBER($A442),MOD($A442,100),IFERROR(VALUE(TRIM(MID(MID($A442,FIND("/",$A442)+1,20),FIND("/",MID($A442,FIND("/",$A442)+1,20))+1,20))),"")))</f>
        <v/>
      </c>
      <c r="E442">
        <f>IF($A442="","",IF(OR($B442="",$C442="",$D442="",$B442&lt;1300,$B442&gt;1500,$C442&lt;1,$C442&gt;12,$D442&lt;1,$D442&gt;31),"نامعتبر",RIGHT("0000"&amp;$B442,4)&amp;"/"&amp;RIGHT("00"&amp;$C442,2)&amp;"/"&amp;RIGHT("00"&amp;$D442,2)))</f>
        <v/>
      </c>
      <c r="F442">
        <f>IF(OR($E442="",$E442="نامعتبر"),"",IF(Sync!$Q439="","0000",IF(AND(ISNUMBER(Sync!$Q439),Sync!$Q439&gt;=0,Sync!$Q439&lt;1),RIGHT("00"&amp;HOUR(Sync!$Q439),2)&amp;RIGHT("00"&amp;MINUTE(Sync!$Q439),2),IFERROR(RIGHT("00"&amp;VALUE(LEFT(Sync!$Q439,FIND(":",Sync!$Q439)-1)),2)&amp;RIGHT("00"&amp;VALUE(MID(Sync!$Q439,FIND(":",Sync!$Q439)+1,2)),2),"0000"))))</f>
        <v/>
      </c>
      <c r="G442">
        <f>IF(OR($E442="",$E442="نامعتبر"),"",IF(Sync!$S439="","",Sync!$S439))</f>
        <v/>
      </c>
      <c r="H442">
        <f>IF(OR($E442="",$E442="نامعتبر"),"",IF(Sync!$R439="","",Sync!$R439))</f>
        <v/>
      </c>
      <c r="I442">
        <f>IF(OR($E442="",$E442="نامعتبر"),"",IF(Sync!$T439="","",Sync!$T439))</f>
        <v/>
      </c>
      <c r="J442">
        <f>IF(OR($E442="",$E442="نامعتبر"),"",IF(Sync!$U439="","",Sync!$U439))</f>
        <v/>
      </c>
      <c r="K442">
        <f>IF(OR($E442="",$E442="نامعتبر"),"",IF(Sync!$V439="","",IFERROR(INDEX(SubCodes,MATCH(Sync!$V439,SubTitles,0)),Sync!$V439)))</f>
        <v/>
      </c>
      <c r="L442">
        <f>IF(OR($E442="",$E442="نامعتبر"),"",IF(Sync!$W439="",0,Sync!$W439))</f>
        <v/>
      </c>
      <c r="M442">
        <f>IF(OR($E442="",$E442="نامعتبر"),"",IF(Sync!$X439="",0,Sync!$X439))</f>
        <v/>
      </c>
      <c r="N442">
        <f>IF(OR($E442="",$E442="نامعتبر"),"",IF(AND($J442="هزینه",$K442&lt;&gt;""),1,0))</f>
        <v/>
      </c>
      <c r="O442">
        <f>IF($N442=0,"",LEFT($E442,4)&amp;MID($E442,6,2)&amp;RIGHT($E442,2)&amp;$F442&amp;"|"&amp;"1"&amp;RIGHT("00000"&amp;434,5))</f>
        <v/>
      </c>
      <c r="P442">
        <f>IF($O442="","",COUNTIFS(ExpSub,$K442,ExpKey,"&lt;"&amp;$O442)+1)</f>
        <v/>
      </c>
      <c r="Q442">
        <f>IF($P442="","",$K442&amp;"|"&amp;RIGHT("000000"&amp;$P442,6))</f>
        <v/>
      </c>
    </row>
    <row r="443">
      <c r="A443">
        <f>IF(Sync!$P440="","",Sync!$P440)</f>
        <v/>
      </c>
      <c r="B443">
        <f>IF($A443="","",IF(ISNUMBER($A443),IF(AND($A443&gt;=10000101,$A443&lt;=99991231),INT($A443/10000),""),IFERROR(VALUE(TRIM(LEFT($A443,FIND("/",$A443)-1))),"")))</f>
        <v/>
      </c>
      <c r="C443">
        <f>IF(OR($A443="",$B443=""),"",IF(ISNUMBER($A443),INT(MOD($A443,10000)/100),IFERROR(VALUE(TRIM(LEFT(MID($A443,FIND("/",$A443)+1,20),FIND("/",MID($A443,FIND("/",$A443)+1,20))-1))),"")))</f>
        <v/>
      </c>
      <c r="D443">
        <f>IF(OR($A443="",$B443=""),"",IF(ISNUMBER($A443),MOD($A443,100),IFERROR(VALUE(TRIM(MID(MID($A443,FIND("/",$A443)+1,20),FIND("/",MID($A443,FIND("/",$A443)+1,20))+1,20))),"")))</f>
        <v/>
      </c>
      <c r="E443">
        <f>IF($A443="","",IF(OR($B443="",$C443="",$D443="",$B443&lt;1300,$B443&gt;1500,$C443&lt;1,$C443&gt;12,$D443&lt;1,$D443&gt;31),"نامعتبر",RIGHT("0000"&amp;$B443,4)&amp;"/"&amp;RIGHT("00"&amp;$C443,2)&amp;"/"&amp;RIGHT("00"&amp;$D443,2)))</f>
        <v/>
      </c>
      <c r="F443">
        <f>IF(OR($E443="",$E443="نامعتبر"),"",IF(Sync!$Q440="","0000",IF(AND(ISNUMBER(Sync!$Q440),Sync!$Q440&gt;=0,Sync!$Q440&lt;1),RIGHT("00"&amp;HOUR(Sync!$Q440),2)&amp;RIGHT("00"&amp;MINUTE(Sync!$Q440),2),IFERROR(RIGHT("00"&amp;VALUE(LEFT(Sync!$Q440,FIND(":",Sync!$Q440)-1)),2)&amp;RIGHT("00"&amp;VALUE(MID(Sync!$Q440,FIND(":",Sync!$Q440)+1,2)),2),"0000"))))</f>
        <v/>
      </c>
      <c r="G443">
        <f>IF(OR($E443="",$E443="نامعتبر"),"",IF(Sync!$S440="","",Sync!$S440))</f>
        <v/>
      </c>
      <c r="H443">
        <f>IF(OR($E443="",$E443="نامعتبر"),"",IF(Sync!$R440="","",Sync!$R440))</f>
        <v/>
      </c>
      <c r="I443">
        <f>IF(OR($E443="",$E443="نامعتبر"),"",IF(Sync!$T440="","",Sync!$T440))</f>
        <v/>
      </c>
      <c r="J443">
        <f>IF(OR($E443="",$E443="نامعتبر"),"",IF(Sync!$U440="","",Sync!$U440))</f>
        <v/>
      </c>
      <c r="K443">
        <f>IF(OR($E443="",$E443="نامعتبر"),"",IF(Sync!$V440="","",IFERROR(INDEX(SubCodes,MATCH(Sync!$V440,SubTitles,0)),Sync!$V440)))</f>
        <v/>
      </c>
      <c r="L443">
        <f>IF(OR($E443="",$E443="نامعتبر"),"",IF(Sync!$W440="",0,Sync!$W440))</f>
        <v/>
      </c>
      <c r="M443">
        <f>IF(OR($E443="",$E443="نامعتبر"),"",IF(Sync!$X440="",0,Sync!$X440))</f>
        <v/>
      </c>
      <c r="N443">
        <f>IF(OR($E443="",$E443="نامعتبر"),"",IF(AND($J443="هزینه",$K443&lt;&gt;""),1,0))</f>
        <v/>
      </c>
      <c r="O443">
        <f>IF($N443=0,"",LEFT($E443,4)&amp;MID($E443,6,2)&amp;RIGHT($E443,2)&amp;$F443&amp;"|"&amp;"1"&amp;RIGHT("00000"&amp;435,5))</f>
        <v/>
      </c>
      <c r="P443">
        <f>IF($O443="","",COUNTIFS(ExpSub,$K443,ExpKey,"&lt;"&amp;$O443)+1)</f>
        <v/>
      </c>
      <c r="Q443">
        <f>IF($P443="","",$K443&amp;"|"&amp;RIGHT("000000"&amp;$P443,6))</f>
        <v/>
      </c>
    </row>
    <row r="444">
      <c r="A444">
        <f>IF(Sync!$P441="","",Sync!$P441)</f>
        <v/>
      </c>
      <c r="B444">
        <f>IF($A444="","",IF(ISNUMBER($A444),IF(AND($A444&gt;=10000101,$A444&lt;=99991231),INT($A444/10000),""),IFERROR(VALUE(TRIM(LEFT($A444,FIND("/",$A444)-1))),"")))</f>
        <v/>
      </c>
      <c r="C444">
        <f>IF(OR($A444="",$B444=""),"",IF(ISNUMBER($A444),INT(MOD($A444,10000)/100),IFERROR(VALUE(TRIM(LEFT(MID($A444,FIND("/",$A444)+1,20),FIND("/",MID($A444,FIND("/",$A444)+1,20))-1))),"")))</f>
        <v/>
      </c>
      <c r="D444">
        <f>IF(OR($A444="",$B444=""),"",IF(ISNUMBER($A444),MOD($A444,100),IFERROR(VALUE(TRIM(MID(MID($A444,FIND("/",$A444)+1,20),FIND("/",MID($A444,FIND("/",$A444)+1,20))+1,20))),"")))</f>
        <v/>
      </c>
      <c r="E444">
        <f>IF($A444="","",IF(OR($B444="",$C444="",$D444="",$B444&lt;1300,$B444&gt;1500,$C444&lt;1,$C444&gt;12,$D444&lt;1,$D444&gt;31),"نامعتبر",RIGHT("0000"&amp;$B444,4)&amp;"/"&amp;RIGHT("00"&amp;$C444,2)&amp;"/"&amp;RIGHT("00"&amp;$D444,2)))</f>
        <v/>
      </c>
      <c r="F444">
        <f>IF(OR($E444="",$E444="نامعتبر"),"",IF(Sync!$Q441="","0000",IF(AND(ISNUMBER(Sync!$Q441),Sync!$Q441&gt;=0,Sync!$Q441&lt;1),RIGHT("00"&amp;HOUR(Sync!$Q441),2)&amp;RIGHT("00"&amp;MINUTE(Sync!$Q441),2),IFERROR(RIGHT("00"&amp;VALUE(LEFT(Sync!$Q441,FIND(":",Sync!$Q441)-1)),2)&amp;RIGHT("00"&amp;VALUE(MID(Sync!$Q441,FIND(":",Sync!$Q441)+1,2)),2),"0000"))))</f>
        <v/>
      </c>
      <c r="G444">
        <f>IF(OR($E444="",$E444="نامعتبر"),"",IF(Sync!$S441="","",Sync!$S441))</f>
        <v/>
      </c>
      <c r="H444">
        <f>IF(OR($E444="",$E444="نامعتبر"),"",IF(Sync!$R441="","",Sync!$R441))</f>
        <v/>
      </c>
      <c r="I444">
        <f>IF(OR($E444="",$E444="نامعتبر"),"",IF(Sync!$T441="","",Sync!$T441))</f>
        <v/>
      </c>
      <c r="J444">
        <f>IF(OR($E444="",$E444="نامعتبر"),"",IF(Sync!$U441="","",Sync!$U441))</f>
        <v/>
      </c>
      <c r="K444">
        <f>IF(OR($E444="",$E444="نامعتبر"),"",IF(Sync!$V441="","",IFERROR(INDEX(SubCodes,MATCH(Sync!$V441,SubTitles,0)),Sync!$V441)))</f>
        <v/>
      </c>
      <c r="L444">
        <f>IF(OR($E444="",$E444="نامعتبر"),"",IF(Sync!$W441="",0,Sync!$W441))</f>
        <v/>
      </c>
      <c r="M444">
        <f>IF(OR($E444="",$E444="نامعتبر"),"",IF(Sync!$X441="",0,Sync!$X441))</f>
        <v/>
      </c>
      <c r="N444">
        <f>IF(OR($E444="",$E444="نامعتبر"),"",IF(AND($J444="هزینه",$K444&lt;&gt;""),1,0))</f>
        <v/>
      </c>
      <c r="O444">
        <f>IF($N444=0,"",LEFT($E444,4)&amp;MID($E444,6,2)&amp;RIGHT($E444,2)&amp;$F444&amp;"|"&amp;"1"&amp;RIGHT("00000"&amp;436,5))</f>
        <v/>
      </c>
      <c r="P444">
        <f>IF($O444="","",COUNTIFS(ExpSub,$K444,ExpKey,"&lt;"&amp;$O444)+1)</f>
        <v/>
      </c>
      <c r="Q444">
        <f>IF($P444="","",$K444&amp;"|"&amp;RIGHT("000000"&amp;$P444,6))</f>
        <v/>
      </c>
    </row>
    <row r="445">
      <c r="A445">
        <f>IF(Sync!$P442="","",Sync!$P442)</f>
        <v/>
      </c>
      <c r="B445">
        <f>IF($A445="","",IF(ISNUMBER($A445),IF(AND($A445&gt;=10000101,$A445&lt;=99991231),INT($A445/10000),""),IFERROR(VALUE(TRIM(LEFT($A445,FIND("/",$A445)-1))),"")))</f>
        <v/>
      </c>
      <c r="C445">
        <f>IF(OR($A445="",$B445=""),"",IF(ISNUMBER($A445),INT(MOD($A445,10000)/100),IFERROR(VALUE(TRIM(LEFT(MID($A445,FIND("/",$A445)+1,20),FIND("/",MID($A445,FIND("/",$A445)+1,20))-1))),"")))</f>
        <v/>
      </c>
      <c r="D445">
        <f>IF(OR($A445="",$B445=""),"",IF(ISNUMBER($A445),MOD($A445,100),IFERROR(VALUE(TRIM(MID(MID($A445,FIND("/",$A445)+1,20),FIND("/",MID($A445,FIND("/",$A445)+1,20))+1,20))),"")))</f>
        <v/>
      </c>
      <c r="E445">
        <f>IF($A445="","",IF(OR($B445="",$C445="",$D445="",$B445&lt;1300,$B445&gt;1500,$C445&lt;1,$C445&gt;12,$D445&lt;1,$D445&gt;31),"نامعتبر",RIGHT("0000"&amp;$B445,4)&amp;"/"&amp;RIGHT("00"&amp;$C445,2)&amp;"/"&amp;RIGHT("00"&amp;$D445,2)))</f>
        <v/>
      </c>
      <c r="F445">
        <f>IF(OR($E445="",$E445="نامعتبر"),"",IF(Sync!$Q442="","0000",IF(AND(ISNUMBER(Sync!$Q442),Sync!$Q442&gt;=0,Sync!$Q442&lt;1),RIGHT("00"&amp;HOUR(Sync!$Q442),2)&amp;RIGHT("00"&amp;MINUTE(Sync!$Q442),2),IFERROR(RIGHT("00"&amp;VALUE(LEFT(Sync!$Q442,FIND(":",Sync!$Q442)-1)),2)&amp;RIGHT("00"&amp;VALUE(MID(Sync!$Q442,FIND(":",Sync!$Q442)+1,2)),2),"0000"))))</f>
        <v/>
      </c>
      <c r="G445">
        <f>IF(OR($E445="",$E445="نامعتبر"),"",IF(Sync!$S442="","",Sync!$S442))</f>
        <v/>
      </c>
      <c r="H445">
        <f>IF(OR($E445="",$E445="نامعتبر"),"",IF(Sync!$R442="","",Sync!$R442))</f>
        <v/>
      </c>
      <c r="I445">
        <f>IF(OR($E445="",$E445="نامعتبر"),"",IF(Sync!$T442="","",Sync!$T442))</f>
        <v/>
      </c>
      <c r="J445">
        <f>IF(OR($E445="",$E445="نامعتبر"),"",IF(Sync!$U442="","",Sync!$U442))</f>
        <v/>
      </c>
      <c r="K445">
        <f>IF(OR($E445="",$E445="نامعتبر"),"",IF(Sync!$V442="","",IFERROR(INDEX(SubCodes,MATCH(Sync!$V442,SubTitles,0)),Sync!$V442)))</f>
        <v/>
      </c>
      <c r="L445">
        <f>IF(OR($E445="",$E445="نامعتبر"),"",IF(Sync!$W442="",0,Sync!$W442))</f>
        <v/>
      </c>
      <c r="M445">
        <f>IF(OR($E445="",$E445="نامعتبر"),"",IF(Sync!$X442="",0,Sync!$X442))</f>
        <v/>
      </c>
      <c r="N445">
        <f>IF(OR($E445="",$E445="نامعتبر"),"",IF(AND($J445="هزینه",$K445&lt;&gt;""),1,0))</f>
        <v/>
      </c>
      <c r="O445">
        <f>IF($N445=0,"",LEFT($E445,4)&amp;MID($E445,6,2)&amp;RIGHT($E445,2)&amp;$F445&amp;"|"&amp;"1"&amp;RIGHT("00000"&amp;437,5))</f>
        <v/>
      </c>
      <c r="P445">
        <f>IF($O445="","",COUNTIFS(ExpSub,$K445,ExpKey,"&lt;"&amp;$O445)+1)</f>
        <v/>
      </c>
      <c r="Q445">
        <f>IF($P445="","",$K445&amp;"|"&amp;RIGHT("000000"&amp;$P445,6))</f>
        <v/>
      </c>
    </row>
    <row r="446">
      <c r="A446">
        <f>IF(Sync!$P443="","",Sync!$P443)</f>
        <v/>
      </c>
      <c r="B446">
        <f>IF($A446="","",IF(ISNUMBER($A446),IF(AND($A446&gt;=10000101,$A446&lt;=99991231),INT($A446/10000),""),IFERROR(VALUE(TRIM(LEFT($A446,FIND("/",$A446)-1))),"")))</f>
        <v/>
      </c>
      <c r="C446">
        <f>IF(OR($A446="",$B446=""),"",IF(ISNUMBER($A446),INT(MOD($A446,10000)/100),IFERROR(VALUE(TRIM(LEFT(MID($A446,FIND("/",$A446)+1,20),FIND("/",MID($A446,FIND("/",$A446)+1,20))-1))),"")))</f>
        <v/>
      </c>
      <c r="D446">
        <f>IF(OR($A446="",$B446=""),"",IF(ISNUMBER($A446),MOD($A446,100),IFERROR(VALUE(TRIM(MID(MID($A446,FIND("/",$A446)+1,20),FIND("/",MID($A446,FIND("/",$A446)+1,20))+1,20))),"")))</f>
        <v/>
      </c>
      <c r="E446">
        <f>IF($A446="","",IF(OR($B446="",$C446="",$D446="",$B446&lt;1300,$B446&gt;1500,$C446&lt;1,$C446&gt;12,$D446&lt;1,$D446&gt;31),"نامعتبر",RIGHT("0000"&amp;$B446,4)&amp;"/"&amp;RIGHT("00"&amp;$C446,2)&amp;"/"&amp;RIGHT("00"&amp;$D446,2)))</f>
        <v/>
      </c>
      <c r="F446">
        <f>IF(OR($E446="",$E446="نامعتبر"),"",IF(Sync!$Q443="","0000",IF(AND(ISNUMBER(Sync!$Q443),Sync!$Q443&gt;=0,Sync!$Q443&lt;1),RIGHT("00"&amp;HOUR(Sync!$Q443),2)&amp;RIGHT("00"&amp;MINUTE(Sync!$Q443),2),IFERROR(RIGHT("00"&amp;VALUE(LEFT(Sync!$Q443,FIND(":",Sync!$Q443)-1)),2)&amp;RIGHT("00"&amp;VALUE(MID(Sync!$Q443,FIND(":",Sync!$Q443)+1,2)),2),"0000"))))</f>
        <v/>
      </c>
      <c r="G446">
        <f>IF(OR($E446="",$E446="نامعتبر"),"",IF(Sync!$S443="","",Sync!$S443))</f>
        <v/>
      </c>
      <c r="H446">
        <f>IF(OR($E446="",$E446="نامعتبر"),"",IF(Sync!$R443="","",Sync!$R443))</f>
        <v/>
      </c>
      <c r="I446">
        <f>IF(OR($E446="",$E446="نامعتبر"),"",IF(Sync!$T443="","",Sync!$T443))</f>
        <v/>
      </c>
      <c r="J446">
        <f>IF(OR($E446="",$E446="نامعتبر"),"",IF(Sync!$U443="","",Sync!$U443))</f>
        <v/>
      </c>
      <c r="K446">
        <f>IF(OR($E446="",$E446="نامعتبر"),"",IF(Sync!$V443="","",IFERROR(INDEX(SubCodes,MATCH(Sync!$V443,SubTitles,0)),Sync!$V443)))</f>
        <v/>
      </c>
      <c r="L446">
        <f>IF(OR($E446="",$E446="نامعتبر"),"",IF(Sync!$W443="",0,Sync!$W443))</f>
        <v/>
      </c>
      <c r="M446">
        <f>IF(OR($E446="",$E446="نامعتبر"),"",IF(Sync!$X443="",0,Sync!$X443))</f>
        <v/>
      </c>
      <c r="N446">
        <f>IF(OR($E446="",$E446="نامعتبر"),"",IF(AND($J446="هزینه",$K446&lt;&gt;""),1,0))</f>
        <v/>
      </c>
      <c r="O446">
        <f>IF($N446=0,"",LEFT($E446,4)&amp;MID($E446,6,2)&amp;RIGHT($E446,2)&amp;$F446&amp;"|"&amp;"1"&amp;RIGHT("00000"&amp;438,5))</f>
        <v/>
      </c>
      <c r="P446">
        <f>IF($O446="","",COUNTIFS(ExpSub,$K446,ExpKey,"&lt;"&amp;$O446)+1)</f>
        <v/>
      </c>
      <c r="Q446">
        <f>IF($P446="","",$K446&amp;"|"&amp;RIGHT("000000"&amp;$P446,6))</f>
        <v/>
      </c>
    </row>
    <row r="447">
      <c r="A447">
        <f>IF(Sync!$P444="","",Sync!$P444)</f>
        <v/>
      </c>
      <c r="B447">
        <f>IF($A447="","",IF(ISNUMBER($A447),IF(AND($A447&gt;=10000101,$A447&lt;=99991231),INT($A447/10000),""),IFERROR(VALUE(TRIM(LEFT($A447,FIND("/",$A447)-1))),"")))</f>
        <v/>
      </c>
      <c r="C447">
        <f>IF(OR($A447="",$B447=""),"",IF(ISNUMBER($A447),INT(MOD($A447,10000)/100),IFERROR(VALUE(TRIM(LEFT(MID($A447,FIND("/",$A447)+1,20),FIND("/",MID($A447,FIND("/",$A447)+1,20))-1))),"")))</f>
        <v/>
      </c>
      <c r="D447">
        <f>IF(OR($A447="",$B447=""),"",IF(ISNUMBER($A447),MOD($A447,100),IFERROR(VALUE(TRIM(MID(MID($A447,FIND("/",$A447)+1,20),FIND("/",MID($A447,FIND("/",$A447)+1,20))+1,20))),"")))</f>
        <v/>
      </c>
      <c r="E447">
        <f>IF($A447="","",IF(OR($B447="",$C447="",$D447="",$B447&lt;1300,$B447&gt;1500,$C447&lt;1,$C447&gt;12,$D447&lt;1,$D447&gt;31),"نامعتبر",RIGHT("0000"&amp;$B447,4)&amp;"/"&amp;RIGHT("00"&amp;$C447,2)&amp;"/"&amp;RIGHT("00"&amp;$D447,2)))</f>
        <v/>
      </c>
      <c r="F447">
        <f>IF(OR($E447="",$E447="نامعتبر"),"",IF(Sync!$Q444="","0000",IF(AND(ISNUMBER(Sync!$Q444),Sync!$Q444&gt;=0,Sync!$Q444&lt;1),RIGHT("00"&amp;HOUR(Sync!$Q444),2)&amp;RIGHT("00"&amp;MINUTE(Sync!$Q444),2),IFERROR(RIGHT("00"&amp;VALUE(LEFT(Sync!$Q444,FIND(":",Sync!$Q444)-1)),2)&amp;RIGHT("00"&amp;VALUE(MID(Sync!$Q444,FIND(":",Sync!$Q444)+1,2)),2),"0000"))))</f>
        <v/>
      </c>
      <c r="G447">
        <f>IF(OR($E447="",$E447="نامعتبر"),"",IF(Sync!$S444="","",Sync!$S444))</f>
        <v/>
      </c>
      <c r="H447">
        <f>IF(OR($E447="",$E447="نامعتبر"),"",IF(Sync!$R444="","",Sync!$R444))</f>
        <v/>
      </c>
      <c r="I447">
        <f>IF(OR($E447="",$E447="نامعتبر"),"",IF(Sync!$T444="","",Sync!$T444))</f>
        <v/>
      </c>
      <c r="J447">
        <f>IF(OR($E447="",$E447="نامعتبر"),"",IF(Sync!$U444="","",Sync!$U444))</f>
        <v/>
      </c>
      <c r="K447">
        <f>IF(OR($E447="",$E447="نامعتبر"),"",IF(Sync!$V444="","",IFERROR(INDEX(SubCodes,MATCH(Sync!$V444,SubTitles,0)),Sync!$V444)))</f>
        <v/>
      </c>
      <c r="L447">
        <f>IF(OR($E447="",$E447="نامعتبر"),"",IF(Sync!$W444="",0,Sync!$W444))</f>
        <v/>
      </c>
      <c r="M447">
        <f>IF(OR($E447="",$E447="نامعتبر"),"",IF(Sync!$X444="",0,Sync!$X444))</f>
        <v/>
      </c>
      <c r="N447">
        <f>IF(OR($E447="",$E447="نامعتبر"),"",IF(AND($J447="هزینه",$K447&lt;&gt;""),1,0))</f>
        <v/>
      </c>
      <c r="O447">
        <f>IF($N447=0,"",LEFT($E447,4)&amp;MID($E447,6,2)&amp;RIGHT($E447,2)&amp;$F447&amp;"|"&amp;"1"&amp;RIGHT("00000"&amp;439,5))</f>
        <v/>
      </c>
      <c r="P447">
        <f>IF($O447="","",COUNTIFS(ExpSub,$K447,ExpKey,"&lt;"&amp;$O447)+1)</f>
        <v/>
      </c>
      <c r="Q447">
        <f>IF($P447="","",$K447&amp;"|"&amp;RIGHT("000000"&amp;$P447,6))</f>
        <v/>
      </c>
    </row>
    <row r="448">
      <c r="A448">
        <f>IF(Sync!$P445="","",Sync!$P445)</f>
        <v/>
      </c>
      <c r="B448">
        <f>IF($A448="","",IF(ISNUMBER($A448),IF(AND($A448&gt;=10000101,$A448&lt;=99991231),INT($A448/10000),""),IFERROR(VALUE(TRIM(LEFT($A448,FIND("/",$A448)-1))),"")))</f>
        <v/>
      </c>
      <c r="C448">
        <f>IF(OR($A448="",$B448=""),"",IF(ISNUMBER($A448),INT(MOD($A448,10000)/100),IFERROR(VALUE(TRIM(LEFT(MID($A448,FIND("/",$A448)+1,20),FIND("/",MID($A448,FIND("/",$A448)+1,20))-1))),"")))</f>
        <v/>
      </c>
      <c r="D448">
        <f>IF(OR($A448="",$B448=""),"",IF(ISNUMBER($A448),MOD($A448,100),IFERROR(VALUE(TRIM(MID(MID($A448,FIND("/",$A448)+1,20),FIND("/",MID($A448,FIND("/",$A448)+1,20))+1,20))),"")))</f>
        <v/>
      </c>
      <c r="E448">
        <f>IF($A448="","",IF(OR($B448="",$C448="",$D448="",$B448&lt;1300,$B448&gt;1500,$C448&lt;1,$C448&gt;12,$D448&lt;1,$D448&gt;31),"نامعتبر",RIGHT("0000"&amp;$B448,4)&amp;"/"&amp;RIGHT("00"&amp;$C448,2)&amp;"/"&amp;RIGHT("00"&amp;$D448,2)))</f>
        <v/>
      </c>
      <c r="F448">
        <f>IF(OR($E448="",$E448="نامعتبر"),"",IF(Sync!$Q445="","0000",IF(AND(ISNUMBER(Sync!$Q445),Sync!$Q445&gt;=0,Sync!$Q445&lt;1),RIGHT("00"&amp;HOUR(Sync!$Q445),2)&amp;RIGHT("00"&amp;MINUTE(Sync!$Q445),2),IFERROR(RIGHT("00"&amp;VALUE(LEFT(Sync!$Q445,FIND(":",Sync!$Q445)-1)),2)&amp;RIGHT("00"&amp;VALUE(MID(Sync!$Q445,FIND(":",Sync!$Q445)+1,2)),2),"0000"))))</f>
        <v/>
      </c>
      <c r="G448">
        <f>IF(OR($E448="",$E448="نامعتبر"),"",IF(Sync!$S445="","",Sync!$S445))</f>
        <v/>
      </c>
      <c r="H448">
        <f>IF(OR($E448="",$E448="نامعتبر"),"",IF(Sync!$R445="","",Sync!$R445))</f>
        <v/>
      </c>
      <c r="I448">
        <f>IF(OR($E448="",$E448="نامعتبر"),"",IF(Sync!$T445="","",Sync!$T445))</f>
        <v/>
      </c>
      <c r="J448">
        <f>IF(OR($E448="",$E448="نامعتبر"),"",IF(Sync!$U445="","",Sync!$U445))</f>
        <v/>
      </c>
      <c r="K448">
        <f>IF(OR($E448="",$E448="نامعتبر"),"",IF(Sync!$V445="","",IFERROR(INDEX(SubCodes,MATCH(Sync!$V445,SubTitles,0)),Sync!$V445)))</f>
        <v/>
      </c>
      <c r="L448">
        <f>IF(OR($E448="",$E448="نامعتبر"),"",IF(Sync!$W445="",0,Sync!$W445))</f>
        <v/>
      </c>
      <c r="M448">
        <f>IF(OR($E448="",$E448="نامعتبر"),"",IF(Sync!$X445="",0,Sync!$X445))</f>
        <v/>
      </c>
      <c r="N448">
        <f>IF(OR($E448="",$E448="نامعتبر"),"",IF(AND($J448="هزینه",$K448&lt;&gt;""),1,0))</f>
        <v/>
      </c>
      <c r="O448">
        <f>IF($N448=0,"",LEFT($E448,4)&amp;MID($E448,6,2)&amp;RIGHT($E448,2)&amp;$F448&amp;"|"&amp;"1"&amp;RIGHT("00000"&amp;440,5))</f>
        <v/>
      </c>
      <c r="P448">
        <f>IF($O448="","",COUNTIFS(ExpSub,$K448,ExpKey,"&lt;"&amp;$O448)+1)</f>
        <v/>
      </c>
      <c r="Q448">
        <f>IF($P448="","",$K448&amp;"|"&amp;RIGHT("000000"&amp;$P448,6))</f>
        <v/>
      </c>
    </row>
    <row r="449">
      <c r="A449">
        <f>IF(Sync!$P446="","",Sync!$P446)</f>
        <v/>
      </c>
      <c r="B449">
        <f>IF($A449="","",IF(ISNUMBER($A449),IF(AND($A449&gt;=10000101,$A449&lt;=99991231),INT($A449/10000),""),IFERROR(VALUE(TRIM(LEFT($A449,FIND("/",$A449)-1))),"")))</f>
        <v/>
      </c>
      <c r="C449">
        <f>IF(OR($A449="",$B449=""),"",IF(ISNUMBER($A449),INT(MOD($A449,10000)/100),IFERROR(VALUE(TRIM(LEFT(MID($A449,FIND("/",$A449)+1,20),FIND("/",MID($A449,FIND("/",$A449)+1,20))-1))),"")))</f>
        <v/>
      </c>
      <c r="D449">
        <f>IF(OR($A449="",$B449=""),"",IF(ISNUMBER($A449),MOD($A449,100),IFERROR(VALUE(TRIM(MID(MID($A449,FIND("/",$A449)+1,20),FIND("/",MID($A449,FIND("/",$A449)+1,20))+1,20))),"")))</f>
        <v/>
      </c>
      <c r="E449">
        <f>IF($A449="","",IF(OR($B449="",$C449="",$D449="",$B449&lt;1300,$B449&gt;1500,$C449&lt;1,$C449&gt;12,$D449&lt;1,$D449&gt;31),"نامعتبر",RIGHT("0000"&amp;$B449,4)&amp;"/"&amp;RIGHT("00"&amp;$C449,2)&amp;"/"&amp;RIGHT("00"&amp;$D449,2)))</f>
        <v/>
      </c>
      <c r="F449">
        <f>IF(OR($E449="",$E449="نامعتبر"),"",IF(Sync!$Q446="","0000",IF(AND(ISNUMBER(Sync!$Q446),Sync!$Q446&gt;=0,Sync!$Q446&lt;1),RIGHT("00"&amp;HOUR(Sync!$Q446),2)&amp;RIGHT("00"&amp;MINUTE(Sync!$Q446),2),IFERROR(RIGHT("00"&amp;VALUE(LEFT(Sync!$Q446,FIND(":",Sync!$Q446)-1)),2)&amp;RIGHT("00"&amp;VALUE(MID(Sync!$Q446,FIND(":",Sync!$Q446)+1,2)),2),"0000"))))</f>
        <v/>
      </c>
      <c r="G449">
        <f>IF(OR($E449="",$E449="نامعتبر"),"",IF(Sync!$S446="","",Sync!$S446))</f>
        <v/>
      </c>
      <c r="H449">
        <f>IF(OR($E449="",$E449="نامعتبر"),"",IF(Sync!$R446="","",Sync!$R446))</f>
        <v/>
      </c>
      <c r="I449">
        <f>IF(OR($E449="",$E449="نامعتبر"),"",IF(Sync!$T446="","",Sync!$T446))</f>
        <v/>
      </c>
      <c r="J449">
        <f>IF(OR($E449="",$E449="نامعتبر"),"",IF(Sync!$U446="","",Sync!$U446))</f>
        <v/>
      </c>
      <c r="K449">
        <f>IF(OR($E449="",$E449="نامعتبر"),"",IF(Sync!$V446="","",IFERROR(INDEX(SubCodes,MATCH(Sync!$V446,SubTitles,0)),Sync!$V446)))</f>
        <v/>
      </c>
      <c r="L449">
        <f>IF(OR($E449="",$E449="نامعتبر"),"",IF(Sync!$W446="",0,Sync!$W446))</f>
        <v/>
      </c>
      <c r="M449">
        <f>IF(OR($E449="",$E449="نامعتبر"),"",IF(Sync!$X446="",0,Sync!$X446))</f>
        <v/>
      </c>
      <c r="N449">
        <f>IF(OR($E449="",$E449="نامعتبر"),"",IF(AND($J449="هزینه",$K449&lt;&gt;""),1,0))</f>
        <v/>
      </c>
      <c r="O449">
        <f>IF($N449=0,"",LEFT($E449,4)&amp;MID($E449,6,2)&amp;RIGHT($E449,2)&amp;$F449&amp;"|"&amp;"1"&amp;RIGHT("00000"&amp;441,5))</f>
        <v/>
      </c>
      <c r="P449">
        <f>IF($O449="","",COUNTIFS(ExpSub,$K449,ExpKey,"&lt;"&amp;$O449)+1)</f>
        <v/>
      </c>
      <c r="Q449">
        <f>IF($P449="","",$K449&amp;"|"&amp;RIGHT("000000"&amp;$P449,6))</f>
        <v/>
      </c>
    </row>
    <row r="450">
      <c r="A450">
        <f>IF(Sync!$P447="","",Sync!$P447)</f>
        <v/>
      </c>
      <c r="B450">
        <f>IF($A450="","",IF(ISNUMBER($A450),IF(AND($A450&gt;=10000101,$A450&lt;=99991231),INT($A450/10000),""),IFERROR(VALUE(TRIM(LEFT($A450,FIND("/",$A450)-1))),"")))</f>
        <v/>
      </c>
      <c r="C450">
        <f>IF(OR($A450="",$B450=""),"",IF(ISNUMBER($A450),INT(MOD($A450,10000)/100),IFERROR(VALUE(TRIM(LEFT(MID($A450,FIND("/",$A450)+1,20),FIND("/",MID($A450,FIND("/",$A450)+1,20))-1))),"")))</f>
        <v/>
      </c>
      <c r="D450">
        <f>IF(OR($A450="",$B450=""),"",IF(ISNUMBER($A450),MOD($A450,100),IFERROR(VALUE(TRIM(MID(MID($A450,FIND("/",$A450)+1,20),FIND("/",MID($A450,FIND("/",$A450)+1,20))+1,20))),"")))</f>
        <v/>
      </c>
      <c r="E450">
        <f>IF($A450="","",IF(OR($B450="",$C450="",$D450="",$B450&lt;1300,$B450&gt;1500,$C450&lt;1,$C450&gt;12,$D450&lt;1,$D450&gt;31),"نامعتبر",RIGHT("0000"&amp;$B450,4)&amp;"/"&amp;RIGHT("00"&amp;$C450,2)&amp;"/"&amp;RIGHT("00"&amp;$D450,2)))</f>
        <v/>
      </c>
      <c r="F450">
        <f>IF(OR($E450="",$E450="نامعتبر"),"",IF(Sync!$Q447="","0000",IF(AND(ISNUMBER(Sync!$Q447),Sync!$Q447&gt;=0,Sync!$Q447&lt;1),RIGHT("00"&amp;HOUR(Sync!$Q447),2)&amp;RIGHT("00"&amp;MINUTE(Sync!$Q447),2),IFERROR(RIGHT("00"&amp;VALUE(LEFT(Sync!$Q447,FIND(":",Sync!$Q447)-1)),2)&amp;RIGHT("00"&amp;VALUE(MID(Sync!$Q447,FIND(":",Sync!$Q447)+1,2)),2),"0000"))))</f>
        <v/>
      </c>
      <c r="G450">
        <f>IF(OR($E450="",$E450="نامعتبر"),"",IF(Sync!$S447="","",Sync!$S447))</f>
        <v/>
      </c>
      <c r="H450">
        <f>IF(OR($E450="",$E450="نامعتبر"),"",IF(Sync!$R447="","",Sync!$R447))</f>
        <v/>
      </c>
      <c r="I450">
        <f>IF(OR($E450="",$E450="نامعتبر"),"",IF(Sync!$T447="","",Sync!$T447))</f>
        <v/>
      </c>
      <c r="J450">
        <f>IF(OR($E450="",$E450="نامعتبر"),"",IF(Sync!$U447="","",Sync!$U447))</f>
        <v/>
      </c>
      <c r="K450">
        <f>IF(OR($E450="",$E450="نامعتبر"),"",IF(Sync!$V447="","",IFERROR(INDEX(SubCodes,MATCH(Sync!$V447,SubTitles,0)),Sync!$V447)))</f>
        <v/>
      </c>
      <c r="L450">
        <f>IF(OR($E450="",$E450="نامعتبر"),"",IF(Sync!$W447="",0,Sync!$W447))</f>
        <v/>
      </c>
      <c r="M450">
        <f>IF(OR($E450="",$E450="نامعتبر"),"",IF(Sync!$X447="",0,Sync!$X447))</f>
        <v/>
      </c>
      <c r="N450">
        <f>IF(OR($E450="",$E450="نامعتبر"),"",IF(AND($J450="هزینه",$K450&lt;&gt;""),1,0))</f>
        <v/>
      </c>
      <c r="O450">
        <f>IF($N450=0,"",LEFT($E450,4)&amp;MID($E450,6,2)&amp;RIGHT($E450,2)&amp;$F450&amp;"|"&amp;"1"&amp;RIGHT("00000"&amp;442,5))</f>
        <v/>
      </c>
      <c r="P450">
        <f>IF($O450="","",COUNTIFS(ExpSub,$K450,ExpKey,"&lt;"&amp;$O450)+1)</f>
        <v/>
      </c>
      <c r="Q450">
        <f>IF($P450="","",$K450&amp;"|"&amp;RIGHT("000000"&amp;$P450,6))</f>
        <v/>
      </c>
    </row>
    <row r="451">
      <c r="A451">
        <f>IF(Sync!$P448="","",Sync!$P448)</f>
        <v/>
      </c>
      <c r="B451">
        <f>IF($A451="","",IF(ISNUMBER($A451),IF(AND($A451&gt;=10000101,$A451&lt;=99991231),INT($A451/10000),""),IFERROR(VALUE(TRIM(LEFT($A451,FIND("/",$A451)-1))),"")))</f>
        <v/>
      </c>
      <c r="C451">
        <f>IF(OR($A451="",$B451=""),"",IF(ISNUMBER($A451),INT(MOD($A451,10000)/100),IFERROR(VALUE(TRIM(LEFT(MID($A451,FIND("/",$A451)+1,20),FIND("/",MID($A451,FIND("/",$A451)+1,20))-1))),"")))</f>
        <v/>
      </c>
      <c r="D451">
        <f>IF(OR($A451="",$B451=""),"",IF(ISNUMBER($A451),MOD($A451,100),IFERROR(VALUE(TRIM(MID(MID($A451,FIND("/",$A451)+1,20),FIND("/",MID($A451,FIND("/",$A451)+1,20))+1,20))),"")))</f>
        <v/>
      </c>
      <c r="E451">
        <f>IF($A451="","",IF(OR($B451="",$C451="",$D451="",$B451&lt;1300,$B451&gt;1500,$C451&lt;1,$C451&gt;12,$D451&lt;1,$D451&gt;31),"نامعتبر",RIGHT("0000"&amp;$B451,4)&amp;"/"&amp;RIGHT("00"&amp;$C451,2)&amp;"/"&amp;RIGHT("00"&amp;$D451,2)))</f>
        <v/>
      </c>
      <c r="F451">
        <f>IF(OR($E451="",$E451="نامعتبر"),"",IF(Sync!$Q448="","0000",IF(AND(ISNUMBER(Sync!$Q448),Sync!$Q448&gt;=0,Sync!$Q448&lt;1),RIGHT("00"&amp;HOUR(Sync!$Q448),2)&amp;RIGHT("00"&amp;MINUTE(Sync!$Q448),2),IFERROR(RIGHT("00"&amp;VALUE(LEFT(Sync!$Q448,FIND(":",Sync!$Q448)-1)),2)&amp;RIGHT("00"&amp;VALUE(MID(Sync!$Q448,FIND(":",Sync!$Q448)+1,2)),2),"0000"))))</f>
        <v/>
      </c>
      <c r="G451">
        <f>IF(OR($E451="",$E451="نامعتبر"),"",IF(Sync!$S448="","",Sync!$S448))</f>
        <v/>
      </c>
      <c r="H451">
        <f>IF(OR($E451="",$E451="نامعتبر"),"",IF(Sync!$R448="","",Sync!$R448))</f>
        <v/>
      </c>
      <c r="I451">
        <f>IF(OR($E451="",$E451="نامعتبر"),"",IF(Sync!$T448="","",Sync!$T448))</f>
        <v/>
      </c>
      <c r="J451">
        <f>IF(OR($E451="",$E451="نامعتبر"),"",IF(Sync!$U448="","",Sync!$U448))</f>
        <v/>
      </c>
      <c r="K451">
        <f>IF(OR($E451="",$E451="نامعتبر"),"",IF(Sync!$V448="","",IFERROR(INDEX(SubCodes,MATCH(Sync!$V448,SubTitles,0)),Sync!$V448)))</f>
        <v/>
      </c>
      <c r="L451">
        <f>IF(OR($E451="",$E451="نامعتبر"),"",IF(Sync!$W448="",0,Sync!$W448))</f>
        <v/>
      </c>
      <c r="M451">
        <f>IF(OR($E451="",$E451="نامعتبر"),"",IF(Sync!$X448="",0,Sync!$X448))</f>
        <v/>
      </c>
      <c r="N451">
        <f>IF(OR($E451="",$E451="نامعتبر"),"",IF(AND($J451="هزینه",$K451&lt;&gt;""),1,0))</f>
        <v/>
      </c>
      <c r="O451">
        <f>IF($N451=0,"",LEFT($E451,4)&amp;MID($E451,6,2)&amp;RIGHT($E451,2)&amp;$F451&amp;"|"&amp;"1"&amp;RIGHT("00000"&amp;443,5))</f>
        <v/>
      </c>
      <c r="P451">
        <f>IF($O451="","",COUNTIFS(ExpSub,$K451,ExpKey,"&lt;"&amp;$O451)+1)</f>
        <v/>
      </c>
      <c r="Q451">
        <f>IF($P451="","",$K451&amp;"|"&amp;RIGHT("000000"&amp;$P451,6))</f>
        <v/>
      </c>
    </row>
    <row r="452">
      <c r="A452">
        <f>IF(Sync!$P449="","",Sync!$P449)</f>
        <v/>
      </c>
      <c r="B452">
        <f>IF($A452="","",IF(ISNUMBER($A452),IF(AND($A452&gt;=10000101,$A452&lt;=99991231),INT($A452/10000),""),IFERROR(VALUE(TRIM(LEFT($A452,FIND("/",$A452)-1))),"")))</f>
        <v/>
      </c>
      <c r="C452">
        <f>IF(OR($A452="",$B452=""),"",IF(ISNUMBER($A452),INT(MOD($A452,10000)/100),IFERROR(VALUE(TRIM(LEFT(MID($A452,FIND("/",$A452)+1,20),FIND("/",MID($A452,FIND("/",$A452)+1,20))-1))),"")))</f>
        <v/>
      </c>
      <c r="D452">
        <f>IF(OR($A452="",$B452=""),"",IF(ISNUMBER($A452),MOD($A452,100),IFERROR(VALUE(TRIM(MID(MID($A452,FIND("/",$A452)+1,20),FIND("/",MID($A452,FIND("/",$A452)+1,20))+1,20))),"")))</f>
        <v/>
      </c>
      <c r="E452">
        <f>IF($A452="","",IF(OR($B452="",$C452="",$D452="",$B452&lt;1300,$B452&gt;1500,$C452&lt;1,$C452&gt;12,$D452&lt;1,$D452&gt;31),"نامعتبر",RIGHT("0000"&amp;$B452,4)&amp;"/"&amp;RIGHT("00"&amp;$C452,2)&amp;"/"&amp;RIGHT("00"&amp;$D452,2)))</f>
        <v/>
      </c>
      <c r="F452">
        <f>IF(OR($E452="",$E452="نامعتبر"),"",IF(Sync!$Q449="","0000",IF(AND(ISNUMBER(Sync!$Q449),Sync!$Q449&gt;=0,Sync!$Q449&lt;1),RIGHT("00"&amp;HOUR(Sync!$Q449),2)&amp;RIGHT("00"&amp;MINUTE(Sync!$Q449),2),IFERROR(RIGHT("00"&amp;VALUE(LEFT(Sync!$Q449,FIND(":",Sync!$Q449)-1)),2)&amp;RIGHT("00"&amp;VALUE(MID(Sync!$Q449,FIND(":",Sync!$Q449)+1,2)),2),"0000"))))</f>
        <v/>
      </c>
      <c r="G452">
        <f>IF(OR($E452="",$E452="نامعتبر"),"",IF(Sync!$S449="","",Sync!$S449))</f>
        <v/>
      </c>
      <c r="H452">
        <f>IF(OR($E452="",$E452="نامعتبر"),"",IF(Sync!$R449="","",Sync!$R449))</f>
        <v/>
      </c>
      <c r="I452">
        <f>IF(OR($E452="",$E452="نامعتبر"),"",IF(Sync!$T449="","",Sync!$T449))</f>
        <v/>
      </c>
      <c r="J452">
        <f>IF(OR($E452="",$E452="نامعتبر"),"",IF(Sync!$U449="","",Sync!$U449))</f>
        <v/>
      </c>
      <c r="K452">
        <f>IF(OR($E452="",$E452="نامعتبر"),"",IF(Sync!$V449="","",IFERROR(INDEX(SubCodes,MATCH(Sync!$V449,SubTitles,0)),Sync!$V449)))</f>
        <v/>
      </c>
      <c r="L452">
        <f>IF(OR($E452="",$E452="نامعتبر"),"",IF(Sync!$W449="",0,Sync!$W449))</f>
        <v/>
      </c>
      <c r="M452">
        <f>IF(OR($E452="",$E452="نامعتبر"),"",IF(Sync!$X449="",0,Sync!$X449))</f>
        <v/>
      </c>
      <c r="N452">
        <f>IF(OR($E452="",$E452="نامعتبر"),"",IF(AND($J452="هزینه",$K452&lt;&gt;""),1,0))</f>
        <v/>
      </c>
      <c r="O452">
        <f>IF($N452=0,"",LEFT($E452,4)&amp;MID($E452,6,2)&amp;RIGHT($E452,2)&amp;$F452&amp;"|"&amp;"1"&amp;RIGHT("00000"&amp;444,5))</f>
        <v/>
      </c>
      <c r="P452">
        <f>IF($O452="","",COUNTIFS(ExpSub,$K452,ExpKey,"&lt;"&amp;$O452)+1)</f>
        <v/>
      </c>
      <c r="Q452">
        <f>IF($P452="","",$K452&amp;"|"&amp;RIGHT("000000"&amp;$P452,6))</f>
        <v/>
      </c>
    </row>
    <row r="453">
      <c r="A453">
        <f>IF(Sync!$P450="","",Sync!$P450)</f>
        <v/>
      </c>
      <c r="B453">
        <f>IF($A453="","",IF(ISNUMBER($A453),IF(AND($A453&gt;=10000101,$A453&lt;=99991231),INT($A453/10000),""),IFERROR(VALUE(TRIM(LEFT($A453,FIND("/",$A453)-1))),"")))</f>
        <v/>
      </c>
      <c r="C453">
        <f>IF(OR($A453="",$B453=""),"",IF(ISNUMBER($A453),INT(MOD($A453,10000)/100),IFERROR(VALUE(TRIM(LEFT(MID($A453,FIND("/",$A453)+1,20),FIND("/",MID($A453,FIND("/",$A453)+1,20))-1))),"")))</f>
        <v/>
      </c>
      <c r="D453">
        <f>IF(OR($A453="",$B453=""),"",IF(ISNUMBER($A453),MOD($A453,100),IFERROR(VALUE(TRIM(MID(MID($A453,FIND("/",$A453)+1,20),FIND("/",MID($A453,FIND("/",$A453)+1,20))+1,20))),"")))</f>
        <v/>
      </c>
      <c r="E453">
        <f>IF($A453="","",IF(OR($B453="",$C453="",$D453="",$B453&lt;1300,$B453&gt;1500,$C453&lt;1,$C453&gt;12,$D453&lt;1,$D453&gt;31),"نامعتبر",RIGHT("0000"&amp;$B453,4)&amp;"/"&amp;RIGHT("00"&amp;$C453,2)&amp;"/"&amp;RIGHT("00"&amp;$D453,2)))</f>
        <v/>
      </c>
      <c r="F453">
        <f>IF(OR($E453="",$E453="نامعتبر"),"",IF(Sync!$Q450="","0000",IF(AND(ISNUMBER(Sync!$Q450),Sync!$Q450&gt;=0,Sync!$Q450&lt;1),RIGHT("00"&amp;HOUR(Sync!$Q450),2)&amp;RIGHT("00"&amp;MINUTE(Sync!$Q450),2),IFERROR(RIGHT("00"&amp;VALUE(LEFT(Sync!$Q450,FIND(":",Sync!$Q450)-1)),2)&amp;RIGHT("00"&amp;VALUE(MID(Sync!$Q450,FIND(":",Sync!$Q450)+1,2)),2),"0000"))))</f>
        <v/>
      </c>
      <c r="G453">
        <f>IF(OR($E453="",$E453="نامعتبر"),"",IF(Sync!$S450="","",Sync!$S450))</f>
        <v/>
      </c>
      <c r="H453">
        <f>IF(OR($E453="",$E453="نامعتبر"),"",IF(Sync!$R450="","",Sync!$R450))</f>
        <v/>
      </c>
      <c r="I453">
        <f>IF(OR($E453="",$E453="نامعتبر"),"",IF(Sync!$T450="","",Sync!$T450))</f>
        <v/>
      </c>
      <c r="J453">
        <f>IF(OR($E453="",$E453="نامعتبر"),"",IF(Sync!$U450="","",Sync!$U450))</f>
        <v/>
      </c>
      <c r="K453">
        <f>IF(OR($E453="",$E453="نامعتبر"),"",IF(Sync!$V450="","",IFERROR(INDEX(SubCodes,MATCH(Sync!$V450,SubTitles,0)),Sync!$V450)))</f>
        <v/>
      </c>
      <c r="L453">
        <f>IF(OR($E453="",$E453="نامعتبر"),"",IF(Sync!$W450="",0,Sync!$W450))</f>
        <v/>
      </c>
      <c r="M453">
        <f>IF(OR($E453="",$E453="نامعتبر"),"",IF(Sync!$X450="",0,Sync!$X450))</f>
        <v/>
      </c>
      <c r="N453">
        <f>IF(OR($E453="",$E453="نامعتبر"),"",IF(AND($J453="هزینه",$K453&lt;&gt;""),1,0))</f>
        <v/>
      </c>
      <c r="O453">
        <f>IF($N453=0,"",LEFT($E453,4)&amp;MID($E453,6,2)&amp;RIGHT($E453,2)&amp;$F453&amp;"|"&amp;"1"&amp;RIGHT("00000"&amp;445,5))</f>
        <v/>
      </c>
      <c r="P453">
        <f>IF($O453="","",COUNTIFS(ExpSub,$K453,ExpKey,"&lt;"&amp;$O453)+1)</f>
        <v/>
      </c>
      <c r="Q453">
        <f>IF($P453="","",$K453&amp;"|"&amp;RIGHT("000000"&amp;$P453,6))</f>
        <v/>
      </c>
    </row>
    <row r="454">
      <c r="A454">
        <f>IF(Sync!$P451="","",Sync!$P451)</f>
        <v/>
      </c>
      <c r="B454">
        <f>IF($A454="","",IF(ISNUMBER($A454),IF(AND($A454&gt;=10000101,$A454&lt;=99991231),INT($A454/10000),""),IFERROR(VALUE(TRIM(LEFT($A454,FIND("/",$A454)-1))),"")))</f>
        <v/>
      </c>
      <c r="C454">
        <f>IF(OR($A454="",$B454=""),"",IF(ISNUMBER($A454),INT(MOD($A454,10000)/100),IFERROR(VALUE(TRIM(LEFT(MID($A454,FIND("/",$A454)+1,20),FIND("/",MID($A454,FIND("/",$A454)+1,20))-1))),"")))</f>
        <v/>
      </c>
      <c r="D454">
        <f>IF(OR($A454="",$B454=""),"",IF(ISNUMBER($A454),MOD($A454,100),IFERROR(VALUE(TRIM(MID(MID($A454,FIND("/",$A454)+1,20),FIND("/",MID($A454,FIND("/",$A454)+1,20))+1,20))),"")))</f>
        <v/>
      </c>
      <c r="E454">
        <f>IF($A454="","",IF(OR($B454="",$C454="",$D454="",$B454&lt;1300,$B454&gt;1500,$C454&lt;1,$C454&gt;12,$D454&lt;1,$D454&gt;31),"نامعتبر",RIGHT("0000"&amp;$B454,4)&amp;"/"&amp;RIGHT("00"&amp;$C454,2)&amp;"/"&amp;RIGHT("00"&amp;$D454,2)))</f>
        <v/>
      </c>
      <c r="F454">
        <f>IF(OR($E454="",$E454="نامعتبر"),"",IF(Sync!$Q451="","0000",IF(AND(ISNUMBER(Sync!$Q451),Sync!$Q451&gt;=0,Sync!$Q451&lt;1),RIGHT("00"&amp;HOUR(Sync!$Q451),2)&amp;RIGHT("00"&amp;MINUTE(Sync!$Q451),2),IFERROR(RIGHT("00"&amp;VALUE(LEFT(Sync!$Q451,FIND(":",Sync!$Q451)-1)),2)&amp;RIGHT("00"&amp;VALUE(MID(Sync!$Q451,FIND(":",Sync!$Q451)+1,2)),2),"0000"))))</f>
        <v/>
      </c>
      <c r="G454">
        <f>IF(OR($E454="",$E454="نامعتبر"),"",IF(Sync!$S451="","",Sync!$S451))</f>
        <v/>
      </c>
      <c r="H454">
        <f>IF(OR($E454="",$E454="نامعتبر"),"",IF(Sync!$R451="","",Sync!$R451))</f>
        <v/>
      </c>
      <c r="I454">
        <f>IF(OR($E454="",$E454="نامعتبر"),"",IF(Sync!$T451="","",Sync!$T451))</f>
        <v/>
      </c>
      <c r="J454">
        <f>IF(OR($E454="",$E454="نامعتبر"),"",IF(Sync!$U451="","",Sync!$U451))</f>
        <v/>
      </c>
      <c r="K454">
        <f>IF(OR($E454="",$E454="نامعتبر"),"",IF(Sync!$V451="","",IFERROR(INDEX(SubCodes,MATCH(Sync!$V451,SubTitles,0)),Sync!$V451)))</f>
        <v/>
      </c>
      <c r="L454">
        <f>IF(OR($E454="",$E454="نامعتبر"),"",IF(Sync!$W451="",0,Sync!$W451))</f>
        <v/>
      </c>
      <c r="M454">
        <f>IF(OR($E454="",$E454="نامعتبر"),"",IF(Sync!$X451="",0,Sync!$X451))</f>
        <v/>
      </c>
      <c r="N454">
        <f>IF(OR($E454="",$E454="نامعتبر"),"",IF(AND($J454="هزینه",$K454&lt;&gt;""),1,0))</f>
        <v/>
      </c>
      <c r="O454">
        <f>IF($N454=0,"",LEFT($E454,4)&amp;MID($E454,6,2)&amp;RIGHT($E454,2)&amp;$F454&amp;"|"&amp;"1"&amp;RIGHT("00000"&amp;446,5))</f>
        <v/>
      </c>
      <c r="P454">
        <f>IF($O454="","",COUNTIFS(ExpSub,$K454,ExpKey,"&lt;"&amp;$O454)+1)</f>
        <v/>
      </c>
      <c r="Q454">
        <f>IF($P454="","",$K454&amp;"|"&amp;RIGHT("000000"&amp;$P454,6))</f>
        <v/>
      </c>
    </row>
    <row r="455">
      <c r="A455">
        <f>IF(Sync!$P452="","",Sync!$P452)</f>
        <v/>
      </c>
      <c r="B455">
        <f>IF($A455="","",IF(ISNUMBER($A455),IF(AND($A455&gt;=10000101,$A455&lt;=99991231),INT($A455/10000),""),IFERROR(VALUE(TRIM(LEFT($A455,FIND("/",$A455)-1))),"")))</f>
        <v/>
      </c>
      <c r="C455">
        <f>IF(OR($A455="",$B455=""),"",IF(ISNUMBER($A455),INT(MOD($A455,10000)/100),IFERROR(VALUE(TRIM(LEFT(MID($A455,FIND("/",$A455)+1,20),FIND("/",MID($A455,FIND("/",$A455)+1,20))-1))),"")))</f>
        <v/>
      </c>
      <c r="D455">
        <f>IF(OR($A455="",$B455=""),"",IF(ISNUMBER($A455),MOD($A455,100),IFERROR(VALUE(TRIM(MID(MID($A455,FIND("/",$A455)+1,20),FIND("/",MID($A455,FIND("/",$A455)+1,20))+1,20))),"")))</f>
        <v/>
      </c>
      <c r="E455">
        <f>IF($A455="","",IF(OR($B455="",$C455="",$D455="",$B455&lt;1300,$B455&gt;1500,$C455&lt;1,$C455&gt;12,$D455&lt;1,$D455&gt;31),"نامعتبر",RIGHT("0000"&amp;$B455,4)&amp;"/"&amp;RIGHT("00"&amp;$C455,2)&amp;"/"&amp;RIGHT("00"&amp;$D455,2)))</f>
        <v/>
      </c>
      <c r="F455">
        <f>IF(OR($E455="",$E455="نامعتبر"),"",IF(Sync!$Q452="","0000",IF(AND(ISNUMBER(Sync!$Q452),Sync!$Q452&gt;=0,Sync!$Q452&lt;1),RIGHT("00"&amp;HOUR(Sync!$Q452),2)&amp;RIGHT("00"&amp;MINUTE(Sync!$Q452),2),IFERROR(RIGHT("00"&amp;VALUE(LEFT(Sync!$Q452,FIND(":",Sync!$Q452)-1)),2)&amp;RIGHT("00"&amp;VALUE(MID(Sync!$Q452,FIND(":",Sync!$Q452)+1,2)),2),"0000"))))</f>
        <v/>
      </c>
      <c r="G455">
        <f>IF(OR($E455="",$E455="نامعتبر"),"",IF(Sync!$S452="","",Sync!$S452))</f>
        <v/>
      </c>
      <c r="H455">
        <f>IF(OR($E455="",$E455="نامعتبر"),"",IF(Sync!$R452="","",Sync!$R452))</f>
        <v/>
      </c>
      <c r="I455">
        <f>IF(OR($E455="",$E455="نامعتبر"),"",IF(Sync!$T452="","",Sync!$T452))</f>
        <v/>
      </c>
      <c r="J455">
        <f>IF(OR($E455="",$E455="نامعتبر"),"",IF(Sync!$U452="","",Sync!$U452))</f>
        <v/>
      </c>
      <c r="K455">
        <f>IF(OR($E455="",$E455="نامعتبر"),"",IF(Sync!$V452="","",IFERROR(INDEX(SubCodes,MATCH(Sync!$V452,SubTitles,0)),Sync!$V452)))</f>
        <v/>
      </c>
      <c r="L455">
        <f>IF(OR($E455="",$E455="نامعتبر"),"",IF(Sync!$W452="",0,Sync!$W452))</f>
        <v/>
      </c>
      <c r="M455">
        <f>IF(OR($E455="",$E455="نامعتبر"),"",IF(Sync!$X452="",0,Sync!$X452))</f>
        <v/>
      </c>
      <c r="N455">
        <f>IF(OR($E455="",$E455="نامعتبر"),"",IF(AND($J455="هزینه",$K455&lt;&gt;""),1,0))</f>
        <v/>
      </c>
      <c r="O455">
        <f>IF($N455=0,"",LEFT($E455,4)&amp;MID($E455,6,2)&amp;RIGHT($E455,2)&amp;$F455&amp;"|"&amp;"1"&amp;RIGHT("00000"&amp;447,5))</f>
        <v/>
      </c>
      <c r="P455">
        <f>IF($O455="","",COUNTIFS(ExpSub,$K455,ExpKey,"&lt;"&amp;$O455)+1)</f>
        <v/>
      </c>
      <c r="Q455">
        <f>IF($P455="","",$K455&amp;"|"&amp;RIGHT("000000"&amp;$P455,6))</f>
        <v/>
      </c>
    </row>
    <row r="456">
      <c r="A456">
        <f>IF(Sync!$P453="","",Sync!$P453)</f>
        <v/>
      </c>
      <c r="B456">
        <f>IF($A456="","",IF(ISNUMBER($A456),IF(AND($A456&gt;=10000101,$A456&lt;=99991231),INT($A456/10000),""),IFERROR(VALUE(TRIM(LEFT($A456,FIND("/",$A456)-1))),"")))</f>
        <v/>
      </c>
      <c r="C456">
        <f>IF(OR($A456="",$B456=""),"",IF(ISNUMBER($A456),INT(MOD($A456,10000)/100),IFERROR(VALUE(TRIM(LEFT(MID($A456,FIND("/",$A456)+1,20),FIND("/",MID($A456,FIND("/",$A456)+1,20))-1))),"")))</f>
        <v/>
      </c>
      <c r="D456">
        <f>IF(OR($A456="",$B456=""),"",IF(ISNUMBER($A456),MOD($A456,100),IFERROR(VALUE(TRIM(MID(MID($A456,FIND("/",$A456)+1,20),FIND("/",MID($A456,FIND("/",$A456)+1,20))+1,20))),"")))</f>
        <v/>
      </c>
      <c r="E456">
        <f>IF($A456="","",IF(OR($B456="",$C456="",$D456="",$B456&lt;1300,$B456&gt;1500,$C456&lt;1,$C456&gt;12,$D456&lt;1,$D456&gt;31),"نامعتبر",RIGHT("0000"&amp;$B456,4)&amp;"/"&amp;RIGHT("00"&amp;$C456,2)&amp;"/"&amp;RIGHT("00"&amp;$D456,2)))</f>
        <v/>
      </c>
      <c r="F456">
        <f>IF(OR($E456="",$E456="نامعتبر"),"",IF(Sync!$Q453="","0000",IF(AND(ISNUMBER(Sync!$Q453),Sync!$Q453&gt;=0,Sync!$Q453&lt;1),RIGHT("00"&amp;HOUR(Sync!$Q453),2)&amp;RIGHT("00"&amp;MINUTE(Sync!$Q453),2),IFERROR(RIGHT("00"&amp;VALUE(LEFT(Sync!$Q453,FIND(":",Sync!$Q453)-1)),2)&amp;RIGHT("00"&amp;VALUE(MID(Sync!$Q453,FIND(":",Sync!$Q453)+1,2)),2),"0000"))))</f>
        <v/>
      </c>
      <c r="G456">
        <f>IF(OR($E456="",$E456="نامعتبر"),"",IF(Sync!$S453="","",Sync!$S453))</f>
        <v/>
      </c>
      <c r="H456">
        <f>IF(OR($E456="",$E456="نامعتبر"),"",IF(Sync!$R453="","",Sync!$R453))</f>
        <v/>
      </c>
      <c r="I456">
        <f>IF(OR($E456="",$E456="نامعتبر"),"",IF(Sync!$T453="","",Sync!$T453))</f>
        <v/>
      </c>
      <c r="J456">
        <f>IF(OR($E456="",$E456="نامعتبر"),"",IF(Sync!$U453="","",Sync!$U453))</f>
        <v/>
      </c>
      <c r="K456">
        <f>IF(OR($E456="",$E456="نامعتبر"),"",IF(Sync!$V453="","",IFERROR(INDEX(SubCodes,MATCH(Sync!$V453,SubTitles,0)),Sync!$V453)))</f>
        <v/>
      </c>
      <c r="L456">
        <f>IF(OR($E456="",$E456="نامعتبر"),"",IF(Sync!$W453="",0,Sync!$W453))</f>
        <v/>
      </c>
      <c r="M456">
        <f>IF(OR($E456="",$E456="نامعتبر"),"",IF(Sync!$X453="",0,Sync!$X453))</f>
        <v/>
      </c>
      <c r="N456">
        <f>IF(OR($E456="",$E456="نامعتبر"),"",IF(AND($J456="هزینه",$K456&lt;&gt;""),1,0))</f>
        <v/>
      </c>
      <c r="O456">
        <f>IF($N456=0,"",LEFT($E456,4)&amp;MID($E456,6,2)&amp;RIGHT($E456,2)&amp;$F456&amp;"|"&amp;"1"&amp;RIGHT("00000"&amp;448,5))</f>
        <v/>
      </c>
      <c r="P456">
        <f>IF($O456="","",COUNTIFS(ExpSub,$K456,ExpKey,"&lt;"&amp;$O456)+1)</f>
        <v/>
      </c>
      <c r="Q456">
        <f>IF($P456="","",$K456&amp;"|"&amp;RIGHT("000000"&amp;$P456,6))</f>
        <v/>
      </c>
    </row>
    <row r="457">
      <c r="A457">
        <f>IF(Sync!$P454="","",Sync!$P454)</f>
        <v/>
      </c>
      <c r="B457">
        <f>IF($A457="","",IF(ISNUMBER($A457),IF(AND($A457&gt;=10000101,$A457&lt;=99991231),INT($A457/10000),""),IFERROR(VALUE(TRIM(LEFT($A457,FIND("/",$A457)-1))),"")))</f>
        <v/>
      </c>
      <c r="C457">
        <f>IF(OR($A457="",$B457=""),"",IF(ISNUMBER($A457),INT(MOD($A457,10000)/100),IFERROR(VALUE(TRIM(LEFT(MID($A457,FIND("/",$A457)+1,20),FIND("/",MID($A457,FIND("/",$A457)+1,20))-1))),"")))</f>
        <v/>
      </c>
      <c r="D457">
        <f>IF(OR($A457="",$B457=""),"",IF(ISNUMBER($A457),MOD($A457,100),IFERROR(VALUE(TRIM(MID(MID($A457,FIND("/",$A457)+1,20),FIND("/",MID($A457,FIND("/",$A457)+1,20))+1,20))),"")))</f>
        <v/>
      </c>
      <c r="E457">
        <f>IF($A457="","",IF(OR($B457="",$C457="",$D457="",$B457&lt;1300,$B457&gt;1500,$C457&lt;1,$C457&gt;12,$D457&lt;1,$D457&gt;31),"نامعتبر",RIGHT("0000"&amp;$B457,4)&amp;"/"&amp;RIGHT("00"&amp;$C457,2)&amp;"/"&amp;RIGHT("00"&amp;$D457,2)))</f>
        <v/>
      </c>
      <c r="F457">
        <f>IF(OR($E457="",$E457="نامعتبر"),"",IF(Sync!$Q454="","0000",IF(AND(ISNUMBER(Sync!$Q454),Sync!$Q454&gt;=0,Sync!$Q454&lt;1),RIGHT("00"&amp;HOUR(Sync!$Q454),2)&amp;RIGHT("00"&amp;MINUTE(Sync!$Q454),2),IFERROR(RIGHT("00"&amp;VALUE(LEFT(Sync!$Q454,FIND(":",Sync!$Q454)-1)),2)&amp;RIGHT("00"&amp;VALUE(MID(Sync!$Q454,FIND(":",Sync!$Q454)+1,2)),2),"0000"))))</f>
        <v/>
      </c>
      <c r="G457">
        <f>IF(OR($E457="",$E457="نامعتبر"),"",IF(Sync!$S454="","",Sync!$S454))</f>
        <v/>
      </c>
      <c r="H457">
        <f>IF(OR($E457="",$E457="نامعتبر"),"",IF(Sync!$R454="","",Sync!$R454))</f>
        <v/>
      </c>
      <c r="I457">
        <f>IF(OR($E457="",$E457="نامعتبر"),"",IF(Sync!$T454="","",Sync!$T454))</f>
        <v/>
      </c>
      <c r="J457">
        <f>IF(OR($E457="",$E457="نامعتبر"),"",IF(Sync!$U454="","",Sync!$U454))</f>
        <v/>
      </c>
      <c r="K457">
        <f>IF(OR($E457="",$E457="نامعتبر"),"",IF(Sync!$V454="","",IFERROR(INDEX(SubCodes,MATCH(Sync!$V454,SubTitles,0)),Sync!$V454)))</f>
        <v/>
      </c>
      <c r="L457">
        <f>IF(OR($E457="",$E457="نامعتبر"),"",IF(Sync!$W454="",0,Sync!$W454))</f>
        <v/>
      </c>
      <c r="M457">
        <f>IF(OR($E457="",$E457="نامعتبر"),"",IF(Sync!$X454="",0,Sync!$X454))</f>
        <v/>
      </c>
      <c r="N457">
        <f>IF(OR($E457="",$E457="نامعتبر"),"",IF(AND($J457="هزینه",$K457&lt;&gt;""),1,0))</f>
        <v/>
      </c>
      <c r="O457">
        <f>IF($N457=0,"",LEFT($E457,4)&amp;MID($E457,6,2)&amp;RIGHT($E457,2)&amp;$F457&amp;"|"&amp;"1"&amp;RIGHT("00000"&amp;449,5))</f>
        <v/>
      </c>
      <c r="P457">
        <f>IF($O457="","",COUNTIFS(ExpSub,$K457,ExpKey,"&lt;"&amp;$O457)+1)</f>
        <v/>
      </c>
      <c r="Q457">
        <f>IF($P457="","",$K457&amp;"|"&amp;RIGHT("000000"&amp;$P457,6))</f>
        <v/>
      </c>
    </row>
    <row r="458">
      <c r="A458">
        <f>IF(Sync!$P455="","",Sync!$P455)</f>
        <v/>
      </c>
      <c r="B458">
        <f>IF($A458="","",IF(ISNUMBER($A458),IF(AND($A458&gt;=10000101,$A458&lt;=99991231),INT($A458/10000),""),IFERROR(VALUE(TRIM(LEFT($A458,FIND("/",$A458)-1))),"")))</f>
        <v/>
      </c>
      <c r="C458">
        <f>IF(OR($A458="",$B458=""),"",IF(ISNUMBER($A458),INT(MOD($A458,10000)/100),IFERROR(VALUE(TRIM(LEFT(MID($A458,FIND("/",$A458)+1,20),FIND("/",MID($A458,FIND("/",$A458)+1,20))-1))),"")))</f>
        <v/>
      </c>
      <c r="D458">
        <f>IF(OR($A458="",$B458=""),"",IF(ISNUMBER($A458),MOD($A458,100),IFERROR(VALUE(TRIM(MID(MID($A458,FIND("/",$A458)+1,20),FIND("/",MID($A458,FIND("/",$A458)+1,20))+1,20))),"")))</f>
        <v/>
      </c>
      <c r="E458">
        <f>IF($A458="","",IF(OR($B458="",$C458="",$D458="",$B458&lt;1300,$B458&gt;1500,$C458&lt;1,$C458&gt;12,$D458&lt;1,$D458&gt;31),"نامعتبر",RIGHT("0000"&amp;$B458,4)&amp;"/"&amp;RIGHT("00"&amp;$C458,2)&amp;"/"&amp;RIGHT("00"&amp;$D458,2)))</f>
        <v/>
      </c>
      <c r="F458">
        <f>IF(OR($E458="",$E458="نامعتبر"),"",IF(Sync!$Q455="","0000",IF(AND(ISNUMBER(Sync!$Q455),Sync!$Q455&gt;=0,Sync!$Q455&lt;1),RIGHT("00"&amp;HOUR(Sync!$Q455),2)&amp;RIGHT("00"&amp;MINUTE(Sync!$Q455),2),IFERROR(RIGHT("00"&amp;VALUE(LEFT(Sync!$Q455,FIND(":",Sync!$Q455)-1)),2)&amp;RIGHT("00"&amp;VALUE(MID(Sync!$Q455,FIND(":",Sync!$Q455)+1,2)),2),"0000"))))</f>
        <v/>
      </c>
      <c r="G458">
        <f>IF(OR($E458="",$E458="نامعتبر"),"",IF(Sync!$S455="","",Sync!$S455))</f>
        <v/>
      </c>
      <c r="H458">
        <f>IF(OR($E458="",$E458="نامعتبر"),"",IF(Sync!$R455="","",Sync!$R455))</f>
        <v/>
      </c>
      <c r="I458">
        <f>IF(OR($E458="",$E458="نامعتبر"),"",IF(Sync!$T455="","",Sync!$T455))</f>
        <v/>
      </c>
      <c r="J458">
        <f>IF(OR($E458="",$E458="نامعتبر"),"",IF(Sync!$U455="","",Sync!$U455))</f>
        <v/>
      </c>
      <c r="K458">
        <f>IF(OR($E458="",$E458="نامعتبر"),"",IF(Sync!$V455="","",IFERROR(INDEX(SubCodes,MATCH(Sync!$V455,SubTitles,0)),Sync!$V455)))</f>
        <v/>
      </c>
      <c r="L458">
        <f>IF(OR($E458="",$E458="نامعتبر"),"",IF(Sync!$W455="",0,Sync!$W455))</f>
        <v/>
      </c>
      <c r="M458">
        <f>IF(OR($E458="",$E458="نامعتبر"),"",IF(Sync!$X455="",0,Sync!$X455))</f>
        <v/>
      </c>
      <c r="N458">
        <f>IF(OR($E458="",$E458="نامعتبر"),"",IF(AND($J458="هزینه",$K458&lt;&gt;""),1,0))</f>
        <v/>
      </c>
      <c r="O458">
        <f>IF($N458=0,"",LEFT($E458,4)&amp;MID($E458,6,2)&amp;RIGHT($E458,2)&amp;$F458&amp;"|"&amp;"1"&amp;RIGHT("00000"&amp;450,5))</f>
        <v/>
      </c>
      <c r="P458">
        <f>IF($O458="","",COUNTIFS(ExpSub,$K458,ExpKey,"&lt;"&amp;$O458)+1)</f>
        <v/>
      </c>
      <c r="Q458">
        <f>IF($P458="","",$K458&amp;"|"&amp;RIGHT("000000"&amp;$P458,6))</f>
        <v/>
      </c>
    </row>
    <row r="459">
      <c r="A459">
        <f>IF(Sync!$P456="","",Sync!$P456)</f>
        <v/>
      </c>
      <c r="B459">
        <f>IF($A459="","",IF(ISNUMBER($A459),IF(AND($A459&gt;=10000101,$A459&lt;=99991231),INT($A459/10000),""),IFERROR(VALUE(TRIM(LEFT($A459,FIND("/",$A459)-1))),"")))</f>
        <v/>
      </c>
      <c r="C459">
        <f>IF(OR($A459="",$B459=""),"",IF(ISNUMBER($A459),INT(MOD($A459,10000)/100),IFERROR(VALUE(TRIM(LEFT(MID($A459,FIND("/",$A459)+1,20),FIND("/",MID($A459,FIND("/",$A459)+1,20))-1))),"")))</f>
        <v/>
      </c>
      <c r="D459">
        <f>IF(OR($A459="",$B459=""),"",IF(ISNUMBER($A459),MOD($A459,100),IFERROR(VALUE(TRIM(MID(MID($A459,FIND("/",$A459)+1,20),FIND("/",MID($A459,FIND("/",$A459)+1,20))+1,20))),"")))</f>
        <v/>
      </c>
      <c r="E459">
        <f>IF($A459="","",IF(OR($B459="",$C459="",$D459="",$B459&lt;1300,$B459&gt;1500,$C459&lt;1,$C459&gt;12,$D459&lt;1,$D459&gt;31),"نامعتبر",RIGHT("0000"&amp;$B459,4)&amp;"/"&amp;RIGHT("00"&amp;$C459,2)&amp;"/"&amp;RIGHT("00"&amp;$D459,2)))</f>
        <v/>
      </c>
      <c r="F459">
        <f>IF(OR($E459="",$E459="نامعتبر"),"",IF(Sync!$Q456="","0000",IF(AND(ISNUMBER(Sync!$Q456),Sync!$Q456&gt;=0,Sync!$Q456&lt;1),RIGHT("00"&amp;HOUR(Sync!$Q456),2)&amp;RIGHT("00"&amp;MINUTE(Sync!$Q456),2),IFERROR(RIGHT("00"&amp;VALUE(LEFT(Sync!$Q456,FIND(":",Sync!$Q456)-1)),2)&amp;RIGHT("00"&amp;VALUE(MID(Sync!$Q456,FIND(":",Sync!$Q456)+1,2)),2),"0000"))))</f>
        <v/>
      </c>
      <c r="G459">
        <f>IF(OR($E459="",$E459="نامعتبر"),"",IF(Sync!$S456="","",Sync!$S456))</f>
        <v/>
      </c>
      <c r="H459">
        <f>IF(OR($E459="",$E459="نامعتبر"),"",IF(Sync!$R456="","",Sync!$R456))</f>
        <v/>
      </c>
      <c r="I459">
        <f>IF(OR($E459="",$E459="نامعتبر"),"",IF(Sync!$T456="","",Sync!$T456))</f>
        <v/>
      </c>
      <c r="J459">
        <f>IF(OR($E459="",$E459="نامعتبر"),"",IF(Sync!$U456="","",Sync!$U456))</f>
        <v/>
      </c>
      <c r="K459">
        <f>IF(OR($E459="",$E459="نامعتبر"),"",IF(Sync!$V456="","",IFERROR(INDEX(SubCodes,MATCH(Sync!$V456,SubTitles,0)),Sync!$V456)))</f>
        <v/>
      </c>
      <c r="L459">
        <f>IF(OR($E459="",$E459="نامعتبر"),"",IF(Sync!$W456="",0,Sync!$W456))</f>
        <v/>
      </c>
      <c r="M459">
        <f>IF(OR($E459="",$E459="نامعتبر"),"",IF(Sync!$X456="",0,Sync!$X456))</f>
        <v/>
      </c>
      <c r="N459">
        <f>IF(OR($E459="",$E459="نامعتبر"),"",IF(AND($J459="هزینه",$K459&lt;&gt;""),1,0))</f>
        <v/>
      </c>
      <c r="O459">
        <f>IF($N459=0,"",LEFT($E459,4)&amp;MID($E459,6,2)&amp;RIGHT($E459,2)&amp;$F459&amp;"|"&amp;"1"&amp;RIGHT("00000"&amp;451,5))</f>
        <v/>
      </c>
      <c r="P459">
        <f>IF($O459="","",COUNTIFS(ExpSub,$K459,ExpKey,"&lt;"&amp;$O459)+1)</f>
        <v/>
      </c>
      <c r="Q459">
        <f>IF($P459="","",$K459&amp;"|"&amp;RIGHT("000000"&amp;$P459,6))</f>
        <v/>
      </c>
    </row>
    <row r="460">
      <c r="A460">
        <f>IF(Sync!$P457="","",Sync!$P457)</f>
        <v/>
      </c>
      <c r="B460">
        <f>IF($A460="","",IF(ISNUMBER($A460),IF(AND($A460&gt;=10000101,$A460&lt;=99991231),INT($A460/10000),""),IFERROR(VALUE(TRIM(LEFT($A460,FIND("/",$A460)-1))),"")))</f>
        <v/>
      </c>
      <c r="C460">
        <f>IF(OR($A460="",$B460=""),"",IF(ISNUMBER($A460),INT(MOD($A460,10000)/100),IFERROR(VALUE(TRIM(LEFT(MID($A460,FIND("/",$A460)+1,20),FIND("/",MID($A460,FIND("/",$A460)+1,20))-1))),"")))</f>
        <v/>
      </c>
      <c r="D460">
        <f>IF(OR($A460="",$B460=""),"",IF(ISNUMBER($A460),MOD($A460,100),IFERROR(VALUE(TRIM(MID(MID($A460,FIND("/",$A460)+1,20),FIND("/",MID($A460,FIND("/",$A460)+1,20))+1,20))),"")))</f>
        <v/>
      </c>
      <c r="E460">
        <f>IF($A460="","",IF(OR($B460="",$C460="",$D460="",$B460&lt;1300,$B460&gt;1500,$C460&lt;1,$C460&gt;12,$D460&lt;1,$D460&gt;31),"نامعتبر",RIGHT("0000"&amp;$B460,4)&amp;"/"&amp;RIGHT("00"&amp;$C460,2)&amp;"/"&amp;RIGHT("00"&amp;$D460,2)))</f>
        <v/>
      </c>
      <c r="F460">
        <f>IF(OR($E460="",$E460="نامعتبر"),"",IF(Sync!$Q457="","0000",IF(AND(ISNUMBER(Sync!$Q457),Sync!$Q457&gt;=0,Sync!$Q457&lt;1),RIGHT("00"&amp;HOUR(Sync!$Q457),2)&amp;RIGHT("00"&amp;MINUTE(Sync!$Q457),2),IFERROR(RIGHT("00"&amp;VALUE(LEFT(Sync!$Q457,FIND(":",Sync!$Q457)-1)),2)&amp;RIGHT("00"&amp;VALUE(MID(Sync!$Q457,FIND(":",Sync!$Q457)+1,2)),2),"0000"))))</f>
        <v/>
      </c>
      <c r="G460">
        <f>IF(OR($E460="",$E460="نامعتبر"),"",IF(Sync!$S457="","",Sync!$S457))</f>
        <v/>
      </c>
      <c r="H460">
        <f>IF(OR($E460="",$E460="نامعتبر"),"",IF(Sync!$R457="","",Sync!$R457))</f>
        <v/>
      </c>
      <c r="I460">
        <f>IF(OR($E460="",$E460="نامعتبر"),"",IF(Sync!$T457="","",Sync!$T457))</f>
        <v/>
      </c>
      <c r="J460">
        <f>IF(OR($E460="",$E460="نامعتبر"),"",IF(Sync!$U457="","",Sync!$U457))</f>
        <v/>
      </c>
      <c r="K460">
        <f>IF(OR($E460="",$E460="نامعتبر"),"",IF(Sync!$V457="","",IFERROR(INDEX(SubCodes,MATCH(Sync!$V457,SubTitles,0)),Sync!$V457)))</f>
        <v/>
      </c>
      <c r="L460">
        <f>IF(OR($E460="",$E460="نامعتبر"),"",IF(Sync!$W457="",0,Sync!$W457))</f>
        <v/>
      </c>
      <c r="M460">
        <f>IF(OR($E460="",$E460="نامعتبر"),"",IF(Sync!$X457="",0,Sync!$X457))</f>
        <v/>
      </c>
      <c r="N460">
        <f>IF(OR($E460="",$E460="نامعتبر"),"",IF(AND($J460="هزینه",$K460&lt;&gt;""),1,0))</f>
        <v/>
      </c>
      <c r="O460">
        <f>IF($N460=0,"",LEFT($E460,4)&amp;MID($E460,6,2)&amp;RIGHT($E460,2)&amp;$F460&amp;"|"&amp;"1"&amp;RIGHT("00000"&amp;452,5))</f>
        <v/>
      </c>
      <c r="P460">
        <f>IF($O460="","",COUNTIFS(ExpSub,$K460,ExpKey,"&lt;"&amp;$O460)+1)</f>
        <v/>
      </c>
      <c r="Q460">
        <f>IF($P460="","",$K460&amp;"|"&amp;RIGHT("000000"&amp;$P460,6))</f>
        <v/>
      </c>
    </row>
    <row r="461">
      <c r="A461">
        <f>IF(Sync!$P458="","",Sync!$P458)</f>
        <v/>
      </c>
      <c r="B461">
        <f>IF($A461="","",IF(ISNUMBER($A461),IF(AND($A461&gt;=10000101,$A461&lt;=99991231),INT($A461/10000),""),IFERROR(VALUE(TRIM(LEFT($A461,FIND("/",$A461)-1))),"")))</f>
        <v/>
      </c>
      <c r="C461">
        <f>IF(OR($A461="",$B461=""),"",IF(ISNUMBER($A461),INT(MOD($A461,10000)/100),IFERROR(VALUE(TRIM(LEFT(MID($A461,FIND("/",$A461)+1,20),FIND("/",MID($A461,FIND("/",$A461)+1,20))-1))),"")))</f>
        <v/>
      </c>
      <c r="D461">
        <f>IF(OR($A461="",$B461=""),"",IF(ISNUMBER($A461),MOD($A461,100),IFERROR(VALUE(TRIM(MID(MID($A461,FIND("/",$A461)+1,20),FIND("/",MID($A461,FIND("/",$A461)+1,20))+1,20))),"")))</f>
        <v/>
      </c>
      <c r="E461">
        <f>IF($A461="","",IF(OR($B461="",$C461="",$D461="",$B461&lt;1300,$B461&gt;1500,$C461&lt;1,$C461&gt;12,$D461&lt;1,$D461&gt;31),"نامعتبر",RIGHT("0000"&amp;$B461,4)&amp;"/"&amp;RIGHT("00"&amp;$C461,2)&amp;"/"&amp;RIGHT("00"&amp;$D461,2)))</f>
        <v/>
      </c>
      <c r="F461">
        <f>IF(OR($E461="",$E461="نامعتبر"),"",IF(Sync!$Q458="","0000",IF(AND(ISNUMBER(Sync!$Q458),Sync!$Q458&gt;=0,Sync!$Q458&lt;1),RIGHT("00"&amp;HOUR(Sync!$Q458),2)&amp;RIGHT("00"&amp;MINUTE(Sync!$Q458),2),IFERROR(RIGHT("00"&amp;VALUE(LEFT(Sync!$Q458,FIND(":",Sync!$Q458)-1)),2)&amp;RIGHT("00"&amp;VALUE(MID(Sync!$Q458,FIND(":",Sync!$Q458)+1,2)),2),"0000"))))</f>
        <v/>
      </c>
      <c r="G461">
        <f>IF(OR($E461="",$E461="نامعتبر"),"",IF(Sync!$S458="","",Sync!$S458))</f>
        <v/>
      </c>
      <c r="H461">
        <f>IF(OR($E461="",$E461="نامعتبر"),"",IF(Sync!$R458="","",Sync!$R458))</f>
        <v/>
      </c>
      <c r="I461">
        <f>IF(OR($E461="",$E461="نامعتبر"),"",IF(Sync!$T458="","",Sync!$T458))</f>
        <v/>
      </c>
      <c r="J461">
        <f>IF(OR($E461="",$E461="نامعتبر"),"",IF(Sync!$U458="","",Sync!$U458))</f>
        <v/>
      </c>
      <c r="K461">
        <f>IF(OR($E461="",$E461="نامعتبر"),"",IF(Sync!$V458="","",IFERROR(INDEX(SubCodes,MATCH(Sync!$V458,SubTitles,0)),Sync!$V458)))</f>
        <v/>
      </c>
      <c r="L461">
        <f>IF(OR($E461="",$E461="نامعتبر"),"",IF(Sync!$W458="",0,Sync!$W458))</f>
        <v/>
      </c>
      <c r="M461">
        <f>IF(OR($E461="",$E461="نامعتبر"),"",IF(Sync!$X458="",0,Sync!$X458))</f>
        <v/>
      </c>
      <c r="N461">
        <f>IF(OR($E461="",$E461="نامعتبر"),"",IF(AND($J461="هزینه",$K461&lt;&gt;""),1,0))</f>
        <v/>
      </c>
      <c r="O461">
        <f>IF($N461=0,"",LEFT($E461,4)&amp;MID($E461,6,2)&amp;RIGHT($E461,2)&amp;$F461&amp;"|"&amp;"1"&amp;RIGHT("00000"&amp;453,5))</f>
        <v/>
      </c>
      <c r="P461">
        <f>IF($O461="","",COUNTIFS(ExpSub,$K461,ExpKey,"&lt;"&amp;$O461)+1)</f>
        <v/>
      </c>
      <c r="Q461">
        <f>IF($P461="","",$K461&amp;"|"&amp;RIGHT("000000"&amp;$P461,6))</f>
        <v/>
      </c>
    </row>
    <row r="462">
      <c r="A462">
        <f>IF(Sync!$P459="","",Sync!$P459)</f>
        <v/>
      </c>
      <c r="B462">
        <f>IF($A462="","",IF(ISNUMBER($A462),IF(AND($A462&gt;=10000101,$A462&lt;=99991231),INT($A462/10000),""),IFERROR(VALUE(TRIM(LEFT($A462,FIND("/",$A462)-1))),"")))</f>
        <v/>
      </c>
      <c r="C462">
        <f>IF(OR($A462="",$B462=""),"",IF(ISNUMBER($A462),INT(MOD($A462,10000)/100),IFERROR(VALUE(TRIM(LEFT(MID($A462,FIND("/",$A462)+1,20),FIND("/",MID($A462,FIND("/",$A462)+1,20))-1))),"")))</f>
        <v/>
      </c>
      <c r="D462">
        <f>IF(OR($A462="",$B462=""),"",IF(ISNUMBER($A462),MOD($A462,100),IFERROR(VALUE(TRIM(MID(MID($A462,FIND("/",$A462)+1,20),FIND("/",MID($A462,FIND("/",$A462)+1,20))+1,20))),"")))</f>
        <v/>
      </c>
      <c r="E462">
        <f>IF($A462="","",IF(OR($B462="",$C462="",$D462="",$B462&lt;1300,$B462&gt;1500,$C462&lt;1,$C462&gt;12,$D462&lt;1,$D462&gt;31),"نامعتبر",RIGHT("0000"&amp;$B462,4)&amp;"/"&amp;RIGHT("00"&amp;$C462,2)&amp;"/"&amp;RIGHT("00"&amp;$D462,2)))</f>
        <v/>
      </c>
      <c r="F462">
        <f>IF(OR($E462="",$E462="نامعتبر"),"",IF(Sync!$Q459="","0000",IF(AND(ISNUMBER(Sync!$Q459),Sync!$Q459&gt;=0,Sync!$Q459&lt;1),RIGHT("00"&amp;HOUR(Sync!$Q459),2)&amp;RIGHT("00"&amp;MINUTE(Sync!$Q459),2),IFERROR(RIGHT("00"&amp;VALUE(LEFT(Sync!$Q459,FIND(":",Sync!$Q459)-1)),2)&amp;RIGHT("00"&amp;VALUE(MID(Sync!$Q459,FIND(":",Sync!$Q459)+1,2)),2),"0000"))))</f>
        <v/>
      </c>
      <c r="G462">
        <f>IF(OR($E462="",$E462="نامعتبر"),"",IF(Sync!$S459="","",Sync!$S459))</f>
        <v/>
      </c>
      <c r="H462">
        <f>IF(OR($E462="",$E462="نامعتبر"),"",IF(Sync!$R459="","",Sync!$R459))</f>
        <v/>
      </c>
      <c r="I462">
        <f>IF(OR($E462="",$E462="نامعتبر"),"",IF(Sync!$T459="","",Sync!$T459))</f>
        <v/>
      </c>
      <c r="J462">
        <f>IF(OR($E462="",$E462="نامعتبر"),"",IF(Sync!$U459="","",Sync!$U459))</f>
        <v/>
      </c>
      <c r="K462">
        <f>IF(OR($E462="",$E462="نامعتبر"),"",IF(Sync!$V459="","",IFERROR(INDEX(SubCodes,MATCH(Sync!$V459,SubTitles,0)),Sync!$V459)))</f>
        <v/>
      </c>
      <c r="L462">
        <f>IF(OR($E462="",$E462="نامعتبر"),"",IF(Sync!$W459="",0,Sync!$W459))</f>
        <v/>
      </c>
      <c r="M462">
        <f>IF(OR($E462="",$E462="نامعتبر"),"",IF(Sync!$X459="",0,Sync!$X459))</f>
        <v/>
      </c>
      <c r="N462">
        <f>IF(OR($E462="",$E462="نامعتبر"),"",IF(AND($J462="هزینه",$K462&lt;&gt;""),1,0))</f>
        <v/>
      </c>
      <c r="O462">
        <f>IF($N462=0,"",LEFT($E462,4)&amp;MID($E462,6,2)&amp;RIGHT($E462,2)&amp;$F462&amp;"|"&amp;"1"&amp;RIGHT("00000"&amp;454,5))</f>
        <v/>
      </c>
      <c r="P462">
        <f>IF($O462="","",COUNTIFS(ExpSub,$K462,ExpKey,"&lt;"&amp;$O462)+1)</f>
        <v/>
      </c>
      <c r="Q462">
        <f>IF($P462="","",$K462&amp;"|"&amp;RIGHT("000000"&amp;$P462,6))</f>
        <v/>
      </c>
    </row>
    <row r="463">
      <c r="A463">
        <f>IF(Sync!$P460="","",Sync!$P460)</f>
        <v/>
      </c>
      <c r="B463">
        <f>IF($A463="","",IF(ISNUMBER($A463),IF(AND($A463&gt;=10000101,$A463&lt;=99991231),INT($A463/10000),""),IFERROR(VALUE(TRIM(LEFT($A463,FIND("/",$A463)-1))),"")))</f>
        <v/>
      </c>
      <c r="C463">
        <f>IF(OR($A463="",$B463=""),"",IF(ISNUMBER($A463),INT(MOD($A463,10000)/100),IFERROR(VALUE(TRIM(LEFT(MID($A463,FIND("/",$A463)+1,20),FIND("/",MID($A463,FIND("/",$A463)+1,20))-1))),"")))</f>
        <v/>
      </c>
      <c r="D463">
        <f>IF(OR($A463="",$B463=""),"",IF(ISNUMBER($A463),MOD($A463,100),IFERROR(VALUE(TRIM(MID(MID($A463,FIND("/",$A463)+1,20),FIND("/",MID($A463,FIND("/",$A463)+1,20))+1,20))),"")))</f>
        <v/>
      </c>
      <c r="E463">
        <f>IF($A463="","",IF(OR($B463="",$C463="",$D463="",$B463&lt;1300,$B463&gt;1500,$C463&lt;1,$C463&gt;12,$D463&lt;1,$D463&gt;31),"نامعتبر",RIGHT("0000"&amp;$B463,4)&amp;"/"&amp;RIGHT("00"&amp;$C463,2)&amp;"/"&amp;RIGHT("00"&amp;$D463,2)))</f>
        <v/>
      </c>
      <c r="F463">
        <f>IF(OR($E463="",$E463="نامعتبر"),"",IF(Sync!$Q460="","0000",IF(AND(ISNUMBER(Sync!$Q460),Sync!$Q460&gt;=0,Sync!$Q460&lt;1),RIGHT("00"&amp;HOUR(Sync!$Q460),2)&amp;RIGHT("00"&amp;MINUTE(Sync!$Q460),2),IFERROR(RIGHT("00"&amp;VALUE(LEFT(Sync!$Q460,FIND(":",Sync!$Q460)-1)),2)&amp;RIGHT("00"&amp;VALUE(MID(Sync!$Q460,FIND(":",Sync!$Q460)+1,2)),2),"0000"))))</f>
        <v/>
      </c>
      <c r="G463">
        <f>IF(OR($E463="",$E463="نامعتبر"),"",IF(Sync!$S460="","",Sync!$S460))</f>
        <v/>
      </c>
      <c r="H463">
        <f>IF(OR($E463="",$E463="نامعتبر"),"",IF(Sync!$R460="","",Sync!$R460))</f>
        <v/>
      </c>
      <c r="I463">
        <f>IF(OR($E463="",$E463="نامعتبر"),"",IF(Sync!$T460="","",Sync!$T460))</f>
        <v/>
      </c>
      <c r="J463">
        <f>IF(OR($E463="",$E463="نامعتبر"),"",IF(Sync!$U460="","",Sync!$U460))</f>
        <v/>
      </c>
      <c r="K463">
        <f>IF(OR($E463="",$E463="نامعتبر"),"",IF(Sync!$V460="","",IFERROR(INDEX(SubCodes,MATCH(Sync!$V460,SubTitles,0)),Sync!$V460)))</f>
        <v/>
      </c>
      <c r="L463">
        <f>IF(OR($E463="",$E463="نامعتبر"),"",IF(Sync!$W460="",0,Sync!$W460))</f>
        <v/>
      </c>
      <c r="M463">
        <f>IF(OR($E463="",$E463="نامعتبر"),"",IF(Sync!$X460="",0,Sync!$X460))</f>
        <v/>
      </c>
      <c r="N463">
        <f>IF(OR($E463="",$E463="نامعتبر"),"",IF(AND($J463="هزینه",$K463&lt;&gt;""),1,0))</f>
        <v/>
      </c>
      <c r="O463">
        <f>IF($N463=0,"",LEFT($E463,4)&amp;MID($E463,6,2)&amp;RIGHT($E463,2)&amp;$F463&amp;"|"&amp;"1"&amp;RIGHT("00000"&amp;455,5))</f>
        <v/>
      </c>
      <c r="P463">
        <f>IF($O463="","",COUNTIFS(ExpSub,$K463,ExpKey,"&lt;"&amp;$O463)+1)</f>
        <v/>
      </c>
      <c r="Q463">
        <f>IF($P463="","",$K463&amp;"|"&amp;RIGHT("000000"&amp;$P463,6))</f>
        <v/>
      </c>
    </row>
    <row r="464">
      <c r="A464">
        <f>IF(Sync!$P461="","",Sync!$P461)</f>
        <v/>
      </c>
      <c r="B464">
        <f>IF($A464="","",IF(ISNUMBER($A464),IF(AND($A464&gt;=10000101,$A464&lt;=99991231),INT($A464/10000),""),IFERROR(VALUE(TRIM(LEFT($A464,FIND("/",$A464)-1))),"")))</f>
        <v/>
      </c>
      <c r="C464">
        <f>IF(OR($A464="",$B464=""),"",IF(ISNUMBER($A464),INT(MOD($A464,10000)/100),IFERROR(VALUE(TRIM(LEFT(MID($A464,FIND("/",$A464)+1,20),FIND("/",MID($A464,FIND("/",$A464)+1,20))-1))),"")))</f>
        <v/>
      </c>
      <c r="D464">
        <f>IF(OR($A464="",$B464=""),"",IF(ISNUMBER($A464),MOD($A464,100),IFERROR(VALUE(TRIM(MID(MID($A464,FIND("/",$A464)+1,20),FIND("/",MID($A464,FIND("/",$A464)+1,20))+1,20))),"")))</f>
        <v/>
      </c>
      <c r="E464">
        <f>IF($A464="","",IF(OR($B464="",$C464="",$D464="",$B464&lt;1300,$B464&gt;1500,$C464&lt;1,$C464&gt;12,$D464&lt;1,$D464&gt;31),"نامعتبر",RIGHT("0000"&amp;$B464,4)&amp;"/"&amp;RIGHT("00"&amp;$C464,2)&amp;"/"&amp;RIGHT("00"&amp;$D464,2)))</f>
        <v/>
      </c>
      <c r="F464">
        <f>IF(OR($E464="",$E464="نامعتبر"),"",IF(Sync!$Q461="","0000",IF(AND(ISNUMBER(Sync!$Q461),Sync!$Q461&gt;=0,Sync!$Q461&lt;1),RIGHT("00"&amp;HOUR(Sync!$Q461),2)&amp;RIGHT("00"&amp;MINUTE(Sync!$Q461),2),IFERROR(RIGHT("00"&amp;VALUE(LEFT(Sync!$Q461,FIND(":",Sync!$Q461)-1)),2)&amp;RIGHT("00"&amp;VALUE(MID(Sync!$Q461,FIND(":",Sync!$Q461)+1,2)),2),"0000"))))</f>
        <v/>
      </c>
      <c r="G464">
        <f>IF(OR($E464="",$E464="نامعتبر"),"",IF(Sync!$S461="","",Sync!$S461))</f>
        <v/>
      </c>
      <c r="H464">
        <f>IF(OR($E464="",$E464="نامعتبر"),"",IF(Sync!$R461="","",Sync!$R461))</f>
        <v/>
      </c>
      <c r="I464">
        <f>IF(OR($E464="",$E464="نامعتبر"),"",IF(Sync!$T461="","",Sync!$T461))</f>
        <v/>
      </c>
      <c r="J464">
        <f>IF(OR($E464="",$E464="نامعتبر"),"",IF(Sync!$U461="","",Sync!$U461))</f>
        <v/>
      </c>
      <c r="K464">
        <f>IF(OR($E464="",$E464="نامعتبر"),"",IF(Sync!$V461="","",IFERROR(INDEX(SubCodes,MATCH(Sync!$V461,SubTitles,0)),Sync!$V461)))</f>
        <v/>
      </c>
      <c r="L464">
        <f>IF(OR($E464="",$E464="نامعتبر"),"",IF(Sync!$W461="",0,Sync!$W461))</f>
        <v/>
      </c>
      <c r="M464">
        <f>IF(OR($E464="",$E464="نامعتبر"),"",IF(Sync!$X461="",0,Sync!$X461))</f>
        <v/>
      </c>
      <c r="N464">
        <f>IF(OR($E464="",$E464="نامعتبر"),"",IF(AND($J464="هزینه",$K464&lt;&gt;""),1,0))</f>
        <v/>
      </c>
      <c r="O464">
        <f>IF($N464=0,"",LEFT($E464,4)&amp;MID($E464,6,2)&amp;RIGHT($E464,2)&amp;$F464&amp;"|"&amp;"1"&amp;RIGHT("00000"&amp;456,5))</f>
        <v/>
      </c>
      <c r="P464">
        <f>IF($O464="","",COUNTIFS(ExpSub,$K464,ExpKey,"&lt;"&amp;$O464)+1)</f>
        <v/>
      </c>
      <c r="Q464">
        <f>IF($P464="","",$K464&amp;"|"&amp;RIGHT("000000"&amp;$P464,6))</f>
        <v/>
      </c>
    </row>
    <row r="465">
      <c r="A465">
        <f>IF(Sync!$P462="","",Sync!$P462)</f>
        <v/>
      </c>
      <c r="B465">
        <f>IF($A465="","",IF(ISNUMBER($A465),IF(AND($A465&gt;=10000101,$A465&lt;=99991231),INT($A465/10000),""),IFERROR(VALUE(TRIM(LEFT($A465,FIND("/",$A465)-1))),"")))</f>
        <v/>
      </c>
      <c r="C465">
        <f>IF(OR($A465="",$B465=""),"",IF(ISNUMBER($A465),INT(MOD($A465,10000)/100),IFERROR(VALUE(TRIM(LEFT(MID($A465,FIND("/",$A465)+1,20),FIND("/",MID($A465,FIND("/",$A465)+1,20))-1))),"")))</f>
        <v/>
      </c>
      <c r="D465">
        <f>IF(OR($A465="",$B465=""),"",IF(ISNUMBER($A465),MOD($A465,100),IFERROR(VALUE(TRIM(MID(MID($A465,FIND("/",$A465)+1,20),FIND("/",MID($A465,FIND("/",$A465)+1,20))+1,20))),"")))</f>
        <v/>
      </c>
      <c r="E465">
        <f>IF($A465="","",IF(OR($B465="",$C465="",$D465="",$B465&lt;1300,$B465&gt;1500,$C465&lt;1,$C465&gt;12,$D465&lt;1,$D465&gt;31),"نامعتبر",RIGHT("0000"&amp;$B465,4)&amp;"/"&amp;RIGHT("00"&amp;$C465,2)&amp;"/"&amp;RIGHT("00"&amp;$D465,2)))</f>
        <v/>
      </c>
      <c r="F465">
        <f>IF(OR($E465="",$E465="نامعتبر"),"",IF(Sync!$Q462="","0000",IF(AND(ISNUMBER(Sync!$Q462),Sync!$Q462&gt;=0,Sync!$Q462&lt;1),RIGHT("00"&amp;HOUR(Sync!$Q462),2)&amp;RIGHT("00"&amp;MINUTE(Sync!$Q462),2),IFERROR(RIGHT("00"&amp;VALUE(LEFT(Sync!$Q462,FIND(":",Sync!$Q462)-1)),2)&amp;RIGHT("00"&amp;VALUE(MID(Sync!$Q462,FIND(":",Sync!$Q462)+1,2)),2),"0000"))))</f>
        <v/>
      </c>
      <c r="G465">
        <f>IF(OR($E465="",$E465="نامعتبر"),"",IF(Sync!$S462="","",Sync!$S462))</f>
        <v/>
      </c>
      <c r="H465">
        <f>IF(OR($E465="",$E465="نامعتبر"),"",IF(Sync!$R462="","",Sync!$R462))</f>
        <v/>
      </c>
      <c r="I465">
        <f>IF(OR($E465="",$E465="نامعتبر"),"",IF(Sync!$T462="","",Sync!$T462))</f>
        <v/>
      </c>
      <c r="J465">
        <f>IF(OR($E465="",$E465="نامعتبر"),"",IF(Sync!$U462="","",Sync!$U462))</f>
        <v/>
      </c>
      <c r="K465">
        <f>IF(OR($E465="",$E465="نامعتبر"),"",IF(Sync!$V462="","",IFERROR(INDEX(SubCodes,MATCH(Sync!$V462,SubTitles,0)),Sync!$V462)))</f>
        <v/>
      </c>
      <c r="L465">
        <f>IF(OR($E465="",$E465="نامعتبر"),"",IF(Sync!$W462="",0,Sync!$W462))</f>
        <v/>
      </c>
      <c r="M465">
        <f>IF(OR($E465="",$E465="نامعتبر"),"",IF(Sync!$X462="",0,Sync!$X462))</f>
        <v/>
      </c>
      <c r="N465">
        <f>IF(OR($E465="",$E465="نامعتبر"),"",IF(AND($J465="هزینه",$K465&lt;&gt;""),1,0))</f>
        <v/>
      </c>
      <c r="O465">
        <f>IF($N465=0,"",LEFT($E465,4)&amp;MID($E465,6,2)&amp;RIGHT($E465,2)&amp;$F465&amp;"|"&amp;"1"&amp;RIGHT("00000"&amp;457,5))</f>
        <v/>
      </c>
      <c r="P465">
        <f>IF($O465="","",COUNTIFS(ExpSub,$K465,ExpKey,"&lt;"&amp;$O465)+1)</f>
        <v/>
      </c>
      <c r="Q465">
        <f>IF($P465="","",$K465&amp;"|"&amp;RIGHT("000000"&amp;$P465,6))</f>
        <v/>
      </c>
    </row>
    <row r="466">
      <c r="A466">
        <f>IF(Sync!$P463="","",Sync!$P463)</f>
        <v/>
      </c>
      <c r="B466">
        <f>IF($A466="","",IF(ISNUMBER($A466),IF(AND($A466&gt;=10000101,$A466&lt;=99991231),INT($A466/10000),""),IFERROR(VALUE(TRIM(LEFT($A466,FIND("/",$A466)-1))),"")))</f>
        <v/>
      </c>
      <c r="C466">
        <f>IF(OR($A466="",$B466=""),"",IF(ISNUMBER($A466),INT(MOD($A466,10000)/100),IFERROR(VALUE(TRIM(LEFT(MID($A466,FIND("/",$A466)+1,20),FIND("/",MID($A466,FIND("/",$A466)+1,20))-1))),"")))</f>
        <v/>
      </c>
      <c r="D466">
        <f>IF(OR($A466="",$B466=""),"",IF(ISNUMBER($A466),MOD($A466,100),IFERROR(VALUE(TRIM(MID(MID($A466,FIND("/",$A466)+1,20),FIND("/",MID($A466,FIND("/",$A466)+1,20))+1,20))),"")))</f>
        <v/>
      </c>
      <c r="E466">
        <f>IF($A466="","",IF(OR($B466="",$C466="",$D466="",$B466&lt;1300,$B466&gt;1500,$C466&lt;1,$C466&gt;12,$D466&lt;1,$D466&gt;31),"نامعتبر",RIGHT("0000"&amp;$B466,4)&amp;"/"&amp;RIGHT("00"&amp;$C466,2)&amp;"/"&amp;RIGHT("00"&amp;$D466,2)))</f>
        <v/>
      </c>
      <c r="F466">
        <f>IF(OR($E466="",$E466="نامعتبر"),"",IF(Sync!$Q463="","0000",IF(AND(ISNUMBER(Sync!$Q463),Sync!$Q463&gt;=0,Sync!$Q463&lt;1),RIGHT("00"&amp;HOUR(Sync!$Q463),2)&amp;RIGHT("00"&amp;MINUTE(Sync!$Q463),2),IFERROR(RIGHT("00"&amp;VALUE(LEFT(Sync!$Q463,FIND(":",Sync!$Q463)-1)),2)&amp;RIGHT("00"&amp;VALUE(MID(Sync!$Q463,FIND(":",Sync!$Q463)+1,2)),2),"0000"))))</f>
        <v/>
      </c>
      <c r="G466">
        <f>IF(OR($E466="",$E466="نامعتبر"),"",IF(Sync!$S463="","",Sync!$S463))</f>
        <v/>
      </c>
      <c r="H466">
        <f>IF(OR($E466="",$E466="نامعتبر"),"",IF(Sync!$R463="","",Sync!$R463))</f>
        <v/>
      </c>
      <c r="I466">
        <f>IF(OR($E466="",$E466="نامعتبر"),"",IF(Sync!$T463="","",Sync!$T463))</f>
        <v/>
      </c>
      <c r="J466">
        <f>IF(OR($E466="",$E466="نامعتبر"),"",IF(Sync!$U463="","",Sync!$U463))</f>
        <v/>
      </c>
      <c r="K466">
        <f>IF(OR($E466="",$E466="نامعتبر"),"",IF(Sync!$V463="","",IFERROR(INDEX(SubCodes,MATCH(Sync!$V463,SubTitles,0)),Sync!$V463)))</f>
        <v/>
      </c>
      <c r="L466">
        <f>IF(OR($E466="",$E466="نامعتبر"),"",IF(Sync!$W463="",0,Sync!$W463))</f>
        <v/>
      </c>
      <c r="M466">
        <f>IF(OR($E466="",$E466="نامعتبر"),"",IF(Sync!$X463="",0,Sync!$X463))</f>
        <v/>
      </c>
      <c r="N466">
        <f>IF(OR($E466="",$E466="نامعتبر"),"",IF(AND($J466="هزینه",$K466&lt;&gt;""),1,0))</f>
        <v/>
      </c>
      <c r="O466">
        <f>IF($N466=0,"",LEFT($E466,4)&amp;MID($E466,6,2)&amp;RIGHT($E466,2)&amp;$F466&amp;"|"&amp;"1"&amp;RIGHT("00000"&amp;458,5))</f>
        <v/>
      </c>
      <c r="P466">
        <f>IF($O466="","",COUNTIFS(ExpSub,$K466,ExpKey,"&lt;"&amp;$O466)+1)</f>
        <v/>
      </c>
      <c r="Q466">
        <f>IF($P466="","",$K466&amp;"|"&amp;RIGHT("000000"&amp;$P466,6))</f>
        <v/>
      </c>
    </row>
    <row r="467">
      <c r="A467">
        <f>IF(Sync!$P464="","",Sync!$P464)</f>
        <v/>
      </c>
      <c r="B467">
        <f>IF($A467="","",IF(ISNUMBER($A467),IF(AND($A467&gt;=10000101,$A467&lt;=99991231),INT($A467/10000),""),IFERROR(VALUE(TRIM(LEFT($A467,FIND("/",$A467)-1))),"")))</f>
        <v/>
      </c>
      <c r="C467">
        <f>IF(OR($A467="",$B467=""),"",IF(ISNUMBER($A467),INT(MOD($A467,10000)/100),IFERROR(VALUE(TRIM(LEFT(MID($A467,FIND("/",$A467)+1,20),FIND("/",MID($A467,FIND("/",$A467)+1,20))-1))),"")))</f>
        <v/>
      </c>
      <c r="D467">
        <f>IF(OR($A467="",$B467=""),"",IF(ISNUMBER($A467),MOD($A467,100),IFERROR(VALUE(TRIM(MID(MID($A467,FIND("/",$A467)+1,20),FIND("/",MID($A467,FIND("/",$A467)+1,20))+1,20))),"")))</f>
        <v/>
      </c>
      <c r="E467">
        <f>IF($A467="","",IF(OR($B467="",$C467="",$D467="",$B467&lt;1300,$B467&gt;1500,$C467&lt;1,$C467&gt;12,$D467&lt;1,$D467&gt;31),"نامعتبر",RIGHT("0000"&amp;$B467,4)&amp;"/"&amp;RIGHT("00"&amp;$C467,2)&amp;"/"&amp;RIGHT("00"&amp;$D467,2)))</f>
        <v/>
      </c>
      <c r="F467">
        <f>IF(OR($E467="",$E467="نامعتبر"),"",IF(Sync!$Q464="","0000",IF(AND(ISNUMBER(Sync!$Q464),Sync!$Q464&gt;=0,Sync!$Q464&lt;1),RIGHT("00"&amp;HOUR(Sync!$Q464),2)&amp;RIGHT("00"&amp;MINUTE(Sync!$Q464),2),IFERROR(RIGHT("00"&amp;VALUE(LEFT(Sync!$Q464,FIND(":",Sync!$Q464)-1)),2)&amp;RIGHT("00"&amp;VALUE(MID(Sync!$Q464,FIND(":",Sync!$Q464)+1,2)),2),"0000"))))</f>
        <v/>
      </c>
      <c r="G467">
        <f>IF(OR($E467="",$E467="نامعتبر"),"",IF(Sync!$S464="","",Sync!$S464))</f>
        <v/>
      </c>
      <c r="H467">
        <f>IF(OR($E467="",$E467="نامعتبر"),"",IF(Sync!$R464="","",Sync!$R464))</f>
        <v/>
      </c>
      <c r="I467">
        <f>IF(OR($E467="",$E467="نامعتبر"),"",IF(Sync!$T464="","",Sync!$T464))</f>
        <v/>
      </c>
      <c r="J467">
        <f>IF(OR($E467="",$E467="نامعتبر"),"",IF(Sync!$U464="","",Sync!$U464))</f>
        <v/>
      </c>
      <c r="K467">
        <f>IF(OR($E467="",$E467="نامعتبر"),"",IF(Sync!$V464="","",IFERROR(INDEX(SubCodes,MATCH(Sync!$V464,SubTitles,0)),Sync!$V464)))</f>
        <v/>
      </c>
      <c r="L467">
        <f>IF(OR($E467="",$E467="نامعتبر"),"",IF(Sync!$W464="",0,Sync!$W464))</f>
        <v/>
      </c>
      <c r="M467">
        <f>IF(OR($E467="",$E467="نامعتبر"),"",IF(Sync!$X464="",0,Sync!$X464))</f>
        <v/>
      </c>
      <c r="N467">
        <f>IF(OR($E467="",$E467="نامعتبر"),"",IF(AND($J467="هزینه",$K467&lt;&gt;""),1,0))</f>
        <v/>
      </c>
      <c r="O467">
        <f>IF($N467=0,"",LEFT($E467,4)&amp;MID($E467,6,2)&amp;RIGHT($E467,2)&amp;$F467&amp;"|"&amp;"1"&amp;RIGHT("00000"&amp;459,5))</f>
        <v/>
      </c>
      <c r="P467">
        <f>IF($O467="","",COUNTIFS(ExpSub,$K467,ExpKey,"&lt;"&amp;$O467)+1)</f>
        <v/>
      </c>
      <c r="Q467">
        <f>IF($P467="","",$K467&amp;"|"&amp;RIGHT("000000"&amp;$P467,6))</f>
        <v/>
      </c>
    </row>
    <row r="468">
      <c r="A468">
        <f>IF(Sync!$P465="","",Sync!$P465)</f>
        <v/>
      </c>
      <c r="B468">
        <f>IF($A468="","",IF(ISNUMBER($A468),IF(AND($A468&gt;=10000101,$A468&lt;=99991231),INT($A468/10000),""),IFERROR(VALUE(TRIM(LEFT($A468,FIND("/",$A468)-1))),"")))</f>
        <v/>
      </c>
      <c r="C468">
        <f>IF(OR($A468="",$B468=""),"",IF(ISNUMBER($A468),INT(MOD($A468,10000)/100),IFERROR(VALUE(TRIM(LEFT(MID($A468,FIND("/",$A468)+1,20),FIND("/",MID($A468,FIND("/",$A468)+1,20))-1))),"")))</f>
        <v/>
      </c>
      <c r="D468">
        <f>IF(OR($A468="",$B468=""),"",IF(ISNUMBER($A468),MOD($A468,100),IFERROR(VALUE(TRIM(MID(MID($A468,FIND("/",$A468)+1,20),FIND("/",MID($A468,FIND("/",$A468)+1,20))+1,20))),"")))</f>
        <v/>
      </c>
      <c r="E468">
        <f>IF($A468="","",IF(OR($B468="",$C468="",$D468="",$B468&lt;1300,$B468&gt;1500,$C468&lt;1,$C468&gt;12,$D468&lt;1,$D468&gt;31),"نامعتبر",RIGHT("0000"&amp;$B468,4)&amp;"/"&amp;RIGHT("00"&amp;$C468,2)&amp;"/"&amp;RIGHT("00"&amp;$D468,2)))</f>
        <v/>
      </c>
      <c r="F468">
        <f>IF(OR($E468="",$E468="نامعتبر"),"",IF(Sync!$Q465="","0000",IF(AND(ISNUMBER(Sync!$Q465),Sync!$Q465&gt;=0,Sync!$Q465&lt;1),RIGHT("00"&amp;HOUR(Sync!$Q465),2)&amp;RIGHT("00"&amp;MINUTE(Sync!$Q465),2),IFERROR(RIGHT("00"&amp;VALUE(LEFT(Sync!$Q465,FIND(":",Sync!$Q465)-1)),2)&amp;RIGHT("00"&amp;VALUE(MID(Sync!$Q465,FIND(":",Sync!$Q465)+1,2)),2),"0000"))))</f>
        <v/>
      </c>
      <c r="G468">
        <f>IF(OR($E468="",$E468="نامعتبر"),"",IF(Sync!$S465="","",Sync!$S465))</f>
        <v/>
      </c>
      <c r="H468">
        <f>IF(OR($E468="",$E468="نامعتبر"),"",IF(Sync!$R465="","",Sync!$R465))</f>
        <v/>
      </c>
      <c r="I468">
        <f>IF(OR($E468="",$E468="نامعتبر"),"",IF(Sync!$T465="","",Sync!$T465))</f>
        <v/>
      </c>
      <c r="J468">
        <f>IF(OR($E468="",$E468="نامعتبر"),"",IF(Sync!$U465="","",Sync!$U465))</f>
        <v/>
      </c>
      <c r="K468">
        <f>IF(OR($E468="",$E468="نامعتبر"),"",IF(Sync!$V465="","",IFERROR(INDEX(SubCodes,MATCH(Sync!$V465,SubTitles,0)),Sync!$V465)))</f>
        <v/>
      </c>
      <c r="L468">
        <f>IF(OR($E468="",$E468="نامعتبر"),"",IF(Sync!$W465="",0,Sync!$W465))</f>
        <v/>
      </c>
      <c r="M468">
        <f>IF(OR($E468="",$E468="نامعتبر"),"",IF(Sync!$X465="",0,Sync!$X465))</f>
        <v/>
      </c>
      <c r="N468">
        <f>IF(OR($E468="",$E468="نامعتبر"),"",IF(AND($J468="هزینه",$K468&lt;&gt;""),1,0))</f>
        <v/>
      </c>
      <c r="O468">
        <f>IF($N468=0,"",LEFT($E468,4)&amp;MID($E468,6,2)&amp;RIGHT($E468,2)&amp;$F468&amp;"|"&amp;"1"&amp;RIGHT("00000"&amp;460,5))</f>
        <v/>
      </c>
      <c r="P468">
        <f>IF($O468="","",COUNTIFS(ExpSub,$K468,ExpKey,"&lt;"&amp;$O468)+1)</f>
        <v/>
      </c>
      <c r="Q468">
        <f>IF($P468="","",$K468&amp;"|"&amp;RIGHT("000000"&amp;$P468,6))</f>
        <v/>
      </c>
    </row>
    <row r="469">
      <c r="A469">
        <f>IF(Sync!$P466="","",Sync!$P466)</f>
        <v/>
      </c>
      <c r="B469">
        <f>IF($A469="","",IF(ISNUMBER($A469),IF(AND($A469&gt;=10000101,$A469&lt;=99991231),INT($A469/10000),""),IFERROR(VALUE(TRIM(LEFT($A469,FIND("/",$A469)-1))),"")))</f>
        <v/>
      </c>
      <c r="C469">
        <f>IF(OR($A469="",$B469=""),"",IF(ISNUMBER($A469),INT(MOD($A469,10000)/100),IFERROR(VALUE(TRIM(LEFT(MID($A469,FIND("/",$A469)+1,20),FIND("/",MID($A469,FIND("/",$A469)+1,20))-1))),"")))</f>
        <v/>
      </c>
      <c r="D469">
        <f>IF(OR($A469="",$B469=""),"",IF(ISNUMBER($A469),MOD($A469,100),IFERROR(VALUE(TRIM(MID(MID($A469,FIND("/",$A469)+1,20),FIND("/",MID($A469,FIND("/",$A469)+1,20))+1,20))),"")))</f>
        <v/>
      </c>
      <c r="E469">
        <f>IF($A469="","",IF(OR($B469="",$C469="",$D469="",$B469&lt;1300,$B469&gt;1500,$C469&lt;1,$C469&gt;12,$D469&lt;1,$D469&gt;31),"نامعتبر",RIGHT("0000"&amp;$B469,4)&amp;"/"&amp;RIGHT("00"&amp;$C469,2)&amp;"/"&amp;RIGHT("00"&amp;$D469,2)))</f>
        <v/>
      </c>
      <c r="F469">
        <f>IF(OR($E469="",$E469="نامعتبر"),"",IF(Sync!$Q466="","0000",IF(AND(ISNUMBER(Sync!$Q466),Sync!$Q466&gt;=0,Sync!$Q466&lt;1),RIGHT("00"&amp;HOUR(Sync!$Q466),2)&amp;RIGHT("00"&amp;MINUTE(Sync!$Q466),2),IFERROR(RIGHT("00"&amp;VALUE(LEFT(Sync!$Q466,FIND(":",Sync!$Q466)-1)),2)&amp;RIGHT("00"&amp;VALUE(MID(Sync!$Q466,FIND(":",Sync!$Q466)+1,2)),2),"0000"))))</f>
        <v/>
      </c>
      <c r="G469">
        <f>IF(OR($E469="",$E469="نامعتبر"),"",IF(Sync!$S466="","",Sync!$S466))</f>
        <v/>
      </c>
      <c r="H469">
        <f>IF(OR($E469="",$E469="نامعتبر"),"",IF(Sync!$R466="","",Sync!$R466))</f>
        <v/>
      </c>
      <c r="I469">
        <f>IF(OR($E469="",$E469="نامعتبر"),"",IF(Sync!$T466="","",Sync!$T466))</f>
        <v/>
      </c>
      <c r="J469">
        <f>IF(OR($E469="",$E469="نامعتبر"),"",IF(Sync!$U466="","",Sync!$U466))</f>
        <v/>
      </c>
      <c r="K469">
        <f>IF(OR($E469="",$E469="نامعتبر"),"",IF(Sync!$V466="","",IFERROR(INDEX(SubCodes,MATCH(Sync!$V466,SubTitles,0)),Sync!$V466)))</f>
        <v/>
      </c>
      <c r="L469">
        <f>IF(OR($E469="",$E469="نامعتبر"),"",IF(Sync!$W466="",0,Sync!$W466))</f>
        <v/>
      </c>
      <c r="M469">
        <f>IF(OR($E469="",$E469="نامعتبر"),"",IF(Sync!$X466="",0,Sync!$X466))</f>
        <v/>
      </c>
      <c r="N469">
        <f>IF(OR($E469="",$E469="نامعتبر"),"",IF(AND($J469="هزینه",$K469&lt;&gt;""),1,0))</f>
        <v/>
      </c>
      <c r="O469">
        <f>IF($N469=0,"",LEFT($E469,4)&amp;MID($E469,6,2)&amp;RIGHT($E469,2)&amp;$F469&amp;"|"&amp;"1"&amp;RIGHT("00000"&amp;461,5))</f>
        <v/>
      </c>
      <c r="P469">
        <f>IF($O469="","",COUNTIFS(ExpSub,$K469,ExpKey,"&lt;"&amp;$O469)+1)</f>
        <v/>
      </c>
      <c r="Q469">
        <f>IF($P469="","",$K469&amp;"|"&amp;RIGHT("000000"&amp;$P469,6))</f>
        <v/>
      </c>
    </row>
    <row r="470">
      <c r="A470">
        <f>IF(Sync!$P467="","",Sync!$P467)</f>
        <v/>
      </c>
      <c r="B470">
        <f>IF($A470="","",IF(ISNUMBER($A470),IF(AND($A470&gt;=10000101,$A470&lt;=99991231),INT($A470/10000),""),IFERROR(VALUE(TRIM(LEFT($A470,FIND("/",$A470)-1))),"")))</f>
        <v/>
      </c>
      <c r="C470">
        <f>IF(OR($A470="",$B470=""),"",IF(ISNUMBER($A470),INT(MOD($A470,10000)/100),IFERROR(VALUE(TRIM(LEFT(MID($A470,FIND("/",$A470)+1,20),FIND("/",MID($A470,FIND("/",$A470)+1,20))-1))),"")))</f>
        <v/>
      </c>
      <c r="D470">
        <f>IF(OR($A470="",$B470=""),"",IF(ISNUMBER($A470),MOD($A470,100),IFERROR(VALUE(TRIM(MID(MID($A470,FIND("/",$A470)+1,20),FIND("/",MID($A470,FIND("/",$A470)+1,20))+1,20))),"")))</f>
        <v/>
      </c>
      <c r="E470">
        <f>IF($A470="","",IF(OR($B470="",$C470="",$D470="",$B470&lt;1300,$B470&gt;1500,$C470&lt;1,$C470&gt;12,$D470&lt;1,$D470&gt;31),"نامعتبر",RIGHT("0000"&amp;$B470,4)&amp;"/"&amp;RIGHT("00"&amp;$C470,2)&amp;"/"&amp;RIGHT("00"&amp;$D470,2)))</f>
        <v/>
      </c>
      <c r="F470">
        <f>IF(OR($E470="",$E470="نامعتبر"),"",IF(Sync!$Q467="","0000",IF(AND(ISNUMBER(Sync!$Q467),Sync!$Q467&gt;=0,Sync!$Q467&lt;1),RIGHT("00"&amp;HOUR(Sync!$Q467),2)&amp;RIGHT("00"&amp;MINUTE(Sync!$Q467),2),IFERROR(RIGHT("00"&amp;VALUE(LEFT(Sync!$Q467,FIND(":",Sync!$Q467)-1)),2)&amp;RIGHT("00"&amp;VALUE(MID(Sync!$Q467,FIND(":",Sync!$Q467)+1,2)),2),"0000"))))</f>
        <v/>
      </c>
      <c r="G470">
        <f>IF(OR($E470="",$E470="نامعتبر"),"",IF(Sync!$S467="","",Sync!$S467))</f>
        <v/>
      </c>
      <c r="H470">
        <f>IF(OR($E470="",$E470="نامعتبر"),"",IF(Sync!$R467="","",Sync!$R467))</f>
        <v/>
      </c>
      <c r="I470">
        <f>IF(OR($E470="",$E470="نامعتبر"),"",IF(Sync!$T467="","",Sync!$T467))</f>
        <v/>
      </c>
      <c r="J470">
        <f>IF(OR($E470="",$E470="نامعتبر"),"",IF(Sync!$U467="","",Sync!$U467))</f>
        <v/>
      </c>
      <c r="K470">
        <f>IF(OR($E470="",$E470="نامعتبر"),"",IF(Sync!$V467="","",IFERROR(INDEX(SubCodes,MATCH(Sync!$V467,SubTitles,0)),Sync!$V467)))</f>
        <v/>
      </c>
      <c r="L470">
        <f>IF(OR($E470="",$E470="نامعتبر"),"",IF(Sync!$W467="",0,Sync!$W467))</f>
        <v/>
      </c>
      <c r="M470">
        <f>IF(OR($E470="",$E470="نامعتبر"),"",IF(Sync!$X467="",0,Sync!$X467))</f>
        <v/>
      </c>
      <c r="N470">
        <f>IF(OR($E470="",$E470="نامعتبر"),"",IF(AND($J470="هزینه",$K470&lt;&gt;""),1,0))</f>
        <v/>
      </c>
      <c r="O470">
        <f>IF($N470=0,"",LEFT($E470,4)&amp;MID($E470,6,2)&amp;RIGHT($E470,2)&amp;$F470&amp;"|"&amp;"1"&amp;RIGHT("00000"&amp;462,5))</f>
        <v/>
      </c>
      <c r="P470">
        <f>IF($O470="","",COUNTIFS(ExpSub,$K470,ExpKey,"&lt;"&amp;$O470)+1)</f>
        <v/>
      </c>
      <c r="Q470">
        <f>IF($P470="","",$K470&amp;"|"&amp;RIGHT("000000"&amp;$P470,6))</f>
        <v/>
      </c>
    </row>
    <row r="471">
      <c r="A471">
        <f>IF(Sync!$P468="","",Sync!$P468)</f>
        <v/>
      </c>
      <c r="B471">
        <f>IF($A471="","",IF(ISNUMBER($A471),IF(AND($A471&gt;=10000101,$A471&lt;=99991231),INT($A471/10000),""),IFERROR(VALUE(TRIM(LEFT($A471,FIND("/",$A471)-1))),"")))</f>
        <v/>
      </c>
      <c r="C471">
        <f>IF(OR($A471="",$B471=""),"",IF(ISNUMBER($A471),INT(MOD($A471,10000)/100),IFERROR(VALUE(TRIM(LEFT(MID($A471,FIND("/",$A471)+1,20),FIND("/",MID($A471,FIND("/",$A471)+1,20))-1))),"")))</f>
        <v/>
      </c>
      <c r="D471">
        <f>IF(OR($A471="",$B471=""),"",IF(ISNUMBER($A471),MOD($A471,100),IFERROR(VALUE(TRIM(MID(MID($A471,FIND("/",$A471)+1,20),FIND("/",MID($A471,FIND("/",$A471)+1,20))+1,20))),"")))</f>
        <v/>
      </c>
      <c r="E471">
        <f>IF($A471="","",IF(OR($B471="",$C471="",$D471="",$B471&lt;1300,$B471&gt;1500,$C471&lt;1,$C471&gt;12,$D471&lt;1,$D471&gt;31),"نامعتبر",RIGHT("0000"&amp;$B471,4)&amp;"/"&amp;RIGHT("00"&amp;$C471,2)&amp;"/"&amp;RIGHT("00"&amp;$D471,2)))</f>
        <v/>
      </c>
      <c r="F471">
        <f>IF(OR($E471="",$E471="نامعتبر"),"",IF(Sync!$Q468="","0000",IF(AND(ISNUMBER(Sync!$Q468),Sync!$Q468&gt;=0,Sync!$Q468&lt;1),RIGHT("00"&amp;HOUR(Sync!$Q468),2)&amp;RIGHT("00"&amp;MINUTE(Sync!$Q468),2),IFERROR(RIGHT("00"&amp;VALUE(LEFT(Sync!$Q468,FIND(":",Sync!$Q468)-1)),2)&amp;RIGHT("00"&amp;VALUE(MID(Sync!$Q468,FIND(":",Sync!$Q468)+1,2)),2),"0000"))))</f>
        <v/>
      </c>
      <c r="G471">
        <f>IF(OR($E471="",$E471="نامعتبر"),"",IF(Sync!$S468="","",Sync!$S468))</f>
        <v/>
      </c>
      <c r="H471">
        <f>IF(OR($E471="",$E471="نامعتبر"),"",IF(Sync!$R468="","",Sync!$R468))</f>
        <v/>
      </c>
      <c r="I471">
        <f>IF(OR($E471="",$E471="نامعتبر"),"",IF(Sync!$T468="","",Sync!$T468))</f>
        <v/>
      </c>
      <c r="J471">
        <f>IF(OR($E471="",$E471="نامعتبر"),"",IF(Sync!$U468="","",Sync!$U468))</f>
        <v/>
      </c>
      <c r="K471">
        <f>IF(OR($E471="",$E471="نامعتبر"),"",IF(Sync!$V468="","",IFERROR(INDEX(SubCodes,MATCH(Sync!$V468,SubTitles,0)),Sync!$V468)))</f>
        <v/>
      </c>
      <c r="L471">
        <f>IF(OR($E471="",$E471="نامعتبر"),"",IF(Sync!$W468="",0,Sync!$W468))</f>
        <v/>
      </c>
      <c r="M471">
        <f>IF(OR($E471="",$E471="نامعتبر"),"",IF(Sync!$X468="",0,Sync!$X468))</f>
        <v/>
      </c>
      <c r="N471">
        <f>IF(OR($E471="",$E471="نامعتبر"),"",IF(AND($J471="هزینه",$K471&lt;&gt;""),1,0))</f>
        <v/>
      </c>
      <c r="O471">
        <f>IF($N471=0,"",LEFT($E471,4)&amp;MID($E471,6,2)&amp;RIGHT($E471,2)&amp;$F471&amp;"|"&amp;"1"&amp;RIGHT("00000"&amp;463,5))</f>
        <v/>
      </c>
      <c r="P471">
        <f>IF($O471="","",COUNTIFS(ExpSub,$K471,ExpKey,"&lt;"&amp;$O471)+1)</f>
        <v/>
      </c>
      <c r="Q471">
        <f>IF($P471="","",$K471&amp;"|"&amp;RIGHT("000000"&amp;$P471,6))</f>
        <v/>
      </c>
    </row>
    <row r="472">
      <c r="A472">
        <f>IF(Sync!$P469="","",Sync!$P469)</f>
        <v/>
      </c>
      <c r="B472">
        <f>IF($A472="","",IF(ISNUMBER($A472),IF(AND($A472&gt;=10000101,$A472&lt;=99991231),INT($A472/10000),""),IFERROR(VALUE(TRIM(LEFT($A472,FIND("/",$A472)-1))),"")))</f>
        <v/>
      </c>
      <c r="C472">
        <f>IF(OR($A472="",$B472=""),"",IF(ISNUMBER($A472),INT(MOD($A472,10000)/100),IFERROR(VALUE(TRIM(LEFT(MID($A472,FIND("/",$A472)+1,20),FIND("/",MID($A472,FIND("/",$A472)+1,20))-1))),"")))</f>
        <v/>
      </c>
      <c r="D472">
        <f>IF(OR($A472="",$B472=""),"",IF(ISNUMBER($A472),MOD($A472,100),IFERROR(VALUE(TRIM(MID(MID($A472,FIND("/",$A472)+1,20),FIND("/",MID($A472,FIND("/",$A472)+1,20))+1,20))),"")))</f>
        <v/>
      </c>
      <c r="E472">
        <f>IF($A472="","",IF(OR($B472="",$C472="",$D472="",$B472&lt;1300,$B472&gt;1500,$C472&lt;1,$C472&gt;12,$D472&lt;1,$D472&gt;31),"نامعتبر",RIGHT("0000"&amp;$B472,4)&amp;"/"&amp;RIGHT("00"&amp;$C472,2)&amp;"/"&amp;RIGHT("00"&amp;$D472,2)))</f>
        <v/>
      </c>
      <c r="F472">
        <f>IF(OR($E472="",$E472="نامعتبر"),"",IF(Sync!$Q469="","0000",IF(AND(ISNUMBER(Sync!$Q469),Sync!$Q469&gt;=0,Sync!$Q469&lt;1),RIGHT("00"&amp;HOUR(Sync!$Q469),2)&amp;RIGHT("00"&amp;MINUTE(Sync!$Q469),2),IFERROR(RIGHT("00"&amp;VALUE(LEFT(Sync!$Q469,FIND(":",Sync!$Q469)-1)),2)&amp;RIGHT("00"&amp;VALUE(MID(Sync!$Q469,FIND(":",Sync!$Q469)+1,2)),2),"0000"))))</f>
        <v/>
      </c>
      <c r="G472">
        <f>IF(OR($E472="",$E472="نامعتبر"),"",IF(Sync!$S469="","",Sync!$S469))</f>
        <v/>
      </c>
      <c r="H472">
        <f>IF(OR($E472="",$E472="نامعتبر"),"",IF(Sync!$R469="","",Sync!$R469))</f>
        <v/>
      </c>
      <c r="I472">
        <f>IF(OR($E472="",$E472="نامعتبر"),"",IF(Sync!$T469="","",Sync!$T469))</f>
        <v/>
      </c>
      <c r="J472">
        <f>IF(OR($E472="",$E472="نامعتبر"),"",IF(Sync!$U469="","",Sync!$U469))</f>
        <v/>
      </c>
      <c r="K472">
        <f>IF(OR($E472="",$E472="نامعتبر"),"",IF(Sync!$V469="","",IFERROR(INDEX(SubCodes,MATCH(Sync!$V469,SubTitles,0)),Sync!$V469)))</f>
        <v/>
      </c>
      <c r="L472">
        <f>IF(OR($E472="",$E472="نامعتبر"),"",IF(Sync!$W469="",0,Sync!$W469))</f>
        <v/>
      </c>
      <c r="M472">
        <f>IF(OR($E472="",$E472="نامعتبر"),"",IF(Sync!$X469="",0,Sync!$X469))</f>
        <v/>
      </c>
      <c r="N472">
        <f>IF(OR($E472="",$E472="نامعتبر"),"",IF(AND($J472="هزینه",$K472&lt;&gt;""),1,0))</f>
        <v/>
      </c>
      <c r="O472">
        <f>IF($N472=0,"",LEFT($E472,4)&amp;MID($E472,6,2)&amp;RIGHT($E472,2)&amp;$F472&amp;"|"&amp;"1"&amp;RIGHT("00000"&amp;464,5))</f>
        <v/>
      </c>
      <c r="P472">
        <f>IF($O472="","",COUNTIFS(ExpSub,$K472,ExpKey,"&lt;"&amp;$O472)+1)</f>
        <v/>
      </c>
      <c r="Q472">
        <f>IF($P472="","",$K472&amp;"|"&amp;RIGHT("000000"&amp;$P472,6))</f>
        <v/>
      </c>
    </row>
    <row r="473">
      <c r="A473">
        <f>IF(Sync!$P470="","",Sync!$P470)</f>
        <v/>
      </c>
      <c r="B473">
        <f>IF($A473="","",IF(ISNUMBER($A473),IF(AND($A473&gt;=10000101,$A473&lt;=99991231),INT($A473/10000),""),IFERROR(VALUE(TRIM(LEFT($A473,FIND("/",$A473)-1))),"")))</f>
        <v/>
      </c>
      <c r="C473">
        <f>IF(OR($A473="",$B473=""),"",IF(ISNUMBER($A473),INT(MOD($A473,10000)/100),IFERROR(VALUE(TRIM(LEFT(MID($A473,FIND("/",$A473)+1,20),FIND("/",MID($A473,FIND("/",$A473)+1,20))-1))),"")))</f>
        <v/>
      </c>
      <c r="D473">
        <f>IF(OR($A473="",$B473=""),"",IF(ISNUMBER($A473),MOD($A473,100),IFERROR(VALUE(TRIM(MID(MID($A473,FIND("/",$A473)+1,20),FIND("/",MID($A473,FIND("/",$A473)+1,20))+1,20))),"")))</f>
        <v/>
      </c>
      <c r="E473">
        <f>IF($A473="","",IF(OR($B473="",$C473="",$D473="",$B473&lt;1300,$B473&gt;1500,$C473&lt;1,$C473&gt;12,$D473&lt;1,$D473&gt;31),"نامعتبر",RIGHT("0000"&amp;$B473,4)&amp;"/"&amp;RIGHT("00"&amp;$C473,2)&amp;"/"&amp;RIGHT("00"&amp;$D473,2)))</f>
        <v/>
      </c>
      <c r="F473">
        <f>IF(OR($E473="",$E473="نامعتبر"),"",IF(Sync!$Q470="","0000",IF(AND(ISNUMBER(Sync!$Q470),Sync!$Q470&gt;=0,Sync!$Q470&lt;1),RIGHT("00"&amp;HOUR(Sync!$Q470),2)&amp;RIGHT("00"&amp;MINUTE(Sync!$Q470),2),IFERROR(RIGHT("00"&amp;VALUE(LEFT(Sync!$Q470,FIND(":",Sync!$Q470)-1)),2)&amp;RIGHT("00"&amp;VALUE(MID(Sync!$Q470,FIND(":",Sync!$Q470)+1,2)),2),"0000"))))</f>
        <v/>
      </c>
      <c r="G473">
        <f>IF(OR($E473="",$E473="نامعتبر"),"",IF(Sync!$S470="","",Sync!$S470))</f>
        <v/>
      </c>
      <c r="H473">
        <f>IF(OR($E473="",$E473="نامعتبر"),"",IF(Sync!$R470="","",Sync!$R470))</f>
        <v/>
      </c>
      <c r="I473">
        <f>IF(OR($E473="",$E473="نامعتبر"),"",IF(Sync!$T470="","",Sync!$T470))</f>
        <v/>
      </c>
      <c r="J473">
        <f>IF(OR($E473="",$E473="نامعتبر"),"",IF(Sync!$U470="","",Sync!$U470))</f>
        <v/>
      </c>
      <c r="K473">
        <f>IF(OR($E473="",$E473="نامعتبر"),"",IF(Sync!$V470="","",IFERROR(INDEX(SubCodes,MATCH(Sync!$V470,SubTitles,0)),Sync!$V470)))</f>
        <v/>
      </c>
      <c r="L473">
        <f>IF(OR($E473="",$E473="نامعتبر"),"",IF(Sync!$W470="",0,Sync!$W470))</f>
        <v/>
      </c>
      <c r="M473">
        <f>IF(OR($E473="",$E473="نامعتبر"),"",IF(Sync!$X470="",0,Sync!$X470))</f>
        <v/>
      </c>
      <c r="N473">
        <f>IF(OR($E473="",$E473="نامعتبر"),"",IF(AND($J473="هزینه",$K473&lt;&gt;""),1,0))</f>
        <v/>
      </c>
      <c r="O473">
        <f>IF($N473=0,"",LEFT($E473,4)&amp;MID($E473,6,2)&amp;RIGHT($E473,2)&amp;$F473&amp;"|"&amp;"1"&amp;RIGHT("00000"&amp;465,5))</f>
        <v/>
      </c>
      <c r="P473">
        <f>IF($O473="","",COUNTIFS(ExpSub,$K473,ExpKey,"&lt;"&amp;$O473)+1)</f>
        <v/>
      </c>
      <c r="Q473">
        <f>IF($P473="","",$K473&amp;"|"&amp;RIGHT("000000"&amp;$P473,6))</f>
        <v/>
      </c>
    </row>
    <row r="474">
      <c r="A474">
        <f>IF(Sync!$P471="","",Sync!$P471)</f>
        <v/>
      </c>
      <c r="B474">
        <f>IF($A474="","",IF(ISNUMBER($A474),IF(AND($A474&gt;=10000101,$A474&lt;=99991231),INT($A474/10000),""),IFERROR(VALUE(TRIM(LEFT($A474,FIND("/",$A474)-1))),"")))</f>
        <v/>
      </c>
      <c r="C474">
        <f>IF(OR($A474="",$B474=""),"",IF(ISNUMBER($A474),INT(MOD($A474,10000)/100),IFERROR(VALUE(TRIM(LEFT(MID($A474,FIND("/",$A474)+1,20),FIND("/",MID($A474,FIND("/",$A474)+1,20))-1))),"")))</f>
        <v/>
      </c>
      <c r="D474">
        <f>IF(OR($A474="",$B474=""),"",IF(ISNUMBER($A474),MOD($A474,100),IFERROR(VALUE(TRIM(MID(MID($A474,FIND("/",$A474)+1,20),FIND("/",MID($A474,FIND("/",$A474)+1,20))+1,20))),"")))</f>
        <v/>
      </c>
      <c r="E474">
        <f>IF($A474="","",IF(OR($B474="",$C474="",$D474="",$B474&lt;1300,$B474&gt;1500,$C474&lt;1,$C474&gt;12,$D474&lt;1,$D474&gt;31),"نامعتبر",RIGHT("0000"&amp;$B474,4)&amp;"/"&amp;RIGHT("00"&amp;$C474,2)&amp;"/"&amp;RIGHT("00"&amp;$D474,2)))</f>
        <v/>
      </c>
      <c r="F474">
        <f>IF(OR($E474="",$E474="نامعتبر"),"",IF(Sync!$Q471="","0000",IF(AND(ISNUMBER(Sync!$Q471),Sync!$Q471&gt;=0,Sync!$Q471&lt;1),RIGHT("00"&amp;HOUR(Sync!$Q471),2)&amp;RIGHT("00"&amp;MINUTE(Sync!$Q471),2),IFERROR(RIGHT("00"&amp;VALUE(LEFT(Sync!$Q471,FIND(":",Sync!$Q471)-1)),2)&amp;RIGHT("00"&amp;VALUE(MID(Sync!$Q471,FIND(":",Sync!$Q471)+1,2)),2),"0000"))))</f>
        <v/>
      </c>
      <c r="G474">
        <f>IF(OR($E474="",$E474="نامعتبر"),"",IF(Sync!$S471="","",Sync!$S471))</f>
        <v/>
      </c>
      <c r="H474">
        <f>IF(OR($E474="",$E474="نامعتبر"),"",IF(Sync!$R471="","",Sync!$R471))</f>
        <v/>
      </c>
      <c r="I474">
        <f>IF(OR($E474="",$E474="نامعتبر"),"",IF(Sync!$T471="","",Sync!$T471))</f>
        <v/>
      </c>
      <c r="J474">
        <f>IF(OR($E474="",$E474="نامعتبر"),"",IF(Sync!$U471="","",Sync!$U471))</f>
        <v/>
      </c>
      <c r="K474">
        <f>IF(OR($E474="",$E474="نامعتبر"),"",IF(Sync!$V471="","",IFERROR(INDEX(SubCodes,MATCH(Sync!$V471,SubTitles,0)),Sync!$V471)))</f>
        <v/>
      </c>
      <c r="L474">
        <f>IF(OR($E474="",$E474="نامعتبر"),"",IF(Sync!$W471="",0,Sync!$W471))</f>
        <v/>
      </c>
      <c r="M474">
        <f>IF(OR($E474="",$E474="نامعتبر"),"",IF(Sync!$X471="",0,Sync!$X471))</f>
        <v/>
      </c>
      <c r="N474">
        <f>IF(OR($E474="",$E474="نامعتبر"),"",IF(AND($J474="هزینه",$K474&lt;&gt;""),1,0))</f>
        <v/>
      </c>
      <c r="O474">
        <f>IF($N474=0,"",LEFT($E474,4)&amp;MID($E474,6,2)&amp;RIGHT($E474,2)&amp;$F474&amp;"|"&amp;"1"&amp;RIGHT("00000"&amp;466,5))</f>
        <v/>
      </c>
      <c r="P474">
        <f>IF($O474="","",COUNTIFS(ExpSub,$K474,ExpKey,"&lt;"&amp;$O474)+1)</f>
        <v/>
      </c>
      <c r="Q474">
        <f>IF($P474="","",$K474&amp;"|"&amp;RIGHT("000000"&amp;$P474,6))</f>
        <v/>
      </c>
    </row>
    <row r="475">
      <c r="A475">
        <f>IF(Sync!$P472="","",Sync!$P472)</f>
        <v/>
      </c>
      <c r="B475">
        <f>IF($A475="","",IF(ISNUMBER($A475),IF(AND($A475&gt;=10000101,$A475&lt;=99991231),INT($A475/10000),""),IFERROR(VALUE(TRIM(LEFT($A475,FIND("/",$A475)-1))),"")))</f>
        <v/>
      </c>
      <c r="C475">
        <f>IF(OR($A475="",$B475=""),"",IF(ISNUMBER($A475),INT(MOD($A475,10000)/100),IFERROR(VALUE(TRIM(LEFT(MID($A475,FIND("/",$A475)+1,20),FIND("/",MID($A475,FIND("/",$A475)+1,20))-1))),"")))</f>
        <v/>
      </c>
      <c r="D475">
        <f>IF(OR($A475="",$B475=""),"",IF(ISNUMBER($A475),MOD($A475,100),IFERROR(VALUE(TRIM(MID(MID($A475,FIND("/",$A475)+1,20),FIND("/",MID($A475,FIND("/",$A475)+1,20))+1,20))),"")))</f>
        <v/>
      </c>
      <c r="E475">
        <f>IF($A475="","",IF(OR($B475="",$C475="",$D475="",$B475&lt;1300,$B475&gt;1500,$C475&lt;1,$C475&gt;12,$D475&lt;1,$D475&gt;31),"نامعتبر",RIGHT("0000"&amp;$B475,4)&amp;"/"&amp;RIGHT("00"&amp;$C475,2)&amp;"/"&amp;RIGHT("00"&amp;$D475,2)))</f>
        <v/>
      </c>
      <c r="F475">
        <f>IF(OR($E475="",$E475="نامعتبر"),"",IF(Sync!$Q472="","0000",IF(AND(ISNUMBER(Sync!$Q472),Sync!$Q472&gt;=0,Sync!$Q472&lt;1),RIGHT("00"&amp;HOUR(Sync!$Q472),2)&amp;RIGHT("00"&amp;MINUTE(Sync!$Q472),2),IFERROR(RIGHT("00"&amp;VALUE(LEFT(Sync!$Q472,FIND(":",Sync!$Q472)-1)),2)&amp;RIGHT("00"&amp;VALUE(MID(Sync!$Q472,FIND(":",Sync!$Q472)+1,2)),2),"0000"))))</f>
        <v/>
      </c>
      <c r="G475">
        <f>IF(OR($E475="",$E475="نامعتبر"),"",IF(Sync!$S472="","",Sync!$S472))</f>
        <v/>
      </c>
      <c r="H475">
        <f>IF(OR($E475="",$E475="نامعتبر"),"",IF(Sync!$R472="","",Sync!$R472))</f>
        <v/>
      </c>
      <c r="I475">
        <f>IF(OR($E475="",$E475="نامعتبر"),"",IF(Sync!$T472="","",Sync!$T472))</f>
        <v/>
      </c>
      <c r="J475">
        <f>IF(OR($E475="",$E475="نامعتبر"),"",IF(Sync!$U472="","",Sync!$U472))</f>
        <v/>
      </c>
      <c r="K475">
        <f>IF(OR($E475="",$E475="نامعتبر"),"",IF(Sync!$V472="","",IFERROR(INDEX(SubCodes,MATCH(Sync!$V472,SubTitles,0)),Sync!$V472)))</f>
        <v/>
      </c>
      <c r="L475">
        <f>IF(OR($E475="",$E475="نامعتبر"),"",IF(Sync!$W472="",0,Sync!$W472))</f>
        <v/>
      </c>
      <c r="M475">
        <f>IF(OR($E475="",$E475="نامعتبر"),"",IF(Sync!$X472="",0,Sync!$X472))</f>
        <v/>
      </c>
      <c r="N475">
        <f>IF(OR($E475="",$E475="نامعتبر"),"",IF(AND($J475="هزینه",$K475&lt;&gt;""),1,0))</f>
        <v/>
      </c>
      <c r="O475">
        <f>IF($N475=0,"",LEFT($E475,4)&amp;MID($E475,6,2)&amp;RIGHT($E475,2)&amp;$F475&amp;"|"&amp;"1"&amp;RIGHT("00000"&amp;467,5))</f>
        <v/>
      </c>
      <c r="P475">
        <f>IF($O475="","",COUNTIFS(ExpSub,$K475,ExpKey,"&lt;"&amp;$O475)+1)</f>
        <v/>
      </c>
      <c r="Q475">
        <f>IF($P475="","",$K475&amp;"|"&amp;RIGHT("000000"&amp;$P475,6))</f>
        <v/>
      </c>
    </row>
    <row r="476">
      <c r="A476">
        <f>IF(Sync!$P473="","",Sync!$P473)</f>
        <v/>
      </c>
      <c r="B476">
        <f>IF($A476="","",IF(ISNUMBER($A476),IF(AND($A476&gt;=10000101,$A476&lt;=99991231),INT($A476/10000),""),IFERROR(VALUE(TRIM(LEFT($A476,FIND("/",$A476)-1))),"")))</f>
        <v/>
      </c>
      <c r="C476">
        <f>IF(OR($A476="",$B476=""),"",IF(ISNUMBER($A476),INT(MOD($A476,10000)/100),IFERROR(VALUE(TRIM(LEFT(MID($A476,FIND("/",$A476)+1,20),FIND("/",MID($A476,FIND("/",$A476)+1,20))-1))),"")))</f>
        <v/>
      </c>
      <c r="D476">
        <f>IF(OR($A476="",$B476=""),"",IF(ISNUMBER($A476),MOD($A476,100),IFERROR(VALUE(TRIM(MID(MID($A476,FIND("/",$A476)+1,20),FIND("/",MID($A476,FIND("/",$A476)+1,20))+1,20))),"")))</f>
        <v/>
      </c>
      <c r="E476">
        <f>IF($A476="","",IF(OR($B476="",$C476="",$D476="",$B476&lt;1300,$B476&gt;1500,$C476&lt;1,$C476&gt;12,$D476&lt;1,$D476&gt;31),"نامعتبر",RIGHT("0000"&amp;$B476,4)&amp;"/"&amp;RIGHT("00"&amp;$C476,2)&amp;"/"&amp;RIGHT("00"&amp;$D476,2)))</f>
        <v/>
      </c>
      <c r="F476">
        <f>IF(OR($E476="",$E476="نامعتبر"),"",IF(Sync!$Q473="","0000",IF(AND(ISNUMBER(Sync!$Q473),Sync!$Q473&gt;=0,Sync!$Q473&lt;1),RIGHT("00"&amp;HOUR(Sync!$Q473),2)&amp;RIGHT("00"&amp;MINUTE(Sync!$Q473),2),IFERROR(RIGHT("00"&amp;VALUE(LEFT(Sync!$Q473,FIND(":",Sync!$Q473)-1)),2)&amp;RIGHT("00"&amp;VALUE(MID(Sync!$Q473,FIND(":",Sync!$Q473)+1,2)),2),"0000"))))</f>
        <v/>
      </c>
      <c r="G476">
        <f>IF(OR($E476="",$E476="نامعتبر"),"",IF(Sync!$S473="","",Sync!$S473))</f>
        <v/>
      </c>
      <c r="H476">
        <f>IF(OR($E476="",$E476="نامعتبر"),"",IF(Sync!$R473="","",Sync!$R473))</f>
        <v/>
      </c>
      <c r="I476">
        <f>IF(OR($E476="",$E476="نامعتبر"),"",IF(Sync!$T473="","",Sync!$T473))</f>
        <v/>
      </c>
      <c r="J476">
        <f>IF(OR($E476="",$E476="نامعتبر"),"",IF(Sync!$U473="","",Sync!$U473))</f>
        <v/>
      </c>
      <c r="K476">
        <f>IF(OR($E476="",$E476="نامعتبر"),"",IF(Sync!$V473="","",IFERROR(INDEX(SubCodes,MATCH(Sync!$V473,SubTitles,0)),Sync!$V473)))</f>
        <v/>
      </c>
      <c r="L476">
        <f>IF(OR($E476="",$E476="نامعتبر"),"",IF(Sync!$W473="",0,Sync!$W473))</f>
        <v/>
      </c>
      <c r="M476">
        <f>IF(OR($E476="",$E476="نامعتبر"),"",IF(Sync!$X473="",0,Sync!$X473))</f>
        <v/>
      </c>
      <c r="N476">
        <f>IF(OR($E476="",$E476="نامعتبر"),"",IF(AND($J476="هزینه",$K476&lt;&gt;""),1,0))</f>
        <v/>
      </c>
      <c r="O476">
        <f>IF($N476=0,"",LEFT($E476,4)&amp;MID($E476,6,2)&amp;RIGHT($E476,2)&amp;$F476&amp;"|"&amp;"1"&amp;RIGHT("00000"&amp;468,5))</f>
        <v/>
      </c>
      <c r="P476">
        <f>IF($O476="","",COUNTIFS(ExpSub,$K476,ExpKey,"&lt;"&amp;$O476)+1)</f>
        <v/>
      </c>
      <c r="Q476">
        <f>IF($P476="","",$K476&amp;"|"&amp;RIGHT("000000"&amp;$P476,6))</f>
        <v/>
      </c>
    </row>
    <row r="477">
      <c r="A477">
        <f>IF(Sync!$P474="","",Sync!$P474)</f>
        <v/>
      </c>
      <c r="B477">
        <f>IF($A477="","",IF(ISNUMBER($A477),IF(AND($A477&gt;=10000101,$A477&lt;=99991231),INT($A477/10000),""),IFERROR(VALUE(TRIM(LEFT($A477,FIND("/",$A477)-1))),"")))</f>
        <v/>
      </c>
      <c r="C477">
        <f>IF(OR($A477="",$B477=""),"",IF(ISNUMBER($A477),INT(MOD($A477,10000)/100),IFERROR(VALUE(TRIM(LEFT(MID($A477,FIND("/",$A477)+1,20),FIND("/",MID($A477,FIND("/",$A477)+1,20))-1))),"")))</f>
        <v/>
      </c>
      <c r="D477">
        <f>IF(OR($A477="",$B477=""),"",IF(ISNUMBER($A477),MOD($A477,100),IFERROR(VALUE(TRIM(MID(MID($A477,FIND("/",$A477)+1,20),FIND("/",MID($A477,FIND("/",$A477)+1,20))+1,20))),"")))</f>
        <v/>
      </c>
      <c r="E477">
        <f>IF($A477="","",IF(OR($B477="",$C477="",$D477="",$B477&lt;1300,$B477&gt;1500,$C477&lt;1,$C477&gt;12,$D477&lt;1,$D477&gt;31),"نامعتبر",RIGHT("0000"&amp;$B477,4)&amp;"/"&amp;RIGHT("00"&amp;$C477,2)&amp;"/"&amp;RIGHT("00"&amp;$D477,2)))</f>
        <v/>
      </c>
      <c r="F477">
        <f>IF(OR($E477="",$E477="نامعتبر"),"",IF(Sync!$Q474="","0000",IF(AND(ISNUMBER(Sync!$Q474),Sync!$Q474&gt;=0,Sync!$Q474&lt;1),RIGHT("00"&amp;HOUR(Sync!$Q474),2)&amp;RIGHT("00"&amp;MINUTE(Sync!$Q474),2),IFERROR(RIGHT("00"&amp;VALUE(LEFT(Sync!$Q474,FIND(":",Sync!$Q474)-1)),2)&amp;RIGHT("00"&amp;VALUE(MID(Sync!$Q474,FIND(":",Sync!$Q474)+1,2)),2),"0000"))))</f>
        <v/>
      </c>
      <c r="G477">
        <f>IF(OR($E477="",$E477="نامعتبر"),"",IF(Sync!$S474="","",Sync!$S474))</f>
        <v/>
      </c>
      <c r="H477">
        <f>IF(OR($E477="",$E477="نامعتبر"),"",IF(Sync!$R474="","",Sync!$R474))</f>
        <v/>
      </c>
      <c r="I477">
        <f>IF(OR($E477="",$E477="نامعتبر"),"",IF(Sync!$T474="","",Sync!$T474))</f>
        <v/>
      </c>
      <c r="J477">
        <f>IF(OR($E477="",$E477="نامعتبر"),"",IF(Sync!$U474="","",Sync!$U474))</f>
        <v/>
      </c>
      <c r="K477">
        <f>IF(OR($E477="",$E477="نامعتبر"),"",IF(Sync!$V474="","",IFERROR(INDEX(SubCodes,MATCH(Sync!$V474,SubTitles,0)),Sync!$V474)))</f>
        <v/>
      </c>
      <c r="L477">
        <f>IF(OR($E477="",$E477="نامعتبر"),"",IF(Sync!$W474="",0,Sync!$W474))</f>
        <v/>
      </c>
      <c r="M477">
        <f>IF(OR($E477="",$E477="نامعتبر"),"",IF(Sync!$X474="",0,Sync!$X474))</f>
        <v/>
      </c>
      <c r="N477">
        <f>IF(OR($E477="",$E477="نامعتبر"),"",IF(AND($J477="هزینه",$K477&lt;&gt;""),1,0))</f>
        <v/>
      </c>
      <c r="O477">
        <f>IF($N477=0,"",LEFT($E477,4)&amp;MID($E477,6,2)&amp;RIGHT($E477,2)&amp;$F477&amp;"|"&amp;"1"&amp;RIGHT("00000"&amp;469,5))</f>
        <v/>
      </c>
      <c r="P477">
        <f>IF($O477="","",COUNTIFS(ExpSub,$K477,ExpKey,"&lt;"&amp;$O477)+1)</f>
        <v/>
      </c>
      <c r="Q477">
        <f>IF($P477="","",$K477&amp;"|"&amp;RIGHT("000000"&amp;$P477,6))</f>
        <v/>
      </c>
    </row>
    <row r="478">
      <c r="A478">
        <f>IF(Sync!$P475="","",Sync!$P475)</f>
        <v/>
      </c>
      <c r="B478">
        <f>IF($A478="","",IF(ISNUMBER($A478),IF(AND($A478&gt;=10000101,$A478&lt;=99991231),INT($A478/10000),""),IFERROR(VALUE(TRIM(LEFT($A478,FIND("/",$A478)-1))),"")))</f>
        <v/>
      </c>
      <c r="C478">
        <f>IF(OR($A478="",$B478=""),"",IF(ISNUMBER($A478),INT(MOD($A478,10000)/100),IFERROR(VALUE(TRIM(LEFT(MID($A478,FIND("/",$A478)+1,20),FIND("/",MID($A478,FIND("/",$A478)+1,20))-1))),"")))</f>
        <v/>
      </c>
      <c r="D478">
        <f>IF(OR($A478="",$B478=""),"",IF(ISNUMBER($A478),MOD($A478,100),IFERROR(VALUE(TRIM(MID(MID($A478,FIND("/",$A478)+1,20),FIND("/",MID($A478,FIND("/",$A478)+1,20))+1,20))),"")))</f>
        <v/>
      </c>
      <c r="E478">
        <f>IF($A478="","",IF(OR($B478="",$C478="",$D478="",$B478&lt;1300,$B478&gt;1500,$C478&lt;1,$C478&gt;12,$D478&lt;1,$D478&gt;31),"نامعتبر",RIGHT("0000"&amp;$B478,4)&amp;"/"&amp;RIGHT("00"&amp;$C478,2)&amp;"/"&amp;RIGHT("00"&amp;$D478,2)))</f>
        <v/>
      </c>
      <c r="F478">
        <f>IF(OR($E478="",$E478="نامعتبر"),"",IF(Sync!$Q475="","0000",IF(AND(ISNUMBER(Sync!$Q475),Sync!$Q475&gt;=0,Sync!$Q475&lt;1),RIGHT("00"&amp;HOUR(Sync!$Q475),2)&amp;RIGHT("00"&amp;MINUTE(Sync!$Q475),2),IFERROR(RIGHT("00"&amp;VALUE(LEFT(Sync!$Q475,FIND(":",Sync!$Q475)-1)),2)&amp;RIGHT("00"&amp;VALUE(MID(Sync!$Q475,FIND(":",Sync!$Q475)+1,2)),2),"0000"))))</f>
        <v/>
      </c>
      <c r="G478">
        <f>IF(OR($E478="",$E478="نامعتبر"),"",IF(Sync!$S475="","",Sync!$S475))</f>
        <v/>
      </c>
      <c r="H478">
        <f>IF(OR($E478="",$E478="نامعتبر"),"",IF(Sync!$R475="","",Sync!$R475))</f>
        <v/>
      </c>
      <c r="I478">
        <f>IF(OR($E478="",$E478="نامعتبر"),"",IF(Sync!$T475="","",Sync!$T475))</f>
        <v/>
      </c>
      <c r="J478">
        <f>IF(OR($E478="",$E478="نامعتبر"),"",IF(Sync!$U475="","",Sync!$U475))</f>
        <v/>
      </c>
      <c r="K478">
        <f>IF(OR($E478="",$E478="نامعتبر"),"",IF(Sync!$V475="","",IFERROR(INDEX(SubCodes,MATCH(Sync!$V475,SubTitles,0)),Sync!$V475)))</f>
        <v/>
      </c>
      <c r="L478">
        <f>IF(OR($E478="",$E478="نامعتبر"),"",IF(Sync!$W475="",0,Sync!$W475))</f>
        <v/>
      </c>
      <c r="M478">
        <f>IF(OR($E478="",$E478="نامعتبر"),"",IF(Sync!$X475="",0,Sync!$X475))</f>
        <v/>
      </c>
      <c r="N478">
        <f>IF(OR($E478="",$E478="نامعتبر"),"",IF(AND($J478="هزینه",$K478&lt;&gt;""),1,0))</f>
        <v/>
      </c>
      <c r="O478">
        <f>IF($N478=0,"",LEFT($E478,4)&amp;MID($E478,6,2)&amp;RIGHT($E478,2)&amp;$F478&amp;"|"&amp;"1"&amp;RIGHT("00000"&amp;470,5))</f>
        <v/>
      </c>
      <c r="P478">
        <f>IF($O478="","",COUNTIFS(ExpSub,$K478,ExpKey,"&lt;"&amp;$O478)+1)</f>
        <v/>
      </c>
      <c r="Q478">
        <f>IF($P478="","",$K478&amp;"|"&amp;RIGHT("000000"&amp;$P478,6))</f>
        <v/>
      </c>
    </row>
    <row r="479">
      <c r="A479">
        <f>IF(Sync!$P476="","",Sync!$P476)</f>
        <v/>
      </c>
      <c r="B479">
        <f>IF($A479="","",IF(ISNUMBER($A479),IF(AND($A479&gt;=10000101,$A479&lt;=99991231),INT($A479/10000),""),IFERROR(VALUE(TRIM(LEFT($A479,FIND("/",$A479)-1))),"")))</f>
        <v/>
      </c>
      <c r="C479">
        <f>IF(OR($A479="",$B479=""),"",IF(ISNUMBER($A479),INT(MOD($A479,10000)/100),IFERROR(VALUE(TRIM(LEFT(MID($A479,FIND("/",$A479)+1,20),FIND("/",MID($A479,FIND("/",$A479)+1,20))-1))),"")))</f>
        <v/>
      </c>
      <c r="D479">
        <f>IF(OR($A479="",$B479=""),"",IF(ISNUMBER($A479),MOD($A479,100),IFERROR(VALUE(TRIM(MID(MID($A479,FIND("/",$A479)+1,20),FIND("/",MID($A479,FIND("/",$A479)+1,20))+1,20))),"")))</f>
        <v/>
      </c>
      <c r="E479">
        <f>IF($A479="","",IF(OR($B479="",$C479="",$D479="",$B479&lt;1300,$B479&gt;1500,$C479&lt;1,$C479&gt;12,$D479&lt;1,$D479&gt;31),"نامعتبر",RIGHT("0000"&amp;$B479,4)&amp;"/"&amp;RIGHT("00"&amp;$C479,2)&amp;"/"&amp;RIGHT("00"&amp;$D479,2)))</f>
        <v/>
      </c>
      <c r="F479">
        <f>IF(OR($E479="",$E479="نامعتبر"),"",IF(Sync!$Q476="","0000",IF(AND(ISNUMBER(Sync!$Q476),Sync!$Q476&gt;=0,Sync!$Q476&lt;1),RIGHT("00"&amp;HOUR(Sync!$Q476),2)&amp;RIGHT("00"&amp;MINUTE(Sync!$Q476),2),IFERROR(RIGHT("00"&amp;VALUE(LEFT(Sync!$Q476,FIND(":",Sync!$Q476)-1)),2)&amp;RIGHT("00"&amp;VALUE(MID(Sync!$Q476,FIND(":",Sync!$Q476)+1,2)),2),"0000"))))</f>
        <v/>
      </c>
      <c r="G479">
        <f>IF(OR($E479="",$E479="نامعتبر"),"",IF(Sync!$S476="","",Sync!$S476))</f>
        <v/>
      </c>
      <c r="H479">
        <f>IF(OR($E479="",$E479="نامعتبر"),"",IF(Sync!$R476="","",Sync!$R476))</f>
        <v/>
      </c>
      <c r="I479">
        <f>IF(OR($E479="",$E479="نامعتبر"),"",IF(Sync!$T476="","",Sync!$T476))</f>
        <v/>
      </c>
      <c r="J479">
        <f>IF(OR($E479="",$E479="نامعتبر"),"",IF(Sync!$U476="","",Sync!$U476))</f>
        <v/>
      </c>
      <c r="K479">
        <f>IF(OR($E479="",$E479="نامعتبر"),"",IF(Sync!$V476="","",IFERROR(INDEX(SubCodes,MATCH(Sync!$V476,SubTitles,0)),Sync!$V476)))</f>
        <v/>
      </c>
      <c r="L479">
        <f>IF(OR($E479="",$E479="نامعتبر"),"",IF(Sync!$W476="",0,Sync!$W476))</f>
        <v/>
      </c>
      <c r="M479">
        <f>IF(OR($E479="",$E479="نامعتبر"),"",IF(Sync!$X476="",0,Sync!$X476))</f>
        <v/>
      </c>
      <c r="N479">
        <f>IF(OR($E479="",$E479="نامعتبر"),"",IF(AND($J479="هزینه",$K479&lt;&gt;""),1,0))</f>
        <v/>
      </c>
      <c r="O479">
        <f>IF($N479=0,"",LEFT($E479,4)&amp;MID($E479,6,2)&amp;RIGHT($E479,2)&amp;$F479&amp;"|"&amp;"1"&amp;RIGHT("00000"&amp;471,5))</f>
        <v/>
      </c>
      <c r="P479">
        <f>IF($O479="","",COUNTIFS(ExpSub,$K479,ExpKey,"&lt;"&amp;$O479)+1)</f>
        <v/>
      </c>
      <c r="Q479">
        <f>IF($P479="","",$K479&amp;"|"&amp;RIGHT("000000"&amp;$P479,6))</f>
        <v/>
      </c>
    </row>
    <row r="480">
      <c r="A480">
        <f>IF(Sync!$P477="","",Sync!$P477)</f>
        <v/>
      </c>
      <c r="B480">
        <f>IF($A480="","",IF(ISNUMBER($A480),IF(AND($A480&gt;=10000101,$A480&lt;=99991231),INT($A480/10000),""),IFERROR(VALUE(TRIM(LEFT($A480,FIND("/",$A480)-1))),"")))</f>
        <v/>
      </c>
      <c r="C480">
        <f>IF(OR($A480="",$B480=""),"",IF(ISNUMBER($A480),INT(MOD($A480,10000)/100),IFERROR(VALUE(TRIM(LEFT(MID($A480,FIND("/",$A480)+1,20),FIND("/",MID($A480,FIND("/",$A480)+1,20))-1))),"")))</f>
        <v/>
      </c>
      <c r="D480">
        <f>IF(OR($A480="",$B480=""),"",IF(ISNUMBER($A480),MOD($A480,100),IFERROR(VALUE(TRIM(MID(MID($A480,FIND("/",$A480)+1,20),FIND("/",MID($A480,FIND("/",$A480)+1,20))+1,20))),"")))</f>
        <v/>
      </c>
      <c r="E480">
        <f>IF($A480="","",IF(OR($B480="",$C480="",$D480="",$B480&lt;1300,$B480&gt;1500,$C480&lt;1,$C480&gt;12,$D480&lt;1,$D480&gt;31),"نامعتبر",RIGHT("0000"&amp;$B480,4)&amp;"/"&amp;RIGHT("00"&amp;$C480,2)&amp;"/"&amp;RIGHT("00"&amp;$D480,2)))</f>
        <v/>
      </c>
      <c r="F480">
        <f>IF(OR($E480="",$E480="نامعتبر"),"",IF(Sync!$Q477="","0000",IF(AND(ISNUMBER(Sync!$Q477),Sync!$Q477&gt;=0,Sync!$Q477&lt;1),RIGHT("00"&amp;HOUR(Sync!$Q477),2)&amp;RIGHT("00"&amp;MINUTE(Sync!$Q477),2),IFERROR(RIGHT("00"&amp;VALUE(LEFT(Sync!$Q477,FIND(":",Sync!$Q477)-1)),2)&amp;RIGHT("00"&amp;VALUE(MID(Sync!$Q477,FIND(":",Sync!$Q477)+1,2)),2),"0000"))))</f>
        <v/>
      </c>
      <c r="G480">
        <f>IF(OR($E480="",$E480="نامعتبر"),"",IF(Sync!$S477="","",Sync!$S477))</f>
        <v/>
      </c>
      <c r="H480">
        <f>IF(OR($E480="",$E480="نامعتبر"),"",IF(Sync!$R477="","",Sync!$R477))</f>
        <v/>
      </c>
      <c r="I480">
        <f>IF(OR($E480="",$E480="نامعتبر"),"",IF(Sync!$T477="","",Sync!$T477))</f>
        <v/>
      </c>
      <c r="J480">
        <f>IF(OR($E480="",$E480="نامعتبر"),"",IF(Sync!$U477="","",Sync!$U477))</f>
        <v/>
      </c>
      <c r="K480">
        <f>IF(OR($E480="",$E480="نامعتبر"),"",IF(Sync!$V477="","",IFERROR(INDEX(SubCodes,MATCH(Sync!$V477,SubTitles,0)),Sync!$V477)))</f>
        <v/>
      </c>
      <c r="L480">
        <f>IF(OR($E480="",$E480="نامعتبر"),"",IF(Sync!$W477="",0,Sync!$W477))</f>
        <v/>
      </c>
      <c r="M480">
        <f>IF(OR($E480="",$E480="نامعتبر"),"",IF(Sync!$X477="",0,Sync!$X477))</f>
        <v/>
      </c>
      <c r="N480">
        <f>IF(OR($E480="",$E480="نامعتبر"),"",IF(AND($J480="هزینه",$K480&lt;&gt;""),1,0))</f>
        <v/>
      </c>
      <c r="O480">
        <f>IF($N480=0,"",LEFT($E480,4)&amp;MID($E480,6,2)&amp;RIGHT($E480,2)&amp;$F480&amp;"|"&amp;"1"&amp;RIGHT("00000"&amp;472,5))</f>
        <v/>
      </c>
      <c r="P480">
        <f>IF($O480="","",COUNTIFS(ExpSub,$K480,ExpKey,"&lt;"&amp;$O480)+1)</f>
        <v/>
      </c>
      <c r="Q480">
        <f>IF($P480="","",$K480&amp;"|"&amp;RIGHT("000000"&amp;$P480,6))</f>
        <v/>
      </c>
    </row>
    <row r="481">
      <c r="A481">
        <f>IF(Sync!$P478="","",Sync!$P478)</f>
        <v/>
      </c>
      <c r="B481">
        <f>IF($A481="","",IF(ISNUMBER($A481),IF(AND($A481&gt;=10000101,$A481&lt;=99991231),INT($A481/10000),""),IFERROR(VALUE(TRIM(LEFT($A481,FIND("/",$A481)-1))),"")))</f>
        <v/>
      </c>
      <c r="C481">
        <f>IF(OR($A481="",$B481=""),"",IF(ISNUMBER($A481),INT(MOD($A481,10000)/100),IFERROR(VALUE(TRIM(LEFT(MID($A481,FIND("/",$A481)+1,20),FIND("/",MID($A481,FIND("/",$A481)+1,20))-1))),"")))</f>
        <v/>
      </c>
      <c r="D481">
        <f>IF(OR($A481="",$B481=""),"",IF(ISNUMBER($A481),MOD($A481,100),IFERROR(VALUE(TRIM(MID(MID($A481,FIND("/",$A481)+1,20),FIND("/",MID($A481,FIND("/",$A481)+1,20))+1,20))),"")))</f>
        <v/>
      </c>
      <c r="E481">
        <f>IF($A481="","",IF(OR($B481="",$C481="",$D481="",$B481&lt;1300,$B481&gt;1500,$C481&lt;1,$C481&gt;12,$D481&lt;1,$D481&gt;31),"نامعتبر",RIGHT("0000"&amp;$B481,4)&amp;"/"&amp;RIGHT("00"&amp;$C481,2)&amp;"/"&amp;RIGHT("00"&amp;$D481,2)))</f>
        <v/>
      </c>
      <c r="F481">
        <f>IF(OR($E481="",$E481="نامعتبر"),"",IF(Sync!$Q478="","0000",IF(AND(ISNUMBER(Sync!$Q478),Sync!$Q478&gt;=0,Sync!$Q478&lt;1),RIGHT("00"&amp;HOUR(Sync!$Q478),2)&amp;RIGHT("00"&amp;MINUTE(Sync!$Q478),2),IFERROR(RIGHT("00"&amp;VALUE(LEFT(Sync!$Q478,FIND(":",Sync!$Q478)-1)),2)&amp;RIGHT("00"&amp;VALUE(MID(Sync!$Q478,FIND(":",Sync!$Q478)+1,2)),2),"0000"))))</f>
        <v/>
      </c>
      <c r="G481">
        <f>IF(OR($E481="",$E481="نامعتبر"),"",IF(Sync!$S478="","",Sync!$S478))</f>
        <v/>
      </c>
      <c r="H481">
        <f>IF(OR($E481="",$E481="نامعتبر"),"",IF(Sync!$R478="","",Sync!$R478))</f>
        <v/>
      </c>
      <c r="I481">
        <f>IF(OR($E481="",$E481="نامعتبر"),"",IF(Sync!$T478="","",Sync!$T478))</f>
        <v/>
      </c>
      <c r="J481">
        <f>IF(OR($E481="",$E481="نامعتبر"),"",IF(Sync!$U478="","",Sync!$U478))</f>
        <v/>
      </c>
      <c r="K481">
        <f>IF(OR($E481="",$E481="نامعتبر"),"",IF(Sync!$V478="","",IFERROR(INDEX(SubCodes,MATCH(Sync!$V478,SubTitles,0)),Sync!$V478)))</f>
        <v/>
      </c>
      <c r="L481">
        <f>IF(OR($E481="",$E481="نامعتبر"),"",IF(Sync!$W478="",0,Sync!$W478))</f>
        <v/>
      </c>
      <c r="M481">
        <f>IF(OR($E481="",$E481="نامعتبر"),"",IF(Sync!$X478="",0,Sync!$X478))</f>
        <v/>
      </c>
      <c r="N481">
        <f>IF(OR($E481="",$E481="نامعتبر"),"",IF(AND($J481="هزینه",$K481&lt;&gt;""),1,0))</f>
        <v/>
      </c>
      <c r="O481">
        <f>IF($N481=0,"",LEFT($E481,4)&amp;MID($E481,6,2)&amp;RIGHT($E481,2)&amp;$F481&amp;"|"&amp;"1"&amp;RIGHT("00000"&amp;473,5))</f>
        <v/>
      </c>
      <c r="P481">
        <f>IF($O481="","",COUNTIFS(ExpSub,$K481,ExpKey,"&lt;"&amp;$O481)+1)</f>
        <v/>
      </c>
      <c r="Q481">
        <f>IF($P481="","",$K481&amp;"|"&amp;RIGHT("000000"&amp;$P481,6))</f>
        <v/>
      </c>
    </row>
    <row r="482">
      <c r="A482">
        <f>IF(Sync!$P479="","",Sync!$P479)</f>
        <v/>
      </c>
      <c r="B482">
        <f>IF($A482="","",IF(ISNUMBER($A482),IF(AND($A482&gt;=10000101,$A482&lt;=99991231),INT($A482/10000),""),IFERROR(VALUE(TRIM(LEFT($A482,FIND("/",$A482)-1))),"")))</f>
        <v/>
      </c>
      <c r="C482">
        <f>IF(OR($A482="",$B482=""),"",IF(ISNUMBER($A482),INT(MOD($A482,10000)/100),IFERROR(VALUE(TRIM(LEFT(MID($A482,FIND("/",$A482)+1,20),FIND("/",MID($A482,FIND("/",$A482)+1,20))-1))),"")))</f>
        <v/>
      </c>
      <c r="D482">
        <f>IF(OR($A482="",$B482=""),"",IF(ISNUMBER($A482),MOD($A482,100),IFERROR(VALUE(TRIM(MID(MID($A482,FIND("/",$A482)+1,20),FIND("/",MID($A482,FIND("/",$A482)+1,20))+1,20))),"")))</f>
        <v/>
      </c>
      <c r="E482">
        <f>IF($A482="","",IF(OR($B482="",$C482="",$D482="",$B482&lt;1300,$B482&gt;1500,$C482&lt;1,$C482&gt;12,$D482&lt;1,$D482&gt;31),"نامعتبر",RIGHT("0000"&amp;$B482,4)&amp;"/"&amp;RIGHT("00"&amp;$C482,2)&amp;"/"&amp;RIGHT("00"&amp;$D482,2)))</f>
        <v/>
      </c>
      <c r="F482">
        <f>IF(OR($E482="",$E482="نامعتبر"),"",IF(Sync!$Q479="","0000",IF(AND(ISNUMBER(Sync!$Q479),Sync!$Q479&gt;=0,Sync!$Q479&lt;1),RIGHT("00"&amp;HOUR(Sync!$Q479),2)&amp;RIGHT("00"&amp;MINUTE(Sync!$Q479),2),IFERROR(RIGHT("00"&amp;VALUE(LEFT(Sync!$Q479,FIND(":",Sync!$Q479)-1)),2)&amp;RIGHT("00"&amp;VALUE(MID(Sync!$Q479,FIND(":",Sync!$Q479)+1,2)),2),"0000"))))</f>
        <v/>
      </c>
      <c r="G482">
        <f>IF(OR($E482="",$E482="نامعتبر"),"",IF(Sync!$S479="","",Sync!$S479))</f>
        <v/>
      </c>
      <c r="H482">
        <f>IF(OR($E482="",$E482="نامعتبر"),"",IF(Sync!$R479="","",Sync!$R479))</f>
        <v/>
      </c>
      <c r="I482">
        <f>IF(OR($E482="",$E482="نامعتبر"),"",IF(Sync!$T479="","",Sync!$T479))</f>
        <v/>
      </c>
      <c r="J482">
        <f>IF(OR($E482="",$E482="نامعتبر"),"",IF(Sync!$U479="","",Sync!$U479))</f>
        <v/>
      </c>
      <c r="K482">
        <f>IF(OR($E482="",$E482="نامعتبر"),"",IF(Sync!$V479="","",IFERROR(INDEX(SubCodes,MATCH(Sync!$V479,SubTitles,0)),Sync!$V479)))</f>
        <v/>
      </c>
      <c r="L482">
        <f>IF(OR($E482="",$E482="نامعتبر"),"",IF(Sync!$W479="",0,Sync!$W479))</f>
        <v/>
      </c>
      <c r="M482">
        <f>IF(OR($E482="",$E482="نامعتبر"),"",IF(Sync!$X479="",0,Sync!$X479))</f>
        <v/>
      </c>
      <c r="N482">
        <f>IF(OR($E482="",$E482="نامعتبر"),"",IF(AND($J482="هزینه",$K482&lt;&gt;""),1,0))</f>
        <v/>
      </c>
      <c r="O482">
        <f>IF($N482=0,"",LEFT($E482,4)&amp;MID($E482,6,2)&amp;RIGHT($E482,2)&amp;$F482&amp;"|"&amp;"1"&amp;RIGHT("00000"&amp;474,5))</f>
        <v/>
      </c>
      <c r="P482">
        <f>IF($O482="","",COUNTIFS(ExpSub,$K482,ExpKey,"&lt;"&amp;$O482)+1)</f>
        <v/>
      </c>
      <c r="Q482">
        <f>IF($P482="","",$K482&amp;"|"&amp;RIGHT("000000"&amp;$P482,6))</f>
        <v/>
      </c>
    </row>
    <row r="483">
      <c r="A483">
        <f>IF(Sync!$P480="","",Sync!$P480)</f>
        <v/>
      </c>
      <c r="B483">
        <f>IF($A483="","",IF(ISNUMBER($A483),IF(AND($A483&gt;=10000101,$A483&lt;=99991231),INT($A483/10000),""),IFERROR(VALUE(TRIM(LEFT($A483,FIND("/",$A483)-1))),"")))</f>
        <v/>
      </c>
      <c r="C483">
        <f>IF(OR($A483="",$B483=""),"",IF(ISNUMBER($A483),INT(MOD($A483,10000)/100),IFERROR(VALUE(TRIM(LEFT(MID($A483,FIND("/",$A483)+1,20),FIND("/",MID($A483,FIND("/",$A483)+1,20))-1))),"")))</f>
        <v/>
      </c>
      <c r="D483">
        <f>IF(OR($A483="",$B483=""),"",IF(ISNUMBER($A483),MOD($A483,100),IFERROR(VALUE(TRIM(MID(MID($A483,FIND("/",$A483)+1,20),FIND("/",MID($A483,FIND("/",$A483)+1,20))+1,20))),"")))</f>
        <v/>
      </c>
      <c r="E483">
        <f>IF($A483="","",IF(OR($B483="",$C483="",$D483="",$B483&lt;1300,$B483&gt;1500,$C483&lt;1,$C483&gt;12,$D483&lt;1,$D483&gt;31),"نامعتبر",RIGHT("0000"&amp;$B483,4)&amp;"/"&amp;RIGHT("00"&amp;$C483,2)&amp;"/"&amp;RIGHT("00"&amp;$D483,2)))</f>
        <v/>
      </c>
      <c r="F483">
        <f>IF(OR($E483="",$E483="نامعتبر"),"",IF(Sync!$Q480="","0000",IF(AND(ISNUMBER(Sync!$Q480),Sync!$Q480&gt;=0,Sync!$Q480&lt;1),RIGHT("00"&amp;HOUR(Sync!$Q480),2)&amp;RIGHT("00"&amp;MINUTE(Sync!$Q480),2),IFERROR(RIGHT("00"&amp;VALUE(LEFT(Sync!$Q480,FIND(":",Sync!$Q480)-1)),2)&amp;RIGHT("00"&amp;VALUE(MID(Sync!$Q480,FIND(":",Sync!$Q480)+1,2)),2),"0000"))))</f>
        <v/>
      </c>
      <c r="G483">
        <f>IF(OR($E483="",$E483="نامعتبر"),"",IF(Sync!$S480="","",Sync!$S480))</f>
        <v/>
      </c>
      <c r="H483">
        <f>IF(OR($E483="",$E483="نامعتبر"),"",IF(Sync!$R480="","",Sync!$R480))</f>
        <v/>
      </c>
      <c r="I483">
        <f>IF(OR($E483="",$E483="نامعتبر"),"",IF(Sync!$T480="","",Sync!$T480))</f>
        <v/>
      </c>
      <c r="J483">
        <f>IF(OR($E483="",$E483="نامعتبر"),"",IF(Sync!$U480="","",Sync!$U480))</f>
        <v/>
      </c>
      <c r="K483">
        <f>IF(OR($E483="",$E483="نامعتبر"),"",IF(Sync!$V480="","",IFERROR(INDEX(SubCodes,MATCH(Sync!$V480,SubTitles,0)),Sync!$V480)))</f>
        <v/>
      </c>
      <c r="L483">
        <f>IF(OR($E483="",$E483="نامعتبر"),"",IF(Sync!$W480="",0,Sync!$W480))</f>
        <v/>
      </c>
      <c r="M483">
        <f>IF(OR($E483="",$E483="نامعتبر"),"",IF(Sync!$X480="",0,Sync!$X480))</f>
        <v/>
      </c>
      <c r="N483">
        <f>IF(OR($E483="",$E483="نامعتبر"),"",IF(AND($J483="هزینه",$K483&lt;&gt;""),1,0))</f>
        <v/>
      </c>
      <c r="O483">
        <f>IF($N483=0,"",LEFT($E483,4)&amp;MID($E483,6,2)&amp;RIGHT($E483,2)&amp;$F483&amp;"|"&amp;"1"&amp;RIGHT("00000"&amp;475,5))</f>
        <v/>
      </c>
      <c r="P483">
        <f>IF($O483="","",COUNTIFS(ExpSub,$K483,ExpKey,"&lt;"&amp;$O483)+1)</f>
        <v/>
      </c>
      <c r="Q483">
        <f>IF($P483="","",$K483&amp;"|"&amp;RIGHT("000000"&amp;$P483,6))</f>
        <v/>
      </c>
    </row>
    <row r="484">
      <c r="A484">
        <f>IF(Sync!$P481="","",Sync!$P481)</f>
        <v/>
      </c>
      <c r="B484">
        <f>IF($A484="","",IF(ISNUMBER($A484),IF(AND($A484&gt;=10000101,$A484&lt;=99991231),INT($A484/10000),""),IFERROR(VALUE(TRIM(LEFT($A484,FIND("/",$A484)-1))),"")))</f>
        <v/>
      </c>
      <c r="C484">
        <f>IF(OR($A484="",$B484=""),"",IF(ISNUMBER($A484),INT(MOD($A484,10000)/100),IFERROR(VALUE(TRIM(LEFT(MID($A484,FIND("/",$A484)+1,20),FIND("/",MID($A484,FIND("/",$A484)+1,20))-1))),"")))</f>
        <v/>
      </c>
      <c r="D484">
        <f>IF(OR($A484="",$B484=""),"",IF(ISNUMBER($A484),MOD($A484,100),IFERROR(VALUE(TRIM(MID(MID($A484,FIND("/",$A484)+1,20),FIND("/",MID($A484,FIND("/",$A484)+1,20))+1,20))),"")))</f>
        <v/>
      </c>
      <c r="E484">
        <f>IF($A484="","",IF(OR($B484="",$C484="",$D484="",$B484&lt;1300,$B484&gt;1500,$C484&lt;1,$C484&gt;12,$D484&lt;1,$D484&gt;31),"نامعتبر",RIGHT("0000"&amp;$B484,4)&amp;"/"&amp;RIGHT("00"&amp;$C484,2)&amp;"/"&amp;RIGHT("00"&amp;$D484,2)))</f>
        <v/>
      </c>
      <c r="F484">
        <f>IF(OR($E484="",$E484="نامعتبر"),"",IF(Sync!$Q481="","0000",IF(AND(ISNUMBER(Sync!$Q481),Sync!$Q481&gt;=0,Sync!$Q481&lt;1),RIGHT("00"&amp;HOUR(Sync!$Q481),2)&amp;RIGHT("00"&amp;MINUTE(Sync!$Q481),2),IFERROR(RIGHT("00"&amp;VALUE(LEFT(Sync!$Q481,FIND(":",Sync!$Q481)-1)),2)&amp;RIGHT("00"&amp;VALUE(MID(Sync!$Q481,FIND(":",Sync!$Q481)+1,2)),2),"0000"))))</f>
        <v/>
      </c>
      <c r="G484">
        <f>IF(OR($E484="",$E484="نامعتبر"),"",IF(Sync!$S481="","",Sync!$S481))</f>
        <v/>
      </c>
      <c r="H484">
        <f>IF(OR($E484="",$E484="نامعتبر"),"",IF(Sync!$R481="","",Sync!$R481))</f>
        <v/>
      </c>
      <c r="I484">
        <f>IF(OR($E484="",$E484="نامعتبر"),"",IF(Sync!$T481="","",Sync!$T481))</f>
        <v/>
      </c>
      <c r="J484">
        <f>IF(OR($E484="",$E484="نامعتبر"),"",IF(Sync!$U481="","",Sync!$U481))</f>
        <v/>
      </c>
      <c r="K484">
        <f>IF(OR($E484="",$E484="نامعتبر"),"",IF(Sync!$V481="","",IFERROR(INDEX(SubCodes,MATCH(Sync!$V481,SubTitles,0)),Sync!$V481)))</f>
        <v/>
      </c>
      <c r="L484">
        <f>IF(OR($E484="",$E484="نامعتبر"),"",IF(Sync!$W481="",0,Sync!$W481))</f>
        <v/>
      </c>
      <c r="M484">
        <f>IF(OR($E484="",$E484="نامعتبر"),"",IF(Sync!$X481="",0,Sync!$X481))</f>
        <v/>
      </c>
      <c r="N484">
        <f>IF(OR($E484="",$E484="نامعتبر"),"",IF(AND($J484="هزینه",$K484&lt;&gt;""),1,0))</f>
        <v/>
      </c>
      <c r="O484">
        <f>IF($N484=0,"",LEFT($E484,4)&amp;MID($E484,6,2)&amp;RIGHT($E484,2)&amp;$F484&amp;"|"&amp;"1"&amp;RIGHT("00000"&amp;476,5))</f>
        <v/>
      </c>
      <c r="P484">
        <f>IF($O484="","",COUNTIFS(ExpSub,$K484,ExpKey,"&lt;"&amp;$O484)+1)</f>
        <v/>
      </c>
      <c r="Q484">
        <f>IF($P484="","",$K484&amp;"|"&amp;RIGHT("000000"&amp;$P484,6))</f>
        <v/>
      </c>
    </row>
    <row r="485">
      <c r="A485">
        <f>IF(Sync!$P482="","",Sync!$P482)</f>
        <v/>
      </c>
      <c r="B485">
        <f>IF($A485="","",IF(ISNUMBER($A485),IF(AND($A485&gt;=10000101,$A485&lt;=99991231),INT($A485/10000),""),IFERROR(VALUE(TRIM(LEFT($A485,FIND("/",$A485)-1))),"")))</f>
        <v/>
      </c>
      <c r="C485">
        <f>IF(OR($A485="",$B485=""),"",IF(ISNUMBER($A485),INT(MOD($A485,10000)/100),IFERROR(VALUE(TRIM(LEFT(MID($A485,FIND("/",$A485)+1,20),FIND("/",MID($A485,FIND("/",$A485)+1,20))-1))),"")))</f>
        <v/>
      </c>
      <c r="D485">
        <f>IF(OR($A485="",$B485=""),"",IF(ISNUMBER($A485),MOD($A485,100),IFERROR(VALUE(TRIM(MID(MID($A485,FIND("/",$A485)+1,20),FIND("/",MID($A485,FIND("/",$A485)+1,20))+1,20))),"")))</f>
        <v/>
      </c>
      <c r="E485">
        <f>IF($A485="","",IF(OR($B485="",$C485="",$D485="",$B485&lt;1300,$B485&gt;1500,$C485&lt;1,$C485&gt;12,$D485&lt;1,$D485&gt;31),"نامعتبر",RIGHT("0000"&amp;$B485,4)&amp;"/"&amp;RIGHT("00"&amp;$C485,2)&amp;"/"&amp;RIGHT("00"&amp;$D485,2)))</f>
        <v/>
      </c>
      <c r="F485">
        <f>IF(OR($E485="",$E485="نامعتبر"),"",IF(Sync!$Q482="","0000",IF(AND(ISNUMBER(Sync!$Q482),Sync!$Q482&gt;=0,Sync!$Q482&lt;1),RIGHT("00"&amp;HOUR(Sync!$Q482),2)&amp;RIGHT("00"&amp;MINUTE(Sync!$Q482),2),IFERROR(RIGHT("00"&amp;VALUE(LEFT(Sync!$Q482,FIND(":",Sync!$Q482)-1)),2)&amp;RIGHT("00"&amp;VALUE(MID(Sync!$Q482,FIND(":",Sync!$Q482)+1,2)),2),"0000"))))</f>
        <v/>
      </c>
      <c r="G485">
        <f>IF(OR($E485="",$E485="نامعتبر"),"",IF(Sync!$S482="","",Sync!$S482))</f>
        <v/>
      </c>
      <c r="H485">
        <f>IF(OR($E485="",$E485="نامعتبر"),"",IF(Sync!$R482="","",Sync!$R482))</f>
        <v/>
      </c>
      <c r="I485">
        <f>IF(OR($E485="",$E485="نامعتبر"),"",IF(Sync!$T482="","",Sync!$T482))</f>
        <v/>
      </c>
      <c r="J485">
        <f>IF(OR($E485="",$E485="نامعتبر"),"",IF(Sync!$U482="","",Sync!$U482))</f>
        <v/>
      </c>
      <c r="K485">
        <f>IF(OR($E485="",$E485="نامعتبر"),"",IF(Sync!$V482="","",IFERROR(INDEX(SubCodes,MATCH(Sync!$V482,SubTitles,0)),Sync!$V482)))</f>
        <v/>
      </c>
      <c r="L485">
        <f>IF(OR($E485="",$E485="نامعتبر"),"",IF(Sync!$W482="",0,Sync!$W482))</f>
        <v/>
      </c>
      <c r="M485">
        <f>IF(OR($E485="",$E485="نامعتبر"),"",IF(Sync!$X482="",0,Sync!$X482))</f>
        <v/>
      </c>
      <c r="N485">
        <f>IF(OR($E485="",$E485="نامعتبر"),"",IF(AND($J485="هزینه",$K485&lt;&gt;""),1,0))</f>
        <v/>
      </c>
      <c r="O485">
        <f>IF($N485=0,"",LEFT($E485,4)&amp;MID($E485,6,2)&amp;RIGHT($E485,2)&amp;$F485&amp;"|"&amp;"1"&amp;RIGHT("00000"&amp;477,5))</f>
        <v/>
      </c>
      <c r="P485">
        <f>IF($O485="","",COUNTIFS(ExpSub,$K485,ExpKey,"&lt;"&amp;$O485)+1)</f>
        <v/>
      </c>
      <c r="Q485">
        <f>IF($P485="","",$K485&amp;"|"&amp;RIGHT("000000"&amp;$P485,6))</f>
        <v/>
      </c>
    </row>
    <row r="486">
      <c r="A486">
        <f>IF(Sync!$P483="","",Sync!$P483)</f>
        <v/>
      </c>
      <c r="B486">
        <f>IF($A486="","",IF(ISNUMBER($A486),IF(AND($A486&gt;=10000101,$A486&lt;=99991231),INT($A486/10000),""),IFERROR(VALUE(TRIM(LEFT($A486,FIND("/",$A486)-1))),"")))</f>
        <v/>
      </c>
      <c r="C486">
        <f>IF(OR($A486="",$B486=""),"",IF(ISNUMBER($A486),INT(MOD($A486,10000)/100),IFERROR(VALUE(TRIM(LEFT(MID($A486,FIND("/",$A486)+1,20),FIND("/",MID($A486,FIND("/",$A486)+1,20))-1))),"")))</f>
        <v/>
      </c>
      <c r="D486">
        <f>IF(OR($A486="",$B486=""),"",IF(ISNUMBER($A486),MOD($A486,100),IFERROR(VALUE(TRIM(MID(MID($A486,FIND("/",$A486)+1,20),FIND("/",MID($A486,FIND("/",$A486)+1,20))+1,20))),"")))</f>
        <v/>
      </c>
      <c r="E486">
        <f>IF($A486="","",IF(OR($B486="",$C486="",$D486="",$B486&lt;1300,$B486&gt;1500,$C486&lt;1,$C486&gt;12,$D486&lt;1,$D486&gt;31),"نامعتبر",RIGHT("0000"&amp;$B486,4)&amp;"/"&amp;RIGHT("00"&amp;$C486,2)&amp;"/"&amp;RIGHT("00"&amp;$D486,2)))</f>
        <v/>
      </c>
      <c r="F486">
        <f>IF(OR($E486="",$E486="نامعتبر"),"",IF(Sync!$Q483="","0000",IF(AND(ISNUMBER(Sync!$Q483),Sync!$Q483&gt;=0,Sync!$Q483&lt;1),RIGHT("00"&amp;HOUR(Sync!$Q483),2)&amp;RIGHT("00"&amp;MINUTE(Sync!$Q483),2),IFERROR(RIGHT("00"&amp;VALUE(LEFT(Sync!$Q483,FIND(":",Sync!$Q483)-1)),2)&amp;RIGHT("00"&amp;VALUE(MID(Sync!$Q483,FIND(":",Sync!$Q483)+1,2)),2),"0000"))))</f>
        <v/>
      </c>
      <c r="G486">
        <f>IF(OR($E486="",$E486="نامعتبر"),"",IF(Sync!$S483="","",Sync!$S483))</f>
        <v/>
      </c>
      <c r="H486">
        <f>IF(OR($E486="",$E486="نامعتبر"),"",IF(Sync!$R483="","",Sync!$R483))</f>
        <v/>
      </c>
      <c r="I486">
        <f>IF(OR($E486="",$E486="نامعتبر"),"",IF(Sync!$T483="","",Sync!$T483))</f>
        <v/>
      </c>
      <c r="J486">
        <f>IF(OR($E486="",$E486="نامعتبر"),"",IF(Sync!$U483="","",Sync!$U483))</f>
        <v/>
      </c>
      <c r="K486">
        <f>IF(OR($E486="",$E486="نامعتبر"),"",IF(Sync!$V483="","",IFERROR(INDEX(SubCodes,MATCH(Sync!$V483,SubTitles,0)),Sync!$V483)))</f>
        <v/>
      </c>
      <c r="L486">
        <f>IF(OR($E486="",$E486="نامعتبر"),"",IF(Sync!$W483="",0,Sync!$W483))</f>
        <v/>
      </c>
      <c r="M486">
        <f>IF(OR($E486="",$E486="نامعتبر"),"",IF(Sync!$X483="",0,Sync!$X483))</f>
        <v/>
      </c>
      <c r="N486">
        <f>IF(OR($E486="",$E486="نامعتبر"),"",IF(AND($J486="هزینه",$K486&lt;&gt;""),1,0))</f>
        <v/>
      </c>
      <c r="O486">
        <f>IF($N486=0,"",LEFT($E486,4)&amp;MID($E486,6,2)&amp;RIGHT($E486,2)&amp;$F486&amp;"|"&amp;"1"&amp;RIGHT("00000"&amp;478,5))</f>
        <v/>
      </c>
      <c r="P486">
        <f>IF($O486="","",COUNTIFS(ExpSub,$K486,ExpKey,"&lt;"&amp;$O486)+1)</f>
        <v/>
      </c>
      <c r="Q486">
        <f>IF($P486="","",$K486&amp;"|"&amp;RIGHT("000000"&amp;$P486,6))</f>
        <v/>
      </c>
    </row>
    <row r="487">
      <c r="A487">
        <f>IF(Sync!$P484="","",Sync!$P484)</f>
        <v/>
      </c>
      <c r="B487">
        <f>IF($A487="","",IF(ISNUMBER($A487),IF(AND($A487&gt;=10000101,$A487&lt;=99991231),INT($A487/10000),""),IFERROR(VALUE(TRIM(LEFT($A487,FIND("/",$A487)-1))),"")))</f>
        <v/>
      </c>
      <c r="C487">
        <f>IF(OR($A487="",$B487=""),"",IF(ISNUMBER($A487),INT(MOD($A487,10000)/100),IFERROR(VALUE(TRIM(LEFT(MID($A487,FIND("/",$A487)+1,20),FIND("/",MID($A487,FIND("/",$A487)+1,20))-1))),"")))</f>
        <v/>
      </c>
      <c r="D487">
        <f>IF(OR($A487="",$B487=""),"",IF(ISNUMBER($A487),MOD($A487,100),IFERROR(VALUE(TRIM(MID(MID($A487,FIND("/",$A487)+1,20),FIND("/",MID($A487,FIND("/",$A487)+1,20))+1,20))),"")))</f>
        <v/>
      </c>
      <c r="E487">
        <f>IF($A487="","",IF(OR($B487="",$C487="",$D487="",$B487&lt;1300,$B487&gt;1500,$C487&lt;1,$C487&gt;12,$D487&lt;1,$D487&gt;31),"نامعتبر",RIGHT("0000"&amp;$B487,4)&amp;"/"&amp;RIGHT("00"&amp;$C487,2)&amp;"/"&amp;RIGHT("00"&amp;$D487,2)))</f>
        <v/>
      </c>
      <c r="F487">
        <f>IF(OR($E487="",$E487="نامعتبر"),"",IF(Sync!$Q484="","0000",IF(AND(ISNUMBER(Sync!$Q484),Sync!$Q484&gt;=0,Sync!$Q484&lt;1),RIGHT("00"&amp;HOUR(Sync!$Q484),2)&amp;RIGHT("00"&amp;MINUTE(Sync!$Q484),2),IFERROR(RIGHT("00"&amp;VALUE(LEFT(Sync!$Q484,FIND(":",Sync!$Q484)-1)),2)&amp;RIGHT("00"&amp;VALUE(MID(Sync!$Q484,FIND(":",Sync!$Q484)+1,2)),2),"0000"))))</f>
        <v/>
      </c>
      <c r="G487">
        <f>IF(OR($E487="",$E487="نامعتبر"),"",IF(Sync!$S484="","",Sync!$S484))</f>
        <v/>
      </c>
      <c r="H487">
        <f>IF(OR($E487="",$E487="نامعتبر"),"",IF(Sync!$R484="","",Sync!$R484))</f>
        <v/>
      </c>
      <c r="I487">
        <f>IF(OR($E487="",$E487="نامعتبر"),"",IF(Sync!$T484="","",Sync!$T484))</f>
        <v/>
      </c>
      <c r="J487">
        <f>IF(OR($E487="",$E487="نامعتبر"),"",IF(Sync!$U484="","",Sync!$U484))</f>
        <v/>
      </c>
      <c r="K487">
        <f>IF(OR($E487="",$E487="نامعتبر"),"",IF(Sync!$V484="","",IFERROR(INDEX(SubCodes,MATCH(Sync!$V484,SubTitles,0)),Sync!$V484)))</f>
        <v/>
      </c>
      <c r="L487">
        <f>IF(OR($E487="",$E487="نامعتبر"),"",IF(Sync!$W484="",0,Sync!$W484))</f>
        <v/>
      </c>
      <c r="M487">
        <f>IF(OR($E487="",$E487="نامعتبر"),"",IF(Sync!$X484="",0,Sync!$X484))</f>
        <v/>
      </c>
      <c r="N487">
        <f>IF(OR($E487="",$E487="نامعتبر"),"",IF(AND($J487="هزینه",$K487&lt;&gt;""),1,0))</f>
        <v/>
      </c>
      <c r="O487">
        <f>IF($N487=0,"",LEFT($E487,4)&amp;MID($E487,6,2)&amp;RIGHT($E487,2)&amp;$F487&amp;"|"&amp;"1"&amp;RIGHT("00000"&amp;479,5))</f>
        <v/>
      </c>
      <c r="P487">
        <f>IF($O487="","",COUNTIFS(ExpSub,$K487,ExpKey,"&lt;"&amp;$O487)+1)</f>
        <v/>
      </c>
      <c r="Q487">
        <f>IF($P487="","",$K487&amp;"|"&amp;RIGHT("000000"&amp;$P487,6))</f>
        <v/>
      </c>
    </row>
    <row r="488">
      <c r="A488">
        <f>IF(Sync!$P485="","",Sync!$P485)</f>
        <v/>
      </c>
      <c r="B488">
        <f>IF($A488="","",IF(ISNUMBER($A488),IF(AND($A488&gt;=10000101,$A488&lt;=99991231),INT($A488/10000),""),IFERROR(VALUE(TRIM(LEFT($A488,FIND("/",$A488)-1))),"")))</f>
        <v/>
      </c>
      <c r="C488">
        <f>IF(OR($A488="",$B488=""),"",IF(ISNUMBER($A488),INT(MOD($A488,10000)/100),IFERROR(VALUE(TRIM(LEFT(MID($A488,FIND("/",$A488)+1,20),FIND("/",MID($A488,FIND("/",$A488)+1,20))-1))),"")))</f>
        <v/>
      </c>
      <c r="D488">
        <f>IF(OR($A488="",$B488=""),"",IF(ISNUMBER($A488),MOD($A488,100),IFERROR(VALUE(TRIM(MID(MID($A488,FIND("/",$A488)+1,20),FIND("/",MID($A488,FIND("/",$A488)+1,20))+1,20))),"")))</f>
        <v/>
      </c>
      <c r="E488">
        <f>IF($A488="","",IF(OR($B488="",$C488="",$D488="",$B488&lt;1300,$B488&gt;1500,$C488&lt;1,$C488&gt;12,$D488&lt;1,$D488&gt;31),"نامعتبر",RIGHT("0000"&amp;$B488,4)&amp;"/"&amp;RIGHT("00"&amp;$C488,2)&amp;"/"&amp;RIGHT("00"&amp;$D488,2)))</f>
        <v/>
      </c>
      <c r="F488">
        <f>IF(OR($E488="",$E488="نامعتبر"),"",IF(Sync!$Q485="","0000",IF(AND(ISNUMBER(Sync!$Q485),Sync!$Q485&gt;=0,Sync!$Q485&lt;1),RIGHT("00"&amp;HOUR(Sync!$Q485),2)&amp;RIGHT("00"&amp;MINUTE(Sync!$Q485),2),IFERROR(RIGHT("00"&amp;VALUE(LEFT(Sync!$Q485,FIND(":",Sync!$Q485)-1)),2)&amp;RIGHT("00"&amp;VALUE(MID(Sync!$Q485,FIND(":",Sync!$Q485)+1,2)),2),"0000"))))</f>
        <v/>
      </c>
      <c r="G488">
        <f>IF(OR($E488="",$E488="نامعتبر"),"",IF(Sync!$S485="","",Sync!$S485))</f>
        <v/>
      </c>
      <c r="H488">
        <f>IF(OR($E488="",$E488="نامعتبر"),"",IF(Sync!$R485="","",Sync!$R485))</f>
        <v/>
      </c>
      <c r="I488">
        <f>IF(OR($E488="",$E488="نامعتبر"),"",IF(Sync!$T485="","",Sync!$T485))</f>
        <v/>
      </c>
      <c r="J488">
        <f>IF(OR($E488="",$E488="نامعتبر"),"",IF(Sync!$U485="","",Sync!$U485))</f>
        <v/>
      </c>
      <c r="K488">
        <f>IF(OR($E488="",$E488="نامعتبر"),"",IF(Sync!$V485="","",IFERROR(INDEX(SubCodes,MATCH(Sync!$V485,SubTitles,0)),Sync!$V485)))</f>
        <v/>
      </c>
      <c r="L488">
        <f>IF(OR($E488="",$E488="نامعتبر"),"",IF(Sync!$W485="",0,Sync!$W485))</f>
        <v/>
      </c>
      <c r="M488">
        <f>IF(OR($E488="",$E488="نامعتبر"),"",IF(Sync!$X485="",0,Sync!$X485))</f>
        <v/>
      </c>
      <c r="N488">
        <f>IF(OR($E488="",$E488="نامعتبر"),"",IF(AND($J488="هزینه",$K488&lt;&gt;""),1,0))</f>
        <v/>
      </c>
      <c r="O488">
        <f>IF($N488=0,"",LEFT($E488,4)&amp;MID($E488,6,2)&amp;RIGHT($E488,2)&amp;$F488&amp;"|"&amp;"1"&amp;RIGHT("00000"&amp;480,5))</f>
        <v/>
      </c>
      <c r="P488">
        <f>IF($O488="","",COUNTIFS(ExpSub,$K488,ExpKey,"&lt;"&amp;$O488)+1)</f>
        <v/>
      </c>
      <c r="Q488">
        <f>IF($P488="","",$K488&amp;"|"&amp;RIGHT("000000"&amp;$P488,6))</f>
        <v/>
      </c>
    </row>
    <row r="489">
      <c r="A489">
        <f>IF(Sync!$P486="","",Sync!$P486)</f>
        <v/>
      </c>
      <c r="B489">
        <f>IF($A489="","",IF(ISNUMBER($A489),IF(AND($A489&gt;=10000101,$A489&lt;=99991231),INT($A489/10000),""),IFERROR(VALUE(TRIM(LEFT($A489,FIND("/",$A489)-1))),"")))</f>
        <v/>
      </c>
      <c r="C489">
        <f>IF(OR($A489="",$B489=""),"",IF(ISNUMBER($A489),INT(MOD($A489,10000)/100),IFERROR(VALUE(TRIM(LEFT(MID($A489,FIND("/",$A489)+1,20),FIND("/",MID($A489,FIND("/",$A489)+1,20))-1))),"")))</f>
        <v/>
      </c>
      <c r="D489">
        <f>IF(OR($A489="",$B489=""),"",IF(ISNUMBER($A489),MOD($A489,100),IFERROR(VALUE(TRIM(MID(MID($A489,FIND("/",$A489)+1,20),FIND("/",MID($A489,FIND("/",$A489)+1,20))+1,20))),"")))</f>
        <v/>
      </c>
      <c r="E489">
        <f>IF($A489="","",IF(OR($B489="",$C489="",$D489="",$B489&lt;1300,$B489&gt;1500,$C489&lt;1,$C489&gt;12,$D489&lt;1,$D489&gt;31),"نامعتبر",RIGHT("0000"&amp;$B489,4)&amp;"/"&amp;RIGHT("00"&amp;$C489,2)&amp;"/"&amp;RIGHT("00"&amp;$D489,2)))</f>
        <v/>
      </c>
      <c r="F489">
        <f>IF(OR($E489="",$E489="نامعتبر"),"",IF(Sync!$Q486="","0000",IF(AND(ISNUMBER(Sync!$Q486),Sync!$Q486&gt;=0,Sync!$Q486&lt;1),RIGHT("00"&amp;HOUR(Sync!$Q486),2)&amp;RIGHT("00"&amp;MINUTE(Sync!$Q486),2),IFERROR(RIGHT("00"&amp;VALUE(LEFT(Sync!$Q486,FIND(":",Sync!$Q486)-1)),2)&amp;RIGHT("00"&amp;VALUE(MID(Sync!$Q486,FIND(":",Sync!$Q486)+1,2)),2),"0000"))))</f>
        <v/>
      </c>
      <c r="G489">
        <f>IF(OR($E489="",$E489="نامعتبر"),"",IF(Sync!$S486="","",Sync!$S486))</f>
        <v/>
      </c>
      <c r="H489">
        <f>IF(OR($E489="",$E489="نامعتبر"),"",IF(Sync!$R486="","",Sync!$R486))</f>
        <v/>
      </c>
      <c r="I489">
        <f>IF(OR($E489="",$E489="نامعتبر"),"",IF(Sync!$T486="","",Sync!$T486))</f>
        <v/>
      </c>
      <c r="J489">
        <f>IF(OR($E489="",$E489="نامعتبر"),"",IF(Sync!$U486="","",Sync!$U486))</f>
        <v/>
      </c>
      <c r="K489">
        <f>IF(OR($E489="",$E489="نامعتبر"),"",IF(Sync!$V486="","",IFERROR(INDEX(SubCodes,MATCH(Sync!$V486,SubTitles,0)),Sync!$V486)))</f>
        <v/>
      </c>
      <c r="L489">
        <f>IF(OR($E489="",$E489="نامعتبر"),"",IF(Sync!$W486="",0,Sync!$W486))</f>
        <v/>
      </c>
      <c r="M489">
        <f>IF(OR($E489="",$E489="نامعتبر"),"",IF(Sync!$X486="",0,Sync!$X486))</f>
        <v/>
      </c>
      <c r="N489">
        <f>IF(OR($E489="",$E489="نامعتبر"),"",IF(AND($J489="هزینه",$K489&lt;&gt;""),1,0))</f>
        <v/>
      </c>
      <c r="O489">
        <f>IF($N489=0,"",LEFT($E489,4)&amp;MID($E489,6,2)&amp;RIGHT($E489,2)&amp;$F489&amp;"|"&amp;"1"&amp;RIGHT("00000"&amp;481,5))</f>
        <v/>
      </c>
      <c r="P489">
        <f>IF($O489="","",COUNTIFS(ExpSub,$K489,ExpKey,"&lt;"&amp;$O489)+1)</f>
        <v/>
      </c>
      <c r="Q489">
        <f>IF($P489="","",$K489&amp;"|"&amp;RIGHT("000000"&amp;$P489,6))</f>
        <v/>
      </c>
    </row>
    <row r="490">
      <c r="A490">
        <f>IF(Sync!$P487="","",Sync!$P487)</f>
        <v/>
      </c>
      <c r="B490">
        <f>IF($A490="","",IF(ISNUMBER($A490),IF(AND($A490&gt;=10000101,$A490&lt;=99991231),INT($A490/10000),""),IFERROR(VALUE(TRIM(LEFT($A490,FIND("/",$A490)-1))),"")))</f>
        <v/>
      </c>
      <c r="C490">
        <f>IF(OR($A490="",$B490=""),"",IF(ISNUMBER($A490),INT(MOD($A490,10000)/100),IFERROR(VALUE(TRIM(LEFT(MID($A490,FIND("/",$A490)+1,20),FIND("/",MID($A490,FIND("/",$A490)+1,20))-1))),"")))</f>
        <v/>
      </c>
      <c r="D490">
        <f>IF(OR($A490="",$B490=""),"",IF(ISNUMBER($A490),MOD($A490,100),IFERROR(VALUE(TRIM(MID(MID($A490,FIND("/",$A490)+1,20),FIND("/",MID($A490,FIND("/",$A490)+1,20))+1,20))),"")))</f>
        <v/>
      </c>
      <c r="E490">
        <f>IF($A490="","",IF(OR($B490="",$C490="",$D490="",$B490&lt;1300,$B490&gt;1500,$C490&lt;1,$C490&gt;12,$D490&lt;1,$D490&gt;31),"نامعتبر",RIGHT("0000"&amp;$B490,4)&amp;"/"&amp;RIGHT("00"&amp;$C490,2)&amp;"/"&amp;RIGHT("00"&amp;$D490,2)))</f>
        <v/>
      </c>
      <c r="F490">
        <f>IF(OR($E490="",$E490="نامعتبر"),"",IF(Sync!$Q487="","0000",IF(AND(ISNUMBER(Sync!$Q487),Sync!$Q487&gt;=0,Sync!$Q487&lt;1),RIGHT("00"&amp;HOUR(Sync!$Q487),2)&amp;RIGHT("00"&amp;MINUTE(Sync!$Q487),2),IFERROR(RIGHT("00"&amp;VALUE(LEFT(Sync!$Q487,FIND(":",Sync!$Q487)-1)),2)&amp;RIGHT("00"&amp;VALUE(MID(Sync!$Q487,FIND(":",Sync!$Q487)+1,2)),2),"0000"))))</f>
        <v/>
      </c>
      <c r="G490">
        <f>IF(OR($E490="",$E490="نامعتبر"),"",IF(Sync!$S487="","",Sync!$S487))</f>
        <v/>
      </c>
      <c r="H490">
        <f>IF(OR($E490="",$E490="نامعتبر"),"",IF(Sync!$R487="","",Sync!$R487))</f>
        <v/>
      </c>
      <c r="I490">
        <f>IF(OR($E490="",$E490="نامعتبر"),"",IF(Sync!$T487="","",Sync!$T487))</f>
        <v/>
      </c>
      <c r="J490">
        <f>IF(OR($E490="",$E490="نامعتبر"),"",IF(Sync!$U487="","",Sync!$U487))</f>
        <v/>
      </c>
      <c r="K490">
        <f>IF(OR($E490="",$E490="نامعتبر"),"",IF(Sync!$V487="","",IFERROR(INDEX(SubCodes,MATCH(Sync!$V487,SubTitles,0)),Sync!$V487)))</f>
        <v/>
      </c>
      <c r="L490">
        <f>IF(OR($E490="",$E490="نامعتبر"),"",IF(Sync!$W487="",0,Sync!$W487))</f>
        <v/>
      </c>
      <c r="M490">
        <f>IF(OR($E490="",$E490="نامعتبر"),"",IF(Sync!$X487="",0,Sync!$X487))</f>
        <v/>
      </c>
      <c r="N490">
        <f>IF(OR($E490="",$E490="نامعتبر"),"",IF(AND($J490="هزینه",$K490&lt;&gt;""),1,0))</f>
        <v/>
      </c>
      <c r="O490">
        <f>IF($N490=0,"",LEFT($E490,4)&amp;MID($E490,6,2)&amp;RIGHT($E490,2)&amp;$F490&amp;"|"&amp;"1"&amp;RIGHT("00000"&amp;482,5))</f>
        <v/>
      </c>
      <c r="P490">
        <f>IF($O490="","",COUNTIFS(ExpSub,$K490,ExpKey,"&lt;"&amp;$O490)+1)</f>
        <v/>
      </c>
      <c r="Q490">
        <f>IF($P490="","",$K490&amp;"|"&amp;RIGHT("000000"&amp;$P490,6))</f>
        <v/>
      </c>
    </row>
    <row r="491">
      <c r="A491">
        <f>IF(Sync!$P488="","",Sync!$P488)</f>
        <v/>
      </c>
      <c r="B491">
        <f>IF($A491="","",IF(ISNUMBER($A491),IF(AND($A491&gt;=10000101,$A491&lt;=99991231),INT($A491/10000),""),IFERROR(VALUE(TRIM(LEFT($A491,FIND("/",$A491)-1))),"")))</f>
        <v/>
      </c>
      <c r="C491">
        <f>IF(OR($A491="",$B491=""),"",IF(ISNUMBER($A491),INT(MOD($A491,10000)/100),IFERROR(VALUE(TRIM(LEFT(MID($A491,FIND("/",$A491)+1,20),FIND("/",MID($A491,FIND("/",$A491)+1,20))-1))),"")))</f>
        <v/>
      </c>
      <c r="D491">
        <f>IF(OR($A491="",$B491=""),"",IF(ISNUMBER($A491),MOD($A491,100),IFERROR(VALUE(TRIM(MID(MID($A491,FIND("/",$A491)+1,20),FIND("/",MID($A491,FIND("/",$A491)+1,20))+1,20))),"")))</f>
        <v/>
      </c>
      <c r="E491">
        <f>IF($A491="","",IF(OR($B491="",$C491="",$D491="",$B491&lt;1300,$B491&gt;1500,$C491&lt;1,$C491&gt;12,$D491&lt;1,$D491&gt;31),"نامعتبر",RIGHT("0000"&amp;$B491,4)&amp;"/"&amp;RIGHT("00"&amp;$C491,2)&amp;"/"&amp;RIGHT("00"&amp;$D491,2)))</f>
        <v/>
      </c>
      <c r="F491">
        <f>IF(OR($E491="",$E491="نامعتبر"),"",IF(Sync!$Q488="","0000",IF(AND(ISNUMBER(Sync!$Q488),Sync!$Q488&gt;=0,Sync!$Q488&lt;1),RIGHT("00"&amp;HOUR(Sync!$Q488),2)&amp;RIGHT("00"&amp;MINUTE(Sync!$Q488),2),IFERROR(RIGHT("00"&amp;VALUE(LEFT(Sync!$Q488,FIND(":",Sync!$Q488)-1)),2)&amp;RIGHT("00"&amp;VALUE(MID(Sync!$Q488,FIND(":",Sync!$Q488)+1,2)),2),"0000"))))</f>
        <v/>
      </c>
      <c r="G491">
        <f>IF(OR($E491="",$E491="نامعتبر"),"",IF(Sync!$S488="","",Sync!$S488))</f>
        <v/>
      </c>
      <c r="H491">
        <f>IF(OR($E491="",$E491="نامعتبر"),"",IF(Sync!$R488="","",Sync!$R488))</f>
        <v/>
      </c>
      <c r="I491">
        <f>IF(OR($E491="",$E491="نامعتبر"),"",IF(Sync!$T488="","",Sync!$T488))</f>
        <v/>
      </c>
      <c r="J491">
        <f>IF(OR($E491="",$E491="نامعتبر"),"",IF(Sync!$U488="","",Sync!$U488))</f>
        <v/>
      </c>
      <c r="K491">
        <f>IF(OR($E491="",$E491="نامعتبر"),"",IF(Sync!$V488="","",IFERROR(INDEX(SubCodes,MATCH(Sync!$V488,SubTitles,0)),Sync!$V488)))</f>
        <v/>
      </c>
      <c r="L491">
        <f>IF(OR($E491="",$E491="نامعتبر"),"",IF(Sync!$W488="",0,Sync!$W488))</f>
        <v/>
      </c>
      <c r="M491">
        <f>IF(OR($E491="",$E491="نامعتبر"),"",IF(Sync!$X488="",0,Sync!$X488))</f>
        <v/>
      </c>
      <c r="N491">
        <f>IF(OR($E491="",$E491="نامعتبر"),"",IF(AND($J491="هزینه",$K491&lt;&gt;""),1,0))</f>
        <v/>
      </c>
      <c r="O491">
        <f>IF($N491=0,"",LEFT($E491,4)&amp;MID($E491,6,2)&amp;RIGHT($E491,2)&amp;$F491&amp;"|"&amp;"1"&amp;RIGHT("00000"&amp;483,5))</f>
        <v/>
      </c>
      <c r="P491">
        <f>IF($O491="","",COUNTIFS(ExpSub,$K491,ExpKey,"&lt;"&amp;$O491)+1)</f>
        <v/>
      </c>
      <c r="Q491">
        <f>IF($P491="","",$K491&amp;"|"&amp;RIGHT("000000"&amp;$P491,6))</f>
        <v/>
      </c>
    </row>
    <row r="492">
      <c r="A492">
        <f>IF(Sync!$P489="","",Sync!$P489)</f>
        <v/>
      </c>
      <c r="B492">
        <f>IF($A492="","",IF(ISNUMBER($A492),IF(AND($A492&gt;=10000101,$A492&lt;=99991231),INT($A492/10000),""),IFERROR(VALUE(TRIM(LEFT($A492,FIND("/",$A492)-1))),"")))</f>
        <v/>
      </c>
      <c r="C492">
        <f>IF(OR($A492="",$B492=""),"",IF(ISNUMBER($A492),INT(MOD($A492,10000)/100),IFERROR(VALUE(TRIM(LEFT(MID($A492,FIND("/",$A492)+1,20),FIND("/",MID($A492,FIND("/",$A492)+1,20))-1))),"")))</f>
        <v/>
      </c>
      <c r="D492">
        <f>IF(OR($A492="",$B492=""),"",IF(ISNUMBER($A492),MOD($A492,100),IFERROR(VALUE(TRIM(MID(MID($A492,FIND("/",$A492)+1,20),FIND("/",MID($A492,FIND("/",$A492)+1,20))+1,20))),"")))</f>
        <v/>
      </c>
      <c r="E492">
        <f>IF($A492="","",IF(OR($B492="",$C492="",$D492="",$B492&lt;1300,$B492&gt;1500,$C492&lt;1,$C492&gt;12,$D492&lt;1,$D492&gt;31),"نامعتبر",RIGHT("0000"&amp;$B492,4)&amp;"/"&amp;RIGHT("00"&amp;$C492,2)&amp;"/"&amp;RIGHT("00"&amp;$D492,2)))</f>
        <v/>
      </c>
      <c r="F492">
        <f>IF(OR($E492="",$E492="نامعتبر"),"",IF(Sync!$Q489="","0000",IF(AND(ISNUMBER(Sync!$Q489),Sync!$Q489&gt;=0,Sync!$Q489&lt;1),RIGHT("00"&amp;HOUR(Sync!$Q489),2)&amp;RIGHT("00"&amp;MINUTE(Sync!$Q489),2),IFERROR(RIGHT("00"&amp;VALUE(LEFT(Sync!$Q489,FIND(":",Sync!$Q489)-1)),2)&amp;RIGHT("00"&amp;VALUE(MID(Sync!$Q489,FIND(":",Sync!$Q489)+1,2)),2),"0000"))))</f>
        <v/>
      </c>
      <c r="G492">
        <f>IF(OR($E492="",$E492="نامعتبر"),"",IF(Sync!$S489="","",Sync!$S489))</f>
        <v/>
      </c>
      <c r="H492">
        <f>IF(OR($E492="",$E492="نامعتبر"),"",IF(Sync!$R489="","",Sync!$R489))</f>
        <v/>
      </c>
      <c r="I492">
        <f>IF(OR($E492="",$E492="نامعتبر"),"",IF(Sync!$T489="","",Sync!$T489))</f>
        <v/>
      </c>
      <c r="J492">
        <f>IF(OR($E492="",$E492="نامعتبر"),"",IF(Sync!$U489="","",Sync!$U489))</f>
        <v/>
      </c>
      <c r="K492">
        <f>IF(OR($E492="",$E492="نامعتبر"),"",IF(Sync!$V489="","",IFERROR(INDEX(SubCodes,MATCH(Sync!$V489,SubTitles,0)),Sync!$V489)))</f>
        <v/>
      </c>
      <c r="L492">
        <f>IF(OR($E492="",$E492="نامعتبر"),"",IF(Sync!$W489="",0,Sync!$W489))</f>
        <v/>
      </c>
      <c r="M492">
        <f>IF(OR($E492="",$E492="نامعتبر"),"",IF(Sync!$X489="",0,Sync!$X489))</f>
        <v/>
      </c>
      <c r="N492">
        <f>IF(OR($E492="",$E492="نامعتبر"),"",IF(AND($J492="هزینه",$K492&lt;&gt;""),1,0))</f>
        <v/>
      </c>
      <c r="O492">
        <f>IF($N492=0,"",LEFT($E492,4)&amp;MID($E492,6,2)&amp;RIGHT($E492,2)&amp;$F492&amp;"|"&amp;"1"&amp;RIGHT("00000"&amp;484,5))</f>
        <v/>
      </c>
      <c r="P492">
        <f>IF($O492="","",COUNTIFS(ExpSub,$K492,ExpKey,"&lt;"&amp;$O492)+1)</f>
        <v/>
      </c>
      <c r="Q492">
        <f>IF($P492="","",$K492&amp;"|"&amp;RIGHT("000000"&amp;$P492,6))</f>
        <v/>
      </c>
    </row>
    <row r="493">
      <c r="A493">
        <f>IF(Sync!$P490="","",Sync!$P490)</f>
        <v/>
      </c>
      <c r="B493">
        <f>IF($A493="","",IF(ISNUMBER($A493),IF(AND($A493&gt;=10000101,$A493&lt;=99991231),INT($A493/10000),""),IFERROR(VALUE(TRIM(LEFT($A493,FIND("/",$A493)-1))),"")))</f>
        <v/>
      </c>
      <c r="C493">
        <f>IF(OR($A493="",$B493=""),"",IF(ISNUMBER($A493),INT(MOD($A493,10000)/100),IFERROR(VALUE(TRIM(LEFT(MID($A493,FIND("/",$A493)+1,20),FIND("/",MID($A493,FIND("/",$A493)+1,20))-1))),"")))</f>
        <v/>
      </c>
      <c r="D493">
        <f>IF(OR($A493="",$B493=""),"",IF(ISNUMBER($A493),MOD($A493,100),IFERROR(VALUE(TRIM(MID(MID($A493,FIND("/",$A493)+1,20),FIND("/",MID($A493,FIND("/",$A493)+1,20))+1,20))),"")))</f>
        <v/>
      </c>
      <c r="E493">
        <f>IF($A493="","",IF(OR($B493="",$C493="",$D493="",$B493&lt;1300,$B493&gt;1500,$C493&lt;1,$C493&gt;12,$D493&lt;1,$D493&gt;31),"نامعتبر",RIGHT("0000"&amp;$B493,4)&amp;"/"&amp;RIGHT("00"&amp;$C493,2)&amp;"/"&amp;RIGHT("00"&amp;$D493,2)))</f>
        <v/>
      </c>
      <c r="F493">
        <f>IF(OR($E493="",$E493="نامعتبر"),"",IF(Sync!$Q490="","0000",IF(AND(ISNUMBER(Sync!$Q490),Sync!$Q490&gt;=0,Sync!$Q490&lt;1),RIGHT("00"&amp;HOUR(Sync!$Q490),2)&amp;RIGHT("00"&amp;MINUTE(Sync!$Q490),2),IFERROR(RIGHT("00"&amp;VALUE(LEFT(Sync!$Q490,FIND(":",Sync!$Q490)-1)),2)&amp;RIGHT("00"&amp;VALUE(MID(Sync!$Q490,FIND(":",Sync!$Q490)+1,2)),2),"0000"))))</f>
        <v/>
      </c>
      <c r="G493">
        <f>IF(OR($E493="",$E493="نامعتبر"),"",IF(Sync!$S490="","",Sync!$S490))</f>
        <v/>
      </c>
      <c r="H493">
        <f>IF(OR($E493="",$E493="نامعتبر"),"",IF(Sync!$R490="","",Sync!$R490))</f>
        <v/>
      </c>
      <c r="I493">
        <f>IF(OR($E493="",$E493="نامعتبر"),"",IF(Sync!$T490="","",Sync!$T490))</f>
        <v/>
      </c>
      <c r="J493">
        <f>IF(OR($E493="",$E493="نامعتبر"),"",IF(Sync!$U490="","",Sync!$U490))</f>
        <v/>
      </c>
      <c r="K493">
        <f>IF(OR($E493="",$E493="نامعتبر"),"",IF(Sync!$V490="","",IFERROR(INDEX(SubCodes,MATCH(Sync!$V490,SubTitles,0)),Sync!$V490)))</f>
        <v/>
      </c>
      <c r="L493">
        <f>IF(OR($E493="",$E493="نامعتبر"),"",IF(Sync!$W490="",0,Sync!$W490))</f>
        <v/>
      </c>
      <c r="M493">
        <f>IF(OR($E493="",$E493="نامعتبر"),"",IF(Sync!$X490="",0,Sync!$X490))</f>
        <v/>
      </c>
      <c r="N493">
        <f>IF(OR($E493="",$E493="نامعتبر"),"",IF(AND($J493="هزینه",$K493&lt;&gt;""),1,0))</f>
        <v/>
      </c>
      <c r="O493">
        <f>IF($N493=0,"",LEFT($E493,4)&amp;MID($E493,6,2)&amp;RIGHT($E493,2)&amp;$F493&amp;"|"&amp;"1"&amp;RIGHT("00000"&amp;485,5))</f>
        <v/>
      </c>
      <c r="P493">
        <f>IF($O493="","",COUNTIFS(ExpSub,$K493,ExpKey,"&lt;"&amp;$O493)+1)</f>
        <v/>
      </c>
      <c r="Q493">
        <f>IF($P493="","",$K493&amp;"|"&amp;RIGHT("000000"&amp;$P493,6))</f>
        <v/>
      </c>
    </row>
    <row r="494">
      <c r="A494">
        <f>IF(Sync!$P491="","",Sync!$P491)</f>
        <v/>
      </c>
      <c r="B494">
        <f>IF($A494="","",IF(ISNUMBER($A494),IF(AND($A494&gt;=10000101,$A494&lt;=99991231),INT($A494/10000),""),IFERROR(VALUE(TRIM(LEFT($A494,FIND("/",$A494)-1))),"")))</f>
        <v/>
      </c>
      <c r="C494">
        <f>IF(OR($A494="",$B494=""),"",IF(ISNUMBER($A494),INT(MOD($A494,10000)/100),IFERROR(VALUE(TRIM(LEFT(MID($A494,FIND("/",$A494)+1,20),FIND("/",MID($A494,FIND("/",$A494)+1,20))-1))),"")))</f>
        <v/>
      </c>
      <c r="D494">
        <f>IF(OR($A494="",$B494=""),"",IF(ISNUMBER($A494),MOD($A494,100),IFERROR(VALUE(TRIM(MID(MID($A494,FIND("/",$A494)+1,20),FIND("/",MID($A494,FIND("/",$A494)+1,20))+1,20))),"")))</f>
        <v/>
      </c>
      <c r="E494">
        <f>IF($A494="","",IF(OR($B494="",$C494="",$D494="",$B494&lt;1300,$B494&gt;1500,$C494&lt;1,$C494&gt;12,$D494&lt;1,$D494&gt;31),"نامعتبر",RIGHT("0000"&amp;$B494,4)&amp;"/"&amp;RIGHT("00"&amp;$C494,2)&amp;"/"&amp;RIGHT("00"&amp;$D494,2)))</f>
        <v/>
      </c>
      <c r="F494">
        <f>IF(OR($E494="",$E494="نامعتبر"),"",IF(Sync!$Q491="","0000",IF(AND(ISNUMBER(Sync!$Q491),Sync!$Q491&gt;=0,Sync!$Q491&lt;1),RIGHT("00"&amp;HOUR(Sync!$Q491),2)&amp;RIGHT("00"&amp;MINUTE(Sync!$Q491),2),IFERROR(RIGHT("00"&amp;VALUE(LEFT(Sync!$Q491,FIND(":",Sync!$Q491)-1)),2)&amp;RIGHT("00"&amp;VALUE(MID(Sync!$Q491,FIND(":",Sync!$Q491)+1,2)),2),"0000"))))</f>
        <v/>
      </c>
      <c r="G494">
        <f>IF(OR($E494="",$E494="نامعتبر"),"",IF(Sync!$S491="","",Sync!$S491))</f>
        <v/>
      </c>
      <c r="H494">
        <f>IF(OR($E494="",$E494="نامعتبر"),"",IF(Sync!$R491="","",Sync!$R491))</f>
        <v/>
      </c>
      <c r="I494">
        <f>IF(OR($E494="",$E494="نامعتبر"),"",IF(Sync!$T491="","",Sync!$T491))</f>
        <v/>
      </c>
      <c r="J494">
        <f>IF(OR($E494="",$E494="نامعتبر"),"",IF(Sync!$U491="","",Sync!$U491))</f>
        <v/>
      </c>
      <c r="K494">
        <f>IF(OR($E494="",$E494="نامعتبر"),"",IF(Sync!$V491="","",IFERROR(INDEX(SubCodes,MATCH(Sync!$V491,SubTitles,0)),Sync!$V491)))</f>
        <v/>
      </c>
      <c r="L494">
        <f>IF(OR($E494="",$E494="نامعتبر"),"",IF(Sync!$W491="",0,Sync!$W491))</f>
        <v/>
      </c>
      <c r="M494">
        <f>IF(OR($E494="",$E494="نامعتبر"),"",IF(Sync!$X491="",0,Sync!$X491))</f>
        <v/>
      </c>
      <c r="N494">
        <f>IF(OR($E494="",$E494="نامعتبر"),"",IF(AND($J494="هزینه",$K494&lt;&gt;""),1,0))</f>
        <v/>
      </c>
      <c r="O494">
        <f>IF($N494=0,"",LEFT($E494,4)&amp;MID($E494,6,2)&amp;RIGHT($E494,2)&amp;$F494&amp;"|"&amp;"1"&amp;RIGHT("00000"&amp;486,5))</f>
        <v/>
      </c>
      <c r="P494">
        <f>IF($O494="","",COUNTIFS(ExpSub,$K494,ExpKey,"&lt;"&amp;$O494)+1)</f>
        <v/>
      </c>
      <c r="Q494">
        <f>IF($P494="","",$K494&amp;"|"&amp;RIGHT("000000"&amp;$P494,6))</f>
        <v/>
      </c>
    </row>
    <row r="495">
      <c r="A495">
        <f>IF(Sync!$P492="","",Sync!$P492)</f>
        <v/>
      </c>
      <c r="B495">
        <f>IF($A495="","",IF(ISNUMBER($A495),IF(AND($A495&gt;=10000101,$A495&lt;=99991231),INT($A495/10000),""),IFERROR(VALUE(TRIM(LEFT($A495,FIND("/",$A495)-1))),"")))</f>
        <v/>
      </c>
      <c r="C495">
        <f>IF(OR($A495="",$B495=""),"",IF(ISNUMBER($A495),INT(MOD($A495,10000)/100),IFERROR(VALUE(TRIM(LEFT(MID($A495,FIND("/",$A495)+1,20),FIND("/",MID($A495,FIND("/",$A495)+1,20))-1))),"")))</f>
        <v/>
      </c>
      <c r="D495">
        <f>IF(OR($A495="",$B495=""),"",IF(ISNUMBER($A495),MOD($A495,100),IFERROR(VALUE(TRIM(MID(MID($A495,FIND("/",$A495)+1,20),FIND("/",MID($A495,FIND("/",$A495)+1,20))+1,20))),"")))</f>
        <v/>
      </c>
      <c r="E495">
        <f>IF($A495="","",IF(OR($B495="",$C495="",$D495="",$B495&lt;1300,$B495&gt;1500,$C495&lt;1,$C495&gt;12,$D495&lt;1,$D495&gt;31),"نامعتبر",RIGHT("0000"&amp;$B495,4)&amp;"/"&amp;RIGHT("00"&amp;$C495,2)&amp;"/"&amp;RIGHT("00"&amp;$D495,2)))</f>
        <v/>
      </c>
      <c r="F495">
        <f>IF(OR($E495="",$E495="نامعتبر"),"",IF(Sync!$Q492="","0000",IF(AND(ISNUMBER(Sync!$Q492),Sync!$Q492&gt;=0,Sync!$Q492&lt;1),RIGHT("00"&amp;HOUR(Sync!$Q492),2)&amp;RIGHT("00"&amp;MINUTE(Sync!$Q492),2),IFERROR(RIGHT("00"&amp;VALUE(LEFT(Sync!$Q492,FIND(":",Sync!$Q492)-1)),2)&amp;RIGHT("00"&amp;VALUE(MID(Sync!$Q492,FIND(":",Sync!$Q492)+1,2)),2),"0000"))))</f>
        <v/>
      </c>
      <c r="G495">
        <f>IF(OR($E495="",$E495="نامعتبر"),"",IF(Sync!$S492="","",Sync!$S492))</f>
        <v/>
      </c>
      <c r="H495">
        <f>IF(OR($E495="",$E495="نامعتبر"),"",IF(Sync!$R492="","",Sync!$R492))</f>
        <v/>
      </c>
      <c r="I495">
        <f>IF(OR($E495="",$E495="نامعتبر"),"",IF(Sync!$T492="","",Sync!$T492))</f>
        <v/>
      </c>
      <c r="J495">
        <f>IF(OR($E495="",$E495="نامعتبر"),"",IF(Sync!$U492="","",Sync!$U492))</f>
        <v/>
      </c>
      <c r="K495">
        <f>IF(OR($E495="",$E495="نامعتبر"),"",IF(Sync!$V492="","",IFERROR(INDEX(SubCodes,MATCH(Sync!$V492,SubTitles,0)),Sync!$V492)))</f>
        <v/>
      </c>
      <c r="L495">
        <f>IF(OR($E495="",$E495="نامعتبر"),"",IF(Sync!$W492="",0,Sync!$W492))</f>
        <v/>
      </c>
      <c r="M495">
        <f>IF(OR($E495="",$E495="نامعتبر"),"",IF(Sync!$X492="",0,Sync!$X492))</f>
        <v/>
      </c>
      <c r="N495">
        <f>IF(OR($E495="",$E495="نامعتبر"),"",IF(AND($J495="هزینه",$K495&lt;&gt;""),1,0))</f>
        <v/>
      </c>
      <c r="O495">
        <f>IF($N495=0,"",LEFT($E495,4)&amp;MID($E495,6,2)&amp;RIGHT($E495,2)&amp;$F495&amp;"|"&amp;"1"&amp;RIGHT("00000"&amp;487,5))</f>
        <v/>
      </c>
      <c r="P495">
        <f>IF($O495="","",COUNTIFS(ExpSub,$K495,ExpKey,"&lt;"&amp;$O495)+1)</f>
        <v/>
      </c>
      <c r="Q495">
        <f>IF($P495="","",$K495&amp;"|"&amp;RIGHT("000000"&amp;$P495,6))</f>
        <v/>
      </c>
    </row>
    <row r="496">
      <c r="A496">
        <f>IF(Sync!$P493="","",Sync!$P493)</f>
        <v/>
      </c>
      <c r="B496">
        <f>IF($A496="","",IF(ISNUMBER($A496),IF(AND($A496&gt;=10000101,$A496&lt;=99991231),INT($A496/10000),""),IFERROR(VALUE(TRIM(LEFT($A496,FIND("/",$A496)-1))),"")))</f>
        <v/>
      </c>
      <c r="C496">
        <f>IF(OR($A496="",$B496=""),"",IF(ISNUMBER($A496),INT(MOD($A496,10000)/100),IFERROR(VALUE(TRIM(LEFT(MID($A496,FIND("/",$A496)+1,20),FIND("/",MID($A496,FIND("/",$A496)+1,20))-1))),"")))</f>
        <v/>
      </c>
      <c r="D496">
        <f>IF(OR($A496="",$B496=""),"",IF(ISNUMBER($A496),MOD($A496,100),IFERROR(VALUE(TRIM(MID(MID($A496,FIND("/",$A496)+1,20),FIND("/",MID($A496,FIND("/",$A496)+1,20))+1,20))),"")))</f>
        <v/>
      </c>
      <c r="E496">
        <f>IF($A496="","",IF(OR($B496="",$C496="",$D496="",$B496&lt;1300,$B496&gt;1500,$C496&lt;1,$C496&gt;12,$D496&lt;1,$D496&gt;31),"نامعتبر",RIGHT("0000"&amp;$B496,4)&amp;"/"&amp;RIGHT("00"&amp;$C496,2)&amp;"/"&amp;RIGHT("00"&amp;$D496,2)))</f>
        <v/>
      </c>
      <c r="F496">
        <f>IF(OR($E496="",$E496="نامعتبر"),"",IF(Sync!$Q493="","0000",IF(AND(ISNUMBER(Sync!$Q493),Sync!$Q493&gt;=0,Sync!$Q493&lt;1),RIGHT("00"&amp;HOUR(Sync!$Q493),2)&amp;RIGHT("00"&amp;MINUTE(Sync!$Q493),2),IFERROR(RIGHT("00"&amp;VALUE(LEFT(Sync!$Q493,FIND(":",Sync!$Q493)-1)),2)&amp;RIGHT("00"&amp;VALUE(MID(Sync!$Q493,FIND(":",Sync!$Q493)+1,2)),2),"0000"))))</f>
        <v/>
      </c>
      <c r="G496">
        <f>IF(OR($E496="",$E496="نامعتبر"),"",IF(Sync!$S493="","",Sync!$S493))</f>
        <v/>
      </c>
      <c r="H496">
        <f>IF(OR($E496="",$E496="نامعتبر"),"",IF(Sync!$R493="","",Sync!$R493))</f>
        <v/>
      </c>
      <c r="I496">
        <f>IF(OR($E496="",$E496="نامعتبر"),"",IF(Sync!$T493="","",Sync!$T493))</f>
        <v/>
      </c>
      <c r="J496">
        <f>IF(OR($E496="",$E496="نامعتبر"),"",IF(Sync!$U493="","",Sync!$U493))</f>
        <v/>
      </c>
      <c r="K496">
        <f>IF(OR($E496="",$E496="نامعتبر"),"",IF(Sync!$V493="","",IFERROR(INDEX(SubCodes,MATCH(Sync!$V493,SubTitles,0)),Sync!$V493)))</f>
        <v/>
      </c>
      <c r="L496">
        <f>IF(OR($E496="",$E496="نامعتبر"),"",IF(Sync!$W493="",0,Sync!$W493))</f>
        <v/>
      </c>
      <c r="M496">
        <f>IF(OR($E496="",$E496="نامعتبر"),"",IF(Sync!$X493="",0,Sync!$X493))</f>
        <v/>
      </c>
      <c r="N496">
        <f>IF(OR($E496="",$E496="نامعتبر"),"",IF(AND($J496="هزینه",$K496&lt;&gt;""),1,0))</f>
        <v/>
      </c>
      <c r="O496">
        <f>IF($N496=0,"",LEFT($E496,4)&amp;MID($E496,6,2)&amp;RIGHT($E496,2)&amp;$F496&amp;"|"&amp;"1"&amp;RIGHT("00000"&amp;488,5))</f>
        <v/>
      </c>
      <c r="P496">
        <f>IF($O496="","",COUNTIFS(ExpSub,$K496,ExpKey,"&lt;"&amp;$O496)+1)</f>
        <v/>
      </c>
      <c r="Q496">
        <f>IF($P496="","",$K496&amp;"|"&amp;RIGHT("000000"&amp;$P496,6))</f>
        <v/>
      </c>
    </row>
    <row r="497">
      <c r="A497">
        <f>IF(Sync!$P494="","",Sync!$P494)</f>
        <v/>
      </c>
      <c r="B497">
        <f>IF($A497="","",IF(ISNUMBER($A497),IF(AND($A497&gt;=10000101,$A497&lt;=99991231),INT($A497/10000),""),IFERROR(VALUE(TRIM(LEFT($A497,FIND("/",$A497)-1))),"")))</f>
        <v/>
      </c>
      <c r="C497">
        <f>IF(OR($A497="",$B497=""),"",IF(ISNUMBER($A497),INT(MOD($A497,10000)/100),IFERROR(VALUE(TRIM(LEFT(MID($A497,FIND("/",$A497)+1,20),FIND("/",MID($A497,FIND("/",$A497)+1,20))-1))),"")))</f>
        <v/>
      </c>
      <c r="D497">
        <f>IF(OR($A497="",$B497=""),"",IF(ISNUMBER($A497),MOD($A497,100),IFERROR(VALUE(TRIM(MID(MID($A497,FIND("/",$A497)+1,20),FIND("/",MID($A497,FIND("/",$A497)+1,20))+1,20))),"")))</f>
        <v/>
      </c>
      <c r="E497">
        <f>IF($A497="","",IF(OR($B497="",$C497="",$D497="",$B497&lt;1300,$B497&gt;1500,$C497&lt;1,$C497&gt;12,$D497&lt;1,$D497&gt;31),"نامعتبر",RIGHT("0000"&amp;$B497,4)&amp;"/"&amp;RIGHT("00"&amp;$C497,2)&amp;"/"&amp;RIGHT("00"&amp;$D497,2)))</f>
        <v/>
      </c>
      <c r="F497">
        <f>IF(OR($E497="",$E497="نامعتبر"),"",IF(Sync!$Q494="","0000",IF(AND(ISNUMBER(Sync!$Q494),Sync!$Q494&gt;=0,Sync!$Q494&lt;1),RIGHT("00"&amp;HOUR(Sync!$Q494),2)&amp;RIGHT("00"&amp;MINUTE(Sync!$Q494),2),IFERROR(RIGHT("00"&amp;VALUE(LEFT(Sync!$Q494,FIND(":",Sync!$Q494)-1)),2)&amp;RIGHT("00"&amp;VALUE(MID(Sync!$Q494,FIND(":",Sync!$Q494)+1,2)),2),"0000"))))</f>
        <v/>
      </c>
      <c r="G497">
        <f>IF(OR($E497="",$E497="نامعتبر"),"",IF(Sync!$S494="","",Sync!$S494))</f>
        <v/>
      </c>
      <c r="H497">
        <f>IF(OR($E497="",$E497="نامعتبر"),"",IF(Sync!$R494="","",Sync!$R494))</f>
        <v/>
      </c>
      <c r="I497">
        <f>IF(OR($E497="",$E497="نامعتبر"),"",IF(Sync!$T494="","",Sync!$T494))</f>
        <v/>
      </c>
      <c r="J497">
        <f>IF(OR($E497="",$E497="نامعتبر"),"",IF(Sync!$U494="","",Sync!$U494))</f>
        <v/>
      </c>
      <c r="K497">
        <f>IF(OR($E497="",$E497="نامعتبر"),"",IF(Sync!$V494="","",IFERROR(INDEX(SubCodes,MATCH(Sync!$V494,SubTitles,0)),Sync!$V494)))</f>
        <v/>
      </c>
      <c r="L497">
        <f>IF(OR($E497="",$E497="نامعتبر"),"",IF(Sync!$W494="",0,Sync!$W494))</f>
        <v/>
      </c>
      <c r="M497">
        <f>IF(OR($E497="",$E497="نامعتبر"),"",IF(Sync!$X494="",0,Sync!$X494))</f>
        <v/>
      </c>
      <c r="N497">
        <f>IF(OR($E497="",$E497="نامعتبر"),"",IF(AND($J497="هزینه",$K497&lt;&gt;""),1,0))</f>
        <v/>
      </c>
      <c r="O497">
        <f>IF($N497=0,"",LEFT($E497,4)&amp;MID($E497,6,2)&amp;RIGHT($E497,2)&amp;$F497&amp;"|"&amp;"1"&amp;RIGHT("00000"&amp;489,5))</f>
        <v/>
      </c>
      <c r="P497">
        <f>IF($O497="","",COUNTIFS(ExpSub,$K497,ExpKey,"&lt;"&amp;$O497)+1)</f>
        <v/>
      </c>
      <c r="Q497">
        <f>IF($P497="","",$K497&amp;"|"&amp;RIGHT("000000"&amp;$P497,6))</f>
        <v/>
      </c>
    </row>
    <row r="498">
      <c r="A498">
        <f>IF(Sync!$P495="","",Sync!$P495)</f>
        <v/>
      </c>
      <c r="B498">
        <f>IF($A498="","",IF(ISNUMBER($A498),IF(AND($A498&gt;=10000101,$A498&lt;=99991231),INT($A498/10000),""),IFERROR(VALUE(TRIM(LEFT($A498,FIND("/",$A498)-1))),"")))</f>
        <v/>
      </c>
      <c r="C498">
        <f>IF(OR($A498="",$B498=""),"",IF(ISNUMBER($A498),INT(MOD($A498,10000)/100),IFERROR(VALUE(TRIM(LEFT(MID($A498,FIND("/",$A498)+1,20),FIND("/",MID($A498,FIND("/",$A498)+1,20))-1))),"")))</f>
        <v/>
      </c>
      <c r="D498">
        <f>IF(OR($A498="",$B498=""),"",IF(ISNUMBER($A498),MOD($A498,100),IFERROR(VALUE(TRIM(MID(MID($A498,FIND("/",$A498)+1,20),FIND("/",MID($A498,FIND("/",$A498)+1,20))+1,20))),"")))</f>
        <v/>
      </c>
      <c r="E498">
        <f>IF($A498="","",IF(OR($B498="",$C498="",$D498="",$B498&lt;1300,$B498&gt;1500,$C498&lt;1,$C498&gt;12,$D498&lt;1,$D498&gt;31),"نامعتبر",RIGHT("0000"&amp;$B498,4)&amp;"/"&amp;RIGHT("00"&amp;$C498,2)&amp;"/"&amp;RIGHT("00"&amp;$D498,2)))</f>
        <v/>
      </c>
      <c r="F498">
        <f>IF(OR($E498="",$E498="نامعتبر"),"",IF(Sync!$Q495="","0000",IF(AND(ISNUMBER(Sync!$Q495),Sync!$Q495&gt;=0,Sync!$Q495&lt;1),RIGHT("00"&amp;HOUR(Sync!$Q495),2)&amp;RIGHT("00"&amp;MINUTE(Sync!$Q495),2),IFERROR(RIGHT("00"&amp;VALUE(LEFT(Sync!$Q495,FIND(":",Sync!$Q495)-1)),2)&amp;RIGHT("00"&amp;VALUE(MID(Sync!$Q495,FIND(":",Sync!$Q495)+1,2)),2),"0000"))))</f>
        <v/>
      </c>
      <c r="G498">
        <f>IF(OR($E498="",$E498="نامعتبر"),"",IF(Sync!$S495="","",Sync!$S495))</f>
        <v/>
      </c>
      <c r="H498">
        <f>IF(OR($E498="",$E498="نامعتبر"),"",IF(Sync!$R495="","",Sync!$R495))</f>
        <v/>
      </c>
      <c r="I498">
        <f>IF(OR($E498="",$E498="نامعتبر"),"",IF(Sync!$T495="","",Sync!$T495))</f>
        <v/>
      </c>
      <c r="J498">
        <f>IF(OR($E498="",$E498="نامعتبر"),"",IF(Sync!$U495="","",Sync!$U495))</f>
        <v/>
      </c>
      <c r="K498">
        <f>IF(OR($E498="",$E498="نامعتبر"),"",IF(Sync!$V495="","",IFERROR(INDEX(SubCodes,MATCH(Sync!$V495,SubTitles,0)),Sync!$V495)))</f>
        <v/>
      </c>
      <c r="L498">
        <f>IF(OR($E498="",$E498="نامعتبر"),"",IF(Sync!$W495="",0,Sync!$W495))</f>
        <v/>
      </c>
      <c r="M498">
        <f>IF(OR($E498="",$E498="نامعتبر"),"",IF(Sync!$X495="",0,Sync!$X495))</f>
        <v/>
      </c>
      <c r="N498">
        <f>IF(OR($E498="",$E498="نامعتبر"),"",IF(AND($J498="هزینه",$K498&lt;&gt;""),1,0))</f>
        <v/>
      </c>
      <c r="O498">
        <f>IF($N498=0,"",LEFT($E498,4)&amp;MID($E498,6,2)&amp;RIGHT($E498,2)&amp;$F498&amp;"|"&amp;"1"&amp;RIGHT("00000"&amp;490,5))</f>
        <v/>
      </c>
      <c r="P498">
        <f>IF($O498="","",COUNTIFS(ExpSub,$K498,ExpKey,"&lt;"&amp;$O498)+1)</f>
        <v/>
      </c>
      <c r="Q498">
        <f>IF($P498="","",$K498&amp;"|"&amp;RIGHT("000000"&amp;$P498,6))</f>
        <v/>
      </c>
    </row>
    <row r="499">
      <c r="A499">
        <f>IF(Sync!$P496="","",Sync!$P496)</f>
        <v/>
      </c>
      <c r="B499">
        <f>IF($A499="","",IF(ISNUMBER($A499),IF(AND($A499&gt;=10000101,$A499&lt;=99991231),INT($A499/10000),""),IFERROR(VALUE(TRIM(LEFT($A499,FIND("/",$A499)-1))),"")))</f>
        <v/>
      </c>
      <c r="C499">
        <f>IF(OR($A499="",$B499=""),"",IF(ISNUMBER($A499),INT(MOD($A499,10000)/100),IFERROR(VALUE(TRIM(LEFT(MID($A499,FIND("/",$A499)+1,20),FIND("/",MID($A499,FIND("/",$A499)+1,20))-1))),"")))</f>
        <v/>
      </c>
      <c r="D499">
        <f>IF(OR($A499="",$B499=""),"",IF(ISNUMBER($A499),MOD($A499,100),IFERROR(VALUE(TRIM(MID(MID($A499,FIND("/",$A499)+1,20),FIND("/",MID($A499,FIND("/",$A499)+1,20))+1,20))),"")))</f>
        <v/>
      </c>
      <c r="E499">
        <f>IF($A499="","",IF(OR($B499="",$C499="",$D499="",$B499&lt;1300,$B499&gt;1500,$C499&lt;1,$C499&gt;12,$D499&lt;1,$D499&gt;31),"نامعتبر",RIGHT("0000"&amp;$B499,4)&amp;"/"&amp;RIGHT("00"&amp;$C499,2)&amp;"/"&amp;RIGHT("00"&amp;$D499,2)))</f>
        <v/>
      </c>
      <c r="F499">
        <f>IF(OR($E499="",$E499="نامعتبر"),"",IF(Sync!$Q496="","0000",IF(AND(ISNUMBER(Sync!$Q496),Sync!$Q496&gt;=0,Sync!$Q496&lt;1),RIGHT("00"&amp;HOUR(Sync!$Q496),2)&amp;RIGHT("00"&amp;MINUTE(Sync!$Q496),2),IFERROR(RIGHT("00"&amp;VALUE(LEFT(Sync!$Q496,FIND(":",Sync!$Q496)-1)),2)&amp;RIGHT("00"&amp;VALUE(MID(Sync!$Q496,FIND(":",Sync!$Q496)+1,2)),2),"0000"))))</f>
        <v/>
      </c>
      <c r="G499">
        <f>IF(OR($E499="",$E499="نامعتبر"),"",IF(Sync!$S496="","",Sync!$S496))</f>
        <v/>
      </c>
      <c r="H499">
        <f>IF(OR($E499="",$E499="نامعتبر"),"",IF(Sync!$R496="","",Sync!$R496))</f>
        <v/>
      </c>
      <c r="I499">
        <f>IF(OR($E499="",$E499="نامعتبر"),"",IF(Sync!$T496="","",Sync!$T496))</f>
        <v/>
      </c>
      <c r="J499">
        <f>IF(OR($E499="",$E499="نامعتبر"),"",IF(Sync!$U496="","",Sync!$U496))</f>
        <v/>
      </c>
      <c r="K499">
        <f>IF(OR($E499="",$E499="نامعتبر"),"",IF(Sync!$V496="","",IFERROR(INDEX(SubCodes,MATCH(Sync!$V496,SubTitles,0)),Sync!$V496)))</f>
        <v/>
      </c>
      <c r="L499">
        <f>IF(OR($E499="",$E499="نامعتبر"),"",IF(Sync!$W496="",0,Sync!$W496))</f>
        <v/>
      </c>
      <c r="M499">
        <f>IF(OR($E499="",$E499="نامعتبر"),"",IF(Sync!$X496="",0,Sync!$X496))</f>
        <v/>
      </c>
      <c r="N499">
        <f>IF(OR($E499="",$E499="نامعتبر"),"",IF(AND($J499="هزینه",$K499&lt;&gt;""),1,0))</f>
        <v/>
      </c>
      <c r="O499">
        <f>IF($N499=0,"",LEFT($E499,4)&amp;MID($E499,6,2)&amp;RIGHT($E499,2)&amp;$F499&amp;"|"&amp;"1"&amp;RIGHT("00000"&amp;491,5))</f>
        <v/>
      </c>
      <c r="P499">
        <f>IF($O499="","",COUNTIFS(ExpSub,$K499,ExpKey,"&lt;"&amp;$O499)+1)</f>
        <v/>
      </c>
      <c r="Q499">
        <f>IF($P499="","",$K499&amp;"|"&amp;RIGHT("000000"&amp;$P499,6))</f>
        <v/>
      </c>
    </row>
    <row r="500">
      <c r="A500">
        <f>IF(Sync!$P497="","",Sync!$P497)</f>
        <v/>
      </c>
      <c r="B500">
        <f>IF($A500="","",IF(ISNUMBER($A500),IF(AND($A500&gt;=10000101,$A500&lt;=99991231),INT($A500/10000),""),IFERROR(VALUE(TRIM(LEFT($A500,FIND("/",$A500)-1))),"")))</f>
        <v/>
      </c>
      <c r="C500">
        <f>IF(OR($A500="",$B500=""),"",IF(ISNUMBER($A500),INT(MOD($A500,10000)/100),IFERROR(VALUE(TRIM(LEFT(MID($A500,FIND("/",$A500)+1,20),FIND("/",MID($A500,FIND("/",$A500)+1,20))-1))),"")))</f>
        <v/>
      </c>
      <c r="D500">
        <f>IF(OR($A500="",$B500=""),"",IF(ISNUMBER($A500),MOD($A500,100),IFERROR(VALUE(TRIM(MID(MID($A500,FIND("/",$A500)+1,20),FIND("/",MID($A500,FIND("/",$A500)+1,20))+1,20))),"")))</f>
        <v/>
      </c>
      <c r="E500">
        <f>IF($A500="","",IF(OR($B500="",$C500="",$D500="",$B500&lt;1300,$B500&gt;1500,$C500&lt;1,$C500&gt;12,$D500&lt;1,$D500&gt;31),"نامعتبر",RIGHT("0000"&amp;$B500,4)&amp;"/"&amp;RIGHT("00"&amp;$C500,2)&amp;"/"&amp;RIGHT("00"&amp;$D500,2)))</f>
        <v/>
      </c>
      <c r="F500">
        <f>IF(OR($E500="",$E500="نامعتبر"),"",IF(Sync!$Q497="","0000",IF(AND(ISNUMBER(Sync!$Q497),Sync!$Q497&gt;=0,Sync!$Q497&lt;1),RIGHT("00"&amp;HOUR(Sync!$Q497),2)&amp;RIGHT("00"&amp;MINUTE(Sync!$Q497),2),IFERROR(RIGHT("00"&amp;VALUE(LEFT(Sync!$Q497,FIND(":",Sync!$Q497)-1)),2)&amp;RIGHT("00"&amp;VALUE(MID(Sync!$Q497,FIND(":",Sync!$Q497)+1,2)),2),"0000"))))</f>
        <v/>
      </c>
      <c r="G500">
        <f>IF(OR($E500="",$E500="نامعتبر"),"",IF(Sync!$S497="","",Sync!$S497))</f>
        <v/>
      </c>
      <c r="H500">
        <f>IF(OR($E500="",$E500="نامعتبر"),"",IF(Sync!$R497="","",Sync!$R497))</f>
        <v/>
      </c>
      <c r="I500">
        <f>IF(OR($E500="",$E500="نامعتبر"),"",IF(Sync!$T497="","",Sync!$T497))</f>
        <v/>
      </c>
      <c r="J500">
        <f>IF(OR($E500="",$E500="نامعتبر"),"",IF(Sync!$U497="","",Sync!$U497))</f>
        <v/>
      </c>
      <c r="K500">
        <f>IF(OR($E500="",$E500="نامعتبر"),"",IF(Sync!$V497="","",IFERROR(INDEX(SubCodes,MATCH(Sync!$V497,SubTitles,0)),Sync!$V497)))</f>
        <v/>
      </c>
      <c r="L500">
        <f>IF(OR($E500="",$E500="نامعتبر"),"",IF(Sync!$W497="",0,Sync!$W497))</f>
        <v/>
      </c>
      <c r="M500">
        <f>IF(OR($E500="",$E500="نامعتبر"),"",IF(Sync!$X497="",0,Sync!$X497))</f>
        <v/>
      </c>
      <c r="N500">
        <f>IF(OR($E500="",$E500="نامعتبر"),"",IF(AND($J500="هزینه",$K500&lt;&gt;""),1,0))</f>
        <v/>
      </c>
      <c r="O500">
        <f>IF($N500=0,"",LEFT($E500,4)&amp;MID($E500,6,2)&amp;RIGHT($E500,2)&amp;$F500&amp;"|"&amp;"1"&amp;RIGHT("00000"&amp;492,5))</f>
        <v/>
      </c>
      <c r="P500">
        <f>IF($O500="","",COUNTIFS(ExpSub,$K500,ExpKey,"&lt;"&amp;$O500)+1)</f>
        <v/>
      </c>
      <c r="Q500">
        <f>IF($P500="","",$K500&amp;"|"&amp;RIGHT("000000"&amp;$P500,6))</f>
        <v/>
      </c>
    </row>
    <row r="501">
      <c r="A501">
        <f>IF(Sync!$P498="","",Sync!$P498)</f>
        <v/>
      </c>
      <c r="B501">
        <f>IF($A501="","",IF(ISNUMBER($A501),IF(AND($A501&gt;=10000101,$A501&lt;=99991231),INT($A501/10000),""),IFERROR(VALUE(TRIM(LEFT($A501,FIND("/",$A501)-1))),"")))</f>
        <v/>
      </c>
      <c r="C501">
        <f>IF(OR($A501="",$B501=""),"",IF(ISNUMBER($A501),INT(MOD($A501,10000)/100),IFERROR(VALUE(TRIM(LEFT(MID($A501,FIND("/",$A501)+1,20),FIND("/",MID($A501,FIND("/",$A501)+1,20))-1))),"")))</f>
        <v/>
      </c>
      <c r="D501">
        <f>IF(OR($A501="",$B501=""),"",IF(ISNUMBER($A501),MOD($A501,100),IFERROR(VALUE(TRIM(MID(MID($A501,FIND("/",$A501)+1,20),FIND("/",MID($A501,FIND("/",$A501)+1,20))+1,20))),"")))</f>
        <v/>
      </c>
      <c r="E501">
        <f>IF($A501="","",IF(OR($B501="",$C501="",$D501="",$B501&lt;1300,$B501&gt;1500,$C501&lt;1,$C501&gt;12,$D501&lt;1,$D501&gt;31),"نامعتبر",RIGHT("0000"&amp;$B501,4)&amp;"/"&amp;RIGHT("00"&amp;$C501,2)&amp;"/"&amp;RIGHT("00"&amp;$D501,2)))</f>
        <v/>
      </c>
      <c r="F501">
        <f>IF(OR($E501="",$E501="نامعتبر"),"",IF(Sync!$Q498="","0000",IF(AND(ISNUMBER(Sync!$Q498),Sync!$Q498&gt;=0,Sync!$Q498&lt;1),RIGHT("00"&amp;HOUR(Sync!$Q498),2)&amp;RIGHT("00"&amp;MINUTE(Sync!$Q498),2),IFERROR(RIGHT("00"&amp;VALUE(LEFT(Sync!$Q498,FIND(":",Sync!$Q498)-1)),2)&amp;RIGHT("00"&amp;VALUE(MID(Sync!$Q498,FIND(":",Sync!$Q498)+1,2)),2),"0000"))))</f>
        <v/>
      </c>
      <c r="G501">
        <f>IF(OR($E501="",$E501="نامعتبر"),"",IF(Sync!$S498="","",Sync!$S498))</f>
        <v/>
      </c>
      <c r="H501">
        <f>IF(OR($E501="",$E501="نامعتبر"),"",IF(Sync!$R498="","",Sync!$R498))</f>
        <v/>
      </c>
      <c r="I501">
        <f>IF(OR($E501="",$E501="نامعتبر"),"",IF(Sync!$T498="","",Sync!$T498))</f>
        <v/>
      </c>
      <c r="J501">
        <f>IF(OR($E501="",$E501="نامعتبر"),"",IF(Sync!$U498="","",Sync!$U498))</f>
        <v/>
      </c>
      <c r="K501">
        <f>IF(OR($E501="",$E501="نامعتبر"),"",IF(Sync!$V498="","",IFERROR(INDEX(SubCodes,MATCH(Sync!$V498,SubTitles,0)),Sync!$V498)))</f>
        <v/>
      </c>
      <c r="L501">
        <f>IF(OR($E501="",$E501="نامعتبر"),"",IF(Sync!$W498="",0,Sync!$W498))</f>
        <v/>
      </c>
      <c r="M501">
        <f>IF(OR($E501="",$E501="نامعتبر"),"",IF(Sync!$X498="",0,Sync!$X498))</f>
        <v/>
      </c>
      <c r="N501">
        <f>IF(OR($E501="",$E501="نامعتبر"),"",IF(AND($J501="هزینه",$K501&lt;&gt;""),1,0))</f>
        <v/>
      </c>
      <c r="O501">
        <f>IF($N501=0,"",LEFT($E501,4)&amp;MID($E501,6,2)&amp;RIGHT($E501,2)&amp;$F501&amp;"|"&amp;"1"&amp;RIGHT("00000"&amp;493,5))</f>
        <v/>
      </c>
      <c r="P501">
        <f>IF($O501="","",COUNTIFS(ExpSub,$K501,ExpKey,"&lt;"&amp;$O501)+1)</f>
        <v/>
      </c>
      <c r="Q501">
        <f>IF($P501="","",$K501&amp;"|"&amp;RIGHT("000000"&amp;$P501,6))</f>
        <v/>
      </c>
    </row>
    <row r="502">
      <c r="A502">
        <f>IF(Sync!$P499="","",Sync!$P499)</f>
        <v/>
      </c>
      <c r="B502">
        <f>IF($A502="","",IF(ISNUMBER($A502),IF(AND($A502&gt;=10000101,$A502&lt;=99991231),INT($A502/10000),""),IFERROR(VALUE(TRIM(LEFT($A502,FIND("/",$A502)-1))),"")))</f>
        <v/>
      </c>
      <c r="C502">
        <f>IF(OR($A502="",$B502=""),"",IF(ISNUMBER($A502),INT(MOD($A502,10000)/100),IFERROR(VALUE(TRIM(LEFT(MID($A502,FIND("/",$A502)+1,20),FIND("/",MID($A502,FIND("/",$A502)+1,20))-1))),"")))</f>
        <v/>
      </c>
      <c r="D502">
        <f>IF(OR($A502="",$B502=""),"",IF(ISNUMBER($A502),MOD($A502,100),IFERROR(VALUE(TRIM(MID(MID($A502,FIND("/",$A502)+1,20),FIND("/",MID($A502,FIND("/",$A502)+1,20))+1,20))),"")))</f>
        <v/>
      </c>
      <c r="E502">
        <f>IF($A502="","",IF(OR($B502="",$C502="",$D502="",$B502&lt;1300,$B502&gt;1500,$C502&lt;1,$C502&gt;12,$D502&lt;1,$D502&gt;31),"نامعتبر",RIGHT("0000"&amp;$B502,4)&amp;"/"&amp;RIGHT("00"&amp;$C502,2)&amp;"/"&amp;RIGHT("00"&amp;$D502,2)))</f>
        <v/>
      </c>
      <c r="F502">
        <f>IF(OR($E502="",$E502="نامعتبر"),"",IF(Sync!$Q499="","0000",IF(AND(ISNUMBER(Sync!$Q499),Sync!$Q499&gt;=0,Sync!$Q499&lt;1),RIGHT("00"&amp;HOUR(Sync!$Q499),2)&amp;RIGHT("00"&amp;MINUTE(Sync!$Q499),2),IFERROR(RIGHT("00"&amp;VALUE(LEFT(Sync!$Q499,FIND(":",Sync!$Q499)-1)),2)&amp;RIGHT("00"&amp;VALUE(MID(Sync!$Q499,FIND(":",Sync!$Q499)+1,2)),2),"0000"))))</f>
        <v/>
      </c>
      <c r="G502">
        <f>IF(OR($E502="",$E502="نامعتبر"),"",IF(Sync!$S499="","",Sync!$S499))</f>
        <v/>
      </c>
      <c r="H502">
        <f>IF(OR($E502="",$E502="نامعتبر"),"",IF(Sync!$R499="","",Sync!$R499))</f>
        <v/>
      </c>
      <c r="I502">
        <f>IF(OR($E502="",$E502="نامعتبر"),"",IF(Sync!$T499="","",Sync!$T499))</f>
        <v/>
      </c>
      <c r="J502">
        <f>IF(OR($E502="",$E502="نامعتبر"),"",IF(Sync!$U499="","",Sync!$U499))</f>
        <v/>
      </c>
      <c r="K502">
        <f>IF(OR($E502="",$E502="نامعتبر"),"",IF(Sync!$V499="","",IFERROR(INDEX(SubCodes,MATCH(Sync!$V499,SubTitles,0)),Sync!$V499)))</f>
        <v/>
      </c>
      <c r="L502">
        <f>IF(OR($E502="",$E502="نامعتبر"),"",IF(Sync!$W499="",0,Sync!$W499))</f>
        <v/>
      </c>
      <c r="M502">
        <f>IF(OR($E502="",$E502="نامعتبر"),"",IF(Sync!$X499="",0,Sync!$X499))</f>
        <v/>
      </c>
      <c r="N502">
        <f>IF(OR($E502="",$E502="نامعتبر"),"",IF(AND($J502="هزینه",$K502&lt;&gt;""),1,0))</f>
        <v/>
      </c>
      <c r="O502">
        <f>IF($N502=0,"",LEFT($E502,4)&amp;MID($E502,6,2)&amp;RIGHT($E502,2)&amp;$F502&amp;"|"&amp;"1"&amp;RIGHT("00000"&amp;494,5))</f>
        <v/>
      </c>
      <c r="P502">
        <f>IF($O502="","",COUNTIFS(ExpSub,$K502,ExpKey,"&lt;"&amp;$O502)+1)</f>
        <v/>
      </c>
      <c r="Q502">
        <f>IF($P502="","",$K502&amp;"|"&amp;RIGHT("000000"&amp;$P502,6))</f>
        <v/>
      </c>
    </row>
    <row r="503">
      <c r="A503">
        <f>IF(Sync!$P500="","",Sync!$P500)</f>
        <v/>
      </c>
      <c r="B503">
        <f>IF($A503="","",IF(ISNUMBER($A503),IF(AND($A503&gt;=10000101,$A503&lt;=99991231),INT($A503/10000),""),IFERROR(VALUE(TRIM(LEFT($A503,FIND("/",$A503)-1))),"")))</f>
        <v/>
      </c>
      <c r="C503">
        <f>IF(OR($A503="",$B503=""),"",IF(ISNUMBER($A503),INT(MOD($A503,10000)/100),IFERROR(VALUE(TRIM(LEFT(MID($A503,FIND("/",$A503)+1,20),FIND("/",MID($A503,FIND("/",$A503)+1,20))-1))),"")))</f>
        <v/>
      </c>
      <c r="D503">
        <f>IF(OR($A503="",$B503=""),"",IF(ISNUMBER($A503),MOD($A503,100),IFERROR(VALUE(TRIM(MID(MID($A503,FIND("/",$A503)+1,20),FIND("/",MID($A503,FIND("/",$A503)+1,20))+1,20))),"")))</f>
        <v/>
      </c>
      <c r="E503">
        <f>IF($A503="","",IF(OR($B503="",$C503="",$D503="",$B503&lt;1300,$B503&gt;1500,$C503&lt;1,$C503&gt;12,$D503&lt;1,$D503&gt;31),"نامعتبر",RIGHT("0000"&amp;$B503,4)&amp;"/"&amp;RIGHT("00"&amp;$C503,2)&amp;"/"&amp;RIGHT("00"&amp;$D503,2)))</f>
        <v/>
      </c>
      <c r="F503">
        <f>IF(OR($E503="",$E503="نامعتبر"),"",IF(Sync!$Q500="","0000",IF(AND(ISNUMBER(Sync!$Q500),Sync!$Q500&gt;=0,Sync!$Q500&lt;1),RIGHT("00"&amp;HOUR(Sync!$Q500),2)&amp;RIGHT("00"&amp;MINUTE(Sync!$Q500),2),IFERROR(RIGHT("00"&amp;VALUE(LEFT(Sync!$Q500,FIND(":",Sync!$Q500)-1)),2)&amp;RIGHT("00"&amp;VALUE(MID(Sync!$Q500,FIND(":",Sync!$Q500)+1,2)),2),"0000"))))</f>
        <v/>
      </c>
      <c r="G503">
        <f>IF(OR($E503="",$E503="نامعتبر"),"",IF(Sync!$S500="","",Sync!$S500))</f>
        <v/>
      </c>
      <c r="H503">
        <f>IF(OR($E503="",$E503="نامعتبر"),"",IF(Sync!$R500="","",Sync!$R500))</f>
        <v/>
      </c>
      <c r="I503">
        <f>IF(OR($E503="",$E503="نامعتبر"),"",IF(Sync!$T500="","",Sync!$T500))</f>
        <v/>
      </c>
      <c r="J503">
        <f>IF(OR($E503="",$E503="نامعتبر"),"",IF(Sync!$U500="","",Sync!$U500))</f>
        <v/>
      </c>
      <c r="K503">
        <f>IF(OR($E503="",$E503="نامعتبر"),"",IF(Sync!$V500="","",IFERROR(INDEX(SubCodes,MATCH(Sync!$V500,SubTitles,0)),Sync!$V500)))</f>
        <v/>
      </c>
      <c r="L503">
        <f>IF(OR($E503="",$E503="نامعتبر"),"",IF(Sync!$W500="",0,Sync!$W500))</f>
        <v/>
      </c>
      <c r="M503">
        <f>IF(OR($E503="",$E503="نامعتبر"),"",IF(Sync!$X500="",0,Sync!$X500))</f>
        <v/>
      </c>
      <c r="N503">
        <f>IF(OR($E503="",$E503="نامعتبر"),"",IF(AND($J503="هزینه",$K503&lt;&gt;""),1,0))</f>
        <v/>
      </c>
      <c r="O503">
        <f>IF($N503=0,"",LEFT($E503,4)&amp;MID($E503,6,2)&amp;RIGHT($E503,2)&amp;$F503&amp;"|"&amp;"1"&amp;RIGHT("00000"&amp;495,5))</f>
        <v/>
      </c>
      <c r="P503">
        <f>IF($O503="","",COUNTIFS(ExpSub,$K503,ExpKey,"&lt;"&amp;$O503)+1)</f>
        <v/>
      </c>
      <c r="Q503">
        <f>IF($P503="","",$K503&amp;"|"&amp;RIGHT("000000"&amp;$P503,6))</f>
        <v/>
      </c>
    </row>
    <row r="504">
      <c r="A504">
        <f>IF(Sync!$P501="","",Sync!$P501)</f>
        <v/>
      </c>
      <c r="B504">
        <f>IF($A504="","",IF(ISNUMBER($A504),IF(AND($A504&gt;=10000101,$A504&lt;=99991231),INT($A504/10000),""),IFERROR(VALUE(TRIM(LEFT($A504,FIND("/",$A504)-1))),"")))</f>
        <v/>
      </c>
      <c r="C504">
        <f>IF(OR($A504="",$B504=""),"",IF(ISNUMBER($A504),INT(MOD($A504,10000)/100),IFERROR(VALUE(TRIM(LEFT(MID($A504,FIND("/",$A504)+1,20),FIND("/",MID($A504,FIND("/",$A504)+1,20))-1))),"")))</f>
        <v/>
      </c>
      <c r="D504">
        <f>IF(OR($A504="",$B504=""),"",IF(ISNUMBER($A504),MOD($A504,100),IFERROR(VALUE(TRIM(MID(MID($A504,FIND("/",$A504)+1,20),FIND("/",MID($A504,FIND("/",$A504)+1,20))+1,20))),"")))</f>
        <v/>
      </c>
      <c r="E504">
        <f>IF($A504="","",IF(OR($B504="",$C504="",$D504="",$B504&lt;1300,$B504&gt;1500,$C504&lt;1,$C504&gt;12,$D504&lt;1,$D504&gt;31),"نامعتبر",RIGHT("0000"&amp;$B504,4)&amp;"/"&amp;RIGHT("00"&amp;$C504,2)&amp;"/"&amp;RIGHT("00"&amp;$D504,2)))</f>
        <v/>
      </c>
      <c r="F504">
        <f>IF(OR($E504="",$E504="نامعتبر"),"",IF(Sync!$Q501="","0000",IF(AND(ISNUMBER(Sync!$Q501),Sync!$Q501&gt;=0,Sync!$Q501&lt;1),RIGHT("00"&amp;HOUR(Sync!$Q501),2)&amp;RIGHT("00"&amp;MINUTE(Sync!$Q501),2),IFERROR(RIGHT("00"&amp;VALUE(LEFT(Sync!$Q501,FIND(":",Sync!$Q501)-1)),2)&amp;RIGHT("00"&amp;VALUE(MID(Sync!$Q501,FIND(":",Sync!$Q501)+1,2)),2),"0000"))))</f>
        <v/>
      </c>
      <c r="G504">
        <f>IF(OR($E504="",$E504="نامعتبر"),"",IF(Sync!$S501="","",Sync!$S501))</f>
        <v/>
      </c>
      <c r="H504">
        <f>IF(OR($E504="",$E504="نامعتبر"),"",IF(Sync!$R501="","",Sync!$R501))</f>
        <v/>
      </c>
      <c r="I504">
        <f>IF(OR($E504="",$E504="نامعتبر"),"",IF(Sync!$T501="","",Sync!$T501))</f>
        <v/>
      </c>
      <c r="J504">
        <f>IF(OR($E504="",$E504="نامعتبر"),"",IF(Sync!$U501="","",Sync!$U501))</f>
        <v/>
      </c>
      <c r="K504">
        <f>IF(OR($E504="",$E504="نامعتبر"),"",IF(Sync!$V501="","",IFERROR(INDEX(SubCodes,MATCH(Sync!$V501,SubTitles,0)),Sync!$V501)))</f>
        <v/>
      </c>
      <c r="L504">
        <f>IF(OR($E504="",$E504="نامعتبر"),"",IF(Sync!$W501="",0,Sync!$W501))</f>
        <v/>
      </c>
      <c r="M504">
        <f>IF(OR($E504="",$E504="نامعتبر"),"",IF(Sync!$X501="",0,Sync!$X501))</f>
        <v/>
      </c>
      <c r="N504">
        <f>IF(OR($E504="",$E504="نامعتبر"),"",IF(AND($J504="هزینه",$K504&lt;&gt;""),1,0))</f>
        <v/>
      </c>
      <c r="O504">
        <f>IF($N504=0,"",LEFT($E504,4)&amp;MID($E504,6,2)&amp;RIGHT($E504,2)&amp;$F504&amp;"|"&amp;"1"&amp;RIGHT("00000"&amp;496,5))</f>
        <v/>
      </c>
      <c r="P504">
        <f>IF($O504="","",COUNTIFS(ExpSub,$K504,ExpKey,"&lt;"&amp;$O504)+1)</f>
        <v/>
      </c>
      <c r="Q504">
        <f>IF($P504="","",$K504&amp;"|"&amp;RIGHT("000000"&amp;$P504,6))</f>
        <v/>
      </c>
    </row>
    <row r="505">
      <c r="A505">
        <f>IF(Sync!$P502="","",Sync!$P502)</f>
        <v/>
      </c>
      <c r="B505">
        <f>IF($A505="","",IF(ISNUMBER($A505),IF(AND($A505&gt;=10000101,$A505&lt;=99991231),INT($A505/10000),""),IFERROR(VALUE(TRIM(LEFT($A505,FIND("/",$A505)-1))),"")))</f>
        <v/>
      </c>
      <c r="C505">
        <f>IF(OR($A505="",$B505=""),"",IF(ISNUMBER($A505),INT(MOD($A505,10000)/100),IFERROR(VALUE(TRIM(LEFT(MID($A505,FIND("/",$A505)+1,20),FIND("/",MID($A505,FIND("/",$A505)+1,20))-1))),"")))</f>
        <v/>
      </c>
      <c r="D505">
        <f>IF(OR($A505="",$B505=""),"",IF(ISNUMBER($A505),MOD($A505,100),IFERROR(VALUE(TRIM(MID(MID($A505,FIND("/",$A505)+1,20),FIND("/",MID($A505,FIND("/",$A505)+1,20))+1,20))),"")))</f>
        <v/>
      </c>
      <c r="E505">
        <f>IF($A505="","",IF(OR($B505="",$C505="",$D505="",$B505&lt;1300,$B505&gt;1500,$C505&lt;1,$C505&gt;12,$D505&lt;1,$D505&gt;31),"نامعتبر",RIGHT("0000"&amp;$B505,4)&amp;"/"&amp;RIGHT("00"&amp;$C505,2)&amp;"/"&amp;RIGHT("00"&amp;$D505,2)))</f>
        <v/>
      </c>
      <c r="F505">
        <f>IF(OR($E505="",$E505="نامعتبر"),"",IF(Sync!$Q502="","0000",IF(AND(ISNUMBER(Sync!$Q502),Sync!$Q502&gt;=0,Sync!$Q502&lt;1),RIGHT("00"&amp;HOUR(Sync!$Q502),2)&amp;RIGHT("00"&amp;MINUTE(Sync!$Q502),2),IFERROR(RIGHT("00"&amp;VALUE(LEFT(Sync!$Q502,FIND(":",Sync!$Q502)-1)),2)&amp;RIGHT("00"&amp;VALUE(MID(Sync!$Q502,FIND(":",Sync!$Q502)+1,2)),2),"0000"))))</f>
        <v/>
      </c>
      <c r="G505">
        <f>IF(OR($E505="",$E505="نامعتبر"),"",IF(Sync!$S502="","",Sync!$S502))</f>
        <v/>
      </c>
      <c r="H505">
        <f>IF(OR($E505="",$E505="نامعتبر"),"",IF(Sync!$R502="","",Sync!$R502))</f>
        <v/>
      </c>
      <c r="I505">
        <f>IF(OR($E505="",$E505="نامعتبر"),"",IF(Sync!$T502="","",Sync!$T502))</f>
        <v/>
      </c>
      <c r="J505">
        <f>IF(OR($E505="",$E505="نامعتبر"),"",IF(Sync!$U502="","",Sync!$U502))</f>
        <v/>
      </c>
      <c r="K505">
        <f>IF(OR($E505="",$E505="نامعتبر"),"",IF(Sync!$V502="","",IFERROR(INDEX(SubCodes,MATCH(Sync!$V502,SubTitles,0)),Sync!$V502)))</f>
        <v/>
      </c>
      <c r="L505">
        <f>IF(OR($E505="",$E505="نامعتبر"),"",IF(Sync!$W502="",0,Sync!$W502))</f>
        <v/>
      </c>
      <c r="M505">
        <f>IF(OR($E505="",$E505="نامعتبر"),"",IF(Sync!$X502="",0,Sync!$X502))</f>
        <v/>
      </c>
      <c r="N505">
        <f>IF(OR($E505="",$E505="نامعتبر"),"",IF(AND($J505="هزینه",$K505&lt;&gt;""),1,0))</f>
        <v/>
      </c>
      <c r="O505">
        <f>IF($N505=0,"",LEFT($E505,4)&amp;MID($E505,6,2)&amp;RIGHT($E505,2)&amp;$F505&amp;"|"&amp;"1"&amp;RIGHT("00000"&amp;497,5))</f>
        <v/>
      </c>
      <c r="P505">
        <f>IF($O505="","",COUNTIFS(ExpSub,$K505,ExpKey,"&lt;"&amp;$O505)+1)</f>
        <v/>
      </c>
      <c r="Q505">
        <f>IF($P505="","",$K505&amp;"|"&amp;RIGHT("000000"&amp;$P505,6))</f>
        <v/>
      </c>
    </row>
    <row r="506">
      <c r="A506">
        <f>IF(Sync!$P503="","",Sync!$P503)</f>
        <v/>
      </c>
      <c r="B506">
        <f>IF($A506="","",IF(ISNUMBER($A506),IF(AND($A506&gt;=10000101,$A506&lt;=99991231),INT($A506/10000),""),IFERROR(VALUE(TRIM(LEFT($A506,FIND("/",$A506)-1))),"")))</f>
        <v/>
      </c>
      <c r="C506">
        <f>IF(OR($A506="",$B506=""),"",IF(ISNUMBER($A506),INT(MOD($A506,10000)/100),IFERROR(VALUE(TRIM(LEFT(MID($A506,FIND("/",$A506)+1,20),FIND("/",MID($A506,FIND("/",$A506)+1,20))-1))),"")))</f>
        <v/>
      </c>
      <c r="D506">
        <f>IF(OR($A506="",$B506=""),"",IF(ISNUMBER($A506),MOD($A506,100),IFERROR(VALUE(TRIM(MID(MID($A506,FIND("/",$A506)+1,20),FIND("/",MID($A506,FIND("/",$A506)+1,20))+1,20))),"")))</f>
        <v/>
      </c>
      <c r="E506">
        <f>IF($A506="","",IF(OR($B506="",$C506="",$D506="",$B506&lt;1300,$B506&gt;1500,$C506&lt;1,$C506&gt;12,$D506&lt;1,$D506&gt;31),"نامعتبر",RIGHT("0000"&amp;$B506,4)&amp;"/"&amp;RIGHT("00"&amp;$C506,2)&amp;"/"&amp;RIGHT("00"&amp;$D506,2)))</f>
        <v/>
      </c>
      <c r="F506">
        <f>IF(OR($E506="",$E506="نامعتبر"),"",IF(Sync!$Q503="","0000",IF(AND(ISNUMBER(Sync!$Q503),Sync!$Q503&gt;=0,Sync!$Q503&lt;1),RIGHT("00"&amp;HOUR(Sync!$Q503),2)&amp;RIGHT("00"&amp;MINUTE(Sync!$Q503),2),IFERROR(RIGHT("00"&amp;VALUE(LEFT(Sync!$Q503,FIND(":",Sync!$Q503)-1)),2)&amp;RIGHT("00"&amp;VALUE(MID(Sync!$Q503,FIND(":",Sync!$Q503)+1,2)),2),"0000"))))</f>
        <v/>
      </c>
      <c r="G506">
        <f>IF(OR($E506="",$E506="نامعتبر"),"",IF(Sync!$S503="","",Sync!$S503))</f>
        <v/>
      </c>
      <c r="H506">
        <f>IF(OR($E506="",$E506="نامعتبر"),"",IF(Sync!$R503="","",Sync!$R503))</f>
        <v/>
      </c>
      <c r="I506">
        <f>IF(OR($E506="",$E506="نامعتبر"),"",IF(Sync!$T503="","",Sync!$T503))</f>
        <v/>
      </c>
      <c r="J506">
        <f>IF(OR($E506="",$E506="نامعتبر"),"",IF(Sync!$U503="","",Sync!$U503))</f>
        <v/>
      </c>
      <c r="K506">
        <f>IF(OR($E506="",$E506="نامعتبر"),"",IF(Sync!$V503="","",IFERROR(INDEX(SubCodes,MATCH(Sync!$V503,SubTitles,0)),Sync!$V503)))</f>
        <v/>
      </c>
      <c r="L506">
        <f>IF(OR($E506="",$E506="نامعتبر"),"",IF(Sync!$W503="",0,Sync!$W503))</f>
        <v/>
      </c>
      <c r="M506">
        <f>IF(OR($E506="",$E506="نامعتبر"),"",IF(Sync!$X503="",0,Sync!$X503))</f>
        <v/>
      </c>
      <c r="N506">
        <f>IF(OR($E506="",$E506="نامعتبر"),"",IF(AND($J506="هزینه",$K506&lt;&gt;""),1,0))</f>
        <v/>
      </c>
      <c r="O506">
        <f>IF($N506=0,"",LEFT($E506,4)&amp;MID($E506,6,2)&amp;RIGHT($E506,2)&amp;$F506&amp;"|"&amp;"1"&amp;RIGHT("00000"&amp;498,5))</f>
        <v/>
      </c>
      <c r="P506">
        <f>IF($O506="","",COUNTIFS(ExpSub,$K506,ExpKey,"&lt;"&amp;$O506)+1)</f>
        <v/>
      </c>
      <c r="Q506">
        <f>IF($P506="","",$K506&amp;"|"&amp;RIGHT("000000"&amp;$P506,6))</f>
        <v/>
      </c>
    </row>
    <row r="507">
      <c r="A507">
        <f>IF(Sync!$P504="","",Sync!$P504)</f>
        <v/>
      </c>
      <c r="B507">
        <f>IF($A507="","",IF(ISNUMBER($A507),IF(AND($A507&gt;=10000101,$A507&lt;=99991231),INT($A507/10000),""),IFERROR(VALUE(TRIM(LEFT($A507,FIND("/",$A507)-1))),"")))</f>
        <v/>
      </c>
      <c r="C507">
        <f>IF(OR($A507="",$B507=""),"",IF(ISNUMBER($A507),INT(MOD($A507,10000)/100),IFERROR(VALUE(TRIM(LEFT(MID($A507,FIND("/",$A507)+1,20),FIND("/",MID($A507,FIND("/",$A507)+1,20))-1))),"")))</f>
        <v/>
      </c>
      <c r="D507">
        <f>IF(OR($A507="",$B507=""),"",IF(ISNUMBER($A507),MOD($A507,100),IFERROR(VALUE(TRIM(MID(MID($A507,FIND("/",$A507)+1,20),FIND("/",MID($A507,FIND("/",$A507)+1,20))+1,20))),"")))</f>
        <v/>
      </c>
      <c r="E507">
        <f>IF($A507="","",IF(OR($B507="",$C507="",$D507="",$B507&lt;1300,$B507&gt;1500,$C507&lt;1,$C507&gt;12,$D507&lt;1,$D507&gt;31),"نامعتبر",RIGHT("0000"&amp;$B507,4)&amp;"/"&amp;RIGHT("00"&amp;$C507,2)&amp;"/"&amp;RIGHT("00"&amp;$D507,2)))</f>
        <v/>
      </c>
      <c r="F507">
        <f>IF(OR($E507="",$E507="نامعتبر"),"",IF(Sync!$Q504="","0000",IF(AND(ISNUMBER(Sync!$Q504),Sync!$Q504&gt;=0,Sync!$Q504&lt;1),RIGHT("00"&amp;HOUR(Sync!$Q504),2)&amp;RIGHT("00"&amp;MINUTE(Sync!$Q504),2),IFERROR(RIGHT("00"&amp;VALUE(LEFT(Sync!$Q504,FIND(":",Sync!$Q504)-1)),2)&amp;RIGHT("00"&amp;VALUE(MID(Sync!$Q504,FIND(":",Sync!$Q504)+1,2)),2),"0000"))))</f>
        <v/>
      </c>
      <c r="G507">
        <f>IF(OR($E507="",$E507="نامعتبر"),"",IF(Sync!$S504="","",Sync!$S504))</f>
        <v/>
      </c>
      <c r="H507">
        <f>IF(OR($E507="",$E507="نامعتبر"),"",IF(Sync!$R504="","",Sync!$R504))</f>
        <v/>
      </c>
      <c r="I507">
        <f>IF(OR($E507="",$E507="نامعتبر"),"",IF(Sync!$T504="","",Sync!$T504))</f>
        <v/>
      </c>
      <c r="J507">
        <f>IF(OR($E507="",$E507="نامعتبر"),"",IF(Sync!$U504="","",Sync!$U504))</f>
        <v/>
      </c>
      <c r="K507">
        <f>IF(OR($E507="",$E507="نامعتبر"),"",IF(Sync!$V504="","",IFERROR(INDEX(SubCodes,MATCH(Sync!$V504,SubTitles,0)),Sync!$V504)))</f>
        <v/>
      </c>
      <c r="L507">
        <f>IF(OR($E507="",$E507="نامعتبر"),"",IF(Sync!$W504="",0,Sync!$W504))</f>
        <v/>
      </c>
      <c r="M507">
        <f>IF(OR($E507="",$E507="نامعتبر"),"",IF(Sync!$X504="",0,Sync!$X504))</f>
        <v/>
      </c>
      <c r="N507">
        <f>IF(OR($E507="",$E507="نامعتبر"),"",IF(AND($J507="هزینه",$K507&lt;&gt;""),1,0))</f>
        <v/>
      </c>
      <c r="O507">
        <f>IF($N507=0,"",LEFT($E507,4)&amp;MID($E507,6,2)&amp;RIGHT($E507,2)&amp;$F507&amp;"|"&amp;"1"&amp;RIGHT("00000"&amp;499,5))</f>
        <v/>
      </c>
      <c r="P507">
        <f>IF($O507="","",COUNTIFS(ExpSub,$K507,ExpKey,"&lt;"&amp;$O507)+1)</f>
        <v/>
      </c>
      <c r="Q507">
        <f>IF($P507="","",$K507&amp;"|"&amp;RIGHT("000000"&amp;$P507,6))</f>
        <v/>
      </c>
    </row>
    <row r="508">
      <c r="A508">
        <f>IF(Sync!$P505="","",Sync!$P505)</f>
        <v/>
      </c>
      <c r="B508">
        <f>IF($A508="","",IF(ISNUMBER($A508),IF(AND($A508&gt;=10000101,$A508&lt;=99991231),INT($A508/10000),""),IFERROR(VALUE(TRIM(LEFT($A508,FIND("/",$A508)-1))),"")))</f>
        <v/>
      </c>
      <c r="C508">
        <f>IF(OR($A508="",$B508=""),"",IF(ISNUMBER($A508),INT(MOD($A508,10000)/100),IFERROR(VALUE(TRIM(LEFT(MID($A508,FIND("/",$A508)+1,20),FIND("/",MID($A508,FIND("/",$A508)+1,20))-1))),"")))</f>
        <v/>
      </c>
      <c r="D508">
        <f>IF(OR($A508="",$B508=""),"",IF(ISNUMBER($A508),MOD($A508,100),IFERROR(VALUE(TRIM(MID(MID($A508,FIND("/",$A508)+1,20),FIND("/",MID($A508,FIND("/",$A508)+1,20))+1,20))),"")))</f>
        <v/>
      </c>
      <c r="E508">
        <f>IF($A508="","",IF(OR($B508="",$C508="",$D508="",$B508&lt;1300,$B508&gt;1500,$C508&lt;1,$C508&gt;12,$D508&lt;1,$D508&gt;31),"نامعتبر",RIGHT("0000"&amp;$B508,4)&amp;"/"&amp;RIGHT("00"&amp;$C508,2)&amp;"/"&amp;RIGHT("00"&amp;$D508,2)))</f>
        <v/>
      </c>
      <c r="F508">
        <f>IF(OR($E508="",$E508="نامعتبر"),"",IF(Sync!$Q505="","0000",IF(AND(ISNUMBER(Sync!$Q505),Sync!$Q505&gt;=0,Sync!$Q505&lt;1),RIGHT("00"&amp;HOUR(Sync!$Q505),2)&amp;RIGHT("00"&amp;MINUTE(Sync!$Q505),2),IFERROR(RIGHT("00"&amp;VALUE(LEFT(Sync!$Q505,FIND(":",Sync!$Q505)-1)),2)&amp;RIGHT("00"&amp;VALUE(MID(Sync!$Q505,FIND(":",Sync!$Q505)+1,2)),2),"0000"))))</f>
        <v/>
      </c>
      <c r="G508">
        <f>IF(OR($E508="",$E508="نامعتبر"),"",IF(Sync!$S505="","",Sync!$S505))</f>
        <v/>
      </c>
      <c r="H508">
        <f>IF(OR($E508="",$E508="نامعتبر"),"",IF(Sync!$R505="","",Sync!$R505))</f>
        <v/>
      </c>
      <c r="I508">
        <f>IF(OR($E508="",$E508="نامعتبر"),"",IF(Sync!$T505="","",Sync!$T505))</f>
        <v/>
      </c>
      <c r="J508">
        <f>IF(OR($E508="",$E508="نامعتبر"),"",IF(Sync!$U505="","",Sync!$U505))</f>
        <v/>
      </c>
      <c r="K508">
        <f>IF(OR($E508="",$E508="نامعتبر"),"",IF(Sync!$V505="","",IFERROR(INDEX(SubCodes,MATCH(Sync!$V505,SubTitles,0)),Sync!$V505)))</f>
        <v/>
      </c>
      <c r="L508">
        <f>IF(OR($E508="",$E508="نامعتبر"),"",IF(Sync!$W505="",0,Sync!$W505))</f>
        <v/>
      </c>
      <c r="M508">
        <f>IF(OR($E508="",$E508="نامعتبر"),"",IF(Sync!$X505="",0,Sync!$X505))</f>
        <v/>
      </c>
      <c r="N508">
        <f>IF(OR($E508="",$E508="نامعتبر"),"",IF(AND($J508="هزینه",$K508&lt;&gt;""),1,0))</f>
        <v/>
      </c>
      <c r="O508">
        <f>IF($N508=0,"",LEFT($E508,4)&amp;MID($E508,6,2)&amp;RIGHT($E508,2)&amp;$F508&amp;"|"&amp;"1"&amp;RIGHT("00000"&amp;500,5))</f>
        <v/>
      </c>
      <c r="P508">
        <f>IF($O508="","",COUNTIFS(ExpSub,$K508,ExpKey,"&lt;"&amp;$O508)+1)</f>
        <v/>
      </c>
      <c r="Q508">
        <f>IF($P508="","",$K508&amp;"|"&amp;RIGHT("000000"&amp;$P508,6))</f>
        <v/>
      </c>
    </row>
    <row r="509">
      <c r="A509">
        <f>IF(Sync!$P506="","",Sync!$P506)</f>
        <v/>
      </c>
      <c r="B509">
        <f>IF($A509="","",IF(ISNUMBER($A509),IF(AND($A509&gt;=10000101,$A509&lt;=99991231),INT($A509/10000),""),IFERROR(VALUE(TRIM(LEFT($A509,FIND("/",$A509)-1))),"")))</f>
        <v/>
      </c>
      <c r="C509">
        <f>IF(OR($A509="",$B509=""),"",IF(ISNUMBER($A509),INT(MOD($A509,10000)/100),IFERROR(VALUE(TRIM(LEFT(MID($A509,FIND("/",$A509)+1,20),FIND("/",MID($A509,FIND("/",$A509)+1,20))-1))),"")))</f>
        <v/>
      </c>
      <c r="D509">
        <f>IF(OR($A509="",$B509=""),"",IF(ISNUMBER($A509),MOD($A509,100),IFERROR(VALUE(TRIM(MID(MID($A509,FIND("/",$A509)+1,20),FIND("/",MID($A509,FIND("/",$A509)+1,20))+1,20))),"")))</f>
        <v/>
      </c>
      <c r="E509">
        <f>IF($A509="","",IF(OR($B509="",$C509="",$D509="",$B509&lt;1300,$B509&gt;1500,$C509&lt;1,$C509&gt;12,$D509&lt;1,$D509&gt;31),"نامعتبر",RIGHT("0000"&amp;$B509,4)&amp;"/"&amp;RIGHT("00"&amp;$C509,2)&amp;"/"&amp;RIGHT("00"&amp;$D509,2)))</f>
        <v/>
      </c>
      <c r="F509">
        <f>IF(OR($E509="",$E509="نامعتبر"),"",IF(Sync!$Q506="","0000",IF(AND(ISNUMBER(Sync!$Q506),Sync!$Q506&gt;=0,Sync!$Q506&lt;1),RIGHT("00"&amp;HOUR(Sync!$Q506),2)&amp;RIGHT("00"&amp;MINUTE(Sync!$Q506),2),IFERROR(RIGHT("00"&amp;VALUE(LEFT(Sync!$Q506,FIND(":",Sync!$Q506)-1)),2)&amp;RIGHT("00"&amp;VALUE(MID(Sync!$Q506,FIND(":",Sync!$Q506)+1,2)),2),"0000"))))</f>
        <v/>
      </c>
      <c r="G509">
        <f>IF(OR($E509="",$E509="نامعتبر"),"",IF(Sync!$S506="","",Sync!$S506))</f>
        <v/>
      </c>
      <c r="H509">
        <f>IF(OR($E509="",$E509="نامعتبر"),"",IF(Sync!$R506="","",Sync!$R506))</f>
        <v/>
      </c>
      <c r="I509">
        <f>IF(OR($E509="",$E509="نامعتبر"),"",IF(Sync!$T506="","",Sync!$T506))</f>
        <v/>
      </c>
      <c r="J509">
        <f>IF(OR($E509="",$E509="نامعتبر"),"",IF(Sync!$U506="","",Sync!$U506))</f>
        <v/>
      </c>
      <c r="K509">
        <f>IF(OR($E509="",$E509="نامعتبر"),"",IF(Sync!$V506="","",IFERROR(INDEX(SubCodes,MATCH(Sync!$V506,SubTitles,0)),Sync!$V506)))</f>
        <v/>
      </c>
      <c r="L509">
        <f>IF(OR($E509="",$E509="نامعتبر"),"",IF(Sync!$W506="",0,Sync!$W506))</f>
        <v/>
      </c>
      <c r="M509">
        <f>IF(OR($E509="",$E509="نامعتبر"),"",IF(Sync!$X506="",0,Sync!$X506))</f>
        <v/>
      </c>
      <c r="N509">
        <f>IF(OR($E509="",$E509="نامعتبر"),"",IF(AND($J509="هزینه",$K509&lt;&gt;""),1,0))</f>
        <v/>
      </c>
      <c r="O509">
        <f>IF($N509=0,"",LEFT($E509,4)&amp;MID($E509,6,2)&amp;RIGHT($E509,2)&amp;$F509&amp;"|"&amp;"1"&amp;RIGHT("00000"&amp;501,5))</f>
        <v/>
      </c>
      <c r="P509">
        <f>IF($O509="","",COUNTIFS(ExpSub,$K509,ExpKey,"&lt;"&amp;$O509)+1)</f>
        <v/>
      </c>
      <c r="Q509">
        <f>IF($P509="","",$K509&amp;"|"&amp;RIGHT("000000"&amp;$P509,6))</f>
        <v/>
      </c>
    </row>
    <row r="510">
      <c r="A510">
        <f>IF(Sync!$P507="","",Sync!$P507)</f>
        <v/>
      </c>
      <c r="B510">
        <f>IF($A510="","",IF(ISNUMBER($A510),IF(AND($A510&gt;=10000101,$A510&lt;=99991231),INT($A510/10000),""),IFERROR(VALUE(TRIM(LEFT($A510,FIND("/",$A510)-1))),"")))</f>
        <v/>
      </c>
      <c r="C510">
        <f>IF(OR($A510="",$B510=""),"",IF(ISNUMBER($A510),INT(MOD($A510,10000)/100),IFERROR(VALUE(TRIM(LEFT(MID($A510,FIND("/",$A510)+1,20),FIND("/",MID($A510,FIND("/",$A510)+1,20))-1))),"")))</f>
        <v/>
      </c>
      <c r="D510">
        <f>IF(OR($A510="",$B510=""),"",IF(ISNUMBER($A510),MOD($A510,100),IFERROR(VALUE(TRIM(MID(MID($A510,FIND("/",$A510)+1,20),FIND("/",MID($A510,FIND("/",$A510)+1,20))+1,20))),"")))</f>
        <v/>
      </c>
      <c r="E510">
        <f>IF($A510="","",IF(OR($B510="",$C510="",$D510="",$B510&lt;1300,$B510&gt;1500,$C510&lt;1,$C510&gt;12,$D510&lt;1,$D510&gt;31),"نامعتبر",RIGHT("0000"&amp;$B510,4)&amp;"/"&amp;RIGHT("00"&amp;$C510,2)&amp;"/"&amp;RIGHT("00"&amp;$D510,2)))</f>
        <v/>
      </c>
      <c r="F510">
        <f>IF(OR($E510="",$E510="نامعتبر"),"",IF(Sync!$Q507="","0000",IF(AND(ISNUMBER(Sync!$Q507),Sync!$Q507&gt;=0,Sync!$Q507&lt;1),RIGHT("00"&amp;HOUR(Sync!$Q507),2)&amp;RIGHT("00"&amp;MINUTE(Sync!$Q507),2),IFERROR(RIGHT("00"&amp;VALUE(LEFT(Sync!$Q507,FIND(":",Sync!$Q507)-1)),2)&amp;RIGHT("00"&amp;VALUE(MID(Sync!$Q507,FIND(":",Sync!$Q507)+1,2)),2),"0000"))))</f>
        <v/>
      </c>
      <c r="G510">
        <f>IF(OR($E510="",$E510="نامعتبر"),"",IF(Sync!$S507="","",Sync!$S507))</f>
        <v/>
      </c>
      <c r="H510">
        <f>IF(OR($E510="",$E510="نامعتبر"),"",IF(Sync!$R507="","",Sync!$R507))</f>
        <v/>
      </c>
      <c r="I510">
        <f>IF(OR($E510="",$E510="نامعتبر"),"",IF(Sync!$T507="","",Sync!$T507))</f>
        <v/>
      </c>
      <c r="J510">
        <f>IF(OR($E510="",$E510="نامعتبر"),"",IF(Sync!$U507="","",Sync!$U507))</f>
        <v/>
      </c>
      <c r="K510">
        <f>IF(OR($E510="",$E510="نامعتبر"),"",IF(Sync!$V507="","",IFERROR(INDEX(SubCodes,MATCH(Sync!$V507,SubTitles,0)),Sync!$V507)))</f>
        <v/>
      </c>
      <c r="L510">
        <f>IF(OR($E510="",$E510="نامعتبر"),"",IF(Sync!$W507="",0,Sync!$W507))</f>
        <v/>
      </c>
      <c r="M510">
        <f>IF(OR($E510="",$E510="نامعتبر"),"",IF(Sync!$X507="",0,Sync!$X507))</f>
        <v/>
      </c>
      <c r="N510">
        <f>IF(OR($E510="",$E510="نامعتبر"),"",IF(AND($J510="هزینه",$K510&lt;&gt;""),1,0))</f>
        <v/>
      </c>
      <c r="O510">
        <f>IF($N510=0,"",LEFT($E510,4)&amp;MID($E510,6,2)&amp;RIGHT($E510,2)&amp;$F510&amp;"|"&amp;"1"&amp;RIGHT("00000"&amp;502,5))</f>
        <v/>
      </c>
      <c r="P510">
        <f>IF($O510="","",COUNTIFS(ExpSub,$K510,ExpKey,"&lt;"&amp;$O510)+1)</f>
        <v/>
      </c>
      <c r="Q510">
        <f>IF($P510="","",$K510&amp;"|"&amp;RIGHT("000000"&amp;$P510,6))</f>
        <v/>
      </c>
    </row>
    <row r="511">
      <c r="A511">
        <f>IF(Sync!$P508="","",Sync!$P508)</f>
        <v/>
      </c>
      <c r="B511">
        <f>IF($A511="","",IF(ISNUMBER($A511),IF(AND($A511&gt;=10000101,$A511&lt;=99991231),INT($A511/10000),""),IFERROR(VALUE(TRIM(LEFT($A511,FIND("/",$A511)-1))),"")))</f>
        <v/>
      </c>
      <c r="C511">
        <f>IF(OR($A511="",$B511=""),"",IF(ISNUMBER($A511),INT(MOD($A511,10000)/100),IFERROR(VALUE(TRIM(LEFT(MID($A511,FIND("/",$A511)+1,20),FIND("/",MID($A511,FIND("/",$A511)+1,20))-1))),"")))</f>
        <v/>
      </c>
      <c r="D511">
        <f>IF(OR($A511="",$B511=""),"",IF(ISNUMBER($A511),MOD($A511,100),IFERROR(VALUE(TRIM(MID(MID($A511,FIND("/",$A511)+1,20),FIND("/",MID($A511,FIND("/",$A511)+1,20))+1,20))),"")))</f>
        <v/>
      </c>
      <c r="E511">
        <f>IF($A511="","",IF(OR($B511="",$C511="",$D511="",$B511&lt;1300,$B511&gt;1500,$C511&lt;1,$C511&gt;12,$D511&lt;1,$D511&gt;31),"نامعتبر",RIGHT("0000"&amp;$B511,4)&amp;"/"&amp;RIGHT("00"&amp;$C511,2)&amp;"/"&amp;RIGHT("00"&amp;$D511,2)))</f>
        <v/>
      </c>
      <c r="F511">
        <f>IF(OR($E511="",$E511="نامعتبر"),"",IF(Sync!$Q508="","0000",IF(AND(ISNUMBER(Sync!$Q508),Sync!$Q508&gt;=0,Sync!$Q508&lt;1),RIGHT("00"&amp;HOUR(Sync!$Q508),2)&amp;RIGHT("00"&amp;MINUTE(Sync!$Q508),2),IFERROR(RIGHT("00"&amp;VALUE(LEFT(Sync!$Q508,FIND(":",Sync!$Q508)-1)),2)&amp;RIGHT("00"&amp;VALUE(MID(Sync!$Q508,FIND(":",Sync!$Q508)+1,2)),2),"0000"))))</f>
        <v/>
      </c>
      <c r="G511">
        <f>IF(OR($E511="",$E511="نامعتبر"),"",IF(Sync!$S508="","",Sync!$S508))</f>
        <v/>
      </c>
      <c r="H511">
        <f>IF(OR($E511="",$E511="نامعتبر"),"",IF(Sync!$R508="","",Sync!$R508))</f>
        <v/>
      </c>
      <c r="I511">
        <f>IF(OR($E511="",$E511="نامعتبر"),"",IF(Sync!$T508="","",Sync!$T508))</f>
        <v/>
      </c>
      <c r="J511">
        <f>IF(OR($E511="",$E511="نامعتبر"),"",IF(Sync!$U508="","",Sync!$U508))</f>
        <v/>
      </c>
      <c r="K511">
        <f>IF(OR($E511="",$E511="نامعتبر"),"",IF(Sync!$V508="","",IFERROR(INDEX(SubCodes,MATCH(Sync!$V508,SubTitles,0)),Sync!$V508)))</f>
        <v/>
      </c>
      <c r="L511">
        <f>IF(OR($E511="",$E511="نامعتبر"),"",IF(Sync!$W508="",0,Sync!$W508))</f>
        <v/>
      </c>
      <c r="M511">
        <f>IF(OR($E511="",$E511="نامعتبر"),"",IF(Sync!$X508="",0,Sync!$X508))</f>
        <v/>
      </c>
      <c r="N511">
        <f>IF(OR($E511="",$E511="نامعتبر"),"",IF(AND($J511="هزینه",$K511&lt;&gt;""),1,0))</f>
        <v/>
      </c>
      <c r="O511">
        <f>IF($N511=0,"",LEFT($E511,4)&amp;MID($E511,6,2)&amp;RIGHT($E511,2)&amp;$F511&amp;"|"&amp;"1"&amp;RIGHT("00000"&amp;503,5))</f>
        <v/>
      </c>
      <c r="P511">
        <f>IF($O511="","",COUNTIFS(ExpSub,$K511,ExpKey,"&lt;"&amp;$O511)+1)</f>
        <v/>
      </c>
      <c r="Q511">
        <f>IF($P511="","",$K511&amp;"|"&amp;RIGHT("000000"&amp;$P511,6))</f>
        <v/>
      </c>
    </row>
    <row r="512">
      <c r="A512">
        <f>IF(Sync!$P509="","",Sync!$P509)</f>
        <v/>
      </c>
      <c r="B512">
        <f>IF($A512="","",IF(ISNUMBER($A512),IF(AND($A512&gt;=10000101,$A512&lt;=99991231),INT($A512/10000),""),IFERROR(VALUE(TRIM(LEFT($A512,FIND("/",$A512)-1))),"")))</f>
        <v/>
      </c>
      <c r="C512">
        <f>IF(OR($A512="",$B512=""),"",IF(ISNUMBER($A512),INT(MOD($A512,10000)/100),IFERROR(VALUE(TRIM(LEFT(MID($A512,FIND("/",$A512)+1,20),FIND("/",MID($A512,FIND("/",$A512)+1,20))-1))),"")))</f>
        <v/>
      </c>
      <c r="D512">
        <f>IF(OR($A512="",$B512=""),"",IF(ISNUMBER($A512),MOD($A512,100),IFERROR(VALUE(TRIM(MID(MID($A512,FIND("/",$A512)+1,20),FIND("/",MID($A512,FIND("/",$A512)+1,20))+1,20))),"")))</f>
        <v/>
      </c>
      <c r="E512">
        <f>IF($A512="","",IF(OR($B512="",$C512="",$D512="",$B512&lt;1300,$B512&gt;1500,$C512&lt;1,$C512&gt;12,$D512&lt;1,$D512&gt;31),"نامعتبر",RIGHT("0000"&amp;$B512,4)&amp;"/"&amp;RIGHT("00"&amp;$C512,2)&amp;"/"&amp;RIGHT("00"&amp;$D512,2)))</f>
        <v/>
      </c>
      <c r="F512">
        <f>IF(OR($E512="",$E512="نامعتبر"),"",IF(Sync!$Q509="","0000",IF(AND(ISNUMBER(Sync!$Q509),Sync!$Q509&gt;=0,Sync!$Q509&lt;1),RIGHT("00"&amp;HOUR(Sync!$Q509),2)&amp;RIGHT("00"&amp;MINUTE(Sync!$Q509),2),IFERROR(RIGHT("00"&amp;VALUE(LEFT(Sync!$Q509,FIND(":",Sync!$Q509)-1)),2)&amp;RIGHT("00"&amp;VALUE(MID(Sync!$Q509,FIND(":",Sync!$Q509)+1,2)),2),"0000"))))</f>
        <v/>
      </c>
      <c r="G512">
        <f>IF(OR($E512="",$E512="نامعتبر"),"",IF(Sync!$S509="","",Sync!$S509))</f>
        <v/>
      </c>
      <c r="H512">
        <f>IF(OR($E512="",$E512="نامعتبر"),"",IF(Sync!$R509="","",Sync!$R509))</f>
        <v/>
      </c>
      <c r="I512">
        <f>IF(OR($E512="",$E512="نامعتبر"),"",IF(Sync!$T509="","",Sync!$T509))</f>
        <v/>
      </c>
      <c r="J512">
        <f>IF(OR($E512="",$E512="نامعتبر"),"",IF(Sync!$U509="","",Sync!$U509))</f>
        <v/>
      </c>
      <c r="K512">
        <f>IF(OR($E512="",$E512="نامعتبر"),"",IF(Sync!$V509="","",IFERROR(INDEX(SubCodes,MATCH(Sync!$V509,SubTitles,0)),Sync!$V509)))</f>
        <v/>
      </c>
      <c r="L512">
        <f>IF(OR($E512="",$E512="نامعتبر"),"",IF(Sync!$W509="",0,Sync!$W509))</f>
        <v/>
      </c>
      <c r="M512">
        <f>IF(OR($E512="",$E512="نامعتبر"),"",IF(Sync!$X509="",0,Sync!$X509))</f>
        <v/>
      </c>
      <c r="N512">
        <f>IF(OR($E512="",$E512="نامعتبر"),"",IF(AND($J512="هزینه",$K512&lt;&gt;""),1,0))</f>
        <v/>
      </c>
      <c r="O512">
        <f>IF($N512=0,"",LEFT($E512,4)&amp;MID($E512,6,2)&amp;RIGHT($E512,2)&amp;$F512&amp;"|"&amp;"1"&amp;RIGHT("00000"&amp;504,5))</f>
        <v/>
      </c>
      <c r="P512">
        <f>IF($O512="","",COUNTIFS(ExpSub,$K512,ExpKey,"&lt;"&amp;$O512)+1)</f>
        <v/>
      </c>
      <c r="Q512">
        <f>IF($P512="","",$K512&amp;"|"&amp;RIGHT("000000"&amp;$P512,6))</f>
        <v/>
      </c>
    </row>
    <row r="513">
      <c r="A513">
        <f>IF(Sync!$P510="","",Sync!$P510)</f>
        <v/>
      </c>
      <c r="B513">
        <f>IF($A513="","",IF(ISNUMBER($A513),IF(AND($A513&gt;=10000101,$A513&lt;=99991231),INT($A513/10000),""),IFERROR(VALUE(TRIM(LEFT($A513,FIND("/",$A513)-1))),"")))</f>
        <v/>
      </c>
      <c r="C513">
        <f>IF(OR($A513="",$B513=""),"",IF(ISNUMBER($A513),INT(MOD($A513,10000)/100),IFERROR(VALUE(TRIM(LEFT(MID($A513,FIND("/",$A513)+1,20),FIND("/",MID($A513,FIND("/",$A513)+1,20))-1))),"")))</f>
        <v/>
      </c>
      <c r="D513">
        <f>IF(OR($A513="",$B513=""),"",IF(ISNUMBER($A513),MOD($A513,100),IFERROR(VALUE(TRIM(MID(MID($A513,FIND("/",$A513)+1,20),FIND("/",MID($A513,FIND("/",$A513)+1,20))+1,20))),"")))</f>
        <v/>
      </c>
      <c r="E513">
        <f>IF($A513="","",IF(OR($B513="",$C513="",$D513="",$B513&lt;1300,$B513&gt;1500,$C513&lt;1,$C513&gt;12,$D513&lt;1,$D513&gt;31),"نامعتبر",RIGHT("0000"&amp;$B513,4)&amp;"/"&amp;RIGHT("00"&amp;$C513,2)&amp;"/"&amp;RIGHT("00"&amp;$D513,2)))</f>
        <v/>
      </c>
      <c r="F513">
        <f>IF(OR($E513="",$E513="نامعتبر"),"",IF(Sync!$Q510="","0000",IF(AND(ISNUMBER(Sync!$Q510),Sync!$Q510&gt;=0,Sync!$Q510&lt;1),RIGHT("00"&amp;HOUR(Sync!$Q510),2)&amp;RIGHT("00"&amp;MINUTE(Sync!$Q510),2),IFERROR(RIGHT("00"&amp;VALUE(LEFT(Sync!$Q510,FIND(":",Sync!$Q510)-1)),2)&amp;RIGHT("00"&amp;VALUE(MID(Sync!$Q510,FIND(":",Sync!$Q510)+1,2)),2),"0000"))))</f>
        <v/>
      </c>
      <c r="G513">
        <f>IF(OR($E513="",$E513="نامعتبر"),"",IF(Sync!$S510="","",Sync!$S510))</f>
        <v/>
      </c>
      <c r="H513">
        <f>IF(OR($E513="",$E513="نامعتبر"),"",IF(Sync!$R510="","",Sync!$R510))</f>
        <v/>
      </c>
      <c r="I513">
        <f>IF(OR($E513="",$E513="نامعتبر"),"",IF(Sync!$T510="","",Sync!$T510))</f>
        <v/>
      </c>
      <c r="J513">
        <f>IF(OR($E513="",$E513="نامعتبر"),"",IF(Sync!$U510="","",Sync!$U510))</f>
        <v/>
      </c>
      <c r="K513">
        <f>IF(OR($E513="",$E513="نامعتبر"),"",IF(Sync!$V510="","",IFERROR(INDEX(SubCodes,MATCH(Sync!$V510,SubTitles,0)),Sync!$V510)))</f>
        <v/>
      </c>
      <c r="L513">
        <f>IF(OR($E513="",$E513="نامعتبر"),"",IF(Sync!$W510="",0,Sync!$W510))</f>
        <v/>
      </c>
      <c r="M513">
        <f>IF(OR($E513="",$E513="نامعتبر"),"",IF(Sync!$X510="",0,Sync!$X510))</f>
        <v/>
      </c>
      <c r="N513">
        <f>IF(OR($E513="",$E513="نامعتبر"),"",IF(AND($J513="هزینه",$K513&lt;&gt;""),1,0))</f>
        <v/>
      </c>
      <c r="O513">
        <f>IF($N513=0,"",LEFT($E513,4)&amp;MID($E513,6,2)&amp;RIGHT($E513,2)&amp;$F513&amp;"|"&amp;"1"&amp;RIGHT("00000"&amp;505,5))</f>
        <v/>
      </c>
      <c r="P513">
        <f>IF($O513="","",COUNTIFS(ExpSub,$K513,ExpKey,"&lt;"&amp;$O513)+1)</f>
        <v/>
      </c>
      <c r="Q513">
        <f>IF($P513="","",$K513&amp;"|"&amp;RIGHT("000000"&amp;$P513,6))</f>
        <v/>
      </c>
    </row>
    <row r="514">
      <c r="A514">
        <f>IF(Sync!$P511="","",Sync!$P511)</f>
        <v/>
      </c>
      <c r="B514">
        <f>IF($A514="","",IF(ISNUMBER($A514),IF(AND($A514&gt;=10000101,$A514&lt;=99991231),INT($A514/10000),""),IFERROR(VALUE(TRIM(LEFT($A514,FIND("/",$A514)-1))),"")))</f>
        <v/>
      </c>
      <c r="C514">
        <f>IF(OR($A514="",$B514=""),"",IF(ISNUMBER($A514),INT(MOD($A514,10000)/100),IFERROR(VALUE(TRIM(LEFT(MID($A514,FIND("/",$A514)+1,20),FIND("/",MID($A514,FIND("/",$A514)+1,20))-1))),"")))</f>
        <v/>
      </c>
      <c r="D514">
        <f>IF(OR($A514="",$B514=""),"",IF(ISNUMBER($A514),MOD($A514,100),IFERROR(VALUE(TRIM(MID(MID($A514,FIND("/",$A514)+1,20),FIND("/",MID($A514,FIND("/",$A514)+1,20))+1,20))),"")))</f>
        <v/>
      </c>
      <c r="E514">
        <f>IF($A514="","",IF(OR($B514="",$C514="",$D514="",$B514&lt;1300,$B514&gt;1500,$C514&lt;1,$C514&gt;12,$D514&lt;1,$D514&gt;31),"نامعتبر",RIGHT("0000"&amp;$B514,4)&amp;"/"&amp;RIGHT("00"&amp;$C514,2)&amp;"/"&amp;RIGHT("00"&amp;$D514,2)))</f>
        <v/>
      </c>
      <c r="F514">
        <f>IF(OR($E514="",$E514="نامعتبر"),"",IF(Sync!$Q511="","0000",IF(AND(ISNUMBER(Sync!$Q511),Sync!$Q511&gt;=0,Sync!$Q511&lt;1),RIGHT("00"&amp;HOUR(Sync!$Q511),2)&amp;RIGHT("00"&amp;MINUTE(Sync!$Q511),2),IFERROR(RIGHT("00"&amp;VALUE(LEFT(Sync!$Q511,FIND(":",Sync!$Q511)-1)),2)&amp;RIGHT("00"&amp;VALUE(MID(Sync!$Q511,FIND(":",Sync!$Q511)+1,2)),2),"0000"))))</f>
        <v/>
      </c>
      <c r="G514">
        <f>IF(OR($E514="",$E514="نامعتبر"),"",IF(Sync!$S511="","",Sync!$S511))</f>
        <v/>
      </c>
      <c r="H514">
        <f>IF(OR($E514="",$E514="نامعتبر"),"",IF(Sync!$R511="","",Sync!$R511))</f>
        <v/>
      </c>
      <c r="I514">
        <f>IF(OR($E514="",$E514="نامعتبر"),"",IF(Sync!$T511="","",Sync!$T511))</f>
        <v/>
      </c>
      <c r="J514">
        <f>IF(OR($E514="",$E514="نامعتبر"),"",IF(Sync!$U511="","",Sync!$U511))</f>
        <v/>
      </c>
      <c r="K514">
        <f>IF(OR($E514="",$E514="نامعتبر"),"",IF(Sync!$V511="","",IFERROR(INDEX(SubCodes,MATCH(Sync!$V511,SubTitles,0)),Sync!$V511)))</f>
        <v/>
      </c>
      <c r="L514">
        <f>IF(OR($E514="",$E514="نامعتبر"),"",IF(Sync!$W511="",0,Sync!$W511))</f>
        <v/>
      </c>
      <c r="M514">
        <f>IF(OR($E514="",$E514="نامعتبر"),"",IF(Sync!$X511="",0,Sync!$X511))</f>
        <v/>
      </c>
      <c r="N514">
        <f>IF(OR($E514="",$E514="نامعتبر"),"",IF(AND($J514="هزینه",$K514&lt;&gt;""),1,0))</f>
        <v/>
      </c>
      <c r="O514">
        <f>IF($N514=0,"",LEFT($E514,4)&amp;MID($E514,6,2)&amp;RIGHT($E514,2)&amp;$F514&amp;"|"&amp;"1"&amp;RIGHT("00000"&amp;506,5))</f>
        <v/>
      </c>
      <c r="P514">
        <f>IF($O514="","",COUNTIFS(ExpSub,$K514,ExpKey,"&lt;"&amp;$O514)+1)</f>
        <v/>
      </c>
      <c r="Q514">
        <f>IF($P514="","",$K514&amp;"|"&amp;RIGHT("000000"&amp;$P514,6))</f>
        <v/>
      </c>
    </row>
    <row r="515">
      <c r="A515">
        <f>IF(Sync!$P512="","",Sync!$P512)</f>
        <v/>
      </c>
      <c r="B515">
        <f>IF($A515="","",IF(ISNUMBER($A515),IF(AND($A515&gt;=10000101,$A515&lt;=99991231),INT($A515/10000),""),IFERROR(VALUE(TRIM(LEFT($A515,FIND("/",$A515)-1))),"")))</f>
        <v/>
      </c>
      <c r="C515">
        <f>IF(OR($A515="",$B515=""),"",IF(ISNUMBER($A515),INT(MOD($A515,10000)/100),IFERROR(VALUE(TRIM(LEFT(MID($A515,FIND("/",$A515)+1,20),FIND("/",MID($A515,FIND("/",$A515)+1,20))-1))),"")))</f>
        <v/>
      </c>
      <c r="D515">
        <f>IF(OR($A515="",$B515=""),"",IF(ISNUMBER($A515),MOD($A515,100),IFERROR(VALUE(TRIM(MID(MID($A515,FIND("/",$A515)+1,20),FIND("/",MID($A515,FIND("/",$A515)+1,20))+1,20))),"")))</f>
        <v/>
      </c>
      <c r="E515">
        <f>IF($A515="","",IF(OR($B515="",$C515="",$D515="",$B515&lt;1300,$B515&gt;1500,$C515&lt;1,$C515&gt;12,$D515&lt;1,$D515&gt;31),"نامعتبر",RIGHT("0000"&amp;$B515,4)&amp;"/"&amp;RIGHT("00"&amp;$C515,2)&amp;"/"&amp;RIGHT("00"&amp;$D515,2)))</f>
        <v/>
      </c>
      <c r="F515">
        <f>IF(OR($E515="",$E515="نامعتبر"),"",IF(Sync!$Q512="","0000",IF(AND(ISNUMBER(Sync!$Q512),Sync!$Q512&gt;=0,Sync!$Q512&lt;1),RIGHT("00"&amp;HOUR(Sync!$Q512),2)&amp;RIGHT("00"&amp;MINUTE(Sync!$Q512),2),IFERROR(RIGHT("00"&amp;VALUE(LEFT(Sync!$Q512,FIND(":",Sync!$Q512)-1)),2)&amp;RIGHT("00"&amp;VALUE(MID(Sync!$Q512,FIND(":",Sync!$Q512)+1,2)),2),"0000"))))</f>
        <v/>
      </c>
      <c r="G515">
        <f>IF(OR($E515="",$E515="نامعتبر"),"",IF(Sync!$S512="","",Sync!$S512))</f>
        <v/>
      </c>
      <c r="H515">
        <f>IF(OR($E515="",$E515="نامعتبر"),"",IF(Sync!$R512="","",Sync!$R512))</f>
        <v/>
      </c>
      <c r="I515">
        <f>IF(OR($E515="",$E515="نامعتبر"),"",IF(Sync!$T512="","",Sync!$T512))</f>
        <v/>
      </c>
      <c r="J515">
        <f>IF(OR($E515="",$E515="نامعتبر"),"",IF(Sync!$U512="","",Sync!$U512))</f>
        <v/>
      </c>
      <c r="K515">
        <f>IF(OR($E515="",$E515="نامعتبر"),"",IF(Sync!$V512="","",IFERROR(INDEX(SubCodes,MATCH(Sync!$V512,SubTitles,0)),Sync!$V512)))</f>
        <v/>
      </c>
      <c r="L515">
        <f>IF(OR($E515="",$E515="نامعتبر"),"",IF(Sync!$W512="",0,Sync!$W512))</f>
        <v/>
      </c>
      <c r="M515">
        <f>IF(OR($E515="",$E515="نامعتبر"),"",IF(Sync!$X512="",0,Sync!$X512))</f>
        <v/>
      </c>
      <c r="N515">
        <f>IF(OR($E515="",$E515="نامعتبر"),"",IF(AND($J515="هزینه",$K515&lt;&gt;""),1,0))</f>
        <v/>
      </c>
      <c r="O515">
        <f>IF($N515=0,"",LEFT($E515,4)&amp;MID($E515,6,2)&amp;RIGHT($E515,2)&amp;$F515&amp;"|"&amp;"1"&amp;RIGHT("00000"&amp;507,5))</f>
        <v/>
      </c>
      <c r="P515">
        <f>IF($O515="","",COUNTIFS(ExpSub,$K515,ExpKey,"&lt;"&amp;$O515)+1)</f>
        <v/>
      </c>
      <c r="Q515">
        <f>IF($P515="","",$K515&amp;"|"&amp;RIGHT("000000"&amp;$P515,6))</f>
        <v/>
      </c>
    </row>
    <row r="516">
      <c r="A516">
        <f>IF(Sync!$P513="","",Sync!$P513)</f>
        <v/>
      </c>
      <c r="B516">
        <f>IF($A516="","",IF(ISNUMBER($A516),IF(AND($A516&gt;=10000101,$A516&lt;=99991231),INT($A516/10000),""),IFERROR(VALUE(TRIM(LEFT($A516,FIND("/",$A516)-1))),"")))</f>
        <v/>
      </c>
      <c r="C516">
        <f>IF(OR($A516="",$B516=""),"",IF(ISNUMBER($A516),INT(MOD($A516,10000)/100),IFERROR(VALUE(TRIM(LEFT(MID($A516,FIND("/",$A516)+1,20),FIND("/",MID($A516,FIND("/",$A516)+1,20))-1))),"")))</f>
        <v/>
      </c>
      <c r="D516">
        <f>IF(OR($A516="",$B516=""),"",IF(ISNUMBER($A516),MOD($A516,100),IFERROR(VALUE(TRIM(MID(MID($A516,FIND("/",$A516)+1,20),FIND("/",MID($A516,FIND("/",$A516)+1,20))+1,20))),"")))</f>
        <v/>
      </c>
      <c r="E516">
        <f>IF($A516="","",IF(OR($B516="",$C516="",$D516="",$B516&lt;1300,$B516&gt;1500,$C516&lt;1,$C516&gt;12,$D516&lt;1,$D516&gt;31),"نامعتبر",RIGHT("0000"&amp;$B516,4)&amp;"/"&amp;RIGHT("00"&amp;$C516,2)&amp;"/"&amp;RIGHT("00"&amp;$D516,2)))</f>
        <v/>
      </c>
      <c r="F516">
        <f>IF(OR($E516="",$E516="نامعتبر"),"",IF(Sync!$Q513="","0000",IF(AND(ISNUMBER(Sync!$Q513),Sync!$Q513&gt;=0,Sync!$Q513&lt;1),RIGHT("00"&amp;HOUR(Sync!$Q513),2)&amp;RIGHT("00"&amp;MINUTE(Sync!$Q513),2),IFERROR(RIGHT("00"&amp;VALUE(LEFT(Sync!$Q513,FIND(":",Sync!$Q513)-1)),2)&amp;RIGHT("00"&amp;VALUE(MID(Sync!$Q513,FIND(":",Sync!$Q513)+1,2)),2),"0000"))))</f>
        <v/>
      </c>
      <c r="G516">
        <f>IF(OR($E516="",$E516="نامعتبر"),"",IF(Sync!$S513="","",Sync!$S513))</f>
        <v/>
      </c>
      <c r="H516">
        <f>IF(OR($E516="",$E516="نامعتبر"),"",IF(Sync!$R513="","",Sync!$R513))</f>
        <v/>
      </c>
      <c r="I516">
        <f>IF(OR($E516="",$E516="نامعتبر"),"",IF(Sync!$T513="","",Sync!$T513))</f>
        <v/>
      </c>
      <c r="J516">
        <f>IF(OR($E516="",$E516="نامعتبر"),"",IF(Sync!$U513="","",Sync!$U513))</f>
        <v/>
      </c>
      <c r="K516">
        <f>IF(OR($E516="",$E516="نامعتبر"),"",IF(Sync!$V513="","",IFERROR(INDEX(SubCodes,MATCH(Sync!$V513,SubTitles,0)),Sync!$V513)))</f>
        <v/>
      </c>
      <c r="L516">
        <f>IF(OR($E516="",$E516="نامعتبر"),"",IF(Sync!$W513="",0,Sync!$W513))</f>
        <v/>
      </c>
      <c r="M516">
        <f>IF(OR($E516="",$E516="نامعتبر"),"",IF(Sync!$X513="",0,Sync!$X513))</f>
        <v/>
      </c>
      <c r="N516">
        <f>IF(OR($E516="",$E516="نامعتبر"),"",IF(AND($J516="هزینه",$K516&lt;&gt;""),1,0))</f>
        <v/>
      </c>
      <c r="O516">
        <f>IF($N516=0,"",LEFT($E516,4)&amp;MID($E516,6,2)&amp;RIGHT($E516,2)&amp;$F516&amp;"|"&amp;"1"&amp;RIGHT("00000"&amp;508,5))</f>
        <v/>
      </c>
      <c r="P516">
        <f>IF($O516="","",COUNTIFS(ExpSub,$K516,ExpKey,"&lt;"&amp;$O516)+1)</f>
        <v/>
      </c>
      <c r="Q516">
        <f>IF($P516="","",$K516&amp;"|"&amp;RIGHT("000000"&amp;$P516,6))</f>
        <v/>
      </c>
    </row>
    <row r="517">
      <c r="A517">
        <f>IF(Sync!$P514="","",Sync!$P514)</f>
        <v/>
      </c>
      <c r="B517">
        <f>IF($A517="","",IF(ISNUMBER($A517),IF(AND($A517&gt;=10000101,$A517&lt;=99991231),INT($A517/10000),""),IFERROR(VALUE(TRIM(LEFT($A517,FIND("/",$A517)-1))),"")))</f>
        <v/>
      </c>
      <c r="C517">
        <f>IF(OR($A517="",$B517=""),"",IF(ISNUMBER($A517),INT(MOD($A517,10000)/100),IFERROR(VALUE(TRIM(LEFT(MID($A517,FIND("/",$A517)+1,20),FIND("/",MID($A517,FIND("/",$A517)+1,20))-1))),"")))</f>
        <v/>
      </c>
      <c r="D517">
        <f>IF(OR($A517="",$B517=""),"",IF(ISNUMBER($A517),MOD($A517,100),IFERROR(VALUE(TRIM(MID(MID($A517,FIND("/",$A517)+1,20),FIND("/",MID($A517,FIND("/",$A517)+1,20))+1,20))),"")))</f>
        <v/>
      </c>
      <c r="E517">
        <f>IF($A517="","",IF(OR($B517="",$C517="",$D517="",$B517&lt;1300,$B517&gt;1500,$C517&lt;1,$C517&gt;12,$D517&lt;1,$D517&gt;31),"نامعتبر",RIGHT("0000"&amp;$B517,4)&amp;"/"&amp;RIGHT("00"&amp;$C517,2)&amp;"/"&amp;RIGHT("00"&amp;$D517,2)))</f>
        <v/>
      </c>
      <c r="F517">
        <f>IF(OR($E517="",$E517="نامعتبر"),"",IF(Sync!$Q514="","0000",IF(AND(ISNUMBER(Sync!$Q514),Sync!$Q514&gt;=0,Sync!$Q514&lt;1),RIGHT("00"&amp;HOUR(Sync!$Q514),2)&amp;RIGHT("00"&amp;MINUTE(Sync!$Q514),2),IFERROR(RIGHT("00"&amp;VALUE(LEFT(Sync!$Q514,FIND(":",Sync!$Q514)-1)),2)&amp;RIGHT("00"&amp;VALUE(MID(Sync!$Q514,FIND(":",Sync!$Q514)+1,2)),2),"0000"))))</f>
        <v/>
      </c>
      <c r="G517">
        <f>IF(OR($E517="",$E517="نامعتبر"),"",IF(Sync!$S514="","",Sync!$S514))</f>
        <v/>
      </c>
      <c r="H517">
        <f>IF(OR($E517="",$E517="نامعتبر"),"",IF(Sync!$R514="","",Sync!$R514))</f>
        <v/>
      </c>
      <c r="I517">
        <f>IF(OR($E517="",$E517="نامعتبر"),"",IF(Sync!$T514="","",Sync!$T514))</f>
        <v/>
      </c>
      <c r="J517">
        <f>IF(OR($E517="",$E517="نامعتبر"),"",IF(Sync!$U514="","",Sync!$U514))</f>
        <v/>
      </c>
      <c r="K517">
        <f>IF(OR($E517="",$E517="نامعتبر"),"",IF(Sync!$V514="","",IFERROR(INDEX(SubCodes,MATCH(Sync!$V514,SubTitles,0)),Sync!$V514)))</f>
        <v/>
      </c>
      <c r="L517">
        <f>IF(OR($E517="",$E517="نامعتبر"),"",IF(Sync!$W514="",0,Sync!$W514))</f>
        <v/>
      </c>
      <c r="M517">
        <f>IF(OR($E517="",$E517="نامعتبر"),"",IF(Sync!$X514="",0,Sync!$X514))</f>
        <v/>
      </c>
      <c r="N517">
        <f>IF(OR($E517="",$E517="نامعتبر"),"",IF(AND($J517="هزینه",$K517&lt;&gt;""),1,0))</f>
        <v/>
      </c>
      <c r="O517">
        <f>IF($N517=0,"",LEFT($E517,4)&amp;MID($E517,6,2)&amp;RIGHT($E517,2)&amp;$F517&amp;"|"&amp;"1"&amp;RIGHT("00000"&amp;509,5))</f>
        <v/>
      </c>
      <c r="P517">
        <f>IF($O517="","",COUNTIFS(ExpSub,$K517,ExpKey,"&lt;"&amp;$O517)+1)</f>
        <v/>
      </c>
      <c r="Q517">
        <f>IF($P517="","",$K517&amp;"|"&amp;RIGHT("000000"&amp;$P517,6))</f>
        <v/>
      </c>
    </row>
    <row r="518">
      <c r="A518">
        <f>IF(Sync!$P515="","",Sync!$P515)</f>
        <v/>
      </c>
      <c r="B518">
        <f>IF($A518="","",IF(ISNUMBER($A518),IF(AND($A518&gt;=10000101,$A518&lt;=99991231),INT($A518/10000),""),IFERROR(VALUE(TRIM(LEFT($A518,FIND("/",$A518)-1))),"")))</f>
        <v/>
      </c>
      <c r="C518">
        <f>IF(OR($A518="",$B518=""),"",IF(ISNUMBER($A518),INT(MOD($A518,10000)/100),IFERROR(VALUE(TRIM(LEFT(MID($A518,FIND("/",$A518)+1,20),FIND("/",MID($A518,FIND("/",$A518)+1,20))-1))),"")))</f>
        <v/>
      </c>
      <c r="D518">
        <f>IF(OR($A518="",$B518=""),"",IF(ISNUMBER($A518),MOD($A518,100),IFERROR(VALUE(TRIM(MID(MID($A518,FIND("/",$A518)+1,20),FIND("/",MID($A518,FIND("/",$A518)+1,20))+1,20))),"")))</f>
        <v/>
      </c>
      <c r="E518">
        <f>IF($A518="","",IF(OR($B518="",$C518="",$D518="",$B518&lt;1300,$B518&gt;1500,$C518&lt;1,$C518&gt;12,$D518&lt;1,$D518&gt;31),"نامعتبر",RIGHT("0000"&amp;$B518,4)&amp;"/"&amp;RIGHT("00"&amp;$C518,2)&amp;"/"&amp;RIGHT("00"&amp;$D518,2)))</f>
        <v/>
      </c>
      <c r="F518">
        <f>IF(OR($E518="",$E518="نامعتبر"),"",IF(Sync!$Q515="","0000",IF(AND(ISNUMBER(Sync!$Q515),Sync!$Q515&gt;=0,Sync!$Q515&lt;1),RIGHT("00"&amp;HOUR(Sync!$Q515),2)&amp;RIGHT("00"&amp;MINUTE(Sync!$Q515),2),IFERROR(RIGHT("00"&amp;VALUE(LEFT(Sync!$Q515,FIND(":",Sync!$Q515)-1)),2)&amp;RIGHT("00"&amp;VALUE(MID(Sync!$Q515,FIND(":",Sync!$Q515)+1,2)),2),"0000"))))</f>
        <v/>
      </c>
      <c r="G518">
        <f>IF(OR($E518="",$E518="نامعتبر"),"",IF(Sync!$S515="","",Sync!$S515))</f>
        <v/>
      </c>
      <c r="H518">
        <f>IF(OR($E518="",$E518="نامعتبر"),"",IF(Sync!$R515="","",Sync!$R515))</f>
        <v/>
      </c>
      <c r="I518">
        <f>IF(OR($E518="",$E518="نامعتبر"),"",IF(Sync!$T515="","",Sync!$T515))</f>
        <v/>
      </c>
      <c r="J518">
        <f>IF(OR($E518="",$E518="نامعتبر"),"",IF(Sync!$U515="","",Sync!$U515))</f>
        <v/>
      </c>
      <c r="K518">
        <f>IF(OR($E518="",$E518="نامعتبر"),"",IF(Sync!$V515="","",IFERROR(INDEX(SubCodes,MATCH(Sync!$V515,SubTitles,0)),Sync!$V515)))</f>
        <v/>
      </c>
      <c r="L518">
        <f>IF(OR($E518="",$E518="نامعتبر"),"",IF(Sync!$W515="",0,Sync!$W515))</f>
        <v/>
      </c>
      <c r="M518">
        <f>IF(OR($E518="",$E518="نامعتبر"),"",IF(Sync!$X515="",0,Sync!$X515))</f>
        <v/>
      </c>
      <c r="N518">
        <f>IF(OR($E518="",$E518="نامعتبر"),"",IF(AND($J518="هزینه",$K518&lt;&gt;""),1,0))</f>
        <v/>
      </c>
      <c r="O518">
        <f>IF($N518=0,"",LEFT($E518,4)&amp;MID($E518,6,2)&amp;RIGHT($E518,2)&amp;$F518&amp;"|"&amp;"1"&amp;RIGHT("00000"&amp;510,5))</f>
        <v/>
      </c>
      <c r="P518">
        <f>IF($O518="","",COUNTIFS(ExpSub,$K518,ExpKey,"&lt;"&amp;$O518)+1)</f>
        <v/>
      </c>
      <c r="Q518">
        <f>IF($P518="","",$K518&amp;"|"&amp;RIGHT("000000"&amp;$P518,6))</f>
        <v/>
      </c>
    </row>
    <row r="519">
      <c r="A519">
        <f>IF(Sync!$P516="","",Sync!$P516)</f>
        <v/>
      </c>
      <c r="B519">
        <f>IF($A519="","",IF(ISNUMBER($A519),IF(AND($A519&gt;=10000101,$A519&lt;=99991231),INT($A519/10000),""),IFERROR(VALUE(TRIM(LEFT($A519,FIND("/",$A519)-1))),"")))</f>
        <v/>
      </c>
      <c r="C519">
        <f>IF(OR($A519="",$B519=""),"",IF(ISNUMBER($A519),INT(MOD($A519,10000)/100),IFERROR(VALUE(TRIM(LEFT(MID($A519,FIND("/",$A519)+1,20),FIND("/",MID($A519,FIND("/",$A519)+1,20))-1))),"")))</f>
        <v/>
      </c>
      <c r="D519">
        <f>IF(OR($A519="",$B519=""),"",IF(ISNUMBER($A519),MOD($A519,100),IFERROR(VALUE(TRIM(MID(MID($A519,FIND("/",$A519)+1,20),FIND("/",MID($A519,FIND("/",$A519)+1,20))+1,20))),"")))</f>
        <v/>
      </c>
      <c r="E519">
        <f>IF($A519="","",IF(OR($B519="",$C519="",$D519="",$B519&lt;1300,$B519&gt;1500,$C519&lt;1,$C519&gt;12,$D519&lt;1,$D519&gt;31),"نامعتبر",RIGHT("0000"&amp;$B519,4)&amp;"/"&amp;RIGHT("00"&amp;$C519,2)&amp;"/"&amp;RIGHT("00"&amp;$D519,2)))</f>
        <v/>
      </c>
      <c r="F519">
        <f>IF(OR($E519="",$E519="نامعتبر"),"",IF(Sync!$Q516="","0000",IF(AND(ISNUMBER(Sync!$Q516),Sync!$Q516&gt;=0,Sync!$Q516&lt;1),RIGHT("00"&amp;HOUR(Sync!$Q516),2)&amp;RIGHT("00"&amp;MINUTE(Sync!$Q516),2),IFERROR(RIGHT("00"&amp;VALUE(LEFT(Sync!$Q516,FIND(":",Sync!$Q516)-1)),2)&amp;RIGHT("00"&amp;VALUE(MID(Sync!$Q516,FIND(":",Sync!$Q516)+1,2)),2),"0000"))))</f>
        <v/>
      </c>
      <c r="G519">
        <f>IF(OR($E519="",$E519="نامعتبر"),"",IF(Sync!$S516="","",Sync!$S516))</f>
        <v/>
      </c>
      <c r="H519">
        <f>IF(OR($E519="",$E519="نامعتبر"),"",IF(Sync!$R516="","",Sync!$R516))</f>
        <v/>
      </c>
      <c r="I519">
        <f>IF(OR($E519="",$E519="نامعتبر"),"",IF(Sync!$T516="","",Sync!$T516))</f>
        <v/>
      </c>
      <c r="J519">
        <f>IF(OR($E519="",$E519="نامعتبر"),"",IF(Sync!$U516="","",Sync!$U516))</f>
        <v/>
      </c>
      <c r="K519">
        <f>IF(OR($E519="",$E519="نامعتبر"),"",IF(Sync!$V516="","",IFERROR(INDEX(SubCodes,MATCH(Sync!$V516,SubTitles,0)),Sync!$V516)))</f>
        <v/>
      </c>
      <c r="L519">
        <f>IF(OR($E519="",$E519="نامعتبر"),"",IF(Sync!$W516="",0,Sync!$W516))</f>
        <v/>
      </c>
      <c r="M519">
        <f>IF(OR($E519="",$E519="نامعتبر"),"",IF(Sync!$X516="",0,Sync!$X516))</f>
        <v/>
      </c>
      <c r="N519">
        <f>IF(OR($E519="",$E519="نامعتبر"),"",IF(AND($J519="هزینه",$K519&lt;&gt;""),1,0))</f>
        <v/>
      </c>
      <c r="O519">
        <f>IF($N519=0,"",LEFT($E519,4)&amp;MID($E519,6,2)&amp;RIGHT($E519,2)&amp;$F519&amp;"|"&amp;"1"&amp;RIGHT("00000"&amp;511,5))</f>
        <v/>
      </c>
      <c r="P519">
        <f>IF($O519="","",COUNTIFS(ExpSub,$K519,ExpKey,"&lt;"&amp;$O519)+1)</f>
        <v/>
      </c>
      <c r="Q519">
        <f>IF($P519="","",$K519&amp;"|"&amp;RIGHT("000000"&amp;$P519,6))</f>
        <v/>
      </c>
    </row>
    <row r="520">
      <c r="A520">
        <f>IF(Sync!$P517="","",Sync!$P517)</f>
        <v/>
      </c>
      <c r="B520">
        <f>IF($A520="","",IF(ISNUMBER($A520),IF(AND($A520&gt;=10000101,$A520&lt;=99991231),INT($A520/10000),""),IFERROR(VALUE(TRIM(LEFT($A520,FIND("/",$A520)-1))),"")))</f>
        <v/>
      </c>
      <c r="C520">
        <f>IF(OR($A520="",$B520=""),"",IF(ISNUMBER($A520),INT(MOD($A520,10000)/100),IFERROR(VALUE(TRIM(LEFT(MID($A520,FIND("/",$A520)+1,20),FIND("/",MID($A520,FIND("/",$A520)+1,20))-1))),"")))</f>
        <v/>
      </c>
      <c r="D520">
        <f>IF(OR($A520="",$B520=""),"",IF(ISNUMBER($A520),MOD($A520,100),IFERROR(VALUE(TRIM(MID(MID($A520,FIND("/",$A520)+1,20),FIND("/",MID($A520,FIND("/",$A520)+1,20))+1,20))),"")))</f>
        <v/>
      </c>
      <c r="E520">
        <f>IF($A520="","",IF(OR($B520="",$C520="",$D520="",$B520&lt;1300,$B520&gt;1500,$C520&lt;1,$C520&gt;12,$D520&lt;1,$D520&gt;31),"نامعتبر",RIGHT("0000"&amp;$B520,4)&amp;"/"&amp;RIGHT("00"&amp;$C520,2)&amp;"/"&amp;RIGHT("00"&amp;$D520,2)))</f>
        <v/>
      </c>
      <c r="F520">
        <f>IF(OR($E520="",$E520="نامعتبر"),"",IF(Sync!$Q517="","0000",IF(AND(ISNUMBER(Sync!$Q517),Sync!$Q517&gt;=0,Sync!$Q517&lt;1),RIGHT("00"&amp;HOUR(Sync!$Q517),2)&amp;RIGHT("00"&amp;MINUTE(Sync!$Q517),2),IFERROR(RIGHT("00"&amp;VALUE(LEFT(Sync!$Q517,FIND(":",Sync!$Q517)-1)),2)&amp;RIGHT("00"&amp;VALUE(MID(Sync!$Q517,FIND(":",Sync!$Q517)+1,2)),2),"0000"))))</f>
        <v/>
      </c>
      <c r="G520">
        <f>IF(OR($E520="",$E520="نامعتبر"),"",IF(Sync!$S517="","",Sync!$S517))</f>
        <v/>
      </c>
      <c r="H520">
        <f>IF(OR($E520="",$E520="نامعتبر"),"",IF(Sync!$R517="","",Sync!$R517))</f>
        <v/>
      </c>
      <c r="I520">
        <f>IF(OR($E520="",$E520="نامعتبر"),"",IF(Sync!$T517="","",Sync!$T517))</f>
        <v/>
      </c>
      <c r="J520">
        <f>IF(OR($E520="",$E520="نامعتبر"),"",IF(Sync!$U517="","",Sync!$U517))</f>
        <v/>
      </c>
      <c r="K520">
        <f>IF(OR($E520="",$E520="نامعتبر"),"",IF(Sync!$V517="","",IFERROR(INDEX(SubCodes,MATCH(Sync!$V517,SubTitles,0)),Sync!$V517)))</f>
        <v/>
      </c>
      <c r="L520">
        <f>IF(OR($E520="",$E520="نامعتبر"),"",IF(Sync!$W517="",0,Sync!$W517))</f>
        <v/>
      </c>
      <c r="M520">
        <f>IF(OR($E520="",$E520="نامعتبر"),"",IF(Sync!$X517="",0,Sync!$X517))</f>
        <v/>
      </c>
      <c r="N520">
        <f>IF(OR($E520="",$E520="نامعتبر"),"",IF(AND($J520="هزینه",$K520&lt;&gt;""),1,0))</f>
        <v/>
      </c>
      <c r="O520">
        <f>IF($N520=0,"",LEFT($E520,4)&amp;MID($E520,6,2)&amp;RIGHT($E520,2)&amp;$F520&amp;"|"&amp;"1"&amp;RIGHT("00000"&amp;512,5))</f>
        <v/>
      </c>
      <c r="P520">
        <f>IF($O520="","",COUNTIFS(ExpSub,$K520,ExpKey,"&lt;"&amp;$O520)+1)</f>
        <v/>
      </c>
      <c r="Q520">
        <f>IF($P520="","",$K520&amp;"|"&amp;RIGHT("000000"&amp;$P520,6))</f>
        <v/>
      </c>
    </row>
    <row r="521">
      <c r="A521">
        <f>IF(Sync!$P518="","",Sync!$P518)</f>
        <v/>
      </c>
      <c r="B521">
        <f>IF($A521="","",IF(ISNUMBER($A521),IF(AND($A521&gt;=10000101,$A521&lt;=99991231),INT($A521/10000),""),IFERROR(VALUE(TRIM(LEFT($A521,FIND("/",$A521)-1))),"")))</f>
        <v/>
      </c>
      <c r="C521">
        <f>IF(OR($A521="",$B521=""),"",IF(ISNUMBER($A521),INT(MOD($A521,10000)/100),IFERROR(VALUE(TRIM(LEFT(MID($A521,FIND("/",$A521)+1,20),FIND("/",MID($A521,FIND("/",$A521)+1,20))-1))),"")))</f>
        <v/>
      </c>
      <c r="D521">
        <f>IF(OR($A521="",$B521=""),"",IF(ISNUMBER($A521),MOD($A521,100),IFERROR(VALUE(TRIM(MID(MID($A521,FIND("/",$A521)+1,20),FIND("/",MID($A521,FIND("/",$A521)+1,20))+1,20))),"")))</f>
        <v/>
      </c>
      <c r="E521">
        <f>IF($A521="","",IF(OR($B521="",$C521="",$D521="",$B521&lt;1300,$B521&gt;1500,$C521&lt;1,$C521&gt;12,$D521&lt;1,$D521&gt;31),"نامعتبر",RIGHT("0000"&amp;$B521,4)&amp;"/"&amp;RIGHT("00"&amp;$C521,2)&amp;"/"&amp;RIGHT("00"&amp;$D521,2)))</f>
        <v/>
      </c>
      <c r="F521">
        <f>IF(OR($E521="",$E521="نامعتبر"),"",IF(Sync!$Q518="","0000",IF(AND(ISNUMBER(Sync!$Q518),Sync!$Q518&gt;=0,Sync!$Q518&lt;1),RIGHT("00"&amp;HOUR(Sync!$Q518),2)&amp;RIGHT("00"&amp;MINUTE(Sync!$Q518),2),IFERROR(RIGHT("00"&amp;VALUE(LEFT(Sync!$Q518,FIND(":",Sync!$Q518)-1)),2)&amp;RIGHT("00"&amp;VALUE(MID(Sync!$Q518,FIND(":",Sync!$Q518)+1,2)),2),"0000"))))</f>
        <v/>
      </c>
      <c r="G521">
        <f>IF(OR($E521="",$E521="نامعتبر"),"",IF(Sync!$S518="","",Sync!$S518))</f>
        <v/>
      </c>
      <c r="H521">
        <f>IF(OR($E521="",$E521="نامعتبر"),"",IF(Sync!$R518="","",Sync!$R518))</f>
        <v/>
      </c>
      <c r="I521">
        <f>IF(OR($E521="",$E521="نامعتبر"),"",IF(Sync!$T518="","",Sync!$T518))</f>
        <v/>
      </c>
      <c r="J521">
        <f>IF(OR($E521="",$E521="نامعتبر"),"",IF(Sync!$U518="","",Sync!$U518))</f>
        <v/>
      </c>
      <c r="K521">
        <f>IF(OR($E521="",$E521="نامعتبر"),"",IF(Sync!$V518="","",IFERROR(INDEX(SubCodes,MATCH(Sync!$V518,SubTitles,0)),Sync!$V518)))</f>
        <v/>
      </c>
      <c r="L521">
        <f>IF(OR($E521="",$E521="نامعتبر"),"",IF(Sync!$W518="",0,Sync!$W518))</f>
        <v/>
      </c>
      <c r="M521">
        <f>IF(OR($E521="",$E521="نامعتبر"),"",IF(Sync!$X518="",0,Sync!$X518))</f>
        <v/>
      </c>
      <c r="N521">
        <f>IF(OR($E521="",$E521="نامعتبر"),"",IF(AND($J521="هزینه",$K521&lt;&gt;""),1,0))</f>
        <v/>
      </c>
      <c r="O521">
        <f>IF($N521=0,"",LEFT($E521,4)&amp;MID($E521,6,2)&amp;RIGHT($E521,2)&amp;$F521&amp;"|"&amp;"1"&amp;RIGHT("00000"&amp;513,5))</f>
        <v/>
      </c>
      <c r="P521">
        <f>IF($O521="","",COUNTIFS(ExpSub,$K521,ExpKey,"&lt;"&amp;$O521)+1)</f>
        <v/>
      </c>
      <c r="Q521">
        <f>IF($P521="","",$K521&amp;"|"&amp;RIGHT("000000"&amp;$P521,6))</f>
        <v/>
      </c>
    </row>
    <row r="522">
      <c r="A522">
        <f>IF(Sync!$P519="","",Sync!$P519)</f>
        <v/>
      </c>
      <c r="B522">
        <f>IF($A522="","",IF(ISNUMBER($A522),IF(AND($A522&gt;=10000101,$A522&lt;=99991231),INT($A522/10000),""),IFERROR(VALUE(TRIM(LEFT($A522,FIND("/",$A522)-1))),"")))</f>
        <v/>
      </c>
      <c r="C522">
        <f>IF(OR($A522="",$B522=""),"",IF(ISNUMBER($A522),INT(MOD($A522,10000)/100),IFERROR(VALUE(TRIM(LEFT(MID($A522,FIND("/",$A522)+1,20),FIND("/",MID($A522,FIND("/",$A522)+1,20))-1))),"")))</f>
        <v/>
      </c>
      <c r="D522">
        <f>IF(OR($A522="",$B522=""),"",IF(ISNUMBER($A522),MOD($A522,100),IFERROR(VALUE(TRIM(MID(MID($A522,FIND("/",$A522)+1,20),FIND("/",MID($A522,FIND("/",$A522)+1,20))+1,20))),"")))</f>
        <v/>
      </c>
      <c r="E522">
        <f>IF($A522="","",IF(OR($B522="",$C522="",$D522="",$B522&lt;1300,$B522&gt;1500,$C522&lt;1,$C522&gt;12,$D522&lt;1,$D522&gt;31),"نامعتبر",RIGHT("0000"&amp;$B522,4)&amp;"/"&amp;RIGHT("00"&amp;$C522,2)&amp;"/"&amp;RIGHT("00"&amp;$D522,2)))</f>
        <v/>
      </c>
      <c r="F522">
        <f>IF(OR($E522="",$E522="نامعتبر"),"",IF(Sync!$Q519="","0000",IF(AND(ISNUMBER(Sync!$Q519),Sync!$Q519&gt;=0,Sync!$Q519&lt;1),RIGHT("00"&amp;HOUR(Sync!$Q519),2)&amp;RIGHT("00"&amp;MINUTE(Sync!$Q519),2),IFERROR(RIGHT("00"&amp;VALUE(LEFT(Sync!$Q519,FIND(":",Sync!$Q519)-1)),2)&amp;RIGHT("00"&amp;VALUE(MID(Sync!$Q519,FIND(":",Sync!$Q519)+1,2)),2),"0000"))))</f>
        <v/>
      </c>
      <c r="G522">
        <f>IF(OR($E522="",$E522="نامعتبر"),"",IF(Sync!$S519="","",Sync!$S519))</f>
        <v/>
      </c>
      <c r="H522">
        <f>IF(OR($E522="",$E522="نامعتبر"),"",IF(Sync!$R519="","",Sync!$R519))</f>
        <v/>
      </c>
      <c r="I522">
        <f>IF(OR($E522="",$E522="نامعتبر"),"",IF(Sync!$T519="","",Sync!$T519))</f>
        <v/>
      </c>
      <c r="J522">
        <f>IF(OR($E522="",$E522="نامعتبر"),"",IF(Sync!$U519="","",Sync!$U519))</f>
        <v/>
      </c>
      <c r="K522">
        <f>IF(OR($E522="",$E522="نامعتبر"),"",IF(Sync!$V519="","",IFERROR(INDEX(SubCodes,MATCH(Sync!$V519,SubTitles,0)),Sync!$V519)))</f>
        <v/>
      </c>
      <c r="L522">
        <f>IF(OR($E522="",$E522="نامعتبر"),"",IF(Sync!$W519="",0,Sync!$W519))</f>
        <v/>
      </c>
      <c r="M522">
        <f>IF(OR($E522="",$E522="نامعتبر"),"",IF(Sync!$X519="",0,Sync!$X519))</f>
        <v/>
      </c>
      <c r="N522">
        <f>IF(OR($E522="",$E522="نامعتبر"),"",IF(AND($J522="هزینه",$K522&lt;&gt;""),1,0))</f>
        <v/>
      </c>
      <c r="O522">
        <f>IF($N522=0,"",LEFT($E522,4)&amp;MID($E522,6,2)&amp;RIGHT($E522,2)&amp;$F522&amp;"|"&amp;"1"&amp;RIGHT("00000"&amp;514,5))</f>
        <v/>
      </c>
      <c r="P522">
        <f>IF($O522="","",COUNTIFS(ExpSub,$K522,ExpKey,"&lt;"&amp;$O522)+1)</f>
        <v/>
      </c>
      <c r="Q522">
        <f>IF($P522="","",$K522&amp;"|"&amp;RIGHT("000000"&amp;$P522,6))</f>
        <v/>
      </c>
    </row>
    <row r="523">
      <c r="A523">
        <f>IF(Sync!$P520="","",Sync!$P520)</f>
        <v/>
      </c>
      <c r="B523">
        <f>IF($A523="","",IF(ISNUMBER($A523),IF(AND($A523&gt;=10000101,$A523&lt;=99991231),INT($A523/10000),""),IFERROR(VALUE(TRIM(LEFT($A523,FIND("/",$A523)-1))),"")))</f>
        <v/>
      </c>
      <c r="C523">
        <f>IF(OR($A523="",$B523=""),"",IF(ISNUMBER($A523),INT(MOD($A523,10000)/100),IFERROR(VALUE(TRIM(LEFT(MID($A523,FIND("/",$A523)+1,20),FIND("/",MID($A523,FIND("/",$A523)+1,20))-1))),"")))</f>
        <v/>
      </c>
      <c r="D523">
        <f>IF(OR($A523="",$B523=""),"",IF(ISNUMBER($A523),MOD($A523,100),IFERROR(VALUE(TRIM(MID(MID($A523,FIND("/",$A523)+1,20),FIND("/",MID($A523,FIND("/",$A523)+1,20))+1,20))),"")))</f>
        <v/>
      </c>
      <c r="E523">
        <f>IF($A523="","",IF(OR($B523="",$C523="",$D523="",$B523&lt;1300,$B523&gt;1500,$C523&lt;1,$C523&gt;12,$D523&lt;1,$D523&gt;31),"نامعتبر",RIGHT("0000"&amp;$B523,4)&amp;"/"&amp;RIGHT("00"&amp;$C523,2)&amp;"/"&amp;RIGHT("00"&amp;$D523,2)))</f>
        <v/>
      </c>
      <c r="F523">
        <f>IF(OR($E523="",$E523="نامعتبر"),"",IF(Sync!$Q520="","0000",IF(AND(ISNUMBER(Sync!$Q520),Sync!$Q520&gt;=0,Sync!$Q520&lt;1),RIGHT("00"&amp;HOUR(Sync!$Q520),2)&amp;RIGHT("00"&amp;MINUTE(Sync!$Q520),2),IFERROR(RIGHT("00"&amp;VALUE(LEFT(Sync!$Q520,FIND(":",Sync!$Q520)-1)),2)&amp;RIGHT("00"&amp;VALUE(MID(Sync!$Q520,FIND(":",Sync!$Q520)+1,2)),2),"0000"))))</f>
        <v/>
      </c>
      <c r="G523">
        <f>IF(OR($E523="",$E523="نامعتبر"),"",IF(Sync!$S520="","",Sync!$S520))</f>
        <v/>
      </c>
      <c r="H523">
        <f>IF(OR($E523="",$E523="نامعتبر"),"",IF(Sync!$R520="","",Sync!$R520))</f>
        <v/>
      </c>
      <c r="I523">
        <f>IF(OR($E523="",$E523="نامعتبر"),"",IF(Sync!$T520="","",Sync!$T520))</f>
        <v/>
      </c>
      <c r="J523">
        <f>IF(OR($E523="",$E523="نامعتبر"),"",IF(Sync!$U520="","",Sync!$U520))</f>
        <v/>
      </c>
      <c r="K523">
        <f>IF(OR($E523="",$E523="نامعتبر"),"",IF(Sync!$V520="","",IFERROR(INDEX(SubCodes,MATCH(Sync!$V520,SubTitles,0)),Sync!$V520)))</f>
        <v/>
      </c>
      <c r="L523">
        <f>IF(OR($E523="",$E523="نامعتبر"),"",IF(Sync!$W520="",0,Sync!$W520))</f>
        <v/>
      </c>
      <c r="M523">
        <f>IF(OR($E523="",$E523="نامعتبر"),"",IF(Sync!$X520="",0,Sync!$X520))</f>
        <v/>
      </c>
      <c r="N523">
        <f>IF(OR($E523="",$E523="نامعتبر"),"",IF(AND($J523="هزینه",$K523&lt;&gt;""),1,0))</f>
        <v/>
      </c>
      <c r="O523">
        <f>IF($N523=0,"",LEFT($E523,4)&amp;MID($E523,6,2)&amp;RIGHT($E523,2)&amp;$F523&amp;"|"&amp;"1"&amp;RIGHT("00000"&amp;515,5))</f>
        <v/>
      </c>
      <c r="P523">
        <f>IF($O523="","",COUNTIFS(ExpSub,$K523,ExpKey,"&lt;"&amp;$O523)+1)</f>
        <v/>
      </c>
      <c r="Q523">
        <f>IF($P523="","",$K523&amp;"|"&amp;RIGHT("000000"&amp;$P523,6))</f>
        <v/>
      </c>
    </row>
    <row r="524">
      <c r="A524">
        <f>IF(Sync!$P521="","",Sync!$P521)</f>
        <v/>
      </c>
      <c r="B524">
        <f>IF($A524="","",IF(ISNUMBER($A524),IF(AND($A524&gt;=10000101,$A524&lt;=99991231),INT($A524/10000),""),IFERROR(VALUE(TRIM(LEFT($A524,FIND("/",$A524)-1))),"")))</f>
        <v/>
      </c>
      <c r="C524">
        <f>IF(OR($A524="",$B524=""),"",IF(ISNUMBER($A524),INT(MOD($A524,10000)/100),IFERROR(VALUE(TRIM(LEFT(MID($A524,FIND("/",$A524)+1,20),FIND("/",MID($A524,FIND("/",$A524)+1,20))-1))),"")))</f>
        <v/>
      </c>
      <c r="D524">
        <f>IF(OR($A524="",$B524=""),"",IF(ISNUMBER($A524),MOD($A524,100),IFERROR(VALUE(TRIM(MID(MID($A524,FIND("/",$A524)+1,20),FIND("/",MID($A524,FIND("/",$A524)+1,20))+1,20))),"")))</f>
        <v/>
      </c>
      <c r="E524">
        <f>IF($A524="","",IF(OR($B524="",$C524="",$D524="",$B524&lt;1300,$B524&gt;1500,$C524&lt;1,$C524&gt;12,$D524&lt;1,$D524&gt;31),"نامعتبر",RIGHT("0000"&amp;$B524,4)&amp;"/"&amp;RIGHT("00"&amp;$C524,2)&amp;"/"&amp;RIGHT("00"&amp;$D524,2)))</f>
        <v/>
      </c>
      <c r="F524">
        <f>IF(OR($E524="",$E524="نامعتبر"),"",IF(Sync!$Q521="","0000",IF(AND(ISNUMBER(Sync!$Q521),Sync!$Q521&gt;=0,Sync!$Q521&lt;1),RIGHT("00"&amp;HOUR(Sync!$Q521),2)&amp;RIGHT("00"&amp;MINUTE(Sync!$Q521),2),IFERROR(RIGHT("00"&amp;VALUE(LEFT(Sync!$Q521,FIND(":",Sync!$Q521)-1)),2)&amp;RIGHT("00"&amp;VALUE(MID(Sync!$Q521,FIND(":",Sync!$Q521)+1,2)),2),"0000"))))</f>
        <v/>
      </c>
      <c r="G524">
        <f>IF(OR($E524="",$E524="نامعتبر"),"",IF(Sync!$S521="","",Sync!$S521))</f>
        <v/>
      </c>
      <c r="H524">
        <f>IF(OR($E524="",$E524="نامعتبر"),"",IF(Sync!$R521="","",Sync!$R521))</f>
        <v/>
      </c>
      <c r="I524">
        <f>IF(OR($E524="",$E524="نامعتبر"),"",IF(Sync!$T521="","",Sync!$T521))</f>
        <v/>
      </c>
      <c r="J524">
        <f>IF(OR($E524="",$E524="نامعتبر"),"",IF(Sync!$U521="","",Sync!$U521))</f>
        <v/>
      </c>
      <c r="K524">
        <f>IF(OR($E524="",$E524="نامعتبر"),"",IF(Sync!$V521="","",IFERROR(INDEX(SubCodes,MATCH(Sync!$V521,SubTitles,0)),Sync!$V521)))</f>
        <v/>
      </c>
      <c r="L524">
        <f>IF(OR($E524="",$E524="نامعتبر"),"",IF(Sync!$W521="",0,Sync!$W521))</f>
        <v/>
      </c>
      <c r="M524">
        <f>IF(OR($E524="",$E524="نامعتبر"),"",IF(Sync!$X521="",0,Sync!$X521))</f>
        <v/>
      </c>
      <c r="N524">
        <f>IF(OR($E524="",$E524="نامعتبر"),"",IF(AND($J524="هزینه",$K524&lt;&gt;""),1,0))</f>
        <v/>
      </c>
      <c r="O524">
        <f>IF($N524=0,"",LEFT($E524,4)&amp;MID($E524,6,2)&amp;RIGHT($E524,2)&amp;$F524&amp;"|"&amp;"1"&amp;RIGHT("00000"&amp;516,5))</f>
        <v/>
      </c>
      <c r="P524">
        <f>IF($O524="","",COUNTIFS(ExpSub,$K524,ExpKey,"&lt;"&amp;$O524)+1)</f>
        <v/>
      </c>
      <c r="Q524">
        <f>IF($P524="","",$K524&amp;"|"&amp;RIGHT("000000"&amp;$P524,6))</f>
        <v/>
      </c>
    </row>
    <row r="525">
      <c r="A525">
        <f>IF(Sync!$P522="","",Sync!$P522)</f>
        <v/>
      </c>
      <c r="B525">
        <f>IF($A525="","",IF(ISNUMBER($A525),IF(AND($A525&gt;=10000101,$A525&lt;=99991231),INT($A525/10000),""),IFERROR(VALUE(TRIM(LEFT($A525,FIND("/",$A525)-1))),"")))</f>
        <v/>
      </c>
      <c r="C525">
        <f>IF(OR($A525="",$B525=""),"",IF(ISNUMBER($A525),INT(MOD($A525,10000)/100),IFERROR(VALUE(TRIM(LEFT(MID($A525,FIND("/",$A525)+1,20),FIND("/",MID($A525,FIND("/",$A525)+1,20))-1))),"")))</f>
        <v/>
      </c>
      <c r="D525">
        <f>IF(OR($A525="",$B525=""),"",IF(ISNUMBER($A525),MOD($A525,100),IFERROR(VALUE(TRIM(MID(MID($A525,FIND("/",$A525)+1,20),FIND("/",MID($A525,FIND("/",$A525)+1,20))+1,20))),"")))</f>
        <v/>
      </c>
      <c r="E525">
        <f>IF($A525="","",IF(OR($B525="",$C525="",$D525="",$B525&lt;1300,$B525&gt;1500,$C525&lt;1,$C525&gt;12,$D525&lt;1,$D525&gt;31),"نامعتبر",RIGHT("0000"&amp;$B525,4)&amp;"/"&amp;RIGHT("00"&amp;$C525,2)&amp;"/"&amp;RIGHT("00"&amp;$D525,2)))</f>
        <v/>
      </c>
      <c r="F525">
        <f>IF(OR($E525="",$E525="نامعتبر"),"",IF(Sync!$Q522="","0000",IF(AND(ISNUMBER(Sync!$Q522),Sync!$Q522&gt;=0,Sync!$Q522&lt;1),RIGHT("00"&amp;HOUR(Sync!$Q522),2)&amp;RIGHT("00"&amp;MINUTE(Sync!$Q522),2),IFERROR(RIGHT("00"&amp;VALUE(LEFT(Sync!$Q522,FIND(":",Sync!$Q522)-1)),2)&amp;RIGHT("00"&amp;VALUE(MID(Sync!$Q522,FIND(":",Sync!$Q522)+1,2)),2),"0000"))))</f>
        <v/>
      </c>
      <c r="G525">
        <f>IF(OR($E525="",$E525="نامعتبر"),"",IF(Sync!$S522="","",Sync!$S522))</f>
        <v/>
      </c>
      <c r="H525">
        <f>IF(OR($E525="",$E525="نامعتبر"),"",IF(Sync!$R522="","",Sync!$R522))</f>
        <v/>
      </c>
      <c r="I525">
        <f>IF(OR($E525="",$E525="نامعتبر"),"",IF(Sync!$T522="","",Sync!$T522))</f>
        <v/>
      </c>
      <c r="J525">
        <f>IF(OR($E525="",$E525="نامعتبر"),"",IF(Sync!$U522="","",Sync!$U522))</f>
        <v/>
      </c>
      <c r="K525">
        <f>IF(OR($E525="",$E525="نامعتبر"),"",IF(Sync!$V522="","",IFERROR(INDEX(SubCodes,MATCH(Sync!$V522,SubTitles,0)),Sync!$V522)))</f>
        <v/>
      </c>
      <c r="L525">
        <f>IF(OR($E525="",$E525="نامعتبر"),"",IF(Sync!$W522="",0,Sync!$W522))</f>
        <v/>
      </c>
      <c r="M525">
        <f>IF(OR($E525="",$E525="نامعتبر"),"",IF(Sync!$X522="",0,Sync!$X522))</f>
        <v/>
      </c>
      <c r="N525">
        <f>IF(OR($E525="",$E525="نامعتبر"),"",IF(AND($J525="هزینه",$K525&lt;&gt;""),1,0))</f>
        <v/>
      </c>
      <c r="O525">
        <f>IF($N525=0,"",LEFT($E525,4)&amp;MID($E525,6,2)&amp;RIGHT($E525,2)&amp;$F525&amp;"|"&amp;"1"&amp;RIGHT("00000"&amp;517,5))</f>
        <v/>
      </c>
      <c r="P525">
        <f>IF($O525="","",COUNTIFS(ExpSub,$K525,ExpKey,"&lt;"&amp;$O525)+1)</f>
        <v/>
      </c>
      <c r="Q525">
        <f>IF($P525="","",$K525&amp;"|"&amp;RIGHT("000000"&amp;$P525,6))</f>
        <v/>
      </c>
    </row>
    <row r="526">
      <c r="A526">
        <f>IF(Sync!$P523="","",Sync!$P523)</f>
        <v/>
      </c>
      <c r="B526">
        <f>IF($A526="","",IF(ISNUMBER($A526),IF(AND($A526&gt;=10000101,$A526&lt;=99991231),INT($A526/10000),""),IFERROR(VALUE(TRIM(LEFT($A526,FIND("/",$A526)-1))),"")))</f>
        <v/>
      </c>
      <c r="C526">
        <f>IF(OR($A526="",$B526=""),"",IF(ISNUMBER($A526),INT(MOD($A526,10000)/100),IFERROR(VALUE(TRIM(LEFT(MID($A526,FIND("/",$A526)+1,20),FIND("/",MID($A526,FIND("/",$A526)+1,20))-1))),"")))</f>
        <v/>
      </c>
      <c r="D526">
        <f>IF(OR($A526="",$B526=""),"",IF(ISNUMBER($A526),MOD($A526,100),IFERROR(VALUE(TRIM(MID(MID($A526,FIND("/",$A526)+1,20),FIND("/",MID($A526,FIND("/",$A526)+1,20))+1,20))),"")))</f>
        <v/>
      </c>
      <c r="E526">
        <f>IF($A526="","",IF(OR($B526="",$C526="",$D526="",$B526&lt;1300,$B526&gt;1500,$C526&lt;1,$C526&gt;12,$D526&lt;1,$D526&gt;31),"نامعتبر",RIGHT("0000"&amp;$B526,4)&amp;"/"&amp;RIGHT("00"&amp;$C526,2)&amp;"/"&amp;RIGHT("00"&amp;$D526,2)))</f>
        <v/>
      </c>
      <c r="F526">
        <f>IF(OR($E526="",$E526="نامعتبر"),"",IF(Sync!$Q523="","0000",IF(AND(ISNUMBER(Sync!$Q523),Sync!$Q523&gt;=0,Sync!$Q523&lt;1),RIGHT("00"&amp;HOUR(Sync!$Q523),2)&amp;RIGHT("00"&amp;MINUTE(Sync!$Q523),2),IFERROR(RIGHT("00"&amp;VALUE(LEFT(Sync!$Q523,FIND(":",Sync!$Q523)-1)),2)&amp;RIGHT("00"&amp;VALUE(MID(Sync!$Q523,FIND(":",Sync!$Q523)+1,2)),2),"0000"))))</f>
        <v/>
      </c>
      <c r="G526">
        <f>IF(OR($E526="",$E526="نامعتبر"),"",IF(Sync!$S523="","",Sync!$S523))</f>
        <v/>
      </c>
      <c r="H526">
        <f>IF(OR($E526="",$E526="نامعتبر"),"",IF(Sync!$R523="","",Sync!$R523))</f>
        <v/>
      </c>
      <c r="I526">
        <f>IF(OR($E526="",$E526="نامعتبر"),"",IF(Sync!$T523="","",Sync!$T523))</f>
        <v/>
      </c>
      <c r="J526">
        <f>IF(OR($E526="",$E526="نامعتبر"),"",IF(Sync!$U523="","",Sync!$U523))</f>
        <v/>
      </c>
      <c r="K526">
        <f>IF(OR($E526="",$E526="نامعتبر"),"",IF(Sync!$V523="","",IFERROR(INDEX(SubCodes,MATCH(Sync!$V523,SubTitles,0)),Sync!$V523)))</f>
        <v/>
      </c>
      <c r="L526">
        <f>IF(OR($E526="",$E526="نامعتبر"),"",IF(Sync!$W523="",0,Sync!$W523))</f>
        <v/>
      </c>
      <c r="M526">
        <f>IF(OR($E526="",$E526="نامعتبر"),"",IF(Sync!$X523="",0,Sync!$X523))</f>
        <v/>
      </c>
      <c r="N526">
        <f>IF(OR($E526="",$E526="نامعتبر"),"",IF(AND($J526="هزینه",$K526&lt;&gt;""),1,0))</f>
        <v/>
      </c>
      <c r="O526">
        <f>IF($N526=0,"",LEFT($E526,4)&amp;MID($E526,6,2)&amp;RIGHT($E526,2)&amp;$F526&amp;"|"&amp;"1"&amp;RIGHT("00000"&amp;518,5))</f>
        <v/>
      </c>
      <c r="P526">
        <f>IF($O526="","",COUNTIFS(ExpSub,$K526,ExpKey,"&lt;"&amp;$O526)+1)</f>
        <v/>
      </c>
      <c r="Q526">
        <f>IF($P526="","",$K526&amp;"|"&amp;RIGHT("000000"&amp;$P526,6))</f>
        <v/>
      </c>
    </row>
    <row r="527">
      <c r="A527">
        <f>IF(Sync!$P524="","",Sync!$P524)</f>
        <v/>
      </c>
      <c r="B527">
        <f>IF($A527="","",IF(ISNUMBER($A527),IF(AND($A527&gt;=10000101,$A527&lt;=99991231),INT($A527/10000),""),IFERROR(VALUE(TRIM(LEFT($A527,FIND("/",$A527)-1))),"")))</f>
        <v/>
      </c>
      <c r="C527">
        <f>IF(OR($A527="",$B527=""),"",IF(ISNUMBER($A527),INT(MOD($A527,10000)/100),IFERROR(VALUE(TRIM(LEFT(MID($A527,FIND("/",$A527)+1,20),FIND("/",MID($A527,FIND("/",$A527)+1,20))-1))),"")))</f>
        <v/>
      </c>
      <c r="D527">
        <f>IF(OR($A527="",$B527=""),"",IF(ISNUMBER($A527),MOD($A527,100),IFERROR(VALUE(TRIM(MID(MID($A527,FIND("/",$A527)+1,20),FIND("/",MID($A527,FIND("/",$A527)+1,20))+1,20))),"")))</f>
        <v/>
      </c>
      <c r="E527">
        <f>IF($A527="","",IF(OR($B527="",$C527="",$D527="",$B527&lt;1300,$B527&gt;1500,$C527&lt;1,$C527&gt;12,$D527&lt;1,$D527&gt;31),"نامعتبر",RIGHT("0000"&amp;$B527,4)&amp;"/"&amp;RIGHT("00"&amp;$C527,2)&amp;"/"&amp;RIGHT("00"&amp;$D527,2)))</f>
        <v/>
      </c>
      <c r="F527">
        <f>IF(OR($E527="",$E527="نامعتبر"),"",IF(Sync!$Q524="","0000",IF(AND(ISNUMBER(Sync!$Q524),Sync!$Q524&gt;=0,Sync!$Q524&lt;1),RIGHT("00"&amp;HOUR(Sync!$Q524),2)&amp;RIGHT("00"&amp;MINUTE(Sync!$Q524),2),IFERROR(RIGHT("00"&amp;VALUE(LEFT(Sync!$Q524,FIND(":",Sync!$Q524)-1)),2)&amp;RIGHT("00"&amp;VALUE(MID(Sync!$Q524,FIND(":",Sync!$Q524)+1,2)),2),"0000"))))</f>
        <v/>
      </c>
      <c r="G527">
        <f>IF(OR($E527="",$E527="نامعتبر"),"",IF(Sync!$S524="","",Sync!$S524))</f>
        <v/>
      </c>
      <c r="H527">
        <f>IF(OR($E527="",$E527="نامعتبر"),"",IF(Sync!$R524="","",Sync!$R524))</f>
        <v/>
      </c>
      <c r="I527">
        <f>IF(OR($E527="",$E527="نامعتبر"),"",IF(Sync!$T524="","",Sync!$T524))</f>
        <v/>
      </c>
      <c r="J527">
        <f>IF(OR($E527="",$E527="نامعتبر"),"",IF(Sync!$U524="","",Sync!$U524))</f>
        <v/>
      </c>
      <c r="K527">
        <f>IF(OR($E527="",$E527="نامعتبر"),"",IF(Sync!$V524="","",IFERROR(INDEX(SubCodes,MATCH(Sync!$V524,SubTitles,0)),Sync!$V524)))</f>
        <v/>
      </c>
      <c r="L527">
        <f>IF(OR($E527="",$E527="نامعتبر"),"",IF(Sync!$W524="",0,Sync!$W524))</f>
        <v/>
      </c>
      <c r="M527">
        <f>IF(OR($E527="",$E527="نامعتبر"),"",IF(Sync!$X524="",0,Sync!$X524))</f>
        <v/>
      </c>
      <c r="N527">
        <f>IF(OR($E527="",$E527="نامعتبر"),"",IF(AND($J527="هزینه",$K527&lt;&gt;""),1,0))</f>
        <v/>
      </c>
      <c r="O527">
        <f>IF($N527=0,"",LEFT($E527,4)&amp;MID($E527,6,2)&amp;RIGHT($E527,2)&amp;$F527&amp;"|"&amp;"1"&amp;RIGHT("00000"&amp;519,5))</f>
        <v/>
      </c>
      <c r="P527">
        <f>IF($O527="","",COUNTIFS(ExpSub,$K527,ExpKey,"&lt;"&amp;$O527)+1)</f>
        <v/>
      </c>
      <c r="Q527">
        <f>IF($P527="","",$K527&amp;"|"&amp;RIGHT("000000"&amp;$P527,6))</f>
        <v/>
      </c>
    </row>
    <row r="528">
      <c r="A528">
        <f>IF(Sync!$P525="","",Sync!$P525)</f>
        <v/>
      </c>
      <c r="B528">
        <f>IF($A528="","",IF(ISNUMBER($A528),IF(AND($A528&gt;=10000101,$A528&lt;=99991231),INT($A528/10000),""),IFERROR(VALUE(TRIM(LEFT($A528,FIND("/",$A528)-1))),"")))</f>
        <v/>
      </c>
      <c r="C528">
        <f>IF(OR($A528="",$B528=""),"",IF(ISNUMBER($A528),INT(MOD($A528,10000)/100),IFERROR(VALUE(TRIM(LEFT(MID($A528,FIND("/",$A528)+1,20),FIND("/",MID($A528,FIND("/",$A528)+1,20))-1))),"")))</f>
        <v/>
      </c>
      <c r="D528">
        <f>IF(OR($A528="",$B528=""),"",IF(ISNUMBER($A528),MOD($A528,100),IFERROR(VALUE(TRIM(MID(MID($A528,FIND("/",$A528)+1,20),FIND("/",MID($A528,FIND("/",$A528)+1,20))+1,20))),"")))</f>
        <v/>
      </c>
      <c r="E528">
        <f>IF($A528="","",IF(OR($B528="",$C528="",$D528="",$B528&lt;1300,$B528&gt;1500,$C528&lt;1,$C528&gt;12,$D528&lt;1,$D528&gt;31),"نامعتبر",RIGHT("0000"&amp;$B528,4)&amp;"/"&amp;RIGHT("00"&amp;$C528,2)&amp;"/"&amp;RIGHT("00"&amp;$D528,2)))</f>
        <v/>
      </c>
      <c r="F528">
        <f>IF(OR($E528="",$E528="نامعتبر"),"",IF(Sync!$Q525="","0000",IF(AND(ISNUMBER(Sync!$Q525),Sync!$Q525&gt;=0,Sync!$Q525&lt;1),RIGHT("00"&amp;HOUR(Sync!$Q525),2)&amp;RIGHT("00"&amp;MINUTE(Sync!$Q525),2),IFERROR(RIGHT("00"&amp;VALUE(LEFT(Sync!$Q525,FIND(":",Sync!$Q525)-1)),2)&amp;RIGHT("00"&amp;VALUE(MID(Sync!$Q525,FIND(":",Sync!$Q525)+1,2)),2),"0000"))))</f>
        <v/>
      </c>
      <c r="G528">
        <f>IF(OR($E528="",$E528="نامعتبر"),"",IF(Sync!$S525="","",Sync!$S525))</f>
        <v/>
      </c>
      <c r="H528">
        <f>IF(OR($E528="",$E528="نامعتبر"),"",IF(Sync!$R525="","",Sync!$R525))</f>
        <v/>
      </c>
      <c r="I528">
        <f>IF(OR($E528="",$E528="نامعتبر"),"",IF(Sync!$T525="","",Sync!$T525))</f>
        <v/>
      </c>
      <c r="J528">
        <f>IF(OR($E528="",$E528="نامعتبر"),"",IF(Sync!$U525="","",Sync!$U525))</f>
        <v/>
      </c>
      <c r="K528">
        <f>IF(OR($E528="",$E528="نامعتبر"),"",IF(Sync!$V525="","",IFERROR(INDEX(SubCodes,MATCH(Sync!$V525,SubTitles,0)),Sync!$V525)))</f>
        <v/>
      </c>
      <c r="L528">
        <f>IF(OR($E528="",$E528="نامعتبر"),"",IF(Sync!$W525="",0,Sync!$W525))</f>
        <v/>
      </c>
      <c r="M528">
        <f>IF(OR($E528="",$E528="نامعتبر"),"",IF(Sync!$X525="",0,Sync!$X525))</f>
        <v/>
      </c>
      <c r="N528">
        <f>IF(OR($E528="",$E528="نامعتبر"),"",IF(AND($J528="هزینه",$K528&lt;&gt;""),1,0))</f>
        <v/>
      </c>
      <c r="O528">
        <f>IF($N528=0,"",LEFT($E528,4)&amp;MID($E528,6,2)&amp;RIGHT($E528,2)&amp;$F528&amp;"|"&amp;"1"&amp;RIGHT("00000"&amp;520,5))</f>
        <v/>
      </c>
      <c r="P528">
        <f>IF($O528="","",COUNTIFS(ExpSub,$K528,ExpKey,"&lt;"&amp;$O528)+1)</f>
        <v/>
      </c>
      <c r="Q528">
        <f>IF($P528="","",$K528&amp;"|"&amp;RIGHT("000000"&amp;$P528,6))</f>
        <v/>
      </c>
    </row>
    <row r="529">
      <c r="A529">
        <f>IF(Sync!$P526="","",Sync!$P526)</f>
        <v/>
      </c>
      <c r="B529">
        <f>IF($A529="","",IF(ISNUMBER($A529),IF(AND($A529&gt;=10000101,$A529&lt;=99991231),INT($A529/10000),""),IFERROR(VALUE(TRIM(LEFT($A529,FIND("/",$A529)-1))),"")))</f>
        <v/>
      </c>
      <c r="C529">
        <f>IF(OR($A529="",$B529=""),"",IF(ISNUMBER($A529),INT(MOD($A529,10000)/100),IFERROR(VALUE(TRIM(LEFT(MID($A529,FIND("/",$A529)+1,20),FIND("/",MID($A529,FIND("/",$A529)+1,20))-1))),"")))</f>
        <v/>
      </c>
      <c r="D529">
        <f>IF(OR($A529="",$B529=""),"",IF(ISNUMBER($A529),MOD($A529,100),IFERROR(VALUE(TRIM(MID(MID($A529,FIND("/",$A529)+1,20),FIND("/",MID($A529,FIND("/",$A529)+1,20))+1,20))),"")))</f>
        <v/>
      </c>
      <c r="E529">
        <f>IF($A529="","",IF(OR($B529="",$C529="",$D529="",$B529&lt;1300,$B529&gt;1500,$C529&lt;1,$C529&gt;12,$D529&lt;1,$D529&gt;31),"نامعتبر",RIGHT("0000"&amp;$B529,4)&amp;"/"&amp;RIGHT("00"&amp;$C529,2)&amp;"/"&amp;RIGHT("00"&amp;$D529,2)))</f>
        <v/>
      </c>
      <c r="F529">
        <f>IF(OR($E529="",$E529="نامعتبر"),"",IF(Sync!$Q526="","0000",IF(AND(ISNUMBER(Sync!$Q526),Sync!$Q526&gt;=0,Sync!$Q526&lt;1),RIGHT("00"&amp;HOUR(Sync!$Q526),2)&amp;RIGHT("00"&amp;MINUTE(Sync!$Q526),2),IFERROR(RIGHT("00"&amp;VALUE(LEFT(Sync!$Q526,FIND(":",Sync!$Q526)-1)),2)&amp;RIGHT("00"&amp;VALUE(MID(Sync!$Q526,FIND(":",Sync!$Q526)+1,2)),2),"0000"))))</f>
        <v/>
      </c>
      <c r="G529">
        <f>IF(OR($E529="",$E529="نامعتبر"),"",IF(Sync!$S526="","",Sync!$S526))</f>
        <v/>
      </c>
      <c r="H529">
        <f>IF(OR($E529="",$E529="نامعتبر"),"",IF(Sync!$R526="","",Sync!$R526))</f>
        <v/>
      </c>
      <c r="I529">
        <f>IF(OR($E529="",$E529="نامعتبر"),"",IF(Sync!$T526="","",Sync!$T526))</f>
        <v/>
      </c>
      <c r="J529">
        <f>IF(OR($E529="",$E529="نامعتبر"),"",IF(Sync!$U526="","",Sync!$U526))</f>
        <v/>
      </c>
      <c r="K529">
        <f>IF(OR($E529="",$E529="نامعتبر"),"",IF(Sync!$V526="","",IFERROR(INDEX(SubCodes,MATCH(Sync!$V526,SubTitles,0)),Sync!$V526)))</f>
        <v/>
      </c>
      <c r="L529">
        <f>IF(OR($E529="",$E529="نامعتبر"),"",IF(Sync!$W526="",0,Sync!$W526))</f>
        <v/>
      </c>
      <c r="M529">
        <f>IF(OR($E529="",$E529="نامعتبر"),"",IF(Sync!$X526="",0,Sync!$X526))</f>
        <v/>
      </c>
      <c r="N529">
        <f>IF(OR($E529="",$E529="نامعتبر"),"",IF(AND($J529="هزینه",$K529&lt;&gt;""),1,0))</f>
        <v/>
      </c>
      <c r="O529">
        <f>IF($N529=0,"",LEFT($E529,4)&amp;MID($E529,6,2)&amp;RIGHT($E529,2)&amp;$F529&amp;"|"&amp;"1"&amp;RIGHT("00000"&amp;521,5))</f>
        <v/>
      </c>
      <c r="P529">
        <f>IF($O529="","",COUNTIFS(ExpSub,$K529,ExpKey,"&lt;"&amp;$O529)+1)</f>
        <v/>
      </c>
      <c r="Q529">
        <f>IF($P529="","",$K529&amp;"|"&amp;RIGHT("000000"&amp;$P529,6))</f>
        <v/>
      </c>
    </row>
    <row r="530">
      <c r="A530">
        <f>IF(Sync!$P527="","",Sync!$P527)</f>
        <v/>
      </c>
      <c r="B530">
        <f>IF($A530="","",IF(ISNUMBER($A530),IF(AND($A530&gt;=10000101,$A530&lt;=99991231),INT($A530/10000),""),IFERROR(VALUE(TRIM(LEFT($A530,FIND("/",$A530)-1))),"")))</f>
        <v/>
      </c>
      <c r="C530">
        <f>IF(OR($A530="",$B530=""),"",IF(ISNUMBER($A530),INT(MOD($A530,10000)/100),IFERROR(VALUE(TRIM(LEFT(MID($A530,FIND("/",$A530)+1,20),FIND("/",MID($A530,FIND("/",$A530)+1,20))-1))),"")))</f>
        <v/>
      </c>
      <c r="D530">
        <f>IF(OR($A530="",$B530=""),"",IF(ISNUMBER($A530),MOD($A530,100),IFERROR(VALUE(TRIM(MID(MID($A530,FIND("/",$A530)+1,20),FIND("/",MID($A530,FIND("/",$A530)+1,20))+1,20))),"")))</f>
        <v/>
      </c>
      <c r="E530">
        <f>IF($A530="","",IF(OR($B530="",$C530="",$D530="",$B530&lt;1300,$B530&gt;1500,$C530&lt;1,$C530&gt;12,$D530&lt;1,$D530&gt;31),"نامعتبر",RIGHT("0000"&amp;$B530,4)&amp;"/"&amp;RIGHT("00"&amp;$C530,2)&amp;"/"&amp;RIGHT("00"&amp;$D530,2)))</f>
        <v/>
      </c>
      <c r="F530">
        <f>IF(OR($E530="",$E530="نامعتبر"),"",IF(Sync!$Q527="","0000",IF(AND(ISNUMBER(Sync!$Q527),Sync!$Q527&gt;=0,Sync!$Q527&lt;1),RIGHT("00"&amp;HOUR(Sync!$Q527),2)&amp;RIGHT("00"&amp;MINUTE(Sync!$Q527),2),IFERROR(RIGHT("00"&amp;VALUE(LEFT(Sync!$Q527,FIND(":",Sync!$Q527)-1)),2)&amp;RIGHT("00"&amp;VALUE(MID(Sync!$Q527,FIND(":",Sync!$Q527)+1,2)),2),"0000"))))</f>
        <v/>
      </c>
      <c r="G530">
        <f>IF(OR($E530="",$E530="نامعتبر"),"",IF(Sync!$S527="","",Sync!$S527))</f>
        <v/>
      </c>
      <c r="H530">
        <f>IF(OR($E530="",$E530="نامعتبر"),"",IF(Sync!$R527="","",Sync!$R527))</f>
        <v/>
      </c>
      <c r="I530">
        <f>IF(OR($E530="",$E530="نامعتبر"),"",IF(Sync!$T527="","",Sync!$T527))</f>
        <v/>
      </c>
      <c r="J530">
        <f>IF(OR($E530="",$E530="نامعتبر"),"",IF(Sync!$U527="","",Sync!$U527))</f>
        <v/>
      </c>
      <c r="K530">
        <f>IF(OR($E530="",$E530="نامعتبر"),"",IF(Sync!$V527="","",IFERROR(INDEX(SubCodes,MATCH(Sync!$V527,SubTitles,0)),Sync!$V527)))</f>
        <v/>
      </c>
      <c r="L530">
        <f>IF(OR($E530="",$E530="نامعتبر"),"",IF(Sync!$W527="",0,Sync!$W527))</f>
        <v/>
      </c>
      <c r="M530">
        <f>IF(OR($E530="",$E530="نامعتبر"),"",IF(Sync!$X527="",0,Sync!$X527))</f>
        <v/>
      </c>
      <c r="N530">
        <f>IF(OR($E530="",$E530="نامعتبر"),"",IF(AND($J530="هزینه",$K530&lt;&gt;""),1,0))</f>
        <v/>
      </c>
      <c r="O530">
        <f>IF($N530=0,"",LEFT($E530,4)&amp;MID($E530,6,2)&amp;RIGHT($E530,2)&amp;$F530&amp;"|"&amp;"1"&amp;RIGHT("00000"&amp;522,5))</f>
        <v/>
      </c>
      <c r="P530">
        <f>IF($O530="","",COUNTIFS(ExpSub,$K530,ExpKey,"&lt;"&amp;$O530)+1)</f>
        <v/>
      </c>
      <c r="Q530">
        <f>IF($P530="","",$K530&amp;"|"&amp;RIGHT("000000"&amp;$P530,6))</f>
        <v/>
      </c>
    </row>
    <row r="531">
      <c r="A531">
        <f>IF(Sync!$P528="","",Sync!$P528)</f>
        <v/>
      </c>
      <c r="B531">
        <f>IF($A531="","",IF(ISNUMBER($A531),IF(AND($A531&gt;=10000101,$A531&lt;=99991231),INT($A531/10000),""),IFERROR(VALUE(TRIM(LEFT($A531,FIND("/",$A531)-1))),"")))</f>
        <v/>
      </c>
      <c r="C531">
        <f>IF(OR($A531="",$B531=""),"",IF(ISNUMBER($A531),INT(MOD($A531,10000)/100),IFERROR(VALUE(TRIM(LEFT(MID($A531,FIND("/",$A531)+1,20),FIND("/",MID($A531,FIND("/",$A531)+1,20))-1))),"")))</f>
        <v/>
      </c>
      <c r="D531">
        <f>IF(OR($A531="",$B531=""),"",IF(ISNUMBER($A531),MOD($A531,100),IFERROR(VALUE(TRIM(MID(MID($A531,FIND("/",$A531)+1,20),FIND("/",MID($A531,FIND("/",$A531)+1,20))+1,20))),"")))</f>
        <v/>
      </c>
      <c r="E531">
        <f>IF($A531="","",IF(OR($B531="",$C531="",$D531="",$B531&lt;1300,$B531&gt;1500,$C531&lt;1,$C531&gt;12,$D531&lt;1,$D531&gt;31),"نامعتبر",RIGHT("0000"&amp;$B531,4)&amp;"/"&amp;RIGHT("00"&amp;$C531,2)&amp;"/"&amp;RIGHT("00"&amp;$D531,2)))</f>
        <v/>
      </c>
      <c r="F531">
        <f>IF(OR($E531="",$E531="نامعتبر"),"",IF(Sync!$Q528="","0000",IF(AND(ISNUMBER(Sync!$Q528),Sync!$Q528&gt;=0,Sync!$Q528&lt;1),RIGHT("00"&amp;HOUR(Sync!$Q528),2)&amp;RIGHT("00"&amp;MINUTE(Sync!$Q528),2),IFERROR(RIGHT("00"&amp;VALUE(LEFT(Sync!$Q528,FIND(":",Sync!$Q528)-1)),2)&amp;RIGHT("00"&amp;VALUE(MID(Sync!$Q528,FIND(":",Sync!$Q528)+1,2)),2),"0000"))))</f>
        <v/>
      </c>
      <c r="G531">
        <f>IF(OR($E531="",$E531="نامعتبر"),"",IF(Sync!$S528="","",Sync!$S528))</f>
        <v/>
      </c>
      <c r="H531">
        <f>IF(OR($E531="",$E531="نامعتبر"),"",IF(Sync!$R528="","",Sync!$R528))</f>
        <v/>
      </c>
      <c r="I531">
        <f>IF(OR($E531="",$E531="نامعتبر"),"",IF(Sync!$T528="","",Sync!$T528))</f>
        <v/>
      </c>
      <c r="J531">
        <f>IF(OR($E531="",$E531="نامعتبر"),"",IF(Sync!$U528="","",Sync!$U528))</f>
        <v/>
      </c>
      <c r="K531">
        <f>IF(OR($E531="",$E531="نامعتبر"),"",IF(Sync!$V528="","",IFERROR(INDEX(SubCodes,MATCH(Sync!$V528,SubTitles,0)),Sync!$V528)))</f>
        <v/>
      </c>
      <c r="L531">
        <f>IF(OR($E531="",$E531="نامعتبر"),"",IF(Sync!$W528="",0,Sync!$W528))</f>
        <v/>
      </c>
      <c r="M531">
        <f>IF(OR($E531="",$E531="نامعتبر"),"",IF(Sync!$X528="",0,Sync!$X528))</f>
        <v/>
      </c>
      <c r="N531">
        <f>IF(OR($E531="",$E531="نامعتبر"),"",IF(AND($J531="هزینه",$K531&lt;&gt;""),1,0))</f>
        <v/>
      </c>
      <c r="O531">
        <f>IF($N531=0,"",LEFT($E531,4)&amp;MID($E531,6,2)&amp;RIGHT($E531,2)&amp;$F531&amp;"|"&amp;"1"&amp;RIGHT("00000"&amp;523,5))</f>
        <v/>
      </c>
      <c r="P531">
        <f>IF($O531="","",COUNTIFS(ExpSub,$K531,ExpKey,"&lt;"&amp;$O531)+1)</f>
        <v/>
      </c>
      <c r="Q531">
        <f>IF($P531="","",$K531&amp;"|"&amp;RIGHT("000000"&amp;$P531,6))</f>
        <v/>
      </c>
    </row>
    <row r="532">
      <c r="A532">
        <f>IF(Sync!$P529="","",Sync!$P529)</f>
        <v/>
      </c>
      <c r="B532">
        <f>IF($A532="","",IF(ISNUMBER($A532),IF(AND($A532&gt;=10000101,$A532&lt;=99991231),INT($A532/10000),""),IFERROR(VALUE(TRIM(LEFT($A532,FIND("/",$A532)-1))),"")))</f>
        <v/>
      </c>
      <c r="C532">
        <f>IF(OR($A532="",$B532=""),"",IF(ISNUMBER($A532),INT(MOD($A532,10000)/100),IFERROR(VALUE(TRIM(LEFT(MID($A532,FIND("/",$A532)+1,20),FIND("/",MID($A532,FIND("/",$A532)+1,20))-1))),"")))</f>
        <v/>
      </c>
      <c r="D532">
        <f>IF(OR($A532="",$B532=""),"",IF(ISNUMBER($A532),MOD($A532,100),IFERROR(VALUE(TRIM(MID(MID($A532,FIND("/",$A532)+1,20),FIND("/",MID($A532,FIND("/",$A532)+1,20))+1,20))),"")))</f>
        <v/>
      </c>
      <c r="E532">
        <f>IF($A532="","",IF(OR($B532="",$C532="",$D532="",$B532&lt;1300,$B532&gt;1500,$C532&lt;1,$C532&gt;12,$D532&lt;1,$D532&gt;31),"نامعتبر",RIGHT("0000"&amp;$B532,4)&amp;"/"&amp;RIGHT("00"&amp;$C532,2)&amp;"/"&amp;RIGHT("00"&amp;$D532,2)))</f>
        <v/>
      </c>
      <c r="F532">
        <f>IF(OR($E532="",$E532="نامعتبر"),"",IF(Sync!$Q529="","0000",IF(AND(ISNUMBER(Sync!$Q529),Sync!$Q529&gt;=0,Sync!$Q529&lt;1),RIGHT("00"&amp;HOUR(Sync!$Q529),2)&amp;RIGHT("00"&amp;MINUTE(Sync!$Q529),2),IFERROR(RIGHT("00"&amp;VALUE(LEFT(Sync!$Q529,FIND(":",Sync!$Q529)-1)),2)&amp;RIGHT("00"&amp;VALUE(MID(Sync!$Q529,FIND(":",Sync!$Q529)+1,2)),2),"0000"))))</f>
        <v/>
      </c>
      <c r="G532">
        <f>IF(OR($E532="",$E532="نامعتبر"),"",IF(Sync!$S529="","",Sync!$S529))</f>
        <v/>
      </c>
      <c r="H532">
        <f>IF(OR($E532="",$E532="نامعتبر"),"",IF(Sync!$R529="","",Sync!$R529))</f>
        <v/>
      </c>
      <c r="I532">
        <f>IF(OR($E532="",$E532="نامعتبر"),"",IF(Sync!$T529="","",Sync!$T529))</f>
        <v/>
      </c>
      <c r="J532">
        <f>IF(OR($E532="",$E532="نامعتبر"),"",IF(Sync!$U529="","",Sync!$U529))</f>
        <v/>
      </c>
      <c r="K532">
        <f>IF(OR($E532="",$E532="نامعتبر"),"",IF(Sync!$V529="","",IFERROR(INDEX(SubCodes,MATCH(Sync!$V529,SubTitles,0)),Sync!$V529)))</f>
        <v/>
      </c>
      <c r="L532">
        <f>IF(OR($E532="",$E532="نامعتبر"),"",IF(Sync!$W529="",0,Sync!$W529))</f>
        <v/>
      </c>
      <c r="M532">
        <f>IF(OR($E532="",$E532="نامعتبر"),"",IF(Sync!$X529="",0,Sync!$X529))</f>
        <v/>
      </c>
      <c r="N532">
        <f>IF(OR($E532="",$E532="نامعتبر"),"",IF(AND($J532="هزینه",$K532&lt;&gt;""),1,0))</f>
        <v/>
      </c>
      <c r="O532">
        <f>IF($N532=0,"",LEFT($E532,4)&amp;MID($E532,6,2)&amp;RIGHT($E532,2)&amp;$F532&amp;"|"&amp;"1"&amp;RIGHT("00000"&amp;524,5))</f>
        <v/>
      </c>
      <c r="P532">
        <f>IF($O532="","",COUNTIFS(ExpSub,$K532,ExpKey,"&lt;"&amp;$O532)+1)</f>
        <v/>
      </c>
      <c r="Q532">
        <f>IF($P532="","",$K532&amp;"|"&amp;RIGHT("000000"&amp;$P532,6))</f>
        <v/>
      </c>
    </row>
    <row r="533">
      <c r="A533">
        <f>IF(Sync!$P530="","",Sync!$P530)</f>
        <v/>
      </c>
      <c r="B533">
        <f>IF($A533="","",IF(ISNUMBER($A533),IF(AND($A533&gt;=10000101,$A533&lt;=99991231),INT($A533/10000),""),IFERROR(VALUE(TRIM(LEFT($A533,FIND("/",$A533)-1))),"")))</f>
        <v/>
      </c>
      <c r="C533">
        <f>IF(OR($A533="",$B533=""),"",IF(ISNUMBER($A533),INT(MOD($A533,10000)/100),IFERROR(VALUE(TRIM(LEFT(MID($A533,FIND("/",$A533)+1,20),FIND("/",MID($A533,FIND("/",$A533)+1,20))-1))),"")))</f>
        <v/>
      </c>
      <c r="D533">
        <f>IF(OR($A533="",$B533=""),"",IF(ISNUMBER($A533),MOD($A533,100),IFERROR(VALUE(TRIM(MID(MID($A533,FIND("/",$A533)+1,20),FIND("/",MID($A533,FIND("/",$A533)+1,20))+1,20))),"")))</f>
        <v/>
      </c>
      <c r="E533">
        <f>IF($A533="","",IF(OR($B533="",$C533="",$D533="",$B533&lt;1300,$B533&gt;1500,$C533&lt;1,$C533&gt;12,$D533&lt;1,$D533&gt;31),"نامعتبر",RIGHT("0000"&amp;$B533,4)&amp;"/"&amp;RIGHT("00"&amp;$C533,2)&amp;"/"&amp;RIGHT("00"&amp;$D533,2)))</f>
        <v/>
      </c>
      <c r="F533">
        <f>IF(OR($E533="",$E533="نامعتبر"),"",IF(Sync!$Q530="","0000",IF(AND(ISNUMBER(Sync!$Q530),Sync!$Q530&gt;=0,Sync!$Q530&lt;1),RIGHT("00"&amp;HOUR(Sync!$Q530),2)&amp;RIGHT("00"&amp;MINUTE(Sync!$Q530),2),IFERROR(RIGHT("00"&amp;VALUE(LEFT(Sync!$Q530,FIND(":",Sync!$Q530)-1)),2)&amp;RIGHT("00"&amp;VALUE(MID(Sync!$Q530,FIND(":",Sync!$Q530)+1,2)),2),"0000"))))</f>
        <v/>
      </c>
      <c r="G533">
        <f>IF(OR($E533="",$E533="نامعتبر"),"",IF(Sync!$S530="","",Sync!$S530))</f>
        <v/>
      </c>
      <c r="H533">
        <f>IF(OR($E533="",$E533="نامعتبر"),"",IF(Sync!$R530="","",Sync!$R530))</f>
        <v/>
      </c>
      <c r="I533">
        <f>IF(OR($E533="",$E533="نامعتبر"),"",IF(Sync!$T530="","",Sync!$T530))</f>
        <v/>
      </c>
      <c r="J533">
        <f>IF(OR($E533="",$E533="نامعتبر"),"",IF(Sync!$U530="","",Sync!$U530))</f>
        <v/>
      </c>
      <c r="K533">
        <f>IF(OR($E533="",$E533="نامعتبر"),"",IF(Sync!$V530="","",IFERROR(INDEX(SubCodes,MATCH(Sync!$V530,SubTitles,0)),Sync!$V530)))</f>
        <v/>
      </c>
      <c r="L533">
        <f>IF(OR($E533="",$E533="نامعتبر"),"",IF(Sync!$W530="",0,Sync!$W530))</f>
        <v/>
      </c>
      <c r="M533">
        <f>IF(OR($E533="",$E533="نامعتبر"),"",IF(Sync!$X530="",0,Sync!$X530))</f>
        <v/>
      </c>
      <c r="N533">
        <f>IF(OR($E533="",$E533="نامعتبر"),"",IF(AND($J533="هزینه",$K533&lt;&gt;""),1,0))</f>
        <v/>
      </c>
      <c r="O533">
        <f>IF($N533=0,"",LEFT($E533,4)&amp;MID($E533,6,2)&amp;RIGHT($E533,2)&amp;$F533&amp;"|"&amp;"1"&amp;RIGHT("00000"&amp;525,5))</f>
        <v/>
      </c>
      <c r="P533">
        <f>IF($O533="","",COUNTIFS(ExpSub,$K533,ExpKey,"&lt;"&amp;$O533)+1)</f>
        <v/>
      </c>
      <c r="Q533">
        <f>IF($P533="","",$K533&amp;"|"&amp;RIGHT("000000"&amp;$P533,6))</f>
        <v/>
      </c>
    </row>
    <row r="534">
      <c r="A534">
        <f>IF(Sync!$P531="","",Sync!$P531)</f>
        <v/>
      </c>
      <c r="B534">
        <f>IF($A534="","",IF(ISNUMBER($A534),IF(AND($A534&gt;=10000101,$A534&lt;=99991231),INT($A534/10000),""),IFERROR(VALUE(TRIM(LEFT($A534,FIND("/",$A534)-1))),"")))</f>
        <v/>
      </c>
      <c r="C534">
        <f>IF(OR($A534="",$B534=""),"",IF(ISNUMBER($A534),INT(MOD($A534,10000)/100),IFERROR(VALUE(TRIM(LEFT(MID($A534,FIND("/",$A534)+1,20),FIND("/",MID($A534,FIND("/",$A534)+1,20))-1))),"")))</f>
        <v/>
      </c>
      <c r="D534">
        <f>IF(OR($A534="",$B534=""),"",IF(ISNUMBER($A534),MOD($A534,100),IFERROR(VALUE(TRIM(MID(MID($A534,FIND("/",$A534)+1,20),FIND("/",MID($A534,FIND("/",$A534)+1,20))+1,20))),"")))</f>
        <v/>
      </c>
      <c r="E534">
        <f>IF($A534="","",IF(OR($B534="",$C534="",$D534="",$B534&lt;1300,$B534&gt;1500,$C534&lt;1,$C534&gt;12,$D534&lt;1,$D534&gt;31),"نامعتبر",RIGHT("0000"&amp;$B534,4)&amp;"/"&amp;RIGHT("00"&amp;$C534,2)&amp;"/"&amp;RIGHT("00"&amp;$D534,2)))</f>
        <v/>
      </c>
      <c r="F534">
        <f>IF(OR($E534="",$E534="نامعتبر"),"",IF(Sync!$Q531="","0000",IF(AND(ISNUMBER(Sync!$Q531),Sync!$Q531&gt;=0,Sync!$Q531&lt;1),RIGHT("00"&amp;HOUR(Sync!$Q531),2)&amp;RIGHT("00"&amp;MINUTE(Sync!$Q531),2),IFERROR(RIGHT("00"&amp;VALUE(LEFT(Sync!$Q531,FIND(":",Sync!$Q531)-1)),2)&amp;RIGHT("00"&amp;VALUE(MID(Sync!$Q531,FIND(":",Sync!$Q531)+1,2)),2),"0000"))))</f>
        <v/>
      </c>
      <c r="G534">
        <f>IF(OR($E534="",$E534="نامعتبر"),"",IF(Sync!$S531="","",Sync!$S531))</f>
        <v/>
      </c>
      <c r="H534">
        <f>IF(OR($E534="",$E534="نامعتبر"),"",IF(Sync!$R531="","",Sync!$R531))</f>
        <v/>
      </c>
      <c r="I534">
        <f>IF(OR($E534="",$E534="نامعتبر"),"",IF(Sync!$T531="","",Sync!$T531))</f>
        <v/>
      </c>
      <c r="J534">
        <f>IF(OR($E534="",$E534="نامعتبر"),"",IF(Sync!$U531="","",Sync!$U531))</f>
        <v/>
      </c>
      <c r="K534">
        <f>IF(OR($E534="",$E534="نامعتبر"),"",IF(Sync!$V531="","",IFERROR(INDEX(SubCodes,MATCH(Sync!$V531,SubTitles,0)),Sync!$V531)))</f>
        <v/>
      </c>
      <c r="L534">
        <f>IF(OR($E534="",$E534="نامعتبر"),"",IF(Sync!$W531="",0,Sync!$W531))</f>
        <v/>
      </c>
      <c r="M534">
        <f>IF(OR($E534="",$E534="نامعتبر"),"",IF(Sync!$X531="",0,Sync!$X531))</f>
        <v/>
      </c>
      <c r="N534">
        <f>IF(OR($E534="",$E534="نامعتبر"),"",IF(AND($J534="هزینه",$K534&lt;&gt;""),1,0))</f>
        <v/>
      </c>
      <c r="O534">
        <f>IF($N534=0,"",LEFT($E534,4)&amp;MID($E534,6,2)&amp;RIGHT($E534,2)&amp;$F534&amp;"|"&amp;"1"&amp;RIGHT("00000"&amp;526,5))</f>
        <v/>
      </c>
      <c r="P534">
        <f>IF($O534="","",COUNTIFS(ExpSub,$K534,ExpKey,"&lt;"&amp;$O534)+1)</f>
        <v/>
      </c>
      <c r="Q534">
        <f>IF($P534="","",$K534&amp;"|"&amp;RIGHT("000000"&amp;$P534,6))</f>
        <v/>
      </c>
    </row>
    <row r="535">
      <c r="A535">
        <f>IF(Sync!$P532="","",Sync!$P532)</f>
        <v/>
      </c>
      <c r="B535">
        <f>IF($A535="","",IF(ISNUMBER($A535),IF(AND($A535&gt;=10000101,$A535&lt;=99991231),INT($A535/10000),""),IFERROR(VALUE(TRIM(LEFT($A535,FIND("/",$A535)-1))),"")))</f>
        <v/>
      </c>
      <c r="C535">
        <f>IF(OR($A535="",$B535=""),"",IF(ISNUMBER($A535),INT(MOD($A535,10000)/100),IFERROR(VALUE(TRIM(LEFT(MID($A535,FIND("/",$A535)+1,20),FIND("/",MID($A535,FIND("/",$A535)+1,20))-1))),"")))</f>
        <v/>
      </c>
      <c r="D535">
        <f>IF(OR($A535="",$B535=""),"",IF(ISNUMBER($A535),MOD($A535,100),IFERROR(VALUE(TRIM(MID(MID($A535,FIND("/",$A535)+1,20),FIND("/",MID($A535,FIND("/",$A535)+1,20))+1,20))),"")))</f>
        <v/>
      </c>
      <c r="E535">
        <f>IF($A535="","",IF(OR($B535="",$C535="",$D535="",$B535&lt;1300,$B535&gt;1500,$C535&lt;1,$C535&gt;12,$D535&lt;1,$D535&gt;31),"نامعتبر",RIGHT("0000"&amp;$B535,4)&amp;"/"&amp;RIGHT("00"&amp;$C535,2)&amp;"/"&amp;RIGHT("00"&amp;$D535,2)))</f>
        <v/>
      </c>
      <c r="F535">
        <f>IF(OR($E535="",$E535="نامعتبر"),"",IF(Sync!$Q532="","0000",IF(AND(ISNUMBER(Sync!$Q532),Sync!$Q532&gt;=0,Sync!$Q532&lt;1),RIGHT("00"&amp;HOUR(Sync!$Q532),2)&amp;RIGHT("00"&amp;MINUTE(Sync!$Q532),2),IFERROR(RIGHT("00"&amp;VALUE(LEFT(Sync!$Q532,FIND(":",Sync!$Q532)-1)),2)&amp;RIGHT("00"&amp;VALUE(MID(Sync!$Q532,FIND(":",Sync!$Q532)+1,2)),2),"0000"))))</f>
        <v/>
      </c>
      <c r="G535">
        <f>IF(OR($E535="",$E535="نامعتبر"),"",IF(Sync!$S532="","",Sync!$S532))</f>
        <v/>
      </c>
      <c r="H535">
        <f>IF(OR($E535="",$E535="نامعتبر"),"",IF(Sync!$R532="","",Sync!$R532))</f>
        <v/>
      </c>
      <c r="I535">
        <f>IF(OR($E535="",$E535="نامعتبر"),"",IF(Sync!$T532="","",Sync!$T532))</f>
        <v/>
      </c>
      <c r="J535">
        <f>IF(OR($E535="",$E535="نامعتبر"),"",IF(Sync!$U532="","",Sync!$U532))</f>
        <v/>
      </c>
      <c r="K535">
        <f>IF(OR($E535="",$E535="نامعتبر"),"",IF(Sync!$V532="","",IFERROR(INDEX(SubCodes,MATCH(Sync!$V532,SubTitles,0)),Sync!$V532)))</f>
        <v/>
      </c>
      <c r="L535">
        <f>IF(OR($E535="",$E535="نامعتبر"),"",IF(Sync!$W532="",0,Sync!$W532))</f>
        <v/>
      </c>
      <c r="M535">
        <f>IF(OR($E535="",$E535="نامعتبر"),"",IF(Sync!$X532="",0,Sync!$X532))</f>
        <v/>
      </c>
      <c r="N535">
        <f>IF(OR($E535="",$E535="نامعتبر"),"",IF(AND($J535="هزینه",$K535&lt;&gt;""),1,0))</f>
        <v/>
      </c>
      <c r="O535">
        <f>IF($N535=0,"",LEFT($E535,4)&amp;MID($E535,6,2)&amp;RIGHT($E535,2)&amp;$F535&amp;"|"&amp;"1"&amp;RIGHT("00000"&amp;527,5))</f>
        <v/>
      </c>
      <c r="P535">
        <f>IF($O535="","",COUNTIFS(ExpSub,$K535,ExpKey,"&lt;"&amp;$O535)+1)</f>
        <v/>
      </c>
      <c r="Q535">
        <f>IF($P535="","",$K535&amp;"|"&amp;RIGHT("000000"&amp;$P535,6))</f>
        <v/>
      </c>
    </row>
    <row r="536">
      <c r="A536">
        <f>IF(Sync!$P533="","",Sync!$P533)</f>
        <v/>
      </c>
      <c r="B536">
        <f>IF($A536="","",IF(ISNUMBER($A536),IF(AND($A536&gt;=10000101,$A536&lt;=99991231),INT($A536/10000),""),IFERROR(VALUE(TRIM(LEFT($A536,FIND("/",$A536)-1))),"")))</f>
        <v/>
      </c>
      <c r="C536">
        <f>IF(OR($A536="",$B536=""),"",IF(ISNUMBER($A536),INT(MOD($A536,10000)/100),IFERROR(VALUE(TRIM(LEFT(MID($A536,FIND("/",$A536)+1,20),FIND("/",MID($A536,FIND("/",$A536)+1,20))-1))),"")))</f>
        <v/>
      </c>
      <c r="D536">
        <f>IF(OR($A536="",$B536=""),"",IF(ISNUMBER($A536),MOD($A536,100),IFERROR(VALUE(TRIM(MID(MID($A536,FIND("/",$A536)+1,20),FIND("/",MID($A536,FIND("/",$A536)+1,20))+1,20))),"")))</f>
        <v/>
      </c>
      <c r="E536">
        <f>IF($A536="","",IF(OR($B536="",$C536="",$D536="",$B536&lt;1300,$B536&gt;1500,$C536&lt;1,$C536&gt;12,$D536&lt;1,$D536&gt;31),"نامعتبر",RIGHT("0000"&amp;$B536,4)&amp;"/"&amp;RIGHT("00"&amp;$C536,2)&amp;"/"&amp;RIGHT("00"&amp;$D536,2)))</f>
        <v/>
      </c>
      <c r="F536">
        <f>IF(OR($E536="",$E536="نامعتبر"),"",IF(Sync!$Q533="","0000",IF(AND(ISNUMBER(Sync!$Q533),Sync!$Q533&gt;=0,Sync!$Q533&lt;1),RIGHT("00"&amp;HOUR(Sync!$Q533),2)&amp;RIGHT("00"&amp;MINUTE(Sync!$Q533),2),IFERROR(RIGHT("00"&amp;VALUE(LEFT(Sync!$Q533,FIND(":",Sync!$Q533)-1)),2)&amp;RIGHT("00"&amp;VALUE(MID(Sync!$Q533,FIND(":",Sync!$Q533)+1,2)),2),"0000"))))</f>
        <v/>
      </c>
      <c r="G536">
        <f>IF(OR($E536="",$E536="نامعتبر"),"",IF(Sync!$S533="","",Sync!$S533))</f>
        <v/>
      </c>
      <c r="H536">
        <f>IF(OR($E536="",$E536="نامعتبر"),"",IF(Sync!$R533="","",Sync!$R533))</f>
        <v/>
      </c>
      <c r="I536">
        <f>IF(OR($E536="",$E536="نامعتبر"),"",IF(Sync!$T533="","",Sync!$T533))</f>
        <v/>
      </c>
      <c r="J536">
        <f>IF(OR($E536="",$E536="نامعتبر"),"",IF(Sync!$U533="","",Sync!$U533))</f>
        <v/>
      </c>
      <c r="K536">
        <f>IF(OR($E536="",$E536="نامعتبر"),"",IF(Sync!$V533="","",IFERROR(INDEX(SubCodes,MATCH(Sync!$V533,SubTitles,0)),Sync!$V533)))</f>
        <v/>
      </c>
      <c r="L536">
        <f>IF(OR($E536="",$E536="نامعتبر"),"",IF(Sync!$W533="",0,Sync!$W533))</f>
        <v/>
      </c>
      <c r="M536">
        <f>IF(OR($E536="",$E536="نامعتبر"),"",IF(Sync!$X533="",0,Sync!$X533))</f>
        <v/>
      </c>
      <c r="N536">
        <f>IF(OR($E536="",$E536="نامعتبر"),"",IF(AND($J536="هزینه",$K536&lt;&gt;""),1,0))</f>
        <v/>
      </c>
      <c r="O536">
        <f>IF($N536=0,"",LEFT($E536,4)&amp;MID($E536,6,2)&amp;RIGHT($E536,2)&amp;$F536&amp;"|"&amp;"1"&amp;RIGHT("00000"&amp;528,5))</f>
        <v/>
      </c>
      <c r="P536">
        <f>IF($O536="","",COUNTIFS(ExpSub,$K536,ExpKey,"&lt;"&amp;$O536)+1)</f>
        <v/>
      </c>
      <c r="Q536">
        <f>IF($P536="","",$K536&amp;"|"&amp;RIGHT("000000"&amp;$P536,6))</f>
        <v/>
      </c>
    </row>
    <row r="537">
      <c r="A537">
        <f>IF(Sync!$P534="","",Sync!$P534)</f>
        <v/>
      </c>
      <c r="B537">
        <f>IF($A537="","",IF(ISNUMBER($A537),IF(AND($A537&gt;=10000101,$A537&lt;=99991231),INT($A537/10000),""),IFERROR(VALUE(TRIM(LEFT($A537,FIND("/",$A537)-1))),"")))</f>
        <v/>
      </c>
      <c r="C537">
        <f>IF(OR($A537="",$B537=""),"",IF(ISNUMBER($A537),INT(MOD($A537,10000)/100),IFERROR(VALUE(TRIM(LEFT(MID($A537,FIND("/",$A537)+1,20),FIND("/",MID($A537,FIND("/",$A537)+1,20))-1))),"")))</f>
        <v/>
      </c>
      <c r="D537">
        <f>IF(OR($A537="",$B537=""),"",IF(ISNUMBER($A537),MOD($A537,100),IFERROR(VALUE(TRIM(MID(MID($A537,FIND("/",$A537)+1,20),FIND("/",MID($A537,FIND("/",$A537)+1,20))+1,20))),"")))</f>
        <v/>
      </c>
      <c r="E537">
        <f>IF($A537="","",IF(OR($B537="",$C537="",$D537="",$B537&lt;1300,$B537&gt;1500,$C537&lt;1,$C537&gt;12,$D537&lt;1,$D537&gt;31),"نامعتبر",RIGHT("0000"&amp;$B537,4)&amp;"/"&amp;RIGHT("00"&amp;$C537,2)&amp;"/"&amp;RIGHT("00"&amp;$D537,2)))</f>
        <v/>
      </c>
      <c r="F537">
        <f>IF(OR($E537="",$E537="نامعتبر"),"",IF(Sync!$Q534="","0000",IF(AND(ISNUMBER(Sync!$Q534),Sync!$Q534&gt;=0,Sync!$Q534&lt;1),RIGHT("00"&amp;HOUR(Sync!$Q534),2)&amp;RIGHT("00"&amp;MINUTE(Sync!$Q534),2),IFERROR(RIGHT("00"&amp;VALUE(LEFT(Sync!$Q534,FIND(":",Sync!$Q534)-1)),2)&amp;RIGHT("00"&amp;VALUE(MID(Sync!$Q534,FIND(":",Sync!$Q534)+1,2)),2),"0000"))))</f>
        <v/>
      </c>
      <c r="G537">
        <f>IF(OR($E537="",$E537="نامعتبر"),"",IF(Sync!$S534="","",Sync!$S534))</f>
        <v/>
      </c>
      <c r="H537">
        <f>IF(OR($E537="",$E537="نامعتبر"),"",IF(Sync!$R534="","",Sync!$R534))</f>
        <v/>
      </c>
      <c r="I537">
        <f>IF(OR($E537="",$E537="نامعتبر"),"",IF(Sync!$T534="","",Sync!$T534))</f>
        <v/>
      </c>
      <c r="J537">
        <f>IF(OR($E537="",$E537="نامعتبر"),"",IF(Sync!$U534="","",Sync!$U534))</f>
        <v/>
      </c>
      <c r="K537">
        <f>IF(OR($E537="",$E537="نامعتبر"),"",IF(Sync!$V534="","",IFERROR(INDEX(SubCodes,MATCH(Sync!$V534,SubTitles,0)),Sync!$V534)))</f>
        <v/>
      </c>
      <c r="L537">
        <f>IF(OR($E537="",$E537="نامعتبر"),"",IF(Sync!$W534="",0,Sync!$W534))</f>
        <v/>
      </c>
      <c r="M537">
        <f>IF(OR($E537="",$E537="نامعتبر"),"",IF(Sync!$X534="",0,Sync!$X534))</f>
        <v/>
      </c>
      <c r="N537">
        <f>IF(OR($E537="",$E537="نامعتبر"),"",IF(AND($J537="هزینه",$K537&lt;&gt;""),1,0))</f>
        <v/>
      </c>
      <c r="O537">
        <f>IF($N537=0,"",LEFT($E537,4)&amp;MID($E537,6,2)&amp;RIGHT($E537,2)&amp;$F537&amp;"|"&amp;"1"&amp;RIGHT("00000"&amp;529,5))</f>
        <v/>
      </c>
      <c r="P537">
        <f>IF($O537="","",COUNTIFS(ExpSub,$K537,ExpKey,"&lt;"&amp;$O537)+1)</f>
        <v/>
      </c>
      <c r="Q537">
        <f>IF($P537="","",$K537&amp;"|"&amp;RIGHT("000000"&amp;$P537,6))</f>
        <v/>
      </c>
    </row>
    <row r="538">
      <c r="A538">
        <f>IF(Sync!$P535="","",Sync!$P535)</f>
        <v/>
      </c>
      <c r="B538">
        <f>IF($A538="","",IF(ISNUMBER($A538),IF(AND($A538&gt;=10000101,$A538&lt;=99991231),INT($A538/10000),""),IFERROR(VALUE(TRIM(LEFT($A538,FIND("/",$A538)-1))),"")))</f>
        <v/>
      </c>
      <c r="C538">
        <f>IF(OR($A538="",$B538=""),"",IF(ISNUMBER($A538),INT(MOD($A538,10000)/100),IFERROR(VALUE(TRIM(LEFT(MID($A538,FIND("/",$A538)+1,20),FIND("/",MID($A538,FIND("/",$A538)+1,20))-1))),"")))</f>
        <v/>
      </c>
      <c r="D538">
        <f>IF(OR($A538="",$B538=""),"",IF(ISNUMBER($A538),MOD($A538,100),IFERROR(VALUE(TRIM(MID(MID($A538,FIND("/",$A538)+1,20),FIND("/",MID($A538,FIND("/",$A538)+1,20))+1,20))),"")))</f>
        <v/>
      </c>
      <c r="E538">
        <f>IF($A538="","",IF(OR($B538="",$C538="",$D538="",$B538&lt;1300,$B538&gt;1500,$C538&lt;1,$C538&gt;12,$D538&lt;1,$D538&gt;31),"نامعتبر",RIGHT("0000"&amp;$B538,4)&amp;"/"&amp;RIGHT("00"&amp;$C538,2)&amp;"/"&amp;RIGHT("00"&amp;$D538,2)))</f>
        <v/>
      </c>
      <c r="F538">
        <f>IF(OR($E538="",$E538="نامعتبر"),"",IF(Sync!$Q535="","0000",IF(AND(ISNUMBER(Sync!$Q535),Sync!$Q535&gt;=0,Sync!$Q535&lt;1),RIGHT("00"&amp;HOUR(Sync!$Q535),2)&amp;RIGHT("00"&amp;MINUTE(Sync!$Q535),2),IFERROR(RIGHT("00"&amp;VALUE(LEFT(Sync!$Q535,FIND(":",Sync!$Q535)-1)),2)&amp;RIGHT("00"&amp;VALUE(MID(Sync!$Q535,FIND(":",Sync!$Q535)+1,2)),2),"0000"))))</f>
        <v/>
      </c>
      <c r="G538">
        <f>IF(OR($E538="",$E538="نامعتبر"),"",IF(Sync!$S535="","",Sync!$S535))</f>
        <v/>
      </c>
      <c r="H538">
        <f>IF(OR($E538="",$E538="نامعتبر"),"",IF(Sync!$R535="","",Sync!$R535))</f>
        <v/>
      </c>
      <c r="I538">
        <f>IF(OR($E538="",$E538="نامعتبر"),"",IF(Sync!$T535="","",Sync!$T535))</f>
        <v/>
      </c>
      <c r="J538">
        <f>IF(OR($E538="",$E538="نامعتبر"),"",IF(Sync!$U535="","",Sync!$U535))</f>
        <v/>
      </c>
      <c r="K538">
        <f>IF(OR($E538="",$E538="نامعتبر"),"",IF(Sync!$V535="","",IFERROR(INDEX(SubCodes,MATCH(Sync!$V535,SubTitles,0)),Sync!$V535)))</f>
        <v/>
      </c>
      <c r="L538">
        <f>IF(OR($E538="",$E538="نامعتبر"),"",IF(Sync!$W535="",0,Sync!$W535))</f>
        <v/>
      </c>
      <c r="M538">
        <f>IF(OR($E538="",$E538="نامعتبر"),"",IF(Sync!$X535="",0,Sync!$X535))</f>
        <v/>
      </c>
      <c r="N538">
        <f>IF(OR($E538="",$E538="نامعتبر"),"",IF(AND($J538="هزینه",$K538&lt;&gt;""),1,0))</f>
        <v/>
      </c>
      <c r="O538">
        <f>IF($N538=0,"",LEFT($E538,4)&amp;MID($E538,6,2)&amp;RIGHT($E538,2)&amp;$F538&amp;"|"&amp;"1"&amp;RIGHT("00000"&amp;530,5))</f>
        <v/>
      </c>
      <c r="P538">
        <f>IF($O538="","",COUNTIFS(ExpSub,$K538,ExpKey,"&lt;"&amp;$O538)+1)</f>
        <v/>
      </c>
      <c r="Q538">
        <f>IF($P538="","",$K538&amp;"|"&amp;RIGHT("000000"&amp;$P538,6))</f>
        <v/>
      </c>
    </row>
    <row r="539">
      <c r="A539">
        <f>IF(Sync!$P536="","",Sync!$P536)</f>
        <v/>
      </c>
      <c r="B539">
        <f>IF($A539="","",IF(ISNUMBER($A539),IF(AND($A539&gt;=10000101,$A539&lt;=99991231),INT($A539/10000),""),IFERROR(VALUE(TRIM(LEFT($A539,FIND("/",$A539)-1))),"")))</f>
        <v/>
      </c>
      <c r="C539">
        <f>IF(OR($A539="",$B539=""),"",IF(ISNUMBER($A539),INT(MOD($A539,10000)/100),IFERROR(VALUE(TRIM(LEFT(MID($A539,FIND("/",$A539)+1,20),FIND("/",MID($A539,FIND("/",$A539)+1,20))-1))),"")))</f>
        <v/>
      </c>
      <c r="D539">
        <f>IF(OR($A539="",$B539=""),"",IF(ISNUMBER($A539),MOD($A539,100),IFERROR(VALUE(TRIM(MID(MID($A539,FIND("/",$A539)+1,20),FIND("/",MID($A539,FIND("/",$A539)+1,20))+1,20))),"")))</f>
        <v/>
      </c>
      <c r="E539">
        <f>IF($A539="","",IF(OR($B539="",$C539="",$D539="",$B539&lt;1300,$B539&gt;1500,$C539&lt;1,$C539&gt;12,$D539&lt;1,$D539&gt;31),"نامعتبر",RIGHT("0000"&amp;$B539,4)&amp;"/"&amp;RIGHT("00"&amp;$C539,2)&amp;"/"&amp;RIGHT("00"&amp;$D539,2)))</f>
        <v/>
      </c>
      <c r="F539">
        <f>IF(OR($E539="",$E539="نامعتبر"),"",IF(Sync!$Q536="","0000",IF(AND(ISNUMBER(Sync!$Q536),Sync!$Q536&gt;=0,Sync!$Q536&lt;1),RIGHT("00"&amp;HOUR(Sync!$Q536),2)&amp;RIGHT("00"&amp;MINUTE(Sync!$Q536),2),IFERROR(RIGHT("00"&amp;VALUE(LEFT(Sync!$Q536,FIND(":",Sync!$Q536)-1)),2)&amp;RIGHT("00"&amp;VALUE(MID(Sync!$Q536,FIND(":",Sync!$Q536)+1,2)),2),"0000"))))</f>
        <v/>
      </c>
      <c r="G539">
        <f>IF(OR($E539="",$E539="نامعتبر"),"",IF(Sync!$S536="","",Sync!$S536))</f>
        <v/>
      </c>
      <c r="H539">
        <f>IF(OR($E539="",$E539="نامعتبر"),"",IF(Sync!$R536="","",Sync!$R536))</f>
        <v/>
      </c>
      <c r="I539">
        <f>IF(OR($E539="",$E539="نامعتبر"),"",IF(Sync!$T536="","",Sync!$T536))</f>
        <v/>
      </c>
      <c r="J539">
        <f>IF(OR($E539="",$E539="نامعتبر"),"",IF(Sync!$U536="","",Sync!$U536))</f>
        <v/>
      </c>
      <c r="K539">
        <f>IF(OR($E539="",$E539="نامعتبر"),"",IF(Sync!$V536="","",IFERROR(INDEX(SubCodes,MATCH(Sync!$V536,SubTitles,0)),Sync!$V536)))</f>
        <v/>
      </c>
      <c r="L539">
        <f>IF(OR($E539="",$E539="نامعتبر"),"",IF(Sync!$W536="",0,Sync!$W536))</f>
        <v/>
      </c>
      <c r="M539">
        <f>IF(OR($E539="",$E539="نامعتبر"),"",IF(Sync!$X536="",0,Sync!$X536))</f>
        <v/>
      </c>
      <c r="N539">
        <f>IF(OR($E539="",$E539="نامعتبر"),"",IF(AND($J539="هزینه",$K539&lt;&gt;""),1,0))</f>
        <v/>
      </c>
      <c r="O539">
        <f>IF($N539=0,"",LEFT($E539,4)&amp;MID($E539,6,2)&amp;RIGHT($E539,2)&amp;$F539&amp;"|"&amp;"1"&amp;RIGHT("00000"&amp;531,5))</f>
        <v/>
      </c>
      <c r="P539">
        <f>IF($O539="","",COUNTIFS(ExpSub,$K539,ExpKey,"&lt;"&amp;$O539)+1)</f>
        <v/>
      </c>
      <c r="Q539">
        <f>IF($P539="","",$K539&amp;"|"&amp;RIGHT("000000"&amp;$P539,6))</f>
        <v/>
      </c>
    </row>
    <row r="540">
      <c r="A540">
        <f>IF(Sync!$P537="","",Sync!$P537)</f>
        <v/>
      </c>
      <c r="B540">
        <f>IF($A540="","",IF(ISNUMBER($A540),IF(AND($A540&gt;=10000101,$A540&lt;=99991231),INT($A540/10000),""),IFERROR(VALUE(TRIM(LEFT($A540,FIND("/",$A540)-1))),"")))</f>
        <v/>
      </c>
      <c r="C540">
        <f>IF(OR($A540="",$B540=""),"",IF(ISNUMBER($A540),INT(MOD($A540,10000)/100),IFERROR(VALUE(TRIM(LEFT(MID($A540,FIND("/",$A540)+1,20),FIND("/",MID($A540,FIND("/",$A540)+1,20))-1))),"")))</f>
        <v/>
      </c>
      <c r="D540">
        <f>IF(OR($A540="",$B540=""),"",IF(ISNUMBER($A540),MOD($A540,100),IFERROR(VALUE(TRIM(MID(MID($A540,FIND("/",$A540)+1,20),FIND("/",MID($A540,FIND("/",$A540)+1,20))+1,20))),"")))</f>
        <v/>
      </c>
      <c r="E540">
        <f>IF($A540="","",IF(OR($B540="",$C540="",$D540="",$B540&lt;1300,$B540&gt;1500,$C540&lt;1,$C540&gt;12,$D540&lt;1,$D540&gt;31),"نامعتبر",RIGHT("0000"&amp;$B540,4)&amp;"/"&amp;RIGHT("00"&amp;$C540,2)&amp;"/"&amp;RIGHT("00"&amp;$D540,2)))</f>
        <v/>
      </c>
      <c r="F540">
        <f>IF(OR($E540="",$E540="نامعتبر"),"",IF(Sync!$Q537="","0000",IF(AND(ISNUMBER(Sync!$Q537),Sync!$Q537&gt;=0,Sync!$Q537&lt;1),RIGHT("00"&amp;HOUR(Sync!$Q537),2)&amp;RIGHT("00"&amp;MINUTE(Sync!$Q537),2),IFERROR(RIGHT("00"&amp;VALUE(LEFT(Sync!$Q537,FIND(":",Sync!$Q537)-1)),2)&amp;RIGHT("00"&amp;VALUE(MID(Sync!$Q537,FIND(":",Sync!$Q537)+1,2)),2),"0000"))))</f>
        <v/>
      </c>
      <c r="G540">
        <f>IF(OR($E540="",$E540="نامعتبر"),"",IF(Sync!$S537="","",Sync!$S537))</f>
        <v/>
      </c>
      <c r="H540">
        <f>IF(OR($E540="",$E540="نامعتبر"),"",IF(Sync!$R537="","",Sync!$R537))</f>
        <v/>
      </c>
      <c r="I540">
        <f>IF(OR($E540="",$E540="نامعتبر"),"",IF(Sync!$T537="","",Sync!$T537))</f>
        <v/>
      </c>
      <c r="J540">
        <f>IF(OR($E540="",$E540="نامعتبر"),"",IF(Sync!$U537="","",Sync!$U537))</f>
        <v/>
      </c>
      <c r="K540">
        <f>IF(OR($E540="",$E540="نامعتبر"),"",IF(Sync!$V537="","",IFERROR(INDEX(SubCodes,MATCH(Sync!$V537,SubTitles,0)),Sync!$V537)))</f>
        <v/>
      </c>
      <c r="L540">
        <f>IF(OR($E540="",$E540="نامعتبر"),"",IF(Sync!$W537="",0,Sync!$W537))</f>
        <v/>
      </c>
      <c r="M540">
        <f>IF(OR($E540="",$E540="نامعتبر"),"",IF(Sync!$X537="",0,Sync!$X537))</f>
        <v/>
      </c>
      <c r="N540">
        <f>IF(OR($E540="",$E540="نامعتبر"),"",IF(AND($J540="هزینه",$K540&lt;&gt;""),1,0))</f>
        <v/>
      </c>
      <c r="O540">
        <f>IF($N540=0,"",LEFT($E540,4)&amp;MID($E540,6,2)&amp;RIGHT($E540,2)&amp;$F540&amp;"|"&amp;"1"&amp;RIGHT("00000"&amp;532,5))</f>
        <v/>
      </c>
      <c r="P540">
        <f>IF($O540="","",COUNTIFS(ExpSub,$K540,ExpKey,"&lt;"&amp;$O540)+1)</f>
        <v/>
      </c>
      <c r="Q540">
        <f>IF($P540="","",$K540&amp;"|"&amp;RIGHT("000000"&amp;$P540,6))</f>
        <v/>
      </c>
    </row>
    <row r="541">
      <c r="A541">
        <f>IF(Sync!$P538="","",Sync!$P538)</f>
        <v/>
      </c>
      <c r="B541">
        <f>IF($A541="","",IF(ISNUMBER($A541),IF(AND($A541&gt;=10000101,$A541&lt;=99991231),INT($A541/10000),""),IFERROR(VALUE(TRIM(LEFT($A541,FIND("/",$A541)-1))),"")))</f>
        <v/>
      </c>
      <c r="C541">
        <f>IF(OR($A541="",$B541=""),"",IF(ISNUMBER($A541),INT(MOD($A541,10000)/100),IFERROR(VALUE(TRIM(LEFT(MID($A541,FIND("/",$A541)+1,20),FIND("/",MID($A541,FIND("/",$A541)+1,20))-1))),"")))</f>
        <v/>
      </c>
      <c r="D541">
        <f>IF(OR($A541="",$B541=""),"",IF(ISNUMBER($A541),MOD($A541,100),IFERROR(VALUE(TRIM(MID(MID($A541,FIND("/",$A541)+1,20),FIND("/",MID($A541,FIND("/",$A541)+1,20))+1,20))),"")))</f>
        <v/>
      </c>
      <c r="E541">
        <f>IF($A541="","",IF(OR($B541="",$C541="",$D541="",$B541&lt;1300,$B541&gt;1500,$C541&lt;1,$C541&gt;12,$D541&lt;1,$D541&gt;31),"نامعتبر",RIGHT("0000"&amp;$B541,4)&amp;"/"&amp;RIGHT("00"&amp;$C541,2)&amp;"/"&amp;RIGHT("00"&amp;$D541,2)))</f>
        <v/>
      </c>
      <c r="F541">
        <f>IF(OR($E541="",$E541="نامعتبر"),"",IF(Sync!$Q538="","0000",IF(AND(ISNUMBER(Sync!$Q538),Sync!$Q538&gt;=0,Sync!$Q538&lt;1),RIGHT("00"&amp;HOUR(Sync!$Q538),2)&amp;RIGHT("00"&amp;MINUTE(Sync!$Q538),2),IFERROR(RIGHT("00"&amp;VALUE(LEFT(Sync!$Q538,FIND(":",Sync!$Q538)-1)),2)&amp;RIGHT("00"&amp;VALUE(MID(Sync!$Q538,FIND(":",Sync!$Q538)+1,2)),2),"0000"))))</f>
        <v/>
      </c>
      <c r="G541">
        <f>IF(OR($E541="",$E541="نامعتبر"),"",IF(Sync!$S538="","",Sync!$S538))</f>
        <v/>
      </c>
      <c r="H541">
        <f>IF(OR($E541="",$E541="نامعتبر"),"",IF(Sync!$R538="","",Sync!$R538))</f>
        <v/>
      </c>
      <c r="I541">
        <f>IF(OR($E541="",$E541="نامعتبر"),"",IF(Sync!$T538="","",Sync!$T538))</f>
        <v/>
      </c>
      <c r="J541">
        <f>IF(OR($E541="",$E541="نامعتبر"),"",IF(Sync!$U538="","",Sync!$U538))</f>
        <v/>
      </c>
      <c r="K541">
        <f>IF(OR($E541="",$E541="نامعتبر"),"",IF(Sync!$V538="","",IFERROR(INDEX(SubCodes,MATCH(Sync!$V538,SubTitles,0)),Sync!$V538)))</f>
        <v/>
      </c>
      <c r="L541">
        <f>IF(OR($E541="",$E541="نامعتبر"),"",IF(Sync!$W538="",0,Sync!$W538))</f>
        <v/>
      </c>
      <c r="M541">
        <f>IF(OR($E541="",$E541="نامعتبر"),"",IF(Sync!$X538="",0,Sync!$X538))</f>
        <v/>
      </c>
      <c r="N541">
        <f>IF(OR($E541="",$E541="نامعتبر"),"",IF(AND($J541="هزینه",$K541&lt;&gt;""),1,0))</f>
        <v/>
      </c>
      <c r="O541">
        <f>IF($N541=0,"",LEFT($E541,4)&amp;MID($E541,6,2)&amp;RIGHT($E541,2)&amp;$F541&amp;"|"&amp;"1"&amp;RIGHT("00000"&amp;533,5))</f>
        <v/>
      </c>
      <c r="P541">
        <f>IF($O541="","",COUNTIFS(ExpSub,$K541,ExpKey,"&lt;"&amp;$O541)+1)</f>
        <v/>
      </c>
      <c r="Q541">
        <f>IF($P541="","",$K541&amp;"|"&amp;RIGHT("000000"&amp;$P541,6))</f>
        <v/>
      </c>
    </row>
    <row r="542">
      <c r="A542">
        <f>IF(Sync!$P539="","",Sync!$P539)</f>
        <v/>
      </c>
      <c r="B542">
        <f>IF($A542="","",IF(ISNUMBER($A542),IF(AND($A542&gt;=10000101,$A542&lt;=99991231),INT($A542/10000),""),IFERROR(VALUE(TRIM(LEFT($A542,FIND("/",$A542)-1))),"")))</f>
        <v/>
      </c>
      <c r="C542">
        <f>IF(OR($A542="",$B542=""),"",IF(ISNUMBER($A542),INT(MOD($A542,10000)/100),IFERROR(VALUE(TRIM(LEFT(MID($A542,FIND("/",$A542)+1,20),FIND("/",MID($A542,FIND("/",$A542)+1,20))-1))),"")))</f>
        <v/>
      </c>
      <c r="D542">
        <f>IF(OR($A542="",$B542=""),"",IF(ISNUMBER($A542),MOD($A542,100),IFERROR(VALUE(TRIM(MID(MID($A542,FIND("/",$A542)+1,20),FIND("/",MID($A542,FIND("/",$A542)+1,20))+1,20))),"")))</f>
        <v/>
      </c>
      <c r="E542">
        <f>IF($A542="","",IF(OR($B542="",$C542="",$D542="",$B542&lt;1300,$B542&gt;1500,$C542&lt;1,$C542&gt;12,$D542&lt;1,$D542&gt;31),"نامعتبر",RIGHT("0000"&amp;$B542,4)&amp;"/"&amp;RIGHT("00"&amp;$C542,2)&amp;"/"&amp;RIGHT("00"&amp;$D542,2)))</f>
        <v/>
      </c>
      <c r="F542">
        <f>IF(OR($E542="",$E542="نامعتبر"),"",IF(Sync!$Q539="","0000",IF(AND(ISNUMBER(Sync!$Q539),Sync!$Q539&gt;=0,Sync!$Q539&lt;1),RIGHT("00"&amp;HOUR(Sync!$Q539),2)&amp;RIGHT("00"&amp;MINUTE(Sync!$Q539),2),IFERROR(RIGHT("00"&amp;VALUE(LEFT(Sync!$Q539,FIND(":",Sync!$Q539)-1)),2)&amp;RIGHT("00"&amp;VALUE(MID(Sync!$Q539,FIND(":",Sync!$Q539)+1,2)),2),"0000"))))</f>
        <v/>
      </c>
      <c r="G542">
        <f>IF(OR($E542="",$E542="نامعتبر"),"",IF(Sync!$S539="","",Sync!$S539))</f>
        <v/>
      </c>
      <c r="H542">
        <f>IF(OR($E542="",$E542="نامعتبر"),"",IF(Sync!$R539="","",Sync!$R539))</f>
        <v/>
      </c>
      <c r="I542">
        <f>IF(OR($E542="",$E542="نامعتبر"),"",IF(Sync!$T539="","",Sync!$T539))</f>
        <v/>
      </c>
      <c r="J542">
        <f>IF(OR($E542="",$E542="نامعتبر"),"",IF(Sync!$U539="","",Sync!$U539))</f>
        <v/>
      </c>
      <c r="K542">
        <f>IF(OR($E542="",$E542="نامعتبر"),"",IF(Sync!$V539="","",IFERROR(INDEX(SubCodes,MATCH(Sync!$V539,SubTitles,0)),Sync!$V539)))</f>
        <v/>
      </c>
      <c r="L542">
        <f>IF(OR($E542="",$E542="نامعتبر"),"",IF(Sync!$W539="",0,Sync!$W539))</f>
        <v/>
      </c>
      <c r="M542">
        <f>IF(OR($E542="",$E542="نامعتبر"),"",IF(Sync!$X539="",0,Sync!$X539))</f>
        <v/>
      </c>
      <c r="N542">
        <f>IF(OR($E542="",$E542="نامعتبر"),"",IF(AND($J542="هزینه",$K542&lt;&gt;""),1,0))</f>
        <v/>
      </c>
      <c r="O542">
        <f>IF($N542=0,"",LEFT($E542,4)&amp;MID($E542,6,2)&amp;RIGHT($E542,2)&amp;$F542&amp;"|"&amp;"1"&amp;RIGHT("00000"&amp;534,5))</f>
        <v/>
      </c>
      <c r="P542">
        <f>IF($O542="","",COUNTIFS(ExpSub,$K542,ExpKey,"&lt;"&amp;$O542)+1)</f>
        <v/>
      </c>
      <c r="Q542">
        <f>IF($P542="","",$K542&amp;"|"&amp;RIGHT("000000"&amp;$P542,6))</f>
        <v/>
      </c>
    </row>
    <row r="543">
      <c r="A543">
        <f>IF(Sync!$P540="","",Sync!$P540)</f>
        <v/>
      </c>
      <c r="B543">
        <f>IF($A543="","",IF(ISNUMBER($A543),IF(AND($A543&gt;=10000101,$A543&lt;=99991231),INT($A543/10000),""),IFERROR(VALUE(TRIM(LEFT($A543,FIND("/",$A543)-1))),"")))</f>
        <v/>
      </c>
      <c r="C543">
        <f>IF(OR($A543="",$B543=""),"",IF(ISNUMBER($A543),INT(MOD($A543,10000)/100),IFERROR(VALUE(TRIM(LEFT(MID($A543,FIND("/",$A543)+1,20),FIND("/",MID($A543,FIND("/",$A543)+1,20))-1))),"")))</f>
        <v/>
      </c>
      <c r="D543">
        <f>IF(OR($A543="",$B543=""),"",IF(ISNUMBER($A543),MOD($A543,100),IFERROR(VALUE(TRIM(MID(MID($A543,FIND("/",$A543)+1,20),FIND("/",MID($A543,FIND("/",$A543)+1,20))+1,20))),"")))</f>
        <v/>
      </c>
      <c r="E543">
        <f>IF($A543="","",IF(OR($B543="",$C543="",$D543="",$B543&lt;1300,$B543&gt;1500,$C543&lt;1,$C543&gt;12,$D543&lt;1,$D543&gt;31),"نامعتبر",RIGHT("0000"&amp;$B543,4)&amp;"/"&amp;RIGHT("00"&amp;$C543,2)&amp;"/"&amp;RIGHT("00"&amp;$D543,2)))</f>
        <v/>
      </c>
      <c r="F543">
        <f>IF(OR($E543="",$E543="نامعتبر"),"",IF(Sync!$Q540="","0000",IF(AND(ISNUMBER(Sync!$Q540),Sync!$Q540&gt;=0,Sync!$Q540&lt;1),RIGHT("00"&amp;HOUR(Sync!$Q540),2)&amp;RIGHT("00"&amp;MINUTE(Sync!$Q540),2),IFERROR(RIGHT("00"&amp;VALUE(LEFT(Sync!$Q540,FIND(":",Sync!$Q540)-1)),2)&amp;RIGHT("00"&amp;VALUE(MID(Sync!$Q540,FIND(":",Sync!$Q540)+1,2)),2),"0000"))))</f>
        <v/>
      </c>
      <c r="G543">
        <f>IF(OR($E543="",$E543="نامعتبر"),"",IF(Sync!$S540="","",Sync!$S540))</f>
        <v/>
      </c>
      <c r="H543">
        <f>IF(OR($E543="",$E543="نامعتبر"),"",IF(Sync!$R540="","",Sync!$R540))</f>
        <v/>
      </c>
      <c r="I543">
        <f>IF(OR($E543="",$E543="نامعتبر"),"",IF(Sync!$T540="","",Sync!$T540))</f>
        <v/>
      </c>
      <c r="J543">
        <f>IF(OR($E543="",$E543="نامعتبر"),"",IF(Sync!$U540="","",Sync!$U540))</f>
        <v/>
      </c>
      <c r="K543">
        <f>IF(OR($E543="",$E543="نامعتبر"),"",IF(Sync!$V540="","",IFERROR(INDEX(SubCodes,MATCH(Sync!$V540,SubTitles,0)),Sync!$V540)))</f>
        <v/>
      </c>
      <c r="L543">
        <f>IF(OR($E543="",$E543="نامعتبر"),"",IF(Sync!$W540="",0,Sync!$W540))</f>
        <v/>
      </c>
      <c r="M543">
        <f>IF(OR($E543="",$E543="نامعتبر"),"",IF(Sync!$X540="",0,Sync!$X540))</f>
        <v/>
      </c>
      <c r="N543">
        <f>IF(OR($E543="",$E543="نامعتبر"),"",IF(AND($J543="هزینه",$K543&lt;&gt;""),1,0))</f>
        <v/>
      </c>
      <c r="O543">
        <f>IF($N543=0,"",LEFT($E543,4)&amp;MID($E543,6,2)&amp;RIGHT($E543,2)&amp;$F543&amp;"|"&amp;"1"&amp;RIGHT("00000"&amp;535,5))</f>
        <v/>
      </c>
      <c r="P543">
        <f>IF($O543="","",COUNTIFS(ExpSub,$K543,ExpKey,"&lt;"&amp;$O543)+1)</f>
        <v/>
      </c>
      <c r="Q543">
        <f>IF($P543="","",$K543&amp;"|"&amp;RIGHT("000000"&amp;$P543,6))</f>
        <v/>
      </c>
    </row>
    <row r="544">
      <c r="A544">
        <f>IF(Sync!$P541="","",Sync!$P541)</f>
        <v/>
      </c>
      <c r="B544">
        <f>IF($A544="","",IF(ISNUMBER($A544),IF(AND($A544&gt;=10000101,$A544&lt;=99991231),INT($A544/10000),""),IFERROR(VALUE(TRIM(LEFT($A544,FIND("/",$A544)-1))),"")))</f>
        <v/>
      </c>
      <c r="C544">
        <f>IF(OR($A544="",$B544=""),"",IF(ISNUMBER($A544),INT(MOD($A544,10000)/100),IFERROR(VALUE(TRIM(LEFT(MID($A544,FIND("/",$A544)+1,20),FIND("/",MID($A544,FIND("/",$A544)+1,20))-1))),"")))</f>
        <v/>
      </c>
      <c r="D544">
        <f>IF(OR($A544="",$B544=""),"",IF(ISNUMBER($A544),MOD($A544,100),IFERROR(VALUE(TRIM(MID(MID($A544,FIND("/",$A544)+1,20),FIND("/",MID($A544,FIND("/",$A544)+1,20))+1,20))),"")))</f>
        <v/>
      </c>
      <c r="E544">
        <f>IF($A544="","",IF(OR($B544="",$C544="",$D544="",$B544&lt;1300,$B544&gt;1500,$C544&lt;1,$C544&gt;12,$D544&lt;1,$D544&gt;31),"نامعتبر",RIGHT("0000"&amp;$B544,4)&amp;"/"&amp;RIGHT("00"&amp;$C544,2)&amp;"/"&amp;RIGHT("00"&amp;$D544,2)))</f>
        <v/>
      </c>
      <c r="F544">
        <f>IF(OR($E544="",$E544="نامعتبر"),"",IF(Sync!$Q541="","0000",IF(AND(ISNUMBER(Sync!$Q541),Sync!$Q541&gt;=0,Sync!$Q541&lt;1),RIGHT("00"&amp;HOUR(Sync!$Q541),2)&amp;RIGHT("00"&amp;MINUTE(Sync!$Q541),2),IFERROR(RIGHT("00"&amp;VALUE(LEFT(Sync!$Q541,FIND(":",Sync!$Q541)-1)),2)&amp;RIGHT("00"&amp;VALUE(MID(Sync!$Q541,FIND(":",Sync!$Q541)+1,2)),2),"0000"))))</f>
        <v/>
      </c>
      <c r="G544">
        <f>IF(OR($E544="",$E544="نامعتبر"),"",IF(Sync!$S541="","",Sync!$S541))</f>
        <v/>
      </c>
      <c r="H544">
        <f>IF(OR($E544="",$E544="نامعتبر"),"",IF(Sync!$R541="","",Sync!$R541))</f>
        <v/>
      </c>
      <c r="I544">
        <f>IF(OR($E544="",$E544="نامعتبر"),"",IF(Sync!$T541="","",Sync!$T541))</f>
        <v/>
      </c>
      <c r="J544">
        <f>IF(OR($E544="",$E544="نامعتبر"),"",IF(Sync!$U541="","",Sync!$U541))</f>
        <v/>
      </c>
      <c r="K544">
        <f>IF(OR($E544="",$E544="نامعتبر"),"",IF(Sync!$V541="","",IFERROR(INDEX(SubCodes,MATCH(Sync!$V541,SubTitles,0)),Sync!$V541)))</f>
        <v/>
      </c>
      <c r="L544">
        <f>IF(OR($E544="",$E544="نامعتبر"),"",IF(Sync!$W541="",0,Sync!$W541))</f>
        <v/>
      </c>
      <c r="M544">
        <f>IF(OR($E544="",$E544="نامعتبر"),"",IF(Sync!$X541="",0,Sync!$X541))</f>
        <v/>
      </c>
      <c r="N544">
        <f>IF(OR($E544="",$E544="نامعتبر"),"",IF(AND($J544="هزینه",$K544&lt;&gt;""),1,0))</f>
        <v/>
      </c>
      <c r="O544">
        <f>IF($N544=0,"",LEFT($E544,4)&amp;MID($E544,6,2)&amp;RIGHT($E544,2)&amp;$F544&amp;"|"&amp;"1"&amp;RIGHT("00000"&amp;536,5))</f>
        <v/>
      </c>
      <c r="P544">
        <f>IF($O544="","",COUNTIFS(ExpSub,$K544,ExpKey,"&lt;"&amp;$O544)+1)</f>
        <v/>
      </c>
      <c r="Q544">
        <f>IF($P544="","",$K544&amp;"|"&amp;RIGHT("000000"&amp;$P544,6))</f>
        <v/>
      </c>
    </row>
    <row r="545">
      <c r="A545">
        <f>IF(Sync!$P542="","",Sync!$P542)</f>
        <v/>
      </c>
      <c r="B545">
        <f>IF($A545="","",IF(ISNUMBER($A545),IF(AND($A545&gt;=10000101,$A545&lt;=99991231),INT($A545/10000),""),IFERROR(VALUE(TRIM(LEFT($A545,FIND("/",$A545)-1))),"")))</f>
        <v/>
      </c>
      <c r="C545">
        <f>IF(OR($A545="",$B545=""),"",IF(ISNUMBER($A545),INT(MOD($A545,10000)/100),IFERROR(VALUE(TRIM(LEFT(MID($A545,FIND("/",$A545)+1,20),FIND("/",MID($A545,FIND("/",$A545)+1,20))-1))),"")))</f>
        <v/>
      </c>
      <c r="D545">
        <f>IF(OR($A545="",$B545=""),"",IF(ISNUMBER($A545),MOD($A545,100),IFERROR(VALUE(TRIM(MID(MID($A545,FIND("/",$A545)+1,20),FIND("/",MID($A545,FIND("/",$A545)+1,20))+1,20))),"")))</f>
        <v/>
      </c>
      <c r="E545">
        <f>IF($A545="","",IF(OR($B545="",$C545="",$D545="",$B545&lt;1300,$B545&gt;1500,$C545&lt;1,$C545&gt;12,$D545&lt;1,$D545&gt;31),"نامعتبر",RIGHT("0000"&amp;$B545,4)&amp;"/"&amp;RIGHT("00"&amp;$C545,2)&amp;"/"&amp;RIGHT("00"&amp;$D545,2)))</f>
        <v/>
      </c>
      <c r="F545">
        <f>IF(OR($E545="",$E545="نامعتبر"),"",IF(Sync!$Q542="","0000",IF(AND(ISNUMBER(Sync!$Q542),Sync!$Q542&gt;=0,Sync!$Q542&lt;1),RIGHT("00"&amp;HOUR(Sync!$Q542),2)&amp;RIGHT("00"&amp;MINUTE(Sync!$Q542),2),IFERROR(RIGHT("00"&amp;VALUE(LEFT(Sync!$Q542,FIND(":",Sync!$Q542)-1)),2)&amp;RIGHT("00"&amp;VALUE(MID(Sync!$Q542,FIND(":",Sync!$Q542)+1,2)),2),"0000"))))</f>
        <v/>
      </c>
      <c r="G545">
        <f>IF(OR($E545="",$E545="نامعتبر"),"",IF(Sync!$S542="","",Sync!$S542))</f>
        <v/>
      </c>
      <c r="H545">
        <f>IF(OR($E545="",$E545="نامعتبر"),"",IF(Sync!$R542="","",Sync!$R542))</f>
        <v/>
      </c>
      <c r="I545">
        <f>IF(OR($E545="",$E545="نامعتبر"),"",IF(Sync!$T542="","",Sync!$T542))</f>
        <v/>
      </c>
      <c r="J545">
        <f>IF(OR($E545="",$E545="نامعتبر"),"",IF(Sync!$U542="","",Sync!$U542))</f>
        <v/>
      </c>
      <c r="K545">
        <f>IF(OR($E545="",$E545="نامعتبر"),"",IF(Sync!$V542="","",IFERROR(INDEX(SubCodes,MATCH(Sync!$V542,SubTitles,0)),Sync!$V542)))</f>
        <v/>
      </c>
      <c r="L545">
        <f>IF(OR($E545="",$E545="نامعتبر"),"",IF(Sync!$W542="",0,Sync!$W542))</f>
        <v/>
      </c>
      <c r="M545">
        <f>IF(OR($E545="",$E545="نامعتبر"),"",IF(Sync!$X542="",0,Sync!$X542))</f>
        <v/>
      </c>
      <c r="N545">
        <f>IF(OR($E545="",$E545="نامعتبر"),"",IF(AND($J545="هزینه",$K545&lt;&gt;""),1,0))</f>
        <v/>
      </c>
      <c r="O545">
        <f>IF($N545=0,"",LEFT($E545,4)&amp;MID($E545,6,2)&amp;RIGHT($E545,2)&amp;$F545&amp;"|"&amp;"1"&amp;RIGHT("00000"&amp;537,5))</f>
        <v/>
      </c>
      <c r="P545">
        <f>IF($O545="","",COUNTIFS(ExpSub,$K545,ExpKey,"&lt;"&amp;$O545)+1)</f>
        <v/>
      </c>
      <c r="Q545">
        <f>IF($P545="","",$K545&amp;"|"&amp;RIGHT("000000"&amp;$P545,6))</f>
        <v/>
      </c>
    </row>
    <row r="546">
      <c r="A546">
        <f>IF(Sync!$P543="","",Sync!$P543)</f>
        <v/>
      </c>
      <c r="B546">
        <f>IF($A546="","",IF(ISNUMBER($A546),IF(AND($A546&gt;=10000101,$A546&lt;=99991231),INT($A546/10000),""),IFERROR(VALUE(TRIM(LEFT($A546,FIND("/",$A546)-1))),"")))</f>
        <v/>
      </c>
      <c r="C546">
        <f>IF(OR($A546="",$B546=""),"",IF(ISNUMBER($A546),INT(MOD($A546,10000)/100),IFERROR(VALUE(TRIM(LEFT(MID($A546,FIND("/",$A546)+1,20),FIND("/",MID($A546,FIND("/",$A546)+1,20))-1))),"")))</f>
        <v/>
      </c>
      <c r="D546">
        <f>IF(OR($A546="",$B546=""),"",IF(ISNUMBER($A546),MOD($A546,100),IFERROR(VALUE(TRIM(MID(MID($A546,FIND("/",$A546)+1,20),FIND("/",MID($A546,FIND("/",$A546)+1,20))+1,20))),"")))</f>
        <v/>
      </c>
      <c r="E546">
        <f>IF($A546="","",IF(OR($B546="",$C546="",$D546="",$B546&lt;1300,$B546&gt;1500,$C546&lt;1,$C546&gt;12,$D546&lt;1,$D546&gt;31),"نامعتبر",RIGHT("0000"&amp;$B546,4)&amp;"/"&amp;RIGHT("00"&amp;$C546,2)&amp;"/"&amp;RIGHT("00"&amp;$D546,2)))</f>
        <v/>
      </c>
      <c r="F546">
        <f>IF(OR($E546="",$E546="نامعتبر"),"",IF(Sync!$Q543="","0000",IF(AND(ISNUMBER(Sync!$Q543),Sync!$Q543&gt;=0,Sync!$Q543&lt;1),RIGHT("00"&amp;HOUR(Sync!$Q543),2)&amp;RIGHT("00"&amp;MINUTE(Sync!$Q543),2),IFERROR(RIGHT("00"&amp;VALUE(LEFT(Sync!$Q543,FIND(":",Sync!$Q543)-1)),2)&amp;RIGHT("00"&amp;VALUE(MID(Sync!$Q543,FIND(":",Sync!$Q543)+1,2)),2),"0000"))))</f>
        <v/>
      </c>
      <c r="G546">
        <f>IF(OR($E546="",$E546="نامعتبر"),"",IF(Sync!$S543="","",Sync!$S543))</f>
        <v/>
      </c>
      <c r="H546">
        <f>IF(OR($E546="",$E546="نامعتبر"),"",IF(Sync!$R543="","",Sync!$R543))</f>
        <v/>
      </c>
      <c r="I546">
        <f>IF(OR($E546="",$E546="نامعتبر"),"",IF(Sync!$T543="","",Sync!$T543))</f>
        <v/>
      </c>
      <c r="J546">
        <f>IF(OR($E546="",$E546="نامعتبر"),"",IF(Sync!$U543="","",Sync!$U543))</f>
        <v/>
      </c>
      <c r="K546">
        <f>IF(OR($E546="",$E546="نامعتبر"),"",IF(Sync!$V543="","",IFERROR(INDEX(SubCodes,MATCH(Sync!$V543,SubTitles,0)),Sync!$V543)))</f>
        <v/>
      </c>
      <c r="L546">
        <f>IF(OR($E546="",$E546="نامعتبر"),"",IF(Sync!$W543="",0,Sync!$W543))</f>
        <v/>
      </c>
      <c r="M546">
        <f>IF(OR($E546="",$E546="نامعتبر"),"",IF(Sync!$X543="",0,Sync!$X543))</f>
        <v/>
      </c>
      <c r="N546">
        <f>IF(OR($E546="",$E546="نامعتبر"),"",IF(AND($J546="هزینه",$K546&lt;&gt;""),1,0))</f>
        <v/>
      </c>
      <c r="O546">
        <f>IF($N546=0,"",LEFT($E546,4)&amp;MID($E546,6,2)&amp;RIGHT($E546,2)&amp;$F546&amp;"|"&amp;"1"&amp;RIGHT("00000"&amp;538,5))</f>
        <v/>
      </c>
      <c r="P546">
        <f>IF($O546="","",COUNTIFS(ExpSub,$K546,ExpKey,"&lt;"&amp;$O546)+1)</f>
        <v/>
      </c>
      <c r="Q546">
        <f>IF($P546="","",$K546&amp;"|"&amp;RIGHT("000000"&amp;$P546,6))</f>
        <v/>
      </c>
    </row>
    <row r="547">
      <c r="A547">
        <f>IF(Sync!$P544="","",Sync!$P544)</f>
        <v/>
      </c>
      <c r="B547">
        <f>IF($A547="","",IF(ISNUMBER($A547),IF(AND($A547&gt;=10000101,$A547&lt;=99991231),INT($A547/10000),""),IFERROR(VALUE(TRIM(LEFT($A547,FIND("/",$A547)-1))),"")))</f>
        <v/>
      </c>
      <c r="C547">
        <f>IF(OR($A547="",$B547=""),"",IF(ISNUMBER($A547),INT(MOD($A547,10000)/100),IFERROR(VALUE(TRIM(LEFT(MID($A547,FIND("/",$A547)+1,20),FIND("/",MID($A547,FIND("/",$A547)+1,20))-1))),"")))</f>
        <v/>
      </c>
      <c r="D547">
        <f>IF(OR($A547="",$B547=""),"",IF(ISNUMBER($A547),MOD($A547,100),IFERROR(VALUE(TRIM(MID(MID($A547,FIND("/",$A547)+1,20),FIND("/",MID($A547,FIND("/",$A547)+1,20))+1,20))),"")))</f>
        <v/>
      </c>
      <c r="E547">
        <f>IF($A547="","",IF(OR($B547="",$C547="",$D547="",$B547&lt;1300,$B547&gt;1500,$C547&lt;1,$C547&gt;12,$D547&lt;1,$D547&gt;31),"نامعتبر",RIGHT("0000"&amp;$B547,4)&amp;"/"&amp;RIGHT("00"&amp;$C547,2)&amp;"/"&amp;RIGHT("00"&amp;$D547,2)))</f>
        <v/>
      </c>
      <c r="F547">
        <f>IF(OR($E547="",$E547="نامعتبر"),"",IF(Sync!$Q544="","0000",IF(AND(ISNUMBER(Sync!$Q544),Sync!$Q544&gt;=0,Sync!$Q544&lt;1),RIGHT("00"&amp;HOUR(Sync!$Q544),2)&amp;RIGHT("00"&amp;MINUTE(Sync!$Q544),2),IFERROR(RIGHT("00"&amp;VALUE(LEFT(Sync!$Q544,FIND(":",Sync!$Q544)-1)),2)&amp;RIGHT("00"&amp;VALUE(MID(Sync!$Q544,FIND(":",Sync!$Q544)+1,2)),2),"0000"))))</f>
        <v/>
      </c>
      <c r="G547">
        <f>IF(OR($E547="",$E547="نامعتبر"),"",IF(Sync!$S544="","",Sync!$S544))</f>
        <v/>
      </c>
      <c r="H547">
        <f>IF(OR($E547="",$E547="نامعتبر"),"",IF(Sync!$R544="","",Sync!$R544))</f>
        <v/>
      </c>
      <c r="I547">
        <f>IF(OR($E547="",$E547="نامعتبر"),"",IF(Sync!$T544="","",Sync!$T544))</f>
        <v/>
      </c>
      <c r="J547">
        <f>IF(OR($E547="",$E547="نامعتبر"),"",IF(Sync!$U544="","",Sync!$U544))</f>
        <v/>
      </c>
      <c r="K547">
        <f>IF(OR($E547="",$E547="نامعتبر"),"",IF(Sync!$V544="","",IFERROR(INDEX(SubCodes,MATCH(Sync!$V544,SubTitles,0)),Sync!$V544)))</f>
        <v/>
      </c>
      <c r="L547">
        <f>IF(OR($E547="",$E547="نامعتبر"),"",IF(Sync!$W544="",0,Sync!$W544))</f>
        <v/>
      </c>
      <c r="M547">
        <f>IF(OR($E547="",$E547="نامعتبر"),"",IF(Sync!$X544="",0,Sync!$X544))</f>
        <v/>
      </c>
      <c r="N547">
        <f>IF(OR($E547="",$E547="نامعتبر"),"",IF(AND($J547="هزینه",$K547&lt;&gt;""),1,0))</f>
        <v/>
      </c>
      <c r="O547">
        <f>IF($N547=0,"",LEFT($E547,4)&amp;MID($E547,6,2)&amp;RIGHT($E547,2)&amp;$F547&amp;"|"&amp;"1"&amp;RIGHT("00000"&amp;539,5))</f>
        <v/>
      </c>
      <c r="P547">
        <f>IF($O547="","",COUNTIFS(ExpSub,$K547,ExpKey,"&lt;"&amp;$O547)+1)</f>
        <v/>
      </c>
      <c r="Q547">
        <f>IF($P547="","",$K547&amp;"|"&amp;RIGHT("000000"&amp;$P547,6))</f>
        <v/>
      </c>
    </row>
    <row r="548">
      <c r="A548">
        <f>IF(Sync!$P545="","",Sync!$P545)</f>
        <v/>
      </c>
      <c r="B548">
        <f>IF($A548="","",IF(ISNUMBER($A548),IF(AND($A548&gt;=10000101,$A548&lt;=99991231),INT($A548/10000),""),IFERROR(VALUE(TRIM(LEFT($A548,FIND("/",$A548)-1))),"")))</f>
        <v/>
      </c>
      <c r="C548">
        <f>IF(OR($A548="",$B548=""),"",IF(ISNUMBER($A548),INT(MOD($A548,10000)/100),IFERROR(VALUE(TRIM(LEFT(MID($A548,FIND("/",$A548)+1,20),FIND("/",MID($A548,FIND("/",$A548)+1,20))-1))),"")))</f>
        <v/>
      </c>
      <c r="D548">
        <f>IF(OR($A548="",$B548=""),"",IF(ISNUMBER($A548),MOD($A548,100),IFERROR(VALUE(TRIM(MID(MID($A548,FIND("/",$A548)+1,20),FIND("/",MID($A548,FIND("/",$A548)+1,20))+1,20))),"")))</f>
        <v/>
      </c>
      <c r="E548">
        <f>IF($A548="","",IF(OR($B548="",$C548="",$D548="",$B548&lt;1300,$B548&gt;1500,$C548&lt;1,$C548&gt;12,$D548&lt;1,$D548&gt;31),"نامعتبر",RIGHT("0000"&amp;$B548,4)&amp;"/"&amp;RIGHT("00"&amp;$C548,2)&amp;"/"&amp;RIGHT("00"&amp;$D548,2)))</f>
        <v/>
      </c>
      <c r="F548">
        <f>IF(OR($E548="",$E548="نامعتبر"),"",IF(Sync!$Q545="","0000",IF(AND(ISNUMBER(Sync!$Q545),Sync!$Q545&gt;=0,Sync!$Q545&lt;1),RIGHT("00"&amp;HOUR(Sync!$Q545),2)&amp;RIGHT("00"&amp;MINUTE(Sync!$Q545),2),IFERROR(RIGHT("00"&amp;VALUE(LEFT(Sync!$Q545,FIND(":",Sync!$Q545)-1)),2)&amp;RIGHT("00"&amp;VALUE(MID(Sync!$Q545,FIND(":",Sync!$Q545)+1,2)),2),"0000"))))</f>
        <v/>
      </c>
      <c r="G548">
        <f>IF(OR($E548="",$E548="نامعتبر"),"",IF(Sync!$S545="","",Sync!$S545))</f>
        <v/>
      </c>
      <c r="H548">
        <f>IF(OR($E548="",$E548="نامعتبر"),"",IF(Sync!$R545="","",Sync!$R545))</f>
        <v/>
      </c>
      <c r="I548">
        <f>IF(OR($E548="",$E548="نامعتبر"),"",IF(Sync!$T545="","",Sync!$T545))</f>
        <v/>
      </c>
      <c r="J548">
        <f>IF(OR($E548="",$E548="نامعتبر"),"",IF(Sync!$U545="","",Sync!$U545))</f>
        <v/>
      </c>
      <c r="K548">
        <f>IF(OR($E548="",$E548="نامعتبر"),"",IF(Sync!$V545="","",IFERROR(INDEX(SubCodes,MATCH(Sync!$V545,SubTitles,0)),Sync!$V545)))</f>
        <v/>
      </c>
      <c r="L548">
        <f>IF(OR($E548="",$E548="نامعتبر"),"",IF(Sync!$W545="",0,Sync!$W545))</f>
        <v/>
      </c>
      <c r="M548">
        <f>IF(OR($E548="",$E548="نامعتبر"),"",IF(Sync!$X545="",0,Sync!$X545))</f>
        <v/>
      </c>
      <c r="N548">
        <f>IF(OR($E548="",$E548="نامعتبر"),"",IF(AND($J548="هزینه",$K548&lt;&gt;""),1,0))</f>
        <v/>
      </c>
      <c r="O548">
        <f>IF($N548=0,"",LEFT($E548,4)&amp;MID($E548,6,2)&amp;RIGHT($E548,2)&amp;$F548&amp;"|"&amp;"1"&amp;RIGHT("00000"&amp;540,5))</f>
        <v/>
      </c>
      <c r="P548">
        <f>IF($O548="","",COUNTIFS(ExpSub,$K548,ExpKey,"&lt;"&amp;$O548)+1)</f>
        <v/>
      </c>
      <c r="Q548">
        <f>IF($P548="","",$K548&amp;"|"&amp;RIGHT("000000"&amp;$P548,6))</f>
        <v/>
      </c>
    </row>
    <row r="549">
      <c r="A549">
        <f>IF(Sync!$P546="","",Sync!$P546)</f>
        <v/>
      </c>
      <c r="B549">
        <f>IF($A549="","",IF(ISNUMBER($A549),IF(AND($A549&gt;=10000101,$A549&lt;=99991231),INT($A549/10000),""),IFERROR(VALUE(TRIM(LEFT($A549,FIND("/",$A549)-1))),"")))</f>
        <v/>
      </c>
      <c r="C549">
        <f>IF(OR($A549="",$B549=""),"",IF(ISNUMBER($A549),INT(MOD($A549,10000)/100),IFERROR(VALUE(TRIM(LEFT(MID($A549,FIND("/",$A549)+1,20),FIND("/",MID($A549,FIND("/",$A549)+1,20))-1))),"")))</f>
        <v/>
      </c>
      <c r="D549">
        <f>IF(OR($A549="",$B549=""),"",IF(ISNUMBER($A549),MOD($A549,100),IFERROR(VALUE(TRIM(MID(MID($A549,FIND("/",$A549)+1,20),FIND("/",MID($A549,FIND("/",$A549)+1,20))+1,20))),"")))</f>
        <v/>
      </c>
      <c r="E549">
        <f>IF($A549="","",IF(OR($B549="",$C549="",$D549="",$B549&lt;1300,$B549&gt;1500,$C549&lt;1,$C549&gt;12,$D549&lt;1,$D549&gt;31),"نامعتبر",RIGHT("0000"&amp;$B549,4)&amp;"/"&amp;RIGHT("00"&amp;$C549,2)&amp;"/"&amp;RIGHT("00"&amp;$D549,2)))</f>
        <v/>
      </c>
      <c r="F549">
        <f>IF(OR($E549="",$E549="نامعتبر"),"",IF(Sync!$Q546="","0000",IF(AND(ISNUMBER(Sync!$Q546),Sync!$Q546&gt;=0,Sync!$Q546&lt;1),RIGHT("00"&amp;HOUR(Sync!$Q546),2)&amp;RIGHT("00"&amp;MINUTE(Sync!$Q546),2),IFERROR(RIGHT("00"&amp;VALUE(LEFT(Sync!$Q546,FIND(":",Sync!$Q546)-1)),2)&amp;RIGHT("00"&amp;VALUE(MID(Sync!$Q546,FIND(":",Sync!$Q546)+1,2)),2),"0000"))))</f>
        <v/>
      </c>
      <c r="G549">
        <f>IF(OR($E549="",$E549="نامعتبر"),"",IF(Sync!$S546="","",Sync!$S546))</f>
        <v/>
      </c>
      <c r="H549">
        <f>IF(OR($E549="",$E549="نامعتبر"),"",IF(Sync!$R546="","",Sync!$R546))</f>
        <v/>
      </c>
      <c r="I549">
        <f>IF(OR($E549="",$E549="نامعتبر"),"",IF(Sync!$T546="","",Sync!$T546))</f>
        <v/>
      </c>
      <c r="J549">
        <f>IF(OR($E549="",$E549="نامعتبر"),"",IF(Sync!$U546="","",Sync!$U546))</f>
        <v/>
      </c>
      <c r="K549">
        <f>IF(OR($E549="",$E549="نامعتبر"),"",IF(Sync!$V546="","",IFERROR(INDEX(SubCodes,MATCH(Sync!$V546,SubTitles,0)),Sync!$V546)))</f>
        <v/>
      </c>
      <c r="L549">
        <f>IF(OR($E549="",$E549="نامعتبر"),"",IF(Sync!$W546="",0,Sync!$W546))</f>
        <v/>
      </c>
      <c r="M549">
        <f>IF(OR($E549="",$E549="نامعتبر"),"",IF(Sync!$X546="",0,Sync!$X546))</f>
        <v/>
      </c>
      <c r="N549">
        <f>IF(OR($E549="",$E549="نامعتبر"),"",IF(AND($J549="هزینه",$K549&lt;&gt;""),1,0))</f>
        <v/>
      </c>
      <c r="O549">
        <f>IF($N549=0,"",LEFT($E549,4)&amp;MID($E549,6,2)&amp;RIGHT($E549,2)&amp;$F549&amp;"|"&amp;"1"&amp;RIGHT("00000"&amp;541,5))</f>
        <v/>
      </c>
      <c r="P549">
        <f>IF($O549="","",COUNTIFS(ExpSub,$K549,ExpKey,"&lt;"&amp;$O549)+1)</f>
        <v/>
      </c>
      <c r="Q549">
        <f>IF($P549="","",$K549&amp;"|"&amp;RIGHT("000000"&amp;$P549,6))</f>
        <v/>
      </c>
    </row>
    <row r="550">
      <c r="A550">
        <f>IF(Sync!$P547="","",Sync!$P547)</f>
        <v/>
      </c>
      <c r="B550">
        <f>IF($A550="","",IF(ISNUMBER($A550),IF(AND($A550&gt;=10000101,$A550&lt;=99991231),INT($A550/10000),""),IFERROR(VALUE(TRIM(LEFT($A550,FIND("/",$A550)-1))),"")))</f>
        <v/>
      </c>
      <c r="C550">
        <f>IF(OR($A550="",$B550=""),"",IF(ISNUMBER($A550),INT(MOD($A550,10000)/100),IFERROR(VALUE(TRIM(LEFT(MID($A550,FIND("/",$A550)+1,20),FIND("/",MID($A550,FIND("/",$A550)+1,20))-1))),"")))</f>
        <v/>
      </c>
      <c r="D550">
        <f>IF(OR($A550="",$B550=""),"",IF(ISNUMBER($A550),MOD($A550,100),IFERROR(VALUE(TRIM(MID(MID($A550,FIND("/",$A550)+1,20),FIND("/",MID($A550,FIND("/",$A550)+1,20))+1,20))),"")))</f>
        <v/>
      </c>
      <c r="E550">
        <f>IF($A550="","",IF(OR($B550="",$C550="",$D550="",$B550&lt;1300,$B550&gt;1500,$C550&lt;1,$C550&gt;12,$D550&lt;1,$D550&gt;31),"نامعتبر",RIGHT("0000"&amp;$B550,4)&amp;"/"&amp;RIGHT("00"&amp;$C550,2)&amp;"/"&amp;RIGHT("00"&amp;$D550,2)))</f>
        <v/>
      </c>
      <c r="F550">
        <f>IF(OR($E550="",$E550="نامعتبر"),"",IF(Sync!$Q547="","0000",IF(AND(ISNUMBER(Sync!$Q547),Sync!$Q547&gt;=0,Sync!$Q547&lt;1),RIGHT("00"&amp;HOUR(Sync!$Q547),2)&amp;RIGHT("00"&amp;MINUTE(Sync!$Q547),2),IFERROR(RIGHT("00"&amp;VALUE(LEFT(Sync!$Q547,FIND(":",Sync!$Q547)-1)),2)&amp;RIGHT("00"&amp;VALUE(MID(Sync!$Q547,FIND(":",Sync!$Q547)+1,2)),2),"0000"))))</f>
        <v/>
      </c>
      <c r="G550">
        <f>IF(OR($E550="",$E550="نامعتبر"),"",IF(Sync!$S547="","",Sync!$S547))</f>
        <v/>
      </c>
      <c r="H550">
        <f>IF(OR($E550="",$E550="نامعتبر"),"",IF(Sync!$R547="","",Sync!$R547))</f>
        <v/>
      </c>
      <c r="I550">
        <f>IF(OR($E550="",$E550="نامعتبر"),"",IF(Sync!$T547="","",Sync!$T547))</f>
        <v/>
      </c>
      <c r="J550">
        <f>IF(OR($E550="",$E550="نامعتبر"),"",IF(Sync!$U547="","",Sync!$U547))</f>
        <v/>
      </c>
      <c r="K550">
        <f>IF(OR($E550="",$E550="نامعتبر"),"",IF(Sync!$V547="","",IFERROR(INDEX(SubCodes,MATCH(Sync!$V547,SubTitles,0)),Sync!$V547)))</f>
        <v/>
      </c>
      <c r="L550">
        <f>IF(OR($E550="",$E550="نامعتبر"),"",IF(Sync!$W547="",0,Sync!$W547))</f>
        <v/>
      </c>
      <c r="M550">
        <f>IF(OR($E550="",$E550="نامعتبر"),"",IF(Sync!$X547="",0,Sync!$X547))</f>
        <v/>
      </c>
      <c r="N550">
        <f>IF(OR($E550="",$E550="نامعتبر"),"",IF(AND($J550="هزینه",$K550&lt;&gt;""),1,0))</f>
        <v/>
      </c>
      <c r="O550">
        <f>IF($N550=0,"",LEFT($E550,4)&amp;MID($E550,6,2)&amp;RIGHT($E550,2)&amp;$F550&amp;"|"&amp;"1"&amp;RIGHT("00000"&amp;542,5))</f>
        <v/>
      </c>
      <c r="P550">
        <f>IF($O550="","",COUNTIFS(ExpSub,$K550,ExpKey,"&lt;"&amp;$O550)+1)</f>
        <v/>
      </c>
      <c r="Q550">
        <f>IF($P550="","",$K550&amp;"|"&amp;RIGHT("000000"&amp;$P550,6))</f>
        <v/>
      </c>
    </row>
    <row r="551">
      <c r="A551">
        <f>IF(Sync!$P548="","",Sync!$P548)</f>
        <v/>
      </c>
      <c r="B551">
        <f>IF($A551="","",IF(ISNUMBER($A551),IF(AND($A551&gt;=10000101,$A551&lt;=99991231),INT($A551/10000),""),IFERROR(VALUE(TRIM(LEFT($A551,FIND("/",$A551)-1))),"")))</f>
        <v/>
      </c>
      <c r="C551">
        <f>IF(OR($A551="",$B551=""),"",IF(ISNUMBER($A551),INT(MOD($A551,10000)/100),IFERROR(VALUE(TRIM(LEFT(MID($A551,FIND("/",$A551)+1,20),FIND("/",MID($A551,FIND("/",$A551)+1,20))-1))),"")))</f>
        <v/>
      </c>
      <c r="D551">
        <f>IF(OR($A551="",$B551=""),"",IF(ISNUMBER($A551),MOD($A551,100),IFERROR(VALUE(TRIM(MID(MID($A551,FIND("/",$A551)+1,20),FIND("/",MID($A551,FIND("/",$A551)+1,20))+1,20))),"")))</f>
        <v/>
      </c>
      <c r="E551">
        <f>IF($A551="","",IF(OR($B551="",$C551="",$D551="",$B551&lt;1300,$B551&gt;1500,$C551&lt;1,$C551&gt;12,$D551&lt;1,$D551&gt;31),"نامعتبر",RIGHT("0000"&amp;$B551,4)&amp;"/"&amp;RIGHT("00"&amp;$C551,2)&amp;"/"&amp;RIGHT("00"&amp;$D551,2)))</f>
        <v/>
      </c>
      <c r="F551">
        <f>IF(OR($E551="",$E551="نامعتبر"),"",IF(Sync!$Q548="","0000",IF(AND(ISNUMBER(Sync!$Q548),Sync!$Q548&gt;=0,Sync!$Q548&lt;1),RIGHT("00"&amp;HOUR(Sync!$Q548),2)&amp;RIGHT("00"&amp;MINUTE(Sync!$Q548),2),IFERROR(RIGHT("00"&amp;VALUE(LEFT(Sync!$Q548,FIND(":",Sync!$Q548)-1)),2)&amp;RIGHT("00"&amp;VALUE(MID(Sync!$Q548,FIND(":",Sync!$Q548)+1,2)),2),"0000"))))</f>
        <v/>
      </c>
      <c r="G551">
        <f>IF(OR($E551="",$E551="نامعتبر"),"",IF(Sync!$S548="","",Sync!$S548))</f>
        <v/>
      </c>
      <c r="H551">
        <f>IF(OR($E551="",$E551="نامعتبر"),"",IF(Sync!$R548="","",Sync!$R548))</f>
        <v/>
      </c>
      <c r="I551">
        <f>IF(OR($E551="",$E551="نامعتبر"),"",IF(Sync!$T548="","",Sync!$T548))</f>
        <v/>
      </c>
      <c r="J551">
        <f>IF(OR($E551="",$E551="نامعتبر"),"",IF(Sync!$U548="","",Sync!$U548))</f>
        <v/>
      </c>
      <c r="K551">
        <f>IF(OR($E551="",$E551="نامعتبر"),"",IF(Sync!$V548="","",IFERROR(INDEX(SubCodes,MATCH(Sync!$V548,SubTitles,0)),Sync!$V548)))</f>
        <v/>
      </c>
      <c r="L551">
        <f>IF(OR($E551="",$E551="نامعتبر"),"",IF(Sync!$W548="",0,Sync!$W548))</f>
        <v/>
      </c>
      <c r="M551">
        <f>IF(OR($E551="",$E551="نامعتبر"),"",IF(Sync!$X548="",0,Sync!$X548))</f>
        <v/>
      </c>
      <c r="N551">
        <f>IF(OR($E551="",$E551="نامعتبر"),"",IF(AND($J551="هزینه",$K551&lt;&gt;""),1,0))</f>
        <v/>
      </c>
      <c r="O551">
        <f>IF($N551=0,"",LEFT($E551,4)&amp;MID($E551,6,2)&amp;RIGHT($E551,2)&amp;$F551&amp;"|"&amp;"1"&amp;RIGHT("00000"&amp;543,5))</f>
        <v/>
      </c>
      <c r="P551">
        <f>IF($O551="","",COUNTIFS(ExpSub,$K551,ExpKey,"&lt;"&amp;$O551)+1)</f>
        <v/>
      </c>
      <c r="Q551">
        <f>IF($P551="","",$K551&amp;"|"&amp;RIGHT("000000"&amp;$P551,6))</f>
        <v/>
      </c>
    </row>
    <row r="552">
      <c r="A552">
        <f>IF(Sync!$P549="","",Sync!$P549)</f>
        <v/>
      </c>
      <c r="B552">
        <f>IF($A552="","",IF(ISNUMBER($A552),IF(AND($A552&gt;=10000101,$A552&lt;=99991231),INT($A552/10000),""),IFERROR(VALUE(TRIM(LEFT($A552,FIND("/",$A552)-1))),"")))</f>
        <v/>
      </c>
      <c r="C552">
        <f>IF(OR($A552="",$B552=""),"",IF(ISNUMBER($A552),INT(MOD($A552,10000)/100),IFERROR(VALUE(TRIM(LEFT(MID($A552,FIND("/",$A552)+1,20),FIND("/",MID($A552,FIND("/",$A552)+1,20))-1))),"")))</f>
        <v/>
      </c>
      <c r="D552">
        <f>IF(OR($A552="",$B552=""),"",IF(ISNUMBER($A552),MOD($A552,100),IFERROR(VALUE(TRIM(MID(MID($A552,FIND("/",$A552)+1,20),FIND("/",MID($A552,FIND("/",$A552)+1,20))+1,20))),"")))</f>
        <v/>
      </c>
      <c r="E552">
        <f>IF($A552="","",IF(OR($B552="",$C552="",$D552="",$B552&lt;1300,$B552&gt;1500,$C552&lt;1,$C552&gt;12,$D552&lt;1,$D552&gt;31),"نامعتبر",RIGHT("0000"&amp;$B552,4)&amp;"/"&amp;RIGHT("00"&amp;$C552,2)&amp;"/"&amp;RIGHT("00"&amp;$D552,2)))</f>
        <v/>
      </c>
      <c r="F552">
        <f>IF(OR($E552="",$E552="نامعتبر"),"",IF(Sync!$Q549="","0000",IF(AND(ISNUMBER(Sync!$Q549),Sync!$Q549&gt;=0,Sync!$Q549&lt;1),RIGHT("00"&amp;HOUR(Sync!$Q549),2)&amp;RIGHT("00"&amp;MINUTE(Sync!$Q549),2),IFERROR(RIGHT("00"&amp;VALUE(LEFT(Sync!$Q549,FIND(":",Sync!$Q549)-1)),2)&amp;RIGHT("00"&amp;VALUE(MID(Sync!$Q549,FIND(":",Sync!$Q549)+1,2)),2),"0000"))))</f>
        <v/>
      </c>
      <c r="G552">
        <f>IF(OR($E552="",$E552="نامعتبر"),"",IF(Sync!$S549="","",Sync!$S549))</f>
        <v/>
      </c>
      <c r="H552">
        <f>IF(OR($E552="",$E552="نامعتبر"),"",IF(Sync!$R549="","",Sync!$R549))</f>
        <v/>
      </c>
      <c r="I552">
        <f>IF(OR($E552="",$E552="نامعتبر"),"",IF(Sync!$T549="","",Sync!$T549))</f>
        <v/>
      </c>
      <c r="J552">
        <f>IF(OR($E552="",$E552="نامعتبر"),"",IF(Sync!$U549="","",Sync!$U549))</f>
        <v/>
      </c>
      <c r="K552">
        <f>IF(OR($E552="",$E552="نامعتبر"),"",IF(Sync!$V549="","",IFERROR(INDEX(SubCodes,MATCH(Sync!$V549,SubTitles,0)),Sync!$V549)))</f>
        <v/>
      </c>
      <c r="L552">
        <f>IF(OR($E552="",$E552="نامعتبر"),"",IF(Sync!$W549="",0,Sync!$W549))</f>
        <v/>
      </c>
      <c r="M552">
        <f>IF(OR($E552="",$E552="نامعتبر"),"",IF(Sync!$X549="",0,Sync!$X549))</f>
        <v/>
      </c>
      <c r="N552">
        <f>IF(OR($E552="",$E552="نامعتبر"),"",IF(AND($J552="هزینه",$K552&lt;&gt;""),1,0))</f>
        <v/>
      </c>
      <c r="O552">
        <f>IF($N552=0,"",LEFT($E552,4)&amp;MID($E552,6,2)&amp;RIGHT($E552,2)&amp;$F552&amp;"|"&amp;"1"&amp;RIGHT("00000"&amp;544,5))</f>
        <v/>
      </c>
      <c r="P552">
        <f>IF($O552="","",COUNTIFS(ExpSub,$K552,ExpKey,"&lt;"&amp;$O552)+1)</f>
        <v/>
      </c>
      <c r="Q552">
        <f>IF($P552="","",$K552&amp;"|"&amp;RIGHT("000000"&amp;$P552,6))</f>
        <v/>
      </c>
    </row>
    <row r="553">
      <c r="A553">
        <f>IF(Sync!$P550="","",Sync!$P550)</f>
        <v/>
      </c>
      <c r="B553">
        <f>IF($A553="","",IF(ISNUMBER($A553),IF(AND($A553&gt;=10000101,$A553&lt;=99991231),INT($A553/10000),""),IFERROR(VALUE(TRIM(LEFT($A553,FIND("/",$A553)-1))),"")))</f>
        <v/>
      </c>
      <c r="C553">
        <f>IF(OR($A553="",$B553=""),"",IF(ISNUMBER($A553),INT(MOD($A553,10000)/100),IFERROR(VALUE(TRIM(LEFT(MID($A553,FIND("/",$A553)+1,20),FIND("/",MID($A553,FIND("/",$A553)+1,20))-1))),"")))</f>
        <v/>
      </c>
      <c r="D553">
        <f>IF(OR($A553="",$B553=""),"",IF(ISNUMBER($A553),MOD($A553,100),IFERROR(VALUE(TRIM(MID(MID($A553,FIND("/",$A553)+1,20),FIND("/",MID($A553,FIND("/",$A553)+1,20))+1,20))),"")))</f>
        <v/>
      </c>
      <c r="E553">
        <f>IF($A553="","",IF(OR($B553="",$C553="",$D553="",$B553&lt;1300,$B553&gt;1500,$C553&lt;1,$C553&gt;12,$D553&lt;1,$D553&gt;31),"نامعتبر",RIGHT("0000"&amp;$B553,4)&amp;"/"&amp;RIGHT("00"&amp;$C553,2)&amp;"/"&amp;RIGHT("00"&amp;$D553,2)))</f>
        <v/>
      </c>
      <c r="F553">
        <f>IF(OR($E553="",$E553="نامعتبر"),"",IF(Sync!$Q550="","0000",IF(AND(ISNUMBER(Sync!$Q550),Sync!$Q550&gt;=0,Sync!$Q550&lt;1),RIGHT("00"&amp;HOUR(Sync!$Q550),2)&amp;RIGHT("00"&amp;MINUTE(Sync!$Q550),2),IFERROR(RIGHT("00"&amp;VALUE(LEFT(Sync!$Q550,FIND(":",Sync!$Q550)-1)),2)&amp;RIGHT("00"&amp;VALUE(MID(Sync!$Q550,FIND(":",Sync!$Q550)+1,2)),2),"0000"))))</f>
        <v/>
      </c>
      <c r="G553">
        <f>IF(OR($E553="",$E553="نامعتبر"),"",IF(Sync!$S550="","",Sync!$S550))</f>
        <v/>
      </c>
      <c r="H553">
        <f>IF(OR($E553="",$E553="نامعتبر"),"",IF(Sync!$R550="","",Sync!$R550))</f>
        <v/>
      </c>
      <c r="I553">
        <f>IF(OR($E553="",$E553="نامعتبر"),"",IF(Sync!$T550="","",Sync!$T550))</f>
        <v/>
      </c>
      <c r="J553">
        <f>IF(OR($E553="",$E553="نامعتبر"),"",IF(Sync!$U550="","",Sync!$U550))</f>
        <v/>
      </c>
      <c r="K553">
        <f>IF(OR($E553="",$E553="نامعتبر"),"",IF(Sync!$V550="","",IFERROR(INDEX(SubCodes,MATCH(Sync!$V550,SubTitles,0)),Sync!$V550)))</f>
        <v/>
      </c>
      <c r="L553">
        <f>IF(OR($E553="",$E553="نامعتبر"),"",IF(Sync!$W550="",0,Sync!$W550))</f>
        <v/>
      </c>
      <c r="M553">
        <f>IF(OR($E553="",$E553="نامعتبر"),"",IF(Sync!$X550="",0,Sync!$X550))</f>
        <v/>
      </c>
      <c r="N553">
        <f>IF(OR($E553="",$E553="نامعتبر"),"",IF(AND($J553="هزینه",$K553&lt;&gt;""),1,0))</f>
        <v/>
      </c>
      <c r="O553">
        <f>IF($N553=0,"",LEFT($E553,4)&amp;MID($E553,6,2)&amp;RIGHT($E553,2)&amp;$F553&amp;"|"&amp;"1"&amp;RIGHT("00000"&amp;545,5))</f>
        <v/>
      </c>
      <c r="P553">
        <f>IF($O553="","",COUNTIFS(ExpSub,$K553,ExpKey,"&lt;"&amp;$O553)+1)</f>
        <v/>
      </c>
      <c r="Q553">
        <f>IF($P553="","",$K553&amp;"|"&amp;RIGHT("000000"&amp;$P553,6))</f>
        <v/>
      </c>
    </row>
    <row r="554">
      <c r="A554">
        <f>IF(Sync!$P551="","",Sync!$P551)</f>
        <v/>
      </c>
      <c r="B554">
        <f>IF($A554="","",IF(ISNUMBER($A554),IF(AND($A554&gt;=10000101,$A554&lt;=99991231),INT($A554/10000),""),IFERROR(VALUE(TRIM(LEFT($A554,FIND("/",$A554)-1))),"")))</f>
        <v/>
      </c>
      <c r="C554">
        <f>IF(OR($A554="",$B554=""),"",IF(ISNUMBER($A554),INT(MOD($A554,10000)/100),IFERROR(VALUE(TRIM(LEFT(MID($A554,FIND("/",$A554)+1,20),FIND("/",MID($A554,FIND("/",$A554)+1,20))-1))),"")))</f>
        <v/>
      </c>
      <c r="D554">
        <f>IF(OR($A554="",$B554=""),"",IF(ISNUMBER($A554),MOD($A554,100),IFERROR(VALUE(TRIM(MID(MID($A554,FIND("/",$A554)+1,20),FIND("/",MID($A554,FIND("/",$A554)+1,20))+1,20))),"")))</f>
        <v/>
      </c>
      <c r="E554">
        <f>IF($A554="","",IF(OR($B554="",$C554="",$D554="",$B554&lt;1300,$B554&gt;1500,$C554&lt;1,$C554&gt;12,$D554&lt;1,$D554&gt;31),"نامعتبر",RIGHT("0000"&amp;$B554,4)&amp;"/"&amp;RIGHT("00"&amp;$C554,2)&amp;"/"&amp;RIGHT("00"&amp;$D554,2)))</f>
        <v/>
      </c>
      <c r="F554">
        <f>IF(OR($E554="",$E554="نامعتبر"),"",IF(Sync!$Q551="","0000",IF(AND(ISNUMBER(Sync!$Q551),Sync!$Q551&gt;=0,Sync!$Q551&lt;1),RIGHT("00"&amp;HOUR(Sync!$Q551),2)&amp;RIGHT("00"&amp;MINUTE(Sync!$Q551),2),IFERROR(RIGHT("00"&amp;VALUE(LEFT(Sync!$Q551,FIND(":",Sync!$Q551)-1)),2)&amp;RIGHT("00"&amp;VALUE(MID(Sync!$Q551,FIND(":",Sync!$Q551)+1,2)),2),"0000"))))</f>
        <v/>
      </c>
      <c r="G554">
        <f>IF(OR($E554="",$E554="نامعتبر"),"",IF(Sync!$S551="","",Sync!$S551))</f>
        <v/>
      </c>
      <c r="H554">
        <f>IF(OR($E554="",$E554="نامعتبر"),"",IF(Sync!$R551="","",Sync!$R551))</f>
        <v/>
      </c>
      <c r="I554">
        <f>IF(OR($E554="",$E554="نامعتبر"),"",IF(Sync!$T551="","",Sync!$T551))</f>
        <v/>
      </c>
      <c r="J554">
        <f>IF(OR($E554="",$E554="نامعتبر"),"",IF(Sync!$U551="","",Sync!$U551))</f>
        <v/>
      </c>
      <c r="K554">
        <f>IF(OR($E554="",$E554="نامعتبر"),"",IF(Sync!$V551="","",IFERROR(INDEX(SubCodes,MATCH(Sync!$V551,SubTitles,0)),Sync!$V551)))</f>
        <v/>
      </c>
      <c r="L554">
        <f>IF(OR($E554="",$E554="نامعتبر"),"",IF(Sync!$W551="",0,Sync!$W551))</f>
        <v/>
      </c>
      <c r="M554">
        <f>IF(OR($E554="",$E554="نامعتبر"),"",IF(Sync!$X551="",0,Sync!$X551))</f>
        <v/>
      </c>
      <c r="N554">
        <f>IF(OR($E554="",$E554="نامعتبر"),"",IF(AND($J554="هزینه",$K554&lt;&gt;""),1,0))</f>
        <v/>
      </c>
      <c r="O554">
        <f>IF($N554=0,"",LEFT($E554,4)&amp;MID($E554,6,2)&amp;RIGHT($E554,2)&amp;$F554&amp;"|"&amp;"1"&amp;RIGHT("00000"&amp;546,5))</f>
        <v/>
      </c>
      <c r="P554">
        <f>IF($O554="","",COUNTIFS(ExpSub,$K554,ExpKey,"&lt;"&amp;$O554)+1)</f>
        <v/>
      </c>
      <c r="Q554">
        <f>IF($P554="","",$K554&amp;"|"&amp;RIGHT("000000"&amp;$P554,6))</f>
        <v/>
      </c>
    </row>
    <row r="555">
      <c r="A555">
        <f>IF(Sync!$P552="","",Sync!$P552)</f>
        <v/>
      </c>
      <c r="B555">
        <f>IF($A555="","",IF(ISNUMBER($A555),IF(AND($A555&gt;=10000101,$A555&lt;=99991231),INT($A555/10000),""),IFERROR(VALUE(TRIM(LEFT($A555,FIND("/",$A555)-1))),"")))</f>
        <v/>
      </c>
      <c r="C555">
        <f>IF(OR($A555="",$B555=""),"",IF(ISNUMBER($A555),INT(MOD($A555,10000)/100),IFERROR(VALUE(TRIM(LEFT(MID($A555,FIND("/",$A555)+1,20),FIND("/",MID($A555,FIND("/",$A555)+1,20))-1))),"")))</f>
        <v/>
      </c>
      <c r="D555">
        <f>IF(OR($A555="",$B555=""),"",IF(ISNUMBER($A555),MOD($A555,100),IFERROR(VALUE(TRIM(MID(MID($A555,FIND("/",$A555)+1,20),FIND("/",MID($A555,FIND("/",$A555)+1,20))+1,20))),"")))</f>
        <v/>
      </c>
      <c r="E555">
        <f>IF($A555="","",IF(OR($B555="",$C555="",$D555="",$B555&lt;1300,$B555&gt;1500,$C555&lt;1,$C555&gt;12,$D555&lt;1,$D555&gt;31),"نامعتبر",RIGHT("0000"&amp;$B555,4)&amp;"/"&amp;RIGHT("00"&amp;$C555,2)&amp;"/"&amp;RIGHT("00"&amp;$D555,2)))</f>
        <v/>
      </c>
      <c r="F555">
        <f>IF(OR($E555="",$E555="نامعتبر"),"",IF(Sync!$Q552="","0000",IF(AND(ISNUMBER(Sync!$Q552),Sync!$Q552&gt;=0,Sync!$Q552&lt;1),RIGHT("00"&amp;HOUR(Sync!$Q552),2)&amp;RIGHT("00"&amp;MINUTE(Sync!$Q552),2),IFERROR(RIGHT("00"&amp;VALUE(LEFT(Sync!$Q552,FIND(":",Sync!$Q552)-1)),2)&amp;RIGHT("00"&amp;VALUE(MID(Sync!$Q552,FIND(":",Sync!$Q552)+1,2)),2),"0000"))))</f>
        <v/>
      </c>
      <c r="G555">
        <f>IF(OR($E555="",$E555="نامعتبر"),"",IF(Sync!$S552="","",Sync!$S552))</f>
        <v/>
      </c>
      <c r="H555">
        <f>IF(OR($E555="",$E555="نامعتبر"),"",IF(Sync!$R552="","",Sync!$R552))</f>
        <v/>
      </c>
      <c r="I555">
        <f>IF(OR($E555="",$E555="نامعتبر"),"",IF(Sync!$T552="","",Sync!$T552))</f>
        <v/>
      </c>
      <c r="J555">
        <f>IF(OR($E555="",$E555="نامعتبر"),"",IF(Sync!$U552="","",Sync!$U552))</f>
        <v/>
      </c>
      <c r="K555">
        <f>IF(OR($E555="",$E555="نامعتبر"),"",IF(Sync!$V552="","",IFERROR(INDEX(SubCodes,MATCH(Sync!$V552,SubTitles,0)),Sync!$V552)))</f>
        <v/>
      </c>
      <c r="L555">
        <f>IF(OR($E555="",$E555="نامعتبر"),"",IF(Sync!$W552="",0,Sync!$W552))</f>
        <v/>
      </c>
      <c r="M555">
        <f>IF(OR($E555="",$E555="نامعتبر"),"",IF(Sync!$X552="",0,Sync!$X552))</f>
        <v/>
      </c>
      <c r="N555">
        <f>IF(OR($E555="",$E555="نامعتبر"),"",IF(AND($J555="هزینه",$K555&lt;&gt;""),1,0))</f>
        <v/>
      </c>
      <c r="O555">
        <f>IF($N555=0,"",LEFT($E555,4)&amp;MID($E555,6,2)&amp;RIGHT($E555,2)&amp;$F555&amp;"|"&amp;"1"&amp;RIGHT("00000"&amp;547,5))</f>
        <v/>
      </c>
      <c r="P555">
        <f>IF($O555="","",COUNTIFS(ExpSub,$K555,ExpKey,"&lt;"&amp;$O555)+1)</f>
        <v/>
      </c>
      <c r="Q555">
        <f>IF($P555="","",$K555&amp;"|"&amp;RIGHT("000000"&amp;$P555,6))</f>
        <v/>
      </c>
    </row>
    <row r="556">
      <c r="A556">
        <f>IF(Sync!$P553="","",Sync!$P553)</f>
        <v/>
      </c>
      <c r="B556">
        <f>IF($A556="","",IF(ISNUMBER($A556),IF(AND($A556&gt;=10000101,$A556&lt;=99991231),INT($A556/10000),""),IFERROR(VALUE(TRIM(LEFT($A556,FIND("/",$A556)-1))),"")))</f>
        <v/>
      </c>
      <c r="C556">
        <f>IF(OR($A556="",$B556=""),"",IF(ISNUMBER($A556),INT(MOD($A556,10000)/100),IFERROR(VALUE(TRIM(LEFT(MID($A556,FIND("/",$A556)+1,20),FIND("/",MID($A556,FIND("/",$A556)+1,20))-1))),"")))</f>
        <v/>
      </c>
      <c r="D556">
        <f>IF(OR($A556="",$B556=""),"",IF(ISNUMBER($A556),MOD($A556,100),IFERROR(VALUE(TRIM(MID(MID($A556,FIND("/",$A556)+1,20),FIND("/",MID($A556,FIND("/",$A556)+1,20))+1,20))),"")))</f>
        <v/>
      </c>
      <c r="E556">
        <f>IF($A556="","",IF(OR($B556="",$C556="",$D556="",$B556&lt;1300,$B556&gt;1500,$C556&lt;1,$C556&gt;12,$D556&lt;1,$D556&gt;31),"نامعتبر",RIGHT("0000"&amp;$B556,4)&amp;"/"&amp;RIGHT("00"&amp;$C556,2)&amp;"/"&amp;RIGHT("00"&amp;$D556,2)))</f>
        <v/>
      </c>
      <c r="F556">
        <f>IF(OR($E556="",$E556="نامعتبر"),"",IF(Sync!$Q553="","0000",IF(AND(ISNUMBER(Sync!$Q553),Sync!$Q553&gt;=0,Sync!$Q553&lt;1),RIGHT("00"&amp;HOUR(Sync!$Q553),2)&amp;RIGHT("00"&amp;MINUTE(Sync!$Q553),2),IFERROR(RIGHT("00"&amp;VALUE(LEFT(Sync!$Q553,FIND(":",Sync!$Q553)-1)),2)&amp;RIGHT("00"&amp;VALUE(MID(Sync!$Q553,FIND(":",Sync!$Q553)+1,2)),2),"0000"))))</f>
        <v/>
      </c>
      <c r="G556">
        <f>IF(OR($E556="",$E556="نامعتبر"),"",IF(Sync!$S553="","",Sync!$S553))</f>
        <v/>
      </c>
      <c r="H556">
        <f>IF(OR($E556="",$E556="نامعتبر"),"",IF(Sync!$R553="","",Sync!$R553))</f>
        <v/>
      </c>
      <c r="I556">
        <f>IF(OR($E556="",$E556="نامعتبر"),"",IF(Sync!$T553="","",Sync!$T553))</f>
        <v/>
      </c>
      <c r="J556">
        <f>IF(OR($E556="",$E556="نامعتبر"),"",IF(Sync!$U553="","",Sync!$U553))</f>
        <v/>
      </c>
      <c r="K556">
        <f>IF(OR($E556="",$E556="نامعتبر"),"",IF(Sync!$V553="","",IFERROR(INDEX(SubCodes,MATCH(Sync!$V553,SubTitles,0)),Sync!$V553)))</f>
        <v/>
      </c>
      <c r="L556">
        <f>IF(OR($E556="",$E556="نامعتبر"),"",IF(Sync!$W553="",0,Sync!$W553))</f>
        <v/>
      </c>
      <c r="M556">
        <f>IF(OR($E556="",$E556="نامعتبر"),"",IF(Sync!$X553="",0,Sync!$X553))</f>
        <v/>
      </c>
      <c r="N556">
        <f>IF(OR($E556="",$E556="نامعتبر"),"",IF(AND($J556="هزینه",$K556&lt;&gt;""),1,0))</f>
        <v/>
      </c>
      <c r="O556">
        <f>IF($N556=0,"",LEFT($E556,4)&amp;MID($E556,6,2)&amp;RIGHT($E556,2)&amp;$F556&amp;"|"&amp;"1"&amp;RIGHT("00000"&amp;548,5))</f>
        <v/>
      </c>
      <c r="P556">
        <f>IF($O556="","",COUNTIFS(ExpSub,$K556,ExpKey,"&lt;"&amp;$O556)+1)</f>
        <v/>
      </c>
      <c r="Q556">
        <f>IF($P556="","",$K556&amp;"|"&amp;RIGHT("000000"&amp;$P556,6))</f>
        <v/>
      </c>
    </row>
    <row r="557">
      <c r="A557">
        <f>IF(Sync!$P554="","",Sync!$P554)</f>
        <v/>
      </c>
      <c r="B557">
        <f>IF($A557="","",IF(ISNUMBER($A557),IF(AND($A557&gt;=10000101,$A557&lt;=99991231),INT($A557/10000),""),IFERROR(VALUE(TRIM(LEFT($A557,FIND("/",$A557)-1))),"")))</f>
        <v/>
      </c>
      <c r="C557">
        <f>IF(OR($A557="",$B557=""),"",IF(ISNUMBER($A557),INT(MOD($A557,10000)/100),IFERROR(VALUE(TRIM(LEFT(MID($A557,FIND("/",$A557)+1,20),FIND("/",MID($A557,FIND("/",$A557)+1,20))-1))),"")))</f>
        <v/>
      </c>
      <c r="D557">
        <f>IF(OR($A557="",$B557=""),"",IF(ISNUMBER($A557),MOD($A557,100),IFERROR(VALUE(TRIM(MID(MID($A557,FIND("/",$A557)+1,20),FIND("/",MID($A557,FIND("/",$A557)+1,20))+1,20))),"")))</f>
        <v/>
      </c>
      <c r="E557">
        <f>IF($A557="","",IF(OR($B557="",$C557="",$D557="",$B557&lt;1300,$B557&gt;1500,$C557&lt;1,$C557&gt;12,$D557&lt;1,$D557&gt;31),"نامعتبر",RIGHT("0000"&amp;$B557,4)&amp;"/"&amp;RIGHT("00"&amp;$C557,2)&amp;"/"&amp;RIGHT("00"&amp;$D557,2)))</f>
        <v/>
      </c>
      <c r="F557">
        <f>IF(OR($E557="",$E557="نامعتبر"),"",IF(Sync!$Q554="","0000",IF(AND(ISNUMBER(Sync!$Q554),Sync!$Q554&gt;=0,Sync!$Q554&lt;1),RIGHT("00"&amp;HOUR(Sync!$Q554),2)&amp;RIGHT("00"&amp;MINUTE(Sync!$Q554),2),IFERROR(RIGHT("00"&amp;VALUE(LEFT(Sync!$Q554,FIND(":",Sync!$Q554)-1)),2)&amp;RIGHT("00"&amp;VALUE(MID(Sync!$Q554,FIND(":",Sync!$Q554)+1,2)),2),"0000"))))</f>
        <v/>
      </c>
      <c r="G557">
        <f>IF(OR($E557="",$E557="نامعتبر"),"",IF(Sync!$S554="","",Sync!$S554))</f>
        <v/>
      </c>
      <c r="H557">
        <f>IF(OR($E557="",$E557="نامعتبر"),"",IF(Sync!$R554="","",Sync!$R554))</f>
        <v/>
      </c>
      <c r="I557">
        <f>IF(OR($E557="",$E557="نامعتبر"),"",IF(Sync!$T554="","",Sync!$T554))</f>
        <v/>
      </c>
      <c r="J557">
        <f>IF(OR($E557="",$E557="نامعتبر"),"",IF(Sync!$U554="","",Sync!$U554))</f>
        <v/>
      </c>
      <c r="K557">
        <f>IF(OR($E557="",$E557="نامعتبر"),"",IF(Sync!$V554="","",IFERROR(INDEX(SubCodes,MATCH(Sync!$V554,SubTitles,0)),Sync!$V554)))</f>
        <v/>
      </c>
      <c r="L557">
        <f>IF(OR($E557="",$E557="نامعتبر"),"",IF(Sync!$W554="",0,Sync!$W554))</f>
        <v/>
      </c>
      <c r="M557">
        <f>IF(OR($E557="",$E557="نامعتبر"),"",IF(Sync!$X554="",0,Sync!$X554))</f>
        <v/>
      </c>
      <c r="N557">
        <f>IF(OR($E557="",$E557="نامعتبر"),"",IF(AND($J557="هزینه",$K557&lt;&gt;""),1,0))</f>
        <v/>
      </c>
      <c r="O557">
        <f>IF($N557=0,"",LEFT($E557,4)&amp;MID($E557,6,2)&amp;RIGHT($E557,2)&amp;$F557&amp;"|"&amp;"1"&amp;RIGHT("00000"&amp;549,5))</f>
        <v/>
      </c>
      <c r="P557">
        <f>IF($O557="","",COUNTIFS(ExpSub,$K557,ExpKey,"&lt;"&amp;$O557)+1)</f>
        <v/>
      </c>
      <c r="Q557">
        <f>IF($P557="","",$K557&amp;"|"&amp;RIGHT("000000"&amp;$P557,6))</f>
        <v/>
      </c>
    </row>
    <row r="558">
      <c r="A558">
        <f>IF(Sync!$P555="","",Sync!$P555)</f>
        <v/>
      </c>
      <c r="B558">
        <f>IF($A558="","",IF(ISNUMBER($A558),IF(AND($A558&gt;=10000101,$A558&lt;=99991231),INT($A558/10000),""),IFERROR(VALUE(TRIM(LEFT($A558,FIND("/",$A558)-1))),"")))</f>
        <v/>
      </c>
      <c r="C558">
        <f>IF(OR($A558="",$B558=""),"",IF(ISNUMBER($A558),INT(MOD($A558,10000)/100),IFERROR(VALUE(TRIM(LEFT(MID($A558,FIND("/",$A558)+1,20),FIND("/",MID($A558,FIND("/",$A558)+1,20))-1))),"")))</f>
        <v/>
      </c>
      <c r="D558">
        <f>IF(OR($A558="",$B558=""),"",IF(ISNUMBER($A558),MOD($A558,100),IFERROR(VALUE(TRIM(MID(MID($A558,FIND("/",$A558)+1,20),FIND("/",MID($A558,FIND("/",$A558)+1,20))+1,20))),"")))</f>
        <v/>
      </c>
      <c r="E558">
        <f>IF($A558="","",IF(OR($B558="",$C558="",$D558="",$B558&lt;1300,$B558&gt;1500,$C558&lt;1,$C558&gt;12,$D558&lt;1,$D558&gt;31),"نامعتبر",RIGHT("0000"&amp;$B558,4)&amp;"/"&amp;RIGHT("00"&amp;$C558,2)&amp;"/"&amp;RIGHT("00"&amp;$D558,2)))</f>
        <v/>
      </c>
      <c r="F558">
        <f>IF(OR($E558="",$E558="نامعتبر"),"",IF(Sync!$Q555="","0000",IF(AND(ISNUMBER(Sync!$Q555),Sync!$Q555&gt;=0,Sync!$Q555&lt;1),RIGHT("00"&amp;HOUR(Sync!$Q555),2)&amp;RIGHT("00"&amp;MINUTE(Sync!$Q555),2),IFERROR(RIGHT("00"&amp;VALUE(LEFT(Sync!$Q555,FIND(":",Sync!$Q555)-1)),2)&amp;RIGHT("00"&amp;VALUE(MID(Sync!$Q555,FIND(":",Sync!$Q555)+1,2)),2),"0000"))))</f>
        <v/>
      </c>
      <c r="G558">
        <f>IF(OR($E558="",$E558="نامعتبر"),"",IF(Sync!$S555="","",Sync!$S555))</f>
        <v/>
      </c>
      <c r="H558">
        <f>IF(OR($E558="",$E558="نامعتبر"),"",IF(Sync!$R555="","",Sync!$R555))</f>
        <v/>
      </c>
      <c r="I558">
        <f>IF(OR($E558="",$E558="نامعتبر"),"",IF(Sync!$T555="","",Sync!$T555))</f>
        <v/>
      </c>
      <c r="J558">
        <f>IF(OR($E558="",$E558="نامعتبر"),"",IF(Sync!$U555="","",Sync!$U555))</f>
        <v/>
      </c>
      <c r="K558">
        <f>IF(OR($E558="",$E558="نامعتبر"),"",IF(Sync!$V555="","",IFERROR(INDEX(SubCodes,MATCH(Sync!$V555,SubTitles,0)),Sync!$V555)))</f>
        <v/>
      </c>
      <c r="L558">
        <f>IF(OR($E558="",$E558="نامعتبر"),"",IF(Sync!$W555="",0,Sync!$W555))</f>
        <v/>
      </c>
      <c r="M558">
        <f>IF(OR($E558="",$E558="نامعتبر"),"",IF(Sync!$X555="",0,Sync!$X555))</f>
        <v/>
      </c>
      <c r="N558">
        <f>IF(OR($E558="",$E558="نامعتبر"),"",IF(AND($J558="هزینه",$K558&lt;&gt;""),1,0))</f>
        <v/>
      </c>
      <c r="O558">
        <f>IF($N558=0,"",LEFT($E558,4)&amp;MID($E558,6,2)&amp;RIGHT($E558,2)&amp;$F558&amp;"|"&amp;"1"&amp;RIGHT("00000"&amp;550,5))</f>
        <v/>
      </c>
      <c r="P558">
        <f>IF($O558="","",COUNTIFS(ExpSub,$K558,ExpKey,"&lt;"&amp;$O558)+1)</f>
        <v/>
      </c>
      <c r="Q558">
        <f>IF($P558="","",$K558&amp;"|"&amp;RIGHT("000000"&amp;$P558,6))</f>
        <v/>
      </c>
    </row>
    <row r="559">
      <c r="A559">
        <f>IF(Sync!$P556="","",Sync!$P556)</f>
        <v/>
      </c>
      <c r="B559">
        <f>IF($A559="","",IF(ISNUMBER($A559),IF(AND($A559&gt;=10000101,$A559&lt;=99991231),INT($A559/10000),""),IFERROR(VALUE(TRIM(LEFT($A559,FIND("/",$A559)-1))),"")))</f>
        <v/>
      </c>
      <c r="C559">
        <f>IF(OR($A559="",$B559=""),"",IF(ISNUMBER($A559),INT(MOD($A559,10000)/100),IFERROR(VALUE(TRIM(LEFT(MID($A559,FIND("/",$A559)+1,20),FIND("/",MID($A559,FIND("/",$A559)+1,20))-1))),"")))</f>
        <v/>
      </c>
      <c r="D559">
        <f>IF(OR($A559="",$B559=""),"",IF(ISNUMBER($A559),MOD($A559,100),IFERROR(VALUE(TRIM(MID(MID($A559,FIND("/",$A559)+1,20),FIND("/",MID($A559,FIND("/",$A559)+1,20))+1,20))),"")))</f>
        <v/>
      </c>
      <c r="E559">
        <f>IF($A559="","",IF(OR($B559="",$C559="",$D559="",$B559&lt;1300,$B559&gt;1500,$C559&lt;1,$C559&gt;12,$D559&lt;1,$D559&gt;31),"نامعتبر",RIGHT("0000"&amp;$B559,4)&amp;"/"&amp;RIGHT("00"&amp;$C559,2)&amp;"/"&amp;RIGHT("00"&amp;$D559,2)))</f>
        <v/>
      </c>
      <c r="F559">
        <f>IF(OR($E559="",$E559="نامعتبر"),"",IF(Sync!$Q556="","0000",IF(AND(ISNUMBER(Sync!$Q556),Sync!$Q556&gt;=0,Sync!$Q556&lt;1),RIGHT("00"&amp;HOUR(Sync!$Q556),2)&amp;RIGHT("00"&amp;MINUTE(Sync!$Q556),2),IFERROR(RIGHT("00"&amp;VALUE(LEFT(Sync!$Q556,FIND(":",Sync!$Q556)-1)),2)&amp;RIGHT("00"&amp;VALUE(MID(Sync!$Q556,FIND(":",Sync!$Q556)+1,2)),2),"0000"))))</f>
        <v/>
      </c>
      <c r="G559">
        <f>IF(OR($E559="",$E559="نامعتبر"),"",IF(Sync!$S556="","",Sync!$S556))</f>
        <v/>
      </c>
      <c r="H559">
        <f>IF(OR($E559="",$E559="نامعتبر"),"",IF(Sync!$R556="","",Sync!$R556))</f>
        <v/>
      </c>
      <c r="I559">
        <f>IF(OR($E559="",$E559="نامعتبر"),"",IF(Sync!$T556="","",Sync!$T556))</f>
        <v/>
      </c>
      <c r="J559">
        <f>IF(OR($E559="",$E559="نامعتبر"),"",IF(Sync!$U556="","",Sync!$U556))</f>
        <v/>
      </c>
      <c r="K559">
        <f>IF(OR($E559="",$E559="نامعتبر"),"",IF(Sync!$V556="","",IFERROR(INDEX(SubCodes,MATCH(Sync!$V556,SubTitles,0)),Sync!$V556)))</f>
        <v/>
      </c>
      <c r="L559">
        <f>IF(OR($E559="",$E559="نامعتبر"),"",IF(Sync!$W556="",0,Sync!$W556))</f>
        <v/>
      </c>
      <c r="M559">
        <f>IF(OR($E559="",$E559="نامعتبر"),"",IF(Sync!$X556="",0,Sync!$X556))</f>
        <v/>
      </c>
      <c r="N559">
        <f>IF(OR($E559="",$E559="نامعتبر"),"",IF(AND($J559="هزینه",$K559&lt;&gt;""),1,0))</f>
        <v/>
      </c>
      <c r="O559">
        <f>IF($N559=0,"",LEFT($E559,4)&amp;MID($E559,6,2)&amp;RIGHT($E559,2)&amp;$F559&amp;"|"&amp;"1"&amp;RIGHT("00000"&amp;551,5))</f>
        <v/>
      </c>
      <c r="P559">
        <f>IF($O559="","",COUNTIFS(ExpSub,$K559,ExpKey,"&lt;"&amp;$O559)+1)</f>
        <v/>
      </c>
      <c r="Q559">
        <f>IF($P559="","",$K559&amp;"|"&amp;RIGHT("000000"&amp;$P559,6))</f>
        <v/>
      </c>
    </row>
    <row r="560">
      <c r="A560">
        <f>IF(Sync!$P557="","",Sync!$P557)</f>
        <v/>
      </c>
      <c r="B560">
        <f>IF($A560="","",IF(ISNUMBER($A560),IF(AND($A560&gt;=10000101,$A560&lt;=99991231),INT($A560/10000),""),IFERROR(VALUE(TRIM(LEFT($A560,FIND("/",$A560)-1))),"")))</f>
        <v/>
      </c>
      <c r="C560">
        <f>IF(OR($A560="",$B560=""),"",IF(ISNUMBER($A560),INT(MOD($A560,10000)/100),IFERROR(VALUE(TRIM(LEFT(MID($A560,FIND("/",$A560)+1,20),FIND("/",MID($A560,FIND("/",$A560)+1,20))-1))),"")))</f>
        <v/>
      </c>
      <c r="D560">
        <f>IF(OR($A560="",$B560=""),"",IF(ISNUMBER($A560),MOD($A560,100),IFERROR(VALUE(TRIM(MID(MID($A560,FIND("/",$A560)+1,20),FIND("/",MID($A560,FIND("/",$A560)+1,20))+1,20))),"")))</f>
        <v/>
      </c>
      <c r="E560">
        <f>IF($A560="","",IF(OR($B560="",$C560="",$D560="",$B560&lt;1300,$B560&gt;1500,$C560&lt;1,$C560&gt;12,$D560&lt;1,$D560&gt;31),"نامعتبر",RIGHT("0000"&amp;$B560,4)&amp;"/"&amp;RIGHT("00"&amp;$C560,2)&amp;"/"&amp;RIGHT("00"&amp;$D560,2)))</f>
        <v/>
      </c>
      <c r="F560">
        <f>IF(OR($E560="",$E560="نامعتبر"),"",IF(Sync!$Q557="","0000",IF(AND(ISNUMBER(Sync!$Q557),Sync!$Q557&gt;=0,Sync!$Q557&lt;1),RIGHT("00"&amp;HOUR(Sync!$Q557),2)&amp;RIGHT("00"&amp;MINUTE(Sync!$Q557),2),IFERROR(RIGHT("00"&amp;VALUE(LEFT(Sync!$Q557,FIND(":",Sync!$Q557)-1)),2)&amp;RIGHT("00"&amp;VALUE(MID(Sync!$Q557,FIND(":",Sync!$Q557)+1,2)),2),"0000"))))</f>
        <v/>
      </c>
      <c r="G560">
        <f>IF(OR($E560="",$E560="نامعتبر"),"",IF(Sync!$S557="","",Sync!$S557))</f>
        <v/>
      </c>
      <c r="H560">
        <f>IF(OR($E560="",$E560="نامعتبر"),"",IF(Sync!$R557="","",Sync!$R557))</f>
        <v/>
      </c>
      <c r="I560">
        <f>IF(OR($E560="",$E560="نامعتبر"),"",IF(Sync!$T557="","",Sync!$T557))</f>
        <v/>
      </c>
      <c r="J560">
        <f>IF(OR($E560="",$E560="نامعتبر"),"",IF(Sync!$U557="","",Sync!$U557))</f>
        <v/>
      </c>
      <c r="K560">
        <f>IF(OR($E560="",$E560="نامعتبر"),"",IF(Sync!$V557="","",IFERROR(INDEX(SubCodes,MATCH(Sync!$V557,SubTitles,0)),Sync!$V557)))</f>
        <v/>
      </c>
      <c r="L560">
        <f>IF(OR($E560="",$E560="نامعتبر"),"",IF(Sync!$W557="",0,Sync!$W557))</f>
        <v/>
      </c>
      <c r="M560">
        <f>IF(OR($E560="",$E560="نامعتبر"),"",IF(Sync!$X557="",0,Sync!$X557))</f>
        <v/>
      </c>
      <c r="N560">
        <f>IF(OR($E560="",$E560="نامعتبر"),"",IF(AND($J560="هزینه",$K560&lt;&gt;""),1,0))</f>
        <v/>
      </c>
      <c r="O560">
        <f>IF($N560=0,"",LEFT($E560,4)&amp;MID($E560,6,2)&amp;RIGHT($E560,2)&amp;$F560&amp;"|"&amp;"1"&amp;RIGHT("00000"&amp;552,5))</f>
        <v/>
      </c>
      <c r="P560">
        <f>IF($O560="","",COUNTIFS(ExpSub,$K560,ExpKey,"&lt;"&amp;$O560)+1)</f>
        <v/>
      </c>
      <c r="Q560">
        <f>IF($P560="","",$K560&amp;"|"&amp;RIGHT("000000"&amp;$P560,6))</f>
        <v/>
      </c>
    </row>
    <row r="561">
      <c r="A561">
        <f>IF(Sync!$P558="","",Sync!$P558)</f>
        <v/>
      </c>
      <c r="B561">
        <f>IF($A561="","",IF(ISNUMBER($A561),IF(AND($A561&gt;=10000101,$A561&lt;=99991231),INT($A561/10000),""),IFERROR(VALUE(TRIM(LEFT($A561,FIND("/",$A561)-1))),"")))</f>
        <v/>
      </c>
      <c r="C561">
        <f>IF(OR($A561="",$B561=""),"",IF(ISNUMBER($A561),INT(MOD($A561,10000)/100),IFERROR(VALUE(TRIM(LEFT(MID($A561,FIND("/",$A561)+1,20),FIND("/",MID($A561,FIND("/",$A561)+1,20))-1))),"")))</f>
        <v/>
      </c>
      <c r="D561">
        <f>IF(OR($A561="",$B561=""),"",IF(ISNUMBER($A561),MOD($A561,100),IFERROR(VALUE(TRIM(MID(MID($A561,FIND("/",$A561)+1,20),FIND("/",MID($A561,FIND("/",$A561)+1,20))+1,20))),"")))</f>
        <v/>
      </c>
      <c r="E561">
        <f>IF($A561="","",IF(OR($B561="",$C561="",$D561="",$B561&lt;1300,$B561&gt;1500,$C561&lt;1,$C561&gt;12,$D561&lt;1,$D561&gt;31),"نامعتبر",RIGHT("0000"&amp;$B561,4)&amp;"/"&amp;RIGHT("00"&amp;$C561,2)&amp;"/"&amp;RIGHT("00"&amp;$D561,2)))</f>
        <v/>
      </c>
      <c r="F561">
        <f>IF(OR($E561="",$E561="نامعتبر"),"",IF(Sync!$Q558="","0000",IF(AND(ISNUMBER(Sync!$Q558),Sync!$Q558&gt;=0,Sync!$Q558&lt;1),RIGHT("00"&amp;HOUR(Sync!$Q558),2)&amp;RIGHT("00"&amp;MINUTE(Sync!$Q558),2),IFERROR(RIGHT("00"&amp;VALUE(LEFT(Sync!$Q558,FIND(":",Sync!$Q558)-1)),2)&amp;RIGHT("00"&amp;VALUE(MID(Sync!$Q558,FIND(":",Sync!$Q558)+1,2)),2),"0000"))))</f>
        <v/>
      </c>
      <c r="G561">
        <f>IF(OR($E561="",$E561="نامعتبر"),"",IF(Sync!$S558="","",Sync!$S558))</f>
        <v/>
      </c>
      <c r="H561">
        <f>IF(OR($E561="",$E561="نامعتبر"),"",IF(Sync!$R558="","",Sync!$R558))</f>
        <v/>
      </c>
      <c r="I561">
        <f>IF(OR($E561="",$E561="نامعتبر"),"",IF(Sync!$T558="","",Sync!$T558))</f>
        <v/>
      </c>
      <c r="J561">
        <f>IF(OR($E561="",$E561="نامعتبر"),"",IF(Sync!$U558="","",Sync!$U558))</f>
        <v/>
      </c>
      <c r="K561">
        <f>IF(OR($E561="",$E561="نامعتبر"),"",IF(Sync!$V558="","",IFERROR(INDEX(SubCodes,MATCH(Sync!$V558,SubTitles,0)),Sync!$V558)))</f>
        <v/>
      </c>
      <c r="L561">
        <f>IF(OR($E561="",$E561="نامعتبر"),"",IF(Sync!$W558="",0,Sync!$W558))</f>
        <v/>
      </c>
      <c r="M561">
        <f>IF(OR($E561="",$E561="نامعتبر"),"",IF(Sync!$X558="",0,Sync!$X558))</f>
        <v/>
      </c>
      <c r="N561">
        <f>IF(OR($E561="",$E561="نامعتبر"),"",IF(AND($J561="هزینه",$K561&lt;&gt;""),1,0))</f>
        <v/>
      </c>
      <c r="O561">
        <f>IF($N561=0,"",LEFT($E561,4)&amp;MID($E561,6,2)&amp;RIGHT($E561,2)&amp;$F561&amp;"|"&amp;"1"&amp;RIGHT("00000"&amp;553,5))</f>
        <v/>
      </c>
      <c r="P561">
        <f>IF($O561="","",COUNTIFS(ExpSub,$K561,ExpKey,"&lt;"&amp;$O561)+1)</f>
        <v/>
      </c>
      <c r="Q561">
        <f>IF($P561="","",$K561&amp;"|"&amp;RIGHT("000000"&amp;$P561,6))</f>
        <v/>
      </c>
    </row>
    <row r="562">
      <c r="A562">
        <f>IF(Sync!$P559="","",Sync!$P559)</f>
        <v/>
      </c>
      <c r="B562">
        <f>IF($A562="","",IF(ISNUMBER($A562),IF(AND($A562&gt;=10000101,$A562&lt;=99991231),INT($A562/10000),""),IFERROR(VALUE(TRIM(LEFT($A562,FIND("/",$A562)-1))),"")))</f>
        <v/>
      </c>
      <c r="C562">
        <f>IF(OR($A562="",$B562=""),"",IF(ISNUMBER($A562),INT(MOD($A562,10000)/100),IFERROR(VALUE(TRIM(LEFT(MID($A562,FIND("/",$A562)+1,20),FIND("/",MID($A562,FIND("/",$A562)+1,20))-1))),"")))</f>
        <v/>
      </c>
      <c r="D562">
        <f>IF(OR($A562="",$B562=""),"",IF(ISNUMBER($A562),MOD($A562,100),IFERROR(VALUE(TRIM(MID(MID($A562,FIND("/",$A562)+1,20),FIND("/",MID($A562,FIND("/",$A562)+1,20))+1,20))),"")))</f>
        <v/>
      </c>
      <c r="E562">
        <f>IF($A562="","",IF(OR($B562="",$C562="",$D562="",$B562&lt;1300,$B562&gt;1500,$C562&lt;1,$C562&gt;12,$D562&lt;1,$D562&gt;31),"نامعتبر",RIGHT("0000"&amp;$B562,4)&amp;"/"&amp;RIGHT("00"&amp;$C562,2)&amp;"/"&amp;RIGHT("00"&amp;$D562,2)))</f>
        <v/>
      </c>
      <c r="F562">
        <f>IF(OR($E562="",$E562="نامعتبر"),"",IF(Sync!$Q559="","0000",IF(AND(ISNUMBER(Sync!$Q559),Sync!$Q559&gt;=0,Sync!$Q559&lt;1),RIGHT("00"&amp;HOUR(Sync!$Q559),2)&amp;RIGHT("00"&amp;MINUTE(Sync!$Q559),2),IFERROR(RIGHT("00"&amp;VALUE(LEFT(Sync!$Q559,FIND(":",Sync!$Q559)-1)),2)&amp;RIGHT("00"&amp;VALUE(MID(Sync!$Q559,FIND(":",Sync!$Q559)+1,2)),2),"0000"))))</f>
        <v/>
      </c>
      <c r="G562">
        <f>IF(OR($E562="",$E562="نامعتبر"),"",IF(Sync!$S559="","",Sync!$S559))</f>
        <v/>
      </c>
      <c r="H562">
        <f>IF(OR($E562="",$E562="نامعتبر"),"",IF(Sync!$R559="","",Sync!$R559))</f>
        <v/>
      </c>
      <c r="I562">
        <f>IF(OR($E562="",$E562="نامعتبر"),"",IF(Sync!$T559="","",Sync!$T559))</f>
        <v/>
      </c>
      <c r="J562">
        <f>IF(OR($E562="",$E562="نامعتبر"),"",IF(Sync!$U559="","",Sync!$U559))</f>
        <v/>
      </c>
      <c r="K562">
        <f>IF(OR($E562="",$E562="نامعتبر"),"",IF(Sync!$V559="","",IFERROR(INDEX(SubCodes,MATCH(Sync!$V559,SubTitles,0)),Sync!$V559)))</f>
        <v/>
      </c>
      <c r="L562">
        <f>IF(OR($E562="",$E562="نامعتبر"),"",IF(Sync!$W559="",0,Sync!$W559))</f>
        <v/>
      </c>
      <c r="M562">
        <f>IF(OR($E562="",$E562="نامعتبر"),"",IF(Sync!$X559="",0,Sync!$X559))</f>
        <v/>
      </c>
      <c r="N562">
        <f>IF(OR($E562="",$E562="نامعتبر"),"",IF(AND($J562="هزینه",$K562&lt;&gt;""),1,0))</f>
        <v/>
      </c>
      <c r="O562">
        <f>IF($N562=0,"",LEFT($E562,4)&amp;MID($E562,6,2)&amp;RIGHT($E562,2)&amp;$F562&amp;"|"&amp;"1"&amp;RIGHT("00000"&amp;554,5))</f>
        <v/>
      </c>
      <c r="P562">
        <f>IF($O562="","",COUNTIFS(ExpSub,$K562,ExpKey,"&lt;"&amp;$O562)+1)</f>
        <v/>
      </c>
      <c r="Q562">
        <f>IF($P562="","",$K562&amp;"|"&amp;RIGHT("000000"&amp;$P562,6))</f>
        <v/>
      </c>
    </row>
    <row r="563">
      <c r="A563">
        <f>IF(Sync!$P560="","",Sync!$P560)</f>
        <v/>
      </c>
      <c r="B563">
        <f>IF($A563="","",IF(ISNUMBER($A563),IF(AND($A563&gt;=10000101,$A563&lt;=99991231),INT($A563/10000),""),IFERROR(VALUE(TRIM(LEFT($A563,FIND("/",$A563)-1))),"")))</f>
        <v/>
      </c>
      <c r="C563">
        <f>IF(OR($A563="",$B563=""),"",IF(ISNUMBER($A563),INT(MOD($A563,10000)/100),IFERROR(VALUE(TRIM(LEFT(MID($A563,FIND("/",$A563)+1,20),FIND("/",MID($A563,FIND("/",$A563)+1,20))-1))),"")))</f>
        <v/>
      </c>
      <c r="D563">
        <f>IF(OR($A563="",$B563=""),"",IF(ISNUMBER($A563),MOD($A563,100),IFERROR(VALUE(TRIM(MID(MID($A563,FIND("/",$A563)+1,20),FIND("/",MID($A563,FIND("/",$A563)+1,20))+1,20))),"")))</f>
        <v/>
      </c>
      <c r="E563">
        <f>IF($A563="","",IF(OR($B563="",$C563="",$D563="",$B563&lt;1300,$B563&gt;1500,$C563&lt;1,$C563&gt;12,$D563&lt;1,$D563&gt;31),"نامعتبر",RIGHT("0000"&amp;$B563,4)&amp;"/"&amp;RIGHT("00"&amp;$C563,2)&amp;"/"&amp;RIGHT("00"&amp;$D563,2)))</f>
        <v/>
      </c>
      <c r="F563">
        <f>IF(OR($E563="",$E563="نامعتبر"),"",IF(Sync!$Q560="","0000",IF(AND(ISNUMBER(Sync!$Q560),Sync!$Q560&gt;=0,Sync!$Q560&lt;1),RIGHT("00"&amp;HOUR(Sync!$Q560),2)&amp;RIGHT("00"&amp;MINUTE(Sync!$Q560),2),IFERROR(RIGHT("00"&amp;VALUE(LEFT(Sync!$Q560,FIND(":",Sync!$Q560)-1)),2)&amp;RIGHT("00"&amp;VALUE(MID(Sync!$Q560,FIND(":",Sync!$Q560)+1,2)),2),"0000"))))</f>
        <v/>
      </c>
      <c r="G563">
        <f>IF(OR($E563="",$E563="نامعتبر"),"",IF(Sync!$S560="","",Sync!$S560))</f>
        <v/>
      </c>
      <c r="H563">
        <f>IF(OR($E563="",$E563="نامعتبر"),"",IF(Sync!$R560="","",Sync!$R560))</f>
        <v/>
      </c>
      <c r="I563">
        <f>IF(OR($E563="",$E563="نامعتبر"),"",IF(Sync!$T560="","",Sync!$T560))</f>
        <v/>
      </c>
      <c r="J563">
        <f>IF(OR($E563="",$E563="نامعتبر"),"",IF(Sync!$U560="","",Sync!$U560))</f>
        <v/>
      </c>
      <c r="K563">
        <f>IF(OR($E563="",$E563="نامعتبر"),"",IF(Sync!$V560="","",IFERROR(INDEX(SubCodes,MATCH(Sync!$V560,SubTitles,0)),Sync!$V560)))</f>
        <v/>
      </c>
      <c r="L563">
        <f>IF(OR($E563="",$E563="نامعتبر"),"",IF(Sync!$W560="",0,Sync!$W560))</f>
        <v/>
      </c>
      <c r="M563">
        <f>IF(OR($E563="",$E563="نامعتبر"),"",IF(Sync!$X560="",0,Sync!$X560))</f>
        <v/>
      </c>
      <c r="N563">
        <f>IF(OR($E563="",$E563="نامعتبر"),"",IF(AND($J563="هزینه",$K563&lt;&gt;""),1,0))</f>
        <v/>
      </c>
      <c r="O563">
        <f>IF($N563=0,"",LEFT($E563,4)&amp;MID($E563,6,2)&amp;RIGHT($E563,2)&amp;$F563&amp;"|"&amp;"1"&amp;RIGHT("00000"&amp;555,5))</f>
        <v/>
      </c>
      <c r="P563">
        <f>IF($O563="","",COUNTIFS(ExpSub,$K563,ExpKey,"&lt;"&amp;$O563)+1)</f>
        <v/>
      </c>
      <c r="Q563">
        <f>IF($P563="","",$K563&amp;"|"&amp;RIGHT("000000"&amp;$P563,6))</f>
        <v/>
      </c>
    </row>
    <row r="564">
      <c r="A564">
        <f>IF(Sync!$P561="","",Sync!$P561)</f>
        <v/>
      </c>
      <c r="B564">
        <f>IF($A564="","",IF(ISNUMBER($A564),IF(AND($A564&gt;=10000101,$A564&lt;=99991231),INT($A564/10000),""),IFERROR(VALUE(TRIM(LEFT($A564,FIND("/",$A564)-1))),"")))</f>
        <v/>
      </c>
      <c r="C564">
        <f>IF(OR($A564="",$B564=""),"",IF(ISNUMBER($A564),INT(MOD($A564,10000)/100),IFERROR(VALUE(TRIM(LEFT(MID($A564,FIND("/",$A564)+1,20),FIND("/",MID($A564,FIND("/",$A564)+1,20))-1))),"")))</f>
        <v/>
      </c>
      <c r="D564">
        <f>IF(OR($A564="",$B564=""),"",IF(ISNUMBER($A564),MOD($A564,100),IFERROR(VALUE(TRIM(MID(MID($A564,FIND("/",$A564)+1,20),FIND("/",MID($A564,FIND("/",$A564)+1,20))+1,20))),"")))</f>
        <v/>
      </c>
      <c r="E564">
        <f>IF($A564="","",IF(OR($B564="",$C564="",$D564="",$B564&lt;1300,$B564&gt;1500,$C564&lt;1,$C564&gt;12,$D564&lt;1,$D564&gt;31),"نامعتبر",RIGHT("0000"&amp;$B564,4)&amp;"/"&amp;RIGHT("00"&amp;$C564,2)&amp;"/"&amp;RIGHT("00"&amp;$D564,2)))</f>
        <v/>
      </c>
      <c r="F564">
        <f>IF(OR($E564="",$E564="نامعتبر"),"",IF(Sync!$Q561="","0000",IF(AND(ISNUMBER(Sync!$Q561),Sync!$Q561&gt;=0,Sync!$Q561&lt;1),RIGHT("00"&amp;HOUR(Sync!$Q561),2)&amp;RIGHT("00"&amp;MINUTE(Sync!$Q561),2),IFERROR(RIGHT("00"&amp;VALUE(LEFT(Sync!$Q561,FIND(":",Sync!$Q561)-1)),2)&amp;RIGHT("00"&amp;VALUE(MID(Sync!$Q561,FIND(":",Sync!$Q561)+1,2)),2),"0000"))))</f>
        <v/>
      </c>
      <c r="G564">
        <f>IF(OR($E564="",$E564="نامعتبر"),"",IF(Sync!$S561="","",Sync!$S561))</f>
        <v/>
      </c>
      <c r="H564">
        <f>IF(OR($E564="",$E564="نامعتبر"),"",IF(Sync!$R561="","",Sync!$R561))</f>
        <v/>
      </c>
      <c r="I564">
        <f>IF(OR($E564="",$E564="نامعتبر"),"",IF(Sync!$T561="","",Sync!$T561))</f>
        <v/>
      </c>
      <c r="J564">
        <f>IF(OR($E564="",$E564="نامعتبر"),"",IF(Sync!$U561="","",Sync!$U561))</f>
        <v/>
      </c>
      <c r="K564">
        <f>IF(OR($E564="",$E564="نامعتبر"),"",IF(Sync!$V561="","",IFERROR(INDEX(SubCodes,MATCH(Sync!$V561,SubTitles,0)),Sync!$V561)))</f>
        <v/>
      </c>
      <c r="L564">
        <f>IF(OR($E564="",$E564="نامعتبر"),"",IF(Sync!$W561="",0,Sync!$W561))</f>
        <v/>
      </c>
      <c r="M564">
        <f>IF(OR($E564="",$E564="نامعتبر"),"",IF(Sync!$X561="",0,Sync!$X561))</f>
        <v/>
      </c>
      <c r="N564">
        <f>IF(OR($E564="",$E564="نامعتبر"),"",IF(AND($J564="هزینه",$K564&lt;&gt;""),1,0))</f>
        <v/>
      </c>
      <c r="O564">
        <f>IF($N564=0,"",LEFT($E564,4)&amp;MID($E564,6,2)&amp;RIGHT($E564,2)&amp;$F564&amp;"|"&amp;"1"&amp;RIGHT("00000"&amp;556,5))</f>
        <v/>
      </c>
      <c r="P564">
        <f>IF($O564="","",COUNTIFS(ExpSub,$K564,ExpKey,"&lt;"&amp;$O564)+1)</f>
        <v/>
      </c>
      <c r="Q564">
        <f>IF($P564="","",$K564&amp;"|"&amp;RIGHT("000000"&amp;$P564,6))</f>
        <v/>
      </c>
    </row>
    <row r="565">
      <c r="A565">
        <f>IF(Sync!$P562="","",Sync!$P562)</f>
        <v/>
      </c>
      <c r="B565">
        <f>IF($A565="","",IF(ISNUMBER($A565),IF(AND($A565&gt;=10000101,$A565&lt;=99991231),INT($A565/10000),""),IFERROR(VALUE(TRIM(LEFT($A565,FIND("/",$A565)-1))),"")))</f>
        <v/>
      </c>
      <c r="C565">
        <f>IF(OR($A565="",$B565=""),"",IF(ISNUMBER($A565),INT(MOD($A565,10000)/100),IFERROR(VALUE(TRIM(LEFT(MID($A565,FIND("/",$A565)+1,20),FIND("/",MID($A565,FIND("/",$A565)+1,20))-1))),"")))</f>
        <v/>
      </c>
      <c r="D565">
        <f>IF(OR($A565="",$B565=""),"",IF(ISNUMBER($A565),MOD($A565,100),IFERROR(VALUE(TRIM(MID(MID($A565,FIND("/",$A565)+1,20),FIND("/",MID($A565,FIND("/",$A565)+1,20))+1,20))),"")))</f>
        <v/>
      </c>
      <c r="E565">
        <f>IF($A565="","",IF(OR($B565="",$C565="",$D565="",$B565&lt;1300,$B565&gt;1500,$C565&lt;1,$C565&gt;12,$D565&lt;1,$D565&gt;31),"نامعتبر",RIGHT("0000"&amp;$B565,4)&amp;"/"&amp;RIGHT("00"&amp;$C565,2)&amp;"/"&amp;RIGHT("00"&amp;$D565,2)))</f>
        <v/>
      </c>
      <c r="F565">
        <f>IF(OR($E565="",$E565="نامعتبر"),"",IF(Sync!$Q562="","0000",IF(AND(ISNUMBER(Sync!$Q562),Sync!$Q562&gt;=0,Sync!$Q562&lt;1),RIGHT("00"&amp;HOUR(Sync!$Q562),2)&amp;RIGHT("00"&amp;MINUTE(Sync!$Q562),2),IFERROR(RIGHT("00"&amp;VALUE(LEFT(Sync!$Q562,FIND(":",Sync!$Q562)-1)),2)&amp;RIGHT("00"&amp;VALUE(MID(Sync!$Q562,FIND(":",Sync!$Q562)+1,2)),2),"0000"))))</f>
        <v/>
      </c>
      <c r="G565">
        <f>IF(OR($E565="",$E565="نامعتبر"),"",IF(Sync!$S562="","",Sync!$S562))</f>
        <v/>
      </c>
      <c r="H565">
        <f>IF(OR($E565="",$E565="نامعتبر"),"",IF(Sync!$R562="","",Sync!$R562))</f>
        <v/>
      </c>
      <c r="I565">
        <f>IF(OR($E565="",$E565="نامعتبر"),"",IF(Sync!$T562="","",Sync!$T562))</f>
        <v/>
      </c>
      <c r="J565">
        <f>IF(OR($E565="",$E565="نامعتبر"),"",IF(Sync!$U562="","",Sync!$U562))</f>
        <v/>
      </c>
      <c r="K565">
        <f>IF(OR($E565="",$E565="نامعتبر"),"",IF(Sync!$V562="","",IFERROR(INDEX(SubCodes,MATCH(Sync!$V562,SubTitles,0)),Sync!$V562)))</f>
        <v/>
      </c>
      <c r="L565">
        <f>IF(OR($E565="",$E565="نامعتبر"),"",IF(Sync!$W562="",0,Sync!$W562))</f>
        <v/>
      </c>
      <c r="M565">
        <f>IF(OR($E565="",$E565="نامعتبر"),"",IF(Sync!$X562="",0,Sync!$X562))</f>
        <v/>
      </c>
      <c r="N565">
        <f>IF(OR($E565="",$E565="نامعتبر"),"",IF(AND($J565="هزینه",$K565&lt;&gt;""),1,0))</f>
        <v/>
      </c>
      <c r="O565">
        <f>IF($N565=0,"",LEFT($E565,4)&amp;MID($E565,6,2)&amp;RIGHT($E565,2)&amp;$F565&amp;"|"&amp;"1"&amp;RIGHT("00000"&amp;557,5))</f>
        <v/>
      </c>
      <c r="P565">
        <f>IF($O565="","",COUNTIFS(ExpSub,$K565,ExpKey,"&lt;"&amp;$O565)+1)</f>
        <v/>
      </c>
      <c r="Q565">
        <f>IF($P565="","",$K565&amp;"|"&amp;RIGHT("000000"&amp;$P565,6))</f>
        <v/>
      </c>
    </row>
    <row r="566">
      <c r="A566">
        <f>IF(Sync!$P563="","",Sync!$P563)</f>
        <v/>
      </c>
      <c r="B566">
        <f>IF($A566="","",IF(ISNUMBER($A566),IF(AND($A566&gt;=10000101,$A566&lt;=99991231),INT($A566/10000),""),IFERROR(VALUE(TRIM(LEFT($A566,FIND("/",$A566)-1))),"")))</f>
        <v/>
      </c>
      <c r="C566">
        <f>IF(OR($A566="",$B566=""),"",IF(ISNUMBER($A566),INT(MOD($A566,10000)/100),IFERROR(VALUE(TRIM(LEFT(MID($A566,FIND("/",$A566)+1,20),FIND("/",MID($A566,FIND("/",$A566)+1,20))-1))),"")))</f>
        <v/>
      </c>
      <c r="D566">
        <f>IF(OR($A566="",$B566=""),"",IF(ISNUMBER($A566),MOD($A566,100),IFERROR(VALUE(TRIM(MID(MID($A566,FIND("/",$A566)+1,20),FIND("/",MID($A566,FIND("/",$A566)+1,20))+1,20))),"")))</f>
        <v/>
      </c>
      <c r="E566">
        <f>IF($A566="","",IF(OR($B566="",$C566="",$D566="",$B566&lt;1300,$B566&gt;1500,$C566&lt;1,$C566&gt;12,$D566&lt;1,$D566&gt;31),"نامعتبر",RIGHT("0000"&amp;$B566,4)&amp;"/"&amp;RIGHT("00"&amp;$C566,2)&amp;"/"&amp;RIGHT("00"&amp;$D566,2)))</f>
        <v/>
      </c>
      <c r="F566">
        <f>IF(OR($E566="",$E566="نامعتبر"),"",IF(Sync!$Q563="","0000",IF(AND(ISNUMBER(Sync!$Q563),Sync!$Q563&gt;=0,Sync!$Q563&lt;1),RIGHT("00"&amp;HOUR(Sync!$Q563),2)&amp;RIGHT("00"&amp;MINUTE(Sync!$Q563),2),IFERROR(RIGHT("00"&amp;VALUE(LEFT(Sync!$Q563,FIND(":",Sync!$Q563)-1)),2)&amp;RIGHT("00"&amp;VALUE(MID(Sync!$Q563,FIND(":",Sync!$Q563)+1,2)),2),"0000"))))</f>
        <v/>
      </c>
      <c r="G566">
        <f>IF(OR($E566="",$E566="نامعتبر"),"",IF(Sync!$S563="","",Sync!$S563))</f>
        <v/>
      </c>
      <c r="H566">
        <f>IF(OR($E566="",$E566="نامعتبر"),"",IF(Sync!$R563="","",Sync!$R563))</f>
        <v/>
      </c>
      <c r="I566">
        <f>IF(OR($E566="",$E566="نامعتبر"),"",IF(Sync!$T563="","",Sync!$T563))</f>
        <v/>
      </c>
      <c r="J566">
        <f>IF(OR($E566="",$E566="نامعتبر"),"",IF(Sync!$U563="","",Sync!$U563))</f>
        <v/>
      </c>
      <c r="K566">
        <f>IF(OR($E566="",$E566="نامعتبر"),"",IF(Sync!$V563="","",IFERROR(INDEX(SubCodes,MATCH(Sync!$V563,SubTitles,0)),Sync!$V563)))</f>
        <v/>
      </c>
      <c r="L566">
        <f>IF(OR($E566="",$E566="نامعتبر"),"",IF(Sync!$W563="",0,Sync!$W563))</f>
        <v/>
      </c>
      <c r="M566">
        <f>IF(OR($E566="",$E566="نامعتبر"),"",IF(Sync!$X563="",0,Sync!$X563))</f>
        <v/>
      </c>
      <c r="N566">
        <f>IF(OR($E566="",$E566="نامعتبر"),"",IF(AND($J566="هزینه",$K566&lt;&gt;""),1,0))</f>
        <v/>
      </c>
      <c r="O566">
        <f>IF($N566=0,"",LEFT($E566,4)&amp;MID($E566,6,2)&amp;RIGHT($E566,2)&amp;$F566&amp;"|"&amp;"1"&amp;RIGHT("00000"&amp;558,5))</f>
        <v/>
      </c>
      <c r="P566">
        <f>IF($O566="","",COUNTIFS(ExpSub,$K566,ExpKey,"&lt;"&amp;$O566)+1)</f>
        <v/>
      </c>
      <c r="Q566">
        <f>IF($P566="","",$K566&amp;"|"&amp;RIGHT("000000"&amp;$P566,6))</f>
        <v/>
      </c>
    </row>
    <row r="567">
      <c r="A567">
        <f>IF(Sync!$P564="","",Sync!$P564)</f>
        <v/>
      </c>
      <c r="B567">
        <f>IF($A567="","",IF(ISNUMBER($A567),IF(AND($A567&gt;=10000101,$A567&lt;=99991231),INT($A567/10000),""),IFERROR(VALUE(TRIM(LEFT($A567,FIND("/",$A567)-1))),"")))</f>
        <v/>
      </c>
      <c r="C567">
        <f>IF(OR($A567="",$B567=""),"",IF(ISNUMBER($A567),INT(MOD($A567,10000)/100),IFERROR(VALUE(TRIM(LEFT(MID($A567,FIND("/",$A567)+1,20),FIND("/",MID($A567,FIND("/",$A567)+1,20))-1))),"")))</f>
        <v/>
      </c>
      <c r="D567">
        <f>IF(OR($A567="",$B567=""),"",IF(ISNUMBER($A567),MOD($A567,100),IFERROR(VALUE(TRIM(MID(MID($A567,FIND("/",$A567)+1,20),FIND("/",MID($A567,FIND("/",$A567)+1,20))+1,20))),"")))</f>
        <v/>
      </c>
      <c r="E567">
        <f>IF($A567="","",IF(OR($B567="",$C567="",$D567="",$B567&lt;1300,$B567&gt;1500,$C567&lt;1,$C567&gt;12,$D567&lt;1,$D567&gt;31),"نامعتبر",RIGHT("0000"&amp;$B567,4)&amp;"/"&amp;RIGHT("00"&amp;$C567,2)&amp;"/"&amp;RIGHT("00"&amp;$D567,2)))</f>
        <v/>
      </c>
      <c r="F567">
        <f>IF(OR($E567="",$E567="نامعتبر"),"",IF(Sync!$Q564="","0000",IF(AND(ISNUMBER(Sync!$Q564),Sync!$Q564&gt;=0,Sync!$Q564&lt;1),RIGHT("00"&amp;HOUR(Sync!$Q564),2)&amp;RIGHT("00"&amp;MINUTE(Sync!$Q564),2),IFERROR(RIGHT("00"&amp;VALUE(LEFT(Sync!$Q564,FIND(":",Sync!$Q564)-1)),2)&amp;RIGHT("00"&amp;VALUE(MID(Sync!$Q564,FIND(":",Sync!$Q564)+1,2)),2),"0000"))))</f>
        <v/>
      </c>
      <c r="G567">
        <f>IF(OR($E567="",$E567="نامعتبر"),"",IF(Sync!$S564="","",Sync!$S564))</f>
        <v/>
      </c>
      <c r="H567">
        <f>IF(OR($E567="",$E567="نامعتبر"),"",IF(Sync!$R564="","",Sync!$R564))</f>
        <v/>
      </c>
      <c r="I567">
        <f>IF(OR($E567="",$E567="نامعتبر"),"",IF(Sync!$T564="","",Sync!$T564))</f>
        <v/>
      </c>
      <c r="J567">
        <f>IF(OR($E567="",$E567="نامعتبر"),"",IF(Sync!$U564="","",Sync!$U564))</f>
        <v/>
      </c>
      <c r="K567">
        <f>IF(OR($E567="",$E567="نامعتبر"),"",IF(Sync!$V564="","",IFERROR(INDEX(SubCodes,MATCH(Sync!$V564,SubTitles,0)),Sync!$V564)))</f>
        <v/>
      </c>
      <c r="L567">
        <f>IF(OR($E567="",$E567="نامعتبر"),"",IF(Sync!$W564="",0,Sync!$W564))</f>
        <v/>
      </c>
      <c r="M567">
        <f>IF(OR($E567="",$E567="نامعتبر"),"",IF(Sync!$X564="",0,Sync!$X564))</f>
        <v/>
      </c>
      <c r="N567">
        <f>IF(OR($E567="",$E567="نامعتبر"),"",IF(AND($J567="هزینه",$K567&lt;&gt;""),1,0))</f>
        <v/>
      </c>
      <c r="O567">
        <f>IF($N567=0,"",LEFT($E567,4)&amp;MID($E567,6,2)&amp;RIGHT($E567,2)&amp;$F567&amp;"|"&amp;"1"&amp;RIGHT("00000"&amp;559,5))</f>
        <v/>
      </c>
      <c r="P567">
        <f>IF($O567="","",COUNTIFS(ExpSub,$K567,ExpKey,"&lt;"&amp;$O567)+1)</f>
        <v/>
      </c>
      <c r="Q567">
        <f>IF($P567="","",$K567&amp;"|"&amp;RIGHT("000000"&amp;$P567,6))</f>
        <v/>
      </c>
    </row>
    <row r="568">
      <c r="A568">
        <f>IF(Sync!$P565="","",Sync!$P565)</f>
        <v/>
      </c>
      <c r="B568">
        <f>IF($A568="","",IF(ISNUMBER($A568),IF(AND($A568&gt;=10000101,$A568&lt;=99991231),INT($A568/10000),""),IFERROR(VALUE(TRIM(LEFT($A568,FIND("/",$A568)-1))),"")))</f>
        <v/>
      </c>
      <c r="C568">
        <f>IF(OR($A568="",$B568=""),"",IF(ISNUMBER($A568),INT(MOD($A568,10000)/100),IFERROR(VALUE(TRIM(LEFT(MID($A568,FIND("/",$A568)+1,20),FIND("/",MID($A568,FIND("/",$A568)+1,20))-1))),"")))</f>
        <v/>
      </c>
      <c r="D568">
        <f>IF(OR($A568="",$B568=""),"",IF(ISNUMBER($A568),MOD($A568,100),IFERROR(VALUE(TRIM(MID(MID($A568,FIND("/",$A568)+1,20),FIND("/",MID($A568,FIND("/",$A568)+1,20))+1,20))),"")))</f>
        <v/>
      </c>
      <c r="E568">
        <f>IF($A568="","",IF(OR($B568="",$C568="",$D568="",$B568&lt;1300,$B568&gt;1500,$C568&lt;1,$C568&gt;12,$D568&lt;1,$D568&gt;31),"نامعتبر",RIGHT("0000"&amp;$B568,4)&amp;"/"&amp;RIGHT("00"&amp;$C568,2)&amp;"/"&amp;RIGHT("00"&amp;$D568,2)))</f>
        <v/>
      </c>
      <c r="F568">
        <f>IF(OR($E568="",$E568="نامعتبر"),"",IF(Sync!$Q565="","0000",IF(AND(ISNUMBER(Sync!$Q565),Sync!$Q565&gt;=0,Sync!$Q565&lt;1),RIGHT("00"&amp;HOUR(Sync!$Q565),2)&amp;RIGHT("00"&amp;MINUTE(Sync!$Q565),2),IFERROR(RIGHT("00"&amp;VALUE(LEFT(Sync!$Q565,FIND(":",Sync!$Q565)-1)),2)&amp;RIGHT("00"&amp;VALUE(MID(Sync!$Q565,FIND(":",Sync!$Q565)+1,2)),2),"0000"))))</f>
        <v/>
      </c>
      <c r="G568">
        <f>IF(OR($E568="",$E568="نامعتبر"),"",IF(Sync!$S565="","",Sync!$S565))</f>
        <v/>
      </c>
      <c r="H568">
        <f>IF(OR($E568="",$E568="نامعتبر"),"",IF(Sync!$R565="","",Sync!$R565))</f>
        <v/>
      </c>
      <c r="I568">
        <f>IF(OR($E568="",$E568="نامعتبر"),"",IF(Sync!$T565="","",Sync!$T565))</f>
        <v/>
      </c>
      <c r="J568">
        <f>IF(OR($E568="",$E568="نامعتبر"),"",IF(Sync!$U565="","",Sync!$U565))</f>
        <v/>
      </c>
      <c r="K568">
        <f>IF(OR($E568="",$E568="نامعتبر"),"",IF(Sync!$V565="","",IFERROR(INDEX(SubCodes,MATCH(Sync!$V565,SubTitles,0)),Sync!$V565)))</f>
        <v/>
      </c>
      <c r="L568">
        <f>IF(OR($E568="",$E568="نامعتبر"),"",IF(Sync!$W565="",0,Sync!$W565))</f>
        <v/>
      </c>
      <c r="M568">
        <f>IF(OR($E568="",$E568="نامعتبر"),"",IF(Sync!$X565="",0,Sync!$X565))</f>
        <v/>
      </c>
      <c r="N568">
        <f>IF(OR($E568="",$E568="نامعتبر"),"",IF(AND($J568="هزینه",$K568&lt;&gt;""),1,0))</f>
        <v/>
      </c>
      <c r="O568">
        <f>IF($N568=0,"",LEFT($E568,4)&amp;MID($E568,6,2)&amp;RIGHT($E568,2)&amp;$F568&amp;"|"&amp;"1"&amp;RIGHT("00000"&amp;560,5))</f>
        <v/>
      </c>
      <c r="P568">
        <f>IF($O568="","",COUNTIFS(ExpSub,$K568,ExpKey,"&lt;"&amp;$O568)+1)</f>
        <v/>
      </c>
      <c r="Q568">
        <f>IF($P568="","",$K568&amp;"|"&amp;RIGHT("000000"&amp;$P568,6))</f>
        <v/>
      </c>
    </row>
    <row r="569">
      <c r="A569">
        <f>IF(Sync!$P566="","",Sync!$P566)</f>
        <v/>
      </c>
      <c r="B569">
        <f>IF($A569="","",IF(ISNUMBER($A569),IF(AND($A569&gt;=10000101,$A569&lt;=99991231),INT($A569/10000),""),IFERROR(VALUE(TRIM(LEFT($A569,FIND("/",$A569)-1))),"")))</f>
        <v/>
      </c>
      <c r="C569">
        <f>IF(OR($A569="",$B569=""),"",IF(ISNUMBER($A569),INT(MOD($A569,10000)/100),IFERROR(VALUE(TRIM(LEFT(MID($A569,FIND("/",$A569)+1,20),FIND("/",MID($A569,FIND("/",$A569)+1,20))-1))),"")))</f>
        <v/>
      </c>
      <c r="D569">
        <f>IF(OR($A569="",$B569=""),"",IF(ISNUMBER($A569),MOD($A569,100),IFERROR(VALUE(TRIM(MID(MID($A569,FIND("/",$A569)+1,20),FIND("/",MID($A569,FIND("/",$A569)+1,20))+1,20))),"")))</f>
        <v/>
      </c>
      <c r="E569">
        <f>IF($A569="","",IF(OR($B569="",$C569="",$D569="",$B569&lt;1300,$B569&gt;1500,$C569&lt;1,$C569&gt;12,$D569&lt;1,$D569&gt;31),"نامعتبر",RIGHT("0000"&amp;$B569,4)&amp;"/"&amp;RIGHT("00"&amp;$C569,2)&amp;"/"&amp;RIGHT("00"&amp;$D569,2)))</f>
        <v/>
      </c>
      <c r="F569">
        <f>IF(OR($E569="",$E569="نامعتبر"),"",IF(Sync!$Q566="","0000",IF(AND(ISNUMBER(Sync!$Q566),Sync!$Q566&gt;=0,Sync!$Q566&lt;1),RIGHT("00"&amp;HOUR(Sync!$Q566),2)&amp;RIGHT("00"&amp;MINUTE(Sync!$Q566),2),IFERROR(RIGHT("00"&amp;VALUE(LEFT(Sync!$Q566,FIND(":",Sync!$Q566)-1)),2)&amp;RIGHT("00"&amp;VALUE(MID(Sync!$Q566,FIND(":",Sync!$Q566)+1,2)),2),"0000"))))</f>
        <v/>
      </c>
      <c r="G569">
        <f>IF(OR($E569="",$E569="نامعتبر"),"",IF(Sync!$S566="","",Sync!$S566))</f>
        <v/>
      </c>
      <c r="H569">
        <f>IF(OR($E569="",$E569="نامعتبر"),"",IF(Sync!$R566="","",Sync!$R566))</f>
        <v/>
      </c>
      <c r="I569">
        <f>IF(OR($E569="",$E569="نامعتبر"),"",IF(Sync!$T566="","",Sync!$T566))</f>
        <v/>
      </c>
      <c r="J569">
        <f>IF(OR($E569="",$E569="نامعتبر"),"",IF(Sync!$U566="","",Sync!$U566))</f>
        <v/>
      </c>
      <c r="K569">
        <f>IF(OR($E569="",$E569="نامعتبر"),"",IF(Sync!$V566="","",IFERROR(INDEX(SubCodes,MATCH(Sync!$V566,SubTitles,0)),Sync!$V566)))</f>
        <v/>
      </c>
      <c r="L569">
        <f>IF(OR($E569="",$E569="نامعتبر"),"",IF(Sync!$W566="",0,Sync!$W566))</f>
        <v/>
      </c>
      <c r="M569">
        <f>IF(OR($E569="",$E569="نامعتبر"),"",IF(Sync!$X566="",0,Sync!$X566))</f>
        <v/>
      </c>
      <c r="N569">
        <f>IF(OR($E569="",$E569="نامعتبر"),"",IF(AND($J569="هزینه",$K569&lt;&gt;""),1,0))</f>
        <v/>
      </c>
      <c r="O569">
        <f>IF($N569=0,"",LEFT($E569,4)&amp;MID($E569,6,2)&amp;RIGHT($E569,2)&amp;$F569&amp;"|"&amp;"1"&amp;RIGHT("00000"&amp;561,5))</f>
        <v/>
      </c>
      <c r="P569">
        <f>IF($O569="","",COUNTIFS(ExpSub,$K569,ExpKey,"&lt;"&amp;$O569)+1)</f>
        <v/>
      </c>
      <c r="Q569">
        <f>IF($P569="","",$K569&amp;"|"&amp;RIGHT("000000"&amp;$P569,6))</f>
        <v/>
      </c>
    </row>
    <row r="570">
      <c r="A570">
        <f>IF(Sync!$P567="","",Sync!$P567)</f>
        <v/>
      </c>
      <c r="B570">
        <f>IF($A570="","",IF(ISNUMBER($A570),IF(AND($A570&gt;=10000101,$A570&lt;=99991231),INT($A570/10000),""),IFERROR(VALUE(TRIM(LEFT($A570,FIND("/",$A570)-1))),"")))</f>
        <v/>
      </c>
      <c r="C570">
        <f>IF(OR($A570="",$B570=""),"",IF(ISNUMBER($A570),INT(MOD($A570,10000)/100),IFERROR(VALUE(TRIM(LEFT(MID($A570,FIND("/",$A570)+1,20),FIND("/",MID($A570,FIND("/",$A570)+1,20))-1))),"")))</f>
        <v/>
      </c>
      <c r="D570">
        <f>IF(OR($A570="",$B570=""),"",IF(ISNUMBER($A570),MOD($A570,100),IFERROR(VALUE(TRIM(MID(MID($A570,FIND("/",$A570)+1,20),FIND("/",MID($A570,FIND("/",$A570)+1,20))+1,20))),"")))</f>
        <v/>
      </c>
      <c r="E570">
        <f>IF($A570="","",IF(OR($B570="",$C570="",$D570="",$B570&lt;1300,$B570&gt;1500,$C570&lt;1,$C570&gt;12,$D570&lt;1,$D570&gt;31),"نامعتبر",RIGHT("0000"&amp;$B570,4)&amp;"/"&amp;RIGHT("00"&amp;$C570,2)&amp;"/"&amp;RIGHT("00"&amp;$D570,2)))</f>
        <v/>
      </c>
      <c r="F570">
        <f>IF(OR($E570="",$E570="نامعتبر"),"",IF(Sync!$Q567="","0000",IF(AND(ISNUMBER(Sync!$Q567),Sync!$Q567&gt;=0,Sync!$Q567&lt;1),RIGHT("00"&amp;HOUR(Sync!$Q567),2)&amp;RIGHT("00"&amp;MINUTE(Sync!$Q567),2),IFERROR(RIGHT("00"&amp;VALUE(LEFT(Sync!$Q567,FIND(":",Sync!$Q567)-1)),2)&amp;RIGHT("00"&amp;VALUE(MID(Sync!$Q567,FIND(":",Sync!$Q567)+1,2)),2),"0000"))))</f>
        <v/>
      </c>
      <c r="G570">
        <f>IF(OR($E570="",$E570="نامعتبر"),"",IF(Sync!$S567="","",Sync!$S567))</f>
        <v/>
      </c>
      <c r="H570">
        <f>IF(OR($E570="",$E570="نامعتبر"),"",IF(Sync!$R567="","",Sync!$R567))</f>
        <v/>
      </c>
      <c r="I570">
        <f>IF(OR($E570="",$E570="نامعتبر"),"",IF(Sync!$T567="","",Sync!$T567))</f>
        <v/>
      </c>
      <c r="J570">
        <f>IF(OR($E570="",$E570="نامعتبر"),"",IF(Sync!$U567="","",Sync!$U567))</f>
        <v/>
      </c>
      <c r="K570">
        <f>IF(OR($E570="",$E570="نامعتبر"),"",IF(Sync!$V567="","",IFERROR(INDEX(SubCodes,MATCH(Sync!$V567,SubTitles,0)),Sync!$V567)))</f>
        <v/>
      </c>
      <c r="L570">
        <f>IF(OR($E570="",$E570="نامعتبر"),"",IF(Sync!$W567="",0,Sync!$W567))</f>
        <v/>
      </c>
      <c r="M570">
        <f>IF(OR($E570="",$E570="نامعتبر"),"",IF(Sync!$X567="",0,Sync!$X567))</f>
        <v/>
      </c>
      <c r="N570">
        <f>IF(OR($E570="",$E570="نامعتبر"),"",IF(AND($J570="هزینه",$K570&lt;&gt;""),1,0))</f>
        <v/>
      </c>
      <c r="O570">
        <f>IF($N570=0,"",LEFT($E570,4)&amp;MID($E570,6,2)&amp;RIGHT($E570,2)&amp;$F570&amp;"|"&amp;"1"&amp;RIGHT("00000"&amp;562,5))</f>
        <v/>
      </c>
      <c r="P570">
        <f>IF($O570="","",COUNTIFS(ExpSub,$K570,ExpKey,"&lt;"&amp;$O570)+1)</f>
        <v/>
      </c>
      <c r="Q570">
        <f>IF($P570="","",$K570&amp;"|"&amp;RIGHT("000000"&amp;$P570,6))</f>
        <v/>
      </c>
    </row>
    <row r="571">
      <c r="A571">
        <f>IF(Sync!$P568="","",Sync!$P568)</f>
        <v/>
      </c>
      <c r="B571">
        <f>IF($A571="","",IF(ISNUMBER($A571),IF(AND($A571&gt;=10000101,$A571&lt;=99991231),INT($A571/10000),""),IFERROR(VALUE(TRIM(LEFT($A571,FIND("/",$A571)-1))),"")))</f>
        <v/>
      </c>
      <c r="C571">
        <f>IF(OR($A571="",$B571=""),"",IF(ISNUMBER($A571),INT(MOD($A571,10000)/100),IFERROR(VALUE(TRIM(LEFT(MID($A571,FIND("/",$A571)+1,20),FIND("/",MID($A571,FIND("/",$A571)+1,20))-1))),"")))</f>
        <v/>
      </c>
      <c r="D571">
        <f>IF(OR($A571="",$B571=""),"",IF(ISNUMBER($A571),MOD($A571,100),IFERROR(VALUE(TRIM(MID(MID($A571,FIND("/",$A571)+1,20),FIND("/",MID($A571,FIND("/",$A571)+1,20))+1,20))),"")))</f>
        <v/>
      </c>
      <c r="E571">
        <f>IF($A571="","",IF(OR($B571="",$C571="",$D571="",$B571&lt;1300,$B571&gt;1500,$C571&lt;1,$C571&gt;12,$D571&lt;1,$D571&gt;31),"نامعتبر",RIGHT("0000"&amp;$B571,4)&amp;"/"&amp;RIGHT("00"&amp;$C571,2)&amp;"/"&amp;RIGHT("00"&amp;$D571,2)))</f>
        <v/>
      </c>
      <c r="F571">
        <f>IF(OR($E571="",$E571="نامعتبر"),"",IF(Sync!$Q568="","0000",IF(AND(ISNUMBER(Sync!$Q568),Sync!$Q568&gt;=0,Sync!$Q568&lt;1),RIGHT("00"&amp;HOUR(Sync!$Q568),2)&amp;RIGHT("00"&amp;MINUTE(Sync!$Q568),2),IFERROR(RIGHT("00"&amp;VALUE(LEFT(Sync!$Q568,FIND(":",Sync!$Q568)-1)),2)&amp;RIGHT("00"&amp;VALUE(MID(Sync!$Q568,FIND(":",Sync!$Q568)+1,2)),2),"0000"))))</f>
        <v/>
      </c>
      <c r="G571">
        <f>IF(OR($E571="",$E571="نامعتبر"),"",IF(Sync!$S568="","",Sync!$S568))</f>
        <v/>
      </c>
      <c r="H571">
        <f>IF(OR($E571="",$E571="نامعتبر"),"",IF(Sync!$R568="","",Sync!$R568))</f>
        <v/>
      </c>
      <c r="I571">
        <f>IF(OR($E571="",$E571="نامعتبر"),"",IF(Sync!$T568="","",Sync!$T568))</f>
        <v/>
      </c>
      <c r="J571">
        <f>IF(OR($E571="",$E571="نامعتبر"),"",IF(Sync!$U568="","",Sync!$U568))</f>
        <v/>
      </c>
      <c r="K571">
        <f>IF(OR($E571="",$E571="نامعتبر"),"",IF(Sync!$V568="","",IFERROR(INDEX(SubCodes,MATCH(Sync!$V568,SubTitles,0)),Sync!$V568)))</f>
        <v/>
      </c>
      <c r="L571">
        <f>IF(OR($E571="",$E571="نامعتبر"),"",IF(Sync!$W568="",0,Sync!$W568))</f>
        <v/>
      </c>
      <c r="M571">
        <f>IF(OR($E571="",$E571="نامعتبر"),"",IF(Sync!$X568="",0,Sync!$X568))</f>
        <v/>
      </c>
      <c r="N571">
        <f>IF(OR($E571="",$E571="نامعتبر"),"",IF(AND($J571="هزینه",$K571&lt;&gt;""),1,0))</f>
        <v/>
      </c>
      <c r="O571">
        <f>IF($N571=0,"",LEFT($E571,4)&amp;MID($E571,6,2)&amp;RIGHT($E571,2)&amp;$F571&amp;"|"&amp;"1"&amp;RIGHT("00000"&amp;563,5))</f>
        <v/>
      </c>
      <c r="P571">
        <f>IF($O571="","",COUNTIFS(ExpSub,$K571,ExpKey,"&lt;"&amp;$O571)+1)</f>
        <v/>
      </c>
      <c r="Q571">
        <f>IF($P571="","",$K571&amp;"|"&amp;RIGHT("000000"&amp;$P571,6))</f>
        <v/>
      </c>
    </row>
    <row r="572">
      <c r="A572">
        <f>IF(Sync!$P569="","",Sync!$P569)</f>
        <v/>
      </c>
      <c r="B572">
        <f>IF($A572="","",IF(ISNUMBER($A572),IF(AND($A572&gt;=10000101,$A572&lt;=99991231),INT($A572/10000),""),IFERROR(VALUE(TRIM(LEFT($A572,FIND("/",$A572)-1))),"")))</f>
        <v/>
      </c>
      <c r="C572">
        <f>IF(OR($A572="",$B572=""),"",IF(ISNUMBER($A572),INT(MOD($A572,10000)/100),IFERROR(VALUE(TRIM(LEFT(MID($A572,FIND("/",$A572)+1,20),FIND("/",MID($A572,FIND("/",$A572)+1,20))-1))),"")))</f>
        <v/>
      </c>
      <c r="D572">
        <f>IF(OR($A572="",$B572=""),"",IF(ISNUMBER($A572),MOD($A572,100),IFERROR(VALUE(TRIM(MID(MID($A572,FIND("/",$A572)+1,20),FIND("/",MID($A572,FIND("/",$A572)+1,20))+1,20))),"")))</f>
        <v/>
      </c>
      <c r="E572">
        <f>IF($A572="","",IF(OR($B572="",$C572="",$D572="",$B572&lt;1300,$B572&gt;1500,$C572&lt;1,$C572&gt;12,$D572&lt;1,$D572&gt;31),"نامعتبر",RIGHT("0000"&amp;$B572,4)&amp;"/"&amp;RIGHT("00"&amp;$C572,2)&amp;"/"&amp;RIGHT("00"&amp;$D572,2)))</f>
        <v/>
      </c>
      <c r="F572">
        <f>IF(OR($E572="",$E572="نامعتبر"),"",IF(Sync!$Q569="","0000",IF(AND(ISNUMBER(Sync!$Q569),Sync!$Q569&gt;=0,Sync!$Q569&lt;1),RIGHT("00"&amp;HOUR(Sync!$Q569),2)&amp;RIGHT("00"&amp;MINUTE(Sync!$Q569),2),IFERROR(RIGHT("00"&amp;VALUE(LEFT(Sync!$Q569,FIND(":",Sync!$Q569)-1)),2)&amp;RIGHT("00"&amp;VALUE(MID(Sync!$Q569,FIND(":",Sync!$Q569)+1,2)),2),"0000"))))</f>
        <v/>
      </c>
      <c r="G572">
        <f>IF(OR($E572="",$E572="نامعتبر"),"",IF(Sync!$S569="","",Sync!$S569))</f>
        <v/>
      </c>
      <c r="H572">
        <f>IF(OR($E572="",$E572="نامعتبر"),"",IF(Sync!$R569="","",Sync!$R569))</f>
        <v/>
      </c>
      <c r="I572">
        <f>IF(OR($E572="",$E572="نامعتبر"),"",IF(Sync!$T569="","",Sync!$T569))</f>
        <v/>
      </c>
      <c r="J572">
        <f>IF(OR($E572="",$E572="نامعتبر"),"",IF(Sync!$U569="","",Sync!$U569))</f>
        <v/>
      </c>
      <c r="K572">
        <f>IF(OR($E572="",$E572="نامعتبر"),"",IF(Sync!$V569="","",IFERROR(INDEX(SubCodes,MATCH(Sync!$V569,SubTitles,0)),Sync!$V569)))</f>
        <v/>
      </c>
      <c r="L572">
        <f>IF(OR($E572="",$E572="نامعتبر"),"",IF(Sync!$W569="",0,Sync!$W569))</f>
        <v/>
      </c>
      <c r="M572">
        <f>IF(OR($E572="",$E572="نامعتبر"),"",IF(Sync!$X569="",0,Sync!$X569))</f>
        <v/>
      </c>
      <c r="N572">
        <f>IF(OR($E572="",$E572="نامعتبر"),"",IF(AND($J572="هزینه",$K572&lt;&gt;""),1,0))</f>
        <v/>
      </c>
      <c r="O572">
        <f>IF($N572=0,"",LEFT($E572,4)&amp;MID($E572,6,2)&amp;RIGHT($E572,2)&amp;$F572&amp;"|"&amp;"1"&amp;RIGHT("00000"&amp;564,5))</f>
        <v/>
      </c>
      <c r="P572">
        <f>IF($O572="","",COUNTIFS(ExpSub,$K572,ExpKey,"&lt;"&amp;$O572)+1)</f>
        <v/>
      </c>
      <c r="Q572">
        <f>IF($P572="","",$K572&amp;"|"&amp;RIGHT("000000"&amp;$P572,6))</f>
        <v/>
      </c>
    </row>
    <row r="573">
      <c r="A573">
        <f>IF(Sync!$P570="","",Sync!$P570)</f>
        <v/>
      </c>
      <c r="B573">
        <f>IF($A573="","",IF(ISNUMBER($A573),IF(AND($A573&gt;=10000101,$A573&lt;=99991231),INT($A573/10000),""),IFERROR(VALUE(TRIM(LEFT($A573,FIND("/",$A573)-1))),"")))</f>
        <v/>
      </c>
      <c r="C573">
        <f>IF(OR($A573="",$B573=""),"",IF(ISNUMBER($A573),INT(MOD($A573,10000)/100),IFERROR(VALUE(TRIM(LEFT(MID($A573,FIND("/",$A573)+1,20),FIND("/",MID($A573,FIND("/",$A573)+1,20))-1))),"")))</f>
        <v/>
      </c>
      <c r="D573">
        <f>IF(OR($A573="",$B573=""),"",IF(ISNUMBER($A573),MOD($A573,100),IFERROR(VALUE(TRIM(MID(MID($A573,FIND("/",$A573)+1,20),FIND("/",MID($A573,FIND("/",$A573)+1,20))+1,20))),"")))</f>
        <v/>
      </c>
      <c r="E573">
        <f>IF($A573="","",IF(OR($B573="",$C573="",$D573="",$B573&lt;1300,$B573&gt;1500,$C573&lt;1,$C573&gt;12,$D573&lt;1,$D573&gt;31),"نامعتبر",RIGHT("0000"&amp;$B573,4)&amp;"/"&amp;RIGHT("00"&amp;$C573,2)&amp;"/"&amp;RIGHT("00"&amp;$D573,2)))</f>
        <v/>
      </c>
      <c r="F573">
        <f>IF(OR($E573="",$E573="نامعتبر"),"",IF(Sync!$Q570="","0000",IF(AND(ISNUMBER(Sync!$Q570),Sync!$Q570&gt;=0,Sync!$Q570&lt;1),RIGHT("00"&amp;HOUR(Sync!$Q570),2)&amp;RIGHT("00"&amp;MINUTE(Sync!$Q570),2),IFERROR(RIGHT("00"&amp;VALUE(LEFT(Sync!$Q570,FIND(":",Sync!$Q570)-1)),2)&amp;RIGHT("00"&amp;VALUE(MID(Sync!$Q570,FIND(":",Sync!$Q570)+1,2)),2),"0000"))))</f>
        <v/>
      </c>
      <c r="G573">
        <f>IF(OR($E573="",$E573="نامعتبر"),"",IF(Sync!$S570="","",Sync!$S570))</f>
        <v/>
      </c>
      <c r="H573">
        <f>IF(OR($E573="",$E573="نامعتبر"),"",IF(Sync!$R570="","",Sync!$R570))</f>
        <v/>
      </c>
      <c r="I573">
        <f>IF(OR($E573="",$E573="نامعتبر"),"",IF(Sync!$T570="","",Sync!$T570))</f>
        <v/>
      </c>
      <c r="J573">
        <f>IF(OR($E573="",$E573="نامعتبر"),"",IF(Sync!$U570="","",Sync!$U570))</f>
        <v/>
      </c>
      <c r="K573">
        <f>IF(OR($E573="",$E573="نامعتبر"),"",IF(Sync!$V570="","",IFERROR(INDEX(SubCodes,MATCH(Sync!$V570,SubTitles,0)),Sync!$V570)))</f>
        <v/>
      </c>
      <c r="L573">
        <f>IF(OR($E573="",$E573="نامعتبر"),"",IF(Sync!$W570="",0,Sync!$W570))</f>
        <v/>
      </c>
      <c r="M573">
        <f>IF(OR($E573="",$E573="نامعتبر"),"",IF(Sync!$X570="",0,Sync!$X570))</f>
        <v/>
      </c>
      <c r="N573">
        <f>IF(OR($E573="",$E573="نامعتبر"),"",IF(AND($J573="هزینه",$K573&lt;&gt;""),1,0))</f>
        <v/>
      </c>
      <c r="O573">
        <f>IF($N573=0,"",LEFT($E573,4)&amp;MID($E573,6,2)&amp;RIGHT($E573,2)&amp;$F573&amp;"|"&amp;"1"&amp;RIGHT("00000"&amp;565,5))</f>
        <v/>
      </c>
      <c r="P573">
        <f>IF($O573="","",COUNTIFS(ExpSub,$K573,ExpKey,"&lt;"&amp;$O573)+1)</f>
        <v/>
      </c>
      <c r="Q573">
        <f>IF($P573="","",$K573&amp;"|"&amp;RIGHT("000000"&amp;$P573,6))</f>
        <v/>
      </c>
    </row>
    <row r="574">
      <c r="A574">
        <f>IF(Sync!$P571="","",Sync!$P571)</f>
        <v/>
      </c>
      <c r="B574">
        <f>IF($A574="","",IF(ISNUMBER($A574),IF(AND($A574&gt;=10000101,$A574&lt;=99991231),INT($A574/10000),""),IFERROR(VALUE(TRIM(LEFT($A574,FIND("/",$A574)-1))),"")))</f>
        <v/>
      </c>
      <c r="C574">
        <f>IF(OR($A574="",$B574=""),"",IF(ISNUMBER($A574),INT(MOD($A574,10000)/100),IFERROR(VALUE(TRIM(LEFT(MID($A574,FIND("/",$A574)+1,20),FIND("/",MID($A574,FIND("/",$A574)+1,20))-1))),"")))</f>
        <v/>
      </c>
      <c r="D574">
        <f>IF(OR($A574="",$B574=""),"",IF(ISNUMBER($A574),MOD($A574,100),IFERROR(VALUE(TRIM(MID(MID($A574,FIND("/",$A574)+1,20),FIND("/",MID($A574,FIND("/",$A574)+1,20))+1,20))),"")))</f>
        <v/>
      </c>
      <c r="E574">
        <f>IF($A574="","",IF(OR($B574="",$C574="",$D574="",$B574&lt;1300,$B574&gt;1500,$C574&lt;1,$C574&gt;12,$D574&lt;1,$D574&gt;31),"نامعتبر",RIGHT("0000"&amp;$B574,4)&amp;"/"&amp;RIGHT("00"&amp;$C574,2)&amp;"/"&amp;RIGHT("00"&amp;$D574,2)))</f>
        <v/>
      </c>
      <c r="F574">
        <f>IF(OR($E574="",$E574="نامعتبر"),"",IF(Sync!$Q571="","0000",IF(AND(ISNUMBER(Sync!$Q571),Sync!$Q571&gt;=0,Sync!$Q571&lt;1),RIGHT("00"&amp;HOUR(Sync!$Q571),2)&amp;RIGHT("00"&amp;MINUTE(Sync!$Q571),2),IFERROR(RIGHT("00"&amp;VALUE(LEFT(Sync!$Q571,FIND(":",Sync!$Q571)-1)),2)&amp;RIGHT("00"&amp;VALUE(MID(Sync!$Q571,FIND(":",Sync!$Q571)+1,2)),2),"0000"))))</f>
        <v/>
      </c>
      <c r="G574">
        <f>IF(OR($E574="",$E574="نامعتبر"),"",IF(Sync!$S571="","",Sync!$S571))</f>
        <v/>
      </c>
      <c r="H574">
        <f>IF(OR($E574="",$E574="نامعتبر"),"",IF(Sync!$R571="","",Sync!$R571))</f>
        <v/>
      </c>
      <c r="I574">
        <f>IF(OR($E574="",$E574="نامعتبر"),"",IF(Sync!$T571="","",Sync!$T571))</f>
        <v/>
      </c>
      <c r="J574">
        <f>IF(OR($E574="",$E574="نامعتبر"),"",IF(Sync!$U571="","",Sync!$U571))</f>
        <v/>
      </c>
      <c r="K574">
        <f>IF(OR($E574="",$E574="نامعتبر"),"",IF(Sync!$V571="","",IFERROR(INDEX(SubCodes,MATCH(Sync!$V571,SubTitles,0)),Sync!$V571)))</f>
        <v/>
      </c>
      <c r="L574">
        <f>IF(OR($E574="",$E574="نامعتبر"),"",IF(Sync!$W571="",0,Sync!$W571))</f>
        <v/>
      </c>
      <c r="M574">
        <f>IF(OR($E574="",$E574="نامعتبر"),"",IF(Sync!$X571="",0,Sync!$X571))</f>
        <v/>
      </c>
      <c r="N574">
        <f>IF(OR($E574="",$E574="نامعتبر"),"",IF(AND($J574="هزینه",$K574&lt;&gt;""),1,0))</f>
        <v/>
      </c>
      <c r="O574">
        <f>IF($N574=0,"",LEFT($E574,4)&amp;MID($E574,6,2)&amp;RIGHT($E574,2)&amp;$F574&amp;"|"&amp;"1"&amp;RIGHT("00000"&amp;566,5))</f>
        <v/>
      </c>
      <c r="P574">
        <f>IF($O574="","",COUNTIFS(ExpSub,$K574,ExpKey,"&lt;"&amp;$O574)+1)</f>
        <v/>
      </c>
      <c r="Q574">
        <f>IF($P574="","",$K574&amp;"|"&amp;RIGHT("000000"&amp;$P574,6))</f>
        <v/>
      </c>
    </row>
    <row r="575">
      <c r="A575">
        <f>IF(Sync!$P572="","",Sync!$P572)</f>
        <v/>
      </c>
      <c r="B575">
        <f>IF($A575="","",IF(ISNUMBER($A575),IF(AND($A575&gt;=10000101,$A575&lt;=99991231),INT($A575/10000),""),IFERROR(VALUE(TRIM(LEFT($A575,FIND("/",$A575)-1))),"")))</f>
        <v/>
      </c>
      <c r="C575">
        <f>IF(OR($A575="",$B575=""),"",IF(ISNUMBER($A575),INT(MOD($A575,10000)/100),IFERROR(VALUE(TRIM(LEFT(MID($A575,FIND("/",$A575)+1,20),FIND("/",MID($A575,FIND("/",$A575)+1,20))-1))),"")))</f>
        <v/>
      </c>
      <c r="D575">
        <f>IF(OR($A575="",$B575=""),"",IF(ISNUMBER($A575),MOD($A575,100),IFERROR(VALUE(TRIM(MID(MID($A575,FIND("/",$A575)+1,20),FIND("/",MID($A575,FIND("/",$A575)+1,20))+1,20))),"")))</f>
        <v/>
      </c>
      <c r="E575">
        <f>IF($A575="","",IF(OR($B575="",$C575="",$D575="",$B575&lt;1300,$B575&gt;1500,$C575&lt;1,$C575&gt;12,$D575&lt;1,$D575&gt;31),"نامعتبر",RIGHT("0000"&amp;$B575,4)&amp;"/"&amp;RIGHT("00"&amp;$C575,2)&amp;"/"&amp;RIGHT("00"&amp;$D575,2)))</f>
        <v/>
      </c>
      <c r="F575">
        <f>IF(OR($E575="",$E575="نامعتبر"),"",IF(Sync!$Q572="","0000",IF(AND(ISNUMBER(Sync!$Q572),Sync!$Q572&gt;=0,Sync!$Q572&lt;1),RIGHT("00"&amp;HOUR(Sync!$Q572),2)&amp;RIGHT("00"&amp;MINUTE(Sync!$Q572),2),IFERROR(RIGHT("00"&amp;VALUE(LEFT(Sync!$Q572,FIND(":",Sync!$Q572)-1)),2)&amp;RIGHT("00"&amp;VALUE(MID(Sync!$Q572,FIND(":",Sync!$Q572)+1,2)),2),"0000"))))</f>
        <v/>
      </c>
      <c r="G575">
        <f>IF(OR($E575="",$E575="نامعتبر"),"",IF(Sync!$S572="","",Sync!$S572))</f>
        <v/>
      </c>
      <c r="H575">
        <f>IF(OR($E575="",$E575="نامعتبر"),"",IF(Sync!$R572="","",Sync!$R572))</f>
        <v/>
      </c>
      <c r="I575">
        <f>IF(OR($E575="",$E575="نامعتبر"),"",IF(Sync!$T572="","",Sync!$T572))</f>
        <v/>
      </c>
      <c r="J575">
        <f>IF(OR($E575="",$E575="نامعتبر"),"",IF(Sync!$U572="","",Sync!$U572))</f>
        <v/>
      </c>
      <c r="K575">
        <f>IF(OR($E575="",$E575="نامعتبر"),"",IF(Sync!$V572="","",IFERROR(INDEX(SubCodes,MATCH(Sync!$V572,SubTitles,0)),Sync!$V572)))</f>
        <v/>
      </c>
      <c r="L575">
        <f>IF(OR($E575="",$E575="نامعتبر"),"",IF(Sync!$W572="",0,Sync!$W572))</f>
        <v/>
      </c>
      <c r="M575">
        <f>IF(OR($E575="",$E575="نامعتبر"),"",IF(Sync!$X572="",0,Sync!$X572))</f>
        <v/>
      </c>
      <c r="N575">
        <f>IF(OR($E575="",$E575="نامعتبر"),"",IF(AND($J575="هزینه",$K575&lt;&gt;""),1,0))</f>
        <v/>
      </c>
      <c r="O575">
        <f>IF($N575=0,"",LEFT($E575,4)&amp;MID($E575,6,2)&amp;RIGHT($E575,2)&amp;$F575&amp;"|"&amp;"1"&amp;RIGHT("00000"&amp;567,5))</f>
        <v/>
      </c>
      <c r="P575">
        <f>IF($O575="","",COUNTIFS(ExpSub,$K575,ExpKey,"&lt;"&amp;$O575)+1)</f>
        <v/>
      </c>
      <c r="Q575">
        <f>IF($P575="","",$K575&amp;"|"&amp;RIGHT("000000"&amp;$P575,6))</f>
        <v/>
      </c>
    </row>
    <row r="576">
      <c r="A576">
        <f>IF(Sync!$P573="","",Sync!$P573)</f>
        <v/>
      </c>
      <c r="B576">
        <f>IF($A576="","",IF(ISNUMBER($A576),IF(AND($A576&gt;=10000101,$A576&lt;=99991231),INT($A576/10000),""),IFERROR(VALUE(TRIM(LEFT($A576,FIND("/",$A576)-1))),"")))</f>
        <v/>
      </c>
      <c r="C576">
        <f>IF(OR($A576="",$B576=""),"",IF(ISNUMBER($A576),INT(MOD($A576,10000)/100),IFERROR(VALUE(TRIM(LEFT(MID($A576,FIND("/",$A576)+1,20),FIND("/",MID($A576,FIND("/",$A576)+1,20))-1))),"")))</f>
        <v/>
      </c>
      <c r="D576">
        <f>IF(OR($A576="",$B576=""),"",IF(ISNUMBER($A576),MOD($A576,100),IFERROR(VALUE(TRIM(MID(MID($A576,FIND("/",$A576)+1,20),FIND("/",MID($A576,FIND("/",$A576)+1,20))+1,20))),"")))</f>
        <v/>
      </c>
      <c r="E576">
        <f>IF($A576="","",IF(OR($B576="",$C576="",$D576="",$B576&lt;1300,$B576&gt;1500,$C576&lt;1,$C576&gt;12,$D576&lt;1,$D576&gt;31),"نامعتبر",RIGHT("0000"&amp;$B576,4)&amp;"/"&amp;RIGHT("00"&amp;$C576,2)&amp;"/"&amp;RIGHT("00"&amp;$D576,2)))</f>
        <v/>
      </c>
      <c r="F576">
        <f>IF(OR($E576="",$E576="نامعتبر"),"",IF(Sync!$Q573="","0000",IF(AND(ISNUMBER(Sync!$Q573),Sync!$Q573&gt;=0,Sync!$Q573&lt;1),RIGHT("00"&amp;HOUR(Sync!$Q573),2)&amp;RIGHT("00"&amp;MINUTE(Sync!$Q573),2),IFERROR(RIGHT("00"&amp;VALUE(LEFT(Sync!$Q573,FIND(":",Sync!$Q573)-1)),2)&amp;RIGHT("00"&amp;VALUE(MID(Sync!$Q573,FIND(":",Sync!$Q573)+1,2)),2),"0000"))))</f>
        <v/>
      </c>
      <c r="G576">
        <f>IF(OR($E576="",$E576="نامعتبر"),"",IF(Sync!$S573="","",Sync!$S573))</f>
        <v/>
      </c>
      <c r="H576">
        <f>IF(OR($E576="",$E576="نامعتبر"),"",IF(Sync!$R573="","",Sync!$R573))</f>
        <v/>
      </c>
      <c r="I576">
        <f>IF(OR($E576="",$E576="نامعتبر"),"",IF(Sync!$T573="","",Sync!$T573))</f>
        <v/>
      </c>
      <c r="J576">
        <f>IF(OR($E576="",$E576="نامعتبر"),"",IF(Sync!$U573="","",Sync!$U573))</f>
        <v/>
      </c>
      <c r="K576">
        <f>IF(OR($E576="",$E576="نامعتبر"),"",IF(Sync!$V573="","",IFERROR(INDEX(SubCodes,MATCH(Sync!$V573,SubTitles,0)),Sync!$V573)))</f>
        <v/>
      </c>
      <c r="L576">
        <f>IF(OR($E576="",$E576="نامعتبر"),"",IF(Sync!$W573="",0,Sync!$W573))</f>
        <v/>
      </c>
      <c r="M576">
        <f>IF(OR($E576="",$E576="نامعتبر"),"",IF(Sync!$X573="",0,Sync!$X573))</f>
        <v/>
      </c>
      <c r="N576">
        <f>IF(OR($E576="",$E576="نامعتبر"),"",IF(AND($J576="هزینه",$K576&lt;&gt;""),1,0))</f>
        <v/>
      </c>
      <c r="O576">
        <f>IF($N576=0,"",LEFT($E576,4)&amp;MID($E576,6,2)&amp;RIGHT($E576,2)&amp;$F576&amp;"|"&amp;"1"&amp;RIGHT("00000"&amp;568,5))</f>
        <v/>
      </c>
      <c r="P576">
        <f>IF($O576="","",COUNTIFS(ExpSub,$K576,ExpKey,"&lt;"&amp;$O576)+1)</f>
        <v/>
      </c>
      <c r="Q576">
        <f>IF($P576="","",$K576&amp;"|"&amp;RIGHT("000000"&amp;$P576,6))</f>
        <v/>
      </c>
    </row>
    <row r="577">
      <c r="A577">
        <f>IF(Sync!$P574="","",Sync!$P574)</f>
        <v/>
      </c>
      <c r="B577">
        <f>IF($A577="","",IF(ISNUMBER($A577),IF(AND($A577&gt;=10000101,$A577&lt;=99991231),INT($A577/10000),""),IFERROR(VALUE(TRIM(LEFT($A577,FIND("/",$A577)-1))),"")))</f>
        <v/>
      </c>
      <c r="C577">
        <f>IF(OR($A577="",$B577=""),"",IF(ISNUMBER($A577),INT(MOD($A577,10000)/100),IFERROR(VALUE(TRIM(LEFT(MID($A577,FIND("/",$A577)+1,20),FIND("/",MID($A577,FIND("/",$A577)+1,20))-1))),"")))</f>
        <v/>
      </c>
      <c r="D577">
        <f>IF(OR($A577="",$B577=""),"",IF(ISNUMBER($A577),MOD($A577,100),IFERROR(VALUE(TRIM(MID(MID($A577,FIND("/",$A577)+1,20),FIND("/",MID($A577,FIND("/",$A577)+1,20))+1,20))),"")))</f>
        <v/>
      </c>
      <c r="E577">
        <f>IF($A577="","",IF(OR($B577="",$C577="",$D577="",$B577&lt;1300,$B577&gt;1500,$C577&lt;1,$C577&gt;12,$D577&lt;1,$D577&gt;31),"نامعتبر",RIGHT("0000"&amp;$B577,4)&amp;"/"&amp;RIGHT("00"&amp;$C577,2)&amp;"/"&amp;RIGHT("00"&amp;$D577,2)))</f>
        <v/>
      </c>
      <c r="F577">
        <f>IF(OR($E577="",$E577="نامعتبر"),"",IF(Sync!$Q574="","0000",IF(AND(ISNUMBER(Sync!$Q574),Sync!$Q574&gt;=0,Sync!$Q574&lt;1),RIGHT("00"&amp;HOUR(Sync!$Q574),2)&amp;RIGHT("00"&amp;MINUTE(Sync!$Q574),2),IFERROR(RIGHT("00"&amp;VALUE(LEFT(Sync!$Q574,FIND(":",Sync!$Q574)-1)),2)&amp;RIGHT("00"&amp;VALUE(MID(Sync!$Q574,FIND(":",Sync!$Q574)+1,2)),2),"0000"))))</f>
        <v/>
      </c>
      <c r="G577">
        <f>IF(OR($E577="",$E577="نامعتبر"),"",IF(Sync!$S574="","",Sync!$S574))</f>
        <v/>
      </c>
      <c r="H577">
        <f>IF(OR($E577="",$E577="نامعتبر"),"",IF(Sync!$R574="","",Sync!$R574))</f>
        <v/>
      </c>
      <c r="I577">
        <f>IF(OR($E577="",$E577="نامعتبر"),"",IF(Sync!$T574="","",Sync!$T574))</f>
        <v/>
      </c>
      <c r="J577">
        <f>IF(OR($E577="",$E577="نامعتبر"),"",IF(Sync!$U574="","",Sync!$U574))</f>
        <v/>
      </c>
      <c r="K577">
        <f>IF(OR($E577="",$E577="نامعتبر"),"",IF(Sync!$V574="","",IFERROR(INDEX(SubCodes,MATCH(Sync!$V574,SubTitles,0)),Sync!$V574)))</f>
        <v/>
      </c>
      <c r="L577">
        <f>IF(OR($E577="",$E577="نامعتبر"),"",IF(Sync!$W574="",0,Sync!$W574))</f>
        <v/>
      </c>
      <c r="M577">
        <f>IF(OR($E577="",$E577="نامعتبر"),"",IF(Sync!$X574="",0,Sync!$X574))</f>
        <v/>
      </c>
      <c r="N577">
        <f>IF(OR($E577="",$E577="نامعتبر"),"",IF(AND($J577="هزینه",$K577&lt;&gt;""),1,0))</f>
        <v/>
      </c>
      <c r="O577">
        <f>IF($N577=0,"",LEFT($E577,4)&amp;MID($E577,6,2)&amp;RIGHT($E577,2)&amp;$F577&amp;"|"&amp;"1"&amp;RIGHT("00000"&amp;569,5))</f>
        <v/>
      </c>
      <c r="P577">
        <f>IF($O577="","",COUNTIFS(ExpSub,$K577,ExpKey,"&lt;"&amp;$O577)+1)</f>
        <v/>
      </c>
      <c r="Q577">
        <f>IF($P577="","",$K577&amp;"|"&amp;RIGHT("000000"&amp;$P577,6))</f>
        <v/>
      </c>
    </row>
    <row r="578">
      <c r="A578">
        <f>IF(Sync!$P575="","",Sync!$P575)</f>
        <v/>
      </c>
      <c r="B578">
        <f>IF($A578="","",IF(ISNUMBER($A578),IF(AND($A578&gt;=10000101,$A578&lt;=99991231),INT($A578/10000),""),IFERROR(VALUE(TRIM(LEFT($A578,FIND("/",$A578)-1))),"")))</f>
        <v/>
      </c>
      <c r="C578">
        <f>IF(OR($A578="",$B578=""),"",IF(ISNUMBER($A578),INT(MOD($A578,10000)/100),IFERROR(VALUE(TRIM(LEFT(MID($A578,FIND("/",$A578)+1,20),FIND("/",MID($A578,FIND("/",$A578)+1,20))-1))),"")))</f>
        <v/>
      </c>
      <c r="D578">
        <f>IF(OR($A578="",$B578=""),"",IF(ISNUMBER($A578),MOD($A578,100),IFERROR(VALUE(TRIM(MID(MID($A578,FIND("/",$A578)+1,20),FIND("/",MID($A578,FIND("/",$A578)+1,20))+1,20))),"")))</f>
        <v/>
      </c>
      <c r="E578">
        <f>IF($A578="","",IF(OR($B578="",$C578="",$D578="",$B578&lt;1300,$B578&gt;1500,$C578&lt;1,$C578&gt;12,$D578&lt;1,$D578&gt;31),"نامعتبر",RIGHT("0000"&amp;$B578,4)&amp;"/"&amp;RIGHT("00"&amp;$C578,2)&amp;"/"&amp;RIGHT("00"&amp;$D578,2)))</f>
        <v/>
      </c>
      <c r="F578">
        <f>IF(OR($E578="",$E578="نامعتبر"),"",IF(Sync!$Q575="","0000",IF(AND(ISNUMBER(Sync!$Q575),Sync!$Q575&gt;=0,Sync!$Q575&lt;1),RIGHT("00"&amp;HOUR(Sync!$Q575),2)&amp;RIGHT("00"&amp;MINUTE(Sync!$Q575),2),IFERROR(RIGHT("00"&amp;VALUE(LEFT(Sync!$Q575,FIND(":",Sync!$Q575)-1)),2)&amp;RIGHT("00"&amp;VALUE(MID(Sync!$Q575,FIND(":",Sync!$Q575)+1,2)),2),"0000"))))</f>
        <v/>
      </c>
      <c r="G578">
        <f>IF(OR($E578="",$E578="نامعتبر"),"",IF(Sync!$S575="","",Sync!$S575))</f>
        <v/>
      </c>
      <c r="H578">
        <f>IF(OR($E578="",$E578="نامعتبر"),"",IF(Sync!$R575="","",Sync!$R575))</f>
        <v/>
      </c>
      <c r="I578">
        <f>IF(OR($E578="",$E578="نامعتبر"),"",IF(Sync!$T575="","",Sync!$T575))</f>
        <v/>
      </c>
      <c r="J578">
        <f>IF(OR($E578="",$E578="نامعتبر"),"",IF(Sync!$U575="","",Sync!$U575))</f>
        <v/>
      </c>
      <c r="K578">
        <f>IF(OR($E578="",$E578="نامعتبر"),"",IF(Sync!$V575="","",IFERROR(INDEX(SubCodes,MATCH(Sync!$V575,SubTitles,0)),Sync!$V575)))</f>
        <v/>
      </c>
      <c r="L578">
        <f>IF(OR($E578="",$E578="نامعتبر"),"",IF(Sync!$W575="",0,Sync!$W575))</f>
        <v/>
      </c>
      <c r="M578">
        <f>IF(OR($E578="",$E578="نامعتبر"),"",IF(Sync!$X575="",0,Sync!$X575))</f>
        <v/>
      </c>
      <c r="N578">
        <f>IF(OR($E578="",$E578="نامعتبر"),"",IF(AND($J578="هزینه",$K578&lt;&gt;""),1,0))</f>
        <v/>
      </c>
      <c r="O578">
        <f>IF($N578=0,"",LEFT($E578,4)&amp;MID($E578,6,2)&amp;RIGHT($E578,2)&amp;$F578&amp;"|"&amp;"1"&amp;RIGHT("00000"&amp;570,5))</f>
        <v/>
      </c>
      <c r="P578">
        <f>IF($O578="","",COUNTIFS(ExpSub,$K578,ExpKey,"&lt;"&amp;$O578)+1)</f>
        <v/>
      </c>
      <c r="Q578">
        <f>IF($P578="","",$K578&amp;"|"&amp;RIGHT("000000"&amp;$P578,6))</f>
        <v/>
      </c>
    </row>
    <row r="579">
      <c r="A579">
        <f>IF(Sync!$P576="","",Sync!$P576)</f>
        <v/>
      </c>
      <c r="B579">
        <f>IF($A579="","",IF(ISNUMBER($A579),IF(AND($A579&gt;=10000101,$A579&lt;=99991231),INT($A579/10000),""),IFERROR(VALUE(TRIM(LEFT($A579,FIND("/",$A579)-1))),"")))</f>
        <v/>
      </c>
      <c r="C579">
        <f>IF(OR($A579="",$B579=""),"",IF(ISNUMBER($A579),INT(MOD($A579,10000)/100),IFERROR(VALUE(TRIM(LEFT(MID($A579,FIND("/",$A579)+1,20),FIND("/",MID($A579,FIND("/",$A579)+1,20))-1))),"")))</f>
        <v/>
      </c>
      <c r="D579">
        <f>IF(OR($A579="",$B579=""),"",IF(ISNUMBER($A579),MOD($A579,100),IFERROR(VALUE(TRIM(MID(MID($A579,FIND("/",$A579)+1,20),FIND("/",MID($A579,FIND("/",$A579)+1,20))+1,20))),"")))</f>
        <v/>
      </c>
      <c r="E579">
        <f>IF($A579="","",IF(OR($B579="",$C579="",$D579="",$B579&lt;1300,$B579&gt;1500,$C579&lt;1,$C579&gt;12,$D579&lt;1,$D579&gt;31),"نامعتبر",RIGHT("0000"&amp;$B579,4)&amp;"/"&amp;RIGHT("00"&amp;$C579,2)&amp;"/"&amp;RIGHT("00"&amp;$D579,2)))</f>
        <v/>
      </c>
      <c r="F579">
        <f>IF(OR($E579="",$E579="نامعتبر"),"",IF(Sync!$Q576="","0000",IF(AND(ISNUMBER(Sync!$Q576),Sync!$Q576&gt;=0,Sync!$Q576&lt;1),RIGHT("00"&amp;HOUR(Sync!$Q576),2)&amp;RIGHT("00"&amp;MINUTE(Sync!$Q576),2),IFERROR(RIGHT("00"&amp;VALUE(LEFT(Sync!$Q576,FIND(":",Sync!$Q576)-1)),2)&amp;RIGHT("00"&amp;VALUE(MID(Sync!$Q576,FIND(":",Sync!$Q576)+1,2)),2),"0000"))))</f>
        <v/>
      </c>
      <c r="G579">
        <f>IF(OR($E579="",$E579="نامعتبر"),"",IF(Sync!$S576="","",Sync!$S576))</f>
        <v/>
      </c>
      <c r="H579">
        <f>IF(OR($E579="",$E579="نامعتبر"),"",IF(Sync!$R576="","",Sync!$R576))</f>
        <v/>
      </c>
      <c r="I579">
        <f>IF(OR($E579="",$E579="نامعتبر"),"",IF(Sync!$T576="","",Sync!$T576))</f>
        <v/>
      </c>
      <c r="J579">
        <f>IF(OR($E579="",$E579="نامعتبر"),"",IF(Sync!$U576="","",Sync!$U576))</f>
        <v/>
      </c>
      <c r="K579">
        <f>IF(OR($E579="",$E579="نامعتبر"),"",IF(Sync!$V576="","",IFERROR(INDEX(SubCodes,MATCH(Sync!$V576,SubTitles,0)),Sync!$V576)))</f>
        <v/>
      </c>
      <c r="L579">
        <f>IF(OR($E579="",$E579="نامعتبر"),"",IF(Sync!$W576="",0,Sync!$W576))</f>
        <v/>
      </c>
      <c r="M579">
        <f>IF(OR($E579="",$E579="نامعتبر"),"",IF(Sync!$X576="",0,Sync!$X576))</f>
        <v/>
      </c>
      <c r="N579">
        <f>IF(OR($E579="",$E579="نامعتبر"),"",IF(AND($J579="هزینه",$K579&lt;&gt;""),1,0))</f>
        <v/>
      </c>
      <c r="O579">
        <f>IF($N579=0,"",LEFT($E579,4)&amp;MID($E579,6,2)&amp;RIGHT($E579,2)&amp;$F579&amp;"|"&amp;"1"&amp;RIGHT("00000"&amp;571,5))</f>
        <v/>
      </c>
      <c r="P579">
        <f>IF($O579="","",COUNTIFS(ExpSub,$K579,ExpKey,"&lt;"&amp;$O579)+1)</f>
        <v/>
      </c>
      <c r="Q579">
        <f>IF($P579="","",$K579&amp;"|"&amp;RIGHT("000000"&amp;$P579,6))</f>
        <v/>
      </c>
    </row>
    <row r="580">
      <c r="A580">
        <f>IF(Sync!$P577="","",Sync!$P577)</f>
        <v/>
      </c>
      <c r="B580">
        <f>IF($A580="","",IF(ISNUMBER($A580),IF(AND($A580&gt;=10000101,$A580&lt;=99991231),INT($A580/10000),""),IFERROR(VALUE(TRIM(LEFT($A580,FIND("/",$A580)-1))),"")))</f>
        <v/>
      </c>
      <c r="C580">
        <f>IF(OR($A580="",$B580=""),"",IF(ISNUMBER($A580),INT(MOD($A580,10000)/100),IFERROR(VALUE(TRIM(LEFT(MID($A580,FIND("/",$A580)+1,20),FIND("/",MID($A580,FIND("/",$A580)+1,20))-1))),"")))</f>
        <v/>
      </c>
      <c r="D580">
        <f>IF(OR($A580="",$B580=""),"",IF(ISNUMBER($A580),MOD($A580,100),IFERROR(VALUE(TRIM(MID(MID($A580,FIND("/",$A580)+1,20),FIND("/",MID($A580,FIND("/",$A580)+1,20))+1,20))),"")))</f>
        <v/>
      </c>
      <c r="E580">
        <f>IF($A580="","",IF(OR($B580="",$C580="",$D580="",$B580&lt;1300,$B580&gt;1500,$C580&lt;1,$C580&gt;12,$D580&lt;1,$D580&gt;31),"نامعتبر",RIGHT("0000"&amp;$B580,4)&amp;"/"&amp;RIGHT("00"&amp;$C580,2)&amp;"/"&amp;RIGHT("00"&amp;$D580,2)))</f>
        <v/>
      </c>
      <c r="F580">
        <f>IF(OR($E580="",$E580="نامعتبر"),"",IF(Sync!$Q577="","0000",IF(AND(ISNUMBER(Sync!$Q577),Sync!$Q577&gt;=0,Sync!$Q577&lt;1),RIGHT("00"&amp;HOUR(Sync!$Q577),2)&amp;RIGHT("00"&amp;MINUTE(Sync!$Q577),2),IFERROR(RIGHT("00"&amp;VALUE(LEFT(Sync!$Q577,FIND(":",Sync!$Q577)-1)),2)&amp;RIGHT("00"&amp;VALUE(MID(Sync!$Q577,FIND(":",Sync!$Q577)+1,2)),2),"0000"))))</f>
        <v/>
      </c>
      <c r="G580">
        <f>IF(OR($E580="",$E580="نامعتبر"),"",IF(Sync!$S577="","",Sync!$S577))</f>
        <v/>
      </c>
      <c r="H580">
        <f>IF(OR($E580="",$E580="نامعتبر"),"",IF(Sync!$R577="","",Sync!$R577))</f>
        <v/>
      </c>
      <c r="I580">
        <f>IF(OR($E580="",$E580="نامعتبر"),"",IF(Sync!$T577="","",Sync!$T577))</f>
        <v/>
      </c>
      <c r="J580">
        <f>IF(OR($E580="",$E580="نامعتبر"),"",IF(Sync!$U577="","",Sync!$U577))</f>
        <v/>
      </c>
      <c r="K580">
        <f>IF(OR($E580="",$E580="نامعتبر"),"",IF(Sync!$V577="","",IFERROR(INDEX(SubCodes,MATCH(Sync!$V577,SubTitles,0)),Sync!$V577)))</f>
        <v/>
      </c>
      <c r="L580">
        <f>IF(OR($E580="",$E580="نامعتبر"),"",IF(Sync!$W577="",0,Sync!$W577))</f>
        <v/>
      </c>
      <c r="M580">
        <f>IF(OR($E580="",$E580="نامعتبر"),"",IF(Sync!$X577="",0,Sync!$X577))</f>
        <v/>
      </c>
      <c r="N580">
        <f>IF(OR($E580="",$E580="نامعتبر"),"",IF(AND($J580="هزینه",$K580&lt;&gt;""),1,0))</f>
        <v/>
      </c>
      <c r="O580">
        <f>IF($N580=0,"",LEFT($E580,4)&amp;MID($E580,6,2)&amp;RIGHT($E580,2)&amp;$F580&amp;"|"&amp;"1"&amp;RIGHT("00000"&amp;572,5))</f>
        <v/>
      </c>
      <c r="P580">
        <f>IF($O580="","",COUNTIFS(ExpSub,$K580,ExpKey,"&lt;"&amp;$O580)+1)</f>
        <v/>
      </c>
      <c r="Q580">
        <f>IF($P580="","",$K580&amp;"|"&amp;RIGHT("000000"&amp;$P580,6))</f>
        <v/>
      </c>
    </row>
    <row r="581">
      <c r="A581">
        <f>IF(Sync!$P578="","",Sync!$P578)</f>
        <v/>
      </c>
      <c r="B581">
        <f>IF($A581="","",IF(ISNUMBER($A581),IF(AND($A581&gt;=10000101,$A581&lt;=99991231),INT($A581/10000),""),IFERROR(VALUE(TRIM(LEFT($A581,FIND("/",$A581)-1))),"")))</f>
        <v/>
      </c>
      <c r="C581">
        <f>IF(OR($A581="",$B581=""),"",IF(ISNUMBER($A581),INT(MOD($A581,10000)/100),IFERROR(VALUE(TRIM(LEFT(MID($A581,FIND("/",$A581)+1,20),FIND("/",MID($A581,FIND("/",$A581)+1,20))-1))),"")))</f>
        <v/>
      </c>
      <c r="D581">
        <f>IF(OR($A581="",$B581=""),"",IF(ISNUMBER($A581),MOD($A581,100),IFERROR(VALUE(TRIM(MID(MID($A581,FIND("/",$A581)+1,20),FIND("/",MID($A581,FIND("/",$A581)+1,20))+1,20))),"")))</f>
        <v/>
      </c>
      <c r="E581">
        <f>IF($A581="","",IF(OR($B581="",$C581="",$D581="",$B581&lt;1300,$B581&gt;1500,$C581&lt;1,$C581&gt;12,$D581&lt;1,$D581&gt;31),"نامعتبر",RIGHT("0000"&amp;$B581,4)&amp;"/"&amp;RIGHT("00"&amp;$C581,2)&amp;"/"&amp;RIGHT("00"&amp;$D581,2)))</f>
        <v/>
      </c>
      <c r="F581">
        <f>IF(OR($E581="",$E581="نامعتبر"),"",IF(Sync!$Q578="","0000",IF(AND(ISNUMBER(Sync!$Q578),Sync!$Q578&gt;=0,Sync!$Q578&lt;1),RIGHT("00"&amp;HOUR(Sync!$Q578),2)&amp;RIGHT("00"&amp;MINUTE(Sync!$Q578),2),IFERROR(RIGHT("00"&amp;VALUE(LEFT(Sync!$Q578,FIND(":",Sync!$Q578)-1)),2)&amp;RIGHT("00"&amp;VALUE(MID(Sync!$Q578,FIND(":",Sync!$Q578)+1,2)),2),"0000"))))</f>
        <v/>
      </c>
      <c r="G581">
        <f>IF(OR($E581="",$E581="نامعتبر"),"",IF(Sync!$S578="","",Sync!$S578))</f>
        <v/>
      </c>
      <c r="H581">
        <f>IF(OR($E581="",$E581="نامعتبر"),"",IF(Sync!$R578="","",Sync!$R578))</f>
        <v/>
      </c>
      <c r="I581">
        <f>IF(OR($E581="",$E581="نامعتبر"),"",IF(Sync!$T578="","",Sync!$T578))</f>
        <v/>
      </c>
      <c r="J581">
        <f>IF(OR($E581="",$E581="نامعتبر"),"",IF(Sync!$U578="","",Sync!$U578))</f>
        <v/>
      </c>
      <c r="K581">
        <f>IF(OR($E581="",$E581="نامعتبر"),"",IF(Sync!$V578="","",IFERROR(INDEX(SubCodes,MATCH(Sync!$V578,SubTitles,0)),Sync!$V578)))</f>
        <v/>
      </c>
      <c r="L581">
        <f>IF(OR($E581="",$E581="نامعتبر"),"",IF(Sync!$W578="",0,Sync!$W578))</f>
        <v/>
      </c>
      <c r="M581">
        <f>IF(OR($E581="",$E581="نامعتبر"),"",IF(Sync!$X578="",0,Sync!$X578))</f>
        <v/>
      </c>
      <c r="N581">
        <f>IF(OR($E581="",$E581="نامعتبر"),"",IF(AND($J581="هزینه",$K581&lt;&gt;""),1,0))</f>
        <v/>
      </c>
      <c r="O581">
        <f>IF($N581=0,"",LEFT($E581,4)&amp;MID($E581,6,2)&amp;RIGHT($E581,2)&amp;$F581&amp;"|"&amp;"1"&amp;RIGHT("00000"&amp;573,5))</f>
        <v/>
      </c>
      <c r="P581">
        <f>IF($O581="","",COUNTIFS(ExpSub,$K581,ExpKey,"&lt;"&amp;$O581)+1)</f>
        <v/>
      </c>
      <c r="Q581">
        <f>IF($P581="","",$K581&amp;"|"&amp;RIGHT("000000"&amp;$P581,6))</f>
        <v/>
      </c>
    </row>
    <row r="582">
      <c r="A582">
        <f>IF(Sync!$P579="","",Sync!$P579)</f>
        <v/>
      </c>
      <c r="B582">
        <f>IF($A582="","",IF(ISNUMBER($A582),IF(AND($A582&gt;=10000101,$A582&lt;=99991231),INT($A582/10000),""),IFERROR(VALUE(TRIM(LEFT($A582,FIND("/",$A582)-1))),"")))</f>
        <v/>
      </c>
      <c r="C582">
        <f>IF(OR($A582="",$B582=""),"",IF(ISNUMBER($A582),INT(MOD($A582,10000)/100),IFERROR(VALUE(TRIM(LEFT(MID($A582,FIND("/",$A582)+1,20),FIND("/",MID($A582,FIND("/",$A582)+1,20))-1))),"")))</f>
        <v/>
      </c>
      <c r="D582">
        <f>IF(OR($A582="",$B582=""),"",IF(ISNUMBER($A582),MOD($A582,100),IFERROR(VALUE(TRIM(MID(MID($A582,FIND("/",$A582)+1,20),FIND("/",MID($A582,FIND("/",$A582)+1,20))+1,20))),"")))</f>
        <v/>
      </c>
      <c r="E582">
        <f>IF($A582="","",IF(OR($B582="",$C582="",$D582="",$B582&lt;1300,$B582&gt;1500,$C582&lt;1,$C582&gt;12,$D582&lt;1,$D582&gt;31),"نامعتبر",RIGHT("0000"&amp;$B582,4)&amp;"/"&amp;RIGHT("00"&amp;$C582,2)&amp;"/"&amp;RIGHT("00"&amp;$D582,2)))</f>
        <v/>
      </c>
      <c r="F582">
        <f>IF(OR($E582="",$E582="نامعتبر"),"",IF(Sync!$Q579="","0000",IF(AND(ISNUMBER(Sync!$Q579),Sync!$Q579&gt;=0,Sync!$Q579&lt;1),RIGHT("00"&amp;HOUR(Sync!$Q579),2)&amp;RIGHT("00"&amp;MINUTE(Sync!$Q579),2),IFERROR(RIGHT("00"&amp;VALUE(LEFT(Sync!$Q579,FIND(":",Sync!$Q579)-1)),2)&amp;RIGHT("00"&amp;VALUE(MID(Sync!$Q579,FIND(":",Sync!$Q579)+1,2)),2),"0000"))))</f>
        <v/>
      </c>
      <c r="G582">
        <f>IF(OR($E582="",$E582="نامعتبر"),"",IF(Sync!$S579="","",Sync!$S579))</f>
        <v/>
      </c>
      <c r="H582">
        <f>IF(OR($E582="",$E582="نامعتبر"),"",IF(Sync!$R579="","",Sync!$R579))</f>
        <v/>
      </c>
      <c r="I582">
        <f>IF(OR($E582="",$E582="نامعتبر"),"",IF(Sync!$T579="","",Sync!$T579))</f>
        <v/>
      </c>
      <c r="J582">
        <f>IF(OR($E582="",$E582="نامعتبر"),"",IF(Sync!$U579="","",Sync!$U579))</f>
        <v/>
      </c>
      <c r="K582">
        <f>IF(OR($E582="",$E582="نامعتبر"),"",IF(Sync!$V579="","",IFERROR(INDEX(SubCodes,MATCH(Sync!$V579,SubTitles,0)),Sync!$V579)))</f>
        <v/>
      </c>
      <c r="L582">
        <f>IF(OR($E582="",$E582="نامعتبر"),"",IF(Sync!$W579="",0,Sync!$W579))</f>
        <v/>
      </c>
      <c r="M582">
        <f>IF(OR($E582="",$E582="نامعتبر"),"",IF(Sync!$X579="",0,Sync!$X579))</f>
        <v/>
      </c>
      <c r="N582">
        <f>IF(OR($E582="",$E582="نامعتبر"),"",IF(AND($J582="هزینه",$K582&lt;&gt;""),1,0))</f>
        <v/>
      </c>
      <c r="O582">
        <f>IF($N582=0,"",LEFT($E582,4)&amp;MID($E582,6,2)&amp;RIGHT($E582,2)&amp;$F582&amp;"|"&amp;"1"&amp;RIGHT("00000"&amp;574,5))</f>
        <v/>
      </c>
      <c r="P582">
        <f>IF($O582="","",COUNTIFS(ExpSub,$K582,ExpKey,"&lt;"&amp;$O582)+1)</f>
        <v/>
      </c>
      <c r="Q582">
        <f>IF($P582="","",$K582&amp;"|"&amp;RIGHT("000000"&amp;$P582,6))</f>
        <v/>
      </c>
    </row>
    <row r="583">
      <c r="A583">
        <f>IF(Sync!$P580="","",Sync!$P580)</f>
        <v/>
      </c>
      <c r="B583">
        <f>IF($A583="","",IF(ISNUMBER($A583),IF(AND($A583&gt;=10000101,$A583&lt;=99991231),INT($A583/10000),""),IFERROR(VALUE(TRIM(LEFT($A583,FIND("/",$A583)-1))),"")))</f>
        <v/>
      </c>
      <c r="C583">
        <f>IF(OR($A583="",$B583=""),"",IF(ISNUMBER($A583),INT(MOD($A583,10000)/100),IFERROR(VALUE(TRIM(LEFT(MID($A583,FIND("/",$A583)+1,20),FIND("/",MID($A583,FIND("/",$A583)+1,20))-1))),"")))</f>
        <v/>
      </c>
      <c r="D583">
        <f>IF(OR($A583="",$B583=""),"",IF(ISNUMBER($A583),MOD($A583,100),IFERROR(VALUE(TRIM(MID(MID($A583,FIND("/",$A583)+1,20),FIND("/",MID($A583,FIND("/",$A583)+1,20))+1,20))),"")))</f>
        <v/>
      </c>
      <c r="E583">
        <f>IF($A583="","",IF(OR($B583="",$C583="",$D583="",$B583&lt;1300,$B583&gt;1500,$C583&lt;1,$C583&gt;12,$D583&lt;1,$D583&gt;31),"نامعتبر",RIGHT("0000"&amp;$B583,4)&amp;"/"&amp;RIGHT("00"&amp;$C583,2)&amp;"/"&amp;RIGHT("00"&amp;$D583,2)))</f>
        <v/>
      </c>
      <c r="F583">
        <f>IF(OR($E583="",$E583="نامعتبر"),"",IF(Sync!$Q580="","0000",IF(AND(ISNUMBER(Sync!$Q580),Sync!$Q580&gt;=0,Sync!$Q580&lt;1),RIGHT("00"&amp;HOUR(Sync!$Q580),2)&amp;RIGHT("00"&amp;MINUTE(Sync!$Q580),2),IFERROR(RIGHT("00"&amp;VALUE(LEFT(Sync!$Q580,FIND(":",Sync!$Q580)-1)),2)&amp;RIGHT("00"&amp;VALUE(MID(Sync!$Q580,FIND(":",Sync!$Q580)+1,2)),2),"0000"))))</f>
        <v/>
      </c>
      <c r="G583">
        <f>IF(OR($E583="",$E583="نامعتبر"),"",IF(Sync!$S580="","",Sync!$S580))</f>
        <v/>
      </c>
      <c r="H583">
        <f>IF(OR($E583="",$E583="نامعتبر"),"",IF(Sync!$R580="","",Sync!$R580))</f>
        <v/>
      </c>
      <c r="I583">
        <f>IF(OR($E583="",$E583="نامعتبر"),"",IF(Sync!$T580="","",Sync!$T580))</f>
        <v/>
      </c>
      <c r="J583">
        <f>IF(OR($E583="",$E583="نامعتبر"),"",IF(Sync!$U580="","",Sync!$U580))</f>
        <v/>
      </c>
      <c r="K583">
        <f>IF(OR($E583="",$E583="نامعتبر"),"",IF(Sync!$V580="","",IFERROR(INDEX(SubCodes,MATCH(Sync!$V580,SubTitles,0)),Sync!$V580)))</f>
        <v/>
      </c>
      <c r="L583">
        <f>IF(OR($E583="",$E583="نامعتبر"),"",IF(Sync!$W580="",0,Sync!$W580))</f>
        <v/>
      </c>
      <c r="M583">
        <f>IF(OR($E583="",$E583="نامعتبر"),"",IF(Sync!$X580="",0,Sync!$X580))</f>
        <v/>
      </c>
      <c r="N583">
        <f>IF(OR($E583="",$E583="نامعتبر"),"",IF(AND($J583="هزینه",$K583&lt;&gt;""),1,0))</f>
        <v/>
      </c>
      <c r="O583">
        <f>IF($N583=0,"",LEFT($E583,4)&amp;MID($E583,6,2)&amp;RIGHT($E583,2)&amp;$F583&amp;"|"&amp;"1"&amp;RIGHT("00000"&amp;575,5))</f>
        <v/>
      </c>
      <c r="P583">
        <f>IF($O583="","",COUNTIFS(ExpSub,$K583,ExpKey,"&lt;"&amp;$O583)+1)</f>
        <v/>
      </c>
      <c r="Q583">
        <f>IF($P583="","",$K583&amp;"|"&amp;RIGHT("000000"&amp;$P583,6))</f>
        <v/>
      </c>
    </row>
    <row r="584">
      <c r="A584">
        <f>IF(Sync!$P581="","",Sync!$P581)</f>
        <v/>
      </c>
      <c r="B584">
        <f>IF($A584="","",IF(ISNUMBER($A584),IF(AND($A584&gt;=10000101,$A584&lt;=99991231),INT($A584/10000),""),IFERROR(VALUE(TRIM(LEFT($A584,FIND("/",$A584)-1))),"")))</f>
        <v/>
      </c>
      <c r="C584">
        <f>IF(OR($A584="",$B584=""),"",IF(ISNUMBER($A584),INT(MOD($A584,10000)/100),IFERROR(VALUE(TRIM(LEFT(MID($A584,FIND("/",$A584)+1,20),FIND("/",MID($A584,FIND("/",$A584)+1,20))-1))),"")))</f>
        <v/>
      </c>
      <c r="D584">
        <f>IF(OR($A584="",$B584=""),"",IF(ISNUMBER($A584),MOD($A584,100),IFERROR(VALUE(TRIM(MID(MID($A584,FIND("/",$A584)+1,20),FIND("/",MID($A584,FIND("/",$A584)+1,20))+1,20))),"")))</f>
        <v/>
      </c>
      <c r="E584">
        <f>IF($A584="","",IF(OR($B584="",$C584="",$D584="",$B584&lt;1300,$B584&gt;1500,$C584&lt;1,$C584&gt;12,$D584&lt;1,$D584&gt;31),"نامعتبر",RIGHT("0000"&amp;$B584,4)&amp;"/"&amp;RIGHT("00"&amp;$C584,2)&amp;"/"&amp;RIGHT("00"&amp;$D584,2)))</f>
        <v/>
      </c>
      <c r="F584">
        <f>IF(OR($E584="",$E584="نامعتبر"),"",IF(Sync!$Q581="","0000",IF(AND(ISNUMBER(Sync!$Q581),Sync!$Q581&gt;=0,Sync!$Q581&lt;1),RIGHT("00"&amp;HOUR(Sync!$Q581),2)&amp;RIGHT("00"&amp;MINUTE(Sync!$Q581),2),IFERROR(RIGHT("00"&amp;VALUE(LEFT(Sync!$Q581,FIND(":",Sync!$Q581)-1)),2)&amp;RIGHT("00"&amp;VALUE(MID(Sync!$Q581,FIND(":",Sync!$Q581)+1,2)),2),"0000"))))</f>
        <v/>
      </c>
      <c r="G584">
        <f>IF(OR($E584="",$E584="نامعتبر"),"",IF(Sync!$S581="","",Sync!$S581))</f>
        <v/>
      </c>
      <c r="H584">
        <f>IF(OR($E584="",$E584="نامعتبر"),"",IF(Sync!$R581="","",Sync!$R581))</f>
        <v/>
      </c>
      <c r="I584">
        <f>IF(OR($E584="",$E584="نامعتبر"),"",IF(Sync!$T581="","",Sync!$T581))</f>
        <v/>
      </c>
      <c r="J584">
        <f>IF(OR($E584="",$E584="نامعتبر"),"",IF(Sync!$U581="","",Sync!$U581))</f>
        <v/>
      </c>
      <c r="K584">
        <f>IF(OR($E584="",$E584="نامعتبر"),"",IF(Sync!$V581="","",IFERROR(INDEX(SubCodes,MATCH(Sync!$V581,SubTitles,0)),Sync!$V581)))</f>
        <v/>
      </c>
      <c r="L584">
        <f>IF(OR($E584="",$E584="نامعتبر"),"",IF(Sync!$W581="",0,Sync!$W581))</f>
        <v/>
      </c>
      <c r="M584">
        <f>IF(OR($E584="",$E584="نامعتبر"),"",IF(Sync!$X581="",0,Sync!$X581))</f>
        <v/>
      </c>
      <c r="N584">
        <f>IF(OR($E584="",$E584="نامعتبر"),"",IF(AND($J584="هزینه",$K584&lt;&gt;""),1,0))</f>
        <v/>
      </c>
      <c r="O584">
        <f>IF($N584=0,"",LEFT($E584,4)&amp;MID($E584,6,2)&amp;RIGHT($E584,2)&amp;$F584&amp;"|"&amp;"1"&amp;RIGHT("00000"&amp;576,5))</f>
        <v/>
      </c>
      <c r="P584">
        <f>IF($O584="","",COUNTIFS(ExpSub,$K584,ExpKey,"&lt;"&amp;$O584)+1)</f>
        <v/>
      </c>
      <c r="Q584">
        <f>IF($P584="","",$K584&amp;"|"&amp;RIGHT("000000"&amp;$P584,6))</f>
        <v/>
      </c>
    </row>
    <row r="585">
      <c r="A585">
        <f>IF(Sync!$P582="","",Sync!$P582)</f>
        <v/>
      </c>
      <c r="B585">
        <f>IF($A585="","",IF(ISNUMBER($A585),IF(AND($A585&gt;=10000101,$A585&lt;=99991231),INT($A585/10000),""),IFERROR(VALUE(TRIM(LEFT($A585,FIND("/",$A585)-1))),"")))</f>
        <v/>
      </c>
      <c r="C585">
        <f>IF(OR($A585="",$B585=""),"",IF(ISNUMBER($A585),INT(MOD($A585,10000)/100),IFERROR(VALUE(TRIM(LEFT(MID($A585,FIND("/",$A585)+1,20),FIND("/",MID($A585,FIND("/",$A585)+1,20))-1))),"")))</f>
        <v/>
      </c>
      <c r="D585">
        <f>IF(OR($A585="",$B585=""),"",IF(ISNUMBER($A585),MOD($A585,100),IFERROR(VALUE(TRIM(MID(MID($A585,FIND("/",$A585)+1,20),FIND("/",MID($A585,FIND("/",$A585)+1,20))+1,20))),"")))</f>
        <v/>
      </c>
      <c r="E585">
        <f>IF($A585="","",IF(OR($B585="",$C585="",$D585="",$B585&lt;1300,$B585&gt;1500,$C585&lt;1,$C585&gt;12,$D585&lt;1,$D585&gt;31),"نامعتبر",RIGHT("0000"&amp;$B585,4)&amp;"/"&amp;RIGHT("00"&amp;$C585,2)&amp;"/"&amp;RIGHT("00"&amp;$D585,2)))</f>
        <v/>
      </c>
      <c r="F585">
        <f>IF(OR($E585="",$E585="نامعتبر"),"",IF(Sync!$Q582="","0000",IF(AND(ISNUMBER(Sync!$Q582),Sync!$Q582&gt;=0,Sync!$Q582&lt;1),RIGHT("00"&amp;HOUR(Sync!$Q582),2)&amp;RIGHT("00"&amp;MINUTE(Sync!$Q582),2),IFERROR(RIGHT("00"&amp;VALUE(LEFT(Sync!$Q582,FIND(":",Sync!$Q582)-1)),2)&amp;RIGHT("00"&amp;VALUE(MID(Sync!$Q582,FIND(":",Sync!$Q582)+1,2)),2),"0000"))))</f>
        <v/>
      </c>
      <c r="G585">
        <f>IF(OR($E585="",$E585="نامعتبر"),"",IF(Sync!$S582="","",Sync!$S582))</f>
        <v/>
      </c>
      <c r="H585">
        <f>IF(OR($E585="",$E585="نامعتبر"),"",IF(Sync!$R582="","",Sync!$R582))</f>
        <v/>
      </c>
      <c r="I585">
        <f>IF(OR($E585="",$E585="نامعتبر"),"",IF(Sync!$T582="","",Sync!$T582))</f>
        <v/>
      </c>
      <c r="J585">
        <f>IF(OR($E585="",$E585="نامعتبر"),"",IF(Sync!$U582="","",Sync!$U582))</f>
        <v/>
      </c>
      <c r="K585">
        <f>IF(OR($E585="",$E585="نامعتبر"),"",IF(Sync!$V582="","",IFERROR(INDEX(SubCodes,MATCH(Sync!$V582,SubTitles,0)),Sync!$V582)))</f>
        <v/>
      </c>
      <c r="L585">
        <f>IF(OR($E585="",$E585="نامعتبر"),"",IF(Sync!$W582="",0,Sync!$W582))</f>
        <v/>
      </c>
      <c r="M585">
        <f>IF(OR($E585="",$E585="نامعتبر"),"",IF(Sync!$X582="",0,Sync!$X582))</f>
        <v/>
      </c>
      <c r="N585">
        <f>IF(OR($E585="",$E585="نامعتبر"),"",IF(AND($J585="هزینه",$K585&lt;&gt;""),1,0))</f>
        <v/>
      </c>
      <c r="O585">
        <f>IF($N585=0,"",LEFT($E585,4)&amp;MID($E585,6,2)&amp;RIGHT($E585,2)&amp;$F585&amp;"|"&amp;"1"&amp;RIGHT("00000"&amp;577,5))</f>
        <v/>
      </c>
      <c r="P585">
        <f>IF($O585="","",COUNTIFS(ExpSub,$K585,ExpKey,"&lt;"&amp;$O585)+1)</f>
        <v/>
      </c>
      <c r="Q585">
        <f>IF($P585="","",$K585&amp;"|"&amp;RIGHT("000000"&amp;$P585,6))</f>
        <v/>
      </c>
    </row>
    <row r="586">
      <c r="A586">
        <f>IF(Sync!$P583="","",Sync!$P583)</f>
        <v/>
      </c>
      <c r="B586">
        <f>IF($A586="","",IF(ISNUMBER($A586),IF(AND($A586&gt;=10000101,$A586&lt;=99991231),INT($A586/10000),""),IFERROR(VALUE(TRIM(LEFT($A586,FIND("/",$A586)-1))),"")))</f>
        <v/>
      </c>
      <c r="C586">
        <f>IF(OR($A586="",$B586=""),"",IF(ISNUMBER($A586),INT(MOD($A586,10000)/100),IFERROR(VALUE(TRIM(LEFT(MID($A586,FIND("/",$A586)+1,20),FIND("/",MID($A586,FIND("/",$A586)+1,20))-1))),"")))</f>
        <v/>
      </c>
      <c r="D586">
        <f>IF(OR($A586="",$B586=""),"",IF(ISNUMBER($A586),MOD($A586,100),IFERROR(VALUE(TRIM(MID(MID($A586,FIND("/",$A586)+1,20),FIND("/",MID($A586,FIND("/",$A586)+1,20))+1,20))),"")))</f>
        <v/>
      </c>
      <c r="E586">
        <f>IF($A586="","",IF(OR($B586="",$C586="",$D586="",$B586&lt;1300,$B586&gt;1500,$C586&lt;1,$C586&gt;12,$D586&lt;1,$D586&gt;31),"نامعتبر",RIGHT("0000"&amp;$B586,4)&amp;"/"&amp;RIGHT("00"&amp;$C586,2)&amp;"/"&amp;RIGHT("00"&amp;$D586,2)))</f>
        <v/>
      </c>
      <c r="F586">
        <f>IF(OR($E586="",$E586="نامعتبر"),"",IF(Sync!$Q583="","0000",IF(AND(ISNUMBER(Sync!$Q583),Sync!$Q583&gt;=0,Sync!$Q583&lt;1),RIGHT("00"&amp;HOUR(Sync!$Q583),2)&amp;RIGHT("00"&amp;MINUTE(Sync!$Q583),2),IFERROR(RIGHT("00"&amp;VALUE(LEFT(Sync!$Q583,FIND(":",Sync!$Q583)-1)),2)&amp;RIGHT("00"&amp;VALUE(MID(Sync!$Q583,FIND(":",Sync!$Q583)+1,2)),2),"0000"))))</f>
        <v/>
      </c>
      <c r="G586">
        <f>IF(OR($E586="",$E586="نامعتبر"),"",IF(Sync!$S583="","",Sync!$S583))</f>
        <v/>
      </c>
      <c r="H586">
        <f>IF(OR($E586="",$E586="نامعتبر"),"",IF(Sync!$R583="","",Sync!$R583))</f>
        <v/>
      </c>
      <c r="I586">
        <f>IF(OR($E586="",$E586="نامعتبر"),"",IF(Sync!$T583="","",Sync!$T583))</f>
        <v/>
      </c>
      <c r="J586">
        <f>IF(OR($E586="",$E586="نامعتبر"),"",IF(Sync!$U583="","",Sync!$U583))</f>
        <v/>
      </c>
      <c r="K586">
        <f>IF(OR($E586="",$E586="نامعتبر"),"",IF(Sync!$V583="","",IFERROR(INDEX(SubCodes,MATCH(Sync!$V583,SubTitles,0)),Sync!$V583)))</f>
        <v/>
      </c>
      <c r="L586">
        <f>IF(OR($E586="",$E586="نامعتبر"),"",IF(Sync!$W583="",0,Sync!$W583))</f>
        <v/>
      </c>
      <c r="M586">
        <f>IF(OR($E586="",$E586="نامعتبر"),"",IF(Sync!$X583="",0,Sync!$X583))</f>
        <v/>
      </c>
      <c r="N586">
        <f>IF(OR($E586="",$E586="نامعتبر"),"",IF(AND($J586="هزینه",$K586&lt;&gt;""),1,0))</f>
        <v/>
      </c>
      <c r="O586">
        <f>IF($N586=0,"",LEFT($E586,4)&amp;MID($E586,6,2)&amp;RIGHT($E586,2)&amp;$F586&amp;"|"&amp;"1"&amp;RIGHT("00000"&amp;578,5))</f>
        <v/>
      </c>
      <c r="P586">
        <f>IF($O586="","",COUNTIFS(ExpSub,$K586,ExpKey,"&lt;"&amp;$O586)+1)</f>
        <v/>
      </c>
      <c r="Q586">
        <f>IF($P586="","",$K586&amp;"|"&amp;RIGHT("000000"&amp;$P586,6))</f>
        <v/>
      </c>
    </row>
    <row r="587">
      <c r="A587">
        <f>IF(Sync!$P584="","",Sync!$P584)</f>
        <v/>
      </c>
      <c r="B587">
        <f>IF($A587="","",IF(ISNUMBER($A587),IF(AND($A587&gt;=10000101,$A587&lt;=99991231),INT($A587/10000),""),IFERROR(VALUE(TRIM(LEFT($A587,FIND("/",$A587)-1))),"")))</f>
        <v/>
      </c>
      <c r="C587">
        <f>IF(OR($A587="",$B587=""),"",IF(ISNUMBER($A587),INT(MOD($A587,10000)/100),IFERROR(VALUE(TRIM(LEFT(MID($A587,FIND("/",$A587)+1,20),FIND("/",MID($A587,FIND("/",$A587)+1,20))-1))),"")))</f>
        <v/>
      </c>
      <c r="D587">
        <f>IF(OR($A587="",$B587=""),"",IF(ISNUMBER($A587),MOD($A587,100),IFERROR(VALUE(TRIM(MID(MID($A587,FIND("/",$A587)+1,20),FIND("/",MID($A587,FIND("/",$A587)+1,20))+1,20))),"")))</f>
        <v/>
      </c>
      <c r="E587">
        <f>IF($A587="","",IF(OR($B587="",$C587="",$D587="",$B587&lt;1300,$B587&gt;1500,$C587&lt;1,$C587&gt;12,$D587&lt;1,$D587&gt;31),"نامعتبر",RIGHT("0000"&amp;$B587,4)&amp;"/"&amp;RIGHT("00"&amp;$C587,2)&amp;"/"&amp;RIGHT("00"&amp;$D587,2)))</f>
        <v/>
      </c>
      <c r="F587">
        <f>IF(OR($E587="",$E587="نامعتبر"),"",IF(Sync!$Q584="","0000",IF(AND(ISNUMBER(Sync!$Q584),Sync!$Q584&gt;=0,Sync!$Q584&lt;1),RIGHT("00"&amp;HOUR(Sync!$Q584),2)&amp;RIGHT("00"&amp;MINUTE(Sync!$Q584),2),IFERROR(RIGHT("00"&amp;VALUE(LEFT(Sync!$Q584,FIND(":",Sync!$Q584)-1)),2)&amp;RIGHT("00"&amp;VALUE(MID(Sync!$Q584,FIND(":",Sync!$Q584)+1,2)),2),"0000"))))</f>
        <v/>
      </c>
      <c r="G587">
        <f>IF(OR($E587="",$E587="نامعتبر"),"",IF(Sync!$S584="","",Sync!$S584))</f>
        <v/>
      </c>
      <c r="H587">
        <f>IF(OR($E587="",$E587="نامعتبر"),"",IF(Sync!$R584="","",Sync!$R584))</f>
        <v/>
      </c>
      <c r="I587">
        <f>IF(OR($E587="",$E587="نامعتبر"),"",IF(Sync!$T584="","",Sync!$T584))</f>
        <v/>
      </c>
      <c r="J587">
        <f>IF(OR($E587="",$E587="نامعتبر"),"",IF(Sync!$U584="","",Sync!$U584))</f>
        <v/>
      </c>
      <c r="K587">
        <f>IF(OR($E587="",$E587="نامعتبر"),"",IF(Sync!$V584="","",IFERROR(INDEX(SubCodes,MATCH(Sync!$V584,SubTitles,0)),Sync!$V584)))</f>
        <v/>
      </c>
      <c r="L587">
        <f>IF(OR($E587="",$E587="نامعتبر"),"",IF(Sync!$W584="",0,Sync!$W584))</f>
        <v/>
      </c>
      <c r="M587">
        <f>IF(OR($E587="",$E587="نامعتبر"),"",IF(Sync!$X584="",0,Sync!$X584))</f>
        <v/>
      </c>
      <c r="N587">
        <f>IF(OR($E587="",$E587="نامعتبر"),"",IF(AND($J587="هزینه",$K587&lt;&gt;""),1,0))</f>
        <v/>
      </c>
      <c r="O587">
        <f>IF($N587=0,"",LEFT($E587,4)&amp;MID($E587,6,2)&amp;RIGHT($E587,2)&amp;$F587&amp;"|"&amp;"1"&amp;RIGHT("00000"&amp;579,5))</f>
        <v/>
      </c>
      <c r="P587">
        <f>IF($O587="","",COUNTIFS(ExpSub,$K587,ExpKey,"&lt;"&amp;$O587)+1)</f>
        <v/>
      </c>
      <c r="Q587">
        <f>IF($P587="","",$K587&amp;"|"&amp;RIGHT("000000"&amp;$P587,6))</f>
        <v/>
      </c>
    </row>
    <row r="588">
      <c r="A588">
        <f>IF(Sync!$P585="","",Sync!$P585)</f>
        <v/>
      </c>
      <c r="B588">
        <f>IF($A588="","",IF(ISNUMBER($A588),IF(AND($A588&gt;=10000101,$A588&lt;=99991231),INT($A588/10000),""),IFERROR(VALUE(TRIM(LEFT($A588,FIND("/",$A588)-1))),"")))</f>
        <v/>
      </c>
      <c r="C588">
        <f>IF(OR($A588="",$B588=""),"",IF(ISNUMBER($A588),INT(MOD($A588,10000)/100),IFERROR(VALUE(TRIM(LEFT(MID($A588,FIND("/",$A588)+1,20),FIND("/",MID($A588,FIND("/",$A588)+1,20))-1))),"")))</f>
        <v/>
      </c>
      <c r="D588">
        <f>IF(OR($A588="",$B588=""),"",IF(ISNUMBER($A588),MOD($A588,100),IFERROR(VALUE(TRIM(MID(MID($A588,FIND("/",$A588)+1,20),FIND("/",MID($A588,FIND("/",$A588)+1,20))+1,20))),"")))</f>
        <v/>
      </c>
      <c r="E588">
        <f>IF($A588="","",IF(OR($B588="",$C588="",$D588="",$B588&lt;1300,$B588&gt;1500,$C588&lt;1,$C588&gt;12,$D588&lt;1,$D588&gt;31),"نامعتبر",RIGHT("0000"&amp;$B588,4)&amp;"/"&amp;RIGHT("00"&amp;$C588,2)&amp;"/"&amp;RIGHT("00"&amp;$D588,2)))</f>
        <v/>
      </c>
      <c r="F588">
        <f>IF(OR($E588="",$E588="نامعتبر"),"",IF(Sync!$Q585="","0000",IF(AND(ISNUMBER(Sync!$Q585),Sync!$Q585&gt;=0,Sync!$Q585&lt;1),RIGHT("00"&amp;HOUR(Sync!$Q585),2)&amp;RIGHT("00"&amp;MINUTE(Sync!$Q585),2),IFERROR(RIGHT("00"&amp;VALUE(LEFT(Sync!$Q585,FIND(":",Sync!$Q585)-1)),2)&amp;RIGHT("00"&amp;VALUE(MID(Sync!$Q585,FIND(":",Sync!$Q585)+1,2)),2),"0000"))))</f>
        <v/>
      </c>
      <c r="G588">
        <f>IF(OR($E588="",$E588="نامعتبر"),"",IF(Sync!$S585="","",Sync!$S585))</f>
        <v/>
      </c>
      <c r="H588">
        <f>IF(OR($E588="",$E588="نامعتبر"),"",IF(Sync!$R585="","",Sync!$R585))</f>
        <v/>
      </c>
      <c r="I588">
        <f>IF(OR($E588="",$E588="نامعتبر"),"",IF(Sync!$T585="","",Sync!$T585))</f>
        <v/>
      </c>
      <c r="J588">
        <f>IF(OR($E588="",$E588="نامعتبر"),"",IF(Sync!$U585="","",Sync!$U585))</f>
        <v/>
      </c>
      <c r="K588">
        <f>IF(OR($E588="",$E588="نامعتبر"),"",IF(Sync!$V585="","",IFERROR(INDEX(SubCodes,MATCH(Sync!$V585,SubTitles,0)),Sync!$V585)))</f>
        <v/>
      </c>
      <c r="L588">
        <f>IF(OR($E588="",$E588="نامعتبر"),"",IF(Sync!$W585="",0,Sync!$W585))</f>
        <v/>
      </c>
      <c r="M588">
        <f>IF(OR($E588="",$E588="نامعتبر"),"",IF(Sync!$X585="",0,Sync!$X585))</f>
        <v/>
      </c>
      <c r="N588">
        <f>IF(OR($E588="",$E588="نامعتبر"),"",IF(AND($J588="هزینه",$K588&lt;&gt;""),1,0))</f>
        <v/>
      </c>
      <c r="O588">
        <f>IF($N588=0,"",LEFT($E588,4)&amp;MID($E588,6,2)&amp;RIGHT($E588,2)&amp;$F588&amp;"|"&amp;"1"&amp;RIGHT("00000"&amp;580,5))</f>
        <v/>
      </c>
      <c r="P588">
        <f>IF($O588="","",COUNTIFS(ExpSub,$K588,ExpKey,"&lt;"&amp;$O588)+1)</f>
        <v/>
      </c>
      <c r="Q588">
        <f>IF($P588="","",$K588&amp;"|"&amp;RIGHT("000000"&amp;$P588,6))</f>
        <v/>
      </c>
    </row>
    <row r="589">
      <c r="A589">
        <f>IF(Sync!$P586="","",Sync!$P586)</f>
        <v/>
      </c>
      <c r="B589">
        <f>IF($A589="","",IF(ISNUMBER($A589),IF(AND($A589&gt;=10000101,$A589&lt;=99991231),INT($A589/10000),""),IFERROR(VALUE(TRIM(LEFT($A589,FIND("/",$A589)-1))),"")))</f>
        <v/>
      </c>
      <c r="C589">
        <f>IF(OR($A589="",$B589=""),"",IF(ISNUMBER($A589),INT(MOD($A589,10000)/100),IFERROR(VALUE(TRIM(LEFT(MID($A589,FIND("/",$A589)+1,20),FIND("/",MID($A589,FIND("/",$A589)+1,20))-1))),"")))</f>
        <v/>
      </c>
      <c r="D589">
        <f>IF(OR($A589="",$B589=""),"",IF(ISNUMBER($A589),MOD($A589,100),IFERROR(VALUE(TRIM(MID(MID($A589,FIND("/",$A589)+1,20),FIND("/",MID($A589,FIND("/",$A589)+1,20))+1,20))),"")))</f>
        <v/>
      </c>
      <c r="E589">
        <f>IF($A589="","",IF(OR($B589="",$C589="",$D589="",$B589&lt;1300,$B589&gt;1500,$C589&lt;1,$C589&gt;12,$D589&lt;1,$D589&gt;31),"نامعتبر",RIGHT("0000"&amp;$B589,4)&amp;"/"&amp;RIGHT("00"&amp;$C589,2)&amp;"/"&amp;RIGHT("00"&amp;$D589,2)))</f>
        <v/>
      </c>
      <c r="F589">
        <f>IF(OR($E589="",$E589="نامعتبر"),"",IF(Sync!$Q586="","0000",IF(AND(ISNUMBER(Sync!$Q586),Sync!$Q586&gt;=0,Sync!$Q586&lt;1),RIGHT("00"&amp;HOUR(Sync!$Q586),2)&amp;RIGHT("00"&amp;MINUTE(Sync!$Q586),2),IFERROR(RIGHT("00"&amp;VALUE(LEFT(Sync!$Q586,FIND(":",Sync!$Q586)-1)),2)&amp;RIGHT("00"&amp;VALUE(MID(Sync!$Q586,FIND(":",Sync!$Q586)+1,2)),2),"0000"))))</f>
        <v/>
      </c>
      <c r="G589">
        <f>IF(OR($E589="",$E589="نامعتبر"),"",IF(Sync!$S586="","",Sync!$S586))</f>
        <v/>
      </c>
      <c r="H589">
        <f>IF(OR($E589="",$E589="نامعتبر"),"",IF(Sync!$R586="","",Sync!$R586))</f>
        <v/>
      </c>
      <c r="I589">
        <f>IF(OR($E589="",$E589="نامعتبر"),"",IF(Sync!$T586="","",Sync!$T586))</f>
        <v/>
      </c>
      <c r="J589">
        <f>IF(OR($E589="",$E589="نامعتبر"),"",IF(Sync!$U586="","",Sync!$U586))</f>
        <v/>
      </c>
      <c r="K589">
        <f>IF(OR($E589="",$E589="نامعتبر"),"",IF(Sync!$V586="","",IFERROR(INDEX(SubCodes,MATCH(Sync!$V586,SubTitles,0)),Sync!$V586)))</f>
        <v/>
      </c>
      <c r="L589">
        <f>IF(OR($E589="",$E589="نامعتبر"),"",IF(Sync!$W586="",0,Sync!$W586))</f>
        <v/>
      </c>
      <c r="M589">
        <f>IF(OR($E589="",$E589="نامعتبر"),"",IF(Sync!$X586="",0,Sync!$X586))</f>
        <v/>
      </c>
      <c r="N589">
        <f>IF(OR($E589="",$E589="نامعتبر"),"",IF(AND($J589="هزینه",$K589&lt;&gt;""),1,0))</f>
        <v/>
      </c>
      <c r="O589">
        <f>IF($N589=0,"",LEFT($E589,4)&amp;MID($E589,6,2)&amp;RIGHT($E589,2)&amp;$F589&amp;"|"&amp;"1"&amp;RIGHT("00000"&amp;581,5))</f>
        <v/>
      </c>
      <c r="P589">
        <f>IF($O589="","",COUNTIFS(ExpSub,$K589,ExpKey,"&lt;"&amp;$O589)+1)</f>
        <v/>
      </c>
      <c r="Q589">
        <f>IF($P589="","",$K589&amp;"|"&amp;RIGHT("000000"&amp;$P589,6))</f>
        <v/>
      </c>
    </row>
    <row r="590">
      <c r="A590">
        <f>IF(Sync!$P587="","",Sync!$P587)</f>
        <v/>
      </c>
      <c r="B590">
        <f>IF($A590="","",IF(ISNUMBER($A590),IF(AND($A590&gt;=10000101,$A590&lt;=99991231),INT($A590/10000),""),IFERROR(VALUE(TRIM(LEFT($A590,FIND("/",$A590)-1))),"")))</f>
        <v/>
      </c>
      <c r="C590">
        <f>IF(OR($A590="",$B590=""),"",IF(ISNUMBER($A590),INT(MOD($A590,10000)/100),IFERROR(VALUE(TRIM(LEFT(MID($A590,FIND("/",$A590)+1,20),FIND("/",MID($A590,FIND("/",$A590)+1,20))-1))),"")))</f>
        <v/>
      </c>
      <c r="D590">
        <f>IF(OR($A590="",$B590=""),"",IF(ISNUMBER($A590),MOD($A590,100),IFERROR(VALUE(TRIM(MID(MID($A590,FIND("/",$A590)+1,20),FIND("/",MID($A590,FIND("/",$A590)+1,20))+1,20))),"")))</f>
        <v/>
      </c>
      <c r="E590">
        <f>IF($A590="","",IF(OR($B590="",$C590="",$D590="",$B590&lt;1300,$B590&gt;1500,$C590&lt;1,$C590&gt;12,$D590&lt;1,$D590&gt;31),"نامعتبر",RIGHT("0000"&amp;$B590,4)&amp;"/"&amp;RIGHT("00"&amp;$C590,2)&amp;"/"&amp;RIGHT("00"&amp;$D590,2)))</f>
        <v/>
      </c>
      <c r="F590">
        <f>IF(OR($E590="",$E590="نامعتبر"),"",IF(Sync!$Q587="","0000",IF(AND(ISNUMBER(Sync!$Q587),Sync!$Q587&gt;=0,Sync!$Q587&lt;1),RIGHT("00"&amp;HOUR(Sync!$Q587),2)&amp;RIGHT("00"&amp;MINUTE(Sync!$Q587),2),IFERROR(RIGHT("00"&amp;VALUE(LEFT(Sync!$Q587,FIND(":",Sync!$Q587)-1)),2)&amp;RIGHT("00"&amp;VALUE(MID(Sync!$Q587,FIND(":",Sync!$Q587)+1,2)),2),"0000"))))</f>
        <v/>
      </c>
      <c r="G590">
        <f>IF(OR($E590="",$E590="نامعتبر"),"",IF(Sync!$S587="","",Sync!$S587))</f>
        <v/>
      </c>
      <c r="H590">
        <f>IF(OR($E590="",$E590="نامعتبر"),"",IF(Sync!$R587="","",Sync!$R587))</f>
        <v/>
      </c>
      <c r="I590">
        <f>IF(OR($E590="",$E590="نامعتبر"),"",IF(Sync!$T587="","",Sync!$T587))</f>
        <v/>
      </c>
      <c r="J590">
        <f>IF(OR($E590="",$E590="نامعتبر"),"",IF(Sync!$U587="","",Sync!$U587))</f>
        <v/>
      </c>
      <c r="K590">
        <f>IF(OR($E590="",$E590="نامعتبر"),"",IF(Sync!$V587="","",IFERROR(INDEX(SubCodes,MATCH(Sync!$V587,SubTitles,0)),Sync!$V587)))</f>
        <v/>
      </c>
      <c r="L590">
        <f>IF(OR($E590="",$E590="نامعتبر"),"",IF(Sync!$W587="",0,Sync!$W587))</f>
        <v/>
      </c>
      <c r="M590">
        <f>IF(OR($E590="",$E590="نامعتبر"),"",IF(Sync!$X587="",0,Sync!$X587))</f>
        <v/>
      </c>
      <c r="N590">
        <f>IF(OR($E590="",$E590="نامعتبر"),"",IF(AND($J590="هزینه",$K590&lt;&gt;""),1,0))</f>
        <v/>
      </c>
      <c r="O590">
        <f>IF($N590=0,"",LEFT($E590,4)&amp;MID($E590,6,2)&amp;RIGHT($E590,2)&amp;$F590&amp;"|"&amp;"1"&amp;RIGHT("00000"&amp;582,5))</f>
        <v/>
      </c>
      <c r="P590">
        <f>IF($O590="","",COUNTIFS(ExpSub,$K590,ExpKey,"&lt;"&amp;$O590)+1)</f>
        <v/>
      </c>
      <c r="Q590">
        <f>IF($P590="","",$K590&amp;"|"&amp;RIGHT("000000"&amp;$P590,6))</f>
        <v/>
      </c>
    </row>
    <row r="591">
      <c r="A591">
        <f>IF(Sync!$P588="","",Sync!$P588)</f>
        <v/>
      </c>
      <c r="B591">
        <f>IF($A591="","",IF(ISNUMBER($A591),IF(AND($A591&gt;=10000101,$A591&lt;=99991231),INT($A591/10000),""),IFERROR(VALUE(TRIM(LEFT($A591,FIND("/",$A591)-1))),"")))</f>
        <v/>
      </c>
      <c r="C591">
        <f>IF(OR($A591="",$B591=""),"",IF(ISNUMBER($A591),INT(MOD($A591,10000)/100),IFERROR(VALUE(TRIM(LEFT(MID($A591,FIND("/",$A591)+1,20),FIND("/",MID($A591,FIND("/",$A591)+1,20))-1))),"")))</f>
        <v/>
      </c>
      <c r="D591">
        <f>IF(OR($A591="",$B591=""),"",IF(ISNUMBER($A591),MOD($A591,100),IFERROR(VALUE(TRIM(MID(MID($A591,FIND("/",$A591)+1,20),FIND("/",MID($A591,FIND("/",$A591)+1,20))+1,20))),"")))</f>
        <v/>
      </c>
      <c r="E591">
        <f>IF($A591="","",IF(OR($B591="",$C591="",$D591="",$B591&lt;1300,$B591&gt;1500,$C591&lt;1,$C591&gt;12,$D591&lt;1,$D591&gt;31),"نامعتبر",RIGHT("0000"&amp;$B591,4)&amp;"/"&amp;RIGHT("00"&amp;$C591,2)&amp;"/"&amp;RIGHT("00"&amp;$D591,2)))</f>
        <v/>
      </c>
      <c r="F591">
        <f>IF(OR($E591="",$E591="نامعتبر"),"",IF(Sync!$Q588="","0000",IF(AND(ISNUMBER(Sync!$Q588),Sync!$Q588&gt;=0,Sync!$Q588&lt;1),RIGHT("00"&amp;HOUR(Sync!$Q588),2)&amp;RIGHT("00"&amp;MINUTE(Sync!$Q588),2),IFERROR(RIGHT("00"&amp;VALUE(LEFT(Sync!$Q588,FIND(":",Sync!$Q588)-1)),2)&amp;RIGHT("00"&amp;VALUE(MID(Sync!$Q588,FIND(":",Sync!$Q588)+1,2)),2),"0000"))))</f>
        <v/>
      </c>
      <c r="G591">
        <f>IF(OR($E591="",$E591="نامعتبر"),"",IF(Sync!$S588="","",Sync!$S588))</f>
        <v/>
      </c>
      <c r="H591">
        <f>IF(OR($E591="",$E591="نامعتبر"),"",IF(Sync!$R588="","",Sync!$R588))</f>
        <v/>
      </c>
      <c r="I591">
        <f>IF(OR($E591="",$E591="نامعتبر"),"",IF(Sync!$T588="","",Sync!$T588))</f>
        <v/>
      </c>
      <c r="J591">
        <f>IF(OR($E591="",$E591="نامعتبر"),"",IF(Sync!$U588="","",Sync!$U588))</f>
        <v/>
      </c>
      <c r="K591">
        <f>IF(OR($E591="",$E591="نامعتبر"),"",IF(Sync!$V588="","",IFERROR(INDEX(SubCodes,MATCH(Sync!$V588,SubTitles,0)),Sync!$V588)))</f>
        <v/>
      </c>
      <c r="L591">
        <f>IF(OR($E591="",$E591="نامعتبر"),"",IF(Sync!$W588="",0,Sync!$W588))</f>
        <v/>
      </c>
      <c r="M591">
        <f>IF(OR($E591="",$E591="نامعتبر"),"",IF(Sync!$X588="",0,Sync!$X588))</f>
        <v/>
      </c>
      <c r="N591">
        <f>IF(OR($E591="",$E591="نامعتبر"),"",IF(AND($J591="هزینه",$K591&lt;&gt;""),1,0))</f>
        <v/>
      </c>
      <c r="O591">
        <f>IF($N591=0,"",LEFT($E591,4)&amp;MID($E591,6,2)&amp;RIGHT($E591,2)&amp;$F591&amp;"|"&amp;"1"&amp;RIGHT("00000"&amp;583,5))</f>
        <v/>
      </c>
      <c r="P591">
        <f>IF($O591="","",COUNTIFS(ExpSub,$K591,ExpKey,"&lt;"&amp;$O591)+1)</f>
        <v/>
      </c>
      <c r="Q591">
        <f>IF($P591="","",$K591&amp;"|"&amp;RIGHT("000000"&amp;$P591,6))</f>
        <v/>
      </c>
    </row>
    <row r="592">
      <c r="A592">
        <f>IF(Sync!$P589="","",Sync!$P589)</f>
        <v/>
      </c>
      <c r="B592">
        <f>IF($A592="","",IF(ISNUMBER($A592),IF(AND($A592&gt;=10000101,$A592&lt;=99991231),INT($A592/10000),""),IFERROR(VALUE(TRIM(LEFT($A592,FIND("/",$A592)-1))),"")))</f>
        <v/>
      </c>
      <c r="C592">
        <f>IF(OR($A592="",$B592=""),"",IF(ISNUMBER($A592),INT(MOD($A592,10000)/100),IFERROR(VALUE(TRIM(LEFT(MID($A592,FIND("/",$A592)+1,20),FIND("/",MID($A592,FIND("/",$A592)+1,20))-1))),"")))</f>
        <v/>
      </c>
      <c r="D592">
        <f>IF(OR($A592="",$B592=""),"",IF(ISNUMBER($A592),MOD($A592,100),IFERROR(VALUE(TRIM(MID(MID($A592,FIND("/",$A592)+1,20),FIND("/",MID($A592,FIND("/",$A592)+1,20))+1,20))),"")))</f>
        <v/>
      </c>
      <c r="E592">
        <f>IF($A592="","",IF(OR($B592="",$C592="",$D592="",$B592&lt;1300,$B592&gt;1500,$C592&lt;1,$C592&gt;12,$D592&lt;1,$D592&gt;31),"نامعتبر",RIGHT("0000"&amp;$B592,4)&amp;"/"&amp;RIGHT("00"&amp;$C592,2)&amp;"/"&amp;RIGHT("00"&amp;$D592,2)))</f>
        <v/>
      </c>
      <c r="F592">
        <f>IF(OR($E592="",$E592="نامعتبر"),"",IF(Sync!$Q589="","0000",IF(AND(ISNUMBER(Sync!$Q589),Sync!$Q589&gt;=0,Sync!$Q589&lt;1),RIGHT("00"&amp;HOUR(Sync!$Q589),2)&amp;RIGHT("00"&amp;MINUTE(Sync!$Q589),2),IFERROR(RIGHT("00"&amp;VALUE(LEFT(Sync!$Q589,FIND(":",Sync!$Q589)-1)),2)&amp;RIGHT("00"&amp;VALUE(MID(Sync!$Q589,FIND(":",Sync!$Q589)+1,2)),2),"0000"))))</f>
        <v/>
      </c>
      <c r="G592">
        <f>IF(OR($E592="",$E592="نامعتبر"),"",IF(Sync!$S589="","",Sync!$S589))</f>
        <v/>
      </c>
      <c r="H592">
        <f>IF(OR($E592="",$E592="نامعتبر"),"",IF(Sync!$R589="","",Sync!$R589))</f>
        <v/>
      </c>
      <c r="I592">
        <f>IF(OR($E592="",$E592="نامعتبر"),"",IF(Sync!$T589="","",Sync!$T589))</f>
        <v/>
      </c>
      <c r="J592">
        <f>IF(OR($E592="",$E592="نامعتبر"),"",IF(Sync!$U589="","",Sync!$U589))</f>
        <v/>
      </c>
      <c r="K592">
        <f>IF(OR($E592="",$E592="نامعتبر"),"",IF(Sync!$V589="","",IFERROR(INDEX(SubCodes,MATCH(Sync!$V589,SubTitles,0)),Sync!$V589)))</f>
        <v/>
      </c>
      <c r="L592">
        <f>IF(OR($E592="",$E592="نامعتبر"),"",IF(Sync!$W589="",0,Sync!$W589))</f>
        <v/>
      </c>
      <c r="M592">
        <f>IF(OR($E592="",$E592="نامعتبر"),"",IF(Sync!$X589="",0,Sync!$X589))</f>
        <v/>
      </c>
      <c r="N592">
        <f>IF(OR($E592="",$E592="نامعتبر"),"",IF(AND($J592="هزینه",$K592&lt;&gt;""),1,0))</f>
        <v/>
      </c>
      <c r="O592">
        <f>IF($N592=0,"",LEFT($E592,4)&amp;MID($E592,6,2)&amp;RIGHT($E592,2)&amp;$F592&amp;"|"&amp;"1"&amp;RIGHT("00000"&amp;584,5))</f>
        <v/>
      </c>
      <c r="P592">
        <f>IF($O592="","",COUNTIFS(ExpSub,$K592,ExpKey,"&lt;"&amp;$O592)+1)</f>
        <v/>
      </c>
      <c r="Q592">
        <f>IF($P592="","",$K592&amp;"|"&amp;RIGHT("000000"&amp;$P592,6))</f>
        <v/>
      </c>
    </row>
    <row r="593">
      <c r="A593">
        <f>IF(Sync!$P590="","",Sync!$P590)</f>
        <v/>
      </c>
      <c r="B593">
        <f>IF($A593="","",IF(ISNUMBER($A593),IF(AND($A593&gt;=10000101,$A593&lt;=99991231),INT($A593/10000),""),IFERROR(VALUE(TRIM(LEFT($A593,FIND("/",$A593)-1))),"")))</f>
        <v/>
      </c>
      <c r="C593">
        <f>IF(OR($A593="",$B593=""),"",IF(ISNUMBER($A593),INT(MOD($A593,10000)/100),IFERROR(VALUE(TRIM(LEFT(MID($A593,FIND("/",$A593)+1,20),FIND("/",MID($A593,FIND("/",$A593)+1,20))-1))),"")))</f>
        <v/>
      </c>
      <c r="D593">
        <f>IF(OR($A593="",$B593=""),"",IF(ISNUMBER($A593),MOD($A593,100),IFERROR(VALUE(TRIM(MID(MID($A593,FIND("/",$A593)+1,20),FIND("/",MID($A593,FIND("/",$A593)+1,20))+1,20))),"")))</f>
        <v/>
      </c>
      <c r="E593">
        <f>IF($A593="","",IF(OR($B593="",$C593="",$D593="",$B593&lt;1300,$B593&gt;1500,$C593&lt;1,$C593&gt;12,$D593&lt;1,$D593&gt;31),"نامعتبر",RIGHT("0000"&amp;$B593,4)&amp;"/"&amp;RIGHT("00"&amp;$C593,2)&amp;"/"&amp;RIGHT("00"&amp;$D593,2)))</f>
        <v/>
      </c>
      <c r="F593">
        <f>IF(OR($E593="",$E593="نامعتبر"),"",IF(Sync!$Q590="","0000",IF(AND(ISNUMBER(Sync!$Q590),Sync!$Q590&gt;=0,Sync!$Q590&lt;1),RIGHT("00"&amp;HOUR(Sync!$Q590),2)&amp;RIGHT("00"&amp;MINUTE(Sync!$Q590),2),IFERROR(RIGHT("00"&amp;VALUE(LEFT(Sync!$Q590,FIND(":",Sync!$Q590)-1)),2)&amp;RIGHT("00"&amp;VALUE(MID(Sync!$Q590,FIND(":",Sync!$Q590)+1,2)),2),"0000"))))</f>
        <v/>
      </c>
      <c r="G593">
        <f>IF(OR($E593="",$E593="نامعتبر"),"",IF(Sync!$S590="","",Sync!$S590))</f>
        <v/>
      </c>
      <c r="H593">
        <f>IF(OR($E593="",$E593="نامعتبر"),"",IF(Sync!$R590="","",Sync!$R590))</f>
        <v/>
      </c>
      <c r="I593">
        <f>IF(OR($E593="",$E593="نامعتبر"),"",IF(Sync!$T590="","",Sync!$T590))</f>
        <v/>
      </c>
      <c r="J593">
        <f>IF(OR($E593="",$E593="نامعتبر"),"",IF(Sync!$U590="","",Sync!$U590))</f>
        <v/>
      </c>
      <c r="K593">
        <f>IF(OR($E593="",$E593="نامعتبر"),"",IF(Sync!$V590="","",IFERROR(INDEX(SubCodes,MATCH(Sync!$V590,SubTitles,0)),Sync!$V590)))</f>
        <v/>
      </c>
      <c r="L593">
        <f>IF(OR($E593="",$E593="نامعتبر"),"",IF(Sync!$W590="",0,Sync!$W590))</f>
        <v/>
      </c>
      <c r="M593">
        <f>IF(OR($E593="",$E593="نامعتبر"),"",IF(Sync!$X590="",0,Sync!$X590))</f>
        <v/>
      </c>
      <c r="N593">
        <f>IF(OR($E593="",$E593="نامعتبر"),"",IF(AND($J593="هزینه",$K593&lt;&gt;""),1,0))</f>
        <v/>
      </c>
      <c r="O593">
        <f>IF($N593=0,"",LEFT($E593,4)&amp;MID($E593,6,2)&amp;RIGHT($E593,2)&amp;$F593&amp;"|"&amp;"1"&amp;RIGHT("00000"&amp;585,5))</f>
        <v/>
      </c>
      <c r="P593">
        <f>IF($O593="","",COUNTIFS(ExpSub,$K593,ExpKey,"&lt;"&amp;$O593)+1)</f>
        <v/>
      </c>
      <c r="Q593">
        <f>IF($P593="","",$K593&amp;"|"&amp;RIGHT("000000"&amp;$P593,6))</f>
        <v/>
      </c>
    </row>
    <row r="594">
      <c r="A594">
        <f>IF(Sync!$P591="","",Sync!$P591)</f>
        <v/>
      </c>
      <c r="B594">
        <f>IF($A594="","",IF(ISNUMBER($A594),IF(AND($A594&gt;=10000101,$A594&lt;=99991231),INT($A594/10000),""),IFERROR(VALUE(TRIM(LEFT($A594,FIND("/",$A594)-1))),"")))</f>
        <v/>
      </c>
      <c r="C594">
        <f>IF(OR($A594="",$B594=""),"",IF(ISNUMBER($A594),INT(MOD($A594,10000)/100),IFERROR(VALUE(TRIM(LEFT(MID($A594,FIND("/",$A594)+1,20),FIND("/",MID($A594,FIND("/",$A594)+1,20))-1))),"")))</f>
        <v/>
      </c>
      <c r="D594">
        <f>IF(OR($A594="",$B594=""),"",IF(ISNUMBER($A594),MOD($A594,100),IFERROR(VALUE(TRIM(MID(MID($A594,FIND("/",$A594)+1,20),FIND("/",MID($A594,FIND("/",$A594)+1,20))+1,20))),"")))</f>
        <v/>
      </c>
      <c r="E594">
        <f>IF($A594="","",IF(OR($B594="",$C594="",$D594="",$B594&lt;1300,$B594&gt;1500,$C594&lt;1,$C594&gt;12,$D594&lt;1,$D594&gt;31),"نامعتبر",RIGHT("0000"&amp;$B594,4)&amp;"/"&amp;RIGHT("00"&amp;$C594,2)&amp;"/"&amp;RIGHT("00"&amp;$D594,2)))</f>
        <v/>
      </c>
      <c r="F594">
        <f>IF(OR($E594="",$E594="نامعتبر"),"",IF(Sync!$Q591="","0000",IF(AND(ISNUMBER(Sync!$Q591),Sync!$Q591&gt;=0,Sync!$Q591&lt;1),RIGHT("00"&amp;HOUR(Sync!$Q591),2)&amp;RIGHT("00"&amp;MINUTE(Sync!$Q591),2),IFERROR(RIGHT("00"&amp;VALUE(LEFT(Sync!$Q591,FIND(":",Sync!$Q591)-1)),2)&amp;RIGHT("00"&amp;VALUE(MID(Sync!$Q591,FIND(":",Sync!$Q591)+1,2)),2),"0000"))))</f>
        <v/>
      </c>
      <c r="G594">
        <f>IF(OR($E594="",$E594="نامعتبر"),"",IF(Sync!$S591="","",Sync!$S591))</f>
        <v/>
      </c>
      <c r="H594">
        <f>IF(OR($E594="",$E594="نامعتبر"),"",IF(Sync!$R591="","",Sync!$R591))</f>
        <v/>
      </c>
      <c r="I594">
        <f>IF(OR($E594="",$E594="نامعتبر"),"",IF(Sync!$T591="","",Sync!$T591))</f>
        <v/>
      </c>
      <c r="J594">
        <f>IF(OR($E594="",$E594="نامعتبر"),"",IF(Sync!$U591="","",Sync!$U591))</f>
        <v/>
      </c>
      <c r="K594">
        <f>IF(OR($E594="",$E594="نامعتبر"),"",IF(Sync!$V591="","",IFERROR(INDEX(SubCodes,MATCH(Sync!$V591,SubTitles,0)),Sync!$V591)))</f>
        <v/>
      </c>
      <c r="L594">
        <f>IF(OR($E594="",$E594="نامعتبر"),"",IF(Sync!$W591="",0,Sync!$W591))</f>
        <v/>
      </c>
      <c r="M594">
        <f>IF(OR($E594="",$E594="نامعتبر"),"",IF(Sync!$X591="",0,Sync!$X591))</f>
        <v/>
      </c>
      <c r="N594">
        <f>IF(OR($E594="",$E594="نامعتبر"),"",IF(AND($J594="هزینه",$K594&lt;&gt;""),1,0))</f>
        <v/>
      </c>
      <c r="O594">
        <f>IF($N594=0,"",LEFT($E594,4)&amp;MID($E594,6,2)&amp;RIGHT($E594,2)&amp;$F594&amp;"|"&amp;"1"&amp;RIGHT("00000"&amp;586,5))</f>
        <v/>
      </c>
      <c r="P594">
        <f>IF($O594="","",COUNTIFS(ExpSub,$K594,ExpKey,"&lt;"&amp;$O594)+1)</f>
        <v/>
      </c>
      <c r="Q594">
        <f>IF($P594="","",$K594&amp;"|"&amp;RIGHT("000000"&amp;$P594,6))</f>
        <v/>
      </c>
    </row>
    <row r="595">
      <c r="A595">
        <f>IF(Sync!$P592="","",Sync!$P592)</f>
        <v/>
      </c>
      <c r="B595">
        <f>IF($A595="","",IF(ISNUMBER($A595),IF(AND($A595&gt;=10000101,$A595&lt;=99991231),INT($A595/10000),""),IFERROR(VALUE(TRIM(LEFT($A595,FIND("/",$A595)-1))),"")))</f>
        <v/>
      </c>
      <c r="C595">
        <f>IF(OR($A595="",$B595=""),"",IF(ISNUMBER($A595),INT(MOD($A595,10000)/100),IFERROR(VALUE(TRIM(LEFT(MID($A595,FIND("/",$A595)+1,20),FIND("/",MID($A595,FIND("/",$A595)+1,20))-1))),"")))</f>
        <v/>
      </c>
      <c r="D595">
        <f>IF(OR($A595="",$B595=""),"",IF(ISNUMBER($A595),MOD($A595,100),IFERROR(VALUE(TRIM(MID(MID($A595,FIND("/",$A595)+1,20),FIND("/",MID($A595,FIND("/",$A595)+1,20))+1,20))),"")))</f>
        <v/>
      </c>
      <c r="E595">
        <f>IF($A595="","",IF(OR($B595="",$C595="",$D595="",$B595&lt;1300,$B595&gt;1500,$C595&lt;1,$C595&gt;12,$D595&lt;1,$D595&gt;31),"نامعتبر",RIGHT("0000"&amp;$B595,4)&amp;"/"&amp;RIGHT("00"&amp;$C595,2)&amp;"/"&amp;RIGHT("00"&amp;$D595,2)))</f>
        <v/>
      </c>
      <c r="F595">
        <f>IF(OR($E595="",$E595="نامعتبر"),"",IF(Sync!$Q592="","0000",IF(AND(ISNUMBER(Sync!$Q592),Sync!$Q592&gt;=0,Sync!$Q592&lt;1),RIGHT("00"&amp;HOUR(Sync!$Q592),2)&amp;RIGHT("00"&amp;MINUTE(Sync!$Q592),2),IFERROR(RIGHT("00"&amp;VALUE(LEFT(Sync!$Q592,FIND(":",Sync!$Q592)-1)),2)&amp;RIGHT("00"&amp;VALUE(MID(Sync!$Q592,FIND(":",Sync!$Q592)+1,2)),2),"0000"))))</f>
        <v/>
      </c>
      <c r="G595">
        <f>IF(OR($E595="",$E595="نامعتبر"),"",IF(Sync!$S592="","",Sync!$S592))</f>
        <v/>
      </c>
      <c r="H595">
        <f>IF(OR($E595="",$E595="نامعتبر"),"",IF(Sync!$R592="","",Sync!$R592))</f>
        <v/>
      </c>
      <c r="I595">
        <f>IF(OR($E595="",$E595="نامعتبر"),"",IF(Sync!$T592="","",Sync!$T592))</f>
        <v/>
      </c>
      <c r="J595">
        <f>IF(OR($E595="",$E595="نامعتبر"),"",IF(Sync!$U592="","",Sync!$U592))</f>
        <v/>
      </c>
      <c r="K595">
        <f>IF(OR($E595="",$E595="نامعتبر"),"",IF(Sync!$V592="","",IFERROR(INDEX(SubCodes,MATCH(Sync!$V592,SubTitles,0)),Sync!$V592)))</f>
        <v/>
      </c>
      <c r="L595">
        <f>IF(OR($E595="",$E595="نامعتبر"),"",IF(Sync!$W592="",0,Sync!$W592))</f>
        <v/>
      </c>
      <c r="M595">
        <f>IF(OR($E595="",$E595="نامعتبر"),"",IF(Sync!$X592="",0,Sync!$X592))</f>
        <v/>
      </c>
      <c r="N595">
        <f>IF(OR($E595="",$E595="نامعتبر"),"",IF(AND($J595="هزینه",$K595&lt;&gt;""),1,0))</f>
        <v/>
      </c>
      <c r="O595">
        <f>IF($N595=0,"",LEFT($E595,4)&amp;MID($E595,6,2)&amp;RIGHT($E595,2)&amp;$F595&amp;"|"&amp;"1"&amp;RIGHT("00000"&amp;587,5))</f>
        <v/>
      </c>
      <c r="P595">
        <f>IF($O595="","",COUNTIFS(ExpSub,$K595,ExpKey,"&lt;"&amp;$O595)+1)</f>
        <v/>
      </c>
      <c r="Q595">
        <f>IF($P595="","",$K595&amp;"|"&amp;RIGHT("000000"&amp;$P595,6))</f>
        <v/>
      </c>
    </row>
    <row r="596">
      <c r="A596">
        <f>IF(Sync!$P593="","",Sync!$P593)</f>
        <v/>
      </c>
      <c r="B596">
        <f>IF($A596="","",IF(ISNUMBER($A596),IF(AND($A596&gt;=10000101,$A596&lt;=99991231),INT($A596/10000),""),IFERROR(VALUE(TRIM(LEFT($A596,FIND("/",$A596)-1))),"")))</f>
        <v/>
      </c>
      <c r="C596">
        <f>IF(OR($A596="",$B596=""),"",IF(ISNUMBER($A596),INT(MOD($A596,10000)/100),IFERROR(VALUE(TRIM(LEFT(MID($A596,FIND("/",$A596)+1,20),FIND("/",MID($A596,FIND("/",$A596)+1,20))-1))),"")))</f>
        <v/>
      </c>
      <c r="D596">
        <f>IF(OR($A596="",$B596=""),"",IF(ISNUMBER($A596),MOD($A596,100),IFERROR(VALUE(TRIM(MID(MID($A596,FIND("/",$A596)+1,20),FIND("/",MID($A596,FIND("/",$A596)+1,20))+1,20))),"")))</f>
        <v/>
      </c>
      <c r="E596">
        <f>IF($A596="","",IF(OR($B596="",$C596="",$D596="",$B596&lt;1300,$B596&gt;1500,$C596&lt;1,$C596&gt;12,$D596&lt;1,$D596&gt;31),"نامعتبر",RIGHT("0000"&amp;$B596,4)&amp;"/"&amp;RIGHT("00"&amp;$C596,2)&amp;"/"&amp;RIGHT("00"&amp;$D596,2)))</f>
        <v/>
      </c>
      <c r="F596">
        <f>IF(OR($E596="",$E596="نامعتبر"),"",IF(Sync!$Q593="","0000",IF(AND(ISNUMBER(Sync!$Q593),Sync!$Q593&gt;=0,Sync!$Q593&lt;1),RIGHT("00"&amp;HOUR(Sync!$Q593),2)&amp;RIGHT("00"&amp;MINUTE(Sync!$Q593),2),IFERROR(RIGHT("00"&amp;VALUE(LEFT(Sync!$Q593,FIND(":",Sync!$Q593)-1)),2)&amp;RIGHT("00"&amp;VALUE(MID(Sync!$Q593,FIND(":",Sync!$Q593)+1,2)),2),"0000"))))</f>
        <v/>
      </c>
      <c r="G596">
        <f>IF(OR($E596="",$E596="نامعتبر"),"",IF(Sync!$S593="","",Sync!$S593))</f>
        <v/>
      </c>
      <c r="H596">
        <f>IF(OR($E596="",$E596="نامعتبر"),"",IF(Sync!$R593="","",Sync!$R593))</f>
        <v/>
      </c>
      <c r="I596">
        <f>IF(OR($E596="",$E596="نامعتبر"),"",IF(Sync!$T593="","",Sync!$T593))</f>
        <v/>
      </c>
      <c r="J596">
        <f>IF(OR($E596="",$E596="نامعتبر"),"",IF(Sync!$U593="","",Sync!$U593))</f>
        <v/>
      </c>
      <c r="K596">
        <f>IF(OR($E596="",$E596="نامعتبر"),"",IF(Sync!$V593="","",IFERROR(INDEX(SubCodes,MATCH(Sync!$V593,SubTitles,0)),Sync!$V593)))</f>
        <v/>
      </c>
      <c r="L596">
        <f>IF(OR($E596="",$E596="نامعتبر"),"",IF(Sync!$W593="",0,Sync!$W593))</f>
        <v/>
      </c>
      <c r="M596">
        <f>IF(OR($E596="",$E596="نامعتبر"),"",IF(Sync!$X593="",0,Sync!$X593))</f>
        <v/>
      </c>
      <c r="N596">
        <f>IF(OR($E596="",$E596="نامعتبر"),"",IF(AND($J596="هزینه",$K596&lt;&gt;""),1,0))</f>
        <v/>
      </c>
      <c r="O596">
        <f>IF($N596=0,"",LEFT($E596,4)&amp;MID($E596,6,2)&amp;RIGHT($E596,2)&amp;$F596&amp;"|"&amp;"1"&amp;RIGHT("00000"&amp;588,5))</f>
        <v/>
      </c>
      <c r="P596">
        <f>IF($O596="","",COUNTIFS(ExpSub,$K596,ExpKey,"&lt;"&amp;$O596)+1)</f>
        <v/>
      </c>
      <c r="Q596">
        <f>IF($P596="","",$K596&amp;"|"&amp;RIGHT("000000"&amp;$P596,6))</f>
        <v/>
      </c>
    </row>
    <row r="597">
      <c r="A597">
        <f>IF(Sync!$P594="","",Sync!$P594)</f>
        <v/>
      </c>
      <c r="B597">
        <f>IF($A597="","",IF(ISNUMBER($A597),IF(AND($A597&gt;=10000101,$A597&lt;=99991231),INT($A597/10000),""),IFERROR(VALUE(TRIM(LEFT($A597,FIND("/",$A597)-1))),"")))</f>
        <v/>
      </c>
      <c r="C597">
        <f>IF(OR($A597="",$B597=""),"",IF(ISNUMBER($A597),INT(MOD($A597,10000)/100),IFERROR(VALUE(TRIM(LEFT(MID($A597,FIND("/",$A597)+1,20),FIND("/",MID($A597,FIND("/",$A597)+1,20))-1))),"")))</f>
        <v/>
      </c>
      <c r="D597">
        <f>IF(OR($A597="",$B597=""),"",IF(ISNUMBER($A597),MOD($A597,100),IFERROR(VALUE(TRIM(MID(MID($A597,FIND("/",$A597)+1,20),FIND("/",MID($A597,FIND("/",$A597)+1,20))+1,20))),"")))</f>
        <v/>
      </c>
      <c r="E597">
        <f>IF($A597="","",IF(OR($B597="",$C597="",$D597="",$B597&lt;1300,$B597&gt;1500,$C597&lt;1,$C597&gt;12,$D597&lt;1,$D597&gt;31),"نامعتبر",RIGHT("0000"&amp;$B597,4)&amp;"/"&amp;RIGHT("00"&amp;$C597,2)&amp;"/"&amp;RIGHT("00"&amp;$D597,2)))</f>
        <v/>
      </c>
      <c r="F597">
        <f>IF(OR($E597="",$E597="نامعتبر"),"",IF(Sync!$Q594="","0000",IF(AND(ISNUMBER(Sync!$Q594),Sync!$Q594&gt;=0,Sync!$Q594&lt;1),RIGHT("00"&amp;HOUR(Sync!$Q594),2)&amp;RIGHT("00"&amp;MINUTE(Sync!$Q594),2),IFERROR(RIGHT("00"&amp;VALUE(LEFT(Sync!$Q594,FIND(":",Sync!$Q594)-1)),2)&amp;RIGHT("00"&amp;VALUE(MID(Sync!$Q594,FIND(":",Sync!$Q594)+1,2)),2),"0000"))))</f>
        <v/>
      </c>
      <c r="G597">
        <f>IF(OR($E597="",$E597="نامعتبر"),"",IF(Sync!$S594="","",Sync!$S594))</f>
        <v/>
      </c>
      <c r="H597">
        <f>IF(OR($E597="",$E597="نامعتبر"),"",IF(Sync!$R594="","",Sync!$R594))</f>
        <v/>
      </c>
      <c r="I597">
        <f>IF(OR($E597="",$E597="نامعتبر"),"",IF(Sync!$T594="","",Sync!$T594))</f>
        <v/>
      </c>
      <c r="J597">
        <f>IF(OR($E597="",$E597="نامعتبر"),"",IF(Sync!$U594="","",Sync!$U594))</f>
        <v/>
      </c>
      <c r="K597">
        <f>IF(OR($E597="",$E597="نامعتبر"),"",IF(Sync!$V594="","",IFERROR(INDEX(SubCodes,MATCH(Sync!$V594,SubTitles,0)),Sync!$V594)))</f>
        <v/>
      </c>
      <c r="L597">
        <f>IF(OR($E597="",$E597="نامعتبر"),"",IF(Sync!$W594="",0,Sync!$W594))</f>
        <v/>
      </c>
      <c r="M597">
        <f>IF(OR($E597="",$E597="نامعتبر"),"",IF(Sync!$X594="",0,Sync!$X594))</f>
        <v/>
      </c>
      <c r="N597">
        <f>IF(OR($E597="",$E597="نامعتبر"),"",IF(AND($J597="هزینه",$K597&lt;&gt;""),1,0))</f>
        <v/>
      </c>
      <c r="O597">
        <f>IF($N597=0,"",LEFT($E597,4)&amp;MID($E597,6,2)&amp;RIGHT($E597,2)&amp;$F597&amp;"|"&amp;"1"&amp;RIGHT("00000"&amp;589,5))</f>
        <v/>
      </c>
      <c r="P597">
        <f>IF($O597="","",COUNTIFS(ExpSub,$K597,ExpKey,"&lt;"&amp;$O597)+1)</f>
        <v/>
      </c>
      <c r="Q597">
        <f>IF($P597="","",$K597&amp;"|"&amp;RIGHT("000000"&amp;$P597,6))</f>
        <v/>
      </c>
    </row>
    <row r="598">
      <c r="A598">
        <f>IF(Sync!$P595="","",Sync!$P595)</f>
        <v/>
      </c>
      <c r="B598">
        <f>IF($A598="","",IF(ISNUMBER($A598),IF(AND($A598&gt;=10000101,$A598&lt;=99991231),INT($A598/10000),""),IFERROR(VALUE(TRIM(LEFT($A598,FIND("/",$A598)-1))),"")))</f>
        <v/>
      </c>
      <c r="C598">
        <f>IF(OR($A598="",$B598=""),"",IF(ISNUMBER($A598),INT(MOD($A598,10000)/100),IFERROR(VALUE(TRIM(LEFT(MID($A598,FIND("/",$A598)+1,20),FIND("/",MID($A598,FIND("/",$A598)+1,20))-1))),"")))</f>
        <v/>
      </c>
      <c r="D598">
        <f>IF(OR($A598="",$B598=""),"",IF(ISNUMBER($A598),MOD($A598,100),IFERROR(VALUE(TRIM(MID(MID($A598,FIND("/",$A598)+1,20),FIND("/",MID($A598,FIND("/",$A598)+1,20))+1,20))),"")))</f>
        <v/>
      </c>
      <c r="E598">
        <f>IF($A598="","",IF(OR($B598="",$C598="",$D598="",$B598&lt;1300,$B598&gt;1500,$C598&lt;1,$C598&gt;12,$D598&lt;1,$D598&gt;31),"نامعتبر",RIGHT("0000"&amp;$B598,4)&amp;"/"&amp;RIGHT("00"&amp;$C598,2)&amp;"/"&amp;RIGHT("00"&amp;$D598,2)))</f>
        <v/>
      </c>
      <c r="F598">
        <f>IF(OR($E598="",$E598="نامعتبر"),"",IF(Sync!$Q595="","0000",IF(AND(ISNUMBER(Sync!$Q595),Sync!$Q595&gt;=0,Sync!$Q595&lt;1),RIGHT("00"&amp;HOUR(Sync!$Q595),2)&amp;RIGHT("00"&amp;MINUTE(Sync!$Q595),2),IFERROR(RIGHT("00"&amp;VALUE(LEFT(Sync!$Q595,FIND(":",Sync!$Q595)-1)),2)&amp;RIGHT("00"&amp;VALUE(MID(Sync!$Q595,FIND(":",Sync!$Q595)+1,2)),2),"0000"))))</f>
        <v/>
      </c>
      <c r="G598">
        <f>IF(OR($E598="",$E598="نامعتبر"),"",IF(Sync!$S595="","",Sync!$S595))</f>
        <v/>
      </c>
      <c r="H598">
        <f>IF(OR($E598="",$E598="نامعتبر"),"",IF(Sync!$R595="","",Sync!$R595))</f>
        <v/>
      </c>
      <c r="I598">
        <f>IF(OR($E598="",$E598="نامعتبر"),"",IF(Sync!$T595="","",Sync!$T595))</f>
        <v/>
      </c>
      <c r="J598">
        <f>IF(OR($E598="",$E598="نامعتبر"),"",IF(Sync!$U595="","",Sync!$U595))</f>
        <v/>
      </c>
      <c r="K598">
        <f>IF(OR($E598="",$E598="نامعتبر"),"",IF(Sync!$V595="","",IFERROR(INDEX(SubCodes,MATCH(Sync!$V595,SubTitles,0)),Sync!$V595)))</f>
        <v/>
      </c>
      <c r="L598">
        <f>IF(OR($E598="",$E598="نامعتبر"),"",IF(Sync!$W595="",0,Sync!$W595))</f>
        <v/>
      </c>
      <c r="M598">
        <f>IF(OR($E598="",$E598="نامعتبر"),"",IF(Sync!$X595="",0,Sync!$X595))</f>
        <v/>
      </c>
      <c r="N598">
        <f>IF(OR($E598="",$E598="نامعتبر"),"",IF(AND($J598="هزینه",$K598&lt;&gt;""),1,0))</f>
        <v/>
      </c>
      <c r="O598">
        <f>IF($N598=0,"",LEFT($E598,4)&amp;MID($E598,6,2)&amp;RIGHT($E598,2)&amp;$F598&amp;"|"&amp;"1"&amp;RIGHT("00000"&amp;590,5))</f>
        <v/>
      </c>
      <c r="P598">
        <f>IF($O598="","",COUNTIFS(ExpSub,$K598,ExpKey,"&lt;"&amp;$O598)+1)</f>
        <v/>
      </c>
      <c r="Q598">
        <f>IF($P598="","",$K598&amp;"|"&amp;RIGHT("000000"&amp;$P598,6))</f>
        <v/>
      </c>
    </row>
    <row r="599">
      <c r="A599">
        <f>IF(Sync!$P596="","",Sync!$P596)</f>
        <v/>
      </c>
      <c r="B599">
        <f>IF($A599="","",IF(ISNUMBER($A599),IF(AND($A599&gt;=10000101,$A599&lt;=99991231),INT($A599/10000),""),IFERROR(VALUE(TRIM(LEFT($A599,FIND("/",$A599)-1))),"")))</f>
        <v/>
      </c>
      <c r="C599">
        <f>IF(OR($A599="",$B599=""),"",IF(ISNUMBER($A599),INT(MOD($A599,10000)/100),IFERROR(VALUE(TRIM(LEFT(MID($A599,FIND("/",$A599)+1,20),FIND("/",MID($A599,FIND("/",$A599)+1,20))-1))),"")))</f>
        <v/>
      </c>
      <c r="D599">
        <f>IF(OR($A599="",$B599=""),"",IF(ISNUMBER($A599),MOD($A599,100),IFERROR(VALUE(TRIM(MID(MID($A599,FIND("/",$A599)+1,20),FIND("/",MID($A599,FIND("/",$A599)+1,20))+1,20))),"")))</f>
        <v/>
      </c>
      <c r="E599">
        <f>IF($A599="","",IF(OR($B599="",$C599="",$D599="",$B599&lt;1300,$B599&gt;1500,$C599&lt;1,$C599&gt;12,$D599&lt;1,$D599&gt;31),"نامعتبر",RIGHT("0000"&amp;$B599,4)&amp;"/"&amp;RIGHT("00"&amp;$C599,2)&amp;"/"&amp;RIGHT("00"&amp;$D599,2)))</f>
        <v/>
      </c>
      <c r="F599">
        <f>IF(OR($E599="",$E599="نامعتبر"),"",IF(Sync!$Q596="","0000",IF(AND(ISNUMBER(Sync!$Q596),Sync!$Q596&gt;=0,Sync!$Q596&lt;1),RIGHT("00"&amp;HOUR(Sync!$Q596),2)&amp;RIGHT("00"&amp;MINUTE(Sync!$Q596),2),IFERROR(RIGHT("00"&amp;VALUE(LEFT(Sync!$Q596,FIND(":",Sync!$Q596)-1)),2)&amp;RIGHT("00"&amp;VALUE(MID(Sync!$Q596,FIND(":",Sync!$Q596)+1,2)),2),"0000"))))</f>
        <v/>
      </c>
      <c r="G599">
        <f>IF(OR($E599="",$E599="نامعتبر"),"",IF(Sync!$S596="","",Sync!$S596))</f>
        <v/>
      </c>
      <c r="H599">
        <f>IF(OR($E599="",$E599="نامعتبر"),"",IF(Sync!$R596="","",Sync!$R596))</f>
        <v/>
      </c>
      <c r="I599">
        <f>IF(OR($E599="",$E599="نامعتبر"),"",IF(Sync!$T596="","",Sync!$T596))</f>
        <v/>
      </c>
      <c r="J599">
        <f>IF(OR($E599="",$E599="نامعتبر"),"",IF(Sync!$U596="","",Sync!$U596))</f>
        <v/>
      </c>
      <c r="K599">
        <f>IF(OR($E599="",$E599="نامعتبر"),"",IF(Sync!$V596="","",IFERROR(INDEX(SubCodes,MATCH(Sync!$V596,SubTitles,0)),Sync!$V596)))</f>
        <v/>
      </c>
      <c r="L599">
        <f>IF(OR($E599="",$E599="نامعتبر"),"",IF(Sync!$W596="",0,Sync!$W596))</f>
        <v/>
      </c>
      <c r="M599">
        <f>IF(OR($E599="",$E599="نامعتبر"),"",IF(Sync!$X596="",0,Sync!$X596))</f>
        <v/>
      </c>
      <c r="N599">
        <f>IF(OR($E599="",$E599="نامعتبر"),"",IF(AND($J599="هزینه",$K599&lt;&gt;""),1,0))</f>
        <v/>
      </c>
      <c r="O599">
        <f>IF($N599=0,"",LEFT($E599,4)&amp;MID($E599,6,2)&amp;RIGHT($E599,2)&amp;$F599&amp;"|"&amp;"1"&amp;RIGHT("00000"&amp;591,5))</f>
        <v/>
      </c>
      <c r="P599">
        <f>IF($O599="","",COUNTIFS(ExpSub,$K599,ExpKey,"&lt;"&amp;$O599)+1)</f>
        <v/>
      </c>
      <c r="Q599">
        <f>IF($P599="","",$K599&amp;"|"&amp;RIGHT("000000"&amp;$P599,6))</f>
        <v/>
      </c>
    </row>
    <row r="600">
      <c r="A600">
        <f>IF(Sync!$P597="","",Sync!$P597)</f>
        <v/>
      </c>
      <c r="B600">
        <f>IF($A600="","",IF(ISNUMBER($A600),IF(AND($A600&gt;=10000101,$A600&lt;=99991231),INT($A600/10000),""),IFERROR(VALUE(TRIM(LEFT($A600,FIND("/",$A600)-1))),"")))</f>
        <v/>
      </c>
      <c r="C600">
        <f>IF(OR($A600="",$B600=""),"",IF(ISNUMBER($A600),INT(MOD($A600,10000)/100),IFERROR(VALUE(TRIM(LEFT(MID($A600,FIND("/",$A600)+1,20),FIND("/",MID($A600,FIND("/",$A600)+1,20))-1))),"")))</f>
        <v/>
      </c>
      <c r="D600">
        <f>IF(OR($A600="",$B600=""),"",IF(ISNUMBER($A600),MOD($A600,100),IFERROR(VALUE(TRIM(MID(MID($A600,FIND("/",$A600)+1,20),FIND("/",MID($A600,FIND("/",$A600)+1,20))+1,20))),"")))</f>
        <v/>
      </c>
      <c r="E600">
        <f>IF($A600="","",IF(OR($B600="",$C600="",$D600="",$B600&lt;1300,$B600&gt;1500,$C600&lt;1,$C600&gt;12,$D600&lt;1,$D600&gt;31),"نامعتبر",RIGHT("0000"&amp;$B600,4)&amp;"/"&amp;RIGHT("00"&amp;$C600,2)&amp;"/"&amp;RIGHT("00"&amp;$D600,2)))</f>
        <v/>
      </c>
      <c r="F600">
        <f>IF(OR($E600="",$E600="نامعتبر"),"",IF(Sync!$Q597="","0000",IF(AND(ISNUMBER(Sync!$Q597),Sync!$Q597&gt;=0,Sync!$Q597&lt;1),RIGHT("00"&amp;HOUR(Sync!$Q597),2)&amp;RIGHT("00"&amp;MINUTE(Sync!$Q597),2),IFERROR(RIGHT("00"&amp;VALUE(LEFT(Sync!$Q597,FIND(":",Sync!$Q597)-1)),2)&amp;RIGHT("00"&amp;VALUE(MID(Sync!$Q597,FIND(":",Sync!$Q597)+1,2)),2),"0000"))))</f>
        <v/>
      </c>
      <c r="G600">
        <f>IF(OR($E600="",$E600="نامعتبر"),"",IF(Sync!$S597="","",Sync!$S597))</f>
        <v/>
      </c>
      <c r="H600">
        <f>IF(OR($E600="",$E600="نامعتبر"),"",IF(Sync!$R597="","",Sync!$R597))</f>
        <v/>
      </c>
      <c r="I600">
        <f>IF(OR($E600="",$E600="نامعتبر"),"",IF(Sync!$T597="","",Sync!$T597))</f>
        <v/>
      </c>
      <c r="J600">
        <f>IF(OR($E600="",$E600="نامعتبر"),"",IF(Sync!$U597="","",Sync!$U597))</f>
        <v/>
      </c>
      <c r="K600">
        <f>IF(OR($E600="",$E600="نامعتبر"),"",IF(Sync!$V597="","",IFERROR(INDEX(SubCodes,MATCH(Sync!$V597,SubTitles,0)),Sync!$V597)))</f>
        <v/>
      </c>
      <c r="L600">
        <f>IF(OR($E600="",$E600="نامعتبر"),"",IF(Sync!$W597="",0,Sync!$W597))</f>
        <v/>
      </c>
      <c r="M600">
        <f>IF(OR($E600="",$E600="نامعتبر"),"",IF(Sync!$X597="",0,Sync!$X597))</f>
        <v/>
      </c>
      <c r="N600">
        <f>IF(OR($E600="",$E600="نامعتبر"),"",IF(AND($J600="هزینه",$K600&lt;&gt;""),1,0))</f>
        <v/>
      </c>
      <c r="O600">
        <f>IF($N600=0,"",LEFT($E600,4)&amp;MID($E600,6,2)&amp;RIGHT($E600,2)&amp;$F600&amp;"|"&amp;"1"&amp;RIGHT("00000"&amp;592,5))</f>
        <v/>
      </c>
      <c r="P600">
        <f>IF($O600="","",COUNTIFS(ExpSub,$K600,ExpKey,"&lt;"&amp;$O600)+1)</f>
        <v/>
      </c>
      <c r="Q600">
        <f>IF($P600="","",$K600&amp;"|"&amp;RIGHT("000000"&amp;$P600,6))</f>
        <v/>
      </c>
    </row>
    <row r="601">
      <c r="A601">
        <f>IF(Sync!$P598="","",Sync!$P598)</f>
        <v/>
      </c>
      <c r="B601">
        <f>IF($A601="","",IF(ISNUMBER($A601),IF(AND($A601&gt;=10000101,$A601&lt;=99991231),INT($A601/10000),""),IFERROR(VALUE(TRIM(LEFT($A601,FIND("/",$A601)-1))),"")))</f>
        <v/>
      </c>
      <c r="C601">
        <f>IF(OR($A601="",$B601=""),"",IF(ISNUMBER($A601),INT(MOD($A601,10000)/100),IFERROR(VALUE(TRIM(LEFT(MID($A601,FIND("/",$A601)+1,20),FIND("/",MID($A601,FIND("/",$A601)+1,20))-1))),"")))</f>
        <v/>
      </c>
      <c r="D601">
        <f>IF(OR($A601="",$B601=""),"",IF(ISNUMBER($A601),MOD($A601,100),IFERROR(VALUE(TRIM(MID(MID($A601,FIND("/",$A601)+1,20),FIND("/",MID($A601,FIND("/",$A601)+1,20))+1,20))),"")))</f>
        <v/>
      </c>
      <c r="E601">
        <f>IF($A601="","",IF(OR($B601="",$C601="",$D601="",$B601&lt;1300,$B601&gt;1500,$C601&lt;1,$C601&gt;12,$D601&lt;1,$D601&gt;31),"نامعتبر",RIGHT("0000"&amp;$B601,4)&amp;"/"&amp;RIGHT("00"&amp;$C601,2)&amp;"/"&amp;RIGHT("00"&amp;$D601,2)))</f>
        <v/>
      </c>
      <c r="F601">
        <f>IF(OR($E601="",$E601="نامعتبر"),"",IF(Sync!$Q598="","0000",IF(AND(ISNUMBER(Sync!$Q598),Sync!$Q598&gt;=0,Sync!$Q598&lt;1),RIGHT("00"&amp;HOUR(Sync!$Q598),2)&amp;RIGHT("00"&amp;MINUTE(Sync!$Q598),2),IFERROR(RIGHT("00"&amp;VALUE(LEFT(Sync!$Q598,FIND(":",Sync!$Q598)-1)),2)&amp;RIGHT("00"&amp;VALUE(MID(Sync!$Q598,FIND(":",Sync!$Q598)+1,2)),2),"0000"))))</f>
        <v/>
      </c>
      <c r="G601">
        <f>IF(OR($E601="",$E601="نامعتبر"),"",IF(Sync!$S598="","",Sync!$S598))</f>
        <v/>
      </c>
      <c r="H601">
        <f>IF(OR($E601="",$E601="نامعتبر"),"",IF(Sync!$R598="","",Sync!$R598))</f>
        <v/>
      </c>
      <c r="I601">
        <f>IF(OR($E601="",$E601="نامعتبر"),"",IF(Sync!$T598="","",Sync!$T598))</f>
        <v/>
      </c>
      <c r="J601">
        <f>IF(OR($E601="",$E601="نامعتبر"),"",IF(Sync!$U598="","",Sync!$U598))</f>
        <v/>
      </c>
      <c r="K601">
        <f>IF(OR($E601="",$E601="نامعتبر"),"",IF(Sync!$V598="","",IFERROR(INDEX(SubCodes,MATCH(Sync!$V598,SubTitles,0)),Sync!$V598)))</f>
        <v/>
      </c>
      <c r="L601">
        <f>IF(OR($E601="",$E601="نامعتبر"),"",IF(Sync!$W598="",0,Sync!$W598))</f>
        <v/>
      </c>
      <c r="M601">
        <f>IF(OR($E601="",$E601="نامعتبر"),"",IF(Sync!$X598="",0,Sync!$X598))</f>
        <v/>
      </c>
      <c r="N601">
        <f>IF(OR($E601="",$E601="نامعتبر"),"",IF(AND($J601="هزینه",$K601&lt;&gt;""),1,0))</f>
        <v/>
      </c>
      <c r="O601">
        <f>IF($N601=0,"",LEFT($E601,4)&amp;MID($E601,6,2)&amp;RIGHT($E601,2)&amp;$F601&amp;"|"&amp;"1"&amp;RIGHT("00000"&amp;593,5))</f>
        <v/>
      </c>
      <c r="P601">
        <f>IF($O601="","",COUNTIFS(ExpSub,$K601,ExpKey,"&lt;"&amp;$O601)+1)</f>
        <v/>
      </c>
      <c r="Q601">
        <f>IF($P601="","",$K601&amp;"|"&amp;RIGHT("000000"&amp;$P601,6))</f>
        <v/>
      </c>
    </row>
    <row r="602">
      <c r="A602">
        <f>IF(Sync!$P599="","",Sync!$P599)</f>
        <v/>
      </c>
      <c r="B602">
        <f>IF($A602="","",IF(ISNUMBER($A602),IF(AND($A602&gt;=10000101,$A602&lt;=99991231),INT($A602/10000),""),IFERROR(VALUE(TRIM(LEFT($A602,FIND("/",$A602)-1))),"")))</f>
        <v/>
      </c>
      <c r="C602">
        <f>IF(OR($A602="",$B602=""),"",IF(ISNUMBER($A602),INT(MOD($A602,10000)/100),IFERROR(VALUE(TRIM(LEFT(MID($A602,FIND("/",$A602)+1,20),FIND("/",MID($A602,FIND("/",$A602)+1,20))-1))),"")))</f>
        <v/>
      </c>
      <c r="D602">
        <f>IF(OR($A602="",$B602=""),"",IF(ISNUMBER($A602),MOD($A602,100),IFERROR(VALUE(TRIM(MID(MID($A602,FIND("/",$A602)+1,20),FIND("/",MID($A602,FIND("/",$A602)+1,20))+1,20))),"")))</f>
        <v/>
      </c>
      <c r="E602">
        <f>IF($A602="","",IF(OR($B602="",$C602="",$D602="",$B602&lt;1300,$B602&gt;1500,$C602&lt;1,$C602&gt;12,$D602&lt;1,$D602&gt;31),"نامعتبر",RIGHT("0000"&amp;$B602,4)&amp;"/"&amp;RIGHT("00"&amp;$C602,2)&amp;"/"&amp;RIGHT("00"&amp;$D602,2)))</f>
        <v/>
      </c>
      <c r="F602">
        <f>IF(OR($E602="",$E602="نامعتبر"),"",IF(Sync!$Q599="","0000",IF(AND(ISNUMBER(Sync!$Q599),Sync!$Q599&gt;=0,Sync!$Q599&lt;1),RIGHT("00"&amp;HOUR(Sync!$Q599),2)&amp;RIGHT("00"&amp;MINUTE(Sync!$Q599),2),IFERROR(RIGHT("00"&amp;VALUE(LEFT(Sync!$Q599,FIND(":",Sync!$Q599)-1)),2)&amp;RIGHT("00"&amp;VALUE(MID(Sync!$Q599,FIND(":",Sync!$Q599)+1,2)),2),"0000"))))</f>
        <v/>
      </c>
      <c r="G602">
        <f>IF(OR($E602="",$E602="نامعتبر"),"",IF(Sync!$S599="","",Sync!$S599))</f>
        <v/>
      </c>
      <c r="H602">
        <f>IF(OR($E602="",$E602="نامعتبر"),"",IF(Sync!$R599="","",Sync!$R599))</f>
        <v/>
      </c>
      <c r="I602">
        <f>IF(OR($E602="",$E602="نامعتبر"),"",IF(Sync!$T599="","",Sync!$T599))</f>
        <v/>
      </c>
      <c r="J602">
        <f>IF(OR($E602="",$E602="نامعتبر"),"",IF(Sync!$U599="","",Sync!$U599))</f>
        <v/>
      </c>
      <c r="K602">
        <f>IF(OR($E602="",$E602="نامعتبر"),"",IF(Sync!$V599="","",IFERROR(INDEX(SubCodes,MATCH(Sync!$V599,SubTitles,0)),Sync!$V599)))</f>
        <v/>
      </c>
      <c r="L602">
        <f>IF(OR($E602="",$E602="نامعتبر"),"",IF(Sync!$W599="",0,Sync!$W599))</f>
        <v/>
      </c>
      <c r="M602">
        <f>IF(OR($E602="",$E602="نامعتبر"),"",IF(Sync!$X599="",0,Sync!$X599))</f>
        <v/>
      </c>
      <c r="N602">
        <f>IF(OR($E602="",$E602="نامعتبر"),"",IF(AND($J602="هزینه",$K602&lt;&gt;""),1,0))</f>
        <v/>
      </c>
      <c r="O602">
        <f>IF($N602=0,"",LEFT($E602,4)&amp;MID($E602,6,2)&amp;RIGHT($E602,2)&amp;$F602&amp;"|"&amp;"1"&amp;RIGHT("00000"&amp;594,5))</f>
        <v/>
      </c>
      <c r="P602">
        <f>IF($O602="","",COUNTIFS(ExpSub,$K602,ExpKey,"&lt;"&amp;$O602)+1)</f>
        <v/>
      </c>
      <c r="Q602">
        <f>IF($P602="","",$K602&amp;"|"&amp;RIGHT("000000"&amp;$P602,6))</f>
        <v/>
      </c>
    </row>
    <row r="603">
      <c r="A603">
        <f>IF(Sync!$P600="","",Sync!$P600)</f>
        <v/>
      </c>
      <c r="B603">
        <f>IF($A603="","",IF(ISNUMBER($A603),IF(AND($A603&gt;=10000101,$A603&lt;=99991231),INT($A603/10000),""),IFERROR(VALUE(TRIM(LEFT($A603,FIND("/",$A603)-1))),"")))</f>
        <v/>
      </c>
      <c r="C603">
        <f>IF(OR($A603="",$B603=""),"",IF(ISNUMBER($A603),INT(MOD($A603,10000)/100),IFERROR(VALUE(TRIM(LEFT(MID($A603,FIND("/",$A603)+1,20),FIND("/",MID($A603,FIND("/",$A603)+1,20))-1))),"")))</f>
        <v/>
      </c>
      <c r="D603">
        <f>IF(OR($A603="",$B603=""),"",IF(ISNUMBER($A603),MOD($A603,100),IFERROR(VALUE(TRIM(MID(MID($A603,FIND("/",$A603)+1,20),FIND("/",MID($A603,FIND("/",$A603)+1,20))+1,20))),"")))</f>
        <v/>
      </c>
      <c r="E603">
        <f>IF($A603="","",IF(OR($B603="",$C603="",$D603="",$B603&lt;1300,$B603&gt;1500,$C603&lt;1,$C603&gt;12,$D603&lt;1,$D603&gt;31),"نامعتبر",RIGHT("0000"&amp;$B603,4)&amp;"/"&amp;RIGHT("00"&amp;$C603,2)&amp;"/"&amp;RIGHT("00"&amp;$D603,2)))</f>
        <v/>
      </c>
      <c r="F603">
        <f>IF(OR($E603="",$E603="نامعتبر"),"",IF(Sync!$Q600="","0000",IF(AND(ISNUMBER(Sync!$Q600),Sync!$Q600&gt;=0,Sync!$Q600&lt;1),RIGHT("00"&amp;HOUR(Sync!$Q600),2)&amp;RIGHT("00"&amp;MINUTE(Sync!$Q600),2),IFERROR(RIGHT("00"&amp;VALUE(LEFT(Sync!$Q600,FIND(":",Sync!$Q600)-1)),2)&amp;RIGHT("00"&amp;VALUE(MID(Sync!$Q600,FIND(":",Sync!$Q600)+1,2)),2),"0000"))))</f>
        <v/>
      </c>
      <c r="G603">
        <f>IF(OR($E603="",$E603="نامعتبر"),"",IF(Sync!$S600="","",Sync!$S600))</f>
        <v/>
      </c>
      <c r="H603">
        <f>IF(OR($E603="",$E603="نامعتبر"),"",IF(Sync!$R600="","",Sync!$R600))</f>
        <v/>
      </c>
      <c r="I603">
        <f>IF(OR($E603="",$E603="نامعتبر"),"",IF(Sync!$T600="","",Sync!$T600))</f>
        <v/>
      </c>
      <c r="J603">
        <f>IF(OR($E603="",$E603="نامعتبر"),"",IF(Sync!$U600="","",Sync!$U600))</f>
        <v/>
      </c>
      <c r="K603">
        <f>IF(OR($E603="",$E603="نامعتبر"),"",IF(Sync!$V600="","",IFERROR(INDEX(SubCodes,MATCH(Sync!$V600,SubTitles,0)),Sync!$V600)))</f>
        <v/>
      </c>
      <c r="L603">
        <f>IF(OR($E603="",$E603="نامعتبر"),"",IF(Sync!$W600="",0,Sync!$W600))</f>
        <v/>
      </c>
      <c r="M603">
        <f>IF(OR($E603="",$E603="نامعتبر"),"",IF(Sync!$X600="",0,Sync!$X600))</f>
        <v/>
      </c>
      <c r="N603">
        <f>IF(OR($E603="",$E603="نامعتبر"),"",IF(AND($J603="هزینه",$K603&lt;&gt;""),1,0))</f>
        <v/>
      </c>
      <c r="O603">
        <f>IF($N603=0,"",LEFT($E603,4)&amp;MID($E603,6,2)&amp;RIGHT($E603,2)&amp;$F603&amp;"|"&amp;"1"&amp;RIGHT("00000"&amp;595,5))</f>
        <v/>
      </c>
      <c r="P603">
        <f>IF($O603="","",COUNTIFS(ExpSub,$K603,ExpKey,"&lt;"&amp;$O603)+1)</f>
        <v/>
      </c>
      <c r="Q603">
        <f>IF($P603="","",$K603&amp;"|"&amp;RIGHT("000000"&amp;$P603,6))</f>
        <v/>
      </c>
    </row>
    <row r="604">
      <c r="A604">
        <f>IF(Sync!$P601="","",Sync!$P601)</f>
        <v/>
      </c>
      <c r="B604">
        <f>IF($A604="","",IF(ISNUMBER($A604),IF(AND($A604&gt;=10000101,$A604&lt;=99991231),INT($A604/10000),""),IFERROR(VALUE(TRIM(LEFT($A604,FIND("/",$A604)-1))),"")))</f>
        <v/>
      </c>
      <c r="C604">
        <f>IF(OR($A604="",$B604=""),"",IF(ISNUMBER($A604),INT(MOD($A604,10000)/100),IFERROR(VALUE(TRIM(LEFT(MID($A604,FIND("/",$A604)+1,20),FIND("/",MID($A604,FIND("/",$A604)+1,20))-1))),"")))</f>
        <v/>
      </c>
      <c r="D604">
        <f>IF(OR($A604="",$B604=""),"",IF(ISNUMBER($A604),MOD($A604,100),IFERROR(VALUE(TRIM(MID(MID($A604,FIND("/",$A604)+1,20),FIND("/",MID($A604,FIND("/",$A604)+1,20))+1,20))),"")))</f>
        <v/>
      </c>
      <c r="E604">
        <f>IF($A604="","",IF(OR($B604="",$C604="",$D604="",$B604&lt;1300,$B604&gt;1500,$C604&lt;1,$C604&gt;12,$D604&lt;1,$D604&gt;31),"نامعتبر",RIGHT("0000"&amp;$B604,4)&amp;"/"&amp;RIGHT("00"&amp;$C604,2)&amp;"/"&amp;RIGHT("00"&amp;$D604,2)))</f>
        <v/>
      </c>
      <c r="F604">
        <f>IF(OR($E604="",$E604="نامعتبر"),"",IF(Sync!$Q601="","0000",IF(AND(ISNUMBER(Sync!$Q601),Sync!$Q601&gt;=0,Sync!$Q601&lt;1),RIGHT("00"&amp;HOUR(Sync!$Q601),2)&amp;RIGHT("00"&amp;MINUTE(Sync!$Q601),2),IFERROR(RIGHT("00"&amp;VALUE(LEFT(Sync!$Q601,FIND(":",Sync!$Q601)-1)),2)&amp;RIGHT("00"&amp;VALUE(MID(Sync!$Q601,FIND(":",Sync!$Q601)+1,2)),2),"0000"))))</f>
        <v/>
      </c>
      <c r="G604">
        <f>IF(OR($E604="",$E604="نامعتبر"),"",IF(Sync!$S601="","",Sync!$S601))</f>
        <v/>
      </c>
      <c r="H604">
        <f>IF(OR($E604="",$E604="نامعتبر"),"",IF(Sync!$R601="","",Sync!$R601))</f>
        <v/>
      </c>
      <c r="I604">
        <f>IF(OR($E604="",$E604="نامعتبر"),"",IF(Sync!$T601="","",Sync!$T601))</f>
        <v/>
      </c>
      <c r="J604">
        <f>IF(OR($E604="",$E604="نامعتبر"),"",IF(Sync!$U601="","",Sync!$U601))</f>
        <v/>
      </c>
      <c r="K604">
        <f>IF(OR($E604="",$E604="نامعتبر"),"",IF(Sync!$V601="","",IFERROR(INDEX(SubCodes,MATCH(Sync!$V601,SubTitles,0)),Sync!$V601)))</f>
        <v/>
      </c>
      <c r="L604">
        <f>IF(OR($E604="",$E604="نامعتبر"),"",IF(Sync!$W601="",0,Sync!$W601))</f>
        <v/>
      </c>
      <c r="M604">
        <f>IF(OR($E604="",$E604="نامعتبر"),"",IF(Sync!$X601="",0,Sync!$X601))</f>
        <v/>
      </c>
      <c r="N604">
        <f>IF(OR($E604="",$E604="نامعتبر"),"",IF(AND($J604="هزینه",$K604&lt;&gt;""),1,0))</f>
        <v/>
      </c>
      <c r="O604">
        <f>IF($N604=0,"",LEFT($E604,4)&amp;MID($E604,6,2)&amp;RIGHT($E604,2)&amp;$F604&amp;"|"&amp;"1"&amp;RIGHT("00000"&amp;596,5))</f>
        <v/>
      </c>
      <c r="P604">
        <f>IF($O604="","",COUNTIFS(ExpSub,$K604,ExpKey,"&lt;"&amp;$O604)+1)</f>
        <v/>
      </c>
      <c r="Q604">
        <f>IF($P604="","",$K604&amp;"|"&amp;RIGHT("000000"&amp;$P604,6))</f>
        <v/>
      </c>
    </row>
    <row r="605">
      <c r="A605">
        <f>IF(Sync!$P602="","",Sync!$P602)</f>
        <v/>
      </c>
      <c r="B605">
        <f>IF($A605="","",IF(ISNUMBER($A605),IF(AND($A605&gt;=10000101,$A605&lt;=99991231),INT($A605/10000),""),IFERROR(VALUE(TRIM(LEFT($A605,FIND("/",$A605)-1))),"")))</f>
        <v/>
      </c>
      <c r="C605">
        <f>IF(OR($A605="",$B605=""),"",IF(ISNUMBER($A605),INT(MOD($A605,10000)/100),IFERROR(VALUE(TRIM(LEFT(MID($A605,FIND("/",$A605)+1,20),FIND("/",MID($A605,FIND("/",$A605)+1,20))-1))),"")))</f>
        <v/>
      </c>
      <c r="D605">
        <f>IF(OR($A605="",$B605=""),"",IF(ISNUMBER($A605),MOD($A605,100),IFERROR(VALUE(TRIM(MID(MID($A605,FIND("/",$A605)+1,20),FIND("/",MID($A605,FIND("/",$A605)+1,20))+1,20))),"")))</f>
        <v/>
      </c>
      <c r="E605">
        <f>IF($A605="","",IF(OR($B605="",$C605="",$D605="",$B605&lt;1300,$B605&gt;1500,$C605&lt;1,$C605&gt;12,$D605&lt;1,$D605&gt;31),"نامعتبر",RIGHT("0000"&amp;$B605,4)&amp;"/"&amp;RIGHT("00"&amp;$C605,2)&amp;"/"&amp;RIGHT("00"&amp;$D605,2)))</f>
        <v/>
      </c>
      <c r="F605">
        <f>IF(OR($E605="",$E605="نامعتبر"),"",IF(Sync!$Q602="","0000",IF(AND(ISNUMBER(Sync!$Q602),Sync!$Q602&gt;=0,Sync!$Q602&lt;1),RIGHT("00"&amp;HOUR(Sync!$Q602),2)&amp;RIGHT("00"&amp;MINUTE(Sync!$Q602),2),IFERROR(RIGHT("00"&amp;VALUE(LEFT(Sync!$Q602,FIND(":",Sync!$Q602)-1)),2)&amp;RIGHT("00"&amp;VALUE(MID(Sync!$Q602,FIND(":",Sync!$Q602)+1,2)),2),"0000"))))</f>
        <v/>
      </c>
      <c r="G605">
        <f>IF(OR($E605="",$E605="نامعتبر"),"",IF(Sync!$S602="","",Sync!$S602))</f>
        <v/>
      </c>
      <c r="H605">
        <f>IF(OR($E605="",$E605="نامعتبر"),"",IF(Sync!$R602="","",Sync!$R602))</f>
        <v/>
      </c>
      <c r="I605">
        <f>IF(OR($E605="",$E605="نامعتبر"),"",IF(Sync!$T602="","",Sync!$T602))</f>
        <v/>
      </c>
      <c r="J605">
        <f>IF(OR($E605="",$E605="نامعتبر"),"",IF(Sync!$U602="","",Sync!$U602))</f>
        <v/>
      </c>
      <c r="K605">
        <f>IF(OR($E605="",$E605="نامعتبر"),"",IF(Sync!$V602="","",IFERROR(INDEX(SubCodes,MATCH(Sync!$V602,SubTitles,0)),Sync!$V602)))</f>
        <v/>
      </c>
      <c r="L605">
        <f>IF(OR($E605="",$E605="نامعتبر"),"",IF(Sync!$W602="",0,Sync!$W602))</f>
        <v/>
      </c>
      <c r="M605">
        <f>IF(OR($E605="",$E605="نامعتبر"),"",IF(Sync!$X602="",0,Sync!$X602))</f>
        <v/>
      </c>
      <c r="N605">
        <f>IF(OR($E605="",$E605="نامعتبر"),"",IF(AND($J605="هزینه",$K605&lt;&gt;""),1,0))</f>
        <v/>
      </c>
      <c r="O605">
        <f>IF($N605=0,"",LEFT($E605,4)&amp;MID($E605,6,2)&amp;RIGHT($E605,2)&amp;$F605&amp;"|"&amp;"1"&amp;RIGHT("00000"&amp;597,5))</f>
        <v/>
      </c>
      <c r="P605">
        <f>IF($O605="","",COUNTIFS(ExpSub,$K605,ExpKey,"&lt;"&amp;$O605)+1)</f>
        <v/>
      </c>
      <c r="Q605">
        <f>IF($P605="","",$K605&amp;"|"&amp;RIGHT("000000"&amp;$P605,6))</f>
        <v/>
      </c>
    </row>
    <row r="606">
      <c r="A606">
        <f>IF(Sync!$P603="","",Sync!$P603)</f>
        <v/>
      </c>
      <c r="B606">
        <f>IF($A606="","",IF(ISNUMBER($A606),IF(AND($A606&gt;=10000101,$A606&lt;=99991231),INT($A606/10000),""),IFERROR(VALUE(TRIM(LEFT($A606,FIND("/",$A606)-1))),"")))</f>
        <v/>
      </c>
      <c r="C606">
        <f>IF(OR($A606="",$B606=""),"",IF(ISNUMBER($A606),INT(MOD($A606,10000)/100),IFERROR(VALUE(TRIM(LEFT(MID($A606,FIND("/",$A606)+1,20),FIND("/",MID($A606,FIND("/",$A606)+1,20))-1))),"")))</f>
        <v/>
      </c>
      <c r="D606">
        <f>IF(OR($A606="",$B606=""),"",IF(ISNUMBER($A606),MOD($A606,100),IFERROR(VALUE(TRIM(MID(MID($A606,FIND("/",$A606)+1,20),FIND("/",MID($A606,FIND("/",$A606)+1,20))+1,20))),"")))</f>
        <v/>
      </c>
      <c r="E606">
        <f>IF($A606="","",IF(OR($B606="",$C606="",$D606="",$B606&lt;1300,$B606&gt;1500,$C606&lt;1,$C606&gt;12,$D606&lt;1,$D606&gt;31),"نامعتبر",RIGHT("0000"&amp;$B606,4)&amp;"/"&amp;RIGHT("00"&amp;$C606,2)&amp;"/"&amp;RIGHT("00"&amp;$D606,2)))</f>
        <v/>
      </c>
      <c r="F606">
        <f>IF(OR($E606="",$E606="نامعتبر"),"",IF(Sync!$Q603="","0000",IF(AND(ISNUMBER(Sync!$Q603),Sync!$Q603&gt;=0,Sync!$Q603&lt;1),RIGHT("00"&amp;HOUR(Sync!$Q603),2)&amp;RIGHT("00"&amp;MINUTE(Sync!$Q603),2),IFERROR(RIGHT("00"&amp;VALUE(LEFT(Sync!$Q603,FIND(":",Sync!$Q603)-1)),2)&amp;RIGHT("00"&amp;VALUE(MID(Sync!$Q603,FIND(":",Sync!$Q603)+1,2)),2),"0000"))))</f>
        <v/>
      </c>
      <c r="G606">
        <f>IF(OR($E606="",$E606="نامعتبر"),"",IF(Sync!$S603="","",Sync!$S603))</f>
        <v/>
      </c>
      <c r="H606">
        <f>IF(OR($E606="",$E606="نامعتبر"),"",IF(Sync!$R603="","",Sync!$R603))</f>
        <v/>
      </c>
      <c r="I606">
        <f>IF(OR($E606="",$E606="نامعتبر"),"",IF(Sync!$T603="","",Sync!$T603))</f>
        <v/>
      </c>
      <c r="J606">
        <f>IF(OR($E606="",$E606="نامعتبر"),"",IF(Sync!$U603="","",Sync!$U603))</f>
        <v/>
      </c>
      <c r="K606">
        <f>IF(OR($E606="",$E606="نامعتبر"),"",IF(Sync!$V603="","",IFERROR(INDEX(SubCodes,MATCH(Sync!$V603,SubTitles,0)),Sync!$V603)))</f>
        <v/>
      </c>
      <c r="L606">
        <f>IF(OR($E606="",$E606="نامعتبر"),"",IF(Sync!$W603="",0,Sync!$W603))</f>
        <v/>
      </c>
      <c r="M606">
        <f>IF(OR($E606="",$E606="نامعتبر"),"",IF(Sync!$X603="",0,Sync!$X603))</f>
        <v/>
      </c>
      <c r="N606">
        <f>IF(OR($E606="",$E606="نامعتبر"),"",IF(AND($J606="هزینه",$K606&lt;&gt;""),1,0))</f>
        <v/>
      </c>
      <c r="O606">
        <f>IF($N606=0,"",LEFT($E606,4)&amp;MID($E606,6,2)&amp;RIGHT($E606,2)&amp;$F606&amp;"|"&amp;"1"&amp;RIGHT("00000"&amp;598,5))</f>
        <v/>
      </c>
      <c r="P606">
        <f>IF($O606="","",COUNTIFS(ExpSub,$K606,ExpKey,"&lt;"&amp;$O606)+1)</f>
        <v/>
      </c>
      <c r="Q606">
        <f>IF($P606="","",$K606&amp;"|"&amp;RIGHT("000000"&amp;$P606,6))</f>
        <v/>
      </c>
    </row>
    <row r="607">
      <c r="A607">
        <f>IF(Sync!$P604="","",Sync!$P604)</f>
        <v/>
      </c>
      <c r="B607">
        <f>IF($A607="","",IF(ISNUMBER($A607),IF(AND($A607&gt;=10000101,$A607&lt;=99991231),INT($A607/10000),""),IFERROR(VALUE(TRIM(LEFT($A607,FIND("/",$A607)-1))),"")))</f>
        <v/>
      </c>
      <c r="C607">
        <f>IF(OR($A607="",$B607=""),"",IF(ISNUMBER($A607),INT(MOD($A607,10000)/100),IFERROR(VALUE(TRIM(LEFT(MID($A607,FIND("/",$A607)+1,20),FIND("/",MID($A607,FIND("/",$A607)+1,20))-1))),"")))</f>
        <v/>
      </c>
      <c r="D607">
        <f>IF(OR($A607="",$B607=""),"",IF(ISNUMBER($A607),MOD($A607,100),IFERROR(VALUE(TRIM(MID(MID($A607,FIND("/",$A607)+1,20),FIND("/",MID($A607,FIND("/",$A607)+1,20))+1,20))),"")))</f>
        <v/>
      </c>
      <c r="E607">
        <f>IF($A607="","",IF(OR($B607="",$C607="",$D607="",$B607&lt;1300,$B607&gt;1500,$C607&lt;1,$C607&gt;12,$D607&lt;1,$D607&gt;31),"نامعتبر",RIGHT("0000"&amp;$B607,4)&amp;"/"&amp;RIGHT("00"&amp;$C607,2)&amp;"/"&amp;RIGHT("00"&amp;$D607,2)))</f>
        <v/>
      </c>
      <c r="F607">
        <f>IF(OR($E607="",$E607="نامعتبر"),"",IF(Sync!$Q604="","0000",IF(AND(ISNUMBER(Sync!$Q604),Sync!$Q604&gt;=0,Sync!$Q604&lt;1),RIGHT("00"&amp;HOUR(Sync!$Q604),2)&amp;RIGHT("00"&amp;MINUTE(Sync!$Q604),2),IFERROR(RIGHT("00"&amp;VALUE(LEFT(Sync!$Q604,FIND(":",Sync!$Q604)-1)),2)&amp;RIGHT("00"&amp;VALUE(MID(Sync!$Q604,FIND(":",Sync!$Q604)+1,2)),2),"0000"))))</f>
        <v/>
      </c>
      <c r="G607">
        <f>IF(OR($E607="",$E607="نامعتبر"),"",IF(Sync!$S604="","",Sync!$S604))</f>
        <v/>
      </c>
      <c r="H607">
        <f>IF(OR($E607="",$E607="نامعتبر"),"",IF(Sync!$R604="","",Sync!$R604))</f>
        <v/>
      </c>
      <c r="I607">
        <f>IF(OR($E607="",$E607="نامعتبر"),"",IF(Sync!$T604="","",Sync!$T604))</f>
        <v/>
      </c>
      <c r="J607">
        <f>IF(OR($E607="",$E607="نامعتبر"),"",IF(Sync!$U604="","",Sync!$U604))</f>
        <v/>
      </c>
      <c r="K607">
        <f>IF(OR($E607="",$E607="نامعتبر"),"",IF(Sync!$V604="","",IFERROR(INDEX(SubCodes,MATCH(Sync!$V604,SubTitles,0)),Sync!$V604)))</f>
        <v/>
      </c>
      <c r="L607">
        <f>IF(OR($E607="",$E607="نامعتبر"),"",IF(Sync!$W604="",0,Sync!$W604))</f>
        <v/>
      </c>
      <c r="M607">
        <f>IF(OR($E607="",$E607="نامعتبر"),"",IF(Sync!$X604="",0,Sync!$X604))</f>
        <v/>
      </c>
      <c r="N607">
        <f>IF(OR($E607="",$E607="نامعتبر"),"",IF(AND($J607="هزینه",$K607&lt;&gt;""),1,0))</f>
        <v/>
      </c>
      <c r="O607">
        <f>IF($N607=0,"",LEFT($E607,4)&amp;MID($E607,6,2)&amp;RIGHT($E607,2)&amp;$F607&amp;"|"&amp;"1"&amp;RIGHT("00000"&amp;599,5))</f>
        <v/>
      </c>
      <c r="P607">
        <f>IF($O607="","",COUNTIFS(ExpSub,$K607,ExpKey,"&lt;"&amp;$O607)+1)</f>
        <v/>
      </c>
      <c r="Q607">
        <f>IF($P607="","",$K607&amp;"|"&amp;RIGHT("000000"&amp;$P607,6))</f>
        <v/>
      </c>
    </row>
    <row r="608">
      <c r="A608">
        <f>IF(Sync!$P605="","",Sync!$P605)</f>
        <v/>
      </c>
      <c r="B608">
        <f>IF($A608="","",IF(ISNUMBER($A608),IF(AND($A608&gt;=10000101,$A608&lt;=99991231),INT($A608/10000),""),IFERROR(VALUE(TRIM(LEFT($A608,FIND("/",$A608)-1))),"")))</f>
        <v/>
      </c>
      <c r="C608">
        <f>IF(OR($A608="",$B608=""),"",IF(ISNUMBER($A608),INT(MOD($A608,10000)/100),IFERROR(VALUE(TRIM(LEFT(MID($A608,FIND("/",$A608)+1,20),FIND("/",MID($A608,FIND("/",$A608)+1,20))-1))),"")))</f>
        <v/>
      </c>
      <c r="D608">
        <f>IF(OR($A608="",$B608=""),"",IF(ISNUMBER($A608),MOD($A608,100),IFERROR(VALUE(TRIM(MID(MID($A608,FIND("/",$A608)+1,20),FIND("/",MID($A608,FIND("/",$A608)+1,20))+1,20))),"")))</f>
        <v/>
      </c>
      <c r="E608">
        <f>IF($A608="","",IF(OR($B608="",$C608="",$D608="",$B608&lt;1300,$B608&gt;1500,$C608&lt;1,$C608&gt;12,$D608&lt;1,$D608&gt;31),"نامعتبر",RIGHT("0000"&amp;$B608,4)&amp;"/"&amp;RIGHT("00"&amp;$C608,2)&amp;"/"&amp;RIGHT("00"&amp;$D608,2)))</f>
        <v/>
      </c>
      <c r="F608">
        <f>IF(OR($E608="",$E608="نامعتبر"),"",IF(Sync!$Q605="","0000",IF(AND(ISNUMBER(Sync!$Q605),Sync!$Q605&gt;=0,Sync!$Q605&lt;1),RIGHT("00"&amp;HOUR(Sync!$Q605),2)&amp;RIGHT("00"&amp;MINUTE(Sync!$Q605),2),IFERROR(RIGHT("00"&amp;VALUE(LEFT(Sync!$Q605,FIND(":",Sync!$Q605)-1)),2)&amp;RIGHT("00"&amp;VALUE(MID(Sync!$Q605,FIND(":",Sync!$Q605)+1,2)),2),"0000"))))</f>
        <v/>
      </c>
      <c r="G608">
        <f>IF(OR($E608="",$E608="نامعتبر"),"",IF(Sync!$S605="","",Sync!$S605))</f>
        <v/>
      </c>
      <c r="H608">
        <f>IF(OR($E608="",$E608="نامعتبر"),"",IF(Sync!$R605="","",Sync!$R605))</f>
        <v/>
      </c>
      <c r="I608">
        <f>IF(OR($E608="",$E608="نامعتبر"),"",IF(Sync!$T605="","",Sync!$T605))</f>
        <v/>
      </c>
      <c r="J608">
        <f>IF(OR($E608="",$E608="نامعتبر"),"",IF(Sync!$U605="","",Sync!$U605))</f>
        <v/>
      </c>
      <c r="K608">
        <f>IF(OR($E608="",$E608="نامعتبر"),"",IF(Sync!$V605="","",IFERROR(INDEX(SubCodes,MATCH(Sync!$V605,SubTitles,0)),Sync!$V605)))</f>
        <v/>
      </c>
      <c r="L608">
        <f>IF(OR($E608="",$E608="نامعتبر"),"",IF(Sync!$W605="",0,Sync!$W605))</f>
        <v/>
      </c>
      <c r="M608">
        <f>IF(OR($E608="",$E608="نامعتبر"),"",IF(Sync!$X605="",0,Sync!$X605))</f>
        <v/>
      </c>
      <c r="N608">
        <f>IF(OR($E608="",$E608="نامعتبر"),"",IF(AND($J608="هزینه",$K608&lt;&gt;""),1,0))</f>
        <v/>
      </c>
      <c r="O608">
        <f>IF($N608=0,"",LEFT($E608,4)&amp;MID($E608,6,2)&amp;RIGHT($E608,2)&amp;$F608&amp;"|"&amp;"1"&amp;RIGHT("00000"&amp;600,5))</f>
        <v/>
      </c>
      <c r="P608">
        <f>IF($O608="","",COUNTIFS(ExpSub,$K608,ExpKey,"&lt;"&amp;$O608)+1)</f>
        <v/>
      </c>
      <c r="Q608">
        <f>IF($P608="","",$K608&amp;"|"&amp;RIGHT("000000"&amp;$P608,6))</f>
        <v/>
      </c>
    </row>
    <row r="609">
      <c r="A609">
        <f>IF(Sync!$P606="","",Sync!$P606)</f>
        <v/>
      </c>
      <c r="B609">
        <f>IF($A609="","",IF(ISNUMBER($A609),IF(AND($A609&gt;=10000101,$A609&lt;=99991231),INT($A609/10000),""),IFERROR(VALUE(TRIM(LEFT($A609,FIND("/",$A609)-1))),"")))</f>
        <v/>
      </c>
      <c r="C609">
        <f>IF(OR($A609="",$B609=""),"",IF(ISNUMBER($A609),INT(MOD($A609,10000)/100),IFERROR(VALUE(TRIM(LEFT(MID($A609,FIND("/",$A609)+1,20),FIND("/",MID($A609,FIND("/",$A609)+1,20))-1))),"")))</f>
        <v/>
      </c>
      <c r="D609">
        <f>IF(OR($A609="",$B609=""),"",IF(ISNUMBER($A609),MOD($A609,100),IFERROR(VALUE(TRIM(MID(MID($A609,FIND("/",$A609)+1,20),FIND("/",MID($A609,FIND("/",$A609)+1,20))+1,20))),"")))</f>
        <v/>
      </c>
      <c r="E609">
        <f>IF($A609="","",IF(OR($B609="",$C609="",$D609="",$B609&lt;1300,$B609&gt;1500,$C609&lt;1,$C609&gt;12,$D609&lt;1,$D609&gt;31),"نامعتبر",RIGHT("0000"&amp;$B609,4)&amp;"/"&amp;RIGHT("00"&amp;$C609,2)&amp;"/"&amp;RIGHT("00"&amp;$D609,2)))</f>
        <v/>
      </c>
      <c r="F609">
        <f>IF(OR($E609="",$E609="نامعتبر"),"",IF(Sync!$Q606="","0000",IF(AND(ISNUMBER(Sync!$Q606),Sync!$Q606&gt;=0,Sync!$Q606&lt;1),RIGHT("00"&amp;HOUR(Sync!$Q606),2)&amp;RIGHT("00"&amp;MINUTE(Sync!$Q606),2),IFERROR(RIGHT("00"&amp;VALUE(LEFT(Sync!$Q606,FIND(":",Sync!$Q606)-1)),2)&amp;RIGHT("00"&amp;VALUE(MID(Sync!$Q606,FIND(":",Sync!$Q606)+1,2)),2),"0000"))))</f>
        <v/>
      </c>
      <c r="G609">
        <f>IF(OR($E609="",$E609="نامعتبر"),"",IF(Sync!$S606="","",Sync!$S606))</f>
        <v/>
      </c>
      <c r="H609">
        <f>IF(OR($E609="",$E609="نامعتبر"),"",IF(Sync!$R606="","",Sync!$R606))</f>
        <v/>
      </c>
      <c r="I609">
        <f>IF(OR($E609="",$E609="نامعتبر"),"",IF(Sync!$T606="","",Sync!$T606))</f>
        <v/>
      </c>
      <c r="J609">
        <f>IF(OR($E609="",$E609="نامعتبر"),"",IF(Sync!$U606="","",Sync!$U606))</f>
        <v/>
      </c>
      <c r="K609">
        <f>IF(OR($E609="",$E609="نامعتبر"),"",IF(Sync!$V606="","",IFERROR(INDEX(SubCodes,MATCH(Sync!$V606,SubTitles,0)),Sync!$V606)))</f>
        <v/>
      </c>
      <c r="L609">
        <f>IF(OR($E609="",$E609="نامعتبر"),"",IF(Sync!$W606="",0,Sync!$W606))</f>
        <v/>
      </c>
      <c r="M609">
        <f>IF(OR($E609="",$E609="نامعتبر"),"",IF(Sync!$X606="",0,Sync!$X606))</f>
        <v/>
      </c>
      <c r="N609">
        <f>IF(OR($E609="",$E609="نامعتبر"),"",IF(AND($J609="هزینه",$K609&lt;&gt;""),1,0))</f>
        <v/>
      </c>
      <c r="O609">
        <f>IF($N609=0,"",LEFT($E609,4)&amp;MID($E609,6,2)&amp;RIGHT($E609,2)&amp;$F609&amp;"|"&amp;"1"&amp;RIGHT("00000"&amp;601,5))</f>
        <v/>
      </c>
      <c r="P609">
        <f>IF($O609="","",COUNTIFS(ExpSub,$K609,ExpKey,"&lt;"&amp;$O609)+1)</f>
        <v/>
      </c>
      <c r="Q609">
        <f>IF($P609="","",$K609&amp;"|"&amp;RIGHT("000000"&amp;$P609,6))</f>
        <v/>
      </c>
    </row>
    <row r="610">
      <c r="A610">
        <f>IF(Sync!$P607="","",Sync!$P607)</f>
        <v/>
      </c>
      <c r="B610">
        <f>IF($A610="","",IF(ISNUMBER($A610),IF(AND($A610&gt;=10000101,$A610&lt;=99991231),INT($A610/10000),""),IFERROR(VALUE(TRIM(LEFT($A610,FIND("/",$A610)-1))),"")))</f>
        <v/>
      </c>
      <c r="C610">
        <f>IF(OR($A610="",$B610=""),"",IF(ISNUMBER($A610),INT(MOD($A610,10000)/100),IFERROR(VALUE(TRIM(LEFT(MID($A610,FIND("/",$A610)+1,20),FIND("/",MID($A610,FIND("/",$A610)+1,20))-1))),"")))</f>
        <v/>
      </c>
      <c r="D610">
        <f>IF(OR($A610="",$B610=""),"",IF(ISNUMBER($A610),MOD($A610,100),IFERROR(VALUE(TRIM(MID(MID($A610,FIND("/",$A610)+1,20),FIND("/",MID($A610,FIND("/",$A610)+1,20))+1,20))),"")))</f>
        <v/>
      </c>
      <c r="E610">
        <f>IF($A610="","",IF(OR($B610="",$C610="",$D610="",$B610&lt;1300,$B610&gt;1500,$C610&lt;1,$C610&gt;12,$D610&lt;1,$D610&gt;31),"نامعتبر",RIGHT("0000"&amp;$B610,4)&amp;"/"&amp;RIGHT("00"&amp;$C610,2)&amp;"/"&amp;RIGHT("00"&amp;$D610,2)))</f>
        <v/>
      </c>
      <c r="F610">
        <f>IF(OR($E610="",$E610="نامعتبر"),"",IF(Sync!$Q607="","0000",IF(AND(ISNUMBER(Sync!$Q607),Sync!$Q607&gt;=0,Sync!$Q607&lt;1),RIGHT("00"&amp;HOUR(Sync!$Q607),2)&amp;RIGHT("00"&amp;MINUTE(Sync!$Q607),2),IFERROR(RIGHT("00"&amp;VALUE(LEFT(Sync!$Q607,FIND(":",Sync!$Q607)-1)),2)&amp;RIGHT("00"&amp;VALUE(MID(Sync!$Q607,FIND(":",Sync!$Q607)+1,2)),2),"0000"))))</f>
        <v/>
      </c>
      <c r="G610">
        <f>IF(OR($E610="",$E610="نامعتبر"),"",IF(Sync!$S607="","",Sync!$S607))</f>
        <v/>
      </c>
      <c r="H610">
        <f>IF(OR($E610="",$E610="نامعتبر"),"",IF(Sync!$R607="","",Sync!$R607))</f>
        <v/>
      </c>
      <c r="I610">
        <f>IF(OR($E610="",$E610="نامعتبر"),"",IF(Sync!$T607="","",Sync!$T607))</f>
        <v/>
      </c>
      <c r="J610">
        <f>IF(OR($E610="",$E610="نامعتبر"),"",IF(Sync!$U607="","",Sync!$U607))</f>
        <v/>
      </c>
      <c r="K610">
        <f>IF(OR($E610="",$E610="نامعتبر"),"",IF(Sync!$V607="","",IFERROR(INDEX(SubCodes,MATCH(Sync!$V607,SubTitles,0)),Sync!$V607)))</f>
        <v/>
      </c>
      <c r="L610">
        <f>IF(OR($E610="",$E610="نامعتبر"),"",IF(Sync!$W607="",0,Sync!$W607))</f>
        <v/>
      </c>
      <c r="M610">
        <f>IF(OR($E610="",$E610="نامعتبر"),"",IF(Sync!$X607="",0,Sync!$X607))</f>
        <v/>
      </c>
      <c r="N610">
        <f>IF(OR($E610="",$E610="نامعتبر"),"",IF(AND($J610="هزینه",$K610&lt;&gt;""),1,0))</f>
        <v/>
      </c>
      <c r="O610">
        <f>IF($N610=0,"",LEFT($E610,4)&amp;MID($E610,6,2)&amp;RIGHT($E610,2)&amp;$F610&amp;"|"&amp;"1"&amp;RIGHT("00000"&amp;602,5))</f>
        <v/>
      </c>
      <c r="P610">
        <f>IF($O610="","",COUNTIFS(ExpSub,$K610,ExpKey,"&lt;"&amp;$O610)+1)</f>
        <v/>
      </c>
      <c r="Q610">
        <f>IF($P610="","",$K610&amp;"|"&amp;RIGHT("000000"&amp;$P610,6))</f>
        <v/>
      </c>
    </row>
    <row r="611">
      <c r="A611">
        <f>IF(Sync!$P608="","",Sync!$P608)</f>
        <v/>
      </c>
      <c r="B611">
        <f>IF($A611="","",IF(ISNUMBER($A611),IF(AND($A611&gt;=10000101,$A611&lt;=99991231),INT($A611/10000),""),IFERROR(VALUE(TRIM(LEFT($A611,FIND("/",$A611)-1))),"")))</f>
        <v/>
      </c>
      <c r="C611">
        <f>IF(OR($A611="",$B611=""),"",IF(ISNUMBER($A611),INT(MOD($A611,10000)/100),IFERROR(VALUE(TRIM(LEFT(MID($A611,FIND("/",$A611)+1,20),FIND("/",MID($A611,FIND("/",$A611)+1,20))-1))),"")))</f>
        <v/>
      </c>
      <c r="D611">
        <f>IF(OR($A611="",$B611=""),"",IF(ISNUMBER($A611),MOD($A611,100),IFERROR(VALUE(TRIM(MID(MID($A611,FIND("/",$A611)+1,20),FIND("/",MID($A611,FIND("/",$A611)+1,20))+1,20))),"")))</f>
        <v/>
      </c>
      <c r="E611">
        <f>IF($A611="","",IF(OR($B611="",$C611="",$D611="",$B611&lt;1300,$B611&gt;1500,$C611&lt;1,$C611&gt;12,$D611&lt;1,$D611&gt;31),"نامعتبر",RIGHT("0000"&amp;$B611,4)&amp;"/"&amp;RIGHT("00"&amp;$C611,2)&amp;"/"&amp;RIGHT("00"&amp;$D611,2)))</f>
        <v/>
      </c>
      <c r="F611">
        <f>IF(OR($E611="",$E611="نامعتبر"),"",IF(Sync!$Q608="","0000",IF(AND(ISNUMBER(Sync!$Q608),Sync!$Q608&gt;=0,Sync!$Q608&lt;1),RIGHT("00"&amp;HOUR(Sync!$Q608),2)&amp;RIGHT("00"&amp;MINUTE(Sync!$Q608),2),IFERROR(RIGHT("00"&amp;VALUE(LEFT(Sync!$Q608,FIND(":",Sync!$Q608)-1)),2)&amp;RIGHT("00"&amp;VALUE(MID(Sync!$Q608,FIND(":",Sync!$Q608)+1,2)),2),"0000"))))</f>
        <v/>
      </c>
      <c r="G611">
        <f>IF(OR($E611="",$E611="نامعتبر"),"",IF(Sync!$S608="","",Sync!$S608))</f>
        <v/>
      </c>
      <c r="H611">
        <f>IF(OR($E611="",$E611="نامعتبر"),"",IF(Sync!$R608="","",Sync!$R608))</f>
        <v/>
      </c>
      <c r="I611">
        <f>IF(OR($E611="",$E611="نامعتبر"),"",IF(Sync!$T608="","",Sync!$T608))</f>
        <v/>
      </c>
      <c r="J611">
        <f>IF(OR($E611="",$E611="نامعتبر"),"",IF(Sync!$U608="","",Sync!$U608))</f>
        <v/>
      </c>
      <c r="K611">
        <f>IF(OR($E611="",$E611="نامعتبر"),"",IF(Sync!$V608="","",IFERROR(INDEX(SubCodes,MATCH(Sync!$V608,SubTitles,0)),Sync!$V608)))</f>
        <v/>
      </c>
      <c r="L611">
        <f>IF(OR($E611="",$E611="نامعتبر"),"",IF(Sync!$W608="",0,Sync!$W608))</f>
        <v/>
      </c>
      <c r="M611">
        <f>IF(OR($E611="",$E611="نامعتبر"),"",IF(Sync!$X608="",0,Sync!$X608))</f>
        <v/>
      </c>
      <c r="N611">
        <f>IF(OR($E611="",$E611="نامعتبر"),"",IF(AND($J611="هزینه",$K611&lt;&gt;""),1,0))</f>
        <v/>
      </c>
      <c r="O611">
        <f>IF($N611=0,"",LEFT($E611,4)&amp;MID($E611,6,2)&amp;RIGHT($E611,2)&amp;$F611&amp;"|"&amp;"1"&amp;RIGHT("00000"&amp;603,5))</f>
        <v/>
      </c>
      <c r="P611">
        <f>IF($O611="","",COUNTIFS(ExpSub,$K611,ExpKey,"&lt;"&amp;$O611)+1)</f>
        <v/>
      </c>
      <c r="Q611">
        <f>IF($P611="","",$K611&amp;"|"&amp;RIGHT("000000"&amp;$P611,6))</f>
        <v/>
      </c>
    </row>
    <row r="612">
      <c r="A612">
        <f>IF(Sync!$P609="","",Sync!$P609)</f>
        <v/>
      </c>
      <c r="B612">
        <f>IF($A612="","",IF(ISNUMBER($A612),IF(AND($A612&gt;=10000101,$A612&lt;=99991231),INT($A612/10000),""),IFERROR(VALUE(TRIM(LEFT($A612,FIND("/",$A612)-1))),"")))</f>
        <v/>
      </c>
      <c r="C612">
        <f>IF(OR($A612="",$B612=""),"",IF(ISNUMBER($A612),INT(MOD($A612,10000)/100),IFERROR(VALUE(TRIM(LEFT(MID($A612,FIND("/",$A612)+1,20),FIND("/",MID($A612,FIND("/",$A612)+1,20))-1))),"")))</f>
        <v/>
      </c>
      <c r="D612">
        <f>IF(OR($A612="",$B612=""),"",IF(ISNUMBER($A612),MOD($A612,100),IFERROR(VALUE(TRIM(MID(MID($A612,FIND("/",$A612)+1,20),FIND("/",MID($A612,FIND("/",$A612)+1,20))+1,20))),"")))</f>
        <v/>
      </c>
      <c r="E612">
        <f>IF($A612="","",IF(OR($B612="",$C612="",$D612="",$B612&lt;1300,$B612&gt;1500,$C612&lt;1,$C612&gt;12,$D612&lt;1,$D612&gt;31),"نامعتبر",RIGHT("0000"&amp;$B612,4)&amp;"/"&amp;RIGHT("00"&amp;$C612,2)&amp;"/"&amp;RIGHT("00"&amp;$D612,2)))</f>
        <v/>
      </c>
      <c r="F612">
        <f>IF(OR($E612="",$E612="نامعتبر"),"",IF(Sync!$Q609="","0000",IF(AND(ISNUMBER(Sync!$Q609),Sync!$Q609&gt;=0,Sync!$Q609&lt;1),RIGHT("00"&amp;HOUR(Sync!$Q609),2)&amp;RIGHT("00"&amp;MINUTE(Sync!$Q609),2),IFERROR(RIGHT("00"&amp;VALUE(LEFT(Sync!$Q609,FIND(":",Sync!$Q609)-1)),2)&amp;RIGHT("00"&amp;VALUE(MID(Sync!$Q609,FIND(":",Sync!$Q609)+1,2)),2),"0000"))))</f>
        <v/>
      </c>
      <c r="G612">
        <f>IF(OR($E612="",$E612="نامعتبر"),"",IF(Sync!$S609="","",Sync!$S609))</f>
        <v/>
      </c>
      <c r="H612">
        <f>IF(OR($E612="",$E612="نامعتبر"),"",IF(Sync!$R609="","",Sync!$R609))</f>
        <v/>
      </c>
      <c r="I612">
        <f>IF(OR($E612="",$E612="نامعتبر"),"",IF(Sync!$T609="","",Sync!$T609))</f>
        <v/>
      </c>
      <c r="J612">
        <f>IF(OR($E612="",$E612="نامعتبر"),"",IF(Sync!$U609="","",Sync!$U609))</f>
        <v/>
      </c>
      <c r="K612">
        <f>IF(OR($E612="",$E612="نامعتبر"),"",IF(Sync!$V609="","",IFERROR(INDEX(SubCodes,MATCH(Sync!$V609,SubTitles,0)),Sync!$V609)))</f>
        <v/>
      </c>
      <c r="L612">
        <f>IF(OR($E612="",$E612="نامعتبر"),"",IF(Sync!$W609="",0,Sync!$W609))</f>
        <v/>
      </c>
      <c r="M612">
        <f>IF(OR($E612="",$E612="نامعتبر"),"",IF(Sync!$X609="",0,Sync!$X609))</f>
        <v/>
      </c>
      <c r="N612">
        <f>IF(OR($E612="",$E612="نامعتبر"),"",IF(AND($J612="هزینه",$K612&lt;&gt;""),1,0))</f>
        <v/>
      </c>
      <c r="O612">
        <f>IF($N612=0,"",LEFT($E612,4)&amp;MID($E612,6,2)&amp;RIGHT($E612,2)&amp;$F612&amp;"|"&amp;"1"&amp;RIGHT("00000"&amp;604,5))</f>
        <v/>
      </c>
      <c r="P612">
        <f>IF($O612="","",COUNTIFS(ExpSub,$K612,ExpKey,"&lt;"&amp;$O612)+1)</f>
        <v/>
      </c>
      <c r="Q612">
        <f>IF($P612="","",$K612&amp;"|"&amp;RIGHT("000000"&amp;$P612,6))</f>
        <v/>
      </c>
    </row>
    <row r="613">
      <c r="A613">
        <f>IF(Sync!$P610="","",Sync!$P610)</f>
        <v/>
      </c>
      <c r="B613">
        <f>IF($A613="","",IF(ISNUMBER($A613),IF(AND($A613&gt;=10000101,$A613&lt;=99991231),INT($A613/10000),""),IFERROR(VALUE(TRIM(LEFT($A613,FIND("/",$A613)-1))),"")))</f>
        <v/>
      </c>
      <c r="C613">
        <f>IF(OR($A613="",$B613=""),"",IF(ISNUMBER($A613),INT(MOD($A613,10000)/100),IFERROR(VALUE(TRIM(LEFT(MID($A613,FIND("/",$A613)+1,20),FIND("/",MID($A613,FIND("/",$A613)+1,20))-1))),"")))</f>
        <v/>
      </c>
      <c r="D613">
        <f>IF(OR($A613="",$B613=""),"",IF(ISNUMBER($A613),MOD($A613,100),IFERROR(VALUE(TRIM(MID(MID($A613,FIND("/",$A613)+1,20),FIND("/",MID($A613,FIND("/",$A613)+1,20))+1,20))),"")))</f>
        <v/>
      </c>
      <c r="E613">
        <f>IF($A613="","",IF(OR($B613="",$C613="",$D613="",$B613&lt;1300,$B613&gt;1500,$C613&lt;1,$C613&gt;12,$D613&lt;1,$D613&gt;31),"نامعتبر",RIGHT("0000"&amp;$B613,4)&amp;"/"&amp;RIGHT("00"&amp;$C613,2)&amp;"/"&amp;RIGHT("00"&amp;$D613,2)))</f>
        <v/>
      </c>
      <c r="F613">
        <f>IF(OR($E613="",$E613="نامعتبر"),"",IF(Sync!$Q610="","0000",IF(AND(ISNUMBER(Sync!$Q610),Sync!$Q610&gt;=0,Sync!$Q610&lt;1),RIGHT("00"&amp;HOUR(Sync!$Q610),2)&amp;RIGHT("00"&amp;MINUTE(Sync!$Q610),2),IFERROR(RIGHT("00"&amp;VALUE(LEFT(Sync!$Q610,FIND(":",Sync!$Q610)-1)),2)&amp;RIGHT("00"&amp;VALUE(MID(Sync!$Q610,FIND(":",Sync!$Q610)+1,2)),2),"0000"))))</f>
        <v/>
      </c>
      <c r="G613">
        <f>IF(OR($E613="",$E613="نامعتبر"),"",IF(Sync!$S610="","",Sync!$S610))</f>
        <v/>
      </c>
      <c r="H613">
        <f>IF(OR($E613="",$E613="نامعتبر"),"",IF(Sync!$R610="","",Sync!$R610))</f>
        <v/>
      </c>
      <c r="I613">
        <f>IF(OR($E613="",$E613="نامعتبر"),"",IF(Sync!$T610="","",Sync!$T610))</f>
        <v/>
      </c>
      <c r="J613">
        <f>IF(OR($E613="",$E613="نامعتبر"),"",IF(Sync!$U610="","",Sync!$U610))</f>
        <v/>
      </c>
      <c r="K613">
        <f>IF(OR($E613="",$E613="نامعتبر"),"",IF(Sync!$V610="","",IFERROR(INDEX(SubCodes,MATCH(Sync!$V610,SubTitles,0)),Sync!$V610)))</f>
        <v/>
      </c>
      <c r="L613">
        <f>IF(OR($E613="",$E613="نامعتبر"),"",IF(Sync!$W610="",0,Sync!$W610))</f>
        <v/>
      </c>
      <c r="M613">
        <f>IF(OR($E613="",$E613="نامعتبر"),"",IF(Sync!$X610="",0,Sync!$X610))</f>
        <v/>
      </c>
      <c r="N613">
        <f>IF(OR($E613="",$E613="نامعتبر"),"",IF(AND($J613="هزینه",$K613&lt;&gt;""),1,0))</f>
        <v/>
      </c>
      <c r="O613">
        <f>IF($N613=0,"",LEFT($E613,4)&amp;MID($E613,6,2)&amp;RIGHT($E613,2)&amp;$F613&amp;"|"&amp;"1"&amp;RIGHT("00000"&amp;605,5))</f>
        <v/>
      </c>
      <c r="P613">
        <f>IF($O613="","",COUNTIFS(ExpSub,$K613,ExpKey,"&lt;"&amp;$O613)+1)</f>
        <v/>
      </c>
      <c r="Q613">
        <f>IF($P613="","",$K613&amp;"|"&amp;RIGHT("000000"&amp;$P613,6))</f>
        <v/>
      </c>
    </row>
    <row r="614">
      <c r="A614">
        <f>IF(Sync!$P611="","",Sync!$P611)</f>
        <v/>
      </c>
      <c r="B614">
        <f>IF($A614="","",IF(ISNUMBER($A614),IF(AND($A614&gt;=10000101,$A614&lt;=99991231),INT($A614/10000),""),IFERROR(VALUE(TRIM(LEFT($A614,FIND("/",$A614)-1))),"")))</f>
        <v/>
      </c>
      <c r="C614">
        <f>IF(OR($A614="",$B614=""),"",IF(ISNUMBER($A614),INT(MOD($A614,10000)/100),IFERROR(VALUE(TRIM(LEFT(MID($A614,FIND("/",$A614)+1,20),FIND("/",MID($A614,FIND("/",$A614)+1,20))-1))),"")))</f>
        <v/>
      </c>
      <c r="D614">
        <f>IF(OR($A614="",$B614=""),"",IF(ISNUMBER($A614),MOD($A614,100),IFERROR(VALUE(TRIM(MID(MID($A614,FIND("/",$A614)+1,20),FIND("/",MID($A614,FIND("/",$A614)+1,20))+1,20))),"")))</f>
        <v/>
      </c>
      <c r="E614">
        <f>IF($A614="","",IF(OR($B614="",$C614="",$D614="",$B614&lt;1300,$B614&gt;1500,$C614&lt;1,$C614&gt;12,$D614&lt;1,$D614&gt;31),"نامعتبر",RIGHT("0000"&amp;$B614,4)&amp;"/"&amp;RIGHT("00"&amp;$C614,2)&amp;"/"&amp;RIGHT("00"&amp;$D614,2)))</f>
        <v/>
      </c>
      <c r="F614">
        <f>IF(OR($E614="",$E614="نامعتبر"),"",IF(Sync!$Q611="","0000",IF(AND(ISNUMBER(Sync!$Q611),Sync!$Q611&gt;=0,Sync!$Q611&lt;1),RIGHT("00"&amp;HOUR(Sync!$Q611),2)&amp;RIGHT("00"&amp;MINUTE(Sync!$Q611),2),IFERROR(RIGHT("00"&amp;VALUE(LEFT(Sync!$Q611,FIND(":",Sync!$Q611)-1)),2)&amp;RIGHT("00"&amp;VALUE(MID(Sync!$Q611,FIND(":",Sync!$Q611)+1,2)),2),"0000"))))</f>
        <v/>
      </c>
      <c r="G614">
        <f>IF(OR($E614="",$E614="نامعتبر"),"",IF(Sync!$S611="","",Sync!$S611))</f>
        <v/>
      </c>
      <c r="H614">
        <f>IF(OR($E614="",$E614="نامعتبر"),"",IF(Sync!$R611="","",Sync!$R611))</f>
        <v/>
      </c>
      <c r="I614">
        <f>IF(OR($E614="",$E614="نامعتبر"),"",IF(Sync!$T611="","",Sync!$T611))</f>
        <v/>
      </c>
      <c r="J614">
        <f>IF(OR($E614="",$E614="نامعتبر"),"",IF(Sync!$U611="","",Sync!$U611))</f>
        <v/>
      </c>
      <c r="K614">
        <f>IF(OR($E614="",$E614="نامعتبر"),"",IF(Sync!$V611="","",IFERROR(INDEX(SubCodes,MATCH(Sync!$V611,SubTitles,0)),Sync!$V611)))</f>
        <v/>
      </c>
      <c r="L614">
        <f>IF(OR($E614="",$E614="نامعتبر"),"",IF(Sync!$W611="",0,Sync!$W611))</f>
        <v/>
      </c>
      <c r="M614">
        <f>IF(OR($E614="",$E614="نامعتبر"),"",IF(Sync!$X611="",0,Sync!$X611))</f>
        <v/>
      </c>
      <c r="N614">
        <f>IF(OR($E614="",$E614="نامعتبر"),"",IF(AND($J614="هزینه",$K614&lt;&gt;""),1,0))</f>
        <v/>
      </c>
      <c r="O614">
        <f>IF($N614=0,"",LEFT($E614,4)&amp;MID($E614,6,2)&amp;RIGHT($E614,2)&amp;$F614&amp;"|"&amp;"1"&amp;RIGHT("00000"&amp;606,5))</f>
        <v/>
      </c>
      <c r="P614">
        <f>IF($O614="","",COUNTIFS(ExpSub,$K614,ExpKey,"&lt;"&amp;$O614)+1)</f>
        <v/>
      </c>
      <c r="Q614">
        <f>IF($P614="","",$K614&amp;"|"&amp;RIGHT("000000"&amp;$P614,6))</f>
        <v/>
      </c>
    </row>
    <row r="615">
      <c r="A615">
        <f>IF(Sync!$P612="","",Sync!$P612)</f>
        <v/>
      </c>
      <c r="B615">
        <f>IF($A615="","",IF(ISNUMBER($A615),IF(AND($A615&gt;=10000101,$A615&lt;=99991231),INT($A615/10000),""),IFERROR(VALUE(TRIM(LEFT($A615,FIND("/",$A615)-1))),"")))</f>
        <v/>
      </c>
      <c r="C615">
        <f>IF(OR($A615="",$B615=""),"",IF(ISNUMBER($A615),INT(MOD($A615,10000)/100),IFERROR(VALUE(TRIM(LEFT(MID($A615,FIND("/",$A615)+1,20),FIND("/",MID($A615,FIND("/",$A615)+1,20))-1))),"")))</f>
        <v/>
      </c>
      <c r="D615">
        <f>IF(OR($A615="",$B615=""),"",IF(ISNUMBER($A615),MOD($A615,100),IFERROR(VALUE(TRIM(MID(MID($A615,FIND("/",$A615)+1,20),FIND("/",MID($A615,FIND("/",$A615)+1,20))+1,20))),"")))</f>
        <v/>
      </c>
      <c r="E615">
        <f>IF($A615="","",IF(OR($B615="",$C615="",$D615="",$B615&lt;1300,$B615&gt;1500,$C615&lt;1,$C615&gt;12,$D615&lt;1,$D615&gt;31),"نامعتبر",RIGHT("0000"&amp;$B615,4)&amp;"/"&amp;RIGHT("00"&amp;$C615,2)&amp;"/"&amp;RIGHT("00"&amp;$D615,2)))</f>
        <v/>
      </c>
      <c r="F615">
        <f>IF(OR($E615="",$E615="نامعتبر"),"",IF(Sync!$Q612="","0000",IF(AND(ISNUMBER(Sync!$Q612),Sync!$Q612&gt;=0,Sync!$Q612&lt;1),RIGHT("00"&amp;HOUR(Sync!$Q612),2)&amp;RIGHT("00"&amp;MINUTE(Sync!$Q612),2),IFERROR(RIGHT("00"&amp;VALUE(LEFT(Sync!$Q612,FIND(":",Sync!$Q612)-1)),2)&amp;RIGHT("00"&amp;VALUE(MID(Sync!$Q612,FIND(":",Sync!$Q612)+1,2)),2),"0000"))))</f>
        <v/>
      </c>
      <c r="G615">
        <f>IF(OR($E615="",$E615="نامعتبر"),"",IF(Sync!$S612="","",Sync!$S612))</f>
        <v/>
      </c>
      <c r="H615">
        <f>IF(OR($E615="",$E615="نامعتبر"),"",IF(Sync!$R612="","",Sync!$R612))</f>
        <v/>
      </c>
      <c r="I615">
        <f>IF(OR($E615="",$E615="نامعتبر"),"",IF(Sync!$T612="","",Sync!$T612))</f>
        <v/>
      </c>
      <c r="J615">
        <f>IF(OR($E615="",$E615="نامعتبر"),"",IF(Sync!$U612="","",Sync!$U612))</f>
        <v/>
      </c>
      <c r="K615">
        <f>IF(OR($E615="",$E615="نامعتبر"),"",IF(Sync!$V612="","",IFERROR(INDEX(SubCodes,MATCH(Sync!$V612,SubTitles,0)),Sync!$V612)))</f>
        <v/>
      </c>
      <c r="L615">
        <f>IF(OR($E615="",$E615="نامعتبر"),"",IF(Sync!$W612="",0,Sync!$W612))</f>
        <v/>
      </c>
      <c r="M615">
        <f>IF(OR($E615="",$E615="نامعتبر"),"",IF(Sync!$X612="",0,Sync!$X612))</f>
        <v/>
      </c>
      <c r="N615">
        <f>IF(OR($E615="",$E615="نامعتبر"),"",IF(AND($J615="هزینه",$K615&lt;&gt;""),1,0))</f>
        <v/>
      </c>
      <c r="O615">
        <f>IF($N615=0,"",LEFT($E615,4)&amp;MID($E615,6,2)&amp;RIGHT($E615,2)&amp;$F615&amp;"|"&amp;"1"&amp;RIGHT("00000"&amp;607,5))</f>
        <v/>
      </c>
      <c r="P615">
        <f>IF($O615="","",COUNTIFS(ExpSub,$K615,ExpKey,"&lt;"&amp;$O615)+1)</f>
        <v/>
      </c>
      <c r="Q615">
        <f>IF($P615="","",$K615&amp;"|"&amp;RIGHT("000000"&amp;$P615,6))</f>
        <v/>
      </c>
    </row>
    <row r="616">
      <c r="A616">
        <f>IF(Sync!$P613="","",Sync!$P613)</f>
        <v/>
      </c>
      <c r="B616">
        <f>IF($A616="","",IF(ISNUMBER($A616),IF(AND($A616&gt;=10000101,$A616&lt;=99991231),INT($A616/10000),""),IFERROR(VALUE(TRIM(LEFT($A616,FIND("/",$A616)-1))),"")))</f>
        <v/>
      </c>
      <c r="C616">
        <f>IF(OR($A616="",$B616=""),"",IF(ISNUMBER($A616),INT(MOD($A616,10000)/100),IFERROR(VALUE(TRIM(LEFT(MID($A616,FIND("/",$A616)+1,20),FIND("/",MID($A616,FIND("/",$A616)+1,20))-1))),"")))</f>
        <v/>
      </c>
      <c r="D616">
        <f>IF(OR($A616="",$B616=""),"",IF(ISNUMBER($A616),MOD($A616,100),IFERROR(VALUE(TRIM(MID(MID($A616,FIND("/",$A616)+1,20),FIND("/",MID($A616,FIND("/",$A616)+1,20))+1,20))),"")))</f>
        <v/>
      </c>
      <c r="E616">
        <f>IF($A616="","",IF(OR($B616="",$C616="",$D616="",$B616&lt;1300,$B616&gt;1500,$C616&lt;1,$C616&gt;12,$D616&lt;1,$D616&gt;31),"نامعتبر",RIGHT("0000"&amp;$B616,4)&amp;"/"&amp;RIGHT("00"&amp;$C616,2)&amp;"/"&amp;RIGHT("00"&amp;$D616,2)))</f>
        <v/>
      </c>
      <c r="F616">
        <f>IF(OR($E616="",$E616="نامعتبر"),"",IF(Sync!$Q613="","0000",IF(AND(ISNUMBER(Sync!$Q613),Sync!$Q613&gt;=0,Sync!$Q613&lt;1),RIGHT("00"&amp;HOUR(Sync!$Q613),2)&amp;RIGHT("00"&amp;MINUTE(Sync!$Q613),2),IFERROR(RIGHT("00"&amp;VALUE(LEFT(Sync!$Q613,FIND(":",Sync!$Q613)-1)),2)&amp;RIGHT("00"&amp;VALUE(MID(Sync!$Q613,FIND(":",Sync!$Q613)+1,2)),2),"0000"))))</f>
        <v/>
      </c>
      <c r="G616">
        <f>IF(OR($E616="",$E616="نامعتبر"),"",IF(Sync!$S613="","",Sync!$S613))</f>
        <v/>
      </c>
      <c r="H616">
        <f>IF(OR($E616="",$E616="نامعتبر"),"",IF(Sync!$R613="","",Sync!$R613))</f>
        <v/>
      </c>
      <c r="I616">
        <f>IF(OR($E616="",$E616="نامعتبر"),"",IF(Sync!$T613="","",Sync!$T613))</f>
        <v/>
      </c>
      <c r="J616">
        <f>IF(OR($E616="",$E616="نامعتبر"),"",IF(Sync!$U613="","",Sync!$U613))</f>
        <v/>
      </c>
      <c r="K616">
        <f>IF(OR($E616="",$E616="نامعتبر"),"",IF(Sync!$V613="","",IFERROR(INDEX(SubCodes,MATCH(Sync!$V613,SubTitles,0)),Sync!$V613)))</f>
        <v/>
      </c>
      <c r="L616">
        <f>IF(OR($E616="",$E616="نامعتبر"),"",IF(Sync!$W613="",0,Sync!$W613))</f>
        <v/>
      </c>
      <c r="M616">
        <f>IF(OR($E616="",$E616="نامعتبر"),"",IF(Sync!$X613="",0,Sync!$X613))</f>
        <v/>
      </c>
      <c r="N616">
        <f>IF(OR($E616="",$E616="نامعتبر"),"",IF(AND($J616="هزینه",$K616&lt;&gt;""),1,0))</f>
        <v/>
      </c>
      <c r="O616">
        <f>IF($N616=0,"",LEFT($E616,4)&amp;MID($E616,6,2)&amp;RIGHT($E616,2)&amp;$F616&amp;"|"&amp;"1"&amp;RIGHT("00000"&amp;608,5))</f>
        <v/>
      </c>
      <c r="P616">
        <f>IF($O616="","",COUNTIFS(ExpSub,$K616,ExpKey,"&lt;"&amp;$O616)+1)</f>
        <v/>
      </c>
      <c r="Q616">
        <f>IF($P616="","",$K616&amp;"|"&amp;RIGHT("000000"&amp;$P616,6))</f>
        <v/>
      </c>
    </row>
    <row r="617">
      <c r="A617">
        <f>IF(Sync!$P614="","",Sync!$P614)</f>
        <v/>
      </c>
      <c r="B617">
        <f>IF($A617="","",IF(ISNUMBER($A617),IF(AND($A617&gt;=10000101,$A617&lt;=99991231),INT($A617/10000),""),IFERROR(VALUE(TRIM(LEFT($A617,FIND("/",$A617)-1))),"")))</f>
        <v/>
      </c>
      <c r="C617">
        <f>IF(OR($A617="",$B617=""),"",IF(ISNUMBER($A617),INT(MOD($A617,10000)/100),IFERROR(VALUE(TRIM(LEFT(MID($A617,FIND("/",$A617)+1,20),FIND("/",MID($A617,FIND("/",$A617)+1,20))-1))),"")))</f>
        <v/>
      </c>
      <c r="D617">
        <f>IF(OR($A617="",$B617=""),"",IF(ISNUMBER($A617),MOD($A617,100),IFERROR(VALUE(TRIM(MID(MID($A617,FIND("/",$A617)+1,20),FIND("/",MID($A617,FIND("/",$A617)+1,20))+1,20))),"")))</f>
        <v/>
      </c>
      <c r="E617">
        <f>IF($A617="","",IF(OR($B617="",$C617="",$D617="",$B617&lt;1300,$B617&gt;1500,$C617&lt;1,$C617&gt;12,$D617&lt;1,$D617&gt;31),"نامعتبر",RIGHT("0000"&amp;$B617,4)&amp;"/"&amp;RIGHT("00"&amp;$C617,2)&amp;"/"&amp;RIGHT("00"&amp;$D617,2)))</f>
        <v/>
      </c>
      <c r="F617">
        <f>IF(OR($E617="",$E617="نامعتبر"),"",IF(Sync!$Q614="","0000",IF(AND(ISNUMBER(Sync!$Q614),Sync!$Q614&gt;=0,Sync!$Q614&lt;1),RIGHT("00"&amp;HOUR(Sync!$Q614),2)&amp;RIGHT("00"&amp;MINUTE(Sync!$Q614),2),IFERROR(RIGHT("00"&amp;VALUE(LEFT(Sync!$Q614,FIND(":",Sync!$Q614)-1)),2)&amp;RIGHT("00"&amp;VALUE(MID(Sync!$Q614,FIND(":",Sync!$Q614)+1,2)),2),"0000"))))</f>
        <v/>
      </c>
      <c r="G617">
        <f>IF(OR($E617="",$E617="نامعتبر"),"",IF(Sync!$S614="","",Sync!$S614))</f>
        <v/>
      </c>
      <c r="H617">
        <f>IF(OR($E617="",$E617="نامعتبر"),"",IF(Sync!$R614="","",Sync!$R614))</f>
        <v/>
      </c>
      <c r="I617">
        <f>IF(OR($E617="",$E617="نامعتبر"),"",IF(Sync!$T614="","",Sync!$T614))</f>
        <v/>
      </c>
      <c r="J617">
        <f>IF(OR($E617="",$E617="نامعتبر"),"",IF(Sync!$U614="","",Sync!$U614))</f>
        <v/>
      </c>
      <c r="K617">
        <f>IF(OR($E617="",$E617="نامعتبر"),"",IF(Sync!$V614="","",IFERROR(INDEX(SubCodes,MATCH(Sync!$V614,SubTitles,0)),Sync!$V614)))</f>
        <v/>
      </c>
      <c r="L617">
        <f>IF(OR($E617="",$E617="نامعتبر"),"",IF(Sync!$W614="",0,Sync!$W614))</f>
        <v/>
      </c>
      <c r="M617">
        <f>IF(OR($E617="",$E617="نامعتبر"),"",IF(Sync!$X614="",0,Sync!$X614))</f>
        <v/>
      </c>
      <c r="N617">
        <f>IF(OR($E617="",$E617="نامعتبر"),"",IF(AND($J617="هزینه",$K617&lt;&gt;""),1,0))</f>
        <v/>
      </c>
      <c r="O617">
        <f>IF($N617=0,"",LEFT($E617,4)&amp;MID($E617,6,2)&amp;RIGHT($E617,2)&amp;$F617&amp;"|"&amp;"1"&amp;RIGHT("00000"&amp;609,5))</f>
        <v/>
      </c>
      <c r="P617">
        <f>IF($O617="","",COUNTIFS(ExpSub,$K617,ExpKey,"&lt;"&amp;$O617)+1)</f>
        <v/>
      </c>
      <c r="Q617">
        <f>IF($P617="","",$K617&amp;"|"&amp;RIGHT("000000"&amp;$P617,6))</f>
        <v/>
      </c>
    </row>
    <row r="618">
      <c r="A618">
        <f>IF(Sync!$P615="","",Sync!$P615)</f>
        <v/>
      </c>
      <c r="B618">
        <f>IF($A618="","",IF(ISNUMBER($A618),IF(AND($A618&gt;=10000101,$A618&lt;=99991231),INT($A618/10000),""),IFERROR(VALUE(TRIM(LEFT($A618,FIND("/",$A618)-1))),"")))</f>
        <v/>
      </c>
      <c r="C618">
        <f>IF(OR($A618="",$B618=""),"",IF(ISNUMBER($A618),INT(MOD($A618,10000)/100),IFERROR(VALUE(TRIM(LEFT(MID($A618,FIND("/",$A618)+1,20),FIND("/",MID($A618,FIND("/",$A618)+1,20))-1))),"")))</f>
        <v/>
      </c>
      <c r="D618">
        <f>IF(OR($A618="",$B618=""),"",IF(ISNUMBER($A618),MOD($A618,100),IFERROR(VALUE(TRIM(MID(MID($A618,FIND("/",$A618)+1,20),FIND("/",MID($A618,FIND("/",$A618)+1,20))+1,20))),"")))</f>
        <v/>
      </c>
      <c r="E618">
        <f>IF($A618="","",IF(OR($B618="",$C618="",$D618="",$B618&lt;1300,$B618&gt;1500,$C618&lt;1,$C618&gt;12,$D618&lt;1,$D618&gt;31),"نامعتبر",RIGHT("0000"&amp;$B618,4)&amp;"/"&amp;RIGHT("00"&amp;$C618,2)&amp;"/"&amp;RIGHT("00"&amp;$D618,2)))</f>
        <v/>
      </c>
      <c r="F618">
        <f>IF(OR($E618="",$E618="نامعتبر"),"",IF(Sync!$Q615="","0000",IF(AND(ISNUMBER(Sync!$Q615),Sync!$Q615&gt;=0,Sync!$Q615&lt;1),RIGHT("00"&amp;HOUR(Sync!$Q615),2)&amp;RIGHT("00"&amp;MINUTE(Sync!$Q615),2),IFERROR(RIGHT("00"&amp;VALUE(LEFT(Sync!$Q615,FIND(":",Sync!$Q615)-1)),2)&amp;RIGHT("00"&amp;VALUE(MID(Sync!$Q615,FIND(":",Sync!$Q615)+1,2)),2),"0000"))))</f>
        <v/>
      </c>
      <c r="G618">
        <f>IF(OR($E618="",$E618="نامعتبر"),"",IF(Sync!$S615="","",Sync!$S615))</f>
        <v/>
      </c>
      <c r="H618">
        <f>IF(OR($E618="",$E618="نامعتبر"),"",IF(Sync!$R615="","",Sync!$R615))</f>
        <v/>
      </c>
      <c r="I618">
        <f>IF(OR($E618="",$E618="نامعتبر"),"",IF(Sync!$T615="","",Sync!$T615))</f>
        <v/>
      </c>
      <c r="J618">
        <f>IF(OR($E618="",$E618="نامعتبر"),"",IF(Sync!$U615="","",Sync!$U615))</f>
        <v/>
      </c>
      <c r="K618">
        <f>IF(OR($E618="",$E618="نامعتبر"),"",IF(Sync!$V615="","",IFERROR(INDEX(SubCodes,MATCH(Sync!$V615,SubTitles,0)),Sync!$V615)))</f>
        <v/>
      </c>
      <c r="L618">
        <f>IF(OR($E618="",$E618="نامعتبر"),"",IF(Sync!$W615="",0,Sync!$W615))</f>
        <v/>
      </c>
      <c r="M618">
        <f>IF(OR($E618="",$E618="نامعتبر"),"",IF(Sync!$X615="",0,Sync!$X615))</f>
        <v/>
      </c>
      <c r="N618">
        <f>IF(OR($E618="",$E618="نامعتبر"),"",IF(AND($J618="هزینه",$K618&lt;&gt;""),1,0))</f>
        <v/>
      </c>
      <c r="O618">
        <f>IF($N618=0,"",LEFT($E618,4)&amp;MID($E618,6,2)&amp;RIGHT($E618,2)&amp;$F618&amp;"|"&amp;"1"&amp;RIGHT("00000"&amp;610,5))</f>
        <v/>
      </c>
      <c r="P618">
        <f>IF($O618="","",COUNTIFS(ExpSub,$K618,ExpKey,"&lt;"&amp;$O618)+1)</f>
        <v/>
      </c>
      <c r="Q618">
        <f>IF($P618="","",$K618&amp;"|"&amp;RIGHT("000000"&amp;$P618,6))</f>
        <v/>
      </c>
    </row>
    <row r="619">
      <c r="A619">
        <f>IF(Sync!$P616="","",Sync!$P616)</f>
        <v/>
      </c>
      <c r="B619">
        <f>IF($A619="","",IF(ISNUMBER($A619),IF(AND($A619&gt;=10000101,$A619&lt;=99991231),INT($A619/10000),""),IFERROR(VALUE(TRIM(LEFT($A619,FIND("/",$A619)-1))),"")))</f>
        <v/>
      </c>
      <c r="C619">
        <f>IF(OR($A619="",$B619=""),"",IF(ISNUMBER($A619),INT(MOD($A619,10000)/100),IFERROR(VALUE(TRIM(LEFT(MID($A619,FIND("/",$A619)+1,20),FIND("/",MID($A619,FIND("/",$A619)+1,20))-1))),"")))</f>
        <v/>
      </c>
      <c r="D619">
        <f>IF(OR($A619="",$B619=""),"",IF(ISNUMBER($A619),MOD($A619,100),IFERROR(VALUE(TRIM(MID(MID($A619,FIND("/",$A619)+1,20),FIND("/",MID($A619,FIND("/",$A619)+1,20))+1,20))),"")))</f>
        <v/>
      </c>
      <c r="E619">
        <f>IF($A619="","",IF(OR($B619="",$C619="",$D619="",$B619&lt;1300,$B619&gt;1500,$C619&lt;1,$C619&gt;12,$D619&lt;1,$D619&gt;31),"نامعتبر",RIGHT("0000"&amp;$B619,4)&amp;"/"&amp;RIGHT("00"&amp;$C619,2)&amp;"/"&amp;RIGHT("00"&amp;$D619,2)))</f>
        <v/>
      </c>
      <c r="F619">
        <f>IF(OR($E619="",$E619="نامعتبر"),"",IF(Sync!$Q616="","0000",IF(AND(ISNUMBER(Sync!$Q616),Sync!$Q616&gt;=0,Sync!$Q616&lt;1),RIGHT("00"&amp;HOUR(Sync!$Q616),2)&amp;RIGHT("00"&amp;MINUTE(Sync!$Q616),2),IFERROR(RIGHT("00"&amp;VALUE(LEFT(Sync!$Q616,FIND(":",Sync!$Q616)-1)),2)&amp;RIGHT("00"&amp;VALUE(MID(Sync!$Q616,FIND(":",Sync!$Q616)+1,2)),2),"0000"))))</f>
        <v/>
      </c>
      <c r="G619">
        <f>IF(OR($E619="",$E619="نامعتبر"),"",IF(Sync!$S616="","",Sync!$S616))</f>
        <v/>
      </c>
      <c r="H619">
        <f>IF(OR($E619="",$E619="نامعتبر"),"",IF(Sync!$R616="","",Sync!$R616))</f>
        <v/>
      </c>
      <c r="I619">
        <f>IF(OR($E619="",$E619="نامعتبر"),"",IF(Sync!$T616="","",Sync!$T616))</f>
        <v/>
      </c>
      <c r="J619">
        <f>IF(OR($E619="",$E619="نامعتبر"),"",IF(Sync!$U616="","",Sync!$U616))</f>
        <v/>
      </c>
      <c r="K619">
        <f>IF(OR($E619="",$E619="نامعتبر"),"",IF(Sync!$V616="","",IFERROR(INDEX(SubCodes,MATCH(Sync!$V616,SubTitles,0)),Sync!$V616)))</f>
        <v/>
      </c>
      <c r="L619">
        <f>IF(OR($E619="",$E619="نامعتبر"),"",IF(Sync!$W616="",0,Sync!$W616))</f>
        <v/>
      </c>
      <c r="M619">
        <f>IF(OR($E619="",$E619="نامعتبر"),"",IF(Sync!$X616="",0,Sync!$X616))</f>
        <v/>
      </c>
      <c r="N619">
        <f>IF(OR($E619="",$E619="نامعتبر"),"",IF(AND($J619="هزینه",$K619&lt;&gt;""),1,0))</f>
        <v/>
      </c>
      <c r="O619">
        <f>IF($N619=0,"",LEFT($E619,4)&amp;MID($E619,6,2)&amp;RIGHT($E619,2)&amp;$F619&amp;"|"&amp;"1"&amp;RIGHT("00000"&amp;611,5))</f>
        <v/>
      </c>
      <c r="P619">
        <f>IF($O619="","",COUNTIFS(ExpSub,$K619,ExpKey,"&lt;"&amp;$O619)+1)</f>
        <v/>
      </c>
      <c r="Q619">
        <f>IF($P619="","",$K619&amp;"|"&amp;RIGHT("000000"&amp;$P619,6))</f>
        <v/>
      </c>
    </row>
    <row r="620">
      <c r="A620">
        <f>IF(Sync!$P617="","",Sync!$P617)</f>
        <v/>
      </c>
      <c r="B620">
        <f>IF($A620="","",IF(ISNUMBER($A620),IF(AND($A620&gt;=10000101,$A620&lt;=99991231),INT($A620/10000),""),IFERROR(VALUE(TRIM(LEFT($A620,FIND("/",$A620)-1))),"")))</f>
        <v/>
      </c>
      <c r="C620">
        <f>IF(OR($A620="",$B620=""),"",IF(ISNUMBER($A620),INT(MOD($A620,10000)/100),IFERROR(VALUE(TRIM(LEFT(MID($A620,FIND("/",$A620)+1,20),FIND("/",MID($A620,FIND("/",$A620)+1,20))-1))),"")))</f>
        <v/>
      </c>
      <c r="D620">
        <f>IF(OR($A620="",$B620=""),"",IF(ISNUMBER($A620),MOD($A620,100),IFERROR(VALUE(TRIM(MID(MID($A620,FIND("/",$A620)+1,20),FIND("/",MID($A620,FIND("/",$A620)+1,20))+1,20))),"")))</f>
        <v/>
      </c>
      <c r="E620">
        <f>IF($A620="","",IF(OR($B620="",$C620="",$D620="",$B620&lt;1300,$B620&gt;1500,$C620&lt;1,$C620&gt;12,$D620&lt;1,$D620&gt;31),"نامعتبر",RIGHT("0000"&amp;$B620,4)&amp;"/"&amp;RIGHT("00"&amp;$C620,2)&amp;"/"&amp;RIGHT("00"&amp;$D620,2)))</f>
        <v/>
      </c>
      <c r="F620">
        <f>IF(OR($E620="",$E620="نامعتبر"),"",IF(Sync!$Q617="","0000",IF(AND(ISNUMBER(Sync!$Q617),Sync!$Q617&gt;=0,Sync!$Q617&lt;1),RIGHT("00"&amp;HOUR(Sync!$Q617),2)&amp;RIGHT("00"&amp;MINUTE(Sync!$Q617),2),IFERROR(RIGHT("00"&amp;VALUE(LEFT(Sync!$Q617,FIND(":",Sync!$Q617)-1)),2)&amp;RIGHT("00"&amp;VALUE(MID(Sync!$Q617,FIND(":",Sync!$Q617)+1,2)),2),"0000"))))</f>
        <v/>
      </c>
      <c r="G620">
        <f>IF(OR($E620="",$E620="نامعتبر"),"",IF(Sync!$S617="","",Sync!$S617))</f>
        <v/>
      </c>
      <c r="H620">
        <f>IF(OR($E620="",$E620="نامعتبر"),"",IF(Sync!$R617="","",Sync!$R617))</f>
        <v/>
      </c>
      <c r="I620">
        <f>IF(OR($E620="",$E620="نامعتبر"),"",IF(Sync!$T617="","",Sync!$T617))</f>
        <v/>
      </c>
      <c r="J620">
        <f>IF(OR($E620="",$E620="نامعتبر"),"",IF(Sync!$U617="","",Sync!$U617))</f>
        <v/>
      </c>
      <c r="K620">
        <f>IF(OR($E620="",$E620="نامعتبر"),"",IF(Sync!$V617="","",IFERROR(INDEX(SubCodes,MATCH(Sync!$V617,SubTitles,0)),Sync!$V617)))</f>
        <v/>
      </c>
      <c r="L620">
        <f>IF(OR($E620="",$E620="نامعتبر"),"",IF(Sync!$W617="",0,Sync!$W617))</f>
        <v/>
      </c>
      <c r="M620">
        <f>IF(OR($E620="",$E620="نامعتبر"),"",IF(Sync!$X617="",0,Sync!$X617))</f>
        <v/>
      </c>
      <c r="N620">
        <f>IF(OR($E620="",$E620="نامعتبر"),"",IF(AND($J620="هزینه",$K620&lt;&gt;""),1,0))</f>
        <v/>
      </c>
      <c r="O620">
        <f>IF($N620=0,"",LEFT($E620,4)&amp;MID($E620,6,2)&amp;RIGHT($E620,2)&amp;$F620&amp;"|"&amp;"1"&amp;RIGHT("00000"&amp;612,5))</f>
        <v/>
      </c>
      <c r="P620">
        <f>IF($O620="","",COUNTIFS(ExpSub,$K620,ExpKey,"&lt;"&amp;$O620)+1)</f>
        <v/>
      </c>
      <c r="Q620">
        <f>IF($P620="","",$K620&amp;"|"&amp;RIGHT("000000"&amp;$P620,6))</f>
        <v/>
      </c>
    </row>
    <row r="621">
      <c r="A621">
        <f>IF(Sync!$P618="","",Sync!$P618)</f>
        <v/>
      </c>
      <c r="B621">
        <f>IF($A621="","",IF(ISNUMBER($A621),IF(AND($A621&gt;=10000101,$A621&lt;=99991231),INT($A621/10000),""),IFERROR(VALUE(TRIM(LEFT($A621,FIND("/",$A621)-1))),"")))</f>
        <v/>
      </c>
      <c r="C621">
        <f>IF(OR($A621="",$B621=""),"",IF(ISNUMBER($A621),INT(MOD($A621,10000)/100),IFERROR(VALUE(TRIM(LEFT(MID($A621,FIND("/",$A621)+1,20),FIND("/",MID($A621,FIND("/",$A621)+1,20))-1))),"")))</f>
        <v/>
      </c>
      <c r="D621">
        <f>IF(OR($A621="",$B621=""),"",IF(ISNUMBER($A621),MOD($A621,100),IFERROR(VALUE(TRIM(MID(MID($A621,FIND("/",$A621)+1,20),FIND("/",MID($A621,FIND("/",$A621)+1,20))+1,20))),"")))</f>
        <v/>
      </c>
      <c r="E621">
        <f>IF($A621="","",IF(OR($B621="",$C621="",$D621="",$B621&lt;1300,$B621&gt;1500,$C621&lt;1,$C621&gt;12,$D621&lt;1,$D621&gt;31),"نامعتبر",RIGHT("0000"&amp;$B621,4)&amp;"/"&amp;RIGHT("00"&amp;$C621,2)&amp;"/"&amp;RIGHT("00"&amp;$D621,2)))</f>
        <v/>
      </c>
      <c r="F621">
        <f>IF(OR($E621="",$E621="نامعتبر"),"",IF(Sync!$Q618="","0000",IF(AND(ISNUMBER(Sync!$Q618),Sync!$Q618&gt;=0,Sync!$Q618&lt;1),RIGHT("00"&amp;HOUR(Sync!$Q618),2)&amp;RIGHT("00"&amp;MINUTE(Sync!$Q618),2),IFERROR(RIGHT("00"&amp;VALUE(LEFT(Sync!$Q618,FIND(":",Sync!$Q618)-1)),2)&amp;RIGHT("00"&amp;VALUE(MID(Sync!$Q618,FIND(":",Sync!$Q618)+1,2)),2),"0000"))))</f>
        <v/>
      </c>
      <c r="G621">
        <f>IF(OR($E621="",$E621="نامعتبر"),"",IF(Sync!$S618="","",Sync!$S618))</f>
        <v/>
      </c>
      <c r="H621">
        <f>IF(OR($E621="",$E621="نامعتبر"),"",IF(Sync!$R618="","",Sync!$R618))</f>
        <v/>
      </c>
      <c r="I621">
        <f>IF(OR($E621="",$E621="نامعتبر"),"",IF(Sync!$T618="","",Sync!$T618))</f>
        <v/>
      </c>
      <c r="J621">
        <f>IF(OR($E621="",$E621="نامعتبر"),"",IF(Sync!$U618="","",Sync!$U618))</f>
        <v/>
      </c>
      <c r="K621">
        <f>IF(OR($E621="",$E621="نامعتبر"),"",IF(Sync!$V618="","",IFERROR(INDEX(SubCodes,MATCH(Sync!$V618,SubTitles,0)),Sync!$V618)))</f>
        <v/>
      </c>
      <c r="L621">
        <f>IF(OR($E621="",$E621="نامعتبر"),"",IF(Sync!$W618="",0,Sync!$W618))</f>
        <v/>
      </c>
      <c r="M621">
        <f>IF(OR($E621="",$E621="نامعتبر"),"",IF(Sync!$X618="",0,Sync!$X618))</f>
        <v/>
      </c>
      <c r="N621">
        <f>IF(OR($E621="",$E621="نامعتبر"),"",IF(AND($J621="هزینه",$K621&lt;&gt;""),1,0))</f>
        <v/>
      </c>
      <c r="O621">
        <f>IF($N621=0,"",LEFT($E621,4)&amp;MID($E621,6,2)&amp;RIGHT($E621,2)&amp;$F621&amp;"|"&amp;"1"&amp;RIGHT("00000"&amp;613,5))</f>
        <v/>
      </c>
      <c r="P621">
        <f>IF($O621="","",COUNTIFS(ExpSub,$K621,ExpKey,"&lt;"&amp;$O621)+1)</f>
        <v/>
      </c>
      <c r="Q621">
        <f>IF($P621="","",$K621&amp;"|"&amp;RIGHT("000000"&amp;$P621,6))</f>
        <v/>
      </c>
    </row>
    <row r="622">
      <c r="A622">
        <f>IF(Sync!$P619="","",Sync!$P619)</f>
        <v/>
      </c>
      <c r="B622">
        <f>IF($A622="","",IF(ISNUMBER($A622),IF(AND($A622&gt;=10000101,$A622&lt;=99991231),INT($A622/10000),""),IFERROR(VALUE(TRIM(LEFT($A622,FIND("/",$A622)-1))),"")))</f>
        <v/>
      </c>
      <c r="C622">
        <f>IF(OR($A622="",$B622=""),"",IF(ISNUMBER($A622),INT(MOD($A622,10000)/100),IFERROR(VALUE(TRIM(LEFT(MID($A622,FIND("/",$A622)+1,20),FIND("/",MID($A622,FIND("/",$A622)+1,20))-1))),"")))</f>
        <v/>
      </c>
      <c r="D622">
        <f>IF(OR($A622="",$B622=""),"",IF(ISNUMBER($A622),MOD($A622,100),IFERROR(VALUE(TRIM(MID(MID($A622,FIND("/",$A622)+1,20),FIND("/",MID($A622,FIND("/",$A622)+1,20))+1,20))),"")))</f>
        <v/>
      </c>
      <c r="E622">
        <f>IF($A622="","",IF(OR($B622="",$C622="",$D622="",$B622&lt;1300,$B622&gt;1500,$C622&lt;1,$C622&gt;12,$D622&lt;1,$D622&gt;31),"نامعتبر",RIGHT("0000"&amp;$B622,4)&amp;"/"&amp;RIGHT("00"&amp;$C622,2)&amp;"/"&amp;RIGHT("00"&amp;$D622,2)))</f>
        <v/>
      </c>
      <c r="F622">
        <f>IF(OR($E622="",$E622="نامعتبر"),"",IF(Sync!$Q619="","0000",IF(AND(ISNUMBER(Sync!$Q619),Sync!$Q619&gt;=0,Sync!$Q619&lt;1),RIGHT("00"&amp;HOUR(Sync!$Q619),2)&amp;RIGHT("00"&amp;MINUTE(Sync!$Q619),2),IFERROR(RIGHT("00"&amp;VALUE(LEFT(Sync!$Q619,FIND(":",Sync!$Q619)-1)),2)&amp;RIGHT("00"&amp;VALUE(MID(Sync!$Q619,FIND(":",Sync!$Q619)+1,2)),2),"0000"))))</f>
        <v/>
      </c>
      <c r="G622">
        <f>IF(OR($E622="",$E622="نامعتبر"),"",IF(Sync!$S619="","",Sync!$S619))</f>
        <v/>
      </c>
      <c r="H622">
        <f>IF(OR($E622="",$E622="نامعتبر"),"",IF(Sync!$R619="","",Sync!$R619))</f>
        <v/>
      </c>
      <c r="I622">
        <f>IF(OR($E622="",$E622="نامعتبر"),"",IF(Sync!$T619="","",Sync!$T619))</f>
        <v/>
      </c>
      <c r="J622">
        <f>IF(OR($E622="",$E622="نامعتبر"),"",IF(Sync!$U619="","",Sync!$U619))</f>
        <v/>
      </c>
      <c r="K622">
        <f>IF(OR($E622="",$E622="نامعتبر"),"",IF(Sync!$V619="","",IFERROR(INDEX(SubCodes,MATCH(Sync!$V619,SubTitles,0)),Sync!$V619)))</f>
        <v/>
      </c>
      <c r="L622">
        <f>IF(OR($E622="",$E622="نامعتبر"),"",IF(Sync!$W619="",0,Sync!$W619))</f>
        <v/>
      </c>
      <c r="M622">
        <f>IF(OR($E622="",$E622="نامعتبر"),"",IF(Sync!$X619="",0,Sync!$X619))</f>
        <v/>
      </c>
      <c r="N622">
        <f>IF(OR($E622="",$E622="نامعتبر"),"",IF(AND($J622="هزینه",$K622&lt;&gt;""),1,0))</f>
        <v/>
      </c>
      <c r="O622">
        <f>IF($N622=0,"",LEFT($E622,4)&amp;MID($E622,6,2)&amp;RIGHT($E622,2)&amp;$F622&amp;"|"&amp;"1"&amp;RIGHT("00000"&amp;614,5))</f>
        <v/>
      </c>
      <c r="P622">
        <f>IF($O622="","",COUNTIFS(ExpSub,$K622,ExpKey,"&lt;"&amp;$O622)+1)</f>
        <v/>
      </c>
      <c r="Q622">
        <f>IF($P622="","",$K622&amp;"|"&amp;RIGHT("000000"&amp;$P622,6))</f>
        <v/>
      </c>
    </row>
    <row r="623">
      <c r="A623">
        <f>IF(Sync!$P620="","",Sync!$P620)</f>
        <v/>
      </c>
      <c r="B623">
        <f>IF($A623="","",IF(ISNUMBER($A623),IF(AND($A623&gt;=10000101,$A623&lt;=99991231),INT($A623/10000),""),IFERROR(VALUE(TRIM(LEFT($A623,FIND("/",$A623)-1))),"")))</f>
        <v/>
      </c>
      <c r="C623">
        <f>IF(OR($A623="",$B623=""),"",IF(ISNUMBER($A623),INT(MOD($A623,10000)/100),IFERROR(VALUE(TRIM(LEFT(MID($A623,FIND("/",$A623)+1,20),FIND("/",MID($A623,FIND("/",$A623)+1,20))-1))),"")))</f>
        <v/>
      </c>
      <c r="D623">
        <f>IF(OR($A623="",$B623=""),"",IF(ISNUMBER($A623),MOD($A623,100),IFERROR(VALUE(TRIM(MID(MID($A623,FIND("/",$A623)+1,20),FIND("/",MID($A623,FIND("/",$A623)+1,20))+1,20))),"")))</f>
        <v/>
      </c>
      <c r="E623">
        <f>IF($A623="","",IF(OR($B623="",$C623="",$D623="",$B623&lt;1300,$B623&gt;1500,$C623&lt;1,$C623&gt;12,$D623&lt;1,$D623&gt;31),"نامعتبر",RIGHT("0000"&amp;$B623,4)&amp;"/"&amp;RIGHT("00"&amp;$C623,2)&amp;"/"&amp;RIGHT("00"&amp;$D623,2)))</f>
        <v/>
      </c>
      <c r="F623">
        <f>IF(OR($E623="",$E623="نامعتبر"),"",IF(Sync!$Q620="","0000",IF(AND(ISNUMBER(Sync!$Q620),Sync!$Q620&gt;=0,Sync!$Q620&lt;1),RIGHT("00"&amp;HOUR(Sync!$Q620),2)&amp;RIGHT("00"&amp;MINUTE(Sync!$Q620),2),IFERROR(RIGHT("00"&amp;VALUE(LEFT(Sync!$Q620,FIND(":",Sync!$Q620)-1)),2)&amp;RIGHT("00"&amp;VALUE(MID(Sync!$Q620,FIND(":",Sync!$Q620)+1,2)),2),"0000"))))</f>
        <v/>
      </c>
      <c r="G623">
        <f>IF(OR($E623="",$E623="نامعتبر"),"",IF(Sync!$S620="","",Sync!$S620))</f>
        <v/>
      </c>
      <c r="H623">
        <f>IF(OR($E623="",$E623="نامعتبر"),"",IF(Sync!$R620="","",Sync!$R620))</f>
        <v/>
      </c>
      <c r="I623">
        <f>IF(OR($E623="",$E623="نامعتبر"),"",IF(Sync!$T620="","",Sync!$T620))</f>
        <v/>
      </c>
      <c r="J623">
        <f>IF(OR($E623="",$E623="نامعتبر"),"",IF(Sync!$U620="","",Sync!$U620))</f>
        <v/>
      </c>
      <c r="K623">
        <f>IF(OR($E623="",$E623="نامعتبر"),"",IF(Sync!$V620="","",IFERROR(INDEX(SubCodes,MATCH(Sync!$V620,SubTitles,0)),Sync!$V620)))</f>
        <v/>
      </c>
      <c r="L623">
        <f>IF(OR($E623="",$E623="نامعتبر"),"",IF(Sync!$W620="",0,Sync!$W620))</f>
        <v/>
      </c>
      <c r="M623">
        <f>IF(OR($E623="",$E623="نامعتبر"),"",IF(Sync!$X620="",0,Sync!$X620))</f>
        <v/>
      </c>
      <c r="N623">
        <f>IF(OR($E623="",$E623="نامعتبر"),"",IF(AND($J623="هزینه",$K623&lt;&gt;""),1,0))</f>
        <v/>
      </c>
      <c r="O623">
        <f>IF($N623=0,"",LEFT($E623,4)&amp;MID($E623,6,2)&amp;RIGHT($E623,2)&amp;$F623&amp;"|"&amp;"1"&amp;RIGHT("00000"&amp;615,5))</f>
        <v/>
      </c>
      <c r="P623">
        <f>IF($O623="","",COUNTIFS(ExpSub,$K623,ExpKey,"&lt;"&amp;$O623)+1)</f>
        <v/>
      </c>
      <c r="Q623">
        <f>IF($P623="","",$K623&amp;"|"&amp;RIGHT("000000"&amp;$P623,6))</f>
        <v/>
      </c>
    </row>
    <row r="624">
      <c r="A624">
        <f>IF(Sync!$P621="","",Sync!$P621)</f>
        <v/>
      </c>
      <c r="B624">
        <f>IF($A624="","",IF(ISNUMBER($A624),IF(AND($A624&gt;=10000101,$A624&lt;=99991231),INT($A624/10000),""),IFERROR(VALUE(TRIM(LEFT($A624,FIND("/",$A624)-1))),"")))</f>
        <v/>
      </c>
      <c r="C624">
        <f>IF(OR($A624="",$B624=""),"",IF(ISNUMBER($A624),INT(MOD($A624,10000)/100),IFERROR(VALUE(TRIM(LEFT(MID($A624,FIND("/",$A624)+1,20),FIND("/",MID($A624,FIND("/",$A624)+1,20))-1))),"")))</f>
        <v/>
      </c>
      <c r="D624">
        <f>IF(OR($A624="",$B624=""),"",IF(ISNUMBER($A624),MOD($A624,100),IFERROR(VALUE(TRIM(MID(MID($A624,FIND("/",$A624)+1,20),FIND("/",MID($A624,FIND("/",$A624)+1,20))+1,20))),"")))</f>
        <v/>
      </c>
      <c r="E624">
        <f>IF($A624="","",IF(OR($B624="",$C624="",$D624="",$B624&lt;1300,$B624&gt;1500,$C624&lt;1,$C624&gt;12,$D624&lt;1,$D624&gt;31),"نامعتبر",RIGHT("0000"&amp;$B624,4)&amp;"/"&amp;RIGHT("00"&amp;$C624,2)&amp;"/"&amp;RIGHT("00"&amp;$D624,2)))</f>
        <v/>
      </c>
      <c r="F624">
        <f>IF(OR($E624="",$E624="نامعتبر"),"",IF(Sync!$Q621="","0000",IF(AND(ISNUMBER(Sync!$Q621),Sync!$Q621&gt;=0,Sync!$Q621&lt;1),RIGHT("00"&amp;HOUR(Sync!$Q621),2)&amp;RIGHT("00"&amp;MINUTE(Sync!$Q621),2),IFERROR(RIGHT("00"&amp;VALUE(LEFT(Sync!$Q621,FIND(":",Sync!$Q621)-1)),2)&amp;RIGHT("00"&amp;VALUE(MID(Sync!$Q621,FIND(":",Sync!$Q621)+1,2)),2),"0000"))))</f>
        <v/>
      </c>
      <c r="G624">
        <f>IF(OR($E624="",$E624="نامعتبر"),"",IF(Sync!$S621="","",Sync!$S621))</f>
        <v/>
      </c>
      <c r="H624">
        <f>IF(OR($E624="",$E624="نامعتبر"),"",IF(Sync!$R621="","",Sync!$R621))</f>
        <v/>
      </c>
      <c r="I624">
        <f>IF(OR($E624="",$E624="نامعتبر"),"",IF(Sync!$T621="","",Sync!$T621))</f>
        <v/>
      </c>
      <c r="J624">
        <f>IF(OR($E624="",$E624="نامعتبر"),"",IF(Sync!$U621="","",Sync!$U621))</f>
        <v/>
      </c>
      <c r="K624">
        <f>IF(OR($E624="",$E624="نامعتبر"),"",IF(Sync!$V621="","",IFERROR(INDEX(SubCodes,MATCH(Sync!$V621,SubTitles,0)),Sync!$V621)))</f>
        <v/>
      </c>
      <c r="L624">
        <f>IF(OR($E624="",$E624="نامعتبر"),"",IF(Sync!$W621="",0,Sync!$W621))</f>
        <v/>
      </c>
      <c r="M624">
        <f>IF(OR($E624="",$E624="نامعتبر"),"",IF(Sync!$X621="",0,Sync!$X621))</f>
        <v/>
      </c>
      <c r="N624">
        <f>IF(OR($E624="",$E624="نامعتبر"),"",IF(AND($J624="هزینه",$K624&lt;&gt;""),1,0))</f>
        <v/>
      </c>
      <c r="O624">
        <f>IF($N624=0,"",LEFT($E624,4)&amp;MID($E624,6,2)&amp;RIGHT($E624,2)&amp;$F624&amp;"|"&amp;"1"&amp;RIGHT("00000"&amp;616,5))</f>
        <v/>
      </c>
      <c r="P624">
        <f>IF($O624="","",COUNTIFS(ExpSub,$K624,ExpKey,"&lt;"&amp;$O624)+1)</f>
        <v/>
      </c>
      <c r="Q624">
        <f>IF($P624="","",$K624&amp;"|"&amp;RIGHT("000000"&amp;$P624,6))</f>
        <v/>
      </c>
    </row>
    <row r="625">
      <c r="A625">
        <f>IF(Sync!$P622="","",Sync!$P622)</f>
        <v/>
      </c>
      <c r="B625">
        <f>IF($A625="","",IF(ISNUMBER($A625),IF(AND($A625&gt;=10000101,$A625&lt;=99991231),INT($A625/10000),""),IFERROR(VALUE(TRIM(LEFT($A625,FIND("/",$A625)-1))),"")))</f>
        <v/>
      </c>
      <c r="C625">
        <f>IF(OR($A625="",$B625=""),"",IF(ISNUMBER($A625),INT(MOD($A625,10000)/100),IFERROR(VALUE(TRIM(LEFT(MID($A625,FIND("/",$A625)+1,20),FIND("/",MID($A625,FIND("/",$A625)+1,20))-1))),"")))</f>
        <v/>
      </c>
      <c r="D625">
        <f>IF(OR($A625="",$B625=""),"",IF(ISNUMBER($A625),MOD($A625,100),IFERROR(VALUE(TRIM(MID(MID($A625,FIND("/",$A625)+1,20),FIND("/",MID($A625,FIND("/",$A625)+1,20))+1,20))),"")))</f>
        <v/>
      </c>
      <c r="E625">
        <f>IF($A625="","",IF(OR($B625="",$C625="",$D625="",$B625&lt;1300,$B625&gt;1500,$C625&lt;1,$C625&gt;12,$D625&lt;1,$D625&gt;31),"نامعتبر",RIGHT("0000"&amp;$B625,4)&amp;"/"&amp;RIGHT("00"&amp;$C625,2)&amp;"/"&amp;RIGHT("00"&amp;$D625,2)))</f>
        <v/>
      </c>
      <c r="F625">
        <f>IF(OR($E625="",$E625="نامعتبر"),"",IF(Sync!$Q622="","0000",IF(AND(ISNUMBER(Sync!$Q622),Sync!$Q622&gt;=0,Sync!$Q622&lt;1),RIGHT("00"&amp;HOUR(Sync!$Q622),2)&amp;RIGHT("00"&amp;MINUTE(Sync!$Q622),2),IFERROR(RIGHT("00"&amp;VALUE(LEFT(Sync!$Q622,FIND(":",Sync!$Q622)-1)),2)&amp;RIGHT("00"&amp;VALUE(MID(Sync!$Q622,FIND(":",Sync!$Q622)+1,2)),2),"0000"))))</f>
        <v/>
      </c>
      <c r="G625">
        <f>IF(OR($E625="",$E625="نامعتبر"),"",IF(Sync!$S622="","",Sync!$S622))</f>
        <v/>
      </c>
      <c r="H625">
        <f>IF(OR($E625="",$E625="نامعتبر"),"",IF(Sync!$R622="","",Sync!$R622))</f>
        <v/>
      </c>
      <c r="I625">
        <f>IF(OR($E625="",$E625="نامعتبر"),"",IF(Sync!$T622="","",Sync!$T622))</f>
        <v/>
      </c>
      <c r="J625">
        <f>IF(OR($E625="",$E625="نامعتبر"),"",IF(Sync!$U622="","",Sync!$U622))</f>
        <v/>
      </c>
      <c r="K625">
        <f>IF(OR($E625="",$E625="نامعتبر"),"",IF(Sync!$V622="","",IFERROR(INDEX(SubCodes,MATCH(Sync!$V622,SubTitles,0)),Sync!$V622)))</f>
        <v/>
      </c>
      <c r="L625">
        <f>IF(OR($E625="",$E625="نامعتبر"),"",IF(Sync!$W622="",0,Sync!$W622))</f>
        <v/>
      </c>
      <c r="M625">
        <f>IF(OR($E625="",$E625="نامعتبر"),"",IF(Sync!$X622="",0,Sync!$X622))</f>
        <v/>
      </c>
      <c r="N625">
        <f>IF(OR($E625="",$E625="نامعتبر"),"",IF(AND($J625="هزینه",$K625&lt;&gt;""),1,0))</f>
        <v/>
      </c>
      <c r="O625">
        <f>IF($N625=0,"",LEFT($E625,4)&amp;MID($E625,6,2)&amp;RIGHT($E625,2)&amp;$F625&amp;"|"&amp;"1"&amp;RIGHT("00000"&amp;617,5))</f>
        <v/>
      </c>
      <c r="P625">
        <f>IF($O625="","",COUNTIFS(ExpSub,$K625,ExpKey,"&lt;"&amp;$O625)+1)</f>
        <v/>
      </c>
      <c r="Q625">
        <f>IF($P625="","",$K625&amp;"|"&amp;RIGHT("000000"&amp;$P625,6))</f>
        <v/>
      </c>
    </row>
    <row r="626">
      <c r="A626">
        <f>IF(Sync!$P623="","",Sync!$P623)</f>
        <v/>
      </c>
      <c r="B626">
        <f>IF($A626="","",IF(ISNUMBER($A626),IF(AND($A626&gt;=10000101,$A626&lt;=99991231),INT($A626/10000),""),IFERROR(VALUE(TRIM(LEFT($A626,FIND("/",$A626)-1))),"")))</f>
        <v/>
      </c>
      <c r="C626">
        <f>IF(OR($A626="",$B626=""),"",IF(ISNUMBER($A626),INT(MOD($A626,10000)/100),IFERROR(VALUE(TRIM(LEFT(MID($A626,FIND("/",$A626)+1,20),FIND("/",MID($A626,FIND("/",$A626)+1,20))-1))),"")))</f>
        <v/>
      </c>
      <c r="D626">
        <f>IF(OR($A626="",$B626=""),"",IF(ISNUMBER($A626),MOD($A626,100),IFERROR(VALUE(TRIM(MID(MID($A626,FIND("/",$A626)+1,20),FIND("/",MID($A626,FIND("/",$A626)+1,20))+1,20))),"")))</f>
        <v/>
      </c>
      <c r="E626">
        <f>IF($A626="","",IF(OR($B626="",$C626="",$D626="",$B626&lt;1300,$B626&gt;1500,$C626&lt;1,$C626&gt;12,$D626&lt;1,$D626&gt;31),"نامعتبر",RIGHT("0000"&amp;$B626,4)&amp;"/"&amp;RIGHT("00"&amp;$C626,2)&amp;"/"&amp;RIGHT("00"&amp;$D626,2)))</f>
        <v/>
      </c>
      <c r="F626">
        <f>IF(OR($E626="",$E626="نامعتبر"),"",IF(Sync!$Q623="","0000",IF(AND(ISNUMBER(Sync!$Q623),Sync!$Q623&gt;=0,Sync!$Q623&lt;1),RIGHT("00"&amp;HOUR(Sync!$Q623),2)&amp;RIGHT("00"&amp;MINUTE(Sync!$Q623),2),IFERROR(RIGHT("00"&amp;VALUE(LEFT(Sync!$Q623,FIND(":",Sync!$Q623)-1)),2)&amp;RIGHT("00"&amp;VALUE(MID(Sync!$Q623,FIND(":",Sync!$Q623)+1,2)),2),"0000"))))</f>
        <v/>
      </c>
      <c r="G626">
        <f>IF(OR($E626="",$E626="نامعتبر"),"",IF(Sync!$S623="","",Sync!$S623))</f>
        <v/>
      </c>
      <c r="H626">
        <f>IF(OR($E626="",$E626="نامعتبر"),"",IF(Sync!$R623="","",Sync!$R623))</f>
        <v/>
      </c>
      <c r="I626">
        <f>IF(OR($E626="",$E626="نامعتبر"),"",IF(Sync!$T623="","",Sync!$T623))</f>
        <v/>
      </c>
      <c r="J626">
        <f>IF(OR($E626="",$E626="نامعتبر"),"",IF(Sync!$U623="","",Sync!$U623))</f>
        <v/>
      </c>
      <c r="K626">
        <f>IF(OR($E626="",$E626="نامعتبر"),"",IF(Sync!$V623="","",IFERROR(INDEX(SubCodes,MATCH(Sync!$V623,SubTitles,0)),Sync!$V623)))</f>
        <v/>
      </c>
      <c r="L626">
        <f>IF(OR($E626="",$E626="نامعتبر"),"",IF(Sync!$W623="",0,Sync!$W623))</f>
        <v/>
      </c>
      <c r="M626">
        <f>IF(OR($E626="",$E626="نامعتبر"),"",IF(Sync!$X623="",0,Sync!$X623))</f>
        <v/>
      </c>
      <c r="N626">
        <f>IF(OR($E626="",$E626="نامعتبر"),"",IF(AND($J626="هزینه",$K626&lt;&gt;""),1,0))</f>
        <v/>
      </c>
      <c r="O626">
        <f>IF($N626=0,"",LEFT($E626,4)&amp;MID($E626,6,2)&amp;RIGHT($E626,2)&amp;$F626&amp;"|"&amp;"1"&amp;RIGHT("00000"&amp;618,5))</f>
        <v/>
      </c>
      <c r="P626">
        <f>IF($O626="","",COUNTIFS(ExpSub,$K626,ExpKey,"&lt;"&amp;$O626)+1)</f>
        <v/>
      </c>
      <c r="Q626">
        <f>IF($P626="","",$K626&amp;"|"&amp;RIGHT("000000"&amp;$P626,6))</f>
        <v/>
      </c>
    </row>
    <row r="627">
      <c r="A627">
        <f>IF(Sync!$P624="","",Sync!$P624)</f>
        <v/>
      </c>
      <c r="B627">
        <f>IF($A627="","",IF(ISNUMBER($A627),IF(AND($A627&gt;=10000101,$A627&lt;=99991231),INT($A627/10000),""),IFERROR(VALUE(TRIM(LEFT($A627,FIND("/",$A627)-1))),"")))</f>
        <v/>
      </c>
      <c r="C627">
        <f>IF(OR($A627="",$B627=""),"",IF(ISNUMBER($A627),INT(MOD($A627,10000)/100),IFERROR(VALUE(TRIM(LEFT(MID($A627,FIND("/",$A627)+1,20),FIND("/",MID($A627,FIND("/",$A627)+1,20))-1))),"")))</f>
        <v/>
      </c>
      <c r="D627">
        <f>IF(OR($A627="",$B627=""),"",IF(ISNUMBER($A627),MOD($A627,100),IFERROR(VALUE(TRIM(MID(MID($A627,FIND("/",$A627)+1,20),FIND("/",MID($A627,FIND("/",$A627)+1,20))+1,20))),"")))</f>
        <v/>
      </c>
      <c r="E627">
        <f>IF($A627="","",IF(OR($B627="",$C627="",$D627="",$B627&lt;1300,$B627&gt;1500,$C627&lt;1,$C627&gt;12,$D627&lt;1,$D627&gt;31),"نامعتبر",RIGHT("0000"&amp;$B627,4)&amp;"/"&amp;RIGHT("00"&amp;$C627,2)&amp;"/"&amp;RIGHT("00"&amp;$D627,2)))</f>
        <v/>
      </c>
      <c r="F627">
        <f>IF(OR($E627="",$E627="نامعتبر"),"",IF(Sync!$Q624="","0000",IF(AND(ISNUMBER(Sync!$Q624),Sync!$Q624&gt;=0,Sync!$Q624&lt;1),RIGHT("00"&amp;HOUR(Sync!$Q624),2)&amp;RIGHT("00"&amp;MINUTE(Sync!$Q624),2),IFERROR(RIGHT("00"&amp;VALUE(LEFT(Sync!$Q624,FIND(":",Sync!$Q624)-1)),2)&amp;RIGHT("00"&amp;VALUE(MID(Sync!$Q624,FIND(":",Sync!$Q624)+1,2)),2),"0000"))))</f>
        <v/>
      </c>
      <c r="G627">
        <f>IF(OR($E627="",$E627="نامعتبر"),"",IF(Sync!$S624="","",Sync!$S624))</f>
        <v/>
      </c>
      <c r="H627">
        <f>IF(OR($E627="",$E627="نامعتبر"),"",IF(Sync!$R624="","",Sync!$R624))</f>
        <v/>
      </c>
      <c r="I627">
        <f>IF(OR($E627="",$E627="نامعتبر"),"",IF(Sync!$T624="","",Sync!$T624))</f>
        <v/>
      </c>
      <c r="J627">
        <f>IF(OR($E627="",$E627="نامعتبر"),"",IF(Sync!$U624="","",Sync!$U624))</f>
        <v/>
      </c>
      <c r="K627">
        <f>IF(OR($E627="",$E627="نامعتبر"),"",IF(Sync!$V624="","",IFERROR(INDEX(SubCodes,MATCH(Sync!$V624,SubTitles,0)),Sync!$V624)))</f>
        <v/>
      </c>
      <c r="L627">
        <f>IF(OR($E627="",$E627="نامعتبر"),"",IF(Sync!$W624="",0,Sync!$W624))</f>
        <v/>
      </c>
      <c r="M627">
        <f>IF(OR($E627="",$E627="نامعتبر"),"",IF(Sync!$X624="",0,Sync!$X624))</f>
        <v/>
      </c>
      <c r="N627">
        <f>IF(OR($E627="",$E627="نامعتبر"),"",IF(AND($J627="هزینه",$K627&lt;&gt;""),1,0))</f>
        <v/>
      </c>
      <c r="O627">
        <f>IF($N627=0,"",LEFT($E627,4)&amp;MID($E627,6,2)&amp;RIGHT($E627,2)&amp;$F627&amp;"|"&amp;"1"&amp;RIGHT("00000"&amp;619,5))</f>
        <v/>
      </c>
      <c r="P627">
        <f>IF($O627="","",COUNTIFS(ExpSub,$K627,ExpKey,"&lt;"&amp;$O627)+1)</f>
        <v/>
      </c>
      <c r="Q627">
        <f>IF($P627="","",$K627&amp;"|"&amp;RIGHT("000000"&amp;$P627,6))</f>
        <v/>
      </c>
    </row>
    <row r="628">
      <c r="A628">
        <f>IF(Sync!$P625="","",Sync!$P625)</f>
        <v/>
      </c>
      <c r="B628">
        <f>IF($A628="","",IF(ISNUMBER($A628),IF(AND($A628&gt;=10000101,$A628&lt;=99991231),INT($A628/10000),""),IFERROR(VALUE(TRIM(LEFT($A628,FIND("/",$A628)-1))),"")))</f>
        <v/>
      </c>
      <c r="C628">
        <f>IF(OR($A628="",$B628=""),"",IF(ISNUMBER($A628),INT(MOD($A628,10000)/100),IFERROR(VALUE(TRIM(LEFT(MID($A628,FIND("/",$A628)+1,20),FIND("/",MID($A628,FIND("/",$A628)+1,20))-1))),"")))</f>
        <v/>
      </c>
      <c r="D628">
        <f>IF(OR($A628="",$B628=""),"",IF(ISNUMBER($A628),MOD($A628,100),IFERROR(VALUE(TRIM(MID(MID($A628,FIND("/",$A628)+1,20),FIND("/",MID($A628,FIND("/",$A628)+1,20))+1,20))),"")))</f>
        <v/>
      </c>
      <c r="E628">
        <f>IF($A628="","",IF(OR($B628="",$C628="",$D628="",$B628&lt;1300,$B628&gt;1500,$C628&lt;1,$C628&gt;12,$D628&lt;1,$D628&gt;31),"نامعتبر",RIGHT("0000"&amp;$B628,4)&amp;"/"&amp;RIGHT("00"&amp;$C628,2)&amp;"/"&amp;RIGHT("00"&amp;$D628,2)))</f>
        <v/>
      </c>
      <c r="F628">
        <f>IF(OR($E628="",$E628="نامعتبر"),"",IF(Sync!$Q625="","0000",IF(AND(ISNUMBER(Sync!$Q625),Sync!$Q625&gt;=0,Sync!$Q625&lt;1),RIGHT("00"&amp;HOUR(Sync!$Q625),2)&amp;RIGHT("00"&amp;MINUTE(Sync!$Q625),2),IFERROR(RIGHT("00"&amp;VALUE(LEFT(Sync!$Q625,FIND(":",Sync!$Q625)-1)),2)&amp;RIGHT("00"&amp;VALUE(MID(Sync!$Q625,FIND(":",Sync!$Q625)+1,2)),2),"0000"))))</f>
        <v/>
      </c>
      <c r="G628">
        <f>IF(OR($E628="",$E628="نامعتبر"),"",IF(Sync!$S625="","",Sync!$S625))</f>
        <v/>
      </c>
      <c r="H628">
        <f>IF(OR($E628="",$E628="نامعتبر"),"",IF(Sync!$R625="","",Sync!$R625))</f>
        <v/>
      </c>
      <c r="I628">
        <f>IF(OR($E628="",$E628="نامعتبر"),"",IF(Sync!$T625="","",Sync!$T625))</f>
        <v/>
      </c>
      <c r="J628">
        <f>IF(OR($E628="",$E628="نامعتبر"),"",IF(Sync!$U625="","",Sync!$U625))</f>
        <v/>
      </c>
      <c r="K628">
        <f>IF(OR($E628="",$E628="نامعتبر"),"",IF(Sync!$V625="","",IFERROR(INDEX(SubCodes,MATCH(Sync!$V625,SubTitles,0)),Sync!$V625)))</f>
        <v/>
      </c>
      <c r="L628">
        <f>IF(OR($E628="",$E628="نامعتبر"),"",IF(Sync!$W625="",0,Sync!$W625))</f>
        <v/>
      </c>
      <c r="M628">
        <f>IF(OR($E628="",$E628="نامعتبر"),"",IF(Sync!$X625="",0,Sync!$X625))</f>
        <v/>
      </c>
      <c r="N628">
        <f>IF(OR($E628="",$E628="نامعتبر"),"",IF(AND($J628="هزینه",$K628&lt;&gt;""),1,0))</f>
        <v/>
      </c>
      <c r="O628">
        <f>IF($N628=0,"",LEFT($E628,4)&amp;MID($E628,6,2)&amp;RIGHT($E628,2)&amp;$F628&amp;"|"&amp;"1"&amp;RIGHT("00000"&amp;620,5))</f>
        <v/>
      </c>
      <c r="P628">
        <f>IF($O628="","",COUNTIFS(ExpSub,$K628,ExpKey,"&lt;"&amp;$O628)+1)</f>
        <v/>
      </c>
      <c r="Q628">
        <f>IF($P628="","",$K628&amp;"|"&amp;RIGHT("000000"&amp;$P628,6))</f>
        <v/>
      </c>
    </row>
    <row r="629">
      <c r="A629">
        <f>IF(Sync!$P626="","",Sync!$P626)</f>
        <v/>
      </c>
      <c r="B629">
        <f>IF($A629="","",IF(ISNUMBER($A629),IF(AND($A629&gt;=10000101,$A629&lt;=99991231),INT($A629/10000),""),IFERROR(VALUE(TRIM(LEFT($A629,FIND("/",$A629)-1))),"")))</f>
        <v/>
      </c>
      <c r="C629">
        <f>IF(OR($A629="",$B629=""),"",IF(ISNUMBER($A629),INT(MOD($A629,10000)/100),IFERROR(VALUE(TRIM(LEFT(MID($A629,FIND("/",$A629)+1,20),FIND("/",MID($A629,FIND("/",$A629)+1,20))-1))),"")))</f>
        <v/>
      </c>
      <c r="D629">
        <f>IF(OR($A629="",$B629=""),"",IF(ISNUMBER($A629),MOD($A629,100),IFERROR(VALUE(TRIM(MID(MID($A629,FIND("/",$A629)+1,20),FIND("/",MID($A629,FIND("/",$A629)+1,20))+1,20))),"")))</f>
        <v/>
      </c>
      <c r="E629">
        <f>IF($A629="","",IF(OR($B629="",$C629="",$D629="",$B629&lt;1300,$B629&gt;1500,$C629&lt;1,$C629&gt;12,$D629&lt;1,$D629&gt;31),"نامعتبر",RIGHT("0000"&amp;$B629,4)&amp;"/"&amp;RIGHT("00"&amp;$C629,2)&amp;"/"&amp;RIGHT("00"&amp;$D629,2)))</f>
        <v/>
      </c>
      <c r="F629">
        <f>IF(OR($E629="",$E629="نامعتبر"),"",IF(Sync!$Q626="","0000",IF(AND(ISNUMBER(Sync!$Q626),Sync!$Q626&gt;=0,Sync!$Q626&lt;1),RIGHT("00"&amp;HOUR(Sync!$Q626),2)&amp;RIGHT("00"&amp;MINUTE(Sync!$Q626),2),IFERROR(RIGHT("00"&amp;VALUE(LEFT(Sync!$Q626,FIND(":",Sync!$Q626)-1)),2)&amp;RIGHT("00"&amp;VALUE(MID(Sync!$Q626,FIND(":",Sync!$Q626)+1,2)),2),"0000"))))</f>
        <v/>
      </c>
      <c r="G629">
        <f>IF(OR($E629="",$E629="نامعتبر"),"",IF(Sync!$S626="","",Sync!$S626))</f>
        <v/>
      </c>
      <c r="H629">
        <f>IF(OR($E629="",$E629="نامعتبر"),"",IF(Sync!$R626="","",Sync!$R626))</f>
        <v/>
      </c>
      <c r="I629">
        <f>IF(OR($E629="",$E629="نامعتبر"),"",IF(Sync!$T626="","",Sync!$T626))</f>
        <v/>
      </c>
      <c r="J629">
        <f>IF(OR($E629="",$E629="نامعتبر"),"",IF(Sync!$U626="","",Sync!$U626))</f>
        <v/>
      </c>
      <c r="K629">
        <f>IF(OR($E629="",$E629="نامعتبر"),"",IF(Sync!$V626="","",IFERROR(INDEX(SubCodes,MATCH(Sync!$V626,SubTitles,0)),Sync!$V626)))</f>
        <v/>
      </c>
      <c r="L629">
        <f>IF(OR($E629="",$E629="نامعتبر"),"",IF(Sync!$W626="",0,Sync!$W626))</f>
        <v/>
      </c>
      <c r="M629">
        <f>IF(OR($E629="",$E629="نامعتبر"),"",IF(Sync!$X626="",0,Sync!$X626))</f>
        <v/>
      </c>
      <c r="N629">
        <f>IF(OR($E629="",$E629="نامعتبر"),"",IF(AND($J629="هزینه",$K629&lt;&gt;""),1,0))</f>
        <v/>
      </c>
      <c r="O629">
        <f>IF($N629=0,"",LEFT($E629,4)&amp;MID($E629,6,2)&amp;RIGHT($E629,2)&amp;$F629&amp;"|"&amp;"1"&amp;RIGHT("00000"&amp;621,5))</f>
        <v/>
      </c>
      <c r="P629">
        <f>IF($O629="","",COUNTIFS(ExpSub,$K629,ExpKey,"&lt;"&amp;$O629)+1)</f>
        <v/>
      </c>
      <c r="Q629">
        <f>IF($P629="","",$K629&amp;"|"&amp;RIGHT("000000"&amp;$P629,6))</f>
        <v/>
      </c>
    </row>
    <row r="630">
      <c r="A630">
        <f>IF(Sync!$P627="","",Sync!$P627)</f>
        <v/>
      </c>
      <c r="B630">
        <f>IF($A630="","",IF(ISNUMBER($A630),IF(AND($A630&gt;=10000101,$A630&lt;=99991231),INT($A630/10000),""),IFERROR(VALUE(TRIM(LEFT($A630,FIND("/",$A630)-1))),"")))</f>
        <v/>
      </c>
      <c r="C630">
        <f>IF(OR($A630="",$B630=""),"",IF(ISNUMBER($A630),INT(MOD($A630,10000)/100),IFERROR(VALUE(TRIM(LEFT(MID($A630,FIND("/",$A630)+1,20),FIND("/",MID($A630,FIND("/",$A630)+1,20))-1))),"")))</f>
        <v/>
      </c>
      <c r="D630">
        <f>IF(OR($A630="",$B630=""),"",IF(ISNUMBER($A630),MOD($A630,100),IFERROR(VALUE(TRIM(MID(MID($A630,FIND("/",$A630)+1,20),FIND("/",MID($A630,FIND("/",$A630)+1,20))+1,20))),"")))</f>
        <v/>
      </c>
      <c r="E630">
        <f>IF($A630="","",IF(OR($B630="",$C630="",$D630="",$B630&lt;1300,$B630&gt;1500,$C630&lt;1,$C630&gt;12,$D630&lt;1,$D630&gt;31),"نامعتبر",RIGHT("0000"&amp;$B630,4)&amp;"/"&amp;RIGHT("00"&amp;$C630,2)&amp;"/"&amp;RIGHT("00"&amp;$D630,2)))</f>
        <v/>
      </c>
      <c r="F630">
        <f>IF(OR($E630="",$E630="نامعتبر"),"",IF(Sync!$Q627="","0000",IF(AND(ISNUMBER(Sync!$Q627),Sync!$Q627&gt;=0,Sync!$Q627&lt;1),RIGHT("00"&amp;HOUR(Sync!$Q627),2)&amp;RIGHT("00"&amp;MINUTE(Sync!$Q627),2),IFERROR(RIGHT("00"&amp;VALUE(LEFT(Sync!$Q627,FIND(":",Sync!$Q627)-1)),2)&amp;RIGHT("00"&amp;VALUE(MID(Sync!$Q627,FIND(":",Sync!$Q627)+1,2)),2),"0000"))))</f>
        <v/>
      </c>
      <c r="G630">
        <f>IF(OR($E630="",$E630="نامعتبر"),"",IF(Sync!$S627="","",Sync!$S627))</f>
        <v/>
      </c>
      <c r="H630">
        <f>IF(OR($E630="",$E630="نامعتبر"),"",IF(Sync!$R627="","",Sync!$R627))</f>
        <v/>
      </c>
      <c r="I630">
        <f>IF(OR($E630="",$E630="نامعتبر"),"",IF(Sync!$T627="","",Sync!$T627))</f>
        <v/>
      </c>
      <c r="J630">
        <f>IF(OR($E630="",$E630="نامعتبر"),"",IF(Sync!$U627="","",Sync!$U627))</f>
        <v/>
      </c>
      <c r="K630">
        <f>IF(OR($E630="",$E630="نامعتبر"),"",IF(Sync!$V627="","",IFERROR(INDEX(SubCodes,MATCH(Sync!$V627,SubTitles,0)),Sync!$V627)))</f>
        <v/>
      </c>
      <c r="L630">
        <f>IF(OR($E630="",$E630="نامعتبر"),"",IF(Sync!$W627="",0,Sync!$W627))</f>
        <v/>
      </c>
      <c r="M630">
        <f>IF(OR($E630="",$E630="نامعتبر"),"",IF(Sync!$X627="",0,Sync!$X627))</f>
        <v/>
      </c>
      <c r="N630">
        <f>IF(OR($E630="",$E630="نامعتبر"),"",IF(AND($J630="هزینه",$K630&lt;&gt;""),1,0))</f>
        <v/>
      </c>
      <c r="O630">
        <f>IF($N630=0,"",LEFT($E630,4)&amp;MID($E630,6,2)&amp;RIGHT($E630,2)&amp;$F630&amp;"|"&amp;"1"&amp;RIGHT("00000"&amp;622,5))</f>
        <v/>
      </c>
      <c r="P630">
        <f>IF($O630="","",COUNTIFS(ExpSub,$K630,ExpKey,"&lt;"&amp;$O630)+1)</f>
        <v/>
      </c>
      <c r="Q630">
        <f>IF($P630="","",$K630&amp;"|"&amp;RIGHT("000000"&amp;$P630,6))</f>
        <v/>
      </c>
    </row>
    <row r="631">
      <c r="A631">
        <f>IF(Sync!$P628="","",Sync!$P628)</f>
        <v/>
      </c>
      <c r="B631">
        <f>IF($A631="","",IF(ISNUMBER($A631),IF(AND($A631&gt;=10000101,$A631&lt;=99991231),INT($A631/10000),""),IFERROR(VALUE(TRIM(LEFT($A631,FIND("/",$A631)-1))),"")))</f>
        <v/>
      </c>
      <c r="C631">
        <f>IF(OR($A631="",$B631=""),"",IF(ISNUMBER($A631),INT(MOD($A631,10000)/100),IFERROR(VALUE(TRIM(LEFT(MID($A631,FIND("/",$A631)+1,20),FIND("/",MID($A631,FIND("/",$A631)+1,20))-1))),"")))</f>
        <v/>
      </c>
      <c r="D631">
        <f>IF(OR($A631="",$B631=""),"",IF(ISNUMBER($A631),MOD($A631,100),IFERROR(VALUE(TRIM(MID(MID($A631,FIND("/",$A631)+1,20),FIND("/",MID($A631,FIND("/",$A631)+1,20))+1,20))),"")))</f>
        <v/>
      </c>
      <c r="E631">
        <f>IF($A631="","",IF(OR($B631="",$C631="",$D631="",$B631&lt;1300,$B631&gt;1500,$C631&lt;1,$C631&gt;12,$D631&lt;1,$D631&gt;31),"نامعتبر",RIGHT("0000"&amp;$B631,4)&amp;"/"&amp;RIGHT("00"&amp;$C631,2)&amp;"/"&amp;RIGHT("00"&amp;$D631,2)))</f>
        <v/>
      </c>
      <c r="F631">
        <f>IF(OR($E631="",$E631="نامعتبر"),"",IF(Sync!$Q628="","0000",IF(AND(ISNUMBER(Sync!$Q628),Sync!$Q628&gt;=0,Sync!$Q628&lt;1),RIGHT("00"&amp;HOUR(Sync!$Q628),2)&amp;RIGHT("00"&amp;MINUTE(Sync!$Q628),2),IFERROR(RIGHT("00"&amp;VALUE(LEFT(Sync!$Q628,FIND(":",Sync!$Q628)-1)),2)&amp;RIGHT("00"&amp;VALUE(MID(Sync!$Q628,FIND(":",Sync!$Q628)+1,2)),2),"0000"))))</f>
        <v/>
      </c>
      <c r="G631">
        <f>IF(OR($E631="",$E631="نامعتبر"),"",IF(Sync!$S628="","",Sync!$S628))</f>
        <v/>
      </c>
      <c r="H631">
        <f>IF(OR($E631="",$E631="نامعتبر"),"",IF(Sync!$R628="","",Sync!$R628))</f>
        <v/>
      </c>
      <c r="I631">
        <f>IF(OR($E631="",$E631="نامعتبر"),"",IF(Sync!$T628="","",Sync!$T628))</f>
        <v/>
      </c>
      <c r="J631">
        <f>IF(OR($E631="",$E631="نامعتبر"),"",IF(Sync!$U628="","",Sync!$U628))</f>
        <v/>
      </c>
      <c r="K631">
        <f>IF(OR($E631="",$E631="نامعتبر"),"",IF(Sync!$V628="","",IFERROR(INDEX(SubCodes,MATCH(Sync!$V628,SubTitles,0)),Sync!$V628)))</f>
        <v/>
      </c>
      <c r="L631">
        <f>IF(OR($E631="",$E631="نامعتبر"),"",IF(Sync!$W628="",0,Sync!$W628))</f>
        <v/>
      </c>
      <c r="M631">
        <f>IF(OR($E631="",$E631="نامعتبر"),"",IF(Sync!$X628="",0,Sync!$X628))</f>
        <v/>
      </c>
      <c r="N631">
        <f>IF(OR($E631="",$E631="نامعتبر"),"",IF(AND($J631="هزینه",$K631&lt;&gt;""),1,0))</f>
        <v/>
      </c>
      <c r="O631">
        <f>IF($N631=0,"",LEFT($E631,4)&amp;MID($E631,6,2)&amp;RIGHT($E631,2)&amp;$F631&amp;"|"&amp;"1"&amp;RIGHT("00000"&amp;623,5))</f>
        <v/>
      </c>
      <c r="P631">
        <f>IF($O631="","",COUNTIFS(ExpSub,$K631,ExpKey,"&lt;"&amp;$O631)+1)</f>
        <v/>
      </c>
      <c r="Q631">
        <f>IF($P631="","",$K631&amp;"|"&amp;RIGHT("000000"&amp;$P631,6))</f>
        <v/>
      </c>
    </row>
    <row r="632">
      <c r="A632">
        <f>IF(Sync!$P629="","",Sync!$P629)</f>
        <v/>
      </c>
      <c r="B632">
        <f>IF($A632="","",IF(ISNUMBER($A632),IF(AND($A632&gt;=10000101,$A632&lt;=99991231),INT($A632/10000),""),IFERROR(VALUE(TRIM(LEFT($A632,FIND("/",$A632)-1))),"")))</f>
        <v/>
      </c>
      <c r="C632">
        <f>IF(OR($A632="",$B632=""),"",IF(ISNUMBER($A632),INT(MOD($A632,10000)/100),IFERROR(VALUE(TRIM(LEFT(MID($A632,FIND("/",$A632)+1,20),FIND("/",MID($A632,FIND("/",$A632)+1,20))-1))),"")))</f>
        <v/>
      </c>
      <c r="D632">
        <f>IF(OR($A632="",$B632=""),"",IF(ISNUMBER($A632),MOD($A632,100),IFERROR(VALUE(TRIM(MID(MID($A632,FIND("/",$A632)+1,20),FIND("/",MID($A632,FIND("/",$A632)+1,20))+1,20))),"")))</f>
        <v/>
      </c>
      <c r="E632">
        <f>IF($A632="","",IF(OR($B632="",$C632="",$D632="",$B632&lt;1300,$B632&gt;1500,$C632&lt;1,$C632&gt;12,$D632&lt;1,$D632&gt;31),"نامعتبر",RIGHT("0000"&amp;$B632,4)&amp;"/"&amp;RIGHT("00"&amp;$C632,2)&amp;"/"&amp;RIGHT("00"&amp;$D632,2)))</f>
        <v/>
      </c>
      <c r="F632">
        <f>IF(OR($E632="",$E632="نامعتبر"),"",IF(Sync!$Q629="","0000",IF(AND(ISNUMBER(Sync!$Q629),Sync!$Q629&gt;=0,Sync!$Q629&lt;1),RIGHT("00"&amp;HOUR(Sync!$Q629),2)&amp;RIGHT("00"&amp;MINUTE(Sync!$Q629),2),IFERROR(RIGHT("00"&amp;VALUE(LEFT(Sync!$Q629,FIND(":",Sync!$Q629)-1)),2)&amp;RIGHT("00"&amp;VALUE(MID(Sync!$Q629,FIND(":",Sync!$Q629)+1,2)),2),"0000"))))</f>
        <v/>
      </c>
      <c r="G632">
        <f>IF(OR($E632="",$E632="نامعتبر"),"",IF(Sync!$S629="","",Sync!$S629))</f>
        <v/>
      </c>
      <c r="H632">
        <f>IF(OR($E632="",$E632="نامعتبر"),"",IF(Sync!$R629="","",Sync!$R629))</f>
        <v/>
      </c>
      <c r="I632">
        <f>IF(OR($E632="",$E632="نامعتبر"),"",IF(Sync!$T629="","",Sync!$T629))</f>
        <v/>
      </c>
      <c r="J632">
        <f>IF(OR($E632="",$E632="نامعتبر"),"",IF(Sync!$U629="","",Sync!$U629))</f>
        <v/>
      </c>
      <c r="K632">
        <f>IF(OR($E632="",$E632="نامعتبر"),"",IF(Sync!$V629="","",IFERROR(INDEX(SubCodes,MATCH(Sync!$V629,SubTitles,0)),Sync!$V629)))</f>
        <v/>
      </c>
      <c r="L632">
        <f>IF(OR($E632="",$E632="نامعتبر"),"",IF(Sync!$W629="",0,Sync!$W629))</f>
        <v/>
      </c>
      <c r="M632">
        <f>IF(OR($E632="",$E632="نامعتبر"),"",IF(Sync!$X629="",0,Sync!$X629))</f>
        <v/>
      </c>
      <c r="N632">
        <f>IF(OR($E632="",$E632="نامعتبر"),"",IF(AND($J632="هزینه",$K632&lt;&gt;""),1,0))</f>
        <v/>
      </c>
      <c r="O632">
        <f>IF($N632=0,"",LEFT($E632,4)&amp;MID($E632,6,2)&amp;RIGHT($E632,2)&amp;$F632&amp;"|"&amp;"1"&amp;RIGHT("00000"&amp;624,5))</f>
        <v/>
      </c>
      <c r="P632">
        <f>IF($O632="","",COUNTIFS(ExpSub,$K632,ExpKey,"&lt;"&amp;$O632)+1)</f>
        <v/>
      </c>
      <c r="Q632">
        <f>IF($P632="","",$K632&amp;"|"&amp;RIGHT("000000"&amp;$P632,6))</f>
        <v/>
      </c>
    </row>
    <row r="633">
      <c r="A633">
        <f>IF(Sync!$P630="","",Sync!$P630)</f>
        <v/>
      </c>
      <c r="B633">
        <f>IF($A633="","",IF(ISNUMBER($A633),IF(AND($A633&gt;=10000101,$A633&lt;=99991231),INT($A633/10000),""),IFERROR(VALUE(TRIM(LEFT($A633,FIND("/",$A633)-1))),"")))</f>
        <v/>
      </c>
      <c r="C633">
        <f>IF(OR($A633="",$B633=""),"",IF(ISNUMBER($A633),INT(MOD($A633,10000)/100),IFERROR(VALUE(TRIM(LEFT(MID($A633,FIND("/",$A633)+1,20),FIND("/",MID($A633,FIND("/",$A633)+1,20))-1))),"")))</f>
        <v/>
      </c>
      <c r="D633">
        <f>IF(OR($A633="",$B633=""),"",IF(ISNUMBER($A633),MOD($A633,100),IFERROR(VALUE(TRIM(MID(MID($A633,FIND("/",$A633)+1,20),FIND("/",MID($A633,FIND("/",$A633)+1,20))+1,20))),"")))</f>
        <v/>
      </c>
      <c r="E633">
        <f>IF($A633="","",IF(OR($B633="",$C633="",$D633="",$B633&lt;1300,$B633&gt;1500,$C633&lt;1,$C633&gt;12,$D633&lt;1,$D633&gt;31),"نامعتبر",RIGHT("0000"&amp;$B633,4)&amp;"/"&amp;RIGHT("00"&amp;$C633,2)&amp;"/"&amp;RIGHT("00"&amp;$D633,2)))</f>
        <v/>
      </c>
      <c r="F633">
        <f>IF(OR($E633="",$E633="نامعتبر"),"",IF(Sync!$Q630="","0000",IF(AND(ISNUMBER(Sync!$Q630),Sync!$Q630&gt;=0,Sync!$Q630&lt;1),RIGHT("00"&amp;HOUR(Sync!$Q630),2)&amp;RIGHT("00"&amp;MINUTE(Sync!$Q630),2),IFERROR(RIGHT("00"&amp;VALUE(LEFT(Sync!$Q630,FIND(":",Sync!$Q630)-1)),2)&amp;RIGHT("00"&amp;VALUE(MID(Sync!$Q630,FIND(":",Sync!$Q630)+1,2)),2),"0000"))))</f>
        <v/>
      </c>
      <c r="G633">
        <f>IF(OR($E633="",$E633="نامعتبر"),"",IF(Sync!$S630="","",Sync!$S630))</f>
        <v/>
      </c>
      <c r="H633">
        <f>IF(OR($E633="",$E633="نامعتبر"),"",IF(Sync!$R630="","",Sync!$R630))</f>
        <v/>
      </c>
      <c r="I633">
        <f>IF(OR($E633="",$E633="نامعتبر"),"",IF(Sync!$T630="","",Sync!$T630))</f>
        <v/>
      </c>
      <c r="J633">
        <f>IF(OR($E633="",$E633="نامعتبر"),"",IF(Sync!$U630="","",Sync!$U630))</f>
        <v/>
      </c>
      <c r="K633">
        <f>IF(OR($E633="",$E633="نامعتبر"),"",IF(Sync!$V630="","",IFERROR(INDEX(SubCodes,MATCH(Sync!$V630,SubTitles,0)),Sync!$V630)))</f>
        <v/>
      </c>
      <c r="L633">
        <f>IF(OR($E633="",$E633="نامعتبر"),"",IF(Sync!$W630="",0,Sync!$W630))</f>
        <v/>
      </c>
      <c r="M633">
        <f>IF(OR($E633="",$E633="نامعتبر"),"",IF(Sync!$X630="",0,Sync!$X630))</f>
        <v/>
      </c>
      <c r="N633">
        <f>IF(OR($E633="",$E633="نامعتبر"),"",IF(AND($J633="هزینه",$K633&lt;&gt;""),1,0))</f>
        <v/>
      </c>
      <c r="O633">
        <f>IF($N633=0,"",LEFT($E633,4)&amp;MID($E633,6,2)&amp;RIGHT($E633,2)&amp;$F633&amp;"|"&amp;"1"&amp;RIGHT("00000"&amp;625,5))</f>
        <v/>
      </c>
      <c r="P633">
        <f>IF($O633="","",COUNTIFS(ExpSub,$K633,ExpKey,"&lt;"&amp;$O633)+1)</f>
        <v/>
      </c>
      <c r="Q633">
        <f>IF($P633="","",$K633&amp;"|"&amp;RIGHT("000000"&amp;$P633,6))</f>
        <v/>
      </c>
    </row>
    <row r="634">
      <c r="A634">
        <f>IF(Sync!$P631="","",Sync!$P631)</f>
        <v/>
      </c>
      <c r="B634">
        <f>IF($A634="","",IF(ISNUMBER($A634),IF(AND($A634&gt;=10000101,$A634&lt;=99991231),INT($A634/10000),""),IFERROR(VALUE(TRIM(LEFT($A634,FIND("/",$A634)-1))),"")))</f>
        <v/>
      </c>
      <c r="C634">
        <f>IF(OR($A634="",$B634=""),"",IF(ISNUMBER($A634),INT(MOD($A634,10000)/100),IFERROR(VALUE(TRIM(LEFT(MID($A634,FIND("/",$A634)+1,20),FIND("/",MID($A634,FIND("/",$A634)+1,20))-1))),"")))</f>
        <v/>
      </c>
      <c r="D634">
        <f>IF(OR($A634="",$B634=""),"",IF(ISNUMBER($A634),MOD($A634,100),IFERROR(VALUE(TRIM(MID(MID($A634,FIND("/",$A634)+1,20),FIND("/",MID($A634,FIND("/",$A634)+1,20))+1,20))),"")))</f>
        <v/>
      </c>
      <c r="E634">
        <f>IF($A634="","",IF(OR($B634="",$C634="",$D634="",$B634&lt;1300,$B634&gt;1500,$C634&lt;1,$C634&gt;12,$D634&lt;1,$D634&gt;31),"نامعتبر",RIGHT("0000"&amp;$B634,4)&amp;"/"&amp;RIGHT("00"&amp;$C634,2)&amp;"/"&amp;RIGHT("00"&amp;$D634,2)))</f>
        <v/>
      </c>
      <c r="F634">
        <f>IF(OR($E634="",$E634="نامعتبر"),"",IF(Sync!$Q631="","0000",IF(AND(ISNUMBER(Sync!$Q631),Sync!$Q631&gt;=0,Sync!$Q631&lt;1),RIGHT("00"&amp;HOUR(Sync!$Q631),2)&amp;RIGHT("00"&amp;MINUTE(Sync!$Q631),2),IFERROR(RIGHT("00"&amp;VALUE(LEFT(Sync!$Q631,FIND(":",Sync!$Q631)-1)),2)&amp;RIGHT("00"&amp;VALUE(MID(Sync!$Q631,FIND(":",Sync!$Q631)+1,2)),2),"0000"))))</f>
        <v/>
      </c>
      <c r="G634">
        <f>IF(OR($E634="",$E634="نامعتبر"),"",IF(Sync!$S631="","",Sync!$S631))</f>
        <v/>
      </c>
      <c r="H634">
        <f>IF(OR($E634="",$E634="نامعتبر"),"",IF(Sync!$R631="","",Sync!$R631))</f>
        <v/>
      </c>
      <c r="I634">
        <f>IF(OR($E634="",$E634="نامعتبر"),"",IF(Sync!$T631="","",Sync!$T631))</f>
        <v/>
      </c>
      <c r="J634">
        <f>IF(OR($E634="",$E634="نامعتبر"),"",IF(Sync!$U631="","",Sync!$U631))</f>
        <v/>
      </c>
      <c r="K634">
        <f>IF(OR($E634="",$E634="نامعتبر"),"",IF(Sync!$V631="","",IFERROR(INDEX(SubCodes,MATCH(Sync!$V631,SubTitles,0)),Sync!$V631)))</f>
        <v/>
      </c>
      <c r="L634">
        <f>IF(OR($E634="",$E634="نامعتبر"),"",IF(Sync!$W631="",0,Sync!$W631))</f>
        <v/>
      </c>
      <c r="M634">
        <f>IF(OR($E634="",$E634="نامعتبر"),"",IF(Sync!$X631="",0,Sync!$X631))</f>
        <v/>
      </c>
      <c r="N634">
        <f>IF(OR($E634="",$E634="نامعتبر"),"",IF(AND($J634="هزینه",$K634&lt;&gt;""),1,0))</f>
        <v/>
      </c>
      <c r="O634">
        <f>IF($N634=0,"",LEFT($E634,4)&amp;MID($E634,6,2)&amp;RIGHT($E634,2)&amp;$F634&amp;"|"&amp;"1"&amp;RIGHT("00000"&amp;626,5))</f>
        <v/>
      </c>
      <c r="P634">
        <f>IF($O634="","",COUNTIFS(ExpSub,$K634,ExpKey,"&lt;"&amp;$O634)+1)</f>
        <v/>
      </c>
      <c r="Q634">
        <f>IF($P634="","",$K634&amp;"|"&amp;RIGHT("000000"&amp;$P634,6))</f>
        <v/>
      </c>
    </row>
    <row r="635">
      <c r="A635">
        <f>IF(Sync!$P632="","",Sync!$P632)</f>
        <v/>
      </c>
      <c r="B635">
        <f>IF($A635="","",IF(ISNUMBER($A635),IF(AND($A635&gt;=10000101,$A635&lt;=99991231),INT($A635/10000),""),IFERROR(VALUE(TRIM(LEFT($A635,FIND("/",$A635)-1))),"")))</f>
        <v/>
      </c>
      <c r="C635">
        <f>IF(OR($A635="",$B635=""),"",IF(ISNUMBER($A635),INT(MOD($A635,10000)/100),IFERROR(VALUE(TRIM(LEFT(MID($A635,FIND("/",$A635)+1,20),FIND("/",MID($A635,FIND("/",$A635)+1,20))-1))),"")))</f>
        <v/>
      </c>
      <c r="D635">
        <f>IF(OR($A635="",$B635=""),"",IF(ISNUMBER($A635),MOD($A635,100),IFERROR(VALUE(TRIM(MID(MID($A635,FIND("/",$A635)+1,20),FIND("/",MID($A635,FIND("/",$A635)+1,20))+1,20))),"")))</f>
        <v/>
      </c>
      <c r="E635">
        <f>IF($A635="","",IF(OR($B635="",$C635="",$D635="",$B635&lt;1300,$B635&gt;1500,$C635&lt;1,$C635&gt;12,$D635&lt;1,$D635&gt;31),"نامعتبر",RIGHT("0000"&amp;$B635,4)&amp;"/"&amp;RIGHT("00"&amp;$C635,2)&amp;"/"&amp;RIGHT("00"&amp;$D635,2)))</f>
        <v/>
      </c>
      <c r="F635">
        <f>IF(OR($E635="",$E635="نامعتبر"),"",IF(Sync!$Q632="","0000",IF(AND(ISNUMBER(Sync!$Q632),Sync!$Q632&gt;=0,Sync!$Q632&lt;1),RIGHT("00"&amp;HOUR(Sync!$Q632),2)&amp;RIGHT("00"&amp;MINUTE(Sync!$Q632),2),IFERROR(RIGHT("00"&amp;VALUE(LEFT(Sync!$Q632,FIND(":",Sync!$Q632)-1)),2)&amp;RIGHT("00"&amp;VALUE(MID(Sync!$Q632,FIND(":",Sync!$Q632)+1,2)),2),"0000"))))</f>
        <v/>
      </c>
      <c r="G635">
        <f>IF(OR($E635="",$E635="نامعتبر"),"",IF(Sync!$S632="","",Sync!$S632))</f>
        <v/>
      </c>
      <c r="H635">
        <f>IF(OR($E635="",$E635="نامعتبر"),"",IF(Sync!$R632="","",Sync!$R632))</f>
        <v/>
      </c>
      <c r="I635">
        <f>IF(OR($E635="",$E635="نامعتبر"),"",IF(Sync!$T632="","",Sync!$T632))</f>
        <v/>
      </c>
      <c r="J635">
        <f>IF(OR($E635="",$E635="نامعتبر"),"",IF(Sync!$U632="","",Sync!$U632))</f>
        <v/>
      </c>
      <c r="K635">
        <f>IF(OR($E635="",$E635="نامعتبر"),"",IF(Sync!$V632="","",IFERROR(INDEX(SubCodes,MATCH(Sync!$V632,SubTitles,0)),Sync!$V632)))</f>
        <v/>
      </c>
      <c r="L635">
        <f>IF(OR($E635="",$E635="نامعتبر"),"",IF(Sync!$W632="",0,Sync!$W632))</f>
        <v/>
      </c>
      <c r="M635">
        <f>IF(OR($E635="",$E635="نامعتبر"),"",IF(Sync!$X632="",0,Sync!$X632))</f>
        <v/>
      </c>
      <c r="N635">
        <f>IF(OR($E635="",$E635="نامعتبر"),"",IF(AND($J635="هزینه",$K635&lt;&gt;""),1,0))</f>
        <v/>
      </c>
      <c r="O635">
        <f>IF($N635=0,"",LEFT($E635,4)&amp;MID($E635,6,2)&amp;RIGHT($E635,2)&amp;$F635&amp;"|"&amp;"1"&amp;RIGHT("00000"&amp;627,5))</f>
        <v/>
      </c>
      <c r="P635">
        <f>IF($O635="","",COUNTIFS(ExpSub,$K635,ExpKey,"&lt;"&amp;$O635)+1)</f>
        <v/>
      </c>
      <c r="Q635">
        <f>IF($P635="","",$K635&amp;"|"&amp;RIGHT("000000"&amp;$P635,6))</f>
        <v/>
      </c>
    </row>
    <row r="636">
      <c r="A636">
        <f>IF(Sync!$P633="","",Sync!$P633)</f>
        <v/>
      </c>
      <c r="B636">
        <f>IF($A636="","",IF(ISNUMBER($A636),IF(AND($A636&gt;=10000101,$A636&lt;=99991231),INT($A636/10000),""),IFERROR(VALUE(TRIM(LEFT($A636,FIND("/",$A636)-1))),"")))</f>
        <v/>
      </c>
      <c r="C636">
        <f>IF(OR($A636="",$B636=""),"",IF(ISNUMBER($A636),INT(MOD($A636,10000)/100),IFERROR(VALUE(TRIM(LEFT(MID($A636,FIND("/",$A636)+1,20),FIND("/",MID($A636,FIND("/",$A636)+1,20))-1))),"")))</f>
        <v/>
      </c>
      <c r="D636">
        <f>IF(OR($A636="",$B636=""),"",IF(ISNUMBER($A636),MOD($A636,100),IFERROR(VALUE(TRIM(MID(MID($A636,FIND("/",$A636)+1,20),FIND("/",MID($A636,FIND("/",$A636)+1,20))+1,20))),"")))</f>
        <v/>
      </c>
      <c r="E636">
        <f>IF($A636="","",IF(OR($B636="",$C636="",$D636="",$B636&lt;1300,$B636&gt;1500,$C636&lt;1,$C636&gt;12,$D636&lt;1,$D636&gt;31),"نامعتبر",RIGHT("0000"&amp;$B636,4)&amp;"/"&amp;RIGHT("00"&amp;$C636,2)&amp;"/"&amp;RIGHT("00"&amp;$D636,2)))</f>
        <v/>
      </c>
      <c r="F636">
        <f>IF(OR($E636="",$E636="نامعتبر"),"",IF(Sync!$Q633="","0000",IF(AND(ISNUMBER(Sync!$Q633),Sync!$Q633&gt;=0,Sync!$Q633&lt;1),RIGHT("00"&amp;HOUR(Sync!$Q633),2)&amp;RIGHT("00"&amp;MINUTE(Sync!$Q633),2),IFERROR(RIGHT("00"&amp;VALUE(LEFT(Sync!$Q633,FIND(":",Sync!$Q633)-1)),2)&amp;RIGHT("00"&amp;VALUE(MID(Sync!$Q633,FIND(":",Sync!$Q633)+1,2)),2),"0000"))))</f>
        <v/>
      </c>
      <c r="G636">
        <f>IF(OR($E636="",$E636="نامعتبر"),"",IF(Sync!$S633="","",Sync!$S633))</f>
        <v/>
      </c>
      <c r="H636">
        <f>IF(OR($E636="",$E636="نامعتبر"),"",IF(Sync!$R633="","",Sync!$R633))</f>
        <v/>
      </c>
      <c r="I636">
        <f>IF(OR($E636="",$E636="نامعتبر"),"",IF(Sync!$T633="","",Sync!$T633))</f>
        <v/>
      </c>
      <c r="J636">
        <f>IF(OR($E636="",$E636="نامعتبر"),"",IF(Sync!$U633="","",Sync!$U633))</f>
        <v/>
      </c>
      <c r="K636">
        <f>IF(OR($E636="",$E636="نامعتبر"),"",IF(Sync!$V633="","",IFERROR(INDEX(SubCodes,MATCH(Sync!$V633,SubTitles,0)),Sync!$V633)))</f>
        <v/>
      </c>
      <c r="L636">
        <f>IF(OR($E636="",$E636="نامعتبر"),"",IF(Sync!$W633="",0,Sync!$W633))</f>
        <v/>
      </c>
      <c r="M636">
        <f>IF(OR($E636="",$E636="نامعتبر"),"",IF(Sync!$X633="",0,Sync!$X633))</f>
        <v/>
      </c>
      <c r="N636">
        <f>IF(OR($E636="",$E636="نامعتبر"),"",IF(AND($J636="هزینه",$K636&lt;&gt;""),1,0))</f>
        <v/>
      </c>
      <c r="O636">
        <f>IF($N636=0,"",LEFT($E636,4)&amp;MID($E636,6,2)&amp;RIGHT($E636,2)&amp;$F636&amp;"|"&amp;"1"&amp;RIGHT("00000"&amp;628,5))</f>
        <v/>
      </c>
      <c r="P636">
        <f>IF($O636="","",COUNTIFS(ExpSub,$K636,ExpKey,"&lt;"&amp;$O636)+1)</f>
        <v/>
      </c>
      <c r="Q636">
        <f>IF($P636="","",$K636&amp;"|"&amp;RIGHT("000000"&amp;$P636,6))</f>
        <v/>
      </c>
    </row>
    <row r="637">
      <c r="A637">
        <f>IF(Sync!$P634="","",Sync!$P634)</f>
        <v/>
      </c>
      <c r="B637">
        <f>IF($A637="","",IF(ISNUMBER($A637),IF(AND($A637&gt;=10000101,$A637&lt;=99991231),INT($A637/10000),""),IFERROR(VALUE(TRIM(LEFT($A637,FIND("/",$A637)-1))),"")))</f>
        <v/>
      </c>
      <c r="C637">
        <f>IF(OR($A637="",$B637=""),"",IF(ISNUMBER($A637),INT(MOD($A637,10000)/100),IFERROR(VALUE(TRIM(LEFT(MID($A637,FIND("/",$A637)+1,20),FIND("/",MID($A637,FIND("/",$A637)+1,20))-1))),"")))</f>
        <v/>
      </c>
      <c r="D637">
        <f>IF(OR($A637="",$B637=""),"",IF(ISNUMBER($A637),MOD($A637,100),IFERROR(VALUE(TRIM(MID(MID($A637,FIND("/",$A637)+1,20),FIND("/",MID($A637,FIND("/",$A637)+1,20))+1,20))),"")))</f>
        <v/>
      </c>
      <c r="E637">
        <f>IF($A637="","",IF(OR($B637="",$C637="",$D637="",$B637&lt;1300,$B637&gt;1500,$C637&lt;1,$C637&gt;12,$D637&lt;1,$D637&gt;31),"نامعتبر",RIGHT("0000"&amp;$B637,4)&amp;"/"&amp;RIGHT("00"&amp;$C637,2)&amp;"/"&amp;RIGHT("00"&amp;$D637,2)))</f>
        <v/>
      </c>
      <c r="F637">
        <f>IF(OR($E637="",$E637="نامعتبر"),"",IF(Sync!$Q634="","0000",IF(AND(ISNUMBER(Sync!$Q634),Sync!$Q634&gt;=0,Sync!$Q634&lt;1),RIGHT("00"&amp;HOUR(Sync!$Q634),2)&amp;RIGHT("00"&amp;MINUTE(Sync!$Q634),2),IFERROR(RIGHT("00"&amp;VALUE(LEFT(Sync!$Q634,FIND(":",Sync!$Q634)-1)),2)&amp;RIGHT("00"&amp;VALUE(MID(Sync!$Q634,FIND(":",Sync!$Q634)+1,2)),2),"0000"))))</f>
        <v/>
      </c>
      <c r="G637">
        <f>IF(OR($E637="",$E637="نامعتبر"),"",IF(Sync!$S634="","",Sync!$S634))</f>
        <v/>
      </c>
      <c r="H637">
        <f>IF(OR($E637="",$E637="نامعتبر"),"",IF(Sync!$R634="","",Sync!$R634))</f>
        <v/>
      </c>
      <c r="I637">
        <f>IF(OR($E637="",$E637="نامعتبر"),"",IF(Sync!$T634="","",Sync!$T634))</f>
        <v/>
      </c>
      <c r="J637">
        <f>IF(OR($E637="",$E637="نامعتبر"),"",IF(Sync!$U634="","",Sync!$U634))</f>
        <v/>
      </c>
      <c r="K637">
        <f>IF(OR($E637="",$E637="نامعتبر"),"",IF(Sync!$V634="","",IFERROR(INDEX(SubCodes,MATCH(Sync!$V634,SubTitles,0)),Sync!$V634)))</f>
        <v/>
      </c>
      <c r="L637">
        <f>IF(OR($E637="",$E637="نامعتبر"),"",IF(Sync!$W634="",0,Sync!$W634))</f>
        <v/>
      </c>
      <c r="M637">
        <f>IF(OR($E637="",$E637="نامعتبر"),"",IF(Sync!$X634="",0,Sync!$X634))</f>
        <v/>
      </c>
      <c r="N637">
        <f>IF(OR($E637="",$E637="نامعتبر"),"",IF(AND($J637="هزینه",$K637&lt;&gt;""),1,0))</f>
        <v/>
      </c>
      <c r="O637">
        <f>IF($N637=0,"",LEFT($E637,4)&amp;MID($E637,6,2)&amp;RIGHT($E637,2)&amp;$F637&amp;"|"&amp;"1"&amp;RIGHT("00000"&amp;629,5))</f>
        <v/>
      </c>
      <c r="P637">
        <f>IF($O637="","",COUNTIFS(ExpSub,$K637,ExpKey,"&lt;"&amp;$O637)+1)</f>
        <v/>
      </c>
      <c r="Q637">
        <f>IF($P637="","",$K637&amp;"|"&amp;RIGHT("000000"&amp;$P637,6))</f>
        <v/>
      </c>
    </row>
    <row r="638">
      <c r="A638">
        <f>IF(Sync!$P635="","",Sync!$P635)</f>
        <v/>
      </c>
      <c r="B638">
        <f>IF($A638="","",IF(ISNUMBER($A638),IF(AND($A638&gt;=10000101,$A638&lt;=99991231),INT($A638/10000),""),IFERROR(VALUE(TRIM(LEFT($A638,FIND("/",$A638)-1))),"")))</f>
        <v/>
      </c>
      <c r="C638">
        <f>IF(OR($A638="",$B638=""),"",IF(ISNUMBER($A638),INT(MOD($A638,10000)/100),IFERROR(VALUE(TRIM(LEFT(MID($A638,FIND("/",$A638)+1,20),FIND("/",MID($A638,FIND("/",$A638)+1,20))-1))),"")))</f>
        <v/>
      </c>
      <c r="D638">
        <f>IF(OR($A638="",$B638=""),"",IF(ISNUMBER($A638),MOD($A638,100),IFERROR(VALUE(TRIM(MID(MID($A638,FIND("/",$A638)+1,20),FIND("/",MID($A638,FIND("/",$A638)+1,20))+1,20))),"")))</f>
        <v/>
      </c>
      <c r="E638">
        <f>IF($A638="","",IF(OR($B638="",$C638="",$D638="",$B638&lt;1300,$B638&gt;1500,$C638&lt;1,$C638&gt;12,$D638&lt;1,$D638&gt;31),"نامعتبر",RIGHT("0000"&amp;$B638,4)&amp;"/"&amp;RIGHT("00"&amp;$C638,2)&amp;"/"&amp;RIGHT("00"&amp;$D638,2)))</f>
        <v/>
      </c>
      <c r="F638">
        <f>IF(OR($E638="",$E638="نامعتبر"),"",IF(Sync!$Q635="","0000",IF(AND(ISNUMBER(Sync!$Q635),Sync!$Q635&gt;=0,Sync!$Q635&lt;1),RIGHT("00"&amp;HOUR(Sync!$Q635),2)&amp;RIGHT("00"&amp;MINUTE(Sync!$Q635),2),IFERROR(RIGHT("00"&amp;VALUE(LEFT(Sync!$Q635,FIND(":",Sync!$Q635)-1)),2)&amp;RIGHT("00"&amp;VALUE(MID(Sync!$Q635,FIND(":",Sync!$Q635)+1,2)),2),"0000"))))</f>
        <v/>
      </c>
      <c r="G638">
        <f>IF(OR($E638="",$E638="نامعتبر"),"",IF(Sync!$S635="","",Sync!$S635))</f>
        <v/>
      </c>
      <c r="H638">
        <f>IF(OR($E638="",$E638="نامعتبر"),"",IF(Sync!$R635="","",Sync!$R635))</f>
        <v/>
      </c>
      <c r="I638">
        <f>IF(OR($E638="",$E638="نامعتبر"),"",IF(Sync!$T635="","",Sync!$T635))</f>
        <v/>
      </c>
      <c r="J638">
        <f>IF(OR($E638="",$E638="نامعتبر"),"",IF(Sync!$U635="","",Sync!$U635))</f>
        <v/>
      </c>
      <c r="K638">
        <f>IF(OR($E638="",$E638="نامعتبر"),"",IF(Sync!$V635="","",IFERROR(INDEX(SubCodes,MATCH(Sync!$V635,SubTitles,0)),Sync!$V635)))</f>
        <v/>
      </c>
      <c r="L638">
        <f>IF(OR($E638="",$E638="نامعتبر"),"",IF(Sync!$W635="",0,Sync!$W635))</f>
        <v/>
      </c>
      <c r="M638">
        <f>IF(OR($E638="",$E638="نامعتبر"),"",IF(Sync!$X635="",0,Sync!$X635))</f>
        <v/>
      </c>
      <c r="N638">
        <f>IF(OR($E638="",$E638="نامعتبر"),"",IF(AND($J638="هزینه",$K638&lt;&gt;""),1,0))</f>
        <v/>
      </c>
      <c r="O638">
        <f>IF($N638=0,"",LEFT($E638,4)&amp;MID($E638,6,2)&amp;RIGHT($E638,2)&amp;$F638&amp;"|"&amp;"1"&amp;RIGHT("00000"&amp;630,5))</f>
        <v/>
      </c>
      <c r="P638">
        <f>IF($O638="","",COUNTIFS(ExpSub,$K638,ExpKey,"&lt;"&amp;$O638)+1)</f>
        <v/>
      </c>
      <c r="Q638">
        <f>IF($P638="","",$K638&amp;"|"&amp;RIGHT("000000"&amp;$P638,6))</f>
        <v/>
      </c>
    </row>
    <row r="639">
      <c r="A639">
        <f>IF(Sync!$P636="","",Sync!$P636)</f>
        <v/>
      </c>
      <c r="B639">
        <f>IF($A639="","",IF(ISNUMBER($A639),IF(AND($A639&gt;=10000101,$A639&lt;=99991231),INT($A639/10000),""),IFERROR(VALUE(TRIM(LEFT($A639,FIND("/",$A639)-1))),"")))</f>
        <v/>
      </c>
      <c r="C639">
        <f>IF(OR($A639="",$B639=""),"",IF(ISNUMBER($A639),INT(MOD($A639,10000)/100),IFERROR(VALUE(TRIM(LEFT(MID($A639,FIND("/",$A639)+1,20),FIND("/",MID($A639,FIND("/",$A639)+1,20))-1))),"")))</f>
        <v/>
      </c>
      <c r="D639">
        <f>IF(OR($A639="",$B639=""),"",IF(ISNUMBER($A639),MOD($A639,100),IFERROR(VALUE(TRIM(MID(MID($A639,FIND("/",$A639)+1,20),FIND("/",MID($A639,FIND("/",$A639)+1,20))+1,20))),"")))</f>
        <v/>
      </c>
      <c r="E639">
        <f>IF($A639="","",IF(OR($B639="",$C639="",$D639="",$B639&lt;1300,$B639&gt;1500,$C639&lt;1,$C639&gt;12,$D639&lt;1,$D639&gt;31),"نامعتبر",RIGHT("0000"&amp;$B639,4)&amp;"/"&amp;RIGHT("00"&amp;$C639,2)&amp;"/"&amp;RIGHT("00"&amp;$D639,2)))</f>
        <v/>
      </c>
      <c r="F639">
        <f>IF(OR($E639="",$E639="نامعتبر"),"",IF(Sync!$Q636="","0000",IF(AND(ISNUMBER(Sync!$Q636),Sync!$Q636&gt;=0,Sync!$Q636&lt;1),RIGHT("00"&amp;HOUR(Sync!$Q636),2)&amp;RIGHT("00"&amp;MINUTE(Sync!$Q636),2),IFERROR(RIGHT("00"&amp;VALUE(LEFT(Sync!$Q636,FIND(":",Sync!$Q636)-1)),2)&amp;RIGHT("00"&amp;VALUE(MID(Sync!$Q636,FIND(":",Sync!$Q636)+1,2)),2),"0000"))))</f>
        <v/>
      </c>
      <c r="G639">
        <f>IF(OR($E639="",$E639="نامعتبر"),"",IF(Sync!$S636="","",Sync!$S636))</f>
        <v/>
      </c>
      <c r="H639">
        <f>IF(OR($E639="",$E639="نامعتبر"),"",IF(Sync!$R636="","",Sync!$R636))</f>
        <v/>
      </c>
      <c r="I639">
        <f>IF(OR($E639="",$E639="نامعتبر"),"",IF(Sync!$T636="","",Sync!$T636))</f>
        <v/>
      </c>
      <c r="J639">
        <f>IF(OR($E639="",$E639="نامعتبر"),"",IF(Sync!$U636="","",Sync!$U636))</f>
        <v/>
      </c>
      <c r="K639">
        <f>IF(OR($E639="",$E639="نامعتبر"),"",IF(Sync!$V636="","",IFERROR(INDEX(SubCodes,MATCH(Sync!$V636,SubTitles,0)),Sync!$V636)))</f>
        <v/>
      </c>
      <c r="L639">
        <f>IF(OR($E639="",$E639="نامعتبر"),"",IF(Sync!$W636="",0,Sync!$W636))</f>
        <v/>
      </c>
      <c r="M639">
        <f>IF(OR($E639="",$E639="نامعتبر"),"",IF(Sync!$X636="",0,Sync!$X636))</f>
        <v/>
      </c>
      <c r="N639">
        <f>IF(OR($E639="",$E639="نامعتبر"),"",IF(AND($J639="هزینه",$K639&lt;&gt;""),1,0))</f>
        <v/>
      </c>
      <c r="O639">
        <f>IF($N639=0,"",LEFT($E639,4)&amp;MID($E639,6,2)&amp;RIGHT($E639,2)&amp;$F639&amp;"|"&amp;"1"&amp;RIGHT("00000"&amp;631,5))</f>
        <v/>
      </c>
      <c r="P639">
        <f>IF($O639="","",COUNTIFS(ExpSub,$K639,ExpKey,"&lt;"&amp;$O639)+1)</f>
        <v/>
      </c>
      <c r="Q639">
        <f>IF($P639="","",$K639&amp;"|"&amp;RIGHT("000000"&amp;$P639,6))</f>
        <v/>
      </c>
    </row>
    <row r="640">
      <c r="A640">
        <f>IF(Sync!$P637="","",Sync!$P637)</f>
        <v/>
      </c>
      <c r="B640">
        <f>IF($A640="","",IF(ISNUMBER($A640),IF(AND($A640&gt;=10000101,$A640&lt;=99991231),INT($A640/10000),""),IFERROR(VALUE(TRIM(LEFT($A640,FIND("/",$A640)-1))),"")))</f>
        <v/>
      </c>
      <c r="C640">
        <f>IF(OR($A640="",$B640=""),"",IF(ISNUMBER($A640),INT(MOD($A640,10000)/100),IFERROR(VALUE(TRIM(LEFT(MID($A640,FIND("/",$A640)+1,20),FIND("/",MID($A640,FIND("/",$A640)+1,20))-1))),"")))</f>
        <v/>
      </c>
      <c r="D640">
        <f>IF(OR($A640="",$B640=""),"",IF(ISNUMBER($A640),MOD($A640,100),IFERROR(VALUE(TRIM(MID(MID($A640,FIND("/",$A640)+1,20),FIND("/",MID($A640,FIND("/",$A640)+1,20))+1,20))),"")))</f>
        <v/>
      </c>
      <c r="E640">
        <f>IF($A640="","",IF(OR($B640="",$C640="",$D640="",$B640&lt;1300,$B640&gt;1500,$C640&lt;1,$C640&gt;12,$D640&lt;1,$D640&gt;31),"نامعتبر",RIGHT("0000"&amp;$B640,4)&amp;"/"&amp;RIGHT("00"&amp;$C640,2)&amp;"/"&amp;RIGHT("00"&amp;$D640,2)))</f>
        <v/>
      </c>
      <c r="F640">
        <f>IF(OR($E640="",$E640="نامعتبر"),"",IF(Sync!$Q637="","0000",IF(AND(ISNUMBER(Sync!$Q637),Sync!$Q637&gt;=0,Sync!$Q637&lt;1),RIGHT("00"&amp;HOUR(Sync!$Q637),2)&amp;RIGHT("00"&amp;MINUTE(Sync!$Q637),2),IFERROR(RIGHT("00"&amp;VALUE(LEFT(Sync!$Q637,FIND(":",Sync!$Q637)-1)),2)&amp;RIGHT("00"&amp;VALUE(MID(Sync!$Q637,FIND(":",Sync!$Q637)+1,2)),2),"0000"))))</f>
        <v/>
      </c>
      <c r="G640">
        <f>IF(OR($E640="",$E640="نامعتبر"),"",IF(Sync!$S637="","",Sync!$S637))</f>
        <v/>
      </c>
      <c r="H640">
        <f>IF(OR($E640="",$E640="نامعتبر"),"",IF(Sync!$R637="","",Sync!$R637))</f>
        <v/>
      </c>
      <c r="I640">
        <f>IF(OR($E640="",$E640="نامعتبر"),"",IF(Sync!$T637="","",Sync!$T637))</f>
        <v/>
      </c>
      <c r="J640">
        <f>IF(OR($E640="",$E640="نامعتبر"),"",IF(Sync!$U637="","",Sync!$U637))</f>
        <v/>
      </c>
      <c r="K640">
        <f>IF(OR($E640="",$E640="نامعتبر"),"",IF(Sync!$V637="","",IFERROR(INDEX(SubCodes,MATCH(Sync!$V637,SubTitles,0)),Sync!$V637)))</f>
        <v/>
      </c>
      <c r="L640">
        <f>IF(OR($E640="",$E640="نامعتبر"),"",IF(Sync!$W637="",0,Sync!$W637))</f>
        <v/>
      </c>
      <c r="M640">
        <f>IF(OR($E640="",$E640="نامعتبر"),"",IF(Sync!$X637="",0,Sync!$X637))</f>
        <v/>
      </c>
      <c r="N640">
        <f>IF(OR($E640="",$E640="نامعتبر"),"",IF(AND($J640="هزینه",$K640&lt;&gt;""),1,0))</f>
        <v/>
      </c>
      <c r="O640">
        <f>IF($N640=0,"",LEFT($E640,4)&amp;MID($E640,6,2)&amp;RIGHT($E640,2)&amp;$F640&amp;"|"&amp;"1"&amp;RIGHT("00000"&amp;632,5))</f>
        <v/>
      </c>
      <c r="P640">
        <f>IF($O640="","",COUNTIFS(ExpSub,$K640,ExpKey,"&lt;"&amp;$O640)+1)</f>
        <v/>
      </c>
      <c r="Q640">
        <f>IF($P640="","",$K640&amp;"|"&amp;RIGHT("000000"&amp;$P640,6))</f>
        <v/>
      </c>
    </row>
    <row r="641">
      <c r="A641">
        <f>IF(Sync!$P638="","",Sync!$P638)</f>
        <v/>
      </c>
      <c r="B641">
        <f>IF($A641="","",IF(ISNUMBER($A641),IF(AND($A641&gt;=10000101,$A641&lt;=99991231),INT($A641/10000),""),IFERROR(VALUE(TRIM(LEFT($A641,FIND("/",$A641)-1))),"")))</f>
        <v/>
      </c>
      <c r="C641">
        <f>IF(OR($A641="",$B641=""),"",IF(ISNUMBER($A641),INT(MOD($A641,10000)/100),IFERROR(VALUE(TRIM(LEFT(MID($A641,FIND("/",$A641)+1,20),FIND("/",MID($A641,FIND("/",$A641)+1,20))-1))),"")))</f>
        <v/>
      </c>
      <c r="D641">
        <f>IF(OR($A641="",$B641=""),"",IF(ISNUMBER($A641),MOD($A641,100),IFERROR(VALUE(TRIM(MID(MID($A641,FIND("/",$A641)+1,20),FIND("/",MID($A641,FIND("/",$A641)+1,20))+1,20))),"")))</f>
        <v/>
      </c>
      <c r="E641">
        <f>IF($A641="","",IF(OR($B641="",$C641="",$D641="",$B641&lt;1300,$B641&gt;1500,$C641&lt;1,$C641&gt;12,$D641&lt;1,$D641&gt;31),"نامعتبر",RIGHT("0000"&amp;$B641,4)&amp;"/"&amp;RIGHT("00"&amp;$C641,2)&amp;"/"&amp;RIGHT("00"&amp;$D641,2)))</f>
        <v/>
      </c>
      <c r="F641">
        <f>IF(OR($E641="",$E641="نامعتبر"),"",IF(Sync!$Q638="","0000",IF(AND(ISNUMBER(Sync!$Q638),Sync!$Q638&gt;=0,Sync!$Q638&lt;1),RIGHT("00"&amp;HOUR(Sync!$Q638),2)&amp;RIGHT("00"&amp;MINUTE(Sync!$Q638),2),IFERROR(RIGHT("00"&amp;VALUE(LEFT(Sync!$Q638,FIND(":",Sync!$Q638)-1)),2)&amp;RIGHT("00"&amp;VALUE(MID(Sync!$Q638,FIND(":",Sync!$Q638)+1,2)),2),"0000"))))</f>
        <v/>
      </c>
      <c r="G641">
        <f>IF(OR($E641="",$E641="نامعتبر"),"",IF(Sync!$S638="","",Sync!$S638))</f>
        <v/>
      </c>
      <c r="H641">
        <f>IF(OR($E641="",$E641="نامعتبر"),"",IF(Sync!$R638="","",Sync!$R638))</f>
        <v/>
      </c>
      <c r="I641">
        <f>IF(OR($E641="",$E641="نامعتبر"),"",IF(Sync!$T638="","",Sync!$T638))</f>
        <v/>
      </c>
      <c r="J641">
        <f>IF(OR($E641="",$E641="نامعتبر"),"",IF(Sync!$U638="","",Sync!$U638))</f>
        <v/>
      </c>
      <c r="K641">
        <f>IF(OR($E641="",$E641="نامعتبر"),"",IF(Sync!$V638="","",IFERROR(INDEX(SubCodes,MATCH(Sync!$V638,SubTitles,0)),Sync!$V638)))</f>
        <v/>
      </c>
      <c r="L641">
        <f>IF(OR($E641="",$E641="نامعتبر"),"",IF(Sync!$W638="",0,Sync!$W638))</f>
        <v/>
      </c>
      <c r="M641">
        <f>IF(OR($E641="",$E641="نامعتبر"),"",IF(Sync!$X638="",0,Sync!$X638))</f>
        <v/>
      </c>
      <c r="N641">
        <f>IF(OR($E641="",$E641="نامعتبر"),"",IF(AND($J641="هزینه",$K641&lt;&gt;""),1,0))</f>
        <v/>
      </c>
      <c r="O641">
        <f>IF($N641=0,"",LEFT($E641,4)&amp;MID($E641,6,2)&amp;RIGHT($E641,2)&amp;$F641&amp;"|"&amp;"1"&amp;RIGHT("00000"&amp;633,5))</f>
        <v/>
      </c>
      <c r="P641">
        <f>IF($O641="","",COUNTIFS(ExpSub,$K641,ExpKey,"&lt;"&amp;$O641)+1)</f>
        <v/>
      </c>
      <c r="Q641">
        <f>IF($P641="","",$K641&amp;"|"&amp;RIGHT("000000"&amp;$P641,6))</f>
        <v/>
      </c>
    </row>
    <row r="642">
      <c r="A642">
        <f>IF(Sync!$P639="","",Sync!$P639)</f>
        <v/>
      </c>
      <c r="B642">
        <f>IF($A642="","",IF(ISNUMBER($A642),IF(AND($A642&gt;=10000101,$A642&lt;=99991231),INT($A642/10000),""),IFERROR(VALUE(TRIM(LEFT($A642,FIND("/",$A642)-1))),"")))</f>
        <v/>
      </c>
      <c r="C642">
        <f>IF(OR($A642="",$B642=""),"",IF(ISNUMBER($A642),INT(MOD($A642,10000)/100),IFERROR(VALUE(TRIM(LEFT(MID($A642,FIND("/",$A642)+1,20),FIND("/",MID($A642,FIND("/",$A642)+1,20))-1))),"")))</f>
        <v/>
      </c>
      <c r="D642">
        <f>IF(OR($A642="",$B642=""),"",IF(ISNUMBER($A642),MOD($A642,100),IFERROR(VALUE(TRIM(MID(MID($A642,FIND("/",$A642)+1,20),FIND("/",MID($A642,FIND("/",$A642)+1,20))+1,20))),"")))</f>
        <v/>
      </c>
      <c r="E642">
        <f>IF($A642="","",IF(OR($B642="",$C642="",$D642="",$B642&lt;1300,$B642&gt;1500,$C642&lt;1,$C642&gt;12,$D642&lt;1,$D642&gt;31),"نامعتبر",RIGHT("0000"&amp;$B642,4)&amp;"/"&amp;RIGHT("00"&amp;$C642,2)&amp;"/"&amp;RIGHT("00"&amp;$D642,2)))</f>
        <v/>
      </c>
      <c r="F642">
        <f>IF(OR($E642="",$E642="نامعتبر"),"",IF(Sync!$Q639="","0000",IF(AND(ISNUMBER(Sync!$Q639),Sync!$Q639&gt;=0,Sync!$Q639&lt;1),RIGHT("00"&amp;HOUR(Sync!$Q639),2)&amp;RIGHT("00"&amp;MINUTE(Sync!$Q639),2),IFERROR(RIGHT("00"&amp;VALUE(LEFT(Sync!$Q639,FIND(":",Sync!$Q639)-1)),2)&amp;RIGHT("00"&amp;VALUE(MID(Sync!$Q639,FIND(":",Sync!$Q639)+1,2)),2),"0000"))))</f>
        <v/>
      </c>
      <c r="G642">
        <f>IF(OR($E642="",$E642="نامعتبر"),"",IF(Sync!$S639="","",Sync!$S639))</f>
        <v/>
      </c>
      <c r="H642">
        <f>IF(OR($E642="",$E642="نامعتبر"),"",IF(Sync!$R639="","",Sync!$R639))</f>
        <v/>
      </c>
      <c r="I642">
        <f>IF(OR($E642="",$E642="نامعتبر"),"",IF(Sync!$T639="","",Sync!$T639))</f>
        <v/>
      </c>
      <c r="J642">
        <f>IF(OR($E642="",$E642="نامعتبر"),"",IF(Sync!$U639="","",Sync!$U639))</f>
        <v/>
      </c>
      <c r="K642">
        <f>IF(OR($E642="",$E642="نامعتبر"),"",IF(Sync!$V639="","",IFERROR(INDEX(SubCodes,MATCH(Sync!$V639,SubTitles,0)),Sync!$V639)))</f>
        <v/>
      </c>
      <c r="L642">
        <f>IF(OR($E642="",$E642="نامعتبر"),"",IF(Sync!$W639="",0,Sync!$W639))</f>
        <v/>
      </c>
      <c r="M642">
        <f>IF(OR($E642="",$E642="نامعتبر"),"",IF(Sync!$X639="",0,Sync!$X639))</f>
        <v/>
      </c>
      <c r="N642">
        <f>IF(OR($E642="",$E642="نامعتبر"),"",IF(AND($J642="هزینه",$K642&lt;&gt;""),1,0))</f>
        <v/>
      </c>
      <c r="O642">
        <f>IF($N642=0,"",LEFT($E642,4)&amp;MID($E642,6,2)&amp;RIGHT($E642,2)&amp;$F642&amp;"|"&amp;"1"&amp;RIGHT("00000"&amp;634,5))</f>
        <v/>
      </c>
      <c r="P642">
        <f>IF($O642="","",COUNTIFS(ExpSub,$K642,ExpKey,"&lt;"&amp;$O642)+1)</f>
        <v/>
      </c>
      <c r="Q642">
        <f>IF($P642="","",$K642&amp;"|"&amp;RIGHT("000000"&amp;$P642,6))</f>
        <v/>
      </c>
    </row>
    <row r="643">
      <c r="A643">
        <f>IF(Sync!$P640="","",Sync!$P640)</f>
        <v/>
      </c>
      <c r="B643">
        <f>IF($A643="","",IF(ISNUMBER($A643),IF(AND($A643&gt;=10000101,$A643&lt;=99991231),INT($A643/10000),""),IFERROR(VALUE(TRIM(LEFT($A643,FIND("/",$A643)-1))),"")))</f>
        <v/>
      </c>
      <c r="C643">
        <f>IF(OR($A643="",$B643=""),"",IF(ISNUMBER($A643),INT(MOD($A643,10000)/100),IFERROR(VALUE(TRIM(LEFT(MID($A643,FIND("/",$A643)+1,20),FIND("/",MID($A643,FIND("/",$A643)+1,20))-1))),"")))</f>
        <v/>
      </c>
      <c r="D643">
        <f>IF(OR($A643="",$B643=""),"",IF(ISNUMBER($A643),MOD($A643,100),IFERROR(VALUE(TRIM(MID(MID($A643,FIND("/",$A643)+1,20),FIND("/",MID($A643,FIND("/",$A643)+1,20))+1,20))),"")))</f>
        <v/>
      </c>
      <c r="E643">
        <f>IF($A643="","",IF(OR($B643="",$C643="",$D643="",$B643&lt;1300,$B643&gt;1500,$C643&lt;1,$C643&gt;12,$D643&lt;1,$D643&gt;31),"نامعتبر",RIGHT("0000"&amp;$B643,4)&amp;"/"&amp;RIGHT("00"&amp;$C643,2)&amp;"/"&amp;RIGHT("00"&amp;$D643,2)))</f>
        <v/>
      </c>
      <c r="F643">
        <f>IF(OR($E643="",$E643="نامعتبر"),"",IF(Sync!$Q640="","0000",IF(AND(ISNUMBER(Sync!$Q640),Sync!$Q640&gt;=0,Sync!$Q640&lt;1),RIGHT("00"&amp;HOUR(Sync!$Q640),2)&amp;RIGHT("00"&amp;MINUTE(Sync!$Q640),2),IFERROR(RIGHT("00"&amp;VALUE(LEFT(Sync!$Q640,FIND(":",Sync!$Q640)-1)),2)&amp;RIGHT("00"&amp;VALUE(MID(Sync!$Q640,FIND(":",Sync!$Q640)+1,2)),2),"0000"))))</f>
        <v/>
      </c>
      <c r="G643">
        <f>IF(OR($E643="",$E643="نامعتبر"),"",IF(Sync!$S640="","",Sync!$S640))</f>
        <v/>
      </c>
      <c r="H643">
        <f>IF(OR($E643="",$E643="نامعتبر"),"",IF(Sync!$R640="","",Sync!$R640))</f>
        <v/>
      </c>
      <c r="I643">
        <f>IF(OR($E643="",$E643="نامعتبر"),"",IF(Sync!$T640="","",Sync!$T640))</f>
        <v/>
      </c>
      <c r="J643">
        <f>IF(OR($E643="",$E643="نامعتبر"),"",IF(Sync!$U640="","",Sync!$U640))</f>
        <v/>
      </c>
      <c r="K643">
        <f>IF(OR($E643="",$E643="نامعتبر"),"",IF(Sync!$V640="","",IFERROR(INDEX(SubCodes,MATCH(Sync!$V640,SubTitles,0)),Sync!$V640)))</f>
        <v/>
      </c>
      <c r="L643">
        <f>IF(OR($E643="",$E643="نامعتبر"),"",IF(Sync!$W640="",0,Sync!$W640))</f>
        <v/>
      </c>
      <c r="M643">
        <f>IF(OR($E643="",$E643="نامعتبر"),"",IF(Sync!$X640="",0,Sync!$X640))</f>
        <v/>
      </c>
      <c r="N643">
        <f>IF(OR($E643="",$E643="نامعتبر"),"",IF(AND($J643="هزینه",$K643&lt;&gt;""),1,0))</f>
        <v/>
      </c>
      <c r="O643">
        <f>IF($N643=0,"",LEFT($E643,4)&amp;MID($E643,6,2)&amp;RIGHT($E643,2)&amp;$F643&amp;"|"&amp;"1"&amp;RIGHT("00000"&amp;635,5))</f>
        <v/>
      </c>
      <c r="P643">
        <f>IF($O643="","",COUNTIFS(ExpSub,$K643,ExpKey,"&lt;"&amp;$O643)+1)</f>
        <v/>
      </c>
      <c r="Q643">
        <f>IF($P643="","",$K643&amp;"|"&amp;RIGHT("000000"&amp;$P643,6))</f>
        <v/>
      </c>
    </row>
    <row r="644">
      <c r="A644">
        <f>IF(Sync!$P641="","",Sync!$P641)</f>
        <v/>
      </c>
      <c r="B644">
        <f>IF($A644="","",IF(ISNUMBER($A644),IF(AND($A644&gt;=10000101,$A644&lt;=99991231),INT($A644/10000),""),IFERROR(VALUE(TRIM(LEFT($A644,FIND("/",$A644)-1))),"")))</f>
        <v/>
      </c>
      <c r="C644">
        <f>IF(OR($A644="",$B644=""),"",IF(ISNUMBER($A644),INT(MOD($A644,10000)/100),IFERROR(VALUE(TRIM(LEFT(MID($A644,FIND("/",$A644)+1,20),FIND("/",MID($A644,FIND("/",$A644)+1,20))-1))),"")))</f>
        <v/>
      </c>
      <c r="D644">
        <f>IF(OR($A644="",$B644=""),"",IF(ISNUMBER($A644),MOD($A644,100),IFERROR(VALUE(TRIM(MID(MID($A644,FIND("/",$A644)+1,20),FIND("/",MID($A644,FIND("/",$A644)+1,20))+1,20))),"")))</f>
        <v/>
      </c>
      <c r="E644">
        <f>IF($A644="","",IF(OR($B644="",$C644="",$D644="",$B644&lt;1300,$B644&gt;1500,$C644&lt;1,$C644&gt;12,$D644&lt;1,$D644&gt;31),"نامعتبر",RIGHT("0000"&amp;$B644,4)&amp;"/"&amp;RIGHT("00"&amp;$C644,2)&amp;"/"&amp;RIGHT("00"&amp;$D644,2)))</f>
        <v/>
      </c>
      <c r="F644">
        <f>IF(OR($E644="",$E644="نامعتبر"),"",IF(Sync!$Q641="","0000",IF(AND(ISNUMBER(Sync!$Q641),Sync!$Q641&gt;=0,Sync!$Q641&lt;1),RIGHT("00"&amp;HOUR(Sync!$Q641),2)&amp;RIGHT("00"&amp;MINUTE(Sync!$Q641),2),IFERROR(RIGHT("00"&amp;VALUE(LEFT(Sync!$Q641,FIND(":",Sync!$Q641)-1)),2)&amp;RIGHT("00"&amp;VALUE(MID(Sync!$Q641,FIND(":",Sync!$Q641)+1,2)),2),"0000"))))</f>
        <v/>
      </c>
      <c r="G644">
        <f>IF(OR($E644="",$E644="نامعتبر"),"",IF(Sync!$S641="","",Sync!$S641))</f>
        <v/>
      </c>
      <c r="H644">
        <f>IF(OR($E644="",$E644="نامعتبر"),"",IF(Sync!$R641="","",Sync!$R641))</f>
        <v/>
      </c>
      <c r="I644">
        <f>IF(OR($E644="",$E644="نامعتبر"),"",IF(Sync!$T641="","",Sync!$T641))</f>
        <v/>
      </c>
      <c r="J644">
        <f>IF(OR($E644="",$E644="نامعتبر"),"",IF(Sync!$U641="","",Sync!$U641))</f>
        <v/>
      </c>
      <c r="K644">
        <f>IF(OR($E644="",$E644="نامعتبر"),"",IF(Sync!$V641="","",IFERROR(INDEX(SubCodes,MATCH(Sync!$V641,SubTitles,0)),Sync!$V641)))</f>
        <v/>
      </c>
      <c r="L644">
        <f>IF(OR($E644="",$E644="نامعتبر"),"",IF(Sync!$W641="",0,Sync!$W641))</f>
        <v/>
      </c>
      <c r="M644">
        <f>IF(OR($E644="",$E644="نامعتبر"),"",IF(Sync!$X641="",0,Sync!$X641))</f>
        <v/>
      </c>
      <c r="N644">
        <f>IF(OR($E644="",$E644="نامعتبر"),"",IF(AND($J644="هزینه",$K644&lt;&gt;""),1,0))</f>
        <v/>
      </c>
      <c r="O644">
        <f>IF($N644=0,"",LEFT($E644,4)&amp;MID($E644,6,2)&amp;RIGHT($E644,2)&amp;$F644&amp;"|"&amp;"1"&amp;RIGHT("00000"&amp;636,5))</f>
        <v/>
      </c>
      <c r="P644">
        <f>IF($O644="","",COUNTIFS(ExpSub,$K644,ExpKey,"&lt;"&amp;$O644)+1)</f>
        <v/>
      </c>
      <c r="Q644">
        <f>IF($P644="","",$K644&amp;"|"&amp;RIGHT("000000"&amp;$P644,6))</f>
        <v/>
      </c>
    </row>
    <row r="645">
      <c r="A645">
        <f>IF(Sync!$P642="","",Sync!$P642)</f>
        <v/>
      </c>
      <c r="B645">
        <f>IF($A645="","",IF(ISNUMBER($A645),IF(AND($A645&gt;=10000101,$A645&lt;=99991231),INT($A645/10000),""),IFERROR(VALUE(TRIM(LEFT($A645,FIND("/",$A645)-1))),"")))</f>
        <v/>
      </c>
      <c r="C645">
        <f>IF(OR($A645="",$B645=""),"",IF(ISNUMBER($A645),INT(MOD($A645,10000)/100),IFERROR(VALUE(TRIM(LEFT(MID($A645,FIND("/",$A645)+1,20),FIND("/",MID($A645,FIND("/",$A645)+1,20))-1))),"")))</f>
        <v/>
      </c>
      <c r="D645">
        <f>IF(OR($A645="",$B645=""),"",IF(ISNUMBER($A645),MOD($A645,100),IFERROR(VALUE(TRIM(MID(MID($A645,FIND("/",$A645)+1,20),FIND("/",MID($A645,FIND("/",$A645)+1,20))+1,20))),"")))</f>
        <v/>
      </c>
      <c r="E645">
        <f>IF($A645="","",IF(OR($B645="",$C645="",$D645="",$B645&lt;1300,$B645&gt;1500,$C645&lt;1,$C645&gt;12,$D645&lt;1,$D645&gt;31),"نامعتبر",RIGHT("0000"&amp;$B645,4)&amp;"/"&amp;RIGHT("00"&amp;$C645,2)&amp;"/"&amp;RIGHT("00"&amp;$D645,2)))</f>
        <v/>
      </c>
      <c r="F645">
        <f>IF(OR($E645="",$E645="نامعتبر"),"",IF(Sync!$Q642="","0000",IF(AND(ISNUMBER(Sync!$Q642),Sync!$Q642&gt;=0,Sync!$Q642&lt;1),RIGHT("00"&amp;HOUR(Sync!$Q642),2)&amp;RIGHT("00"&amp;MINUTE(Sync!$Q642),2),IFERROR(RIGHT("00"&amp;VALUE(LEFT(Sync!$Q642,FIND(":",Sync!$Q642)-1)),2)&amp;RIGHT("00"&amp;VALUE(MID(Sync!$Q642,FIND(":",Sync!$Q642)+1,2)),2),"0000"))))</f>
        <v/>
      </c>
      <c r="G645">
        <f>IF(OR($E645="",$E645="نامعتبر"),"",IF(Sync!$S642="","",Sync!$S642))</f>
        <v/>
      </c>
      <c r="H645">
        <f>IF(OR($E645="",$E645="نامعتبر"),"",IF(Sync!$R642="","",Sync!$R642))</f>
        <v/>
      </c>
      <c r="I645">
        <f>IF(OR($E645="",$E645="نامعتبر"),"",IF(Sync!$T642="","",Sync!$T642))</f>
        <v/>
      </c>
      <c r="J645">
        <f>IF(OR($E645="",$E645="نامعتبر"),"",IF(Sync!$U642="","",Sync!$U642))</f>
        <v/>
      </c>
      <c r="K645">
        <f>IF(OR($E645="",$E645="نامعتبر"),"",IF(Sync!$V642="","",IFERROR(INDEX(SubCodes,MATCH(Sync!$V642,SubTitles,0)),Sync!$V642)))</f>
        <v/>
      </c>
      <c r="L645">
        <f>IF(OR($E645="",$E645="نامعتبر"),"",IF(Sync!$W642="",0,Sync!$W642))</f>
        <v/>
      </c>
      <c r="M645">
        <f>IF(OR($E645="",$E645="نامعتبر"),"",IF(Sync!$X642="",0,Sync!$X642))</f>
        <v/>
      </c>
      <c r="N645">
        <f>IF(OR($E645="",$E645="نامعتبر"),"",IF(AND($J645="هزینه",$K645&lt;&gt;""),1,0))</f>
        <v/>
      </c>
      <c r="O645">
        <f>IF($N645=0,"",LEFT($E645,4)&amp;MID($E645,6,2)&amp;RIGHT($E645,2)&amp;$F645&amp;"|"&amp;"1"&amp;RIGHT("00000"&amp;637,5))</f>
        <v/>
      </c>
      <c r="P645">
        <f>IF($O645="","",COUNTIFS(ExpSub,$K645,ExpKey,"&lt;"&amp;$O645)+1)</f>
        <v/>
      </c>
      <c r="Q645">
        <f>IF($P645="","",$K645&amp;"|"&amp;RIGHT("000000"&amp;$P645,6))</f>
        <v/>
      </c>
    </row>
    <row r="646">
      <c r="A646">
        <f>IF(Sync!$P643="","",Sync!$P643)</f>
        <v/>
      </c>
      <c r="B646">
        <f>IF($A646="","",IF(ISNUMBER($A646),IF(AND($A646&gt;=10000101,$A646&lt;=99991231),INT($A646/10000),""),IFERROR(VALUE(TRIM(LEFT($A646,FIND("/",$A646)-1))),"")))</f>
        <v/>
      </c>
      <c r="C646">
        <f>IF(OR($A646="",$B646=""),"",IF(ISNUMBER($A646),INT(MOD($A646,10000)/100),IFERROR(VALUE(TRIM(LEFT(MID($A646,FIND("/",$A646)+1,20),FIND("/",MID($A646,FIND("/",$A646)+1,20))-1))),"")))</f>
        <v/>
      </c>
      <c r="D646">
        <f>IF(OR($A646="",$B646=""),"",IF(ISNUMBER($A646),MOD($A646,100),IFERROR(VALUE(TRIM(MID(MID($A646,FIND("/",$A646)+1,20),FIND("/",MID($A646,FIND("/",$A646)+1,20))+1,20))),"")))</f>
        <v/>
      </c>
      <c r="E646">
        <f>IF($A646="","",IF(OR($B646="",$C646="",$D646="",$B646&lt;1300,$B646&gt;1500,$C646&lt;1,$C646&gt;12,$D646&lt;1,$D646&gt;31),"نامعتبر",RIGHT("0000"&amp;$B646,4)&amp;"/"&amp;RIGHT("00"&amp;$C646,2)&amp;"/"&amp;RIGHT("00"&amp;$D646,2)))</f>
        <v/>
      </c>
      <c r="F646">
        <f>IF(OR($E646="",$E646="نامعتبر"),"",IF(Sync!$Q643="","0000",IF(AND(ISNUMBER(Sync!$Q643),Sync!$Q643&gt;=0,Sync!$Q643&lt;1),RIGHT("00"&amp;HOUR(Sync!$Q643),2)&amp;RIGHT("00"&amp;MINUTE(Sync!$Q643),2),IFERROR(RIGHT("00"&amp;VALUE(LEFT(Sync!$Q643,FIND(":",Sync!$Q643)-1)),2)&amp;RIGHT("00"&amp;VALUE(MID(Sync!$Q643,FIND(":",Sync!$Q643)+1,2)),2),"0000"))))</f>
        <v/>
      </c>
      <c r="G646">
        <f>IF(OR($E646="",$E646="نامعتبر"),"",IF(Sync!$S643="","",Sync!$S643))</f>
        <v/>
      </c>
      <c r="H646">
        <f>IF(OR($E646="",$E646="نامعتبر"),"",IF(Sync!$R643="","",Sync!$R643))</f>
        <v/>
      </c>
      <c r="I646">
        <f>IF(OR($E646="",$E646="نامعتبر"),"",IF(Sync!$T643="","",Sync!$T643))</f>
        <v/>
      </c>
      <c r="J646">
        <f>IF(OR($E646="",$E646="نامعتبر"),"",IF(Sync!$U643="","",Sync!$U643))</f>
        <v/>
      </c>
      <c r="K646">
        <f>IF(OR($E646="",$E646="نامعتبر"),"",IF(Sync!$V643="","",IFERROR(INDEX(SubCodes,MATCH(Sync!$V643,SubTitles,0)),Sync!$V643)))</f>
        <v/>
      </c>
      <c r="L646">
        <f>IF(OR($E646="",$E646="نامعتبر"),"",IF(Sync!$W643="",0,Sync!$W643))</f>
        <v/>
      </c>
      <c r="M646">
        <f>IF(OR($E646="",$E646="نامعتبر"),"",IF(Sync!$X643="",0,Sync!$X643))</f>
        <v/>
      </c>
      <c r="N646">
        <f>IF(OR($E646="",$E646="نامعتبر"),"",IF(AND($J646="هزینه",$K646&lt;&gt;""),1,0))</f>
        <v/>
      </c>
      <c r="O646">
        <f>IF($N646=0,"",LEFT($E646,4)&amp;MID($E646,6,2)&amp;RIGHT($E646,2)&amp;$F646&amp;"|"&amp;"1"&amp;RIGHT("00000"&amp;638,5))</f>
        <v/>
      </c>
      <c r="P646">
        <f>IF($O646="","",COUNTIFS(ExpSub,$K646,ExpKey,"&lt;"&amp;$O646)+1)</f>
        <v/>
      </c>
      <c r="Q646">
        <f>IF($P646="","",$K646&amp;"|"&amp;RIGHT("000000"&amp;$P646,6))</f>
        <v/>
      </c>
    </row>
    <row r="647">
      <c r="A647">
        <f>IF(Sync!$P644="","",Sync!$P644)</f>
        <v/>
      </c>
      <c r="B647">
        <f>IF($A647="","",IF(ISNUMBER($A647),IF(AND($A647&gt;=10000101,$A647&lt;=99991231),INT($A647/10000),""),IFERROR(VALUE(TRIM(LEFT($A647,FIND("/",$A647)-1))),"")))</f>
        <v/>
      </c>
      <c r="C647">
        <f>IF(OR($A647="",$B647=""),"",IF(ISNUMBER($A647),INT(MOD($A647,10000)/100),IFERROR(VALUE(TRIM(LEFT(MID($A647,FIND("/",$A647)+1,20),FIND("/",MID($A647,FIND("/",$A647)+1,20))-1))),"")))</f>
        <v/>
      </c>
      <c r="D647">
        <f>IF(OR($A647="",$B647=""),"",IF(ISNUMBER($A647),MOD($A647,100),IFERROR(VALUE(TRIM(MID(MID($A647,FIND("/",$A647)+1,20),FIND("/",MID($A647,FIND("/",$A647)+1,20))+1,20))),"")))</f>
        <v/>
      </c>
      <c r="E647">
        <f>IF($A647="","",IF(OR($B647="",$C647="",$D647="",$B647&lt;1300,$B647&gt;1500,$C647&lt;1,$C647&gt;12,$D647&lt;1,$D647&gt;31),"نامعتبر",RIGHT("0000"&amp;$B647,4)&amp;"/"&amp;RIGHT("00"&amp;$C647,2)&amp;"/"&amp;RIGHT("00"&amp;$D647,2)))</f>
        <v/>
      </c>
      <c r="F647">
        <f>IF(OR($E647="",$E647="نامعتبر"),"",IF(Sync!$Q644="","0000",IF(AND(ISNUMBER(Sync!$Q644),Sync!$Q644&gt;=0,Sync!$Q644&lt;1),RIGHT("00"&amp;HOUR(Sync!$Q644),2)&amp;RIGHT("00"&amp;MINUTE(Sync!$Q644),2),IFERROR(RIGHT("00"&amp;VALUE(LEFT(Sync!$Q644,FIND(":",Sync!$Q644)-1)),2)&amp;RIGHT("00"&amp;VALUE(MID(Sync!$Q644,FIND(":",Sync!$Q644)+1,2)),2),"0000"))))</f>
        <v/>
      </c>
      <c r="G647">
        <f>IF(OR($E647="",$E647="نامعتبر"),"",IF(Sync!$S644="","",Sync!$S644))</f>
        <v/>
      </c>
      <c r="H647">
        <f>IF(OR($E647="",$E647="نامعتبر"),"",IF(Sync!$R644="","",Sync!$R644))</f>
        <v/>
      </c>
      <c r="I647">
        <f>IF(OR($E647="",$E647="نامعتبر"),"",IF(Sync!$T644="","",Sync!$T644))</f>
        <v/>
      </c>
      <c r="J647">
        <f>IF(OR($E647="",$E647="نامعتبر"),"",IF(Sync!$U644="","",Sync!$U644))</f>
        <v/>
      </c>
      <c r="K647">
        <f>IF(OR($E647="",$E647="نامعتبر"),"",IF(Sync!$V644="","",IFERROR(INDEX(SubCodes,MATCH(Sync!$V644,SubTitles,0)),Sync!$V644)))</f>
        <v/>
      </c>
      <c r="L647">
        <f>IF(OR($E647="",$E647="نامعتبر"),"",IF(Sync!$W644="",0,Sync!$W644))</f>
        <v/>
      </c>
      <c r="M647">
        <f>IF(OR($E647="",$E647="نامعتبر"),"",IF(Sync!$X644="",0,Sync!$X644))</f>
        <v/>
      </c>
      <c r="N647">
        <f>IF(OR($E647="",$E647="نامعتبر"),"",IF(AND($J647="هزینه",$K647&lt;&gt;""),1,0))</f>
        <v/>
      </c>
      <c r="O647">
        <f>IF($N647=0,"",LEFT($E647,4)&amp;MID($E647,6,2)&amp;RIGHT($E647,2)&amp;$F647&amp;"|"&amp;"1"&amp;RIGHT("00000"&amp;639,5))</f>
        <v/>
      </c>
      <c r="P647">
        <f>IF($O647="","",COUNTIFS(ExpSub,$K647,ExpKey,"&lt;"&amp;$O647)+1)</f>
        <v/>
      </c>
      <c r="Q647">
        <f>IF($P647="","",$K647&amp;"|"&amp;RIGHT("000000"&amp;$P647,6))</f>
        <v/>
      </c>
    </row>
    <row r="648">
      <c r="A648">
        <f>IF(Sync!$P645="","",Sync!$P645)</f>
        <v/>
      </c>
      <c r="B648">
        <f>IF($A648="","",IF(ISNUMBER($A648),IF(AND($A648&gt;=10000101,$A648&lt;=99991231),INT($A648/10000),""),IFERROR(VALUE(TRIM(LEFT($A648,FIND("/",$A648)-1))),"")))</f>
        <v/>
      </c>
      <c r="C648">
        <f>IF(OR($A648="",$B648=""),"",IF(ISNUMBER($A648),INT(MOD($A648,10000)/100),IFERROR(VALUE(TRIM(LEFT(MID($A648,FIND("/",$A648)+1,20),FIND("/",MID($A648,FIND("/",$A648)+1,20))-1))),"")))</f>
        <v/>
      </c>
      <c r="D648">
        <f>IF(OR($A648="",$B648=""),"",IF(ISNUMBER($A648),MOD($A648,100),IFERROR(VALUE(TRIM(MID(MID($A648,FIND("/",$A648)+1,20),FIND("/",MID($A648,FIND("/",$A648)+1,20))+1,20))),"")))</f>
        <v/>
      </c>
      <c r="E648">
        <f>IF($A648="","",IF(OR($B648="",$C648="",$D648="",$B648&lt;1300,$B648&gt;1500,$C648&lt;1,$C648&gt;12,$D648&lt;1,$D648&gt;31),"نامعتبر",RIGHT("0000"&amp;$B648,4)&amp;"/"&amp;RIGHT("00"&amp;$C648,2)&amp;"/"&amp;RIGHT("00"&amp;$D648,2)))</f>
        <v/>
      </c>
      <c r="F648">
        <f>IF(OR($E648="",$E648="نامعتبر"),"",IF(Sync!$Q645="","0000",IF(AND(ISNUMBER(Sync!$Q645),Sync!$Q645&gt;=0,Sync!$Q645&lt;1),RIGHT("00"&amp;HOUR(Sync!$Q645),2)&amp;RIGHT("00"&amp;MINUTE(Sync!$Q645),2),IFERROR(RIGHT("00"&amp;VALUE(LEFT(Sync!$Q645,FIND(":",Sync!$Q645)-1)),2)&amp;RIGHT("00"&amp;VALUE(MID(Sync!$Q645,FIND(":",Sync!$Q645)+1,2)),2),"0000"))))</f>
        <v/>
      </c>
      <c r="G648">
        <f>IF(OR($E648="",$E648="نامعتبر"),"",IF(Sync!$S645="","",Sync!$S645))</f>
        <v/>
      </c>
      <c r="H648">
        <f>IF(OR($E648="",$E648="نامعتبر"),"",IF(Sync!$R645="","",Sync!$R645))</f>
        <v/>
      </c>
      <c r="I648">
        <f>IF(OR($E648="",$E648="نامعتبر"),"",IF(Sync!$T645="","",Sync!$T645))</f>
        <v/>
      </c>
      <c r="J648">
        <f>IF(OR($E648="",$E648="نامعتبر"),"",IF(Sync!$U645="","",Sync!$U645))</f>
        <v/>
      </c>
      <c r="K648">
        <f>IF(OR($E648="",$E648="نامعتبر"),"",IF(Sync!$V645="","",IFERROR(INDEX(SubCodes,MATCH(Sync!$V645,SubTitles,0)),Sync!$V645)))</f>
        <v/>
      </c>
      <c r="L648">
        <f>IF(OR($E648="",$E648="نامعتبر"),"",IF(Sync!$W645="",0,Sync!$W645))</f>
        <v/>
      </c>
      <c r="M648">
        <f>IF(OR($E648="",$E648="نامعتبر"),"",IF(Sync!$X645="",0,Sync!$X645))</f>
        <v/>
      </c>
      <c r="N648">
        <f>IF(OR($E648="",$E648="نامعتبر"),"",IF(AND($J648="هزینه",$K648&lt;&gt;""),1,0))</f>
        <v/>
      </c>
      <c r="O648">
        <f>IF($N648=0,"",LEFT($E648,4)&amp;MID($E648,6,2)&amp;RIGHT($E648,2)&amp;$F648&amp;"|"&amp;"1"&amp;RIGHT("00000"&amp;640,5))</f>
        <v/>
      </c>
      <c r="P648">
        <f>IF($O648="","",COUNTIFS(ExpSub,$K648,ExpKey,"&lt;"&amp;$O648)+1)</f>
        <v/>
      </c>
      <c r="Q648">
        <f>IF($P648="","",$K648&amp;"|"&amp;RIGHT("000000"&amp;$P648,6))</f>
        <v/>
      </c>
    </row>
    <row r="649">
      <c r="A649">
        <f>IF(Sync!$P646="","",Sync!$P646)</f>
        <v/>
      </c>
      <c r="B649">
        <f>IF($A649="","",IF(ISNUMBER($A649),IF(AND($A649&gt;=10000101,$A649&lt;=99991231),INT($A649/10000),""),IFERROR(VALUE(TRIM(LEFT($A649,FIND("/",$A649)-1))),"")))</f>
        <v/>
      </c>
      <c r="C649">
        <f>IF(OR($A649="",$B649=""),"",IF(ISNUMBER($A649),INT(MOD($A649,10000)/100),IFERROR(VALUE(TRIM(LEFT(MID($A649,FIND("/",$A649)+1,20),FIND("/",MID($A649,FIND("/",$A649)+1,20))-1))),"")))</f>
        <v/>
      </c>
      <c r="D649">
        <f>IF(OR($A649="",$B649=""),"",IF(ISNUMBER($A649),MOD($A649,100),IFERROR(VALUE(TRIM(MID(MID($A649,FIND("/",$A649)+1,20),FIND("/",MID($A649,FIND("/",$A649)+1,20))+1,20))),"")))</f>
        <v/>
      </c>
      <c r="E649">
        <f>IF($A649="","",IF(OR($B649="",$C649="",$D649="",$B649&lt;1300,$B649&gt;1500,$C649&lt;1,$C649&gt;12,$D649&lt;1,$D649&gt;31),"نامعتبر",RIGHT("0000"&amp;$B649,4)&amp;"/"&amp;RIGHT("00"&amp;$C649,2)&amp;"/"&amp;RIGHT("00"&amp;$D649,2)))</f>
        <v/>
      </c>
      <c r="F649">
        <f>IF(OR($E649="",$E649="نامعتبر"),"",IF(Sync!$Q646="","0000",IF(AND(ISNUMBER(Sync!$Q646),Sync!$Q646&gt;=0,Sync!$Q646&lt;1),RIGHT("00"&amp;HOUR(Sync!$Q646),2)&amp;RIGHT("00"&amp;MINUTE(Sync!$Q646),2),IFERROR(RIGHT("00"&amp;VALUE(LEFT(Sync!$Q646,FIND(":",Sync!$Q646)-1)),2)&amp;RIGHT("00"&amp;VALUE(MID(Sync!$Q646,FIND(":",Sync!$Q646)+1,2)),2),"0000"))))</f>
        <v/>
      </c>
      <c r="G649">
        <f>IF(OR($E649="",$E649="نامعتبر"),"",IF(Sync!$S646="","",Sync!$S646))</f>
        <v/>
      </c>
      <c r="H649">
        <f>IF(OR($E649="",$E649="نامعتبر"),"",IF(Sync!$R646="","",Sync!$R646))</f>
        <v/>
      </c>
      <c r="I649">
        <f>IF(OR($E649="",$E649="نامعتبر"),"",IF(Sync!$T646="","",Sync!$T646))</f>
        <v/>
      </c>
      <c r="J649">
        <f>IF(OR($E649="",$E649="نامعتبر"),"",IF(Sync!$U646="","",Sync!$U646))</f>
        <v/>
      </c>
      <c r="K649">
        <f>IF(OR($E649="",$E649="نامعتبر"),"",IF(Sync!$V646="","",IFERROR(INDEX(SubCodes,MATCH(Sync!$V646,SubTitles,0)),Sync!$V646)))</f>
        <v/>
      </c>
      <c r="L649">
        <f>IF(OR($E649="",$E649="نامعتبر"),"",IF(Sync!$W646="",0,Sync!$W646))</f>
        <v/>
      </c>
      <c r="M649">
        <f>IF(OR($E649="",$E649="نامعتبر"),"",IF(Sync!$X646="",0,Sync!$X646))</f>
        <v/>
      </c>
      <c r="N649">
        <f>IF(OR($E649="",$E649="نامعتبر"),"",IF(AND($J649="هزینه",$K649&lt;&gt;""),1,0))</f>
        <v/>
      </c>
      <c r="O649">
        <f>IF($N649=0,"",LEFT($E649,4)&amp;MID($E649,6,2)&amp;RIGHT($E649,2)&amp;$F649&amp;"|"&amp;"1"&amp;RIGHT("00000"&amp;641,5))</f>
        <v/>
      </c>
      <c r="P649">
        <f>IF($O649="","",COUNTIFS(ExpSub,$K649,ExpKey,"&lt;"&amp;$O649)+1)</f>
        <v/>
      </c>
      <c r="Q649">
        <f>IF($P649="","",$K649&amp;"|"&amp;RIGHT("000000"&amp;$P649,6))</f>
        <v/>
      </c>
    </row>
    <row r="650">
      <c r="A650">
        <f>IF(Sync!$P647="","",Sync!$P647)</f>
        <v/>
      </c>
      <c r="B650">
        <f>IF($A650="","",IF(ISNUMBER($A650),IF(AND($A650&gt;=10000101,$A650&lt;=99991231),INT($A650/10000),""),IFERROR(VALUE(TRIM(LEFT($A650,FIND("/",$A650)-1))),"")))</f>
        <v/>
      </c>
      <c r="C650">
        <f>IF(OR($A650="",$B650=""),"",IF(ISNUMBER($A650),INT(MOD($A650,10000)/100),IFERROR(VALUE(TRIM(LEFT(MID($A650,FIND("/",$A650)+1,20),FIND("/",MID($A650,FIND("/",$A650)+1,20))-1))),"")))</f>
        <v/>
      </c>
      <c r="D650">
        <f>IF(OR($A650="",$B650=""),"",IF(ISNUMBER($A650),MOD($A650,100),IFERROR(VALUE(TRIM(MID(MID($A650,FIND("/",$A650)+1,20),FIND("/",MID($A650,FIND("/",$A650)+1,20))+1,20))),"")))</f>
        <v/>
      </c>
      <c r="E650">
        <f>IF($A650="","",IF(OR($B650="",$C650="",$D650="",$B650&lt;1300,$B650&gt;1500,$C650&lt;1,$C650&gt;12,$D650&lt;1,$D650&gt;31),"نامعتبر",RIGHT("0000"&amp;$B650,4)&amp;"/"&amp;RIGHT("00"&amp;$C650,2)&amp;"/"&amp;RIGHT("00"&amp;$D650,2)))</f>
        <v/>
      </c>
      <c r="F650">
        <f>IF(OR($E650="",$E650="نامعتبر"),"",IF(Sync!$Q647="","0000",IF(AND(ISNUMBER(Sync!$Q647),Sync!$Q647&gt;=0,Sync!$Q647&lt;1),RIGHT("00"&amp;HOUR(Sync!$Q647),2)&amp;RIGHT("00"&amp;MINUTE(Sync!$Q647),2),IFERROR(RIGHT("00"&amp;VALUE(LEFT(Sync!$Q647,FIND(":",Sync!$Q647)-1)),2)&amp;RIGHT("00"&amp;VALUE(MID(Sync!$Q647,FIND(":",Sync!$Q647)+1,2)),2),"0000"))))</f>
        <v/>
      </c>
      <c r="G650">
        <f>IF(OR($E650="",$E650="نامعتبر"),"",IF(Sync!$S647="","",Sync!$S647))</f>
        <v/>
      </c>
      <c r="H650">
        <f>IF(OR($E650="",$E650="نامعتبر"),"",IF(Sync!$R647="","",Sync!$R647))</f>
        <v/>
      </c>
      <c r="I650">
        <f>IF(OR($E650="",$E650="نامعتبر"),"",IF(Sync!$T647="","",Sync!$T647))</f>
        <v/>
      </c>
      <c r="J650">
        <f>IF(OR($E650="",$E650="نامعتبر"),"",IF(Sync!$U647="","",Sync!$U647))</f>
        <v/>
      </c>
      <c r="K650">
        <f>IF(OR($E650="",$E650="نامعتبر"),"",IF(Sync!$V647="","",IFERROR(INDEX(SubCodes,MATCH(Sync!$V647,SubTitles,0)),Sync!$V647)))</f>
        <v/>
      </c>
      <c r="L650">
        <f>IF(OR($E650="",$E650="نامعتبر"),"",IF(Sync!$W647="",0,Sync!$W647))</f>
        <v/>
      </c>
      <c r="M650">
        <f>IF(OR($E650="",$E650="نامعتبر"),"",IF(Sync!$X647="",0,Sync!$X647))</f>
        <v/>
      </c>
      <c r="N650">
        <f>IF(OR($E650="",$E650="نامعتبر"),"",IF(AND($J650="هزینه",$K650&lt;&gt;""),1,0))</f>
        <v/>
      </c>
      <c r="O650">
        <f>IF($N650=0,"",LEFT($E650,4)&amp;MID($E650,6,2)&amp;RIGHT($E650,2)&amp;$F650&amp;"|"&amp;"1"&amp;RIGHT("00000"&amp;642,5))</f>
        <v/>
      </c>
      <c r="P650">
        <f>IF($O650="","",COUNTIFS(ExpSub,$K650,ExpKey,"&lt;"&amp;$O650)+1)</f>
        <v/>
      </c>
      <c r="Q650">
        <f>IF($P650="","",$K650&amp;"|"&amp;RIGHT("000000"&amp;$P650,6))</f>
        <v/>
      </c>
    </row>
    <row r="651">
      <c r="A651">
        <f>IF(Sync!$P648="","",Sync!$P648)</f>
        <v/>
      </c>
      <c r="B651">
        <f>IF($A651="","",IF(ISNUMBER($A651),IF(AND($A651&gt;=10000101,$A651&lt;=99991231),INT($A651/10000),""),IFERROR(VALUE(TRIM(LEFT($A651,FIND("/",$A651)-1))),"")))</f>
        <v/>
      </c>
      <c r="C651">
        <f>IF(OR($A651="",$B651=""),"",IF(ISNUMBER($A651),INT(MOD($A651,10000)/100),IFERROR(VALUE(TRIM(LEFT(MID($A651,FIND("/",$A651)+1,20),FIND("/",MID($A651,FIND("/",$A651)+1,20))-1))),"")))</f>
        <v/>
      </c>
      <c r="D651">
        <f>IF(OR($A651="",$B651=""),"",IF(ISNUMBER($A651),MOD($A651,100),IFERROR(VALUE(TRIM(MID(MID($A651,FIND("/",$A651)+1,20),FIND("/",MID($A651,FIND("/",$A651)+1,20))+1,20))),"")))</f>
        <v/>
      </c>
      <c r="E651">
        <f>IF($A651="","",IF(OR($B651="",$C651="",$D651="",$B651&lt;1300,$B651&gt;1500,$C651&lt;1,$C651&gt;12,$D651&lt;1,$D651&gt;31),"نامعتبر",RIGHT("0000"&amp;$B651,4)&amp;"/"&amp;RIGHT("00"&amp;$C651,2)&amp;"/"&amp;RIGHT("00"&amp;$D651,2)))</f>
        <v/>
      </c>
      <c r="F651">
        <f>IF(OR($E651="",$E651="نامعتبر"),"",IF(Sync!$Q648="","0000",IF(AND(ISNUMBER(Sync!$Q648),Sync!$Q648&gt;=0,Sync!$Q648&lt;1),RIGHT("00"&amp;HOUR(Sync!$Q648),2)&amp;RIGHT("00"&amp;MINUTE(Sync!$Q648),2),IFERROR(RIGHT("00"&amp;VALUE(LEFT(Sync!$Q648,FIND(":",Sync!$Q648)-1)),2)&amp;RIGHT("00"&amp;VALUE(MID(Sync!$Q648,FIND(":",Sync!$Q648)+1,2)),2),"0000"))))</f>
        <v/>
      </c>
      <c r="G651">
        <f>IF(OR($E651="",$E651="نامعتبر"),"",IF(Sync!$S648="","",Sync!$S648))</f>
        <v/>
      </c>
      <c r="H651">
        <f>IF(OR($E651="",$E651="نامعتبر"),"",IF(Sync!$R648="","",Sync!$R648))</f>
        <v/>
      </c>
      <c r="I651">
        <f>IF(OR($E651="",$E651="نامعتبر"),"",IF(Sync!$T648="","",Sync!$T648))</f>
        <v/>
      </c>
      <c r="J651">
        <f>IF(OR($E651="",$E651="نامعتبر"),"",IF(Sync!$U648="","",Sync!$U648))</f>
        <v/>
      </c>
      <c r="K651">
        <f>IF(OR($E651="",$E651="نامعتبر"),"",IF(Sync!$V648="","",IFERROR(INDEX(SubCodes,MATCH(Sync!$V648,SubTitles,0)),Sync!$V648)))</f>
        <v/>
      </c>
      <c r="L651">
        <f>IF(OR($E651="",$E651="نامعتبر"),"",IF(Sync!$W648="",0,Sync!$W648))</f>
        <v/>
      </c>
      <c r="M651">
        <f>IF(OR($E651="",$E651="نامعتبر"),"",IF(Sync!$X648="",0,Sync!$X648))</f>
        <v/>
      </c>
      <c r="N651">
        <f>IF(OR($E651="",$E651="نامعتبر"),"",IF(AND($J651="هزینه",$K651&lt;&gt;""),1,0))</f>
        <v/>
      </c>
      <c r="O651">
        <f>IF($N651=0,"",LEFT($E651,4)&amp;MID($E651,6,2)&amp;RIGHT($E651,2)&amp;$F651&amp;"|"&amp;"1"&amp;RIGHT("00000"&amp;643,5))</f>
        <v/>
      </c>
      <c r="P651">
        <f>IF($O651="","",COUNTIFS(ExpSub,$K651,ExpKey,"&lt;"&amp;$O651)+1)</f>
        <v/>
      </c>
      <c r="Q651">
        <f>IF($P651="","",$K651&amp;"|"&amp;RIGHT("000000"&amp;$P651,6))</f>
        <v/>
      </c>
    </row>
    <row r="652">
      <c r="A652">
        <f>IF(Sync!$P649="","",Sync!$P649)</f>
        <v/>
      </c>
      <c r="B652">
        <f>IF($A652="","",IF(ISNUMBER($A652),IF(AND($A652&gt;=10000101,$A652&lt;=99991231),INT($A652/10000),""),IFERROR(VALUE(TRIM(LEFT($A652,FIND("/",$A652)-1))),"")))</f>
        <v/>
      </c>
      <c r="C652">
        <f>IF(OR($A652="",$B652=""),"",IF(ISNUMBER($A652),INT(MOD($A652,10000)/100),IFERROR(VALUE(TRIM(LEFT(MID($A652,FIND("/",$A652)+1,20),FIND("/",MID($A652,FIND("/",$A652)+1,20))-1))),"")))</f>
        <v/>
      </c>
      <c r="D652">
        <f>IF(OR($A652="",$B652=""),"",IF(ISNUMBER($A652),MOD($A652,100),IFERROR(VALUE(TRIM(MID(MID($A652,FIND("/",$A652)+1,20),FIND("/",MID($A652,FIND("/",$A652)+1,20))+1,20))),"")))</f>
        <v/>
      </c>
      <c r="E652">
        <f>IF($A652="","",IF(OR($B652="",$C652="",$D652="",$B652&lt;1300,$B652&gt;1500,$C652&lt;1,$C652&gt;12,$D652&lt;1,$D652&gt;31),"نامعتبر",RIGHT("0000"&amp;$B652,4)&amp;"/"&amp;RIGHT("00"&amp;$C652,2)&amp;"/"&amp;RIGHT("00"&amp;$D652,2)))</f>
        <v/>
      </c>
      <c r="F652">
        <f>IF(OR($E652="",$E652="نامعتبر"),"",IF(Sync!$Q649="","0000",IF(AND(ISNUMBER(Sync!$Q649),Sync!$Q649&gt;=0,Sync!$Q649&lt;1),RIGHT("00"&amp;HOUR(Sync!$Q649),2)&amp;RIGHT("00"&amp;MINUTE(Sync!$Q649),2),IFERROR(RIGHT("00"&amp;VALUE(LEFT(Sync!$Q649,FIND(":",Sync!$Q649)-1)),2)&amp;RIGHT("00"&amp;VALUE(MID(Sync!$Q649,FIND(":",Sync!$Q649)+1,2)),2),"0000"))))</f>
        <v/>
      </c>
      <c r="G652">
        <f>IF(OR($E652="",$E652="نامعتبر"),"",IF(Sync!$S649="","",Sync!$S649))</f>
        <v/>
      </c>
      <c r="H652">
        <f>IF(OR($E652="",$E652="نامعتبر"),"",IF(Sync!$R649="","",Sync!$R649))</f>
        <v/>
      </c>
      <c r="I652">
        <f>IF(OR($E652="",$E652="نامعتبر"),"",IF(Sync!$T649="","",Sync!$T649))</f>
        <v/>
      </c>
      <c r="J652">
        <f>IF(OR($E652="",$E652="نامعتبر"),"",IF(Sync!$U649="","",Sync!$U649))</f>
        <v/>
      </c>
      <c r="K652">
        <f>IF(OR($E652="",$E652="نامعتبر"),"",IF(Sync!$V649="","",IFERROR(INDEX(SubCodes,MATCH(Sync!$V649,SubTitles,0)),Sync!$V649)))</f>
        <v/>
      </c>
      <c r="L652">
        <f>IF(OR($E652="",$E652="نامعتبر"),"",IF(Sync!$W649="",0,Sync!$W649))</f>
        <v/>
      </c>
      <c r="M652">
        <f>IF(OR($E652="",$E652="نامعتبر"),"",IF(Sync!$X649="",0,Sync!$X649))</f>
        <v/>
      </c>
      <c r="N652">
        <f>IF(OR($E652="",$E652="نامعتبر"),"",IF(AND($J652="هزینه",$K652&lt;&gt;""),1,0))</f>
        <v/>
      </c>
      <c r="O652">
        <f>IF($N652=0,"",LEFT($E652,4)&amp;MID($E652,6,2)&amp;RIGHT($E652,2)&amp;$F652&amp;"|"&amp;"1"&amp;RIGHT("00000"&amp;644,5))</f>
        <v/>
      </c>
      <c r="P652">
        <f>IF($O652="","",COUNTIFS(ExpSub,$K652,ExpKey,"&lt;"&amp;$O652)+1)</f>
        <v/>
      </c>
      <c r="Q652">
        <f>IF($P652="","",$K652&amp;"|"&amp;RIGHT("000000"&amp;$P652,6))</f>
        <v/>
      </c>
    </row>
    <row r="653">
      <c r="A653">
        <f>IF(Sync!$P650="","",Sync!$P650)</f>
        <v/>
      </c>
      <c r="B653">
        <f>IF($A653="","",IF(ISNUMBER($A653),IF(AND($A653&gt;=10000101,$A653&lt;=99991231),INT($A653/10000),""),IFERROR(VALUE(TRIM(LEFT($A653,FIND("/",$A653)-1))),"")))</f>
        <v/>
      </c>
      <c r="C653">
        <f>IF(OR($A653="",$B653=""),"",IF(ISNUMBER($A653),INT(MOD($A653,10000)/100),IFERROR(VALUE(TRIM(LEFT(MID($A653,FIND("/",$A653)+1,20),FIND("/",MID($A653,FIND("/",$A653)+1,20))-1))),"")))</f>
        <v/>
      </c>
      <c r="D653">
        <f>IF(OR($A653="",$B653=""),"",IF(ISNUMBER($A653),MOD($A653,100),IFERROR(VALUE(TRIM(MID(MID($A653,FIND("/",$A653)+1,20),FIND("/",MID($A653,FIND("/",$A653)+1,20))+1,20))),"")))</f>
        <v/>
      </c>
      <c r="E653">
        <f>IF($A653="","",IF(OR($B653="",$C653="",$D653="",$B653&lt;1300,$B653&gt;1500,$C653&lt;1,$C653&gt;12,$D653&lt;1,$D653&gt;31),"نامعتبر",RIGHT("0000"&amp;$B653,4)&amp;"/"&amp;RIGHT("00"&amp;$C653,2)&amp;"/"&amp;RIGHT("00"&amp;$D653,2)))</f>
        <v/>
      </c>
      <c r="F653">
        <f>IF(OR($E653="",$E653="نامعتبر"),"",IF(Sync!$Q650="","0000",IF(AND(ISNUMBER(Sync!$Q650),Sync!$Q650&gt;=0,Sync!$Q650&lt;1),RIGHT("00"&amp;HOUR(Sync!$Q650),2)&amp;RIGHT("00"&amp;MINUTE(Sync!$Q650),2),IFERROR(RIGHT("00"&amp;VALUE(LEFT(Sync!$Q650,FIND(":",Sync!$Q650)-1)),2)&amp;RIGHT("00"&amp;VALUE(MID(Sync!$Q650,FIND(":",Sync!$Q650)+1,2)),2),"0000"))))</f>
        <v/>
      </c>
      <c r="G653">
        <f>IF(OR($E653="",$E653="نامعتبر"),"",IF(Sync!$S650="","",Sync!$S650))</f>
        <v/>
      </c>
      <c r="H653">
        <f>IF(OR($E653="",$E653="نامعتبر"),"",IF(Sync!$R650="","",Sync!$R650))</f>
        <v/>
      </c>
      <c r="I653">
        <f>IF(OR($E653="",$E653="نامعتبر"),"",IF(Sync!$T650="","",Sync!$T650))</f>
        <v/>
      </c>
      <c r="J653">
        <f>IF(OR($E653="",$E653="نامعتبر"),"",IF(Sync!$U650="","",Sync!$U650))</f>
        <v/>
      </c>
      <c r="K653">
        <f>IF(OR($E653="",$E653="نامعتبر"),"",IF(Sync!$V650="","",IFERROR(INDEX(SubCodes,MATCH(Sync!$V650,SubTitles,0)),Sync!$V650)))</f>
        <v/>
      </c>
      <c r="L653">
        <f>IF(OR($E653="",$E653="نامعتبر"),"",IF(Sync!$W650="",0,Sync!$W650))</f>
        <v/>
      </c>
      <c r="M653">
        <f>IF(OR($E653="",$E653="نامعتبر"),"",IF(Sync!$X650="",0,Sync!$X650))</f>
        <v/>
      </c>
      <c r="N653">
        <f>IF(OR($E653="",$E653="نامعتبر"),"",IF(AND($J653="هزینه",$K653&lt;&gt;""),1,0))</f>
        <v/>
      </c>
      <c r="O653">
        <f>IF($N653=0,"",LEFT($E653,4)&amp;MID($E653,6,2)&amp;RIGHT($E653,2)&amp;$F653&amp;"|"&amp;"1"&amp;RIGHT("00000"&amp;645,5))</f>
        <v/>
      </c>
      <c r="P653">
        <f>IF($O653="","",COUNTIFS(ExpSub,$K653,ExpKey,"&lt;"&amp;$O653)+1)</f>
        <v/>
      </c>
      <c r="Q653">
        <f>IF($P653="","",$K653&amp;"|"&amp;RIGHT("000000"&amp;$P653,6))</f>
        <v/>
      </c>
    </row>
    <row r="654">
      <c r="A654">
        <f>IF(Sync!$P651="","",Sync!$P651)</f>
        <v/>
      </c>
      <c r="B654">
        <f>IF($A654="","",IF(ISNUMBER($A654),IF(AND($A654&gt;=10000101,$A654&lt;=99991231),INT($A654/10000),""),IFERROR(VALUE(TRIM(LEFT($A654,FIND("/",$A654)-1))),"")))</f>
        <v/>
      </c>
      <c r="C654">
        <f>IF(OR($A654="",$B654=""),"",IF(ISNUMBER($A654),INT(MOD($A654,10000)/100),IFERROR(VALUE(TRIM(LEFT(MID($A654,FIND("/",$A654)+1,20),FIND("/",MID($A654,FIND("/",$A654)+1,20))-1))),"")))</f>
        <v/>
      </c>
      <c r="D654">
        <f>IF(OR($A654="",$B654=""),"",IF(ISNUMBER($A654),MOD($A654,100),IFERROR(VALUE(TRIM(MID(MID($A654,FIND("/",$A654)+1,20),FIND("/",MID($A654,FIND("/",$A654)+1,20))+1,20))),"")))</f>
        <v/>
      </c>
      <c r="E654">
        <f>IF($A654="","",IF(OR($B654="",$C654="",$D654="",$B654&lt;1300,$B654&gt;1500,$C654&lt;1,$C654&gt;12,$D654&lt;1,$D654&gt;31),"نامعتبر",RIGHT("0000"&amp;$B654,4)&amp;"/"&amp;RIGHT("00"&amp;$C654,2)&amp;"/"&amp;RIGHT("00"&amp;$D654,2)))</f>
        <v/>
      </c>
      <c r="F654">
        <f>IF(OR($E654="",$E654="نامعتبر"),"",IF(Sync!$Q651="","0000",IF(AND(ISNUMBER(Sync!$Q651),Sync!$Q651&gt;=0,Sync!$Q651&lt;1),RIGHT("00"&amp;HOUR(Sync!$Q651),2)&amp;RIGHT("00"&amp;MINUTE(Sync!$Q651),2),IFERROR(RIGHT("00"&amp;VALUE(LEFT(Sync!$Q651,FIND(":",Sync!$Q651)-1)),2)&amp;RIGHT("00"&amp;VALUE(MID(Sync!$Q651,FIND(":",Sync!$Q651)+1,2)),2),"0000"))))</f>
        <v/>
      </c>
      <c r="G654">
        <f>IF(OR($E654="",$E654="نامعتبر"),"",IF(Sync!$S651="","",Sync!$S651))</f>
        <v/>
      </c>
      <c r="H654">
        <f>IF(OR($E654="",$E654="نامعتبر"),"",IF(Sync!$R651="","",Sync!$R651))</f>
        <v/>
      </c>
      <c r="I654">
        <f>IF(OR($E654="",$E654="نامعتبر"),"",IF(Sync!$T651="","",Sync!$T651))</f>
        <v/>
      </c>
      <c r="J654">
        <f>IF(OR($E654="",$E654="نامعتبر"),"",IF(Sync!$U651="","",Sync!$U651))</f>
        <v/>
      </c>
      <c r="K654">
        <f>IF(OR($E654="",$E654="نامعتبر"),"",IF(Sync!$V651="","",IFERROR(INDEX(SubCodes,MATCH(Sync!$V651,SubTitles,0)),Sync!$V651)))</f>
        <v/>
      </c>
      <c r="L654">
        <f>IF(OR($E654="",$E654="نامعتبر"),"",IF(Sync!$W651="",0,Sync!$W651))</f>
        <v/>
      </c>
      <c r="M654">
        <f>IF(OR($E654="",$E654="نامعتبر"),"",IF(Sync!$X651="",0,Sync!$X651))</f>
        <v/>
      </c>
      <c r="N654">
        <f>IF(OR($E654="",$E654="نامعتبر"),"",IF(AND($J654="هزینه",$K654&lt;&gt;""),1,0))</f>
        <v/>
      </c>
      <c r="O654">
        <f>IF($N654=0,"",LEFT($E654,4)&amp;MID($E654,6,2)&amp;RIGHT($E654,2)&amp;$F654&amp;"|"&amp;"1"&amp;RIGHT("00000"&amp;646,5))</f>
        <v/>
      </c>
      <c r="P654">
        <f>IF($O654="","",COUNTIFS(ExpSub,$K654,ExpKey,"&lt;"&amp;$O654)+1)</f>
        <v/>
      </c>
      <c r="Q654">
        <f>IF($P654="","",$K654&amp;"|"&amp;RIGHT("000000"&amp;$P654,6))</f>
        <v/>
      </c>
    </row>
    <row r="655">
      <c r="A655">
        <f>IF(Sync!$P652="","",Sync!$P652)</f>
        <v/>
      </c>
      <c r="B655">
        <f>IF($A655="","",IF(ISNUMBER($A655),IF(AND($A655&gt;=10000101,$A655&lt;=99991231),INT($A655/10000),""),IFERROR(VALUE(TRIM(LEFT($A655,FIND("/",$A655)-1))),"")))</f>
        <v/>
      </c>
      <c r="C655">
        <f>IF(OR($A655="",$B655=""),"",IF(ISNUMBER($A655),INT(MOD($A655,10000)/100),IFERROR(VALUE(TRIM(LEFT(MID($A655,FIND("/",$A655)+1,20),FIND("/",MID($A655,FIND("/",$A655)+1,20))-1))),"")))</f>
        <v/>
      </c>
      <c r="D655">
        <f>IF(OR($A655="",$B655=""),"",IF(ISNUMBER($A655),MOD($A655,100),IFERROR(VALUE(TRIM(MID(MID($A655,FIND("/",$A655)+1,20),FIND("/",MID($A655,FIND("/",$A655)+1,20))+1,20))),"")))</f>
        <v/>
      </c>
      <c r="E655">
        <f>IF($A655="","",IF(OR($B655="",$C655="",$D655="",$B655&lt;1300,$B655&gt;1500,$C655&lt;1,$C655&gt;12,$D655&lt;1,$D655&gt;31),"نامعتبر",RIGHT("0000"&amp;$B655,4)&amp;"/"&amp;RIGHT("00"&amp;$C655,2)&amp;"/"&amp;RIGHT("00"&amp;$D655,2)))</f>
        <v/>
      </c>
      <c r="F655">
        <f>IF(OR($E655="",$E655="نامعتبر"),"",IF(Sync!$Q652="","0000",IF(AND(ISNUMBER(Sync!$Q652),Sync!$Q652&gt;=0,Sync!$Q652&lt;1),RIGHT("00"&amp;HOUR(Sync!$Q652),2)&amp;RIGHT("00"&amp;MINUTE(Sync!$Q652),2),IFERROR(RIGHT("00"&amp;VALUE(LEFT(Sync!$Q652,FIND(":",Sync!$Q652)-1)),2)&amp;RIGHT("00"&amp;VALUE(MID(Sync!$Q652,FIND(":",Sync!$Q652)+1,2)),2),"0000"))))</f>
        <v/>
      </c>
      <c r="G655">
        <f>IF(OR($E655="",$E655="نامعتبر"),"",IF(Sync!$S652="","",Sync!$S652))</f>
        <v/>
      </c>
      <c r="H655">
        <f>IF(OR($E655="",$E655="نامعتبر"),"",IF(Sync!$R652="","",Sync!$R652))</f>
        <v/>
      </c>
      <c r="I655">
        <f>IF(OR($E655="",$E655="نامعتبر"),"",IF(Sync!$T652="","",Sync!$T652))</f>
        <v/>
      </c>
      <c r="J655">
        <f>IF(OR($E655="",$E655="نامعتبر"),"",IF(Sync!$U652="","",Sync!$U652))</f>
        <v/>
      </c>
      <c r="K655">
        <f>IF(OR($E655="",$E655="نامعتبر"),"",IF(Sync!$V652="","",IFERROR(INDEX(SubCodes,MATCH(Sync!$V652,SubTitles,0)),Sync!$V652)))</f>
        <v/>
      </c>
      <c r="L655">
        <f>IF(OR($E655="",$E655="نامعتبر"),"",IF(Sync!$W652="",0,Sync!$W652))</f>
        <v/>
      </c>
      <c r="M655">
        <f>IF(OR($E655="",$E655="نامعتبر"),"",IF(Sync!$X652="",0,Sync!$X652))</f>
        <v/>
      </c>
      <c r="N655">
        <f>IF(OR($E655="",$E655="نامعتبر"),"",IF(AND($J655="هزینه",$K655&lt;&gt;""),1,0))</f>
        <v/>
      </c>
      <c r="O655">
        <f>IF($N655=0,"",LEFT($E655,4)&amp;MID($E655,6,2)&amp;RIGHT($E655,2)&amp;$F655&amp;"|"&amp;"1"&amp;RIGHT("00000"&amp;647,5))</f>
        <v/>
      </c>
      <c r="P655">
        <f>IF($O655="","",COUNTIFS(ExpSub,$K655,ExpKey,"&lt;"&amp;$O655)+1)</f>
        <v/>
      </c>
      <c r="Q655">
        <f>IF($P655="","",$K655&amp;"|"&amp;RIGHT("000000"&amp;$P655,6))</f>
        <v/>
      </c>
    </row>
    <row r="656">
      <c r="A656">
        <f>IF(Sync!$P653="","",Sync!$P653)</f>
        <v/>
      </c>
      <c r="B656">
        <f>IF($A656="","",IF(ISNUMBER($A656),IF(AND($A656&gt;=10000101,$A656&lt;=99991231),INT($A656/10000),""),IFERROR(VALUE(TRIM(LEFT($A656,FIND("/",$A656)-1))),"")))</f>
        <v/>
      </c>
      <c r="C656">
        <f>IF(OR($A656="",$B656=""),"",IF(ISNUMBER($A656),INT(MOD($A656,10000)/100),IFERROR(VALUE(TRIM(LEFT(MID($A656,FIND("/",$A656)+1,20),FIND("/",MID($A656,FIND("/",$A656)+1,20))-1))),"")))</f>
        <v/>
      </c>
      <c r="D656">
        <f>IF(OR($A656="",$B656=""),"",IF(ISNUMBER($A656),MOD($A656,100),IFERROR(VALUE(TRIM(MID(MID($A656,FIND("/",$A656)+1,20),FIND("/",MID($A656,FIND("/",$A656)+1,20))+1,20))),"")))</f>
        <v/>
      </c>
      <c r="E656">
        <f>IF($A656="","",IF(OR($B656="",$C656="",$D656="",$B656&lt;1300,$B656&gt;1500,$C656&lt;1,$C656&gt;12,$D656&lt;1,$D656&gt;31),"نامعتبر",RIGHT("0000"&amp;$B656,4)&amp;"/"&amp;RIGHT("00"&amp;$C656,2)&amp;"/"&amp;RIGHT("00"&amp;$D656,2)))</f>
        <v/>
      </c>
      <c r="F656">
        <f>IF(OR($E656="",$E656="نامعتبر"),"",IF(Sync!$Q653="","0000",IF(AND(ISNUMBER(Sync!$Q653),Sync!$Q653&gt;=0,Sync!$Q653&lt;1),RIGHT("00"&amp;HOUR(Sync!$Q653),2)&amp;RIGHT("00"&amp;MINUTE(Sync!$Q653),2),IFERROR(RIGHT("00"&amp;VALUE(LEFT(Sync!$Q653,FIND(":",Sync!$Q653)-1)),2)&amp;RIGHT("00"&amp;VALUE(MID(Sync!$Q653,FIND(":",Sync!$Q653)+1,2)),2),"0000"))))</f>
        <v/>
      </c>
      <c r="G656">
        <f>IF(OR($E656="",$E656="نامعتبر"),"",IF(Sync!$S653="","",Sync!$S653))</f>
        <v/>
      </c>
      <c r="H656">
        <f>IF(OR($E656="",$E656="نامعتبر"),"",IF(Sync!$R653="","",Sync!$R653))</f>
        <v/>
      </c>
      <c r="I656">
        <f>IF(OR($E656="",$E656="نامعتبر"),"",IF(Sync!$T653="","",Sync!$T653))</f>
        <v/>
      </c>
      <c r="J656">
        <f>IF(OR($E656="",$E656="نامعتبر"),"",IF(Sync!$U653="","",Sync!$U653))</f>
        <v/>
      </c>
      <c r="K656">
        <f>IF(OR($E656="",$E656="نامعتبر"),"",IF(Sync!$V653="","",IFERROR(INDEX(SubCodes,MATCH(Sync!$V653,SubTitles,0)),Sync!$V653)))</f>
        <v/>
      </c>
      <c r="L656">
        <f>IF(OR($E656="",$E656="نامعتبر"),"",IF(Sync!$W653="",0,Sync!$W653))</f>
        <v/>
      </c>
      <c r="M656">
        <f>IF(OR($E656="",$E656="نامعتبر"),"",IF(Sync!$X653="",0,Sync!$X653))</f>
        <v/>
      </c>
      <c r="N656">
        <f>IF(OR($E656="",$E656="نامعتبر"),"",IF(AND($J656="هزینه",$K656&lt;&gt;""),1,0))</f>
        <v/>
      </c>
      <c r="O656">
        <f>IF($N656=0,"",LEFT($E656,4)&amp;MID($E656,6,2)&amp;RIGHT($E656,2)&amp;$F656&amp;"|"&amp;"1"&amp;RIGHT("00000"&amp;648,5))</f>
        <v/>
      </c>
      <c r="P656">
        <f>IF($O656="","",COUNTIFS(ExpSub,$K656,ExpKey,"&lt;"&amp;$O656)+1)</f>
        <v/>
      </c>
      <c r="Q656">
        <f>IF($P656="","",$K656&amp;"|"&amp;RIGHT("000000"&amp;$P656,6))</f>
        <v/>
      </c>
    </row>
    <row r="657">
      <c r="A657">
        <f>IF(Sync!$P654="","",Sync!$P654)</f>
        <v/>
      </c>
      <c r="B657">
        <f>IF($A657="","",IF(ISNUMBER($A657),IF(AND($A657&gt;=10000101,$A657&lt;=99991231),INT($A657/10000),""),IFERROR(VALUE(TRIM(LEFT($A657,FIND("/",$A657)-1))),"")))</f>
        <v/>
      </c>
      <c r="C657">
        <f>IF(OR($A657="",$B657=""),"",IF(ISNUMBER($A657),INT(MOD($A657,10000)/100),IFERROR(VALUE(TRIM(LEFT(MID($A657,FIND("/",$A657)+1,20),FIND("/",MID($A657,FIND("/",$A657)+1,20))-1))),"")))</f>
        <v/>
      </c>
      <c r="D657">
        <f>IF(OR($A657="",$B657=""),"",IF(ISNUMBER($A657),MOD($A657,100),IFERROR(VALUE(TRIM(MID(MID($A657,FIND("/",$A657)+1,20),FIND("/",MID($A657,FIND("/",$A657)+1,20))+1,20))),"")))</f>
        <v/>
      </c>
      <c r="E657">
        <f>IF($A657="","",IF(OR($B657="",$C657="",$D657="",$B657&lt;1300,$B657&gt;1500,$C657&lt;1,$C657&gt;12,$D657&lt;1,$D657&gt;31),"نامعتبر",RIGHT("0000"&amp;$B657,4)&amp;"/"&amp;RIGHT("00"&amp;$C657,2)&amp;"/"&amp;RIGHT("00"&amp;$D657,2)))</f>
        <v/>
      </c>
      <c r="F657">
        <f>IF(OR($E657="",$E657="نامعتبر"),"",IF(Sync!$Q654="","0000",IF(AND(ISNUMBER(Sync!$Q654),Sync!$Q654&gt;=0,Sync!$Q654&lt;1),RIGHT("00"&amp;HOUR(Sync!$Q654),2)&amp;RIGHT("00"&amp;MINUTE(Sync!$Q654),2),IFERROR(RIGHT("00"&amp;VALUE(LEFT(Sync!$Q654,FIND(":",Sync!$Q654)-1)),2)&amp;RIGHT("00"&amp;VALUE(MID(Sync!$Q654,FIND(":",Sync!$Q654)+1,2)),2),"0000"))))</f>
        <v/>
      </c>
      <c r="G657">
        <f>IF(OR($E657="",$E657="نامعتبر"),"",IF(Sync!$S654="","",Sync!$S654))</f>
        <v/>
      </c>
      <c r="H657">
        <f>IF(OR($E657="",$E657="نامعتبر"),"",IF(Sync!$R654="","",Sync!$R654))</f>
        <v/>
      </c>
      <c r="I657">
        <f>IF(OR($E657="",$E657="نامعتبر"),"",IF(Sync!$T654="","",Sync!$T654))</f>
        <v/>
      </c>
      <c r="J657">
        <f>IF(OR($E657="",$E657="نامعتبر"),"",IF(Sync!$U654="","",Sync!$U654))</f>
        <v/>
      </c>
      <c r="K657">
        <f>IF(OR($E657="",$E657="نامعتبر"),"",IF(Sync!$V654="","",IFERROR(INDEX(SubCodes,MATCH(Sync!$V654,SubTitles,0)),Sync!$V654)))</f>
        <v/>
      </c>
      <c r="L657">
        <f>IF(OR($E657="",$E657="نامعتبر"),"",IF(Sync!$W654="",0,Sync!$W654))</f>
        <v/>
      </c>
      <c r="M657">
        <f>IF(OR($E657="",$E657="نامعتبر"),"",IF(Sync!$X654="",0,Sync!$X654))</f>
        <v/>
      </c>
      <c r="N657">
        <f>IF(OR($E657="",$E657="نامعتبر"),"",IF(AND($J657="هزینه",$K657&lt;&gt;""),1,0))</f>
        <v/>
      </c>
      <c r="O657">
        <f>IF($N657=0,"",LEFT($E657,4)&amp;MID($E657,6,2)&amp;RIGHT($E657,2)&amp;$F657&amp;"|"&amp;"1"&amp;RIGHT("00000"&amp;649,5))</f>
        <v/>
      </c>
      <c r="P657">
        <f>IF($O657="","",COUNTIFS(ExpSub,$K657,ExpKey,"&lt;"&amp;$O657)+1)</f>
        <v/>
      </c>
      <c r="Q657">
        <f>IF($P657="","",$K657&amp;"|"&amp;RIGHT("000000"&amp;$P657,6))</f>
        <v/>
      </c>
    </row>
    <row r="658">
      <c r="A658">
        <f>IF(Sync!$P655="","",Sync!$P655)</f>
        <v/>
      </c>
      <c r="B658">
        <f>IF($A658="","",IF(ISNUMBER($A658),IF(AND($A658&gt;=10000101,$A658&lt;=99991231),INT($A658/10000),""),IFERROR(VALUE(TRIM(LEFT($A658,FIND("/",$A658)-1))),"")))</f>
        <v/>
      </c>
      <c r="C658">
        <f>IF(OR($A658="",$B658=""),"",IF(ISNUMBER($A658),INT(MOD($A658,10000)/100),IFERROR(VALUE(TRIM(LEFT(MID($A658,FIND("/",$A658)+1,20),FIND("/",MID($A658,FIND("/",$A658)+1,20))-1))),"")))</f>
        <v/>
      </c>
      <c r="D658">
        <f>IF(OR($A658="",$B658=""),"",IF(ISNUMBER($A658),MOD($A658,100),IFERROR(VALUE(TRIM(MID(MID($A658,FIND("/",$A658)+1,20),FIND("/",MID($A658,FIND("/",$A658)+1,20))+1,20))),"")))</f>
        <v/>
      </c>
      <c r="E658">
        <f>IF($A658="","",IF(OR($B658="",$C658="",$D658="",$B658&lt;1300,$B658&gt;1500,$C658&lt;1,$C658&gt;12,$D658&lt;1,$D658&gt;31),"نامعتبر",RIGHT("0000"&amp;$B658,4)&amp;"/"&amp;RIGHT("00"&amp;$C658,2)&amp;"/"&amp;RIGHT("00"&amp;$D658,2)))</f>
        <v/>
      </c>
      <c r="F658">
        <f>IF(OR($E658="",$E658="نامعتبر"),"",IF(Sync!$Q655="","0000",IF(AND(ISNUMBER(Sync!$Q655),Sync!$Q655&gt;=0,Sync!$Q655&lt;1),RIGHT("00"&amp;HOUR(Sync!$Q655),2)&amp;RIGHT("00"&amp;MINUTE(Sync!$Q655),2),IFERROR(RIGHT("00"&amp;VALUE(LEFT(Sync!$Q655,FIND(":",Sync!$Q655)-1)),2)&amp;RIGHT("00"&amp;VALUE(MID(Sync!$Q655,FIND(":",Sync!$Q655)+1,2)),2),"0000"))))</f>
        <v/>
      </c>
      <c r="G658">
        <f>IF(OR($E658="",$E658="نامعتبر"),"",IF(Sync!$S655="","",Sync!$S655))</f>
        <v/>
      </c>
      <c r="H658">
        <f>IF(OR($E658="",$E658="نامعتبر"),"",IF(Sync!$R655="","",Sync!$R655))</f>
        <v/>
      </c>
      <c r="I658">
        <f>IF(OR($E658="",$E658="نامعتبر"),"",IF(Sync!$T655="","",Sync!$T655))</f>
        <v/>
      </c>
      <c r="J658">
        <f>IF(OR($E658="",$E658="نامعتبر"),"",IF(Sync!$U655="","",Sync!$U655))</f>
        <v/>
      </c>
      <c r="K658">
        <f>IF(OR($E658="",$E658="نامعتبر"),"",IF(Sync!$V655="","",IFERROR(INDEX(SubCodes,MATCH(Sync!$V655,SubTitles,0)),Sync!$V655)))</f>
        <v/>
      </c>
      <c r="L658">
        <f>IF(OR($E658="",$E658="نامعتبر"),"",IF(Sync!$W655="",0,Sync!$W655))</f>
        <v/>
      </c>
      <c r="M658">
        <f>IF(OR($E658="",$E658="نامعتبر"),"",IF(Sync!$X655="",0,Sync!$X655))</f>
        <v/>
      </c>
      <c r="N658">
        <f>IF(OR($E658="",$E658="نامعتبر"),"",IF(AND($J658="هزینه",$K658&lt;&gt;""),1,0))</f>
        <v/>
      </c>
      <c r="O658">
        <f>IF($N658=0,"",LEFT($E658,4)&amp;MID($E658,6,2)&amp;RIGHT($E658,2)&amp;$F658&amp;"|"&amp;"1"&amp;RIGHT("00000"&amp;650,5))</f>
        <v/>
      </c>
      <c r="P658">
        <f>IF($O658="","",COUNTIFS(ExpSub,$K658,ExpKey,"&lt;"&amp;$O658)+1)</f>
        <v/>
      </c>
      <c r="Q658">
        <f>IF($P658="","",$K658&amp;"|"&amp;RIGHT("000000"&amp;$P658,6))</f>
        <v/>
      </c>
    </row>
    <row r="659">
      <c r="A659">
        <f>IF(Sync!$P656="","",Sync!$P656)</f>
        <v/>
      </c>
      <c r="B659">
        <f>IF($A659="","",IF(ISNUMBER($A659),IF(AND($A659&gt;=10000101,$A659&lt;=99991231),INT($A659/10000),""),IFERROR(VALUE(TRIM(LEFT($A659,FIND("/",$A659)-1))),"")))</f>
        <v/>
      </c>
      <c r="C659">
        <f>IF(OR($A659="",$B659=""),"",IF(ISNUMBER($A659),INT(MOD($A659,10000)/100),IFERROR(VALUE(TRIM(LEFT(MID($A659,FIND("/",$A659)+1,20),FIND("/",MID($A659,FIND("/",$A659)+1,20))-1))),"")))</f>
        <v/>
      </c>
      <c r="D659">
        <f>IF(OR($A659="",$B659=""),"",IF(ISNUMBER($A659),MOD($A659,100),IFERROR(VALUE(TRIM(MID(MID($A659,FIND("/",$A659)+1,20),FIND("/",MID($A659,FIND("/",$A659)+1,20))+1,20))),"")))</f>
        <v/>
      </c>
      <c r="E659">
        <f>IF($A659="","",IF(OR($B659="",$C659="",$D659="",$B659&lt;1300,$B659&gt;1500,$C659&lt;1,$C659&gt;12,$D659&lt;1,$D659&gt;31),"نامعتبر",RIGHT("0000"&amp;$B659,4)&amp;"/"&amp;RIGHT("00"&amp;$C659,2)&amp;"/"&amp;RIGHT("00"&amp;$D659,2)))</f>
        <v/>
      </c>
      <c r="F659">
        <f>IF(OR($E659="",$E659="نامعتبر"),"",IF(Sync!$Q656="","0000",IF(AND(ISNUMBER(Sync!$Q656),Sync!$Q656&gt;=0,Sync!$Q656&lt;1),RIGHT("00"&amp;HOUR(Sync!$Q656),2)&amp;RIGHT("00"&amp;MINUTE(Sync!$Q656),2),IFERROR(RIGHT("00"&amp;VALUE(LEFT(Sync!$Q656,FIND(":",Sync!$Q656)-1)),2)&amp;RIGHT("00"&amp;VALUE(MID(Sync!$Q656,FIND(":",Sync!$Q656)+1,2)),2),"0000"))))</f>
        <v/>
      </c>
      <c r="G659">
        <f>IF(OR($E659="",$E659="نامعتبر"),"",IF(Sync!$S656="","",Sync!$S656))</f>
        <v/>
      </c>
      <c r="H659">
        <f>IF(OR($E659="",$E659="نامعتبر"),"",IF(Sync!$R656="","",Sync!$R656))</f>
        <v/>
      </c>
      <c r="I659">
        <f>IF(OR($E659="",$E659="نامعتبر"),"",IF(Sync!$T656="","",Sync!$T656))</f>
        <v/>
      </c>
      <c r="J659">
        <f>IF(OR($E659="",$E659="نامعتبر"),"",IF(Sync!$U656="","",Sync!$U656))</f>
        <v/>
      </c>
      <c r="K659">
        <f>IF(OR($E659="",$E659="نامعتبر"),"",IF(Sync!$V656="","",IFERROR(INDEX(SubCodes,MATCH(Sync!$V656,SubTitles,0)),Sync!$V656)))</f>
        <v/>
      </c>
      <c r="L659">
        <f>IF(OR($E659="",$E659="نامعتبر"),"",IF(Sync!$W656="",0,Sync!$W656))</f>
        <v/>
      </c>
      <c r="M659">
        <f>IF(OR($E659="",$E659="نامعتبر"),"",IF(Sync!$X656="",0,Sync!$X656))</f>
        <v/>
      </c>
      <c r="N659">
        <f>IF(OR($E659="",$E659="نامعتبر"),"",IF(AND($J659="هزینه",$K659&lt;&gt;""),1,0))</f>
        <v/>
      </c>
      <c r="O659">
        <f>IF($N659=0,"",LEFT($E659,4)&amp;MID($E659,6,2)&amp;RIGHT($E659,2)&amp;$F659&amp;"|"&amp;"1"&amp;RIGHT("00000"&amp;651,5))</f>
        <v/>
      </c>
      <c r="P659">
        <f>IF($O659="","",COUNTIFS(ExpSub,$K659,ExpKey,"&lt;"&amp;$O659)+1)</f>
        <v/>
      </c>
      <c r="Q659">
        <f>IF($P659="","",$K659&amp;"|"&amp;RIGHT("000000"&amp;$P659,6))</f>
        <v/>
      </c>
    </row>
    <row r="660">
      <c r="A660">
        <f>IF(Sync!$P657="","",Sync!$P657)</f>
        <v/>
      </c>
      <c r="B660">
        <f>IF($A660="","",IF(ISNUMBER($A660),IF(AND($A660&gt;=10000101,$A660&lt;=99991231),INT($A660/10000),""),IFERROR(VALUE(TRIM(LEFT($A660,FIND("/",$A660)-1))),"")))</f>
        <v/>
      </c>
      <c r="C660">
        <f>IF(OR($A660="",$B660=""),"",IF(ISNUMBER($A660),INT(MOD($A660,10000)/100),IFERROR(VALUE(TRIM(LEFT(MID($A660,FIND("/",$A660)+1,20),FIND("/",MID($A660,FIND("/",$A660)+1,20))-1))),"")))</f>
        <v/>
      </c>
      <c r="D660">
        <f>IF(OR($A660="",$B660=""),"",IF(ISNUMBER($A660),MOD($A660,100),IFERROR(VALUE(TRIM(MID(MID($A660,FIND("/",$A660)+1,20),FIND("/",MID($A660,FIND("/",$A660)+1,20))+1,20))),"")))</f>
        <v/>
      </c>
      <c r="E660">
        <f>IF($A660="","",IF(OR($B660="",$C660="",$D660="",$B660&lt;1300,$B660&gt;1500,$C660&lt;1,$C660&gt;12,$D660&lt;1,$D660&gt;31),"نامعتبر",RIGHT("0000"&amp;$B660,4)&amp;"/"&amp;RIGHT("00"&amp;$C660,2)&amp;"/"&amp;RIGHT("00"&amp;$D660,2)))</f>
        <v/>
      </c>
      <c r="F660">
        <f>IF(OR($E660="",$E660="نامعتبر"),"",IF(Sync!$Q657="","0000",IF(AND(ISNUMBER(Sync!$Q657),Sync!$Q657&gt;=0,Sync!$Q657&lt;1),RIGHT("00"&amp;HOUR(Sync!$Q657),2)&amp;RIGHT("00"&amp;MINUTE(Sync!$Q657),2),IFERROR(RIGHT("00"&amp;VALUE(LEFT(Sync!$Q657,FIND(":",Sync!$Q657)-1)),2)&amp;RIGHT("00"&amp;VALUE(MID(Sync!$Q657,FIND(":",Sync!$Q657)+1,2)),2),"0000"))))</f>
        <v/>
      </c>
      <c r="G660">
        <f>IF(OR($E660="",$E660="نامعتبر"),"",IF(Sync!$S657="","",Sync!$S657))</f>
        <v/>
      </c>
      <c r="H660">
        <f>IF(OR($E660="",$E660="نامعتبر"),"",IF(Sync!$R657="","",Sync!$R657))</f>
        <v/>
      </c>
      <c r="I660">
        <f>IF(OR($E660="",$E660="نامعتبر"),"",IF(Sync!$T657="","",Sync!$T657))</f>
        <v/>
      </c>
      <c r="J660">
        <f>IF(OR($E660="",$E660="نامعتبر"),"",IF(Sync!$U657="","",Sync!$U657))</f>
        <v/>
      </c>
      <c r="K660">
        <f>IF(OR($E660="",$E660="نامعتبر"),"",IF(Sync!$V657="","",IFERROR(INDEX(SubCodes,MATCH(Sync!$V657,SubTitles,0)),Sync!$V657)))</f>
        <v/>
      </c>
      <c r="L660">
        <f>IF(OR($E660="",$E660="نامعتبر"),"",IF(Sync!$W657="",0,Sync!$W657))</f>
        <v/>
      </c>
      <c r="M660">
        <f>IF(OR($E660="",$E660="نامعتبر"),"",IF(Sync!$X657="",0,Sync!$X657))</f>
        <v/>
      </c>
      <c r="N660">
        <f>IF(OR($E660="",$E660="نامعتبر"),"",IF(AND($J660="هزینه",$K660&lt;&gt;""),1,0))</f>
        <v/>
      </c>
      <c r="O660">
        <f>IF($N660=0,"",LEFT($E660,4)&amp;MID($E660,6,2)&amp;RIGHT($E660,2)&amp;$F660&amp;"|"&amp;"1"&amp;RIGHT("00000"&amp;652,5))</f>
        <v/>
      </c>
      <c r="P660">
        <f>IF($O660="","",COUNTIFS(ExpSub,$K660,ExpKey,"&lt;"&amp;$O660)+1)</f>
        <v/>
      </c>
      <c r="Q660">
        <f>IF($P660="","",$K660&amp;"|"&amp;RIGHT("000000"&amp;$P660,6))</f>
        <v/>
      </c>
    </row>
    <row r="661">
      <c r="A661">
        <f>IF(Sync!$P658="","",Sync!$P658)</f>
        <v/>
      </c>
      <c r="B661">
        <f>IF($A661="","",IF(ISNUMBER($A661),IF(AND($A661&gt;=10000101,$A661&lt;=99991231),INT($A661/10000),""),IFERROR(VALUE(TRIM(LEFT($A661,FIND("/",$A661)-1))),"")))</f>
        <v/>
      </c>
      <c r="C661">
        <f>IF(OR($A661="",$B661=""),"",IF(ISNUMBER($A661),INT(MOD($A661,10000)/100),IFERROR(VALUE(TRIM(LEFT(MID($A661,FIND("/",$A661)+1,20),FIND("/",MID($A661,FIND("/",$A661)+1,20))-1))),"")))</f>
        <v/>
      </c>
      <c r="D661">
        <f>IF(OR($A661="",$B661=""),"",IF(ISNUMBER($A661),MOD($A661,100),IFERROR(VALUE(TRIM(MID(MID($A661,FIND("/",$A661)+1,20),FIND("/",MID($A661,FIND("/",$A661)+1,20))+1,20))),"")))</f>
        <v/>
      </c>
      <c r="E661">
        <f>IF($A661="","",IF(OR($B661="",$C661="",$D661="",$B661&lt;1300,$B661&gt;1500,$C661&lt;1,$C661&gt;12,$D661&lt;1,$D661&gt;31),"نامعتبر",RIGHT("0000"&amp;$B661,4)&amp;"/"&amp;RIGHT("00"&amp;$C661,2)&amp;"/"&amp;RIGHT("00"&amp;$D661,2)))</f>
        <v/>
      </c>
      <c r="F661">
        <f>IF(OR($E661="",$E661="نامعتبر"),"",IF(Sync!$Q658="","0000",IF(AND(ISNUMBER(Sync!$Q658),Sync!$Q658&gt;=0,Sync!$Q658&lt;1),RIGHT("00"&amp;HOUR(Sync!$Q658),2)&amp;RIGHT("00"&amp;MINUTE(Sync!$Q658),2),IFERROR(RIGHT("00"&amp;VALUE(LEFT(Sync!$Q658,FIND(":",Sync!$Q658)-1)),2)&amp;RIGHT("00"&amp;VALUE(MID(Sync!$Q658,FIND(":",Sync!$Q658)+1,2)),2),"0000"))))</f>
        <v/>
      </c>
      <c r="G661">
        <f>IF(OR($E661="",$E661="نامعتبر"),"",IF(Sync!$S658="","",Sync!$S658))</f>
        <v/>
      </c>
      <c r="H661">
        <f>IF(OR($E661="",$E661="نامعتبر"),"",IF(Sync!$R658="","",Sync!$R658))</f>
        <v/>
      </c>
      <c r="I661">
        <f>IF(OR($E661="",$E661="نامعتبر"),"",IF(Sync!$T658="","",Sync!$T658))</f>
        <v/>
      </c>
      <c r="J661">
        <f>IF(OR($E661="",$E661="نامعتبر"),"",IF(Sync!$U658="","",Sync!$U658))</f>
        <v/>
      </c>
      <c r="K661">
        <f>IF(OR($E661="",$E661="نامعتبر"),"",IF(Sync!$V658="","",IFERROR(INDEX(SubCodes,MATCH(Sync!$V658,SubTitles,0)),Sync!$V658)))</f>
        <v/>
      </c>
      <c r="L661">
        <f>IF(OR($E661="",$E661="نامعتبر"),"",IF(Sync!$W658="",0,Sync!$W658))</f>
        <v/>
      </c>
      <c r="M661">
        <f>IF(OR($E661="",$E661="نامعتبر"),"",IF(Sync!$X658="",0,Sync!$X658))</f>
        <v/>
      </c>
      <c r="N661">
        <f>IF(OR($E661="",$E661="نامعتبر"),"",IF(AND($J661="هزینه",$K661&lt;&gt;""),1,0))</f>
        <v/>
      </c>
      <c r="O661">
        <f>IF($N661=0,"",LEFT($E661,4)&amp;MID($E661,6,2)&amp;RIGHT($E661,2)&amp;$F661&amp;"|"&amp;"1"&amp;RIGHT("00000"&amp;653,5))</f>
        <v/>
      </c>
      <c r="P661">
        <f>IF($O661="","",COUNTIFS(ExpSub,$K661,ExpKey,"&lt;"&amp;$O661)+1)</f>
        <v/>
      </c>
      <c r="Q661">
        <f>IF($P661="","",$K661&amp;"|"&amp;RIGHT("000000"&amp;$P661,6))</f>
        <v/>
      </c>
    </row>
    <row r="662">
      <c r="A662">
        <f>IF(Sync!$P659="","",Sync!$P659)</f>
        <v/>
      </c>
      <c r="B662">
        <f>IF($A662="","",IF(ISNUMBER($A662),IF(AND($A662&gt;=10000101,$A662&lt;=99991231),INT($A662/10000),""),IFERROR(VALUE(TRIM(LEFT($A662,FIND("/",$A662)-1))),"")))</f>
        <v/>
      </c>
      <c r="C662">
        <f>IF(OR($A662="",$B662=""),"",IF(ISNUMBER($A662),INT(MOD($A662,10000)/100),IFERROR(VALUE(TRIM(LEFT(MID($A662,FIND("/",$A662)+1,20),FIND("/",MID($A662,FIND("/",$A662)+1,20))-1))),"")))</f>
        <v/>
      </c>
      <c r="D662">
        <f>IF(OR($A662="",$B662=""),"",IF(ISNUMBER($A662),MOD($A662,100),IFERROR(VALUE(TRIM(MID(MID($A662,FIND("/",$A662)+1,20),FIND("/",MID($A662,FIND("/",$A662)+1,20))+1,20))),"")))</f>
        <v/>
      </c>
      <c r="E662">
        <f>IF($A662="","",IF(OR($B662="",$C662="",$D662="",$B662&lt;1300,$B662&gt;1500,$C662&lt;1,$C662&gt;12,$D662&lt;1,$D662&gt;31),"نامعتبر",RIGHT("0000"&amp;$B662,4)&amp;"/"&amp;RIGHT("00"&amp;$C662,2)&amp;"/"&amp;RIGHT("00"&amp;$D662,2)))</f>
        <v/>
      </c>
      <c r="F662">
        <f>IF(OR($E662="",$E662="نامعتبر"),"",IF(Sync!$Q659="","0000",IF(AND(ISNUMBER(Sync!$Q659),Sync!$Q659&gt;=0,Sync!$Q659&lt;1),RIGHT("00"&amp;HOUR(Sync!$Q659),2)&amp;RIGHT("00"&amp;MINUTE(Sync!$Q659),2),IFERROR(RIGHT("00"&amp;VALUE(LEFT(Sync!$Q659,FIND(":",Sync!$Q659)-1)),2)&amp;RIGHT("00"&amp;VALUE(MID(Sync!$Q659,FIND(":",Sync!$Q659)+1,2)),2),"0000"))))</f>
        <v/>
      </c>
      <c r="G662">
        <f>IF(OR($E662="",$E662="نامعتبر"),"",IF(Sync!$S659="","",Sync!$S659))</f>
        <v/>
      </c>
      <c r="H662">
        <f>IF(OR($E662="",$E662="نامعتبر"),"",IF(Sync!$R659="","",Sync!$R659))</f>
        <v/>
      </c>
      <c r="I662">
        <f>IF(OR($E662="",$E662="نامعتبر"),"",IF(Sync!$T659="","",Sync!$T659))</f>
        <v/>
      </c>
      <c r="J662">
        <f>IF(OR($E662="",$E662="نامعتبر"),"",IF(Sync!$U659="","",Sync!$U659))</f>
        <v/>
      </c>
      <c r="K662">
        <f>IF(OR($E662="",$E662="نامعتبر"),"",IF(Sync!$V659="","",IFERROR(INDEX(SubCodes,MATCH(Sync!$V659,SubTitles,0)),Sync!$V659)))</f>
        <v/>
      </c>
      <c r="L662">
        <f>IF(OR($E662="",$E662="نامعتبر"),"",IF(Sync!$W659="",0,Sync!$W659))</f>
        <v/>
      </c>
      <c r="M662">
        <f>IF(OR($E662="",$E662="نامعتبر"),"",IF(Sync!$X659="",0,Sync!$X659))</f>
        <v/>
      </c>
      <c r="N662">
        <f>IF(OR($E662="",$E662="نامعتبر"),"",IF(AND($J662="هزینه",$K662&lt;&gt;""),1,0))</f>
        <v/>
      </c>
      <c r="O662">
        <f>IF($N662=0,"",LEFT($E662,4)&amp;MID($E662,6,2)&amp;RIGHT($E662,2)&amp;$F662&amp;"|"&amp;"1"&amp;RIGHT("00000"&amp;654,5))</f>
        <v/>
      </c>
      <c r="P662">
        <f>IF($O662="","",COUNTIFS(ExpSub,$K662,ExpKey,"&lt;"&amp;$O662)+1)</f>
        <v/>
      </c>
      <c r="Q662">
        <f>IF($P662="","",$K662&amp;"|"&amp;RIGHT("000000"&amp;$P662,6))</f>
        <v/>
      </c>
    </row>
    <row r="663">
      <c r="A663">
        <f>IF(Sync!$P660="","",Sync!$P660)</f>
        <v/>
      </c>
      <c r="B663">
        <f>IF($A663="","",IF(ISNUMBER($A663),IF(AND($A663&gt;=10000101,$A663&lt;=99991231),INT($A663/10000),""),IFERROR(VALUE(TRIM(LEFT($A663,FIND("/",$A663)-1))),"")))</f>
        <v/>
      </c>
      <c r="C663">
        <f>IF(OR($A663="",$B663=""),"",IF(ISNUMBER($A663),INT(MOD($A663,10000)/100),IFERROR(VALUE(TRIM(LEFT(MID($A663,FIND("/",$A663)+1,20),FIND("/",MID($A663,FIND("/",$A663)+1,20))-1))),"")))</f>
        <v/>
      </c>
      <c r="D663">
        <f>IF(OR($A663="",$B663=""),"",IF(ISNUMBER($A663),MOD($A663,100),IFERROR(VALUE(TRIM(MID(MID($A663,FIND("/",$A663)+1,20),FIND("/",MID($A663,FIND("/",$A663)+1,20))+1,20))),"")))</f>
        <v/>
      </c>
      <c r="E663">
        <f>IF($A663="","",IF(OR($B663="",$C663="",$D663="",$B663&lt;1300,$B663&gt;1500,$C663&lt;1,$C663&gt;12,$D663&lt;1,$D663&gt;31),"نامعتبر",RIGHT("0000"&amp;$B663,4)&amp;"/"&amp;RIGHT("00"&amp;$C663,2)&amp;"/"&amp;RIGHT("00"&amp;$D663,2)))</f>
        <v/>
      </c>
      <c r="F663">
        <f>IF(OR($E663="",$E663="نامعتبر"),"",IF(Sync!$Q660="","0000",IF(AND(ISNUMBER(Sync!$Q660),Sync!$Q660&gt;=0,Sync!$Q660&lt;1),RIGHT("00"&amp;HOUR(Sync!$Q660),2)&amp;RIGHT("00"&amp;MINUTE(Sync!$Q660),2),IFERROR(RIGHT("00"&amp;VALUE(LEFT(Sync!$Q660,FIND(":",Sync!$Q660)-1)),2)&amp;RIGHT("00"&amp;VALUE(MID(Sync!$Q660,FIND(":",Sync!$Q660)+1,2)),2),"0000"))))</f>
        <v/>
      </c>
      <c r="G663">
        <f>IF(OR($E663="",$E663="نامعتبر"),"",IF(Sync!$S660="","",Sync!$S660))</f>
        <v/>
      </c>
      <c r="H663">
        <f>IF(OR($E663="",$E663="نامعتبر"),"",IF(Sync!$R660="","",Sync!$R660))</f>
        <v/>
      </c>
      <c r="I663">
        <f>IF(OR($E663="",$E663="نامعتبر"),"",IF(Sync!$T660="","",Sync!$T660))</f>
        <v/>
      </c>
      <c r="J663">
        <f>IF(OR($E663="",$E663="نامعتبر"),"",IF(Sync!$U660="","",Sync!$U660))</f>
        <v/>
      </c>
      <c r="K663">
        <f>IF(OR($E663="",$E663="نامعتبر"),"",IF(Sync!$V660="","",IFERROR(INDEX(SubCodes,MATCH(Sync!$V660,SubTitles,0)),Sync!$V660)))</f>
        <v/>
      </c>
      <c r="L663">
        <f>IF(OR($E663="",$E663="نامعتبر"),"",IF(Sync!$W660="",0,Sync!$W660))</f>
        <v/>
      </c>
      <c r="M663">
        <f>IF(OR($E663="",$E663="نامعتبر"),"",IF(Sync!$X660="",0,Sync!$X660))</f>
        <v/>
      </c>
      <c r="N663">
        <f>IF(OR($E663="",$E663="نامعتبر"),"",IF(AND($J663="هزینه",$K663&lt;&gt;""),1,0))</f>
        <v/>
      </c>
      <c r="O663">
        <f>IF($N663=0,"",LEFT($E663,4)&amp;MID($E663,6,2)&amp;RIGHT($E663,2)&amp;$F663&amp;"|"&amp;"1"&amp;RIGHT("00000"&amp;655,5))</f>
        <v/>
      </c>
      <c r="P663">
        <f>IF($O663="","",COUNTIFS(ExpSub,$K663,ExpKey,"&lt;"&amp;$O663)+1)</f>
        <v/>
      </c>
      <c r="Q663">
        <f>IF($P663="","",$K663&amp;"|"&amp;RIGHT("000000"&amp;$P663,6))</f>
        <v/>
      </c>
    </row>
    <row r="664">
      <c r="A664">
        <f>IF(Sync!$P661="","",Sync!$P661)</f>
        <v/>
      </c>
      <c r="B664">
        <f>IF($A664="","",IF(ISNUMBER($A664),IF(AND($A664&gt;=10000101,$A664&lt;=99991231),INT($A664/10000),""),IFERROR(VALUE(TRIM(LEFT($A664,FIND("/",$A664)-1))),"")))</f>
        <v/>
      </c>
      <c r="C664">
        <f>IF(OR($A664="",$B664=""),"",IF(ISNUMBER($A664),INT(MOD($A664,10000)/100),IFERROR(VALUE(TRIM(LEFT(MID($A664,FIND("/",$A664)+1,20),FIND("/",MID($A664,FIND("/",$A664)+1,20))-1))),"")))</f>
        <v/>
      </c>
      <c r="D664">
        <f>IF(OR($A664="",$B664=""),"",IF(ISNUMBER($A664),MOD($A664,100),IFERROR(VALUE(TRIM(MID(MID($A664,FIND("/",$A664)+1,20),FIND("/",MID($A664,FIND("/",$A664)+1,20))+1,20))),"")))</f>
        <v/>
      </c>
      <c r="E664">
        <f>IF($A664="","",IF(OR($B664="",$C664="",$D664="",$B664&lt;1300,$B664&gt;1500,$C664&lt;1,$C664&gt;12,$D664&lt;1,$D664&gt;31),"نامعتبر",RIGHT("0000"&amp;$B664,4)&amp;"/"&amp;RIGHT("00"&amp;$C664,2)&amp;"/"&amp;RIGHT("00"&amp;$D664,2)))</f>
        <v/>
      </c>
      <c r="F664">
        <f>IF(OR($E664="",$E664="نامعتبر"),"",IF(Sync!$Q661="","0000",IF(AND(ISNUMBER(Sync!$Q661),Sync!$Q661&gt;=0,Sync!$Q661&lt;1),RIGHT("00"&amp;HOUR(Sync!$Q661),2)&amp;RIGHT("00"&amp;MINUTE(Sync!$Q661),2),IFERROR(RIGHT("00"&amp;VALUE(LEFT(Sync!$Q661,FIND(":",Sync!$Q661)-1)),2)&amp;RIGHT("00"&amp;VALUE(MID(Sync!$Q661,FIND(":",Sync!$Q661)+1,2)),2),"0000"))))</f>
        <v/>
      </c>
      <c r="G664">
        <f>IF(OR($E664="",$E664="نامعتبر"),"",IF(Sync!$S661="","",Sync!$S661))</f>
        <v/>
      </c>
      <c r="H664">
        <f>IF(OR($E664="",$E664="نامعتبر"),"",IF(Sync!$R661="","",Sync!$R661))</f>
        <v/>
      </c>
      <c r="I664">
        <f>IF(OR($E664="",$E664="نامعتبر"),"",IF(Sync!$T661="","",Sync!$T661))</f>
        <v/>
      </c>
      <c r="J664">
        <f>IF(OR($E664="",$E664="نامعتبر"),"",IF(Sync!$U661="","",Sync!$U661))</f>
        <v/>
      </c>
      <c r="K664">
        <f>IF(OR($E664="",$E664="نامعتبر"),"",IF(Sync!$V661="","",IFERROR(INDEX(SubCodes,MATCH(Sync!$V661,SubTitles,0)),Sync!$V661)))</f>
        <v/>
      </c>
      <c r="L664">
        <f>IF(OR($E664="",$E664="نامعتبر"),"",IF(Sync!$W661="",0,Sync!$W661))</f>
        <v/>
      </c>
      <c r="M664">
        <f>IF(OR($E664="",$E664="نامعتبر"),"",IF(Sync!$X661="",0,Sync!$X661))</f>
        <v/>
      </c>
      <c r="N664">
        <f>IF(OR($E664="",$E664="نامعتبر"),"",IF(AND($J664="هزینه",$K664&lt;&gt;""),1,0))</f>
        <v/>
      </c>
      <c r="O664">
        <f>IF($N664=0,"",LEFT($E664,4)&amp;MID($E664,6,2)&amp;RIGHT($E664,2)&amp;$F664&amp;"|"&amp;"1"&amp;RIGHT("00000"&amp;656,5))</f>
        <v/>
      </c>
      <c r="P664">
        <f>IF($O664="","",COUNTIFS(ExpSub,$K664,ExpKey,"&lt;"&amp;$O664)+1)</f>
        <v/>
      </c>
      <c r="Q664">
        <f>IF($P664="","",$K664&amp;"|"&amp;RIGHT("000000"&amp;$P664,6))</f>
        <v/>
      </c>
    </row>
    <row r="665">
      <c r="A665">
        <f>IF(Sync!$P662="","",Sync!$P662)</f>
        <v/>
      </c>
      <c r="B665">
        <f>IF($A665="","",IF(ISNUMBER($A665),IF(AND($A665&gt;=10000101,$A665&lt;=99991231),INT($A665/10000),""),IFERROR(VALUE(TRIM(LEFT($A665,FIND("/",$A665)-1))),"")))</f>
        <v/>
      </c>
      <c r="C665">
        <f>IF(OR($A665="",$B665=""),"",IF(ISNUMBER($A665),INT(MOD($A665,10000)/100),IFERROR(VALUE(TRIM(LEFT(MID($A665,FIND("/",$A665)+1,20),FIND("/",MID($A665,FIND("/",$A665)+1,20))-1))),"")))</f>
        <v/>
      </c>
      <c r="D665">
        <f>IF(OR($A665="",$B665=""),"",IF(ISNUMBER($A665),MOD($A665,100),IFERROR(VALUE(TRIM(MID(MID($A665,FIND("/",$A665)+1,20),FIND("/",MID($A665,FIND("/",$A665)+1,20))+1,20))),"")))</f>
        <v/>
      </c>
      <c r="E665">
        <f>IF($A665="","",IF(OR($B665="",$C665="",$D665="",$B665&lt;1300,$B665&gt;1500,$C665&lt;1,$C665&gt;12,$D665&lt;1,$D665&gt;31),"نامعتبر",RIGHT("0000"&amp;$B665,4)&amp;"/"&amp;RIGHT("00"&amp;$C665,2)&amp;"/"&amp;RIGHT("00"&amp;$D665,2)))</f>
        <v/>
      </c>
      <c r="F665">
        <f>IF(OR($E665="",$E665="نامعتبر"),"",IF(Sync!$Q662="","0000",IF(AND(ISNUMBER(Sync!$Q662),Sync!$Q662&gt;=0,Sync!$Q662&lt;1),RIGHT("00"&amp;HOUR(Sync!$Q662),2)&amp;RIGHT("00"&amp;MINUTE(Sync!$Q662),2),IFERROR(RIGHT("00"&amp;VALUE(LEFT(Sync!$Q662,FIND(":",Sync!$Q662)-1)),2)&amp;RIGHT("00"&amp;VALUE(MID(Sync!$Q662,FIND(":",Sync!$Q662)+1,2)),2),"0000"))))</f>
        <v/>
      </c>
      <c r="G665">
        <f>IF(OR($E665="",$E665="نامعتبر"),"",IF(Sync!$S662="","",Sync!$S662))</f>
        <v/>
      </c>
      <c r="H665">
        <f>IF(OR($E665="",$E665="نامعتبر"),"",IF(Sync!$R662="","",Sync!$R662))</f>
        <v/>
      </c>
      <c r="I665">
        <f>IF(OR($E665="",$E665="نامعتبر"),"",IF(Sync!$T662="","",Sync!$T662))</f>
        <v/>
      </c>
      <c r="J665">
        <f>IF(OR($E665="",$E665="نامعتبر"),"",IF(Sync!$U662="","",Sync!$U662))</f>
        <v/>
      </c>
      <c r="K665">
        <f>IF(OR($E665="",$E665="نامعتبر"),"",IF(Sync!$V662="","",IFERROR(INDEX(SubCodes,MATCH(Sync!$V662,SubTitles,0)),Sync!$V662)))</f>
        <v/>
      </c>
      <c r="L665">
        <f>IF(OR($E665="",$E665="نامعتبر"),"",IF(Sync!$W662="",0,Sync!$W662))</f>
        <v/>
      </c>
      <c r="M665">
        <f>IF(OR($E665="",$E665="نامعتبر"),"",IF(Sync!$X662="",0,Sync!$X662))</f>
        <v/>
      </c>
      <c r="N665">
        <f>IF(OR($E665="",$E665="نامعتبر"),"",IF(AND($J665="هزینه",$K665&lt;&gt;""),1,0))</f>
        <v/>
      </c>
      <c r="O665">
        <f>IF($N665=0,"",LEFT($E665,4)&amp;MID($E665,6,2)&amp;RIGHT($E665,2)&amp;$F665&amp;"|"&amp;"1"&amp;RIGHT("00000"&amp;657,5))</f>
        <v/>
      </c>
      <c r="P665">
        <f>IF($O665="","",COUNTIFS(ExpSub,$K665,ExpKey,"&lt;"&amp;$O665)+1)</f>
        <v/>
      </c>
      <c r="Q665">
        <f>IF($P665="","",$K665&amp;"|"&amp;RIGHT("000000"&amp;$P665,6))</f>
        <v/>
      </c>
    </row>
    <row r="666">
      <c r="A666">
        <f>IF(Sync!$P663="","",Sync!$P663)</f>
        <v/>
      </c>
      <c r="B666">
        <f>IF($A666="","",IF(ISNUMBER($A666),IF(AND($A666&gt;=10000101,$A666&lt;=99991231),INT($A666/10000),""),IFERROR(VALUE(TRIM(LEFT($A666,FIND("/",$A666)-1))),"")))</f>
        <v/>
      </c>
      <c r="C666">
        <f>IF(OR($A666="",$B666=""),"",IF(ISNUMBER($A666),INT(MOD($A666,10000)/100),IFERROR(VALUE(TRIM(LEFT(MID($A666,FIND("/",$A666)+1,20),FIND("/",MID($A666,FIND("/",$A666)+1,20))-1))),"")))</f>
        <v/>
      </c>
      <c r="D666">
        <f>IF(OR($A666="",$B666=""),"",IF(ISNUMBER($A666),MOD($A666,100),IFERROR(VALUE(TRIM(MID(MID($A666,FIND("/",$A666)+1,20),FIND("/",MID($A666,FIND("/",$A666)+1,20))+1,20))),"")))</f>
        <v/>
      </c>
      <c r="E666">
        <f>IF($A666="","",IF(OR($B666="",$C666="",$D666="",$B666&lt;1300,$B666&gt;1500,$C666&lt;1,$C666&gt;12,$D666&lt;1,$D666&gt;31),"نامعتبر",RIGHT("0000"&amp;$B666,4)&amp;"/"&amp;RIGHT("00"&amp;$C666,2)&amp;"/"&amp;RIGHT("00"&amp;$D666,2)))</f>
        <v/>
      </c>
      <c r="F666">
        <f>IF(OR($E666="",$E666="نامعتبر"),"",IF(Sync!$Q663="","0000",IF(AND(ISNUMBER(Sync!$Q663),Sync!$Q663&gt;=0,Sync!$Q663&lt;1),RIGHT("00"&amp;HOUR(Sync!$Q663),2)&amp;RIGHT("00"&amp;MINUTE(Sync!$Q663),2),IFERROR(RIGHT("00"&amp;VALUE(LEFT(Sync!$Q663,FIND(":",Sync!$Q663)-1)),2)&amp;RIGHT("00"&amp;VALUE(MID(Sync!$Q663,FIND(":",Sync!$Q663)+1,2)),2),"0000"))))</f>
        <v/>
      </c>
      <c r="G666">
        <f>IF(OR($E666="",$E666="نامعتبر"),"",IF(Sync!$S663="","",Sync!$S663))</f>
        <v/>
      </c>
      <c r="H666">
        <f>IF(OR($E666="",$E666="نامعتبر"),"",IF(Sync!$R663="","",Sync!$R663))</f>
        <v/>
      </c>
      <c r="I666">
        <f>IF(OR($E666="",$E666="نامعتبر"),"",IF(Sync!$T663="","",Sync!$T663))</f>
        <v/>
      </c>
      <c r="J666">
        <f>IF(OR($E666="",$E666="نامعتبر"),"",IF(Sync!$U663="","",Sync!$U663))</f>
        <v/>
      </c>
      <c r="K666">
        <f>IF(OR($E666="",$E666="نامعتبر"),"",IF(Sync!$V663="","",IFERROR(INDEX(SubCodes,MATCH(Sync!$V663,SubTitles,0)),Sync!$V663)))</f>
        <v/>
      </c>
      <c r="L666">
        <f>IF(OR($E666="",$E666="نامعتبر"),"",IF(Sync!$W663="",0,Sync!$W663))</f>
        <v/>
      </c>
      <c r="M666">
        <f>IF(OR($E666="",$E666="نامعتبر"),"",IF(Sync!$X663="",0,Sync!$X663))</f>
        <v/>
      </c>
      <c r="N666">
        <f>IF(OR($E666="",$E666="نامعتبر"),"",IF(AND($J666="هزینه",$K666&lt;&gt;""),1,0))</f>
        <v/>
      </c>
      <c r="O666">
        <f>IF($N666=0,"",LEFT($E666,4)&amp;MID($E666,6,2)&amp;RIGHT($E666,2)&amp;$F666&amp;"|"&amp;"1"&amp;RIGHT("00000"&amp;658,5))</f>
        <v/>
      </c>
      <c r="P666">
        <f>IF($O666="","",COUNTIFS(ExpSub,$K666,ExpKey,"&lt;"&amp;$O666)+1)</f>
        <v/>
      </c>
      <c r="Q666">
        <f>IF($P666="","",$K666&amp;"|"&amp;RIGHT("000000"&amp;$P666,6))</f>
        <v/>
      </c>
    </row>
    <row r="667">
      <c r="A667">
        <f>IF(Sync!$P664="","",Sync!$P664)</f>
        <v/>
      </c>
      <c r="B667">
        <f>IF($A667="","",IF(ISNUMBER($A667),IF(AND($A667&gt;=10000101,$A667&lt;=99991231),INT($A667/10000),""),IFERROR(VALUE(TRIM(LEFT($A667,FIND("/",$A667)-1))),"")))</f>
        <v/>
      </c>
      <c r="C667">
        <f>IF(OR($A667="",$B667=""),"",IF(ISNUMBER($A667),INT(MOD($A667,10000)/100),IFERROR(VALUE(TRIM(LEFT(MID($A667,FIND("/",$A667)+1,20),FIND("/",MID($A667,FIND("/",$A667)+1,20))-1))),"")))</f>
        <v/>
      </c>
      <c r="D667">
        <f>IF(OR($A667="",$B667=""),"",IF(ISNUMBER($A667),MOD($A667,100),IFERROR(VALUE(TRIM(MID(MID($A667,FIND("/",$A667)+1,20),FIND("/",MID($A667,FIND("/",$A667)+1,20))+1,20))),"")))</f>
        <v/>
      </c>
      <c r="E667">
        <f>IF($A667="","",IF(OR($B667="",$C667="",$D667="",$B667&lt;1300,$B667&gt;1500,$C667&lt;1,$C667&gt;12,$D667&lt;1,$D667&gt;31),"نامعتبر",RIGHT("0000"&amp;$B667,4)&amp;"/"&amp;RIGHT("00"&amp;$C667,2)&amp;"/"&amp;RIGHT("00"&amp;$D667,2)))</f>
        <v/>
      </c>
      <c r="F667">
        <f>IF(OR($E667="",$E667="نامعتبر"),"",IF(Sync!$Q664="","0000",IF(AND(ISNUMBER(Sync!$Q664),Sync!$Q664&gt;=0,Sync!$Q664&lt;1),RIGHT("00"&amp;HOUR(Sync!$Q664),2)&amp;RIGHT("00"&amp;MINUTE(Sync!$Q664),2),IFERROR(RIGHT("00"&amp;VALUE(LEFT(Sync!$Q664,FIND(":",Sync!$Q664)-1)),2)&amp;RIGHT("00"&amp;VALUE(MID(Sync!$Q664,FIND(":",Sync!$Q664)+1,2)),2),"0000"))))</f>
        <v/>
      </c>
      <c r="G667">
        <f>IF(OR($E667="",$E667="نامعتبر"),"",IF(Sync!$S664="","",Sync!$S664))</f>
        <v/>
      </c>
      <c r="H667">
        <f>IF(OR($E667="",$E667="نامعتبر"),"",IF(Sync!$R664="","",Sync!$R664))</f>
        <v/>
      </c>
      <c r="I667">
        <f>IF(OR($E667="",$E667="نامعتبر"),"",IF(Sync!$T664="","",Sync!$T664))</f>
        <v/>
      </c>
      <c r="J667">
        <f>IF(OR($E667="",$E667="نامعتبر"),"",IF(Sync!$U664="","",Sync!$U664))</f>
        <v/>
      </c>
      <c r="K667">
        <f>IF(OR($E667="",$E667="نامعتبر"),"",IF(Sync!$V664="","",IFERROR(INDEX(SubCodes,MATCH(Sync!$V664,SubTitles,0)),Sync!$V664)))</f>
        <v/>
      </c>
      <c r="L667">
        <f>IF(OR($E667="",$E667="نامعتبر"),"",IF(Sync!$W664="",0,Sync!$W664))</f>
        <v/>
      </c>
      <c r="M667">
        <f>IF(OR($E667="",$E667="نامعتبر"),"",IF(Sync!$X664="",0,Sync!$X664))</f>
        <v/>
      </c>
      <c r="N667">
        <f>IF(OR($E667="",$E667="نامعتبر"),"",IF(AND($J667="هزینه",$K667&lt;&gt;""),1,0))</f>
        <v/>
      </c>
      <c r="O667">
        <f>IF($N667=0,"",LEFT($E667,4)&amp;MID($E667,6,2)&amp;RIGHT($E667,2)&amp;$F667&amp;"|"&amp;"1"&amp;RIGHT("00000"&amp;659,5))</f>
        <v/>
      </c>
      <c r="P667">
        <f>IF($O667="","",COUNTIFS(ExpSub,$K667,ExpKey,"&lt;"&amp;$O667)+1)</f>
        <v/>
      </c>
      <c r="Q667">
        <f>IF($P667="","",$K667&amp;"|"&amp;RIGHT("000000"&amp;$P667,6))</f>
        <v/>
      </c>
    </row>
    <row r="668">
      <c r="A668">
        <f>IF(Sync!$P665="","",Sync!$P665)</f>
        <v/>
      </c>
      <c r="B668">
        <f>IF($A668="","",IF(ISNUMBER($A668),IF(AND($A668&gt;=10000101,$A668&lt;=99991231),INT($A668/10000),""),IFERROR(VALUE(TRIM(LEFT($A668,FIND("/",$A668)-1))),"")))</f>
        <v/>
      </c>
      <c r="C668">
        <f>IF(OR($A668="",$B668=""),"",IF(ISNUMBER($A668),INT(MOD($A668,10000)/100),IFERROR(VALUE(TRIM(LEFT(MID($A668,FIND("/",$A668)+1,20),FIND("/",MID($A668,FIND("/",$A668)+1,20))-1))),"")))</f>
        <v/>
      </c>
      <c r="D668">
        <f>IF(OR($A668="",$B668=""),"",IF(ISNUMBER($A668),MOD($A668,100),IFERROR(VALUE(TRIM(MID(MID($A668,FIND("/",$A668)+1,20),FIND("/",MID($A668,FIND("/",$A668)+1,20))+1,20))),"")))</f>
        <v/>
      </c>
      <c r="E668">
        <f>IF($A668="","",IF(OR($B668="",$C668="",$D668="",$B668&lt;1300,$B668&gt;1500,$C668&lt;1,$C668&gt;12,$D668&lt;1,$D668&gt;31),"نامعتبر",RIGHT("0000"&amp;$B668,4)&amp;"/"&amp;RIGHT("00"&amp;$C668,2)&amp;"/"&amp;RIGHT("00"&amp;$D668,2)))</f>
        <v/>
      </c>
      <c r="F668">
        <f>IF(OR($E668="",$E668="نامعتبر"),"",IF(Sync!$Q665="","0000",IF(AND(ISNUMBER(Sync!$Q665),Sync!$Q665&gt;=0,Sync!$Q665&lt;1),RIGHT("00"&amp;HOUR(Sync!$Q665),2)&amp;RIGHT("00"&amp;MINUTE(Sync!$Q665),2),IFERROR(RIGHT("00"&amp;VALUE(LEFT(Sync!$Q665,FIND(":",Sync!$Q665)-1)),2)&amp;RIGHT("00"&amp;VALUE(MID(Sync!$Q665,FIND(":",Sync!$Q665)+1,2)),2),"0000"))))</f>
        <v/>
      </c>
      <c r="G668">
        <f>IF(OR($E668="",$E668="نامعتبر"),"",IF(Sync!$S665="","",Sync!$S665))</f>
        <v/>
      </c>
      <c r="H668">
        <f>IF(OR($E668="",$E668="نامعتبر"),"",IF(Sync!$R665="","",Sync!$R665))</f>
        <v/>
      </c>
      <c r="I668">
        <f>IF(OR($E668="",$E668="نامعتبر"),"",IF(Sync!$T665="","",Sync!$T665))</f>
        <v/>
      </c>
      <c r="J668">
        <f>IF(OR($E668="",$E668="نامعتبر"),"",IF(Sync!$U665="","",Sync!$U665))</f>
        <v/>
      </c>
      <c r="K668">
        <f>IF(OR($E668="",$E668="نامعتبر"),"",IF(Sync!$V665="","",IFERROR(INDEX(SubCodes,MATCH(Sync!$V665,SubTitles,0)),Sync!$V665)))</f>
        <v/>
      </c>
      <c r="L668">
        <f>IF(OR($E668="",$E668="نامعتبر"),"",IF(Sync!$W665="",0,Sync!$W665))</f>
        <v/>
      </c>
      <c r="M668">
        <f>IF(OR($E668="",$E668="نامعتبر"),"",IF(Sync!$X665="",0,Sync!$X665))</f>
        <v/>
      </c>
      <c r="N668">
        <f>IF(OR($E668="",$E668="نامعتبر"),"",IF(AND($J668="هزینه",$K668&lt;&gt;""),1,0))</f>
        <v/>
      </c>
      <c r="O668">
        <f>IF($N668=0,"",LEFT($E668,4)&amp;MID($E668,6,2)&amp;RIGHT($E668,2)&amp;$F668&amp;"|"&amp;"1"&amp;RIGHT("00000"&amp;660,5))</f>
        <v/>
      </c>
      <c r="P668">
        <f>IF($O668="","",COUNTIFS(ExpSub,$K668,ExpKey,"&lt;"&amp;$O668)+1)</f>
        <v/>
      </c>
      <c r="Q668">
        <f>IF($P668="","",$K668&amp;"|"&amp;RIGHT("000000"&amp;$P668,6))</f>
        <v/>
      </c>
    </row>
    <row r="669">
      <c r="A669">
        <f>IF(Sync!$P666="","",Sync!$P666)</f>
        <v/>
      </c>
      <c r="B669">
        <f>IF($A669="","",IF(ISNUMBER($A669),IF(AND($A669&gt;=10000101,$A669&lt;=99991231),INT($A669/10000),""),IFERROR(VALUE(TRIM(LEFT($A669,FIND("/",$A669)-1))),"")))</f>
        <v/>
      </c>
      <c r="C669">
        <f>IF(OR($A669="",$B669=""),"",IF(ISNUMBER($A669),INT(MOD($A669,10000)/100),IFERROR(VALUE(TRIM(LEFT(MID($A669,FIND("/",$A669)+1,20),FIND("/",MID($A669,FIND("/",$A669)+1,20))-1))),"")))</f>
        <v/>
      </c>
      <c r="D669">
        <f>IF(OR($A669="",$B669=""),"",IF(ISNUMBER($A669),MOD($A669,100),IFERROR(VALUE(TRIM(MID(MID($A669,FIND("/",$A669)+1,20),FIND("/",MID($A669,FIND("/",$A669)+1,20))+1,20))),"")))</f>
        <v/>
      </c>
      <c r="E669">
        <f>IF($A669="","",IF(OR($B669="",$C669="",$D669="",$B669&lt;1300,$B669&gt;1500,$C669&lt;1,$C669&gt;12,$D669&lt;1,$D669&gt;31),"نامعتبر",RIGHT("0000"&amp;$B669,4)&amp;"/"&amp;RIGHT("00"&amp;$C669,2)&amp;"/"&amp;RIGHT("00"&amp;$D669,2)))</f>
        <v/>
      </c>
      <c r="F669">
        <f>IF(OR($E669="",$E669="نامعتبر"),"",IF(Sync!$Q666="","0000",IF(AND(ISNUMBER(Sync!$Q666),Sync!$Q666&gt;=0,Sync!$Q666&lt;1),RIGHT("00"&amp;HOUR(Sync!$Q666),2)&amp;RIGHT("00"&amp;MINUTE(Sync!$Q666),2),IFERROR(RIGHT("00"&amp;VALUE(LEFT(Sync!$Q666,FIND(":",Sync!$Q666)-1)),2)&amp;RIGHT("00"&amp;VALUE(MID(Sync!$Q666,FIND(":",Sync!$Q666)+1,2)),2),"0000"))))</f>
        <v/>
      </c>
      <c r="G669">
        <f>IF(OR($E669="",$E669="نامعتبر"),"",IF(Sync!$S666="","",Sync!$S666))</f>
        <v/>
      </c>
      <c r="H669">
        <f>IF(OR($E669="",$E669="نامعتبر"),"",IF(Sync!$R666="","",Sync!$R666))</f>
        <v/>
      </c>
      <c r="I669">
        <f>IF(OR($E669="",$E669="نامعتبر"),"",IF(Sync!$T666="","",Sync!$T666))</f>
        <v/>
      </c>
      <c r="J669">
        <f>IF(OR($E669="",$E669="نامعتبر"),"",IF(Sync!$U666="","",Sync!$U666))</f>
        <v/>
      </c>
      <c r="K669">
        <f>IF(OR($E669="",$E669="نامعتبر"),"",IF(Sync!$V666="","",IFERROR(INDEX(SubCodes,MATCH(Sync!$V666,SubTitles,0)),Sync!$V666)))</f>
        <v/>
      </c>
      <c r="L669">
        <f>IF(OR($E669="",$E669="نامعتبر"),"",IF(Sync!$W666="",0,Sync!$W666))</f>
        <v/>
      </c>
      <c r="M669">
        <f>IF(OR($E669="",$E669="نامعتبر"),"",IF(Sync!$X666="",0,Sync!$X666))</f>
        <v/>
      </c>
      <c r="N669">
        <f>IF(OR($E669="",$E669="نامعتبر"),"",IF(AND($J669="هزینه",$K669&lt;&gt;""),1,0))</f>
        <v/>
      </c>
      <c r="O669">
        <f>IF($N669=0,"",LEFT($E669,4)&amp;MID($E669,6,2)&amp;RIGHT($E669,2)&amp;$F669&amp;"|"&amp;"1"&amp;RIGHT("00000"&amp;661,5))</f>
        <v/>
      </c>
      <c r="P669">
        <f>IF($O669="","",COUNTIFS(ExpSub,$K669,ExpKey,"&lt;"&amp;$O669)+1)</f>
        <v/>
      </c>
      <c r="Q669">
        <f>IF($P669="","",$K669&amp;"|"&amp;RIGHT("000000"&amp;$P669,6))</f>
        <v/>
      </c>
    </row>
    <row r="670">
      <c r="A670">
        <f>IF(Sync!$P667="","",Sync!$P667)</f>
        <v/>
      </c>
      <c r="B670">
        <f>IF($A670="","",IF(ISNUMBER($A670),IF(AND($A670&gt;=10000101,$A670&lt;=99991231),INT($A670/10000),""),IFERROR(VALUE(TRIM(LEFT($A670,FIND("/",$A670)-1))),"")))</f>
        <v/>
      </c>
      <c r="C670">
        <f>IF(OR($A670="",$B670=""),"",IF(ISNUMBER($A670),INT(MOD($A670,10000)/100),IFERROR(VALUE(TRIM(LEFT(MID($A670,FIND("/",$A670)+1,20),FIND("/",MID($A670,FIND("/",$A670)+1,20))-1))),"")))</f>
        <v/>
      </c>
      <c r="D670">
        <f>IF(OR($A670="",$B670=""),"",IF(ISNUMBER($A670),MOD($A670,100),IFERROR(VALUE(TRIM(MID(MID($A670,FIND("/",$A670)+1,20),FIND("/",MID($A670,FIND("/",$A670)+1,20))+1,20))),"")))</f>
        <v/>
      </c>
      <c r="E670">
        <f>IF($A670="","",IF(OR($B670="",$C670="",$D670="",$B670&lt;1300,$B670&gt;1500,$C670&lt;1,$C670&gt;12,$D670&lt;1,$D670&gt;31),"نامعتبر",RIGHT("0000"&amp;$B670,4)&amp;"/"&amp;RIGHT("00"&amp;$C670,2)&amp;"/"&amp;RIGHT("00"&amp;$D670,2)))</f>
        <v/>
      </c>
      <c r="F670">
        <f>IF(OR($E670="",$E670="نامعتبر"),"",IF(Sync!$Q667="","0000",IF(AND(ISNUMBER(Sync!$Q667),Sync!$Q667&gt;=0,Sync!$Q667&lt;1),RIGHT("00"&amp;HOUR(Sync!$Q667),2)&amp;RIGHT("00"&amp;MINUTE(Sync!$Q667),2),IFERROR(RIGHT("00"&amp;VALUE(LEFT(Sync!$Q667,FIND(":",Sync!$Q667)-1)),2)&amp;RIGHT("00"&amp;VALUE(MID(Sync!$Q667,FIND(":",Sync!$Q667)+1,2)),2),"0000"))))</f>
        <v/>
      </c>
      <c r="G670">
        <f>IF(OR($E670="",$E670="نامعتبر"),"",IF(Sync!$S667="","",Sync!$S667))</f>
        <v/>
      </c>
      <c r="H670">
        <f>IF(OR($E670="",$E670="نامعتبر"),"",IF(Sync!$R667="","",Sync!$R667))</f>
        <v/>
      </c>
      <c r="I670">
        <f>IF(OR($E670="",$E670="نامعتبر"),"",IF(Sync!$T667="","",Sync!$T667))</f>
        <v/>
      </c>
      <c r="J670">
        <f>IF(OR($E670="",$E670="نامعتبر"),"",IF(Sync!$U667="","",Sync!$U667))</f>
        <v/>
      </c>
      <c r="K670">
        <f>IF(OR($E670="",$E670="نامعتبر"),"",IF(Sync!$V667="","",IFERROR(INDEX(SubCodes,MATCH(Sync!$V667,SubTitles,0)),Sync!$V667)))</f>
        <v/>
      </c>
      <c r="L670">
        <f>IF(OR($E670="",$E670="نامعتبر"),"",IF(Sync!$W667="",0,Sync!$W667))</f>
        <v/>
      </c>
      <c r="M670">
        <f>IF(OR($E670="",$E670="نامعتبر"),"",IF(Sync!$X667="",0,Sync!$X667))</f>
        <v/>
      </c>
      <c r="N670">
        <f>IF(OR($E670="",$E670="نامعتبر"),"",IF(AND($J670="هزینه",$K670&lt;&gt;""),1,0))</f>
        <v/>
      </c>
      <c r="O670">
        <f>IF($N670=0,"",LEFT($E670,4)&amp;MID($E670,6,2)&amp;RIGHT($E670,2)&amp;$F670&amp;"|"&amp;"1"&amp;RIGHT("00000"&amp;662,5))</f>
        <v/>
      </c>
      <c r="P670">
        <f>IF($O670="","",COUNTIFS(ExpSub,$K670,ExpKey,"&lt;"&amp;$O670)+1)</f>
        <v/>
      </c>
      <c r="Q670">
        <f>IF($P670="","",$K670&amp;"|"&amp;RIGHT("000000"&amp;$P670,6))</f>
        <v/>
      </c>
    </row>
    <row r="671">
      <c r="A671">
        <f>IF(Sync!$P668="","",Sync!$P668)</f>
        <v/>
      </c>
      <c r="B671">
        <f>IF($A671="","",IF(ISNUMBER($A671),IF(AND($A671&gt;=10000101,$A671&lt;=99991231),INT($A671/10000),""),IFERROR(VALUE(TRIM(LEFT($A671,FIND("/",$A671)-1))),"")))</f>
        <v/>
      </c>
      <c r="C671">
        <f>IF(OR($A671="",$B671=""),"",IF(ISNUMBER($A671),INT(MOD($A671,10000)/100),IFERROR(VALUE(TRIM(LEFT(MID($A671,FIND("/",$A671)+1,20),FIND("/",MID($A671,FIND("/",$A671)+1,20))-1))),"")))</f>
        <v/>
      </c>
      <c r="D671">
        <f>IF(OR($A671="",$B671=""),"",IF(ISNUMBER($A671),MOD($A671,100),IFERROR(VALUE(TRIM(MID(MID($A671,FIND("/",$A671)+1,20),FIND("/",MID($A671,FIND("/",$A671)+1,20))+1,20))),"")))</f>
        <v/>
      </c>
      <c r="E671">
        <f>IF($A671="","",IF(OR($B671="",$C671="",$D671="",$B671&lt;1300,$B671&gt;1500,$C671&lt;1,$C671&gt;12,$D671&lt;1,$D671&gt;31),"نامعتبر",RIGHT("0000"&amp;$B671,4)&amp;"/"&amp;RIGHT("00"&amp;$C671,2)&amp;"/"&amp;RIGHT("00"&amp;$D671,2)))</f>
        <v/>
      </c>
      <c r="F671">
        <f>IF(OR($E671="",$E671="نامعتبر"),"",IF(Sync!$Q668="","0000",IF(AND(ISNUMBER(Sync!$Q668),Sync!$Q668&gt;=0,Sync!$Q668&lt;1),RIGHT("00"&amp;HOUR(Sync!$Q668),2)&amp;RIGHT("00"&amp;MINUTE(Sync!$Q668),2),IFERROR(RIGHT("00"&amp;VALUE(LEFT(Sync!$Q668,FIND(":",Sync!$Q668)-1)),2)&amp;RIGHT("00"&amp;VALUE(MID(Sync!$Q668,FIND(":",Sync!$Q668)+1,2)),2),"0000"))))</f>
        <v/>
      </c>
      <c r="G671">
        <f>IF(OR($E671="",$E671="نامعتبر"),"",IF(Sync!$S668="","",Sync!$S668))</f>
        <v/>
      </c>
      <c r="H671">
        <f>IF(OR($E671="",$E671="نامعتبر"),"",IF(Sync!$R668="","",Sync!$R668))</f>
        <v/>
      </c>
      <c r="I671">
        <f>IF(OR($E671="",$E671="نامعتبر"),"",IF(Sync!$T668="","",Sync!$T668))</f>
        <v/>
      </c>
      <c r="J671">
        <f>IF(OR($E671="",$E671="نامعتبر"),"",IF(Sync!$U668="","",Sync!$U668))</f>
        <v/>
      </c>
      <c r="K671">
        <f>IF(OR($E671="",$E671="نامعتبر"),"",IF(Sync!$V668="","",IFERROR(INDEX(SubCodes,MATCH(Sync!$V668,SubTitles,0)),Sync!$V668)))</f>
        <v/>
      </c>
      <c r="L671">
        <f>IF(OR($E671="",$E671="نامعتبر"),"",IF(Sync!$W668="",0,Sync!$W668))</f>
        <v/>
      </c>
      <c r="M671">
        <f>IF(OR($E671="",$E671="نامعتبر"),"",IF(Sync!$X668="",0,Sync!$X668))</f>
        <v/>
      </c>
      <c r="N671">
        <f>IF(OR($E671="",$E671="نامعتبر"),"",IF(AND($J671="هزینه",$K671&lt;&gt;""),1,0))</f>
        <v/>
      </c>
      <c r="O671">
        <f>IF($N671=0,"",LEFT($E671,4)&amp;MID($E671,6,2)&amp;RIGHT($E671,2)&amp;$F671&amp;"|"&amp;"1"&amp;RIGHT("00000"&amp;663,5))</f>
        <v/>
      </c>
      <c r="P671">
        <f>IF($O671="","",COUNTIFS(ExpSub,$K671,ExpKey,"&lt;"&amp;$O671)+1)</f>
        <v/>
      </c>
      <c r="Q671">
        <f>IF($P671="","",$K671&amp;"|"&amp;RIGHT("000000"&amp;$P671,6))</f>
        <v/>
      </c>
    </row>
    <row r="672">
      <c r="A672">
        <f>IF(Sync!$P669="","",Sync!$P669)</f>
        <v/>
      </c>
      <c r="B672">
        <f>IF($A672="","",IF(ISNUMBER($A672),IF(AND($A672&gt;=10000101,$A672&lt;=99991231),INT($A672/10000),""),IFERROR(VALUE(TRIM(LEFT($A672,FIND("/",$A672)-1))),"")))</f>
        <v/>
      </c>
      <c r="C672">
        <f>IF(OR($A672="",$B672=""),"",IF(ISNUMBER($A672),INT(MOD($A672,10000)/100),IFERROR(VALUE(TRIM(LEFT(MID($A672,FIND("/",$A672)+1,20),FIND("/",MID($A672,FIND("/",$A672)+1,20))-1))),"")))</f>
        <v/>
      </c>
      <c r="D672">
        <f>IF(OR($A672="",$B672=""),"",IF(ISNUMBER($A672),MOD($A672,100),IFERROR(VALUE(TRIM(MID(MID($A672,FIND("/",$A672)+1,20),FIND("/",MID($A672,FIND("/",$A672)+1,20))+1,20))),"")))</f>
        <v/>
      </c>
      <c r="E672">
        <f>IF($A672="","",IF(OR($B672="",$C672="",$D672="",$B672&lt;1300,$B672&gt;1500,$C672&lt;1,$C672&gt;12,$D672&lt;1,$D672&gt;31),"نامعتبر",RIGHT("0000"&amp;$B672,4)&amp;"/"&amp;RIGHT("00"&amp;$C672,2)&amp;"/"&amp;RIGHT("00"&amp;$D672,2)))</f>
        <v/>
      </c>
      <c r="F672">
        <f>IF(OR($E672="",$E672="نامعتبر"),"",IF(Sync!$Q669="","0000",IF(AND(ISNUMBER(Sync!$Q669),Sync!$Q669&gt;=0,Sync!$Q669&lt;1),RIGHT("00"&amp;HOUR(Sync!$Q669),2)&amp;RIGHT("00"&amp;MINUTE(Sync!$Q669),2),IFERROR(RIGHT("00"&amp;VALUE(LEFT(Sync!$Q669,FIND(":",Sync!$Q669)-1)),2)&amp;RIGHT("00"&amp;VALUE(MID(Sync!$Q669,FIND(":",Sync!$Q669)+1,2)),2),"0000"))))</f>
        <v/>
      </c>
      <c r="G672">
        <f>IF(OR($E672="",$E672="نامعتبر"),"",IF(Sync!$S669="","",Sync!$S669))</f>
        <v/>
      </c>
      <c r="H672">
        <f>IF(OR($E672="",$E672="نامعتبر"),"",IF(Sync!$R669="","",Sync!$R669))</f>
        <v/>
      </c>
      <c r="I672">
        <f>IF(OR($E672="",$E672="نامعتبر"),"",IF(Sync!$T669="","",Sync!$T669))</f>
        <v/>
      </c>
      <c r="J672">
        <f>IF(OR($E672="",$E672="نامعتبر"),"",IF(Sync!$U669="","",Sync!$U669))</f>
        <v/>
      </c>
      <c r="K672">
        <f>IF(OR($E672="",$E672="نامعتبر"),"",IF(Sync!$V669="","",IFERROR(INDEX(SubCodes,MATCH(Sync!$V669,SubTitles,0)),Sync!$V669)))</f>
        <v/>
      </c>
      <c r="L672">
        <f>IF(OR($E672="",$E672="نامعتبر"),"",IF(Sync!$W669="",0,Sync!$W669))</f>
        <v/>
      </c>
      <c r="M672">
        <f>IF(OR($E672="",$E672="نامعتبر"),"",IF(Sync!$X669="",0,Sync!$X669))</f>
        <v/>
      </c>
      <c r="N672">
        <f>IF(OR($E672="",$E672="نامعتبر"),"",IF(AND($J672="هزینه",$K672&lt;&gt;""),1,0))</f>
        <v/>
      </c>
      <c r="O672">
        <f>IF($N672=0,"",LEFT($E672,4)&amp;MID($E672,6,2)&amp;RIGHT($E672,2)&amp;$F672&amp;"|"&amp;"1"&amp;RIGHT("00000"&amp;664,5))</f>
        <v/>
      </c>
      <c r="P672">
        <f>IF($O672="","",COUNTIFS(ExpSub,$K672,ExpKey,"&lt;"&amp;$O672)+1)</f>
        <v/>
      </c>
      <c r="Q672">
        <f>IF($P672="","",$K672&amp;"|"&amp;RIGHT("000000"&amp;$P672,6))</f>
        <v/>
      </c>
    </row>
    <row r="673">
      <c r="A673">
        <f>IF(Sync!$P670="","",Sync!$P670)</f>
        <v/>
      </c>
      <c r="B673">
        <f>IF($A673="","",IF(ISNUMBER($A673),IF(AND($A673&gt;=10000101,$A673&lt;=99991231),INT($A673/10000),""),IFERROR(VALUE(TRIM(LEFT($A673,FIND("/",$A673)-1))),"")))</f>
        <v/>
      </c>
      <c r="C673">
        <f>IF(OR($A673="",$B673=""),"",IF(ISNUMBER($A673),INT(MOD($A673,10000)/100),IFERROR(VALUE(TRIM(LEFT(MID($A673,FIND("/",$A673)+1,20),FIND("/",MID($A673,FIND("/",$A673)+1,20))-1))),"")))</f>
        <v/>
      </c>
      <c r="D673">
        <f>IF(OR($A673="",$B673=""),"",IF(ISNUMBER($A673),MOD($A673,100),IFERROR(VALUE(TRIM(MID(MID($A673,FIND("/",$A673)+1,20),FIND("/",MID($A673,FIND("/",$A673)+1,20))+1,20))),"")))</f>
        <v/>
      </c>
      <c r="E673">
        <f>IF($A673="","",IF(OR($B673="",$C673="",$D673="",$B673&lt;1300,$B673&gt;1500,$C673&lt;1,$C673&gt;12,$D673&lt;1,$D673&gt;31),"نامعتبر",RIGHT("0000"&amp;$B673,4)&amp;"/"&amp;RIGHT("00"&amp;$C673,2)&amp;"/"&amp;RIGHT("00"&amp;$D673,2)))</f>
        <v/>
      </c>
      <c r="F673">
        <f>IF(OR($E673="",$E673="نامعتبر"),"",IF(Sync!$Q670="","0000",IF(AND(ISNUMBER(Sync!$Q670),Sync!$Q670&gt;=0,Sync!$Q670&lt;1),RIGHT("00"&amp;HOUR(Sync!$Q670),2)&amp;RIGHT("00"&amp;MINUTE(Sync!$Q670),2),IFERROR(RIGHT("00"&amp;VALUE(LEFT(Sync!$Q670,FIND(":",Sync!$Q670)-1)),2)&amp;RIGHT("00"&amp;VALUE(MID(Sync!$Q670,FIND(":",Sync!$Q670)+1,2)),2),"0000"))))</f>
        <v/>
      </c>
      <c r="G673">
        <f>IF(OR($E673="",$E673="نامعتبر"),"",IF(Sync!$S670="","",Sync!$S670))</f>
        <v/>
      </c>
      <c r="H673">
        <f>IF(OR($E673="",$E673="نامعتبر"),"",IF(Sync!$R670="","",Sync!$R670))</f>
        <v/>
      </c>
      <c r="I673">
        <f>IF(OR($E673="",$E673="نامعتبر"),"",IF(Sync!$T670="","",Sync!$T670))</f>
        <v/>
      </c>
      <c r="J673">
        <f>IF(OR($E673="",$E673="نامعتبر"),"",IF(Sync!$U670="","",Sync!$U670))</f>
        <v/>
      </c>
      <c r="K673">
        <f>IF(OR($E673="",$E673="نامعتبر"),"",IF(Sync!$V670="","",IFERROR(INDEX(SubCodes,MATCH(Sync!$V670,SubTitles,0)),Sync!$V670)))</f>
        <v/>
      </c>
      <c r="L673">
        <f>IF(OR($E673="",$E673="نامعتبر"),"",IF(Sync!$W670="",0,Sync!$W670))</f>
        <v/>
      </c>
      <c r="M673">
        <f>IF(OR($E673="",$E673="نامعتبر"),"",IF(Sync!$X670="",0,Sync!$X670))</f>
        <v/>
      </c>
      <c r="N673">
        <f>IF(OR($E673="",$E673="نامعتبر"),"",IF(AND($J673="هزینه",$K673&lt;&gt;""),1,0))</f>
        <v/>
      </c>
      <c r="O673">
        <f>IF($N673=0,"",LEFT($E673,4)&amp;MID($E673,6,2)&amp;RIGHT($E673,2)&amp;$F673&amp;"|"&amp;"1"&amp;RIGHT("00000"&amp;665,5))</f>
        <v/>
      </c>
      <c r="P673">
        <f>IF($O673="","",COUNTIFS(ExpSub,$K673,ExpKey,"&lt;"&amp;$O673)+1)</f>
        <v/>
      </c>
      <c r="Q673">
        <f>IF($P673="","",$K673&amp;"|"&amp;RIGHT("000000"&amp;$P673,6))</f>
        <v/>
      </c>
    </row>
    <row r="674">
      <c r="A674">
        <f>IF(Sync!$P671="","",Sync!$P671)</f>
        <v/>
      </c>
      <c r="B674">
        <f>IF($A674="","",IF(ISNUMBER($A674),IF(AND($A674&gt;=10000101,$A674&lt;=99991231),INT($A674/10000),""),IFERROR(VALUE(TRIM(LEFT($A674,FIND("/",$A674)-1))),"")))</f>
        <v/>
      </c>
      <c r="C674">
        <f>IF(OR($A674="",$B674=""),"",IF(ISNUMBER($A674),INT(MOD($A674,10000)/100),IFERROR(VALUE(TRIM(LEFT(MID($A674,FIND("/",$A674)+1,20),FIND("/",MID($A674,FIND("/",$A674)+1,20))-1))),"")))</f>
        <v/>
      </c>
      <c r="D674">
        <f>IF(OR($A674="",$B674=""),"",IF(ISNUMBER($A674),MOD($A674,100),IFERROR(VALUE(TRIM(MID(MID($A674,FIND("/",$A674)+1,20),FIND("/",MID($A674,FIND("/",$A674)+1,20))+1,20))),"")))</f>
        <v/>
      </c>
      <c r="E674">
        <f>IF($A674="","",IF(OR($B674="",$C674="",$D674="",$B674&lt;1300,$B674&gt;1500,$C674&lt;1,$C674&gt;12,$D674&lt;1,$D674&gt;31),"نامعتبر",RIGHT("0000"&amp;$B674,4)&amp;"/"&amp;RIGHT("00"&amp;$C674,2)&amp;"/"&amp;RIGHT("00"&amp;$D674,2)))</f>
        <v/>
      </c>
      <c r="F674">
        <f>IF(OR($E674="",$E674="نامعتبر"),"",IF(Sync!$Q671="","0000",IF(AND(ISNUMBER(Sync!$Q671),Sync!$Q671&gt;=0,Sync!$Q671&lt;1),RIGHT("00"&amp;HOUR(Sync!$Q671),2)&amp;RIGHT("00"&amp;MINUTE(Sync!$Q671),2),IFERROR(RIGHT("00"&amp;VALUE(LEFT(Sync!$Q671,FIND(":",Sync!$Q671)-1)),2)&amp;RIGHT("00"&amp;VALUE(MID(Sync!$Q671,FIND(":",Sync!$Q671)+1,2)),2),"0000"))))</f>
        <v/>
      </c>
      <c r="G674">
        <f>IF(OR($E674="",$E674="نامعتبر"),"",IF(Sync!$S671="","",Sync!$S671))</f>
        <v/>
      </c>
      <c r="H674">
        <f>IF(OR($E674="",$E674="نامعتبر"),"",IF(Sync!$R671="","",Sync!$R671))</f>
        <v/>
      </c>
      <c r="I674">
        <f>IF(OR($E674="",$E674="نامعتبر"),"",IF(Sync!$T671="","",Sync!$T671))</f>
        <v/>
      </c>
      <c r="J674">
        <f>IF(OR($E674="",$E674="نامعتبر"),"",IF(Sync!$U671="","",Sync!$U671))</f>
        <v/>
      </c>
      <c r="K674">
        <f>IF(OR($E674="",$E674="نامعتبر"),"",IF(Sync!$V671="","",IFERROR(INDEX(SubCodes,MATCH(Sync!$V671,SubTitles,0)),Sync!$V671)))</f>
        <v/>
      </c>
      <c r="L674">
        <f>IF(OR($E674="",$E674="نامعتبر"),"",IF(Sync!$W671="",0,Sync!$W671))</f>
        <v/>
      </c>
      <c r="M674">
        <f>IF(OR($E674="",$E674="نامعتبر"),"",IF(Sync!$X671="",0,Sync!$X671))</f>
        <v/>
      </c>
      <c r="N674">
        <f>IF(OR($E674="",$E674="نامعتبر"),"",IF(AND($J674="هزینه",$K674&lt;&gt;""),1,0))</f>
        <v/>
      </c>
      <c r="O674">
        <f>IF($N674=0,"",LEFT($E674,4)&amp;MID($E674,6,2)&amp;RIGHT($E674,2)&amp;$F674&amp;"|"&amp;"1"&amp;RIGHT("00000"&amp;666,5))</f>
        <v/>
      </c>
      <c r="P674">
        <f>IF($O674="","",COUNTIFS(ExpSub,$K674,ExpKey,"&lt;"&amp;$O674)+1)</f>
        <v/>
      </c>
      <c r="Q674">
        <f>IF($P674="","",$K674&amp;"|"&amp;RIGHT("000000"&amp;$P674,6))</f>
        <v/>
      </c>
    </row>
    <row r="675">
      <c r="A675">
        <f>IF(Sync!$P672="","",Sync!$P672)</f>
        <v/>
      </c>
      <c r="B675">
        <f>IF($A675="","",IF(ISNUMBER($A675),IF(AND($A675&gt;=10000101,$A675&lt;=99991231),INT($A675/10000),""),IFERROR(VALUE(TRIM(LEFT($A675,FIND("/",$A675)-1))),"")))</f>
        <v/>
      </c>
      <c r="C675">
        <f>IF(OR($A675="",$B675=""),"",IF(ISNUMBER($A675),INT(MOD($A675,10000)/100),IFERROR(VALUE(TRIM(LEFT(MID($A675,FIND("/",$A675)+1,20),FIND("/",MID($A675,FIND("/",$A675)+1,20))-1))),"")))</f>
        <v/>
      </c>
      <c r="D675">
        <f>IF(OR($A675="",$B675=""),"",IF(ISNUMBER($A675),MOD($A675,100),IFERROR(VALUE(TRIM(MID(MID($A675,FIND("/",$A675)+1,20),FIND("/",MID($A675,FIND("/",$A675)+1,20))+1,20))),"")))</f>
        <v/>
      </c>
      <c r="E675">
        <f>IF($A675="","",IF(OR($B675="",$C675="",$D675="",$B675&lt;1300,$B675&gt;1500,$C675&lt;1,$C675&gt;12,$D675&lt;1,$D675&gt;31),"نامعتبر",RIGHT("0000"&amp;$B675,4)&amp;"/"&amp;RIGHT("00"&amp;$C675,2)&amp;"/"&amp;RIGHT("00"&amp;$D675,2)))</f>
        <v/>
      </c>
      <c r="F675">
        <f>IF(OR($E675="",$E675="نامعتبر"),"",IF(Sync!$Q672="","0000",IF(AND(ISNUMBER(Sync!$Q672),Sync!$Q672&gt;=0,Sync!$Q672&lt;1),RIGHT("00"&amp;HOUR(Sync!$Q672),2)&amp;RIGHT("00"&amp;MINUTE(Sync!$Q672),2),IFERROR(RIGHT("00"&amp;VALUE(LEFT(Sync!$Q672,FIND(":",Sync!$Q672)-1)),2)&amp;RIGHT("00"&amp;VALUE(MID(Sync!$Q672,FIND(":",Sync!$Q672)+1,2)),2),"0000"))))</f>
        <v/>
      </c>
      <c r="G675">
        <f>IF(OR($E675="",$E675="نامعتبر"),"",IF(Sync!$S672="","",Sync!$S672))</f>
        <v/>
      </c>
      <c r="H675">
        <f>IF(OR($E675="",$E675="نامعتبر"),"",IF(Sync!$R672="","",Sync!$R672))</f>
        <v/>
      </c>
      <c r="I675">
        <f>IF(OR($E675="",$E675="نامعتبر"),"",IF(Sync!$T672="","",Sync!$T672))</f>
        <v/>
      </c>
      <c r="J675">
        <f>IF(OR($E675="",$E675="نامعتبر"),"",IF(Sync!$U672="","",Sync!$U672))</f>
        <v/>
      </c>
      <c r="K675">
        <f>IF(OR($E675="",$E675="نامعتبر"),"",IF(Sync!$V672="","",IFERROR(INDEX(SubCodes,MATCH(Sync!$V672,SubTitles,0)),Sync!$V672)))</f>
        <v/>
      </c>
      <c r="L675">
        <f>IF(OR($E675="",$E675="نامعتبر"),"",IF(Sync!$W672="",0,Sync!$W672))</f>
        <v/>
      </c>
      <c r="M675">
        <f>IF(OR($E675="",$E675="نامعتبر"),"",IF(Sync!$X672="",0,Sync!$X672))</f>
        <v/>
      </c>
      <c r="N675">
        <f>IF(OR($E675="",$E675="نامعتبر"),"",IF(AND($J675="هزینه",$K675&lt;&gt;""),1,0))</f>
        <v/>
      </c>
      <c r="O675">
        <f>IF($N675=0,"",LEFT($E675,4)&amp;MID($E675,6,2)&amp;RIGHT($E675,2)&amp;$F675&amp;"|"&amp;"1"&amp;RIGHT("00000"&amp;667,5))</f>
        <v/>
      </c>
      <c r="P675">
        <f>IF($O675="","",COUNTIFS(ExpSub,$K675,ExpKey,"&lt;"&amp;$O675)+1)</f>
        <v/>
      </c>
      <c r="Q675">
        <f>IF($P675="","",$K675&amp;"|"&amp;RIGHT("000000"&amp;$P675,6))</f>
        <v/>
      </c>
    </row>
    <row r="676">
      <c r="A676">
        <f>IF(Sync!$P673="","",Sync!$P673)</f>
        <v/>
      </c>
      <c r="B676">
        <f>IF($A676="","",IF(ISNUMBER($A676),IF(AND($A676&gt;=10000101,$A676&lt;=99991231),INT($A676/10000),""),IFERROR(VALUE(TRIM(LEFT($A676,FIND("/",$A676)-1))),"")))</f>
        <v/>
      </c>
      <c r="C676">
        <f>IF(OR($A676="",$B676=""),"",IF(ISNUMBER($A676),INT(MOD($A676,10000)/100),IFERROR(VALUE(TRIM(LEFT(MID($A676,FIND("/",$A676)+1,20),FIND("/",MID($A676,FIND("/",$A676)+1,20))-1))),"")))</f>
        <v/>
      </c>
      <c r="D676">
        <f>IF(OR($A676="",$B676=""),"",IF(ISNUMBER($A676),MOD($A676,100),IFERROR(VALUE(TRIM(MID(MID($A676,FIND("/",$A676)+1,20),FIND("/",MID($A676,FIND("/",$A676)+1,20))+1,20))),"")))</f>
        <v/>
      </c>
      <c r="E676">
        <f>IF($A676="","",IF(OR($B676="",$C676="",$D676="",$B676&lt;1300,$B676&gt;1500,$C676&lt;1,$C676&gt;12,$D676&lt;1,$D676&gt;31),"نامعتبر",RIGHT("0000"&amp;$B676,4)&amp;"/"&amp;RIGHT("00"&amp;$C676,2)&amp;"/"&amp;RIGHT("00"&amp;$D676,2)))</f>
        <v/>
      </c>
      <c r="F676">
        <f>IF(OR($E676="",$E676="نامعتبر"),"",IF(Sync!$Q673="","0000",IF(AND(ISNUMBER(Sync!$Q673),Sync!$Q673&gt;=0,Sync!$Q673&lt;1),RIGHT("00"&amp;HOUR(Sync!$Q673),2)&amp;RIGHT("00"&amp;MINUTE(Sync!$Q673),2),IFERROR(RIGHT("00"&amp;VALUE(LEFT(Sync!$Q673,FIND(":",Sync!$Q673)-1)),2)&amp;RIGHT("00"&amp;VALUE(MID(Sync!$Q673,FIND(":",Sync!$Q673)+1,2)),2),"0000"))))</f>
        <v/>
      </c>
      <c r="G676">
        <f>IF(OR($E676="",$E676="نامعتبر"),"",IF(Sync!$S673="","",Sync!$S673))</f>
        <v/>
      </c>
      <c r="H676">
        <f>IF(OR($E676="",$E676="نامعتبر"),"",IF(Sync!$R673="","",Sync!$R673))</f>
        <v/>
      </c>
      <c r="I676">
        <f>IF(OR($E676="",$E676="نامعتبر"),"",IF(Sync!$T673="","",Sync!$T673))</f>
        <v/>
      </c>
      <c r="J676">
        <f>IF(OR($E676="",$E676="نامعتبر"),"",IF(Sync!$U673="","",Sync!$U673))</f>
        <v/>
      </c>
      <c r="K676">
        <f>IF(OR($E676="",$E676="نامعتبر"),"",IF(Sync!$V673="","",IFERROR(INDEX(SubCodes,MATCH(Sync!$V673,SubTitles,0)),Sync!$V673)))</f>
        <v/>
      </c>
      <c r="L676">
        <f>IF(OR($E676="",$E676="نامعتبر"),"",IF(Sync!$W673="",0,Sync!$W673))</f>
        <v/>
      </c>
      <c r="M676">
        <f>IF(OR($E676="",$E676="نامعتبر"),"",IF(Sync!$X673="",0,Sync!$X673))</f>
        <v/>
      </c>
      <c r="N676">
        <f>IF(OR($E676="",$E676="نامعتبر"),"",IF(AND($J676="هزینه",$K676&lt;&gt;""),1,0))</f>
        <v/>
      </c>
      <c r="O676">
        <f>IF($N676=0,"",LEFT($E676,4)&amp;MID($E676,6,2)&amp;RIGHT($E676,2)&amp;$F676&amp;"|"&amp;"1"&amp;RIGHT("00000"&amp;668,5))</f>
        <v/>
      </c>
      <c r="P676">
        <f>IF($O676="","",COUNTIFS(ExpSub,$K676,ExpKey,"&lt;"&amp;$O676)+1)</f>
        <v/>
      </c>
      <c r="Q676">
        <f>IF($P676="","",$K676&amp;"|"&amp;RIGHT("000000"&amp;$P676,6))</f>
        <v/>
      </c>
    </row>
    <row r="677">
      <c r="A677">
        <f>IF(Sync!$P674="","",Sync!$P674)</f>
        <v/>
      </c>
      <c r="B677">
        <f>IF($A677="","",IF(ISNUMBER($A677),IF(AND($A677&gt;=10000101,$A677&lt;=99991231),INT($A677/10000),""),IFERROR(VALUE(TRIM(LEFT($A677,FIND("/",$A677)-1))),"")))</f>
        <v/>
      </c>
      <c r="C677">
        <f>IF(OR($A677="",$B677=""),"",IF(ISNUMBER($A677),INT(MOD($A677,10000)/100),IFERROR(VALUE(TRIM(LEFT(MID($A677,FIND("/",$A677)+1,20),FIND("/",MID($A677,FIND("/",$A677)+1,20))-1))),"")))</f>
        <v/>
      </c>
      <c r="D677">
        <f>IF(OR($A677="",$B677=""),"",IF(ISNUMBER($A677),MOD($A677,100),IFERROR(VALUE(TRIM(MID(MID($A677,FIND("/",$A677)+1,20),FIND("/",MID($A677,FIND("/",$A677)+1,20))+1,20))),"")))</f>
        <v/>
      </c>
      <c r="E677">
        <f>IF($A677="","",IF(OR($B677="",$C677="",$D677="",$B677&lt;1300,$B677&gt;1500,$C677&lt;1,$C677&gt;12,$D677&lt;1,$D677&gt;31),"نامعتبر",RIGHT("0000"&amp;$B677,4)&amp;"/"&amp;RIGHT("00"&amp;$C677,2)&amp;"/"&amp;RIGHT("00"&amp;$D677,2)))</f>
        <v/>
      </c>
      <c r="F677">
        <f>IF(OR($E677="",$E677="نامعتبر"),"",IF(Sync!$Q674="","0000",IF(AND(ISNUMBER(Sync!$Q674),Sync!$Q674&gt;=0,Sync!$Q674&lt;1),RIGHT("00"&amp;HOUR(Sync!$Q674),2)&amp;RIGHT("00"&amp;MINUTE(Sync!$Q674),2),IFERROR(RIGHT("00"&amp;VALUE(LEFT(Sync!$Q674,FIND(":",Sync!$Q674)-1)),2)&amp;RIGHT("00"&amp;VALUE(MID(Sync!$Q674,FIND(":",Sync!$Q674)+1,2)),2),"0000"))))</f>
        <v/>
      </c>
      <c r="G677">
        <f>IF(OR($E677="",$E677="نامعتبر"),"",IF(Sync!$S674="","",Sync!$S674))</f>
        <v/>
      </c>
      <c r="H677">
        <f>IF(OR($E677="",$E677="نامعتبر"),"",IF(Sync!$R674="","",Sync!$R674))</f>
        <v/>
      </c>
      <c r="I677">
        <f>IF(OR($E677="",$E677="نامعتبر"),"",IF(Sync!$T674="","",Sync!$T674))</f>
        <v/>
      </c>
      <c r="J677">
        <f>IF(OR($E677="",$E677="نامعتبر"),"",IF(Sync!$U674="","",Sync!$U674))</f>
        <v/>
      </c>
      <c r="K677">
        <f>IF(OR($E677="",$E677="نامعتبر"),"",IF(Sync!$V674="","",IFERROR(INDEX(SubCodes,MATCH(Sync!$V674,SubTitles,0)),Sync!$V674)))</f>
        <v/>
      </c>
      <c r="L677">
        <f>IF(OR($E677="",$E677="نامعتبر"),"",IF(Sync!$W674="",0,Sync!$W674))</f>
        <v/>
      </c>
      <c r="M677">
        <f>IF(OR($E677="",$E677="نامعتبر"),"",IF(Sync!$X674="",0,Sync!$X674))</f>
        <v/>
      </c>
      <c r="N677">
        <f>IF(OR($E677="",$E677="نامعتبر"),"",IF(AND($J677="هزینه",$K677&lt;&gt;""),1,0))</f>
        <v/>
      </c>
      <c r="O677">
        <f>IF($N677=0,"",LEFT($E677,4)&amp;MID($E677,6,2)&amp;RIGHT($E677,2)&amp;$F677&amp;"|"&amp;"1"&amp;RIGHT("00000"&amp;669,5))</f>
        <v/>
      </c>
      <c r="P677">
        <f>IF($O677="","",COUNTIFS(ExpSub,$K677,ExpKey,"&lt;"&amp;$O677)+1)</f>
        <v/>
      </c>
      <c r="Q677">
        <f>IF($P677="","",$K677&amp;"|"&amp;RIGHT("000000"&amp;$P677,6))</f>
        <v/>
      </c>
    </row>
    <row r="678">
      <c r="A678">
        <f>IF(Sync!$P675="","",Sync!$P675)</f>
        <v/>
      </c>
      <c r="B678">
        <f>IF($A678="","",IF(ISNUMBER($A678),IF(AND($A678&gt;=10000101,$A678&lt;=99991231),INT($A678/10000),""),IFERROR(VALUE(TRIM(LEFT($A678,FIND("/",$A678)-1))),"")))</f>
        <v/>
      </c>
      <c r="C678">
        <f>IF(OR($A678="",$B678=""),"",IF(ISNUMBER($A678),INT(MOD($A678,10000)/100),IFERROR(VALUE(TRIM(LEFT(MID($A678,FIND("/",$A678)+1,20),FIND("/",MID($A678,FIND("/",$A678)+1,20))-1))),"")))</f>
        <v/>
      </c>
      <c r="D678">
        <f>IF(OR($A678="",$B678=""),"",IF(ISNUMBER($A678),MOD($A678,100),IFERROR(VALUE(TRIM(MID(MID($A678,FIND("/",$A678)+1,20),FIND("/",MID($A678,FIND("/",$A678)+1,20))+1,20))),"")))</f>
        <v/>
      </c>
      <c r="E678">
        <f>IF($A678="","",IF(OR($B678="",$C678="",$D678="",$B678&lt;1300,$B678&gt;1500,$C678&lt;1,$C678&gt;12,$D678&lt;1,$D678&gt;31),"نامعتبر",RIGHT("0000"&amp;$B678,4)&amp;"/"&amp;RIGHT("00"&amp;$C678,2)&amp;"/"&amp;RIGHT("00"&amp;$D678,2)))</f>
        <v/>
      </c>
      <c r="F678">
        <f>IF(OR($E678="",$E678="نامعتبر"),"",IF(Sync!$Q675="","0000",IF(AND(ISNUMBER(Sync!$Q675),Sync!$Q675&gt;=0,Sync!$Q675&lt;1),RIGHT("00"&amp;HOUR(Sync!$Q675),2)&amp;RIGHT("00"&amp;MINUTE(Sync!$Q675),2),IFERROR(RIGHT("00"&amp;VALUE(LEFT(Sync!$Q675,FIND(":",Sync!$Q675)-1)),2)&amp;RIGHT("00"&amp;VALUE(MID(Sync!$Q675,FIND(":",Sync!$Q675)+1,2)),2),"0000"))))</f>
        <v/>
      </c>
      <c r="G678">
        <f>IF(OR($E678="",$E678="نامعتبر"),"",IF(Sync!$S675="","",Sync!$S675))</f>
        <v/>
      </c>
      <c r="H678">
        <f>IF(OR($E678="",$E678="نامعتبر"),"",IF(Sync!$R675="","",Sync!$R675))</f>
        <v/>
      </c>
      <c r="I678">
        <f>IF(OR($E678="",$E678="نامعتبر"),"",IF(Sync!$T675="","",Sync!$T675))</f>
        <v/>
      </c>
      <c r="J678">
        <f>IF(OR($E678="",$E678="نامعتبر"),"",IF(Sync!$U675="","",Sync!$U675))</f>
        <v/>
      </c>
      <c r="K678">
        <f>IF(OR($E678="",$E678="نامعتبر"),"",IF(Sync!$V675="","",IFERROR(INDEX(SubCodes,MATCH(Sync!$V675,SubTitles,0)),Sync!$V675)))</f>
        <v/>
      </c>
      <c r="L678">
        <f>IF(OR($E678="",$E678="نامعتبر"),"",IF(Sync!$W675="",0,Sync!$W675))</f>
        <v/>
      </c>
      <c r="M678">
        <f>IF(OR($E678="",$E678="نامعتبر"),"",IF(Sync!$X675="",0,Sync!$X675))</f>
        <v/>
      </c>
      <c r="N678">
        <f>IF(OR($E678="",$E678="نامعتبر"),"",IF(AND($J678="هزینه",$K678&lt;&gt;""),1,0))</f>
        <v/>
      </c>
      <c r="O678">
        <f>IF($N678=0,"",LEFT($E678,4)&amp;MID($E678,6,2)&amp;RIGHT($E678,2)&amp;$F678&amp;"|"&amp;"1"&amp;RIGHT("00000"&amp;670,5))</f>
        <v/>
      </c>
      <c r="P678">
        <f>IF($O678="","",COUNTIFS(ExpSub,$K678,ExpKey,"&lt;"&amp;$O678)+1)</f>
        <v/>
      </c>
      <c r="Q678">
        <f>IF($P678="","",$K678&amp;"|"&amp;RIGHT("000000"&amp;$P678,6))</f>
        <v/>
      </c>
    </row>
    <row r="679">
      <c r="A679">
        <f>IF(Sync!$P676="","",Sync!$P676)</f>
        <v/>
      </c>
      <c r="B679">
        <f>IF($A679="","",IF(ISNUMBER($A679),IF(AND($A679&gt;=10000101,$A679&lt;=99991231),INT($A679/10000),""),IFERROR(VALUE(TRIM(LEFT($A679,FIND("/",$A679)-1))),"")))</f>
        <v/>
      </c>
      <c r="C679">
        <f>IF(OR($A679="",$B679=""),"",IF(ISNUMBER($A679),INT(MOD($A679,10000)/100),IFERROR(VALUE(TRIM(LEFT(MID($A679,FIND("/",$A679)+1,20),FIND("/",MID($A679,FIND("/",$A679)+1,20))-1))),"")))</f>
        <v/>
      </c>
      <c r="D679">
        <f>IF(OR($A679="",$B679=""),"",IF(ISNUMBER($A679),MOD($A679,100),IFERROR(VALUE(TRIM(MID(MID($A679,FIND("/",$A679)+1,20),FIND("/",MID($A679,FIND("/",$A679)+1,20))+1,20))),"")))</f>
        <v/>
      </c>
      <c r="E679">
        <f>IF($A679="","",IF(OR($B679="",$C679="",$D679="",$B679&lt;1300,$B679&gt;1500,$C679&lt;1,$C679&gt;12,$D679&lt;1,$D679&gt;31),"نامعتبر",RIGHT("0000"&amp;$B679,4)&amp;"/"&amp;RIGHT("00"&amp;$C679,2)&amp;"/"&amp;RIGHT("00"&amp;$D679,2)))</f>
        <v/>
      </c>
      <c r="F679">
        <f>IF(OR($E679="",$E679="نامعتبر"),"",IF(Sync!$Q676="","0000",IF(AND(ISNUMBER(Sync!$Q676),Sync!$Q676&gt;=0,Sync!$Q676&lt;1),RIGHT("00"&amp;HOUR(Sync!$Q676),2)&amp;RIGHT("00"&amp;MINUTE(Sync!$Q676),2),IFERROR(RIGHT("00"&amp;VALUE(LEFT(Sync!$Q676,FIND(":",Sync!$Q676)-1)),2)&amp;RIGHT("00"&amp;VALUE(MID(Sync!$Q676,FIND(":",Sync!$Q676)+1,2)),2),"0000"))))</f>
        <v/>
      </c>
      <c r="G679">
        <f>IF(OR($E679="",$E679="نامعتبر"),"",IF(Sync!$S676="","",Sync!$S676))</f>
        <v/>
      </c>
      <c r="H679">
        <f>IF(OR($E679="",$E679="نامعتبر"),"",IF(Sync!$R676="","",Sync!$R676))</f>
        <v/>
      </c>
      <c r="I679">
        <f>IF(OR($E679="",$E679="نامعتبر"),"",IF(Sync!$T676="","",Sync!$T676))</f>
        <v/>
      </c>
      <c r="J679">
        <f>IF(OR($E679="",$E679="نامعتبر"),"",IF(Sync!$U676="","",Sync!$U676))</f>
        <v/>
      </c>
      <c r="K679">
        <f>IF(OR($E679="",$E679="نامعتبر"),"",IF(Sync!$V676="","",IFERROR(INDEX(SubCodes,MATCH(Sync!$V676,SubTitles,0)),Sync!$V676)))</f>
        <v/>
      </c>
      <c r="L679">
        <f>IF(OR($E679="",$E679="نامعتبر"),"",IF(Sync!$W676="",0,Sync!$W676))</f>
        <v/>
      </c>
      <c r="M679">
        <f>IF(OR($E679="",$E679="نامعتبر"),"",IF(Sync!$X676="",0,Sync!$X676))</f>
        <v/>
      </c>
      <c r="N679">
        <f>IF(OR($E679="",$E679="نامعتبر"),"",IF(AND($J679="هزینه",$K679&lt;&gt;""),1,0))</f>
        <v/>
      </c>
      <c r="O679">
        <f>IF($N679=0,"",LEFT($E679,4)&amp;MID($E679,6,2)&amp;RIGHT($E679,2)&amp;$F679&amp;"|"&amp;"1"&amp;RIGHT("00000"&amp;671,5))</f>
        <v/>
      </c>
      <c r="P679">
        <f>IF($O679="","",COUNTIFS(ExpSub,$K679,ExpKey,"&lt;"&amp;$O679)+1)</f>
        <v/>
      </c>
      <c r="Q679">
        <f>IF($P679="","",$K679&amp;"|"&amp;RIGHT("000000"&amp;$P679,6))</f>
        <v/>
      </c>
    </row>
    <row r="680">
      <c r="A680">
        <f>IF(Sync!$P677="","",Sync!$P677)</f>
        <v/>
      </c>
      <c r="B680">
        <f>IF($A680="","",IF(ISNUMBER($A680),IF(AND($A680&gt;=10000101,$A680&lt;=99991231),INT($A680/10000),""),IFERROR(VALUE(TRIM(LEFT($A680,FIND("/",$A680)-1))),"")))</f>
        <v/>
      </c>
      <c r="C680">
        <f>IF(OR($A680="",$B680=""),"",IF(ISNUMBER($A680),INT(MOD($A680,10000)/100),IFERROR(VALUE(TRIM(LEFT(MID($A680,FIND("/",$A680)+1,20),FIND("/",MID($A680,FIND("/",$A680)+1,20))-1))),"")))</f>
        <v/>
      </c>
      <c r="D680">
        <f>IF(OR($A680="",$B680=""),"",IF(ISNUMBER($A680),MOD($A680,100),IFERROR(VALUE(TRIM(MID(MID($A680,FIND("/",$A680)+1,20),FIND("/",MID($A680,FIND("/",$A680)+1,20))+1,20))),"")))</f>
        <v/>
      </c>
      <c r="E680">
        <f>IF($A680="","",IF(OR($B680="",$C680="",$D680="",$B680&lt;1300,$B680&gt;1500,$C680&lt;1,$C680&gt;12,$D680&lt;1,$D680&gt;31),"نامعتبر",RIGHT("0000"&amp;$B680,4)&amp;"/"&amp;RIGHT("00"&amp;$C680,2)&amp;"/"&amp;RIGHT("00"&amp;$D680,2)))</f>
        <v/>
      </c>
      <c r="F680">
        <f>IF(OR($E680="",$E680="نامعتبر"),"",IF(Sync!$Q677="","0000",IF(AND(ISNUMBER(Sync!$Q677),Sync!$Q677&gt;=0,Sync!$Q677&lt;1),RIGHT("00"&amp;HOUR(Sync!$Q677),2)&amp;RIGHT("00"&amp;MINUTE(Sync!$Q677),2),IFERROR(RIGHT("00"&amp;VALUE(LEFT(Sync!$Q677,FIND(":",Sync!$Q677)-1)),2)&amp;RIGHT("00"&amp;VALUE(MID(Sync!$Q677,FIND(":",Sync!$Q677)+1,2)),2),"0000"))))</f>
        <v/>
      </c>
      <c r="G680">
        <f>IF(OR($E680="",$E680="نامعتبر"),"",IF(Sync!$S677="","",Sync!$S677))</f>
        <v/>
      </c>
      <c r="H680">
        <f>IF(OR($E680="",$E680="نامعتبر"),"",IF(Sync!$R677="","",Sync!$R677))</f>
        <v/>
      </c>
      <c r="I680">
        <f>IF(OR($E680="",$E680="نامعتبر"),"",IF(Sync!$T677="","",Sync!$T677))</f>
        <v/>
      </c>
      <c r="J680">
        <f>IF(OR($E680="",$E680="نامعتبر"),"",IF(Sync!$U677="","",Sync!$U677))</f>
        <v/>
      </c>
      <c r="K680">
        <f>IF(OR($E680="",$E680="نامعتبر"),"",IF(Sync!$V677="","",IFERROR(INDEX(SubCodes,MATCH(Sync!$V677,SubTitles,0)),Sync!$V677)))</f>
        <v/>
      </c>
      <c r="L680">
        <f>IF(OR($E680="",$E680="نامعتبر"),"",IF(Sync!$W677="",0,Sync!$W677))</f>
        <v/>
      </c>
      <c r="M680">
        <f>IF(OR($E680="",$E680="نامعتبر"),"",IF(Sync!$X677="",0,Sync!$X677))</f>
        <v/>
      </c>
      <c r="N680">
        <f>IF(OR($E680="",$E680="نامعتبر"),"",IF(AND($J680="هزینه",$K680&lt;&gt;""),1,0))</f>
        <v/>
      </c>
      <c r="O680">
        <f>IF($N680=0,"",LEFT($E680,4)&amp;MID($E680,6,2)&amp;RIGHT($E680,2)&amp;$F680&amp;"|"&amp;"1"&amp;RIGHT("00000"&amp;672,5))</f>
        <v/>
      </c>
      <c r="P680">
        <f>IF($O680="","",COUNTIFS(ExpSub,$K680,ExpKey,"&lt;"&amp;$O680)+1)</f>
        <v/>
      </c>
      <c r="Q680">
        <f>IF($P680="","",$K680&amp;"|"&amp;RIGHT("000000"&amp;$P680,6))</f>
        <v/>
      </c>
    </row>
    <row r="681">
      <c r="A681">
        <f>IF(Sync!$P678="","",Sync!$P678)</f>
        <v/>
      </c>
      <c r="B681">
        <f>IF($A681="","",IF(ISNUMBER($A681),IF(AND($A681&gt;=10000101,$A681&lt;=99991231),INT($A681/10000),""),IFERROR(VALUE(TRIM(LEFT($A681,FIND("/",$A681)-1))),"")))</f>
        <v/>
      </c>
      <c r="C681">
        <f>IF(OR($A681="",$B681=""),"",IF(ISNUMBER($A681),INT(MOD($A681,10000)/100),IFERROR(VALUE(TRIM(LEFT(MID($A681,FIND("/",$A681)+1,20),FIND("/",MID($A681,FIND("/",$A681)+1,20))-1))),"")))</f>
        <v/>
      </c>
      <c r="D681">
        <f>IF(OR($A681="",$B681=""),"",IF(ISNUMBER($A681),MOD($A681,100),IFERROR(VALUE(TRIM(MID(MID($A681,FIND("/",$A681)+1,20),FIND("/",MID($A681,FIND("/",$A681)+1,20))+1,20))),"")))</f>
        <v/>
      </c>
      <c r="E681">
        <f>IF($A681="","",IF(OR($B681="",$C681="",$D681="",$B681&lt;1300,$B681&gt;1500,$C681&lt;1,$C681&gt;12,$D681&lt;1,$D681&gt;31),"نامعتبر",RIGHT("0000"&amp;$B681,4)&amp;"/"&amp;RIGHT("00"&amp;$C681,2)&amp;"/"&amp;RIGHT("00"&amp;$D681,2)))</f>
        <v/>
      </c>
      <c r="F681">
        <f>IF(OR($E681="",$E681="نامعتبر"),"",IF(Sync!$Q678="","0000",IF(AND(ISNUMBER(Sync!$Q678),Sync!$Q678&gt;=0,Sync!$Q678&lt;1),RIGHT("00"&amp;HOUR(Sync!$Q678),2)&amp;RIGHT("00"&amp;MINUTE(Sync!$Q678),2),IFERROR(RIGHT("00"&amp;VALUE(LEFT(Sync!$Q678,FIND(":",Sync!$Q678)-1)),2)&amp;RIGHT("00"&amp;VALUE(MID(Sync!$Q678,FIND(":",Sync!$Q678)+1,2)),2),"0000"))))</f>
        <v/>
      </c>
      <c r="G681">
        <f>IF(OR($E681="",$E681="نامعتبر"),"",IF(Sync!$S678="","",Sync!$S678))</f>
        <v/>
      </c>
      <c r="H681">
        <f>IF(OR($E681="",$E681="نامعتبر"),"",IF(Sync!$R678="","",Sync!$R678))</f>
        <v/>
      </c>
      <c r="I681">
        <f>IF(OR($E681="",$E681="نامعتبر"),"",IF(Sync!$T678="","",Sync!$T678))</f>
        <v/>
      </c>
      <c r="J681">
        <f>IF(OR($E681="",$E681="نامعتبر"),"",IF(Sync!$U678="","",Sync!$U678))</f>
        <v/>
      </c>
      <c r="K681">
        <f>IF(OR($E681="",$E681="نامعتبر"),"",IF(Sync!$V678="","",IFERROR(INDEX(SubCodes,MATCH(Sync!$V678,SubTitles,0)),Sync!$V678)))</f>
        <v/>
      </c>
      <c r="L681">
        <f>IF(OR($E681="",$E681="نامعتبر"),"",IF(Sync!$W678="",0,Sync!$W678))</f>
        <v/>
      </c>
      <c r="M681">
        <f>IF(OR($E681="",$E681="نامعتبر"),"",IF(Sync!$X678="",0,Sync!$X678))</f>
        <v/>
      </c>
      <c r="N681">
        <f>IF(OR($E681="",$E681="نامعتبر"),"",IF(AND($J681="هزینه",$K681&lt;&gt;""),1,0))</f>
        <v/>
      </c>
      <c r="O681">
        <f>IF($N681=0,"",LEFT($E681,4)&amp;MID($E681,6,2)&amp;RIGHT($E681,2)&amp;$F681&amp;"|"&amp;"1"&amp;RIGHT("00000"&amp;673,5))</f>
        <v/>
      </c>
      <c r="P681">
        <f>IF($O681="","",COUNTIFS(ExpSub,$K681,ExpKey,"&lt;"&amp;$O681)+1)</f>
        <v/>
      </c>
      <c r="Q681">
        <f>IF($P681="","",$K681&amp;"|"&amp;RIGHT("000000"&amp;$P681,6))</f>
        <v/>
      </c>
    </row>
    <row r="682">
      <c r="A682">
        <f>IF(Sync!$P679="","",Sync!$P679)</f>
        <v/>
      </c>
      <c r="B682">
        <f>IF($A682="","",IF(ISNUMBER($A682),IF(AND($A682&gt;=10000101,$A682&lt;=99991231),INT($A682/10000),""),IFERROR(VALUE(TRIM(LEFT($A682,FIND("/",$A682)-1))),"")))</f>
        <v/>
      </c>
      <c r="C682">
        <f>IF(OR($A682="",$B682=""),"",IF(ISNUMBER($A682),INT(MOD($A682,10000)/100),IFERROR(VALUE(TRIM(LEFT(MID($A682,FIND("/",$A682)+1,20),FIND("/",MID($A682,FIND("/",$A682)+1,20))-1))),"")))</f>
        <v/>
      </c>
      <c r="D682">
        <f>IF(OR($A682="",$B682=""),"",IF(ISNUMBER($A682),MOD($A682,100),IFERROR(VALUE(TRIM(MID(MID($A682,FIND("/",$A682)+1,20),FIND("/",MID($A682,FIND("/",$A682)+1,20))+1,20))),"")))</f>
        <v/>
      </c>
      <c r="E682">
        <f>IF($A682="","",IF(OR($B682="",$C682="",$D682="",$B682&lt;1300,$B682&gt;1500,$C682&lt;1,$C682&gt;12,$D682&lt;1,$D682&gt;31),"نامعتبر",RIGHT("0000"&amp;$B682,4)&amp;"/"&amp;RIGHT("00"&amp;$C682,2)&amp;"/"&amp;RIGHT("00"&amp;$D682,2)))</f>
        <v/>
      </c>
      <c r="F682">
        <f>IF(OR($E682="",$E682="نامعتبر"),"",IF(Sync!$Q679="","0000",IF(AND(ISNUMBER(Sync!$Q679),Sync!$Q679&gt;=0,Sync!$Q679&lt;1),RIGHT("00"&amp;HOUR(Sync!$Q679),2)&amp;RIGHT("00"&amp;MINUTE(Sync!$Q679),2),IFERROR(RIGHT("00"&amp;VALUE(LEFT(Sync!$Q679,FIND(":",Sync!$Q679)-1)),2)&amp;RIGHT("00"&amp;VALUE(MID(Sync!$Q679,FIND(":",Sync!$Q679)+1,2)),2),"0000"))))</f>
        <v/>
      </c>
      <c r="G682">
        <f>IF(OR($E682="",$E682="نامعتبر"),"",IF(Sync!$S679="","",Sync!$S679))</f>
        <v/>
      </c>
      <c r="H682">
        <f>IF(OR($E682="",$E682="نامعتبر"),"",IF(Sync!$R679="","",Sync!$R679))</f>
        <v/>
      </c>
      <c r="I682">
        <f>IF(OR($E682="",$E682="نامعتبر"),"",IF(Sync!$T679="","",Sync!$T679))</f>
        <v/>
      </c>
      <c r="J682">
        <f>IF(OR($E682="",$E682="نامعتبر"),"",IF(Sync!$U679="","",Sync!$U679))</f>
        <v/>
      </c>
      <c r="K682">
        <f>IF(OR($E682="",$E682="نامعتبر"),"",IF(Sync!$V679="","",IFERROR(INDEX(SubCodes,MATCH(Sync!$V679,SubTitles,0)),Sync!$V679)))</f>
        <v/>
      </c>
      <c r="L682">
        <f>IF(OR($E682="",$E682="نامعتبر"),"",IF(Sync!$W679="",0,Sync!$W679))</f>
        <v/>
      </c>
      <c r="M682">
        <f>IF(OR($E682="",$E682="نامعتبر"),"",IF(Sync!$X679="",0,Sync!$X679))</f>
        <v/>
      </c>
      <c r="N682">
        <f>IF(OR($E682="",$E682="نامعتبر"),"",IF(AND($J682="هزینه",$K682&lt;&gt;""),1,0))</f>
        <v/>
      </c>
      <c r="O682">
        <f>IF($N682=0,"",LEFT($E682,4)&amp;MID($E682,6,2)&amp;RIGHT($E682,2)&amp;$F682&amp;"|"&amp;"1"&amp;RIGHT("00000"&amp;674,5))</f>
        <v/>
      </c>
      <c r="P682">
        <f>IF($O682="","",COUNTIFS(ExpSub,$K682,ExpKey,"&lt;"&amp;$O682)+1)</f>
        <v/>
      </c>
      <c r="Q682">
        <f>IF($P682="","",$K682&amp;"|"&amp;RIGHT("000000"&amp;$P682,6))</f>
        <v/>
      </c>
    </row>
    <row r="683">
      <c r="A683">
        <f>IF(Sync!$P680="","",Sync!$P680)</f>
        <v/>
      </c>
      <c r="B683">
        <f>IF($A683="","",IF(ISNUMBER($A683),IF(AND($A683&gt;=10000101,$A683&lt;=99991231),INT($A683/10000),""),IFERROR(VALUE(TRIM(LEFT($A683,FIND("/",$A683)-1))),"")))</f>
        <v/>
      </c>
      <c r="C683">
        <f>IF(OR($A683="",$B683=""),"",IF(ISNUMBER($A683),INT(MOD($A683,10000)/100),IFERROR(VALUE(TRIM(LEFT(MID($A683,FIND("/",$A683)+1,20),FIND("/",MID($A683,FIND("/",$A683)+1,20))-1))),"")))</f>
        <v/>
      </c>
      <c r="D683">
        <f>IF(OR($A683="",$B683=""),"",IF(ISNUMBER($A683),MOD($A683,100),IFERROR(VALUE(TRIM(MID(MID($A683,FIND("/",$A683)+1,20),FIND("/",MID($A683,FIND("/",$A683)+1,20))+1,20))),"")))</f>
        <v/>
      </c>
      <c r="E683">
        <f>IF($A683="","",IF(OR($B683="",$C683="",$D683="",$B683&lt;1300,$B683&gt;1500,$C683&lt;1,$C683&gt;12,$D683&lt;1,$D683&gt;31),"نامعتبر",RIGHT("0000"&amp;$B683,4)&amp;"/"&amp;RIGHT("00"&amp;$C683,2)&amp;"/"&amp;RIGHT("00"&amp;$D683,2)))</f>
        <v/>
      </c>
      <c r="F683">
        <f>IF(OR($E683="",$E683="نامعتبر"),"",IF(Sync!$Q680="","0000",IF(AND(ISNUMBER(Sync!$Q680),Sync!$Q680&gt;=0,Sync!$Q680&lt;1),RIGHT("00"&amp;HOUR(Sync!$Q680),2)&amp;RIGHT("00"&amp;MINUTE(Sync!$Q680),2),IFERROR(RIGHT("00"&amp;VALUE(LEFT(Sync!$Q680,FIND(":",Sync!$Q680)-1)),2)&amp;RIGHT("00"&amp;VALUE(MID(Sync!$Q680,FIND(":",Sync!$Q680)+1,2)),2),"0000"))))</f>
        <v/>
      </c>
      <c r="G683">
        <f>IF(OR($E683="",$E683="نامعتبر"),"",IF(Sync!$S680="","",Sync!$S680))</f>
        <v/>
      </c>
      <c r="H683">
        <f>IF(OR($E683="",$E683="نامعتبر"),"",IF(Sync!$R680="","",Sync!$R680))</f>
        <v/>
      </c>
      <c r="I683">
        <f>IF(OR($E683="",$E683="نامعتبر"),"",IF(Sync!$T680="","",Sync!$T680))</f>
        <v/>
      </c>
      <c r="J683">
        <f>IF(OR($E683="",$E683="نامعتبر"),"",IF(Sync!$U680="","",Sync!$U680))</f>
        <v/>
      </c>
      <c r="K683">
        <f>IF(OR($E683="",$E683="نامعتبر"),"",IF(Sync!$V680="","",IFERROR(INDEX(SubCodes,MATCH(Sync!$V680,SubTitles,0)),Sync!$V680)))</f>
        <v/>
      </c>
      <c r="L683">
        <f>IF(OR($E683="",$E683="نامعتبر"),"",IF(Sync!$W680="",0,Sync!$W680))</f>
        <v/>
      </c>
      <c r="M683">
        <f>IF(OR($E683="",$E683="نامعتبر"),"",IF(Sync!$X680="",0,Sync!$X680))</f>
        <v/>
      </c>
      <c r="N683">
        <f>IF(OR($E683="",$E683="نامعتبر"),"",IF(AND($J683="هزینه",$K683&lt;&gt;""),1,0))</f>
        <v/>
      </c>
      <c r="O683">
        <f>IF($N683=0,"",LEFT($E683,4)&amp;MID($E683,6,2)&amp;RIGHT($E683,2)&amp;$F683&amp;"|"&amp;"1"&amp;RIGHT("00000"&amp;675,5))</f>
        <v/>
      </c>
      <c r="P683">
        <f>IF($O683="","",COUNTIFS(ExpSub,$K683,ExpKey,"&lt;"&amp;$O683)+1)</f>
        <v/>
      </c>
      <c r="Q683">
        <f>IF($P683="","",$K683&amp;"|"&amp;RIGHT("000000"&amp;$P683,6))</f>
        <v/>
      </c>
    </row>
    <row r="684">
      <c r="A684">
        <f>IF(Sync!$P681="","",Sync!$P681)</f>
        <v/>
      </c>
      <c r="B684">
        <f>IF($A684="","",IF(ISNUMBER($A684),IF(AND($A684&gt;=10000101,$A684&lt;=99991231),INT($A684/10000),""),IFERROR(VALUE(TRIM(LEFT($A684,FIND("/",$A684)-1))),"")))</f>
        <v/>
      </c>
      <c r="C684">
        <f>IF(OR($A684="",$B684=""),"",IF(ISNUMBER($A684),INT(MOD($A684,10000)/100),IFERROR(VALUE(TRIM(LEFT(MID($A684,FIND("/",$A684)+1,20),FIND("/",MID($A684,FIND("/",$A684)+1,20))-1))),"")))</f>
        <v/>
      </c>
      <c r="D684">
        <f>IF(OR($A684="",$B684=""),"",IF(ISNUMBER($A684),MOD($A684,100),IFERROR(VALUE(TRIM(MID(MID($A684,FIND("/",$A684)+1,20),FIND("/",MID($A684,FIND("/",$A684)+1,20))+1,20))),"")))</f>
        <v/>
      </c>
      <c r="E684">
        <f>IF($A684="","",IF(OR($B684="",$C684="",$D684="",$B684&lt;1300,$B684&gt;1500,$C684&lt;1,$C684&gt;12,$D684&lt;1,$D684&gt;31),"نامعتبر",RIGHT("0000"&amp;$B684,4)&amp;"/"&amp;RIGHT("00"&amp;$C684,2)&amp;"/"&amp;RIGHT("00"&amp;$D684,2)))</f>
        <v/>
      </c>
      <c r="F684">
        <f>IF(OR($E684="",$E684="نامعتبر"),"",IF(Sync!$Q681="","0000",IF(AND(ISNUMBER(Sync!$Q681),Sync!$Q681&gt;=0,Sync!$Q681&lt;1),RIGHT("00"&amp;HOUR(Sync!$Q681),2)&amp;RIGHT("00"&amp;MINUTE(Sync!$Q681),2),IFERROR(RIGHT("00"&amp;VALUE(LEFT(Sync!$Q681,FIND(":",Sync!$Q681)-1)),2)&amp;RIGHT("00"&amp;VALUE(MID(Sync!$Q681,FIND(":",Sync!$Q681)+1,2)),2),"0000"))))</f>
        <v/>
      </c>
      <c r="G684">
        <f>IF(OR($E684="",$E684="نامعتبر"),"",IF(Sync!$S681="","",Sync!$S681))</f>
        <v/>
      </c>
      <c r="H684">
        <f>IF(OR($E684="",$E684="نامعتبر"),"",IF(Sync!$R681="","",Sync!$R681))</f>
        <v/>
      </c>
      <c r="I684">
        <f>IF(OR($E684="",$E684="نامعتبر"),"",IF(Sync!$T681="","",Sync!$T681))</f>
        <v/>
      </c>
      <c r="J684">
        <f>IF(OR($E684="",$E684="نامعتبر"),"",IF(Sync!$U681="","",Sync!$U681))</f>
        <v/>
      </c>
      <c r="K684">
        <f>IF(OR($E684="",$E684="نامعتبر"),"",IF(Sync!$V681="","",IFERROR(INDEX(SubCodes,MATCH(Sync!$V681,SubTitles,0)),Sync!$V681)))</f>
        <v/>
      </c>
      <c r="L684">
        <f>IF(OR($E684="",$E684="نامعتبر"),"",IF(Sync!$W681="",0,Sync!$W681))</f>
        <v/>
      </c>
      <c r="M684">
        <f>IF(OR($E684="",$E684="نامعتبر"),"",IF(Sync!$X681="",0,Sync!$X681))</f>
        <v/>
      </c>
      <c r="N684">
        <f>IF(OR($E684="",$E684="نامعتبر"),"",IF(AND($J684="هزینه",$K684&lt;&gt;""),1,0))</f>
        <v/>
      </c>
      <c r="O684">
        <f>IF($N684=0,"",LEFT($E684,4)&amp;MID($E684,6,2)&amp;RIGHT($E684,2)&amp;$F684&amp;"|"&amp;"1"&amp;RIGHT("00000"&amp;676,5))</f>
        <v/>
      </c>
      <c r="P684">
        <f>IF($O684="","",COUNTIFS(ExpSub,$K684,ExpKey,"&lt;"&amp;$O684)+1)</f>
        <v/>
      </c>
      <c r="Q684">
        <f>IF($P684="","",$K684&amp;"|"&amp;RIGHT("000000"&amp;$P684,6))</f>
        <v/>
      </c>
    </row>
    <row r="685">
      <c r="A685">
        <f>IF(Sync!$P682="","",Sync!$P682)</f>
        <v/>
      </c>
      <c r="B685">
        <f>IF($A685="","",IF(ISNUMBER($A685),IF(AND($A685&gt;=10000101,$A685&lt;=99991231),INT($A685/10000),""),IFERROR(VALUE(TRIM(LEFT($A685,FIND("/",$A685)-1))),"")))</f>
        <v/>
      </c>
      <c r="C685">
        <f>IF(OR($A685="",$B685=""),"",IF(ISNUMBER($A685),INT(MOD($A685,10000)/100),IFERROR(VALUE(TRIM(LEFT(MID($A685,FIND("/",$A685)+1,20),FIND("/",MID($A685,FIND("/",$A685)+1,20))-1))),"")))</f>
        <v/>
      </c>
      <c r="D685">
        <f>IF(OR($A685="",$B685=""),"",IF(ISNUMBER($A685),MOD($A685,100),IFERROR(VALUE(TRIM(MID(MID($A685,FIND("/",$A685)+1,20),FIND("/",MID($A685,FIND("/",$A685)+1,20))+1,20))),"")))</f>
        <v/>
      </c>
      <c r="E685">
        <f>IF($A685="","",IF(OR($B685="",$C685="",$D685="",$B685&lt;1300,$B685&gt;1500,$C685&lt;1,$C685&gt;12,$D685&lt;1,$D685&gt;31),"نامعتبر",RIGHT("0000"&amp;$B685,4)&amp;"/"&amp;RIGHT("00"&amp;$C685,2)&amp;"/"&amp;RIGHT("00"&amp;$D685,2)))</f>
        <v/>
      </c>
      <c r="F685">
        <f>IF(OR($E685="",$E685="نامعتبر"),"",IF(Sync!$Q682="","0000",IF(AND(ISNUMBER(Sync!$Q682),Sync!$Q682&gt;=0,Sync!$Q682&lt;1),RIGHT("00"&amp;HOUR(Sync!$Q682),2)&amp;RIGHT("00"&amp;MINUTE(Sync!$Q682),2),IFERROR(RIGHT("00"&amp;VALUE(LEFT(Sync!$Q682,FIND(":",Sync!$Q682)-1)),2)&amp;RIGHT("00"&amp;VALUE(MID(Sync!$Q682,FIND(":",Sync!$Q682)+1,2)),2),"0000"))))</f>
        <v/>
      </c>
      <c r="G685">
        <f>IF(OR($E685="",$E685="نامعتبر"),"",IF(Sync!$S682="","",Sync!$S682))</f>
        <v/>
      </c>
      <c r="H685">
        <f>IF(OR($E685="",$E685="نامعتبر"),"",IF(Sync!$R682="","",Sync!$R682))</f>
        <v/>
      </c>
      <c r="I685">
        <f>IF(OR($E685="",$E685="نامعتبر"),"",IF(Sync!$T682="","",Sync!$T682))</f>
        <v/>
      </c>
      <c r="J685">
        <f>IF(OR($E685="",$E685="نامعتبر"),"",IF(Sync!$U682="","",Sync!$U682))</f>
        <v/>
      </c>
      <c r="K685">
        <f>IF(OR($E685="",$E685="نامعتبر"),"",IF(Sync!$V682="","",IFERROR(INDEX(SubCodes,MATCH(Sync!$V682,SubTitles,0)),Sync!$V682)))</f>
        <v/>
      </c>
      <c r="L685">
        <f>IF(OR($E685="",$E685="نامعتبر"),"",IF(Sync!$W682="",0,Sync!$W682))</f>
        <v/>
      </c>
      <c r="M685">
        <f>IF(OR($E685="",$E685="نامعتبر"),"",IF(Sync!$X682="",0,Sync!$X682))</f>
        <v/>
      </c>
      <c r="N685">
        <f>IF(OR($E685="",$E685="نامعتبر"),"",IF(AND($J685="هزینه",$K685&lt;&gt;""),1,0))</f>
        <v/>
      </c>
      <c r="O685">
        <f>IF($N685=0,"",LEFT($E685,4)&amp;MID($E685,6,2)&amp;RIGHT($E685,2)&amp;$F685&amp;"|"&amp;"1"&amp;RIGHT("00000"&amp;677,5))</f>
        <v/>
      </c>
      <c r="P685">
        <f>IF($O685="","",COUNTIFS(ExpSub,$K685,ExpKey,"&lt;"&amp;$O685)+1)</f>
        <v/>
      </c>
      <c r="Q685">
        <f>IF($P685="","",$K685&amp;"|"&amp;RIGHT("000000"&amp;$P685,6))</f>
        <v/>
      </c>
    </row>
    <row r="686">
      <c r="A686">
        <f>IF(Sync!$P683="","",Sync!$P683)</f>
        <v/>
      </c>
      <c r="B686">
        <f>IF($A686="","",IF(ISNUMBER($A686),IF(AND($A686&gt;=10000101,$A686&lt;=99991231),INT($A686/10000),""),IFERROR(VALUE(TRIM(LEFT($A686,FIND("/",$A686)-1))),"")))</f>
        <v/>
      </c>
      <c r="C686">
        <f>IF(OR($A686="",$B686=""),"",IF(ISNUMBER($A686),INT(MOD($A686,10000)/100),IFERROR(VALUE(TRIM(LEFT(MID($A686,FIND("/",$A686)+1,20),FIND("/",MID($A686,FIND("/",$A686)+1,20))-1))),"")))</f>
        <v/>
      </c>
      <c r="D686">
        <f>IF(OR($A686="",$B686=""),"",IF(ISNUMBER($A686),MOD($A686,100),IFERROR(VALUE(TRIM(MID(MID($A686,FIND("/",$A686)+1,20),FIND("/",MID($A686,FIND("/",$A686)+1,20))+1,20))),"")))</f>
        <v/>
      </c>
      <c r="E686">
        <f>IF($A686="","",IF(OR($B686="",$C686="",$D686="",$B686&lt;1300,$B686&gt;1500,$C686&lt;1,$C686&gt;12,$D686&lt;1,$D686&gt;31),"نامعتبر",RIGHT("0000"&amp;$B686,4)&amp;"/"&amp;RIGHT("00"&amp;$C686,2)&amp;"/"&amp;RIGHT("00"&amp;$D686,2)))</f>
        <v/>
      </c>
      <c r="F686">
        <f>IF(OR($E686="",$E686="نامعتبر"),"",IF(Sync!$Q683="","0000",IF(AND(ISNUMBER(Sync!$Q683),Sync!$Q683&gt;=0,Sync!$Q683&lt;1),RIGHT("00"&amp;HOUR(Sync!$Q683),2)&amp;RIGHT("00"&amp;MINUTE(Sync!$Q683),2),IFERROR(RIGHT("00"&amp;VALUE(LEFT(Sync!$Q683,FIND(":",Sync!$Q683)-1)),2)&amp;RIGHT("00"&amp;VALUE(MID(Sync!$Q683,FIND(":",Sync!$Q683)+1,2)),2),"0000"))))</f>
        <v/>
      </c>
      <c r="G686">
        <f>IF(OR($E686="",$E686="نامعتبر"),"",IF(Sync!$S683="","",Sync!$S683))</f>
        <v/>
      </c>
      <c r="H686">
        <f>IF(OR($E686="",$E686="نامعتبر"),"",IF(Sync!$R683="","",Sync!$R683))</f>
        <v/>
      </c>
      <c r="I686">
        <f>IF(OR($E686="",$E686="نامعتبر"),"",IF(Sync!$T683="","",Sync!$T683))</f>
        <v/>
      </c>
      <c r="J686">
        <f>IF(OR($E686="",$E686="نامعتبر"),"",IF(Sync!$U683="","",Sync!$U683))</f>
        <v/>
      </c>
      <c r="K686">
        <f>IF(OR($E686="",$E686="نامعتبر"),"",IF(Sync!$V683="","",IFERROR(INDEX(SubCodes,MATCH(Sync!$V683,SubTitles,0)),Sync!$V683)))</f>
        <v/>
      </c>
      <c r="L686">
        <f>IF(OR($E686="",$E686="نامعتبر"),"",IF(Sync!$W683="",0,Sync!$W683))</f>
        <v/>
      </c>
      <c r="M686">
        <f>IF(OR($E686="",$E686="نامعتبر"),"",IF(Sync!$X683="",0,Sync!$X683))</f>
        <v/>
      </c>
      <c r="N686">
        <f>IF(OR($E686="",$E686="نامعتبر"),"",IF(AND($J686="هزینه",$K686&lt;&gt;""),1,0))</f>
        <v/>
      </c>
      <c r="O686">
        <f>IF($N686=0,"",LEFT($E686,4)&amp;MID($E686,6,2)&amp;RIGHT($E686,2)&amp;$F686&amp;"|"&amp;"1"&amp;RIGHT("00000"&amp;678,5))</f>
        <v/>
      </c>
      <c r="P686">
        <f>IF($O686="","",COUNTIFS(ExpSub,$K686,ExpKey,"&lt;"&amp;$O686)+1)</f>
        <v/>
      </c>
      <c r="Q686">
        <f>IF($P686="","",$K686&amp;"|"&amp;RIGHT("000000"&amp;$P686,6))</f>
        <v/>
      </c>
    </row>
    <row r="687">
      <c r="A687">
        <f>IF(Sync!$P684="","",Sync!$P684)</f>
        <v/>
      </c>
      <c r="B687">
        <f>IF($A687="","",IF(ISNUMBER($A687),IF(AND($A687&gt;=10000101,$A687&lt;=99991231),INT($A687/10000),""),IFERROR(VALUE(TRIM(LEFT($A687,FIND("/",$A687)-1))),"")))</f>
        <v/>
      </c>
      <c r="C687">
        <f>IF(OR($A687="",$B687=""),"",IF(ISNUMBER($A687),INT(MOD($A687,10000)/100),IFERROR(VALUE(TRIM(LEFT(MID($A687,FIND("/",$A687)+1,20),FIND("/",MID($A687,FIND("/",$A687)+1,20))-1))),"")))</f>
        <v/>
      </c>
      <c r="D687">
        <f>IF(OR($A687="",$B687=""),"",IF(ISNUMBER($A687),MOD($A687,100),IFERROR(VALUE(TRIM(MID(MID($A687,FIND("/",$A687)+1,20),FIND("/",MID($A687,FIND("/",$A687)+1,20))+1,20))),"")))</f>
        <v/>
      </c>
      <c r="E687">
        <f>IF($A687="","",IF(OR($B687="",$C687="",$D687="",$B687&lt;1300,$B687&gt;1500,$C687&lt;1,$C687&gt;12,$D687&lt;1,$D687&gt;31),"نامعتبر",RIGHT("0000"&amp;$B687,4)&amp;"/"&amp;RIGHT("00"&amp;$C687,2)&amp;"/"&amp;RIGHT("00"&amp;$D687,2)))</f>
        <v/>
      </c>
      <c r="F687">
        <f>IF(OR($E687="",$E687="نامعتبر"),"",IF(Sync!$Q684="","0000",IF(AND(ISNUMBER(Sync!$Q684),Sync!$Q684&gt;=0,Sync!$Q684&lt;1),RIGHT("00"&amp;HOUR(Sync!$Q684),2)&amp;RIGHT("00"&amp;MINUTE(Sync!$Q684),2),IFERROR(RIGHT("00"&amp;VALUE(LEFT(Sync!$Q684,FIND(":",Sync!$Q684)-1)),2)&amp;RIGHT("00"&amp;VALUE(MID(Sync!$Q684,FIND(":",Sync!$Q684)+1,2)),2),"0000"))))</f>
        <v/>
      </c>
      <c r="G687">
        <f>IF(OR($E687="",$E687="نامعتبر"),"",IF(Sync!$S684="","",Sync!$S684))</f>
        <v/>
      </c>
      <c r="H687">
        <f>IF(OR($E687="",$E687="نامعتبر"),"",IF(Sync!$R684="","",Sync!$R684))</f>
        <v/>
      </c>
      <c r="I687">
        <f>IF(OR($E687="",$E687="نامعتبر"),"",IF(Sync!$T684="","",Sync!$T684))</f>
        <v/>
      </c>
      <c r="J687">
        <f>IF(OR($E687="",$E687="نامعتبر"),"",IF(Sync!$U684="","",Sync!$U684))</f>
        <v/>
      </c>
      <c r="K687">
        <f>IF(OR($E687="",$E687="نامعتبر"),"",IF(Sync!$V684="","",IFERROR(INDEX(SubCodes,MATCH(Sync!$V684,SubTitles,0)),Sync!$V684)))</f>
        <v/>
      </c>
      <c r="L687">
        <f>IF(OR($E687="",$E687="نامعتبر"),"",IF(Sync!$W684="",0,Sync!$W684))</f>
        <v/>
      </c>
      <c r="M687">
        <f>IF(OR($E687="",$E687="نامعتبر"),"",IF(Sync!$X684="",0,Sync!$X684))</f>
        <v/>
      </c>
      <c r="N687">
        <f>IF(OR($E687="",$E687="نامعتبر"),"",IF(AND($J687="هزینه",$K687&lt;&gt;""),1,0))</f>
        <v/>
      </c>
      <c r="O687">
        <f>IF($N687=0,"",LEFT($E687,4)&amp;MID($E687,6,2)&amp;RIGHT($E687,2)&amp;$F687&amp;"|"&amp;"1"&amp;RIGHT("00000"&amp;679,5))</f>
        <v/>
      </c>
      <c r="P687">
        <f>IF($O687="","",COUNTIFS(ExpSub,$K687,ExpKey,"&lt;"&amp;$O687)+1)</f>
        <v/>
      </c>
      <c r="Q687">
        <f>IF($P687="","",$K687&amp;"|"&amp;RIGHT("000000"&amp;$P687,6))</f>
        <v/>
      </c>
    </row>
    <row r="688">
      <c r="A688">
        <f>IF(Sync!$P685="","",Sync!$P685)</f>
        <v/>
      </c>
      <c r="B688">
        <f>IF($A688="","",IF(ISNUMBER($A688),IF(AND($A688&gt;=10000101,$A688&lt;=99991231),INT($A688/10000),""),IFERROR(VALUE(TRIM(LEFT($A688,FIND("/",$A688)-1))),"")))</f>
        <v/>
      </c>
      <c r="C688">
        <f>IF(OR($A688="",$B688=""),"",IF(ISNUMBER($A688),INT(MOD($A688,10000)/100),IFERROR(VALUE(TRIM(LEFT(MID($A688,FIND("/",$A688)+1,20),FIND("/",MID($A688,FIND("/",$A688)+1,20))-1))),"")))</f>
        <v/>
      </c>
      <c r="D688">
        <f>IF(OR($A688="",$B688=""),"",IF(ISNUMBER($A688),MOD($A688,100),IFERROR(VALUE(TRIM(MID(MID($A688,FIND("/",$A688)+1,20),FIND("/",MID($A688,FIND("/",$A688)+1,20))+1,20))),"")))</f>
        <v/>
      </c>
      <c r="E688">
        <f>IF($A688="","",IF(OR($B688="",$C688="",$D688="",$B688&lt;1300,$B688&gt;1500,$C688&lt;1,$C688&gt;12,$D688&lt;1,$D688&gt;31),"نامعتبر",RIGHT("0000"&amp;$B688,4)&amp;"/"&amp;RIGHT("00"&amp;$C688,2)&amp;"/"&amp;RIGHT("00"&amp;$D688,2)))</f>
        <v/>
      </c>
      <c r="F688">
        <f>IF(OR($E688="",$E688="نامعتبر"),"",IF(Sync!$Q685="","0000",IF(AND(ISNUMBER(Sync!$Q685),Sync!$Q685&gt;=0,Sync!$Q685&lt;1),RIGHT("00"&amp;HOUR(Sync!$Q685),2)&amp;RIGHT("00"&amp;MINUTE(Sync!$Q685),2),IFERROR(RIGHT("00"&amp;VALUE(LEFT(Sync!$Q685,FIND(":",Sync!$Q685)-1)),2)&amp;RIGHT("00"&amp;VALUE(MID(Sync!$Q685,FIND(":",Sync!$Q685)+1,2)),2),"0000"))))</f>
        <v/>
      </c>
      <c r="G688">
        <f>IF(OR($E688="",$E688="نامعتبر"),"",IF(Sync!$S685="","",Sync!$S685))</f>
        <v/>
      </c>
      <c r="H688">
        <f>IF(OR($E688="",$E688="نامعتبر"),"",IF(Sync!$R685="","",Sync!$R685))</f>
        <v/>
      </c>
      <c r="I688">
        <f>IF(OR($E688="",$E688="نامعتبر"),"",IF(Sync!$T685="","",Sync!$T685))</f>
        <v/>
      </c>
      <c r="J688">
        <f>IF(OR($E688="",$E688="نامعتبر"),"",IF(Sync!$U685="","",Sync!$U685))</f>
        <v/>
      </c>
      <c r="K688">
        <f>IF(OR($E688="",$E688="نامعتبر"),"",IF(Sync!$V685="","",IFERROR(INDEX(SubCodes,MATCH(Sync!$V685,SubTitles,0)),Sync!$V685)))</f>
        <v/>
      </c>
      <c r="L688">
        <f>IF(OR($E688="",$E688="نامعتبر"),"",IF(Sync!$W685="",0,Sync!$W685))</f>
        <v/>
      </c>
      <c r="M688">
        <f>IF(OR($E688="",$E688="نامعتبر"),"",IF(Sync!$X685="",0,Sync!$X685))</f>
        <v/>
      </c>
      <c r="N688">
        <f>IF(OR($E688="",$E688="نامعتبر"),"",IF(AND($J688="هزینه",$K688&lt;&gt;""),1,0))</f>
        <v/>
      </c>
      <c r="O688">
        <f>IF($N688=0,"",LEFT($E688,4)&amp;MID($E688,6,2)&amp;RIGHT($E688,2)&amp;$F688&amp;"|"&amp;"1"&amp;RIGHT("00000"&amp;680,5))</f>
        <v/>
      </c>
      <c r="P688">
        <f>IF($O688="","",COUNTIFS(ExpSub,$K688,ExpKey,"&lt;"&amp;$O688)+1)</f>
        <v/>
      </c>
      <c r="Q688">
        <f>IF($P688="","",$K688&amp;"|"&amp;RIGHT("000000"&amp;$P688,6))</f>
        <v/>
      </c>
    </row>
    <row r="689">
      <c r="A689">
        <f>IF(Sync!$P686="","",Sync!$P686)</f>
        <v/>
      </c>
      <c r="B689">
        <f>IF($A689="","",IF(ISNUMBER($A689),IF(AND($A689&gt;=10000101,$A689&lt;=99991231),INT($A689/10000),""),IFERROR(VALUE(TRIM(LEFT($A689,FIND("/",$A689)-1))),"")))</f>
        <v/>
      </c>
      <c r="C689">
        <f>IF(OR($A689="",$B689=""),"",IF(ISNUMBER($A689),INT(MOD($A689,10000)/100),IFERROR(VALUE(TRIM(LEFT(MID($A689,FIND("/",$A689)+1,20),FIND("/",MID($A689,FIND("/",$A689)+1,20))-1))),"")))</f>
        <v/>
      </c>
      <c r="D689">
        <f>IF(OR($A689="",$B689=""),"",IF(ISNUMBER($A689),MOD($A689,100),IFERROR(VALUE(TRIM(MID(MID($A689,FIND("/",$A689)+1,20),FIND("/",MID($A689,FIND("/",$A689)+1,20))+1,20))),"")))</f>
        <v/>
      </c>
      <c r="E689">
        <f>IF($A689="","",IF(OR($B689="",$C689="",$D689="",$B689&lt;1300,$B689&gt;1500,$C689&lt;1,$C689&gt;12,$D689&lt;1,$D689&gt;31),"نامعتبر",RIGHT("0000"&amp;$B689,4)&amp;"/"&amp;RIGHT("00"&amp;$C689,2)&amp;"/"&amp;RIGHT("00"&amp;$D689,2)))</f>
        <v/>
      </c>
      <c r="F689">
        <f>IF(OR($E689="",$E689="نامعتبر"),"",IF(Sync!$Q686="","0000",IF(AND(ISNUMBER(Sync!$Q686),Sync!$Q686&gt;=0,Sync!$Q686&lt;1),RIGHT("00"&amp;HOUR(Sync!$Q686),2)&amp;RIGHT("00"&amp;MINUTE(Sync!$Q686),2),IFERROR(RIGHT("00"&amp;VALUE(LEFT(Sync!$Q686,FIND(":",Sync!$Q686)-1)),2)&amp;RIGHT("00"&amp;VALUE(MID(Sync!$Q686,FIND(":",Sync!$Q686)+1,2)),2),"0000"))))</f>
        <v/>
      </c>
      <c r="G689">
        <f>IF(OR($E689="",$E689="نامعتبر"),"",IF(Sync!$S686="","",Sync!$S686))</f>
        <v/>
      </c>
      <c r="H689">
        <f>IF(OR($E689="",$E689="نامعتبر"),"",IF(Sync!$R686="","",Sync!$R686))</f>
        <v/>
      </c>
      <c r="I689">
        <f>IF(OR($E689="",$E689="نامعتبر"),"",IF(Sync!$T686="","",Sync!$T686))</f>
        <v/>
      </c>
      <c r="J689">
        <f>IF(OR($E689="",$E689="نامعتبر"),"",IF(Sync!$U686="","",Sync!$U686))</f>
        <v/>
      </c>
      <c r="K689">
        <f>IF(OR($E689="",$E689="نامعتبر"),"",IF(Sync!$V686="","",IFERROR(INDEX(SubCodes,MATCH(Sync!$V686,SubTitles,0)),Sync!$V686)))</f>
        <v/>
      </c>
      <c r="L689">
        <f>IF(OR($E689="",$E689="نامعتبر"),"",IF(Sync!$W686="",0,Sync!$W686))</f>
        <v/>
      </c>
      <c r="M689">
        <f>IF(OR($E689="",$E689="نامعتبر"),"",IF(Sync!$X686="",0,Sync!$X686))</f>
        <v/>
      </c>
      <c r="N689">
        <f>IF(OR($E689="",$E689="نامعتبر"),"",IF(AND($J689="هزینه",$K689&lt;&gt;""),1,0))</f>
        <v/>
      </c>
      <c r="O689">
        <f>IF($N689=0,"",LEFT($E689,4)&amp;MID($E689,6,2)&amp;RIGHT($E689,2)&amp;$F689&amp;"|"&amp;"1"&amp;RIGHT("00000"&amp;681,5))</f>
        <v/>
      </c>
      <c r="P689">
        <f>IF($O689="","",COUNTIFS(ExpSub,$K689,ExpKey,"&lt;"&amp;$O689)+1)</f>
        <v/>
      </c>
      <c r="Q689">
        <f>IF($P689="","",$K689&amp;"|"&amp;RIGHT("000000"&amp;$P689,6))</f>
        <v/>
      </c>
    </row>
    <row r="690">
      <c r="A690">
        <f>IF(Sync!$P687="","",Sync!$P687)</f>
        <v/>
      </c>
      <c r="B690">
        <f>IF($A690="","",IF(ISNUMBER($A690),IF(AND($A690&gt;=10000101,$A690&lt;=99991231),INT($A690/10000),""),IFERROR(VALUE(TRIM(LEFT($A690,FIND("/",$A690)-1))),"")))</f>
        <v/>
      </c>
      <c r="C690">
        <f>IF(OR($A690="",$B690=""),"",IF(ISNUMBER($A690),INT(MOD($A690,10000)/100),IFERROR(VALUE(TRIM(LEFT(MID($A690,FIND("/",$A690)+1,20),FIND("/",MID($A690,FIND("/",$A690)+1,20))-1))),"")))</f>
        <v/>
      </c>
      <c r="D690">
        <f>IF(OR($A690="",$B690=""),"",IF(ISNUMBER($A690),MOD($A690,100),IFERROR(VALUE(TRIM(MID(MID($A690,FIND("/",$A690)+1,20),FIND("/",MID($A690,FIND("/",$A690)+1,20))+1,20))),"")))</f>
        <v/>
      </c>
      <c r="E690">
        <f>IF($A690="","",IF(OR($B690="",$C690="",$D690="",$B690&lt;1300,$B690&gt;1500,$C690&lt;1,$C690&gt;12,$D690&lt;1,$D690&gt;31),"نامعتبر",RIGHT("0000"&amp;$B690,4)&amp;"/"&amp;RIGHT("00"&amp;$C690,2)&amp;"/"&amp;RIGHT("00"&amp;$D690,2)))</f>
        <v/>
      </c>
      <c r="F690">
        <f>IF(OR($E690="",$E690="نامعتبر"),"",IF(Sync!$Q687="","0000",IF(AND(ISNUMBER(Sync!$Q687),Sync!$Q687&gt;=0,Sync!$Q687&lt;1),RIGHT("00"&amp;HOUR(Sync!$Q687),2)&amp;RIGHT("00"&amp;MINUTE(Sync!$Q687),2),IFERROR(RIGHT("00"&amp;VALUE(LEFT(Sync!$Q687,FIND(":",Sync!$Q687)-1)),2)&amp;RIGHT("00"&amp;VALUE(MID(Sync!$Q687,FIND(":",Sync!$Q687)+1,2)),2),"0000"))))</f>
        <v/>
      </c>
      <c r="G690">
        <f>IF(OR($E690="",$E690="نامعتبر"),"",IF(Sync!$S687="","",Sync!$S687))</f>
        <v/>
      </c>
      <c r="H690">
        <f>IF(OR($E690="",$E690="نامعتبر"),"",IF(Sync!$R687="","",Sync!$R687))</f>
        <v/>
      </c>
      <c r="I690">
        <f>IF(OR($E690="",$E690="نامعتبر"),"",IF(Sync!$T687="","",Sync!$T687))</f>
        <v/>
      </c>
      <c r="J690">
        <f>IF(OR($E690="",$E690="نامعتبر"),"",IF(Sync!$U687="","",Sync!$U687))</f>
        <v/>
      </c>
      <c r="K690">
        <f>IF(OR($E690="",$E690="نامعتبر"),"",IF(Sync!$V687="","",IFERROR(INDEX(SubCodes,MATCH(Sync!$V687,SubTitles,0)),Sync!$V687)))</f>
        <v/>
      </c>
      <c r="L690">
        <f>IF(OR($E690="",$E690="نامعتبر"),"",IF(Sync!$W687="",0,Sync!$W687))</f>
        <v/>
      </c>
      <c r="M690">
        <f>IF(OR($E690="",$E690="نامعتبر"),"",IF(Sync!$X687="",0,Sync!$X687))</f>
        <v/>
      </c>
      <c r="N690">
        <f>IF(OR($E690="",$E690="نامعتبر"),"",IF(AND($J690="هزینه",$K690&lt;&gt;""),1,0))</f>
        <v/>
      </c>
      <c r="O690">
        <f>IF($N690=0,"",LEFT($E690,4)&amp;MID($E690,6,2)&amp;RIGHT($E690,2)&amp;$F690&amp;"|"&amp;"1"&amp;RIGHT("00000"&amp;682,5))</f>
        <v/>
      </c>
      <c r="P690">
        <f>IF($O690="","",COUNTIFS(ExpSub,$K690,ExpKey,"&lt;"&amp;$O690)+1)</f>
        <v/>
      </c>
      <c r="Q690">
        <f>IF($P690="","",$K690&amp;"|"&amp;RIGHT("000000"&amp;$P690,6))</f>
        <v/>
      </c>
    </row>
    <row r="691">
      <c r="A691">
        <f>IF(Sync!$P688="","",Sync!$P688)</f>
        <v/>
      </c>
      <c r="B691">
        <f>IF($A691="","",IF(ISNUMBER($A691),IF(AND($A691&gt;=10000101,$A691&lt;=99991231),INT($A691/10000),""),IFERROR(VALUE(TRIM(LEFT($A691,FIND("/",$A691)-1))),"")))</f>
        <v/>
      </c>
      <c r="C691">
        <f>IF(OR($A691="",$B691=""),"",IF(ISNUMBER($A691),INT(MOD($A691,10000)/100),IFERROR(VALUE(TRIM(LEFT(MID($A691,FIND("/",$A691)+1,20),FIND("/",MID($A691,FIND("/",$A691)+1,20))-1))),"")))</f>
        <v/>
      </c>
      <c r="D691">
        <f>IF(OR($A691="",$B691=""),"",IF(ISNUMBER($A691),MOD($A691,100),IFERROR(VALUE(TRIM(MID(MID($A691,FIND("/",$A691)+1,20),FIND("/",MID($A691,FIND("/",$A691)+1,20))+1,20))),"")))</f>
        <v/>
      </c>
      <c r="E691">
        <f>IF($A691="","",IF(OR($B691="",$C691="",$D691="",$B691&lt;1300,$B691&gt;1500,$C691&lt;1,$C691&gt;12,$D691&lt;1,$D691&gt;31),"نامعتبر",RIGHT("0000"&amp;$B691,4)&amp;"/"&amp;RIGHT("00"&amp;$C691,2)&amp;"/"&amp;RIGHT("00"&amp;$D691,2)))</f>
        <v/>
      </c>
      <c r="F691">
        <f>IF(OR($E691="",$E691="نامعتبر"),"",IF(Sync!$Q688="","0000",IF(AND(ISNUMBER(Sync!$Q688),Sync!$Q688&gt;=0,Sync!$Q688&lt;1),RIGHT("00"&amp;HOUR(Sync!$Q688),2)&amp;RIGHT("00"&amp;MINUTE(Sync!$Q688),2),IFERROR(RIGHT("00"&amp;VALUE(LEFT(Sync!$Q688,FIND(":",Sync!$Q688)-1)),2)&amp;RIGHT("00"&amp;VALUE(MID(Sync!$Q688,FIND(":",Sync!$Q688)+1,2)),2),"0000"))))</f>
        <v/>
      </c>
      <c r="G691">
        <f>IF(OR($E691="",$E691="نامعتبر"),"",IF(Sync!$S688="","",Sync!$S688))</f>
        <v/>
      </c>
      <c r="H691">
        <f>IF(OR($E691="",$E691="نامعتبر"),"",IF(Sync!$R688="","",Sync!$R688))</f>
        <v/>
      </c>
      <c r="I691">
        <f>IF(OR($E691="",$E691="نامعتبر"),"",IF(Sync!$T688="","",Sync!$T688))</f>
        <v/>
      </c>
      <c r="J691">
        <f>IF(OR($E691="",$E691="نامعتبر"),"",IF(Sync!$U688="","",Sync!$U688))</f>
        <v/>
      </c>
      <c r="K691">
        <f>IF(OR($E691="",$E691="نامعتبر"),"",IF(Sync!$V688="","",IFERROR(INDEX(SubCodes,MATCH(Sync!$V688,SubTitles,0)),Sync!$V688)))</f>
        <v/>
      </c>
      <c r="L691">
        <f>IF(OR($E691="",$E691="نامعتبر"),"",IF(Sync!$W688="",0,Sync!$W688))</f>
        <v/>
      </c>
      <c r="M691">
        <f>IF(OR($E691="",$E691="نامعتبر"),"",IF(Sync!$X688="",0,Sync!$X688))</f>
        <v/>
      </c>
      <c r="N691">
        <f>IF(OR($E691="",$E691="نامعتبر"),"",IF(AND($J691="هزینه",$K691&lt;&gt;""),1,0))</f>
        <v/>
      </c>
      <c r="O691">
        <f>IF($N691=0,"",LEFT($E691,4)&amp;MID($E691,6,2)&amp;RIGHT($E691,2)&amp;$F691&amp;"|"&amp;"1"&amp;RIGHT("00000"&amp;683,5))</f>
        <v/>
      </c>
      <c r="P691">
        <f>IF($O691="","",COUNTIFS(ExpSub,$K691,ExpKey,"&lt;"&amp;$O691)+1)</f>
        <v/>
      </c>
      <c r="Q691">
        <f>IF($P691="","",$K691&amp;"|"&amp;RIGHT("000000"&amp;$P691,6))</f>
        <v/>
      </c>
    </row>
    <row r="692">
      <c r="A692">
        <f>IF(Sync!$P689="","",Sync!$P689)</f>
        <v/>
      </c>
      <c r="B692">
        <f>IF($A692="","",IF(ISNUMBER($A692),IF(AND($A692&gt;=10000101,$A692&lt;=99991231),INT($A692/10000),""),IFERROR(VALUE(TRIM(LEFT($A692,FIND("/",$A692)-1))),"")))</f>
        <v/>
      </c>
      <c r="C692">
        <f>IF(OR($A692="",$B692=""),"",IF(ISNUMBER($A692),INT(MOD($A692,10000)/100),IFERROR(VALUE(TRIM(LEFT(MID($A692,FIND("/",$A692)+1,20),FIND("/",MID($A692,FIND("/",$A692)+1,20))-1))),"")))</f>
        <v/>
      </c>
      <c r="D692">
        <f>IF(OR($A692="",$B692=""),"",IF(ISNUMBER($A692),MOD($A692,100),IFERROR(VALUE(TRIM(MID(MID($A692,FIND("/",$A692)+1,20),FIND("/",MID($A692,FIND("/",$A692)+1,20))+1,20))),"")))</f>
        <v/>
      </c>
      <c r="E692">
        <f>IF($A692="","",IF(OR($B692="",$C692="",$D692="",$B692&lt;1300,$B692&gt;1500,$C692&lt;1,$C692&gt;12,$D692&lt;1,$D692&gt;31),"نامعتبر",RIGHT("0000"&amp;$B692,4)&amp;"/"&amp;RIGHT("00"&amp;$C692,2)&amp;"/"&amp;RIGHT("00"&amp;$D692,2)))</f>
        <v/>
      </c>
      <c r="F692">
        <f>IF(OR($E692="",$E692="نامعتبر"),"",IF(Sync!$Q689="","0000",IF(AND(ISNUMBER(Sync!$Q689),Sync!$Q689&gt;=0,Sync!$Q689&lt;1),RIGHT("00"&amp;HOUR(Sync!$Q689),2)&amp;RIGHT("00"&amp;MINUTE(Sync!$Q689),2),IFERROR(RIGHT("00"&amp;VALUE(LEFT(Sync!$Q689,FIND(":",Sync!$Q689)-1)),2)&amp;RIGHT("00"&amp;VALUE(MID(Sync!$Q689,FIND(":",Sync!$Q689)+1,2)),2),"0000"))))</f>
        <v/>
      </c>
      <c r="G692">
        <f>IF(OR($E692="",$E692="نامعتبر"),"",IF(Sync!$S689="","",Sync!$S689))</f>
        <v/>
      </c>
      <c r="H692">
        <f>IF(OR($E692="",$E692="نامعتبر"),"",IF(Sync!$R689="","",Sync!$R689))</f>
        <v/>
      </c>
      <c r="I692">
        <f>IF(OR($E692="",$E692="نامعتبر"),"",IF(Sync!$T689="","",Sync!$T689))</f>
        <v/>
      </c>
      <c r="J692">
        <f>IF(OR($E692="",$E692="نامعتبر"),"",IF(Sync!$U689="","",Sync!$U689))</f>
        <v/>
      </c>
      <c r="K692">
        <f>IF(OR($E692="",$E692="نامعتبر"),"",IF(Sync!$V689="","",IFERROR(INDEX(SubCodes,MATCH(Sync!$V689,SubTitles,0)),Sync!$V689)))</f>
        <v/>
      </c>
      <c r="L692">
        <f>IF(OR($E692="",$E692="نامعتبر"),"",IF(Sync!$W689="",0,Sync!$W689))</f>
        <v/>
      </c>
      <c r="M692">
        <f>IF(OR($E692="",$E692="نامعتبر"),"",IF(Sync!$X689="",0,Sync!$X689))</f>
        <v/>
      </c>
      <c r="N692">
        <f>IF(OR($E692="",$E692="نامعتبر"),"",IF(AND($J692="هزینه",$K692&lt;&gt;""),1,0))</f>
        <v/>
      </c>
      <c r="O692">
        <f>IF($N692=0,"",LEFT($E692,4)&amp;MID($E692,6,2)&amp;RIGHT($E692,2)&amp;$F692&amp;"|"&amp;"1"&amp;RIGHT("00000"&amp;684,5))</f>
        <v/>
      </c>
      <c r="P692">
        <f>IF($O692="","",COUNTIFS(ExpSub,$K692,ExpKey,"&lt;"&amp;$O692)+1)</f>
        <v/>
      </c>
      <c r="Q692">
        <f>IF($P692="","",$K692&amp;"|"&amp;RIGHT("000000"&amp;$P692,6))</f>
        <v/>
      </c>
    </row>
    <row r="693">
      <c r="A693">
        <f>IF(Sync!$P690="","",Sync!$P690)</f>
        <v/>
      </c>
      <c r="B693">
        <f>IF($A693="","",IF(ISNUMBER($A693),IF(AND($A693&gt;=10000101,$A693&lt;=99991231),INT($A693/10000),""),IFERROR(VALUE(TRIM(LEFT($A693,FIND("/",$A693)-1))),"")))</f>
        <v/>
      </c>
      <c r="C693">
        <f>IF(OR($A693="",$B693=""),"",IF(ISNUMBER($A693),INT(MOD($A693,10000)/100),IFERROR(VALUE(TRIM(LEFT(MID($A693,FIND("/",$A693)+1,20),FIND("/",MID($A693,FIND("/",$A693)+1,20))-1))),"")))</f>
        <v/>
      </c>
      <c r="D693">
        <f>IF(OR($A693="",$B693=""),"",IF(ISNUMBER($A693),MOD($A693,100),IFERROR(VALUE(TRIM(MID(MID($A693,FIND("/",$A693)+1,20),FIND("/",MID($A693,FIND("/",$A693)+1,20))+1,20))),"")))</f>
        <v/>
      </c>
      <c r="E693">
        <f>IF($A693="","",IF(OR($B693="",$C693="",$D693="",$B693&lt;1300,$B693&gt;1500,$C693&lt;1,$C693&gt;12,$D693&lt;1,$D693&gt;31),"نامعتبر",RIGHT("0000"&amp;$B693,4)&amp;"/"&amp;RIGHT("00"&amp;$C693,2)&amp;"/"&amp;RIGHT("00"&amp;$D693,2)))</f>
        <v/>
      </c>
      <c r="F693">
        <f>IF(OR($E693="",$E693="نامعتبر"),"",IF(Sync!$Q690="","0000",IF(AND(ISNUMBER(Sync!$Q690),Sync!$Q690&gt;=0,Sync!$Q690&lt;1),RIGHT("00"&amp;HOUR(Sync!$Q690),2)&amp;RIGHT("00"&amp;MINUTE(Sync!$Q690),2),IFERROR(RIGHT("00"&amp;VALUE(LEFT(Sync!$Q690,FIND(":",Sync!$Q690)-1)),2)&amp;RIGHT("00"&amp;VALUE(MID(Sync!$Q690,FIND(":",Sync!$Q690)+1,2)),2),"0000"))))</f>
        <v/>
      </c>
      <c r="G693">
        <f>IF(OR($E693="",$E693="نامعتبر"),"",IF(Sync!$S690="","",Sync!$S690))</f>
        <v/>
      </c>
      <c r="H693">
        <f>IF(OR($E693="",$E693="نامعتبر"),"",IF(Sync!$R690="","",Sync!$R690))</f>
        <v/>
      </c>
      <c r="I693">
        <f>IF(OR($E693="",$E693="نامعتبر"),"",IF(Sync!$T690="","",Sync!$T690))</f>
        <v/>
      </c>
      <c r="J693">
        <f>IF(OR($E693="",$E693="نامعتبر"),"",IF(Sync!$U690="","",Sync!$U690))</f>
        <v/>
      </c>
      <c r="K693">
        <f>IF(OR($E693="",$E693="نامعتبر"),"",IF(Sync!$V690="","",IFERROR(INDEX(SubCodes,MATCH(Sync!$V690,SubTitles,0)),Sync!$V690)))</f>
        <v/>
      </c>
      <c r="L693">
        <f>IF(OR($E693="",$E693="نامعتبر"),"",IF(Sync!$W690="",0,Sync!$W690))</f>
        <v/>
      </c>
      <c r="M693">
        <f>IF(OR($E693="",$E693="نامعتبر"),"",IF(Sync!$X690="",0,Sync!$X690))</f>
        <v/>
      </c>
      <c r="N693">
        <f>IF(OR($E693="",$E693="نامعتبر"),"",IF(AND($J693="هزینه",$K693&lt;&gt;""),1,0))</f>
        <v/>
      </c>
      <c r="O693">
        <f>IF($N693=0,"",LEFT($E693,4)&amp;MID($E693,6,2)&amp;RIGHT($E693,2)&amp;$F693&amp;"|"&amp;"1"&amp;RIGHT("00000"&amp;685,5))</f>
        <v/>
      </c>
      <c r="P693">
        <f>IF($O693="","",COUNTIFS(ExpSub,$K693,ExpKey,"&lt;"&amp;$O693)+1)</f>
        <v/>
      </c>
      <c r="Q693">
        <f>IF($P693="","",$K693&amp;"|"&amp;RIGHT("000000"&amp;$P693,6))</f>
        <v/>
      </c>
    </row>
    <row r="694">
      <c r="A694">
        <f>IF(Sync!$P691="","",Sync!$P691)</f>
        <v/>
      </c>
      <c r="B694">
        <f>IF($A694="","",IF(ISNUMBER($A694),IF(AND($A694&gt;=10000101,$A694&lt;=99991231),INT($A694/10000),""),IFERROR(VALUE(TRIM(LEFT($A694,FIND("/",$A694)-1))),"")))</f>
        <v/>
      </c>
      <c r="C694">
        <f>IF(OR($A694="",$B694=""),"",IF(ISNUMBER($A694),INT(MOD($A694,10000)/100),IFERROR(VALUE(TRIM(LEFT(MID($A694,FIND("/",$A694)+1,20),FIND("/",MID($A694,FIND("/",$A694)+1,20))-1))),"")))</f>
        <v/>
      </c>
      <c r="D694">
        <f>IF(OR($A694="",$B694=""),"",IF(ISNUMBER($A694),MOD($A694,100),IFERROR(VALUE(TRIM(MID(MID($A694,FIND("/",$A694)+1,20),FIND("/",MID($A694,FIND("/",$A694)+1,20))+1,20))),"")))</f>
        <v/>
      </c>
      <c r="E694">
        <f>IF($A694="","",IF(OR($B694="",$C694="",$D694="",$B694&lt;1300,$B694&gt;1500,$C694&lt;1,$C694&gt;12,$D694&lt;1,$D694&gt;31),"نامعتبر",RIGHT("0000"&amp;$B694,4)&amp;"/"&amp;RIGHT("00"&amp;$C694,2)&amp;"/"&amp;RIGHT("00"&amp;$D694,2)))</f>
        <v/>
      </c>
      <c r="F694">
        <f>IF(OR($E694="",$E694="نامعتبر"),"",IF(Sync!$Q691="","0000",IF(AND(ISNUMBER(Sync!$Q691),Sync!$Q691&gt;=0,Sync!$Q691&lt;1),RIGHT("00"&amp;HOUR(Sync!$Q691),2)&amp;RIGHT("00"&amp;MINUTE(Sync!$Q691),2),IFERROR(RIGHT("00"&amp;VALUE(LEFT(Sync!$Q691,FIND(":",Sync!$Q691)-1)),2)&amp;RIGHT("00"&amp;VALUE(MID(Sync!$Q691,FIND(":",Sync!$Q691)+1,2)),2),"0000"))))</f>
        <v/>
      </c>
      <c r="G694">
        <f>IF(OR($E694="",$E694="نامعتبر"),"",IF(Sync!$S691="","",Sync!$S691))</f>
        <v/>
      </c>
      <c r="H694">
        <f>IF(OR($E694="",$E694="نامعتبر"),"",IF(Sync!$R691="","",Sync!$R691))</f>
        <v/>
      </c>
      <c r="I694">
        <f>IF(OR($E694="",$E694="نامعتبر"),"",IF(Sync!$T691="","",Sync!$T691))</f>
        <v/>
      </c>
      <c r="J694">
        <f>IF(OR($E694="",$E694="نامعتبر"),"",IF(Sync!$U691="","",Sync!$U691))</f>
        <v/>
      </c>
      <c r="K694">
        <f>IF(OR($E694="",$E694="نامعتبر"),"",IF(Sync!$V691="","",IFERROR(INDEX(SubCodes,MATCH(Sync!$V691,SubTitles,0)),Sync!$V691)))</f>
        <v/>
      </c>
      <c r="L694">
        <f>IF(OR($E694="",$E694="نامعتبر"),"",IF(Sync!$W691="",0,Sync!$W691))</f>
        <v/>
      </c>
      <c r="M694">
        <f>IF(OR($E694="",$E694="نامعتبر"),"",IF(Sync!$X691="",0,Sync!$X691))</f>
        <v/>
      </c>
      <c r="N694">
        <f>IF(OR($E694="",$E694="نامعتبر"),"",IF(AND($J694="هزینه",$K694&lt;&gt;""),1,0))</f>
        <v/>
      </c>
      <c r="O694">
        <f>IF($N694=0,"",LEFT($E694,4)&amp;MID($E694,6,2)&amp;RIGHT($E694,2)&amp;$F694&amp;"|"&amp;"1"&amp;RIGHT("00000"&amp;686,5))</f>
        <v/>
      </c>
      <c r="P694">
        <f>IF($O694="","",COUNTIFS(ExpSub,$K694,ExpKey,"&lt;"&amp;$O694)+1)</f>
        <v/>
      </c>
      <c r="Q694">
        <f>IF($P694="","",$K694&amp;"|"&amp;RIGHT("000000"&amp;$P694,6))</f>
        <v/>
      </c>
    </row>
    <row r="695">
      <c r="A695">
        <f>IF(Sync!$P692="","",Sync!$P692)</f>
        <v/>
      </c>
      <c r="B695">
        <f>IF($A695="","",IF(ISNUMBER($A695),IF(AND($A695&gt;=10000101,$A695&lt;=99991231),INT($A695/10000),""),IFERROR(VALUE(TRIM(LEFT($A695,FIND("/",$A695)-1))),"")))</f>
        <v/>
      </c>
      <c r="C695">
        <f>IF(OR($A695="",$B695=""),"",IF(ISNUMBER($A695),INT(MOD($A695,10000)/100),IFERROR(VALUE(TRIM(LEFT(MID($A695,FIND("/",$A695)+1,20),FIND("/",MID($A695,FIND("/",$A695)+1,20))-1))),"")))</f>
        <v/>
      </c>
      <c r="D695">
        <f>IF(OR($A695="",$B695=""),"",IF(ISNUMBER($A695),MOD($A695,100),IFERROR(VALUE(TRIM(MID(MID($A695,FIND("/",$A695)+1,20),FIND("/",MID($A695,FIND("/",$A695)+1,20))+1,20))),"")))</f>
        <v/>
      </c>
      <c r="E695">
        <f>IF($A695="","",IF(OR($B695="",$C695="",$D695="",$B695&lt;1300,$B695&gt;1500,$C695&lt;1,$C695&gt;12,$D695&lt;1,$D695&gt;31),"نامعتبر",RIGHT("0000"&amp;$B695,4)&amp;"/"&amp;RIGHT("00"&amp;$C695,2)&amp;"/"&amp;RIGHT("00"&amp;$D695,2)))</f>
        <v/>
      </c>
      <c r="F695">
        <f>IF(OR($E695="",$E695="نامعتبر"),"",IF(Sync!$Q692="","0000",IF(AND(ISNUMBER(Sync!$Q692),Sync!$Q692&gt;=0,Sync!$Q692&lt;1),RIGHT("00"&amp;HOUR(Sync!$Q692),2)&amp;RIGHT("00"&amp;MINUTE(Sync!$Q692),2),IFERROR(RIGHT("00"&amp;VALUE(LEFT(Sync!$Q692,FIND(":",Sync!$Q692)-1)),2)&amp;RIGHT("00"&amp;VALUE(MID(Sync!$Q692,FIND(":",Sync!$Q692)+1,2)),2),"0000"))))</f>
        <v/>
      </c>
      <c r="G695">
        <f>IF(OR($E695="",$E695="نامعتبر"),"",IF(Sync!$S692="","",Sync!$S692))</f>
        <v/>
      </c>
      <c r="H695">
        <f>IF(OR($E695="",$E695="نامعتبر"),"",IF(Sync!$R692="","",Sync!$R692))</f>
        <v/>
      </c>
      <c r="I695">
        <f>IF(OR($E695="",$E695="نامعتبر"),"",IF(Sync!$T692="","",Sync!$T692))</f>
        <v/>
      </c>
      <c r="J695">
        <f>IF(OR($E695="",$E695="نامعتبر"),"",IF(Sync!$U692="","",Sync!$U692))</f>
        <v/>
      </c>
      <c r="K695">
        <f>IF(OR($E695="",$E695="نامعتبر"),"",IF(Sync!$V692="","",IFERROR(INDEX(SubCodes,MATCH(Sync!$V692,SubTitles,0)),Sync!$V692)))</f>
        <v/>
      </c>
      <c r="L695">
        <f>IF(OR($E695="",$E695="نامعتبر"),"",IF(Sync!$W692="",0,Sync!$W692))</f>
        <v/>
      </c>
      <c r="M695">
        <f>IF(OR($E695="",$E695="نامعتبر"),"",IF(Sync!$X692="",0,Sync!$X692))</f>
        <v/>
      </c>
      <c r="N695">
        <f>IF(OR($E695="",$E695="نامعتبر"),"",IF(AND($J695="هزینه",$K695&lt;&gt;""),1,0))</f>
        <v/>
      </c>
      <c r="O695">
        <f>IF($N695=0,"",LEFT($E695,4)&amp;MID($E695,6,2)&amp;RIGHT($E695,2)&amp;$F695&amp;"|"&amp;"1"&amp;RIGHT("00000"&amp;687,5))</f>
        <v/>
      </c>
      <c r="P695">
        <f>IF($O695="","",COUNTIFS(ExpSub,$K695,ExpKey,"&lt;"&amp;$O695)+1)</f>
        <v/>
      </c>
      <c r="Q695">
        <f>IF($P695="","",$K695&amp;"|"&amp;RIGHT("000000"&amp;$P695,6))</f>
        <v/>
      </c>
    </row>
    <row r="696">
      <c r="A696">
        <f>IF(Sync!$P693="","",Sync!$P693)</f>
        <v/>
      </c>
      <c r="B696">
        <f>IF($A696="","",IF(ISNUMBER($A696),IF(AND($A696&gt;=10000101,$A696&lt;=99991231),INT($A696/10000),""),IFERROR(VALUE(TRIM(LEFT($A696,FIND("/",$A696)-1))),"")))</f>
        <v/>
      </c>
      <c r="C696">
        <f>IF(OR($A696="",$B696=""),"",IF(ISNUMBER($A696),INT(MOD($A696,10000)/100),IFERROR(VALUE(TRIM(LEFT(MID($A696,FIND("/",$A696)+1,20),FIND("/",MID($A696,FIND("/",$A696)+1,20))-1))),"")))</f>
        <v/>
      </c>
      <c r="D696">
        <f>IF(OR($A696="",$B696=""),"",IF(ISNUMBER($A696),MOD($A696,100),IFERROR(VALUE(TRIM(MID(MID($A696,FIND("/",$A696)+1,20),FIND("/",MID($A696,FIND("/",$A696)+1,20))+1,20))),"")))</f>
        <v/>
      </c>
      <c r="E696">
        <f>IF($A696="","",IF(OR($B696="",$C696="",$D696="",$B696&lt;1300,$B696&gt;1500,$C696&lt;1,$C696&gt;12,$D696&lt;1,$D696&gt;31),"نامعتبر",RIGHT("0000"&amp;$B696,4)&amp;"/"&amp;RIGHT("00"&amp;$C696,2)&amp;"/"&amp;RIGHT("00"&amp;$D696,2)))</f>
        <v/>
      </c>
      <c r="F696">
        <f>IF(OR($E696="",$E696="نامعتبر"),"",IF(Sync!$Q693="","0000",IF(AND(ISNUMBER(Sync!$Q693),Sync!$Q693&gt;=0,Sync!$Q693&lt;1),RIGHT("00"&amp;HOUR(Sync!$Q693),2)&amp;RIGHT("00"&amp;MINUTE(Sync!$Q693),2),IFERROR(RIGHT("00"&amp;VALUE(LEFT(Sync!$Q693,FIND(":",Sync!$Q693)-1)),2)&amp;RIGHT("00"&amp;VALUE(MID(Sync!$Q693,FIND(":",Sync!$Q693)+1,2)),2),"0000"))))</f>
        <v/>
      </c>
      <c r="G696">
        <f>IF(OR($E696="",$E696="نامعتبر"),"",IF(Sync!$S693="","",Sync!$S693))</f>
        <v/>
      </c>
      <c r="H696">
        <f>IF(OR($E696="",$E696="نامعتبر"),"",IF(Sync!$R693="","",Sync!$R693))</f>
        <v/>
      </c>
      <c r="I696">
        <f>IF(OR($E696="",$E696="نامعتبر"),"",IF(Sync!$T693="","",Sync!$T693))</f>
        <v/>
      </c>
      <c r="J696">
        <f>IF(OR($E696="",$E696="نامعتبر"),"",IF(Sync!$U693="","",Sync!$U693))</f>
        <v/>
      </c>
      <c r="K696">
        <f>IF(OR($E696="",$E696="نامعتبر"),"",IF(Sync!$V693="","",IFERROR(INDEX(SubCodes,MATCH(Sync!$V693,SubTitles,0)),Sync!$V693)))</f>
        <v/>
      </c>
      <c r="L696">
        <f>IF(OR($E696="",$E696="نامعتبر"),"",IF(Sync!$W693="",0,Sync!$W693))</f>
        <v/>
      </c>
      <c r="M696">
        <f>IF(OR($E696="",$E696="نامعتبر"),"",IF(Sync!$X693="",0,Sync!$X693))</f>
        <v/>
      </c>
      <c r="N696">
        <f>IF(OR($E696="",$E696="نامعتبر"),"",IF(AND($J696="هزینه",$K696&lt;&gt;""),1,0))</f>
        <v/>
      </c>
      <c r="O696">
        <f>IF($N696=0,"",LEFT($E696,4)&amp;MID($E696,6,2)&amp;RIGHT($E696,2)&amp;$F696&amp;"|"&amp;"1"&amp;RIGHT("00000"&amp;688,5))</f>
        <v/>
      </c>
      <c r="P696">
        <f>IF($O696="","",COUNTIFS(ExpSub,$K696,ExpKey,"&lt;"&amp;$O696)+1)</f>
        <v/>
      </c>
      <c r="Q696">
        <f>IF($P696="","",$K696&amp;"|"&amp;RIGHT("000000"&amp;$P696,6))</f>
        <v/>
      </c>
    </row>
    <row r="697">
      <c r="A697">
        <f>IF(Sync!$P694="","",Sync!$P694)</f>
        <v/>
      </c>
      <c r="B697">
        <f>IF($A697="","",IF(ISNUMBER($A697),IF(AND($A697&gt;=10000101,$A697&lt;=99991231),INT($A697/10000),""),IFERROR(VALUE(TRIM(LEFT($A697,FIND("/",$A697)-1))),"")))</f>
        <v/>
      </c>
      <c r="C697">
        <f>IF(OR($A697="",$B697=""),"",IF(ISNUMBER($A697),INT(MOD($A697,10000)/100),IFERROR(VALUE(TRIM(LEFT(MID($A697,FIND("/",$A697)+1,20),FIND("/",MID($A697,FIND("/",$A697)+1,20))-1))),"")))</f>
        <v/>
      </c>
      <c r="D697">
        <f>IF(OR($A697="",$B697=""),"",IF(ISNUMBER($A697),MOD($A697,100),IFERROR(VALUE(TRIM(MID(MID($A697,FIND("/",$A697)+1,20),FIND("/",MID($A697,FIND("/",$A697)+1,20))+1,20))),"")))</f>
        <v/>
      </c>
      <c r="E697">
        <f>IF($A697="","",IF(OR($B697="",$C697="",$D697="",$B697&lt;1300,$B697&gt;1500,$C697&lt;1,$C697&gt;12,$D697&lt;1,$D697&gt;31),"نامعتبر",RIGHT("0000"&amp;$B697,4)&amp;"/"&amp;RIGHT("00"&amp;$C697,2)&amp;"/"&amp;RIGHT("00"&amp;$D697,2)))</f>
        <v/>
      </c>
      <c r="F697">
        <f>IF(OR($E697="",$E697="نامعتبر"),"",IF(Sync!$Q694="","0000",IF(AND(ISNUMBER(Sync!$Q694),Sync!$Q694&gt;=0,Sync!$Q694&lt;1),RIGHT("00"&amp;HOUR(Sync!$Q694),2)&amp;RIGHT("00"&amp;MINUTE(Sync!$Q694),2),IFERROR(RIGHT("00"&amp;VALUE(LEFT(Sync!$Q694,FIND(":",Sync!$Q694)-1)),2)&amp;RIGHT("00"&amp;VALUE(MID(Sync!$Q694,FIND(":",Sync!$Q694)+1,2)),2),"0000"))))</f>
        <v/>
      </c>
      <c r="G697">
        <f>IF(OR($E697="",$E697="نامعتبر"),"",IF(Sync!$S694="","",Sync!$S694))</f>
        <v/>
      </c>
      <c r="H697">
        <f>IF(OR($E697="",$E697="نامعتبر"),"",IF(Sync!$R694="","",Sync!$R694))</f>
        <v/>
      </c>
      <c r="I697">
        <f>IF(OR($E697="",$E697="نامعتبر"),"",IF(Sync!$T694="","",Sync!$T694))</f>
        <v/>
      </c>
      <c r="J697">
        <f>IF(OR($E697="",$E697="نامعتبر"),"",IF(Sync!$U694="","",Sync!$U694))</f>
        <v/>
      </c>
      <c r="K697">
        <f>IF(OR($E697="",$E697="نامعتبر"),"",IF(Sync!$V694="","",IFERROR(INDEX(SubCodes,MATCH(Sync!$V694,SubTitles,0)),Sync!$V694)))</f>
        <v/>
      </c>
      <c r="L697">
        <f>IF(OR($E697="",$E697="نامعتبر"),"",IF(Sync!$W694="",0,Sync!$W694))</f>
        <v/>
      </c>
      <c r="M697">
        <f>IF(OR($E697="",$E697="نامعتبر"),"",IF(Sync!$X694="",0,Sync!$X694))</f>
        <v/>
      </c>
      <c r="N697">
        <f>IF(OR($E697="",$E697="نامعتبر"),"",IF(AND($J697="هزینه",$K697&lt;&gt;""),1,0))</f>
        <v/>
      </c>
      <c r="O697">
        <f>IF($N697=0,"",LEFT($E697,4)&amp;MID($E697,6,2)&amp;RIGHT($E697,2)&amp;$F697&amp;"|"&amp;"1"&amp;RIGHT("00000"&amp;689,5))</f>
        <v/>
      </c>
      <c r="P697">
        <f>IF($O697="","",COUNTIFS(ExpSub,$K697,ExpKey,"&lt;"&amp;$O697)+1)</f>
        <v/>
      </c>
      <c r="Q697">
        <f>IF($P697="","",$K697&amp;"|"&amp;RIGHT("000000"&amp;$P697,6))</f>
        <v/>
      </c>
    </row>
    <row r="698">
      <c r="A698">
        <f>IF(Sync!$P695="","",Sync!$P695)</f>
        <v/>
      </c>
      <c r="B698">
        <f>IF($A698="","",IF(ISNUMBER($A698),IF(AND($A698&gt;=10000101,$A698&lt;=99991231),INT($A698/10000),""),IFERROR(VALUE(TRIM(LEFT($A698,FIND("/",$A698)-1))),"")))</f>
        <v/>
      </c>
      <c r="C698">
        <f>IF(OR($A698="",$B698=""),"",IF(ISNUMBER($A698),INT(MOD($A698,10000)/100),IFERROR(VALUE(TRIM(LEFT(MID($A698,FIND("/",$A698)+1,20),FIND("/",MID($A698,FIND("/",$A698)+1,20))-1))),"")))</f>
        <v/>
      </c>
      <c r="D698">
        <f>IF(OR($A698="",$B698=""),"",IF(ISNUMBER($A698),MOD($A698,100),IFERROR(VALUE(TRIM(MID(MID($A698,FIND("/",$A698)+1,20),FIND("/",MID($A698,FIND("/",$A698)+1,20))+1,20))),"")))</f>
        <v/>
      </c>
      <c r="E698">
        <f>IF($A698="","",IF(OR($B698="",$C698="",$D698="",$B698&lt;1300,$B698&gt;1500,$C698&lt;1,$C698&gt;12,$D698&lt;1,$D698&gt;31),"نامعتبر",RIGHT("0000"&amp;$B698,4)&amp;"/"&amp;RIGHT("00"&amp;$C698,2)&amp;"/"&amp;RIGHT("00"&amp;$D698,2)))</f>
        <v/>
      </c>
      <c r="F698">
        <f>IF(OR($E698="",$E698="نامعتبر"),"",IF(Sync!$Q695="","0000",IF(AND(ISNUMBER(Sync!$Q695),Sync!$Q695&gt;=0,Sync!$Q695&lt;1),RIGHT("00"&amp;HOUR(Sync!$Q695),2)&amp;RIGHT("00"&amp;MINUTE(Sync!$Q695),2),IFERROR(RIGHT("00"&amp;VALUE(LEFT(Sync!$Q695,FIND(":",Sync!$Q695)-1)),2)&amp;RIGHT("00"&amp;VALUE(MID(Sync!$Q695,FIND(":",Sync!$Q695)+1,2)),2),"0000"))))</f>
        <v/>
      </c>
      <c r="G698">
        <f>IF(OR($E698="",$E698="نامعتبر"),"",IF(Sync!$S695="","",Sync!$S695))</f>
        <v/>
      </c>
      <c r="H698">
        <f>IF(OR($E698="",$E698="نامعتبر"),"",IF(Sync!$R695="","",Sync!$R695))</f>
        <v/>
      </c>
      <c r="I698">
        <f>IF(OR($E698="",$E698="نامعتبر"),"",IF(Sync!$T695="","",Sync!$T695))</f>
        <v/>
      </c>
      <c r="J698">
        <f>IF(OR($E698="",$E698="نامعتبر"),"",IF(Sync!$U695="","",Sync!$U695))</f>
        <v/>
      </c>
      <c r="K698">
        <f>IF(OR($E698="",$E698="نامعتبر"),"",IF(Sync!$V695="","",IFERROR(INDEX(SubCodes,MATCH(Sync!$V695,SubTitles,0)),Sync!$V695)))</f>
        <v/>
      </c>
      <c r="L698">
        <f>IF(OR($E698="",$E698="نامعتبر"),"",IF(Sync!$W695="",0,Sync!$W695))</f>
        <v/>
      </c>
      <c r="M698">
        <f>IF(OR($E698="",$E698="نامعتبر"),"",IF(Sync!$X695="",0,Sync!$X695))</f>
        <v/>
      </c>
      <c r="N698">
        <f>IF(OR($E698="",$E698="نامعتبر"),"",IF(AND($J698="هزینه",$K698&lt;&gt;""),1,0))</f>
        <v/>
      </c>
      <c r="O698">
        <f>IF($N698=0,"",LEFT($E698,4)&amp;MID($E698,6,2)&amp;RIGHT($E698,2)&amp;$F698&amp;"|"&amp;"1"&amp;RIGHT("00000"&amp;690,5))</f>
        <v/>
      </c>
      <c r="P698">
        <f>IF($O698="","",COUNTIFS(ExpSub,$K698,ExpKey,"&lt;"&amp;$O698)+1)</f>
        <v/>
      </c>
      <c r="Q698">
        <f>IF($P698="","",$K698&amp;"|"&amp;RIGHT("000000"&amp;$P698,6))</f>
        <v/>
      </c>
    </row>
    <row r="699">
      <c r="A699">
        <f>IF(Sync!$P696="","",Sync!$P696)</f>
        <v/>
      </c>
      <c r="B699">
        <f>IF($A699="","",IF(ISNUMBER($A699),IF(AND($A699&gt;=10000101,$A699&lt;=99991231),INT($A699/10000),""),IFERROR(VALUE(TRIM(LEFT($A699,FIND("/",$A699)-1))),"")))</f>
        <v/>
      </c>
      <c r="C699">
        <f>IF(OR($A699="",$B699=""),"",IF(ISNUMBER($A699),INT(MOD($A699,10000)/100),IFERROR(VALUE(TRIM(LEFT(MID($A699,FIND("/",$A699)+1,20),FIND("/",MID($A699,FIND("/",$A699)+1,20))-1))),"")))</f>
        <v/>
      </c>
      <c r="D699">
        <f>IF(OR($A699="",$B699=""),"",IF(ISNUMBER($A699),MOD($A699,100),IFERROR(VALUE(TRIM(MID(MID($A699,FIND("/",$A699)+1,20),FIND("/",MID($A699,FIND("/",$A699)+1,20))+1,20))),"")))</f>
        <v/>
      </c>
      <c r="E699">
        <f>IF($A699="","",IF(OR($B699="",$C699="",$D699="",$B699&lt;1300,$B699&gt;1500,$C699&lt;1,$C699&gt;12,$D699&lt;1,$D699&gt;31),"نامعتبر",RIGHT("0000"&amp;$B699,4)&amp;"/"&amp;RIGHT("00"&amp;$C699,2)&amp;"/"&amp;RIGHT("00"&amp;$D699,2)))</f>
        <v/>
      </c>
      <c r="F699">
        <f>IF(OR($E699="",$E699="نامعتبر"),"",IF(Sync!$Q696="","0000",IF(AND(ISNUMBER(Sync!$Q696),Sync!$Q696&gt;=0,Sync!$Q696&lt;1),RIGHT("00"&amp;HOUR(Sync!$Q696),2)&amp;RIGHT("00"&amp;MINUTE(Sync!$Q696),2),IFERROR(RIGHT("00"&amp;VALUE(LEFT(Sync!$Q696,FIND(":",Sync!$Q696)-1)),2)&amp;RIGHT("00"&amp;VALUE(MID(Sync!$Q696,FIND(":",Sync!$Q696)+1,2)),2),"0000"))))</f>
        <v/>
      </c>
      <c r="G699">
        <f>IF(OR($E699="",$E699="نامعتبر"),"",IF(Sync!$S696="","",Sync!$S696))</f>
        <v/>
      </c>
      <c r="H699">
        <f>IF(OR($E699="",$E699="نامعتبر"),"",IF(Sync!$R696="","",Sync!$R696))</f>
        <v/>
      </c>
      <c r="I699">
        <f>IF(OR($E699="",$E699="نامعتبر"),"",IF(Sync!$T696="","",Sync!$T696))</f>
        <v/>
      </c>
      <c r="J699">
        <f>IF(OR($E699="",$E699="نامعتبر"),"",IF(Sync!$U696="","",Sync!$U696))</f>
        <v/>
      </c>
      <c r="K699">
        <f>IF(OR($E699="",$E699="نامعتبر"),"",IF(Sync!$V696="","",IFERROR(INDEX(SubCodes,MATCH(Sync!$V696,SubTitles,0)),Sync!$V696)))</f>
        <v/>
      </c>
      <c r="L699">
        <f>IF(OR($E699="",$E699="نامعتبر"),"",IF(Sync!$W696="",0,Sync!$W696))</f>
        <v/>
      </c>
      <c r="M699">
        <f>IF(OR($E699="",$E699="نامعتبر"),"",IF(Sync!$X696="",0,Sync!$X696))</f>
        <v/>
      </c>
      <c r="N699">
        <f>IF(OR($E699="",$E699="نامعتبر"),"",IF(AND($J699="هزینه",$K699&lt;&gt;""),1,0))</f>
        <v/>
      </c>
      <c r="O699">
        <f>IF($N699=0,"",LEFT($E699,4)&amp;MID($E699,6,2)&amp;RIGHT($E699,2)&amp;$F699&amp;"|"&amp;"1"&amp;RIGHT("00000"&amp;691,5))</f>
        <v/>
      </c>
      <c r="P699">
        <f>IF($O699="","",COUNTIFS(ExpSub,$K699,ExpKey,"&lt;"&amp;$O699)+1)</f>
        <v/>
      </c>
      <c r="Q699">
        <f>IF($P699="","",$K699&amp;"|"&amp;RIGHT("000000"&amp;$P699,6))</f>
        <v/>
      </c>
    </row>
    <row r="700">
      <c r="A700">
        <f>IF(Sync!$P697="","",Sync!$P697)</f>
        <v/>
      </c>
      <c r="B700">
        <f>IF($A700="","",IF(ISNUMBER($A700),IF(AND($A700&gt;=10000101,$A700&lt;=99991231),INT($A700/10000),""),IFERROR(VALUE(TRIM(LEFT($A700,FIND("/",$A700)-1))),"")))</f>
        <v/>
      </c>
      <c r="C700">
        <f>IF(OR($A700="",$B700=""),"",IF(ISNUMBER($A700),INT(MOD($A700,10000)/100),IFERROR(VALUE(TRIM(LEFT(MID($A700,FIND("/",$A700)+1,20),FIND("/",MID($A700,FIND("/",$A700)+1,20))-1))),"")))</f>
        <v/>
      </c>
      <c r="D700">
        <f>IF(OR($A700="",$B700=""),"",IF(ISNUMBER($A700),MOD($A700,100),IFERROR(VALUE(TRIM(MID(MID($A700,FIND("/",$A700)+1,20),FIND("/",MID($A700,FIND("/",$A700)+1,20))+1,20))),"")))</f>
        <v/>
      </c>
      <c r="E700">
        <f>IF($A700="","",IF(OR($B700="",$C700="",$D700="",$B700&lt;1300,$B700&gt;1500,$C700&lt;1,$C700&gt;12,$D700&lt;1,$D700&gt;31),"نامعتبر",RIGHT("0000"&amp;$B700,4)&amp;"/"&amp;RIGHT("00"&amp;$C700,2)&amp;"/"&amp;RIGHT("00"&amp;$D700,2)))</f>
        <v/>
      </c>
      <c r="F700">
        <f>IF(OR($E700="",$E700="نامعتبر"),"",IF(Sync!$Q697="","0000",IF(AND(ISNUMBER(Sync!$Q697),Sync!$Q697&gt;=0,Sync!$Q697&lt;1),RIGHT("00"&amp;HOUR(Sync!$Q697),2)&amp;RIGHT("00"&amp;MINUTE(Sync!$Q697),2),IFERROR(RIGHT("00"&amp;VALUE(LEFT(Sync!$Q697,FIND(":",Sync!$Q697)-1)),2)&amp;RIGHT("00"&amp;VALUE(MID(Sync!$Q697,FIND(":",Sync!$Q697)+1,2)),2),"0000"))))</f>
        <v/>
      </c>
      <c r="G700">
        <f>IF(OR($E700="",$E700="نامعتبر"),"",IF(Sync!$S697="","",Sync!$S697))</f>
        <v/>
      </c>
      <c r="H700">
        <f>IF(OR($E700="",$E700="نامعتبر"),"",IF(Sync!$R697="","",Sync!$R697))</f>
        <v/>
      </c>
      <c r="I700">
        <f>IF(OR($E700="",$E700="نامعتبر"),"",IF(Sync!$T697="","",Sync!$T697))</f>
        <v/>
      </c>
      <c r="J700">
        <f>IF(OR($E700="",$E700="نامعتبر"),"",IF(Sync!$U697="","",Sync!$U697))</f>
        <v/>
      </c>
      <c r="K700">
        <f>IF(OR($E700="",$E700="نامعتبر"),"",IF(Sync!$V697="","",IFERROR(INDEX(SubCodes,MATCH(Sync!$V697,SubTitles,0)),Sync!$V697)))</f>
        <v/>
      </c>
      <c r="L700">
        <f>IF(OR($E700="",$E700="نامعتبر"),"",IF(Sync!$W697="",0,Sync!$W697))</f>
        <v/>
      </c>
      <c r="M700">
        <f>IF(OR($E700="",$E700="نامعتبر"),"",IF(Sync!$X697="",0,Sync!$X697))</f>
        <v/>
      </c>
      <c r="N700">
        <f>IF(OR($E700="",$E700="نامعتبر"),"",IF(AND($J700="هزینه",$K700&lt;&gt;""),1,0))</f>
        <v/>
      </c>
      <c r="O700">
        <f>IF($N700=0,"",LEFT($E700,4)&amp;MID($E700,6,2)&amp;RIGHT($E700,2)&amp;$F700&amp;"|"&amp;"1"&amp;RIGHT("00000"&amp;692,5))</f>
        <v/>
      </c>
      <c r="P700">
        <f>IF($O700="","",COUNTIFS(ExpSub,$K700,ExpKey,"&lt;"&amp;$O700)+1)</f>
        <v/>
      </c>
      <c r="Q700">
        <f>IF($P700="","",$K700&amp;"|"&amp;RIGHT("000000"&amp;$P700,6))</f>
        <v/>
      </c>
    </row>
    <row r="701">
      <c r="A701">
        <f>IF(Sync!$P698="","",Sync!$P698)</f>
        <v/>
      </c>
      <c r="B701">
        <f>IF($A701="","",IF(ISNUMBER($A701),IF(AND($A701&gt;=10000101,$A701&lt;=99991231),INT($A701/10000),""),IFERROR(VALUE(TRIM(LEFT($A701,FIND("/",$A701)-1))),"")))</f>
        <v/>
      </c>
      <c r="C701">
        <f>IF(OR($A701="",$B701=""),"",IF(ISNUMBER($A701),INT(MOD($A701,10000)/100),IFERROR(VALUE(TRIM(LEFT(MID($A701,FIND("/",$A701)+1,20),FIND("/",MID($A701,FIND("/",$A701)+1,20))-1))),"")))</f>
        <v/>
      </c>
      <c r="D701">
        <f>IF(OR($A701="",$B701=""),"",IF(ISNUMBER($A701),MOD($A701,100),IFERROR(VALUE(TRIM(MID(MID($A701,FIND("/",$A701)+1,20),FIND("/",MID($A701,FIND("/",$A701)+1,20))+1,20))),"")))</f>
        <v/>
      </c>
      <c r="E701">
        <f>IF($A701="","",IF(OR($B701="",$C701="",$D701="",$B701&lt;1300,$B701&gt;1500,$C701&lt;1,$C701&gt;12,$D701&lt;1,$D701&gt;31),"نامعتبر",RIGHT("0000"&amp;$B701,4)&amp;"/"&amp;RIGHT("00"&amp;$C701,2)&amp;"/"&amp;RIGHT("00"&amp;$D701,2)))</f>
        <v/>
      </c>
      <c r="F701">
        <f>IF(OR($E701="",$E701="نامعتبر"),"",IF(Sync!$Q698="","0000",IF(AND(ISNUMBER(Sync!$Q698),Sync!$Q698&gt;=0,Sync!$Q698&lt;1),RIGHT("00"&amp;HOUR(Sync!$Q698),2)&amp;RIGHT("00"&amp;MINUTE(Sync!$Q698),2),IFERROR(RIGHT("00"&amp;VALUE(LEFT(Sync!$Q698,FIND(":",Sync!$Q698)-1)),2)&amp;RIGHT("00"&amp;VALUE(MID(Sync!$Q698,FIND(":",Sync!$Q698)+1,2)),2),"0000"))))</f>
        <v/>
      </c>
      <c r="G701">
        <f>IF(OR($E701="",$E701="نامعتبر"),"",IF(Sync!$S698="","",Sync!$S698))</f>
        <v/>
      </c>
      <c r="H701">
        <f>IF(OR($E701="",$E701="نامعتبر"),"",IF(Sync!$R698="","",Sync!$R698))</f>
        <v/>
      </c>
      <c r="I701">
        <f>IF(OR($E701="",$E701="نامعتبر"),"",IF(Sync!$T698="","",Sync!$T698))</f>
        <v/>
      </c>
      <c r="J701">
        <f>IF(OR($E701="",$E701="نامعتبر"),"",IF(Sync!$U698="","",Sync!$U698))</f>
        <v/>
      </c>
      <c r="K701">
        <f>IF(OR($E701="",$E701="نامعتبر"),"",IF(Sync!$V698="","",IFERROR(INDEX(SubCodes,MATCH(Sync!$V698,SubTitles,0)),Sync!$V698)))</f>
        <v/>
      </c>
      <c r="L701">
        <f>IF(OR($E701="",$E701="نامعتبر"),"",IF(Sync!$W698="",0,Sync!$W698))</f>
        <v/>
      </c>
      <c r="M701">
        <f>IF(OR($E701="",$E701="نامعتبر"),"",IF(Sync!$X698="",0,Sync!$X698))</f>
        <v/>
      </c>
      <c r="N701">
        <f>IF(OR($E701="",$E701="نامعتبر"),"",IF(AND($J701="هزینه",$K701&lt;&gt;""),1,0))</f>
        <v/>
      </c>
      <c r="O701">
        <f>IF($N701=0,"",LEFT($E701,4)&amp;MID($E701,6,2)&amp;RIGHT($E701,2)&amp;$F701&amp;"|"&amp;"1"&amp;RIGHT("00000"&amp;693,5))</f>
        <v/>
      </c>
      <c r="P701">
        <f>IF($O701="","",COUNTIFS(ExpSub,$K701,ExpKey,"&lt;"&amp;$O701)+1)</f>
        <v/>
      </c>
      <c r="Q701">
        <f>IF($P701="","",$K701&amp;"|"&amp;RIGHT("000000"&amp;$P701,6))</f>
        <v/>
      </c>
    </row>
    <row r="702">
      <c r="A702">
        <f>IF(Sync!$P699="","",Sync!$P699)</f>
        <v/>
      </c>
      <c r="B702">
        <f>IF($A702="","",IF(ISNUMBER($A702),IF(AND($A702&gt;=10000101,$A702&lt;=99991231),INT($A702/10000),""),IFERROR(VALUE(TRIM(LEFT($A702,FIND("/",$A702)-1))),"")))</f>
        <v/>
      </c>
      <c r="C702">
        <f>IF(OR($A702="",$B702=""),"",IF(ISNUMBER($A702),INT(MOD($A702,10000)/100),IFERROR(VALUE(TRIM(LEFT(MID($A702,FIND("/",$A702)+1,20),FIND("/",MID($A702,FIND("/",$A702)+1,20))-1))),"")))</f>
        <v/>
      </c>
      <c r="D702">
        <f>IF(OR($A702="",$B702=""),"",IF(ISNUMBER($A702),MOD($A702,100),IFERROR(VALUE(TRIM(MID(MID($A702,FIND("/",$A702)+1,20),FIND("/",MID($A702,FIND("/",$A702)+1,20))+1,20))),"")))</f>
        <v/>
      </c>
      <c r="E702">
        <f>IF($A702="","",IF(OR($B702="",$C702="",$D702="",$B702&lt;1300,$B702&gt;1500,$C702&lt;1,$C702&gt;12,$D702&lt;1,$D702&gt;31),"نامعتبر",RIGHT("0000"&amp;$B702,4)&amp;"/"&amp;RIGHT("00"&amp;$C702,2)&amp;"/"&amp;RIGHT("00"&amp;$D702,2)))</f>
        <v/>
      </c>
      <c r="F702">
        <f>IF(OR($E702="",$E702="نامعتبر"),"",IF(Sync!$Q699="","0000",IF(AND(ISNUMBER(Sync!$Q699),Sync!$Q699&gt;=0,Sync!$Q699&lt;1),RIGHT("00"&amp;HOUR(Sync!$Q699),2)&amp;RIGHT("00"&amp;MINUTE(Sync!$Q699),2),IFERROR(RIGHT("00"&amp;VALUE(LEFT(Sync!$Q699,FIND(":",Sync!$Q699)-1)),2)&amp;RIGHT("00"&amp;VALUE(MID(Sync!$Q699,FIND(":",Sync!$Q699)+1,2)),2),"0000"))))</f>
        <v/>
      </c>
      <c r="G702">
        <f>IF(OR($E702="",$E702="نامعتبر"),"",IF(Sync!$S699="","",Sync!$S699))</f>
        <v/>
      </c>
      <c r="H702">
        <f>IF(OR($E702="",$E702="نامعتبر"),"",IF(Sync!$R699="","",Sync!$R699))</f>
        <v/>
      </c>
      <c r="I702">
        <f>IF(OR($E702="",$E702="نامعتبر"),"",IF(Sync!$T699="","",Sync!$T699))</f>
        <v/>
      </c>
      <c r="J702">
        <f>IF(OR($E702="",$E702="نامعتبر"),"",IF(Sync!$U699="","",Sync!$U699))</f>
        <v/>
      </c>
      <c r="K702">
        <f>IF(OR($E702="",$E702="نامعتبر"),"",IF(Sync!$V699="","",IFERROR(INDEX(SubCodes,MATCH(Sync!$V699,SubTitles,0)),Sync!$V699)))</f>
        <v/>
      </c>
      <c r="L702">
        <f>IF(OR($E702="",$E702="نامعتبر"),"",IF(Sync!$W699="",0,Sync!$W699))</f>
        <v/>
      </c>
      <c r="M702">
        <f>IF(OR($E702="",$E702="نامعتبر"),"",IF(Sync!$X699="",0,Sync!$X699))</f>
        <v/>
      </c>
      <c r="N702">
        <f>IF(OR($E702="",$E702="نامعتبر"),"",IF(AND($J702="هزینه",$K702&lt;&gt;""),1,0))</f>
        <v/>
      </c>
      <c r="O702">
        <f>IF($N702=0,"",LEFT($E702,4)&amp;MID($E702,6,2)&amp;RIGHT($E702,2)&amp;$F702&amp;"|"&amp;"1"&amp;RIGHT("00000"&amp;694,5))</f>
        <v/>
      </c>
      <c r="P702">
        <f>IF($O702="","",COUNTIFS(ExpSub,$K702,ExpKey,"&lt;"&amp;$O702)+1)</f>
        <v/>
      </c>
      <c r="Q702">
        <f>IF($P702="","",$K702&amp;"|"&amp;RIGHT("000000"&amp;$P702,6))</f>
        <v/>
      </c>
    </row>
    <row r="703">
      <c r="A703">
        <f>IF(Sync!$P700="","",Sync!$P700)</f>
        <v/>
      </c>
      <c r="B703">
        <f>IF($A703="","",IF(ISNUMBER($A703),IF(AND($A703&gt;=10000101,$A703&lt;=99991231),INT($A703/10000),""),IFERROR(VALUE(TRIM(LEFT($A703,FIND("/",$A703)-1))),"")))</f>
        <v/>
      </c>
      <c r="C703">
        <f>IF(OR($A703="",$B703=""),"",IF(ISNUMBER($A703),INT(MOD($A703,10000)/100),IFERROR(VALUE(TRIM(LEFT(MID($A703,FIND("/",$A703)+1,20),FIND("/",MID($A703,FIND("/",$A703)+1,20))-1))),"")))</f>
        <v/>
      </c>
      <c r="D703">
        <f>IF(OR($A703="",$B703=""),"",IF(ISNUMBER($A703),MOD($A703,100),IFERROR(VALUE(TRIM(MID(MID($A703,FIND("/",$A703)+1,20),FIND("/",MID($A703,FIND("/",$A703)+1,20))+1,20))),"")))</f>
        <v/>
      </c>
      <c r="E703">
        <f>IF($A703="","",IF(OR($B703="",$C703="",$D703="",$B703&lt;1300,$B703&gt;1500,$C703&lt;1,$C703&gt;12,$D703&lt;1,$D703&gt;31),"نامعتبر",RIGHT("0000"&amp;$B703,4)&amp;"/"&amp;RIGHT("00"&amp;$C703,2)&amp;"/"&amp;RIGHT("00"&amp;$D703,2)))</f>
        <v/>
      </c>
      <c r="F703">
        <f>IF(OR($E703="",$E703="نامعتبر"),"",IF(Sync!$Q700="","0000",IF(AND(ISNUMBER(Sync!$Q700),Sync!$Q700&gt;=0,Sync!$Q700&lt;1),RIGHT("00"&amp;HOUR(Sync!$Q700),2)&amp;RIGHT("00"&amp;MINUTE(Sync!$Q700),2),IFERROR(RIGHT("00"&amp;VALUE(LEFT(Sync!$Q700,FIND(":",Sync!$Q700)-1)),2)&amp;RIGHT("00"&amp;VALUE(MID(Sync!$Q700,FIND(":",Sync!$Q700)+1,2)),2),"0000"))))</f>
        <v/>
      </c>
      <c r="G703">
        <f>IF(OR($E703="",$E703="نامعتبر"),"",IF(Sync!$S700="","",Sync!$S700))</f>
        <v/>
      </c>
      <c r="H703">
        <f>IF(OR($E703="",$E703="نامعتبر"),"",IF(Sync!$R700="","",Sync!$R700))</f>
        <v/>
      </c>
      <c r="I703">
        <f>IF(OR($E703="",$E703="نامعتبر"),"",IF(Sync!$T700="","",Sync!$T700))</f>
        <v/>
      </c>
      <c r="J703">
        <f>IF(OR($E703="",$E703="نامعتبر"),"",IF(Sync!$U700="","",Sync!$U700))</f>
        <v/>
      </c>
      <c r="K703">
        <f>IF(OR($E703="",$E703="نامعتبر"),"",IF(Sync!$V700="","",IFERROR(INDEX(SubCodes,MATCH(Sync!$V700,SubTitles,0)),Sync!$V700)))</f>
        <v/>
      </c>
      <c r="L703">
        <f>IF(OR($E703="",$E703="نامعتبر"),"",IF(Sync!$W700="",0,Sync!$W700))</f>
        <v/>
      </c>
      <c r="M703">
        <f>IF(OR($E703="",$E703="نامعتبر"),"",IF(Sync!$X700="",0,Sync!$X700))</f>
        <v/>
      </c>
      <c r="N703">
        <f>IF(OR($E703="",$E703="نامعتبر"),"",IF(AND($J703="هزینه",$K703&lt;&gt;""),1,0))</f>
        <v/>
      </c>
      <c r="O703">
        <f>IF($N703=0,"",LEFT($E703,4)&amp;MID($E703,6,2)&amp;RIGHT($E703,2)&amp;$F703&amp;"|"&amp;"1"&amp;RIGHT("00000"&amp;695,5))</f>
        <v/>
      </c>
      <c r="P703">
        <f>IF($O703="","",COUNTIFS(ExpSub,$K703,ExpKey,"&lt;"&amp;$O703)+1)</f>
        <v/>
      </c>
      <c r="Q703">
        <f>IF($P703="","",$K703&amp;"|"&amp;RIGHT("000000"&amp;$P703,6))</f>
        <v/>
      </c>
    </row>
    <row r="704">
      <c r="A704">
        <f>IF(Sync!$P701="","",Sync!$P701)</f>
        <v/>
      </c>
      <c r="B704">
        <f>IF($A704="","",IF(ISNUMBER($A704),IF(AND($A704&gt;=10000101,$A704&lt;=99991231),INT($A704/10000),""),IFERROR(VALUE(TRIM(LEFT($A704,FIND("/",$A704)-1))),"")))</f>
        <v/>
      </c>
      <c r="C704">
        <f>IF(OR($A704="",$B704=""),"",IF(ISNUMBER($A704),INT(MOD($A704,10000)/100),IFERROR(VALUE(TRIM(LEFT(MID($A704,FIND("/",$A704)+1,20),FIND("/",MID($A704,FIND("/",$A704)+1,20))-1))),"")))</f>
        <v/>
      </c>
      <c r="D704">
        <f>IF(OR($A704="",$B704=""),"",IF(ISNUMBER($A704),MOD($A704,100),IFERROR(VALUE(TRIM(MID(MID($A704,FIND("/",$A704)+1,20),FIND("/",MID($A704,FIND("/",$A704)+1,20))+1,20))),"")))</f>
        <v/>
      </c>
      <c r="E704">
        <f>IF($A704="","",IF(OR($B704="",$C704="",$D704="",$B704&lt;1300,$B704&gt;1500,$C704&lt;1,$C704&gt;12,$D704&lt;1,$D704&gt;31),"نامعتبر",RIGHT("0000"&amp;$B704,4)&amp;"/"&amp;RIGHT("00"&amp;$C704,2)&amp;"/"&amp;RIGHT("00"&amp;$D704,2)))</f>
        <v/>
      </c>
      <c r="F704">
        <f>IF(OR($E704="",$E704="نامعتبر"),"",IF(Sync!$Q701="","0000",IF(AND(ISNUMBER(Sync!$Q701),Sync!$Q701&gt;=0,Sync!$Q701&lt;1),RIGHT("00"&amp;HOUR(Sync!$Q701),2)&amp;RIGHT("00"&amp;MINUTE(Sync!$Q701),2),IFERROR(RIGHT("00"&amp;VALUE(LEFT(Sync!$Q701,FIND(":",Sync!$Q701)-1)),2)&amp;RIGHT("00"&amp;VALUE(MID(Sync!$Q701,FIND(":",Sync!$Q701)+1,2)),2),"0000"))))</f>
        <v/>
      </c>
      <c r="G704">
        <f>IF(OR($E704="",$E704="نامعتبر"),"",IF(Sync!$S701="","",Sync!$S701))</f>
        <v/>
      </c>
      <c r="H704">
        <f>IF(OR($E704="",$E704="نامعتبر"),"",IF(Sync!$R701="","",Sync!$R701))</f>
        <v/>
      </c>
      <c r="I704">
        <f>IF(OR($E704="",$E704="نامعتبر"),"",IF(Sync!$T701="","",Sync!$T701))</f>
        <v/>
      </c>
      <c r="J704">
        <f>IF(OR($E704="",$E704="نامعتبر"),"",IF(Sync!$U701="","",Sync!$U701))</f>
        <v/>
      </c>
      <c r="K704">
        <f>IF(OR($E704="",$E704="نامعتبر"),"",IF(Sync!$V701="","",IFERROR(INDEX(SubCodes,MATCH(Sync!$V701,SubTitles,0)),Sync!$V701)))</f>
        <v/>
      </c>
      <c r="L704">
        <f>IF(OR($E704="",$E704="نامعتبر"),"",IF(Sync!$W701="",0,Sync!$W701))</f>
        <v/>
      </c>
      <c r="M704">
        <f>IF(OR($E704="",$E704="نامعتبر"),"",IF(Sync!$X701="",0,Sync!$X701))</f>
        <v/>
      </c>
      <c r="N704">
        <f>IF(OR($E704="",$E704="نامعتبر"),"",IF(AND($J704="هزینه",$K704&lt;&gt;""),1,0))</f>
        <v/>
      </c>
      <c r="O704">
        <f>IF($N704=0,"",LEFT($E704,4)&amp;MID($E704,6,2)&amp;RIGHT($E704,2)&amp;$F704&amp;"|"&amp;"1"&amp;RIGHT("00000"&amp;696,5))</f>
        <v/>
      </c>
      <c r="P704">
        <f>IF($O704="","",COUNTIFS(ExpSub,$K704,ExpKey,"&lt;"&amp;$O704)+1)</f>
        <v/>
      </c>
      <c r="Q704">
        <f>IF($P704="","",$K704&amp;"|"&amp;RIGHT("000000"&amp;$P704,6))</f>
        <v/>
      </c>
    </row>
    <row r="705">
      <c r="A705">
        <f>IF(Sync!$P702="","",Sync!$P702)</f>
        <v/>
      </c>
      <c r="B705">
        <f>IF($A705="","",IF(ISNUMBER($A705),IF(AND($A705&gt;=10000101,$A705&lt;=99991231),INT($A705/10000),""),IFERROR(VALUE(TRIM(LEFT($A705,FIND("/",$A705)-1))),"")))</f>
        <v/>
      </c>
      <c r="C705">
        <f>IF(OR($A705="",$B705=""),"",IF(ISNUMBER($A705),INT(MOD($A705,10000)/100),IFERROR(VALUE(TRIM(LEFT(MID($A705,FIND("/",$A705)+1,20),FIND("/",MID($A705,FIND("/",$A705)+1,20))-1))),"")))</f>
        <v/>
      </c>
      <c r="D705">
        <f>IF(OR($A705="",$B705=""),"",IF(ISNUMBER($A705),MOD($A705,100),IFERROR(VALUE(TRIM(MID(MID($A705,FIND("/",$A705)+1,20),FIND("/",MID($A705,FIND("/",$A705)+1,20))+1,20))),"")))</f>
        <v/>
      </c>
      <c r="E705">
        <f>IF($A705="","",IF(OR($B705="",$C705="",$D705="",$B705&lt;1300,$B705&gt;1500,$C705&lt;1,$C705&gt;12,$D705&lt;1,$D705&gt;31),"نامعتبر",RIGHT("0000"&amp;$B705,4)&amp;"/"&amp;RIGHT("00"&amp;$C705,2)&amp;"/"&amp;RIGHT("00"&amp;$D705,2)))</f>
        <v/>
      </c>
      <c r="F705">
        <f>IF(OR($E705="",$E705="نامعتبر"),"",IF(Sync!$Q702="","0000",IF(AND(ISNUMBER(Sync!$Q702),Sync!$Q702&gt;=0,Sync!$Q702&lt;1),RIGHT("00"&amp;HOUR(Sync!$Q702),2)&amp;RIGHT("00"&amp;MINUTE(Sync!$Q702),2),IFERROR(RIGHT("00"&amp;VALUE(LEFT(Sync!$Q702,FIND(":",Sync!$Q702)-1)),2)&amp;RIGHT("00"&amp;VALUE(MID(Sync!$Q702,FIND(":",Sync!$Q702)+1,2)),2),"0000"))))</f>
        <v/>
      </c>
      <c r="G705">
        <f>IF(OR($E705="",$E705="نامعتبر"),"",IF(Sync!$S702="","",Sync!$S702))</f>
        <v/>
      </c>
      <c r="H705">
        <f>IF(OR($E705="",$E705="نامعتبر"),"",IF(Sync!$R702="","",Sync!$R702))</f>
        <v/>
      </c>
      <c r="I705">
        <f>IF(OR($E705="",$E705="نامعتبر"),"",IF(Sync!$T702="","",Sync!$T702))</f>
        <v/>
      </c>
      <c r="J705">
        <f>IF(OR($E705="",$E705="نامعتبر"),"",IF(Sync!$U702="","",Sync!$U702))</f>
        <v/>
      </c>
      <c r="K705">
        <f>IF(OR($E705="",$E705="نامعتبر"),"",IF(Sync!$V702="","",IFERROR(INDEX(SubCodes,MATCH(Sync!$V702,SubTitles,0)),Sync!$V702)))</f>
        <v/>
      </c>
      <c r="L705">
        <f>IF(OR($E705="",$E705="نامعتبر"),"",IF(Sync!$W702="",0,Sync!$W702))</f>
        <v/>
      </c>
      <c r="M705">
        <f>IF(OR($E705="",$E705="نامعتبر"),"",IF(Sync!$X702="",0,Sync!$X702))</f>
        <v/>
      </c>
      <c r="N705">
        <f>IF(OR($E705="",$E705="نامعتبر"),"",IF(AND($J705="هزینه",$K705&lt;&gt;""),1,0))</f>
        <v/>
      </c>
      <c r="O705">
        <f>IF($N705=0,"",LEFT($E705,4)&amp;MID($E705,6,2)&amp;RIGHT($E705,2)&amp;$F705&amp;"|"&amp;"1"&amp;RIGHT("00000"&amp;697,5))</f>
        <v/>
      </c>
      <c r="P705">
        <f>IF($O705="","",COUNTIFS(ExpSub,$K705,ExpKey,"&lt;"&amp;$O705)+1)</f>
        <v/>
      </c>
      <c r="Q705">
        <f>IF($P705="","",$K705&amp;"|"&amp;RIGHT("000000"&amp;$P705,6))</f>
        <v/>
      </c>
    </row>
    <row r="706">
      <c r="A706">
        <f>IF(Sync!$P703="","",Sync!$P703)</f>
        <v/>
      </c>
      <c r="B706">
        <f>IF($A706="","",IF(ISNUMBER($A706),IF(AND($A706&gt;=10000101,$A706&lt;=99991231),INT($A706/10000),""),IFERROR(VALUE(TRIM(LEFT($A706,FIND("/",$A706)-1))),"")))</f>
        <v/>
      </c>
      <c r="C706">
        <f>IF(OR($A706="",$B706=""),"",IF(ISNUMBER($A706),INT(MOD($A706,10000)/100),IFERROR(VALUE(TRIM(LEFT(MID($A706,FIND("/",$A706)+1,20),FIND("/",MID($A706,FIND("/",$A706)+1,20))-1))),"")))</f>
        <v/>
      </c>
      <c r="D706">
        <f>IF(OR($A706="",$B706=""),"",IF(ISNUMBER($A706),MOD($A706,100),IFERROR(VALUE(TRIM(MID(MID($A706,FIND("/",$A706)+1,20),FIND("/",MID($A706,FIND("/",$A706)+1,20))+1,20))),"")))</f>
        <v/>
      </c>
      <c r="E706">
        <f>IF($A706="","",IF(OR($B706="",$C706="",$D706="",$B706&lt;1300,$B706&gt;1500,$C706&lt;1,$C706&gt;12,$D706&lt;1,$D706&gt;31),"نامعتبر",RIGHT("0000"&amp;$B706,4)&amp;"/"&amp;RIGHT("00"&amp;$C706,2)&amp;"/"&amp;RIGHT("00"&amp;$D706,2)))</f>
        <v/>
      </c>
      <c r="F706">
        <f>IF(OR($E706="",$E706="نامعتبر"),"",IF(Sync!$Q703="","0000",IF(AND(ISNUMBER(Sync!$Q703),Sync!$Q703&gt;=0,Sync!$Q703&lt;1),RIGHT("00"&amp;HOUR(Sync!$Q703),2)&amp;RIGHT("00"&amp;MINUTE(Sync!$Q703),2),IFERROR(RIGHT("00"&amp;VALUE(LEFT(Sync!$Q703,FIND(":",Sync!$Q703)-1)),2)&amp;RIGHT("00"&amp;VALUE(MID(Sync!$Q703,FIND(":",Sync!$Q703)+1,2)),2),"0000"))))</f>
        <v/>
      </c>
      <c r="G706">
        <f>IF(OR($E706="",$E706="نامعتبر"),"",IF(Sync!$S703="","",Sync!$S703))</f>
        <v/>
      </c>
      <c r="H706">
        <f>IF(OR($E706="",$E706="نامعتبر"),"",IF(Sync!$R703="","",Sync!$R703))</f>
        <v/>
      </c>
      <c r="I706">
        <f>IF(OR($E706="",$E706="نامعتبر"),"",IF(Sync!$T703="","",Sync!$T703))</f>
        <v/>
      </c>
      <c r="J706">
        <f>IF(OR($E706="",$E706="نامعتبر"),"",IF(Sync!$U703="","",Sync!$U703))</f>
        <v/>
      </c>
      <c r="K706">
        <f>IF(OR($E706="",$E706="نامعتبر"),"",IF(Sync!$V703="","",IFERROR(INDEX(SubCodes,MATCH(Sync!$V703,SubTitles,0)),Sync!$V703)))</f>
        <v/>
      </c>
      <c r="L706">
        <f>IF(OR($E706="",$E706="نامعتبر"),"",IF(Sync!$W703="",0,Sync!$W703))</f>
        <v/>
      </c>
      <c r="M706">
        <f>IF(OR($E706="",$E706="نامعتبر"),"",IF(Sync!$X703="",0,Sync!$X703))</f>
        <v/>
      </c>
      <c r="N706">
        <f>IF(OR($E706="",$E706="نامعتبر"),"",IF(AND($J706="هزینه",$K706&lt;&gt;""),1,0))</f>
        <v/>
      </c>
      <c r="O706">
        <f>IF($N706=0,"",LEFT($E706,4)&amp;MID($E706,6,2)&amp;RIGHT($E706,2)&amp;$F706&amp;"|"&amp;"1"&amp;RIGHT("00000"&amp;698,5))</f>
        <v/>
      </c>
      <c r="P706">
        <f>IF($O706="","",COUNTIFS(ExpSub,$K706,ExpKey,"&lt;"&amp;$O706)+1)</f>
        <v/>
      </c>
      <c r="Q706">
        <f>IF($P706="","",$K706&amp;"|"&amp;RIGHT("000000"&amp;$P706,6))</f>
        <v/>
      </c>
    </row>
    <row r="707">
      <c r="A707">
        <f>IF(Sync!$P704="","",Sync!$P704)</f>
        <v/>
      </c>
      <c r="B707">
        <f>IF($A707="","",IF(ISNUMBER($A707),IF(AND($A707&gt;=10000101,$A707&lt;=99991231),INT($A707/10000),""),IFERROR(VALUE(TRIM(LEFT($A707,FIND("/",$A707)-1))),"")))</f>
        <v/>
      </c>
      <c r="C707">
        <f>IF(OR($A707="",$B707=""),"",IF(ISNUMBER($A707),INT(MOD($A707,10000)/100),IFERROR(VALUE(TRIM(LEFT(MID($A707,FIND("/",$A707)+1,20),FIND("/",MID($A707,FIND("/",$A707)+1,20))-1))),"")))</f>
        <v/>
      </c>
      <c r="D707">
        <f>IF(OR($A707="",$B707=""),"",IF(ISNUMBER($A707),MOD($A707,100),IFERROR(VALUE(TRIM(MID(MID($A707,FIND("/",$A707)+1,20),FIND("/",MID($A707,FIND("/",$A707)+1,20))+1,20))),"")))</f>
        <v/>
      </c>
      <c r="E707">
        <f>IF($A707="","",IF(OR($B707="",$C707="",$D707="",$B707&lt;1300,$B707&gt;1500,$C707&lt;1,$C707&gt;12,$D707&lt;1,$D707&gt;31),"نامعتبر",RIGHT("0000"&amp;$B707,4)&amp;"/"&amp;RIGHT("00"&amp;$C707,2)&amp;"/"&amp;RIGHT("00"&amp;$D707,2)))</f>
        <v/>
      </c>
      <c r="F707">
        <f>IF(OR($E707="",$E707="نامعتبر"),"",IF(Sync!$Q704="","0000",IF(AND(ISNUMBER(Sync!$Q704),Sync!$Q704&gt;=0,Sync!$Q704&lt;1),RIGHT("00"&amp;HOUR(Sync!$Q704),2)&amp;RIGHT("00"&amp;MINUTE(Sync!$Q704),2),IFERROR(RIGHT("00"&amp;VALUE(LEFT(Sync!$Q704,FIND(":",Sync!$Q704)-1)),2)&amp;RIGHT("00"&amp;VALUE(MID(Sync!$Q704,FIND(":",Sync!$Q704)+1,2)),2),"0000"))))</f>
        <v/>
      </c>
      <c r="G707">
        <f>IF(OR($E707="",$E707="نامعتبر"),"",IF(Sync!$S704="","",Sync!$S704))</f>
        <v/>
      </c>
      <c r="H707">
        <f>IF(OR($E707="",$E707="نامعتبر"),"",IF(Sync!$R704="","",Sync!$R704))</f>
        <v/>
      </c>
      <c r="I707">
        <f>IF(OR($E707="",$E707="نامعتبر"),"",IF(Sync!$T704="","",Sync!$T704))</f>
        <v/>
      </c>
      <c r="J707">
        <f>IF(OR($E707="",$E707="نامعتبر"),"",IF(Sync!$U704="","",Sync!$U704))</f>
        <v/>
      </c>
      <c r="K707">
        <f>IF(OR($E707="",$E707="نامعتبر"),"",IF(Sync!$V704="","",IFERROR(INDEX(SubCodes,MATCH(Sync!$V704,SubTitles,0)),Sync!$V704)))</f>
        <v/>
      </c>
      <c r="L707">
        <f>IF(OR($E707="",$E707="نامعتبر"),"",IF(Sync!$W704="",0,Sync!$W704))</f>
        <v/>
      </c>
      <c r="M707">
        <f>IF(OR($E707="",$E707="نامعتبر"),"",IF(Sync!$X704="",0,Sync!$X704))</f>
        <v/>
      </c>
      <c r="N707">
        <f>IF(OR($E707="",$E707="نامعتبر"),"",IF(AND($J707="هزینه",$K707&lt;&gt;""),1,0))</f>
        <v/>
      </c>
      <c r="O707">
        <f>IF($N707=0,"",LEFT($E707,4)&amp;MID($E707,6,2)&amp;RIGHT($E707,2)&amp;$F707&amp;"|"&amp;"1"&amp;RIGHT("00000"&amp;699,5))</f>
        <v/>
      </c>
      <c r="P707">
        <f>IF($O707="","",COUNTIFS(ExpSub,$K707,ExpKey,"&lt;"&amp;$O707)+1)</f>
        <v/>
      </c>
      <c r="Q707">
        <f>IF($P707="","",$K707&amp;"|"&amp;RIGHT("000000"&amp;$P707,6))</f>
        <v/>
      </c>
    </row>
    <row r="708">
      <c r="A708">
        <f>IF(Sync!$P705="","",Sync!$P705)</f>
        <v/>
      </c>
      <c r="B708">
        <f>IF($A708="","",IF(ISNUMBER($A708),IF(AND($A708&gt;=10000101,$A708&lt;=99991231),INT($A708/10000),""),IFERROR(VALUE(TRIM(LEFT($A708,FIND("/",$A708)-1))),"")))</f>
        <v/>
      </c>
      <c r="C708">
        <f>IF(OR($A708="",$B708=""),"",IF(ISNUMBER($A708),INT(MOD($A708,10000)/100),IFERROR(VALUE(TRIM(LEFT(MID($A708,FIND("/",$A708)+1,20),FIND("/",MID($A708,FIND("/",$A708)+1,20))-1))),"")))</f>
        <v/>
      </c>
      <c r="D708">
        <f>IF(OR($A708="",$B708=""),"",IF(ISNUMBER($A708),MOD($A708,100),IFERROR(VALUE(TRIM(MID(MID($A708,FIND("/",$A708)+1,20),FIND("/",MID($A708,FIND("/",$A708)+1,20))+1,20))),"")))</f>
        <v/>
      </c>
      <c r="E708">
        <f>IF($A708="","",IF(OR($B708="",$C708="",$D708="",$B708&lt;1300,$B708&gt;1500,$C708&lt;1,$C708&gt;12,$D708&lt;1,$D708&gt;31),"نامعتبر",RIGHT("0000"&amp;$B708,4)&amp;"/"&amp;RIGHT("00"&amp;$C708,2)&amp;"/"&amp;RIGHT("00"&amp;$D708,2)))</f>
        <v/>
      </c>
      <c r="F708">
        <f>IF(OR($E708="",$E708="نامعتبر"),"",IF(Sync!$Q705="","0000",IF(AND(ISNUMBER(Sync!$Q705),Sync!$Q705&gt;=0,Sync!$Q705&lt;1),RIGHT("00"&amp;HOUR(Sync!$Q705),2)&amp;RIGHT("00"&amp;MINUTE(Sync!$Q705),2),IFERROR(RIGHT("00"&amp;VALUE(LEFT(Sync!$Q705,FIND(":",Sync!$Q705)-1)),2)&amp;RIGHT("00"&amp;VALUE(MID(Sync!$Q705,FIND(":",Sync!$Q705)+1,2)),2),"0000"))))</f>
        <v/>
      </c>
      <c r="G708">
        <f>IF(OR($E708="",$E708="نامعتبر"),"",IF(Sync!$S705="","",Sync!$S705))</f>
        <v/>
      </c>
      <c r="H708">
        <f>IF(OR($E708="",$E708="نامعتبر"),"",IF(Sync!$R705="","",Sync!$R705))</f>
        <v/>
      </c>
      <c r="I708">
        <f>IF(OR($E708="",$E708="نامعتبر"),"",IF(Sync!$T705="","",Sync!$T705))</f>
        <v/>
      </c>
      <c r="J708">
        <f>IF(OR($E708="",$E708="نامعتبر"),"",IF(Sync!$U705="","",Sync!$U705))</f>
        <v/>
      </c>
      <c r="K708">
        <f>IF(OR($E708="",$E708="نامعتبر"),"",IF(Sync!$V705="","",IFERROR(INDEX(SubCodes,MATCH(Sync!$V705,SubTitles,0)),Sync!$V705)))</f>
        <v/>
      </c>
      <c r="L708">
        <f>IF(OR($E708="",$E708="نامعتبر"),"",IF(Sync!$W705="",0,Sync!$W705))</f>
        <v/>
      </c>
      <c r="M708">
        <f>IF(OR($E708="",$E708="نامعتبر"),"",IF(Sync!$X705="",0,Sync!$X705))</f>
        <v/>
      </c>
      <c r="N708">
        <f>IF(OR($E708="",$E708="نامعتبر"),"",IF(AND($J708="هزینه",$K708&lt;&gt;""),1,0))</f>
        <v/>
      </c>
      <c r="O708">
        <f>IF($N708=0,"",LEFT($E708,4)&amp;MID($E708,6,2)&amp;RIGHT($E708,2)&amp;$F708&amp;"|"&amp;"1"&amp;RIGHT("00000"&amp;700,5))</f>
        <v/>
      </c>
      <c r="P708">
        <f>IF($O708="","",COUNTIFS(ExpSub,$K708,ExpKey,"&lt;"&amp;$O708)+1)</f>
        <v/>
      </c>
      <c r="Q708">
        <f>IF($P708="","",$K708&amp;"|"&amp;RIGHT("000000"&amp;$P708,6))</f>
        <v/>
      </c>
    </row>
    <row r="709">
      <c r="A709">
        <f>IF(Sync!$P706="","",Sync!$P706)</f>
        <v/>
      </c>
      <c r="B709">
        <f>IF($A709="","",IF(ISNUMBER($A709),IF(AND($A709&gt;=10000101,$A709&lt;=99991231),INT($A709/10000),""),IFERROR(VALUE(TRIM(LEFT($A709,FIND("/",$A709)-1))),"")))</f>
        <v/>
      </c>
      <c r="C709">
        <f>IF(OR($A709="",$B709=""),"",IF(ISNUMBER($A709),INT(MOD($A709,10000)/100),IFERROR(VALUE(TRIM(LEFT(MID($A709,FIND("/",$A709)+1,20),FIND("/",MID($A709,FIND("/",$A709)+1,20))-1))),"")))</f>
        <v/>
      </c>
      <c r="D709">
        <f>IF(OR($A709="",$B709=""),"",IF(ISNUMBER($A709),MOD($A709,100),IFERROR(VALUE(TRIM(MID(MID($A709,FIND("/",$A709)+1,20),FIND("/",MID($A709,FIND("/",$A709)+1,20))+1,20))),"")))</f>
        <v/>
      </c>
      <c r="E709">
        <f>IF($A709="","",IF(OR($B709="",$C709="",$D709="",$B709&lt;1300,$B709&gt;1500,$C709&lt;1,$C709&gt;12,$D709&lt;1,$D709&gt;31),"نامعتبر",RIGHT("0000"&amp;$B709,4)&amp;"/"&amp;RIGHT("00"&amp;$C709,2)&amp;"/"&amp;RIGHT("00"&amp;$D709,2)))</f>
        <v/>
      </c>
      <c r="F709">
        <f>IF(OR($E709="",$E709="نامعتبر"),"",IF(Sync!$Q706="","0000",IF(AND(ISNUMBER(Sync!$Q706),Sync!$Q706&gt;=0,Sync!$Q706&lt;1),RIGHT("00"&amp;HOUR(Sync!$Q706),2)&amp;RIGHT("00"&amp;MINUTE(Sync!$Q706),2),IFERROR(RIGHT("00"&amp;VALUE(LEFT(Sync!$Q706,FIND(":",Sync!$Q706)-1)),2)&amp;RIGHT("00"&amp;VALUE(MID(Sync!$Q706,FIND(":",Sync!$Q706)+1,2)),2),"0000"))))</f>
        <v/>
      </c>
      <c r="G709">
        <f>IF(OR($E709="",$E709="نامعتبر"),"",IF(Sync!$S706="","",Sync!$S706))</f>
        <v/>
      </c>
      <c r="H709">
        <f>IF(OR($E709="",$E709="نامعتبر"),"",IF(Sync!$R706="","",Sync!$R706))</f>
        <v/>
      </c>
      <c r="I709">
        <f>IF(OR($E709="",$E709="نامعتبر"),"",IF(Sync!$T706="","",Sync!$T706))</f>
        <v/>
      </c>
      <c r="J709">
        <f>IF(OR($E709="",$E709="نامعتبر"),"",IF(Sync!$U706="","",Sync!$U706))</f>
        <v/>
      </c>
      <c r="K709">
        <f>IF(OR($E709="",$E709="نامعتبر"),"",IF(Sync!$V706="","",IFERROR(INDEX(SubCodes,MATCH(Sync!$V706,SubTitles,0)),Sync!$V706)))</f>
        <v/>
      </c>
      <c r="L709">
        <f>IF(OR($E709="",$E709="نامعتبر"),"",IF(Sync!$W706="",0,Sync!$W706))</f>
        <v/>
      </c>
      <c r="M709">
        <f>IF(OR($E709="",$E709="نامعتبر"),"",IF(Sync!$X706="",0,Sync!$X706))</f>
        <v/>
      </c>
      <c r="N709">
        <f>IF(OR($E709="",$E709="نامعتبر"),"",IF(AND($J709="هزینه",$K709&lt;&gt;""),1,0))</f>
        <v/>
      </c>
      <c r="O709">
        <f>IF($N709=0,"",LEFT($E709,4)&amp;MID($E709,6,2)&amp;RIGHT($E709,2)&amp;$F709&amp;"|"&amp;"1"&amp;RIGHT("00000"&amp;701,5))</f>
        <v/>
      </c>
      <c r="P709">
        <f>IF($O709="","",COUNTIFS(ExpSub,$K709,ExpKey,"&lt;"&amp;$O709)+1)</f>
        <v/>
      </c>
      <c r="Q709">
        <f>IF($P709="","",$K709&amp;"|"&amp;RIGHT("000000"&amp;$P709,6))</f>
        <v/>
      </c>
    </row>
    <row r="710">
      <c r="A710">
        <f>IF(Sync!$P707="","",Sync!$P707)</f>
        <v/>
      </c>
      <c r="B710">
        <f>IF($A710="","",IF(ISNUMBER($A710),IF(AND($A710&gt;=10000101,$A710&lt;=99991231),INT($A710/10000),""),IFERROR(VALUE(TRIM(LEFT($A710,FIND("/",$A710)-1))),"")))</f>
        <v/>
      </c>
      <c r="C710">
        <f>IF(OR($A710="",$B710=""),"",IF(ISNUMBER($A710),INT(MOD($A710,10000)/100),IFERROR(VALUE(TRIM(LEFT(MID($A710,FIND("/",$A710)+1,20),FIND("/",MID($A710,FIND("/",$A710)+1,20))-1))),"")))</f>
        <v/>
      </c>
      <c r="D710">
        <f>IF(OR($A710="",$B710=""),"",IF(ISNUMBER($A710),MOD($A710,100),IFERROR(VALUE(TRIM(MID(MID($A710,FIND("/",$A710)+1,20),FIND("/",MID($A710,FIND("/",$A710)+1,20))+1,20))),"")))</f>
        <v/>
      </c>
      <c r="E710">
        <f>IF($A710="","",IF(OR($B710="",$C710="",$D710="",$B710&lt;1300,$B710&gt;1500,$C710&lt;1,$C710&gt;12,$D710&lt;1,$D710&gt;31),"نامعتبر",RIGHT("0000"&amp;$B710,4)&amp;"/"&amp;RIGHT("00"&amp;$C710,2)&amp;"/"&amp;RIGHT("00"&amp;$D710,2)))</f>
        <v/>
      </c>
      <c r="F710">
        <f>IF(OR($E710="",$E710="نامعتبر"),"",IF(Sync!$Q707="","0000",IF(AND(ISNUMBER(Sync!$Q707),Sync!$Q707&gt;=0,Sync!$Q707&lt;1),RIGHT("00"&amp;HOUR(Sync!$Q707),2)&amp;RIGHT("00"&amp;MINUTE(Sync!$Q707),2),IFERROR(RIGHT("00"&amp;VALUE(LEFT(Sync!$Q707,FIND(":",Sync!$Q707)-1)),2)&amp;RIGHT("00"&amp;VALUE(MID(Sync!$Q707,FIND(":",Sync!$Q707)+1,2)),2),"0000"))))</f>
        <v/>
      </c>
      <c r="G710">
        <f>IF(OR($E710="",$E710="نامعتبر"),"",IF(Sync!$S707="","",Sync!$S707))</f>
        <v/>
      </c>
      <c r="H710">
        <f>IF(OR($E710="",$E710="نامعتبر"),"",IF(Sync!$R707="","",Sync!$R707))</f>
        <v/>
      </c>
      <c r="I710">
        <f>IF(OR($E710="",$E710="نامعتبر"),"",IF(Sync!$T707="","",Sync!$T707))</f>
        <v/>
      </c>
      <c r="J710">
        <f>IF(OR($E710="",$E710="نامعتبر"),"",IF(Sync!$U707="","",Sync!$U707))</f>
        <v/>
      </c>
      <c r="K710">
        <f>IF(OR($E710="",$E710="نامعتبر"),"",IF(Sync!$V707="","",IFERROR(INDEX(SubCodes,MATCH(Sync!$V707,SubTitles,0)),Sync!$V707)))</f>
        <v/>
      </c>
      <c r="L710">
        <f>IF(OR($E710="",$E710="نامعتبر"),"",IF(Sync!$W707="",0,Sync!$W707))</f>
        <v/>
      </c>
      <c r="M710">
        <f>IF(OR($E710="",$E710="نامعتبر"),"",IF(Sync!$X707="",0,Sync!$X707))</f>
        <v/>
      </c>
      <c r="N710">
        <f>IF(OR($E710="",$E710="نامعتبر"),"",IF(AND($J710="هزینه",$K710&lt;&gt;""),1,0))</f>
        <v/>
      </c>
      <c r="O710">
        <f>IF($N710=0,"",LEFT($E710,4)&amp;MID($E710,6,2)&amp;RIGHT($E710,2)&amp;$F710&amp;"|"&amp;"1"&amp;RIGHT("00000"&amp;702,5))</f>
        <v/>
      </c>
      <c r="P710">
        <f>IF($O710="","",COUNTIFS(ExpSub,$K710,ExpKey,"&lt;"&amp;$O710)+1)</f>
        <v/>
      </c>
      <c r="Q710">
        <f>IF($P710="","",$K710&amp;"|"&amp;RIGHT("000000"&amp;$P710,6))</f>
        <v/>
      </c>
    </row>
    <row r="711">
      <c r="A711">
        <f>IF(Sync!$P708="","",Sync!$P708)</f>
        <v/>
      </c>
      <c r="B711">
        <f>IF($A711="","",IF(ISNUMBER($A711),IF(AND($A711&gt;=10000101,$A711&lt;=99991231),INT($A711/10000),""),IFERROR(VALUE(TRIM(LEFT($A711,FIND("/",$A711)-1))),"")))</f>
        <v/>
      </c>
      <c r="C711">
        <f>IF(OR($A711="",$B711=""),"",IF(ISNUMBER($A711),INT(MOD($A711,10000)/100),IFERROR(VALUE(TRIM(LEFT(MID($A711,FIND("/",$A711)+1,20),FIND("/",MID($A711,FIND("/",$A711)+1,20))-1))),"")))</f>
        <v/>
      </c>
      <c r="D711">
        <f>IF(OR($A711="",$B711=""),"",IF(ISNUMBER($A711),MOD($A711,100),IFERROR(VALUE(TRIM(MID(MID($A711,FIND("/",$A711)+1,20),FIND("/",MID($A711,FIND("/",$A711)+1,20))+1,20))),"")))</f>
        <v/>
      </c>
      <c r="E711">
        <f>IF($A711="","",IF(OR($B711="",$C711="",$D711="",$B711&lt;1300,$B711&gt;1500,$C711&lt;1,$C711&gt;12,$D711&lt;1,$D711&gt;31),"نامعتبر",RIGHT("0000"&amp;$B711,4)&amp;"/"&amp;RIGHT("00"&amp;$C711,2)&amp;"/"&amp;RIGHT("00"&amp;$D711,2)))</f>
        <v/>
      </c>
      <c r="F711">
        <f>IF(OR($E711="",$E711="نامعتبر"),"",IF(Sync!$Q708="","0000",IF(AND(ISNUMBER(Sync!$Q708),Sync!$Q708&gt;=0,Sync!$Q708&lt;1),RIGHT("00"&amp;HOUR(Sync!$Q708),2)&amp;RIGHT("00"&amp;MINUTE(Sync!$Q708),2),IFERROR(RIGHT("00"&amp;VALUE(LEFT(Sync!$Q708,FIND(":",Sync!$Q708)-1)),2)&amp;RIGHT("00"&amp;VALUE(MID(Sync!$Q708,FIND(":",Sync!$Q708)+1,2)),2),"0000"))))</f>
        <v/>
      </c>
      <c r="G711">
        <f>IF(OR($E711="",$E711="نامعتبر"),"",IF(Sync!$S708="","",Sync!$S708))</f>
        <v/>
      </c>
      <c r="H711">
        <f>IF(OR($E711="",$E711="نامعتبر"),"",IF(Sync!$R708="","",Sync!$R708))</f>
        <v/>
      </c>
      <c r="I711">
        <f>IF(OR($E711="",$E711="نامعتبر"),"",IF(Sync!$T708="","",Sync!$T708))</f>
        <v/>
      </c>
      <c r="J711">
        <f>IF(OR($E711="",$E711="نامعتبر"),"",IF(Sync!$U708="","",Sync!$U708))</f>
        <v/>
      </c>
      <c r="K711">
        <f>IF(OR($E711="",$E711="نامعتبر"),"",IF(Sync!$V708="","",IFERROR(INDEX(SubCodes,MATCH(Sync!$V708,SubTitles,0)),Sync!$V708)))</f>
        <v/>
      </c>
      <c r="L711">
        <f>IF(OR($E711="",$E711="نامعتبر"),"",IF(Sync!$W708="",0,Sync!$W708))</f>
        <v/>
      </c>
      <c r="M711">
        <f>IF(OR($E711="",$E711="نامعتبر"),"",IF(Sync!$X708="",0,Sync!$X708))</f>
        <v/>
      </c>
      <c r="N711">
        <f>IF(OR($E711="",$E711="نامعتبر"),"",IF(AND($J711="هزینه",$K711&lt;&gt;""),1,0))</f>
        <v/>
      </c>
      <c r="O711">
        <f>IF($N711=0,"",LEFT($E711,4)&amp;MID($E711,6,2)&amp;RIGHT($E711,2)&amp;$F711&amp;"|"&amp;"1"&amp;RIGHT("00000"&amp;703,5))</f>
        <v/>
      </c>
      <c r="P711">
        <f>IF($O711="","",COUNTIFS(ExpSub,$K711,ExpKey,"&lt;"&amp;$O711)+1)</f>
        <v/>
      </c>
      <c r="Q711">
        <f>IF($P711="","",$K711&amp;"|"&amp;RIGHT("000000"&amp;$P711,6))</f>
        <v/>
      </c>
    </row>
    <row r="712">
      <c r="A712">
        <f>IF(Sync!$P709="","",Sync!$P709)</f>
        <v/>
      </c>
      <c r="B712">
        <f>IF($A712="","",IF(ISNUMBER($A712),IF(AND($A712&gt;=10000101,$A712&lt;=99991231),INT($A712/10000),""),IFERROR(VALUE(TRIM(LEFT($A712,FIND("/",$A712)-1))),"")))</f>
        <v/>
      </c>
      <c r="C712">
        <f>IF(OR($A712="",$B712=""),"",IF(ISNUMBER($A712),INT(MOD($A712,10000)/100),IFERROR(VALUE(TRIM(LEFT(MID($A712,FIND("/",$A712)+1,20),FIND("/",MID($A712,FIND("/",$A712)+1,20))-1))),"")))</f>
        <v/>
      </c>
      <c r="D712">
        <f>IF(OR($A712="",$B712=""),"",IF(ISNUMBER($A712),MOD($A712,100),IFERROR(VALUE(TRIM(MID(MID($A712,FIND("/",$A712)+1,20),FIND("/",MID($A712,FIND("/",$A712)+1,20))+1,20))),"")))</f>
        <v/>
      </c>
      <c r="E712">
        <f>IF($A712="","",IF(OR($B712="",$C712="",$D712="",$B712&lt;1300,$B712&gt;1500,$C712&lt;1,$C712&gt;12,$D712&lt;1,$D712&gt;31),"نامعتبر",RIGHT("0000"&amp;$B712,4)&amp;"/"&amp;RIGHT("00"&amp;$C712,2)&amp;"/"&amp;RIGHT("00"&amp;$D712,2)))</f>
        <v/>
      </c>
      <c r="F712">
        <f>IF(OR($E712="",$E712="نامعتبر"),"",IF(Sync!$Q709="","0000",IF(AND(ISNUMBER(Sync!$Q709),Sync!$Q709&gt;=0,Sync!$Q709&lt;1),RIGHT("00"&amp;HOUR(Sync!$Q709),2)&amp;RIGHT("00"&amp;MINUTE(Sync!$Q709),2),IFERROR(RIGHT("00"&amp;VALUE(LEFT(Sync!$Q709,FIND(":",Sync!$Q709)-1)),2)&amp;RIGHT("00"&amp;VALUE(MID(Sync!$Q709,FIND(":",Sync!$Q709)+1,2)),2),"0000"))))</f>
        <v/>
      </c>
      <c r="G712">
        <f>IF(OR($E712="",$E712="نامعتبر"),"",IF(Sync!$S709="","",Sync!$S709))</f>
        <v/>
      </c>
      <c r="H712">
        <f>IF(OR($E712="",$E712="نامعتبر"),"",IF(Sync!$R709="","",Sync!$R709))</f>
        <v/>
      </c>
      <c r="I712">
        <f>IF(OR($E712="",$E712="نامعتبر"),"",IF(Sync!$T709="","",Sync!$T709))</f>
        <v/>
      </c>
      <c r="J712">
        <f>IF(OR($E712="",$E712="نامعتبر"),"",IF(Sync!$U709="","",Sync!$U709))</f>
        <v/>
      </c>
      <c r="K712">
        <f>IF(OR($E712="",$E712="نامعتبر"),"",IF(Sync!$V709="","",IFERROR(INDEX(SubCodes,MATCH(Sync!$V709,SubTitles,0)),Sync!$V709)))</f>
        <v/>
      </c>
      <c r="L712">
        <f>IF(OR($E712="",$E712="نامعتبر"),"",IF(Sync!$W709="",0,Sync!$W709))</f>
        <v/>
      </c>
      <c r="M712">
        <f>IF(OR($E712="",$E712="نامعتبر"),"",IF(Sync!$X709="",0,Sync!$X709))</f>
        <v/>
      </c>
      <c r="N712">
        <f>IF(OR($E712="",$E712="نامعتبر"),"",IF(AND($J712="هزینه",$K712&lt;&gt;""),1,0))</f>
        <v/>
      </c>
      <c r="O712">
        <f>IF($N712=0,"",LEFT($E712,4)&amp;MID($E712,6,2)&amp;RIGHT($E712,2)&amp;$F712&amp;"|"&amp;"1"&amp;RIGHT("00000"&amp;704,5))</f>
        <v/>
      </c>
      <c r="P712">
        <f>IF($O712="","",COUNTIFS(ExpSub,$K712,ExpKey,"&lt;"&amp;$O712)+1)</f>
        <v/>
      </c>
      <c r="Q712">
        <f>IF($P712="","",$K712&amp;"|"&amp;RIGHT("000000"&amp;$P712,6))</f>
        <v/>
      </c>
    </row>
    <row r="713">
      <c r="A713">
        <f>IF(Sync!$P710="","",Sync!$P710)</f>
        <v/>
      </c>
      <c r="B713">
        <f>IF($A713="","",IF(ISNUMBER($A713),IF(AND($A713&gt;=10000101,$A713&lt;=99991231),INT($A713/10000),""),IFERROR(VALUE(TRIM(LEFT($A713,FIND("/",$A713)-1))),"")))</f>
        <v/>
      </c>
      <c r="C713">
        <f>IF(OR($A713="",$B713=""),"",IF(ISNUMBER($A713),INT(MOD($A713,10000)/100),IFERROR(VALUE(TRIM(LEFT(MID($A713,FIND("/",$A713)+1,20),FIND("/",MID($A713,FIND("/",$A713)+1,20))-1))),"")))</f>
        <v/>
      </c>
      <c r="D713">
        <f>IF(OR($A713="",$B713=""),"",IF(ISNUMBER($A713),MOD($A713,100),IFERROR(VALUE(TRIM(MID(MID($A713,FIND("/",$A713)+1,20),FIND("/",MID($A713,FIND("/",$A713)+1,20))+1,20))),"")))</f>
        <v/>
      </c>
      <c r="E713">
        <f>IF($A713="","",IF(OR($B713="",$C713="",$D713="",$B713&lt;1300,$B713&gt;1500,$C713&lt;1,$C713&gt;12,$D713&lt;1,$D713&gt;31),"نامعتبر",RIGHT("0000"&amp;$B713,4)&amp;"/"&amp;RIGHT("00"&amp;$C713,2)&amp;"/"&amp;RIGHT("00"&amp;$D713,2)))</f>
        <v/>
      </c>
      <c r="F713">
        <f>IF(OR($E713="",$E713="نامعتبر"),"",IF(Sync!$Q710="","0000",IF(AND(ISNUMBER(Sync!$Q710),Sync!$Q710&gt;=0,Sync!$Q710&lt;1),RIGHT("00"&amp;HOUR(Sync!$Q710),2)&amp;RIGHT("00"&amp;MINUTE(Sync!$Q710),2),IFERROR(RIGHT("00"&amp;VALUE(LEFT(Sync!$Q710,FIND(":",Sync!$Q710)-1)),2)&amp;RIGHT("00"&amp;VALUE(MID(Sync!$Q710,FIND(":",Sync!$Q710)+1,2)),2),"0000"))))</f>
        <v/>
      </c>
      <c r="G713">
        <f>IF(OR($E713="",$E713="نامعتبر"),"",IF(Sync!$S710="","",Sync!$S710))</f>
        <v/>
      </c>
      <c r="H713">
        <f>IF(OR($E713="",$E713="نامعتبر"),"",IF(Sync!$R710="","",Sync!$R710))</f>
        <v/>
      </c>
      <c r="I713">
        <f>IF(OR($E713="",$E713="نامعتبر"),"",IF(Sync!$T710="","",Sync!$T710))</f>
        <v/>
      </c>
      <c r="J713">
        <f>IF(OR($E713="",$E713="نامعتبر"),"",IF(Sync!$U710="","",Sync!$U710))</f>
        <v/>
      </c>
      <c r="K713">
        <f>IF(OR($E713="",$E713="نامعتبر"),"",IF(Sync!$V710="","",IFERROR(INDEX(SubCodes,MATCH(Sync!$V710,SubTitles,0)),Sync!$V710)))</f>
        <v/>
      </c>
      <c r="L713">
        <f>IF(OR($E713="",$E713="نامعتبر"),"",IF(Sync!$W710="",0,Sync!$W710))</f>
        <v/>
      </c>
      <c r="M713">
        <f>IF(OR($E713="",$E713="نامعتبر"),"",IF(Sync!$X710="",0,Sync!$X710))</f>
        <v/>
      </c>
      <c r="N713">
        <f>IF(OR($E713="",$E713="نامعتبر"),"",IF(AND($J713="هزینه",$K713&lt;&gt;""),1,0))</f>
        <v/>
      </c>
      <c r="O713">
        <f>IF($N713=0,"",LEFT($E713,4)&amp;MID($E713,6,2)&amp;RIGHT($E713,2)&amp;$F713&amp;"|"&amp;"1"&amp;RIGHT("00000"&amp;705,5))</f>
        <v/>
      </c>
      <c r="P713">
        <f>IF($O713="","",COUNTIFS(ExpSub,$K713,ExpKey,"&lt;"&amp;$O713)+1)</f>
        <v/>
      </c>
      <c r="Q713">
        <f>IF($P713="","",$K713&amp;"|"&amp;RIGHT("000000"&amp;$P713,6))</f>
        <v/>
      </c>
    </row>
    <row r="714">
      <c r="A714">
        <f>IF(Sync!$P711="","",Sync!$P711)</f>
        <v/>
      </c>
      <c r="B714">
        <f>IF($A714="","",IF(ISNUMBER($A714),IF(AND($A714&gt;=10000101,$A714&lt;=99991231),INT($A714/10000),""),IFERROR(VALUE(TRIM(LEFT($A714,FIND("/",$A714)-1))),"")))</f>
        <v/>
      </c>
      <c r="C714">
        <f>IF(OR($A714="",$B714=""),"",IF(ISNUMBER($A714),INT(MOD($A714,10000)/100),IFERROR(VALUE(TRIM(LEFT(MID($A714,FIND("/",$A714)+1,20),FIND("/",MID($A714,FIND("/",$A714)+1,20))-1))),"")))</f>
        <v/>
      </c>
      <c r="D714">
        <f>IF(OR($A714="",$B714=""),"",IF(ISNUMBER($A714),MOD($A714,100),IFERROR(VALUE(TRIM(MID(MID($A714,FIND("/",$A714)+1,20),FIND("/",MID($A714,FIND("/",$A714)+1,20))+1,20))),"")))</f>
        <v/>
      </c>
      <c r="E714">
        <f>IF($A714="","",IF(OR($B714="",$C714="",$D714="",$B714&lt;1300,$B714&gt;1500,$C714&lt;1,$C714&gt;12,$D714&lt;1,$D714&gt;31),"نامعتبر",RIGHT("0000"&amp;$B714,4)&amp;"/"&amp;RIGHT("00"&amp;$C714,2)&amp;"/"&amp;RIGHT("00"&amp;$D714,2)))</f>
        <v/>
      </c>
      <c r="F714">
        <f>IF(OR($E714="",$E714="نامعتبر"),"",IF(Sync!$Q711="","0000",IF(AND(ISNUMBER(Sync!$Q711),Sync!$Q711&gt;=0,Sync!$Q711&lt;1),RIGHT("00"&amp;HOUR(Sync!$Q711),2)&amp;RIGHT("00"&amp;MINUTE(Sync!$Q711),2),IFERROR(RIGHT("00"&amp;VALUE(LEFT(Sync!$Q711,FIND(":",Sync!$Q711)-1)),2)&amp;RIGHT("00"&amp;VALUE(MID(Sync!$Q711,FIND(":",Sync!$Q711)+1,2)),2),"0000"))))</f>
        <v/>
      </c>
      <c r="G714">
        <f>IF(OR($E714="",$E714="نامعتبر"),"",IF(Sync!$S711="","",Sync!$S711))</f>
        <v/>
      </c>
      <c r="H714">
        <f>IF(OR($E714="",$E714="نامعتبر"),"",IF(Sync!$R711="","",Sync!$R711))</f>
        <v/>
      </c>
      <c r="I714">
        <f>IF(OR($E714="",$E714="نامعتبر"),"",IF(Sync!$T711="","",Sync!$T711))</f>
        <v/>
      </c>
      <c r="J714">
        <f>IF(OR($E714="",$E714="نامعتبر"),"",IF(Sync!$U711="","",Sync!$U711))</f>
        <v/>
      </c>
      <c r="K714">
        <f>IF(OR($E714="",$E714="نامعتبر"),"",IF(Sync!$V711="","",IFERROR(INDEX(SubCodes,MATCH(Sync!$V711,SubTitles,0)),Sync!$V711)))</f>
        <v/>
      </c>
      <c r="L714">
        <f>IF(OR($E714="",$E714="نامعتبر"),"",IF(Sync!$W711="",0,Sync!$W711))</f>
        <v/>
      </c>
      <c r="M714">
        <f>IF(OR($E714="",$E714="نامعتبر"),"",IF(Sync!$X711="",0,Sync!$X711))</f>
        <v/>
      </c>
      <c r="N714">
        <f>IF(OR($E714="",$E714="نامعتبر"),"",IF(AND($J714="هزینه",$K714&lt;&gt;""),1,0))</f>
        <v/>
      </c>
      <c r="O714">
        <f>IF($N714=0,"",LEFT($E714,4)&amp;MID($E714,6,2)&amp;RIGHT($E714,2)&amp;$F714&amp;"|"&amp;"1"&amp;RIGHT("00000"&amp;706,5))</f>
        <v/>
      </c>
      <c r="P714">
        <f>IF($O714="","",COUNTIFS(ExpSub,$K714,ExpKey,"&lt;"&amp;$O714)+1)</f>
        <v/>
      </c>
      <c r="Q714">
        <f>IF($P714="","",$K714&amp;"|"&amp;RIGHT("000000"&amp;$P714,6))</f>
        <v/>
      </c>
    </row>
    <row r="715">
      <c r="A715">
        <f>IF(Sync!$P712="","",Sync!$P712)</f>
        <v/>
      </c>
      <c r="B715">
        <f>IF($A715="","",IF(ISNUMBER($A715),IF(AND($A715&gt;=10000101,$A715&lt;=99991231),INT($A715/10000),""),IFERROR(VALUE(TRIM(LEFT($A715,FIND("/",$A715)-1))),"")))</f>
        <v/>
      </c>
      <c r="C715">
        <f>IF(OR($A715="",$B715=""),"",IF(ISNUMBER($A715),INT(MOD($A715,10000)/100),IFERROR(VALUE(TRIM(LEFT(MID($A715,FIND("/",$A715)+1,20),FIND("/",MID($A715,FIND("/",$A715)+1,20))-1))),"")))</f>
        <v/>
      </c>
      <c r="D715">
        <f>IF(OR($A715="",$B715=""),"",IF(ISNUMBER($A715),MOD($A715,100),IFERROR(VALUE(TRIM(MID(MID($A715,FIND("/",$A715)+1,20),FIND("/",MID($A715,FIND("/",$A715)+1,20))+1,20))),"")))</f>
        <v/>
      </c>
      <c r="E715">
        <f>IF($A715="","",IF(OR($B715="",$C715="",$D715="",$B715&lt;1300,$B715&gt;1500,$C715&lt;1,$C715&gt;12,$D715&lt;1,$D715&gt;31),"نامعتبر",RIGHT("0000"&amp;$B715,4)&amp;"/"&amp;RIGHT("00"&amp;$C715,2)&amp;"/"&amp;RIGHT("00"&amp;$D715,2)))</f>
        <v/>
      </c>
      <c r="F715">
        <f>IF(OR($E715="",$E715="نامعتبر"),"",IF(Sync!$Q712="","0000",IF(AND(ISNUMBER(Sync!$Q712),Sync!$Q712&gt;=0,Sync!$Q712&lt;1),RIGHT("00"&amp;HOUR(Sync!$Q712),2)&amp;RIGHT("00"&amp;MINUTE(Sync!$Q712),2),IFERROR(RIGHT("00"&amp;VALUE(LEFT(Sync!$Q712,FIND(":",Sync!$Q712)-1)),2)&amp;RIGHT("00"&amp;VALUE(MID(Sync!$Q712,FIND(":",Sync!$Q712)+1,2)),2),"0000"))))</f>
        <v/>
      </c>
      <c r="G715">
        <f>IF(OR($E715="",$E715="نامعتبر"),"",IF(Sync!$S712="","",Sync!$S712))</f>
        <v/>
      </c>
      <c r="H715">
        <f>IF(OR($E715="",$E715="نامعتبر"),"",IF(Sync!$R712="","",Sync!$R712))</f>
        <v/>
      </c>
      <c r="I715">
        <f>IF(OR($E715="",$E715="نامعتبر"),"",IF(Sync!$T712="","",Sync!$T712))</f>
        <v/>
      </c>
      <c r="J715">
        <f>IF(OR($E715="",$E715="نامعتبر"),"",IF(Sync!$U712="","",Sync!$U712))</f>
        <v/>
      </c>
      <c r="K715">
        <f>IF(OR($E715="",$E715="نامعتبر"),"",IF(Sync!$V712="","",IFERROR(INDEX(SubCodes,MATCH(Sync!$V712,SubTitles,0)),Sync!$V712)))</f>
        <v/>
      </c>
      <c r="L715">
        <f>IF(OR($E715="",$E715="نامعتبر"),"",IF(Sync!$W712="",0,Sync!$W712))</f>
        <v/>
      </c>
      <c r="M715">
        <f>IF(OR($E715="",$E715="نامعتبر"),"",IF(Sync!$X712="",0,Sync!$X712))</f>
        <v/>
      </c>
      <c r="N715">
        <f>IF(OR($E715="",$E715="نامعتبر"),"",IF(AND($J715="هزینه",$K715&lt;&gt;""),1,0))</f>
        <v/>
      </c>
      <c r="O715">
        <f>IF($N715=0,"",LEFT($E715,4)&amp;MID($E715,6,2)&amp;RIGHT($E715,2)&amp;$F715&amp;"|"&amp;"1"&amp;RIGHT("00000"&amp;707,5))</f>
        <v/>
      </c>
      <c r="P715">
        <f>IF($O715="","",COUNTIFS(ExpSub,$K715,ExpKey,"&lt;"&amp;$O715)+1)</f>
        <v/>
      </c>
      <c r="Q715">
        <f>IF($P715="","",$K715&amp;"|"&amp;RIGHT("000000"&amp;$P715,6))</f>
        <v/>
      </c>
    </row>
    <row r="716">
      <c r="A716">
        <f>IF(Sync!$P713="","",Sync!$P713)</f>
        <v/>
      </c>
      <c r="B716">
        <f>IF($A716="","",IF(ISNUMBER($A716),IF(AND($A716&gt;=10000101,$A716&lt;=99991231),INT($A716/10000),""),IFERROR(VALUE(TRIM(LEFT($A716,FIND("/",$A716)-1))),"")))</f>
        <v/>
      </c>
      <c r="C716">
        <f>IF(OR($A716="",$B716=""),"",IF(ISNUMBER($A716),INT(MOD($A716,10000)/100),IFERROR(VALUE(TRIM(LEFT(MID($A716,FIND("/",$A716)+1,20),FIND("/",MID($A716,FIND("/",$A716)+1,20))-1))),"")))</f>
        <v/>
      </c>
      <c r="D716">
        <f>IF(OR($A716="",$B716=""),"",IF(ISNUMBER($A716),MOD($A716,100),IFERROR(VALUE(TRIM(MID(MID($A716,FIND("/",$A716)+1,20),FIND("/",MID($A716,FIND("/",$A716)+1,20))+1,20))),"")))</f>
        <v/>
      </c>
      <c r="E716">
        <f>IF($A716="","",IF(OR($B716="",$C716="",$D716="",$B716&lt;1300,$B716&gt;1500,$C716&lt;1,$C716&gt;12,$D716&lt;1,$D716&gt;31),"نامعتبر",RIGHT("0000"&amp;$B716,4)&amp;"/"&amp;RIGHT("00"&amp;$C716,2)&amp;"/"&amp;RIGHT("00"&amp;$D716,2)))</f>
        <v/>
      </c>
      <c r="F716">
        <f>IF(OR($E716="",$E716="نامعتبر"),"",IF(Sync!$Q713="","0000",IF(AND(ISNUMBER(Sync!$Q713),Sync!$Q713&gt;=0,Sync!$Q713&lt;1),RIGHT("00"&amp;HOUR(Sync!$Q713),2)&amp;RIGHT("00"&amp;MINUTE(Sync!$Q713),2),IFERROR(RIGHT("00"&amp;VALUE(LEFT(Sync!$Q713,FIND(":",Sync!$Q713)-1)),2)&amp;RIGHT("00"&amp;VALUE(MID(Sync!$Q713,FIND(":",Sync!$Q713)+1,2)),2),"0000"))))</f>
        <v/>
      </c>
      <c r="G716">
        <f>IF(OR($E716="",$E716="نامعتبر"),"",IF(Sync!$S713="","",Sync!$S713))</f>
        <v/>
      </c>
      <c r="H716">
        <f>IF(OR($E716="",$E716="نامعتبر"),"",IF(Sync!$R713="","",Sync!$R713))</f>
        <v/>
      </c>
      <c r="I716">
        <f>IF(OR($E716="",$E716="نامعتبر"),"",IF(Sync!$T713="","",Sync!$T713))</f>
        <v/>
      </c>
      <c r="J716">
        <f>IF(OR($E716="",$E716="نامعتبر"),"",IF(Sync!$U713="","",Sync!$U713))</f>
        <v/>
      </c>
      <c r="K716">
        <f>IF(OR($E716="",$E716="نامعتبر"),"",IF(Sync!$V713="","",IFERROR(INDEX(SubCodes,MATCH(Sync!$V713,SubTitles,0)),Sync!$V713)))</f>
        <v/>
      </c>
      <c r="L716">
        <f>IF(OR($E716="",$E716="نامعتبر"),"",IF(Sync!$W713="",0,Sync!$W713))</f>
        <v/>
      </c>
      <c r="M716">
        <f>IF(OR($E716="",$E716="نامعتبر"),"",IF(Sync!$X713="",0,Sync!$X713))</f>
        <v/>
      </c>
      <c r="N716">
        <f>IF(OR($E716="",$E716="نامعتبر"),"",IF(AND($J716="هزینه",$K716&lt;&gt;""),1,0))</f>
        <v/>
      </c>
      <c r="O716">
        <f>IF($N716=0,"",LEFT($E716,4)&amp;MID($E716,6,2)&amp;RIGHT($E716,2)&amp;$F716&amp;"|"&amp;"1"&amp;RIGHT("00000"&amp;708,5))</f>
        <v/>
      </c>
      <c r="P716">
        <f>IF($O716="","",COUNTIFS(ExpSub,$K716,ExpKey,"&lt;"&amp;$O716)+1)</f>
        <v/>
      </c>
      <c r="Q716">
        <f>IF($P716="","",$K716&amp;"|"&amp;RIGHT("000000"&amp;$P716,6))</f>
        <v/>
      </c>
    </row>
    <row r="717">
      <c r="A717">
        <f>IF(Sync!$P714="","",Sync!$P714)</f>
        <v/>
      </c>
      <c r="B717">
        <f>IF($A717="","",IF(ISNUMBER($A717),IF(AND($A717&gt;=10000101,$A717&lt;=99991231),INT($A717/10000),""),IFERROR(VALUE(TRIM(LEFT($A717,FIND("/",$A717)-1))),"")))</f>
        <v/>
      </c>
      <c r="C717">
        <f>IF(OR($A717="",$B717=""),"",IF(ISNUMBER($A717),INT(MOD($A717,10000)/100),IFERROR(VALUE(TRIM(LEFT(MID($A717,FIND("/",$A717)+1,20),FIND("/",MID($A717,FIND("/",$A717)+1,20))-1))),"")))</f>
        <v/>
      </c>
      <c r="D717">
        <f>IF(OR($A717="",$B717=""),"",IF(ISNUMBER($A717),MOD($A717,100),IFERROR(VALUE(TRIM(MID(MID($A717,FIND("/",$A717)+1,20),FIND("/",MID($A717,FIND("/",$A717)+1,20))+1,20))),"")))</f>
        <v/>
      </c>
      <c r="E717">
        <f>IF($A717="","",IF(OR($B717="",$C717="",$D717="",$B717&lt;1300,$B717&gt;1500,$C717&lt;1,$C717&gt;12,$D717&lt;1,$D717&gt;31),"نامعتبر",RIGHT("0000"&amp;$B717,4)&amp;"/"&amp;RIGHT("00"&amp;$C717,2)&amp;"/"&amp;RIGHT("00"&amp;$D717,2)))</f>
        <v/>
      </c>
      <c r="F717">
        <f>IF(OR($E717="",$E717="نامعتبر"),"",IF(Sync!$Q714="","0000",IF(AND(ISNUMBER(Sync!$Q714),Sync!$Q714&gt;=0,Sync!$Q714&lt;1),RIGHT("00"&amp;HOUR(Sync!$Q714),2)&amp;RIGHT("00"&amp;MINUTE(Sync!$Q714),2),IFERROR(RIGHT("00"&amp;VALUE(LEFT(Sync!$Q714,FIND(":",Sync!$Q714)-1)),2)&amp;RIGHT("00"&amp;VALUE(MID(Sync!$Q714,FIND(":",Sync!$Q714)+1,2)),2),"0000"))))</f>
        <v/>
      </c>
      <c r="G717">
        <f>IF(OR($E717="",$E717="نامعتبر"),"",IF(Sync!$S714="","",Sync!$S714))</f>
        <v/>
      </c>
      <c r="H717">
        <f>IF(OR($E717="",$E717="نامعتبر"),"",IF(Sync!$R714="","",Sync!$R714))</f>
        <v/>
      </c>
      <c r="I717">
        <f>IF(OR($E717="",$E717="نامعتبر"),"",IF(Sync!$T714="","",Sync!$T714))</f>
        <v/>
      </c>
      <c r="J717">
        <f>IF(OR($E717="",$E717="نامعتبر"),"",IF(Sync!$U714="","",Sync!$U714))</f>
        <v/>
      </c>
      <c r="K717">
        <f>IF(OR($E717="",$E717="نامعتبر"),"",IF(Sync!$V714="","",IFERROR(INDEX(SubCodes,MATCH(Sync!$V714,SubTitles,0)),Sync!$V714)))</f>
        <v/>
      </c>
      <c r="L717">
        <f>IF(OR($E717="",$E717="نامعتبر"),"",IF(Sync!$W714="",0,Sync!$W714))</f>
        <v/>
      </c>
      <c r="M717">
        <f>IF(OR($E717="",$E717="نامعتبر"),"",IF(Sync!$X714="",0,Sync!$X714))</f>
        <v/>
      </c>
      <c r="N717">
        <f>IF(OR($E717="",$E717="نامعتبر"),"",IF(AND($J717="هزینه",$K717&lt;&gt;""),1,0))</f>
        <v/>
      </c>
      <c r="O717">
        <f>IF($N717=0,"",LEFT($E717,4)&amp;MID($E717,6,2)&amp;RIGHT($E717,2)&amp;$F717&amp;"|"&amp;"1"&amp;RIGHT("00000"&amp;709,5))</f>
        <v/>
      </c>
      <c r="P717">
        <f>IF($O717="","",COUNTIFS(ExpSub,$K717,ExpKey,"&lt;"&amp;$O717)+1)</f>
        <v/>
      </c>
      <c r="Q717">
        <f>IF($P717="","",$K717&amp;"|"&amp;RIGHT("000000"&amp;$P717,6))</f>
        <v/>
      </c>
    </row>
    <row r="718">
      <c r="A718">
        <f>IF(Sync!$P715="","",Sync!$P715)</f>
        <v/>
      </c>
      <c r="B718">
        <f>IF($A718="","",IF(ISNUMBER($A718),IF(AND($A718&gt;=10000101,$A718&lt;=99991231),INT($A718/10000),""),IFERROR(VALUE(TRIM(LEFT($A718,FIND("/",$A718)-1))),"")))</f>
        <v/>
      </c>
      <c r="C718">
        <f>IF(OR($A718="",$B718=""),"",IF(ISNUMBER($A718),INT(MOD($A718,10000)/100),IFERROR(VALUE(TRIM(LEFT(MID($A718,FIND("/",$A718)+1,20),FIND("/",MID($A718,FIND("/",$A718)+1,20))-1))),"")))</f>
        <v/>
      </c>
      <c r="D718">
        <f>IF(OR($A718="",$B718=""),"",IF(ISNUMBER($A718),MOD($A718,100),IFERROR(VALUE(TRIM(MID(MID($A718,FIND("/",$A718)+1,20),FIND("/",MID($A718,FIND("/",$A718)+1,20))+1,20))),"")))</f>
        <v/>
      </c>
      <c r="E718">
        <f>IF($A718="","",IF(OR($B718="",$C718="",$D718="",$B718&lt;1300,$B718&gt;1500,$C718&lt;1,$C718&gt;12,$D718&lt;1,$D718&gt;31),"نامعتبر",RIGHT("0000"&amp;$B718,4)&amp;"/"&amp;RIGHT("00"&amp;$C718,2)&amp;"/"&amp;RIGHT("00"&amp;$D718,2)))</f>
        <v/>
      </c>
      <c r="F718">
        <f>IF(OR($E718="",$E718="نامعتبر"),"",IF(Sync!$Q715="","0000",IF(AND(ISNUMBER(Sync!$Q715),Sync!$Q715&gt;=0,Sync!$Q715&lt;1),RIGHT("00"&amp;HOUR(Sync!$Q715),2)&amp;RIGHT("00"&amp;MINUTE(Sync!$Q715),2),IFERROR(RIGHT("00"&amp;VALUE(LEFT(Sync!$Q715,FIND(":",Sync!$Q715)-1)),2)&amp;RIGHT("00"&amp;VALUE(MID(Sync!$Q715,FIND(":",Sync!$Q715)+1,2)),2),"0000"))))</f>
        <v/>
      </c>
      <c r="G718">
        <f>IF(OR($E718="",$E718="نامعتبر"),"",IF(Sync!$S715="","",Sync!$S715))</f>
        <v/>
      </c>
      <c r="H718">
        <f>IF(OR($E718="",$E718="نامعتبر"),"",IF(Sync!$R715="","",Sync!$R715))</f>
        <v/>
      </c>
      <c r="I718">
        <f>IF(OR($E718="",$E718="نامعتبر"),"",IF(Sync!$T715="","",Sync!$T715))</f>
        <v/>
      </c>
      <c r="J718">
        <f>IF(OR($E718="",$E718="نامعتبر"),"",IF(Sync!$U715="","",Sync!$U715))</f>
        <v/>
      </c>
      <c r="K718">
        <f>IF(OR($E718="",$E718="نامعتبر"),"",IF(Sync!$V715="","",IFERROR(INDEX(SubCodes,MATCH(Sync!$V715,SubTitles,0)),Sync!$V715)))</f>
        <v/>
      </c>
      <c r="L718">
        <f>IF(OR($E718="",$E718="نامعتبر"),"",IF(Sync!$W715="",0,Sync!$W715))</f>
        <v/>
      </c>
      <c r="M718">
        <f>IF(OR($E718="",$E718="نامعتبر"),"",IF(Sync!$X715="",0,Sync!$X715))</f>
        <v/>
      </c>
      <c r="N718">
        <f>IF(OR($E718="",$E718="نامعتبر"),"",IF(AND($J718="هزینه",$K718&lt;&gt;""),1,0))</f>
        <v/>
      </c>
      <c r="O718">
        <f>IF($N718=0,"",LEFT($E718,4)&amp;MID($E718,6,2)&amp;RIGHT($E718,2)&amp;$F718&amp;"|"&amp;"1"&amp;RIGHT("00000"&amp;710,5))</f>
        <v/>
      </c>
      <c r="P718">
        <f>IF($O718="","",COUNTIFS(ExpSub,$K718,ExpKey,"&lt;"&amp;$O718)+1)</f>
        <v/>
      </c>
      <c r="Q718">
        <f>IF($P718="","",$K718&amp;"|"&amp;RIGHT("000000"&amp;$P718,6))</f>
        <v/>
      </c>
    </row>
    <row r="719">
      <c r="A719">
        <f>IF(Sync!$P716="","",Sync!$P716)</f>
        <v/>
      </c>
      <c r="B719">
        <f>IF($A719="","",IF(ISNUMBER($A719),IF(AND($A719&gt;=10000101,$A719&lt;=99991231),INT($A719/10000),""),IFERROR(VALUE(TRIM(LEFT($A719,FIND("/",$A719)-1))),"")))</f>
        <v/>
      </c>
      <c r="C719">
        <f>IF(OR($A719="",$B719=""),"",IF(ISNUMBER($A719),INT(MOD($A719,10000)/100),IFERROR(VALUE(TRIM(LEFT(MID($A719,FIND("/",$A719)+1,20),FIND("/",MID($A719,FIND("/",$A719)+1,20))-1))),"")))</f>
        <v/>
      </c>
      <c r="D719">
        <f>IF(OR($A719="",$B719=""),"",IF(ISNUMBER($A719),MOD($A719,100),IFERROR(VALUE(TRIM(MID(MID($A719,FIND("/",$A719)+1,20),FIND("/",MID($A719,FIND("/",$A719)+1,20))+1,20))),"")))</f>
        <v/>
      </c>
      <c r="E719">
        <f>IF($A719="","",IF(OR($B719="",$C719="",$D719="",$B719&lt;1300,$B719&gt;1500,$C719&lt;1,$C719&gt;12,$D719&lt;1,$D719&gt;31),"نامعتبر",RIGHT("0000"&amp;$B719,4)&amp;"/"&amp;RIGHT("00"&amp;$C719,2)&amp;"/"&amp;RIGHT("00"&amp;$D719,2)))</f>
        <v/>
      </c>
      <c r="F719">
        <f>IF(OR($E719="",$E719="نامعتبر"),"",IF(Sync!$Q716="","0000",IF(AND(ISNUMBER(Sync!$Q716),Sync!$Q716&gt;=0,Sync!$Q716&lt;1),RIGHT("00"&amp;HOUR(Sync!$Q716),2)&amp;RIGHT("00"&amp;MINUTE(Sync!$Q716),2),IFERROR(RIGHT("00"&amp;VALUE(LEFT(Sync!$Q716,FIND(":",Sync!$Q716)-1)),2)&amp;RIGHT("00"&amp;VALUE(MID(Sync!$Q716,FIND(":",Sync!$Q716)+1,2)),2),"0000"))))</f>
        <v/>
      </c>
      <c r="G719">
        <f>IF(OR($E719="",$E719="نامعتبر"),"",IF(Sync!$S716="","",Sync!$S716))</f>
        <v/>
      </c>
      <c r="H719">
        <f>IF(OR($E719="",$E719="نامعتبر"),"",IF(Sync!$R716="","",Sync!$R716))</f>
        <v/>
      </c>
      <c r="I719">
        <f>IF(OR($E719="",$E719="نامعتبر"),"",IF(Sync!$T716="","",Sync!$T716))</f>
        <v/>
      </c>
      <c r="J719">
        <f>IF(OR($E719="",$E719="نامعتبر"),"",IF(Sync!$U716="","",Sync!$U716))</f>
        <v/>
      </c>
      <c r="K719">
        <f>IF(OR($E719="",$E719="نامعتبر"),"",IF(Sync!$V716="","",IFERROR(INDEX(SubCodes,MATCH(Sync!$V716,SubTitles,0)),Sync!$V716)))</f>
        <v/>
      </c>
      <c r="L719">
        <f>IF(OR($E719="",$E719="نامعتبر"),"",IF(Sync!$W716="",0,Sync!$W716))</f>
        <v/>
      </c>
      <c r="M719">
        <f>IF(OR($E719="",$E719="نامعتبر"),"",IF(Sync!$X716="",0,Sync!$X716))</f>
        <v/>
      </c>
      <c r="N719">
        <f>IF(OR($E719="",$E719="نامعتبر"),"",IF(AND($J719="هزینه",$K719&lt;&gt;""),1,0))</f>
        <v/>
      </c>
      <c r="O719">
        <f>IF($N719=0,"",LEFT($E719,4)&amp;MID($E719,6,2)&amp;RIGHT($E719,2)&amp;$F719&amp;"|"&amp;"1"&amp;RIGHT("00000"&amp;711,5))</f>
        <v/>
      </c>
      <c r="P719">
        <f>IF($O719="","",COUNTIFS(ExpSub,$K719,ExpKey,"&lt;"&amp;$O719)+1)</f>
        <v/>
      </c>
      <c r="Q719">
        <f>IF($P719="","",$K719&amp;"|"&amp;RIGHT("000000"&amp;$P719,6))</f>
        <v/>
      </c>
    </row>
    <row r="720">
      <c r="A720">
        <f>IF(Sync!$P717="","",Sync!$P717)</f>
        <v/>
      </c>
      <c r="B720">
        <f>IF($A720="","",IF(ISNUMBER($A720),IF(AND($A720&gt;=10000101,$A720&lt;=99991231),INT($A720/10000),""),IFERROR(VALUE(TRIM(LEFT($A720,FIND("/",$A720)-1))),"")))</f>
        <v/>
      </c>
      <c r="C720">
        <f>IF(OR($A720="",$B720=""),"",IF(ISNUMBER($A720),INT(MOD($A720,10000)/100),IFERROR(VALUE(TRIM(LEFT(MID($A720,FIND("/",$A720)+1,20),FIND("/",MID($A720,FIND("/",$A720)+1,20))-1))),"")))</f>
        <v/>
      </c>
      <c r="D720">
        <f>IF(OR($A720="",$B720=""),"",IF(ISNUMBER($A720),MOD($A720,100),IFERROR(VALUE(TRIM(MID(MID($A720,FIND("/",$A720)+1,20),FIND("/",MID($A720,FIND("/",$A720)+1,20))+1,20))),"")))</f>
        <v/>
      </c>
      <c r="E720">
        <f>IF($A720="","",IF(OR($B720="",$C720="",$D720="",$B720&lt;1300,$B720&gt;1500,$C720&lt;1,$C720&gt;12,$D720&lt;1,$D720&gt;31),"نامعتبر",RIGHT("0000"&amp;$B720,4)&amp;"/"&amp;RIGHT("00"&amp;$C720,2)&amp;"/"&amp;RIGHT("00"&amp;$D720,2)))</f>
        <v/>
      </c>
      <c r="F720">
        <f>IF(OR($E720="",$E720="نامعتبر"),"",IF(Sync!$Q717="","0000",IF(AND(ISNUMBER(Sync!$Q717),Sync!$Q717&gt;=0,Sync!$Q717&lt;1),RIGHT("00"&amp;HOUR(Sync!$Q717),2)&amp;RIGHT("00"&amp;MINUTE(Sync!$Q717),2),IFERROR(RIGHT("00"&amp;VALUE(LEFT(Sync!$Q717,FIND(":",Sync!$Q717)-1)),2)&amp;RIGHT("00"&amp;VALUE(MID(Sync!$Q717,FIND(":",Sync!$Q717)+1,2)),2),"0000"))))</f>
        <v/>
      </c>
      <c r="G720">
        <f>IF(OR($E720="",$E720="نامعتبر"),"",IF(Sync!$S717="","",Sync!$S717))</f>
        <v/>
      </c>
      <c r="H720">
        <f>IF(OR($E720="",$E720="نامعتبر"),"",IF(Sync!$R717="","",Sync!$R717))</f>
        <v/>
      </c>
      <c r="I720">
        <f>IF(OR($E720="",$E720="نامعتبر"),"",IF(Sync!$T717="","",Sync!$T717))</f>
        <v/>
      </c>
      <c r="J720">
        <f>IF(OR($E720="",$E720="نامعتبر"),"",IF(Sync!$U717="","",Sync!$U717))</f>
        <v/>
      </c>
      <c r="K720">
        <f>IF(OR($E720="",$E720="نامعتبر"),"",IF(Sync!$V717="","",IFERROR(INDEX(SubCodes,MATCH(Sync!$V717,SubTitles,0)),Sync!$V717)))</f>
        <v/>
      </c>
      <c r="L720">
        <f>IF(OR($E720="",$E720="نامعتبر"),"",IF(Sync!$W717="",0,Sync!$W717))</f>
        <v/>
      </c>
      <c r="M720">
        <f>IF(OR($E720="",$E720="نامعتبر"),"",IF(Sync!$X717="",0,Sync!$X717))</f>
        <v/>
      </c>
      <c r="N720">
        <f>IF(OR($E720="",$E720="نامعتبر"),"",IF(AND($J720="هزینه",$K720&lt;&gt;""),1,0))</f>
        <v/>
      </c>
      <c r="O720">
        <f>IF($N720=0,"",LEFT($E720,4)&amp;MID($E720,6,2)&amp;RIGHT($E720,2)&amp;$F720&amp;"|"&amp;"1"&amp;RIGHT("00000"&amp;712,5))</f>
        <v/>
      </c>
      <c r="P720">
        <f>IF($O720="","",COUNTIFS(ExpSub,$K720,ExpKey,"&lt;"&amp;$O720)+1)</f>
        <v/>
      </c>
      <c r="Q720">
        <f>IF($P720="","",$K720&amp;"|"&amp;RIGHT("000000"&amp;$P720,6))</f>
        <v/>
      </c>
    </row>
    <row r="721">
      <c r="A721">
        <f>IF(Sync!$P718="","",Sync!$P718)</f>
        <v/>
      </c>
      <c r="B721">
        <f>IF($A721="","",IF(ISNUMBER($A721),IF(AND($A721&gt;=10000101,$A721&lt;=99991231),INT($A721/10000),""),IFERROR(VALUE(TRIM(LEFT($A721,FIND("/",$A721)-1))),"")))</f>
        <v/>
      </c>
      <c r="C721">
        <f>IF(OR($A721="",$B721=""),"",IF(ISNUMBER($A721),INT(MOD($A721,10000)/100),IFERROR(VALUE(TRIM(LEFT(MID($A721,FIND("/",$A721)+1,20),FIND("/",MID($A721,FIND("/",$A721)+1,20))-1))),"")))</f>
        <v/>
      </c>
      <c r="D721">
        <f>IF(OR($A721="",$B721=""),"",IF(ISNUMBER($A721),MOD($A721,100),IFERROR(VALUE(TRIM(MID(MID($A721,FIND("/",$A721)+1,20),FIND("/",MID($A721,FIND("/",$A721)+1,20))+1,20))),"")))</f>
        <v/>
      </c>
      <c r="E721">
        <f>IF($A721="","",IF(OR($B721="",$C721="",$D721="",$B721&lt;1300,$B721&gt;1500,$C721&lt;1,$C721&gt;12,$D721&lt;1,$D721&gt;31),"نامعتبر",RIGHT("0000"&amp;$B721,4)&amp;"/"&amp;RIGHT("00"&amp;$C721,2)&amp;"/"&amp;RIGHT("00"&amp;$D721,2)))</f>
        <v/>
      </c>
      <c r="F721">
        <f>IF(OR($E721="",$E721="نامعتبر"),"",IF(Sync!$Q718="","0000",IF(AND(ISNUMBER(Sync!$Q718),Sync!$Q718&gt;=0,Sync!$Q718&lt;1),RIGHT("00"&amp;HOUR(Sync!$Q718),2)&amp;RIGHT("00"&amp;MINUTE(Sync!$Q718),2),IFERROR(RIGHT("00"&amp;VALUE(LEFT(Sync!$Q718,FIND(":",Sync!$Q718)-1)),2)&amp;RIGHT("00"&amp;VALUE(MID(Sync!$Q718,FIND(":",Sync!$Q718)+1,2)),2),"0000"))))</f>
        <v/>
      </c>
      <c r="G721">
        <f>IF(OR($E721="",$E721="نامعتبر"),"",IF(Sync!$S718="","",Sync!$S718))</f>
        <v/>
      </c>
      <c r="H721">
        <f>IF(OR($E721="",$E721="نامعتبر"),"",IF(Sync!$R718="","",Sync!$R718))</f>
        <v/>
      </c>
      <c r="I721">
        <f>IF(OR($E721="",$E721="نامعتبر"),"",IF(Sync!$T718="","",Sync!$T718))</f>
        <v/>
      </c>
      <c r="J721">
        <f>IF(OR($E721="",$E721="نامعتبر"),"",IF(Sync!$U718="","",Sync!$U718))</f>
        <v/>
      </c>
      <c r="K721">
        <f>IF(OR($E721="",$E721="نامعتبر"),"",IF(Sync!$V718="","",IFERROR(INDEX(SubCodes,MATCH(Sync!$V718,SubTitles,0)),Sync!$V718)))</f>
        <v/>
      </c>
      <c r="L721">
        <f>IF(OR($E721="",$E721="نامعتبر"),"",IF(Sync!$W718="",0,Sync!$W718))</f>
        <v/>
      </c>
      <c r="M721">
        <f>IF(OR($E721="",$E721="نامعتبر"),"",IF(Sync!$X718="",0,Sync!$X718))</f>
        <v/>
      </c>
      <c r="N721">
        <f>IF(OR($E721="",$E721="نامعتبر"),"",IF(AND($J721="هزینه",$K721&lt;&gt;""),1,0))</f>
        <v/>
      </c>
      <c r="O721">
        <f>IF($N721=0,"",LEFT($E721,4)&amp;MID($E721,6,2)&amp;RIGHT($E721,2)&amp;$F721&amp;"|"&amp;"1"&amp;RIGHT("00000"&amp;713,5))</f>
        <v/>
      </c>
      <c r="P721">
        <f>IF($O721="","",COUNTIFS(ExpSub,$K721,ExpKey,"&lt;"&amp;$O721)+1)</f>
        <v/>
      </c>
      <c r="Q721">
        <f>IF($P721="","",$K721&amp;"|"&amp;RIGHT("000000"&amp;$P721,6))</f>
        <v/>
      </c>
    </row>
    <row r="722">
      <c r="A722">
        <f>IF(Sync!$P719="","",Sync!$P719)</f>
        <v/>
      </c>
      <c r="B722">
        <f>IF($A722="","",IF(ISNUMBER($A722),IF(AND($A722&gt;=10000101,$A722&lt;=99991231),INT($A722/10000),""),IFERROR(VALUE(TRIM(LEFT($A722,FIND("/",$A722)-1))),"")))</f>
        <v/>
      </c>
      <c r="C722">
        <f>IF(OR($A722="",$B722=""),"",IF(ISNUMBER($A722),INT(MOD($A722,10000)/100),IFERROR(VALUE(TRIM(LEFT(MID($A722,FIND("/",$A722)+1,20),FIND("/",MID($A722,FIND("/",$A722)+1,20))-1))),"")))</f>
        <v/>
      </c>
      <c r="D722">
        <f>IF(OR($A722="",$B722=""),"",IF(ISNUMBER($A722),MOD($A722,100),IFERROR(VALUE(TRIM(MID(MID($A722,FIND("/",$A722)+1,20),FIND("/",MID($A722,FIND("/",$A722)+1,20))+1,20))),"")))</f>
        <v/>
      </c>
      <c r="E722">
        <f>IF($A722="","",IF(OR($B722="",$C722="",$D722="",$B722&lt;1300,$B722&gt;1500,$C722&lt;1,$C722&gt;12,$D722&lt;1,$D722&gt;31),"نامعتبر",RIGHT("0000"&amp;$B722,4)&amp;"/"&amp;RIGHT("00"&amp;$C722,2)&amp;"/"&amp;RIGHT("00"&amp;$D722,2)))</f>
        <v/>
      </c>
      <c r="F722">
        <f>IF(OR($E722="",$E722="نامعتبر"),"",IF(Sync!$Q719="","0000",IF(AND(ISNUMBER(Sync!$Q719),Sync!$Q719&gt;=0,Sync!$Q719&lt;1),RIGHT("00"&amp;HOUR(Sync!$Q719),2)&amp;RIGHT("00"&amp;MINUTE(Sync!$Q719),2),IFERROR(RIGHT("00"&amp;VALUE(LEFT(Sync!$Q719,FIND(":",Sync!$Q719)-1)),2)&amp;RIGHT("00"&amp;VALUE(MID(Sync!$Q719,FIND(":",Sync!$Q719)+1,2)),2),"0000"))))</f>
        <v/>
      </c>
      <c r="G722">
        <f>IF(OR($E722="",$E722="نامعتبر"),"",IF(Sync!$S719="","",Sync!$S719))</f>
        <v/>
      </c>
      <c r="H722">
        <f>IF(OR($E722="",$E722="نامعتبر"),"",IF(Sync!$R719="","",Sync!$R719))</f>
        <v/>
      </c>
      <c r="I722">
        <f>IF(OR($E722="",$E722="نامعتبر"),"",IF(Sync!$T719="","",Sync!$T719))</f>
        <v/>
      </c>
      <c r="J722">
        <f>IF(OR($E722="",$E722="نامعتبر"),"",IF(Sync!$U719="","",Sync!$U719))</f>
        <v/>
      </c>
      <c r="K722">
        <f>IF(OR($E722="",$E722="نامعتبر"),"",IF(Sync!$V719="","",IFERROR(INDEX(SubCodes,MATCH(Sync!$V719,SubTitles,0)),Sync!$V719)))</f>
        <v/>
      </c>
      <c r="L722">
        <f>IF(OR($E722="",$E722="نامعتبر"),"",IF(Sync!$W719="",0,Sync!$W719))</f>
        <v/>
      </c>
      <c r="M722">
        <f>IF(OR($E722="",$E722="نامعتبر"),"",IF(Sync!$X719="",0,Sync!$X719))</f>
        <v/>
      </c>
      <c r="N722">
        <f>IF(OR($E722="",$E722="نامعتبر"),"",IF(AND($J722="هزینه",$K722&lt;&gt;""),1,0))</f>
        <v/>
      </c>
      <c r="O722">
        <f>IF($N722=0,"",LEFT($E722,4)&amp;MID($E722,6,2)&amp;RIGHT($E722,2)&amp;$F722&amp;"|"&amp;"1"&amp;RIGHT("00000"&amp;714,5))</f>
        <v/>
      </c>
      <c r="P722">
        <f>IF($O722="","",COUNTIFS(ExpSub,$K722,ExpKey,"&lt;"&amp;$O722)+1)</f>
        <v/>
      </c>
      <c r="Q722">
        <f>IF($P722="","",$K722&amp;"|"&amp;RIGHT("000000"&amp;$P722,6))</f>
        <v/>
      </c>
    </row>
    <row r="723">
      <c r="A723">
        <f>IF(Sync!$P720="","",Sync!$P720)</f>
        <v/>
      </c>
      <c r="B723">
        <f>IF($A723="","",IF(ISNUMBER($A723),IF(AND($A723&gt;=10000101,$A723&lt;=99991231),INT($A723/10000),""),IFERROR(VALUE(TRIM(LEFT($A723,FIND("/",$A723)-1))),"")))</f>
        <v/>
      </c>
      <c r="C723">
        <f>IF(OR($A723="",$B723=""),"",IF(ISNUMBER($A723),INT(MOD($A723,10000)/100),IFERROR(VALUE(TRIM(LEFT(MID($A723,FIND("/",$A723)+1,20),FIND("/",MID($A723,FIND("/",$A723)+1,20))-1))),"")))</f>
        <v/>
      </c>
      <c r="D723">
        <f>IF(OR($A723="",$B723=""),"",IF(ISNUMBER($A723),MOD($A723,100),IFERROR(VALUE(TRIM(MID(MID($A723,FIND("/",$A723)+1,20),FIND("/",MID($A723,FIND("/",$A723)+1,20))+1,20))),"")))</f>
        <v/>
      </c>
      <c r="E723">
        <f>IF($A723="","",IF(OR($B723="",$C723="",$D723="",$B723&lt;1300,$B723&gt;1500,$C723&lt;1,$C723&gt;12,$D723&lt;1,$D723&gt;31),"نامعتبر",RIGHT("0000"&amp;$B723,4)&amp;"/"&amp;RIGHT("00"&amp;$C723,2)&amp;"/"&amp;RIGHT("00"&amp;$D723,2)))</f>
        <v/>
      </c>
      <c r="F723">
        <f>IF(OR($E723="",$E723="نامعتبر"),"",IF(Sync!$Q720="","0000",IF(AND(ISNUMBER(Sync!$Q720),Sync!$Q720&gt;=0,Sync!$Q720&lt;1),RIGHT("00"&amp;HOUR(Sync!$Q720),2)&amp;RIGHT("00"&amp;MINUTE(Sync!$Q720),2),IFERROR(RIGHT("00"&amp;VALUE(LEFT(Sync!$Q720,FIND(":",Sync!$Q720)-1)),2)&amp;RIGHT("00"&amp;VALUE(MID(Sync!$Q720,FIND(":",Sync!$Q720)+1,2)),2),"0000"))))</f>
        <v/>
      </c>
      <c r="G723">
        <f>IF(OR($E723="",$E723="نامعتبر"),"",IF(Sync!$S720="","",Sync!$S720))</f>
        <v/>
      </c>
      <c r="H723">
        <f>IF(OR($E723="",$E723="نامعتبر"),"",IF(Sync!$R720="","",Sync!$R720))</f>
        <v/>
      </c>
      <c r="I723">
        <f>IF(OR($E723="",$E723="نامعتبر"),"",IF(Sync!$T720="","",Sync!$T720))</f>
        <v/>
      </c>
      <c r="J723">
        <f>IF(OR($E723="",$E723="نامعتبر"),"",IF(Sync!$U720="","",Sync!$U720))</f>
        <v/>
      </c>
      <c r="K723">
        <f>IF(OR($E723="",$E723="نامعتبر"),"",IF(Sync!$V720="","",IFERROR(INDEX(SubCodes,MATCH(Sync!$V720,SubTitles,0)),Sync!$V720)))</f>
        <v/>
      </c>
      <c r="L723">
        <f>IF(OR($E723="",$E723="نامعتبر"),"",IF(Sync!$W720="",0,Sync!$W720))</f>
        <v/>
      </c>
      <c r="M723">
        <f>IF(OR($E723="",$E723="نامعتبر"),"",IF(Sync!$X720="",0,Sync!$X720))</f>
        <v/>
      </c>
      <c r="N723">
        <f>IF(OR($E723="",$E723="نامعتبر"),"",IF(AND($J723="هزینه",$K723&lt;&gt;""),1,0))</f>
        <v/>
      </c>
      <c r="O723">
        <f>IF($N723=0,"",LEFT($E723,4)&amp;MID($E723,6,2)&amp;RIGHT($E723,2)&amp;$F723&amp;"|"&amp;"1"&amp;RIGHT("00000"&amp;715,5))</f>
        <v/>
      </c>
      <c r="P723">
        <f>IF($O723="","",COUNTIFS(ExpSub,$K723,ExpKey,"&lt;"&amp;$O723)+1)</f>
        <v/>
      </c>
      <c r="Q723">
        <f>IF($P723="","",$K723&amp;"|"&amp;RIGHT("000000"&amp;$P723,6))</f>
        <v/>
      </c>
    </row>
    <row r="724">
      <c r="A724">
        <f>IF(Sync!$P721="","",Sync!$P721)</f>
        <v/>
      </c>
      <c r="B724">
        <f>IF($A724="","",IF(ISNUMBER($A724),IF(AND($A724&gt;=10000101,$A724&lt;=99991231),INT($A724/10000),""),IFERROR(VALUE(TRIM(LEFT($A724,FIND("/",$A724)-1))),"")))</f>
        <v/>
      </c>
      <c r="C724">
        <f>IF(OR($A724="",$B724=""),"",IF(ISNUMBER($A724),INT(MOD($A724,10000)/100),IFERROR(VALUE(TRIM(LEFT(MID($A724,FIND("/",$A724)+1,20),FIND("/",MID($A724,FIND("/",$A724)+1,20))-1))),"")))</f>
        <v/>
      </c>
      <c r="D724">
        <f>IF(OR($A724="",$B724=""),"",IF(ISNUMBER($A724),MOD($A724,100),IFERROR(VALUE(TRIM(MID(MID($A724,FIND("/",$A724)+1,20),FIND("/",MID($A724,FIND("/",$A724)+1,20))+1,20))),"")))</f>
        <v/>
      </c>
      <c r="E724">
        <f>IF($A724="","",IF(OR($B724="",$C724="",$D724="",$B724&lt;1300,$B724&gt;1500,$C724&lt;1,$C724&gt;12,$D724&lt;1,$D724&gt;31),"نامعتبر",RIGHT("0000"&amp;$B724,4)&amp;"/"&amp;RIGHT("00"&amp;$C724,2)&amp;"/"&amp;RIGHT("00"&amp;$D724,2)))</f>
        <v/>
      </c>
      <c r="F724">
        <f>IF(OR($E724="",$E724="نامعتبر"),"",IF(Sync!$Q721="","0000",IF(AND(ISNUMBER(Sync!$Q721),Sync!$Q721&gt;=0,Sync!$Q721&lt;1),RIGHT("00"&amp;HOUR(Sync!$Q721),2)&amp;RIGHT("00"&amp;MINUTE(Sync!$Q721),2),IFERROR(RIGHT("00"&amp;VALUE(LEFT(Sync!$Q721,FIND(":",Sync!$Q721)-1)),2)&amp;RIGHT("00"&amp;VALUE(MID(Sync!$Q721,FIND(":",Sync!$Q721)+1,2)),2),"0000"))))</f>
        <v/>
      </c>
      <c r="G724">
        <f>IF(OR($E724="",$E724="نامعتبر"),"",IF(Sync!$S721="","",Sync!$S721))</f>
        <v/>
      </c>
      <c r="H724">
        <f>IF(OR($E724="",$E724="نامعتبر"),"",IF(Sync!$R721="","",Sync!$R721))</f>
        <v/>
      </c>
      <c r="I724">
        <f>IF(OR($E724="",$E724="نامعتبر"),"",IF(Sync!$T721="","",Sync!$T721))</f>
        <v/>
      </c>
      <c r="J724">
        <f>IF(OR($E724="",$E724="نامعتبر"),"",IF(Sync!$U721="","",Sync!$U721))</f>
        <v/>
      </c>
      <c r="K724">
        <f>IF(OR($E724="",$E724="نامعتبر"),"",IF(Sync!$V721="","",IFERROR(INDEX(SubCodes,MATCH(Sync!$V721,SubTitles,0)),Sync!$V721)))</f>
        <v/>
      </c>
      <c r="L724">
        <f>IF(OR($E724="",$E724="نامعتبر"),"",IF(Sync!$W721="",0,Sync!$W721))</f>
        <v/>
      </c>
      <c r="M724">
        <f>IF(OR($E724="",$E724="نامعتبر"),"",IF(Sync!$X721="",0,Sync!$X721))</f>
        <v/>
      </c>
      <c r="N724">
        <f>IF(OR($E724="",$E724="نامعتبر"),"",IF(AND($J724="هزینه",$K724&lt;&gt;""),1,0))</f>
        <v/>
      </c>
      <c r="O724">
        <f>IF($N724=0,"",LEFT($E724,4)&amp;MID($E724,6,2)&amp;RIGHT($E724,2)&amp;$F724&amp;"|"&amp;"1"&amp;RIGHT("00000"&amp;716,5))</f>
        <v/>
      </c>
      <c r="P724">
        <f>IF($O724="","",COUNTIFS(ExpSub,$K724,ExpKey,"&lt;"&amp;$O724)+1)</f>
        <v/>
      </c>
      <c r="Q724">
        <f>IF($P724="","",$K724&amp;"|"&amp;RIGHT("000000"&amp;$P724,6))</f>
        <v/>
      </c>
    </row>
    <row r="725">
      <c r="A725">
        <f>IF(Sync!$P722="","",Sync!$P722)</f>
        <v/>
      </c>
      <c r="B725">
        <f>IF($A725="","",IF(ISNUMBER($A725),IF(AND($A725&gt;=10000101,$A725&lt;=99991231),INT($A725/10000),""),IFERROR(VALUE(TRIM(LEFT($A725,FIND("/",$A725)-1))),"")))</f>
        <v/>
      </c>
      <c r="C725">
        <f>IF(OR($A725="",$B725=""),"",IF(ISNUMBER($A725),INT(MOD($A725,10000)/100),IFERROR(VALUE(TRIM(LEFT(MID($A725,FIND("/",$A725)+1,20),FIND("/",MID($A725,FIND("/",$A725)+1,20))-1))),"")))</f>
        <v/>
      </c>
      <c r="D725">
        <f>IF(OR($A725="",$B725=""),"",IF(ISNUMBER($A725),MOD($A725,100),IFERROR(VALUE(TRIM(MID(MID($A725,FIND("/",$A725)+1,20),FIND("/",MID($A725,FIND("/",$A725)+1,20))+1,20))),"")))</f>
        <v/>
      </c>
      <c r="E725">
        <f>IF($A725="","",IF(OR($B725="",$C725="",$D725="",$B725&lt;1300,$B725&gt;1500,$C725&lt;1,$C725&gt;12,$D725&lt;1,$D725&gt;31),"نامعتبر",RIGHT("0000"&amp;$B725,4)&amp;"/"&amp;RIGHT("00"&amp;$C725,2)&amp;"/"&amp;RIGHT("00"&amp;$D725,2)))</f>
        <v/>
      </c>
      <c r="F725">
        <f>IF(OR($E725="",$E725="نامعتبر"),"",IF(Sync!$Q722="","0000",IF(AND(ISNUMBER(Sync!$Q722),Sync!$Q722&gt;=0,Sync!$Q722&lt;1),RIGHT("00"&amp;HOUR(Sync!$Q722),2)&amp;RIGHT("00"&amp;MINUTE(Sync!$Q722),2),IFERROR(RIGHT("00"&amp;VALUE(LEFT(Sync!$Q722,FIND(":",Sync!$Q722)-1)),2)&amp;RIGHT("00"&amp;VALUE(MID(Sync!$Q722,FIND(":",Sync!$Q722)+1,2)),2),"0000"))))</f>
        <v/>
      </c>
      <c r="G725">
        <f>IF(OR($E725="",$E725="نامعتبر"),"",IF(Sync!$S722="","",Sync!$S722))</f>
        <v/>
      </c>
      <c r="H725">
        <f>IF(OR($E725="",$E725="نامعتبر"),"",IF(Sync!$R722="","",Sync!$R722))</f>
        <v/>
      </c>
      <c r="I725">
        <f>IF(OR($E725="",$E725="نامعتبر"),"",IF(Sync!$T722="","",Sync!$T722))</f>
        <v/>
      </c>
      <c r="J725">
        <f>IF(OR($E725="",$E725="نامعتبر"),"",IF(Sync!$U722="","",Sync!$U722))</f>
        <v/>
      </c>
      <c r="K725">
        <f>IF(OR($E725="",$E725="نامعتبر"),"",IF(Sync!$V722="","",IFERROR(INDEX(SubCodes,MATCH(Sync!$V722,SubTitles,0)),Sync!$V722)))</f>
        <v/>
      </c>
      <c r="L725">
        <f>IF(OR($E725="",$E725="نامعتبر"),"",IF(Sync!$W722="",0,Sync!$W722))</f>
        <v/>
      </c>
      <c r="M725">
        <f>IF(OR($E725="",$E725="نامعتبر"),"",IF(Sync!$X722="",0,Sync!$X722))</f>
        <v/>
      </c>
      <c r="N725">
        <f>IF(OR($E725="",$E725="نامعتبر"),"",IF(AND($J725="هزینه",$K725&lt;&gt;""),1,0))</f>
        <v/>
      </c>
      <c r="O725">
        <f>IF($N725=0,"",LEFT($E725,4)&amp;MID($E725,6,2)&amp;RIGHT($E725,2)&amp;$F725&amp;"|"&amp;"1"&amp;RIGHT("00000"&amp;717,5))</f>
        <v/>
      </c>
      <c r="P725">
        <f>IF($O725="","",COUNTIFS(ExpSub,$K725,ExpKey,"&lt;"&amp;$O725)+1)</f>
        <v/>
      </c>
      <c r="Q725">
        <f>IF($P725="","",$K725&amp;"|"&amp;RIGHT("000000"&amp;$P725,6))</f>
        <v/>
      </c>
    </row>
    <row r="726">
      <c r="A726">
        <f>IF(Sync!$P723="","",Sync!$P723)</f>
        <v/>
      </c>
      <c r="B726">
        <f>IF($A726="","",IF(ISNUMBER($A726),IF(AND($A726&gt;=10000101,$A726&lt;=99991231),INT($A726/10000),""),IFERROR(VALUE(TRIM(LEFT($A726,FIND("/",$A726)-1))),"")))</f>
        <v/>
      </c>
      <c r="C726">
        <f>IF(OR($A726="",$B726=""),"",IF(ISNUMBER($A726),INT(MOD($A726,10000)/100),IFERROR(VALUE(TRIM(LEFT(MID($A726,FIND("/",$A726)+1,20),FIND("/",MID($A726,FIND("/",$A726)+1,20))-1))),"")))</f>
        <v/>
      </c>
      <c r="D726">
        <f>IF(OR($A726="",$B726=""),"",IF(ISNUMBER($A726),MOD($A726,100),IFERROR(VALUE(TRIM(MID(MID($A726,FIND("/",$A726)+1,20),FIND("/",MID($A726,FIND("/",$A726)+1,20))+1,20))),"")))</f>
        <v/>
      </c>
      <c r="E726">
        <f>IF($A726="","",IF(OR($B726="",$C726="",$D726="",$B726&lt;1300,$B726&gt;1500,$C726&lt;1,$C726&gt;12,$D726&lt;1,$D726&gt;31),"نامعتبر",RIGHT("0000"&amp;$B726,4)&amp;"/"&amp;RIGHT("00"&amp;$C726,2)&amp;"/"&amp;RIGHT("00"&amp;$D726,2)))</f>
        <v/>
      </c>
      <c r="F726">
        <f>IF(OR($E726="",$E726="نامعتبر"),"",IF(Sync!$Q723="","0000",IF(AND(ISNUMBER(Sync!$Q723),Sync!$Q723&gt;=0,Sync!$Q723&lt;1),RIGHT("00"&amp;HOUR(Sync!$Q723),2)&amp;RIGHT("00"&amp;MINUTE(Sync!$Q723),2),IFERROR(RIGHT("00"&amp;VALUE(LEFT(Sync!$Q723,FIND(":",Sync!$Q723)-1)),2)&amp;RIGHT("00"&amp;VALUE(MID(Sync!$Q723,FIND(":",Sync!$Q723)+1,2)),2),"0000"))))</f>
        <v/>
      </c>
      <c r="G726">
        <f>IF(OR($E726="",$E726="نامعتبر"),"",IF(Sync!$S723="","",Sync!$S723))</f>
        <v/>
      </c>
      <c r="H726">
        <f>IF(OR($E726="",$E726="نامعتبر"),"",IF(Sync!$R723="","",Sync!$R723))</f>
        <v/>
      </c>
      <c r="I726">
        <f>IF(OR($E726="",$E726="نامعتبر"),"",IF(Sync!$T723="","",Sync!$T723))</f>
        <v/>
      </c>
      <c r="J726">
        <f>IF(OR($E726="",$E726="نامعتبر"),"",IF(Sync!$U723="","",Sync!$U723))</f>
        <v/>
      </c>
      <c r="K726">
        <f>IF(OR($E726="",$E726="نامعتبر"),"",IF(Sync!$V723="","",IFERROR(INDEX(SubCodes,MATCH(Sync!$V723,SubTitles,0)),Sync!$V723)))</f>
        <v/>
      </c>
      <c r="L726">
        <f>IF(OR($E726="",$E726="نامعتبر"),"",IF(Sync!$W723="",0,Sync!$W723))</f>
        <v/>
      </c>
      <c r="M726">
        <f>IF(OR($E726="",$E726="نامعتبر"),"",IF(Sync!$X723="",0,Sync!$X723))</f>
        <v/>
      </c>
      <c r="N726">
        <f>IF(OR($E726="",$E726="نامعتبر"),"",IF(AND($J726="هزینه",$K726&lt;&gt;""),1,0))</f>
        <v/>
      </c>
      <c r="O726">
        <f>IF($N726=0,"",LEFT($E726,4)&amp;MID($E726,6,2)&amp;RIGHT($E726,2)&amp;$F726&amp;"|"&amp;"1"&amp;RIGHT("00000"&amp;718,5))</f>
        <v/>
      </c>
      <c r="P726">
        <f>IF($O726="","",COUNTIFS(ExpSub,$K726,ExpKey,"&lt;"&amp;$O726)+1)</f>
        <v/>
      </c>
      <c r="Q726">
        <f>IF($P726="","",$K726&amp;"|"&amp;RIGHT("000000"&amp;$P726,6))</f>
        <v/>
      </c>
    </row>
    <row r="727">
      <c r="A727">
        <f>IF(Sync!$P724="","",Sync!$P724)</f>
        <v/>
      </c>
      <c r="B727">
        <f>IF($A727="","",IF(ISNUMBER($A727),IF(AND($A727&gt;=10000101,$A727&lt;=99991231),INT($A727/10000),""),IFERROR(VALUE(TRIM(LEFT($A727,FIND("/",$A727)-1))),"")))</f>
        <v/>
      </c>
      <c r="C727">
        <f>IF(OR($A727="",$B727=""),"",IF(ISNUMBER($A727),INT(MOD($A727,10000)/100),IFERROR(VALUE(TRIM(LEFT(MID($A727,FIND("/",$A727)+1,20),FIND("/",MID($A727,FIND("/",$A727)+1,20))-1))),"")))</f>
        <v/>
      </c>
      <c r="D727">
        <f>IF(OR($A727="",$B727=""),"",IF(ISNUMBER($A727),MOD($A727,100),IFERROR(VALUE(TRIM(MID(MID($A727,FIND("/",$A727)+1,20),FIND("/",MID($A727,FIND("/",$A727)+1,20))+1,20))),"")))</f>
        <v/>
      </c>
      <c r="E727">
        <f>IF($A727="","",IF(OR($B727="",$C727="",$D727="",$B727&lt;1300,$B727&gt;1500,$C727&lt;1,$C727&gt;12,$D727&lt;1,$D727&gt;31),"نامعتبر",RIGHT("0000"&amp;$B727,4)&amp;"/"&amp;RIGHT("00"&amp;$C727,2)&amp;"/"&amp;RIGHT("00"&amp;$D727,2)))</f>
        <v/>
      </c>
      <c r="F727">
        <f>IF(OR($E727="",$E727="نامعتبر"),"",IF(Sync!$Q724="","0000",IF(AND(ISNUMBER(Sync!$Q724),Sync!$Q724&gt;=0,Sync!$Q724&lt;1),RIGHT("00"&amp;HOUR(Sync!$Q724),2)&amp;RIGHT("00"&amp;MINUTE(Sync!$Q724),2),IFERROR(RIGHT("00"&amp;VALUE(LEFT(Sync!$Q724,FIND(":",Sync!$Q724)-1)),2)&amp;RIGHT("00"&amp;VALUE(MID(Sync!$Q724,FIND(":",Sync!$Q724)+1,2)),2),"0000"))))</f>
        <v/>
      </c>
      <c r="G727">
        <f>IF(OR($E727="",$E727="نامعتبر"),"",IF(Sync!$S724="","",Sync!$S724))</f>
        <v/>
      </c>
      <c r="H727">
        <f>IF(OR($E727="",$E727="نامعتبر"),"",IF(Sync!$R724="","",Sync!$R724))</f>
        <v/>
      </c>
      <c r="I727">
        <f>IF(OR($E727="",$E727="نامعتبر"),"",IF(Sync!$T724="","",Sync!$T724))</f>
        <v/>
      </c>
      <c r="J727">
        <f>IF(OR($E727="",$E727="نامعتبر"),"",IF(Sync!$U724="","",Sync!$U724))</f>
        <v/>
      </c>
      <c r="K727">
        <f>IF(OR($E727="",$E727="نامعتبر"),"",IF(Sync!$V724="","",IFERROR(INDEX(SubCodes,MATCH(Sync!$V724,SubTitles,0)),Sync!$V724)))</f>
        <v/>
      </c>
      <c r="L727">
        <f>IF(OR($E727="",$E727="نامعتبر"),"",IF(Sync!$W724="",0,Sync!$W724))</f>
        <v/>
      </c>
      <c r="M727">
        <f>IF(OR($E727="",$E727="نامعتبر"),"",IF(Sync!$X724="",0,Sync!$X724))</f>
        <v/>
      </c>
      <c r="N727">
        <f>IF(OR($E727="",$E727="نامعتبر"),"",IF(AND($J727="هزینه",$K727&lt;&gt;""),1,0))</f>
        <v/>
      </c>
      <c r="O727">
        <f>IF($N727=0,"",LEFT($E727,4)&amp;MID($E727,6,2)&amp;RIGHT($E727,2)&amp;$F727&amp;"|"&amp;"1"&amp;RIGHT("00000"&amp;719,5))</f>
        <v/>
      </c>
      <c r="P727">
        <f>IF($O727="","",COUNTIFS(ExpSub,$K727,ExpKey,"&lt;"&amp;$O727)+1)</f>
        <v/>
      </c>
      <c r="Q727">
        <f>IF($P727="","",$K727&amp;"|"&amp;RIGHT("000000"&amp;$P727,6))</f>
        <v/>
      </c>
    </row>
    <row r="728">
      <c r="A728">
        <f>IF(Sync!$P725="","",Sync!$P725)</f>
        <v/>
      </c>
      <c r="B728">
        <f>IF($A728="","",IF(ISNUMBER($A728),IF(AND($A728&gt;=10000101,$A728&lt;=99991231),INT($A728/10000),""),IFERROR(VALUE(TRIM(LEFT($A728,FIND("/",$A728)-1))),"")))</f>
        <v/>
      </c>
      <c r="C728">
        <f>IF(OR($A728="",$B728=""),"",IF(ISNUMBER($A728),INT(MOD($A728,10000)/100),IFERROR(VALUE(TRIM(LEFT(MID($A728,FIND("/",$A728)+1,20),FIND("/",MID($A728,FIND("/",$A728)+1,20))-1))),"")))</f>
        <v/>
      </c>
      <c r="D728">
        <f>IF(OR($A728="",$B728=""),"",IF(ISNUMBER($A728),MOD($A728,100),IFERROR(VALUE(TRIM(MID(MID($A728,FIND("/",$A728)+1,20),FIND("/",MID($A728,FIND("/",$A728)+1,20))+1,20))),"")))</f>
        <v/>
      </c>
      <c r="E728">
        <f>IF($A728="","",IF(OR($B728="",$C728="",$D728="",$B728&lt;1300,$B728&gt;1500,$C728&lt;1,$C728&gt;12,$D728&lt;1,$D728&gt;31),"نامعتبر",RIGHT("0000"&amp;$B728,4)&amp;"/"&amp;RIGHT("00"&amp;$C728,2)&amp;"/"&amp;RIGHT("00"&amp;$D728,2)))</f>
        <v/>
      </c>
      <c r="F728">
        <f>IF(OR($E728="",$E728="نامعتبر"),"",IF(Sync!$Q725="","0000",IF(AND(ISNUMBER(Sync!$Q725),Sync!$Q725&gt;=0,Sync!$Q725&lt;1),RIGHT("00"&amp;HOUR(Sync!$Q725),2)&amp;RIGHT("00"&amp;MINUTE(Sync!$Q725),2),IFERROR(RIGHT("00"&amp;VALUE(LEFT(Sync!$Q725,FIND(":",Sync!$Q725)-1)),2)&amp;RIGHT("00"&amp;VALUE(MID(Sync!$Q725,FIND(":",Sync!$Q725)+1,2)),2),"0000"))))</f>
        <v/>
      </c>
      <c r="G728">
        <f>IF(OR($E728="",$E728="نامعتبر"),"",IF(Sync!$S725="","",Sync!$S725))</f>
        <v/>
      </c>
      <c r="H728">
        <f>IF(OR($E728="",$E728="نامعتبر"),"",IF(Sync!$R725="","",Sync!$R725))</f>
        <v/>
      </c>
      <c r="I728">
        <f>IF(OR($E728="",$E728="نامعتبر"),"",IF(Sync!$T725="","",Sync!$T725))</f>
        <v/>
      </c>
      <c r="J728">
        <f>IF(OR($E728="",$E728="نامعتبر"),"",IF(Sync!$U725="","",Sync!$U725))</f>
        <v/>
      </c>
      <c r="K728">
        <f>IF(OR($E728="",$E728="نامعتبر"),"",IF(Sync!$V725="","",IFERROR(INDEX(SubCodes,MATCH(Sync!$V725,SubTitles,0)),Sync!$V725)))</f>
        <v/>
      </c>
      <c r="L728">
        <f>IF(OR($E728="",$E728="نامعتبر"),"",IF(Sync!$W725="",0,Sync!$W725))</f>
        <v/>
      </c>
      <c r="M728">
        <f>IF(OR($E728="",$E728="نامعتبر"),"",IF(Sync!$X725="",0,Sync!$X725))</f>
        <v/>
      </c>
      <c r="N728">
        <f>IF(OR($E728="",$E728="نامعتبر"),"",IF(AND($J728="هزینه",$K728&lt;&gt;""),1,0))</f>
        <v/>
      </c>
      <c r="O728">
        <f>IF($N728=0,"",LEFT($E728,4)&amp;MID($E728,6,2)&amp;RIGHT($E728,2)&amp;$F728&amp;"|"&amp;"1"&amp;RIGHT("00000"&amp;720,5))</f>
        <v/>
      </c>
      <c r="P728">
        <f>IF($O728="","",COUNTIFS(ExpSub,$K728,ExpKey,"&lt;"&amp;$O728)+1)</f>
        <v/>
      </c>
      <c r="Q728">
        <f>IF($P728="","",$K728&amp;"|"&amp;RIGHT("000000"&amp;$P728,6))</f>
        <v/>
      </c>
    </row>
    <row r="729">
      <c r="A729">
        <f>IF(Sync!$P726="","",Sync!$P726)</f>
        <v/>
      </c>
      <c r="B729">
        <f>IF($A729="","",IF(ISNUMBER($A729),IF(AND($A729&gt;=10000101,$A729&lt;=99991231),INT($A729/10000),""),IFERROR(VALUE(TRIM(LEFT($A729,FIND("/",$A729)-1))),"")))</f>
        <v/>
      </c>
      <c r="C729">
        <f>IF(OR($A729="",$B729=""),"",IF(ISNUMBER($A729),INT(MOD($A729,10000)/100),IFERROR(VALUE(TRIM(LEFT(MID($A729,FIND("/",$A729)+1,20),FIND("/",MID($A729,FIND("/",$A729)+1,20))-1))),"")))</f>
        <v/>
      </c>
      <c r="D729">
        <f>IF(OR($A729="",$B729=""),"",IF(ISNUMBER($A729),MOD($A729,100),IFERROR(VALUE(TRIM(MID(MID($A729,FIND("/",$A729)+1,20),FIND("/",MID($A729,FIND("/",$A729)+1,20))+1,20))),"")))</f>
        <v/>
      </c>
      <c r="E729">
        <f>IF($A729="","",IF(OR($B729="",$C729="",$D729="",$B729&lt;1300,$B729&gt;1500,$C729&lt;1,$C729&gt;12,$D729&lt;1,$D729&gt;31),"نامعتبر",RIGHT("0000"&amp;$B729,4)&amp;"/"&amp;RIGHT("00"&amp;$C729,2)&amp;"/"&amp;RIGHT("00"&amp;$D729,2)))</f>
        <v/>
      </c>
      <c r="F729">
        <f>IF(OR($E729="",$E729="نامعتبر"),"",IF(Sync!$Q726="","0000",IF(AND(ISNUMBER(Sync!$Q726),Sync!$Q726&gt;=0,Sync!$Q726&lt;1),RIGHT("00"&amp;HOUR(Sync!$Q726),2)&amp;RIGHT("00"&amp;MINUTE(Sync!$Q726),2),IFERROR(RIGHT("00"&amp;VALUE(LEFT(Sync!$Q726,FIND(":",Sync!$Q726)-1)),2)&amp;RIGHT("00"&amp;VALUE(MID(Sync!$Q726,FIND(":",Sync!$Q726)+1,2)),2),"0000"))))</f>
        <v/>
      </c>
      <c r="G729">
        <f>IF(OR($E729="",$E729="نامعتبر"),"",IF(Sync!$S726="","",Sync!$S726))</f>
        <v/>
      </c>
      <c r="H729">
        <f>IF(OR($E729="",$E729="نامعتبر"),"",IF(Sync!$R726="","",Sync!$R726))</f>
        <v/>
      </c>
      <c r="I729">
        <f>IF(OR($E729="",$E729="نامعتبر"),"",IF(Sync!$T726="","",Sync!$T726))</f>
        <v/>
      </c>
      <c r="J729">
        <f>IF(OR($E729="",$E729="نامعتبر"),"",IF(Sync!$U726="","",Sync!$U726))</f>
        <v/>
      </c>
      <c r="K729">
        <f>IF(OR($E729="",$E729="نامعتبر"),"",IF(Sync!$V726="","",IFERROR(INDEX(SubCodes,MATCH(Sync!$V726,SubTitles,0)),Sync!$V726)))</f>
        <v/>
      </c>
      <c r="L729">
        <f>IF(OR($E729="",$E729="نامعتبر"),"",IF(Sync!$W726="",0,Sync!$W726))</f>
        <v/>
      </c>
      <c r="M729">
        <f>IF(OR($E729="",$E729="نامعتبر"),"",IF(Sync!$X726="",0,Sync!$X726))</f>
        <v/>
      </c>
      <c r="N729">
        <f>IF(OR($E729="",$E729="نامعتبر"),"",IF(AND($J729="هزینه",$K729&lt;&gt;""),1,0))</f>
        <v/>
      </c>
      <c r="O729">
        <f>IF($N729=0,"",LEFT($E729,4)&amp;MID($E729,6,2)&amp;RIGHT($E729,2)&amp;$F729&amp;"|"&amp;"1"&amp;RIGHT("00000"&amp;721,5))</f>
        <v/>
      </c>
      <c r="P729">
        <f>IF($O729="","",COUNTIFS(ExpSub,$K729,ExpKey,"&lt;"&amp;$O729)+1)</f>
        <v/>
      </c>
      <c r="Q729">
        <f>IF($P729="","",$K729&amp;"|"&amp;RIGHT("000000"&amp;$P729,6))</f>
        <v/>
      </c>
    </row>
    <row r="730">
      <c r="A730">
        <f>IF(Sync!$P727="","",Sync!$P727)</f>
        <v/>
      </c>
      <c r="B730">
        <f>IF($A730="","",IF(ISNUMBER($A730),IF(AND($A730&gt;=10000101,$A730&lt;=99991231),INT($A730/10000),""),IFERROR(VALUE(TRIM(LEFT($A730,FIND("/",$A730)-1))),"")))</f>
        <v/>
      </c>
      <c r="C730">
        <f>IF(OR($A730="",$B730=""),"",IF(ISNUMBER($A730),INT(MOD($A730,10000)/100),IFERROR(VALUE(TRIM(LEFT(MID($A730,FIND("/",$A730)+1,20),FIND("/",MID($A730,FIND("/",$A730)+1,20))-1))),"")))</f>
        <v/>
      </c>
      <c r="D730">
        <f>IF(OR($A730="",$B730=""),"",IF(ISNUMBER($A730),MOD($A730,100),IFERROR(VALUE(TRIM(MID(MID($A730,FIND("/",$A730)+1,20),FIND("/",MID($A730,FIND("/",$A730)+1,20))+1,20))),"")))</f>
        <v/>
      </c>
      <c r="E730">
        <f>IF($A730="","",IF(OR($B730="",$C730="",$D730="",$B730&lt;1300,$B730&gt;1500,$C730&lt;1,$C730&gt;12,$D730&lt;1,$D730&gt;31),"نامعتبر",RIGHT("0000"&amp;$B730,4)&amp;"/"&amp;RIGHT("00"&amp;$C730,2)&amp;"/"&amp;RIGHT("00"&amp;$D730,2)))</f>
        <v/>
      </c>
      <c r="F730">
        <f>IF(OR($E730="",$E730="نامعتبر"),"",IF(Sync!$Q727="","0000",IF(AND(ISNUMBER(Sync!$Q727),Sync!$Q727&gt;=0,Sync!$Q727&lt;1),RIGHT("00"&amp;HOUR(Sync!$Q727),2)&amp;RIGHT("00"&amp;MINUTE(Sync!$Q727),2),IFERROR(RIGHT("00"&amp;VALUE(LEFT(Sync!$Q727,FIND(":",Sync!$Q727)-1)),2)&amp;RIGHT("00"&amp;VALUE(MID(Sync!$Q727,FIND(":",Sync!$Q727)+1,2)),2),"0000"))))</f>
        <v/>
      </c>
      <c r="G730">
        <f>IF(OR($E730="",$E730="نامعتبر"),"",IF(Sync!$S727="","",Sync!$S727))</f>
        <v/>
      </c>
      <c r="H730">
        <f>IF(OR($E730="",$E730="نامعتبر"),"",IF(Sync!$R727="","",Sync!$R727))</f>
        <v/>
      </c>
      <c r="I730">
        <f>IF(OR($E730="",$E730="نامعتبر"),"",IF(Sync!$T727="","",Sync!$T727))</f>
        <v/>
      </c>
      <c r="J730">
        <f>IF(OR($E730="",$E730="نامعتبر"),"",IF(Sync!$U727="","",Sync!$U727))</f>
        <v/>
      </c>
      <c r="K730">
        <f>IF(OR($E730="",$E730="نامعتبر"),"",IF(Sync!$V727="","",IFERROR(INDEX(SubCodes,MATCH(Sync!$V727,SubTitles,0)),Sync!$V727)))</f>
        <v/>
      </c>
      <c r="L730">
        <f>IF(OR($E730="",$E730="نامعتبر"),"",IF(Sync!$W727="",0,Sync!$W727))</f>
        <v/>
      </c>
      <c r="M730">
        <f>IF(OR($E730="",$E730="نامعتبر"),"",IF(Sync!$X727="",0,Sync!$X727))</f>
        <v/>
      </c>
      <c r="N730">
        <f>IF(OR($E730="",$E730="نامعتبر"),"",IF(AND($J730="هزینه",$K730&lt;&gt;""),1,0))</f>
        <v/>
      </c>
      <c r="O730">
        <f>IF($N730=0,"",LEFT($E730,4)&amp;MID($E730,6,2)&amp;RIGHT($E730,2)&amp;$F730&amp;"|"&amp;"1"&amp;RIGHT("00000"&amp;722,5))</f>
        <v/>
      </c>
      <c r="P730">
        <f>IF($O730="","",COUNTIFS(ExpSub,$K730,ExpKey,"&lt;"&amp;$O730)+1)</f>
        <v/>
      </c>
      <c r="Q730">
        <f>IF($P730="","",$K730&amp;"|"&amp;RIGHT("000000"&amp;$P730,6))</f>
        <v/>
      </c>
    </row>
    <row r="731">
      <c r="A731">
        <f>IF(Sync!$P728="","",Sync!$P728)</f>
        <v/>
      </c>
      <c r="B731">
        <f>IF($A731="","",IF(ISNUMBER($A731),IF(AND($A731&gt;=10000101,$A731&lt;=99991231),INT($A731/10000),""),IFERROR(VALUE(TRIM(LEFT($A731,FIND("/",$A731)-1))),"")))</f>
        <v/>
      </c>
      <c r="C731">
        <f>IF(OR($A731="",$B731=""),"",IF(ISNUMBER($A731),INT(MOD($A731,10000)/100),IFERROR(VALUE(TRIM(LEFT(MID($A731,FIND("/",$A731)+1,20),FIND("/",MID($A731,FIND("/",$A731)+1,20))-1))),"")))</f>
        <v/>
      </c>
      <c r="D731">
        <f>IF(OR($A731="",$B731=""),"",IF(ISNUMBER($A731),MOD($A731,100),IFERROR(VALUE(TRIM(MID(MID($A731,FIND("/",$A731)+1,20),FIND("/",MID($A731,FIND("/",$A731)+1,20))+1,20))),"")))</f>
        <v/>
      </c>
      <c r="E731">
        <f>IF($A731="","",IF(OR($B731="",$C731="",$D731="",$B731&lt;1300,$B731&gt;1500,$C731&lt;1,$C731&gt;12,$D731&lt;1,$D731&gt;31),"نامعتبر",RIGHT("0000"&amp;$B731,4)&amp;"/"&amp;RIGHT("00"&amp;$C731,2)&amp;"/"&amp;RIGHT("00"&amp;$D731,2)))</f>
        <v/>
      </c>
      <c r="F731">
        <f>IF(OR($E731="",$E731="نامعتبر"),"",IF(Sync!$Q728="","0000",IF(AND(ISNUMBER(Sync!$Q728),Sync!$Q728&gt;=0,Sync!$Q728&lt;1),RIGHT("00"&amp;HOUR(Sync!$Q728),2)&amp;RIGHT("00"&amp;MINUTE(Sync!$Q728),2),IFERROR(RIGHT("00"&amp;VALUE(LEFT(Sync!$Q728,FIND(":",Sync!$Q728)-1)),2)&amp;RIGHT("00"&amp;VALUE(MID(Sync!$Q728,FIND(":",Sync!$Q728)+1,2)),2),"0000"))))</f>
        <v/>
      </c>
      <c r="G731">
        <f>IF(OR($E731="",$E731="نامعتبر"),"",IF(Sync!$S728="","",Sync!$S728))</f>
        <v/>
      </c>
      <c r="H731">
        <f>IF(OR($E731="",$E731="نامعتبر"),"",IF(Sync!$R728="","",Sync!$R728))</f>
        <v/>
      </c>
      <c r="I731">
        <f>IF(OR($E731="",$E731="نامعتبر"),"",IF(Sync!$T728="","",Sync!$T728))</f>
        <v/>
      </c>
      <c r="J731">
        <f>IF(OR($E731="",$E731="نامعتبر"),"",IF(Sync!$U728="","",Sync!$U728))</f>
        <v/>
      </c>
      <c r="K731">
        <f>IF(OR($E731="",$E731="نامعتبر"),"",IF(Sync!$V728="","",IFERROR(INDEX(SubCodes,MATCH(Sync!$V728,SubTitles,0)),Sync!$V728)))</f>
        <v/>
      </c>
      <c r="L731">
        <f>IF(OR($E731="",$E731="نامعتبر"),"",IF(Sync!$W728="",0,Sync!$W728))</f>
        <v/>
      </c>
      <c r="M731">
        <f>IF(OR($E731="",$E731="نامعتبر"),"",IF(Sync!$X728="",0,Sync!$X728))</f>
        <v/>
      </c>
      <c r="N731">
        <f>IF(OR($E731="",$E731="نامعتبر"),"",IF(AND($J731="هزینه",$K731&lt;&gt;""),1,0))</f>
        <v/>
      </c>
      <c r="O731">
        <f>IF($N731=0,"",LEFT($E731,4)&amp;MID($E731,6,2)&amp;RIGHT($E731,2)&amp;$F731&amp;"|"&amp;"1"&amp;RIGHT("00000"&amp;723,5))</f>
        <v/>
      </c>
      <c r="P731">
        <f>IF($O731="","",COUNTIFS(ExpSub,$K731,ExpKey,"&lt;"&amp;$O731)+1)</f>
        <v/>
      </c>
      <c r="Q731">
        <f>IF($P731="","",$K731&amp;"|"&amp;RIGHT("000000"&amp;$P731,6))</f>
        <v/>
      </c>
    </row>
    <row r="732">
      <c r="A732">
        <f>IF(Sync!$P729="","",Sync!$P729)</f>
        <v/>
      </c>
      <c r="B732">
        <f>IF($A732="","",IF(ISNUMBER($A732),IF(AND($A732&gt;=10000101,$A732&lt;=99991231),INT($A732/10000),""),IFERROR(VALUE(TRIM(LEFT($A732,FIND("/",$A732)-1))),"")))</f>
        <v/>
      </c>
      <c r="C732">
        <f>IF(OR($A732="",$B732=""),"",IF(ISNUMBER($A732),INT(MOD($A732,10000)/100),IFERROR(VALUE(TRIM(LEFT(MID($A732,FIND("/",$A732)+1,20),FIND("/",MID($A732,FIND("/",$A732)+1,20))-1))),"")))</f>
        <v/>
      </c>
      <c r="D732">
        <f>IF(OR($A732="",$B732=""),"",IF(ISNUMBER($A732),MOD($A732,100),IFERROR(VALUE(TRIM(MID(MID($A732,FIND("/",$A732)+1,20),FIND("/",MID($A732,FIND("/",$A732)+1,20))+1,20))),"")))</f>
        <v/>
      </c>
      <c r="E732">
        <f>IF($A732="","",IF(OR($B732="",$C732="",$D732="",$B732&lt;1300,$B732&gt;1500,$C732&lt;1,$C732&gt;12,$D732&lt;1,$D732&gt;31),"نامعتبر",RIGHT("0000"&amp;$B732,4)&amp;"/"&amp;RIGHT("00"&amp;$C732,2)&amp;"/"&amp;RIGHT("00"&amp;$D732,2)))</f>
        <v/>
      </c>
      <c r="F732">
        <f>IF(OR($E732="",$E732="نامعتبر"),"",IF(Sync!$Q729="","0000",IF(AND(ISNUMBER(Sync!$Q729),Sync!$Q729&gt;=0,Sync!$Q729&lt;1),RIGHT("00"&amp;HOUR(Sync!$Q729),2)&amp;RIGHT("00"&amp;MINUTE(Sync!$Q729),2),IFERROR(RIGHT("00"&amp;VALUE(LEFT(Sync!$Q729,FIND(":",Sync!$Q729)-1)),2)&amp;RIGHT("00"&amp;VALUE(MID(Sync!$Q729,FIND(":",Sync!$Q729)+1,2)),2),"0000"))))</f>
        <v/>
      </c>
      <c r="G732">
        <f>IF(OR($E732="",$E732="نامعتبر"),"",IF(Sync!$S729="","",Sync!$S729))</f>
        <v/>
      </c>
      <c r="H732">
        <f>IF(OR($E732="",$E732="نامعتبر"),"",IF(Sync!$R729="","",Sync!$R729))</f>
        <v/>
      </c>
      <c r="I732">
        <f>IF(OR($E732="",$E732="نامعتبر"),"",IF(Sync!$T729="","",Sync!$T729))</f>
        <v/>
      </c>
      <c r="J732">
        <f>IF(OR($E732="",$E732="نامعتبر"),"",IF(Sync!$U729="","",Sync!$U729))</f>
        <v/>
      </c>
      <c r="K732">
        <f>IF(OR($E732="",$E732="نامعتبر"),"",IF(Sync!$V729="","",IFERROR(INDEX(SubCodes,MATCH(Sync!$V729,SubTitles,0)),Sync!$V729)))</f>
        <v/>
      </c>
      <c r="L732">
        <f>IF(OR($E732="",$E732="نامعتبر"),"",IF(Sync!$W729="",0,Sync!$W729))</f>
        <v/>
      </c>
      <c r="M732">
        <f>IF(OR($E732="",$E732="نامعتبر"),"",IF(Sync!$X729="",0,Sync!$X729))</f>
        <v/>
      </c>
      <c r="N732">
        <f>IF(OR($E732="",$E732="نامعتبر"),"",IF(AND($J732="هزینه",$K732&lt;&gt;""),1,0))</f>
        <v/>
      </c>
      <c r="O732">
        <f>IF($N732=0,"",LEFT($E732,4)&amp;MID($E732,6,2)&amp;RIGHT($E732,2)&amp;$F732&amp;"|"&amp;"1"&amp;RIGHT("00000"&amp;724,5))</f>
        <v/>
      </c>
      <c r="P732">
        <f>IF($O732="","",COUNTIFS(ExpSub,$K732,ExpKey,"&lt;"&amp;$O732)+1)</f>
        <v/>
      </c>
      <c r="Q732">
        <f>IF($P732="","",$K732&amp;"|"&amp;RIGHT("000000"&amp;$P732,6))</f>
        <v/>
      </c>
    </row>
    <row r="733">
      <c r="A733">
        <f>IF(Sync!$P730="","",Sync!$P730)</f>
        <v/>
      </c>
      <c r="B733">
        <f>IF($A733="","",IF(ISNUMBER($A733),IF(AND($A733&gt;=10000101,$A733&lt;=99991231),INT($A733/10000),""),IFERROR(VALUE(TRIM(LEFT($A733,FIND("/",$A733)-1))),"")))</f>
        <v/>
      </c>
      <c r="C733">
        <f>IF(OR($A733="",$B733=""),"",IF(ISNUMBER($A733),INT(MOD($A733,10000)/100),IFERROR(VALUE(TRIM(LEFT(MID($A733,FIND("/",$A733)+1,20),FIND("/",MID($A733,FIND("/",$A733)+1,20))-1))),"")))</f>
        <v/>
      </c>
      <c r="D733">
        <f>IF(OR($A733="",$B733=""),"",IF(ISNUMBER($A733),MOD($A733,100),IFERROR(VALUE(TRIM(MID(MID($A733,FIND("/",$A733)+1,20),FIND("/",MID($A733,FIND("/",$A733)+1,20))+1,20))),"")))</f>
        <v/>
      </c>
      <c r="E733">
        <f>IF($A733="","",IF(OR($B733="",$C733="",$D733="",$B733&lt;1300,$B733&gt;1500,$C733&lt;1,$C733&gt;12,$D733&lt;1,$D733&gt;31),"نامعتبر",RIGHT("0000"&amp;$B733,4)&amp;"/"&amp;RIGHT("00"&amp;$C733,2)&amp;"/"&amp;RIGHT("00"&amp;$D733,2)))</f>
        <v/>
      </c>
      <c r="F733">
        <f>IF(OR($E733="",$E733="نامعتبر"),"",IF(Sync!$Q730="","0000",IF(AND(ISNUMBER(Sync!$Q730),Sync!$Q730&gt;=0,Sync!$Q730&lt;1),RIGHT("00"&amp;HOUR(Sync!$Q730),2)&amp;RIGHT("00"&amp;MINUTE(Sync!$Q730),2),IFERROR(RIGHT("00"&amp;VALUE(LEFT(Sync!$Q730,FIND(":",Sync!$Q730)-1)),2)&amp;RIGHT("00"&amp;VALUE(MID(Sync!$Q730,FIND(":",Sync!$Q730)+1,2)),2),"0000"))))</f>
        <v/>
      </c>
      <c r="G733">
        <f>IF(OR($E733="",$E733="نامعتبر"),"",IF(Sync!$S730="","",Sync!$S730))</f>
        <v/>
      </c>
      <c r="H733">
        <f>IF(OR($E733="",$E733="نامعتبر"),"",IF(Sync!$R730="","",Sync!$R730))</f>
        <v/>
      </c>
      <c r="I733">
        <f>IF(OR($E733="",$E733="نامعتبر"),"",IF(Sync!$T730="","",Sync!$T730))</f>
        <v/>
      </c>
      <c r="J733">
        <f>IF(OR($E733="",$E733="نامعتبر"),"",IF(Sync!$U730="","",Sync!$U730))</f>
        <v/>
      </c>
      <c r="K733">
        <f>IF(OR($E733="",$E733="نامعتبر"),"",IF(Sync!$V730="","",IFERROR(INDEX(SubCodes,MATCH(Sync!$V730,SubTitles,0)),Sync!$V730)))</f>
        <v/>
      </c>
      <c r="L733">
        <f>IF(OR($E733="",$E733="نامعتبر"),"",IF(Sync!$W730="",0,Sync!$W730))</f>
        <v/>
      </c>
      <c r="M733">
        <f>IF(OR($E733="",$E733="نامعتبر"),"",IF(Sync!$X730="",0,Sync!$X730))</f>
        <v/>
      </c>
      <c r="N733">
        <f>IF(OR($E733="",$E733="نامعتبر"),"",IF(AND($J733="هزینه",$K733&lt;&gt;""),1,0))</f>
        <v/>
      </c>
      <c r="O733">
        <f>IF($N733=0,"",LEFT($E733,4)&amp;MID($E733,6,2)&amp;RIGHT($E733,2)&amp;$F733&amp;"|"&amp;"1"&amp;RIGHT("00000"&amp;725,5))</f>
        <v/>
      </c>
      <c r="P733">
        <f>IF($O733="","",COUNTIFS(ExpSub,$K733,ExpKey,"&lt;"&amp;$O733)+1)</f>
        <v/>
      </c>
      <c r="Q733">
        <f>IF($P733="","",$K733&amp;"|"&amp;RIGHT("000000"&amp;$P733,6))</f>
        <v/>
      </c>
    </row>
    <row r="734">
      <c r="A734">
        <f>IF(Sync!$P731="","",Sync!$P731)</f>
        <v/>
      </c>
      <c r="B734">
        <f>IF($A734="","",IF(ISNUMBER($A734),IF(AND($A734&gt;=10000101,$A734&lt;=99991231),INT($A734/10000),""),IFERROR(VALUE(TRIM(LEFT($A734,FIND("/",$A734)-1))),"")))</f>
        <v/>
      </c>
      <c r="C734">
        <f>IF(OR($A734="",$B734=""),"",IF(ISNUMBER($A734),INT(MOD($A734,10000)/100),IFERROR(VALUE(TRIM(LEFT(MID($A734,FIND("/",$A734)+1,20),FIND("/",MID($A734,FIND("/",$A734)+1,20))-1))),"")))</f>
        <v/>
      </c>
      <c r="D734">
        <f>IF(OR($A734="",$B734=""),"",IF(ISNUMBER($A734),MOD($A734,100),IFERROR(VALUE(TRIM(MID(MID($A734,FIND("/",$A734)+1,20),FIND("/",MID($A734,FIND("/",$A734)+1,20))+1,20))),"")))</f>
        <v/>
      </c>
      <c r="E734">
        <f>IF($A734="","",IF(OR($B734="",$C734="",$D734="",$B734&lt;1300,$B734&gt;1500,$C734&lt;1,$C734&gt;12,$D734&lt;1,$D734&gt;31),"نامعتبر",RIGHT("0000"&amp;$B734,4)&amp;"/"&amp;RIGHT("00"&amp;$C734,2)&amp;"/"&amp;RIGHT("00"&amp;$D734,2)))</f>
        <v/>
      </c>
      <c r="F734">
        <f>IF(OR($E734="",$E734="نامعتبر"),"",IF(Sync!$Q731="","0000",IF(AND(ISNUMBER(Sync!$Q731),Sync!$Q731&gt;=0,Sync!$Q731&lt;1),RIGHT("00"&amp;HOUR(Sync!$Q731),2)&amp;RIGHT("00"&amp;MINUTE(Sync!$Q731),2),IFERROR(RIGHT("00"&amp;VALUE(LEFT(Sync!$Q731,FIND(":",Sync!$Q731)-1)),2)&amp;RIGHT("00"&amp;VALUE(MID(Sync!$Q731,FIND(":",Sync!$Q731)+1,2)),2),"0000"))))</f>
        <v/>
      </c>
      <c r="G734">
        <f>IF(OR($E734="",$E734="نامعتبر"),"",IF(Sync!$S731="","",Sync!$S731))</f>
        <v/>
      </c>
      <c r="H734">
        <f>IF(OR($E734="",$E734="نامعتبر"),"",IF(Sync!$R731="","",Sync!$R731))</f>
        <v/>
      </c>
      <c r="I734">
        <f>IF(OR($E734="",$E734="نامعتبر"),"",IF(Sync!$T731="","",Sync!$T731))</f>
        <v/>
      </c>
      <c r="J734">
        <f>IF(OR($E734="",$E734="نامعتبر"),"",IF(Sync!$U731="","",Sync!$U731))</f>
        <v/>
      </c>
      <c r="K734">
        <f>IF(OR($E734="",$E734="نامعتبر"),"",IF(Sync!$V731="","",IFERROR(INDEX(SubCodes,MATCH(Sync!$V731,SubTitles,0)),Sync!$V731)))</f>
        <v/>
      </c>
      <c r="L734">
        <f>IF(OR($E734="",$E734="نامعتبر"),"",IF(Sync!$W731="",0,Sync!$W731))</f>
        <v/>
      </c>
      <c r="M734">
        <f>IF(OR($E734="",$E734="نامعتبر"),"",IF(Sync!$X731="",0,Sync!$X731))</f>
        <v/>
      </c>
      <c r="N734">
        <f>IF(OR($E734="",$E734="نامعتبر"),"",IF(AND($J734="هزینه",$K734&lt;&gt;""),1,0))</f>
        <v/>
      </c>
      <c r="O734">
        <f>IF($N734=0,"",LEFT($E734,4)&amp;MID($E734,6,2)&amp;RIGHT($E734,2)&amp;$F734&amp;"|"&amp;"1"&amp;RIGHT("00000"&amp;726,5))</f>
        <v/>
      </c>
      <c r="P734">
        <f>IF($O734="","",COUNTIFS(ExpSub,$K734,ExpKey,"&lt;"&amp;$O734)+1)</f>
        <v/>
      </c>
      <c r="Q734">
        <f>IF($P734="","",$K734&amp;"|"&amp;RIGHT("000000"&amp;$P734,6))</f>
        <v/>
      </c>
    </row>
    <row r="735">
      <c r="A735">
        <f>IF(Sync!$P732="","",Sync!$P732)</f>
        <v/>
      </c>
      <c r="B735">
        <f>IF($A735="","",IF(ISNUMBER($A735),IF(AND($A735&gt;=10000101,$A735&lt;=99991231),INT($A735/10000),""),IFERROR(VALUE(TRIM(LEFT($A735,FIND("/",$A735)-1))),"")))</f>
        <v/>
      </c>
      <c r="C735">
        <f>IF(OR($A735="",$B735=""),"",IF(ISNUMBER($A735),INT(MOD($A735,10000)/100),IFERROR(VALUE(TRIM(LEFT(MID($A735,FIND("/",$A735)+1,20),FIND("/",MID($A735,FIND("/",$A735)+1,20))-1))),"")))</f>
        <v/>
      </c>
      <c r="D735">
        <f>IF(OR($A735="",$B735=""),"",IF(ISNUMBER($A735),MOD($A735,100),IFERROR(VALUE(TRIM(MID(MID($A735,FIND("/",$A735)+1,20),FIND("/",MID($A735,FIND("/",$A735)+1,20))+1,20))),"")))</f>
        <v/>
      </c>
      <c r="E735">
        <f>IF($A735="","",IF(OR($B735="",$C735="",$D735="",$B735&lt;1300,$B735&gt;1500,$C735&lt;1,$C735&gt;12,$D735&lt;1,$D735&gt;31),"نامعتبر",RIGHT("0000"&amp;$B735,4)&amp;"/"&amp;RIGHT("00"&amp;$C735,2)&amp;"/"&amp;RIGHT("00"&amp;$D735,2)))</f>
        <v/>
      </c>
      <c r="F735">
        <f>IF(OR($E735="",$E735="نامعتبر"),"",IF(Sync!$Q732="","0000",IF(AND(ISNUMBER(Sync!$Q732),Sync!$Q732&gt;=0,Sync!$Q732&lt;1),RIGHT("00"&amp;HOUR(Sync!$Q732),2)&amp;RIGHT("00"&amp;MINUTE(Sync!$Q732),2),IFERROR(RIGHT("00"&amp;VALUE(LEFT(Sync!$Q732,FIND(":",Sync!$Q732)-1)),2)&amp;RIGHT("00"&amp;VALUE(MID(Sync!$Q732,FIND(":",Sync!$Q732)+1,2)),2),"0000"))))</f>
        <v/>
      </c>
      <c r="G735">
        <f>IF(OR($E735="",$E735="نامعتبر"),"",IF(Sync!$S732="","",Sync!$S732))</f>
        <v/>
      </c>
      <c r="H735">
        <f>IF(OR($E735="",$E735="نامعتبر"),"",IF(Sync!$R732="","",Sync!$R732))</f>
        <v/>
      </c>
      <c r="I735">
        <f>IF(OR($E735="",$E735="نامعتبر"),"",IF(Sync!$T732="","",Sync!$T732))</f>
        <v/>
      </c>
      <c r="J735">
        <f>IF(OR($E735="",$E735="نامعتبر"),"",IF(Sync!$U732="","",Sync!$U732))</f>
        <v/>
      </c>
      <c r="K735">
        <f>IF(OR($E735="",$E735="نامعتبر"),"",IF(Sync!$V732="","",IFERROR(INDEX(SubCodes,MATCH(Sync!$V732,SubTitles,0)),Sync!$V732)))</f>
        <v/>
      </c>
      <c r="L735">
        <f>IF(OR($E735="",$E735="نامعتبر"),"",IF(Sync!$W732="",0,Sync!$W732))</f>
        <v/>
      </c>
      <c r="M735">
        <f>IF(OR($E735="",$E735="نامعتبر"),"",IF(Sync!$X732="",0,Sync!$X732))</f>
        <v/>
      </c>
      <c r="N735">
        <f>IF(OR($E735="",$E735="نامعتبر"),"",IF(AND($J735="هزینه",$K735&lt;&gt;""),1,0))</f>
        <v/>
      </c>
      <c r="O735">
        <f>IF($N735=0,"",LEFT($E735,4)&amp;MID($E735,6,2)&amp;RIGHT($E735,2)&amp;$F735&amp;"|"&amp;"1"&amp;RIGHT("00000"&amp;727,5))</f>
        <v/>
      </c>
      <c r="P735">
        <f>IF($O735="","",COUNTIFS(ExpSub,$K735,ExpKey,"&lt;"&amp;$O735)+1)</f>
        <v/>
      </c>
      <c r="Q735">
        <f>IF($P735="","",$K735&amp;"|"&amp;RIGHT("000000"&amp;$P735,6))</f>
        <v/>
      </c>
    </row>
    <row r="736">
      <c r="A736">
        <f>IF(Sync!$P733="","",Sync!$P733)</f>
        <v/>
      </c>
      <c r="B736">
        <f>IF($A736="","",IF(ISNUMBER($A736),IF(AND($A736&gt;=10000101,$A736&lt;=99991231),INT($A736/10000),""),IFERROR(VALUE(TRIM(LEFT($A736,FIND("/",$A736)-1))),"")))</f>
        <v/>
      </c>
      <c r="C736">
        <f>IF(OR($A736="",$B736=""),"",IF(ISNUMBER($A736),INT(MOD($A736,10000)/100),IFERROR(VALUE(TRIM(LEFT(MID($A736,FIND("/",$A736)+1,20),FIND("/",MID($A736,FIND("/",$A736)+1,20))-1))),"")))</f>
        <v/>
      </c>
      <c r="D736">
        <f>IF(OR($A736="",$B736=""),"",IF(ISNUMBER($A736),MOD($A736,100),IFERROR(VALUE(TRIM(MID(MID($A736,FIND("/",$A736)+1,20),FIND("/",MID($A736,FIND("/",$A736)+1,20))+1,20))),"")))</f>
        <v/>
      </c>
      <c r="E736">
        <f>IF($A736="","",IF(OR($B736="",$C736="",$D736="",$B736&lt;1300,$B736&gt;1500,$C736&lt;1,$C736&gt;12,$D736&lt;1,$D736&gt;31),"نامعتبر",RIGHT("0000"&amp;$B736,4)&amp;"/"&amp;RIGHT("00"&amp;$C736,2)&amp;"/"&amp;RIGHT("00"&amp;$D736,2)))</f>
        <v/>
      </c>
      <c r="F736">
        <f>IF(OR($E736="",$E736="نامعتبر"),"",IF(Sync!$Q733="","0000",IF(AND(ISNUMBER(Sync!$Q733),Sync!$Q733&gt;=0,Sync!$Q733&lt;1),RIGHT("00"&amp;HOUR(Sync!$Q733),2)&amp;RIGHT("00"&amp;MINUTE(Sync!$Q733),2),IFERROR(RIGHT("00"&amp;VALUE(LEFT(Sync!$Q733,FIND(":",Sync!$Q733)-1)),2)&amp;RIGHT("00"&amp;VALUE(MID(Sync!$Q733,FIND(":",Sync!$Q733)+1,2)),2),"0000"))))</f>
        <v/>
      </c>
      <c r="G736">
        <f>IF(OR($E736="",$E736="نامعتبر"),"",IF(Sync!$S733="","",Sync!$S733))</f>
        <v/>
      </c>
      <c r="H736">
        <f>IF(OR($E736="",$E736="نامعتبر"),"",IF(Sync!$R733="","",Sync!$R733))</f>
        <v/>
      </c>
      <c r="I736">
        <f>IF(OR($E736="",$E736="نامعتبر"),"",IF(Sync!$T733="","",Sync!$T733))</f>
        <v/>
      </c>
      <c r="J736">
        <f>IF(OR($E736="",$E736="نامعتبر"),"",IF(Sync!$U733="","",Sync!$U733))</f>
        <v/>
      </c>
      <c r="K736">
        <f>IF(OR($E736="",$E736="نامعتبر"),"",IF(Sync!$V733="","",IFERROR(INDEX(SubCodes,MATCH(Sync!$V733,SubTitles,0)),Sync!$V733)))</f>
        <v/>
      </c>
      <c r="L736">
        <f>IF(OR($E736="",$E736="نامعتبر"),"",IF(Sync!$W733="",0,Sync!$W733))</f>
        <v/>
      </c>
      <c r="M736">
        <f>IF(OR($E736="",$E736="نامعتبر"),"",IF(Sync!$X733="",0,Sync!$X733))</f>
        <v/>
      </c>
      <c r="N736">
        <f>IF(OR($E736="",$E736="نامعتبر"),"",IF(AND($J736="هزینه",$K736&lt;&gt;""),1,0))</f>
        <v/>
      </c>
      <c r="O736">
        <f>IF($N736=0,"",LEFT($E736,4)&amp;MID($E736,6,2)&amp;RIGHT($E736,2)&amp;$F736&amp;"|"&amp;"1"&amp;RIGHT("00000"&amp;728,5))</f>
        <v/>
      </c>
      <c r="P736">
        <f>IF($O736="","",COUNTIFS(ExpSub,$K736,ExpKey,"&lt;"&amp;$O736)+1)</f>
        <v/>
      </c>
      <c r="Q736">
        <f>IF($P736="","",$K736&amp;"|"&amp;RIGHT("000000"&amp;$P736,6))</f>
        <v/>
      </c>
    </row>
    <row r="737">
      <c r="A737">
        <f>IF(Sync!$P734="","",Sync!$P734)</f>
        <v/>
      </c>
      <c r="B737">
        <f>IF($A737="","",IF(ISNUMBER($A737),IF(AND($A737&gt;=10000101,$A737&lt;=99991231),INT($A737/10000),""),IFERROR(VALUE(TRIM(LEFT($A737,FIND("/",$A737)-1))),"")))</f>
        <v/>
      </c>
      <c r="C737">
        <f>IF(OR($A737="",$B737=""),"",IF(ISNUMBER($A737),INT(MOD($A737,10000)/100),IFERROR(VALUE(TRIM(LEFT(MID($A737,FIND("/",$A737)+1,20),FIND("/",MID($A737,FIND("/",$A737)+1,20))-1))),"")))</f>
        <v/>
      </c>
      <c r="D737">
        <f>IF(OR($A737="",$B737=""),"",IF(ISNUMBER($A737),MOD($A737,100),IFERROR(VALUE(TRIM(MID(MID($A737,FIND("/",$A737)+1,20),FIND("/",MID($A737,FIND("/",$A737)+1,20))+1,20))),"")))</f>
        <v/>
      </c>
      <c r="E737">
        <f>IF($A737="","",IF(OR($B737="",$C737="",$D737="",$B737&lt;1300,$B737&gt;1500,$C737&lt;1,$C737&gt;12,$D737&lt;1,$D737&gt;31),"نامعتبر",RIGHT("0000"&amp;$B737,4)&amp;"/"&amp;RIGHT("00"&amp;$C737,2)&amp;"/"&amp;RIGHT("00"&amp;$D737,2)))</f>
        <v/>
      </c>
      <c r="F737">
        <f>IF(OR($E737="",$E737="نامعتبر"),"",IF(Sync!$Q734="","0000",IF(AND(ISNUMBER(Sync!$Q734),Sync!$Q734&gt;=0,Sync!$Q734&lt;1),RIGHT("00"&amp;HOUR(Sync!$Q734),2)&amp;RIGHT("00"&amp;MINUTE(Sync!$Q734),2),IFERROR(RIGHT("00"&amp;VALUE(LEFT(Sync!$Q734,FIND(":",Sync!$Q734)-1)),2)&amp;RIGHT("00"&amp;VALUE(MID(Sync!$Q734,FIND(":",Sync!$Q734)+1,2)),2),"0000"))))</f>
        <v/>
      </c>
      <c r="G737">
        <f>IF(OR($E737="",$E737="نامعتبر"),"",IF(Sync!$S734="","",Sync!$S734))</f>
        <v/>
      </c>
      <c r="H737">
        <f>IF(OR($E737="",$E737="نامعتبر"),"",IF(Sync!$R734="","",Sync!$R734))</f>
        <v/>
      </c>
      <c r="I737">
        <f>IF(OR($E737="",$E737="نامعتبر"),"",IF(Sync!$T734="","",Sync!$T734))</f>
        <v/>
      </c>
      <c r="J737">
        <f>IF(OR($E737="",$E737="نامعتبر"),"",IF(Sync!$U734="","",Sync!$U734))</f>
        <v/>
      </c>
      <c r="K737">
        <f>IF(OR($E737="",$E737="نامعتبر"),"",IF(Sync!$V734="","",IFERROR(INDEX(SubCodes,MATCH(Sync!$V734,SubTitles,0)),Sync!$V734)))</f>
        <v/>
      </c>
      <c r="L737">
        <f>IF(OR($E737="",$E737="نامعتبر"),"",IF(Sync!$W734="",0,Sync!$W734))</f>
        <v/>
      </c>
      <c r="M737">
        <f>IF(OR($E737="",$E737="نامعتبر"),"",IF(Sync!$X734="",0,Sync!$X734))</f>
        <v/>
      </c>
      <c r="N737">
        <f>IF(OR($E737="",$E737="نامعتبر"),"",IF(AND($J737="هزینه",$K737&lt;&gt;""),1,0))</f>
        <v/>
      </c>
      <c r="O737">
        <f>IF($N737=0,"",LEFT($E737,4)&amp;MID($E737,6,2)&amp;RIGHT($E737,2)&amp;$F737&amp;"|"&amp;"1"&amp;RIGHT("00000"&amp;729,5))</f>
        <v/>
      </c>
      <c r="P737">
        <f>IF($O737="","",COUNTIFS(ExpSub,$K737,ExpKey,"&lt;"&amp;$O737)+1)</f>
        <v/>
      </c>
      <c r="Q737">
        <f>IF($P737="","",$K737&amp;"|"&amp;RIGHT("000000"&amp;$P737,6))</f>
        <v/>
      </c>
    </row>
    <row r="738">
      <c r="A738">
        <f>IF(Sync!$P735="","",Sync!$P735)</f>
        <v/>
      </c>
      <c r="B738">
        <f>IF($A738="","",IF(ISNUMBER($A738),IF(AND($A738&gt;=10000101,$A738&lt;=99991231),INT($A738/10000),""),IFERROR(VALUE(TRIM(LEFT($A738,FIND("/",$A738)-1))),"")))</f>
        <v/>
      </c>
      <c r="C738">
        <f>IF(OR($A738="",$B738=""),"",IF(ISNUMBER($A738),INT(MOD($A738,10000)/100),IFERROR(VALUE(TRIM(LEFT(MID($A738,FIND("/",$A738)+1,20),FIND("/",MID($A738,FIND("/",$A738)+1,20))-1))),"")))</f>
        <v/>
      </c>
      <c r="D738">
        <f>IF(OR($A738="",$B738=""),"",IF(ISNUMBER($A738),MOD($A738,100),IFERROR(VALUE(TRIM(MID(MID($A738,FIND("/",$A738)+1,20),FIND("/",MID($A738,FIND("/",$A738)+1,20))+1,20))),"")))</f>
        <v/>
      </c>
      <c r="E738">
        <f>IF($A738="","",IF(OR($B738="",$C738="",$D738="",$B738&lt;1300,$B738&gt;1500,$C738&lt;1,$C738&gt;12,$D738&lt;1,$D738&gt;31),"نامعتبر",RIGHT("0000"&amp;$B738,4)&amp;"/"&amp;RIGHT("00"&amp;$C738,2)&amp;"/"&amp;RIGHT("00"&amp;$D738,2)))</f>
        <v/>
      </c>
      <c r="F738">
        <f>IF(OR($E738="",$E738="نامعتبر"),"",IF(Sync!$Q735="","0000",IF(AND(ISNUMBER(Sync!$Q735),Sync!$Q735&gt;=0,Sync!$Q735&lt;1),RIGHT("00"&amp;HOUR(Sync!$Q735),2)&amp;RIGHT("00"&amp;MINUTE(Sync!$Q735),2),IFERROR(RIGHT("00"&amp;VALUE(LEFT(Sync!$Q735,FIND(":",Sync!$Q735)-1)),2)&amp;RIGHT("00"&amp;VALUE(MID(Sync!$Q735,FIND(":",Sync!$Q735)+1,2)),2),"0000"))))</f>
        <v/>
      </c>
      <c r="G738">
        <f>IF(OR($E738="",$E738="نامعتبر"),"",IF(Sync!$S735="","",Sync!$S735))</f>
        <v/>
      </c>
      <c r="H738">
        <f>IF(OR($E738="",$E738="نامعتبر"),"",IF(Sync!$R735="","",Sync!$R735))</f>
        <v/>
      </c>
      <c r="I738">
        <f>IF(OR($E738="",$E738="نامعتبر"),"",IF(Sync!$T735="","",Sync!$T735))</f>
        <v/>
      </c>
      <c r="J738">
        <f>IF(OR($E738="",$E738="نامعتبر"),"",IF(Sync!$U735="","",Sync!$U735))</f>
        <v/>
      </c>
      <c r="K738">
        <f>IF(OR($E738="",$E738="نامعتبر"),"",IF(Sync!$V735="","",IFERROR(INDEX(SubCodes,MATCH(Sync!$V735,SubTitles,0)),Sync!$V735)))</f>
        <v/>
      </c>
      <c r="L738">
        <f>IF(OR($E738="",$E738="نامعتبر"),"",IF(Sync!$W735="",0,Sync!$W735))</f>
        <v/>
      </c>
      <c r="M738">
        <f>IF(OR($E738="",$E738="نامعتبر"),"",IF(Sync!$X735="",0,Sync!$X735))</f>
        <v/>
      </c>
      <c r="N738">
        <f>IF(OR($E738="",$E738="نامعتبر"),"",IF(AND($J738="هزینه",$K738&lt;&gt;""),1,0))</f>
        <v/>
      </c>
      <c r="O738">
        <f>IF($N738=0,"",LEFT($E738,4)&amp;MID($E738,6,2)&amp;RIGHT($E738,2)&amp;$F738&amp;"|"&amp;"1"&amp;RIGHT("00000"&amp;730,5))</f>
        <v/>
      </c>
      <c r="P738">
        <f>IF($O738="","",COUNTIFS(ExpSub,$K738,ExpKey,"&lt;"&amp;$O738)+1)</f>
        <v/>
      </c>
      <c r="Q738">
        <f>IF($P738="","",$K738&amp;"|"&amp;RIGHT("000000"&amp;$P738,6))</f>
        <v/>
      </c>
    </row>
    <row r="739">
      <c r="A739">
        <f>IF(Sync!$P736="","",Sync!$P736)</f>
        <v/>
      </c>
      <c r="B739">
        <f>IF($A739="","",IF(ISNUMBER($A739),IF(AND($A739&gt;=10000101,$A739&lt;=99991231),INT($A739/10000),""),IFERROR(VALUE(TRIM(LEFT($A739,FIND("/",$A739)-1))),"")))</f>
        <v/>
      </c>
      <c r="C739">
        <f>IF(OR($A739="",$B739=""),"",IF(ISNUMBER($A739),INT(MOD($A739,10000)/100),IFERROR(VALUE(TRIM(LEFT(MID($A739,FIND("/",$A739)+1,20),FIND("/",MID($A739,FIND("/",$A739)+1,20))-1))),"")))</f>
        <v/>
      </c>
      <c r="D739">
        <f>IF(OR($A739="",$B739=""),"",IF(ISNUMBER($A739),MOD($A739,100),IFERROR(VALUE(TRIM(MID(MID($A739,FIND("/",$A739)+1,20),FIND("/",MID($A739,FIND("/",$A739)+1,20))+1,20))),"")))</f>
        <v/>
      </c>
      <c r="E739">
        <f>IF($A739="","",IF(OR($B739="",$C739="",$D739="",$B739&lt;1300,$B739&gt;1500,$C739&lt;1,$C739&gt;12,$D739&lt;1,$D739&gt;31),"نامعتبر",RIGHT("0000"&amp;$B739,4)&amp;"/"&amp;RIGHT("00"&amp;$C739,2)&amp;"/"&amp;RIGHT("00"&amp;$D739,2)))</f>
        <v/>
      </c>
      <c r="F739">
        <f>IF(OR($E739="",$E739="نامعتبر"),"",IF(Sync!$Q736="","0000",IF(AND(ISNUMBER(Sync!$Q736),Sync!$Q736&gt;=0,Sync!$Q736&lt;1),RIGHT("00"&amp;HOUR(Sync!$Q736),2)&amp;RIGHT("00"&amp;MINUTE(Sync!$Q736),2),IFERROR(RIGHT("00"&amp;VALUE(LEFT(Sync!$Q736,FIND(":",Sync!$Q736)-1)),2)&amp;RIGHT("00"&amp;VALUE(MID(Sync!$Q736,FIND(":",Sync!$Q736)+1,2)),2),"0000"))))</f>
        <v/>
      </c>
      <c r="G739">
        <f>IF(OR($E739="",$E739="نامعتبر"),"",IF(Sync!$S736="","",Sync!$S736))</f>
        <v/>
      </c>
      <c r="H739">
        <f>IF(OR($E739="",$E739="نامعتبر"),"",IF(Sync!$R736="","",Sync!$R736))</f>
        <v/>
      </c>
      <c r="I739">
        <f>IF(OR($E739="",$E739="نامعتبر"),"",IF(Sync!$T736="","",Sync!$T736))</f>
        <v/>
      </c>
      <c r="J739">
        <f>IF(OR($E739="",$E739="نامعتبر"),"",IF(Sync!$U736="","",Sync!$U736))</f>
        <v/>
      </c>
      <c r="K739">
        <f>IF(OR($E739="",$E739="نامعتبر"),"",IF(Sync!$V736="","",IFERROR(INDEX(SubCodes,MATCH(Sync!$V736,SubTitles,0)),Sync!$V736)))</f>
        <v/>
      </c>
      <c r="L739">
        <f>IF(OR($E739="",$E739="نامعتبر"),"",IF(Sync!$W736="",0,Sync!$W736))</f>
        <v/>
      </c>
      <c r="M739">
        <f>IF(OR($E739="",$E739="نامعتبر"),"",IF(Sync!$X736="",0,Sync!$X736))</f>
        <v/>
      </c>
      <c r="N739">
        <f>IF(OR($E739="",$E739="نامعتبر"),"",IF(AND($J739="هزینه",$K739&lt;&gt;""),1,0))</f>
        <v/>
      </c>
      <c r="O739">
        <f>IF($N739=0,"",LEFT($E739,4)&amp;MID($E739,6,2)&amp;RIGHT($E739,2)&amp;$F739&amp;"|"&amp;"1"&amp;RIGHT("00000"&amp;731,5))</f>
        <v/>
      </c>
      <c r="P739">
        <f>IF($O739="","",COUNTIFS(ExpSub,$K739,ExpKey,"&lt;"&amp;$O739)+1)</f>
        <v/>
      </c>
      <c r="Q739">
        <f>IF($P739="","",$K739&amp;"|"&amp;RIGHT("000000"&amp;$P739,6))</f>
        <v/>
      </c>
    </row>
    <row r="740">
      <c r="A740">
        <f>IF(Sync!$P737="","",Sync!$P737)</f>
        <v/>
      </c>
      <c r="B740">
        <f>IF($A740="","",IF(ISNUMBER($A740),IF(AND($A740&gt;=10000101,$A740&lt;=99991231),INT($A740/10000),""),IFERROR(VALUE(TRIM(LEFT($A740,FIND("/",$A740)-1))),"")))</f>
        <v/>
      </c>
      <c r="C740">
        <f>IF(OR($A740="",$B740=""),"",IF(ISNUMBER($A740),INT(MOD($A740,10000)/100),IFERROR(VALUE(TRIM(LEFT(MID($A740,FIND("/",$A740)+1,20),FIND("/",MID($A740,FIND("/",$A740)+1,20))-1))),"")))</f>
        <v/>
      </c>
      <c r="D740">
        <f>IF(OR($A740="",$B740=""),"",IF(ISNUMBER($A740),MOD($A740,100),IFERROR(VALUE(TRIM(MID(MID($A740,FIND("/",$A740)+1,20),FIND("/",MID($A740,FIND("/",$A740)+1,20))+1,20))),"")))</f>
        <v/>
      </c>
      <c r="E740">
        <f>IF($A740="","",IF(OR($B740="",$C740="",$D740="",$B740&lt;1300,$B740&gt;1500,$C740&lt;1,$C740&gt;12,$D740&lt;1,$D740&gt;31),"نامعتبر",RIGHT("0000"&amp;$B740,4)&amp;"/"&amp;RIGHT("00"&amp;$C740,2)&amp;"/"&amp;RIGHT("00"&amp;$D740,2)))</f>
        <v/>
      </c>
      <c r="F740">
        <f>IF(OR($E740="",$E740="نامعتبر"),"",IF(Sync!$Q737="","0000",IF(AND(ISNUMBER(Sync!$Q737),Sync!$Q737&gt;=0,Sync!$Q737&lt;1),RIGHT("00"&amp;HOUR(Sync!$Q737),2)&amp;RIGHT("00"&amp;MINUTE(Sync!$Q737),2),IFERROR(RIGHT("00"&amp;VALUE(LEFT(Sync!$Q737,FIND(":",Sync!$Q737)-1)),2)&amp;RIGHT("00"&amp;VALUE(MID(Sync!$Q737,FIND(":",Sync!$Q737)+1,2)),2),"0000"))))</f>
        <v/>
      </c>
      <c r="G740">
        <f>IF(OR($E740="",$E740="نامعتبر"),"",IF(Sync!$S737="","",Sync!$S737))</f>
        <v/>
      </c>
      <c r="H740">
        <f>IF(OR($E740="",$E740="نامعتبر"),"",IF(Sync!$R737="","",Sync!$R737))</f>
        <v/>
      </c>
      <c r="I740">
        <f>IF(OR($E740="",$E740="نامعتبر"),"",IF(Sync!$T737="","",Sync!$T737))</f>
        <v/>
      </c>
      <c r="J740">
        <f>IF(OR($E740="",$E740="نامعتبر"),"",IF(Sync!$U737="","",Sync!$U737))</f>
        <v/>
      </c>
      <c r="K740">
        <f>IF(OR($E740="",$E740="نامعتبر"),"",IF(Sync!$V737="","",IFERROR(INDEX(SubCodes,MATCH(Sync!$V737,SubTitles,0)),Sync!$V737)))</f>
        <v/>
      </c>
      <c r="L740">
        <f>IF(OR($E740="",$E740="نامعتبر"),"",IF(Sync!$W737="",0,Sync!$W737))</f>
        <v/>
      </c>
      <c r="M740">
        <f>IF(OR($E740="",$E740="نامعتبر"),"",IF(Sync!$X737="",0,Sync!$X737))</f>
        <v/>
      </c>
      <c r="N740">
        <f>IF(OR($E740="",$E740="نامعتبر"),"",IF(AND($J740="هزینه",$K740&lt;&gt;""),1,0))</f>
        <v/>
      </c>
      <c r="O740">
        <f>IF($N740=0,"",LEFT($E740,4)&amp;MID($E740,6,2)&amp;RIGHT($E740,2)&amp;$F740&amp;"|"&amp;"1"&amp;RIGHT("00000"&amp;732,5))</f>
        <v/>
      </c>
      <c r="P740">
        <f>IF($O740="","",COUNTIFS(ExpSub,$K740,ExpKey,"&lt;"&amp;$O740)+1)</f>
        <v/>
      </c>
      <c r="Q740">
        <f>IF($P740="","",$K740&amp;"|"&amp;RIGHT("000000"&amp;$P740,6))</f>
        <v/>
      </c>
    </row>
    <row r="741">
      <c r="A741">
        <f>IF(Sync!$P738="","",Sync!$P738)</f>
        <v/>
      </c>
      <c r="B741">
        <f>IF($A741="","",IF(ISNUMBER($A741),IF(AND($A741&gt;=10000101,$A741&lt;=99991231),INT($A741/10000),""),IFERROR(VALUE(TRIM(LEFT($A741,FIND("/",$A741)-1))),"")))</f>
        <v/>
      </c>
      <c r="C741">
        <f>IF(OR($A741="",$B741=""),"",IF(ISNUMBER($A741),INT(MOD($A741,10000)/100),IFERROR(VALUE(TRIM(LEFT(MID($A741,FIND("/",$A741)+1,20),FIND("/",MID($A741,FIND("/",$A741)+1,20))-1))),"")))</f>
        <v/>
      </c>
      <c r="D741">
        <f>IF(OR($A741="",$B741=""),"",IF(ISNUMBER($A741),MOD($A741,100),IFERROR(VALUE(TRIM(MID(MID($A741,FIND("/",$A741)+1,20),FIND("/",MID($A741,FIND("/",$A741)+1,20))+1,20))),"")))</f>
        <v/>
      </c>
      <c r="E741">
        <f>IF($A741="","",IF(OR($B741="",$C741="",$D741="",$B741&lt;1300,$B741&gt;1500,$C741&lt;1,$C741&gt;12,$D741&lt;1,$D741&gt;31),"نامعتبر",RIGHT("0000"&amp;$B741,4)&amp;"/"&amp;RIGHT("00"&amp;$C741,2)&amp;"/"&amp;RIGHT("00"&amp;$D741,2)))</f>
        <v/>
      </c>
      <c r="F741">
        <f>IF(OR($E741="",$E741="نامعتبر"),"",IF(Sync!$Q738="","0000",IF(AND(ISNUMBER(Sync!$Q738),Sync!$Q738&gt;=0,Sync!$Q738&lt;1),RIGHT("00"&amp;HOUR(Sync!$Q738),2)&amp;RIGHT("00"&amp;MINUTE(Sync!$Q738),2),IFERROR(RIGHT("00"&amp;VALUE(LEFT(Sync!$Q738,FIND(":",Sync!$Q738)-1)),2)&amp;RIGHT("00"&amp;VALUE(MID(Sync!$Q738,FIND(":",Sync!$Q738)+1,2)),2),"0000"))))</f>
        <v/>
      </c>
      <c r="G741">
        <f>IF(OR($E741="",$E741="نامعتبر"),"",IF(Sync!$S738="","",Sync!$S738))</f>
        <v/>
      </c>
      <c r="H741">
        <f>IF(OR($E741="",$E741="نامعتبر"),"",IF(Sync!$R738="","",Sync!$R738))</f>
        <v/>
      </c>
      <c r="I741">
        <f>IF(OR($E741="",$E741="نامعتبر"),"",IF(Sync!$T738="","",Sync!$T738))</f>
        <v/>
      </c>
      <c r="J741">
        <f>IF(OR($E741="",$E741="نامعتبر"),"",IF(Sync!$U738="","",Sync!$U738))</f>
        <v/>
      </c>
      <c r="K741">
        <f>IF(OR($E741="",$E741="نامعتبر"),"",IF(Sync!$V738="","",IFERROR(INDEX(SubCodes,MATCH(Sync!$V738,SubTitles,0)),Sync!$V738)))</f>
        <v/>
      </c>
      <c r="L741">
        <f>IF(OR($E741="",$E741="نامعتبر"),"",IF(Sync!$W738="",0,Sync!$W738))</f>
        <v/>
      </c>
      <c r="M741">
        <f>IF(OR($E741="",$E741="نامعتبر"),"",IF(Sync!$X738="",0,Sync!$X738))</f>
        <v/>
      </c>
      <c r="N741">
        <f>IF(OR($E741="",$E741="نامعتبر"),"",IF(AND($J741="هزینه",$K741&lt;&gt;""),1,0))</f>
        <v/>
      </c>
      <c r="O741">
        <f>IF($N741=0,"",LEFT($E741,4)&amp;MID($E741,6,2)&amp;RIGHT($E741,2)&amp;$F741&amp;"|"&amp;"1"&amp;RIGHT("00000"&amp;733,5))</f>
        <v/>
      </c>
      <c r="P741">
        <f>IF($O741="","",COUNTIFS(ExpSub,$K741,ExpKey,"&lt;"&amp;$O741)+1)</f>
        <v/>
      </c>
      <c r="Q741">
        <f>IF($P741="","",$K741&amp;"|"&amp;RIGHT("000000"&amp;$P741,6))</f>
        <v/>
      </c>
    </row>
    <row r="742">
      <c r="A742">
        <f>IF(Sync!$P739="","",Sync!$P739)</f>
        <v/>
      </c>
      <c r="B742">
        <f>IF($A742="","",IF(ISNUMBER($A742),IF(AND($A742&gt;=10000101,$A742&lt;=99991231),INT($A742/10000),""),IFERROR(VALUE(TRIM(LEFT($A742,FIND("/",$A742)-1))),"")))</f>
        <v/>
      </c>
      <c r="C742">
        <f>IF(OR($A742="",$B742=""),"",IF(ISNUMBER($A742),INT(MOD($A742,10000)/100),IFERROR(VALUE(TRIM(LEFT(MID($A742,FIND("/",$A742)+1,20),FIND("/",MID($A742,FIND("/",$A742)+1,20))-1))),"")))</f>
        <v/>
      </c>
      <c r="D742">
        <f>IF(OR($A742="",$B742=""),"",IF(ISNUMBER($A742),MOD($A742,100),IFERROR(VALUE(TRIM(MID(MID($A742,FIND("/",$A742)+1,20),FIND("/",MID($A742,FIND("/",$A742)+1,20))+1,20))),"")))</f>
        <v/>
      </c>
      <c r="E742">
        <f>IF($A742="","",IF(OR($B742="",$C742="",$D742="",$B742&lt;1300,$B742&gt;1500,$C742&lt;1,$C742&gt;12,$D742&lt;1,$D742&gt;31),"نامعتبر",RIGHT("0000"&amp;$B742,4)&amp;"/"&amp;RIGHT("00"&amp;$C742,2)&amp;"/"&amp;RIGHT("00"&amp;$D742,2)))</f>
        <v/>
      </c>
      <c r="F742">
        <f>IF(OR($E742="",$E742="نامعتبر"),"",IF(Sync!$Q739="","0000",IF(AND(ISNUMBER(Sync!$Q739),Sync!$Q739&gt;=0,Sync!$Q739&lt;1),RIGHT("00"&amp;HOUR(Sync!$Q739),2)&amp;RIGHT("00"&amp;MINUTE(Sync!$Q739),2),IFERROR(RIGHT("00"&amp;VALUE(LEFT(Sync!$Q739,FIND(":",Sync!$Q739)-1)),2)&amp;RIGHT("00"&amp;VALUE(MID(Sync!$Q739,FIND(":",Sync!$Q739)+1,2)),2),"0000"))))</f>
        <v/>
      </c>
      <c r="G742">
        <f>IF(OR($E742="",$E742="نامعتبر"),"",IF(Sync!$S739="","",Sync!$S739))</f>
        <v/>
      </c>
      <c r="H742">
        <f>IF(OR($E742="",$E742="نامعتبر"),"",IF(Sync!$R739="","",Sync!$R739))</f>
        <v/>
      </c>
      <c r="I742">
        <f>IF(OR($E742="",$E742="نامعتبر"),"",IF(Sync!$T739="","",Sync!$T739))</f>
        <v/>
      </c>
      <c r="J742">
        <f>IF(OR($E742="",$E742="نامعتبر"),"",IF(Sync!$U739="","",Sync!$U739))</f>
        <v/>
      </c>
      <c r="K742">
        <f>IF(OR($E742="",$E742="نامعتبر"),"",IF(Sync!$V739="","",IFERROR(INDEX(SubCodes,MATCH(Sync!$V739,SubTitles,0)),Sync!$V739)))</f>
        <v/>
      </c>
      <c r="L742">
        <f>IF(OR($E742="",$E742="نامعتبر"),"",IF(Sync!$W739="",0,Sync!$W739))</f>
        <v/>
      </c>
      <c r="M742">
        <f>IF(OR($E742="",$E742="نامعتبر"),"",IF(Sync!$X739="",0,Sync!$X739))</f>
        <v/>
      </c>
      <c r="N742">
        <f>IF(OR($E742="",$E742="نامعتبر"),"",IF(AND($J742="هزینه",$K742&lt;&gt;""),1,0))</f>
        <v/>
      </c>
      <c r="O742">
        <f>IF($N742=0,"",LEFT($E742,4)&amp;MID($E742,6,2)&amp;RIGHT($E742,2)&amp;$F742&amp;"|"&amp;"1"&amp;RIGHT("00000"&amp;734,5))</f>
        <v/>
      </c>
      <c r="P742">
        <f>IF($O742="","",COUNTIFS(ExpSub,$K742,ExpKey,"&lt;"&amp;$O742)+1)</f>
        <v/>
      </c>
      <c r="Q742">
        <f>IF($P742="","",$K742&amp;"|"&amp;RIGHT("000000"&amp;$P742,6))</f>
        <v/>
      </c>
    </row>
    <row r="743">
      <c r="A743">
        <f>IF(Sync!$P740="","",Sync!$P740)</f>
        <v/>
      </c>
      <c r="B743">
        <f>IF($A743="","",IF(ISNUMBER($A743),IF(AND($A743&gt;=10000101,$A743&lt;=99991231),INT($A743/10000),""),IFERROR(VALUE(TRIM(LEFT($A743,FIND("/",$A743)-1))),"")))</f>
        <v/>
      </c>
      <c r="C743">
        <f>IF(OR($A743="",$B743=""),"",IF(ISNUMBER($A743),INT(MOD($A743,10000)/100),IFERROR(VALUE(TRIM(LEFT(MID($A743,FIND("/",$A743)+1,20),FIND("/",MID($A743,FIND("/",$A743)+1,20))-1))),"")))</f>
        <v/>
      </c>
      <c r="D743">
        <f>IF(OR($A743="",$B743=""),"",IF(ISNUMBER($A743),MOD($A743,100),IFERROR(VALUE(TRIM(MID(MID($A743,FIND("/",$A743)+1,20),FIND("/",MID($A743,FIND("/",$A743)+1,20))+1,20))),"")))</f>
        <v/>
      </c>
      <c r="E743">
        <f>IF($A743="","",IF(OR($B743="",$C743="",$D743="",$B743&lt;1300,$B743&gt;1500,$C743&lt;1,$C743&gt;12,$D743&lt;1,$D743&gt;31),"نامعتبر",RIGHT("0000"&amp;$B743,4)&amp;"/"&amp;RIGHT("00"&amp;$C743,2)&amp;"/"&amp;RIGHT("00"&amp;$D743,2)))</f>
        <v/>
      </c>
      <c r="F743">
        <f>IF(OR($E743="",$E743="نامعتبر"),"",IF(Sync!$Q740="","0000",IF(AND(ISNUMBER(Sync!$Q740),Sync!$Q740&gt;=0,Sync!$Q740&lt;1),RIGHT("00"&amp;HOUR(Sync!$Q740),2)&amp;RIGHT("00"&amp;MINUTE(Sync!$Q740),2),IFERROR(RIGHT("00"&amp;VALUE(LEFT(Sync!$Q740,FIND(":",Sync!$Q740)-1)),2)&amp;RIGHT("00"&amp;VALUE(MID(Sync!$Q740,FIND(":",Sync!$Q740)+1,2)),2),"0000"))))</f>
        <v/>
      </c>
      <c r="G743">
        <f>IF(OR($E743="",$E743="نامعتبر"),"",IF(Sync!$S740="","",Sync!$S740))</f>
        <v/>
      </c>
      <c r="H743">
        <f>IF(OR($E743="",$E743="نامعتبر"),"",IF(Sync!$R740="","",Sync!$R740))</f>
        <v/>
      </c>
      <c r="I743">
        <f>IF(OR($E743="",$E743="نامعتبر"),"",IF(Sync!$T740="","",Sync!$T740))</f>
        <v/>
      </c>
      <c r="J743">
        <f>IF(OR($E743="",$E743="نامعتبر"),"",IF(Sync!$U740="","",Sync!$U740))</f>
        <v/>
      </c>
      <c r="K743">
        <f>IF(OR($E743="",$E743="نامعتبر"),"",IF(Sync!$V740="","",IFERROR(INDEX(SubCodes,MATCH(Sync!$V740,SubTitles,0)),Sync!$V740)))</f>
        <v/>
      </c>
      <c r="L743">
        <f>IF(OR($E743="",$E743="نامعتبر"),"",IF(Sync!$W740="",0,Sync!$W740))</f>
        <v/>
      </c>
      <c r="M743">
        <f>IF(OR($E743="",$E743="نامعتبر"),"",IF(Sync!$X740="",0,Sync!$X740))</f>
        <v/>
      </c>
      <c r="N743">
        <f>IF(OR($E743="",$E743="نامعتبر"),"",IF(AND($J743="هزینه",$K743&lt;&gt;""),1,0))</f>
        <v/>
      </c>
      <c r="O743">
        <f>IF($N743=0,"",LEFT($E743,4)&amp;MID($E743,6,2)&amp;RIGHT($E743,2)&amp;$F743&amp;"|"&amp;"1"&amp;RIGHT("00000"&amp;735,5))</f>
        <v/>
      </c>
      <c r="P743">
        <f>IF($O743="","",COUNTIFS(ExpSub,$K743,ExpKey,"&lt;"&amp;$O743)+1)</f>
        <v/>
      </c>
      <c r="Q743">
        <f>IF($P743="","",$K743&amp;"|"&amp;RIGHT("000000"&amp;$P743,6))</f>
        <v/>
      </c>
    </row>
    <row r="744">
      <c r="A744">
        <f>IF(Sync!$P741="","",Sync!$P741)</f>
        <v/>
      </c>
      <c r="B744">
        <f>IF($A744="","",IF(ISNUMBER($A744),IF(AND($A744&gt;=10000101,$A744&lt;=99991231),INT($A744/10000),""),IFERROR(VALUE(TRIM(LEFT($A744,FIND("/",$A744)-1))),"")))</f>
        <v/>
      </c>
      <c r="C744">
        <f>IF(OR($A744="",$B744=""),"",IF(ISNUMBER($A744),INT(MOD($A744,10000)/100),IFERROR(VALUE(TRIM(LEFT(MID($A744,FIND("/",$A744)+1,20),FIND("/",MID($A744,FIND("/",$A744)+1,20))-1))),"")))</f>
        <v/>
      </c>
      <c r="D744">
        <f>IF(OR($A744="",$B744=""),"",IF(ISNUMBER($A744),MOD($A744,100),IFERROR(VALUE(TRIM(MID(MID($A744,FIND("/",$A744)+1,20),FIND("/",MID($A744,FIND("/",$A744)+1,20))+1,20))),"")))</f>
        <v/>
      </c>
      <c r="E744">
        <f>IF($A744="","",IF(OR($B744="",$C744="",$D744="",$B744&lt;1300,$B744&gt;1500,$C744&lt;1,$C744&gt;12,$D744&lt;1,$D744&gt;31),"نامعتبر",RIGHT("0000"&amp;$B744,4)&amp;"/"&amp;RIGHT("00"&amp;$C744,2)&amp;"/"&amp;RIGHT("00"&amp;$D744,2)))</f>
        <v/>
      </c>
      <c r="F744">
        <f>IF(OR($E744="",$E744="نامعتبر"),"",IF(Sync!$Q741="","0000",IF(AND(ISNUMBER(Sync!$Q741),Sync!$Q741&gt;=0,Sync!$Q741&lt;1),RIGHT("00"&amp;HOUR(Sync!$Q741),2)&amp;RIGHT("00"&amp;MINUTE(Sync!$Q741),2),IFERROR(RIGHT("00"&amp;VALUE(LEFT(Sync!$Q741,FIND(":",Sync!$Q741)-1)),2)&amp;RIGHT("00"&amp;VALUE(MID(Sync!$Q741,FIND(":",Sync!$Q741)+1,2)),2),"0000"))))</f>
        <v/>
      </c>
      <c r="G744">
        <f>IF(OR($E744="",$E744="نامعتبر"),"",IF(Sync!$S741="","",Sync!$S741))</f>
        <v/>
      </c>
      <c r="H744">
        <f>IF(OR($E744="",$E744="نامعتبر"),"",IF(Sync!$R741="","",Sync!$R741))</f>
        <v/>
      </c>
      <c r="I744">
        <f>IF(OR($E744="",$E744="نامعتبر"),"",IF(Sync!$T741="","",Sync!$T741))</f>
        <v/>
      </c>
      <c r="J744">
        <f>IF(OR($E744="",$E744="نامعتبر"),"",IF(Sync!$U741="","",Sync!$U741))</f>
        <v/>
      </c>
      <c r="K744">
        <f>IF(OR($E744="",$E744="نامعتبر"),"",IF(Sync!$V741="","",IFERROR(INDEX(SubCodes,MATCH(Sync!$V741,SubTitles,0)),Sync!$V741)))</f>
        <v/>
      </c>
      <c r="L744">
        <f>IF(OR($E744="",$E744="نامعتبر"),"",IF(Sync!$W741="",0,Sync!$W741))</f>
        <v/>
      </c>
      <c r="M744">
        <f>IF(OR($E744="",$E744="نامعتبر"),"",IF(Sync!$X741="",0,Sync!$X741))</f>
        <v/>
      </c>
      <c r="N744">
        <f>IF(OR($E744="",$E744="نامعتبر"),"",IF(AND($J744="هزینه",$K744&lt;&gt;""),1,0))</f>
        <v/>
      </c>
      <c r="O744">
        <f>IF($N744=0,"",LEFT($E744,4)&amp;MID($E744,6,2)&amp;RIGHT($E744,2)&amp;$F744&amp;"|"&amp;"1"&amp;RIGHT("00000"&amp;736,5))</f>
        <v/>
      </c>
      <c r="P744">
        <f>IF($O744="","",COUNTIFS(ExpSub,$K744,ExpKey,"&lt;"&amp;$O744)+1)</f>
        <v/>
      </c>
      <c r="Q744">
        <f>IF($P744="","",$K744&amp;"|"&amp;RIGHT("000000"&amp;$P744,6))</f>
        <v/>
      </c>
    </row>
    <row r="745">
      <c r="A745">
        <f>IF(Sync!$P742="","",Sync!$P742)</f>
        <v/>
      </c>
      <c r="B745">
        <f>IF($A745="","",IF(ISNUMBER($A745),IF(AND($A745&gt;=10000101,$A745&lt;=99991231),INT($A745/10000),""),IFERROR(VALUE(TRIM(LEFT($A745,FIND("/",$A745)-1))),"")))</f>
        <v/>
      </c>
      <c r="C745">
        <f>IF(OR($A745="",$B745=""),"",IF(ISNUMBER($A745),INT(MOD($A745,10000)/100),IFERROR(VALUE(TRIM(LEFT(MID($A745,FIND("/",$A745)+1,20),FIND("/",MID($A745,FIND("/",$A745)+1,20))-1))),"")))</f>
        <v/>
      </c>
      <c r="D745">
        <f>IF(OR($A745="",$B745=""),"",IF(ISNUMBER($A745),MOD($A745,100),IFERROR(VALUE(TRIM(MID(MID($A745,FIND("/",$A745)+1,20),FIND("/",MID($A745,FIND("/",$A745)+1,20))+1,20))),"")))</f>
        <v/>
      </c>
      <c r="E745">
        <f>IF($A745="","",IF(OR($B745="",$C745="",$D745="",$B745&lt;1300,$B745&gt;1500,$C745&lt;1,$C745&gt;12,$D745&lt;1,$D745&gt;31),"نامعتبر",RIGHT("0000"&amp;$B745,4)&amp;"/"&amp;RIGHT("00"&amp;$C745,2)&amp;"/"&amp;RIGHT("00"&amp;$D745,2)))</f>
        <v/>
      </c>
      <c r="F745">
        <f>IF(OR($E745="",$E745="نامعتبر"),"",IF(Sync!$Q742="","0000",IF(AND(ISNUMBER(Sync!$Q742),Sync!$Q742&gt;=0,Sync!$Q742&lt;1),RIGHT("00"&amp;HOUR(Sync!$Q742),2)&amp;RIGHT("00"&amp;MINUTE(Sync!$Q742),2),IFERROR(RIGHT("00"&amp;VALUE(LEFT(Sync!$Q742,FIND(":",Sync!$Q742)-1)),2)&amp;RIGHT("00"&amp;VALUE(MID(Sync!$Q742,FIND(":",Sync!$Q742)+1,2)),2),"0000"))))</f>
        <v/>
      </c>
      <c r="G745">
        <f>IF(OR($E745="",$E745="نامعتبر"),"",IF(Sync!$S742="","",Sync!$S742))</f>
        <v/>
      </c>
      <c r="H745">
        <f>IF(OR($E745="",$E745="نامعتبر"),"",IF(Sync!$R742="","",Sync!$R742))</f>
        <v/>
      </c>
      <c r="I745">
        <f>IF(OR($E745="",$E745="نامعتبر"),"",IF(Sync!$T742="","",Sync!$T742))</f>
        <v/>
      </c>
      <c r="J745">
        <f>IF(OR($E745="",$E745="نامعتبر"),"",IF(Sync!$U742="","",Sync!$U742))</f>
        <v/>
      </c>
      <c r="K745">
        <f>IF(OR($E745="",$E745="نامعتبر"),"",IF(Sync!$V742="","",IFERROR(INDEX(SubCodes,MATCH(Sync!$V742,SubTitles,0)),Sync!$V742)))</f>
        <v/>
      </c>
      <c r="L745">
        <f>IF(OR($E745="",$E745="نامعتبر"),"",IF(Sync!$W742="",0,Sync!$W742))</f>
        <v/>
      </c>
      <c r="M745">
        <f>IF(OR($E745="",$E745="نامعتبر"),"",IF(Sync!$X742="",0,Sync!$X742))</f>
        <v/>
      </c>
      <c r="N745">
        <f>IF(OR($E745="",$E745="نامعتبر"),"",IF(AND($J745="هزینه",$K745&lt;&gt;""),1,0))</f>
        <v/>
      </c>
      <c r="O745">
        <f>IF($N745=0,"",LEFT($E745,4)&amp;MID($E745,6,2)&amp;RIGHT($E745,2)&amp;$F745&amp;"|"&amp;"1"&amp;RIGHT("00000"&amp;737,5))</f>
        <v/>
      </c>
      <c r="P745">
        <f>IF($O745="","",COUNTIFS(ExpSub,$K745,ExpKey,"&lt;"&amp;$O745)+1)</f>
        <v/>
      </c>
      <c r="Q745">
        <f>IF($P745="","",$K745&amp;"|"&amp;RIGHT("000000"&amp;$P745,6))</f>
        <v/>
      </c>
    </row>
    <row r="746">
      <c r="A746">
        <f>IF(Sync!$P743="","",Sync!$P743)</f>
        <v/>
      </c>
      <c r="B746">
        <f>IF($A746="","",IF(ISNUMBER($A746),IF(AND($A746&gt;=10000101,$A746&lt;=99991231),INT($A746/10000),""),IFERROR(VALUE(TRIM(LEFT($A746,FIND("/",$A746)-1))),"")))</f>
        <v/>
      </c>
      <c r="C746">
        <f>IF(OR($A746="",$B746=""),"",IF(ISNUMBER($A746),INT(MOD($A746,10000)/100),IFERROR(VALUE(TRIM(LEFT(MID($A746,FIND("/",$A746)+1,20),FIND("/",MID($A746,FIND("/",$A746)+1,20))-1))),"")))</f>
        <v/>
      </c>
      <c r="D746">
        <f>IF(OR($A746="",$B746=""),"",IF(ISNUMBER($A746),MOD($A746,100),IFERROR(VALUE(TRIM(MID(MID($A746,FIND("/",$A746)+1,20),FIND("/",MID($A746,FIND("/",$A746)+1,20))+1,20))),"")))</f>
        <v/>
      </c>
      <c r="E746">
        <f>IF($A746="","",IF(OR($B746="",$C746="",$D746="",$B746&lt;1300,$B746&gt;1500,$C746&lt;1,$C746&gt;12,$D746&lt;1,$D746&gt;31),"نامعتبر",RIGHT("0000"&amp;$B746,4)&amp;"/"&amp;RIGHT("00"&amp;$C746,2)&amp;"/"&amp;RIGHT("00"&amp;$D746,2)))</f>
        <v/>
      </c>
      <c r="F746">
        <f>IF(OR($E746="",$E746="نامعتبر"),"",IF(Sync!$Q743="","0000",IF(AND(ISNUMBER(Sync!$Q743),Sync!$Q743&gt;=0,Sync!$Q743&lt;1),RIGHT("00"&amp;HOUR(Sync!$Q743),2)&amp;RIGHT("00"&amp;MINUTE(Sync!$Q743),2),IFERROR(RIGHT("00"&amp;VALUE(LEFT(Sync!$Q743,FIND(":",Sync!$Q743)-1)),2)&amp;RIGHT("00"&amp;VALUE(MID(Sync!$Q743,FIND(":",Sync!$Q743)+1,2)),2),"0000"))))</f>
        <v/>
      </c>
      <c r="G746">
        <f>IF(OR($E746="",$E746="نامعتبر"),"",IF(Sync!$S743="","",Sync!$S743))</f>
        <v/>
      </c>
      <c r="H746">
        <f>IF(OR($E746="",$E746="نامعتبر"),"",IF(Sync!$R743="","",Sync!$R743))</f>
        <v/>
      </c>
      <c r="I746">
        <f>IF(OR($E746="",$E746="نامعتبر"),"",IF(Sync!$T743="","",Sync!$T743))</f>
        <v/>
      </c>
      <c r="J746">
        <f>IF(OR($E746="",$E746="نامعتبر"),"",IF(Sync!$U743="","",Sync!$U743))</f>
        <v/>
      </c>
      <c r="K746">
        <f>IF(OR($E746="",$E746="نامعتبر"),"",IF(Sync!$V743="","",IFERROR(INDEX(SubCodes,MATCH(Sync!$V743,SubTitles,0)),Sync!$V743)))</f>
        <v/>
      </c>
      <c r="L746">
        <f>IF(OR($E746="",$E746="نامعتبر"),"",IF(Sync!$W743="",0,Sync!$W743))</f>
        <v/>
      </c>
      <c r="M746">
        <f>IF(OR($E746="",$E746="نامعتبر"),"",IF(Sync!$X743="",0,Sync!$X743))</f>
        <v/>
      </c>
      <c r="N746">
        <f>IF(OR($E746="",$E746="نامعتبر"),"",IF(AND($J746="هزینه",$K746&lt;&gt;""),1,0))</f>
        <v/>
      </c>
      <c r="O746">
        <f>IF($N746=0,"",LEFT($E746,4)&amp;MID($E746,6,2)&amp;RIGHT($E746,2)&amp;$F746&amp;"|"&amp;"1"&amp;RIGHT("00000"&amp;738,5))</f>
        <v/>
      </c>
      <c r="P746">
        <f>IF($O746="","",COUNTIFS(ExpSub,$K746,ExpKey,"&lt;"&amp;$O746)+1)</f>
        <v/>
      </c>
      <c r="Q746">
        <f>IF($P746="","",$K746&amp;"|"&amp;RIGHT("000000"&amp;$P746,6))</f>
        <v/>
      </c>
    </row>
    <row r="747">
      <c r="A747">
        <f>IF(Sync!$P744="","",Sync!$P744)</f>
        <v/>
      </c>
      <c r="B747">
        <f>IF($A747="","",IF(ISNUMBER($A747),IF(AND($A747&gt;=10000101,$A747&lt;=99991231),INT($A747/10000),""),IFERROR(VALUE(TRIM(LEFT($A747,FIND("/",$A747)-1))),"")))</f>
        <v/>
      </c>
      <c r="C747">
        <f>IF(OR($A747="",$B747=""),"",IF(ISNUMBER($A747),INT(MOD($A747,10000)/100),IFERROR(VALUE(TRIM(LEFT(MID($A747,FIND("/",$A747)+1,20),FIND("/",MID($A747,FIND("/",$A747)+1,20))-1))),"")))</f>
        <v/>
      </c>
      <c r="D747">
        <f>IF(OR($A747="",$B747=""),"",IF(ISNUMBER($A747),MOD($A747,100),IFERROR(VALUE(TRIM(MID(MID($A747,FIND("/",$A747)+1,20),FIND("/",MID($A747,FIND("/",$A747)+1,20))+1,20))),"")))</f>
        <v/>
      </c>
      <c r="E747">
        <f>IF($A747="","",IF(OR($B747="",$C747="",$D747="",$B747&lt;1300,$B747&gt;1500,$C747&lt;1,$C747&gt;12,$D747&lt;1,$D747&gt;31),"نامعتبر",RIGHT("0000"&amp;$B747,4)&amp;"/"&amp;RIGHT("00"&amp;$C747,2)&amp;"/"&amp;RIGHT("00"&amp;$D747,2)))</f>
        <v/>
      </c>
      <c r="F747">
        <f>IF(OR($E747="",$E747="نامعتبر"),"",IF(Sync!$Q744="","0000",IF(AND(ISNUMBER(Sync!$Q744),Sync!$Q744&gt;=0,Sync!$Q744&lt;1),RIGHT("00"&amp;HOUR(Sync!$Q744),2)&amp;RIGHT("00"&amp;MINUTE(Sync!$Q744),2),IFERROR(RIGHT("00"&amp;VALUE(LEFT(Sync!$Q744,FIND(":",Sync!$Q744)-1)),2)&amp;RIGHT("00"&amp;VALUE(MID(Sync!$Q744,FIND(":",Sync!$Q744)+1,2)),2),"0000"))))</f>
        <v/>
      </c>
      <c r="G747">
        <f>IF(OR($E747="",$E747="نامعتبر"),"",IF(Sync!$S744="","",Sync!$S744))</f>
        <v/>
      </c>
      <c r="H747">
        <f>IF(OR($E747="",$E747="نامعتبر"),"",IF(Sync!$R744="","",Sync!$R744))</f>
        <v/>
      </c>
      <c r="I747">
        <f>IF(OR($E747="",$E747="نامعتبر"),"",IF(Sync!$T744="","",Sync!$T744))</f>
        <v/>
      </c>
      <c r="J747">
        <f>IF(OR($E747="",$E747="نامعتبر"),"",IF(Sync!$U744="","",Sync!$U744))</f>
        <v/>
      </c>
      <c r="K747">
        <f>IF(OR($E747="",$E747="نامعتبر"),"",IF(Sync!$V744="","",IFERROR(INDEX(SubCodes,MATCH(Sync!$V744,SubTitles,0)),Sync!$V744)))</f>
        <v/>
      </c>
      <c r="L747">
        <f>IF(OR($E747="",$E747="نامعتبر"),"",IF(Sync!$W744="",0,Sync!$W744))</f>
        <v/>
      </c>
      <c r="M747">
        <f>IF(OR($E747="",$E747="نامعتبر"),"",IF(Sync!$X744="",0,Sync!$X744))</f>
        <v/>
      </c>
      <c r="N747">
        <f>IF(OR($E747="",$E747="نامعتبر"),"",IF(AND($J747="هزینه",$K747&lt;&gt;""),1,0))</f>
        <v/>
      </c>
      <c r="O747">
        <f>IF($N747=0,"",LEFT($E747,4)&amp;MID($E747,6,2)&amp;RIGHT($E747,2)&amp;$F747&amp;"|"&amp;"1"&amp;RIGHT("00000"&amp;739,5))</f>
        <v/>
      </c>
      <c r="P747">
        <f>IF($O747="","",COUNTIFS(ExpSub,$K747,ExpKey,"&lt;"&amp;$O747)+1)</f>
        <v/>
      </c>
      <c r="Q747">
        <f>IF($P747="","",$K747&amp;"|"&amp;RIGHT("000000"&amp;$P747,6))</f>
        <v/>
      </c>
    </row>
    <row r="748">
      <c r="A748">
        <f>IF(Sync!$P745="","",Sync!$P745)</f>
        <v/>
      </c>
      <c r="B748">
        <f>IF($A748="","",IF(ISNUMBER($A748),IF(AND($A748&gt;=10000101,$A748&lt;=99991231),INT($A748/10000),""),IFERROR(VALUE(TRIM(LEFT($A748,FIND("/",$A748)-1))),"")))</f>
        <v/>
      </c>
      <c r="C748">
        <f>IF(OR($A748="",$B748=""),"",IF(ISNUMBER($A748),INT(MOD($A748,10000)/100),IFERROR(VALUE(TRIM(LEFT(MID($A748,FIND("/",$A748)+1,20),FIND("/",MID($A748,FIND("/",$A748)+1,20))-1))),"")))</f>
        <v/>
      </c>
      <c r="D748">
        <f>IF(OR($A748="",$B748=""),"",IF(ISNUMBER($A748),MOD($A748,100),IFERROR(VALUE(TRIM(MID(MID($A748,FIND("/",$A748)+1,20),FIND("/",MID($A748,FIND("/",$A748)+1,20))+1,20))),"")))</f>
        <v/>
      </c>
      <c r="E748">
        <f>IF($A748="","",IF(OR($B748="",$C748="",$D748="",$B748&lt;1300,$B748&gt;1500,$C748&lt;1,$C748&gt;12,$D748&lt;1,$D748&gt;31),"نامعتبر",RIGHT("0000"&amp;$B748,4)&amp;"/"&amp;RIGHT("00"&amp;$C748,2)&amp;"/"&amp;RIGHT("00"&amp;$D748,2)))</f>
        <v/>
      </c>
      <c r="F748">
        <f>IF(OR($E748="",$E748="نامعتبر"),"",IF(Sync!$Q745="","0000",IF(AND(ISNUMBER(Sync!$Q745),Sync!$Q745&gt;=0,Sync!$Q745&lt;1),RIGHT("00"&amp;HOUR(Sync!$Q745),2)&amp;RIGHT("00"&amp;MINUTE(Sync!$Q745),2),IFERROR(RIGHT("00"&amp;VALUE(LEFT(Sync!$Q745,FIND(":",Sync!$Q745)-1)),2)&amp;RIGHT("00"&amp;VALUE(MID(Sync!$Q745,FIND(":",Sync!$Q745)+1,2)),2),"0000"))))</f>
        <v/>
      </c>
      <c r="G748">
        <f>IF(OR($E748="",$E748="نامعتبر"),"",IF(Sync!$S745="","",Sync!$S745))</f>
        <v/>
      </c>
      <c r="H748">
        <f>IF(OR($E748="",$E748="نامعتبر"),"",IF(Sync!$R745="","",Sync!$R745))</f>
        <v/>
      </c>
      <c r="I748">
        <f>IF(OR($E748="",$E748="نامعتبر"),"",IF(Sync!$T745="","",Sync!$T745))</f>
        <v/>
      </c>
      <c r="J748">
        <f>IF(OR($E748="",$E748="نامعتبر"),"",IF(Sync!$U745="","",Sync!$U745))</f>
        <v/>
      </c>
      <c r="K748">
        <f>IF(OR($E748="",$E748="نامعتبر"),"",IF(Sync!$V745="","",IFERROR(INDEX(SubCodes,MATCH(Sync!$V745,SubTitles,0)),Sync!$V745)))</f>
        <v/>
      </c>
      <c r="L748">
        <f>IF(OR($E748="",$E748="نامعتبر"),"",IF(Sync!$W745="",0,Sync!$W745))</f>
        <v/>
      </c>
      <c r="M748">
        <f>IF(OR($E748="",$E748="نامعتبر"),"",IF(Sync!$X745="",0,Sync!$X745))</f>
        <v/>
      </c>
      <c r="N748">
        <f>IF(OR($E748="",$E748="نامعتبر"),"",IF(AND($J748="هزینه",$K748&lt;&gt;""),1,0))</f>
        <v/>
      </c>
      <c r="O748">
        <f>IF($N748=0,"",LEFT($E748,4)&amp;MID($E748,6,2)&amp;RIGHT($E748,2)&amp;$F748&amp;"|"&amp;"1"&amp;RIGHT("00000"&amp;740,5))</f>
        <v/>
      </c>
      <c r="P748">
        <f>IF($O748="","",COUNTIFS(ExpSub,$K748,ExpKey,"&lt;"&amp;$O748)+1)</f>
        <v/>
      </c>
      <c r="Q748">
        <f>IF($P748="","",$K748&amp;"|"&amp;RIGHT("000000"&amp;$P748,6))</f>
        <v/>
      </c>
    </row>
    <row r="749">
      <c r="A749">
        <f>IF(Sync!$P746="","",Sync!$P746)</f>
        <v/>
      </c>
      <c r="B749">
        <f>IF($A749="","",IF(ISNUMBER($A749),IF(AND($A749&gt;=10000101,$A749&lt;=99991231),INT($A749/10000),""),IFERROR(VALUE(TRIM(LEFT($A749,FIND("/",$A749)-1))),"")))</f>
        <v/>
      </c>
      <c r="C749">
        <f>IF(OR($A749="",$B749=""),"",IF(ISNUMBER($A749),INT(MOD($A749,10000)/100),IFERROR(VALUE(TRIM(LEFT(MID($A749,FIND("/",$A749)+1,20),FIND("/",MID($A749,FIND("/",$A749)+1,20))-1))),"")))</f>
        <v/>
      </c>
      <c r="D749">
        <f>IF(OR($A749="",$B749=""),"",IF(ISNUMBER($A749),MOD($A749,100),IFERROR(VALUE(TRIM(MID(MID($A749,FIND("/",$A749)+1,20),FIND("/",MID($A749,FIND("/",$A749)+1,20))+1,20))),"")))</f>
        <v/>
      </c>
      <c r="E749">
        <f>IF($A749="","",IF(OR($B749="",$C749="",$D749="",$B749&lt;1300,$B749&gt;1500,$C749&lt;1,$C749&gt;12,$D749&lt;1,$D749&gt;31),"نامعتبر",RIGHT("0000"&amp;$B749,4)&amp;"/"&amp;RIGHT("00"&amp;$C749,2)&amp;"/"&amp;RIGHT("00"&amp;$D749,2)))</f>
        <v/>
      </c>
      <c r="F749">
        <f>IF(OR($E749="",$E749="نامعتبر"),"",IF(Sync!$Q746="","0000",IF(AND(ISNUMBER(Sync!$Q746),Sync!$Q746&gt;=0,Sync!$Q746&lt;1),RIGHT("00"&amp;HOUR(Sync!$Q746),2)&amp;RIGHT("00"&amp;MINUTE(Sync!$Q746),2),IFERROR(RIGHT("00"&amp;VALUE(LEFT(Sync!$Q746,FIND(":",Sync!$Q746)-1)),2)&amp;RIGHT("00"&amp;VALUE(MID(Sync!$Q746,FIND(":",Sync!$Q746)+1,2)),2),"0000"))))</f>
        <v/>
      </c>
      <c r="G749">
        <f>IF(OR($E749="",$E749="نامعتبر"),"",IF(Sync!$S746="","",Sync!$S746))</f>
        <v/>
      </c>
      <c r="H749">
        <f>IF(OR($E749="",$E749="نامعتبر"),"",IF(Sync!$R746="","",Sync!$R746))</f>
        <v/>
      </c>
      <c r="I749">
        <f>IF(OR($E749="",$E749="نامعتبر"),"",IF(Sync!$T746="","",Sync!$T746))</f>
        <v/>
      </c>
      <c r="J749">
        <f>IF(OR($E749="",$E749="نامعتبر"),"",IF(Sync!$U746="","",Sync!$U746))</f>
        <v/>
      </c>
      <c r="K749">
        <f>IF(OR($E749="",$E749="نامعتبر"),"",IF(Sync!$V746="","",IFERROR(INDEX(SubCodes,MATCH(Sync!$V746,SubTitles,0)),Sync!$V746)))</f>
        <v/>
      </c>
      <c r="L749">
        <f>IF(OR($E749="",$E749="نامعتبر"),"",IF(Sync!$W746="",0,Sync!$W746))</f>
        <v/>
      </c>
      <c r="M749">
        <f>IF(OR($E749="",$E749="نامعتبر"),"",IF(Sync!$X746="",0,Sync!$X746))</f>
        <v/>
      </c>
      <c r="N749">
        <f>IF(OR($E749="",$E749="نامعتبر"),"",IF(AND($J749="هزینه",$K749&lt;&gt;""),1,0))</f>
        <v/>
      </c>
      <c r="O749">
        <f>IF($N749=0,"",LEFT($E749,4)&amp;MID($E749,6,2)&amp;RIGHT($E749,2)&amp;$F749&amp;"|"&amp;"1"&amp;RIGHT("00000"&amp;741,5))</f>
        <v/>
      </c>
      <c r="P749">
        <f>IF($O749="","",COUNTIFS(ExpSub,$K749,ExpKey,"&lt;"&amp;$O749)+1)</f>
        <v/>
      </c>
      <c r="Q749">
        <f>IF($P749="","",$K749&amp;"|"&amp;RIGHT("000000"&amp;$P749,6))</f>
        <v/>
      </c>
    </row>
    <row r="750">
      <c r="A750">
        <f>IF(Sync!$P747="","",Sync!$P747)</f>
        <v/>
      </c>
      <c r="B750">
        <f>IF($A750="","",IF(ISNUMBER($A750),IF(AND($A750&gt;=10000101,$A750&lt;=99991231),INT($A750/10000),""),IFERROR(VALUE(TRIM(LEFT($A750,FIND("/",$A750)-1))),"")))</f>
        <v/>
      </c>
      <c r="C750">
        <f>IF(OR($A750="",$B750=""),"",IF(ISNUMBER($A750),INT(MOD($A750,10000)/100),IFERROR(VALUE(TRIM(LEFT(MID($A750,FIND("/",$A750)+1,20),FIND("/",MID($A750,FIND("/",$A750)+1,20))-1))),"")))</f>
        <v/>
      </c>
      <c r="D750">
        <f>IF(OR($A750="",$B750=""),"",IF(ISNUMBER($A750),MOD($A750,100),IFERROR(VALUE(TRIM(MID(MID($A750,FIND("/",$A750)+1,20),FIND("/",MID($A750,FIND("/",$A750)+1,20))+1,20))),"")))</f>
        <v/>
      </c>
      <c r="E750">
        <f>IF($A750="","",IF(OR($B750="",$C750="",$D750="",$B750&lt;1300,$B750&gt;1500,$C750&lt;1,$C750&gt;12,$D750&lt;1,$D750&gt;31),"نامعتبر",RIGHT("0000"&amp;$B750,4)&amp;"/"&amp;RIGHT("00"&amp;$C750,2)&amp;"/"&amp;RIGHT("00"&amp;$D750,2)))</f>
        <v/>
      </c>
      <c r="F750">
        <f>IF(OR($E750="",$E750="نامعتبر"),"",IF(Sync!$Q747="","0000",IF(AND(ISNUMBER(Sync!$Q747),Sync!$Q747&gt;=0,Sync!$Q747&lt;1),RIGHT("00"&amp;HOUR(Sync!$Q747),2)&amp;RIGHT("00"&amp;MINUTE(Sync!$Q747),2),IFERROR(RIGHT("00"&amp;VALUE(LEFT(Sync!$Q747,FIND(":",Sync!$Q747)-1)),2)&amp;RIGHT("00"&amp;VALUE(MID(Sync!$Q747,FIND(":",Sync!$Q747)+1,2)),2),"0000"))))</f>
        <v/>
      </c>
      <c r="G750">
        <f>IF(OR($E750="",$E750="نامعتبر"),"",IF(Sync!$S747="","",Sync!$S747))</f>
        <v/>
      </c>
      <c r="H750">
        <f>IF(OR($E750="",$E750="نامعتبر"),"",IF(Sync!$R747="","",Sync!$R747))</f>
        <v/>
      </c>
      <c r="I750">
        <f>IF(OR($E750="",$E750="نامعتبر"),"",IF(Sync!$T747="","",Sync!$T747))</f>
        <v/>
      </c>
      <c r="J750">
        <f>IF(OR($E750="",$E750="نامعتبر"),"",IF(Sync!$U747="","",Sync!$U747))</f>
        <v/>
      </c>
      <c r="K750">
        <f>IF(OR($E750="",$E750="نامعتبر"),"",IF(Sync!$V747="","",IFERROR(INDEX(SubCodes,MATCH(Sync!$V747,SubTitles,0)),Sync!$V747)))</f>
        <v/>
      </c>
      <c r="L750">
        <f>IF(OR($E750="",$E750="نامعتبر"),"",IF(Sync!$W747="",0,Sync!$W747))</f>
        <v/>
      </c>
      <c r="M750">
        <f>IF(OR($E750="",$E750="نامعتبر"),"",IF(Sync!$X747="",0,Sync!$X747))</f>
        <v/>
      </c>
      <c r="N750">
        <f>IF(OR($E750="",$E750="نامعتبر"),"",IF(AND($J750="هزینه",$K750&lt;&gt;""),1,0))</f>
        <v/>
      </c>
      <c r="O750">
        <f>IF($N750=0,"",LEFT($E750,4)&amp;MID($E750,6,2)&amp;RIGHT($E750,2)&amp;$F750&amp;"|"&amp;"1"&amp;RIGHT("00000"&amp;742,5))</f>
        <v/>
      </c>
      <c r="P750">
        <f>IF($O750="","",COUNTIFS(ExpSub,$K750,ExpKey,"&lt;"&amp;$O750)+1)</f>
        <v/>
      </c>
      <c r="Q750">
        <f>IF($P750="","",$K750&amp;"|"&amp;RIGHT("000000"&amp;$P750,6))</f>
        <v/>
      </c>
    </row>
    <row r="751">
      <c r="A751">
        <f>IF(Sync!$P748="","",Sync!$P748)</f>
        <v/>
      </c>
      <c r="B751">
        <f>IF($A751="","",IF(ISNUMBER($A751),IF(AND($A751&gt;=10000101,$A751&lt;=99991231),INT($A751/10000),""),IFERROR(VALUE(TRIM(LEFT($A751,FIND("/",$A751)-1))),"")))</f>
        <v/>
      </c>
      <c r="C751">
        <f>IF(OR($A751="",$B751=""),"",IF(ISNUMBER($A751),INT(MOD($A751,10000)/100),IFERROR(VALUE(TRIM(LEFT(MID($A751,FIND("/",$A751)+1,20),FIND("/",MID($A751,FIND("/",$A751)+1,20))-1))),"")))</f>
        <v/>
      </c>
      <c r="D751">
        <f>IF(OR($A751="",$B751=""),"",IF(ISNUMBER($A751),MOD($A751,100),IFERROR(VALUE(TRIM(MID(MID($A751,FIND("/",$A751)+1,20),FIND("/",MID($A751,FIND("/",$A751)+1,20))+1,20))),"")))</f>
        <v/>
      </c>
      <c r="E751">
        <f>IF($A751="","",IF(OR($B751="",$C751="",$D751="",$B751&lt;1300,$B751&gt;1500,$C751&lt;1,$C751&gt;12,$D751&lt;1,$D751&gt;31),"نامعتبر",RIGHT("0000"&amp;$B751,4)&amp;"/"&amp;RIGHT("00"&amp;$C751,2)&amp;"/"&amp;RIGHT("00"&amp;$D751,2)))</f>
        <v/>
      </c>
      <c r="F751">
        <f>IF(OR($E751="",$E751="نامعتبر"),"",IF(Sync!$Q748="","0000",IF(AND(ISNUMBER(Sync!$Q748),Sync!$Q748&gt;=0,Sync!$Q748&lt;1),RIGHT("00"&amp;HOUR(Sync!$Q748),2)&amp;RIGHT("00"&amp;MINUTE(Sync!$Q748),2),IFERROR(RIGHT("00"&amp;VALUE(LEFT(Sync!$Q748,FIND(":",Sync!$Q748)-1)),2)&amp;RIGHT("00"&amp;VALUE(MID(Sync!$Q748,FIND(":",Sync!$Q748)+1,2)),2),"0000"))))</f>
        <v/>
      </c>
      <c r="G751">
        <f>IF(OR($E751="",$E751="نامعتبر"),"",IF(Sync!$S748="","",Sync!$S748))</f>
        <v/>
      </c>
      <c r="H751">
        <f>IF(OR($E751="",$E751="نامعتبر"),"",IF(Sync!$R748="","",Sync!$R748))</f>
        <v/>
      </c>
      <c r="I751">
        <f>IF(OR($E751="",$E751="نامعتبر"),"",IF(Sync!$T748="","",Sync!$T748))</f>
        <v/>
      </c>
      <c r="J751">
        <f>IF(OR($E751="",$E751="نامعتبر"),"",IF(Sync!$U748="","",Sync!$U748))</f>
        <v/>
      </c>
      <c r="K751">
        <f>IF(OR($E751="",$E751="نامعتبر"),"",IF(Sync!$V748="","",IFERROR(INDEX(SubCodes,MATCH(Sync!$V748,SubTitles,0)),Sync!$V748)))</f>
        <v/>
      </c>
      <c r="L751">
        <f>IF(OR($E751="",$E751="نامعتبر"),"",IF(Sync!$W748="",0,Sync!$W748))</f>
        <v/>
      </c>
      <c r="M751">
        <f>IF(OR($E751="",$E751="نامعتبر"),"",IF(Sync!$X748="",0,Sync!$X748))</f>
        <v/>
      </c>
      <c r="N751">
        <f>IF(OR($E751="",$E751="نامعتبر"),"",IF(AND($J751="هزینه",$K751&lt;&gt;""),1,0))</f>
        <v/>
      </c>
      <c r="O751">
        <f>IF($N751=0,"",LEFT($E751,4)&amp;MID($E751,6,2)&amp;RIGHT($E751,2)&amp;$F751&amp;"|"&amp;"1"&amp;RIGHT("00000"&amp;743,5))</f>
        <v/>
      </c>
      <c r="P751">
        <f>IF($O751="","",COUNTIFS(ExpSub,$K751,ExpKey,"&lt;"&amp;$O751)+1)</f>
        <v/>
      </c>
      <c r="Q751">
        <f>IF($P751="","",$K751&amp;"|"&amp;RIGHT("000000"&amp;$P751,6))</f>
        <v/>
      </c>
    </row>
    <row r="752">
      <c r="A752">
        <f>IF(Sync!$P749="","",Sync!$P749)</f>
        <v/>
      </c>
      <c r="B752">
        <f>IF($A752="","",IF(ISNUMBER($A752),IF(AND($A752&gt;=10000101,$A752&lt;=99991231),INT($A752/10000),""),IFERROR(VALUE(TRIM(LEFT($A752,FIND("/",$A752)-1))),"")))</f>
        <v/>
      </c>
      <c r="C752">
        <f>IF(OR($A752="",$B752=""),"",IF(ISNUMBER($A752),INT(MOD($A752,10000)/100),IFERROR(VALUE(TRIM(LEFT(MID($A752,FIND("/",$A752)+1,20),FIND("/",MID($A752,FIND("/",$A752)+1,20))-1))),"")))</f>
        <v/>
      </c>
      <c r="D752">
        <f>IF(OR($A752="",$B752=""),"",IF(ISNUMBER($A752),MOD($A752,100),IFERROR(VALUE(TRIM(MID(MID($A752,FIND("/",$A752)+1,20),FIND("/",MID($A752,FIND("/",$A752)+1,20))+1,20))),"")))</f>
        <v/>
      </c>
      <c r="E752">
        <f>IF($A752="","",IF(OR($B752="",$C752="",$D752="",$B752&lt;1300,$B752&gt;1500,$C752&lt;1,$C752&gt;12,$D752&lt;1,$D752&gt;31),"نامعتبر",RIGHT("0000"&amp;$B752,4)&amp;"/"&amp;RIGHT("00"&amp;$C752,2)&amp;"/"&amp;RIGHT("00"&amp;$D752,2)))</f>
        <v/>
      </c>
      <c r="F752">
        <f>IF(OR($E752="",$E752="نامعتبر"),"",IF(Sync!$Q749="","0000",IF(AND(ISNUMBER(Sync!$Q749),Sync!$Q749&gt;=0,Sync!$Q749&lt;1),RIGHT("00"&amp;HOUR(Sync!$Q749),2)&amp;RIGHT("00"&amp;MINUTE(Sync!$Q749),2),IFERROR(RIGHT("00"&amp;VALUE(LEFT(Sync!$Q749,FIND(":",Sync!$Q749)-1)),2)&amp;RIGHT("00"&amp;VALUE(MID(Sync!$Q749,FIND(":",Sync!$Q749)+1,2)),2),"0000"))))</f>
        <v/>
      </c>
      <c r="G752">
        <f>IF(OR($E752="",$E752="نامعتبر"),"",IF(Sync!$S749="","",Sync!$S749))</f>
        <v/>
      </c>
      <c r="H752">
        <f>IF(OR($E752="",$E752="نامعتبر"),"",IF(Sync!$R749="","",Sync!$R749))</f>
        <v/>
      </c>
      <c r="I752">
        <f>IF(OR($E752="",$E752="نامعتبر"),"",IF(Sync!$T749="","",Sync!$T749))</f>
        <v/>
      </c>
      <c r="J752">
        <f>IF(OR($E752="",$E752="نامعتبر"),"",IF(Sync!$U749="","",Sync!$U749))</f>
        <v/>
      </c>
      <c r="K752">
        <f>IF(OR($E752="",$E752="نامعتبر"),"",IF(Sync!$V749="","",IFERROR(INDEX(SubCodes,MATCH(Sync!$V749,SubTitles,0)),Sync!$V749)))</f>
        <v/>
      </c>
      <c r="L752">
        <f>IF(OR($E752="",$E752="نامعتبر"),"",IF(Sync!$W749="",0,Sync!$W749))</f>
        <v/>
      </c>
      <c r="M752">
        <f>IF(OR($E752="",$E752="نامعتبر"),"",IF(Sync!$X749="",0,Sync!$X749))</f>
        <v/>
      </c>
      <c r="N752">
        <f>IF(OR($E752="",$E752="نامعتبر"),"",IF(AND($J752="هزینه",$K752&lt;&gt;""),1,0))</f>
        <v/>
      </c>
      <c r="O752">
        <f>IF($N752=0,"",LEFT($E752,4)&amp;MID($E752,6,2)&amp;RIGHT($E752,2)&amp;$F752&amp;"|"&amp;"1"&amp;RIGHT("00000"&amp;744,5))</f>
        <v/>
      </c>
      <c r="P752">
        <f>IF($O752="","",COUNTIFS(ExpSub,$K752,ExpKey,"&lt;"&amp;$O752)+1)</f>
        <v/>
      </c>
      <c r="Q752">
        <f>IF($P752="","",$K752&amp;"|"&amp;RIGHT("000000"&amp;$P752,6))</f>
        <v/>
      </c>
    </row>
    <row r="753">
      <c r="A753">
        <f>IF(Sync!$P750="","",Sync!$P750)</f>
        <v/>
      </c>
      <c r="B753">
        <f>IF($A753="","",IF(ISNUMBER($A753),IF(AND($A753&gt;=10000101,$A753&lt;=99991231),INT($A753/10000),""),IFERROR(VALUE(TRIM(LEFT($A753,FIND("/",$A753)-1))),"")))</f>
        <v/>
      </c>
      <c r="C753">
        <f>IF(OR($A753="",$B753=""),"",IF(ISNUMBER($A753),INT(MOD($A753,10000)/100),IFERROR(VALUE(TRIM(LEFT(MID($A753,FIND("/",$A753)+1,20),FIND("/",MID($A753,FIND("/",$A753)+1,20))-1))),"")))</f>
        <v/>
      </c>
      <c r="D753">
        <f>IF(OR($A753="",$B753=""),"",IF(ISNUMBER($A753),MOD($A753,100),IFERROR(VALUE(TRIM(MID(MID($A753,FIND("/",$A753)+1,20),FIND("/",MID($A753,FIND("/",$A753)+1,20))+1,20))),"")))</f>
        <v/>
      </c>
      <c r="E753">
        <f>IF($A753="","",IF(OR($B753="",$C753="",$D753="",$B753&lt;1300,$B753&gt;1500,$C753&lt;1,$C753&gt;12,$D753&lt;1,$D753&gt;31),"نامعتبر",RIGHT("0000"&amp;$B753,4)&amp;"/"&amp;RIGHT("00"&amp;$C753,2)&amp;"/"&amp;RIGHT("00"&amp;$D753,2)))</f>
        <v/>
      </c>
      <c r="F753">
        <f>IF(OR($E753="",$E753="نامعتبر"),"",IF(Sync!$Q750="","0000",IF(AND(ISNUMBER(Sync!$Q750),Sync!$Q750&gt;=0,Sync!$Q750&lt;1),RIGHT("00"&amp;HOUR(Sync!$Q750),2)&amp;RIGHT("00"&amp;MINUTE(Sync!$Q750),2),IFERROR(RIGHT("00"&amp;VALUE(LEFT(Sync!$Q750,FIND(":",Sync!$Q750)-1)),2)&amp;RIGHT("00"&amp;VALUE(MID(Sync!$Q750,FIND(":",Sync!$Q750)+1,2)),2),"0000"))))</f>
        <v/>
      </c>
      <c r="G753">
        <f>IF(OR($E753="",$E753="نامعتبر"),"",IF(Sync!$S750="","",Sync!$S750))</f>
        <v/>
      </c>
      <c r="H753">
        <f>IF(OR($E753="",$E753="نامعتبر"),"",IF(Sync!$R750="","",Sync!$R750))</f>
        <v/>
      </c>
      <c r="I753">
        <f>IF(OR($E753="",$E753="نامعتبر"),"",IF(Sync!$T750="","",Sync!$T750))</f>
        <v/>
      </c>
      <c r="J753">
        <f>IF(OR($E753="",$E753="نامعتبر"),"",IF(Sync!$U750="","",Sync!$U750))</f>
        <v/>
      </c>
      <c r="K753">
        <f>IF(OR($E753="",$E753="نامعتبر"),"",IF(Sync!$V750="","",IFERROR(INDEX(SubCodes,MATCH(Sync!$V750,SubTitles,0)),Sync!$V750)))</f>
        <v/>
      </c>
      <c r="L753">
        <f>IF(OR($E753="",$E753="نامعتبر"),"",IF(Sync!$W750="",0,Sync!$W750))</f>
        <v/>
      </c>
      <c r="M753">
        <f>IF(OR($E753="",$E753="نامعتبر"),"",IF(Sync!$X750="",0,Sync!$X750))</f>
        <v/>
      </c>
      <c r="N753">
        <f>IF(OR($E753="",$E753="نامعتبر"),"",IF(AND($J753="هزینه",$K753&lt;&gt;""),1,0))</f>
        <v/>
      </c>
      <c r="O753">
        <f>IF($N753=0,"",LEFT($E753,4)&amp;MID($E753,6,2)&amp;RIGHT($E753,2)&amp;$F753&amp;"|"&amp;"1"&amp;RIGHT("00000"&amp;745,5))</f>
        <v/>
      </c>
      <c r="P753">
        <f>IF($O753="","",COUNTIFS(ExpSub,$K753,ExpKey,"&lt;"&amp;$O753)+1)</f>
        <v/>
      </c>
      <c r="Q753">
        <f>IF($P753="","",$K753&amp;"|"&amp;RIGHT("000000"&amp;$P753,6))</f>
        <v/>
      </c>
    </row>
    <row r="754">
      <c r="A754">
        <f>IF(Sync!$P751="","",Sync!$P751)</f>
        <v/>
      </c>
      <c r="B754">
        <f>IF($A754="","",IF(ISNUMBER($A754),IF(AND($A754&gt;=10000101,$A754&lt;=99991231),INT($A754/10000),""),IFERROR(VALUE(TRIM(LEFT($A754,FIND("/",$A754)-1))),"")))</f>
        <v/>
      </c>
      <c r="C754">
        <f>IF(OR($A754="",$B754=""),"",IF(ISNUMBER($A754),INT(MOD($A754,10000)/100),IFERROR(VALUE(TRIM(LEFT(MID($A754,FIND("/",$A754)+1,20),FIND("/",MID($A754,FIND("/",$A754)+1,20))-1))),"")))</f>
        <v/>
      </c>
      <c r="D754">
        <f>IF(OR($A754="",$B754=""),"",IF(ISNUMBER($A754),MOD($A754,100),IFERROR(VALUE(TRIM(MID(MID($A754,FIND("/",$A754)+1,20),FIND("/",MID($A754,FIND("/",$A754)+1,20))+1,20))),"")))</f>
        <v/>
      </c>
      <c r="E754">
        <f>IF($A754="","",IF(OR($B754="",$C754="",$D754="",$B754&lt;1300,$B754&gt;1500,$C754&lt;1,$C754&gt;12,$D754&lt;1,$D754&gt;31),"نامعتبر",RIGHT("0000"&amp;$B754,4)&amp;"/"&amp;RIGHT("00"&amp;$C754,2)&amp;"/"&amp;RIGHT("00"&amp;$D754,2)))</f>
        <v/>
      </c>
      <c r="F754">
        <f>IF(OR($E754="",$E754="نامعتبر"),"",IF(Sync!$Q751="","0000",IF(AND(ISNUMBER(Sync!$Q751),Sync!$Q751&gt;=0,Sync!$Q751&lt;1),RIGHT("00"&amp;HOUR(Sync!$Q751),2)&amp;RIGHT("00"&amp;MINUTE(Sync!$Q751),2),IFERROR(RIGHT("00"&amp;VALUE(LEFT(Sync!$Q751,FIND(":",Sync!$Q751)-1)),2)&amp;RIGHT("00"&amp;VALUE(MID(Sync!$Q751,FIND(":",Sync!$Q751)+1,2)),2),"0000"))))</f>
        <v/>
      </c>
      <c r="G754">
        <f>IF(OR($E754="",$E754="نامعتبر"),"",IF(Sync!$S751="","",Sync!$S751))</f>
        <v/>
      </c>
      <c r="H754">
        <f>IF(OR($E754="",$E754="نامعتبر"),"",IF(Sync!$R751="","",Sync!$R751))</f>
        <v/>
      </c>
      <c r="I754">
        <f>IF(OR($E754="",$E754="نامعتبر"),"",IF(Sync!$T751="","",Sync!$T751))</f>
        <v/>
      </c>
      <c r="J754">
        <f>IF(OR($E754="",$E754="نامعتبر"),"",IF(Sync!$U751="","",Sync!$U751))</f>
        <v/>
      </c>
      <c r="K754">
        <f>IF(OR($E754="",$E754="نامعتبر"),"",IF(Sync!$V751="","",IFERROR(INDEX(SubCodes,MATCH(Sync!$V751,SubTitles,0)),Sync!$V751)))</f>
        <v/>
      </c>
      <c r="L754">
        <f>IF(OR($E754="",$E754="نامعتبر"),"",IF(Sync!$W751="",0,Sync!$W751))</f>
        <v/>
      </c>
      <c r="M754">
        <f>IF(OR($E754="",$E754="نامعتبر"),"",IF(Sync!$X751="",0,Sync!$X751))</f>
        <v/>
      </c>
      <c r="N754">
        <f>IF(OR($E754="",$E754="نامعتبر"),"",IF(AND($J754="هزینه",$K754&lt;&gt;""),1,0))</f>
        <v/>
      </c>
      <c r="O754">
        <f>IF($N754=0,"",LEFT($E754,4)&amp;MID($E754,6,2)&amp;RIGHT($E754,2)&amp;$F754&amp;"|"&amp;"1"&amp;RIGHT("00000"&amp;746,5))</f>
        <v/>
      </c>
      <c r="P754">
        <f>IF($O754="","",COUNTIFS(ExpSub,$K754,ExpKey,"&lt;"&amp;$O754)+1)</f>
        <v/>
      </c>
      <c r="Q754">
        <f>IF($P754="","",$K754&amp;"|"&amp;RIGHT("000000"&amp;$P754,6))</f>
        <v/>
      </c>
    </row>
    <row r="755">
      <c r="A755">
        <f>IF(Sync!$P752="","",Sync!$P752)</f>
        <v/>
      </c>
      <c r="B755">
        <f>IF($A755="","",IF(ISNUMBER($A755),IF(AND($A755&gt;=10000101,$A755&lt;=99991231),INT($A755/10000),""),IFERROR(VALUE(TRIM(LEFT($A755,FIND("/",$A755)-1))),"")))</f>
        <v/>
      </c>
      <c r="C755">
        <f>IF(OR($A755="",$B755=""),"",IF(ISNUMBER($A755),INT(MOD($A755,10000)/100),IFERROR(VALUE(TRIM(LEFT(MID($A755,FIND("/",$A755)+1,20),FIND("/",MID($A755,FIND("/",$A755)+1,20))-1))),"")))</f>
        <v/>
      </c>
      <c r="D755">
        <f>IF(OR($A755="",$B755=""),"",IF(ISNUMBER($A755),MOD($A755,100),IFERROR(VALUE(TRIM(MID(MID($A755,FIND("/",$A755)+1,20),FIND("/",MID($A755,FIND("/",$A755)+1,20))+1,20))),"")))</f>
        <v/>
      </c>
      <c r="E755">
        <f>IF($A755="","",IF(OR($B755="",$C755="",$D755="",$B755&lt;1300,$B755&gt;1500,$C755&lt;1,$C755&gt;12,$D755&lt;1,$D755&gt;31),"نامعتبر",RIGHT("0000"&amp;$B755,4)&amp;"/"&amp;RIGHT("00"&amp;$C755,2)&amp;"/"&amp;RIGHT("00"&amp;$D755,2)))</f>
        <v/>
      </c>
      <c r="F755">
        <f>IF(OR($E755="",$E755="نامعتبر"),"",IF(Sync!$Q752="","0000",IF(AND(ISNUMBER(Sync!$Q752),Sync!$Q752&gt;=0,Sync!$Q752&lt;1),RIGHT("00"&amp;HOUR(Sync!$Q752),2)&amp;RIGHT("00"&amp;MINUTE(Sync!$Q752),2),IFERROR(RIGHT("00"&amp;VALUE(LEFT(Sync!$Q752,FIND(":",Sync!$Q752)-1)),2)&amp;RIGHT("00"&amp;VALUE(MID(Sync!$Q752,FIND(":",Sync!$Q752)+1,2)),2),"0000"))))</f>
        <v/>
      </c>
      <c r="G755">
        <f>IF(OR($E755="",$E755="نامعتبر"),"",IF(Sync!$S752="","",Sync!$S752))</f>
        <v/>
      </c>
      <c r="H755">
        <f>IF(OR($E755="",$E755="نامعتبر"),"",IF(Sync!$R752="","",Sync!$R752))</f>
        <v/>
      </c>
      <c r="I755">
        <f>IF(OR($E755="",$E755="نامعتبر"),"",IF(Sync!$T752="","",Sync!$T752))</f>
        <v/>
      </c>
      <c r="J755">
        <f>IF(OR($E755="",$E755="نامعتبر"),"",IF(Sync!$U752="","",Sync!$U752))</f>
        <v/>
      </c>
      <c r="K755">
        <f>IF(OR($E755="",$E755="نامعتبر"),"",IF(Sync!$V752="","",IFERROR(INDEX(SubCodes,MATCH(Sync!$V752,SubTitles,0)),Sync!$V752)))</f>
        <v/>
      </c>
      <c r="L755">
        <f>IF(OR($E755="",$E755="نامعتبر"),"",IF(Sync!$W752="",0,Sync!$W752))</f>
        <v/>
      </c>
      <c r="M755">
        <f>IF(OR($E755="",$E755="نامعتبر"),"",IF(Sync!$X752="",0,Sync!$X752))</f>
        <v/>
      </c>
      <c r="N755">
        <f>IF(OR($E755="",$E755="نامعتبر"),"",IF(AND($J755="هزینه",$K755&lt;&gt;""),1,0))</f>
        <v/>
      </c>
      <c r="O755">
        <f>IF($N755=0,"",LEFT($E755,4)&amp;MID($E755,6,2)&amp;RIGHT($E755,2)&amp;$F755&amp;"|"&amp;"1"&amp;RIGHT("00000"&amp;747,5))</f>
        <v/>
      </c>
      <c r="P755">
        <f>IF($O755="","",COUNTIFS(ExpSub,$K755,ExpKey,"&lt;"&amp;$O755)+1)</f>
        <v/>
      </c>
      <c r="Q755">
        <f>IF($P755="","",$K755&amp;"|"&amp;RIGHT("000000"&amp;$P755,6))</f>
        <v/>
      </c>
    </row>
    <row r="756">
      <c r="A756">
        <f>IF(Sync!$P753="","",Sync!$P753)</f>
        <v/>
      </c>
      <c r="B756">
        <f>IF($A756="","",IF(ISNUMBER($A756),IF(AND($A756&gt;=10000101,$A756&lt;=99991231),INT($A756/10000),""),IFERROR(VALUE(TRIM(LEFT($A756,FIND("/",$A756)-1))),"")))</f>
        <v/>
      </c>
      <c r="C756">
        <f>IF(OR($A756="",$B756=""),"",IF(ISNUMBER($A756),INT(MOD($A756,10000)/100),IFERROR(VALUE(TRIM(LEFT(MID($A756,FIND("/",$A756)+1,20),FIND("/",MID($A756,FIND("/",$A756)+1,20))-1))),"")))</f>
        <v/>
      </c>
      <c r="D756">
        <f>IF(OR($A756="",$B756=""),"",IF(ISNUMBER($A756),MOD($A756,100),IFERROR(VALUE(TRIM(MID(MID($A756,FIND("/",$A756)+1,20),FIND("/",MID($A756,FIND("/",$A756)+1,20))+1,20))),"")))</f>
        <v/>
      </c>
      <c r="E756">
        <f>IF($A756="","",IF(OR($B756="",$C756="",$D756="",$B756&lt;1300,$B756&gt;1500,$C756&lt;1,$C756&gt;12,$D756&lt;1,$D756&gt;31),"نامعتبر",RIGHT("0000"&amp;$B756,4)&amp;"/"&amp;RIGHT("00"&amp;$C756,2)&amp;"/"&amp;RIGHT("00"&amp;$D756,2)))</f>
        <v/>
      </c>
      <c r="F756">
        <f>IF(OR($E756="",$E756="نامعتبر"),"",IF(Sync!$Q753="","0000",IF(AND(ISNUMBER(Sync!$Q753),Sync!$Q753&gt;=0,Sync!$Q753&lt;1),RIGHT("00"&amp;HOUR(Sync!$Q753),2)&amp;RIGHT("00"&amp;MINUTE(Sync!$Q753),2),IFERROR(RIGHT("00"&amp;VALUE(LEFT(Sync!$Q753,FIND(":",Sync!$Q753)-1)),2)&amp;RIGHT("00"&amp;VALUE(MID(Sync!$Q753,FIND(":",Sync!$Q753)+1,2)),2),"0000"))))</f>
        <v/>
      </c>
      <c r="G756">
        <f>IF(OR($E756="",$E756="نامعتبر"),"",IF(Sync!$S753="","",Sync!$S753))</f>
        <v/>
      </c>
      <c r="H756">
        <f>IF(OR($E756="",$E756="نامعتبر"),"",IF(Sync!$R753="","",Sync!$R753))</f>
        <v/>
      </c>
      <c r="I756">
        <f>IF(OR($E756="",$E756="نامعتبر"),"",IF(Sync!$T753="","",Sync!$T753))</f>
        <v/>
      </c>
      <c r="J756">
        <f>IF(OR($E756="",$E756="نامعتبر"),"",IF(Sync!$U753="","",Sync!$U753))</f>
        <v/>
      </c>
      <c r="K756">
        <f>IF(OR($E756="",$E756="نامعتبر"),"",IF(Sync!$V753="","",IFERROR(INDEX(SubCodes,MATCH(Sync!$V753,SubTitles,0)),Sync!$V753)))</f>
        <v/>
      </c>
      <c r="L756">
        <f>IF(OR($E756="",$E756="نامعتبر"),"",IF(Sync!$W753="",0,Sync!$W753))</f>
        <v/>
      </c>
      <c r="M756">
        <f>IF(OR($E756="",$E756="نامعتبر"),"",IF(Sync!$X753="",0,Sync!$X753))</f>
        <v/>
      </c>
      <c r="N756">
        <f>IF(OR($E756="",$E756="نامعتبر"),"",IF(AND($J756="هزینه",$K756&lt;&gt;""),1,0))</f>
        <v/>
      </c>
      <c r="O756">
        <f>IF($N756=0,"",LEFT($E756,4)&amp;MID($E756,6,2)&amp;RIGHT($E756,2)&amp;$F756&amp;"|"&amp;"1"&amp;RIGHT("00000"&amp;748,5))</f>
        <v/>
      </c>
      <c r="P756">
        <f>IF($O756="","",COUNTIFS(ExpSub,$K756,ExpKey,"&lt;"&amp;$O756)+1)</f>
        <v/>
      </c>
      <c r="Q756">
        <f>IF($P756="","",$K756&amp;"|"&amp;RIGHT("000000"&amp;$P756,6))</f>
        <v/>
      </c>
    </row>
    <row r="757">
      <c r="A757">
        <f>IF(Sync!$P754="","",Sync!$P754)</f>
        <v/>
      </c>
      <c r="B757">
        <f>IF($A757="","",IF(ISNUMBER($A757),IF(AND($A757&gt;=10000101,$A757&lt;=99991231),INT($A757/10000),""),IFERROR(VALUE(TRIM(LEFT($A757,FIND("/",$A757)-1))),"")))</f>
        <v/>
      </c>
      <c r="C757">
        <f>IF(OR($A757="",$B757=""),"",IF(ISNUMBER($A757),INT(MOD($A757,10000)/100),IFERROR(VALUE(TRIM(LEFT(MID($A757,FIND("/",$A757)+1,20),FIND("/",MID($A757,FIND("/",$A757)+1,20))-1))),"")))</f>
        <v/>
      </c>
      <c r="D757">
        <f>IF(OR($A757="",$B757=""),"",IF(ISNUMBER($A757),MOD($A757,100),IFERROR(VALUE(TRIM(MID(MID($A757,FIND("/",$A757)+1,20),FIND("/",MID($A757,FIND("/",$A757)+1,20))+1,20))),"")))</f>
        <v/>
      </c>
      <c r="E757">
        <f>IF($A757="","",IF(OR($B757="",$C757="",$D757="",$B757&lt;1300,$B757&gt;1500,$C757&lt;1,$C757&gt;12,$D757&lt;1,$D757&gt;31),"نامعتبر",RIGHT("0000"&amp;$B757,4)&amp;"/"&amp;RIGHT("00"&amp;$C757,2)&amp;"/"&amp;RIGHT("00"&amp;$D757,2)))</f>
        <v/>
      </c>
      <c r="F757">
        <f>IF(OR($E757="",$E757="نامعتبر"),"",IF(Sync!$Q754="","0000",IF(AND(ISNUMBER(Sync!$Q754),Sync!$Q754&gt;=0,Sync!$Q754&lt;1),RIGHT("00"&amp;HOUR(Sync!$Q754),2)&amp;RIGHT("00"&amp;MINUTE(Sync!$Q754),2),IFERROR(RIGHT("00"&amp;VALUE(LEFT(Sync!$Q754,FIND(":",Sync!$Q754)-1)),2)&amp;RIGHT("00"&amp;VALUE(MID(Sync!$Q754,FIND(":",Sync!$Q754)+1,2)),2),"0000"))))</f>
        <v/>
      </c>
      <c r="G757">
        <f>IF(OR($E757="",$E757="نامعتبر"),"",IF(Sync!$S754="","",Sync!$S754))</f>
        <v/>
      </c>
      <c r="H757">
        <f>IF(OR($E757="",$E757="نامعتبر"),"",IF(Sync!$R754="","",Sync!$R754))</f>
        <v/>
      </c>
      <c r="I757">
        <f>IF(OR($E757="",$E757="نامعتبر"),"",IF(Sync!$T754="","",Sync!$T754))</f>
        <v/>
      </c>
      <c r="J757">
        <f>IF(OR($E757="",$E757="نامعتبر"),"",IF(Sync!$U754="","",Sync!$U754))</f>
        <v/>
      </c>
      <c r="K757">
        <f>IF(OR($E757="",$E757="نامعتبر"),"",IF(Sync!$V754="","",IFERROR(INDEX(SubCodes,MATCH(Sync!$V754,SubTitles,0)),Sync!$V754)))</f>
        <v/>
      </c>
      <c r="L757">
        <f>IF(OR($E757="",$E757="نامعتبر"),"",IF(Sync!$W754="",0,Sync!$W754))</f>
        <v/>
      </c>
      <c r="M757">
        <f>IF(OR($E757="",$E757="نامعتبر"),"",IF(Sync!$X754="",0,Sync!$X754))</f>
        <v/>
      </c>
      <c r="N757">
        <f>IF(OR($E757="",$E757="نامعتبر"),"",IF(AND($J757="هزینه",$K757&lt;&gt;""),1,0))</f>
        <v/>
      </c>
      <c r="O757">
        <f>IF($N757=0,"",LEFT($E757,4)&amp;MID($E757,6,2)&amp;RIGHT($E757,2)&amp;$F757&amp;"|"&amp;"1"&amp;RIGHT("00000"&amp;749,5))</f>
        <v/>
      </c>
      <c r="P757">
        <f>IF($O757="","",COUNTIFS(ExpSub,$K757,ExpKey,"&lt;"&amp;$O757)+1)</f>
        <v/>
      </c>
      <c r="Q757">
        <f>IF($P757="","",$K757&amp;"|"&amp;RIGHT("000000"&amp;$P757,6))</f>
        <v/>
      </c>
    </row>
    <row r="758">
      <c r="A758">
        <f>IF(Sync!$P755="","",Sync!$P755)</f>
        <v/>
      </c>
      <c r="B758">
        <f>IF($A758="","",IF(ISNUMBER($A758),IF(AND($A758&gt;=10000101,$A758&lt;=99991231),INT($A758/10000),""),IFERROR(VALUE(TRIM(LEFT($A758,FIND("/",$A758)-1))),"")))</f>
        <v/>
      </c>
      <c r="C758">
        <f>IF(OR($A758="",$B758=""),"",IF(ISNUMBER($A758),INT(MOD($A758,10000)/100),IFERROR(VALUE(TRIM(LEFT(MID($A758,FIND("/",$A758)+1,20),FIND("/",MID($A758,FIND("/",$A758)+1,20))-1))),"")))</f>
        <v/>
      </c>
      <c r="D758">
        <f>IF(OR($A758="",$B758=""),"",IF(ISNUMBER($A758),MOD($A758,100),IFERROR(VALUE(TRIM(MID(MID($A758,FIND("/",$A758)+1,20),FIND("/",MID($A758,FIND("/",$A758)+1,20))+1,20))),"")))</f>
        <v/>
      </c>
      <c r="E758">
        <f>IF($A758="","",IF(OR($B758="",$C758="",$D758="",$B758&lt;1300,$B758&gt;1500,$C758&lt;1,$C758&gt;12,$D758&lt;1,$D758&gt;31),"نامعتبر",RIGHT("0000"&amp;$B758,4)&amp;"/"&amp;RIGHT("00"&amp;$C758,2)&amp;"/"&amp;RIGHT("00"&amp;$D758,2)))</f>
        <v/>
      </c>
      <c r="F758">
        <f>IF(OR($E758="",$E758="نامعتبر"),"",IF(Sync!$Q755="","0000",IF(AND(ISNUMBER(Sync!$Q755),Sync!$Q755&gt;=0,Sync!$Q755&lt;1),RIGHT("00"&amp;HOUR(Sync!$Q755),2)&amp;RIGHT("00"&amp;MINUTE(Sync!$Q755),2),IFERROR(RIGHT("00"&amp;VALUE(LEFT(Sync!$Q755,FIND(":",Sync!$Q755)-1)),2)&amp;RIGHT("00"&amp;VALUE(MID(Sync!$Q755,FIND(":",Sync!$Q755)+1,2)),2),"0000"))))</f>
        <v/>
      </c>
      <c r="G758">
        <f>IF(OR($E758="",$E758="نامعتبر"),"",IF(Sync!$S755="","",Sync!$S755))</f>
        <v/>
      </c>
      <c r="H758">
        <f>IF(OR($E758="",$E758="نامعتبر"),"",IF(Sync!$R755="","",Sync!$R755))</f>
        <v/>
      </c>
      <c r="I758">
        <f>IF(OR($E758="",$E758="نامعتبر"),"",IF(Sync!$T755="","",Sync!$T755))</f>
        <v/>
      </c>
      <c r="J758">
        <f>IF(OR($E758="",$E758="نامعتبر"),"",IF(Sync!$U755="","",Sync!$U755))</f>
        <v/>
      </c>
      <c r="K758">
        <f>IF(OR($E758="",$E758="نامعتبر"),"",IF(Sync!$V755="","",IFERROR(INDEX(SubCodes,MATCH(Sync!$V755,SubTitles,0)),Sync!$V755)))</f>
        <v/>
      </c>
      <c r="L758">
        <f>IF(OR($E758="",$E758="نامعتبر"),"",IF(Sync!$W755="",0,Sync!$W755))</f>
        <v/>
      </c>
      <c r="M758">
        <f>IF(OR($E758="",$E758="نامعتبر"),"",IF(Sync!$X755="",0,Sync!$X755))</f>
        <v/>
      </c>
      <c r="N758">
        <f>IF(OR($E758="",$E758="نامعتبر"),"",IF(AND($J758="هزینه",$K758&lt;&gt;""),1,0))</f>
        <v/>
      </c>
      <c r="O758">
        <f>IF($N758=0,"",LEFT($E758,4)&amp;MID($E758,6,2)&amp;RIGHT($E758,2)&amp;$F758&amp;"|"&amp;"1"&amp;RIGHT("00000"&amp;750,5))</f>
        <v/>
      </c>
      <c r="P758">
        <f>IF($O758="","",COUNTIFS(ExpSub,$K758,ExpKey,"&lt;"&amp;$O758)+1)</f>
        <v/>
      </c>
      <c r="Q758">
        <f>IF($P758="","",$K758&amp;"|"&amp;RIGHT("000000"&amp;$P758,6))</f>
        <v/>
      </c>
    </row>
    <row r="759">
      <c r="A759">
        <f>IF(Sync!$P756="","",Sync!$P756)</f>
        <v/>
      </c>
      <c r="B759">
        <f>IF($A759="","",IF(ISNUMBER($A759),IF(AND($A759&gt;=10000101,$A759&lt;=99991231),INT($A759/10000),""),IFERROR(VALUE(TRIM(LEFT($A759,FIND("/",$A759)-1))),"")))</f>
        <v/>
      </c>
      <c r="C759">
        <f>IF(OR($A759="",$B759=""),"",IF(ISNUMBER($A759),INT(MOD($A759,10000)/100),IFERROR(VALUE(TRIM(LEFT(MID($A759,FIND("/",$A759)+1,20),FIND("/",MID($A759,FIND("/",$A759)+1,20))-1))),"")))</f>
        <v/>
      </c>
      <c r="D759">
        <f>IF(OR($A759="",$B759=""),"",IF(ISNUMBER($A759),MOD($A759,100),IFERROR(VALUE(TRIM(MID(MID($A759,FIND("/",$A759)+1,20),FIND("/",MID($A759,FIND("/",$A759)+1,20))+1,20))),"")))</f>
        <v/>
      </c>
      <c r="E759">
        <f>IF($A759="","",IF(OR($B759="",$C759="",$D759="",$B759&lt;1300,$B759&gt;1500,$C759&lt;1,$C759&gt;12,$D759&lt;1,$D759&gt;31),"نامعتبر",RIGHT("0000"&amp;$B759,4)&amp;"/"&amp;RIGHT("00"&amp;$C759,2)&amp;"/"&amp;RIGHT("00"&amp;$D759,2)))</f>
        <v/>
      </c>
      <c r="F759">
        <f>IF(OR($E759="",$E759="نامعتبر"),"",IF(Sync!$Q756="","0000",IF(AND(ISNUMBER(Sync!$Q756),Sync!$Q756&gt;=0,Sync!$Q756&lt;1),RIGHT("00"&amp;HOUR(Sync!$Q756),2)&amp;RIGHT("00"&amp;MINUTE(Sync!$Q756),2),IFERROR(RIGHT("00"&amp;VALUE(LEFT(Sync!$Q756,FIND(":",Sync!$Q756)-1)),2)&amp;RIGHT("00"&amp;VALUE(MID(Sync!$Q756,FIND(":",Sync!$Q756)+1,2)),2),"0000"))))</f>
        <v/>
      </c>
      <c r="G759">
        <f>IF(OR($E759="",$E759="نامعتبر"),"",IF(Sync!$S756="","",Sync!$S756))</f>
        <v/>
      </c>
      <c r="H759">
        <f>IF(OR($E759="",$E759="نامعتبر"),"",IF(Sync!$R756="","",Sync!$R756))</f>
        <v/>
      </c>
      <c r="I759">
        <f>IF(OR($E759="",$E759="نامعتبر"),"",IF(Sync!$T756="","",Sync!$T756))</f>
        <v/>
      </c>
      <c r="J759">
        <f>IF(OR($E759="",$E759="نامعتبر"),"",IF(Sync!$U756="","",Sync!$U756))</f>
        <v/>
      </c>
      <c r="K759">
        <f>IF(OR($E759="",$E759="نامعتبر"),"",IF(Sync!$V756="","",IFERROR(INDEX(SubCodes,MATCH(Sync!$V756,SubTitles,0)),Sync!$V756)))</f>
        <v/>
      </c>
      <c r="L759">
        <f>IF(OR($E759="",$E759="نامعتبر"),"",IF(Sync!$W756="",0,Sync!$W756))</f>
        <v/>
      </c>
      <c r="M759">
        <f>IF(OR($E759="",$E759="نامعتبر"),"",IF(Sync!$X756="",0,Sync!$X756))</f>
        <v/>
      </c>
      <c r="N759">
        <f>IF(OR($E759="",$E759="نامعتبر"),"",IF(AND($J759="هزینه",$K759&lt;&gt;""),1,0))</f>
        <v/>
      </c>
      <c r="O759">
        <f>IF($N759=0,"",LEFT($E759,4)&amp;MID($E759,6,2)&amp;RIGHT($E759,2)&amp;$F759&amp;"|"&amp;"1"&amp;RIGHT("00000"&amp;751,5))</f>
        <v/>
      </c>
      <c r="P759">
        <f>IF($O759="","",COUNTIFS(ExpSub,$K759,ExpKey,"&lt;"&amp;$O759)+1)</f>
        <v/>
      </c>
      <c r="Q759">
        <f>IF($P759="","",$K759&amp;"|"&amp;RIGHT("000000"&amp;$P759,6))</f>
        <v/>
      </c>
    </row>
    <row r="760">
      <c r="A760">
        <f>IF(Sync!$P757="","",Sync!$P757)</f>
        <v/>
      </c>
      <c r="B760">
        <f>IF($A760="","",IF(ISNUMBER($A760),IF(AND($A760&gt;=10000101,$A760&lt;=99991231),INT($A760/10000),""),IFERROR(VALUE(TRIM(LEFT($A760,FIND("/",$A760)-1))),"")))</f>
        <v/>
      </c>
      <c r="C760">
        <f>IF(OR($A760="",$B760=""),"",IF(ISNUMBER($A760),INT(MOD($A760,10000)/100),IFERROR(VALUE(TRIM(LEFT(MID($A760,FIND("/",$A760)+1,20),FIND("/",MID($A760,FIND("/",$A760)+1,20))-1))),"")))</f>
        <v/>
      </c>
      <c r="D760">
        <f>IF(OR($A760="",$B760=""),"",IF(ISNUMBER($A760),MOD($A760,100),IFERROR(VALUE(TRIM(MID(MID($A760,FIND("/",$A760)+1,20),FIND("/",MID($A760,FIND("/",$A760)+1,20))+1,20))),"")))</f>
        <v/>
      </c>
      <c r="E760">
        <f>IF($A760="","",IF(OR($B760="",$C760="",$D760="",$B760&lt;1300,$B760&gt;1500,$C760&lt;1,$C760&gt;12,$D760&lt;1,$D760&gt;31),"نامعتبر",RIGHT("0000"&amp;$B760,4)&amp;"/"&amp;RIGHT("00"&amp;$C760,2)&amp;"/"&amp;RIGHT("00"&amp;$D760,2)))</f>
        <v/>
      </c>
      <c r="F760">
        <f>IF(OR($E760="",$E760="نامعتبر"),"",IF(Sync!$Q757="","0000",IF(AND(ISNUMBER(Sync!$Q757),Sync!$Q757&gt;=0,Sync!$Q757&lt;1),RIGHT("00"&amp;HOUR(Sync!$Q757),2)&amp;RIGHT("00"&amp;MINUTE(Sync!$Q757),2),IFERROR(RIGHT("00"&amp;VALUE(LEFT(Sync!$Q757,FIND(":",Sync!$Q757)-1)),2)&amp;RIGHT("00"&amp;VALUE(MID(Sync!$Q757,FIND(":",Sync!$Q757)+1,2)),2),"0000"))))</f>
        <v/>
      </c>
      <c r="G760">
        <f>IF(OR($E760="",$E760="نامعتبر"),"",IF(Sync!$S757="","",Sync!$S757))</f>
        <v/>
      </c>
      <c r="H760">
        <f>IF(OR($E760="",$E760="نامعتبر"),"",IF(Sync!$R757="","",Sync!$R757))</f>
        <v/>
      </c>
      <c r="I760">
        <f>IF(OR($E760="",$E760="نامعتبر"),"",IF(Sync!$T757="","",Sync!$T757))</f>
        <v/>
      </c>
      <c r="J760">
        <f>IF(OR($E760="",$E760="نامعتبر"),"",IF(Sync!$U757="","",Sync!$U757))</f>
        <v/>
      </c>
      <c r="K760">
        <f>IF(OR($E760="",$E760="نامعتبر"),"",IF(Sync!$V757="","",IFERROR(INDEX(SubCodes,MATCH(Sync!$V757,SubTitles,0)),Sync!$V757)))</f>
        <v/>
      </c>
      <c r="L760">
        <f>IF(OR($E760="",$E760="نامعتبر"),"",IF(Sync!$W757="",0,Sync!$W757))</f>
        <v/>
      </c>
      <c r="M760">
        <f>IF(OR($E760="",$E760="نامعتبر"),"",IF(Sync!$X757="",0,Sync!$X757))</f>
        <v/>
      </c>
      <c r="N760">
        <f>IF(OR($E760="",$E760="نامعتبر"),"",IF(AND($J760="هزینه",$K760&lt;&gt;""),1,0))</f>
        <v/>
      </c>
      <c r="O760">
        <f>IF($N760=0,"",LEFT($E760,4)&amp;MID($E760,6,2)&amp;RIGHT($E760,2)&amp;$F760&amp;"|"&amp;"1"&amp;RIGHT("00000"&amp;752,5))</f>
        <v/>
      </c>
      <c r="P760">
        <f>IF($O760="","",COUNTIFS(ExpSub,$K760,ExpKey,"&lt;"&amp;$O760)+1)</f>
        <v/>
      </c>
      <c r="Q760">
        <f>IF($P760="","",$K760&amp;"|"&amp;RIGHT("000000"&amp;$P760,6))</f>
        <v/>
      </c>
    </row>
    <row r="761">
      <c r="A761">
        <f>IF(Sync!$P758="","",Sync!$P758)</f>
        <v/>
      </c>
      <c r="B761">
        <f>IF($A761="","",IF(ISNUMBER($A761),IF(AND($A761&gt;=10000101,$A761&lt;=99991231),INT($A761/10000),""),IFERROR(VALUE(TRIM(LEFT($A761,FIND("/",$A761)-1))),"")))</f>
        <v/>
      </c>
      <c r="C761">
        <f>IF(OR($A761="",$B761=""),"",IF(ISNUMBER($A761),INT(MOD($A761,10000)/100),IFERROR(VALUE(TRIM(LEFT(MID($A761,FIND("/",$A761)+1,20),FIND("/",MID($A761,FIND("/",$A761)+1,20))-1))),"")))</f>
        <v/>
      </c>
      <c r="D761">
        <f>IF(OR($A761="",$B761=""),"",IF(ISNUMBER($A761),MOD($A761,100),IFERROR(VALUE(TRIM(MID(MID($A761,FIND("/",$A761)+1,20),FIND("/",MID($A761,FIND("/",$A761)+1,20))+1,20))),"")))</f>
        <v/>
      </c>
      <c r="E761">
        <f>IF($A761="","",IF(OR($B761="",$C761="",$D761="",$B761&lt;1300,$B761&gt;1500,$C761&lt;1,$C761&gt;12,$D761&lt;1,$D761&gt;31),"نامعتبر",RIGHT("0000"&amp;$B761,4)&amp;"/"&amp;RIGHT("00"&amp;$C761,2)&amp;"/"&amp;RIGHT("00"&amp;$D761,2)))</f>
        <v/>
      </c>
      <c r="F761">
        <f>IF(OR($E761="",$E761="نامعتبر"),"",IF(Sync!$Q758="","0000",IF(AND(ISNUMBER(Sync!$Q758),Sync!$Q758&gt;=0,Sync!$Q758&lt;1),RIGHT("00"&amp;HOUR(Sync!$Q758),2)&amp;RIGHT("00"&amp;MINUTE(Sync!$Q758),2),IFERROR(RIGHT("00"&amp;VALUE(LEFT(Sync!$Q758,FIND(":",Sync!$Q758)-1)),2)&amp;RIGHT("00"&amp;VALUE(MID(Sync!$Q758,FIND(":",Sync!$Q758)+1,2)),2),"0000"))))</f>
        <v/>
      </c>
      <c r="G761">
        <f>IF(OR($E761="",$E761="نامعتبر"),"",IF(Sync!$S758="","",Sync!$S758))</f>
        <v/>
      </c>
      <c r="H761">
        <f>IF(OR($E761="",$E761="نامعتبر"),"",IF(Sync!$R758="","",Sync!$R758))</f>
        <v/>
      </c>
      <c r="I761">
        <f>IF(OR($E761="",$E761="نامعتبر"),"",IF(Sync!$T758="","",Sync!$T758))</f>
        <v/>
      </c>
      <c r="J761">
        <f>IF(OR($E761="",$E761="نامعتبر"),"",IF(Sync!$U758="","",Sync!$U758))</f>
        <v/>
      </c>
      <c r="K761">
        <f>IF(OR($E761="",$E761="نامعتبر"),"",IF(Sync!$V758="","",IFERROR(INDEX(SubCodes,MATCH(Sync!$V758,SubTitles,0)),Sync!$V758)))</f>
        <v/>
      </c>
      <c r="L761">
        <f>IF(OR($E761="",$E761="نامعتبر"),"",IF(Sync!$W758="",0,Sync!$W758))</f>
        <v/>
      </c>
      <c r="M761">
        <f>IF(OR($E761="",$E761="نامعتبر"),"",IF(Sync!$X758="",0,Sync!$X758))</f>
        <v/>
      </c>
      <c r="N761">
        <f>IF(OR($E761="",$E761="نامعتبر"),"",IF(AND($J761="هزینه",$K761&lt;&gt;""),1,0))</f>
        <v/>
      </c>
      <c r="O761">
        <f>IF($N761=0,"",LEFT($E761,4)&amp;MID($E761,6,2)&amp;RIGHT($E761,2)&amp;$F761&amp;"|"&amp;"1"&amp;RIGHT("00000"&amp;753,5))</f>
        <v/>
      </c>
      <c r="P761">
        <f>IF($O761="","",COUNTIFS(ExpSub,$K761,ExpKey,"&lt;"&amp;$O761)+1)</f>
        <v/>
      </c>
      <c r="Q761">
        <f>IF($P761="","",$K761&amp;"|"&amp;RIGHT("000000"&amp;$P761,6))</f>
        <v/>
      </c>
    </row>
    <row r="762">
      <c r="A762">
        <f>IF(Sync!$P759="","",Sync!$P759)</f>
        <v/>
      </c>
      <c r="B762">
        <f>IF($A762="","",IF(ISNUMBER($A762),IF(AND($A762&gt;=10000101,$A762&lt;=99991231),INT($A762/10000),""),IFERROR(VALUE(TRIM(LEFT($A762,FIND("/",$A762)-1))),"")))</f>
        <v/>
      </c>
      <c r="C762">
        <f>IF(OR($A762="",$B762=""),"",IF(ISNUMBER($A762),INT(MOD($A762,10000)/100),IFERROR(VALUE(TRIM(LEFT(MID($A762,FIND("/",$A762)+1,20),FIND("/",MID($A762,FIND("/",$A762)+1,20))-1))),"")))</f>
        <v/>
      </c>
      <c r="D762">
        <f>IF(OR($A762="",$B762=""),"",IF(ISNUMBER($A762),MOD($A762,100),IFERROR(VALUE(TRIM(MID(MID($A762,FIND("/",$A762)+1,20),FIND("/",MID($A762,FIND("/",$A762)+1,20))+1,20))),"")))</f>
        <v/>
      </c>
      <c r="E762">
        <f>IF($A762="","",IF(OR($B762="",$C762="",$D762="",$B762&lt;1300,$B762&gt;1500,$C762&lt;1,$C762&gt;12,$D762&lt;1,$D762&gt;31),"نامعتبر",RIGHT("0000"&amp;$B762,4)&amp;"/"&amp;RIGHT("00"&amp;$C762,2)&amp;"/"&amp;RIGHT("00"&amp;$D762,2)))</f>
        <v/>
      </c>
      <c r="F762">
        <f>IF(OR($E762="",$E762="نامعتبر"),"",IF(Sync!$Q759="","0000",IF(AND(ISNUMBER(Sync!$Q759),Sync!$Q759&gt;=0,Sync!$Q759&lt;1),RIGHT("00"&amp;HOUR(Sync!$Q759),2)&amp;RIGHT("00"&amp;MINUTE(Sync!$Q759),2),IFERROR(RIGHT("00"&amp;VALUE(LEFT(Sync!$Q759,FIND(":",Sync!$Q759)-1)),2)&amp;RIGHT("00"&amp;VALUE(MID(Sync!$Q759,FIND(":",Sync!$Q759)+1,2)),2),"0000"))))</f>
        <v/>
      </c>
      <c r="G762">
        <f>IF(OR($E762="",$E762="نامعتبر"),"",IF(Sync!$S759="","",Sync!$S759))</f>
        <v/>
      </c>
      <c r="H762">
        <f>IF(OR($E762="",$E762="نامعتبر"),"",IF(Sync!$R759="","",Sync!$R759))</f>
        <v/>
      </c>
      <c r="I762">
        <f>IF(OR($E762="",$E762="نامعتبر"),"",IF(Sync!$T759="","",Sync!$T759))</f>
        <v/>
      </c>
      <c r="J762">
        <f>IF(OR($E762="",$E762="نامعتبر"),"",IF(Sync!$U759="","",Sync!$U759))</f>
        <v/>
      </c>
      <c r="K762">
        <f>IF(OR($E762="",$E762="نامعتبر"),"",IF(Sync!$V759="","",IFERROR(INDEX(SubCodes,MATCH(Sync!$V759,SubTitles,0)),Sync!$V759)))</f>
        <v/>
      </c>
      <c r="L762">
        <f>IF(OR($E762="",$E762="نامعتبر"),"",IF(Sync!$W759="",0,Sync!$W759))</f>
        <v/>
      </c>
      <c r="M762">
        <f>IF(OR($E762="",$E762="نامعتبر"),"",IF(Sync!$X759="",0,Sync!$X759))</f>
        <v/>
      </c>
      <c r="N762">
        <f>IF(OR($E762="",$E762="نامعتبر"),"",IF(AND($J762="هزینه",$K762&lt;&gt;""),1,0))</f>
        <v/>
      </c>
      <c r="O762">
        <f>IF($N762=0,"",LEFT($E762,4)&amp;MID($E762,6,2)&amp;RIGHT($E762,2)&amp;$F762&amp;"|"&amp;"1"&amp;RIGHT("00000"&amp;754,5))</f>
        <v/>
      </c>
      <c r="P762">
        <f>IF($O762="","",COUNTIFS(ExpSub,$K762,ExpKey,"&lt;"&amp;$O762)+1)</f>
        <v/>
      </c>
      <c r="Q762">
        <f>IF($P762="","",$K762&amp;"|"&amp;RIGHT("000000"&amp;$P762,6))</f>
        <v/>
      </c>
    </row>
    <row r="763">
      <c r="A763">
        <f>IF(Sync!$P760="","",Sync!$P760)</f>
        <v/>
      </c>
      <c r="B763">
        <f>IF($A763="","",IF(ISNUMBER($A763),IF(AND($A763&gt;=10000101,$A763&lt;=99991231),INT($A763/10000),""),IFERROR(VALUE(TRIM(LEFT($A763,FIND("/",$A763)-1))),"")))</f>
        <v/>
      </c>
      <c r="C763">
        <f>IF(OR($A763="",$B763=""),"",IF(ISNUMBER($A763),INT(MOD($A763,10000)/100),IFERROR(VALUE(TRIM(LEFT(MID($A763,FIND("/",$A763)+1,20),FIND("/",MID($A763,FIND("/",$A763)+1,20))-1))),"")))</f>
        <v/>
      </c>
      <c r="D763">
        <f>IF(OR($A763="",$B763=""),"",IF(ISNUMBER($A763),MOD($A763,100),IFERROR(VALUE(TRIM(MID(MID($A763,FIND("/",$A763)+1,20),FIND("/",MID($A763,FIND("/",$A763)+1,20))+1,20))),"")))</f>
        <v/>
      </c>
      <c r="E763">
        <f>IF($A763="","",IF(OR($B763="",$C763="",$D763="",$B763&lt;1300,$B763&gt;1500,$C763&lt;1,$C763&gt;12,$D763&lt;1,$D763&gt;31),"نامعتبر",RIGHT("0000"&amp;$B763,4)&amp;"/"&amp;RIGHT("00"&amp;$C763,2)&amp;"/"&amp;RIGHT("00"&amp;$D763,2)))</f>
        <v/>
      </c>
      <c r="F763">
        <f>IF(OR($E763="",$E763="نامعتبر"),"",IF(Sync!$Q760="","0000",IF(AND(ISNUMBER(Sync!$Q760),Sync!$Q760&gt;=0,Sync!$Q760&lt;1),RIGHT("00"&amp;HOUR(Sync!$Q760),2)&amp;RIGHT("00"&amp;MINUTE(Sync!$Q760),2),IFERROR(RIGHT("00"&amp;VALUE(LEFT(Sync!$Q760,FIND(":",Sync!$Q760)-1)),2)&amp;RIGHT("00"&amp;VALUE(MID(Sync!$Q760,FIND(":",Sync!$Q760)+1,2)),2),"0000"))))</f>
        <v/>
      </c>
      <c r="G763">
        <f>IF(OR($E763="",$E763="نامعتبر"),"",IF(Sync!$S760="","",Sync!$S760))</f>
        <v/>
      </c>
      <c r="H763">
        <f>IF(OR($E763="",$E763="نامعتبر"),"",IF(Sync!$R760="","",Sync!$R760))</f>
        <v/>
      </c>
      <c r="I763">
        <f>IF(OR($E763="",$E763="نامعتبر"),"",IF(Sync!$T760="","",Sync!$T760))</f>
        <v/>
      </c>
      <c r="J763">
        <f>IF(OR($E763="",$E763="نامعتبر"),"",IF(Sync!$U760="","",Sync!$U760))</f>
        <v/>
      </c>
      <c r="K763">
        <f>IF(OR($E763="",$E763="نامعتبر"),"",IF(Sync!$V760="","",IFERROR(INDEX(SubCodes,MATCH(Sync!$V760,SubTitles,0)),Sync!$V760)))</f>
        <v/>
      </c>
      <c r="L763">
        <f>IF(OR($E763="",$E763="نامعتبر"),"",IF(Sync!$W760="",0,Sync!$W760))</f>
        <v/>
      </c>
      <c r="M763">
        <f>IF(OR($E763="",$E763="نامعتبر"),"",IF(Sync!$X760="",0,Sync!$X760))</f>
        <v/>
      </c>
      <c r="N763">
        <f>IF(OR($E763="",$E763="نامعتبر"),"",IF(AND($J763="هزینه",$K763&lt;&gt;""),1,0))</f>
        <v/>
      </c>
      <c r="O763">
        <f>IF($N763=0,"",LEFT($E763,4)&amp;MID($E763,6,2)&amp;RIGHT($E763,2)&amp;$F763&amp;"|"&amp;"1"&amp;RIGHT("00000"&amp;755,5))</f>
        <v/>
      </c>
      <c r="P763">
        <f>IF($O763="","",COUNTIFS(ExpSub,$K763,ExpKey,"&lt;"&amp;$O763)+1)</f>
        <v/>
      </c>
      <c r="Q763">
        <f>IF($P763="","",$K763&amp;"|"&amp;RIGHT("000000"&amp;$P763,6))</f>
        <v/>
      </c>
    </row>
    <row r="764">
      <c r="A764">
        <f>IF(Sync!$P761="","",Sync!$P761)</f>
        <v/>
      </c>
      <c r="B764">
        <f>IF($A764="","",IF(ISNUMBER($A764),IF(AND($A764&gt;=10000101,$A764&lt;=99991231),INT($A764/10000),""),IFERROR(VALUE(TRIM(LEFT($A764,FIND("/",$A764)-1))),"")))</f>
        <v/>
      </c>
      <c r="C764">
        <f>IF(OR($A764="",$B764=""),"",IF(ISNUMBER($A764),INT(MOD($A764,10000)/100),IFERROR(VALUE(TRIM(LEFT(MID($A764,FIND("/",$A764)+1,20),FIND("/",MID($A764,FIND("/",$A764)+1,20))-1))),"")))</f>
        <v/>
      </c>
      <c r="D764">
        <f>IF(OR($A764="",$B764=""),"",IF(ISNUMBER($A764),MOD($A764,100),IFERROR(VALUE(TRIM(MID(MID($A764,FIND("/",$A764)+1,20),FIND("/",MID($A764,FIND("/",$A764)+1,20))+1,20))),"")))</f>
        <v/>
      </c>
      <c r="E764">
        <f>IF($A764="","",IF(OR($B764="",$C764="",$D764="",$B764&lt;1300,$B764&gt;1500,$C764&lt;1,$C764&gt;12,$D764&lt;1,$D764&gt;31),"نامعتبر",RIGHT("0000"&amp;$B764,4)&amp;"/"&amp;RIGHT("00"&amp;$C764,2)&amp;"/"&amp;RIGHT("00"&amp;$D764,2)))</f>
        <v/>
      </c>
      <c r="F764">
        <f>IF(OR($E764="",$E764="نامعتبر"),"",IF(Sync!$Q761="","0000",IF(AND(ISNUMBER(Sync!$Q761),Sync!$Q761&gt;=0,Sync!$Q761&lt;1),RIGHT("00"&amp;HOUR(Sync!$Q761),2)&amp;RIGHT("00"&amp;MINUTE(Sync!$Q761),2),IFERROR(RIGHT("00"&amp;VALUE(LEFT(Sync!$Q761,FIND(":",Sync!$Q761)-1)),2)&amp;RIGHT("00"&amp;VALUE(MID(Sync!$Q761,FIND(":",Sync!$Q761)+1,2)),2),"0000"))))</f>
        <v/>
      </c>
      <c r="G764">
        <f>IF(OR($E764="",$E764="نامعتبر"),"",IF(Sync!$S761="","",Sync!$S761))</f>
        <v/>
      </c>
      <c r="H764">
        <f>IF(OR($E764="",$E764="نامعتبر"),"",IF(Sync!$R761="","",Sync!$R761))</f>
        <v/>
      </c>
      <c r="I764">
        <f>IF(OR($E764="",$E764="نامعتبر"),"",IF(Sync!$T761="","",Sync!$T761))</f>
        <v/>
      </c>
      <c r="J764">
        <f>IF(OR($E764="",$E764="نامعتبر"),"",IF(Sync!$U761="","",Sync!$U761))</f>
        <v/>
      </c>
      <c r="K764">
        <f>IF(OR($E764="",$E764="نامعتبر"),"",IF(Sync!$V761="","",IFERROR(INDEX(SubCodes,MATCH(Sync!$V761,SubTitles,0)),Sync!$V761)))</f>
        <v/>
      </c>
      <c r="L764">
        <f>IF(OR($E764="",$E764="نامعتبر"),"",IF(Sync!$W761="",0,Sync!$W761))</f>
        <v/>
      </c>
      <c r="M764">
        <f>IF(OR($E764="",$E764="نامعتبر"),"",IF(Sync!$X761="",0,Sync!$X761))</f>
        <v/>
      </c>
      <c r="N764">
        <f>IF(OR($E764="",$E764="نامعتبر"),"",IF(AND($J764="هزینه",$K764&lt;&gt;""),1,0))</f>
        <v/>
      </c>
      <c r="O764">
        <f>IF($N764=0,"",LEFT($E764,4)&amp;MID($E764,6,2)&amp;RIGHT($E764,2)&amp;$F764&amp;"|"&amp;"1"&amp;RIGHT("00000"&amp;756,5))</f>
        <v/>
      </c>
      <c r="P764">
        <f>IF($O764="","",COUNTIFS(ExpSub,$K764,ExpKey,"&lt;"&amp;$O764)+1)</f>
        <v/>
      </c>
      <c r="Q764">
        <f>IF($P764="","",$K764&amp;"|"&amp;RIGHT("000000"&amp;$P764,6))</f>
        <v/>
      </c>
    </row>
    <row r="765">
      <c r="A765">
        <f>IF(Sync!$P762="","",Sync!$P762)</f>
        <v/>
      </c>
      <c r="B765">
        <f>IF($A765="","",IF(ISNUMBER($A765),IF(AND($A765&gt;=10000101,$A765&lt;=99991231),INT($A765/10000),""),IFERROR(VALUE(TRIM(LEFT($A765,FIND("/",$A765)-1))),"")))</f>
        <v/>
      </c>
      <c r="C765">
        <f>IF(OR($A765="",$B765=""),"",IF(ISNUMBER($A765),INT(MOD($A765,10000)/100),IFERROR(VALUE(TRIM(LEFT(MID($A765,FIND("/",$A765)+1,20),FIND("/",MID($A765,FIND("/",$A765)+1,20))-1))),"")))</f>
        <v/>
      </c>
      <c r="D765">
        <f>IF(OR($A765="",$B765=""),"",IF(ISNUMBER($A765),MOD($A765,100),IFERROR(VALUE(TRIM(MID(MID($A765,FIND("/",$A765)+1,20),FIND("/",MID($A765,FIND("/",$A765)+1,20))+1,20))),"")))</f>
        <v/>
      </c>
      <c r="E765">
        <f>IF($A765="","",IF(OR($B765="",$C765="",$D765="",$B765&lt;1300,$B765&gt;1500,$C765&lt;1,$C765&gt;12,$D765&lt;1,$D765&gt;31),"نامعتبر",RIGHT("0000"&amp;$B765,4)&amp;"/"&amp;RIGHT("00"&amp;$C765,2)&amp;"/"&amp;RIGHT("00"&amp;$D765,2)))</f>
        <v/>
      </c>
      <c r="F765">
        <f>IF(OR($E765="",$E765="نامعتبر"),"",IF(Sync!$Q762="","0000",IF(AND(ISNUMBER(Sync!$Q762),Sync!$Q762&gt;=0,Sync!$Q762&lt;1),RIGHT("00"&amp;HOUR(Sync!$Q762),2)&amp;RIGHT("00"&amp;MINUTE(Sync!$Q762),2),IFERROR(RIGHT("00"&amp;VALUE(LEFT(Sync!$Q762,FIND(":",Sync!$Q762)-1)),2)&amp;RIGHT("00"&amp;VALUE(MID(Sync!$Q762,FIND(":",Sync!$Q762)+1,2)),2),"0000"))))</f>
        <v/>
      </c>
      <c r="G765">
        <f>IF(OR($E765="",$E765="نامعتبر"),"",IF(Sync!$S762="","",Sync!$S762))</f>
        <v/>
      </c>
      <c r="H765">
        <f>IF(OR($E765="",$E765="نامعتبر"),"",IF(Sync!$R762="","",Sync!$R762))</f>
        <v/>
      </c>
      <c r="I765">
        <f>IF(OR($E765="",$E765="نامعتبر"),"",IF(Sync!$T762="","",Sync!$T762))</f>
        <v/>
      </c>
      <c r="J765">
        <f>IF(OR($E765="",$E765="نامعتبر"),"",IF(Sync!$U762="","",Sync!$U762))</f>
        <v/>
      </c>
      <c r="K765">
        <f>IF(OR($E765="",$E765="نامعتبر"),"",IF(Sync!$V762="","",IFERROR(INDEX(SubCodes,MATCH(Sync!$V762,SubTitles,0)),Sync!$V762)))</f>
        <v/>
      </c>
      <c r="L765">
        <f>IF(OR($E765="",$E765="نامعتبر"),"",IF(Sync!$W762="",0,Sync!$W762))</f>
        <v/>
      </c>
      <c r="M765">
        <f>IF(OR($E765="",$E765="نامعتبر"),"",IF(Sync!$X762="",0,Sync!$X762))</f>
        <v/>
      </c>
      <c r="N765">
        <f>IF(OR($E765="",$E765="نامعتبر"),"",IF(AND($J765="هزینه",$K765&lt;&gt;""),1,0))</f>
        <v/>
      </c>
      <c r="O765">
        <f>IF($N765=0,"",LEFT($E765,4)&amp;MID($E765,6,2)&amp;RIGHT($E765,2)&amp;$F765&amp;"|"&amp;"1"&amp;RIGHT("00000"&amp;757,5))</f>
        <v/>
      </c>
      <c r="P765">
        <f>IF($O765="","",COUNTIFS(ExpSub,$K765,ExpKey,"&lt;"&amp;$O765)+1)</f>
        <v/>
      </c>
      <c r="Q765">
        <f>IF($P765="","",$K765&amp;"|"&amp;RIGHT("000000"&amp;$P765,6))</f>
        <v/>
      </c>
    </row>
    <row r="766">
      <c r="A766">
        <f>IF(Sync!$P763="","",Sync!$P763)</f>
        <v/>
      </c>
      <c r="B766">
        <f>IF($A766="","",IF(ISNUMBER($A766),IF(AND($A766&gt;=10000101,$A766&lt;=99991231),INT($A766/10000),""),IFERROR(VALUE(TRIM(LEFT($A766,FIND("/",$A766)-1))),"")))</f>
        <v/>
      </c>
      <c r="C766">
        <f>IF(OR($A766="",$B766=""),"",IF(ISNUMBER($A766),INT(MOD($A766,10000)/100),IFERROR(VALUE(TRIM(LEFT(MID($A766,FIND("/",$A766)+1,20),FIND("/",MID($A766,FIND("/",$A766)+1,20))-1))),"")))</f>
        <v/>
      </c>
      <c r="D766">
        <f>IF(OR($A766="",$B766=""),"",IF(ISNUMBER($A766),MOD($A766,100),IFERROR(VALUE(TRIM(MID(MID($A766,FIND("/",$A766)+1,20),FIND("/",MID($A766,FIND("/",$A766)+1,20))+1,20))),"")))</f>
        <v/>
      </c>
      <c r="E766">
        <f>IF($A766="","",IF(OR($B766="",$C766="",$D766="",$B766&lt;1300,$B766&gt;1500,$C766&lt;1,$C766&gt;12,$D766&lt;1,$D766&gt;31),"نامعتبر",RIGHT("0000"&amp;$B766,4)&amp;"/"&amp;RIGHT("00"&amp;$C766,2)&amp;"/"&amp;RIGHT("00"&amp;$D766,2)))</f>
        <v/>
      </c>
      <c r="F766">
        <f>IF(OR($E766="",$E766="نامعتبر"),"",IF(Sync!$Q763="","0000",IF(AND(ISNUMBER(Sync!$Q763),Sync!$Q763&gt;=0,Sync!$Q763&lt;1),RIGHT("00"&amp;HOUR(Sync!$Q763),2)&amp;RIGHT("00"&amp;MINUTE(Sync!$Q763),2),IFERROR(RIGHT("00"&amp;VALUE(LEFT(Sync!$Q763,FIND(":",Sync!$Q763)-1)),2)&amp;RIGHT("00"&amp;VALUE(MID(Sync!$Q763,FIND(":",Sync!$Q763)+1,2)),2),"0000"))))</f>
        <v/>
      </c>
      <c r="G766">
        <f>IF(OR($E766="",$E766="نامعتبر"),"",IF(Sync!$S763="","",Sync!$S763))</f>
        <v/>
      </c>
      <c r="H766">
        <f>IF(OR($E766="",$E766="نامعتبر"),"",IF(Sync!$R763="","",Sync!$R763))</f>
        <v/>
      </c>
      <c r="I766">
        <f>IF(OR($E766="",$E766="نامعتبر"),"",IF(Sync!$T763="","",Sync!$T763))</f>
        <v/>
      </c>
      <c r="J766">
        <f>IF(OR($E766="",$E766="نامعتبر"),"",IF(Sync!$U763="","",Sync!$U763))</f>
        <v/>
      </c>
      <c r="K766">
        <f>IF(OR($E766="",$E766="نامعتبر"),"",IF(Sync!$V763="","",IFERROR(INDEX(SubCodes,MATCH(Sync!$V763,SubTitles,0)),Sync!$V763)))</f>
        <v/>
      </c>
      <c r="L766">
        <f>IF(OR($E766="",$E766="نامعتبر"),"",IF(Sync!$W763="",0,Sync!$W763))</f>
        <v/>
      </c>
      <c r="M766">
        <f>IF(OR($E766="",$E766="نامعتبر"),"",IF(Sync!$X763="",0,Sync!$X763))</f>
        <v/>
      </c>
      <c r="N766">
        <f>IF(OR($E766="",$E766="نامعتبر"),"",IF(AND($J766="هزینه",$K766&lt;&gt;""),1,0))</f>
        <v/>
      </c>
      <c r="O766">
        <f>IF($N766=0,"",LEFT($E766,4)&amp;MID($E766,6,2)&amp;RIGHT($E766,2)&amp;$F766&amp;"|"&amp;"1"&amp;RIGHT("00000"&amp;758,5))</f>
        <v/>
      </c>
      <c r="P766">
        <f>IF($O766="","",COUNTIFS(ExpSub,$K766,ExpKey,"&lt;"&amp;$O766)+1)</f>
        <v/>
      </c>
      <c r="Q766">
        <f>IF($P766="","",$K766&amp;"|"&amp;RIGHT("000000"&amp;$P766,6))</f>
        <v/>
      </c>
    </row>
    <row r="767">
      <c r="A767">
        <f>IF(Sync!$P764="","",Sync!$P764)</f>
        <v/>
      </c>
      <c r="B767">
        <f>IF($A767="","",IF(ISNUMBER($A767),IF(AND($A767&gt;=10000101,$A767&lt;=99991231),INT($A767/10000),""),IFERROR(VALUE(TRIM(LEFT($A767,FIND("/",$A767)-1))),"")))</f>
        <v/>
      </c>
      <c r="C767">
        <f>IF(OR($A767="",$B767=""),"",IF(ISNUMBER($A767),INT(MOD($A767,10000)/100),IFERROR(VALUE(TRIM(LEFT(MID($A767,FIND("/",$A767)+1,20),FIND("/",MID($A767,FIND("/",$A767)+1,20))-1))),"")))</f>
        <v/>
      </c>
      <c r="D767">
        <f>IF(OR($A767="",$B767=""),"",IF(ISNUMBER($A767),MOD($A767,100),IFERROR(VALUE(TRIM(MID(MID($A767,FIND("/",$A767)+1,20),FIND("/",MID($A767,FIND("/",$A767)+1,20))+1,20))),"")))</f>
        <v/>
      </c>
      <c r="E767">
        <f>IF($A767="","",IF(OR($B767="",$C767="",$D767="",$B767&lt;1300,$B767&gt;1500,$C767&lt;1,$C767&gt;12,$D767&lt;1,$D767&gt;31),"نامعتبر",RIGHT("0000"&amp;$B767,4)&amp;"/"&amp;RIGHT("00"&amp;$C767,2)&amp;"/"&amp;RIGHT("00"&amp;$D767,2)))</f>
        <v/>
      </c>
      <c r="F767">
        <f>IF(OR($E767="",$E767="نامعتبر"),"",IF(Sync!$Q764="","0000",IF(AND(ISNUMBER(Sync!$Q764),Sync!$Q764&gt;=0,Sync!$Q764&lt;1),RIGHT("00"&amp;HOUR(Sync!$Q764),2)&amp;RIGHT("00"&amp;MINUTE(Sync!$Q764),2),IFERROR(RIGHT("00"&amp;VALUE(LEFT(Sync!$Q764,FIND(":",Sync!$Q764)-1)),2)&amp;RIGHT("00"&amp;VALUE(MID(Sync!$Q764,FIND(":",Sync!$Q764)+1,2)),2),"0000"))))</f>
        <v/>
      </c>
      <c r="G767">
        <f>IF(OR($E767="",$E767="نامعتبر"),"",IF(Sync!$S764="","",Sync!$S764))</f>
        <v/>
      </c>
      <c r="H767">
        <f>IF(OR($E767="",$E767="نامعتبر"),"",IF(Sync!$R764="","",Sync!$R764))</f>
        <v/>
      </c>
      <c r="I767">
        <f>IF(OR($E767="",$E767="نامعتبر"),"",IF(Sync!$T764="","",Sync!$T764))</f>
        <v/>
      </c>
      <c r="J767">
        <f>IF(OR($E767="",$E767="نامعتبر"),"",IF(Sync!$U764="","",Sync!$U764))</f>
        <v/>
      </c>
      <c r="K767">
        <f>IF(OR($E767="",$E767="نامعتبر"),"",IF(Sync!$V764="","",IFERROR(INDEX(SubCodes,MATCH(Sync!$V764,SubTitles,0)),Sync!$V764)))</f>
        <v/>
      </c>
      <c r="L767">
        <f>IF(OR($E767="",$E767="نامعتبر"),"",IF(Sync!$W764="",0,Sync!$W764))</f>
        <v/>
      </c>
      <c r="M767">
        <f>IF(OR($E767="",$E767="نامعتبر"),"",IF(Sync!$X764="",0,Sync!$X764))</f>
        <v/>
      </c>
      <c r="N767">
        <f>IF(OR($E767="",$E767="نامعتبر"),"",IF(AND($J767="هزینه",$K767&lt;&gt;""),1,0))</f>
        <v/>
      </c>
      <c r="O767">
        <f>IF($N767=0,"",LEFT($E767,4)&amp;MID($E767,6,2)&amp;RIGHT($E767,2)&amp;$F767&amp;"|"&amp;"1"&amp;RIGHT("00000"&amp;759,5))</f>
        <v/>
      </c>
      <c r="P767">
        <f>IF($O767="","",COUNTIFS(ExpSub,$K767,ExpKey,"&lt;"&amp;$O767)+1)</f>
        <v/>
      </c>
      <c r="Q767">
        <f>IF($P767="","",$K767&amp;"|"&amp;RIGHT("000000"&amp;$P767,6))</f>
        <v/>
      </c>
    </row>
    <row r="768">
      <c r="A768">
        <f>IF(Sync!$P765="","",Sync!$P765)</f>
        <v/>
      </c>
      <c r="B768">
        <f>IF($A768="","",IF(ISNUMBER($A768),IF(AND($A768&gt;=10000101,$A768&lt;=99991231),INT($A768/10000),""),IFERROR(VALUE(TRIM(LEFT($A768,FIND("/",$A768)-1))),"")))</f>
        <v/>
      </c>
      <c r="C768">
        <f>IF(OR($A768="",$B768=""),"",IF(ISNUMBER($A768),INT(MOD($A768,10000)/100),IFERROR(VALUE(TRIM(LEFT(MID($A768,FIND("/",$A768)+1,20),FIND("/",MID($A768,FIND("/",$A768)+1,20))-1))),"")))</f>
        <v/>
      </c>
      <c r="D768">
        <f>IF(OR($A768="",$B768=""),"",IF(ISNUMBER($A768),MOD($A768,100),IFERROR(VALUE(TRIM(MID(MID($A768,FIND("/",$A768)+1,20),FIND("/",MID($A768,FIND("/",$A768)+1,20))+1,20))),"")))</f>
        <v/>
      </c>
      <c r="E768">
        <f>IF($A768="","",IF(OR($B768="",$C768="",$D768="",$B768&lt;1300,$B768&gt;1500,$C768&lt;1,$C768&gt;12,$D768&lt;1,$D768&gt;31),"نامعتبر",RIGHT("0000"&amp;$B768,4)&amp;"/"&amp;RIGHT("00"&amp;$C768,2)&amp;"/"&amp;RIGHT("00"&amp;$D768,2)))</f>
        <v/>
      </c>
      <c r="F768">
        <f>IF(OR($E768="",$E768="نامعتبر"),"",IF(Sync!$Q765="","0000",IF(AND(ISNUMBER(Sync!$Q765),Sync!$Q765&gt;=0,Sync!$Q765&lt;1),RIGHT("00"&amp;HOUR(Sync!$Q765),2)&amp;RIGHT("00"&amp;MINUTE(Sync!$Q765),2),IFERROR(RIGHT("00"&amp;VALUE(LEFT(Sync!$Q765,FIND(":",Sync!$Q765)-1)),2)&amp;RIGHT("00"&amp;VALUE(MID(Sync!$Q765,FIND(":",Sync!$Q765)+1,2)),2),"0000"))))</f>
        <v/>
      </c>
      <c r="G768">
        <f>IF(OR($E768="",$E768="نامعتبر"),"",IF(Sync!$S765="","",Sync!$S765))</f>
        <v/>
      </c>
      <c r="H768">
        <f>IF(OR($E768="",$E768="نامعتبر"),"",IF(Sync!$R765="","",Sync!$R765))</f>
        <v/>
      </c>
      <c r="I768">
        <f>IF(OR($E768="",$E768="نامعتبر"),"",IF(Sync!$T765="","",Sync!$T765))</f>
        <v/>
      </c>
      <c r="J768">
        <f>IF(OR($E768="",$E768="نامعتبر"),"",IF(Sync!$U765="","",Sync!$U765))</f>
        <v/>
      </c>
      <c r="K768">
        <f>IF(OR($E768="",$E768="نامعتبر"),"",IF(Sync!$V765="","",IFERROR(INDEX(SubCodes,MATCH(Sync!$V765,SubTitles,0)),Sync!$V765)))</f>
        <v/>
      </c>
      <c r="L768">
        <f>IF(OR($E768="",$E768="نامعتبر"),"",IF(Sync!$W765="",0,Sync!$W765))</f>
        <v/>
      </c>
      <c r="M768">
        <f>IF(OR($E768="",$E768="نامعتبر"),"",IF(Sync!$X765="",0,Sync!$X765))</f>
        <v/>
      </c>
      <c r="N768">
        <f>IF(OR($E768="",$E768="نامعتبر"),"",IF(AND($J768="هزینه",$K768&lt;&gt;""),1,0))</f>
        <v/>
      </c>
      <c r="O768">
        <f>IF($N768=0,"",LEFT($E768,4)&amp;MID($E768,6,2)&amp;RIGHT($E768,2)&amp;$F768&amp;"|"&amp;"1"&amp;RIGHT("00000"&amp;760,5))</f>
        <v/>
      </c>
      <c r="P768">
        <f>IF($O768="","",COUNTIFS(ExpSub,$K768,ExpKey,"&lt;"&amp;$O768)+1)</f>
        <v/>
      </c>
      <c r="Q768">
        <f>IF($P768="","",$K768&amp;"|"&amp;RIGHT("000000"&amp;$P768,6))</f>
        <v/>
      </c>
    </row>
    <row r="769">
      <c r="A769">
        <f>IF(Sync!$P766="","",Sync!$P766)</f>
        <v/>
      </c>
      <c r="B769">
        <f>IF($A769="","",IF(ISNUMBER($A769),IF(AND($A769&gt;=10000101,$A769&lt;=99991231),INT($A769/10000),""),IFERROR(VALUE(TRIM(LEFT($A769,FIND("/",$A769)-1))),"")))</f>
        <v/>
      </c>
      <c r="C769">
        <f>IF(OR($A769="",$B769=""),"",IF(ISNUMBER($A769),INT(MOD($A769,10000)/100),IFERROR(VALUE(TRIM(LEFT(MID($A769,FIND("/",$A769)+1,20),FIND("/",MID($A769,FIND("/",$A769)+1,20))-1))),"")))</f>
        <v/>
      </c>
      <c r="D769">
        <f>IF(OR($A769="",$B769=""),"",IF(ISNUMBER($A769),MOD($A769,100),IFERROR(VALUE(TRIM(MID(MID($A769,FIND("/",$A769)+1,20),FIND("/",MID($A769,FIND("/",$A769)+1,20))+1,20))),"")))</f>
        <v/>
      </c>
      <c r="E769">
        <f>IF($A769="","",IF(OR($B769="",$C769="",$D769="",$B769&lt;1300,$B769&gt;1500,$C769&lt;1,$C769&gt;12,$D769&lt;1,$D769&gt;31),"نامعتبر",RIGHT("0000"&amp;$B769,4)&amp;"/"&amp;RIGHT("00"&amp;$C769,2)&amp;"/"&amp;RIGHT("00"&amp;$D769,2)))</f>
        <v/>
      </c>
      <c r="F769">
        <f>IF(OR($E769="",$E769="نامعتبر"),"",IF(Sync!$Q766="","0000",IF(AND(ISNUMBER(Sync!$Q766),Sync!$Q766&gt;=0,Sync!$Q766&lt;1),RIGHT("00"&amp;HOUR(Sync!$Q766),2)&amp;RIGHT("00"&amp;MINUTE(Sync!$Q766),2),IFERROR(RIGHT("00"&amp;VALUE(LEFT(Sync!$Q766,FIND(":",Sync!$Q766)-1)),2)&amp;RIGHT("00"&amp;VALUE(MID(Sync!$Q766,FIND(":",Sync!$Q766)+1,2)),2),"0000"))))</f>
        <v/>
      </c>
      <c r="G769">
        <f>IF(OR($E769="",$E769="نامعتبر"),"",IF(Sync!$S766="","",Sync!$S766))</f>
        <v/>
      </c>
      <c r="H769">
        <f>IF(OR($E769="",$E769="نامعتبر"),"",IF(Sync!$R766="","",Sync!$R766))</f>
        <v/>
      </c>
      <c r="I769">
        <f>IF(OR($E769="",$E769="نامعتبر"),"",IF(Sync!$T766="","",Sync!$T766))</f>
        <v/>
      </c>
      <c r="J769">
        <f>IF(OR($E769="",$E769="نامعتبر"),"",IF(Sync!$U766="","",Sync!$U766))</f>
        <v/>
      </c>
      <c r="K769">
        <f>IF(OR($E769="",$E769="نامعتبر"),"",IF(Sync!$V766="","",IFERROR(INDEX(SubCodes,MATCH(Sync!$V766,SubTitles,0)),Sync!$V766)))</f>
        <v/>
      </c>
      <c r="L769">
        <f>IF(OR($E769="",$E769="نامعتبر"),"",IF(Sync!$W766="",0,Sync!$W766))</f>
        <v/>
      </c>
      <c r="M769">
        <f>IF(OR($E769="",$E769="نامعتبر"),"",IF(Sync!$X766="",0,Sync!$X766))</f>
        <v/>
      </c>
      <c r="N769">
        <f>IF(OR($E769="",$E769="نامعتبر"),"",IF(AND($J769="هزینه",$K769&lt;&gt;""),1,0))</f>
        <v/>
      </c>
      <c r="O769">
        <f>IF($N769=0,"",LEFT($E769,4)&amp;MID($E769,6,2)&amp;RIGHT($E769,2)&amp;$F769&amp;"|"&amp;"1"&amp;RIGHT("00000"&amp;761,5))</f>
        <v/>
      </c>
      <c r="P769">
        <f>IF($O769="","",COUNTIFS(ExpSub,$K769,ExpKey,"&lt;"&amp;$O769)+1)</f>
        <v/>
      </c>
      <c r="Q769">
        <f>IF($P769="","",$K769&amp;"|"&amp;RIGHT("000000"&amp;$P769,6))</f>
        <v/>
      </c>
    </row>
    <row r="770">
      <c r="A770">
        <f>IF(Sync!$P767="","",Sync!$P767)</f>
        <v/>
      </c>
      <c r="B770">
        <f>IF($A770="","",IF(ISNUMBER($A770),IF(AND($A770&gt;=10000101,$A770&lt;=99991231),INT($A770/10000),""),IFERROR(VALUE(TRIM(LEFT($A770,FIND("/",$A770)-1))),"")))</f>
        <v/>
      </c>
      <c r="C770">
        <f>IF(OR($A770="",$B770=""),"",IF(ISNUMBER($A770),INT(MOD($A770,10000)/100),IFERROR(VALUE(TRIM(LEFT(MID($A770,FIND("/",$A770)+1,20),FIND("/",MID($A770,FIND("/",$A770)+1,20))-1))),"")))</f>
        <v/>
      </c>
      <c r="D770">
        <f>IF(OR($A770="",$B770=""),"",IF(ISNUMBER($A770),MOD($A770,100),IFERROR(VALUE(TRIM(MID(MID($A770,FIND("/",$A770)+1,20),FIND("/",MID($A770,FIND("/",$A770)+1,20))+1,20))),"")))</f>
        <v/>
      </c>
      <c r="E770">
        <f>IF($A770="","",IF(OR($B770="",$C770="",$D770="",$B770&lt;1300,$B770&gt;1500,$C770&lt;1,$C770&gt;12,$D770&lt;1,$D770&gt;31),"نامعتبر",RIGHT("0000"&amp;$B770,4)&amp;"/"&amp;RIGHT("00"&amp;$C770,2)&amp;"/"&amp;RIGHT("00"&amp;$D770,2)))</f>
        <v/>
      </c>
      <c r="F770">
        <f>IF(OR($E770="",$E770="نامعتبر"),"",IF(Sync!$Q767="","0000",IF(AND(ISNUMBER(Sync!$Q767),Sync!$Q767&gt;=0,Sync!$Q767&lt;1),RIGHT("00"&amp;HOUR(Sync!$Q767),2)&amp;RIGHT("00"&amp;MINUTE(Sync!$Q767),2),IFERROR(RIGHT("00"&amp;VALUE(LEFT(Sync!$Q767,FIND(":",Sync!$Q767)-1)),2)&amp;RIGHT("00"&amp;VALUE(MID(Sync!$Q767,FIND(":",Sync!$Q767)+1,2)),2),"0000"))))</f>
        <v/>
      </c>
      <c r="G770">
        <f>IF(OR($E770="",$E770="نامعتبر"),"",IF(Sync!$S767="","",Sync!$S767))</f>
        <v/>
      </c>
      <c r="H770">
        <f>IF(OR($E770="",$E770="نامعتبر"),"",IF(Sync!$R767="","",Sync!$R767))</f>
        <v/>
      </c>
      <c r="I770">
        <f>IF(OR($E770="",$E770="نامعتبر"),"",IF(Sync!$T767="","",Sync!$T767))</f>
        <v/>
      </c>
      <c r="J770">
        <f>IF(OR($E770="",$E770="نامعتبر"),"",IF(Sync!$U767="","",Sync!$U767))</f>
        <v/>
      </c>
      <c r="K770">
        <f>IF(OR($E770="",$E770="نامعتبر"),"",IF(Sync!$V767="","",IFERROR(INDEX(SubCodes,MATCH(Sync!$V767,SubTitles,0)),Sync!$V767)))</f>
        <v/>
      </c>
      <c r="L770">
        <f>IF(OR($E770="",$E770="نامعتبر"),"",IF(Sync!$W767="",0,Sync!$W767))</f>
        <v/>
      </c>
      <c r="M770">
        <f>IF(OR($E770="",$E770="نامعتبر"),"",IF(Sync!$X767="",0,Sync!$X767))</f>
        <v/>
      </c>
      <c r="N770">
        <f>IF(OR($E770="",$E770="نامعتبر"),"",IF(AND($J770="هزینه",$K770&lt;&gt;""),1,0))</f>
        <v/>
      </c>
      <c r="O770">
        <f>IF($N770=0,"",LEFT($E770,4)&amp;MID($E770,6,2)&amp;RIGHT($E770,2)&amp;$F770&amp;"|"&amp;"1"&amp;RIGHT("00000"&amp;762,5))</f>
        <v/>
      </c>
      <c r="P770">
        <f>IF($O770="","",COUNTIFS(ExpSub,$K770,ExpKey,"&lt;"&amp;$O770)+1)</f>
        <v/>
      </c>
      <c r="Q770">
        <f>IF($P770="","",$K770&amp;"|"&amp;RIGHT("000000"&amp;$P770,6))</f>
        <v/>
      </c>
    </row>
    <row r="771">
      <c r="A771">
        <f>IF(Sync!$P768="","",Sync!$P768)</f>
        <v/>
      </c>
      <c r="B771">
        <f>IF($A771="","",IF(ISNUMBER($A771),IF(AND($A771&gt;=10000101,$A771&lt;=99991231),INT($A771/10000),""),IFERROR(VALUE(TRIM(LEFT($A771,FIND("/",$A771)-1))),"")))</f>
        <v/>
      </c>
      <c r="C771">
        <f>IF(OR($A771="",$B771=""),"",IF(ISNUMBER($A771),INT(MOD($A771,10000)/100),IFERROR(VALUE(TRIM(LEFT(MID($A771,FIND("/",$A771)+1,20),FIND("/",MID($A771,FIND("/",$A771)+1,20))-1))),"")))</f>
        <v/>
      </c>
      <c r="D771">
        <f>IF(OR($A771="",$B771=""),"",IF(ISNUMBER($A771),MOD($A771,100),IFERROR(VALUE(TRIM(MID(MID($A771,FIND("/",$A771)+1,20),FIND("/",MID($A771,FIND("/",$A771)+1,20))+1,20))),"")))</f>
        <v/>
      </c>
      <c r="E771">
        <f>IF($A771="","",IF(OR($B771="",$C771="",$D771="",$B771&lt;1300,$B771&gt;1500,$C771&lt;1,$C771&gt;12,$D771&lt;1,$D771&gt;31),"نامعتبر",RIGHT("0000"&amp;$B771,4)&amp;"/"&amp;RIGHT("00"&amp;$C771,2)&amp;"/"&amp;RIGHT("00"&amp;$D771,2)))</f>
        <v/>
      </c>
      <c r="F771">
        <f>IF(OR($E771="",$E771="نامعتبر"),"",IF(Sync!$Q768="","0000",IF(AND(ISNUMBER(Sync!$Q768),Sync!$Q768&gt;=0,Sync!$Q768&lt;1),RIGHT("00"&amp;HOUR(Sync!$Q768),2)&amp;RIGHT("00"&amp;MINUTE(Sync!$Q768),2),IFERROR(RIGHT("00"&amp;VALUE(LEFT(Sync!$Q768,FIND(":",Sync!$Q768)-1)),2)&amp;RIGHT("00"&amp;VALUE(MID(Sync!$Q768,FIND(":",Sync!$Q768)+1,2)),2),"0000"))))</f>
        <v/>
      </c>
      <c r="G771">
        <f>IF(OR($E771="",$E771="نامعتبر"),"",IF(Sync!$S768="","",Sync!$S768))</f>
        <v/>
      </c>
      <c r="H771">
        <f>IF(OR($E771="",$E771="نامعتبر"),"",IF(Sync!$R768="","",Sync!$R768))</f>
        <v/>
      </c>
      <c r="I771">
        <f>IF(OR($E771="",$E771="نامعتبر"),"",IF(Sync!$T768="","",Sync!$T768))</f>
        <v/>
      </c>
      <c r="J771">
        <f>IF(OR($E771="",$E771="نامعتبر"),"",IF(Sync!$U768="","",Sync!$U768))</f>
        <v/>
      </c>
      <c r="K771">
        <f>IF(OR($E771="",$E771="نامعتبر"),"",IF(Sync!$V768="","",IFERROR(INDEX(SubCodes,MATCH(Sync!$V768,SubTitles,0)),Sync!$V768)))</f>
        <v/>
      </c>
      <c r="L771">
        <f>IF(OR($E771="",$E771="نامعتبر"),"",IF(Sync!$W768="",0,Sync!$W768))</f>
        <v/>
      </c>
      <c r="M771">
        <f>IF(OR($E771="",$E771="نامعتبر"),"",IF(Sync!$X768="",0,Sync!$X768))</f>
        <v/>
      </c>
      <c r="N771">
        <f>IF(OR($E771="",$E771="نامعتبر"),"",IF(AND($J771="هزینه",$K771&lt;&gt;""),1,0))</f>
        <v/>
      </c>
      <c r="O771">
        <f>IF($N771=0,"",LEFT($E771,4)&amp;MID($E771,6,2)&amp;RIGHT($E771,2)&amp;$F771&amp;"|"&amp;"1"&amp;RIGHT("00000"&amp;763,5))</f>
        <v/>
      </c>
      <c r="P771">
        <f>IF($O771="","",COUNTIFS(ExpSub,$K771,ExpKey,"&lt;"&amp;$O771)+1)</f>
        <v/>
      </c>
      <c r="Q771">
        <f>IF($P771="","",$K771&amp;"|"&amp;RIGHT("000000"&amp;$P771,6))</f>
        <v/>
      </c>
    </row>
    <row r="772">
      <c r="A772">
        <f>IF(Sync!$P769="","",Sync!$P769)</f>
        <v/>
      </c>
      <c r="B772">
        <f>IF($A772="","",IF(ISNUMBER($A772),IF(AND($A772&gt;=10000101,$A772&lt;=99991231),INT($A772/10000),""),IFERROR(VALUE(TRIM(LEFT($A772,FIND("/",$A772)-1))),"")))</f>
        <v/>
      </c>
      <c r="C772">
        <f>IF(OR($A772="",$B772=""),"",IF(ISNUMBER($A772),INT(MOD($A772,10000)/100),IFERROR(VALUE(TRIM(LEFT(MID($A772,FIND("/",$A772)+1,20),FIND("/",MID($A772,FIND("/",$A772)+1,20))-1))),"")))</f>
        <v/>
      </c>
      <c r="D772">
        <f>IF(OR($A772="",$B772=""),"",IF(ISNUMBER($A772),MOD($A772,100),IFERROR(VALUE(TRIM(MID(MID($A772,FIND("/",$A772)+1,20),FIND("/",MID($A772,FIND("/",$A772)+1,20))+1,20))),"")))</f>
        <v/>
      </c>
      <c r="E772">
        <f>IF($A772="","",IF(OR($B772="",$C772="",$D772="",$B772&lt;1300,$B772&gt;1500,$C772&lt;1,$C772&gt;12,$D772&lt;1,$D772&gt;31),"نامعتبر",RIGHT("0000"&amp;$B772,4)&amp;"/"&amp;RIGHT("00"&amp;$C772,2)&amp;"/"&amp;RIGHT("00"&amp;$D772,2)))</f>
        <v/>
      </c>
      <c r="F772">
        <f>IF(OR($E772="",$E772="نامعتبر"),"",IF(Sync!$Q769="","0000",IF(AND(ISNUMBER(Sync!$Q769),Sync!$Q769&gt;=0,Sync!$Q769&lt;1),RIGHT("00"&amp;HOUR(Sync!$Q769),2)&amp;RIGHT("00"&amp;MINUTE(Sync!$Q769),2),IFERROR(RIGHT("00"&amp;VALUE(LEFT(Sync!$Q769,FIND(":",Sync!$Q769)-1)),2)&amp;RIGHT("00"&amp;VALUE(MID(Sync!$Q769,FIND(":",Sync!$Q769)+1,2)),2),"0000"))))</f>
        <v/>
      </c>
      <c r="G772">
        <f>IF(OR($E772="",$E772="نامعتبر"),"",IF(Sync!$S769="","",Sync!$S769))</f>
        <v/>
      </c>
      <c r="H772">
        <f>IF(OR($E772="",$E772="نامعتبر"),"",IF(Sync!$R769="","",Sync!$R769))</f>
        <v/>
      </c>
      <c r="I772">
        <f>IF(OR($E772="",$E772="نامعتبر"),"",IF(Sync!$T769="","",Sync!$T769))</f>
        <v/>
      </c>
      <c r="J772">
        <f>IF(OR($E772="",$E772="نامعتبر"),"",IF(Sync!$U769="","",Sync!$U769))</f>
        <v/>
      </c>
      <c r="K772">
        <f>IF(OR($E772="",$E772="نامعتبر"),"",IF(Sync!$V769="","",IFERROR(INDEX(SubCodes,MATCH(Sync!$V769,SubTitles,0)),Sync!$V769)))</f>
        <v/>
      </c>
      <c r="L772">
        <f>IF(OR($E772="",$E772="نامعتبر"),"",IF(Sync!$W769="",0,Sync!$W769))</f>
        <v/>
      </c>
      <c r="M772">
        <f>IF(OR($E772="",$E772="نامعتبر"),"",IF(Sync!$X769="",0,Sync!$X769))</f>
        <v/>
      </c>
      <c r="N772">
        <f>IF(OR($E772="",$E772="نامعتبر"),"",IF(AND($J772="هزینه",$K772&lt;&gt;""),1,0))</f>
        <v/>
      </c>
      <c r="O772">
        <f>IF($N772=0,"",LEFT($E772,4)&amp;MID($E772,6,2)&amp;RIGHT($E772,2)&amp;$F772&amp;"|"&amp;"1"&amp;RIGHT("00000"&amp;764,5))</f>
        <v/>
      </c>
      <c r="P772">
        <f>IF($O772="","",COUNTIFS(ExpSub,$K772,ExpKey,"&lt;"&amp;$O772)+1)</f>
        <v/>
      </c>
      <c r="Q772">
        <f>IF($P772="","",$K772&amp;"|"&amp;RIGHT("000000"&amp;$P772,6))</f>
        <v/>
      </c>
    </row>
    <row r="773">
      <c r="A773">
        <f>IF(Sync!$P770="","",Sync!$P770)</f>
        <v/>
      </c>
      <c r="B773">
        <f>IF($A773="","",IF(ISNUMBER($A773),IF(AND($A773&gt;=10000101,$A773&lt;=99991231),INT($A773/10000),""),IFERROR(VALUE(TRIM(LEFT($A773,FIND("/",$A773)-1))),"")))</f>
        <v/>
      </c>
      <c r="C773">
        <f>IF(OR($A773="",$B773=""),"",IF(ISNUMBER($A773),INT(MOD($A773,10000)/100),IFERROR(VALUE(TRIM(LEFT(MID($A773,FIND("/",$A773)+1,20),FIND("/",MID($A773,FIND("/",$A773)+1,20))-1))),"")))</f>
        <v/>
      </c>
      <c r="D773">
        <f>IF(OR($A773="",$B773=""),"",IF(ISNUMBER($A773),MOD($A773,100),IFERROR(VALUE(TRIM(MID(MID($A773,FIND("/",$A773)+1,20),FIND("/",MID($A773,FIND("/",$A773)+1,20))+1,20))),"")))</f>
        <v/>
      </c>
      <c r="E773">
        <f>IF($A773="","",IF(OR($B773="",$C773="",$D773="",$B773&lt;1300,$B773&gt;1500,$C773&lt;1,$C773&gt;12,$D773&lt;1,$D773&gt;31),"نامعتبر",RIGHT("0000"&amp;$B773,4)&amp;"/"&amp;RIGHT("00"&amp;$C773,2)&amp;"/"&amp;RIGHT("00"&amp;$D773,2)))</f>
        <v/>
      </c>
      <c r="F773">
        <f>IF(OR($E773="",$E773="نامعتبر"),"",IF(Sync!$Q770="","0000",IF(AND(ISNUMBER(Sync!$Q770),Sync!$Q770&gt;=0,Sync!$Q770&lt;1),RIGHT("00"&amp;HOUR(Sync!$Q770),2)&amp;RIGHT("00"&amp;MINUTE(Sync!$Q770),2),IFERROR(RIGHT("00"&amp;VALUE(LEFT(Sync!$Q770,FIND(":",Sync!$Q770)-1)),2)&amp;RIGHT("00"&amp;VALUE(MID(Sync!$Q770,FIND(":",Sync!$Q770)+1,2)),2),"0000"))))</f>
        <v/>
      </c>
      <c r="G773">
        <f>IF(OR($E773="",$E773="نامعتبر"),"",IF(Sync!$S770="","",Sync!$S770))</f>
        <v/>
      </c>
      <c r="H773">
        <f>IF(OR($E773="",$E773="نامعتبر"),"",IF(Sync!$R770="","",Sync!$R770))</f>
        <v/>
      </c>
      <c r="I773">
        <f>IF(OR($E773="",$E773="نامعتبر"),"",IF(Sync!$T770="","",Sync!$T770))</f>
        <v/>
      </c>
      <c r="J773">
        <f>IF(OR($E773="",$E773="نامعتبر"),"",IF(Sync!$U770="","",Sync!$U770))</f>
        <v/>
      </c>
      <c r="K773">
        <f>IF(OR($E773="",$E773="نامعتبر"),"",IF(Sync!$V770="","",IFERROR(INDEX(SubCodes,MATCH(Sync!$V770,SubTitles,0)),Sync!$V770)))</f>
        <v/>
      </c>
      <c r="L773">
        <f>IF(OR($E773="",$E773="نامعتبر"),"",IF(Sync!$W770="",0,Sync!$W770))</f>
        <v/>
      </c>
      <c r="M773">
        <f>IF(OR($E773="",$E773="نامعتبر"),"",IF(Sync!$X770="",0,Sync!$X770))</f>
        <v/>
      </c>
      <c r="N773">
        <f>IF(OR($E773="",$E773="نامعتبر"),"",IF(AND($J773="هزینه",$K773&lt;&gt;""),1,0))</f>
        <v/>
      </c>
      <c r="O773">
        <f>IF($N773=0,"",LEFT($E773,4)&amp;MID($E773,6,2)&amp;RIGHT($E773,2)&amp;$F773&amp;"|"&amp;"1"&amp;RIGHT("00000"&amp;765,5))</f>
        <v/>
      </c>
      <c r="P773">
        <f>IF($O773="","",COUNTIFS(ExpSub,$K773,ExpKey,"&lt;"&amp;$O773)+1)</f>
        <v/>
      </c>
      <c r="Q773">
        <f>IF($P773="","",$K773&amp;"|"&amp;RIGHT("000000"&amp;$P773,6))</f>
        <v/>
      </c>
    </row>
    <row r="774">
      <c r="A774">
        <f>IF(Sync!$P771="","",Sync!$P771)</f>
        <v/>
      </c>
      <c r="B774">
        <f>IF($A774="","",IF(ISNUMBER($A774),IF(AND($A774&gt;=10000101,$A774&lt;=99991231),INT($A774/10000),""),IFERROR(VALUE(TRIM(LEFT($A774,FIND("/",$A774)-1))),"")))</f>
        <v/>
      </c>
      <c r="C774">
        <f>IF(OR($A774="",$B774=""),"",IF(ISNUMBER($A774),INT(MOD($A774,10000)/100),IFERROR(VALUE(TRIM(LEFT(MID($A774,FIND("/",$A774)+1,20),FIND("/",MID($A774,FIND("/",$A774)+1,20))-1))),"")))</f>
        <v/>
      </c>
      <c r="D774">
        <f>IF(OR($A774="",$B774=""),"",IF(ISNUMBER($A774),MOD($A774,100),IFERROR(VALUE(TRIM(MID(MID($A774,FIND("/",$A774)+1,20),FIND("/",MID($A774,FIND("/",$A774)+1,20))+1,20))),"")))</f>
        <v/>
      </c>
      <c r="E774">
        <f>IF($A774="","",IF(OR($B774="",$C774="",$D774="",$B774&lt;1300,$B774&gt;1500,$C774&lt;1,$C774&gt;12,$D774&lt;1,$D774&gt;31),"نامعتبر",RIGHT("0000"&amp;$B774,4)&amp;"/"&amp;RIGHT("00"&amp;$C774,2)&amp;"/"&amp;RIGHT("00"&amp;$D774,2)))</f>
        <v/>
      </c>
      <c r="F774">
        <f>IF(OR($E774="",$E774="نامعتبر"),"",IF(Sync!$Q771="","0000",IF(AND(ISNUMBER(Sync!$Q771),Sync!$Q771&gt;=0,Sync!$Q771&lt;1),RIGHT("00"&amp;HOUR(Sync!$Q771),2)&amp;RIGHT("00"&amp;MINUTE(Sync!$Q771),2),IFERROR(RIGHT("00"&amp;VALUE(LEFT(Sync!$Q771,FIND(":",Sync!$Q771)-1)),2)&amp;RIGHT("00"&amp;VALUE(MID(Sync!$Q771,FIND(":",Sync!$Q771)+1,2)),2),"0000"))))</f>
        <v/>
      </c>
      <c r="G774">
        <f>IF(OR($E774="",$E774="نامعتبر"),"",IF(Sync!$S771="","",Sync!$S771))</f>
        <v/>
      </c>
      <c r="H774">
        <f>IF(OR($E774="",$E774="نامعتبر"),"",IF(Sync!$R771="","",Sync!$R771))</f>
        <v/>
      </c>
      <c r="I774">
        <f>IF(OR($E774="",$E774="نامعتبر"),"",IF(Sync!$T771="","",Sync!$T771))</f>
        <v/>
      </c>
      <c r="J774">
        <f>IF(OR($E774="",$E774="نامعتبر"),"",IF(Sync!$U771="","",Sync!$U771))</f>
        <v/>
      </c>
      <c r="K774">
        <f>IF(OR($E774="",$E774="نامعتبر"),"",IF(Sync!$V771="","",IFERROR(INDEX(SubCodes,MATCH(Sync!$V771,SubTitles,0)),Sync!$V771)))</f>
        <v/>
      </c>
      <c r="L774">
        <f>IF(OR($E774="",$E774="نامعتبر"),"",IF(Sync!$W771="",0,Sync!$W771))</f>
        <v/>
      </c>
      <c r="M774">
        <f>IF(OR($E774="",$E774="نامعتبر"),"",IF(Sync!$X771="",0,Sync!$X771))</f>
        <v/>
      </c>
      <c r="N774">
        <f>IF(OR($E774="",$E774="نامعتبر"),"",IF(AND($J774="هزینه",$K774&lt;&gt;""),1,0))</f>
        <v/>
      </c>
      <c r="O774">
        <f>IF($N774=0,"",LEFT($E774,4)&amp;MID($E774,6,2)&amp;RIGHT($E774,2)&amp;$F774&amp;"|"&amp;"1"&amp;RIGHT("00000"&amp;766,5))</f>
        <v/>
      </c>
      <c r="P774">
        <f>IF($O774="","",COUNTIFS(ExpSub,$K774,ExpKey,"&lt;"&amp;$O774)+1)</f>
        <v/>
      </c>
      <c r="Q774">
        <f>IF($P774="","",$K774&amp;"|"&amp;RIGHT("000000"&amp;$P774,6))</f>
        <v/>
      </c>
    </row>
    <row r="775">
      <c r="A775">
        <f>IF(Sync!$P772="","",Sync!$P772)</f>
        <v/>
      </c>
      <c r="B775">
        <f>IF($A775="","",IF(ISNUMBER($A775),IF(AND($A775&gt;=10000101,$A775&lt;=99991231),INT($A775/10000),""),IFERROR(VALUE(TRIM(LEFT($A775,FIND("/",$A775)-1))),"")))</f>
        <v/>
      </c>
      <c r="C775">
        <f>IF(OR($A775="",$B775=""),"",IF(ISNUMBER($A775),INT(MOD($A775,10000)/100),IFERROR(VALUE(TRIM(LEFT(MID($A775,FIND("/",$A775)+1,20),FIND("/",MID($A775,FIND("/",$A775)+1,20))-1))),"")))</f>
        <v/>
      </c>
      <c r="D775">
        <f>IF(OR($A775="",$B775=""),"",IF(ISNUMBER($A775),MOD($A775,100),IFERROR(VALUE(TRIM(MID(MID($A775,FIND("/",$A775)+1,20),FIND("/",MID($A775,FIND("/",$A775)+1,20))+1,20))),"")))</f>
        <v/>
      </c>
      <c r="E775">
        <f>IF($A775="","",IF(OR($B775="",$C775="",$D775="",$B775&lt;1300,$B775&gt;1500,$C775&lt;1,$C775&gt;12,$D775&lt;1,$D775&gt;31),"نامعتبر",RIGHT("0000"&amp;$B775,4)&amp;"/"&amp;RIGHT("00"&amp;$C775,2)&amp;"/"&amp;RIGHT("00"&amp;$D775,2)))</f>
        <v/>
      </c>
      <c r="F775">
        <f>IF(OR($E775="",$E775="نامعتبر"),"",IF(Sync!$Q772="","0000",IF(AND(ISNUMBER(Sync!$Q772),Sync!$Q772&gt;=0,Sync!$Q772&lt;1),RIGHT("00"&amp;HOUR(Sync!$Q772),2)&amp;RIGHT("00"&amp;MINUTE(Sync!$Q772),2),IFERROR(RIGHT("00"&amp;VALUE(LEFT(Sync!$Q772,FIND(":",Sync!$Q772)-1)),2)&amp;RIGHT("00"&amp;VALUE(MID(Sync!$Q772,FIND(":",Sync!$Q772)+1,2)),2),"0000"))))</f>
        <v/>
      </c>
      <c r="G775">
        <f>IF(OR($E775="",$E775="نامعتبر"),"",IF(Sync!$S772="","",Sync!$S772))</f>
        <v/>
      </c>
      <c r="H775">
        <f>IF(OR($E775="",$E775="نامعتبر"),"",IF(Sync!$R772="","",Sync!$R772))</f>
        <v/>
      </c>
      <c r="I775">
        <f>IF(OR($E775="",$E775="نامعتبر"),"",IF(Sync!$T772="","",Sync!$T772))</f>
        <v/>
      </c>
      <c r="J775">
        <f>IF(OR($E775="",$E775="نامعتبر"),"",IF(Sync!$U772="","",Sync!$U772))</f>
        <v/>
      </c>
      <c r="K775">
        <f>IF(OR($E775="",$E775="نامعتبر"),"",IF(Sync!$V772="","",IFERROR(INDEX(SubCodes,MATCH(Sync!$V772,SubTitles,0)),Sync!$V772)))</f>
        <v/>
      </c>
      <c r="L775">
        <f>IF(OR($E775="",$E775="نامعتبر"),"",IF(Sync!$W772="",0,Sync!$W772))</f>
        <v/>
      </c>
      <c r="M775">
        <f>IF(OR($E775="",$E775="نامعتبر"),"",IF(Sync!$X772="",0,Sync!$X772))</f>
        <v/>
      </c>
      <c r="N775">
        <f>IF(OR($E775="",$E775="نامعتبر"),"",IF(AND($J775="هزینه",$K775&lt;&gt;""),1,0))</f>
        <v/>
      </c>
      <c r="O775">
        <f>IF($N775=0,"",LEFT($E775,4)&amp;MID($E775,6,2)&amp;RIGHT($E775,2)&amp;$F775&amp;"|"&amp;"1"&amp;RIGHT("00000"&amp;767,5))</f>
        <v/>
      </c>
      <c r="P775">
        <f>IF($O775="","",COUNTIFS(ExpSub,$K775,ExpKey,"&lt;"&amp;$O775)+1)</f>
        <v/>
      </c>
      <c r="Q775">
        <f>IF($P775="","",$K775&amp;"|"&amp;RIGHT("000000"&amp;$P775,6))</f>
        <v/>
      </c>
    </row>
    <row r="776">
      <c r="A776">
        <f>IF(Sync!$P773="","",Sync!$P773)</f>
        <v/>
      </c>
      <c r="B776">
        <f>IF($A776="","",IF(ISNUMBER($A776),IF(AND($A776&gt;=10000101,$A776&lt;=99991231),INT($A776/10000),""),IFERROR(VALUE(TRIM(LEFT($A776,FIND("/",$A776)-1))),"")))</f>
        <v/>
      </c>
      <c r="C776">
        <f>IF(OR($A776="",$B776=""),"",IF(ISNUMBER($A776),INT(MOD($A776,10000)/100),IFERROR(VALUE(TRIM(LEFT(MID($A776,FIND("/",$A776)+1,20),FIND("/",MID($A776,FIND("/",$A776)+1,20))-1))),"")))</f>
        <v/>
      </c>
      <c r="D776">
        <f>IF(OR($A776="",$B776=""),"",IF(ISNUMBER($A776),MOD($A776,100),IFERROR(VALUE(TRIM(MID(MID($A776,FIND("/",$A776)+1,20),FIND("/",MID($A776,FIND("/",$A776)+1,20))+1,20))),"")))</f>
        <v/>
      </c>
      <c r="E776">
        <f>IF($A776="","",IF(OR($B776="",$C776="",$D776="",$B776&lt;1300,$B776&gt;1500,$C776&lt;1,$C776&gt;12,$D776&lt;1,$D776&gt;31),"نامعتبر",RIGHT("0000"&amp;$B776,4)&amp;"/"&amp;RIGHT("00"&amp;$C776,2)&amp;"/"&amp;RIGHT("00"&amp;$D776,2)))</f>
        <v/>
      </c>
      <c r="F776">
        <f>IF(OR($E776="",$E776="نامعتبر"),"",IF(Sync!$Q773="","0000",IF(AND(ISNUMBER(Sync!$Q773),Sync!$Q773&gt;=0,Sync!$Q773&lt;1),RIGHT("00"&amp;HOUR(Sync!$Q773),2)&amp;RIGHT("00"&amp;MINUTE(Sync!$Q773),2),IFERROR(RIGHT("00"&amp;VALUE(LEFT(Sync!$Q773,FIND(":",Sync!$Q773)-1)),2)&amp;RIGHT("00"&amp;VALUE(MID(Sync!$Q773,FIND(":",Sync!$Q773)+1,2)),2),"0000"))))</f>
        <v/>
      </c>
      <c r="G776">
        <f>IF(OR($E776="",$E776="نامعتبر"),"",IF(Sync!$S773="","",Sync!$S773))</f>
        <v/>
      </c>
      <c r="H776">
        <f>IF(OR($E776="",$E776="نامعتبر"),"",IF(Sync!$R773="","",Sync!$R773))</f>
        <v/>
      </c>
      <c r="I776">
        <f>IF(OR($E776="",$E776="نامعتبر"),"",IF(Sync!$T773="","",Sync!$T773))</f>
        <v/>
      </c>
      <c r="J776">
        <f>IF(OR($E776="",$E776="نامعتبر"),"",IF(Sync!$U773="","",Sync!$U773))</f>
        <v/>
      </c>
      <c r="K776">
        <f>IF(OR($E776="",$E776="نامعتبر"),"",IF(Sync!$V773="","",IFERROR(INDEX(SubCodes,MATCH(Sync!$V773,SubTitles,0)),Sync!$V773)))</f>
        <v/>
      </c>
      <c r="L776">
        <f>IF(OR($E776="",$E776="نامعتبر"),"",IF(Sync!$W773="",0,Sync!$W773))</f>
        <v/>
      </c>
      <c r="M776">
        <f>IF(OR($E776="",$E776="نامعتبر"),"",IF(Sync!$X773="",0,Sync!$X773))</f>
        <v/>
      </c>
      <c r="N776">
        <f>IF(OR($E776="",$E776="نامعتبر"),"",IF(AND($J776="هزینه",$K776&lt;&gt;""),1,0))</f>
        <v/>
      </c>
      <c r="O776">
        <f>IF($N776=0,"",LEFT($E776,4)&amp;MID($E776,6,2)&amp;RIGHT($E776,2)&amp;$F776&amp;"|"&amp;"1"&amp;RIGHT("00000"&amp;768,5))</f>
        <v/>
      </c>
      <c r="P776">
        <f>IF($O776="","",COUNTIFS(ExpSub,$K776,ExpKey,"&lt;"&amp;$O776)+1)</f>
        <v/>
      </c>
      <c r="Q776">
        <f>IF($P776="","",$K776&amp;"|"&amp;RIGHT("000000"&amp;$P776,6))</f>
        <v/>
      </c>
    </row>
    <row r="777">
      <c r="A777">
        <f>IF(Sync!$P774="","",Sync!$P774)</f>
        <v/>
      </c>
      <c r="B777">
        <f>IF($A777="","",IF(ISNUMBER($A777),IF(AND($A777&gt;=10000101,$A777&lt;=99991231),INT($A777/10000),""),IFERROR(VALUE(TRIM(LEFT($A777,FIND("/",$A777)-1))),"")))</f>
        <v/>
      </c>
      <c r="C777">
        <f>IF(OR($A777="",$B777=""),"",IF(ISNUMBER($A777),INT(MOD($A777,10000)/100),IFERROR(VALUE(TRIM(LEFT(MID($A777,FIND("/",$A777)+1,20),FIND("/",MID($A777,FIND("/",$A777)+1,20))-1))),"")))</f>
        <v/>
      </c>
      <c r="D777">
        <f>IF(OR($A777="",$B777=""),"",IF(ISNUMBER($A777),MOD($A777,100),IFERROR(VALUE(TRIM(MID(MID($A777,FIND("/",$A777)+1,20),FIND("/",MID($A777,FIND("/",$A777)+1,20))+1,20))),"")))</f>
        <v/>
      </c>
      <c r="E777">
        <f>IF($A777="","",IF(OR($B777="",$C777="",$D777="",$B777&lt;1300,$B777&gt;1500,$C777&lt;1,$C777&gt;12,$D777&lt;1,$D777&gt;31),"نامعتبر",RIGHT("0000"&amp;$B777,4)&amp;"/"&amp;RIGHT("00"&amp;$C777,2)&amp;"/"&amp;RIGHT("00"&amp;$D777,2)))</f>
        <v/>
      </c>
      <c r="F777">
        <f>IF(OR($E777="",$E777="نامعتبر"),"",IF(Sync!$Q774="","0000",IF(AND(ISNUMBER(Sync!$Q774),Sync!$Q774&gt;=0,Sync!$Q774&lt;1),RIGHT("00"&amp;HOUR(Sync!$Q774),2)&amp;RIGHT("00"&amp;MINUTE(Sync!$Q774),2),IFERROR(RIGHT("00"&amp;VALUE(LEFT(Sync!$Q774,FIND(":",Sync!$Q774)-1)),2)&amp;RIGHT("00"&amp;VALUE(MID(Sync!$Q774,FIND(":",Sync!$Q774)+1,2)),2),"0000"))))</f>
        <v/>
      </c>
      <c r="G777">
        <f>IF(OR($E777="",$E777="نامعتبر"),"",IF(Sync!$S774="","",Sync!$S774))</f>
        <v/>
      </c>
      <c r="H777">
        <f>IF(OR($E777="",$E777="نامعتبر"),"",IF(Sync!$R774="","",Sync!$R774))</f>
        <v/>
      </c>
      <c r="I777">
        <f>IF(OR($E777="",$E777="نامعتبر"),"",IF(Sync!$T774="","",Sync!$T774))</f>
        <v/>
      </c>
      <c r="J777">
        <f>IF(OR($E777="",$E777="نامعتبر"),"",IF(Sync!$U774="","",Sync!$U774))</f>
        <v/>
      </c>
      <c r="K777">
        <f>IF(OR($E777="",$E777="نامعتبر"),"",IF(Sync!$V774="","",IFERROR(INDEX(SubCodes,MATCH(Sync!$V774,SubTitles,0)),Sync!$V774)))</f>
        <v/>
      </c>
      <c r="L777">
        <f>IF(OR($E777="",$E777="نامعتبر"),"",IF(Sync!$W774="",0,Sync!$W774))</f>
        <v/>
      </c>
      <c r="M777">
        <f>IF(OR($E777="",$E777="نامعتبر"),"",IF(Sync!$X774="",0,Sync!$X774))</f>
        <v/>
      </c>
      <c r="N777">
        <f>IF(OR($E777="",$E777="نامعتبر"),"",IF(AND($J777="هزینه",$K777&lt;&gt;""),1,0))</f>
        <v/>
      </c>
      <c r="O777">
        <f>IF($N777=0,"",LEFT($E777,4)&amp;MID($E777,6,2)&amp;RIGHT($E777,2)&amp;$F777&amp;"|"&amp;"1"&amp;RIGHT("00000"&amp;769,5))</f>
        <v/>
      </c>
      <c r="P777">
        <f>IF($O777="","",COUNTIFS(ExpSub,$K777,ExpKey,"&lt;"&amp;$O777)+1)</f>
        <v/>
      </c>
      <c r="Q777">
        <f>IF($P777="","",$K777&amp;"|"&amp;RIGHT("000000"&amp;$P777,6))</f>
        <v/>
      </c>
    </row>
    <row r="778">
      <c r="A778">
        <f>IF(Sync!$P775="","",Sync!$P775)</f>
        <v/>
      </c>
      <c r="B778">
        <f>IF($A778="","",IF(ISNUMBER($A778),IF(AND($A778&gt;=10000101,$A778&lt;=99991231),INT($A778/10000),""),IFERROR(VALUE(TRIM(LEFT($A778,FIND("/",$A778)-1))),"")))</f>
        <v/>
      </c>
      <c r="C778">
        <f>IF(OR($A778="",$B778=""),"",IF(ISNUMBER($A778),INT(MOD($A778,10000)/100),IFERROR(VALUE(TRIM(LEFT(MID($A778,FIND("/",$A778)+1,20),FIND("/",MID($A778,FIND("/",$A778)+1,20))-1))),"")))</f>
        <v/>
      </c>
      <c r="D778">
        <f>IF(OR($A778="",$B778=""),"",IF(ISNUMBER($A778),MOD($A778,100),IFERROR(VALUE(TRIM(MID(MID($A778,FIND("/",$A778)+1,20),FIND("/",MID($A778,FIND("/",$A778)+1,20))+1,20))),"")))</f>
        <v/>
      </c>
      <c r="E778">
        <f>IF($A778="","",IF(OR($B778="",$C778="",$D778="",$B778&lt;1300,$B778&gt;1500,$C778&lt;1,$C778&gt;12,$D778&lt;1,$D778&gt;31),"نامعتبر",RIGHT("0000"&amp;$B778,4)&amp;"/"&amp;RIGHT("00"&amp;$C778,2)&amp;"/"&amp;RIGHT("00"&amp;$D778,2)))</f>
        <v/>
      </c>
      <c r="F778">
        <f>IF(OR($E778="",$E778="نامعتبر"),"",IF(Sync!$Q775="","0000",IF(AND(ISNUMBER(Sync!$Q775),Sync!$Q775&gt;=0,Sync!$Q775&lt;1),RIGHT("00"&amp;HOUR(Sync!$Q775),2)&amp;RIGHT("00"&amp;MINUTE(Sync!$Q775),2),IFERROR(RIGHT("00"&amp;VALUE(LEFT(Sync!$Q775,FIND(":",Sync!$Q775)-1)),2)&amp;RIGHT("00"&amp;VALUE(MID(Sync!$Q775,FIND(":",Sync!$Q775)+1,2)),2),"0000"))))</f>
        <v/>
      </c>
      <c r="G778">
        <f>IF(OR($E778="",$E778="نامعتبر"),"",IF(Sync!$S775="","",Sync!$S775))</f>
        <v/>
      </c>
      <c r="H778">
        <f>IF(OR($E778="",$E778="نامعتبر"),"",IF(Sync!$R775="","",Sync!$R775))</f>
        <v/>
      </c>
      <c r="I778">
        <f>IF(OR($E778="",$E778="نامعتبر"),"",IF(Sync!$T775="","",Sync!$T775))</f>
        <v/>
      </c>
      <c r="J778">
        <f>IF(OR($E778="",$E778="نامعتبر"),"",IF(Sync!$U775="","",Sync!$U775))</f>
        <v/>
      </c>
      <c r="K778">
        <f>IF(OR($E778="",$E778="نامعتبر"),"",IF(Sync!$V775="","",IFERROR(INDEX(SubCodes,MATCH(Sync!$V775,SubTitles,0)),Sync!$V775)))</f>
        <v/>
      </c>
      <c r="L778">
        <f>IF(OR($E778="",$E778="نامعتبر"),"",IF(Sync!$W775="",0,Sync!$W775))</f>
        <v/>
      </c>
      <c r="M778">
        <f>IF(OR($E778="",$E778="نامعتبر"),"",IF(Sync!$X775="",0,Sync!$X775))</f>
        <v/>
      </c>
      <c r="N778">
        <f>IF(OR($E778="",$E778="نامعتبر"),"",IF(AND($J778="هزینه",$K778&lt;&gt;""),1,0))</f>
        <v/>
      </c>
      <c r="O778">
        <f>IF($N778=0,"",LEFT($E778,4)&amp;MID($E778,6,2)&amp;RIGHT($E778,2)&amp;$F778&amp;"|"&amp;"1"&amp;RIGHT("00000"&amp;770,5))</f>
        <v/>
      </c>
      <c r="P778">
        <f>IF($O778="","",COUNTIFS(ExpSub,$K778,ExpKey,"&lt;"&amp;$O778)+1)</f>
        <v/>
      </c>
      <c r="Q778">
        <f>IF($P778="","",$K778&amp;"|"&amp;RIGHT("000000"&amp;$P778,6))</f>
        <v/>
      </c>
    </row>
    <row r="779">
      <c r="A779">
        <f>IF(Sync!$P776="","",Sync!$P776)</f>
        <v/>
      </c>
      <c r="B779">
        <f>IF($A779="","",IF(ISNUMBER($A779),IF(AND($A779&gt;=10000101,$A779&lt;=99991231),INT($A779/10000),""),IFERROR(VALUE(TRIM(LEFT($A779,FIND("/",$A779)-1))),"")))</f>
        <v/>
      </c>
      <c r="C779">
        <f>IF(OR($A779="",$B779=""),"",IF(ISNUMBER($A779),INT(MOD($A779,10000)/100),IFERROR(VALUE(TRIM(LEFT(MID($A779,FIND("/",$A779)+1,20),FIND("/",MID($A779,FIND("/",$A779)+1,20))-1))),"")))</f>
        <v/>
      </c>
      <c r="D779">
        <f>IF(OR($A779="",$B779=""),"",IF(ISNUMBER($A779),MOD($A779,100),IFERROR(VALUE(TRIM(MID(MID($A779,FIND("/",$A779)+1,20),FIND("/",MID($A779,FIND("/",$A779)+1,20))+1,20))),"")))</f>
        <v/>
      </c>
      <c r="E779">
        <f>IF($A779="","",IF(OR($B779="",$C779="",$D779="",$B779&lt;1300,$B779&gt;1500,$C779&lt;1,$C779&gt;12,$D779&lt;1,$D779&gt;31),"نامعتبر",RIGHT("0000"&amp;$B779,4)&amp;"/"&amp;RIGHT("00"&amp;$C779,2)&amp;"/"&amp;RIGHT("00"&amp;$D779,2)))</f>
        <v/>
      </c>
      <c r="F779">
        <f>IF(OR($E779="",$E779="نامعتبر"),"",IF(Sync!$Q776="","0000",IF(AND(ISNUMBER(Sync!$Q776),Sync!$Q776&gt;=0,Sync!$Q776&lt;1),RIGHT("00"&amp;HOUR(Sync!$Q776),2)&amp;RIGHT("00"&amp;MINUTE(Sync!$Q776),2),IFERROR(RIGHT("00"&amp;VALUE(LEFT(Sync!$Q776,FIND(":",Sync!$Q776)-1)),2)&amp;RIGHT("00"&amp;VALUE(MID(Sync!$Q776,FIND(":",Sync!$Q776)+1,2)),2),"0000"))))</f>
        <v/>
      </c>
      <c r="G779">
        <f>IF(OR($E779="",$E779="نامعتبر"),"",IF(Sync!$S776="","",Sync!$S776))</f>
        <v/>
      </c>
      <c r="H779">
        <f>IF(OR($E779="",$E779="نامعتبر"),"",IF(Sync!$R776="","",Sync!$R776))</f>
        <v/>
      </c>
      <c r="I779">
        <f>IF(OR($E779="",$E779="نامعتبر"),"",IF(Sync!$T776="","",Sync!$T776))</f>
        <v/>
      </c>
      <c r="J779">
        <f>IF(OR($E779="",$E779="نامعتبر"),"",IF(Sync!$U776="","",Sync!$U776))</f>
        <v/>
      </c>
      <c r="K779">
        <f>IF(OR($E779="",$E779="نامعتبر"),"",IF(Sync!$V776="","",IFERROR(INDEX(SubCodes,MATCH(Sync!$V776,SubTitles,0)),Sync!$V776)))</f>
        <v/>
      </c>
      <c r="L779">
        <f>IF(OR($E779="",$E779="نامعتبر"),"",IF(Sync!$W776="",0,Sync!$W776))</f>
        <v/>
      </c>
      <c r="M779">
        <f>IF(OR($E779="",$E779="نامعتبر"),"",IF(Sync!$X776="",0,Sync!$X776))</f>
        <v/>
      </c>
      <c r="N779">
        <f>IF(OR($E779="",$E779="نامعتبر"),"",IF(AND($J779="هزینه",$K779&lt;&gt;""),1,0))</f>
        <v/>
      </c>
      <c r="O779">
        <f>IF($N779=0,"",LEFT($E779,4)&amp;MID($E779,6,2)&amp;RIGHT($E779,2)&amp;$F779&amp;"|"&amp;"1"&amp;RIGHT("00000"&amp;771,5))</f>
        <v/>
      </c>
      <c r="P779">
        <f>IF($O779="","",COUNTIFS(ExpSub,$K779,ExpKey,"&lt;"&amp;$O779)+1)</f>
        <v/>
      </c>
      <c r="Q779">
        <f>IF($P779="","",$K779&amp;"|"&amp;RIGHT("000000"&amp;$P779,6))</f>
        <v/>
      </c>
    </row>
    <row r="780">
      <c r="A780">
        <f>IF(Sync!$P777="","",Sync!$P777)</f>
        <v/>
      </c>
      <c r="B780">
        <f>IF($A780="","",IF(ISNUMBER($A780),IF(AND($A780&gt;=10000101,$A780&lt;=99991231),INT($A780/10000),""),IFERROR(VALUE(TRIM(LEFT($A780,FIND("/",$A780)-1))),"")))</f>
        <v/>
      </c>
      <c r="C780">
        <f>IF(OR($A780="",$B780=""),"",IF(ISNUMBER($A780),INT(MOD($A780,10000)/100),IFERROR(VALUE(TRIM(LEFT(MID($A780,FIND("/",$A780)+1,20),FIND("/",MID($A780,FIND("/",$A780)+1,20))-1))),"")))</f>
        <v/>
      </c>
      <c r="D780">
        <f>IF(OR($A780="",$B780=""),"",IF(ISNUMBER($A780),MOD($A780,100),IFERROR(VALUE(TRIM(MID(MID($A780,FIND("/",$A780)+1,20),FIND("/",MID($A780,FIND("/",$A780)+1,20))+1,20))),"")))</f>
        <v/>
      </c>
      <c r="E780">
        <f>IF($A780="","",IF(OR($B780="",$C780="",$D780="",$B780&lt;1300,$B780&gt;1500,$C780&lt;1,$C780&gt;12,$D780&lt;1,$D780&gt;31),"نامعتبر",RIGHT("0000"&amp;$B780,4)&amp;"/"&amp;RIGHT("00"&amp;$C780,2)&amp;"/"&amp;RIGHT("00"&amp;$D780,2)))</f>
        <v/>
      </c>
      <c r="F780">
        <f>IF(OR($E780="",$E780="نامعتبر"),"",IF(Sync!$Q777="","0000",IF(AND(ISNUMBER(Sync!$Q777),Sync!$Q777&gt;=0,Sync!$Q777&lt;1),RIGHT("00"&amp;HOUR(Sync!$Q777),2)&amp;RIGHT("00"&amp;MINUTE(Sync!$Q777),2),IFERROR(RIGHT("00"&amp;VALUE(LEFT(Sync!$Q777,FIND(":",Sync!$Q777)-1)),2)&amp;RIGHT("00"&amp;VALUE(MID(Sync!$Q777,FIND(":",Sync!$Q777)+1,2)),2),"0000"))))</f>
        <v/>
      </c>
      <c r="G780">
        <f>IF(OR($E780="",$E780="نامعتبر"),"",IF(Sync!$S777="","",Sync!$S777))</f>
        <v/>
      </c>
      <c r="H780">
        <f>IF(OR($E780="",$E780="نامعتبر"),"",IF(Sync!$R777="","",Sync!$R777))</f>
        <v/>
      </c>
      <c r="I780">
        <f>IF(OR($E780="",$E780="نامعتبر"),"",IF(Sync!$T777="","",Sync!$T777))</f>
        <v/>
      </c>
      <c r="J780">
        <f>IF(OR($E780="",$E780="نامعتبر"),"",IF(Sync!$U777="","",Sync!$U777))</f>
        <v/>
      </c>
      <c r="K780">
        <f>IF(OR($E780="",$E780="نامعتبر"),"",IF(Sync!$V777="","",IFERROR(INDEX(SubCodes,MATCH(Sync!$V777,SubTitles,0)),Sync!$V777)))</f>
        <v/>
      </c>
      <c r="L780">
        <f>IF(OR($E780="",$E780="نامعتبر"),"",IF(Sync!$W777="",0,Sync!$W777))</f>
        <v/>
      </c>
      <c r="M780">
        <f>IF(OR($E780="",$E780="نامعتبر"),"",IF(Sync!$X777="",0,Sync!$X777))</f>
        <v/>
      </c>
      <c r="N780">
        <f>IF(OR($E780="",$E780="نامعتبر"),"",IF(AND($J780="هزینه",$K780&lt;&gt;""),1,0))</f>
        <v/>
      </c>
      <c r="O780">
        <f>IF($N780=0,"",LEFT($E780,4)&amp;MID($E780,6,2)&amp;RIGHT($E780,2)&amp;$F780&amp;"|"&amp;"1"&amp;RIGHT("00000"&amp;772,5))</f>
        <v/>
      </c>
      <c r="P780">
        <f>IF($O780="","",COUNTIFS(ExpSub,$K780,ExpKey,"&lt;"&amp;$O780)+1)</f>
        <v/>
      </c>
      <c r="Q780">
        <f>IF($P780="","",$K780&amp;"|"&amp;RIGHT("000000"&amp;$P780,6))</f>
        <v/>
      </c>
    </row>
    <row r="781">
      <c r="A781">
        <f>IF(Sync!$P778="","",Sync!$P778)</f>
        <v/>
      </c>
      <c r="B781">
        <f>IF($A781="","",IF(ISNUMBER($A781),IF(AND($A781&gt;=10000101,$A781&lt;=99991231),INT($A781/10000),""),IFERROR(VALUE(TRIM(LEFT($A781,FIND("/",$A781)-1))),"")))</f>
        <v/>
      </c>
      <c r="C781">
        <f>IF(OR($A781="",$B781=""),"",IF(ISNUMBER($A781),INT(MOD($A781,10000)/100),IFERROR(VALUE(TRIM(LEFT(MID($A781,FIND("/",$A781)+1,20),FIND("/",MID($A781,FIND("/",$A781)+1,20))-1))),"")))</f>
        <v/>
      </c>
      <c r="D781">
        <f>IF(OR($A781="",$B781=""),"",IF(ISNUMBER($A781),MOD($A781,100),IFERROR(VALUE(TRIM(MID(MID($A781,FIND("/",$A781)+1,20),FIND("/",MID($A781,FIND("/",$A781)+1,20))+1,20))),"")))</f>
        <v/>
      </c>
      <c r="E781">
        <f>IF($A781="","",IF(OR($B781="",$C781="",$D781="",$B781&lt;1300,$B781&gt;1500,$C781&lt;1,$C781&gt;12,$D781&lt;1,$D781&gt;31),"نامعتبر",RIGHT("0000"&amp;$B781,4)&amp;"/"&amp;RIGHT("00"&amp;$C781,2)&amp;"/"&amp;RIGHT("00"&amp;$D781,2)))</f>
        <v/>
      </c>
      <c r="F781">
        <f>IF(OR($E781="",$E781="نامعتبر"),"",IF(Sync!$Q778="","0000",IF(AND(ISNUMBER(Sync!$Q778),Sync!$Q778&gt;=0,Sync!$Q778&lt;1),RIGHT("00"&amp;HOUR(Sync!$Q778),2)&amp;RIGHT("00"&amp;MINUTE(Sync!$Q778),2),IFERROR(RIGHT("00"&amp;VALUE(LEFT(Sync!$Q778,FIND(":",Sync!$Q778)-1)),2)&amp;RIGHT("00"&amp;VALUE(MID(Sync!$Q778,FIND(":",Sync!$Q778)+1,2)),2),"0000"))))</f>
        <v/>
      </c>
      <c r="G781">
        <f>IF(OR($E781="",$E781="نامعتبر"),"",IF(Sync!$S778="","",Sync!$S778))</f>
        <v/>
      </c>
      <c r="H781">
        <f>IF(OR($E781="",$E781="نامعتبر"),"",IF(Sync!$R778="","",Sync!$R778))</f>
        <v/>
      </c>
      <c r="I781">
        <f>IF(OR($E781="",$E781="نامعتبر"),"",IF(Sync!$T778="","",Sync!$T778))</f>
        <v/>
      </c>
      <c r="J781">
        <f>IF(OR($E781="",$E781="نامعتبر"),"",IF(Sync!$U778="","",Sync!$U778))</f>
        <v/>
      </c>
      <c r="K781">
        <f>IF(OR($E781="",$E781="نامعتبر"),"",IF(Sync!$V778="","",IFERROR(INDEX(SubCodes,MATCH(Sync!$V778,SubTitles,0)),Sync!$V778)))</f>
        <v/>
      </c>
      <c r="L781">
        <f>IF(OR($E781="",$E781="نامعتبر"),"",IF(Sync!$W778="",0,Sync!$W778))</f>
        <v/>
      </c>
      <c r="M781">
        <f>IF(OR($E781="",$E781="نامعتبر"),"",IF(Sync!$X778="",0,Sync!$X778))</f>
        <v/>
      </c>
      <c r="N781">
        <f>IF(OR($E781="",$E781="نامعتبر"),"",IF(AND($J781="هزینه",$K781&lt;&gt;""),1,0))</f>
        <v/>
      </c>
      <c r="O781">
        <f>IF($N781=0,"",LEFT($E781,4)&amp;MID($E781,6,2)&amp;RIGHT($E781,2)&amp;$F781&amp;"|"&amp;"1"&amp;RIGHT("00000"&amp;773,5))</f>
        <v/>
      </c>
      <c r="P781">
        <f>IF($O781="","",COUNTIFS(ExpSub,$K781,ExpKey,"&lt;"&amp;$O781)+1)</f>
        <v/>
      </c>
      <c r="Q781">
        <f>IF($P781="","",$K781&amp;"|"&amp;RIGHT("000000"&amp;$P781,6))</f>
        <v/>
      </c>
    </row>
    <row r="782">
      <c r="A782">
        <f>IF(Sync!$P779="","",Sync!$P779)</f>
        <v/>
      </c>
      <c r="B782">
        <f>IF($A782="","",IF(ISNUMBER($A782),IF(AND($A782&gt;=10000101,$A782&lt;=99991231),INT($A782/10000),""),IFERROR(VALUE(TRIM(LEFT($A782,FIND("/",$A782)-1))),"")))</f>
        <v/>
      </c>
      <c r="C782">
        <f>IF(OR($A782="",$B782=""),"",IF(ISNUMBER($A782),INT(MOD($A782,10000)/100),IFERROR(VALUE(TRIM(LEFT(MID($A782,FIND("/",$A782)+1,20),FIND("/",MID($A782,FIND("/",$A782)+1,20))-1))),"")))</f>
        <v/>
      </c>
      <c r="D782">
        <f>IF(OR($A782="",$B782=""),"",IF(ISNUMBER($A782),MOD($A782,100),IFERROR(VALUE(TRIM(MID(MID($A782,FIND("/",$A782)+1,20),FIND("/",MID($A782,FIND("/",$A782)+1,20))+1,20))),"")))</f>
        <v/>
      </c>
      <c r="E782">
        <f>IF($A782="","",IF(OR($B782="",$C782="",$D782="",$B782&lt;1300,$B782&gt;1500,$C782&lt;1,$C782&gt;12,$D782&lt;1,$D782&gt;31),"نامعتبر",RIGHT("0000"&amp;$B782,4)&amp;"/"&amp;RIGHT("00"&amp;$C782,2)&amp;"/"&amp;RIGHT("00"&amp;$D782,2)))</f>
        <v/>
      </c>
      <c r="F782">
        <f>IF(OR($E782="",$E782="نامعتبر"),"",IF(Sync!$Q779="","0000",IF(AND(ISNUMBER(Sync!$Q779),Sync!$Q779&gt;=0,Sync!$Q779&lt;1),RIGHT("00"&amp;HOUR(Sync!$Q779),2)&amp;RIGHT("00"&amp;MINUTE(Sync!$Q779),2),IFERROR(RIGHT("00"&amp;VALUE(LEFT(Sync!$Q779,FIND(":",Sync!$Q779)-1)),2)&amp;RIGHT("00"&amp;VALUE(MID(Sync!$Q779,FIND(":",Sync!$Q779)+1,2)),2),"0000"))))</f>
        <v/>
      </c>
      <c r="G782">
        <f>IF(OR($E782="",$E782="نامعتبر"),"",IF(Sync!$S779="","",Sync!$S779))</f>
        <v/>
      </c>
      <c r="H782">
        <f>IF(OR($E782="",$E782="نامعتبر"),"",IF(Sync!$R779="","",Sync!$R779))</f>
        <v/>
      </c>
      <c r="I782">
        <f>IF(OR($E782="",$E782="نامعتبر"),"",IF(Sync!$T779="","",Sync!$T779))</f>
        <v/>
      </c>
      <c r="J782">
        <f>IF(OR($E782="",$E782="نامعتبر"),"",IF(Sync!$U779="","",Sync!$U779))</f>
        <v/>
      </c>
      <c r="K782">
        <f>IF(OR($E782="",$E782="نامعتبر"),"",IF(Sync!$V779="","",IFERROR(INDEX(SubCodes,MATCH(Sync!$V779,SubTitles,0)),Sync!$V779)))</f>
        <v/>
      </c>
      <c r="L782">
        <f>IF(OR($E782="",$E782="نامعتبر"),"",IF(Sync!$W779="",0,Sync!$W779))</f>
        <v/>
      </c>
      <c r="M782">
        <f>IF(OR($E782="",$E782="نامعتبر"),"",IF(Sync!$X779="",0,Sync!$X779))</f>
        <v/>
      </c>
      <c r="N782">
        <f>IF(OR($E782="",$E782="نامعتبر"),"",IF(AND($J782="هزینه",$K782&lt;&gt;""),1,0))</f>
        <v/>
      </c>
      <c r="O782">
        <f>IF($N782=0,"",LEFT($E782,4)&amp;MID($E782,6,2)&amp;RIGHT($E782,2)&amp;$F782&amp;"|"&amp;"1"&amp;RIGHT("00000"&amp;774,5))</f>
        <v/>
      </c>
      <c r="P782">
        <f>IF($O782="","",COUNTIFS(ExpSub,$K782,ExpKey,"&lt;"&amp;$O782)+1)</f>
        <v/>
      </c>
      <c r="Q782">
        <f>IF($P782="","",$K782&amp;"|"&amp;RIGHT("000000"&amp;$P782,6))</f>
        <v/>
      </c>
    </row>
    <row r="783">
      <c r="A783">
        <f>IF(Sync!$P780="","",Sync!$P780)</f>
        <v/>
      </c>
      <c r="B783">
        <f>IF($A783="","",IF(ISNUMBER($A783),IF(AND($A783&gt;=10000101,$A783&lt;=99991231),INT($A783/10000),""),IFERROR(VALUE(TRIM(LEFT($A783,FIND("/",$A783)-1))),"")))</f>
        <v/>
      </c>
      <c r="C783">
        <f>IF(OR($A783="",$B783=""),"",IF(ISNUMBER($A783),INT(MOD($A783,10000)/100),IFERROR(VALUE(TRIM(LEFT(MID($A783,FIND("/",$A783)+1,20),FIND("/",MID($A783,FIND("/",$A783)+1,20))-1))),"")))</f>
        <v/>
      </c>
      <c r="D783">
        <f>IF(OR($A783="",$B783=""),"",IF(ISNUMBER($A783),MOD($A783,100),IFERROR(VALUE(TRIM(MID(MID($A783,FIND("/",$A783)+1,20),FIND("/",MID($A783,FIND("/",$A783)+1,20))+1,20))),"")))</f>
        <v/>
      </c>
      <c r="E783">
        <f>IF($A783="","",IF(OR($B783="",$C783="",$D783="",$B783&lt;1300,$B783&gt;1500,$C783&lt;1,$C783&gt;12,$D783&lt;1,$D783&gt;31),"نامعتبر",RIGHT("0000"&amp;$B783,4)&amp;"/"&amp;RIGHT("00"&amp;$C783,2)&amp;"/"&amp;RIGHT("00"&amp;$D783,2)))</f>
        <v/>
      </c>
      <c r="F783">
        <f>IF(OR($E783="",$E783="نامعتبر"),"",IF(Sync!$Q780="","0000",IF(AND(ISNUMBER(Sync!$Q780),Sync!$Q780&gt;=0,Sync!$Q780&lt;1),RIGHT("00"&amp;HOUR(Sync!$Q780),2)&amp;RIGHT("00"&amp;MINUTE(Sync!$Q780),2),IFERROR(RIGHT("00"&amp;VALUE(LEFT(Sync!$Q780,FIND(":",Sync!$Q780)-1)),2)&amp;RIGHT("00"&amp;VALUE(MID(Sync!$Q780,FIND(":",Sync!$Q780)+1,2)),2),"0000"))))</f>
        <v/>
      </c>
      <c r="G783">
        <f>IF(OR($E783="",$E783="نامعتبر"),"",IF(Sync!$S780="","",Sync!$S780))</f>
        <v/>
      </c>
      <c r="H783">
        <f>IF(OR($E783="",$E783="نامعتبر"),"",IF(Sync!$R780="","",Sync!$R780))</f>
        <v/>
      </c>
      <c r="I783">
        <f>IF(OR($E783="",$E783="نامعتبر"),"",IF(Sync!$T780="","",Sync!$T780))</f>
        <v/>
      </c>
      <c r="J783">
        <f>IF(OR($E783="",$E783="نامعتبر"),"",IF(Sync!$U780="","",Sync!$U780))</f>
        <v/>
      </c>
      <c r="K783">
        <f>IF(OR($E783="",$E783="نامعتبر"),"",IF(Sync!$V780="","",IFERROR(INDEX(SubCodes,MATCH(Sync!$V780,SubTitles,0)),Sync!$V780)))</f>
        <v/>
      </c>
      <c r="L783">
        <f>IF(OR($E783="",$E783="نامعتبر"),"",IF(Sync!$W780="",0,Sync!$W780))</f>
        <v/>
      </c>
      <c r="M783">
        <f>IF(OR($E783="",$E783="نامعتبر"),"",IF(Sync!$X780="",0,Sync!$X780))</f>
        <v/>
      </c>
      <c r="N783">
        <f>IF(OR($E783="",$E783="نامعتبر"),"",IF(AND($J783="هزینه",$K783&lt;&gt;""),1,0))</f>
        <v/>
      </c>
      <c r="O783">
        <f>IF($N783=0,"",LEFT($E783,4)&amp;MID($E783,6,2)&amp;RIGHT($E783,2)&amp;$F783&amp;"|"&amp;"1"&amp;RIGHT("00000"&amp;775,5))</f>
        <v/>
      </c>
      <c r="P783">
        <f>IF($O783="","",COUNTIFS(ExpSub,$K783,ExpKey,"&lt;"&amp;$O783)+1)</f>
        <v/>
      </c>
      <c r="Q783">
        <f>IF($P783="","",$K783&amp;"|"&amp;RIGHT("000000"&amp;$P783,6))</f>
        <v/>
      </c>
    </row>
    <row r="784">
      <c r="A784">
        <f>IF(Sync!$P781="","",Sync!$P781)</f>
        <v/>
      </c>
      <c r="B784">
        <f>IF($A784="","",IF(ISNUMBER($A784),IF(AND($A784&gt;=10000101,$A784&lt;=99991231),INT($A784/10000),""),IFERROR(VALUE(TRIM(LEFT($A784,FIND("/",$A784)-1))),"")))</f>
        <v/>
      </c>
      <c r="C784">
        <f>IF(OR($A784="",$B784=""),"",IF(ISNUMBER($A784),INT(MOD($A784,10000)/100),IFERROR(VALUE(TRIM(LEFT(MID($A784,FIND("/",$A784)+1,20),FIND("/",MID($A784,FIND("/",$A784)+1,20))-1))),"")))</f>
        <v/>
      </c>
      <c r="D784">
        <f>IF(OR($A784="",$B784=""),"",IF(ISNUMBER($A784),MOD($A784,100),IFERROR(VALUE(TRIM(MID(MID($A784,FIND("/",$A784)+1,20),FIND("/",MID($A784,FIND("/",$A784)+1,20))+1,20))),"")))</f>
        <v/>
      </c>
      <c r="E784">
        <f>IF($A784="","",IF(OR($B784="",$C784="",$D784="",$B784&lt;1300,$B784&gt;1500,$C784&lt;1,$C784&gt;12,$D784&lt;1,$D784&gt;31),"نامعتبر",RIGHT("0000"&amp;$B784,4)&amp;"/"&amp;RIGHT("00"&amp;$C784,2)&amp;"/"&amp;RIGHT("00"&amp;$D784,2)))</f>
        <v/>
      </c>
      <c r="F784">
        <f>IF(OR($E784="",$E784="نامعتبر"),"",IF(Sync!$Q781="","0000",IF(AND(ISNUMBER(Sync!$Q781),Sync!$Q781&gt;=0,Sync!$Q781&lt;1),RIGHT("00"&amp;HOUR(Sync!$Q781),2)&amp;RIGHT("00"&amp;MINUTE(Sync!$Q781),2),IFERROR(RIGHT("00"&amp;VALUE(LEFT(Sync!$Q781,FIND(":",Sync!$Q781)-1)),2)&amp;RIGHT("00"&amp;VALUE(MID(Sync!$Q781,FIND(":",Sync!$Q781)+1,2)),2),"0000"))))</f>
        <v/>
      </c>
      <c r="G784">
        <f>IF(OR($E784="",$E784="نامعتبر"),"",IF(Sync!$S781="","",Sync!$S781))</f>
        <v/>
      </c>
      <c r="H784">
        <f>IF(OR($E784="",$E784="نامعتبر"),"",IF(Sync!$R781="","",Sync!$R781))</f>
        <v/>
      </c>
      <c r="I784">
        <f>IF(OR($E784="",$E784="نامعتبر"),"",IF(Sync!$T781="","",Sync!$T781))</f>
        <v/>
      </c>
      <c r="J784">
        <f>IF(OR($E784="",$E784="نامعتبر"),"",IF(Sync!$U781="","",Sync!$U781))</f>
        <v/>
      </c>
      <c r="K784">
        <f>IF(OR($E784="",$E784="نامعتبر"),"",IF(Sync!$V781="","",IFERROR(INDEX(SubCodes,MATCH(Sync!$V781,SubTitles,0)),Sync!$V781)))</f>
        <v/>
      </c>
      <c r="L784">
        <f>IF(OR($E784="",$E784="نامعتبر"),"",IF(Sync!$W781="",0,Sync!$W781))</f>
        <v/>
      </c>
      <c r="M784">
        <f>IF(OR($E784="",$E784="نامعتبر"),"",IF(Sync!$X781="",0,Sync!$X781))</f>
        <v/>
      </c>
      <c r="N784">
        <f>IF(OR($E784="",$E784="نامعتبر"),"",IF(AND($J784="هزینه",$K784&lt;&gt;""),1,0))</f>
        <v/>
      </c>
      <c r="O784">
        <f>IF($N784=0,"",LEFT($E784,4)&amp;MID($E784,6,2)&amp;RIGHT($E784,2)&amp;$F784&amp;"|"&amp;"1"&amp;RIGHT("00000"&amp;776,5))</f>
        <v/>
      </c>
      <c r="P784">
        <f>IF($O784="","",COUNTIFS(ExpSub,$K784,ExpKey,"&lt;"&amp;$O784)+1)</f>
        <v/>
      </c>
      <c r="Q784">
        <f>IF($P784="","",$K784&amp;"|"&amp;RIGHT("000000"&amp;$P784,6))</f>
        <v/>
      </c>
    </row>
    <row r="785">
      <c r="A785">
        <f>IF(Sync!$P782="","",Sync!$P782)</f>
        <v/>
      </c>
      <c r="B785">
        <f>IF($A785="","",IF(ISNUMBER($A785),IF(AND($A785&gt;=10000101,$A785&lt;=99991231),INT($A785/10000),""),IFERROR(VALUE(TRIM(LEFT($A785,FIND("/",$A785)-1))),"")))</f>
        <v/>
      </c>
      <c r="C785">
        <f>IF(OR($A785="",$B785=""),"",IF(ISNUMBER($A785),INT(MOD($A785,10000)/100),IFERROR(VALUE(TRIM(LEFT(MID($A785,FIND("/",$A785)+1,20),FIND("/",MID($A785,FIND("/",$A785)+1,20))-1))),"")))</f>
        <v/>
      </c>
      <c r="D785">
        <f>IF(OR($A785="",$B785=""),"",IF(ISNUMBER($A785),MOD($A785,100),IFERROR(VALUE(TRIM(MID(MID($A785,FIND("/",$A785)+1,20),FIND("/",MID($A785,FIND("/",$A785)+1,20))+1,20))),"")))</f>
        <v/>
      </c>
      <c r="E785">
        <f>IF($A785="","",IF(OR($B785="",$C785="",$D785="",$B785&lt;1300,$B785&gt;1500,$C785&lt;1,$C785&gt;12,$D785&lt;1,$D785&gt;31),"نامعتبر",RIGHT("0000"&amp;$B785,4)&amp;"/"&amp;RIGHT("00"&amp;$C785,2)&amp;"/"&amp;RIGHT("00"&amp;$D785,2)))</f>
        <v/>
      </c>
      <c r="F785">
        <f>IF(OR($E785="",$E785="نامعتبر"),"",IF(Sync!$Q782="","0000",IF(AND(ISNUMBER(Sync!$Q782),Sync!$Q782&gt;=0,Sync!$Q782&lt;1),RIGHT("00"&amp;HOUR(Sync!$Q782),2)&amp;RIGHT("00"&amp;MINUTE(Sync!$Q782),2),IFERROR(RIGHT("00"&amp;VALUE(LEFT(Sync!$Q782,FIND(":",Sync!$Q782)-1)),2)&amp;RIGHT("00"&amp;VALUE(MID(Sync!$Q782,FIND(":",Sync!$Q782)+1,2)),2),"0000"))))</f>
        <v/>
      </c>
      <c r="G785">
        <f>IF(OR($E785="",$E785="نامعتبر"),"",IF(Sync!$S782="","",Sync!$S782))</f>
        <v/>
      </c>
      <c r="H785">
        <f>IF(OR($E785="",$E785="نامعتبر"),"",IF(Sync!$R782="","",Sync!$R782))</f>
        <v/>
      </c>
      <c r="I785">
        <f>IF(OR($E785="",$E785="نامعتبر"),"",IF(Sync!$T782="","",Sync!$T782))</f>
        <v/>
      </c>
      <c r="J785">
        <f>IF(OR($E785="",$E785="نامعتبر"),"",IF(Sync!$U782="","",Sync!$U782))</f>
        <v/>
      </c>
      <c r="K785">
        <f>IF(OR($E785="",$E785="نامعتبر"),"",IF(Sync!$V782="","",IFERROR(INDEX(SubCodes,MATCH(Sync!$V782,SubTitles,0)),Sync!$V782)))</f>
        <v/>
      </c>
      <c r="L785">
        <f>IF(OR($E785="",$E785="نامعتبر"),"",IF(Sync!$W782="",0,Sync!$W782))</f>
        <v/>
      </c>
      <c r="M785">
        <f>IF(OR($E785="",$E785="نامعتبر"),"",IF(Sync!$X782="",0,Sync!$X782))</f>
        <v/>
      </c>
      <c r="N785">
        <f>IF(OR($E785="",$E785="نامعتبر"),"",IF(AND($J785="هزینه",$K785&lt;&gt;""),1,0))</f>
        <v/>
      </c>
      <c r="O785">
        <f>IF($N785=0,"",LEFT($E785,4)&amp;MID($E785,6,2)&amp;RIGHT($E785,2)&amp;$F785&amp;"|"&amp;"1"&amp;RIGHT("00000"&amp;777,5))</f>
        <v/>
      </c>
      <c r="P785">
        <f>IF($O785="","",COUNTIFS(ExpSub,$K785,ExpKey,"&lt;"&amp;$O785)+1)</f>
        <v/>
      </c>
      <c r="Q785">
        <f>IF($P785="","",$K785&amp;"|"&amp;RIGHT("000000"&amp;$P785,6))</f>
        <v/>
      </c>
    </row>
    <row r="786">
      <c r="A786">
        <f>IF(Sync!$P783="","",Sync!$P783)</f>
        <v/>
      </c>
      <c r="B786">
        <f>IF($A786="","",IF(ISNUMBER($A786),IF(AND($A786&gt;=10000101,$A786&lt;=99991231),INT($A786/10000),""),IFERROR(VALUE(TRIM(LEFT($A786,FIND("/",$A786)-1))),"")))</f>
        <v/>
      </c>
      <c r="C786">
        <f>IF(OR($A786="",$B786=""),"",IF(ISNUMBER($A786),INT(MOD($A786,10000)/100),IFERROR(VALUE(TRIM(LEFT(MID($A786,FIND("/",$A786)+1,20),FIND("/",MID($A786,FIND("/",$A786)+1,20))-1))),"")))</f>
        <v/>
      </c>
      <c r="D786">
        <f>IF(OR($A786="",$B786=""),"",IF(ISNUMBER($A786),MOD($A786,100),IFERROR(VALUE(TRIM(MID(MID($A786,FIND("/",$A786)+1,20),FIND("/",MID($A786,FIND("/",$A786)+1,20))+1,20))),"")))</f>
        <v/>
      </c>
      <c r="E786">
        <f>IF($A786="","",IF(OR($B786="",$C786="",$D786="",$B786&lt;1300,$B786&gt;1500,$C786&lt;1,$C786&gt;12,$D786&lt;1,$D786&gt;31),"نامعتبر",RIGHT("0000"&amp;$B786,4)&amp;"/"&amp;RIGHT("00"&amp;$C786,2)&amp;"/"&amp;RIGHT("00"&amp;$D786,2)))</f>
        <v/>
      </c>
      <c r="F786">
        <f>IF(OR($E786="",$E786="نامعتبر"),"",IF(Sync!$Q783="","0000",IF(AND(ISNUMBER(Sync!$Q783),Sync!$Q783&gt;=0,Sync!$Q783&lt;1),RIGHT("00"&amp;HOUR(Sync!$Q783),2)&amp;RIGHT("00"&amp;MINUTE(Sync!$Q783),2),IFERROR(RIGHT("00"&amp;VALUE(LEFT(Sync!$Q783,FIND(":",Sync!$Q783)-1)),2)&amp;RIGHT("00"&amp;VALUE(MID(Sync!$Q783,FIND(":",Sync!$Q783)+1,2)),2),"0000"))))</f>
        <v/>
      </c>
      <c r="G786">
        <f>IF(OR($E786="",$E786="نامعتبر"),"",IF(Sync!$S783="","",Sync!$S783))</f>
        <v/>
      </c>
      <c r="H786">
        <f>IF(OR($E786="",$E786="نامعتبر"),"",IF(Sync!$R783="","",Sync!$R783))</f>
        <v/>
      </c>
      <c r="I786">
        <f>IF(OR($E786="",$E786="نامعتبر"),"",IF(Sync!$T783="","",Sync!$T783))</f>
        <v/>
      </c>
      <c r="J786">
        <f>IF(OR($E786="",$E786="نامعتبر"),"",IF(Sync!$U783="","",Sync!$U783))</f>
        <v/>
      </c>
      <c r="K786">
        <f>IF(OR($E786="",$E786="نامعتبر"),"",IF(Sync!$V783="","",IFERROR(INDEX(SubCodes,MATCH(Sync!$V783,SubTitles,0)),Sync!$V783)))</f>
        <v/>
      </c>
      <c r="L786">
        <f>IF(OR($E786="",$E786="نامعتبر"),"",IF(Sync!$W783="",0,Sync!$W783))</f>
        <v/>
      </c>
      <c r="M786">
        <f>IF(OR($E786="",$E786="نامعتبر"),"",IF(Sync!$X783="",0,Sync!$X783))</f>
        <v/>
      </c>
      <c r="N786">
        <f>IF(OR($E786="",$E786="نامعتبر"),"",IF(AND($J786="هزینه",$K786&lt;&gt;""),1,0))</f>
        <v/>
      </c>
      <c r="O786">
        <f>IF($N786=0,"",LEFT($E786,4)&amp;MID($E786,6,2)&amp;RIGHT($E786,2)&amp;$F786&amp;"|"&amp;"1"&amp;RIGHT("00000"&amp;778,5))</f>
        <v/>
      </c>
      <c r="P786">
        <f>IF($O786="","",COUNTIFS(ExpSub,$K786,ExpKey,"&lt;"&amp;$O786)+1)</f>
        <v/>
      </c>
      <c r="Q786">
        <f>IF($P786="","",$K786&amp;"|"&amp;RIGHT("000000"&amp;$P786,6))</f>
        <v/>
      </c>
    </row>
    <row r="787">
      <c r="A787">
        <f>IF(Sync!$P784="","",Sync!$P784)</f>
        <v/>
      </c>
      <c r="B787">
        <f>IF($A787="","",IF(ISNUMBER($A787),IF(AND($A787&gt;=10000101,$A787&lt;=99991231),INT($A787/10000),""),IFERROR(VALUE(TRIM(LEFT($A787,FIND("/",$A787)-1))),"")))</f>
        <v/>
      </c>
      <c r="C787">
        <f>IF(OR($A787="",$B787=""),"",IF(ISNUMBER($A787),INT(MOD($A787,10000)/100),IFERROR(VALUE(TRIM(LEFT(MID($A787,FIND("/",$A787)+1,20),FIND("/",MID($A787,FIND("/",$A787)+1,20))-1))),"")))</f>
        <v/>
      </c>
      <c r="D787">
        <f>IF(OR($A787="",$B787=""),"",IF(ISNUMBER($A787),MOD($A787,100),IFERROR(VALUE(TRIM(MID(MID($A787,FIND("/",$A787)+1,20),FIND("/",MID($A787,FIND("/",$A787)+1,20))+1,20))),"")))</f>
        <v/>
      </c>
      <c r="E787">
        <f>IF($A787="","",IF(OR($B787="",$C787="",$D787="",$B787&lt;1300,$B787&gt;1500,$C787&lt;1,$C787&gt;12,$D787&lt;1,$D787&gt;31),"نامعتبر",RIGHT("0000"&amp;$B787,4)&amp;"/"&amp;RIGHT("00"&amp;$C787,2)&amp;"/"&amp;RIGHT("00"&amp;$D787,2)))</f>
        <v/>
      </c>
      <c r="F787">
        <f>IF(OR($E787="",$E787="نامعتبر"),"",IF(Sync!$Q784="","0000",IF(AND(ISNUMBER(Sync!$Q784),Sync!$Q784&gt;=0,Sync!$Q784&lt;1),RIGHT("00"&amp;HOUR(Sync!$Q784),2)&amp;RIGHT("00"&amp;MINUTE(Sync!$Q784),2),IFERROR(RIGHT("00"&amp;VALUE(LEFT(Sync!$Q784,FIND(":",Sync!$Q784)-1)),2)&amp;RIGHT("00"&amp;VALUE(MID(Sync!$Q784,FIND(":",Sync!$Q784)+1,2)),2),"0000"))))</f>
        <v/>
      </c>
      <c r="G787">
        <f>IF(OR($E787="",$E787="نامعتبر"),"",IF(Sync!$S784="","",Sync!$S784))</f>
        <v/>
      </c>
      <c r="H787">
        <f>IF(OR($E787="",$E787="نامعتبر"),"",IF(Sync!$R784="","",Sync!$R784))</f>
        <v/>
      </c>
      <c r="I787">
        <f>IF(OR($E787="",$E787="نامعتبر"),"",IF(Sync!$T784="","",Sync!$T784))</f>
        <v/>
      </c>
      <c r="J787">
        <f>IF(OR($E787="",$E787="نامعتبر"),"",IF(Sync!$U784="","",Sync!$U784))</f>
        <v/>
      </c>
      <c r="K787">
        <f>IF(OR($E787="",$E787="نامعتبر"),"",IF(Sync!$V784="","",IFERROR(INDEX(SubCodes,MATCH(Sync!$V784,SubTitles,0)),Sync!$V784)))</f>
        <v/>
      </c>
      <c r="L787">
        <f>IF(OR($E787="",$E787="نامعتبر"),"",IF(Sync!$W784="",0,Sync!$W784))</f>
        <v/>
      </c>
      <c r="M787">
        <f>IF(OR($E787="",$E787="نامعتبر"),"",IF(Sync!$X784="",0,Sync!$X784))</f>
        <v/>
      </c>
      <c r="N787">
        <f>IF(OR($E787="",$E787="نامعتبر"),"",IF(AND($J787="هزینه",$K787&lt;&gt;""),1,0))</f>
        <v/>
      </c>
      <c r="O787">
        <f>IF($N787=0,"",LEFT($E787,4)&amp;MID($E787,6,2)&amp;RIGHT($E787,2)&amp;$F787&amp;"|"&amp;"1"&amp;RIGHT("00000"&amp;779,5))</f>
        <v/>
      </c>
      <c r="P787">
        <f>IF($O787="","",COUNTIFS(ExpSub,$K787,ExpKey,"&lt;"&amp;$O787)+1)</f>
        <v/>
      </c>
      <c r="Q787">
        <f>IF($P787="","",$K787&amp;"|"&amp;RIGHT("000000"&amp;$P787,6))</f>
        <v/>
      </c>
    </row>
    <row r="788">
      <c r="A788">
        <f>IF(Sync!$P785="","",Sync!$P785)</f>
        <v/>
      </c>
      <c r="B788">
        <f>IF($A788="","",IF(ISNUMBER($A788),IF(AND($A788&gt;=10000101,$A788&lt;=99991231),INT($A788/10000),""),IFERROR(VALUE(TRIM(LEFT($A788,FIND("/",$A788)-1))),"")))</f>
        <v/>
      </c>
      <c r="C788">
        <f>IF(OR($A788="",$B788=""),"",IF(ISNUMBER($A788),INT(MOD($A788,10000)/100),IFERROR(VALUE(TRIM(LEFT(MID($A788,FIND("/",$A788)+1,20),FIND("/",MID($A788,FIND("/",$A788)+1,20))-1))),"")))</f>
        <v/>
      </c>
      <c r="D788">
        <f>IF(OR($A788="",$B788=""),"",IF(ISNUMBER($A788),MOD($A788,100),IFERROR(VALUE(TRIM(MID(MID($A788,FIND("/",$A788)+1,20),FIND("/",MID($A788,FIND("/",$A788)+1,20))+1,20))),"")))</f>
        <v/>
      </c>
      <c r="E788">
        <f>IF($A788="","",IF(OR($B788="",$C788="",$D788="",$B788&lt;1300,$B788&gt;1500,$C788&lt;1,$C788&gt;12,$D788&lt;1,$D788&gt;31),"نامعتبر",RIGHT("0000"&amp;$B788,4)&amp;"/"&amp;RIGHT("00"&amp;$C788,2)&amp;"/"&amp;RIGHT("00"&amp;$D788,2)))</f>
        <v/>
      </c>
      <c r="F788">
        <f>IF(OR($E788="",$E788="نامعتبر"),"",IF(Sync!$Q785="","0000",IF(AND(ISNUMBER(Sync!$Q785),Sync!$Q785&gt;=0,Sync!$Q785&lt;1),RIGHT("00"&amp;HOUR(Sync!$Q785),2)&amp;RIGHT("00"&amp;MINUTE(Sync!$Q785),2),IFERROR(RIGHT("00"&amp;VALUE(LEFT(Sync!$Q785,FIND(":",Sync!$Q785)-1)),2)&amp;RIGHT("00"&amp;VALUE(MID(Sync!$Q785,FIND(":",Sync!$Q785)+1,2)),2),"0000"))))</f>
        <v/>
      </c>
      <c r="G788">
        <f>IF(OR($E788="",$E788="نامعتبر"),"",IF(Sync!$S785="","",Sync!$S785))</f>
        <v/>
      </c>
      <c r="H788">
        <f>IF(OR($E788="",$E788="نامعتبر"),"",IF(Sync!$R785="","",Sync!$R785))</f>
        <v/>
      </c>
      <c r="I788">
        <f>IF(OR($E788="",$E788="نامعتبر"),"",IF(Sync!$T785="","",Sync!$T785))</f>
        <v/>
      </c>
      <c r="J788">
        <f>IF(OR($E788="",$E788="نامعتبر"),"",IF(Sync!$U785="","",Sync!$U785))</f>
        <v/>
      </c>
      <c r="K788">
        <f>IF(OR($E788="",$E788="نامعتبر"),"",IF(Sync!$V785="","",IFERROR(INDEX(SubCodes,MATCH(Sync!$V785,SubTitles,0)),Sync!$V785)))</f>
        <v/>
      </c>
      <c r="L788">
        <f>IF(OR($E788="",$E788="نامعتبر"),"",IF(Sync!$W785="",0,Sync!$W785))</f>
        <v/>
      </c>
      <c r="M788">
        <f>IF(OR($E788="",$E788="نامعتبر"),"",IF(Sync!$X785="",0,Sync!$X785))</f>
        <v/>
      </c>
      <c r="N788">
        <f>IF(OR($E788="",$E788="نامعتبر"),"",IF(AND($J788="هزینه",$K788&lt;&gt;""),1,0))</f>
        <v/>
      </c>
      <c r="O788">
        <f>IF($N788=0,"",LEFT($E788,4)&amp;MID($E788,6,2)&amp;RIGHT($E788,2)&amp;$F788&amp;"|"&amp;"1"&amp;RIGHT("00000"&amp;780,5))</f>
        <v/>
      </c>
      <c r="P788">
        <f>IF($O788="","",COUNTIFS(ExpSub,$K788,ExpKey,"&lt;"&amp;$O788)+1)</f>
        <v/>
      </c>
      <c r="Q788">
        <f>IF($P788="","",$K788&amp;"|"&amp;RIGHT("000000"&amp;$P788,6))</f>
        <v/>
      </c>
    </row>
    <row r="789">
      <c r="A789">
        <f>IF(Sync!$P786="","",Sync!$P786)</f>
        <v/>
      </c>
      <c r="B789">
        <f>IF($A789="","",IF(ISNUMBER($A789),IF(AND($A789&gt;=10000101,$A789&lt;=99991231),INT($A789/10000),""),IFERROR(VALUE(TRIM(LEFT($A789,FIND("/",$A789)-1))),"")))</f>
        <v/>
      </c>
      <c r="C789">
        <f>IF(OR($A789="",$B789=""),"",IF(ISNUMBER($A789),INT(MOD($A789,10000)/100),IFERROR(VALUE(TRIM(LEFT(MID($A789,FIND("/",$A789)+1,20),FIND("/",MID($A789,FIND("/",$A789)+1,20))-1))),"")))</f>
        <v/>
      </c>
      <c r="D789">
        <f>IF(OR($A789="",$B789=""),"",IF(ISNUMBER($A789),MOD($A789,100),IFERROR(VALUE(TRIM(MID(MID($A789,FIND("/",$A789)+1,20),FIND("/",MID($A789,FIND("/",$A789)+1,20))+1,20))),"")))</f>
        <v/>
      </c>
      <c r="E789">
        <f>IF($A789="","",IF(OR($B789="",$C789="",$D789="",$B789&lt;1300,$B789&gt;1500,$C789&lt;1,$C789&gt;12,$D789&lt;1,$D789&gt;31),"نامعتبر",RIGHT("0000"&amp;$B789,4)&amp;"/"&amp;RIGHT("00"&amp;$C789,2)&amp;"/"&amp;RIGHT("00"&amp;$D789,2)))</f>
        <v/>
      </c>
      <c r="F789">
        <f>IF(OR($E789="",$E789="نامعتبر"),"",IF(Sync!$Q786="","0000",IF(AND(ISNUMBER(Sync!$Q786),Sync!$Q786&gt;=0,Sync!$Q786&lt;1),RIGHT("00"&amp;HOUR(Sync!$Q786),2)&amp;RIGHT("00"&amp;MINUTE(Sync!$Q786),2),IFERROR(RIGHT("00"&amp;VALUE(LEFT(Sync!$Q786,FIND(":",Sync!$Q786)-1)),2)&amp;RIGHT("00"&amp;VALUE(MID(Sync!$Q786,FIND(":",Sync!$Q786)+1,2)),2),"0000"))))</f>
        <v/>
      </c>
      <c r="G789">
        <f>IF(OR($E789="",$E789="نامعتبر"),"",IF(Sync!$S786="","",Sync!$S786))</f>
        <v/>
      </c>
      <c r="H789">
        <f>IF(OR($E789="",$E789="نامعتبر"),"",IF(Sync!$R786="","",Sync!$R786))</f>
        <v/>
      </c>
      <c r="I789">
        <f>IF(OR($E789="",$E789="نامعتبر"),"",IF(Sync!$T786="","",Sync!$T786))</f>
        <v/>
      </c>
      <c r="J789">
        <f>IF(OR($E789="",$E789="نامعتبر"),"",IF(Sync!$U786="","",Sync!$U786))</f>
        <v/>
      </c>
      <c r="K789">
        <f>IF(OR($E789="",$E789="نامعتبر"),"",IF(Sync!$V786="","",IFERROR(INDEX(SubCodes,MATCH(Sync!$V786,SubTitles,0)),Sync!$V786)))</f>
        <v/>
      </c>
      <c r="L789">
        <f>IF(OR($E789="",$E789="نامعتبر"),"",IF(Sync!$W786="",0,Sync!$W786))</f>
        <v/>
      </c>
      <c r="M789">
        <f>IF(OR($E789="",$E789="نامعتبر"),"",IF(Sync!$X786="",0,Sync!$X786))</f>
        <v/>
      </c>
      <c r="N789">
        <f>IF(OR($E789="",$E789="نامعتبر"),"",IF(AND($J789="هزینه",$K789&lt;&gt;""),1,0))</f>
        <v/>
      </c>
      <c r="O789">
        <f>IF($N789=0,"",LEFT($E789,4)&amp;MID($E789,6,2)&amp;RIGHT($E789,2)&amp;$F789&amp;"|"&amp;"1"&amp;RIGHT("00000"&amp;781,5))</f>
        <v/>
      </c>
      <c r="P789">
        <f>IF($O789="","",COUNTIFS(ExpSub,$K789,ExpKey,"&lt;"&amp;$O789)+1)</f>
        <v/>
      </c>
      <c r="Q789">
        <f>IF($P789="","",$K789&amp;"|"&amp;RIGHT("000000"&amp;$P789,6))</f>
        <v/>
      </c>
    </row>
    <row r="790">
      <c r="A790">
        <f>IF(Sync!$P787="","",Sync!$P787)</f>
        <v/>
      </c>
      <c r="B790">
        <f>IF($A790="","",IF(ISNUMBER($A790),IF(AND($A790&gt;=10000101,$A790&lt;=99991231),INT($A790/10000),""),IFERROR(VALUE(TRIM(LEFT($A790,FIND("/",$A790)-1))),"")))</f>
        <v/>
      </c>
      <c r="C790">
        <f>IF(OR($A790="",$B790=""),"",IF(ISNUMBER($A790),INT(MOD($A790,10000)/100),IFERROR(VALUE(TRIM(LEFT(MID($A790,FIND("/",$A790)+1,20),FIND("/",MID($A790,FIND("/",$A790)+1,20))-1))),"")))</f>
        <v/>
      </c>
      <c r="D790">
        <f>IF(OR($A790="",$B790=""),"",IF(ISNUMBER($A790),MOD($A790,100),IFERROR(VALUE(TRIM(MID(MID($A790,FIND("/",$A790)+1,20),FIND("/",MID($A790,FIND("/",$A790)+1,20))+1,20))),"")))</f>
        <v/>
      </c>
      <c r="E790">
        <f>IF($A790="","",IF(OR($B790="",$C790="",$D790="",$B790&lt;1300,$B790&gt;1500,$C790&lt;1,$C790&gt;12,$D790&lt;1,$D790&gt;31),"نامعتبر",RIGHT("0000"&amp;$B790,4)&amp;"/"&amp;RIGHT("00"&amp;$C790,2)&amp;"/"&amp;RIGHT("00"&amp;$D790,2)))</f>
        <v/>
      </c>
      <c r="F790">
        <f>IF(OR($E790="",$E790="نامعتبر"),"",IF(Sync!$Q787="","0000",IF(AND(ISNUMBER(Sync!$Q787),Sync!$Q787&gt;=0,Sync!$Q787&lt;1),RIGHT("00"&amp;HOUR(Sync!$Q787),2)&amp;RIGHT("00"&amp;MINUTE(Sync!$Q787),2),IFERROR(RIGHT("00"&amp;VALUE(LEFT(Sync!$Q787,FIND(":",Sync!$Q787)-1)),2)&amp;RIGHT("00"&amp;VALUE(MID(Sync!$Q787,FIND(":",Sync!$Q787)+1,2)),2),"0000"))))</f>
        <v/>
      </c>
      <c r="G790">
        <f>IF(OR($E790="",$E790="نامعتبر"),"",IF(Sync!$S787="","",Sync!$S787))</f>
        <v/>
      </c>
      <c r="H790">
        <f>IF(OR($E790="",$E790="نامعتبر"),"",IF(Sync!$R787="","",Sync!$R787))</f>
        <v/>
      </c>
      <c r="I790">
        <f>IF(OR($E790="",$E790="نامعتبر"),"",IF(Sync!$T787="","",Sync!$T787))</f>
        <v/>
      </c>
      <c r="J790">
        <f>IF(OR($E790="",$E790="نامعتبر"),"",IF(Sync!$U787="","",Sync!$U787))</f>
        <v/>
      </c>
      <c r="K790">
        <f>IF(OR($E790="",$E790="نامعتبر"),"",IF(Sync!$V787="","",IFERROR(INDEX(SubCodes,MATCH(Sync!$V787,SubTitles,0)),Sync!$V787)))</f>
        <v/>
      </c>
      <c r="L790">
        <f>IF(OR($E790="",$E790="نامعتبر"),"",IF(Sync!$W787="",0,Sync!$W787))</f>
        <v/>
      </c>
      <c r="M790">
        <f>IF(OR($E790="",$E790="نامعتبر"),"",IF(Sync!$X787="",0,Sync!$X787))</f>
        <v/>
      </c>
      <c r="N790">
        <f>IF(OR($E790="",$E790="نامعتبر"),"",IF(AND($J790="هزینه",$K790&lt;&gt;""),1,0))</f>
        <v/>
      </c>
      <c r="O790">
        <f>IF($N790=0,"",LEFT($E790,4)&amp;MID($E790,6,2)&amp;RIGHT($E790,2)&amp;$F790&amp;"|"&amp;"1"&amp;RIGHT("00000"&amp;782,5))</f>
        <v/>
      </c>
      <c r="P790">
        <f>IF($O790="","",COUNTIFS(ExpSub,$K790,ExpKey,"&lt;"&amp;$O790)+1)</f>
        <v/>
      </c>
      <c r="Q790">
        <f>IF($P790="","",$K790&amp;"|"&amp;RIGHT("000000"&amp;$P790,6))</f>
        <v/>
      </c>
    </row>
    <row r="791">
      <c r="A791">
        <f>IF(Sync!$P788="","",Sync!$P788)</f>
        <v/>
      </c>
      <c r="B791">
        <f>IF($A791="","",IF(ISNUMBER($A791),IF(AND($A791&gt;=10000101,$A791&lt;=99991231),INT($A791/10000),""),IFERROR(VALUE(TRIM(LEFT($A791,FIND("/",$A791)-1))),"")))</f>
        <v/>
      </c>
      <c r="C791">
        <f>IF(OR($A791="",$B791=""),"",IF(ISNUMBER($A791),INT(MOD($A791,10000)/100),IFERROR(VALUE(TRIM(LEFT(MID($A791,FIND("/",$A791)+1,20),FIND("/",MID($A791,FIND("/",$A791)+1,20))-1))),"")))</f>
        <v/>
      </c>
      <c r="D791">
        <f>IF(OR($A791="",$B791=""),"",IF(ISNUMBER($A791),MOD($A791,100),IFERROR(VALUE(TRIM(MID(MID($A791,FIND("/",$A791)+1,20),FIND("/",MID($A791,FIND("/",$A791)+1,20))+1,20))),"")))</f>
        <v/>
      </c>
      <c r="E791">
        <f>IF($A791="","",IF(OR($B791="",$C791="",$D791="",$B791&lt;1300,$B791&gt;1500,$C791&lt;1,$C791&gt;12,$D791&lt;1,$D791&gt;31),"نامعتبر",RIGHT("0000"&amp;$B791,4)&amp;"/"&amp;RIGHT("00"&amp;$C791,2)&amp;"/"&amp;RIGHT("00"&amp;$D791,2)))</f>
        <v/>
      </c>
      <c r="F791">
        <f>IF(OR($E791="",$E791="نامعتبر"),"",IF(Sync!$Q788="","0000",IF(AND(ISNUMBER(Sync!$Q788),Sync!$Q788&gt;=0,Sync!$Q788&lt;1),RIGHT("00"&amp;HOUR(Sync!$Q788),2)&amp;RIGHT("00"&amp;MINUTE(Sync!$Q788),2),IFERROR(RIGHT("00"&amp;VALUE(LEFT(Sync!$Q788,FIND(":",Sync!$Q788)-1)),2)&amp;RIGHT("00"&amp;VALUE(MID(Sync!$Q788,FIND(":",Sync!$Q788)+1,2)),2),"0000"))))</f>
        <v/>
      </c>
      <c r="G791">
        <f>IF(OR($E791="",$E791="نامعتبر"),"",IF(Sync!$S788="","",Sync!$S788))</f>
        <v/>
      </c>
      <c r="H791">
        <f>IF(OR($E791="",$E791="نامعتبر"),"",IF(Sync!$R788="","",Sync!$R788))</f>
        <v/>
      </c>
      <c r="I791">
        <f>IF(OR($E791="",$E791="نامعتبر"),"",IF(Sync!$T788="","",Sync!$T788))</f>
        <v/>
      </c>
      <c r="J791">
        <f>IF(OR($E791="",$E791="نامعتبر"),"",IF(Sync!$U788="","",Sync!$U788))</f>
        <v/>
      </c>
      <c r="K791">
        <f>IF(OR($E791="",$E791="نامعتبر"),"",IF(Sync!$V788="","",IFERROR(INDEX(SubCodes,MATCH(Sync!$V788,SubTitles,0)),Sync!$V788)))</f>
        <v/>
      </c>
      <c r="L791">
        <f>IF(OR($E791="",$E791="نامعتبر"),"",IF(Sync!$W788="",0,Sync!$W788))</f>
        <v/>
      </c>
      <c r="M791">
        <f>IF(OR($E791="",$E791="نامعتبر"),"",IF(Sync!$X788="",0,Sync!$X788))</f>
        <v/>
      </c>
      <c r="N791">
        <f>IF(OR($E791="",$E791="نامعتبر"),"",IF(AND($J791="هزینه",$K791&lt;&gt;""),1,0))</f>
        <v/>
      </c>
      <c r="O791">
        <f>IF($N791=0,"",LEFT($E791,4)&amp;MID($E791,6,2)&amp;RIGHT($E791,2)&amp;$F791&amp;"|"&amp;"1"&amp;RIGHT("00000"&amp;783,5))</f>
        <v/>
      </c>
      <c r="P791">
        <f>IF($O791="","",COUNTIFS(ExpSub,$K791,ExpKey,"&lt;"&amp;$O791)+1)</f>
        <v/>
      </c>
      <c r="Q791">
        <f>IF($P791="","",$K791&amp;"|"&amp;RIGHT("000000"&amp;$P791,6))</f>
        <v/>
      </c>
    </row>
    <row r="792">
      <c r="A792">
        <f>IF(Sync!$P789="","",Sync!$P789)</f>
        <v/>
      </c>
      <c r="B792">
        <f>IF($A792="","",IF(ISNUMBER($A792),IF(AND($A792&gt;=10000101,$A792&lt;=99991231),INT($A792/10000),""),IFERROR(VALUE(TRIM(LEFT($A792,FIND("/",$A792)-1))),"")))</f>
        <v/>
      </c>
      <c r="C792">
        <f>IF(OR($A792="",$B792=""),"",IF(ISNUMBER($A792),INT(MOD($A792,10000)/100),IFERROR(VALUE(TRIM(LEFT(MID($A792,FIND("/",$A792)+1,20),FIND("/",MID($A792,FIND("/",$A792)+1,20))-1))),"")))</f>
        <v/>
      </c>
      <c r="D792">
        <f>IF(OR($A792="",$B792=""),"",IF(ISNUMBER($A792),MOD($A792,100),IFERROR(VALUE(TRIM(MID(MID($A792,FIND("/",$A792)+1,20),FIND("/",MID($A792,FIND("/",$A792)+1,20))+1,20))),"")))</f>
        <v/>
      </c>
      <c r="E792">
        <f>IF($A792="","",IF(OR($B792="",$C792="",$D792="",$B792&lt;1300,$B792&gt;1500,$C792&lt;1,$C792&gt;12,$D792&lt;1,$D792&gt;31),"نامعتبر",RIGHT("0000"&amp;$B792,4)&amp;"/"&amp;RIGHT("00"&amp;$C792,2)&amp;"/"&amp;RIGHT("00"&amp;$D792,2)))</f>
        <v/>
      </c>
      <c r="F792">
        <f>IF(OR($E792="",$E792="نامعتبر"),"",IF(Sync!$Q789="","0000",IF(AND(ISNUMBER(Sync!$Q789),Sync!$Q789&gt;=0,Sync!$Q789&lt;1),RIGHT("00"&amp;HOUR(Sync!$Q789),2)&amp;RIGHT("00"&amp;MINUTE(Sync!$Q789),2),IFERROR(RIGHT("00"&amp;VALUE(LEFT(Sync!$Q789,FIND(":",Sync!$Q789)-1)),2)&amp;RIGHT("00"&amp;VALUE(MID(Sync!$Q789,FIND(":",Sync!$Q789)+1,2)),2),"0000"))))</f>
        <v/>
      </c>
      <c r="G792">
        <f>IF(OR($E792="",$E792="نامعتبر"),"",IF(Sync!$S789="","",Sync!$S789))</f>
        <v/>
      </c>
      <c r="H792">
        <f>IF(OR($E792="",$E792="نامعتبر"),"",IF(Sync!$R789="","",Sync!$R789))</f>
        <v/>
      </c>
      <c r="I792">
        <f>IF(OR($E792="",$E792="نامعتبر"),"",IF(Sync!$T789="","",Sync!$T789))</f>
        <v/>
      </c>
      <c r="J792">
        <f>IF(OR($E792="",$E792="نامعتبر"),"",IF(Sync!$U789="","",Sync!$U789))</f>
        <v/>
      </c>
      <c r="K792">
        <f>IF(OR($E792="",$E792="نامعتبر"),"",IF(Sync!$V789="","",IFERROR(INDEX(SubCodes,MATCH(Sync!$V789,SubTitles,0)),Sync!$V789)))</f>
        <v/>
      </c>
      <c r="L792">
        <f>IF(OR($E792="",$E792="نامعتبر"),"",IF(Sync!$W789="",0,Sync!$W789))</f>
        <v/>
      </c>
      <c r="M792">
        <f>IF(OR($E792="",$E792="نامعتبر"),"",IF(Sync!$X789="",0,Sync!$X789))</f>
        <v/>
      </c>
      <c r="N792">
        <f>IF(OR($E792="",$E792="نامعتبر"),"",IF(AND($J792="هزینه",$K792&lt;&gt;""),1,0))</f>
        <v/>
      </c>
      <c r="O792">
        <f>IF($N792=0,"",LEFT($E792,4)&amp;MID($E792,6,2)&amp;RIGHT($E792,2)&amp;$F792&amp;"|"&amp;"1"&amp;RIGHT("00000"&amp;784,5))</f>
        <v/>
      </c>
      <c r="P792">
        <f>IF($O792="","",COUNTIFS(ExpSub,$K792,ExpKey,"&lt;"&amp;$O792)+1)</f>
        <v/>
      </c>
      <c r="Q792">
        <f>IF($P792="","",$K792&amp;"|"&amp;RIGHT("000000"&amp;$P792,6))</f>
        <v/>
      </c>
    </row>
    <row r="793">
      <c r="A793">
        <f>IF(Sync!$P790="","",Sync!$P790)</f>
        <v/>
      </c>
      <c r="B793">
        <f>IF($A793="","",IF(ISNUMBER($A793),IF(AND($A793&gt;=10000101,$A793&lt;=99991231),INT($A793/10000),""),IFERROR(VALUE(TRIM(LEFT($A793,FIND("/",$A793)-1))),"")))</f>
        <v/>
      </c>
      <c r="C793">
        <f>IF(OR($A793="",$B793=""),"",IF(ISNUMBER($A793),INT(MOD($A793,10000)/100),IFERROR(VALUE(TRIM(LEFT(MID($A793,FIND("/",$A793)+1,20),FIND("/",MID($A793,FIND("/",$A793)+1,20))-1))),"")))</f>
        <v/>
      </c>
      <c r="D793">
        <f>IF(OR($A793="",$B793=""),"",IF(ISNUMBER($A793),MOD($A793,100),IFERROR(VALUE(TRIM(MID(MID($A793,FIND("/",$A793)+1,20),FIND("/",MID($A793,FIND("/",$A793)+1,20))+1,20))),"")))</f>
        <v/>
      </c>
      <c r="E793">
        <f>IF($A793="","",IF(OR($B793="",$C793="",$D793="",$B793&lt;1300,$B793&gt;1500,$C793&lt;1,$C793&gt;12,$D793&lt;1,$D793&gt;31),"نامعتبر",RIGHT("0000"&amp;$B793,4)&amp;"/"&amp;RIGHT("00"&amp;$C793,2)&amp;"/"&amp;RIGHT("00"&amp;$D793,2)))</f>
        <v/>
      </c>
      <c r="F793">
        <f>IF(OR($E793="",$E793="نامعتبر"),"",IF(Sync!$Q790="","0000",IF(AND(ISNUMBER(Sync!$Q790),Sync!$Q790&gt;=0,Sync!$Q790&lt;1),RIGHT("00"&amp;HOUR(Sync!$Q790),2)&amp;RIGHT("00"&amp;MINUTE(Sync!$Q790),2),IFERROR(RIGHT("00"&amp;VALUE(LEFT(Sync!$Q790,FIND(":",Sync!$Q790)-1)),2)&amp;RIGHT("00"&amp;VALUE(MID(Sync!$Q790,FIND(":",Sync!$Q790)+1,2)),2),"0000"))))</f>
        <v/>
      </c>
      <c r="G793">
        <f>IF(OR($E793="",$E793="نامعتبر"),"",IF(Sync!$S790="","",Sync!$S790))</f>
        <v/>
      </c>
      <c r="H793">
        <f>IF(OR($E793="",$E793="نامعتبر"),"",IF(Sync!$R790="","",Sync!$R790))</f>
        <v/>
      </c>
      <c r="I793">
        <f>IF(OR($E793="",$E793="نامعتبر"),"",IF(Sync!$T790="","",Sync!$T790))</f>
        <v/>
      </c>
      <c r="J793">
        <f>IF(OR($E793="",$E793="نامعتبر"),"",IF(Sync!$U790="","",Sync!$U790))</f>
        <v/>
      </c>
      <c r="K793">
        <f>IF(OR($E793="",$E793="نامعتبر"),"",IF(Sync!$V790="","",IFERROR(INDEX(SubCodes,MATCH(Sync!$V790,SubTitles,0)),Sync!$V790)))</f>
        <v/>
      </c>
      <c r="L793">
        <f>IF(OR($E793="",$E793="نامعتبر"),"",IF(Sync!$W790="",0,Sync!$W790))</f>
        <v/>
      </c>
      <c r="M793">
        <f>IF(OR($E793="",$E793="نامعتبر"),"",IF(Sync!$X790="",0,Sync!$X790))</f>
        <v/>
      </c>
      <c r="N793">
        <f>IF(OR($E793="",$E793="نامعتبر"),"",IF(AND($J793="هزینه",$K793&lt;&gt;""),1,0))</f>
        <v/>
      </c>
      <c r="O793">
        <f>IF($N793=0,"",LEFT($E793,4)&amp;MID($E793,6,2)&amp;RIGHT($E793,2)&amp;$F793&amp;"|"&amp;"1"&amp;RIGHT("00000"&amp;785,5))</f>
        <v/>
      </c>
      <c r="P793">
        <f>IF($O793="","",COUNTIFS(ExpSub,$K793,ExpKey,"&lt;"&amp;$O793)+1)</f>
        <v/>
      </c>
      <c r="Q793">
        <f>IF($P793="","",$K793&amp;"|"&amp;RIGHT("000000"&amp;$P793,6))</f>
        <v/>
      </c>
    </row>
    <row r="794">
      <c r="A794">
        <f>IF(Sync!$P791="","",Sync!$P791)</f>
        <v/>
      </c>
      <c r="B794">
        <f>IF($A794="","",IF(ISNUMBER($A794),IF(AND($A794&gt;=10000101,$A794&lt;=99991231),INT($A794/10000),""),IFERROR(VALUE(TRIM(LEFT($A794,FIND("/",$A794)-1))),"")))</f>
        <v/>
      </c>
      <c r="C794">
        <f>IF(OR($A794="",$B794=""),"",IF(ISNUMBER($A794),INT(MOD($A794,10000)/100),IFERROR(VALUE(TRIM(LEFT(MID($A794,FIND("/",$A794)+1,20),FIND("/",MID($A794,FIND("/",$A794)+1,20))-1))),"")))</f>
        <v/>
      </c>
      <c r="D794">
        <f>IF(OR($A794="",$B794=""),"",IF(ISNUMBER($A794),MOD($A794,100),IFERROR(VALUE(TRIM(MID(MID($A794,FIND("/",$A794)+1,20),FIND("/",MID($A794,FIND("/",$A794)+1,20))+1,20))),"")))</f>
        <v/>
      </c>
      <c r="E794">
        <f>IF($A794="","",IF(OR($B794="",$C794="",$D794="",$B794&lt;1300,$B794&gt;1500,$C794&lt;1,$C794&gt;12,$D794&lt;1,$D794&gt;31),"نامعتبر",RIGHT("0000"&amp;$B794,4)&amp;"/"&amp;RIGHT("00"&amp;$C794,2)&amp;"/"&amp;RIGHT("00"&amp;$D794,2)))</f>
        <v/>
      </c>
      <c r="F794">
        <f>IF(OR($E794="",$E794="نامعتبر"),"",IF(Sync!$Q791="","0000",IF(AND(ISNUMBER(Sync!$Q791),Sync!$Q791&gt;=0,Sync!$Q791&lt;1),RIGHT("00"&amp;HOUR(Sync!$Q791),2)&amp;RIGHT("00"&amp;MINUTE(Sync!$Q791),2),IFERROR(RIGHT("00"&amp;VALUE(LEFT(Sync!$Q791,FIND(":",Sync!$Q791)-1)),2)&amp;RIGHT("00"&amp;VALUE(MID(Sync!$Q791,FIND(":",Sync!$Q791)+1,2)),2),"0000"))))</f>
        <v/>
      </c>
      <c r="G794">
        <f>IF(OR($E794="",$E794="نامعتبر"),"",IF(Sync!$S791="","",Sync!$S791))</f>
        <v/>
      </c>
      <c r="H794">
        <f>IF(OR($E794="",$E794="نامعتبر"),"",IF(Sync!$R791="","",Sync!$R791))</f>
        <v/>
      </c>
      <c r="I794">
        <f>IF(OR($E794="",$E794="نامعتبر"),"",IF(Sync!$T791="","",Sync!$T791))</f>
        <v/>
      </c>
      <c r="J794">
        <f>IF(OR($E794="",$E794="نامعتبر"),"",IF(Sync!$U791="","",Sync!$U791))</f>
        <v/>
      </c>
      <c r="K794">
        <f>IF(OR($E794="",$E794="نامعتبر"),"",IF(Sync!$V791="","",IFERROR(INDEX(SubCodes,MATCH(Sync!$V791,SubTitles,0)),Sync!$V791)))</f>
        <v/>
      </c>
      <c r="L794">
        <f>IF(OR($E794="",$E794="نامعتبر"),"",IF(Sync!$W791="",0,Sync!$W791))</f>
        <v/>
      </c>
      <c r="M794">
        <f>IF(OR($E794="",$E794="نامعتبر"),"",IF(Sync!$X791="",0,Sync!$X791))</f>
        <v/>
      </c>
      <c r="N794">
        <f>IF(OR($E794="",$E794="نامعتبر"),"",IF(AND($J794="هزینه",$K794&lt;&gt;""),1,0))</f>
        <v/>
      </c>
      <c r="O794">
        <f>IF($N794=0,"",LEFT($E794,4)&amp;MID($E794,6,2)&amp;RIGHT($E794,2)&amp;$F794&amp;"|"&amp;"1"&amp;RIGHT("00000"&amp;786,5))</f>
        <v/>
      </c>
      <c r="P794">
        <f>IF($O794="","",COUNTIFS(ExpSub,$K794,ExpKey,"&lt;"&amp;$O794)+1)</f>
        <v/>
      </c>
      <c r="Q794">
        <f>IF($P794="","",$K794&amp;"|"&amp;RIGHT("000000"&amp;$P794,6))</f>
        <v/>
      </c>
    </row>
    <row r="795">
      <c r="A795">
        <f>IF(Sync!$P792="","",Sync!$P792)</f>
        <v/>
      </c>
      <c r="B795">
        <f>IF($A795="","",IF(ISNUMBER($A795),IF(AND($A795&gt;=10000101,$A795&lt;=99991231),INT($A795/10000),""),IFERROR(VALUE(TRIM(LEFT($A795,FIND("/",$A795)-1))),"")))</f>
        <v/>
      </c>
      <c r="C795">
        <f>IF(OR($A795="",$B795=""),"",IF(ISNUMBER($A795),INT(MOD($A795,10000)/100),IFERROR(VALUE(TRIM(LEFT(MID($A795,FIND("/",$A795)+1,20),FIND("/",MID($A795,FIND("/",$A795)+1,20))-1))),"")))</f>
        <v/>
      </c>
      <c r="D795">
        <f>IF(OR($A795="",$B795=""),"",IF(ISNUMBER($A795),MOD($A795,100),IFERROR(VALUE(TRIM(MID(MID($A795,FIND("/",$A795)+1,20),FIND("/",MID($A795,FIND("/",$A795)+1,20))+1,20))),"")))</f>
        <v/>
      </c>
      <c r="E795">
        <f>IF($A795="","",IF(OR($B795="",$C795="",$D795="",$B795&lt;1300,$B795&gt;1500,$C795&lt;1,$C795&gt;12,$D795&lt;1,$D795&gt;31),"نامعتبر",RIGHT("0000"&amp;$B795,4)&amp;"/"&amp;RIGHT("00"&amp;$C795,2)&amp;"/"&amp;RIGHT("00"&amp;$D795,2)))</f>
        <v/>
      </c>
      <c r="F795">
        <f>IF(OR($E795="",$E795="نامعتبر"),"",IF(Sync!$Q792="","0000",IF(AND(ISNUMBER(Sync!$Q792),Sync!$Q792&gt;=0,Sync!$Q792&lt;1),RIGHT("00"&amp;HOUR(Sync!$Q792),2)&amp;RIGHT("00"&amp;MINUTE(Sync!$Q792),2),IFERROR(RIGHT("00"&amp;VALUE(LEFT(Sync!$Q792,FIND(":",Sync!$Q792)-1)),2)&amp;RIGHT("00"&amp;VALUE(MID(Sync!$Q792,FIND(":",Sync!$Q792)+1,2)),2),"0000"))))</f>
        <v/>
      </c>
      <c r="G795">
        <f>IF(OR($E795="",$E795="نامعتبر"),"",IF(Sync!$S792="","",Sync!$S792))</f>
        <v/>
      </c>
      <c r="H795">
        <f>IF(OR($E795="",$E795="نامعتبر"),"",IF(Sync!$R792="","",Sync!$R792))</f>
        <v/>
      </c>
      <c r="I795">
        <f>IF(OR($E795="",$E795="نامعتبر"),"",IF(Sync!$T792="","",Sync!$T792))</f>
        <v/>
      </c>
      <c r="J795">
        <f>IF(OR($E795="",$E795="نامعتبر"),"",IF(Sync!$U792="","",Sync!$U792))</f>
        <v/>
      </c>
      <c r="K795">
        <f>IF(OR($E795="",$E795="نامعتبر"),"",IF(Sync!$V792="","",IFERROR(INDEX(SubCodes,MATCH(Sync!$V792,SubTitles,0)),Sync!$V792)))</f>
        <v/>
      </c>
      <c r="L795">
        <f>IF(OR($E795="",$E795="نامعتبر"),"",IF(Sync!$W792="",0,Sync!$W792))</f>
        <v/>
      </c>
      <c r="M795">
        <f>IF(OR($E795="",$E795="نامعتبر"),"",IF(Sync!$X792="",0,Sync!$X792))</f>
        <v/>
      </c>
      <c r="N795">
        <f>IF(OR($E795="",$E795="نامعتبر"),"",IF(AND($J795="هزینه",$K795&lt;&gt;""),1,0))</f>
        <v/>
      </c>
      <c r="O795">
        <f>IF($N795=0,"",LEFT($E795,4)&amp;MID($E795,6,2)&amp;RIGHT($E795,2)&amp;$F795&amp;"|"&amp;"1"&amp;RIGHT("00000"&amp;787,5))</f>
        <v/>
      </c>
      <c r="P795">
        <f>IF($O795="","",COUNTIFS(ExpSub,$K795,ExpKey,"&lt;"&amp;$O795)+1)</f>
        <v/>
      </c>
      <c r="Q795">
        <f>IF($P795="","",$K795&amp;"|"&amp;RIGHT("000000"&amp;$P795,6))</f>
        <v/>
      </c>
    </row>
    <row r="796">
      <c r="A796">
        <f>IF(Sync!$P793="","",Sync!$P793)</f>
        <v/>
      </c>
      <c r="B796">
        <f>IF($A796="","",IF(ISNUMBER($A796),IF(AND($A796&gt;=10000101,$A796&lt;=99991231),INT($A796/10000),""),IFERROR(VALUE(TRIM(LEFT($A796,FIND("/",$A796)-1))),"")))</f>
        <v/>
      </c>
      <c r="C796">
        <f>IF(OR($A796="",$B796=""),"",IF(ISNUMBER($A796),INT(MOD($A796,10000)/100),IFERROR(VALUE(TRIM(LEFT(MID($A796,FIND("/",$A796)+1,20),FIND("/",MID($A796,FIND("/",$A796)+1,20))-1))),"")))</f>
        <v/>
      </c>
      <c r="D796">
        <f>IF(OR($A796="",$B796=""),"",IF(ISNUMBER($A796),MOD($A796,100),IFERROR(VALUE(TRIM(MID(MID($A796,FIND("/",$A796)+1,20),FIND("/",MID($A796,FIND("/",$A796)+1,20))+1,20))),"")))</f>
        <v/>
      </c>
      <c r="E796">
        <f>IF($A796="","",IF(OR($B796="",$C796="",$D796="",$B796&lt;1300,$B796&gt;1500,$C796&lt;1,$C796&gt;12,$D796&lt;1,$D796&gt;31),"نامعتبر",RIGHT("0000"&amp;$B796,4)&amp;"/"&amp;RIGHT("00"&amp;$C796,2)&amp;"/"&amp;RIGHT("00"&amp;$D796,2)))</f>
        <v/>
      </c>
      <c r="F796">
        <f>IF(OR($E796="",$E796="نامعتبر"),"",IF(Sync!$Q793="","0000",IF(AND(ISNUMBER(Sync!$Q793),Sync!$Q793&gt;=0,Sync!$Q793&lt;1),RIGHT("00"&amp;HOUR(Sync!$Q793),2)&amp;RIGHT("00"&amp;MINUTE(Sync!$Q793),2),IFERROR(RIGHT("00"&amp;VALUE(LEFT(Sync!$Q793,FIND(":",Sync!$Q793)-1)),2)&amp;RIGHT("00"&amp;VALUE(MID(Sync!$Q793,FIND(":",Sync!$Q793)+1,2)),2),"0000"))))</f>
        <v/>
      </c>
      <c r="G796">
        <f>IF(OR($E796="",$E796="نامعتبر"),"",IF(Sync!$S793="","",Sync!$S793))</f>
        <v/>
      </c>
      <c r="H796">
        <f>IF(OR($E796="",$E796="نامعتبر"),"",IF(Sync!$R793="","",Sync!$R793))</f>
        <v/>
      </c>
      <c r="I796">
        <f>IF(OR($E796="",$E796="نامعتبر"),"",IF(Sync!$T793="","",Sync!$T793))</f>
        <v/>
      </c>
      <c r="J796">
        <f>IF(OR($E796="",$E796="نامعتبر"),"",IF(Sync!$U793="","",Sync!$U793))</f>
        <v/>
      </c>
      <c r="K796">
        <f>IF(OR($E796="",$E796="نامعتبر"),"",IF(Sync!$V793="","",IFERROR(INDEX(SubCodes,MATCH(Sync!$V793,SubTitles,0)),Sync!$V793)))</f>
        <v/>
      </c>
      <c r="L796">
        <f>IF(OR($E796="",$E796="نامعتبر"),"",IF(Sync!$W793="",0,Sync!$W793))</f>
        <v/>
      </c>
      <c r="M796">
        <f>IF(OR($E796="",$E796="نامعتبر"),"",IF(Sync!$X793="",0,Sync!$X793))</f>
        <v/>
      </c>
      <c r="N796">
        <f>IF(OR($E796="",$E796="نامعتبر"),"",IF(AND($J796="هزینه",$K796&lt;&gt;""),1,0))</f>
        <v/>
      </c>
      <c r="O796">
        <f>IF($N796=0,"",LEFT($E796,4)&amp;MID($E796,6,2)&amp;RIGHT($E796,2)&amp;$F796&amp;"|"&amp;"1"&amp;RIGHT("00000"&amp;788,5))</f>
        <v/>
      </c>
      <c r="P796">
        <f>IF($O796="","",COUNTIFS(ExpSub,$K796,ExpKey,"&lt;"&amp;$O796)+1)</f>
        <v/>
      </c>
      <c r="Q796">
        <f>IF($P796="","",$K796&amp;"|"&amp;RIGHT("000000"&amp;$P796,6))</f>
        <v/>
      </c>
    </row>
    <row r="797">
      <c r="A797">
        <f>IF(Sync!$P794="","",Sync!$P794)</f>
        <v/>
      </c>
      <c r="B797">
        <f>IF($A797="","",IF(ISNUMBER($A797),IF(AND($A797&gt;=10000101,$A797&lt;=99991231),INT($A797/10000),""),IFERROR(VALUE(TRIM(LEFT($A797,FIND("/",$A797)-1))),"")))</f>
        <v/>
      </c>
      <c r="C797">
        <f>IF(OR($A797="",$B797=""),"",IF(ISNUMBER($A797),INT(MOD($A797,10000)/100),IFERROR(VALUE(TRIM(LEFT(MID($A797,FIND("/",$A797)+1,20),FIND("/",MID($A797,FIND("/",$A797)+1,20))-1))),"")))</f>
        <v/>
      </c>
      <c r="D797">
        <f>IF(OR($A797="",$B797=""),"",IF(ISNUMBER($A797),MOD($A797,100),IFERROR(VALUE(TRIM(MID(MID($A797,FIND("/",$A797)+1,20),FIND("/",MID($A797,FIND("/",$A797)+1,20))+1,20))),"")))</f>
        <v/>
      </c>
      <c r="E797">
        <f>IF($A797="","",IF(OR($B797="",$C797="",$D797="",$B797&lt;1300,$B797&gt;1500,$C797&lt;1,$C797&gt;12,$D797&lt;1,$D797&gt;31),"نامعتبر",RIGHT("0000"&amp;$B797,4)&amp;"/"&amp;RIGHT("00"&amp;$C797,2)&amp;"/"&amp;RIGHT("00"&amp;$D797,2)))</f>
        <v/>
      </c>
      <c r="F797">
        <f>IF(OR($E797="",$E797="نامعتبر"),"",IF(Sync!$Q794="","0000",IF(AND(ISNUMBER(Sync!$Q794),Sync!$Q794&gt;=0,Sync!$Q794&lt;1),RIGHT("00"&amp;HOUR(Sync!$Q794),2)&amp;RIGHT("00"&amp;MINUTE(Sync!$Q794),2),IFERROR(RIGHT("00"&amp;VALUE(LEFT(Sync!$Q794,FIND(":",Sync!$Q794)-1)),2)&amp;RIGHT("00"&amp;VALUE(MID(Sync!$Q794,FIND(":",Sync!$Q794)+1,2)),2),"0000"))))</f>
        <v/>
      </c>
      <c r="G797">
        <f>IF(OR($E797="",$E797="نامعتبر"),"",IF(Sync!$S794="","",Sync!$S794))</f>
        <v/>
      </c>
      <c r="H797">
        <f>IF(OR($E797="",$E797="نامعتبر"),"",IF(Sync!$R794="","",Sync!$R794))</f>
        <v/>
      </c>
      <c r="I797">
        <f>IF(OR($E797="",$E797="نامعتبر"),"",IF(Sync!$T794="","",Sync!$T794))</f>
        <v/>
      </c>
      <c r="J797">
        <f>IF(OR($E797="",$E797="نامعتبر"),"",IF(Sync!$U794="","",Sync!$U794))</f>
        <v/>
      </c>
      <c r="K797">
        <f>IF(OR($E797="",$E797="نامعتبر"),"",IF(Sync!$V794="","",IFERROR(INDEX(SubCodes,MATCH(Sync!$V794,SubTitles,0)),Sync!$V794)))</f>
        <v/>
      </c>
      <c r="L797">
        <f>IF(OR($E797="",$E797="نامعتبر"),"",IF(Sync!$W794="",0,Sync!$W794))</f>
        <v/>
      </c>
      <c r="M797">
        <f>IF(OR($E797="",$E797="نامعتبر"),"",IF(Sync!$X794="",0,Sync!$X794))</f>
        <v/>
      </c>
      <c r="N797">
        <f>IF(OR($E797="",$E797="نامعتبر"),"",IF(AND($J797="هزینه",$K797&lt;&gt;""),1,0))</f>
        <v/>
      </c>
      <c r="O797">
        <f>IF($N797=0,"",LEFT($E797,4)&amp;MID($E797,6,2)&amp;RIGHT($E797,2)&amp;$F797&amp;"|"&amp;"1"&amp;RIGHT("00000"&amp;789,5))</f>
        <v/>
      </c>
      <c r="P797">
        <f>IF($O797="","",COUNTIFS(ExpSub,$K797,ExpKey,"&lt;"&amp;$O797)+1)</f>
        <v/>
      </c>
      <c r="Q797">
        <f>IF($P797="","",$K797&amp;"|"&amp;RIGHT("000000"&amp;$P797,6))</f>
        <v/>
      </c>
    </row>
    <row r="798">
      <c r="A798">
        <f>IF(Sync!$P795="","",Sync!$P795)</f>
        <v/>
      </c>
      <c r="B798">
        <f>IF($A798="","",IF(ISNUMBER($A798),IF(AND($A798&gt;=10000101,$A798&lt;=99991231),INT($A798/10000),""),IFERROR(VALUE(TRIM(LEFT($A798,FIND("/",$A798)-1))),"")))</f>
        <v/>
      </c>
      <c r="C798">
        <f>IF(OR($A798="",$B798=""),"",IF(ISNUMBER($A798),INT(MOD($A798,10000)/100),IFERROR(VALUE(TRIM(LEFT(MID($A798,FIND("/",$A798)+1,20),FIND("/",MID($A798,FIND("/",$A798)+1,20))-1))),"")))</f>
        <v/>
      </c>
      <c r="D798">
        <f>IF(OR($A798="",$B798=""),"",IF(ISNUMBER($A798),MOD($A798,100),IFERROR(VALUE(TRIM(MID(MID($A798,FIND("/",$A798)+1,20),FIND("/",MID($A798,FIND("/",$A798)+1,20))+1,20))),"")))</f>
        <v/>
      </c>
      <c r="E798">
        <f>IF($A798="","",IF(OR($B798="",$C798="",$D798="",$B798&lt;1300,$B798&gt;1500,$C798&lt;1,$C798&gt;12,$D798&lt;1,$D798&gt;31),"نامعتبر",RIGHT("0000"&amp;$B798,4)&amp;"/"&amp;RIGHT("00"&amp;$C798,2)&amp;"/"&amp;RIGHT("00"&amp;$D798,2)))</f>
        <v/>
      </c>
      <c r="F798">
        <f>IF(OR($E798="",$E798="نامعتبر"),"",IF(Sync!$Q795="","0000",IF(AND(ISNUMBER(Sync!$Q795),Sync!$Q795&gt;=0,Sync!$Q795&lt;1),RIGHT("00"&amp;HOUR(Sync!$Q795),2)&amp;RIGHT("00"&amp;MINUTE(Sync!$Q795),2),IFERROR(RIGHT("00"&amp;VALUE(LEFT(Sync!$Q795,FIND(":",Sync!$Q795)-1)),2)&amp;RIGHT("00"&amp;VALUE(MID(Sync!$Q795,FIND(":",Sync!$Q795)+1,2)),2),"0000"))))</f>
        <v/>
      </c>
      <c r="G798">
        <f>IF(OR($E798="",$E798="نامعتبر"),"",IF(Sync!$S795="","",Sync!$S795))</f>
        <v/>
      </c>
      <c r="H798">
        <f>IF(OR($E798="",$E798="نامعتبر"),"",IF(Sync!$R795="","",Sync!$R795))</f>
        <v/>
      </c>
      <c r="I798">
        <f>IF(OR($E798="",$E798="نامعتبر"),"",IF(Sync!$T795="","",Sync!$T795))</f>
        <v/>
      </c>
      <c r="J798">
        <f>IF(OR($E798="",$E798="نامعتبر"),"",IF(Sync!$U795="","",Sync!$U795))</f>
        <v/>
      </c>
      <c r="K798">
        <f>IF(OR($E798="",$E798="نامعتبر"),"",IF(Sync!$V795="","",IFERROR(INDEX(SubCodes,MATCH(Sync!$V795,SubTitles,0)),Sync!$V795)))</f>
        <v/>
      </c>
      <c r="L798">
        <f>IF(OR($E798="",$E798="نامعتبر"),"",IF(Sync!$W795="",0,Sync!$W795))</f>
        <v/>
      </c>
      <c r="M798">
        <f>IF(OR($E798="",$E798="نامعتبر"),"",IF(Sync!$X795="",0,Sync!$X795))</f>
        <v/>
      </c>
      <c r="N798">
        <f>IF(OR($E798="",$E798="نامعتبر"),"",IF(AND($J798="هزینه",$K798&lt;&gt;""),1,0))</f>
        <v/>
      </c>
      <c r="O798">
        <f>IF($N798=0,"",LEFT($E798,4)&amp;MID($E798,6,2)&amp;RIGHT($E798,2)&amp;$F798&amp;"|"&amp;"1"&amp;RIGHT("00000"&amp;790,5))</f>
        <v/>
      </c>
      <c r="P798">
        <f>IF($O798="","",COUNTIFS(ExpSub,$K798,ExpKey,"&lt;"&amp;$O798)+1)</f>
        <v/>
      </c>
      <c r="Q798">
        <f>IF($P798="","",$K798&amp;"|"&amp;RIGHT("000000"&amp;$P798,6))</f>
        <v/>
      </c>
    </row>
    <row r="799">
      <c r="A799">
        <f>IF(Sync!$P796="","",Sync!$P796)</f>
        <v/>
      </c>
      <c r="B799">
        <f>IF($A799="","",IF(ISNUMBER($A799),IF(AND($A799&gt;=10000101,$A799&lt;=99991231),INT($A799/10000),""),IFERROR(VALUE(TRIM(LEFT($A799,FIND("/",$A799)-1))),"")))</f>
        <v/>
      </c>
      <c r="C799">
        <f>IF(OR($A799="",$B799=""),"",IF(ISNUMBER($A799),INT(MOD($A799,10000)/100),IFERROR(VALUE(TRIM(LEFT(MID($A799,FIND("/",$A799)+1,20),FIND("/",MID($A799,FIND("/",$A799)+1,20))-1))),"")))</f>
        <v/>
      </c>
      <c r="D799">
        <f>IF(OR($A799="",$B799=""),"",IF(ISNUMBER($A799),MOD($A799,100),IFERROR(VALUE(TRIM(MID(MID($A799,FIND("/",$A799)+1,20),FIND("/",MID($A799,FIND("/",$A799)+1,20))+1,20))),"")))</f>
        <v/>
      </c>
      <c r="E799">
        <f>IF($A799="","",IF(OR($B799="",$C799="",$D799="",$B799&lt;1300,$B799&gt;1500,$C799&lt;1,$C799&gt;12,$D799&lt;1,$D799&gt;31),"نامعتبر",RIGHT("0000"&amp;$B799,4)&amp;"/"&amp;RIGHT("00"&amp;$C799,2)&amp;"/"&amp;RIGHT("00"&amp;$D799,2)))</f>
        <v/>
      </c>
      <c r="F799">
        <f>IF(OR($E799="",$E799="نامعتبر"),"",IF(Sync!$Q796="","0000",IF(AND(ISNUMBER(Sync!$Q796),Sync!$Q796&gt;=0,Sync!$Q796&lt;1),RIGHT("00"&amp;HOUR(Sync!$Q796),2)&amp;RIGHT("00"&amp;MINUTE(Sync!$Q796),2),IFERROR(RIGHT("00"&amp;VALUE(LEFT(Sync!$Q796,FIND(":",Sync!$Q796)-1)),2)&amp;RIGHT("00"&amp;VALUE(MID(Sync!$Q796,FIND(":",Sync!$Q796)+1,2)),2),"0000"))))</f>
        <v/>
      </c>
      <c r="G799">
        <f>IF(OR($E799="",$E799="نامعتبر"),"",IF(Sync!$S796="","",Sync!$S796))</f>
        <v/>
      </c>
      <c r="H799">
        <f>IF(OR($E799="",$E799="نامعتبر"),"",IF(Sync!$R796="","",Sync!$R796))</f>
        <v/>
      </c>
      <c r="I799">
        <f>IF(OR($E799="",$E799="نامعتبر"),"",IF(Sync!$T796="","",Sync!$T796))</f>
        <v/>
      </c>
      <c r="J799">
        <f>IF(OR($E799="",$E799="نامعتبر"),"",IF(Sync!$U796="","",Sync!$U796))</f>
        <v/>
      </c>
      <c r="K799">
        <f>IF(OR($E799="",$E799="نامعتبر"),"",IF(Sync!$V796="","",IFERROR(INDEX(SubCodes,MATCH(Sync!$V796,SubTitles,0)),Sync!$V796)))</f>
        <v/>
      </c>
      <c r="L799">
        <f>IF(OR($E799="",$E799="نامعتبر"),"",IF(Sync!$W796="",0,Sync!$W796))</f>
        <v/>
      </c>
      <c r="M799">
        <f>IF(OR($E799="",$E799="نامعتبر"),"",IF(Sync!$X796="",0,Sync!$X796))</f>
        <v/>
      </c>
      <c r="N799">
        <f>IF(OR($E799="",$E799="نامعتبر"),"",IF(AND($J799="هزینه",$K799&lt;&gt;""),1,0))</f>
        <v/>
      </c>
      <c r="O799">
        <f>IF($N799=0,"",LEFT($E799,4)&amp;MID($E799,6,2)&amp;RIGHT($E799,2)&amp;$F799&amp;"|"&amp;"1"&amp;RIGHT("00000"&amp;791,5))</f>
        <v/>
      </c>
      <c r="P799">
        <f>IF($O799="","",COUNTIFS(ExpSub,$K799,ExpKey,"&lt;"&amp;$O799)+1)</f>
        <v/>
      </c>
      <c r="Q799">
        <f>IF($P799="","",$K799&amp;"|"&amp;RIGHT("000000"&amp;$P799,6))</f>
        <v/>
      </c>
    </row>
    <row r="800">
      <c r="A800">
        <f>IF(Sync!$P797="","",Sync!$P797)</f>
        <v/>
      </c>
      <c r="B800">
        <f>IF($A800="","",IF(ISNUMBER($A800),IF(AND($A800&gt;=10000101,$A800&lt;=99991231),INT($A800/10000),""),IFERROR(VALUE(TRIM(LEFT($A800,FIND("/",$A800)-1))),"")))</f>
        <v/>
      </c>
      <c r="C800">
        <f>IF(OR($A800="",$B800=""),"",IF(ISNUMBER($A800),INT(MOD($A800,10000)/100),IFERROR(VALUE(TRIM(LEFT(MID($A800,FIND("/",$A800)+1,20),FIND("/",MID($A800,FIND("/",$A800)+1,20))-1))),"")))</f>
        <v/>
      </c>
      <c r="D800">
        <f>IF(OR($A800="",$B800=""),"",IF(ISNUMBER($A800),MOD($A800,100),IFERROR(VALUE(TRIM(MID(MID($A800,FIND("/",$A800)+1,20),FIND("/",MID($A800,FIND("/",$A800)+1,20))+1,20))),"")))</f>
        <v/>
      </c>
      <c r="E800">
        <f>IF($A800="","",IF(OR($B800="",$C800="",$D800="",$B800&lt;1300,$B800&gt;1500,$C800&lt;1,$C800&gt;12,$D800&lt;1,$D800&gt;31),"نامعتبر",RIGHT("0000"&amp;$B800,4)&amp;"/"&amp;RIGHT("00"&amp;$C800,2)&amp;"/"&amp;RIGHT("00"&amp;$D800,2)))</f>
        <v/>
      </c>
      <c r="F800">
        <f>IF(OR($E800="",$E800="نامعتبر"),"",IF(Sync!$Q797="","0000",IF(AND(ISNUMBER(Sync!$Q797),Sync!$Q797&gt;=0,Sync!$Q797&lt;1),RIGHT("00"&amp;HOUR(Sync!$Q797),2)&amp;RIGHT("00"&amp;MINUTE(Sync!$Q797),2),IFERROR(RIGHT("00"&amp;VALUE(LEFT(Sync!$Q797,FIND(":",Sync!$Q797)-1)),2)&amp;RIGHT("00"&amp;VALUE(MID(Sync!$Q797,FIND(":",Sync!$Q797)+1,2)),2),"0000"))))</f>
        <v/>
      </c>
      <c r="G800">
        <f>IF(OR($E800="",$E800="نامعتبر"),"",IF(Sync!$S797="","",Sync!$S797))</f>
        <v/>
      </c>
      <c r="H800">
        <f>IF(OR($E800="",$E800="نامعتبر"),"",IF(Sync!$R797="","",Sync!$R797))</f>
        <v/>
      </c>
      <c r="I800">
        <f>IF(OR($E800="",$E800="نامعتبر"),"",IF(Sync!$T797="","",Sync!$T797))</f>
        <v/>
      </c>
      <c r="J800">
        <f>IF(OR($E800="",$E800="نامعتبر"),"",IF(Sync!$U797="","",Sync!$U797))</f>
        <v/>
      </c>
      <c r="K800">
        <f>IF(OR($E800="",$E800="نامعتبر"),"",IF(Sync!$V797="","",IFERROR(INDEX(SubCodes,MATCH(Sync!$V797,SubTitles,0)),Sync!$V797)))</f>
        <v/>
      </c>
      <c r="L800">
        <f>IF(OR($E800="",$E800="نامعتبر"),"",IF(Sync!$W797="",0,Sync!$W797))</f>
        <v/>
      </c>
      <c r="M800">
        <f>IF(OR($E800="",$E800="نامعتبر"),"",IF(Sync!$X797="",0,Sync!$X797))</f>
        <v/>
      </c>
      <c r="N800">
        <f>IF(OR($E800="",$E800="نامعتبر"),"",IF(AND($J800="هزینه",$K800&lt;&gt;""),1,0))</f>
        <v/>
      </c>
      <c r="O800">
        <f>IF($N800=0,"",LEFT($E800,4)&amp;MID($E800,6,2)&amp;RIGHT($E800,2)&amp;$F800&amp;"|"&amp;"1"&amp;RIGHT("00000"&amp;792,5))</f>
        <v/>
      </c>
      <c r="P800">
        <f>IF($O800="","",COUNTIFS(ExpSub,$K800,ExpKey,"&lt;"&amp;$O800)+1)</f>
        <v/>
      </c>
      <c r="Q800">
        <f>IF($P800="","",$K800&amp;"|"&amp;RIGHT("000000"&amp;$P800,6))</f>
        <v/>
      </c>
    </row>
    <row r="801">
      <c r="A801">
        <f>IF(Sync!$P798="","",Sync!$P798)</f>
        <v/>
      </c>
      <c r="B801">
        <f>IF($A801="","",IF(ISNUMBER($A801),IF(AND($A801&gt;=10000101,$A801&lt;=99991231),INT($A801/10000),""),IFERROR(VALUE(TRIM(LEFT($A801,FIND("/",$A801)-1))),"")))</f>
        <v/>
      </c>
      <c r="C801">
        <f>IF(OR($A801="",$B801=""),"",IF(ISNUMBER($A801),INT(MOD($A801,10000)/100),IFERROR(VALUE(TRIM(LEFT(MID($A801,FIND("/",$A801)+1,20),FIND("/",MID($A801,FIND("/",$A801)+1,20))-1))),"")))</f>
        <v/>
      </c>
      <c r="D801">
        <f>IF(OR($A801="",$B801=""),"",IF(ISNUMBER($A801),MOD($A801,100),IFERROR(VALUE(TRIM(MID(MID($A801,FIND("/",$A801)+1,20),FIND("/",MID($A801,FIND("/",$A801)+1,20))+1,20))),"")))</f>
        <v/>
      </c>
      <c r="E801">
        <f>IF($A801="","",IF(OR($B801="",$C801="",$D801="",$B801&lt;1300,$B801&gt;1500,$C801&lt;1,$C801&gt;12,$D801&lt;1,$D801&gt;31),"نامعتبر",RIGHT("0000"&amp;$B801,4)&amp;"/"&amp;RIGHT("00"&amp;$C801,2)&amp;"/"&amp;RIGHT("00"&amp;$D801,2)))</f>
        <v/>
      </c>
      <c r="F801">
        <f>IF(OR($E801="",$E801="نامعتبر"),"",IF(Sync!$Q798="","0000",IF(AND(ISNUMBER(Sync!$Q798),Sync!$Q798&gt;=0,Sync!$Q798&lt;1),RIGHT("00"&amp;HOUR(Sync!$Q798),2)&amp;RIGHT("00"&amp;MINUTE(Sync!$Q798),2),IFERROR(RIGHT("00"&amp;VALUE(LEFT(Sync!$Q798,FIND(":",Sync!$Q798)-1)),2)&amp;RIGHT("00"&amp;VALUE(MID(Sync!$Q798,FIND(":",Sync!$Q798)+1,2)),2),"0000"))))</f>
        <v/>
      </c>
      <c r="G801">
        <f>IF(OR($E801="",$E801="نامعتبر"),"",IF(Sync!$S798="","",Sync!$S798))</f>
        <v/>
      </c>
      <c r="H801">
        <f>IF(OR($E801="",$E801="نامعتبر"),"",IF(Sync!$R798="","",Sync!$R798))</f>
        <v/>
      </c>
      <c r="I801">
        <f>IF(OR($E801="",$E801="نامعتبر"),"",IF(Sync!$T798="","",Sync!$T798))</f>
        <v/>
      </c>
      <c r="J801">
        <f>IF(OR($E801="",$E801="نامعتبر"),"",IF(Sync!$U798="","",Sync!$U798))</f>
        <v/>
      </c>
      <c r="K801">
        <f>IF(OR($E801="",$E801="نامعتبر"),"",IF(Sync!$V798="","",IFERROR(INDEX(SubCodes,MATCH(Sync!$V798,SubTitles,0)),Sync!$V798)))</f>
        <v/>
      </c>
      <c r="L801">
        <f>IF(OR($E801="",$E801="نامعتبر"),"",IF(Sync!$W798="",0,Sync!$W798))</f>
        <v/>
      </c>
      <c r="M801">
        <f>IF(OR($E801="",$E801="نامعتبر"),"",IF(Sync!$X798="",0,Sync!$X798))</f>
        <v/>
      </c>
      <c r="N801">
        <f>IF(OR($E801="",$E801="نامعتبر"),"",IF(AND($J801="هزینه",$K801&lt;&gt;""),1,0))</f>
        <v/>
      </c>
      <c r="O801">
        <f>IF($N801=0,"",LEFT($E801,4)&amp;MID($E801,6,2)&amp;RIGHT($E801,2)&amp;$F801&amp;"|"&amp;"1"&amp;RIGHT("00000"&amp;793,5))</f>
        <v/>
      </c>
      <c r="P801">
        <f>IF($O801="","",COUNTIFS(ExpSub,$K801,ExpKey,"&lt;"&amp;$O801)+1)</f>
        <v/>
      </c>
      <c r="Q801">
        <f>IF($P801="","",$K801&amp;"|"&amp;RIGHT("000000"&amp;$P801,6))</f>
        <v/>
      </c>
    </row>
    <row r="802">
      <c r="A802">
        <f>IF(Sync!$P799="","",Sync!$P799)</f>
        <v/>
      </c>
      <c r="B802">
        <f>IF($A802="","",IF(ISNUMBER($A802),IF(AND($A802&gt;=10000101,$A802&lt;=99991231),INT($A802/10000),""),IFERROR(VALUE(TRIM(LEFT($A802,FIND("/",$A802)-1))),"")))</f>
        <v/>
      </c>
      <c r="C802">
        <f>IF(OR($A802="",$B802=""),"",IF(ISNUMBER($A802),INT(MOD($A802,10000)/100),IFERROR(VALUE(TRIM(LEFT(MID($A802,FIND("/",$A802)+1,20),FIND("/",MID($A802,FIND("/",$A802)+1,20))-1))),"")))</f>
        <v/>
      </c>
      <c r="D802">
        <f>IF(OR($A802="",$B802=""),"",IF(ISNUMBER($A802),MOD($A802,100),IFERROR(VALUE(TRIM(MID(MID($A802,FIND("/",$A802)+1,20),FIND("/",MID($A802,FIND("/",$A802)+1,20))+1,20))),"")))</f>
        <v/>
      </c>
      <c r="E802">
        <f>IF($A802="","",IF(OR($B802="",$C802="",$D802="",$B802&lt;1300,$B802&gt;1500,$C802&lt;1,$C802&gt;12,$D802&lt;1,$D802&gt;31),"نامعتبر",RIGHT("0000"&amp;$B802,4)&amp;"/"&amp;RIGHT("00"&amp;$C802,2)&amp;"/"&amp;RIGHT("00"&amp;$D802,2)))</f>
        <v/>
      </c>
      <c r="F802">
        <f>IF(OR($E802="",$E802="نامعتبر"),"",IF(Sync!$Q799="","0000",IF(AND(ISNUMBER(Sync!$Q799),Sync!$Q799&gt;=0,Sync!$Q799&lt;1),RIGHT("00"&amp;HOUR(Sync!$Q799),2)&amp;RIGHT("00"&amp;MINUTE(Sync!$Q799),2),IFERROR(RIGHT("00"&amp;VALUE(LEFT(Sync!$Q799,FIND(":",Sync!$Q799)-1)),2)&amp;RIGHT("00"&amp;VALUE(MID(Sync!$Q799,FIND(":",Sync!$Q799)+1,2)),2),"0000"))))</f>
        <v/>
      </c>
      <c r="G802">
        <f>IF(OR($E802="",$E802="نامعتبر"),"",IF(Sync!$S799="","",Sync!$S799))</f>
        <v/>
      </c>
      <c r="H802">
        <f>IF(OR($E802="",$E802="نامعتبر"),"",IF(Sync!$R799="","",Sync!$R799))</f>
        <v/>
      </c>
      <c r="I802">
        <f>IF(OR($E802="",$E802="نامعتبر"),"",IF(Sync!$T799="","",Sync!$T799))</f>
        <v/>
      </c>
      <c r="J802">
        <f>IF(OR($E802="",$E802="نامعتبر"),"",IF(Sync!$U799="","",Sync!$U799))</f>
        <v/>
      </c>
      <c r="K802">
        <f>IF(OR($E802="",$E802="نامعتبر"),"",IF(Sync!$V799="","",IFERROR(INDEX(SubCodes,MATCH(Sync!$V799,SubTitles,0)),Sync!$V799)))</f>
        <v/>
      </c>
      <c r="L802">
        <f>IF(OR($E802="",$E802="نامعتبر"),"",IF(Sync!$W799="",0,Sync!$W799))</f>
        <v/>
      </c>
      <c r="M802">
        <f>IF(OR($E802="",$E802="نامعتبر"),"",IF(Sync!$X799="",0,Sync!$X799))</f>
        <v/>
      </c>
      <c r="N802">
        <f>IF(OR($E802="",$E802="نامعتبر"),"",IF(AND($J802="هزینه",$K802&lt;&gt;""),1,0))</f>
        <v/>
      </c>
      <c r="O802">
        <f>IF($N802=0,"",LEFT($E802,4)&amp;MID($E802,6,2)&amp;RIGHT($E802,2)&amp;$F802&amp;"|"&amp;"1"&amp;RIGHT("00000"&amp;794,5))</f>
        <v/>
      </c>
      <c r="P802">
        <f>IF($O802="","",COUNTIFS(ExpSub,$K802,ExpKey,"&lt;"&amp;$O802)+1)</f>
        <v/>
      </c>
      <c r="Q802">
        <f>IF($P802="","",$K802&amp;"|"&amp;RIGHT("000000"&amp;$P802,6))</f>
        <v/>
      </c>
    </row>
    <row r="803">
      <c r="A803">
        <f>IF(Sync!$P800="","",Sync!$P800)</f>
        <v/>
      </c>
      <c r="B803">
        <f>IF($A803="","",IF(ISNUMBER($A803),IF(AND($A803&gt;=10000101,$A803&lt;=99991231),INT($A803/10000),""),IFERROR(VALUE(TRIM(LEFT($A803,FIND("/",$A803)-1))),"")))</f>
        <v/>
      </c>
      <c r="C803">
        <f>IF(OR($A803="",$B803=""),"",IF(ISNUMBER($A803),INT(MOD($A803,10000)/100),IFERROR(VALUE(TRIM(LEFT(MID($A803,FIND("/",$A803)+1,20),FIND("/",MID($A803,FIND("/",$A803)+1,20))-1))),"")))</f>
        <v/>
      </c>
      <c r="D803">
        <f>IF(OR($A803="",$B803=""),"",IF(ISNUMBER($A803),MOD($A803,100),IFERROR(VALUE(TRIM(MID(MID($A803,FIND("/",$A803)+1,20),FIND("/",MID($A803,FIND("/",$A803)+1,20))+1,20))),"")))</f>
        <v/>
      </c>
      <c r="E803">
        <f>IF($A803="","",IF(OR($B803="",$C803="",$D803="",$B803&lt;1300,$B803&gt;1500,$C803&lt;1,$C803&gt;12,$D803&lt;1,$D803&gt;31),"نامعتبر",RIGHT("0000"&amp;$B803,4)&amp;"/"&amp;RIGHT("00"&amp;$C803,2)&amp;"/"&amp;RIGHT("00"&amp;$D803,2)))</f>
        <v/>
      </c>
      <c r="F803">
        <f>IF(OR($E803="",$E803="نامعتبر"),"",IF(Sync!$Q800="","0000",IF(AND(ISNUMBER(Sync!$Q800),Sync!$Q800&gt;=0,Sync!$Q800&lt;1),RIGHT("00"&amp;HOUR(Sync!$Q800),2)&amp;RIGHT("00"&amp;MINUTE(Sync!$Q800),2),IFERROR(RIGHT("00"&amp;VALUE(LEFT(Sync!$Q800,FIND(":",Sync!$Q800)-1)),2)&amp;RIGHT("00"&amp;VALUE(MID(Sync!$Q800,FIND(":",Sync!$Q800)+1,2)),2),"0000"))))</f>
        <v/>
      </c>
      <c r="G803">
        <f>IF(OR($E803="",$E803="نامعتبر"),"",IF(Sync!$S800="","",Sync!$S800))</f>
        <v/>
      </c>
      <c r="H803">
        <f>IF(OR($E803="",$E803="نامعتبر"),"",IF(Sync!$R800="","",Sync!$R800))</f>
        <v/>
      </c>
      <c r="I803">
        <f>IF(OR($E803="",$E803="نامعتبر"),"",IF(Sync!$T800="","",Sync!$T800))</f>
        <v/>
      </c>
      <c r="J803">
        <f>IF(OR($E803="",$E803="نامعتبر"),"",IF(Sync!$U800="","",Sync!$U800))</f>
        <v/>
      </c>
      <c r="K803">
        <f>IF(OR($E803="",$E803="نامعتبر"),"",IF(Sync!$V800="","",IFERROR(INDEX(SubCodes,MATCH(Sync!$V800,SubTitles,0)),Sync!$V800)))</f>
        <v/>
      </c>
      <c r="L803">
        <f>IF(OR($E803="",$E803="نامعتبر"),"",IF(Sync!$W800="",0,Sync!$W800))</f>
        <v/>
      </c>
      <c r="M803">
        <f>IF(OR($E803="",$E803="نامعتبر"),"",IF(Sync!$X800="",0,Sync!$X800))</f>
        <v/>
      </c>
      <c r="N803">
        <f>IF(OR($E803="",$E803="نامعتبر"),"",IF(AND($J803="هزینه",$K803&lt;&gt;""),1,0))</f>
        <v/>
      </c>
      <c r="O803">
        <f>IF($N803=0,"",LEFT($E803,4)&amp;MID($E803,6,2)&amp;RIGHT($E803,2)&amp;$F803&amp;"|"&amp;"1"&amp;RIGHT("00000"&amp;795,5))</f>
        <v/>
      </c>
      <c r="P803">
        <f>IF($O803="","",COUNTIFS(ExpSub,$K803,ExpKey,"&lt;"&amp;$O803)+1)</f>
        <v/>
      </c>
      <c r="Q803">
        <f>IF($P803="","",$K803&amp;"|"&amp;RIGHT("000000"&amp;$P803,6))</f>
        <v/>
      </c>
    </row>
    <row r="804">
      <c r="A804">
        <f>IF(Sync!$P801="","",Sync!$P801)</f>
        <v/>
      </c>
      <c r="B804">
        <f>IF($A804="","",IF(ISNUMBER($A804),IF(AND($A804&gt;=10000101,$A804&lt;=99991231),INT($A804/10000),""),IFERROR(VALUE(TRIM(LEFT($A804,FIND("/",$A804)-1))),"")))</f>
        <v/>
      </c>
      <c r="C804">
        <f>IF(OR($A804="",$B804=""),"",IF(ISNUMBER($A804),INT(MOD($A804,10000)/100),IFERROR(VALUE(TRIM(LEFT(MID($A804,FIND("/",$A804)+1,20),FIND("/",MID($A804,FIND("/",$A804)+1,20))-1))),"")))</f>
        <v/>
      </c>
      <c r="D804">
        <f>IF(OR($A804="",$B804=""),"",IF(ISNUMBER($A804),MOD($A804,100),IFERROR(VALUE(TRIM(MID(MID($A804,FIND("/",$A804)+1,20),FIND("/",MID($A804,FIND("/",$A804)+1,20))+1,20))),"")))</f>
        <v/>
      </c>
      <c r="E804">
        <f>IF($A804="","",IF(OR($B804="",$C804="",$D804="",$B804&lt;1300,$B804&gt;1500,$C804&lt;1,$C804&gt;12,$D804&lt;1,$D804&gt;31),"نامعتبر",RIGHT("0000"&amp;$B804,4)&amp;"/"&amp;RIGHT("00"&amp;$C804,2)&amp;"/"&amp;RIGHT("00"&amp;$D804,2)))</f>
        <v/>
      </c>
      <c r="F804">
        <f>IF(OR($E804="",$E804="نامعتبر"),"",IF(Sync!$Q801="","0000",IF(AND(ISNUMBER(Sync!$Q801),Sync!$Q801&gt;=0,Sync!$Q801&lt;1),RIGHT("00"&amp;HOUR(Sync!$Q801),2)&amp;RIGHT("00"&amp;MINUTE(Sync!$Q801),2),IFERROR(RIGHT("00"&amp;VALUE(LEFT(Sync!$Q801,FIND(":",Sync!$Q801)-1)),2)&amp;RIGHT("00"&amp;VALUE(MID(Sync!$Q801,FIND(":",Sync!$Q801)+1,2)),2),"0000"))))</f>
        <v/>
      </c>
      <c r="G804">
        <f>IF(OR($E804="",$E804="نامعتبر"),"",IF(Sync!$S801="","",Sync!$S801))</f>
        <v/>
      </c>
      <c r="H804">
        <f>IF(OR($E804="",$E804="نامعتبر"),"",IF(Sync!$R801="","",Sync!$R801))</f>
        <v/>
      </c>
      <c r="I804">
        <f>IF(OR($E804="",$E804="نامعتبر"),"",IF(Sync!$T801="","",Sync!$T801))</f>
        <v/>
      </c>
      <c r="J804">
        <f>IF(OR($E804="",$E804="نامعتبر"),"",IF(Sync!$U801="","",Sync!$U801))</f>
        <v/>
      </c>
      <c r="K804">
        <f>IF(OR($E804="",$E804="نامعتبر"),"",IF(Sync!$V801="","",IFERROR(INDEX(SubCodes,MATCH(Sync!$V801,SubTitles,0)),Sync!$V801)))</f>
        <v/>
      </c>
      <c r="L804">
        <f>IF(OR($E804="",$E804="نامعتبر"),"",IF(Sync!$W801="",0,Sync!$W801))</f>
        <v/>
      </c>
      <c r="M804">
        <f>IF(OR($E804="",$E804="نامعتبر"),"",IF(Sync!$X801="",0,Sync!$X801))</f>
        <v/>
      </c>
      <c r="N804">
        <f>IF(OR($E804="",$E804="نامعتبر"),"",IF(AND($J804="هزینه",$K804&lt;&gt;""),1,0))</f>
        <v/>
      </c>
      <c r="O804">
        <f>IF($N804=0,"",LEFT($E804,4)&amp;MID($E804,6,2)&amp;RIGHT($E804,2)&amp;$F804&amp;"|"&amp;"1"&amp;RIGHT("00000"&amp;796,5))</f>
        <v/>
      </c>
      <c r="P804">
        <f>IF($O804="","",COUNTIFS(ExpSub,$K804,ExpKey,"&lt;"&amp;$O804)+1)</f>
        <v/>
      </c>
      <c r="Q804">
        <f>IF($P804="","",$K804&amp;"|"&amp;RIGHT("000000"&amp;$P804,6))</f>
        <v/>
      </c>
    </row>
    <row r="805">
      <c r="A805">
        <f>IF(Sync!$P802="","",Sync!$P802)</f>
        <v/>
      </c>
      <c r="B805">
        <f>IF($A805="","",IF(ISNUMBER($A805),IF(AND($A805&gt;=10000101,$A805&lt;=99991231),INT($A805/10000),""),IFERROR(VALUE(TRIM(LEFT($A805,FIND("/",$A805)-1))),"")))</f>
        <v/>
      </c>
      <c r="C805">
        <f>IF(OR($A805="",$B805=""),"",IF(ISNUMBER($A805),INT(MOD($A805,10000)/100),IFERROR(VALUE(TRIM(LEFT(MID($A805,FIND("/",$A805)+1,20),FIND("/",MID($A805,FIND("/",$A805)+1,20))-1))),"")))</f>
        <v/>
      </c>
      <c r="D805">
        <f>IF(OR($A805="",$B805=""),"",IF(ISNUMBER($A805),MOD($A805,100),IFERROR(VALUE(TRIM(MID(MID($A805,FIND("/",$A805)+1,20),FIND("/",MID($A805,FIND("/",$A805)+1,20))+1,20))),"")))</f>
        <v/>
      </c>
      <c r="E805">
        <f>IF($A805="","",IF(OR($B805="",$C805="",$D805="",$B805&lt;1300,$B805&gt;1500,$C805&lt;1,$C805&gt;12,$D805&lt;1,$D805&gt;31),"نامعتبر",RIGHT("0000"&amp;$B805,4)&amp;"/"&amp;RIGHT("00"&amp;$C805,2)&amp;"/"&amp;RIGHT("00"&amp;$D805,2)))</f>
        <v/>
      </c>
      <c r="F805">
        <f>IF(OR($E805="",$E805="نامعتبر"),"",IF(Sync!$Q802="","0000",IF(AND(ISNUMBER(Sync!$Q802),Sync!$Q802&gt;=0,Sync!$Q802&lt;1),RIGHT("00"&amp;HOUR(Sync!$Q802),2)&amp;RIGHT("00"&amp;MINUTE(Sync!$Q802),2),IFERROR(RIGHT("00"&amp;VALUE(LEFT(Sync!$Q802,FIND(":",Sync!$Q802)-1)),2)&amp;RIGHT("00"&amp;VALUE(MID(Sync!$Q802,FIND(":",Sync!$Q802)+1,2)),2),"0000"))))</f>
        <v/>
      </c>
      <c r="G805">
        <f>IF(OR($E805="",$E805="نامعتبر"),"",IF(Sync!$S802="","",Sync!$S802))</f>
        <v/>
      </c>
      <c r="H805">
        <f>IF(OR($E805="",$E805="نامعتبر"),"",IF(Sync!$R802="","",Sync!$R802))</f>
        <v/>
      </c>
      <c r="I805">
        <f>IF(OR($E805="",$E805="نامعتبر"),"",IF(Sync!$T802="","",Sync!$T802))</f>
        <v/>
      </c>
      <c r="J805">
        <f>IF(OR($E805="",$E805="نامعتبر"),"",IF(Sync!$U802="","",Sync!$U802))</f>
        <v/>
      </c>
      <c r="K805">
        <f>IF(OR($E805="",$E805="نامعتبر"),"",IF(Sync!$V802="","",IFERROR(INDEX(SubCodes,MATCH(Sync!$V802,SubTitles,0)),Sync!$V802)))</f>
        <v/>
      </c>
      <c r="L805">
        <f>IF(OR($E805="",$E805="نامعتبر"),"",IF(Sync!$W802="",0,Sync!$W802))</f>
        <v/>
      </c>
      <c r="M805">
        <f>IF(OR($E805="",$E805="نامعتبر"),"",IF(Sync!$X802="",0,Sync!$X802))</f>
        <v/>
      </c>
      <c r="N805">
        <f>IF(OR($E805="",$E805="نامعتبر"),"",IF(AND($J805="هزینه",$K805&lt;&gt;""),1,0))</f>
        <v/>
      </c>
      <c r="O805">
        <f>IF($N805=0,"",LEFT($E805,4)&amp;MID($E805,6,2)&amp;RIGHT($E805,2)&amp;$F805&amp;"|"&amp;"1"&amp;RIGHT("00000"&amp;797,5))</f>
        <v/>
      </c>
      <c r="P805">
        <f>IF($O805="","",COUNTIFS(ExpSub,$K805,ExpKey,"&lt;"&amp;$O805)+1)</f>
        <v/>
      </c>
      <c r="Q805">
        <f>IF($P805="","",$K805&amp;"|"&amp;RIGHT("000000"&amp;$P805,6))</f>
        <v/>
      </c>
    </row>
    <row r="806">
      <c r="A806">
        <f>IF(Sync!$P803="","",Sync!$P803)</f>
        <v/>
      </c>
      <c r="B806">
        <f>IF($A806="","",IF(ISNUMBER($A806),IF(AND($A806&gt;=10000101,$A806&lt;=99991231),INT($A806/10000),""),IFERROR(VALUE(TRIM(LEFT($A806,FIND("/",$A806)-1))),"")))</f>
        <v/>
      </c>
      <c r="C806">
        <f>IF(OR($A806="",$B806=""),"",IF(ISNUMBER($A806),INT(MOD($A806,10000)/100),IFERROR(VALUE(TRIM(LEFT(MID($A806,FIND("/",$A806)+1,20),FIND("/",MID($A806,FIND("/",$A806)+1,20))-1))),"")))</f>
        <v/>
      </c>
      <c r="D806">
        <f>IF(OR($A806="",$B806=""),"",IF(ISNUMBER($A806),MOD($A806,100),IFERROR(VALUE(TRIM(MID(MID($A806,FIND("/",$A806)+1,20),FIND("/",MID($A806,FIND("/",$A806)+1,20))+1,20))),"")))</f>
        <v/>
      </c>
      <c r="E806">
        <f>IF($A806="","",IF(OR($B806="",$C806="",$D806="",$B806&lt;1300,$B806&gt;1500,$C806&lt;1,$C806&gt;12,$D806&lt;1,$D806&gt;31),"نامعتبر",RIGHT("0000"&amp;$B806,4)&amp;"/"&amp;RIGHT("00"&amp;$C806,2)&amp;"/"&amp;RIGHT("00"&amp;$D806,2)))</f>
        <v/>
      </c>
      <c r="F806">
        <f>IF(OR($E806="",$E806="نامعتبر"),"",IF(Sync!$Q803="","0000",IF(AND(ISNUMBER(Sync!$Q803),Sync!$Q803&gt;=0,Sync!$Q803&lt;1),RIGHT("00"&amp;HOUR(Sync!$Q803),2)&amp;RIGHT("00"&amp;MINUTE(Sync!$Q803),2),IFERROR(RIGHT("00"&amp;VALUE(LEFT(Sync!$Q803,FIND(":",Sync!$Q803)-1)),2)&amp;RIGHT("00"&amp;VALUE(MID(Sync!$Q803,FIND(":",Sync!$Q803)+1,2)),2),"0000"))))</f>
        <v/>
      </c>
      <c r="G806">
        <f>IF(OR($E806="",$E806="نامعتبر"),"",IF(Sync!$S803="","",Sync!$S803))</f>
        <v/>
      </c>
      <c r="H806">
        <f>IF(OR($E806="",$E806="نامعتبر"),"",IF(Sync!$R803="","",Sync!$R803))</f>
        <v/>
      </c>
      <c r="I806">
        <f>IF(OR($E806="",$E806="نامعتبر"),"",IF(Sync!$T803="","",Sync!$T803))</f>
        <v/>
      </c>
      <c r="J806">
        <f>IF(OR($E806="",$E806="نامعتبر"),"",IF(Sync!$U803="","",Sync!$U803))</f>
        <v/>
      </c>
      <c r="K806">
        <f>IF(OR($E806="",$E806="نامعتبر"),"",IF(Sync!$V803="","",IFERROR(INDEX(SubCodes,MATCH(Sync!$V803,SubTitles,0)),Sync!$V803)))</f>
        <v/>
      </c>
      <c r="L806">
        <f>IF(OR($E806="",$E806="نامعتبر"),"",IF(Sync!$W803="",0,Sync!$W803))</f>
        <v/>
      </c>
      <c r="M806">
        <f>IF(OR($E806="",$E806="نامعتبر"),"",IF(Sync!$X803="",0,Sync!$X803))</f>
        <v/>
      </c>
      <c r="N806">
        <f>IF(OR($E806="",$E806="نامعتبر"),"",IF(AND($J806="هزینه",$K806&lt;&gt;""),1,0))</f>
        <v/>
      </c>
      <c r="O806">
        <f>IF($N806=0,"",LEFT($E806,4)&amp;MID($E806,6,2)&amp;RIGHT($E806,2)&amp;$F806&amp;"|"&amp;"1"&amp;RIGHT("00000"&amp;798,5))</f>
        <v/>
      </c>
      <c r="P806">
        <f>IF($O806="","",COUNTIFS(ExpSub,$K806,ExpKey,"&lt;"&amp;$O806)+1)</f>
        <v/>
      </c>
      <c r="Q806">
        <f>IF($P806="","",$K806&amp;"|"&amp;RIGHT("000000"&amp;$P806,6))</f>
        <v/>
      </c>
    </row>
    <row r="807">
      <c r="A807">
        <f>IF(Sync!$P804="","",Sync!$P804)</f>
        <v/>
      </c>
      <c r="B807">
        <f>IF($A807="","",IF(ISNUMBER($A807),IF(AND($A807&gt;=10000101,$A807&lt;=99991231),INT($A807/10000),""),IFERROR(VALUE(TRIM(LEFT($A807,FIND("/",$A807)-1))),"")))</f>
        <v/>
      </c>
      <c r="C807">
        <f>IF(OR($A807="",$B807=""),"",IF(ISNUMBER($A807),INT(MOD($A807,10000)/100),IFERROR(VALUE(TRIM(LEFT(MID($A807,FIND("/",$A807)+1,20),FIND("/",MID($A807,FIND("/",$A807)+1,20))-1))),"")))</f>
        <v/>
      </c>
      <c r="D807">
        <f>IF(OR($A807="",$B807=""),"",IF(ISNUMBER($A807),MOD($A807,100),IFERROR(VALUE(TRIM(MID(MID($A807,FIND("/",$A807)+1,20),FIND("/",MID($A807,FIND("/",$A807)+1,20))+1,20))),"")))</f>
        <v/>
      </c>
      <c r="E807">
        <f>IF($A807="","",IF(OR($B807="",$C807="",$D807="",$B807&lt;1300,$B807&gt;1500,$C807&lt;1,$C807&gt;12,$D807&lt;1,$D807&gt;31),"نامعتبر",RIGHT("0000"&amp;$B807,4)&amp;"/"&amp;RIGHT("00"&amp;$C807,2)&amp;"/"&amp;RIGHT("00"&amp;$D807,2)))</f>
        <v/>
      </c>
      <c r="F807">
        <f>IF(OR($E807="",$E807="نامعتبر"),"",IF(Sync!$Q804="","0000",IF(AND(ISNUMBER(Sync!$Q804),Sync!$Q804&gt;=0,Sync!$Q804&lt;1),RIGHT("00"&amp;HOUR(Sync!$Q804),2)&amp;RIGHT("00"&amp;MINUTE(Sync!$Q804),2),IFERROR(RIGHT("00"&amp;VALUE(LEFT(Sync!$Q804,FIND(":",Sync!$Q804)-1)),2)&amp;RIGHT("00"&amp;VALUE(MID(Sync!$Q804,FIND(":",Sync!$Q804)+1,2)),2),"0000"))))</f>
        <v/>
      </c>
      <c r="G807">
        <f>IF(OR($E807="",$E807="نامعتبر"),"",IF(Sync!$S804="","",Sync!$S804))</f>
        <v/>
      </c>
      <c r="H807">
        <f>IF(OR($E807="",$E807="نامعتبر"),"",IF(Sync!$R804="","",Sync!$R804))</f>
        <v/>
      </c>
      <c r="I807">
        <f>IF(OR($E807="",$E807="نامعتبر"),"",IF(Sync!$T804="","",Sync!$T804))</f>
        <v/>
      </c>
      <c r="J807">
        <f>IF(OR($E807="",$E807="نامعتبر"),"",IF(Sync!$U804="","",Sync!$U804))</f>
        <v/>
      </c>
      <c r="K807">
        <f>IF(OR($E807="",$E807="نامعتبر"),"",IF(Sync!$V804="","",IFERROR(INDEX(SubCodes,MATCH(Sync!$V804,SubTitles,0)),Sync!$V804)))</f>
        <v/>
      </c>
      <c r="L807">
        <f>IF(OR($E807="",$E807="نامعتبر"),"",IF(Sync!$W804="",0,Sync!$W804))</f>
        <v/>
      </c>
      <c r="M807">
        <f>IF(OR($E807="",$E807="نامعتبر"),"",IF(Sync!$X804="",0,Sync!$X804))</f>
        <v/>
      </c>
      <c r="N807">
        <f>IF(OR($E807="",$E807="نامعتبر"),"",IF(AND($J807="هزینه",$K807&lt;&gt;""),1,0))</f>
        <v/>
      </c>
      <c r="O807">
        <f>IF($N807=0,"",LEFT($E807,4)&amp;MID($E807,6,2)&amp;RIGHT($E807,2)&amp;$F807&amp;"|"&amp;"1"&amp;RIGHT("00000"&amp;799,5))</f>
        <v/>
      </c>
      <c r="P807">
        <f>IF($O807="","",COUNTIFS(ExpSub,$K807,ExpKey,"&lt;"&amp;$O807)+1)</f>
        <v/>
      </c>
      <c r="Q807">
        <f>IF($P807="","",$K807&amp;"|"&amp;RIGHT("000000"&amp;$P807,6))</f>
        <v/>
      </c>
    </row>
    <row r="808">
      <c r="A808">
        <f>IF(Sync!$P805="","",Sync!$P805)</f>
        <v/>
      </c>
      <c r="B808">
        <f>IF($A808="","",IF(ISNUMBER($A808),IF(AND($A808&gt;=10000101,$A808&lt;=99991231),INT($A808/10000),""),IFERROR(VALUE(TRIM(LEFT($A808,FIND("/",$A808)-1))),"")))</f>
        <v/>
      </c>
      <c r="C808">
        <f>IF(OR($A808="",$B808=""),"",IF(ISNUMBER($A808),INT(MOD($A808,10000)/100),IFERROR(VALUE(TRIM(LEFT(MID($A808,FIND("/",$A808)+1,20),FIND("/",MID($A808,FIND("/",$A808)+1,20))-1))),"")))</f>
        <v/>
      </c>
      <c r="D808">
        <f>IF(OR($A808="",$B808=""),"",IF(ISNUMBER($A808),MOD($A808,100),IFERROR(VALUE(TRIM(MID(MID($A808,FIND("/",$A808)+1,20),FIND("/",MID($A808,FIND("/",$A808)+1,20))+1,20))),"")))</f>
        <v/>
      </c>
      <c r="E808">
        <f>IF($A808="","",IF(OR($B808="",$C808="",$D808="",$B808&lt;1300,$B808&gt;1500,$C808&lt;1,$C808&gt;12,$D808&lt;1,$D808&gt;31),"نامعتبر",RIGHT("0000"&amp;$B808,4)&amp;"/"&amp;RIGHT("00"&amp;$C808,2)&amp;"/"&amp;RIGHT("00"&amp;$D808,2)))</f>
        <v/>
      </c>
      <c r="F808">
        <f>IF(OR($E808="",$E808="نامعتبر"),"",IF(Sync!$Q805="","0000",IF(AND(ISNUMBER(Sync!$Q805),Sync!$Q805&gt;=0,Sync!$Q805&lt;1),RIGHT("00"&amp;HOUR(Sync!$Q805),2)&amp;RIGHT("00"&amp;MINUTE(Sync!$Q805),2),IFERROR(RIGHT("00"&amp;VALUE(LEFT(Sync!$Q805,FIND(":",Sync!$Q805)-1)),2)&amp;RIGHT("00"&amp;VALUE(MID(Sync!$Q805,FIND(":",Sync!$Q805)+1,2)),2),"0000"))))</f>
        <v/>
      </c>
      <c r="G808">
        <f>IF(OR($E808="",$E808="نامعتبر"),"",IF(Sync!$S805="","",Sync!$S805))</f>
        <v/>
      </c>
      <c r="H808">
        <f>IF(OR($E808="",$E808="نامعتبر"),"",IF(Sync!$R805="","",Sync!$R805))</f>
        <v/>
      </c>
      <c r="I808">
        <f>IF(OR($E808="",$E808="نامعتبر"),"",IF(Sync!$T805="","",Sync!$T805))</f>
        <v/>
      </c>
      <c r="J808">
        <f>IF(OR($E808="",$E808="نامعتبر"),"",IF(Sync!$U805="","",Sync!$U805))</f>
        <v/>
      </c>
      <c r="K808">
        <f>IF(OR($E808="",$E808="نامعتبر"),"",IF(Sync!$V805="","",IFERROR(INDEX(SubCodes,MATCH(Sync!$V805,SubTitles,0)),Sync!$V805)))</f>
        <v/>
      </c>
      <c r="L808">
        <f>IF(OR($E808="",$E808="نامعتبر"),"",IF(Sync!$W805="",0,Sync!$W805))</f>
        <v/>
      </c>
      <c r="M808">
        <f>IF(OR($E808="",$E808="نامعتبر"),"",IF(Sync!$X805="",0,Sync!$X805))</f>
        <v/>
      </c>
      <c r="N808">
        <f>IF(OR($E808="",$E808="نامعتبر"),"",IF(AND($J808="هزینه",$K808&lt;&gt;""),1,0))</f>
        <v/>
      </c>
      <c r="O808">
        <f>IF($N808=0,"",LEFT($E808,4)&amp;MID($E808,6,2)&amp;RIGHT($E808,2)&amp;$F808&amp;"|"&amp;"1"&amp;RIGHT("00000"&amp;800,5))</f>
        <v/>
      </c>
      <c r="P808">
        <f>IF($O808="","",COUNTIFS(ExpSub,$K808,ExpKey,"&lt;"&amp;$O808)+1)</f>
        <v/>
      </c>
      <c r="Q808">
        <f>IF($P808="","",$K808&amp;"|"&amp;RIGHT("000000"&amp;$P808,6))</f>
        <v/>
      </c>
    </row>
    <row r="809">
      <c r="A809">
        <f>IF(Sync!$P806="","",Sync!$P806)</f>
        <v/>
      </c>
      <c r="B809">
        <f>IF($A809="","",IF(ISNUMBER($A809),IF(AND($A809&gt;=10000101,$A809&lt;=99991231),INT($A809/10000),""),IFERROR(VALUE(TRIM(LEFT($A809,FIND("/",$A809)-1))),"")))</f>
        <v/>
      </c>
      <c r="C809">
        <f>IF(OR($A809="",$B809=""),"",IF(ISNUMBER($A809),INT(MOD($A809,10000)/100),IFERROR(VALUE(TRIM(LEFT(MID($A809,FIND("/",$A809)+1,20),FIND("/",MID($A809,FIND("/",$A809)+1,20))-1))),"")))</f>
        <v/>
      </c>
      <c r="D809">
        <f>IF(OR($A809="",$B809=""),"",IF(ISNUMBER($A809),MOD($A809,100),IFERROR(VALUE(TRIM(MID(MID($A809,FIND("/",$A809)+1,20),FIND("/",MID($A809,FIND("/",$A809)+1,20))+1,20))),"")))</f>
        <v/>
      </c>
      <c r="E809">
        <f>IF($A809="","",IF(OR($B809="",$C809="",$D809="",$B809&lt;1300,$B809&gt;1500,$C809&lt;1,$C809&gt;12,$D809&lt;1,$D809&gt;31),"نامعتبر",RIGHT("0000"&amp;$B809,4)&amp;"/"&amp;RIGHT("00"&amp;$C809,2)&amp;"/"&amp;RIGHT("00"&amp;$D809,2)))</f>
        <v/>
      </c>
      <c r="F809">
        <f>IF(OR($E809="",$E809="نامعتبر"),"",IF(Sync!$Q806="","0000",IF(AND(ISNUMBER(Sync!$Q806),Sync!$Q806&gt;=0,Sync!$Q806&lt;1),RIGHT("00"&amp;HOUR(Sync!$Q806),2)&amp;RIGHT("00"&amp;MINUTE(Sync!$Q806),2),IFERROR(RIGHT("00"&amp;VALUE(LEFT(Sync!$Q806,FIND(":",Sync!$Q806)-1)),2)&amp;RIGHT("00"&amp;VALUE(MID(Sync!$Q806,FIND(":",Sync!$Q806)+1,2)),2),"0000"))))</f>
        <v/>
      </c>
      <c r="G809">
        <f>IF(OR($E809="",$E809="نامعتبر"),"",IF(Sync!$S806="","",Sync!$S806))</f>
        <v/>
      </c>
      <c r="H809">
        <f>IF(OR($E809="",$E809="نامعتبر"),"",IF(Sync!$R806="","",Sync!$R806))</f>
        <v/>
      </c>
      <c r="I809">
        <f>IF(OR($E809="",$E809="نامعتبر"),"",IF(Sync!$T806="","",Sync!$T806))</f>
        <v/>
      </c>
      <c r="J809">
        <f>IF(OR($E809="",$E809="نامعتبر"),"",IF(Sync!$U806="","",Sync!$U806))</f>
        <v/>
      </c>
      <c r="K809">
        <f>IF(OR($E809="",$E809="نامعتبر"),"",IF(Sync!$V806="","",IFERROR(INDEX(SubCodes,MATCH(Sync!$V806,SubTitles,0)),Sync!$V806)))</f>
        <v/>
      </c>
      <c r="L809">
        <f>IF(OR($E809="",$E809="نامعتبر"),"",IF(Sync!$W806="",0,Sync!$W806))</f>
        <v/>
      </c>
      <c r="M809">
        <f>IF(OR($E809="",$E809="نامعتبر"),"",IF(Sync!$X806="",0,Sync!$X806))</f>
        <v/>
      </c>
      <c r="N809">
        <f>IF(OR($E809="",$E809="نامعتبر"),"",IF(AND($J809="هزینه",$K809&lt;&gt;""),1,0))</f>
        <v/>
      </c>
      <c r="O809">
        <f>IF($N809=0,"",LEFT($E809,4)&amp;MID($E809,6,2)&amp;RIGHT($E809,2)&amp;$F809&amp;"|"&amp;"1"&amp;RIGHT("00000"&amp;801,5))</f>
        <v/>
      </c>
      <c r="P809">
        <f>IF($O809="","",COUNTIFS(ExpSub,$K809,ExpKey,"&lt;"&amp;$O809)+1)</f>
        <v/>
      </c>
      <c r="Q809">
        <f>IF($P809="","",$K809&amp;"|"&amp;RIGHT("000000"&amp;$P809,6))</f>
        <v/>
      </c>
    </row>
    <row r="810">
      <c r="A810">
        <f>IF(Sync!$P807="","",Sync!$P807)</f>
        <v/>
      </c>
      <c r="B810">
        <f>IF($A810="","",IF(ISNUMBER($A810),IF(AND($A810&gt;=10000101,$A810&lt;=99991231),INT($A810/10000),""),IFERROR(VALUE(TRIM(LEFT($A810,FIND("/",$A810)-1))),"")))</f>
        <v/>
      </c>
      <c r="C810">
        <f>IF(OR($A810="",$B810=""),"",IF(ISNUMBER($A810),INT(MOD($A810,10000)/100),IFERROR(VALUE(TRIM(LEFT(MID($A810,FIND("/",$A810)+1,20),FIND("/",MID($A810,FIND("/",$A810)+1,20))-1))),"")))</f>
        <v/>
      </c>
      <c r="D810">
        <f>IF(OR($A810="",$B810=""),"",IF(ISNUMBER($A810),MOD($A810,100),IFERROR(VALUE(TRIM(MID(MID($A810,FIND("/",$A810)+1,20),FIND("/",MID($A810,FIND("/",$A810)+1,20))+1,20))),"")))</f>
        <v/>
      </c>
      <c r="E810">
        <f>IF($A810="","",IF(OR($B810="",$C810="",$D810="",$B810&lt;1300,$B810&gt;1500,$C810&lt;1,$C810&gt;12,$D810&lt;1,$D810&gt;31),"نامعتبر",RIGHT("0000"&amp;$B810,4)&amp;"/"&amp;RIGHT("00"&amp;$C810,2)&amp;"/"&amp;RIGHT("00"&amp;$D810,2)))</f>
        <v/>
      </c>
      <c r="F810">
        <f>IF(OR($E810="",$E810="نامعتبر"),"",IF(Sync!$Q807="","0000",IF(AND(ISNUMBER(Sync!$Q807),Sync!$Q807&gt;=0,Sync!$Q807&lt;1),RIGHT("00"&amp;HOUR(Sync!$Q807),2)&amp;RIGHT("00"&amp;MINUTE(Sync!$Q807),2),IFERROR(RIGHT("00"&amp;VALUE(LEFT(Sync!$Q807,FIND(":",Sync!$Q807)-1)),2)&amp;RIGHT("00"&amp;VALUE(MID(Sync!$Q807,FIND(":",Sync!$Q807)+1,2)),2),"0000"))))</f>
        <v/>
      </c>
      <c r="G810">
        <f>IF(OR($E810="",$E810="نامعتبر"),"",IF(Sync!$S807="","",Sync!$S807))</f>
        <v/>
      </c>
      <c r="H810">
        <f>IF(OR($E810="",$E810="نامعتبر"),"",IF(Sync!$R807="","",Sync!$R807))</f>
        <v/>
      </c>
      <c r="I810">
        <f>IF(OR($E810="",$E810="نامعتبر"),"",IF(Sync!$T807="","",Sync!$T807))</f>
        <v/>
      </c>
      <c r="J810">
        <f>IF(OR($E810="",$E810="نامعتبر"),"",IF(Sync!$U807="","",Sync!$U807))</f>
        <v/>
      </c>
      <c r="K810">
        <f>IF(OR($E810="",$E810="نامعتبر"),"",IF(Sync!$V807="","",IFERROR(INDEX(SubCodes,MATCH(Sync!$V807,SubTitles,0)),Sync!$V807)))</f>
        <v/>
      </c>
      <c r="L810">
        <f>IF(OR($E810="",$E810="نامعتبر"),"",IF(Sync!$W807="",0,Sync!$W807))</f>
        <v/>
      </c>
      <c r="M810">
        <f>IF(OR($E810="",$E810="نامعتبر"),"",IF(Sync!$X807="",0,Sync!$X807))</f>
        <v/>
      </c>
      <c r="N810">
        <f>IF(OR($E810="",$E810="نامعتبر"),"",IF(AND($J810="هزینه",$K810&lt;&gt;""),1,0))</f>
        <v/>
      </c>
      <c r="O810">
        <f>IF($N810=0,"",LEFT($E810,4)&amp;MID($E810,6,2)&amp;RIGHT($E810,2)&amp;$F810&amp;"|"&amp;"1"&amp;RIGHT("00000"&amp;802,5))</f>
        <v/>
      </c>
      <c r="P810">
        <f>IF($O810="","",COUNTIFS(ExpSub,$K810,ExpKey,"&lt;"&amp;$O810)+1)</f>
        <v/>
      </c>
      <c r="Q810">
        <f>IF($P810="","",$K810&amp;"|"&amp;RIGHT("000000"&amp;$P810,6))</f>
        <v/>
      </c>
    </row>
    <row r="811">
      <c r="A811">
        <f>IF(Sync!$P808="","",Sync!$P808)</f>
        <v/>
      </c>
      <c r="B811">
        <f>IF($A811="","",IF(ISNUMBER($A811),IF(AND($A811&gt;=10000101,$A811&lt;=99991231),INT($A811/10000),""),IFERROR(VALUE(TRIM(LEFT($A811,FIND("/",$A811)-1))),"")))</f>
        <v/>
      </c>
      <c r="C811">
        <f>IF(OR($A811="",$B811=""),"",IF(ISNUMBER($A811),INT(MOD($A811,10000)/100),IFERROR(VALUE(TRIM(LEFT(MID($A811,FIND("/",$A811)+1,20),FIND("/",MID($A811,FIND("/",$A811)+1,20))-1))),"")))</f>
        <v/>
      </c>
      <c r="D811">
        <f>IF(OR($A811="",$B811=""),"",IF(ISNUMBER($A811),MOD($A811,100),IFERROR(VALUE(TRIM(MID(MID($A811,FIND("/",$A811)+1,20),FIND("/",MID($A811,FIND("/",$A811)+1,20))+1,20))),"")))</f>
        <v/>
      </c>
      <c r="E811">
        <f>IF($A811="","",IF(OR($B811="",$C811="",$D811="",$B811&lt;1300,$B811&gt;1500,$C811&lt;1,$C811&gt;12,$D811&lt;1,$D811&gt;31),"نامعتبر",RIGHT("0000"&amp;$B811,4)&amp;"/"&amp;RIGHT("00"&amp;$C811,2)&amp;"/"&amp;RIGHT("00"&amp;$D811,2)))</f>
        <v/>
      </c>
      <c r="F811">
        <f>IF(OR($E811="",$E811="نامعتبر"),"",IF(Sync!$Q808="","0000",IF(AND(ISNUMBER(Sync!$Q808),Sync!$Q808&gt;=0,Sync!$Q808&lt;1),RIGHT("00"&amp;HOUR(Sync!$Q808),2)&amp;RIGHT("00"&amp;MINUTE(Sync!$Q808),2),IFERROR(RIGHT("00"&amp;VALUE(LEFT(Sync!$Q808,FIND(":",Sync!$Q808)-1)),2)&amp;RIGHT("00"&amp;VALUE(MID(Sync!$Q808,FIND(":",Sync!$Q808)+1,2)),2),"0000"))))</f>
        <v/>
      </c>
      <c r="G811">
        <f>IF(OR($E811="",$E811="نامعتبر"),"",IF(Sync!$S808="","",Sync!$S808))</f>
        <v/>
      </c>
      <c r="H811">
        <f>IF(OR($E811="",$E811="نامعتبر"),"",IF(Sync!$R808="","",Sync!$R808))</f>
        <v/>
      </c>
      <c r="I811">
        <f>IF(OR($E811="",$E811="نامعتبر"),"",IF(Sync!$T808="","",Sync!$T808))</f>
        <v/>
      </c>
      <c r="J811">
        <f>IF(OR($E811="",$E811="نامعتبر"),"",IF(Sync!$U808="","",Sync!$U808))</f>
        <v/>
      </c>
      <c r="K811">
        <f>IF(OR($E811="",$E811="نامعتبر"),"",IF(Sync!$V808="","",IFERROR(INDEX(SubCodes,MATCH(Sync!$V808,SubTitles,0)),Sync!$V808)))</f>
        <v/>
      </c>
      <c r="L811">
        <f>IF(OR($E811="",$E811="نامعتبر"),"",IF(Sync!$W808="",0,Sync!$W808))</f>
        <v/>
      </c>
      <c r="M811">
        <f>IF(OR($E811="",$E811="نامعتبر"),"",IF(Sync!$X808="",0,Sync!$X808))</f>
        <v/>
      </c>
      <c r="N811">
        <f>IF(OR($E811="",$E811="نامعتبر"),"",IF(AND($J811="هزینه",$K811&lt;&gt;""),1,0))</f>
        <v/>
      </c>
      <c r="O811">
        <f>IF($N811=0,"",LEFT($E811,4)&amp;MID($E811,6,2)&amp;RIGHT($E811,2)&amp;$F811&amp;"|"&amp;"1"&amp;RIGHT("00000"&amp;803,5))</f>
        <v/>
      </c>
      <c r="P811">
        <f>IF($O811="","",COUNTIFS(ExpSub,$K811,ExpKey,"&lt;"&amp;$O811)+1)</f>
        <v/>
      </c>
      <c r="Q811">
        <f>IF($P811="","",$K811&amp;"|"&amp;RIGHT("000000"&amp;$P811,6))</f>
        <v/>
      </c>
    </row>
    <row r="812">
      <c r="A812">
        <f>IF(Sync!$P809="","",Sync!$P809)</f>
        <v/>
      </c>
      <c r="B812">
        <f>IF($A812="","",IF(ISNUMBER($A812),IF(AND($A812&gt;=10000101,$A812&lt;=99991231),INT($A812/10000),""),IFERROR(VALUE(TRIM(LEFT($A812,FIND("/",$A812)-1))),"")))</f>
        <v/>
      </c>
      <c r="C812">
        <f>IF(OR($A812="",$B812=""),"",IF(ISNUMBER($A812),INT(MOD($A812,10000)/100),IFERROR(VALUE(TRIM(LEFT(MID($A812,FIND("/",$A812)+1,20),FIND("/",MID($A812,FIND("/",$A812)+1,20))-1))),"")))</f>
        <v/>
      </c>
      <c r="D812">
        <f>IF(OR($A812="",$B812=""),"",IF(ISNUMBER($A812),MOD($A812,100),IFERROR(VALUE(TRIM(MID(MID($A812,FIND("/",$A812)+1,20),FIND("/",MID($A812,FIND("/",$A812)+1,20))+1,20))),"")))</f>
        <v/>
      </c>
      <c r="E812">
        <f>IF($A812="","",IF(OR($B812="",$C812="",$D812="",$B812&lt;1300,$B812&gt;1500,$C812&lt;1,$C812&gt;12,$D812&lt;1,$D812&gt;31),"نامعتبر",RIGHT("0000"&amp;$B812,4)&amp;"/"&amp;RIGHT("00"&amp;$C812,2)&amp;"/"&amp;RIGHT("00"&amp;$D812,2)))</f>
        <v/>
      </c>
      <c r="F812">
        <f>IF(OR($E812="",$E812="نامعتبر"),"",IF(Sync!$Q809="","0000",IF(AND(ISNUMBER(Sync!$Q809),Sync!$Q809&gt;=0,Sync!$Q809&lt;1),RIGHT("00"&amp;HOUR(Sync!$Q809),2)&amp;RIGHT("00"&amp;MINUTE(Sync!$Q809),2),IFERROR(RIGHT("00"&amp;VALUE(LEFT(Sync!$Q809,FIND(":",Sync!$Q809)-1)),2)&amp;RIGHT("00"&amp;VALUE(MID(Sync!$Q809,FIND(":",Sync!$Q809)+1,2)),2),"0000"))))</f>
        <v/>
      </c>
      <c r="G812">
        <f>IF(OR($E812="",$E812="نامعتبر"),"",IF(Sync!$S809="","",Sync!$S809))</f>
        <v/>
      </c>
      <c r="H812">
        <f>IF(OR($E812="",$E812="نامعتبر"),"",IF(Sync!$R809="","",Sync!$R809))</f>
        <v/>
      </c>
      <c r="I812">
        <f>IF(OR($E812="",$E812="نامعتبر"),"",IF(Sync!$T809="","",Sync!$T809))</f>
        <v/>
      </c>
      <c r="J812">
        <f>IF(OR($E812="",$E812="نامعتبر"),"",IF(Sync!$U809="","",Sync!$U809))</f>
        <v/>
      </c>
      <c r="K812">
        <f>IF(OR($E812="",$E812="نامعتبر"),"",IF(Sync!$V809="","",IFERROR(INDEX(SubCodes,MATCH(Sync!$V809,SubTitles,0)),Sync!$V809)))</f>
        <v/>
      </c>
      <c r="L812">
        <f>IF(OR($E812="",$E812="نامعتبر"),"",IF(Sync!$W809="",0,Sync!$W809))</f>
        <v/>
      </c>
      <c r="M812">
        <f>IF(OR($E812="",$E812="نامعتبر"),"",IF(Sync!$X809="",0,Sync!$X809))</f>
        <v/>
      </c>
      <c r="N812">
        <f>IF(OR($E812="",$E812="نامعتبر"),"",IF(AND($J812="هزینه",$K812&lt;&gt;""),1,0))</f>
        <v/>
      </c>
      <c r="O812">
        <f>IF($N812=0,"",LEFT($E812,4)&amp;MID($E812,6,2)&amp;RIGHT($E812,2)&amp;$F812&amp;"|"&amp;"1"&amp;RIGHT("00000"&amp;804,5))</f>
        <v/>
      </c>
      <c r="P812">
        <f>IF($O812="","",COUNTIFS(ExpSub,$K812,ExpKey,"&lt;"&amp;$O812)+1)</f>
        <v/>
      </c>
      <c r="Q812">
        <f>IF($P812="","",$K812&amp;"|"&amp;RIGHT("000000"&amp;$P812,6))</f>
        <v/>
      </c>
    </row>
    <row r="813">
      <c r="A813">
        <f>IF(Sync!$P810="","",Sync!$P810)</f>
        <v/>
      </c>
      <c r="B813">
        <f>IF($A813="","",IF(ISNUMBER($A813),IF(AND($A813&gt;=10000101,$A813&lt;=99991231),INT($A813/10000),""),IFERROR(VALUE(TRIM(LEFT($A813,FIND("/",$A813)-1))),"")))</f>
        <v/>
      </c>
      <c r="C813">
        <f>IF(OR($A813="",$B813=""),"",IF(ISNUMBER($A813),INT(MOD($A813,10000)/100),IFERROR(VALUE(TRIM(LEFT(MID($A813,FIND("/",$A813)+1,20),FIND("/",MID($A813,FIND("/",$A813)+1,20))-1))),"")))</f>
        <v/>
      </c>
      <c r="D813">
        <f>IF(OR($A813="",$B813=""),"",IF(ISNUMBER($A813),MOD($A813,100),IFERROR(VALUE(TRIM(MID(MID($A813,FIND("/",$A813)+1,20),FIND("/",MID($A813,FIND("/",$A813)+1,20))+1,20))),"")))</f>
        <v/>
      </c>
      <c r="E813">
        <f>IF($A813="","",IF(OR($B813="",$C813="",$D813="",$B813&lt;1300,$B813&gt;1500,$C813&lt;1,$C813&gt;12,$D813&lt;1,$D813&gt;31),"نامعتبر",RIGHT("0000"&amp;$B813,4)&amp;"/"&amp;RIGHT("00"&amp;$C813,2)&amp;"/"&amp;RIGHT("00"&amp;$D813,2)))</f>
        <v/>
      </c>
      <c r="F813">
        <f>IF(OR($E813="",$E813="نامعتبر"),"",IF(Sync!$Q810="","0000",IF(AND(ISNUMBER(Sync!$Q810),Sync!$Q810&gt;=0,Sync!$Q810&lt;1),RIGHT("00"&amp;HOUR(Sync!$Q810),2)&amp;RIGHT("00"&amp;MINUTE(Sync!$Q810),2),IFERROR(RIGHT("00"&amp;VALUE(LEFT(Sync!$Q810,FIND(":",Sync!$Q810)-1)),2)&amp;RIGHT("00"&amp;VALUE(MID(Sync!$Q810,FIND(":",Sync!$Q810)+1,2)),2),"0000"))))</f>
        <v/>
      </c>
      <c r="G813">
        <f>IF(OR($E813="",$E813="نامعتبر"),"",IF(Sync!$S810="","",Sync!$S810))</f>
        <v/>
      </c>
      <c r="H813">
        <f>IF(OR($E813="",$E813="نامعتبر"),"",IF(Sync!$R810="","",Sync!$R810))</f>
        <v/>
      </c>
      <c r="I813">
        <f>IF(OR($E813="",$E813="نامعتبر"),"",IF(Sync!$T810="","",Sync!$T810))</f>
        <v/>
      </c>
      <c r="J813">
        <f>IF(OR($E813="",$E813="نامعتبر"),"",IF(Sync!$U810="","",Sync!$U810))</f>
        <v/>
      </c>
      <c r="K813">
        <f>IF(OR($E813="",$E813="نامعتبر"),"",IF(Sync!$V810="","",IFERROR(INDEX(SubCodes,MATCH(Sync!$V810,SubTitles,0)),Sync!$V810)))</f>
        <v/>
      </c>
      <c r="L813">
        <f>IF(OR($E813="",$E813="نامعتبر"),"",IF(Sync!$W810="",0,Sync!$W810))</f>
        <v/>
      </c>
      <c r="M813">
        <f>IF(OR($E813="",$E813="نامعتبر"),"",IF(Sync!$X810="",0,Sync!$X810))</f>
        <v/>
      </c>
      <c r="N813">
        <f>IF(OR($E813="",$E813="نامعتبر"),"",IF(AND($J813="هزینه",$K813&lt;&gt;""),1,0))</f>
        <v/>
      </c>
      <c r="O813">
        <f>IF($N813=0,"",LEFT($E813,4)&amp;MID($E813,6,2)&amp;RIGHT($E813,2)&amp;$F813&amp;"|"&amp;"1"&amp;RIGHT("00000"&amp;805,5))</f>
        <v/>
      </c>
      <c r="P813">
        <f>IF($O813="","",COUNTIFS(ExpSub,$K813,ExpKey,"&lt;"&amp;$O813)+1)</f>
        <v/>
      </c>
      <c r="Q813">
        <f>IF($P813="","",$K813&amp;"|"&amp;RIGHT("000000"&amp;$P813,6))</f>
        <v/>
      </c>
    </row>
    <row r="814">
      <c r="A814">
        <f>IF(Sync!$P811="","",Sync!$P811)</f>
        <v/>
      </c>
      <c r="B814">
        <f>IF($A814="","",IF(ISNUMBER($A814),IF(AND($A814&gt;=10000101,$A814&lt;=99991231),INT($A814/10000),""),IFERROR(VALUE(TRIM(LEFT($A814,FIND("/",$A814)-1))),"")))</f>
        <v/>
      </c>
      <c r="C814">
        <f>IF(OR($A814="",$B814=""),"",IF(ISNUMBER($A814),INT(MOD($A814,10000)/100),IFERROR(VALUE(TRIM(LEFT(MID($A814,FIND("/",$A814)+1,20),FIND("/",MID($A814,FIND("/",$A814)+1,20))-1))),"")))</f>
        <v/>
      </c>
      <c r="D814">
        <f>IF(OR($A814="",$B814=""),"",IF(ISNUMBER($A814),MOD($A814,100),IFERROR(VALUE(TRIM(MID(MID($A814,FIND("/",$A814)+1,20),FIND("/",MID($A814,FIND("/",$A814)+1,20))+1,20))),"")))</f>
        <v/>
      </c>
      <c r="E814">
        <f>IF($A814="","",IF(OR($B814="",$C814="",$D814="",$B814&lt;1300,$B814&gt;1500,$C814&lt;1,$C814&gt;12,$D814&lt;1,$D814&gt;31),"نامعتبر",RIGHT("0000"&amp;$B814,4)&amp;"/"&amp;RIGHT("00"&amp;$C814,2)&amp;"/"&amp;RIGHT("00"&amp;$D814,2)))</f>
        <v/>
      </c>
      <c r="F814">
        <f>IF(OR($E814="",$E814="نامعتبر"),"",IF(Sync!$Q811="","0000",IF(AND(ISNUMBER(Sync!$Q811),Sync!$Q811&gt;=0,Sync!$Q811&lt;1),RIGHT("00"&amp;HOUR(Sync!$Q811),2)&amp;RIGHT("00"&amp;MINUTE(Sync!$Q811),2),IFERROR(RIGHT("00"&amp;VALUE(LEFT(Sync!$Q811,FIND(":",Sync!$Q811)-1)),2)&amp;RIGHT("00"&amp;VALUE(MID(Sync!$Q811,FIND(":",Sync!$Q811)+1,2)),2),"0000"))))</f>
        <v/>
      </c>
      <c r="G814">
        <f>IF(OR($E814="",$E814="نامعتبر"),"",IF(Sync!$S811="","",Sync!$S811))</f>
        <v/>
      </c>
      <c r="H814">
        <f>IF(OR($E814="",$E814="نامعتبر"),"",IF(Sync!$R811="","",Sync!$R811))</f>
        <v/>
      </c>
      <c r="I814">
        <f>IF(OR($E814="",$E814="نامعتبر"),"",IF(Sync!$T811="","",Sync!$T811))</f>
        <v/>
      </c>
      <c r="J814">
        <f>IF(OR($E814="",$E814="نامعتبر"),"",IF(Sync!$U811="","",Sync!$U811))</f>
        <v/>
      </c>
      <c r="K814">
        <f>IF(OR($E814="",$E814="نامعتبر"),"",IF(Sync!$V811="","",IFERROR(INDEX(SubCodes,MATCH(Sync!$V811,SubTitles,0)),Sync!$V811)))</f>
        <v/>
      </c>
      <c r="L814">
        <f>IF(OR($E814="",$E814="نامعتبر"),"",IF(Sync!$W811="",0,Sync!$W811))</f>
        <v/>
      </c>
      <c r="M814">
        <f>IF(OR($E814="",$E814="نامعتبر"),"",IF(Sync!$X811="",0,Sync!$X811))</f>
        <v/>
      </c>
      <c r="N814">
        <f>IF(OR($E814="",$E814="نامعتبر"),"",IF(AND($J814="هزینه",$K814&lt;&gt;""),1,0))</f>
        <v/>
      </c>
      <c r="O814">
        <f>IF($N814=0,"",LEFT($E814,4)&amp;MID($E814,6,2)&amp;RIGHT($E814,2)&amp;$F814&amp;"|"&amp;"1"&amp;RIGHT("00000"&amp;806,5))</f>
        <v/>
      </c>
      <c r="P814">
        <f>IF($O814="","",COUNTIFS(ExpSub,$K814,ExpKey,"&lt;"&amp;$O814)+1)</f>
        <v/>
      </c>
      <c r="Q814">
        <f>IF($P814="","",$K814&amp;"|"&amp;RIGHT("000000"&amp;$P814,6))</f>
        <v/>
      </c>
    </row>
    <row r="815">
      <c r="A815">
        <f>IF(Sync!$P812="","",Sync!$P812)</f>
        <v/>
      </c>
      <c r="B815">
        <f>IF($A815="","",IF(ISNUMBER($A815),IF(AND($A815&gt;=10000101,$A815&lt;=99991231),INT($A815/10000),""),IFERROR(VALUE(TRIM(LEFT($A815,FIND("/",$A815)-1))),"")))</f>
        <v/>
      </c>
      <c r="C815">
        <f>IF(OR($A815="",$B815=""),"",IF(ISNUMBER($A815),INT(MOD($A815,10000)/100),IFERROR(VALUE(TRIM(LEFT(MID($A815,FIND("/",$A815)+1,20),FIND("/",MID($A815,FIND("/",$A815)+1,20))-1))),"")))</f>
        <v/>
      </c>
      <c r="D815">
        <f>IF(OR($A815="",$B815=""),"",IF(ISNUMBER($A815),MOD($A815,100),IFERROR(VALUE(TRIM(MID(MID($A815,FIND("/",$A815)+1,20),FIND("/",MID($A815,FIND("/",$A815)+1,20))+1,20))),"")))</f>
        <v/>
      </c>
      <c r="E815">
        <f>IF($A815="","",IF(OR($B815="",$C815="",$D815="",$B815&lt;1300,$B815&gt;1500,$C815&lt;1,$C815&gt;12,$D815&lt;1,$D815&gt;31),"نامعتبر",RIGHT("0000"&amp;$B815,4)&amp;"/"&amp;RIGHT("00"&amp;$C815,2)&amp;"/"&amp;RIGHT("00"&amp;$D815,2)))</f>
        <v/>
      </c>
      <c r="F815">
        <f>IF(OR($E815="",$E815="نامعتبر"),"",IF(Sync!$Q812="","0000",IF(AND(ISNUMBER(Sync!$Q812),Sync!$Q812&gt;=0,Sync!$Q812&lt;1),RIGHT("00"&amp;HOUR(Sync!$Q812),2)&amp;RIGHT("00"&amp;MINUTE(Sync!$Q812),2),IFERROR(RIGHT("00"&amp;VALUE(LEFT(Sync!$Q812,FIND(":",Sync!$Q812)-1)),2)&amp;RIGHT("00"&amp;VALUE(MID(Sync!$Q812,FIND(":",Sync!$Q812)+1,2)),2),"0000"))))</f>
        <v/>
      </c>
      <c r="G815">
        <f>IF(OR($E815="",$E815="نامعتبر"),"",IF(Sync!$S812="","",Sync!$S812))</f>
        <v/>
      </c>
      <c r="H815">
        <f>IF(OR($E815="",$E815="نامعتبر"),"",IF(Sync!$R812="","",Sync!$R812))</f>
        <v/>
      </c>
      <c r="I815">
        <f>IF(OR($E815="",$E815="نامعتبر"),"",IF(Sync!$T812="","",Sync!$T812))</f>
        <v/>
      </c>
      <c r="J815">
        <f>IF(OR($E815="",$E815="نامعتبر"),"",IF(Sync!$U812="","",Sync!$U812))</f>
        <v/>
      </c>
      <c r="K815">
        <f>IF(OR($E815="",$E815="نامعتبر"),"",IF(Sync!$V812="","",IFERROR(INDEX(SubCodes,MATCH(Sync!$V812,SubTitles,0)),Sync!$V812)))</f>
        <v/>
      </c>
      <c r="L815">
        <f>IF(OR($E815="",$E815="نامعتبر"),"",IF(Sync!$W812="",0,Sync!$W812))</f>
        <v/>
      </c>
      <c r="M815">
        <f>IF(OR($E815="",$E815="نامعتبر"),"",IF(Sync!$X812="",0,Sync!$X812))</f>
        <v/>
      </c>
      <c r="N815">
        <f>IF(OR($E815="",$E815="نامعتبر"),"",IF(AND($J815="هزینه",$K815&lt;&gt;""),1,0))</f>
        <v/>
      </c>
      <c r="O815">
        <f>IF($N815=0,"",LEFT($E815,4)&amp;MID($E815,6,2)&amp;RIGHT($E815,2)&amp;$F815&amp;"|"&amp;"1"&amp;RIGHT("00000"&amp;807,5))</f>
        <v/>
      </c>
      <c r="P815">
        <f>IF($O815="","",COUNTIFS(ExpSub,$K815,ExpKey,"&lt;"&amp;$O815)+1)</f>
        <v/>
      </c>
      <c r="Q815">
        <f>IF($P815="","",$K815&amp;"|"&amp;RIGHT("000000"&amp;$P815,6))</f>
        <v/>
      </c>
    </row>
    <row r="816">
      <c r="A816">
        <f>IF(Sync!$P813="","",Sync!$P813)</f>
        <v/>
      </c>
      <c r="B816">
        <f>IF($A816="","",IF(ISNUMBER($A816),IF(AND($A816&gt;=10000101,$A816&lt;=99991231),INT($A816/10000),""),IFERROR(VALUE(TRIM(LEFT($A816,FIND("/",$A816)-1))),"")))</f>
        <v/>
      </c>
      <c r="C816">
        <f>IF(OR($A816="",$B816=""),"",IF(ISNUMBER($A816),INT(MOD($A816,10000)/100),IFERROR(VALUE(TRIM(LEFT(MID($A816,FIND("/",$A816)+1,20),FIND("/",MID($A816,FIND("/",$A816)+1,20))-1))),"")))</f>
        <v/>
      </c>
      <c r="D816">
        <f>IF(OR($A816="",$B816=""),"",IF(ISNUMBER($A816),MOD($A816,100),IFERROR(VALUE(TRIM(MID(MID($A816,FIND("/",$A816)+1,20),FIND("/",MID($A816,FIND("/",$A816)+1,20))+1,20))),"")))</f>
        <v/>
      </c>
      <c r="E816">
        <f>IF($A816="","",IF(OR($B816="",$C816="",$D816="",$B816&lt;1300,$B816&gt;1500,$C816&lt;1,$C816&gt;12,$D816&lt;1,$D816&gt;31),"نامعتبر",RIGHT("0000"&amp;$B816,4)&amp;"/"&amp;RIGHT("00"&amp;$C816,2)&amp;"/"&amp;RIGHT("00"&amp;$D816,2)))</f>
        <v/>
      </c>
      <c r="F816">
        <f>IF(OR($E816="",$E816="نامعتبر"),"",IF(Sync!$Q813="","0000",IF(AND(ISNUMBER(Sync!$Q813),Sync!$Q813&gt;=0,Sync!$Q813&lt;1),RIGHT("00"&amp;HOUR(Sync!$Q813),2)&amp;RIGHT("00"&amp;MINUTE(Sync!$Q813),2),IFERROR(RIGHT("00"&amp;VALUE(LEFT(Sync!$Q813,FIND(":",Sync!$Q813)-1)),2)&amp;RIGHT("00"&amp;VALUE(MID(Sync!$Q813,FIND(":",Sync!$Q813)+1,2)),2),"0000"))))</f>
        <v/>
      </c>
      <c r="G816">
        <f>IF(OR($E816="",$E816="نامعتبر"),"",IF(Sync!$S813="","",Sync!$S813))</f>
        <v/>
      </c>
      <c r="H816">
        <f>IF(OR($E816="",$E816="نامعتبر"),"",IF(Sync!$R813="","",Sync!$R813))</f>
        <v/>
      </c>
      <c r="I816">
        <f>IF(OR($E816="",$E816="نامعتبر"),"",IF(Sync!$T813="","",Sync!$T813))</f>
        <v/>
      </c>
      <c r="J816">
        <f>IF(OR($E816="",$E816="نامعتبر"),"",IF(Sync!$U813="","",Sync!$U813))</f>
        <v/>
      </c>
      <c r="K816">
        <f>IF(OR($E816="",$E816="نامعتبر"),"",IF(Sync!$V813="","",IFERROR(INDEX(SubCodes,MATCH(Sync!$V813,SubTitles,0)),Sync!$V813)))</f>
        <v/>
      </c>
      <c r="L816">
        <f>IF(OR($E816="",$E816="نامعتبر"),"",IF(Sync!$W813="",0,Sync!$W813))</f>
        <v/>
      </c>
      <c r="M816">
        <f>IF(OR($E816="",$E816="نامعتبر"),"",IF(Sync!$X813="",0,Sync!$X813))</f>
        <v/>
      </c>
      <c r="N816">
        <f>IF(OR($E816="",$E816="نامعتبر"),"",IF(AND($J816="هزینه",$K816&lt;&gt;""),1,0))</f>
        <v/>
      </c>
      <c r="O816">
        <f>IF($N816=0,"",LEFT($E816,4)&amp;MID($E816,6,2)&amp;RIGHT($E816,2)&amp;$F816&amp;"|"&amp;"1"&amp;RIGHT("00000"&amp;808,5))</f>
        <v/>
      </c>
      <c r="P816">
        <f>IF($O816="","",COUNTIFS(ExpSub,$K816,ExpKey,"&lt;"&amp;$O816)+1)</f>
        <v/>
      </c>
      <c r="Q816">
        <f>IF($P816="","",$K816&amp;"|"&amp;RIGHT("000000"&amp;$P816,6))</f>
        <v/>
      </c>
    </row>
    <row r="817">
      <c r="A817">
        <f>IF(Sync!$P814="","",Sync!$P814)</f>
        <v/>
      </c>
      <c r="B817">
        <f>IF($A817="","",IF(ISNUMBER($A817),IF(AND($A817&gt;=10000101,$A817&lt;=99991231),INT($A817/10000),""),IFERROR(VALUE(TRIM(LEFT($A817,FIND("/",$A817)-1))),"")))</f>
        <v/>
      </c>
      <c r="C817">
        <f>IF(OR($A817="",$B817=""),"",IF(ISNUMBER($A817),INT(MOD($A817,10000)/100),IFERROR(VALUE(TRIM(LEFT(MID($A817,FIND("/",$A817)+1,20),FIND("/",MID($A817,FIND("/",$A817)+1,20))-1))),"")))</f>
        <v/>
      </c>
      <c r="D817">
        <f>IF(OR($A817="",$B817=""),"",IF(ISNUMBER($A817),MOD($A817,100),IFERROR(VALUE(TRIM(MID(MID($A817,FIND("/",$A817)+1,20),FIND("/",MID($A817,FIND("/",$A817)+1,20))+1,20))),"")))</f>
        <v/>
      </c>
      <c r="E817">
        <f>IF($A817="","",IF(OR($B817="",$C817="",$D817="",$B817&lt;1300,$B817&gt;1500,$C817&lt;1,$C817&gt;12,$D817&lt;1,$D817&gt;31),"نامعتبر",RIGHT("0000"&amp;$B817,4)&amp;"/"&amp;RIGHT("00"&amp;$C817,2)&amp;"/"&amp;RIGHT("00"&amp;$D817,2)))</f>
        <v/>
      </c>
      <c r="F817">
        <f>IF(OR($E817="",$E817="نامعتبر"),"",IF(Sync!$Q814="","0000",IF(AND(ISNUMBER(Sync!$Q814),Sync!$Q814&gt;=0,Sync!$Q814&lt;1),RIGHT("00"&amp;HOUR(Sync!$Q814),2)&amp;RIGHT("00"&amp;MINUTE(Sync!$Q814),2),IFERROR(RIGHT("00"&amp;VALUE(LEFT(Sync!$Q814,FIND(":",Sync!$Q814)-1)),2)&amp;RIGHT("00"&amp;VALUE(MID(Sync!$Q814,FIND(":",Sync!$Q814)+1,2)),2),"0000"))))</f>
        <v/>
      </c>
      <c r="G817">
        <f>IF(OR($E817="",$E817="نامعتبر"),"",IF(Sync!$S814="","",Sync!$S814))</f>
        <v/>
      </c>
      <c r="H817">
        <f>IF(OR($E817="",$E817="نامعتبر"),"",IF(Sync!$R814="","",Sync!$R814))</f>
        <v/>
      </c>
      <c r="I817">
        <f>IF(OR($E817="",$E817="نامعتبر"),"",IF(Sync!$T814="","",Sync!$T814))</f>
        <v/>
      </c>
      <c r="J817">
        <f>IF(OR($E817="",$E817="نامعتبر"),"",IF(Sync!$U814="","",Sync!$U814))</f>
        <v/>
      </c>
      <c r="K817">
        <f>IF(OR($E817="",$E817="نامعتبر"),"",IF(Sync!$V814="","",IFERROR(INDEX(SubCodes,MATCH(Sync!$V814,SubTitles,0)),Sync!$V814)))</f>
        <v/>
      </c>
      <c r="L817">
        <f>IF(OR($E817="",$E817="نامعتبر"),"",IF(Sync!$W814="",0,Sync!$W814))</f>
        <v/>
      </c>
      <c r="M817">
        <f>IF(OR($E817="",$E817="نامعتبر"),"",IF(Sync!$X814="",0,Sync!$X814))</f>
        <v/>
      </c>
      <c r="N817">
        <f>IF(OR($E817="",$E817="نامعتبر"),"",IF(AND($J817="هزینه",$K817&lt;&gt;""),1,0))</f>
        <v/>
      </c>
      <c r="O817">
        <f>IF($N817=0,"",LEFT($E817,4)&amp;MID($E817,6,2)&amp;RIGHT($E817,2)&amp;$F817&amp;"|"&amp;"1"&amp;RIGHT("00000"&amp;809,5))</f>
        <v/>
      </c>
      <c r="P817">
        <f>IF($O817="","",COUNTIFS(ExpSub,$K817,ExpKey,"&lt;"&amp;$O817)+1)</f>
        <v/>
      </c>
      <c r="Q817">
        <f>IF($P817="","",$K817&amp;"|"&amp;RIGHT("000000"&amp;$P817,6))</f>
        <v/>
      </c>
    </row>
    <row r="818">
      <c r="A818">
        <f>IF(Sync!$P815="","",Sync!$P815)</f>
        <v/>
      </c>
      <c r="B818">
        <f>IF($A818="","",IF(ISNUMBER($A818),IF(AND($A818&gt;=10000101,$A818&lt;=99991231),INT($A818/10000),""),IFERROR(VALUE(TRIM(LEFT($A818,FIND("/",$A818)-1))),"")))</f>
        <v/>
      </c>
      <c r="C818">
        <f>IF(OR($A818="",$B818=""),"",IF(ISNUMBER($A818),INT(MOD($A818,10000)/100),IFERROR(VALUE(TRIM(LEFT(MID($A818,FIND("/",$A818)+1,20),FIND("/",MID($A818,FIND("/",$A818)+1,20))-1))),"")))</f>
        <v/>
      </c>
      <c r="D818">
        <f>IF(OR($A818="",$B818=""),"",IF(ISNUMBER($A818),MOD($A818,100),IFERROR(VALUE(TRIM(MID(MID($A818,FIND("/",$A818)+1,20),FIND("/",MID($A818,FIND("/",$A818)+1,20))+1,20))),"")))</f>
        <v/>
      </c>
      <c r="E818">
        <f>IF($A818="","",IF(OR($B818="",$C818="",$D818="",$B818&lt;1300,$B818&gt;1500,$C818&lt;1,$C818&gt;12,$D818&lt;1,$D818&gt;31),"نامعتبر",RIGHT("0000"&amp;$B818,4)&amp;"/"&amp;RIGHT("00"&amp;$C818,2)&amp;"/"&amp;RIGHT("00"&amp;$D818,2)))</f>
        <v/>
      </c>
      <c r="F818">
        <f>IF(OR($E818="",$E818="نامعتبر"),"",IF(Sync!$Q815="","0000",IF(AND(ISNUMBER(Sync!$Q815),Sync!$Q815&gt;=0,Sync!$Q815&lt;1),RIGHT("00"&amp;HOUR(Sync!$Q815),2)&amp;RIGHT("00"&amp;MINUTE(Sync!$Q815),2),IFERROR(RIGHT("00"&amp;VALUE(LEFT(Sync!$Q815,FIND(":",Sync!$Q815)-1)),2)&amp;RIGHT("00"&amp;VALUE(MID(Sync!$Q815,FIND(":",Sync!$Q815)+1,2)),2),"0000"))))</f>
        <v/>
      </c>
      <c r="G818">
        <f>IF(OR($E818="",$E818="نامعتبر"),"",IF(Sync!$S815="","",Sync!$S815))</f>
        <v/>
      </c>
      <c r="H818">
        <f>IF(OR($E818="",$E818="نامعتبر"),"",IF(Sync!$R815="","",Sync!$R815))</f>
        <v/>
      </c>
      <c r="I818">
        <f>IF(OR($E818="",$E818="نامعتبر"),"",IF(Sync!$T815="","",Sync!$T815))</f>
        <v/>
      </c>
      <c r="J818">
        <f>IF(OR($E818="",$E818="نامعتبر"),"",IF(Sync!$U815="","",Sync!$U815))</f>
        <v/>
      </c>
      <c r="K818">
        <f>IF(OR($E818="",$E818="نامعتبر"),"",IF(Sync!$V815="","",IFERROR(INDEX(SubCodes,MATCH(Sync!$V815,SubTitles,0)),Sync!$V815)))</f>
        <v/>
      </c>
      <c r="L818">
        <f>IF(OR($E818="",$E818="نامعتبر"),"",IF(Sync!$W815="",0,Sync!$W815))</f>
        <v/>
      </c>
      <c r="M818">
        <f>IF(OR($E818="",$E818="نامعتبر"),"",IF(Sync!$X815="",0,Sync!$X815))</f>
        <v/>
      </c>
      <c r="N818">
        <f>IF(OR($E818="",$E818="نامعتبر"),"",IF(AND($J818="هزینه",$K818&lt;&gt;""),1,0))</f>
        <v/>
      </c>
      <c r="O818">
        <f>IF($N818=0,"",LEFT($E818,4)&amp;MID($E818,6,2)&amp;RIGHT($E818,2)&amp;$F818&amp;"|"&amp;"1"&amp;RIGHT("00000"&amp;810,5))</f>
        <v/>
      </c>
      <c r="P818">
        <f>IF($O818="","",COUNTIFS(ExpSub,$K818,ExpKey,"&lt;"&amp;$O818)+1)</f>
        <v/>
      </c>
      <c r="Q818">
        <f>IF($P818="","",$K818&amp;"|"&amp;RIGHT("000000"&amp;$P818,6))</f>
        <v/>
      </c>
    </row>
    <row r="819">
      <c r="A819">
        <f>IF(Sync!$P816="","",Sync!$P816)</f>
        <v/>
      </c>
      <c r="B819">
        <f>IF($A819="","",IF(ISNUMBER($A819),IF(AND($A819&gt;=10000101,$A819&lt;=99991231),INT($A819/10000),""),IFERROR(VALUE(TRIM(LEFT($A819,FIND("/",$A819)-1))),"")))</f>
        <v/>
      </c>
      <c r="C819">
        <f>IF(OR($A819="",$B819=""),"",IF(ISNUMBER($A819),INT(MOD($A819,10000)/100),IFERROR(VALUE(TRIM(LEFT(MID($A819,FIND("/",$A819)+1,20),FIND("/",MID($A819,FIND("/",$A819)+1,20))-1))),"")))</f>
        <v/>
      </c>
      <c r="D819">
        <f>IF(OR($A819="",$B819=""),"",IF(ISNUMBER($A819),MOD($A819,100),IFERROR(VALUE(TRIM(MID(MID($A819,FIND("/",$A819)+1,20),FIND("/",MID($A819,FIND("/",$A819)+1,20))+1,20))),"")))</f>
        <v/>
      </c>
      <c r="E819">
        <f>IF($A819="","",IF(OR($B819="",$C819="",$D819="",$B819&lt;1300,$B819&gt;1500,$C819&lt;1,$C819&gt;12,$D819&lt;1,$D819&gt;31),"نامعتبر",RIGHT("0000"&amp;$B819,4)&amp;"/"&amp;RIGHT("00"&amp;$C819,2)&amp;"/"&amp;RIGHT("00"&amp;$D819,2)))</f>
        <v/>
      </c>
      <c r="F819">
        <f>IF(OR($E819="",$E819="نامعتبر"),"",IF(Sync!$Q816="","0000",IF(AND(ISNUMBER(Sync!$Q816),Sync!$Q816&gt;=0,Sync!$Q816&lt;1),RIGHT("00"&amp;HOUR(Sync!$Q816),2)&amp;RIGHT("00"&amp;MINUTE(Sync!$Q816),2),IFERROR(RIGHT("00"&amp;VALUE(LEFT(Sync!$Q816,FIND(":",Sync!$Q816)-1)),2)&amp;RIGHT("00"&amp;VALUE(MID(Sync!$Q816,FIND(":",Sync!$Q816)+1,2)),2),"0000"))))</f>
        <v/>
      </c>
      <c r="G819">
        <f>IF(OR($E819="",$E819="نامعتبر"),"",IF(Sync!$S816="","",Sync!$S816))</f>
        <v/>
      </c>
      <c r="H819">
        <f>IF(OR($E819="",$E819="نامعتبر"),"",IF(Sync!$R816="","",Sync!$R816))</f>
        <v/>
      </c>
      <c r="I819">
        <f>IF(OR($E819="",$E819="نامعتبر"),"",IF(Sync!$T816="","",Sync!$T816))</f>
        <v/>
      </c>
      <c r="J819">
        <f>IF(OR($E819="",$E819="نامعتبر"),"",IF(Sync!$U816="","",Sync!$U816))</f>
        <v/>
      </c>
      <c r="K819">
        <f>IF(OR($E819="",$E819="نامعتبر"),"",IF(Sync!$V816="","",IFERROR(INDEX(SubCodes,MATCH(Sync!$V816,SubTitles,0)),Sync!$V816)))</f>
        <v/>
      </c>
      <c r="L819">
        <f>IF(OR($E819="",$E819="نامعتبر"),"",IF(Sync!$W816="",0,Sync!$W816))</f>
        <v/>
      </c>
      <c r="M819">
        <f>IF(OR($E819="",$E819="نامعتبر"),"",IF(Sync!$X816="",0,Sync!$X816))</f>
        <v/>
      </c>
      <c r="N819">
        <f>IF(OR($E819="",$E819="نامعتبر"),"",IF(AND($J819="هزینه",$K819&lt;&gt;""),1,0))</f>
        <v/>
      </c>
      <c r="O819">
        <f>IF($N819=0,"",LEFT($E819,4)&amp;MID($E819,6,2)&amp;RIGHT($E819,2)&amp;$F819&amp;"|"&amp;"1"&amp;RIGHT("00000"&amp;811,5))</f>
        <v/>
      </c>
      <c r="P819">
        <f>IF($O819="","",COUNTIFS(ExpSub,$K819,ExpKey,"&lt;"&amp;$O819)+1)</f>
        <v/>
      </c>
      <c r="Q819">
        <f>IF($P819="","",$K819&amp;"|"&amp;RIGHT("000000"&amp;$P819,6))</f>
        <v/>
      </c>
    </row>
    <row r="820">
      <c r="A820">
        <f>IF(Sync!$P817="","",Sync!$P817)</f>
        <v/>
      </c>
      <c r="B820">
        <f>IF($A820="","",IF(ISNUMBER($A820),IF(AND($A820&gt;=10000101,$A820&lt;=99991231),INT($A820/10000),""),IFERROR(VALUE(TRIM(LEFT($A820,FIND("/",$A820)-1))),"")))</f>
        <v/>
      </c>
      <c r="C820">
        <f>IF(OR($A820="",$B820=""),"",IF(ISNUMBER($A820),INT(MOD($A820,10000)/100),IFERROR(VALUE(TRIM(LEFT(MID($A820,FIND("/",$A820)+1,20),FIND("/",MID($A820,FIND("/",$A820)+1,20))-1))),"")))</f>
        <v/>
      </c>
      <c r="D820">
        <f>IF(OR($A820="",$B820=""),"",IF(ISNUMBER($A820),MOD($A820,100),IFERROR(VALUE(TRIM(MID(MID($A820,FIND("/",$A820)+1,20),FIND("/",MID($A820,FIND("/",$A820)+1,20))+1,20))),"")))</f>
        <v/>
      </c>
      <c r="E820">
        <f>IF($A820="","",IF(OR($B820="",$C820="",$D820="",$B820&lt;1300,$B820&gt;1500,$C820&lt;1,$C820&gt;12,$D820&lt;1,$D820&gt;31),"نامعتبر",RIGHT("0000"&amp;$B820,4)&amp;"/"&amp;RIGHT("00"&amp;$C820,2)&amp;"/"&amp;RIGHT("00"&amp;$D820,2)))</f>
        <v/>
      </c>
      <c r="F820">
        <f>IF(OR($E820="",$E820="نامعتبر"),"",IF(Sync!$Q817="","0000",IF(AND(ISNUMBER(Sync!$Q817),Sync!$Q817&gt;=0,Sync!$Q817&lt;1),RIGHT("00"&amp;HOUR(Sync!$Q817),2)&amp;RIGHT("00"&amp;MINUTE(Sync!$Q817),2),IFERROR(RIGHT("00"&amp;VALUE(LEFT(Sync!$Q817,FIND(":",Sync!$Q817)-1)),2)&amp;RIGHT("00"&amp;VALUE(MID(Sync!$Q817,FIND(":",Sync!$Q817)+1,2)),2),"0000"))))</f>
        <v/>
      </c>
      <c r="G820">
        <f>IF(OR($E820="",$E820="نامعتبر"),"",IF(Sync!$S817="","",Sync!$S817))</f>
        <v/>
      </c>
      <c r="H820">
        <f>IF(OR($E820="",$E820="نامعتبر"),"",IF(Sync!$R817="","",Sync!$R817))</f>
        <v/>
      </c>
      <c r="I820">
        <f>IF(OR($E820="",$E820="نامعتبر"),"",IF(Sync!$T817="","",Sync!$T817))</f>
        <v/>
      </c>
      <c r="J820">
        <f>IF(OR($E820="",$E820="نامعتبر"),"",IF(Sync!$U817="","",Sync!$U817))</f>
        <v/>
      </c>
      <c r="K820">
        <f>IF(OR($E820="",$E820="نامعتبر"),"",IF(Sync!$V817="","",IFERROR(INDEX(SubCodes,MATCH(Sync!$V817,SubTitles,0)),Sync!$V817)))</f>
        <v/>
      </c>
      <c r="L820">
        <f>IF(OR($E820="",$E820="نامعتبر"),"",IF(Sync!$W817="",0,Sync!$W817))</f>
        <v/>
      </c>
      <c r="M820">
        <f>IF(OR($E820="",$E820="نامعتبر"),"",IF(Sync!$X817="",0,Sync!$X817))</f>
        <v/>
      </c>
      <c r="N820">
        <f>IF(OR($E820="",$E820="نامعتبر"),"",IF(AND($J820="هزینه",$K820&lt;&gt;""),1,0))</f>
        <v/>
      </c>
      <c r="O820">
        <f>IF($N820=0,"",LEFT($E820,4)&amp;MID($E820,6,2)&amp;RIGHT($E820,2)&amp;$F820&amp;"|"&amp;"1"&amp;RIGHT("00000"&amp;812,5))</f>
        <v/>
      </c>
      <c r="P820">
        <f>IF($O820="","",COUNTIFS(ExpSub,$K820,ExpKey,"&lt;"&amp;$O820)+1)</f>
        <v/>
      </c>
      <c r="Q820">
        <f>IF($P820="","",$K820&amp;"|"&amp;RIGHT("000000"&amp;$P820,6))</f>
        <v/>
      </c>
    </row>
    <row r="821">
      <c r="A821">
        <f>IF(Sync!$P818="","",Sync!$P818)</f>
        <v/>
      </c>
      <c r="B821">
        <f>IF($A821="","",IF(ISNUMBER($A821),IF(AND($A821&gt;=10000101,$A821&lt;=99991231),INT($A821/10000),""),IFERROR(VALUE(TRIM(LEFT($A821,FIND("/",$A821)-1))),"")))</f>
        <v/>
      </c>
      <c r="C821">
        <f>IF(OR($A821="",$B821=""),"",IF(ISNUMBER($A821),INT(MOD($A821,10000)/100),IFERROR(VALUE(TRIM(LEFT(MID($A821,FIND("/",$A821)+1,20),FIND("/",MID($A821,FIND("/",$A821)+1,20))-1))),"")))</f>
        <v/>
      </c>
      <c r="D821">
        <f>IF(OR($A821="",$B821=""),"",IF(ISNUMBER($A821),MOD($A821,100),IFERROR(VALUE(TRIM(MID(MID($A821,FIND("/",$A821)+1,20),FIND("/",MID($A821,FIND("/",$A821)+1,20))+1,20))),"")))</f>
        <v/>
      </c>
      <c r="E821">
        <f>IF($A821="","",IF(OR($B821="",$C821="",$D821="",$B821&lt;1300,$B821&gt;1500,$C821&lt;1,$C821&gt;12,$D821&lt;1,$D821&gt;31),"نامعتبر",RIGHT("0000"&amp;$B821,4)&amp;"/"&amp;RIGHT("00"&amp;$C821,2)&amp;"/"&amp;RIGHT("00"&amp;$D821,2)))</f>
        <v/>
      </c>
      <c r="F821">
        <f>IF(OR($E821="",$E821="نامعتبر"),"",IF(Sync!$Q818="","0000",IF(AND(ISNUMBER(Sync!$Q818),Sync!$Q818&gt;=0,Sync!$Q818&lt;1),RIGHT("00"&amp;HOUR(Sync!$Q818),2)&amp;RIGHT("00"&amp;MINUTE(Sync!$Q818),2),IFERROR(RIGHT("00"&amp;VALUE(LEFT(Sync!$Q818,FIND(":",Sync!$Q818)-1)),2)&amp;RIGHT("00"&amp;VALUE(MID(Sync!$Q818,FIND(":",Sync!$Q818)+1,2)),2),"0000"))))</f>
        <v/>
      </c>
      <c r="G821">
        <f>IF(OR($E821="",$E821="نامعتبر"),"",IF(Sync!$S818="","",Sync!$S818))</f>
        <v/>
      </c>
      <c r="H821">
        <f>IF(OR($E821="",$E821="نامعتبر"),"",IF(Sync!$R818="","",Sync!$R818))</f>
        <v/>
      </c>
      <c r="I821">
        <f>IF(OR($E821="",$E821="نامعتبر"),"",IF(Sync!$T818="","",Sync!$T818))</f>
        <v/>
      </c>
      <c r="J821">
        <f>IF(OR($E821="",$E821="نامعتبر"),"",IF(Sync!$U818="","",Sync!$U818))</f>
        <v/>
      </c>
      <c r="K821">
        <f>IF(OR($E821="",$E821="نامعتبر"),"",IF(Sync!$V818="","",IFERROR(INDEX(SubCodes,MATCH(Sync!$V818,SubTitles,0)),Sync!$V818)))</f>
        <v/>
      </c>
      <c r="L821">
        <f>IF(OR($E821="",$E821="نامعتبر"),"",IF(Sync!$W818="",0,Sync!$W818))</f>
        <v/>
      </c>
      <c r="M821">
        <f>IF(OR($E821="",$E821="نامعتبر"),"",IF(Sync!$X818="",0,Sync!$X818))</f>
        <v/>
      </c>
      <c r="N821">
        <f>IF(OR($E821="",$E821="نامعتبر"),"",IF(AND($J821="هزینه",$K821&lt;&gt;""),1,0))</f>
        <v/>
      </c>
      <c r="O821">
        <f>IF($N821=0,"",LEFT($E821,4)&amp;MID($E821,6,2)&amp;RIGHT($E821,2)&amp;$F821&amp;"|"&amp;"1"&amp;RIGHT("00000"&amp;813,5))</f>
        <v/>
      </c>
      <c r="P821">
        <f>IF($O821="","",COUNTIFS(ExpSub,$K821,ExpKey,"&lt;"&amp;$O821)+1)</f>
        <v/>
      </c>
      <c r="Q821">
        <f>IF($P821="","",$K821&amp;"|"&amp;RIGHT("000000"&amp;$P821,6))</f>
        <v/>
      </c>
    </row>
    <row r="822">
      <c r="A822">
        <f>IF(Sync!$P819="","",Sync!$P819)</f>
        <v/>
      </c>
      <c r="B822">
        <f>IF($A822="","",IF(ISNUMBER($A822),IF(AND($A822&gt;=10000101,$A822&lt;=99991231),INT($A822/10000),""),IFERROR(VALUE(TRIM(LEFT($A822,FIND("/",$A822)-1))),"")))</f>
        <v/>
      </c>
      <c r="C822">
        <f>IF(OR($A822="",$B822=""),"",IF(ISNUMBER($A822),INT(MOD($A822,10000)/100),IFERROR(VALUE(TRIM(LEFT(MID($A822,FIND("/",$A822)+1,20),FIND("/",MID($A822,FIND("/",$A822)+1,20))-1))),"")))</f>
        <v/>
      </c>
      <c r="D822">
        <f>IF(OR($A822="",$B822=""),"",IF(ISNUMBER($A822),MOD($A822,100),IFERROR(VALUE(TRIM(MID(MID($A822,FIND("/",$A822)+1,20),FIND("/",MID($A822,FIND("/",$A822)+1,20))+1,20))),"")))</f>
        <v/>
      </c>
      <c r="E822">
        <f>IF($A822="","",IF(OR($B822="",$C822="",$D822="",$B822&lt;1300,$B822&gt;1500,$C822&lt;1,$C822&gt;12,$D822&lt;1,$D822&gt;31),"نامعتبر",RIGHT("0000"&amp;$B822,4)&amp;"/"&amp;RIGHT("00"&amp;$C822,2)&amp;"/"&amp;RIGHT("00"&amp;$D822,2)))</f>
        <v/>
      </c>
      <c r="F822">
        <f>IF(OR($E822="",$E822="نامعتبر"),"",IF(Sync!$Q819="","0000",IF(AND(ISNUMBER(Sync!$Q819),Sync!$Q819&gt;=0,Sync!$Q819&lt;1),RIGHT("00"&amp;HOUR(Sync!$Q819),2)&amp;RIGHT("00"&amp;MINUTE(Sync!$Q819),2),IFERROR(RIGHT("00"&amp;VALUE(LEFT(Sync!$Q819,FIND(":",Sync!$Q819)-1)),2)&amp;RIGHT("00"&amp;VALUE(MID(Sync!$Q819,FIND(":",Sync!$Q819)+1,2)),2),"0000"))))</f>
        <v/>
      </c>
      <c r="G822">
        <f>IF(OR($E822="",$E822="نامعتبر"),"",IF(Sync!$S819="","",Sync!$S819))</f>
        <v/>
      </c>
      <c r="H822">
        <f>IF(OR($E822="",$E822="نامعتبر"),"",IF(Sync!$R819="","",Sync!$R819))</f>
        <v/>
      </c>
      <c r="I822">
        <f>IF(OR($E822="",$E822="نامعتبر"),"",IF(Sync!$T819="","",Sync!$T819))</f>
        <v/>
      </c>
      <c r="J822">
        <f>IF(OR($E822="",$E822="نامعتبر"),"",IF(Sync!$U819="","",Sync!$U819))</f>
        <v/>
      </c>
      <c r="K822">
        <f>IF(OR($E822="",$E822="نامعتبر"),"",IF(Sync!$V819="","",IFERROR(INDEX(SubCodes,MATCH(Sync!$V819,SubTitles,0)),Sync!$V819)))</f>
        <v/>
      </c>
      <c r="L822">
        <f>IF(OR($E822="",$E822="نامعتبر"),"",IF(Sync!$W819="",0,Sync!$W819))</f>
        <v/>
      </c>
      <c r="M822">
        <f>IF(OR($E822="",$E822="نامعتبر"),"",IF(Sync!$X819="",0,Sync!$X819))</f>
        <v/>
      </c>
      <c r="N822">
        <f>IF(OR($E822="",$E822="نامعتبر"),"",IF(AND($J822="هزینه",$K822&lt;&gt;""),1,0))</f>
        <v/>
      </c>
      <c r="O822">
        <f>IF($N822=0,"",LEFT($E822,4)&amp;MID($E822,6,2)&amp;RIGHT($E822,2)&amp;$F822&amp;"|"&amp;"1"&amp;RIGHT("00000"&amp;814,5))</f>
        <v/>
      </c>
      <c r="P822">
        <f>IF($O822="","",COUNTIFS(ExpSub,$K822,ExpKey,"&lt;"&amp;$O822)+1)</f>
        <v/>
      </c>
      <c r="Q822">
        <f>IF($P822="","",$K822&amp;"|"&amp;RIGHT("000000"&amp;$P822,6))</f>
        <v/>
      </c>
    </row>
    <row r="823">
      <c r="A823">
        <f>IF(Sync!$P820="","",Sync!$P820)</f>
        <v/>
      </c>
      <c r="B823">
        <f>IF($A823="","",IF(ISNUMBER($A823),IF(AND($A823&gt;=10000101,$A823&lt;=99991231),INT($A823/10000),""),IFERROR(VALUE(TRIM(LEFT($A823,FIND("/",$A823)-1))),"")))</f>
        <v/>
      </c>
      <c r="C823">
        <f>IF(OR($A823="",$B823=""),"",IF(ISNUMBER($A823),INT(MOD($A823,10000)/100),IFERROR(VALUE(TRIM(LEFT(MID($A823,FIND("/",$A823)+1,20),FIND("/",MID($A823,FIND("/",$A823)+1,20))-1))),"")))</f>
        <v/>
      </c>
      <c r="D823">
        <f>IF(OR($A823="",$B823=""),"",IF(ISNUMBER($A823),MOD($A823,100),IFERROR(VALUE(TRIM(MID(MID($A823,FIND("/",$A823)+1,20),FIND("/",MID($A823,FIND("/",$A823)+1,20))+1,20))),"")))</f>
        <v/>
      </c>
      <c r="E823">
        <f>IF($A823="","",IF(OR($B823="",$C823="",$D823="",$B823&lt;1300,$B823&gt;1500,$C823&lt;1,$C823&gt;12,$D823&lt;1,$D823&gt;31),"نامعتبر",RIGHT("0000"&amp;$B823,4)&amp;"/"&amp;RIGHT("00"&amp;$C823,2)&amp;"/"&amp;RIGHT("00"&amp;$D823,2)))</f>
        <v/>
      </c>
      <c r="F823">
        <f>IF(OR($E823="",$E823="نامعتبر"),"",IF(Sync!$Q820="","0000",IF(AND(ISNUMBER(Sync!$Q820),Sync!$Q820&gt;=0,Sync!$Q820&lt;1),RIGHT("00"&amp;HOUR(Sync!$Q820),2)&amp;RIGHT("00"&amp;MINUTE(Sync!$Q820),2),IFERROR(RIGHT("00"&amp;VALUE(LEFT(Sync!$Q820,FIND(":",Sync!$Q820)-1)),2)&amp;RIGHT("00"&amp;VALUE(MID(Sync!$Q820,FIND(":",Sync!$Q820)+1,2)),2),"0000"))))</f>
        <v/>
      </c>
      <c r="G823">
        <f>IF(OR($E823="",$E823="نامعتبر"),"",IF(Sync!$S820="","",Sync!$S820))</f>
        <v/>
      </c>
      <c r="H823">
        <f>IF(OR($E823="",$E823="نامعتبر"),"",IF(Sync!$R820="","",Sync!$R820))</f>
        <v/>
      </c>
      <c r="I823">
        <f>IF(OR($E823="",$E823="نامعتبر"),"",IF(Sync!$T820="","",Sync!$T820))</f>
        <v/>
      </c>
      <c r="J823">
        <f>IF(OR($E823="",$E823="نامعتبر"),"",IF(Sync!$U820="","",Sync!$U820))</f>
        <v/>
      </c>
      <c r="K823">
        <f>IF(OR($E823="",$E823="نامعتبر"),"",IF(Sync!$V820="","",IFERROR(INDEX(SubCodes,MATCH(Sync!$V820,SubTitles,0)),Sync!$V820)))</f>
        <v/>
      </c>
      <c r="L823">
        <f>IF(OR($E823="",$E823="نامعتبر"),"",IF(Sync!$W820="",0,Sync!$W820))</f>
        <v/>
      </c>
      <c r="M823">
        <f>IF(OR($E823="",$E823="نامعتبر"),"",IF(Sync!$X820="",0,Sync!$X820))</f>
        <v/>
      </c>
      <c r="N823">
        <f>IF(OR($E823="",$E823="نامعتبر"),"",IF(AND($J823="هزینه",$K823&lt;&gt;""),1,0))</f>
        <v/>
      </c>
      <c r="O823">
        <f>IF($N823=0,"",LEFT($E823,4)&amp;MID($E823,6,2)&amp;RIGHT($E823,2)&amp;$F823&amp;"|"&amp;"1"&amp;RIGHT("00000"&amp;815,5))</f>
        <v/>
      </c>
      <c r="P823">
        <f>IF($O823="","",COUNTIFS(ExpSub,$K823,ExpKey,"&lt;"&amp;$O823)+1)</f>
        <v/>
      </c>
      <c r="Q823">
        <f>IF($P823="","",$K823&amp;"|"&amp;RIGHT("000000"&amp;$P823,6))</f>
        <v/>
      </c>
    </row>
    <row r="824">
      <c r="A824">
        <f>IF(Sync!$P821="","",Sync!$P821)</f>
        <v/>
      </c>
      <c r="B824">
        <f>IF($A824="","",IF(ISNUMBER($A824),IF(AND($A824&gt;=10000101,$A824&lt;=99991231),INT($A824/10000),""),IFERROR(VALUE(TRIM(LEFT($A824,FIND("/",$A824)-1))),"")))</f>
        <v/>
      </c>
      <c r="C824">
        <f>IF(OR($A824="",$B824=""),"",IF(ISNUMBER($A824),INT(MOD($A824,10000)/100),IFERROR(VALUE(TRIM(LEFT(MID($A824,FIND("/",$A824)+1,20),FIND("/",MID($A824,FIND("/",$A824)+1,20))-1))),"")))</f>
        <v/>
      </c>
      <c r="D824">
        <f>IF(OR($A824="",$B824=""),"",IF(ISNUMBER($A824),MOD($A824,100),IFERROR(VALUE(TRIM(MID(MID($A824,FIND("/",$A824)+1,20),FIND("/",MID($A824,FIND("/",$A824)+1,20))+1,20))),"")))</f>
        <v/>
      </c>
      <c r="E824">
        <f>IF($A824="","",IF(OR($B824="",$C824="",$D824="",$B824&lt;1300,$B824&gt;1500,$C824&lt;1,$C824&gt;12,$D824&lt;1,$D824&gt;31),"نامعتبر",RIGHT("0000"&amp;$B824,4)&amp;"/"&amp;RIGHT("00"&amp;$C824,2)&amp;"/"&amp;RIGHT("00"&amp;$D824,2)))</f>
        <v/>
      </c>
      <c r="F824">
        <f>IF(OR($E824="",$E824="نامعتبر"),"",IF(Sync!$Q821="","0000",IF(AND(ISNUMBER(Sync!$Q821),Sync!$Q821&gt;=0,Sync!$Q821&lt;1),RIGHT("00"&amp;HOUR(Sync!$Q821),2)&amp;RIGHT("00"&amp;MINUTE(Sync!$Q821),2),IFERROR(RIGHT("00"&amp;VALUE(LEFT(Sync!$Q821,FIND(":",Sync!$Q821)-1)),2)&amp;RIGHT("00"&amp;VALUE(MID(Sync!$Q821,FIND(":",Sync!$Q821)+1,2)),2),"0000"))))</f>
        <v/>
      </c>
      <c r="G824">
        <f>IF(OR($E824="",$E824="نامعتبر"),"",IF(Sync!$S821="","",Sync!$S821))</f>
        <v/>
      </c>
      <c r="H824">
        <f>IF(OR($E824="",$E824="نامعتبر"),"",IF(Sync!$R821="","",Sync!$R821))</f>
        <v/>
      </c>
      <c r="I824">
        <f>IF(OR($E824="",$E824="نامعتبر"),"",IF(Sync!$T821="","",Sync!$T821))</f>
        <v/>
      </c>
      <c r="J824">
        <f>IF(OR($E824="",$E824="نامعتبر"),"",IF(Sync!$U821="","",Sync!$U821))</f>
        <v/>
      </c>
      <c r="K824">
        <f>IF(OR($E824="",$E824="نامعتبر"),"",IF(Sync!$V821="","",IFERROR(INDEX(SubCodes,MATCH(Sync!$V821,SubTitles,0)),Sync!$V821)))</f>
        <v/>
      </c>
      <c r="L824">
        <f>IF(OR($E824="",$E824="نامعتبر"),"",IF(Sync!$W821="",0,Sync!$W821))</f>
        <v/>
      </c>
      <c r="M824">
        <f>IF(OR($E824="",$E824="نامعتبر"),"",IF(Sync!$X821="",0,Sync!$X821))</f>
        <v/>
      </c>
      <c r="N824">
        <f>IF(OR($E824="",$E824="نامعتبر"),"",IF(AND($J824="هزینه",$K824&lt;&gt;""),1,0))</f>
        <v/>
      </c>
      <c r="O824">
        <f>IF($N824=0,"",LEFT($E824,4)&amp;MID($E824,6,2)&amp;RIGHT($E824,2)&amp;$F824&amp;"|"&amp;"1"&amp;RIGHT("00000"&amp;816,5))</f>
        <v/>
      </c>
      <c r="P824">
        <f>IF($O824="","",COUNTIFS(ExpSub,$K824,ExpKey,"&lt;"&amp;$O824)+1)</f>
        <v/>
      </c>
      <c r="Q824">
        <f>IF($P824="","",$K824&amp;"|"&amp;RIGHT("000000"&amp;$P824,6))</f>
        <v/>
      </c>
    </row>
    <row r="825">
      <c r="A825">
        <f>IF(Sync!$P822="","",Sync!$P822)</f>
        <v/>
      </c>
      <c r="B825">
        <f>IF($A825="","",IF(ISNUMBER($A825),IF(AND($A825&gt;=10000101,$A825&lt;=99991231),INT($A825/10000),""),IFERROR(VALUE(TRIM(LEFT($A825,FIND("/",$A825)-1))),"")))</f>
        <v/>
      </c>
      <c r="C825">
        <f>IF(OR($A825="",$B825=""),"",IF(ISNUMBER($A825),INT(MOD($A825,10000)/100),IFERROR(VALUE(TRIM(LEFT(MID($A825,FIND("/",$A825)+1,20),FIND("/",MID($A825,FIND("/",$A825)+1,20))-1))),"")))</f>
        <v/>
      </c>
      <c r="D825">
        <f>IF(OR($A825="",$B825=""),"",IF(ISNUMBER($A825),MOD($A825,100),IFERROR(VALUE(TRIM(MID(MID($A825,FIND("/",$A825)+1,20),FIND("/",MID($A825,FIND("/",$A825)+1,20))+1,20))),"")))</f>
        <v/>
      </c>
      <c r="E825">
        <f>IF($A825="","",IF(OR($B825="",$C825="",$D825="",$B825&lt;1300,$B825&gt;1500,$C825&lt;1,$C825&gt;12,$D825&lt;1,$D825&gt;31),"نامعتبر",RIGHT("0000"&amp;$B825,4)&amp;"/"&amp;RIGHT("00"&amp;$C825,2)&amp;"/"&amp;RIGHT("00"&amp;$D825,2)))</f>
        <v/>
      </c>
      <c r="F825">
        <f>IF(OR($E825="",$E825="نامعتبر"),"",IF(Sync!$Q822="","0000",IF(AND(ISNUMBER(Sync!$Q822),Sync!$Q822&gt;=0,Sync!$Q822&lt;1),RIGHT("00"&amp;HOUR(Sync!$Q822),2)&amp;RIGHT("00"&amp;MINUTE(Sync!$Q822),2),IFERROR(RIGHT("00"&amp;VALUE(LEFT(Sync!$Q822,FIND(":",Sync!$Q822)-1)),2)&amp;RIGHT("00"&amp;VALUE(MID(Sync!$Q822,FIND(":",Sync!$Q822)+1,2)),2),"0000"))))</f>
        <v/>
      </c>
      <c r="G825">
        <f>IF(OR($E825="",$E825="نامعتبر"),"",IF(Sync!$S822="","",Sync!$S822))</f>
        <v/>
      </c>
      <c r="H825">
        <f>IF(OR($E825="",$E825="نامعتبر"),"",IF(Sync!$R822="","",Sync!$R822))</f>
        <v/>
      </c>
      <c r="I825">
        <f>IF(OR($E825="",$E825="نامعتبر"),"",IF(Sync!$T822="","",Sync!$T822))</f>
        <v/>
      </c>
      <c r="J825">
        <f>IF(OR($E825="",$E825="نامعتبر"),"",IF(Sync!$U822="","",Sync!$U822))</f>
        <v/>
      </c>
      <c r="K825">
        <f>IF(OR($E825="",$E825="نامعتبر"),"",IF(Sync!$V822="","",IFERROR(INDEX(SubCodes,MATCH(Sync!$V822,SubTitles,0)),Sync!$V822)))</f>
        <v/>
      </c>
      <c r="L825">
        <f>IF(OR($E825="",$E825="نامعتبر"),"",IF(Sync!$W822="",0,Sync!$W822))</f>
        <v/>
      </c>
      <c r="M825">
        <f>IF(OR($E825="",$E825="نامعتبر"),"",IF(Sync!$X822="",0,Sync!$X822))</f>
        <v/>
      </c>
      <c r="N825">
        <f>IF(OR($E825="",$E825="نامعتبر"),"",IF(AND($J825="هزینه",$K825&lt;&gt;""),1,0))</f>
        <v/>
      </c>
      <c r="O825">
        <f>IF($N825=0,"",LEFT($E825,4)&amp;MID($E825,6,2)&amp;RIGHT($E825,2)&amp;$F825&amp;"|"&amp;"1"&amp;RIGHT("00000"&amp;817,5))</f>
        <v/>
      </c>
      <c r="P825">
        <f>IF($O825="","",COUNTIFS(ExpSub,$K825,ExpKey,"&lt;"&amp;$O825)+1)</f>
        <v/>
      </c>
      <c r="Q825">
        <f>IF($P825="","",$K825&amp;"|"&amp;RIGHT("000000"&amp;$P825,6))</f>
        <v/>
      </c>
    </row>
    <row r="826">
      <c r="A826">
        <f>IF(Sync!$P823="","",Sync!$P823)</f>
        <v/>
      </c>
      <c r="B826">
        <f>IF($A826="","",IF(ISNUMBER($A826),IF(AND($A826&gt;=10000101,$A826&lt;=99991231),INT($A826/10000),""),IFERROR(VALUE(TRIM(LEFT($A826,FIND("/",$A826)-1))),"")))</f>
        <v/>
      </c>
      <c r="C826">
        <f>IF(OR($A826="",$B826=""),"",IF(ISNUMBER($A826),INT(MOD($A826,10000)/100),IFERROR(VALUE(TRIM(LEFT(MID($A826,FIND("/",$A826)+1,20),FIND("/",MID($A826,FIND("/",$A826)+1,20))-1))),"")))</f>
        <v/>
      </c>
      <c r="D826">
        <f>IF(OR($A826="",$B826=""),"",IF(ISNUMBER($A826),MOD($A826,100),IFERROR(VALUE(TRIM(MID(MID($A826,FIND("/",$A826)+1,20),FIND("/",MID($A826,FIND("/",$A826)+1,20))+1,20))),"")))</f>
        <v/>
      </c>
      <c r="E826">
        <f>IF($A826="","",IF(OR($B826="",$C826="",$D826="",$B826&lt;1300,$B826&gt;1500,$C826&lt;1,$C826&gt;12,$D826&lt;1,$D826&gt;31),"نامعتبر",RIGHT("0000"&amp;$B826,4)&amp;"/"&amp;RIGHT("00"&amp;$C826,2)&amp;"/"&amp;RIGHT("00"&amp;$D826,2)))</f>
        <v/>
      </c>
      <c r="F826">
        <f>IF(OR($E826="",$E826="نامعتبر"),"",IF(Sync!$Q823="","0000",IF(AND(ISNUMBER(Sync!$Q823),Sync!$Q823&gt;=0,Sync!$Q823&lt;1),RIGHT("00"&amp;HOUR(Sync!$Q823),2)&amp;RIGHT("00"&amp;MINUTE(Sync!$Q823),2),IFERROR(RIGHT("00"&amp;VALUE(LEFT(Sync!$Q823,FIND(":",Sync!$Q823)-1)),2)&amp;RIGHT("00"&amp;VALUE(MID(Sync!$Q823,FIND(":",Sync!$Q823)+1,2)),2),"0000"))))</f>
        <v/>
      </c>
      <c r="G826">
        <f>IF(OR($E826="",$E826="نامعتبر"),"",IF(Sync!$S823="","",Sync!$S823))</f>
        <v/>
      </c>
      <c r="H826">
        <f>IF(OR($E826="",$E826="نامعتبر"),"",IF(Sync!$R823="","",Sync!$R823))</f>
        <v/>
      </c>
      <c r="I826">
        <f>IF(OR($E826="",$E826="نامعتبر"),"",IF(Sync!$T823="","",Sync!$T823))</f>
        <v/>
      </c>
      <c r="J826">
        <f>IF(OR($E826="",$E826="نامعتبر"),"",IF(Sync!$U823="","",Sync!$U823))</f>
        <v/>
      </c>
      <c r="K826">
        <f>IF(OR($E826="",$E826="نامعتبر"),"",IF(Sync!$V823="","",IFERROR(INDEX(SubCodes,MATCH(Sync!$V823,SubTitles,0)),Sync!$V823)))</f>
        <v/>
      </c>
      <c r="L826">
        <f>IF(OR($E826="",$E826="نامعتبر"),"",IF(Sync!$W823="",0,Sync!$W823))</f>
        <v/>
      </c>
      <c r="M826">
        <f>IF(OR($E826="",$E826="نامعتبر"),"",IF(Sync!$X823="",0,Sync!$X823))</f>
        <v/>
      </c>
      <c r="N826">
        <f>IF(OR($E826="",$E826="نامعتبر"),"",IF(AND($J826="هزینه",$K826&lt;&gt;""),1,0))</f>
        <v/>
      </c>
      <c r="O826">
        <f>IF($N826=0,"",LEFT($E826,4)&amp;MID($E826,6,2)&amp;RIGHT($E826,2)&amp;$F826&amp;"|"&amp;"1"&amp;RIGHT("00000"&amp;818,5))</f>
        <v/>
      </c>
      <c r="P826">
        <f>IF($O826="","",COUNTIFS(ExpSub,$K826,ExpKey,"&lt;"&amp;$O826)+1)</f>
        <v/>
      </c>
      <c r="Q826">
        <f>IF($P826="","",$K826&amp;"|"&amp;RIGHT("000000"&amp;$P826,6))</f>
        <v/>
      </c>
    </row>
    <row r="827">
      <c r="A827">
        <f>IF(Sync!$P824="","",Sync!$P824)</f>
        <v/>
      </c>
      <c r="B827">
        <f>IF($A827="","",IF(ISNUMBER($A827),IF(AND($A827&gt;=10000101,$A827&lt;=99991231),INT($A827/10000),""),IFERROR(VALUE(TRIM(LEFT($A827,FIND("/",$A827)-1))),"")))</f>
        <v/>
      </c>
      <c r="C827">
        <f>IF(OR($A827="",$B827=""),"",IF(ISNUMBER($A827),INT(MOD($A827,10000)/100),IFERROR(VALUE(TRIM(LEFT(MID($A827,FIND("/",$A827)+1,20),FIND("/",MID($A827,FIND("/",$A827)+1,20))-1))),"")))</f>
        <v/>
      </c>
      <c r="D827">
        <f>IF(OR($A827="",$B827=""),"",IF(ISNUMBER($A827),MOD($A827,100),IFERROR(VALUE(TRIM(MID(MID($A827,FIND("/",$A827)+1,20),FIND("/",MID($A827,FIND("/",$A827)+1,20))+1,20))),"")))</f>
        <v/>
      </c>
      <c r="E827">
        <f>IF($A827="","",IF(OR($B827="",$C827="",$D827="",$B827&lt;1300,$B827&gt;1500,$C827&lt;1,$C827&gt;12,$D827&lt;1,$D827&gt;31),"نامعتبر",RIGHT("0000"&amp;$B827,4)&amp;"/"&amp;RIGHT("00"&amp;$C827,2)&amp;"/"&amp;RIGHT("00"&amp;$D827,2)))</f>
        <v/>
      </c>
      <c r="F827">
        <f>IF(OR($E827="",$E827="نامعتبر"),"",IF(Sync!$Q824="","0000",IF(AND(ISNUMBER(Sync!$Q824),Sync!$Q824&gt;=0,Sync!$Q824&lt;1),RIGHT("00"&amp;HOUR(Sync!$Q824),2)&amp;RIGHT("00"&amp;MINUTE(Sync!$Q824),2),IFERROR(RIGHT("00"&amp;VALUE(LEFT(Sync!$Q824,FIND(":",Sync!$Q824)-1)),2)&amp;RIGHT("00"&amp;VALUE(MID(Sync!$Q824,FIND(":",Sync!$Q824)+1,2)),2),"0000"))))</f>
        <v/>
      </c>
      <c r="G827">
        <f>IF(OR($E827="",$E827="نامعتبر"),"",IF(Sync!$S824="","",Sync!$S824))</f>
        <v/>
      </c>
      <c r="H827">
        <f>IF(OR($E827="",$E827="نامعتبر"),"",IF(Sync!$R824="","",Sync!$R824))</f>
        <v/>
      </c>
      <c r="I827">
        <f>IF(OR($E827="",$E827="نامعتبر"),"",IF(Sync!$T824="","",Sync!$T824))</f>
        <v/>
      </c>
      <c r="J827">
        <f>IF(OR($E827="",$E827="نامعتبر"),"",IF(Sync!$U824="","",Sync!$U824))</f>
        <v/>
      </c>
      <c r="K827">
        <f>IF(OR($E827="",$E827="نامعتبر"),"",IF(Sync!$V824="","",IFERROR(INDEX(SubCodes,MATCH(Sync!$V824,SubTitles,0)),Sync!$V824)))</f>
        <v/>
      </c>
      <c r="L827">
        <f>IF(OR($E827="",$E827="نامعتبر"),"",IF(Sync!$W824="",0,Sync!$W824))</f>
        <v/>
      </c>
      <c r="M827">
        <f>IF(OR($E827="",$E827="نامعتبر"),"",IF(Sync!$X824="",0,Sync!$X824))</f>
        <v/>
      </c>
      <c r="N827">
        <f>IF(OR($E827="",$E827="نامعتبر"),"",IF(AND($J827="هزینه",$K827&lt;&gt;""),1,0))</f>
        <v/>
      </c>
      <c r="O827">
        <f>IF($N827=0,"",LEFT($E827,4)&amp;MID($E827,6,2)&amp;RIGHT($E827,2)&amp;$F827&amp;"|"&amp;"1"&amp;RIGHT("00000"&amp;819,5))</f>
        <v/>
      </c>
      <c r="P827">
        <f>IF($O827="","",COUNTIFS(ExpSub,$K827,ExpKey,"&lt;"&amp;$O827)+1)</f>
        <v/>
      </c>
      <c r="Q827">
        <f>IF($P827="","",$K827&amp;"|"&amp;RIGHT("000000"&amp;$P827,6))</f>
        <v/>
      </c>
    </row>
    <row r="828">
      <c r="A828">
        <f>IF(Sync!$P825="","",Sync!$P825)</f>
        <v/>
      </c>
      <c r="B828">
        <f>IF($A828="","",IF(ISNUMBER($A828),IF(AND($A828&gt;=10000101,$A828&lt;=99991231),INT($A828/10000),""),IFERROR(VALUE(TRIM(LEFT($A828,FIND("/",$A828)-1))),"")))</f>
        <v/>
      </c>
      <c r="C828">
        <f>IF(OR($A828="",$B828=""),"",IF(ISNUMBER($A828),INT(MOD($A828,10000)/100),IFERROR(VALUE(TRIM(LEFT(MID($A828,FIND("/",$A828)+1,20),FIND("/",MID($A828,FIND("/",$A828)+1,20))-1))),"")))</f>
        <v/>
      </c>
      <c r="D828">
        <f>IF(OR($A828="",$B828=""),"",IF(ISNUMBER($A828),MOD($A828,100),IFERROR(VALUE(TRIM(MID(MID($A828,FIND("/",$A828)+1,20),FIND("/",MID($A828,FIND("/",$A828)+1,20))+1,20))),"")))</f>
        <v/>
      </c>
      <c r="E828">
        <f>IF($A828="","",IF(OR($B828="",$C828="",$D828="",$B828&lt;1300,$B828&gt;1500,$C828&lt;1,$C828&gt;12,$D828&lt;1,$D828&gt;31),"نامعتبر",RIGHT("0000"&amp;$B828,4)&amp;"/"&amp;RIGHT("00"&amp;$C828,2)&amp;"/"&amp;RIGHT("00"&amp;$D828,2)))</f>
        <v/>
      </c>
      <c r="F828">
        <f>IF(OR($E828="",$E828="نامعتبر"),"",IF(Sync!$Q825="","0000",IF(AND(ISNUMBER(Sync!$Q825),Sync!$Q825&gt;=0,Sync!$Q825&lt;1),RIGHT("00"&amp;HOUR(Sync!$Q825),2)&amp;RIGHT("00"&amp;MINUTE(Sync!$Q825),2),IFERROR(RIGHT("00"&amp;VALUE(LEFT(Sync!$Q825,FIND(":",Sync!$Q825)-1)),2)&amp;RIGHT("00"&amp;VALUE(MID(Sync!$Q825,FIND(":",Sync!$Q825)+1,2)),2),"0000"))))</f>
        <v/>
      </c>
      <c r="G828">
        <f>IF(OR($E828="",$E828="نامعتبر"),"",IF(Sync!$S825="","",Sync!$S825))</f>
        <v/>
      </c>
      <c r="H828">
        <f>IF(OR($E828="",$E828="نامعتبر"),"",IF(Sync!$R825="","",Sync!$R825))</f>
        <v/>
      </c>
      <c r="I828">
        <f>IF(OR($E828="",$E828="نامعتبر"),"",IF(Sync!$T825="","",Sync!$T825))</f>
        <v/>
      </c>
      <c r="J828">
        <f>IF(OR($E828="",$E828="نامعتبر"),"",IF(Sync!$U825="","",Sync!$U825))</f>
        <v/>
      </c>
      <c r="K828">
        <f>IF(OR($E828="",$E828="نامعتبر"),"",IF(Sync!$V825="","",IFERROR(INDEX(SubCodes,MATCH(Sync!$V825,SubTitles,0)),Sync!$V825)))</f>
        <v/>
      </c>
      <c r="L828">
        <f>IF(OR($E828="",$E828="نامعتبر"),"",IF(Sync!$W825="",0,Sync!$W825))</f>
        <v/>
      </c>
      <c r="M828">
        <f>IF(OR($E828="",$E828="نامعتبر"),"",IF(Sync!$X825="",0,Sync!$X825))</f>
        <v/>
      </c>
      <c r="N828">
        <f>IF(OR($E828="",$E828="نامعتبر"),"",IF(AND($J828="هزینه",$K828&lt;&gt;""),1,0))</f>
        <v/>
      </c>
      <c r="O828">
        <f>IF($N828=0,"",LEFT($E828,4)&amp;MID($E828,6,2)&amp;RIGHT($E828,2)&amp;$F828&amp;"|"&amp;"1"&amp;RIGHT("00000"&amp;820,5))</f>
        <v/>
      </c>
      <c r="P828">
        <f>IF($O828="","",COUNTIFS(ExpSub,$K828,ExpKey,"&lt;"&amp;$O828)+1)</f>
        <v/>
      </c>
      <c r="Q828">
        <f>IF($P828="","",$K828&amp;"|"&amp;RIGHT("000000"&amp;$P828,6))</f>
        <v/>
      </c>
    </row>
    <row r="829">
      <c r="A829">
        <f>IF(Sync!$P826="","",Sync!$P826)</f>
        <v/>
      </c>
      <c r="B829">
        <f>IF($A829="","",IF(ISNUMBER($A829),IF(AND($A829&gt;=10000101,$A829&lt;=99991231),INT($A829/10000),""),IFERROR(VALUE(TRIM(LEFT($A829,FIND("/",$A829)-1))),"")))</f>
        <v/>
      </c>
      <c r="C829">
        <f>IF(OR($A829="",$B829=""),"",IF(ISNUMBER($A829),INT(MOD($A829,10000)/100),IFERROR(VALUE(TRIM(LEFT(MID($A829,FIND("/",$A829)+1,20),FIND("/",MID($A829,FIND("/",$A829)+1,20))-1))),"")))</f>
        <v/>
      </c>
      <c r="D829">
        <f>IF(OR($A829="",$B829=""),"",IF(ISNUMBER($A829),MOD($A829,100),IFERROR(VALUE(TRIM(MID(MID($A829,FIND("/",$A829)+1,20),FIND("/",MID($A829,FIND("/",$A829)+1,20))+1,20))),"")))</f>
        <v/>
      </c>
      <c r="E829">
        <f>IF($A829="","",IF(OR($B829="",$C829="",$D829="",$B829&lt;1300,$B829&gt;1500,$C829&lt;1,$C829&gt;12,$D829&lt;1,$D829&gt;31),"نامعتبر",RIGHT("0000"&amp;$B829,4)&amp;"/"&amp;RIGHT("00"&amp;$C829,2)&amp;"/"&amp;RIGHT("00"&amp;$D829,2)))</f>
        <v/>
      </c>
      <c r="F829">
        <f>IF(OR($E829="",$E829="نامعتبر"),"",IF(Sync!$Q826="","0000",IF(AND(ISNUMBER(Sync!$Q826),Sync!$Q826&gt;=0,Sync!$Q826&lt;1),RIGHT("00"&amp;HOUR(Sync!$Q826),2)&amp;RIGHT("00"&amp;MINUTE(Sync!$Q826),2),IFERROR(RIGHT("00"&amp;VALUE(LEFT(Sync!$Q826,FIND(":",Sync!$Q826)-1)),2)&amp;RIGHT("00"&amp;VALUE(MID(Sync!$Q826,FIND(":",Sync!$Q826)+1,2)),2),"0000"))))</f>
        <v/>
      </c>
      <c r="G829">
        <f>IF(OR($E829="",$E829="نامعتبر"),"",IF(Sync!$S826="","",Sync!$S826))</f>
        <v/>
      </c>
      <c r="H829">
        <f>IF(OR($E829="",$E829="نامعتبر"),"",IF(Sync!$R826="","",Sync!$R826))</f>
        <v/>
      </c>
      <c r="I829">
        <f>IF(OR($E829="",$E829="نامعتبر"),"",IF(Sync!$T826="","",Sync!$T826))</f>
        <v/>
      </c>
      <c r="J829">
        <f>IF(OR($E829="",$E829="نامعتبر"),"",IF(Sync!$U826="","",Sync!$U826))</f>
        <v/>
      </c>
      <c r="K829">
        <f>IF(OR($E829="",$E829="نامعتبر"),"",IF(Sync!$V826="","",IFERROR(INDEX(SubCodes,MATCH(Sync!$V826,SubTitles,0)),Sync!$V826)))</f>
        <v/>
      </c>
      <c r="L829">
        <f>IF(OR($E829="",$E829="نامعتبر"),"",IF(Sync!$W826="",0,Sync!$W826))</f>
        <v/>
      </c>
      <c r="M829">
        <f>IF(OR($E829="",$E829="نامعتبر"),"",IF(Sync!$X826="",0,Sync!$X826))</f>
        <v/>
      </c>
      <c r="N829">
        <f>IF(OR($E829="",$E829="نامعتبر"),"",IF(AND($J829="هزینه",$K829&lt;&gt;""),1,0))</f>
        <v/>
      </c>
      <c r="O829">
        <f>IF($N829=0,"",LEFT($E829,4)&amp;MID($E829,6,2)&amp;RIGHT($E829,2)&amp;$F829&amp;"|"&amp;"1"&amp;RIGHT("00000"&amp;821,5))</f>
        <v/>
      </c>
      <c r="P829">
        <f>IF($O829="","",COUNTIFS(ExpSub,$K829,ExpKey,"&lt;"&amp;$O829)+1)</f>
        <v/>
      </c>
      <c r="Q829">
        <f>IF($P829="","",$K829&amp;"|"&amp;RIGHT("000000"&amp;$P829,6))</f>
        <v/>
      </c>
    </row>
    <row r="830">
      <c r="A830">
        <f>IF(Sync!$P827="","",Sync!$P827)</f>
        <v/>
      </c>
      <c r="B830">
        <f>IF($A830="","",IF(ISNUMBER($A830),IF(AND($A830&gt;=10000101,$A830&lt;=99991231),INT($A830/10000),""),IFERROR(VALUE(TRIM(LEFT($A830,FIND("/",$A830)-1))),"")))</f>
        <v/>
      </c>
      <c r="C830">
        <f>IF(OR($A830="",$B830=""),"",IF(ISNUMBER($A830),INT(MOD($A830,10000)/100),IFERROR(VALUE(TRIM(LEFT(MID($A830,FIND("/",$A830)+1,20),FIND("/",MID($A830,FIND("/",$A830)+1,20))-1))),"")))</f>
        <v/>
      </c>
      <c r="D830">
        <f>IF(OR($A830="",$B830=""),"",IF(ISNUMBER($A830),MOD($A830,100),IFERROR(VALUE(TRIM(MID(MID($A830,FIND("/",$A830)+1,20),FIND("/",MID($A830,FIND("/",$A830)+1,20))+1,20))),"")))</f>
        <v/>
      </c>
      <c r="E830">
        <f>IF($A830="","",IF(OR($B830="",$C830="",$D830="",$B830&lt;1300,$B830&gt;1500,$C830&lt;1,$C830&gt;12,$D830&lt;1,$D830&gt;31),"نامعتبر",RIGHT("0000"&amp;$B830,4)&amp;"/"&amp;RIGHT("00"&amp;$C830,2)&amp;"/"&amp;RIGHT("00"&amp;$D830,2)))</f>
        <v/>
      </c>
      <c r="F830">
        <f>IF(OR($E830="",$E830="نامعتبر"),"",IF(Sync!$Q827="","0000",IF(AND(ISNUMBER(Sync!$Q827),Sync!$Q827&gt;=0,Sync!$Q827&lt;1),RIGHT("00"&amp;HOUR(Sync!$Q827),2)&amp;RIGHT("00"&amp;MINUTE(Sync!$Q827),2),IFERROR(RIGHT("00"&amp;VALUE(LEFT(Sync!$Q827,FIND(":",Sync!$Q827)-1)),2)&amp;RIGHT("00"&amp;VALUE(MID(Sync!$Q827,FIND(":",Sync!$Q827)+1,2)),2),"0000"))))</f>
        <v/>
      </c>
      <c r="G830">
        <f>IF(OR($E830="",$E830="نامعتبر"),"",IF(Sync!$S827="","",Sync!$S827))</f>
        <v/>
      </c>
      <c r="H830">
        <f>IF(OR($E830="",$E830="نامعتبر"),"",IF(Sync!$R827="","",Sync!$R827))</f>
        <v/>
      </c>
      <c r="I830">
        <f>IF(OR($E830="",$E830="نامعتبر"),"",IF(Sync!$T827="","",Sync!$T827))</f>
        <v/>
      </c>
      <c r="J830">
        <f>IF(OR($E830="",$E830="نامعتبر"),"",IF(Sync!$U827="","",Sync!$U827))</f>
        <v/>
      </c>
      <c r="K830">
        <f>IF(OR($E830="",$E830="نامعتبر"),"",IF(Sync!$V827="","",IFERROR(INDEX(SubCodes,MATCH(Sync!$V827,SubTitles,0)),Sync!$V827)))</f>
        <v/>
      </c>
      <c r="L830">
        <f>IF(OR($E830="",$E830="نامعتبر"),"",IF(Sync!$W827="",0,Sync!$W827))</f>
        <v/>
      </c>
      <c r="M830">
        <f>IF(OR($E830="",$E830="نامعتبر"),"",IF(Sync!$X827="",0,Sync!$X827))</f>
        <v/>
      </c>
      <c r="N830">
        <f>IF(OR($E830="",$E830="نامعتبر"),"",IF(AND($J830="هزینه",$K830&lt;&gt;""),1,0))</f>
        <v/>
      </c>
      <c r="O830">
        <f>IF($N830=0,"",LEFT($E830,4)&amp;MID($E830,6,2)&amp;RIGHT($E830,2)&amp;$F830&amp;"|"&amp;"1"&amp;RIGHT("00000"&amp;822,5))</f>
        <v/>
      </c>
      <c r="P830">
        <f>IF($O830="","",COUNTIFS(ExpSub,$K830,ExpKey,"&lt;"&amp;$O830)+1)</f>
        <v/>
      </c>
      <c r="Q830">
        <f>IF($P830="","",$K830&amp;"|"&amp;RIGHT("000000"&amp;$P830,6))</f>
        <v/>
      </c>
    </row>
    <row r="831">
      <c r="A831">
        <f>IF(Sync!$P828="","",Sync!$P828)</f>
        <v/>
      </c>
      <c r="B831">
        <f>IF($A831="","",IF(ISNUMBER($A831),IF(AND($A831&gt;=10000101,$A831&lt;=99991231),INT($A831/10000),""),IFERROR(VALUE(TRIM(LEFT($A831,FIND("/",$A831)-1))),"")))</f>
        <v/>
      </c>
      <c r="C831">
        <f>IF(OR($A831="",$B831=""),"",IF(ISNUMBER($A831),INT(MOD($A831,10000)/100),IFERROR(VALUE(TRIM(LEFT(MID($A831,FIND("/",$A831)+1,20),FIND("/",MID($A831,FIND("/",$A831)+1,20))-1))),"")))</f>
        <v/>
      </c>
      <c r="D831">
        <f>IF(OR($A831="",$B831=""),"",IF(ISNUMBER($A831),MOD($A831,100),IFERROR(VALUE(TRIM(MID(MID($A831,FIND("/",$A831)+1,20),FIND("/",MID($A831,FIND("/",$A831)+1,20))+1,20))),"")))</f>
        <v/>
      </c>
      <c r="E831">
        <f>IF($A831="","",IF(OR($B831="",$C831="",$D831="",$B831&lt;1300,$B831&gt;1500,$C831&lt;1,$C831&gt;12,$D831&lt;1,$D831&gt;31),"نامعتبر",RIGHT("0000"&amp;$B831,4)&amp;"/"&amp;RIGHT("00"&amp;$C831,2)&amp;"/"&amp;RIGHT("00"&amp;$D831,2)))</f>
        <v/>
      </c>
      <c r="F831">
        <f>IF(OR($E831="",$E831="نامعتبر"),"",IF(Sync!$Q828="","0000",IF(AND(ISNUMBER(Sync!$Q828),Sync!$Q828&gt;=0,Sync!$Q828&lt;1),RIGHT("00"&amp;HOUR(Sync!$Q828),2)&amp;RIGHT("00"&amp;MINUTE(Sync!$Q828),2),IFERROR(RIGHT("00"&amp;VALUE(LEFT(Sync!$Q828,FIND(":",Sync!$Q828)-1)),2)&amp;RIGHT("00"&amp;VALUE(MID(Sync!$Q828,FIND(":",Sync!$Q828)+1,2)),2),"0000"))))</f>
        <v/>
      </c>
      <c r="G831">
        <f>IF(OR($E831="",$E831="نامعتبر"),"",IF(Sync!$S828="","",Sync!$S828))</f>
        <v/>
      </c>
      <c r="H831">
        <f>IF(OR($E831="",$E831="نامعتبر"),"",IF(Sync!$R828="","",Sync!$R828))</f>
        <v/>
      </c>
      <c r="I831">
        <f>IF(OR($E831="",$E831="نامعتبر"),"",IF(Sync!$T828="","",Sync!$T828))</f>
        <v/>
      </c>
      <c r="J831">
        <f>IF(OR($E831="",$E831="نامعتبر"),"",IF(Sync!$U828="","",Sync!$U828))</f>
        <v/>
      </c>
      <c r="K831">
        <f>IF(OR($E831="",$E831="نامعتبر"),"",IF(Sync!$V828="","",IFERROR(INDEX(SubCodes,MATCH(Sync!$V828,SubTitles,0)),Sync!$V828)))</f>
        <v/>
      </c>
      <c r="L831">
        <f>IF(OR($E831="",$E831="نامعتبر"),"",IF(Sync!$W828="",0,Sync!$W828))</f>
        <v/>
      </c>
      <c r="M831">
        <f>IF(OR($E831="",$E831="نامعتبر"),"",IF(Sync!$X828="",0,Sync!$X828))</f>
        <v/>
      </c>
      <c r="N831">
        <f>IF(OR($E831="",$E831="نامعتبر"),"",IF(AND($J831="هزینه",$K831&lt;&gt;""),1,0))</f>
        <v/>
      </c>
      <c r="O831">
        <f>IF($N831=0,"",LEFT($E831,4)&amp;MID($E831,6,2)&amp;RIGHT($E831,2)&amp;$F831&amp;"|"&amp;"1"&amp;RIGHT("00000"&amp;823,5))</f>
        <v/>
      </c>
      <c r="P831">
        <f>IF($O831="","",COUNTIFS(ExpSub,$K831,ExpKey,"&lt;"&amp;$O831)+1)</f>
        <v/>
      </c>
      <c r="Q831">
        <f>IF($P831="","",$K831&amp;"|"&amp;RIGHT("000000"&amp;$P831,6))</f>
        <v/>
      </c>
    </row>
    <row r="832">
      <c r="A832">
        <f>IF(Sync!$P829="","",Sync!$P829)</f>
        <v/>
      </c>
      <c r="B832">
        <f>IF($A832="","",IF(ISNUMBER($A832),IF(AND($A832&gt;=10000101,$A832&lt;=99991231),INT($A832/10000),""),IFERROR(VALUE(TRIM(LEFT($A832,FIND("/",$A832)-1))),"")))</f>
        <v/>
      </c>
      <c r="C832">
        <f>IF(OR($A832="",$B832=""),"",IF(ISNUMBER($A832),INT(MOD($A832,10000)/100),IFERROR(VALUE(TRIM(LEFT(MID($A832,FIND("/",$A832)+1,20),FIND("/",MID($A832,FIND("/",$A832)+1,20))-1))),"")))</f>
        <v/>
      </c>
      <c r="D832">
        <f>IF(OR($A832="",$B832=""),"",IF(ISNUMBER($A832),MOD($A832,100),IFERROR(VALUE(TRIM(MID(MID($A832,FIND("/",$A832)+1,20),FIND("/",MID($A832,FIND("/",$A832)+1,20))+1,20))),"")))</f>
        <v/>
      </c>
      <c r="E832">
        <f>IF($A832="","",IF(OR($B832="",$C832="",$D832="",$B832&lt;1300,$B832&gt;1500,$C832&lt;1,$C832&gt;12,$D832&lt;1,$D832&gt;31),"نامعتبر",RIGHT("0000"&amp;$B832,4)&amp;"/"&amp;RIGHT("00"&amp;$C832,2)&amp;"/"&amp;RIGHT("00"&amp;$D832,2)))</f>
        <v/>
      </c>
      <c r="F832">
        <f>IF(OR($E832="",$E832="نامعتبر"),"",IF(Sync!$Q829="","0000",IF(AND(ISNUMBER(Sync!$Q829),Sync!$Q829&gt;=0,Sync!$Q829&lt;1),RIGHT("00"&amp;HOUR(Sync!$Q829),2)&amp;RIGHT("00"&amp;MINUTE(Sync!$Q829),2),IFERROR(RIGHT("00"&amp;VALUE(LEFT(Sync!$Q829,FIND(":",Sync!$Q829)-1)),2)&amp;RIGHT("00"&amp;VALUE(MID(Sync!$Q829,FIND(":",Sync!$Q829)+1,2)),2),"0000"))))</f>
        <v/>
      </c>
      <c r="G832">
        <f>IF(OR($E832="",$E832="نامعتبر"),"",IF(Sync!$S829="","",Sync!$S829))</f>
        <v/>
      </c>
      <c r="H832">
        <f>IF(OR($E832="",$E832="نامعتبر"),"",IF(Sync!$R829="","",Sync!$R829))</f>
        <v/>
      </c>
      <c r="I832">
        <f>IF(OR($E832="",$E832="نامعتبر"),"",IF(Sync!$T829="","",Sync!$T829))</f>
        <v/>
      </c>
      <c r="J832">
        <f>IF(OR($E832="",$E832="نامعتبر"),"",IF(Sync!$U829="","",Sync!$U829))</f>
        <v/>
      </c>
      <c r="K832">
        <f>IF(OR($E832="",$E832="نامعتبر"),"",IF(Sync!$V829="","",IFERROR(INDEX(SubCodes,MATCH(Sync!$V829,SubTitles,0)),Sync!$V829)))</f>
        <v/>
      </c>
      <c r="L832">
        <f>IF(OR($E832="",$E832="نامعتبر"),"",IF(Sync!$W829="",0,Sync!$W829))</f>
        <v/>
      </c>
      <c r="M832">
        <f>IF(OR($E832="",$E832="نامعتبر"),"",IF(Sync!$X829="",0,Sync!$X829))</f>
        <v/>
      </c>
      <c r="N832">
        <f>IF(OR($E832="",$E832="نامعتبر"),"",IF(AND($J832="هزینه",$K832&lt;&gt;""),1,0))</f>
        <v/>
      </c>
      <c r="O832">
        <f>IF($N832=0,"",LEFT($E832,4)&amp;MID($E832,6,2)&amp;RIGHT($E832,2)&amp;$F832&amp;"|"&amp;"1"&amp;RIGHT("00000"&amp;824,5))</f>
        <v/>
      </c>
      <c r="P832">
        <f>IF($O832="","",COUNTIFS(ExpSub,$K832,ExpKey,"&lt;"&amp;$O832)+1)</f>
        <v/>
      </c>
      <c r="Q832">
        <f>IF($P832="","",$K832&amp;"|"&amp;RIGHT("000000"&amp;$P832,6))</f>
        <v/>
      </c>
    </row>
    <row r="833">
      <c r="A833">
        <f>IF(Sync!$P830="","",Sync!$P830)</f>
        <v/>
      </c>
      <c r="B833">
        <f>IF($A833="","",IF(ISNUMBER($A833),IF(AND($A833&gt;=10000101,$A833&lt;=99991231),INT($A833/10000),""),IFERROR(VALUE(TRIM(LEFT($A833,FIND("/",$A833)-1))),"")))</f>
        <v/>
      </c>
      <c r="C833">
        <f>IF(OR($A833="",$B833=""),"",IF(ISNUMBER($A833),INT(MOD($A833,10000)/100),IFERROR(VALUE(TRIM(LEFT(MID($A833,FIND("/",$A833)+1,20),FIND("/",MID($A833,FIND("/",$A833)+1,20))-1))),"")))</f>
        <v/>
      </c>
      <c r="D833">
        <f>IF(OR($A833="",$B833=""),"",IF(ISNUMBER($A833),MOD($A833,100),IFERROR(VALUE(TRIM(MID(MID($A833,FIND("/",$A833)+1,20),FIND("/",MID($A833,FIND("/",$A833)+1,20))+1,20))),"")))</f>
        <v/>
      </c>
      <c r="E833">
        <f>IF($A833="","",IF(OR($B833="",$C833="",$D833="",$B833&lt;1300,$B833&gt;1500,$C833&lt;1,$C833&gt;12,$D833&lt;1,$D833&gt;31),"نامعتبر",RIGHT("0000"&amp;$B833,4)&amp;"/"&amp;RIGHT("00"&amp;$C833,2)&amp;"/"&amp;RIGHT("00"&amp;$D833,2)))</f>
        <v/>
      </c>
      <c r="F833">
        <f>IF(OR($E833="",$E833="نامعتبر"),"",IF(Sync!$Q830="","0000",IF(AND(ISNUMBER(Sync!$Q830),Sync!$Q830&gt;=0,Sync!$Q830&lt;1),RIGHT("00"&amp;HOUR(Sync!$Q830),2)&amp;RIGHT("00"&amp;MINUTE(Sync!$Q830),2),IFERROR(RIGHT("00"&amp;VALUE(LEFT(Sync!$Q830,FIND(":",Sync!$Q830)-1)),2)&amp;RIGHT("00"&amp;VALUE(MID(Sync!$Q830,FIND(":",Sync!$Q830)+1,2)),2),"0000"))))</f>
        <v/>
      </c>
      <c r="G833">
        <f>IF(OR($E833="",$E833="نامعتبر"),"",IF(Sync!$S830="","",Sync!$S830))</f>
        <v/>
      </c>
      <c r="H833">
        <f>IF(OR($E833="",$E833="نامعتبر"),"",IF(Sync!$R830="","",Sync!$R830))</f>
        <v/>
      </c>
      <c r="I833">
        <f>IF(OR($E833="",$E833="نامعتبر"),"",IF(Sync!$T830="","",Sync!$T830))</f>
        <v/>
      </c>
      <c r="J833">
        <f>IF(OR($E833="",$E833="نامعتبر"),"",IF(Sync!$U830="","",Sync!$U830))</f>
        <v/>
      </c>
      <c r="K833">
        <f>IF(OR($E833="",$E833="نامعتبر"),"",IF(Sync!$V830="","",IFERROR(INDEX(SubCodes,MATCH(Sync!$V830,SubTitles,0)),Sync!$V830)))</f>
        <v/>
      </c>
      <c r="L833">
        <f>IF(OR($E833="",$E833="نامعتبر"),"",IF(Sync!$W830="",0,Sync!$W830))</f>
        <v/>
      </c>
      <c r="M833">
        <f>IF(OR($E833="",$E833="نامعتبر"),"",IF(Sync!$X830="",0,Sync!$X830))</f>
        <v/>
      </c>
      <c r="N833">
        <f>IF(OR($E833="",$E833="نامعتبر"),"",IF(AND($J833="هزینه",$K833&lt;&gt;""),1,0))</f>
        <v/>
      </c>
      <c r="O833">
        <f>IF($N833=0,"",LEFT($E833,4)&amp;MID($E833,6,2)&amp;RIGHT($E833,2)&amp;$F833&amp;"|"&amp;"1"&amp;RIGHT("00000"&amp;825,5))</f>
        <v/>
      </c>
      <c r="P833">
        <f>IF($O833="","",COUNTIFS(ExpSub,$K833,ExpKey,"&lt;"&amp;$O833)+1)</f>
        <v/>
      </c>
      <c r="Q833">
        <f>IF($P833="","",$K833&amp;"|"&amp;RIGHT("000000"&amp;$P833,6))</f>
        <v/>
      </c>
    </row>
    <row r="834">
      <c r="A834">
        <f>IF(Sync!$P831="","",Sync!$P831)</f>
        <v/>
      </c>
      <c r="B834">
        <f>IF($A834="","",IF(ISNUMBER($A834),IF(AND($A834&gt;=10000101,$A834&lt;=99991231),INT($A834/10000),""),IFERROR(VALUE(TRIM(LEFT($A834,FIND("/",$A834)-1))),"")))</f>
        <v/>
      </c>
      <c r="C834">
        <f>IF(OR($A834="",$B834=""),"",IF(ISNUMBER($A834),INT(MOD($A834,10000)/100),IFERROR(VALUE(TRIM(LEFT(MID($A834,FIND("/",$A834)+1,20),FIND("/",MID($A834,FIND("/",$A834)+1,20))-1))),"")))</f>
        <v/>
      </c>
      <c r="D834">
        <f>IF(OR($A834="",$B834=""),"",IF(ISNUMBER($A834),MOD($A834,100),IFERROR(VALUE(TRIM(MID(MID($A834,FIND("/",$A834)+1,20),FIND("/",MID($A834,FIND("/",$A834)+1,20))+1,20))),"")))</f>
        <v/>
      </c>
      <c r="E834">
        <f>IF($A834="","",IF(OR($B834="",$C834="",$D834="",$B834&lt;1300,$B834&gt;1500,$C834&lt;1,$C834&gt;12,$D834&lt;1,$D834&gt;31),"نامعتبر",RIGHT("0000"&amp;$B834,4)&amp;"/"&amp;RIGHT("00"&amp;$C834,2)&amp;"/"&amp;RIGHT("00"&amp;$D834,2)))</f>
        <v/>
      </c>
      <c r="F834">
        <f>IF(OR($E834="",$E834="نامعتبر"),"",IF(Sync!$Q831="","0000",IF(AND(ISNUMBER(Sync!$Q831),Sync!$Q831&gt;=0,Sync!$Q831&lt;1),RIGHT("00"&amp;HOUR(Sync!$Q831),2)&amp;RIGHT("00"&amp;MINUTE(Sync!$Q831),2),IFERROR(RIGHT("00"&amp;VALUE(LEFT(Sync!$Q831,FIND(":",Sync!$Q831)-1)),2)&amp;RIGHT("00"&amp;VALUE(MID(Sync!$Q831,FIND(":",Sync!$Q831)+1,2)),2),"0000"))))</f>
        <v/>
      </c>
      <c r="G834">
        <f>IF(OR($E834="",$E834="نامعتبر"),"",IF(Sync!$S831="","",Sync!$S831))</f>
        <v/>
      </c>
      <c r="H834">
        <f>IF(OR($E834="",$E834="نامعتبر"),"",IF(Sync!$R831="","",Sync!$R831))</f>
        <v/>
      </c>
      <c r="I834">
        <f>IF(OR($E834="",$E834="نامعتبر"),"",IF(Sync!$T831="","",Sync!$T831))</f>
        <v/>
      </c>
      <c r="J834">
        <f>IF(OR($E834="",$E834="نامعتبر"),"",IF(Sync!$U831="","",Sync!$U831))</f>
        <v/>
      </c>
      <c r="K834">
        <f>IF(OR($E834="",$E834="نامعتبر"),"",IF(Sync!$V831="","",IFERROR(INDEX(SubCodes,MATCH(Sync!$V831,SubTitles,0)),Sync!$V831)))</f>
        <v/>
      </c>
      <c r="L834">
        <f>IF(OR($E834="",$E834="نامعتبر"),"",IF(Sync!$W831="",0,Sync!$W831))</f>
        <v/>
      </c>
      <c r="M834">
        <f>IF(OR($E834="",$E834="نامعتبر"),"",IF(Sync!$X831="",0,Sync!$X831))</f>
        <v/>
      </c>
      <c r="N834">
        <f>IF(OR($E834="",$E834="نامعتبر"),"",IF(AND($J834="هزینه",$K834&lt;&gt;""),1,0))</f>
        <v/>
      </c>
      <c r="O834">
        <f>IF($N834=0,"",LEFT($E834,4)&amp;MID($E834,6,2)&amp;RIGHT($E834,2)&amp;$F834&amp;"|"&amp;"1"&amp;RIGHT("00000"&amp;826,5))</f>
        <v/>
      </c>
      <c r="P834">
        <f>IF($O834="","",COUNTIFS(ExpSub,$K834,ExpKey,"&lt;"&amp;$O834)+1)</f>
        <v/>
      </c>
      <c r="Q834">
        <f>IF($P834="","",$K834&amp;"|"&amp;RIGHT("000000"&amp;$P834,6))</f>
        <v/>
      </c>
    </row>
    <row r="835">
      <c r="A835">
        <f>IF(Sync!$P832="","",Sync!$P832)</f>
        <v/>
      </c>
      <c r="B835">
        <f>IF($A835="","",IF(ISNUMBER($A835),IF(AND($A835&gt;=10000101,$A835&lt;=99991231),INT($A835/10000),""),IFERROR(VALUE(TRIM(LEFT($A835,FIND("/",$A835)-1))),"")))</f>
        <v/>
      </c>
      <c r="C835">
        <f>IF(OR($A835="",$B835=""),"",IF(ISNUMBER($A835),INT(MOD($A835,10000)/100),IFERROR(VALUE(TRIM(LEFT(MID($A835,FIND("/",$A835)+1,20),FIND("/",MID($A835,FIND("/",$A835)+1,20))-1))),"")))</f>
        <v/>
      </c>
      <c r="D835">
        <f>IF(OR($A835="",$B835=""),"",IF(ISNUMBER($A835),MOD($A835,100),IFERROR(VALUE(TRIM(MID(MID($A835,FIND("/",$A835)+1,20),FIND("/",MID($A835,FIND("/",$A835)+1,20))+1,20))),"")))</f>
        <v/>
      </c>
      <c r="E835">
        <f>IF($A835="","",IF(OR($B835="",$C835="",$D835="",$B835&lt;1300,$B835&gt;1500,$C835&lt;1,$C835&gt;12,$D835&lt;1,$D835&gt;31),"نامعتبر",RIGHT("0000"&amp;$B835,4)&amp;"/"&amp;RIGHT("00"&amp;$C835,2)&amp;"/"&amp;RIGHT("00"&amp;$D835,2)))</f>
        <v/>
      </c>
      <c r="F835">
        <f>IF(OR($E835="",$E835="نامعتبر"),"",IF(Sync!$Q832="","0000",IF(AND(ISNUMBER(Sync!$Q832),Sync!$Q832&gt;=0,Sync!$Q832&lt;1),RIGHT("00"&amp;HOUR(Sync!$Q832),2)&amp;RIGHT("00"&amp;MINUTE(Sync!$Q832),2),IFERROR(RIGHT("00"&amp;VALUE(LEFT(Sync!$Q832,FIND(":",Sync!$Q832)-1)),2)&amp;RIGHT("00"&amp;VALUE(MID(Sync!$Q832,FIND(":",Sync!$Q832)+1,2)),2),"0000"))))</f>
        <v/>
      </c>
      <c r="G835">
        <f>IF(OR($E835="",$E835="نامعتبر"),"",IF(Sync!$S832="","",Sync!$S832))</f>
        <v/>
      </c>
      <c r="H835">
        <f>IF(OR($E835="",$E835="نامعتبر"),"",IF(Sync!$R832="","",Sync!$R832))</f>
        <v/>
      </c>
      <c r="I835">
        <f>IF(OR($E835="",$E835="نامعتبر"),"",IF(Sync!$T832="","",Sync!$T832))</f>
        <v/>
      </c>
      <c r="J835">
        <f>IF(OR($E835="",$E835="نامعتبر"),"",IF(Sync!$U832="","",Sync!$U832))</f>
        <v/>
      </c>
      <c r="K835">
        <f>IF(OR($E835="",$E835="نامعتبر"),"",IF(Sync!$V832="","",IFERROR(INDEX(SubCodes,MATCH(Sync!$V832,SubTitles,0)),Sync!$V832)))</f>
        <v/>
      </c>
      <c r="L835">
        <f>IF(OR($E835="",$E835="نامعتبر"),"",IF(Sync!$W832="",0,Sync!$W832))</f>
        <v/>
      </c>
      <c r="M835">
        <f>IF(OR($E835="",$E835="نامعتبر"),"",IF(Sync!$X832="",0,Sync!$X832))</f>
        <v/>
      </c>
      <c r="N835">
        <f>IF(OR($E835="",$E835="نامعتبر"),"",IF(AND($J835="هزینه",$K835&lt;&gt;""),1,0))</f>
        <v/>
      </c>
      <c r="O835">
        <f>IF($N835=0,"",LEFT($E835,4)&amp;MID($E835,6,2)&amp;RIGHT($E835,2)&amp;$F835&amp;"|"&amp;"1"&amp;RIGHT("00000"&amp;827,5))</f>
        <v/>
      </c>
      <c r="P835">
        <f>IF($O835="","",COUNTIFS(ExpSub,$K835,ExpKey,"&lt;"&amp;$O835)+1)</f>
        <v/>
      </c>
      <c r="Q835">
        <f>IF($P835="","",$K835&amp;"|"&amp;RIGHT("000000"&amp;$P835,6))</f>
        <v/>
      </c>
    </row>
    <row r="836">
      <c r="A836">
        <f>IF(Sync!$P833="","",Sync!$P833)</f>
        <v/>
      </c>
      <c r="B836">
        <f>IF($A836="","",IF(ISNUMBER($A836),IF(AND($A836&gt;=10000101,$A836&lt;=99991231),INT($A836/10000),""),IFERROR(VALUE(TRIM(LEFT($A836,FIND("/",$A836)-1))),"")))</f>
        <v/>
      </c>
      <c r="C836">
        <f>IF(OR($A836="",$B836=""),"",IF(ISNUMBER($A836),INT(MOD($A836,10000)/100),IFERROR(VALUE(TRIM(LEFT(MID($A836,FIND("/",$A836)+1,20),FIND("/",MID($A836,FIND("/",$A836)+1,20))-1))),"")))</f>
        <v/>
      </c>
      <c r="D836">
        <f>IF(OR($A836="",$B836=""),"",IF(ISNUMBER($A836),MOD($A836,100),IFERROR(VALUE(TRIM(MID(MID($A836,FIND("/",$A836)+1,20),FIND("/",MID($A836,FIND("/",$A836)+1,20))+1,20))),"")))</f>
        <v/>
      </c>
      <c r="E836">
        <f>IF($A836="","",IF(OR($B836="",$C836="",$D836="",$B836&lt;1300,$B836&gt;1500,$C836&lt;1,$C836&gt;12,$D836&lt;1,$D836&gt;31),"نامعتبر",RIGHT("0000"&amp;$B836,4)&amp;"/"&amp;RIGHT("00"&amp;$C836,2)&amp;"/"&amp;RIGHT("00"&amp;$D836,2)))</f>
        <v/>
      </c>
      <c r="F836">
        <f>IF(OR($E836="",$E836="نامعتبر"),"",IF(Sync!$Q833="","0000",IF(AND(ISNUMBER(Sync!$Q833),Sync!$Q833&gt;=0,Sync!$Q833&lt;1),RIGHT("00"&amp;HOUR(Sync!$Q833),2)&amp;RIGHT("00"&amp;MINUTE(Sync!$Q833),2),IFERROR(RIGHT("00"&amp;VALUE(LEFT(Sync!$Q833,FIND(":",Sync!$Q833)-1)),2)&amp;RIGHT("00"&amp;VALUE(MID(Sync!$Q833,FIND(":",Sync!$Q833)+1,2)),2),"0000"))))</f>
        <v/>
      </c>
      <c r="G836">
        <f>IF(OR($E836="",$E836="نامعتبر"),"",IF(Sync!$S833="","",Sync!$S833))</f>
        <v/>
      </c>
      <c r="H836">
        <f>IF(OR($E836="",$E836="نامعتبر"),"",IF(Sync!$R833="","",Sync!$R833))</f>
        <v/>
      </c>
      <c r="I836">
        <f>IF(OR($E836="",$E836="نامعتبر"),"",IF(Sync!$T833="","",Sync!$T833))</f>
        <v/>
      </c>
      <c r="J836">
        <f>IF(OR($E836="",$E836="نامعتبر"),"",IF(Sync!$U833="","",Sync!$U833))</f>
        <v/>
      </c>
      <c r="K836">
        <f>IF(OR($E836="",$E836="نامعتبر"),"",IF(Sync!$V833="","",IFERROR(INDEX(SubCodes,MATCH(Sync!$V833,SubTitles,0)),Sync!$V833)))</f>
        <v/>
      </c>
      <c r="L836">
        <f>IF(OR($E836="",$E836="نامعتبر"),"",IF(Sync!$W833="",0,Sync!$W833))</f>
        <v/>
      </c>
      <c r="M836">
        <f>IF(OR($E836="",$E836="نامعتبر"),"",IF(Sync!$X833="",0,Sync!$X833))</f>
        <v/>
      </c>
      <c r="N836">
        <f>IF(OR($E836="",$E836="نامعتبر"),"",IF(AND($J836="هزینه",$K836&lt;&gt;""),1,0))</f>
        <v/>
      </c>
      <c r="O836">
        <f>IF($N836=0,"",LEFT($E836,4)&amp;MID($E836,6,2)&amp;RIGHT($E836,2)&amp;$F836&amp;"|"&amp;"1"&amp;RIGHT("00000"&amp;828,5))</f>
        <v/>
      </c>
      <c r="P836">
        <f>IF($O836="","",COUNTIFS(ExpSub,$K836,ExpKey,"&lt;"&amp;$O836)+1)</f>
        <v/>
      </c>
      <c r="Q836">
        <f>IF($P836="","",$K836&amp;"|"&amp;RIGHT("000000"&amp;$P836,6))</f>
        <v/>
      </c>
    </row>
    <row r="837">
      <c r="A837">
        <f>IF(Sync!$P834="","",Sync!$P834)</f>
        <v/>
      </c>
      <c r="B837">
        <f>IF($A837="","",IF(ISNUMBER($A837),IF(AND($A837&gt;=10000101,$A837&lt;=99991231),INT($A837/10000),""),IFERROR(VALUE(TRIM(LEFT($A837,FIND("/",$A837)-1))),"")))</f>
        <v/>
      </c>
      <c r="C837">
        <f>IF(OR($A837="",$B837=""),"",IF(ISNUMBER($A837),INT(MOD($A837,10000)/100),IFERROR(VALUE(TRIM(LEFT(MID($A837,FIND("/",$A837)+1,20),FIND("/",MID($A837,FIND("/",$A837)+1,20))-1))),"")))</f>
        <v/>
      </c>
      <c r="D837">
        <f>IF(OR($A837="",$B837=""),"",IF(ISNUMBER($A837),MOD($A837,100),IFERROR(VALUE(TRIM(MID(MID($A837,FIND("/",$A837)+1,20),FIND("/",MID($A837,FIND("/",$A837)+1,20))+1,20))),"")))</f>
        <v/>
      </c>
      <c r="E837">
        <f>IF($A837="","",IF(OR($B837="",$C837="",$D837="",$B837&lt;1300,$B837&gt;1500,$C837&lt;1,$C837&gt;12,$D837&lt;1,$D837&gt;31),"نامعتبر",RIGHT("0000"&amp;$B837,4)&amp;"/"&amp;RIGHT("00"&amp;$C837,2)&amp;"/"&amp;RIGHT("00"&amp;$D837,2)))</f>
        <v/>
      </c>
      <c r="F837">
        <f>IF(OR($E837="",$E837="نامعتبر"),"",IF(Sync!$Q834="","0000",IF(AND(ISNUMBER(Sync!$Q834),Sync!$Q834&gt;=0,Sync!$Q834&lt;1),RIGHT("00"&amp;HOUR(Sync!$Q834),2)&amp;RIGHT("00"&amp;MINUTE(Sync!$Q834),2),IFERROR(RIGHT("00"&amp;VALUE(LEFT(Sync!$Q834,FIND(":",Sync!$Q834)-1)),2)&amp;RIGHT("00"&amp;VALUE(MID(Sync!$Q834,FIND(":",Sync!$Q834)+1,2)),2),"0000"))))</f>
        <v/>
      </c>
      <c r="G837">
        <f>IF(OR($E837="",$E837="نامعتبر"),"",IF(Sync!$S834="","",Sync!$S834))</f>
        <v/>
      </c>
      <c r="H837">
        <f>IF(OR($E837="",$E837="نامعتبر"),"",IF(Sync!$R834="","",Sync!$R834))</f>
        <v/>
      </c>
      <c r="I837">
        <f>IF(OR($E837="",$E837="نامعتبر"),"",IF(Sync!$T834="","",Sync!$T834))</f>
        <v/>
      </c>
      <c r="J837">
        <f>IF(OR($E837="",$E837="نامعتبر"),"",IF(Sync!$U834="","",Sync!$U834))</f>
        <v/>
      </c>
      <c r="K837">
        <f>IF(OR($E837="",$E837="نامعتبر"),"",IF(Sync!$V834="","",IFERROR(INDEX(SubCodes,MATCH(Sync!$V834,SubTitles,0)),Sync!$V834)))</f>
        <v/>
      </c>
      <c r="L837">
        <f>IF(OR($E837="",$E837="نامعتبر"),"",IF(Sync!$W834="",0,Sync!$W834))</f>
        <v/>
      </c>
      <c r="M837">
        <f>IF(OR($E837="",$E837="نامعتبر"),"",IF(Sync!$X834="",0,Sync!$X834))</f>
        <v/>
      </c>
      <c r="N837">
        <f>IF(OR($E837="",$E837="نامعتبر"),"",IF(AND($J837="هزینه",$K837&lt;&gt;""),1,0))</f>
        <v/>
      </c>
      <c r="O837">
        <f>IF($N837=0,"",LEFT($E837,4)&amp;MID($E837,6,2)&amp;RIGHT($E837,2)&amp;$F837&amp;"|"&amp;"1"&amp;RIGHT("00000"&amp;829,5))</f>
        <v/>
      </c>
      <c r="P837">
        <f>IF($O837="","",COUNTIFS(ExpSub,$K837,ExpKey,"&lt;"&amp;$O837)+1)</f>
        <v/>
      </c>
      <c r="Q837">
        <f>IF($P837="","",$K837&amp;"|"&amp;RIGHT("000000"&amp;$P837,6))</f>
        <v/>
      </c>
    </row>
    <row r="838">
      <c r="A838">
        <f>IF(Sync!$P835="","",Sync!$P835)</f>
        <v/>
      </c>
      <c r="B838">
        <f>IF($A838="","",IF(ISNUMBER($A838),IF(AND($A838&gt;=10000101,$A838&lt;=99991231),INT($A838/10000),""),IFERROR(VALUE(TRIM(LEFT($A838,FIND("/",$A838)-1))),"")))</f>
        <v/>
      </c>
      <c r="C838">
        <f>IF(OR($A838="",$B838=""),"",IF(ISNUMBER($A838),INT(MOD($A838,10000)/100),IFERROR(VALUE(TRIM(LEFT(MID($A838,FIND("/",$A838)+1,20),FIND("/",MID($A838,FIND("/",$A838)+1,20))-1))),"")))</f>
        <v/>
      </c>
      <c r="D838">
        <f>IF(OR($A838="",$B838=""),"",IF(ISNUMBER($A838),MOD($A838,100),IFERROR(VALUE(TRIM(MID(MID($A838,FIND("/",$A838)+1,20),FIND("/",MID($A838,FIND("/",$A838)+1,20))+1,20))),"")))</f>
        <v/>
      </c>
      <c r="E838">
        <f>IF($A838="","",IF(OR($B838="",$C838="",$D838="",$B838&lt;1300,$B838&gt;1500,$C838&lt;1,$C838&gt;12,$D838&lt;1,$D838&gt;31),"نامعتبر",RIGHT("0000"&amp;$B838,4)&amp;"/"&amp;RIGHT("00"&amp;$C838,2)&amp;"/"&amp;RIGHT("00"&amp;$D838,2)))</f>
        <v/>
      </c>
      <c r="F838">
        <f>IF(OR($E838="",$E838="نامعتبر"),"",IF(Sync!$Q835="","0000",IF(AND(ISNUMBER(Sync!$Q835),Sync!$Q835&gt;=0,Sync!$Q835&lt;1),RIGHT("00"&amp;HOUR(Sync!$Q835),2)&amp;RIGHT("00"&amp;MINUTE(Sync!$Q835),2),IFERROR(RIGHT("00"&amp;VALUE(LEFT(Sync!$Q835,FIND(":",Sync!$Q835)-1)),2)&amp;RIGHT("00"&amp;VALUE(MID(Sync!$Q835,FIND(":",Sync!$Q835)+1,2)),2),"0000"))))</f>
        <v/>
      </c>
      <c r="G838">
        <f>IF(OR($E838="",$E838="نامعتبر"),"",IF(Sync!$S835="","",Sync!$S835))</f>
        <v/>
      </c>
      <c r="H838">
        <f>IF(OR($E838="",$E838="نامعتبر"),"",IF(Sync!$R835="","",Sync!$R835))</f>
        <v/>
      </c>
      <c r="I838">
        <f>IF(OR($E838="",$E838="نامعتبر"),"",IF(Sync!$T835="","",Sync!$T835))</f>
        <v/>
      </c>
      <c r="J838">
        <f>IF(OR($E838="",$E838="نامعتبر"),"",IF(Sync!$U835="","",Sync!$U835))</f>
        <v/>
      </c>
      <c r="K838">
        <f>IF(OR($E838="",$E838="نامعتبر"),"",IF(Sync!$V835="","",IFERROR(INDEX(SubCodes,MATCH(Sync!$V835,SubTitles,0)),Sync!$V835)))</f>
        <v/>
      </c>
      <c r="L838">
        <f>IF(OR($E838="",$E838="نامعتبر"),"",IF(Sync!$W835="",0,Sync!$W835))</f>
        <v/>
      </c>
      <c r="M838">
        <f>IF(OR($E838="",$E838="نامعتبر"),"",IF(Sync!$X835="",0,Sync!$X835))</f>
        <v/>
      </c>
      <c r="N838">
        <f>IF(OR($E838="",$E838="نامعتبر"),"",IF(AND($J838="هزینه",$K838&lt;&gt;""),1,0))</f>
        <v/>
      </c>
      <c r="O838">
        <f>IF($N838=0,"",LEFT($E838,4)&amp;MID($E838,6,2)&amp;RIGHT($E838,2)&amp;$F838&amp;"|"&amp;"1"&amp;RIGHT("00000"&amp;830,5))</f>
        <v/>
      </c>
      <c r="P838">
        <f>IF($O838="","",COUNTIFS(ExpSub,$K838,ExpKey,"&lt;"&amp;$O838)+1)</f>
        <v/>
      </c>
      <c r="Q838">
        <f>IF($P838="","",$K838&amp;"|"&amp;RIGHT("000000"&amp;$P838,6))</f>
        <v/>
      </c>
    </row>
    <row r="839">
      <c r="A839">
        <f>IF(Sync!$P836="","",Sync!$P836)</f>
        <v/>
      </c>
      <c r="B839">
        <f>IF($A839="","",IF(ISNUMBER($A839),IF(AND($A839&gt;=10000101,$A839&lt;=99991231),INT($A839/10000),""),IFERROR(VALUE(TRIM(LEFT($A839,FIND("/",$A839)-1))),"")))</f>
        <v/>
      </c>
      <c r="C839">
        <f>IF(OR($A839="",$B839=""),"",IF(ISNUMBER($A839),INT(MOD($A839,10000)/100),IFERROR(VALUE(TRIM(LEFT(MID($A839,FIND("/",$A839)+1,20),FIND("/",MID($A839,FIND("/",$A839)+1,20))-1))),"")))</f>
        <v/>
      </c>
      <c r="D839">
        <f>IF(OR($A839="",$B839=""),"",IF(ISNUMBER($A839),MOD($A839,100),IFERROR(VALUE(TRIM(MID(MID($A839,FIND("/",$A839)+1,20),FIND("/",MID($A839,FIND("/",$A839)+1,20))+1,20))),"")))</f>
        <v/>
      </c>
      <c r="E839">
        <f>IF($A839="","",IF(OR($B839="",$C839="",$D839="",$B839&lt;1300,$B839&gt;1500,$C839&lt;1,$C839&gt;12,$D839&lt;1,$D839&gt;31),"نامعتبر",RIGHT("0000"&amp;$B839,4)&amp;"/"&amp;RIGHT("00"&amp;$C839,2)&amp;"/"&amp;RIGHT("00"&amp;$D839,2)))</f>
        <v/>
      </c>
      <c r="F839">
        <f>IF(OR($E839="",$E839="نامعتبر"),"",IF(Sync!$Q836="","0000",IF(AND(ISNUMBER(Sync!$Q836),Sync!$Q836&gt;=0,Sync!$Q836&lt;1),RIGHT("00"&amp;HOUR(Sync!$Q836),2)&amp;RIGHT("00"&amp;MINUTE(Sync!$Q836),2),IFERROR(RIGHT("00"&amp;VALUE(LEFT(Sync!$Q836,FIND(":",Sync!$Q836)-1)),2)&amp;RIGHT("00"&amp;VALUE(MID(Sync!$Q836,FIND(":",Sync!$Q836)+1,2)),2),"0000"))))</f>
        <v/>
      </c>
      <c r="G839">
        <f>IF(OR($E839="",$E839="نامعتبر"),"",IF(Sync!$S836="","",Sync!$S836))</f>
        <v/>
      </c>
      <c r="H839">
        <f>IF(OR($E839="",$E839="نامعتبر"),"",IF(Sync!$R836="","",Sync!$R836))</f>
        <v/>
      </c>
      <c r="I839">
        <f>IF(OR($E839="",$E839="نامعتبر"),"",IF(Sync!$T836="","",Sync!$T836))</f>
        <v/>
      </c>
      <c r="J839">
        <f>IF(OR($E839="",$E839="نامعتبر"),"",IF(Sync!$U836="","",Sync!$U836))</f>
        <v/>
      </c>
      <c r="K839">
        <f>IF(OR($E839="",$E839="نامعتبر"),"",IF(Sync!$V836="","",IFERROR(INDEX(SubCodes,MATCH(Sync!$V836,SubTitles,0)),Sync!$V836)))</f>
        <v/>
      </c>
      <c r="L839">
        <f>IF(OR($E839="",$E839="نامعتبر"),"",IF(Sync!$W836="",0,Sync!$W836))</f>
        <v/>
      </c>
      <c r="M839">
        <f>IF(OR($E839="",$E839="نامعتبر"),"",IF(Sync!$X836="",0,Sync!$X836))</f>
        <v/>
      </c>
      <c r="N839">
        <f>IF(OR($E839="",$E839="نامعتبر"),"",IF(AND($J839="هزینه",$K839&lt;&gt;""),1,0))</f>
        <v/>
      </c>
      <c r="O839">
        <f>IF($N839=0,"",LEFT($E839,4)&amp;MID($E839,6,2)&amp;RIGHT($E839,2)&amp;$F839&amp;"|"&amp;"1"&amp;RIGHT("00000"&amp;831,5))</f>
        <v/>
      </c>
      <c r="P839">
        <f>IF($O839="","",COUNTIFS(ExpSub,$K839,ExpKey,"&lt;"&amp;$O839)+1)</f>
        <v/>
      </c>
      <c r="Q839">
        <f>IF($P839="","",$K839&amp;"|"&amp;RIGHT("000000"&amp;$P839,6))</f>
        <v/>
      </c>
    </row>
    <row r="840">
      <c r="A840">
        <f>IF(Sync!$P837="","",Sync!$P837)</f>
        <v/>
      </c>
      <c r="B840">
        <f>IF($A840="","",IF(ISNUMBER($A840),IF(AND($A840&gt;=10000101,$A840&lt;=99991231),INT($A840/10000),""),IFERROR(VALUE(TRIM(LEFT($A840,FIND("/",$A840)-1))),"")))</f>
        <v/>
      </c>
      <c r="C840">
        <f>IF(OR($A840="",$B840=""),"",IF(ISNUMBER($A840),INT(MOD($A840,10000)/100),IFERROR(VALUE(TRIM(LEFT(MID($A840,FIND("/",$A840)+1,20),FIND("/",MID($A840,FIND("/",$A840)+1,20))-1))),"")))</f>
        <v/>
      </c>
      <c r="D840">
        <f>IF(OR($A840="",$B840=""),"",IF(ISNUMBER($A840),MOD($A840,100),IFERROR(VALUE(TRIM(MID(MID($A840,FIND("/",$A840)+1,20),FIND("/",MID($A840,FIND("/",$A840)+1,20))+1,20))),"")))</f>
        <v/>
      </c>
      <c r="E840">
        <f>IF($A840="","",IF(OR($B840="",$C840="",$D840="",$B840&lt;1300,$B840&gt;1500,$C840&lt;1,$C840&gt;12,$D840&lt;1,$D840&gt;31),"نامعتبر",RIGHT("0000"&amp;$B840,4)&amp;"/"&amp;RIGHT("00"&amp;$C840,2)&amp;"/"&amp;RIGHT("00"&amp;$D840,2)))</f>
        <v/>
      </c>
      <c r="F840">
        <f>IF(OR($E840="",$E840="نامعتبر"),"",IF(Sync!$Q837="","0000",IF(AND(ISNUMBER(Sync!$Q837),Sync!$Q837&gt;=0,Sync!$Q837&lt;1),RIGHT("00"&amp;HOUR(Sync!$Q837),2)&amp;RIGHT("00"&amp;MINUTE(Sync!$Q837),2),IFERROR(RIGHT("00"&amp;VALUE(LEFT(Sync!$Q837,FIND(":",Sync!$Q837)-1)),2)&amp;RIGHT("00"&amp;VALUE(MID(Sync!$Q837,FIND(":",Sync!$Q837)+1,2)),2),"0000"))))</f>
        <v/>
      </c>
      <c r="G840">
        <f>IF(OR($E840="",$E840="نامعتبر"),"",IF(Sync!$S837="","",Sync!$S837))</f>
        <v/>
      </c>
      <c r="H840">
        <f>IF(OR($E840="",$E840="نامعتبر"),"",IF(Sync!$R837="","",Sync!$R837))</f>
        <v/>
      </c>
      <c r="I840">
        <f>IF(OR($E840="",$E840="نامعتبر"),"",IF(Sync!$T837="","",Sync!$T837))</f>
        <v/>
      </c>
      <c r="J840">
        <f>IF(OR($E840="",$E840="نامعتبر"),"",IF(Sync!$U837="","",Sync!$U837))</f>
        <v/>
      </c>
      <c r="K840">
        <f>IF(OR($E840="",$E840="نامعتبر"),"",IF(Sync!$V837="","",IFERROR(INDEX(SubCodes,MATCH(Sync!$V837,SubTitles,0)),Sync!$V837)))</f>
        <v/>
      </c>
      <c r="L840">
        <f>IF(OR($E840="",$E840="نامعتبر"),"",IF(Sync!$W837="",0,Sync!$W837))</f>
        <v/>
      </c>
      <c r="M840">
        <f>IF(OR($E840="",$E840="نامعتبر"),"",IF(Sync!$X837="",0,Sync!$X837))</f>
        <v/>
      </c>
      <c r="N840">
        <f>IF(OR($E840="",$E840="نامعتبر"),"",IF(AND($J840="هزینه",$K840&lt;&gt;""),1,0))</f>
        <v/>
      </c>
      <c r="O840">
        <f>IF($N840=0,"",LEFT($E840,4)&amp;MID($E840,6,2)&amp;RIGHT($E840,2)&amp;$F840&amp;"|"&amp;"1"&amp;RIGHT("00000"&amp;832,5))</f>
        <v/>
      </c>
      <c r="P840">
        <f>IF($O840="","",COUNTIFS(ExpSub,$K840,ExpKey,"&lt;"&amp;$O840)+1)</f>
        <v/>
      </c>
      <c r="Q840">
        <f>IF($P840="","",$K840&amp;"|"&amp;RIGHT("000000"&amp;$P840,6))</f>
        <v/>
      </c>
    </row>
    <row r="841">
      <c r="A841">
        <f>IF(Sync!$P838="","",Sync!$P838)</f>
        <v/>
      </c>
      <c r="B841">
        <f>IF($A841="","",IF(ISNUMBER($A841),IF(AND($A841&gt;=10000101,$A841&lt;=99991231),INT($A841/10000),""),IFERROR(VALUE(TRIM(LEFT($A841,FIND("/",$A841)-1))),"")))</f>
        <v/>
      </c>
      <c r="C841">
        <f>IF(OR($A841="",$B841=""),"",IF(ISNUMBER($A841),INT(MOD($A841,10000)/100),IFERROR(VALUE(TRIM(LEFT(MID($A841,FIND("/",$A841)+1,20),FIND("/",MID($A841,FIND("/",$A841)+1,20))-1))),"")))</f>
        <v/>
      </c>
      <c r="D841">
        <f>IF(OR($A841="",$B841=""),"",IF(ISNUMBER($A841),MOD($A841,100),IFERROR(VALUE(TRIM(MID(MID($A841,FIND("/",$A841)+1,20),FIND("/",MID($A841,FIND("/",$A841)+1,20))+1,20))),"")))</f>
        <v/>
      </c>
      <c r="E841">
        <f>IF($A841="","",IF(OR($B841="",$C841="",$D841="",$B841&lt;1300,$B841&gt;1500,$C841&lt;1,$C841&gt;12,$D841&lt;1,$D841&gt;31),"نامعتبر",RIGHT("0000"&amp;$B841,4)&amp;"/"&amp;RIGHT("00"&amp;$C841,2)&amp;"/"&amp;RIGHT("00"&amp;$D841,2)))</f>
        <v/>
      </c>
      <c r="F841">
        <f>IF(OR($E841="",$E841="نامعتبر"),"",IF(Sync!$Q838="","0000",IF(AND(ISNUMBER(Sync!$Q838),Sync!$Q838&gt;=0,Sync!$Q838&lt;1),RIGHT("00"&amp;HOUR(Sync!$Q838),2)&amp;RIGHT("00"&amp;MINUTE(Sync!$Q838),2),IFERROR(RIGHT("00"&amp;VALUE(LEFT(Sync!$Q838,FIND(":",Sync!$Q838)-1)),2)&amp;RIGHT("00"&amp;VALUE(MID(Sync!$Q838,FIND(":",Sync!$Q838)+1,2)),2),"0000"))))</f>
        <v/>
      </c>
      <c r="G841">
        <f>IF(OR($E841="",$E841="نامعتبر"),"",IF(Sync!$S838="","",Sync!$S838))</f>
        <v/>
      </c>
      <c r="H841">
        <f>IF(OR($E841="",$E841="نامعتبر"),"",IF(Sync!$R838="","",Sync!$R838))</f>
        <v/>
      </c>
      <c r="I841">
        <f>IF(OR($E841="",$E841="نامعتبر"),"",IF(Sync!$T838="","",Sync!$T838))</f>
        <v/>
      </c>
      <c r="J841">
        <f>IF(OR($E841="",$E841="نامعتبر"),"",IF(Sync!$U838="","",Sync!$U838))</f>
        <v/>
      </c>
      <c r="K841">
        <f>IF(OR($E841="",$E841="نامعتبر"),"",IF(Sync!$V838="","",IFERROR(INDEX(SubCodes,MATCH(Sync!$V838,SubTitles,0)),Sync!$V838)))</f>
        <v/>
      </c>
      <c r="L841">
        <f>IF(OR($E841="",$E841="نامعتبر"),"",IF(Sync!$W838="",0,Sync!$W838))</f>
        <v/>
      </c>
      <c r="M841">
        <f>IF(OR($E841="",$E841="نامعتبر"),"",IF(Sync!$X838="",0,Sync!$X838))</f>
        <v/>
      </c>
      <c r="N841">
        <f>IF(OR($E841="",$E841="نامعتبر"),"",IF(AND($J841="هزینه",$K841&lt;&gt;""),1,0))</f>
        <v/>
      </c>
      <c r="O841">
        <f>IF($N841=0,"",LEFT($E841,4)&amp;MID($E841,6,2)&amp;RIGHT($E841,2)&amp;$F841&amp;"|"&amp;"1"&amp;RIGHT("00000"&amp;833,5))</f>
        <v/>
      </c>
      <c r="P841">
        <f>IF($O841="","",COUNTIFS(ExpSub,$K841,ExpKey,"&lt;"&amp;$O841)+1)</f>
        <v/>
      </c>
      <c r="Q841">
        <f>IF($P841="","",$K841&amp;"|"&amp;RIGHT("000000"&amp;$P841,6))</f>
        <v/>
      </c>
    </row>
    <row r="842">
      <c r="A842">
        <f>IF(Sync!$P839="","",Sync!$P839)</f>
        <v/>
      </c>
      <c r="B842">
        <f>IF($A842="","",IF(ISNUMBER($A842),IF(AND($A842&gt;=10000101,$A842&lt;=99991231),INT($A842/10000),""),IFERROR(VALUE(TRIM(LEFT($A842,FIND("/",$A842)-1))),"")))</f>
        <v/>
      </c>
      <c r="C842">
        <f>IF(OR($A842="",$B842=""),"",IF(ISNUMBER($A842),INT(MOD($A842,10000)/100),IFERROR(VALUE(TRIM(LEFT(MID($A842,FIND("/",$A842)+1,20),FIND("/",MID($A842,FIND("/",$A842)+1,20))-1))),"")))</f>
        <v/>
      </c>
      <c r="D842">
        <f>IF(OR($A842="",$B842=""),"",IF(ISNUMBER($A842),MOD($A842,100),IFERROR(VALUE(TRIM(MID(MID($A842,FIND("/",$A842)+1,20),FIND("/",MID($A842,FIND("/",$A842)+1,20))+1,20))),"")))</f>
        <v/>
      </c>
      <c r="E842">
        <f>IF($A842="","",IF(OR($B842="",$C842="",$D842="",$B842&lt;1300,$B842&gt;1500,$C842&lt;1,$C842&gt;12,$D842&lt;1,$D842&gt;31),"نامعتبر",RIGHT("0000"&amp;$B842,4)&amp;"/"&amp;RIGHT("00"&amp;$C842,2)&amp;"/"&amp;RIGHT("00"&amp;$D842,2)))</f>
        <v/>
      </c>
      <c r="F842">
        <f>IF(OR($E842="",$E842="نامعتبر"),"",IF(Sync!$Q839="","0000",IF(AND(ISNUMBER(Sync!$Q839),Sync!$Q839&gt;=0,Sync!$Q839&lt;1),RIGHT("00"&amp;HOUR(Sync!$Q839),2)&amp;RIGHT("00"&amp;MINUTE(Sync!$Q839),2),IFERROR(RIGHT("00"&amp;VALUE(LEFT(Sync!$Q839,FIND(":",Sync!$Q839)-1)),2)&amp;RIGHT("00"&amp;VALUE(MID(Sync!$Q839,FIND(":",Sync!$Q839)+1,2)),2),"0000"))))</f>
        <v/>
      </c>
      <c r="G842">
        <f>IF(OR($E842="",$E842="نامعتبر"),"",IF(Sync!$S839="","",Sync!$S839))</f>
        <v/>
      </c>
      <c r="H842">
        <f>IF(OR($E842="",$E842="نامعتبر"),"",IF(Sync!$R839="","",Sync!$R839))</f>
        <v/>
      </c>
      <c r="I842">
        <f>IF(OR($E842="",$E842="نامعتبر"),"",IF(Sync!$T839="","",Sync!$T839))</f>
        <v/>
      </c>
      <c r="J842">
        <f>IF(OR($E842="",$E842="نامعتبر"),"",IF(Sync!$U839="","",Sync!$U839))</f>
        <v/>
      </c>
      <c r="K842">
        <f>IF(OR($E842="",$E842="نامعتبر"),"",IF(Sync!$V839="","",IFERROR(INDEX(SubCodes,MATCH(Sync!$V839,SubTitles,0)),Sync!$V839)))</f>
        <v/>
      </c>
      <c r="L842">
        <f>IF(OR($E842="",$E842="نامعتبر"),"",IF(Sync!$W839="",0,Sync!$W839))</f>
        <v/>
      </c>
      <c r="M842">
        <f>IF(OR($E842="",$E842="نامعتبر"),"",IF(Sync!$X839="",0,Sync!$X839))</f>
        <v/>
      </c>
      <c r="N842">
        <f>IF(OR($E842="",$E842="نامعتبر"),"",IF(AND($J842="هزینه",$K842&lt;&gt;""),1,0))</f>
        <v/>
      </c>
      <c r="O842">
        <f>IF($N842=0,"",LEFT($E842,4)&amp;MID($E842,6,2)&amp;RIGHT($E842,2)&amp;$F842&amp;"|"&amp;"1"&amp;RIGHT("00000"&amp;834,5))</f>
        <v/>
      </c>
      <c r="P842">
        <f>IF($O842="","",COUNTIFS(ExpSub,$K842,ExpKey,"&lt;"&amp;$O842)+1)</f>
        <v/>
      </c>
      <c r="Q842">
        <f>IF($P842="","",$K842&amp;"|"&amp;RIGHT("000000"&amp;$P842,6))</f>
        <v/>
      </c>
    </row>
    <row r="843">
      <c r="A843">
        <f>IF(Sync!$P840="","",Sync!$P840)</f>
        <v/>
      </c>
      <c r="B843">
        <f>IF($A843="","",IF(ISNUMBER($A843),IF(AND($A843&gt;=10000101,$A843&lt;=99991231),INT($A843/10000),""),IFERROR(VALUE(TRIM(LEFT($A843,FIND("/",$A843)-1))),"")))</f>
        <v/>
      </c>
      <c r="C843">
        <f>IF(OR($A843="",$B843=""),"",IF(ISNUMBER($A843),INT(MOD($A843,10000)/100),IFERROR(VALUE(TRIM(LEFT(MID($A843,FIND("/",$A843)+1,20),FIND("/",MID($A843,FIND("/",$A843)+1,20))-1))),"")))</f>
        <v/>
      </c>
      <c r="D843">
        <f>IF(OR($A843="",$B843=""),"",IF(ISNUMBER($A843),MOD($A843,100),IFERROR(VALUE(TRIM(MID(MID($A843,FIND("/",$A843)+1,20),FIND("/",MID($A843,FIND("/",$A843)+1,20))+1,20))),"")))</f>
        <v/>
      </c>
      <c r="E843">
        <f>IF($A843="","",IF(OR($B843="",$C843="",$D843="",$B843&lt;1300,$B843&gt;1500,$C843&lt;1,$C843&gt;12,$D843&lt;1,$D843&gt;31),"نامعتبر",RIGHT("0000"&amp;$B843,4)&amp;"/"&amp;RIGHT("00"&amp;$C843,2)&amp;"/"&amp;RIGHT("00"&amp;$D843,2)))</f>
        <v/>
      </c>
      <c r="F843">
        <f>IF(OR($E843="",$E843="نامعتبر"),"",IF(Sync!$Q840="","0000",IF(AND(ISNUMBER(Sync!$Q840),Sync!$Q840&gt;=0,Sync!$Q840&lt;1),RIGHT("00"&amp;HOUR(Sync!$Q840),2)&amp;RIGHT("00"&amp;MINUTE(Sync!$Q840),2),IFERROR(RIGHT("00"&amp;VALUE(LEFT(Sync!$Q840,FIND(":",Sync!$Q840)-1)),2)&amp;RIGHT("00"&amp;VALUE(MID(Sync!$Q840,FIND(":",Sync!$Q840)+1,2)),2),"0000"))))</f>
        <v/>
      </c>
      <c r="G843">
        <f>IF(OR($E843="",$E843="نامعتبر"),"",IF(Sync!$S840="","",Sync!$S840))</f>
        <v/>
      </c>
      <c r="H843">
        <f>IF(OR($E843="",$E843="نامعتبر"),"",IF(Sync!$R840="","",Sync!$R840))</f>
        <v/>
      </c>
      <c r="I843">
        <f>IF(OR($E843="",$E843="نامعتبر"),"",IF(Sync!$T840="","",Sync!$T840))</f>
        <v/>
      </c>
      <c r="J843">
        <f>IF(OR($E843="",$E843="نامعتبر"),"",IF(Sync!$U840="","",Sync!$U840))</f>
        <v/>
      </c>
      <c r="K843">
        <f>IF(OR($E843="",$E843="نامعتبر"),"",IF(Sync!$V840="","",IFERROR(INDEX(SubCodes,MATCH(Sync!$V840,SubTitles,0)),Sync!$V840)))</f>
        <v/>
      </c>
      <c r="L843">
        <f>IF(OR($E843="",$E843="نامعتبر"),"",IF(Sync!$W840="",0,Sync!$W840))</f>
        <v/>
      </c>
      <c r="M843">
        <f>IF(OR($E843="",$E843="نامعتبر"),"",IF(Sync!$X840="",0,Sync!$X840))</f>
        <v/>
      </c>
      <c r="N843">
        <f>IF(OR($E843="",$E843="نامعتبر"),"",IF(AND($J843="هزینه",$K843&lt;&gt;""),1,0))</f>
        <v/>
      </c>
      <c r="O843">
        <f>IF($N843=0,"",LEFT($E843,4)&amp;MID($E843,6,2)&amp;RIGHT($E843,2)&amp;$F843&amp;"|"&amp;"1"&amp;RIGHT("00000"&amp;835,5))</f>
        <v/>
      </c>
      <c r="P843">
        <f>IF($O843="","",COUNTIFS(ExpSub,$K843,ExpKey,"&lt;"&amp;$O843)+1)</f>
        <v/>
      </c>
      <c r="Q843">
        <f>IF($P843="","",$K843&amp;"|"&amp;RIGHT("000000"&amp;$P843,6))</f>
        <v/>
      </c>
    </row>
    <row r="844">
      <c r="A844">
        <f>IF(Sync!$P841="","",Sync!$P841)</f>
        <v/>
      </c>
      <c r="B844">
        <f>IF($A844="","",IF(ISNUMBER($A844),IF(AND($A844&gt;=10000101,$A844&lt;=99991231),INT($A844/10000),""),IFERROR(VALUE(TRIM(LEFT($A844,FIND("/",$A844)-1))),"")))</f>
        <v/>
      </c>
      <c r="C844">
        <f>IF(OR($A844="",$B844=""),"",IF(ISNUMBER($A844),INT(MOD($A844,10000)/100),IFERROR(VALUE(TRIM(LEFT(MID($A844,FIND("/",$A844)+1,20),FIND("/",MID($A844,FIND("/",$A844)+1,20))-1))),"")))</f>
        <v/>
      </c>
      <c r="D844">
        <f>IF(OR($A844="",$B844=""),"",IF(ISNUMBER($A844),MOD($A844,100),IFERROR(VALUE(TRIM(MID(MID($A844,FIND("/",$A844)+1,20),FIND("/",MID($A844,FIND("/",$A844)+1,20))+1,20))),"")))</f>
        <v/>
      </c>
      <c r="E844">
        <f>IF($A844="","",IF(OR($B844="",$C844="",$D844="",$B844&lt;1300,$B844&gt;1500,$C844&lt;1,$C844&gt;12,$D844&lt;1,$D844&gt;31),"نامعتبر",RIGHT("0000"&amp;$B844,4)&amp;"/"&amp;RIGHT("00"&amp;$C844,2)&amp;"/"&amp;RIGHT("00"&amp;$D844,2)))</f>
        <v/>
      </c>
      <c r="F844">
        <f>IF(OR($E844="",$E844="نامعتبر"),"",IF(Sync!$Q841="","0000",IF(AND(ISNUMBER(Sync!$Q841),Sync!$Q841&gt;=0,Sync!$Q841&lt;1),RIGHT("00"&amp;HOUR(Sync!$Q841),2)&amp;RIGHT("00"&amp;MINUTE(Sync!$Q841),2),IFERROR(RIGHT("00"&amp;VALUE(LEFT(Sync!$Q841,FIND(":",Sync!$Q841)-1)),2)&amp;RIGHT("00"&amp;VALUE(MID(Sync!$Q841,FIND(":",Sync!$Q841)+1,2)),2),"0000"))))</f>
        <v/>
      </c>
      <c r="G844">
        <f>IF(OR($E844="",$E844="نامعتبر"),"",IF(Sync!$S841="","",Sync!$S841))</f>
        <v/>
      </c>
      <c r="H844">
        <f>IF(OR($E844="",$E844="نامعتبر"),"",IF(Sync!$R841="","",Sync!$R841))</f>
        <v/>
      </c>
      <c r="I844">
        <f>IF(OR($E844="",$E844="نامعتبر"),"",IF(Sync!$T841="","",Sync!$T841))</f>
        <v/>
      </c>
      <c r="J844">
        <f>IF(OR($E844="",$E844="نامعتبر"),"",IF(Sync!$U841="","",Sync!$U841))</f>
        <v/>
      </c>
      <c r="K844">
        <f>IF(OR($E844="",$E844="نامعتبر"),"",IF(Sync!$V841="","",IFERROR(INDEX(SubCodes,MATCH(Sync!$V841,SubTitles,0)),Sync!$V841)))</f>
        <v/>
      </c>
      <c r="L844">
        <f>IF(OR($E844="",$E844="نامعتبر"),"",IF(Sync!$W841="",0,Sync!$W841))</f>
        <v/>
      </c>
      <c r="M844">
        <f>IF(OR($E844="",$E844="نامعتبر"),"",IF(Sync!$X841="",0,Sync!$X841))</f>
        <v/>
      </c>
      <c r="N844">
        <f>IF(OR($E844="",$E844="نامعتبر"),"",IF(AND($J844="هزینه",$K844&lt;&gt;""),1,0))</f>
        <v/>
      </c>
      <c r="O844">
        <f>IF($N844=0,"",LEFT($E844,4)&amp;MID($E844,6,2)&amp;RIGHT($E844,2)&amp;$F844&amp;"|"&amp;"1"&amp;RIGHT("00000"&amp;836,5))</f>
        <v/>
      </c>
      <c r="P844">
        <f>IF($O844="","",COUNTIFS(ExpSub,$K844,ExpKey,"&lt;"&amp;$O844)+1)</f>
        <v/>
      </c>
      <c r="Q844">
        <f>IF($P844="","",$K844&amp;"|"&amp;RIGHT("000000"&amp;$P844,6))</f>
        <v/>
      </c>
    </row>
    <row r="845">
      <c r="A845">
        <f>IF(Sync!$P842="","",Sync!$P842)</f>
        <v/>
      </c>
      <c r="B845">
        <f>IF($A845="","",IF(ISNUMBER($A845),IF(AND($A845&gt;=10000101,$A845&lt;=99991231),INT($A845/10000),""),IFERROR(VALUE(TRIM(LEFT($A845,FIND("/",$A845)-1))),"")))</f>
        <v/>
      </c>
      <c r="C845">
        <f>IF(OR($A845="",$B845=""),"",IF(ISNUMBER($A845),INT(MOD($A845,10000)/100),IFERROR(VALUE(TRIM(LEFT(MID($A845,FIND("/",$A845)+1,20),FIND("/",MID($A845,FIND("/",$A845)+1,20))-1))),"")))</f>
        <v/>
      </c>
      <c r="D845">
        <f>IF(OR($A845="",$B845=""),"",IF(ISNUMBER($A845),MOD($A845,100),IFERROR(VALUE(TRIM(MID(MID($A845,FIND("/",$A845)+1,20),FIND("/",MID($A845,FIND("/",$A845)+1,20))+1,20))),"")))</f>
        <v/>
      </c>
      <c r="E845">
        <f>IF($A845="","",IF(OR($B845="",$C845="",$D845="",$B845&lt;1300,$B845&gt;1500,$C845&lt;1,$C845&gt;12,$D845&lt;1,$D845&gt;31),"نامعتبر",RIGHT("0000"&amp;$B845,4)&amp;"/"&amp;RIGHT("00"&amp;$C845,2)&amp;"/"&amp;RIGHT("00"&amp;$D845,2)))</f>
        <v/>
      </c>
      <c r="F845">
        <f>IF(OR($E845="",$E845="نامعتبر"),"",IF(Sync!$Q842="","0000",IF(AND(ISNUMBER(Sync!$Q842),Sync!$Q842&gt;=0,Sync!$Q842&lt;1),RIGHT("00"&amp;HOUR(Sync!$Q842),2)&amp;RIGHT("00"&amp;MINUTE(Sync!$Q842),2),IFERROR(RIGHT("00"&amp;VALUE(LEFT(Sync!$Q842,FIND(":",Sync!$Q842)-1)),2)&amp;RIGHT("00"&amp;VALUE(MID(Sync!$Q842,FIND(":",Sync!$Q842)+1,2)),2),"0000"))))</f>
        <v/>
      </c>
      <c r="G845">
        <f>IF(OR($E845="",$E845="نامعتبر"),"",IF(Sync!$S842="","",Sync!$S842))</f>
        <v/>
      </c>
      <c r="H845">
        <f>IF(OR($E845="",$E845="نامعتبر"),"",IF(Sync!$R842="","",Sync!$R842))</f>
        <v/>
      </c>
      <c r="I845">
        <f>IF(OR($E845="",$E845="نامعتبر"),"",IF(Sync!$T842="","",Sync!$T842))</f>
        <v/>
      </c>
      <c r="J845">
        <f>IF(OR($E845="",$E845="نامعتبر"),"",IF(Sync!$U842="","",Sync!$U842))</f>
        <v/>
      </c>
      <c r="K845">
        <f>IF(OR($E845="",$E845="نامعتبر"),"",IF(Sync!$V842="","",IFERROR(INDEX(SubCodes,MATCH(Sync!$V842,SubTitles,0)),Sync!$V842)))</f>
        <v/>
      </c>
      <c r="L845">
        <f>IF(OR($E845="",$E845="نامعتبر"),"",IF(Sync!$W842="",0,Sync!$W842))</f>
        <v/>
      </c>
      <c r="M845">
        <f>IF(OR($E845="",$E845="نامعتبر"),"",IF(Sync!$X842="",0,Sync!$X842))</f>
        <v/>
      </c>
      <c r="N845">
        <f>IF(OR($E845="",$E845="نامعتبر"),"",IF(AND($J845="هزینه",$K845&lt;&gt;""),1,0))</f>
        <v/>
      </c>
      <c r="O845">
        <f>IF($N845=0,"",LEFT($E845,4)&amp;MID($E845,6,2)&amp;RIGHT($E845,2)&amp;$F845&amp;"|"&amp;"1"&amp;RIGHT("00000"&amp;837,5))</f>
        <v/>
      </c>
      <c r="P845">
        <f>IF($O845="","",COUNTIFS(ExpSub,$K845,ExpKey,"&lt;"&amp;$O845)+1)</f>
        <v/>
      </c>
      <c r="Q845">
        <f>IF($P845="","",$K845&amp;"|"&amp;RIGHT("000000"&amp;$P845,6))</f>
        <v/>
      </c>
    </row>
    <row r="846">
      <c r="A846">
        <f>IF(Sync!$P843="","",Sync!$P843)</f>
        <v/>
      </c>
      <c r="B846">
        <f>IF($A846="","",IF(ISNUMBER($A846),IF(AND($A846&gt;=10000101,$A846&lt;=99991231),INT($A846/10000),""),IFERROR(VALUE(TRIM(LEFT($A846,FIND("/",$A846)-1))),"")))</f>
        <v/>
      </c>
      <c r="C846">
        <f>IF(OR($A846="",$B846=""),"",IF(ISNUMBER($A846),INT(MOD($A846,10000)/100),IFERROR(VALUE(TRIM(LEFT(MID($A846,FIND("/",$A846)+1,20),FIND("/",MID($A846,FIND("/",$A846)+1,20))-1))),"")))</f>
        <v/>
      </c>
      <c r="D846">
        <f>IF(OR($A846="",$B846=""),"",IF(ISNUMBER($A846),MOD($A846,100),IFERROR(VALUE(TRIM(MID(MID($A846,FIND("/",$A846)+1,20),FIND("/",MID($A846,FIND("/",$A846)+1,20))+1,20))),"")))</f>
        <v/>
      </c>
      <c r="E846">
        <f>IF($A846="","",IF(OR($B846="",$C846="",$D846="",$B846&lt;1300,$B846&gt;1500,$C846&lt;1,$C846&gt;12,$D846&lt;1,$D846&gt;31),"نامعتبر",RIGHT("0000"&amp;$B846,4)&amp;"/"&amp;RIGHT("00"&amp;$C846,2)&amp;"/"&amp;RIGHT("00"&amp;$D846,2)))</f>
        <v/>
      </c>
      <c r="F846">
        <f>IF(OR($E846="",$E846="نامعتبر"),"",IF(Sync!$Q843="","0000",IF(AND(ISNUMBER(Sync!$Q843),Sync!$Q843&gt;=0,Sync!$Q843&lt;1),RIGHT("00"&amp;HOUR(Sync!$Q843),2)&amp;RIGHT("00"&amp;MINUTE(Sync!$Q843),2),IFERROR(RIGHT("00"&amp;VALUE(LEFT(Sync!$Q843,FIND(":",Sync!$Q843)-1)),2)&amp;RIGHT("00"&amp;VALUE(MID(Sync!$Q843,FIND(":",Sync!$Q843)+1,2)),2),"0000"))))</f>
        <v/>
      </c>
      <c r="G846">
        <f>IF(OR($E846="",$E846="نامعتبر"),"",IF(Sync!$S843="","",Sync!$S843))</f>
        <v/>
      </c>
      <c r="H846">
        <f>IF(OR($E846="",$E846="نامعتبر"),"",IF(Sync!$R843="","",Sync!$R843))</f>
        <v/>
      </c>
      <c r="I846">
        <f>IF(OR($E846="",$E846="نامعتبر"),"",IF(Sync!$T843="","",Sync!$T843))</f>
        <v/>
      </c>
      <c r="J846">
        <f>IF(OR($E846="",$E846="نامعتبر"),"",IF(Sync!$U843="","",Sync!$U843))</f>
        <v/>
      </c>
      <c r="K846">
        <f>IF(OR($E846="",$E846="نامعتبر"),"",IF(Sync!$V843="","",IFERROR(INDEX(SubCodes,MATCH(Sync!$V843,SubTitles,0)),Sync!$V843)))</f>
        <v/>
      </c>
      <c r="L846">
        <f>IF(OR($E846="",$E846="نامعتبر"),"",IF(Sync!$W843="",0,Sync!$W843))</f>
        <v/>
      </c>
      <c r="M846">
        <f>IF(OR($E846="",$E846="نامعتبر"),"",IF(Sync!$X843="",0,Sync!$X843))</f>
        <v/>
      </c>
      <c r="N846">
        <f>IF(OR($E846="",$E846="نامعتبر"),"",IF(AND($J846="هزینه",$K846&lt;&gt;""),1,0))</f>
        <v/>
      </c>
      <c r="O846">
        <f>IF($N846=0,"",LEFT($E846,4)&amp;MID($E846,6,2)&amp;RIGHT($E846,2)&amp;$F846&amp;"|"&amp;"1"&amp;RIGHT("00000"&amp;838,5))</f>
        <v/>
      </c>
      <c r="P846">
        <f>IF($O846="","",COUNTIFS(ExpSub,$K846,ExpKey,"&lt;"&amp;$O846)+1)</f>
        <v/>
      </c>
      <c r="Q846">
        <f>IF($P846="","",$K846&amp;"|"&amp;RIGHT("000000"&amp;$P846,6))</f>
        <v/>
      </c>
    </row>
    <row r="847">
      <c r="A847">
        <f>IF(Sync!$P844="","",Sync!$P844)</f>
        <v/>
      </c>
      <c r="B847">
        <f>IF($A847="","",IF(ISNUMBER($A847),IF(AND($A847&gt;=10000101,$A847&lt;=99991231),INT($A847/10000),""),IFERROR(VALUE(TRIM(LEFT($A847,FIND("/",$A847)-1))),"")))</f>
        <v/>
      </c>
      <c r="C847">
        <f>IF(OR($A847="",$B847=""),"",IF(ISNUMBER($A847),INT(MOD($A847,10000)/100),IFERROR(VALUE(TRIM(LEFT(MID($A847,FIND("/",$A847)+1,20),FIND("/",MID($A847,FIND("/",$A847)+1,20))-1))),"")))</f>
        <v/>
      </c>
      <c r="D847">
        <f>IF(OR($A847="",$B847=""),"",IF(ISNUMBER($A847),MOD($A847,100),IFERROR(VALUE(TRIM(MID(MID($A847,FIND("/",$A847)+1,20),FIND("/",MID($A847,FIND("/",$A847)+1,20))+1,20))),"")))</f>
        <v/>
      </c>
      <c r="E847">
        <f>IF($A847="","",IF(OR($B847="",$C847="",$D847="",$B847&lt;1300,$B847&gt;1500,$C847&lt;1,$C847&gt;12,$D847&lt;1,$D847&gt;31),"نامعتبر",RIGHT("0000"&amp;$B847,4)&amp;"/"&amp;RIGHT("00"&amp;$C847,2)&amp;"/"&amp;RIGHT("00"&amp;$D847,2)))</f>
        <v/>
      </c>
      <c r="F847">
        <f>IF(OR($E847="",$E847="نامعتبر"),"",IF(Sync!$Q844="","0000",IF(AND(ISNUMBER(Sync!$Q844),Sync!$Q844&gt;=0,Sync!$Q844&lt;1),RIGHT("00"&amp;HOUR(Sync!$Q844),2)&amp;RIGHT("00"&amp;MINUTE(Sync!$Q844),2),IFERROR(RIGHT("00"&amp;VALUE(LEFT(Sync!$Q844,FIND(":",Sync!$Q844)-1)),2)&amp;RIGHT("00"&amp;VALUE(MID(Sync!$Q844,FIND(":",Sync!$Q844)+1,2)),2),"0000"))))</f>
        <v/>
      </c>
      <c r="G847">
        <f>IF(OR($E847="",$E847="نامعتبر"),"",IF(Sync!$S844="","",Sync!$S844))</f>
        <v/>
      </c>
      <c r="H847">
        <f>IF(OR($E847="",$E847="نامعتبر"),"",IF(Sync!$R844="","",Sync!$R844))</f>
        <v/>
      </c>
      <c r="I847">
        <f>IF(OR($E847="",$E847="نامعتبر"),"",IF(Sync!$T844="","",Sync!$T844))</f>
        <v/>
      </c>
      <c r="J847">
        <f>IF(OR($E847="",$E847="نامعتبر"),"",IF(Sync!$U844="","",Sync!$U844))</f>
        <v/>
      </c>
      <c r="K847">
        <f>IF(OR($E847="",$E847="نامعتبر"),"",IF(Sync!$V844="","",IFERROR(INDEX(SubCodes,MATCH(Sync!$V844,SubTitles,0)),Sync!$V844)))</f>
        <v/>
      </c>
      <c r="L847">
        <f>IF(OR($E847="",$E847="نامعتبر"),"",IF(Sync!$W844="",0,Sync!$W844))</f>
        <v/>
      </c>
      <c r="M847">
        <f>IF(OR($E847="",$E847="نامعتبر"),"",IF(Sync!$X844="",0,Sync!$X844))</f>
        <v/>
      </c>
      <c r="N847">
        <f>IF(OR($E847="",$E847="نامعتبر"),"",IF(AND($J847="هزینه",$K847&lt;&gt;""),1,0))</f>
        <v/>
      </c>
      <c r="O847">
        <f>IF($N847=0,"",LEFT($E847,4)&amp;MID($E847,6,2)&amp;RIGHT($E847,2)&amp;$F847&amp;"|"&amp;"1"&amp;RIGHT("00000"&amp;839,5))</f>
        <v/>
      </c>
      <c r="P847">
        <f>IF($O847="","",COUNTIFS(ExpSub,$K847,ExpKey,"&lt;"&amp;$O847)+1)</f>
        <v/>
      </c>
      <c r="Q847">
        <f>IF($P847="","",$K847&amp;"|"&amp;RIGHT("000000"&amp;$P847,6))</f>
        <v/>
      </c>
    </row>
    <row r="848">
      <c r="A848">
        <f>IF(Sync!$P845="","",Sync!$P845)</f>
        <v/>
      </c>
      <c r="B848">
        <f>IF($A848="","",IF(ISNUMBER($A848),IF(AND($A848&gt;=10000101,$A848&lt;=99991231),INT($A848/10000),""),IFERROR(VALUE(TRIM(LEFT($A848,FIND("/",$A848)-1))),"")))</f>
        <v/>
      </c>
      <c r="C848">
        <f>IF(OR($A848="",$B848=""),"",IF(ISNUMBER($A848),INT(MOD($A848,10000)/100),IFERROR(VALUE(TRIM(LEFT(MID($A848,FIND("/",$A848)+1,20),FIND("/",MID($A848,FIND("/",$A848)+1,20))-1))),"")))</f>
        <v/>
      </c>
      <c r="D848">
        <f>IF(OR($A848="",$B848=""),"",IF(ISNUMBER($A848),MOD($A848,100),IFERROR(VALUE(TRIM(MID(MID($A848,FIND("/",$A848)+1,20),FIND("/",MID($A848,FIND("/",$A848)+1,20))+1,20))),"")))</f>
        <v/>
      </c>
      <c r="E848">
        <f>IF($A848="","",IF(OR($B848="",$C848="",$D848="",$B848&lt;1300,$B848&gt;1500,$C848&lt;1,$C848&gt;12,$D848&lt;1,$D848&gt;31),"نامعتبر",RIGHT("0000"&amp;$B848,4)&amp;"/"&amp;RIGHT("00"&amp;$C848,2)&amp;"/"&amp;RIGHT("00"&amp;$D848,2)))</f>
        <v/>
      </c>
      <c r="F848">
        <f>IF(OR($E848="",$E848="نامعتبر"),"",IF(Sync!$Q845="","0000",IF(AND(ISNUMBER(Sync!$Q845),Sync!$Q845&gt;=0,Sync!$Q845&lt;1),RIGHT("00"&amp;HOUR(Sync!$Q845),2)&amp;RIGHT("00"&amp;MINUTE(Sync!$Q845),2),IFERROR(RIGHT("00"&amp;VALUE(LEFT(Sync!$Q845,FIND(":",Sync!$Q845)-1)),2)&amp;RIGHT("00"&amp;VALUE(MID(Sync!$Q845,FIND(":",Sync!$Q845)+1,2)),2),"0000"))))</f>
        <v/>
      </c>
      <c r="G848">
        <f>IF(OR($E848="",$E848="نامعتبر"),"",IF(Sync!$S845="","",Sync!$S845))</f>
        <v/>
      </c>
      <c r="H848">
        <f>IF(OR($E848="",$E848="نامعتبر"),"",IF(Sync!$R845="","",Sync!$R845))</f>
        <v/>
      </c>
      <c r="I848">
        <f>IF(OR($E848="",$E848="نامعتبر"),"",IF(Sync!$T845="","",Sync!$T845))</f>
        <v/>
      </c>
      <c r="J848">
        <f>IF(OR($E848="",$E848="نامعتبر"),"",IF(Sync!$U845="","",Sync!$U845))</f>
        <v/>
      </c>
      <c r="K848">
        <f>IF(OR($E848="",$E848="نامعتبر"),"",IF(Sync!$V845="","",IFERROR(INDEX(SubCodes,MATCH(Sync!$V845,SubTitles,0)),Sync!$V845)))</f>
        <v/>
      </c>
      <c r="L848">
        <f>IF(OR($E848="",$E848="نامعتبر"),"",IF(Sync!$W845="",0,Sync!$W845))</f>
        <v/>
      </c>
      <c r="M848">
        <f>IF(OR($E848="",$E848="نامعتبر"),"",IF(Sync!$X845="",0,Sync!$X845))</f>
        <v/>
      </c>
      <c r="N848">
        <f>IF(OR($E848="",$E848="نامعتبر"),"",IF(AND($J848="هزینه",$K848&lt;&gt;""),1,0))</f>
        <v/>
      </c>
      <c r="O848">
        <f>IF($N848=0,"",LEFT($E848,4)&amp;MID($E848,6,2)&amp;RIGHT($E848,2)&amp;$F848&amp;"|"&amp;"1"&amp;RIGHT("00000"&amp;840,5))</f>
        <v/>
      </c>
      <c r="P848">
        <f>IF($O848="","",COUNTIFS(ExpSub,$K848,ExpKey,"&lt;"&amp;$O848)+1)</f>
        <v/>
      </c>
      <c r="Q848">
        <f>IF($P848="","",$K848&amp;"|"&amp;RIGHT("000000"&amp;$P848,6))</f>
        <v/>
      </c>
    </row>
    <row r="849">
      <c r="A849">
        <f>IF(Sync!$P846="","",Sync!$P846)</f>
        <v/>
      </c>
      <c r="B849">
        <f>IF($A849="","",IF(ISNUMBER($A849),IF(AND($A849&gt;=10000101,$A849&lt;=99991231),INT($A849/10000),""),IFERROR(VALUE(TRIM(LEFT($A849,FIND("/",$A849)-1))),"")))</f>
        <v/>
      </c>
      <c r="C849">
        <f>IF(OR($A849="",$B849=""),"",IF(ISNUMBER($A849),INT(MOD($A849,10000)/100),IFERROR(VALUE(TRIM(LEFT(MID($A849,FIND("/",$A849)+1,20),FIND("/",MID($A849,FIND("/",$A849)+1,20))-1))),"")))</f>
        <v/>
      </c>
      <c r="D849">
        <f>IF(OR($A849="",$B849=""),"",IF(ISNUMBER($A849),MOD($A849,100),IFERROR(VALUE(TRIM(MID(MID($A849,FIND("/",$A849)+1,20),FIND("/",MID($A849,FIND("/",$A849)+1,20))+1,20))),"")))</f>
        <v/>
      </c>
      <c r="E849">
        <f>IF($A849="","",IF(OR($B849="",$C849="",$D849="",$B849&lt;1300,$B849&gt;1500,$C849&lt;1,$C849&gt;12,$D849&lt;1,$D849&gt;31),"نامعتبر",RIGHT("0000"&amp;$B849,4)&amp;"/"&amp;RIGHT("00"&amp;$C849,2)&amp;"/"&amp;RIGHT("00"&amp;$D849,2)))</f>
        <v/>
      </c>
      <c r="F849">
        <f>IF(OR($E849="",$E849="نامعتبر"),"",IF(Sync!$Q846="","0000",IF(AND(ISNUMBER(Sync!$Q846),Sync!$Q846&gt;=0,Sync!$Q846&lt;1),RIGHT("00"&amp;HOUR(Sync!$Q846),2)&amp;RIGHT("00"&amp;MINUTE(Sync!$Q846),2),IFERROR(RIGHT("00"&amp;VALUE(LEFT(Sync!$Q846,FIND(":",Sync!$Q846)-1)),2)&amp;RIGHT("00"&amp;VALUE(MID(Sync!$Q846,FIND(":",Sync!$Q846)+1,2)),2),"0000"))))</f>
        <v/>
      </c>
      <c r="G849">
        <f>IF(OR($E849="",$E849="نامعتبر"),"",IF(Sync!$S846="","",Sync!$S846))</f>
        <v/>
      </c>
      <c r="H849">
        <f>IF(OR($E849="",$E849="نامعتبر"),"",IF(Sync!$R846="","",Sync!$R846))</f>
        <v/>
      </c>
      <c r="I849">
        <f>IF(OR($E849="",$E849="نامعتبر"),"",IF(Sync!$T846="","",Sync!$T846))</f>
        <v/>
      </c>
      <c r="J849">
        <f>IF(OR($E849="",$E849="نامعتبر"),"",IF(Sync!$U846="","",Sync!$U846))</f>
        <v/>
      </c>
      <c r="K849">
        <f>IF(OR($E849="",$E849="نامعتبر"),"",IF(Sync!$V846="","",IFERROR(INDEX(SubCodes,MATCH(Sync!$V846,SubTitles,0)),Sync!$V846)))</f>
        <v/>
      </c>
      <c r="L849">
        <f>IF(OR($E849="",$E849="نامعتبر"),"",IF(Sync!$W846="",0,Sync!$W846))</f>
        <v/>
      </c>
      <c r="M849">
        <f>IF(OR($E849="",$E849="نامعتبر"),"",IF(Sync!$X846="",0,Sync!$X846))</f>
        <v/>
      </c>
      <c r="N849">
        <f>IF(OR($E849="",$E849="نامعتبر"),"",IF(AND($J849="هزینه",$K849&lt;&gt;""),1,0))</f>
        <v/>
      </c>
      <c r="O849">
        <f>IF($N849=0,"",LEFT($E849,4)&amp;MID($E849,6,2)&amp;RIGHT($E849,2)&amp;$F849&amp;"|"&amp;"1"&amp;RIGHT("00000"&amp;841,5))</f>
        <v/>
      </c>
      <c r="P849">
        <f>IF($O849="","",COUNTIFS(ExpSub,$K849,ExpKey,"&lt;"&amp;$O849)+1)</f>
        <v/>
      </c>
      <c r="Q849">
        <f>IF($P849="","",$K849&amp;"|"&amp;RIGHT("000000"&amp;$P849,6))</f>
        <v/>
      </c>
    </row>
    <row r="850">
      <c r="A850">
        <f>IF(Sync!$P847="","",Sync!$P847)</f>
        <v/>
      </c>
      <c r="B850">
        <f>IF($A850="","",IF(ISNUMBER($A850),IF(AND($A850&gt;=10000101,$A850&lt;=99991231),INT($A850/10000),""),IFERROR(VALUE(TRIM(LEFT($A850,FIND("/",$A850)-1))),"")))</f>
        <v/>
      </c>
      <c r="C850">
        <f>IF(OR($A850="",$B850=""),"",IF(ISNUMBER($A850),INT(MOD($A850,10000)/100),IFERROR(VALUE(TRIM(LEFT(MID($A850,FIND("/",$A850)+1,20),FIND("/",MID($A850,FIND("/",$A850)+1,20))-1))),"")))</f>
        <v/>
      </c>
      <c r="D850">
        <f>IF(OR($A850="",$B850=""),"",IF(ISNUMBER($A850),MOD($A850,100),IFERROR(VALUE(TRIM(MID(MID($A850,FIND("/",$A850)+1,20),FIND("/",MID($A850,FIND("/",$A850)+1,20))+1,20))),"")))</f>
        <v/>
      </c>
      <c r="E850">
        <f>IF($A850="","",IF(OR($B850="",$C850="",$D850="",$B850&lt;1300,$B850&gt;1500,$C850&lt;1,$C850&gt;12,$D850&lt;1,$D850&gt;31),"نامعتبر",RIGHT("0000"&amp;$B850,4)&amp;"/"&amp;RIGHT("00"&amp;$C850,2)&amp;"/"&amp;RIGHT("00"&amp;$D850,2)))</f>
        <v/>
      </c>
      <c r="F850">
        <f>IF(OR($E850="",$E850="نامعتبر"),"",IF(Sync!$Q847="","0000",IF(AND(ISNUMBER(Sync!$Q847),Sync!$Q847&gt;=0,Sync!$Q847&lt;1),RIGHT("00"&amp;HOUR(Sync!$Q847),2)&amp;RIGHT("00"&amp;MINUTE(Sync!$Q847),2),IFERROR(RIGHT("00"&amp;VALUE(LEFT(Sync!$Q847,FIND(":",Sync!$Q847)-1)),2)&amp;RIGHT("00"&amp;VALUE(MID(Sync!$Q847,FIND(":",Sync!$Q847)+1,2)),2),"0000"))))</f>
        <v/>
      </c>
      <c r="G850">
        <f>IF(OR($E850="",$E850="نامعتبر"),"",IF(Sync!$S847="","",Sync!$S847))</f>
        <v/>
      </c>
      <c r="H850">
        <f>IF(OR($E850="",$E850="نامعتبر"),"",IF(Sync!$R847="","",Sync!$R847))</f>
        <v/>
      </c>
      <c r="I850">
        <f>IF(OR($E850="",$E850="نامعتبر"),"",IF(Sync!$T847="","",Sync!$T847))</f>
        <v/>
      </c>
      <c r="J850">
        <f>IF(OR($E850="",$E850="نامعتبر"),"",IF(Sync!$U847="","",Sync!$U847))</f>
        <v/>
      </c>
      <c r="K850">
        <f>IF(OR($E850="",$E850="نامعتبر"),"",IF(Sync!$V847="","",IFERROR(INDEX(SubCodes,MATCH(Sync!$V847,SubTitles,0)),Sync!$V847)))</f>
        <v/>
      </c>
      <c r="L850">
        <f>IF(OR($E850="",$E850="نامعتبر"),"",IF(Sync!$W847="",0,Sync!$W847))</f>
        <v/>
      </c>
      <c r="M850">
        <f>IF(OR($E850="",$E850="نامعتبر"),"",IF(Sync!$X847="",0,Sync!$X847))</f>
        <v/>
      </c>
      <c r="N850">
        <f>IF(OR($E850="",$E850="نامعتبر"),"",IF(AND($J850="هزینه",$K850&lt;&gt;""),1,0))</f>
        <v/>
      </c>
      <c r="O850">
        <f>IF($N850=0,"",LEFT($E850,4)&amp;MID($E850,6,2)&amp;RIGHT($E850,2)&amp;$F850&amp;"|"&amp;"1"&amp;RIGHT("00000"&amp;842,5))</f>
        <v/>
      </c>
      <c r="P850">
        <f>IF($O850="","",COUNTIFS(ExpSub,$K850,ExpKey,"&lt;"&amp;$O850)+1)</f>
        <v/>
      </c>
      <c r="Q850">
        <f>IF($P850="","",$K850&amp;"|"&amp;RIGHT("000000"&amp;$P850,6))</f>
        <v/>
      </c>
    </row>
    <row r="851">
      <c r="A851">
        <f>IF(Sync!$P848="","",Sync!$P848)</f>
        <v/>
      </c>
      <c r="B851">
        <f>IF($A851="","",IF(ISNUMBER($A851),IF(AND($A851&gt;=10000101,$A851&lt;=99991231),INT($A851/10000),""),IFERROR(VALUE(TRIM(LEFT($A851,FIND("/",$A851)-1))),"")))</f>
        <v/>
      </c>
      <c r="C851">
        <f>IF(OR($A851="",$B851=""),"",IF(ISNUMBER($A851),INT(MOD($A851,10000)/100),IFERROR(VALUE(TRIM(LEFT(MID($A851,FIND("/",$A851)+1,20),FIND("/",MID($A851,FIND("/",$A851)+1,20))-1))),"")))</f>
        <v/>
      </c>
      <c r="D851">
        <f>IF(OR($A851="",$B851=""),"",IF(ISNUMBER($A851),MOD($A851,100),IFERROR(VALUE(TRIM(MID(MID($A851,FIND("/",$A851)+1,20),FIND("/",MID($A851,FIND("/",$A851)+1,20))+1,20))),"")))</f>
        <v/>
      </c>
      <c r="E851">
        <f>IF($A851="","",IF(OR($B851="",$C851="",$D851="",$B851&lt;1300,$B851&gt;1500,$C851&lt;1,$C851&gt;12,$D851&lt;1,$D851&gt;31),"نامعتبر",RIGHT("0000"&amp;$B851,4)&amp;"/"&amp;RIGHT("00"&amp;$C851,2)&amp;"/"&amp;RIGHT("00"&amp;$D851,2)))</f>
        <v/>
      </c>
      <c r="F851">
        <f>IF(OR($E851="",$E851="نامعتبر"),"",IF(Sync!$Q848="","0000",IF(AND(ISNUMBER(Sync!$Q848),Sync!$Q848&gt;=0,Sync!$Q848&lt;1),RIGHT("00"&amp;HOUR(Sync!$Q848),2)&amp;RIGHT("00"&amp;MINUTE(Sync!$Q848),2),IFERROR(RIGHT("00"&amp;VALUE(LEFT(Sync!$Q848,FIND(":",Sync!$Q848)-1)),2)&amp;RIGHT("00"&amp;VALUE(MID(Sync!$Q848,FIND(":",Sync!$Q848)+1,2)),2),"0000"))))</f>
        <v/>
      </c>
      <c r="G851">
        <f>IF(OR($E851="",$E851="نامعتبر"),"",IF(Sync!$S848="","",Sync!$S848))</f>
        <v/>
      </c>
      <c r="H851">
        <f>IF(OR($E851="",$E851="نامعتبر"),"",IF(Sync!$R848="","",Sync!$R848))</f>
        <v/>
      </c>
      <c r="I851">
        <f>IF(OR($E851="",$E851="نامعتبر"),"",IF(Sync!$T848="","",Sync!$T848))</f>
        <v/>
      </c>
      <c r="J851">
        <f>IF(OR($E851="",$E851="نامعتبر"),"",IF(Sync!$U848="","",Sync!$U848))</f>
        <v/>
      </c>
      <c r="K851">
        <f>IF(OR($E851="",$E851="نامعتبر"),"",IF(Sync!$V848="","",IFERROR(INDEX(SubCodes,MATCH(Sync!$V848,SubTitles,0)),Sync!$V848)))</f>
        <v/>
      </c>
      <c r="L851">
        <f>IF(OR($E851="",$E851="نامعتبر"),"",IF(Sync!$W848="",0,Sync!$W848))</f>
        <v/>
      </c>
      <c r="M851">
        <f>IF(OR($E851="",$E851="نامعتبر"),"",IF(Sync!$X848="",0,Sync!$X848))</f>
        <v/>
      </c>
      <c r="N851">
        <f>IF(OR($E851="",$E851="نامعتبر"),"",IF(AND($J851="هزینه",$K851&lt;&gt;""),1,0))</f>
        <v/>
      </c>
      <c r="O851">
        <f>IF($N851=0,"",LEFT($E851,4)&amp;MID($E851,6,2)&amp;RIGHT($E851,2)&amp;$F851&amp;"|"&amp;"1"&amp;RIGHT("00000"&amp;843,5))</f>
        <v/>
      </c>
      <c r="P851">
        <f>IF($O851="","",COUNTIFS(ExpSub,$K851,ExpKey,"&lt;"&amp;$O851)+1)</f>
        <v/>
      </c>
      <c r="Q851">
        <f>IF($P851="","",$K851&amp;"|"&amp;RIGHT("000000"&amp;$P851,6))</f>
        <v/>
      </c>
    </row>
    <row r="852">
      <c r="A852">
        <f>IF(Sync!$P849="","",Sync!$P849)</f>
        <v/>
      </c>
      <c r="B852">
        <f>IF($A852="","",IF(ISNUMBER($A852),IF(AND($A852&gt;=10000101,$A852&lt;=99991231),INT($A852/10000),""),IFERROR(VALUE(TRIM(LEFT($A852,FIND("/",$A852)-1))),"")))</f>
        <v/>
      </c>
      <c r="C852">
        <f>IF(OR($A852="",$B852=""),"",IF(ISNUMBER($A852),INT(MOD($A852,10000)/100),IFERROR(VALUE(TRIM(LEFT(MID($A852,FIND("/",$A852)+1,20),FIND("/",MID($A852,FIND("/",$A852)+1,20))-1))),"")))</f>
        <v/>
      </c>
      <c r="D852">
        <f>IF(OR($A852="",$B852=""),"",IF(ISNUMBER($A852),MOD($A852,100),IFERROR(VALUE(TRIM(MID(MID($A852,FIND("/",$A852)+1,20),FIND("/",MID($A852,FIND("/",$A852)+1,20))+1,20))),"")))</f>
        <v/>
      </c>
      <c r="E852">
        <f>IF($A852="","",IF(OR($B852="",$C852="",$D852="",$B852&lt;1300,$B852&gt;1500,$C852&lt;1,$C852&gt;12,$D852&lt;1,$D852&gt;31),"نامعتبر",RIGHT("0000"&amp;$B852,4)&amp;"/"&amp;RIGHT("00"&amp;$C852,2)&amp;"/"&amp;RIGHT("00"&amp;$D852,2)))</f>
        <v/>
      </c>
      <c r="F852">
        <f>IF(OR($E852="",$E852="نامعتبر"),"",IF(Sync!$Q849="","0000",IF(AND(ISNUMBER(Sync!$Q849),Sync!$Q849&gt;=0,Sync!$Q849&lt;1),RIGHT("00"&amp;HOUR(Sync!$Q849),2)&amp;RIGHT("00"&amp;MINUTE(Sync!$Q849),2),IFERROR(RIGHT("00"&amp;VALUE(LEFT(Sync!$Q849,FIND(":",Sync!$Q849)-1)),2)&amp;RIGHT("00"&amp;VALUE(MID(Sync!$Q849,FIND(":",Sync!$Q849)+1,2)),2),"0000"))))</f>
        <v/>
      </c>
      <c r="G852">
        <f>IF(OR($E852="",$E852="نامعتبر"),"",IF(Sync!$S849="","",Sync!$S849))</f>
        <v/>
      </c>
      <c r="H852">
        <f>IF(OR($E852="",$E852="نامعتبر"),"",IF(Sync!$R849="","",Sync!$R849))</f>
        <v/>
      </c>
      <c r="I852">
        <f>IF(OR($E852="",$E852="نامعتبر"),"",IF(Sync!$T849="","",Sync!$T849))</f>
        <v/>
      </c>
      <c r="J852">
        <f>IF(OR($E852="",$E852="نامعتبر"),"",IF(Sync!$U849="","",Sync!$U849))</f>
        <v/>
      </c>
      <c r="K852">
        <f>IF(OR($E852="",$E852="نامعتبر"),"",IF(Sync!$V849="","",IFERROR(INDEX(SubCodes,MATCH(Sync!$V849,SubTitles,0)),Sync!$V849)))</f>
        <v/>
      </c>
      <c r="L852">
        <f>IF(OR($E852="",$E852="نامعتبر"),"",IF(Sync!$W849="",0,Sync!$W849))</f>
        <v/>
      </c>
      <c r="M852">
        <f>IF(OR($E852="",$E852="نامعتبر"),"",IF(Sync!$X849="",0,Sync!$X849))</f>
        <v/>
      </c>
      <c r="N852">
        <f>IF(OR($E852="",$E852="نامعتبر"),"",IF(AND($J852="هزینه",$K852&lt;&gt;""),1,0))</f>
        <v/>
      </c>
      <c r="O852">
        <f>IF($N852=0,"",LEFT($E852,4)&amp;MID($E852,6,2)&amp;RIGHT($E852,2)&amp;$F852&amp;"|"&amp;"1"&amp;RIGHT("00000"&amp;844,5))</f>
        <v/>
      </c>
      <c r="P852">
        <f>IF($O852="","",COUNTIFS(ExpSub,$K852,ExpKey,"&lt;"&amp;$O852)+1)</f>
        <v/>
      </c>
      <c r="Q852">
        <f>IF($P852="","",$K852&amp;"|"&amp;RIGHT("000000"&amp;$P852,6))</f>
        <v/>
      </c>
    </row>
    <row r="853">
      <c r="A853">
        <f>IF(Sync!$P850="","",Sync!$P850)</f>
        <v/>
      </c>
      <c r="B853">
        <f>IF($A853="","",IF(ISNUMBER($A853),IF(AND($A853&gt;=10000101,$A853&lt;=99991231),INT($A853/10000),""),IFERROR(VALUE(TRIM(LEFT($A853,FIND("/",$A853)-1))),"")))</f>
        <v/>
      </c>
      <c r="C853">
        <f>IF(OR($A853="",$B853=""),"",IF(ISNUMBER($A853),INT(MOD($A853,10000)/100),IFERROR(VALUE(TRIM(LEFT(MID($A853,FIND("/",$A853)+1,20),FIND("/",MID($A853,FIND("/",$A853)+1,20))-1))),"")))</f>
        <v/>
      </c>
      <c r="D853">
        <f>IF(OR($A853="",$B853=""),"",IF(ISNUMBER($A853),MOD($A853,100),IFERROR(VALUE(TRIM(MID(MID($A853,FIND("/",$A853)+1,20),FIND("/",MID($A853,FIND("/",$A853)+1,20))+1,20))),"")))</f>
        <v/>
      </c>
      <c r="E853">
        <f>IF($A853="","",IF(OR($B853="",$C853="",$D853="",$B853&lt;1300,$B853&gt;1500,$C853&lt;1,$C853&gt;12,$D853&lt;1,$D853&gt;31),"نامعتبر",RIGHT("0000"&amp;$B853,4)&amp;"/"&amp;RIGHT("00"&amp;$C853,2)&amp;"/"&amp;RIGHT("00"&amp;$D853,2)))</f>
        <v/>
      </c>
      <c r="F853">
        <f>IF(OR($E853="",$E853="نامعتبر"),"",IF(Sync!$Q850="","0000",IF(AND(ISNUMBER(Sync!$Q850),Sync!$Q850&gt;=0,Sync!$Q850&lt;1),RIGHT("00"&amp;HOUR(Sync!$Q850),2)&amp;RIGHT("00"&amp;MINUTE(Sync!$Q850),2),IFERROR(RIGHT("00"&amp;VALUE(LEFT(Sync!$Q850,FIND(":",Sync!$Q850)-1)),2)&amp;RIGHT("00"&amp;VALUE(MID(Sync!$Q850,FIND(":",Sync!$Q850)+1,2)),2),"0000"))))</f>
        <v/>
      </c>
      <c r="G853">
        <f>IF(OR($E853="",$E853="نامعتبر"),"",IF(Sync!$S850="","",Sync!$S850))</f>
        <v/>
      </c>
      <c r="H853">
        <f>IF(OR($E853="",$E853="نامعتبر"),"",IF(Sync!$R850="","",Sync!$R850))</f>
        <v/>
      </c>
      <c r="I853">
        <f>IF(OR($E853="",$E853="نامعتبر"),"",IF(Sync!$T850="","",Sync!$T850))</f>
        <v/>
      </c>
      <c r="J853">
        <f>IF(OR($E853="",$E853="نامعتبر"),"",IF(Sync!$U850="","",Sync!$U850))</f>
        <v/>
      </c>
      <c r="K853">
        <f>IF(OR($E853="",$E853="نامعتبر"),"",IF(Sync!$V850="","",IFERROR(INDEX(SubCodes,MATCH(Sync!$V850,SubTitles,0)),Sync!$V850)))</f>
        <v/>
      </c>
      <c r="L853">
        <f>IF(OR($E853="",$E853="نامعتبر"),"",IF(Sync!$W850="",0,Sync!$W850))</f>
        <v/>
      </c>
      <c r="M853">
        <f>IF(OR($E853="",$E853="نامعتبر"),"",IF(Sync!$X850="",0,Sync!$X850))</f>
        <v/>
      </c>
      <c r="N853">
        <f>IF(OR($E853="",$E853="نامعتبر"),"",IF(AND($J853="هزینه",$K853&lt;&gt;""),1,0))</f>
        <v/>
      </c>
      <c r="O853">
        <f>IF($N853=0,"",LEFT($E853,4)&amp;MID($E853,6,2)&amp;RIGHT($E853,2)&amp;$F853&amp;"|"&amp;"1"&amp;RIGHT("00000"&amp;845,5))</f>
        <v/>
      </c>
      <c r="P853">
        <f>IF($O853="","",COUNTIFS(ExpSub,$K853,ExpKey,"&lt;"&amp;$O853)+1)</f>
        <v/>
      </c>
      <c r="Q853">
        <f>IF($P853="","",$K853&amp;"|"&amp;RIGHT("000000"&amp;$P853,6))</f>
        <v/>
      </c>
    </row>
    <row r="854">
      <c r="A854">
        <f>IF(Sync!$P851="","",Sync!$P851)</f>
        <v/>
      </c>
      <c r="B854">
        <f>IF($A854="","",IF(ISNUMBER($A854),IF(AND($A854&gt;=10000101,$A854&lt;=99991231),INT($A854/10000),""),IFERROR(VALUE(TRIM(LEFT($A854,FIND("/",$A854)-1))),"")))</f>
        <v/>
      </c>
      <c r="C854">
        <f>IF(OR($A854="",$B854=""),"",IF(ISNUMBER($A854),INT(MOD($A854,10000)/100),IFERROR(VALUE(TRIM(LEFT(MID($A854,FIND("/",$A854)+1,20),FIND("/",MID($A854,FIND("/",$A854)+1,20))-1))),"")))</f>
        <v/>
      </c>
      <c r="D854">
        <f>IF(OR($A854="",$B854=""),"",IF(ISNUMBER($A854),MOD($A854,100),IFERROR(VALUE(TRIM(MID(MID($A854,FIND("/",$A854)+1,20),FIND("/",MID($A854,FIND("/",$A854)+1,20))+1,20))),"")))</f>
        <v/>
      </c>
      <c r="E854">
        <f>IF($A854="","",IF(OR($B854="",$C854="",$D854="",$B854&lt;1300,$B854&gt;1500,$C854&lt;1,$C854&gt;12,$D854&lt;1,$D854&gt;31),"نامعتبر",RIGHT("0000"&amp;$B854,4)&amp;"/"&amp;RIGHT("00"&amp;$C854,2)&amp;"/"&amp;RIGHT("00"&amp;$D854,2)))</f>
        <v/>
      </c>
      <c r="F854">
        <f>IF(OR($E854="",$E854="نامعتبر"),"",IF(Sync!$Q851="","0000",IF(AND(ISNUMBER(Sync!$Q851),Sync!$Q851&gt;=0,Sync!$Q851&lt;1),RIGHT("00"&amp;HOUR(Sync!$Q851),2)&amp;RIGHT("00"&amp;MINUTE(Sync!$Q851),2),IFERROR(RIGHT("00"&amp;VALUE(LEFT(Sync!$Q851,FIND(":",Sync!$Q851)-1)),2)&amp;RIGHT("00"&amp;VALUE(MID(Sync!$Q851,FIND(":",Sync!$Q851)+1,2)),2),"0000"))))</f>
        <v/>
      </c>
      <c r="G854">
        <f>IF(OR($E854="",$E854="نامعتبر"),"",IF(Sync!$S851="","",Sync!$S851))</f>
        <v/>
      </c>
      <c r="H854">
        <f>IF(OR($E854="",$E854="نامعتبر"),"",IF(Sync!$R851="","",Sync!$R851))</f>
        <v/>
      </c>
      <c r="I854">
        <f>IF(OR($E854="",$E854="نامعتبر"),"",IF(Sync!$T851="","",Sync!$T851))</f>
        <v/>
      </c>
      <c r="J854">
        <f>IF(OR($E854="",$E854="نامعتبر"),"",IF(Sync!$U851="","",Sync!$U851))</f>
        <v/>
      </c>
      <c r="K854">
        <f>IF(OR($E854="",$E854="نامعتبر"),"",IF(Sync!$V851="","",IFERROR(INDEX(SubCodes,MATCH(Sync!$V851,SubTitles,0)),Sync!$V851)))</f>
        <v/>
      </c>
      <c r="L854">
        <f>IF(OR($E854="",$E854="نامعتبر"),"",IF(Sync!$W851="",0,Sync!$W851))</f>
        <v/>
      </c>
      <c r="M854">
        <f>IF(OR($E854="",$E854="نامعتبر"),"",IF(Sync!$X851="",0,Sync!$X851))</f>
        <v/>
      </c>
      <c r="N854">
        <f>IF(OR($E854="",$E854="نامعتبر"),"",IF(AND($J854="هزینه",$K854&lt;&gt;""),1,0))</f>
        <v/>
      </c>
      <c r="O854">
        <f>IF($N854=0,"",LEFT($E854,4)&amp;MID($E854,6,2)&amp;RIGHT($E854,2)&amp;$F854&amp;"|"&amp;"1"&amp;RIGHT("00000"&amp;846,5))</f>
        <v/>
      </c>
      <c r="P854">
        <f>IF($O854="","",COUNTIFS(ExpSub,$K854,ExpKey,"&lt;"&amp;$O854)+1)</f>
        <v/>
      </c>
      <c r="Q854">
        <f>IF($P854="","",$K854&amp;"|"&amp;RIGHT("000000"&amp;$P854,6))</f>
        <v/>
      </c>
    </row>
    <row r="855">
      <c r="A855">
        <f>IF(Sync!$P852="","",Sync!$P852)</f>
        <v/>
      </c>
      <c r="B855">
        <f>IF($A855="","",IF(ISNUMBER($A855),IF(AND($A855&gt;=10000101,$A855&lt;=99991231),INT($A855/10000),""),IFERROR(VALUE(TRIM(LEFT($A855,FIND("/",$A855)-1))),"")))</f>
        <v/>
      </c>
      <c r="C855">
        <f>IF(OR($A855="",$B855=""),"",IF(ISNUMBER($A855),INT(MOD($A855,10000)/100),IFERROR(VALUE(TRIM(LEFT(MID($A855,FIND("/",$A855)+1,20),FIND("/",MID($A855,FIND("/",$A855)+1,20))-1))),"")))</f>
        <v/>
      </c>
      <c r="D855">
        <f>IF(OR($A855="",$B855=""),"",IF(ISNUMBER($A855),MOD($A855,100),IFERROR(VALUE(TRIM(MID(MID($A855,FIND("/",$A855)+1,20),FIND("/",MID($A855,FIND("/",$A855)+1,20))+1,20))),"")))</f>
        <v/>
      </c>
      <c r="E855">
        <f>IF($A855="","",IF(OR($B855="",$C855="",$D855="",$B855&lt;1300,$B855&gt;1500,$C855&lt;1,$C855&gt;12,$D855&lt;1,$D855&gt;31),"نامعتبر",RIGHT("0000"&amp;$B855,4)&amp;"/"&amp;RIGHT("00"&amp;$C855,2)&amp;"/"&amp;RIGHT("00"&amp;$D855,2)))</f>
        <v/>
      </c>
      <c r="F855">
        <f>IF(OR($E855="",$E855="نامعتبر"),"",IF(Sync!$Q852="","0000",IF(AND(ISNUMBER(Sync!$Q852),Sync!$Q852&gt;=0,Sync!$Q852&lt;1),RIGHT("00"&amp;HOUR(Sync!$Q852),2)&amp;RIGHT("00"&amp;MINUTE(Sync!$Q852),2),IFERROR(RIGHT("00"&amp;VALUE(LEFT(Sync!$Q852,FIND(":",Sync!$Q852)-1)),2)&amp;RIGHT("00"&amp;VALUE(MID(Sync!$Q852,FIND(":",Sync!$Q852)+1,2)),2),"0000"))))</f>
        <v/>
      </c>
      <c r="G855">
        <f>IF(OR($E855="",$E855="نامعتبر"),"",IF(Sync!$S852="","",Sync!$S852))</f>
        <v/>
      </c>
      <c r="H855">
        <f>IF(OR($E855="",$E855="نامعتبر"),"",IF(Sync!$R852="","",Sync!$R852))</f>
        <v/>
      </c>
      <c r="I855">
        <f>IF(OR($E855="",$E855="نامعتبر"),"",IF(Sync!$T852="","",Sync!$T852))</f>
        <v/>
      </c>
      <c r="J855">
        <f>IF(OR($E855="",$E855="نامعتبر"),"",IF(Sync!$U852="","",Sync!$U852))</f>
        <v/>
      </c>
      <c r="K855">
        <f>IF(OR($E855="",$E855="نامعتبر"),"",IF(Sync!$V852="","",IFERROR(INDEX(SubCodes,MATCH(Sync!$V852,SubTitles,0)),Sync!$V852)))</f>
        <v/>
      </c>
      <c r="L855">
        <f>IF(OR($E855="",$E855="نامعتبر"),"",IF(Sync!$W852="",0,Sync!$W852))</f>
        <v/>
      </c>
      <c r="M855">
        <f>IF(OR($E855="",$E855="نامعتبر"),"",IF(Sync!$X852="",0,Sync!$X852))</f>
        <v/>
      </c>
      <c r="N855">
        <f>IF(OR($E855="",$E855="نامعتبر"),"",IF(AND($J855="هزینه",$K855&lt;&gt;""),1,0))</f>
        <v/>
      </c>
      <c r="O855">
        <f>IF($N855=0,"",LEFT($E855,4)&amp;MID($E855,6,2)&amp;RIGHT($E855,2)&amp;$F855&amp;"|"&amp;"1"&amp;RIGHT("00000"&amp;847,5))</f>
        <v/>
      </c>
      <c r="P855">
        <f>IF($O855="","",COUNTIFS(ExpSub,$K855,ExpKey,"&lt;"&amp;$O855)+1)</f>
        <v/>
      </c>
      <c r="Q855">
        <f>IF($P855="","",$K855&amp;"|"&amp;RIGHT("000000"&amp;$P855,6))</f>
        <v/>
      </c>
    </row>
    <row r="856">
      <c r="A856">
        <f>IF(Sync!$P853="","",Sync!$P853)</f>
        <v/>
      </c>
      <c r="B856">
        <f>IF($A856="","",IF(ISNUMBER($A856),IF(AND($A856&gt;=10000101,$A856&lt;=99991231),INT($A856/10000),""),IFERROR(VALUE(TRIM(LEFT($A856,FIND("/",$A856)-1))),"")))</f>
        <v/>
      </c>
      <c r="C856">
        <f>IF(OR($A856="",$B856=""),"",IF(ISNUMBER($A856),INT(MOD($A856,10000)/100),IFERROR(VALUE(TRIM(LEFT(MID($A856,FIND("/",$A856)+1,20),FIND("/",MID($A856,FIND("/",$A856)+1,20))-1))),"")))</f>
        <v/>
      </c>
      <c r="D856">
        <f>IF(OR($A856="",$B856=""),"",IF(ISNUMBER($A856),MOD($A856,100),IFERROR(VALUE(TRIM(MID(MID($A856,FIND("/",$A856)+1,20),FIND("/",MID($A856,FIND("/",$A856)+1,20))+1,20))),"")))</f>
        <v/>
      </c>
      <c r="E856">
        <f>IF($A856="","",IF(OR($B856="",$C856="",$D856="",$B856&lt;1300,$B856&gt;1500,$C856&lt;1,$C856&gt;12,$D856&lt;1,$D856&gt;31),"نامعتبر",RIGHT("0000"&amp;$B856,4)&amp;"/"&amp;RIGHT("00"&amp;$C856,2)&amp;"/"&amp;RIGHT("00"&amp;$D856,2)))</f>
        <v/>
      </c>
      <c r="F856">
        <f>IF(OR($E856="",$E856="نامعتبر"),"",IF(Sync!$Q853="","0000",IF(AND(ISNUMBER(Sync!$Q853),Sync!$Q853&gt;=0,Sync!$Q853&lt;1),RIGHT("00"&amp;HOUR(Sync!$Q853),2)&amp;RIGHT("00"&amp;MINUTE(Sync!$Q853),2),IFERROR(RIGHT("00"&amp;VALUE(LEFT(Sync!$Q853,FIND(":",Sync!$Q853)-1)),2)&amp;RIGHT("00"&amp;VALUE(MID(Sync!$Q853,FIND(":",Sync!$Q853)+1,2)),2),"0000"))))</f>
        <v/>
      </c>
      <c r="G856">
        <f>IF(OR($E856="",$E856="نامعتبر"),"",IF(Sync!$S853="","",Sync!$S853))</f>
        <v/>
      </c>
      <c r="H856">
        <f>IF(OR($E856="",$E856="نامعتبر"),"",IF(Sync!$R853="","",Sync!$R853))</f>
        <v/>
      </c>
      <c r="I856">
        <f>IF(OR($E856="",$E856="نامعتبر"),"",IF(Sync!$T853="","",Sync!$T853))</f>
        <v/>
      </c>
      <c r="J856">
        <f>IF(OR($E856="",$E856="نامعتبر"),"",IF(Sync!$U853="","",Sync!$U853))</f>
        <v/>
      </c>
      <c r="K856">
        <f>IF(OR($E856="",$E856="نامعتبر"),"",IF(Sync!$V853="","",IFERROR(INDEX(SubCodes,MATCH(Sync!$V853,SubTitles,0)),Sync!$V853)))</f>
        <v/>
      </c>
      <c r="L856">
        <f>IF(OR($E856="",$E856="نامعتبر"),"",IF(Sync!$W853="",0,Sync!$W853))</f>
        <v/>
      </c>
      <c r="M856">
        <f>IF(OR($E856="",$E856="نامعتبر"),"",IF(Sync!$X853="",0,Sync!$X853))</f>
        <v/>
      </c>
      <c r="N856">
        <f>IF(OR($E856="",$E856="نامعتبر"),"",IF(AND($J856="هزینه",$K856&lt;&gt;""),1,0))</f>
        <v/>
      </c>
      <c r="O856">
        <f>IF($N856=0,"",LEFT($E856,4)&amp;MID($E856,6,2)&amp;RIGHT($E856,2)&amp;$F856&amp;"|"&amp;"1"&amp;RIGHT("00000"&amp;848,5))</f>
        <v/>
      </c>
      <c r="P856">
        <f>IF($O856="","",COUNTIFS(ExpSub,$K856,ExpKey,"&lt;"&amp;$O856)+1)</f>
        <v/>
      </c>
      <c r="Q856">
        <f>IF($P856="","",$K856&amp;"|"&amp;RIGHT("000000"&amp;$P856,6))</f>
        <v/>
      </c>
    </row>
    <row r="857">
      <c r="A857">
        <f>IF(Sync!$P854="","",Sync!$P854)</f>
        <v/>
      </c>
      <c r="B857">
        <f>IF($A857="","",IF(ISNUMBER($A857),IF(AND($A857&gt;=10000101,$A857&lt;=99991231),INT($A857/10000),""),IFERROR(VALUE(TRIM(LEFT($A857,FIND("/",$A857)-1))),"")))</f>
        <v/>
      </c>
      <c r="C857">
        <f>IF(OR($A857="",$B857=""),"",IF(ISNUMBER($A857),INT(MOD($A857,10000)/100),IFERROR(VALUE(TRIM(LEFT(MID($A857,FIND("/",$A857)+1,20),FIND("/",MID($A857,FIND("/",$A857)+1,20))-1))),"")))</f>
        <v/>
      </c>
      <c r="D857">
        <f>IF(OR($A857="",$B857=""),"",IF(ISNUMBER($A857),MOD($A857,100),IFERROR(VALUE(TRIM(MID(MID($A857,FIND("/",$A857)+1,20),FIND("/",MID($A857,FIND("/",$A857)+1,20))+1,20))),"")))</f>
        <v/>
      </c>
      <c r="E857">
        <f>IF($A857="","",IF(OR($B857="",$C857="",$D857="",$B857&lt;1300,$B857&gt;1500,$C857&lt;1,$C857&gt;12,$D857&lt;1,$D857&gt;31),"نامعتبر",RIGHT("0000"&amp;$B857,4)&amp;"/"&amp;RIGHT("00"&amp;$C857,2)&amp;"/"&amp;RIGHT("00"&amp;$D857,2)))</f>
        <v/>
      </c>
      <c r="F857">
        <f>IF(OR($E857="",$E857="نامعتبر"),"",IF(Sync!$Q854="","0000",IF(AND(ISNUMBER(Sync!$Q854),Sync!$Q854&gt;=0,Sync!$Q854&lt;1),RIGHT("00"&amp;HOUR(Sync!$Q854),2)&amp;RIGHT("00"&amp;MINUTE(Sync!$Q854),2),IFERROR(RIGHT("00"&amp;VALUE(LEFT(Sync!$Q854,FIND(":",Sync!$Q854)-1)),2)&amp;RIGHT("00"&amp;VALUE(MID(Sync!$Q854,FIND(":",Sync!$Q854)+1,2)),2),"0000"))))</f>
        <v/>
      </c>
      <c r="G857">
        <f>IF(OR($E857="",$E857="نامعتبر"),"",IF(Sync!$S854="","",Sync!$S854))</f>
        <v/>
      </c>
      <c r="H857">
        <f>IF(OR($E857="",$E857="نامعتبر"),"",IF(Sync!$R854="","",Sync!$R854))</f>
        <v/>
      </c>
      <c r="I857">
        <f>IF(OR($E857="",$E857="نامعتبر"),"",IF(Sync!$T854="","",Sync!$T854))</f>
        <v/>
      </c>
      <c r="J857">
        <f>IF(OR($E857="",$E857="نامعتبر"),"",IF(Sync!$U854="","",Sync!$U854))</f>
        <v/>
      </c>
      <c r="K857">
        <f>IF(OR($E857="",$E857="نامعتبر"),"",IF(Sync!$V854="","",IFERROR(INDEX(SubCodes,MATCH(Sync!$V854,SubTitles,0)),Sync!$V854)))</f>
        <v/>
      </c>
      <c r="L857">
        <f>IF(OR($E857="",$E857="نامعتبر"),"",IF(Sync!$W854="",0,Sync!$W854))</f>
        <v/>
      </c>
      <c r="M857">
        <f>IF(OR($E857="",$E857="نامعتبر"),"",IF(Sync!$X854="",0,Sync!$X854))</f>
        <v/>
      </c>
      <c r="N857">
        <f>IF(OR($E857="",$E857="نامعتبر"),"",IF(AND($J857="هزینه",$K857&lt;&gt;""),1,0))</f>
        <v/>
      </c>
      <c r="O857">
        <f>IF($N857=0,"",LEFT($E857,4)&amp;MID($E857,6,2)&amp;RIGHT($E857,2)&amp;$F857&amp;"|"&amp;"1"&amp;RIGHT("00000"&amp;849,5))</f>
        <v/>
      </c>
      <c r="P857">
        <f>IF($O857="","",COUNTIFS(ExpSub,$K857,ExpKey,"&lt;"&amp;$O857)+1)</f>
        <v/>
      </c>
      <c r="Q857">
        <f>IF($P857="","",$K857&amp;"|"&amp;RIGHT("000000"&amp;$P857,6))</f>
        <v/>
      </c>
    </row>
    <row r="858">
      <c r="A858">
        <f>IF(Sync!$P855="","",Sync!$P855)</f>
        <v/>
      </c>
      <c r="B858">
        <f>IF($A858="","",IF(ISNUMBER($A858),IF(AND($A858&gt;=10000101,$A858&lt;=99991231),INT($A858/10000),""),IFERROR(VALUE(TRIM(LEFT($A858,FIND("/",$A858)-1))),"")))</f>
        <v/>
      </c>
      <c r="C858">
        <f>IF(OR($A858="",$B858=""),"",IF(ISNUMBER($A858),INT(MOD($A858,10000)/100),IFERROR(VALUE(TRIM(LEFT(MID($A858,FIND("/",$A858)+1,20),FIND("/",MID($A858,FIND("/",$A858)+1,20))-1))),"")))</f>
        <v/>
      </c>
      <c r="D858">
        <f>IF(OR($A858="",$B858=""),"",IF(ISNUMBER($A858),MOD($A858,100),IFERROR(VALUE(TRIM(MID(MID($A858,FIND("/",$A858)+1,20),FIND("/",MID($A858,FIND("/",$A858)+1,20))+1,20))),"")))</f>
        <v/>
      </c>
      <c r="E858">
        <f>IF($A858="","",IF(OR($B858="",$C858="",$D858="",$B858&lt;1300,$B858&gt;1500,$C858&lt;1,$C858&gt;12,$D858&lt;1,$D858&gt;31),"نامعتبر",RIGHT("0000"&amp;$B858,4)&amp;"/"&amp;RIGHT("00"&amp;$C858,2)&amp;"/"&amp;RIGHT("00"&amp;$D858,2)))</f>
        <v/>
      </c>
      <c r="F858">
        <f>IF(OR($E858="",$E858="نامعتبر"),"",IF(Sync!$Q855="","0000",IF(AND(ISNUMBER(Sync!$Q855),Sync!$Q855&gt;=0,Sync!$Q855&lt;1),RIGHT("00"&amp;HOUR(Sync!$Q855),2)&amp;RIGHT("00"&amp;MINUTE(Sync!$Q855),2),IFERROR(RIGHT("00"&amp;VALUE(LEFT(Sync!$Q855,FIND(":",Sync!$Q855)-1)),2)&amp;RIGHT("00"&amp;VALUE(MID(Sync!$Q855,FIND(":",Sync!$Q855)+1,2)),2),"0000"))))</f>
        <v/>
      </c>
      <c r="G858">
        <f>IF(OR($E858="",$E858="نامعتبر"),"",IF(Sync!$S855="","",Sync!$S855))</f>
        <v/>
      </c>
      <c r="H858">
        <f>IF(OR($E858="",$E858="نامعتبر"),"",IF(Sync!$R855="","",Sync!$R855))</f>
        <v/>
      </c>
      <c r="I858">
        <f>IF(OR($E858="",$E858="نامعتبر"),"",IF(Sync!$T855="","",Sync!$T855))</f>
        <v/>
      </c>
      <c r="J858">
        <f>IF(OR($E858="",$E858="نامعتبر"),"",IF(Sync!$U855="","",Sync!$U855))</f>
        <v/>
      </c>
      <c r="K858">
        <f>IF(OR($E858="",$E858="نامعتبر"),"",IF(Sync!$V855="","",IFERROR(INDEX(SubCodes,MATCH(Sync!$V855,SubTitles,0)),Sync!$V855)))</f>
        <v/>
      </c>
      <c r="L858">
        <f>IF(OR($E858="",$E858="نامعتبر"),"",IF(Sync!$W855="",0,Sync!$W855))</f>
        <v/>
      </c>
      <c r="M858">
        <f>IF(OR($E858="",$E858="نامعتبر"),"",IF(Sync!$X855="",0,Sync!$X855))</f>
        <v/>
      </c>
      <c r="N858">
        <f>IF(OR($E858="",$E858="نامعتبر"),"",IF(AND($J858="هزینه",$K858&lt;&gt;""),1,0))</f>
        <v/>
      </c>
      <c r="O858">
        <f>IF($N858=0,"",LEFT($E858,4)&amp;MID($E858,6,2)&amp;RIGHT($E858,2)&amp;$F858&amp;"|"&amp;"1"&amp;RIGHT("00000"&amp;850,5))</f>
        <v/>
      </c>
      <c r="P858">
        <f>IF($O858="","",COUNTIFS(ExpSub,$K858,ExpKey,"&lt;"&amp;$O858)+1)</f>
        <v/>
      </c>
      <c r="Q858">
        <f>IF($P858="","",$K858&amp;"|"&amp;RIGHT("000000"&amp;$P858,6))</f>
        <v/>
      </c>
    </row>
    <row r="859">
      <c r="A859">
        <f>IF(Sync!$P856="","",Sync!$P856)</f>
        <v/>
      </c>
      <c r="B859">
        <f>IF($A859="","",IF(ISNUMBER($A859),IF(AND($A859&gt;=10000101,$A859&lt;=99991231),INT($A859/10000),""),IFERROR(VALUE(TRIM(LEFT($A859,FIND("/",$A859)-1))),"")))</f>
        <v/>
      </c>
      <c r="C859">
        <f>IF(OR($A859="",$B859=""),"",IF(ISNUMBER($A859),INT(MOD($A859,10000)/100),IFERROR(VALUE(TRIM(LEFT(MID($A859,FIND("/",$A859)+1,20),FIND("/",MID($A859,FIND("/",$A859)+1,20))-1))),"")))</f>
        <v/>
      </c>
      <c r="D859">
        <f>IF(OR($A859="",$B859=""),"",IF(ISNUMBER($A859),MOD($A859,100),IFERROR(VALUE(TRIM(MID(MID($A859,FIND("/",$A859)+1,20),FIND("/",MID($A859,FIND("/",$A859)+1,20))+1,20))),"")))</f>
        <v/>
      </c>
      <c r="E859">
        <f>IF($A859="","",IF(OR($B859="",$C859="",$D859="",$B859&lt;1300,$B859&gt;1500,$C859&lt;1,$C859&gt;12,$D859&lt;1,$D859&gt;31),"نامعتبر",RIGHT("0000"&amp;$B859,4)&amp;"/"&amp;RIGHT("00"&amp;$C859,2)&amp;"/"&amp;RIGHT("00"&amp;$D859,2)))</f>
        <v/>
      </c>
      <c r="F859">
        <f>IF(OR($E859="",$E859="نامعتبر"),"",IF(Sync!$Q856="","0000",IF(AND(ISNUMBER(Sync!$Q856),Sync!$Q856&gt;=0,Sync!$Q856&lt;1),RIGHT("00"&amp;HOUR(Sync!$Q856),2)&amp;RIGHT("00"&amp;MINUTE(Sync!$Q856),2),IFERROR(RIGHT("00"&amp;VALUE(LEFT(Sync!$Q856,FIND(":",Sync!$Q856)-1)),2)&amp;RIGHT("00"&amp;VALUE(MID(Sync!$Q856,FIND(":",Sync!$Q856)+1,2)),2),"0000"))))</f>
        <v/>
      </c>
      <c r="G859">
        <f>IF(OR($E859="",$E859="نامعتبر"),"",IF(Sync!$S856="","",Sync!$S856))</f>
        <v/>
      </c>
      <c r="H859">
        <f>IF(OR($E859="",$E859="نامعتبر"),"",IF(Sync!$R856="","",Sync!$R856))</f>
        <v/>
      </c>
      <c r="I859">
        <f>IF(OR($E859="",$E859="نامعتبر"),"",IF(Sync!$T856="","",Sync!$T856))</f>
        <v/>
      </c>
      <c r="J859">
        <f>IF(OR($E859="",$E859="نامعتبر"),"",IF(Sync!$U856="","",Sync!$U856))</f>
        <v/>
      </c>
      <c r="K859">
        <f>IF(OR($E859="",$E859="نامعتبر"),"",IF(Sync!$V856="","",IFERROR(INDEX(SubCodes,MATCH(Sync!$V856,SubTitles,0)),Sync!$V856)))</f>
        <v/>
      </c>
      <c r="L859">
        <f>IF(OR($E859="",$E859="نامعتبر"),"",IF(Sync!$W856="",0,Sync!$W856))</f>
        <v/>
      </c>
      <c r="M859">
        <f>IF(OR($E859="",$E859="نامعتبر"),"",IF(Sync!$X856="",0,Sync!$X856))</f>
        <v/>
      </c>
      <c r="N859">
        <f>IF(OR($E859="",$E859="نامعتبر"),"",IF(AND($J859="هزینه",$K859&lt;&gt;""),1,0))</f>
        <v/>
      </c>
      <c r="O859">
        <f>IF($N859=0,"",LEFT($E859,4)&amp;MID($E859,6,2)&amp;RIGHT($E859,2)&amp;$F859&amp;"|"&amp;"1"&amp;RIGHT("00000"&amp;851,5))</f>
        <v/>
      </c>
      <c r="P859">
        <f>IF($O859="","",COUNTIFS(ExpSub,$K859,ExpKey,"&lt;"&amp;$O859)+1)</f>
        <v/>
      </c>
      <c r="Q859">
        <f>IF($P859="","",$K859&amp;"|"&amp;RIGHT("000000"&amp;$P859,6))</f>
        <v/>
      </c>
    </row>
    <row r="860">
      <c r="A860">
        <f>IF(Sync!$P857="","",Sync!$P857)</f>
        <v/>
      </c>
      <c r="B860">
        <f>IF($A860="","",IF(ISNUMBER($A860),IF(AND($A860&gt;=10000101,$A860&lt;=99991231),INT($A860/10000),""),IFERROR(VALUE(TRIM(LEFT($A860,FIND("/",$A860)-1))),"")))</f>
        <v/>
      </c>
      <c r="C860">
        <f>IF(OR($A860="",$B860=""),"",IF(ISNUMBER($A860),INT(MOD($A860,10000)/100),IFERROR(VALUE(TRIM(LEFT(MID($A860,FIND("/",$A860)+1,20),FIND("/",MID($A860,FIND("/",$A860)+1,20))-1))),"")))</f>
        <v/>
      </c>
      <c r="D860">
        <f>IF(OR($A860="",$B860=""),"",IF(ISNUMBER($A860),MOD($A860,100),IFERROR(VALUE(TRIM(MID(MID($A860,FIND("/",$A860)+1,20),FIND("/",MID($A860,FIND("/",$A860)+1,20))+1,20))),"")))</f>
        <v/>
      </c>
      <c r="E860">
        <f>IF($A860="","",IF(OR($B860="",$C860="",$D860="",$B860&lt;1300,$B860&gt;1500,$C860&lt;1,$C860&gt;12,$D860&lt;1,$D860&gt;31),"نامعتبر",RIGHT("0000"&amp;$B860,4)&amp;"/"&amp;RIGHT("00"&amp;$C860,2)&amp;"/"&amp;RIGHT("00"&amp;$D860,2)))</f>
        <v/>
      </c>
      <c r="F860">
        <f>IF(OR($E860="",$E860="نامعتبر"),"",IF(Sync!$Q857="","0000",IF(AND(ISNUMBER(Sync!$Q857),Sync!$Q857&gt;=0,Sync!$Q857&lt;1),RIGHT("00"&amp;HOUR(Sync!$Q857),2)&amp;RIGHT("00"&amp;MINUTE(Sync!$Q857),2),IFERROR(RIGHT("00"&amp;VALUE(LEFT(Sync!$Q857,FIND(":",Sync!$Q857)-1)),2)&amp;RIGHT("00"&amp;VALUE(MID(Sync!$Q857,FIND(":",Sync!$Q857)+1,2)),2),"0000"))))</f>
        <v/>
      </c>
      <c r="G860">
        <f>IF(OR($E860="",$E860="نامعتبر"),"",IF(Sync!$S857="","",Sync!$S857))</f>
        <v/>
      </c>
      <c r="H860">
        <f>IF(OR($E860="",$E860="نامعتبر"),"",IF(Sync!$R857="","",Sync!$R857))</f>
        <v/>
      </c>
      <c r="I860">
        <f>IF(OR($E860="",$E860="نامعتبر"),"",IF(Sync!$T857="","",Sync!$T857))</f>
        <v/>
      </c>
      <c r="J860">
        <f>IF(OR($E860="",$E860="نامعتبر"),"",IF(Sync!$U857="","",Sync!$U857))</f>
        <v/>
      </c>
      <c r="K860">
        <f>IF(OR($E860="",$E860="نامعتبر"),"",IF(Sync!$V857="","",IFERROR(INDEX(SubCodes,MATCH(Sync!$V857,SubTitles,0)),Sync!$V857)))</f>
        <v/>
      </c>
      <c r="L860">
        <f>IF(OR($E860="",$E860="نامعتبر"),"",IF(Sync!$W857="",0,Sync!$W857))</f>
        <v/>
      </c>
      <c r="M860">
        <f>IF(OR($E860="",$E860="نامعتبر"),"",IF(Sync!$X857="",0,Sync!$X857))</f>
        <v/>
      </c>
      <c r="N860">
        <f>IF(OR($E860="",$E860="نامعتبر"),"",IF(AND($J860="هزینه",$K860&lt;&gt;""),1,0))</f>
        <v/>
      </c>
      <c r="O860">
        <f>IF($N860=0,"",LEFT($E860,4)&amp;MID($E860,6,2)&amp;RIGHT($E860,2)&amp;$F860&amp;"|"&amp;"1"&amp;RIGHT("00000"&amp;852,5))</f>
        <v/>
      </c>
      <c r="P860">
        <f>IF($O860="","",COUNTIFS(ExpSub,$K860,ExpKey,"&lt;"&amp;$O860)+1)</f>
        <v/>
      </c>
      <c r="Q860">
        <f>IF($P860="","",$K860&amp;"|"&amp;RIGHT("000000"&amp;$P860,6))</f>
        <v/>
      </c>
    </row>
    <row r="861">
      <c r="A861">
        <f>IF(Sync!$P858="","",Sync!$P858)</f>
        <v/>
      </c>
      <c r="B861">
        <f>IF($A861="","",IF(ISNUMBER($A861),IF(AND($A861&gt;=10000101,$A861&lt;=99991231),INT($A861/10000),""),IFERROR(VALUE(TRIM(LEFT($A861,FIND("/",$A861)-1))),"")))</f>
        <v/>
      </c>
      <c r="C861">
        <f>IF(OR($A861="",$B861=""),"",IF(ISNUMBER($A861),INT(MOD($A861,10000)/100),IFERROR(VALUE(TRIM(LEFT(MID($A861,FIND("/",$A861)+1,20),FIND("/",MID($A861,FIND("/",$A861)+1,20))-1))),"")))</f>
        <v/>
      </c>
      <c r="D861">
        <f>IF(OR($A861="",$B861=""),"",IF(ISNUMBER($A861),MOD($A861,100),IFERROR(VALUE(TRIM(MID(MID($A861,FIND("/",$A861)+1,20),FIND("/",MID($A861,FIND("/",$A861)+1,20))+1,20))),"")))</f>
        <v/>
      </c>
      <c r="E861">
        <f>IF($A861="","",IF(OR($B861="",$C861="",$D861="",$B861&lt;1300,$B861&gt;1500,$C861&lt;1,$C861&gt;12,$D861&lt;1,$D861&gt;31),"نامعتبر",RIGHT("0000"&amp;$B861,4)&amp;"/"&amp;RIGHT("00"&amp;$C861,2)&amp;"/"&amp;RIGHT("00"&amp;$D861,2)))</f>
        <v/>
      </c>
      <c r="F861">
        <f>IF(OR($E861="",$E861="نامعتبر"),"",IF(Sync!$Q858="","0000",IF(AND(ISNUMBER(Sync!$Q858),Sync!$Q858&gt;=0,Sync!$Q858&lt;1),RIGHT("00"&amp;HOUR(Sync!$Q858),2)&amp;RIGHT("00"&amp;MINUTE(Sync!$Q858),2),IFERROR(RIGHT("00"&amp;VALUE(LEFT(Sync!$Q858,FIND(":",Sync!$Q858)-1)),2)&amp;RIGHT("00"&amp;VALUE(MID(Sync!$Q858,FIND(":",Sync!$Q858)+1,2)),2),"0000"))))</f>
        <v/>
      </c>
      <c r="G861">
        <f>IF(OR($E861="",$E861="نامعتبر"),"",IF(Sync!$S858="","",Sync!$S858))</f>
        <v/>
      </c>
      <c r="H861">
        <f>IF(OR($E861="",$E861="نامعتبر"),"",IF(Sync!$R858="","",Sync!$R858))</f>
        <v/>
      </c>
      <c r="I861">
        <f>IF(OR($E861="",$E861="نامعتبر"),"",IF(Sync!$T858="","",Sync!$T858))</f>
        <v/>
      </c>
      <c r="J861">
        <f>IF(OR($E861="",$E861="نامعتبر"),"",IF(Sync!$U858="","",Sync!$U858))</f>
        <v/>
      </c>
      <c r="K861">
        <f>IF(OR($E861="",$E861="نامعتبر"),"",IF(Sync!$V858="","",IFERROR(INDEX(SubCodes,MATCH(Sync!$V858,SubTitles,0)),Sync!$V858)))</f>
        <v/>
      </c>
      <c r="L861">
        <f>IF(OR($E861="",$E861="نامعتبر"),"",IF(Sync!$W858="",0,Sync!$W858))</f>
        <v/>
      </c>
      <c r="M861">
        <f>IF(OR($E861="",$E861="نامعتبر"),"",IF(Sync!$X858="",0,Sync!$X858))</f>
        <v/>
      </c>
      <c r="N861">
        <f>IF(OR($E861="",$E861="نامعتبر"),"",IF(AND($J861="هزینه",$K861&lt;&gt;""),1,0))</f>
        <v/>
      </c>
      <c r="O861">
        <f>IF($N861=0,"",LEFT($E861,4)&amp;MID($E861,6,2)&amp;RIGHT($E861,2)&amp;$F861&amp;"|"&amp;"1"&amp;RIGHT("00000"&amp;853,5))</f>
        <v/>
      </c>
      <c r="P861">
        <f>IF($O861="","",COUNTIFS(ExpSub,$K861,ExpKey,"&lt;"&amp;$O861)+1)</f>
        <v/>
      </c>
      <c r="Q861">
        <f>IF($P861="","",$K861&amp;"|"&amp;RIGHT("000000"&amp;$P861,6))</f>
        <v/>
      </c>
    </row>
    <row r="862">
      <c r="A862">
        <f>IF(Sync!$P859="","",Sync!$P859)</f>
        <v/>
      </c>
      <c r="B862">
        <f>IF($A862="","",IF(ISNUMBER($A862),IF(AND($A862&gt;=10000101,$A862&lt;=99991231),INT($A862/10000),""),IFERROR(VALUE(TRIM(LEFT($A862,FIND("/",$A862)-1))),"")))</f>
        <v/>
      </c>
      <c r="C862">
        <f>IF(OR($A862="",$B862=""),"",IF(ISNUMBER($A862),INT(MOD($A862,10000)/100),IFERROR(VALUE(TRIM(LEFT(MID($A862,FIND("/",$A862)+1,20),FIND("/",MID($A862,FIND("/",$A862)+1,20))-1))),"")))</f>
        <v/>
      </c>
      <c r="D862">
        <f>IF(OR($A862="",$B862=""),"",IF(ISNUMBER($A862),MOD($A862,100),IFERROR(VALUE(TRIM(MID(MID($A862,FIND("/",$A862)+1,20),FIND("/",MID($A862,FIND("/",$A862)+1,20))+1,20))),"")))</f>
        <v/>
      </c>
      <c r="E862">
        <f>IF($A862="","",IF(OR($B862="",$C862="",$D862="",$B862&lt;1300,$B862&gt;1500,$C862&lt;1,$C862&gt;12,$D862&lt;1,$D862&gt;31),"نامعتبر",RIGHT("0000"&amp;$B862,4)&amp;"/"&amp;RIGHT("00"&amp;$C862,2)&amp;"/"&amp;RIGHT("00"&amp;$D862,2)))</f>
        <v/>
      </c>
      <c r="F862">
        <f>IF(OR($E862="",$E862="نامعتبر"),"",IF(Sync!$Q859="","0000",IF(AND(ISNUMBER(Sync!$Q859),Sync!$Q859&gt;=0,Sync!$Q859&lt;1),RIGHT("00"&amp;HOUR(Sync!$Q859),2)&amp;RIGHT("00"&amp;MINUTE(Sync!$Q859),2),IFERROR(RIGHT("00"&amp;VALUE(LEFT(Sync!$Q859,FIND(":",Sync!$Q859)-1)),2)&amp;RIGHT("00"&amp;VALUE(MID(Sync!$Q859,FIND(":",Sync!$Q859)+1,2)),2),"0000"))))</f>
        <v/>
      </c>
      <c r="G862">
        <f>IF(OR($E862="",$E862="نامعتبر"),"",IF(Sync!$S859="","",Sync!$S859))</f>
        <v/>
      </c>
      <c r="H862">
        <f>IF(OR($E862="",$E862="نامعتبر"),"",IF(Sync!$R859="","",Sync!$R859))</f>
        <v/>
      </c>
      <c r="I862">
        <f>IF(OR($E862="",$E862="نامعتبر"),"",IF(Sync!$T859="","",Sync!$T859))</f>
        <v/>
      </c>
      <c r="J862">
        <f>IF(OR($E862="",$E862="نامعتبر"),"",IF(Sync!$U859="","",Sync!$U859))</f>
        <v/>
      </c>
      <c r="K862">
        <f>IF(OR($E862="",$E862="نامعتبر"),"",IF(Sync!$V859="","",IFERROR(INDEX(SubCodes,MATCH(Sync!$V859,SubTitles,0)),Sync!$V859)))</f>
        <v/>
      </c>
      <c r="L862">
        <f>IF(OR($E862="",$E862="نامعتبر"),"",IF(Sync!$W859="",0,Sync!$W859))</f>
        <v/>
      </c>
      <c r="M862">
        <f>IF(OR($E862="",$E862="نامعتبر"),"",IF(Sync!$X859="",0,Sync!$X859))</f>
        <v/>
      </c>
      <c r="N862">
        <f>IF(OR($E862="",$E862="نامعتبر"),"",IF(AND($J862="هزینه",$K862&lt;&gt;""),1,0))</f>
        <v/>
      </c>
      <c r="O862">
        <f>IF($N862=0,"",LEFT($E862,4)&amp;MID($E862,6,2)&amp;RIGHT($E862,2)&amp;$F862&amp;"|"&amp;"1"&amp;RIGHT("00000"&amp;854,5))</f>
        <v/>
      </c>
      <c r="P862">
        <f>IF($O862="","",COUNTIFS(ExpSub,$K862,ExpKey,"&lt;"&amp;$O862)+1)</f>
        <v/>
      </c>
      <c r="Q862">
        <f>IF($P862="","",$K862&amp;"|"&amp;RIGHT("000000"&amp;$P862,6))</f>
        <v/>
      </c>
    </row>
    <row r="863">
      <c r="A863">
        <f>IF(Sync!$P860="","",Sync!$P860)</f>
        <v/>
      </c>
      <c r="B863">
        <f>IF($A863="","",IF(ISNUMBER($A863),IF(AND($A863&gt;=10000101,$A863&lt;=99991231),INT($A863/10000),""),IFERROR(VALUE(TRIM(LEFT($A863,FIND("/",$A863)-1))),"")))</f>
        <v/>
      </c>
      <c r="C863">
        <f>IF(OR($A863="",$B863=""),"",IF(ISNUMBER($A863),INT(MOD($A863,10000)/100),IFERROR(VALUE(TRIM(LEFT(MID($A863,FIND("/",$A863)+1,20),FIND("/",MID($A863,FIND("/",$A863)+1,20))-1))),"")))</f>
        <v/>
      </c>
      <c r="D863">
        <f>IF(OR($A863="",$B863=""),"",IF(ISNUMBER($A863),MOD($A863,100),IFERROR(VALUE(TRIM(MID(MID($A863,FIND("/",$A863)+1,20),FIND("/",MID($A863,FIND("/",$A863)+1,20))+1,20))),"")))</f>
        <v/>
      </c>
      <c r="E863">
        <f>IF($A863="","",IF(OR($B863="",$C863="",$D863="",$B863&lt;1300,$B863&gt;1500,$C863&lt;1,$C863&gt;12,$D863&lt;1,$D863&gt;31),"نامعتبر",RIGHT("0000"&amp;$B863,4)&amp;"/"&amp;RIGHT("00"&amp;$C863,2)&amp;"/"&amp;RIGHT("00"&amp;$D863,2)))</f>
        <v/>
      </c>
      <c r="F863">
        <f>IF(OR($E863="",$E863="نامعتبر"),"",IF(Sync!$Q860="","0000",IF(AND(ISNUMBER(Sync!$Q860),Sync!$Q860&gt;=0,Sync!$Q860&lt;1),RIGHT("00"&amp;HOUR(Sync!$Q860),2)&amp;RIGHT("00"&amp;MINUTE(Sync!$Q860),2),IFERROR(RIGHT("00"&amp;VALUE(LEFT(Sync!$Q860,FIND(":",Sync!$Q860)-1)),2)&amp;RIGHT("00"&amp;VALUE(MID(Sync!$Q860,FIND(":",Sync!$Q860)+1,2)),2),"0000"))))</f>
        <v/>
      </c>
      <c r="G863">
        <f>IF(OR($E863="",$E863="نامعتبر"),"",IF(Sync!$S860="","",Sync!$S860))</f>
        <v/>
      </c>
      <c r="H863">
        <f>IF(OR($E863="",$E863="نامعتبر"),"",IF(Sync!$R860="","",Sync!$R860))</f>
        <v/>
      </c>
      <c r="I863">
        <f>IF(OR($E863="",$E863="نامعتبر"),"",IF(Sync!$T860="","",Sync!$T860))</f>
        <v/>
      </c>
      <c r="J863">
        <f>IF(OR($E863="",$E863="نامعتبر"),"",IF(Sync!$U860="","",Sync!$U860))</f>
        <v/>
      </c>
      <c r="K863">
        <f>IF(OR($E863="",$E863="نامعتبر"),"",IF(Sync!$V860="","",IFERROR(INDEX(SubCodes,MATCH(Sync!$V860,SubTitles,0)),Sync!$V860)))</f>
        <v/>
      </c>
      <c r="L863">
        <f>IF(OR($E863="",$E863="نامعتبر"),"",IF(Sync!$W860="",0,Sync!$W860))</f>
        <v/>
      </c>
      <c r="M863">
        <f>IF(OR($E863="",$E863="نامعتبر"),"",IF(Sync!$X860="",0,Sync!$X860))</f>
        <v/>
      </c>
      <c r="N863">
        <f>IF(OR($E863="",$E863="نامعتبر"),"",IF(AND($J863="هزینه",$K863&lt;&gt;""),1,0))</f>
        <v/>
      </c>
      <c r="O863">
        <f>IF($N863=0,"",LEFT($E863,4)&amp;MID($E863,6,2)&amp;RIGHT($E863,2)&amp;$F863&amp;"|"&amp;"1"&amp;RIGHT("00000"&amp;855,5))</f>
        <v/>
      </c>
      <c r="P863">
        <f>IF($O863="","",COUNTIFS(ExpSub,$K863,ExpKey,"&lt;"&amp;$O863)+1)</f>
        <v/>
      </c>
      <c r="Q863">
        <f>IF($P863="","",$K863&amp;"|"&amp;RIGHT("000000"&amp;$P863,6))</f>
        <v/>
      </c>
    </row>
    <row r="864">
      <c r="A864">
        <f>IF(Sync!$P861="","",Sync!$P861)</f>
        <v/>
      </c>
      <c r="B864">
        <f>IF($A864="","",IF(ISNUMBER($A864),IF(AND($A864&gt;=10000101,$A864&lt;=99991231),INT($A864/10000),""),IFERROR(VALUE(TRIM(LEFT($A864,FIND("/",$A864)-1))),"")))</f>
        <v/>
      </c>
      <c r="C864">
        <f>IF(OR($A864="",$B864=""),"",IF(ISNUMBER($A864),INT(MOD($A864,10000)/100),IFERROR(VALUE(TRIM(LEFT(MID($A864,FIND("/",$A864)+1,20),FIND("/",MID($A864,FIND("/",$A864)+1,20))-1))),"")))</f>
        <v/>
      </c>
      <c r="D864">
        <f>IF(OR($A864="",$B864=""),"",IF(ISNUMBER($A864),MOD($A864,100),IFERROR(VALUE(TRIM(MID(MID($A864,FIND("/",$A864)+1,20),FIND("/",MID($A864,FIND("/",$A864)+1,20))+1,20))),"")))</f>
        <v/>
      </c>
      <c r="E864">
        <f>IF($A864="","",IF(OR($B864="",$C864="",$D864="",$B864&lt;1300,$B864&gt;1500,$C864&lt;1,$C864&gt;12,$D864&lt;1,$D864&gt;31),"نامعتبر",RIGHT("0000"&amp;$B864,4)&amp;"/"&amp;RIGHT("00"&amp;$C864,2)&amp;"/"&amp;RIGHT("00"&amp;$D864,2)))</f>
        <v/>
      </c>
      <c r="F864">
        <f>IF(OR($E864="",$E864="نامعتبر"),"",IF(Sync!$Q861="","0000",IF(AND(ISNUMBER(Sync!$Q861),Sync!$Q861&gt;=0,Sync!$Q861&lt;1),RIGHT("00"&amp;HOUR(Sync!$Q861),2)&amp;RIGHT("00"&amp;MINUTE(Sync!$Q861),2),IFERROR(RIGHT("00"&amp;VALUE(LEFT(Sync!$Q861,FIND(":",Sync!$Q861)-1)),2)&amp;RIGHT("00"&amp;VALUE(MID(Sync!$Q861,FIND(":",Sync!$Q861)+1,2)),2),"0000"))))</f>
        <v/>
      </c>
      <c r="G864">
        <f>IF(OR($E864="",$E864="نامعتبر"),"",IF(Sync!$S861="","",Sync!$S861))</f>
        <v/>
      </c>
      <c r="H864">
        <f>IF(OR($E864="",$E864="نامعتبر"),"",IF(Sync!$R861="","",Sync!$R861))</f>
        <v/>
      </c>
      <c r="I864">
        <f>IF(OR($E864="",$E864="نامعتبر"),"",IF(Sync!$T861="","",Sync!$T861))</f>
        <v/>
      </c>
      <c r="J864">
        <f>IF(OR($E864="",$E864="نامعتبر"),"",IF(Sync!$U861="","",Sync!$U861))</f>
        <v/>
      </c>
      <c r="K864">
        <f>IF(OR($E864="",$E864="نامعتبر"),"",IF(Sync!$V861="","",IFERROR(INDEX(SubCodes,MATCH(Sync!$V861,SubTitles,0)),Sync!$V861)))</f>
        <v/>
      </c>
      <c r="L864">
        <f>IF(OR($E864="",$E864="نامعتبر"),"",IF(Sync!$W861="",0,Sync!$W861))</f>
        <v/>
      </c>
      <c r="M864">
        <f>IF(OR($E864="",$E864="نامعتبر"),"",IF(Sync!$X861="",0,Sync!$X861))</f>
        <v/>
      </c>
      <c r="N864">
        <f>IF(OR($E864="",$E864="نامعتبر"),"",IF(AND($J864="هزینه",$K864&lt;&gt;""),1,0))</f>
        <v/>
      </c>
      <c r="O864">
        <f>IF($N864=0,"",LEFT($E864,4)&amp;MID($E864,6,2)&amp;RIGHT($E864,2)&amp;$F864&amp;"|"&amp;"1"&amp;RIGHT("00000"&amp;856,5))</f>
        <v/>
      </c>
      <c r="P864">
        <f>IF($O864="","",COUNTIFS(ExpSub,$K864,ExpKey,"&lt;"&amp;$O864)+1)</f>
        <v/>
      </c>
      <c r="Q864">
        <f>IF($P864="","",$K864&amp;"|"&amp;RIGHT("000000"&amp;$P864,6))</f>
        <v/>
      </c>
    </row>
    <row r="865">
      <c r="A865">
        <f>IF(Sync!$P862="","",Sync!$P862)</f>
        <v/>
      </c>
      <c r="B865">
        <f>IF($A865="","",IF(ISNUMBER($A865),IF(AND($A865&gt;=10000101,$A865&lt;=99991231),INT($A865/10000),""),IFERROR(VALUE(TRIM(LEFT($A865,FIND("/",$A865)-1))),"")))</f>
        <v/>
      </c>
      <c r="C865">
        <f>IF(OR($A865="",$B865=""),"",IF(ISNUMBER($A865),INT(MOD($A865,10000)/100),IFERROR(VALUE(TRIM(LEFT(MID($A865,FIND("/",$A865)+1,20),FIND("/",MID($A865,FIND("/",$A865)+1,20))-1))),"")))</f>
        <v/>
      </c>
      <c r="D865">
        <f>IF(OR($A865="",$B865=""),"",IF(ISNUMBER($A865),MOD($A865,100),IFERROR(VALUE(TRIM(MID(MID($A865,FIND("/",$A865)+1,20),FIND("/",MID($A865,FIND("/",$A865)+1,20))+1,20))),"")))</f>
        <v/>
      </c>
      <c r="E865">
        <f>IF($A865="","",IF(OR($B865="",$C865="",$D865="",$B865&lt;1300,$B865&gt;1500,$C865&lt;1,$C865&gt;12,$D865&lt;1,$D865&gt;31),"نامعتبر",RIGHT("0000"&amp;$B865,4)&amp;"/"&amp;RIGHT("00"&amp;$C865,2)&amp;"/"&amp;RIGHT("00"&amp;$D865,2)))</f>
        <v/>
      </c>
      <c r="F865">
        <f>IF(OR($E865="",$E865="نامعتبر"),"",IF(Sync!$Q862="","0000",IF(AND(ISNUMBER(Sync!$Q862),Sync!$Q862&gt;=0,Sync!$Q862&lt;1),RIGHT("00"&amp;HOUR(Sync!$Q862),2)&amp;RIGHT("00"&amp;MINUTE(Sync!$Q862),2),IFERROR(RIGHT("00"&amp;VALUE(LEFT(Sync!$Q862,FIND(":",Sync!$Q862)-1)),2)&amp;RIGHT("00"&amp;VALUE(MID(Sync!$Q862,FIND(":",Sync!$Q862)+1,2)),2),"0000"))))</f>
        <v/>
      </c>
      <c r="G865">
        <f>IF(OR($E865="",$E865="نامعتبر"),"",IF(Sync!$S862="","",Sync!$S862))</f>
        <v/>
      </c>
      <c r="H865">
        <f>IF(OR($E865="",$E865="نامعتبر"),"",IF(Sync!$R862="","",Sync!$R862))</f>
        <v/>
      </c>
      <c r="I865">
        <f>IF(OR($E865="",$E865="نامعتبر"),"",IF(Sync!$T862="","",Sync!$T862))</f>
        <v/>
      </c>
      <c r="J865">
        <f>IF(OR($E865="",$E865="نامعتبر"),"",IF(Sync!$U862="","",Sync!$U862))</f>
        <v/>
      </c>
      <c r="K865">
        <f>IF(OR($E865="",$E865="نامعتبر"),"",IF(Sync!$V862="","",IFERROR(INDEX(SubCodes,MATCH(Sync!$V862,SubTitles,0)),Sync!$V862)))</f>
        <v/>
      </c>
      <c r="L865">
        <f>IF(OR($E865="",$E865="نامعتبر"),"",IF(Sync!$W862="",0,Sync!$W862))</f>
        <v/>
      </c>
      <c r="M865">
        <f>IF(OR($E865="",$E865="نامعتبر"),"",IF(Sync!$X862="",0,Sync!$X862))</f>
        <v/>
      </c>
      <c r="N865">
        <f>IF(OR($E865="",$E865="نامعتبر"),"",IF(AND($J865="هزینه",$K865&lt;&gt;""),1,0))</f>
        <v/>
      </c>
      <c r="O865">
        <f>IF($N865=0,"",LEFT($E865,4)&amp;MID($E865,6,2)&amp;RIGHT($E865,2)&amp;$F865&amp;"|"&amp;"1"&amp;RIGHT("00000"&amp;857,5))</f>
        <v/>
      </c>
      <c r="P865">
        <f>IF($O865="","",COUNTIFS(ExpSub,$K865,ExpKey,"&lt;"&amp;$O865)+1)</f>
        <v/>
      </c>
      <c r="Q865">
        <f>IF($P865="","",$K865&amp;"|"&amp;RIGHT("000000"&amp;$P865,6))</f>
        <v/>
      </c>
    </row>
    <row r="866">
      <c r="A866">
        <f>IF(Sync!$P863="","",Sync!$P863)</f>
        <v/>
      </c>
      <c r="B866">
        <f>IF($A866="","",IF(ISNUMBER($A866),IF(AND($A866&gt;=10000101,$A866&lt;=99991231),INT($A866/10000),""),IFERROR(VALUE(TRIM(LEFT($A866,FIND("/",$A866)-1))),"")))</f>
        <v/>
      </c>
      <c r="C866">
        <f>IF(OR($A866="",$B866=""),"",IF(ISNUMBER($A866),INT(MOD($A866,10000)/100),IFERROR(VALUE(TRIM(LEFT(MID($A866,FIND("/",$A866)+1,20),FIND("/",MID($A866,FIND("/",$A866)+1,20))-1))),"")))</f>
        <v/>
      </c>
      <c r="D866">
        <f>IF(OR($A866="",$B866=""),"",IF(ISNUMBER($A866),MOD($A866,100),IFERROR(VALUE(TRIM(MID(MID($A866,FIND("/",$A866)+1,20),FIND("/",MID($A866,FIND("/",$A866)+1,20))+1,20))),"")))</f>
        <v/>
      </c>
      <c r="E866">
        <f>IF($A866="","",IF(OR($B866="",$C866="",$D866="",$B866&lt;1300,$B866&gt;1500,$C866&lt;1,$C866&gt;12,$D866&lt;1,$D866&gt;31),"نامعتبر",RIGHT("0000"&amp;$B866,4)&amp;"/"&amp;RIGHT("00"&amp;$C866,2)&amp;"/"&amp;RIGHT("00"&amp;$D866,2)))</f>
        <v/>
      </c>
      <c r="F866">
        <f>IF(OR($E866="",$E866="نامعتبر"),"",IF(Sync!$Q863="","0000",IF(AND(ISNUMBER(Sync!$Q863),Sync!$Q863&gt;=0,Sync!$Q863&lt;1),RIGHT("00"&amp;HOUR(Sync!$Q863),2)&amp;RIGHT("00"&amp;MINUTE(Sync!$Q863),2),IFERROR(RIGHT("00"&amp;VALUE(LEFT(Sync!$Q863,FIND(":",Sync!$Q863)-1)),2)&amp;RIGHT("00"&amp;VALUE(MID(Sync!$Q863,FIND(":",Sync!$Q863)+1,2)),2),"0000"))))</f>
        <v/>
      </c>
      <c r="G866">
        <f>IF(OR($E866="",$E866="نامعتبر"),"",IF(Sync!$S863="","",Sync!$S863))</f>
        <v/>
      </c>
      <c r="H866">
        <f>IF(OR($E866="",$E866="نامعتبر"),"",IF(Sync!$R863="","",Sync!$R863))</f>
        <v/>
      </c>
      <c r="I866">
        <f>IF(OR($E866="",$E866="نامعتبر"),"",IF(Sync!$T863="","",Sync!$T863))</f>
        <v/>
      </c>
      <c r="J866">
        <f>IF(OR($E866="",$E866="نامعتبر"),"",IF(Sync!$U863="","",Sync!$U863))</f>
        <v/>
      </c>
      <c r="K866">
        <f>IF(OR($E866="",$E866="نامعتبر"),"",IF(Sync!$V863="","",IFERROR(INDEX(SubCodes,MATCH(Sync!$V863,SubTitles,0)),Sync!$V863)))</f>
        <v/>
      </c>
      <c r="L866">
        <f>IF(OR($E866="",$E866="نامعتبر"),"",IF(Sync!$W863="",0,Sync!$W863))</f>
        <v/>
      </c>
      <c r="M866">
        <f>IF(OR($E866="",$E866="نامعتبر"),"",IF(Sync!$X863="",0,Sync!$X863))</f>
        <v/>
      </c>
      <c r="N866">
        <f>IF(OR($E866="",$E866="نامعتبر"),"",IF(AND($J866="هزینه",$K866&lt;&gt;""),1,0))</f>
        <v/>
      </c>
      <c r="O866">
        <f>IF($N866=0,"",LEFT($E866,4)&amp;MID($E866,6,2)&amp;RIGHT($E866,2)&amp;$F866&amp;"|"&amp;"1"&amp;RIGHT("00000"&amp;858,5))</f>
        <v/>
      </c>
      <c r="P866">
        <f>IF($O866="","",COUNTIFS(ExpSub,$K866,ExpKey,"&lt;"&amp;$O866)+1)</f>
        <v/>
      </c>
      <c r="Q866">
        <f>IF($P866="","",$K866&amp;"|"&amp;RIGHT("000000"&amp;$P866,6))</f>
        <v/>
      </c>
    </row>
    <row r="867">
      <c r="A867">
        <f>IF(Sync!$P864="","",Sync!$P864)</f>
        <v/>
      </c>
      <c r="B867">
        <f>IF($A867="","",IF(ISNUMBER($A867),IF(AND($A867&gt;=10000101,$A867&lt;=99991231),INT($A867/10000),""),IFERROR(VALUE(TRIM(LEFT($A867,FIND("/",$A867)-1))),"")))</f>
        <v/>
      </c>
      <c r="C867">
        <f>IF(OR($A867="",$B867=""),"",IF(ISNUMBER($A867),INT(MOD($A867,10000)/100),IFERROR(VALUE(TRIM(LEFT(MID($A867,FIND("/",$A867)+1,20),FIND("/",MID($A867,FIND("/",$A867)+1,20))-1))),"")))</f>
        <v/>
      </c>
      <c r="D867">
        <f>IF(OR($A867="",$B867=""),"",IF(ISNUMBER($A867),MOD($A867,100),IFERROR(VALUE(TRIM(MID(MID($A867,FIND("/",$A867)+1,20),FIND("/",MID($A867,FIND("/",$A867)+1,20))+1,20))),"")))</f>
        <v/>
      </c>
      <c r="E867">
        <f>IF($A867="","",IF(OR($B867="",$C867="",$D867="",$B867&lt;1300,$B867&gt;1500,$C867&lt;1,$C867&gt;12,$D867&lt;1,$D867&gt;31),"نامعتبر",RIGHT("0000"&amp;$B867,4)&amp;"/"&amp;RIGHT("00"&amp;$C867,2)&amp;"/"&amp;RIGHT("00"&amp;$D867,2)))</f>
        <v/>
      </c>
      <c r="F867">
        <f>IF(OR($E867="",$E867="نامعتبر"),"",IF(Sync!$Q864="","0000",IF(AND(ISNUMBER(Sync!$Q864),Sync!$Q864&gt;=0,Sync!$Q864&lt;1),RIGHT("00"&amp;HOUR(Sync!$Q864),2)&amp;RIGHT("00"&amp;MINUTE(Sync!$Q864),2),IFERROR(RIGHT("00"&amp;VALUE(LEFT(Sync!$Q864,FIND(":",Sync!$Q864)-1)),2)&amp;RIGHT("00"&amp;VALUE(MID(Sync!$Q864,FIND(":",Sync!$Q864)+1,2)),2),"0000"))))</f>
        <v/>
      </c>
      <c r="G867">
        <f>IF(OR($E867="",$E867="نامعتبر"),"",IF(Sync!$S864="","",Sync!$S864))</f>
        <v/>
      </c>
      <c r="H867">
        <f>IF(OR($E867="",$E867="نامعتبر"),"",IF(Sync!$R864="","",Sync!$R864))</f>
        <v/>
      </c>
      <c r="I867">
        <f>IF(OR($E867="",$E867="نامعتبر"),"",IF(Sync!$T864="","",Sync!$T864))</f>
        <v/>
      </c>
      <c r="J867">
        <f>IF(OR($E867="",$E867="نامعتبر"),"",IF(Sync!$U864="","",Sync!$U864))</f>
        <v/>
      </c>
      <c r="K867">
        <f>IF(OR($E867="",$E867="نامعتبر"),"",IF(Sync!$V864="","",IFERROR(INDEX(SubCodes,MATCH(Sync!$V864,SubTitles,0)),Sync!$V864)))</f>
        <v/>
      </c>
      <c r="L867">
        <f>IF(OR($E867="",$E867="نامعتبر"),"",IF(Sync!$W864="",0,Sync!$W864))</f>
        <v/>
      </c>
      <c r="M867">
        <f>IF(OR($E867="",$E867="نامعتبر"),"",IF(Sync!$X864="",0,Sync!$X864))</f>
        <v/>
      </c>
      <c r="N867">
        <f>IF(OR($E867="",$E867="نامعتبر"),"",IF(AND($J867="هزینه",$K867&lt;&gt;""),1,0))</f>
        <v/>
      </c>
      <c r="O867">
        <f>IF($N867=0,"",LEFT($E867,4)&amp;MID($E867,6,2)&amp;RIGHT($E867,2)&amp;$F867&amp;"|"&amp;"1"&amp;RIGHT("00000"&amp;859,5))</f>
        <v/>
      </c>
      <c r="P867">
        <f>IF($O867="","",COUNTIFS(ExpSub,$K867,ExpKey,"&lt;"&amp;$O867)+1)</f>
        <v/>
      </c>
      <c r="Q867">
        <f>IF($P867="","",$K867&amp;"|"&amp;RIGHT("000000"&amp;$P867,6))</f>
        <v/>
      </c>
    </row>
    <row r="868">
      <c r="A868">
        <f>IF(Sync!$P865="","",Sync!$P865)</f>
        <v/>
      </c>
      <c r="B868">
        <f>IF($A868="","",IF(ISNUMBER($A868),IF(AND($A868&gt;=10000101,$A868&lt;=99991231),INT($A868/10000),""),IFERROR(VALUE(TRIM(LEFT($A868,FIND("/",$A868)-1))),"")))</f>
        <v/>
      </c>
      <c r="C868">
        <f>IF(OR($A868="",$B868=""),"",IF(ISNUMBER($A868),INT(MOD($A868,10000)/100),IFERROR(VALUE(TRIM(LEFT(MID($A868,FIND("/",$A868)+1,20),FIND("/",MID($A868,FIND("/",$A868)+1,20))-1))),"")))</f>
        <v/>
      </c>
      <c r="D868">
        <f>IF(OR($A868="",$B868=""),"",IF(ISNUMBER($A868),MOD($A868,100),IFERROR(VALUE(TRIM(MID(MID($A868,FIND("/",$A868)+1,20),FIND("/",MID($A868,FIND("/",$A868)+1,20))+1,20))),"")))</f>
        <v/>
      </c>
      <c r="E868">
        <f>IF($A868="","",IF(OR($B868="",$C868="",$D868="",$B868&lt;1300,$B868&gt;1500,$C868&lt;1,$C868&gt;12,$D868&lt;1,$D868&gt;31),"نامعتبر",RIGHT("0000"&amp;$B868,4)&amp;"/"&amp;RIGHT("00"&amp;$C868,2)&amp;"/"&amp;RIGHT("00"&amp;$D868,2)))</f>
        <v/>
      </c>
      <c r="F868">
        <f>IF(OR($E868="",$E868="نامعتبر"),"",IF(Sync!$Q865="","0000",IF(AND(ISNUMBER(Sync!$Q865),Sync!$Q865&gt;=0,Sync!$Q865&lt;1),RIGHT("00"&amp;HOUR(Sync!$Q865),2)&amp;RIGHT("00"&amp;MINUTE(Sync!$Q865),2),IFERROR(RIGHT("00"&amp;VALUE(LEFT(Sync!$Q865,FIND(":",Sync!$Q865)-1)),2)&amp;RIGHT("00"&amp;VALUE(MID(Sync!$Q865,FIND(":",Sync!$Q865)+1,2)),2),"0000"))))</f>
        <v/>
      </c>
      <c r="G868">
        <f>IF(OR($E868="",$E868="نامعتبر"),"",IF(Sync!$S865="","",Sync!$S865))</f>
        <v/>
      </c>
      <c r="H868">
        <f>IF(OR($E868="",$E868="نامعتبر"),"",IF(Sync!$R865="","",Sync!$R865))</f>
        <v/>
      </c>
      <c r="I868">
        <f>IF(OR($E868="",$E868="نامعتبر"),"",IF(Sync!$T865="","",Sync!$T865))</f>
        <v/>
      </c>
      <c r="J868">
        <f>IF(OR($E868="",$E868="نامعتبر"),"",IF(Sync!$U865="","",Sync!$U865))</f>
        <v/>
      </c>
      <c r="K868">
        <f>IF(OR($E868="",$E868="نامعتبر"),"",IF(Sync!$V865="","",IFERROR(INDEX(SubCodes,MATCH(Sync!$V865,SubTitles,0)),Sync!$V865)))</f>
        <v/>
      </c>
      <c r="L868">
        <f>IF(OR($E868="",$E868="نامعتبر"),"",IF(Sync!$W865="",0,Sync!$W865))</f>
        <v/>
      </c>
      <c r="M868">
        <f>IF(OR($E868="",$E868="نامعتبر"),"",IF(Sync!$X865="",0,Sync!$X865))</f>
        <v/>
      </c>
      <c r="N868">
        <f>IF(OR($E868="",$E868="نامعتبر"),"",IF(AND($J868="هزینه",$K868&lt;&gt;""),1,0))</f>
        <v/>
      </c>
      <c r="O868">
        <f>IF($N868=0,"",LEFT($E868,4)&amp;MID($E868,6,2)&amp;RIGHT($E868,2)&amp;$F868&amp;"|"&amp;"1"&amp;RIGHT("00000"&amp;860,5))</f>
        <v/>
      </c>
      <c r="P868">
        <f>IF($O868="","",COUNTIFS(ExpSub,$K868,ExpKey,"&lt;"&amp;$O868)+1)</f>
        <v/>
      </c>
      <c r="Q868">
        <f>IF($P868="","",$K868&amp;"|"&amp;RIGHT("000000"&amp;$P868,6))</f>
        <v/>
      </c>
    </row>
    <row r="869">
      <c r="A869">
        <f>IF(Sync!$P866="","",Sync!$P866)</f>
        <v/>
      </c>
      <c r="B869">
        <f>IF($A869="","",IF(ISNUMBER($A869),IF(AND($A869&gt;=10000101,$A869&lt;=99991231),INT($A869/10000),""),IFERROR(VALUE(TRIM(LEFT($A869,FIND("/",$A869)-1))),"")))</f>
        <v/>
      </c>
      <c r="C869">
        <f>IF(OR($A869="",$B869=""),"",IF(ISNUMBER($A869),INT(MOD($A869,10000)/100),IFERROR(VALUE(TRIM(LEFT(MID($A869,FIND("/",$A869)+1,20),FIND("/",MID($A869,FIND("/",$A869)+1,20))-1))),"")))</f>
        <v/>
      </c>
      <c r="D869">
        <f>IF(OR($A869="",$B869=""),"",IF(ISNUMBER($A869),MOD($A869,100),IFERROR(VALUE(TRIM(MID(MID($A869,FIND("/",$A869)+1,20),FIND("/",MID($A869,FIND("/",$A869)+1,20))+1,20))),"")))</f>
        <v/>
      </c>
      <c r="E869">
        <f>IF($A869="","",IF(OR($B869="",$C869="",$D869="",$B869&lt;1300,$B869&gt;1500,$C869&lt;1,$C869&gt;12,$D869&lt;1,$D869&gt;31),"نامعتبر",RIGHT("0000"&amp;$B869,4)&amp;"/"&amp;RIGHT("00"&amp;$C869,2)&amp;"/"&amp;RIGHT("00"&amp;$D869,2)))</f>
        <v/>
      </c>
      <c r="F869">
        <f>IF(OR($E869="",$E869="نامعتبر"),"",IF(Sync!$Q866="","0000",IF(AND(ISNUMBER(Sync!$Q866),Sync!$Q866&gt;=0,Sync!$Q866&lt;1),RIGHT("00"&amp;HOUR(Sync!$Q866),2)&amp;RIGHT("00"&amp;MINUTE(Sync!$Q866),2),IFERROR(RIGHT("00"&amp;VALUE(LEFT(Sync!$Q866,FIND(":",Sync!$Q866)-1)),2)&amp;RIGHT("00"&amp;VALUE(MID(Sync!$Q866,FIND(":",Sync!$Q866)+1,2)),2),"0000"))))</f>
        <v/>
      </c>
      <c r="G869">
        <f>IF(OR($E869="",$E869="نامعتبر"),"",IF(Sync!$S866="","",Sync!$S866))</f>
        <v/>
      </c>
      <c r="H869">
        <f>IF(OR($E869="",$E869="نامعتبر"),"",IF(Sync!$R866="","",Sync!$R866))</f>
        <v/>
      </c>
      <c r="I869">
        <f>IF(OR($E869="",$E869="نامعتبر"),"",IF(Sync!$T866="","",Sync!$T866))</f>
        <v/>
      </c>
      <c r="J869">
        <f>IF(OR($E869="",$E869="نامعتبر"),"",IF(Sync!$U866="","",Sync!$U866))</f>
        <v/>
      </c>
      <c r="K869">
        <f>IF(OR($E869="",$E869="نامعتبر"),"",IF(Sync!$V866="","",IFERROR(INDEX(SubCodes,MATCH(Sync!$V866,SubTitles,0)),Sync!$V866)))</f>
        <v/>
      </c>
      <c r="L869">
        <f>IF(OR($E869="",$E869="نامعتبر"),"",IF(Sync!$W866="",0,Sync!$W866))</f>
        <v/>
      </c>
      <c r="M869">
        <f>IF(OR($E869="",$E869="نامعتبر"),"",IF(Sync!$X866="",0,Sync!$X866))</f>
        <v/>
      </c>
      <c r="N869">
        <f>IF(OR($E869="",$E869="نامعتبر"),"",IF(AND($J869="هزینه",$K869&lt;&gt;""),1,0))</f>
        <v/>
      </c>
      <c r="O869">
        <f>IF($N869=0,"",LEFT($E869,4)&amp;MID($E869,6,2)&amp;RIGHT($E869,2)&amp;$F869&amp;"|"&amp;"1"&amp;RIGHT("00000"&amp;861,5))</f>
        <v/>
      </c>
      <c r="P869">
        <f>IF($O869="","",COUNTIFS(ExpSub,$K869,ExpKey,"&lt;"&amp;$O869)+1)</f>
        <v/>
      </c>
      <c r="Q869">
        <f>IF($P869="","",$K869&amp;"|"&amp;RIGHT("000000"&amp;$P869,6))</f>
        <v/>
      </c>
    </row>
    <row r="870">
      <c r="A870">
        <f>IF(Sync!$P867="","",Sync!$P867)</f>
        <v/>
      </c>
      <c r="B870">
        <f>IF($A870="","",IF(ISNUMBER($A870),IF(AND($A870&gt;=10000101,$A870&lt;=99991231),INT($A870/10000),""),IFERROR(VALUE(TRIM(LEFT($A870,FIND("/",$A870)-1))),"")))</f>
        <v/>
      </c>
      <c r="C870">
        <f>IF(OR($A870="",$B870=""),"",IF(ISNUMBER($A870),INT(MOD($A870,10000)/100),IFERROR(VALUE(TRIM(LEFT(MID($A870,FIND("/",$A870)+1,20),FIND("/",MID($A870,FIND("/",$A870)+1,20))-1))),"")))</f>
        <v/>
      </c>
      <c r="D870">
        <f>IF(OR($A870="",$B870=""),"",IF(ISNUMBER($A870),MOD($A870,100),IFERROR(VALUE(TRIM(MID(MID($A870,FIND("/",$A870)+1,20),FIND("/",MID($A870,FIND("/",$A870)+1,20))+1,20))),"")))</f>
        <v/>
      </c>
      <c r="E870">
        <f>IF($A870="","",IF(OR($B870="",$C870="",$D870="",$B870&lt;1300,$B870&gt;1500,$C870&lt;1,$C870&gt;12,$D870&lt;1,$D870&gt;31),"نامعتبر",RIGHT("0000"&amp;$B870,4)&amp;"/"&amp;RIGHT("00"&amp;$C870,2)&amp;"/"&amp;RIGHT("00"&amp;$D870,2)))</f>
        <v/>
      </c>
      <c r="F870">
        <f>IF(OR($E870="",$E870="نامعتبر"),"",IF(Sync!$Q867="","0000",IF(AND(ISNUMBER(Sync!$Q867),Sync!$Q867&gt;=0,Sync!$Q867&lt;1),RIGHT("00"&amp;HOUR(Sync!$Q867),2)&amp;RIGHT("00"&amp;MINUTE(Sync!$Q867),2),IFERROR(RIGHT("00"&amp;VALUE(LEFT(Sync!$Q867,FIND(":",Sync!$Q867)-1)),2)&amp;RIGHT("00"&amp;VALUE(MID(Sync!$Q867,FIND(":",Sync!$Q867)+1,2)),2),"0000"))))</f>
        <v/>
      </c>
      <c r="G870">
        <f>IF(OR($E870="",$E870="نامعتبر"),"",IF(Sync!$S867="","",Sync!$S867))</f>
        <v/>
      </c>
      <c r="H870">
        <f>IF(OR($E870="",$E870="نامعتبر"),"",IF(Sync!$R867="","",Sync!$R867))</f>
        <v/>
      </c>
      <c r="I870">
        <f>IF(OR($E870="",$E870="نامعتبر"),"",IF(Sync!$T867="","",Sync!$T867))</f>
        <v/>
      </c>
      <c r="J870">
        <f>IF(OR($E870="",$E870="نامعتبر"),"",IF(Sync!$U867="","",Sync!$U867))</f>
        <v/>
      </c>
      <c r="K870">
        <f>IF(OR($E870="",$E870="نامعتبر"),"",IF(Sync!$V867="","",IFERROR(INDEX(SubCodes,MATCH(Sync!$V867,SubTitles,0)),Sync!$V867)))</f>
        <v/>
      </c>
      <c r="L870">
        <f>IF(OR($E870="",$E870="نامعتبر"),"",IF(Sync!$W867="",0,Sync!$W867))</f>
        <v/>
      </c>
      <c r="M870">
        <f>IF(OR($E870="",$E870="نامعتبر"),"",IF(Sync!$X867="",0,Sync!$X867))</f>
        <v/>
      </c>
      <c r="N870">
        <f>IF(OR($E870="",$E870="نامعتبر"),"",IF(AND($J870="هزینه",$K870&lt;&gt;""),1,0))</f>
        <v/>
      </c>
      <c r="O870">
        <f>IF($N870=0,"",LEFT($E870,4)&amp;MID($E870,6,2)&amp;RIGHT($E870,2)&amp;$F870&amp;"|"&amp;"1"&amp;RIGHT("00000"&amp;862,5))</f>
        <v/>
      </c>
      <c r="P870">
        <f>IF($O870="","",COUNTIFS(ExpSub,$K870,ExpKey,"&lt;"&amp;$O870)+1)</f>
        <v/>
      </c>
      <c r="Q870">
        <f>IF($P870="","",$K870&amp;"|"&amp;RIGHT("000000"&amp;$P870,6))</f>
        <v/>
      </c>
    </row>
    <row r="871">
      <c r="A871">
        <f>IF(Sync!$P868="","",Sync!$P868)</f>
        <v/>
      </c>
      <c r="B871">
        <f>IF($A871="","",IF(ISNUMBER($A871),IF(AND($A871&gt;=10000101,$A871&lt;=99991231),INT($A871/10000),""),IFERROR(VALUE(TRIM(LEFT($A871,FIND("/",$A871)-1))),"")))</f>
        <v/>
      </c>
      <c r="C871">
        <f>IF(OR($A871="",$B871=""),"",IF(ISNUMBER($A871),INT(MOD($A871,10000)/100),IFERROR(VALUE(TRIM(LEFT(MID($A871,FIND("/",$A871)+1,20),FIND("/",MID($A871,FIND("/",$A871)+1,20))-1))),"")))</f>
        <v/>
      </c>
      <c r="D871">
        <f>IF(OR($A871="",$B871=""),"",IF(ISNUMBER($A871),MOD($A871,100),IFERROR(VALUE(TRIM(MID(MID($A871,FIND("/",$A871)+1,20),FIND("/",MID($A871,FIND("/",$A871)+1,20))+1,20))),"")))</f>
        <v/>
      </c>
      <c r="E871">
        <f>IF($A871="","",IF(OR($B871="",$C871="",$D871="",$B871&lt;1300,$B871&gt;1500,$C871&lt;1,$C871&gt;12,$D871&lt;1,$D871&gt;31),"نامعتبر",RIGHT("0000"&amp;$B871,4)&amp;"/"&amp;RIGHT("00"&amp;$C871,2)&amp;"/"&amp;RIGHT("00"&amp;$D871,2)))</f>
        <v/>
      </c>
      <c r="F871">
        <f>IF(OR($E871="",$E871="نامعتبر"),"",IF(Sync!$Q868="","0000",IF(AND(ISNUMBER(Sync!$Q868),Sync!$Q868&gt;=0,Sync!$Q868&lt;1),RIGHT("00"&amp;HOUR(Sync!$Q868),2)&amp;RIGHT("00"&amp;MINUTE(Sync!$Q868),2),IFERROR(RIGHT("00"&amp;VALUE(LEFT(Sync!$Q868,FIND(":",Sync!$Q868)-1)),2)&amp;RIGHT("00"&amp;VALUE(MID(Sync!$Q868,FIND(":",Sync!$Q868)+1,2)),2),"0000"))))</f>
        <v/>
      </c>
      <c r="G871">
        <f>IF(OR($E871="",$E871="نامعتبر"),"",IF(Sync!$S868="","",Sync!$S868))</f>
        <v/>
      </c>
      <c r="H871">
        <f>IF(OR($E871="",$E871="نامعتبر"),"",IF(Sync!$R868="","",Sync!$R868))</f>
        <v/>
      </c>
      <c r="I871">
        <f>IF(OR($E871="",$E871="نامعتبر"),"",IF(Sync!$T868="","",Sync!$T868))</f>
        <v/>
      </c>
      <c r="J871">
        <f>IF(OR($E871="",$E871="نامعتبر"),"",IF(Sync!$U868="","",Sync!$U868))</f>
        <v/>
      </c>
      <c r="K871">
        <f>IF(OR($E871="",$E871="نامعتبر"),"",IF(Sync!$V868="","",IFERROR(INDEX(SubCodes,MATCH(Sync!$V868,SubTitles,0)),Sync!$V868)))</f>
        <v/>
      </c>
      <c r="L871">
        <f>IF(OR($E871="",$E871="نامعتبر"),"",IF(Sync!$W868="",0,Sync!$W868))</f>
        <v/>
      </c>
      <c r="M871">
        <f>IF(OR($E871="",$E871="نامعتبر"),"",IF(Sync!$X868="",0,Sync!$X868))</f>
        <v/>
      </c>
      <c r="N871">
        <f>IF(OR($E871="",$E871="نامعتبر"),"",IF(AND($J871="هزینه",$K871&lt;&gt;""),1,0))</f>
        <v/>
      </c>
      <c r="O871">
        <f>IF($N871=0,"",LEFT($E871,4)&amp;MID($E871,6,2)&amp;RIGHT($E871,2)&amp;$F871&amp;"|"&amp;"1"&amp;RIGHT("00000"&amp;863,5))</f>
        <v/>
      </c>
      <c r="P871">
        <f>IF($O871="","",COUNTIFS(ExpSub,$K871,ExpKey,"&lt;"&amp;$O871)+1)</f>
        <v/>
      </c>
      <c r="Q871">
        <f>IF($P871="","",$K871&amp;"|"&amp;RIGHT("000000"&amp;$P871,6))</f>
        <v/>
      </c>
    </row>
    <row r="872">
      <c r="A872">
        <f>IF(Sync!$P869="","",Sync!$P869)</f>
        <v/>
      </c>
      <c r="B872">
        <f>IF($A872="","",IF(ISNUMBER($A872),IF(AND($A872&gt;=10000101,$A872&lt;=99991231),INT($A872/10000),""),IFERROR(VALUE(TRIM(LEFT($A872,FIND("/",$A872)-1))),"")))</f>
        <v/>
      </c>
      <c r="C872">
        <f>IF(OR($A872="",$B872=""),"",IF(ISNUMBER($A872),INT(MOD($A872,10000)/100),IFERROR(VALUE(TRIM(LEFT(MID($A872,FIND("/",$A872)+1,20),FIND("/",MID($A872,FIND("/",$A872)+1,20))-1))),"")))</f>
        <v/>
      </c>
      <c r="D872">
        <f>IF(OR($A872="",$B872=""),"",IF(ISNUMBER($A872),MOD($A872,100),IFERROR(VALUE(TRIM(MID(MID($A872,FIND("/",$A872)+1,20),FIND("/",MID($A872,FIND("/",$A872)+1,20))+1,20))),"")))</f>
        <v/>
      </c>
      <c r="E872">
        <f>IF($A872="","",IF(OR($B872="",$C872="",$D872="",$B872&lt;1300,$B872&gt;1500,$C872&lt;1,$C872&gt;12,$D872&lt;1,$D872&gt;31),"نامعتبر",RIGHT("0000"&amp;$B872,4)&amp;"/"&amp;RIGHT("00"&amp;$C872,2)&amp;"/"&amp;RIGHT("00"&amp;$D872,2)))</f>
        <v/>
      </c>
      <c r="F872">
        <f>IF(OR($E872="",$E872="نامعتبر"),"",IF(Sync!$Q869="","0000",IF(AND(ISNUMBER(Sync!$Q869),Sync!$Q869&gt;=0,Sync!$Q869&lt;1),RIGHT("00"&amp;HOUR(Sync!$Q869),2)&amp;RIGHT("00"&amp;MINUTE(Sync!$Q869),2),IFERROR(RIGHT("00"&amp;VALUE(LEFT(Sync!$Q869,FIND(":",Sync!$Q869)-1)),2)&amp;RIGHT("00"&amp;VALUE(MID(Sync!$Q869,FIND(":",Sync!$Q869)+1,2)),2),"0000"))))</f>
        <v/>
      </c>
      <c r="G872">
        <f>IF(OR($E872="",$E872="نامعتبر"),"",IF(Sync!$S869="","",Sync!$S869))</f>
        <v/>
      </c>
      <c r="H872">
        <f>IF(OR($E872="",$E872="نامعتبر"),"",IF(Sync!$R869="","",Sync!$R869))</f>
        <v/>
      </c>
      <c r="I872">
        <f>IF(OR($E872="",$E872="نامعتبر"),"",IF(Sync!$T869="","",Sync!$T869))</f>
        <v/>
      </c>
      <c r="J872">
        <f>IF(OR($E872="",$E872="نامعتبر"),"",IF(Sync!$U869="","",Sync!$U869))</f>
        <v/>
      </c>
      <c r="K872">
        <f>IF(OR($E872="",$E872="نامعتبر"),"",IF(Sync!$V869="","",IFERROR(INDEX(SubCodes,MATCH(Sync!$V869,SubTitles,0)),Sync!$V869)))</f>
        <v/>
      </c>
      <c r="L872">
        <f>IF(OR($E872="",$E872="نامعتبر"),"",IF(Sync!$W869="",0,Sync!$W869))</f>
        <v/>
      </c>
      <c r="M872">
        <f>IF(OR($E872="",$E872="نامعتبر"),"",IF(Sync!$X869="",0,Sync!$X869))</f>
        <v/>
      </c>
      <c r="N872">
        <f>IF(OR($E872="",$E872="نامعتبر"),"",IF(AND($J872="هزینه",$K872&lt;&gt;""),1,0))</f>
        <v/>
      </c>
      <c r="O872">
        <f>IF($N872=0,"",LEFT($E872,4)&amp;MID($E872,6,2)&amp;RIGHT($E872,2)&amp;$F872&amp;"|"&amp;"1"&amp;RIGHT("00000"&amp;864,5))</f>
        <v/>
      </c>
      <c r="P872">
        <f>IF($O872="","",COUNTIFS(ExpSub,$K872,ExpKey,"&lt;"&amp;$O872)+1)</f>
        <v/>
      </c>
      <c r="Q872">
        <f>IF($P872="","",$K872&amp;"|"&amp;RIGHT("000000"&amp;$P872,6))</f>
        <v/>
      </c>
    </row>
    <row r="873">
      <c r="A873">
        <f>IF(Sync!$P870="","",Sync!$P870)</f>
        <v/>
      </c>
      <c r="B873">
        <f>IF($A873="","",IF(ISNUMBER($A873),IF(AND($A873&gt;=10000101,$A873&lt;=99991231),INT($A873/10000),""),IFERROR(VALUE(TRIM(LEFT($A873,FIND("/",$A873)-1))),"")))</f>
        <v/>
      </c>
      <c r="C873">
        <f>IF(OR($A873="",$B873=""),"",IF(ISNUMBER($A873),INT(MOD($A873,10000)/100),IFERROR(VALUE(TRIM(LEFT(MID($A873,FIND("/",$A873)+1,20),FIND("/",MID($A873,FIND("/",$A873)+1,20))-1))),"")))</f>
        <v/>
      </c>
      <c r="D873">
        <f>IF(OR($A873="",$B873=""),"",IF(ISNUMBER($A873),MOD($A873,100),IFERROR(VALUE(TRIM(MID(MID($A873,FIND("/",$A873)+1,20),FIND("/",MID($A873,FIND("/",$A873)+1,20))+1,20))),"")))</f>
        <v/>
      </c>
      <c r="E873">
        <f>IF($A873="","",IF(OR($B873="",$C873="",$D873="",$B873&lt;1300,$B873&gt;1500,$C873&lt;1,$C873&gt;12,$D873&lt;1,$D873&gt;31),"نامعتبر",RIGHT("0000"&amp;$B873,4)&amp;"/"&amp;RIGHT("00"&amp;$C873,2)&amp;"/"&amp;RIGHT("00"&amp;$D873,2)))</f>
        <v/>
      </c>
      <c r="F873">
        <f>IF(OR($E873="",$E873="نامعتبر"),"",IF(Sync!$Q870="","0000",IF(AND(ISNUMBER(Sync!$Q870),Sync!$Q870&gt;=0,Sync!$Q870&lt;1),RIGHT("00"&amp;HOUR(Sync!$Q870),2)&amp;RIGHT("00"&amp;MINUTE(Sync!$Q870),2),IFERROR(RIGHT("00"&amp;VALUE(LEFT(Sync!$Q870,FIND(":",Sync!$Q870)-1)),2)&amp;RIGHT("00"&amp;VALUE(MID(Sync!$Q870,FIND(":",Sync!$Q870)+1,2)),2),"0000"))))</f>
        <v/>
      </c>
      <c r="G873">
        <f>IF(OR($E873="",$E873="نامعتبر"),"",IF(Sync!$S870="","",Sync!$S870))</f>
        <v/>
      </c>
      <c r="H873">
        <f>IF(OR($E873="",$E873="نامعتبر"),"",IF(Sync!$R870="","",Sync!$R870))</f>
        <v/>
      </c>
      <c r="I873">
        <f>IF(OR($E873="",$E873="نامعتبر"),"",IF(Sync!$T870="","",Sync!$T870))</f>
        <v/>
      </c>
      <c r="J873">
        <f>IF(OR($E873="",$E873="نامعتبر"),"",IF(Sync!$U870="","",Sync!$U870))</f>
        <v/>
      </c>
      <c r="K873">
        <f>IF(OR($E873="",$E873="نامعتبر"),"",IF(Sync!$V870="","",IFERROR(INDEX(SubCodes,MATCH(Sync!$V870,SubTitles,0)),Sync!$V870)))</f>
        <v/>
      </c>
      <c r="L873">
        <f>IF(OR($E873="",$E873="نامعتبر"),"",IF(Sync!$W870="",0,Sync!$W870))</f>
        <v/>
      </c>
      <c r="M873">
        <f>IF(OR($E873="",$E873="نامعتبر"),"",IF(Sync!$X870="",0,Sync!$X870))</f>
        <v/>
      </c>
      <c r="N873">
        <f>IF(OR($E873="",$E873="نامعتبر"),"",IF(AND($J873="هزینه",$K873&lt;&gt;""),1,0))</f>
        <v/>
      </c>
      <c r="O873">
        <f>IF($N873=0,"",LEFT($E873,4)&amp;MID($E873,6,2)&amp;RIGHT($E873,2)&amp;$F873&amp;"|"&amp;"1"&amp;RIGHT("00000"&amp;865,5))</f>
        <v/>
      </c>
      <c r="P873">
        <f>IF($O873="","",COUNTIFS(ExpSub,$K873,ExpKey,"&lt;"&amp;$O873)+1)</f>
        <v/>
      </c>
      <c r="Q873">
        <f>IF($P873="","",$K873&amp;"|"&amp;RIGHT("000000"&amp;$P873,6))</f>
        <v/>
      </c>
    </row>
    <row r="874">
      <c r="A874">
        <f>IF(Sync!$P871="","",Sync!$P871)</f>
        <v/>
      </c>
      <c r="B874">
        <f>IF($A874="","",IF(ISNUMBER($A874),IF(AND($A874&gt;=10000101,$A874&lt;=99991231),INT($A874/10000),""),IFERROR(VALUE(TRIM(LEFT($A874,FIND("/",$A874)-1))),"")))</f>
        <v/>
      </c>
      <c r="C874">
        <f>IF(OR($A874="",$B874=""),"",IF(ISNUMBER($A874),INT(MOD($A874,10000)/100),IFERROR(VALUE(TRIM(LEFT(MID($A874,FIND("/",$A874)+1,20),FIND("/",MID($A874,FIND("/",$A874)+1,20))-1))),"")))</f>
        <v/>
      </c>
      <c r="D874">
        <f>IF(OR($A874="",$B874=""),"",IF(ISNUMBER($A874),MOD($A874,100),IFERROR(VALUE(TRIM(MID(MID($A874,FIND("/",$A874)+1,20),FIND("/",MID($A874,FIND("/",$A874)+1,20))+1,20))),"")))</f>
        <v/>
      </c>
      <c r="E874">
        <f>IF($A874="","",IF(OR($B874="",$C874="",$D874="",$B874&lt;1300,$B874&gt;1500,$C874&lt;1,$C874&gt;12,$D874&lt;1,$D874&gt;31),"نامعتبر",RIGHT("0000"&amp;$B874,4)&amp;"/"&amp;RIGHT("00"&amp;$C874,2)&amp;"/"&amp;RIGHT("00"&amp;$D874,2)))</f>
        <v/>
      </c>
      <c r="F874">
        <f>IF(OR($E874="",$E874="نامعتبر"),"",IF(Sync!$Q871="","0000",IF(AND(ISNUMBER(Sync!$Q871),Sync!$Q871&gt;=0,Sync!$Q871&lt;1),RIGHT("00"&amp;HOUR(Sync!$Q871),2)&amp;RIGHT("00"&amp;MINUTE(Sync!$Q871),2),IFERROR(RIGHT("00"&amp;VALUE(LEFT(Sync!$Q871,FIND(":",Sync!$Q871)-1)),2)&amp;RIGHT("00"&amp;VALUE(MID(Sync!$Q871,FIND(":",Sync!$Q871)+1,2)),2),"0000"))))</f>
        <v/>
      </c>
      <c r="G874">
        <f>IF(OR($E874="",$E874="نامعتبر"),"",IF(Sync!$S871="","",Sync!$S871))</f>
        <v/>
      </c>
      <c r="H874">
        <f>IF(OR($E874="",$E874="نامعتبر"),"",IF(Sync!$R871="","",Sync!$R871))</f>
        <v/>
      </c>
      <c r="I874">
        <f>IF(OR($E874="",$E874="نامعتبر"),"",IF(Sync!$T871="","",Sync!$T871))</f>
        <v/>
      </c>
      <c r="J874">
        <f>IF(OR($E874="",$E874="نامعتبر"),"",IF(Sync!$U871="","",Sync!$U871))</f>
        <v/>
      </c>
      <c r="K874">
        <f>IF(OR($E874="",$E874="نامعتبر"),"",IF(Sync!$V871="","",IFERROR(INDEX(SubCodes,MATCH(Sync!$V871,SubTitles,0)),Sync!$V871)))</f>
        <v/>
      </c>
      <c r="L874">
        <f>IF(OR($E874="",$E874="نامعتبر"),"",IF(Sync!$W871="",0,Sync!$W871))</f>
        <v/>
      </c>
      <c r="M874">
        <f>IF(OR($E874="",$E874="نامعتبر"),"",IF(Sync!$X871="",0,Sync!$X871))</f>
        <v/>
      </c>
      <c r="N874">
        <f>IF(OR($E874="",$E874="نامعتبر"),"",IF(AND($J874="هزینه",$K874&lt;&gt;""),1,0))</f>
        <v/>
      </c>
      <c r="O874">
        <f>IF($N874=0,"",LEFT($E874,4)&amp;MID($E874,6,2)&amp;RIGHT($E874,2)&amp;$F874&amp;"|"&amp;"1"&amp;RIGHT("00000"&amp;866,5))</f>
        <v/>
      </c>
      <c r="P874">
        <f>IF($O874="","",COUNTIFS(ExpSub,$K874,ExpKey,"&lt;"&amp;$O874)+1)</f>
        <v/>
      </c>
      <c r="Q874">
        <f>IF($P874="","",$K874&amp;"|"&amp;RIGHT("000000"&amp;$P874,6))</f>
        <v/>
      </c>
    </row>
    <row r="875">
      <c r="A875">
        <f>IF(Sync!$P872="","",Sync!$P872)</f>
        <v/>
      </c>
      <c r="B875">
        <f>IF($A875="","",IF(ISNUMBER($A875),IF(AND($A875&gt;=10000101,$A875&lt;=99991231),INT($A875/10000),""),IFERROR(VALUE(TRIM(LEFT($A875,FIND("/",$A875)-1))),"")))</f>
        <v/>
      </c>
      <c r="C875">
        <f>IF(OR($A875="",$B875=""),"",IF(ISNUMBER($A875),INT(MOD($A875,10000)/100),IFERROR(VALUE(TRIM(LEFT(MID($A875,FIND("/",$A875)+1,20),FIND("/",MID($A875,FIND("/",$A875)+1,20))-1))),"")))</f>
        <v/>
      </c>
      <c r="D875">
        <f>IF(OR($A875="",$B875=""),"",IF(ISNUMBER($A875),MOD($A875,100),IFERROR(VALUE(TRIM(MID(MID($A875,FIND("/",$A875)+1,20),FIND("/",MID($A875,FIND("/",$A875)+1,20))+1,20))),"")))</f>
        <v/>
      </c>
      <c r="E875">
        <f>IF($A875="","",IF(OR($B875="",$C875="",$D875="",$B875&lt;1300,$B875&gt;1500,$C875&lt;1,$C875&gt;12,$D875&lt;1,$D875&gt;31),"نامعتبر",RIGHT("0000"&amp;$B875,4)&amp;"/"&amp;RIGHT("00"&amp;$C875,2)&amp;"/"&amp;RIGHT("00"&amp;$D875,2)))</f>
        <v/>
      </c>
      <c r="F875">
        <f>IF(OR($E875="",$E875="نامعتبر"),"",IF(Sync!$Q872="","0000",IF(AND(ISNUMBER(Sync!$Q872),Sync!$Q872&gt;=0,Sync!$Q872&lt;1),RIGHT("00"&amp;HOUR(Sync!$Q872),2)&amp;RIGHT("00"&amp;MINUTE(Sync!$Q872),2),IFERROR(RIGHT("00"&amp;VALUE(LEFT(Sync!$Q872,FIND(":",Sync!$Q872)-1)),2)&amp;RIGHT("00"&amp;VALUE(MID(Sync!$Q872,FIND(":",Sync!$Q872)+1,2)),2),"0000"))))</f>
        <v/>
      </c>
      <c r="G875">
        <f>IF(OR($E875="",$E875="نامعتبر"),"",IF(Sync!$S872="","",Sync!$S872))</f>
        <v/>
      </c>
      <c r="H875">
        <f>IF(OR($E875="",$E875="نامعتبر"),"",IF(Sync!$R872="","",Sync!$R872))</f>
        <v/>
      </c>
      <c r="I875">
        <f>IF(OR($E875="",$E875="نامعتبر"),"",IF(Sync!$T872="","",Sync!$T872))</f>
        <v/>
      </c>
      <c r="J875">
        <f>IF(OR($E875="",$E875="نامعتبر"),"",IF(Sync!$U872="","",Sync!$U872))</f>
        <v/>
      </c>
      <c r="K875">
        <f>IF(OR($E875="",$E875="نامعتبر"),"",IF(Sync!$V872="","",IFERROR(INDEX(SubCodes,MATCH(Sync!$V872,SubTitles,0)),Sync!$V872)))</f>
        <v/>
      </c>
      <c r="L875">
        <f>IF(OR($E875="",$E875="نامعتبر"),"",IF(Sync!$W872="",0,Sync!$W872))</f>
        <v/>
      </c>
      <c r="M875">
        <f>IF(OR($E875="",$E875="نامعتبر"),"",IF(Sync!$X872="",0,Sync!$X872))</f>
        <v/>
      </c>
      <c r="N875">
        <f>IF(OR($E875="",$E875="نامعتبر"),"",IF(AND($J875="هزینه",$K875&lt;&gt;""),1,0))</f>
        <v/>
      </c>
      <c r="O875">
        <f>IF($N875=0,"",LEFT($E875,4)&amp;MID($E875,6,2)&amp;RIGHT($E875,2)&amp;$F875&amp;"|"&amp;"1"&amp;RIGHT("00000"&amp;867,5))</f>
        <v/>
      </c>
      <c r="P875">
        <f>IF($O875="","",COUNTIFS(ExpSub,$K875,ExpKey,"&lt;"&amp;$O875)+1)</f>
        <v/>
      </c>
      <c r="Q875">
        <f>IF($P875="","",$K875&amp;"|"&amp;RIGHT("000000"&amp;$P875,6))</f>
        <v/>
      </c>
    </row>
    <row r="876">
      <c r="A876">
        <f>IF(Sync!$P873="","",Sync!$P873)</f>
        <v/>
      </c>
      <c r="B876">
        <f>IF($A876="","",IF(ISNUMBER($A876),IF(AND($A876&gt;=10000101,$A876&lt;=99991231),INT($A876/10000),""),IFERROR(VALUE(TRIM(LEFT($A876,FIND("/",$A876)-1))),"")))</f>
        <v/>
      </c>
      <c r="C876">
        <f>IF(OR($A876="",$B876=""),"",IF(ISNUMBER($A876),INT(MOD($A876,10000)/100),IFERROR(VALUE(TRIM(LEFT(MID($A876,FIND("/",$A876)+1,20),FIND("/",MID($A876,FIND("/",$A876)+1,20))-1))),"")))</f>
        <v/>
      </c>
      <c r="D876">
        <f>IF(OR($A876="",$B876=""),"",IF(ISNUMBER($A876),MOD($A876,100),IFERROR(VALUE(TRIM(MID(MID($A876,FIND("/",$A876)+1,20),FIND("/",MID($A876,FIND("/",$A876)+1,20))+1,20))),"")))</f>
        <v/>
      </c>
      <c r="E876">
        <f>IF($A876="","",IF(OR($B876="",$C876="",$D876="",$B876&lt;1300,$B876&gt;1500,$C876&lt;1,$C876&gt;12,$D876&lt;1,$D876&gt;31),"نامعتبر",RIGHT("0000"&amp;$B876,4)&amp;"/"&amp;RIGHT("00"&amp;$C876,2)&amp;"/"&amp;RIGHT("00"&amp;$D876,2)))</f>
        <v/>
      </c>
      <c r="F876">
        <f>IF(OR($E876="",$E876="نامعتبر"),"",IF(Sync!$Q873="","0000",IF(AND(ISNUMBER(Sync!$Q873),Sync!$Q873&gt;=0,Sync!$Q873&lt;1),RIGHT("00"&amp;HOUR(Sync!$Q873),2)&amp;RIGHT("00"&amp;MINUTE(Sync!$Q873),2),IFERROR(RIGHT("00"&amp;VALUE(LEFT(Sync!$Q873,FIND(":",Sync!$Q873)-1)),2)&amp;RIGHT("00"&amp;VALUE(MID(Sync!$Q873,FIND(":",Sync!$Q873)+1,2)),2),"0000"))))</f>
        <v/>
      </c>
      <c r="G876">
        <f>IF(OR($E876="",$E876="نامعتبر"),"",IF(Sync!$S873="","",Sync!$S873))</f>
        <v/>
      </c>
      <c r="H876">
        <f>IF(OR($E876="",$E876="نامعتبر"),"",IF(Sync!$R873="","",Sync!$R873))</f>
        <v/>
      </c>
      <c r="I876">
        <f>IF(OR($E876="",$E876="نامعتبر"),"",IF(Sync!$T873="","",Sync!$T873))</f>
        <v/>
      </c>
      <c r="J876">
        <f>IF(OR($E876="",$E876="نامعتبر"),"",IF(Sync!$U873="","",Sync!$U873))</f>
        <v/>
      </c>
      <c r="K876">
        <f>IF(OR($E876="",$E876="نامعتبر"),"",IF(Sync!$V873="","",IFERROR(INDEX(SubCodes,MATCH(Sync!$V873,SubTitles,0)),Sync!$V873)))</f>
        <v/>
      </c>
      <c r="L876">
        <f>IF(OR($E876="",$E876="نامعتبر"),"",IF(Sync!$W873="",0,Sync!$W873))</f>
        <v/>
      </c>
      <c r="M876">
        <f>IF(OR($E876="",$E876="نامعتبر"),"",IF(Sync!$X873="",0,Sync!$X873))</f>
        <v/>
      </c>
      <c r="N876">
        <f>IF(OR($E876="",$E876="نامعتبر"),"",IF(AND($J876="هزینه",$K876&lt;&gt;""),1,0))</f>
        <v/>
      </c>
      <c r="O876">
        <f>IF($N876=0,"",LEFT($E876,4)&amp;MID($E876,6,2)&amp;RIGHT($E876,2)&amp;$F876&amp;"|"&amp;"1"&amp;RIGHT("00000"&amp;868,5))</f>
        <v/>
      </c>
      <c r="P876">
        <f>IF($O876="","",COUNTIFS(ExpSub,$K876,ExpKey,"&lt;"&amp;$O876)+1)</f>
        <v/>
      </c>
      <c r="Q876">
        <f>IF($P876="","",$K876&amp;"|"&amp;RIGHT("000000"&amp;$P876,6))</f>
        <v/>
      </c>
    </row>
    <row r="877">
      <c r="A877">
        <f>IF(Sync!$P874="","",Sync!$P874)</f>
        <v/>
      </c>
      <c r="B877">
        <f>IF($A877="","",IF(ISNUMBER($A877),IF(AND($A877&gt;=10000101,$A877&lt;=99991231),INT($A877/10000),""),IFERROR(VALUE(TRIM(LEFT($A877,FIND("/",$A877)-1))),"")))</f>
        <v/>
      </c>
      <c r="C877">
        <f>IF(OR($A877="",$B877=""),"",IF(ISNUMBER($A877),INT(MOD($A877,10000)/100),IFERROR(VALUE(TRIM(LEFT(MID($A877,FIND("/",$A877)+1,20),FIND("/",MID($A877,FIND("/",$A877)+1,20))-1))),"")))</f>
        <v/>
      </c>
      <c r="D877">
        <f>IF(OR($A877="",$B877=""),"",IF(ISNUMBER($A877),MOD($A877,100),IFERROR(VALUE(TRIM(MID(MID($A877,FIND("/",$A877)+1,20),FIND("/",MID($A877,FIND("/",$A877)+1,20))+1,20))),"")))</f>
        <v/>
      </c>
      <c r="E877">
        <f>IF($A877="","",IF(OR($B877="",$C877="",$D877="",$B877&lt;1300,$B877&gt;1500,$C877&lt;1,$C877&gt;12,$D877&lt;1,$D877&gt;31),"نامعتبر",RIGHT("0000"&amp;$B877,4)&amp;"/"&amp;RIGHT("00"&amp;$C877,2)&amp;"/"&amp;RIGHT("00"&amp;$D877,2)))</f>
        <v/>
      </c>
      <c r="F877">
        <f>IF(OR($E877="",$E877="نامعتبر"),"",IF(Sync!$Q874="","0000",IF(AND(ISNUMBER(Sync!$Q874),Sync!$Q874&gt;=0,Sync!$Q874&lt;1),RIGHT("00"&amp;HOUR(Sync!$Q874),2)&amp;RIGHT("00"&amp;MINUTE(Sync!$Q874),2),IFERROR(RIGHT("00"&amp;VALUE(LEFT(Sync!$Q874,FIND(":",Sync!$Q874)-1)),2)&amp;RIGHT("00"&amp;VALUE(MID(Sync!$Q874,FIND(":",Sync!$Q874)+1,2)),2),"0000"))))</f>
        <v/>
      </c>
      <c r="G877">
        <f>IF(OR($E877="",$E877="نامعتبر"),"",IF(Sync!$S874="","",Sync!$S874))</f>
        <v/>
      </c>
      <c r="H877">
        <f>IF(OR($E877="",$E877="نامعتبر"),"",IF(Sync!$R874="","",Sync!$R874))</f>
        <v/>
      </c>
      <c r="I877">
        <f>IF(OR($E877="",$E877="نامعتبر"),"",IF(Sync!$T874="","",Sync!$T874))</f>
        <v/>
      </c>
      <c r="J877">
        <f>IF(OR($E877="",$E877="نامعتبر"),"",IF(Sync!$U874="","",Sync!$U874))</f>
        <v/>
      </c>
      <c r="K877">
        <f>IF(OR($E877="",$E877="نامعتبر"),"",IF(Sync!$V874="","",IFERROR(INDEX(SubCodes,MATCH(Sync!$V874,SubTitles,0)),Sync!$V874)))</f>
        <v/>
      </c>
      <c r="L877">
        <f>IF(OR($E877="",$E877="نامعتبر"),"",IF(Sync!$W874="",0,Sync!$W874))</f>
        <v/>
      </c>
      <c r="M877">
        <f>IF(OR($E877="",$E877="نامعتبر"),"",IF(Sync!$X874="",0,Sync!$X874))</f>
        <v/>
      </c>
      <c r="N877">
        <f>IF(OR($E877="",$E877="نامعتبر"),"",IF(AND($J877="هزینه",$K877&lt;&gt;""),1,0))</f>
        <v/>
      </c>
      <c r="O877">
        <f>IF($N877=0,"",LEFT($E877,4)&amp;MID($E877,6,2)&amp;RIGHT($E877,2)&amp;$F877&amp;"|"&amp;"1"&amp;RIGHT("00000"&amp;869,5))</f>
        <v/>
      </c>
      <c r="P877">
        <f>IF($O877="","",COUNTIFS(ExpSub,$K877,ExpKey,"&lt;"&amp;$O877)+1)</f>
        <v/>
      </c>
      <c r="Q877">
        <f>IF($P877="","",$K877&amp;"|"&amp;RIGHT("000000"&amp;$P877,6))</f>
        <v/>
      </c>
    </row>
    <row r="878">
      <c r="A878">
        <f>IF(Sync!$P875="","",Sync!$P875)</f>
        <v/>
      </c>
      <c r="B878">
        <f>IF($A878="","",IF(ISNUMBER($A878),IF(AND($A878&gt;=10000101,$A878&lt;=99991231),INT($A878/10000),""),IFERROR(VALUE(TRIM(LEFT($A878,FIND("/",$A878)-1))),"")))</f>
        <v/>
      </c>
      <c r="C878">
        <f>IF(OR($A878="",$B878=""),"",IF(ISNUMBER($A878),INT(MOD($A878,10000)/100),IFERROR(VALUE(TRIM(LEFT(MID($A878,FIND("/",$A878)+1,20),FIND("/",MID($A878,FIND("/",$A878)+1,20))-1))),"")))</f>
        <v/>
      </c>
      <c r="D878">
        <f>IF(OR($A878="",$B878=""),"",IF(ISNUMBER($A878),MOD($A878,100),IFERROR(VALUE(TRIM(MID(MID($A878,FIND("/",$A878)+1,20),FIND("/",MID($A878,FIND("/",$A878)+1,20))+1,20))),"")))</f>
        <v/>
      </c>
      <c r="E878">
        <f>IF($A878="","",IF(OR($B878="",$C878="",$D878="",$B878&lt;1300,$B878&gt;1500,$C878&lt;1,$C878&gt;12,$D878&lt;1,$D878&gt;31),"نامعتبر",RIGHT("0000"&amp;$B878,4)&amp;"/"&amp;RIGHT("00"&amp;$C878,2)&amp;"/"&amp;RIGHT("00"&amp;$D878,2)))</f>
        <v/>
      </c>
      <c r="F878">
        <f>IF(OR($E878="",$E878="نامعتبر"),"",IF(Sync!$Q875="","0000",IF(AND(ISNUMBER(Sync!$Q875),Sync!$Q875&gt;=0,Sync!$Q875&lt;1),RIGHT("00"&amp;HOUR(Sync!$Q875),2)&amp;RIGHT("00"&amp;MINUTE(Sync!$Q875),2),IFERROR(RIGHT("00"&amp;VALUE(LEFT(Sync!$Q875,FIND(":",Sync!$Q875)-1)),2)&amp;RIGHT("00"&amp;VALUE(MID(Sync!$Q875,FIND(":",Sync!$Q875)+1,2)),2),"0000"))))</f>
        <v/>
      </c>
      <c r="G878">
        <f>IF(OR($E878="",$E878="نامعتبر"),"",IF(Sync!$S875="","",Sync!$S875))</f>
        <v/>
      </c>
      <c r="H878">
        <f>IF(OR($E878="",$E878="نامعتبر"),"",IF(Sync!$R875="","",Sync!$R875))</f>
        <v/>
      </c>
      <c r="I878">
        <f>IF(OR($E878="",$E878="نامعتبر"),"",IF(Sync!$T875="","",Sync!$T875))</f>
        <v/>
      </c>
      <c r="J878">
        <f>IF(OR($E878="",$E878="نامعتبر"),"",IF(Sync!$U875="","",Sync!$U875))</f>
        <v/>
      </c>
      <c r="K878">
        <f>IF(OR($E878="",$E878="نامعتبر"),"",IF(Sync!$V875="","",IFERROR(INDEX(SubCodes,MATCH(Sync!$V875,SubTitles,0)),Sync!$V875)))</f>
        <v/>
      </c>
      <c r="L878">
        <f>IF(OR($E878="",$E878="نامعتبر"),"",IF(Sync!$W875="",0,Sync!$W875))</f>
        <v/>
      </c>
      <c r="M878">
        <f>IF(OR($E878="",$E878="نامعتبر"),"",IF(Sync!$X875="",0,Sync!$X875))</f>
        <v/>
      </c>
      <c r="N878">
        <f>IF(OR($E878="",$E878="نامعتبر"),"",IF(AND($J878="هزینه",$K878&lt;&gt;""),1,0))</f>
        <v/>
      </c>
      <c r="O878">
        <f>IF($N878=0,"",LEFT($E878,4)&amp;MID($E878,6,2)&amp;RIGHT($E878,2)&amp;$F878&amp;"|"&amp;"1"&amp;RIGHT("00000"&amp;870,5))</f>
        <v/>
      </c>
      <c r="P878">
        <f>IF($O878="","",COUNTIFS(ExpSub,$K878,ExpKey,"&lt;"&amp;$O878)+1)</f>
        <v/>
      </c>
      <c r="Q878">
        <f>IF($P878="","",$K878&amp;"|"&amp;RIGHT("000000"&amp;$P878,6))</f>
        <v/>
      </c>
    </row>
    <row r="879">
      <c r="A879">
        <f>IF(Sync!$P876="","",Sync!$P876)</f>
        <v/>
      </c>
      <c r="B879">
        <f>IF($A879="","",IF(ISNUMBER($A879),IF(AND($A879&gt;=10000101,$A879&lt;=99991231),INT($A879/10000),""),IFERROR(VALUE(TRIM(LEFT($A879,FIND("/",$A879)-1))),"")))</f>
        <v/>
      </c>
      <c r="C879">
        <f>IF(OR($A879="",$B879=""),"",IF(ISNUMBER($A879),INT(MOD($A879,10000)/100),IFERROR(VALUE(TRIM(LEFT(MID($A879,FIND("/",$A879)+1,20),FIND("/",MID($A879,FIND("/",$A879)+1,20))-1))),"")))</f>
        <v/>
      </c>
      <c r="D879">
        <f>IF(OR($A879="",$B879=""),"",IF(ISNUMBER($A879),MOD($A879,100),IFERROR(VALUE(TRIM(MID(MID($A879,FIND("/",$A879)+1,20),FIND("/",MID($A879,FIND("/",$A879)+1,20))+1,20))),"")))</f>
        <v/>
      </c>
      <c r="E879">
        <f>IF($A879="","",IF(OR($B879="",$C879="",$D879="",$B879&lt;1300,$B879&gt;1500,$C879&lt;1,$C879&gt;12,$D879&lt;1,$D879&gt;31),"نامعتبر",RIGHT("0000"&amp;$B879,4)&amp;"/"&amp;RIGHT("00"&amp;$C879,2)&amp;"/"&amp;RIGHT("00"&amp;$D879,2)))</f>
        <v/>
      </c>
      <c r="F879">
        <f>IF(OR($E879="",$E879="نامعتبر"),"",IF(Sync!$Q876="","0000",IF(AND(ISNUMBER(Sync!$Q876),Sync!$Q876&gt;=0,Sync!$Q876&lt;1),RIGHT("00"&amp;HOUR(Sync!$Q876),2)&amp;RIGHT("00"&amp;MINUTE(Sync!$Q876),2),IFERROR(RIGHT("00"&amp;VALUE(LEFT(Sync!$Q876,FIND(":",Sync!$Q876)-1)),2)&amp;RIGHT("00"&amp;VALUE(MID(Sync!$Q876,FIND(":",Sync!$Q876)+1,2)),2),"0000"))))</f>
        <v/>
      </c>
      <c r="G879">
        <f>IF(OR($E879="",$E879="نامعتبر"),"",IF(Sync!$S876="","",Sync!$S876))</f>
        <v/>
      </c>
      <c r="H879">
        <f>IF(OR($E879="",$E879="نامعتبر"),"",IF(Sync!$R876="","",Sync!$R876))</f>
        <v/>
      </c>
      <c r="I879">
        <f>IF(OR($E879="",$E879="نامعتبر"),"",IF(Sync!$T876="","",Sync!$T876))</f>
        <v/>
      </c>
      <c r="J879">
        <f>IF(OR($E879="",$E879="نامعتبر"),"",IF(Sync!$U876="","",Sync!$U876))</f>
        <v/>
      </c>
      <c r="K879">
        <f>IF(OR($E879="",$E879="نامعتبر"),"",IF(Sync!$V876="","",IFERROR(INDEX(SubCodes,MATCH(Sync!$V876,SubTitles,0)),Sync!$V876)))</f>
        <v/>
      </c>
      <c r="L879">
        <f>IF(OR($E879="",$E879="نامعتبر"),"",IF(Sync!$W876="",0,Sync!$W876))</f>
        <v/>
      </c>
      <c r="M879">
        <f>IF(OR($E879="",$E879="نامعتبر"),"",IF(Sync!$X876="",0,Sync!$X876))</f>
        <v/>
      </c>
      <c r="N879">
        <f>IF(OR($E879="",$E879="نامعتبر"),"",IF(AND($J879="هزینه",$K879&lt;&gt;""),1,0))</f>
        <v/>
      </c>
      <c r="O879">
        <f>IF($N879=0,"",LEFT($E879,4)&amp;MID($E879,6,2)&amp;RIGHT($E879,2)&amp;$F879&amp;"|"&amp;"1"&amp;RIGHT("00000"&amp;871,5))</f>
        <v/>
      </c>
      <c r="P879">
        <f>IF($O879="","",COUNTIFS(ExpSub,$K879,ExpKey,"&lt;"&amp;$O879)+1)</f>
        <v/>
      </c>
      <c r="Q879">
        <f>IF($P879="","",$K879&amp;"|"&amp;RIGHT("000000"&amp;$P879,6))</f>
        <v/>
      </c>
    </row>
    <row r="880">
      <c r="A880">
        <f>IF(Sync!$P877="","",Sync!$P877)</f>
        <v/>
      </c>
      <c r="B880">
        <f>IF($A880="","",IF(ISNUMBER($A880),IF(AND($A880&gt;=10000101,$A880&lt;=99991231),INT($A880/10000),""),IFERROR(VALUE(TRIM(LEFT($A880,FIND("/",$A880)-1))),"")))</f>
        <v/>
      </c>
      <c r="C880">
        <f>IF(OR($A880="",$B880=""),"",IF(ISNUMBER($A880),INT(MOD($A880,10000)/100),IFERROR(VALUE(TRIM(LEFT(MID($A880,FIND("/",$A880)+1,20),FIND("/",MID($A880,FIND("/",$A880)+1,20))-1))),"")))</f>
        <v/>
      </c>
      <c r="D880">
        <f>IF(OR($A880="",$B880=""),"",IF(ISNUMBER($A880),MOD($A880,100),IFERROR(VALUE(TRIM(MID(MID($A880,FIND("/",$A880)+1,20),FIND("/",MID($A880,FIND("/",$A880)+1,20))+1,20))),"")))</f>
        <v/>
      </c>
      <c r="E880">
        <f>IF($A880="","",IF(OR($B880="",$C880="",$D880="",$B880&lt;1300,$B880&gt;1500,$C880&lt;1,$C880&gt;12,$D880&lt;1,$D880&gt;31),"نامعتبر",RIGHT("0000"&amp;$B880,4)&amp;"/"&amp;RIGHT("00"&amp;$C880,2)&amp;"/"&amp;RIGHT("00"&amp;$D880,2)))</f>
        <v/>
      </c>
      <c r="F880">
        <f>IF(OR($E880="",$E880="نامعتبر"),"",IF(Sync!$Q877="","0000",IF(AND(ISNUMBER(Sync!$Q877),Sync!$Q877&gt;=0,Sync!$Q877&lt;1),RIGHT("00"&amp;HOUR(Sync!$Q877),2)&amp;RIGHT("00"&amp;MINUTE(Sync!$Q877),2),IFERROR(RIGHT("00"&amp;VALUE(LEFT(Sync!$Q877,FIND(":",Sync!$Q877)-1)),2)&amp;RIGHT("00"&amp;VALUE(MID(Sync!$Q877,FIND(":",Sync!$Q877)+1,2)),2),"0000"))))</f>
        <v/>
      </c>
      <c r="G880">
        <f>IF(OR($E880="",$E880="نامعتبر"),"",IF(Sync!$S877="","",Sync!$S877))</f>
        <v/>
      </c>
      <c r="H880">
        <f>IF(OR($E880="",$E880="نامعتبر"),"",IF(Sync!$R877="","",Sync!$R877))</f>
        <v/>
      </c>
      <c r="I880">
        <f>IF(OR($E880="",$E880="نامعتبر"),"",IF(Sync!$T877="","",Sync!$T877))</f>
        <v/>
      </c>
      <c r="J880">
        <f>IF(OR($E880="",$E880="نامعتبر"),"",IF(Sync!$U877="","",Sync!$U877))</f>
        <v/>
      </c>
      <c r="K880">
        <f>IF(OR($E880="",$E880="نامعتبر"),"",IF(Sync!$V877="","",IFERROR(INDEX(SubCodes,MATCH(Sync!$V877,SubTitles,0)),Sync!$V877)))</f>
        <v/>
      </c>
      <c r="L880">
        <f>IF(OR($E880="",$E880="نامعتبر"),"",IF(Sync!$W877="",0,Sync!$W877))</f>
        <v/>
      </c>
      <c r="M880">
        <f>IF(OR($E880="",$E880="نامعتبر"),"",IF(Sync!$X877="",0,Sync!$X877))</f>
        <v/>
      </c>
      <c r="N880">
        <f>IF(OR($E880="",$E880="نامعتبر"),"",IF(AND($J880="هزینه",$K880&lt;&gt;""),1,0))</f>
        <v/>
      </c>
      <c r="O880">
        <f>IF($N880=0,"",LEFT($E880,4)&amp;MID($E880,6,2)&amp;RIGHT($E880,2)&amp;$F880&amp;"|"&amp;"1"&amp;RIGHT("00000"&amp;872,5))</f>
        <v/>
      </c>
      <c r="P880">
        <f>IF($O880="","",COUNTIFS(ExpSub,$K880,ExpKey,"&lt;"&amp;$O880)+1)</f>
        <v/>
      </c>
      <c r="Q880">
        <f>IF($P880="","",$K880&amp;"|"&amp;RIGHT("000000"&amp;$P880,6))</f>
        <v/>
      </c>
    </row>
    <row r="881">
      <c r="A881">
        <f>IF(Sync!$P878="","",Sync!$P878)</f>
        <v/>
      </c>
      <c r="B881">
        <f>IF($A881="","",IF(ISNUMBER($A881),IF(AND($A881&gt;=10000101,$A881&lt;=99991231),INT($A881/10000),""),IFERROR(VALUE(TRIM(LEFT($A881,FIND("/",$A881)-1))),"")))</f>
        <v/>
      </c>
      <c r="C881">
        <f>IF(OR($A881="",$B881=""),"",IF(ISNUMBER($A881),INT(MOD($A881,10000)/100),IFERROR(VALUE(TRIM(LEFT(MID($A881,FIND("/",$A881)+1,20),FIND("/",MID($A881,FIND("/",$A881)+1,20))-1))),"")))</f>
        <v/>
      </c>
      <c r="D881">
        <f>IF(OR($A881="",$B881=""),"",IF(ISNUMBER($A881),MOD($A881,100),IFERROR(VALUE(TRIM(MID(MID($A881,FIND("/",$A881)+1,20),FIND("/",MID($A881,FIND("/",$A881)+1,20))+1,20))),"")))</f>
        <v/>
      </c>
      <c r="E881">
        <f>IF($A881="","",IF(OR($B881="",$C881="",$D881="",$B881&lt;1300,$B881&gt;1500,$C881&lt;1,$C881&gt;12,$D881&lt;1,$D881&gt;31),"نامعتبر",RIGHT("0000"&amp;$B881,4)&amp;"/"&amp;RIGHT("00"&amp;$C881,2)&amp;"/"&amp;RIGHT("00"&amp;$D881,2)))</f>
        <v/>
      </c>
      <c r="F881">
        <f>IF(OR($E881="",$E881="نامعتبر"),"",IF(Sync!$Q878="","0000",IF(AND(ISNUMBER(Sync!$Q878),Sync!$Q878&gt;=0,Sync!$Q878&lt;1),RIGHT("00"&amp;HOUR(Sync!$Q878),2)&amp;RIGHT("00"&amp;MINUTE(Sync!$Q878),2),IFERROR(RIGHT("00"&amp;VALUE(LEFT(Sync!$Q878,FIND(":",Sync!$Q878)-1)),2)&amp;RIGHT("00"&amp;VALUE(MID(Sync!$Q878,FIND(":",Sync!$Q878)+1,2)),2),"0000"))))</f>
        <v/>
      </c>
      <c r="G881">
        <f>IF(OR($E881="",$E881="نامعتبر"),"",IF(Sync!$S878="","",Sync!$S878))</f>
        <v/>
      </c>
      <c r="H881">
        <f>IF(OR($E881="",$E881="نامعتبر"),"",IF(Sync!$R878="","",Sync!$R878))</f>
        <v/>
      </c>
      <c r="I881">
        <f>IF(OR($E881="",$E881="نامعتبر"),"",IF(Sync!$T878="","",Sync!$T878))</f>
        <v/>
      </c>
      <c r="J881">
        <f>IF(OR($E881="",$E881="نامعتبر"),"",IF(Sync!$U878="","",Sync!$U878))</f>
        <v/>
      </c>
      <c r="K881">
        <f>IF(OR($E881="",$E881="نامعتبر"),"",IF(Sync!$V878="","",IFERROR(INDEX(SubCodes,MATCH(Sync!$V878,SubTitles,0)),Sync!$V878)))</f>
        <v/>
      </c>
      <c r="L881">
        <f>IF(OR($E881="",$E881="نامعتبر"),"",IF(Sync!$W878="",0,Sync!$W878))</f>
        <v/>
      </c>
      <c r="M881">
        <f>IF(OR($E881="",$E881="نامعتبر"),"",IF(Sync!$X878="",0,Sync!$X878))</f>
        <v/>
      </c>
      <c r="N881">
        <f>IF(OR($E881="",$E881="نامعتبر"),"",IF(AND($J881="هزینه",$K881&lt;&gt;""),1,0))</f>
        <v/>
      </c>
      <c r="O881">
        <f>IF($N881=0,"",LEFT($E881,4)&amp;MID($E881,6,2)&amp;RIGHT($E881,2)&amp;$F881&amp;"|"&amp;"1"&amp;RIGHT("00000"&amp;873,5))</f>
        <v/>
      </c>
      <c r="P881">
        <f>IF($O881="","",COUNTIFS(ExpSub,$K881,ExpKey,"&lt;"&amp;$O881)+1)</f>
        <v/>
      </c>
      <c r="Q881">
        <f>IF($P881="","",$K881&amp;"|"&amp;RIGHT("000000"&amp;$P881,6))</f>
        <v/>
      </c>
    </row>
    <row r="882">
      <c r="A882">
        <f>IF(Sync!$P879="","",Sync!$P879)</f>
        <v/>
      </c>
      <c r="B882">
        <f>IF($A882="","",IF(ISNUMBER($A882),IF(AND($A882&gt;=10000101,$A882&lt;=99991231),INT($A882/10000),""),IFERROR(VALUE(TRIM(LEFT($A882,FIND("/",$A882)-1))),"")))</f>
        <v/>
      </c>
      <c r="C882">
        <f>IF(OR($A882="",$B882=""),"",IF(ISNUMBER($A882),INT(MOD($A882,10000)/100),IFERROR(VALUE(TRIM(LEFT(MID($A882,FIND("/",$A882)+1,20),FIND("/",MID($A882,FIND("/",$A882)+1,20))-1))),"")))</f>
        <v/>
      </c>
      <c r="D882">
        <f>IF(OR($A882="",$B882=""),"",IF(ISNUMBER($A882),MOD($A882,100),IFERROR(VALUE(TRIM(MID(MID($A882,FIND("/",$A882)+1,20),FIND("/",MID($A882,FIND("/",$A882)+1,20))+1,20))),"")))</f>
        <v/>
      </c>
      <c r="E882">
        <f>IF($A882="","",IF(OR($B882="",$C882="",$D882="",$B882&lt;1300,$B882&gt;1500,$C882&lt;1,$C882&gt;12,$D882&lt;1,$D882&gt;31),"نامعتبر",RIGHT("0000"&amp;$B882,4)&amp;"/"&amp;RIGHT("00"&amp;$C882,2)&amp;"/"&amp;RIGHT("00"&amp;$D882,2)))</f>
        <v/>
      </c>
      <c r="F882">
        <f>IF(OR($E882="",$E882="نامعتبر"),"",IF(Sync!$Q879="","0000",IF(AND(ISNUMBER(Sync!$Q879),Sync!$Q879&gt;=0,Sync!$Q879&lt;1),RIGHT("00"&amp;HOUR(Sync!$Q879),2)&amp;RIGHT("00"&amp;MINUTE(Sync!$Q879),2),IFERROR(RIGHT("00"&amp;VALUE(LEFT(Sync!$Q879,FIND(":",Sync!$Q879)-1)),2)&amp;RIGHT("00"&amp;VALUE(MID(Sync!$Q879,FIND(":",Sync!$Q879)+1,2)),2),"0000"))))</f>
        <v/>
      </c>
      <c r="G882">
        <f>IF(OR($E882="",$E882="نامعتبر"),"",IF(Sync!$S879="","",Sync!$S879))</f>
        <v/>
      </c>
      <c r="H882">
        <f>IF(OR($E882="",$E882="نامعتبر"),"",IF(Sync!$R879="","",Sync!$R879))</f>
        <v/>
      </c>
      <c r="I882">
        <f>IF(OR($E882="",$E882="نامعتبر"),"",IF(Sync!$T879="","",Sync!$T879))</f>
        <v/>
      </c>
      <c r="J882">
        <f>IF(OR($E882="",$E882="نامعتبر"),"",IF(Sync!$U879="","",Sync!$U879))</f>
        <v/>
      </c>
      <c r="K882">
        <f>IF(OR($E882="",$E882="نامعتبر"),"",IF(Sync!$V879="","",IFERROR(INDEX(SubCodes,MATCH(Sync!$V879,SubTitles,0)),Sync!$V879)))</f>
        <v/>
      </c>
      <c r="L882">
        <f>IF(OR($E882="",$E882="نامعتبر"),"",IF(Sync!$W879="",0,Sync!$W879))</f>
        <v/>
      </c>
      <c r="M882">
        <f>IF(OR($E882="",$E882="نامعتبر"),"",IF(Sync!$X879="",0,Sync!$X879))</f>
        <v/>
      </c>
      <c r="N882">
        <f>IF(OR($E882="",$E882="نامعتبر"),"",IF(AND($J882="هزینه",$K882&lt;&gt;""),1,0))</f>
        <v/>
      </c>
      <c r="O882">
        <f>IF($N882=0,"",LEFT($E882,4)&amp;MID($E882,6,2)&amp;RIGHT($E882,2)&amp;$F882&amp;"|"&amp;"1"&amp;RIGHT("00000"&amp;874,5))</f>
        <v/>
      </c>
      <c r="P882">
        <f>IF($O882="","",COUNTIFS(ExpSub,$K882,ExpKey,"&lt;"&amp;$O882)+1)</f>
        <v/>
      </c>
      <c r="Q882">
        <f>IF($P882="","",$K882&amp;"|"&amp;RIGHT("000000"&amp;$P882,6))</f>
        <v/>
      </c>
    </row>
    <row r="883">
      <c r="A883">
        <f>IF(Sync!$P880="","",Sync!$P880)</f>
        <v/>
      </c>
      <c r="B883">
        <f>IF($A883="","",IF(ISNUMBER($A883),IF(AND($A883&gt;=10000101,$A883&lt;=99991231),INT($A883/10000),""),IFERROR(VALUE(TRIM(LEFT($A883,FIND("/",$A883)-1))),"")))</f>
        <v/>
      </c>
      <c r="C883">
        <f>IF(OR($A883="",$B883=""),"",IF(ISNUMBER($A883),INT(MOD($A883,10000)/100),IFERROR(VALUE(TRIM(LEFT(MID($A883,FIND("/",$A883)+1,20),FIND("/",MID($A883,FIND("/",$A883)+1,20))-1))),"")))</f>
        <v/>
      </c>
      <c r="D883">
        <f>IF(OR($A883="",$B883=""),"",IF(ISNUMBER($A883),MOD($A883,100),IFERROR(VALUE(TRIM(MID(MID($A883,FIND("/",$A883)+1,20),FIND("/",MID($A883,FIND("/",$A883)+1,20))+1,20))),"")))</f>
        <v/>
      </c>
      <c r="E883">
        <f>IF($A883="","",IF(OR($B883="",$C883="",$D883="",$B883&lt;1300,$B883&gt;1500,$C883&lt;1,$C883&gt;12,$D883&lt;1,$D883&gt;31),"نامعتبر",RIGHT("0000"&amp;$B883,4)&amp;"/"&amp;RIGHT("00"&amp;$C883,2)&amp;"/"&amp;RIGHT("00"&amp;$D883,2)))</f>
        <v/>
      </c>
      <c r="F883">
        <f>IF(OR($E883="",$E883="نامعتبر"),"",IF(Sync!$Q880="","0000",IF(AND(ISNUMBER(Sync!$Q880),Sync!$Q880&gt;=0,Sync!$Q880&lt;1),RIGHT("00"&amp;HOUR(Sync!$Q880),2)&amp;RIGHT("00"&amp;MINUTE(Sync!$Q880),2),IFERROR(RIGHT("00"&amp;VALUE(LEFT(Sync!$Q880,FIND(":",Sync!$Q880)-1)),2)&amp;RIGHT("00"&amp;VALUE(MID(Sync!$Q880,FIND(":",Sync!$Q880)+1,2)),2),"0000"))))</f>
        <v/>
      </c>
      <c r="G883">
        <f>IF(OR($E883="",$E883="نامعتبر"),"",IF(Sync!$S880="","",Sync!$S880))</f>
        <v/>
      </c>
      <c r="H883">
        <f>IF(OR($E883="",$E883="نامعتبر"),"",IF(Sync!$R880="","",Sync!$R880))</f>
        <v/>
      </c>
      <c r="I883">
        <f>IF(OR($E883="",$E883="نامعتبر"),"",IF(Sync!$T880="","",Sync!$T880))</f>
        <v/>
      </c>
      <c r="J883">
        <f>IF(OR($E883="",$E883="نامعتبر"),"",IF(Sync!$U880="","",Sync!$U880))</f>
        <v/>
      </c>
      <c r="K883">
        <f>IF(OR($E883="",$E883="نامعتبر"),"",IF(Sync!$V880="","",IFERROR(INDEX(SubCodes,MATCH(Sync!$V880,SubTitles,0)),Sync!$V880)))</f>
        <v/>
      </c>
      <c r="L883">
        <f>IF(OR($E883="",$E883="نامعتبر"),"",IF(Sync!$W880="",0,Sync!$W880))</f>
        <v/>
      </c>
      <c r="M883">
        <f>IF(OR($E883="",$E883="نامعتبر"),"",IF(Sync!$X880="",0,Sync!$X880))</f>
        <v/>
      </c>
      <c r="N883">
        <f>IF(OR($E883="",$E883="نامعتبر"),"",IF(AND($J883="هزینه",$K883&lt;&gt;""),1,0))</f>
        <v/>
      </c>
      <c r="O883">
        <f>IF($N883=0,"",LEFT($E883,4)&amp;MID($E883,6,2)&amp;RIGHT($E883,2)&amp;$F883&amp;"|"&amp;"1"&amp;RIGHT("00000"&amp;875,5))</f>
        <v/>
      </c>
      <c r="P883">
        <f>IF($O883="","",COUNTIFS(ExpSub,$K883,ExpKey,"&lt;"&amp;$O883)+1)</f>
        <v/>
      </c>
      <c r="Q883">
        <f>IF($P883="","",$K883&amp;"|"&amp;RIGHT("000000"&amp;$P883,6))</f>
        <v/>
      </c>
    </row>
    <row r="884">
      <c r="A884">
        <f>IF(Sync!$P881="","",Sync!$P881)</f>
        <v/>
      </c>
      <c r="B884">
        <f>IF($A884="","",IF(ISNUMBER($A884),IF(AND($A884&gt;=10000101,$A884&lt;=99991231),INT($A884/10000),""),IFERROR(VALUE(TRIM(LEFT($A884,FIND("/",$A884)-1))),"")))</f>
        <v/>
      </c>
      <c r="C884">
        <f>IF(OR($A884="",$B884=""),"",IF(ISNUMBER($A884),INT(MOD($A884,10000)/100),IFERROR(VALUE(TRIM(LEFT(MID($A884,FIND("/",$A884)+1,20),FIND("/",MID($A884,FIND("/",$A884)+1,20))-1))),"")))</f>
        <v/>
      </c>
      <c r="D884">
        <f>IF(OR($A884="",$B884=""),"",IF(ISNUMBER($A884),MOD($A884,100),IFERROR(VALUE(TRIM(MID(MID($A884,FIND("/",$A884)+1,20),FIND("/",MID($A884,FIND("/",$A884)+1,20))+1,20))),"")))</f>
        <v/>
      </c>
      <c r="E884">
        <f>IF($A884="","",IF(OR($B884="",$C884="",$D884="",$B884&lt;1300,$B884&gt;1500,$C884&lt;1,$C884&gt;12,$D884&lt;1,$D884&gt;31),"نامعتبر",RIGHT("0000"&amp;$B884,4)&amp;"/"&amp;RIGHT("00"&amp;$C884,2)&amp;"/"&amp;RIGHT("00"&amp;$D884,2)))</f>
        <v/>
      </c>
      <c r="F884">
        <f>IF(OR($E884="",$E884="نامعتبر"),"",IF(Sync!$Q881="","0000",IF(AND(ISNUMBER(Sync!$Q881),Sync!$Q881&gt;=0,Sync!$Q881&lt;1),RIGHT("00"&amp;HOUR(Sync!$Q881),2)&amp;RIGHT("00"&amp;MINUTE(Sync!$Q881),2),IFERROR(RIGHT("00"&amp;VALUE(LEFT(Sync!$Q881,FIND(":",Sync!$Q881)-1)),2)&amp;RIGHT("00"&amp;VALUE(MID(Sync!$Q881,FIND(":",Sync!$Q881)+1,2)),2),"0000"))))</f>
        <v/>
      </c>
      <c r="G884">
        <f>IF(OR($E884="",$E884="نامعتبر"),"",IF(Sync!$S881="","",Sync!$S881))</f>
        <v/>
      </c>
      <c r="H884">
        <f>IF(OR($E884="",$E884="نامعتبر"),"",IF(Sync!$R881="","",Sync!$R881))</f>
        <v/>
      </c>
      <c r="I884">
        <f>IF(OR($E884="",$E884="نامعتبر"),"",IF(Sync!$T881="","",Sync!$T881))</f>
        <v/>
      </c>
      <c r="J884">
        <f>IF(OR($E884="",$E884="نامعتبر"),"",IF(Sync!$U881="","",Sync!$U881))</f>
        <v/>
      </c>
      <c r="K884">
        <f>IF(OR($E884="",$E884="نامعتبر"),"",IF(Sync!$V881="","",IFERROR(INDEX(SubCodes,MATCH(Sync!$V881,SubTitles,0)),Sync!$V881)))</f>
        <v/>
      </c>
      <c r="L884">
        <f>IF(OR($E884="",$E884="نامعتبر"),"",IF(Sync!$W881="",0,Sync!$W881))</f>
        <v/>
      </c>
      <c r="M884">
        <f>IF(OR($E884="",$E884="نامعتبر"),"",IF(Sync!$X881="",0,Sync!$X881))</f>
        <v/>
      </c>
      <c r="N884">
        <f>IF(OR($E884="",$E884="نامعتبر"),"",IF(AND($J884="هزینه",$K884&lt;&gt;""),1,0))</f>
        <v/>
      </c>
      <c r="O884">
        <f>IF($N884=0,"",LEFT($E884,4)&amp;MID($E884,6,2)&amp;RIGHT($E884,2)&amp;$F884&amp;"|"&amp;"1"&amp;RIGHT("00000"&amp;876,5))</f>
        <v/>
      </c>
      <c r="P884">
        <f>IF($O884="","",COUNTIFS(ExpSub,$K884,ExpKey,"&lt;"&amp;$O884)+1)</f>
        <v/>
      </c>
      <c r="Q884">
        <f>IF($P884="","",$K884&amp;"|"&amp;RIGHT("000000"&amp;$P884,6))</f>
        <v/>
      </c>
    </row>
    <row r="885">
      <c r="A885">
        <f>IF(Sync!$P882="","",Sync!$P882)</f>
        <v/>
      </c>
      <c r="B885">
        <f>IF($A885="","",IF(ISNUMBER($A885),IF(AND($A885&gt;=10000101,$A885&lt;=99991231),INT($A885/10000),""),IFERROR(VALUE(TRIM(LEFT($A885,FIND("/",$A885)-1))),"")))</f>
        <v/>
      </c>
      <c r="C885">
        <f>IF(OR($A885="",$B885=""),"",IF(ISNUMBER($A885),INT(MOD($A885,10000)/100),IFERROR(VALUE(TRIM(LEFT(MID($A885,FIND("/",$A885)+1,20),FIND("/",MID($A885,FIND("/",$A885)+1,20))-1))),"")))</f>
        <v/>
      </c>
      <c r="D885">
        <f>IF(OR($A885="",$B885=""),"",IF(ISNUMBER($A885),MOD($A885,100),IFERROR(VALUE(TRIM(MID(MID($A885,FIND("/",$A885)+1,20),FIND("/",MID($A885,FIND("/",$A885)+1,20))+1,20))),"")))</f>
        <v/>
      </c>
      <c r="E885">
        <f>IF($A885="","",IF(OR($B885="",$C885="",$D885="",$B885&lt;1300,$B885&gt;1500,$C885&lt;1,$C885&gt;12,$D885&lt;1,$D885&gt;31),"نامعتبر",RIGHT("0000"&amp;$B885,4)&amp;"/"&amp;RIGHT("00"&amp;$C885,2)&amp;"/"&amp;RIGHT("00"&amp;$D885,2)))</f>
        <v/>
      </c>
      <c r="F885">
        <f>IF(OR($E885="",$E885="نامعتبر"),"",IF(Sync!$Q882="","0000",IF(AND(ISNUMBER(Sync!$Q882),Sync!$Q882&gt;=0,Sync!$Q882&lt;1),RIGHT("00"&amp;HOUR(Sync!$Q882),2)&amp;RIGHT("00"&amp;MINUTE(Sync!$Q882),2),IFERROR(RIGHT("00"&amp;VALUE(LEFT(Sync!$Q882,FIND(":",Sync!$Q882)-1)),2)&amp;RIGHT("00"&amp;VALUE(MID(Sync!$Q882,FIND(":",Sync!$Q882)+1,2)),2),"0000"))))</f>
        <v/>
      </c>
      <c r="G885">
        <f>IF(OR($E885="",$E885="نامعتبر"),"",IF(Sync!$S882="","",Sync!$S882))</f>
        <v/>
      </c>
      <c r="H885">
        <f>IF(OR($E885="",$E885="نامعتبر"),"",IF(Sync!$R882="","",Sync!$R882))</f>
        <v/>
      </c>
      <c r="I885">
        <f>IF(OR($E885="",$E885="نامعتبر"),"",IF(Sync!$T882="","",Sync!$T882))</f>
        <v/>
      </c>
      <c r="J885">
        <f>IF(OR($E885="",$E885="نامعتبر"),"",IF(Sync!$U882="","",Sync!$U882))</f>
        <v/>
      </c>
      <c r="K885">
        <f>IF(OR($E885="",$E885="نامعتبر"),"",IF(Sync!$V882="","",IFERROR(INDEX(SubCodes,MATCH(Sync!$V882,SubTitles,0)),Sync!$V882)))</f>
        <v/>
      </c>
      <c r="L885">
        <f>IF(OR($E885="",$E885="نامعتبر"),"",IF(Sync!$W882="",0,Sync!$W882))</f>
        <v/>
      </c>
      <c r="M885">
        <f>IF(OR($E885="",$E885="نامعتبر"),"",IF(Sync!$X882="",0,Sync!$X882))</f>
        <v/>
      </c>
      <c r="N885">
        <f>IF(OR($E885="",$E885="نامعتبر"),"",IF(AND($J885="هزینه",$K885&lt;&gt;""),1,0))</f>
        <v/>
      </c>
      <c r="O885">
        <f>IF($N885=0,"",LEFT($E885,4)&amp;MID($E885,6,2)&amp;RIGHT($E885,2)&amp;$F885&amp;"|"&amp;"1"&amp;RIGHT("00000"&amp;877,5))</f>
        <v/>
      </c>
      <c r="P885">
        <f>IF($O885="","",COUNTIFS(ExpSub,$K885,ExpKey,"&lt;"&amp;$O885)+1)</f>
        <v/>
      </c>
      <c r="Q885">
        <f>IF($P885="","",$K885&amp;"|"&amp;RIGHT("000000"&amp;$P885,6))</f>
        <v/>
      </c>
    </row>
    <row r="886">
      <c r="A886">
        <f>IF(Sync!$P883="","",Sync!$P883)</f>
        <v/>
      </c>
      <c r="B886">
        <f>IF($A886="","",IF(ISNUMBER($A886),IF(AND($A886&gt;=10000101,$A886&lt;=99991231),INT($A886/10000),""),IFERROR(VALUE(TRIM(LEFT($A886,FIND("/",$A886)-1))),"")))</f>
        <v/>
      </c>
      <c r="C886">
        <f>IF(OR($A886="",$B886=""),"",IF(ISNUMBER($A886),INT(MOD($A886,10000)/100),IFERROR(VALUE(TRIM(LEFT(MID($A886,FIND("/",$A886)+1,20),FIND("/",MID($A886,FIND("/",$A886)+1,20))-1))),"")))</f>
        <v/>
      </c>
      <c r="D886">
        <f>IF(OR($A886="",$B886=""),"",IF(ISNUMBER($A886),MOD($A886,100),IFERROR(VALUE(TRIM(MID(MID($A886,FIND("/",$A886)+1,20),FIND("/",MID($A886,FIND("/",$A886)+1,20))+1,20))),"")))</f>
        <v/>
      </c>
      <c r="E886">
        <f>IF($A886="","",IF(OR($B886="",$C886="",$D886="",$B886&lt;1300,$B886&gt;1500,$C886&lt;1,$C886&gt;12,$D886&lt;1,$D886&gt;31),"نامعتبر",RIGHT("0000"&amp;$B886,4)&amp;"/"&amp;RIGHT("00"&amp;$C886,2)&amp;"/"&amp;RIGHT("00"&amp;$D886,2)))</f>
        <v/>
      </c>
      <c r="F886">
        <f>IF(OR($E886="",$E886="نامعتبر"),"",IF(Sync!$Q883="","0000",IF(AND(ISNUMBER(Sync!$Q883),Sync!$Q883&gt;=0,Sync!$Q883&lt;1),RIGHT("00"&amp;HOUR(Sync!$Q883),2)&amp;RIGHT("00"&amp;MINUTE(Sync!$Q883),2),IFERROR(RIGHT("00"&amp;VALUE(LEFT(Sync!$Q883,FIND(":",Sync!$Q883)-1)),2)&amp;RIGHT("00"&amp;VALUE(MID(Sync!$Q883,FIND(":",Sync!$Q883)+1,2)),2),"0000"))))</f>
        <v/>
      </c>
      <c r="G886">
        <f>IF(OR($E886="",$E886="نامعتبر"),"",IF(Sync!$S883="","",Sync!$S883))</f>
        <v/>
      </c>
      <c r="H886">
        <f>IF(OR($E886="",$E886="نامعتبر"),"",IF(Sync!$R883="","",Sync!$R883))</f>
        <v/>
      </c>
      <c r="I886">
        <f>IF(OR($E886="",$E886="نامعتبر"),"",IF(Sync!$T883="","",Sync!$T883))</f>
        <v/>
      </c>
      <c r="J886">
        <f>IF(OR($E886="",$E886="نامعتبر"),"",IF(Sync!$U883="","",Sync!$U883))</f>
        <v/>
      </c>
      <c r="K886">
        <f>IF(OR($E886="",$E886="نامعتبر"),"",IF(Sync!$V883="","",IFERROR(INDEX(SubCodes,MATCH(Sync!$V883,SubTitles,0)),Sync!$V883)))</f>
        <v/>
      </c>
      <c r="L886">
        <f>IF(OR($E886="",$E886="نامعتبر"),"",IF(Sync!$W883="",0,Sync!$W883))</f>
        <v/>
      </c>
      <c r="M886">
        <f>IF(OR($E886="",$E886="نامعتبر"),"",IF(Sync!$X883="",0,Sync!$X883))</f>
        <v/>
      </c>
      <c r="N886">
        <f>IF(OR($E886="",$E886="نامعتبر"),"",IF(AND($J886="هزینه",$K886&lt;&gt;""),1,0))</f>
        <v/>
      </c>
      <c r="O886">
        <f>IF($N886=0,"",LEFT($E886,4)&amp;MID($E886,6,2)&amp;RIGHT($E886,2)&amp;$F886&amp;"|"&amp;"1"&amp;RIGHT("00000"&amp;878,5))</f>
        <v/>
      </c>
      <c r="P886">
        <f>IF($O886="","",COUNTIFS(ExpSub,$K886,ExpKey,"&lt;"&amp;$O886)+1)</f>
        <v/>
      </c>
      <c r="Q886">
        <f>IF($P886="","",$K886&amp;"|"&amp;RIGHT("000000"&amp;$P886,6))</f>
        <v/>
      </c>
    </row>
    <row r="887">
      <c r="A887">
        <f>IF(Sync!$P884="","",Sync!$P884)</f>
        <v/>
      </c>
      <c r="B887">
        <f>IF($A887="","",IF(ISNUMBER($A887),IF(AND($A887&gt;=10000101,$A887&lt;=99991231),INT($A887/10000),""),IFERROR(VALUE(TRIM(LEFT($A887,FIND("/",$A887)-1))),"")))</f>
        <v/>
      </c>
      <c r="C887">
        <f>IF(OR($A887="",$B887=""),"",IF(ISNUMBER($A887),INT(MOD($A887,10000)/100),IFERROR(VALUE(TRIM(LEFT(MID($A887,FIND("/",$A887)+1,20),FIND("/",MID($A887,FIND("/",$A887)+1,20))-1))),"")))</f>
        <v/>
      </c>
      <c r="D887">
        <f>IF(OR($A887="",$B887=""),"",IF(ISNUMBER($A887),MOD($A887,100),IFERROR(VALUE(TRIM(MID(MID($A887,FIND("/",$A887)+1,20),FIND("/",MID($A887,FIND("/",$A887)+1,20))+1,20))),"")))</f>
        <v/>
      </c>
      <c r="E887">
        <f>IF($A887="","",IF(OR($B887="",$C887="",$D887="",$B887&lt;1300,$B887&gt;1500,$C887&lt;1,$C887&gt;12,$D887&lt;1,$D887&gt;31),"نامعتبر",RIGHT("0000"&amp;$B887,4)&amp;"/"&amp;RIGHT("00"&amp;$C887,2)&amp;"/"&amp;RIGHT("00"&amp;$D887,2)))</f>
        <v/>
      </c>
      <c r="F887">
        <f>IF(OR($E887="",$E887="نامعتبر"),"",IF(Sync!$Q884="","0000",IF(AND(ISNUMBER(Sync!$Q884),Sync!$Q884&gt;=0,Sync!$Q884&lt;1),RIGHT("00"&amp;HOUR(Sync!$Q884),2)&amp;RIGHT("00"&amp;MINUTE(Sync!$Q884),2),IFERROR(RIGHT("00"&amp;VALUE(LEFT(Sync!$Q884,FIND(":",Sync!$Q884)-1)),2)&amp;RIGHT("00"&amp;VALUE(MID(Sync!$Q884,FIND(":",Sync!$Q884)+1,2)),2),"0000"))))</f>
        <v/>
      </c>
      <c r="G887">
        <f>IF(OR($E887="",$E887="نامعتبر"),"",IF(Sync!$S884="","",Sync!$S884))</f>
        <v/>
      </c>
      <c r="H887">
        <f>IF(OR($E887="",$E887="نامعتبر"),"",IF(Sync!$R884="","",Sync!$R884))</f>
        <v/>
      </c>
      <c r="I887">
        <f>IF(OR($E887="",$E887="نامعتبر"),"",IF(Sync!$T884="","",Sync!$T884))</f>
        <v/>
      </c>
      <c r="J887">
        <f>IF(OR($E887="",$E887="نامعتبر"),"",IF(Sync!$U884="","",Sync!$U884))</f>
        <v/>
      </c>
      <c r="K887">
        <f>IF(OR($E887="",$E887="نامعتبر"),"",IF(Sync!$V884="","",IFERROR(INDEX(SubCodes,MATCH(Sync!$V884,SubTitles,0)),Sync!$V884)))</f>
        <v/>
      </c>
      <c r="L887">
        <f>IF(OR($E887="",$E887="نامعتبر"),"",IF(Sync!$W884="",0,Sync!$W884))</f>
        <v/>
      </c>
      <c r="M887">
        <f>IF(OR($E887="",$E887="نامعتبر"),"",IF(Sync!$X884="",0,Sync!$X884))</f>
        <v/>
      </c>
      <c r="N887">
        <f>IF(OR($E887="",$E887="نامعتبر"),"",IF(AND($J887="هزینه",$K887&lt;&gt;""),1,0))</f>
        <v/>
      </c>
      <c r="O887">
        <f>IF($N887=0,"",LEFT($E887,4)&amp;MID($E887,6,2)&amp;RIGHT($E887,2)&amp;$F887&amp;"|"&amp;"1"&amp;RIGHT("00000"&amp;879,5))</f>
        <v/>
      </c>
      <c r="P887">
        <f>IF($O887="","",COUNTIFS(ExpSub,$K887,ExpKey,"&lt;"&amp;$O887)+1)</f>
        <v/>
      </c>
      <c r="Q887">
        <f>IF($P887="","",$K887&amp;"|"&amp;RIGHT("000000"&amp;$P887,6))</f>
        <v/>
      </c>
    </row>
    <row r="888">
      <c r="A888">
        <f>IF(Sync!$P885="","",Sync!$P885)</f>
        <v/>
      </c>
      <c r="B888">
        <f>IF($A888="","",IF(ISNUMBER($A888),IF(AND($A888&gt;=10000101,$A888&lt;=99991231),INT($A888/10000),""),IFERROR(VALUE(TRIM(LEFT($A888,FIND("/",$A888)-1))),"")))</f>
        <v/>
      </c>
      <c r="C888">
        <f>IF(OR($A888="",$B888=""),"",IF(ISNUMBER($A888),INT(MOD($A888,10000)/100),IFERROR(VALUE(TRIM(LEFT(MID($A888,FIND("/",$A888)+1,20),FIND("/",MID($A888,FIND("/",$A888)+1,20))-1))),"")))</f>
        <v/>
      </c>
      <c r="D888">
        <f>IF(OR($A888="",$B888=""),"",IF(ISNUMBER($A888),MOD($A888,100),IFERROR(VALUE(TRIM(MID(MID($A888,FIND("/",$A888)+1,20),FIND("/",MID($A888,FIND("/",$A888)+1,20))+1,20))),"")))</f>
        <v/>
      </c>
      <c r="E888">
        <f>IF($A888="","",IF(OR($B888="",$C888="",$D888="",$B888&lt;1300,$B888&gt;1500,$C888&lt;1,$C888&gt;12,$D888&lt;1,$D888&gt;31),"نامعتبر",RIGHT("0000"&amp;$B888,4)&amp;"/"&amp;RIGHT("00"&amp;$C888,2)&amp;"/"&amp;RIGHT("00"&amp;$D888,2)))</f>
        <v/>
      </c>
      <c r="F888">
        <f>IF(OR($E888="",$E888="نامعتبر"),"",IF(Sync!$Q885="","0000",IF(AND(ISNUMBER(Sync!$Q885),Sync!$Q885&gt;=0,Sync!$Q885&lt;1),RIGHT("00"&amp;HOUR(Sync!$Q885),2)&amp;RIGHT("00"&amp;MINUTE(Sync!$Q885),2),IFERROR(RIGHT("00"&amp;VALUE(LEFT(Sync!$Q885,FIND(":",Sync!$Q885)-1)),2)&amp;RIGHT("00"&amp;VALUE(MID(Sync!$Q885,FIND(":",Sync!$Q885)+1,2)),2),"0000"))))</f>
        <v/>
      </c>
      <c r="G888">
        <f>IF(OR($E888="",$E888="نامعتبر"),"",IF(Sync!$S885="","",Sync!$S885))</f>
        <v/>
      </c>
      <c r="H888">
        <f>IF(OR($E888="",$E888="نامعتبر"),"",IF(Sync!$R885="","",Sync!$R885))</f>
        <v/>
      </c>
      <c r="I888">
        <f>IF(OR($E888="",$E888="نامعتبر"),"",IF(Sync!$T885="","",Sync!$T885))</f>
        <v/>
      </c>
      <c r="J888">
        <f>IF(OR($E888="",$E888="نامعتبر"),"",IF(Sync!$U885="","",Sync!$U885))</f>
        <v/>
      </c>
      <c r="K888">
        <f>IF(OR($E888="",$E888="نامعتبر"),"",IF(Sync!$V885="","",IFERROR(INDEX(SubCodes,MATCH(Sync!$V885,SubTitles,0)),Sync!$V885)))</f>
        <v/>
      </c>
      <c r="L888">
        <f>IF(OR($E888="",$E888="نامعتبر"),"",IF(Sync!$W885="",0,Sync!$W885))</f>
        <v/>
      </c>
      <c r="M888">
        <f>IF(OR($E888="",$E888="نامعتبر"),"",IF(Sync!$X885="",0,Sync!$X885))</f>
        <v/>
      </c>
      <c r="N888">
        <f>IF(OR($E888="",$E888="نامعتبر"),"",IF(AND($J888="هزینه",$K888&lt;&gt;""),1,0))</f>
        <v/>
      </c>
      <c r="O888">
        <f>IF($N888=0,"",LEFT($E888,4)&amp;MID($E888,6,2)&amp;RIGHT($E888,2)&amp;$F888&amp;"|"&amp;"1"&amp;RIGHT("00000"&amp;880,5))</f>
        <v/>
      </c>
      <c r="P888">
        <f>IF($O888="","",COUNTIFS(ExpSub,$K888,ExpKey,"&lt;"&amp;$O888)+1)</f>
        <v/>
      </c>
      <c r="Q888">
        <f>IF($P888="","",$K888&amp;"|"&amp;RIGHT("000000"&amp;$P888,6))</f>
        <v/>
      </c>
    </row>
    <row r="889">
      <c r="A889">
        <f>IF(Sync!$P886="","",Sync!$P886)</f>
        <v/>
      </c>
      <c r="B889">
        <f>IF($A889="","",IF(ISNUMBER($A889),IF(AND($A889&gt;=10000101,$A889&lt;=99991231),INT($A889/10000),""),IFERROR(VALUE(TRIM(LEFT($A889,FIND("/",$A889)-1))),"")))</f>
        <v/>
      </c>
      <c r="C889">
        <f>IF(OR($A889="",$B889=""),"",IF(ISNUMBER($A889),INT(MOD($A889,10000)/100),IFERROR(VALUE(TRIM(LEFT(MID($A889,FIND("/",$A889)+1,20),FIND("/",MID($A889,FIND("/",$A889)+1,20))-1))),"")))</f>
        <v/>
      </c>
      <c r="D889">
        <f>IF(OR($A889="",$B889=""),"",IF(ISNUMBER($A889),MOD($A889,100),IFERROR(VALUE(TRIM(MID(MID($A889,FIND("/",$A889)+1,20),FIND("/",MID($A889,FIND("/",$A889)+1,20))+1,20))),"")))</f>
        <v/>
      </c>
      <c r="E889">
        <f>IF($A889="","",IF(OR($B889="",$C889="",$D889="",$B889&lt;1300,$B889&gt;1500,$C889&lt;1,$C889&gt;12,$D889&lt;1,$D889&gt;31),"نامعتبر",RIGHT("0000"&amp;$B889,4)&amp;"/"&amp;RIGHT("00"&amp;$C889,2)&amp;"/"&amp;RIGHT("00"&amp;$D889,2)))</f>
        <v/>
      </c>
      <c r="F889">
        <f>IF(OR($E889="",$E889="نامعتبر"),"",IF(Sync!$Q886="","0000",IF(AND(ISNUMBER(Sync!$Q886),Sync!$Q886&gt;=0,Sync!$Q886&lt;1),RIGHT("00"&amp;HOUR(Sync!$Q886),2)&amp;RIGHT("00"&amp;MINUTE(Sync!$Q886),2),IFERROR(RIGHT("00"&amp;VALUE(LEFT(Sync!$Q886,FIND(":",Sync!$Q886)-1)),2)&amp;RIGHT("00"&amp;VALUE(MID(Sync!$Q886,FIND(":",Sync!$Q886)+1,2)),2),"0000"))))</f>
        <v/>
      </c>
      <c r="G889">
        <f>IF(OR($E889="",$E889="نامعتبر"),"",IF(Sync!$S886="","",Sync!$S886))</f>
        <v/>
      </c>
      <c r="H889">
        <f>IF(OR($E889="",$E889="نامعتبر"),"",IF(Sync!$R886="","",Sync!$R886))</f>
        <v/>
      </c>
      <c r="I889">
        <f>IF(OR($E889="",$E889="نامعتبر"),"",IF(Sync!$T886="","",Sync!$T886))</f>
        <v/>
      </c>
      <c r="J889">
        <f>IF(OR($E889="",$E889="نامعتبر"),"",IF(Sync!$U886="","",Sync!$U886))</f>
        <v/>
      </c>
      <c r="K889">
        <f>IF(OR($E889="",$E889="نامعتبر"),"",IF(Sync!$V886="","",IFERROR(INDEX(SubCodes,MATCH(Sync!$V886,SubTitles,0)),Sync!$V886)))</f>
        <v/>
      </c>
      <c r="L889">
        <f>IF(OR($E889="",$E889="نامعتبر"),"",IF(Sync!$W886="",0,Sync!$W886))</f>
        <v/>
      </c>
      <c r="M889">
        <f>IF(OR($E889="",$E889="نامعتبر"),"",IF(Sync!$X886="",0,Sync!$X886))</f>
        <v/>
      </c>
      <c r="N889">
        <f>IF(OR($E889="",$E889="نامعتبر"),"",IF(AND($J889="هزینه",$K889&lt;&gt;""),1,0))</f>
        <v/>
      </c>
      <c r="O889">
        <f>IF($N889=0,"",LEFT($E889,4)&amp;MID($E889,6,2)&amp;RIGHT($E889,2)&amp;$F889&amp;"|"&amp;"1"&amp;RIGHT("00000"&amp;881,5))</f>
        <v/>
      </c>
      <c r="P889">
        <f>IF($O889="","",COUNTIFS(ExpSub,$K889,ExpKey,"&lt;"&amp;$O889)+1)</f>
        <v/>
      </c>
      <c r="Q889">
        <f>IF($P889="","",$K889&amp;"|"&amp;RIGHT("000000"&amp;$P889,6))</f>
        <v/>
      </c>
    </row>
    <row r="890">
      <c r="A890">
        <f>IF(Sync!$P887="","",Sync!$P887)</f>
        <v/>
      </c>
      <c r="B890">
        <f>IF($A890="","",IF(ISNUMBER($A890),IF(AND($A890&gt;=10000101,$A890&lt;=99991231),INT($A890/10000),""),IFERROR(VALUE(TRIM(LEFT($A890,FIND("/",$A890)-1))),"")))</f>
        <v/>
      </c>
      <c r="C890">
        <f>IF(OR($A890="",$B890=""),"",IF(ISNUMBER($A890),INT(MOD($A890,10000)/100),IFERROR(VALUE(TRIM(LEFT(MID($A890,FIND("/",$A890)+1,20),FIND("/",MID($A890,FIND("/",$A890)+1,20))-1))),"")))</f>
        <v/>
      </c>
      <c r="D890">
        <f>IF(OR($A890="",$B890=""),"",IF(ISNUMBER($A890),MOD($A890,100),IFERROR(VALUE(TRIM(MID(MID($A890,FIND("/",$A890)+1,20),FIND("/",MID($A890,FIND("/",$A890)+1,20))+1,20))),"")))</f>
        <v/>
      </c>
      <c r="E890">
        <f>IF($A890="","",IF(OR($B890="",$C890="",$D890="",$B890&lt;1300,$B890&gt;1500,$C890&lt;1,$C890&gt;12,$D890&lt;1,$D890&gt;31),"نامعتبر",RIGHT("0000"&amp;$B890,4)&amp;"/"&amp;RIGHT("00"&amp;$C890,2)&amp;"/"&amp;RIGHT("00"&amp;$D890,2)))</f>
        <v/>
      </c>
      <c r="F890">
        <f>IF(OR($E890="",$E890="نامعتبر"),"",IF(Sync!$Q887="","0000",IF(AND(ISNUMBER(Sync!$Q887),Sync!$Q887&gt;=0,Sync!$Q887&lt;1),RIGHT("00"&amp;HOUR(Sync!$Q887),2)&amp;RIGHT("00"&amp;MINUTE(Sync!$Q887),2),IFERROR(RIGHT("00"&amp;VALUE(LEFT(Sync!$Q887,FIND(":",Sync!$Q887)-1)),2)&amp;RIGHT("00"&amp;VALUE(MID(Sync!$Q887,FIND(":",Sync!$Q887)+1,2)),2),"0000"))))</f>
        <v/>
      </c>
      <c r="G890">
        <f>IF(OR($E890="",$E890="نامعتبر"),"",IF(Sync!$S887="","",Sync!$S887))</f>
        <v/>
      </c>
      <c r="H890">
        <f>IF(OR($E890="",$E890="نامعتبر"),"",IF(Sync!$R887="","",Sync!$R887))</f>
        <v/>
      </c>
      <c r="I890">
        <f>IF(OR($E890="",$E890="نامعتبر"),"",IF(Sync!$T887="","",Sync!$T887))</f>
        <v/>
      </c>
      <c r="J890">
        <f>IF(OR($E890="",$E890="نامعتبر"),"",IF(Sync!$U887="","",Sync!$U887))</f>
        <v/>
      </c>
      <c r="K890">
        <f>IF(OR($E890="",$E890="نامعتبر"),"",IF(Sync!$V887="","",IFERROR(INDEX(SubCodes,MATCH(Sync!$V887,SubTitles,0)),Sync!$V887)))</f>
        <v/>
      </c>
      <c r="L890">
        <f>IF(OR($E890="",$E890="نامعتبر"),"",IF(Sync!$W887="",0,Sync!$W887))</f>
        <v/>
      </c>
      <c r="M890">
        <f>IF(OR($E890="",$E890="نامعتبر"),"",IF(Sync!$X887="",0,Sync!$X887))</f>
        <v/>
      </c>
      <c r="N890">
        <f>IF(OR($E890="",$E890="نامعتبر"),"",IF(AND($J890="هزینه",$K890&lt;&gt;""),1,0))</f>
        <v/>
      </c>
      <c r="O890">
        <f>IF($N890=0,"",LEFT($E890,4)&amp;MID($E890,6,2)&amp;RIGHT($E890,2)&amp;$F890&amp;"|"&amp;"1"&amp;RIGHT("00000"&amp;882,5))</f>
        <v/>
      </c>
      <c r="P890">
        <f>IF($O890="","",COUNTIFS(ExpSub,$K890,ExpKey,"&lt;"&amp;$O890)+1)</f>
        <v/>
      </c>
      <c r="Q890">
        <f>IF($P890="","",$K890&amp;"|"&amp;RIGHT("000000"&amp;$P890,6))</f>
        <v/>
      </c>
    </row>
    <row r="891">
      <c r="A891">
        <f>IF(Sync!$P888="","",Sync!$P888)</f>
        <v/>
      </c>
      <c r="B891">
        <f>IF($A891="","",IF(ISNUMBER($A891),IF(AND($A891&gt;=10000101,$A891&lt;=99991231),INT($A891/10000),""),IFERROR(VALUE(TRIM(LEFT($A891,FIND("/",$A891)-1))),"")))</f>
        <v/>
      </c>
      <c r="C891">
        <f>IF(OR($A891="",$B891=""),"",IF(ISNUMBER($A891),INT(MOD($A891,10000)/100),IFERROR(VALUE(TRIM(LEFT(MID($A891,FIND("/",$A891)+1,20),FIND("/",MID($A891,FIND("/",$A891)+1,20))-1))),"")))</f>
        <v/>
      </c>
      <c r="D891">
        <f>IF(OR($A891="",$B891=""),"",IF(ISNUMBER($A891),MOD($A891,100),IFERROR(VALUE(TRIM(MID(MID($A891,FIND("/",$A891)+1,20),FIND("/",MID($A891,FIND("/",$A891)+1,20))+1,20))),"")))</f>
        <v/>
      </c>
      <c r="E891">
        <f>IF($A891="","",IF(OR($B891="",$C891="",$D891="",$B891&lt;1300,$B891&gt;1500,$C891&lt;1,$C891&gt;12,$D891&lt;1,$D891&gt;31),"نامعتبر",RIGHT("0000"&amp;$B891,4)&amp;"/"&amp;RIGHT("00"&amp;$C891,2)&amp;"/"&amp;RIGHT("00"&amp;$D891,2)))</f>
        <v/>
      </c>
      <c r="F891">
        <f>IF(OR($E891="",$E891="نامعتبر"),"",IF(Sync!$Q888="","0000",IF(AND(ISNUMBER(Sync!$Q888),Sync!$Q888&gt;=0,Sync!$Q888&lt;1),RIGHT("00"&amp;HOUR(Sync!$Q888),2)&amp;RIGHT("00"&amp;MINUTE(Sync!$Q888),2),IFERROR(RIGHT("00"&amp;VALUE(LEFT(Sync!$Q888,FIND(":",Sync!$Q888)-1)),2)&amp;RIGHT("00"&amp;VALUE(MID(Sync!$Q888,FIND(":",Sync!$Q888)+1,2)),2),"0000"))))</f>
        <v/>
      </c>
      <c r="G891">
        <f>IF(OR($E891="",$E891="نامعتبر"),"",IF(Sync!$S888="","",Sync!$S888))</f>
        <v/>
      </c>
      <c r="H891">
        <f>IF(OR($E891="",$E891="نامعتبر"),"",IF(Sync!$R888="","",Sync!$R888))</f>
        <v/>
      </c>
      <c r="I891">
        <f>IF(OR($E891="",$E891="نامعتبر"),"",IF(Sync!$T888="","",Sync!$T888))</f>
        <v/>
      </c>
      <c r="J891">
        <f>IF(OR($E891="",$E891="نامعتبر"),"",IF(Sync!$U888="","",Sync!$U888))</f>
        <v/>
      </c>
      <c r="K891">
        <f>IF(OR($E891="",$E891="نامعتبر"),"",IF(Sync!$V888="","",IFERROR(INDEX(SubCodes,MATCH(Sync!$V888,SubTitles,0)),Sync!$V888)))</f>
        <v/>
      </c>
      <c r="L891">
        <f>IF(OR($E891="",$E891="نامعتبر"),"",IF(Sync!$W888="",0,Sync!$W888))</f>
        <v/>
      </c>
      <c r="M891">
        <f>IF(OR($E891="",$E891="نامعتبر"),"",IF(Sync!$X888="",0,Sync!$X888))</f>
        <v/>
      </c>
      <c r="N891">
        <f>IF(OR($E891="",$E891="نامعتبر"),"",IF(AND($J891="هزینه",$K891&lt;&gt;""),1,0))</f>
        <v/>
      </c>
      <c r="O891">
        <f>IF($N891=0,"",LEFT($E891,4)&amp;MID($E891,6,2)&amp;RIGHT($E891,2)&amp;$F891&amp;"|"&amp;"1"&amp;RIGHT("00000"&amp;883,5))</f>
        <v/>
      </c>
      <c r="P891">
        <f>IF($O891="","",COUNTIFS(ExpSub,$K891,ExpKey,"&lt;"&amp;$O891)+1)</f>
        <v/>
      </c>
      <c r="Q891">
        <f>IF($P891="","",$K891&amp;"|"&amp;RIGHT("000000"&amp;$P891,6))</f>
        <v/>
      </c>
    </row>
    <row r="892">
      <c r="A892">
        <f>IF(Sync!$P889="","",Sync!$P889)</f>
        <v/>
      </c>
      <c r="B892">
        <f>IF($A892="","",IF(ISNUMBER($A892),IF(AND($A892&gt;=10000101,$A892&lt;=99991231),INT($A892/10000),""),IFERROR(VALUE(TRIM(LEFT($A892,FIND("/",$A892)-1))),"")))</f>
        <v/>
      </c>
      <c r="C892">
        <f>IF(OR($A892="",$B892=""),"",IF(ISNUMBER($A892),INT(MOD($A892,10000)/100),IFERROR(VALUE(TRIM(LEFT(MID($A892,FIND("/",$A892)+1,20),FIND("/",MID($A892,FIND("/",$A892)+1,20))-1))),"")))</f>
        <v/>
      </c>
      <c r="D892">
        <f>IF(OR($A892="",$B892=""),"",IF(ISNUMBER($A892),MOD($A892,100),IFERROR(VALUE(TRIM(MID(MID($A892,FIND("/",$A892)+1,20),FIND("/",MID($A892,FIND("/",$A892)+1,20))+1,20))),"")))</f>
        <v/>
      </c>
      <c r="E892">
        <f>IF($A892="","",IF(OR($B892="",$C892="",$D892="",$B892&lt;1300,$B892&gt;1500,$C892&lt;1,$C892&gt;12,$D892&lt;1,$D892&gt;31),"نامعتبر",RIGHT("0000"&amp;$B892,4)&amp;"/"&amp;RIGHT("00"&amp;$C892,2)&amp;"/"&amp;RIGHT("00"&amp;$D892,2)))</f>
        <v/>
      </c>
      <c r="F892">
        <f>IF(OR($E892="",$E892="نامعتبر"),"",IF(Sync!$Q889="","0000",IF(AND(ISNUMBER(Sync!$Q889),Sync!$Q889&gt;=0,Sync!$Q889&lt;1),RIGHT("00"&amp;HOUR(Sync!$Q889),2)&amp;RIGHT("00"&amp;MINUTE(Sync!$Q889),2),IFERROR(RIGHT("00"&amp;VALUE(LEFT(Sync!$Q889,FIND(":",Sync!$Q889)-1)),2)&amp;RIGHT("00"&amp;VALUE(MID(Sync!$Q889,FIND(":",Sync!$Q889)+1,2)),2),"0000"))))</f>
        <v/>
      </c>
      <c r="G892">
        <f>IF(OR($E892="",$E892="نامعتبر"),"",IF(Sync!$S889="","",Sync!$S889))</f>
        <v/>
      </c>
      <c r="H892">
        <f>IF(OR($E892="",$E892="نامعتبر"),"",IF(Sync!$R889="","",Sync!$R889))</f>
        <v/>
      </c>
      <c r="I892">
        <f>IF(OR($E892="",$E892="نامعتبر"),"",IF(Sync!$T889="","",Sync!$T889))</f>
        <v/>
      </c>
      <c r="J892">
        <f>IF(OR($E892="",$E892="نامعتبر"),"",IF(Sync!$U889="","",Sync!$U889))</f>
        <v/>
      </c>
      <c r="K892">
        <f>IF(OR($E892="",$E892="نامعتبر"),"",IF(Sync!$V889="","",IFERROR(INDEX(SubCodes,MATCH(Sync!$V889,SubTitles,0)),Sync!$V889)))</f>
        <v/>
      </c>
      <c r="L892">
        <f>IF(OR($E892="",$E892="نامعتبر"),"",IF(Sync!$W889="",0,Sync!$W889))</f>
        <v/>
      </c>
      <c r="M892">
        <f>IF(OR($E892="",$E892="نامعتبر"),"",IF(Sync!$X889="",0,Sync!$X889))</f>
        <v/>
      </c>
      <c r="N892">
        <f>IF(OR($E892="",$E892="نامعتبر"),"",IF(AND($J892="هزینه",$K892&lt;&gt;""),1,0))</f>
        <v/>
      </c>
      <c r="O892">
        <f>IF($N892=0,"",LEFT($E892,4)&amp;MID($E892,6,2)&amp;RIGHT($E892,2)&amp;$F892&amp;"|"&amp;"1"&amp;RIGHT("00000"&amp;884,5))</f>
        <v/>
      </c>
      <c r="P892">
        <f>IF($O892="","",COUNTIFS(ExpSub,$K892,ExpKey,"&lt;"&amp;$O892)+1)</f>
        <v/>
      </c>
      <c r="Q892">
        <f>IF($P892="","",$K892&amp;"|"&amp;RIGHT("000000"&amp;$P892,6))</f>
        <v/>
      </c>
    </row>
    <row r="893">
      <c r="A893">
        <f>IF(Sync!$P890="","",Sync!$P890)</f>
        <v/>
      </c>
      <c r="B893">
        <f>IF($A893="","",IF(ISNUMBER($A893),IF(AND($A893&gt;=10000101,$A893&lt;=99991231),INT($A893/10000),""),IFERROR(VALUE(TRIM(LEFT($A893,FIND("/",$A893)-1))),"")))</f>
        <v/>
      </c>
      <c r="C893">
        <f>IF(OR($A893="",$B893=""),"",IF(ISNUMBER($A893),INT(MOD($A893,10000)/100),IFERROR(VALUE(TRIM(LEFT(MID($A893,FIND("/",$A893)+1,20),FIND("/",MID($A893,FIND("/",$A893)+1,20))-1))),"")))</f>
        <v/>
      </c>
      <c r="D893">
        <f>IF(OR($A893="",$B893=""),"",IF(ISNUMBER($A893),MOD($A893,100),IFERROR(VALUE(TRIM(MID(MID($A893,FIND("/",$A893)+1,20),FIND("/",MID($A893,FIND("/",$A893)+1,20))+1,20))),"")))</f>
        <v/>
      </c>
      <c r="E893">
        <f>IF($A893="","",IF(OR($B893="",$C893="",$D893="",$B893&lt;1300,$B893&gt;1500,$C893&lt;1,$C893&gt;12,$D893&lt;1,$D893&gt;31),"نامعتبر",RIGHT("0000"&amp;$B893,4)&amp;"/"&amp;RIGHT("00"&amp;$C893,2)&amp;"/"&amp;RIGHT("00"&amp;$D893,2)))</f>
        <v/>
      </c>
      <c r="F893">
        <f>IF(OR($E893="",$E893="نامعتبر"),"",IF(Sync!$Q890="","0000",IF(AND(ISNUMBER(Sync!$Q890),Sync!$Q890&gt;=0,Sync!$Q890&lt;1),RIGHT("00"&amp;HOUR(Sync!$Q890),2)&amp;RIGHT("00"&amp;MINUTE(Sync!$Q890),2),IFERROR(RIGHT("00"&amp;VALUE(LEFT(Sync!$Q890,FIND(":",Sync!$Q890)-1)),2)&amp;RIGHT("00"&amp;VALUE(MID(Sync!$Q890,FIND(":",Sync!$Q890)+1,2)),2),"0000"))))</f>
        <v/>
      </c>
      <c r="G893">
        <f>IF(OR($E893="",$E893="نامعتبر"),"",IF(Sync!$S890="","",Sync!$S890))</f>
        <v/>
      </c>
      <c r="H893">
        <f>IF(OR($E893="",$E893="نامعتبر"),"",IF(Sync!$R890="","",Sync!$R890))</f>
        <v/>
      </c>
      <c r="I893">
        <f>IF(OR($E893="",$E893="نامعتبر"),"",IF(Sync!$T890="","",Sync!$T890))</f>
        <v/>
      </c>
      <c r="J893">
        <f>IF(OR($E893="",$E893="نامعتبر"),"",IF(Sync!$U890="","",Sync!$U890))</f>
        <v/>
      </c>
      <c r="K893">
        <f>IF(OR($E893="",$E893="نامعتبر"),"",IF(Sync!$V890="","",IFERROR(INDEX(SubCodes,MATCH(Sync!$V890,SubTitles,0)),Sync!$V890)))</f>
        <v/>
      </c>
      <c r="L893">
        <f>IF(OR($E893="",$E893="نامعتبر"),"",IF(Sync!$W890="",0,Sync!$W890))</f>
        <v/>
      </c>
      <c r="M893">
        <f>IF(OR($E893="",$E893="نامعتبر"),"",IF(Sync!$X890="",0,Sync!$X890))</f>
        <v/>
      </c>
      <c r="N893">
        <f>IF(OR($E893="",$E893="نامعتبر"),"",IF(AND($J893="هزینه",$K893&lt;&gt;""),1,0))</f>
        <v/>
      </c>
      <c r="O893">
        <f>IF($N893=0,"",LEFT($E893,4)&amp;MID($E893,6,2)&amp;RIGHT($E893,2)&amp;$F893&amp;"|"&amp;"1"&amp;RIGHT("00000"&amp;885,5))</f>
        <v/>
      </c>
      <c r="P893">
        <f>IF($O893="","",COUNTIFS(ExpSub,$K893,ExpKey,"&lt;"&amp;$O893)+1)</f>
        <v/>
      </c>
      <c r="Q893">
        <f>IF($P893="","",$K893&amp;"|"&amp;RIGHT("000000"&amp;$P893,6))</f>
        <v/>
      </c>
    </row>
    <row r="894">
      <c r="A894">
        <f>IF(Sync!$P891="","",Sync!$P891)</f>
        <v/>
      </c>
      <c r="B894">
        <f>IF($A894="","",IF(ISNUMBER($A894),IF(AND($A894&gt;=10000101,$A894&lt;=99991231),INT($A894/10000),""),IFERROR(VALUE(TRIM(LEFT($A894,FIND("/",$A894)-1))),"")))</f>
        <v/>
      </c>
      <c r="C894">
        <f>IF(OR($A894="",$B894=""),"",IF(ISNUMBER($A894),INT(MOD($A894,10000)/100),IFERROR(VALUE(TRIM(LEFT(MID($A894,FIND("/",$A894)+1,20),FIND("/",MID($A894,FIND("/",$A894)+1,20))-1))),"")))</f>
        <v/>
      </c>
      <c r="D894">
        <f>IF(OR($A894="",$B894=""),"",IF(ISNUMBER($A894),MOD($A894,100),IFERROR(VALUE(TRIM(MID(MID($A894,FIND("/",$A894)+1,20),FIND("/",MID($A894,FIND("/",$A894)+1,20))+1,20))),"")))</f>
        <v/>
      </c>
      <c r="E894">
        <f>IF($A894="","",IF(OR($B894="",$C894="",$D894="",$B894&lt;1300,$B894&gt;1500,$C894&lt;1,$C894&gt;12,$D894&lt;1,$D894&gt;31),"نامعتبر",RIGHT("0000"&amp;$B894,4)&amp;"/"&amp;RIGHT("00"&amp;$C894,2)&amp;"/"&amp;RIGHT("00"&amp;$D894,2)))</f>
        <v/>
      </c>
      <c r="F894">
        <f>IF(OR($E894="",$E894="نامعتبر"),"",IF(Sync!$Q891="","0000",IF(AND(ISNUMBER(Sync!$Q891),Sync!$Q891&gt;=0,Sync!$Q891&lt;1),RIGHT("00"&amp;HOUR(Sync!$Q891),2)&amp;RIGHT("00"&amp;MINUTE(Sync!$Q891),2),IFERROR(RIGHT("00"&amp;VALUE(LEFT(Sync!$Q891,FIND(":",Sync!$Q891)-1)),2)&amp;RIGHT("00"&amp;VALUE(MID(Sync!$Q891,FIND(":",Sync!$Q891)+1,2)),2),"0000"))))</f>
        <v/>
      </c>
      <c r="G894">
        <f>IF(OR($E894="",$E894="نامعتبر"),"",IF(Sync!$S891="","",Sync!$S891))</f>
        <v/>
      </c>
      <c r="H894">
        <f>IF(OR($E894="",$E894="نامعتبر"),"",IF(Sync!$R891="","",Sync!$R891))</f>
        <v/>
      </c>
      <c r="I894">
        <f>IF(OR($E894="",$E894="نامعتبر"),"",IF(Sync!$T891="","",Sync!$T891))</f>
        <v/>
      </c>
      <c r="J894">
        <f>IF(OR($E894="",$E894="نامعتبر"),"",IF(Sync!$U891="","",Sync!$U891))</f>
        <v/>
      </c>
      <c r="K894">
        <f>IF(OR($E894="",$E894="نامعتبر"),"",IF(Sync!$V891="","",IFERROR(INDEX(SubCodes,MATCH(Sync!$V891,SubTitles,0)),Sync!$V891)))</f>
        <v/>
      </c>
      <c r="L894">
        <f>IF(OR($E894="",$E894="نامعتبر"),"",IF(Sync!$W891="",0,Sync!$W891))</f>
        <v/>
      </c>
      <c r="M894">
        <f>IF(OR($E894="",$E894="نامعتبر"),"",IF(Sync!$X891="",0,Sync!$X891))</f>
        <v/>
      </c>
      <c r="N894">
        <f>IF(OR($E894="",$E894="نامعتبر"),"",IF(AND($J894="هزینه",$K894&lt;&gt;""),1,0))</f>
        <v/>
      </c>
      <c r="O894">
        <f>IF($N894=0,"",LEFT($E894,4)&amp;MID($E894,6,2)&amp;RIGHT($E894,2)&amp;$F894&amp;"|"&amp;"1"&amp;RIGHT("00000"&amp;886,5))</f>
        <v/>
      </c>
      <c r="P894">
        <f>IF($O894="","",COUNTIFS(ExpSub,$K894,ExpKey,"&lt;"&amp;$O894)+1)</f>
        <v/>
      </c>
      <c r="Q894">
        <f>IF($P894="","",$K894&amp;"|"&amp;RIGHT("000000"&amp;$P894,6))</f>
        <v/>
      </c>
    </row>
    <row r="895">
      <c r="A895">
        <f>IF(Sync!$P892="","",Sync!$P892)</f>
        <v/>
      </c>
      <c r="B895">
        <f>IF($A895="","",IF(ISNUMBER($A895),IF(AND($A895&gt;=10000101,$A895&lt;=99991231),INT($A895/10000),""),IFERROR(VALUE(TRIM(LEFT($A895,FIND("/",$A895)-1))),"")))</f>
        <v/>
      </c>
      <c r="C895">
        <f>IF(OR($A895="",$B895=""),"",IF(ISNUMBER($A895),INT(MOD($A895,10000)/100),IFERROR(VALUE(TRIM(LEFT(MID($A895,FIND("/",$A895)+1,20),FIND("/",MID($A895,FIND("/",$A895)+1,20))-1))),"")))</f>
        <v/>
      </c>
      <c r="D895">
        <f>IF(OR($A895="",$B895=""),"",IF(ISNUMBER($A895),MOD($A895,100),IFERROR(VALUE(TRIM(MID(MID($A895,FIND("/",$A895)+1,20),FIND("/",MID($A895,FIND("/",$A895)+1,20))+1,20))),"")))</f>
        <v/>
      </c>
      <c r="E895">
        <f>IF($A895="","",IF(OR($B895="",$C895="",$D895="",$B895&lt;1300,$B895&gt;1500,$C895&lt;1,$C895&gt;12,$D895&lt;1,$D895&gt;31),"نامعتبر",RIGHT("0000"&amp;$B895,4)&amp;"/"&amp;RIGHT("00"&amp;$C895,2)&amp;"/"&amp;RIGHT("00"&amp;$D895,2)))</f>
        <v/>
      </c>
      <c r="F895">
        <f>IF(OR($E895="",$E895="نامعتبر"),"",IF(Sync!$Q892="","0000",IF(AND(ISNUMBER(Sync!$Q892),Sync!$Q892&gt;=0,Sync!$Q892&lt;1),RIGHT("00"&amp;HOUR(Sync!$Q892),2)&amp;RIGHT("00"&amp;MINUTE(Sync!$Q892),2),IFERROR(RIGHT("00"&amp;VALUE(LEFT(Sync!$Q892,FIND(":",Sync!$Q892)-1)),2)&amp;RIGHT("00"&amp;VALUE(MID(Sync!$Q892,FIND(":",Sync!$Q892)+1,2)),2),"0000"))))</f>
        <v/>
      </c>
      <c r="G895">
        <f>IF(OR($E895="",$E895="نامعتبر"),"",IF(Sync!$S892="","",Sync!$S892))</f>
        <v/>
      </c>
      <c r="H895">
        <f>IF(OR($E895="",$E895="نامعتبر"),"",IF(Sync!$R892="","",Sync!$R892))</f>
        <v/>
      </c>
      <c r="I895">
        <f>IF(OR($E895="",$E895="نامعتبر"),"",IF(Sync!$T892="","",Sync!$T892))</f>
        <v/>
      </c>
      <c r="J895">
        <f>IF(OR($E895="",$E895="نامعتبر"),"",IF(Sync!$U892="","",Sync!$U892))</f>
        <v/>
      </c>
      <c r="K895">
        <f>IF(OR($E895="",$E895="نامعتبر"),"",IF(Sync!$V892="","",IFERROR(INDEX(SubCodes,MATCH(Sync!$V892,SubTitles,0)),Sync!$V892)))</f>
        <v/>
      </c>
      <c r="L895">
        <f>IF(OR($E895="",$E895="نامعتبر"),"",IF(Sync!$W892="",0,Sync!$W892))</f>
        <v/>
      </c>
      <c r="M895">
        <f>IF(OR($E895="",$E895="نامعتبر"),"",IF(Sync!$X892="",0,Sync!$X892))</f>
        <v/>
      </c>
      <c r="N895">
        <f>IF(OR($E895="",$E895="نامعتبر"),"",IF(AND($J895="هزینه",$K895&lt;&gt;""),1,0))</f>
        <v/>
      </c>
      <c r="O895">
        <f>IF($N895=0,"",LEFT($E895,4)&amp;MID($E895,6,2)&amp;RIGHT($E895,2)&amp;$F895&amp;"|"&amp;"1"&amp;RIGHT("00000"&amp;887,5))</f>
        <v/>
      </c>
      <c r="P895">
        <f>IF($O895="","",COUNTIFS(ExpSub,$K895,ExpKey,"&lt;"&amp;$O895)+1)</f>
        <v/>
      </c>
      <c r="Q895">
        <f>IF($P895="","",$K895&amp;"|"&amp;RIGHT("000000"&amp;$P895,6))</f>
        <v/>
      </c>
    </row>
    <row r="896">
      <c r="A896">
        <f>IF(Sync!$P893="","",Sync!$P893)</f>
        <v/>
      </c>
      <c r="B896">
        <f>IF($A896="","",IF(ISNUMBER($A896),IF(AND($A896&gt;=10000101,$A896&lt;=99991231),INT($A896/10000),""),IFERROR(VALUE(TRIM(LEFT($A896,FIND("/",$A896)-1))),"")))</f>
        <v/>
      </c>
      <c r="C896">
        <f>IF(OR($A896="",$B896=""),"",IF(ISNUMBER($A896),INT(MOD($A896,10000)/100),IFERROR(VALUE(TRIM(LEFT(MID($A896,FIND("/",$A896)+1,20),FIND("/",MID($A896,FIND("/",$A896)+1,20))-1))),"")))</f>
        <v/>
      </c>
      <c r="D896">
        <f>IF(OR($A896="",$B896=""),"",IF(ISNUMBER($A896),MOD($A896,100),IFERROR(VALUE(TRIM(MID(MID($A896,FIND("/",$A896)+1,20),FIND("/",MID($A896,FIND("/",$A896)+1,20))+1,20))),"")))</f>
        <v/>
      </c>
      <c r="E896">
        <f>IF($A896="","",IF(OR($B896="",$C896="",$D896="",$B896&lt;1300,$B896&gt;1500,$C896&lt;1,$C896&gt;12,$D896&lt;1,$D896&gt;31),"نامعتبر",RIGHT("0000"&amp;$B896,4)&amp;"/"&amp;RIGHT("00"&amp;$C896,2)&amp;"/"&amp;RIGHT("00"&amp;$D896,2)))</f>
        <v/>
      </c>
      <c r="F896">
        <f>IF(OR($E896="",$E896="نامعتبر"),"",IF(Sync!$Q893="","0000",IF(AND(ISNUMBER(Sync!$Q893),Sync!$Q893&gt;=0,Sync!$Q893&lt;1),RIGHT("00"&amp;HOUR(Sync!$Q893),2)&amp;RIGHT("00"&amp;MINUTE(Sync!$Q893),2),IFERROR(RIGHT("00"&amp;VALUE(LEFT(Sync!$Q893,FIND(":",Sync!$Q893)-1)),2)&amp;RIGHT("00"&amp;VALUE(MID(Sync!$Q893,FIND(":",Sync!$Q893)+1,2)),2),"0000"))))</f>
        <v/>
      </c>
      <c r="G896">
        <f>IF(OR($E896="",$E896="نامعتبر"),"",IF(Sync!$S893="","",Sync!$S893))</f>
        <v/>
      </c>
      <c r="H896">
        <f>IF(OR($E896="",$E896="نامعتبر"),"",IF(Sync!$R893="","",Sync!$R893))</f>
        <v/>
      </c>
      <c r="I896">
        <f>IF(OR($E896="",$E896="نامعتبر"),"",IF(Sync!$T893="","",Sync!$T893))</f>
        <v/>
      </c>
      <c r="J896">
        <f>IF(OR($E896="",$E896="نامعتبر"),"",IF(Sync!$U893="","",Sync!$U893))</f>
        <v/>
      </c>
      <c r="K896">
        <f>IF(OR($E896="",$E896="نامعتبر"),"",IF(Sync!$V893="","",IFERROR(INDEX(SubCodes,MATCH(Sync!$V893,SubTitles,0)),Sync!$V893)))</f>
        <v/>
      </c>
      <c r="L896">
        <f>IF(OR($E896="",$E896="نامعتبر"),"",IF(Sync!$W893="",0,Sync!$W893))</f>
        <v/>
      </c>
      <c r="M896">
        <f>IF(OR($E896="",$E896="نامعتبر"),"",IF(Sync!$X893="",0,Sync!$X893))</f>
        <v/>
      </c>
      <c r="N896">
        <f>IF(OR($E896="",$E896="نامعتبر"),"",IF(AND($J896="هزینه",$K896&lt;&gt;""),1,0))</f>
        <v/>
      </c>
      <c r="O896">
        <f>IF($N896=0,"",LEFT($E896,4)&amp;MID($E896,6,2)&amp;RIGHT($E896,2)&amp;$F896&amp;"|"&amp;"1"&amp;RIGHT("00000"&amp;888,5))</f>
        <v/>
      </c>
      <c r="P896">
        <f>IF($O896="","",COUNTIFS(ExpSub,$K896,ExpKey,"&lt;"&amp;$O896)+1)</f>
        <v/>
      </c>
      <c r="Q896">
        <f>IF($P896="","",$K896&amp;"|"&amp;RIGHT("000000"&amp;$P896,6))</f>
        <v/>
      </c>
    </row>
    <row r="897">
      <c r="A897">
        <f>IF(Sync!$P894="","",Sync!$P894)</f>
        <v/>
      </c>
      <c r="B897">
        <f>IF($A897="","",IF(ISNUMBER($A897),IF(AND($A897&gt;=10000101,$A897&lt;=99991231),INT($A897/10000),""),IFERROR(VALUE(TRIM(LEFT($A897,FIND("/",$A897)-1))),"")))</f>
        <v/>
      </c>
      <c r="C897">
        <f>IF(OR($A897="",$B897=""),"",IF(ISNUMBER($A897),INT(MOD($A897,10000)/100),IFERROR(VALUE(TRIM(LEFT(MID($A897,FIND("/",$A897)+1,20),FIND("/",MID($A897,FIND("/",$A897)+1,20))-1))),"")))</f>
        <v/>
      </c>
      <c r="D897">
        <f>IF(OR($A897="",$B897=""),"",IF(ISNUMBER($A897),MOD($A897,100),IFERROR(VALUE(TRIM(MID(MID($A897,FIND("/",$A897)+1,20),FIND("/",MID($A897,FIND("/",$A897)+1,20))+1,20))),"")))</f>
        <v/>
      </c>
      <c r="E897">
        <f>IF($A897="","",IF(OR($B897="",$C897="",$D897="",$B897&lt;1300,$B897&gt;1500,$C897&lt;1,$C897&gt;12,$D897&lt;1,$D897&gt;31),"نامعتبر",RIGHT("0000"&amp;$B897,4)&amp;"/"&amp;RIGHT("00"&amp;$C897,2)&amp;"/"&amp;RIGHT("00"&amp;$D897,2)))</f>
        <v/>
      </c>
      <c r="F897">
        <f>IF(OR($E897="",$E897="نامعتبر"),"",IF(Sync!$Q894="","0000",IF(AND(ISNUMBER(Sync!$Q894),Sync!$Q894&gt;=0,Sync!$Q894&lt;1),RIGHT("00"&amp;HOUR(Sync!$Q894),2)&amp;RIGHT("00"&amp;MINUTE(Sync!$Q894),2),IFERROR(RIGHT("00"&amp;VALUE(LEFT(Sync!$Q894,FIND(":",Sync!$Q894)-1)),2)&amp;RIGHT("00"&amp;VALUE(MID(Sync!$Q894,FIND(":",Sync!$Q894)+1,2)),2),"0000"))))</f>
        <v/>
      </c>
      <c r="G897">
        <f>IF(OR($E897="",$E897="نامعتبر"),"",IF(Sync!$S894="","",Sync!$S894))</f>
        <v/>
      </c>
      <c r="H897">
        <f>IF(OR($E897="",$E897="نامعتبر"),"",IF(Sync!$R894="","",Sync!$R894))</f>
        <v/>
      </c>
      <c r="I897">
        <f>IF(OR($E897="",$E897="نامعتبر"),"",IF(Sync!$T894="","",Sync!$T894))</f>
        <v/>
      </c>
      <c r="J897">
        <f>IF(OR($E897="",$E897="نامعتبر"),"",IF(Sync!$U894="","",Sync!$U894))</f>
        <v/>
      </c>
      <c r="K897">
        <f>IF(OR($E897="",$E897="نامعتبر"),"",IF(Sync!$V894="","",IFERROR(INDEX(SubCodes,MATCH(Sync!$V894,SubTitles,0)),Sync!$V894)))</f>
        <v/>
      </c>
      <c r="L897">
        <f>IF(OR($E897="",$E897="نامعتبر"),"",IF(Sync!$W894="",0,Sync!$W894))</f>
        <v/>
      </c>
      <c r="M897">
        <f>IF(OR($E897="",$E897="نامعتبر"),"",IF(Sync!$X894="",0,Sync!$X894))</f>
        <v/>
      </c>
      <c r="N897">
        <f>IF(OR($E897="",$E897="نامعتبر"),"",IF(AND($J897="هزینه",$K897&lt;&gt;""),1,0))</f>
        <v/>
      </c>
      <c r="O897">
        <f>IF($N897=0,"",LEFT($E897,4)&amp;MID($E897,6,2)&amp;RIGHT($E897,2)&amp;$F897&amp;"|"&amp;"1"&amp;RIGHT("00000"&amp;889,5))</f>
        <v/>
      </c>
      <c r="P897">
        <f>IF($O897="","",COUNTIFS(ExpSub,$K897,ExpKey,"&lt;"&amp;$O897)+1)</f>
        <v/>
      </c>
      <c r="Q897">
        <f>IF($P897="","",$K897&amp;"|"&amp;RIGHT("000000"&amp;$P897,6))</f>
        <v/>
      </c>
    </row>
    <row r="898">
      <c r="A898">
        <f>IF(Sync!$P895="","",Sync!$P895)</f>
        <v/>
      </c>
      <c r="B898">
        <f>IF($A898="","",IF(ISNUMBER($A898),IF(AND($A898&gt;=10000101,$A898&lt;=99991231),INT($A898/10000),""),IFERROR(VALUE(TRIM(LEFT($A898,FIND("/",$A898)-1))),"")))</f>
        <v/>
      </c>
      <c r="C898">
        <f>IF(OR($A898="",$B898=""),"",IF(ISNUMBER($A898),INT(MOD($A898,10000)/100),IFERROR(VALUE(TRIM(LEFT(MID($A898,FIND("/",$A898)+1,20),FIND("/",MID($A898,FIND("/",$A898)+1,20))-1))),"")))</f>
        <v/>
      </c>
      <c r="D898">
        <f>IF(OR($A898="",$B898=""),"",IF(ISNUMBER($A898),MOD($A898,100),IFERROR(VALUE(TRIM(MID(MID($A898,FIND("/",$A898)+1,20),FIND("/",MID($A898,FIND("/",$A898)+1,20))+1,20))),"")))</f>
        <v/>
      </c>
      <c r="E898">
        <f>IF($A898="","",IF(OR($B898="",$C898="",$D898="",$B898&lt;1300,$B898&gt;1500,$C898&lt;1,$C898&gt;12,$D898&lt;1,$D898&gt;31),"نامعتبر",RIGHT("0000"&amp;$B898,4)&amp;"/"&amp;RIGHT("00"&amp;$C898,2)&amp;"/"&amp;RIGHT("00"&amp;$D898,2)))</f>
        <v/>
      </c>
      <c r="F898">
        <f>IF(OR($E898="",$E898="نامعتبر"),"",IF(Sync!$Q895="","0000",IF(AND(ISNUMBER(Sync!$Q895),Sync!$Q895&gt;=0,Sync!$Q895&lt;1),RIGHT("00"&amp;HOUR(Sync!$Q895),2)&amp;RIGHT("00"&amp;MINUTE(Sync!$Q895),2),IFERROR(RIGHT("00"&amp;VALUE(LEFT(Sync!$Q895,FIND(":",Sync!$Q895)-1)),2)&amp;RIGHT("00"&amp;VALUE(MID(Sync!$Q895,FIND(":",Sync!$Q895)+1,2)),2),"0000"))))</f>
        <v/>
      </c>
      <c r="G898">
        <f>IF(OR($E898="",$E898="نامعتبر"),"",IF(Sync!$S895="","",Sync!$S895))</f>
        <v/>
      </c>
      <c r="H898">
        <f>IF(OR($E898="",$E898="نامعتبر"),"",IF(Sync!$R895="","",Sync!$R895))</f>
        <v/>
      </c>
      <c r="I898">
        <f>IF(OR($E898="",$E898="نامعتبر"),"",IF(Sync!$T895="","",Sync!$T895))</f>
        <v/>
      </c>
      <c r="J898">
        <f>IF(OR($E898="",$E898="نامعتبر"),"",IF(Sync!$U895="","",Sync!$U895))</f>
        <v/>
      </c>
      <c r="K898">
        <f>IF(OR($E898="",$E898="نامعتبر"),"",IF(Sync!$V895="","",IFERROR(INDEX(SubCodes,MATCH(Sync!$V895,SubTitles,0)),Sync!$V895)))</f>
        <v/>
      </c>
      <c r="L898">
        <f>IF(OR($E898="",$E898="نامعتبر"),"",IF(Sync!$W895="",0,Sync!$W895))</f>
        <v/>
      </c>
      <c r="M898">
        <f>IF(OR($E898="",$E898="نامعتبر"),"",IF(Sync!$X895="",0,Sync!$X895))</f>
        <v/>
      </c>
      <c r="N898">
        <f>IF(OR($E898="",$E898="نامعتبر"),"",IF(AND($J898="هزینه",$K898&lt;&gt;""),1,0))</f>
        <v/>
      </c>
      <c r="O898">
        <f>IF($N898=0,"",LEFT($E898,4)&amp;MID($E898,6,2)&amp;RIGHT($E898,2)&amp;$F898&amp;"|"&amp;"1"&amp;RIGHT("00000"&amp;890,5))</f>
        <v/>
      </c>
      <c r="P898">
        <f>IF($O898="","",COUNTIFS(ExpSub,$K898,ExpKey,"&lt;"&amp;$O898)+1)</f>
        <v/>
      </c>
      <c r="Q898">
        <f>IF($P898="","",$K898&amp;"|"&amp;RIGHT("000000"&amp;$P898,6))</f>
        <v/>
      </c>
    </row>
    <row r="899">
      <c r="A899">
        <f>IF(Sync!$P896="","",Sync!$P896)</f>
        <v/>
      </c>
      <c r="B899">
        <f>IF($A899="","",IF(ISNUMBER($A899),IF(AND($A899&gt;=10000101,$A899&lt;=99991231),INT($A899/10000),""),IFERROR(VALUE(TRIM(LEFT($A899,FIND("/",$A899)-1))),"")))</f>
        <v/>
      </c>
      <c r="C899">
        <f>IF(OR($A899="",$B899=""),"",IF(ISNUMBER($A899),INT(MOD($A899,10000)/100),IFERROR(VALUE(TRIM(LEFT(MID($A899,FIND("/",$A899)+1,20),FIND("/",MID($A899,FIND("/",$A899)+1,20))-1))),"")))</f>
        <v/>
      </c>
      <c r="D899">
        <f>IF(OR($A899="",$B899=""),"",IF(ISNUMBER($A899),MOD($A899,100),IFERROR(VALUE(TRIM(MID(MID($A899,FIND("/",$A899)+1,20),FIND("/",MID($A899,FIND("/",$A899)+1,20))+1,20))),"")))</f>
        <v/>
      </c>
      <c r="E899">
        <f>IF($A899="","",IF(OR($B899="",$C899="",$D899="",$B899&lt;1300,$B899&gt;1500,$C899&lt;1,$C899&gt;12,$D899&lt;1,$D899&gt;31),"نامعتبر",RIGHT("0000"&amp;$B899,4)&amp;"/"&amp;RIGHT("00"&amp;$C899,2)&amp;"/"&amp;RIGHT("00"&amp;$D899,2)))</f>
        <v/>
      </c>
      <c r="F899">
        <f>IF(OR($E899="",$E899="نامعتبر"),"",IF(Sync!$Q896="","0000",IF(AND(ISNUMBER(Sync!$Q896),Sync!$Q896&gt;=0,Sync!$Q896&lt;1),RIGHT("00"&amp;HOUR(Sync!$Q896),2)&amp;RIGHT("00"&amp;MINUTE(Sync!$Q896),2),IFERROR(RIGHT("00"&amp;VALUE(LEFT(Sync!$Q896,FIND(":",Sync!$Q896)-1)),2)&amp;RIGHT("00"&amp;VALUE(MID(Sync!$Q896,FIND(":",Sync!$Q896)+1,2)),2),"0000"))))</f>
        <v/>
      </c>
      <c r="G899">
        <f>IF(OR($E899="",$E899="نامعتبر"),"",IF(Sync!$S896="","",Sync!$S896))</f>
        <v/>
      </c>
      <c r="H899">
        <f>IF(OR($E899="",$E899="نامعتبر"),"",IF(Sync!$R896="","",Sync!$R896))</f>
        <v/>
      </c>
      <c r="I899">
        <f>IF(OR($E899="",$E899="نامعتبر"),"",IF(Sync!$T896="","",Sync!$T896))</f>
        <v/>
      </c>
      <c r="J899">
        <f>IF(OR($E899="",$E899="نامعتبر"),"",IF(Sync!$U896="","",Sync!$U896))</f>
        <v/>
      </c>
      <c r="K899">
        <f>IF(OR($E899="",$E899="نامعتبر"),"",IF(Sync!$V896="","",IFERROR(INDEX(SubCodes,MATCH(Sync!$V896,SubTitles,0)),Sync!$V896)))</f>
        <v/>
      </c>
      <c r="L899">
        <f>IF(OR($E899="",$E899="نامعتبر"),"",IF(Sync!$W896="",0,Sync!$W896))</f>
        <v/>
      </c>
      <c r="M899">
        <f>IF(OR($E899="",$E899="نامعتبر"),"",IF(Sync!$X896="",0,Sync!$X896))</f>
        <v/>
      </c>
      <c r="N899">
        <f>IF(OR($E899="",$E899="نامعتبر"),"",IF(AND($J899="هزینه",$K899&lt;&gt;""),1,0))</f>
        <v/>
      </c>
      <c r="O899">
        <f>IF($N899=0,"",LEFT($E899,4)&amp;MID($E899,6,2)&amp;RIGHT($E899,2)&amp;$F899&amp;"|"&amp;"1"&amp;RIGHT("00000"&amp;891,5))</f>
        <v/>
      </c>
      <c r="P899">
        <f>IF($O899="","",COUNTIFS(ExpSub,$K899,ExpKey,"&lt;"&amp;$O899)+1)</f>
        <v/>
      </c>
      <c r="Q899">
        <f>IF($P899="","",$K899&amp;"|"&amp;RIGHT("000000"&amp;$P899,6))</f>
        <v/>
      </c>
    </row>
    <row r="900">
      <c r="A900">
        <f>IF(Sync!$P897="","",Sync!$P897)</f>
        <v/>
      </c>
      <c r="B900">
        <f>IF($A900="","",IF(ISNUMBER($A900),IF(AND($A900&gt;=10000101,$A900&lt;=99991231),INT($A900/10000),""),IFERROR(VALUE(TRIM(LEFT($A900,FIND("/",$A900)-1))),"")))</f>
        <v/>
      </c>
      <c r="C900">
        <f>IF(OR($A900="",$B900=""),"",IF(ISNUMBER($A900),INT(MOD($A900,10000)/100),IFERROR(VALUE(TRIM(LEFT(MID($A900,FIND("/",$A900)+1,20),FIND("/",MID($A900,FIND("/",$A900)+1,20))-1))),"")))</f>
        <v/>
      </c>
      <c r="D900">
        <f>IF(OR($A900="",$B900=""),"",IF(ISNUMBER($A900),MOD($A900,100),IFERROR(VALUE(TRIM(MID(MID($A900,FIND("/",$A900)+1,20),FIND("/",MID($A900,FIND("/",$A900)+1,20))+1,20))),"")))</f>
        <v/>
      </c>
      <c r="E900">
        <f>IF($A900="","",IF(OR($B900="",$C900="",$D900="",$B900&lt;1300,$B900&gt;1500,$C900&lt;1,$C900&gt;12,$D900&lt;1,$D900&gt;31),"نامعتبر",RIGHT("0000"&amp;$B900,4)&amp;"/"&amp;RIGHT("00"&amp;$C900,2)&amp;"/"&amp;RIGHT("00"&amp;$D900,2)))</f>
        <v/>
      </c>
      <c r="F900">
        <f>IF(OR($E900="",$E900="نامعتبر"),"",IF(Sync!$Q897="","0000",IF(AND(ISNUMBER(Sync!$Q897),Sync!$Q897&gt;=0,Sync!$Q897&lt;1),RIGHT("00"&amp;HOUR(Sync!$Q897),2)&amp;RIGHT("00"&amp;MINUTE(Sync!$Q897),2),IFERROR(RIGHT("00"&amp;VALUE(LEFT(Sync!$Q897,FIND(":",Sync!$Q897)-1)),2)&amp;RIGHT("00"&amp;VALUE(MID(Sync!$Q897,FIND(":",Sync!$Q897)+1,2)),2),"0000"))))</f>
        <v/>
      </c>
      <c r="G900">
        <f>IF(OR($E900="",$E900="نامعتبر"),"",IF(Sync!$S897="","",Sync!$S897))</f>
        <v/>
      </c>
      <c r="H900">
        <f>IF(OR($E900="",$E900="نامعتبر"),"",IF(Sync!$R897="","",Sync!$R897))</f>
        <v/>
      </c>
      <c r="I900">
        <f>IF(OR($E900="",$E900="نامعتبر"),"",IF(Sync!$T897="","",Sync!$T897))</f>
        <v/>
      </c>
      <c r="J900">
        <f>IF(OR($E900="",$E900="نامعتبر"),"",IF(Sync!$U897="","",Sync!$U897))</f>
        <v/>
      </c>
      <c r="K900">
        <f>IF(OR($E900="",$E900="نامعتبر"),"",IF(Sync!$V897="","",IFERROR(INDEX(SubCodes,MATCH(Sync!$V897,SubTitles,0)),Sync!$V897)))</f>
        <v/>
      </c>
      <c r="L900">
        <f>IF(OR($E900="",$E900="نامعتبر"),"",IF(Sync!$W897="",0,Sync!$W897))</f>
        <v/>
      </c>
      <c r="M900">
        <f>IF(OR($E900="",$E900="نامعتبر"),"",IF(Sync!$X897="",0,Sync!$X897))</f>
        <v/>
      </c>
      <c r="N900">
        <f>IF(OR($E900="",$E900="نامعتبر"),"",IF(AND($J900="هزینه",$K900&lt;&gt;""),1,0))</f>
        <v/>
      </c>
      <c r="O900">
        <f>IF($N900=0,"",LEFT($E900,4)&amp;MID($E900,6,2)&amp;RIGHT($E900,2)&amp;$F900&amp;"|"&amp;"1"&amp;RIGHT("00000"&amp;892,5))</f>
        <v/>
      </c>
      <c r="P900">
        <f>IF($O900="","",COUNTIFS(ExpSub,$K900,ExpKey,"&lt;"&amp;$O900)+1)</f>
        <v/>
      </c>
      <c r="Q900">
        <f>IF($P900="","",$K900&amp;"|"&amp;RIGHT("000000"&amp;$P900,6))</f>
        <v/>
      </c>
    </row>
    <row r="901">
      <c r="A901">
        <f>IF(Sync!$P898="","",Sync!$P898)</f>
        <v/>
      </c>
      <c r="B901">
        <f>IF($A901="","",IF(ISNUMBER($A901),IF(AND($A901&gt;=10000101,$A901&lt;=99991231),INT($A901/10000),""),IFERROR(VALUE(TRIM(LEFT($A901,FIND("/",$A901)-1))),"")))</f>
        <v/>
      </c>
      <c r="C901">
        <f>IF(OR($A901="",$B901=""),"",IF(ISNUMBER($A901),INT(MOD($A901,10000)/100),IFERROR(VALUE(TRIM(LEFT(MID($A901,FIND("/",$A901)+1,20),FIND("/",MID($A901,FIND("/",$A901)+1,20))-1))),"")))</f>
        <v/>
      </c>
      <c r="D901">
        <f>IF(OR($A901="",$B901=""),"",IF(ISNUMBER($A901),MOD($A901,100),IFERROR(VALUE(TRIM(MID(MID($A901,FIND("/",$A901)+1,20),FIND("/",MID($A901,FIND("/",$A901)+1,20))+1,20))),"")))</f>
        <v/>
      </c>
      <c r="E901">
        <f>IF($A901="","",IF(OR($B901="",$C901="",$D901="",$B901&lt;1300,$B901&gt;1500,$C901&lt;1,$C901&gt;12,$D901&lt;1,$D901&gt;31),"نامعتبر",RIGHT("0000"&amp;$B901,4)&amp;"/"&amp;RIGHT("00"&amp;$C901,2)&amp;"/"&amp;RIGHT("00"&amp;$D901,2)))</f>
        <v/>
      </c>
      <c r="F901">
        <f>IF(OR($E901="",$E901="نامعتبر"),"",IF(Sync!$Q898="","0000",IF(AND(ISNUMBER(Sync!$Q898),Sync!$Q898&gt;=0,Sync!$Q898&lt;1),RIGHT("00"&amp;HOUR(Sync!$Q898),2)&amp;RIGHT("00"&amp;MINUTE(Sync!$Q898),2),IFERROR(RIGHT("00"&amp;VALUE(LEFT(Sync!$Q898,FIND(":",Sync!$Q898)-1)),2)&amp;RIGHT("00"&amp;VALUE(MID(Sync!$Q898,FIND(":",Sync!$Q898)+1,2)),2),"0000"))))</f>
        <v/>
      </c>
      <c r="G901">
        <f>IF(OR($E901="",$E901="نامعتبر"),"",IF(Sync!$S898="","",Sync!$S898))</f>
        <v/>
      </c>
      <c r="H901">
        <f>IF(OR($E901="",$E901="نامعتبر"),"",IF(Sync!$R898="","",Sync!$R898))</f>
        <v/>
      </c>
      <c r="I901">
        <f>IF(OR($E901="",$E901="نامعتبر"),"",IF(Sync!$T898="","",Sync!$T898))</f>
        <v/>
      </c>
      <c r="J901">
        <f>IF(OR($E901="",$E901="نامعتبر"),"",IF(Sync!$U898="","",Sync!$U898))</f>
        <v/>
      </c>
      <c r="K901">
        <f>IF(OR($E901="",$E901="نامعتبر"),"",IF(Sync!$V898="","",IFERROR(INDEX(SubCodes,MATCH(Sync!$V898,SubTitles,0)),Sync!$V898)))</f>
        <v/>
      </c>
      <c r="L901">
        <f>IF(OR($E901="",$E901="نامعتبر"),"",IF(Sync!$W898="",0,Sync!$W898))</f>
        <v/>
      </c>
      <c r="M901">
        <f>IF(OR($E901="",$E901="نامعتبر"),"",IF(Sync!$X898="",0,Sync!$X898))</f>
        <v/>
      </c>
      <c r="N901">
        <f>IF(OR($E901="",$E901="نامعتبر"),"",IF(AND($J901="هزینه",$K901&lt;&gt;""),1,0))</f>
        <v/>
      </c>
      <c r="O901">
        <f>IF($N901=0,"",LEFT($E901,4)&amp;MID($E901,6,2)&amp;RIGHT($E901,2)&amp;$F901&amp;"|"&amp;"1"&amp;RIGHT("00000"&amp;893,5))</f>
        <v/>
      </c>
      <c r="P901">
        <f>IF($O901="","",COUNTIFS(ExpSub,$K901,ExpKey,"&lt;"&amp;$O901)+1)</f>
        <v/>
      </c>
      <c r="Q901">
        <f>IF($P901="","",$K901&amp;"|"&amp;RIGHT("000000"&amp;$P901,6))</f>
        <v/>
      </c>
    </row>
    <row r="902">
      <c r="A902">
        <f>IF(Sync!$P899="","",Sync!$P899)</f>
        <v/>
      </c>
      <c r="B902">
        <f>IF($A902="","",IF(ISNUMBER($A902),IF(AND($A902&gt;=10000101,$A902&lt;=99991231),INT($A902/10000),""),IFERROR(VALUE(TRIM(LEFT($A902,FIND("/",$A902)-1))),"")))</f>
        <v/>
      </c>
      <c r="C902">
        <f>IF(OR($A902="",$B902=""),"",IF(ISNUMBER($A902),INT(MOD($A902,10000)/100),IFERROR(VALUE(TRIM(LEFT(MID($A902,FIND("/",$A902)+1,20),FIND("/",MID($A902,FIND("/",$A902)+1,20))-1))),"")))</f>
        <v/>
      </c>
      <c r="D902">
        <f>IF(OR($A902="",$B902=""),"",IF(ISNUMBER($A902),MOD($A902,100),IFERROR(VALUE(TRIM(MID(MID($A902,FIND("/",$A902)+1,20),FIND("/",MID($A902,FIND("/",$A902)+1,20))+1,20))),"")))</f>
        <v/>
      </c>
      <c r="E902">
        <f>IF($A902="","",IF(OR($B902="",$C902="",$D902="",$B902&lt;1300,$B902&gt;1500,$C902&lt;1,$C902&gt;12,$D902&lt;1,$D902&gt;31),"نامعتبر",RIGHT("0000"&amp;$B902,4)&amp;"/"&amp;RIGHT("00"&amp;$C902,2)&amp;"/"&amp;RIGHT("00"&amp;$D902,2)))</f>
        <v/>
      </c>
      <c r="F902">
        <f>IF(OR($E902="",$E902="نامعتبر"),"",IF(Sync!$Q899="","0000",IF(AND(ISNUMBER(Sync!$Q899),Sync!$Q899&gt;=0,Sync!$Q899&lt;1),RIGHT("00"&amp;HOUR(Sync!$Q899),2)&amp;RIGHT("00"&amp;MINUTE(Sync!$Q899),2),IFERROR(RIGHT("00"&amp;VALUE(LEFT(Sync!$Q899,FIND(":",Sync!$Q899)-1)),2)&amp;RIGHT("00"&amp;VALUE(MID(Sync!$Q899,FIND(":",Sync!$Q899)+1,2)),2),"0000"))))</f>
        <v/>
      </c>
      <c r="G902">
        <f>IF(OR($E902="",$E902="نامعتبر"),"",IF(Sync!$S899="","",Sync!$S899))</f>
        <v/>
      </c>
      <c r="H902">
        <f>IF(OR($E902="",$E902="نامعتبر"),"",IF(Sync!$R899="","",Sync!$R899))</f>
        <v/>
      </c>
      <c r="I902">
        <f>IF(OR($E902="",$E902="نامعتبر"),"",IF(Sync!$T899="","",Sync!$T899))</f>
        <v/>
      </c>
      <c r="J902">
        <f>IF(OR($E902="",$E902="نامعتبر"),"",IF(Sync!$U899="","",Sync!$U899))</f>
        <v/>
      </c>
      <c r="K902">
        <f>IF(OR($E902="",$E902="نامعتبر"),"",IF(Sync!$V899="","",IFERROR(INDEX(SubCodes,MATCH(Sync!$V899,SubTitles,0)),Sync!$V899)))</f>
        <v/>
      </c>
      <c r="L902">
        <f>IF(OR($E902="",$E902="نامعتبر"),"",IF(Sync!$W899="",0,Sync!$W899))</f>
        <v/>
      </c>
      <c r="M902">
        <f>IF(OR($E902="",$E902="نامعتبر"),"",IF(Sync!$X899="",0,Sync!$X899))</f>
        <v/>
      </c>
      <c r="N902">
        <f>IF(OR($E902="",$E902="نامعتبر"),"",IF(AND($J902="هزینه",$K902&lt;&gt;""),1,0))</f>
        <v/>
      </c>
      <c r="O902">
        <f>IF($N902=0,"",LEFT($E902,4)&amp;MID($E902,6,2)&amp;RIGHT($E902,2)&amp;$F902&amp;"|"&amp;"1"&amp;RIGHT("00000"&amp;894,5))</f>
        <v/>
      </c>
      <c r="P902">
        <f>IF($O902="","",COUNTIFS(ExpSub,$K902,ExpKey,"&lt;"&amp;$O902)+1)</f>
        <v/>
      </c>
      <c r="Q902">
        <f>IF($P902="","",$K902&amp;"|"&amp;RIGHT("000000"&amp;$P902,6))</f>
        <v/>
      </c>
    </row>
    <row r="903">
      <c r="A903">
        <f>IF(Sync!$P900="","",Sync!$P900)</f>
        <v/>
      </c>
      <c r="B903">
        <f>IF($A903="","",IF(ISNUMBER($A903),IF(AND($A903&gt;=10000101,$A903&lt;=99991231),INT($A903/10000),""),IFERROR(VALUE(TRIM(LEFT($A903,FIND("/",$A903)-1))),"")))</f>
        <v/>
      </c>
      <c r="C903">
        <f>IF(OR($A903="",$B903=""),"",IF(ISNUMBER($A903),INT(MOD($A903,10000)/100),IFERROR(VALUE(TRIM(LEFT(MID($A903,FIND("/",$A903)+1,20),FIND("/",MID($A903,FIND("/",$A903)+1,20))-1))),"")))</f>
        <v/>
      </c>
      <c r="D903">
        <f>IF(OR($A903="",$B903=""),"",IF(ISNUMBER($A903),MOD($A903,100),IFERROR(VALUE(TRIM(MID(MID($A903,FIND("/",$A903)+1,20),FIND("/",MID($A903,FIND("/",$A903)+1,20))+1,20))),"")))</f>
        <v/>
      </c>
      <c r="E903">
        <f>IF($A903="","",IF(OR($B903="",$C903="",$D903="",$B903&lt;1300,$B903&gt;1500,$C903&lt;1,$C903&gt;12,$D903&lt;1,$D903&gt;31),"نامعتبر",RIGHT("0000"&amp;$B903,4)&amp;"/"&amp;RIGHT("00"&amp;$C903,2)&amp;"/"&amp;RIGHT("00"&amp;$D903,2)))</f>
        <v/>
      </c>
      <c r="F903">
        <f>IF(OR($E903="",$E903="نامعتبر"),"",IF(Sync!$Q900="","0000",IF(AND(ISNUMBER(Sync!$Q900),Sync!$Q900&gt;=0,Sync!$Q900&lt;1),RIGHT("00"&amp;HOUR(Sync!$Q900),2)&amp;RIGHT("00"&amp;MINUTE(Sync!$Q900),2),IFERROR(RIGHT("00"&amp;VALUE(LEFT(Sync!$Q900,FIND(":",Sync!$Q900)-1)),2)&amp;RIGHT("00"&amp;VALUE(MID(Sync!$Q900,FIND(":",Sync!$Q900)+1,2)),2),"0000"))))</f>
        <v/>
      </c>
      <c r="G903">
        <f>IF(OR($E903="",$E903="نامعتبر"),"",IF(Sync!$S900="","",Sync!$S900))</f>
        <v/>
      </c>
      <c r="H903">
        <f>IF(OR($E903="",$E903="نامعتبر"),"",IF(Sync!$R900="","",Sync!$R900))</f>
        <v/>
      </c>
      <c r="I903">
        <f>IF(OR($E903="",$E903="نامعتبر"),"",IF(Sync!$T900="","",Sync!$T900))</f>
        <v/>
      </c>
      <c r="J903">
        <f>IF(OR($E903="",$E903="نامعتبر"),"",IF(Sync!$U900="","",Sync!$U900))</f>
        <v/>
      </c>
      <c r="K903">
        <f>IF(OR($E903="",$E903="نامعتبر"),"",IF(Sync!$V900="","",IFERROR(INDEX(SubCodes,MATCH(Sync!$V900,SubTitles,0)),Sync!$V900)))</f>
        <v/>
      </c>
      <c r="L903">
        <f>IF(OR($E903="",$E903="نامعتبر"),"",IF(Sync!$W900="",0,Sync!$W900))</f>
        <v/>
      </c>
      <c r="M903">
        <f>IF(OR($E903="",$E903="نامعتبر"),"",IF(Sync!$X900="",0,Sync!$X900))</f>
        <v/>
      </c>
      <c r="N903">
        <f>IF(OR($E903="",$E903="نامعتبر"),"",IF(AND($J903="هزینه",$K903&lt;&gt;""),1,0))</f>
        <v/>
      </c>
      <c r="O903">
        <f>IF($N903=0,"",LEFT($E903,4)&amp;MID($E903,6,2)&amp;RIGHT($E903,2)&amp;$F903&amp;"|"&amp;"1"&amp;RIGHT("00000"&amp;895,5))</f>
        <v/>
      </c>
      <c r="P903">
        <f>IF($O903="","",COUNTIFS(ExpSub,$K903,ExpKey,"&lt;"&amp;$O903)+1)</f>
        <v/>
      </c>
      <c r="Q903">
        <f>IF($P903="","",$K903&amp;"|"&amp;RIGHT("000000"&amp;$P903,6))</f>
        <v/>
      </c>
    </row>
    <row r="904">
      <c r="A904">
        <f>IF(Sync!$P901="","",Sync!$P901)</f>
        <v/>
      </c>
      <c r="B904">
        <f>IF($A904="","",IF(ISNUMBER($A904),IF(AND($A904&gt;=10000101,$A904&lt;=99991231),INT($A904/10000),""),IFERROR(VALUE(TRIM(LEFT($A904,FIND("/",$A904)-1))),"")))</f>
        <v/>
      </c>
      <c r="C904">
        <f>IF(OR($A904="",$B904=""),"",IF(ISNUMBER($A904),INT(MOD($A904,10000)/100),IFERROR(VALUE(TRIM(LEFT(MID($A904,FIND("/",$A904)+1,20),FIND("/",MID($A904,FIND("/",$A904)+1,20))-1))),"")))</f>
        <v/>
      </c>
      <c r="D904">
        <f>IF(OR($A904="",$B904=""),"",IF(ISNUMBER($A904),MOD($A904,100),IFERROR(VALUE(TRIM(MID(MID($A904,FIND("/",$A904)+1,20),FIND("/",MID($A904,FIND("/",$A904)+1,20))+1,20))),"")))</f>
        <v/>
      </c>
      <c r="E904">
        <f>IF($A904="","",IF(OR($B904="",$C904="",$D904="",$B904&lt;1300,$B904&gt;1500,$C904&lt;1,$C904&gt;12,$D904&lt;1,$D904&gt;31),"نامعتبر",RIGHT("0000"&amp;$B904,4)&amp;"/"&amp;RIGHT("00"&amp;$C904,2)&amp;"/"&amp;RIGHT("00"&amp;$D904,2)))</f>
        <v/>
      </c>
      <c r="F904">
        <f>IF(OR($E904="",$E904="نامعتبر"),"",IF(Sync!$Q901="","0000",IF(AND(ISNUMBER(Sync!$Q901),Sync!$Q901&gt;=0,Sync!$Q901&lt;1),RIGHT("00"&amp;HOUR(Sync!$Q901),2)&amp;RIGHT("00"&amp;MINUTE(Sync!$Q901),2),IFERROR(RIGHT("00"&amp;VALUE(LEFT(Sync!$Q901,FIND(":",Sync!$Q901)-1)),2)&amp;RIGHT("00"&amp;VALUE(MID(Sync!$Q901,FIND(":",Sync!$Q901)+1,2)),2),"0000"))))</f>
        <v/>
      </c>
      <c r="G904">
        <f>IF(OR($E904="",$E904="نامعتبر"),"",IF(Sync!$S901="","",Sync!$S901))</f>
        <v/>
      </c>
      <c r="H904">
        <f>IF(OR($E904="",$E904="نامعتبر"),"",IF(Sync!$R901="","",Sync!$R901))</f>
        <v/>
      </c>
      <c r="I904">
        <f>IF(OR($E904="",$E904="نامعتبر"),"",IF(Sync!$T901="","",Sync!$T901))</f>
        <v/>
      </c>
      <c r="J904">
        <f>IF(OR($E904="",$E904="نامعتبر"),"",IF(Sync!$U901="","",Sync!$U901))</f>
        <v/>
      </c>
      <c r="K904">
        <f>IF(OR($E904="",$E904="نامعتبر"),"",IF(Sync!$V901="","",IFERROR(INDEX(SubCodes,MATCH(Sync!$V901,SubTitles,0)),Sync!$V901)))</f>
        <v/>
      </c>
      <c r="L904">
        <f>IF(OR($E904="",$E904="نامعتبر"),"",IF(Sync!$W901="",0,Sync!$W901))</f>
        <v/>
      </c>
      <c r="M904">
        <f>IF(OR($E904="",$E904="نامعتبر"),"",IF(Sync!$X901="",0,Sync!$X901))</f>
        <v/>
      </c>
      <c r="N904">
        <f>IF(OR($E904="",$E904="نامعتبر"),"",IF(AND($J904="هزینه",$K904&lt;&gt;""),1,0))</f>
        <v/>
      </c>
      <c r="O904">
        <f>IF($N904=0,"",LEFT($E904,4)&amp;MID($E904,6,2)&amp;RIGHT($E904,2)&amp;$F904&amp;"|"&amp;"1"&amp;RIGHT("00000"&amp;896,5))</f>
        <v/>
      </c>
      <c r="P904">
        <f>IF($O904="","",COUNTIFS(ExpSub,$K904,ExpKey,"&lt;"&amp;$O904)+1)</f>
        <v/>
      </c>
      <c r="Q904">
        <f>IF($P904="","",$K904&amp;"|"&amp;RIGHT("000000"&amp;$P904,6))</f>
        <v/>
      </c>
    </row>
    <row r="905">
      <c r="A905">
        <f>IF(Sync!$P902="","",Sync!$P902)</f>
        <v/>
      </c>
      <c r="B905">
        <f>IF($A905="","",IF(ISNUMBER($A905),IF(AND($A905&gt;=10000101,$A905&lt;=99991231),INT($A905/10000),""),IFERROR(VALUE(TRIM(LEFT($A905,FIND("/",$A905)-1))),"")))</f>
        <v/>
      </c>
      <c r="C905">
        <f>IF(OR($A905="",$B905=""),"",IF(ISNUMBER($A905),INT(MOD($A905,10000)/100),IFERROR(VALUE(TRIM(LEFT(MID($A905,FIND("/",$A905)+1,20),FIND("/",MID($A905,FIND("/",$A905)+1,20))-1))),"")))</f>
        <v/>
      </c>
      <c r="D905">
        <f>IF(OR($A905="",$B905=""),"",IF(ISNUMBER($A905),MOD($A905,100),IFERROR(VALUE(TRIM(MID(MID($A905,FIND("/",$A905)+1,20),FIND("/",MID($A905,FIND("/",$A905)+1,20))+1,20))),"")))</f>
        <v/>
      </c>
      <c r="E905">
        <f>IF($A905="","",IF(OR($B905="",$C905="",$D905="",$B905&lt;1300,$B905&gt;1500,$C905&lt;1,$C905&gt;12,$D905&lt;1,$D905&gt;31),"نامعتبر",RIGHT("0000"&amp;$B905,4)&amp;"/"&amp;RIGHT("00"&amp;$C905,2)&amp;"/"&amp;RIGHT("00"&amp;$D905,2)))</f>
        <v/>
      </c>
      <c r="F905">
        <f>IF(OR($E905="",$E905="نامعتبر"),"",IF(Sync!$Q902="","0000",IF(AND(ISNUMBER(Sync!$Q902),Sync!$Q902&gt;=0,Sync!$Q902&lt;1),RIGHT("00"&amp;HOUR(Sync!$Q902),2)&amp;RIGHT("00"&amp;MINUTE(Sync!$Q902),2),IFERROR(RIGHT("00"&amp;VALUE(LEFT(Sync!$Q902,FIND(":",Sync!$Q902)-1)),2)&amp;RIGHT("00"&amp;VALUE(MID(Sync!$Q902,FIND(":",Sync!$Q902)+1,2)),2),"0000"))))</f>
        <v/>
      </c>
      <c r="G905">
        <f>IF(OR($E905="",$E905="نامعتبر"),"",IF(Sync!$S902="","",Sync!$S902))</f>
        <v/>
      </c>
      <c r="H905">
        <f>IF(OR($E905="",$E905="نامعتبر"),"",IF(Sync!$R902="","",Sync!$R902))</f>
        <v/>
      </c>
      <c r="I905">
        <f>IF(OR($E905="",$E905="نامعتبر"),"",IF(Sync!$T902="","",Sync!$T902))</f>
        <v/>
      </c>
      <c r="J905">
        <f>IF(OR($E905="",$E905="نامعتبر"),"",IF(Sync!$U902="","",Sync!$U902))</f>
        <v/>
      </c>
      <c r="K905">
        <f>IF(OR($E905="",$E905="نامعتبر"),"",IF(Sync!$V902="","",IFERROR(INDEX(SubCodes,MATCH(Sync!$V902,SubTitles,0)),Sync!$V902)))</f>
        <v/>
      </c>
      <c r="L905">
        <f>IF(OR($E905="",$E905="نامعتبر"),"",IF(Sync!$W902="",0,Sync!$W902))</f>
        <v/>
      </c>
      <c r="M905">
        <f>IF(OR($E905="",$E905="نامعتبر"),"",IF(Sync!$X902="",0,Sync!$X902))</f>
        <v/>
      </c>
      <c r="N905">
        <f>IF(OR($E905="",$E905="نامعتبر"),"",IF(AND($J905="هزینه",$K905&lt;&gt;""),1,0))</f>
        <v/>
      </c>
      <c r="O905">
        <f>IF($N905=0,"",LEFT($E905,4)&amp;MID($E905,6,2)&amp;RIGHT($E905,2)&amp;$F905&amp;"|"&amp;"1"&amp;RIGHT("00000"&amp;897,5))</f>
        <v/>
      </c>
      <c r="P905">
        <f>IF($O905="","",COUNTIFS(ExpSub,$K905,ExpKey,"&lt;"&amp;$O905)+1)</f>
        <v/>
      </c>
      <c r="Q905">
        <f>IF($P905="","",$K905&amp;"|"&amp;RIGHT("000000"&amp;$P905,6))</f>
        <v/>
      </c>
    </row>
    <row r="906">
      <c r="A906">
        <f>IF(Sync!$P903="","",Sync!$P903)</f>
        <v/>
      </c>
      <c r="B906">
        <f>IF($A906="","",IF(ISNUMBER($A906),IF(AND($A906&gt;=10000101,$A906&lt;=99991231),INT($A906/10000),""),IFERROR(VALUE(TRIM(LEFT($A906,FIND("/",$A906)-1))),"")))</f>
        <v/>
      </c>
      <c r="C906">
        <f>IF(OR($A906="",$B906=""),"",IF(ISNUMBER($A906),INT(MOD($A906,10000)/100),IFERROR(VALUE(TRIM(LEFT(MID($A906,FIND("/",$A906)+1,20),FIND("/",MID($A906,FIND("/",$A906)+1,20))-1))),"")))</f>
        <v/>
      </c>
      <c r="D906">
        <f>IF(OR($A906="",$B906=""),"",IF(ISNUMBER($A906),MOD($A906,100),IFERROR(VALUE(TRIM(MID(MID($A906,FIND("/",$A906)+1,20),FIND("/",MID($A906,FIND("/",$A906)+1,20))+1,20))),"")))</f>
        <v/>
      </c>
      <c r="E906">
        <f>IF($A906="","",IF(OR($B906="",$C906="",$D906="",$B906&lt;1300,$B906&gt;1500,$C906&lt;1,$C906&gt;12,$D906&lt;1,$D906&gt;31),"نامعتبر",RIGHT("0000"&amp;$B906,4)&amp;"/"&amp;RIGHT("00"&amp;$C906,2)&amp;"/"&amp;RIGHT("00"&amp;$D906,2)))</f>
        <v/>
      </c>
      <c r="F906">
        <f>IF(OR($E906="",$E906="نامعتبر"),"",IF(Sync!$Q903="","0000",IF(AND(ISNUMBER(Sync!$Q903),Sync!$Q903&gt;=0,Sync!$Q903&lt;1),RIGHT("00"&amp;HOUR(Sync!$Q903),2)&amp;RIGHT("00"&amp;MINUTE(Sync!$Q903),2),IFERROR(RIGHT("00"&amp;VALUE(LEFT(Sync!$Q903,FIND(":",Sync!$Q903)-1)),2)&amp;RIGHT("00"&amp;VALUE(MID(Sync!$Q903,FIND(":",Sync!$Q903)+1,2)),2),"0000"))))</f>
        <v/>
      </c>
      <c r="G906">
        <f>IF(OR($E906="",$E906="نامعتبر"),"",IF(Sync!$S903="","",Sync!$S903))</f>
        <v/>
      </c>
      <c r="H906">
        <f>IF(OR($E906="",$E906="نامعتبر"),"",IF(Sync!$R903="","",Sync!$R903))</f>
        <v/>
      </c>
      <c r="I906">
        <f>IF(OR($E906="",$E906="نامعتبر"),"",IF(Sync!$T903="","",Sync!$T903))</f>
        <v/>
      </c>
      <c r="J906">
        <f>IF(OR($E906="",$E906="نامعتبر"),"",IF(Sync!$U903="","",Sync!$U903))</f>
        <v/>
      </c>
      <c r="K906">
        <f>IF(OR($E906="",$E906="نامعتبر"),"",IF(Sync!$V903="","",IFERROR(INDEX(SubCodes,MATCH(Sync!$V903,SubTitles,0)),Sync!$V903)))</f>
        <v/>
      </c>
      <c r="L906">
        <f>IF(OR($E906="",$E906="نامعتبر"),"",IF(Sync!$W903="",0,Sync!$W903))</f>
        <v/>
      </c>
      <c r="M906">
        <f>IF(OR($E906="",$E906="نامعتبر"),"",IF(Sync!$X903="",0,Sync!$X903))</f>
        <v/>
      </c>
      <c r="N906">
        <f>IF(OR($E906="",$E906="نامعتبر"),"",IF(AND($J906="هزینه",$K906&lt;&gt;""),1,0))</f>
        <v/>
      </c>
      <c r="O906">
        <f>IF($N906=0,"",LEFT($E906,4)&amp;MID($E906,6,2)&amp;RIGHT($E906,2)&amp;$F906&amp;"|"&amp;"1"&amp;RIGHT("00000"&amp;898,5))</f>
        <v/>
      </c>
      <c r="P906">
        <f>IF($O906="","",COUNTIFS(ExpSub,$K906,ExpKey,"&lt;"&amp;$O906)+1)</f>
        <v/>
      </c>
      <c r="Q906">
        <f>IF($P906="","",$K906&amp;"|"&amp;RIGHT("000000"&amp;$P906,6))</f>
        <v/>
      </c>
    </row>
    <row r="907">
      <c r="A907">
        <f>IF(Sync!$P904="","",Sync!$P904)</f>
        <v/>
      </c>
      <c r="B907">
        <f>IF($A907="","",IF(ISNUMBER($A907),IF(AND($A907&gt;=10000101,$A907&lt;=99991231),INT($A907/10000),""),IFERROR(VALUE(TRIM(LEFT($A907,FIND("/",$A907)-1))),"")))</f>
        <v/>
      </c>
      <c r="C907">
        <f>IF(OR($A907="",$B907=""),"",IF(ISNUMBER($A907),INT(MOD($A907,10000)/100),IFERROR(VALUE(TRIM(LEFT(MID($A907,FIND("/",$A907)+1,20),FIND("/",MID($A907,FIND("/",$A907)+1,20))-1))),"")))</f>
        <v/>
      </c>
      <c r="D907">
        <f>IF(OR($A907="",$B907=""),"",IF(ISNUMBER($A907),MOD($A907,100),IFERROR(VALUE(TRIM(MID(MID($A907,FIND("/",$A907)+1,20),FIND("/",MID($A907,FIND("/",$A907)+1,20))+1,20))),"")))</f>
        <v/>
      </c>
      <c r="E907">
        <f>IF($A907="","",IF(OR($B907="",$C907="",$D907="",$B907&lt;1300,$B907&gt;1500,$C907&lt;1,$C907&gt;12,$D907&lt;1,$D907&gt;31),"نامعتبر",RIGHT("0000"&amp;$B907,4)&amp;"/"&amp;RIGHT("00"&amp;$C907,2)&amp;"/"&amp;RIGHT("00"&amp;$D907,2)))</f>
        <v/>
      </c>
      <c r="F907">
        <f>IF(OR($E907="",$E907="نامعتبر"),"",IF(Sync!$Q904="","0000",IF(AND(ISNUMBER(Sync!$Q904),Sync!$Q904&gt;=0,Sync!$Q904&lt;1),RIGHT("00"&amp;HOUR(Sync!$Q904),2)&amp;RIGHT("00"&amp;MINUTE(Sync!$Q904),2),IFERROR(RIGHT("00"&amp;VALUE(LEFT(Sync!$Q904,FIND(":",Sync!$Q904)-1)),2)&amp;RIGHT("00"&amp;VALUE(MID(Sync!$Q904,FIND(":",Sync!$Q904)+1,2)),2),"0000"))))</f>
        <v/>
      </c>
      <c r="G907">
        <f>IF(OR($E907="",$E907="نامعتبر"),"",IF(Sync!$S904="","",Sync!$S904))</f>
        <v/>
      </c>
      <c r="H907">
        <f>IF(OR($E907="",$E907="نامعتبر"),"",IF(Sync!$R904="","",Sync!$R904))</f>
        <v/>
      </c>
      <c r="I907">
        <f>IF(OR($E907="",$E907="نامعتبر"),"",IF(Sync!$T904="","",Sync!$T904))</f>
        <v/>
      </c>
      <c r="J907">
        <f>IF(OR($E907="",$E907="نامعتبر"),"",IF(Sync!$U904="","",Sync!$U904))</f>
        <v/>
      </c>
      <c r="K907">
        <f>IF(OR($E907="",$E907="نامعتبر"),"",IF(Sync!$V904="","",IFERROR(INDEX(SubCodes,MATCH(Sync!$V904,SubTitles,0)),Sync!$V904)))</f>
        <v/>
      </c>
      <c r="L907">
        <f>IF(OR($E907="",$E907="نامعتبر"),"",IF(Sync!$W904="",0,Sync!$W904))</f>
        <v/>
      </c>
      <c r="M907">
        <f>IF(OR($E907="",$E907="نامعتبر"),"",IF(Sync!$X904="",0,Sync!$X904))</f>
        <v/>
      </c>
      <c r="N907">
        <f>IF(OR($E907="",$E907="نامعتبر"),"",IF(AND($J907="هزینه",$K907&lt;&gt;""),1,0))</f>
        <v/>
      </c>
      <c r="O907">
        <f>IF($N907=0,"",LEFT($E907,4)&amp;MID($E907,6,2)&amp;RIGHT($E907,2)&amp;$F907&amp;"|"&amp;"1"&amp;RIGHT("00000"&amp;899,5))</f>
        <v/>
      </c>
      <c r="P907">
        <f>IF($O907="","",COUNTIFS(ExpSub,$K907,ExpKey,"&lt;"&amp;$O907)+1)</f>
        <v/>
      </c>
      <c r="Q907">
        <f>IF($P907="","",$K907&amp;"|"&amp;RIGHT("000000"&amp;$P907,6))</f>
        <v/>
      </c>
    </row>
    <row r="908">
      <c r="A908">
        <f>IF(Sync!$P905="","",Sync!$P905)</f>
        <v/>
      </c>
      <c r="B908">
        <f>IF($A908="","",IF(ISNUMBER($A908),IF(AND($A908&gt;=10000101,$A908&lt;=99991231),INT($A908/10000),""),IFERROR(VALUE(TRIM(LEFT($A908,FIND("/",$A908)-1))),"")))</f>
        <v/>
      </c>
      <c r="C908">
        <f>IF(OR($A908="",$B908=""),"",IF(ISNUMBER($A908),INT(MOD($A908,10000)/100),IFERROR(VALUE(TRIM(LEFT(MID($A908,FIND("/",$A908)+1,20),FIND("/",MID($A908,FIND("/",$A908)+1,20))-1))),"")))</f>
        <v/>
      </c>
      <c r="D908">
        <f>IF(OR($A908="",$B908=""),"",IF(ISNUMBER($A908),MOD($A908,100),IFERROR(VALUE(TRIM(MID(MID($A908,FIND("/",$A908)+1,20),FIND("/",MID($A908,FIND("/",$A908)+1,20))+1,20))),"")))</f>
        <v/>
      </c>
      <c r="E908">
        <f>IF($A908="","",IF(OR($B908="",$C908="",$D908="",$B908&lt;1300,$B908&gt;1500,$C908&lt;1,$C908&gt;12,$D908&lt;1,$D908&gt;31),"نامعتبر",RIGHT("0000"&amp;$B908,4)&amp;"/"&amp;RIGHT("00"&amp;$C908,2)&amp;"/"&amp;RIGHT("00"&amp;$D908,2)))</f>
        <v/>
      </c>
      <c r="F908">
        <f>IF(OR($E908="",$E908="نامعتبر"),"",IF(Sync!$Q905="","0000",IF(AND(ISNUMBER(Sync!$Q905),Sync!$Q905&gt;=0,Sync!$Q905&lt;1),RIGHT("00"&amp;HOUR(Sync!$Q905),2)&amp;RIGHT("00"&amp;MINUTE(Sync!$Q905),2),IFERROR(RIGHT("00"&amp;VALUE(LEFT(Sync!$Q905,FIND(":",Sync!$Q905)-1)),2)&amp;RIGHT("00"&amp;VALUE(MID(Sync!$Q905,FIND(":",Sync!$Q905)+1,2)),2),"0000"))))</f>
        <v/>
      </c>
      <c r="G908">
        <f>IF(OR($E908="",$E908="نامعتبر"),"",IF(Sync!$S905="","",Sync!$S905))</f>
        <v/>
      </c>
      <c r="H908">
        <f>IF(OR($E908="",$E908="نامعتبر"),"",IF(Sync!$R905="","",Sync!$R905))</f>
        <v/>
      </c>
      <c r="I908">
        <f>IF(OR($E908="",$E908="نامعتبر"),"",IF(Sync!$T905="","",Sync!$T905))</f>
        <v/>
      </c>
      <c r="J908">
        <f>IF(OR($E908="",$E908="نامعتبر"),"",IF(Sync!$U905="","",Sync!$U905))</f>
        <v/>
      </c>
      <c r="K908">
        <f>IF(OR($E908="",$E908="نامعتبر"),"",IF(Sync!$V905="","",IFERROR(INDEX(SubCodes,MATCH(Sync!$V905,SubTitles,0)),Sync!$V905)))</f>
        <v/>
      </c>
      <c r="L908">
        <f>IF(OR($E908="",$E908="نامعتبر"),"",IF(Sync!$W905="",0,Sync!$W905))</f>
        <v/>
      </c>
      <c r="M908">
        <f>IF(OR($E908="",$E908="نامعتبر"),"",IF(Sync!$X905="",0,Sync!$X905))</f>
        <v/>
      </c>
      <c r="N908">
        <f>IF(OR($E908="",$E908="نامعتبر"),"",IF(AND($J908="هزینه",$K908&lt;&gt;""),1,0))</f>
        <v/>
      </c>
      <c r="O908">
        <f>IF($N908=0,"",LEFT($E908,4)&amp;MID($E908,6,2)&amp;RIGHT($E908,2)&amp;$F908&amp;"|"&amp;"1"&amp;RIGHT("00000"&amp;900,5))</f>
        <v/>
      </c>
      <c r="P908">
        <f>IF($O908="","",COUNTIFS(ExpSub,$K908,ExpKey,"&lt;"&amp;$O908)+1)</f>
        <v/>
      </c>
      <c r="Q908">
        <f>IF($P908="","",$K908&amp;"|"&amp;RIGHT("000000"&amp;$P908,6))</f>
        <v/>
      </c>
    </row>
    <row r="909">
      <c r="A909">
        <f>IF(Sync!$P906="","",Sync!$P906)</f>
        <v/>
      </c>
      <c r="B909">
        <f>IF($A909="","",IF(ISNUMBER($A909),IF(AND($A909&gt;=10000101,$A909&lt;=99991231),INT($A909/10000),""),IFERROR(VALUE(TRIM(LEFT($A909,FIND("/",$A909)-1))),"")))</f>
        <v/>
      </c>
      <c r="C909">
        <f>IF(OR($A909="",$B909=""),"",IF(ISNUMBER($A909),INT(MOD($A909,10000)/100),IFERROR(VALUE(TRIM(LEFT(MID($A909,FIND("/",$A909)+1,20),FIND("/",MID($A909,FIND("/",$A909)+1,20))-1))),"")))</f>
        <v/>
      </c>
      <c r="D909">
        <f>IF(OR($A909="",$B909=""),"",IF(ISNUMBER($A909),MOD($A909,100),IFERROR(VALUE(TRIM(MID(MID($A909,FIND("/",$A909)+1,20),FIND("/",MID($A909,FIND("/",$A909)+1,20))+1,20))),"")))</f>
        <v/>
      </c>
      <c r="E909">
        <f>IF($A909="","",IF(OR($B909="",$C909="",$D909="",$B909&lt;1300,$B909&gt;1500,$C909&lt;1,$C909&gt;12,$D909&lt;1,$D909&gt;31),"نامعتبر",RIGHT("0000"&amp;$B909,4)&amp;"/"&amp;RIGHT("00"&amp;$C909,2)&amp;"/"&amp;RIGHT("00"&amp;$D909,2)))</f>
        <v/>
      </c>
      <c r="F909">
        <f>IF(OR($E909="",$E909="نامعتبر"),"",IF(Sync!$Q906="","0000",IF(AND(ISNUMBER(Sync!$Q906),Sync!$Q906&gt;=0,Sync!$Q906&lt;1),RIGHT("00"&amp;HOUR(Sync!$Q906),2)&amp;RIGHT("00"&amp;MINUTE(Sync!$Q906),2),IFERROR(RIGHT("00"&amp;VALUE(LEFT(Sync!$Q906,FIND(":",Sync!$Q906)-1)),2)&amp;RIGHT("00"&amp;VALUE(MID(Sync!$Q906,FIND(":",Sync!$Q906)+1,2)),2),"0000"))))</f>
        <v/>
      </c>
      <c r="G909">
        <f>IF(OR($E909="",$E909="نامعتبر"),"",IF(Sync!$S906="","",Sync!$S906))</f>
        <v/>
      </c>
      <c r="H909">
        <f>IF(OR($E909="",$E909="نامعتبر"),"",IF(Sync!$R906="","",Sync!$R906))</f>
        <v/>
      </c>
      <c r="I909">
        <f>IF(OR($E909="",$E909="نامعتبر"),"",IF(Sync!$T906="","",Sync!$T906))</f>
        <v/>
      </c>
      <c r="J909">
        <f>IF(OR($E909="",$E909="نامعتبر"),"",IF(Sync!$U906="","",Sync!$U906))</f>
        <v/>
      </c>
      <c r="K909">
        <f>IF(OR($E909="",$E909="نامعتبر"),"",IF(Sync!$V906="","",IFERROR(INDEX(SubCodes,MATCH(Sync!$V906,SubTitles,0)),Sync!$V906)))</f>
        <v/>
      </c>
      <c r="L909">
        <f>IF(OR($E909="",$E909="نامعتبر"),"",IF(Sync!$W906="",0,Sync!$W906))</f>
        <v/>
      </c>
      <c r="M909">
        <f>IF(OR($E909="",$E909="نامعتبر"),"",IF(Sync!$X906="",0,Sync!$X906))</f>
        <v/>
      </c>
      <c r="N909">
        <f>IF(OR($E909="",$E909="نامعتبر"),"",IF(AND($J909="هزینه",$K909&lt;&gt;""),1,0))</f>
        <v/>
      </c>
      <c r="O909">
        <f>IF($N909=0,"",LEFT($E909,4)&amp;MID($E909,6,2)&amp;RIGHT($E909,2)&amp;$F909&amp;"|"&amp;"1"&amp;RIGHT("00000"&amp;901,5))</f>
        <v/>
      </c>
      <c r="P909">
        <f>IF($O909="","",COUNTIFS(ExpSub,$K909,ExpKey,"&lt;"&amp;$O909)+1)</f>
        <v/>
      </c>
      <c r="Q909">
        <f>IF($P909="","",$K909&amp;"|"&amp;RIGHT("000000"&amp;$P909,6))</f>
        <v/>
      </c>
    </row>
    <row r="910">
      <c r="A910">
        <f>IF(Sync!$P907="","",Sync!$P907)</f>
        <v/>
      </c>
      <c r="B910">
        <f>IF($A910="","",IF(ISNUMBER($A910),IF(AND($A910&gt;=10000101,$A910&lt;=99991231),INT($A910/10000),""),IFERROR(VALUE(TRIM(LEFT($A910,FIND("/",$A910)-1))),"")))</f>
        <v/>
      </c>
      <c r="C910">
        <f>IF(OR($A910="",$B910=""),"",IF(ISNUMBER($A910),INT(MOD($A910,10000)/100),IFERROR(VALUE(TRIM(LEFT(MID($A910,FIND("/",$A910)+1,20),FIND("/",MID($A910,FIND("/",$A910)+1,20))-1))),"")))</f>
        <v/>
      </c>
      <c r="D910">
        <f>IF(OR($A910="",$B910=""),"",IF(ISNUMBER($A910),MOD($A910,100),IFERROR(VALUE(TRIM(MID(MID($A910,FIND("/",$A910)+1,20),FIND("/",MID($A910,FIND("/",$A910)+1,20))+1,20))),"")))</f>
        <v/>
      </c>
      <c r="E910">
        <f>IF($A910="","",IF(OR($B910="",$C910="",$D910="",$B910&lt;1300,$B910&gt;1500,$C910&lt;1,$C910&gt;12,$D910&lt;1,$D910&gt;31),"نامعتبر",RIGHT("0000"&amp;$B910,4)&amp;"/"&amp;RIGHT("00"&amp;$C910,2)&amp;"/"&amp;RIGHT("00"&amp;$D910,2)))</f>
        <v/>
      </c>
      <c r="F910">
        <f>IF(OR($E910="",$E910="نامعتبر"),"",IF(Sync!$Q907="","0000",IF(AND(ISNUMBER(Sync!$Q907),Sync!$Q907&gt;=0,Sync!$Q907&lt;1),RIGHT("00"&amp;HOUR(Sync!$Q907),2)&amp;RIGHT("00"&amp;MINUTE(Sync!$Q907),2),IFERROR(RIGHT("00"&amp;VALUE(LEFT(Sync!$Q907,FIND(":",Sync!$Q907)-1)),2)&amp;RIGHT("00"&amp;VALUE(MID(Sync!$Q907,FIND(":",Sync!$Q907)+1,2)),2),"0000"))))</f>
        <v/>
      </c>
      <c r="G910">
        <f>IF(OR($E910="",$E910="نامعتبر"),"",IF(Sync!$S907="","",Sync!$S907))</f>
        <v/>
      </c>
      <c r="H910">
        <f>IF(OR($E910="",$E910="نامعتبر"),"",IF(Sync!$R907="","",Sync!$R907))</f>
        <v/>
      </c>
      <c r="I910">
        <f>IF(OR($E910="",$E910="نامعتبر"),"",IF(Sync!$T907="","",Sync!$T907))</f>
        <v/>
      </c>
      <c r="J910">
        <f>IF(OR($E910="",$E910="نامعتبر"),"",IF(Sync!$U907="","",Sync!$U907))</f>
        <v/>
      </c>
      <c r="K910">
        <f>IF(OR($E910="",$E910="نامعتبر"),"",IF(Sync!$V907="","",IFERROR(INDEX(SubCodes,MATCH(Sync!$V907,SubTitles,0)),Sync!$V907)))</f>
        <v/>
      </c>
      <c r="L910">
        <f>IF(OR($E910="",$E910="نامعتبر"),"",IF(Sync!$W907="",0,Sync!$W907))</f>
        <v/>
      </c>
      <c r="M910">
        <f>IF(OR($E910="",$E910="نامعتبر"),"",IF(Sync!$X907="",0,Sync!$X907))</f>
        <v/>
      </c>
      <c r="N910">
        <f>IF(OR($E910="",$E910="نامعتبر"),"",IF(AND($J910="هزینه",$K910&lt;&gt;""),1,0))</f>
        <v/>
      </c>
      <c r="O910">
        <f>IF($N910=0,"",LEFT($E910,4)&amp;MID($E910,6,2)&amp;RIGHT($E910,2)&amp;$F910&amp;"|"&amp;"1"&amp;RIGHT("00000"&amp;902,5))</f>
        <v/>
      </c>
      <c r="P910">
        <f>IF($O910="","",COUNTIFS(ExpSub,$K910,ExpKey,"&lt;"&amp;$O910)+1)</f>
        <v/>
      </c>
      <c r="Q910">
        <f>IF($P910="","",$K910&amp;"|"&amp;RIGHT("000000"&amp;$P910,6))</f>
        <v/>
      </c>
    </row>
    <row r="911">
      <c r="A911">
        <f>IF(Sync!$P908="","",Sync!$P908)</f>
        <v/>
      </c>
      <c r="B911">
        <f>IF($A911="","",IF(ISNUMBER($A911),IF(AND($A911&gt;=10000101,$A911&lt;=99991231),INT($A911/10000),""),IFERROR(VALUE(TRIM(LEFT($A911,FIND("/",$A911)-1))),"")))</f>
        <v/>
      </c>
      <c r="C911">
        <f>IF(OR($A911="",$B911=""),"",IF(ISNUMBER($A911),INT(MOD($A911,10000)/100),IFERROR(VALUE(TRIM(LEFT(MID($A911,FIND("/",$A911)+1,20),FIND("/",MID($A911,FIND("/",$A911)+1,20))-1))),"")))</f>
        <v/>
      </c>
      <c r="D911">
        <f>IF(OR($A911="",$B911=""),"",IF(ISNUMBER($A911),MOD($A911,100),IFERROR(VALUE(TRIM(MID(MID($A911,FIND("/",$A911)+1,20),FIND("/",MID($A911,FIND("/",$A911)+1,20))+1,20))),"")))</f>
        <v/>
      </c>
      <c r="E911">
        <f>IF($A911="","",IF(OR($B911="",$C911="",$D911="",$B911&lt;1300,$B911&gt;1500,$C911&lt;1,$C911&gt;12,$D911&lt;1,$D911&gt;31),"نامعتبر",RIGHT("0000"&amp;$B911,4)&amp;"/"&amp;RIGHT("00"&amp;$C911,2)&amp;"/"&amp;RIGHT("00"&amp;$D911,2)))</f>
        <v/>
      </c>
      <c r="F911">
        <f>IF(OR($E911="",$E911="نامعتبر"),"",IF(Sync!$Q908="","0000",IF(AND(ISNUMBER(Sync!$Q908),Sync!$Q908&gt;=0,Sync!$Q908&lt;1),RIGHT("00"&amp;HOUR(Sync!$Q908),2)&amp;RIGHT("00"&amp;MINUTE(Sync!$Q908),2),IFERROR(RIGHT("00"&amp;VALUE(LEFT(Sync!$Q908,FIND(":",Sync!$Q908)-1)),2)&amp;RIGHT("00"&amp;VALUE(MID(Sync!$Q908,FIND(":",Sync!$Q908)+1,2)),2),"0000"))))</f>
        <v/>
      </c>
      <c r="G911">
        <f>IF(OR($E911="",$E911="نامعتبر"),"",IF(Sync!$S908="","",Sync!$S908))</f>
        <v/>
      </c>
      <c r="H911">
        <f>IF(OR($E911="",$E911="نامعتبر"),"",IF(Sync!$R908="","",Sync!$R908))</f>
        <v/>
      </c>
      <c r="I911">
        <f>IF(OR($E911="",$E911="نامعتبر"),"",IF(Sync!$T908="","",Sync!$T908))</f>
        <v/>
      </c>
      <c r="J911">
        <f>IF(OR($E911="",$E911="نامعتبر"),"",IF(Sync!$U908="","",Sync!$U908))</f>
        <v/>
      </c>
      <c r="K911">
        <f>IF(OR($E911="",$E911="نامعتبر"),"",IF(Sync!$V908="","",IFERROR(INDEX(SubCodes,MATCH(Sync!$V908,SubTitles,0)),Sync!$V908)))</f>
        <v/>
      </c>
      <c r="L911">
        <f>IF(OR($E911="",$E911="نامعتبر"),"",IF(Sync!$W908="",0,Sync!$W908))</f>
        <v/>
      </c>
      <c r="M911">
        <f>IF(OR($E911="",$E911="نامعتبر"),"",IF(Sync!$X908="",0,Sync!$X908))</f>
        <v/>
      </c>
      <c r="N911">
        <f>IF(OR($E911="",$E911="نامعتبر"),"",IF(AND($J911="هزینه",$K911&lt;&gt;""),1,0))</f>
        <v/>
      </c>
      <c r="O911">
        <f>IF($N911=0,"",LEFT($E911,4)&amp;MID($E911,6,2)&amp;RIGHT($E911,2)&amp;$F911&amp;"|"&amp;"1"&amp;RIGHT("00000"&amp;903,5))</f>
        <v/>
      </c>
      <c r="P911">
        <f>IF($O911="","",COUNTIFS(ExpSub,$K911,ExpKey,"&lt;"&amp;$O911)+1)</f>
        <v/>
      </c>
      <c r="Q911">
        <f>IF($P911="","",$K911&amp;"|"&amp;RIGHT("000000"&amp;$P911,6))</f>
        <v/>
      </c>
    </row>
    <row r="912">
      <c r="A912">
        <f>IF(Sync!$P909="","",Sync!$P909)</f>
        <v/>
      </c>
      <c r="B912">
        <f>IF($A912="","",IF(ISNUMBER($A912),IF(AND($A912&gt;=10000101,$A912&lt;=99991231),INT($A912/10000),""),IFERROR(VALUE(TRIM(LEFT($A912,FIND("/",$A912)-1))),"")))</f>
        <v/>
      </c>
      <c r="C912">
        <f>IF(OR($A912="",$B912=""),"",IF(ISNUMBER($A912),INT(MOD($A912,10000)/100),IFERROR(VALUE(TRIM(LEFT(MID($A912,FIND("/",$A912)+1,20),FIND("/",MID($A912,FIND("/",$A912)+1,20))-1))),"")))</f>
        <v/>
      </c>
      <c r="D912">
        <f>IF(OR($A912="",$B912=""),"",IF(ISNUMBER($A912),MOD($A912,100),IFERROR(VALUE(TRIM(MID(MID($A912,FIND("/",$A912)+1,20),FIND("/",MID($A912,FIND("/",$A912)+1,20))+1,20))),"")))</f>
        <v/>
      </c>
      <c r="E912">
        <f>IF($A912="","",IF(OR($B912="",$C912="",$D912="",$B912&lt;1300,$B912&gt;1500,$C912&lt;1,$C912&gt;12,$D912&lt;1,$D912&gt;31),"نامعتبر",RIGHT("0000"&amp;$B912,4)&amp;"/"&amp;RIGHT("00"&amp;$C912,2)&amp;"/"&amp;RIGHT("00"&amp;$D912,2)))</f>
        <v/>
      </c>
      <c r="F912">
        <f>IF(OR($E912="",$E912="نامعتبر"),"",IF(Sync!$Q909="","0000",IF(AND(ISNUMBER(Sync!$Q909),Sync!$Q909&gt;=0,Sync!$Q909&lt;1),RIGHT("00"&amp;HOUR(Sync!$Q909),2)&amp;RIGHT("00"&amp;MINUTE(Sync!$Q909),2),IFERROR(RIGHT("00"&amp;VALUE(LEFT(Sync!$Q909,FIND(":",Sync!$Q909)-1)),2)&amp;RIGHT("00"&amp;VALUE(MID(Sync!$Q909,FIND(":",Sync!$Q909)+1,2)),2),"0000"))))</f>
        <v/>
      </c>
      <c r="G912">
        <f>IF(OR($E912="",$E912="نامعتبر"),"",IF(Sync!$S909="","",Sync!$S909))</f>
        <v/>
      </c>
      <c r="H912">
        <f>IF(OR($E912="",$E912="نامعتبر"),"",IF(Sync!$R909="","",Sync!$R909))</f>
        <v/>
      </c>
      <c r="I912">
        <f>IF(OR($E912="",$E912="نامعتبر"),"",IF(Sync!$T909="","",Sync!$T909))</f>
        <v/>
      </c>
      <c r="J912">
        <f>IF(OR($E912="",$E912="نامعتبر"),"",IF(Sync!$U909="","",Sync!$U909))</f>
        <v/>
      </c>
      <c r="K912">
        <f>IF(OR($E912="",$E912="نامعتبر"),"",IF(Sync!$V909="","",IFERROR(INDEX(SubCodes,MATCH(Sync!$V909,SubTitles,0)),Sync!$V909)))</f>
        <v/>
      </c>
      <c r="L912">
        <f>IF(OR($E912="",$E912="نامعتبر"),"",IF(Sync!$W909="",0,Sync!$W909))</f>
        <v/>
      </c>
      <c r="M912">
        <f>IF(OR($E912="",$E912="نامعتبر"),"",IF(Sync!$X909="",0,Sync!$X909))</f>
        <v/>
      </c>
      <c r="N912">
        <f>IF(OR($E912="",$E912="نامعتبر"),"",IF(AND($J912="هزینه",$K912&lt;&gt;""),1,0))</f>
        <v/>
      </c>
      <c r="O912">
        <f>IF($N912=0,"",LEFT($E912,4)&amp;MID($E912,6,2)&amp;RIGHT($E912,2)&amp;$F912&amp;"|"&amp;"1"&amp;RIGHT("00000"&amp;904,5))</f>
        <v/>
      </c>
      <c r="P912">
        <f>IF($O912="","",COUNTIFS(ExpSub,$K912,ExpKey,"&lt;"&amp;$O912)+1)</f>
        <v/>
      </c>
      <c r="Q912">
        <f>IF($P912="","",$K912&amp;"|"&amp;RIGHT("000000"&amp;$P912,6))</f>
        <v/>
      </c>
    </row>
    <row r="913">
      <c r="A913">
        <f>IF(Sync!$P910="","",Sync!$P910)</f>
        <v/>
      </c>
      <c r="B913">
        <f>IF($A913="","",IF(ISNUMBER($A913),IF(AND($A913&gt;=10000101,$A913&lt;=99991231),INT($A913/10000),""),IFERROR(VALUE(TRIM(LEFT($A913,FIND("/",$A913)-1))),"")))</f>
        <v/>
      </c>
      <c r="C913">
        <f>IF(OR($A913="",$B913=""),"",IF(ISNUMBER($A913),INT(MOD($A913,10000)/100),IFERROR(VALUE(TRIM(LEFT(MID($A913,FIND("/",$A913)+1,20),FIND("/",MID($A913,FIND("/",$A913)+1,20))-1))),"")))</f>
        <v/>
      </c>
      <c r="D913">
        <f>IF(OR($A913="",$B913=""),"",IF(ISNUMBER($A913),MOD($A913,100),IFERROR(VALUE(TRIM(MID(MID($A913,FIND("/",$A913)+1,20),FIND("/",MID($A913,FIND("/",$A913)+1,20))+1,20))),"")))</f>
        <v/>
      </c>
      <c r="E913">
        <f>IF($A913="","",IF(OR($B913="",$C913="",$D913="",$B913&lt;1300,$B913&gt;1500,$C913&lt;1,$C913&gt;12,$D913&lt;1,$D913&gt;31),"نامعتبر",RIGHT("0000"&amp;$B913,4)&amp;"/"&amp;RIGHT("00"&amp;$C913,2)&amp;"/"&amp;RIGHT("00"&amp;$D913,2)))</f>
        <v/>
      </c>
      <c r="F913">
        <f>IF(OR($E913="",$E913="نامعتبر"),"",IF(Sync!$Q910="","0000",IF(AND(ISNUMBER(Sync!$Q910),Sync!$Q910&gt;=0,Sync!$Q910&lt;1),RIGHT("00"&amp;HOUR(Sync!$Q910),2)&amp;RIGHT("00"&amp;MINUTE(Sync!$Q910),2),IFERROR(RIGHT("00"&amp;VALUE(LEFT(Sync!$Q910,FIND(":",Sync!$Q910)-1)),2)&amp;RIGHT("00"&amp;VALUE(MID(Sync!$Q910,FIND(":",Sync!$Q910)+1,2)),2),"0000"))))</f>
        <v/>
      </c>
      <c r="G913">
        <f>IF(OR($E913="",$E913="نامعتبر"),"",IF(Sync!$S910="","",Sync!$S910))</f>
        <v/>
      </c>
      <c r="H913">
        <f>IF(OR($E913="",$E913="نامعتبر"),"",IF(Sync!$R910="","",Sync!$R910))</f>
        <v/>
      </c>
      <c r="I913">
        <f>IF(OR($E913="",$E913="نامعتبر"),"",IF(Sync!$T910="","",Sync!$T910))</f>
        <v/>
      </c>
      <c r="J913">
        <f>IF(OR($E913="",$E913="نامعتبر"),"",IF(Sync!$U910="","",Sync!$U910))</f>
        <v/>
      </c>
      <c r="K913">
        <f>IF(OR($E913="",$E913="نامعتبر"),"",IF(Sync!$V910="","",IFERROR(INDEX(SubCodes,MATCH(Sync!$V910,SubTitles,0)),Sync!$V910)))</f>
        <v/>
      </c>
      <c r="L913">
        <f>IF(OR($E913="",$E913="نامعتبر"),"",IF(Sync!$W910="",0,Sync!$W910))</f>
        <v/>
      </c>
      <c r="M913">
        <f>IF(OR($E913="",$E913="نامعتبر"),"",IF(Sync!$X910="",0,Sync!$X910))</f>
        <v/>
      </c>
      <c r="N913">
        <f>IF(OR($E913="",$E913="نامعتبر"),"",IF(AND($J913="هزینه",$K913&lt;&gt;""),1,0))</f>
        <v/>
      </c>
      <c r="O913">
        <f>IF($N913=0,"",LEFT($E913,4)&amp;MID($E913,6,2)&amp;RIGHT($E913,2)&amp;$F913&amp;"|"&amp;"1"&amp;RIGHT("00000"&amp;905,5))</f>
        <v/>
      </c>
      <c r="P913">
        <f>IF($O913="","",COUNTIFS(ExpSub,$K913,ExpKey,"&lt;"&amp;$O913)+1)</f>
        <v/>
      </c>
      <c r="Q913">
        <f>IF($P913="","",$K913&amp;"|"&amp;RIGHT("000000"&amp;$P913,6))</f>
        <v/>
      </c>
    </row>
    <row r="914">
      <c r="A914">
        <f>IF(Sync!$P911="","",Sync!$P911)</f>
        <v/>
      </c>
      <c r="B914">
        <f>IF($A914="","",IF(ISNUMBER($A914),IF(AND($A914&gt;=10000101,$A914&lt;=99991231),INT($A914/10000),""),IFERROR(VALUE(TRIM(LEFT($A914,FIND("/",$A914)-1))),"")))</f>
        <v/>
      </c>
      <c r="C914">
        <f>IF(OR($A914="",$B914=""),"",IF(ISNUMBER($A914),INT(MOD($A914,10000)/100),IFERROR(VALUE(TRIM(LEFT(MID($A914,FIND("/",$A914)+1,20),FIND("/",MID($A914,FIND("/",$A914)+1,20))-1))),"")))</f>
        <v/>
      </c>
      <c r="D914">
        <f>IF(OR($A914="",$B914=""),"",IF(ISNUMBER($A914),MOD($A914,100),IFERROR(VALUE(TRIM(MID(MID($A914,FIND("/",$A914)+1,20),FIND("/",MID($A914,FIND("/",$A914)+1,20))+1,20))),"")))</f>
        <v/>
      </c>
      <c r="E914">
        <f>IF($A914="","",IF(OR($B914="",$C914="",$D914="",$B914&lt;1300,$B914&gt;1500,$C914&lt;1,$C914&gt;12,$D914&lt;1,$D914&gt;31),"نامعتبر",RIGHT("0000"&amp;$B914,4)&amp;"/"&amp;RIGHT("00"&amp;$C914,2)&amp;"/"&amp;RIGHT("00"&amp;$D914,2)))</f>
        <v/>
      </c>
      <c r="F914">
        <f>IF(OR($E914="",$E914="نامعتبر"),"",IF(Sync!$Q911="","0000",IF(AND(ISNUMBER(Sync!$Q911),Sync!$Q911&gt;=0,Sync!$Q911&lt;1),RIGHT("00"&amp;HOUR(Sync!$Q911),2)&amp;RIGHT("00"&amp;MINUTE(Sync!$Q911),2),IFERROR(RIGHT("00"&amp;VALUE(LEFT(Sync!$Q911,FIND(":",Sync!$Q911)-1)),2)&amp;RIGHT("00"&amp;VALUE(MID(Sync!$Q911,FIND(":",Sync!$Q911)+1,2)),2),"0000"))))</f>
        <v/>
      </c>
      <c r="G914">
        <f>IF(OR($E914="",$E914="نامعتبر"),"",IF(Sync!$S911="","",Sync!$S911))</f>
        <v/>
      </c>
      <c r="H914">
        <f>IF(OR($E914="",$E914="نامعتبر"),"",IF(Sync!$R911="","",Sync!$R911))</f>
        <v/>
      </c>
      <c r="I914">
        <f>IF(OR($E914="",$E914="نامعتبر"),"",IF(Sync!$T911="","",Sync!$T911))</f>
        <v/>
      </c>
      <c r="J914">
        <f>IF(OR($E914="",$E914="نامعتبر"),"",IF(Sync!$U911="","",Sync!$U911))</f>
        <v/>
      </c>
      <c r="K914">
        <f>IF(OR($E914="",$E914="نامعتبر"),"",IF(Sync!$V911="","",IFERROR(INDEX(SubCodes,MATCH(Sync!$V911,SubTitles,0)),Sync!$V911)))</f>
        <v/>
      </c>
      <c r="L914">
        <f>IF(OR($E914="",$E914="نامعتبر"),"",IF(Sync!$W911="",0,Sync!$W911))</f>
        <v/>
      </c>
      <c r="M914">
        <f>IF(OR($E914="",$E914="نامعتبر"),"",IF(Sync!$X911="",0,Sync!$X911))</f>
        <v/>
      </c>
      <c r="N914">
        <f>IF(OR($E914="",$E914="نامعتبر"),"",IF(AND($J914="هزینه",$K914&lt;&gt;""),1,0))</f>
        <v/>
      </c>
      <c r="O914">
        <f>IF($N914=0,"",LEFT($E914,4)&amp;MID($E914,6,2)&amp;RIGHT($E914,2)&amp;$F914&amp;"|"&amp;"1"&amp;RIGHT("00000"&amp;906,5))</f>
        <v/>
      </c>
      <c r="P914">
        <f>IF($O914="","",COUNTIFS(ExpSub,$K914,ExpKey,"&lt;"&amp;$O914)+1)</f>
        <v/>
      </c>
      <c r="Q914">
        <f>IF($P914="","",$K914&amp;"|"&amp;RIGHT("000000"&amp;$P914,6))</f>
        <v/>
      </c>
    </row>
    <row r="915">
      <c r="A915">
        <f>IF(Sync!$P912="","",Sync!$P912)</f>
        <v/>
      </c>
      <c r="B915">
        <f>IF($A915="","",IF(ISNUMBER($A915),IF(AND($A915&gt;=10000101,$A915&lt;=99991231),INT($A915/10000),""),IFERROR(VALUE(TRIM(LEFT($A915,FIND("/",$A915)-1))),"")))</f>
        <v/>
      </c>
      <c r="C915">
        <f>IF(OR($A915="",$B915=""),"",IF(ISNUMBER($A915),INT(MOD($A915,10000)/100),IFERROR(VALUE(TRIM(LEFT(MID($A915,FIND("/",$A915)+1,20),FIND("/",MID($A915,FIND("/",$A915)+1,20))-1))),"")))</f>
        <v/>
      </c>
      <c r="D915">
        <f>IF(OR($A915="",$B915=""),"",IF(ISNUMBER($A915),MOD($A915,100),IFERROR(VALUE(TRIM(MID(MID($A915,FIND("/",$A915)+1,20),FIND("/",MID($A915,FIND("/",$A915)+1,20))+1,20))),"")))</f>
        <v/>
      </c>
      <c r="E915">
        <f>IF($A915="","",IF(OR($B915="",$C915="",$D915="",$B915&lt;1300,$B915&gt;1500,$C915&lt;1,$C915&gt;12,$D915&lt;1,$D915&gt;31),"نامعتبر",RIGHT("0000"&amp;$B915,4)&amp;"/"&amp;RIGHT("00"&amp;$C915,2)&amp;"/"&amp;RIGHT("00"&amp;$D915,2)))</f>
        <v/>
      </c>
      <c r="F915">
        <f>IF(OR($E915="",$E915="نامعتبر"),"",IF(Sync!$Q912="","0000",IF(AND(ISNUMBER(Sync!$Q912),Sync!$Q912&gt;=0,Sync!$Q912&lt;1),RIGHT("00"&amp;HOUR(Sync!$Q912),2)&amp;RIGHT("00"&amp;MINUTE(Sync!$Q912),2),IFERROR(RIGHT("00"&amp;VALUE(LEFT(Sync!$Q912,FIND(":",Sync!$Q912)-1)),2)&amp;RIGHT("00"&amp;VALUE(MID(Sync!$Q912,FIND(":",Sync!$Q912)+1,2)),2),"0000"))))</f>
        <v/>
      </c>
      <c r="G915">
        <f>IF(OR($E915="",$E915="نامعتبر"),"",IF(Sync!$S912="","",Sync!$S912))</f>
        <v/>
      </c>
      <c r="H915">
        <f>IF(OR($E915="",$E915="نامعتبر"),"",IF(Sync!$R912="","",Sync!$R912))</f>
        <v/>
      </c>
      <c r="I915">
        <f>IF(OR($E915="",$E915="نامعتبر"),"",IF(Sync!$T912="","",Sync!$T912))</f>
        <v/>
      </c>
      <c r="J915">
        <f>IF(OR($E915="",$E915="نامعتبر"),"",IF(Sync!$U912="","",Sync!$U912))</f>
        <v/>
      </c>
      <c r="K915">
        <f>IF(OR($E915="",$E915="نامعتبر"),"",IF(Sync!$V912="","",IFERROR(INDEX(SubCodes,MATCH(Sync!$V912,SubTitles,0)),Sync!$V912)))</f>
        <v/>
      </c>
      <c r="L915">
        <f>IF(OR($E915="",$E915="نامعتبر"),"",IF(Sync!$W912="",0,Sync!$W912))</f>
        <v/>
      </c>
      <c r="M915">
        <f>IF(OR($E915="",$E915="نامعتبر"),"",IF(Sync!$X912="",0,Sync!$X912))</f>
        <v/>
      </c>
      <c r="N915">
        <f>IF(OR($E915="",$E915="نامعتبر"),"",IF(AND($J915="هزینه",$K915&lt;&gt;""),1,0))</f>
        <v/>
      </c>
      <c r="O915">
        <f>IF($N915=0,"",LEFT($E915,4)&amp;MID($E915,6,2)&amp;RIGHT($E915,2)&amp;$F915&amp;"|"&amp;"1"&amp;RIGHT("00000"&amp;907,5))</f>
        <v/>
      </c>
      <c r="P915">
        <f>IF($O915="","",COUNTIFS(ExpSub,$K915,ExpKey,"&lt;"&amp;$O915)+1)</f>
        <v/>
      </c>
      <c r="Q915">
        <f>IF($P915="","",$K915&amp;"|"&amp;RIGHT("000000"&amp;$P915,6))</f>
        <v/>
      </c>
    </row>
    <row r="916">
      <c r="A916">
        <f>IF(Sync!$P913="","",Sync!$P913)</f>
        <v/>
      </c>
      <c r="B916">
        <f>IF($A916="","",IF(ISNUMBER($A916),IF(AND($A916&gt;=10000101,$A916&lt;=99991231),INT($A916/10000),""),IFERROR(VALUE(TRIM(LEFT($A916,FIND("/",$A916)-1))),"")))</f>
        <v/>
      </c>
      <c r="C916">
        <f>IF(OR($A916="",$B916=""),"",IF(ISNUMBER($A916),INT(MOD($A916,10000)/100),IFERROR(VALUE(TRIM(LEFT(MID($A916,FIND("/",$A916)+1,20),FIND("/",MID($A916,FIND("/",$A916)+1,20))-1))),"")))</f>
        <v/>
      </c>
      <c r="D916">
        <f>IF(OR($A916="",$B916=""),"",IF(ISNUMBER($A916),MOD($A916,100),IFERROR(VALUE(TRIM(MID(MID($A916,FIND("/",$A916)+1,20),FIND("/",MID($A916,FIND("/",$A916)+1,20))+1,20))),"")))</f>
        <v/>
      </c>
      <c r="E916">
        <f>IF($A916="","",IF(OR($B916="",$C916="",$D916="",$B916&lt;1300,$B916&gt;1500,$C916&lt;1,$C916&gt;12,$D916&lt;1,$D916&gt;31),"نامعتبر",RIGHT("0000"&amp;$B916,4)&amp;"/"&amp;RIGHT("00"&amp;$C916,2)&amp;"/"&amp;RIGHT("00"&amp;$D916,2)))</f>
        <v/>
      </c>
      <c r="F916">
        <f>IF(OR($E916="",$E916="نامعتبر"),"",IF(Sync!$Q913="","0000",IF(AND(ISNUMBER(Sync!$Q913),Sync!$Q913&gt;=0,Sync!$Q913&lt;1),RIGHT("00"&amp;HOUR(Sync!$Q913),2)&amp;RIGHT("00"&amp;MINUTE(Sync!$Q913),2),IFERROR(RIGHT("00"&amp;VALUE(LEFT(Sync!$Q913,FIND(":",Sync!$Q913)-1)),2)&amp;RIGHT("00"&amp;VALUE(MID(Sync!$Q913,FIND(":",Sync!$Q913)+1,2)),2),"0000"))))</f>
        <v/>
      </c>
      <c r="G916">
        <f>IF(OR($E916="",$E916="نامعتبر"),"",IF(Sync!$S913="","",Sync!$S913))</f>
        <v/>
      </c>
      <c r="H916">
        <f>IF(OR($E916="",$E916="نامعتبر"),"",IF(Sync!$R913="","",Sync!$R913))</f>
        <v/>
      </c>
      <c r="I916">
        <f>IF(OR($E916="",$E916="نامعتبر"),"",IF(Sync!$T913="","",Sync!$T913))</f>
        <v/>
      </c>
      <c r="J916">
        <f>IF(OR($E916="",$E916="نامعتبر"),"",IF(Sync!$U913="","",Sync!$U913))</f>
        <v/>
      </c>
      <c r="K916">
        <f>IF(OR($E916="",$E916="نامعتبر"),"",IF(Sync!$V913="","",IFERROR(INDEX(SubCodes,MATCH(Sync!$V913,SubTitles,0)),Sync!$V913)))</f>
        <v/>
      </c>
      <c r="L916">
        <f>IF(OR($E916="",$E916="نامعتبر"),"",IF(Sync!$W913="",0,Sync!$W913))</f>
        <v/>
      </c>
      <c r="M916">
        <f>IF(OR($E916="",$E916="نامعتبر"),"",IF(Sync!$X913="",0,Sync!$X913))</f>
        <v/>
      </c>
      <c r="N916">
        <f>IF(OR($E916="",$E916="نامعتبر"),"",IF(AND($J916="هزینه",$K916&lt;&gt;""),1,0))</f>
        <v/>
      </c>
      <c r="O916">
        <f>IF($N916=0,"",LEFT($E916,4)&amp;MID($E916,6,2)&amp;RIGHT($E916,2)&amp;$F916&amp;"|"&amp;"1"&amp;RIGHT("00000"&amp;908,5))</f>
        <v/>
      </c>
      <c r="P916">
        <f>IF($O916="","",COUNTIFS(ExpSub,$K916,ExpKey,"&lt;"&amp;$O916)+1)</f>
        <v/>
      </c>
      <c r="Q916">
        <f>IF($P916="","",$K916&amp;"|"&amp;RIGHT("000000"&amp;$P916,6))</f>
        <v/>
      </c>
    </row>
    <row r="917">
      <c r="A917">
        <f>IF(Sync!$P914="","",Sync!$P914)</f>
        <v/>
      </c>
      <c r="B917">
        <f>IF($A917="","",IF(ISNUMBER($A917),IF(AND($A917&gt;=10000101,$A917&lt;=99991231),INT($A917/10000),""),IFERROR(VALUE(TRIM(LEFT($A917,FIND("/",$A917)-1))),"")))</f>
        <v/>
      </c>
      <c r="C917">
        <f>IF(OR($A917="",$B917=""),"",IF(ISNUMBER($A917),INT(MOD($A917,10000)/100),IFERROR(VALUE(TRIM(LEFT(MID($A917,FIND("/",$A917)+1,20),FIND("/",MID($A917,FIND("/",$A917)+1,20))-1))),"")))</f>
        <v/>
      </c>
      <c r="D917">
        <f>IF(OR($A917="",$B917=""),"",IF(ISNUMBER($A917),MOD($A917,100),IFERROR(VALUE(TRIM(MID(MID($A917,FIND("/",$A917)+1,20),FIND("/",MID($A917,FIND("/",$A917)+1,20))+1,20))),"")))</f>
        <v/>
      </c>
      <c r="E917">
        <f>IF($A917="","",IF(OR($B917="",$C917="",$D917="",$B917&lt;1300,$B917&gt;1500,$C917&lt;1,$C917&gt;12,$D917&lt;1,$D917&gt;31),"نامعتبر",RIGHT("0000"&amp;$B917,4)&amp;"/"&amp;RIGHT("00"&amp;$C917,2)&amp;"/"&amp;RIGHT("00"&amp;$D917,2)))</f>
        <v/>
      </c>
      <c r="F917">
        <f>IF(OR($E917="",$E917="نامعتبر"),"",IF(Sync!$Q914="","0000",IF(AND(ISNUMBER(Sync!$Q914),Sync!$Q914&gt;=0,Sync!$Q914&lt;1),RIGHT("00"&amp;HOUR(Sync!$Q914),2)&amp;RIGHT("00"&amp;MINUTE(Sync!$Q914),2),IFERROR(RIGHT("00"&amp;VALUE(LEFT(Sync!$Q914,FIND(":",Sync!$Q914)-1)),2)&amp;RIGHT("00"&amp;VALUE(MID(Sync!$Q914,FIND(":",Sync!$Q914)+1,2)),2),"0000"))))</f>
        <v/>
      </c>
      <c r="G917">
        <f>IF(OR($E917="",$E917="نامعتبر"),"",IF(Sync!$S914="","",Sync!$S914))</f>
        <v/>
      </c>
      <c r="H917">
        <f>IF(OR($E917="",$E917="نامعتبر"),"",IF(Sync!$R914="","",Sync!$R914))</f>
        <v/>
      </c>
      <c r="I917">
        <f>IF(OR($E917="",$E917="نامعتبر"),"",IF(Sync!$T914="","",Sync!$T914))</f>
        <v/>
      </c>
      <c r="J917">
        <f>IF(OR($E917="",$E917="نامعتبر"),"",IF(Sync!$U914="","",Sync!$U914))</f>
        <v/>
      </c>
      <c r="K917">
        <f>IF(OR($E917="",$E917="نامعتبر"),"",IF(Sync!$V914="","",IFERROR(INDEX(SubCodes,MATCH(Sync!$V914,SubTitles,0)),Sync!$V914)))</f>
        <v/>
      </c>
      <c r="L917">
        <f>IF(OR($E917="",$E917="نامعتبر"),"",IF(Sync!$W914="",0,Sync!$W914))</f>
        <v/>
      </c>
      <c r="M917">
        <f>IF(OR($E917="",$E917="نامعتبر"),"",IF(Sync!$X914="",0,Sync!$X914))</f>
        <v/>
      </c>
      <c r="N917">
        <f>IF(OR($E917="",$E917="نامعتبر"),"",IF(AND($J917="هزینه",$K917&lt;&gt;""),1,0))</f>
        <v/>
      </c>
      <c r="O917">
        <f>IF($N917=0,"",LEFT($E917,4)&amp;MID($E917,6,2)&amp;RIGHT($E917,2)&amp;$F917&amp;"|"&amp;"1"&amp;RIGHT("00000"&amp;909,5))</f>
        <v/>
      </c>
      <c r="P917">
        <f>IF($O917="","",COUNTIFS(ExpSub,$K917,ExpKey,"&lt;"&amp;$O917)+1)</f>
        <v/>
      </c>
      <c r="Q917">
        <f>IF($P917="","",$K917&amp;"|"&amp;RIGHT("000000"&amp;$P917,6))</f>
        <v/>
      </c>
    </row>
    <row r="918">
      <c r="A918">
        <f>IF(Sync!$P915="","",Sync!$P915)</f>
        <v/>
      </c>
      <c r="B918">
        <f>IF($A918="","",IF(ISNUMBER($A918),IF(AND($A918&gt;=10000101,$A918&lt;=99991231),INT($A918/10000),""),IFERROR(VALUE(TRIM(LEFT($A918,FIND("/",$A918)-1))),"")))</f>
        <v/>
      </c>
      <c r="C918">
        <f>IF(OR($A918="",$B918=""),"",IF(ISNUMBER($A918),INT(MOD($A918,10000)/100),IFERROR(VALUE(TRIM(LEFT(MID($A918,FIND("/",$A918)+1,20),FIND("/",MID($A918,FIND("/",$A918)+1,20))-1))),"")))</f>
        <v/>
      </c>
      <c r="D918">
        <f>IF(OR($A918="",$B918=""),"",IF(ISNUMBER($A918),MOD($A918,100),IFERROR(VALUE(TRIM(MID(MID($A918,FIND("/",$A918)+1,20),FIND("/",MID($A918,FIND("/",$A918)+1,20))+1,20))),"")))</f>
        <v/>
      </c>
      <c r="E918">
        <f>IF($A918="","",IF(OR($B918="",$C918="",$D918="",$B918&lt;1300,$B918&gt;1500,$C918&lt;1,$C918&gt;12,$D918&lt;1,$D918&gt;31),"نامعتبر",RIGHT("0000"&amp;$B918,4)&amp;"/"&amp;RIGHT("00"&amp;$C918,2)&amp;"/"&amp;RIGHT("00"&amp;$D918,2)))</f>
        <v/>
      </c>
      <c r="F918">
        <f>IF(OR($E918="",$E918="نامعتبر"),"",IF(Sync!$Q915="","0000",IF(AND(ISNUMBER(Sync!$Q915),Sync!$Q915&gt;=0,Sync!$Q915&lt;1),RIGHT("00"&amp;HOUR(Sync!$Q915),2)&amp;RIGHT("00"&amp;MINUTE(Sync!$Q915),2),IFERROR(RIGHT("00"&amp;VALUE(LEFT(Sync!$Q915,FIND(":",Sync!$Q915)-1)),2)&amp;RIGHT("00"&amp;VALUE(MID(Sync!$Q915,FIND(":",Sync!$Q915)+1,2)),2),"0000"))))</f>
        <v/>
      </c>
      <c r="G918">
        <f>IF(OR($E918="",$E918="نامعتبر"),"",IF(Sync!$S915="","",Sync!$S915))</f>
        <v/>
      </c>
      <c r="H918">
        <f>IF(OR($E918="",$E918="نامعتبر"),"",IF(Sync!$R915="","",Sync!$R915))</f>
        <v/>
      </c>
      <c r="I918">
        <f>IF(OR($E918="",$E918="نامعتبر"),"",IF(Sync!$T915="","",Sync!$T915))</f>
        <v/>
      </c>
      <c r="J918">
        <f>IF(OR($E918="",$E918="نامعتبر"),"",IF(Sync!$U915="","",Sync!$U915))</f>
        <v/>
      </c>
      <c r="K918">
        <f>IF(OR($E918="",$E918="نامعتبر"),"",IF(Sync!$V915="","",IFERROR(INDEX(SubCodes,MATCH(Sync!$V915,SubTitles,0)),Sync!$V915)))</f>
        <v/>
      </c>
      <c r="L918">
        <f>IF(OR($E918="",$E918="نامعتبر"),"",IF(Sync!$W915="",0,Sync!$W915))</f>
        <v/>
      </c>
      <c r="M918">
        <f>IF(OR($E918="",$E918="نامعتبر"),"",IF(Sync!$X915="",0,Sync!$X915))</f>
        <v/>
      </c>
      <c r="N918">
        <f>IF(OR($E918="",$E918="نامعتبر"),"",IF(AND($J918="هزینه",$K918&lt;&gt;""),1,0))</f>
        <v/>
      </c>
      <c r="O918">
        <f>IF($N918=0,"",LEFT($E918,4)&amp;MID($E918,6,2)&amp;RIGHT($E918,2)&amp;$F918&amp;"|"&amp;"1"&amp;RIGHT("00000"&amp;910,5))</f>
        <v/>
      </c>
      <c r="P918">
        <f>IF($O918="","",COUNTIFS(ExpSub,$K918,ExpKey,"&lt;"&amp;$O918)+1)</f>
        <v/>
      </c>
      <c r="Q918">
        <f>IF($P918="","",$K918&amp;"|"&amp;RIGHT("000000"&amp;$P918,6))</f>
        <v/>
      </c>
    </row>
    <row r="919">
      <c r="A919">
        <f>IF(Sync!$P916="","",Sync!$P916)</f>
        <v/>
      </c>
      <c r="B919">
        <f>IF($A919="","",IF(ISNUMBER($A919),IF(AND($A919&gt;=10000101,$A919&lt;=99991231),INT($A919/10000),""),IFERROR(VALUE(TRIM(LEFT($A919,FIND("/",$A919)-1))),"")))</f>
        <v/>
      </c>
      <c r="C919">
        <f>IF(OR($A919="",$B919=""),"",IF(ISNUMBER($A919),INT(MOD($A919,10000)/100),IFERROR(VALUE(TRIM(LEFT(MID($A919,FIND("/",$A919)+1,20),FIND("/",MID($A919,FIND("/",$A919)+1,20))-1))),"")))</f>
        <v/>
      </c>
      <c r="D919">
        <f>IF(OR($A919="",$B919=""),"",IF(ISNUMBER($A919),MOD($A919,100),IFERROR(VALUE(TRIM(MID(MID($A919,FIND("/",$A919)+1,20),FIND("/",MID($A919,FIND("/",$A919)+1,20))+1,20))),"")))</f>
        <v/>
      </c>
      <c r="E919">
        <f>IF($A919="","",IF(OR($B919="",$C919="",$D919="",$B919&lt;1300,$B919&gt;1500,$C919&lt;1,$C919&gt;12,$D919&lt;1,$D919&gt;31),"نامعتبر",RIGHT("0000"&amp;$B919,4)&amp;"/"&amp;RIGHT("00"&amp;$C919,2)&amp;"/"&amp;RIGHT("00"&amp;$D919,2)))</f>
        <v/>
      </c>
      <c r="F919">
        <f>IF(OR($E919="",$E919="نامعتبر"),"",IF(Sync!$Q916="","0000",IF(AND(ISNUMBER(Sync!$Q916),Sync!$Q916&gt;=0,Sync!$Q916&lt;1),RIGHT("00"&amp;HOUR(Sync!$Q916),2)&amp;RIGHT("00"&amp;MINUTE(Sync!$Q916),2),IFERROR(RIGHT("00"&amp;VALUE(LEFT(Sync!$Q916,FIND(":",Sync!$Q916)-1)),2)&amp;RIGHT("00"&amp;VALUE(MID(Sync!$Q916,FIND(":",Sync!$Q916)+1,2)),2),"0000"))))</f>
        <v/>
      </c>
      <c r="G919">
        <f>IF(OR($E919="",$E919="نامعتبر"),"",IF(Sync!$S916="","",Sync!$S916))</f>
        <v/>
      </c>
      <c r="H919">
        <f>IF(OR($E919="",$E919="نامعتبر"),"",IF(Sync!$R916="","",Sync!$R916))</f>
        <v/>
      </c>
      <c r="I919">
        <f>IF(OR($E919="",$E919="نامعتبر"),"",IF(Sync!$T916="","",Sync!$T916))</f>
        <v/>
      </c>
      <c r="J919">
        <f>IF(OR($E919="",$E919="نامعتبر"),"",IF(Sync!$U916="","",Sync!$U916))</f>
        <v/>
      </c>
      <c r="K919">
        <f>IF(OR($E919="",$E919="نامعتبر"),"",IF(Sync!$V916="","",IFERROR(INDEX(SubCodes,MATCH(Sync!$V916,SubTitles,0)),Sync!$V916)))</f>
        <v/>
      </c>
      <c r="L919">
        <f>IF(OR($E919="",$E919="نامعتبر"),"",IF(Sync!$W916="",0,Sync!$W916))</f>
        <v/>
      </c>
      <c r="M919">
        <f>IF(OR($E919="",$E919="نامعتبر"),"",IF(Sync!$X916="",0,Sync!$X916))</f>
        <v/>
      </c>
      <c r="N919">
        <f>IF(OR($E919="",$E919="نامعتبر"),"",IF(AND($J919="هزینه",$K919&lt;&gt;""),1,0))</f>
        <v/>
      </c>
      <c r="O919">
        <f>IF($N919=0,"",LEFT($E919,4)&amp;MID($E919,6,2)&amp;RIGHT($E919,2)&amp;$F919&amp;"|"&amp;"1"&amp;RIGHT("00000"&amp;911,5))</f>
        <v/>
      </c>
      <c r="P919">
        <f>IF($O919="","",COUNTIFS(ExpSub,$K919,ExpKey,"&lt;"&amp;$O919)+1)</f>
        <v/>
      </c>
      <c r="Q919">
        <f>IF($P919="","",$K919&amp;"|"&amp;RIGHT("000000"&amp;$P919,6))</f>
        <v/>
      </c>
    </row>
    <row r="920">
      <c r="A920">
        <f>IF(Sync!$P917="","",Sync!$P917)</f>
        <v/>
      </c>
      <c r="B920">
        <f>IF($A920="","",IF(ISNUMBER($A920),IF(AND($A920&gt;=10000101,$A920&lt;=99991231),INT($A920/10000),""),IFERROR(VALUE(TRIM(LEFT($A920,FIND("/",$A920)-1))),"")))</f>
        <v/>
      </c>
      <c r="C920">
        <f>IF(OR($A920="",$B920=""),"",IF(ISNUMBER($A920),INT(MOD($A920,10000)/100),IFERROR(VALUE(TRIM(LEFT(MID($A920,FIND("/",$A920)+1,20),FIND("/",MID($A920,FIND("/",$A920)+1,20))-1))),"")))</f>
        <v/>
      </c>
      <c r="D920">
        <f>IF(OR($A920="",$B920=""),"",IF(ISNUMBER($A920),MOD($A920,100),IFERROR(VALUE(TRIM(MID(MID($A920,FIND("/",$A920)+1,20),FIND("/",MID($A920,FIND("/",$A920)+1,20))+1,20))),"")))</f>
        <v/>
      </c>
      <c r="E920">
        <f>IF($A920="","",IF(OR($B920="",$C920="",$D920="",$B920&lt;1300,$B920&gt;1500,$C920&lt;1,$C920&gt;12,$D920&lt;1,$D920&gt;31),"نامعتبر",RIGHT("0000"&amp;$B920,4)&amp;"/"&amp;RIGHT("00"&amp;$C920,2)&amp;"/"&amp;RIGHT("00"&amp;$D920,2)))</f>
        <v/>
      </c>
      <c r="F920">
        <f>IF(OR($E920="",$E920="نامعتبر"),"",IF(Sync!$Q917="","0000",IF(AND(ISNUMBER(Sync!$Q917),Sync!$Q917&gt;=0,Sync!$Q917&lt;1),RIGHT("00"&amp;HOUR(Sync!$Q917),2)&amp;RIGHT("00"&amp;MINUTE(Sync!$Q917),2),IFERROR(RIGHT("00"&amp;VALUE(LEFT(Sync!$Q917,FIND(":",Sync!$Q917)-1)),2)&amp;RIGHT("00"&amp;VALUE(MID(Sync!$Q917,FIND(":",Sync!$Q917)+1,2)),2),"0000"))))</f>
        <v/>
      </c>
      <c r="G920">
        <f>IF(OR($E920="",$E920="نامعتبر"),"",IF(Sync!$S917="","",Sync!$S917))</f>
        <v/>
      </c>
      <c r="H920">
        <f>IF(OR($E920="",$E920="نامعتبر"),"",IF(Sync!$R917="","",Sync!$R917))</f>
        <v/>
      </c>
      <c r="I920">
        <f>IF(OR($E920="",$E920="نامعتبر"),"",IF(Sync!$T917="","",Sync!$T917))</f>
        <v/>
      </c>
      <c r="J920">
        <f>IF(OR($E920="",$E920="نامعتبر"),"",IF(Sync!$U917="","",Sync!$U917))</f>
        <v/>
      </c>
      <c r="K920">
        <f>IF(OR($E920="",$E920="نامعتبر"),"",IF(Sync!$V917="","",IFERROR(INDEX(SubCodes,MATCH(Sync!$V917,SubTitles,0)),Sync!$V917)))</f>
        <v/>
      </c>
      <c r="L920">
        <f>IF(OR($E920="",$E920="نامعتبر"),"",IF(Sync!$W917="",0,Sync!$W917))</f>
        <v/>
      </c>
      <c r="M920">
        <f>IF(OR($E920="",$E920="نامعتبر"),"",IF(Sync!$X917="",0,Sync!$X917))</f>
        <v/>
      </c>
      <c r="N920">
        <f>IF(OR($E920="",$E920="نامعتبر"),"",IF(AND($J920="هزینه",$K920&lt;&gt;""),1,0))</f>
        <v/>
      </c>
      <c r="O920">
        <f>IF($N920=0,"",LEFT($E920,4)&amp;MID($E920,6,2)&amp;RIGHT($E920,2)&amp;$F920&amp;"|"&amp;"1"&amp;RIGHT("00000"&amp;912,5))</f>
        <v/>
      </c>
      <c r="P920">
        <f>IF($O920="","",COUNTIFS(ExpSub,$K920,ExpKey,"&lt;"&amp;$O920)+1)</f>
        <v/>
      </c>
      <c r="Q920">
        <f>IF($P920="","",$K920&amp;"|"&amp;RIGHT("000000"&amp;$P920,6))</f>
        <v/>
      </c>
    </row>
    <row r="921">
      <c r="A921">
        <f>IF(Sync!$P918="","",Sync!$P918)</f>
        <v/>
      </c>
      <c r="B921">
        <f>IF($A921="","",IF(ISNUMBER($A921),IF(AND($A921&gt;=10000101,$A921&lt;=99991231),INT($A921/10000),""),IFERROR(VALUE(TRIM(LEFT($A921,FIND("/",$A921)-1))),"")))</f>
        <v/>
      </c>
      <c r="C921">
        <f>IF(OR($A921="",$B921=""),"",IF(ISNUMBER($A921),INT(MOD($A921,10000)/100),IFERROR(VALUE(TRIM(LEFT(MID($A921,FIND("/",$A921)+1,20),FIND("/",MID($A921,FIND("/",$A921)+1,20))-1))),"")))</f>
        <v/>
      </c>
      <c r="D921">
        <f>IF(OR($A921="",$B921=""),"",IF(ISNUMBER($A921),MOD($A921,100),IFERROR(VALUE(TRIM(MID(MID($A921,FIND("/",$A921)+1,20),FIND("/",MID($A921,FIND("/",$A921)+1,20))+1,20))),"")))</f>
        <v/>
      </c>
      <c r="E921">
        <f>IF($A921="","",IF(OR($B921="",$C921="",$D921="",$B921&lt;1300,$B921&gt;1500,$C921&lt;1,$C921&gt;12,$D921&lt;1,$D921&gt;31),"نامعتبر",RIGHT("0000"&amp;$B921,4)&amp;"/"&amp;RIGHT("00"&amp;$C921,2)&amp;"/"&amp;RIGHT("00"&amp;$D921,2)))</f>
        <v/>
      </c>
      <c r="F921">
        <f>IF(OR($E921="",$E921="نامعتبر"),"",IF(Sync!$Q918="","0000",IF(AND(ISNUMBER(Sync!$Q918),Sync!$Q918&gt;=0,Sync!$Q918&lt;1),RIGHT("00"&amp;HOUR(Sync!$Q918),2)&amp;RIGHT("00"&amp;MINUTE(Sync!$Q918),2),IFERROR(RIGHT("00"&amp;VALUE(LEFT(Sync!$Q918,FIND(":",Sync!$Q918)-1)),2)&amp;RIGHT("00"&amp;VALUE(MID(Sync!$Q918,FIND(":",Sync!$Q918)+1,2)),2),"0000"))))</f>
        <v/>
      </c>
      <c r="G921">
        <f>IF(OR($E921="",$E921="نامعتبر"),"",IF(Sync!$S918="","",Sync!$S918))</f>
        <v/>
      </c>
      <c r="H921">
        <f>IF(OR($E921="",$E921="نامعتبر"),"",IF(Sync!$R918="","",Sync!$R918))</f>
        <v/>
      </c>
      <c r="I921">
        <f>IF(OR($E921="",$E921="نامعتبر"),"",IF(Sync!$T918="","",Sync!$T918))</f>
        <v/>
      </c>
      <c r="J921">
        <f>IF(OR($E921="",$E921="نامعتبر"),"",IF(Sync!$U918="","",Sync!$U918))</f>
        <v/>
      </c>
      <c r="K921">
        <f>IF(OR($E921="",$E921="نامعتبر"),"",IF(Sync!$V918="","",IFERROR(INDEX(SubCodes,MATCH(Sync!$V918,SubTitles,0)),Sync!$V918)))</f>
        <v/>
      </c>
      <c r="L921">
        <f>IF(OR($E921="",$E921="نامعتبر"),"",IF(Sync!$W918="",0,Sync!$W918))</f>
        <v/>
      </c>
      <c r="M921">
        <f>IF(OR($E921="",$E921="نامعتبر"),"",IF(Sync!$X918="",0,Sync!$X918))</f>
        <v/>
      </c>
      <c r="N921">
        <f>IF(OR($E921="",$E921="نامعتبر"),"",IF(AND($J921="هزینه",$K921&lt;&gt;""),1,0))</f>
        <v/>
      </c>
      <c r="O921">
        <f>IF($N921=0,"",LEFT($E921,4)&amp;MID($E921,6,2)&amp;RIGHT($E921,2)&amp;$F921&amp;"|"&amp;"1"&amp;RIGHT("00000"&amp;913,5))</f>
        <v/>
      </c>
      <c r="P921">
        <f>IF($O921="","",COUNTIFS(ExpSub,$K921,ExpKey,"&lt;"&amp;$O921)+1)</f>
        <v/>
      </c>
      <c r="Q921">
        <f>IF($P921="","",$K921&amp;"|"&amp;RIGHT("000000"&amp;$P921,6))</f>
        <v/>
      </c>
    </row>
    <row r="922">
      <c r="A922">
        <f>IF(Sync!$P919="","",Sync!$P919)</f>
        <v/>
      </c>
      <c r="B922">
        <f>IF($A922="","",IF(ISNUMBER($A922),IF(AND($A922&gt;=10000101,$A922&lt;=99991231),INT($A922/10000),""),IFERROR(VALUE(TRIM(LEFT($A922,FIND("/",$A922)-1))),"")))</f>
        <v/>
      </c>
      <c r="C922">
        <f>IF(OR($A922="",$B922=""),"",IF(ISNUMBER($A922),INT(MOD($A922,10000)/100),IFERROR(VALUE(TRIM(LEFT(MID($A922,FIND("/",$A922)+1,20),FIND("/",MID($A922,FIND("/",$A922)+1,20))-1))),"")))</f>
        <v/>
      </c>
      <c r="D922">
        <f>IF(OR($A922="",$B922=""),"",IF(ISNUMBER($A922),MOD($A922,100),IFERROR(VALUE(TRIM(MID(MID($A922,FIND("/",$A922)+1,20),FIND("/",MID($A922,FIND("/",$A922)+1,20))+1,20))),"")))</f>
        <v/>
      </c>
      <c r="E922">
        <f>IF($A922="","",IF(OR($B922="",$C922="",$D922="",$B922&lt;1300,$B922&gt;1500,$C922&lt;1,$C922&gt;12,$D922&lt;1,$D922&gt;31),"نامعتبر",RIGHT("0000"&amp;$B922,4)&amp;"/"&amp;RIGHT("00"&amp;$C922,2)&amp;"/"&amp;RIGHT("00"&amp;$D922,2)))</f>
        <v/>
      </c>
      <c r="F922">
        <f>IF(OR($E922="",$E922="نامعتبر"),"",IF(Sync!$Q919="","0000",IF(AND(ISNUMBER(Sync!$Q919),Sync!$Q919&gt;=0,Sync!$Q919&lt;1),RIGHT("00"&amp;HOUR(Sync!$Q919),2)&amp;RIGHT("00"&amp;MINUTE(Sync!$Q919),2),IFERROR(RIGHT("00"&amp;VALUE(LEFT(Sync!$Q919,FIND(":",Sync!$Q919)-1)),2)&amp;RIGHT("00"&amp;VALUE(MID(Sync!$Q919,FIND(":",Sync!$Q919)+1,2)),2),"0000"))))</f>
        <v/>
      </c>
      <c r="G922">
        <f>IF(OR($E922="",$E922="نامعتبر"),"",IF(Sync!$S919="","",Sync!$S919))</f>
        <v/>
      </c>
      <c r="H922">
        <f>IF(OR($E922="",$E922="نامعتبر"),"",IF(Sync!$R919="","",Sync!$R919))</f>
        <v/>
      </c>
      <c r="I922">
        <f>IF(OR($E922="",$E922="نامعتبر"),"",IF(Sync!$T919="","",Sync!$T919))</f>
        <v/>
      </c>
      <c r="J922">
        <f>IF(OR($E922="",$E922="نامعتبر"),"",IF(Sync!$U919="","",Sync!$U919))</f>
        <v/>
      </c>
      <c r="K922">
        <f>IF(OR($E922="",$E922="نامعتبر"),"",IF(Sync!$V919="","",IFERROR(INDEX(SubCodes,MATCH(Sync!$V919,SubTitles,0)),Sync!$V919)))</f>
        <v/>
      </c>
      <c r="L922">
        <f>IF(OR($E922="",$E922="نامعتبر"),"",IF(Sync!$W919="",0,Sync!$W919))</f>
        <v/>
      </c>
      <c r="M922">
        <f>IF(OR($E922="",$E922="نامعتبر"),"",IF(Sync!$X919="",0,Sync!$X919))</f>
        <v/>
      </c>
      <c r="N922">
        <f>IF(OR($E922="",$E922="نامعتبر"),"",IF(AND($J922="هزینه",$K922&lt;&gt;""),1,0))</f>
        <v/>
      </c>
      <c r="O922">
        <f>IF($N922=0,"",LEFT($E922,4)&amp;MID($E922,6,2)&amp;RIGHT($E922,2)&amp;$F922&amp;"|"&amp;"1"&amp;RIGHT("00000"&amp;914,5))</f>
        <v/>
      </c>
      <c r="P922">
        <f>IF($O922="","",COUNTIFS(ExpSub,$K922,ExpKey,"&lt;"&amp;$O922)+1)</f>
        <v/>
      </c>
      <c r="Q922">
        <f>IF($P922="","",$K922&amp;"|"&amp;RIGHT("000000"&amp;$P922,6))</f>
        <v/>
      </c>
    </row>
    <row r="923">
      <c r="A923">
        <f>IF(Sync!$P920="","",Sync!$P920)</f>
        <v/>
      </c>
      <c r="B923">
        <f>IF($A923="","",IF(ISNUMBER($A923),IF(AND($A923&gt;=10000101,$A923&lt;=99991231),INT($A923/10000),""),IFERROR(VALUE(TRIM(LEFT($A923,FIND("/",$A923)-1))),"")))</f>
        <v/>
      </c>
      <c r="C923">
        <f>IF(OR($A923="",$B923=""),"",IF(ISNUMBER($A923),INT(MOD($A923,10000)/100),IFERROR(VALUE(TRIM(LEFT(MID($A923,FIND("/",$A923)+1,20),FIND("/",MID($A923,FIND("/",$A923)+1,20))-1))),"")))</f>
        <v/>
      </c>
      <c r="D923">
        <f>IF(OR($A923="",$B923=""),"",IF(ISNUMBER($A923),MOD($A923,100),IFERROR(VALUE(TRIM(MID(MID($A923,FIND("/",$A923)+1,20),FIND("/",MID($A923,FIND("/",$A923)+1,20))+1,20))),"")))</f>
        <v/>
      </c>
      <c r="E923">
        <f>IF($A923="","",IF(OR($B923="",$C923="",$D923="",$B923&lt;1300,$B923&gt;1500,$C923&lt;1,$C923&gt;12,$D923&lt;1,$D923&gt;31),"نامعتبر",RIGHT("0000"&amp;$B923,4)&amp;"/"&amp;RIGHT("00"&amp;$C923,2)&amp;"/"&amp;RIGHT("00"&amp;$D923,2)))</f>
        <v/>
      </c>
      <c r="F923">
        <f>IF(OR($E923="",$E923="نامعتبر"),"",IF(Sync!$Q920="","0000",IF(AND(ISNUMBER(Sync!$Q920),Sync!$Q920&gt;=0,Sync!$Q920&lt;1),RIGHT("00"&amp;HOUR(Sync!$Q920),2)&amp;RIGHT("00"&amp;MINUTE(Sync!$Q920),2),IFERROR(RIGHT("00"&amp;VALUE(LEFT(Sync!$Q920,FIND(":",Sync!$Q920)-1)),2)&amp;RIGHT("00"&amp;VALUE(MID(Sync!$Q920,FIND(":",Sync!$Q920)+1,2)),2),"0000"))))</f>
        <v/>
      </c>
      <c r="G923">
        <f>IF(OR($E923="",$E923="نامعتبر"),"",IF(Sync!$S920="","",Sync!$S920))</f>
        <v/>
      </c>
      <c r="H923">
        <f>IF(OR($E923="",$E923="نامعتبر"),"",IF(Sync!$R920="","",Sync!$R920))</f>
        <v/>
      </c>
      <c r="I923">
        <f>IF(OR($E923="",$E923="نامعتبر"),"",IF(Sync!$T920="","",Sync!$T920))</f>
        <v/>
      </c>
      <c r="J923">
        <f>IF(OR($E923="",$E923="نامعتبر"),"",IF(Sync!$U920="","",Sync!$U920))</f>
        <v/>
      </c>
      <c r="K923">
        <f>IF(OR($E923="",$E923="نامعتبر"),"",IF(Sync!$V920="","",IFERROR(INDEX(SubCodes,MATCH(Sync!$V920,SubTitles,0)),Sync!$V920)))</f>
        <v/>
      </c>
      <c r="L923">
        <f>IF(OR($E923="",$E923="نامعتبر"),"",IF(Sync!$W920="",0,Sync!$W920))</f>
        <v/>
      </c>
      <c r="M923">
        <f>IF(OR($E923="",$E923="نامعتبر"),"",IF(Sync!$X920="",0,Sync!$X920))</f>
        <v/>
      </c>
      <c r="N923">
        <f>IF(OR($E923="",$E923="نامعتبر"),"",IF(AND($J923="هزینه",$K923&lt;&gt;""),1,0))</f>
        <v/>
      </c>
      <c r="O923">
        <f>IF($N923=0,"",LEFT($E923,4)&amp;MID($E923,6,2)&amp;RIGHT($E923,2)&amp;$F923&amp;"|"&amp;"1"&amp;RIGHT("00000"&amp;915,5))</f>
        <v/>
      </c>
      <c r="P923">
        <f>IF($O923="","",COUNTIFS(ExpSub,$K923,ExpKey,"&lt;"&amp;$O923)+1)</f>
        <v/>
      </c>
      <c r="Q923">
        <f>IF($P923="","",$K923&amp;"|"&amp;RIGHT("000000"&amp;$P923,6))</f>
        <v/>
      </c>
    </row>
    <row r="924">
      <c r="A924">
        <f>IF(Sync!$P921="","",Sync!$P921)</f>
        <v/>
      </c>
      <c r="B924">
        <f>IF($A924="","",IF(ISNUMBER($A924),IF(AND($A924&gt;=10000101,$A924&lt;=99991231),INT($A924/10000),""),IFERROR(VALUE(TRIM(LEFT($A924,FIND("/",$A924)-1))),"")))</f>
        <v/>
      </c>
      <c r="C924">
        <f>IF(OR($A924="",$B924=""),"",IF(ISNUMBER($A924),INT(MOD($A924,10000)/100),IFERROR(VALUE(TRIM(LEFT(MID($A924,FIND("/",$A924)+1,20),FIND("/",MID($A924,FIND("/",$A924)+1,20))-1))),"")))</f>
        <v/>
      </c>
      <c r="D924">
        <f>IF(OR($A924="",$B924=""),"",IF(ISNUMBER($A924),MOD($A924,100),IFERROR(VALUE(TRIM(MID(MID($A924,FIND("/",$A924)+1,20),FIND("/",MID($A924,FIND("/",$A924)+1,20))+1,20))),"")))</f>
        <v/>
      </c>
      <c r="E924">
        <f>IF($A924="","",IF(OR($B924="",$C924="",$D924="",$B924&lt;1300,$B924&gt;1500,$C924&lt;1,$C924&gt;12,$D924&lt;1,$D924&gt;31),"نامعتبر",RIGHT("0000"&amp;$B924,4)&amp;"/"&amp;RIGHT("00"&amp;$C924,2)&amp;"/"&amp;RIGHT("00"&amp;$D924,2)))</f>
        <v/>
      </c>
      <c r="F924">
        <f>IF(OR($E924="",$E924="نامعتبر"),"",IF(Sync!$Q921="","0000",IF(AND(ISNUMBER(Sync!$Q921),Sync!$Q921&gt;=0,Sync!$Q921&lt;1),RIGHT("00"&amp;HOUR(Sync!$Q921),2)&amp;RIGHT("00"&amp;MINUTE(Sync!$Q921),2),IFERROR(RIGHT("00"&amp;VALUE(LEFT(Sync!$Q921,FIND(":",Sync!$Q921)-1)),2)&amp;RIGHT("00"&amp;VALUE(MID(Sync!$Q921,FIND(":",Sync!$Q921)+1,2)),2),"0000"))))</f>
        <v/>
      </c>
      <c r="G924">
        <f>IF(OR($E924="",$E924="نامعتبر"),"",IF(Sync!$S921="","",Sync!$S921))</f>
        <v/>
      </c>
      <c r="H924">
        <f>IF(OR($E924="",$E924="نامعتبر"),"",IF(Sync!$R921="","",Sync!$R921))</f>
        <v/>
      </c>
      <c r="I924">
        <f>IF(OR($E924="",$E924="نامعتبر"),"",IF(Sync!$T921="","",Sync!$T921))</f>
        <v/>
      </c>
      <c r="J924">
        <f>IF(OR($E924="",$E924="نامعتبر"),"",IF(Sync!$U921="","",Sync!$U921))</f>
        <v/>
      </c>
      <c r="K924">
        <f>IF(OR($E924="",$E924="نامعتبر"),"",IF(Sync!$V921="","",IFERROR(INDEX(SubCodes,MATCH(Sync!$V921,SubTitles,0)),Sync!$V921)))</f>
        <v/>
      </c>
      <c r="L924">
        <f>IF(OR($E924="",$E924="نامعتبر"),"",IF(Sync!$W921="",0,Sync!$W921))</f>
        <v/>
      </c>
      <c r="M924">
        <f>IF(OR($E924="",$E924="نامعتبر"),"",IF(Sync!$X921="",0,Sync!$X921))</f>
        <v/>
      </c>
      <c r="N924">
        <f>IF(OR($E924="",$E924="نامعتبر"),"",IF(AND($J924="هزینه",$K924&lt;&gt;""),1,0))</f>
        <v/>
      </c>
      <c r="O924">
        <f>IF($N924=0,"",LEFT($E924,4)&amp;MID($E924,6,2)&amp;RIGHT($E924,2)&amp;$F924&amp;"|"&amp;"1"&amp;RIGHT("00000"&amp;916,5))</f>
        <v/>
      </c>
      <c r="P924">
        <f>IF($O924="","",COUNTIFS(ExpSub,$K924,ExpKey,"&lt;"&amp;$O924)+1)</f>
        <v/>
      </c>
      <c r="Q924">
        <f>IF($P924="","",$K924&amp;"|"&amp;RIGHT("000000"&amp;$P924,6))</f>
        <v/>
      </c>
    </row>
    <row r="925">
      <c r="A925">
        <f>IF(Sync!$P922="","",Sync!$P922)</f>
        <v/>
      </c>
      <c r="B925">
        <f>IF($A925="","",IF(ISNUMBER($A925),IF(AND($A925&gt;=10000101,$A925&lt;=99991231),INT($A925/10000),""),IFERROR(VALUE(TRIM(LEFT($A925,FIND("/",$A925)-1))),"")))</f>
        <v/>
      </c>
      <c r="C925">
        <f>IF(OR($A925="",$B925=""),"",IF(ISNUMBER($A925),INT(MOD($A925,10000)/100),IFERROR(VALUE(TRIM(LEFT(MID($A925,FIND("/",$A925)+1,20),FIND("/",MID($A925,FIND("/",$A925)+1,20))-1))),"")))</f>
        <v/>
      </c>
      <c r="D925">
        <f>IF(OR($A925="",$B925=""),"",IF(ISNUMBER($A925),MOD($A925,100),IFERROR(VALUE(TRIM(MID(MID($A925,FIND("/",$A925)+1,20),FIND("/",MID($A925,FIND("/",$A925)+1,20))+1,20))),"")))</f>
        <v/>
      </c>
      <c r="E925">
        <f>IF($A925="","",IF(OR($B925="",$C925="",$D925="",$B925&lt;1300,$B925&gt;1500,$C925&lt;1,$C925&gt;12,$D925&lt;1,$D925&gt;31),"نامعتبر",RIGHT("0000"&amp;$B925,4)&amp;"/"&amp;RIGHT("00"&amp;$C925,2)&amp;"/"&amp;RIGHT("00"&amp;$D925,2)))</f>
        <v/>
      </c>
      <c r="F925">
        <f>IF(OR($E925="",$E925="نامعتبر"),"",IF(Sync!$Q922="","0000",IF(AND(ISNUMBER(Sync!$Q922),Sync!$Q922&gt;=0,Sync!$Q922&lt;1),RIGHT("00"&amp;HOUR(Sync!$Q922),2)&amp;RIGHT("00"&amp;MINUTE(Sync!$Q922),2),IFERROR(RIGHT("00"&amp;VALUE(LEFT(Sync!$Q922,FIND(":",Sync!$Q922)-1)),2)&amp;RIGHT("00"&amp;VALUE(MID(Sync!$Q922,FIND(":",Sync!$Q922)+1,2)),2),"0000"))))</f>
        <v/>
      </c>
      <c r="G925">
        <f>IF(OR($E925="",$E925="نامعتبر"),"",IF(Sync!$S922="","",Sync!$S922))</f>
        <v/>
      </c>
      <c r="H925">
        <f>IF(OR($E925="",$E925="نامعتبر"),"",IF(Sync!$R922="","",Sync!$R922))</f>
        <v/>
      </c>
      <c r="I925">
        <f>IF(OR($E925="",$E925="نامعتبر"),"",IF(Sync!$T922="","",Sync!$T922))</f>
        <v/>
      </c>
      <c r="J925">
        <f>IF(OR($E925="",$E925="نامعتبر"),"",IF(Sync!$U922="","",Sync!$U922))</f>
        <v/>
      </c>
      <c r="K925">
        <f>IF(OR($E925="",$E925="نامعتبر"),"",IF(Sync!$V922="","",IFERROR(INDEX(SubCodes,MATCH(Sync!$V922,SubTitles,0)),Sync!$V922)))</f>
        <v/>
      </c>
      <c r="L925">
        <f>IF(OR($E925="",$E925="نامعتبر"),"",IF(Sync!$W922="",0,Sync!$W922))</f>
        <v/>
      </c>
      <c r="M925">
        <f>IF(OR($E925="",$E925="نامعتبر"),"",IF(Sync!$X922="",0,Sync!$X922))</f>
        <v/>
      </c>
      <c r="N925">
        <f>IF(OR($E925="",$E925="نامعتبر"),"",IF(AND($J925="هزینه",$K925&lt;&gt;""),1,0))</f>
        <v/>
      </c>
      <c r="O925">
        <f>IF($N925=0,"",LEFT($E925,4)&amp;MID($E925,6,2)&amp;RIGHT($E925,2)&amp;$F925&amp;"|"&amp;"1"&amp;RIGHT("00000"&amp;917,5))</f>
        <v/>
      </c>
      <c r="P925">
        <f>IF($O925="","",COUNTIFS(ExpSub,$K925,ExpKey,"&lt;"&amp;$O925)+1)</f>
        <v/>
      </c>
      <c r="Q925">
        <f>IF($P925="","",$K925&amp;"|"&amp;RIGHT("000000"&amp;$P925,6))</f>
        <v/>
      </c>
    </row>
    <row r="926">
      <c r="A926">
        <f>IF(Sync!$P923="","",Sync!$P923)</f>
        <v/>
      </c>
      <c r="B926">
        <f>IF($A926="","",IF(ISNUMBER($A926),IF(AND($A926&gt;=10000101,$A926&lt;=99991231),INT($A926/10000),""),IFERROR(VALUE(TRIM(LEFT($A926,FIND("/",$A926)-1))),"")))</f>
        <v/>
      </c>
      <c r="C926">
        <f>IF(OR($A926="",$B926=""),"",IF(ISNUMBER($A926),INT(MOD($A926,10000)/100),IFERROR(VALUE(TRIM(LEFT(MID($A926,FIND("/",$A926)+1,20),FIND("/",MID($A926,FIND("/",$A926)+1,20))-1))),"")))</f>
        <v/>
      </c>
      <c r="D926">
        <f>IF(OR($A926="",$B926=""),"",IF(ISNUMBER($A926),MOD($A926,100),IFERROR(VALUE(TRIM(MID(MID($A926,FIND("/",$A926)+1,20),FIND("/",MID($A926,FIND("/",$A926)+1,20))+1,20))),"")))</f>
        <v/>
      </c>
      <c r="E926">
        <f>IF($A926="","",IF(OR($B926="",$C926="",$D926="",$B926&lt;1300,$B926&gt;1500,$C926&lt;1,$C926&gt;12,$D926&lt;1,$D926&gt;31),"نامعتبر",RIGHT("0000"&amp;$B926,4)&amp;"/"&amp;RIGHT("00"&amp;$C926,2)&amp;"/"&amp;RIGHT("00"&amp;$D926,2)))</f>
        <v/>
      </c>
      <c r="F926">
        <f>IF(OR($E926="",$E926="نامعتبر"),"",IF(Sync!$Q923="","0000",IF(AND(ISNUMBER(Sync!$Q923),Sync!$Q923&gt;=0,Sync!$Q923&lt;1),RIGHT("00"&amp;HOUR(Sync!$Q923),2)&amp;RIGHT("00"&amp;MINUTE(Sync!$Q923),2),IFERROR(RIGHT("00"&amp;VALUE(LEFT(Sync!$Q923,FIND(":",Sync!$Q923)-1)),2)&amp;RIGHT("00"&amp;VALUE(MID(Sync!$Q923,FIND(":",Sync!$Q923)+1,2)),2),"0000"))))</f>
        <v/>
      </c>
      <c r="G926">
        <f>IF(OR($E926="",$E926="نامعتبر"),"",IF(Sync!$S923="","",Sync!$S923))</f>
        <v/>
      </c>
      <c r="H926">
        <f>IF(OR($E926="",$E926="نامعتبر"),"",IF(Sync!$R923="","",Sync!$R923))</f>
        <v/>
      </c>
      <c r="I926">
        <f>IF(OR($E926="",$E926="نامعتبر"),"",IF(Sync!$T923="","",Sync!$T923))</f>
        <v/>
      </c>
      <c r="J926">
        <f>IF(OR($E926="",$E926="نامعتبر"),"",IF(Sync!$U923="","",Sync!$U923))</f>
        <v/>
      </c>
      <c r="K926">
        <f>IF(OR($E926="",$E926="نامعتبر"),"",IF(Sync!$V923="","",IFERROR(INDEX(SubCodes,MATCH(Sync!$V923,SubTitles,0)),Sync!$V923)))</f>
        <v/>
      </c>
      <c r="L926">
        <f>IF(OR($E926="",$E926="نامعتبر"),"",IF(Sync!$W923="",0,Sync!$W923))</f>
        <v/>
      </c>
      <c r="M926">
        <f>IF(OR($E926="",$E926="نامعتبر"),"",IF(Sync!$X923="",0,Sync!$X923))</f>
        <v/>
      </c>
      <c r="N926">
        <f>IF(OR($E926="",$E926="نامعتبر"),"",IF(AND($J926="هزینه",$K926&lt;&gt;""),1,0))</f>
        <v/>
      </c>
      <c r="O926">
        <f>IF($N926=0,"",LEFT($E926,4)&amp;MID($E926,6,2)&amp;RIGHT($E926,2)&amp;$F926&amp;"|"&amp;"1"&amp;RIGHT("00000"&amp;918,5))</f>
        <v/>
      </c>
      <c r="P926">
        <f>IF($O926="","",COUNTIFS(ExpSub,$K926,ExpKey,"&lt;"&amp;$O926)+1)</f>
        <v/>
      </c>
      <c r="Q926">
        <f>IF($P926="","",$K926&amp;"|"&amp;RIGHT("000000"&amp;$P926,6))</f>
        <v/>
      </c>
    </row>
    <row r="927">
      <c r="A927">
        <f>IF(Sync!$P924="","",Sync!$P924)</f>
        <v/>
      </c>
      <c r="B927">
        <f>IF($A927="","",IF(ISNUMBER($A927),IF(AND($A927&gt;=10000101,$A927&lt;=99991231),INT($A927/10000),""),IFERROR(VALUE(TRIM(LEFT($A927,FIND("/",$A927)-1))),"")))</f>
        <v/>
      </c>
      <c r="C927">
        <f>IF(OR($A927="",$B927=""),"",IF(ISNUMBER($A927),INT(MOD($A927,10000)/100),IFERROR(VALUE(TRIM(LEFT(MID($A927,FIND("/",$A927)+1,20),FIND("/",MID($A927,FIND("/",$A927)+1,20))-1))),"")))</f>
        <v/>
      </c>
      <c r="D927">
        <f>IF(OR($A927="",$B927=""),"",IF(ISNUMBER($A927),MOD($A927,100),IFERROR(VALUE(TRIM(MID(MID($A927,FIND("/",$A927)+1,20),FIND("/",MID($A927,FIND("/",$A927)+1,20))+1,20))),"")))</f>
        <v/>
      </c>
      <c r="E927">
        <f>IF($A927="","",IF(OR($B927="",$C927="",$D927="",$B927&lt;1300,$B927&gt;1500,$C927&lt;1,$C927&gt;12,$D927&lt;1,$D927&gt;31),"نامعتبر",RIGHT("0000"&amp;$B927,4)&amp;"/"&amp;RIGHT("00"&amp;$C927,2)&amp;"/"&amp;RIGHT("00"&amp;$D927,2)))</f>
        <v/>
      </c>
      <c r="F927">
        <f>IF(OR($E927="",$E927="نامعتبر"),"",IF(Sync!$Q924="","0000",IF(AND(ISNUMBER(Sync!$Q924),Sync!$Q924&gt;=0,Sync!$Q924&lt;1),RIGHT("00"&amp;HOUR(Sync!$Q924),2)&amp;RIGHT("00"&amp;MINUTE(Sync!$Q924),2),IFERROR(RIGHT("00"&amp;VALUE(LEFT(Sync!$Q924,FIND(":",Sync!$Q924)-1)),2)&amp;RIGHT("00"&amp;VALUE(MID(Sync!$Q924,FIND(":",Sync!$Q924)+1,2)),2),"0000"))))</f>
        <v/>
      </c>
      <c r="G927">
        <f>IF(OR($E927="",$E927="نامعتبر"),"",IF(Sync!$S924="","",Sync!$S924))</f>
        <v/>
      </c>
      <c r="H927">
        <f>IF(OR($E927="",$E927="نامعتبر"),"",IF(Sync!$R924="","",Sync!$R924))</f>
        <v/>
      </c>
      <c r="I927">
        <f>IF(OR($E927="",$E927="نامعتبر"),"",IF(Sync!$T924="","",Sync!$T924))</f>
        <v/>
      </c>
      <c r="J927">
        <f>IF(OR($E927="",$E927="نامعتبر"),"",IF(Sync!$U924="","",Sync!$U924))</f>
        <v/>
      </c>
      <c r="K927">
        <f>IF(OR($E927="",$E927="نامعتبر"),"",IF(Sync!$V924="","",IFERROR(INDEX(SubCodes,MATCH(Sync!$V924,SubTitles,0)),Sync!$V924)))</f>
        <v/>
      </c>
      <c r="L927">
        <f>IF(OR($E927="",$E927="نامعتبر"),"",IF(Sync!$W924="",0,Sync!$W924))</f>
        <v/>
      </c>
      <c r="M927">
        <f>IF(OR($E927="",$E927="نامعتبر"),"",IF(Sync!$X924="",0,Sync!$X924))</f>
        <v/>
      </c>
      <c r="N927">
        <f>IF(OR($E927="",$E927="نامعتبر"),"",IF(AND($J927="هزینه",$K927&lt;&gt;""),1,0))</f>
        <v/>
      </c>
      <c r="O927">
        <f>IF($N927=0,"",LEFT($E927,4)&amp;MID($E927,6,2)&amp;RIGHT($E927,2)&amp;$F927&amp;"|"&amp;"1"&amp;RIGHT("00000"&amp;919,5))</f>
        <v/>
      </c>
      <c r="P927">
        <f>IF($O927="","",COUNTIFS(ExpSub,$K927,ExpKey,"&lt;"&amp;$O927)+1)</f>
        <v/>
      </c>
      <c r="Q927">
        <f>IF($P927="","",$K927&amp;"|"&amp;RIGHT("000000"&amp;$P927,6))</f>
        <v/>
      </c>
    </row>
    <row r="928">
      <c r="A928">
        <f>IF(Sync!$P925="","",Sync!$P925)</f>
        <v/>
      </c>
      <c r="B928">
        <f>IF($A928="","",IF(ISNUMBER($A928),IF(AND($A928&gt;=10000101,$A928&lt;=99991231),INT($A928/10000),""),IFERROR(VALUE(TRIM(LEFT($A928,FIND("/",$A928)-1))),"")))</f>
        <v/>
      </c>
      <c r="C928">
        <f>IF(OR($A928="",$B928=""),"",IF(ISNUMBER($A928),INT(MOD($A928,10000)/100),IFERROR(VALUE(TRIM(LEFT(MID($A928,FIND("/",$A928)+1,20),FIND("/",MID($A928,FIND("/",$A928)+1,20))-1))),"")))</f>
        <v/>
      </c>
      <c r="D928">
        <f>IF(OR($A928="",$B928=""),"",IF(ISNUMBER($A928),MOD($A928,100),IFERROR(VALUE(TRIM(MID(MID($A928,FIND("/",$A928)+1,20),FIND("/",MID($A928,FIND("/",$A928)+1,20))+1,20))),"")))</f>
        <v/>
      </c>
      <c r="E928">
        <f>IF($A928="","",IF(OR($B928="",$C928="",$D928="",$B928&lt;1300,$B928&gt;1500,$C928&lt;1,$C928&gt;12,$D928&lt;1,$D928&gt;31),"نامعتبر",RIGHT("0000"&amp;$B928,4)&amp;"/"&amp;RIGHT("00"&amp;$C928,2)&amp;"/"&amp;RIGHT("00"&amp;$D928,2)))</f>
        <v/>
      </c>
      <c r="F928">
        <f>IF(OR($E928="",$E928="نامعتبر"),"",IF(Sync!$Q925="","0000",IF(AND(ISNUMBER(Sync!$Q925),Sync!$Q925&gt;=0,Sync!$Q925&lt;1),RIGHT("00"&amp;HOUR(Sync!$Q925),2)&amp;RIGHT("00"&amp;MINUTE(Sync!$Q925),2),IFERROR(RIGHT("00"&amp;VALUE(LEFT(Sync!$Q925,FIND(":",Sync!$Q925)-1)),2)&amp;RIGHT("00"&amp;VALUE(MID(Sync!$Q925,FIND(":",Sync!$Q925)+1,2)),2),"0000"))))</f>
        <v/>
      </c>
      <c r="G928">
        <f>IF(OR($E928="",$E928="نامعتبر"),"",IF(Sync!$S925="","",Sync!$S925))</f>
        <v/>
      </c>
      <c r="H928">
        <f>IF(OR($E928="",$E928="نامعتبر"),"",IF(Sync!$R925="","",Sync!$R925))</f>
        <v/>
      </c>
      <c r="I928">
        <f>IF(OR($E928="",$E928="نامعتبر"),"",IF(Sync!$T925="","",Sync!$T925))</f>
        <v/>
      </c>
      <c r="J928">
        <f>IF(OR($E928="",$E928="نامعتبر"),"",IF(Sync!$U925="","",Sync!$U925))</f>
        <v/>
      </c>
      <c r="K928">
        <f>IF(OR($E928="",$E928="نامعتبر"),"",IF(Sync!$V925="","",IFERROR(INDEX(SubCodes,MATCH(Sync!$V925,SubTitles,0)),Sync!$V925)))</f>
        <v/>
      </c>
      <c r="L928">
        <f>IF(OR($E928="",$E928="نامعتبر"),"",IF(Sync!$W925="",0,Sync!$W925))</f>
        <v/>
      </c>
      <c r="M928">
        <f>IF(OR($E928="",$E928="نامعتبر"),"",IF(Sync!$X925="",0,Sync!$X925))</f>
        <v/>
      </c>
      <c r="N928">
        <f>IF(OR($E928="",$E928="نامعتبر"),"",IF(AND($J928="هزینه",$K928&lt;&gt;""),1,0))</f>
        <v/>
      </c>
      <c r="O928">
        <f>IF($N928=0,"",LEFT($E928,4)&amp;MID($E928,6,2)&amp;RIGHT($E928,2)&amp;$F928&amp;"|"&amp;"1"&amp;RIGHT("00000"&amp;920,5))</f>
        <v/>
      </c>
      <c r="P928">
        <f>IF($O928="","",COUNTIFS(ExpSub,$K928,ExpKey,"&lt;"&amp;$O928)+1)</f>
        <v/>
      </c>
      <c r="Q928">
        <f>IF($P928="","",$K928&amp;"|"&amp;RIGHT("000000"&amp;$P928,6))</f>
        <v/>
      </c>
    </row>
    <row r="929">
      <c r="A929">
        <f>IF(Sync!$P926="","",Sync!$P926)</f>
        <v/>
      </c>
      <c r="B929">
        <f>IF($A929="","",IF(ISNUMBER($A929),IF(AND($A929&gt;=10000101,$A929&lt;=99991231),INT($A929/10000),""),IFERROR(VALUE(TRIM(LEFT($A929,FIND("/",$A929)-1))),"")))</f>
        <v/>
      </c>
      <c r="C929">
        <f>IF(OR($A929="",$B929=""),"",IF(ISNUMBER($A929),INT(MOD($A929,10000)/100),IFERROR(VALUE(TRIM(LEFT(MID($A929,FIND("/",$A929)+1,20),FIND("/",MID($A929,FIND("/",$A929)+1,20))-1))),"")))</f>
        <v/>
      </c>
      <c r="D929">
        <f>IF(OR($A929="",$B929=""),"",IF(ISNUMBER($A929),MOD($A929,100),IFERROR(VALUE(TRIM(MID(MID($A929,FIND("/",$A929)+1,20),FIND("/",MID($A929,FIND("/",$A929)+1,20))+1,20))),"")))</f>
        <v/>
      </c>
      <c r="E929">
        <f>IF($A929="","",IF(OR($B929="",$C929="",$D929="",$B929&lt;1300,$B929&gt;1500,$C929&lt;1,$C929&gt;12,$D929&lt;1,$D929&gt;31),"نامعتبر",RIGHT("0000"&amp;$B929,4)&amp;"/"&amp;RIGHT("00"&amp;$C929,2)&amp;"/"&amp;RIGHT("00"&amp;$D929,2)))</f>
        <v/>
      </c>
      <c r="F929">
        <f>IF(OR($E929="",$E929="نامعتبر"),"",IF(Sync!$Q926="","0000",IF(AND(ISNUMBER(Sync!$Q926),Sync!$Q926&gt;=0,Sync!$Q926&lt;1),RIGHT("00"&amp;HOUR(Sync!$Q926),2)&amp;RIGHT("00"&amp;MINUTE(Sync!$Q926),2),IFERROR(RIGHT("00"&amp;VALUE(LEFT(Sync!$Q926,FIND(":",Sync!$Q926)-1)),2)&amp;RIGHT("00"&amp;VALUE(MID(Sync!$Q926,FIND(":",Sync!$Q926)+1,2)),2),"0000"))))</f>
        <v/>
      </c>
      <c r="G929">
        <f>IF(OR($E929="",$E929="نامعتبر"),"",IF(Sync!$S926="","",Sync!$S926))</f>
        <v/>
      </c>
      <c r="H929">
        <f>IF(OR($E929="",$E929="نامعتبر"),"",IF(Sync!$R926="","",Sync!$R926))</f>
        <v/>
      </c>
      <c r="I929">
        <f>IF(OR($E929="",$E929="نامعتبر"),"",IF(Sync!$T926="","",Sync!$T926))</f>
        <v/>
      </c>
      <c r="J929">
        <f>IF(OR($E929="",$E929="نامعتبر"),"",IF(Sync!$U926="","",Sync!$U926))</f>
        <v/>
      </c>
      <c r="K929">
        <f>IF(OR($E929="",$E929="نامعتبر"),"",IF(Sync!$V926="","",IFERROR(INDEX(SubCodes,MATCH(Sync!$V926,SubTitles,0)),Sync!$V926)))</f>
        <v/>
      </c>
      <c r="L929">
        <f>IF(OR($E929="",$E929="نامعتبر"),"",IF(Sync!$W926="",0,Sync!$W926))</f>
        <v/>
      </c>
      <c r="M929">
        <f>IF(OR($E929="",$E929="نامعتبر"),"",IF(Sync!$X926="",0,Sync!$X926))</f>
        <v/>
      </c>
      <c r="N929">
        <f>IF(OR($E929="",$E929="نامعتبر"),"",IF(AND($J929="هزینه",$K929&lt;&gt;""),1,0))</f>
        <v/>
      </c>
      <c r="O929">
        <f>IF($N929=0,"",LEFT($E929,4)&amp;MID($E929,6,2)&amp;RIGHT($E929,2)&amp;$F929&amp;"|"&amp;"1"&amp;RIGHT("00000"&amp;921,5))</f>
        <v/>
      </c>
      <c r="P929">
        <f>IF($O929="","",COUNTIFS(ExpSub,$K929,ExpKey,"&lt;"&amp;$O929)+1)</f>
        <v/>
      </c>
      <c r="Q929">
        <f>IF($P929="","",$K929&amp;"|"&amp;RIGHT("000000"&amp;$P929,6))</f>
        <v/>
      </c>
    </row>
    <row r="930">
      <c r="A930">
        <f>IF(Sync!$P927="","",Sync!$P927)</f>
        <v/>
      </c>
      <c r="B930">
        <f>IF($A930="","",IF(ISNUMBER($A930),IF(AND($A930&gt;=10000101,$A930&lt;=99991231),INT($A930/10000),""),IFERROR(VALUE(TRIM(LEFT($A930,FIND("/",$A930)-1))),"")))</f>
        <v/>
      </c>
      <c r="C930">
        <f>IF(OR($A930="",$B930=""),"",IF(ISNUMBER($A930),INT(MOD($A930,10000)/100),IFERROR(VALUE(TRIM(LEFT(MID($A930,FIND("/",$A930)+1,20),FIND("/",MID($A930,FIND("/",$A930)+1,20))-1))),"")))</f>
        <v/>
      </c>
      <c r="D930">
        <f>IF(OR($A930="",$B930=""),"",IF(ISNUMBER($A930),MOD($A930,100),IFERROR(VALUE(TRIM(MID(MID($A930,FIND("/",$A930)+1,20),FIND("/",MID($A930,FIND("/",$A930)+1,20))+1,20))),"")))</f>
        <v/>
      </c>
      <c r="E930">
        <f>IF($A930="","",IF(OR($B930="",$C930="",$D930="",$B930&lt;1300,$B930&gt;1500,$C930&lt;1,$C930&gt;12,$D930&lt;1,$D930&gt;31),"نامعتبر",RIGHT("0000"&amp;$B930,4)&amp;"/"&amp;RIGHT("00"&amp;$C930,2)&amp;"/"&amp;RIGHT("00"&amp;$D930,2)))</f>
        <v/>
      </c>
      <c r="F930">
        <f>IF(OR($E930="",$E930="نامعتبر"),"",IF(Sync!$Q927="","0000",IF(AND(ISNUMBER(Sync!$Q927),Sync!$Q927&gt;=0,Sync!$Q927&lt;1),RIGHT("00"&amp;HOUR(Sync!$Q927),2)&amp;RIGHT("00"&amp;MINUTE(Sync!$Q927),2),IFERROR(RIGHT("00"&amp;VALUE(LEFT(Sync!$Q927,FIND(":",Sync!$Q927)-1)),2)&amp;RIGHT("00"&amp;VALUE(MID(Sync!$Q927,FIND(":",Sync!$Q927)+1,2)),2),"0000"))))</f>
        <v/>
      </c>
      <c r="G930">
        <f>IF(OR($E930="",$E930="نامعتبر"),"",IF(Sync!$S927="","",Sync!$S927))</f>
        <v/>
      </c>
      <c r="H930">
        <f>IF(OR($E930="",$E930="نامعتبر"),"",IF(Sync!$R927="","",Sync!$R927))</f>
        <v/>
      </c>
      <c r="I930">
        <f>IF(OR($E930="",$E930="نامعتبر"),"",IF(Sync!$T927="","",Sync!$T927))</f>
        <v/>
      </c>
      <c r="J930">
        <f>IF(OR($E930="",$E930="نامعتبر"),"",IF(Sync!$U927="","",Sync!$U927))</f>
        <v/>
      </c>
      <c r="K930">
        <f>IF(OR($E930="",$E930="نامعتبر"),"",IF(Sync!$V927="","",IFERROR(INDEX(SubCodes,MATCH(Sync!$V927,SubTitles,0)),Sync!$V927)))</f>
        <v/>
      </c>
      <c r="L930">
        <f>IF(OR($E930="",$E930="نامعتبر"),"",IF(Sync!$W927="",0,Sync!$W927))</f>
        <v/>
      </c>
      <c r="M930">
        <f>IF(OR($E930="",$E930="نامعتبر"),"",IF(Sync!$X927="",0,Sync!$X927))</f>
        <v/>
      </c>
      <c r="N930">
        <f>IF(OR($E930="",$E930="نامعتبر"),"",IF(AND($J930="هزینه",$K930&lt;&gt;""),1,0))</f>
        <v/>
      </c>
      <c r="O930">
        <f>IF($N930=0,"",LEFT($E930,4)&amp;MID($E930,6,2)&amp;RIGHT($E930,2)&amp;$F930&amp;"|"&amp;"1"&amp;RIGHT("00000"&amp;922,5))</f>
        <v/>
      </c>
      <c r="P930">
        <f>IF($O930="","",COUNTIFS(ExpSub,$K930,ExpKey,"&lt;"&amp;$O930)+1)</f>
        <v/>
      </c>
      <c r="Q930">
        <f>IF($P930="","",$K930&amp;"|"&amp;RIGHT("000000"&amp;$P930,6))</f>
        <v/>
      </c>
    </row>
    <row r="931">
      <c r="A931">
        <f>IF(Sync!$P928="","",Sync!$P928)</f>
        <v/>
      </c>
      <c r="B931">
        <f>IF($A931="","",IF(ISNUMBER($A931),IF(AND($A931&gt;=10000101,$A931&lt;=99991231),INT($A931/10000),""),IFERROR(VALUE(TRIM(LEFT($A931,FIND("/",$A931)-1))),"")))</f>
        <v/>
      </c>
      <c r="C931">
        <f>IF(OR($A931="",$B931=""),"",IF(ISNUMBER($A931),INT(MOD($A931,10000)/100),IFERROR(VALUE(TRIM(LEFT(MID($A931,FIND("/",$A931)+1,20),FIND("/",MID($A931,FIND("/",$A931)+1,20))-1))),"")))</f>
        <v/>
      </c>
      <c r="D931">
        <f>IF(OR($A931="",$B931=""),"",IF(ISNUMBER($A931),MOD($A931,100),IFERROR(VALUE(TRIM(MID(MID($A931,FIND("/",$A931)+1,20),FIND("/",MID($A931,FIND("/",$A931)+1,20))+1,20))),"")))</f>
        <v/>
      </c>
      <c r="E931">
        <f>IF($A931="","",IF(OR($B931="",$C931="",$D931="",$B931&lt;1300,$B931&gt;1500,$C931&lt;1,$C931&gt;12,$D931&lt;1,$D931&gt;31),"نامعتبر",RIGHT("0000"&amp;$B931,4)&amp;"/"&amp;RIGHT("00"&amp;$C931,2)&amp;"/"&amp;RIGHT("00"&amp;$D931,2)))</f>
        <v/>
      </c>
      <c r="F931">
        <f>IF(OR($E931="",$E931="نامعتبر"),"",IF(Sync!$Q928="","0000",IF(AND(ISNUMBER(Sync!$Q928),Sync!$Q928&gt;=0,Sync!$Q928&lt;1),RIGHT("00"&amp;HOUR(Sync!$Q928),2)&amp;RIGHT("00"&amp;MINUTE(Sync!$Q928),2),IFERROR(RIGHT("00"&amp;VALUE(LEFT(Sync!$Q928,FIND(":",Sync!$Q928)-1)),2)&amp;RIGHT("00"&amp;VALUE(MID(Sync!$Q928,FIND(":",Sync!$Q928)+1,2)),2),"0000"))))</f>
        <v/>
      </c>
      <c r="G931">
        <f>IF(OR($E931="",$E931="نامعتبر"),"",IF(Sync!$S928="","",Sync!$S928))</f>
        <v/>
      </c>
      <c r="H931">
        <f>IF(OR($E931="",$E931="نامعتبر"),"",IF(Sync!$R928="","",Sync!$R928))</f>
        <v/>
      </c>
      <c r="I931">
        <f>IF(OR($E931="",$E931="نامعتبر"),"",IF(Sync!$T928="","",Sync!$T928))</f>
        <v/>
      </c>
      <c r="J931">
        <f>IF(OR($E931="",$E931="نامعتبر"),"",IF(Sync!$U928="","",Sync!$U928))</f>
        <v/>
      </c>
      <c r="K931">
        <f>IF(OR($E931="",$E931="نامعتبر"),"",IF(Sync!$V928="","",IFERROR(INDEX(SubCodes,MATCH(Sync!$V928,SubTitles,0)),Sync!$V928)))</f>
        <v/>
      </c>
      <c r="L931">
        <f>IF(OR($E931="",$E931="نامعتبر"),"",IF(Sync!$W928="",0,Sync!$W928))</f>
        <v/>
      </c>
      <c r="M931">
        <f>IF(OR($E931="",$E931="نامعتبر"),"",IF(Sync!$X928="",0,Sync!$X928))</f>
        <v/>
      </c>
      <c r="N931">
        <f>IF(OR($E931="",$E931="نامعتبر"),"",IF(AND($J931="هزینه",$K931&lt;&gt;""),1,0))</f>
        <v/>
      </c>
      <c r="O931">
        <f>IF($N931=0,"",LEFT($E931,4)&amp;MID($E931,6,2)&amp;RIGHT($E931,2)&amp;$F931&amp;"|"&amp;"1"&amp;RIGHT("00000"&amp;923,5))</f>
        <v/>
      </c>
      <c r="P931">
        <f>IF($O931="","",COUNTIFS(ExpSub,$K931,ExpKey,"&lt;"&amp;$O931)+1)</f>
        <v/>
      </c>
      <c r="Q931">
        <f>IF($P931="","",$K931&amp;"|"&amp;RIGHT("000000"&amp;$P931,6))</f>
        <v/>
      </c>
    </row>
    <row r="932">
      <c r="A932">
        <f>IF(Sync!$P929="","",Sync!$P929)</f>
        <v/>
      </c>
      <c r="B932">
        <f>IF($A932="","",IF(ISNUMBER($A932),IF(AND($A932&gt;=10000101,$A932&lt;=99991231),INT($A932/10000),""),IFERROR(VALUE(TRIM(LEFT($A932,FIND("/",$A932)-1))),"")))</f>
        <v/>
      </c>
      <c r="C932">
        <f>IF(OR($A932="",$B932=""),"",IF(ISNUMBER($A932),INT(MOD($A932,10000)/100),IFERROR(VALUE(TRIM(LEFT(MID($A932,FIND("/",$A932)+1,20),FIND("/",MID($A932,FIND("/",$A932)+1,20))-1))),"")))</f>
        <v/>
      </c>
      <c r="D932">
        <f>IF(OR($A932="",$B932=""),"",IF(ISNUMBER($A932),MOD($A932,100),IFERROR(VALUE(TRIM(MID(MID($A932,FIND("/",$A932)+1,20),FIND("/",MID($A932,FIND("/",$A932)+1,20))+1,20))),"")))</f>
        <v/>
      </c>
      <c r="E932">
        <f>IF($A932="","",IF(OR($B932="",$C932="",$D932="",$B932&lt;1300,$B932&gt;1500,$C932&lt;1,$C932&gt;12,$D932&lt;1,$D932&gt;31),"نامعتبر",RIGHT("0000"&amp;$B932,4)&amp;"/"&amp;RIGHT("00"&amp;$C932,2)&amp;"/"&amp;RIGHT("00"&amp;$D932,2)))</f>
        <v/>
      </c>
      <c r="F932">
        <f>IF(OR($E932="",$E932="نامعتبر"),"",IF(Sync!$Q929="","0000",IF(AND(ISNUMBER(Sync!$Q929),Sync!$Q929&gt;=0,Sync!$Q929&lt;1),RIGHT("00"&amp;HOUR(Sync!$Q929),2)&amp;RIGHT("00"&amp;MINUTE(Sync!$Q929),2),IFERROR(RIGHT("00"&amp;VALUE(LEFT(Sync!$Q929,FIND(":",Sync!$Q929)-1)),2)&amp;RIGHT("00"&amp;VALUE(MID(Sync!$Q929,FIND(":",Sync!$Q929)+1,2)),2),"0000"))))</f>
        <v/>
      </c>
      <c r="G932">
        <f>IF(OR($E932="",$E932="نامعتبر"),"",IF(Sync!$S929="","",Sync!$S929))</f>
        <v/>
      </c>
      <c r="H932">
        <f>IF(OR($E932="",$E932="نامعتبر"),"",IF(Sync!$R929="","",Sync!$R929))</f>
        <v/>
      </c>
      <c r="I932">
        <f>IF(OR($E932="",$E932="نامعتبر"),"",IF(Sync!$T929="","",Sync!$T929))</f>
        <v/>
      </c>
      <c r="J932">
        <f>IF(OR($E932="",$E932="نامعتبر"),"",IF(Sync!$U929="","",Sync!$U929))</f>
        <v/>
      </c>
      <c r="K932">
        <f>IF(OR($E932="",$E932="نامعتبر"),"",IF(Sync!$V929="","",IFERROR(INDEX(SubCodes,MATCH(Sync!$V929,SubTitles,0)),Sync!$V929)))</f>
        <v/>
      </c>
      <c r="L932">
        <f>IF(OR($E932="",$E932="نامعتبر"),"",IF(Sync!$W929="",0,Sync!$W929))</f>
        <v/>
      </c>
      <c r="M932">
        <f>IF(OR($E932="",$E932="نامعتبر"),"",IF(Sync!$X929="",0,Sync!$X929))</f>
        <v/>
      </c>
      <c r="N932">
        <f>IF(OR($E932="",$E932="نامعتبر"),"",IF(AND($J932="هزینه",$K932&lt;&gt;""),1,0))</f>
        <v/>
      </c>
      <c r="O932">
        <f>IF($N932=0,"",LEFT($E932,4)&amp;MID($E932,6,2)&amp;RIGHT($E932,2)&amp;$F932&amp;"|"&amp;"1"&amp;RIGHT("00000"&amp;924,5))</f>
        <v/>
      </c>
      <c r="P932">
        <f>IF($O932="","",COUNTIFS(ExpSub,$K932,ExpKey,"&lt;"&amp;$O932)+1)</f>
        <v/>
      </c>
      <c r="Q932">
        <f>IF($P932="","",$K932&amp;"|"&amp;RIGHT("000000"&amp;$P932,6))</f>
        <v/>
      </c>
    </row>
    <row r="933">
      <c r="A933">
        <f>IF(Sync!$P930="","",Sync!$P930)</f>
        <v/>
      </c>
      <c r="B933">
        <f>IF($A933="","",IF(ISNUMBER($A933),IF(AND($A933&gt;=10000101,$A933&lt;=99991231),INT($A933/10000),""),IFERROR(VALUE(TRIM(LEFT($A933,FIND("/",$A933)-1))),"")))</f>
        <v/>
      </c>
      <c r="C933">
        <f>IF(OR($A933="",$B933=""),"",IF(ISNUMBER($A933),INT(MOD($A933,10000)/100),IFERROR(VALUE(TRIM(LEFT(MID($A933,FIND("/",$A933)+1,20),FIND("/",MID($A933,FIND("/",$A933)+1,20))-1))),"")))</f>
        <v/>
      </c>
      <c r="D933">
        <f>IF(OR($A933="",$B933=""),"",IF(ISNUMBER($A933),MOD($A933,100),IFERROR(VALUE(TRIM(MID(MID($A933,FIND("/",$A933)+1,20),FIND("/",MID($A933,FIND("/",$A933)+1,20))+1,20))),"")))</f>
        <v/>
      </c>
      <c r="E933">
        <f>IF($A933="","",IF(OR($B933="",$C933="",$D933="",$B933&lt;1300,$B933&gt;1500,$C933&lt;1,$C933&gt;12,$D933&lt;1,$D933&gt;31),"نامعتبر",RIGHT("0000"&amp;$B933,4)&amp;"/"&amp;RIGHT("00"&amp;$C933,2)&amp;"/"&amp;RIGHT("00"&amp;$D933,2)))</f>
        <v/>
      </c>
      <c r="F933">
        <f>IF(OR($E933="",$E933="نامعتبر"),"",IF(Sync!$Q930="","0000",IF(AND(ISNUMBER(Sync!$Q930),Sync!$Q930&gt;=0,Sync!$Q930&lt;1),RIGHT("00"&amp;HOUR(Sync!$Q930),2)&amp;RIGHT("00"&amp;MINUTE(Sync!$Q930),2),IFERROR(RIGHT("00"&amp;VALUE(LEFT(Sync!$Q930,FIND(":",Sync!$Q930)-1)),2)&amp;RIGHT("00"&amp;VALUE(MID(Sync!$Q930,FIND(":",Sync!$Q930)+1,2)),2),"0000"))))</f>
        <v/>
      </c>
      <c r="G933">
        <f>IF(OR($E933="",$E933="نامعتبر"),"",IF(Sync!$S930="","",Sync!$S930))</f>
        <v/>
      </c>
      <c r="H933">
        <f>IF(OR($E933="",$E933="نامعتبر"),"",IF(Sync!$R930="","",Sync!$R930))</f>
        <v/>
      </c>
      <c r="I933">
        <f>IF(OR($E933="",$E933="نامعتبر"),"",IF(Sync!$T930="","",Sync!$T930))</f>
        <v/>
      </c>
      <c r="J933">
        <f>IF(OR($E933="",$E933="نامعتبر"),"",IF(Sync!$U930="","",Sync!$U930))</f>
        <v/>
      </c>
      <c r="K933">
        <f>IF(OR($E933="",$E933="نامعتبر"),"",IF(Sync!$V930="","",IFERROR(INDEX(SubCodes,MATCH(Sync!$V930,SubTitles,0)),Sync!$V930)))</f>
        <v/>
      </c>
      <c r="L933">
        <f>IF(OR($E933="",$E933="نامعتبر"),"",IF(Sync!$W930="",0,Sync!$W930))</f>
        <v/>
      </c>
      <c r="M933">
        <f>IF(OR($E933="",$E933="نامعتبر"),"",IF(Sync!$X930="",0,Sync!$X930))</f>
        <v/>
      </c>
      <c r="N933">
        <f>IF(OR($E933="",$E933="نامعتبر"),"",IF(AND($J933="هزینه",$K933&lt;&gt;""),1,0))</f>
        <v/>
      </c>
      <c r="O933">
        <f>IF($N933=0,"",LEFT($E933,4)&amp;MID($E933,6,2)&amp;RIGHT($E933,2)&amp;$F933&amp;"|"&amp;"1"&amp;RIGHT("00000"&amp;925,5))</f>
        <v/>
      </c>
      <c r="P933">
        <f>IF($O933="","",COUNTIFS(ExpSub,$K933,ExpKey,"&lt;"&amp;$O933)+1)</f>
        <v/>
      </c>
      <c r="Q933">
        <f>IF($P933="","",$K933&amp;"|"&amp;RIGHT("000000"&amp;$P933,6))</f>
        <v/>
      </c>
    </row>
    <row r="934">
      <c r="A934">
        <f>IF(Sync!$P931="","",Sync!$P931)</f>
        <v/>
      </c>
      <c r="B934">
        <f>IF($A934="","",IF(ISNUMBER($A934),IF(AND($A934&gt;=10000101,$A934&lt;=99991231),INT($A934/10000),""),IFERROR(VALUE(TRIM(LEFT($A934,FIND("/",$A934)-1))),"")))</f>
        <v/>
      </c>
      <c r="C934">
        <f>IF(OR($A934="",$B934=""),"",IF(ISNUMBER($A934),INT(MOD($A934,10000)/100),IFERROR(VALUE(TRIM(LEFT(MID($A934,FIND("/",$A934)+1,20),FIND("/",MID($A934,FIND("/",$A934)+1,20))-1))),"")))</f>
        <v/>
      </c>
      <c r="D934">
        <f>IF(OR($A934="",$B934=""),"",IF(ISNUMBER($A934),MOD($A934,100),IFERROR(VALUE(TRIM(MID(MID($A934,FIND("/",$A934)+1,20),FIND("/",MID($A934,FIND("/",$A934)+1,20))+1,20))),"")))</f>
        <v/>
      </c>
      <c r="E934">
        <f>IF($A934="","",IF(OR($B934="",$C934="",$D934="",$B934&lt;1300,$B934&gt;1500,$C934&lt;1,$C934&gt;12,$D934&lt;1,$D934&gt;31),"نامعتبر",RIGHT("0000"&amp;$B934,4)&amp;"/"&amp;RIGHT("00"&amp;$C934,2)&amp;"/"&amp;RIGHT("00"&amp;$D934,2)))</f>
        <v/>
      </c>
      <c r="F934">
        <f>IF(OR($E934="",$E934="نامعتبر"),"",IF(Sync!$Q931="","0000",IF(AND(ISNUMBER(Sync!$Q931),Sync!$Q931&gt;=0,Sync!$Q931&lt;1),RIGHT("00"&amp;HOUR(Sync!$Q931),2)&amp;RIGHT("00"&amp;MINUTE(Sync!$Q931),2),IFERROR(RIGHT("00"&amp;VALUE(LEFT(Sync!$Q931,FIND(":",Sync!$Q931)-1)),2)&amp;RIGHT("00"&amp;VALUE(MID(Sync!$Q931,FIND(":",Sync!$Q931)+1,2)),2),"0000"))))</f>
        <v/>
      </c>
      <c r="G934">
        <f>IF(OR($E934="",$E934="نامعتبر"),"",IF(Sync!$S931="","",Sync!$S931))</f>
        <v/>
      </c>
      <c r="H934">
        <f>IF(OR($E934="",$E934="نامعتبر"),"",IF(Sync!$R931="","",Sync!$R931))</f>
        <v/>
      </c>
      <c r="I934">
        <f>IF(OR($E934="",$E934="نامعتبر"),"",IF(Sync!$T931="","",Sync!$T931))</f>
        <v/>
      </c>
      <c r="J934">
        <f>IF(OR($E934="",$E934="نامعتبر"),"",IF(Sync!$U931="","",Sync!$U931))</f>
        <v/>
      </c>
      <c r="K934">
        <f>IF(OR($E934="",$E934="نامعتبر"),"",IF(Sync!$V931="","",IFERROR(INDEX(SubCodes,MATCH(Sync!$V931,SubTitles,0)),Sync!$V931)))</f>
        <v/>
      </c>
      <c r="L934">
        <f>IF(OR($E934="",$E934="نامعتبر"),"",IF(Sync!$W931="",0,Sync!$W931))</f>
        <v/>
      </c>
      <c r="M934">
        <f>IF(OR($E934="",$E934="نامعتبر"),"",IF(Sync!$X931="",0,Sync!$X931))</f>
        <v/>
      </c>
      <c r="N934">
        <f>IF(OR($E934="",$E934="نامعتبر"),"",IF(AND($J934="هزینه",$K934&lt;&gt;""),1,0))</f>
        <v/>
      </c>
      <c r="O934">
        <f>IF($N934=0,"",LEFT($E934,4)&amp;MID($E934,6,2)&amp;RIGHT($E934,2)&amp;$F934&amp;"|"&amp;"1"&amp;RIGHT("00000"&amp;926,5))</f>
        <v/>
      </c>
      <c r="P934">
        <f>IF($O934="","",COUNTIFS(ExpSub,$K934,ExpKey,"&lt;"&amp;$O934)+1)</f>
        <v/>
      </c>
      <c r="Q934">
        <f>IF($P934="","",$K934&amp;"|"&amp;RIGHT("000000"&amp;$P934,6))</f>
        <v/>
      </c>
    </row>
    <row r="935">
      <c r="A935">
        <f>IF(Sync!$P932="","",Sync!$P932)</f>
        <v/>
      </c>
      <c r="B935">
        <f>IF($A935="","",IF(ISNUMBER($A935),IF(AND($A935&gt;=10000101,$A935&lt;=99991231),INT($A935/10000),""),IFERROR(VALUE(TRIM(LEFT($A935,FIND("/",$A935)-1))),"")))</f>
        <v/>
      </c>
      <c r="C935">
        <f>IF(OR($A935="",$B935=""),"",IF(ISNUMBER($A935),INT(MOD($A935,10000)/100),IFERROR(VALUE(TRIM(LEFT(MID($A935,FIND("/",$A935)+1,20),FIND("/",MID($A935,FIND("/",$A935)+1,20))-1))),"")))</f>
        <v/>
      </c>
      <c r="D935">
        <f>IF(OR($A935="",$B935=""),"",IF(ISNUMBER($A935),MOD($A935,100),IFERROR(VALUE(TRIM(MID(MID($A935,FIND("/",$A935)+1,20),FIND("/",MID($A935,FIND("/",$A935)+1,20))+1,20))),"")))</f>
        <v/>
      </c>
      <c r="E935">
        <f>IF($A935="","",IF(OR($B935="",$C935="",$D935="",$B935&lt;1300,$B935&gt;1500,$C935&lt;1,$C935&gt;12,$D935&lt;1,$D935&gt;31),"نامعتبر",RIGHT("0000"&amp;$B935,4)&amp;"/"&amp;RIGHT("00"&amp;$C935,2)&amp;"/"&amp;RIGHT("00"&amp;$D935,2)))</f>
        <v/>
      </c>
      <c r="F935">
        <f>IF(OR($E935="",$E935="نامعتبر"),"",IF(Sync!$Q932="","0000",IF(AND(ISNUMBER(Sync!$Q932),Sync!$Q932&gt;=0,Sync!$Q932&lt;1),RIGHT("00"&amp;HOUR(Sync!$Q932),2)&amp;RIGHT("00"&amp;MINUTE(Sync!$Q932),2),IFERROR(RIGHT("00"&amp;VALUE(LEFT(Sync!$Q932,FIND(":",Sync!$Q932)-1)),2)&amp;RIGHT("00"&amp;VALUE(MID(Sync!$Q932,FIND(":",Sync!$Q932)+1,2)),2),"0000"))))</f>
        <v/>
      </c>
      <c r="G935">
        <f>IF(OR($E935="",$E935="نامعتبر"),"",IF(Sync!$S932="","",Sync!$S932))</f>
        <v/>
      </c>
      <c r="H935">
        <f>IF(OR($E935="",$E935="نامعتبر"),"",IF(Sync!$R932="","",Sync!$R932))</f>
        <v/>
      </c>
      <c r="I935">
        <f>IF(OR($E935="",$E935="نامعتبر"),"",IF(Sync!$T932="","",Sync!$T932))</f>
        <v/>
      </c>
      <c r="J935">
        <f>IF(OR($E935="",$E935="نامعتبر"),"",IF(Sync!$U932="","",Sync!$U932))</f>
        <v/>
      </c>
      <c r="K935">
        <f>IF(OR($E935="",$E935="نامعتبر"),"",IF(Sync!$V932="","",IFERROR(INDEX(SubCodes,MATCH(Sync!$V932,SubTitles,0)),Sync!$V932)))</f>
        <v/>
      </c>
      <c r="L935">
        <f>IF(OR($E935="",$E935="نامعتبر"),"",IF(Sync!$W932="",0,Sync!$W932))</f>
        <v/>
      </c>
      <c r="M935">
        <f>IF(OR($E935="",$E935="نامعتبر"),"",IF(Sync!$X932="",0,Sync!$X932))</f>
        <v/>
      </c>
      <c r="N935">
        <f>IF(OR($E935="",$E935="نامعتبر"),"",IF(AND($J935="هزینه",$K935&lt;&gt;""),1,0))</f>
        <v/>
      </c>
      <c r="O935">
        <f>IF($N935=0,"",LEFT($E935,4)&amp;MID($E935,6,2)&amp;RIGHT($E935,2)&amp;$F935&amp;"|"&amp;"1"&amp;RIGHT("00000"&amp;927,5))</f>
        <v/>
      </c>
      <c r="P935">
        <f>IF($O935="","",COUNTIFS(ExpSub,$K935,ExpKey,"&lt;"&amp;$O935)+1)</f>
        <v/>
      </c>
      <c r="Q935">
        <f>IF($P935="","",$K935&amp;"|"&amp;RIGHT("000000"&amp;$P935,6))</f>
        <v/>
      </c>
    </row>
    <row r="936">
      <c r="A936">
        <f>IF(Sync!$P933="","",Sync!$P933)</f>
        <v/>
      </c>
      <c r="B936">
        <f>IF($A936="","",IF(ISNUMBER($A936),IF(AND($A936&gt;=10000101,$A936&lt;=99991231),INT($A936/10000),""),IFERROR(VALUE(TRIM(LEFT($A936,FIND("/",$A936)-1))),"")))</f>
        <v/>
      </c>
      <c r="C936">
        <f>IF(OR($A936="",$B936=""),"",IF(ISNUMBER($A936),INT(MOD($A936,10000)/100),IFERROR(VALUE(TRIM(LEFT(MID($A936,FIND("/",$A936)+1,20),FIND("/",MID($A936,FIND("/",$A936)+1,20))-1))),"")))</f>
        <v/>
      </c>
      <c r="D936">
        <f>IF(OR($A936="",$B936=""),"",IF(ISNUMBER($A936),MOD($A936,100),IFERROR(VALUE(TRIM(MID(MID($A936,FIND("/",$A936)+1,20),FIND("/",MID($A936,FIND("/",$A936)+1,20))+1,20))),"")))</f>
        <v/>
      </c>
      <c r="E936">
        <f>IF($A936="","",IF(OR($B936="",$C936="",$D936="",$B936&lt;1300,$B936&gt;1500,$C936&lt;1,$C936&gt;12,$D936&lt;1,$D936&gt;31),"نامعتبر",RIGHT("0000"&amp;$B936,4)&amp;"/"&amp;RIGHT("00"&amp;$C936,2)&amp;"/"&amp;RIGHT("00"&amp;$D936,2)))</f>
        <v/>
      </c>
      <c r="F936">
        <f>IF(OR($E936="",$E936="نامعتبر"),"",IF(Sync!$Q933="","0000",IF(AND(ISNUMBER(Sync!$Q933),Sync!$Q933&gt;=0,Sync!$Q933&lt;1),RIGHT("00"&amp;HOUR(Sync!$Q933),2)&amp;RIGHT("00"&amp;MINUTE(Sync!$Q933),2),IFERROR(RIGHT("00"&amp;VALUE(LEFT(Sync!$Q933,FIND(":",Sync!$Q933)-1)),2)&amp;RIGHT("00"&amp;VALUE(MID(Sync!$Q933,FIND(":",Sync!$Q933)+1,2)),2),"0000"))))</f>
        <v/>
      </c>
      <c r="G936">
        <f>IF(OR($E936="",$E936="نامعتبر"),"",IF(Sync!$S933="","",Sync!$S933))</f>
        <v/>
      </c>
      <c r="H936">
        <f>IF(OR($E936="",$E936="نامعتبر"),"",IF(Sync!$R933="","",Sync!$R933))</f>
        <v/>
      </c>
      <c r="I936">
        <f>IF(OR($E936="",$E936="نامعتبر"),"",IF(Sync!$T933="","",Sync!$T933))</f>
        <v/>
      </c>
      <c r="J936">
        <f>IF(OR($E936="",$E936="نامعتبر"),"",IF(Sync!$U933="","",Sync!$U933))</f>
        <v/>
      </c>
      <c r="K936">
        <f>IF(OR($E936="",$E936="نامعتبر"),"",IF(Sync!$V933="","",IFERROR(INDEX(SubCodes,MATCH(Sync!$V933,SubTitles,0)),Sync!$V933)))</f>
        <v/>
      </c>
      <c r="L936">
        <f>IF(OR($E936="",$E936="نامعتبر"),"",IF(Sync!$W933="",0,Sync!$W933))</f>
        <v/>
      </c>
      <c r="M936">
        <f>IF(OR($E936="",$E936="نامعتبر"),"",IF(Sync!$X933="",0,Sync!$X933))</f>
        <v/>
      </c>
      <c r="N936">
        <f>IF(OR($E936="",$E936="نامعتبر"),"",IF(AND($J936="هزینه",$K936&lt;&gt;""),1,0))</f>
        <v/>
      </c>
      <c r="O936">
        <f>IF($N936=0,"",LEFT($E936,4)&amp;MID($E936,6,2)&amp;RIGHT($E936,2)&amp;$F936&amp;"|"&amp;"1"&amp;RIGHT("00000"&amp;928,5))</f>
        <v/>
      </c>
      <c r="P936">
        <f>IF($O936="","",COUNTIFS(ExpSub,$K936,ExpKey,"&lt;"&amp;$O936)+1)</f>
        <v/>
      </c>
      <c r="Q936">
        <f>IF($P936="","",$K936&amp;"|"&amp;RIGHT("000000"&amp;$P936,6))</f>
        <v/>
      </c>
    </row>
    <row r="937">
      <c r="A937">
        <f>IF(Sync!$P934="","",Sync!$P934)</f>
        <v/>
      </c>
      <c r="B937">
        <f>IF($A937="","",IF(ISNUMBER($A937),IF(AND($A937&gt;=10000101,$A937&lt;=99991231),INT($A937/10000),""),IFERROR(VALUE(TRIM(LEFT($A937,FIND("/",$A937)-1))),"")))</f>
        <v/>
      </c>
      <c r="C937">
        <f>IF(OR($A937="",$B937=""),"",IF(ISNUMBER($A937),INT(MOD($A937,10000)/100),IFERROR(VALUE(TRIM(LEFT(MID($A937,FIND("/",$A937)+1,20),FIND("/",MID($A937,FIND("/",$A937)+1,20))-1))),"")))</f>
        <v/>
      </c>
      <c r="D937">
        <f>IF(OR($A937="",$B937=""),"",IF(ISNUMBER($A937),MOD($A937,100),IFERROR(VALUE(TRIM(MID(MID($A937,FIND("/",$A937)+1,20),FIND("/",MID($A937,FIND("/",$A937)+1,20))+1,20))),"")))</f>
        <v/>
      </c>
      <c r="E937">
        <f>IF($A937="","",IF(OR($B937="",$C937="",$D937="",$B937&lt;1300,$B937&gt;1500,$C937&lt;1,$C937&gt;12,$D937&lt;1,$D937&gt;31),"نامعتبر",RIGHT("0000"&amp;$B937,4)&amp;"/"&amp;RIGHT("00"&amp;$C937,2)&amp;"/"&amp;RIGHT("00"&amp;$D937,2)))</f>
        <v/>
      </c>
      <c r="F937">
        <f>IF(OR($E937="",$E937="نامعتبر"),"",IF(Sync!$Q934="","0000",IF(AND(ISNUMBER(Sync!$Q934),Sync!$Q934&gt;=0,Sync!$Q934&lt;1),RIGHT("00"&amp;HOUR(Sync!$Q934),2)&amp;RIGHT("00"&amp;MINUTE(Sync!$Q934),2),IFERROR(RIGHT("00"&amp;VALUE(LEFT(Sync!$Q934,FIND(":",Sync!$Q934)-1)),2)&amp;RIGHT("00"&amp;VALUE(MID(Sync!$Q934,FIND(":",Sync!$Q934)+1,2)),2),"0000"))))</f>
        <v/>
      </c>
      <c r="G937">
        <f>IF(OR($E937="",$E937="نامعتبر"),"",IF(Sync!$S934="","",Sync!$S934))</f>
        <v/>
      </c>
      <c r="H937">
        <f>IF(OR($E937="",$E937="نامعتبر"),"",IF(Sync!$R934="","",Sync!$R934))</f>
        <v/>
      </c>
      <c r="I937">
        <f>IF(OR($E937="",$E937="نامعتبر"),"",IF(Sync!$T934="","",Sync!$T934))</f>
        <v/>
      </c>
      <c r="J937">
        <f>IF(OR($E937="",$E937="نامعتبر"),"",IF(Sync!$U934="","",Sync!$U934))</f>
        <v/>
      </c>
      <c r="K937">
        <f>IF(OR($E937="",$E937="نامعتبر"),"",IF(Sync!$V934="","",IFERROR(INDEX(SubCodes,MATCH(Sync!$V934,SubTitles,0)),Sync!$V934)))</f>
        <v/>
      </c>
      <c r="L937">
        <f>IF(OR($E937="",$E937="نامعتبر"),"",IF(Sync!$W934="",0,Sync!$W934))</f>
        <v/>
      </c>
      <c r="M937">
        <f>IF(OR($E937="",$E937="نامعتبر"),"",IF(Sync!$X934="",0,Sync!$X934))</f>
        <v/>
      </c>
      <c r="N937">
        <f>IF(OR($E937="",$E937="نامعتبر"),"",IF(AND($J937="هزینه",$K937&lt;&gt;""),1,0))</f>
        <v/>
      </c>
      <c r="O937">
        <f>IF($N937=0,"",LEFT($E937,4)&amp;MID($E937,6,2)&amp;RIGHT($E937,2)&amp;$F937&amp;"|"&amp;"1"&amp;RIGHT("00000"&amp;929,5))</f>
        <v/>
      </c>
      <c r="P937">
        <f>IF($O937="","",COUNTIFS(ExpSub,$K937,ExpKey,"&lt;"&amp;$O937)+1)</f>
        <v/>
      </c>
      <c r="Q937">
        <f>IF($P937="","",$K937&amp;"|"&amp;RIGHT("000000"&amp;$P937,6))</f>
        <v/>
      </c>
    </row>
    <row r="938">
      <c r="A938">
        <f>IF(Sync!$P935="","",Sync!$P935)</f>
        <v/>
      </c>
      <c r="B938">
        <f>IF($A938="","",IF(ISNUMBER($A938),IF(AND($A938&gt;=10000101,$A938&lt;=99991231),INT($A938/10000),""),IFERROR(VALUE(TRIM(LEFT($A938,FIND("/",$A938)-1))),"")))</f>
        <v/>
      </c>
      <c r="C938">
        <f>IF(OR($A938="",$B938=""),"",IF(ISNUMBER($A938),INT(MOD($A938,10000)/100),IFERROR(VALUE(TRIM(LEFT(MID($A938,FIND("/",$A938)+1,20),FIND("/",MID($A938,FIND("/",$A938)+1,20))-1))),"")))</f>
        <v/>
      </c>
      <c r="D938">
        <f>IF(OR($A938="",$B938=""),"",IF(ISNUMBER($A938),MOD($A938,100),IFERROR(VALUE(TRIM(MID(MID($A938,FIND("/",$A938)+1,20),FIND("/",MID($A938,FIND("/",$A938)+1,20))+1,20))),"")))</f>
        <v/>
      </c>
      <c r="E938">
        <f>IF($A938="","",IF(OR($B938="",$C938="",$D938="",$B938&lt;1300,$B938&gt;1500,$C938&lt;1,$C938&gt;12,$D938&lt;1,$D938&gt;31),"نامعتبر",RIGHT("0000"&amp;$B938,4)&amp;"/"&amp;RIGHT("00"&amp;$C938,2)&amp;"/"&amp;RIGHT("00"&amp;$D938,2)))</f>
        <v/>
      </c>
      <c r="F938">
        <f>IF(OR($E938="",$E938="نامعتبر"),"",IF(Sync!$Q935="","0000",IF(AND(ISNUMBER(Sync!$Q935),Sync!$Q935&gt;=0,Sync!$Q935&lt;1),RIGHT("00"&amp;HOUR(Sync!$Q935),2)&amp;RIGHT("00"&amp;MINUTE(Sync!$Q935),2),IFERROR(RIGHT("00"&amp;VALUE(LEFT(Sync!$Q935,FIND(":",Sync!$Q935)-1)),2)&amp;RIGHT("00"&amp;VALUE(MID(Sync!$Q935,FIND(":",Sync!$Q935)+1,2)),2),"0000"))))</f>
        <v/>
      </c>
      <c r="G938">
        <f>IF(OR($E938="",$E938="نامعتبر"),"",IF(Sync!$S935="","",Sync!$S935))</f>
        <v/>
      </c>
      <c r="H938">
        <f>IF(OR($E938="",$E938="نامعتبر"),"",IF(Sync!$R935="","",Sync!$R935))</f>
        <v/>
      </c>
      <c r="I938">
        <f>IF(OR($E938="",$E938="نامعتبر"),"",IF(Sync!$T935="","",Sync!$T935))</f>
        <v/>
      </c>
      <c r="J938">
        <f>IF(OR($E938="",$E938="نامعتبر"),"",IF(Sync!$U935="","",Sync!$U935))</f>
        <v/>
      </c>
      <c r="K938">
        <f>IF(OR($E938="",$E938="نامعتبر"),"",IF(Sync!$V935="","",IFERROR(INDEX(SubCodes,MATCH(Sync!$V935,SubTitles,0)),Sync!$V935)))</f>
        <v/>
      </c>
      <c r="L938">
        <f>IF(OR($E938="",$E938="نامعتبر"),"",IF(Sync!$W935="",0,Sync!$W935))</f>
        <v/>
      </c>
      <c r="M938">
        <f>IF(OR($E938="",$E938="نامعتبر"),"",IF(Sync!$X935="",0,Sync!$X935))</f>
        <v/>
      </c>
      <c r="N938">
        <f>IF(OR($E938="",$E938="نامعتبر"),"",IF(AND($J938="هزینه",$K938&lt;&gt;""),1,0))</f>
        <v/>
      </c>
      <c r="O938">
        <f>IF($N938=0,"",LEFT($E938,4)&amp;MID($E938,6,2)&amp;RIGHT($E938,2)&amp;$F938&amp;"|"&amp;"1"&amp;RIGHT("00000"&amp;930,5))</f>
        <v/>
      </c>
      <c r="P938">
        <f>IF($O938="","",COUNTIFS(ExpSub,$K938,ExpKey,"&lt;"&amp;$O938)+1)</f>
        <v/>
      </c>
      <c r="Q938">
        <f>IF($P938="","",$K938&amp;"|"&amp;RIGHT("000000"&amp;$P938,6))</f>
        <v/>
      </c>
    </row>
    <row r="939">
      <c r="A939">
        <f>IF(Sync!$P936="","",Sync!$P936)</f>
        <v/>
      </c>
      <c r="B939">
        <f>IF($A939="","",IF(ISNUMBER($A939),IF(AND($A939&gt;=10000101,$A939&lt;=99991231),INT($A939/10000),""),IFERROR(VALUE(TRIM(LEFT($A939,FIND("/",$A939)-1))),"")))</f>
        <v/>
      </c>
      <c r="C939">
        <f>IF(OR($A939="",$B939=""),"",IF(ISNUMBER($A939),INT(MOD($A939,10000)/100),IFERROR(VALUE(TRIM(LEFT(MID($A939,FIND("/",$A939)+1,20),FIND("/",MID($A939,FIND("/",$A939)+1,20))-1))),"")))</f>
        <v/>
      </c>
      <c r="D939">
        <f>IF(OR($A939="",$B939=""),"",IF(ISNUMBER($A939),MOD($A939,100),IFERROR(VALUE(TRIM(MID(MID($A939,FIND("/",$A939)+1,20),FIND("/",MID($A939,FIND("/",$A939)+1,20))+1,20))),"")))</f>
        <v/>
      </c>
      <c r="E939">
        <f>IF($A939="","",IF(OR($B939="",$C939="",$D939="",$B939&lt;1300,$B939&gt;1500,$C939&lt;1,$C939&gt;12,$D939&lt;1,$D939&gt;31),"نامعتبر",RIGHT("0000"&amp;$B939,4)&amp;"/"&amp;RIGHT("00"&amp;$C939,2)&amp;"/"&amp;RIGHT("00"&amp;$D939,2)))</f>
        <v/>
      </c>
      <c r="F939">
        <f>IF(OR($E939="",$E939="نامعتبر"),"",IF(Sync!$Q936="","0000",IF(AND(ISNUMBER(Sync!$Q936),Sync!$Q936&gt;=0,Sync!$Q936&lt;1),RIGHT("00"&amp;HOUR(Sync!$Q936),2)&amp;RIGHT("00"&amp;MINUTE(Sync!$Q936),2),IFERROR(RIGHT("00"&amp;VALUE(LEFT(Sync!$Q936,FIND(":",Sync!$Q936)-1)),2)&amp;RIGHT("00"&amp;VALUE(MID(Sync!$Q936,FIND(":",Sync!$Q936)+1,2)),2),"0000"))))</f>
        <v/>
      </c>
      <c r="G939">
        <f>IF(OR($E939="",$E939="نامعتبر"),"",IF(Sync!$S936="","",Sync!$S936))</f>
        <v/>
      </c>
      <c r="H939">
        <f>IF(OR($E939="",$E939="نامعتبر"),"",IF(Sync!$R936="","",Sync!$R936))</f>
        <v/>
      </c>
      <c r="I939">
        <f>IF(OR($E939="",$E939="نامعتبر"),"",IF(Sync!$T936="","",Sync!$T936))</f>
        <v/>
      </c>
      <c r="J939">
        <f>IF(OR($E939="",$E939="نامعتبر"),"",IF(Sync!$U936="","",Sync!$U936))</f>
        <v/>
      </c>
      <c r="K939">
        <f>IF(OR($E939="",$E939="نامعتبر"),"",IF(Sync!$V936="","",IFERROR(INDEX(SubCodes,MATCH(Sync!$V936,SubTitles,0)),Sync!$V936)))</f>
        <v/>
      </c>
      <c r="L939">
        <f>IF(OR($E939="",$E939="نامعتبر"),"",IF(Sync!$W936="",0,Sync!$W936))</f>
        <v/>
      </c>
      <c r="M939">
        <f>IF(OR($E939="",$E939="نامعتبر"),"",IF(Sync!$X936="",0,Sync!$X936))</f>
        <v/>
      </c>
      <c r="N939">
        <f>IF(OR($E939="",$E939="نامعتبر"),"",IF(AND($J939="هزینه",$K939&lt;&gt;""),1,0))</f>
        <v/>
      </c>
      <c r="O939">
        <f>IF($N939=0,"",LEFT($E939,4)&amp;MID($E939,6,2)&amp;RIGHT($E939,2)&amp;$F939&amp;"|"&amp;"1"&amp;RIGHT("00000"&amp;931,5))</f>
        <v/>
      </c>
      <c r="P939">
        <f>IF($O939="","",COUNTIFS(ExpSub,$K939,ExpKey,"&lt;"&amp;$O939)+1)</f>
        <v/>
      </c>
      <c r="Q939">
        <f>IF($P939="","",$K939&amp;"|"&amp;RIGHT("000000"&amp;$P939,6))</f>
        <v/>
      </c>
    </row>
    <row r="940">
      <c r="A940">
        <f>IF(Sync!$P937="","",Sync!$P937)</f>
        <v/>
      </c>
      <c r="B940">
        <f>IF($A940="","",IF(ISNUMBER($A940),IF(AND($A940&gt;=10000101,$A940&lt;=99991231),INT($A940/10000),""),IFERROR(VALUE(TRIM(LEFT($A940,FIND("/",$A940)-1))),"")))</f>
        <v/>
      </c>
      <c r="C940">
        <f>IF(OR($A940="",$B940=""),"",IF(ISNUMBER($A940),INT(MOD($A940,10000)/100),IFERROR(VALUE(TRIM(LEFT(MID($A940,FIND("/",$A940)+1,20),FIND("/",MID($A940,FIND("/",$A940)+1,20))-1))),"")))</f>
        <v/>
      </c>
      <c r="D940">
        <f>IF(OR($A940="",$B940=""),"",IF(ISNUMBER($A940),MOD($A940,100),IFERROR(VALUE(TRIM(MID(MID($A940,FIND("/",$A940)+1,20),FIND("/",MID($A940,FIND("/",$A940)+1,20))+1,20))),"")))</f>
        <v/>
      </c>
      <c r="E940">
        <f>IF($A940="","",IF(OR($B940="",$C940="",$D940="",$B940&lt;1300,$B940&gt;1500,$C940&lt;1,$C940&gt;12,$D940&lt;1,$D940&gt;31),"نامعتبر",RIGHT("0000"&amp;$B940,4)&amp;"/"&amp;RIGHT("00"&amp;$C940,2)&amp;"/"&amp;RIGHT("00"&amp;$D940,2)))</f>
        <v/>
      </c>
      <c r="F940">
        <f>IF(OR($E940="",$E940="نامعتبر"),"",IF(Sync!$Q937="","0000",IF(AND(ISNUMBER(Sync!$Q937),Sync!$Q937&gt;=0,Sync!$Q937&lt;1),RIGHT("00"&amp;HOUR(Sync!$Q937),2)&amp;RIGHT("00"&amp;MINUTE(Sync!$Q937),2),IFERROR(RIGHT("00"&amp;VALUE(LEFT(Sync!$Q937,FIND(":",Sync!$Q937)-1)),2)&amp;RIGHT("00"&amp;VALUE(MID(Sync!$Q937,FIND(":",Sync!$Q937)+1,2)),2),"0000"))))</f>
        <v/>
      </c>
      <c r="G940">
        <f>IF(OR($E940="",$E940="نامعتبر"),"",IF(Sync!$S937="","",Sync!$S937))</f>
        <v/>
      </c>
      <c r="H940">
        <f>IF(OR($E940="",$E940="نامعتبر"),"",IF(Sync!$R937="","",Sync!$R937))</f>
        <v/>
      </c>
      <c r="I940">
        <f>IF(OR($E940="",$E940="نامعتبر"),"",IF(Sync!$T937="","",Sync!$T937))</f>
        <v/>
      </c>
      <c r="J940">
        <f>IF(OR($E940="",$E940="نامعتبر"),"",IF(Sync!$U937="","",Sync!$U937))</f>
        <v/>
      </c>
      <c r="K940">
        <f>IF(OR($E940="",$E940="نامعتبر"),"",IF(Sync!$V937="","",IFERROR(INDEX(SubCodes,MATCH(Sync!$V937,SubTitles,0)),Sync!$V937)))</f>
        <v/>
      </c>
      <c r="L940">
        <f>IF(OR($E940="",$E940="نامعتبر"),"",IF(Sync!$W937="",0,Sync!$W937))</f>
        <v/>
      </c>
      <c r="M940">
        <f>IF(OR($E940="",$E940="نامعتبر"),"",IF(Sync!$X937="",0,Sync!$X937))</f>
        <v/>
      </c>
      <c r="N940">
        <f>IF(OR($E940="",$E940="نامعتبر"),"",IF(AND($J940="هزینه",$K940&lt;&gt;""),1,0))</f>
        <v/>
      </c>
      <c r="O940">
        <f>IF($N940=0,"",LEFT($E940,4)&amp;MID($E940,6,2)&amp;RIGHT($E940,2)&amp;$F940&amp;"|"&amp;"1"&amp;RIGHT("00000"&amp;932,5))</f>
        <v/>
      </c>
      <c r="P940">
        <f>IF($O940="","",COUNTIFS(ExpSub,$K940,ExpKey,"&lt;"&amp;$O940)+1)</f>
        <v/>
      </c>
      <c r="Q940">
        <f>IF($P940="","",$K940&amp;"|"&amp;RIGHT("000000"&amp;$P940,6))</f>
        <v/>
      </c>
    </row>
    <row r="941">
      <c r="A941">
        <f>IF(Sync!$P938="","",Sync!$P938)</f>
        <v/>
      </c>
      <c r="B941">
        <f>IF($A941="","",IF(ISNUMBER($A941),IF(AND($A941&gt;=10000101,$A941&lt;=99991231),INT($A941/10000),""),IFERROR(VALUE(TRIM(LEFT($A941,FIND("/",$A941)-1))),"")))</f>
        <v/>
      </c>
      <c r="C941">
        <f>IF(OR($A941="",$B941=""),"",IF(ISNUMBER($A941),INT(MOD($A941,10000)/100),IFERROR(VALUE(TRIM(LEFT(MID($A941,FIND("/",$A941)+1,20),FIND("/",MID($A941,FIND("/",$A941)+1,20))-1))),"")))</f>
        <v/>
      </c>
      <c r="D941">
        <f>IF(OR($A941="",$B941=""),"",IF(ISNUMBER($A941),MOD($A941,100),IFERROR(VALUE(TRIM(MID(MID($A941,FIND("/",$A941)+1,20),FIND("/",MID($A941,FIND("/",$A941)+1,20))+1,20))),"")))</f>
        <v/>
      </c>
      <c r="E941">
        <f>IF($A941="","",IF(OR($B941="",$C941="",$D941="",$B941&lt;1300,$B941&gt;1500,$C941&lt;1,$C941&gt;12,$D941&lt;1,$D941&gt;31),"نامعتبر",RIGHT("0000"&amp;$B941,4)&amp;"/"&amp;RIGHT("00"&amp;$C941,2)&amp;"/"&amp;RIGHT("00"&amp;$D941,2)))</f>
        <v/>
      </c>
      <c r="F941">
        <f>IF(OR($E941="",$E941="نامعتبر"),"",IF(Sync!$Q938="","0000",IF(AND(ISNUMBER(Sync!$Q938),Sync!$Q938&gt;=0,Sync!$Q938&lt;1),RIGHT("00"&amp;HOUR(Sync!$Q938),2)&amp;RIGHT("00"&amp;MINUTE(Sync!$Q938),2),IFERROR(RIGHT("00"&amp;VALUE(LEFT(Sync!$Q938,FIND(":",Sync!$Q938)-1)),2)&amp;RIGHT("00"&amp;VALUE(MID(Sync!$Q938,FIND(":",Sync!$Q938)+1,2)),2),"0000"))))</f>
        <v/>
      </c>
      <c r="G941">
        <f>IF(OR($E941="",$E941="نامعتبر"),"",IF(Sync!$S938="","",Sync!$S938))</f>
        <v/>
      </c>
      <c r="H941">
        <f>IF(OR($E941="",$E941="نامعتبر"),"",IF(Sync!$R938="","",Sync!$R938))</f>
        <v/>
      </c>
      <c r="I941">
        <f>IF(OR($E941="",$E941="نامعتبر"),"",IF(Sync!$T938="","",Sync!$T938))</f>
        <v/>
      </c>
      <c r="J941">
        <f>IF(OR($E941="",$E941="نامعتبر"),"",IF(Sync!$U938="","",Sync!$U938))</f>
        <v/>
      </c>
      <c r="K941">
        <f>IF(OR($E941="",$E941="نامعتبر"),"",IF(Sync!$V938="","",IFERROR(INDEX(SubCodes,MATCH(Sync!$V938,SubTitles,0)),Sync!$V938)))</f>
        <v/>
      </c>
      <c r="L941">
        <f>IF(OR($E941="",$E941="نامعتبر"),"",IF(Sync!$W938="",0,Sync!$W938))</f>
        <v/>
      </c>
      <c r="M941">
        <f>IF(OR($E941="",$E941="نامعتبر"),"",IF(Sync!$X938="",0,Sync!$X938))</f>
        <v/>
      </c>
      <c r="N941">
        <f>IF(OR($E941="",$E941="نامعتبر"),"",IF(AND($J941="هزینه",$K941&lt;&gt;""),1,0))</f>
        <v/>
      </c>
      <c r="O941">
        <f>IF($N941=0,"",LEFT($E941,4)&amp;MID($E941,6,2)&amp;RIGHT($E941,2)&amp;$F941&amp;"|"&amp;"1"&amp;RIGHT("00000"&amp;933,5))</f>
        <v/>
      </c>
      <c r="P941">
        <f>IF($O941="","",COUNTIFS(ExpSub,$K941,ExpKey,"&lt;"&amp;$O941)+1)</f>
        <v/>
      </c>
      <c r="Q941">
        <f>IF($P941="","",$K941&amp;"|"&amp;RIGHT("000000"&amp;$P941,6))</f>
        <v/>
      </c>
    </row>
    <row r="942">
      <c r="A942">
        <f>IF(Sync!$P939="","",Sync!$P939)</f>
        <v/>
      </c>
      <c r="B942">
        <f>IF($A942="","",IF(ISNUMBER($A942),IF(AND($A942&gt;=10000101,$A942&lt;=99991231),INT($A942/10000),""),IFERROR(VALUE(TRIM(LEFT($A942,FIND("/",$A942)-1))),"")))</f>
        <v/>
      </c>
      <c r="C942">
        <f>IF(OR($A942="",$B942=""),"",IF(ISNUMBER($A942),INT(MOD($A942,10000)/100),IFERROR(VALUE(TRIM(LEFT(MID($A942,FIND("/",$A942)+1,20),FIND("/",MID($A942,FIND("/",$A942)+1,20))-1))),"")))</f>
        <v/>
      </c>
      <c r="D942">
        <f>IF(OR($A942="",$B942=""),"",IF(ISNUMBER($A942),MOD($A942,100),IFERROR(VALUE(TRIM(MID(MID($A942,FIND("/",$A942)+1,20),FIND("/",MID($A942,FIND("/",$A942)+1,20))+1,20))),"")))</f>
        <v/>
      </c>
      <c r="E942">
        <f>IF($A942="","",IF(OR($B942="",$C942="",$D942="",$B942&lt;1300,$B942&gt;1500,$C942&lt;1,$C942&gt;12,$D942&lt;1,$D942&gt;31),"نامعتبر",RIGHT("0000"&amp;$B942,4)&amp;"/"&amp;RIGHT("00"&amp;$C942,2)&amp;"/"&amp;RIGHT("00"&amp;$D942,2)))</f>
        <v/>
      </c>
      <c r="F942">
        <f>IF(OR($E942="",$E942="نامعتبر"),"",IF(Sync!$Q939="","0000",IF(AND(ISNUMBER(Sync!$Q939),Sync!$Q939&gt;=0,Sync!$Q939&lt;1),RIGHT("00"&amp;HOUR(Sync!$Q939),2)&amp;RIGHT("00"&amp;MINUTE(Sync!$Q939),2),IFERROR(RIGHT("00"&amp;VALUE(LEFT(Sync!$Q939,FIND(":",Sync!$Q939)-1)),2)&amp;RIGHT("00"&amp;VALUE(MID(Sync!$Q939,FIND(":",Sync!$Q939)+1,2)),2),"0000"))))</f>
        <v/>
      </c>
      <c r="G942">
        <f>IF(OR($E942="",$E942="نامعتبر"),"",IF(Sync!$S939="","",Sync!$S939))</f>
        <v/>
      </c>
      <c r="H942">
        <f>IF(OR($E942="",$E942="نامعتبر"),"",IF(Sync!$R939="","",Sync!$R939))</f>
        <v/>
      </c>
      <c r="I942">
        <f>IF(OR($E942="",$E942="نامعتبر"),"",IF(Sync!$T939="","",Sync!$T939))</f>
        <v/>
      </c>
      <c r="J942">
        <f>IF(OR($E942="",$E942="نامعتبر"),"",IF(Sync!$U939="","",Sync!$U939))</f>
        <v/>
      </c>
      <c r="K942">
        <f>IF(OR($E942="",$E942="نامعتبر"),"",IF(Sync!$V939="","",IFERROR(INDEX(SubCodes,MATCH(Sync!$V939,SubTitles,0)),Sync!$V939)))</f>
        <v/>
      </c>
      <c r="L942">
        <f>IF(OR($E942="",$E942="نامعتبر"),"",IF(Sync!$W939="",0,Sync!$W939))</f>
        <v/>
      </c>
      <c r="M942">
        <f>IF(OR($E942="",$E942="نامعتبر"),"",IF(Sync!$X939="",0,Sync!$X939))</f>
        <v/>
      </c>
      <c r="N942">
        <f>IF(OR($E942="",$E942="نامعتبر"),"",IF(AND($J942="هزینه",$K942&lt;&gt;""),1,0))</f>
        <v/>
      </c>
      <c r="O942">
        <f>IF($N942=0,"",LEFT($E942,4)&amp;MID($E942,6,2)&amp;RIGHT($E942,2)&amp;$F942&amp;"|"&amp;"1"&amp;RIGHT("00000"&amp;934,5))</f>
        <v/>
      </c>
      <c r="P942">
        <f>IF($O942="","",COUNTIFS(ExpSub,$K942,ExpKey,"&lt;"&amp;$O942)+1)</f>
        <v/>
      </c>
      <c r="Q942">
        <f>IF($P942="","",$K942&amp;"|"&amp;RIGHT("000000"&amp;$P942,6))</f>
        <v/>
      </c>
    </row>
    <row r="943">
      <c r="A943">
        <f>IF(Sync!$P940="","",Sync!$P940)</f>
        <v/>
      </c>
      <c r="B943">
        <f>IF($A943="","",IF(ISNUMBER($A943),IF(AND($A943&gt;=10000101,$A943&lt;=99991231),INT($A943/10000),""),IFERROR(VALUE(TRIM(LEFT($A943,FIND("/",$A943)-1))),"")))</f>
        <v/>
      </c>
      <c r="C943">
        <f>IF(OR($A943="",$B943=""),"",IF(ISNUMBER($A943),INT(MOD($A943,10000)/100),IFERROR(VALUE(TRIM(LEFT(MID($A943,FIND("/",$A943)+1,20),FIND("/",MID($A943,FIND("/",$A943)+1,20))-1))),"")))</f>
        <v/>
      </c>
      <c r="D943">
        <f>IF(OR($A943="",$B943=""),"",IF(ISNUMBER($A943),MOD($A943,100),IFERROR(VALUE(TRIM(MID(MID($A943,FIND("/",$A943)+1,20),FIND("/",MID($A943,FIND("/",$A943)+1,20))+1,20))),"")))</f>
        <v/>
      </c>
      <c r="E943">
        <f>IF($A943="","",IF(OR($B943="",$C943="",$D943="",$B943&lt;1300,$B943&gt;1500,$C943&lt;1,$C943&gt;12,$D943&lt;1,$D943&gt;31),"نامعتبر",RIGHT("0000"&amp;$B943,4)&amp;"/"&amp;RIGHT("00"&amp;$C943,2)&amp;"/"&amp;RIGHT("00"&amp;$D943,2)))</f>
        <v/>
      </c>
      <c r="F943">
        <f>IF(OR($E943="",$E943="نامعتبر"),"",IF(Sync!$Q940="","0000",IF(AND(ISNUMBER(Sync!$Q940),Sync!$Q940&gt;=0,Sync!$Q940&lt;1),RIGHT("00"&amp;HOUR(Sync!$Q940),2)&amp;RIGHT("00"&amp;MINUTE(Sync!$Q940),2),IFERROR(RIGHT("00"&amp;VALUE(LEFT(Sync!$Q940,FIND(":",Sync!$Q940)-1)),2)&amp;RIGHT("00"&amp;VALUE(MID(Sync!$Q940,FIND(":",Sync!$Q940)+1,2)),2),"0000"))))</f>
        <v/>
      </c>
      <c r="G943">
        <f>IF(OR($E943="",$E943="نامعتبر"),"",IF(Sync!$S940="","",Sync!$S940))</f>
        <v/>
      </c>
      <c r="H943">
        <f>IF(OR($E943="",$E943="نامعتبر"),"",IF(Sync!$R940="","",Sync!$R940))</f>
        <v/>
      </c>
      <c r="I943">
        <f>IF(OR($E943="",$E943="نامعتبر"),"",IF(Sync!$T940="","",Sync!$T940))</f>
        <v/>
      </c>
      <c r="J943">
        <f>IF(OR($E943="",$E943="نامعتبر"),"",IF(Sync!$U940="","",Sync!$U940))</f>
        <v/>
      </c>
      <c r="K943">
        <f>IF(OR($E943="",$E943="نامعتبر"),"",IF(Sync!$V940="","",IFERROR(INDEX(SubCodes,MATCH(Sync!$V940,SubTitles,0)),Sync!$V940)))</f>
        <v/>
      </c>
      <c r="L943">
        <f>IF(OR($E943="",$E943="نامعتبر"),"",IF(Sync!$W940="",0,Sync!$W940))</f>
        <v/>
      </c>
      <c r="M943">
        <f>IF(OR($E943="",$E943="نامعتبر"),"",IF(Sync!$X940="",0,Sync!$X940))</f>
        <v/>
      </c>
      <c r="N943">
        <f>IF(OR($E943="",$E943="نامعتبر"),"",IF(AND($J943="هزینه",$K943&lt;&gt;""),1,0))</f>
        <v/>
      </c>
      <c r="O943">
        <f>IF($N943=0,"",LEFT($E943,4)&amp;MID($E943,6,2)&amp;RIGHT($E943,2)&amp;$F943&amp;"|"&amp;"1"&amp;RIGHT("00000"&amp;935,5))</f>
        <v/>
      </c>
      <c r="P943">
        <f>IF($O943="","",COUNTIFS(ExpSub,$K943,ExpKey,"&lt;"&amp;$O943)+1)</f>
        <v/>
      </c>
      <c r="Q943">
        <f>IF($P943="","",$K943&amp;"|"&amp;RIGHT("000000"&amp;$P943,6))</f>
        <v/>
      </c>
    </row>
    <row r="944">
      <c r="A944">
        <f>IF(Sync!$P941="","",Sync!$P941)</f>
        <v/>
      </c>
      <c r="B944">
        <f>IF($A944="","",IF(ISNUMBER($A944),IF(AND($A944&gt;=10000101,$A944&lt;=99991231),INT($A944/10000),""),IFERROR(VALUE(TRIM(LEFT($A944,FIND("/",$A944)-1))),"")))</f>
        <v/>
      </c>
      <c r="C944">
        <f>IF(OR($A944="",$B944=""),"",IF(ISNUMBER($A944),INT(MOD($A944,10000)/100),IFERROR(VALUE(TRIM(LEFT(MID($A944,FIND("/",$A944)+1,20),FIND("/",MID($A944,FIND("/",$A944)+1,20))-1))),"")))</f>
        <v/>
      </c>
      <c r="D944">
        <f>IF(OR($A944="",$B944=""),"",IF(ISNUMBER($A944),MOD($A944,100),IFERROR(VALUE(TRIM(MID(MID($A944,FIND("/",$A944)+1,20),FIND("/",MID($A944,FIND("/",$A944)+1,20))+1,20))),"")))</f>
        <v/>
      </c>
      <c r="E944">
        <f>IF($A944="","",IF(OR($B944="",$C944="",$D944="",$B944&lt;1300,$B944&gt;1500,$C944&lt;1,$C944&gt;12,$D944&lt;1,$D944&gt;31),"نامعتبر",RIGHT("0000"&amp;$B944,4)&amp;"/"&amp;RIGHT("00"&amp;$C944,2)&amp;"/"&amp;RIGHT("00"&amp;$D944,2)))</f>
        <v/>
      </c>
      <c r="F944">
        <f>IF(OR($E944="",$E944="نامعتبر"),"",IF(Sync!$Q941="","0000",IF(AND(ISNUMBER(Sync!$Q941),Sync!$Q941&gt;=0,Sync!$Q941&lt;1),RIGHT("00"&amp;HOUR(Sync!$Q941),2)&amp;RIGHT("00"&amp;MINUTE(Sync!$Q941),2),IFERROR(RIGHT("00"&amp;VALUE(LEFT(Sync!$Q941,FIND(":",Sync!$Q941)-1)),2)&amp;RIGHT("00"&amp;VALUE(MID(Sync!$Q941,FIND(":",Sync!$Q941)+1,2)),2),"0000"))))</f>
        <v/>
      </c>
      <c r="G944">
        <f>IF(OR($E944="",$E944="نامعتبر"),"",IF(Sync!$S941="","",Sync!$S941))</f>
        <v/>
      </c>
      <c r="H944">
        <f>IF(OR($E944="",$E944="نامعتبر"),"",IF(Sync!$R941="","",Sync!$R941))</f>
        <v/>
      </c>
      <c r="I944">
        <f>IF(OR($E944="",$E944="نامعتبر"),"",IF(Sync!$T941="","",Sync!$T941))</f>
        <v/>
      </c>
      <c r="J944">
        <f>IF(OR($E944="",$E944="نامعتبر"),"",IF(Sync!$U941="","",Sync!$U941))</f>
        <v/>
      </c>
      <c r="K944">
        <f>IF(OR($E944="",$E944="نامعتبر"),"",IF(Sync!$V941="","",IFERROR(INDEX(SubCodes,MATCH(Sync!$V941,SubTitles,0)),Sync!$V941)))</f>
        <v/>
      </c>
      <c r="L944">
        <f>IF(OR($E944="",$E944="نامعتبر"),"",IF(Sync!$W941="",0,Sync!$W941))</f>
        <v/>
      </c>
      <c r="M944">
        <f>IF(OR($E944="",$E944="نامعتبر"),"",IF(Sync!$X941="",0,Sync!$X941))</f>
        <v/>
      </c>
      <c r="N944">
        <f>IF(OR($E944="",$E944="نامعتبر"),"",IF(AND($J944="هزینه",$K944&lt;&gt;""),1,0))</f>
        <v/>
      </c>
      <c r="O944">
        <f>IF($N944=0,"",LEFT($E944,4)&amp;MID($E944,6,2)&amp;RIGHT($E944,2)&amp;$F944&amp;"|"&amp;"1"&amp;RIGHT("00000"&amp;936,5))</f>
        <v/>
      </c>
      <c r="P944">
        <f>IF($O944="","",COUNTIFS(ExpSub,$K944,ExpKey,"&lt;"&amp;$O944)+1)</f>
        <v/>
      </c>
      <c r="Q944">
        <f>IF($P944="","",$K944&amp;"|"&amp;RIGHT("000000"&amp;$P944,6))</f>
        <v/>
      </c>
    </row>
    <row r="945">
      <c r="A945">
        <f>IF(Sync!$P942="","",Sync!$P942)</f>
        <v/>
      </c>
      <c r="B945">
        <f>IF($A945="","",IF(ISNUMBER($A945),IF(AND($A945&gt;=10000101,$A945&lt;=99991231),INT($A945/10000),""),IFERROR(VALUE(TRIM(LEFT($A945,FIND("/",$A945)-1))),"")))</f>
        <v/>
      </c>
      <c r="C945">
        <f>IF(OR($A945="",$B945=""),"",IF(ISNUMBER($A945),INT(MOD($A945,10000)/100),IFERROR(VALUE(TRIM(LEFT(MID($A945,FIND("/",$A945)+1,20),FIND("/",MID($A945,FIND("/",$A945)+1,20))-1))),"")))</f>
        <v/>
      </c>
      <c r="D945">
        <f>IF(OR($A945="",$B945=""),"",IF(ISNUMBER($A945),MOD($A945,100),IFERROR(VALUE(TRIM(MID(MID($A945,FIND("/",$A945)+1,20),FIND("/",MID($A945,FIND("/",$A945)+1,20))+1,20))),"")))</f>
        <v/>
      </c>
      <c r="E945">
        <f>IF($A945="","",IF(OR($B945="",$C945="",$D945="",$B945&lt;1300,$B945&gt;1500,$C945&lt;1,$C945&gt;12,$D945&lt;1,$D945&gt;31),"نامعتبر",RIGHT("0000"&amp;$B945,4)&amp;"/"&amp;RIGHT("00"&amp;$C945,2)&amp;"/"&amp;RIGHT("00"&amp;$D945,2)))</f>
        <v/>
      </c>
      <c r="F945">
        <f>IF(OR($E945="",$E945="نامعتبر"),"",IF(Sync!$Q942="","0000",IF(AND(ISNUMBER(Sync!$Q942),Sync!$Q942&gt;=0,Sync!$Q942&lt;1),RIGHT("00"&amp;HOUR(Sync!$Q942),2)&amp;RIGHT("00"&amp;MINUTE(Sync!$Q942),2),IFERROR(RIGHT("00"&amp;VALUE(LEFT(Sync!$Q942,FIND(":",Sync!$Q942)-1)),2)&amp;RIGHT("00"&amp;VALUE(MID(Sync!$Q942,FIND(":",Sync!$Q942)+1,2)),2),"0000"))))</f>
        <v/>
      </c>
      <c r="G945">
        <f>IF(OR($E945="",$E945="نامعتبر"),"",IF(Sync!$S942="","",Sync!$S942))</f>
        <v/>
      </c>
      <c r="H945">
        <f>IF(OR($E945="",$E945="نامعتبر"),"",IF(Sync!$R942="","",Sync!$R942))</f>
        <v/>
      </c>
      <c r="I945">
        <f>IF(OR($E945="",$E945="نامعتبر"),"",IF(Sync!$T942="","",Sync!$T942))</f>
        <v/>
      </c>
      <c r="J945">
        <f>IF(OR($E945="",$E945="نامعتبر"),"",IF(Sync!$U942="","",Sync!$U942))</f>
        <v/>
      </c>
      <c r="K945">
        <f>IF(OR($E945="",$E945="نامعتبر"),"",IF(Sync!$V942="","",IFERROR(INDEX(SubCodes,MATCH(Sync!$V942,SubTitles,0)),Sync!$V942)))</f>
        <v/>
      </c>
      <c r="L945">
        <f>IF(OR($E945="",$E945="نامعتبر"),"",IF(Sync!$W942="",0,Sync!$W942))</f>
        <v/>
      </c>
      <c r="M945">
        <f>IF(OR($E945="",$E945="نامعتبر"),"",IF(Sync!$X942="",0,Sync!$X942))</f>
        <v/>
      </c>
      <c r="N945">
        <f>IF(OR($E945="",$E945="نامعتبر"),"",IF(AND($J945="هزینه",$K945&lt;&gt;""),1,0))</f>
        <v/>
      </c>
      <c r="O945">
        <f>IF($N945=0,"",LEFT($E945,4)&amp;MID($E945,6,2)&amp;RIGHT($E945,2)&amp;$F945&amp;"|"&amp;"1"&amp;RIGHT("00000"&amp;937,5))</f>
        <v/>
      </c>
      <c r="P945">
        <f>IF($O945="","",COUNTIFS(ExpSub,$K945,ExpKey,"&lt;"&amp;$O945)+1)</f>
        <v/>
      </c>
      <c r="Q945">
        <f>IF($P945="","",$K945&amp;"|"&amp;RIGHT("000000"&amp;$P945,6))</f>
        <v/>
      </c>
    </row>
    <row r="946">
      <c r="A946">
        <f>IF(Sync!$P943="","",Sync!$P943)</f>
        <v/>
      </c>
      <c r="B946">
        <f>IF($A946="","",IF(ISNUMBER($A946),IF(AND($A946&gt;=10000101,$A946&lt;=99991231),INT($A946/10000),""),IFERROR(VALUE(TRIM(LEFT($A946,FIND("/",$A946)-1))),"")))</f>
        <v/>
      </c>
      <c r="C946">
        <f>IF(OR($A946="",$B946=""),"",IF(ISNUMBER($A946),INT(MOD($A946,10000)/100),IFERROR(VALUE(TRIM(LEFT(MID($A946,FIND("/",$A946)+1,20),FIND("/",MID($A946,FIND("/",$A946)+1,20))-1))),"")))</f>
        <v/>
      </c>
      <c r="D946">
        <f>IF(OR($A946="",$B946=""),"",IF(ISNUMBER($A946),MOD($A946,100),IFERROR(VALUE(TRIM(MID(MID($A946,FIND("/",$A946)+1,20),FIND("/",MID($A946,FIND("/",$A946)+1,20))+1,20))),"")))</f>
        <v/>
      </c>
      <c r="E946">
        <f>IF($A946="","",IF(OR($B946="",$C946="",$D946="",$B946&lt;1300,$B946&gt;1500,$C946&lt;1,$C946&gt;12,$D946&lt;1,$D946&gt;31),"نامعتبر",RIGHT("0000"&amp;$B946,4)&amp;"/"&amp;RIGHT("00"&amp;$C946,2)&amp;"/"&amp;RIGHT("00"&amp;$D946,2)))</f>
        <v/>
      </c>
      <c r="F946">
        <f>IF(OR($E946="",$E946="نامعتبر"),"",IF(Sync!$Q943="","0000",IF(AND(ISNUMBER(Sync!$Q943),Sync!$Q943&gt;=0,Sync!$Q943&lt;1),RIGHT("00"&amp;HOUR(Sync!$Q943),2)&amp;RIGHT("00"&amp;MINUTE(Sync!$Q943),2),IFERROR(RIGHT("00"&amp;VALUE(LEFT(Sync!$Q943,FIND(":",Sync!$Q943)-1)),2)&amp;RIGHT("00"&amp;VALUE(MID(Sync!$Q943,FIND(":",Sync!$Q943)+1,2)),2),"0000"))))</f>
        <v/>
      </c>
      <c r="G946">
        <f>IF(OR($E946="",$E946="نامعتبر"),"",IF(Sync!$S943="","",Sync!$S943))</f>
        <v/>
      </c>
      <c r="H946">
        <f>IF(OR($E946="",$E946="نامعتبر"),"",IF(Sync!$R943="","",Sync!$R943))</f>
        <v/>
      </c>
      <c r="I946">
        <f>IF(OR($E946="",$E946="نامعتبر"),"",IF(Sync!$T943="","",Sync!$T943))</f>
        <v/>
      </c>
      <c r="J946">
        <f>IF(OR($E946="",$E946="نامعتبر"),"",IF(Sync!$U943="","",Sync!$U943))</f>
        <v/>
      </c>
      <c r="K946">
        <f>IF(OR($E946="",$E946="نامعتبر"),"",IF(Sync!$V943="","",IFERROR(INDEX(SubCodes,MATCH(Sync!$V943,SubTitles,0)),Sync!$V943)))</f>
        <v/>
      </c>
      <c r="L946">
        <f>IF(OR($E946="",$E946="نامعتبر"),"",IF(Sync!$W943="",0,Sync!$W943))</f>
        <v/>
      </c>
      <c r="M946">
        <f>IF(OR($E946="",$E946="نامعتبر"),"",IF(Sync!$X943="",0,Sync!$X943))</f>
        <v/>
      </c>
      <c r="N946">
        <f>IF(OR($E946="",$E946="نامعتبر"),"",IF(AND($J946="هزینه",$K946&lt;&gt;""),1,0))</f>
        <v/>
      </c>
      <c r="O946">
        <f>IF($N946=0,"",LEFT($E946,4)&amp;MID($E946,6,2)&amp;RIGHT($E946,2)&amp;$F946&amp;"|"&amp;"1"&amp;RIGHT("00000"&amp;938,5))</f>
        <v/>
      </c>
      <c r="P946">
        <f>IF($O946="","",COUNTIFS(ExpSub,$K946,ExpKey,"&lt;"&amp;$O946)+1)</f>
        <v/>
      </c>
      <c r="Q946">
        <f>IF($P946="","",$K946&amp;"|"&amp;RIGHT("000000"&amp;$P946,6))</f>
        <v/>
      </c>
    </row>
    <row r="947">
      <c r="A947">
        <f>IF(Sync!$P944="","",Sync!$P944)</f>
        <v/>
      </c>
      <c r="B947">
        <f>IF($A947="","",IF(ISNUMBER($A947),IF(AND($A947&gt;=10000101,$A947&lt;=99991231),INT($A947/10000),""),IFERROR(VALUE(TRIM(LEFT($A947,FIND("/",$A947)-1))),"")))</f>
        <v/>
      </c>
      <c r="C947">
        <f>IF(OR($A947="",$B947=""),"",IF(ISNUMBER($A947),INT(MOD($A947,10000)/100),IFERROR(VALUE(TRIM(LEFT(MID($A947,FIND("/",$A947)+1,20),FIND("/",MID($A947,FIND("/",$A947)+1,20))-1))),"")))</f>
        <v/>
      </c>
      <c r="D947">
        <f>IF(OR($A947="",$B947=""),"",IF(ISNUMBER($A947),MOD($A947,100),IFERROR(VALUE(TRIM(MID(MID($A947,FIND("/",$A947)+1,20),FIND("/",MID($A947,FIND("/",$A947)+1,20))+1,20))),"")))</f>
        <v/>
      </c>
      <c r="E947">
        <f>IF($A947="","",IF(OR($B947="",$C947="",$D947="",$B947&lt;1300,$B947&gt;1500,$C947&lt;1,$C947&gt;12,$D947&lt;1,$D947&gt;31),"نامعتبر",RIGHT("0000"&amp;$B947,4)&amp;"/"&amp;RIGHT("00"&amp;$C947,2)&amp;"/"&amp;RIGHT("00"&amp;$D947,2)))</f>
        <v/>
      </c>
      <c r="F947">
        <f>IF(OR($E947="",$E947="نامعتبر"),"",IF(Sync!$Q944="","0000",IF(AND(ISNUMBER(Sync!$Q944),Sync!$Q944&gt;=0,Sync!$Q944&lt;1),RIGHT("00"&amp;HOUR(Sync!$Q944),2)&amp;RIGHT("00"&amp;MINUTE(Sync!$Q944),2),IFERROR(RIGHT("00"&amp;VALUE(LEFT(Sync!$Q944,FIND(":",Sync!$Q944)-1)),2)&amp;RIGHT("00"&amp;VALUE(MID(Sync!$Q944,FIND(":",Sync!$Q944)+1,2)),2),"0000"))))</f>
        <v/>
      </c>
      <c r="G947">
        <f>IF(OR($E947="",$E947="نامعتبر"),"",IF(Sync!$S944="","",Sync!$S944))</f>
        <v/>
      </c>
      <c r="H947">
        <f>IF(OR($E947="",$E947="نامعتبر"),"",IF(Sync!$R944="","",Sync!$R944))</f>
        <v/>
      </c>
      <c r="I947">
        <f>IF(OR($E947="",$E947="نامعتبر"),"",IF(Sync!$T944="","",Sync!$T944))</f>
        <v/>
      </c>
      <c r="J947">
        <f>IF(OR($E947="",$E947="نامعتبر"),"",IF(Sync!$U944="","",Sync!$U944))</f>
        <v/>
      </c>
      <c r="K947">
        <f>IF(OR($E947="",$E947="نامعتبر"),"",IF(Sync!$V944="","",IFERROR(INDEX(SubCodes,MATCH(Sync!$V944,SubTitles,0)),Sync!$V944)))</f>
        <v/>
      </c>
      <c r="L947">
        <f>IF(OR($E947="",$E947="نامعتبر"),"",IF(Sync!$W944="",0,Sync!$W944))</f>
        <v/>
      </c>
      <c r="M947">
        <f>IF(OR($E947="",$E947="نامعتبر"),"",IF(Sync!$X944="",0,Sync!$X944))</f>
        <v/>
      </c>
      <c r="N947">
        <f>IF(OR($E947="",$E947="نامعتبر"),"",IF(AND($J947="هزینه",$K947&lt;&gt;""),1,0))</f>
        <v/>
      </c>
      <c r="O947">
        <f>IF($N947=0,"",LEFT($E947,4)&amp;MID($E947,6,2)&amp;RIGHT($E947,2)&amp;$F947&amp;"|"&amp;"1"&amp;RIGHT("00000"&amp;939,5))</f>
        <v/>
      </c>
      <c r="P947">
        <f>IF($O947="","",COUNTIFS(ExpSub,$K947,ExpKey,"&lt;"&amp;$O947)+1)</f>
        <v/>
      </c>
      <c r="Q947">
        <f>IF($P947="","",$K947&amp;"|"&amp;RIGHT("000000"&amp;$P947,6))</f>
        <v/>
      </c>
    </row>
    <row r="948">
      <c r="A948">
        <f>IF(Sync!$P945="","",Sync!$P945)</f>
        <v/>
      </c>
      <c r="B948">
        <f>IF($A948="","",IF(ISNUMBER($A948),IF(AND($A948&gt;=10000101,$A948&lt;=99991231),INT($A948/10000),""),IFERROR(VALUE(TRIM(LEFT($A948,FIND("/",$A948)-1))),"")))</f>
        <v/>
      </c>
      <c r="C948">
        <f>IF(OR($A948="",$B948=""),"",IF(ISNUMBER($A948),INT(MOD($A948,10000)/100),IFERROR(VALUE(TRIM(LEFT(MID($A948,FIND("/",$A948)+1,20),FIND("/",MID($A948,FIND("/",$A948)+1,20))-1))),"")))</f>
        <v/>
      </c>
      <c r="D948">
        <f>IF(OR($A948="",$B948=""),"",IF(ISNUMBER($A948),MOD($A948,100),IFERROR(VALUE(TRIM(MID(MID($A948,FIND("/",$A948)+1,20),FIND("/",MID($A948,FIND("/",$A948)+1,20))+1,20))),"")))</f>
        <v/>
      </c>
      <c r="E948">
        <f>IF($A948="","",IF(OR($B948="",$C948="",$D948="",$B948&lt;1300,$B948&gt;1500,$C948&lt;1,$C948&gt;12,$D948&lt;1,$D948&gt;31),"نامعتبر",RIGHT("0000"&amp;$B948,4)&amp;"/"&amp;RIGHT("00"&amp;$C948,2)&amp;"/"&amp;RIGHT("00"&amp;$D948,2)))</f>
        <v/>
      </c>
      <c r="F948">
        <f>IF(OR($E948="",$E948="نامعتبر"),"",IF(Sync!$Q945="","0000",IF(AND(ISNUMBER(Sync!$Q945),Sync!$Q945&gt;=0,Sync!$Q945&lt;1),RIGHT("00"&amp;HOUR(Sync!$Q945),2)&amp;RIGHT("00"&amp;MINUTE(Sync!$Q945),2),IFERROR(RIGHT("00"&amp;VALUE(LEFT(Sync!$Q945,FIND(":",Sync!$Q945)-1)),2)&amp;RIGHT("00"&amp;VALUE(MID(Sync!$Q945,FIND(":",Sync!$Q945)+1,2)),2),"0000"))))</f>
        <v/>
      </c>
      <c r="G948">
        <f>IF(OR($E948="",$E948="نامعتبر"),"",IF(Sync!$S945="","",Sync!$S945))</f>
        <v/>
      </c>
      <c r="H948">
        <f>IF(OR($E948="",$E948="نامعتبر"),"",IF(Sync!$R945="","",Sync!$R945))</f>
        <v/>
      </c>
      <c r="I948">
        <f>IF(OR($E948="",$E948="نامعتبر"),"",IF(Sync!$T945="","",Sync!$T945))</f>
        <v/>
      </c>
      <c r="J948">
        <f>IF(OR($E948="",$E948="نامعتبر"),"",IF(Sync!$U945="","",Sync!$U945))</f>
        <v/>
      </c>
      <c r="K948">
        <f>IF(OR($E948="",$E948="نامعتبر"),"",IF(Sync!$V945="","",IFERROR(INDEX(SubCodes,MATCH(Sync!$V945,SubTitles,0)),Sync!$V945)))</f>
        <v/>
      </c>
      <c r="L948">
        <f>IF(OR($E948="",$E948="نامعتبر"),"",IF(Sync!$W945="",0,Sync!$W945))</f>
        <v/>
      </c>
      <c r="M948">
        <f>IF(OR($E948="",$E948="نامعتبر"),"",IF(Sync!$X945="",0,Sync!$X945))</f>
        <v/>
      </c>
      <c r="N948">
        <f>IF(OR($E948="",$E948="نامعتبر"),"",IF(AND($J948="هزینه",$K948&lt;&gt;""),1,0))</f>
        <v/>
      </c>
      <c r="O948">
        <f>IF($N948=0,"",LEFT($E948,4)&amp;MID($E948,6,2)&amp;RIGHT($E948,2)&amp;$F948&amp;"|"&amp;"1"&amp;RIGHT("00000"&amp;940,5))</f>
        <v/>
      </c>
      <c r="P948">
        <f>IF($O948="","",COUNTIFS(ExpSub,$K948,ExpKey,"&lt;"&amp;$O948)+1)</f>
        <v/>
      </c>
      <c r="Q948">
        <f>IF($P948="","",$K948&amp;"|"&amp;RIGHT("000000"&amp;$P948,6))</f>
        <v/>
      </c>
    </row>
    <row r="949">
      <c r="A949">
        <f>IF(Sync!$P946="","",Sync!$P946)</f>
        <v/>
      </c>
      <c r="B949">
        <f>IF($A949="","",IF(ISNUMBER($A949),IF(AND($A949&gt;=10000101,$A949&lt;=99991231),INT($A949/10000),""),IFERROR(VALUE(TRIM(LEFT($A949,FIND("/",$A949)-1))),"")))</f>
        <v/>
      </c>
      <c r="C949">
        <f>IF(OR($A949="",$B949=""),"",IF(ISNUMBER($A949),INT(MOD($A949,10000)/100),IFERROR(VALUE(TRIM(LEFT(MID($A949,FIND("/",$A949)+1,20),FIND("/",MID($A949,FIND("/",$A949)+1,20))-1))),"")))</f>
        <v/>
      </c>
      <c r="D949">
        <f>IF(OR($A949="",$B949=""),"",IF(ISNUMBER($A949),MOD($A949,100),IFERROR(VALUE(TRIM(MID(MID($A949,FIND("/",$A949)+1,20),FIND("/",MID($A949,FIND("/",$A949)+1,20))+1,20))),"")))</f>
        <v/>
      </c>
      <c r="E949">
        <f>IF($A949="","",IF(OR($B949="",$C949="",$D949="",$B949&lt;1300,$B949&gt;1500,$C949&lt;1,$C949&gt;12,$D949&lt;1,$D949&gt;31),"نامعتبر",RIGHT("0000"&amp;$B949,4)&amp;"/"&amp;RIGHT("00"&amp;$C949,2)&amp;"/"&amp;RIGHT("00"&amp;$D949,2)))</f>
        <v/>
      </c>
      <c r="F949">
        <f>IF(OR($E949="",$E949="نامعتبر"),"",IF(Sync!$Q946="","0000",IF(AND(ISNUMBER(Sync!$Q946),Sync!$Q946&gt;=0,Sync!$Q946&lt;1),RIGHT("00"&amp;HOUR(Sync!$Q946),2)&amp;RIGHT("00"&amp;MINUTE(Sync!$Q946),2),IFERROR(RIGHT("00"&amp;VALUE(LEFT(Sync!$Q946,FIND(":",Sync!$Q946)-1)),2)&amp;RIGHT("00"&amp;VALUE(MID(Sync!$Q946,FIND(":",Sync!$Q946)+1,2)),2),"0000"))))</f>
        <v/>
      </c>
      <c r="G949">
        <f>IF(OR($E949="",$E949="نامعتبر"),"",IF(Sync!$S946="","",Sync!$S946))</f>
        <v/>
      </c>
      <c r="H949">
        <f>IF(OR($E949="",$E949="نامعتبر"),"",IF(Sync!$R946="","",Sync!$R946))</f>
        <v/>
      </c>
      <c r="I949">
        <f>IF(OR($E949="",$E949="نامعتبر"),"",IF(Sync!$T946="","",Sync!$T946))</f>
        <v/>
      </c>
      <c r="J949">
        <f>IF(OR($E949="",$E949="نامعتبر"),"",IF(Sync!$U946="","",Sync!$U946))</f>
        <v/>
      </c>
      <c r="K949">
        <f>IF(OR($E949="",$E949="نامعتبر"),"",IF(Sync!$V946="","",IFERROR(INDEX(SubCodes,MATCH(Sync!$V946,SubTitles,0)),Sync!$V946)))</f>
        <v/>
      </c>
      <c r="L949">
        <f>IF(OR($E949="",$E949="نامعتبر"),"",IF(Sync!$W946="",0,Sync!$W946))</f>
        <v/>
      </c>
      <c r="M949">
        <f>IF(OR($E949="",$E949="نامعتبر"),"",IF(Sync!$X946="",0,Sync!$X946))</f>
        <v/>
      </c>
      <c r="N949">
        <f>IF(OR($E949="",$E949="نامعتبر"),"",IF(AND($J949="هزینه",$K949&lt;&gt;""),1,0))</f>
        <v/>
      </c>
      <c r="O949">
        <f>IF($N949=0,"",LEFT($E949,4)&amp;MID($E949,6,2)&amp;RIGHT($E949,2)&amp;$F949&amp;"|"&amp;"1"&amp;RIGHT("00000"&amp;941,5))</f>
        <v/>
      </c>
      <c r="P949">
        <f>IF($O949="","",COUNTIFS(ExpSub,$K949,ExpKey,"&lt;"&amp;$O949)+1)</f>
        <v/>
      </c>
      <c r="Q949">
        <f>IF($P949="","",$K949&amp;"|"&amp;RIGHT("000000"&amp;$P949,6))</f>
        <v/>
      </c>
    </row>
    <row r="950">
      <c r="A950">
        <f>IF(Sync!$P947="","",Sync!$P947)</f>
        <v/>
      </c>
      <c r="B950">
        <f>IF($A950="","",IF(ISNUMBER($A950),IF(AND($A950&gt;=10000101,$A950&lt;=99991231),INT($A950/10000),""),IFERROR(VALUE(TRIM(LEFT($A950,FIND("/",$A950)-1))),"")))</f>
        <v/>
      </c>
      <c r="C950">
        <f>IF(OR($A950="",$B950=""),"",IF(ISNUMBER($A950),INT(MOD($A950,10000)/100),IFERROR(VALUE(TRIM(LEFT(MID($A950,FIND("/",$A950)+1,20),FIND("/",MID($A950,FIND("/",$A950)+1,20))-1))),"")))</f>
        <v/>
      </c>
      <c r="D950">
        <f>IF(OR($A950="",$B950=""),"",IF(ISNUMBER($A950),MOD($A950,100),IFERROR(VALUE(TRIM(MID(MID($A950,FIND("/",$A950)+1,20),FIND("/",MID($A950,FIND("/",$A950)+1,20))+1,20))),"")))</f>
        <v/>
      </c>
      <c r="E950">
        <f>IF($A950="","",IF(OR($B950="",$C950="",$D950="",$B950&lt;1300,$B950&gt;1500,$C950&lt;1,$C950&gt;12,$D950&lt;1,$D950&gt;31),"نامعتبر",RIGHT("0000"&amp;$B950,4)&amp;"/"&amp;RIGHT("00"&amp;$C950,2)&amp;"/"&amp;RIGHT("00"&amp;$D950,2)))</f>
        <v/>
      </c>
      <c r="F950">
        <f>IF(OR($E950="",$E950="نامعتبر"),"",IF(Sync!$Q947="","0000",IF(AND(ISNUMBER(Sync!$Q947),Sync!$Q947&gt;=0,Sync!$Q947&lt;1),RIGHT("00"&amp;HOUR(Sync!$Q947),2)&amp;RIGHT("00"&amp;MINUTE(Sync!$Q947),2),IFERROR(RIGHT("00"&amp;VALUE(LEFT(Sync!$Q947,FIND(":",Sync!$Q947)-1)),2)&amp;RIGHT("00"&amp;VALUE(MID(Sync!$Q947,FIND(":",Sync!$Q947)+1,2)),2),"0000"))))</f>
        <v/>
      </c>
      <c r="G950">
        <f>IF(OR($E950="",$E950="نامعتبر"),"",IF(Sync!$S947="","",Sync!$S947))</f>
        <v/>
      </c>
      <c r="H950">
        <f>IF(OR($E950="",$E950="نامعتبر"),"",IF(Sync!$R947="","",Sync!$R947))</f>
        <v/>
      </c>
      <c r="I950">
        <f>IF(OR($E950="",$E950="نامعتبر"),"",IF(Sync!$T947="","",Sync!$T947))</f>
        <v/>
      </c>
      <c r="J950">
        <f>IF(OR($E950="",$E950="نامعتبر"),"",IF(Sync!$U947="","",Sync!$U947))</f>
        <v/>
      </c>
      <c r="K950">
        <f>IF(OR($E950="",$E950="نامعتبر"),"",IF(Sync!$V947="","",IFERROR(INDEX(SubCodes,MATCH(Sync!$V947,SubTitles,0)),Sync!$V947)))</f>
        <v/>
      </c>
      <c r="L950">
        <f>IF(OR($E950="",$E950="نامعتبر"),"",IF(Sync!$W947="",0,Sync!$W947))</f>
        <v/>
      </c>
      <c r="M950">
        <f>IF(OR($E950="",$E950="نامعتبر"),"",IF(Sync!$X947="",0,Sync!$X947))</f>
        <v/>
      </c>
      <c r="N950">
        <f>IF(OR($E950="",$E950="نامعتبر"),"",IF(AND($J950="هزینه",$K950&lt;&gt;""),1,0))</f>
        <v/>
      </c>
      <c r="O950">
        <f>IF($N950=0,"",LEFT($E950,4)&amp;MID($E950,6,2)&amp;RIGHT($E950,2)&amp;$F950&amp;"|"&amp;"1"&amp;RIGHT("00000"&amp;942,5))</f>
        <v/>
      </c>
      <c r="P950">
        <f>IF($O950="","",COUNTIFS(ExpSub,$K950,ExpKey,"&lt;"&amp;$O950)+1)</f>
        <v/>
      </c>
      <c r="Q950">
        <f>IF($P950="","",$K950&amp;"|"&amp;RIGHT("000000"&amp;$P950,6))</f>
        <v/>
      </c>
    </row>
    <row r="951">
      <c r="A951">
        <f>IF(Sync!$P948="","",Sync!$P948)</f>
        <v/>
      </c>
      <c r="B951">
        <f>IF($A951="","",IF(ISNUMBER($A951),IF(AND($A951&gt;=10000101,$A951&lt;=99991231),INT($A951/10000),""),IFERROR(VALUE(TRIM(LEFT($A951,FIND("/",$A951)-1))),"")))</f>
        <v/>
      </c>
      <c r="C951">
        <f>IF(OR($A951="",$B951=""),"",IF(ISNUMBER($A951),INT(MOD($A951,10000)/100),IFERROR(VALUE(TRIM(LEFT(MID($A951,FIND("/",$A951)+1,20),FIND("/",MID($A951,FIND("/",$A951)+1,20))-1))),"")))</f>
        <v/>
      </c>
      <c r="D951">
        <f>IF(OR($A951="",$B951=""),"",IF(ISNUMBER($A951),MOD($A951,100),IFERROR(VALUE(TRIM(MID(MID($A951,FIND("/",$A951)+1,20),FIND("/",MID($A951,FIND("/",$A951)+1,20))+1,20))),"")))</f>
        <v/>
      </c>
      <c r="E951">
        <f>IF($A951="","",IF(OR($B951="",$C951="",$D951="",$B951&lt;1300,$B951&gt;1500,$C951&lt;1,$C951&gt;12,$D951&lt;1,$D951&gt;31),"نامعتبر",RIGHT("0000"&amp;$B951,4)&amp;"/"&amp;RIGHT("00"&amp;$C951,2)&amp;"/"&amp;RIGHT("00"&amp;$D951,2)))</f>
        <v/>
      </c>
      <c r="F951">
        <f>IF(OR($E951="",$E951="نامعتبر"),"",IF(Sync!$Q948="","0000",IF(AND(ISNUMBER(Sync!$Q948),Sync!$Q948&gt;=0,Sync!$Q948&lt;1),RIGHT("00"&amp;HOUR(Sync!$Q948),2)&amp;RIGHT("00"&amp;MINUTE(Sync!$Q948),2),IFERROR(RIGHT("00"&amp;VALUE(LEFT(Sync!$Q948,FIND(":",Sync!$Q948)-1)),2)&amp;RIGHT("00"&amp;VALUE(MID(Sync!$Q948,FIND(":",Sync!$Q948)+1,2)),2),"0000"))))</f>
        <v/>
      </c>
      <c r="G951">
        <f>IF(OR($E951="",$E951="نامعتبر"),"",IF(Sync!$S948="","",Sync!$S948))</f>
        <v/>
      </c>
      <c r="H951">
        <f>IF(OR($E951="",$E951="نامعتبر"),"",IF(Sync!$R948="","",Sync!$R948))</f>
        <v/>
      </c>
      <c r="I951">
        <f>IF(OR($E951="",$E951="نامعتبر"),"",IF(Sync!$T948="","",Sync!$T948))</f>
        <v/>
      </c>
      <c r="J951">
        <f>IF(OR($E951="",$E951="نامعتبر"),"",IF(Sync!$U948="","",Sync!$U948))</f>
        <v/>
      </c>
      <c r="K951">
        <f>IF(OR($E951="",$E951="نامعتبر"),"",IF(Sync!$V948="","",IFERROR(INDEX(SubCodes,MATCH(Sync!$V948,SubTitles,0)),Sync!$V948)))</f>
        <v/>
      </c>
      <c r="L951">
        <f>IF(OR($E951="",$E951="نامعتبر"),"",IF(Sync!$W948="",0,Sync!$W948))</f>
        <v/>
      </c>
      <c r="M951">
        <f>IF(OR($E951="",$E951="نامعتبر"),"",IF(Sync!$X948="",0,Sync!$X948))</f>
        <v/>
      </c>
      <c r="N951">
        <f>IF(OR($E951="",$E951="نامعتبر"),"",IF(AND($J951="هزینه",$K951&lt;&gt;""),1,0))</f>
        <v/>
      </c>
      <c r="O951">
        <f>IF($N951=0,"",LEFT($E951,4)&amp;MID($E951,6,2)&amp;RIGHT($E951,2)&amp;$F951&amp;"|"&amp;"1"&amp;RIGHT("00000"&amp;943,5))</f>
        <v/>
      </c>
      <c r="P951">
        <f>IF($O951="","",COUNTIFS(ExpSub,$K951,ExpKey,"&lt;"&amp;$O951)+1)</f>
        <v/>
      </c>
      <c r="Q951">
        <f>IF($P951="","",$K951&amp;"|"&amp;RIGHT("000000"&amp;$P951,6))</f>
        <v/>
      </c>
    </row>
    <row r="952">
      <c r="A952">
        <f>IF(Sync!$P949="","",Sync!$P949)</f>
        <v/>
      </c>
      <c r="B952">
        <f>IF($A952="","",IF(ISNUMBER($A952),IF(AND($A952&gt;=10000101,$A952&lt;=99991231),INT($A952/10000),""),IFERROR(VALUE(TRIM(LEFT($A952,FIND("/",$A952)-1))),"")))</f>
        <v/>
      </c>
      <c r="C952">
        <f>IF(OR($A952="",$B952=""),"",IF(ISNUMBER($A952),INT(MOD($A952,10000)/100),IFERROR(VALUE(TRIM(LEFT(MID($A952,FIND("/",$A952)+1,20),FIND("/",MID($A952,FIND("/",$A952)+1,20))-1))),"")))</f>
        <v/>
      </c>
      <c r="D952">
        <f>IF(OR($A952="",$B952=""),"",IF(ISNUMBER($A952),MOD($A952,100),IFERROR(VALUE(TRIM(MID(MID($A952,FIND("/",$A952)+1,20),FIND("/",MID($A952,FIND("/",$A952)+1,20))+1,20))),"")))</f>
        <v/>
      </c>
      <c r="E952">
        <f>IF($A952="","",IF(OR($B952="",$C952="",$D952="",$B952&lt;1300,$B952&gt;1500,$C952&lt;1,$C952&gt;12,$D952&lt;1,$D952&gt;31),"نامعتبر",RIGHT("0000"&amp;$B952,4)&amp;"/"&amp;RIGHT("00"&amp;$C952,2)&amp;"/"&amp;RIGHT("00"&amp;$D952,2)))</f>
        <v/>
      </c>
      <c r="F952">
        <f>IF(OR($E952="",$E952="نامعتبر"),"",IF(Sync!$Q949="","0000",IF(AND(ISNUMBER(Sync!$Q949),Sync!$Q949&gt;=0,Sync!$Q949&lt;1),RIGHT("00"&amp;HOUR(Sync!$Q949),2)&amp;RIGHT("00"&amp;MINUTE(Sync!$Q949),2),IFERROR(RIGHT("00"&amp;VALUE(LEFT(Sync!$Q949,FIND(":",Sync!$Q949)-1)),2)&amp;RIGHT("00"&amp;VALUE(MID(Sync!$Q949,FIND(":",Sync!$Q949)+1,2)),2),"0000"))))</f>
        <v/>
      </c>
      <c r="G952">
        <f>IF(OR($E952="",$E952="نامعتبر"),"",IF(Sync!$S949="","",Sync!$S949))</f>
        <v/>
      </c>
      <c r="H952">
        <f>IF(OR($E952="",$E952="نامعتبر"),"",IF(Sync!$R949="","",Sync!$R949))</f>
        <v/>
      </c>
      <c r="I952">
        <f>IF(OR($E952="",$E952="نامعتبر"),"",IF(Sync!$T949="","",Sync!$T949))</f>
        <v/>
      </c>
      <c r="J952">
        <f>IF(OR($E952="",$E952="نامعتبر"),"",IF(Sync!$U949="","",Sync!$U949))</f>
        <v/>
      </c>
      <c r="K952">
        <f>IF(OR($E952="",$E952="نامعتبر"),"",IF(Sync!$V949="","",IFERROR(INDEX(SubCodes,MATCH(Sync!$V949,SubTitles,0)),Sync!$V949)))</f>
        <v/>
      </c>
      <c r="L952">
        <f>IF(OR($E952="",$E952="نامعتبر"),"",IF(Sync!$W949="",0,Sync!$W949))</f>
        <v/>
      </c>
      <c r="M952">
        <f>IF(OR($E952="",$E952="نامعتبر"),"",IF(Sync!$X949="",0,Sync!$X949))</f>
        <v/>
      </c>
      <c r="N952">
        <f>IF(OR($E952="",$E952="نامعتبر"),"",IF(AND($J952="هزینه",$K952&lt;&gt;""),1,0))</f>
        <v/>
      </c>
      <c r="O952">
        <f>IF($N952=0,"",LEFT($E952,4)&amp;MID($E952,6,2)&amp;RIGHT($E952,2)&amp;$F952&amp;"|"&amp;"1"&amp;RIGHT("00000"&amp;944,5))</f>
        <v/>
      </c>
      <c r="P952">
        <f>IF($O952="","",COUNTIFS(ExpSub,$K952,ExpKey,"&lt;"&amp;$O952)+1)</f>
        <v/>
      </c>
      <c r="Q952">
        <f>IF($P952="","",$K952&amp;"|"&amp;RIGHT("000000"&amp;$P952,6))</f>
        <v/>
      </c>
    </row>
    <row r="953">
      <c r="A953">
        <f>IF(Sync!$P950="","",Sync!$P950)</f>
        <v/>
      </c>
      <c r="B953">
        <f>IF($A953="","",IF(ISNUMBER($A953),IF(AND($A953&gt;=10000101,$A953&lt;=99991231),INT($A953/10000),""),IFERROR(VALUE(TRIM(LEFT($A953,FIND("/",$A953)-1))),"")))</f>
        <v/>
      </c>
      <c r="C953">
        <f>IF(OR($A953="",$B953=""),"",IF(ISNUMBER($A953),INT(MOD($A953,10000)/100),IFERROR(VALUE(TRIM(LEFT(MID($A953,FIND("/",$A953)+1,20),FIND("/",MID($A953,FIND("/",$A953)+1,20))-1))),"")))</f>
        <v/>
      </c>
      <c r="D953">
        <f>IF(OR($A953="",$B953=""),"",IF(ISNUMBER($A953),MOD($A953,100),IFERROR(VALUE(TRIM(MID(MID($A953,FIND("/",$A953)+1,20),FIND("/",MID($A953,FIND("/",$A953)+1,20))+1,20))),"")))</f>
        <v/>
      </c>
      <c r="E953">
        <f>IF($A953="","",IF(OR($B953="",$C953="",$D953="",$B953&lt;1300,$B953&gt;1500,$C953&lt;1,$C953&gt;12,$D953&lt;1,$D953&gt;31),"نامعتبر",RIGHT("0000"&amp;$B953,4)&amp;"/"&amp;RIGHT("00"&amp;$C953,2)&amp;"/"&amp;RIGHT("00"&amp;$D953,2)))</f>
        <v/>
      </c>
      <c r="F953">
        <f>IF(OR($E953="",$E953="نامعتبر"),"",IF(Sync!$Q950="","0000",IF(AND(ISNUMBER(Sync!$Q950),Sync!$Q950&gt;=0,Sync!$Q950&lt;1),RIGHT("00"&amp;HOUR(Sync!$Q950),2)&amp;RIGHT("00"&amp;MINUTE(Sync!$Q950),2),IFERROR(RIGHT("00"&amp;VALUE(LEFT(Sync!$Q950,FIND(":",Sync!$Q950)-1)),2)&amp;RIGHT("00"&amp;VALUE(MID(Sync!$Q950,FIND(":",Sync!$Q950)+1,2)),2),"0000"))))</f>
        <v/>
      </c>
      <c r="G953">
        <f>IF(OR($E953="",$E953="نامعتبر"),"",IF(Sync!$S950="","",Sync!$S950))</f>
        <v/>
      </c>
      <c r="H953">
        <f>IF(OR($E953="",$E953="نامعتبر"),"",IF(Sync!$R950="","",Sync!$R950))</f>
        <v/>
      </c>
      <c r="I953">
        <f>IF(OR($E953="",$E953="نامعتبر"),"",IF(Sync!$T950="","",Sync!$T950))</f>
        <v/>
      </c>
      <c r="J953">
        <f>IF(OR($E953="",$E953="نامعتبر"),"",IF(Sync!$U950="","",Sync!$U950))</f>
        <v/>
      </c>
      <c r="K953">
        <f>IF(OR($E953="",$E953="نامعتبر"),"",IF(Sync!$V950="","",IFERROR(INDEX(SubCodes,MATCH(Sync!$V950,SubTitles,0)),Sync!$V950)))</f>
        <v/>
      </c>
      <c r="L953">
        <f>IF(OR($E953="",$E953="نامعتبر"),"",IF(Sync!$W950="",0,Sync!$W950))</f>
        <v/>
      </c>
      <c r="M953">
        <f>IF(OR($E953="",$E953="نامعتبر"),"",IF(Sync!$X950="",0,Sync!$X950))</f>
        <v/>
      </c>
      <c r="N953">
        <f>IF(OR($E953="",$E953="نامعتبر"),"",IF(AND($J953="هزینه",$K953&lt;&gt;""),1,0))</f>
        <v/>
      </c>
      <c r="O953">
        <f>IF($N953=0,"",LEFT($E953,4)&amp;MID($E953,6,2)&amp;RIGHT($E953,2)&amp;$F953&amp;"|"&amp;"1"&amp;RIGHT("00000"&amp;945,5))</f>
        <v/>
      </c>
      <c r="P953">
        <f>IF($O953="","",COUNTIFS(ExpSub,$K953,ExpKey,"&lt;"&amp;$O953)+1)</f>
        <v/>
      </c>
      <c r="Q953">
        <f>IF($P953="","",$K953&amp;"|"&amp;RIGHT("000000"&amp;$P953,6))</f>
        <v/>
      </c>
    </row>
    <row r="954">
      <c r="A954">
        <f>IF(Sync!$P951="","",Sync!$P951)</f>
        <v/>
      </c>
      <c r="B954">
        <f>IF($A954="","",IF(ISNUMBER($A954),IF(AND($A954&gt;=10000101,$A954&lt;=99991231),INT($A954/10000),""),IFERROR(VALUE(TRIM(LEFT($A954,FIND("/",$A954)-1))),"")))</f>
        <v/>
      </c>
      <c r="C954">
        <f>IF(OR($A954="",$B954=""),"",IF(ISNUMBER($A954),INT(MOD($A954,10000)/100),IFERROR(VALUE(TRIM(LEFT(MID($A954,FIND("/",$A954)+1,20),FIND("/",MID($A954,FIND("/",$A954)+1,20))-1))),"")))</f>
        <v/>
      </c>
      <c r="D954">
        <f>IF(OR($A954="",$B954=""),"",IF(ISNUMBER($A954),MOD($A954,100),IFERROR(VALUE(TRIM(MID(MID($A954,FIND("/",$A954)+1,20),FIND("/",MID($A954,FIND("/",$A954)+1,20))+1,20))),"")))</f>
        <v/>
      </c>
      <c r="E954">
        <f>IF($A954="","",IF(OR($B954="",$C954="",$D954="",$B954&lt;1300,$B954&gt;1500,$C954&lt;1,$C954&gt;12,$D954&lt;1,$D954&gt;31),"نامعتبر",RIGHT("0000"&amp;$B954,4)&amp;"/"&amp;RIGHT("00"&amp;$C954,2)&amp;"/"&amp;RIGHT("00"&amp;$D954,2)))</f>
        <v/>
      </c>
      <c r="F954">
        <f>IF(OR($E954="",$E954="نامعتبر"),"",IF(Sync!$Q951="","0000",IF(AND(ISNUMBER(Sync!$Q951),Sync!$Q951&gt;=0,Sync!$Q951&lt;1),RIGHT("00"&amp;HOUR(Sync!$Q951),2)&amp;RIGHT("00"&amp;MINUTE(Sync!$Q951),2),IFERROR(RIGHT("00"&amp;VALUE(LEFT(Sync!$Q951,FIND(":",Sync!$Q951)-1)),2)&amp;RIGHT("00"&amp;VALUE(MID(Sync!$Q951,FIND(":",Sync!$Q951)+1,2)),2),"0000"))))</f>
        <v/>
      </c>
      <c r="G954">
        <f>IF(OR($E954="",$E954="نامعتبر"),"",IF(Sync!$S951="","",Sync!$S951))</f>
        <v/>
      </c>
      <c r="H954">
        <f>IF(OR($E954="",$E954="نامعتبر"),"",IF(Sync!$R951="","",Sync!$R951))</f>
        <v/>
      </c>
      <c r="I954">
        <f>IF(OR($E954="",$E954="نامعتبر"),"",IF(Sync!$T951="","",Sync!$T951))</f>
        <v/>
      </c>
      <c r="J954">
        <f>IF(OR($E954="",$E954="نامعتبر"),"",IF(Sync!$U951="","",Sync!$U951))</f>
        <v/>
      </c>
      <c r="K954">
        <f>IF(OR($E954="",$E954="نامعتبر"),"",IF(Sync!$V951="","",IFERROR(INDEX(SubCodes,MATCH(Sync!$V951,SubTitles,0)),Sync!$V951)))</f>
        <v/>
      </c>
      <c r="L954">
        <f>IF(OR($E954="",$E954="نامعتبر"),"",IF(Sync!$W951="",0,Sync!$W951))</f>
        <v/>
      </c>
      <c r="M954">
        <f>IF(OR($E954="",$E954="نامعتبر"),"",IF(Sync!$X951="",0,Sync!$X951))</f>
        <v/>
      </c>
      <c r="N954">
        <f>IF(OR($E954="",$E954="نامعتبر"),"",IF(AND($J954="هزینه",$K954&lt;&gt;""),1,0))</f>
        <v/>
      </c>
      <c r="O954">
        <f>IF($N954=0,"",LEFT($E954,4)&amp;MID($E954,6,2)&amp;RIGHT($E954,2)&amp;$F954&amp;"|"&amp;"1"&amp;RIGHT("00000"&amp;946,5))</f>
        <v/>
      </c>
      <c r="P954">
        <f>IF($O954="","",COUNTIFS(ExpSub,$K954,ExpKey,"&lt;"&amp;$O954)+1)</f>
        <v/>
      </c>
      <c r="Q954">
        <f>IF($P954="","",$K954&amp;"|"&amp;RIGHT("000000"&amp;$P954,6))</f>
        <v/>
      </c>
    </row>
    <row r="955">
      <c r="A955">
        <f>IF(Sync!$P952="","",Sync!$P952)</f>
        <v/>
      </c>
      <c r="B955">
        <f>IF($A955="","",IF(ISNUMBER($A955),IF(AND($A955&gt;=10000101,$A955&lt;=99991231),INT($A955/10000),""),IFERROR(VALUE(TRIM(LEFT($A955,FIND("/",$A955)-1))),"")))</f>
        <v/>
      </c>
      <c r="C955">
        <f>IF(OR($A955="",$B955=""),"",IF(ISNUMBER($A955),INT(MOD($A955,10000)/100),IFERROR(VALUE(TRIM(LEFT(MID($A955,FIND("/",$A955)+1,20),FIND("/",MID($A955,FIND("/",$A955)+1,20))-1))),"")))</f>
        <v/>
      </c>
      <c r="D955">
        <f>IF(OR($A955="",$B955=""),"",IF(ISNUMBER($A955),MOD($A955,100),IFERROR(VALUE(TRIM(MID(MID($A955,FIND("/",$A955)+1,20),FIND("/",MID($A955,FIND("/",$A955)+1,20))+1,20))),"")))</f>
        <v/>
      </c>
      <c r="E955">
        <f>IF($A955="","",IF(OR($B955="",$C955="",$D955="",$B955&lt;1300,$B955&gt;1500,$C955&lt;1,$C955&gt;12,$D955&lt;1,$D955&gt;31),"نامعتبر",RIGHT("0000"&amp;$B955,4)&amp;"/"&amp;RIGHT("00"&amp;$C955,2)&amp;"/"&amp;RIGHT("00"&amp;$D955,2)))</f>
        <v/>
      </c>
      <c r="F955">
        <f>IF(OR($E955="",$E955="نامعتبر"),"",IF(Sync!$Q952="","0000",IF(AND(ISNUMBER(Sync!$Q952),Sync!$Q952&gt;=0,Sync!$Q952&lt;1),RIGHT("00"&amp;HOUR(Sync!$Q952),2)&amp;RIGHT("00"&amp;MINUTE(Sync!$Q952),2),IFERROR(RIGHT("00"&amp;VALUE(LEFT(Sync!$Q952,FIND(":",Sync!$Q952)-1)),2)&amp;RIGHT("00"&amp;VALUE(MID(Sync!$Q952,FIND(":",Sync!$Q952)+1,2)),2),"0000"))))</f>
        <v/>
      </c>
      <c r="G955">
        <f>IF(OR($E955="",$E955="نامعتبر"),"",IF(Sync!$S952="","",Sync!$S952))</f>
        <v/>
      </c>
      <c r="H955">
        <f>IF(OR($E955="",$E955="نامعتبر"),"",IF(Sync!$R952="","",Sync!$R952))</f>
        <v/>
      </c>
      <c r="I955">
        <f>IF(OR($E955="",$E955="نامعتبر"),"",IF(Sync!$T952="","",Sync!$T952))</f>
        <v/>
      </c>
      <c r="J955">
        <f>IF(OR($E955="",$E955="نامعتبر"),"",IF(Sync!$U952="","",Sync!$U952))</f>
        <v/>
      </c>
      <c r="K955">
        <f>IF(OR($E955="",$E955="نامعتبر"),"",IF(Sync!$V952="","",IFERROR(INDEX(SubCodes,MATCH(Sync!$V952,SubTitles,0)),Sync!$V952)))</f>
        <v/>
      </c>
      <c r="L955">
        <f>IF(OR($E955="",$E955="نامعتبر"),"",IF(Sync!$W952="",0,Sync!$W952))</f>
        <v/>
      </c>
      <c r="M955">
        <f>IF(OR($E955="",$E955="نامعتبر"),"",IF(Sync!$X952="",0,Sync!$X952))</f>
        <v/>
      </c>
      <c r="N955">
        <f>IF(OR($E955="",$E955="نامعتبر"),"",IF(AND($J955="هزینه",$K955&lt;&gt;""),1,0))</f>
        <v/>
      </c>
      <c r="O955">
        <f>IF($N955=0,"",LEFT($E955,4)&amp;MID($E955,6,2)&amp;RIGHT($E955,2)&amp;$F955&amp;"|"&amp;"1"&amp;RIGHT("00000"&amp;947,5))</f>
        <v/>
      </c>
      <c r="P955">
        <f>IF($O955="","",COUNTIFS(ExpSub,$K955,ExpKey,"&lt;"&amp;$O955)+1)</f>
        <v/>
      </c>
      <c r="Q955">
        <f>IF($P955="","",$K955&amp;"|"&amp;RIGHT("000000"&amp;$P955,6))</f>
        <v/>
      </c>
    </row>
    <row r="956">
      <c r="A956">
        <f>IF(Sync!$P953="","",Sync!$P953)</f>
        <v/>
      </c>
      <c r="B956">
        <f>IF($A956="","",IF(ISNUMBER($A956),IF(AND($A956&gt;=10000101,$A956&lt;=99991231),INT($A956/10000),""),IFERROR(VALUE(TRIM(LEFT($A956,FIND("/",$A956)-1))),"")))</f>
        <v/>
      </c>
      <c r="C956">
        <f>IF(OR($A956="",$B956=""),"",IF(ISNUMBER($A956),INT(MOD($A956,10000)/100),IFERROR(VALUE(TRIM(LEFT(MID($A956,FIND("/",$A956)+1,20),FIND("/",MID($A956,FIND("/",$A956)+1,20))-1))),"")))</f>
        <v/>
      </c>
      <c r="D956">
        <f>IF(OR($A956="",$B956=""),"",IF(ISNUMBER($A956),MOD($A956,100),IFERROR(VALUE(TRIM(MID(MID($A956,FIND("/",$A956)+1,20),FIND("/",MID($A956,FIND("/",$A956)+1,20))+1,20))),"")))</f>
        <v/>
      </c>
      <c r="E956">
        <f>IF($A956="","",IF(OR($B956="",$C956="",$D956="",$B956&lt;1300,$B956&gt;1500,$C956&lt;1,$C956&gt;12,$D956&lt;1,$D956&gt;31),"نامعتبر",RIGHT("0000"&amp;$B956,4)&amp;"/"&amp;RIGHT("00"&amp;$C956,2)&amp;"/"&amp;RIGHT("00"&amp;$D956,2)))</f>
        <v/>
      </c>
      <c r="F956">
        <f>IF(OR($E956="",$E956="نامعتبر"),"",IF(Sync!$Q953="","0000",IF(AND(ISNUMBER(Sync!$Q953),Sync!$Q953&gt;=0,Sync!$Q953&lt;1),RIGHT("00"&amp;HOUR(Sync!$Q953),2)&amp;RIGHT("00"&amp;MINUTE(Sync!$Q953),2),IFERROR(RIGHT("00"&amp;VALUE(LEFT(Sync!$Q953,FIND(":",Sync!$Q953)-1)),2)&amp;RIGHT("00"&amp;VALUE(MID(Sync!$Q953,FIND(":",Sync!$Q953)+1,2)),2),"0000"))))</f>
        <v/>
      </c>
      <c r="G956">
        <f>IF(OR($E956="",$E956="نامعتبر"),"",IF(Sync!$S953="","",Sync!$S953))</f>
        <v/>
      </c>
      <c r="H956">
        <f>IF(OR($E956="",$E956="نامعتبر"),"",IF(Sync!$R953="","",Sync!$R953))</f>
        <v/>
      </c>
      <c r="I956">
        <f>IF(OR($E956="",$E956="نامعتبر"),"",IF(Sync!$T953="","",Sync!$T953))</f>
        <v/>
      </c>
      <c r="J956">
        <f>IF(OR($E956="",$E956="نامعتبر"),"",IF(Sync!$U953="","",Sync!$U953))</f>
        <v/>
      </c>
      <c r="K956">
        <f>IF(OR($E956="",$E956="نامعتبر"),"",IF(Sync!$V953="","",IFERROR(INDEX(SubCodes,MATCH(Sync!$V953,SubTitles,0)),Sync!$V953)))</f>
        <v/>
      </c>
      <c r="L956">
        <f>IF(OR($E956="",$E956="نامعتبر"),"",IF(Sync!$W953="",0,Sync!$W953))</f>
        <v/>
      </c>
      <c r="M956">
        <f>IF(OR($E956="",$E956="نامعتبر"),"",IF(Sync!$X953="",0,Sync!$X953))</f>
        <v/>
      </c>
      <c r="N956">
        <f>IF(OR($E956="",$E956="نامعتبر"),"",IF(AND($J956="هزینه",$K956&lt;&gt;""),1,0))</f>
        <v/>
      </c>
      <c r="O956">
        <f>IF($N956=0,"",LEFT($E956,4)&amp;MID($E956,6,2)&amp;RIGHT($E956,2)&amp;$F956&amp;"|"&amp;"1"&amp;RIGHT("00000"&amp;948,5))</f>
        <v/>
      </c>
      <c r="P956">
        <f>IF($O956="","",COUNTIFS(ExpSub,$K956,ExpKey,"&lt;"&amp;$O956)+1)</f>
        <v/>
      </c>
      <c r="Q956">
        <f>IF($P956="","",$K956&amp;"|"&amp;RIGHT("000000"&amp;$P956,6))</f>
        <v/>
      </c>
    </row>
    <row r="957">
      <c r="A957">
        <f>IF(Sync!$P954="","",Sync!$P954)</f>
        <v/>
      </c>
      <c r="B957">
        <f>IF($A957="","",IF(ISNUMBER($A957),IF(AND($A957&gt;=10000101,$A957&lt;=99991231),INT($A957/10000),""),IFERROR(VALUE(TRIM(LEFT($A957,FIND("/",$A957)-1))),"")))</f>
        <v/>
      </c>
      <c r="C957">
        <f>IF(OR($A957="",$B957=""),"",IF(ISNUMBER($A957),INT(MOD($A957,10000)/100),IFERROR(VALUE(TRIM(LEFT(MID($A957,FIND("/",$A957)+1,20),FIND("/",MID($A957,FIND("/",$A957)+1,20))-1))),"")))</f>
        <v/>
      </c>
      <c r="D957">
        <f>IF(OR($A957="",$B957=""),"",IF(ISNUMBER($A957),MOD($A957,100),IFERROR(VALUE(TRIM(MID(MID($A957,FIND("/",$A957)+1,20),FIND("/",MID($A957,FIND("/",$A957)+1,20))+1,20))),"")))</f>
        <v/>
      </c>
      <c r="E957">
        <f>IF($A957="","",IF(OR($B957="",$C957="",$D957="",$B957&lt;1300,$B957&gt;1500,$C957&lt;1,$C957&gt;12,$D957&lt;1,$D957&gt;31),"نامعتبر",RIGHT("0000"&amp;$B957,4)&amp;"/"&amp;RIGHT("00"&amp;$C957,2)&amp;"/"&amp;RIGHT("00"&amp;$D957,2)))</f>
        <v/>
      </c>
      <c r="F957">
        <f>IF(OR($E957="",$E957="نامعتبر"),"",IF(Sync!$Q954="","0000",IF(AND(ISNUMBER(Sync!$Q954),Sync!$Q954&gt;=0,Sync!$Q954&lt;1),RIGHT("00"&amp;HOUR(Sync!$Q954),2)&amp;RIGHT("00"&amp;MINUTE(Sync!$Q954),2),IFERROR(RIGHT("00"&amp;VALUE(LEFT(Sync!$Q954,FIND(":",Sync!$Q954)-1)),2)&amp;RIGHT("00"&amp;VALUE(MID(Sync!$Q954,FIND(":",Sync!$Q954)+1,2)),2),"0000"))))</f>
        <v/>
      </c>
      <c r="G957">
        <f>IF(OR($E957="",$E957="نامعتبر"),"",IF(Sync!$S954="","",Sync!$S954))</f>
        <v/>
      </c>
      <c r="H957">
        <f>IF(OR($E957="",$E957="نامعتبر"),"",IF(Sync!$R954="","",Sync!$R954))</f>
        <v/>
      </c>
      <c r="I957">
        <f>IF(OR($E957="",$E957="نامعتبر"),"",IF(Sync!$T954="","",Sync!$T954))</f>
        <v/>
      </c>
      <c r="J957">
        <f>IF(OR($E957="",$E957="نامعتبر"),"",IF(Sync!$U954="","",Sync!$U954))</f>
        <v/>
      </c>
      <c r="K957">
        <f>IF(OR($E957="",$E957="نامعتبر"),"",IF(Sync!$V954="","",IFERROR(INDEX(SubCodes,MATCH(Sync!$V954,SubTitles,0)),Sync!$V954)))</f>
        <v/>
      </c>
      <c r="L957">
        <f>IF(OR($E957="",$E957="نامعتبر"),"",IF(Sync!$W954="",0,Sync!$W954))</f>
        <v/>
      </c>
      <c r="M957">
        <f>IF(OR($E957="",$E957="نامعتبر"),"",IF(Sync!$X954="",0,Sync!$X954))</f>
        <v/>
      </c>
      <c r="N957">
        <f>IF(OR($E957="",$E957="نامعتبر"),"",IF(AND($J957="هزینه",$K957&lt;&gt;""),1,0))</f>
        <v/>
      </c>
      <c r="O957">
        <f>IF($N957=0,"",LEFT($E957,4)&amp;MID($E957,6,2)&amp;RIGHT($E957,2)&amp;$F957&amp;"|"&amp;"1"&amp;RIGHT("00000"&amp;949,5))</f>
        <v/>
      </c>
      <c r="P957">
        <f>IF($O957="","",COUNTIFS(ExpSub,$K957,ExpKey,"&lt;"&amp;$O957)+1)</f>
        <v/>
      </c>
      <c r="Q957">
        <f>IF($P957="","",$K957&amp;"|"&amp;RIGHT("000000"&amp;$P957,6))</f>
        <v/>
      </c>
    </row>
    <row r="958">
      <c r="A958">
        <f>IF(Sync!$P955="","",Sync!$P955)</f>
        <v/>
      </c>
      <c r="B958">
        <f>IF($A958="","",IF(ISNUMBER($A958),IF(AND($A958&gt;=10000101,$A958&lt;=99991231),INT($A958/10000),""),IFERROR(VALUE(TRIM(LEFT($A958,FIND("/",$A958)-1))),"")))</f>
        <v/>
      </c>
      <c r="C958">
        <f>IF(OR($A958="",$B958=""),"",IF(ISNUMBER($A958),INT(MOD($A958,10000)/100),IFERROR(VALUE(TRIM(LEFT(MID($A958,FIND("/",$A958)+1,20),FIND("/",MID($A958,FIND("/",$A958)+1,20))-1))),"")))</f>
        <v/>
      </c>
      <c r="D958">
        <f>IF(OR($A958="",$B958=""),"",IF(ISNUMBER($A958),MOD($A958,100),IFERROR(VALUE(TRIM(MID(MID($A958,FIND("/",$A958)+1,20),FIND("/",MID($A958,FIND("/",$A958)+1,20))+1,20))),"")))</f>
        <v/>
      </c>
      <c r="E958">
        <f>IF($A958="","",IF(OR($B958="",$C958="",$D958="",$B958&lt;1300,$B958&gt;1500,$C958&lt;1,$C958&gt;12,$D958&lt;1,$D958&gt;31),"نامعتبر",RIGHT("0000"&amp;$B958,4)&amp;"/"&amp;RIGHT("00"&amp;$C958,2)&amp;"/"&amp;RIGHT("00"&amp;$D958,2)))</f>
        <v/>
      </c>
      <c r="F958">
        <f>IF(OR($E958="",$E958="نامعتبر"),"",IF(Sync!$Q955="","0000",IF(AND(ISNUMBER(Sync!$Q955),Sync!$Q955&gt;=0,Sync!$Q955&lt;1),RIGHT("00"&amp;HOUR(Sync!$Q955),2)&amp;RIGHT("00"&amp;MINUTE(Sync!$Q955),2),IFERROR(RIGHT("00"&amp;VALUE(LEFT(Sync!$Q955,FIND(":",Sync!$Q955)-1)),2)&amp;RIGHT("00"&amp;VALUE(MID(Sync!$Q955,FIND(":",Sync!$Q955)+1,2)),2),"0000"))))</f>
        <v/>
      </c>
      <c r="G958">
        <f>IF(OR($E958="",$E958="نامعتبر"),"",IF(Sync!$S955="","",Sync!$S955))</f>
        <v/>
      </c>
      <c r="H958">
        <f>IF(OR($E958="",$E958="نامعتبر"),"",IF(Sync!$R955="","",Sync!$R955))</f>
        <v/>
      </c>
      <c r="I958">
        <f>IF(OR($E958="",$E958="نامعتبر"),"",IF(Sync!$T955="","",Sync!$T955))</f>
        <v/>
      </c>
      <c r="J958">
        <f>IF(OR($E958="",$E958="نامعتبر"),"",IF(Sync!$U955="","",Sync!$U955))</f>
        <v/>
      </c>
      <c r="K958">
        <f>IF(OR($E958="",$E958="نامعتبر"),"",IF(Sync!$V955="","",IFERROR(INDEX(SubCodes,MATCH(Sync!$V955,SubTitles,0)),Sync!$V955)))</f>
        <v/>
      </c>
      <c r="L958">
        <f>IF(OR($E958="",$E958="نامعتبر"),"",IF(Sync!$W955="",0,Sync!$W955))</f>
        <v/>
      </c>
      <c r="M958">
        <f>IF(OR($E958="",$E958="نامعتبر"),"",IF(Sync!$X955="",0,Sync!$X955))</f>
        <v/>
      </c>
      <c r="N958">
        <f>IF(OR($E958="",$E958="نامعتبر"),"",IF(AND($J958="هزینه",$K958&lt;&gt;""),1,0))</f>
        <v/>
      </c>
      <c r="O958">
        <f>IF($N958=0,"",LEFT($E958,4)&amp;MID($E958,6,2)&amp;RIGHT($E958,2)&amp;$F958&amp;"|"&amp;"1"&amp;RIGHT("00000"&amp;950,5))</f>
        <v/>
      </c>
      <c r="P958">
        <f>IF($O958="","",COUNTIFS(ExpSub,$K958,ExpKey,"&lt;"&amp;$O958)+1)</f>
        <v/>
      </c>
      <c r="Q958">
        <f>IF($P958="","",$K958&amp;"|"&amp;RIGHT("000000"&amp;$P958,6))</f>
        <v/>
      </c>
    </row>
    <row r="959">
      <c r="A959">
        <f>IF(Sync!$P956="","",Sync!$P956)</f>
        <v/>
      </c>
      <c r="B959">
        <f>IF($A959="","",IF(ISNUMBER($A959),IF(AND($A959&gt;=10000101,$A959&lt;=99991231),INT($A959/10000),""),IFERROR(VALUE(TRIM(LEFT($A959,FIND("/",$A959)-1))),"")))</f>
        <v/>
      </c>
      <c r="C959">
        <f>IF(OR($A959="",$B959=""),"",IF(ISNUMBER($A959),INT(MOD($A959,10000)/100),IFERROR(VALUE(TRIM(LEFT(MID($A959,FIND("/",$A959)+1,20),FIND("/",MID($A959,FIND("/",$A959)+1,20))-1))),"")))</f>
        <v/>
      </c>
      <c r="D959">
        <f>IF(OR($A959="",$B959=""),"",IF(ISNUMBER($A959),MOD($A959,100),IFERROR(VALUE(TRIM(MID(MID($A959,FIND("/",$A959)+1,20),FIND("/",MID($A959,FIND("/",$A959)+1,20))+1,20))),"")))</f>
        <v/>
      </c>
      <c r="E959">
        <f>IF($A959="","",IF(OR($B959="",$C959="",$D959="",$B959&lt;1300,$B959&gt;1500,$C959&lt;1,$C959&gt;12,$D959&lt;1,$D959&gt;31),"نامعتبر",RIGHT("0000"&amp;$B959,4)&amp;"/"&amp;RIGHT("00"&amp;$C959,2)&amp;"/"&amp;RIGHT("00"&amp;$D959,2)))</f>
        <v/>
      </c>
      <c r="F959">
        <f>IF(OR($E959="",$E959="نامعتبر"),"",IF(Sync!$Q956="","0000",IF(AND(ISNUMBER(Sync!$Q956),Sync!$Q956&gt;=0,Sync!$Q956&lt;1),RIGHT("00"&amp;HOUR(Sync!$Q956),2)&amp;RIGHT("00"&amp;MINUTE(Sync!$Q956),2),IFERROR(RIGHT("00"&amp;VALUE(LEFT(Sync!$Q956,FIND(":",Sync!$Q956)-1)),2)&amp;RIGHT("00"&amp;VALUE(MID(Sync!$Q956,FIND(":",Sync!$Q956)+1,2)),2),"0000"))))</f>
        <v/>
      </c>
      <c r="G959">
        <f>IF(OR($E959="",$E959="نامعتبر"),"",IF(Sync!$S956="","",Sync!$S956))</f>
        <v/>
      </c>
      <c r="H959">
        <f>IF(OR($E959="",$E959="نامعتبر"),"",IF(Sync!$R956="","",Sync!$R956))</f>
        <v/>
      </c>
      <c r="I959">
        <f>IF(OR($E959="",$E959="نامعتبر"),"",IF(Sync!$T956="","",Sync!$T956))</f>
        <v/>
      </c>
      <c r="J959">
        <f>IF(OR($E959="",$E959="نامعتبر"),"",IF(Sync!$U956="","",Sync!$U956))</f>
        <v/>
      </c>
      <c r="K959">
        <f>IF(OR($E959="",$E959="نامعتبر"),"",IF(Sync!$V956="","",IFERROR(INDEX(SubCodes,MATCH(Sync!$V956,SubTitles,0)),Sync!$V956)))</f>
        <v/>
      </c>
      <c r="L959">
        <f>IF(OR($E959="",$E959="نامعتبر"),"",IF(Sync!$W956="",0,Sync!$W956))</f>
        <v/>
      </c>
      <c r="M959">
        <f>IF(OR($E959="",$E959="نامعتبر"),"",IF(Sync!$X956="",0,Sync!$X956))</f>
        <v/>
      </c>
      <c r="N959">
        <f>IF(OR($E959="",$E959="نامعتبر"),"",IF(AND($J959="هزینه",$K959&lt;&gt;""),1,0))</f>
        <v/>
      </c>
      <c r="O959">
        <f>IF($N959=0,"",LEFT($E959,4)&amp;MID($E959,6,2)&amp;RIGHT($E959,2)&amp;$F959&amp;"|"&amp;"1"&amp;RIGHT("00000"&amp;951,5))</f>
        <v/>
      </c>
      <c r="P959">
        <f>IF($O959="","",COUNTIFS(ExpSub,$K959,ExpKey,"&lt;"&amp;$O959)+1)</f>
        <v/>
      </c>
      <c r="Q959">
        <f>IF($P959="","",$K959&amp;"|"&amp;RIGHT("000000"&amp;$P959,6))</f>
        <v/>
      </c>
    </row>
    <row r="960">
      <c r="A960">
        <f>IF(Sync!$P957="","",Sync!$P957)</f>
        <v/>
      </c>
      <c r="B960">
        <f>IF($A960="","",IF(ISNUMBER($A960),IF(AND($A960&gt;=10000101,$A960&lt;=99991231),INT($A960/10000),""),IFERROR(VALUE(TRIM(LEFT($A960,FIND("/",$A960)-1))),"")))</f>
        <v/>
      </c>
      <c r="C960">
        <f>IF(OR($A960="",$B960=""),"",IF(ISNUMBER($A960),INT(MOD($A960,10000)/100),IFERROR(VALUE(TRIM(LEFT(MID($A960,FIND("/",$A960)+1,20),FIND("/",MID($A960,FIND("/",$A960)+1,20))-1))),"")))</f>
        <v/>
      </c>
      <c r="D960">
        <f>IF(OR($A960="",$B960=""),"",IF(ISNUMBER($A960),MOD($A960,100),IFERROR(VALUE(TRIM(MID(MID($A960,FIND("/",$A960)+1,20),FIND("/",MID($A960,FIND("/",$A960)+1,20))+1,20))),"")))</f>
        <v/>
      </c>
      <c r="E960">
        <f>IF($A960="","",IF(OR($B960="",$C960="",$D960="",$B960&lt;1300,$B960&gt;1500,$C960&lt;1,$C960&gt;12,$D960&lt;1,$D960&gt;31),"نامعتبر",RIGHT("0000"&amp;$B960,4)&amp;"/"&amp;RIGHT("00"&amp;$C960,2)&amp;"/"&amp;RIGHT("00"&amp;$D960,2)))</f>
        <v/>
      </c>
      <c r="F960">
        <f>IF(OR($E960="",$E960="نامعتبر"),"",IF(Sync!$Q957="","0000",IF(AND(ISNUMBER(Sync!$Q957),Sync!$Q957&gt;=0,Sync!$Q957&lt;1),RIGHT("00"&amp;HOUR(Sync!$Q957),2)&amp;RIGHT("00"&amp;MINUTE(Sync!$Q957),2),IFERROR(RIGHT("00"&amp;VALUE(LEFT(Sync!$Q957,FIND(":",Sync!$Q957)-1)),2)&amp;RIGHT("00"&amp;VALUE(MID(Sync!$Q957,FIND(":",Sync!$Q957)+1,2)),2),"0000"))))</f>
        <v/>
      </c>
      <c r="G960">
        <f>IF(OR($E960="",$E960="نامعتبر"),"",IF(Sync!$S957="","",Sync!$S957))</f>
        <v/>
      </c>
      <c r="H960">
        <f>IF(OR($E960="",$E960="نامعتبر"),"",IF(Sync!$R957="","",Sync!$R957))</f>
        <v/>
      </c>
      <c r="I960">
        <f>IF(OR($E960="",$E960="نامعتبر"),"",IF(Sync!$T957="","",Sync!$T957))</f>
        <v/>
      </c>
      <c r="J960">
        <f>IF(OR($E960="",$E960="نامعتبر"),"",IF(Sync!$U957="","",Sync!$U957))</f>
        <v/>
      </c>
      <c r="K960">
        <f>IF(OR($E960="",$E960="نامعتبر"),"",IF(Sync!$V957="","",IFERROR(INDEX(SubCodes,MATCH(Sync!$V957,SubTitles,0)),Sync!$V957)))</f>
        <v/>
      </c>
      <c r="L960">
        <f>IF(OR($E960="",$E960="نامعتبر"),"",IF(Sync!$W957="",0,Sync!$W957))</f>
        <v/>
      </c>
      <c r="M960">
        <f>IF(OR($E960="",$E960="نامعتبر"),"",IF(Sync!$X957="",0,Sync!$X957))</f>
        <v/>
      </c>
      <c r="N960">
        <f>IF(OR($E960="",$E960="نامعتبر"),"",IF(AND($J960="هزینه",$K960&lt;&gt;""),1,0))</f>
        <v/>
      </c>
      <c r="O960">
        <f>IF($N960=0,"",LEFT($E960,4)&amp;MID($E960,6,2)&amp;RIGHT($E960,2)&amp;$F960&amp;"|"&amp;"1"&amp;RIGHT("00000"&amp;952,5))</f>
        <v/>
      </c>
      <c r="P960">
        <f>IF($O960="","",COUNTIFS(ExpSub,$K960,ExpKey,"&lt;"&amp;$O960)+1)</f>
        <v/>
      </c>
      <c r="Q960">
        <f>IF($P960="","",$K960&amp;"|"&amp;RIGHT("000000"&amp;$P960,6))</f>
        <v/>
      </c>
    </row>
    <row r="961">
      <c r="A961">
        <f>IF(Sync!$P958="","",Sync!$P958)</f>
        <v/>
      </c>
      <c r="B961">
        <f>IF($A961="","",IF(ISNUMBER($A961),IF(AND($A961&gt;=10000101,$A961&lt;=99991231),INT($A961/10000),""),IFERROR(VALUE(TRIM(LEFT($A961,FIND("/",$A961)-1))),"")))</f>
        <v/>
      </c>
      <c r="C961">
        <f>IF(OR($A961="",$B961=""),"",IF(ISNUMBER($A961),INT(MOD($A961,10000)/100),IFERROR(VALUE(TRIM(LEFT(MID($A961,FIND("/",$A961)+1,20),FIND("/",MID($A961,FIND("/",$A961)+1,20))-1))),"")))</f>
        <v/>
      </c>
      <c r="D961">
        <f>IF(OR($A961="",$B961=""),"",IF(ISNUMBER($A961),MOD($A961,100),IFERROR(VALUE(TRIM(MID(MID($A961,FIND("/",$A961)+1,20),FIND("/",MID($A961,FIND("/",$A961)+1,20))+1,20))),"")))</f>
        <v/>
      </c>
      <c r="E961">
        <f>IF($A961="","",IF(OR($B961="",$C961="",$D961="",$B961&lt;1300,$B961&gt;1500,$C961&lt;1,$C961&gt;12,$D961&lt;1,$D961&gt;31),"نامعتبر",RIGHT("0000"&amp;$B961,4)&amp;"/"&amp;RIGHT("00"&amp;$C961,2)&amp;"/"&amp;RIGHT("00"&amp;$D961,2)))</f>
        <v/>
      </c>
      <c r="F961">
        <f>IF(OR($E961="",$E961="نامعتبر"),"",IF(Sync!$Q958="","0000",IF(AND(ISNUMBER(Sync!$Q958),Sync!$Q958&gt;=0,Sync!$Q958&lt;1),RIGHT("00"&amp;HOUR(Sync!$Q958),2)&amp;RIGHT("00"&amp;MINUTE(Sync!$Q958),2),IFERROR(RIGHT("00"&amp;VALUE(LEFT(Sync!$Q958,FIND(":",Sync!$Q958)-1)),2)&amp;RIGHT("00"&amp;VALUE(MID(Sync!$Q958,FIND(":",Sync!$Q958)+1,2)),2),"0000"))))</f>
        <v/>
      </c>
      <c r="G961">
        <f>IF(OR($E961="",$E961="نامعتبر"),"",IF(Sync!$S958="","",Sync!$S958))</f>
        <v/>
      </c>
      <c r="H961">
        <f>IF(OR($E961="",$E961="نامعتبر"),"",IF(Sync!$R958="","",Sync!$R958))</f>
        <v/>
      </c>
      <c r="I961">
        <f>IF(OR($E961="",$E961="نامعتبر"),"",IF(Sync!$T958="","",Sync!$T958))</f>
        <v/>
      </c>
      <c r="J961">
        <f>IF(OR($E961="",$E961="نامعتبر"),"",IF(Sync!$U958="","",Sync!$U958))</f>
        <v/>
      </c>
      <c r="K961">
        <f>IF(OR($E961="",$E961="نامعتبر"),"",IF(Sync!$V958="","",IFERROR(INDEX(SubCodes,MATCH(Sync!$V958,SubTitles,0)),Sync!$V958)))</f>
        <v/>
      </c>
      <c r="L961">
        <f>IF(OR($E961="",$E961="نامعتبر"),"",IF(Sync!$W958="",0,Sync!$W958))</f>
        <v/>
      </c>
      <c r="M961">
        <f>IF(OR($E961="",$E961="نامعتبر"),"",IF(Sync!$X958="",0,Sync!$X958))</f>
        <v/>
      </c>
      <c r="N961">
        <f>IF(OR($E961="",$E961="نامعتبر"),"",IF(AND($J961="هزینه",$K961&lt;&gt;""),1,0))</f>
        <v/>
      </c>
      <c r="O961">
        <f>IF($N961=0,"",LEFT($E961,4)&amp;MID($E961,6,2)&amp;RIGHT($E961,2)&amp;$F961&amp;"|"&amp;"1"&amp;RIGHT("00000"&amp;953,5))</f>
        <v/>
      </c>
      <c r="P961">
        <f>IF($O961="","",COUNTIFS(ExpSub,$K961,ExpKey,"&lt;"&amp;$O961)+1)</f>
        <v/>
      </c>
      <c r="Q961">
        <f>IF($P961="","",$K961&amp;"|"&amp;RIGHT("000000"&amp;$P961,6))</f>
        <v/>
      </c>
    </row>
    <row r="962">
      <c r="A962">
        <f>IF(Sync!$P959="","",Sync!$P959)</f>
        <v/>
      </c>
      <c r="B962">
        <f>IF($A962="","",IF(ISNUMBER($A962),IF(AND($A962&gt;=10000101,$A962&lt;=99991231),INT($A962/10000),""),IFERROR(VALUE(TRIM(LEFT($A962,FIND("/",$A962)-1))),"")))</f>
        <v/>
      </c>
      <c r="C962">
        <f>IF(OR($A962="",$B962=""),"",IF(ISNUMBER($A962),INT(MOD($A962,10000)/100),IFERROR(VALUE(TRIM(LEFT(MID($A962,FIND("/",$A962)+1,20),FIND("/",MID($A962,FIND("/",$A962)+1,20))-1))),"")))</f>
        <v/>
      </c>
      <c r="D962">
        <f>IF(OR($A962="",$B962=""),"",IF(ISNUMBER($A962),MOD($A962,100),IFERROR(VALUE(TRIM(MID(MID($A962,FIND("/",$A962)+1,20),FIND("/",MID($A962,FIND("/",$A962)+1,20))+1,20))),"")))</f>
        <v/>
      </c>
      <c r="E962">
        <f>IF($A962="","",IF(OR($B962="",$C962="",$D962="",$B962&lt;1300,$B962&gt;1500,$C962&lt;1,$C962&gt;12,$D962&lt;1,$D962&gt;31),"نامعتبر",RIGHT("0000"&amp;$B962,4)&amp;"/"&amp;RIGHT("00"&amp;$C962,2)&amp;"/"&amp;RIGHT("00"&amp;$D962,2)))</f>
        <v/>
      </c>
      <c r="F962">
        <f>IF(OR($E962="",$E962="نامعتبر"),"",IF(Sync!$Q959="","0000",IF(AND(ISNUMBER(Sync!$Q959),Sync!$Q959&gt;=0,Sync!$Q959&lt;1),RIGHT("00"&amp;HOUR(Sync!$Q959),2)&amp;RIGHT("00"&amp;MINUTE(Sync!$Q959),2),IFERROR(RIGHT("00"&amp;VALUE(LEFT(Sync!$Q959,FIND(":",Sync!$Q959)-1)),2)&amp;RIGHT("00"&amp;VALUE(MID(Sync!$Q959,FIND(":",Sync!$Q959)+1,2)),2),"0000"))))</f>
        <v/>
      </c>
      <c r="G962">
        <f>IF(OR($E962="",$E962="نامعتبر"),"",IF(Sync!$S959="","",Sync!$S959))</f>
        <v/>
      </c>
      <c r="H962">
        <f>IF(OR($E962="",$E962="نامعتبر"),"",IF(Sync!$R959="","",Sync!$R959))</f>
        <v/>
      </c>
      <c r="I962">
        <f>IF(OR($E962="",$E962="نامعتبر"),"",IF(Sync!$T959="","",Sync!$T959))</f>
        <v/>
      </c>
      <c r="J962">
        <f>IF(OR($E962="",$E962="نامعتبر"),"",IF(Sync!$U959="","",Sync!$U959))</f>
        <v/>
      </c>
      <c r="K962">
        <f>IF(OR($E962="",$E962="نامعتبر"),"",IF(Sync!$V959="","",IFERROR(INDEX(SubCodes,MATCH(Sync!$V959,SubTitles,0)),Sync!$V959)))</f>
        <v/>
      </c>
      <c r="L962">
        <f>IF(OR($E962="",$E962="نامعتبر"),"",IF(Sync!$W959="",0,Sync!$W959))</f>
        <v/>
      </c>
      <c r="M962">
        <f>IF(OR($E962="",$E962="نامعتبر"),"",IF(Sync!$X959="",0,Sync!$X959))</f>
        <v/>
      </c>
      <c r="N962">
        <f>IF(OR($E962="",$E962="نامعتبر"),"",IF(AND($J962="هزینه",$K962&lt;&gt;""),1,0))</f>
        <v/>
      </c>
      <c r="O962">
        <f>IF($N962=0,"",LEFT($E962,4)&amp;MID($E962,6,2)&amp;RIGHT($E962,2)&amp;$F962&amp;"|"&amp;"1"&amp;RIGHT("00000"&amp;954,5))</f>
        <v/>
      </c>
      <c r="P962">
        <f>IF($O962="","",COUNTIFS(ExpSub,$K962,ExpKey,"&lt;"&amp;$O962)+1)</f>
        <v/>
      </c>
      <c r="Q962">
        <f>IF($P962="","",$K962&amp;"|"&amp;RIGHT("000000"&amp;$P962,6))</f>
        <v/>
      </c>
    </row>
    <row r="963">
      <c r="A963">
        <f>IF(Sync!$P960="","",Sync!$P960)</f>
        <v/>
      </c>
      <c r="B963">
        <f>IF($A963="","",IF(ISNUMBER($A963),IF(AND($A963&gt;=10000101,$A963&lt;=99991231),INT($A963/10000),""),IFERROR(VALUE(TRIM(LEFT($A963,FIND("/",$A963)-1))),"")))</f>
        <v/>
      </c>
      <c r="C963">
        <f>IF(OR($A963="",$B963=""),"",IF(ISNUMBER($A963),INT(MOD($A963,10000)/100),IFERROR(VALUE(TRIM(LEFT(MID($A963,FIND("/",$A963)+1,20),FIND("/",MID($A963,FIND("/",$A963)+1,20))-1))),"")))</f>
        <v/>
      </c>
      <c r="D963">
        <f>IF(OR($A963="",$B963=""),"",IF(ISNUMBER($A963),MOD($A963,100),IFERROR(VALUE(TRIM(MID(MID($A963,FIND("/",$A963)+1,20),FIND("/",MID($A963,FIND("/",$A963)+1,20))+1,20))),"")))</f>
        <v/>
      </c>
      <c r="E963">
        <f>IF($A963="","",IF(OR($B963="",$C963="",$D963="",$B963&lt;1300,$B963&gt;1500,$C963&lt;1,$C963&gt;12,$D963&lt;1,$D963&gt;31),"نامعتبر",RIGHT("0000"&amp;$B963,4)&amp;"/"&amp;RIGHT("00"&amp;$C963,2)&amp;"/"&amp;RIGHT("00"&amp;$D963,2)))</f>
        <v/>
      </c>
      <c r="F963">
        <f>IF(OR($E963="",$E963="نامعتبر"),"",IF(Sync!$Q960="","0000",IF(AND(ISNUMBER(Sync!$Q960),Sync!$Q960&gt;=0,Sync!$Q960&lt;1),RIGHT("00"&amp;HOUR(Sync!$Q960),2)&amp;RIGHT("00"&amp;MINUTE(Sync!$Q960),2),IFERROR(RIGHT("00"&amp;VALUE(LEFT(Sync!$Q960,FIND(":",Sync!$Q960)-1)),2)&amp;RIGHT("00"&amp;VALUE(MID(Sync!$Q960,FIND(":",Sync!$Q960)+1,2)),2),"0000"))))</f>
        <v/>
      </c>
      <c r="G963">
        <f>IF(OR($E963="",$E963="نامعتبر"),"",IF(Sync!$S960="","",Sync!$S960))</f>
        <v/>
      </c>
      <c r="H963">
        <f>IF(OR($E963="",$E963="نامعتبر"),"",IF(Sync!$R960="","",Sync!$R960))</f>
        <v/>
      </c>
      <c r="I963">
        <f>IF(OR($E963="",$E963="نامعتبر"),"",IF(Sync!$T960="","",Sync!$T960))</f>
        <v/>
      </c>
      <c r="J963">
        <f>IF(OR($E963="",$E963="نامعتبر"),"",IF(Sync!$U960="","",Sync!$U960))</f>
        <v/>
      </c>
      <c r="K963">
        <f>IF(OR($E963="",$E963="نامعتبر"),"",IF(Sync!$V960="","",IFERROR(INDEX(SubCodes,MATCH(Sync!$V960,SubTitles,0)),Sync!$V960)))</f>
        <v/>
      </c>
      <c r="L963">
        <f>IF(OR($E963="",$E963="نامعتبر"),"",IF(Sync!$W960="",0,Sync!$W960))</f>
        <v/>
      </c>
      <c r="M963">
        <f>IF(OR($E963="",$E963="نامعتبر"),"",IF(Sync!$X960="",0,Sync!$X960))</f>
        <v/>
      </c>
      <c r="N963">
        <f>IF(OR($E963="",$E963="نامعتبر"),"",IF(AND($J963="هزینه",$K963&lt;&gt;""),1,0))</f>
        <v/>
      </c>
      <c r="O963">
        <f>IF($N963=0,"",LEFT($E963,4)&amp;MID($E963,6,2)&amp;RIGHT($E963,2)&amp;$F963&amp;"|"&amp;"1"&amp;RIGHT("00000"&amp;955,5))</f>
        <v/>
      </c>
      <c r="P963">
        <f>IF($O963="","",COUNTIFS(ExpSub,$K963,ExpKey,"&lt;"&amp;$O963)+1)</f>
        <v/>
      </c>
      <c r="Q963">
        <f>IF($P963="","",$K963&amp;"|"&amp;RIGHT("000000"&amp;$P963,6))</f>
        <v/>
      </c>
    </row>
    <row r="964">
      <c r="A964">
        <f>IF(Sync!$P961="","",Sync!$P961)</f>
        <v/>
      </c>
      <c r="B964">
        <f>IF($A964="","",IF(ISNUMBER($A964),IF(AND($A964&gt;=10000101,$A964&lt;=99991231),INT($A964/10000),""),IFERROR(VALUE(TRIM(LEFT($A964,FIND("/",$A964)-1))),"")))</f>
        <v/>
      </c>
      <c r="C964">
        <f>IF(OR($A964="",$B964=""),"",IF(ISNUMBER($A964),INT(MOD($A964,10000)/100),IFERROR(VALUE(TRIM(LEFT(MID($A964,FIND("/",$A964)+1,20),FIND("/",MID($A964,FIND("/",$A964)+1,20))-1))),"")))</f>
        <v/>
      </c>
      <c r="D964">
        <f>IF(OR($A964="",$B964=""),"",IF(ISNUMBER($A964),MOD($A964,100),IFERROR(VALUE(TRIM(MID(MID($A964,FIND("/",$A964)+1,20),FIND("/",MID($A964,FIND("/",$A964)+1,20))+1,20))),"")))</f>
        <v/>
      </c>
      <c r="E964">
        <f>IF($A964="","",IF(OR($B964="",$C964="",$D964="",$B964&lt;1300,$B964&gt;1500,$C964&lt;1,$C964&gt;12,$D964&lt;1,$D964&gt;31),"نامعتبر",RIGHT("0000"&amp;$B964,4)&amp;"/"&amp;RIGHT("00"&amp;$C964,2)&amp;"/"&amp;RIGHT("00"&amp;$D964,2)))</f>
        <v/>
      </c>
      <c r="F964">
        <f>IF(OR($E964="",$E964="نامعتبر"),"",IF(Sync!$Q961="","0000",IF(AND(ISNUMBER(Sync!$Q961),Sync!$Q961&gt;=0,Sync!$Q961&lt;1),RIGHT("00"&amp;HOUR(Sync!$Q961),2)&amp;RIGHT("00"&amp;MINUTE(Sync!$Q961),2),IFERROR(RIGHT("00"&amp;VALUE(LEFT(Sync!$Q961,FIND(":",Sync!$Q961)-1)),2)&amp;RIGHT("00"&amp;VALUE(MID(Sync!$Q961,FIND(":",Sync!$Q961)+1,2)),2),"0000"))))</f>
        <v/>
      </c>
      <c r="G964">
        <f>IF(OR($E964="",$E964="نامعتبر"),"",IF(Sync!$S961="","",Sync!$S961))</f>
        <v/>
      </c>
      <c r="H964">
        <f>IF(OR($E964="",$E964="نامعتبر"),"",IF(Sync!$R961="","",Sync!$R961))</f>
        <v/>
      </c>
      <c r="I964">
        <f>IF(OR($E964="",$E964="نامعتبر"),"",IF(Sync!$T961="","",Sync!$T961))</f>
        <v/>
      </c>
      <c r="J964">
        <f>IF(OR($E964="",$E964="نامعتبر"),"",IF(Sync!$U961="","",Sync!$U961))</f>
        <v/>
      </c>
      <c r="K964">
        <f>IF(OR($E964="",$E964="نامعتبر"),"",IF(Sync!$V961="","",IFERROR(INDEX(SubCodes,MATCH(Sync!$V961,SubTitles,0)),Sync!$V961)))</f>
        <v/>
      </c>
      <c r="L964">
        <f>IF(OR($E964="",$E964="نامعتبر"),"",IF(Sync!$W961="",0,Sync!$W961))</f>
        <v/>
      </c>
      <c r="M964">
        <f>IF(OR($E964="",$E964="نامعتبر"),"",IF(Sync!$X961="",0,Sync!$X961))</f>
        <v/>
      </c>
      <c r="N964">
        <f>IF(OR($E964="",$E964="نامعتبر"),"",IF(AND($J964="هزینه",$K964&lt;&gt;""),1,0))</f>
        <v/>
      </c>
      <c r="O964">
        <f>IF($N964=0,"",LEFT($E964,4)&amp;MID($E964,6,2)&amp;RIGHT($E964,2)&amp;$F964&amp;"|"&amp;"1"&amp;RIGHT("00000"&amp;956,5))</f>
        <v/>
      </c>
      <c r="P964">
        <f>IF($O964="","",COUNTIFS(ExpSub,$K964,ExpKey,"&lt;"&amp;$O964)+1)</f>
        <v/>
      </c>
      <c r="Q964">
        <f>IF($P964="","",$K964&amp;"|"&amp;RIGHT("000000"&amp;$P964,6))</f>
        <v/>
      </c>
    </row>
    <row r="965">
      <c r="A965">
        <f>IF(Sync!$P962="","",Sync!$P962)</f>
        <v/>
      </c>
      <c r="B965">
        <f>IF($A965="","",IF(ISNUMBER($A965),IF(AND($A965&gt;=10000101,$A965&lt;=99991231),INT($A965/10000),""),IFERROR(VALUE(TRIM(LEFT($A965,FIND("/",$A965)-1))),"")))</f>
        <v/>
      </c>
      <c r="C965">
        <f>IF(OR($A965="",$B965=""),"",IF(ISNUMBER($A965),INT(MOD($A965,10000)/100),IFERROR(VALUE(TRIM(LEFT(MID($A965,FIND("/",$A965)+1,20),FIND("/",MID($A965,FIND("/",$A965)+1,20))-1))),"")))</f>
        <v/>
      </c>
      <c r="D965">
        <f>IF(OR($A965="",$B965=""),"",IF(ISNUMBER($A965),MOD($A965,100),IFERROR(VALUE(TRIM(MID(MID($A965,FIND("/",$A965)+1,20),FIND("/",MID($A965,FIND("/",$A965)+1,20))+1,20))),"")))</f>
        <v/>
      </c>
      <c r="E965">
        <f>IF($A965="","",IF(OR($B965="",$C965="",$D965="",$B965&lt;1300,$B965&gt;1500,$C965&lt;1,$C965&gt;12,$D965&lt;1,$D965&gt;31),"نامعتبر",RIGHT("0000"&amp;$B965,4)&amp;"/"&amp;RIGHT("00"&amp;$C965,2)&amp;"/"&amp;RIGHT("00"&amp;$D965,2)))</f>
        <v/>
      </c>
      <c r="F965">
        <f>IF(OR($E965="",$E965="نامعتبر"),"",IF(Sync!$Q962="","0000",IF(AND(ISNUMBER(Sync!$Q962),Sync!$Q962&gt;=0,Sync!$Q962&lt;1),RIGHT("00"&amp;HOUR(Sync!$Q962),2)&amp;RIGHT("00"&amp;MINUTE(Sync!$Q962),2),IFERROR(RIGHT("00"&amp;VALUE(LEFT(Sync!$Q962,FIND(":",Sync!$Q962)-1)),2)&amp;RIGHT("00"&amp;VALUE(MID(Sync!$Q962,FIND(":",Sync!$Q962)+1,2)),2),"0000"))))</f>
        <v/>
      </c>
      <c r="G965">
        <f>IF(OR($E965="",$E965="نامعتبر"),"",IF(Sync!$S962="","",Sync!$S962))</f>
        <v/>
      </c>
      <c r="H965">
        <f>IF(OR($E965="",$E965="نامعتبر"),"",IF(Sync!$R962="","",Sync!$R962))</f>
        <v/>
      </c>
      <c r="I965">
        <f>IF(OR($E965="",$E965="نامعتبر"),"",IF(Sync!$T962="","",Sync!$T962))</f>
        <v/>
      </c>
      <c r="J965">
        <f>IF(OR($E965="",$E965="نامعتبر"),"",IF(Sync!$U962="","",Sync!$U962))</f>
        <v/>
      </c>
      <c r="K965">
        <f>IF(OR($E965="",$E965="نامعتبر"),"",IF(Sync!$V962="","",IFERROR(INDEX(SubCodes,MATCH(Sync!$V962,SubTitles,0)),Sync!$V962)))</f>
        <v/>
      </c>
      <c r="L965">
        <f>IF(OR($E965="",$E965="نامعتبر"),"",IF(Sync!$W962="",0,Sync!$W962))</f>
        <v/>
      </c>
      <c r="M965">
        <f>IF(OR($E965="",$E965="نامعتبر"),"",IF(Sync!$X962="",0,Sync!$X962))</f>
        <v/>
      </c>
      <c r="N965">
        <f>IF(OR($E965="",$E965="نامعتبر"),"",IF(AND($J965="هزینه",$K965&lt;&gt;""),1,0))</f>
        <v/>
      </c>
      <c r="O965">
        <f>IF($N965=0,"",LEFT($E965,4)&amp;MID($E965,6,2)&amp;RIGHT($E965,2)&amp;$F965&amp;"|"&amp;"1"&amp;RIGHT("00000"&amp;957,5))</f>
        <v/>
      </c>
      <c r="P965">
        <f>IF($O965="","",COUNTIFS(ExpSub,$K965,ExpKey,"&lt;"&amp;$O965)+1)</f>
        <v/>
      </c>
      <c r="Q965">
        <f>IF($P965="","",$K965&amp;"|"&amp;RIGHT("000000"&amp;$P965,6))</f>
        <v/>
      </c>
    </row>
    <row r="966">
      <c r="A966">
        <f>IF(Sync!$P963="","",Sync!$P963)</f>
        <v/>
      </c>
      <c r="B966">
        <f>IF($A966="","",IF(ISNUMBER($A966),IF(AND($A966&gt;=10000101,$A966&lt;=99991231),INT($A966/10000),""),IFERROR(VALUE(TRIM(LEFT($A966,FIND("/",$A966)-1))),"")))</f>
        <v/>
      </c>
      <c r="C966">
        <f>IF(OR($A966="",$B966=""),"",IF(ISNUMBER($A966),INT(MOD($A966,10000)/100),IFERROR(VALUE(TRIM(LEFT(MID($A966,FIND("/",$A966)+1,20),FIND("/",MID($A966,FIND("/",$A966)+1,20))-1))),"")))</f>
        <v/>
      </c>
      <c r="D966">
        <f>IF(OR($A966="",$B966=""),"",IF(ISNUMBER($A966),MOD($A966,100),IFERROR(VALUE(TRIM(MID(MID($A966,FIND("/",$A966)+1,20),FIND("/",MID($A966,FIND("/",$A966)+1,20))+1,20))),"")))</f>
        <v/>
      </c>
      <c r="E966">
        <f>IF($A966="","",IF(OR($B966="",$C966="",$D966="",$B966&lt;1300,$B966&gt;1500,$C966&lt;1,$C966&gt;12,$D966&lt;1,$D966&gt;31),"نامعتبر",RIGHT("0000"&amp;$B966,4)&amp;"/"&amp;RIGHT("00"&amp;$C966,2)&amp;"/"&amp;RIGHT("00"&amp;$D966,2)))</f>
        <v/>
      </c>
      <c r="F966">
        <f>IF(OR($E966="",$E966="نامعتبر"),"",IF(Sync!$Q963="","0000",IF(AND(ISNUMBER(Sync!$Q963),Sync!$Q963&gt;=0,Sync!$Q963&lt;1),RIGHT("00"&amp;HOUR(Sync!$Q963),2)&amp;RIGHT("00"&amp;MINUTE(Sync!$Q963),2),IFERROR(RIGHT("00"&amp;VALUE(LEFT(Sync!$Q963,FIND(":",Sync!$Q963)-1)),2)&amp;RIGHT("00"&amp;VALUE(MID(Sync!$Q963,FIND(":",Sync!$Q963)+1,2)),2),"0000"))))</f>
        <v/>
      </c>
      <c r="G966">
        <f>IF(OR($E966="",$E966="نامعتبر"),"",IF(Sync!$S963="","",Sync!$S963))</f>
        <v/>
      </c>
      <c r="H966">
        <f>IF(OR($E966="",$E966="نامعتبر"),"",IF(Sync!$R963="","",Sync!$R963))</f>
        <v/>
      </c>
      <c r="I966">
        <f>IF(OR($E966="",$E966="نامعتبر"),"",IF(Sync!$T963="","",Sync!$T963))</f>
        <v/>
      </c>
      <c r="J966">
        <f>IF(OR($E966="",$E966="نامعتبر"),"",IF(Sync!$U963="","",Sync!$U963))</f>
        <v/>
      </c>
      <c r="K966">
        <f>IF(OR($E966="",$E966="نامعتبر"),"",IF(Sync!$V963="","",IFERROR(INDEX(SubCodes,MATCH(Sync!$V963,SubTitles,0)),Sync!$V963)))</f>
        <v/>
      </c>
      <c r="L966">
        <f>IF(OR($E966="",$E966="نامعتبر"),"",IF(Sync!$W963="",0,Sync!$W963))</f>
        <v/>
      </c>
      <c r="M966">
        <f>IF(OR($E966="",$E966="نامعتبر"),"",IF(Sync!$X963="",0,Sync!$X963))</f>
        <v/>
      </c>
      <c r="N966">
        <f>IF(OR($E966="",$E966="نامعتبر"),"",IF(AND($J966="هزینه",$K966&lt;&gt;""),1,0))</f>
        <v/>
      </c>
      <c r="O966">
        <f>IF($N966=0,"",LEFT($E966,4)&amp;MID($E966,6,2)&amp;RIGHT($E966,2)&amp;$F966&amp;"|"&amp;"1"&amp;RIGHT("00000"&amp;958,5))</f>
        <v/>
      </c>
      <c r="P966">
        <f>IF($O966="","",COUNTIFS(ExpSub,$K966,ExpKey,"&lt;"&amp;$O966)+1)</f>
        <v/>
      </c>
      <c r="Q966">
        <f>IF($P966="","",$K966&amp;"|"&amp;RIGHT("000000"&amp;$P966,6))</f>
        <v/>
      </c>
    </row>
    <row r="967">
      <c r="A967">
        <f>IF(Sync!$P964="","",Sync!$P964)</f>
        <v/>
      </c>
      <c r="B967">
        <f>IF($A967="","",IF(ISNUMBER($A967),IF(AND($A967&gt;=10000101,$A967&lt;=99991231),INT($A967/10000),""),IFERROR(VALUE(TRIM(LEFT($A967,FIND("/",$A967)-1))),"")))</f>
        <v/>
      </c>
      <c r="C967">
        <f>IF(OR($A967="",$B967=""),"",IF(ISNUMBER($A967),INT(MOD($A967,10000)/100),IFERROR(VALUE(TRIM(LEFT(MID($A967,FIND("/",$A967)+1,20),FIND("/",MID($A967,FIND("/",$A967)+1,20))-1))),"")))</f>
        <v/>
      </c>
      <c r="D967">
        <f>IF(OR($A967="",$B967=""),"",IF(ISNUMBER($A967),MOD($A967,100),IFERROR(VALUE(TRIM(MID(MID($A967,FIND("/",$A967)+1,20),FIND("/",MID($A967,FIND("/",$A967)+1,20))+1,20))),"")))</f>
        <v/>
      </c>
      <c r="E967">
        <f>IF($A967="","",IF(OR($B967="",$C967="",$D967="",$B967&lt;1300,$B967&gt;1500,$C967&lt;1,$C967&gt;12,$D967&lt;1,$D967&gt;31),"نامعتبر",RIGHT("0000"&amp;$B967,4)&amp;"/"&amp;RIGHT("00"&amp;$C967,2)&amp;"/"&amp;RIGHT("00"&amp;$D967,2)))</f>
        <v/>
      </c>
      <c r="F967">
        <f>IF(OR($E967="",$E967="نامعتبر"),"",IF(Sync!$Q964="","0000",IF(AND(ISNUMBER(Sync!$Q964),Sync!$Q964&gt;=0,Sync!$Q964&lt;1),RIGHT("00"&amp;HOUR(Sync!$Q964),2)&amp;RIGHT("00"&amp;MINUTE(Sync!$Q964),2),IFERROR(RIGHT("00"&amp;VALUE(LEFT(Sync!$Q964,FIND(":",Sync!$Q964)-1)),2)&amp;RIGHT("00"&amp;VALUE(MID(Sync!$Q964,FIND(":",Sync!$Q964)+1,2)),2),"0000"))))</f>
        <v/>
      </c>
      <c r="G967">
        <f>IF(OR($E967="",$E967="نامعتبر"),"",IF(Sync!$S964="","",Sync!$S964))</f>
        <v/>
      </c>
      <c r="H967">
        <f>IF(OR($E967="",$E967="نامعتبر"),"",IF(Sync!$R964="","",Sync!$R964))</f>
        <v/>
      </c>
      <c r="I967">
        <f>IF(OR($E967="",$E967="نامعتبر"),"",IF(Sync!$T964="","",Sync!$T964))</f>
        <v/>
      </c>
      <c r="J967">
        <f>IF(OR($E967="",$E967="نامعتبر"),"",IF(Sync!$U964="","",Sync!$U964))</f>
        <v/>
      </c>
      <c r="K967">
        <f>IF(OR($E967="",$E967="نامعتبر"),"",IF(Sync!$V964="","",IFERROR(INDEX(SubCodes,MATCH(Sync!$V964,SubTitles,0)),Sync!$V964)))</f>
        <v/>
      </c>
      <c r="L967">
        <f>IF(OR($E967="",$E967="نامعتبر"),"",IF(Sync!$W964="",0,Sync!$W964))</f>
        <v/>
      </c>
      <c r="M967">
        <f>IF(OR($E967="",$E967="نامعتبر"),"",IF(Sync!$X964="",0,Sync!$X964))</f>
        <v/>
      </c>
      <c r="N967">
        <f>IF(OR($E967="",$E967="نامعتبر"),"",IF(AND($J967="هزینه",$K967&lt;&gt;""),1,0))</f>
        <v/>
      </c>
      <c r="O967">
        <f>IF($N967=0,"",LEFT($E967,4)&amp;MID($E967,6,2)&amp;RIGHT($E967,2)&amp;$F967&amp;"|"&amp;"1"&amp;RIGHT("00000"&amp;959,5))</f>
        <v/>
      </c>
      <c r="P967">
        <f>IF($O967="","",COUNTIFS(ExpSub,$K967,ExpKey,"&lt;"&amp;$O967)+1)</f>
        <v/>
      </c>
      <c r="Q967">
        <f>IF($P967="","",$K967&amp;"|"&amp;RIGHT("000000"&amp;$P967,6))</f>
        <v/>
      </c>
    </row>
    <row r="968">
      <c r="A968">
        <f>IF(Sync!$P965="","",Sync!$P965)</f>
        <v/>
      </c>
      <c r="B968">
        <f>IF($A968="","",IF(ISNUMBER($A968),IF(AND($A968&gt;=10000101,$A968&lt;=99991231),INT($A968/10000),""),IFERROR(VALUE(TRIM(LEFT($A968,FIND("/",$A968)-1))),"")))</f>
        <v/>
      </c>
      <c r="C968">
        <f>IF(OR($A968="",$B968=""),"",IF(ISNUMBER($A968),INT(MOD($A968,10000)/100),IFERROR(VALUE(TRIM(LEFT(MID($A968,FIND("/",$A968)+1,20),FIND("/",MID($A968,FIND("/",$A968)+1,20))-1))),"")))</f>
        <v/>
      </c>
      <c r="D968">
        <f>IF(OR($A968="",$B968=""),"",IF(ISNUMBER($A968),MOD($A968,100),IFERROR(VALUE(TRIM(MID(MID($A968,FIND("/",$A968)+1,20),FIND("/",MID($A968,FIND("/",$A968)+1,20))+1,20))),"")))</f>
        <v/>
      </c>
      <c r="E968">
        <f>IF($A968="","",IF(OR($B968="",$C968="",$D968="",$B968&lt;1300,$B968&gt;1500,$C968&lt;1,$C968&gt;12,$D968&lt;1,$D968&gt;31),"نامعتبر",RIGHT("0000"&amp;$B968,4)&amp;"/"&amp;RIGHT("00"&amp;$C968,2)&amp;"/"&amp;RIGHT("00"&amp;$D968,2)))</f>
        <v/>
      </c>
      <c r="F968">
        <f>IF(OR($E968="",$E968="نامعتبر"),"",IF(Sync!$Q965="","0000",IF(AND(ISNUMBER(Sync!$Q965),Sync!$Q965&gt;=0,Sync!$Q965&lt;1),RIGHT("00"&amp;HOUR(Sync!$Q965),2)&amp;RIGHT("00"&amp;MINUTE(Sync!$Q965),2),IFERROR(RIGHT("00"&amp;VALUE(LEFT(Sync!$Q965,FIND(":",Sync!$Q965)-1)),2)&amp;RIGHT("00"&amp;VALUE(MID(Sync!$Q965,FIND(":",Sync!$Q965)+1,2)),2),"0000"))))</f>
        <v/>
      </c>
      <c r="G968">
        <f>IF(OR($E968="",$E968="نامعتبر"),"",IF(Sync!$S965="","",Sync!$S965))</f>
        <v/>
      </c>
      <c r="H968">
        <f>IF(OR($E968="",$E968="نامعتبر"),"",IF(Sync!$R965="","",Sync!$R965))</f>
        <v/>
      </c>
      <c r="I968">
        <f>IF(OR($E968="",$E968="نامعتبر"),"",IF(Sync!$T965="","",Sync!$T965))</f>
        <v/>
      </c>
      <c r="J968">
        <f>IF(OR($E968="",$E968="نامعتبر"),"",IF(Sync!$U965="","",Sync!$U965))</f>
        <v/>
      </c>
      <c r="K968">
        <f>IF(OR($E968="",$E968="نامعتبر"),"",IF(Sync!$V965="","",IFERROR(INDEX(SubCodes,MATCH(Sync!$V965,SubTitles,0)),Sync!$V965)))</f>
        <v/>
      </c>
      <c r="L968">
        <f>IF(OR($E968="",$E968="نامعتبر"),"",IF(Sync!$W965="",0,Sync!$W965))</f>
        <v/>
      </c>
      <c r="M968">
        <f>IF(OR($E968="",$E968="نامعتبر"),"",IF(Sync!$X965="",0,Sync!$X965))</f>
        <v/>
      </c>
      <c r="N968">
        <f>IF(OR($E968="",$E968="نامعتبر"),"",IF(AND($J968="هزینه",$K968&lt;&gt;""),1,0))</f>
        <v/>
      </c>
      <c r="O968">
        <f>IF($N968=0,"",LEFT($E968,4)&amp;MID($E968,6,2)&amp;RIGHT($E968,2)&amp;$F968&amp;"|"&amp;"1"&amp;RIGHT("00000"&amp;960,5))</f>
        <v/>
      </c>
      <c r="P968">
        <f>IF($O968="","",COUNTIFS(ExpSub,$K968,ExpKey,"&lt;"&amp;$O968)+1)</f>
        <v/>
      </c>
      <c r="Q968">
        <f>IF($P968="","",$K968&amp;"|"&amp;RIGHT("000000"&amp;$P968,6))</f>
        <v/>
      </c>
    </row>
    <row r="969">
      <c r="A969">
        <f>IF(Sync!$P966="","",Sync!$P966)</f>
        <v/>
      </c>
      <c r="B969">
        <f>IF($A969="","",IF(ISNUMBER($A969),IF(AND($A969&gt;=10000101,$A969&lt;=99991231),INT($A969/10000),""),IFERROR(VALUE(TRIM(LEFT($A969,FIND("/",$A969)-1))),"")))</f>
        <v/>
      </c>
      <c r="C969">
        <f>IF(OR($A969="",$B969=""),"",IF(ISNUMBER($A969),INT(MOD($A969,10000)/100),IFERROR(VALUE(TRIM(LEFT(MID($A969,FIND("/",$A969)+1,20),FIND("/",MID($A969,FIND("/",$A969)+1,20))-1))),"")))</f>
        <v/>
      </c>
      <c r="D969">
        <f>IF(OR($A969="",$B969=""),"",IF(ISNUMBER($A969),MOD($A969,100),IFERROR(VALUE(TRIM(MID(MID($A969,FIND("/",$A969)+1,20),FIND("/",MID($A969,FIND("/",$A969)+1,20))+1,20))),"")))</f>
        <v/>
      </c>
      <c r="E969">
        <f>IF($A969="","",IF(OR($B969="",$C969="",$D969="",$B969&lt;1300,$B969&gt;1500,$C969&lt;1,$C969&gt;12,$D969&lt;1,$D969&gt;31),"نامعتبر",RIGHT("0000"&amp;$B969,4)&amp;"/"&amp;RIGHT("00"&amp;$C969,2)&amp;"/"&amp;RIGHT("00"&amp;$D969,2)))</f>
        <v/>
      </c>
      <c r="F969">
        <f>IF(OR($E969="",$E969="نامعتبر"),"",IF(Sync!$Q966="","0000",IF(AND(ISNUMBER(Sync!$Q966),Sync!$Q966&gt;=0,Sync!$Q966&lt;1),RIGHT("00"&amp;HOUR(Sync!$Q966),2)&amp;RIGHT("00"&amp;MINUTE(Sync!$Q966),2),IFERROR(RIGHT("00"&amp;VALUE(LEFT(Sync!$Q966,FIND(":",Sync!$Q966)-1)),2)&amp;RIGHT("00"&amp;VALUE(MID(Sync!$Q966,FIND(":",Sync!$Q966)+1,2)),2),"0000"))))</f>
        <v/>
      </c>
      <c r="G969">
        <f>IF(OR($E969="",$E969="نامعتبر"),"",IF(Sync!$S966="","",Sync!$S966))</f>
        <v/>
      </c>
      <c r="H969">
        <f>IF(OR($E969="",$E969="نامعتبر"),"",IF(Sync!$R966="","",Sync!$R966))</f>
        <v/>
      </c>
      <c r="I969">
        <f>IF(OR($E969="",$E969="نامعتبر"),"",IF(Sync!$T966="","",Sync!$T966))</f>
        <v/>
      </c>
      <c r="J969">
        <f>IF(OR($E969="",$E969="نامعتبر"),"",IF(Sync!$U966="","",Sync!$U966))</f>
        <v/>
      </c>
      <c r="K969">
        <f>IF(OR($E969="",$E969="نامعتبر"),"",IF(Sync!$V966="","",IFERROR(INDEX(SubCodes,MATCH(Sync!$V966,SubTitles,0)),Sync!$V966)))</f>
        <v/>
      </c>
      <c r="L969">
        <f>IF(OR($E969="",$E969="نامعتبر"),"",IF(Sync!$W966="",0,Sync!$W966))</f>
        <v/>
      </c>
      <c r="M969">
        <f>IF(OR($E969="",$E969="نامعتبر"),"",IF(Sync!$X966="",0,Sync!$X966))</f>
        <v/>
      </c>
      <c r="N969">
        <f>IF(OR($E969="",$E969="نامعتبر"),"",IF(AND($J969="هزینه",$K969&lt;&gt;""),1,0))</f>
        <v/>
      </c>
      <c r="O969">
        <f>IF($N969=0,"",LEFT($E969,4)&amp;MID($E969,6,2)&amp;RIGHT($E969,2)&amp;$F969&amp;"|"&amp;"1"&amp;RIGHT("00000"&amp;961,5))</f>
        <v/>
      </c>
      <c r="P969">
        <f>IF($O969="","",COUNTIFS(ExpSub,$K969,ExpKey,"&lt;"&amp;$O969)+1)</f>
        <v/>
      </c>
      <c r="Q969">
        <f>IF($P969="","",$K969&amp;"|"&amp;RIGHT("000000"&amp;$P969,6))</f>
        <v/>
      </c>
    </row>
    <row r="970">
      <c r="A970">
        <f>IF(Sync!$P967="","",Sync!$P967)</f>
        <v/>
      </c>
      <c r="B970">
        <f>IF($A970="","",IF(ISNUMBER($A970),IF(AND($A970&gt;=10000101,$A970&lt;=99991231),INT($A970/10000),""),IFERROR(VALUE(TRIM(LEFT($A970,FIND("/",$A970)-1))),"")))</f>
        <v/>
      </c>
      <c r="C970">
        <f>IF(OR($A970="",$B970=""),"",IF(ISNUMBER($A970),INT(MOD($A970,10000)/100),IFERROR(VALUE(TRIM(LEFT(MID($A970,FIND("/",$A970)+1,20),FIND("/",MID($A970,FIND("/",$A970)+1,20))-1))),"")))</f>
        <v/>
      </c>
      <c r="D970">
        <f>IF(OR($A970="",$B970=""),"",IF(ISNUMBER($A970),MOD($A970,100),IFERROR(VALUE(TRIM(MID(MID($A970,FIND("/",$A970)+1,20),FIND("/",MID($A970,FIND("/",$A970)+1,20))+1,20))),"")))</f>
        <v/>
      </c>
      <c r="E970">
        <f>IF($A970="","",IF(OR($B970="",$C970="",$D970="",$B970&lt;1300,$B970&gt;1500,$C970&lt;1,$C970&gt;12,$D970&lt;1,$D970&gt;31),"نامعتبر",RIGHT("0000"&amp;$B970,4)&amp;"/"&amp;RIGHT("00"&amp;$C970,2)&amp;"/"&amp;RIGHT("00"&amp;$D970,2)))</f>
        <v/>
      </c>
      <c r="F970">
        <f>IF(OR($E970="",$E970="نامعتبر"),"",IF(Sync!$Q967="","0000",IF(AND(ISNUMBER(Sync!$Q967),Sync!$Q967&gt;=0,Sync!$Q967&lt;1),RIGHT("00"&amp;HOUR(Sync!$Q967),2)&amp;RIGHT("00"&amp;MINUTE(Sync!$Q967),2),IFERROR(RIGHT("00"&amp;VALUE(LEFT(Sync!$Q967,FIND(":",Sync!$Q967)-1)),2)&amp;RIGHT("00"&amp;VALUE(MID(Sync!$Q967,FIND(":",Sync!$Q967)+1,2)),2),"0000"))))</f>
        <v/>
      </c>
      <c r="G970">
        <f>IF(OR($E970="",$E970="نامعتبر"),"",IF(Sync!$S967="","",Sync!$S967))</f>
        <v/>
      </c>
      <c r="H970">
        <f>IF(OR($E970="",$E970="نامعتبر"),"",IF(Sync!$R967="","",Sync!$R967))</f>
        <v/>
      </c>
      <c r="I970">
        <f>IF(OR($E970="",$E970="نامعتبر"),"",IF(Sync!$T967="","",Sync!$T967))</f>
        <v/>
      </c>
      <c r="J970">
        <f>IF(OR($E970="",$E970="نامعتبر"),"",IF(Sync!$U967="","",Sync!$U967))</f>
        <v/>
      </c>
      <c r="K970">
        <f>IF(OR($E970="",$E970="نامعتبر"),"",IF(Sync!$V967="","",IFERROR(INDEX(SubCodes,MATCH(Sync!$V967,SubTitles,0)),Sync!$V967)))</f>
        <v/>
      </c>
      <c r="L970">
        <f>IF(OR($E970="",$E970="نامعتبر"),"",IF(Sync!$W967="",0,Sync!$W967))</f>
        <v/>
      </c>
      <c r="M970">
        <f>IF(OR($E970="",$E970="نامعتبر"),"",IF(Sync!$X967="",0,Sync!$X967))</f>
        <v/>
      </c>
      <c r="N970">
        <f>IF(OR($E970="",$E970="نامعتبر"),"",IF(AND($J970="هزینه",$K970&lt;&gt;""),1,0))</f>
        <v/>
      </c>
      <c r="O970">
        <f>IF($N970=0,"",LEFT($E970,4)&amp;MID($E970,6,2)&amp;RIGHT($E970,2)&amp;$F970&amp;"|"&amp;"1"&amp;RIGHT("00000"&amp;962,5))</f>
        <v/>
      </c>
      <c r="P970">
        <f>IF($O970="","",COUNTIFS(ExpSub,$K970,ExpKey,"&lt;"&amp;$O970)+1)</f>
        <v/>
      </c>
      <c r="Q970">
        <f>IF($P970="","",$K970&amp;"|"&amp;RIGHT("000000"&amp;$P970,6))</f>
        <v/>
      </c>
    </row>
    <row r="971">
      <c r="A971">
        <f>IF(Sync!$P968="","",Sync!$P968)</f>
        <v/>
      </c>
      <c r="B971">
        <f>IF($A971="","",IF(ISNUMBER($A971),IF(AND($A971&gt;=10000101,$A971&lt;=99991231),INT($A971/10000),""),IFERROR(VALUE(TRIM(LEFT($A971,FIND("/",$A971)-1))),"")))</f>
        <v/>
      </c>
      <c r="C971">
        <f>IF(OR($A971="",$B971=""),"",IF(ISNUMBER($A971),INT(MOD($A971,10000)/100),IFERROR(VALUE(TRIM(LEFT(MID($A971,FIND("/",$A971)+1,20),FIND("/",MID($A971,FIND("/",$A971)+1,20))-1))),"")))</f>
        <v/>
      </c>
      <c r="D971">
        <f>IF(OR($A971="",$B971=""),"",IF(ISNUMBER($A971),MOD($A971,100),IFERROR(VALUE(TRIM(MID(MID($A971,FIND("/",$A971)+1,20),FIND("/",MID($A971,FIND("/",$A971)+1,20))+1,20))),"")))</f>
        <v/>
      </c>
      <c r="E971">
        <f>IF($A971="","",IF(OR($B971="",$C971="",$D971="",$B971&lt;1300,$B971&gt;1500,$C971&lt;1,$C971&gt;12,$D971&lt;1,$D971&gt;31),"نامعتبر",RIGHT("0000"&amp;$B971,4)&amp;"/"&amp;RIGHT("00"&amp;$C971,2)&amp;"/"&amp;RIGHT("00"&amp;$D971,2)))</f>
        <v/>
      </c>
      <c r="F971">
        <f>IF(OR($E971="",$E971="نامعتبر"),"",IF(Sync!$Q968="","0000",IF(AND(ISNUMBER(Sync!$Q968),Sync!$Q968&gt;=0,Sync!$Q968&lt;1),RIGHT("00"&amp;HOUR(Sync!$Q968),2)&amp;RIGHT("00"&amp;MINUTE(Sync!$Q968),2),IFERROR(RIGHT("00"&amp;VALUE(LEFT(Sync!$Q968,FIND(":",Sync!$Q968)-1)),2)&amp;RIGHT("00"&amp;VALUE(MID(Sync!$Q968,FIND(":",Sync!$Q968)+1,2)),2),"0000"))))</f>
        <v/>
      </c>
      <c r="G971">
        <f>IF(OR($E971="",$E971="نامعتبر"),"",IF(Sync!$S968="","",Sync!$S968))</f>
        <v/>
      </c>
      <c r="H971">
        <f>IF(OR($E971="",$E971="نامعتبر"),"",IF(Sync!$R968="","",Sync!$R968))</f>
        <v/>
      </c>
      <c r="I971">
        <f>IF(OR($E971="",$E971="نامعتبر"),"",IF(Sync!$T968="","",Sync!$T968))</f>
        <v/>
      </c>
      <c r="J971">
        <f>IF(OR($E971="",$E971="نامعتبر"),"",IF(Sync!$U968="","",Sync!$U968))</f>
        <v/>
      </c>
      <c r="K971">
        <f>IF(OR($E971="",$E971="نامعتبر"),"",IF(Sync!$V968="","",IFERROR(INDEX(SubCodes,MATCH(Sync!$V968,SubTitles,0)),Sync!$V968)))</f>
        <v/>
      </c>
      <c r="L971">
        <f>IF(OR($E971="",$E971="نامعتبر"),"",IF(Sync!$W968="",0,Sync!$W968))</f>
        <v/>
      </c>
      <c r="M971">
        <f>IF(OR($E971="",$E971="نامعتبر"),"",IF(Sync!$X968="",0,Sync!$X968))</f>
        <v/>
      </c>
      <c r="N971">
        <f>IF(OR($E971="",$E971="نامعتبر"),"",IF(AND($J971="هزینه",$K971&lt;&gt;""),1,0))</f>
        <v/>
      </c>
      <c r="O971">
        <f>IF($N971=0,"",LEFT($E971,4)&amp;MID($E971,6,2)&amp;RIGHT($E971,2)&amp;$F971&amp;"|"&amp;"1"&amp;RIGHT("00000"&amp;963,5))</f>
        <v/>
      </c>
      <c r="P971">
        <f>IF($O971="","",COUNTIFS(ExpSub,$K971,ExpKey,"&lt;"&amp;$O971)+1)</f>
        <v/>
      </c>
      <c r="Q971">
        <f>IF($P971="","",$K971&amp;"|"&amp;RIGHT("000000"&amp;$P971,6))</f>
        <v/>
      </c>
    </row>
    <row r="972">
      <c r="A972">
        <f>IF(Sync!$P969="","",Sync!$P969)</f>
        <v/>
      </c>
      <c r="B972">
        <f>IF($A972="","",IF(ISNUMBER($A972),IF(AND($A972&gt;=10000101,$A972&lt;=99991231),INT($A972/10000),""),IFERROR(VALUE(TRIM(LEFT($A972,FIND("/",$A972)-1))),"")))</f>
        <v/>
      </c>
      <c r="C972">
        <f>IF(OR($A972="",$B972=""),"",IF(ISNUMBER($A972),INT(MOD($A972,10000)/100),IFERROR(VALUE(TRIM(LEFT(MID($A972,FIND("/",$A972)+1,20),FIND("/",MID($A972,FIND("/",$A972)+1,20))-1))),"")))</f>
        <v/>
      </c>
      <c r="D972">
        <f>IF(OR($A972="",$B972=""),"",IF(ISNUMBER($A972),MOD($A972,100),IFERROR(VALUE(TRIM(MID(MID($A972,FIND("/",$A972)+1,20),FIND("/",MID($A972,FIND("/",$A972)+1,20))+1,20))),"")))</f>
        <v/>
      </c>
      <c r="E972">
        <f>IF($A972="","",IF(OR($B972="",$C972="",$D972="",$B972&lt;1300,$B972&gt;1500,$C972&lt;1,$C972&gt;12,$D972&lt;1,$D972&gt;31),"نامعتبر",RIGHT("0000"&amp;$B972,4)&amp;"/"&amp;RIGHT("00"&amp;$C972,2)&amp;"/"&amp;RIGHT("00"&amp;$D972,2)))</f>
        <v/>
      </c>
      <c r="F972">
        <f>IF(OR($E972="",$E972="نامعتبر"),"",IF(Sync!$Q969="","0000",IF(AND(ISNUMBER(Sync!$Q969),Sync!$Q969&gt;=0,Sync!$Q969&lt;1),RIGHT("00"&amp;HOUR(Sync!$Q969),2)&amp;RIGHT("00"&amp;MINUTE(Sync!$Q969),2),IFERROR(RIGHT("00"&amp;VALUE(LEFT(Sync!$Q969,FIND(":",Sync!$Q969)-1)),2)&amp;RIGHT("00"&amp;VALUE(MID(Sync!$Q969,FIND(":",Sync!$Q969)+1,2)),2),"0000"))))</f>
        <v/>
      </c>
      <c r="G972">
        <f>IF(OR($E972="",$E972="نامعتبر"),"",IF(Sync!$S969="","",Sync!$S969))</f>
        <v/>
      </c>
      <c r="H972">
        <f>IF(OR($E972="",$E972="نامعتبر"),"",IF(Sync!$R969="","",Sync!$R969))</f>
        <v/>
      </c>
      <c r="I972">
        <f>IF(OR($E972="",$E972="نامعتبر"),"",IF(Sync!$T969="","",Sync!$T969))</f>
        <v/>
      </c>
      <c r="J972">
        <f>IF(OR($E972="",$E972="نامعتبر"),"",IF(Sync!$U969="","",Sync!$U969))</f>
        <v/>
      </c>
      <c r="K972">
        <f>IF(OR($E972="",$E972="نامعتبر"),"",IF(Sync!$V969="","",IFERROR(INDEX(SubCodes,MATCH(Sync!$V969,SubTitles,0)),Sync!$V969)))</f>
        <v/>
      </c>
      <c r="L972">
        <f>IF(OR($E972="",$E972="نامعتبر"),"",IF(Sync!$W969="",0,Sync!$W969))</f>
        <v/>
      </c>
      <c r="M972">
        <f>IF(OR($E972="",$E972="نامعتبر"),"",IF(Sync!$X969="",0,Sync!$X969))</f>
        <v/>
      </c>
      <c r="N972">
        <f>IF(OR($E972="",$E972="نامعتبر"),"",IF(AND($J972="هزینه",$K972&lt;&gt;""),1,0))</f>
        <v/>
      </c>
      <c r="O972">
        <f>IF($N972=0,"",LEFT($E972,4)&amp;MID($E972,6,2)&amp;RIGHT($E972,2)&amp;$F972&amp;"|"&amp;"1"&amp;RIGHT("00000"&amp;964,5))</f>
        <v/>
      </c>
      <c r="P972">
        <f>IF($O972="","",COUNTIFS(ExpSub,$K972,ExpKey,"&lt;"&amp;$O972)+1)</f>
        <v/>
      </c>
      <c r="Q972">
        <f>IF($P972="","",$K972&amp;"|"&amp;RIGHT("000000"&amp;$P972,6))</f>
        <v/>
      </c>
    </row>
    <row r="973">
      <c r="A973">
        <f>IF(Sync!$P970="","",Sync!$P970)</f>
        <v/>
      </c>
      <c r="B973">
        <f>IF($A973="","",IF(ISNUMBER($A973),IF(AND($A973&gt;=10000101,$A973&lt;=99991231),INT($A973/10000),""),IFERROR(VALUE(TRIM(LEFT($A973,FIND("/",$A973)-1))),"")))</f>
        <v/>
      </c>
      <c r="C973">
        <f>IF(OR($A973="",$B973=""),"",IF(ISNUMBER($A973),INT(MOD($A973,10000)/100),IFERROR(VALUE(TRIM(LEFT(MID($A973,FIND("/",$A973)+1,20),FIND("/",MID($A973,FIND("/",$A973)+1,20))-1))),"")))</f>
        <v/>
      </c>
      <c r="D973">
        <f>IF(OR($A973="",$B973=""),"",IF(ISNUMBER($A973),MOD($A973,100),IFERROR(VALUE(TRIM(MID(MID($A973,FIND("/",$A973)+1,20),FIND("/",MID($A973,FIND("/",$A973)+1,20))+1,20))),"")))</f>
        <v/>
      </c>
      <c r="E973">
        <f>IF($A973="","",IF(OR($B973="",$C973="",$D973="",$B973&lt;1300,$B973&gt;1500,$C973&lt;1,$C973&gt;12,$D973&lt;1,$D973&gt;31),"نامعتبر",RIGHT("0000"&amp;$B973,4)&amp;"/"&amp;RIGHT("00"&amp;$C973,2)&amp;"/"&amp;RIGHT("00"&amp;$D973,2)))</f>
        <v/>
      </c>
      <c r="F973">
        <f>IF(OR($E973="",$E973="نامعتبر"),"",IF(Sync!$Q970="","0000",IF(AND(ISNUMBER(Sync!$Q970),Sync!$Q970&gt;=0,Sync!$Q970&lt;1),RIGHT("00"&amp;HOUR(Sync!$Q970),2)&amp;RIGHT("00"&amp;MINUTE(Sync!$Q970),2),IFERROR(RIGHT("00"&amp;VALUE(LEFT(Sync!$Q970,FIND(":",Sync!$Q970)-1)),2)&amp;RIGHT("00"&amp;VALUE(MID(Sync!$Q970,FIND(":",Sync!$Q970)+1,2)),2),"0000"))))</f>
        <v/>
      </c>
      <c r="G973">
        <f>IF(OR($E973="",$E973="نامعتبر"),"",IF(Sync!$S970="","",Sync!$S970))</f>
        <v/>
      </c>
      <c r="H973">
        <f>IF(OR($E973="",$E973="نامعتبر"),"",IF(Sync!$R970="","",Sync!$R970))</f>
        <v/>
      </c>
      <c r="I973">
        <f>IF(OR($E973="",$E973="نامعتبر"),"",IF(Sync!$T970="","",Sync!$T970))</f>
        <v/>
      </c>
      <c r="J973">
        <f>IF(OR($E973="",$E973="نامعتبر"),"",IF(Sync!$U970="","",Sync!$U970))</f>
        <v/>
      </c>
      <c r="K973">
        <f>IF(OR($E973="",$E973="نامعتبر"),"",IF(Sync!$V970="","",IFERROR(INDEX(SubCodes,MATCH(Sync!$V970,SubTitles,0)),Sync!$V970)))</f>
        <v/>
      </c>
      <c r="L973">
        <f>IF(OR($E973="",$E973="نامعتبر"),"",IF(Sync!$W970="",0,Sync!$W970))</f>
        <v/>
      </c>
      <c r="M973">
        <f>IF(OR($E973="",$E973="نامعتبر"),"",IF(Sync!$X970="",0,Sync!$X970))</f>
        <v/>
      </c>
      <c r="N973">
        <f>IF(OR($E973="",$E973="نامعتبر"),"",IF(AND($J973="هزینه",$K973&lt;&gt;""),1,0))</f>
        <v/>
      </c>
      <c r="O973">
        <f>IF($N973=0,"",LEFT($E973,4)&amp;MID($E973,6,2)&amp;RIGHT($E973,2)&amp;$F973&amp;"|"&amp;"1"&amp;RIGHT("00000"&amp;965,5))</f>
        <v/>
      </c>
      <c r="P973">
        <f>IF($O973="","",COUNTIFS(ExpSub,$K973,ExpKey,"&lt;"&amp;$O973)+1)</f>
        <v/>
      </c>
      <c r="Q973">
        <f>IF($P973="","",$K973&amp;"|"&amp;RIGHT("000000"&amp;$P973,6))</f>
        <v/>
      </c>
    </row>
    <row r="974">
      <c r="A974">
        <f>IF(Sync!$P971="","",Sync!$P971)</f>
        <v/>
      </c>
      <c r="B974">
        <f>IF($A974="","",IF(ISNUMBER($A974),IF(AND($A974&gt;=10000101,$A974&lt;=99991231),INT($A974/10000),""),IFERROR(VALUE(TRIM(LEFT($A974,FIND("/",$A974)-1))),"")))</f>
        <v/>
      </c>
      <c r="C974">
        <f>IF(OR($A974="",$B974=""),"",IF(ISNUMBER($A974),INT(MOD($A974,10000)/100),IFERROR(VALUE(TRIM(LEFT(MID($A974,FIND("/",$A974)+1,20),FIND("/",MID($A974,FIND("/",$A974)+1,20))-1))),"")))</f>
        <v/>
      </c>
      <c r="D974">
        <f>IF(OR($A974="",$B974=""),"",IF(ISNUMBER($A974),MOD($A974,100),IFERROR(VALUE(TRIM(MID(MID($A974,FIND("/",$A974)+1,20),FIND("/",MID($A974,FIND("/",$A974)+1,20))+1,20))),"")))</f>
        <v/>
      </c>
      <c r="E974">
        <f>IF($A974="","",IF(OR($B974="",$C974="",$D974="",$B974&lt;1300,$B974&gt;1500,$C974&lt;1,$C974&gt;12,$D974&lt;1,$D974&gt;31),"نامعتبر",RIGHT("0000"&amp;$B974,4)&amp;"/"&amp;RIGHT("00"&amp;$C974,2)&amp;"/"&amp;RIGHT("00"&amp;$D974,2)))</f>
        <v/>
      </c>
      <c r="F974">
        <f>IF(OR($E974="",$E974="نامعتبر"),"",IF(Sync!$Q971="","0000",IF(AND(ISNUMBER(Sync!$Q971),Sync!$Q971&gt;=0,Sync!$Q971&lt;1),RIGHT("00"&amp;HOUR(Sync!$Q971),2)&amp;RIGHT("00"&amp;MINUTE(Sync!$Q971),2),IFERROR(RIGHT("00"&amp;VALUE(LEFT(Sync!$Q971,FIND(":",Sync!$Q971)-1)),2)&amp;RIGHT("00"&amp;VALUE(MID(Sync!$Q971,FIND(":",Sync!$Q971)+1,2)),2),"0000"))))</f>
        <v/>
      </c>
      <c r="G974">
        <f>IF(OR($E974="",$E974="نامعتبر"),"",IF(Sync!$S971="","",Sync!$S971))</f>
        <v/>
      </c>
      <c r="H974">
        <f>IF(OR($E974="",$E974="نامعتبر"),"",IF(Sync!$R971="","",Sync!$R971))</f>
        <v/>
      </c>
      <c r="I974">
        <f>IF(OR($E974="",$E974="نامعتبر"),"",IF(Sync!$T971="","",Sync!$T971))</f>
        <v/>
      </c>
      <c r="J974">
        <f>IF(OR($E974="",$E974="نامعتبر"),"",IF(Sync!$U971="","",Sync!$U971))</f>
        <v/>
      </c>
      <c r="K974">
        <f>IF(OR($E974="",$E974="نامعتبر"),"",IF(Sync!$V971="","",IFERROR(INDEX(SubCodes,MATCH(Sync!$V971,SubTitles,0)),Sync!$V971)))</f>
        <v/>
      </c>
      <c r="L974">
        <f>IF(OR($E974="",$E974="نامعتبر"),"",IF(Sync!$W971="",0,Sync!$W971))</f>
        <v/>
      </c>
      <c r="M974">
        <f>IF(OR($E974="",$E974="نامعتبر"),"",IF(Sync!$X971="",0,Sync!$X971))</f>
        <v/>
      </c>
      <c r="N974">
        <f>IF(OR($E974="",$E974="نامعتبر"),"",IF(AND($J974="هزینه",$K974&lt;&gt;""),1,0))</f>
        <v/>
      </c>
      <c r="O974">
        <f>IF($N974=0,"",LEFT($E974,4)&amp;MID($E974,6,2)&amp;RIGHT($E974,2)&amp;$F974&amp;"|"&amp;"1"&amp;RIGHT("00000"&amp;966,5))</f>
        <v/>
      </c>
      <c r="P974">
        <f>IF($O974="","",COUNTIFS(ExpSub,$K974,ExpKey,"&lt;"&amp;$O974)+1)</f>
        <v/>
      </c>
      <c r="Q974">
        <f>IF($P974="","",$K974&amp;"|"&amp;RIGHT("000000"&amp;$P974,6))</f>
        <v/>
      </c>
    </row>
    <row r="975">
      <c r="A975">
        <f>IF(Sync!$P972="","",Sync!$P972)</f>
        <v/>
      </c>
      <c r="B975">
        <f>IF($A975="","",IF(ISNUMBER($A975),IF(AND($A975&gt;=10000101,$A975&lt;=99991231),INT($A975/10000),""),IFERROR(VALUE(TRIM(LEFT($A975,FIND("/",$A975)-1))),"")))</f>
        <v/>
      </c>
      <c r="C975">
        <f>IF(OR($A975="",$B975=""),"",IF(ISNUMBER($A975),INT(MOD($A975,10000)/100),IFERROR(VALUE(TRIM(LEFT(MID($A975,FIND("/",$A975)+1,20),FIND("/",MID($A975,FIND("/",$A975)+1,20))-1))),"")))</f>
        <v/>
      </c>
      <c r="D975">
        <f>IF(OR($A975="",$B975=""),"",IF(ISNUMBER($A975),MOD($A975,100),IFERROR(VALUE(TRIM(MID(MID($A975,FIND("/",$A975)+1,20),FIND("/",MID($A975,FIND("/",$A975)+1,20))+1,20))),"")))</f>
        <v/>
      </c>
      <c r="E975">
        <f>IF($A975="","",IF(OR($B975="",$C975="",$D975="",$B975&lt;1300,$B975&gt;1500,$C975&lt;1,$C975&gt;12,$D975&lt;1,$D975&gt;31),"نامعتبر",RIGHT("0000"&amp;$B975,4)&amp;"/"&amp;RIGHT("00"&amp;$C975,2)&amp;"/"&amp;RIGHT("00"&amp;$D975,2)))</f>
        <v/>
      </c>
      <c r="F975">
        <f>IF(OR($E975="",$E975="نامعتبر"),"",IF(Sync!$Q972="","0000",IF(AND(ISNUMBER(Sync!$Q972),Sync!$Q972&gt;=0,Sync!$Q972&lt;1),RIGHT("00"&amp;HOUR(Sync!$Q972),2)&amp;RIGHT("00"&amp;MINUTE(Sync!$Q972),2),IFERROR(RIGHT("00"&amp;VALUE(LEFT(Sync!$Q972,FIND(":",Sync!$Q972)-1)),2)&amp;RIGHT("00"&amp;VALUE(MID(Sync!$Q972,FIND(":",Sync!$Q972)+1,2)),2),"0000"))))</f>
        <v/>
      </c>
      <c r="G975">
        <f>IF(OR($E975="",$E975="نامعتبر"),"",IF(Sync!$S972="","",Sync!$S972))</f>
        <v/>
      </c>
      <c r="H975">
        <f>IF(OR($E975="",$E975="نامعتبر"),"",IF(Sync!$R972="","",Sync!$R972))</f>
        <v/>
      </c>
      <c r="I975">
        <f>IF(OR($E975="",$E975="نامعتبر"),"",IF(Sync!$T972="","",Sync!$T972))</f>
        <v/>
      </c>
      <c r="J975">
        <f>IF(OR($E975="",$E975="نامعتبر"),"",IF(Sync!$U972="","",Sync!$U972))</f>
        <v/>
      </c>
      <c r="K975">
        <f>IF(OR($E975="",$E975="نامعتبر"),"",IF(Sync!$V972="","",IFERROR(INDEX(SubCodes,MATCH(Sync!$V972,SubTitles,0)),Sync!$V972)))</f>
        <v/>
      </c>
      <c r="L975">
        <f>IF(OR($E975="",$E975="نامعتبر"),"",IF(Sync!$W972="",0,Sync!$W972))</f>
        <v/>
      </c>
      <c r="M975">
        <f>IF(OR($E975="",$E975="نامعتبر"),"",IF(Sync!$X972="",0,Sync!$X972))</f>
        <v/>
      </c>
      <c r="N975">
        <f>IF(OR($E975="",$E975="نامعتبر"),"",IF(AND($J975="هزینه",$K975&lt;&gt;""),1,0))</f>
        <v/>
      </c>
      <c r="O975">
        <f>IF($N975=0,"",LEFT($E975,4)&amp;MID($E975,6,2)&amp;RIGHT($E975,2)&amp;$F975&amp;"|"&amp;"1"&amp;RIGHT("00000"&amp;967,5))</f>
        <v/>
      </c>
      <c r="P975">
        <f>IF($O975="","",COUNTIFS(ExpSub,$K975,ExpKey,"&lt;"&amp;$O975)+1)</f>
        <v/>
      </c>
      <c r="Q975">
        <f>IF($P975="","",$K975&amp;"|"&amp;RIGHT("000000"&amp;$P975,6))</f>
        <v/>
      </c>
    </row>
    <row r="976">
      <c r="A976">
        <f>IF(Sync!$P973="","",Sync!$P973)</f>
        <v/>
      </c>
      <c r="B976">
        <f>IF($A976="","",IF(ISNUMBER($A976),IF(AND($A976&gt;=10000101,$A976&lt;=99991231),INT($A976/10000),""),IFERROR(VALUE(TRIM(LEFT($A976,FIND("/",$A976)-1))),"")))</f>
        <v/>
      </c>
      <c r="C976">
        <f>IF(OR($A976="",$B976=""),"",IF(ISNUMBER($A976),INT(MOD($A976,10000)/100),IFERROR(VALUE(TRIM(LEFT(MID($A976,FIND("/",$A976)+1,20),FIND("/",MID($A976,FIND("/",$A976)+1,20))-1))),"")))</f>
        <v/>
      </c>
      <c r="D976">
        <f>IF(OR($A976="",$B976=""),"",IF(ISNUMBER($A976),MOD($A976,100),IFERROR(VALUE(TRIM(MID(MID($A976,FIND("/",$A976)+1,20),FIND("/",MID($A976,FIND("/",$A976)+1,20))+1,20))),"")))</f>
        <v/>
      </c>
      <c r="E976">
        <f>IF($A976="","",IF(OR($B976="",$C976="",$D976="",$B976&lt;1300,$B976&gt;1500,$C976&lt;1,$C976&gt;12,$D976&lt;1,$D976&gt;31),"نامعتبر",RIGHT("0000"&amp;$B976,4)&amp;"/"&amp;RIGHT("00"&amp;$C976,2)&amp;"/"&amp;RIGHT("00"&amp;$D976,2)))</f>
        <v/>
      </c>
      <c r="F976">
        <f>IF(OR($E976="",$E976="نامعتبر"),"",IF(Sync!$Q973="","0000",IF(AND(ISNUMBER(Sync!$Q973),Sync!$Q973&gt;=0,Sync!$Q973&lt;1),RIGHT("00"&amp;HOUR(Sync!$Q973),2)&amp;RIGHT("00"&amp;MINUTE(Sync!$Q973),2),IFERROR(RIGHT("00"&amp;VALUE(LEFT(Sync!$Q973,FIND(":",Sync!$Q973)-1)),2)&amp;RIGHT("00"&amp;VALUE(MID(Sync!$Q973,FIND(":",Sync!$Q973)+1,2)),2),"0000"))))</f>
        <v/>
      </c>
      <c r="G976">
        <f>IF(OR($E976="",$E976="نامعتبر"),"",IF(Sync!$S973="","",Sync!$S973))</f>
        <v/>
      </c>
      <c r="H976">
        <f>IF(OR($E976="",$E976="نامعتبر"),"",IF(Sync!$R973="","",Sync!$R973))</f>
        <v/>
      </c>
      <c r="I976">
        <f>IF(OR($E976="",$E976="نامعتبر"),"",IF(Sync!$T973="","",Sync!$T973))</f>
        <v/>
      </c>
      <c r="J976">
        <f>IF(OR($E976="",$E976="نامعتبر"),"",IF(Sync!$U973="","",Sync!$U973))</f>
        <v/>
      </c>
      <c r="K976">
        <f>IF(OR($E976="",$E976="نامعتبر"),"",IF(Sync!$V973="","",IFERROR(INDEX(SubCodes,MATCH(Sync!$V973,SubTitles,0)),Sync!$V973)))</f>
        <v/>
      </c>
      <c r="L976">
        <f>IF(OR($E976="",$E976="نامعتبر"),"",IF(Sync!$W973="",0,Sync!$W973))</f>
        <v/>
      </c>
      <c r="M976">
        <f>IF(OR($E976="",$E976="نامعتبر"),"",IF(Sync!$X973="",0,Sync!$X973))</f>
        <v/>
      </c>
      <c r="N976">
        <f>IF(OR($E976="",$E976="نامعتبر"),"",IF(AND($J976="هزینه",$K976&lt;&gt;""),1,0))</f>
        <v/>
      </c>
      <c r="O976">
        <f>IF($N976=0,"",LEFT($E976,4)&amp;MID($E976,6,2)&amp;RIGHT($E976,2)&amp;$F976&amp;"|"&amp;"1"&amp;RIGHT("00000"&amp;968,5))</f>
        <v/>
      </c>
      <c r="P976">
        <f>IF($O976="","",COUNTIFS(ExpSub,$K976,ExpKey,"&lt;"&amp;$O976)+1)</f>
        <v/>
      </c>
      <c r="Q976">
        <f>IF($P976="","",$K976&amp;"|"&amp;RIGHT("000000"&amp;$P976,6))</f>
        <v/>
      </c>
    </row>
    <row r="977">
      <c r="A977">
        <f>IF(Sync!$P974="","",Sync!$P974)</f>
        <v/>
      </c>
      <c r="B977">
        <f>IF($A977="","",IF(ISNUMBER($A977),IF(AND($A977&gt;=10000101,$A977&lt;=99991231),INT($A977/10000),""),IFERROR(VALUE(TRIM(LEFT($A977,FIND("/",$A977)-1))),"")))</f>
        <v/>
      </c>
      <c r="C977">
        <f>IF(OR($A977="",$B977=""),"",IF(ISNUMBER($A977),INT(MOD($A977,10000)/100),IFERROR(VALUE(TRIM(LEFT(MID($A977,FIND("/",$A977)+1,20),FIND("/",MID($A977,FIND("/",$A977)+1,20))-1))),"")))</f>
        <v/>
      </c>
      <c r="D977">
        <f>IF(OR($A977="",$B977=""),"",IF(ISNUMBER($A977),MOD($A977,100),IFERROR(VALUE(TRIM(MID(MID($A977,FIND("/",$A977)+1,20),FIND("/",MID($A977,FIND("/",$A977)+1,20))+1,20))),"")))</f>
        <v/>
      </c>
      <c r="E977">
        <f>IF($A977="","",IF(OR($B977="",$C977="",$D977="",$B977&lt;1300,$B977&gt;1500,$C977&lt;1,$C977&gt;12,$D977&lt;1,$D977&gt;31),"نامعتبر",RIGHT("0000"&amp;$B977,4)&amp;"/"&amp;RIGHT("00"&amp;$C977,2)&amp;"/"&amp;RIGHT("00"&amp;$D977,2)))</f>
        <v/>
      </c>
      <c r="F977">
        <f>IF(OR($E977="",$E977="نامعتبر"),"",IF(Sync!$Q974="","0000",IF(AND(ISNUMBER(Sync!$Q974),Sync!$Q974&gt;=0,Sync!$Q974&lt;1),RIGHT("00"&amp;HOUR(Sync!$Q974),2)&amp;RIGHT("00"&amp;MINUTE(Sync!$Q974),2),IFERROR(RIGHT("00"&amp;VALUE(LEFT(Sync!$Q974,FIND(":",Sync!$Q974)-1)),2)&amp;RIGHT("00"&amp;VALUE(MID(Sync!$Q974,FIND(":",Sync!$Q974)+1,2)),2),"0000"))))</f>
        <v/>
      </c>
      <c r="G977">
        <f>IF(OR($E977="",$E977="نامعتبر"),"",IF(Sync!$S974="","",Sync!$S974))</f>
        <v/>
      </c>
      <c r="H977">
        <f>IF(OR($E977="",$E977="نامعتبر"),"",IF(Sync!$R974="","",Sync!$R974))</f>
        <v/>
      </c>
      <c r="I977">
        <f>IF(OR($E977="",$E977="نامعتبر"),"",IF(Sync!$T974="","",Sync!$T974))</f>
        <v/>
      </c>
      <c r="J977">
        <f>IF(OR($E977="",$E977="نامعتبر"),"",IF(Sync!$U974="","",Sync!$U974))</f>
        <v/>
      </c>
      <c r="K977">
        <f>IF(OR($E977="",$E977="نامعتبر"),"",IF(Sync!$V974="","",IFERROR(INDEX(SubCodes,MATCH(Sync!$V974,SubTitles,0)),Sync!$V974)))</f>
        <v/>
      </c>
      <c r="L977">
        <f>IF(OR($E977="",$E977="نامعتبر"),"",IF(Sync!$W974="",0,Sync!$W974))</f>
        <v/>
      </c>
      <c r="M977">
        <f>IF(OR($E977="",$E977="نامعتبر"),"",IF(Sync!$X974="",0,Sync!$X974))</f>
        <v/>
      </c>
      <c r="N977">
        <f>IF(OR($E977="",$E977="نامعتبر"),"",IF(AND($J977="هزینه",$K977&lt;&gt;""),1,0))</f>
        <v/>
      </c>
      <c r="O977">
        <f>IF($N977=0,"",LEFT($E977,4)&amp;MID($E977,6,2)&amp;RIGHT($E977,2)&amp;$F977&amp;"|"&amp;"1"&amp;RIGHT("00000"&amp;969,5))</f>
        <v/>
      </c>
      <c r="P977">
        <f>IF($O977="","",COUNTIFS(ExpSub,$K977,ExpKey,"&lt;"&amp;$O977)+1)</f>
        <v/>
      </c>
      <c r="Q977">
        <f>IF($P977="","",$K977&amp;"|"&amp;RIGHT("000000"&amp;$P977,6))</f>
        <v/>
      </c>
    </row>
    <row r="978">
      <c r="A978">
        <f>IF(Sync!$P975="","",Sync!$P975)</f>
        <v/>
      </c>
      <c r="B978">
        <f>IF($A978="","",IF(ISNUMBER($A978),IF(AND($A978&gt;=10000101,$A978&lt;=99991231),INT($A978/10000),""),IFERROR(VALUE(TRIM(LEFT($A978,FIND("/",$A978)-1))),"")))</f>
        <v/>
      </c>
      <c r="C978">
        <f>IF(OR($A978="",$B978=""),"",IF(ISNUMBER($A978),INT(MOD($A978,10000)/100),IFERROR(VALUE(TRIM(LEFT(MID($A978,FIND("/",$A978)+1,20),FIND("/",MID($A978,FIND("/",$A978)+1,20))-1))),"")))</f>
        <v/>
      </c>
      <c r="D978">
        <f>IF(OR($A978="",$B978=""),"",IF(ISNUMBER($A978),MOD($A978,100),IFERROR(VALUE(TRIM(MID(MID($A978,FIND("/",$A978)+1,20),FIND("/",MID($A978,FIND("/",$A978)+1,20))+1,20))),"")))</f>
        <v/>
      </c>
      <c r="E978">
        <f>IF($A978="","",IF(OR($B978="",$C978="",$D978="",$B978&lt;1300,$B978&gt;1500,$C978&lt;1,$C978&gt;12,$D978&lt;1,$D978&gt;31),"نامعتبر",RIGHT("0000"&amp;$B978,4)&amp;"/"&amp;RIGHT("00"&amp;$C978,2)&amp;"/"&amp;RIGHT("00"&amp;$D978,2)))</f>
        <v/>
      </c>
      <c r="F978">
        <f>IF(OR($E978="",$E978="نامعتبر"),"",IF(Sync!$Q975="","0000",IF(AND(ISNUMBER(Sync!$Q975),Sync!$Q975&gt;=0,Sync!$Q975&lt;1),RIGHT("00"&amp;HOUR(Sync!$Q975),2)&amp;RIGHT("00"&amp;MINUTE(Sync!$Q975),2),IFERROR(RIGHT("00"&amp;VALUE(LEFT(Sync!$Q975,FIND(":",Sync!$Q975)-1)),2)&amp;RIGHT("00"&amp;VALUE(MID(Sync!$Q975,FIND(":",Sync!$Q975)+1,2)),2),"0000"))))</f>
        <v/>
      </c>
      <c r="G978">
        <f>IF(OR($E978="",$E978="نامعتبر"),"",IF(Sync!$S975="","",Sync!$S975))</f>
        <v/>
      </c>
      <c r="H978">
        <f>IF(OR($E978="",$E978="نامعتبر"),"",IF(Sync!$R975="","",Sync!$R975))</f>
        <v/>
      </c>
      <c r="I978">
        <f>IF(OR($E978="",$E978="نامعتبر"),"",IF(Sync!$T975="","",Sync!$T975))</f>
        <v/>
      </c>
      <c r="J978">
        <f>IF(OR($E978="",$E978="نامعتبر"),"",IF(Sync!$U975="","",Sync!$U975))</f>
        <v/>
      </c>
      <c r="K978">
        <f>IF(OR($E978="",$E978="نامعتبر"),"",IF(Sync!$V975="","",IFERROR(INDEX(SubCodes,MATCH(Sync!$V975,SubTitles,0)),Sync!$V975)))</f>
        <v/>
      </c>
      <c r="L978">
        <f>IF(OR($E978="",$E978="نامعتبر"),"",IF(Sync!$W975="",0,Sync!$W975))</f>
        <v/>
      </c>
      <c r="M978">
        <f>IF(OR($E978="",$E978="نامعتبر"),"",IF(Sync!$X975="",0,Sync!$X975))</f>
        <v/>
      </c>
      <c r="N978">
        <f>IF(OR($E978="",$E978="نامعتبر"),"",IF(AND($J978="هزینه",$K978&lt;&gt;""),1,0))</f>
        <v/>
      </c>
      <c r="O978">
        <f>IF($N978=0,"",LEFT($E978,4)&amp;MID($E978,6,2)&amp;RIGHT($E978,2)&amp;$F978&amp;"|"&amp;"1"&amp;RIGHT("00000"&amp;970,5))</f>
        <v/>
      </c>
      <c r="P978">
        <f>IF($O978="","",COUNTIFS(ExpSub,$K978,ExpKey,"&lt;"&amp;$O978)+1)</f>
        <v/>
      </c>
      <c r="Q978">
        <f>IF($P978="","",$K978&amp;"|"&amp;RIGHT("000000"&amp;$P978,6))</f>
        <v/>
      </c>
    </row>
    <row r="979">
      <c r="A979">
        <f>IF(Sync!$P976="","",Sync!$P976)</f>
        <v/>
      </c>
      <c r="B979">
        <f>IF($A979="","",IF(ISNUMBER($A979),IF(AND($A979&gt;=10000101,$A979&lt;=99991231),INT($A979/10000),""),IFERROR(VALUE(TRIM(LEFT($A979,FIND("/",$A979)-1))),"")))</f>
        <v/>
      </c>
      <c r="C979">
        <f>IF(OR($A979="",$B979=""),"",IF(ISNUMBER($A979),INT(MOD($A979,10000)/100),IFERROR(VALUE(TRIM(LEFT(MID($A979,FIND("/",$A979)+1,20),FIND("/",MID($A979,FIND("/",$A979)+1,20))-1))),"")))</f>
        <v/>
      </c>
      <c r="D979">
        <f>IF(OR($A979="",$B979=""),"",IF(ISNUMBER($A979),MOD($A979,100),IFERROR(VALUE(TRIM(MID(MID($A979,FIND("/",$A979)+1,20),FIND("/",MID($A979,FIND("/",$A979)+1,20))+1,20))),"")))</f>
        <v/>
      </c>
      <c r="E979">
        <f>IF($A979="","",IF(OR($B979="",$C979="",$D979="",$B979&lt;1300,$B979&gt;1500,$C979&lt;1,$C979&gt;12,$D979&lt;1,$D979&gt;31),"نامعتبر",RIGHT("0000"&amp;$B979,4)&amp;"/"&amp;RIGHT("00"&amp;$C979,2)&amp;"/"&amp;RIGHT("00"&amp;$D979,2)))</f>
        <v/>
      </c>
      <c r="F979">
        <f>IF(OR($E979="",$E979="نامعتبر"),"",IF(Sync!$Q976="","0000",IF(AND(ISNUMBER(Sync!$Q976),Sync!$Q976&gt;=0,Sync!$Q976&lt;1),RIGHT("00"&amp;HOUR(Sync!$Q976),2)&amp;RIGHT("00"&amp;MINUTE(Sync!$Q976),2),IFERROR(RIGHT("00"&amp;VALUE(LEFT(Sync!$Q976,FIND(":",Sync!$Q976)-1)),2)&amp;RIGHT("00"&amp;VALUE(MID(Sync!$Q976,FIND(":",Sync!$Q976)+1,2)),2),"0000"))))</f>
        <v/>
      </c>
      <c r="G979">
        <f>IF(OR($E979="",$E979="نامعتبر"),"",IF(Sync!$S976="","",Sync!$S976))</f>
        <v/>
      </c>
      <c r="H979">
        <f>IF(OR($E979="",$E979="نامعتبر"),"",IF(Sync!$R976="","",Sync!$R976))</f>
        <v/>
      </c>
      <c r="I979">
        <f>IF(OR($E979="",$E979="نامعتبر"),"",IF(Sync!$T976="","",Sync!$T976))</f>
        <v/>
      </c>
      <c r="J979">
        <f>IF(OR($E979="",$E979="نامعتبر"),"",IF(Sync!$U976="","",Sync!$U976))</f>
        <v/>
      </c>
      <c r="K979">
        <f>IF(OR($E979="",$E979="نامعتبر"),"",IF(Sync!$V976="","",IFERROR(INDEX(SubCodes,MATCH(Sync!$V976,SubTitles,0)),Sync!$V976)))</f>
        <v/>
      </c>
      <c r="L979">
        <f>IF(OR($E979="",$E979="نامعتبر"),"",IF(Sync!$W976="",0,Sync!$W976))</f>
        <v/>
      </c>
      <c r="M979">
        <f>IF(OR($E979="",$E979="نامعتبر"),"",IF(Sync!$X976="",0,Sync!$X976))</f>
        <v/>
      </c>
      <c r="N979">
        <f>IF(OR($E979="",$E979="نامعتبر"),"",IF(AND($J979="هزینه",$K979&lt;&gt;""),1,0))</f>
        <v/>
      </c>
      <c r="O979">
        <f>IF($N979=0,"",LEFT($E979,4)&amp;MID($E979,6,2)&amp;RIGHT($E979,2)&amp;$F979&amp;"|"&amp;"1"&amp;RIGHT("00000"&amp;971,5))</f>
        <v/>
      </c>
      <c r="P979">
        <f>IF($O979="","",COUNTIFS(ExpSub,$K979,ExpKey,"&lt;"&amp;$O979)+1)</f>
        <v/>
      </c>
      <c r="Q979">
        <f>IF($P979="","",$K979&amp;"|"&amp;RIGHT("000000"&amp;$P979,6))</f>
        <v/>
      </c>
    </row>
    <row r="980">
      <c r="A980">
        <f>IF(Sync!$P977="","",Sync!$P977)</f>
        <v/>
      </c>
      <c r="B980">
        <f>IF($A980="","",IF(ISNUMBER($A980),IF(AND($A980&gt;=10000101,$A980&lt;=99991231),INT($A980/10000),""),IFERROR(VALUE(TRIM(LEFT($A980,FIND("/",$A980)-1))),"")))</f>
        <v/>
      </c>
      <c r="C980">
        <f>IF(OR($A980="",$B980=""),"",IF(ISNUMBER($A980),INT(MOD($A980,10000)/100),IFERROR(VALUE(TRIM(LEFT(MID($A980,FIND("/",$A980)+1,20),FIND("/",MID($A980,FIND("/",$A980)+1,20))-1))),"")))</f>
        <v/>
      </c>
      <c r="D980">
        <f>IF(OR($A980="",$B980=""),"",IF(ISNUMBER($A980),MOD($A980,100),IFERROR(VALUE(TRIM(MID(MID($A980,FIND("/",$A980)+1,20),FIND("/",MID($A980,FIND("/",$A980)+1,20))+1,20))),"")))</f>
        <v/>
      </c>
      <c r="E980">
        <f>IF($A980="","",IF(OR($B980="",$C980="",$D980="",$B980&lt;1300,$B980&gt;1500,$C980&lt;1,$C980&gt;12,$D980&lt;1,$D980&gt;31),"نامعتبر",RIGHT("0000"&amp;$B980,4)&amp;"/"&amp;RIGHT("00"&amp;$C980,2)&amp;"/"&amp;RIGHT("00"&amp;$D980,2)))</f>
        <v/>
      </c>
      <c r="F980">
        <f>IF(OR($E980="",$E980="نامعتبر"),"",IF(Sync!$Q977="","0000",IF(AND(ISNUMBER(Sync!$Q977),Sync!$Q977&gt;=0,Sync!$Q977&lt;1),RIGHT("00"&amp;HOUR(Sync!$Q977),2)&amp;RIGHT("00"&amp;MINUTE(Sync!$Q977),2),IFERROR(RIGHT("00"&amp;VALUE(LEFT(Sync!$Q977,FIND(":",Sync!$Q977)-1)),2)&amp;RIGHT("00"&amp;VALUE(MID(Sync!$Q977,FIND(":",Sync!$Q977)+1,2)),2),"0000"))))</f>
        <v/>
      </c>
      <c r="G980">
        <f>IF(OR($E980="",$E980="نامعتبر"),"",IF(Sync!$S977="","",Sync!$S977))</f>
        <v/>
      </c>
      <c r="H980">
        <f>IF(OR($E980="",$E980="نامعتبر"),"",IF(Sync!$R977="","",Sync!$R977))</f>
        <v/>
      </c>
      <c r="I980">
        <f>IF(OR($E980="",$E980="نامعتبر"),"",IF(Sync!$T977="","",Sync!$T977))</f>
        <v/>
      </c>
      <c r="J980">
        <f>IF(OR($E980="",$E980="نامعتبر"),"",IF(Sync!$U977="","",Sync!$U977))</f>
        <v/>
      </c>
      <c r="K980">
        <f>IF(OR($E980="",$E980="نامعتبر"),"",IF(Sync!$V977="","",IFERROR(INDEX(SubCodes,MATCH(Sync!$V977,SubTitles,0)),Sync!$V977)))</f>
        <v/>
      </c>
      <c r="L980">
        <f>IF(OR($E980="",$E980="نامعتبر"),"",IF(Sync!$W977="",0,Sync!$W977))</f>
        <v/>
      </c>
      <c r="M980">
        <f>IF(OR($E980="",$E980="نامعتبر"),"",IF(Sync!$X977="",0,Sync!$X977))</f>
        <v/>
      </c>
      <c r="N980">
        <f>IF(OR($E980="",$E980="نامعتبر"),"",IF(AND($J980="هزینه",$K980&lt;&gt;""),1,0))</f>
        <v/>
      </c>
      <c r="O980">
        <f>IF($N980=0,"",LEFT($E980,4)&amp;MID($E980,6,2)&amp;RIGHT($E980,2)&amp;$F980&amp;"|"&amp;"1"&amp;RIGHT("00000"&amp;972,5))</f>
        <v/>
      </c>
      <c r="P980">
        <f>IF($O980="","",COUNTIFS(ExpSub,$K980,ExpKey,"&lt;"&amp;$O980)+1)</f>
        <v/>
      </c>
      <c r="Q980">
        <f>IF($P980="","",$K980&amp;"|"&amp;RIGHT("000000"&amp;$P980,6))</f>
        <v/>
      </c>
    </row>
    <row r="981">
      <c r="A981">
        <f>IF(Sync!$P978="","",Sync!$P978)</f>
        <v/>
      </c>
      <c r="B981">
        <f>IF($A981="","",IF(ISNUMBER($A981),IF(AND($A981&gt;=10000101,$A981&lt;=99991231),INT($A981/10000),""),IFERROR(VALUE(TRIM(LEFT($A981,FIND("/",$A981)-1))),"")))</f>
        <v/>
      </c>
      <c r="C981">
        <f>IF(OR($A981="",$B981=""),"",IF(ISNUMBER($A981),INT(MOD($A981,10000)/100),IFERROR(VALUE(TRIM(LEFT(MID($A981,FIND("/",$A981)+1,20),FIND("/",MID($A981,FIND("/",$A981)+1,20))-1))),"")))</f>
        <v/>
      </c>
      <c r="D981">
        <f>IF(OR($A981="",$B981=""),"",IF(ISNUMBER($A981),MOD($A981,100),IFERROR(VALUE(TRIM(MID(MID($A981,FIND("/",$A981)+1,20),FIND("/",MID($A981,FIND("/",$A981)+1,20))+1,20))),"")))</f>
        <v/>
      </c>
      <c r="E981">
        <f>IF($A981="","",IF(OR($B981="",$C981="",$D981="",$B981&lt;1300,$B981&gt;1500,$C981&lt;1,$C981&gt;12,$D981&lt;1,$D981&gt;31),"نامعتبر",RIGHT("0000"&amp;$B981,4)&amp;"/"&amp;RIGHT("00"&amp;$C981,2)&amp;"/"&amp;RIGHT("00"&amp;$D981,2)))</f>
        <v/>
      </c>
      <c r="F981">
        <f>IF(OR($E981="",$E981="نامعتبر"),"",IF(Sync!$Q978="","0000",IF(AND(ISNUMBER(Sync!$Q978),Sync!$Q978&gt;=0,Sync!$Q978&lt;1),RIGHT("00"&amp;HOUR(Sync!$Q978),2)&amp;RIGHT("00"&amp;MINUTE(Sync!$Q978),2),IFERROR(RIGHT("00"&amp;VALUE(LEFT(Sync!$Q978,FIND(":",Sync!$Q978)-1)),2)&amp;RIGHT("00"&amp;VALUE(MID(Sync!$Q978,FIND(":",Sync!$Q978)+1,2)),2),"0000"))))</f>
        <v/>
      </c>
      <c r="G981">
        <f>IF(OR($E981="",$E981="نامعتبر"),"",IF(Sync!$S978="","",Sync!$S978))</f>
        <v/>
      </c>
      <c r="H981">
        <f>IF(OR($E981="",$E981="نامعتبر"),"",IF(Sync!$R978="","",Sync!$R978))</f>
        <v/>
      </c>
      <c r="I981">
        <f>IF(OR($E981="",$E981="نامعتبر"),"",IF(Sync!$T978="","",Sync!$T978))</f>
        <v/>
      </c>
      <c r="J981">
        <f>IF(OR($E981="",$E981="نامعتبر"),"",IF(Sync!$U978="","",Sync!$U978))</f>
        <v/>
      </c>
      <c r="K981">
        <f>IF(OR($E981="",$E981="نامعتبر"),"",IF(Sync!$V978="","",IFERROR(INDEX(SubCodes,MATCH(Sync!$V978,SubTitles,0)),Sync!$V978)))</f>
        <v/>
      </c>
      <c r="L981">
        <f>IF(OR($E981="",$E981="نامعتبر"),"",IF(Sync!$W978="",0,Sync!$W978))</f>
        <v/>
      </c>
      <c r="M981">
        <f>IF(OR($E981="",$E981="نامعتبر"),"",IF(Sync!$X978="",0,Sync!$X978))</f>
        <v/>
      </c>
      <c r="N981">
        <f>IF(OR($E981="",$E981="نامعتبر"),"",IF(AND($J981="هزینه",$K981&lt;&gt;""),1,0))</f>
        <v/>
      </c>
      <c r="O981">
        <f>IF($N981=0,"",LEFT($E981,4)&amp;MID($E981,6,2)&amp;RIGHT($E981,2)&amp;$F981&amp;"|"&amp;"1"&amp;RIGHT("00000"&amp;973,5))</f>
        <v/>
      </c>
      <c r="P981">
        <f>IF($O981="","",COUNTIFS(ExpSub,$K981,ExpKey,"&lt;"&amp;$O981)+1)</f>
        <v/>
      </c>
      <c r="Q981">
        <f>IF($P981="","",$K981&amp;"|"&amp;RIGHT("000000"&amp;$P981,6))</f>
        <v/>
      </c>
    </row>
    <row r="982">
      <c r="A982">
        <f>IF(Sync!$P979="","",Sync!$P979)</f>
        <v/>
      </c>
      <c r="B982">
        <f>IF($A982="","",IF(ISNUMBER($A982),IF(AND($A982&gt;=10000101,$A982&lt;=99991231),INT($A982/10000),""),IFERROR(VALUE(TRIM(LEFT($A982,FIND("/",$A982)-1))),"")))</f>
        <v/>
      </c>
      <c r="C982">
        <f>IF(OR($A982="",$B982=""),"",IF(ISNUMBER($A982),INT(MOD($A982,10000)/100),IFERROR(VALUE(TRIM(LEFT(MID($A982,FIND("/",$A982)+1,20),FIND("/",MID($A982,FIND("/",$A982)+1,20))-1))),"")))</f>
        <v/>
      </c>
      <c r="D982">
        <f>IF(OR($A982="",$B982=""),"",IF(ISNUMBER($A982),MOD($A982,100),IFERROR(VALUE(TRIM(MID(MID($A982,FIND("/",$A982)+1,20),FIND("/",MID($A982,FIND("/",$A982)+1,20))+1,20))),"")))</f>
        <v/>
      </c>
      <c r="E982">
        <f>IF($A982="","",IF(OR($B982="",$C982="",$D982="",$B982&lt;1300,$B982&gt;1500,$C982&lt;1,$C982&gt;12,$D982&lt;1,$D982&gt;31),"نامعتبر",RIGHT("0000"&amp;$B982,4)&amp;"/"&amp;RIGHT("00"&amp;$C982,2)&amp;"/"&amp;RIGHT("00"&amp;$D982,2)))</f>
        <v/>
      </c>
      <c r="F982">
        <f>IF(OR($E982="",$E982="نامعتبر"),"",IF(Sync!$Q979="","0000",IF(AND(ISNUMBER(Sync!$Q979),Sync!$Q979&gt;=0,Sync!$Q979&lt;1),RIGHT("00"&amp;HOUR(Sync!$Q979),2)&amp;RIGHT("00"&amp;MINUTE(Sync!$Q979),2),IFERROR(RIGHT("00"&amp;VALUE(LEFT(Sync!$Q979,FIND(":",Sync!$Q979)-1)),2)&amp;RIGHT("00"&amp;VALUE(MID(Sync!$Q979,FIND(":",Sync!$Q979)+1,2)),2),"0000"))))</f>
        <v/>
      </c>
      <c r="G982">
        <f>IF(OR($E982="",$E982="نامعتبر"),"",IF(Sync!$S979="","",Sync!$S979))</f>
        <v/>
      </c>
      <c r="H982">
        <f>IF(OR($E982="",$E982="نامعتبر"),"",IF(Sync!$R979="","",Sync!$R979))</f>
        <v/>
      </c>
      <c r="I982">
        <f>IF(OR($E982="",$E982="نامعتبر"),"",IF(Sync!$T979="","",Sync!$T979))</f>
        <v/>
      </c>
      <c r="J982">
        <f>IF(OR($E982="",$E982="نامعتبر"),"",IF(Sync!$U979="","",Sync!$U979))</f>
        <v/>
      </c>
      <c r="K982">
        <f>IF(OR($E982="",$E982="نامعتبر"),"",IF(Sync!$V979="","",IFERROR(INDEX(SubCodes,MATCH(Sync!$V979,SubTitles,0)),Sync!$V979)))</f>
        <v/>
      </c>
      <c r="L982">
        <f>IF(OR($E982="",$E982="نامعتبر"),"",IF(Sync!$W979="",0,Sync!$W979))</f>
        <v/>
      </c>
      <c r="M982">
        <f>IF(OR($E982="",$E982="نامعتبر"),"",IF(Sync!$X979="",0,Sync!$X979))</f>
        <v/>
      </c>
      <c r="N982">
        <f>IF(OR($E982="",$E982="نامعتبر"),"",IF(AND($J982="هزینه",$K982&lt;&gt;""),1,0))</f>
        <v/>
      </c>
      <c r="O982">
        <f>IF($N982=0,"",LEFT($E982,4)&amp;MID($E982,6,2)&amp;RIGHT($E982,2)&amp;$F982&amp;"|"&amp;"1"&amp;RIGHT("00000"&amp;974,5))</f>
        <v/>
      </c>
      <c r="P982">
        <f>IF($O982="","",COUNTIFS(ExpSub,$K982,ExpKey,"&lt;"&amp;$O982)+1)</f>
        <v/>
      </c>
      <c r="Q982">
        <f>IF($P982="","",$K982&amp;"|"&amp;RIGHT("000000"&amp;$P982,6))</f>
        <v/>
      </c>
    </row>
    <row r="983">
      <c r="A983">
        <f>IF(Sync!$P980="","",Sync!$P980)</f>
        <v/>
      </c>
      <c r="B983">
        <f>IF($A983="","",IF(ISNUMBER($A983),IF(AND($A983&gt;=10000101,$A983&lt;=99991231),INT($A983/10000),""),IFERROR(VALUE(TRIM(LEFT($A983,FIND("/",$A983)-1))),"")))</f>
        <v/>
      </c>
      <c r="C983">
        <f>IF(OR($A983="",$B983=""),"",IF(ISNUMBER($A983),INT(MOD($A983,10000)/100),IFERROR(VALUE(TRIM(LEFT(MID($A983,FIND("/",$A983)+1,20),FIND("/",MID($A983,FIND("/",$A983)+1,20))-1))),"")))</f>
        <v/>
      </c>
      <c r="D983">
        <f>IF(OR($A983="",$B983=""),"",IF(ISNUMBER($A983),MOD($A983,100),IFERROR(VALUE(TRIM(MID(MID($A983,FIND("/",$A983)+1,20),FIND("/",MID($A983,FIND("/",$A983)+1,20))+1,20))),"")))</f>
        <v/>
      </c>
      <c r="E983">
        <f>IF($A983="","",IF(OR($B983="",$C983="",$D983="",$B983&lt;1300,$B983&gt;1500,$C983&lt;1,$C983&gt;12,$D983&lt;1,$D983&gt;31),"نامعتبر",RIGHT("0000"&amp;$B983,4)&amp;"/"&amp;RIGHT("00"&amp;$C983,2)&amp;"/"&amp;RIGHT("00"&amp;$D983,2)))</f>
        <v/>
      </c>
      <c r="F983">
        <f>IF(OR($E983="",$E983="نامعتبر"),"",IF(Sync!$Q980="","0000",IF(AND(ISNUMBER(Sync!$Q980),Sync!$Q980&gt;=0,Sync!$Q980&lt;1),RIGHT("00"&amp;HOUR(Sync!$Q980),2)&amp;RIGHT("00"&amp;MINUTE(Sync!$Q980),2),IFERROR(RIGHT("00"&amp;VALUE(LEFT(Sync!$Q980,FIND(":",Sync!$Q980)-1)),2)&amp;RIGHT("00"&amp;VALUE(MID(Sync!$Q980,FIND(":",Sync!$Q980)+1,2)),2),"0000"))))</f>
        <v/>
      </c>
      <c r="G983">
        <f>IF(OR($E983="",$E983="نامعتبر"),"",IF(Sync!$S980="","",Sync!$S980))</f>
        <v/>
      </c>
      <c r="H983">
        <f>IF(OR($E983="",$E983="نامعتبر"),"",IF(Sync!$R980="","",Sync!$R980))</f>
        <v/>
      </c>
      <c r="I983">
        <f>IF(OR($E983="",$E983="نامعتبر"),"",IF(Sync!$T980="","",Sync!$T980))</f>
        <v/>
      </c>
      <c r="J983">
        <f>IF(OR($E983="",$E983="نامعتبر"),"",IF(Sync!$U980="","",Sync!$U980))</f>
        <v/>
      </c>
      <c r="K983">
        <f>IF(OR($E983="",$E983="نامعتبر"),"",IF(Sync!$V980="","",IFERROR(INDEX(SubCodes,MATCH(Sync!$V980,SubTitles,0)),Sync!$V980)))</f>
        <v/>
      </c>
      <c r="L983">
        <f>IF(OR($E983="",$E983="نامعتبر"),"",IF(Sync!$W980="",0,Sync!$W980))</f>
        <v/>
      </c>
      <c r="M983">
        <f>IF(OR($E983="",$E983="نامعتبر"),"",IF(Sync!$X980="",0,Sync!$X980))</f>
        <v/>
      </c>
      <c r="N983">
        <f>IF(OR($E983="",$E983="نامعتبر"),"",IF(AND($J983="هزینه",$K983&lt;&gt;""),1,0))</f>
        <v/>
      </c>
      <c r="O983">
        <f>IF($N983=0,"",LEFT($E983,4)&amp;MID($E983,6,2)&amp;RIGHT($E983,2)&amp;$F983&amp;"|"&amp;"1"&amp;RIGHT("00000"&amp;975,5))</f>
        <v/>
      </c>
      <c r="P983">
        <f>IF($O983="","",COUNTIFS(ExpSub,$K983,ExpKey,"&lt;"&amp;$O983)+1)</f>
        <v/>
      </c>
      <c r="Q983">
        <f>IF($P983="","",$K983&amp;"|"&amp;RIGHT("000000"&amp;$P983,6))</f>
        <v/>
      </c>
    </row>
    <row r="984">
      <c r="A984">
        <f>IF(Sync!$P981="","",Sync!$P981)</f>
        <v/>
      </c>
      <c r="B984">
        <f>IF($A984="","",IF(ISNUMBER($A984),IF(AND($A984&gt;=10000101,$A984&lt;=99991231),INT($A984/10000),""),IFERROR(VALUE(TRIM(LEFT($A984,FIND("/",$A984)-1))),"")))</f>
        <v/>
      </c>
      <c r="C984">
        <f>IF(OR($A984="",$B984=""),"",IF(ISNUMBER($A984),INT(MOD($A984,10000)/100),IFERROR(VALUE(TRIM(LEFT(MID($A984,FIND("/",$A984)+1,20),FIND("/",MID($A984,FIND("/",$A984)+1,20))-1))),"")))</f>
        <v/>
      </c>
      <c r="D984">
        <f>IF(OR($A984="",$B984=""),"",IF(ISNUMBER($A984),MOD($A984,100),IFERROR(VALUE(TRIM(MID(MID($A984,FIND("/",$A984)+1,20),FIND("/",MID($A984,FIND("/",$A984)+1,20))+1,20))),"")))</f>
        <v/>
      </c>
      <c r="E984">
        <f>IF($A984="","",IF(OR($B984="",$C984="",$D984="",$B984&lt;1300,$B984&gt;1500,$C984&lt;1,$C984&gt;12,$D984&lt;1,$D984&gt;31),"نامعتبر",RIGHT("0000"&amp;$B984,4)&amp;"/"&amp;RIGHT("00"&amp;$C984,2)&amp;"/"&amp;RIGHT("00"&amp;$D984,2)))</f>
        <v/>
      </c>
      <c r="F984">
        <f>IF(OR($E984="",$E984="نامعتبر"),"",IF(Sync!$Q981="","0000",IF(AND(ISNUMBER(Sync!$Q981),Sync!$Q981&gt;=0,Sync!$Q981&lt;1),RIGHT("00"&amp;HOUR(Sync!$Q981),2)&amp;RIGHT("00"&amp;MINUTE(Sync!$Q981),2),IFERROR(RIGHT("00"&amp;VALUE(LEFT(Sync!$Q981,FIND(":",Sync!$Q981)-1)),2)&amp;RIGHT("00"&amp;VALUE(MID(Sync!$Q981,FIND(":",Sync!$Q981)+1,2)),2),"0000"))))</f>
        <v/>
      </c>
      <c r="G984">
        <f>IF(OR($E984="",$E984="نامعتبر"),"",IF(Sync!$S981="","",Sync!$S981))</f>
        <v/>
      </c>
      <c r="H984">
        <f>IF(OR($E984="",$E984="نامعتبر"),"",IF(Sync!$R981="","",Sync!$R981))</f>
        <v/>
      </c>
      <c r="I984">
        <f>IF(OR($E984="",$E984="نامعتبر"),"",IF(Sync!$T981="","",Sync!$T981))</f>
        <v/>
      </c>
      <c r="J984">
        <f>IF(OR($E984="",$E984="نامعتبر"),"",IF(Sync!$U981="","",Sync!$U981))</f>
        <v/>
      </c>
      <c r="K984">
        <f>IF(OR($E984="",$E984="نامعتبر"),"",IF(Sync!$V981="","",IFERROR(INDEX(SubCodes,MATCH(Sync!$V981,SubTitles,0)),Sync!$V981)))</f>
        <v/>
      </c>
      <c r="L984">
        <f>IF(OR($E984="",$E984="نامعتبر"),"",IF(Sync!$W981="",0,Sync!$W981))</f>
        <v/>
      </c>
      <c r="M984">
        <f>IF(OR($E984="",$E984="نامعتبر"),"",IF(Sync!$X981="",0,Sync!$X981))</f>
        <v/>
      </c>
      <c r="N984">
        <f>IF(OR($E984="",$E984="نامعتبر"),"",IF(AND($J984="هزینه",$K984&lt;&gt;""),1,0))</f>
        <v/>
      </c>
      <c r="O984">
        <f>IF($N984=0,"",LEFT($E984,4)&amp;MID($E984,6,2)&amp;RIGHT($E984,2)&amp;$F984&amp;"|"&amp;"1"&amp;RIGHT("00000"&amp;976,5))</f>
        <v/>
      </c>
      <c r="P984">
        <f>IF($O984="","",COUNTIFS(ExpSub,$K984,ExpKey,"&lt;"&amp;$O984)+1)</f>
        <v/>
      </c>
      <c r="Q984">
        <f>IF($P984="","",$K984&amp;"|"&amp;RIGHT("000000"&amp;$P984,6))</f>
        <v/>
      </c>
    </row>
    <row r="985">
      <c r="A985">
        <f>IF(Sync!$P982="","",Sync!$P982)</f>
        <v/>
      </c>
      <c r="B985">
        <f>IF($A985="","",IF(ISNUMBER($A985),IF(AND($A985&gt;=10000101,$A985&lt;=99991231),INT($A985/10000),""),IFERROR(VALUE(TRIM(LEFT($A985,FIND("/",$A985)-1))),"")))</f>
        <v/>
      </c>
      <c r="C985">
        <f>IF(OR($A985="",$B985=""),"",IF(ISNUMBER($A985),INT(MOD($A985,10000)/100),IFERROR(VALUE(TRIM(LEFT(MID($A985,FIND("/",$A985)+1,20),FIND("/",MID($A985,FIND("/",$A985)+1,20))-1))),"")))</f>
        <v/>
      </c>
      <c r="D985">
        <f>IF(OR($A985="",$B985=""),"",IF(ISNUMBER($A985),MOD($A985,100),IFERROR(VALUE(TRIM(MID(MID($A985,FIND("/",$A985)+1,20),FIND("/",MID($A985,FIND("/",$A985)+1,20))+1,20))),"")))</f>
        <v/>
      </c>
      <c r="E985">
        <f>IF($A985="","",IF(OR($B985="",$C985="",$D985="",$B985&lt;1300,$B985&gt;1500,$C985&lt;1,$C985&gt;12,$D985&lt;1,$D985&gt;31),"نامعتبر",RIGHT("0000"&amp;$B985,4)&amp;"/"&amp;RIGHT("00"&amp;$C985,2)&amp;"/"&amp;RIGHT("00"&amp;$D985,2)))</f>
        <v/>
      </c>
      <c r="F985">
        <f>IF(OR($E985="",$E985="نامعتبر"),"",IF(Sync!$Q982="","0000",IF(AND(ISNUMBER(Sync!$Q982),Sync!$Q982&gt;=0,Sync!$Q982&lt;1),RIGHT("00"&amp;HOUR(Sync!$Q982),2)&amp;RIGHT("00"&amp;MINUTE(Sync!$Q982),2),IFERROR(RIGHT("00"&amp;VALUE(LEFT(Sync!$Q982,FIND(":",Sync!$Q982)-1)),2)&amp;RIGHT("00"&amp;VALUE(MID(Sync!$Q982,FIND(":",Sync!$Q982)+1,2)),2),"0000"))))</f>
        <v/>
      </c>
      <c r="G985">
        <f>IF(OR($E985="",$E985="نامعتبر"),"",IF(Sync!$S982="","",Sync!$S982))</f>
        <v/>
      </c>
      <c r="H985">
        <f>IF(OR($E985="",$E985="نامعتبر"),"",IF(Sync!$R982="","",Sync!$R982))</f>
        <v/>
      </c>
      <c r="I985">
        <f>IF(OR($E985="",$E985="نامعتبر"),"",IF(Sync!$T982="","",Sync!$T982))</f>
        <v/>
      </c>
      <c r="J985">
        <f>IF(OR($E985="",$E985="نامعتبر"),"",IF(Sync!$U982="","",Sync!$U982))</f>
        <v/>
      </c>
      <c r="K985">
        <f>IF(OR($E985="",$E985="نامعتبر"),"",IF(Sync!$V982="","",IFERROR(INDEX(SubCodes,MATCH(Sync!$V982,SubTitles,0)),Sync!$V982)))</f>
        <v/>
      </c>
      <c r="L985">
        <f>IF(OR($E985="",$E985="نامعتبر"),"",IF(Sync!$W982="",0,Sync!$W982))</f>
        <v/>
      </c>
      <c r="M985">
        <f>IF(OR($E985="",$E985="نامعتبر"),"",IF(Sync!$X982="",0,Sync!$X982))</f>
        <v/>
      </c>
      <c r="N985">
        <f>IF(OR($E985="",$E985="نامعتبر"),"",IF(AND($J985="هزینه",$K985&lt;&gt;""),1,0))</f>
        <v/>
      </c>
      <c r="O985">
        <f>IF($N985=0,"",LEFT($E985,4)&amp;MID($E985,6,2)&amp;RIGHT($E985,2)&amp;$F985&amp;"|"&amp;"1"&amp;RIGHT("00000"&amp;977,5))</f>
        <v/>
      </c>
      <c r="P985">
        <f>IF($O985="","",COUNTIFS(ExpSub,$K985,ExpKey,"&lt;"&amp;$O985)+1)</f>
        <v/>
      </c>
      <c r="Q985">
        <f>IF($P985="","",$K985&amp;"|"&amp;RIGHT("000000"&amp;$P985,6))</f>
        <v/>
      </c>
    </row>
    <row r="986">
      <c r="A986">
        <f>IF(Sync!$P983="","",Sync!$P983)</f>
        <v/>
      </c>
      <c r="B986">
        <f>IF($A986="","",IF(ISNUMBER($A986),IF(AND($A986&gt;=10000101,$A986&lt;=99991231),INT($A986/10000),""),IFERROR(VALUE(TRIM(LEFT($A986,FIND("/",$A986)-1))),"")))</f>
        <v/>
      </c>
      <c r="C986">
        <f>IF(OR($A986="",$B986=""),"",IF(ISNUMBER($A986),INT(MOD($A986,10000)/100),IFERROR(VALUE(TRIM(LEFT(MID($A986,FIND("/",$A986)+1,20),FIND("/",MID($A986,FIND("/",$A986)+1,20))-1))),"")))</f>
        <v/>
      </c>
      <c r="D986">
        <f>IF(OR($A986="",$B986=""),"",IF(ISNUMBER($A986),MOD($A986,100),IFERROR(VALUE(TRIM(MID(MID($A986,FIND("/",$A986)+1,20),FIND("/",MID($A986,FIND("/",$A986)+1,20))+1,20))),"")))</f>
        <v/>
      </c>
      <c r="E986">
        <f>IF($A986="","",IF(OR($B986="",$C986="",$D986="",$B986&lt;1300,$B986&gt;1500,$C986&lt;1,$C986&gt;12,$D986&lt;1,$D986&gt;31),"نامعتبر",RIGHT("0000"&amp;$B986,4)&amp;"/"&amp;RIGHT("00"&amp;$C986,2)&amp;"/"&amp;RIGHT("00"&amp;$D986,2)))</f>
        <v/>
      </c>
      <c r="F986">
        <f>IF(OR($E986="",$E986="نامعتبر"),"",IF(Sync!$Q983="","0000",IF(AND(ISNUMBER(Sync!$Q983),Sync!$Q983&gt;=0,Sync!$Q983&lt;1),RIGHT("00"&amp;HOUR(Sync!$Q983),2)&amp;RIGHT("00"&amp;MINUTE(Sync!$Q983),2),IFERROR(RIGHT("00"&amp;VALUE(LEFT(Sync!$Q983,FIND(":",Sync!$Q983)-1)),2)&amp;RIGHT("00"&amp;VALUE(MID(Sync!$Q983,FIND(":",Sync!$Q983)+1,2)),2),"0000"))))</f>
        <v/>
      </c>
      <c r="G986">
        <f>IF(OR($E986="",$E986="نامعتبر"),"",IF(Sync!$S983="","",Sync!$S983))</f>
        <v/>
      </c>
      <c r="H986">
        <f>IF(OR($E986="",$E986="نامعتبر"),"",IF(Sync!$R983="","",Sync!$R983))</f>
        <v/>
      </c>
      <c r="I986">
        <f>IF(OR($E986="",$E986="نامعتبر"),"",IF(Sync!$T983="","",Sync!$T983))</f>
        <v/>
      </c>
      <c r="J986">
        <f>IF(OR($E986="",$E986="نامعتبر"),"",IF(Sync!$U983="","",Sync!$U983))</f>
        <v/>
      </c>
      <c r="K986">
        <f>IF(OR($E986="",$E986="نامعتبر"),"",IF(Sync!$V983="","",IFERROR(INDEX(SubCodes,MATCH(Sync!$V983,SubTitles,0)),Sync!$V983)))</f>
        <v/>
      </c>
      <c r="L986">
        <f>IF(OR($E986="",$E986="نامعتبر"),"",IF(Sync!$W983="",0,Sync!$W983))</f>
        <v/>
      </c>
      <c r="M986">
        <f>IF(OR($E986="",$E986="نامعتبر"),"",IF(Sync!$X983="",0,Sync!$X983))</f>
        <v/>
      </c>
      <c r="N986">
        <f>IF(OR($E986="",$E986="نامعتبر"),"",IF(AND($J986="هزینه",$K986&lt;&gt;""),1,0))</f>
        <v/>
      </c>
      <c r="O986">
        <f>IF($N986=0,"",LEFT($E986,4)&amp;MID($E986,6,2)&amp;RIGHT($E986,2)&amp;$F986&amp;"|"&amp;"1"&amp;RIGHT("00000"&amp;978,5))</f>
        <v/>
      </c>
      <c r="P986">
        <f>IF($O986="","",COUNTIFS(ExpSub,$K986,ExpKey,"&lt;"&amp;$O986)+1)</f>
        <v/>
      </c>
      <c r="Q986">
        <f>IF($P986="","",$K986&amp;"|"&amp;RIGHT("000000"&amp;$P986,6))</f>
        <v/>
      </c>
    </row>
    <row r="987">
      <c r="A987">
        <f>IF(Sync!$P984="","",Sync!$P984)</f>
        <v/>
      </c>
      <c r="B987">
        <f>IF($A987="","",IF(ISNUMBER($A987),IF(AND($A987&gt;=10000101,$A987&lt;=99991231),INT($A987/10000),""),IFERROR(VALUE(TRIM(LEFT($A987,FIND("/",$A987)-1))),"")))</f>
        <v/>
      </c>
      <c r="C987">
        <f>IF(OR($A987="",$B987=""),"",IF(ISNUMBER($A987),INT(MOD($A987,10000)/100),IFERROR(VALUE(TRIM(LEFT(MID($A987,FIND("/",$A987)+1,20),FIND("/",MID($A987,FIND("/",$A987)+1,20))-1))),"")))</f>
        <v/>
      </c>
      <c r="D987">
        <f>IF(OR($A987="",$B987=""),"",IF(ISNUMBER($A987),MOD($A987,100),IFERROR(VALUE(TRIM(MID(MID($A987,FIND("/",$A987)+1,20),FIND("/",MID($A987,FIND("/",$A987)+1,20))+1,20))),"")))</f>
        <v/>
      </c>
      <c r="E987">
        <f>IF($A987="","",IF(OR($B987="",$C987="",$D987="",$B987&lt;1300,$B987&gt;1500,$C987&lt;1,$C987&gt;12,$D987&lt;1,$D987&gt;31),"نامعتبر",RIGHT("0000"&amp;$B987,4)&amp;"/"&amp;RIGHT("00"&amp;$C987,2)&amp;"/"&amp;RIGHT("00"&amp;$D987,2)))</f>
        <v/>
      </c>
      <c r="F987">
        <f>IF(OR($E987="",$E987="نامعتبر"),"",IF(Sync!$Q984="","0000",IF(AND(ISNUMBER(Sync!$Q984),Sync!$Q984&gt;=0,Sync!$Q984&lt;1),RIGHT("00"&amp;HOUR(Sync!$Q984),2)&amp;RIGHT("00"&amp;MINUTE(Sync!$Q984),2),IFERROR(RIGHT("00"&amp;VALUE(LEFT(Sync!$Q984,FIND(":",Sync!$Q984)-1)),2)&amp;RIGHT("00"&amp;VALUE(MID(Sync!$Q984,FIND(":",Sync!$Q984)+1,2)),2),"0000"))))</f>
        <v/>
      </c>
      <c r="G987">
        <f>IF(OR($E987="",$E987="نامعتبر"),"",IF(Sync!$S984="","",Sync!$S984))</f>
        <v/>
      </c>
      <c r="H987">
        <f>IF(OR($E987="",$E987="نامعتبر"),"",IF(Sync!$R984="","",Sync!$R984))</f>
        <v/>
      </c>
      <c r="I987">
        <f>IF(OR($E987="",$E987="نامعتبر"),"",IF(Sync!$T984="","",Sync!$T984))</f>
        <v/>
      </c>
      <c r="J987">
        <f>IF(OR($E987="",$E987="نامعتبر"),"",IF(Sync!$U984="","",Sync!$U984))</f>
        <v/>
      </c>
      <c r="K987">
        <f>IF(OR($E987="",$E987="نامعتبر"),"",IF(Sync!$V984="","",IFERROR(INDEX(SubCodes,MATCH(Sync!$V984,SubTitles,0)),Sync!$V984)))</f>
        <v/>
      </c>
      <c r="L987">
        <f>IF(OR($E987="",$E987="نامعتبر"),"",IF(Sync!$W984="",0,Sync!$W984))</f>
        <v/>
      </c>
      <c r="M987">
        <f>IF(OR($E987="",$E987="نامعتبر"),"",IF(Sync!$X984="",0,Sync!$X984))</f>
        <v/>
      </c>
      <c r="N987">
        <f>IF(OR($E987="",$E987="نامعتبر"),"",IF(AND($J987="هزینه",$K987&lt;&gt;""),1,0))</f>
        <v/>
      </c>
      <c r="O987">
        <f>IF($N987=0,"",LEFT($E987,4)&amp;MID($E987,6,2)&amp;RIGHT($E987,2)&amp;$F987&amp;"|"&amp;"1"&amp;RIGHT("00000"&amp;979,5))</f>
        <v/>
      </c>
      <c r="P987">
        <f>IF($O987="","",COUNTIFS(ExpSub,$K987,ExpKey,"&lt;"&amp;$O987)+1)</f>
        <v/>
      </c>
      <c r="Q987">
        <f>IF($P987="","",$K987&amp;"|"&amp;RIGHT("000000"&amp;$P987,6))</f>
        <v/>
      </c>
    </row>
    <row r="988">
      <c r="A988">
        <f>IF(Sync!$P985="","",Sync!$P985)</f>
        <v/>
      </c>
      <c r="B988">
        <f>IF($A988="","",IF(ISNUMBER($A988),IF(AND($A988&gt;=10000101,$A988&lt;=99991231),INT($A988/10000),""),IFERROR(VALUE(TRIM(LEFT($A988,FIND("/",$A988)-1))),"")))</f>
        <v/>
      </c>
      <c r="C988">
        <f>IF(OR($A988="",$B988=""),"",IF(ISNUMBER($A988),INT(MOD($A988,10000)/100),IFERROR(VALUE(TRIM(LEFT(MID($A988,FIND("/",$A988)+1,20),FIND("/",MID($A988,FIND("/",$A988)+1,20))-1))),"")))</f>
        <v/>
      </c>
      <c r="D988">
        <f>IF(OR($A988="",$B988=""),"",IF(ISNUMBER($A988),MOD($A988,100),IFERROR(VALUE(TRIM(MID(MID($A988,FIND("/",$A988)+1,20),FIND("/",MID($A988,FIND("/",$A988)+1,20))+1,20))),"")))</f>
        <v/>
      </c>
      <c r="E988">
        <f>IF($A988="","",IF(OR($B988="",$C988="",$D988="",$B988&lt;1300,$B988&gt;1500,$C988&lt;1,$C988&gt;12,$D988&lt;1,$D988&gt;31),"نامعتبر",RIGHT("0000"&amp;$B988,4)&amp;"/"&amp;RIGHT("00"&amp;$C988,2)&amp;"/"&amp;RIGHT("00"&amp;$D988,2)))</f>
        <v/>
      </c>
      <c r="F988">
        <f>IF(OR($E988="",$E988="نامعتبر"),"",IF(Sync!$Q985="","0000",IF(AND(ISNUMBER(Sync!$Q985),Sync!$Q985&gt;=0,Sync!$Q985&lt;1),RIGHT("00"&amp;HOUR(Sync!$Q985),2)&amp;RIGHT("00"&amp;MINUTE(Sync!$Q985),2),IFERROR(RIGHT("00"&amp;VALUE(LEFT(Sync!$Q985,FIND(":",Sync!$Q985)-1)),2)&amp;RIGHT("00"&amp;VALUE(MID(Sync!$Q985,FIND(":",Sync!$Q985)+1,2)),2),"0000"))))</f>
        <v/>
      </c>
      <c r="G988">
        <f>IF(OR($E988="",$E988="نامعتبر"),"",IF(Sync!$S985="","",Sync!$S985))</f>
        <v/>
      </c>
      <c r="H988">
        <f>IF(OR($E988="",$E988="نامعتبر"),"",IF(Sync!$R985="","",Sync!$R985))</f>
        <v/>
      </c>
      <c r="I988">
        <f>IF(OR($E988="",$E988="نامعتبر"),"",IF(Sync!$T985="","",Sync!$T985))</f>
        <v/>
      </c>
      <c r="J988">
        <f>IF(OR($E988="",$E988="نامعتبر"),"",IF(Sync!$U985="","",Sync!$U985))</f>
        <v/>
      </c>
      <c r="K988">
        <f>IF(OR($E988="",$E988="نامعتبر"),"",IF(Sync!$V985="","",IFERROR(INDEX(SubCodes,MATCH(Sync!$V985,SubTitles,0)),Sync!$V985)))</f>
        <v/>
      </c>
      <c r="L988">
        <f>IF(OR($E988="",$E988="نامعتبر"),"",IF(Sync!$W985="",0,Sync!$W985))</f>
        <v/>
      </c>
      <c r="M988">
        <f>IF(OR($E988="",$E988="نامعتبر"),"",IF(Sync!$X985="",0,Sync!$X985))</f>
        <v/>
      </c>
      <c r="N988">
        <f>IF(OR($E988="",$E988="نامعتبر"),"",IF(AND($J988="هزینه",$K988&lt;&gt;""),1,0))</f>
        <v/>
      </c>
      <c r="O988">
        <f>IF($N988=0,"",LEFT($E988,4)&amp;MID($E988,6,2)&amp;RIGHT($E988,2)&amp;$F988&amp;"|"&amp;"1"&amp;RIGHT("00000"&amp;980,5))</f>
        <v/>
      </c>
      <c r="P988">
        <f>IF($O988="","",COUNTIFS(ExpSub,$K988,ExpKey,"&lt;"&amp;$O988)+1)</f>
        <v/>
      </c>
      <c r="Q988">
        <f>IF($P988="","",$K988&amp;"|"&amp;RIGHT("000000"&amp;$P988,6))</f>
        <v/>
      </c>
    </row>
    <row r="989">
      <c r="A989">
        <f>IF(Sync!$P986="","",Sync!$P986)</f>
        <v/>
      </c>
      <c r="B989">
        <f>IF($A989="","",IF(ISNUMBER($A989),IF(AND($A989&gt;=10000101,$A989&lt;=99991231),INT($A989/10000),""),IFERROR(VALUE(TRIM(LEFT($A989,FIND("/",$A989)-1))),"")))</f>
        <v/>
      </c>
      <c r="C989">
        <f>IF(OR($A989="",$B989=""),"",IF(ISNUMBER($A989),INT(MOD($A989,10000)/100),IFERROR(VALUE(TRIM(LEFT(MID($A989,FIND("/",$A989)+1,20),FIND("/",MID($A989,FIND("/",$A989)+1,20))-1))),"")))</f>
        <v/>
      </c>
      <c r="D989">
        <f>IF(OR($A989="",$B989=""),"",IF(ISNUMBER($A989),MOD($A989,100),IFERROR(VALUE(TRIM(MID(MID($A989,FIND("/",$A989)+1,20),FIND("/",MID($A989,FIND("/",$A989)+1,20))+1,20))),"")))</f>
        <v/>
      </c>
      <c r="E989">
        <f>IF($A989="","",IF(OR($B989="",$C989="",$D989="",$B989&lt;1300,$B989&gt;1500,$C989&lt;1,$C989&gt;12,$D989&lt;1,$D989&gt;31),"نامعتبر",RIGHT("0000"&amp;$B989,4)&amp;"/"&amp;RIGHT("00"&amp;$C989,2)&amp;"/"&amp;RIGHT("00"&amp;$D989,2)))</f>
        <v/>
      </c>
      <c r="F989">
        <f>IF(OR($E989="",$E989="نامعتبر"),"",IF(Sync!$Q986="","0000",IF(AND(ISNUMBER(Sync!$Q986),Sync!$Q986&gt;=0,Sync!$Q986&lt;1),RIGHT("00"&amp;HOUR(Sync!$Q986),2)&amp;RIGHT("00"&amp;MINUTE(Sync!$Q986),2),IFERROR(RIGHT("00"&amp;VALUE(LEFT(Sync!$Q986,FIND(":",Sync!$Q986)-1)),2)&amp;RIGHT("00"&amp;VALUE(MID(Sync!$Q986,FIND(":",Sync!$Q986)+1,2)),2),"0000"))))</f>
        <v/>
      </c>
      <c r="G989">
        <f>IF(OR($E989="",$E989="نامعتبر"),"",IF(Sync!$S986="","",Sync!$S986))</f>
        <v/>
      </c>
      <c r="H989">
        <f>IF(OR($E989="",$E989="نامعتبر"),"",IF(Sync!$R986="","",Sync!$R986))</f>
        <v/>
      </c>
      <c r="I989">
        <f>IF(OR($E989="",$E989="نامعتبر"),"",IF(Sync!$T986="","",Sync!$T986))</f>
        <v/>
      </c>
      <c r="J989">
        <f>IF(OR($E989="",$E989="نامعتبر"),"",IF(Sync!$U986="","",Sync!$U986))</f>
        <v/>
      </c>
      <c r="K989">
        <f>IF(OR($E989="",$E989="نامعتبر"),"",IF(Sync!$V986="","",IFERROR(INDEX(SubCodes,MATCH(Sync!$V986,SubTitles,0)),Sync!$V986)))</f>
        <v/>
      </c>
      <c r="L989">
        <f>IF(OR($E989="",$E989="نامعتبر"),"",IF(Sync!$W986="",0,Sync!$W986))</f>
        <v/>
      </c>
      <c r="M989">
        <f>IF(OR($E989="",$E989="نامعتبر"),"",IF(Sync!$X986="",0,Sync!$X986))</f>
        <v/>
      </c>
      <c r="N989">
        <f>IF(OR($E989="",$E989="نامعتبر"),"",IF(AND($J989="هزینه",$K989&lt;&gt;""),1,0))</f>
        <v/>
      </c>
      <c r="O989">
        <f>IF($N989=0,"",LEFT($E989,4)&amp;MID($E989,6,2)&amp;RIGHT($E989,2)&amp;$F989&amp;"|"&amp;"1"&amp;RIGHT("00000"&amp;981,5))</f>
        <v/>
      </c>
      <c r="P989">
        <f>IF($O989="","",COUNTIFS(ExpSub,$K989,ExpKey,"&lt;"&amp;$O989)+1)</f>
        <v/>
      </c>
      <c r="Q989">
        <f>IF($P989="","",$K989&amp;"|"&amp;RIGHT("000000"&amp;$P989,6))</f>
        <v/>
      </c>
    </row>
    <row r="990">
      <c r="A990">
        <f>IF(Sync!$P987="","",Sync!$P987)</f>
        <v/>
      </c>
      <c r="B990">
        <f>IF($A990="","",IF(ISNUMBER($A990),IF(AND($A990&gt;=10000101,$A990&lt;=99991231),INT($A990/10000),""),IFERROR(VALUE(TRIM(LEFT($A990,FIND("/",$A990)-1))),"")))</f>
        <v/>
      </c>
      <c r="C990">
        <f>IF(OR($A990="",$B990=""),"",IF(ISNUMBER($A990),INT(MOD($A990,10000)/100),IFERROR(VALUE(TRIM(LEFT(MID($A990,FIND("/",$A990)+1,20),FIND("/",MID($A990,FIND("/",$A990)+1,20))-1))),"")))</f>
        <v/>
      </c>
      <c r="D990">
        <f>IF(OR($A990="",$B990=""),"",IF(ISNUMBER($A990),MOD($A990,100),IFERROR(VALUE(TRIM(MID(MID($A990,FIND("/",$A990)+1,20),FIND("/",MID($A990,FIND("/",$A990)+1,20))+1,20))),"")))</f>
        <v/>
      </c>
      <c r="E990">
        <f>IF($A990="","",IF(OR($B990="",$C990="",$D990="",$B990&lt;1300,$B990&gt;1500,$C990&lt;1,$C990&gt;12,$D990&lt;1,$D990&gt;31),"نامعتبر",RIGHT("0000"&amp;$B990,4)&amp;"/"&amp;RIGHT("00"&amp;$C990,2)&amp;"/"&amp;RIGHT("00"&amp;$D990,2)))</f>
        <v/>
      </c>
      <c r="F990">
        <f>IF(OR($E990="",$E990="نامعتبر"),"",IF(Sync!$Q987="","0000",IF(AND(ISNUMBER(Sync!$Q987),Sync!$Q987&gt;=0,Sync!$Q987&lt;1),RIGHT("00"&amp;HOUR(Sync!$Q987),2)&amp;RIGHT("00"&amp;MINUTE(Sync!$Q987),2),IFERROR(RIGHT("00"&amp;VALUE(LEFT(Sync!$Q987,FIND(":",Sync!$Q987)-1)),2)&amp;RIGHT("00"&amp;VALUE(MID(Sync!$Q987,FIND(":",Sync!$Q987)+1,2)),2),"0000"))))</f>
        <v/>
      </c>
      <c r="G990">
        <f>IF(OR($E990="",$E990="نامعتبر"),"",IF(Sync!$S987="","",Sync!$S987))</f>
        <v/>
      </c>
      <c r="H990">
        <f>IF(OR($E990="",$E990="نامعتبر"),"",IF(Sync!$R987="","",Sync!$R987))</f>
        <v/>
      </c>
      <c r="I990">
        <f>IF(OR($E990="",$E990="نامعتبر"),"",IF(Sync!$T987="","",Sync!$T987))</f>
        <v/>
      </c>
      <c r="J990">
        <f>IF(OR($E990="",$E990="نامعتبر"),"",IF(Sync!$U987="","",Sync!$U987))</f>
        <v/>
      </c>
      <c r="K990">
        <f>IF(OR($E990="",$E990="نامعتبر"),"",IF(Sync!$V987="","",IFERROR(INDEX(SubCodes,MATCH(Sync!$V987,SubTitles,0)),Sync!$V987)))</f>
        <v/>
      </c>
      <c r="L990">
        <f>IF(OR($E990="",$E990="نامعتبر"),"",IF(Sync!$W987="",0,Sync!$W987))</f>
        <v/>
      </c>
      <c r="M990">
        <f>IF(OR($E990="",$E990="نامعتبر"),"",IF(Sync!$X987="",0,Sync!$X987))</f>
        <v/>
      </c>
      <c r="N990">
        <f>IF(OR($E990="",$E990="نامعتبر"),"",IF(AND($J990="هزینه",$K990&lt;&gt;""),1,0))</f>
        <v/>
      </c>
      <c r="O990">
        <f>IF($N990=0,"",LEFT($E990,4)&amp;MID($E990,6,2)&amp;RIGHT($E990,2)&amp;$F990&amp;"|"&amp;"1"&amp;RIGHT("00000"&amp;982,5))</f>
        <v/>
      </c>
      <c r="P990">
        <f>IF($O990="","",COUNTIFS(ExpSub,$K990,ExpKey,"&lt;"&amp;$O990)+1)</f>
        <v/>
      </c>
      <c r="Q990">
        <f>IF($P990="","",$K990&amp;"|"&amp;RIGHT("000000"&amp;$P990,6))</f>
        <v/>
      </c>
    </row>
    <row r="991">
      <c r="A991">
        <f>IF(Sync!$P988="","",Sync!$P988)</f>
        <v/>
      </c>
      <c r="B991">
        <f>IF($A991="","",IF(ISNUMBER($A991),IF(AND($A991&gt;=10000101,$A991&lt;=99991231),INT($A991/10000),""),IFERROR(VALUE(TRIM(LEFT($A991,FIND("/",$A991)-1))),"")))</f>
        <v/>
      </c>
      <c r="C991">
        <f>IF(OR($A991="",$B991=""),"",IF(ISNUMBER($A991),INT(MOD($A991,10000)/100),IFERROR(VALUE(TRIM(LEFT(MID($A991,FIND("/",$A991)+1,20),FIND("/",MID($A991,FIND("/",$A991)+1,20))-1))),"")))</f>
        <v/>
      </c>
      <c r="D991">
        <f>IF(OR($A991="",$B991=""),"",IF(ISNUMBER($A991),MOD($A991,100),IFERROR(VALUE(TRIM(MID(MID($A991,FIND("/",$A991)+1,20),FIND("/",MID($A991,FIND("/",$A991)+1,20))+1,20))),"")))</f>
        <v/>
      </c>
      <c r="E991">
        <f>IF($A991="","",IF(OR($B991="",$C991="",$D991="",$B991&lt;1300,$B991&gt;1500,$C991&lt;1,$C991&gt;12,$D991&lt;1,$D991&gt;31),"نامعتبر",RIGHT("0000"&amp;$B991,4)&amp;"/"&amp;RIGHT("00"&amp;$C991,2)&amp;"/"&amp;RIGHT("00"&amp;$D991,2)))</f>
        <v/>
      </c>
      <c r="F991">
        <f>IF(OR($E991="",$E991="نامعتبر"),"",IF(Sync!$Q988="","0000",IF(AND(ISNUMBER(Sync!$Q988),Sync!$Q988&gt;=0,Sync!$Q988&lt;1),RIGHT("00"&amp;HOUR(Sync!$Q988),2)&amp;RIGHT("00"&amp;MINUTE(Sync!$Q988),2),IFERROR(RIGHT("00"&amp;VALUE(LEFT(Sync!$Q988,FIND(":",Sync!$Q988)-1)),2)&amp;RIGHT("00"&amp;VALUE(MID(Sync!$Q988,FIND(":",Sync!$Q988)+1,2)),2),"0000"))))</f>
        <v/>
      </c>
      <c r="G991">
        <f>IF(OR($E991="",$E991="نامعتبر"),"",IF(Sync!$S988="","",Sync!$S988))</f>
        <v/>
      </c>
      <c r="H991">
        <f>IF(OR($E991="",$E991="نامعتبر"),"",IF(Sync!$R988="","",Sync!$R988))</f>
        <v/>
      </c>
      <c r="I991">
        <f>IF(OR($E991="",$E991="نامعتبر"),"",IF(Sync!$T988="","",Sync!$T988))</f>
        <v/>
      </c>
      <c r="J991">
        <f>IF(OR($E991="",$E991="نامعتبر"),"",IF(Sync!$U988="","",Sync!$U988))</f>
        <v/>
      </c>
      <c r="K991">
        <f>IF(OR($E991="",$E991="نامعتبر"),"",IF(Sync!$V988="","",IFERROR(INDEX(SubCodes,MATCH(Sync!$V988,SubTitles,0)),Sync!$V988)))</f>
        <v/>
      </c>
      <c r="L991">
        <f>IF(OR($E991="",$E991="نامعتبر"),"",IF(Sync!$W988="",0,Sync!$W988))</f>
        <v/>
      </c>
      <c r="M991">
        <f>IF(OR($E991="",$E991="نامعتبر"),"",IF(Sync!$X988="",0,Sync!$X988))</f>
        <v/>
      </c>
      <c r="N991">
        <f>IF(OR($E991="",$E991="نامعتبر"),"",IF(AND($J991="هزینه",$K991&lt;&gt;""),1,0))</f>
        <v/>
      </c>
      <c r="O991">
        <f>IF($N991=0,"",LEFT($E991,4)&amp;MID($E991,6,2)&amp;RIGHT($E991,2)&amp;$F991&amp;"|"&amp;"1"&amp;RIGHT("00000"&amp;983,5))</f>
        <v/>
      </c>
      <c r="P991">
        <f>IF($O991="","",COUNTIFS(ExpSub,$K991,ExpKey,"&lt;"&amp;$O991)+1)</f>
        <v/>
      </c>
      <c r="Q991">
        <f>IF($P991="","",$K991&amp;"|"&amp;RIGHT("000000"&amp;$P991,6))</f>
        <v/>
      </c>
    </row>
    <row r="992">
      <c r="A992">
        <f>IF(Sync!$P989="","",Sync!$P989)</f>
        <v/>
      </c>
      <c r="B992">
        <f>IF($A992="","",IF(ISNUMBER($A992),IF(AND($A992&gt;=10000101,$A992&lt;=99991231),INT($A992/10000),""),IFERROR(VALUE(TRIM(LEFT($A992,FIND("/",$A992)-1))),"")))</f>
        <v/>
      </c>
      <c r="C992">
        <f>IF(OR($A992="",$B992=""),"",IF(ISNUMBER($A992),INT(MOD($A992,10000)/100),IFERROR(VALUE(TRIM(LEFT(MID($A992,FIND("/",$A992)+1,20),FIND("/",MID($A992,FIND("/",$A992)+1,20))-1))),"")))</f>
        <v/>
      </c>
      <c r="D992">
        <f>IF(OR($A992="",$B992=""),"",IF(ISNUMBER($A992),MOD($A992,100),IFERROR(VALUE(TRIM(MID(MID($A992,FIND("/",$A992)+1,20),FIND("/",MID($A992,FIND("/",$A992)+1,20))+1,20))),"")))</f>
        <v/>
      </c>
      <c r="E992">
        <f>IF($A992="","",IF(OR($B992="",$C992="",$D992="",$B992&lt;1300,$B992&gt;1500,$C992&lt;1,$C992&gt;12,$D992&lt;1,$D992&gt;31),"نامعتبر",RIGHT("0000"&amp;$B992,4)&amp;"/"&amp;RIGHT("00"&amp;$C992,2)&amp;"/"&amp;RIGHT("00"&amp;$D992,2)))</f>
        <v/>
      </c>
      <c r="F992">
        <f>IF(OR($E992="",$E992="نامعتبر"),"",IF(Sync!$Q989="","0000",IF(AND(ISNUMBER(Sync!$Q989),Sync!$Q989&gt;=0,Sync!$Q989&lt;1),RIGHT("00"&amp;HOUR(Sync!$Q989),2)&amp;RIGHT("00"&amp;MINUTE(Sync!$Q989),2),IFERROR(RIGHT("00"&amp;VALUE(LEFT(Sync!$Q989,FIND(":",Sync!$Q989)-1)),2)&amp;RIGHT("00"&amp;VALUE(MID(Sync!$Q989,FIND(":",Sync!$Q989)+1,2)),2),"0000"))))</f>
        <v/>
      </c>
      <c r="G992">
        <f>IF(OR($E992="",$E992="نامعتبر"),"",IF(Sync!$S989="","",Sync!$S989))</f>
        <v/>
      </c>
      <c r="H992">
        <f>IF(OR($E992="",$E992="نامعتبر"),"",IF(Sync!$R989="","",Sync!$R989))</f>
        <v/>
      </c>
      <c r="I992">
        <f>IF(OR($E992="",$E992="نامعتبر"),"",IF(Sync!$T989="","",Sync!$T989))</f>
        <v/>
      </c>
      <c r="J992">
        <f>IF(OR($E992="",$E992="نامعتبر"),"",IF(Sync!$U989="","",Sync!$U989))</f>
        <v/>
      </c>
      <c r="K992">
        <f>IF(OR($E992="",$E992="نامعتبر"),"",IF(Sync!$V989="","",IFERROR(INDEX(SubCodes,MATCH(Sync!$V989,SubTitles,0)),Sync!$V989)))</f>
        <v/>
      </c>
      <c r="L992">
        <f>IF(OR($E992="",$E992="نامعتبر"),"",IF(Sync!$W989="",0,Sync!$W989))</f>
        <v/>
      </c>
      <c r="M992">
        <f>IF(OR($E992="",$E992="نامعتبر"),"",IF(Sync!$X989="",0,Sync!$X989))</f>
        <v/>
      </c>
      <c r="N992">
        <f>IF(OR($E992="",$E992="نامعتبر"),"",IF(AND($J992="هزینه",$K992&lt;&gt;""),1,0))</f>
        <v/>
      </c>
      <c r="O992">
        <f>IF($N992=0,"",LEFT($E992,4)&amp;MID($E992,6,2)&amp;RIGHT($E992,2)&amp;$F992&amp;"|"&amp;"1"&amp;RIGHT("00000"&amp;984,5))</f>
        <v/>
      </c>
      <c r="P992">
        <f>IF($O992="","",COUNTIFS(ExpSub,$K992,ExpKey,"&lt;"&amp;$O992)+1)</f>
        <v/>
      </c>
      <c r="Q992">
        <f>IF($P992="","",$K992&amp;"|"&amp;RIGHT("000000"&amp;$P992,6))</f>
        <v/>
      </c>
    </row>
    <row r="993">
      <c r="A993">
        <f>IF(Sync!$P990="","",Sync!$P990)</f>
        <v/>
      </c>
      <c r="B993">
        <f>IF($A993="","",IF(ISNUMBER($A993),IF(AND($A993&gt;=10000101,$A993&lt;=99991231),INT($A993/10000),""),IFERROR(VALUE(TRIM(LEFT($A993,FIND("/",$A993)-1))),"")))</f>
        <v/>
      </c>
      <c r="C993">
        <f>IF(OR($A993="",$B993=""),"",IF(ISNUMBER($A993),INT(MOD($A993,10000)/100),IFERROR(VALUE(TRIM(LEFT(MID($A993,FIND("/",$A993)+1,20),FIND("/",MID($A993,FIND("/",$A993)+1,20))-1))),"")))</f>
        <v/>
      </c>
      <c r="D993">
        <f>IF(OR($A993="",$B993=""),"",IF(ISNUMBER($A993),MOD($A993,100),IFERROR(VALUE(TRIM(MID(MID($A993,FIND("/",$A993)+1,20),FIND("/",MID($A993,FIND("/",$A993)+1,20))+1,20))),"")))</f>
        <v/>
      </c>
      <c r="E993">
        <f>IF($A993="","",IF(OR($B993="",$C993="",$D993="",$B993&lt;1300,$B993&gt;1500,$C993&lt;1,$C993&gt;12,$D993&lt;1,$D993&gt;31),"نامعتبر",RIGHT("0000"&amp;$B993,4)&amp;"/"&amp;RIGHT("00"&amp;$C993,2)&amp;"/"&amp;RIGHT("00"&amp;$D993,2)))</f>
        <v/>
      </c>
      <c r="F993">
        <f>IF(OR($E993="",$E993="نامعتبر"),"",IF(Sync!$Q990="","0000",IF(AND(ISNUMBER(Sync!$Q990),Sync!$Q990&gt;=0,Sync!$Q990&lt;1),RIGHT("00"&amp;HOUR(Sync!$Q990),2)&amp;RIGHT("00"&amp;MINUTE(Sync!$Q990),2),IFERROR(RIGHT("00"&amp;VALUE(LEFT(Sync!$Q990,FIND(":",Sync!$Q990)-1)),2)&amp;RIGHT("00"&amp;VALUE(MID(Sync!$Q990,FIND(":",Sync!$Q990)+1,2)),2),"0000"))))</f>
        <v/>
      </c>
      <c r="G993">
        <f>IF(OR($E993="",$E993="نامعتبر"),"",IF(Sync!$S990="","",Sync!$S990))</f>
        <v/>
      </c>
      <c r="H993">
        <f>IF(OR($E993="",$E993="نامعتبر"),"",IF(Sync!$R990="","",Sync!$R990))</f>
        <v/>
      </c>
      <c r="I993">
        <f>IF(OR($E993="",$E993="نامعتبر"),"",IF(Sync!$T990="","",Sync!$T990))</f>
        <v/>
      </c>
      <c r="J993">
        <f>IF(OR($E993="",$E993="نامعتبر"),"",IF(Sync!$U990="","",Sync!$U990))</f>
        <v/>
      </c>
      <c r="K993">
        <f>IF(OR($E993="",$E993="نامعتبر"),"",IF(Sync!$V990="","",IFERROR(INDEX(SubCodes,MATCH(Sync!$V990,SubTitles,0)),Sync!$V990)))</f>
        <v/>
      </c>
      <c r="L993">
        <f>IF(OR($E993="",$E993="نامعتبر"),"",IF(Sync!$W990="",0,Sync!$W990))</f>
        <v/>
      </c>
      <c r="M993">
        <f>IF(OR($E993="",$E993="نامعتبر"),"",IF(Sync!$X990="",0,Sync!$X990))</f>
        <v/>
      </c>
      <c r="N993">
        <f>IF(OR($E993="",$E993="نامعتبر"),"",IF(AND($J993="هزینه",$K993&lt;&gt;""),1,0))</f>
        <v/>
      </c>
      <c r="O993">
        <f>IF($N993=0,"",LEFT($E993,4)&amp;MID($E993,6,2)&amp;RIGHT($E993,2)&amp;$F993&amp;"|"&amp;"1"&amp;RIGHT("00000"&amp;985,5))</f>
        <v/>
      </c>
      <c r="P993">
        <f>IF($O993="","",COUNTIFS(ExpSub,$K993,ExpKey,"&lt;"&amp;$O993)+1)</f>
        <v/>
      </c>
      <c r="Q993">
        <f>IF($P993="","",$K993&amp;"|"&amp;RIGHT("000000"&amp;$P993,6))</f>
        <v/>
      </c>
    </row>
    <row r="994">
      <c r="A994">
        <f>IF(Sync!$P991="","",Sync!$P991)</f>
        <v/>
      </c>
      <c r="B994">
        <f>IF($A994="","",IF(ISNUMBER($A994),IF(AND($A994&gt;=10000101,$A994&lt;=99991231),INT($A994/10000),""),IFERROR(VALUE(TRIM(LEFT($A994,FIND("/",$A994)-1))),"")))</f>
        <v/>
      </c>
      <c r="C994">
        <f>IF(OR($A994="",$B994=""),"",IF(ISNUMBER($A994),INT(MOD($A994,10000)/100),IFERROR(VALUE(TRIM(LEFT(MID($A994,FIND("/",$A994)+1,20),FIND("/",MID($A994,FIND("/",$A994)+1,20))-1))),"")))</f>
        <v/>
      </c>
      <c r="D994">
        <f>IF(OR($A994="",$B994=""),"",IF(ISNUMBER($A994),MOD($A994,100),IFERROR(VALUE(TRIM(MID(MID($A994,FIND("/",$A994)+1,20),FIND("/",MID($A994,FIND("/",$A994)+1,20))+1,20))),"")))</f>
        <v/>
      </c>
      <c r="E994">
        <f>IF($A994="","",IF(OR($B994="",$C994="",$D994="",$B994&lt;1300,$B994&gt;1500,$C994&lt;1,$C994&gt;12,$D994&lt;1,$D994&gt;31),"نامعتبر",RIGHT("0000"&amp;$B994,4)&amp;"/"&amp;RIGHT("00"&amp;$C994,2)&amp;"/"&amp;RIGHT("00"&amp;$D994,2)))</f>
        <v/>
      </c>
      <c r="F994">
        <f>IF(OR($E994="",$E994="نامعتبر"),"",IF(Sync!$Q991="","0000",IF(AND(ISNUMBER(Sync!$Q991),Sync!$Q991&gt;=0,Sync!$Q991&lt;1),RIGHT("00"&amp;HOUR(Sync!$Q991),2)&amp;RIGHT("00"&amp;MINUTE(Sync!$Q991),2),IFERROR(RIGHT("00"&amp;VALUE(LEFT(Sync!$Q991,FIND(":",Sync!$Q991)-1)),2)&amp;RIGHT("00"&amp;VALUE(MID(Sync!$Q991,FIND(":",Sync!$Q991)+1,2)),2),"0000"))))</f>
        <v/>
      </c>
      <c r="G994">
        <f>IF(OR($E994="",$E994="نامعتبر"),"",IF(Sync!$S991="","",Sync!$S991))</f>
        <v/>
      </c>
      <c r="H994">
        <f>IF(OR($E994="",$E994="نامعتبر"),"",IF(Sync!$R991="","",Sync!$R991))</f>
        <v/>
      </c>
      <c r="I994">
        <f>IF(OR($E994="",$E994="نامعتبر"),"",IF(Sync!$T991="","",Sync!$T991))</f>
        <v/>
      </c>
      <c r="J994">
        <f>IF(OR($E994="",$E994="نامعتبر"),"",IF(Sync!$U991="","",Sync!$U991))</f>
        <v/>
      </c>
      <c r="K994">
        <f>IF(OR($E994="",$E994="نامعتبر"),"",IF(Sync!$V991="","",IFERROR(INDEX(SubCodes,MATCH(Sync!$V991,SubTitles,0)),Sync!$V991)))</f>
        <v/>
      </c>
      <c r="L994">
        <f>IF(OR($E994="",$E994="نامعتبر"),"",IF(Sync!$W991="",0,Sync!$W991))</f>
        <v/>
      </c>
      <c r="M994">
        <f>IF(OR($E994="",$E994="نامعتبر"),"",IF(Sync!$X991="",0,Sync!$X991))</f>
        <v/>
      </c>
      <c r="N994">
        <f>IF(OR($E994="",$E994="نامعتبر"),"",IF(AND($J994="هزینه",$K994&lt;&gt;""),1,0))</f>
        <v/>
      </c>
      <c r="O994">
        <f>IF($N994=0,"",LEFT($E994,4)&amp;MID($E994,6,2)&amp;RIGHT($E994,2)&amp;$F994&amp;"|"&amp;"1"&amp;RIGHT("00000"&amp;986,5))</f>
        <v/>
      </c>
      <c r="P994">
        <f>IF($O994="","",COUNTIFS(ExpSub,$K994,ExpKey,"&lt;"&amp;$O994)+1)</f>
        <v/>
      </c>
      <c r="Q994">
        <f>IF($P994="","",$K994&amp;"|"&amp;RIGHT("000000"&amp;$P994,6))</f>
        <v/>
      </c>
    </row>
    <row r="995">
      <c r="A995">
        <f>IF(Sync!$P992="","",Sync!$P992)</f>
        <v/>
      </c>
      <c r="B995">
        <f>IF($A995="","",IF(ISNUMBER($A995),IF(AND($A995&gt;=10000101,$A995&lt;=99991231),INT($A995/10000),""),IFERROR(VALUE(TRIM(LEFT($A995,FIND("/",$A995)-1))),"")))</f>
        <v/>
      </c>
      <c r="C995">
        <f>IF(OR($A995="",$B995=""),"",IF(ISNUMBER($A995),INT(MOD($A995,10000)/100),IFERROR(VALUE(TRIM(LEFT(MID($A995,FIND("/",$A995)+1,20),FIND("/",MID($A995,FIND("/",$A995)+1,20))-1))),"")))</f>
        <v/>
      </c>
      <c r="D995">
        <f>IF(OR($A995="",$B995=""),"",IF(ISNUMBER($A995),MOD($A995,100),IFERROR(VALUE(TRIM(MID(MID($A995,FIND("/",$A995)+1,20),FIND("/",MID($A995,FIND("/",$A995)+1,20))+1,20))),"")))</f>
        <v/>
      </c>
      <c r="E995">
        <f>IF($A995="","",IF(OR($B995="",$C995="",$D995="",$B995&lt;1300,$B995&gt;1500,$C995&lt;1,$C995&gt;12,$D995&lt;1,$D995&gt;31),"نامعتبر",RIGHT("0000"&amp;$B995,4)&amp;"/"&amp;RIGHT("00"&amp;$C995,2)&amp;"/"&amp;RIGHT("00"&amp;$D995,2)))</f>
        <v/>
      </c>
      <c r="F995">
        <f>IF(OR($E995="",$E995="نامعتبر"),"",IF(Sync!$Q992="","0000",IF(AND(ISNUMBER(Sync!$Q992),Sync!$Q992&gt;=0,Sync!$Q992&lt;1),RIGHT("00"&amp;HOUR(Sync!$Q992),2)&amp;RIGHT("00"&amp;MINUTE(Sync!$Q992),2),IFERROR(RIGHT("00"&amp;VALUE(LEFT(Sync!$Q992,FIND(":",Sync!$Q992)-1)),2)&amp;RIGHT("00"&amp;VALUE(MID(Sync!$Q992,FIND(":",Sync!$Q992)+1,2)),2),"0000"))))</f>
        <v/>
      </c>
      <c r="G995">
        <f>IF(OR($E995="",$E995="نامعتبر"),"",IF(Sync!$S992="","",Sync!$S992))</f>
        <v/>
      </c>
      <c r="H995">
        <f>IF(OR($E995="",$E995="نامعتبر"),"",IF(Sync!$R992="","",Sync!$R992))</f>
        <v/>
      </c>
      <c r="I995">
        <f>IF(OR($E995="",$E995="نامعتبر"),"",IF(Sync!$T992="","",Sync!$T992))</f>
        <v/>
      </c>
      <c r="J995">
        <f>IF(OR($E995="",$E995="نامعتبر"),"",IF(Sync!$U992="","",Sync!$U992))</f>
        <v/>
      </c>
      <c r="K995">
        <f>IF(OR($E995="",$E995="نامعتبر"),"",IF(Sync!$V992="","",IFERROR(INDEX(SubCodes,MATCH(Sync!$V992,SubTitles,0)),Sync!$V992)))</f>
        <v/>
      </c>
      <c r="L995">
        <f>IF(OR($E995="",$E995="نامعتبر"),"",IF(Sync!$W992="",0,Sync!$W992))</f>
        <v/>
      </c>
      <c r="M995">
        <f>IF(OR($E995="",$E995="نامعتبر"),"",IF(Sync!$X992="",0,Sync!$X992))</f>
        <v/>
      </c>
      <c r="N995">
        <f>IF(OR($E995="",$E995="نامعتبر"),"",IF(AND($J995="هزینه",$K995&lt;&gt;""),1,0))</f>
        <v/>
      </c>
      <c r="O995">
        <f>IF($N995=0,"",LEFT($E995,4)&amp;MID($E995,6,2)&amp;RIGHT($E995,2)&amp;$F995&amp;"|"&amp;"1"&amp;RIGHT("00000"&amp;987,5))</f>
        <v/>
      </c>
      <c r="P995">
        <f>IF($O995="","",COUNTIFS(ExpSub,$K995,ExpKey,"&lt;"&amp;$O995)+1)</f>
        <v/>
      </c>
      <c r="Q995">
        <f>IF($P995="","",$K995&amp;"|"&amp;RIGHT("000000"&amp;$P995,6))</f>
        <v/>
      </c>
    </row>
    <row r="996">
      <c r="A996">
        <f>IF(Sync!$P993="","",Sync!$P993)</f>
        <v/>
      </c>
      <c r="B996">
        <f>IF($A996="","",IF(ISNUMBER($A996),IF(AND($A996&gt;=10000101,$A996&lt;=99991231),INT($A996/10000),""),IFERROR(VALUE(TRIM(LEFT($A996,FIND("/",$A996)-1))),"")))</f>
        <v/>
      </c>
      <c r="C996">
        <f>IF(OR($A996="",$B996=""),"",IF(ISNUMBER($A996),INT(MOD($A996,10000)/100),IFERROR(VALUE(TRIM(LEFT(MID($A996,FIND("/",$A996)+1,20),FIND("/",MID($A996,FIND("/",$A996)+1,20))-1))),"")))</f>
        <v/>
      </c>
      <c r="D996">
        <f>IF(OR($A996="",$B996=""),"",IF(ISNUMBER($A996),MOD($A996,100),IFERROR(VALUE(TRIM(MID(MID($A996,FIND("/",$A996)+1,20),FIND("/",MID($A996,FIND("/",$A996)+1,20))+1,20))),"")))</f>
        <v/>
      </c>
      <c r="E996">
        <f>IF($A996="","",IF(OR($B996="",$C996="",$D996="",$B996&lt;1300,$B996&gt;1500,$C996&lt;1,$C996&gt;12,$D996&lt;1,$D996&gt;31),"نامعتبر",RIGHT("0000"&amp;$B996,4)&amp;"/"&amp;RIGHT("00"&amp;$C996,2)&amp;"/"&amp;RIGHT("00"&amp;$D996,2)))</f>
        <v/>
      </c>
      <c r="F996">
        <f>IF(OR($E996="",$E996="نامعتبر"),"",IF(Sync!$Q993="","0000",IF(AND(ISNUMBER(Sync!$Q993),Sync!$Q993&gt;=0,Sync!$Q993&lt;1),RIGHT("00"&amp;HOUR(Sync!$Q993),2)&amp;RIGHT("00"&amp;MINUTE(Sync!$Q993),2),IFERROR(RIGHT("00"&amp;VALUE(LEFT(Sync!$Q993,FIND(":",Sync!$Q993)-1)),2)&amp;RIGHT("00"&amp;VALUE(MID(Sync!$Q993,FIND(":",Sync!$Q993)+1,2)),2),"0000"))))</f>
        <v/>
      </c>
      <c r="G996">
        <f>IF(OR($E996="",$E996="نامعتبر"),"",IF(Sync!$S993="","",Sync!$S993))</f>
        <v/>
      </c>
      <c r="H996">
        <f>IF(OR($E996="",$E996="نامعتبر"),"",IF(Sync!$R993="","",Sync!$R993))</f>
        <v/>
      </c>
      <c r="I996">
        <f>IF(OR($E996="",$E996="نامعتبر"),"",IF(Sync!$T993="","",Sync!$T993))</f>
        <v/>
      </c>
      <c r="J996">
        <f>IF(OR($E996="",$E996="نامعتبر"),"",IF(Sync!$U993="","",Sync!$U993))</f>
        <v/>
      </c>
      <c r="K996">
        <f>IF(OR($E996="",$E996="نامعتبر"),"",IF(Sync!$V993="","",IFERROR(INDEX(SubCodes,MATCH(Sync!$V993,SubTitles,0)),Sync!$V993)))</f>
        <v/>
      </c>
      <c r="L996">
        <f>IF(OR($E996="",$E996="نامعتبر"),"",IF(Sync!$W993="",0,Sync!$W993))</f>
        <v/>
      </c>
      <c r="M996">
        <f>IF(OR($E996="",$E996="نامعتبر"),"",IF(Sync!$X993="",0,Sync!$X993))</f>
        <v/>
      </c>
      <c r="N996">
        <f>IF(OR($E996="",$E996="نامعتبر"),"",IF(AND($J996="هزینه",$K996&lt;&gt;""),1,0))</f>
        <v/>
      </c>
      <c r="O996">
        <f>IF($N996=0,"",LEFT($E996,4)&amp;MID($E996,6,2)&amp;RIGHT($E996,2)&amp;$F996&amp;"|"&amp;"1"&amp;RIGHT("00000"&amp;988,5))</f>
        <v/>
      </c>
      <c r="P996">
        <f>IF($O996="","",COUNTIFS(ExpSub,$K996,ExpKey,"&lt;"&amp;$O996)+1)</f>
        <v/>
      </c>
      <c r="Q996">
        <f>IF($P996="","",$K996&amp;"|"&amp;RIGHT("000000"&amp;$P996,6))</f>
        <v/>
      </c>
    </row>
    <row r="997">
      <c r="A997">
        <f>IF(Sync!$P994="","",Sync!$P994)</f>
        <v/>
      </c>
      <c r="B997">
        <f>IF($A997="","",IF(ISNUMBER($A997),IF(AND($A997&gt;=10000101,$A997&lt;=99991231),INT($A997/10000),""),IFERROR(VALUE(TRIM(LEFT($A997,FIND("/",$A997)-1))),"")))</f>
        <v/>
      </c>
      <c r="C997">
        <f>IF(OR($A997="",$B997=""),"",IF(ISNUMBER($A997),INT(MOD($A997,10000)/100),IFERROR(VALUE(TRIM(LEFT(MID($A997,FIND("/",$A997)+1,20),FIND("/",MID($A997,FIND("/",$A997)+1,20))-1))),"")))</f>
        <v/>
      </c>
      <c r="D997">
        <f>IF(OR($A997="",$B997=""),"",IF(ISNUMBER($A997),MOD($A997,100),IFERROR(VALUE(TRIM(MID(MID($A997,FIND("/",$A997)+1,20),FIND("/",MID($A997,FIND("/",$A997)+1,20))+1,20))),"")))</f>
        <v/>
      </c>
      <c r="E997">
        <f>IF($A997="","",IF(OR($B997="",$C997="",$D997="",$B997&lt;1300,$B997&gt;1500,$C997&lt;1,$C997&gt;12,$D997&lt;1,$D997&gt;31),"نامعتبر",RIGHT("0000"&amp;$B997,4)&amp;"/"&amp;RIGHT("00"&amp;$C997,2)&amp;"/"&amp;RIGHT("00"&amp;$D997,2)))</f>
        <v/>
      </c>
      <c r="F997">
        <f>IF(OR($E997="",$E997="نامعتبر"),"",IF(Sync!$Q994="","0000",IF(AND(ISNUMBER(Sync!$Q994),Sync!$Q994&gt;=0,Sync!$Q994&lt;1),RIGHT("00"&amp;HOUR(Sync!$Q994),2)&amp;RIGHT("00"&amp;MINUTE(Sync!$Q994),2),IFERROR(RIGHT("00"&amp;VALUE(LEFT(Sync!$Q994,FIND(":",Sync!$Q994)-1)),2)&amp;RIGHT("00"&amp;VALUE(MID(Sync!$Q994,FIND(":",Sync!$Q994)+1,2)),2),"0000"))))</f>
        <v/>
      </c>
      <c r="G997">
        <f>IF(OR($E997="",$E997="نامعتبر"),"",IF(Sync!$S994="","",Sync!$S994))</f>
        <v/>
      </c>
      <c r="H997">
        <f>IF(OR($E997="",$E997="نامعتبر"),"",IF(Sync!$R994="","",Sync!$R994))</f>
        <v/>
      </c>
      <c r="I997">
        <f>IF(OR($E997="",$E997="نامعتبر"),"",IF(Sync!$T994="","",Sync!$T994))</f>
        <v/>
      </c>
      <c r="J997">
        <f>IF(OR($E997="",$E997="نامعتبر"),"",IF(Sync!$U994="","",Sync!$U994))</f>
        <v/>
      </c>
      <c r="K997">
        <f>IF(OR($E997="",$E997="نامعتبر"),"",IF(Sync!$V994="","",IFERROR(INDEX(SubCodes,MATCH(Sync!$V994,SubTitles,0)),Sync!$V994)))</f>
        <v/>
      </c>
      <c r="L997">
        <f>IF(OR($E997="",$E997="نامعتبر"),"",IF(Sync!$W994="",0,Sync!$W994))</f>
        <v/>
      </c>
      <c r="M997">
        <f>IF(OR($E997="",$E997="نامعتبر"),"",IF(Sync!$X994="",0,Sync!$X994))</f>
        <v/>
      </c>
      <c r="N997">
        <f>IF(OR($E997="",$E997="نامعتبر"),"",IF(AND($J997="هزینه",$K997&lt;&gt;""),1,0))</f>
        <v/>
      </c>
      <c r="O997">
        <f>IF($N997=0,"",LEFT($E997,4)&amp;MID($E997,6,2)&amp;RIGHT($E997,2)&amp;$F997&amp;"|"&amp;"1"&amp;RIGHT("00000"&amp;989,5))</f>
        <v/>
      </c>
      <c r="P997">
        <f>IF($O997="","",COUNTIFS(ExpSub,$K997,ExpKey,"&lt;"&amp;$O997)+1)</f>
        <v/>
      </c>
      <c r="Q997">
        <f>IF($P997="","",$K997&amp;"|"&amp;RIGHT("000000"&amp;$P997,6))</f>
        <v/>
      </c>
    </row>
    <row r="998">
      <c r="A998">
        <f>IF(Sync!$P995="","",Sync!$P995)</f>
        <v/>
      </c>
      <c r="B998">
        <f>IF($A998="","",IF(ISNUMBER($A998),IF(AND($A998&gt;=10000101,$A998&lt;=99991231),INT($A998/10000),""),IFERROR(VALUE(TRIM(LEFT($A998,FIND("/",$A998)-1))),"")))</f>
        <v/>
      </c>
      <c r="C998">
        <f>IF(OR($A998="",$B998=""),"",IF(ISNUMBER($A998),INT(MOD($A998,10000)/100),IFERROR(VALUE(TRIM(LEFT(MID($A998,FIND("/",$A998)+1,20),FIND("/",MID($A998,FIND("/",$A998)+1,20))-1))),"")))</f>
        <v/>
      </c>
      <c r="D998">
        <f>IF(OR($A998="",$B998=""),"",IF(ISNUMBER($A998),MOD($A998,100),IFERROR(VALUE(TRIM(MID(MID($A998,FIND("/",$A998)+1,20),FIND("/",MID($A998,FIND("/",$A998)+1,20))+1,20))),"")))</f>
        <v/>
      </c>
      <c r="E998">
        <f>IF($A998="","",IF(OR($B998="",$C998="",$D998="",$B998&lt;1300,$B998&gt;1500,$C998&lt;1,$C998&gt;12,$D998&lt;1,$D998&gt;31),"نامعتبر",RIGHT("0000"&amp;$B998,4)&amp;"/"&amp;RIGHT("00"&amp;$C998,2)&amp;"/"&amp;RIGHT("00"&amp;$D998,2)))</f>
        <v/>
      </c>
      <c r="F998">
        <f>IF(OR($E998="",$E998="نامعتبر"),"",IF(Sync!$Q995="","0000",IF(AND(ISNUMBER(Sync!$Q995),Sync!$Q995&gt;=0,Sync!$Q995&lt;1),RIGHT("00"&amp;HOUR(Sync!$Q995),2)&amp;RIGHT("00"&amp;MINUTE(Sync!$Q995),2),IFERROR(RIGHT("00"&amp;VALUE(LEFT(Sync!$Q995,FIND(":",Sync!$Q995)-1)),2)&amp;RIGHT("00"&amp;VALUE(MID(Sync!$Q995,FIND(":",Sync!$Q995)+1,2)),2),"0000"))))</f>
        <v/>
      </c>
      <c r="G998">
        <f>IF(OR($E998="",$E998="نامعتبر"),"",IF(Sync!$S995="","",Sync!$S995))</f>
        <v/>
      </c>
      <c r="H998">
        <f>IF(OR($E998="",$E998="نامعتبر"),"",IF(Sync!$R995="","",Sync!$R995))</f>
        <v/>
      </c>
      <c r="I998">
        <f>IF(OR($E998="",$E998="نامعتبر"),"",IF(Sync!$T995="","",Sync!$T995))</f>
        <v/>
      </c>
      <c r="J998">
        <f>IF(OR($E998="",$E998="نامعتبر"),"",IF(Sync!$U995="","",Sync!$U995))</f>
        <v/>
      </c>
      <c r="K998">
        <f>IF(OR($E998="",$E998="نامعتبر"),"",IF(Sync!$V995="","",IFERROR(INDEX(SubCodes,MATCH(Sync!$V995,SubTitles,0)),Sync!$V995)))</f>
        <v/>
      </c>
      <c r="L998">
        <f>IF(OR($E998="",$E998="نامعتبر"),"",IF(Sync!$W995="",0,Sync!$W995))</f>
        <v/>
      </c>
      <c r="M998">
        <f>IF(OR($E998="",$E998="نامعتبر"),"",IF(Sync!$X995="",0,Sync!$X995))</f>
        <v/>
      </c>
      <c r="N998">
        <f>IF(OR($E998="",$E998="نامعتبر"),"",IF(AND($J998="هزینه",$K998&lt;&gt;""),1,0))</f>
        <v/>
      </c>
      <c r="O998">
        <f>IF($N998=0,"",LEFT($E998,4)&amp;MID($E998,6,2)&amp;RIGHT($E998,2)&amp;$F998&amp;"|"&amp;"1"&amp;RIGHT("00000"&amp;990,5))</f>
        <v/>
      </c>
      <c r="P998">
        <f>IF($O998="","",COUNTIFS(ExpSub,$K998,ExpKey,"&lt;"&amp;$O998)+1)</f>
        <v/>
      </c>
      <c r="Q998">
        <f>IF($P998="","",$K998&amp;"|"&amp;RIGHT("000000"&amp;$P998,6))</f>
        <v/>
      </c>
    </row>
    <row r="999">
      <c r="A999">
        <f>IF(Sync!$P996="","",Sync!$P996)</f>
        <v/>
      </c>
      <c r="B999">
        <f>IF($A999="","",IF(ISNUMBER($A999),IF(AND($A999&gt;=10000101,$A999&lt;=99991231),INT($A999/10000),""),IFERROR(VALUE(TRIM(LEFT($A999,FIND("/",$A999)-1))),"")))</f>
        <v/>
      </c>
      <c r="C999">
        <f>IF(OR($A999="",$B999=""),"",IF(ISNUMBER($A999),INT(MOD($A999,10000)/100),IFERROR(VALUE(TRIM(LEFT(MID($A999,FIND("/",$A999)+1,20),FIND("/",MID($A999,FIND("/",$A999)+1,20))-1))),"")))</f>
        <v/>
      </c>
      <c r="D999">
        <f>IF(OR($A999="",$B999=""),"",IF(ISNUMBER($A999),MOD($A999,100),IFERROR(VALUE(TRIM(MID(MID($A999,FIND("/",$A999)+1,20),FIND("/",MID($A999,FIND("/",$A999)+1,20))+1,20))),"")))</f>
        <v/>
      </c>
      <c r="E999">
        <f>IF($A999="","",IF(OR($B999="",$C999="",$D999="",$B999&lt;1300,$B999&gt;1500,$C999&lt;1,$C999&gt;12,$D999&lt;1,$D999&gt;31),"نامعتبر",RIGHT("0000"&amp;$B999,4)&amp;"/"&amp;RIGHT("00"&amp;$C999,2)&amp;"/"&amp;RIGHT("00"&amp;$D999,2)))</f>
        <v/>
      </c>
      <c r="F999">
        <f>IF(OR($E999="",$E999="نامعتبر"),"",IF(Sync!$Q996="","0000",IF(AND(ISNUMBER(Sync!$Q996),Sync!$Q996&gt;=0,Sync!$Q996&lt;1),RIGHT("00"&amp;HOUR(Sync!$Q996),2)&amp;RIGHT("00"&amp;MINUTE(Sync!$Q996),2),IFERROR(RIGHT("00"&amp;VALUE(LEFT(Sync!$Q996,FIND(":",Sync!$Q996)-1)),2)&amp;RIGHT("00"&amp;VALUE(MID(Sync!$Q996,FIND(":",Sync!$Q996)+1,2)),2),"0000"))))</f>
        <v/>
      </c>
      <c r="G999">
        <f>IF(OR($E999="",$E999="نامعتبر"),"",IF(Sync!$S996="","",Sync!$S996))</f>
        <v/>
      </c>
      <c r="H999">
        <f>IF(OR($E999="",$E999="نامعتبر"),"",IF(Sync!$R996="","",Sync!$R996))</f>
        <v/>
      </c>
      <c r="I999">
        <f>IF(OR($E999="",$E999="نامعتبر"),"",IF(Sync!$T996="","",Sync!$T996))</f>
        <v/>
      </c>
      <c r="J999">
        <f>IF(OR($E999="",$E999="نامعتبر"),"",IF(Sync!$U996="","",Sync!$U996))</f>
        <v/>
      </c>
      <c r="K999">
        <f>IF(OR($E999="",$E999="نامعتبر"),"",IF(Sync!$V996="","",IFERROR(INDEX(SubCodes,MATCH(Sync!$V996,SubTitles,0)),Sync!$V996)))</f>
        <v/>
      </c>
      <c r="L999">
        <f>IF(OR($E999="",$E999="نامعتبر"),"",IF(Sync!$W996="",0,Sync!$W996))</f>
        <v/>
      </c>
      <c r="M999">
        <f>IF(OR($E999="",$E999="نامعتبر"),"",IF(Sync!$X996="",0,Sync!$X996))</f>
        <v/>
      </c>
      <c r="N999">
        <f>IF(OR($E999="",$E999="نامعتبر"),"",IF(AND($J999="هزینه",$K999&lt;&gt;""),1,0))</f>
        <v/>
      </c>
      <c r="O999">
        <f>IF($N999=0,"",LEFT($E999,4)&amp;MID($E999,6,2)&amp;RIGHT($E999,2)&amp;$F999&amp;"|"&amp;"1"&amp;RIGHT("00000"&amp;991,5))</f>
        <v/>
      </c>
      <c r="P999">
        <f>IF($O999="","",COUNTIFS(ExpSub,$K999,ExpKey,"&lt;"&amp;$O999)+1)</f>
        <v/>
      </c>
      <c r="Q999">
        <f>IF($P999="","",$K999&amp;"|"&amp;RIGHT("000000"&amp;$P999,6))</f>
        <v/>
      </c>
    </row>
    <row r="1000">
      <c r="A1000">
        <f>IF(Sync!$P997="","",Sync!$P997)</f>
        <v/>
      </c>
      <c r="B1000">
        <f>IF($A1000="","",IF(ISNUMBER($A1000),IF(AND($A1000&gt;=10000101,$A1000&lt;=99991231),INT($A1000/10000),""),IFERROR(VALUE(TRIM(LEFT($A1000,FIND("/",$A1000)-1))),"")))</f>
        <v/>
      </c>
      <c r="C1000">
        <f>IF(OR($A1000="",$B1000=""),"",IF(ISNUMBER($A1000),INT(MOD($A1000,10000)/100),IFERROR(VALUE(TRIM(LEFT(MID($A1000,FIND("/",$A1000)+1,20),FIND("/",MID($A1000,FIND("/",$A1000)+1,20))-1))),"")))</f>
        <v/>
      </c>
      <c r="D1000">
        <f>IF(OR($A1000="",$B1000=""),"",IF(ISNUMBER($A1000),MOD($A1000,100),IFERROR(VALUE(TRIM(MID(MID($A1000,FIND("/",$A1000)+1,20),FIND("/",MID($A1000,FIND("/",$A1000)+1,20))+1,20))),"")))</f>
        <v/>
      </c>
      <c r="E1000">
        <f>IF($A1000="","",IF(OR($B1000="",$C1000="",$D1000="",$B1000&lt;1300,$B1000&gt;1500,$C1000&lt;1,$C1000&gt;12,$D1000&lt;1,$D1000&gt;31),"نامعتبر",RIGHT("0000"&amp;$B1000,4)&amp;"/"&amp;RIGHT("00"&amp;$C1000,2)&amp;"/"&amp;RIGHT("00"&amp;$D1000,2)))</f>
        <v/>
      </c>
      <c r="F1000">
        <f>IF(OR($E1000="",$E1000="نامعتبر"),"",IF(Sync!$Q997="","0000",IF(AND(ISNUMBER(Sync!$Q997),Sync!$Q997&gt;=0,Sync!$Q997&lt;1),RIGHT("00"&amp;HOUR(Sync!$Q997),2)&amp;RIGHT("00"&amp;MINUTE(Sync!$Q997),2),IFERROR(RIGHT("00"&amp;VALUE(LEFT(Sync!$Q997,FIND(":",Sync!$Q997)-1)),2)&amp;RIGHT("00"&amp;VALUE(MID(Sync!$Q997,FIND(":",Sync!$Q997)+1,2)),2),"0000"))))</f>
        <v/>
      </c>
      <c r="G1000">
        <f>IF(OR($E1000="",$E1000="نامعتبر"),"",IF(Sync!$S997="","",Sync!$S997))</f>
        <v/>
      </c>
      <c r="H1000">
        <f>IF(OR($E1000="",$E1000="نامعتبر"),"",IF(Sync!$R997="","",Sync!$R997))</f>
        <v/>
      </c>
      <c r="I1000">
        <f>IF(OR($E1000="",$E1000="نامعتبر"),"",IF(Sync!$T997="","",Sync!$T997))</f>
        <v/>
      </c>
      <c r="J1000">
        <f>IF(OR($E1000="",$E1000="نامعتبر"),"",IF(Sync!$U997="","",Sync!$U997))</f>
        <v/>
      </c>
      <c r="K1000">
        <f>IF(OR($E1000="",$E1000="نامعتبر"),"",IF(Sync!$V997="","",IFERROR(INDEX(SubCodes,MATCH(Sync!$V997,SubTitles,0)),Sync!$V997)))</f>
        <v/>
      </c>
      <c r="L1000">
        <f>IF(OR($E1000="",$E1000="نامعتبر"),"",IF(Sync!$W997="",0,Sync!$W997))</f>
        <v/>
      </c>
      <c r="M1000">
        <f>IF(OR($E1000="",$E1000="نامعتبر"),"",IF(Sync!$X997="",0,Sync!$X997))</f>
        <v/>
      </c>
      <c r="N1000">
        <f>IF(OR($E1000="",$E1000="نامعتبر"),"",IF(AND($J1000="هزینه",$K1000&lt;&gt;""),1,0))</f>
        <v/>
      </c>
      <c r="O1000">
        <f>IF($N1000=0,"",LEFT($E1000,4)&amp;MID($E1000,6,2)&amp;RIGHT($E1000,2)&amp;$F1000&amp;"|"&amp;"1"&amp;RIGHT("00000"&amp;992,5))</f>
        <v/>
      </c>
      <c r="P1000">
        <f>IF($O1000="","",COUNTIFS(ExpSub,$K1000,ExpKey,"&lt;"&amp;$O1000)+1)</f>
        <v/>
      </c>
      <c r="Q1000">
        <f>IF($P1000="","",$K1000&amp;"|"&amp;RIGHT("000000"&amp;$P1000,6))</f>
        <v/>
      </c>
    </row>
    <row r="1001">
      <c r="A1001">
        <f>IF(Sync!$P998="","",Sync!$P998)</f>
        <v/>
      </c>
      <c r="B1001">
        <f>IF($A1001="","",IF(ISNUMBER($A1001),IF(AND($A1001&gt;=10000101,$A1001&lt;=99991231),INT($A1001/10000),""),IFERROR(VALUE(TRIM(LEFT($A1001,FIND("/",$A1001)-1))),"")))</f>
        <v/>
      </c>
      <c r="C1001">
        <f>IF(OR($A1001="",$B1001=""),"",IF(ISNUMBER($A1001),INT(MOD($A1001,10000)/100),IFERROR(VALUE(TRIM(LEFT(MID($A1001,FIND("/",$A1001)+1,20),FIND("/",MID($A1001,FIND("/",$A1001)+1,20))-1))),"")))</f>
        <v/>
      </c>
      <c r="D1001">
        <f>IF(OR($A1001="",$B1001=""),"",IF(ISNUMBER($A1001),MOD($A1001,100),IFERROR(VALUE(TRIM(MID(MID($A1001,FIND("/",$A1001)+1,20),FIND("/",MID($A1001,FIND("/",$A1001)+1,20))+1,20))),"")))</f>
        <v/>
      </c>
      <c r="E1001">
        <f>IF($A1001="","",IF(OR($B1001="",$C1001="",$D1001="",$B1001&lt;1300,$B1001&gt;1500,$C1001&lt;1,$C1001&gt;12,$D1001&lt;1,$D1001&gt;31),"نامعتبر",RIGHT("0000"&amp;$B1001,4)&amp;"/"&amp;RIGHT("00"&amp;$C1001,2)&amp;"/"&amp;RIGHT("00"&amp;$D1001,2)))</f>
        <v/>
      </c>
      <c r="F1001">
        <f>IF(OR($E1001="",$E1001="نامعتبر"),"",IF(Sync!$Q998="","0000",IF(AND(ISNUMBER(Sync!$Q998),Sync!$Q998&gt;=0,Sync!$Q998&lt;1),RIGHT("00"&amp;HOUR(Sync!$Q998),2)&amp;RIGHT("00"&amp;MINUTE(Sync!$Q998),2),IFERROR(RIGHT("00"&amp;VALUE(LEFT(Sync!$Q998,FIND(":",Sync!$Q998)-1)),2)&amp;RIGHT("00"&amp;VALUE(MID(Sync!$Q998,FIND(":",Sync!$Q998)+1,2)),2),"0000"))))</f>
        <v/>
      </c>
      <c r="G1001">
        <f>IF(OR($E1001="",$E1001="نامعتبر"),"",IF(Sync!$S998="","",Sync!$S998))</f>
        <v/>
      </c>
      <c r="H1001">
        <f>IF(OR($E1001="",$E1001="نامعتبر"),"",IF(Sync!$R998="","",Sync!$R998))</f>
        <v/>
      </c>
      <c r="I1001">
        <f>IF(OR($E1001="",$E1001="نامعتبر"),"",IF(Sync!$T998="","",Sync!$T998))</f>
        <v/>
      </c>
      <c r="J1001">
        <f>IF(OR($E1001="",$E1001="نامعتبر"),"",IF(Sync!$U998="","",Sync!$U998))</f>
        <v/>
      </c>
      <c r="K1001">
        <f>IF(OR($E1001="",$E1001="نامعتبر"),"",IF(Sync!$V998="","",IFERROR(INDEX(SubCodes,MATCH(Sync!$V998,SubTitles,0)),Sync!$V998)))</f>
        <v/>
      </c>
      <c r="L1001">
        <f>IF(OR($E1001="",$E1001="نامعتبر"),"",IF(Sync!$W998="",0,Sync!$W998))</f>
        <v/>
      </c>
      <c r="M1001">
        <f>IF(OR($E1001="",$E1001="نامعتبر"),"",IF(Sync!$X998="",0,Sync!$X998))</f>
        <v/>
      </c>
      <c r="N1001">
        <f>IF(OR($E1001="",$E1001="نامعتبر"),"",IF(AND($J1001="هزینه",$K1001&lt;&gt;""),1,0))</f>
        <v/>
      </c>
      <c r="O1001">
        <f>IF($N1001=0,"",LEFT($E1001,4)&amp;MID($E1001,6,2)&amp;RIGHT($E1001,2)&amp;$F1001&amp;"|"&amp;"1"&amp;RIGHT("00000"&amp;993,5))</f>
        <v/>
      </c>
      <c r="P1001">
        <f>IF($O1001="","",COUNTIFS(ExpSub,$K1001,ExpKey,"&lt;"&amp;$O1001)+1)</f>
        <v/>
      </c>
      <c r="Q1001">
        <f>IF($P1001="","",$K1001&amp;"|"&amp;RIGHT("000000"&amp;$P1001,6))</f>
        <v/>
      </c>
    </row>
    <row r="1002">
      <c r="A1002">
        <f>IF(Sync!$P999="","",Sync!$P999)</f>
        <v/>
      </c>
      <c r="B1002">
        <f>IF($A1002="","",IF(ISNUMBER($A1002),IF(AND($A1002&gt;=10000101,$A1002&lt;=99991231),INT($A1002/10000),""),IFERROR(VALUE(TRIM(LEFT($A1002,FIND("/",$A1002)-1))),"")))</f>
        <v/>
      </c>
      <c r="C1002">
        <f>IF(OR($A1002="",$B1002=""),"",IF(ISNUMBER($A1002),INT(MOD($A1002,10000)/100),IFERROR(VALUE(TRIM(LEFT(MID($A1002,FIND("/",$A1002)+1,20),FIND("/",MID($A1002,FIND("/",$A1002)+1,20))-1))),"")))</f>
        <v/>
      </c>
      <c r="D1002">
        <f>IF(OR($A1002="",$B1002=""),"",IF(ISNUMBER($A1002),MOD($A1002,100),IFERROR(VALUE(TRIM(MID(MID($A1002,FIND("/",$A1002)+1,20),FIND("/",MID($A1002,FIND("/",$A1002)+1,20))+1,20))),"")))</f>
        <v/>
      </c>
      <c r="E1002">
        <f>IF($A1002="","",IF(OR($B1002="",$C1002="",$D1002="",$B1002&lt;1300,$B1002&gt;1500,$C1002&lt;1,$C1002&gt;12,$D1002&lt;1,$D1002&gt;31),"نامعتبر",RIGHT("0000"&amp;$B1002,4)&amp;"/"&amp;RIGHT("00"&amp;$C1002,2)&amp;"/"&amp;RIGHT("00"&amp;$D1002,2)))</f>
        <v/>
      </c>
      <c r="F1002">
        <f>IF(OR($E1002="",$E1002="نامعتبر"),"",IF(Sync!$Q999="","0000",IF(AND(ISNUMBER(Sync!$Q999),Sync!$Q999&gt;=0,Sync!$Q999&lt;1),RIGHT("00"&amp;HOUR(Sync!$Q999),2)&amp;RIGHT("00"&amp;MINUTE(Sync!$Q999),2),IFERROR(RIGHT("00"&amp;VALUE(LEFT(Sync!$Q999,FIND(":",Sync!$Q999)-1)),2)&amp;RIGHT("00"&amp;VALUE(MID(Sync!$Q999,FIND(":",Sync!$Q999)+1,2)),2),"0000"))))</f>
        <v/>
      </c>
      <c r="G1002">
        <f>IF(OR($E1002="",$E1002="نامعتبر"),"",IF(Sync!$S999="","",Sync!$S999))</f>
        <v/>
      </c>
      <c r="H1002">
        <f>IF(OR($E1002="",$E1002="نامعتبر"),"",IF(Sync!$R999="","",Sync!$R999))</f>
        <v/>
      </c>
      <c r="I1002">
        <f>IF(OR($E1002="",$E1002="نامعتبر"),"",IF(Sync!$T999="","",Sync!$T999))</f>
        <v/>
      </c>
      <c r="J1002">
        <f>IF(OR($E1002="",$E1002="نامعتبر"),"",IF(Sync!$U999="","",Sync!$U999))</f>
        <v/>
      </c>
      <c r="K1002">
        <f>IF(OR($E1002="",$E1002="نامعتبر"),"",IF(Sync!$V999="","",IFERROR(INDEX(SubCodes,MATCH(Sync!$V999,SubTitles,0)),Sync!$V999)))</f>
        <v/>
      </c>
      <c r="L1002">
        <f>IF(OR($E1002="",$E1002="نامعتبر"),"",IF(Sync!$W999="",0,Sync!$W999))</f>
        <v/>
      </c>
      <c r="M1002">
        <f>IF(OR($E1002="",$E1002="نامعتبر"),"",IF(Sync!$X999="",0,Sync!$X999))</f>
        <v/>
      </c>
      <c r="N1002">
        <f>IF(OR($E1002="",$E1002="نامعتبر"),"",IF(AND($J1002="هزینه",$K1002&lt;&gt;""),1,0))</f>
        <v/>
      </c>
      <c r="O1002">
        <f>IF($N1002=0,"",LEFT($E1002,4)&amp;MID($E1002,6,2)&amp;RIGHT($E1002,2)&amp;$F1002&amp;"|"&amp;"1"&amp;RIGHT("00000"&amp;994,5))</f>
        <v/>
      </c>
      <c r="P1002">
        <f>IF($O1002="","",COUNTIFS(ExpSub,$K1002,ExpKey,"&lt;"&amp;$O1002)+1)</f>
        <v/>
      </c>
      <c r="Q1002">
        <f>IF($P1002="","",$K1002&amp;"|"&amp;RIGHT("000000"&amp;$P1002,6))</f>
        <v/>
      </c>
    </row>
    <row r="1003">
      <c r="A1003">
        <f>IF(Sync!$P1000="","",Sync!$P1000)</f>
        <v/>
      </c>
      <c r="B1003">
        <f>IF($A1003="","",IF(ISNUMBER($A1003),IF(AND($A1003&gt;=10000101,$A1003&lt;=99991231),INT($A1003/10000),""),IFERROR(VALUE(TRIM(LEFT($A1003,FIND("/",$A1003)-1))),"")))</f>
        <v/>
      </c>
      <c r="C1003">
        <f>IF(OR($A1003="",$B1003=""),"",IF(ISNUMBER($A1003),INT(MOD($A1003,10000)/100),IFERROR(VALUE(TRIM(LEFT(MID($A1003,FIND("/",$A1003)+1,20),FIND("/",MID($A1003,FIND("/",$A1003)+1,20))-1))),"")))</f>
        <v/>
      </c>
      <c r="D1003">
        <f>IF(OR($A1003="",$B1003=""),"",IF(ISNUMBER($A1003),MOD($A1003,100),IFERROR(VALUE(TRIM(MID(MID($A1003,FIND("/",$A1003)+1,20),FIND("/",MID($A1003,FIND("/",$A1003)+1,20))+1,20))),"")))</f>
        <v/>
      </c>
      <c r="E1003">
        <f>IF($A1003="","",IF(OR($B1003="",$C1003="",$D1003="",$B1003&lt;1300,$B1003&gt;1500,$C1003&lt;1,$C1003&gt;12,$D1003&lt;1,$D1003&gt;31),"نامعتبر",RIGHT("0000"&amp;$B1003,4)&amp;"/"&amp;RIGHT("00"&amp;$C1003,2)&amp;"/"&amp;RIGHT("00"&amp;$D1003,2)))</f>
        <v/>
      </c>
      <c r="F1003">
        <f>IF(OR($E1003="",$E1003="نامعتبر"),"",IF(Sync!$Q1000="","0000",IF(AND(ISNUMBER(Sync!$Q1000),Sync!$Q1000&gt;=0,Sync!$Q1000&lt;1),RIGHT("00"&amp;HOUR(Sync!$Q1000),2)&amp;RIGHT("00"&amp;MINUTE(Sync!$Q1000),2),IFERROR(RIGHT("00"&amp;VALUE(LEFT(Sync!$Q1000,FIND(":",Sync!$Q1000)-1)),2)&amp;RIGHT("00"&amp;VALUE(MID(Sync!$Q1000,FIND(":",Sync!$Q1000)+1,2)),2),"0000"))))</f>
        <v/>
      </c>
      <c r="G1003">
        <f>IF(OR($E1003="",$E1003="نامعتبر"),"",IF(Sync!$S1000="","",Sync!$S1000))</f>
        <v/>
      </c>
      <c r="H1003">
        <f>IF(OR($E1003="",$E1003="نامعتبر"),"",IF(Sync!$R1000="","",Sync!$R1000))</f>
        <v/>
      </c>
      <c r="I1003">
        <f>IF(OR($E1003="",$E1003="نامعتبر"),"",IF(Sync!$T1000="","",Sync!$T1000))</f>
        <v/>
      </c>
      <c r="J1003">
        <f>IF(OR($E1003="",$E1003="نامعتبر"),"",IF(Sync!$U1000="","",Sync!$U1000))</f>
        <v/>
      </c>
      <c r="K1003">
        <f>IF(OR($E1003="",$E1003="نامعتبر"),"",IF(Sync!$V1000="","",IFERROR(INDEX(SubCodes,MATCH(Sync!$V1000,SubTitles,0)),Sync!$V1000)))</f>
        <v/>
      </c>
      <c r="L1003">
        <f>IF(OR($E1003="",$E1003="نامعتبر"),"",IF(Sync!$W1000="",0,Sync!$W1000))</f>
        <v/>
      </c>
      <c r="M1003">
        <f>IF(OR($E1003="",$E1003="نامعتبر"),"",IF(Sync!$X1000="",0,Sync!$X1000))</f>
        <v/>
      </c>
      <c r="N1003">
        <f>IF(OR($E1003="",$E1003="نامعتبر"),"",IF(AND($J1003="هزینه",$K1003&lt;&gt;""),1,0))</f>
        <v/>
      </c>
      <c r="O1003">
        <f>IF($N1003=0,"",LEFT($E1003,4)&amp;MID($E1003,6,2)&amp;RIGHT($E1003,2)&amp;$F1003&amp;"|"&amp;"1"&amp;RIGHT("00000"&amp;995,5))</f>
        <v/>
      </c>
      <c r="P1003">
        <f>IF($O1003="","",COUNTIFS(ExpSub,$K1003,ExpKey,"&lt;"&amp;$O1003)+1)</f>
        <v/>
      </c>
      <c r="Q1003">
        <f>IF($P1003="","",$K1003&amp;"|"&amp;RIGHT("000000"&amp;$P1003,6))</f>
        <v/>
      </c>
    </row>
    <row r="1004">
      <c r="A1004">
        <f>IF(Sync!$P1001="","",Sync!$P1001)</f>
        <v/>
      </c>
      <c r="B1004">
        <f>IF($A1004="","",IF(ISNUMBER($A1004),IF(AND($A1004&gt;=10000101,$A1004&lt;=99991231),INT($A1004/10000),""),IFERROR(VALUE(TRIM(LEFT($A1004,FIND("/",$A1004)-1))),"")))</f>
        <v/>
      </c>
      <c r="C1004">
        <f>IF(OR($A1004="",$B1004=""),"",IF(ISNUMBER($A1004),INT(MOD($A1004,10000)/100),IFERROR(VALUE(TRIM(LEFT(MID($A1004,FIND("/",$A1004)+1,20),FIND("/",MID($A1004,FIND("/",$A1004)+1,20))-1))),"")))</f>
        <v/>
      </c>
      <c r="D1004">
        <f>IF(OR($A1004="",$B1004=""),"",IF(ISNUMBER($A1004),MOD($A1004,100),IFERROR(VALUE(TRIM(MID(MID($A1004,FIND("/",$A1004)+1,20),FIND("/",MID($A1004,FIND("/",$A1004)+1,20))+1,20))),"")))</f>
        <v/>
      </c>
      <c r="E1004">
        <f>IF($A1004="","",IF(OR($B1004="",$C1004="",$D1004="",$B1004&lt;1300,$B1004&gt;1500,$C1004&lt;1,$C1004&gt;12,$D1004&lt;1,$D1004&gt;31),"نامعتبر",RIGHT("0000"&amp;$B1004,4)&amp;"/"&amp;RIGHT("00"&amp;$C1004,2)&amp;"/"&amp;RIGHT("00"&amp;$D1004,2)))</f>
        <v/>
      </c>
      <c r="F1004">
        <f>IF(OR($E1004="",$E1004="نامعتبر"),"",IF(Sync!$Q1001="","0000",IF(AND(ISNUMBER(Sync!$Q1001),Sync!$Q1001&gt;=0,Sync!$Q1001&lt;1),RIGHT("00"&amp;HOUR(Sync!$Q1001),2)&amp;RIGHT("00"&amp;MINUTE(Sync!$Q1001),2),IFERROR(RIGHT("00"&amp;VALUE(LEFT(Sync!$Q1001,FIND(":",Sync!$Q1001)-1)),2)&amp;RIGHT("00"&amp;VALUE(MID(Sync!$Q1001,FIND(":",Sync!$Q1001)+1,2)),2),"0000"))))</f>
        <v/>
      </c>
      <c r="G1004">
        <f>IF(OR($E1004="",$E1004="نامعتبر"),"",IF(Sync!$S1001="","",Sync!$S1001))</f>
        <v/>
      </c>
      <c r="H1004">
        <f>IF(OR($E1004="",$E1004="نامعتبر"),"",IF(Sync!$R1001="","",Sync!$R1001))</f>
        <v/>
      </c>
      <c r="I1004">
        <f>IF(OR($E1004="",$E1004="نامعتبر"),"",IF(Sync!$T1001="","",Sync!$T1001))</f>
        <v/>
      </c>
      <c r="J1004">
        <f>IF(OR($E1004="",$E1004="نامعتبر"),"",IF(Sync!$U1001="","",Sync!$U1001))</f>
        <v/>
      </c>
      <c r="K1004">
        <f>IF(OR($E1004="",$E1004="نامعتبر"),"",IF(Sync!$V1001="","",IFERROR(INDEX(SubCodes,MATCH(Sync!$V1001,SubTitles,0)),Sync!$V1001)))</f>
        <v/>
      </c>
      <c r="L1004">
        <f>IF(OR($E1004="",$E1004="نامعتبر"),"",IF(Sync!$W1001="",0,Sync!$W1001))</f>
        <v/>
      </c>
      <c r="M1004">
        <f>IF(OR($E1004="",$E1004="نامعتبر"),"",IF(Sync!$X1001="",0,Sync!$X1001))</f>
        <v/>
      </c>
      <c r="N1004">
        <f>IF(OR($E1004="",$E1004="نامعتبر"),"",IF(AND($J1004="هزینه",$K1004&lt;&gt;""),1,0))</f>
        <v/>
      </c>
      <c r="O1004">
        <f>IF($N1004=0,"",LEFT($E1004,4)&amp;MID($E1004,6,2)&amp;RIGHT($E1004,2)&amp;$F1004&amp;"|"&amp;"1"&amp;RIGHT("00000"&amp;996,5))</f>
        <v/>
      </c>
      <c r="P1004">
        <f>IF($O1004="","",COUNTIFS(ExpSub,$K1004,ExpKey,"&lt;"&amp;$O1004)+1)</f>
        <v/>
      </c>
      <c r="Q1004">
        <f>IF($P1004="","",$K1004&amp;"|"&amp;RIGHT("000000"&amp;$P1004,6))</f>
        <v/>
      </c>
    </row>
    <row r="1005">
      <c r="A1005">
        <f>IF(Sync!$P1002="","",Sync!$P1002)</f>
        <v/>
      </c>
      <c r="B1005">
        <f>IF($A1005="","",IF(ISNUMBER($A1005),IF(AND($A1005&gt;=10000101,$A1005&lt;=99991231),INT($A1005/10000),""),IFERROR(VALUE(TRIM(LEFT($A1005,FIND("/",$A1005)-1))),"")))</f>
        <v/>
      </c>
      <c r="C1005">
        <f>IF(OR($A1005="",$B1005=""),"",IF(ISNUMBER($A1005),INT(MOD($A1005,10000)/100),IFERROR(VALUE(TRIM(LEFT(MID($A1005,FIND("/",$A1005)+1,20),FIND("/",MID($A1005,FIND("/",$A1005)+1,20))-1))),"")))</f>
        <v/>
      </c>
      <c r="D1005">
        <f>IF(OR($A1005="",$B1005=""),"",IF(ISNUMBER($A1005),MOD($A1005,100),IFERROR(VALUE(TRIM(MID(MID($A1005,FIND("/",$A1005)+1,20),FIND("/",MID($A1005,FIND("/",$A1005)+1,20))+1,20))),"")))</f>
        <v/>
      </c>
      <c r="E1005">
        <f>IF($A1005="","",IF(OR($B1005="",$C1005="",$D1005="",$B1005&lt;1300,$B1005&gt;1500,$C1005&lt;1,$C1005&gt;12,$D1005&lt;1,$D1005&gt;31),"نامعتبر",RIGHT("0000"&amp;$B1005,4)&amp;"/"&amp;RIGHT("00"&amp;$C1005,2)&amp;"/"&amp;RIGHT("00"&amp;$D1005,2)))</f>
        <v/>
      </c>
      <c r="F1005">
        <f>IF(OR($E1005="",$E1005="نامعتبر"),"",IF(Sync!$Q1002="","0000",IF(AND(ISNUMBER(Sync!$Q1002),Sync!$Q1002&gt;=0,Sync!$Q1002&lt;1),RIGHT("00"&amp;HOUR(Sync!$Q1002),2)&amp;RIGHT("00"&amp;MINUTE(Sync!$Q1002),2),IFERROR(RIGHT("00"&amp;VALUE(LEFT(Sync!$Q1002,FIND(":",Sync!$Q1002)-1)),2)&amp;RIGHT("00"&amp;VALUE(MID(Sync!$Q1002,FIND(":",Sync!$Q1002)+1,2)),2),"0000"))))</f>
        <v/>
      </c>
      <c r="G1005">
        <f>IF(OR($E1005="",$E1005="نامعتبر"),"",IF(Sync!$S1002="","",Sync!$S1002))</f>
        <v/>
      </c>
      <c r="H1005">
        <f>IF(OR($E1005="",$E1005="نامعتبر"),"",IF(Sync!$R1002="","",Sync!$R1002))</f>
        <v/>
      </c>
      <c r="I1005">
        <f>IF(OR($E1005="",$E1005="نامعتبر"),"",IF(Sync!$T1002="","",Sync!$T1002))</f>
        <v/>
      </c>
      <c r="J1005">
        <f>IF(OR($E1005="",$E1005="نامعتبر"),"",IF(Sync!$U1002="","",Sync!$U1002))</f>
        <v/>
      </c>
      <c r="K1005">
        <f>IF(OR($E1005="",$E1005="نامعتبر"),"",IF(Sync!$V1002="","",IFERROR(INDEX(SubCodes,MATCH(Sync!$V1002,SubTitles,0)),Sync!$V1002)))</f>
        <v/>
      </c>
      <c r="L1005">
        <f>IF(OR($E1005="",$E1005="نامعتبر"),"",IF(Sync!$W1002="",0,Sync!$W1002))</f>
        <v/>
      </c>
      <c r="M1005">
        <f>IF(OR($E1005="",$E1005="نامعتبر"),"",IF(Sync!$X1002="",0,Sync!$X1002))</f>
        <v/>
      </c>
      <c r="N1005">
        <f>IF(OR($E1005="",$E1005="نامعتبر"),"",IF(AND($J1005="هزینه",$K1005&lt;&gt;""),1,0))</f>
        <v/>
      </c>
      <c r="O1005">
        <f>IF($N1005=0,"",LEFT($E1005,4)&amp;MID($E1005,6,2)&amp;RIGHT($E1005,2)&amp;$F1005&amp;"|"&amp;"1"&amp;RIGHT("00000"&amp;997,5))</f>
        <v/>
      </c>
      <c r="P1005">
        <f>IF($O1005="","",COUNTIFS(ExpSub,$K1005,ExpKey,"&lt;"&amp;$O1005)+1)</f>
        <v/>
      </c>
      <c r="Q1005">
        <f>IF($P1005="","",$K1005&amp;"|"&amp;RIGHT("000000"&amp;$P1005,6))</f>
        <v/>
      </c>
    </row>
    <row r="1006">
      <c r="A1006">
        <f>IF(Sync!$P1003="","",Sync!$P1003)</f>
        <v/>
      </c>
      <c r="B1006">
        <f>IF($A1006="","",IF(ISNUMBER($A1006),IF(AND($A1006&gt;=10000101,$A1006&lt;=99991231),INT($A1006/10000),""),IFERROR(VALUE(TRIM(LEFT($A1006,FIND("/",$A1006)-1))),"")))</f>
        <v/>
      </c>
      <c r="C1006">
        <f>IF(OR($A1006="",$B1006=""),"",IF(ISNUMBER($A1006),INT(MOD($A1006,10000)/100),IFERROR(VALUE(TRIM(LEFT(MID($A1006,FIND("/",$A1006)+1,20),FIND("/",MID($A1006,FIND("/",$A1006)+1,20))-1))),"")))</f>
        <v/>
      </c>
      <c r="D1006">
        <f>IF(OR($A1006="",$B1006=""),"",IF(ISNUMBER($A1006),MOD($A1006,100),IFERROR(VALUE(TRIM(MID(MID($A1006,FIND("/",$A1006)+1,20),FIND("/",MID($A1006,FIND("/",$A1006)+1,20))+1,20))),"")))</f>
        <v/>
      </c>
      <c r="E1006">
        <f>IF($A1006="","",IF(OR($B1006="",$C1006="",$D1006="",$B1006&lt;1300,$B1006&gt;1500,$C1006&lt;1,$C1006&gt;12,$D1006&lt;1,$D1006&gt;31),"نامعتبر",RIGHT("0000"&amp;$B1006,4)&amp;"/"&amp;RIGHT("00"&amp;$C1006,2)&amp;"/"&amp;RIGHT("00"&amp;$D1006,2)))</f>
        <v/>
      </c>
      <c r="F1006">
        <f>IF(OR($E1006="",$E1006="نامعتبر"),"",IF(Sync!$Q1003="","0000",IF(AND(ISNUMBER(Sync!$Q1003),Sync!$Q1003&gt;=0,Sync!$Q1003&lt;1),RIGHT("00"&amp;HOUR(Sync!$Q1003),2)&amp;RIGHT("00"&amp;MINUTE(Sync!$Q1003),2),IFERROR(RIGHT("00"&amp;VALUE(LEFT(Sync!$Q1003,FIND(":",Sync!$Q1003)-1)),2)&amp;RIGHT("00"&amp;VALUE(MID(Sync!$Q1003,FIND(":",Sync!$Q1003)+1,2)),2),"0000"))))</f>
        <v/>
      </c>
      <c r="G1006">
        <f>IF(OR($E1006="",$E1006="نامعتبر"),"",IF(Sync!$S1003="","",Sync!$S1003))</f>
        <v/>
      </c>
      <c r="H1006">
        <f>IF(OR($E1006="",$E1006="نامعتبر"),"",IF(Sync!$R1003="","",Sync!$R1003))</f>
        <v/>
      </c>
      <c r="I1006">
        <f>IF(OR($E1006="",$E1006="نامعتبر"),"",IF(Sync!$T1003="","",Sync!$T1003))</f>
        <v/>
      </c>
      <c r="J1006">
        <f>IF(OR($E1006="",$E1006="نامعتبر"),"",IF(Sync!$U1003="","",Sync!$U1003))</f>
        <v/>
      </c>
      <c r="K1006">
        <f>IF(OR($E1006="",$E1006="نامعتبر"),"",IF(Sync!$V1003="","",IFERROR(INDEX(SubCodes,MATCH(Sync!$V1003,SubTitles,0)),Sync!$V1003)))</f>
        <v/>
      </c>
      <c r="L1006">
        <f>IF(OR($E1006="",$E1006="نامعتبر"),"",IF(Sync!$W1003="",0,Sync!$W1003))</f>
        <v/>
      </c>
      <c r="M1006">
        <f>IF(OR($E1006="",$E1006="نامعتبر"),"",IF(Sync!$X1003="",0,Sync!$X1003))</f>
        <v/>
      </c>
      <c r="N1006">
        <f>IF(OR($E1006="",$E1006="نامعتبر"),"",IF(AND($J1006="هزینه",$K1006&lt;&gt;""),1,0))</f>
        <v/>
      </c>
      <c r="O1006">
        <f>IF($N1006=0,"",LEFT($E1006,4)&amp;MID($E1006,6,2)&amp;RIGHT($E1006,2)&amp;$F1006&amp;"|"&amp;"1"&amp;RIGHT("00000"&amp;998,5))</f>
        <v/>
      </c>
      <c r="P1006">
        <f>IF($O1006="","",COUNTIFS(ExpSub,$K1006,ExpKey,"&lt;"&amp;$O1006)+1)</f>
        <v/>
      </c>
      <c r="Q1006">
        <f>IF($P1006="","",$K1006&amp;"|"&amp;RIGHT("000000"&amp;$P1006,6))</f>
        <v/>
      </c>
    </row>
    <row r="1007">
      <c r="A1007">
        <f>IF(Sync!$P1004="","",Sync!$P1004)</f>
        <v/>
      </c>
      <c r="B1007">
        <f>IF($A1007="","",IF(ISNUMBER($A1007),IF(AND($A1007&gt;=10000101,$A1007&lt;=99991231),INT($A1007/10000),""),IFERROR(VALUE(TRIM(LEFT($A1007,FIND("/",$A1007)-1))),"")))</f>
        <v/>
      </c>
      <c r="C1007">
        <f>IF(OR($A1007="",$B1007=""),"",IF(ISNUMBER($A1007),INT(MOD($A1007,10000)/100),IFERROR(VALUE(TRIM(LEFT(MID($A1007,FIND("/",$A1007)+1,20),FIND("/",MID($A1007,FIND("/",$A1007)+1,20))-1))),"")))</f>
        <v/>
      </c>
      <c r="D1007">
        <f>IF(OR($A1007="",$B1007=""),"",IF(ISNUMBER($A1007),MOD($A1007,100),IFERROR(VALUE(TRIM(MID(MID($A1007,FIND("/",$A1007)+1,20),FIND("/",MID($A1007,FIND("/",$A1007)+1,20))+1,20))),"")))</f>
        <v/>
      </c>
      <c r="E1007">
        <f>IF($A1007="","",IF(OR($B1007="",$C1007="",$D1007="",$B1007&lt;1300,$B1007&gt;1500,$C1007&lt;1,$C1007&gt;12,$D1007&lt;1,$D1007&gt;31),"نامعتبر",RIGHT("0000"&amp;$B1007,4)&amp;"/"&amp;RIGHT("00"&amp;$C1007,2)&amp;"/"&amp;RIGHT("00"&amp;$D1007,2)))</f>
        <v/>
      </c>
      <c r="F1007">
        <f>IF(OR($E1007="",$E1007="نامعتبر"),"",IF(Sync!$Q1004="","0000",IF(AND(ISNUMBER(Sync!$Q1004),Sync!$Q1004&gt;=0,Sync!$Q1004&lt;1),RIGHT("00"&amp;HOUR(Sync!$Q1004),2)&amp;RIGHT("00"&amp;MINUTE(Sync!$Q1004),2),IFERROR(RIGHT("00"&amp;VALUE(LEFT(Sync!$Q1004,FIND(":",Sync!$Q1004)-1)),2)&amp;RIGHT("00"&amp;VALUE(MID(Sync!$Q1004,FIND(":",Sync!$Q1004)+1,2)),2),"0000"))))</f>
        <v/>
      </c>
      <c r="G1007">
        <f>IF(OR($E1007="",$E1007="نامعتبر"),"",IF(Sync!$S1004="","",Sync!$S1004))</f>
        <v/>
      </c>
      <c r="H1007">
        <f>IF(OR($E1007="",$E1007="نامعتبر"),"",IF(Sync!$R1004="","",Sync!$R1004))</f>
        <v/>
      </c>
      <c r="I1007">
        <f>IF(OR($E1007="",$E1007="نامعتبر"),"",IF(Sync!$T1004="","",Sync!$T1004))</f>
        <v/>
      </c>
      <c r="J1007">
        <f>IF(OR($E1007="",$E1007="نامعتبر"),"",IF(Sync!$U1004="","",Sync!$U1004))</f>
        <v/>
      </c>
      <c r="K1007">
        <f>IF(OR($E1007="",$E1007="نامعتبر"),"",IF(Sync!$V1004="","",IFERROR(INDEX(SubCodes,MATCH(Sync!$V1004,SubTitles,0)),Sync!$V1004)))</f>
        <v/>
      </c>
      <c r="L1007">
        <f>IF(OR($E1007="",$E1007="نامعتبر"),"",IF(Sync!$W1004="",0,Sync!$W1004))</f>
        <v/>
      </c>
      <c r="M1007">
        <f>IF(OR($E1007="",$E1007="نامعتبر"),"",IF(Sync!$X1004="",0,Sync!$X1004))</f>
        <v/>
      </c>
      <c r="N1007">
        <f>IF(OR($E1007="",$E1007="نامعتبر"),"",IF(AND($J1007="هزینه",$K1007&lt;&gt;""),1,0))</f>
        <v/>
      </c>
      <c r="O1007">
        <f>IF($N1007=0,"",LEFT($E1007,4)&amp;MID($E1007,6,2)&amp;RIGHT($E1007,2)&amp;$F1007&amp;"|"&amp;"1"&amp;RIGHT("00000"&amp;999,5))</f>
        <v/>
      </c>
      <c r="P1007">
        <f>IF($O1007="","",COUNTIFS(ExpSub,$K1007,ExpKey,"&lt;"&amp;$O1007)+1)</f>
        <v/>
      </c>
      <c r="Q1007">
        <f>IF($P1007="","",$K1007&amp;"|"&amp;RIGHT("000000"&amp;$P1007,6))</f>
        <v/>
      </c>
    </row>
    <row r="1008">
      <c r="A1008">
        <f>IF(Sync!$P1005="","",Sync!$P1005)</f>
        <v/>
      </c>
      <c r="B1008">
        <f>IF($A1008="","",IF(ISNUMBER($A1008),IF(AND($A1008&gt;=10000101,$A1008&lt;=99991231),INT($A1008/10000),""),IFERROR(VALUE(TRIM(LEFT($A1008,FIND("/",$A1008)-1))),"")))</f>
        <v/>
      </c>
      <c r="C1008">
        <f>IF(OR($A1008="",$B1008=""),"",IF(ISNUMBER($A1008),INT(MOD($A1008,10000)/100),IFERROR(VALUE(TRIM(LEFT(MID($A1008,FIND("/",$A1008)+1,20),FIND("/",MID($A1008,FIND("/",$A1008)+1,20))-1))),"")))</f>
        <v/>
      </c>
      <c r="D1008">
        <f>IF(OR($A1008="",$B1008=""),"",IF(ISNUMBER($A1008),MOD($A1008,100),IFERROR(VALUE(TRIM(MID(MID($A1008,FIND("/",$A1008)+1,20),FIND("/",MID($A1008,FIND("/",$A1008)+1,20))+1,20))),"")))</f>
        <v/>
      </c>
      <c r="E1008">
        <f>IF($A1008="","",IF(OR($B1008="",$C1008="",$D1008="",$B1008&lt;1300,$B1008&gt;1500,$C1008&lt;1,$C1008&gt;12,$D1008&lt;1,$D1008&gt;31),"نامعتبر",RIGHT("0000"&amp;$B1008,4)&amp;"/"&amp;RIGHT("00"&amp;$C1008,2)&amp;"/"&amp;RIGHT("00"&amp;$D1008,2)))</f>
        <v/>
      </c>
      <c r="F1008">
        <f>IF(OR($E1008="",$E1008="نامعتبر"),"",IF(Sync!$Q1005="","0000",IF(AND(ISNUMBER(Sync!$Q1005),Sync!$Q1005&gt;=0,Sync!$Q1005&lt;1),RIGHT("00"&amp;HOUR(Sync!$Q1005),2)&amp;RIGHT("00"&amp;MINUTE(Sync!$Q1005),2),IFERROR(RIGHT("00"&amp;VALUE(LEFT(Sync!$Q1005,FIND(":",Sync!$Q1005)-1)),2)&amp;RIGHT("00"&amp;VALUE(MID(Sync!$Q1005,FIND(":",Sync!$Q1005)+1,2)),2),"0000"))))</f>
        <v/>
      </c>
      <c r="G1008">
        <f>IF(OR($E1008="",$E1008="نامعتبر"),"",IF(Sync!$S1005="","",Sync!$S1005))</f>
        <v/>
      </c>
      <c r="H1008">
        <f>IF(OR($E1008="",$E1008="نامعتبر"),"",IF(Sync!$R1005="","",Sync!$R1005))</f>
        <v/>
      </c>
      <c r="I1008">
        <f>IF(OR($E1008="",$E1008="نامعتبر"),"",IF(Sync!$T1005="","",Sync!$T1005))</f>
        <v/>
      </c>
      <c r="J1008">
        <f>IF(OR($E1008="",$E1008="نامعتبر"),"",IF(Sync!$U1005="","",Sync!$U1005))</f>
        <v/>
      </c>
      <c r="K1008">
        <f>IF(OR($E1008="",$E1008="نامعتبر"),"",IF(Sync!$V1005="","",IFERROR(INDEX(SubCodes,MATCH(Sync!$V1005,SubTitles,0)),Sync!$V1005)))</f>
        <v/>
      </c>
      <c r="L1008">
        <f>IF(OR($E1008="",$E1008="نامعتبر"),"",IF(Sync!$W1005="",0,Sync!$W1005))</f>
        <v/>
      </c>
      <c r="M1008">
        <f>IF(OR($E1008="",$E1008="نامعتبر"),"",IF(Sync!$X1005="",0,Sync!$X1005))</f>
        <v/>
      </c>
      <c r="N1008">
        <f>IF(OR($E1008="",$E1008="نامعتبر"),"",IF(AND($J1008="هزینه",$K1008&lt;&gt;""),1,0))</f>
        <v/>
      </c>
      <c r="O1008">
        <f>IF($N1008=0,"",LEFT($E1008,4)&amp;MID($E1008,6,2)&amp;RIGHT($E1008,2)&amp;$F1008&amp;"|"&amp;"1"&amp;RIGHT("00000"&amp;1000,5))</f>
        <v/>
      </c>
      <c r="P1008">
        <f>IF($O1008="","",COUNTIFS(ExpSub,$K1008,ExpKey,"&lt;"&amp;$O1008)+1)</f>
        <v/>
      </c>
      <c r="Q1008">
        <f>IF($P1008="","",$K1008&amp;"|"&amp;RIGHT("000000"&amp;$P1008,6))</f>
        <v/>
      </c>
    </row>
    <row r="1009">
      <c r="A1009">
        <f>IF(Sync!$P1006="","",Sync!$P1006)</f>
        <v/>
      </c>
      <c r="B1009">
        <f>IF($A1009="","",IF(ISNUMBER($A1009),IF(AND($A1009&gt;=10000101,$A1009&lt;=99991231),INT($A1009/10000),""),IFERROR(VALUE(TRIM(LEFT($A1009,FIND("/",$A1009)-1))),"")))</f>
        <v/>
      </c>
      <c r="C1009">
        <f>IF(OR($A1009="",$B1009=""),"",IF(ISNUMBER($A1009),INT(MOD($A1009,10000)/100),IFERROR(VALUE(TRIM(LEFT(MID($A1009,FIND("/",$A1009)+1,20),FIND("/",MID($A1009,FIND("/",$A1009)+1,20))-1))),"")))</f>
        <v/>
      </c>
      <c r="D1009">
        <f>IF(OR($A1009="",$B1009=""),"",IF(ISNUMBER($A1009),MOD($A1009,100),IFERROR(VALUE(TRIM(MID(MID($A1009,FIND("/",$A1009)+1,20),FIND("/",MID($A1009,FIND("/",$A1009)+1,20))+1,20))),"")))</f>
        <v/>
      </c>
      <c r="E1009">
        <f>IF($A1009="","",IF(OR($B1009="",$C1009="",$D1009="",$B1009&lt;1300,$B1009&gt;1500,$C1009&lt;1,$C1009&gt;12,$D1009&lt;1,$D1009&gt;31),"نامعتبر",RIGHT("0000"&amp;$B1009,4)&amp;"/"&amp;RIGHT("00"&amp;$C1009,2)&amp;"/"&amp;RIGHT("00"&amp;$D1009,2)))</f>
        <v/>
      </c>
      <c r="F1009">
        <f>IF(OR($E1009="",$E1009="نامعتبر"),"",IF(Sync!$Q1006="","0000",IF(AND(ISNUMBER(Sync!$Q1006),Sync!$Q1006&gt;=0,Sync!$Q1006&lt;1),RIGHT("00"&amp;HOUR(Sync!$Q1006),2)&amp;RIGHT("00"&amp;MINUTE(Sync!$Q1006),2),IFERROR(RIGHT("00"&amp;VALUE(LEFT(Sync!$Q1006,FIND(":",Sync!$Q1006)-1)),2)&amp;RIGHT("00"&amp;VALUE(MID(Sync!$Q1006,FIND(":",Sync!$Q1006)+1,2)),2),"0000"))))</f>
        <v/>
      </c>
      <c r="G1009">
        <f>IF(OR($E1009="",$E1009="نامعتبر"),"",IF(Sync!$S1006="","",Sync!$S1006))</f>
        <v/>
      </c>
      <c r="H1009">
        <f>IF(OR($E1009="",$E1009="نامعتبر"),"",IF(Sync!$R1006="","",Sync!$R1006))</f>
        <v/>
      </c>
      <c r="I1009">
        <f>IF(OR($E1009="",$E1009="نامعتبر"),"",IF(Sync!$T1006="","",Sync!$T1006))</f>
        <v/>
      </c>
      <c r="J1009">
        <f>IF(OR($E1009="",$E1009="نامعتبر"),"",IF(Sync!$U1006="","",Sync!$U1006))</f>
        <v/>
      </c>
      <c r="K1009">
        <f>IF(OR($E1009="",$E1009="نامعتبر"),"",IF(Sync!$V1006="","",IFERROR(INDEX(SubCodes,MATCH(Sync!$V1006,SubTitles,0)),Sync!$V1006)))</f>
        <v/>
      </c>
      <c r="L1009">
        <f>IF(OR($E1009="",$E1009="نامعتبر"),"",IF(Sync!$W1006="",0,Sync!$W1006))</f>
        <v/>
      </c>
      <c r="M1009">
        <f>IF(OR($E1009="",$E1009="نامعتبر"),"",IF(Sync!$X1006="",0,Sync!$X1006))</f>
        <v/>
      </c>
      <c r="N1009">
        <f>IF(OR($E1009="",$E1009="نامعتبر"),"",IF(AND($J1009="هزینه",$K1009&lt;&gt;""),1,0))</f>
        <v/>
      </c>
      <c r="O1009">
        <f>IF($N1009=0,"",LEFT($E1009,4)&amp;MID($E1009,6,2)&amp;RIGHT($E1009,2)&amp;$F1009&amp;"|"&amp;"1"&amp;RIGHT("00000"&amp;1001,5))</f>
        <v/>
      </c>
      <c r="P1009">
        <f>IF($O1009="","",COUNTIFS(ExpSub,$K1009,ExpKey,"&lt;"&amp;$O1009)+1)</f>
        <v/>
      </c>
      <c r="Q1009">
        <f>IF($P1009="","",$K1009&amp;"|"&amp;RIGHT("000000"&amp;$P1009,6))</f>
        <v/>
      </c>
    </row>
    <row r="1010">
      <c r="A1010">
        <f>IF(Sync!$P1007="","",Sync!$P1007)</f>
        <v/>
      </c>
      <c r="B1010">
        <f>IF($A1010="","",IF(ISNUMBER($A1010),IF(AND($A1010&gt;=10000101,$A1010&lt;=99991231),INT($A1010/10000),""),IFERROR(VALUE(TRIM(LEFT($A1010,FIND("/",$A1010)-1))),"")))</f>
        <v/>
      </c>
      <c r="C1010">
        <f>IF(OR($A1010="",$B1010=""),"",IF(ISNUMBER($A1010),INT(MOD($A1010,10000)/100),IFERROR(VALUE(TRIM(LEFT(MID($A1010,FIND("/",$A1010)+1,20),FIND("/",MID($A1010,FIND("/",$A1010)+1,20))-1))),"")))</f>
        <v/>
      </c>
      <c r="D1010">
        <f>IF(OR($A1010="",$B1010=""),"",IF(ISNUMBER($A1010),MOD($A1010,100),IFERROR(VALUE(TRIM(MID(MID($A1010,FIND("/",$A1010)+1,20),FIND("/",MID($A1010,FIND("/",$A1010)+1,20))+1,20))),"")))</f>
        <v/>
      </c>
      <c r="E1010">
        <f>IF($A1010="","",IF(OR($B1010="",$C1010="",$D1010="",$B1010&lt;1300,$B1010&gt;1500,$C1010&lt;1,$C1010&gt;12,$D1010&lt;1,$D1010&gt;31),"نامعتبر",RIGHT("0000"&amp;$B1010,4)&amp;"/"&amp;RIGHT("00"&amp;$C1010,2)&amp;"/"&amp;RIGHT("00"&amp;$D1010,2)))</f>
        <v/>
      </c>
      <c r="F1010">
        <f>IF(OR($E1010="",$E1010="نامعتبر"),"",IF(Sync!$Q1007="","0000",IF(AND(ISNUMBER(Sync!$Q1007),Sync!$Q1007&gt;=0,Sync!$Q1007&lt;1),RIGHT("00"&amp;HOUR(Sync!$Q1007),2)&amp;RIGHT("00"&amp;MINUTE(Sync!$Q1007),2),IFERROR(RIGHT("00"&amp;VALUE(LEFT(Sync!$Q1007,FIND(":",Sync!$Q1007)-1)),2)&amp;RIGHT("00"&amp;VALUE(MID(Sync!$Q1007,FIND(":",Sync!$Q1007)+1,2)),2),"0000"))))</f>
        <v/>
      </c>
      <c r="G1010">
        <f>IF(OR($E1010="",$E1010="نامعتبر"),"",IF(Sync!$S1007="","",Sync!$S1007))</f>
        <v/>
      </c>
      <c r="H1010">
        <f>IF(OR($E1010="",$E1010="نامعتبر"),"",IF(Sync!$R1007="","",Sync!$R1007))</f>
        <v/>
      </c>
      <c r="I1010">
        <f>IF(OR($E1010="",$E1010="نامعتبر"),"",IF(Sync!$T1007="","",Sync!$T1007))</f>
        <v/>
      </c>
      <c r="J1010">
        <f>IF(OR($E1010="",$E1010="نامعتبر"),"",IF(Sync!$U1007="","",Sync!$U1007))</f>
        <v/>
      </c>
      <c r="K1010">
        <f>IF(OR($E1010="",$E1010="نامعتبر"),"",IF(Sync!$V1007="","",IFERROR(INDEX(SubCodes,MATCH(Sync!$V1007,SubTitles,0)),Sync!$V1007)))</f>
        <v/>
      </c>
      <c r="L1010">
        <f>IF(OR($E1010="",$E1010="نامعتبر"),"",IF(Sync!$W1007="",0,Sync!$W1007))</f>
        <v/>
      </c>
      <c r="M1010">
        <f>IF(OR($E1010="",$E1010="نامعتبر"),"",IF(Sync!$X1007="",0,Sync!$X1007))</f>
        <v/>
      </c>
      <c r="N1010">
        <f>IF(OR($E1010="",$E1010="نامعتبر"),"",IF(AND($J1010="هزینه",$K1010&lt;&gt;""),1,0))</f>
        <v/>
      </c>
      <c r="O1010">
        <f>IF($N1010=0,"",LEFT($E1010,4)&amp;MID($E1010,6,2)&amp;RIGHT($E1010,2)&amp;$F1010&amp;"|"&amp;"1"&amp;RIGHT("00000"&amp;1002,5))</f>
        <v/>
      </c>
      <c r="P1010">
        <f>IF($O1010="","",COUNTIFS(ExpSub,$K1010,ExpKey,"&lt;"&amp;$O1010)+1)</f>
        <v/>
      </c>
      <c r="Q1010">
        <f>IF($P1010="","",$K1010&amp;"|"&amp;RIGHT("000000"&amp;$P1010,6))</f>
        <v/>
      </c>
    </row>
    <row r="1011">
      <c r="A1011">
        <f>IF(Sync!$P1008="","",Sync!$P1008)</f>
        <v/>
      </c>
      <c r="B1011">
        <f>IF($A1011="","",IF(ISNUMBER($A1011),IF(AND($A1011&gt;=10000101,$A1011&lt;=99991231),INT($A1011/10000),""),IFERROR(VALUE(TRIM(LEFT($A1011,FIND("/",$A1011)-1))),"")))</f>
        <v/>
      </c>
      <c r="C1011">
        <f>IF(OR($A1011="",$B1011=""),"",IF(ISNUMBER($A1011),INT(MOD($A1011,10000)/100),IFERROR(VALUE(TRIM(LEFT(MID($A1011,FIND("/",$A1011)+1,20),FIND("/",MID($A1011,FIND("/",$A1011)+1,20))-1))),"")))</f>
        <v/>
      </c>
      <c r="D1011">
        <f>IF(OR($A1011="",$B1011=""),"",IF(ISNUMBER($A1011),MOD($A1011,100),IFERROR(VALUE(TRIM(MID(MID($A1011,FIND("/",$A1011)+1,20),FIND("/",MID($A1011,FIND("/",$A1011)+1,20))+1,20))),"")))</f>
        <v/>
      </c>
      <c r="E1011">
        <f>IF($A1011="","",IF(OR($B1011="",$C1011="",$D1011="",$B1011&lt;1300,$B1011&gt;1500,$C1011&lt;1,$C1011&gt;12,$D1011&lt;1,$D1011&gt;31),"نامعتبر",RIGHT("0000"&amp;$B1011,4)&amp;"/"&amp;RIGHT("00"&amp;$C1011,2)&amp;"/"&amp;RIGHT("00"&amp;$D1011,2)))</f>
        <v/>
      </c>
      <c r="F1011">
        <f>IF(OR($E1011="",$E1011="نامعتبر"),"",IF(Sync!$Q1008="","0000",IF(AND(ISNUMBER(Sync!$Q1008),Sync!$Q1008&gt;=0,Sync!$Q1008&lt;1),RIGHT("00"&amp;HOUR(Sync!$Q1008),2)&amp;RIGHT("00"&amp;MINUTE(Sync!$Q1008),2),IFERROR(RIGHT("00"&amp;VALUE(LEFT(Sync!$Q1008,FIND(":",Sync!$Q1008)-1)),2)&amp;RIGHT("00"&amp;VALUE(MID(Sync!$Q1008,FIND(":",Sync!$Q1008)+1,2)),2),"0000"))))</f>
        <v/>
      </c>
      <c r="G1011">
        <f>IF(OR($E1011="",$E1011="نامعتبر"),"",IF(Sync!$S1008="","",Sync!$S1008))</f>
        <v/>
      </c>
      <c r="H1011">
        <f>IF(OR($E1011="",$E1011="نامعتبر"),"",IF(Sync!$R1008="","",Sync!$R1008))</f>
        <v/>
      </c>
      <c r="I1011">
        <f>IF(OR($E1011="",$E1011="نامعتبر"),"",IF(Sync!$T1008="","",Sync!$T1008))</f>
        <v/>
      </c>
      <c r="J1011">
        <f>IF(OR($E1011="",$E1011="نامعتبر"),"",IF(Sync!$U1008="","",Sync!$U1008))</f>
        <v/>
      </c>
      <c r="K1011">
        <f>IF(OR($E1011="",$E1011="نامعتبر"),"",IF(Sync!$V1008="","",IFERROR(INDEX(SubCodes,MATCH(Sync!$V1008,SubTitles,0)),Sync!$V1008)))</f>
        <v/>
      </c>
      <c r="L1011">
        <f>IF(OR($E1011="",$E1011="نامعتبر"),"",IF(Sync!$W1008="",0,Sync!$W1008))</f>
        <v/>
      </c>
      <c r="M1011">
        <f>IF(OR($E1011="",$E1011="نامعتبر"),"",IF(Sync!$X1008="",0,Sync!$X1008))</f>
        <v/>
      </c>
      <c r="N1011">
        <f>IF(OR($E1011="",$E1011="نامعتبر"),"",IF(AND($J1011="هزینه",$K1011&lt;&gt;""),1,0))</f>
        <v/>
      </c>
      <c r="O1011">
        <f>IF($N1011=0,"",LEFT($E1011,4)&amp;MID($E1011,6,2)&amp;RIGHT($E1011,2)&amp;$F1011&amp;"|"&amp;"1"&amp;RIGHT("00000"&amp;1003,5))</f>
        <v/>
      </c>
      <c r="P1011">
        <f>IF($O1011="","",COUNTIFS(ExpSub,$K1011,ExpKey,"&lt;"&amp;$O1011)+1)</f>
        <v/>
      </c>
      <c r="Q1011">
        <f>IF($P1011="","",$K1011&amp;"|"&amp;RIGHT("000000"&amp;$P1011,6))</f>
        <v/>
      </c>
    </row>
    <row r="1012">
      <c r="A1012">
        <f>IF(Sync!$P1009="","",Sync!$P1009)</f>
        <v/>
      </c>
      <c r="B1012">
        <f>IF($A1012="","",IF(ISNUMBER($A1012),IF(AND($A1012&gt;=10000101,$A1012&lt;=99991231),INT($A1012/10000),""),IFERROR(VALUE(TRIM(LEFT($A1012,FIND("/",$A1012)-1))),"")))</f>
        <v/>
      </c>
      <c r="C1012">
        <f>IF(OR($A1012="",$B1012=""),"",IF(ISNUMBER($A1012),INT(MOD($A1012,10000)/100),IFERROR(VALUE(TRIM(LEFT(MID($A1012,FIND("/",$A1012)+1,20),FIND("/",MID($A1012,FIND("/",$A1012)+1,20))-1))),"")))</f>
        <v/>
      </c>
      <c r="D1012">
        <f>IF(OR($A1012="",$B1012=""),"",IF(ISNUMBER($A1012),MOD($A1012,100),IFERROR(VALUE(TRIM(MID(MID($A1012,FIND("/",$A1012)+1,20),FIND("/",MID($A1012,FIND("/",$A1012)+1,20))+1,20))),"")))</f>
        <v/>
      </c>
      <c r="E1012">
        <f>IF($A1012="","",IF(OR($B1012="",$C1012="",$D1012="",$B1012&lt;1300,$B1012&gt;1500,$C1012&lt;1,$C1012&gt;12,$D1012&lt;1,$D1012&gt;31),"نامعتبر",RIGHT("0000"&amp;$B1012,4)&amp;"/"&amp;RIGHT("00"&amp;$C1012,2)&amp;"/"&amp;RIGHT("00"&amp;$D1012,2)))</f>
        <v/>
      </c>
      <c r="F1012">
        <f>IF(OR($E1012="",$E1012="نامعتبر"),"",IF(Sync!$Q1009="","0000",IF(AND(ISNUMBER(Sync!$Q1009),Sync!$Q1009&gt;=0,Sync!$Q1009&lt;1),RIGHT("00"&amp;HOUR(Sync!$Q1009),2)&amp;RIGHT("00"&amp;MINUTE(Sync!$Q1009),2),IFERROR(RIGHT("00"&amp;VALUE(LEFT(Sync!$Q1009,FIND(":",Sync!$Q1009)-1)),2)&amp;RIGHT("00"&amp;VALUE(MID(Sync!$Q1009,FIND(":",Sync!$Q1009)+1,2)),2),"0000"))))</f>
        <v/>
      </c>
      <c r="G1012">
        <f>IF(OR($E1012="",$E1012="نامعتبر"),"",IF(Sync!$S1009="","",Sync!$S1009))</f>
        <v/>
      </c>
      <c r="H1012">
        <f>IF(OR($E1012="",$E1012="نامعتبر"),"",IF(Sync!$R1009="","",Sync!$R1009))</f>
        <v/>
      </c>
      <c r="I1012">
        <f>IF(OR($E1012="",$E1012="نامعتبر"),"",IF(Sync!$T1009="","",Sync!$T1009))</f>
        <v/>
      </c>
      <c r="J1012">
        <f>IF(OR($E1012="",$E1012="نامعتبر"),"",IF(Sync!$U1009="","",Sync!$U1009))</f>
        <v/>
      </c>
      <c r="K1012">
        <f>IF(OR($E1012="",$E1012="نامعتبر"),"",IF(Sync!$V1009="","",IFERROR(INDEX(SubCodes,MATCH(Sync!$V1009,SubTitles,0)),Sync!$V1009)))</f>
        <v/>
      </c>
      <c r="L1012">
        <f>IF(OR($E1012="",$E1012="نامعتبر"),"",IF(Sync!$W1009="",0,Sync!$W1009))</f>
        <v/>
      </c>
      <c r="M1012">
        <f>IF(OR($E1012="",$E1012="نامعتبر"),"",IF(Sync!$X1009="",0,Sync!$X1009))</f>
        <v/>
      </c>
      <c r="N1012">
        <f>IF(OR($E1012="",$E1012="نامعتبر"),"",IF(AND($J1012="هزینه",$K1012&lt;&gt;""),1,0))</f>
        <v/>
      </c>
      <c r="O1012">
        <f>IF($N1012=0,"",LEFT($E1012,4)&amp;MID($E1012,6,2)&amp;RIGHT($E1012,2)&amp;$F1012&amp;"|"&amp;"1"&amp;RIGHT("00000"&amp;1004,5))</f>
        <v/>
      </c>
      <c r="P1012">
        <f>IF($O1012="","",COUNTIFS(ExpSub,$K1012,ExpKey,"&lt;"&amp;$O1012)+1)</f>
        <v/>
      </c>
      <c r="Q1012">
        <f>IF($P1012="","",$K1012&amp;"|"&amp;RIGHT("000000"&amp;$P1012,6))</f>
        <v/>
      </c>
    </row>
    <row r="1013">
      <c r="A1013">
        <f>IF(Sync!$P1010="","",Sync!$P1010)</f>
        <v/>
      </c>
      <c r="B1013">
        <f>IF($A1013="","",IF(ISNUMBER($A1013),IF(AND($A1013&gt;=10000101,$A1013&lt;=99991231),INT($A1013/10000),""),IFERROR(VALUE(TRIM(LEFT($A1013,FIND("/",$A1013)-1))),"")))</f>
        <v/>
      </c>
      <c r="C1013">
        <f>IF(OR($A1013="",$B1013=""),"",IF(ISNUMBER($A1013),INT(MOD($A1013,10000)/100),IFERROR(VALUE(TRIM(LEFT(MID($A1013,FIND("/",$A1013)+1,20),FIND("/",MID($A1013,FIND("/",$A1013)+1,20))-1))),"")))</f>
        <v/>
      </c>
      <c r="D1013">
        <f>IF(OR($A1013="",$B1013=""),"",IF(ISNUMBER($A1013),MOD($A1013,100),IFERROR(VALUE(TRIM(MID(MID($A1013,FIND("/",$A1013)+1,20),FIND("/",MID($A1013,FIND("/",$A1013)+1,20))+1,20))),"")))</f>
        <v/>
      </c>
      <c r="E1013">
        <f>IF($A1013="","",IF(OR($B1013="",$C1013="",$D1013="",$B1013&lt;1300,$B1013&gt;1500,$C1013&lt;1,$C1013&gt;12,$D1013&lt;1,$D1013&gt;31),"نامعتبر",RIGHT("0000"&amp;$B1013,4)&amp;"/"&amp;RIGHT("00"&amp;$C1013,2)&amp;"/"&amp;RIGHT("00"&amp;$D1013,2)))</f>
        <v/>
      </c>
      <c r="F1013">
        <f>IF(OR($E1013="",$E1013="نامعتبر"),"",IF(Sync!$Q1010="","0000",IF(AND(ISNUMBER(Sync!$Q1010),Sync!$Q1010&gt;=0,Sync!$Q1010&lt;1),RIGHT("00"&amp;HOUR(Sync!$Q1010),2)&amp;RIGHT("00"&amp;MINUTE(Sync!$Q1010),2),IFERROR(RIGHT("00"&amp;VALUE(LEFT(Sync!$Q1010,FIND(":",Sync!$Q1010)-1)),2)&amp;RIGHT("00"&amp;VALUE(MID(Sync!$Q1010,FIND(":",Sync!$Q1010)+1,2)),2),"0000"))))</f>
        <v/>
      </c>
      <c r="G1013">
        <f>IF(OR($E1013="",$E1013="نامعتبر"),"",IF(Sync!$S1010="","",Sync!$S1010))</f>
        <v/>
      </c>
      <c r="H1013">
        <f>IF(OR($E1013="",$E1013="نامعتبر"),"",IF(Sync!$R1010="","",Sync!$R1010))</f>
        <v/>
      </c>
      <c r="I1013">
        <f>IF(OR($E1013="",$E1013="نامعتبر"),"",IF(Sync!$T1010="","",Sync!$T1010))</f>
        <v/>
      </c>
      <c r="J1013">
        <f>IF(OR($E1013="",$E1013="نامعتبر"),"",IF(Sync!$U1010="","",Sync!$U1010))</f>
        <v/>
      </c>
      <c r="K1013">
        <f>IF(OR($E1013="",$E1013="نامعتبر"),"",IF(Sync!$V1010="","",IFERROR(INDEX(SubCodes,MATCH(Sync!$V1010,SubTitles,0)),Sync!$V1010)))</f>
        <v/>
      </c>
      <c r="L1013">
        <f>IF(OR($E1013="",$E1013="نامعتبر"),"",IF(Sync!$W1010="",0,Sync!$W1010))</f>
        <v/>
      </c>
      <c r="M1013">
        <f>IF(OR($E1013="",$E1013="نامعتبر"),"",IF(Sync!$X1010="",0,Sync!$X1010))</f>
        <v/>
      </c>
      <c r="N1013">
        <f>IF(OR($E1013="",$E1013="نامعتبر"),"",IF(AND($J1013="هزینه",$K1013&lt;&gt;""),1,0))</f>
        <v/>
      </c>
      <c r="O1013">
        <f>IF($N1013=0,"",LEFT($E1013,4)&amp;MID($E1013,6,2)&amp;RIGHT($E1013,2)&amp;$F1013&amp;"|"&amp;"1"&amp;RIGHT("00000"&amp;1005,5))</f>
        <v/>
      </c>
      <c r="P1013">
        <f>IF($O1013="","",COUNTIFS(ExpSub,$K1013,ExpKey,"&lt;"&amp;$O1013)+1)</f>
        <v/>
      </c>
      <c r="Q1013">
        <f>IF($P1013="","",$K1013&amp;"|"&amp;RIGHT("000000"&amp;$P1013,6))</f>
        <v/>
      </c>
    </row>
    <row r="1014">
      <c r="A1014">
        <f>IF(Sync!$P1011="","",Sync!$P1011)</f>
        <v/>
      </c>
      <c r="B1014">
        <f>IF($A1014="","",IF(ISNUMBER($A1014),IF(AND($A1014&gt;=10000101,$A1014&lt;=99991231),INT($A1014/10000),""),IFERROR(VALUE(TRIM(LEFT($A1014,FIND("/",$A1014)-1))),"")))</f>
        <v/>
      </c>
      <c r="C1014">
        <f>IF(OR($A1014="",$B1014=""),"",IF(ISNUMBER($A1014),INT(MOD($A1014,10000)/100),IFERROR(VALUE(TRIM(LEFT(MID($A1014,FIND("/",$A1014)+1,20),FIND("/",MID($A1014,FIND("/",$A1014)+1,20))-1))),"")))</f>
        <v/>
      </c>
      <c r="D1014">
        <f>IF(OR($A1014="",$B1014=""),"",IF(ISNUMBER($A1014),MOD($A1014,100),IFERROR(VALUE(TRIM(MID(MID($A1014,FIND("/",$A1014)+1,20),FIND("/",MID($A1014,FIND("/",$A1014)+1,20))+1,20))),"")))</f>
        <v/>
      </c>
      <c r="E1014">
        <f>IF($A1014="","",IF(OR($B1014="",$C1014="",$D1014="",$B1014&lt;1300,$B1014&gt;1500,$C1014&lt;1,$C1014&gt;12,$D1014&lt;1,$D1014&gt;31),"نامعتبر",RIGHT("0000"&amp;$B1014,4)&amp;"/"&amp;RIGHT("00"&amp;$C1014,2)&amp;"/"&amp;RIGHT("00"&amp;$D1014,2)))</f>
        <v/>
      </c>
      <c r="F1014">
        <f>IF(OR($E1014="",$E1014="نامعتبر"),"",IF(Sync!$Q1011="","0000",IF(AND(ISNUMBER(Sync!$Q1011),Sync!$Q1011&gt;=0,Sync!$Q1011&lt;1),RIGHT("00"&amp;HOUR(Sync!$Q1011),2)&amp;RIGHT("00"&amp;MINUTE(Sync!$Q1011),2),IFERROR(RIGHT("00"&amp;VALUE(LEFT(Sync!$Q1011,FIND(":",Sync!$Q1011)-1)),2)&amp;RIGHT("00"&amp;VALUE(MID(Sync!$Q1011,FIND(":",Sync!$Q1011)+1,2)),2),"0000"))))</f>
        <v/>
      </c>
      <c r="G1014">
        <f>IF(OR($E1014="",$E1014="نامعتبر"),"",IF(Sync!$S1011="","",Sync!$S1011))</f>
        <v/>
      </c>
      <c r="H1014">
        <f>IF(OR($E1014="",$E1014="نامعتبر"),"",IF(Sync!$R1011="","",Sync!$R1011))</f>
        <v/>
      </c>
      <c r="I1014">
        <f>IF(OR($E1014="",$E1014="نامعتبر"),"",IF(Sync!$T1011="","",Sync!$T1011))</f>
        <v/>
      </c>
      <c r="J1014">
        <f>IF(OR($E1014="",$E1014="نامعتبر"),"",IF(Sync!$U1011="","",Sync!$U1011))</f>
        <v/>
      </c>
      <c r="K1014">
        <f>IF(OR($E1014="",$E1014="نامعتبر"),"",IF(Sync!$V1011="","",IFERROR(INDEX(SubCodes,MATCH(Sync!$V1011,SubTitles,0)),Sync!$V1011)))</f>
        <v/>
      </c>
      <c r="L1014">
        <f>IF(OR($E1014="",$E1014="نامعتبر"),"",IF(Sync!$W1011="",0,Sync!$W1011))</f>
        <v/>
      </c>
      <c r="M1014">
        <f>IF(OR($E1014="",$E1014="نامعتبر"),"",IF(Sync!$X1011="",0,Sync!$X1011))</f>
        <v/>
      </c>
      <c r="N1014">
        <f>IF(OR($E1014="",$E1014="نامعتبر"),"",IF(AND($J1014="هزینه",$K1014&lt;&gt;""),1,0))</f>
        <v/>
      </c>
      <c r="O1014">
        <f>IF($N1014=0,"",LEFT($E1014,4)&amp;MID($E1014,6,2)&amp;RIGHT($E1014,2)&amp;$F1014&amp;"|"&amp;"1"&amp;RIGHT("00000"&amp;1006,5))</f>
        <v/>
      </c>
      <c r="P1014">
        <f>IF($O1014="","",COUNTIFS(ExpSub,$K1014,ExpKey,"&lt;"&amp;$O1014)+1)</f>
        <v/>
      </c>
      <c r="Q1014">
        <f>IF($P1014="","",$K1014&amp;"|"&amp;RIGHT("000000"&amp;$P1014,6))</f>
        <v/>
      </c>
    </row>
    <row r="1015">
      <c r="A1015">
        <f>IF(Sync!$P1012="","",Sync!$P1012)</f>
        <v/>
      </c>
      <c r="B1015">
        <f>IF($A1015="","",IF(ISNUMBER($A1015),IF(AND($A1015&gt;=10000101,$A1015&lt;=99991231),INT($A1015/10000),""),IFERROR(VALUE(TRIM(LEFT($A1015,FIND("/",$A1015)-1))),"")))</f>
        <v/>
      </c>
      <c r="C1015">
        <f>IF(OR($A1015="",$B1015=""),"",IF(ISNUMBER($A1015),INT(MOD($A1015,10000)/100),IFERROR(VALUE(TRIM(LEFT(MID($A1015,FIND("/",$A1015)+1,20),FIND("/",MID($A1015,FIND("/",$A1015)+1,20))-1))),"")))</f>
        <v/>
      </c>
      <c r="D1015">
        <f>IF(OR($A1015="",$B1015=""),"",IF(ISNUMBER($A1015),MOD($A1015,100),IFERROR(VALUE(TRIM(MID(MID($A1015,FIND("/",$A1015)+1,20),FIND("/",MID($A1015,FIND("/",$A1015)+1,20))+1,20))),"")))</f>
        <v/>
      </c>
      <c r="E1015">
        <f>IF($A1015="","",IF(OR($B1015="",$C1015="",$D1015="",$B1015&lt;1300,$B1015&gt;1500,$C1015&lt;1,$C1015&gt;12,$D1015&lt;1,$D1015&gt;31),"نامعتبر",RIGHT("0000"&amp;$B1015,4)&amp;"/"&amp;RIGHT("00"&amp;$C1015,2)&amp;"/"&amp;RIGHT("00"&amp;$D1015,2)))</f>
        <v/>
      </c>
      <c r="F1015">
        <f>IF(OR($E1015="",$E1015="نامعتبر"),"",IF(Sync!$Q1012="","0000",IF(AND(ISNUMBER(Sync!$Q1012),Sync!$Q1012&gt;=0,Sync!$Q1012&lt;1),RIGHT("00"&amp;HOUR(Sync!$Q1012),2)&amp;RIGHT("00"&amp;MINUTE(Sync!$Q1012),2),IFERROR(RIGHT("00"&amp;VALUE(LEFT(Sync!$Q1012,FIND(":",Sync!$Q1012)-1)),2)&amp;RIGHT("00"&amp;VALUE(MID(Sync!$Q1012,FIND(":",Sync!$Q1012)+1,2)),2),"0000"))))</f>
        <v/>
      </c>
      <c r="G1015">
        <f>IF(OR($E1015="",$E1015="نامعتبر"),"",IF(Sync!$S1012="","",Sync!$S1012))</f>
        <v/>
      </c>
      <c r="H1015">
        <f>IF(OR($E1015="",$E1015="نامعتبر"),"",IF(Sync!$R1012="","",Sync!$R1012))</f>
        <v/>
      </c>
      <c r="I1015">
        <f>IF(OR($E1015="",$E1015="نامعتبر"),"",IF(Sync!$T1012="","",Sync!$T1012))</f>
        <v/>
      </c>
      <c r="J1015">
        <f>IF(OR($E1015="",$E1015="نامعتبر"),"",IF(Sync!$U1012="","",Sync!$U1012))</f>
        <v/>
      </c>
      <c r="K1015">
        <f>IF(OR($E1015="",$E1015="نامعتبر"),"",IF(Sync!$V1012="","",IFERROR(INDEX(SubCodes,MATCH(Sync!$V1012,SubTitles,0)),Sync!$V1012)))</f>
        <v/>
      </c>
      <c r="L1015">
        <f>IF(OR($E1015="",$E1015="نامعتبر"),"",IF(Sync!$W1012="",0,Sync!$W1012))</f>
        <v/>
      </c>
      <c r="M1015">
        <f>IF(OR($E1015="",$E1015="نامعتبر"),"",IF(Sync!$X1012="",0,Sync!$X1012))</f>
        <v/>
      </c>
      <c r="N1015">
        <f>IF(OR($E1015="",$E1015="نامعتبر"),"",IF(AND($J1015="هزینه",$K1015&lt;&gt;""),1,0))</f>
        <v/>
      </c>
      <c r="O1015">
        <f>IF($N1015=0,"",LEFT($E1015,4)&amp;MID($E1015,6,2)&amp;RIGHT($E1015,2)&amp;$F1015&amp;"|"&amp;"1"&amp;RIGHT("00000"&amp;1007,5))</f>
        <v/>
      </c>
      <c r="P1015">
        <f>IF($O1015="","",COUNTIFS(ExpSub,$K1015,ExpKey,"&lt;"&amp;$O1015)+1)</f>
        <v/>
      </c>
      <c r="Q1015">
        <f>IF($P1015="","",$K1015&amp;"|"&amp;RIGHT("000000"&amp;$P1015,6))</f>
        <v/>
      </c>
    </row>
    <row r="1016">
      <c r="A1016">
        <f>IF(Sync!$P1013="","",Sync!$P1013)</f>
        <v/>
      </c>
      <c r="B1016">
        <f>IF($A1016="","",IF(ISNUMBER($A1016),IF(AND($A1016&gt;=10000101,$A1016&lt;=99991231),INT($A1016/10000),""),IFERROR(VALUE(TRIM(LEFT($A1016,FIND("/",$A1016)-1))),"")))</f>
        <v/>
      </c>
      <c r="C1016">
        <f>IF(OR($A1016="",$B1016=""),"",IF(ISNUMBER($A1016),INT(MOD($A1016,10000)/100),IFERROR(VALUE(TRIM(LEFT(MID($A1016,FIND("/",$A1016)+1,20),FIND("/",MID($A1016,FIND("/",$A1016)+1,20))-1))),"")))</f>
        <v/>
      </c>
      <c r="D1016">
        <f>IF(OR($A1016="",$B1016=""),"",IF(ISNUMBER($A1016),MOD($A1016,100),IFERROR(VALUE(TRIM(MID(MID($A1016,FIND("/",$A1016)+1,20),FIND("/",MID($A1016,FIND("/",$A1016)+1,20))+1,20))),"")))</f>
        <v/>
      </c>
      <c r="E1016">
        <f>IF($A1016="","",IF(OR($B1016="",$C1016="",$D1016="",$B1016&lt;1300,$B1016&gt;1500,$C1016&lt;1,$C1016&gt;12,$D1016&lt;1,$D1016&gt;31),"نامعتبر",RIGHT("0000"&amp;$B1016,4)&amp;"/"&amp;RIGHT("00"&amp;$C1016,2)&amp;"/"&amp;RIGHT("00"&amp;$D1016,2)))</f>
        <v/>
      </c>
      <c r="F1016">
        <f>IF(OR($E1016="",$E1016="نامعتبر"),"",IF(Sync!$Q1013="","0000",IF(AND(ISNUMBER(Sync!$Q1013),Sync!$Q1013&gt;=0,Sync!$Q1013&lt;1),RIGHT("00"&amp;HOUR(Sync!$Q1013),2)&amp;RIGHT("00"&amp;MINUTE(Sync!$Q1013),2),IFERROR(RIGHT("00"&amp;VALUE(LEFT(Sync!$Q1013,FIND(":",Sync!$Q1013)-1)),2)&amp;RIGHT("00"&amp;VALUE(MID(Sync!$Q1013,FIND(":",Sync!$Q1013)+1,2)),2),"0000"))))</f>
        <v/>
      </c>
      <c r="G1016">
        <f>IF(OR($E1016="",$E1016="نامعتبر"),"",IF(Sync!$S1013="","",Sync!$S1013))</f>
        <v/>
      </c>
      <c r="H1016">
        <f>IF(OR($E1016="",$E1016="نامعتبر"),"",IF(Sync!$R1013="","",Sync!$R1013))</f>
        <v/>
      </c>
      <c r="I1016">
        <f>IF(OR($E1016="",$E1016="نامعتبر"),"",IF(Sync!$T1013="","",Sync!$T1013))</f>
        <v/>
      </c>
      <c r="J1016">
        <f>IF(OR($E1016="",$E1016="نامعتبر"),"",IF(Sync!$U1013="","",Sync!$U1013))</f>
        <v/>
      </c>
      <c r="K1016">
        <f>IF(OR($E1016="",$E1016="نامعتبر"),"",IF(Sync!$V1013="","",IFERROR(INDEX(SubCodes,MATCH(Sync!$V1013,SubTitles,0)),Sync!$V1013)))</f>
        <v/>
      </c>
      <c r="L1016">
        <f>IF(OR($E1016="",$E1016="نامعتبر"),"",IF(Sync!$W1013="",0,Sync!$W1013))</f>
        <v/>
      </c>
      <c r="M1016">
        <f>IF(OR($E1016="",$E1016="نامعتبر"),"",IF(Sync!$X1013="",0,Sync!$X1013))</f>
        <v/>
      </c>
      <c r="N1016">
        <f>IF(OR($E1016="",$E1016="نامعتبر"),"",IF(AND($J1016="هزینه",$K1016&lt;&gt;""),1,0))</f>
        <v/>
      </c>
      <c r="O1016">
        <f>IF($N1016=0,"",LEFT($E1016,4)&amp;MID($E1016,6,2)&amp;RIGHT($E1016,2)&amp;$F1016&amp;"|"&amp;"1"&amp;RIGHT("00000"&amp;1008,5))</f>
        <v/>
      </c>
      <c r="P1016">
        <f>IF($O1016="","",COUNTIFS(ExpSub,$K1016,ExpKey,"&lt;"&amp;$O1016)+1)</f>
        <v/>
      </c>
      <c r="Q1016">
        <f>IF($P1016="","",$K1016&amp;"|"&amp;RIGHT("000000"&amp;$P1016,6))</f>
        <v/>
      </c>
    </row>
    <row r="1017">
      <c r="A1017">
        <f>IF(Sync!$P1014="","",Sync!$P1014)</f>
        <v/>
      </c>
      <c r="B1017">
        <f>IF($A1017="","",IF(ISNUMBER($A1017),IF(AND($A1017&gt;=10000101,$A1017&lt;=99991231),INT($A1017/10000),""),IFERROR(VALUE(TRIM(LEFT($A1017,FIND("/",$A1017)-1))),"")))</f>
        <v/>
      </c>
      <c r="C1017">
        <f>IF(OR($A1017="",$B1017=""),"",IF(ISNUMBER($A1017),INT(MOD($A1017,10000)/100),IFERROR(VALUE(TRIM(LEFT(MID($A1017,FIND("/",$A1017)+1,20),FIND("/",MID($A1017,FIND("/",$A1017)+1,20))-1))),"")))</f>
        <v/>
      </c>
      <c r="D1017">
        <f>IF(OR($A1017="",$B1017=""),"",IF(ISNUMBER($A1017),MOD($A1017,100),IFERROR(VALUE(TRIM(MID(MID($A1017,FIND("/",$A1017)+1,20),FIND("/",MID($A1017,FIND("/",$A1017)+1,20))+1,20))),"")))</f>
        <v/>
      </c>
      <c r="E1017">
        <f>IF($A1017="","",IF(OR($B1017="",$C1017="",$D1017="",$B1017&lt;1300,$B1017&gt;1500,$C1017&lt;1,$C1017&gt;12,$D1017&lt;1,$D1017&gt;31),"نامعتبر",RIGHT("0000"&amp;$B1017,4)&amp;"/"&amp;RIGHT("00"&amp;$C1017,2)&amp;"/"&amp;RIGHT("00"&amp;$D1017,2)))</f>
        <v/>
      </c>
      <c r="F1017">
        <f>IF(OR($E1017="",$E1017="نامعتبر"),"",IF(Sync!$Q1014="","0000",IF(AND(ISNUMBER(Sync!$Q1014),Sync!$Q1014&gt;=0,Sync!$Q1014&lt;1),RIGHT("00"&amp;HOUR(Sync!$Q1014),2)&amp;RIGHT("00"&amp;MINUTE(Sync!$Q1014),2),IFERROR(RIGHT("00"&amp;VALUE(LEFT(Sync!$Q1014,FIND(":",Sync!$Q1014)-1)),2)&amp;RIGHT("00"&amp;VALUE(MID(Sync!$Q1014,FIND(":",Sync!$Q1014)+1,2)),2),"0000"))))</f>
        <v/>
      </c>
      <c r="G1017">
        <f>IF(OR($E1017="",$E1017="نامعتبر"),"",IF(Sync!$S1014="","",Sync!$S1014))</f>
        <v/>
      </c>
      <c r="H1017">
        <f>IF(OR($E1017="",$E1017="نامعتبر"),"",IF(Sync!$R1014="","",Sync!$R1014))</f>
        <v/>
      </c>
      <c r="I1017">
        <f>IF(OR($E1017="",$E1017="نامعتبر"),"",IF(Sync!$T1014="","",Sync!$T1014))</f>
        <v/>
      </c>
      <c r="J1017">
        <f>IF(OR($E1017="",$E1017="نامعتبر"),"",IF(Sync!$U1014="","",Sync!$U1014))</f>
        <v/>
      </c>
      <c r="K1017">
        <f>IF(OR($E1017="",$E1017="نامعتبر"),"",IF(Sync!$V1014="","",IFERROR(INDEX(SubCodes,MATCH(Sync!$V1014,SubTitles,0)),Sync!$V1014)))</f>
        <v/>
      </c>
      <c r="L1017">
        <f>IF(OR($E1017="",$E1017="نامعتبر"),"",IF(Sync!$W1014="",0,Sync!$W1014))</f>
        <v/>
      </c>
      <c r="M1017">
        <f>IF(OR($E1017="",$E1017="نامعتبر"),"",IF(Sync!$X1014="",0,Sync!$X1014))</f>
        <v/>
      </c>
      <c r="N1017">
        <f>IF(OR($E1017="",$E1017="نامعتبر"),"",IF(AND($J1017="هزینه",$K1017&lt;&gt;""),1,0))</f>
        <v/>
      </c>
      <c r="O1017">
        <f>IF($N1017=0,"",LEFT($E1017,4)&amp;MID($E1017,6,2)&amp;RIGHT($E1017,2)&amp;$F1017&amp;"|"&amp;"1"&amp;RIGHT("00000"&amp;1009,5))</f>
        <v/>
      </c>
      <c r="P1017">
        <f>IF($O1017="","",COUNTIFS(ExpSub,$K1017,ExpKey,"&lt;"&amp;$O1017)+1)</f>
        <v/>
      </c>
      <c r="Q1017">
        <f>IF($P1017="","",$K1017&amp;"|"&amp;RIGHT("000000"&amp;$P1017,6))</f>
        <v/>
      </c>
    </row>
    <row r="1018">
      <c r="A1018">
        <f>IF(Sync!$P1015="","",Sync!$P1015)</f>
        <v/>
      </c>
      <c r="B1018">
        <f>IF($A1018="","",IF(ISNUMBER($A1018),IF(AND($A1018&gt;=10000101,$A1018&lt;=99991231),INT($A1018/10000),""),IFERROR(VALUE(TRIM(LEFT($A1018,FIND("/",$A1018)-1))),"")))</f>
        <v/>
      </c>
      <c r="C1018">
        <f>IF(OR($A1018="",$B1018=""),"",IF(ISNUMBER($A1018),INT(MOD($A1018,10000)/100),IFERROR(VALUE(TRIM(LEFT(MID($A1018,FIND("/",$A1018)+1,20),FIND("/",MID($A1018,FIND("/",$A1018)+1,20))-1))),"")))</f>
        <v/>
      </c>
      <c r="D1018">
        <f>IF(OR($A1018="",$B1018=""),"",IF(ISNUMBER($A1018),MOD($A1018,100),IFERROR(VALUE(TRIM(MID(MID($A1018,FIND("/",$A1018)+1,20),FIND("/",MID($A1018,FIND("/",$A1018)+1,20))+1,20))),"")))</f>
        <v/>
      </c>
      <c r="E1018">
        <f>IF($A1018="","",IF(OR($B1018="",$C1018="",$D1018="",$B1018&lt;1300,$B1018&gt;1500,$C1018&lt;1,$C1018&gt;12,$D1018&lt;1,$D1018&gt;31),"نامعتبر",RIGHT("0000"&amp;$B1018,4)&amp;"/"&amp;RIGHT("00"&amp;$C1018,2)&amp;"/"&amp;RIGHT("00"&amp;$D1018,2)))</f>
        <v/>
      </c>
      <c r="F1018">
        <f>IF(OR($E1018="",$E1018="نامعتبر"),"",IF(Sync!$Q1015="","0000",IF(AND(ISNUMBER(Sync!$Q1015),Sync!$Q1015&gt;=0,Sync!$Q1015&lt;1),RIGHT("00"&amp;HOUR(Sync!$Q1015),2)&amp;RIGHT("00"&amp;MINUTE(Sync!$Q1015),2),IFERROR(RIGHT("00"&amp;VALUE(LEFT(Sync!$Q1015,FIND(":",Sync!$Q1015)-1)),2)&amp;RIGHT("00"&amp;VALUE(MID(Sync!$Q1015,FIND(":",Sync!$Q1015)+1,2)),2),"0000"))))</f>
        <v/>
      </c>
      <c r="G1018">
        <f>IF(OR($E1018="",$E1018="نامعتبر"),"",IF(Sync!$S1015="","",Sync!$S1015))</f>
        <v/>
      </c>
      <c r="H1018">
        <f>IF(OR($E1018="",$E1018="نامعتبر"),"",IF(Sync!$R1015="","",Sync!$R1015))</f>
        <v/>
      </c>
      <c r="I1018">
        <f>IF(OR($E1018="",$E1018="نامعتبر"),"",IF(Sync!$T1015="","",Sync!$T1015))</f>
        <v/>
      </c>
      <c r="J1018">
        <f>IF(OR($E1018="",$E1018="نامعتبر"),"",IF(Sync!$U1015="","",Sync!$U1015))</f>
        <v/>
      </c>
      <c r="K1018">
        <f>IF(OR($E1018="",$E1018="نامعتبر"),"",IF(Sync!$V1015="","",IFERROR(INDEX(SubCodes,MATCH(Sync!$V1015,SubTitles,0)),Sync!$V1015)))</f>
        <v/>
      </c>
      <c r="L1018">
        <f>IF(OR($E1018="",$E1018="نامعتبر"),"",IF(Sync!$W1015="",0,Sync!$W1015))</f>
        <v/>
      </c>
      <c r="M1018">
        <f>IF(OR($E1018="",$E1018="نامعتبر"),"",IF(Sync!$X1015="",0,Sync!$X1015))</f>
        <v/>
      </c>
      <c r="N1018">
        <f>IF(OR($E1018="",$E1018="نامعتبر"),"",IF(AND($J1018="هزینه",$K1018&lt;&gt;""),1,0))</f>
        <v/>
      </c>
      <c r="O1018">
        <f>IF($N1018=0,"",LEFT($E1018,4)&amp;MID($E1018,6,2)&amp;RIGHT($E1018,2)&amp;$F1018&amp;"|"&amp;"1"&amp;RIGHT("00000"&amp;1010,5))</f>
        <v/>
      </c>
      <c r="P1018">
        <f>IF($O1018="","",COUNTIFS(ExpSub,$K1018,ExpKey,"&lt;"&amp;$O1018)+1)</f>
        <v/>
      </c>
      <c r="Q1018">
        <f>IF($P1018="","",$K1018&amp;"|"&amp;RIGHT("000000"&amp;$P1018,6))</f>
        <v/>
      </c>
    </row>
    <row r="1019">
      <c r="A1019">
        <f>IF(Sync!$P1016="","",Sync!$P1016)</f>
        <v/>
      </c>
      <c r="B1019">
        <f>IF($A1019="","",IF(ISNUMBER($A1019),IF(AND($A1019&gt;=10000101,$A1019&lt;=99991231),INT($A1019/10000),""),IFERROR(VALUE(TRIM(LEFT($A1019,FIND("/",$A1019)-1))),"")))</f>
        <v/>
      </c>
      <c r="C1019">
        <f>IF(OR($A1019="",$B1019=""),"",IF(ISNUMBER($A1019),INT(MOD($A1019,10000)/100),IFERROR(VALUE(TRIM(LEFT(MID($A1019,FIND("/",$A1019)+1,20),FIND("/",MID($A1019,FIND("/",$A1019)+1,20))-1))),"")))</f>
        <v/>
      </c>
      <c r="D1019">
        <f>IF(OR($A1019="",$B1019=""),"",IF(ISNUMBER($A1019),MOD($A1019,100),IFERROR(VALUE(TRIM(MID(MID($A1019,FIND("/",$A1019)+1,20),FIND("/",MID($A1019,FIND("/",$A1019)+1,20))+1,20))),"")))</f>
        <v/>
      </c>
      <c r="E1019">
        <f>IF($A1019="","",IF(OR($B1019="",$C1019="",$D1019="",$B1019&lt;1300,$B1019&gt;1500,$C1019&lt;1,$C1019&gt;12,$D1019&lt;1,$D1019&gt;31),"نامعتبر",RIGHT("0000"&amp;$B1019,4)&amp;"/"&amp;RIGHT("00"&amp;$C1019,2)&amp;"/"&amp;RIGHT("00"&amp;$D1019,2)))</f>
        <v/>
      </c>
      <c r="F1019">
        <f>IF(OR($E1019="",$E1019="نامعتبر"),"",IF(Sync!$Q1016="","0000",IF(AND(ISNUMBER(Sync!$Q1016),Sync!$Q1016&gt;=0,Sync!$Q1016&lt;1),RIGHT("00"&amp;HOUR(Sync!$Q1016),2)&amp;RIGHT("00"&amp;MINUTE(Sync!$Q1016),2),IFERROR(RIGHT("00"&amp;VALUE(LEFT(Sync!$Q1016,FIND(":",Sync!$Q1016)-1)),2)&amp;RIGHT("00"&amp;VALUE(MID(Sync!$Q1016,FIND(":",Sync!$Q1016)+1,2)),2),"0000"))))</f>
        <v/>
      </c>
      <c r="G1019">
        <f>IF(OR($E1019="",$E1019="نامعتبر"),"",IF(Sync!$S1016="","",Sync!$S1016))</f>
        <v/>
      </c>
      <c r="H1019">
        <f>IF(OR($E1019="",$E1019="نامعتبر"),"",IF(Sync!$R1016="","",Sync!$R1016))</f>
        <v/>
      </c>
      <c r="I1019">
        <f>IF(OR($E1019="",$E1019="نامعتبر"),"",IF(Sync!$T1016="","",Sync!$T1016))</f>
        <v/>
      </c>
      <c r="J1019">
        <f>IF(OR($E1019="",$E1019="نامعتبر"),"",IF(Sync!$U1016="","",Sync!$U1016))</f>
        <v/>
      </c>
      <c r="K1019">
        <f>IF(OR($E1019="",$E1019="نامعتبر"),"",IF(Sync!$V1016="","",IFERROR(INDEX(SubCodes,MATCH(Sync!$V1016,SubTitles,0)),Sync!$V1016)))</f>
        <v/>
      </c>
      <c r="L1019">
        <f>IF(OR($E1019="",$E1019="نامعتبر"),"",IF(Sync!$W1016="",0,Sync!$W1016))</f>
        <v/>
      </c>
      <c r="M1019">
        <f>IF(OR($E1019="",$E1019="نامعتبر"),"",IF(Sync!$X1016="",0,Sync!$X1016))</f>
        <v/>
      </c>
      <c r="N1019">
        <f>IF(OR($E1019="",$E1019="نامعتبر"),"",IF(AND($J1019="هزینه",$K1019&lt;&gt;""),1,0))</f>
        <v/>
      </c>
      <c r="O1019">
        <f>IF($N1019=0,"",LEFT($E1019,4)&amp;MID($E1019,6,2)&amp;RIGHT($E1019,2)&amp;$F1019&amp;"|"&amp;"1"&amp;RIGHT("00000"&amp;1011,5))</f>
        <v/>
      </c>
      <c r="P1019">
        <f>IF($O1019="","",COUNTIFS(ExpSub,$K1019,ExpKey,"&lt;"&amp;$O1019)+1)</f>
        <v/>
      </c>
      <c r="Q1019">
        <f>IF($P1019="","",$K1019&amp;"|"&amp;RIGHT("000000"&amp;$P1019,6))</f>
        <v/>
      </c>
    </row>
    <row r="1020">
      <c r="A1020">
        <f>IF(Sync!$P1017="","",Sync!$P1017)</f>
        <v/>
      </c>
      <c r="B1020">
        <f>IF($A1020="","",IF(ISNUMBER($A1020),IF(AND($A1020&gt;=10000101,$A1020&lt;=99991231),INT($A1020/10000),""),IFERROR(VALUE(TRIM(LEFT($A1020,FIND("/",$A1020)-1))),"")))</f>
        <v/>
      </c>
      <c r="C1020">
        <f>IF(OR($A1020="",$B1020=""),"",IF(ISNUMBER($A1020),INT(MOD($A1020,10000)/100),IFERROR(VALUE(TRIM(LEFT(MID($A1020,FIND("/",$A1020)+1,20),FIND("/",MID($A1020,FIND("/",$A1020)+1,20))-1))),"")))</f>
        <v/>
      </c>
      <c r="D1020">
        <f>IF(OR($A1020="",$B1020=""),"",IF(ISNUMBER($A1020),MOD($A1020,100),IFERROR(VALUE(TRIM(MID(MID($A1020,FIND("/",$A1020)+1,20),FIND("/",MID($A1020,FIND("/",$A1020)+1,20))+1,20))),"")))</f>
        <v/>
      </c>
      <c r="E1020">
        <f>IF($A1020="","",IF(OR($B1020="",$C1020="",$D1020="",$B1020&lt;1300,$B1020&gt;1500,$C1020&lt;1,$C1020&gt;12,$D1020&lt;1,$D1020&gt;31),"نامعتبر",RIGHT("0000"&amp;$B1020,4)&amp;"/"&amp;RIGHT("00"&amp;$C1020,2)&amp;"/"&amp;RIGHT("00"&amp;$D1020,2)))</f>
        <v/>
      </c>
      <c r="F1020">
        <f>IF(OR($E1020="",$E1020="نامعتبر"),"",IF(Sync!$Q1017="","0000",IF(AND(ISNUMBER(Sync!$Q1017),Sync!$Q1017&gt;=0,Sync!$Q1017&lt;1),RIGHT("00"&amp;HOUR(Sync!$Q1017),2)&amp;RIGHT("00"&amp;MINUTE(Sync!$Q1017),2),IFERROR(RIGHT("00"&amp;VALUE(LEFT(Sync!$Q1017,FIND(":",Sync!$Q1017)-1)),2)&amp;RIGHT("00"&amp;VALUE(MID(Sync!$Q1017,FIND(":",Sync!$Q1017)+1,2)),2),"0000"))))</f>
        <v/>
      </c>
      <c r="G1020">
        <f>IF(OR($E1020="",$E1020="نامعتبر"),"",IF(Sync!$S1017="","",Sync!$S1017))</f>
        <v/>
      </c>
      <c r="H1020">
        <f>IF(OR($E1020="",$E1020="نامعتبر"),"",IF(Sync!$R1017="","",Sync!$R1017))</f>
        <v/>
      </c>
      <c r="I1020">
        <f>IF(OR($E1020="",$E1020="نامعتبر"),"",IF(Sync!$T1017="","",Sync!$T1017))</f>
        <v/>
      </c>
      <c r="J1020">
        <f>IF(OR($E1020="",$E1020="نامعتبر"),"",IF(Sync!$U1017="","",Sync!$U1017))</f>
        <v/>
      </c>
      <c r="K1020">
        <f>IF(OR($E1020="",$E1020="نامعتبر"),"",IF(Sync!$V1017="","",IFERROR(INDEX(SubCodes,MATCH(Sync!$V1017,SubTitles,0)),Sync!$V1017)))</f>
        <v/>
      </c>
      <c r="L1020">
        <f>IF(OR($E1020="",$E1020="نامعتبر"),"",IF(Sync!$W1017="",0,Sync!$W1017))</f>
        <v/>
      </c>
      <c r="M1020">
        <f>IF(OR($E1020="",$E1020="نامعتبر"),"",IF(Sync!$X1017="",0,Sync!$X1017))</f>
        <v/>
      </c>
      <c r="N1020">
        <f>IF(OR($E1020="",$E1020="نامعتبر"),"",IF(AND($J1020="هزینه",$K1020&lt;&gt;""),1,0))</f>
        <v/>
      </c>
      <c r="O1020">
        <f>IF($N1020=0,"",LEFT($E1020,4)&amp;MID($E1020,6,2)&amp;RIGHT($E1020,2)&amp;$F1020&amp;"|"&amp;"1"&amp;RIGHT("00000"&amp;1012,5))</f>
        <v/>
      </c>
      <c r="P1020">
        <f>IF($O1020="","",COUNTIFS(ExpSub,$K1020,ExpKey,"&lt;"&amp;$O1020)+1)</f>
        <v/>
      </c>
      <c r="Q1020">
        <f>IF($P1020="","",$K1020&amp;"|"&amp;RIGHT("000000"&amp;$P1020,6))</f>
        <v/>
      </c>
    </row>
    <row r="1021">
      <c r="A1021">
        <f>IF(Sync!$P1018="","",Sync!$P1018)</f>
        <v/>
      </c>
      <c r="B1021">
        <f>IF($A1021="","",IF(ISNUMBER($A1021),IF(AND($A1021&gt;=10000101,$A1021&lt;=99991231),INT($A1021/10000),""),IFERROR(VALUE(TRIM(LEFT($A1021,FIND("/",$A1021)-1))),"")))</f>
        <v/>
      </c>
      <c r="C1021">
        <f>IF(OR($A1021="",$B1021=""),"",IF(ISNUMBER($A1021),INT(MOD($A1021,10000)/100),IFERROR(VALUE(TRIM(LEFT(MID($A1021,FIND("/",$A1021)+1,20),FIND("/",MID($A1021,FIND("/",$A1021)+1,20))-1))),"")))</f>
        <v/>
      </c>
      <c r="D1021">
        <f>IF(OR($A1021="",$B1021=""),"",IF(ISNUMBER($A1021),MOD($A1021,100),IFERROR(VALUE(TRIM(MID(MID($A1021,FIND("/",$A1021)+1,20),FIND("/",MID($A1021,FIND("/",$A1021)+1,20))+1,20))),"")))</f>
        <v/>
      </c>
      <c r="E1021">
        <f>IF($A1021="","",IF(OR($B1021="",$C1021="",$D1021="",$B1021&lt;1300,$B1021&gt;1500,$C1021&lt;1,$C1021&gt;12,$D1021&lt;1,$D1021&gt;31),"نامعتبر",RIGHT("0000"&amp;$B1021,4)&amp;"/"&amp;RIGHT("00"&amp;$C1021,2)&amp;"/"&amp;RIGHT("00"&amp;$D1021,2)))</f>
        <v/>
      </c>
      <c r="F1021">
        <f>IF(OR($E1021="",$E1021="نامعتبر"),"",IF(Sync!$Q1018="","0000",IF(AND(ISNUMBER(Sync!$Q1018),Sync!$Q1018&gt;=0,Sync!$Q1018&lt;1),RIGHT("00"&amp;HOUR(Sync!$Q1018),2)&amp;RIGHT("00"&amp;MINUTE(Sync!$Q1018),2),IFERROR(RIGHT("00"&amp;VALUE(LEFT(Sync!$Q1018,FIND(":",Sync!$Q1018)-1)),2)&amp;RIGHT("00"&amp;VALUE(MID(Sync!$Q1018,FIND(":",Sync!$Q1018)+1,2)),2),"0000"))))</f>
        <v/>
      </c>
      <c r="G1021">
        <f>IF(OR($E1021="",$E1021="نامعتبر"),"",IF(Sync!$S1018="","",Sync!$S1018))</f>
        <v/>
      </c>
      <c r="H1021">
        <f>IF(OR($E1021="",$E1021="نامعتبر"),"",IF(Sync!$R1018="","",Sync!$R1018))</f>
        <v/>
      </c>
      <c r="I1021">
        <f>IF(OR($E1021="",$E1021="نامعتبر"),"",IF(Sync!$T1018="","",Sync!$T1018))</f>
        <v/>
      </c>
      <c r="J1021">
        <f>IF(OR($E1021="",$E1021="نامعتبر"),"",IF(Sync!$U1018="","",Sync!$U1018))</f>
        <v/>
      </c>
      <c r="K1021">
        <f>IF(OR($E1021="",$E1021="نامعتبر"),"",IF(Sync!$V1018="","",IFERROR(INDEX(SubCodes,MATCH(Sync!$V1018,SubTitles,0)),Sync!$V1018)))</f>
        <v/>
      </c>
      <c r="L1021">
        <f>IF(OR($E1021="",$E1021="نامعتبر"),"",IF(Sync!$W1018="",0,Sync!$W1018))</f>
        <v/>
      </c>
      <c r="M1021">
        <f>IF(OR($E1021="",$E1021="نامعتبر"),"",IF(Sync!$X1018="",0,Sync!$X1018))</f>
        <v/>
      </c>
      <c r="N1021">
        <f>IF(OR($E1021="",$E1021="نامعتبر"),"",IF(AND($J1021="هزینه",$K1021&lt;&gt;""),1,0))</f>
        <v/>
      </c>
      <c r="O1021">
        <f>IF($N1021=0,"",LEFT($E1021,4)&amp;MID($E1021,6,2)&amp;RIGHT($E1021,2)&amp;$F1021&amp;"|"&amp;"1"&amp;RIGHT("00000"&amp;1013,5))</f>
        <v/>
      </c>
      <c r="P1021">
        <f>IF($O1021="","",COUNTIFS(ExpSub,$K1021,ExpKey,"&lt;"&amp;$O1021)+1)</f>
        <v/>
      </c>
      <c r="Q1021">
        <f>IF($P1021="","",$K1021&amp;"|"&amp;RIGHT("000000"&amp;$P1021,6))</f>
        <v/>
      </c>
    </row>
    <row r="1022">
      <c r="A1022">
        <f>IF(Sync!$P1019="","",Sync!$P1019)</f>
        <v/>
      </c>
      <c r="B1022">
        <f>IF($A1022="","",IF(ISNUMBER($A1022),IF(AND($A1022&gt;=10000101,$A1022&lt;=99991231),INT($A1022/10000),""),IFERROR(VALUE(TRIM(LEFT($A1022,FIND("/",$A1022)-1))),"")))</f>
        <v/>
      </c>
      <c r="C1022">
        <f>IF(OR($A1022="",$B1022=""),"",IF(ISNUMBER($A1022),INT(MOD($A1022,10000)/100),IFERROR(VALUE(TRIM(LEFT(MID($A1022,FIND("/",$A1022)+1,20),FIND("/",MID($A1022,FIND("/",$A1022)+1,20))-1))),"")))</f>
        <v/>
      </c>
      <c r="D1022">
        <f>IF(OR($A1022="",$B1022=""),"",IF(ISNUMBER($A1022),MOD($A1022,100),IFERROR(VALUE(TRIM(MID(MID($A1022,FIND("/",$A1022)+1,20),FIND("/",MID($A1022,FIND("/",$A1022)+1,20))+1,20))),"")))</f>
        <v/>
      </c>
      <c r="E1022">
        <f>IF($A1022="","",IF(OR($B1022="",$C1022="",$D1022="",$B1022&lt;1300,$B1022&gt;1500,$C1022&lt;1,$C1022&gt;12,$D1022&lt;1,$D1022&gt;31),"نامعتبر",RIGHT("0000"&amp;$B1022,4)&amp;"/"&amp;RIGHT("00"&amp;$C1022,2)&amp;"/"&amp;RIGHT("00"&amp;$D1022,2)))</f>
        <v/>
      </c>
      <c r="F1022">
        <f>IF(OR($E1022="",$E1022="نامعتبر"),"",IF(Sync!$Q1019="","0000",IF(AND(ISNUMBER(Sync!$Q1019),Sync!$Q1019&gt;=0,Sync!$Q1019&lt;1),RIGHT("00"&amp;HOUR(Sync!$Q1019),2)&amp;RIGHT("00"&amp;MINUTE(Sync!$Q1019),2),IFERROR(RIGHT("00"&amp;VALUE(LEFT(Sync!$Q1019,FIND(":",Sync!$Q1019)-1)),2)&amp;RIGHT("00"&amp;VALUE(MID(Sync!$Q1019,FIND(":",Sync!$Q1019)+1,2)),2),"0000"))))</f>
        <v/>
      </c>
      <c r="G1022">
        <f>IF(OR($E1022="",$E1022="نامعتبر"),"",IF(Sync!$S1019="","",Sync!$S1019))</f>
        <v/>
      </c>
      <c r="H1022">
        <f>IF(OR($E1022="",$E1022="نامعتبر"),"",IF(Sync!$R1019="","",Sync!$R1019))</f>
        <v/>
      </c>
      <c r="I1022">
        <f>IF(OR($E1022="",$E1022="نامعتبر"),"",IF(Sync!$T1019="","",Sync!$T1019))</f>
        <v/>
      </c>
      <c r="J1022">
        <f>IF(OR($E1022="",$E1022="نامعتبر"),"",IF(Sync!$U1019="","",Sync!$U1019))</f>
        <v/>
      </c>
      <c r="K1022">
        <f>IF(OR($E1022="",$E1022="نامعتبر"),"",IF(Sync!$V1019="","",IFERROR(INDEX(SubCodes,MATCH(Sync!$V1019,SubTitles,0)),Sync!$V1019)))</f>
        <v/>
      </c>
      <c r="L1022">
        <f>IF(OR($E1022="",$E1022="نامعتبر"),"",IF(Sync!$W1019="",0,Sync!$W1019))</f>
        <v/>
      </c>
      <c r="M1022">
        <f>IF(OR($E1022="",$E1022="نامعتبر"),"",IF(Sync!$X1019="",0,Sync!$X1019))</f>
        <v/>
      </c>
      <c r="N1022">
        <f>IF(OR($E1022="",$E1022="نامعتبر"),"",IF(AND($J1022="هزینه",$K1022&lt;&gt;""),1,0))</f>
        <v/>
      </c>
      <c r="O1022">
        <f>IF($N1022=0,"",LEFT($E1022,4)&amp;MID($E1022,6,2)&amp;RIGHT($E1022,2)&amp;$F1022&amp;"|"&amp;"1"&amp;RIGHT("00000"&amp;1014,5))</f>
        <v/>
      </c>
      <c r="P1022">
        <f>IF($O1022="","",COUNTIFS(ExpSub,$K1022,ExpKey,"&lt;"&amp;$O1022)+1)</f>
        <v/>
      </c>
      <c r="Q1022">
        <f>IF($P1022="","",$K1022&amp;"|"&amp;RIGHT("000000"&amp;$P1022,6))</f>
        <v/>
      </c>
    </row>
    <row r="1023">
      <c r="A1023">
        <f>IF(Sync!$P1020="","",Sync!$P1020)</f>
        <v/>
      </c>
      <c r="B1023">
        <f>IF($A1023="","",IF(ISNUMBER($A1023),IF(AND($A1023&gt;=10000101,$A1023&lt;=99991231),INT($A1023/10000),""),IFERROR(VALUE(TRIM(LEFT($A1023,FIND("/",$A1023)-1))),"")))</f>
        <v/>
      </c>
      <c r="C1023">
        <f>IF(OR($A1023="",$B1023=""),"",IF(ISNUMBER($A1023),INT(MOD($A1023,10000)/100),IFERROR(VALUE(TRIM(LEFT(MID($A1023,FIND("/",$A1023)+1,20),FIND("/",MID($A1023,FIND("/",$A1023)+1,20))-1))),"")))</f>
        <v/>
      </c>
      <c r="D1023">
        <f>IF(OR($A1023="",$B1023=""),"",IF(ISNUMBER($A1023),MOD($A1023,100),IFERROR(VALUE(TRIM(MID(MID($A1023,FIND("/",$A1023)+1,20),FIND("/",MID($A1023,FIND("/",$A1023)+1,20))+1,20))),"")))</f>
        <v/>
      </c>
      <c r="E1023">
        <f>IF($A1023="","",IF(OR($B1023="",$C1023="",$D1023="",$B1023&lt;1300,$B1023&gt;1500,$C1023&lt;1,$C1023&gt;12,$D1023&lt;1,$D1023&gt;31),"نامعتبر",RIGHT("0000"&amp;$B1023,4)&amp;"/"&amp;RIGHT("00"&amp;$C1023,2)&amp;"/"&amp;RIGHT("00"&amp;$D1023,2)))</f>
        <v/>
      </c>
      <c r="F1023">
        <f>IF(OR($E1023="",$E1023="نامعتبر"),"",IF(Sync!$Q1020="","0000",IF(AND(ISNUMBER(Sync!$Q1020),Sync!$Q1020&gt;=0,Sync!$Q1020&lt;1),RIGHT("00"&amp;HOUR(Sync!$Q1020),2)&amp;RIGHT("00"&amp;MINUTE(Sync!$Q1020),2),IFERROR(RIGHT("00"&amp;VALUE(LEFT(Sync!$Q1020,FIND(":",Sync!$Q1020)-1)),2)&amp;RIGHT("00"&amp;VALUE(MID(Sync!$Q1020,FIND(":",Sync!$Q1020)+1,2)),2),"0000"))))</f>
        <v/>
      </c>
      <c r="G1023">
        <f>IF(OR($E1023="",$E1023="نامعتبر"),"",IF(Sync!$S1020="","",Sync!$S1020))</f>
        <v/>
      </c>
      <c r="H1023">
        <f>IF(OR($E1023="",$E1023="نامعتبر"),"",IF(Sync!$R1020="","",Sync!$R1020))</f>
        <v/>
      </c>
      <c r="I1023">
        <f>IF(OR($E1023="",$E1023="نامعتبر"),"",IF(Sync!$T1020="","",Sync!$T1020))</f>
        <v/>
      </c>
      <c r="J1023">
        <f>IF(OR($E1023="",$E1023="نامعتبر"),"",IF(Sync!$U1020="","",Sync!$U1020))</f>
        <v/>
      </c>
      <c r="K1023">
        <f>IF(OR($E1023="",$E1023="نامعتبر"),"",IF(Sync!$V1020="","",IFERROR(INDEX(SubCodes,MATCH(Sync!$V1020,SubTitles,0)),Sync!$V1020)))</f>
        <v/>
      </c>
      <c r="L1023">
        <f>IF(OR($E1023="",$E1023="نامعتبر"),"",IF(Sync!$W1020="",0,Sync!$W1020))</f>
        <v/>
      </c>
      <c r="M1023">
        <f>IF(OR($E1023="",$E1023="نامعتبر"),"",IF(Sync!$X1020="",0,Sync!$X1020))</f>
        <v/>
      </c>
      <c r="N1023">
        <f>IF(OR($E1023="",$E1023="نامعتبر"),"",IF(AND($J1023="هزینه",$K1023&lt;&gt;""),1,0))</f>
        <v/>
      </c>
      <c r="O1023">
        <f>IF($N1023=0,"",LEFT($E1023,4)&amp;MID($E1023,6,2)&amp;RIGHT($E1023,2)&amp;$F1023&amp;"|"&amp;"1"&amp;RIGHT("00000"&amp;1015,5))</f>
        <v/>
      </c>
      <c r="P1023">
        <f>IF($O1023="","",COUNTIFS(ExpSub,$K1023,ExpKey,"&lt;"&amp;$O1023)+1)</f>
        <v/>
      </c>
      <c r="Q1023">
        <f>IF($P1023="","",$K1023&amp;"|"&amp;RIGHT("000000"&amp;$P1023,6))</f>
        <v/>
      </c>
    </row>
    <row r="1024">
      <c r="A1024">
        <f>IF(Sync!$P1021="","",Sync!$P1021)</f>
        <v/>
      </c>
      <c r="B1024">
        <f>IF($A1024="","",IF(ISNUMBER($A1024),IF(AND($A1024&gt;=10000101,$A1024&lt;=99991231),INT($A1024/10000),""),IFERROR(VALUE(TRIM(LEFT($A1024,FIND("/",$A1024)-1))),"")))</f>
        <v/>
      </c>
      <c r="C1024">
        <f>IF(OR($A1024="",$B1024=""),"",IF(ISNUMBER($A1024),INT(MOD($A1024,10000)/100),IFERROR(VALUE(TRIM(LEFT(MID($A1024,FIND("/",$A1024)+1,20),FIND("/",MID($A1024,FIND("/",$A1024)+1,20))-1))),"")))</f>
        <v/>
      </c>
      <c r="D1024">
        <f>IF(OR($A1024="",$B1024=""),"",IF(ISNUMBER($A1024),MOD($A1024,100),IFERROR(VALUE(TRIM(MID(MID($A1024,FIND("/",$A1024)+1,20),FIND("/",MID($A1024,FIND("/",$A1024)+1,20))+1,20))),"")))</f>
        <v/>
      </c>
      <c r="E1024">
        <f>IF($A1024="","",IF(OR($B1024="",$C1024="",$D1024="",$B1024&lt;1300,$B1024&gt;1500,$C1024&lt;1,$C1024&gt;12,$D1024&lt;1,$D1024&gt;31),"نامعتبر",RIGHT("0000"&amp;$B1024,4)&amp;"/"&amp;RIGHT("00"&amp;$C1024,2)&amp;"/"&amp;RIGHT("00"&amp;$D1024,2)))</f>
        <v/>
      </c>
      <c r="F1024">
        <f>IF(OR($E1024="",$E1024="نامعتبر"),"",IF(Sync!$Q1021="","0000",IF(AND(ISNUMBER(Sync!$Q1021),Sync!$Q1021&gt;=0,Sync!$Q1021&lt;1),RIGHT("00"&amp;HOUR(Sync!$Q1021),2)&amp;RIGHT("00"&amp;MINUTE(Sync!$Q1021),2),IFERROR(RIGHT("00"&amp;VALUE(LEFT(Sync!$Q1021,FIND(":",Sync!$Q1021)-1)),2)&amp;RIGHT("00"&amp;VALUE(MID(Sync!$Q1021,FIND(":",Sync!$Q1021)+1,2)),2),"0000"))))</f>
        <v/>
      </c>
      <c r="G1024">
        <f>IF(OR($E1024="",$E1024="نامعتبر"),"",IF(Sync!$S1021="","",Sync!$S1021))</f>
        <v/>
      </c>
      <c r="H1024">
        <f>IF(OR($E1024="",$E1024="نامعتبر"),"",IF(Sync!$R1021="","",Sync!$R1021))</f>
        <v/>
      </c>
      <c r="I1024">
        <f>IF(OR($E1024="",$E1024="نامعتبر"),"",IF(Sync!$T1021="","",Sync!$T1021))</f>
        <v/>
      </c>
      <c r="J1024">
        <f>IF(OR($E1024="",$E1024="نامعتبر"),"",IF(Sync!$U1021="","",Sync!$U1021))</f>
        <v/>
      </c>
      <c r="K1024">
        <f>IF(OR($E1024="",$E1024="نامعتبر"),"",IF(Sync!$V1021="","",IFERROR(INDEX(SubCodes,MATCH(Sync!$V1021,SubTitles,0)),Sync!$V1021)))</f>
        <v/>
      </c>
      <c r="L1024">
        <f>IF(OR($E1024="",$E1024="نامعتبر"),"",IF(Sync!$W1021="",0,Sync!$W1021))</f>
        <v/>
      </c>
      <c r="M1024">
        <f>IF(OR($E1024="",$E1024="نامعتبر"),"",IF(Sync!$X1021="",0,Sync!$X1021))</f>
        <v/>
      </c>
      <c r="N1024">
        <f>IF(OR($E1024="",$E1024="نامعتبر"),"",IF(AND($J1024="هزینه",$K1024&lt;&gt;""),1,0))</f>
        <v/>
      </c>
      <c r="O1024">
        <f>IF($N1024=0,"",LEFT($E1024,4)&amp;MID($E1024,6,2)&amp;RIGHT($E1024,2)&amp;$F1024&amp;"|"&amp;"1"&amp;RIGHT("00000"&amp;1016,5))</f>
        <v/>
      </c>
      <c r="P1024">
        <f>IF($O1024="","",COUNTIFS(ExpSub,$K1024,ExpKey,"&lt;"&amp;$O1024)+1)</f>
        <v/>
      </c>
      <c r="Q1024">
        <f>IF($P1024="","",$K1024&amp;"|"&amp;RIGHT("000000"&amp;$P1024,6))</f>
        <v/>
      </c>
    </row>
    <row r="1025">
      <c r="A1025">
        <f>IF(Sync!$P1022="","",Sync!$P1022)</f>
        <v/>
      </c>
      <c r="B1025">
        <f>IF($A1025="","",IF(ISNUMBER($A1025),IF(AND($A1025&gt;=10000101,$A1025&lt;=99991231),INT($A1025/10000),""),IFERROR(VALUE(TRIM(LEFT($A1025,FIND("/",$A1025)-1))),"")))</f>
        <v/>
      </c>
      <c r="C1025">
        <f>IF(OR($A1025="",$B1025=""),"",IF(ISNUMBER($A1025),INT(MOD($A1025,10000)/100),IFERROR(VALUE(TRIM(LEFT(MID($A1025,FIND("/",$A1025)+1,20),FIND("/",MID($A1025,FIND("/",$A1025)+1,20))-1))),"")))</f>
        <v/>
      </c>
      <c r="D1025">
        <f>IF(OR($A1025="",$B1025=""),"",IF(ISNUMBER($A1025),MOD($A1025,100),IFERROR(VALUE(TRIM(MID(MID($A1025,FIND("/",$A1025)+1,20),FIND("/",MID($A1025,FIND("/",$A1025)+1,20))+1,20))),"")))</f>
        <v/>
      </c>
      <c r="E1025">
        <f>IF($A1025="","",IF(OR($B1025="",$C1025="",$D1025="",$B1025&lt;1300,$B1025&gt;1500,$C1025&lt;1,$C1025&gt;12,$D1025&lt;1,$D1025&gt;31),"نامعتبر",RIGHT("0000"&amp;$B1025,4)&amp;"/"&amp;RIGHT("00"&amp;$C1025,2)&amp;"/"&amp;RIGHT("00"&amp;$D1025,2)))</f>
        <v/>
      </c>
      <c r="F1025">
        <f>IF(OR($E1025="",$E1025="نامعتبر"),"",IF(Sync!$Q1022="","0000",IF(AND(ISNUMBER(Sync!$Q1022),Sync!$Q1022&gt;=0,Sync!$Q1022&lt;1),RIGHT("00"&amp;HOUR(Sync!$Q1022),2)&amp;RIGHT("00"&amp;MINUTE(Sync!$Q1022),2),IFERROR(RIGHT("00"&amp;VALUE(LEFT(Sync!$Q1022,FIND(":",Sync!$Q1022)-1)),2)&amp;RIGHT("00"&amp;VALUE(MID(Sync!$Q1022,FIND(":",Sync!$Q1022)+1,2)),2),"0000"))))</f>
        <v/>
      </c>
      <c r="G1025">
        <f>IF(OR($E1025="",$E1025="نامعتبر"),"",IF(Sync!$S1022="","",Sync!$S1022))</f>
        <v/>
      </c>
      <c r="H1025">
        <f>IF(OR($E1025="",$E1025="نامعتبر"),"",IF(Sync!$R1022="","",Sync!$R1022))</f>
        <v/>
      </c>
      <c r="I1025">
        <f>IF(OR($E1025="",$E1025="نامعتبر"),"",IF(Sync!$T1022="","",Sync!$T1022))</f>
        <v/>
      </c>
      <c r="J1025">
        <f>IF(OR($E1025="",$E1025="نامعتبر"),"",IF(Sync!$U1022="","",Sync!$U1022))</f>
        <v/>
      </c>
      <c r="K1025">
        <f>IF(OR($E1025="",$E1025="نامعتبر"),"",IF(Sync!$V1022="","",IFERROR(INDEX(SubCodes,MATCH(Sync!$V1022,SubTitles,0)),Sync!$V1022)))</f>
        <v/>
      </c>
      <c r="L1025">
        <f>IF(OR($E1025="",$E1025="نامعتبر"),"",IF(Sync!$W1022="",0,Sync!$W1022))</f>
        <v/>
      </c>
      <c r="M1025">
        <f>IF(OR($E1025="",$E1025="نامعتبر"),"",IF(Sync!$X1022="",0,Sync!$X1022))</f>
        <v/>
      </c>
      <c r="N1025">
        <f>IF(OR($E1025="",$E1025="نامعتبر"),"",IF(AND($J1025="هزینه",$K1025&lt;&gt;""),1,0))</f>
        <v/>
      </c>
      <c r="O1025">
        <f>IF($N1025=0,"",LEFT($E1025,4)&amp;MID($E1025,6,2)&amp;RIGHT($E1025,2)&amp;$F1025&amp;"|"&amp;"1"&amp;RIGHT("00000"&amp;1017,5))</f>
        <v/>
      </c>
      <c r="P1025">
        <f>IF($O1025="","",COUNTIFS(ExpSub,$K1025,ExpKey,"&lt;"&amp;$O1025)+1)</f>
        <v/>
      </c>
      <c r="Q1025">
        <f>IF($P1025="","",$K1025&amp;"|"&amp;RIGHT("000000"&amp;$P1025,6))</f>
        <v/>
      </c>
    </row>
    <row r="1026">
      <c r="A1026">
        <f>IF(Sync!$P1023="","",Sync!$P1023)</f>
        <v/>
      </c>
      <c r="B1026">
        <f>IF($A1026="","",IF(ISNUMBER($A1026),IF(AND($A1026&gt;=10000101,$A1026&lt;=99991231),INT($A1026/10000),""),IFERROR(VALUE(TRIM(LEFT($A1026,FIND("/",$A1026)-1))),"")))</f>
        <v/>
      </c>
      <c r="C1026">
        <f>IF(OR($A1026="",$B1026=""),"",IF(ISNUMBER($A1026),INT(MOD($A1026,10000)/100),IFERROR(VALUE(TRIM(LEFT(MID($A1026,FIND("/",$A1026)+1,20),FIND("/",MID($A1026,FIND("/",$A1026)+1,20))-1))),"")))</f>
        <v/>
      </c>
      <c r="D1026">
        <f>IF(OR($A1026="",$B1026=""),"",IF(ISNUMBER($A1026),MOD($A1026,100),IFERROR(VALUE(TRIM(MID(MID($A1026,FIND("/",$A1026)+1,20),FIND("/",MID($A1026,FIND("/",$A1026)+1,20))+1,20))),"")))</f>
        <v/>
      </c>
      <c r="E1026">
        <f>IF($A1026="","",IF(OR($B1026="",$C1026="",$D1026="",$B1026&lt;1300,$B1026&gt;1500,$C1026&lt;1,$C1026&gt;12,$D1026&lt;1,$D1026&gt;31),"نامعتبر",RIGHT("0000"&amp;$B1026,4)&amp;"/"&amp;RIGHT("00"&amp;$C1026,2)&amp;"/"&amp;RIGHT("00"&amp;$D1026,2)))</f>
        <v/>
      </c>
      <c r="F1026">
        <f>IF(OR($E1026="",$E1026="نامعتبر"),"",IF(Sync!$Q1023="","0000",IF(AND(ISNUMBER(Sync!$Q1023),Sync!$Q1023&gt;=0,Sync!$Q1023&lt;1),RIGHT("00"&amp;HOUR(Sync!$Q1023),2)&amp;RIGHT("00"&amp;MINUTE(Sync!$Q1023),2),IFERROR(RIGHT("00"&amp;VALUE(LEFT(Sync!$Q1023,FIND(":",Sync!$Q1023)-1)),2)&amp;RIGHT("00"&amp;VALUE(MID(Sync!$Q1023,FIND(":",Sync!$Q1023)+1,2)),2),"0000"))))</f>
        <v/>
      </c>
      <c r="G1026">
        <f>IF(OR($E1026="",$E1026="نامعتبر"),"",IF(Sync!$S1023="","",Sync!$S1023))</f>
        <v/>
      </c>
      <c r="H1026">
        <f>IF(OR($E1026="",$E1026="نامعتبر"),"",IF(Sync!$R1023="","",Sync!$R1023))</f>
        <v/>
      </c>
      <c r="I1026">
        <f>IF(OR($E1026="",$E1026="نامعتبر"),"",IF(Sync!$T1023="","",Sync!$T1023))</f>
        <v/>
      </c>
      <c r="J1026">
        <f>IF(OR($E1026="",$E1026="نامعتبر"),"",IF(Sync!$U1023="","",Sync!$U1023))</f>
        <v/>
      </c>
      <c r="K1026">
        <f>IF(OR($E1026="",$E1026="نامعتبر"),"",IF(Sync!$V1023="","",IFERROR(INDEX(SubCodes,MATCH(Sync!$V1023,SubTitles,0)),Sync!$V1023)))</f>
        <v/>
      </c>
      <c r="L1026">
        <f>IF(OR($E1026="",$E1026="نامعتبر"),"",IF(Sync!$W1023="",0,Sync!$W1023))</f>
        <v/>
      </c>
      <c r="M1026">
        <f>IF(OR($E1026="",$E1026="نامعتبر"),"",IF(Sync!$X1023="",0,Sync!$X1023))</f>
        <v/>
      </c>
      <c r="N1026">
        <f>IF(OR($E1026="",$E1026="نامعتبر"),"",IF(AND($J1026="هزینه",$K1026&lt;&gt;""),1,0))</f>
        <v/>
      </c>
      <c r="O1026">
        <f>IF($N1026=0,"",LEFT($E1026,4)&amp;MID($E1026,6,2)&amp;RIGHT($E1026,2)&amp;$F1026&amp;"|"&amp;"1"&amp;RIGHT("00000"&amp;1018,5))</f>
        <v/>
      </c>
      <c r="P1026">
        <f>IF($O1026="","",COUNTIFS(ExpSub,$K1026,ExpKey,"&lt;"&amp;$O1026)+1)</f>
        <v/>
      </c>
      <c r="Q1026">
        <f>IF($P1026="","",$K1026&amp;"|"&amp;RIGHT("000000"&amp;$P1026,6))</f>
        <v/>
      </c>
    </row>
    <row r="1027">
      <c r="A1027">
        <f>IF(Sync!$P1024="","",Sync!$P1024)</f>
        <v/>
      </c>
      <c r="B1027">
        <f>IF($A1027="","",IF(ISNUMBER($A1027),IF(AND($A1027&gt;=10000101,$A1027&lt;=99991231),INT($A1027/10000),""),IFERROR(VALUE(TRIM(LEFT($A1027,FIND("/",$A1027)-1))),"")))</f>
        <v/>
      </c>
      <c r="C1027">
        <f>IF(OR($A1027="",$B1027=""),"",IF(ISNUMBER($A1027),INT(MOD($A1027,10000)/100),IFERROR(VALUE(TRIM(LEFT(MID($A1027,FIND("/",$A1027)+1,20),FIND("/",MID($A1027,FIND("/",$A1027)+1,20))-1))),"")))</f>
        <v/>
      </c>
      <c r="D1027">
        <f>IF(OR($A1027="",$B1027=""),"",IF(ISNUMBER($A1027),MOD($A1027,100),IFERROR(VALUE(TRIM(MID(MID($A1027,FIND("/",$A1027)+1,20),FIND("/",MID($A1027,FIND("/",$A1027)+1,20))+1,20))),"")))</f>
        <v/>
      </c>
      <c r="E1027">
        <f>IF($A1027="","",IF(OR($B1027="",$C1027="",$D1027="",$B1027&lt;1300,$B1027&gt;1500,$C1027&lt;1,$C1027&gt;12,$D1027&lt;1,$D1027&gt;31),"نامعتبر",RIGHT("0000"&amp;$B1027,4)&amp;"/"&amp;RIGHT("00"&amp;$C1027,2)&amp;"/"&amp;RIGHT("00"&amp;$D1027,2)))</f>
        <v/>
      </c>
      <c r="F1027">
        <f>IF(OR($E1027="",$E1027="نامعتبر"),"",IF(Sync!$Q1024="","0000",IF(AND(ISNUMBER(Sync!$Q1024),Sync!$Q1024&gt;=0,Sync!$Q1024&lt;1),RIGHT("00"&amp;HOUR(Sync!$Q1024),2)&amp;RIGHT("00"&amp;MINUTE(Sync!$Q1024),2),IFERROR(RIGHT("00"&amp;VALUE(LEFT(Sync!$Q1024,FIND(":",Sync!$Q1024)-1)),2)&amp;RIGHT("00"&amp;VALUE(MID(Sync!$Q1024,FIND(":",Sync!$Q1024)+1,2)),2),"0000"))))</f>
        <v/>
      </c>
      <c r="G1027">
        <f>IF(OR($E1027="",$E1027="نامعتبر"),"",IF(Sync!$S1024="","",Sync!$S1024))</f>
        <v/>
      </c>
      <c r="H1027">
        <f>IF(OR($E1027="",$E1027="نامعتبر"),"",IF(Sync!$R1024="","",Sync!$R1024))</f>
        <v/>
      </c>
      <c r="I1027">
        <f>IF(OR($E1027="",$E1027="نامعتبر"),"",IF(Sync!$T1024="","",Sync!$T1024))</f>
        <v/>
      </c>
      <c r="J1027">
        <f>IF(OR($E1027="",$E1027="نامعتبر"),"",IF(Sync!$U1024="","",Sync!$U1024))</f>
        <v/>
      </c>
      <c r="K1027">
        <f>IF(OR($E1027="",$E1027="نامعتبر"),"",IF(Sync!$V1024="","",IFERROR(INDEX(SubCodes,MATCH(Sync!$V1024,SubTitles,0)),Sync!$V1024)))</f>
        <v/>
      </c>
      <c r="L1027">
        <f>IF(OR($E1027="",$E1027="نامعتبر"),"",IF(Sync!$W1024="",0,Sync!$W1024))</f>
        <v/>
      </c>
      <c r="M1027">
        <f>IF(OR($E1027="",$E1027="نامعتبر"),"",IF(Sync!$X1024="",0,Sync!$X1024))</f>
        <v/>
      </c>
      <c r="N1027">
        <f>IF(OR($E1027="",$E1027="نامعتبر"),"",IF(AND($J1027="هزینه",$K1027&lt;&gt;""),1,0))</f>
        <v/>
      </c>
      <c r="O1027">
        <f>IF($N1027=0,"",LEFT($E1027,4)&amp;MID($E1027,6,2)&amp;RIGHT($E1027,2)&amp;$F1027&amp;"|"&amp;"1"&amp;RIGHT("00000"&amp;1019,5))</f>
        <v/>
      </c>
      <c r="P1027">
        <f>IF($O1027="","",COUNTIFS(ExpSub,$K1027,ExpKey,"&lt;"&amp;$O1027)+1)</f>
        <v/>
      </c>
      <c r="Q1027">
        <f>IF($P1027="","",$K1027&amp;"|"&amp;RIGHT("000000"&amp;$P1027,6))</f>
        <v/>
      </c>
    </row>
    <row r="1028">
      <c r="A1028">
        <f>IF(Sync!$P1025="","",Sync!$P1025)</f>
        <v/>
      </c>
      <c r="B1028">
        <f>IF($A1028="","",IF(ISNUMBER($A1028),IF(AND($A1028&gt;=10000101,$A1028&lt;=99991231),INT($A1028/10000),""),IFERROR(VALUE(TRIM(LEFT($A1028,FIND("/",$A1028)-1))),"")))</f>
        <v/>
      </c>
      <c r="C1028">
        <f>IF(OR($A1028="",$B1028=""),"",IF(ISNUMBER($A1028),INT(MOD($A1028,10000)/100),IFERROR(VALUE(TRIM(LEFT(MID($A1028,FIND("/",$A1028)+1,20),FIND("/",MID($A1028,FIND("/",$A1028)+1,20))-1))),"")))</f>
        <v/>
      </c>
      <c r="D1028">
        <f>IF(OR($A1028="",$B1028=""),"",IF(ISNUMBER($A1028),MOD($A1028,100),IFERROR(VALUE(TRIM(MID(MID($A1028,FIND("/",$A1028)+1,20),FIND("/",MID($A1028,FIND("/",$A1028)+1,20))+1,20))),"")))</f>
        <v/>
      </c>
      <c r="E1028">
        <f>IF($A1028="","",IF(OR($B1028="",$C1028="",$D1028="",$B1028&lt;1300,$B1028&gt;1500,$C1028&lt;1,$C1028&gt;12,$D1028&lt;1,$D1028&gt;31),"نامعتبر",RIGHT("0000"&amp;$B1028,4)&amp;"/"&amp;RIGHT("00"&amp;$C1028,2)&amp;"/"&amp;RIGHT("00"&amp;$D1028,2)))</f>
        <v/>
      </c>
      <c r="F1028">
        <f>IF(OR($E1028="",$E1028="نامعتبر"),"",IF(Sync!$Q1025="","0000",IF(AND(ISNUMBER(Sync!$Q1025),Sync!$Q1025&gt;=0,Sync!$Q1025&lt;1),RIGHT("00"&amp;HOUR(Sync!$Q1025),2)&amp;RIGHT("00"&amp;MINUTE(Sync!$Q1025),2),IFERROR(RIGHT("00"&amp;VALUE(LEFT(Sync!$Q1025,FIND(":",Sync!$Q1025)-1)),2)&amp;RIGHT("00"&amp;VALUE(MID(Sync!$Q1025,FIND(":",Sync!$Q1025)+1,2)),2),"0000"))))</f>
        <v/>
      </c>
      <c r="G1028">
        <f>IF(OR($E1028="",$E1028="نامعتبر"),"",IF(Sync!$S1025="","",Sync!$S1025))</f>
        <v/>
      </c>
      <c r="H1028">
        <f>IF(OR($E1028="",$E1028="نامعتبر"),"",IF(Sync!$R1025="","",Sync!$R1025))</f>
        <v/>
      </c>
      <c r="I1028">
        <f>IF(OR($E1028="",$E1028="نامعتبر"),"",IF(Sync!$T1025="","",Sync!$T1025))</f>
        <v/>
      </c>
      <c r="J1028">
        <f>IF(OR($E1028="",$E1028="نامعتبر"),"",IF(Sync!$U1025="","",Sync!$U1025))</f>
        <v/>
      </c>
      <c r="K1028">
        <f>IF(OR($E1028="",$E1028="نامعتبر"),"",IF(Sync!$V1025="","",IFERROR(INDEX(SubCodes,MATCH(Sync!$V1025,SubTitles,0)),Sync!$V1025)))</f>
        <v/>
      </c>
      <c r="L1028">
        <f>IF(OR($E1028="",$E1028="نامعتبر"),"",IF(Sync!$W1025="",0,Sync!$W1025))</f>
        <v/>
      </c>
      <c r="M1028">
        <f>IF(OR($E1028="",$E1028="نامعتبر"),"",IF(Sync!$X1025="",0,Sync!$X1025))</f>
        <v/>
      </c>
      <c r="N1028">
        <f>IF(OR($E1028="",$E1028="نامعتبر"),"",IF(AND($J1028="هزینه",$K1028&lt;&gt;""),1,0))</f>
        <v/>
      </c>
      <c r="O1028">
        <f>IF($N1028=0,"",LEFT($E1028,4)&amp;MID($E1028,6,2)&amp;RIGHT($E1028,2)&amp;$F1028&amp;"|"&amp;"1"&amp;RIGHT("00000"&amp;1020,5))</f>
        <v/>
      </c>
      <c r="P1028">
        <f>IF($O1028="","",COUNTIFS(ExpSub,$K1028,ExpKey,"&lt;"&amp;$O1028)+1)</f>
        <v/>
      </c>
      <c r="Q1028">
        <f>IF($P1028="","",$K1028&amp;"|"&amp;RIGHT("000000"&amp;$P1028,6))</f>
        <v/>
      </c>
    </row>
    <row r="1029">
      <c r="A1029">
        <f>IF(Sync!$P1026="","",Sync!$P1026)</f>
        <v/>
      </c>
      <c r="B1029">
        <f>IF($A1029="","",IF(ISNUMBER($A1029),IF(AND($A1029&gt;=10000101,$A1029&lt;=99991231),INT($A1029/10000),""),IFERROR(VALUE(TRIM(LEFT($A1029,FIND("/",$A1029)-1))),"")))</f>
        <v/>
      </c>
      <c r="C1029">
        <f>IF(OR($A1029="",$B1029=""),"",IF(ISNUMBER($A1029),INT(MOD($A1029,10000)/100),IFERROR(VALUE(TRIM(LEFT(MID($A1029,FIND("/",$A1029)+1,20),FIND("/",MID($A1029,FIND("/",$A1029)+1,20))-1))),"")))</f>
        <v/>
      </c>
      <c r="D1029">
        <f>IF(OR($A1029="",$B1029=""),"",IF(ISNUMBER($A1029),MOD($A1029,100),IFERROR(VALUE(TRIM(MID(MID($A1029,FIND("/",$A1029)+1,20),FIND("/",MID($A1029,FIND("/",$A1029)+1,20))+1,20))),"")))</f>
        <v/>
      </c>
      <c r="E1029">
        <f>IF($A1029="","",IF(OR($B1029="",$C1029="",$D1029="",$B1029&lt;1300,$B1029&gt;1500,$C1029&lt;1,$C1029&gt;12,$D1029&lt;1,$D1029&gt;31),"نامعتبر",RIGHT("0000"&amp;$B1029,4)&amp;"/"&amp;RIGHT("00"&amp;$C1029,2)&amp;"/"&amp;RIGHT("00"&amp;$D1029,2)))</f>
        <v/>
      </c>
      <c r="F1029">
        <f>IF(OR($E1029="",$E1029="نامعتبر"),"",IF(Sync!$Q1026="","0000",IF(AND(ISNUMBER(Sync!$Q1026),Sync!$Q1026&gt;=0,Sync!$Q1026&lt;1),RIGHT("00"&amp;HOUR(Sync!$Q1026),2)&amp;RIGHT("00"&amp;MINUTE(Sync!$Q1026),2),IFERROR(RIGHT("00"&amp;VALUE(LEFT(Sync!$Q1026,FIND(":",Sync!$Q1026)-1)),2)&amp;RIGHT("00"&amp;VALUE(MID(Sync!$Q1026,FIND(":",Sync!$Q1026)+1,2)),2),"0000"))))</f>
        <v/>
      </c>
      <c r="G1029">
        <f>IF(OR($E1029="",$E1029="نامعتبر"),"",IF(Sync!$S1026="","",Sync!$S1026))</f>
        <v/>
      </c>
      <c r="H1029">
        <f>IF(OR($E1029="",$E1029="نامعتبر"),"",IF(Sync!$R1026="","",Sync!$R1026))</f>
        <v/>
      </c>
      <c r="I1029">
        <f>IF(OR($E1029="",$E1029="نامعتبر"),"",IF(Sync!$T1026="","",Sync!$T1026))</f>
        <v/>
      </c>
      <c r="J1029">
        <f>IF(OR($E1029="",$E1029="نامعتبر"),"",IF(Sync!$U1026="","",Sync!$U1026))</f>
        <v/>
      </c>
      <c r="K1029">
        <f>IF(OR($E1029="",$E1029="نامعتبر"),"",IF(Sync!$V1026="","",IFERROR(INDEX(SubCodes,MATCH(Sync!$V1026,SubTitles,0)),Sync!$V1026)))</f>
        <v/>
      </c>
      <c r="L1029">
        <f>IF(OR($E1029="",$E1029="نامعتبر"),"",IF(Sync!$W1026="",0,Sync!$W1026))</f>
        <v/>
      </c>
      <c r="M1029">
        <f>IF(OR($E1029="",$E1029="نامعتبر"),"",IF(Sync!$X1026="",0,Sync!$X1026))</f>
        <v/>
      </c>
      <c r="N1029">
        <f>IF(OR($E1029="",$E1029="نامعتبر"),"",IF(AND($J1029="هزینه",$K1029&lt;&gt;""),1,0))</f>
        <v/>
      </c>
      <c r="O1029">
        <f>IF($N1029=0,"",LEFT($E1029,4)&amp;MID($E1029,6,2)&amp;RIGHT($E1029,2)&amp;$F1029&amp;"|"&amp;"1"&amp;RIGHT("00000"&amp;1021,5))</f>
        <v/>
      </c>
      <c r="P1029">
        <f>IF($O1029="","",COUNTIFS(ExpSub,$K1029,ExpKey,"&lt;"&amp;$O1029)+1)</f>
        <v/>
      </c>
      <c r="Q1029">
        <f>IF($P1029="","",$K1029&amp;"|"&amp;RIGHT("000000"&amp;$P1029,6))</f>
        <v/>
      </c>
    </row>
    <row r="1030">
      <c r="A1030">
        <f>IF(Sync!$P1027="","",Sync!$P1027)</f>
        <v/>
      </c>
      <c r="B1030">
        <f>IF($A1030="","",IF(ISNUMBER($A1030),IF(AND($A1030&gt;=10000101,$A1030&lt;=99991231),INT($A1030/10000),""),IFERROR(VALUE(TRIM(LEFT($A1030,FIND("/",$A1030)-1))),"")))</f>
        <v/>
      </c>
      <c r="C1030">
        <f>IF(OR($A1030="",$B1030=""),"",IF(ISNUMBER($A1030),INT(MOD($A1030,10000)/100),IFERROR(VALUE(TRIM(LEFT(MID($A1030,FIND("/",$A1030)+1,20),FIND("/",MID($A1030,FIND("/",$A1030)+1,20))-1))),"")))</f>
        <v/>
      </c>
      <c r="D1030">
        <f>IF(OR($A1030="",$B1030=""),"",IF(ISNUMBER($A1030),MOD($A1030,100),IFERROR(VALUE(TRIM(MID(MID($A1030,FIND("/",$A1030)+1,20),FIND("/",MID($A1030,FIND("/",$A1030)+1,20))+1,20))),"")))</f>
        <v/>
      </c>
      <c r="E1030">
        <f>IF($A1030="","",IF(OR($B1030="",$C1030="",$D1030="",$B1030&lt;1300,$B1030&gt;1500,$C1030&lt;1,$C1030&gt;12,$D1030&lt;1,$D1030&gt;31),"نامعتبر",RIGHT("0000"&amp;$B1030,4)&amp;"/"&amp;RIGHT("00"&amp;$C1030,2)&amp;"/"&amp;RIGHT("00"&amp;$D1030,2)))</f>
        <v/>
      </c>
      <c r="F1030">
        <f>IF(OR($E1030="",$E1030="نامعتبر"),"",IF(Sync!$Q1027="","0000",IF(AND(ISNUMBER(Sync!$Q1027),Sync!$Q1027&gt;=0,Sync!$Q1027&lt;1),RIGHT("00"&amp;HOUR(Sync!$Q1027),2)&amp;RIGHT("00"&amp;MINUTE(Sync!$Q1027),2),IFERROR(RIGHT("00"&amp;VALUE(LEFT(Sync!$Q1027,FIND(":",Sync!$Q1027)-1)),2)&amp;RIGHT("00"&amp;VALUE(MID(Sync!$Q1027,FIND(":",Sync!$Q1027)+1,2)),2),"0000"))))</f>
        <v/>
      </c>
      <c r="G1030">
        <f>IF(OR($E1030="",$E1030="نامعتبر"),"",IF(Sync!$S1027="","",Sync!$S1027))</f>
        <v/>
      </c>
      <c r="H1030">
        <f>IF(OR($E1030="",$E1030="نامعتبر"),"",IF(Sync!$R1027="","",Sync!$R1027))</f>
        <v/>
      </c>
      <c r="I1030">
        <f>IF(OR($E1030="",$E1030="نامعتبر"),"",IF(Sync!$T1027="","",Sync!$T1027))</f>
        <v/>
      </c>
      <c r="J1030">
        <f>IF(OR($E1030="",$E1030="نامعتبر"),"",IF(Sync!$U1027="","",Sync!$U1027))</f>
        <v/>
      </c>
      <c r="K1030">
        <f>IF(OR($E1030="",$E1030="نامعتبر"),"",IF(Sync!$V1027="","",IFERROR(INDEX(SubCodes,MATCH(Sync!$V1027,SubTitles,0)),Sync!$V1027)))</f>
        <v/>
      </c>
      <c r="L1030">
        <f>IF(OR($E1030="",$E1030="نامعتبر"),"",IF(Sync!$W1027="",0,Sync!$W1027))</f>
        <v/>
      </c>
      <c r="M1030">
        <f>IF(OR($E1030="",$E1030="نامعتبر"),"",IF(Sync!$X1027="",0,Sync!$X1027))</f>
        <v/>
      </c>
      <c r="N1030">
        <f>IF(OR($E1030="",$E1030="نامعتبر"),"",IF(AND($J1030="هزینه",$K1030&lt;&gt;""),1,0))</f>
        <v/>
      </c>
      <c r="O1030">
        <f>IF($N1030=0,"",LEFT($E1030,4)&amp;MID($E1030,6,2)&amp;RIGHT($E1030,2)&amp;$F1030&amp;"|"&amp;"1"&amp;RIGHT("00000"&amp;1022,5))</f>
        <v/>
      </c>
      <c r="P1030">
        <f>IF($O1030="","",COUNTIFS(ExpSub,$K1030,ExpKey,"&lt;"&amp;$O1030)+1)</f>
        <v/>
      </c>
      <c r="Q1030">
        <f>IF($P1030="","",$K1030&amp;"|"&amp;RIGHT("000000"&amp;$P1030,6))</f>
        <v/>
      </c>
    </row>
    <row r="1031">
      <c r="A1031">
        <f>IF(Sync!$P1028="","",Sync!$P1028)</f>
        <v/>
      </c>
      <c r="B1031">
        <f>IF($A1031="","",IF(ISNUMBER($A1031),IF(AND($A1031&gt;=10000101,$A1031&lt;=99991231),INT($A1031/10000),""),IFERROR(VALUE(TRIM(LEFT($A1031,FIND("/",$A1031)-1))),"")))</f>
        <v/>
      </c>
      <c r="C1031">
        <f>IF(OR($A1031="",$B1031=""),"",IF(ISNUMBER($A1031),INT(MOD($A1031,10000)/100),IFERROR(VALUE(TRIM(LEFT(MID($A1031,FIND("/",$A1031)+1,20),FIND("/",MID($A1031,FIND("/",$A1031)+1,20))-1))),"")))</f>
        <v/>
      </c>
      <c r="D1031">
        <f>IF(OR($A1031="",$B1031=""),"",IF(ISNUMBER($A1031),MOD($A1031,100),IFERROR(VALUE(TRIM(MID(MID($A1031,FIND("/",$A1031)+1,20),FIND("/",MID($A1031,FIND("/",$A1031)+1,20))+1,20))),"")))</f>
        <v/>
      </c>
      <c r="E1031">
        <f>IF($A1031="","",IF(OR($B1031="",$C1031="",$D1031="",$B1031&lt;1300,$B1031&gt;1500,$C1031&lt;1,$C1031&gt;12,$D1031&lt;1,$D1031&gt;31),"نامعتبر",RIGHT("0000"&amp;$B1031,4)&amp;"/"&amp;RIGHT("00"&amp;$C1031,2)&amp;"/"&amp;RIGHT("00"&amp;$D1031,2)))</f>
        <v/>
      </c>
      <c r="F1031">
        <f>IF(OR($E1031="",$E1031="نامعتبر"),"",IF(Sync!$Q1028="","0000",IF(AND(ISNUMBER(Sync!$Q1028),Sync!$Q1028&gt;=0,Sync!$Q1028&lt;1),RIGHT("00"&amp;HOUR(Sync!$Q1028),2)&amp;RIGHT("00"&amp;MINUTE(Sync!$Q1028),2),IFERROR(RIGHT("00"&amp;VALUE(LEFT(Sync!$Q1028,FIND(":",Sync!$Q1028)-1)),2)&amp;RIGHT("00"&amp;VALUE(MID(Sync!$Q1028,FIND(":",Sync!$Q1028)+1,2)),2),"0000"))))</f>
        <v/>
      </c>
      <c r="G1031">
        <f>IF(OR($E1031="",$E1031="نامعتبر"),"",IF(Sync!$S1028="","",Sync!$S1028))</f>
        <v/>
      </c>
      <c r="H1031">
        <f>IF(OR($E1031="",$E1031="نامعتبر"),"",IF(Sync!$R1028="","",Sync!$R1028))</f>
        <v/>
      </c>
      <c r="I1031">
        <f>IF(OR($E1031="",$E1031="نامعتبر"),"",IF(Sync!$T1028="","",Sync!$T1028))</f>
        <v/>
      </c>
      <c r="J1031">
        <f>IF(OR($E1031="",$E1031="نامعتبر"),"",IF(Sync!$U1028="","",Sync!$U1028))</f>
        <v/>
      </c>
      <c r="K1031">
        <f>IF(OR($E1031="",$E1031="نامعتبر"),"",IF(Sync!$V1028="","",IFERROR(INDEX(SubCodes,MATCH(Sync!$V1028,SubTitles,0)),Sync!$V1028)))</f>
        <v/>
      </c>
      <c r="L1031">
        <f>IF(OR($E1031="",$E1031="نامعتبر"),"",IF(Sync!$W1028="",0,Sync!$W1028))</f>
        <v/>
      </c>
      <c r="M1031">
        <f>IF(OR($E1031="",$E1031="نامعتبر"),"",IF(Sync!$X1028="",0,Sync!$X1028))</f>
        <v/>
      </c>
      <c r="N1031">
        <f>IF(OR($E1031="",$E1031="نامعتبر"),"",IF(AND($J1031="هزینه",$K1031&lt;&gt;""),1,0))</f>
        <v/>
      </c>
      <c r="O1031">
        <f>IF($N1031=0,"",LEFT($E1031,4)&amp;MID($E1031,6,2)&amp;RIGHT($E1031,2)&amp;$F1031&amp;"|"&amp;"1"&amp;RIGHT("00000"&amp;1023,5))</f>
        <v/>
      </c>
      <c r="P1031">
        <f>IF($O1031="","",COUNTIFS(ExpSub,$K1031,ExpKey,"&lt;"&amp;$O1031)+1)</f>
        <v/>
      </c>
      <c r="Q1031">
        <f>IF($P1031="","",$K1031&amp;"|"&amp;RIGHT("000000"&amp;$P1031,6))</f>
        <v/>
      </c>
    </row>
    <row r="1032">
      <c r="A1032">
        <f>IF(Sync!$P1029="","",Sync!$P1029)</f>
        <v/>
      </c>
      <c r="B1032">
        <f>IF($A1032="","",IF(ISNUMBER($A1032),IF(AND($A1032&gt;=10000101,$A1032&lt;=99991231),INT($A1032/10000),""),IFERROR(VALUE(TRIM(LEFT($A1032,FIND("/",$A1032)-1))),"")))</f>
        <v/>
      </c>
      <c r="C1032">
        <f>IF(OR($A1032="",$B1032=""),"",IF(ISNUMBER($A1032),INT(MOD($A1032,10000)/100),IFERROR(VALUE(TRIM(LEFT(MID($A1032,FIND("/",$A1032)+1,20),FIND("/",MID($A1032,FIND("/",$A1032)+1,20))-1))),"")))</f>
        <v/>
      </c>
      <c r="D1032">
        <f>IF(OR($A1032="",$B1032=""),"",IF(ISNUMBER($A1032),MOD($A1032,100),IFERROR(VALUE(TRIM(MID(MID($A1032,FIND("/",$A1032)+1,20),FIND("/",MID($A1032,FIND("/",$A1032)+1,20))+1,20))),"")))</f>
        <v/>
      </c>
      <c r="E1032">
        <f>IF($A1032="","",IF(OR($B1032="",$C1032="",$D1032="",$B1032&lt;1300,$B1032&gt;1500,$C1032&lt;1,$C1032&gt;12,$D1032&lt;1,$D1032&gt;31),"نامعتبر",RIGHT("0000"&amp;$B1032,4)&amp;"/"&amp;RIGHT("00"&amp;$C1032,2)&amp;"/"&amp;RIGHT("00"&amp;$D1032,2)))</f>
        <v/>
      </c>
      <c r="F1032">
        <f>IF(OR($E1032="",$E1032="نامعتبر"),"",IF(Sync!$Q1029="","0000",IF(AND(ISNUMBER(Sync!$Q1029),Sync!$Q1029&gt;=0,Sync!$Q1029&lt;1),RIGHT("00"&amp;HOUR(Sync!$Q1029),2)&amp;RIGHT("00"&amp;MINUTE(Sync!$Q1029),2),IFERROR(RIGHT("00"&amp;VALUE(LEFT(Sync!$Q1029,FIND(":",Sync!$Q1029)-1)),2)&amp;RIGHT("00"&amp;VALUE(MID(Sync!$Q1029,FIND(":",Sync!$Q1029)+1,2)),2),"0000"))))</f>
        <v/>
      </c>
      <c r="G1032">
        <f>IF(OR($E1032="",$E1032="نامعتبر"),"",IF(Sync!$S1029="","",Sync!$S1029))</f>
        <v/>
      </c>
      <c r="H1032">
        <f>IF(OR($E1032="",$E1032="نامعتبر"),"",IF(Sync!$R1029="","",Sync!$R1029))</f>
        <v/>
      </c>
      <c r="I1032">
        <f>IF(OR($E1032="",$E1032="نامعتبر"),"",IF(Sync!$T1029="","",Sync!$T1029))</f>
        <v/>
      </c>
      <c r="J1032">
        <f>IF(OR($E1032="",$E1032="نامعتبر"),"",IF(Sync!$U1029="","",Sync!$U1029))</f>
        <v/>
      </c>
      <c r="K1032">
        <f>IF(OR($E1032="",$E1032="نامعتبر"),"",IF(Sync!$V1029="","",IFERROR(INDEX(SubCodes,MATCH(Sync!$V1029,SubTitles,0)),Sync!$V1029)))</f>
        <v/>
      </c>
      <c r="L1032">
        <f>IF(OR($E1032="",$E1032="نامعتبر"),"",IF(Sync!$W1029="",0,Sync!$W1029))</f>
        <v/>
      </c>
      <c r="M1032">
        <f>IF(OR($E1032="",$E1032="نامعتبر"),"",IF(Sync!$X1029="",0,Sync!$X1029))</f>
        <v/>
      </c>
      <c r="N1032">
        <f>IF(OR($E1032="",$E1032="نامعتبر"),"",IF(AND($J1032="هزینه",$K1032&lt;&gt;""),1,0))</f>
        <v/>
      </c>
      <c r="O1032">
        <f>IF($N1032=0,"",LEFT($E1032,4)&amp;MID($E1032,6,2)&amp;RIGHT($E1032,2)&amp;$F1032&amp;"|"&amp;"1"&amp;RIGHT("00000"&amp;1024,5))</f>
        <v/>
      </c>
      <c r="P1032">
        <f>IF($O1032="","",COUNTIFS(ExpSub,$K1032,ExpKey,"&lt;"&amp;$O1032)+1)</f>
        <v/>
      </c>
      <c r="Q1032">
        <f>IF($P1032="","",$K1032&amp;"|"&amp;RIGHT("000000"&amp;$P1032,6))</f>
        <v/>
      </c>
    </row>
    <row r="1033">
      <c r="A1033">
        <f>IF(Sync!$P1030="","",Sync!$P1030)</f>
        <v/>
      </c>
      <c r="B1033">
        <f>IF($A1033="","",IF(ISNUMBER($A1033),IF(AND($A1033&gt;=10000101,$A1033&lt;=99991231),INT($A1033/10000),""),IFERROR(VALUE(TRIM(LEFT($A1033,FIND("/",$A1033)-1))),"")))</f>
        <v/>
      </c>
      <c r="C1033">
        <f>IF(OR($A1033="",$B1033=""),"",IF(ISNUMBER($A1033),INT(MOD($A1033,10000)/100),IFERROR(VALUE(TRIM(LEFT(MID($A1033,FIND("/",$A1033)+1,20),FIND("/",MID($A1033,FIND("/",$A1033)+1,20))-1))),"")))</f>
        <v/>
      </c>
      <c r="D1033">
        <f>IF(OR($A1033="",$B1033=""),"",IF(ISNUMBER($A1033),MOD($A1033,100),IFERROR(VALUE(TRIM(MID(MID($A1033,FIND("/",$A1033)+1,20),FIND("/",MID($A1033,FIND("/",$A1033)+1,20))+1,20))),"")))</f>
        <v/>
      </c>
      <c r="E1033">
        <f>IF($A1033="","",IF(OR($B1033="",$C1033="",$D1033="",$B1033&lt;1300,$B1033&gt;1500,$C1033&lt;1,$C1033&gt;12,$D1033&lt;1,$D1033&gt;31),"نامعتبر",RIGHT("0000"&amp;$B1033,4)&amp;"/"&amp;RIGHT("00"&amp;$C1033,2)&amp;"/"&amp;RIGHT("00"&amp;$D1033,2)))</f>
        <v/>
      </c>
      <c r="F1033">
        <f>IF(OR($E1033="",$E1033="نامعتبر"),"",IF(Sync!$Q1030="","0000",IF(AND(ISNUMBER(Sync!$Q1030),Sync!$Q1030&gt;=0,Sync!$Q1030&lt;1),RIGHT("00"&amp;HOUR(Sync!$Q1030),2)&amp;RIGHT("00"&amp;MINUTE(Sync!$Q1030),2),IFERROR(RIGHT("00"&amp;VALUE(LEFT(Sync!$Q1030,FIND(":",Sync!$Q1030)-1)),2)&amp;RIGHT("00"&amp;VALUE(MID(Sync!$Q1030,FIND(":",Sync!$Q1030)+1,2)),2),"0000"))))</f>
        <v/>
      </c>
      <c r="G1033">
        <f>IF(OR($E1033="",$E1033="نامعتبر"),"",IF(Sync!$S1030="","",Sync!$S1030))</f>
        <v/>
      </c>
      <c r="H1033">
        <f>IF(OR($E1033="",$E1033="نامعتبر"),"",IF(Sync!$R1030="","",Sync!$R1030))</f>
        <v/>
      </c>
      <c r="I1033">
        <f>IF(OR($E1033="",$E1033="نامعتبر"),"",IF(Sync!$T1030="","",Sync!$T1030))</f>
        <v/>
      </c>
      <c r="J1033">
        <f>IF(OR($E1033="",$E1033="نامعتبر"),"",IF(Sync!$U1030="","",Sync!$U1030))</f>
        <v/>
      </c>
      <c r="K1033">
        <f>IF(OR($E1033="",$E1033="نامعتبر"),"",IF(Sync!$V1030="","",IFERROR(INDEX(SubCodes,MATCH(Sync!$V1030,SubTitles,0)),Sync!$V1030)))</f>
        <v/>
      </c>
      <c r="L1033">
        <f>IF(OR($E1033="",$E1033="نامعتبر"),"",IF(Sync!$W1030="",0,Sync!$W1030))</f>
        <v/>
      </c>
      <c r="M1033">
        <f>IF(OR($E1033="",$E1033="نامعتبر"),"",IF(Sync!$X1030="",0,Sync!$X1030))</f>
        <v/>
      </c>
      <c r="N1033">
        <f>IF(OR($E1033="",$E1033="نامعتبر"),"",IF(AND($J1033="هزینه",$K1033&lt;&gt;""),1,0))</f>
        <v/>
      </c>
      <c r="O1033">
        <f>IF($N1033=0,"",LEFT($E1033,4)&amp;MID($E1033,6,2)&amp;RIGHT($E1033,2)&amp;$F1033&amp;"|"&amp;"1"&amp;RIGHT("00000"&amp;1025,5))</f>
        <v/>
      </c>
      <c r="P1033">
        <f>IF($O1033="","",COUNTIFS(ExpSub,$K1033,ExpKey,"&lt;"&amp;$O1033)+1)</f>
        <v/>
      </c>
      <c r="Q1033">
        <f>IF($P1033="","",$K1033&amp;"|"&amp;RIGHT("000000"&amp;$P1033,6))</f>
        <v/>
      </c>
    </row>
    <row r="1034">
      <c r="A1034">
        <f>IF(Sync!$P1031="","",Sync!$P1031)</f>
        <v/>
      </c>
      <c r="B1034">
        <f>IF($A1034="","",IF(ISNUMBER($A1034),IF(AND($A1034&gt;=10000101,$A1034&lt;=99991231),INT($A1034/10000),""),IFERROR(VALUE(TRIM(LEFT($A1034,FIND("/",$A1034)-1))),"")))</f>
        <v/>
      </c>
      <c r="C1034">
        <f>IF(OR($A1034="",$B1034=""),"",IF(ISNUMBER($A1034),INT(MOD($A1034,10000)/100),IFERROR(VALUE(TRIM(LEFT(MID($A1034,FIND("/",$A1034)+1,20),FIND("/",MID($A1034,FIND("/",$A1034)+1,20))-1))),"")))</f>
        <v/>
      </c>
      <c r="D1034">
        <f>IF(OR($A1034="",$B1034=""),"",IF(ISNUMBER($A1034),MOD($A1034,100),IFERROR(VALUE(TRIM(MID(MID($A1034,FIND("/",$A1034)+1,20),FIND("/",MID($A1034,FIND("/",$A1034)+1,20))+1,20))),"")))</f>
        <v/>
      </c>
      <c r="E1034">
        <f>IF($A1034="","",IF(OR($B1034="",$C1034="",$D1034="",$B1034&lt;1300,$B1034&gt;1500,$C1034&lt;1,$C1034&gt;12,$D1034&lt;1,$D1034&gt;31),"نامعتبر",RIGHT("0000"&amp;$B1034,4)&amp;"/"&amp;RIGHT("00"&amp;$C1034,2)&amp;"/"&amp;RIGHT("00"&amp;$D1034,2)))</f>
        <v/>
      </c>
      <c r="F1034">
        <f>IF(OR($E1034="",$E1034="نامعتبر"),"",IF(Sync!$Q1031="","0000",IF(AND(ISNUMBER(Sync!$Q1031),Sync!$Q1031&gt;=0,Sync!$Q1031&lt;1),RIGHT("00"&amp;HOUR(Sync!$Q1031),2)&amp;RIGHT("00"&amp;MINUTE(Sync!$Q1031),2),IFERROR(RIGHT("00"&amp;VALUE(LEFT(Sync!$Q1031,FIND(":",Sync!$Q1031)-1)),2)&amp;RIGHT("00"&amp;VALUE(MID(Sync!$Q1031,FIND(":",Sync!$Q1031)+1,2)),2),"0000"))))</f>
        <v/>
      </c>
      <c r="G1034">
        <f>IF(OR($E1034="",$E1034="نامعتبر"),"",IF(Sync!$S1031="","",Sync!$S1031))</f>
        <v/>
      </c>
      <c r="H1034">
        <f>IF(OR($E1034="",$E1034="نامعتبر"),"",IF(Sync!$R1031="","",Sync!$R1031))</f>
        <v/>
      </c>
      <c r="I1034">
        <f>IF(OR($E1034="",$E1034="نامعتبر"),"",IF(Sync!$T1031="","",Sync!$T1031))</f>
        <v/>
      </c>
      <c r="J1034">
        <f>IF(OR($E1034="",$E1034="نامعتبر"),"",IF(Sync!$U1031="","",Sync!$U1031))</f>
        <v/>
      </c>
      <c r="K1034">
        <f>IF(OR($E1034="",$E1034="نامعتبر"),"",IF(Sync!$V1031="","",IFERROR(INDEX(SubCodes,MATCH(Sync!$V1031,SubTitles,0)),Sync!$V1031)))</f>
        <v/>
      </c>
      <c r="L1034">
        <f>IF(OR($E1034="",$E1034="نامعتبر"),"",IF(Sync!$W1031="",0,Sync!$W1031))</f>
        <v/>
      </c>
      <c r="M1034">
        <f>IF(OR($E1034="",$E1034="نامعتبر"),"",IF(Sync!$X1031="",0,Sync!$X1031))</f>
        <v/>
      </c>
      <c r="N1034">
        <f>IF(OR($E1034="",$E1034="نامعتبر"),"",IF(AND($J1034="هزینه",$K1034&lt;&gt;""),1,0))</f>
        <v/>
      </c>
      <c r="O1034">
        <f>IF($N1034=0,"",LEFT($E1034,4)&amp;MID($E1034,6,2)&amp;RIGHT($E1034,2)&amp;$F1034&amp;"|"&amp;"1"&amp;RIGHT("00000"&amp;1026,5))</f>
        <v/>
      </c>
      <c r="P1034">
        <f>IF($O1034="","",COUNTIFS(ExpSub,$K1034,ExpKey,"&lt;"&amp;$O1034)+1)</f>
        <v/>
      </c>
      <c r="Q1034">
        <f>IF($P1034="","",$K1034&amp;"|"&amp;RIGHT("000000"&amp;$P1034,6))</f>
        <v/>
      </c>
    </row>
    <row r="1035">
      <c r="A1035">
        <f>IF(Sync!$P1032="","",Sync!$P1032)</f>
        <v/>
      </c>
      <c r="B1035">
        <f>IF($A1035="","",IF(ISNUMBER($A1035),IF(AND($A1035&gt;=10000101,$A1035&lt;=99991231),INT($A1035/10000),""),IFERROR(VALUE(TRIM(LEFT($A1035,FIND("/",$A1035)-1))),"")))</f>
        <v/>
      </c>
      <c r="C1035">
        <f>IF(OR($A1035="",$B1035=""),"",IF(ISNUMBER($A1035),INT(MOD($A1035,10000)/100),IFERROR(VALUE(TRIM(LEFT(MID($A1035,FIND("/",$A1035)+1,20),FIND("/",MID($A1035,FIND("/",$A1035)+1,20))-1))),"")))</f>
        <v/>
      </c>
      <c r="D1035">
        <f>IF(OR($A1035="",$B1035=""),"",IF(ISNUMBER($A1035),MOD($A1035,100),IFERROR(VALUE(TRIM(MID(MID($A1035,FIND("/",$A1035)+1,20),FIND("/",MID($A1035,FIND("/",$A1035)+1,20))+1,20))),"")))</f>
        <v/>
      </c>
      <c r="E1035">
        <f>IF($A1035="","",IF(OR($B1035="",$C1035="",$D1035="",$B1035&lt;1300,$B1035&gt;1500,$C1035&lt;1,$C1035&gt;12,$D1035&lt;1,$D1035&gt;31),"نامعتبر",RIGHT("0000"&amp;$B1035,4)&amp;"/"&amp;RIGHT("00"&amp;$C1035,2)&amp;"/"&amp;RIGHT("00"&amp;$D1035,2)))</f>
        <v/>
      </c>
      <c r="F1035">
        <f>IF(OR($E1035="",$E1035="نامعتبر"),"",IF(Sync!$Q1032="","0000",IF(AND(ISNUMBER(Sync!$Q1032),Sync!$Q1032&gt;=0,Sync!$Q1032&lt;1),RIGHT("00"&amp;HOUR(Sync!$Q1032),2)&amp;RIGHT("00"&amp;MINUTE(Sync!$Q1032),2),IFERROR(RIGHT("00"&amp;VALUE(LEFT(Sync!$Q1032,FIND(":",Sync!$Q1032)-1)),2)&amp;RIGHT("00"&amp;VALUE(MID(Sync!$Q1032,FIND(":",Sync!$Q1032)+1,2)),2),"0000"))))</f>
        <v/>
      </c>
      <c r="G1035">
        <f>IF(OR($E1035="",$E1035="نامعتبر"),"",IF(Sync!$S1032="","",Sync!$S1032))</f>
        <v/>
      </c>
      <c r="H1035">
        <f>IF(OR($E1035="",$E1035="نامعتبر"),"",IF(Sync!$R1032="","",Sync!$R1032))</f>
        <v/>
      </c>
      <c r="I1035">
        <f>IF(OR($E1035="",$E1035="نامعتبر"),"",IF(Sync!$T1032="","",Sync!$T1032))</f>
        <v/>
      </c>
      <c r="J1035">
        <f>IF(OR($E1035="",$E1035="نامعتبر"),"",IF(Sync!$U1032="","",Sync!$U1032))</f>
        <v/>
      </c>
      <c r="K1035">
        <f>IF(OR($E1035="",$E1035="نامعتبر"),"",IF(Sync!$V1032="","",IFERROR(INDEX(SubCodes,MATCH(Sync!$V1032,SubTitles,0)),Sync!$V1032)))</f>
        <v/>
      </c>
      <c r="L1035">
        <f>IF(OR($E1035="",$E1035="نامعتبر"),"",IF(Sync!$W1032="",0,Sync!$W1032))</f>
        <v/>
      </c>
      <c r="M1035">
        <f>IF(OR($E1035="",$E1035="نامعتبر"),"",IF(Sync!$X1032="",0,Sync!$X1032))</f>
        <v/>
      </c>
      <c r="N1035">
        <f>IF(OR($E1035="",$E1035="نامعتبر"),"",IF(AND($J1035="هزینه",$K1035&lt;&gt;""),1,0))</f>
        <v/>
      </c>
      <c r="O1035">
        <f>IF($N1035=0,"",LEFT($E1035,4)&amp;MID($E1035,6,2)&amp;RIGHT($E1035,2)&amp;$F1035&amp;"|"&amp;"1"&amp;RIGHT("00000"&amp;1027,5))</f>
        <v/>
      </c>
      <c r="P1035">
        <f>IF($O1035="","",COUNTIFS(ExpSub,$K1035,ExpKey,"&lt;"&amp;$O1035)+1)</f>
        <v/>
      </c>
      <c r="Q1035">
        <f>IF($P1035="","",$K1035&amp;"|"&amp;RIGHT("000000"&amp;$P1035,6))</f>
        <v/>
      </c>
    </row>
    <row r="1036">
      <c r="A1036">
        <f>IF(Sync!$P1033="","",Sync!$P1033)</f>
        <v/>
      </c>
      <c r="B1036">
        <f>IF($A1036="","",IF(ISNUMBER($A1036),IF(AND($A1036&gt;=10000101,$A1036&lt;=99991231),INT($A1036/10000),""),IFERROR(VALUE(TRIM(LEFT($A1036,FIND("/",$A1036)-1))),"")))</f>
        <v/>
      </c>
      <c r="C1036">
        <f>IF(OR($A1036="",$B1036=""),"",IF(ISNUMBER($A1036),INT(MOD($A1036,10000)/100),IFERROR(VALUE(TRIM(LEFT(MID($A1036,FIND("/",$A1036)+1,20),FIND("/",MID($A1036,FIND("/",$A1036)+1,20))-1))),"")))</f>
        <v/>
      </c>
      <c r="D1036">
        <f>IF(OR($A1036="",$B1036=""),"",IF(ISNUMBER($A1036),MOD($A1036,100),IFERROR(VALUE(TRIM(MID(MID($A1036,FIND("/",$A1036)+1,20),FIND("/",MID($A1036,FIND("/",$A1036)+1,20))+1,20))),"")))</f>
        <v/>
      </c>
      <c r="E1036">
        <f>IF($A1036="","",IF(OR($B1036="",$C1036="",$D1036="",$B1036&lt;1300,$B1036&gt;1500,$C1036&lt;1,$C1036&gt;12,$D1036&lt;1,$D1036&gt;31),"نامعتبر",RIGHT("0000"&amp;$B1036,4)&amp;"/"&amp;RIGHT("00"&amp;$C1036,2)&amp;"/"&amp;RIGHT("00"&amp;$D1036,2)))</f>
        <v/>
      </c>
      <c r="F1036">
        <f>IF(OR($E1036="",$E1036="نامعتبر"),"",IF(Sync!$Q1033="","0000",IF(AND(ISNUMBER(Sync!$Q1033),Sync!$Q1033&gt;=0,Sync!$Q1033&lt;1),RIGHT("00"&amp;HOUR(Sync!$Q1033),2)&amp;RIGHT("00"&amp;MINUTE(Sync!$Q1033),2),IFERROR(RIGHT("00"&amp;VALUE(LEFT(Sync!$Q1033,FIND(":",Sync!$Q1033)-1)),2)&amp;RIGHT("00"&amp;VALUE(MID(Sync!$Q1033,FIND(":",Sync!$Q1033)+1,2)),2),"0000"))))</f>
        <v/>
      </c>
      <c r="G1036">
        <f>IF(OR($E1036="",$E1036="نامعتبر"),"",IF(Sync!$S1033="","",Sync!$S1033))</f>
        <v/>
      </c>
      <c r="H1036">
        <f>IF(OR($E1036="",$E1036="نامعتبر"),"",IF(Sync!$R1033="","",Sync!$R1033))</f>
        <v/>
      </c>
      <c r="I1036">
        <f>IF(OR($E1036="",$E1036="نامعتبر"),"",IF(Sync!$T1033="","",Sync!$T1033))</f>
        <v/>
      </c>
      <c r="J1036">
        <f>IF(OR($E1036="",$E1036="نامعتبر"),"",IF(Sync!$U1033="","",Sync!$U1033))</f>
        <v/>
      </c>
      <c r="K1036">
        <f>IF(OR($E1036="",$E1036="نامعتبر"),"",IF(Sync!$V1033="","",IFERROR(INDEX(SubCodes,MATCH(Sync!$V1033,SubTitles,0)),Sync!$V1033)))</f>
        <v/>
      </c>
      <c r="L1036">
        <f>IF(OR($E1036="",$E1036="نامعتبر"),"",IF(Sync!$W1033="",0,Sync!$W1033))</f>
        <v/>
      </c>
      <c r="M1036">
        <f>IF(OR($E1036="",$E1036="نامعتبر"),"",IF(Sync!$X1033="",0,Sync!$X1033))</f>
        <v/>
      </c>
      <c r="N1036">
        <f>IF(OR($E1036="",$E1036="نامعتبر"),"",IF(AND($J1036="هزینه",$K1036&lt;&gt;""),1,0))</f>
        <v/>
      </c>
      <c r="O1036">
        <f>IF($N1036=0,"",LEFT($E1036,4)&amp;MID($E1036,6,2)&amp;RIGHT($E1036,2)&amp;$F1036&amp;"|"&amp;"1"&amp;RIGHT("00000"&amp;1028,5))</f>
        <v/>
      </c>
      <c r="P1036">
        <f>IF($O1036="","",COUNTIFS(ExpSub,$K1036,ExpKey,"&lt;"&amp;$O1036)+1)</f>
        <v/>
      </c>
      <c r="Q1036">
        <f>IF($P1036="","",$K1036&amp;"|"&amp;RIGHT("000000"&amp;$P1036,6))</f>
        <v/>
      </c>
    </row>
    <row r="1037">
      <c r="A1037">
        <f>IF(Sync!$P1034="","",Sync!$P1034)</f>
        <v/>
      </c>
      <c r="B1037">
        <f>IF($A1037="","",IF(ISNUMBER($A1037),IF(AND($A1037&gt;=10000101,$A1037&lt;=99991231),INT($A1037/10000),""),IFERROR(VALUE(TRIM(LEFT($A1037,FIND("/",$A1037)-1))),"")))</f>
        <v/>
      </c>
      <c r="C1037">
        <f>IF(OR($A1037="",$B1037=""),"",IF(ISNUMBER($A1037),INT(MOD($A1037,10000)/100),IFERROR(VALUE(TRIM(LEFT(MID($A1037,FIND("/",$A1037)+1,20),FIND("/",MID($A1037,FIND("/",$A1037)+1,20))-1))),"")))</f>
        <v/>
      </c>
      <c r="D1037">
        <f>IF(OR($A1037="",$B1037=""),"",IF(ISNUMBER($A1037),MOD($A1037,100),IFERROR(VALUE(TRIM(MID(MID($A1037,FIND("/",$A1037)+1,20),FIND("/",MID($A1037,FIND("/",$A1037)+1,20))+1,20))),"")))</f>
        <v/>
      </c>
      <c r="E1037">
        <f>IF($A1037="","",IF(OR($B1037="",$C1037="",$D1037="",$B1037&lt;1300,$B1037&gt;1500,$C1037&lt;1,$C1037&gt;12,$D1037&lt;1,$D1037&gt;31),"نامعتبر",RIGHT("0000"&amp;$B1037,4)&amp;"/"&amp;RIGHT("00"&amp;$C1037,2)&amp;"/"&amp;RIGHT("00"&amp;$D1037,2)))</f>
        <v/>
      </c>
      <c r="F1037">
        <f>IF(OR($E1037="",$E1037="نامعتبر"),"",IF(Sync!$Q1034="","0000",IF(AND(ISNUMBER(Sync!$Q1034),Sync!$Q1034&gt;=0,Sync!$Q1034&lt;1),RIGHT("00"&amp;HOUR(Sync!$Q1034),2)&amp;RIGHT("00"&amp;MINUTE(Sync!$Q1034),2),IFERROR(RIGHT("00"&amp;VALUE(LEFT(Sync!$Q1034,FIND(":",Sync!$Q1034)-1)),2)&amp;RIGHT("00"&amp;VALUE(MID(Sync!$Q1034,FIND(":",Sync!$Q1034)+1,2)),2),"0000"))))</f>
        <v/>
      </c>
      <c r="G1037">
        <f>IF(OR($E1037="",$E1037="نامعتبر"),"",IF(Sync!$S1034="","",Sync!$S1034))</f>
        <v/>
      </c>
      <c r="H1037">
        <f>IF(OR($E1037="",$E1037="نامعتبر"),"",IF(Sync!$R1034="","",Sync!$R1034))</f>
        <v/>
      </c>
      <c r="I1037">
        <f>IF(OR($E1037="",$E1037="نامعتبر"),"",IF(Sync!$T1034="","",Sync!$T1034))</f>
        <v/>
      </c>
      <c r="J1037">
        <f>IF(OR($E1037="",$E1037="نامعتبر"),"",IF(Sync!$U1034="","",Sync!$U1034))</f>
        <v/>
      </c>
      <c r="K1037">
        <f>IF(OR($E1037="",$E1037="نامعتبر"),"",IF(Sync!$V1034="","",IFERROR(INDEX(SubCodes,MATCH(Sync!$V1034,SubTitles,0)),Sync!$V1034)))</f>
        <v/>
      </c>
      <c r="L1037">
        <f>IF(OR($E1037="",$E1037="نامعتبر"),"",IF(Sync!$W1034="",0,Sync!$W1034))</f>
        <v/>
      </c>
      <c r="M1037">
        <f>IF(OR($E1037="",$E1037="نامعتبر"),"",IF(Sync!$X1034="",0,Sync!$X1034))</f>
        <v/>
      </c>
      <c r="N1037">
        <f>IF(OR($E1037="",$E1037="نامعتبر"),"",IF(AND($J1037="هزینه",$K1037&lt;&gt;""),1,0))</f>
        <v/>
      </c>
      <c r="O1037">
        <f>IF($N1037=0,"",LEFT($E1037,4)&amp;MID($E1037,6,2)&amp;RIGHT($E1037,2)&amp;$F1037&amp;"|"&amp;"1"&amp;RIGHT("00000"&amp;1029,5))</f>
        <v/>
      </c>
      <c r="P1037">
        <f>IF($O1037="","",COUNTIFS(ExpSub,$K1037,ExpKey,"&lt;"&amp;$O1037)+1)</f>
        <v/>
      </c>
      <c r="Q1037">
        <f>IF($P1037="","",$K1037&amp;"|"&amp;RIGHT("000000"&amp;$P1037,6))</f>
        <v/>
      </c>
    </row>
    <row r="1038">
      <c r="A1038">
        <f>IF(Sync!$P1035="","",Sync!$P1035)</f>
        <v/>
      </c>
      <c r="B1038">
        <f>IF($A1038="","",IF(ISNUMBER($A1038),IF(AND($A1038&gt;=10000101,$A1038&lt;=99991231),INT($A1038/10000),""),IFERROR(VALUE(TRIM(LEFT($A1038,FIND("/",$A1038)-1))),"")))</f>
        <v/>
      </c>
      <c r="C1038">
        <f>IF(OR($A1038="",$B1038=""),"",IF(ISNUMBER($A1038),INT(MOD($A1038,10000)/100),IFERROR(VALUE(TRIM(LEFT(MID($A1038,FIND("/",$A1038)+1,20),FIND("/",MID($A1038,FIND("/",$A1038)+1,20))-1))),"")))</f>
        <v/>
      </c>
      <c r="D1038">
        <f>IF(OR($A1038="",$B1038=""),"",IF(ISNUMBER($A1038),MOD($A1038,100),IFERROR(VALUE(TRIM(MID(MID($A1038,FIND("/",$A1038)+1,20),FIND("/",MID($A1038,FIND("/",$A1038)+1,20))+1,20))),"")))</f>
        <v/>
      </c>
      <c r="E1038">
        <f>IF($A1038="","",IF(OR($B1038="",$C1038="",$D1038="",$B1038&lt;1300,$B1038&gt;1500,$C1038&lt;1,$C1038&gt;12,$D1038&lt;1,$D1038&gt;31),"نامعتبر",RIGHT("0000"&amp;$B1038,4)&amp;"/"&amp;RIGHT("00"&amp;$C1038,2)&amp;"/"&amp;RIGHT("00"&amp;$D1038,2)))</f>
        <v/>
      </c>
      <c r="F1038">
        <f>IF(OR($E1038="",$E1038="نامعتبر"),"",IF(Sync!$Q1035="","0000",IF(AND(ISNUMBER(Sync!$Q1035),Sync!$Q1035&gt;=0,Sync!$Q1035&lt;1),RIGHT("00"&amp;HOUR(Sync!$Q1035),2)&amp;RIGHT("00"&amp;MINUTE(Sync!$Q1035),2),IFERROR(RIGHT("00"&amp;VALUE(LEFT(Sync!$Q1035,FIND(":",Sync!$Q1035)-1)),2)&amp;RIGHT("00"&amp;VALUE(MID(Sync!$Q1035,FIND(":",Sync!$Q1035)+1,2)),2),"0000"))))</f>
        <v/>
      </c>
      <c r="G1038">
        <f>IF(OR($E1038="",$E1038="نامعتبر"),"",IF(Sync!$S1035="","",Sync!$S1035))</f>
        <v/>
      </c>
      <c r="H1038">
        <f>IF(OR($E1038="",$E1038="نامعتبر"),"",IF(Sync!$R1035="","",Sync!$R1035))</f>
        <v/>
      </c>
      <c r="I1038">
        <f>IF(OR($E1038="",$E1038="نامعتبر"),"",IF(Sync!$T1035="","",Sync!$T1035))</f>
        <v/>
      </c>
      <c r="J1038">
        <f>IF(OR($E1038="",$E1038="نامعتبر"),"",IF(Sync!$U1035="","",Sync!$U1035))</f>
        <v/>
      </c>
      <c r="K1038">
        <f>IF(OR($E1038="",$E1038="نامعتبر"),"",IF(Sync!$V1035="","",IFERROR(INDEX(SubCodes,MATCH(Sync!$V1035,SubTitles,0)),Sync!$V1035)))</f>
        <v/>
      </c>
      <c r="L1038">
        <f>IF(OR($E1038="",$E1038="نامعتبر"),"",IF(Sync!$W1035="",0,Sync!$W1035))</f>
        <v/>
      </c>
      <c r="M1038">
        <f>IF(OR($E1038="",$E1038="نامعتبر"),"",IF(Sync!$X1035="",0,Sync!$X1035))</f>
        <v/>
      </c>
      <c r="N1038">
        <f>IF(OR($E1038="",$E1038="نامعتبر"),"",IF(AND($J1038="هزینه",$K1038&lt;&gt;""),1,0))</f>
        <v/>
      </c>
      <c r="O1038">
        <f>IF($N1038=0,"",LEFT($E1038,4)&amp;MID($E1038,6,2)&amp;RIGHT($E1038,2)&amp;$F1038&amp;"|"&amp;"1"&amp;RIGHT("00000"&amp;1030,5))</f>
        <v/>
      </c>
      <c r="P1038">
        <f>IF($O1038="","",COUNTIFS(ExpSub,$K1038,ExpKey,"&lt;"&amp;$O1038)+1)</f>
        <v/>
      </c>
      <c r="Q1038">
        <f>IF($P1038="","",$K1038&amp;"|"&amp;RIGHT("000000"&amp;$P1038,6))</f>
        <v/>
      </c>
    </row>
    <row r="1039">
      <c r="A1039">
        <f>IF(Sync!$P1036="","",Sync!$P1036)</f>
        <v/>
      </c>
      <c r="B1039">
        <f>IF($A1039="","",IF(ISNUMBER($A1039),IF(AND($A1039&gt;=10000101,$A1039&lt;=99991231),INT($A1039/10000),""),IFERROR(VALUE(TRIM(LEFT($A1039,FIND("/",$A1039)-1))),"")))</f>
        <v/>
      </c>
      <c r="C1039">
        <f>IF(OR($A1039="",$B1039=""),"",IF(ISNUMBER($A1039),INT(MOD($A1039,10000)/100),IFERROR(VALUE(TRIM(LEFT(MID($A1039,FIND("/",$A1039)+1,20),FIND("/",MID($A1039,FIND("/",$A1039)+1,20))-1))),"")))</f>
        <v/>
      </c>
      <c r="D1039">
        <f>IF(OR($A1039="",$B1039=""),"",IF(ISNUMBER($A1039),MOD($A1039,100),IFERROR(VALUE(TRIM(MID(MID($A1039,FIND("/",$A1039)+1,20),FIND("/",MID($A1039,FIND("/",$A1039)+1,20))+1,20))),"")))</f>
        <v/>
      </c>
      <c r="E1039">
        <f>IF($A1039="","",IF(OR($B1039="",$C1039="",$D1039="",$B1039&lt;1300,$B1039&gt;1500,$C1039&lt;1,$C1039&gt;12,$D1039&lt;1,$D1039&gt;31),"نامعتبر",RIGHT("0000"&amp;$B1039,4)&amp;"/"&amp;RIGHT("00"&amp;$C1039,2)&amp;"/"&amp;RIGHT("00"&amp;$D1039,2)))</f>
        <v/>
      </c>
      <c r="F1039">
        <f>IF(OR($E1039="",$E1039="نامعتبر"),"",IF(Sync!$Q1036="","0000",IF(AND(ISNUMBER(Sync!$Q1036),Sync!$Q1036&gt;=0,Sync!$Q1036&lt;1),RIGHT("00"&amp;HOUR(Sync!$Q1036),2)&amp;RIGHT("00"&amp;MINUTE(Sync!$Q1036),2),IFERROR(RIGHT("00"&amp;VALUE(LEFT(Sync!$Q1036,FIND(":",Sync!$Q1036)-1)),2)&amp;RIGHT("00"&amp;VALUE(MID(Sync!$Q1036,FIND(":",Sync!$Q1036)+1,2)),2),"0000"))))</f>
        <v/>
      </c>
      <c r="G1039">
        <f>IF(OR($E1039="",$E1039="نامعتبر"),"",IF(Sync!$S1036="","",Sync!$S1036))</f>
        <v/>
      </c>
      <c r="H1039">
        <f>IF(OR($E1039="",$E1039="نامعتبر"),"",IF(Sync!$R1036="","",Sync!$R1036))</f>
        <v/>
      </c>
      <c r="I1039">
        <f>IF(OR($E1039="",$E1039="نامعتبر"),"",IF(Sync!$T1036="","",Sync!$T1036))</f>
        <v/>
      </c>
      <c r="J1039">
        <f>IF(OR($E1039="",$E1039="نامعتبر"),"",IF(Sync!$U1036="","",Sync!$U1036))</f>
        <v/>
      </c>
      <c r="K1039">
        <f>IF(OR($E1039="",$E1039="نامعتبر"),"",IF(Sync!$V1036="","",IFERROR(INDEX(SubCodes,MATCH(Sync!$V1036,SubTitles,0)),Sync!$V1036)))</f>
        <v/>
      </c>
      <c r="L1039">
        <f>IF(OR($E1039="",$E1039="نامعتبر"),"",IF(Sync!$W1036="",0,Sync!$W1036))</f>
        <v/>
      </c>
      <c r="M1039">
        <f>IF(OR($E1039="",$E1039="نامعتبر"),"",IF(Sync!$X1036="",0,Sync!$X1036))</f>
        <v/>
      </c>
      <c r="N1039">
        <f>IF(OR($E1039="",$E1039="نامعتبر"),"",IF(AND($J1039="هزینه",$K1039&lt;&gt;""),1,0))</f>
        <v/>
      </c>
      <c r="O1039">
        <f>IF($N1039=0,"",LEFT($E1039,4)&amp;MID($E1039,6,2)&amp;RIGHT($E1039,2)&amp;$F1039&amp;"|"&amp;"1"&amp;RIGHT("00000"&amp;1031,5))</f>
        <v/>
      </c>
      <c r="P1039">
        <f>IF($O1039="","",COUNTIFS(ExpSub,$K1039,ExpKey,"&lt;"&amp;$O1039)+1)</f>
        <v/>
      </c>
      <c r="Q1039">
        <f>IF($P1039="","",$K1039&amp;"|"&amp;RIGHT("000000"&amp;$P1039,6))</f>
        <v/>
      </c>
    </row>
    <row r="1040">
      <c r="A1040">
        <f>IF(Sync!$P1037="","",Sync!$P1037)</f>
        <v/>
      </c>
      <c r="B1040">
        <f>IF($A1040="","",IF(ISNUMBER($A1040),IF(AND($A1040&gt;=10000101,$A1040&lt;=99991231),INT($A1040/10000),""),IFERROR(VALUE(TRIM(LEFT($A1040,FIND("/",$A1040)-1))),"")))</f>
        <v/>
      </c>
      <c r="C1040">
        <f>IF(OR($A1040="",$B1040=""),"",IF(ISNUMBER($A1040),INT(MOD($A1040,10000)/100),IFERROR(VALUE(TRIM(LEFT(MID($A1040,FIND("/",$A1040)+1,20),FIND("/",MID($A1040,FIND("/",$A1040)+1,20))-1))),"")))</f>
        <v/>
      </c>
      <c r="D1040">
        <f>IF(OR($A1040="",$B1040=""),"",IF(ISNUMBER($A1040),MOD($A1040,100),IFERROR(VALUE(TRIM(MID(MID($A1040,FIND("/",$A1040)+1,20),FIND("/",MID($A1040,FIND("/",$A1040)+1,20))+1,20))),"")))</f>
        <v/>
      </c>
      <c r="E1040">
        <f>IF($A1040="","",IF(OR($B1040="",$C1040="",$D1040="",$B1040&lt;1300,$B1040&gt;1500,$C1040&lt;1,$C1040&gt;12,$D1040&lt;1,$D1040&gt;31),"نامعتبر",RIGHT("0000"&amp;$B1040,4)&amp;"/"&amp;RIGHT("00"&amp;$C1040,2)&amp;"/"&amp;RIGHT("00"&amp;$D1040,2)))</f>
        <v/>
      </c>
      <c r="F1040">
        <f>IF(OR($E1040="",$E1040="نامعتبر"),"",IF(Sync!$Q1037="","0000",IF(AND(ISNUMBER(Sync!$Q1037),Sync!$Q1037&gt;=0,Sync!$Q1037&lt;1),RIGHT("00"&amp;HOUR(Sync!$Q1037),2)&amp;RIGHT("00"&amp;MINUTE(Sync!$Q1037),2),IFERROR(RIGHT("00"&amp;VALUE(LEFT(Sync!$Q1037,FIND(":",Sync!$Q1037)-1)),2)&amp;RIGHT("00"&amp;VALUE(MID(Sync!$Q1037,FIND(":",Sync!$Q1037)+1,2)),2),"0000"))))</f>
        <v/>
      </c>
      <c r="G1040">
        <f>IF(OR($E1040="",$E1040="نامعتبر"),"",IF(Sync!$S1037="","",Sync!$S1037))</f>
        <v/>
      </c>
      <c r="H1040">
        <f>IF(OR($E1040="",$E1040="نامعتبر"),"",IF(Sync!$R1037="","",Sync!$R1037))</f>
        <v/>
      </c>
      <c r="I1040">
        <f>IF(OR($E1040="",$E1040="نامعتبر"),"",IF(Sync!$T1037="","",Sync!$T1037))</f>
        <v/>
      </c>
      <c r="J1040">
        <f>IF(OR($E1040="",$E1040="نامعتبر"),"",IF(Sync!$U1037="","",Sync!$U1037))</f>
        <v/>
      </c>
      <c r="K1040">
        <f>IF(OR($E1040="",$E1040="نامعتبر"),"",IF(Sync!$V1037="","",IFERROR(INDEX(SubCodes,MATCH(Sync!$V1037,SubTitles,0)),Sync!$V1037)))</f>
        <v/>
      </c>
      <c r="L1040">
        <f>IF(OR($E1040="",$E1040="نامعتبر"),"",IF(Sync!$W1037="",0,Sync!$W1037))</f>
        <v/>
      </c>
      <c r="M1040">
        <f>IF(OR($E1040="",$E1040="نامعتبر"),"",IF(Sync!$X1037="",0,Sync!$X1037))</f>
        <v/>
      </c>
      <c r="N1040">
        <f>IF(OR($E1040="",$E1040="نامعتبر"),"",IF(AND($J1040="هزینه",$K1040&lt;&gt;""),1,0))</f>
        <v/>
      </c>
      <c r="O1040">
        <f>IF($N1040=0,"",LEFT($E1040,4)&amp;MID($E1040,6,2)&amp;RIGHT($E1040,2)&amp;$F1040&amp;"|"&amp;"1"&amp;RIGHT("00000"&amp;1032,5))</f>
        <v/>
      </c>
      <c r="P1040">
        <f>IF($O1040="","",COUNTIFS(ExpSub,$K1040,ExpKey,"&lt;"&amp;$O1040)+1)</f>
        <v/>
      </c>
      <c r="Q1040">
        <f>IF($P1040="","",$K1040&amp;"|"&amp;RIGHT("000000"&amp;$P1040,6))</f>
        <v/>
      </c>
    </row>
    <row r="1041">
      <c r="A1041">
        <f>IF(Sync!$P1038="","",Sync!$P1038)</f>
        <v/>
      </c>
      <c r="B1041">
        <f>IF($A1041="","",IF(ISNUMBER($A1041),IF(AND($A1041&gt;=10000101,$A1041&lt;=99991231),INT($A1041/10000),""),IFERROR(VALUE(TRIM(LEFT($A1041,FIND("/",$A1041)-1))),"")))</f>
        <v/>
      </c>
      <c r="C1041">
        <f>IF(OR($A1041="",$B1041=""),"",IF(ISNUMBER($A1041),INT(MOD($A1041,10000)/100),IFERROR(VALUE(TRIM(LEFT(MID($A1041,FIND("/",$A1041)+1,20),FIND("/",MID($A1041,FIND("/",$A1041)+1,20))-1))),"")))</f>
        <v/>
      </c>
      <c r="D1041">
        <f>IF(OR($A1041="",$B1041=""),"",IF(ISNUMBER($A1041),MOD($A1041,100),IFERROR(VALUE(TRIM(MID(MID($A1041,FIND("/",$A1041)+1,20),FIND("/",MID($A1041,FIND("/",$A1041)+1,20))+1,20))),"")))</f>
        <v/>
      </c>
      <c r="E1041">
        <f>IF($A1041="","",IF(OR($B1041="",$C1041="",$D1041="",$B1041&lt;1300,$B1041&gt;1500,$C1041&lt;1,$C1041&gt;12,$D1041&lt;1,$D1041&gt;31),"نامعتبر",RIGHT("0000"&amp;$B1041,4)&amp;"/"&amp;RIGHT("00"&amp;$C1041,2)&amp;"/"&amp;RIGHT("00"&amp;$D1041,2)))</f>
        <v/>
      </c>
      <c r="F1041">
        <f>IF(OR($E1041="",$E1041="نامعتبر"),"",IF(Sync!$Q1038="","0000",IF(AND(ISNUMBER(Sync!$Q1038),Sync!$Q1038&gt;=0,Sync!$Q1038&lt;1),RIGHT("00"&amp;HOUR(Sync!$Q1038),2)&amp;RIGHT("00"&amp;MINUTE(Sync!$Q1038),2),IFERROR(RIGHT("00"&amp;VALUE(LEFT(Sync!$Q1038,FIND(":",Sync!$Q1038)-1)),2)&amp;RIGHT("00"&amp;VALUE(MID(Sync!$Q1038,FIND(":",Sync!$Q1038)+1,2)),2),"0000"))))</f>
        <v/>
      </c>
      <c r="G1041">
        <f>IF(OR($E1041="",$E1041="نامعتبر"),"",IF(Sync!$S1038="","",Sync!$S1038))</f>
        <v/>
      </c>
      <c r="H1041">
        <f>IF(OR($E1041="",$E1041="نامعتبر"),"",IF(Sync!$R1038="","",Sync!$R1038))</f>
        <v/>
      </c>
      <c r="I1041">
        <f>IF(OR($E1041="",$E1041="نامعتبر"),"",IF(Sync!$T1038="","",Sync!$T1038))</f>
        <v/>
      </c>
      <c r="J1041">
        <f>IF(OR($E1041="",$E1041="نامعتبر"),"",IF(Sync!$U1038="","",Sync!$U1038))</f>
        <v/>
      </c>
      <c r="K1041">
        <f>IF(OR($E1041="",$E1041="نامعتبر"),"",IF(Sync!$V1038="","",IFERROR(INDEX(SubCodes,MATCH(Sync!$V1038,SubTitles,0)),Sync!$V1038)))</f>
        <v/>
      </c>
      <c r="L1041">
        <f>IF(OR($E1041="",$E1041="نامعتبر"),"",IF(Sync!$W1038="",0,Sync!$W1038))</f>
        <v/>
      </c>
      <c r="M1041">
        <f>IF(OR($E1041="",$E1041="نامعتبر"),"",IF(Sync!$X1038="",0,Sync!$X1038))</f>
        <v/>
      </c>
      <c r="N1041">
        <f>IF(OR($E1041="",$E1041="نامعتبر"),"",IF(AND($J1041="هزینه",$K1041&lt;&gt;""),1,0))</f>
        <v/>
      </c>
      <c r="O1041">
        <f>IF($N1041=0,"",LEFT($E1041,4)&amp;MID($E1041,6,2)&amp;RIGHT($E1041,2)&amp;$F1041&amp;"|"&amp;"1"&amp;RIGHT("00000"&amp;1033,5))</f>
        <v/>
      </c>
      <c r="P1041">
        <f>IF($O1041="","",COUNTIFS(ExpSub,$K1041,ExpKey,"&lt;"&amp;$O1041)+1)</f>
        <v/>
      </c>
      <c r="Q1041">
        <f>IF($P1041="","",$K1041&amp;"|"&amp;RIGHT("000000"&amp;$P1041,6))</f>
        <v/>
      </c>
    </row>
    <row r="1042">
      <c r="A1042">
        <f>IF(Sync!$P1039="","",Sync!$P1039)</f>
        <v/>
      </c>
      <c r="B1042">
        <f>IF($A1042="","",IF(ISNUMBER($A1042),IF(AND($A1042&gt;=10000101,$A1042&lt;=99991231),INT($A1042/10000),""),IFERROR(VALUE(TRIM(LEFT($A1042,FIND("/",$A1042)-1))),"")))</f>
        <v/>
      </c>
      <c r="C1042">
        <f>IF(OR($A1042="",$B1042=""),"",IF(ISNUMBER($A1042),INT(MOD($A1042,10000)/100),IFERROR(VALUE(TRIM(LEFT(MID($A1042,FIND("/",$A1042)+1,20),FIND("/",MID($A1042,FIND("/",$A1042)+1,20))-1))),"")))</f>
        <v/>
      </c>
      <c r="D1042">
        <f>IF(OR($A1042="",$B1042=""),"",IF(ISNUMBER($A1042),MOD($A1042,100),IFERROR(VALUE(TRIM(MID(MID($A1042,FIND("/",$A1042)+1,20),FIND("/",MID($A1042,FIND("/",$A1042)+1,20))+1,20))),"")))</f>
        <v/>
      </c>
      <c r="E1042">
        <f>IF($A1042="","",IF(OR($B1042="",$C1042="",$D1042="",$B1042&lt;1300,$B1042&gt;1500,$C1042&lt;1,$C1042&gt;12,$D1042&lt;1,$D1042&gt;31),"نامعتبر",RIGHT("0000"&amp;$B1042,4)&amp;"/"&amp;RIGHT("00"&amp;$C1042,2)&amp;"/"&amp;RIGHT("00"&amp;$D1042,2)))</f>
        <v/>
      </c>
      <c r="F1042">
        <f>IF(OR($E1042="",$E1042="نامعتبر"),"",IF(Sync!$Q1039="","0000",IF(AND(ISNUMBER(Sync!$Q1039),Sync!$Q1039&gt;=0,Sync!$Q1039&lt;1),RIGHT("00"&amp;HOUR(Sync!$Q1039),2)&amp;RIGHT("00"&amp;MINUTE(Sync!$Q1039),2),IFERROR(RIGHT("00"&amp;VALUE(LEFT(Sync!$Q1039,FIND(":",Sync!$Q1039)-1)),2)&amp;RIGHT("00"&amp;VALUE(MID(Sync!$Q1039,FIND(":",Sync!$Q1039)+1,2)),2),"0000"))))</f>
        <v/>
      </c>
      <c r="G1042">
        <f>IF(OR($E1042="",$E1042="نامعتبر"),"",IF(Sync!$S1039="","",Sync!$S1039))</f>
        <v/>
      </c>
      <c r="H1042">
        <f>IF(OR($E1042="",$E1042="نامعتبر"),"",IF(Sync!$R1039="","",Sync!$R1039))</f>
        <v/>
      </c>
      <c r="I1042">
        <f>IF(OR($E1042="",$E1042="نامعتبر"),"",IF(Sync!$T1039="","",Sync!$T1039))</f>
        <v/>
      </c>
      <c r="J1042">
        <f>IF(OR($E1042="",$E1042="نامعتبر"),"",IF(Sync!$U1039="","",Sync!$U1039))</f>
        <v/>
      </c>
      <c r="K1042">
        <f>IF(OR($E1042="",$E1042="نامعتبر"),"",IF(Sync!$V1039="","",IFERROR(INDEX(SubCodes,MATCH(Sync!$V1039,SubTitles,0)),Sync!$V1039)))</f>
        <v/>
      </c>
      <c r="L1042">
        <f>IF(OR($E1042="",$E1042="نامعتبر"),"",IF(Sync!$W1039="",0,Sync!$W1039))</f>
        <v/>
      </c>
      <c r="M1042">
        <f>IF(OR($E1042="",$E1042="نامعتبر"),"",IF(Sync!$X1039="",0,Sync!$X1039))</f>
        <v/>
      </c>
      <c r="N1042">
        <f>IF(OR($E1042="",$E1042="نامعتبر"),"",IF(AND($J1042="هزینه",$K1042&lt;&gt;""),1,0))</f>
        <v/>
      </c>
      <c r="O1042">
        <f>IF($N1042=0,"",LEFT($E1042,4)&amp;MID($E1042,6,2)&amp;RIGHT($E1042,2)&amp;$F1042&amp;"|"&amp;"1"&amp;RIGHT("00000"&amp;1034,5))</f>
        <v/>
      </c>
      <c r="P1042">
        <f>IF($O1042="","",COUNTIFS(ExpSub,$K1042,ExpKey,"&lt;"&amp;$O1042)+1)</f>
        <v/>
      </c>
      <c r="Q1042">
        <f>IF($P1042="","",$K1042&amp;"|"&amp;RIGHT("000000"&amp;$P1042,6))</f>
        <v/>
      </c>
    </row>
    <row r="1043">
      <c r="A1043">
        <f>IF(Sync!$P1040="","",Sync!$P1040)</f>
        <v/>
      </c>
      <c r="B1043">
        <f>IF($A1043="","",IF(ISNUMBER($A1043),IF(AND($A1043&gt;=10000101,$A1043&lt;=99991231),INT($A1043/10000),""),IFERROR(VALUE(TRIM(LEFT($A1043,FIND("/",$A1043)-1))),"")))</f>
        <v/>
      </c>
      <c r="C1043">
        <f>IF(OR($A1043="",$B1043=""),"",IF(ISNUMBER($A1043),INT(MOD($A1043,10000)/100),IFERROR(VALUE(TRIM(LEFT(MID($A1043,FIND("/",$A1043)+1,20),FIND("/",MID($A1043,FIND("/",$A1043)+1,20))-1))),"")))</f>
        <v/>
      </c>
      <c r="D1043">
        <f>IF(OR($A1043="",$B1043=""),"",IF(ISNUMBER($A1043),MOD($A1043,100),IFERROR(VALUE(TRIM(MID(MID($A1043,FIND("/",$A1043)+1,20),FIND("/",MID($A1043,FIND("/",$A1043)+1,20))+1,20))),"")))</f>
        <v/>
      </c>
      <c r="E1043">
        <f>IF($A1043="","",IF(OR($B1043="",$C1043="",$D1043="",$B1043&lt;1300,$B1043&gt;1500,$C1043&lt;1,$C1043&gt;12,$D1043&lt;1,$D1043&gt;31),"نامعتبر",RIGHT("0000"&amp;$B1043,4)&amp;"/"&amp;RIGHT("00"&amp;$C1043,2)&amp;"/"&amp;RIGHT("00"&amp;$D1043,2)))</f>
        <v/>
      </c>
      <c r="F1043">
        <f>IF(OR($E1043="",$E1043="نامعتبر"),"",IF(Sync!$Q1040="","0000",IF(AND(ISNUMBER(Sync!$Q1040),Sync!$Q1040&gt;=0,Sync!$Q1040&lt;1),RIGHT("00"&amp;HOUR(Sync!$Q1040),2)&amp;RIGHT("00"&amp;MINUTE(Sync!$Q1040),2),IFERROR(RIGHT("00"&amp;VALUE(LEFT(Sync!$Q1040,FIND(":",Sync!$Q1040)-1)),2)&amp;RIGHT("00"&amp;VALUE(MID(Sync!$Q1040,FIND(":",Sync!$Q1040)+1,2)),2),"0000"))))</f>
        <v/>
      </c>
      <c r="G1043">
        <f>IF(OR($E1043="",$E1043="نامعتبر"),"",IF(Sync!$S1040="","",Sync!$S1040))</f>
        <v/>
      </c>
      <c r="H1043">
        <f>IF(OR($E1043="",$E1043="نامعتبر"),"",IF(Sync!$R1040="","",Sync!$R1040))</f>
        <v/>
      </c>
      <c r="I1043">
        <f>IF(OR($E1043="",$E1043="نامعتبر"),"",IF(Sync!$T1040="","",Sync!$T1040))</f>
        <v/>
      </c>
      <c r="J1043">
        <f>IF(OR($E1043="",$E1043="نامعتبر"),"",IF(Sync!$U1040="","",Sync!$U1040))</f>
        <v/>
      </c>
      <c r="K1043">
        <f>IF(OR($E1043="",$E1043="نامعتبر"),"",IF(Sync!$V1040="","",IFERROR(INDEX(SubCodes,MATCH(Sync!$V1040,SubTitles,0)),Sync!$V1040)))</f>
        <v/>
      </c>
      <c r="L1043">
        <f>IF(OR($E1043="",$E1043="نامعتبر"),"",IF(Sync!$W1040="",0,Sync!$W1040))</f>
        <v/>
      </c>
      <c r="M1043">
        <f>IF(OR($E1043="",$E1043="نامعتبر"),"",IF(Sync!$X1040="",0,Sync!$X1040))</f>
        <v/>
      </c>
      <c r="N1043">
        <f>IF(OR($E1043="",$E1043="نامعتبر"),"",IF(AND($J1043="هزینه",$K1043&lt;&gt;""),1,0))</f>
        <v/>
      </c>
      <c r="O1043">
        <f>IF($N1043=0,"",LEFT($E1043,4)&amp;MID($E1043,6,2)&amp;RIGHT($E1043,2)&amp;$F1043&amp;"|"&amp;"1"&amp;RIGHT("00000"&amp;1035,5))</f>
        <v/>
      </c>
      <c r="P1043">
        <f>IF($O1043="","",COUNTIFS(ExpSub,$K1043,ExpKey,"&lt;"&amp;$O1043)+1)</f>
        <v/>
      </c>
      <c r="Q1043">
        <f>IF($P1043="","",$K1043&amp;"|"&amp;RIGHT("000000"&amp;$P1043,6))</f>
        <v/>
      </c>
    </row>
    <row r="1044">
      <c r="A1044">
        <f>IF(Sync!$P1041="","",Sync!$P1041)</f>
        <v/>
      </c>
      <c r="B1044">
        <f>IF($A1044="","",IF(ISNUMBER($A1044),IF(AND($A1044&gt;=10000101,$A1044&lt;=99991231),INT($A1044/10000),""),IFERROR(VALUE(TRIM(LEFT($A1044,FIND("/",$A1044)-1))),"")))</f>
        <v/>
      </c>
      <c r="C1044">
        <f>IF(OR($A1044="",$B1044=""),"",IF(ISNUMBER($A1044),INT(MOD($A1044,10000)/100),IFERROR(VALUE(TRIM(LEFT(MID($A1044,FIND("/",$A1044)+1,20),FIND("/",MID($A1044,FIND("/",$A1044)+1,20))-1))),"")))</f>
        <v/>
      </c>
      <c r="D1044">
        <f>IF(OR($A1044="",$B1044=""),"",IF(ISNUMBER($A1044),MOD($A1044,100),IFERROR(VALUE(TRIM(MID(MID($A1044,FIND("/",$A1044)+1,20),FIND("/",MID($A1044,FIND("/",$A1044)+1,20))+1,20))),"")))</f>
        <v/>
      </c>
      <c r="E1044">
        <f>IF($A1044="","",IF(OR($B1044="",$C1044="",$D1044="",$B1044&lt;1300,$B1044&gt;1500,$C1044&lt;1,$C1044&gt;12,$D1044&lt;1,$D1044&gt;31),"نامعتبر",RIGHT("0000"&amp;$B1044,4)&amp;"/"&amp;RIGHT("00"&amp;$C1044,2)&amp;"/"&amp;RIGHT("00"&amp;$D1044,2)))</f>
        <v/>
      </c>
      <c r="F1044">
        <f>IF(OR($E1044="",$E1044="نامعتبر"),"",IF(Sync!$Q1041="","0000",IF(AND(ISNUMBER(Sync!$Q1041),Sync!$Q1041&gt;=0,Sync!$Q1041&lt;1),RIGHT("00"&amp;HOUR(Sync!$Q1041),2)&amp;RIGHT("00"&amp;MINUTE(Sync!$Q1041),2),IFERROR(RIGHT("00"&amp;VALUE(LEFT(Sync!$Q1041,FIND(":",Sync!$Q1041)-1)),2)&amp;RIGHT("00"&amp;VALUE(MID(Sync!$Q1041,FIND(":",Sync!$Q1041)+1,2)),2),"0000"))))</f>
        <v/>
      </c>
      <c r="G1044">
        <f>IF(OR($E1044="",$E1044="نامعتبر"),"",IF(Sync!$S1041="","",Sync!$S1041))</f>
        <v/>
      </c>
      <c r="H1044">
        <f>IF(OR($E1044="",$E1044="نامعتبر"),"",IF(Sync!$R1041="","",Sync!$R1041))</f>
        <v/>
      </c>
      <c r="I1044">
        <f>IF(OR($E1044="",$E1044="نامعتبر"),"",IF(Sync!$T1041="","",Sync!$T1041))</f>
        <v/>
      </c>
      <c r="J1044">
        <f>IF(OR($E1044="",$E1044="نامعتبر"),"",IF(Sync!$U1041="","",Sync!$U1041))</f>
        <v/>
      </c>
      <c r="K1044">
        <f>IF(OR($E1044="",$E1044="نامعتبر"),"",IF(Sync!$V1041="","",IFERROR(INDEX(SubCodes,MATCH(Sync!$V1041,SubTitles,0)),Sync!$V1041)))</f>
        <v/>
      </c>
      <c r="L1044">
        <f>IF(OR($E1044="",$E1044="نامعتبر"),"",IF(Sync!$W1041="",0,Sync!$W1041))</f>
        <v/>
      </c>
      <c r="M1044">
        <f>IF(OR($E1044="",$E1044="نامعتبر"),"",IF(Sync!$X1041="",0,Sync!$X1041))</f>
        <v/>
      </c>
      <c r="N1044">
        <f>IF(OR($E1044="",$E1044="نامعتبر"),"",IF(AND($J1044="هزینه",$K1044&lt;&gt;""),1,0))</f>
        <v/>
      </c>
      <c r="O1044">
        <f>IF($N1044=0,"",LEFT($E1044,4)&amp;MID($E1044,6,2)&amp;RIGHT($E1044,2)&amp;$F1044&amp;"|"&amp;"1"&amp;RIGHT("00000"&amp;1036,5))</f>
        <v/>
      </c>
      <c r="P1044">
        <f>IF($O1044="","",COUNTIFS(ExpSub,$K1044,ExpKey,"&lt;"&amp;$O1044)+1)</f>
        <v/>
      </c>
      <c r="Q1044">
        <f>IF($P1044="","",$K1044&amp;"|"&amp;RIGHT("000000"&amp;$P1044,6))</f>
        <v/>
      </c>
    </row>
    <row r="1045">
      <c r="A1045">
        <f>IF(Sync!$P1042="","",Sync!$P1042)</f>
        <v/>
      </c>
      <c r="B1045">
        <f>IF($A1045="","",IF(ISNUMBER($A1045),IF(AND($A1045&gt;=10000101,$A1045&lt;=99991231),INT($A1045/10000),""),IFERROR(VALUE(TRIM(LEFT($A1045,FIND("/",$A1045)-1))),"")))</f>
        <v/>
      </c>
      <c r="C1045">
        <f>IF(OR($A1045="",$B1045=""),"",IF(ISNUMBER($A1045),INT(MOD($A1045,10000)/100),IFERROR(VALUE(TRIM(LEFT(MID($A1045,FIND("/",$A1045)+1,20),FIND("/",MID($A1045,FIND("/",$A1045)+1,20))-1))),"")))</f>
        <v/>
      </c>
      <c r="D1045">
        <f>IF(OR($A1045="",$B1045=""),"",IF(ISNUMBER($A1045),MOD($A1045,100),IFERROR(VALUE(TRIM(MID(MID($A1045,FIND("/",$A1045)+1,20),FIND("/",MID($A1045,FIND("/",$A1045)+1,20))+1,20))),"")))</f>
        <v/>
      </c>
      <c r="E1045">
        <f>IF($A1045="","",IF(OR($B1045="",$C1045="",$D1045="",$B1045&lt;1300,$B1045&gt;1500,$C1045&lt;1,$C1045&gt;12,$D1045&lt;1,$D1045&gt;31),"نامعتبر",RIGHT("0000"&amp;$B1045,4)&amp;"/"&amp;RIGHT("00"&amp;$C1045,2)&amp;"/"&amp;RIGHT("00"&amp;$D1045,2)))</f>
        <v/>
      </c>
      <c r="F1045">
        <f>IF(OR($E1045="",$E1045="نامعتبر"),"",IF(Sync!$Q1042="","0000",IF(AND(ISNUMBER(Sync!$Q1042),Sync!$Q1042&gt;=0,Sync!$Q1042&lt;1),RIGHT("00"&amp;HOUR(Sync!$Q1042),2)&amp;RIGHT("00"&amp;MINUTE(Sync!$Q1042),2),IFERROR(RIGHT("00"&amp;VALUE(LEFT(Sync!$Q1042,FIND(":",Sync!$Q1042)-1)),2)&amp;RIGHT("00"&amp;VALUE(MID(Sync!$Q1042,FIND(":",Sync!$Q1042)+1,2)),2),"0000"))))</f>
        <v/>
      </c>
      <c r="G1045">
        <f>IF(OR($E1045="",$E1045="نامعتبر"),"",IF(Sync!$S1042="","",Sync!$S1042))</f>
        <v/>
      </c>
      <c r="H1045">
        <f>IF(OR($E1045="",$E1045="نامعتبر"),"",IF(Sync!$R1042="","",Sync!$R1042))</f>
        <v/>
      </c>
      <c r="I1045">
        <f>IF(OR($E1045="",$E1045="نامعتبر"),"",IF(Sync!$T1042="","",Sync!$T1042))</f>
        <v/>
      </c>
      <c r="J1045">
        <f>IF(OR($E1045="",$E1045="نامعتبر"),"",IF(Sync!$U1042="","",Sync!$U1042))</f>
        <v/>
      </c>
      <c r="K1045">
        <f>IF(OR($E1045="",$E1045="نامعتبر"),"",IF(Sync!$V1042="","",IFERROR(INDEX(SubCodes,MATCH(Sync!$V1042,SubTitles,0)),Sync!$V1042)))</f>
        <v/>
      </c>
      <c r="L1045">
        <f>IF(OR($E1045="",$E1045="نامعتبر"),"",IF(Sync!$W1042="",0,Sync!$W1042))</f>
        <v/>
      </c>
      <c r="M1045">
        <f>IF(OR($E1045="",$E1045="نامعتبر"),"",IF(Sync!$X1042="",0,Sync!$X1042))</f>
        <v/>
      </c>
      <c r="N1045">
        <f>IF(OR($E1045="",$E1045="نامعتبر"),"",IF(AND($J1045="هزینه",$K1045&lt;&gt;""),1,0))</f>
        <v/>
      </c>
      <c r="O1045">
        <f>IF($N1045=0,"",LEFT($E1045,4)&amp;MID($E1045,6,2)&amp;RIGHT($E1045,2)&amp;$F1045&amp;"|"&amp;"1"&amp;RIGHT("00000"&amp;1037,5))</f>
        <v/>
      </c>
      <c r="P1045">
        <f>IF($O1045="","",COUNTIFS(ExpSub,$K1045,ExpKey,"&lt;"&amp;$O1045)+1)</f>
        <v/>
      </c>
      <c r="Q1045">
        <f>IF($P1045="","",$K1045&amp;"|"&amp;RIGHT("000000"&amp;$P1045,6))</f>
        <v/>
      </c>
    </row>
    <row r="1046">
      <c r="A1046">
        <f>IF(Sync!$P1043="","",Sync!$P1043)</f>
        <v/>
      </c>
      <c r="B1046">
        <f>IF($A1046="","",IF(ISNUMBER($A1046),IF(AND($A1046&gt;=10000101,$A1046&lt;=99991231),INT($A1046/10000),""),IFERROR(VALUE(TRIM(LEFT($A1046,FIND("/",$A1046)-1))),"")))</f>
        <v/>
      </c>
      <c r="C1046">
        <f>IF(OR($A1046="",$B1046=""),"",IF(ISNUMBER($A1046),INT(MOD($A1046,10000)/100),IFERROR(VALUE(TRIM(LEFT(MID($A1046,FIND("/",$A1046)+1,20),FIND("/",MID($A1046,FIND("/",$A1046)+1,20))-1))),"")))</f>
        <v/>
      </c>
      <c r="D1046">
        <f>IF(OR($A1046="",$B1046=""),"",IF(ISNUMBER($A1046),MOD($A1046,100),IFERROR(VALUE(TRIM(MID(MID($A1046,FIND("/",$A1046)+1,20),FIND("/",MID($A1046,FIND("/",$A1046)+1,20))+1,20))),"")))</f>
        <v/>
      </c>
      <c r="E1046">
        <f>IF($A1046="","",IF(OR($B1046="",$C1046="",$D1046="",$B1046&lt;1300,$B1046&gt;1500,$C1046&lt;1,$C1046&gt;12,$D1046&lt;1,$D1046&gt;31),"نامعتبر",RIGHT("0000"&amp;$B1046,4)&amp;"/"&amp;RIGHT("00"&amp;$C1046,2)&amp;"/"&amp;RIGHT("00"&amp;$D1046,2)))</f>
        <v/>
      </c>
      <c r="F1046">
        <f>IF(OR($E1046="",$E1046="نامعتبر"),"",IF(Sync!$Q1043="","0000",IF(AND(ISNUMBER(Sync!$Q1043),Sync!$Q1043&gt;=0,Sync!$Q1043&lt;1),RIGHT("00"&amp;HOUR(Sync!$Q1043),2)&amp;RIGHT("00"&amp;MINUTE(Sync!$Q1043),2),IFERROR(RIGHT("00"&amp;VALUE(LEFT(Sync!$Q1043,FIND(":",Sync!$Q1043)-1)),2)&amp;RIGHT("00"&amp;VALUE(MID(Sync!$Q1043,FIND(":",Sync!$Q1043)+1,2)),2),"0000"))))</f>
        <v/>
      </c>
      <c r="G1046">
        <f>IF(OR($E1046="",$E1046="نامعتبر"),"",IF(Sync!$S1043="","",Sync!$S1043))</f>
        <v/>
      </c>
      <c r="H1046">
        <f>IF(OR($E1046="",$E1046="نامعتبر"),"",IF(Sync!$R1043="","",Sync!$R1043))</f>
        <v/>
      </c>
      <c r="I1046">
        <f>IF(OR($E1046="",$E1046="نامعتبر"),"",IF(Sync!$T1043="","",Sync!$T1043))</f>
        <v/>
      </c>
      <c r="J1046">
        <f>IF(OR($E1046="",$E1046="نامعتبر"),"",IF(Sync!$U1043="","",Sync!$U1043))</f>
        <v/>
      </c>
      <c r="K1046">
        <f>IF(OR($E1046="",$E1046="نامعتبر"),"",IF(Sync!$V1043="","",IFERROR(INDEX(SubCodes,MATCH(Sync!$V1043,SubTitles,0)),Sync!$V1043)))</f>
        <v/>
      </c>
      <c r="L1046">
        <f>IF(OR($E1046="",$E1046="نامعتبر"),"",IF(Sync!$W1043="",0,Sync!$W1043))</f>
        <v/>
      </c>
      <c r="M1046">
        <f>IF(OR($E1046="",$E1046="نامعتبر"),"",IF(Sync!$X1043="",0,Sync!$X1043))</f>
        <v/>
      </c>
      <c r="N1046">
        <f>IF(OR($E1046="",$E1046="نامعتبر"),"",IF(AND($J1046="هزینه",$K1046&lt;&gt;""),1,0))</f>
        <v/>
      </c>
      <c r="O1046">
        <f>IF($N1046=0,"",LEFT($E1046,4)&amp;MID($E1046,6,2)&amp;RIGHT($E1046,2)&amp;$F1046&amp;"|"&amp;"1"&amp;RIGHT("00000"&amp;1038,5))</f>
        <v/>
      </c>
      <c r="P1046">
        <f>IF($O1046="","",COUNTIFS(ExpSub,$K1046,ExpKey,"&lt;"&amp;$O1046)+1)</f>
        <v/>
      </c>
      <c r="Q1046">
        <f>IF($P1046="","",$K1046&amp;"|"&amp;RIGHT("000000"&amp;$P1046,6))</f>
        <v/>
      </c>
    </row>
    <row r="1047">
      <c r="A1047">
        <f>IF(Sync!$P1044="","",Sync!$P1044)</f>
        <v/>
      </c>
      <c r="B1047">
        <f>IF($A1047="","",IF(ISNUMBER($A1047),IF(AND($A1047&gt;=10000101,$A1047&lt;=99991231),INT($A1047/10000),""),IFERROR(VALUE(TRIM(LEFT($A1047,FIND("/",$A1047)-1))),"")))</f>
        <v/>
      </c>
      <c r="C1047">
        <f>IF(OR($A1047="",$B1047=""),"",IF(ISNUMBER($A1047),INT(MOD($A1047,10000)/100),IFERROR(VALUE(TRIM(LEFT(MID($A1047,FIND("/",$A1047)+1,20),FIND("/",MID($A1047,FIND("/",$A1047)+1,20))-1))),"")))</f>
        <v/>
      </c>
      <c r="D1047">
        <f>IF(OR($A1047="",$B1047=""),"",IF(ISNUMBER($A1047),MOD($A1047,100),IFERROR(VALUE(TRIM(MID(MID($A1047,FIND("/",$A1047)+1,20),FIND("/",MID($A1047,FIND("/",$A1047)+1,20))+1,20))),"")))</f>
        <v/>
      </c>
      <c r="E1047">
        <f>IF($A1047="","",IF(OR($B1047="",$C1047="",$D1047="",$B1047&lt;1300,$B1047&gt;1500,$C1047&lt;1,$C1047&gt;12,$D1047&lt;1,$D1047&gt;31),"نامعتبر",RIGHT("0000"&amp;$B1047,4)&amp;"/"&amp;RIGHT("00"&amp;$C1047,2)&amp;"/"&amp;RIGHT("00"&amp;$D1047,2)))</f>
        <v/>
      </c>
      <c r="F1047">
        <f>IF(OR($E1047="",$E1047="نامعتبر"),"",IF(Sync!$Q1044="","0000",IF(AND(ISNUMBER(Sync!$Q1044),Sync!$Q1044&gt;=0,Sync!$Q1044&lt;1),RIGHT("00"&amp;HOUR(Sync!$Q1044),2)&amp;RIGHT("00"&amp;MINUTE(Sync!$Q1044),2),IFERROR(RIGHT("00"&amp;VALUE(LEFT(Sync!$Q1044,FIND(":",Sync!$Q1044)-1)),2)&amp;RIGHT("00"&amp;VALUE(MID(Sync!$Q1044,FIND(":",Sync!$Q1044)+1,2)),2),"0000"))))</f>
        <v/>
      </c>
      <c r="G1047">
        <f>IF(OR($E1047="",$E1047="نامعتبر"),"",IF(Sync!$S1044="","",Sync!$S1044))</f>
        <v/>
      </c>
      <c r="H1047">
        <f>IF(OR($E1047="",$E1047="نامعتبر"),"",IF(Sync!$R1044="","",Sync!$R1044))</f>
        <v/>
      </c>
      <c r="I1047">
        <f>IF(OR($E1047="",$E1047="نامعتبر"),"",IF(Sync!$T1044="","",Sync!$T1044))</f>
        <v/>
      </c>
      <c r="J1047">
        <f>IF(OR($E1047="",$E1047="نامعتبر"),"",IF(Sync!$U1044="","",Sync!$U1044))</f>
        <v/>
      </c>
      <c r="K1047">
        <f>IF(OR($E1047="",$E1047="نامعتبر"),"",IF(Sync!$V1044="","",IFERROR(INDEX(SubCodes,MATCH(Sync!$V1044,SubTitles,0)),Sync!$V1044)))</f>
        <v/>
      </c>
      <c r="L1047">
        <f>IF(OR($E1047="",$E1047="نامعتبر"),"",IF(Sync!$W1044="",0,Sync!$W1044))</f>
        <v/>
      </c>
      <c r="M1047">
        <f>IF(OR($E1047="",$E1047="نامعتبر"),"",IF(Sync!$X1044="",0,Sync!$X1044))</f>
        <v/>
      </c>
      <c r="N1047">
        <f>IF(OR($E1047="",$E1047="نامعتبر"),"",IF(AND($J1047="هزینه",$K1047&lt;&gt;""),1,0))</f>
        <v/>
      </c>
      <c r="O1047">
        <f>IF($N1047=0,"",LEFT($E1047,4)&amp;MID($E1047,6,2)&amp;RIGHT($E1047,2)&amp;$F1047&amp;"|"&amp;"1"&amp;RIGHT("00000"&amp;1039,5))</f>
        <v/>
      </c>
      <c r="P1047">
        <f>IF($O1047="","",COUNTIFS(ExpSub,$K1047,ExpKey,"&lt;"&amp;$O1047)+1)</f>
        <v/>
      </c>
      <c r="Q1047">
        <f>IF($P1047="","",$K1047&amp;"|"&amp;RIGHT("000000"&amp;$P1047,6))</f>
        <v/>
      </c>
    </row>
    <row r="1048">
      <c r="A1048">
        <f>IF(Sync!$P1045="","",Sync!$P1045)</f>
        <v/>
      </c>
      <c r="B1048">
        <f>IF($A1048="","",IF(ISNUMBER($A1048),IF(AND($A1048&gt;=10000101,$A1048&lt;=99991231),INT($A1048/10000),""),IFERROR(VALUE(TRIM(LEFT($A1048,FIND("/",$A1048)-1))),"")))</f>
        <v/>
      </c>
      <c r="C1048">
        <f>IF(OR($A1048="",$B1048=""),"",IF(ISNUMBER($A1048),INT(MOD($A1048,10000)/100),IFERROR(VALUE(TRIM(LEFT(MID($A1048,FIND("/",$A1048)+1,20),FIND("/",MID($A1048,FIND("/",$A1048)+1,20))-1))),"")))</f>
        <v/>
      </c>
      <c r="D1048">
        <f>IF(OR($A1048="",$B1048=""),"",IF(ISNUMBER($A1048),MOD($A1048,100),IFERROR(VALUE(TRIM(MID(MID($A1048,FIND("/",$A1048)+1,20),FIND("/",MID($A1048,FIND("/",$A1048)+1,20))+1,20))),"")))</f>
        <v/>
      </c>
      <c r="E1048">
        <f>IF($A1048="","",IF(OR($B1048="",$C1048="",$D1048="",$B1048&lt;1300,$B1048&gt;1500,$C1048&lt;1,$C1048&gt;12,$D1048&lt;1,$D1048&gt;31),"نامعتبر",RIGHT("0000"&amp;$B1048,4)&amp;"/"&amp;RIGHT("00"&amp;$C1048,2)&amp;"/"&amp;RIGHT("00"&amp;$D1048,2)))</f>
        <v/>
      </c>
      <c r="F1048">
        <f>IF(OR($E1048="",$E1048="نامعتبر"),"",IF(Sync!$Q1045="","0000",IF(AND(ISNUMBER(Sync!$Q1045),Sync!$Q1045&gt;=0,Sync!$Q1045&lt;1),RIGHT("00"&amp;HOUR(Sync!$Q1045),2)&amp;RIGHT("00"&amp;MINUTE(Sync!$Q1045),2),IFERROR(RIGHT("00"&amp;VALUE(LEFT(Sync!$Q1045,FIND(":",Sync!$Q1045)-1)),2)&amp;RIGHT("00"&amp;VALUE(MID(Sync!$Q1045,FIND(":",Sync!$Q1045)+1,2)),2),"0000"))))</f>
        <v/>
      </c>
      <c r="G1048">
        <f>IF(OR($E1048="",$E1048="نامعتبر"),"",IF(Sync!$S1045="","",Sync!$S1045))</f>
        <v/>
      </c>
      <c r="H1048">
        <f>IF(OR($E1048="",$E1048="نامعتبر"),"",IF(Sync!$R1045="","",Sync!$R1045))</f>
        <v/>
      </c>
      <c r="I1048">
        <f>IF(OR($E1048="",$E1048="نامعتبر"),"",IF(Sync!$T1045="","",Sync!$T1045))</f>
        <v/>
      </c>
      <c r="J1048">
        <f>IF(OR($E1048="",$E1048="نامعتبر"),"",IF(Sync!$U1045="","",Sync!$U1045))</f>
        <v/>
      </c>
      <c r="K1048">
        <f>IF(OR($E1048="",$E1048="نامعتبر"),"",IF(Sync!$V1045="","",IFERROR(INDEX(SubCodes,MATCH(Sync!$V1045,SubTitles,0)),Sync!$V1045)))</f>
        <v/>
      </c>
      <c r="L1048">
        <f>IF(OR($E1048="",$E1048="نامعتبر"),"",IF(Sync!$W1045="",0,Sync!$W1045))</f>
        <v/>
      </c>
      <c r="M1048">
        <f>IF(OR($E1048="",$E1048="نامعتبر"),"",IF(Sync!$X1045="",0,Sync!$X1045))</f>
        <v/>
      </c>
      <c r="N1048">
        <f>IF(OR($E1048="",$E1048="نامعتبر"),"",IF(AND($J1048="هزینه",$K1048&lt;&gt;""),1,0))</f>
        <v/>
      </c>
      <c r="O1048">
        <f>IF($N1048=0,"",LEFT($E1048,4)&amp;MID($E1048,6,2)&amp;RIGHT($E1048,2)&amp;$F1048&amp;"|"&amp;"1"&amp;RIGHT("00000"&amp;1040,5))</f>
        <v/>
      </c>
      <c r="P1048">
        <f>IF($O1048="","",COUNTIFS(ExpSub,$K1048,ExpKey,"&lt;"&amp;$O1048)+1)</f>
        <v/>
      </c>
      <c r="Q1048">
        <f>IF($P1048="","",$K1048&amp;"|"&amp;RIGHT("000000"&amp;$P1048,6))</f>
        <v/>
      </c>
    </row>
    <row r="1049">
      <c r="A1049">
        <f>IF(Sync!$P1046="","",Sync!$P1046)</f>
        <v/>
      </c>
      <c r="B1049">
        <f>IF($A1049="","",IF(ISNUMBER($A1049),IF(AND($A1049&gt;=10000101,$A1049&lt;=99991231),INT($A1049/10000),""),IFERROR(VALUE(TRIM(LEFT($A1049,FIND("/",$A1049)-1))),"")))</f>
        <v/>
      </c>
      <c r="C1049">
        <f>IF(OR($A1049="",$B1049=""),"",IF(ISNUMBER($A1049),INT(MOD($A1049,10000)/100),IFERROR(VALUE(TRIM(LEFT(MID($A1049,FIND("/",$A1049)+1,20),FIND("/",MID($A1049,FIND("/",$A1049)+1,20))-1))),"")))</f>
        <v/>
      </c>
      <c r="D1049">
        <f>IF(OR($A1049="",$B1049=""),"",IF(ISNUMBER($A1049),MOD($A1049,100),IFERROR(VALUE(TRIM(MID(MID($A1049,FIND("/",$A1049)+1,20),FIND("/",MID($A1049,FIND("/",$A1049)+1,20))+1,20))),"")))</f>
        <v/>
      </c>
      <c r="E1049">
        <f>IF($A1049="","",IF(OR($B1049="",$C1049="",$D1049="",$B1049&lt;1300,$B1049&gt;1500,$C1049&lt;1,$C1049&gt;12,$D1049&lt;1,$D1049&gt;31),"نامعتبر",RIGHT("0000"&amp;$B1049,4)&amp;"/"&amp;RIGHT("00"&amp;$C1049,2)&amp;"/"&amp;RIGHT("00"&amp;$D1049,2)))</f>
        <v/>
      </c>
      <c r="F1049">
        <f>IF(OR($E1049="",$E1049="نامعتبر"),"",IF(Sync!$Q1046="","0000",IF(AND(ISNUMBER(Sync!$Q1046),Sync!$Q1046&gt;=0,Sync!$Q1046&lt;1),RIGHT("00"&amp;HOUR(Sync!$Q1046),2)&amp;RIGHT("00"&amp;MINUTE(Sync!$Q1046),2),IFERROR(RIGHT("00"&amp;VALUE(LEFT(Sync!$Q1046,FIND(":",Sync!$Q1046)-1)),2)&amp;RIGHT("00"&amp;VALUE(MID(Sync!$Q1046,FIND(":",Sync!$Q1046)+1,2)),2),"0000"))))</f>
        <v/>
      </c>
      <c r="G1049">
        <f>IF(OR($E1049="",$E1049="نامعتبر"),"",IF(Sync!$S1046="","",Sync!$S1046))</f>
        <v/>
      </c>
      <c r="H1049">
        <f>IF(OR($E1049="",$E1049="نامعتبر"),"",IF(Sync!$R1046="","",Sync!$R1046))</f>
        <v/>
      </c>
      <c r="I1049">
        <f>IF(OR($E1049="",$E1049="نامعتبر"),"",IF(Sync!$T1046="","",Sync!$T1046))</f>
        <v/>
      </c>
      <c r="J1049">
        <f>IF(OR($E1049="",$E1049="نامعتبر"),"",IF(Sync!$U1046="","",Sync!$U1046))</f>
        <v/>
      </c>
      <c r="K1049">
        <f>IF(OR($E1049="",$E1049="نامعتبر"),"",IF(Sync!$V1046="","",IFERROR(INDEX(SubCodes,MATCH(Sync!$V1046,SubTitles,0)),Sync!$V1046)))</f>
        <v/>
      </c>
      <c r="L1049">
        <f>IF(OR($E1049="",$E1049="نامعتبر"),"",IF(Sync!$W1046="",0,Sync!$W1046))</f>
        <v/>
      </c>
      <c r="M1049">
        <f>IF(OR($E1049="",$E1049="نامعتبر"),"",IF(Sync!$X1046="",0,Sync!$X1046))</f>
        <v/>
      </c>
      <c r="N1049">
        <f>IF(OR($E1049="",$E1049="نامعتبر"),"",IF(AND($J1049="هزینه",$K1049&lt;&gt;""),1,0))</f>
        <v/>
      </c>
      <c r="O1049">
        <f>IF($N1049=0,"",LEFT($E1049,4)&amp;MID($E1049,6,2)&amp;RIGHT($E1049,2)&amp;$F1049&amp;"|"&amp;"1"&amp;RIGHT("00000"&amp;1041,5))</f>
        <v/>
      </c>
      <c r="P1049">
        <f>IF($O1049="","",COUNTIFS(ExpSub,$K1049,ExpKey,"&lt;"&amp;$O1049)+1)</f>
        <v/>
      </c>
      <c r="Q1049">
        <f>IF($P1049="","",$K1049&amp;"|"&amp;RIGHT("000000"&amp;$P1049,6))</f>
        <v/>
      </c>
    </row>
    <row r="1050">
      <c r="A1050">
        <f>IF(Sync!$P1047="","",Sync!$P1047)</f>
        <v/>
      </c>
      <c r="B1050">
        <f>IF($A1050="","",IF(ISNUMBER($A1050),IF(AND($A1050&gt;=10000101,$A1050&lt;=99991231),INT($A1050/10000),""),IFERROR(VALUE(TRIM(LEFT($A1050,FIND("/",$A1050)-1))),"")))</f>
        <v/>
      </c>
      <c r="C1050">
        <f>IF(OR($A1050="",$B1050=""),"",IF(ISNUMBER($A1050),INT(MOD($A1050,10000)/100),IFERROR(VALUE(TRIM(LEFT(MID($A1050,FIND("/",$A1050)+1,20),FIND("/",MID($A1050,FIND("/",$A1050)+1,20))-1))),"")))</f>
        <v/>
      </c>
      <c r="D1050">
        <f>IF(OR($A1050="",$B1050=""),"",IF(ISNUMBER($A1050),MOD($A1050,100),IFERROR(VALUE(TRIM(MID(MID($A1050,FIND("/",$A1050)+1,20),FIND("/",MID($A1050,FIND("/",$A1050)+1,20))+1,20))),"")))</f>
        <v/>
      </c>
      <c r="E1050">
        <f>IF($A1050="","",IF(OR($B1050="",$C1050="",$D1050="",$B1050&lt;1300,$B1050&gt;1500,$C1050&lt;1,$C1050&gt;12,$D1050&lt;1,$D1050&gt;31),"نامعتبر",RIGHT("0000"&amp;$B1050,4)&amp;"/"&amp;RIGHT("00"&amp;$C1050,2)&amp;"/"&amp;RIGHT("00"&amp;$D1050,2)))</f>
        <v/>
      </c>
      <c r="F1050">
        <f>IF(OR($E1050="",$E1050="نامعتبر"),"",IF(Sync!$Q1047="","0000",IF(AND(ISNUMBER(Sync!$Q1047),Sync!$Q1047&gt;=0,Sync!$Q1047&lt;1),RIGHT("00"&amp;HOUR(Sync!$Q1047),2)&amp;RIGHT("00"&amp;MINUTE(Sync!$Q1047),2),IFERROR(RIGHT("00"&amp;VALUE(LEFT(Sync!$Q1047,FIND(":",Sync!$Q1047)-1)),2)&amp;RIGHT("00"&amp;VALUE(MID(Sync!$Q1047,FIND(":",Sync!$Q1047)+1,2)),2),"0000"))))</f>
        <v/>
      </c>
      <c r="G1050">
        <f>IF(OR($E1050="",$E1050="نامعتبر"),"",IF(Sync!$S1047="","",Sync!$S1047))</f>
        <v/>
      </c>
      <c r="H1050">
        <f>IF(OR($E1050="",$E1050="نامعتبر"),"",IF(Sync!$R1047="","",Sync!$R1047))</f>
        <v/>
      </c>
      <c r="I1050">
        <f>IF(OR($E1050="",$E1050="نامعتبر"),"",IF(Sync!$T1047="","",Sync!$T1047))</f>
        <v/>
      </c>
      <c r="J1050">
        <f>IF(OR($E1050="",$E1050="نامعتبر"),"",IF(Sync!$U1047="","",Sync!$U1047))</f>
        <v/>
      </c>
      <c r="K1050">
        <f>IF(OR($E1050="",$E1050="نامعتبر"),"",IF(Sync!$V1047="","",IFERROR(INDEX(SubCodes,MATCH(Sync!$V1047,SubTitles,0)),Sync!$V1047)))</f>
        <v/>
      </c>
      <c r="L1050">
        <f>IF(OR($E1050="",$E1050="نامعتبر"),"",IF(Sync!$W1047="",0,Sync!$W1047))</f>
        <v/>
      </c>
      <c r="M1050">
        <f>IF(OR($E1050="",$E1050="نامعتبر"),"",IF(Sync!$X1047="",0,Sync!$X1047))</f>
        <v/>
      </c>
      <c r="N1050">
        <f>IF(OR($E1050="",$E1050="نامعتبر"),"",IF(AND($J1050="هزینه",$K1050&lt;&gt;""),1,0))</f>
        <v/>
      </c>
      <c r="O1050">
        <f>IF($N1050=0,"",LEFT($E1050,4)&amp;MID($E1050,6,2)&amp;RIGHT($E1050,2)&amp;$F1050&amp;"|"&amp;"1"&amp;RIGHT("00000"&amp;1042,5))</f>
        <v/>
      </c>
      <c r="P1050">
        <f>IF($O1050="","",COUNTIFS(ExpSub,$K1050,ExpKey,"&lt;"&amp;$O1050)+1)</f>
        <v/>
      </c>
      <c r="Q1050">
        <f>IF($P1050="","",$K1050&amp;"|"&amp;RIGHT("000000"&amp;$P1050,6))</f>
        <v/>
      </c>
    </row>
    <row r="1051">
      <c r="A1051">
        <f>IF(Sync!$P1048="","",Sync!$P1048)</f>
        <v/>
      </c>
      <c r="B1051">
        <f>IF($A1051="","",IF(ISNUMBER($A1051),IF(AND($A1051&gt;=10000101,$A1051&lt;=99991231),INT($A1051/10000),""),IFERROR(VALUE(TRIM(LEFT($A1051,FIND("/",$A1051)-1))),"")))</f>
        <v/>
      </c>
      <c r="C1051">
        <f>IF(OR($A1051="",$B1051=""),"",IF(ISNUMBER($A1051),INT(MOD($A1051,10000)/100),IFERROR(VALUE(TRIM(LEFT(MID($A1051,FIND("/",$A1051)+1,20),FIND("/",MID($A1051,FIND("/",$A1051)+1,20))-1))),"")))</f>
        <v/>
      </c>
      <c r="D1051">
        <f>IF(OR($A1051="",$B1051=""),"",IF(ISNUMBER($A1051),MOD($A1051,100),IFERROR(VALUE(TRIM(MID(MID($A1051,FIND("/",$A1051)+1,20),FIND("/",MID($A1051,FIND("/",$A1051)+1,20))+1,20))),"")))</f>
        <v/>
      </c>
      <c r="E1051">
        <f>IF($A1051="","",IF(OR($B1051="",$C1051="",$D1051="",$B1051&lt;1300,$B1051&gt;1500,$C1051&lt;1,$C1051&gt;12,$D1051&lt;1,$D1051&gt;31),"نامعتبر",RIGHT("0000"&amp;$B1051,4)&amp;"/"&amp;RIGHT("00"&amp;$C1051,2)&amp;"/"&amp;RIGHT("00"&amp;$D1051,2)))</f>
        <v/>
      </c>
      <c r="F1051">
        <f>IF(OR($E1051="",$E1051="نامعتبر"),"",IF(Sync!$Q1048="","0000",IF(AND(ISNUMBER(Sync!$Q1048),Sync!$Q1048&gt;=0,Sync!$Q1048&lt;1),RIGHT("00"&amp;HOUR(Sync!$Q1048),2)&amp;RIGHT("00"&amp;MINUTE(Sync!$Q1048),2),IFERROR(RIGHT("00"&amp;VALUE(LEFT(Sync!$Q1048,FIND(":",Sync!$Q1048)-1)),2)&amp;RIGHT("00"&amp;VALUE(MID(Sync!$Q1048,FIND(":",Sync!$Q1048)+1,2)),2),"0000"))))</f>
        <v/>
      </c>
      <c r="G1051">
        <f>IF(OR($E1051="",$E1051="نامعتبر"),"",IF(Sync!$S1048="","",Sync!$S1048))</f>
        <v/>
      </c>
      <c r="H1051">
        <f>IF(OR($E1051="",$E1051="نامعتبر"),"",IF(Sync!$R1048="","",Sync!$R1048))</f>
        <v/>
      </c>
      <c r="I1051">
        <f>IF(OR($E1051="",$E1051="نامعتبر"),"",IF(Sync!$T1048="","",Sync!$T1048))</f>
        <v/>
      </c>
      <c r="J1051">
        <f>IF(OR($E1051="",$E1051="نامعتبر"),"",IF(Sync!$U1048="","",Sync!$U1048))</f>
        <v/>
      </c>
      <c r="K1051">
        <f>IF(OR($E1051="",$E1051="نامعتبر"),"",IF(Sync!$V1048="","",IFERROR(INDEX(SubCodes,MATCH(Sync!$V1048,SubTitles,0)),Sync!$V1048)))</f>
        <v/>
      </c>
      <c r="L1051">
        <f>IF(OR($E1051="",$E1051="نامعتبر"),"",IF(Sync!$W1048="",0,Sync!$W1048))</f>
        <v/>
      </c>
      <c r="M1051">
        <f>IF(OR($E1051="",$E1051="نامعتبر"),"",IF(Sync!$X1048="",0,Sync!$X1048))</f>
        <v/>
      </c>
      <c r="N1051">
        <f>IF(OR($E1051="",$E1051="نامعتبر"),"",IF(AND($J1051="هزینه",$K1051&lt;&gt;""),1,0))</f>
        <v/>
      </c>
      <c r="O1051">
        <f>IF($N1051=0,"",LEFT($E1051,4)&amp;MID($E1051,6,2)&amp;RIGHT($E1051,2)&amp;$F1051&amp;"|"&amp;"1"&amp;RIGHT("00000"&amp;1043,5))</f>
        <v/>
      </c>
      <c r="P1051">
        <f>IF($O1051="","",COUNTIFS(ExpSub,$K1051,ExpKey,"&lt;"&amp;$O1051)+1)</f>
        <v/>
      </c>
      <c r="Q1051">
        <f>IF($P1051="","",$K1051&amp;"|"&amp;RIGHT("000000"&amp;$P1051,6))</f>
        <v/>
      </c>
    </row>
    <row r="1052">
      <c r="A1052">
        <f>IF(Sync!$P1049="","",Sync!$P1049)</f>
        <v/>
      </c>
      <c r="B1052">
        <f>IF($A1052="","",IF(ISNUMBER($A1052),IF(AND($A1052&gt;=10000101,$A1052&lt;=99991231),INT($A1052/10000),""),IFERROR(VALUE(TRIM(LEFT($A1052,FIND("/",$A1052)-1))),"")))</f>
        <v/>
      </c>
      <c r="C1052">
        <f>IF(OR($A1052="",$B1052=""),"",IF(ISNUMBER($A1052),INT(MOD($A1052,10000)/100),IFERROR(VALUE(TRIM(LEFT(MID($A1052,FIND("/",$A1052)+1,20),FIND("/",MID($A1052,FIND("/",$A1052)+1,20))-1))),"")))</f>
        <v/>
      </c>
      <c r="D1052">
        <f>IF(OR($A1052="",$B1052=""),"",IF(ISNUMBER($A1052),MOD($A1052,100),IFERROR(VALUE(TRIM(MID(MID($A1052,FIND("/",$A1052)+1,20),FIND("/",MID($A1052,FIND("/",$A1052)+1,20))+1,20))),"")))</f>
        <v/>
      </c>
      <c r="E1052">
        <f>IF($A1052="","",IF(OR($B1052="",$C1052="",$D1052="",$B1052&lt;1300,$B1052&gt;1500,$C1052&lt;1,$C1052&gt;12,$D1052&lt;1,$D1052&gt;31),"نامعتبر",RIGHT("0000"&amp;$B1052,4)&amp;"/"&amp;RIGHT("00"&amp;$C1052,2)&amp;"/"&amp;RIGHT("00"&amp;$D1052,2)))</f>
        <v/>
      </c>
      <c r="F1052">
        <f>IF(OR($E1052="",$E1052="نامعتبر"),"",IF(Sync!$Q1049="","0000",IF(AND(ISNUMBER(Sync!$Q1049),Sync!$Q1049&gt;=0,Sync!$Q1049&lt;1),RIGHT("00"&amp;HOUR(Sync!$Q1049),2)&amp;RIGHT("00"&amp;MINUTE(Sync!$Q1049),2),IFERROR(RIGHT("00"&amp;VALUE(LEFT(Sync!$Q1049,FIND(":",Sync!$Q1049)-1)),2)&amp;RIGHT("00"&amp;VALUE(MID(Sync!$Q1049,FIND(":",Sync!$Q1049)+1,2)),2),"0000"))))</f>
        <v/>
      </c>
      <c r="G1052">
        <f>IF(OR($E1052="",$E1052="نامعتبر"),"",IF(Sync!$S1049="","",Sync!$S1049))</f>
        <v/>
      </c>
      <c r="H1052">
        <f>IF(OR($E1052="",$E1052="نامعتبر"),"",IF(Sync!$R1049="","",Sync!$R1049))</f>
        <v/>
      </c>
      <c r="I1052">
        <f>IF(OR($E1052="",$E1052="نامعتبر"),"",IF(Sync!$T1049="","",Sync!$T1049))</f>
        <v/>
      </c>
      <c r="J1052">
        <f>IF(OR($E1052="",$E1052="نامعتبر"),"",IF(Sync!$U1049="","",Sync!$U1049))</f>
        <v/>
      </c>
      <c r="K1052">
        <f>IF(OR($E1052="",$E1052="نامعتبر"),"",IF(Sync!$V1049="","",IFERROR(INDEX(SubCodes,MATCH(Sync!$V1049,SubTitles,0)),Sync!$V1049)))</f>
        <v/>
      </c>
      <c r="L1052">
        <f>IF(OR($E1052="",$E1052="نامعتبر"),"",IF(Sync!$W1049="",0,Sync!$W1049))</f>
        <v/>
      </c>
      <c r="M1052">
        <f>IF(OR($E1052="",$E1052="نامعتبر"),"",IF(Sync!$X1049="",0,Sync!$X1049))</f>
        <v/>
      </c>
      <c r="N1052">
        <f>IF(OR($E1052="",$E1052="نامعتبر"),"",IF(AND($J1052="هزینه",$K1052&lt;&gt;""),1,0))</f>
        <v/>
      </c>
      <c r="O1052">
        <f>IF($N1052=0,"",LEFT($E1052,4)&amp;MID($E1052,6,2)&amp;RIGHT($E1052,2)&amp;$F1052&amp;"|"&amp;"1"&amp;RIGHT("00000"&amp;1044,5))</f>
        <v/>
      </c>
      <c r="P1052">
        <f>IF($O1052="","",COUNTIFS(ExpSub,$K1052,ExpKey,"&lt;"&amp;$O1052)+1)</f>
        <v/>
      </c>
      <c r="Q1052">
        <f>IF($P1052="","",$K1052&amp;"|"&amp;RIGHT("000000"&amp;$P1052,6))</f>
        <v/>
      </c>
    </row>
    <row r="1053">
      <c r="A1053">
        <f>IF(Sync!$P1050="","",Sync!$P1050)</f>
        <v/>
      </c>
      <c r="B1053">
        <f>IF($A1053="","",IF(ISNUMBER($A1053),IF(AND($A1053&gt;=10000101,$A1053&lt;=99991231),INT($A1053/10000),""),IFERROR(VALUE(TRIM(LEFT($A1053,FIND("/",$A1053)-1))),"")))</f>
        <v/>
      </c>
      <c r="C1053">
        <f>IF(OR($A1053="",$B1053=""),"",IF(ISNUMBER($A1053),INT(MOD($A1053,10000)/100),IFERROR(VALUE(TRIM(LEFT(MID($A1053,FIND("/",$A1053)+1,20),FIND("/",MID($A1053,FIND("/",$A1053)+1,20))-1))),"")))</f>
        <v/>
      </c>
      <c r="D1053">
        <f>IF(OR($A1053="",$B1053=""),"",IF(ISNUMBER($A1053),MOD($A1053,100),IFERROR(VALUE(TRIM(MID(MID($A1053,FIND("/",$A1053)+1,20),FIND("/",MID($A1053,FIND("/",$A1053)+1,20))+1,20))),"")))</f>
        <v/>
      </c>
      <c r="E1053">
        <f>IF($A1053="","",IF(OR($B1053="",$C1053="",$D1053="",$B1053&lt;1300,$B1053&gt;1500,$C1053&lt;1,$C1053&gt;12,$D1053&lt;1,$D1053&gt;31),"نامعتبر",RIGHT("0000"&amp;$B1053,4)&amp;"/"&amp;RIGHT("00"&amp;$C1053,2)&amp;"/"&amp;RIGHT("00"&amp;$D1053,2)))</f>
        <v/>
      </c>
      <c r="F1053">
        <f>IF(OR($E1053="",$E1053="نامعتبر"),"",IF(Sync!$Q1050="","0000",IF(AND(ISNUMBER(Sync!$Q1050),Sync!$Q1050&gt;=0,Sync!$Q1050&lt;1),RIGHT("00"&amp;HOUR(Sync!$Q1050),2)&amp;RIGHT("00"&amp;MINUTE(Sync!$Q1050),2),IFERROR(RIGHT("00"&amp;VALUE(LEFT(Sync!$Q1050,FIND(":",Sync!$Q1050)-1)),2)&amp;RIGHT("00"&amp;VALUE(MID(Sync!$Q1050,FIND(":",Sync!$Q1050)+1,2)),2),"0000"))))</f>
        <v/>
      </c>
      <c r="G1053">
        <f>IF(OR($E1053="",$E1053="نامعتبر"),"",IF(Sync!$S1050="","",Sync!$S1050))</f>
        <v/>
      </c>
      <c r="H1053">
        <f>IF(OR($E1053="",$E1053="نامعتبر"),"",IF(Sync!$R1050="","",Sync!$R1050))</f>
        <v/>
      </c>
      <c r="I1053">
        <f>IF(OR($E1053="",$E1053="نامعتبر"),"",IF(Sync!$T1050="","",Sync!$T1050))</f>
        <v/>
      </c>
      <c r="J1053">
        <f>IF(OR($E1053="",$E1053="نامعتبر"),"",IF(Sync!$U1050="","",Sync!$U1050))</f>
        <v/>
      </c>
      <c r="K1053">
        <f>IF(OR($E1053="",$E1053="نامعتبر"),"",IF(Sync!$V1050="","",IFERROR(INDEX(SubCodes,MATCH(Sync!$V1050,SubTitles,0)),Sync!$V1050)))</f>
        <v/>
      </c>
      <c r="L1053">
        <f>IF(OR($E1053="",$E1053="نامعتبر"),"",IF(Sync!$W1050="",0,Sync!$W1050))</f>
        <v/>
      </c>
      <c r="M1053">
        <f>IF(OR($E1053="",$E1053="نامعتبر"),"",IF(Sync!$X1050="",0,Sync!$X1050))</f>
        <v/>
      </c>
      <c r="N1053">
        <f>IF(OR($E1053="",$E1053="نامعتبر"),"",IF(AND($J1053="هزینه",$K1053&lt;&gt;""),1,0))</f>
        <v/>
      </c>
      <c r="O1053">
        <f>IF($N1053=0,"",LEFT($E1053,4)&amp;MID($E1053,6,2)&amp;RIGHT($E1053,2)&amp;$F1053&amp;"|"&amp;"1"&amp;RIGHT("00000"&amp;1045,5))</f>
        <v/>
      </c>
      <c r="P1053">
        <f>IF($O1053="","",COUNTIFS(ExpSub,$K1053,ExpKey,"&lt;"&amp;$O1053)+1)</f>
        <v/>
      </c>
      <c r="Q1053">
        <f>IF($P1053="","",$K1053&amp;"|"&amp;RIGHT("000000"&amp;$P1053,6))</f>
        <v/>
      </c>
    </row>
    <row r="1054">
      <c r="A1054">
        <f>IF(Sync!$P1051="","",Sync!$P1051)</f>
        <v/>
      </c>
      <c r="B1054">
        <f>IF($A1054="","",IF(ISNUMBER($A1054),IF(AND($A1054&gt;=10000101,$A1054&lt;=99991231),INT($A1054/10000),""),IFERROR(VALUE(TRIM(LEFT($A1054,FIND("/",$A1054)-1))),"")))</f>
        <v/>
      </c>
      <c r="C1054">
        <f>IF(OR($A1054="",$B1054=""),"",IF(ISNUMBER($A1054),INT(MOD($A1054,10000)/100),IFERROR(VALUE(TRIM(LEFT(MID($A1054,FIND("/",$A1054)+1,20),FIND("/",MID($A1054,FIND("/",$A1054)+1,20))-1))),"")))</f>
        <v/>
      </c>
      <c r="D1054">
        <f>IF(OR($A1054="",$B1054=""),"",IF(ISNUMBER($A1054),MOD($A1054,100),IFERROR(VALUE(TRIM(MID(MID($A1054,FIND("/",$A1054)+1,20),FIND("/",MID($A1054,FIND("/",$A1054)+1,20))+1,20))),"")))</f>
        <v/>
      </c>
      <c r="E1054">
        <f>IF($A1054="","",IF(OR($B1054="",$C1054="",$D1054="",$B1054&lt;1300,$B1054&gt;1500,$C1054&lt;1,$C1054&gt;12,$D1054&lt;1,$D1054&gt;31),"نامعتبر",RIGHT("0000"&amp;$B1054,4)&amp;"/"&amp;RIGHT("00"&amp;$C1054,2)&amp;"/"&amp;RIGHT("00"&amp;$D1054,2)))</f>
        <v/>
      </c>
      <c r="F1054">
        <f>IF(OR($E1054="",$E1054="نامعتبر"),"",IF(Sync!$Q1051="","0000",IF(AND(ISNUMBER(Sync!$Q1051),Sync!$Q1051&gt;=0,Sync!$Q1051&lt;1),RIGHT("00"&amp;HOUR(Sync!$Q1051),2)&amp;RIGHT("00"&amp;MINUTE(Sync!$Q1051),2),IFERROR(RIGHT("00"&amp;VALUE(LEFT(Sync!$Q1051,FIND(":",Sync!$Q1051)-1)),2)&amp;RIGHT("00"&amp;VALUE(MID(Sync!$Q1051,FIND(":",Sync!$Q1051)+1,2)),2),"0000"))))</f>
        <v/>
      </c>
      <c r="G1054">
        <f>IF(OR($E1054="",$E1054="نامعتبر"),"",IF(Sync!$S1051="","",Sync!$S1051))</f>
        <v/>
      </c>
      <c r="H1054">
        <f>IF(OR($E1054="",$E1054="نامعتبر"),"",IF(Sync!$R1051="","",Sync!$R1051))</f>
        <v/>
      </c>
      <c r="I1054">
        <f>IF(OR($E1054="",$E1054="نامعتبر"),"",IF(Sync!$T1051="","",Sync!$T1051))</f>
        <v/>
      </c>
      <c r="J1054">
        <f>IF(OR($E1054="",$E1054="نامعتبر"),"",IF(Sync!$U1051="","",Sync!$U1051))</f>
        <v/>
      </c>
      <c r="K1054">
        <f>IF(OR($E1054="",$E1054="نامعتبر"),"",IF(Sync!$V1051="","",IFERROR(INDEX(SubCodes,MATCH(Sync!$V1051,SubTitles,0)),Sync!$V1051)))</f>
        <v/>
      </c>
      <c r="L1054">
        <f>IF(OR($E1054="",$E1054="نامعتبر"),"",IF(Sync!$W1051="",0,Sync!$W1051))</f>
        <v/>
      </c>
      <c r="M1054">
        <f>IF(OR($E1054="",$E1054="نامعتبر"),"",IF(Sync!$X1051="",0,Sync!$X1051))</f>
        <v/>
      </c>
      <c r="N1054">
        <f>IF(OR($E1054="",$E1054="نامعتبر"),"",IF(AND($J1054="هزینه",$K1054&lt;&gt;""),1,0))</f>
        <v/>
      </c>
      <c r="O1054">
        <f>IF($N1054=0,"",LEFT($E1054,4)&amp;MID($E1054,6,2)&amp;RIGHT($E1054,2)&amp;$F1054&amp;"|"&amp;"1"&amp;RIGHT("00000"&amp;1046,5))</f>
        <v/>
      </c>
      <c r="P1054">
        <f>IF($O1054="","",COUNTIFS(ExpSub,$K1054,ExpKey,"&lt;"&amp;$O1054)+1)</f>
        <v/>
      </c>
      <c r="Q1054">
        <f>IF($P1054="","",$K1054&amp;"|"&amp;RIGHT("000000"&amp;$P1054,6))</f>
        <v/>
      </c>
    </row>
    <row r="1055">
      <c r="A1055">
        <f>IF(Sync!$P1052="","",Sync!$P1052)</f>
        <v/>
      </c>
      <c r="B1055">
        <f>IF($A1055="","",IF(ISNUMBER($A1055),IF(AND($A1055&gt;=10000101,$A1055&lt;=99991231),INT($A1055/10000),""),IFERROR(VALUE(TRIM(LEFT($A1055,FIND("/",$A1055)-1))),"")))</f>
        <v/>
      </c>
      <c r="C1055">
        <f>IF(OR($A1055="",$B1055=""),"",IF(ISNUMBER($A1055),INT(MOD($A1055,10000)/100),IFERROR(VALUE(TRIM(LEFT(MID($A1055,FIND("/",$A1055)+1,20),FIND("/",MID($A1055,FIND("/",$A1055)+1,20))-1))),"")))</f>
        <v/>
      </c>
      <c r="D1055">
        <f>IF(OR($A1055="",$B1055=""),"",IF(ISNUMBER($A1055),MOD($A1055,100),IFERROR(VALUE(TRIM(MID(MID($A1055,FIND("/",$A1055)+1,20),FIND("/",MID($A1055,FIND("/",$A1055)+1,20))+1,20))),"")))</f>
        <v/>
      </c>
      <c r="E1055">
        <f>IF($A1055="","",IF(OR($B1055="",$C1055="",$D1055="",$B1055&lt;1300,$B1055&gt;1500,$C1055&lt;1,$C1055&gt;12,$D1055&lt;1,$D1055&gt;31),"نامعتبر",RIGHT("0000"&amp;$B1055,4)&amp;"/"&amp;RIGHT("00"&amp;$C1055,2)&amp;"/"&amp;RIGHT("00"&amp;$D1055,2)))</f>
        <v/>
      </c>
      <c r="F1055">
        <f>IF(OR($E1055="",$E1055="نامعتبر"),"",IF(Sync!$Q1052="","0000",IF(AND(ISNUMBER(Sync!$Q1052),Sync!$Q1052&gt;=0,Sync!$Q1052&lt;1),RIGHT("00"&amp;HOUR(Sync!$Q1052),2)&amp;RIGHT("00"&amp;MINUTE(Sync!$Q1052),2),IFERROR(RIGHT("00"&amp;VALUE(LEFT(Sync!$Q1052,FIND(":",Sync!$Q1052)-1)),2)&amp;RIGHT("00"&amp;VALUE(MID(Sync!$Q1052,FIND(":",Sync!$Q1052)+1,2)),2),"0000"))))</f>
        <v/>
      </c>
      <c r="G1055">
        <f>IF(OR($E1055="",$E1055="نامعتبر"),"",IF(Sync!$S1052="","",Sync!$S1052))</f>
        <v/>
      </c>
      <c r="H1055">
        <f>IF(OR($E1055="",$E1055="نامعتبر"),"",IF(Sync!$R1052="","",Sync!$R1052))</f>
        <v/>
      </c>
      <c r="I1055">
        <f>IF(OR($E1055="",$E1055="نامعتبر"),"",IF(Sync!$T1052="","",Sync!$T1052))</f>
        <v/>
      </c>
      <c r="J1055">
        <f>IF(OR($E1055="",$E1055="نامعتبر"),"",IF(Sync!$U1052="","",Sync!$U1052))</f>
        <v/>
      </c>
      <c r="K1055">
        <f>IF(OR($E1055="",$E1055="نامعتبر"),"",IF(Sync!$V1052="","",IFERROR(INDEX(SubCodes,MATCH(Sync!$V1052,SubTitles,0)),Sync!$V1052)))</f>
        <v/>
      </c>
      <c r="L1055">
        <f>IF(OR($E1055="",$E1055="نامعتبر"),"",IF(Sync!$W1052="",0,Sync!$W1052))</f>
        <v/>
      </c>
      <c r="M1055">
        <f>IF(OR($E1055="",$E1055="نامعتبر"),"",IF(Sync!$X1052="",0,Sync!$X1052))</f>
        <v/>
      </c>
      <c r="N1055">
        <f>IF(OR($E1055="",$E1055="نامعتبر"),"",IF(AND($J1055="هزینه",$K1055&lt;&gt;""),1,0))</f>
        <v/>
      </c>
      <c r="O1055">
        <f>IF($N1055=0,"",LEFT($E1055,4)&amp;MID($E1055,6,2)&amp;RIGHT($E1055,2)&amp;$F1055&amp;"|"&amp;"1"&amp;RIGHT("00000"&amp;1047,5))</f>
        <v/>
      </c>
      <c r="P1055">
        <f>IF($O1055="","",COUNTIFS(ExpSub,$K1055,ExpKey,"&lt;"&amp;$O1055)+1)</f>
        <v/>
      </c>
      <c r="Q1055">
        <f>IF($P1055="","",$K1055&amp;"|"&amp;RIGHT("000000"&amp;$P1055,6))</f>
        <v/>
      </c>
    </row>
    <row r="1056">
      <c r="A1056">
        <f>IF(Sync!$P1053="","",Sync!$P1053)</f>
        <v/>
      </c>
      <c r="B1056">
        <f>IF($A1056="","",IF(ISNUMBER($A1056),IF(AND($A1056&gt;=10000101,$A1056&lt;=99991231),INT($A1056/10000),""),IFERROR(VALUE(TRIM(LEFT($A1056,FIND("/",$A1056)-1))),"")))</f>
        <v/>
      </c>
      <c r="C1056">
        <f>IF(OR($A1056="",$B1056=""),"",IF(ISNUMBER($A1056),INT(MOD($A1056,10000)/100),IFERROR(VALUE(TRIM(LEFT(MID($A1056,FIND("/",$A1056)+1,20),FIND("/",MID($A1056,FIND("/",$A1056)+1,20))-1))),"")))</f>
        <v/>
      </c>
      <c r="D1056">
        <f>IF(OR($A1056="",$B1056=""),"",IF(ISNUMBER($A1056),MOD($A1056,100),IFERROR(VALUE(TRIM(MID(MID($A1056,FIND("/",$A1056)+1,20),FIND("/",MID($A1056,FIND("/",$A1056)+1,20))+1,20))),"")))</f>
        <v/>
      </c>
      <c r="E1056">
        <f>IF($A1056="","",IF(OR($B1056="",$C1056="",$D1056="",$B1056&lt;1300,$B1056&gt;1500,$C1056&lt;1,$C1056&gt;12,$D1056&lt;1,$D1056&gt;31),"نامعتبر",RIGHT("0000"&amp;$B1056,4)&amp;"/"&amp;RIGHT("00"&amp;$C1056,2)&amp;"/"&amp;RIGHT("00"&amp;$D1056,2)))</f>
        <v/>
      </c>
      <c r="F1056">
        <f>IF(OR($E1056="",$E1056="نامعتبر"),"",IF(Sync!$Q1053="","0000",IF(AND(ISNUMBER(Sync!$Q1053),Sync!$Q1053&gt;=0,Sync!$Q1053&lt;1),RIGHT("00"&amp;HOUR(Sync!$Q1053),2)&amp;RIGHT("00"&amp;MINUTE(Sync!$Q1053),2),IFERROR(RIGHT("00"&amp;VALUE(LEFT(Sync!$Q1053,FIND(":",Sync!$Q1053)-1)),2)&amp;RIGHT("00"&amp;VALUE(MID(Sync!$Q1053,FIND(":",Sync!$Q1053)+1,2)),2),"0000"))))</f>
        <v/>
      </c>
      <c r="G1056">
        <f>IF(OR($E1056="",$E1056="نامعتبر"),"",IF(Sync!$S1053="","",Sync!$S1053))</f>
        <v/>
      </c>
      <c r="H1056">
        <f>IF(OR($E1056="",$E1056="نامعتبر"),"",IF(Sync!$R1053="","",Sync!$R1053))</f>
        <v/>
      </c>
      <c r="I1056">
        <f>IF(OR($E1056="",$E1056="نامعتبر"),"",IF(Sync!$T1053="","",Sync!$T1053))</f>
        <v/>
      </c>
      <c r="J1056">
        <f>IF(OR($E1056="",$E1056="نامعتبر"),"",IF(Sync!$U1053="","",Sync!$U1053))</f>
        <v/>
      </c>
      <c r="K1056">
        <f>IF(OR($E1056="",$E1056="نامعتبر"),"",IF(Sync!$V1053="","",IFERROR(INDEX(SubCodes,MATCH(Sync!$V1053,SubTitles,0)),Sync!$V1053)))</f>
        <v/>
      </c>
      <c r="L1056">
        <f>IF(OR($E1056="",$E1056="نامعتبر"),"",IF(Sync!$W1053="",0,Sync!$W1053))</f>
        <v/>
      </c>
      <c r="M1056">
        <f>IF(OR($E1056="",$E1056="نامعتبر"),"",IF(Sync!$X1053="",0,Sync!$X1053))</f>
        <v/>
      </c>
      <c r="N1056">
        <f>IF(OR($E1056="",$E1056="نامعتبر"),"",IF(AND($J1056="هزینه",$K1056&lt;&gt;""),1,0))</f>
        <v/>
      </c>
      <c r="O1056">
        <f>IF($N1056=0,"",LEFT($E1056,4)&amp;MID($E1056,6,2)&amp;RIGHT($E1056,2)&amp;$F1056&amp;"|"&amp;"1"&amp;RIGHT("00000"&amp;1048,5))</f>
        <v/>
      </c>
      <c r="P1056">
        <f>IF($O1056="","",COUNTIFS(ExpSub,$K1056,ExpKey,"&lt;"&amp;$O1056)+1)</f>
        <v/>
      </c>
      <c r="Q1056">
        <f>IF($P1056="","",$K1056&amp;"|"&amp;RIGHT("000000"&amp;$P1056,6))</f>
        <v/>
      </c>
    </row>
    <row r="1057">
      <c r="A1057">
        <f>IF(Sync!$P1054="","",Sync!$P1054)</f>
        <v/>
      </c>
      <c r="B1057">
        <f>IF($A1057="","",IF(ISNUMBER($A1057),IF(AND($A1057&gt;=10000101,$A1057&lt;=99991231),INT($A1057/10000),""),IFERROR(VALUE(TRIM(LEFT($A1057,FIND("/",$A1057)-1))),"")))</f>
        <v/>
      </c>
      <c r="C1057">
        <f>IF(OR($A1057="",$B1057=""),"",IF(ISNUMBER($A1057),INT(MOD($A1057,10000)/100),IFERROR(VALUE(TRIM(LEFT(MID($A1057,FIND("/",$A1057)+1,20),FIND("/",MID($A1057,FIND("/",$A1057)+1,20))-1))),"")))</f>
        <v/>
      </c>
      <c r="D1057">
        <f>IF(OR($A1057="",$B1057=""),"",IF(ISNUMBER($A1057),MOD($A1057,100),IFERROR(VALUE(TRIM(MID(MID($A1057,FIND("/",$A1057)+1,20),FIND("/",MID($A1057,FIND("/",$A1057)+1,20))+1,20))),"")))</f>
        <v/>
      </c>
      <c r="E1057">
        <f>IF($A1057="","",IF(OR($B1057="",$C1057="",$D1057="",$B1057&lt;1300,$B1057&gt;1500,$C1057&lt;1,$C1057&gt;12,$D1057&lt;1,$D1057&gt;31),"نامعتبر",RIGHT("0000"&amp;$B1057,4)&amp;"/"&amp;RIGHT("00"&amp;$C1057,2)&amp;"/"&amp;RIGHT("00"&amp;$D1057,2)))</f>
        <v/>
      </c>
      <c r="F1057">
        <f>IF(OR($E1057="",$E1057="نامعتبر"),"",IF(Sync!$Q1054="","0000",IF(AND(ISNUMBER(Sync!$Q1054),Sync!$Q1054&gt;=0,Sync!$Q1054&lt;1),RIGHT("00"&amp;HOUR(Sync!$Q1054),2)&amp;RIGHT("00"&amp;MINUTE(Sync!$Q1054),2),IFERROR(RIGHT("00"&amp;VALUE(LEFT(Sync!$Q1054,FIND(":",Sync!$Q1054)-1)),2)&amp;RIGHT("00"&amp;VALUE(MID(Sync!$Q1054,FIND(":",Sync!$Q1054)+1,2)),2),"0000"))))</f>
        <v/>
      </c>
      <c r="G1057">
        <f>IF(OR($E1057="",$E1057="نامعتبر"),"",IF(Sync!$S1054="","",Sync!$S1054))</f>
        <v/>
      </c>
      <c r="H1057">
        <f>IF(OR($E1057="",$E1057="نامعتبر"),"",IF(Sync!$R1054="","",Sync!$R1054))</f>
        <v/>
      </c>
      <c r="I1057">
        <f>IF(OR($E1057="",$E1057="نامعتبر"),"",IF(Sync!$T1054="","",Sync!$T1054))</f>
        <v/>
      </c>
      <c r="J1057">
        <f>IF(OR($E1057="",$E1057="نامعتبر"),"",IF(Sync!$U1054="","",Sync!$U1054))</f>
        <v/>
      </c>
      <c r="K1057">
        <f>IF(OR($E1057="",$E1057="نامعتبر"),"",IF(Sync!$V1054="","",IFERROR(INDEX(SubCodes,MATCH(Sync!$V1054,SubTitles,0)),Sync!$V1054)))</f>
        <v/>
      </c>
      <c r="L1057">
        <f>IF(OR($E1057="",$E1057="نامعتبر"),"",IF(Sync!$W1054="",0,Sync!$W1054))</f>
        <v/>
      </c>
      <c r="M1057">
        <f>IF(OR($E1057="",$E1057="نامعتبر"),"",IF(Sync!$X1054="",0,Sync!$X1054))</f>
        <v/>
      </c>
      <c r="N1057">
        <f>IF(OR($E1057="",$E1057="نامعتبر"),"",IF(AND($J1057="هزینه",$K1057&lt;&gt;""),1,0))</f>
        <v/>
      </c>
      <c r="O1057">
        <f>IF($N1057=0,"",LEFT($E1057,4)&amp;MID($E1057,6,2)&amp;RIGHT($E1057,2)&amp;$F1057&amp;"|"&amp;"1"&amp;RIGHT("00000"&amp;1049,5))</f>
        <v/>
      </c>
      <c r="P1057">
        <f>IF($O1057="","",COUNTIFS(ExpSub,$K1057,ExpKey,"&lt;"&amp;$O1057)+1)</f>
        <v/>
      </c>
      <c r="Q1057">
        <f>IF($P1057="","",$K1057&amp;"|"&amp;RIGHT("000000"&amp;$P1057,6))</f>
        <v/>
      </c>
    </row>
    <row r="1058">
      <c r="A1058">
        <f>IF(Sync!$P1055="","",Sync!$P1055)</f>
        <v/>
      </c>
      <c r="B1058">
        <f>IF($A1058="","",IF(ISNUMBER($A1058),IF(AND($A1058&gt;=10000101,$A1058&lt;=99991231),INT($A1058/10000),""),IFERROR(VALUE(TRIM(LEFT($A1058,FIND("/",$A1058)-1))),"")))</f>
        <v/>
      </c>
      <c r="C1058">
        <f>IF(OR($A1058="",$B1058=""),"",IF(ISNUMBER($A1058),INT(MOD($A1058,10000)/100),IFERROR(VALUE(TRIM(LEFT(MID($A1058,FIND("/",$A1058)+1,20),FIND("/",MID($A1058,FIND("/",$A1058)+1,20))-1))),"")))</f>
        <v/>
      </c>
      <c r="D1058">
        <f>IF(OR($A1058="",$B1058=""),"",IF(ISNUMBER($A1058),MOD($A1058,100),IFERROR(VALUE(TRIM(MID(MID($A1058,FIND("/",$A1058)+1,20),FIND("/",MID($A1058,FIND("/",$A1058)+1,20))+1,20))),"")))</f>
        <v/>
      </c>
      <c r="E1058">
        <f>IF($A1058="","",IF(OR($B1058="",$C1058="",$D1058="",$B1058&lt;1300,$B1058&gt;1500,$C1058&lt;1,$C1058&gt;12,$D1058&lt;1,$D1058&gt;31),"نامعتبر",RIGHT("0000"&amp;$B1058,4)&amp;"/"&amp;RIGHT("00"&amp;$C1058,2)&amp;"/"&amp;RIGHT("00"&amp;$D1058,2)))</f>
        <v/>
      </c>
      <c r="F1058">
        <f>IF(OR($E1058="",$E1058="نامعتبر"),"",IF(Sync!$Q1055="","0000",IF(AND(ISNUMBER(Sync!$Q1055),Sync!$Q1055&gt;=0,Sync!$Q1055&lt;1),RIGHT("00"&amp;HOUR(Sync!$Q1055),2)&amp;RIGHT("00"&amp;MINUTE(Sync!$Q1055),2),IFERROR(RIGHT("00"&amp;VALUE(LEFT(Sync!$Q1055,FIND(":",Sync!$Q1055)-1)),2)&amp;RIGHT("00"&amp;VALUE(MID(Sync!$Q1055,FIND(":",Sync!$Q1055)+1,2)),2),"0000"))))</f>
        <v/>
      </c>
      <c r="G1058">
        <f>IF(OR($E1058="",$E1058="نامعتبر"),"",IF(Sync!$S1055="","",Sync!$S1055))</f>
        <v/>
      </c>
      <c r="H1058">
        <f>IF(OR($E1058="",$E1058="نامعتبر"),"",IF(Sync!$R1055="","",Sync!$R1055))</f>
        <v/>
      </c>
      <c r="I1058">
        <f>IF(OR($E1058="",$E1058="نامعتبر"),"",IF(Sync!$T1055="","",Sync!$T1055))</f>
        <v/>
      </c>
      <c r="J1058">
        <f>IF(OR($E1058="",$E1058="نامعتبر"),"",IF(Sync!$U1055="","",Sync!$U1055))</f>
        <v/>
      </c>
      <c r="K1058">
        <f>IF(OR($E1058="",$E1058="نامعتبر"),"",IF(Sync!$V1055="","",IFERROR(INDEX(SubCodes,MATCH(Sync!$V1055,SubTitles,0)),Sync!$V1055)))</f>
        <v/>
      </c>
      <c r="L1058">
        <f>IF(OR($E1058="",$E1058="نامعتبر"),"",IF(Sync!$W1055="",0,Sync!$W1055))</f>
        <v/>
      </c>
      <c r="M1058">
        <f>IF(OR($E1058="",$E1058="نامعتبر"),"",IF(Sync!$X1055="",0,Sync!$X1055))</f>
        <v/>
      </c>
      <c r="N1058">
        <f>IF(OR($E1058="",$E1058="نامعتبر"),"",IF(AND($J1058="هزینه",$K1058&lt;&gt;""),1,0))</f>
        <v/>
      </c>
      <c r="O1058">
        <f>IF($N1058=0,"",LEFT($E1058,4)&amp;MID($E1058,6,2)&amp;RIGHT($E1058,2)&amp;$F1058&amp;"|"&amp;"1"&amp;RIGHT("00000"&amp;1050,5))</f>
        <v/>
      </c>
      <c r="P1058">
        <f>IF($O1058="","",COUNTIFS(ExpSub,$K1058,ExpKey,"&lt;"&amp;$O1058)+1)</f>
        <v/>
      </c>
      <c r="Q1058">
        <f>IF($P1058="","",$K1058&amp;"|"&amp;RIGHT("000000"&amp;$P1058,6))</f>
        <v/>
      </c>
    </row>
    <row r="1059">
      <c r="A1059">
        <f>IF(Sync!$P1056="","",Sync!$P1056)</f>
        <v/>
      </c>
      <c r="B1059">
        <f>IF($A1059="","",IF(ISNUMBER($A1059),IF(AND($A1059&gt;=10000101,$A1059&lt;=99991231),INT($A1059/10000),""),IFERROR(VALUE(TRIM(LEFT($A1059,FIND("/",$A1059)-1))),"")))</f>
        <v/>
      </c>
      <c r="C1059">
        <f>IF(OR($A1059="",$B1059=""),"",IF(ISNUMBER($A1059),INT(MOD($A1059,10000)/100),IFERROR(VALUE(TRIM(LEFT(MID($A1059,FIND("/",$A1059)+1,20),FIND("/",MID($A1059,FIND("/",$A1059)+1,20))-1))),"")))</f>
        <v/>
      </c>
      <c r="D1059">
        <f>IF(OR($A1059="",$B1059=""),"",IF(ISNUMBER($A1059),MOD($A1059,100),IFERROR(VALUE(TRIM(MID(MID($A1059,FIND("/",$A1059)+1,20),FIND("/",MID($A1059,FIND("/",$A1059)+1,20))+1,20))),"")))</f>
        <v/>
      </c>
      <c r="E1059">
        <f>IF($A1059="","",IF(OR($B1059="",$C1059="",$D1059="",$B1059&lt;1300,$B1059&gt;1500,$C1059&lt;1,$C1059&gt;12,$D1059&lt;1,$D1059&gt;31),"نامعتبر",RIGHT("0000"&amp;$B1059,4)&amp;"/"&amp;RIGHT("00"&amp;$C1059,2)&amp;"/"&amp;RIGHT("00"&amp;$D1059,2)))</f>
        <v/>
      </c>
      <c r="F1059">
        <f>IF(OR($E1059="",$E1059="نامعتبر"),"",IF(Sync!$Q1056="","0000",IF(AND(ISNUMBER(Sync!$Q1056),Sync!$Q1056&gt;=0,Sync!$Q1056&lt;1),RIGHT("00"&amp;HOUR(Sync!$Q1056),2)&amp;RIGHT("00"&amp;MINUTE(Sync!$Q1056),2),IFERROR(RIGHT("00"&amp;VALUE(LEFT(Sync!$Q1056,FIND(":",Sync!$Q1056)-1)),2)&amp;RIGHT("00"&amp;VALUE(MID(Sync!$Q1056,FIND(":",Sync!$Q1056)+1,2)),2),"0000"))))</f>
        <v/>
      </c>
      <c r="G1059">
        <f>IF(OR($E1059="",$E1059="نامعتبر"),"",IF(Sync!$S1056="","",Sync!$S1056))</f>
        <v/>
      </c>
      <c r="H1059">
        <f>IF(OR($E1059="",$E1059="نامعتبر"),"",IF(Sync!$R1056="","",Sync!$R1056))</f>
        <v/>
      </c>
      <c r="I1059">
        <f>IF(OR($E1059="",$E1059="نامعتبر"),"",IF(Sync!$T1056="","",Sync!$T1056))</f>
        <v/>
      </c>
      <c r="J1059">
        <f>IF(OR($E1059="",$E1059="نامعتبر"),"",IF(Sync!$U1056="","",Sync!$U1056))</f>
        <v/>
      </c>
      <c r="K1059">
        <f>IF(OR($E1059="",$E1059="نامعتبر"),"",IF(Sync!$V1056="","",IFERROR(INDEX(SubCodes,MATCH(Sync!$V1056,SubTitles,0)),Sync!$V1056)))</f>
        <v/>
      </c>
      <c r="L1059">
        <f>IF(OR($E1059="",$E1059="نامعتبر"),"",IF(Sync!$W1056="",0,Sync!$W1056))</f>
        <v/>
      </c>
      <c r="M1059">
        <f>IF(OR($E1059="",$E1059="نامعتبر"),"",IF(Sync!$X1056="",0,Sync!$X1056))</f>
        <v/>
      </c>
      <c r="N1059">
        <f>IF(OR($E1059="",$E1059="نامعتبر"),"",IF(AND($J1059="هزینه",$K1059&lt;&gt;""),1,0))</f>
        <v/>
      </c>
      <c r="O1059">
        <f>IF($N1059=0,"",LEFT($E1059,4)&amp;MID($E1059,6,2)&amp;RIGHT($E1059,2)&amp;$F1059&amp;"|"&amp;"1"&amp;RIGHT("00000"&amp;1051,5))</f>
        <v/>
      </c>
      <c r="P1059">
        <f>IF($O1059="","",COUNTIFS(ExpSub,$K1059,ExpKey,"&lt;"&amp;$O1059)+1)</f>
        <v/>
      </c>
      <c r="Q1059">
        <f>IF($P1059="","",$K1059&amp;"|"&amp;RIGHT("000000"&amp;$P1059,6))</f>
        <v/>
      </c>
    </row>
    <row r="1060">
      <c r="A1060">
        <f>IF(Sync!$P1057="","",Sync!$P1057)</f>
        <v/>
      </c>
      <c r="B1060">
        <f>IF($A1060="","",IF(ISNUMBER($A1060),IF(AND($A1060&gt;=10000101,$A1060&lt;=99991231),INT($A1060/10000),""),IFERROR(VALUE(TRIM(LEFT($A1060,FIND("/",$A1060)-1))),"")))</f>
        <v/>
      </c>
      <c r="C1060">
        <f>IF(OR($A1060="",$B1060=""),"",IF(ISNUMBER($A1060),INT(MOD($A1060,10000)/100),IFERROR(VALUE(TRIM(LEFT(MID($A1060,FIND("/",$A1060)+1,20),FIND("/",MID($A1060,FIND("/",$A1060)+1,20))-1))),"")))</f>
        <v/>
      </c>
      <c r="D1060">
        <f>IF(OR($A1060="",$B1060=""),"",IF(ISNUMBER($A1060),MOD($A1060,100),IFERROR(VALUE(TRIM(MID(MID($A1060,FIND("/",$A1060)+1,20),FIND("/",MID($A1060,FIND("/",$A1060)+1,20))+1,20))),"")))</f>
        <v/>
      </c>
      <c r="E1060">
        <f>IF($A1060="","",IF(OR($B1060="",$C1060="",$D1060="",$B1060&lt;1300,$B1060&gt;1500,$C1060&lt;1,$C1060&gt;12,$D1060&lt;1,$D1060&gt;31),"نامعتبر",RIGHT("0000"&amp;$B1060,4)&amp;"/"&amp;RIGHT("00"&amp;$C1060,2)&amp;"/"&amp;RIGHT("00"&amp;$D1060,2)))</f>
        <v/>
      </c>
      <c r="F1060">
        <f>IF(OR($E1060="",$E1060="نامعتبر"),"",IF(Sync!$Q1057="","0000",IF(AND(ISNUMBER(Sync!$Q1057),Sync!$Q1057&gt;=0,Sync!$Q1057&lt;1),RIGHT("00"&amp;HOUR(Sync!$Q1057),2)&amp;RIGHT("00"&amp;MINUTE(Sync!$Q1057),2),IFERROR(RIGHT("00"&amp;VALUE(LEFT(Sync!$Q1057,FIND(":",Sync!$Q1057)-1)),2)&amp;RIGHT("00"&amp;VALUE(MID(Sync!$Q1057,FIND(":",Sync!$Q1057)+1,2)),2),"0000"))))</f>
        <v/>
      </c>
      <c r="G1060">
        <f>IF(OR($E1060="",$E1060="نامعتبر"),"",IF(Sync!$S1057="","",Sync!$S1057))</f>
        <v/>
      </c>
      <c r="H1060">
        <f>IF(OR($E1060="",$E1060="نامعتبر"),"",IF(Sync!$R1057="","",Sync!$R1057))</f>
        <v/>
      </c>
      <c r="I1060">
        <f>IF(OR($E1060="",$E1060="نامعتبر"),"",IF(Sync!$T1057="","",Sync!$T1057))</f>
        <v/>
      </c>
      <c r="J1060">
        <f>IF(OR($E1060="",$E1060="نامعتبر"),"",IF(Sync!$U1057="","",Sync!$U1057))</f>
        <v/>
      </c>
      <c r="K1060">
        <f>IF(OR($E1060="",$E1060="نامعتبر"),"",IF(Sync!$V1057="","",IFERROR(INDEX(SubCodes,MATCH(Sync!$V1057,SubTitles,0)),Sync!$V1057)))</f>
        <v/>
      </c>
      <c r="L1060">
        <f>IF(OR($E1060="",$E1060="نامعتبر"),"",IF(Sync!$W1057="",0,Sync!$W1057))</f>
        <v/>
      </c>
      <c r="M1060">
        <f>IF(OR($E1060="",$E1060="نامعتبر"),"",IF(Sync!$X1057="",0,Sync!$X1057))</f>
        <v/>
      </c>
      <c r="N1060">
        <f>IF(OR($E1060="",$E1060="نامعتبر"),"",IF(AND($J1060="هزینه",$K1060&lt;&gt;""),1,0))</f>
        <v/>
      </c>
      <c r="O1060">
        <f>IF($N1060=0,"",LEFT($E1060,4)&amp;MID($E1060,6,2)&amp;RIGHT($E1060,2)&amp;$F1060&amp;"|"&amp;"1"&amp;RIGHT("00000"&amp;1052,5))</f>
        <v/>
      </c>
      <c r="P1060">
        <f>IF($O1060="","",COUNTIFS(ExpSub,$K1060,ExpKey,"&lt;"&amp;$O1060)+1)</f>
        <v/>
      </c>
      <c r="Q1060">
        <f>IF($P1060="","",$K1060&amp;"|"&amp;RIGHT("000000"&amp;$P1060,6))</f>
        <v/>
      </c>
    </row>
    <row r="1061">
      <c r="A1061">
        <f>IF(Sync!$P1058="","",Sync!$P1058)</f>
        <v/>
      </c>
      <c r="B1061">
        <f>IF($A1061="","",IF(ISNUMBER($A1061),IF(AND($A1061&gt;=10000101,$A1061&lt;=99991231),INT($A1061/10000),""),IFERROR(VALUE(TRIM(LEFT($A1061,FIND("/",$A1061)-1))),"")))</f>
        <v/>
      </c>
      <c r="C1061">
        <f>IF(OR($A1061="",$B1061=""),"",IF(ISNUMBER($A1061),INT(MOD($A1061,10000)/100),IFERROR(VALUE(TRIM(LEFT(MID($A1061,FIND("/",$A1061)+1,20),FIND("/",MID($A1061,FIND("/",$A1061)+1,20))-1))),"")))</f>
        <v/>
      </c>
      <c r="D1061">
        <f>IF(OR($A1061="",$B1061=""),"",IF(ISNUMBER($A1061),MOD($A1061,100),IFERROR(VALUE(TRIM(MID(MID($A1061,FIND("/",$A1061)+1,20),FIND("/",MID($A1061,FIND("/",$A1061)+1,20))+1,20))),"")))</f>
        <v/>
      </c>
      <c r="E1061">
        <f>IF($A1061="","",IF(OR($B1061="",$C1061="",$D1061="",$B1061&lt;1300,$B1061&gt;1500,$C1061&lt;1,$C1061&gt;12,$D1061&lt;1,$D1061&gt;31),"نامعتبر",RIGHT("0000"&amp;$B1061,4)&amp;"/"&amp;RIGHT("00"&amp;$C1061,2)&amp;"/"&amp;RIGHT("00"&amp;$D1061,2)))</f>
        <v/>
      </c>
      <c r="F1061">
        <f>IF(OR($E1061="",$E1061="نامعتبر"),"",IF(Sync!$Q1058="","0000",IF(AND(ISNUMBER(Sync!$Q1058),Sync!$Q1058&gt;=0,Sync!$Q1058&lt;1),RIGHT("00"&amp;HOUR(Sync!$Q1058),2)&amp;RIGHT("00"&amp;MINUTE(Sync!$Q1058),2),IFERROR(RIGHT("00"&amp;VALUE(LEFT(Sync!$Q1058,FIND(":",Sync!$Q1058)-1)),2)&amp;RIGHT("00"&amp;VALUE(MID(Sync!$Q1058,FIND(":",Sync!$Q1058)+1,2)),2),"0000"))))</f>
        <v/>
      </c>
      <c r="G1061">
        <f>IF(OR($E1061="",$E1061="نامعتبر"),"",IF(Sync!$S1058="","",Sync!$S1058))</f>
        <v/>
      </c>
      <c r="H1061">
        <f>IF(OR($E1061="",$E1061="نامعتبر"),"",IF(Sync!$R1058="","",Sync!$R1058))</f>
        <v/>
      </c>
      <c r="I1061">
        <f>IF(OR($E1061="",$E1061="نامعتبر"),"",IF(Sync!$T1058="","",Sync!$T1058))</f>
        <v/>
      </c>
      <c r="J1061">
        <f>IF(OR($E1061="",$E1061="نامعتبر"),"",IF(Sync!$U1058="","",Sync!$U1058))</f>
        <v/>
      </c>
      <c r="K1061">
        <f>IF(OR($E1061="",$E1061="نامعتبر"),"",IF(Sync!$V1058="","",IFERROR(INDEX(SubCodes,MATCH(Sync!$V1058,SubTitles,0)),Sync!$V1058)))</f>
        <v/>
      </c>
      <c r="L1061">
        <f>IF(OR($E1061="",$E1061="نامعتبر"),"",IF(Sync!$W1058="",0,Sync!$W1058))</f>
        <v/>
      </c>
      <c r="M1061">
        <f>IF(OR($E1061="",$E1061="نامعتبر"),"",IF(Sync!$X1058="",0,Sync!$X1058))</f>
        <v/>
      </c>
      <c r="N1061">
        <f>IF(OR($E1061="",$E1061="نامعتبر"),"",IF(AND($J1061="هزینه",$K1061&lt;&gt;""),1,0))</f>
        <v/>
      </c>
      <c r="O1061">
        <f>IF($N1061=0,"",LEFT($E1061,4)&amp;MID($E1061,6,2)&amp;RIGHT($E1061,2)&amp;$F1061&amp;"|"&amp;"1"&amp;RIGHT("00000"&amp;1053,5))</f>
        <v/>
      </c>
      <c r="P1061">
        <f>IF($O1061="","",COUNTIFS(ExpSub,$K1061,ExpKey,"&lt;"&amp;$O1061)+1)</f>
        <v/>
      </c>
      <c r="Q1061">
        <f>IF($P1061="","",$K1061&amp;"|"&amp;RIGHT("000000"&amp;$P1061,6))</f>
        <v/>
      </c>
    </row>
    <row r="1062">
      <c r="A1062">
        <f>IF(Sync!$P1059="","",Sync!$P1059)</f>
        <v/>
      </c>
      <c r="B1062">
        <f>IF($A1062="","",IF(ISNUMBER($A1062),IF(AND($A1062&gt;=10000101,$A1062&lt;=99991231),INT($A1062/10000),""),IFERROR(VALUE(TRIM(LEFT($A1062,FIND("/",$A1062)-1))),"")))</f>
        <v/>
      </c>
      <c r="C1062">
        <f>IF(OR($A1062="",$B1062=""),"",IF(ISNUMBER($A1062),INT(MOD($A1062,10000)/100),IFERROR(VALUE(TRIM(LEFT(MID($A1062,FIND("/",$A1062)+1,20),FIND("/",MID($A1062,FIND("/",$A1062)+1,20))-1))),"")))</f>
        <v/>
      </c>
      <c r="D1062">
        <f>IF(OR($A1062="",$B1062=""),"",IF(ISNUMBER($A1062),MOD($A1062,100),IFERROR(VALUE(TRIM(MID(MID($A1062,FIND("/",$A1062)+1,20),FIND("/",MID($A1062,FIND("/",$A1062)+1,20))+1,20))),"")))</f>
        <v/>
      </c>
      <c r="E1062">
        <f>IF($A1062="","",IF(OR($B1062="",$C1062="",$D1062="",$B1062&lt;1300,$B1062&gt;1500,$C1062&lt;1,$C1062&gt;12,$D1062&lt;1,$D1062&gt;31),"نامعتبر",RIGHT("0000"&amp;$B1062,4)&amp;"/"&amp;RIGHT("00"&amp;$C1062,2)&amp;"/"&amp;RIGHT("00"&amp;$D1062,2)))</f>
        <v/>
      </c>
      <c r="F1062">
        <f>IF(OR($E1062="",$E1062="نامعتبر"),"",IF(Sync!$Q1059="","0000",IF(AND(ISNUMBER(Sync!$Q1059),Sync!$Q1059&gt;=0,Sync!$Q1059&lt;1),RIGHT("00"&amp;HOUR(Sync!$Q1059),2)&amp;RIGHT("00"&amp;MINUTE(Sync!$Q1059),2),IFERROR(RIGHT("00"&amp;VALUE(LEFT(Sync!$Q1059,FIND(":",Sync!$Q1059)-1)),2)&amp;RIGHT("00"&amp;VALUE(MID(Sync!$Q1059,FIND(":",Sync!$Q1059)+1,2)),2),"0000"))))</f>
        <v/>
      </c>
      <c r="G1062">
        <f>IF(OR($E1062="",$E1062="نامعتبر"),"",IF(Sync!$S1059="","",Sync!$S1059))</f>
        <v/>
      </c>
      <c r="H1062">
        <f>IF(OR($E1062="",$E1062="نامعتبر"),"",IF(Sync!$R1059="","",Sync!$R1059))</f>
        <v/>
      </c>
      <c r="I1062">
        <f>IF(OR($E1062="",$E1062="نامعتبر"),"",IF(Sync!$T1059="","",Sync!$T1059))</f>
        <v/>
      </c>
      <c r="J1062">
        <f>IF(OR($E1062="",$E1062="نامعتبر"),"",IF(Sync!$U1059="","",Sync!$U1059))</f>
        <v/>
      </c>
      <c r="K1062">
        <f>IF(OR($E1062="",$E1062="نامعتبر"),"",IF(Sync!$V1059="","",IFERROR(INDEX(SubCodes,MATCH(Sync!$V1059,SubTitles,0)),Sync!$V1059)))</f>
        <v/>
      </c>
      <c r="L1062">
        <f>IF(OR($E1062="",$E1062="نامعتبر"),"",IF(Sync!$W1059="",0,Sync!$W1059))</f>
        <v/>
      </c>
      <c r="M1062">
        <f>IF(OR($E1062="",$E1062="نامعتبر"),"",IF(Sync!$X1059="",0,Sync!$X1059))</f>
        <v/>
      </c>
      <c r="N1062">
        <f>IF(OR($E1062="",$E1062="نامعتبر"),"",IF(AND($J1062="هزینه",$K1062&lt;&gt;""),1,0))</f>
        <v/>
      </c>
      <c r="O1062">
        <f>IF($N1062=0,"",LEFT($E1062,4)&amp;MID($E1062,6,2)&amp;RIGHT($E1062,2)&amp;$F1062&amp;"|"&amp;"1"&amp;RIGHT("00000"&amp;1054,5))</f>
        <v/>
      </c>
      <c r="P1062">
        <f>IF($O1062="","",COUNTIFS(ExpSub,$K1062,ExpKey,"&lt;"&amp;$O1062)+1)</f>
        <v/>
      </c>
      <c r="Q1062">
        <f>IF($P1062="","",$K1062&amp;"|"&amp;RIGHT("000000"&amp;$P1062,6))</f>
        <v/>
      </c>
    </row>
    <row r="1063">
      <c r="A1063">
        <f>IF(Sync!$P1060="","",Sync!$P1060)</f>
        <v/>
      </c>
      <c r="B1063">
        <f>IF($A1063="","",IF(ISNUMBER($A1063),IF(AND($A1063&gt;=10000101,$A1063&lt;=99991231),INT($A1063/10000),""),IFERROR(VALUE(TRIM(LEFT($A1063,FIND("/",$A1063)-1))),"")))</f>
        <v/>
      </c>
      <c r="C1063">
        <f>IF(OR($A1063="",$B1063=""),"",IF(ISNUMBER($A1063),INT(MOD($A1063,10000)/100),IFERROR(VALUE(TRIM(LEFT(MID($A1063,FIND("/",$A1063)+1,20),FIND("/",MID($A1063,FIND("/",$A1063)+1,20))-1))),"")))</f>
        <v/>
      </c>
      <c r="D1063">
        <f>IF(OR($A1063="",$B1063=""),"",IF(ISNUMBER($A1063),MOD($A1063,100),IFERROR(VALUE(TRIM(MID(MID($A1063,FIND("/",$A1063)+1,20),FIND("/",MID($A1063,FIND("/",$A1063)+1,20))+1,20))),"")))</f>
        <v/>
      </c>
      <c r="E1063">
        <f>IF($A1063="","",IF(OR($B1063="",$C1063="",$D1063="",$B1063&lt;1300,$B1063&gt;1500,$C1063&lt;1,$C1063&gt;12,$D1063&lt;1,$D1063&gt;31),"نامعتبر",RIGHT("0000"&amp;$B1063,4)&amp;"/"&amp;RIGHT("00"&amp;$C1063,2)&amp;"/"&amp;RIGHT("00"&amp;$D1063,2)))</f>
        <v/>
      </c>
      <c r="F1063">
        <f>IF(OR($E1063="",$E1063="نامعتبر"),"",IF(Sync!$Q1060="","0000",IF(AND(ISNUMBER(Sync!$Q1060),Sync!$Q1060&gt;=0,Sync!$Q1060&lt;1),RIGHT("00"&amp;HOUR(Sync!$Q1060),2)&amp;RIGHT("00"&amp;MINUTE(Sync!$Q1060),2),IFERROR(RIGHT("00"&amp;VALUE(LEFT(Sync!$Q1060,FIND(":",Sync!$Q1060)-1)),2)&amp;RIGHT("00"&amp;VALUE(MID(Sync!$Q1060,FIND(":",Sync!$Q1060)+1,2)),2),"0000"))))</f>
        <v/>
      </c>
      <c r="G1063">
        <f>IF(OR($E1063="",$E1063="نامعتبر"),"",IF(Sync!$S1060="","",Sync!$S1060))</f>
        <v/>
      </c>
      <c r="H1063">
        <f>IF(OR($E1063="",$E1063="نامعتبر"),"",IF(Sync!$R1060="","",Sync!$R1060))</f>
        <v/>
      </c>
      <c r="I1063">
        <f>IF(OR($E1063="",$E1063="نامعتبر"),"",IF(Sync!$T1060="","",Sync!$T1060))</f>
        <v/>
      </c>
      <c r="J1063">
        <f>IF(OR($E1063="",$E1063="نامعتبر"),"",IF(Sync!$U1060="","",Sync!$U1060))</f>
        <v/>
      </c>
      <c r="K1063">
        <f>IF(OR($E1063="",$E1063="نامعتبر"),"",IF(Sync!$V1060="","",IFERROR(INDEX(SubCodes,MATCH(Sync!$V1060,SubTitles,0)),Sync!$V1060)))</f>
        <v/>
      </c>
      <c r="L1063">
        <f>IF(OR($E1063="",$E1063="نامعتبر"),"",IF(Sync!$W1060="",0,Sync!$W1060))</f>
        <v/>
      </c>
      <c r="M1063">
        <f>IF(OR($E1063="",$E1063="نامعتبر"),"",IF(Sync!$X1060="",0,Sync!$X1060))</f>
        <v/>
      </c>
      <c r="N1063">
        <f>IF(OR($E1063="",$E1063="نامعتبر"),"",IF(AND($J1063="هزینه",$K1063&lt;&gt;""),1,0))</f>
        <v/>
      </c>
      <c r="O1063">
        <f>IF($N1063=0,"",LEFT($E1063,4)&amp;MID($E1063,6,2)&amp;RIGHT($E1063,2)&amp;$F1063&amp;"|"&amp;"1"&amp;RIGHT("00000"&amp;1055,5))</f>
        <v/>
      </c>
      <c r="P1063">
        <f>IF($O1063="","",COUNTIFS(ExpSub,$K1063,ExpKey,"&lt;"&amp;$O1063)+1)</f>
        <v/>
      </c>
      <c r="Q1063">
        <f>IF($P1063="","",$K1063&amp;"|"&amp;RIGHT("000000"&amp;$P1063,6))</f>
        <v/>
      </c>
    </row>
    <row r="1064">
      <c r="A1064">
        <f>IF(Sync!$P1061="","",Sync!$P1061)</f>
        <v/>
      </c>
      <c r="B1064">
        <f>IF($A1064="","",IF(ISNUMBER($A1064),IF(AND($A1064&gt;=10000101,$A1064&lt;=99991231),INT($A1064/10000),""),IFERROR(VALUE(TRIM(LEFT($A1064,FIND("/",$A1064)-1))),"")))</f>
        <v/>
      </c>
      <c r="C1064">
        <f>IF(OR($A1064="",$B1064=""),"",IF(ISNUMBER($A1064),INT(MOD($A1064,10000)/100),IFERROR(VALUE(TRIM(LEFT(MID($A1064,FIND("/",$A1064)+1,20),FIND("/",MID($A1064,FIND("/",$A1064)+1,20))-1))),"")))</f>
        <v/>
      </c>
      <c r="D1064">
        <f>IF(OR($A1064="",$B1064=""),"",IF(ISNUMBER($A1064),MOD($A1064,100),IFERROR(VALUE(TRIM(MID(MID($A1064,FIND("/",$A1064)+1,20),FIND("/",MID($A1064,FIND("/",$A1064)+1,20))+1,20))),"")))</f>
        <v/>
      </c>
      <c r="E1064">
        <f>IF($A1064="","",IF(OR($B1064="",$C1064="",$D1064="",$B1064&lt;1300,$B1064&gt;1500,$C1064&lt;1,$C1064&gt;12,$D1064&lt;1,$D1064&gt;31),"نامعتبر",RIGHT("0000"&amp;$B1064,4)&amp;"/"&amp;RIGHT("00"&amp;$C1064,2)&amp;"/"&amp;RIGHT("00"&amp;$D1064,2)))</f>
        <v/>
      </c>
      <c r="F1064">
        <f>IF(OR($E1064="",$E1064="نامعتبر"),"",IF(Sync!$Q1061="","0000",IF(AND(ISNUMBER(Sync!$Q1061),Sync!$Q1061&gt;=0,Sync!$Q1061&lt;1),RIGHT("00"&amp;HOUR(Sync!$Q1061),2)&amp;RIGHT("00"&amp;MINUTE(Sync!$Q1061),2),IFERROR(RIGHT("00"&amp;VALUE(LEFT(Sync!$Q1061,FIND(":",Sync!$Q1061)-1)),2)&amp;RIGHT("00"&amp;VALUE(MID(Sync!$Q1061,FIND(":",Sync!$Q1061)+1,2)),2),"0000"))))</f>
        <v/>
      </c>
      <c r="G1064">
        <f>IF(OR($E1064="",$E1064="نامعتبر"),"",IF(Sync!$S1061="","",Sync!$S1061))</f>
        <v/>
      </c>
      <c r="H1064">
        <f>IF(OR($E1064="",$E1064="نامعتبر"),"",IF(Sync!$R1061="","",Sync!$R1061))</f>
        <v/>
      </c>
      <c r="I1064">
        <f>IF(OR($E1064="",$E1064="نامعتبر"),"",IF(Sync!$T1061="","",Sync!$T1061))</f>
        <v/>
      </c>
      <c r="J1064">
        <f>IF(OR($E1064="",$E1064="نامعتبر"),"",IF(Sync!$U1061="","",Sync!$U1061))</f>
        <v/>
      </c>
      <c r="K1064">
        <f>IF(OR($E1064="",$E1064="نامعتبر"),"",IF(Sync!$V1061="","",IFERROR(INDEX(SubCodes,MATCH(Sync!$V1061,SubTitles,0)),Sync!$V1061)))</f>
        <v/>
      </c>
      <c r="L1064">
        <f>IF(OR($E1064="",$E1064="نامعتبر"),"",IF(Sync!$W1061="",0,Sync!$W1061))</f>
        <v/>
      </c>
      <c r="M1064">
        <f>IF(OR($E1064="",$E1064="نامعتبر"),"",IF(Sync!$X1061="",0,Sync!$X1061))</f>
        <v/>
      </c>
      <c r="N1064">
        <f>IF(OR($E1064="",$E1064="نامعتبر"),"",IF(AND($J1064="هزینه",$K1064&lt;&gt;""),1,0))</f>
        <v/>
      </c>
      <c r="O1064">
        <f>IF($N1064=0,"",LEFT($E1064,4)&amp;MID($E1064,6,2)&amp;RIGHT($E1064,2)&amp;$F1064&amp;"|"&amp;"1"&amp;RIGHT("00000"&amp;1056,5))</f>
        <v/>
      </c>
      <c r="P1064">
        <f>IF($O1064="","",COUNTIFS(ExpSub,$K1064,ExpKey,"&lt;"&amp;$O1064)+1)</f>
        <v/>
      </c>
      <c r="Q1064">
        <f>IF($P1064="","",$K1064&amp;"|"&amp;RIGHT("000000"&amp;$P1064,6))</f>
        <v/>
      </c>
    </row>
    <row r="1065">
      <c r="A1065">
        <f>IF(Sync!$P1062="","",Sync!$P1062)</f>
        <v/>
      </c>
      <c r="B1065">
        <f>IF($A1065="","",IF(ISNUMBER($A1065),IF(AND($A1065&gt;=10000101,$A1065&lt;=99991231),INT($A1065/10000),""),IFERROR(VALUE(TRIM(LEFT($A1065,FIND("/",$A1065)-1))),"")))</f>
        <v/>
      </c>
      <c r="C1065">
        <f>IF(OR($A1065="",$B1065=""),"",IF(ISNUMBER($A1065),INT(MOD($A1065,10000)/100),IFERROR(VALUE(TRIM(LEFT(MID($A1065,FIND("/",$A1065)+1,20),FIND("/",MID($A1065,FIND("/",$A1065)+1,20))-1))),"")))</f>
        <v/>
      </c>
      <c r="D1065">
        <f>IF(OR($A1065="",$B1065=""),"",IF(ISNUMBER($A1065),MOD($A1065,100),IFERROR(VALUE(TRIM(MID(MID($A1065,FIND("/",$A1065)+1,20),FIND("/",MID($A1065,FIND("/",$A1065)+1,20))+1,20))),"")))</f>
        <v/>
      </c>
      <c r="E1065">
        <f>IF($A1065="","",IF(OR($B1065="",$C1065="",$D1065="",$B1065&lt;1300,$B1065&gt;1500,$C1065&lt;1,$C1065&gt;12,$D1065&lt;1,$D1065&gt;31),"نامعتبر",RIGHT("0000"&amp;$B1065,4)&amp;"/"&amp;RIGHT("00"&amp;$C1065,2)&amp;"/"&amp;RIGHT("00"&amp;$D1065,2)))</f>
        <v/>
      </c>
      <c r="F1065">
        <f>IF(OR($E1065="",$E1065="نامعتبر"),"",IF(Sync!$Q1062="","0000",IF(AND(ISNUMBER(Sync!$Q1062),Sync!$Q1062&gt;=0,Sync!$Q1062&lt;1),RIGHT("00"&amp;HOUR(Sync!$Q1062),2)&amp;RIGHT("00"&amp;MINUTE(Sync!$Q1062),2),IFERROR(RIGHT("00"&amp;VALUE(LEFT(Sync!$Q1062,FIND(":",Sync!$Q1062)-1)),2)&amp;RIGHT("00"&amp;VALUE(MID(Sync!$Q1062,FIND(":",Sync!$Q1062)+1,2)),2),"0000"))))</f>
        <v/>
      </c>
      <c r="G1065">
        <f>IF(OR($E1065="",$E1065="نامعتبر"),"",IF(Sync!$S1062="","",Sync!$S1062))</f>
        <v/>
      </c>
      <c r="H1065">
        <f>IF(OR($E1065="",$E1065="نامعتبر"),"",IF(Sync!$R1062="","",Sync!$R1062))</f>
        <v/>
      </c>
      <c r="I1065">
        <f>IF(OR($E1065="",$E1065="نامعتبر"),"",IF(Sync!$T1062="","",Sync!$T1062))</f>
        <v/>
      </c>
      <c r="J1065">
        <f>IF(OR($E1065="",$E1065="نامعتبر"),"",IF(Sync!$U1062="","",Sync!$U1062))</f>
        <v/>
      </c>
      <c r="K1065">
        <f>IF(OR($E1065="",$E1065="نامعتبر"),"",IF(Sync!$V1062="","",IFERROR(INDEX(SubCodes,MATCH(Sync!$V1062,SubTitles,0)),Sync!$V1062)))</f>
        <v/>
      </c>
      <c r="L1065">
        <f>IF(OR($E1065="",$E1065="نامعتبر"),"",IF(Sync!$W1062="",0,Sync!$W1062))</f>
        <v/>
      </c>
      <c r="M1065">
        <f>IF(OR($E1065="",$E1065="نامعتبر"),"",IF(Sync!$X1062="",0,Sync!$X1062))</f>
        <v/>
      </c>
      <c r="N1065">
        <f>IF(OR($E1065="",$E1065="نامعتبر"),"",IF(AND($J1065="هزینه",$K1065&lt;&gt;""),1,0))</f>
        <v/>
      </c>
      <c r="O1065">
        <f>IF($N1065=0,"",LEFT($E1065,4)&amp;MID($E1065,6,2)&amp;RIGHT($E1065,2)&amp;$F1065&amp;"|"&amp;"1"&amp;RIGHT("00000"&amp;1057,5))</f>
        <v/>
      </c>
      <c r="P1065">
        <f>IF($O1065="","",COUNTIFS(ExpSub,$K1065,ExpKey,"&lt;"&amp;$O1065)+1)</f>
        <v/>
      </c>
      <c r="Q1065">
        <f>IF($P1065="","",$K1065&amp;"|"&amp;RIGHT("000000"&amp;$P1065,6))</f>
        <v/>
      </c>
    </row>
    <row r="1066">
      <c r="A1066">
        <f>IF(Sync!$P1063="","",Sync!$P1063)</f>
        <v/>
      </c>
      <c r="B1066">
        <f>IF($A1066="","",IF(ISNUMBER($A1066),IF(AND($A1066&gt;=10000101,$A1066&lt;=99991231),INT($A1066/10000),""),IFERROR(VALUE(TRIM(LEFT($A1066,FIND("/",$A1066)-1))),"")))</f>
        <v/>
      </c>
      <c r="C1066">
        <f>IF(OR($A1066="",$B1066=""),"",IF(ISNUMBER($A1066),INT(MOD($A1066,10000)/100),IFERROR(VALUE(TRIM(LEFT(MID($A1066,FIND("/",$A1066)+1,20),FIND("/",MID($A1066,FIND("/",$A1066)+1,20))-1))),"")))</f>
        <v/>
      </c>
      <c r="D1066">
        <f>IF(OR($A1066="",$B1066=""),"",IF(ISNUMBER($A1066),MOD($A1066,100),IFERROR(VALUE(TRIM(MID(MID($A1066,FIND("/",$A1066)+1,20),FIND("/",MID($A1066,FIND("/",$A1066)+1,20))+1,20))),"")))</f>
        <v/>
      </c>
      <c r="E1066">
        <f>IF($A1066="","",IF(OR($B1066="",$C1066="",$D1066="",$B1066&lt;1300,$B1066&gt;1500,$C1066&lt;1,$C1066&gt;12,$D1066&lt;1,$D1066&gt;31),"نامعتبر",RIGHT("0000"&amp;$B1066,4)&amp;"/"&amp;RIGHT("00"&amp;$C1066,2)&amp;"/"&amp;RIGHT("00"&amp;$D1066,2)))</f>
        <v/>
      </c>
      <c r="F1066">
        <f>IF(OR($E1066="",$E1066="نامعتبر"),"",IF(Sync!$Q1063="","0000",IF(AND(ISNUMBER(Sync!$Q1063),Sync!$Q1063&gt;=0,Sync!$Q1063&lt;1),RIGHT("00"&amp;HOUR(Sync!$Q1063),2)&amp;RIGHT("00"&amp;MINUTE(Sync!$Q1063),2),IFERROR(RIGHT("00"&amp;VALUE(LEFT(Sync!$Q1063,FIND(":",Sync!$Q1063)-1)),2)&amp;RIGHT("00"&amp;VALUE(MID(Sync!$Q1063,FIND(":",Sync!$Q1063)+1,2)),2),"0000"))))</f>
        <v/>
      </c>
      <c r="G1066">
        <f>IF(OR($E1066="",$E1066="نامعتبر"),"",IF(Sync!$S1063="","",Sync!$S1063))</f>
        <v/>
      </c>
      <c r="H1066">
        <f>IF(OR($E1066="",$E1066="نامعتبر"),"",IF(Sync!$R1063="","",Sync!$R1063))</f>
        <v/>
      </c>
      <c r="I1066">
        <f>IF(OR($E1066="",$E1066="نامعتبر"),"",IF(Sync!$T1063="","",Sync!$T1063))</f>
        <v/>
      </c>
      <c r="J1066">
        <f>IF(OR($E1066="",$E1066="نامعتبر"),"",IF(Sync!$U1063="","",Sync!$U1063))</f>
        <v/>
      </c>
      <c r="K1066">
        <f>IF(OR($E1066="",$E1066="نامعتبر"),"",IF(Sync!$V1063="","",IFERROR(INDEX(SubCodes,MATCH(Sync!$V1063,SubTitles,0)),Sync!$V1063)))</f>
        <v/>
      </c>
      <c r="L1066">
        <f>IF(OR($E1066="",$E1066="نامعتبر"),"",IF(Sync!$W1063="",0,Sync!$W1063))</f>
        <v/>
      </c>
      <c r="M1066">
        <f>IF(OR($E1066="",$E1066="نامعتبر"),"",IF(Sync!$X1063="",0,Sync!$X1063))</f>
        <v/>
      </c>
      <c r="N1066">
        <f>IF(OR($E1066="",$E1066="نامعتبر"),"",IF(AND($J1066="هزینه",$K1066&lt;&gt;""),1,0))</f>
        <v/>
      </c>
      <c r="O1066">
        <f>IF($N1066=0,"",LEFT($E1066,4)&amp;MID($E1066,6,2)&amp;RIGHT($E1066,2)&amp;$F1066&amp;"|"&amp;"1"&amp;RIGHT("00000"&amp;1058,5))</f>
        <v/>
      </c>
      <c r="P1066">
        <f>IF($O1066="","",COUNTIFS(ExpSub,$K1066,ExpKey,"&lt;"&amp;$O1066)+1)</f>
        <v/>
      </c>
      <c r="Q1066">
        <f>IF($P1066="","",$K1066&amp;"|"&amp;RIGHT("000000"&amp;$P1066,6))</f>
        <v/>
      </c>
    </row>
    <row r="1067">
      <c r="A1067">
        <f>IF(Sync!$P1064="","",Sync!$P1064)</f>
        <v/>
      </c>
      <c r="B1067">
        <f>IF($A1067="","",IF(ISNUMBER($A1067),IF(AND($A1067&gt;=10000101,$A1067&lt;=99991231),INT($A1067/10000),""),IFERROR(VALUE(TRIM(LEFT($A1067,FIND("/",$A1067)-1))),"")))</f>
        <v/>
      </c>
      <c r="C1067">
        <f>IF(OR($A1067="",$B1067=""),"",IF(ISNUMBER($A1067),INT(MOD($A1067,10000)/100),IFERROR(VALUE(TRIM(LEFT(MID($A1067,FIND("/",$A1067)+1,20),FIND("/",MID($A1067,FIND("/",$A1067)+1,20))-1))),"")))</f>
        <v/>
      </c>
      <c r="D1067">
        <f>IF(OR($A1067="",$B1067=""),"",IF(ISNUMBER($A1067),MOD($A1067,100),IFERROR(VALUE(TRIM(MID(MID($A1067,FIND("/",$A1067)+1,20),FIND("/",MID($A1067,FIND("/",$A1067)+1,20))+1,20))),"")))</f>
        <v/>
      </c>
      <c r="E1067">
        <f>IF($A1067="","",IF(OR($B1067="",$C1067="",$D1067="",$B1067&lt;1300,$B1067&gt;1500,$C1067&lt;1,$C1067&gt;12,$D1067&lt;1,$D1067&gt;31),"نامعتبر",RIGHT("0000"&amp;$B1067,4)&amp;"/"&amp;RIGHT("00"&amp;$C1067,2)&amp;"/"&amp;RIGHT("00"&amp;$D1067,2)))</f>
        <v/>
      </c>
      <c r="F1067">
        <f>IF(OR($E1067="",$E1067="نامعتبر"),"",IF(Sync!$Q1064="","0000",IF(AND(ISNUMBER(Sync!$Q1064),Sync!$Q1064&gt;=0,Sync!$Q1064&lt;1),RIGHT("00"&amp;HOUR(Sync!$Q1064),2)&amp;RIGHT("00"&amp;MINUTE(Sync!$Q1064),2),IFERROR(RIGHT("00"&amp;VALUE(LEFT(Sync!$Q1064,FIND(":",Sync!$Q1064)-1)),2)&amp;RIGHT("00"&amp;VALUE(MID(Sync!$Q1064,FIND(":",Sync!$Q1064)+1,2)),2),"0000"))))</f>
        <v/>
      </c>
      <c r="G1067">
        <f>IF(OR($E1067="",$E1067="نامعتبر"),"",IF(Sync!$S1064="","",Sync!$S1064))</f>
        <v/>
      </c>
      <c r="H1067">
        <f>IF(OR($E1067="",$E1067="نامعتبر"),"",IF(Sync!$R1064="","",Sync!$R1064))</f>
        <v/>
      </c>
      <c r="I1067">
        <f>IF(OR($E1067="",$E1067="نامعتبر"),"",IF(Sync!$T1064="","",Sync!$T1064))</f>
        <v/>
      </c>
      <c r="J1067">
        <f>IF(OR($E1067="",$E1067="نامعتبر"),"",IF(Sync!$U1064="","",Sync!$U1064))</f>
        <v/>
      </c>
      <c r="K1067">
        <f>IF(OR($E1067="",$E1067="نامعتبر"),"",IF(Sync!$V1064="","",IFERROR(INDEX(SubCodes,MATCH(Sync!$V1064,SubTitles,0)),Sync!$V1064)))</f>
        <v/>
      </c>
      <c r="L1067">
        <f>IF(OR($E1067="",$E1067="نامعتبر"),"",IF(Sync!$W1064="",0,Sync!$W1064))</f>
        <v/>
      </c>
      <c r="M1067">
        <f>IF(OR($E1067="",$E1067="نامعتبر"),"",IF(Sync!$X1064="",0,Sync!$X1064))</f>
        <v/>
      </c>
      <c r="N1067">
        <f>IF(OR($E1067="",$E1067="نامعتبر"),"",IF(AND($J1067="هزینه",$K1067&lt;&gt;""),1,0))</f>
        <v/>
      </c>
      <c r="O1067">
        <f>IF($N1067=0,"",LEFT($E1067,4)&amp;MID($E1067,6,2)&amp;RIGHT($E1067,2)&amp;$F1067&amp;"|"&amp;"1"&amp;RIGHT("00000"&amp;1059,5))</f>
        <v/>
      </c>
      <c r="P1067">
        <f>IF($O1067="","",COUNTIFS(ExpSub,$K1067,ExpKey,"&lt;"&amp;$O1067)+1)</f>
        <v/>
      </c>
      <c r="Q1067">
        <f>IF($P1067="","",$K1067&amp;"|"&amp;RIGHT("000000"&amp;$P1067,6))</f>
        <v/>
      </c>
    </row>
    <row r="1068">
      <c r="A1068">
        <f>IF(Sync!$P1065="","",Sync!$P1065)</f>
        <v/>
      </c>
      <c r="B1068">
        <f>IF($A1068="","",IF(ISNUMBER($A1068),IF(AND($A1068&gt;=10000101,$A1068&lt;=99991231),INT($A1068/10000),""),IFERROR(VALUE(TRIM(LEFT($A1068,FIND("/",$A1068)-1))),"")))</f>
        <v/>
      </c>
      <c r="C1068">
        <f>IF(OR($A1068="",$B1068=""),"",IF(ISNUMBER($A1068),INT(MOD($A1068,10000)/100),IFERROR(VALUE(TRIM(LEFT(MID($A1068,FIND("/",$A1068)+1,20),FIND("/",MID($A1068,FIND("/",$A1068)+1,20))-1))),"")))</f>
        <v/>
      </c>
      <c r="D1068">
        <f>IF(OR($A1068="",$B1068=""),"",IF(ISNUMBER($A1068),MOD($A1068,100),IFERROR(VALUE(TRIM(MID(MID($A1068,FIND("/",$A1068)+1,20),FIND("/",MID($A1068,FIND("/",$A1068)+1,20))+1,20))),"")))</f>
        <v/>
      </c>
      <c r="E1068">
        <f>IF($A1068="","",IF(OR($B1068="",$C1068="",$D1068="",$B1068&lt;1300,$B1068&gt;1500,$C1068&lt;1,$C1068&gt;12,$D1068&lt;1,$D1068&gt;31),"نامعتبر",RIGHT("0000"&amp;$B1068,4)&amp;"/"&amp;RIGHT("00"&amp;$C1068,2)&amp;"/"&amp;RIGHT("00"&amp;$D1068,2)))</f>
        <v/>
      </c>
      <c r="F1068">
        <f>IF(OR($E1068="",$E1068="نامعتبر"),"",IF(Sync!$Q1065="","0000",IF(AND(ISNUMBER(Sync!$Q1065),Sync!$Q1065&gt;=0,Sync!$Q1065&lt;1),RIGHT("00"&amp;HOUR(Sync!$Q1065),2)&amp;RIGHT("00"&amp;MINUTE(Sync!$Q1065),2),IFERROR(RIGHT("00"&amp;VALUE(LEFT(Sync!$Q1065,FIND(":",Sync!$Q1065)-1)),2)&amp;RIGHT("00"&amp;VALUE(MID(Sync!$Q1065,FIND(":",Sync!$Q1065)+1,2)),2),"0000"))))</f>
        <v/>
      </c>
      <c r="G1068">
        <f>IF(OR($E1068="",$E1068="نامعتبر"),"",IF(Sync!$S1065="","",Sync!$S1065))</f>
        <v/>
      </c>
      <c r="H1068">
        <f>IF(OR($E1068="",$E1068="نامعتبر"),"",IF(Sync!$R1065="","",Sync!$R1065))</f>
        <v/>
      </c>
      <c r="I1068">
        <f>IF(OR($E1068="",$E1068="نامعتبر"),"",IF(Sync!$T1065="","",Sync!$T1065))</f>
        <v/>
      </c>
      <c r="J1068">
        <f>IF(OR($E1068="",$E1068="نامعتبر"),"",IF(Sync!$U1065="","",Sync!$U1065))</f>
        <v/>
      </c>
      <c r="K1068">
        <f>IF(OR($E1068="",$E1068="نامعتبر"),"",IF(Sync!$V1065="","",IFERROR(INDEX(SubCodes,MATCH(Sync!$V1065,SubTitles,0)),Sync!$V1065)))</f>
        <v/>
      </c>
      <c r="L1068">
        <f>IF(OR($E1068="",$E1068="نامعتبر"),"",IF(Sync!$W1065="",0,Sync!$W1065))</f>
        <v/>
      </c>
      <c r="M1068">
        <f>IF(OR($E1068="",$E1068="نامعتبر"),"",IF(Sync!$X1065="",0,Sync!$X1065))</f>
        <v/>
      </c>
      <c r="N1068">
        <f>IF(OR($E1068="",$E1068="نامعتبر"),"",IF(AND($J1068="هزینه",$K1068&lt;&gt;""),1,0))</f>
        <v/>
      </c>
      <c r="O1068">
        <f>IF($N1068=0,"",LEFT($E1068,4)&amp;MID($E1068,6,2)&amp;RIGHT($E1068,2)&amp;$F1068&amp;"|"&amp;"1"&amp;RIGHT("00000"&amp;1060,5))</f>
        <v/>
      </c>
      <c r="P1068">
        <f>IF($O1068="","",COUNTIFS(ExpSub,$K1068,ExpKey,"&lt;"&amp;$O1068)+1)</f>
        <v/>
      </c>
      <c r="Q1068">
        <f>IF($P1068="","",$K1068&amp;"|"&amp;RIGHT("000000"&amp;$P1068,6))</f>
        <v/>
      </c>
    </row>
    <row r="1069">
      <c r="A1069">
        <f>IF(Sync!$P1066="","",Sync!$P1066)</f>
        <v/>
      </c>
      <c r="B1069">
        <f>IF($A1069="","",IF(ISNUMBER($A1069),IF(AND($A1069&gt;=10000101,$A1069&lt;=99991231),INT($A1069/10000),""),IFERROR(VALUE(TRIM(LEFT($A1069,FIND("/",$A1069)-1))),"")))</f>
        <v/>
      </c>
      <c r="C1069">
        <f>IF(OR($A1069="",$B1069=""),"",IF(ISNUMBER($A1069),INT(MOD($A1069,10000)/100),IFERROR(VALUE(TRIM(LEFT(MID($A1069,FIND("/",$A1069)+1,20),FIND("/",MID($A1069,FIND("/",$A1069)+1,20))-1))),"")))</f>
        <v/>
      </c>
      <c r="D1069">
        <f>IF(OR($A1069="",$B1069=""),"",IF(ISNUMBER($A1069),MOD($A1069,100),IFERROR(VALUE(TRIM(MID(MID($A1069,FIND("/",$A1069)+1,20),FIND("/",MID($A1069,FIND("/",$A1069)+1,20))+1,20))),"")))</f>
        <v/>
      </c>
      <c r="E1069">
        <f>IF($A1069="","",IF(OR($B1069="",$C1069="",$D1069="",$B1069&lt;1300,$B1069&gt;1500,$C1069&lt;1,$C1069&gt;12,$D1069&lt;1,$D1069&gt;31),"نامعتبر",RIGHT("0000"&amp;$B1069,4)&amp;"/"&amp;RIGHT("00"&amp;$C1069,2)&amp;"/"&amp;RIGHT("00"&amp;$D1069,2)))</f>
        <v/>
      </c>
      <c r="F1069">
        <f>IF(OR($E1069="",$E1069="نامعتبر"),"",IF(Sync!$Q1066="","0000",IF(AND(ISNUMBER(Sync!$Q1066),Sync!$Q1066&gt;=0,Sync!$Q1066&lt;1),RIGHT("00"&amp;HOUR(Sync!$Q1066),2)&amp;RIGHT("00"&amp;MINUTE(Sync!$Q1066),2),IFERROR(RIGHT("00"&amp;VALUE(LEFT(Sync!$Q1066,FIND(":",Sync!$Q1066)-1)),2)&amp;RIGHT("00"&amp;VALUE(MID(Sync!$Q1066,FIND(":",Sync!$Q1066)+1,2)),2),"0000"))))</f>
        <v/>
      </c>
      <c r="G1069">
        <f>IF(OR($E1069="",$E1069="نامعتبر"),"",IF(Sync!$S1066="","",Sync!$S1066))</f>
        <v/>
      </c>
      <c r="H1069">
        <f>IF(OR($E1069="",$E1069="نامعتبر"),"",IF(Sync!$R1066="","",Sync!$R1066))</f>
        <v/>
      </c>
      <c r="I1069">
        <f>IF(OR($E1069="",$E1069="نامعتبر"),"",IF(Sync!$T1066="","",Sync!$T1066))</f>
        <v/>
      </c>
      <c r="J1069">
        <f>IF(OR($E1069="",$E1069="نامعتبر"),"",IF(Sync!$U1066="","",Sync!$U1066))</f>
        <v/>
      </c>
      <c r="K1069">
        <f>IF(OR($E1069="",$E1069="نامعتبر"),"",IF(Sync!$V1066="","",IFERROR(INDEX(SubCodes,MATCH(Sync!$V1066,SubTitles,0)),Sync!$V1066)))</f>
        <v/>
      </c>
      <c r="L1069">
        <f>IF(OR($E1069="",$E1069="نامعتبر"),"",IF(Sync!$W1066="",0,Sync!$W1066))</f>
        <v/>
      </c>
      <c r="M1069">
        <f>IF(OR($E1069="",$E1069="نامعتبر"),"",IF(Sync!$X1066="",0,Sync!$X1066))</f>
        <v/>
      </c>
      <c r="N1069">
        <f>IF(OR($E1069="",$E1069="نامعتبر"),"",IF(AND($J1069="هزینه",$K1069&lt;&gt;""),1,0))</f>
        <v/>
      </c>
      <c r="O1069">
        <f>IF($N1069=0,"",LEFT($E1069,4)&amp;MID($E1069,6,2)&amp;RIGHT($E1069,2)&amp;$F1069&amp;"|"&amp;"1"&amp;RIGHT("00000"&amp;1061,5))</f>
        <v/>
      </c>
      <c r="P1069">
        <f>IF($O1069="","",COUNTIFS(ExpSub,$K1069,ExpKey,"&lt;"&amp;$O1069)+1)</f>
        <v/>
      </c>
      <c r="Q1069">
        <f>IF($P1069="","",$K1069&amp;"|"&amp;RIGHT("000000"&amp;$P1069,6))</f>
        <v/>
      </c>
    </row>
    <row r="1070">
      <c r="A1070">
        <f>IF(Sync!$P1067="","",Sync!$P1067)</f>
        <v/>
      </c>
      <c r="B1070">
        <f>IF($A1070="","",IF(ISNUMBER($A1070),IF(AND($A1070&gt;=10000101,$A1070&lt;=99991231),INT($A1070/10000),""),IFERROR(VALUE(TRIM(LEFT($A1070,FIND("/",$A1070)-1))),"")))</f>
        <v/>
      </c>
      <c r="C1070">
        <f>IF(OR($A1070="",$B1070=""),"",IF(ISNUMBER($A1070),INT(MOD($A1070,10000)/100),IFERROR(VALUE(TRIM(LEFT(MID($A1070,FIND("/",$A1070)+1,20),FIND("/",MID($A1070,FIND("/",$A1070)+1,20))-1))),"")))</f>
        <v/>
      </c>
      <c r="D1070">
        <f>IF(OR($A1070="",$B1070=""),"",IF(ISNUMBER($A1070),MOD($A1070,100),IFERROR(VALUE(TRIM(MID(MID($A1070,FIND("/",$A1070)+1,20),FIND("/",MID($A1070,FIND("/",$A1070)+1,20))+1,20))),"")))</f>
        <v/>
      </c>
      <c r="E1070">
        <f>IF($A1070="","",IF(OR($B1070="",$C1070="",$D1070="",$B1070&lt;1300,$B1070&gt;1500,$C1070&lt;1,$C1070&gt;12,$D1070&lt;1,$D1070&gt;31),"نامعتبر",RIGHT("0000"&amp;$B1070,4)&amp;"/"&amp;RIGHT("00"&amp;$C1070,2)&amp;"/"&amp;RIGHT("00"&amp;$D1070,2)))</f>
        <v/>
      </c>
      <c r="F1070">
        <f>IF(OR($E1070="",$E1070="نامعتبر"),"",IF(Sync!$Q1067="","0000",IF(AND(ISNUMBER(Sync!$Q1067),Sync!$Q1067&gt;=0,Sync!$Q1067&lt;1),RIGHT("00"&amp;HOUR(Sync!$Q1067),2)&amp;RIGHT("00"&amp;MINUTE(Sync!$Q1067),2),IFERROR(RIGHT("00"&amp;VALUE(LEFT(Sync!$Q1067,FIND(":",Sync!$Q1067)-1)),2)&amp;RIGHT("00"&amp;VALUE(MID(Sync!$Q1067,FIND(":",Sync!$Q1067)+1,2)),2),"0000"))))</f>
        <v/>
      </c>
      <c r="G1070">
        <f>IF(OR($E1070="",$E1070="نامعتبر"),"",IF(Sync!$S1067="","",Sync!$S1067))</f>
        <v/>
      </c>
      <c r="H1070">
        <f>IF(OR($E1070="",$E1070="نامعتبر"),"",IF(Sync!$R1067="","",Sync!$R1067))</f>
        <v/>
      </c>
      <c r="I1070">
        <f>IF(OR($E1070="",$E1070="نامعتبر"),"",IF(Sync!$T1067="","",Sync!$T1067))</f>
        <v/>
      </c>
      <c r="J1070">
        <f>IF(OR($E1070="",$E1070="نامعتبر"),"",IF(Sync!$U1067="","",Sync!$U1067))</f>
        <v/>
      </c>
      <c r="K1070">
        <f>IF(OR($E1070="",$E1070="نامعتبر"),"",IF(Sync!$V1067="","",IFERROR(INDEX(SubCodes,MATCH(Sync!$V1067,SubTitles,0)),Sync!$V1067)))</f>
        <v/>
      </c>
      <c r="L1070">
        <f>IF(OR($E1070="",$E1070="نامعتبر"),"",IF(Sync!$W1067="",0,Sync!$W1067))</f>
        <v/>
      </c>
      <c r="M1070">
        <f>IF(OR($E1070="",$E1070="نامعتبر"),"",IF(Sync!$X1067="",0,Sync!$X1067))</f>
        <v/>
      </c>
      <c r="N1070">
        <f>IF(OR($E1070="",$E1070="نامعتبر"),"",IF(AND($J1070="هزینه",$K1070&lt;&gt;""),1,0))</f>
        <v/>
      </c>
      <c r="O1070">
        <f>IF($N1070=0,"",LEFT($E1070,4)&amp;MID($E1070,6,2)&amp;RIGHT($E1070,2)&amp;$F1070&amp;"|"&amp;"1"&amp;RIGHT("00000"&amp;1062,5))</f>
        <v/>
      </c>
      <c r="P1070">
        <f>IF($O1070="","",COUNTIFS(ExpSub,$K1070,ExpKey,"&lt;"&amp;$O1070)+1)</f>
        <v/>
      </c>
      <c r="Q1070">
        <f>IF($P1070="","",$K1070&amp;"|"&amp;RIGHT("000000"&amp;$P1070,6))</f>
        <v/>
      </c>
    </row>
    <row r="1071">
      <c r="A1071">
        <f>IF(Sync!$P1068="","",Sync!$P1068)</f>
        <v/>
      </c>
      <c r="B1071">
        <f>IF($A1071="","",IF(ISNUMBER($A1071),IF(AND($A1071&gt;=10000101,$A1071&lt;=99991231),INT($A1071/10000),""),IFERROR(VALUE(TRIM(LEFT($A1071,FIND("/",$A1071)-1))),"")))</f>
        <v/>
      </c>
      <c r="C1071">
        <f>IF(OR($A1071="",$B1071=""),"",IF(ISNUMBER($A1071),INT(MOD($A1071,10000)/100),IFERROR(VALUE(TRIM(LEFT(MID($A1071,FIND("/",$A1071)+1,20),FIND("/",MID($A1071,FIND("/",$A1071)+1,20))-1))),"")))</f>
        <v/>
      </c>
      <c r="D1071">
        <f>IF(OR($A1071="",$B1071=""),"",IF(ISNUMBER($A1071),MOD($A1071,100),IFERROR(VALUE(TRIM(MID(MID($A1071,FIND("/",$A1071)+1,20),FIND("/",MID($A1071,FIND("/",$A1071)+1,20))+1,20))),"")))</f>
        <v/>
      </c>
      <c r="E1071">
        <f>IF($A1071="","",IF(OR($B1071="",$C1071="",$D1071="",$B1071&lt;1300,$B1071&gt;1500,$C1071&lt;1,$C1071&gt;12,$D1071&lt;1,$D1071&gt;31),"نامعتبر",RIGHT("0000"&amp;$B1071,4)&amp;"/"&amp;RIGHT("00"&amp;$C1071,2)&amp;"/"&amp;RIGHT("00"&amp;$D1071,2)))</f>
        <v/>
      </c>
      <c r="F1071">
        <f>IF(OR($E1071="",$E1071="نامعتبر"),"",IF(Sync!$Q1068="","0000",IF(AND(ISNUMBER(Sync!$Q1068),Sync!$Q1068&gt;=0,Sync!$Q1068&lt;1),RIGHT("00"&amp;HOUR(Sync!$Q1068),2)&amp;RIGHT("00"&amp;MINUTE(Sync!$Q1068),2),IFERROR(RIGHT("00"&amp;VALUE(LEFT(Sync!$Q1068,FIND(":",Sync!$Q1068)-1)),2)&amp;RIGHT("00"&amp;VALUE(MID(Sync!$Q1068,FIND(":",Sync!$Q1068)+1,2)),2),"0000"))))</f>
        <v/>
      </c>
      <c r="G1071">
        <f>IF(OR($E1071="",$E1071="نامعتبر"),"",IF(Sync!$S1068="","",Sync!$S1068))</f>
        <v/>
      </c>
      <c r="H1071">
        <f>IF(OR($E1071="",$E1071="نامعتبر"),"",IF(Sync!$R1068="","",Sync!$R1068))</f>
        <v/>
      </c>
      <c r="I1071">
        <f>IF(OR($E1071="",$E1071="نامعتبر"),"",IF(Sync!$T1068="","",Sync!$T1068))</f>
        <v/>
      </c>
      <c r="J1071">
        <f>IF(OR($E1071="",$E1071="نامعتبر"),"",IF(Sync!$U1068="","",Sync!$U1068))</f>
        <v/>
      </c>
      <c r="K1071">
        <f>IF(OR($E1071="",$E1071="نامعتبر"),"",IF(Sync!$V1068="","",IFERROR(INDEX(SubCodes,MATCH(Sync!$V1068,SubTitles,0)),Sync!$V1068)))</f>
        <v/>
      </c>
      <c r="L1071">
        <f>IF(OR($E1071="",$E1071="نامعتبر"),"",IF(Sync!$W1068="",0,Sync!$W1068))</f>
        <v/>
      </c>
      <c r="M1071">
        <f>IF(OR($E1071="",$E1071="نامعتبر"),"",IF(Sync!$X1068="",0,Sync!$X1068))</f>
        <v/>
      </c>
      <c r="N1071">
        <f>IF(OR($E1071="",$E1071="نامعتبر"),"",IF(AND($J1071="هزینه",$K1071&lt;&gt;""),1,0))</f>
        <v/>
      </c>
      <c r="O1071">
        <f>IF($N1071=0,"",LEFT($E1071,4)&amp;MID($E1071,6,2)&amp;RIGHT($E1071,2)&amp;$F1071&amp;"|"&amp;"1"&amp;RIGHT("00000"&amp;1063,5))</f>
        <v/>
      </c>
      <c r="P1071">
        <f>IF($O1071="","",COUNTIFS(ExpSub,$K1071,ExpKey,"&lt;"&amp;$O1071)+1)</f>
        <v/>
      </c>
      <c r="Q1071">
        <f>IF($P1071="","",$K1071&amp;"|"&amp;RIGHT("000000"&amp;$P1071,6))</f>
        <v/>
      </c>
    </row>
    <row r="1072">
      <c r="A1072">
        <f>IF(Sync!$P1069="","",Sync!$P1069)</f>
        <v/>
      </c>
      <c r="B1072">
        <f>IF($A1072="","",IF(ISNUMBER($A1072),IF(AND($A1072&gt;=10000101,$A1072&lt;=99991231),INT($A1072/10000),""),IFERROR(VALUE(TRIM(LEFT($A1072,FIND("/",$A1072)-1))),"")))</f>
        <v/>
      </c>
      <c r="C1072">
        <f>IF(OR($A1072="",$B1072=""),"",IF(ISNUMBER($A1072),INT(MOD($A1072,10000)/100),IFERROR(VALUE(TRIM(LEFT(MID($A1072,FIND("/",$A1072)+1,20),FIND("/",MID($A1072,FIND("/",$A1072)+1,20))-1))),"")))</f>
        <v/>
      </c>
      <c r="D1072">
        <f>IF(OR($A1072="",$B1072=""),"",IF(ISNUMBER($A1072),MOD($A1072,100),IFERROR(VALUE(TRIM(MID(MID($A1072,FIND("/",$A1072)+1,20),FIND("/",MID($A1072,FIND("/",$A1072)+1,20))+1,20))),"")))</f>
        <v/>
      </c>
      <c r="E1072">
        <f>IF($A1072="","",IF(OR($B1072="",$C1072="",$D1072="",$B1072&lt;1300,$B1072&gt;1500,$C1072&lt;1,$C1072&gt;12,$D1072&lt;1,$D1072&gt;31),"نامعتبر",RIGHT("0000"&amp;$B1072,4)&amp;"/"&amp;RIGHT("00"&amp;$C1072,2)&amp;"/"&amp;RIGHT("00"&amp;$D1072,2)))</f>
        <v/>
      </c>
      <c r="F1072">
        <f>IF(OR($E1072="",$E1072="نامعتبر"),"",IF(Sync!$Q1069="","0000",IF(AND(ISNUMBER(Sync!$Q1069),Sync!$Q1069&gt;=0,Sync!$Q1069&lt;1),RIGHT("00"&amp;HOUR(Sync!$Q1069),2)&amp;RIGHT("00"&amp;MINUTE(Sync!$Q1069),2),IFERROR(RIGHT("00"&amp;VALUE(LEFT(Sync!$Q1069,FIND(":",Sync!$Q1069)-1)),2)&amp;RIGHT("00"&amp;VALUE(MID(Sync!$Q1069,FIND(":",Sync!$Q1069)+1,2)),2),"0000"))))</f>
        <v/>
      </c>
      <c r="G1072">
        <f>IF(OR($E1072="",$E1072="نامعتبر"),"",IF(Sync!$S1069="","",Sync!$S1069))</f>
        <v/>
      </c>
      <c r="H1072">
        <f>IF(OR($E1072="",$E1072="نامعتبر"),"",IF(Sync!$R1069="","",Sync!$R1069))</f>
        <v/>
      </c>
      <c r="I1072">
        <f>IF(OR($E1072="",$E1072="نامعتبر"),"",IF(Sync!$T1069="","",Sync!$T1069))</f>
        <v/>
      </c>
      <c r="J1072">
        <f>IF(OR($E1072="",$E1072="نامعتبر"),"",IF(Sync!$U1069="","",Sync!$U1069))</f>
        <v/>
      </c>
      <c r="K1072">
        <f>IF(OR($E1072="",$E1072="نامعتبر"),"",IF(Sync!$V1069="","",IFERROR(INDEX(SubCodes,MATCH(Sync!$V1069,SubTitles,0)),Sync!$V1069)))</f>
        <v/>
      </c>
      <c r="L1072">
        <f>IF(OR($E1072="",$E1072="نامعتبر"),"",IF(Sync!$W1069="",0,Sync!$W1069))</f>
        <v/>
      </c>
      <c r="M1072">
        <f>IF(OR($E1072="",$E1072="نامعتبر"),"",IF(Sync!$X1069="",0,Sync!$X1069))</f>
        <v/>
      </c>
      <c r="N1072">
        <f>IF(OR($E1072="",$E1072="نامعتبر"),"",IF(AND($J1072="هزینه",$K1072&lt;&gt;""),1,0))</f>
        <v/>
      </c>
      <c r="O1072">
        <f>IF($N1072=0,"",LEFT($E1072,4)&amp;MID($E1072,6,2)&amp;RIGHT($E1072,2)&amp;$F1072&amp;"|"&amp;"1"&amp;RIGHT("00000"&amp;1064,5))</f>
        <v/>
      </c>
      <c r="P1072">
        <f>IF($O1072="","",COUNTIFS(ExpSub,$K1072,ExpKey,"&lt;"&amp;$O1072)+1)</f>
        <v/>
      </c>
      <c r="Q1072">
        <f>IF($P1072="","",$K1072&amp;"|"&amp;RIGHT("000000"&amp;$P1072,6))</f>
        <v/>
      </c>
    </row>
    <row r="1073">
      <c r="A1073">
        <f>IF(Sync!$P1070="","",Sync!$P1070)</f>
        <v/>
      </c>
      <c r="B1073">
        <f>IF($A1073="","",IF(ISNUMBER($A1073),IF(AND($A1073&gt;=10000101,$A1073&lt;=99991231),INT($A1073/10000),""),IFERROR(VALUE(TRIM(LEFT($A1073,FIND("/",$A1073)-1))),"")))</f>
        <v/>
      </c>
      <c r="C1073">
        <f>IF(OR($A1073="",$B1073=""),"",IF(ISNUMBER($A1073),INT(MOD($A1073,10000)/100),IFERROR(VALUE(TRIM(LEFT(MID($A1073,FIND("/",$A1073)+1,20),FIND("/",MID($A1073,FIND("/",$A1073)+1,20))-1))),"")))</f>
        <v/>
      </c>
      <c r="D1073">
        <f>IF(OR($A1073="",$B1073=""),"",IF(ISNUMBER($A1073),MOD($A1073,100),IFERROR(VALUE(TRIM(MID(MID($A1073,FIND("/",$A1073)+1,20),FIND("/",MID($A1073,FIND("/",$A1073)+1,20))+1,20))),"")))</f>
        <v/>
      </c>
      <c r="E1073">
        <f>IF($A1073="","",IF(OR($B1073="",$C1073="",$D1073="",$B1073&lt;1300,$B1073&gt;1500,$C1073&lt;1,$C1073&gt;12,$D1073&lt;1,$D1073&gt;31),"نامعتبر",RIGHT("0000"&amp;$B1073,4)&amp;"/"&amp;RIGHT("00"&amp;$C1073,2)&amp;"/"&amp;RIGHT("00"&amp;$D1073,2)))</f>
        <v/>
      </c>
      <c r="F1073">
        <f>IF(OR($E1073="",$E1073="نامعتبر"),"",IF(Sync!$Q1070="","0000",IF(AND(ISNUMBER(Sync!$Q1070),Sync!$Q1070&gt;=0,Sync!$Q1070&lt;1),RIGHT("00"&amp;HOUR(Sync!$Q1070),2)&amp;RIGHT("00"&amp;MINUTE(Sync!$Q1070),2),IFERROR(RIGHT("00"&amp;VALUE(LEFT(Sync!$Q1070,FIND(":",Sync!$Q1070)-1)),2)&amp;RIGHT("00"&amp;VALUE(MID(Sync!$Q1070,FIND(":",Sync!$Q1070)+1,2)),2),"0000"))))</f>
        <v/>
      </c>
      <c r="G1073">
        <f>IF(OR($E1073="",$E1073="نامعتبر"),"",IF(Sync!$S1070="","",Sync!$S1070))</f>
        <v/>
      </c>
      <c r="H1073">
        <f>IF(OR($E1073="",$E1073="نامعتبر"),"",IF(Sync!$R1070="","",Sync!$R1070))</f>
        <v/>
      </c>
      <c r="I1073">
        <f>IF(OR($E1073="",$E1073="نامعتبر"),"",IF(Sync!$T1070="","",Sync!$T1070))</f>
        <v/>
      </c>
      <c r="J1073">
        <f>IF(OR($E1073="",$E1073="نامعتبر"),"",IF(Sync!$U1070="","",Sync!$U1070))</f>
        <v/>
      </c>
      <c r="K1073">
        <f>IF(OR($E1073="",$E1073="نامعتبر"),"",IF(Sync!$V1070="","",IFERROR(INDEX(SubCodes,MATCH(Sync!$V1070,SubTitles,0)),Sync!$V1070)))</f>
        <v/>
      </c>
      <c r="L1073">
        <f>IF(OR($E1073="",$E1073="نامعتبر"),"",IF(Sync!$W1070="",0,Sync!$W1070))</f>
        <v/>
      </c>
      <c r="M1073">
        <f>IF(OR($E1073="",$E1073="نامعتبر"),"",IF(Sync!$X1070="",0,Sync!$X1070))</f>
        <v/>
      </c>
      <c r="N1073">
        <f>IF(OR($E1073="",$E1073="نامعتبر"),"",IF(AND($J1073="هزینه",$K1073&lt;&gt;""),1,0))</f>
        <v/>
      </c>
      <c r="O1073">
        <f>IF($N1073=0,"",LEFT($E1073,4)&amp;MID($E1073,6,2)&amp;RIGHT($E1073,2)&amp;$F1073&amp;"|"&amp;"1"&amp;RIGHT("00000"&amp;1065,5))</f>
        <v/>
      </c>
      <c r="P1073">
        <f>IF($O1073="","",COUNTIFS(ExpSub,$K1073,ExpKey,"&lt;"&amp;$O1073)+1)</f>
        <v/>
      </c>
      <c r="Q1073">
        <f>IF($P1073="","",$K1073&amp;"|"&amp;RIGHT("000000"&amp;$P1073,6))</f>
        <v/>
      </c>
    </row>
    <row r="1074">
      <c r="A1074">
        <f>IF(Sync!$P1071="","",Sync!$P1071)</f>
        <v/>
      </c>
      <c r="B1074">
        <f>IF($A1074="","",IF(ISNUMBER($A1074),IF(AND($A1074&gt;=10000101,$A1074&lt;=99991231),INT($A1074/10000),""),IFERROR(VALUE(TRIM(LEFT($A1074,FIND("/",$A1074)-1))),"")))</f>
        <v/>
      </c>
      <c r="C1074">
        <f>IF(OR($A1074="",$B1074=""),"",IF(ISNUMBER($A1074),INT(MOD($A1074,10000)/100),IFERROR(VALUE(TRIM(LEFT(MID($A1074,FIND("/",$A1074)+1,20),FIND("/",MID($A1074,FIND("/",$A1074)+1,20))-1))),"")))</f>
        <v/>
      </c>
      <c r="D1074">
        <f>IF(OR($A1074="",$B1074=""),"",IF(ISNUMBER($A1074),MOD($A1074,100),IFERROR(VALUE(TRIM(MID(MID($A1074,FIND("/",$A1074)+1,20),FIND("/",MID($A1074,FIND("/",$A1074)+1,20))+1,20))),"")))</f>
        <v/>
      </c>
      <c r="E1074">
        <f>IF($A1074="","",IF(OR($B1074="",$C1074="",$D1074="",$B1074&lt;1300,$B1074&gt;1500,$C1074&lt;1,$C1074&gt;12,$D1074&lt;1,$D1074&gt;31),"نامعتبر",RIGHT("0000"&amp;$B1074,4)&amp;"/"&amp;RIGHT("00"&amp;$C1074,2)&amp;"/"&amp;RIGHT("00"&amp;$D1074,2)))</f>
        <v/>
      </c>
      <c r="F1074">
        <f>IF(OR($E1074="",$E1074="نامعتبر"),"",IF(Sync!$Q1071="","0000",IF(AND(ISNUMBER(Sync!$Q1071),Sync!$Q1071&gt;=0,Sync!$Q1071&lt;1),RIGHT("00"&amp;HOUR(Sync!$Q1071),2)&amp;RIGHT("00"&amp;MINUTE(Sync!$Q1071),2),IFERROR(RIGHT("00"&amp;VALUE(LEFT(Sync!$Q1071,FIND(":",Sync!$Q1071)-1)),2)&amp;RIGHT("00"&amp;VALUE(MID(Sync!$Q1071,FIND(":",Sync!$Q1071)+1,2)),2),"0000"))))</f>
        <v/>
      </c>
      <c r="G1074">
        <f>IF(OR($E1074="",$E1074="نامعتبر"),"",IF(Sync!$S1071="","",Sync!$S1071))</f>
        <v/>
      </c>
      <c r="H1074">
        <f>IF(OR($E1074="",$E1074="نامعتبر"),"",IF(Sync!$R1071="","",Sync!$R1071))</f>
        <v/>
      </c>
      <c r="I1074">
        <f>IF(OR($E1074="",$E1074="نامعتبر"),"",IF(Sync!$T1071="","",Sync!$T1071))</f>
        <v/>
      </c>
      <c r="J1074">
        <f>IF(OR($E1074="",$E1074="نامعتبر"),"",IF(Sync!$U1071="","",Sync!$U1071))</f>
        <v/>
      </c>
      <c r="K1074">
        <f>IF(OR($E1074="",$E1074="نامعتبر"),"",IF(Sync!$V1071="","",IFERROR(INDEX(SubCodes,MATCH(Sync!$V1071,SubTitles,0)),Sync!$V1071)))</f>
        <v/>
      </c>
      <c r="L1074">
        <f>IF(OR($E1074="",$E1074="نامعتبر"),"",IF(Sync!$W1071="",0,Sync!$W1071))</f>
        <v/>
      </c>
      <c r="M1074">
        <f>IF(OR($E1074="",$E1074="نامعتبر"),"",IF(Sync!$X1071="",0,Sync!$X1071))</f>
        <v/>
      </c>
      <c r="N1074">
        <f>IF(OR($E1074="",$E1074="نامعتبر"),"",IF(AND($J1074="هزینه",$K1074&lt;&gt;""),1,0))</f>
        <v/>
      </c>
      <c r="O1074">
        <f>IF($N1074=0,"",LEFT($E1074,4)&amp;MID($E1074,6,2)&amp;RIGHT($E1074,2)&amp;$F1074&amp;"|"&amp;"1"&amp;RIGHT("00000"&amp;1066,5))</f>
        <v/>
      </c>
      <c r="P1074">
        <f>IF($O1074="","",COUNTIFS(ExpSub,$K1074,ExpKey,"&lt;"&amp;$O1074)+1)</f>
        <v/>
      </c>
      <c r="Q1074">
        <f>IF($P1074="","",$K1074&amp;"|"&amp;RIGHT("000000"&amp;$P1074,6))</f>
        <v/>
      </c>
    </row>
    <row r="1075">
      <c r="A1075">
        <f>IF(Sync!$P1072="","",Sync!$P1072)</f>
        <v/>
      </c>
      <c r="B1075">
        <f>IF($A1075="","",IF(ISNUMBER($A1075),IF(AND($A1075&gt;=10000101,$A1075&lt;=99991231),INT($A1075/10000),""),IFERROR(VALUE(TRIM(LEFT($A1075,FIND("/",$A1075)-1))),"")))</f>
        <v/>
      </c>
      <c r="C1075">
        <f>IF(OR($A1075="",$B1075=""),"",IF(ISNUMBER($A1075),INT(MOD($A1075,10000)/100),IFERROR(VALUE(TRIM(LEFT(MID($A1075,FIND("/",$A1075)+1,20),FIND("/",MID($A1075,FIND("/",$A1075)+1,20))-1))),"")))</f>
        <v/>
      </c>
      <c r="D1075">
        <f>IF(OR($A1075="",$B1075=""),"",IF(ISNUMBER($A1075),MOD($A1075,100),IFERROR(VALUE(TRIM(MID(MID($A1075,FIND("/",$A1075)+1,20),FIND("/",MID($A1075,FIND("/",$A1075)+1,20))+1,20))),"")))</f>
        <v/>
      </c>
      <c r="E1075">
        <f>IF($A1075="","",IF(OR($B1075="",$C1075="",$D1075="",$B1075&lt;1300,$B1075&gt;1500,$C1075&lt;1,$C1075&gt;12,$D1075&lt;1,$D1075&gt;31),"نامعتبر",RIGHT("0000"&amp;$B1075,4)&amp;"/"&amp;RIGHT("00"&amp;$C1075,2)&amp;"/"&amp;RIGHT("00"&amp;$D1075,2)))</f>
        <v/>
      </c>
      <c r="F1075">
        <f>IF(OR($E1075="",$E1075="نامعتبر"),"",IF(Sync!$Q1072="","0000",IF(AND(ISNUMBER(Sync!$Q1072),Sync!$Q1072&gt;=0,Sync!$Q1072&lt;1),RIGHT("00"&amp;HOUR(Sync!$Q1072),2)&amp;RIGHT("00"&amp;MINUTE(Sync!$Q1072),2),IFERROR(RIGHT("00"&amp;VALUE(LEFT(Sync!$Q1072,FIND(":",Sync!$Q1072)-1)),2)&amp;RIGHT("00"&amp;VALUE(MID(Sync!$Q1072,FIND(":",Sync!$Q1072)+1,2)),2),"0000"))))</f>
        <v/>
      </c>
      <c r="G1075">
        <f>IF(OR($E1075="",$E1075="نامعتبر"),"",IF(Sync!$S1072="","",Sync!$S1072))</f>
        <v/>
      </c>
      <c r="H1075">
        <f>IF(OR($E1075="",$E1075="نامعتبر"),"",IF(Sync!$R1072="","",Sync!$R1072))</f>
        <v/>
      </c>
      <c r="I1075">
        <f>IF(OR($E1075="",$E1075="نامعتبر"),"",IF(Sync!$T1072="","",Sync!$T1072))</f>
        <v/>
      </c>
      <c r="J1075">
        <f>IF(OR($E1075="",$E1075="نامعتبر"),"",IF(Sync!$U1072="","",Sync!$U1072))</f>
        <v/>
      </c>
      <c r="K1075">
        <f>IF(OR($E1075="",$E1075="نامعتبر"),"",IF(Sync!$V1072="","",IFERROR(INDEX(SubCodes,MATCH(Sync!$V1072,SubTitles,0)),Sync!$V1072)))</f>
        <v/>
      </c>
      <c r="L1075">
        <f>IF(OR($E1075="",$E1075="نامعتبر"),"",IF(Sync!$W1072="",0,Sync!$W1072))</f>
        <v/>
      </c>
      <c r="M1075">
        <f>IF(OR($E1075="",$E1075="نامعتبر"),"",IF(Sync!$X1072="",0,Sync!$X1072))</f>
        <v/>
      </c>
      <c r="N1075">
        <f>IF(OR($E1075="",$E1075="نامعتبر"),"",IF(AND($J1075="هزینه",$K1075&lt;&gt;""),1,0))</f>
        <v/>
      </c>
      <c r="O1075">
        <f>IF($N1075=0,"",LEFT($E1075,4)&amp;MID($E1075,6,2)&amp;RIGHT($E1075,2)&amp;$F1075&amp;"|"&amp;"1"&amp;RIGHT("00000"&amp;1067,5))</f>
        <v/>
      </c>
      <c r="P1075">
        <f>IF($O1075="","",COUNTIFS(ExpSub,$K1075,ExpKey,"&lt;"&amp;$O1075)+1)</f>
        <v/>
      </c>
      <c r="Q1075">
        <f>IF($P1075="","",$K1075&amp;"|"&amp;RIGHT("000000"&amp;$P1075,6))</f>
        <v/>
      </c>
    </row>
    <row r="1076">
      <c r="A1076">
        <f>IF(Sync!$P1073="","",Sync!$P1073)</f>
        <v/>
      </c>
      <c r="B1076">
        <f>IF($A1076="","",IF(ISNUMBER($A1076),IF(AND($A1076&gt;=10000101,$A1076&lt;=99991231),INT($A1076/10000),""),IFERROR(VALUE(TRIM(LEFT($A1076,FIND("/",$A1076)-1))),"")))</f>
        <v/>
      </c>
      <c r="C1076">
        <f>IF(OR($A1076="",$B1076=""),"",IF(ISNUMBER($A1076),INT(MOD($A1076,10000)/100),IFERROR(VALUE(TRIM(LEFT(MID($A1076,FIND("/",$A1076)+1,20),FIND("/",MID($A1076,FIND("/",$A1076)+1,20))-1))),"")))</f>
        <v/>
      </c>
      <c r="D1076">
        <f>IF(OR($A1076="",$B1076=""),"",IF(ISNUMBER($A1076),MOD($A1076,100),IFERROR(VALUE(TRIM(MID(MID($A1076,FIND("/",$A1076)+1,20),FIND("/",MID($A1076,FIND("/",$A1076)+1,20))+1,20))),"")))</f>
        <v/>
      </c>
      <c r="E1076">
        <f>IF($A1076="","",IF(OR($B1076="",$C1076="",$D1076="",$B1076&lt;1300,$B1076&gt;1500,$C1076&lt;1,$C1076&gt;12,$D1076&lt;1,$D1076&gt;31),"نامعتبر",RIGHT("0000"&amp;$B1076,4)&amp;"/"&amp;RIGHT("00"&amp;$C1076,2)&amp;"/"&amp;RIGHT("00"&amp;$D1076,2)))</f>
        <v/>
      </c>
      <c r="F1076">
        <f>IF(OR($E1076="",$E1076="نامعتبر"),"",IF(Sync!$Q1073="","0000",IF(AND(ISNUMBER(Sync!$Q1073),Sync!$Q1073&gt;=0,Sync!$Q1073&lt;1),RIGHT("00"&amp;HOUR(Sync!$Q1073),2)&amp;RIGHT("00"&amp;MINUTE(Sync!$Q1073),2),IFERROR(RIGHT("00"&amp;VALUE(LEFT(Sync!$Q1073,FIND(":",Sync!$Q1073)-1)),2)&amp;RIGHT("00"&amp;VALUE(MID(Sync!$Q1073,FIND(":",Sync!$Q1073)+1,2)),2),"0000"))))</f>
        <v/>
      </c>
      <c r="G1076">
        <f>IF(OR($E1076="",$E1076="نامعتبر"),"",IF(Sync!$S1073="","",Sync!$S1073))</f>
        <v/>
      </c>
      <c r="H1076">
        <f>IF(OR($E1076="",$E1076="نامعتبر"),"",IF(Sync!$R1073="","",Sync!$R1073))</f>
        <v/>
      </c>
      <c r="I1076">
        <f>IF(OR($E1076="",$E1076="نامعتبر"),"",IF(Sync!$T1073="","",Sync!$T1073))</f>
        <v/>
      </c>
      <c r="J1076">
        <f>IF(OR($E1076="",$E1076="نامعتبر"),"",IF(Sync!$U1073="","",Sync!$U1073))</f>
        <v/>
      </c>
      <c r="K1076">
        <f>IF(OR($E1076="",$E1076="نامعتبر"),"",IF(Sync!$V1073="","",IFERROR(INDEX(SubCodes,MATCH(Sync!$V1073,SubTitles,0)),Sync!$V1073)))</f>
        <v/>
      </c>
      <c r="L1076">
        <f>IF(OR($E1076="",$E1076="نامعتبر"),"",IF(Sync!$W1073="",0,Sync!$W1073))</f>
        <v/>
      </c>
      <c r="M1076">
        <f>IF(OR($E1076="",$E1076="نامعتبر"),"",IF(Sync!$X1073="",0,Sync!$X1073))</f>
        <v/>
      </c>
      <c r="N1076">
        <f>IF(OR($E1076="",$E1076="نامعتبر"),"",IF(AND($J1076="هزینه",$K1076&lt;&gt;""),1,0))</f>
        <v/>
      </c>
      <c r="O1076">
        <f>IF($N1076=0,"",LEFT($E1076,4)&amp;MID($E1076,6,2)&amp;RIGHT($E1076,2)&amp;$F1076&amp;"|"&amp;"1"&amp;RIGHT("00000"&amp;1068,5))</f>
        <v/>
      </c>
      <c r="P1076">
        <f>IF($O1076="","",COUNTIFS(ExpSub,$K1076,ExpKey,"&lt;"&amp;$O1076)+1)</f>
        <v/>
      </c>
      <c r="Q1076">
        <f>IF($P1076="","",$K1076&amp;"|"&amp;RIGHT("000000"&amp;$P1076,6))</f>
        <v/>
      </c>
    </row>
    <row r="1077">
      <c r="A1077">
        <f>IF(Sync!$P1074="","",Sync!$P1074)</f>
        <v/>
      </c>
      <c r="B1077">
        <f>IF($A1077="","",IF(ISNUMBER($A1077),IF(AND($A1077&gt;=10000101,$A1077&lt;=99991231),INT($A1077/10000),""),IFERROR(VALUE(TRIM(LEFT($A1077,FIND("/",$A1077)-1))),"")))</f>
        <v/>
      </c>
      <c r="C1077">
        <f>IF(OR($A1077="",$B1077=""),"",IF(ISNUMBER($A1077),INT(MOD($A1077,10000)/100),IFERROR(VALUE(TRIM(LEFT(MID($A1077,FIND("/",$A1077)+1,20),FIND("/",MID($A1077,FIND("/",$A1077)+1,20))-1))),"")))</f>
        <v/>
      </c>
      <c r="D1077">
        <f>IF(OR($A1077="",$B1077=""),"",IF(ISNUMBER($A1077),MOD($A1077,100),IFERROR(VALUE(TRIM(MID(MID($A1077,FIND("/",$A1077)+1,20),FIND("/",MID($A1077,FIND("/",$A1077)+1,20))+1,20))),"")))</f>
        <v/>
      </c>
      <c r="E1077">
        <f>IF($A1077="","",IF(OR($B1077="",$C1077="",$D1077="",$B1077&lt;1300,$B1077&gt;1500,$C1077&lt;1,$C1077&gt;12,$D1077&lt;1,$D1077&gt;31),"نامعتبر",RIGHT("0000"&amp;$B1077,4)&amp;"/"&amp;RIGHT("00"&amp;$C1077,2)&amp;"/"&amp;RIGHT("00"&amp;$D1077,2)))</f>
        <v/>
      </c>
      <c r="F1077">
        <f>IF(OR($E1077="",$E1077="نامعتبر"),"",IF(Sync!$Q1074="","0000",IF(AND(ISNUMBER(Sync!$Q1074),Sync!$Q1074&gt;=0,Sync!$Q1074&lt;1),RIGHT("00"&amp;HOUR(Sync!$Q1074),2)&amp;RIGHT("00"&amp;MINUTE(Sync!$Q1074),2),IFERROR(RIGHT("00"&amp;VALUE(LEFT(Sync!$Q1074,FIND(":",Sync!$Q1074)-1)),2)&amp;RIGHT("00"&amp;VALUE(MID(Sync!$Q1074,FIND(":",Sync!$Q1074)+1,2)),2),"0000"))))</f>
        <v/>
      </c>
      <c r="G1077">
        <f>IF(OR($E1077="",$E1077="نامعتبر"),"",IF(Sync!$S1074="","",Sync!$S1074))</f>
        <v/>
      </c>
      <c r="H1077">
        <f>IF(OR($E1077="",$E1077="نامعتبر"),"",IF(Sync!$R1074="","",Sync!$R1074))</f>
        <v/>
      </c>
      <c r="I1077">
        <f>IF(OR($E1077="",$E1077="نامعتبر"),"",IF(Sync!$T1074="","",Sync!$T1074))</f>
        <v/>
      </c>
      <c r="J1077">
        <f>IF(OR($E1077="",$E1077="نامعتبر"),"",IF(Sync!$U1074="","",Sync!$U1074))</f>
        <v/>
      </c>
      <c r="K1077">
        <f>IF(OR($E1077="",$E1077="نامعتبر"),"",IF(Sync!$V1074="","",IFERROR(INDEX(SubCodes,MATCH(Sync!$V1074,SubTitles,0)),Sync!$V1074)))</f>
        <v/>
      </c>
      <c r="L1077">
        <f>IF(OR($E1077="",$E1077="نامعتبر"),"",IF(Sync!$W1074="",0,Sync!$W1074))</f>
        <v/>
      </c>
      <c r="M1077">
        <f>IF(OR($E1077="",$E1077="نامعتبر"),"",IF(Sync!$X1074="",0,Sync!$X1074))</f>
        <v/>
      </c>
      <c r="N1077">
        <f>IF(OR($E1077="",$E1077="نامعتبر"),"",IF(AND($J1077="هزینه",$K1077&lt;&gt;""),1,0))</f>
        <v/>
      </c>
      <c r="O1077">
        <f>IF($N1077=0,"",LEFT($E1077,4)&amp;MID($E1077,6,2)&amp;RIGHT($E1077,2)&amp;$F1077&amp;"|"&amp;"1"&amp;RIGHT("00000"&amp;1069,5))</f>
        <v/>
      </c>
      <c r="P1077">
        <f>IF($O1077="","",COUNTIFS(ExpSub,$K1077,ExpKey,"&lt;"&amp;$O1077)+1)</f>
        <v/>
      </c>
      <c r="Q1077">
        <f>IF($P1077="","",$K1077&amp;"|"&amp;RIGHT("000000"&amp;$P1077,6))</f>
        <v/>
      </c>
    </row>
    <row r="1078">
      <c r="A1078">
        <f>IF(Sync!$P1075="","",Sync!$P1075)</f>
        <v/>
      </c>
      <c r="B1078">
        <f>IF($A1078="","",IF(ISNUMBER($A1078),IF(AND($A1078&gt;=10000101,$A1078&lt;=99991231),INT($A1078/10000),""),IFERROR(VALUE(TRIM(LEFT($A1078,FIND("/",$A1078)-1))),"")))</f>
        <v/>
      </c>
      <c r="C1078">
        <f>IF(OR($A1078="",$B1078=""),"",IF(ISNUMBER($A1078),INT(MOD($A1078,10000)/100),IFERROR(VALUE(TRIM(LEFT(MID($A1078,FIND("/",$A1078)+1,20),FIND("/",MID($A1078,FIND("/",$A1078)+1,20))-1))),"")))</f>
        <v/>
      </c>
      <c r="D1078">
        <f>IF(OR($A1078="",$B1078=""),"",IF(ISNUMBER($A1078),MOD($A1078,100),IFERROR(VALUE(TRIM(MID(MID($A1078,FIND("/",$A1078)+1,20),FIND("/",MID($A1078,FIND("/",$A1078)+1,20))+1,20))),"")))</f>
        <v/>
      </c>
      <c r="E1078">
        <f>IF($A1078="","",IF(OR($B1078="",$C1078="",$D1078="",$B1078&lt;1300,$B1078&gt;1500,$C1078&lt;1,$C1078&gt;12,$D1078&lt;1,$D1078&gt;31),"نامعتبر",RIGHT("0000"&amp;$B1078,4)&amp;"/"&amp;RIGHT("00"&amp;$C1078,2)&amp;"/"&amp;RIGHT("00"&amp;$D1078,2)))</f>
        <v/>
      </c>
      <c r="F1078">
        <f>IF(OR($E1078="",$E1078="نامعتبر"),"",IF(Sync!$Q1075="","0000",IF(AND(ISNUMBER(Sync!$Q1075),Sync!$Q1075&gt;=0,Sync!$Q1075&lt;1),RIGHT("00"&amp;HOUR(Sync!$Q1075),2)&amp;RIGHT("00"&amp;MINUTE(Sync!$Q1075),2),IFERROR(RIGHT("00"&amp;VALUE(LEFT(Sync!$Q1075,FIND(":",Sync!$Q1075)-1)),2)&amp;RIGHT("00"&amp;VALUE(MID(Sync!$Q1075,FIND(":",Sync!$Q1075)+1,2)),2),"0000"))))</f>
        <v/>
      </c>
      <c r="G1078">
        <f>IF(OR($E1078="",$E1078="نامعتبر"),"",IF(Sync!$S1075="","",Sync!$S1075))</f>
        <v/>
      </c>
      <c r="H1078">
        <f>IF(OR($E1078="",$E1078="نامعتبر"),"",IF(Sync!$R1075="","",Sync!$R1075))</f>
        <v/>
      </c>
      <c r="I1078">
        <f>IF(OR($E1078="",$E1078="نامعتبر"),"",IF(Sync!$T1075="","",Sync!$T1075))</f>
        <v/>
      </c>
      <c r="J1078">
        <f>IF(OR($E1078="",$E1078="نامعتبر"),"",IF(Sync!$U1075="","",Sync!$U1075))</f>
        <v/>
      </c>
      <c r="K1078">
        <f>IF(OR($E1078="",$E1078="نامعتبر"),"",IF(Sync!$V1075="","",IFERROR(INDEX(SubCodes,MATCH(Sync!$V1075,SubTitles,0)),Sync!$V1075)))</f>
        <v/>
      </c>
      <c r="L1078">
        <f>IF(OR($E1078="",$E1078="نامعتبر"),"",IF(Sync!$W1075="",0,Sync!$W1075))</f>
        <v/>
      </c>
      <c r="M1078">
        <f>IF(OR($E1078="",$E1078="نامعتبر"),"",IF(Sync!$X1075="",0,Sync!$X1075))</f>
        <v/>
      </c>
      <c r="N1078">
        <f>IF(OR($E1078="",$E1078="نامعتبر"),"",IF(AND($J1078="هزینه",$K1078&lt;&gt;""),1,0))</f>
        <v/>
      </c>
      <c r="O1078">
        <f>IF($N1078=0,"",LEFT($E1078,4)&amp;MID($E1078,6,2)&amp;RIGHT($E1078,2)&amp;$F1078&amp;"|"&amp;"1"&amp;RIGHT("00000"&amp;1070,5))</f>
        <v/>
      </c>
      <c r="P1078">
        <f>IF($O1078="","",COUNTIFS(ExpSub,$K1078,ExpKey,"&lt;"&amp;$O1078)+1)</f>
        <v/>
      </c>
      <c r="Q1078">
        <f>IF($P1078="","",$K1078&amp;"|"&amp;RIGHT("000000"&amp;$P1078,6))</f>
        <v/>
      </c>
    </row>
    <row r="1079">
      <c r="A1079">
        <f>IF(Sync!$P1076="","",Sync!$P1076)</f>
        <v/>
      </c>
      <c r="B1079">
        <f>IF($A1079="","",IF(ISNUMBER($A1079),IF(AND($A1079&gt;=10000101,$A1079&lt;=99991231),INT($A1079/10000),""),IFERROR(VALUE(TRIM(LEFT($A1079,FIND("/",$A1079)-1))),"")))</f>
        <v/>
      </c>
      <c r="C1079">
        <f>IF(OR($A1079="",$B1079=""),"",IF(ISNUMBER($A1079),INT(MOD($A1079,10000)/100),IFERROR(VALUE(TRIM(LEFT(MID($A1079,FIND("/",$A1079)+1,20),FIND("/",MID($A1079,FIND("/",$A1079)+1,20))-1))),"")))</f>
        <v/>
      </c>
      <c r="D1079">
        <f>IF(OR($A1079="",$B1079=""),"",IF(ISNUMBER($A1079),MOD($A1079,100),IFERROR(VALUE(TRIM(MID(MID($A1079,FIND("/",$A1079)+1,20),FIND("/",MID($A1079,FIND("/",$A1079)+1,20))+1,20))),"")))</f>
        <v/>
      </c>
      <c r="E1079">
        <f>IF($A1079="","",IF(OR($B1079="",$C1079="",$D1079="",$B1079&lt;1300,$B1079&gt;1500,$C1079&lt;1,$C1079&gt;12,$D1079&lt;1,$D1079&gt;31),"نامعتبر",RIGHT("0000"&amp;$B1079,4)&amp;"/"&amp;RIGHT("00"&amp;$C1079,2)&amp;"/"&amp;RIGHT("00"&amp;$D1079,2)))</f>
        <v/>
      </c>
      <c r="F1079">
        <f>IF(OR($E1079="",$E1079="نامعتبر"),"",IF(Sync!$Q1076="","0000",IF(AND(ISNUMBER(Sync!$Q1076),Sync!$Q1076&gt;=0,Sync!$Q1076&lt;1),RIGHT("00"&amp;HOUR(Sync!$Q1076),2)&amp;RIGHT("00"&amp;MINUTE(Sync!$Q1076),2),IFERROR(RIGHT("00"&amp;VALUE(LEFT(Sync!$Q1076,FIND(":",Sync!$Q1076)-1)),2)&amp;RIGHT("00"&amp;VALUE(MID(Sync!$Q1076,FIND(":",Sync!$Q1076)+1,2)),2),"0000"))))</f>
        <v/>
      </c>
      <c r="G1079">
        <f>IF(OR($E1079="",$E1079="نامعتبر"),"",IF(Sync!$S1076="","",Sync!$S1076))</f>
        <v/>
      </c>
      <c r="H1079">
        <f>IF(OR($E1079="",$E1079="نامعتبر"),"",IF(Sync!$R1076="","",Sync!$R1076))</f>
        <v/>
      </c>
      <c r="I1079">
        <f>IF(OR($E1079="",$E1079="نامعتبر"),"",IF(Sync!$T1076="","",Sync!$T1076))</f>
        <v/>
      </c>
      <c r="J1079">
        <f>IF(OR($E1079="",$E1079="نامعتبر"),"",IF(Sync!$U1076="","",Sync!$U1076))</f>
        <v/>
      </c>
      <c r="K1079">
        <f>IF(OR($E1079="",$E1079="نامعتبر"),"",IF(Sync!$V1076="","",IFERROR(INDEX(SubCodes,MATCH(Sync!$V1076,SubTitles,0)),Sync!$V1076)))</f>
        <v/>
      </c>
      <c r="L1079">
        <f>IF(OR($E1079="",$E1079="نامعتبر"),"",IF(Sync!$W1076="",0,Sync!$W1076))</f>
        <v/>
      </c>
      <c r="M1079">
        <f>IF(OR($E1079="",$E1079="نامعتبر"),"",IF(Sync!$X1076="",0,Sync!$X1076))</f>
        <v/>
      </c>
      <c r="N1079">
        <f>IF(OR($E1079="",$E1079="نامعتبر"),"",IF(AND($J1079="هزینه",$K1079&lt;&gt;""),1,0))</f>
        <v/>
      </c>
      <c r="O1079">
        <f>IF($N1079=0,"",LEFT($E1079,4)&amp;MID($E1079,6,2)&amp;RIGHT($E1079,2)&amp;$F1079&amp;"|"&amp;"1"&amp;RIGHT("00000"&amp;1071,5))</f>
        <v/>
      </c>
      <c r="P1079">
        <f>IF($O1079="","",COUNTIFS(ExpSub,$K1079,ExpKey,"&lt;"&amp;$O1079)+1)</f>
        <v/>
      </c>
      <c r="Q1079">
        <f>IF($P1079="","",$K1079&amp;"|"&amp;RIGHT("000000"&amp;$P1079,6))</f>
        <v/>
      </c>
    </row>
    <row r="1080">
      <c r="A1080">
        <f>IF(Sync!$P1077="","",Sync!$P1077)</f>
        <v/>
      </c>
      <c r="B1080">
        <f>IF($A1080="","",IF(ISNUMBER($A1080),IF(AND($A1080&gt;=10000101,$A1080&lt;=99991231),INT($A1080/10000),""),IFERROR(VALUE(TRIM(LEFT($A1080,FIND("/",$A1080)-1))),"")))</f>
        <v/>
      </c>
      <c r="C1080">
        <f>IF(OR($A1080="",$B1080=""),"",IF(ISNUMBER($A1080),INT(MOD($A1080,10000)/100),IFERROR(VALUE(TRIM(LEFT(MID($A1080,FIND("/",$A1080)+1,20),FIND("/",MID($A1080,FIND("/",$A1080)+1,20))-1))),"")))</f>
        <v/>
      </c>
      <c r="D1080">
        <f>IF(OR($A1080="",$B1080=""),"",IF(ISNUMBER($A1080),MOD($A1080,100),IFERROR(VALUE(TRIM(MID(MID($A1080,FIND("/",$A1080)+1,20),FIND("/",MID($A1080,FIND("/",$A1080)+1,20))+1,20))),"")))</f>
        <v/>
      </c>
      <c r="E1080">
        <f>IF($A1080="","",IF(OR($B1080="",$C1080="",$D1080="",$B1080&lt;1300,$B1080&gt;1500,$C1080&lt;1,$C1080&gt;12,$D1080&lt;1,$D1080&gt;31),"نامعتبر",RIGHT("0000"&amp;$B1080,4)&amp;"/"&amp;RIGHT("00"&amp;$C1080,2)&amp;"/"&amp;RIGHT("00"&amp;$D1080,2)))</f>
        <v/>
      </c>
      <c r="F1080">
        <f>IF(OR($E1080="",$E1080="نامعتبر"),"",IF(Sync!$Q1077="","0000",IF(AND(ISNUMBER(Sync!$Q1077),Sync!$Q1077&gt;=0,Sync!$Q1077&lt;1),RIGHT("00"&amp;HOUR(Sync!$Q1077),2)&amp;RIGHT("00"&amp;MINUTE(Sync!$Q1077),2),IFERROR(RIGHT("00"&amp;VALUE(LEFT(Sync!$Q1077,FIND(":",Sync!$Q1077)-1)),2)&amp;RIGHT("00"&amp;VALUE(MID(Sync!$Q1077,FIND(":",Sync!$Q1077)+1,2)),2),"0000"))))</f>
        <v/>
      </c>
      <c r="G1080">
        <f>IF(OR($E1080="",$E1080="نامعتبر"),"",IF(Sync!$S1077="","",Sync!$S1077))</f>
        <v/>
      </c>
      <c r="H1080">
        <f>IF(OR($E1080="",$E1080="نامعتبر"),"",IF(Sync!$R1077="","",Sync!$R1077))</f>
        <v/>
      </c>
      <c r="I1080">
        <f>IF(OR($E1080="",$E1080="نامعتبر"),"",IF(Sync!$T1077="","",Sync!$T1077))</f>
        <v/>
      </c>
      <c r="J1080">
        <f>IF(OR($E1080="",$E1080="نامعتبر"),"",IF(Sync!$U1077="","",Sync!$U1077))</f>
        <v/>
      </c>
      <c r="K1080">
        <f>IF(OR($E1080="",$E1080="نامعتبر"),"",IF(Sync!$V1077="","",IFERROR(INDEX(SubCodes,MATCH(Sync!$V1077,SubTitles,0)),Sync!$V1077)))</f>
        <v/>
      </c>
      <c r="L1080">
        <f>IF(OR($E1080="",$E1080="نامعتبر"),"",IF(Sync!$W1077="",0,Sync!$W1077))</f>
        <v/>
      </c>
      <c r="M1080">
        <f>IF(OR($E1080="",$E1080="نامعتبر"),"",IF(Sync!$X1077="",0,Sync!$X1077))</f>
        <v/>
      </c>
      <c r="N1080">
        <f>IF(OR($E1080="",$E1080="نامعتبر"),"",IF(AND($J1080="هزینه",$K1080&lt;&gt;""),1,0))</f>
        <v/>
      </c>
      <c r="O1080">
        <f>IF($N1080=0,"",LEFT($E1080,4)&amp;MID($E1080,6,2)&amp;RIGHT($E1080,2)&amp;$F1080&amp;"|"&amp;"1"&amp;RIGHT("00000"&amp;1072,5))</f>
        <v/>
      </c>
      <c r="P1080">
        <f>IF($O1080="","",COUNTIFS(ExpSub,$K1080,ExpKey,"&lt;"&amp;$O1080)+1)</f>
        <v/>
      </c>
      <c r="Q1080">
        <f>IF($P1080="","",$K1080&amp;"|"&amp;RIGHT("000000"&amp;$P1080,6))</f>
        <v/>
      </c>
    </row>
    <row r="1081">
      <c r="A1081">
        <f>IF(Sync!$P1078="","",Sync!$P1078)</f>
        <v/>
      </c>
      <c r="B1081">
        <f>IF($A1081="","",IF(ISNUMBER($A1081),IF(AND($A1081&gt;=10000101,$A1081&lt;=99991231),INT($A1081/10000),""),IFERROR(VALUE(TRIM(LEFT($A1081,FIND("/",$A1081)-1))),"")))</f>
        <v/>
      </c>
      <c r="C1081">
        <f>IF(OR($A1081="",$B1081=""),"",IF(ISNUMBER($A1081),INT(MOD($A1081,10000)/100),IFERROR(VALUE(TRIM(LEFT(MID($A1081,FIND("/",$A1081)+1,20),FIND("/",MID($A1081,FIND("/",$A1081)+1,20))-1))),"")))</f>
        <v/>
      </c>
      <c r="D1081">
        <f>IF(OR($A1081="",$B1081=""),"",IF(ISNUMBER($A1081),MOD($A1081,100),IFERROR(VALUE(TRIM(MID(MID($A1081,FIND("/",$A1081)+1,20),FIND("/",MID($A1081,FIND("/",$A1081)+1,20))+1,20))),"")))</f>
        <v/>
      </c>
      <c r="E1081">
        <f>IF($A1081="","",IF(OR($B1081="",$C1081="",$D1081="",$B1081&lt;1300,$B1081&gt;1500,$C1081&lt;1,$C1081&gt;12,$D1081&lt;1,$D1081&gt;31),"نامعتبر",RIGHT("0000"&amp;$B1081,4)&amp;"/"&amp;RIGHT("00"&amp;$C1081,2)&amp;"/"&amp;RIGHT("00"&amp;$D1081,2)))</f>
        <v/>
      </c>
      <c r="F1081">
        <f>IF(OR($E1081="",$E1081="نامعتبر"),"",IF(Sync!$Q1078="","0000",IF(AND(ISNUMBER(Sync!$Q1078),Sync!$Q1078&gt;=0,Sync!$Q1078&lt;1),RIGHT("00"&amp;HOUR(Sync!$Q1078),2)&amp;RIGHT("00"&amp;MINUTE(Sync!$Q1078),2),IFERROR(RIGHT("00"&amp;VALUE(LEFT(Sync!$Q1078,FIND(":",Sync!$Q1078)-1)),2)&amp;RIGHT("00"&amp;VALUE(MID(Sync!$Q1078,FIND(":",Sync!$Q1078)+1,2)),2),"0000"))))</f>
        <v/>
      </c>
      <c r="G1081">
        <f>IF(OR($E1081="",$E1081="نامعتبر"),"",IF(Sync!$S1078="","",Sync!$S1078))</f>
        <v/>
      </c>
      <c r="H1081">
        <f>IF(OR($E1081="",$E1081="نامعتبر"),"",IF(Sync!$R1078="","",Sync!$R1078))</f>
        <v/>
      </c>
      <c r="I1081">
        <f>IF(OR($E1081="",$E1081="نامعتبر"),"",IF(Sync!$T1078="","",Sync!$T1078))</f>
        <v/>
      </c>
      <c r="J1081">
        <f>IF(OR($E1081="",$E1081="نامعتبر"),"",IF(Sync!$U1078="","",Sync!$U1078))</f>
        <v/>
      </c>
      <c r="K1081">
        <f>IF(OR($E1081="",$E1081="نامعتبر"),"",IF(Sync!$V1078="","",IFERROR(INDEX(SubCodes,MATCH(Sync!$V1078,SubTitles,0)),Sync!$V1078)))</f>
        <v/>
      </c>
      <c r="L1081">
        <f>IF(OR($E1081="",$E1081="نامعتبر"),"",IF(Sync!$W1078="",0,Sync!$W1078))</f>
        <v/>
      </c>
      <c r="M1081">
        <f>IF(OR($E1081="",$E1081="نامعتبر"),"",IF(Sync!$X1078="",0,Sync!$X1078))</f>
        <v/>
      </c>
      <c r="N1081">
        <f>IF(OR($E1081="",$E1081="نامعتبر"),"",IF(AND($J1081="هزینه",$K1081&lt;&gt;""),1,0))</f>
        <v/>
      </c>
      <c r="O1081">
        <f>IF($N1081=0,"",LEFT($E1081,4)&amp;MID($E1081,6,2)&amp;RIGHT($E1081,2)&amp;$F1081&amp;"|"&amp;"1"&amp;RIGHT("00000"&amp;1073,5))</f>
        <v/>
      </c>
      <c r="P1081">
        <f>IF($O1081="","",COUNTIFS(ExpSub,$K1081,ExpKey,"&lt;"&amp;$O1081)+1)</f>
        <v/>
      </c>
      <c r="Q1081">
        <f>IF($P1081="","",$K1081&amp;"|"&amp;RIGHT("000000"&amp;$P1081,6))</f>
        <v/>
      </c>
    </row>
    <row r="1082">
      <c r="A1082">
        <f>IF(Sync!$P1079="","",Sync!$P1079)</f>
        <v/>
      </c>
      <c r="B1082">
        <f>IF($A1082="","",IF(ISNUMBER($A1082),IF(AND($A1082&gt;=10000101,$A1082&lt;=99991231),INT($A1082/10000),""),IFERROR(VALUE(TRIM(LEFT($A1082,FIND("/",$A1082)-1))),"")))</f>
        <v/>
      </c>
      <c r="C1082">
        <f>IF(OR($A1082="",$B1082=""),"",IF(ISNUMBER($A1082),INT(MOD($A1082,10000)/100),IFERROR(VALUE(TRIM(LEFT(MID($A1082,FIND("/",$A1082)+1,20),FIND("/",MID($A1082,FIND("/",$A1082)+1,20))-1))),"")))</f>
        <v/>
      </c>
      <c r="D1082">
        <f>IF(OR($A1082="",$B1082=""),"",IF(ISNUMBER($A1082),MOD($A1082,100),IFERROR(VALUE(TRIM(MID(MID($A1082,FIND("/",$A1082)+1,20),FIND("/",MID($A1082,FIND("/",$A1082)+1,20))+1,20))),"")))</f>
        <v/>
      </c>
      <c r="E1082">
        <f>IF($A1082="","",IF(OR($B1082="",$C1082="",$D1082="",$B1082&lt;1300,$B1082&gt;1500,$C1082&lt;1,$C1082&gt;12,$D1082&lt;1,$D1082&gt;31),"نامعتبر",RIGHT("0000"&amp;$B1082,4)&amp;"/"&amp;RIGHT("00"&amp;$C1082,2)&amp;"/"&amp;RIGHT("00"&amp;$D1082,2)))</f>
        <v/>
      </c>
      <c r="F1082">
        <f>IF(OR($E1082="",$E1082="نامعتبر"),"",IF(Sync!$Q1079="","0000",IF(AND(ISNUMBER(Sync!$Q1079),Sync!$Q1079&gt;=0,Sync!$Q1079&lt;1),RIGHT("00"&amp;HOUR(Sync!$Q1079),2)&amp;RIGHT("00"&amp;MINUTE(Sync!$Q1079),2),IFERROR(RIGHT("00"&amp;VALUE(LEFT(Sync!$Q1079,FIND(":",Sync!$Q1079)-1)),2)&amp;RIGHT("00"&amp;VALUE(MID(Sync!$Q1079,FIND(":",Sync!$Q1079)+1,2)),2),"0000"))))</f>
        <v/>
      </c>
      <c r="G1082">
        <f>IF(OR($E1082="",$E1082="نامعتبر"),"",IF(Sync!$S1079="","",Sync!$S1079))</f>
        <v/>
      </c>
      <c r="H1082">
        <f>IF(OR($E1082="",$E1082="نامعتبر"),"",IF(Sync!$R1079="","",Sync!$R1079))</f>
        <v/>
      </c>
      <c r="I1082">
        <f>IF(OR($E1082="",$E1082="نامعتبر"),"",IF(Sync!$T1079="","",Sync!$T1079))</f>
        <v/>
      </c>
      <c r="J1082">
        <f>IF(OR($E1082="",$E1082="نامعتبر"),"",IF(Sync!$U1079="","",Sync!$U1079))</f>
        <v/>
      </c>
      <c r="K1082">
        <f>IF(OR($E1082="",$E1082="نامعتبر"),"",IF(Sync!$V1079="","",IFERROR(INDEX(SubCodes,MATCH(Sync!$V1079,SubTitles,0)),Sync!$V1079)))</f>
        <v/>
      </c>
      <c r="L1082">
        <f>IF(OR($E1082="",$E1082="نامعتبر"),"",IF(Sync!$W1079="",0,Sync!$W1079))</f>
        <v/>
      </c>
      <c r="M1082">
        <f>IF(OR($E1082="",$E1082="نامعتبر"),"",IF(Sync!$X1079="",0,Sync!$X1079))</f>
        <v/>
      </c>
      <c r="N1082">
        <f>IF(OR($E1082="",$E1082="نامعتبر"),"",IF(AND($J1082="هزینه",$K1082&lt;&gt;""),1,0))</f>
        <v/>
      </c>
      <c r="O1082">
        <f>IF($N1082=0,"",LEFT($E1082,4)&amp;MID($E1082,6,2)&amp;RIGHT($E1082,2)&amp;$F1082&amp;"|"&amp;"1"&amp;RIGHT("00000"&amp;1074,5))</f>
        <v/>
      </c>
      <c r="P1082">
        <f>IF($O1082="","",COUNTIFS(ExpSub,$K1082,ExpKey,"&lt;"&amp;$O1082)+1)</f>
        <v/>
      </c>
      <c r="Q1082">
        <f>IF($P1082="","",$K1082&amp;"|"&amp;RIGHT("000000"&amp;$P1082,6))</f>
        <v/>
      </c>
    </row>
    <row r="1083">
      <c r="A1083">
        <f>IF(Sync!$P1080="","",Sync!$P1080)</f>
        <v/>
      </c>
      <c r="B1083">
        <f>IF($A1083="","",IF(ISNUMBER($A1083),IF(AND($A1083&gt;=10000101,$A1083&lt;=99991231),INT($A1083/10000),""),IFERROR(VALUE(TRIM(LEFT($A1083,FIND("/",$A1083)-1))),"")))</f>
        <v/>
      </c>
      <c r="C1083">
        <f>IF(OR($A1083="",$B1083=""),"",IF(ISNUMBER($A1083),INT(MOD($A1083,10000)/100),IFERROR(VALUE(TRIM(LEFT(MID($A1083,FIND("/",$A1083)+1,20),FIND("/",MID($A1083,FIND("/",$A1083)+1,20))-1))),"")))</f>
        <v/>
      </c>
      <c r="D1083">
        <f>IF(OR($A1083="",$B1083=""),"",IF(ISNUMBER($A1083),MOD($A1083,100),IFERROR(VALUE(TRIM(MID(MID($A1083,FIND("/",$A1083)+1,20),FIND("/",MID($A1083,FIND("/",$A1083)+1,20))+1,20))),"")))</f>
        <v/>
      </c>
      <c r="E1083">
        <f>IF($A1083="","",IF(OR($B1083="",$C1083="",$D1083="",$B1083&lt;1300,$B1083&gt;1500,$C1083&lt;1,$C1083&gt;12,$D1083&lt;1,$D1083&gt;31),"نامعتبر",RIGHT("0000"&amp;$B1083,4)&amp;"/"&amp;RIGHT("00"&amp;$C1083,2)&amp;"/"&amp;RIGHT("00"&amp;$D1083,2)))</f>
        <v/>
      </c>
      <c r="F1083">
        <f>IF(OR($E1083="",$E1083="نامعتبر"),"",IF(Sync!$Q1080="","0000",IF(AND(ISNUMBER(Sync!$Q1080),Sync!$Q1080&gt;=0,Sync!$Q1080&lt;1),RIGHT("00"&amp;HOUR(Sync!$Q1080),2)&amp;RIGHT("00"&amp;MINUTE(Sync!$Q1080),2),IFERROR(RIGHT("00"&amp;VALUE(LEFT(Sync!$Q1080,FIND(":",Sync!$Q1080)-1)),2)&amp;RIGHT("00"&amp;VALUE(MID(Sync!$Q1080,FIND(":",Sync!$Q1080)+1,2)),2),"0000"))))</f>
        <v/>
      </c>
      <c r="G1083">
        <f>IF(OR($E1083="",$E1083="نامعتبر"),"",IF(Sync!$S1080="","",Sync!$S1080))</f>
        <v/>
      </c>
      <c r="H1083">
        <f>IF(OR($E1083="",$E1083="نامعتبر"),"",IF(Sync!$R1080="","",Sync!$R1080))</f>
        <v/>
      </c>
      <c r="I1083">
        <f>IF(OR($E1083="",$E1083="نامعتبر"),"",IF(Sync!$T1080="","",Sync!$T1080))</f>
        <v/>
      </c>
      <c r="J1083">
        <f>IF(OR($E1083="",$E1083="نامعتبر"),"",IF(Sync!$U1080="","",Sync!$U1080))</f>
        <v/>
      </c>
      <c r="K1083">
        <f>IF(OR($E1083="",$E1083="نامعتبر"),"",IF(Sync!$V1080="","",IFERROR(INDEX(SubCodes,MATCH(Sync!$V1080,SubTitles,0)),Sync!$V1080)))</f>
        <v/>
      </c>
      <c r="L1083">
        <f>IF(OR($E1083="",$E1083="نامعتبر"),"",IF(Sync!$W1080="",0,Sync!$W1080))</f>
        <v/>
      </c>
      <c r="M1083">
        <f>IF(OR($E1083="",$E1083="نامعتبر"),"",IF(Sync!$X1080="",0,Sync!$X1080))</f>
        <v/>
      </c>
      <c r="N1083">
        <f>IF(OR($E1083="",$E1083="نامعتبر"),"",IF(AND($J1083="هزینه",$K1083&lt;&gt;""),1,0))</f>
        <v/>
      </c>
      <c r="O1083">
        <f>IF($N1083=0,"",LEFT($E1083,4)&amp;MID($E1083,6,2)&amp;RIGHT($E1083,2)&amp;$F1083&amp;"|"&amp;"1"&amp;RIGHT("00000"&amp;1075,5))</f>
        <v/>
      </c>
      <c r="P1083">
        <f>IF($O1083="","",COUNTIFS(ExpSub,$K1083,ExpKey,"&lt;"&amp;$O1083)+1)</f>
        <v/>
      </c>
      <c r="Q1083">
        <f>IF($P1083="","",$K1083&amp;"|"&amp;RIGHT("000000"&amp;$P1083,6))</f>
        <v/>
      </c>
    </row>
    <row r="1084">
      <c r="A1084">
        <f>IF(Sync!$P1081="","",Sync!$P1081)</f>
        <v/>
      </c>
      <c r="B1084">
        <f>IF($A1084="","",IF(ISNUMBER($A1084),IF(AND($A1084&gt;=10000101,$A1084&lt;=99991231),INT($A1084/10000),""),IFERROR(VALUE(TRIM(LEFT($A1084,FIND("/",$A1084)-1))),"")))</f>
        <v/>
      </c>
      <c r="C1084">
        <f>IF(OR($A1084="",$B1084=""),"",IF(ISNUMBER($A1084),INT(MOD($A1084,10000)/100),IFERROR(VALUE(TRIM(LEFT(MID($A1084,FIND("/",$A1084)+1,20),FIND("/",MID($A1084,FIND("/",$A1084)+1,20))-1))),"")))</f>
        <v/>
      </c>
      <c r="D1084">
        <f>IF(OR($A1084="",$B1084=""),"",IF(ISNUMBER($A1084),MOD($A1084,100),IFERROR(VALUE(TRIM(MID(MID($A1084,FIND("/",$A1084)+1,20),FIND("/",MID($A1084,FIND("/",$A1084)+1,20))+1,20))),"")))</f>
        <v/>
      </c>
      <c r="E1084">
        <f>IF($A1084="","",IF(OR($B1084="",$C1084="",$D1084="",$B1084&lt;1300,$B1084&gt;1500,$C1084&lt;1,$C1084&gt;12,$D1084&lt;1,$D1084&gt;31),"نامعتبر",RIGHT("0000"&amp;$B1084,4)&amp;"/"&amp;RIGHT("00"&amp;$C1084,2)&amp;"/"&amp;RIGHT("00"&amp;$D1084,2)))</f>
        <v/>
      </c>
      <c r="F1084">
        <f>IF(OR($E1084="",$E1084="نامعتبر"),"",IF(Sync!$Q1081="","0000",IF(AND(ISNUMBER(Sync!$Q1081),Sync!$Q1081&gt;=0,Sync!$Q1081&lt;1),RIGHT("00"&amp;HOUR(Sync!$Q1081),2)&amp;RIGHT("00"&amp;MINUTE(Sync!$Q1081),2),IFERROR(RIGHT("00"&amp;VALUE(LEFT(Sync!$Q1081,FIND(":",Sync!$Q1081)-1)),2)&amp;RIGHT("00"&amp;VALUE(MID(Sync!$Q1081,FIND(":",Sync!$Q1081)+1,2)),2),"0000"))))</f>
        <v/>
      </c>
      <c r="G1084">
        <f>IF(OR($E1084="",$E1084="نامعتبر"),"",IF(Sync!$S1081="","",Sync!$S1081))</f>
        <v/>
      </c>
      <c r="H1084">
        <f>IF(OR($E1084="",$E1084="نامعتبر"),"",IF(Sync!$R1081="","",Sync!$R1081))</f>
        <v/>
      </c>
      <c r="I1084">
        <f>IF(OR($E1084="",$E1084="نامعتبر"),"",IF(Sync!$T1081="","",Sync!$T1081))</f>
        <v/>
      </c>
      <c r="J1084">
        <f>IF(OR($E1084="",$E1084="نامعتبر"),"",IF(Sync!$U1081="","",Sync!$U1081))</f>
        <v/>
      </c>
      <c r="K1084">
        <f>IF(OR($E1084="",$E1084="نامعتبر"),"",IF(Sync!$V1081="","",IFERROR(INDEX(SubCodes,MATCH(Sync!$V1081,SubTitles,0)),Sync!$V1081)))</f>
        <v/>
      </c>
      <c r="L1084">
        <f>IF(OR($E1084="",$E1084="نامعتبر"),"",IF(Sync!$W1081="",0,Sync!$W1081))</f>
        <v/>
      </c>
      <c r="M1084">
        <f>IF(OR($E1084="",$E1084="نامعتبر"),"",IF(Sync!$X1081="",0,Sync!$X1081))</f>
        <v/>
      </c>
      <c r="N1084">
        <f>IF(OR($E1084="",$E1084="نامعتبر"),"",IF(AND($J1084="هزینه",$K1084&lt;&gt;""),1,0))</f>
        <v/>
      </c>
      <c r="O1084">
        <f>IF($N1084=0,"",LEFT($E1084,4)&amp;MID($E1084,6,2)&amp;RIGHT($E1084,2)&amp;$F1084&amp;"|"&amp;"1"&amp;RIGHT("00000"&amp;1076,5))</f>
        <v/>
      </c>
      <c r="P1084">
        <f>IF($O1084="","",COUNTIFS(ExpSub,$K1084,ExpKey,"&lt;"&amp;$O1084)+1)</f>
        <v/>
      </c>
      <c r="Q1084">
        <f>IF($P1084="","",$K1084&amp;"|"&amp;RIGHT("000000"&amp;$P1084,6))</f>
        <v/>
      </c>
    </row>
    <row r="1085">
      <c r="A1085">
        <f>IF(Sync!$P1082="","",Sync!$P1082)</f>
        <v/>
      </c>
      <c r="B1085">
        <f>IF($A1085="","",IF(ISNUMBER($A1085),IF(AND($A1085&gt;=10000101,$A1085&lt;=99991231),INT($A1085/10000),""),IFERROR(VALUE(TRIM(LEFT($A1085,FIND("/",$A1085)-1))),"")))</f>
        <v/>
      </c>
      <c r="C1085">
        <f>IF(OR($A1085="",$B1085=""),"",IF(ISNUMBER($A1085),INT(MOD($A1085,10000)/100),IFERROR(VALUE(TRIM(LEFT(MID($A1085,FIND("/",$A1085)+1,20),FIND("/",MID($A1085,FIND("/",$A1085)+1,20))-1))),"")))</f>
        <v/>
      </c>
      <c r="D1085">
        <f>IF(OR($A1085="",$B1085=""),"",IF(ISNUMBER($A1085),MOD($A1085,100),IFERROR(VALUE(TRIM(MID(MID($A1085,FIND("/",$A1085)+1,20),FIND("/",MID($A1085,FIND("/",$A1085)+1,20))+1,20))),"")))</f>
        <v/>
      </c>
      <c r="E1085">
        <f>IF($A1085="","",IF(OR($B1085="",$C1085="",$D1085="",$B1085&lt;1300,$B1085&gt;1500,$C1085&lt;1,$C1085&gt;12,$D1085&lt;1,$D1085&gt;31),"نامعتبر",RIGHT("0000"&amp;$B1085,4)&amp;"/"&amp;RIGHT("00"&amp;$C1085,2)&amp;"/"&amp;RIGHT("00"&amp;$D1085,2)))</f>
        <v/>
      </c>
      <c r="F1085">
        <f>IF(OR($E1085="",$E1085="نامعتبر"),"",IF(Sync!$Q1082="","0000",IF(AND(ISNUMBER(Sync!$Q1082),Sync!$Q1082&gt;=0,Sync!$Q1082&lt;1),RIGHT("00"&amp;HOUR(Sync!$Q1082),2)&amp;RIGHT("00"&amp;MINUTE(Sync!$Q1082),2),IFERROR(RIGHT("00"&amp;VALUE(LEFT(Sync!$Q1082,FIND(":",Sync!$Q1082)-1)),2)&amp;RIGHT("00"&amp;VALUE(MID(Sync!$Q1082,FIND(":",Sync!$Q1082)+1,2)),2),"0000"))))</f>
        <v/>
      </c>
      <c r="G1085">
        <f>IF(OR($E1085="",$E1085="نامعتبر"),"",IF(Sync!$S1082="","",Sync!$S1082))</f>
        <v/>
      </c>
      <c r="H1085">
        <f>IF(OR($E1085="",$E1085="نامعتبر"),"",IF(Sync!$R1082="","",Sync!$R1082))</f>
        <v/>
      </c>
      <c r="I1085">
        <f>IF(OR($E1085="",$E1085="نامعتبر"),"",IF(Sync!$T1082="","",Sync!$T1082))</f>
        <v/>
      </c>
      <c r="J1085">
        <f>IF(OR($E1085="",$E1085="نامعتبر"),"",IF(Sync!$U1082="","",Sync!$U1082))</f>
        <v/>
      </c>
      <c r="K1085">
        <f>IF(OR($E1085="",$E1085="نامعتبر"),"",IF(Sync!$V1082="","",IFERROR(INDEX(SubCodes,MATCH(Sync!$V1082,SubTitles,0)),Sync!$V1082)))</f>
        <v/>
      </c>
      <c r="L1085">
        <f>IF(OR($E1085="",$E1085="نامعتبر"),"",IF(Sync!$W1082="",0,Sync!$W1082))</f>
        <v/>
      </c>
      <c r="M1085">
        <f>IF(OR($E1085="",$E1085="نامعتبر"),"",IF(Sync!$X1082="",0,Sync!$X1082))</f>
        <v/>
      </c>
      <c r="N1085">
        <f>IF(OR($E1085="",$E1085="نامعتبر"),"",IF(AND($J1085="هزینه",$K1085&lt;&gt;""),1,0))</f>
        <v/>
      </c>
      <c r="O1085">
        <f>IF($N1085=0,"",LEFT($E1085,4)&amp;MID($E1085,6,2)&amp;RIGHT($E1085,2)&amp;$F1085&amp;"|"&amp;"1"&amp;RIGHT("00000"&amp;1077,5))</f>
        <v/>
      </c>
      <c r="P1085">
        <f>IF($O1085="","",COUNTIFS(ExpSub,$K1085,ExpKey,"&lt;"&amp;$O1085)+1)</f>
        <v/>
      </c>
      <c r="Q1085">
        <f>IF($P1085="","",$K1085&amp;"|"&amp;RIGHT("000000"&amp;$P1085,6))</f>
        <v/>
      </c>
    </row>
    <row r="1086">
      <c r="A1086">
        <f>IF(Sync!$P1083="","",Sync!$P1083)</f>
        <v/>
      </c>
      <c r="B1086">
        <f>IF($A1086="","",IF(ISNUMBER($A1086),IF(AND($A1086&gt;=10000101,$A1086&lt;=99991231),INT($A1086/10000),""),IFERROR(VALUE(TRIM(LEFT($A1086,FIND("/",$A1086)-1))),"")))</f>
        <v/>
      </c>
      <c r="C1086">
        <f>IF(OR($A1086="",$B1086=""),"",IF(ISNUMBER($A1086),INT(MOD($A1086,10000)/100),IFERROR(VALUE(TRIM(LEFT(MID($A1086,FIND("/",$A1086)+1,20),FIND("/",MID($A1086,FIND("/",$A1086)+1,20))-1))),"")))</f>
        <v/>
      </c>
      <c r="D1086">
        <f>IF(OR($A1086="",$B1086=""),"",IF(ISNUMBER($A1086),MOD($A1086,100),IFERROR(VALUE(TRIM(MID(MID($A1086,FIND("/",$A1086)+1,20),FIND("/",MID($A1086,FIND("/",$A1086)+1,20))+1,20))),"")))</f>
        <v/>
      </c>
      <c r="E1086">
        <f>IF($A1086="","",IF(OR($B1086="",$C1086="",$D1086="",$B1086&lt;1300,$B1086&gt;1500,$C1086&lt;1,$C1086&gt;12,$D1086&lt;1,$D1086&gt;31),"نامعتبر",RIGHT("0000"&amp;$B1086,4)&amp;"/"&amp;RIGHT("00"&amp;$C1086,2)&amp;"/"&amp;RIGHT("00"&amp;$D1086,2)))</f>
        <v/>
      </c>
      <c r="F1086">
        <f>IF(OR($E1086="",$E1086="نامعتبر"),"",IF(Sync!$Q1083="","0000",IF(AND(ISNUMBER(Sync!$Q1083),Sync!$Q1083&gt;=0,Sync!$Q1083&lt;1),RIGHT("00"&amp;HOUR(Sync!$Q1083),2)&amp;RIGHT("00"&amp;MINUTE(Sync!$Q1083),2),IFERROR(RIGHT("00"&amp;VALUE(LEFT(Sync!$Q1083,FIND(":",Sync!$Q1083)-1)),2)&amp;RIGHT("00"&amp;VALUE(MID(Sync!$Q1083,FIND(":",Sync!$Q1083)+1,2)),2),"0000"))))</f>
        <v/>
      </c>
      <c r="G1086">
        <f>IF(OR($E1086="",$E1086="نامعتبر"),"",IF(Sync!$S1083="","",Sync!$S1083))</f>
        <v/>
      </c>
      <c r="H1086">
        <f>IF(OR($E1086="",$E1086="نامعتبر"),"",IF(Sync!$R1083="","",Sync!$R1083))</f>
        <v/>
      </c>
      <c r="I1086">
        <f>IF(OR($E1086="",$E1086="نامعتبر"),"",IF(Sync!$T1083="","",Sync!$T1083))</f>
        <v/>
      </c>
      <c r="J1086">
        <f>IF(OR($E1086="",$E1086="نامعتبر"),"",IF(Sync!$U1083="","",Sync!$U1083))</f>
        <v/>
      </c>
      <c r="K1086">
        <f>IF(OR($E1086="",$E1086="نامعتبر"),"",IF(Sync!$V1083="","",IFERROR(INDEX(SubCodes,MATCH(Sync!$V1083,SubTitles,0)),Sync!$V1083)))</f>
        <v/>
      </c>
      <c r="L1086">
        <f>IF(OR($E1086="",$E1086="نامعتبر"),"",IF(Sync!$W1083="",0,Sync!$W1083))</f>
        <v/>
      </c>
      <c r="M1086">
        <f>IF(OR($E1086="",$E1086="نامعتبر"),"",IF(Sync!$X1083="",0,Sync!$X1083))</f>
        <v/>
      </c>
      <c r="N1086">
        <f>IF(OR($E1086="",$E1086="نامعتبر"),"",IF(AND($J1086="هزینه",$K1086&lt;&gt;""),1,0))</f>
        <v/>
      </c>
      <c r="O1086">
        <f>IF($N1086=0,"",LEFT($E1086,4)&amp;MID($E1086,6,2)&amp;RIGHT($E1086,2)&amp;$F1086&amp;"|"&amp;"1"&amp;RIGHT("00000"&amp;1078,5))</f>
        <v/>
      </c>
      <c r="P1086">
        <f>IF($O1086="","",COUNTIFS(ExpSub,$K1086,ExpKey,"&lt;"&amp;$O1086)+1)</f>
        <v/>
      </c>
      <c r="Q1086">
        <f>IF($P1086="","",$K1086&amp;"|"&amp;RIGHT("000000"&amp;$P1086,6))</f>
        <v/>
      </c>
    </row>
    <row r="1087">
      <c r="A1087">
        <f>IF(Sync!$P1084="","",Sync!$P1084)</f>
        <v/>
      </c>
      <c r="B1087">
        <f>IF($A1087="","",IF(ISNUMBER($A1087),IF(AND($A1087&gt;=10000101,$A1087&lt;=99991231),INT($A1087/10000),""),IFERROR(VALUE(TRIM(LEFT($A1087,FIND("/",$A1087)-1))),"")))</f>
        <v/>
      </c>
      <c r="C1087">
        <f>IF(OR($A1087="",$B1087=""),"",IF(ISNUMBER($A1087),INT(MOD($A1087,10000)/100),IFERROR(VALUE(TRIM(LEFT(MID($A1087,FIND("/",$A1087)+1,20),FIND("/",MID($A1087,FIND("/",$A1087)+1,20))-1))),"")))</f>
        <v/>
      </c>
      <c r="D1087">
        <f>IF(OR($A1087="",$B1087=""),"",IF(ISNUMBER($A1087),MOD($A1087,100),IFERROR(VALUE(TRIM(MID(MID($A1087,FIND("/",$A1087)+1,20),FIND("/",MID($A1087,FIND("/",$A1087)+1,20))+1,20))),"")))</f>
        <v/>
      </c>
      <c r="E1087">
        <f>IF($A1087="","",IF(OR($B1087="",$C1087="",$D1087="",$B1087&lt;1300,$B1087&gt;1500,$C1087&lt;1,$C1087&gt;12,$D1087&lt;1,$D1087&gt;31),"نامعتبر",RIGHT("0000"&amp;$B1087,4)&amp;"/"&amp;RIGHT("00"&amp;$C1087,2)&amp;"/"&amp;RIGHT("00"&amp;$D1087,2)))</f>
        <v/>
      </c>
      <c r="F1087">
        <f>IF(OR($E1087="",$E1087="نامعتبر"),"",IF(Sync!$Q1084="","0000",IF(AND(ISNUMBER(Sync!$Q1084),Sync!$Q1084&gt;=0,Sync!$Q1084&lt;1),RIGHT("00"&amp;HOUR(Sync!$Q1084),2)&amp;RIGHT("00"&amp;MINUTE(Sync!$Q1084),2),IFERROR(RIGHT("00"&amp;VALUE(LEFT(Sync!$Q1084,FIND(":",Sync!$Q1084)-1)),2)&amp;RIGHT("00"&amp;VALUE(MID(Sync!$Q1084,FIND(":",Sync!$Q1084)+1,2)),2),"0000"))))</f>
        <v/>
      </c>
      <c r="G1087">
        <f>IF(OR($E1087="",$E1087="نامعتبر"),"",IF(Sync!$S1084="","",Sync!$S1084))</f>
        <v/>
      </c>
      <c r="H1087">
        <f>IF(OR($E1087="",$E1087="نامعتبر"),"",IF(Sync!$R1084="","",Sync!$R1084))</f>
        <v/>
      </c>
      <c r="I1087">
        <f>IF(OR($E1087="",$E1087="نامعتبر"),"",IF(Sync!$T1084="","",Sync!$T1084))</f>
        <v/>
      </c>
      <c r="J1087">
        <f>IF(OR($E1087="",$E1087="نامعتبر"),"",IF(Sync!$U1084="","",Sync!$U1084))</f>
        <v/>
      </c>
      <c r="K1087">
        <f>IF(OR($E1087="",$E1087="نامعتبر"),"",IF(Sync!$V1084="","",IFERROR(INDEX(SubCodes,MATCH(Sync!$V1084,SubTitles,0)),Sync!$V1084)))</f>
        <v/>
      </c>
      <c r="L1087">
        <f>IF(OR($E1087="",$E1087="نامعتبر"),"",IF(Sync!$W1084="",0,Sync!$W1084))</f>
        <v/>
      </c>
      <c r="M1087">
        <f>IF(OR($E1087="",$E1087="نامعتبر"),"",IF(Sync!$X1084="",0,Sync!$X1084))</f>
        <v/>
      </c>
      <c r="N1087">
        <f>IF(OR($E1087="",$E1087="نامعتبر"),"",IF(AND($J1087="هزینه",$K1087&lt;&gt;""),1,0))</f>
        <v/>
      </c>
      <c r="O1087">
        <f>IF($N1087=0,"",LEFT($E1087,4)&amp;MID($E1087,6,2)&amp;RIGHT($E1087,2)&amp;$F1087&amp;"|"&amp;"1"&amp;RIGHT("00000"&amp;1079,5))</f>
        <v/>
      </c>
      <c r="P1087">
        <f>IF($O1087="","",COUNTIFS(ExpSub,$K1087,ExpKey,"&lt;"&amp;$O1087)+1)</f>
        <v/>
      </c>
      <c r="Q1087">
        <f>IF($P1087="","",$K1087&amp;"|"&amp;RIGHT("000000"&amp;$P1087,6))</f>
        <v/>
      </c>
    </row>
    <row r="1088">
      <c r="A1088">
        <f>IF(Sync!$P1085="","",Sync!$P1085)</f>
        <v/>
      </c>
      <c r="B1088">
        <f>IF($A1088="","",IF(ISNUMBER($A1088),IF(AND($A1088&gt;=10000101,$A1088&lt;=99991231),INT($A1088/10000),""),IFERROR(VALUE(TRIM(LEFT($A1088,FIND("/",$A1088)-1))),"")))</f>
        <v/>
      </c>
      <c r="C1088">
        <f>IF(OR($A1088="",$B1088=""),"",IF(ISNUMBER($A1088),INT(MOD($A1088,10000)/100),IFERROR(VALUE(TRIM(LEFT(MID($A1088,FIND("/",$A1088)+1,20),FIND("/",MID($A1088,FIND("/",$A1088)+1,20))-1))),"")))</f>
        <v/>
      </c>
      <c r="D1088">
        <f>IF(OR($A1088="",$B1088=""),"",IF(ISNUMBER($A1088),MOD($A1088,100),IFERROR(VALUE(TRIM(MID(MID($A1088,FIND("/",$A1088)+1,20),FIND("/",MID($A1088,FIND("/",$A1088)+1,20))+1,20))),"")))</f>
        <v/>
      </c>
      <c r="E1088">
        <f>IF($A1088="","",IF(OR($B1088="",$C1088="",$D1088="",$B1088&lt;1300,$B1088&gt;1500,$C1088&lt;1,$C1088&gt;12,$D1088&lt;1,$D1088&gt;31),"نامعتبر",RIGHT("0000"&amp;$B1088,4)&amp;"/"&amp;RIGHT("00"&amp;$C1088,2)&amp;"/"&amp;RIGHT("00"&amp;$D1088,2)))</f>
        <v/>
      </c>
      <c r="F1088">
        <f>IF(OR($E1088="",$E1088="نامعتبر"),"",IF(Sync!$Q1085="","0000",IF(AND(ISNUMBER(Sync!$Q1085),Sync!$Q1085&gt;=0,Sync!$Q1085&lt;1),RIGHT("00"&amp;HOUR(Sync!$Q1085),2)&amp;RIGHT("00"&amp;MINUTE(Sync!$Q1085),2),IFERROR(RIGHT("00"&amp;VALUE(LEFT(Sync!$Q1085,FIND(":",Sync!$Q1085)-1)),2)&amp;RIGHT("00"&amp;VALUE(MID(Sync!$Q1085,FIND(":",Sync!$Q1085)+1,2)),2),"0000"))))</f>
        <v/>
      </c>
      <c r="G1088">
        <f>IF(OR($E1088="",$E1088="نامعتبر"),"",IF(Sync!$S1085="","",Sync!$S1085))</f>
        <v/>
      </c>
      <c r="H1088">
        <f>IF(OR($E1088="",$E1088="نامعتبر"),"",IF(Sync!$R1085="","",Sync!$R1085))</f>
        <v/>
      </c>
      <c r="I1088">
        <f>IF(OR($E1088="",$E1088="نامعتبر"),"",IF(Sync!$T1085="","",Sync!$T1085))</f>
        <v/>
      </c>
      <c r="J1088">
        <f>IF(OR($E1088="",$E1088="نامعتبر"),"",IF(Sync!$U1085="","",Sync!$U1085))</f>
        <v/>
      </c>
      <c r="K1088">
        <f>IF(OR($E1088="",$E1088="نامعتبر"),"",IF(Sync!$V1085="","",IFERROR(INDEX(SubCodes,MATCH(Sync!$V1085,SubTitles,0)),Sync!$V1085)))</f>
        <v/>
      </c>
      <c r="L1088">
        <f>IF(OR($E1088="",$E1088="نامعتبر"),"",IF(Sync!$W1085="",0,Sync!$W1085))</f>
        <v/>
      </c>
      <c r="M1088">
        <f>IF(OR($E1088="",$E1088="نامعتبر"),"",IF(Sync!$X1085="",0,Sync!$X1085))</f>
        <v/>
      </c>
      <c r="N1088">
        <f>IF(OR($E1088="",$E1088="نامعتبر"),"",IF(AND($J1088="هزینه",$K1088&lt;&gt;""),1,0))</f>
        <v/>
      </c>
      <c r="O1088">
        <f>IF($N1088=0,"",LEFT($E1088,4)&amp;MID($E1088,6,2)&amp;RIGHT($E1088,2)&amp;$F1088&amp;"|"&amp;"1"&amp;RIGHT("00000"&amp;1080,5))</f>
        <v/>
      </c>
      <c r="P1088">
        <f>IF($O1088="","",COUNTIFS(ExpSub,$K1088,ExpKey,"&lt;"&amp;$O1088)+1)</f>
        <v/>
      </c>
      <c r="Q1088">
        <f>IF($P1088="","",$K1088&amp;"|"&amp;RIGHT("000000"&amp;$P1088,6))</f>
        <v/>
      </c>
    </row>
    <row r="1089">
      <c r="A1089">
        <f>IF(Sync!$P1086="","",Sync!$P1086)</f>
        <v/>
      </c>
      <c r="B1089">
        <f>IF($A1089="","",IF(ISNUMBER($A1089),IF(AND($A1089&gt;=10000101,$A1089&lt;=99991231),INT($A1089/10000),""),IFERROR(VALUE(TRIM(LEFT($A1089,FIND("/",$A1089)-1))),"")))</f>
        <v/>
      </c>
      <c r="C1089">
        <f>IF(OR($A1089="",$B1089=""),"",IF(ISNUMBER($A1089),INT(MOD($A1089,10000)/100),IFERROR(VALUE(TRIM(LEFT(MID($A1089,FIND("/",$A1089)+1,20),FIND("/",MID($A1089,FIND("/",$A1089)+1,20))-1))),"")))</f>
        <v/>
      </c>
      <c r="D1089">
        <f>IF(OR($A1089="",$B1089=""),"",IF(ISNUMBER($A1089),MOD($A1089,100),IFERROR(VALUE(TRIM(MID(MID($A1089,FIND("/",$A1089)+1,20),FIND("/",MID($A1089,FIND("/",$A1089)+1,20))+1,20))),"")))</f>
        <v/>
      </c>
      <c r="E1089">
        <f>IF($A1089="","",IF(OR($B1089="",$C1089="",$D1089="",$B1089&lt;1300,$B1089&gt;1500,$C1089&lt;1,$C1089&gt;12,$D1089&lt;1,$D1089&gt;31),"نامعتبر",RIGHT("0000"&amp;$B1089,4)&amp;"/"&amp;RIGHT("00"&amp;$C1089,2)&amp;"/"&amp;RIGHT("00"&amp;$D1089,2)))</f>
        <v/>
      </c>
      <c r="F1089">
        <f>IF(OR($E1089="",$E1089="نامعتبر"),"",IF(Sync!$Q1086="","0000",IF(AND(ISNUMBER(Sync!$Q1086),Sync!$Q1086&gt;=0,Sync!$Q1086&lt;1),RIGHT("00"&amp;HOUR(Sync!$Q1086),2)&amp;RIGHT("00"&amp;MINUTE(Sync!$Q1086),2),IFERROR(RIGHT("00"&amp;VALUE(LEFT(Sync!$Q1086,FIND(":",Sync!$Q1086)-1)),2)&amp;RIGHT("00"&amp;VALUE(MID(Sync!$Q1086,FIND(":",Sync!$Q1086)+1,2)),2),"0000"))))</f>
        <v/>
      </c>
      <c r="G1089">
        <f>IF(OR($E1089="",$E1089="نامعتبر"),"",IF(Sync!$S1086="","",Sync!$S1086))</f>
        <v/>
      </c>
      <c r="H1089">
        <f>IF(OR($E1089="",$E1089="نامعتبر"),"",IF(Sync!$R1086="","",Sync!$R1086))</f>
        <v/>
      </c>
      <c r="I1089">
        <f>IF(OR($E1089="",$E1089="نامعتبر"),"",IF(Sync!$T1086="","",Sync!$T1086))</f>
        <v/>
      </c>
      <c r="J1089">
        <f>IF(OR($E1089="",$E1089="نامعتبر"),"",IF(Sync!$U1086="","",Sync!$U1086))</f>
        <v/>
      </c>
      <c r="K1089">
        <f>IF(OR($E1089="",$E1089="نامعتبر"),"",IF(Sync!$V1086="","",IFERROR(INDEX(SubCodes,MATCH(Sync!$V1086,SubTitles,0)),Sync!$V1086)))</f>
        <v/>
      </c>
      <c r="L1089">
        <f>IF(OR($E1089="",$E1089="نامعتبر"),"",IF(Sync!$W1086="",0,Sync!$W1086))</f>
        <v/>
      </c>
      <c r="M1089">
        <f>IF(OR($E1089="",$E1089="نامعتبر"),"",IF(Sync!$X1086="",0,Sync!$X1086))</f>
        <v/>
      </c>
      <c r="N1089">
        <f>IF(OR($E1089="",$E1089="نامعتبر"),"",IF(AND($J1089="هزینه",$K1089&lt;&gt;""),1,0))</f>
        <v/>
      </c>
      <c r="O1089">
        <f>IF($N1089=0,"",LEFT($E1089,4)&amp;MID($E1089,6,2)&amp;RIGHT($E1089,2)&amp;$F1089&amp;"|"&amp;"1"&amp;RIGHT("00000"&amp;1081,5))</f>
        <v/>
      </c>
      <c r="P1089">
        <f>IF($O1089="","",COUNTIFS(ExpSub,$K1089,ExpKey,"&lt;"&amp;$O1089)+1)</f>
        <v/>
      </c>
      <c r="Q1089">
        <f>IF($P1089="","",$K1089&amp;"|"&amp;RIGHT("000000"&amp;$P1089,6))</f>
        <v/>
      </c>
    </row>
    <row r="1090">
      <c r="A1090">
        <f>IF(Sync!$P1087="","",Sync!$P1087)</f>
        <v/>
      </c>
      <c r="B1090">
        <f>IF($A1090="","",IF(ISNUMBER($A1090),IF(AND($A1090&gt;=10000101,$A1090&lt;=99991231),INT($A1090/10000),""),IFERROR(VALUE(TRIM(LEFT($A1090,FIND("/",$A1090)-1))),"")))</f>
        <v/>
      </c>
      <c r="C1090">
        <f>IF(OR($A1090="",$B1090=""),"",IF(ISNUMBER($A1090),INT(MOD($A1090,10000)/100),IFERROR(VALUE(TRIM(LEFT(MID($A1090,FIND("/",$A1090)+1,20),FIND("/",MID($A1090,FIND("/",$A1090)+1,20))-1))),"")))</f>
        <v/>
      </c>
      <c r="D1090">
        <f>IF(OR($A1090="",$B1090=""),"",IF(ISNUMBER($A1090),MOD($A1090,100),IFERROR(VALUE(TRIM(MID(MID($A1090,FIND("/",$A1090)+1,20),FIND("/",MID($A1090,FIND("/",$A1090)+1,20))+1,20))),"")))</f>
        <v/>
      </c>
      <c r="E1090">
        <f>IF($A1090="","",IF(OR($B1090="",$C1090="",$D1090="",$B1090&lt;1300,$B1090&gt;1500,$C1090&lt;1,$C1090&gt;12,$D1090&lt;1,$D1090&gt;31),"نامعتبر",RIGHT("0000"&amp;$B1090,4)&amp;"/"&amp;RIGHT("00"&amp;$C1090,2)&amp;"/"&amp;RIGHT("00"&amp;$D1090,2)))</f>
        <v/>
      </c>
      <c r="F1090">
        <f>IF(OR($E1090="",$E1090="نامعتبر"),"",IF(Sync!$Q1087="","0000",IF(AND(ISNUMBER(Sync!$Q1087),Sync!$Q1087&gt;=0,Sync!$Q1087&lt;1),RIGHT("00"&amp;HOUR(Sync!$Q1087),2)&amp;RIGHT("00"&amp;MINUTE(Sync!$Q1087),2),IFERROR(RIGHT("00"&amp;VALUE(LEFT(Sync!$Q1087,FIND(":",Sync!$Q1087)-1)),2)&amp;RIGHT("00"&amp;VALUE(MID(Sync!$Q1087,FIND(":",Sync!$Q1087)+1,2)),2),"0000"))))</f>
        <v/>
      </c>
      <c r="G1090">
        <f>IF(OR($E1090="",$E1090="نامعتبر"),"",IF(Sync!$S1087="","",Sync!$S1087))</f>
        <v/>
      </c>
      <c r="H1090">
        <f>IF(OR($E1090="",$E1090="نامعتبر"),"",IF(Sync!$R1087="","",Sync!$R1087))</f>
        <v/>
      </c>
      <c r="I1090">
        <f>IF(OR($E1090="",$E1090="نامعتبر"),"",IF(Sync!$T1087="","",Sync!$T1087))</f>
        <v/>
      </c>
      <c r="J1090">
        <f>IF(OR($E1090="",$E1090="نامعتبر"),"",IF(Sync!$U1087="","",Sync!$U1087))</f>
        <v/>
      </c>
      <c r="K1090">
        <f>IF(OR($E1090="",$E1090="نامعتبر"),"",IF(Sync!$V1087="","",IFERROR(INDEX(SubCodes,MATCH(Sync!$V1087,SubTitles,0)),Sync!$V1087)))</f>
        <v/>
      </c>
      <c r="L1090">
        <f>IF(OR($E1090="",$E1090="نامعتبر"),"",IF(Sync!$W1087="",0,Sync!$W1087))</f>
        <v/>
      </c>
      <c r="M1090">
        <f>IF(OR($E1090="",$E1090="نامعتبر"),"",IF(Sync!$X1087="",0,Sync!$X1087))</f>
        <v/>
      </c>
      <c r="N1090">
        <f>IF(OR($E1090="",$E1090="نامعتبر"),"",IF(AND($J1090="هزینه",$K1090&lt;&gt;""),1,0))</f>
        <v/>
      </c>
      <c r="O1090">
        <f>IF($N1090=0,"",LEFT($E1090,4)&amp;MID($E1090,6,2)&amp;RIGHT($E1090,2)&amp;$F1090&amp;"|"&amp;"1"&amp;RIGHT("00000"&amp;1082,5))</f>
        <v/>
      </c>
      <c r="P1090">
        <f>IF($O1090="","",COUNTIFS(ExpSub,$K1090,ExpKey,"&lt;"&amp;$O1090)+1)</f>
        <v/>
      </c>
      <c r="Q1090">
        <f>IF($P1090="","",$K1090&amp;"|"&amp;RIGHT("000000"&amp;$P1090,6))</f>
        <v/>
      </c>
    </row>
    <row r="1091">
      <c r="A1091">
        <f>IF(Sync!$P1088="","",Sync!$P1088)</f>
        <v/>
      </c>
      <c r="B1091">
        <f>IF($A1091="","",IF(ISNUMBER($A1091),IF(AND($A1091&gt;=10000101,$A1091&lt;=99991231),INT($A1091/10000),""),IFERROR(VALUE(TRIM(LEFT($A1091,FIND("/",$A1091)-1))),"")))</f>
        <v/>
      </c>
      <c r="C1091">
        <f>IF(OR($A1091="",$B1091=""),"",IF(ISNUMBER($A1091),INT(MOD($A1091,10000)/100),IFERROR(VALUE(TRIM(LEFT(MID($A1091,FIND("/",$A1091)+1,20),FIND("/",MID($A1091,FIND("/",$A1091)+1,20))-1))),"")))</f>
        <v/>
      </c>
      <c r="D1091">
        <f>IF(OR($A1091="",$B1091=""),"",IF(ISNUMBER($A1091),MOD($A1091,100),IFERROR(VALUE(TRIM(MID(MID($A1091,FIND("/",$A1091)+1,20),FIND("/",MID($A1091,FIND("/",$A1091)+1,20))+1,20))),"")))</f>
        <v/>
      </c>
      <c r="E1091">
        <f>IF($A1091="","",IF(OR($B1091="",$C1091="",$D1091="",$B1091&lt;1300,$B1091&gt;1500,$C1091&lt;1,$C1091&gt;12,$D1091&lt;1,$D1091&gt;31),"نامعتبر",RIGHT("0000"&amp;$B1091,4)&amp;"/"&amp;RIGHT("00"&amp;$C1091,2)&amp;"/"&amp;RIGHT("00"&amp;$D1091,2)))</f>
        <v/>
      </c>
      <c r="F1091">
        <f>IF(OR($E1091="",$E1091="نامعتبر"),"",IF(Sync!$Q1088="","0000",IF(AND(ISNUMBER(Sync!$Q1088),Sync!$Q1088&gt;=0,Sync!$Q1088&lt;1),RIGHT("00"&amp;HOUR(Sync!$Q1088),2)&amp;RIGHT("00"&amp;MINUTE(Sync!$Q1088),2),IFERROR(RIGHT("00"&amp;VALUE(LEFT(Sync!$Q1088,FIND(":",Sync!$Q1088)-1)),2)&amp;RIGHT("00"&amp;VALUE(MID(Sync!$Q1088,FIND(":",Sync!$Q1088)+1,2)),2),"0000"))))</f>
        <v/>
      </c>
      <c r="G1091">
        <f>IF(OR($E1091="",$E1091="نامعتبر"),"",IF(Sync!$S1088="","",Sync!$S1088))</f>
        <v/>
      </c>
      <c r="H1091">
        <f>IF(OR($E1091="",$E1091="نامعتبر"),"",IF(Sync!$R1088="","",Sync!$R1088))</f>
        <v/>
      </c>
      <c r="I1091">
        <f>IF(OR($E1091="",$E1091="نامعتبر"),"",IF(Sync!$T1088="","",Sync!$T1088))</f>
        <v/>
      </c>
      <c r="J1091">
        <f>IF(OR($E1091="",$E1091="نامعتبر"),"",IF(Sync!$U1088="","",Sync!$U1088))</f>
        <v/>
      </c>
      <c r="K1091">
        <f>IF(OR($E1091="",$E1091="نامعتبر"),"",IF(Sync!$V1088="","",IFERROR(INDEX(SubCodes,MATCH(Sync!$V1088,SubTitles,0)),Sync!$V1088)))</f>
        <v/>
      </c>
      <c r="L1091">
        <f>IF(OR($E1091="",$E1091="نامعتبر"),"",IF(Sync!$W1088="",0,Sync!$W1088))</f>
        <v/>
      </c>
      <c r="M1091">
        <f>IF(OR($E1091="",$E1091="نامعتبر"),"",IF(Sync!$X1088="",0,Sync!$X1088))</f>
        <v/>
      </c>
      <c r="N1091">
        <f>IF(OR($E1091="",$E1091="نامعتبر"),"",IF(AND($J1091="هزینه",$K1091&lt;&gt;""),1,0))</f>
        <v/>
      </c>
      <c r="O1091">
        <f>IF($N1091=0,"",LEFT($E1091,4)&amp;MID($E1091,6,2)&amp;RIGHT($E1091,2)&amp;$F1091&amp;"|"&amp;"1"&amp;RIGHT("00000"&amp;1083,5))</f>
        <v/>
      </c>
      <c r="P1091">
        <f>IF($O1091="","",COUNTIFS(ExpSub,$K1091,ExpKey,"&lt;"&amp;$O1091)+1)</f>
        <v/>
      </c>
      <c r="Q1091">
        <f>IF($P1091="","",$K1091&amp;"|"&amp;RIGHT("000000"&amp;$P1091,6))</f>
        <v/>
      </c>
    </row>
    <row r="1092">
      <c r="A1092">
        <f>IF(Sync!$P1089="","",Sync!$P1089)</f>
        <v/>
      </c>
      <c r="B1092">
        <f>IF($A1092="","",IF(ISNUMBER($A1092),IF(AND($A1092&gt;=10000101,$A1092&lt;=99991231),INT($A1092/10000),""),IFERROR(VALUE(TRIM(LEFT($A1092,FIND("/",$A1092)-1))),"")))</f>
        <v/>
      </c>
      <c r="C1092">
        <f>IF(OR($A1092="",$B1092=""),"",IF(ISNUMBER($A1092),INT(MOD($A1092,10000)/100),IFERROR(VALUE(TRIM(LEFT(MID($A1092,FIND("/",$A1092)+1,20),FIND("/",MID($A1092,FIND("/",$A1092)+1,20))-1))),"")))</f>
        <v/>
      </c>
      <c r="D1092">
        <f>IF(OR($A1092="",$B1092=""),"",IF(ISNUMBER($A1092),MOD($A1092,100),IFERROR(VALUE(TRIM(MID(MID($A1092,FIND("/",$A1092)+1,20),FIND("/",MID($A1092,FIND("/",$A1092)+1,20))+1,20))),"")))</f>
        <v/>
      </c>
      <c r="E1092">
        <f>IF($A1092="","",IF(OR($B1092="",$C1092="",$D1092="",$B1092&lt;1300,$B1092&gt;1500,$C1092&lt;1,$C1092&gt;12,$D1092&lt;1,$D1092&gt;31),"نامعتبر",RIGHT("0000"&amp;$B1092,4)&amp;"/"&amp;RIGHT("00"&amp;$C1092,2)&amp;"/"&amp;RIGHT("00"&amp;$D1092,2)))</f>
        <v/>
      </c>
      <c r="F1092">
        <f>IF(OR($E1092="",$E1092="نامعتبر"),"",IF(Sync!$Q1089="","0000",IF(AND(ISNUMBER(Sync!$Q1089),Sync!$Q1089&gt;=0,Sync!$Q1089&lt;1),RIGHT("00"&amp;HOUR(Sync!$Q1089),2)&amp;RIGHT("00"&amp;MINUTE(Sync!$Q1089),2),IFERROR(RIGHT("00"&amp;VALUE(LEFT(Sync!$Q1089,FIND(":",Sync!$Q1089)-1)),2)&amp;RIGHT("00"&amp;VALUE(MID(Sync!$Q1089,FIND(":",Sync!$Q1089)+1,2)),2),"0000"))))</f>
        <v/>
      </c>
      <c r="G1092">
        <f>IF(OR($E1092="",$E1092="نامعتبر"),"",IF(Sync!$S1089="","",Sync!$S1089))</f>
        <v/>
      </c>
      <c r="H1092">
        <f>IF(OR($E1092="",$E1092="نامعتبر"),"",IF(Sync!$R1089="","",Sync!$R1089))</f>
        <v/>
      </c>
      <c r="I1092">
        <f>IF(OR($E1092="",$E1092="نامعتبر"),"",IF(Sync!$T1089="","",Sync!$T1089))</f>
        <v/>
      </c>
      <c r="J1092">
        <f>IF(OR($E1092="",$E1092="نامعتبر"),"",IF(Sync!$U1089="","",Sync!$U1089))</f>
        <v/>
      </c>
      <c r="K1092">
        <f>IF(OR($E1092="",$E1092="نامعتبر"),"",IF(Sync!$V1089="","",IFERROR(INDEX(SubCodes,MATCH(Sync!$V1089,SubTitles,0)),Sync!$V1089)))</f>
        <v/>
      </c>
      <c r="L1092">
        <f>IF(OR($E1092="",$E1092="نامعتبر"),"",IF(Sync!$W1089="",0,Sync!$W1089))</f>
        <v/>
      </c>
      <c r="M1092">
        <f>IF(OR($E1092="",$E1092="نامعتبر"),"",IF(Sync!$X1089="",0,Sync!$X1089))</f>
        <v/>
      </c>
      <c r="N1092">
        <f>IF(OR($E1092="",$E1092="نامعتبر"),"",IF(AND($J1092="هزینه",$K1092&lt;&gt;""),1,0))</f>
        <v/>
      </c>
      <c r="O1092">
        <f>IF($N1092=0,"",LEFT($E1092,4)&amp;MID($E1092,6,2)&amp;RIGHT($E1092,2)&amp;$F1092&amp;"|"&amp;"1"&amp;RIGHT("00000"&amp;1084,5))</f>
        <v/>
      </c>
      <c r="P1092">
        <f>IF($O1092="","",COUNTIFS(ExpSub,$K1092,ExpKey,"&lt;"&amp;$O1092)+1)</f>
        <v/>
      </c>
      <c r="Q1092">
        <f>IF($P1092="","",$K1092&amp;"|"&amp;RIGHT("000000"&amp;$P1092,6))</f>
        <v/>
      </c>
    </row>
    <row r="1093">
      <c r="A1093">
        <f>IF(Sync!$P1090="","",Sync!$P1090)</f>
        <v/>
      </c>
      <c r="B1093">
        <f>IF($A1093="","",IF(ISNUMBER($A1093),IF(AND($A1093&gt;=10000101,$A1093&lt;=99991231),INT($A1093/10000),""),IFERROR(VALUE(TRIM(LEFT($A1093,FIND("/",$A1093)-1))),"")))</f>
        <v/>
      </c>
      <c r="C1093">
        <f>IF(OR($A1093="",$B1093=""),"",IF(ISNUMBER($A1093),INT(MOD($A1093,10000)/100),IFERROR(VALUE(TRIM(LEFT(MID($A1093,FIND("/",$A1093)+1,20),FIND("/",MID($A1093,FIND("/",$A1093)+1,20))-1))),"")))</f>
        <v/>
      </c>
      <c r="D1093">
        <f>IF(OR($A1093="",$B1093=""),"",IF(ISNUMBER($A1093),MOD($A1093,100),IFERROR(VALUE(TRIM(MID(MID($A1093,FIND("/",$A1093)+1,20),FIND("/",MID($A1093,FIND("/",$A1093)+1,20))+1,20))),"")))</f>
        <v/>
      </c>
      <c r="E1093">
        <f>IF($A1093="","",IF(OR($B1093="",$C1093="",$D1093="",$B1093&lt;1300,$B1093&gt;1500,$C1093&lt;1,$C1093&gt;12,$D1093&lt;1,$D1093&gt;31),"نامعتبر",RIGHT("0000"&amp;$B1093,4)&amp;"/"&amp;RIGHT("00"&amp;$C1093,2)&amp;"/"&amp;RIGHT("00"&amp;$D1093,2)))</f>
        <v/>
      </c>
      <c r="F1093">
        <f>IF(OR($E1093="",$E1093="نامعتبر"),"",IF(Sync!$Q1090="","0000",IF(AND(ISNUMBER(Sync!$Q1090),Sync!$Q1090&gt;=0,Sync!$Q1090&lt;1),RIGHT("00"&amp;HOUR(Sync!$Q1090),2)&amp;RIGHT("00"&amp;MINUTE(Sync!$Q1090),2),IFERROR(RIGHT("00"&amp;VALUE(LEFT(Sync!$Q1090,FIND(":",Sync!$Q1090)-1)),2)&amp;RIGHT("00"&amp;VALUE(MID(Sync!$Q1090,FIND(":",Sync!$Q1090)+1,2)),2),"0000"))))</f>
        <v/>
      </c>
      <c r="G1093">
        <f>IF(OR($E1093="",$E1093="نامعتبر"),"",IF(Sync!$S1090="","",Sync!$S1090))</f>
        <v/>
      </c>
      <c r="H1093">
        <f>IF(OR($E1093="",$E1093="نامعتبر"),"",IF(Sync!$R1090="","",Sync!$R1090))</f>
        <v/>
      </c>
      <c r="I1093">
        <f>IF(OR($E1093="",$E1093="نامعتبر"),"",IF(Sync!$T1090="","",Sync!$T1090))</f>
        <v/>
      </c>
      <c r="J1093">
        <f>IF(OR($E1093="",$E1093="نامعتبر"),"",IF(Sync!$U1090="","",Sync!$U1090))</f>
        <v/>
      </c>
      <c r="K1093">
        <f>IF(OR($E1093="",$E1093="نامعتبر"),"",IF(Sync!$V1090="","",IFERROR(INDEX(SubCodes,MATCH(Sync!$V1090,SubTitles,0)),Sync!$V1090)))</f>
        <v/>
      </c>
      <c r="L1093">
        <f>IF(OR($E1093="",$E1093="نامعتبر"),"",IF(Sync!$W1090="",0,Sync!$W1090))</f>
        <v/>
      </c>
      <c r="M1093">
        <f>IF(OR($E1093="",$E1093="نامعتبر"),"",IF(Sync!$X1090="",0,Sync!$X1090))</f>
        <v/>
      </c>
      <c r="N1093">
        <f>IF(OR($E1093="",$E1093="نامعتبر"),"",IF(AND($J1093="هزینه",$K1093&lt;&gt;""),1,0))</f>
        <v/>
      </c>
      <c r="O1093">
        <f>IF($N1093=0,"",LEFT($E1093,4)&amp;MID($E1093,6,2)&amp;RIGHT($E1093,2)&amp;$F1093&amp;"|"&amp;"1"&amp;RIGHT("00000"&amp;1085,5))</f>
        <v/>
      </c>
      <c r="P1093">
        <f>IF($O1093="","",COUNTIFS(ExpSub,$K1093,ExpKey,"&lt;"&amp;$O1093)+1)</f>
        <v/>
      </c>
      <c r="Q1093">
        <f>IF($P1093="","",$K1093&amp;"|"&amp;RIGHT("000000"&amp;$P1093,6))</f>
        <v/>
      </c>
    </row>
    <row r="1094">
      <c r="A1094">
        <f>IF(Sync!$P1091="","",Sync!$P1091)</f>
        <v/>
      </c>
      <c r="B1094">
        <f>IF($A1094="","",IF(ISNUMBER($A1094),IF(AND($A1094&gt;=10000101,$A1094&lt;=99991231),INT($A1094/10000),""),IFERROR(VALUE(TRIM(LEFT($A1094,FIND("/",$A1094)-1))),"")))</f>
        <v/>
      </c>
      <c r="C1094">
        <f>IF(OR($A1094="",$B1094=""),"",IF(ISNUMBER($A1094),INT(MOD($A1094,10000)/100),IFERROR(VALUE(TRIM(LEFT(MID($A1094,FIND("/",$A1094)+1,20),FIND("/",MID($A1094,FIND("/",$A1094)+1,20))-1))),"")))</f>
        <v/>
      </c>
      <c r="D1094">
        <f>IF(OR($A1094="",$B1094=""),"",IF(ISNUMBER($A1094),MOD($A1094,100),IFERROR(VALUE(TRIM(MID(MID($A1094,FIND("/",$A1094)+1,20),FIND("/",MID($A1094,FIND("/",$A1094)+1,20))+1,20))),"")))</f>
        <v/>
      </c>
      <c r="E1094">
        <f>IF($A1094="","",IF(OR($B1094="",$C1094="",$D1094="",$B1094&lt;1300,$B1094&gt;1500,$C1094&lt;1,$C1094&gt;12,$D1094&lt;1,$D1094&gt;31),"نامعتبر",RIGHT("0000"&amp;$B1094,4)&amp;"/"&amp;RIGHT("00"&amp;$C1094,2)&amp;"/"&amp;RIGHT("00"&amp;$D1094,2)))</f>
        <v/>
      </c>
      <c r="F1094">
        <f>IF(OR($E1094="",$E1094="نامعتبر"),"",IF(Sync!$Q1091="","0000",IF(AND(ISNUMBER(Sync!$Q1091),Sync!$Q1091&gt;=0,Sync!$Q1091&lt;1),RIGHT("00"&amp;HOUR(Sync!$Q1091),2)&amp;RIGHT("00"&amp;MINUTE(Sync!$Q1091),2),IFERROR(RIGHT("00"&amp;VALUE(LEFT(Sync!$Q1091,FIND(":",Sync!$Q1091)-1)),2)&amp;RIGHT("00"&amp;VALUE(MID(Sync!$Q1091,FIND(":",Sync!$Q1091)+1,2)),2),"0000"))))</f>
        <v/>
      </c>
      <c r="G1094">
        <f>IF(OR($E1094="",$E1094="نامعتبر"),"",IF(Sync!$S1091="","",Sync!$S1091))</f>
        <v/>
      </c>
      <c r="H1094">
        <f>IF(OR($E1094="",$E1094="نامعتبر"),"",IF(Sync!$R1091="","",Sync!$R1091))</f>
        <v/>
      </c>
      <c r="I1094">
        <f>IF(OR($E1094="",$E1094="نامعتبر"),"",IF(Sync!$T1091="","",Sync!$T1091))</f>
        <v/>
      </c>
      <c r="J1094">
        <f>IF(OR($E1094="",$E1094="نامعتبر"),"",IF(Sync!$U1091="","",Sync!$U1091))</f>
        <v/>
      </c>
      <c r="K1094">
        <f>IF(OR($E1094="",$E1094="نامعتبر"),"",IF(Sync!$V1091="","",IFERROR(INDEX(SubCodes,MATCH(Sync!$V1091,SubTitles,0)),Sync!$V1091)))</f>
        <v/>
      </c>
      <c r="L1094">
        <f>IF(OR($E1094="",$E1094="نامعتبر"),"",IF(Sync!$W1091="",0,Sync!$W1091))</f>
        <v/>
      </c>
      <c r="M1094">
        <f>IF(OR($E1094="",$E1094="نامعتبر"),"",IF(Sync!$X1091="",0,Sync!$X1091))</f>
        <v/>
      </c>
      <c r="N1094">
        <f>IF(OR($E1094="",$E1094="نامعتبر"),"",IF(AND($J1094="هزینه",$K1094&lt;&gt;""),1,0))</f>
        <v/>
      </c>
      <c r="O1094">
        <f>IF($N1094=0,"",LEFT($E1094,4)&amp;MID($E1094,6,2)&amp;RIGHT($E1094,2)&amp;$F1094&amp;"|"&amp;"1"&amp;RIGHT("00000"&amp;1086,5))</f>
        <v/>
      </c>
      <c r="P1094">
        <f>IF($O1094="","",COUNTIFS(ExpSub,$K1094,ExpKey,"&lt;"&amp;$O1094)+1)</f>
        <v/>
      </c>
      <c r="Q1094">
        <f>IF($P1094="","",$K1094&amp;"|"&amp;RIGHT("000000"&amp;$P1094,6))</f>
        <v/>
      </c>
    </row>
    <row r="1095">
      <c r="A1095">
        <f>IF(Sync!$P1092="","",Sync!$P1092)</f>
        <v/>
      </c>
      <c r="B1095">
        <f>IF($A1095="","",IF(ISNUMBER($A1095),IF(AND($A1095&gt;=10000101,$A1095&lt;=99991231),INT($A1095/10000),""),IFERROR(VALUE(TRIM(LEFT($A1095,FIND("/",$A1095)-1))),"")))</f>
        <v/>
      </c>
      <c r="C1095">
        <f>IF(OR($A1095="",$B1095=""),"",IF(ISNUMBER($A1095),INT(MOD($A1095,10000)/100),IFERROR(VALUE(TRIM(LEFT(MID($A1095,FIND("/",$A1095)+1,20),FIND("/",MID($A1095,FIND("/",$A1095)+1,20))-1))),"")))</f>
        <v/>
      </c>
      <c r="D1095">
        <f>IF(OR($A1095="",$B1095=""),"",IF(ISNUMBER($A1095),MOD($A1095,100),IFERROR(VALUE(TRIM(MID(MID($A1095,FIND("/",$A1095)+1,20),FIND("/",MID($A1095,FIND("/",$A1095)+1,20))+1,20))),"")))</f>
        <v/>
      </c>
      <c r="E1095">
        <f>IF($A1095="","",IF(OR($B1095="",$C1095="",$D1095="",$B1095&lt;1300,$B1095&gt;1500,$C1095&lt;1,$C1095&gt;12,$D1095&lt;1,$D1095&gt;31),"نامعتبر",RIGHT("0000"&amp;$B1095,4)&amp;"/"&amp;RIGHT("00"&amp;$C1095,2)&amp;"/"&amp;RIGHT("00"&amp;$D1095,2)))</f>
        <v/>
      </c>
      <c r="F1095">
        <f>IF(OR($E1095="",$E1095="نامعتبر"),"",IF(Sync!$Q1092="","0000",IF(AND(ISNUMBER(Sync!$Q1092),Sync!$Q1092&gt;=0,Sync!$Q1092&lt;1),RIGHT("00"&amp;HOUR(Sync!$Q1092),2)&amp;RIGHT("00"&amp;MINUTE(Sync!$Q1092),2),IFERROR(RIGHT("00"&amp;VALUE(LEFT(Sync!$Q1092,FIND(":",Sync!$Q1092)-1)),2)&amp;RIGHT("00"&amp;VALUE(MID(Sync!$Q1092,FIND(":",Sync!$Q1092)+1,2)),2),"0000"))))</f>
        <v/>
      </c>
      <c r="G1095">
        <f>IF(OR($E1095="",$E1095="نامعتبر"),"",IF(Sync!$S1092="","",Sync!$S1092))</f>
        <v/>
      </c>
      <c r="H1095">
        <f>IF(OR($E1095="",$E1095="نامعتبر"),"",IF(Sync!$R1092="","",Sync!$R1092))</f>
        <v/>
      </c>
      <c r="I1095">
        <f>IF(OR($E1095="",$E1095="نامعتبر"),"",IF(Sync!$T1092="","",Sync!$T1092))</f>
        <v/>
      </c>
      <c r="J1095">
        <f>IF(OR($E1095="",$E1095="نامعتبر"),"",IF(Sync!$U1092="","",Sync!$U1092))</f>
        <v/>
      </c>
      <c r="K1095">
        <f>IF(OR($E1095="",$E1095="نامعتبر"),"",IF(Sync!$V1092="","",IFERROR(INDEX(SubCodes,MATCH(Sync!$V1092,SubTitles,0)),Sync!$V1092)))</f>
        <v/>
      </c>
      <c r="L1095">
        <f>IF(OR($E1095="",$E1095="نامعتبر"),"",IF(Sync!$W1092="",0,Sync!$W1092))</f>
        <v/>
      </c>
      <c r="M1095">
        <f>IF(OR($E1095="",$E1095="نامعتبر"),"",IF(Sync!$X1092="",0,Sync!$X1092))</f>
        <v/>
      </c>
      <c r="N1095">
        <f>IF(OR($E1095="",$E1095="نامعتبر"),"",IF(AND($J1095="هزینه",$K1095&lt;&gt;""),1,0))</f>
        <v/>
      </c>
      <c r="O1095">
        <f>IF($N1095=0,"",LEFT($E1095,4)&amp;MID($E1095,6,2)&amp;RIGHT($E1095,2)&amp;$F1095&amp;"|"&amp;"1"&amp;RIGHT("00000"&amp;1087,5))</f>
        <v/>
      </c>
      <c r="P1095">
        <f>IF($O1095="","",COUNTIFS(ExpSub,$K1095,ExpKey,"&lt;"&amp;$O1095)+1)</f>
        <v/>
      </c>
      <c r="Q1095">
        <f>IF($P1095="","",$K1095&amp;"|"&amp;RIGHT("000000"&amp;$P1095,6))</f>
        <v/>
      </c>
    </row>
    <row r="1096">
      <c r="A1096">
        <f>IF(Sync!$P1093="","",Sync!$P1093)</f>
        <v/>
      </c>
      <c r="B1096">
        <f>IF($A1096="","",IF(ISNUMBER($A1096),IF(AND($A1096&gt;=10000101,$A1096&lt;=99991231),INT($A1096/10000),""),IFERROR(VALUE(TRIM(LEFT($A1096,FIND("/",$A1096)-1))),"")))</f>
        <v/>
      </c>
      <c r="C1096">
        <f>IF(OR($A1096="",$B1096=""),"",IF(ISNUMBER($A1096),INT(MOD($A1096,10000)/100),IFERROR(VALUE(TRIM(LEFT(MID($A1096,FIND("/",$A1096)+1,20),FIND("/",MID($A1096,FIND("/",$A1096)+1,20))-1))),"")))</f>
        <v/>
      </c>
      <c r="D1096">
        <f>IF(OR($A1096="",$B1096=""),"",IF(ISNUMBER($A1096),MOD($A1096,100),IFERROR(VALUE(TRIM(MID(MID($A1096,FIND("/",$A1096)+1,20),FIND("/",MID($A1096,FIND("/",$A1096)+1,20))+1,20))),"")))</f>
        <v/>
      </c>
      <c r="E1096">
        <f>IF($A1096="","",IF(OR($B1096="",$C1096="",$D1096="",$B1096&lt;1300,$B1096&gt;1500,$C1096&lt;1,$C1096&gt;12,$D1096&lt;1,$D1096&gt;31),"نامعتبر",RIGHT("0000"&amp;$B1096,4)&amp;"/"&amp;RIGHT("00"&amp;$C1096,2)&amp;"/"&amp;RIGHT("00"&amp;$D1096,2)))</f>
        <v/>
      </c>
      <c r="F1096">
        <f>IF(OR($E1096="",$E1096="نامعتبر"),"",IF(Sync!$Q1093="","0000",IF(AND(ISNUMBER(Sync!$Q1093),Sync!$Q1093&gt;=0,Sync!$Q1093&lt;1),RIGHT("00"&amp;HOUR(Sync!$Q1093),2)&amp;RIGHT("00"&amp;MINUTE(Sync!$Q1093),2),IFERROR(RIGHT("00"&amp;VALUE(LEFT(Sync!$Q1093,FIND(":",Sync!$Q1093)-1)),2)&amp;RIGHT("00"&amp;VALUE(MID(Sync!$Q1093,FIND(":",Sync!$Q1093)+1,2)),2),"0000"))))</f>
        <v/>
      </c>
      <c r="G1096">
        <f>IF(OR($E1096="",$E1096="نامعتبر"),"",IF(Sync!$S1093="","",Sync!$S1093))</f>
        <v/>
      </c>
      <c r="H1096">
        <f>IF(OR($E1096="",$E1096="نامعتبر"),"",IF(Sync!$R1093="","",Sync!$R1093))</f>
        <v/>
      </c>
      <c r="I1096">
        <f>IF(OR($E1096="",$E1096="نامعتبر"),"",IF(Sync!$T1093="","",Sync!$T1093))</f>
        <v/>
      </c>
      <c r="J1096">
        <f>IF(OR($E1096="",$E1096="نامعتبر"),"",IF(Sync!$U1093="","",Sync!$U1093))</f>
        <v/>
      </c>
      <c r="K1096">
        <f>IF(OR($E1096="",$E1096="نامعتبر"),"",IF(Sync!$V1093="","",IFERROR(INDEX(SubCodes,MATCH(Sync!$V1093,SubTitles,0)),Sync!$V1093)))</f>
        <v/>
      </c>
      <c r="L1096">
        <f>IF(OR($E1096="",$E1096="نامعتبر"),"",IF(Sync!$W1093="",0,Sync!$W1093))</f>
        <v/>
      </c>
      <c r="M1096">
        <f>IF(OR($E1096="",$E1096="نامعتبر"),"",IF(Sync!$X1093="",0,Sync!$X1093))</f>
        <v/>
      </c>
      <c r="N1096">
        <f>IF(OR($E1096="",$E1096="نامعتبر"),"",IF(AND($J1096="هزینه",$K1096&lt;&gt;""),1,0))</f>
        <v/>
      </c>
      <c r="O1096">
        <f>IF($N1096=0,"",LEFT($E1096,4)&amp;MID($E1096,6,2)&amp;RIGHT($E1096,2)&amp;$F1096&amp;"|"&amp;"1"&amp;RIGHT("00000"&amp;1088,5))</f>
        <v/>
      </c>
      <c r="P1096">
        <f>IF($O1096="","",COUNTIFS(ExpSub,$K1096,ExpKey,"&lt;"&amp;$O1096)+1)</f>
        <v/>
      </c>
      <c r="Q1096">
        <f>IF($P1096="","",$K1096&amp;"|"&amp;RIGHT("000000"&amp;$P1096,6))</f>
        <v/>
      </c>
    </row>
    <row r="1097">
      <c r="A1097">
        <f>IF(Sync!$P1094="","",Sync!$P1094)</f>
        <v/>
      </c>
      <c r="B1097">
        <f>IF($A1097="","",IF(ISNUMBER($A1097),IF(AND($A1097&gt;=10000101,$A1097&lt;=99991231),INT($A1097/10000),""),IFERROR(VALUE(TRIM(LEFT($A1097,FIND("/",$A1097)-1))),"")))</f>
        <v/>
      </c>
      <c r="C1097">
        <f>IF(OR($A1097="",$B1097=""),"",IF(ISNUMBER($A1097),INT(MOD($A1097,10000)/100),IFERROR(VALUE(TRIM(LEFT(MID($A1097,FIND("/",$A1097)+1,20),FIND("/",MID($A1097,FIND("/",$A1097)+1,20))-1))),"")))</f>
        <v/>
      </c>
      <c r="D1097">
        <f>IF(OR($A1097="",$B1097=""),"",IF(ISNUMBER($A1097),MOD($A1097,100),IFERROR(VALUE(TRIM(MID(MID($A1097,FIND("/",$A1097)+1,20),FIND("/",MID($A1097,FIND("/",$A1097)+1,20))+1,20))),"")))</f>
        <v/>
      </c>
      <c r="E1097">
        <f>IF($A1097="","",IF(OR($B1097="",$C1097="",$D1097="",$B1097&lt;1300,$B1097&gt;1500,$C1097&lt;1,$C1097&gt;12,$D1097&lt;1,$D1097&gt;31),"نامعتبر",RIGHT("0000"&amp;$B1097,4)&amp;"/"&amp;RIGHT("00"&amp;$C1097,2)&amp;"/"&amp;RIGHT("00"&amp;$D1097,2)))</f>
        <v/>
      </c>
      <c r="F1097">
        <f>IF(OR($E1097="",$E1097="نامعتبر"),"",IF(Sync!$Q1094="","0000",IF(AND(ISNUMBER(Sync!$Q1094),Sync!$Q1094&gt;=0,Sync!$Q1094&lt;1),RIGHT("00"&amp;HOUR(Sync!$Q1094),2)&amp;RIGHT("00"&amp;MINUTE(Sync!$Q1094),2),IFERROR(RIGHT("00"&amp;VALUE(LEFT(Sync!$Q1094,FIND(":",Sync!$Q1094)-1)),2)&amp;RIGHT("00"&amp;VALUE(MID(Sync!$Q1094,FIND(":",Sync!$Q1094)+1,2)),2),"0000"))))</f>
        <v/>
      </c>
      <c r="G1097">
        <f>IF(OR($E1097="",$E1097="نامعتبر"),"",IF(Sync!$S1094="","",Sync!$S1094))</f>
        <v/>
      </c>
      <c r="H1097">
        <f>IF(OR($E1097="",$E1097="نامعتبر"),"",IF(Sync!$R1094="","",Sync!$R1094))</f>
        <v/>
      </c>
      <c r="I1097">
        <f>IF(OR($E1097="",$E1097="نامعتبر"),"",IF(Sync!$T1094="","",Sync!$T1094))</f>
        <v/>
      </c>
      <c r="J1097">
        <f>IF(OR($E1097="",$E1097="نامعتبر"),"",IF(Sync!$U1094="","",Sync!$U1094))</f>
        <v/>
      </c>
      <c r="K1097">
        <f>IF(OR($E1097="",$E1097="نامعتبر"),"",IF(Sync!$V1094="","",IFERROR(INDEX(SubCodes,MATCH(Sync!$V1094,SubTitles,0)),Sync!$V1094)))</f>
        <v/>
      </c>
      <c r="L1097">
        <f>IF(OR($E1097="",$E1097="نامعتبر"),"",IF(Sync!$W1094="",0,Sync!$W1094))</f>
        <v/>
      </c>
      <c r="M1097">
        <f>IF(OR($E1097="",$E1097="نامعتبر"),"",IF(Sync!$X1094="",0,Sync!$X1094))</f>
        <v/>
      </c>
      <c r="N1097">
        <f>IF(OR($E1097="",$E1097="نامعتبر"),"",IF(AND($J1097="هزینه",$K1097&lt;&gt;""),1,0))</f>
        <v/>
      </c>
      <c r="O1097">
        <f>IF($N1097=0,"",LEFT($E1097,4)&amp;MID($E1097,6,2)&amp;RIGHT($E1097,2)&amp;$F1097&amp;"|"&amp;"1"&amp;RIGHT("00000"&amp;1089,5))</f>
        <v/>
      </c>
      <c r="P1097">
        <f>IF($O1097="","",COUNTIFS(ExpSub,$K1097,ExpKey,"&lt;"&amp;$O1097)+1)</f>
        <v/>
      </c>
      <c r="Q1097">
        <f>IF($P1097="","",$K1097&amp;"|"&amp;RIGHT("000000"&amp;$P1097,6))</f>
        <v/>
      </c>
    </row>
    <row r="1098">
      <c r="A1098">
        <f>IF(Sync!$P1095="","",Sync!$P1095)</f>
        <v/>
      </c>
      <c r="B1098">
        <f>IF($A1098="","",IF(ISNUMBER($A1098),IF(AND($A1098&gt;=10000101,$A1098&lt;=99991231),INT($A1098/10000),""),IFERROR(VALUE(TRIM(LEFT($A1098,FIND("/",$A1098)-1))),"")))</f>
        <v/>
      </c>
      <c r="C1098">
        <f>IF(OR($A1098="",$B1098=""),"",IF(ISNUMBER($A1098),INT(MOD($A1098,10000)/100),IFERROR(VALUE(TRIM(LEFT(MID($A1098,FIND("/",$A1098)+1,20),FIND("/",MID($A1098,FIND("/",$A1098)+1,20))-1))),"")))</f>
        <v/>
      </c>
      <c r="D1098">
        <f>IF(OR($A1098="",$B1098=""),"",IF(ISNUMBER($A1098),MOD($A1098,100),IFERROR(VALUE(TRIM(MID(MID($A1098,FIND("/",$A1098)+1,20),FIND("/",MID($A1098,FIND("/",$A1098)+1,20))+1,20))),"")))</f>
        <v/>
      </c>
      <c r="E1098">
        <f>IF($A1098="","",IF(OR($B1098="",$C1098="",$D1098="",$B1098&lt;1300,$B1098&gt;1500,$C1098&lt;1,$C1098&gt;12,$D1098&lt;1,$D1098&gt;31),"نامعتبر",RIGHT("0000"&amp;$B1098,4)&amp;"/"&amp;RIGHT("00"&amp;$C1098,2)&amp;"/"&amp;RIGHT("00"&amp;$D1098,2)))</f>
        <v/>
      </c>
      <c r="F1098">
        <f>IF(OR($E1098="",$E1098="نامعتبر"),"",IF(Sync!$Q1095="","0000",IF(AND(ISNUMBER(Sync!$Q1095),Sync!$Q1095&gt;=0,Sync!$Q1095&lt;1),RIGHT("00"&amp;HOUR(Sync!$Q1095),2)&amp;RIGHT("00"&amp;MINUTE(Sync!$Q1095),2),IFERROR(RIGHT("00"&amp;VALUE(LEFT(Sync!$Q1095,FIND(":",Sync!$Q1095)-1)),2)&amp;RIGHT("00"&amp;VALUE(MID(Sync!$Q1095,FIND(":",Sync!$Q1095)+1,2)),2),"0000"))))</f>
        <v/>
      </c>
      <c r="G1098">
        <f>IF(OR($E1098="",$E1098="نامعتبر"),"",IF(Sync!$S1095="","",Sync!$S1095))</f>
        <v/>
      </c>
      <c r="H1098">
        <f>IF(OR($E1098="",$E1098="نامعتبر"),"",IF(Sync!$R1095="","",Sync!$R1095))</f>
        <v/>
      </c>
      <c r="I1098">
        <f>IF(OR($E1098="",$E1098="نامعتبر"),"",IF(Sync!$T1095="","",Sync!$T1095))</f>
        <v/>
      </c>
      <c r="J1098">
        <f>IF(OR($E1098="",$E1098="نامعتبر"),"",IF(Sync!$U1095="","",Sync!$U1095))</f>
        <v/>
      </c>
      <c r="K1098">
        <f>IF(OR($E1098="",$E1098="نامعتبر"),"",IF(Sync!$V1095="","",IFERROR(INDEX(SubCodes,MATCH(Sync!$V1095,SubTitles,0)),Sync!$V1095)))</f>
        <v/>
      </c>
      <c r="L1098">
        <f>IF(OR($E1098="",$E1098="نامعتبر"),"",IF(Sync!$W1095="",0,Sync!$W1095))</f>
        <v/>
      </c>
      <c r="M1098">
        <f>IF(OR($E1098="",$E1098="نامعتبر"),"",IF(Sync!$X1095="",0,Sync!$X1095))</f>
        <v/>
      </c>
      <c r="N1098">
        <f>IF(OR($E1098="",$E1098="نامعتبر"),"",IF(AND($J1098="هزینه",$K1098&lt;&gt;""),1,0))</f>
        <v/>
      </c>
      <c r="O1098">
        <f>IF($N1098=0,"",LEFT($E1098,4)&amp;MID($E1098,6,2)&amp;RIGHT($E1098,2)&amp;$F1098&amp;"|"&amp;"1"&amp;RIGHT("00000"&amp;1090,5))</f>
        <v/>
      </c>
      <c r="P1098">
        <f>IF($O1098="","",COUNTIFS(ExpSub,$K1098,ExpKey,"&lt;"&amp;$O1098)+1)</f>
        <v/>
      </c>
      <c r="Q1098">
        <f>IF($P1098="","",$K1098&amp;"|"&amp;RIGHT("000000"&amp;$P1098,6))</f>
        <v/>
      </c>
    </row>
    <row r="1099">
      <c r="A1099">
        <f>IF(Sync!$P1096="","",Sync!$P1096)</f>
        <v/>
      </c>
      <c r="B1099">
        <f>IF($A1099="","",IF(ISNUMBER($A1099),IF(AND($A1099&gt;=10000101,$A1099&lt;=99991231),INT($A1099/10000),""),IFERROR(VALUE(TRIM(LEFT($A1099,FIND("/",$A1099)-1))),"")))</f>
        <v/>
      </c>
      <c r="C1099">
        <f>IF(OR($A1099="",$B1099=""),"",IF(ISNUMBER($A1099),INT(MOD($A1099,10000)/100),IFERROR(VALUE(TRIM(LEFT(MID($A1099,FIND("/",$A1099)+1,20),FIND("/",MID($A1099,FIND("/",$A1099)+1,20))-1))),"")))</f>
        <v/>
      </c>
      <c r="D1099">
        <f>IF(OR($A1099="",$B1099=""),"",IF(ISNUMBER($A1099),MOD($A1099,100),IFERROR(VALUE(TRIM(MID(MID($A1099,FIND("/",$A1099)+1,20),FIND("/",MID($A1099,FIND("/",$A1099)+1,20))+1,20))),"")))</f>
        <v/>
      </c>
      <c r="E1099">
        <f>IF($A1099="","",IF(OR($B1099="",$C1099="",$D1099="",$B1099&lt;1300,$B1099&gt;1500,$C1099&lt;1,$C1099&gt;12,$D1099&lt;1,$D1099&gt;31),"نامعتبر",RIGHT("0000"&amp;$B1099,4)&amp;"/"&amp;RIGHT("00"&amp;$C1099,2)&amp;"/"&amp;RIGHT("00"&amp;$D1099,2)))</f>
        <v/>
      </c>
      <c r="F1099">
        <f>IF(OR($E1099="",$E1099="نامعتبر"),"",IF(Sync!$Q1096="","0000",IF(AND(ISNUMBER(Sync!$Q1096),Sync!$Q1096&gt;=0,Sync!$Q1096&lt;1),RIGHT("00"&amp;HOUR(Sync!$Q1096),2)&amp;RIGHT("00"&amp;MINUTE(Sync!$Q1096),2),IFERROR(RIGHT("00"&amp;VALUE(LEFT(Sync!$Q1096,FIND(":",Sync!$Q1096)-1)),2)&amp;RIGHT("00"&amp;VALUE(MID(Sync!$Q1096,FIND(":",Sync!$Q1096)+1,2)),2),"0000"))))</f>
        <v/>
      </c>
      <c r="G1099">
        <f>IF(OR($E1099="",$E1099="نامعتبر"),"",IF(Sync!$S1096="","",Sync!$S1096))</f>
        <v/>
      </c>
      <c r="H1099">
        <f>IF(OR($E1099="",$E1099="نامعتبر"),"",IF(Sync!$R1096="","",Sync!$R1096))</f>
        <v/>
      </c>
      <c r="I1099">
        <f>IF(OR($E1099="",$E1099="نامعتبر"),"",IF(Sync!$T1096="","",Sync!$T1096))</f>
        <v/>
      </c>
      <c r="J1099">
        <f>IF(OR($E1099="",$E1099="نامعتبر"),"",IF(Sync!$U1096="","",Sync!$U1096))</f>
        <v/>
      </c>
      <c r="K1099">
        <f>IF(OR($E1099="",$E1099="نامعتبر"),"",IF(Sync!$V1096="","",IFERROR(INDEX(SubCodes,MATCH(Sync!$V1096,SubTitles,0)),Sync!$V1096)))</f>
        <v/>
      </c>
      <c r="L1099">
        <f>IF(OR($E1099="",$E1099="نامعتبر"),"",IF(Sync!$W1096="",0,Sync!$W1096))</f>
        <v/>
      </c>
      <c r="M1099">
        <f>IF(OR($E1099="",$E1099="نامعتبر"),"",IF(Sync!$X1096="",0,Sync!$X1096))</f>
        <v/>
      </c>
      <c r="N1099">
        <f>IF(OR($E1099="",$E1099="نامعتبر"),"",IF(AND($J1099="هزینه",$K1099&lt;&gt;""),1,0))</f>
        <v/>
      </c>
      <c r="O1099">
        <f>IF($N1099=0,"",LEFT($E1099,4)&amp;MID($E1099,6,2)&amp;RIGHT($E1099,2)&amp;$F1099&amp;"|"&amp;"1"&amp;RIGHT("00000"&amp;1091,5))</f>
        <v/>
      </c>
      <c r="P1099">
        <f>IF($O1099="","",COUNTIFS(ExpSub,$K1099,ExpKey,"&lt;"&amp;$O1099)+1)</f>
        <v/>
      </c>
      <c r="Q1099">
        <f>IF($P1099="","",$K1099&amp;"|"&amp;RIGHT("000000"&amp;$P1099,6))</f>
        <v/>
      </c>
    </row>
    <row r="1100">
      <c r="A1100">
        <f>IF(Sync!$P1097="","",Sync!$P1097)</f>
        <v/>
      </c>
      <c r="B1100">
        <f>IF($A1100="","",IF(ISNUMBER($A1100),IF(AND($A1100&gt;=10000101,$A1100&lt;=99991231),INT($A1100/10000),""),IFERROR(VALUE(TRIM(LEFT($A1100,FIND("/",$A1100)-1))),"")))</f>
        <v/>
      </c>
      <c r="C1100">
        <f>IF(OR($A1100="",$B1100=""),"",IF(ISNUMBER($A1100),INT(MOD($A1100,10000)/100),IFERROR(VALUE(TRIM(LEFT(MID($A1100,FIND("/",$A1100)+1,20),FIND("/",MID($A1100,FIND("/",$A1100)+1,20))-1))),"")))</f>
        <v/>
      </c>
      <c r="D1100">
        <f>IF(OR($A1100="",$B1100=""),"",IF(ISNUMBER($A1100),MOD($A1100,100),IFERROR(VALUE(TRIM(MID(MID($A1100,FIND("/",$A1100)+1,20),FIND("/",MID($A1100,FIND("/",$A1100)+1,20))+1,20))),"")))</f>
        <v/>
      </c>
      <c r="E1100">
        <f>IF($A1100="","",IF(OR($B1100="",$C1100="",$D1100="",$B1100&lt;1300,$B1100&gt;1500,$C1100&lt;1,$C1100&gt;12,$D1100&lt;1,$D1100&gt;31),"نامعتبر",RIGHT("0000"&amp;$B1100,4)&amp;"/"&amp;RIGHT("00"&amp;$C1100,2)&amp;"/"&amp;RIGHT("00"&amp;$D1100,2)))</f>
        <v/>
      </c>
      <c r="F1100">
        <f>IF(OR($E1100="",$E1100="نامعتبر"),"",IF(Sync!$Q1097="","0000",IF(AND(ISNUMBER(Sync!$Q1097),Sync!$Q1097&gt;=0,Sync!$Q1097&lt;1),RIGHT("00"&amp;HOUR(Sync!$Q1097),2)&amp;RIGHT("00"&amp;MINUTE(Sync!$Q1097),2),IFERROR(RIGHT("00"&amp;VALUE(LEFT(Sync!$Q1097,FIND(":",Sync!$Q1097)-1)),2)&amp;RIGHT("00"&amp;VALUE(MID(Sync!$Q1097,FIND(":",Sync!$Q1097)+1,2)),2),"0000"))))</f>
        <v/>
      </c>
      <c r="G1100">
        <f>IF(OR($E1100="",$E1100="نامعتبر"),"",IF(Sync!$S1097="","",Sync!$S1097))</f>
        <v/>
      </c>
      <c r="H1100">
        <f>IF(OR($E1100="",$E1100="نامعتبر"),"",IF(Sync!$R1097="","",Sync!$R1097))</f>
        <v/>
      </c>
      <c r="I1100">
        <f>IF(OR($E1100="",$E1100="نامعتبر"),"",IF(Sync!$T1097="","",Sync!$T1097))</f>
        <v/>
      </c>
      <c r="J1100">
        <f>IF(OR($E1100="",$E1100="نامعتبر"),"",IF(Sync!$U1097="","",Sync!$U1097))</f>
        <v/>
      </c>
      <c r="K1100">
        <f>IF(OR($E1100="",$E1100="نامعتبر"),"",IF(Sync!$V1097="","",IFERROR(INDEX(SubCodes,MATCH(Sync!$V1097,SubTitles,0)),Sync!$V1097)))</f>
        <v/>
      </c>
      <c r="L1100">
        <f>IF(OR($E1100="",$E1100="نامعتبر"),"",IF(Sync!$W1097="",0,Sync!$W1097))</f>
        <v/>
      </c>
      <c r="M1100">
        <f>IF(OR($E1100="",$E1100="نامعتبر"),"",IF(Sync!$X1097="",0,Sync!$X1097))</f>
        <v/>
      </c>
      <c r="N1100">
        <f>IF(OR($E1100="",$E1100="نامعتبر"),"",IF(AND($J1100="هزینه",$K1100&lt;&gt;""),1,0))</f>
        <v/>
      </c>
      <c r="O1100">
        <f>IF($N1100=0,"",LEFT($E1100,4)&amp;MID($E1100,6,2)&amp;RIGHT($E1100,2)&amp;$F1100&amp;"|"&amp;"1"&amp;RIGHT("00000"&amp;1092,5))</f>
        <v/>
      </c>
      <c r="P1100">
        <f>IF($O1100="","",COUNTIFS(ExpSub,$K1100,ExpKey,"&lt;"&amp;$O1100)+1)</f>
        <v/>
      </c>
      <c r="Q1100">
        <f>IF($P1100="","",$K1100&amp;"|"&amp;RIGHT("000000"&amp;$P1100,6))</f>
        <v/>
      </c>
    </row>
    <row r="1101">
      <c r="A1101">
        <f>IF(Sync!$P1098="","",Sync!$P1098)</f>
        <v/>
      </c>
      <c r="B1101">
        <f>IF($A1101="","",IF(ISNUMBER($A1101),IF(AND($A1101&gt;=10000101,$A1101&lt;=99991231),INT($A1101/10000),""),IFERROR(VALUE(TRIM(LEFT($A1101,FIND("/",$A1101)-1))),"")))</f>
        <v/>
      </c>
      <c r="C1101">
        <f>IF(OR($A1101="",$B1101=""),"",IF(ISNUMBER($A1101),INT(MOD($A1101,10000)/100),IFERROR(VALUE(TRIM(LEFT(MID($A1101,FIND("/",$A1101)+1,20),FIND("/",MID($A1101,FIND("/",$A1101)+1,20))-1))),"")))</f>
        <v/>
      </c>
      <c r="D1101">
        <f>IF(OR($A1101="",$B1101=""),"",IF(ISNUMBER($A1101),MOD($A1101,100),IFERROR(VALUE(TRIM(MID(MID($A1101,FIND("/",$A1101)+1,20),FIND("/",MID($A1101,FIND("/",$A1101)+1,20))+1,20))),"")))</f>
        <v/>
      </c>
      <c r="E1101">
        <f>IF($A1101="","",IF(OR($B1101="",$C1101="",$D1101="",$B1101&lt;1300,$B1101&gt;1500,$C1101&lt;1,$C1101&gt;12,$D1101&lt;1,$D1101&gt;31),"نامعتبر",RIGHT("0000"&amp;$B1101,4)&amp;"/"&amp;RIGHT("00"&amp;$C1101,2)&amp;"/"&amp;RIGHT("00"&amp;$D1101,2)))</f>
        <v/>
      </c>
      <c r="F1101">
        <f>IF(OR($E1101="",$E1101="نامعتبر"),"",IF(Sync!$Q1098="","0000",IF(AND(ISNUMBER(Sync!$Q1098),Sync!$Q1098&gt;=0,Sync!$Q1098&lt;1),RIGHT("00"&amp;HOUR(Sync!$Q1098),2)&amp;RIGHT("00"&amp;MINUTE(Sync!$Q1098),2),IFERROR(RIGHT("00"&amp;VALUE(LEFT(Sync!$Q1098,FIND(":",Sync!$Q1098)-1)),2)&amp;RIGHT("00"&amp;VALUE(MID(Sync!$Q1098,FIND(":",Sync!$Q1098)+1,2)),2),"0000"))))</f>
        <v/>
      </c>
      <c r="G1101">
        <f>IF(OR($E1101="",$E1101="نامعتبر"),"",IF(Sync!$S1098="","",Sync!$S1098))</f>
        <v/>
      </c>
      <c r="H1101">
        <f>IF(OR($E1101="",$E1101="نامعتبر"),"",IF(Sync!$R1098="","",Sync!$R1098))</f>
        <v/>
      </c>
      <c r="I1101">
        <f>IF(OR($E1101="",$E1101="نامعتبر"),"",IF(Sync!$T1098="","",Sync!$T1098))</f>
        <v/>
      </c>
      <c r="J1101">
        <f>IF(OR($E1101="",$E1101="نامعتبر"),"",IF(Sync!$U1098="","",Sync!$U1098))</f>
        <v/>
      </c>
      <c r="K1101">
        <f>IF(OR($E1101="",$E1101="نامعتبر"),"",IF(Sync!$V1098="","",IFERROR(INDEX(SubCodes,MATCH(Sync!$V1098,SubTitles,0)),Sync!$V1098)))</f>
        <v/>
      </c>
      <c r="L1101">
        <f>IF(OR($E1101="",$E1101="نامعتبر"),"",IF(Sync!$W1098="",0,Sync!$W1098))</f>
        <v/>
      </c>
      <c r="M1101">
        <f>IF(OR($E1101="",$E1101="نامعتبر"),"",IF(Sync!$X1098="",0,Sync!$X1098))</f>
        <v/>
      </c>
      <c r="N1101">
        <f>IF(OR($E1101="",$E1101="نامعتبر"),"",IF(AND($J1101="هزینه",$K1101&lt;&gt;""),1,0))</f>
        <v/>
      </c>
      <c r="O1101">
        <f>IF($N1101=0,"",LEFT($E1101,4)&amp;MID($E1101,6,2)&amp;RIGHT($E1101,2)&amp;$F1101&amp;"|"&amp;"1"&amp;RIGHT("00000"&amp;1093,5))</f>
        <v/>
      </c>
      <c r="P1101">
        <f>IF($O1101="","",COUNTIFS(ExpSub,$K1101,ExpKey,"&lt;"&amp;$O1101)+1)</f>
        <v/>
      </c>
      <c r="Q1101">
        <f>IF($P1101="","",$K1101&amp;"|"&amp;RIGHT("000000"&amp;$P1101,6))</f>
        <v/>
      </c>
    </row>
    <row r="1102">
      <c r="A1102">
        <f>IF(Sync!$P1099="","",Sync!$P1099)</f>
        <v/>
      </c>
      <c r="B1102">
        <f>IF($A1102="","",IF(ISNUMBER($A1102),IF(AND($A1102&gt;=10000101,$A1102&lt;=99991231),INT($A1102/10000),""),IFERROR(VALUE(TRIM(LEFT($A1102,FIND("/",$A1102)-1))),"")))</f>
        <v/>
      </c>
      <c r="C1102">
        <f>IF(OR($A1102="",$B1102=""),"",IF(ISNUMBER($A1102),INT(MOD($A1102,10000)/100),IFERROR(VALUE(TRIM(LEFT(MID($A1102,FIND("/",$A1102)+1,20),FIND("/",MID($A1102,FIND("/",$A1102)+1,20))-1))),"")))</f>
        <v/>
      </c>
      <c r="D1102">
        <f>IF(OR($A1102="",$B1102=""),"",IF(ISNUMBER($A1102),MOD($A1102,100),IFERROR(VALUE(TRIM(MID(MID($A1102,FIND("/",$A1102)+1,20),FIND("/",MID($A1102,FIND("/",$A1102)+1,20))+1,20))),"")))</f>
        <v/>
      </c>
      <c r="E1102">
        <f>IF($A1102="","",IF(OR($B1102="",$C1102="",$D1102="",$B1102&lt;1300,$B1102&gt;1500,$C1102&lt;1,$C1102&gt;12,$D1102&lt;1,$D1102&gt;31),"نامعتبر",RIGHT("0000"&amp;$B1102,4)&amp;"/"&amp;RIGHT("00"&amp;$C1102,2)&amp;"/"&amp;RIGHT("00"&amp;$D1102,2)))</f>
        <v/>
      </c>
      <c r="F1102">
        <f>IF(OR($E1102="",$E1102="نامعتبر"),"",IF(Sync!$Q1099="","0000",IF(AND(ISNUMBER(Sync!$Q1099),Sync!$Q1099&gt;=0,Sync!$Q1099&lt;1),RIGHT("00"&amp;HOUR(Sync!$Q1099),2)&amp;RIGHT("00"&amp;MINUTE(Sync!$Q1099),2),IFERROR(RIGHT("00"&amp;VALUE(LEFT(Sync!$Q1099,FIND(":",Sync!$Q1099)-1)),2)&amp;RIGHT("00"&amp;VALUE(MID(Sync!$Q1099,FIND(":",Sync!$Q1099)+1,2)),2),"0000"))))</f>
        <v/>
      </c>
      <c r="G1102">
        <f>IF(OR($E1102="",$E1102="نامعتبر"),"",IF(Sync!$S1099="","",Sync!$S1099))</f>
        <v/>
      </c>
      <c r="H1102">
        <f>IF(OR($E1102="",$E1102="نامعتبر"),"",IF(Sync!$R1099="","",Sync!$R1099))</f>
        <v/>
      </c>
      <c r="I1102">
        <f>IF(OR($E1102="",$E1102="نامعتبر"),"",IF(Sync!$T1099="","",Sync!$T1099))</f>
        <v/>
      </c>
      <c r="J1102">
        <f>IF(OR($E1102="",$E1102="نامعتبر"),"",IF(Sync!$U1099="","",Sync!$U1099))</f>
        <v/>
      </c>
      <c r="K1102">
        <f>IF(OR($E1102="",$E1102="نامعتبر"),"",IF(Sync!$V1099="","",IFERROR(INDEX(SubCodes,MATCH(Sync!$V1099,SubTitles,0)),Sync!$V1099)))</f>
        <v/>
      </c>
      <c r="L1102">
        <f>IF(OR($E1102="",$E1102="نامعتبر"),"",IF(Sync!$W1099="",0,Sync!$W1099))</f>
        <v/>
      </c>
      <c r="M1102">
        <f>IF(OR($E1102="",$E1102="نامعتبر"),"",IF(Sync!$X1099="",0,Sync!$X1099))</f>
        <v/>
      </c>
      <c r="N1102">
        <f>IF(OR($E1102="",$E1102="نامعتبر"),"",IF(AND($J1102="هزینه",$K1102&lt;&gt;""),1,0))</f>
        <v/>
      </c>
      <c r="O1102">
        <f>IF($N1102=0,"",LEFT($E1102,4)&amp;MID($E1102,6,2)&amp;RIGHT($E1102,2)&amp;$F1102&amp;"|"&amp;"1"&amp;RIGHT("00000"&amp;1094,5))</f>
        <v/>
      </c>
      <c r="P1102">
        <f>IF($O1102="","",COUNTIFS(ExpSub,$K1102,ExpKey,"&lt;"&amp;$O1102)+1)</f>
        <v/>
      </c>
      <c r="Q1102">
        <f>IF($P1102="","",$K1102&amp;"|"&amp;RIGHT("000000"&amp;$P1102,6))</f>
        <v/>
      </c>
    </row>
    <row r="1103">
      <c r="A1103">
        <f>IF(Sync!$P1100="","",Sync!$P1100)</f>
        <v/>
      </c>
      <c r="B1103">
        <f>IF($A1103="","",IF(ISNUMBER($A1103),IF(AND($A1103&gt;=10000101,$A1103&lt;=99991231),INT($A1103/10000),""),IFERROR(VALUE(TRIM(LEFT($A1103,FIND("/",$A1103)-1))),"")))</f>
        <v/>
      </c>
      <c r="C1103">
        <f>IF(OR($A1103="",$B1103=""),"",IF(ISNUMBER($A1103),INT(MOD($A1103,10000)/100),IFERROR(VALUE(TRIM(LEFT(MID($A1103,FIND("/",$A1103)+1,20),FIND("/",MID($A1103,FIND("/",$A1103)+1,20))-1))),"")))</f>
        <v/>
      </c>
      <c r="D1103">
        <f>IF(OR($A1103="",$B1103=""),"",IF(ISNUMBER($A1103),MOD($A1103,100),IFERROR(VALUE(TRIM(MID(MID($A1103,FIND("/",$A1103)+1,20),FIND("/",MID($A1103,FIND("/",$A1103)+1,20))+1,20))),"")))</f>
        <v/>
      </c>
      <c r="E1103">
        <f>IF($A1103="","",IF(OR($B1103="",$C1103="",$D1103="",$B1103&lt;1300,$B1103&gt;1500,$C1103&lt;1,$C1103&gt;12,$D1103&lt;1,$D1103&gt;31),"نامعتبر",RIGHT("0000"&amp;$B1103,4)&amp;"/"&amp;RIGHT("00"&amp;$C1103,2)&amp;"/"&amp;RIGHT("00"&amp;$D1103,2)))</f>
        <v/>
      </c>
      <c r="F1103">
        <f>IF(OR($E1103="",$E1103="نامعتبر"),"",IF(Sync!$Q1100="","0000",IF(AND(ISNUMBER(Sync!$Q1100),Sync!$Q1100&gt;=0,Sync!$Q1100&lt;1),RIGHT("00"&amp;HOUR(Sync!$Q1100),2)&amp;RIGHT("00"&amp;MINUTE(Sync!$Q1100),2),IFERROR(RIGHT("00"&amp;VALUE(LEFT(Sync!$Q1100,FIND(":",Sync!$Q1100)-1)),2)&amp;RIGHT("00"&amp;VALUE(MID(Sync!$Q1100,FIND(":",Sync!$Q1100)+1,2)),2),"0000"))))</f>
        <v/>
      </c>
      <c r="G1103">
        <f>IF(OR($E1103="",$E1103="نامعتبر"),"",IF(Sync!$S1100="","",Sync!$S1100))</f>
        <v/>
      </c>
      <c r="H1103">
        <f>IF(OR($E1103="",$E1103="نامعتبر"),"",IF(Sync!$R1100="","",Sync!$R1100))</f>
        <v/>
      </c>
      <c r="I1103">
        <f>IF(OR($E1103="",$E1103="نامعتبر"),"",IF(Sync!$T1100="","",Sync!$T1100))</f>
        <v/>
      </c>
      <c r="J1103">
        <f>IF(OR($E1103="",$E1103="نامعتبر"),"",IF(Sync!$U1100="","",Sync!$U1100))</f>
        <v/>
      </c>
      <c r="K1103">
        <f>IF(OR($E1103="",$E1103="نامعتبر"),"",IF(Sync!$V1100="","",IFERROR(INDEX(SubCodes,MATCH(Sync!$V1100,SubTitles,0)),Sync!$V1100)))</f>
        <v/>
      </c>
      <c r="L1103">
        <f>IF(OR($E1103="",$E1103="نامعتبر"),"",IF(Sync!$W1100="",0,Sync!$W1100))</f>
        <v/>
      </c>
      <c r="M1103">
        <f>IF(OR($E1103="",$E1103="نامعتبر"),"",IF(Sync!$X1100="",0,Sync!$X1100))</f>
        <v/>
      </c>
      <c r="N1103">
        <f>IF(OR($E1103="",$E1103="نامعتبر"),"",IF(AND($J1103="هزینه",$K1103&lt;&gt;""),1,0))</f>
        <v/>
      </c>
      <c r="O1103">
        <f>IF($N1103=0,"",LEFT($E1103,4)&amp;MID($E1103,6,2)&amp;RIGHT($E1103,2)&amp;$F1103&amp;"|"&amp;"1"&amp;RIGHT("00000"&amp;1095,5))</f>
        <v/>
      </c>
      <c r="P1103">
        <f>IF($O1103="","",COUNTIFS(ExpSub,$K1103,ExpKey,"&lt;"&amp;$O1103)+1)</f>
        <v/>
      </c>
      <c r="Q1103">
        <f>IF($P1103="","",$K1103&amp;"|"&amp;RIGHT("000000"&amp;$P1103,6))</f>
        <v/>
      </c>
    </row>
    <row r="1104">
      <c r="A1104">
        <f>IF(Sync!$P1101="","",Sync!$P1101)</f>
        <v/>
      </c>
      <c r="B1104">
        <f>IF($A1104="","",IF(ISNUMBER($A1104),IF(AND($A1104&gt;=10000101,$A1104&lt;=99991231),INT($A1104/10000),""),IFERROR(VALUE(TRIM(LEFT($A1104,FIND("/",$A1104)-1))),"")))</f>
        <v/>
      </c>
      <c r="C1104">
        <f>IF(OR($A1104="",$B1104=""),"",IF(ISNUMBER($A1104),INT(MOD($A1104,10000)/100),IFERROR(VALUE(TRIM(LEFT(MID($A1104,FIND("/",$A1104)+1,20),FIND("/",MID($A1104,FIND("/",$A1104)+1,20))-1))),"")))</f>
        <v/>
      </c>
      <c r="D1104">
        <f>IF(OR($A1104="",$B1104=""),"",IF(ISNUMBER($A1104),MOD($A1104,100),IFERROR(VALUE(TRIM(MID(MID($A1104,FIND("/",$A1104)+1,20),FIND("/",MID($A1104,FIND("/",$A1104)+1,20))+1,20))),"")))</f>
        <v/>
      </c>
      <c r="E1104">
        <f>IF($A1104="","",IF(OR($B1104="",$C1104="",$D1104="",$B1104&lt;1300,$B1104&gt;1500,$C1104&lt;1,$C1104&gt;12,$D1104&lt;1,$D1104&gt;31),"نامعتبر",RIGHT("0000"&amp;$B1104,4)&amp;"/"&amp;RIGHT("00"&amp;$C1104,2)&amp;"/"&amp;RIGHT("00"&amp;$D1104,2)))</f>
        <v/>
      </c>
      <c r="F1104">
        <f>IF(OR($E1104="",$E1104="نامعتبر"),"",IF(Sync!$Q1101="","0000",IF(AND(ISNUMBER(Sync!$Q1101),Sync!$Q1101&gt;=0,Sync!$Q1101&lt;1),RIGHT("00"&amp;HOUR(Sync!$Q1101),2)&amp;RIGHT("00"&amp;MINUTE(Sync!$Q1101),2),IFERROR(RIGHT("00"&amp;VALUE(LEFT(Sync!$Q1101,FIND(":",Sync!$Q1101)-1)),2)&amp;RIGHT("00"&amp;VALUE(MID(Sync!$Q1101,FIND(":",Sync!$Q1101)+1,2)),2),"0000"))))</f>
        <v/>
      </c>
      <c r="G1104">
        <f>IF(OR($E1104="",$E1104="نامعتبر"),"",IF(Sync!$S1101="","",Sync!$S1101))</f>
        <v/>
      </c>
      <c r="H1104">
        <f>IF(OR($E1104="",$E1104="نامعتبر"),"",IF(Sync!$R1101="","",Sync!$R1101))</f>
        <v/>
      </c>
      <c r="I1104">
        <f>IF(OR($E1104="",$E1104="نامعتبر"),"",IF(Sync!$T1101="","",Sync!$T1101))</f>
        <v/>
      </c>
      <c r="J1104">
        <f>IF(OR($E1104="",$E1104="نامعتبر"),"",IF(Sync!$U1101="","",Sync!$U1101))</f>
        <v/>
      </c>
      <c r="K1104">
        <f>IF(OR($E1104="",$E1104="نامعتبر"),"",IF(Sync!$V1101="","",IFERROR(INDEX(SubCodes,MATCH(Sync!$V1101,SubTitles,0)),Sync!$V1101)))</f>
        <v/>
      </c>
      <c r="L1104">
        <f>IF(OR($E1104="",$E1104="نامعتبر"),"",IF(Sync!$W1101="",0,Sync!$W1101))</f>
        <v/>
      </c>
      <c r="M1104">
        <f>IF(OR($E1104="",$E1104="نامعتبر"),"",IF(Sync!$X1101="",0,Sync!$X1101))</f>
        <v/>
      </c>
      <c r="N1104">
        <f>IF(OR($E1104="",$E1104="نامعتبر"),"",IF(AND($J1104="هزینه",$K1104&lt;&gt;""),1,0))</f>
        <v/>
      </c>
      <c r="O1104">
        <f>IF($N1104=0,"",LEFT($E1104,4)&amp;MID($E1104,6,2)&amp;RIGHT($E1104,2)&amp;$F1104&amp;"|"&amp;"1"&amp;RIGHT("00000"&amp;1096,5))</f>
        <v/>
      </c>
      <c r="P1104">
        <f>IF($O1104="","",COUNTIFS(ExpSub,$K1104,ExpKey,"&lt;"&amp;$O1104)+1)</f>
        <v/>
      </c>
      <c r="Q1104">
        <f>IF($P1104="","",$K1104&amp;"|"&amp;RIGHT("000000"&amp;$P1104,6))</f>
        <v/>
      </c>
    </row>
    <row r="1105">
      <c r="A1105">
        <f>IF(Sync!$P1102="","",Sync!$P1102)</f>
        <v/>
      </c>
      <c r="B1105">
        <f>IF($A1105="","",IF(ISNUMBER($A1105),IF(AND($A1105&gt;=10000101,$A1105&lt;=99991231),INT($A1105/10000),""),IFERROR(VALUE(TRIM(LEFT($A1105,FIND("/",$A1105)-1))),"")))</f>
        <v/>
      </c>
      <c r="C1105">
        <f>IF(OR($A1105="",$B1105=""),"",IF(ISNUMBER($A1105),INT(MOD($A1105,10000)/100),IFERROR(VALUE(TRIM(LEFT(MID($A1105,FIND("/",$A1105)+1,20),FIND("/",MID($A1105,FIND("/",$A1105)+1,20))-1))),"")))</f>
        <v/>
      </c>
      <c r="D1105">
        <f>IF(OR($A1105="",$B1105=""),"",IF(ISNUMBER($A1105),MOD($A1105,100),IFERROR(VALUE(TRIM(MID(MID($A1105,FIND("/",$A1105)+1,20),FIND("/",MID($A1105,FIND("/",$A1105)+1,20))+1,20))),"")))</f>
        <v/>
      </c>
      <c r="E1105">
        <f>IF($A1105="","",IF(OR($B1105="",$C1105="",$D1105="",$B1105&lt;1300,$B1105&gt;1500,$C1105&lt;1,$C1105&gt;12,$D1105&lt;1,$D1105&gt;31),"نامعتبر",RIGHT("0000"&amp;$B1105,4)&amp;"/"&amp;RIGHT("00"&amp;$C1105,2)&amp;"/"&amp;RIGHT("00"&amp;$D1105,2)))</f>
        <v/>
      </c>
      <c r="F1105">
        <f>IF(OR($E1105="",$E1105="نامعتبر"),"",IF(Sync!$Q1102="","0000",IF(AND(ISNUMBER(Sync!$Q1102),Sync!$Q1102&gt;=0,Sync!$Q1102&lt;1),RIGHT("00"&amp;HOUR(Sync!$Q1102),2)&amp;RIGHT("00"&amp;MINUTE(Sync!$Q1102),2),IFERROR(RIGHT("00"&amp;VALUE(LEFT(Sync!$Q1102,FIND(":",Sync!$Q1102)-1)),2)&amp;RIGHT("00"&amp;VALUE(MID(Sync!$Q1102,FIND(":",Sync!$Q1102)+1,2)),2),"0000"))))</f>
        <v/>
      </c>
      <c r="G1105">
        <f>IF(OR($E1105="",$E1105="نامعتبر"),"",IF(Sync!$S1102="","",Sync!$S1102))</f>
        <v/>
      </c>
      <c r="H1105">
        <f>IF(OR($E1105="",$E1105="نامعتبر"),"",IF(Sync!$R1102="","",Sync!$R1102))</f>
        <v/>
      </c>
      <c r="I1105">
        <f>IF(OR($E1105="",$E1105="نامعتبر"),"",IF(Sync!$T1102="","",Sync!$T1102))</f>
        <v/>
      </c>
      <c r="J1105">
        <f>IF(OR($E1105="",$E1105="نامعتبر"),"",IF(Sync!$U1102="","",Sync!$U1102))</f>
        <v/>
      </c>
      <c r="K1105">
        <f>IF(OR($E1105="",$E1105="نامعتبر"),"",IF(Sync!$V1102="","",IFERROR(INDEX(SubCodes,MATCH(Sync!$V1102,SubTitles,0)),Sync!$V1102)))</f>
        <v/>
      </c>
      <c r="L1105">
        <f>IF(OR($E1105="",$E1105="نامعتبر"),"",IF(Sync!$W1102="",0,Sync!$W1102))</f>
        <v/>
      </c>
      <c r="M1105">
        <f>IF(OR($E1105="",$E1105="نامعتبر"),"",IF(Sync!$X1102="",0,Sync!$X1102))</f>
        <v/>
      </c>
      <c r="N1105">
        <f>IF(OR($E1105="",$E1105="نامعتبر"),"",IF(AND($J1105="هزینه",$K1105&lt;&gt;""),1,0))</f>
        <v/>
      </c>
      <c r="O1105">
        <f>IF($N1105=0,"",LEFT($E1105,4)&amp;MID($E1105,6,2)&amp;RIGHT($E1105,2)&amp;$F1105&amp;"|"&amp;"1"&amp;RIGHT("00000"&amp;1097,5))</f>
        <v/>
      </c>
      <c r="P1105">
        <f>IF($O1105="","",COUNTIFS(ExpSub,$K1105,ExpKey,"&lt;"&amp;$O1105)+1)</f>
        <v/>
      </c>
      <c r="Q1105">
        <f>IF($P1105="","",$K1105&amp;"|"&amp;RIGHT("000000"&amp;$P1105,6))</f>
        <v/>
      </c>
    </row>
    <row r="1106">
      <c r="A1106">
        <f>IF(Sync!$P1103="","",Sync!$P1103)</f>
        <v/>
      </c>
      <c r="B1106">
        <f>IF($A1106="","",IF(ISNUMBER($A1106),IF(AND($A1106&gt;=10000101,$A1106&lt;=99991231),INT($A1106/10000),""),IFERROR(VALUE(TRIM(LEFT($A1106,FIND("/",$A1106)-1))),"")))</f>
        <v/>
      </c>
      <c r="C1106">
        <f>IF(OR($A1106="",$B1106=""),"",IF(ISNUMBER($A1106),INT(MOD($A1106,10000)/100),IFERROR(VALUE(TRIM(LEFT(MID($A1106,FIND("/",$A1106)+1,20),FIND("/",MID($A1106,FIND("/",$A1106)+1,20))-1))),"")))</f>
        <v/>
      </c>
      <c r="D1106">
        <f>IF(OR($A1106="",$B1106=""),"",IF(ISNUMBER($A1106),MOD($A1106,100),IFERROR(VALUE(TRIM(MID(MID($A1106,FIND("/",$A1106)+1,20),FIND("/",MID($A1106,FIND("/",$A1106)+1,20))+1,20))),"")))</f>
        <v/>
      </c>
      <c r="E1106">
        <f>IF($A1106="","",IF(OR($B1106="",$C1106="",$D1106="",$B1106&lt;1300,$B1106&gt;1500,$C1106&lt;1,$C1106&gt;12,$D1106&lt;1,$D1106&gt;31),"نامعتبر",RIGHT("0000"&amp;$B1106,4)&amp;"/"&amp;RIGHT("00"&amp;$C1106,2)&amp;"/"&amp;RIGHT("00"&amp;$D1106,2)))</f>
        <v/>
      </c>
      <c r="F1106">
        <f>IF(OR($E1106="",$E1106="نامعتبر"),"",IF(Sync!$Q1103="","0000",IF(AND(ISNUMBER(Sync!$Q1103),Sync!$Q1103&gt;=0,Sync!$Q1103&lt;1),RIGHT("00"&amp;HOUR(Sync!$Q1103),2)&amp;RIGHT("00"&amp;MINUTE(Sync!$Q1103),2),IFERROR(RIGHT("00"&amp;VALUE(LEFT(Sync!$Q1103,FIND(":",Sync!$Q1103)-1)),2)&amp;RIGHT("00"&amp;VALUE(MID(Sync!$Q1103,FIND(":",Sync!$Q1103)+1,2)),2),"0000"))))</f>
        <v/>
      </c>
      <c r="G1106">
        <f>IF(OR($E1106="",$E1106="نامعتبر"),"",IF(Sync!$S1103="","",Sync!$S1103))</f>
        <v/>
      </c>
      <c r="H1106">
        <f>IF(OR($E1106="",$E1106="نامعتبر"),"",IF(Sync!$R1103="","",Sync!$R1103))</f>
        <v/>
      </c>
      <c r="I1106">
        <f>IF(OR($E1106="",$E1106="نامعتبر"),"",IF(Sync!$T1103="","",Sync!$T1103))</f>
        <v/>
      </c>
      <c r="J1106">
        <f>IF(OR($E1106="",$E1106="نامعتبر"),"",IF(Sync!$U1103="","",Sync!$U1103))</f>
        <v/>
      </c>
      <c r="K1106">
        <f>IF(OR($E1106="",$E1106="نامعتبر"),"",IF(Sync!$V1103="","",IFERROR(INDEX(SubCodes,MATCH(Sync!$V1103,SubTitles,0)),Sync!$V1103)))</f>
        <v/>
      </c>
      <c r="L1106">
        <f>IF(OR($E1106="",$E1106="نامعتبر"),"",IF(Sync!$W1103="",0,Sync!$W1103))</f>
        <v/>
      </c>
      <c r="M1106">
        <f>IF(OR($E1106="",$E1106="نامعتبر"),"",IF(Sync!$X1103="",0,Sync!$X1103))</f>
        <v/>
      </c>
      <c r="N1106">
        <f>IF(OR($E1106="",$E1106="نامعتبر"),"",IF(AND($J1106="هزینه",$K1106&lt;&gt;""),1,0))</f>
        <v/>
      </c>
      <c r="O1106">
        <f>IF($N1106=0,"",LEFT($E1106,4)&amp;MID($E1106,6,2)&amp;RIGHT($E1106,2)&amp;$F1106&amp;"|"&amp;"1"&amp;RIGHT("00000"&amp;1098,5))</f>
        <v/>
      </c>
      <c r="P1106">
        <f>IF($O1106="","",COUNTIFS(ExpSub,$K1106,ExpKey,"&lt;"&amp;$O1106)+1)</f>
        <v/>
      </c>
      <c r="Q1106">
        <f>IF($P1106="","",$K1106&amp;"|"&amp;RIGHT("000000"&amp;$P1106,6))</f>
        <v/>
      </c>
    </row>
    <row r="1107">
      <c r="A1107">
        <f>IF(Sync!$P1104="","",Sync!$P1104)</f>
        <v/>
      </c>
      <c r="B1107">
        <f>IF($A1107="","",IF(ISNUMBER($A1107),IF(AND($A1107&gt;=10000101,$A1107&lt;=99991231),INT($A1107/10000),""),IFERROR(VALUE(TRIM(LEFT($A1107,FIND("/",$A1107)-1))),"")))</f>
        <v/>
      </c>
      <c r="C1107">
        <f>IF(OR($A1107="",$B1107=""),"",IF(ISNUMBER($A1107),INT(MOD($A1107,10000)/100),IFERROR(VALUE(TRIM(LEFT(MID($A1107,FIND("/",$A1107)+1,20),FIND("/",MID($A1107,FIND("/",$A1107)+1,20))-1))),"")))</f>
        <v/>
      </c>
      <c r="D1107">
        <f>IF(OR($A1107="",$B1107=""),"",IF(ISNUMBER($A1107),MOD($A1107,100),IFERROR(VALUE(TRIM(MID(MID($A1107,FIND("/",$A1107)+1,20),FIND("/",MID($A1107,FIND("/",$A1107)+1,20))+1,20))),"")))</f>
        <v/>
      </c>
      <c r="E1107">
        <f>IF($A1107="","",IF(OR($B1107="",$C1107="",$D1107="",$B1107&lt;1300,$B1107&gt;1500,$C1107&lt;1,$C1107&gt;12,$D1107&lt;1,$D1107&gt;31),"نامعتبر",RIGHT("0000"&amp;$B1107,4)&amp;"/"&amp;RIGHT("00"&amp;$C1107,2)&amp;"/"&amp;RIGHT("00"&amp;$D1107,2)))</f>
        <v/>
      </c>
      <c r="F1107">
        <f>IF(OR($E1107="",$E1107="نامعتبر"),"",IF(Sync!$Q1104="","0000",IF(AND(ISNUMBER(Sync!$Q1104),Sync!$Q1104&gt;=0,Sync!$Q1104&lt;1),RIGHT("00"&amp;HOUR(Sync!$Q1104),2)&amp;RIGHT("00"&amp;MINUTE(Sync!$Q1104),2),IFERROR(RIGHT("00"&amp;VALUE(LEFT(Sync!$Q1104,FIND(":",Sync!$Q1104)-1)),2)&amp;RIGHT("00"&amp;VALUE(MID(Sync!$Q1104,FIND(":",Sync!$Q1104)+1,2)),2),"0000"))))</f>
        <v/>
      </c>
      <c r="G1107">
        <f>IF(OR($E1107="",$E1107="نامعتبر"),"",IF(Sync!$S1104="","",Sync!$S1104))</f>
        <v/>
      </c>
      <c r="H1107">
        <f>IF(OR($E1107="",$E1107="نامعتبر"),"",IF(Sync!$R1104="","",Sync!$R1104))</f>
        <v/>
      </c>
      <c r="I1107">
        <f>IF(OR($E1107="",$E1107="نامعتبر"),"",IF(Sync!$T1104="","",Sync!$T1104))</f>
        <v/>
      </c>
      <c r="J1107">
        <f>IF(OR($E1107="",$E1107="نامعتبر"),"",IF(Sync!$U1104="","",Sync!$U1104))</f>
        <v/>
      </c>
      <c r="K1107">
        <f>IF(OR($E1107="",$E1107="نامعتبر"),"",IF(Sync!$V1104="","",IFERROR(INDEX(SubCodes,MATCH(Sync!$V1104,SubTitles,0)),Sync!$V1104)))</f>
        <v/>
      </c>
      <c r="L1107">
        <f>IF(OR($E1107="",$E1107="نامعتبر"),"",IF(Sync!$W1104="",0,Sync!$W1104))</f>
        <v/>
      </c>
      <c r="M1107">
        <f>IF(OR($E1107="",$E1107="نامعتبر"),"",IF(Sync!$X1104="",0,Sync!$X1104))</f>
        <v/>
      </c>
      <c r="N1107">
        <f>IF(OR($E1107="",$E1107="نامعتبر"),"",IF(AND($J1107="هزینه",$K1107&lt;&gt;""),1,0))</f>
        <v/>
      </c>
      <c r="O1107">
        <f>IF($N1107=0,"",LEFT($E1107,4)&amp;MID($E1107,6,2)&amp;RIGHT($E1107,2)&amp;$F1107&amp;"|"&amp;"1"&amp;RIGHT("00000"&amp;1099,5))</f>
        <v/>
      </c>
      <c r="P1107">
        <f>IF($O1107="","",COUNTIFS(ExpSub,$K1107,ExpKey,"&lt;"&amp;$O1107)+1)</f>
        <v/>
      </c>
      <c r="Q1107">
        <f>IF($P1107="","",$K1107&amp;"|"&amp;RIGHT("000000"&amp;$P1107,6))</f>
        <v/>
      </c>
    </row>
    <row r="1108">
      <c r="A1108">
        <f>IF(Sync!$P1105="","",Sync!$P1105)</f>
        <v/>
      </c>
      <c r="B1108">
        <f>IF($A1108="","",IF(ISNUMBER($A1108),IF(AND($A1108&gt;=10000101,$A1108&lt;=99991231),INT($A1108/10000),""),IFERROR(VALUE(TRIM(LEFT($A1108,FIND("/",$A1108)-1))),"")))</f>
        <v/>
      </c>
      <c r="C1108">
        <f>IF(OR($A1108="",$B1108=""),"",IF(ISNUMBER($A1108),INT(MOD($A1108,10000)/100),IFERROR(VALUE(TRIM(LEFT(MID($A1108,FIND("/",$A1108)+1,20),FIND("/",MID($A1108,FIND("/",$A1108)+1,20))-1))),"")))</f>
        <v/>
      </c>
      <c r="D1108">
        <f>IF(OR($A1108="",$B1108=""),"",IF(ISNUMBER($A1108),MOD($A1108,100),IFERROR(VALUE(TRIM(MID(MID($A1108,FIND("/",$A1108)+1,20),FIND("/",MID($A1108,FIND("/",$A1108)+1,20))+1,20))),"")))</f>
        <v/>
      </c>
      <c r="E1108">
        <f>IF($A1108="","",IF(OR($B1108="",$C1108="",$D1108="",$B1108&lt;1300,$B1108&gt;1500,$C1108&lt;1,$C1108&gt;12,$D1108&lt;1,$D1108&gt;31),"نامعتبر",RIGHT("0000"&amp;$B1108,4)&amp;"/"&amp;RIGHT("00"&amp;$C1108,2)&amp;"/"&amp;RIGHT("00"&amp;$D1108,2)))</f>
        <v/>
      </c>
      <c r="F1108">
        <f>IF(OR($E1108="",$E1108="نامعتبر"),"",IF(Sync!$Q1105="","0000",IF(AND(ISNUMBER(Sync!$Q1105),Sync!$Q1105&gt;=0,Sync!$Q1105&lt;1),RIGHT("00"&amp;HOUR(Sync!$Q1105),2)&amp;RIGHT("00"&amp;MINUTE(Sync!$Q1105),2),IFERROR(RIGHT("00"&amp;VALUE(LEFT(Sync!$Q1105,FIND(":",Sync!$Q1105)-1)),2)&amp;RIGHT("00"&amp;VALUE(MID(Sync!$Q1105,FIND(":",Sync!$Q1105)+1,2)),2),"0000"))))</f>
        <v/>
      </c>
      <c r="G1108">
        <f>IF(OR($E1108="",$E1108="نامعتبر"),"",IF(Sync!$S1105="","",Sync!$S1105))</f>
        <v/>
      </c>
      <c r="H1108">
        <f>IF(OR($E1108="",$E1108="نامعتبر"),"",IF(Sync!$R1105="","",Sync!$R1105))</f>
        <v/>
      </c>
      <c r="I1108">
        <f>IF(OR($E1108="",$E1108="نامعتبر"),"",IF(Sync!$T1105="","",Sync!$T1105))</f>
        <v/>
      </c>
      <c r="J1108">
        <f>IF(OR($E1108="",$E1108="نامعتبر"),"",IF(Sync!$U1105="","",Sync!$U1105))</f>
        <v/>
      </c>
      <c r="K1108">
        <f>IF(OR($E1108="",$E1108="نامعتبر"),"",IF(Sync!$V1105="","",IFERROR(INDEX(SubCodes,MATCH(Sync!$V1105,SubTitles,0)),Sync!$V1105)))</f>
        <v/>
      </c>
      <c r="L1108">
        <f>IF(OR($E1108="",$E1108="نامعتبر"),"",IF(Sync!$W1105="",0,Sync!$W1105))</f>
        <v/>
      </c>
      <c r="M1108">
        <f>IF(OR($E1108="",$E1108="نامعتبر"),"",IF(Sync!$X1105="",0,Sync!$X1105))</f>
        <v/>
      </c>
      <c r="N1108">
        <f>IF(OR($E1108="",$E1108="نامعتبر"),"",IF(AND($J1108="هزینه",$K1108&lt;&gt;""),1,0))</f>
        <v/>
      </c>
      <c r="O1108">
        <f>IF($N1108=0,"",LEFT($E1108,4)&amp;MID($E1108,6,2)&amp;RIGHT($E1108,2)&amp;$F1108&amp;"|"&amp;"1"&amp;RIGHT("00000"&amp;1100,5))</f>
        <v/>
      </c>
      <c r="P1108">
        <f>IF($O1108="","",COUNTIFS(ExpSub,$K1108,ExpKey,"&lt;"&amp;$O1108)+1)</f>
        <v/>
      </c>
      <c r="Q1108">
        <f>IF($P1108="","",$K1108&amp;"|"&amp;RIGHT("000000"&amp;$P1108,6))</f>
        <v/>
      </c>
    </row>
    <row r="1109">
      <c r="A1109">
        <f>IF(Sync!$P1106="","",Sync!$P1106)</f>
        <v/>
      </c>
      <c r="B1109">
        <f>IF($A1109="","",IF(ISNUMBER($A1109),IF(AND($A1109&gt;=10000101,$A1109&lt;=99991231),INT($A1109/10000),""),IFERROR(VALUE(TRIM(LEFT($A1109,FIND("/",$A1109)-1))),"")))</f>
        <v/>
      </c>
      <c r="C1109">
        <f>IF(OR($A1109="",$B1109=""),"",IF(ISNUMBER($A1109),INT(MOD($A1109,10000)/100),IFERROR(VALUE(TRIM(LEFT(MID($A1109,FIND("/",$A1109)+1,20),FIND("/",MID($A1109,FIND("/",$A1109)+1,20))-1))),"")))</f>
        <v/>
      </c>
      <c r="D1109">
        <f>IF(OR($A1109="",$B1109=""),"",IF(ISNUMBER($A1109),MOD($A1109,100),IFERROR(VALUE(TRIM(MID(MID($A1109,FIND("/",$A1109)+1,20),FIND("/",MID($A1109,FIND("/",$A1109)+1,20))+1,20))),"")))</f>
        <v/>
      </c>
      <c r="E1109">
        <f>IF($A1109="","",IF(OR($B1109="",$C1109="",$D1109="",$B1109&lt;1300,$B1109&gt;1500,$C1109&lt;1,$C1109&gt;12,$D1109&lt;1,$D1109&gt;31),"نامعتبر",RIGHT("0000"&amp;$B1109,4)&amp;"/"&amp;RIGHT("00"&amp;$C1109,2)&amp;"/"&amp;RIGHT("00"&amp;$D1109,2)))</f>
        <v/>
      </c>
      <c r="F1109">
        <f>IF(OR($E1109="",$E1109="نامعتبر"),"",IF(Sync!$Q1106="","0000",IF(AND(ISNUMBER(Sync!$Q1106),Sync!$Q1106&gt;=0,Sync!$Q1106&lt;1),RIGHT("00"&amp;HOUR(Sync!$Q1106),2)&amp;RIGHT("00"&amp;MINUTE(Sync!$Q1106),2),IFERROR(RIGHT("00"&amp;VALUE(LEFT(Sync!$Q1106,FIND(":",Sync!$Q1106)-1)),2)&amp;RIGHT("00"&amp;VALUE(MID(Sync!$Q1106,FIND(":",Sync!$Q1106)+1,2)),2),"0000"))))</f>
        <v/>
      </c>
      <c r="G1109">
        <f>IF(OR($E1109="",$E1109="نامعتبر"),"",IF(Sync!$S1106="","",Sync!$S1106))</f>
        <v/>
      </c>
      <c r="H1109">
        <f>IF(OR($E1109="",$E1109="نامعتبر"),"",IF(Sync!$R1106="","",Sync!$R1106))</f>
        <v/>
      </c>
      <c r="I1109">
        <f>IF(OR($E1109="",$E1109="نامعتبر"),"",IF(Sync!$T1106="","",Sync!$T1106))</f>
        <v/>
      </c>
      <c r="J1109">
        <f>IF(OR($E1109="",$E1109="نامعتبر"),"",IF(Sync!$U1106="","",Sync!$U1106))</f>
        <v/>
      </c>
      <c r="K1109">
        <f>IF(OR($E1109="",$E1109="نامعتبر"),"",IF(Sync!$V1106="","",IFERROR(INDEX(SubCodes,MATCH(Sync!$V1106,SubTitles,0)),Sync!$V1106)))</f>
        <v/>
      </c>
      <c r="L1109">
        <f>IF(OR($E1109="",$E1109="نامعتبر"),"",IF(Sync!$W1106="",0,Sync!$W1106))</f>
        <v/>
      </c>
      <c r="M1109">
        <f>IF(OR($E1109="",$E1109="نامعتبر"),"",IF(Sync!$X1106="",0,Sync!$X1106))</f>
        <v/>
      </c>
      <c r="N1109">
        <f>IF(OR($E1109="",$E1109="نامعتبر"),"",IF(AND($J1109="هزینه",$K1109&lt;&gt;""),1,0))</f>
        <v/>
      </c>
      <c r="O1109">
        <f>IF($N1109=0,"",LEFT($E1109,4)&amp;MID($E1109,6,2)&amp;RIGHT($E1109,2)&amp;$F1109&amp;"|"&amp;"1"&amp;RIGHT("00000"&amp;1101,5))</f>
        <v/>
      </c>
      <c r="P1109">
        <f>IF($O1109="","",COUNTIFS(ExpSub,$K1109,ExpKey,"&lt;"&amp;$O1109)+1)</f>
        <v/>
      </c>
      <c r="Q1109">
        <f>IF($P1109="","",$K1109&amp;"|"&amp;RIGHT("000000"&amp;$P1109,6))</f>
        <v/>
      </c>
    </row>
    <row r="1110">
      <c r="A1110">
        <f>IF(Sync!$P1107="","",Sync!$P1107)</f>
        <v/>
      </c>
      <c r="B1110">
        <f>IF($A1110="","",IF(ISNUMBER($A1110),IF(AND($A1110&gt;=10000101,$A1110&lt;=99991231),INT($A1110/10000),""),IFERROR(VALUE(TRIM(LEFT($A1110,FIND("/",$A1110)-1))),"")))</f>
        <v/>
      </c>
      <c r="C1110">
        <f>IF(OR($A1110="",$B1110=""),"",IF(ISNUMBER($A1110),INT(MOD($A1110,10000)/100),IFERROR(VALUE(TRIM(LEFT(MID($A1110,FIND("/",$A1110)+1,20),FIND("/",MID($A1110,FIND("/",$A1110)+1,20))-1))),"")))</f>
        <v/>
      </c>
      <c r="D1110">
        <f>IF(OR($A1110="",$B1110=""),"",IF(ISNUMBER($A1110),MOD($A1110,100),IFERROR(VALUE(TRIM(MID(MID($A1110,FIND("/",$A1110)+1,20),FIND("/",MID($A1110,FIND("/",$A1110)+1,20))+1,20))),"")))</f>
        <v/>
      </c>
      <c r="E1110">
        <f>IF($A1110="","",IF(OR($B1110="",$C1110="",$D1110="",$B1110&lt;1300,$B1110&gt;1500,$C1110&lt;1,$C1110&gt;12,$D1110&lt;1,$D1110&gt;31),"نامعتبر",RIGHT("0000"&amp;$B1110,4)&amp;"/"&amp;RIGHT("00"&amp;$C1110,2)&amp;"/"&amp;RIGHT("00"&amp;$D1110,2)))</f>
        <v/>
      </c>
      <c r="F1110">
        <f>IF(OR($E1110="",$E1110="نامعتبر"),"",IF(Sync!$Q1107="","0000",IF(AND(ISNUMBER(Sync!$Q1107),Sync!$Q1107&gt;=0,Sync!$Q1107&lt;1),RIGHT("00"&amp;HOUR(Sync!$Q1107),2)&amp;RIGHT("00"&amp;MINUTE(Sync!$Q1107),2),IFERROR(RIGHT("00"&amp;VALUE(LEFT(Sync!$Q1107,FIND(":",Sync!$Q1107)-1)),2)&amp;RIGHT("00"&amp;VALUE(MID(Sync!$Q1107,FIND(":",Sync!$Q1107)+1,2)),2),"0000"))))</f>
        <v/>
      </c>
      <c r="G1110">
        <f>IF(OR($E1110="",$E1110="نامعتبر"),"",IF(Sync!$S1107="","",Sync!$S1107))</f>
        <v/>
      </c>
      <c r="H1110">
        <f>IF(OR($E1110="",$E1110="نامعتبر"),"",IF(Sync!$R1107="","",Sync!$R1107))</f>
        <v/>
      </c>
      <c r="I1110">
        <f>IF(OR($E1110="",$E1110="نامعتبر"),"",IF(Sync!$T1107="","",Sync!$T1107))</f>
        <v/>
      </c>
      <c r="J1110">
        <f>IF(OR($E1110="",$E1110="نامعتبر"),"",IF(Sync!$U1107="","",Sync!$U1107))</f>
        <v/>
      </c>
      <c r="K1110">
        <f>IF(OR($E1110="",$E1110="نامعتبر"),"",IF(Sync!$V1107="","",IFERROR(INDEX(SubCodes,MATCH(Sync!$V1107,SubTitles,0)),Sync!$V1107)))</f>
        <v/>
      </c>
      <c r="L1110">
        <f>IF(OR($E1110="",$E1110="نامعتبر"),"",IF(Sync!$W1107="",0,Sync!$W1107))</f>
        <v/>
      </c>
      <c r="M1110">
        <f>IF(OR($E1110="",$E1110="نامعتبر"),"",IF(Sync!$X1107="",0,Sync!$X1107))</f>
        <v/>
      </c>
      <c r="N1110">
        <f>IF(OR($E1110="",$E1110="نامعتبر"),"",IF(AND($J1110="هزینه",$K1110&lt;&gt;""),1,0))</f>
        <v/>
      </c>
      <c r="O1110">
        <f>IF($N1110=0,"",LEFT($E1110,4)&amp;MID($E1110,6,2)&amp;RIGHT($E1110,2)&amp;$F1110&amp;"|"&amp;"1"&amp;RIGHT("00000"&amp;1102,5))</f>
        <v/>
      </c>
      <c r="P1110">
        <f>IF($O1110="","",COUNTIFS(ExpSub,$K1110,ExpKey,"&lt;"&amp;$O1110)+1)</f>
        <v/>
      </c>
      <c r="Q1110">
        <f>IF($P1110="","",$K1110&amp;"|"&amp;RIGHT("000000"&amp;$P1110,6))</f>
        <v/>
      </c>
    </row>
    <row r="1111">
      <c r="A1111">
        <f>IF(Sync!$P1108="","",Sync!$P1108)</f>
        <v/>
      </c>
      <c r="B1111">
        <f>IF($A1111="","",IF(ISNUMBER($A1111),IF(AND($A1111&gt;=10000101,$A1111&lt;=99991231),INT($A1111/10000),""),IFERROR(VALUE(TRIM(LEFT($A1111,FIND("/",$A1111)-1))),"")))</f>
        <v/>
      </c>
      <c r="C1111">
        <f>IF(OR($A1111="",$B1111=""),"",IF(ISNUMBER($A1111),INT(MOD($A1111,10000)/100),IFERROR(VALUE(TRIM(LEFT(MID($A1111,FIND("/",$A1111)+1,20),FIND("/",MID($A1111,FIND("/",$A1111)+1,20))-1))),"")))</f>
        <v/>
      </c>
      <c r="D1111">
        <f>IF(OR($A1111="",$B1111=""),"",IF(ISNUMBER($A1111),MOD($A1111,100),IFERROR(VALUE(TRIM(MID(MID($A1111,FIND("/",$A1111)+1,20),FIND("/",MID($A1111,FIND("/",$A1111)+1,20))+1,20))),"")))</f>
        <v/>
      </c>
      <c r="E1111">
        <f>IF($A1111="","",IF(OR($B1111="",$C1111="",$D1111="",$B1111&lt;1300,$B1111&gt;1500,$C1111&lt;1,$C1111&gt;12,$D1111&lt;1,$D1111&gt;31),"نامعتبر",RIGHT("0000"&amp;$B1111,4)&amp;"/"&amp;RIGHT("00"&amp;$C1111,2)&amp;"/"&amp;RIGHT("00"&amp;$D1111,2)))</f>
        <v/>
      </c>
      <c r="F1111">
        <f>IF(OR($E1111="",$E1111="نامعتبر"),"",IF(Sync!$Q1108="","0000",IF(AND(ISNUMBER(Sync!$Q1108),Sync!$Q1108&gt;=0,Sync!$Q1108&lt;1),RIGHT("00"&amp;HOUR(Sync!$Q1108),2)&amp;RIGHT("00"&amp;MINUTE(Sync!$Q1108),2),IFERROR(RIGHT("00"&amp;VALUE(LEFT(Sync!$Q1108,FIND(":",Sync!$Q1108)-1)),2)&amp;RIGHT("00"&amp;VALUE(MID(Sync!$Q1108,FIND(":",Sync!$Q1108)+1,2)),2),"0000"))))</f>
        <v/>
      </c>
      <c r="G1111">
        <f>IF(OR($E1111="",$E1111="نامعتبر"),"",IF(Sync!$S1108="","",Sync!$S1108))</f>
        <v/>
      </c>
      <c r="H1111">
        <f>IF(OR($E1111="",$E1111="نامعتبر"),"",IF(Sync!$R1108="","",Sync!$R1108))</f>
        <v/>
      </c>
      <c r="I1111">
        <f>IF(OR($E1111="",$E1111="نامعتبر"),"",IF(Sync!$T1108="","",Sync!$T1108))</f>
        <v/>
      </c>
      <c r="J1111">
        <f>IF(OR($E1111="",$E1111="نامعتبر"),"",IF(Sync!$U1108="","",Sync!$U1108))</f>
        <v/>
      </c>
      <c r="K1111">
        <f>IF(OR($E1111="",$E1111="نامعتبر"),"",IF(Sync!$V1108="","",IFERROR(INDEX(SubCodes,MATCH(Sync!$V1108,SubTitles,0)),Sync!$V1108)))</f>
        <v/>
      </c>
      <c r="L1111">
        <f>IF(OR($E1111="",$E1111="نامعتبر"),"",IF(Sync!$W1108="",0,Sync!$W1108))</f>
        <v/>
      </c>
      <c r="M1111">
        <f>IF(OR($E1111="",$E1111="نامعتبر"),"",IF(Sync!$X1108="",0,Sync!$X1108))</f>
        <v/>
      </c>
      <c r="N1111">
        <f>IF(OR($E1111="",$E1111="نامعتبر"),"",IF(AND($J1111="هزینه",$K1111&lt;&gt;""),1,0))</f>
        <v/>
      </c>
      <c r="O1111">
        <f>IF($N1111=0,"",LEFT($E1111,4)&amp;MID($E1111,6,2)&amp;RIGHT($E1111,2)&amp;$F1111&amp;"|"&amp;"1"&amp;RIGHT("00000"&amp;1103,5))</f>
        <v/>
      </c>
      <c r="P1111">
        <f>IF($O1111="","",COUNTIFS(ExpSub,$K1111,ExpKey,"&lt;"&amp;$O1111)+1)</f>
        <v/>
      </c>
      <c r="Q1111">
        <f>IF($P1111="","",$K1111&amp;"|"&amp;RIGHT("000000"&amp;$P1111,6))</f>
        <v/>
      </c>
    </row>
    <row r="1112">
      <c r="A1112">
        <f>IF(Sync!$P1109="","",Sync!$P1109)</f>
        <v/>
      </c>
      <c r="B1112">
        <f>IF($A1112="","",IF(ISNUMBER($A1112),IF(AND($A1112&gt;=10000101,$A1112&lt;=99991231),INT($A1112/10000),""),IFERROR(VALUE(TRIM(LEFT($A1112,FIND("/",$A1112)-1))),"")))</f>
        <v/>
      </c>
      <c r="C1112">
        <f>IF(OR($A1112="",$B1112=""),"",IF(ISNUMBER($A1112),INT(MOD($A1112,10000)/100),IFERROR(VALUE(TRIM(LEFT(MID($A1112,FIND("/",$A1112)+1,20),FIND("/",MID($A1112,FIND("/",$A1112)+1,20))-1))),"")))</f>
        <v/>
      </c>
      <c r="D1112">
        <f>IF(OR($A1112="",$B1112=""),"",IF(ISNUMBER($A1112),MOD($A1112,100),IFERROR(VALUE(TRIM(MID(MID($A1112,FIND("/",$A1112)+1,20),FIND("/",MID($A1112,FIND("/",$A1112)+1,20))+1,20))),"")))</f>
        <v/>
      </c>
      <c r="E1112">
        <f>IF($A1112="","",IF(OR($B1112="",$C1112="",$D1112="",$B1112&lt;1300,$B1112&gt;1500,$C1112&lt;1,$C1112&gt;12,$D1112&lt;1,$D1112&gt;31),"نامعتبر",RIGHT("0000"&amp;$B1112,4)&amp;"/"&amp;RIGHT("00"&amp;$C1112,2)&amp;"/"&amp;RIGHT("00"&amp;$D1112,2)))</f>
        <v/>
      </c>
      <c r="F1112">
        <f>IF(OR($E1112="",$E1112="نامعتبر"),"",IF(Sync!$Q1109="","0000",IF(AND(ISNUMBER(Sync!$Q1109),Sync!$Q1109&gt;=0,Sync!$Q1109&lt;1),RIGHT("00"&amp;HOUR(Sync!$Q1109),2)&amp;RIGHT("00"&amp;MINUTE(Sync!$Q1109),2),IFERROR(RIGHT("00"&amp;VALUE(LEFT(Sync!$Q1109,FIND(":",Sync!$Q1109)-1)),2)&amp;RIGHT("00"&amp;VALUE(MID(Sync!$Q1109,FIND(":",Sync!$Q1109)+1,2)),2),"0000"))))</f>
        <v/>
      </c>
      <c r="G1112">
        <f>IF(OR($E1112="",$E1112="نامعتبر"),"",IF(Sync!$S1109="","",Sync!$S1109))</f>
        <v/>
      </c>
      <c r="H1112">
        <f>IF(OR($E1112="",$E1112="نامعتبر"),"",IF(Sync!$R1109="","",Sync!$R1109))</f>
        <v/>
      </c>
      <c r="I1112">
        <f>IF(OR($E1112="",$E1112="نامعتبر"),"",IF(Sync!$T1109="","",Sync!$T1109))</f>
        <v/>
      </c>
      <c r="J1112">
        <f>IF(OR($E1112="",$E1112="نامعتبر"),"",IF(Sync!$U1109="","",Sync!$U1109))</f>
        <v/>
      </c>
      <c r="K1112">
        <f>IF(OR($E1112="",$E1112="نامعتبر"),"",IF(Sync!$V1109="","",IFERROR(INDEX(SubCodes,MATCH(Sync!$V1109,SubTitles,0)),Sync!$V1109)))</f>
        <v/>
      </c>
      <c r="L1112">
        <f>IF(OR($E1112="",$E1112="نامعتبر"),"",IF(Sync!$W1109="",0,Sync!$W1109))</f>
        <v/>
      </c>
      <c r="M1112">
        <f>IF(OR($E1112="",$E1112="نامعتبر"),"",IF(Sync!$X1109="",0,Sync!$X1109))</f>
        <v/>
      </c>
      <c r="N1112">
        <f>IF(OR($E1112="",$E1112="نامعتبر"),"",IF(AND($J1112="هزینه",$K1112&lt;&gt;""),1,0))</f>
        <v/>
      </c>
      <c r="O1112">
        <f>IF($N1112=0,"",LEFT($E1112,4)&amp;MID($E1112,6,2)&amp;RIGHT($E1112,2)&amp;$F1112&amp;"|"&amp;"1"&amp;RIGHT("00000"&amp;1104,5))</f>
        <v/>
      </c>
      <c r="P1112">
        <f>IF($O1112="","",COUNTIFS(ExpSub,$K1112,ExpKey,"&lt;"&amp;$O1112)+1)</f>
        <v/>
      </c>
      <c r="Q1112">
        <f>IF($P1112="","",$K1112&amp;"|"&amp;RIGHT("000000"&amp;$P1112,6))</f>
        <v/>
      </c>
    </row>
    <row r="1113">
      <c r="A1113">
        <f>IF(Sync!$P1110="","",Sync!$P1110)</f>
        <v/>
      </c>
      <c r="B1113">
        <f>IF($A1113="","",IF(ISNUMBER($A1113),IF(AND($A1113&gt;=10000101,$A1113&lt;=99991231),INT($A1113/10000),""),IFERROR(VALUE(TRIM(LEFT($A1113,FIND("/",$A1113)-1))),"")))</f>
        <v/>
      </c>
      <c r="C1113">
        <f>IF(OR($A1113="",$B1113=""),"",IF(ISNUMBER($A1113),INT(MOD($A1113,10000)/100),IFERROR(VALUE(TRIM(LEFT(MID($A1113,FIND("/",$A1113)+1,20),FIND("/",MID($A1113,FIND("/",$A1113)+1,20))-1))),"")))</f>
        <v/>
      </c>
      <c r="D1113">
        <f>IF(OR($A1113="",$B1113=""),"",IF(ISNUMBER($A1113),MOD($A1113,100),IFERROR(VALUE(TRIM(MID(MID($A1113,FIND("/",$A1113)+1,20),FIND("/",MID($A1113,FIND("/",$A1113)+1,20))+1,20))),"")))</f>
        <v/>
      </c>
      <c r="E1113">
        <f>IF($A1113="","",IF(OR($B1113="",$C1113="",$D1113="",$B1113&lt;1300,$B1113&gt;1500,$C1113&lt;1,$C1113&gt;12,$D1113&lt;1,$D1113&gt;31),"نامعتبر",RIGHT("0000"&amp;$B1113,4)&amp;"/"&amp;RIGHT("00"&amp;$C1113,2)&amp;"/"&amp;RIGHT("00"&amp;$D1113,2)))</f>
        <v/>
      </c>
      <c r="F1113">
        <f>IF(OR($E1113="",$E1113="نامعتبر"),"",IF(Sync!$Q1110="","0000",IF(AND(ISNUMBER(Sync!$Q1110),Sync!$Q1110&gt;=0,Sync!$Q1110&lt;1),RIGHT("00"&amp;HOUR(Sync!$Q1110),2)&amp;RIGHT("00"&amp;MINUTE(Sync!$Q1110),2),IFERROR(RIGHT("00"&amp;VALUE(LEFT(Sync!$Q1110,FIND(":",Sync!$Q1110)-1)),2)&amp;RIGHT("00"&amp;VALUE(MID(Sync!$Q1110,FIND(":",Sync!$Q1110)+1,2)),2),"0000"))))</f>
        <v/>
      </c>
      <c r="G1113">
        <f>IF(OR($E1113="",$E1113="نامعتبر"),"",IF(Sync!$S1110="","",Sync!$S1110))</f>
        <v/>
      </c>
      <c r="H1113">
        <f>IF(OR($E1113="",$E1113="نامعتبر"),"",IF(Sync!$R1110="","",Sync!$R1110))</f>
        <v/>
      </c>
      <c r="I1113">
        <f>IF(OR($E1113="",$E1113="نامعتبر"),"",IF(Sync!$T1110="","",Sync!$T1110))</f>
        <v/>
      </c>
      <c r="J1113">
        <f>IF(OR($E1113="",$E1113="نامعتبر"),"",IF(Sync!$U1110="","",Sync!$U1110))</f>
        <v/>
      </c>
      <c r="K1113">
        <f>IF(OR($E1113="",$E1113="نامعتبر"),"",IF(Sync!$V1110="","",IFERROR(INDEX(SubCodes,MATCH(Sync!$V1110,SubTitles,0)),Sync!$V1110)))</f>
        <v/>
      </c>
      <c r="L1113">
        <f>IF(OR($E1113="",$E1113="نامعتبر"),"",IF(Sync!$W1110="",0,Sync!$W1110))</f>
        <v/>
      </c>
      <c r="M1113">
        <f>IF(OR($E1113="",$E1113="نامعتبر"),"",IF(Sync!$X1110="",0,Sync!$X1110))</f>
        <v/>
      </c>
      <c r="N1113">
        <f>IF(OR($E1113="",$E1113="نامعتبر"),"",IF(AND($J1113="هزینه",$K1113&lt;&gt;""),1,0))</f>
        <v/>
      </c>
      <c r="O1113">
        <f>IF($N1113=0,"",LEFT($E1113,4)&amp;MID($E1113,6,2)&amp;RIGHT($E1113,2)&amp;$F1113&amp;"|"&amp;"1"&amp;RIGHT("00000"&amp;1105,5))</f>
        <v/>
      </c>
      <c r="P1113">
        <f>IF($O1113="","",COUNTIFS(ExpSub,$K1113,ExpKey,"&lt;"&amp;$O1113)+1)</f>
        <v/>
      </c>
      <c r="Q1113">
        <f>IF($P1113="","",$K1113&amp;"|"&amp;RIGHT("000000"&amp;$P1113,6))</f>
        <v/>
      </c>
    </row>
    <row r="1114">
      <c r="A1114">
        <f>IF(Sync!$P1111="","",Sync!$P1111)</f>
        <v/>
      </c>
      <c r="B1114">
        <f>IF($A1114="","",IF(ISNUMBER($A1114),IF(AND($A1114&gt;=10000101,$A1114&lt;=99991231),INT($A1114/10000),""),IFERROR(VALUE(TRIM(LEFT($A1114,FIND("/",$A1114)-1))),"")))</f>
        <v/>
      </c>
      <c r="C1114">
        <f>IF(OR($A1114="",$B1114=""),"",IF(ISNUMBER($A1114),INT(MOD($A1114,10000)/100),IFERROR(VALUE(TRIM(LEFT(MID($A1114,FIND("/",$A1114)+1,20),FIND("/",MID($A1114,FIND("/",$A1114)+1,20))-1))),"")))</f>
        <v/>
      </c>
      <c r="D1114">
        <f>IF(OR($A1114="",$B1114=""),"",IF(ISNUMBER($A1114),MOD($A1114,100),IFERROR(VALUE(TRIM(MID(MID($A1114,FIND("/",$A1114)+1,20),FIND("/",MID($A1114,FIND("/",$A1114)+1,20))+1,20))),"")))</f>
        <v/>
      </c>
      <c r="E1114">
        <f>IF($A1114="","",IF(OR($B1114="",$C1114="",$D1114="",$B1114&lt;1300,$B1114&gt;1500,$C1114&lt;1,$C1114&gt;12,$D1114&lt;1,$D1114&gt;31),"نامعتبر",RIGHT("0000"&amp;$B1114,4)&amp;"/"&amp;RIGHT("00"&amp;$C1114,2)&amp;"/"&amp;RIGHT("00"&amp;$D1114,2)))</f>
        <v/>
      </c>
      <c r="F1114">
        <f>IF(OR($E1114="",$E1114="نامعتبر"),"",IF(Sync!$Q1111="","0000",IF(AND(ISNUMBER(Sync!$Q1111),Sync!$Q1111&gt;=0,Sync!$Q1111&lt;1),RIGHT("00"&amp;HOUR(Sync!$Q1111),2)&amp;RIGHT("00"&amp;MINUTE(Sync!$Q1111),2),IFERROR(RIGHT("00"&amp;VALUE(LEFT(Sync!$Q1111,FIND(":",Sync!$Q1111)-1)),2)&amp;RIGHT("00"&amp;VALUE(MID(Sync!$Q1111,FIND(":",Sync!$Q1111)+1,2)),2),"0000"))))</f>
        <v/>
      </c>
      <c r="G1114">
        <f>IF(OR($E1114="",$E1114="نامعتبر"),"",IF(Sync!$S1111="","",Sync!$S1111))</f>
        <v/>
      </c>
      <c r="H1114">
        <f>IF(OR($E1114="",$E1114="نامعتبر"),"",IF(Sync!$R1111="","",Sync!$R1111))</f>
        <v/>
      </c>
      <c r="I1114">
        <f>IF(OR($E1114="",$E1114="نامعتبر"),"",IF(Sync!$T1111="","",Sync!$T1111))</f>
        <v/>
      </c>
      <c r="J1114">
        <f>IF(OR($E1114="",$E1114="نامعتبر"),"",IF(Sync!$U1111="","",Sync!$U1111))</f>
        <v/>
      </c>
      <c r="K1114">
        <f>IF(OR($E1114="",$E1114="نامعتبر"),"",IF(Sync!$V1111="","",IFERROR(INDEX(SubCodes,MATCH(Sync!$V1111,SubTitles,0)),Sync!$V1111)))</f>
        <v/>
      </c>
      <c r="L1114">
        <f>IF(OR($E1114="",$E1114="نامعتبر"),"",IF(Sync!$W1111="",0,Sync!$W1111))</f>
        <v/>
      </c>
      <c r="M1114">
        <f>IF(OR($E1114="",$E1114="نامعتبر"),"",IF(Sync!$X1111="",0,Sync!$X1111))</f>
        <v/>
      </c>
      <c r="N1114">
        <f>IF(OR($E1114="",$E1114="نامعتبر"),"",IF(AND($J1114="هزینه",$K1114&lt;&gt;""),1,0))</f>
        <v/>
      </c>
      <c r="O1114">
        <f>IF($N1114=0,"",LEFT($E1114,4)&amp;MID($E1114,6,2)&amp;RIGHT($E1114,2)&amp;$F1114&amp;"|"&amp;"1"&amp;RIGHT("00000"&amp;1106,5))</f>
        <v/>
      </c>
      <c r="P1114">
        <f>IF($O1114="","",COUNTIFS(ExpSub,$K1114,ExpKey,"&lt;"&amp;$O1114)+1)</f>
        <v/>
      </c>
      <c r="Q1114">
        <f>IF($P1114="","",$K1114&amp;"|"&amp;RIGHT("000000"&amp;$P1114,6))</f>
        <v/>
      </c>
    </row>
    <row r="1115">
      <c r="A1115">
        <f>IF(Sync!$P1112="","",Sync!$P1112)</f>
        <v/>
      </c>
      <c r="B1115">
        <f>IF($A1115="","",IF(ISNUMBER($A1115),IF(AND($A1115&gt;=10000101,$A1115&lt;=99991231),INT($A1115/10000),""),IFERROR(VALUE(TRIM(LEFT($A1115,FIND("/",$A1115)-1))),"")))</f>
        <v/>
      </c>
      <c r="C1115">
        <f>IF(OR($A1115="",$B1115=""),"",IF(ISNUMBER($A1115),INT(MOD($A1115,10000)/100),IFERROR(VALUE(TRIM(LEFT(MID($A1115,FIND("/",$A1115)+1,20),FIND("/",MID($A1115,FIND("/",$A1115)+1,20))-1))),"")))</f>
        <v/>
      </c>
      <c r="D1115">
        <f>IF(OR($A1115="",$B1115=""),"",IF(ISNUMBER($A1115),MOD($A1115,100),IFERROR(VALUE(TRIM(MID(MID($A1115,FIND("/",$A1115)+1,20),FIND("/",MID($A1115,FIND("/",$A1115)+1,20))+1,20))),"")))</f>
        <v/>
      </c>
      <c r="E1115">
        <f>IF($A1115="","",IF(OR($B1115="",$C1115="",$D1115="",$B1115&lt;1300,$B1115&gt;1500,$C1115&lt;1,$C1115&gt;12,$D1115&lt;1,$D1115&gt;31),"نامعتبر",RIGHT("0000"&amp;$B1115,4)&amp;"/"&amp;RIGHT("00"&amp;$C1115,2)&amp;"/"&amp;RIGHT("00"&amp;$D1115,2)))</f>
        <v/>
      </c>
      <c r="F1115">
        <f>IF(OR($E1115="",$E1115="نامعتبر"),"",IF(Sync!$Q1112="","0000",IF(AND(ISNUMBER(Sync!$Q1112),Sync!$Q1112&gt;=0,Sync!$Q1112&lt;1),RIGHT("00"&amp;HOUR(Sync!$Q1112),2)&amp;RIGHT("00"&amp;MINUTE(Sync!$Q1112),2),IFERROR(RIGHT("00"&amp;VALUE(LEFT(Sync!$Q1112,FIND(":",Sync!$Q1112)-1)),2)&amp;RIGHT("00"&amp;VALUE(MID(Sync!$Q1112,FIND(":",Sync!$Q1112)+1,2)),2),"0000"))))</f>
        <v/>
      </c>
      <c r="G1115">
        <f>IF(OR($E1115="",$E1115="نامعتبر"),"",IF(Sync!$S1112="","",Sync!$S1112))</f>
        <v/>
      </c>
      <c r="H1115">
        <f>IF(OR($E1115="",$E1115="نامعتبر"),"",IF(Sync!$R1112="","",Sync!$R1112))</f>
        <v/>
      </c>
      <c r="I1115">
        <f>IF(OR($E1115="",$E1115="نامعتبر"),"",IF(Sync!$T1112="","",Sync!$T1112))</f>
        <v/>
      </c>
      <c r="J1115">
        <f>IF(OR($E1115="",$E1115="نامعتبر"),"",IF(Sync!$U1112="","",Sync!$U1112))</f>
        <v/>
      </c>
      <c r="K1115">
        <f>IF(OR($E1115="",$E1115="نامعتبر"),"",IF(Sync!$V1112="","",IFERROR(INDEX(SubCodes,MATCH(Sync!$V1112,SubTitles,0)),Sync!$V1112)))</f>
        <v/>
      </c>
      <c r="L1115">
        <f>IF(OR($E1115="",$E1115="نامعتبر"),"",IF(Sync!$W1112="",0,Sync!$W1112))</f>
        <v/>
      </c>
      <c r="M1115">
        <f>IF(OR($E1115="",$E1115="نامعتبر"),"",IF(Sync!$X1112="",0,Sync!$X1112))</f>
        <v/>
      </c>
      <c r="N1115">
        <f>IF(OR($E1115="",$E1115="نامعتبر"),"",IF(AND($J1115="هزینه",$K1115&lt;&gt;""),1,0))</f>
        <v/>
      </c>
      <c r="O1115">
        <f>IF($N1115=0,"",LEFT($E1115,4)&amp;MID($E1115,6,2)&amp;RIGHT($E1115,2)&amp;$F1115&amp;"|"&amp;"1"&amp;RIGHT("00000"&amp;1107,5))</f>
        <v/>
      </c>
      <c r="P1115">
        <f>IF($O1115="","",COUNTIFS(ExpSub,$K1115,ExpKey,"&lt;"&amp;$O1115)+1)</f>
        <v/>
      </c>
      <c r="Q1115">
        <f>IF($P1115="","",$K1115&amp;"|"&amp;RIGHT("000000"&amp;$P1115,6))</f>
        <v/>
      </c>
    </row>
    <row r="1116">
      <c r="A1116">
        <f>IF(Sync!$P1113="","",Sync!$P1113)</f>
        <v/>
      </c>
      <c r="B1116">
        <f>IF($A1116="","",IF(ISNUMBER($A1116),IF(AND($A1116&gt;=10000101,$A1116&lt;=99991231),INT($A1116/10000),""),IFERROR(VALUE(TRIM(LEFT($A1116,FIND("/",$A1116)-1))),"")))</f>
        <v/>
      </c>
      <c r="C1116">
        <f>IF(OR($A1116="",$B1116=""),"",IF(ISNUMBER($A1116),INT(MOD($A1116,10000)/100),IFERROR(VALUE(TRIM(LEFT(MID($A1116,FIND("/",$A1116)+1,20),FIND("/",MID($A1116,FIND("/",$A1116)+1,20))-1))),"")))</f>
        <v/>
      </c>
      <c r="D1116">
        <f>IF(OR($A1116="",$B1116=""),"",IF(ISNUMBER($A1116),MOD($A1116,100),IFERROR(VALUE(TRIM(MID(MID($A1116,FIND("/",$A1116)+1,20),FIND("/",MID($A1116,FIND("/",$A1116)+1,20))+1,20))),"")))</f>
        <v/>
      </c>
      <c r="E1116">
        <f>IF($A1116="","",IF(OR($B1116="",$C1116="",$D1116="",$B1116&lt;1300,$B1116&gt;1500,$C1116&lt;1,$C1116&gt;12,$D1116&lt;1,$D1116&gt;31),"نامعتبر",RIGHT("0000"&amp;$B1116,4)&amp;"/"&amp;RIGHT("00"&amp;$C1116,2)&amp;"/"&amp;RIGHT("00"&amp;$D1116,2)))</f>
        <v/>
      </c>
      <c r="F1116">
        <f>IF(OR($E1116="",$E1116="نامعتبر"),"",IF(Sync!$Q1113="","0000",IF(AND(ISNUMBER(Sync!$Q1113),Sync!$Q1113&gt;=0,Sync!$Q1113&lt;1),RIGHT("00"&amp;HOUR(Sync!$Q1113),2)&amp;RIGHT("00"&amp;MINUTE(Sync!$Q1113),2),IFERROR(RIGHT("00"&amp;VALUE(LEFT(Sync!$Q1113,FIND(":",Sync!$Q1113)-1)),2)&amp;RIGHT("00"&amp;VALUE(MID(Sync!$Q1113,FIND(":",Sync!$Q1113)+1,2)),2),"0000"))))</f>
        <v/>
      </c>
      <c r="G1116">
        <f>IF(OR($E1116="",$E1116="نامعتبر"),"",IF(Sync!$S1113="","",Sync!$S1113))</f>
        <v/>
      </c>
      <c r="H1116">
        <f>IF(OR($E1116="",$E1116="نامعتبر"),"",IF(Sync!$R1113="","",Sync!$R1113))</f>
        <v/>
      </c>
      <c r="I1116">
        <f>IF(OR($E1116="",$E1116="نامعتبر"),"",IF(Sync!$T1113="","",Sync!$T1113))</f>
        <v/>
      </c>
      <c r="J1116">
        <f>IF(OR($E1116="",$E1116="نامعتبر"),"",IF(Sync!$U1113="","",Sync!$U1113))</f>
        <v/>
      </c>
      <c r="K1116">
        <f>IF(OR($E1116="",$E1116="نامعتبر"),"",IF(Sync!$V1113="","",IFERROR(INDEX(SubCodes,MATCH(Sync!$V1113,SubTitles,0)),Sync!$V1113)))</f>
        <v/>
      </c>
      <c r="L1116">
        <f>IF(OR($E1116="",$E1116="نامعتبر"),"",IF(Sync!$W1113="",0,Sync!$W1113))</f>
        <v/>
      </c>
      <c r="M1116">
        <f>IF(OR($E1116="",$E1116="نامعتبر"),"",IF(Sync!$X1113="",0,Sync!$X1113))</f>
        <v/>
      </c>
      <c r="N1116">
        <f>IF(OR($E1116="",$E1116="نامعتبر"),"",IF(AND($J1116="هزینه",$K1116&lt;&gt;""),1,0))</f>
        <v/>
      </c>
      <c r="O1116">
        <f>IF($N1116=0,"",LEFT($E1116,4)&amp;MID($E1116,6,2)&amp;RIGHT($E1116,2)&amp;$F1116&amp;"|"&amp;"1"&amp;RIGHT("00000"&amp;1108,5))</f>
        <v/>
      </c>
      <c r="P1116">
        <f>IF($O1116="","",COUNTIFS(ExpSub,$K1116,ExpKey,"&lt;"&amp;$O1116)+1)</f>
        <v/>
      </c>
      <c r="Q1116">
        <f>IF($P1116="","",$K1116&amp;"|"&amp;RIGHT("000000"&amp;$P1116,6))</f>
        <v/>
      </c>
    </row>
    <row r="1117">
      <c r="A1117">
        <f>IF(Sync!$P1114="","",Sync!$P1114)</f>
        <v/>
      </c>
      <c r="B1117">
        <f>IF($A1117="","",IF(ISNUMBER($A1117),IF(AND($A1117&gt;=10000101,$A1117&lt;=99991231),INT($A1117/10000),""),IFERROR(VALUE(TRIM(LEFT($A1117,FIND("/",$A1117)-1))),"")))</f>
        <v/>
      </c>
      <c r="C1117">
        <f>IF(OR($A1117="",$B1117=""),"",IF(ISNUMBER($A1117),INT(MOD($A1117,10000)/100),IFERROR(VALUE(TRIM(LEFT(MID($A1117,FIND("/",$A1117)+1,20),FIND("/",MID($A1117,FIND("/",$A1117)+1,20))-1))),"")))</f>
        <v/>
      </c>
      <c r="D1117">
        <f>IF(OR($A1117="",$B1117=""),"",IF(ISNUMBER($A1117),MOD($A1117,100),IFERROR(VALUE(TRIM(MID(MID($A1117,FIND("/",$A1117)+1,20),FIND("/",MID($A1117,FIND("/",$A1117)+1,20))+1,20))),"")))</f>
        <v/>
      </c>
      <c r="E1117">
        <f>IF($A1117="","",IF(OR($B1117="",$C1117="",$D1117="",$B1117&lt;1300,$B1117&gt;1500,$C1117&lt;1,$C1117&gt;12,$D1117&lt;1,$D1117&gt;31),"نامعتبر",RIGHT("0000"&amp;$B1117,4)&amp;"/"&amp;RIGHT("00"&amp;$C1117,2)&amp;"/"&amp;RIGHT("00"&amp;$D1117,2)))</f>
        <v/>
      </c>
      <c r="F1117">
        <f>IF(OR($E1117="",$E1117="نامعتبر"),"",IF(Sync!$Q1114="","0000",IF(AND(ISNUMBER(Sync!$Q1114),Sync!$Q1114&gt;=0,Sync!$Q1114&lt;1),RIGHT("00"&amp;HOUR(Sync!$Q1114),2)&amp;RIGHT("00"&amp;MINUTE(Sync!$Q1114),2),IFERROR(RIGHT("00"&amp;VALUE(LEFT(Sync!$Q1114,FIND(":",Sync!$Q1114)-1)),2)&amp;RIGHT("00"&amp;VALUE(MID(Sync!$Q1114,FIND(":",Sync!$Q1114)+1,2)),2),"0000"))))</f>
        <v/>
      </c>
      <c r="G1117">
        <f>IF(OR($E1117="",$E1117="نامعتبر"),"",IF(Sync!$S1114="","",Sync!$S1114))</f>
        <v/>
      </c>
      <c r="H1117">
        <f>IF(OR($E1117="",$E1117="نامعتبر"),"",IF(Sync!$R1114="","",Sync!$R1114))</f>
        <v/>
      </c>
      <c r="I1117">
        <f>IF(OR($E1117="",$E1117="نامعتبر"),"",IF(Sync!$T1114="","",Sync!$T1114))</f>
        <v/>
      </c>
      <c r="J1117">
        <f>IF(OR($E1117="",$E1117="نامعتبر"),"",IF(Sync!$U1114="","",Sync!$U1114))</f>
        <v/>
      </c>
      <c r="K1117">
        <f>IF(OR($E1117="",$E1117="نامعتبر"),"",IF(Sync!$V1114="","",IFERROR(INDEX(SubCodes,MATCH(Sync!$V1114,SubTitles,0)),Sync!$V1114)))</f>
        <v/>
      </c>
      <c r="L1117">
        <f>IF(OR($E1117="",$E1117="نامعتبر"),"",IF(Sync!$W1114="",0,Sync!$W1114))</f>
        <v/>
      </c>
      <c r="M1117">
        <f>IF(OR($E1117="",$E1117="نامعتبر"),"",IF(Sync!$X1114="",0,Sync!$X1114))</f>
        <v/>
      </c>
      <c r="N1117">
        <f>IF(OR($E1117="",$E1117="نامعتبر"),"",IF(AND($J1117="هزینه",$K1117&lt;&gt;""),1,0))</f>
        <v/>
      </c>
      <c r="O1117">
        <f>IF($N1117=0,"",LEFT($E1117,4)&amp;MID($E1117,6,2)&amp;RIGHT($E1117,2)&amp;$F1117&amp;"|"&amp;"1"&amp;RIGHT("00000"&amp;1109,5))</f>
        <v/>
      </c>
      <c r="P1117">
        <f>IF($O1117="","",COUNTIFS(ExpSub,$K1117,ExpKey,"&lt;"&amp;$O1117)+1)</f>
        <v/>
      </c>
      <c r="Q1117">
        <f>IF($P1117="","",$K1117&amp;"|"&amp;RIGHT("000000"&amp;$P1117,6))</f>
        <v/>
      </c>
    </row>
    <row r="1118">
      <c r="A1118">
        <f>IF(Sync!$P1115="","",Sync!$P1115)</f>
        <v/>
      </c>
      <c r="B1118">
        <f>IF($A1118="","",IF(ISNUMBER($A1118),IF(AND($A1118&gt;=10000101,$A1118&lt;=99991231),INT($A1118/10000),""),IFERROR(VALUE(TRIM(LEFT($A1118,FIND("/",$A1118)-1))),"")))</f>
        <v/>
      </c>
      <c r="C1118">
        <f>IF(OR($A1118="",$B1118=""),"",IF(ISNUMBER($A1118),INT(MOD($A1118,10000)/100),IFERROR(VALUE(TRIM(LEFT(MID($A1118,FIND("/",$A1118)+1,20),FIND("/",MID($A1118,FIND("/",$A1118)+1,20))-1))),"")))</f>
        <v/>
      </c>
      <c r="D1118">
        <f>IF(OR($A1118="",$B1118=""),"",IF(ISNUMBER($A1118),MOD($A1118,100),IFERROR(VALUE(TRIM(MID(MID($A1118,FIND("/",$A1118)+1,20),FIND("/",MID($A1118,FIND("/",$A1118)+1,20))+1,20))),"")))</f>
        <v/>
      </c>
      <c r="E1118">
        <f>IF($A1118="","",IF(OR($B1118="",$C1118="",$D1118="",$B1118&lt;1300,$B1118&gt;1500,$C1118&lt;1,$C1118&gt;12,$D1118&lt;1,$D1118&gt;31),"نامعتبر",RIGHT("0000"&amp;$B1118,4)&amp;"/"&amp;RIGHT("00"&amp;$C1118,2)&amp;"/"&amp;RIGHT("00"&amp;$D1118,2)))</f>
        <v/>
      </c>
      <c r="F1118">
        <f>IF(OR($E1118="",$E1118="نامعتبر"),"",IF(Sync!$Q1115="","0000",IF(AND(ISNUMBER(Sync!$Q1115),Sync!$Q1115&gt;=0,Sync!$Q1115&lt;1),RIGHT("00"&amp;HOUR(Sync!$Q1115),2)&amp;RIGHT("00"&amp;MINUTE(Sync!$Q1115),2),IFERROR(RIGHT("00"&amp;VALUE(LEFT(Sync!$Q1115,FIND(":",Sync!$Q1115)-1)),2)&amp;RIGHT("00"&amp;VALUE(MID(Sync!$Q1115,FIND(":",Sync!$Q1115)+1,2)),2),"0000"))))</f>
        <v/>
      </c>
      <c r="G1118">
        <f>IF(OR($E1118="",$E1118="نامعتبر"),"",IF(Sync!$S1115="","",Sync!$S1115))</f>
        <v/>
      </c>
      <c r="H1118">
        <f>IF(OR($E1118="",$E1118="نامعتبر"),"",IF(Sync!$R1115="","",Sync!$R1115))</f>
        <v/>
      </c>
      <c r="I1118">
        <f>IF(OR($E1118="",$E1118="نامعتبر"),"",IF(Sync!$T1115="","",Sync!$T1115))</f>
        <v/>
      </c>
      <c r="J1118">
        <f>IF(OR($E1118="",$E1118="نامعتبر"),"",IF(Sync!$U1115="","",Sync!$U1115))</f>
        <v/>
      </c>
      <c r="K1118">
        <f>IF(OR($E1118="",$E1118="نامعتبر"),"",IF(Sync!$V1115="","",IFERROR(INDEX(SubCodes,MATCH(Sync!$V1115,SubTitles,0)),Sync!$V1115)))</f>
        <v/>
      </c>
      <c r="L1118">
        <f>IF(OR($E1118="",$E1118="نامعتبر"),"",IF(Sync!$W1115="",0,Sync!$W1115))</f>
        <v/>
      </c>
      <c r="M1118">
        <f>IF(OR($E1118="",$E1118="نامعتبر"),"",IF(Sync!$X1115="",0,Sync!$X1115))</f>
        <v/>
      </c>
      <c r="N1118">
        <f>IF(OR($E1118="",$E1118="نامعتبر"),"",IF(AND($J1118="هزینه",$K1118&lt;&gt;""),1,0))</f>
        <v/>
      </c>
      <c r="O1118">
        <f>IF($N1118=0,"",LEFT($E1118,4)&amp;MID($E1118,6,2)&amp;RIGHT($E1118,2)&amp;$F1118&amp;"|"&amp;"1"&amp;RIGHT("00000"&amp;1110,5))</f>
        <v/>
      </c>
      <c r="P1118">
        <f>IF($O1118="","",COUNTIFS(ExpSub,$K1118,ExpKey,"&lt;"&amp;$O1118)+1)</f>
        <v/>
      </c>
      <c r="Q1118">
        <f>IF($P1118="","",$K1118&amp;"|"&amp;RIGHT("000000"&amp;$P1118,6))</f>
        <v/>
      </c>
    </row>
    <row r="1119">
      <c r="A1119">
        <f>IF(Sync!$P1116="","",Sync!$P1116)</f>
        <v/>
      </c>
      <c r="B1119">
        <f>IF($A1119="","",IF(ISNUMBER($A1119),IF(AND($A1119&gt;=10000101,$A1119&lt;=99991231),INT($A1119/10000),""),IFERROR(VALUE(TRIM(LEFT($A1119,FIND("/",$A1119)-1))),"")))</f>
        <v/>
      </c>
      <c r="C1119">
        <f>IF(OR($A1119="",$B1119=""),"",IF(ISNUMBER($A1119),INT(MOD($A1119,10000)/100),IFERROR(VALUE(TRIM(LEFT(MID($A1119,FIND("/",$A1119)+1,20),FIND("/",MID($A1119,FIND("/",$A1119)+1,20))-1))),"")))</f>
        <v/>
      </c>
      <c r="D1119">
        <f>IF(OR($A1119="",$B1119=""),"",IF(ISNUMBER($A1119),MOD($A1119,100),IFERROR(VALUE(TRIM(MID(MID($A1119,FIND("/",$A1119)+1,20),FIND("/",MID($A1119,FIND("/",$A1119)+1,20))+1,20))),"")))</f>
        <v/>
      </c>
      <c r="E1119">
        <f>IF($A1119="","",IF(OR($B1119="",$C1119="",$D1119="",$B1119&lt;1300,$B1119&gt;1500,$C1119&lt;1,$C1119&gt;12,$D1119&lt;1,$D1119&gt;31),"نامعتبر",RIGHT("0000"&amp;$B1119,4)&amp;"/"&amp;RIGHT("00"&amp;$C1119,2)&amp;"/"&amp;RIGHT("00"&amp;$D1119,2)))</f>
        <v/>
      </c>
      <c r="F1119">
        <f>IF(OR($E1119="",$E1119="نامعتبر"),"",IF(Sync!$Q1116="","0000",IF(AND(ISNUMBER(Sync!$Q1116),Sync!$Q1116&gt;=0,Sync!$Q1116&lt;1),RIGHT("00"&amp;HOUR(Sync!$Q1116),2)&amp;RIGHT("00"&amp;MINUTE(Sync!$Q1116),2),IFERROR(RIGHT("00"&amp;VALUE(LEFT(Sync!$Q1116,FIND(":",Sync!$Q1116)-1)),2)&amp;RIGHT("00"&amp;VALUE(MID(Sync!$Q1116,FIND(":",Sync!$Q1116)+1,2)),2),"0000"))))</f>
        <v/>
      </c>
      <c r="G1119">
        <f>IF(OR($E1119="",$E1119="نامعتبر"),"",IF(Sync!$S1116="","",Sync!$S1116))</f>
        <v/>
      </c>
      <c r="H1119">
        <f>IF(OR($E1119="",$E1119="نامعتبر"),"",IF(Sync!$R1116="","",Sync!$R1116))</f>
        <v/>
      </c>
      <c r="I1119">
        <f>IF(OR($E1119="",$E1119="نامعتبر"),"",IF(Sync!$T1116="","",Sync!$T1116))</f>
        <v/>
      </c>
      <c r="J1119">
        <f>IF(OR($E1119="",$E1119="نامعتبر"),"",IF(Sync!$U1116="","",Sync!$U1116))</f>
        <v/>
      </c>
      <c r="K1119">
        <f>IF(OR($E1119="",$E1119="نامعتبر"),"",IF(Sync!$V1116="","",IFERROR(INDEX(SubCodes,MATCH(Sync!$V1116,SubTitles,0)),Sync!$V1116)))</f>
        <v/>
      </c>
      <c r="L1119">
        <f>IF(OR($E1119="",$E1119="نامعتبر"),"",IF(Sync!$W1116="",0,Sync!$W1116))</f>
        <v/>
      </c>
      <c r="M1119">
        <f>IF(OR($E1119="",$E1119="نامعتبر"),"",IF(Sync!$X1116="",0,Sync!$X1116))</f>
        <v/>
      </c>
      <c r="N1119">
        <f>IF(OR($E1119="",$E1119="نامعتبر"),"",IF(AND($J1119="هزینه",$K1119&lt;&gt;""),1,0))</f>
        <v/>
      </c>
      <c r="O1119">
        <f>IF($N1119=0,"",LEFT($E1119,4)&amp;MID($E1119,6,2)&amp;RIGHT($E1119,2)&amp;$F1119&amp;"|"&amp;"1"&amp;RIGHT("00000"&amp;1111,5))</f>
        <v/>
      </c>
      <c r="P1119">
        <f>IF($O1119="","",COUNTIFS(ExpSub,$K1119,ExpKey,"&lt;"&amp;$O1119)+1)</f>
        <v/>
      </c>
      <c r="Q1119">
        <f>IF($P1119="","",$K1119&amp;"|"&amp;RIGHT("000000"&amp;$P1119,6))</f>
        <v/>
      </c>
    </row>
    <row r="1120">
      <c r="A1120">
        <f>IF(Sync!$P1117="","",Sync!$P1117)</f>
        <v/>
      </c>
      <c r="B1120">
        <f>IF($A1120="","",IF(ISNUMBER($A1120),IF(AND($A1120&gt;=10000101,$A1120&lt;=99991231),INT($A1120/10000),""),IFERROR(VALUE(TRIM(LEFT($A1120,FIND("/",$A1120)-1))),"")))</f>
        <v/>
      </c>
      <c r="C1120">
        <f>IF(OR($A1120="",$B1120=""),"",IF(ISNUMBER($A1120),INT(MOD($A1120,10000)/100),IFERROR(VALUE(TRIM(LEFT(MID($A1120,FIND("/",$A1120)+1,20),FIND("/",MID($A1120,FIND("/",$A1120)+1,20))-1))),"")))</f>
        <v/>
      </c>
      <c r="D1120">
        <f>IF(OR($A1120="",$B1120=""),"",IF(ISNUMBER($A1120),MOD($A1120,100),IFERROR(VALUE(TRIM(MID(MID($A1120,FIND("/",$A1120)+1,20),FIND("/",MID($A1120,FIND("/",$A1120)+1,20))+1,20))),"")))</f>
        <v/>
      </c>
      <c r="E1120">
        <f>IF($A1120="","",IF(OR($B1120="",$C1120="",$D1120="",$B1120&lt;1300,$B1120&gt;1500,$C1120&lt;1,$C1120&gt;12,$D1120&lt;1,$D1120&gt;31),"نامعتبر",RIGHT("0000"&amp;$B1120,4)&amp;"/"&amp;RIGHT("00"&amp;$C1120,2)&amp;"/"&amp;RIGHT("00"&amp;$D1120,2)))</f>
        <v/>
      </c>
      <c r="F1120">
        <f>IF(OR($E1120="",$E1120="نامعتبر"),"",IF(Sync!$Q1117="","0000",IF(AND(ISNUMBER(Sync!$Q1117),Sync!$Q1117&gt;=0,Sync!$Q1117&lt;1),RIGHT("00"&amp;HOUR(Sync!$Q1117),2)&amp;RIGHT("00"&amp;MINUTE(Sync!$Q1117),2),IFERROR(RIGHT("00"&amp;VALUE(LEFT(Sync!$Q1117,FIND(":",Sync!$Q1117)-1)),2)&amp;RIGHT("00"&amp;VALUE(MID(Sync!$Q1117,FIND(":",Sync!$Q1117)+1,2)),2),"0000"))))</f>
        <v/>
      </c>
      <c r="G1120">
        <f>IF(OR($E1120="",$E1120="نامعتبر"),"",IF(Sync!$S1117="","",Sync!$S1117))</f>
        <v/>
      </c>
      <c r="H1120">
        <f>IF(OR($E1120="",$E1120="نامعتبر"),"",IF(Sync!$R1117="","",Sync!$R1117))</f>
        <v/>
      </c>
      <c r="I1120">
        <f>IF(OR($E1120="",$E1120="نامعتبر"),"",IF(Sync!$T1117="","",Sync!$T1117))</f>
        <v/>
      </c>
      <c r="J1120">
        <f>IF(OR($E1120="",$E1120="نامعتبر"),"",IF(Sync!$U1117="","",Sync!$U1117))</f>
        <v/>
      </c>
      <c r="K1120">
        <f>IF(OR($E1120="",$E1120="نامعتبر"),"",IF(Sync!$V1117="","",IFERROR(INDEX(SubCodes,MATCH(Sync!$V1117,SubTitles,0)),Sync!$V1117)))</f>
        <v/>
      </c>
      <c r="L1120">
        <f>IF(OR($E1120="",$E1120="نامعتبر"),"",IF(Sync!$W1117="",0,Sync!$W1117))</f>
        <v/>
      </c>
      <c r="M1120">
        <f>IF(OR($E1120="",$E1120="نامعتبر"),"",IF(Sync!$X1117="",0,Sync!$X1117))</f>
        <v/>
      </c>
      <c r="N1120">
        <f>IF(OR($E1120="",$E1120="نامعتبر"),"",IF(AND($J1120="هزینه",$K1120&lt;&gt;""),1,0))</f>
        <v/>
      </c>
      <c r="O1120">
        <f>IF($N1120=0,"",LEFT($E1120,4)&amp;MID($E1120,6,2)&amp;RIGHT($E1120,2)&amp;$F1120&amp;"|"&amp;"1"&amp;RIGHT("00000"&amp;1112,5))</f>
        <v/>
      </c>
      <c r="P1120">
        <f>IF($O1120="","",COUNTIFS(ExpSub,$K1120,ExpKey,"&lt;"&amp;$O1120)+1)</f>
        <v/>
      </c>
      <c r="Q1120">
        <f>IF($P1120="","",$K1120&amp;"|"&amp;RIGHT("000000"&amp;$P1120,6))</f>
        <v/>
      </c>
    </row>
    <row r="1121">
      <c r="A1121">
        <f>IF(Sync!$P1118="","",Sync!$P1118)</f>
        <v/>
      </c>
      <c r="B1121">
        <f>IF($A1121="","",IF(ISNUMBER($A1121),IF(AND($A1121&gt;=10000101,$A1121&lt;=99991231),INT($A1121/10000),""),IFERROR(VALUE(TRIM(LEFT($A1121,FIND("/",$A1121)-1))),"")))</f>
        <v/>
      </c>
      <c r="C1121">
        <f>IF(OR($A1121="",$B1121=""),"",IF(ISNUMBER($A1121),INT(MOD($A1121,10000)/100),IFERROR(VALUE(TRIM(LEFT(MID($A1121,FIND("/",$A1121)+1,20),FIND("/",MID($A1121,FIND("/",$A1121)+1,20))-1))),"")))</f>
        <v/>
      </c>
      <c r="D1121">
        <f>IF(OR($A1121="",$B1121=""),"",IF(ISNUMBER($A1121),MOD($A1121,100),IFERROR(VALUE(TRIM(MID(MID($A1121,FIND("/",$A1121)+1,20),FIND("/",MID($A1121,FIND("/",$A1121)+1,20))+1,20))),"")))</f>
        <v/>
      </c>
      <c r="E1121">
        <f>IF($A1121="","",IF(OR($B1121="",$C1121="",$D1121="",$B1121&lt;1300,$B1121&gt;1500,$C1121&lt;1,$C1121&gt;12,$D1121&lt;1,$D1121&gt;31),"نامعتبر",RIGHT("0000"&amp;$B1121,4)&amp;"/"&amp;RIGHT("00"&amp;$C1121,2)&amp;"/"&amp;RIGHT("00"&amp;$D1121,2)))</f>
        <v/>
      </c>
      <c r="F1121">
        <f>IF(OR($E1121="",$E1121="نامعتبر"),"",IF(Sync!$Q1118="","0000",IF(AND(ISNUMBER(Sync!$Q1118),Sync!$Q1118&gt;=0,Sync!$Q1118&lt;1),RIGHT("00"&amp;HOUR(Sync!$Q1118),2)&amp;RIGHT("00"&amp;MINUTE(Sync!$Q1118),2),IFERROR(RIGHT("00"&amp;VALUE(LEFT(Sync!$Q1118,FIND(":",Sync!$Q1118)-1)),2)&amp;RIGHT("00"&amp;VALUE(MID(Sync!$Q1118,FIND(":",Sync!$Q1118)+1,2)),2),"0000"))))</f>
        <v/>
      </c>
      <c r="G1121">
        <f>IF(OR($E1121="",$E1121="نامعتبر"),"",IF(Sync!$S1118="","",Sync!$S1118))</f>
        <v/>
      </c>
      <c r="H1121">
        <f>IF(OR($E1121="",$E1121="نامعتبر"),"",IF(Sync!$R1118="","",Sync!$R1118))</f>
        <v/>
      </c>
      <c r="I1121">
        <f>IF(OR($E1121="",$E1121="نامعتبر"),"",IF(Sync!$T1118="","",Sync!$T1118))</f>
        <v/>
      </c>
      <c r="J1121">
        <f>IF(OR($E1121="",$E1121="نامعتبر"),"",IF(Sync!$U1118="","",Sync!$U1118))</f>
        <v/>
      </c>
      <c r="K1121">
        <f>IF(OR($E1121="",$E1121="نامعتبر"),"",IF(Sync!$V1118="","",IFERROR(INDEX(SubCodes,MATCH(Sync!$V1118,SubTitles,0)),Sync!$V1118)))</f>
        <v/>
      </c>
      <c r="L1121">
        <f>IF(OR($E1121="",$E1121="نامعتبر"),"",IF(Sync!$W1118="",0,Sync!$W1118))</f>
        <v/>
      </c>
      <c r="M1121">
        <f>IF(OR($E1121="",$E1121="نامعتبر"),"",IF(Sync!$X1118="",0,Sync!$X1118))</f>
        <v/>
      </c>
      <c r="N1121">
        <f>IF(OR($E1121="",$E1121="نامعتبر"),"",IF(AND($J1121="هزینه",$K1121&lt;&gt;""),1,0))</f>
        <v/>
      </c>
      <c r="O1121">
        <f>IF($N1121=0,"",LEFT($E1121,4)&amp;MID($E1121,6,2)&amp;RIGHT($E1121,2)&amp;$F1121&amp;"|"&amp;"1"&amp;RIGHT("00000"&amp;1113,5))</f>
        <v/>
      </c>
      <c r="P1121">
        <f>IF($O1121="","",COUNTIFS(ExpSub,$K1121,ExpKey,"&lt;"&amp;$O1121)+1)</f>
        <v/>
      </c>
      <c r="Q1121">
        <f>IF($P1121="","",$K1121&amp;"|"&amp;RIGHT("000000"&amp;$P1121,6))</f>
        <v/>
      </c>
    </row>
    <row r="1122">
      <c r="A1122">
        <f>IF(Sync!$P1119="","",Sync!$P1119)</f>
        <v/>
      </c>
      <c r="B1122">
        <f>IF($A1122="","",IF(ISNUMBER($A1122),IF(AND($A1122&gt;=10000101,$A1122&lt;=99991231),INT($A1122/10000),""),IFERROR(VALUE(TRIM(LEFT($A1122,FIND("/",$A1122)-1))),"")))</f>
        <v/>
      </c>
      <c r="C1122">
        <f>IF(OR($A1122="",$B1122=""),"",IF(ISNUMBER($A1122),INT(MOD($A1122,10000)/100),IFERROR(VALUE(TRIM(LEFT(MID($A1122,FIND("/",$A1122)+1,20),FIND("/",MID($A1122,FIND("/",$A1122)+1,20))-1))),"")))</f>
        <v/>
      </c>
      <c r="D1122">
        <f>IF(OR($A1122="",$B1122=""),"",IF(ISNUMBER($A1122),MOD($A1122,100),IFERROR(VALUE(TRIM(MID(MID($A1122,FIND("/",$A1122)+1,20),FIND("/",MID($A1122,FIND("/",$A1122)+1,20))+1,20))),"")))</f>
        <v/>
      </c>
      <c r="E1122">
        <f>IF($A1122="","",IF(OR($B1122="",$C1122="",$D1122="",$B1122&lt;1300,$B1122&gt;1500,$C1122&lt;1,$C1122&gt;12,$D1122&lt;1,$D1122&gt;31),"نامعتبر",RIGHT("0000"&amp;$B1122,4)&amp;"/"&amp;RIGHT("00"&amp;$C1122,2)&amp;"/"&amp;RIGHT("00"&amp;$D1122,2)))</f>
        <v/>
      </c>
      <c r="F1122">
        <f>IF(OR($E1122="",$E1122="نامعتبر"),"",IF(Sync!$Q1119="","0000",IF(AND(ISNUMBER(Sync!$Q1119),Sync!$Q1119&gt;=0,Sync!$Q1119&lt;1),RIGHT("00"&amp;HOUR(Sync!$Q1119),2)&amp;RIGHT("00"&amp;MINUTE(Sync!$Q1119),2),IFERROR(RIGHT("00"&amp;VALUE(LEFT(Sync!$Q1119,FIND(":",Sync!$Q1119)-1)),2)&amp;RIGHT("00"&amp;VALUE(MID(Sync!$Q1119,FIND(":",Sync!$Q1119)+1,2)),2),"0000"))))</f>
        <v/>
      </c>
      <c r="G1122">
        <f>IF(OR($E1122="",$E1122="نامعتبر"),"",IF(Sync!$S1119="","",Sync!$S1119))</f>
        <v/>
      </c>
      <c r="H1122">
        <f>IF(OR($E1122="",$E1122="نامعتبر"),"",IF(Sync!$R1119="","",Sync!$R1119))</f>
        <v/>
      </c>
      <c r="I1122">
        <f>IF(OR($E1122="",$E1122="نامعتبر"),"",IF(Sync!$T1119="","",Sync!$T1119))</f>
        <v/>
      </c>
      <c r="J1122">
        <f>IF(OR($E1122="",$E1122="نامعتبر"),"",IF(Sync!$U1119="","",Sync!$U1119))</f>
        <v/>
      </c>
      <c r="K1122">
        <f>IF(OR($E1122="",$E1122="نامعتبر"),"",IF(Sync!$V1119="","",IFERROR(INDEX(SubCodes,MATCH(Sync!$V1119,SubTitles,0)),Sync!$V1119)))</f>
        <v/>
      </c>
      <c r="L1122">
        <f>IF(OR($E1122="",$E1122="نامعتبر"),"",IF(Sync!$W1119="",0,Sync!$W1119))</f>
        <v/>
      </c>
      <c r="M1122">
        <f>IF(OR($E1122="",$E1122="نامعتبر"),"",IF(Sync!$X1119="",0,Sync!$X1119))</f>
        <v/>
      </c>
      <c r="N1122">
        <f>IF(OR($E1122="",$E1122="نامعتبر"),"",IF(AND($J1122="هزینه",$K1122&lt;&gt;""),1,0))</f>
        <v/>
      </c>
      <c r="O1122">
        <f>IF($N1122=0,"",LEFT($E1122,4)&amp;MID($E1122,6,2)&amp;RIGHT($E1122,2)&amp;$F1122&amp;"|"&amp;"1"&amp;RIGHT("00000"&amp;1114,5))</f>
        <v/>
      </c>
      <c r="P1122">
        <f>IF($O1122="","",COUNTIFS(ExpSub,$K1122,ExpKey,"&lt;"&amp;$O1122)+1)</f>
        <v/>
      </c>
      <c r="Q1122">
        <f>IF($P1122="","",$K1122&amp;"|"&amp;RIGHT("000000"&amp;$P1122,6))</f>
        <v/>
      </c>
    </row>
    <row r="1123">
      <c r="A1123">
        <f>IF(Sync!$P1120="","",Sync!$P1120)</f>
        <v/>
      </c>
      <c r="B1123">
        <f>IF($A1123="","",IF(ISNUMBER($A1123),IF(AND($A1123&gt;=10000101,$A1123&lt;=99991231),INT($A1123/10000),""),IFERROR(VALUE(TRIM(LEFT($A1123,FIND("/",$A1123)-1))),"")))</f>
        <v/>
      </c>
      <c r="C1123">
        <f>IF(OR($A1123="",$B1123=""),"",IF(ISNUMBER($A1123),INT(MOD($A1123,10000)/100),IFERROR(VALUE(TRIM(LEFT(MID($A1123,FIND("/",$A1123)+1,20),FIND("/",MID($A1123,FIND("/",$A1123)+1,20))-1))),"")))</f>
        <v/>
      </c>
      <c r="D1123">
        <f>IF(OR($A1123="",$B1123=""),"",IF(ISNUMBER($A1123),MOD($A1123,100),IFERROR(VALUE(TRIM(MID(MID($A1123,FIND("/",$A1123)+1,20),FIND("/",MID($A1123,FIND("/",$A1123)+1,20))+1,20))),"")))</f>
        <v/>
      </c>
      <c r="E1123">
        <f>IF($A1123="","",IF(OR($B1123="",$C1123="",$D1123="",$B1123&lt;1300,$B1123&gt;1500,$C1123&lt;1,$C1123&gt;12,$D1123&lt;1,$D1123&gt;31),"نامعتبر",RIGHT("0000"&amp;$B1123,4)&amp;"/"&amp;RIGHT("00"&amp;$C1123,2)&amp;"/"&amp;RIGHT("00"&amp;$D1123,2)))</f>
        <v/>
      </c>
      <c r="F1123">
        <f>IF(OR($E1123="",$E1123="نامعتبر"),"",IF(Sync!$Q1120="","0000",IF(AND(ISNUMBER(Sync!$Q1120),Sync!$Q1120&gt;=0,Sync!$Q1120&lt;1),RIGHT("00"&amp;HOUR(Sync!$Q1120),2)&amp;RIGHT("00"&amp;MINUTE(Sync!$Q1120),2),IFERROR(RIGHT("00"&amp;VALUE(LEFT(Sync!$Q1120,FIND(":",Sync!$Q1120)-1)),2)&amp;RIGHT("00"&amp;VALUE(MID(Sync!$Q1120,FIND(":",Sync!$Q1120)+1,2)),2),"0000"))))</f>
        <v/>
      </c>
      <c r="G1123">
        <f>IF(OR($E1123="",$E1123="نامعتبر"),"",IF(Sync!$S1120="","",Sync!$S1120))</f>
        <v/>
      </c>
      <c r="H1123">
        <f>IF(OR($E1123="",$E1123="نامعتبر"),"",IF(Sync!$R1120="","",Sync!$R1120))</f>
        <v/>
      </c>
      <c r="I1123">
        <f>IF(OR($E1123="",$E1123="نامعتبر"),"",IF(Sync!$T1120="","",Sync!$T1120))</f>
        <v/>
      </c>
      <c r="J1123">
        <f>IF(OR($E1123="",$E1123="نامعتبر"),"",IF(Sync!$U1120="","",Sync!$U1120))</f>
        <v/>
      </c>
      <c r="K1123">
        <f>IF(OR($E1123="",$E1123="نامعتبر"),"",IF(Sync!$V1120="","",IFERROR(INDEX(SubCodes,MATCH(Sync!$V1120,SubTitles,0)),Sync!$V1120)))</f>
        <v/>
      </c>
      <c r="L1123">
        <f>IF(OR($E1123="",$E1123="نامعتبر"),"",IF(Sync!$W1120="",0,Sync!$W1120))</f>
        <v/>
      </c>
      <c r="M1123">
        <f>IF(OR($E1123="",$E1123="نامعتبر"),"",IF(Sync!$X1120="",0,Sync!$X1120))</f>
        <v/>
      </c>
      <c r="N1123">
        <f>IF(OR($E1123="",$E1123="نامعتبر"),"",IF(AND($J1123="هزینه",$K1123&lt;&gt;""),1,0))</f>
        <v/>
      </c>
      <c r="O1123">
        <f>IF($N1123=0,"",LEFT($E1123,4)&amp;MID($E1123,6,2)&amp;RIGHT($E1123,2)&amp;$F1123&amp;"|"&amp;"1"&amp;RIGHT("00000"&amp;1115,5))</f>
        <v/>
      </c>
      <c r="P1123">
        <f>IF($O1123="","",COUNTIFS(ExpSub,$K1123,ExpKey,"&lt;"&amp;$O1123)+1)</f>
        <v/>
      </c>
      <c r="Q1123">
        <f>IF($P1123="","",$K1123&amp;"|"&amp;RIGHT("000000"&amp;$P1123,6))</f>
        <v/>
      </c>
    </row>
    <row r="1124">
      <c r="A1124">
        <f>IF(Sync!$P1121="","",Sync!$P1121)</f>
        <v/>
      </c>
      <c r="B1124">
        <f>IF($A1124="","",IF(ISNUMBER($A1124),IF(AND($A1124&gt;=10000101,$A1124&lt;=99991231),INT($A1124/10000),""),IFERROR(VALUE(TRIM(LEFT($A1124,FIND("/",$A1124)-1))),"")))</f>
        <v/>
      </c>
      <c r="C1124">
        <f>IF(OR($A1124="",$B1124=""),"",IF(ISNUMBER($A1124),INT(MOD($A1124,10000)/100),IFERROR(VALUE(TRIM(LEFT(MID($A1124,FIND("/",$A1124)+1,20),FIND("/",MID($A1124,FIND("/",$A1124)+1,20))-1))),"")))</f>
        <v/>
      </c>
      <c r="D1124">
        <f>IF(OR($A1124="",$B1124=""),"",IF(ISNUMBER($A1124),MOD($A1124,100),IFERROR(VALUE(TRIM(MID(MID($A1124,FIND("/",$A1124)+1,20),FIND("/",MID($A1124,FIND("/",$A1124)+1,20))+1,20))),"")))</f>
        <v/>
      </c>
      <c r="E1124">
        <f>IF($A1124="","",IF(OR($B1124="",$C1124="",$D1124="",$B1124&lt;1300,$B1124&gt;1500,$C1124&lt;1,$C1124&gt;12,$D1124&lt;1,$D1124&gt;31),"نامعتبر",RIGHT("0000"&amp;$B1124,4)&amp;"/"&amp;RIGHT("00"&amp;$C1124,2)&amp;"/"&amp;RIGHT("00"&amp;$D1124,2)))</f>
        <v/>
      </c>
      <c r="F1124">
        <f>IF(OR($E1124="",$E1124="نامعتبر"),"",IF(Sync!$Q1121="","0000",IF(AND(ISNUMBER(Sync!$Q1121),Sync!$Q1121&gt;=0,Sync!$Q1121&lt;1),RIGHT("00"&amp;HOUR(Sync!$Q1121),2)&amp;RIGHT("00"&amp;MINUTE(Sync!$Q1121),2),IFERROR(RIGHT("00"&amp;VALUE(LEFT(Sync!$Q1121,FIND(":",Sync!$Q1121)-1)),2)&amp;RIGHT("00"&amp;VALUE(MID(Sync!$Q1121,FIND(":",Sync!$Q1121)+1,2)),2),"0000"))))</f>
        <v/>
      </c>
      <c r="G1124">
        <f>IF(OR($E1124="",$E1124="نامعتبر"),"",IF(Sync!$S1121="","",Sync!$S1121))</f>
        <v/>
      </c>
      <c r="H1124">
        <f>IF(OR($E1124="",$E1124="نامعتبر"),"",IF(Sync!$R1121="","",Sync!$R1121))</f>
        <v/>
      </c>
      <c r="I1124">
        <f>IF(OR($E1124="",$E1124="نامعتبر"),"",IF(Sync!$T1121="","",Sync!$T1121))</f>
        <v/>
      </c>
      <c r="J1124">
        <f>IF(OR($E1124="",$E1124="نامعتبر"),"",IF(Sync!$U1121="","",Sync!$U1121))</f>
        <v/>
      </c>
      <c r="K1124">
        <f>IF(OR($E1124="",$E1124="نامعتبر"),"",IF(Sync!$V1121="","",IFERROR(INDEX(SubCodes,MATCH(Sync!$V1121,SubTitles,0)),Sync!$V1121)))</f>
        <v/>
      </c>
      <c r="L1124">
        <f>IF(OR($E1124="",$E1124="نامعتبر"),"",IF(Sync!$W1121="",0,Sync!$W1121))</f>
        <v/>
      </c>
      <c r="M1124">
        <f>IF(OR($E1124="",$E1124="نامعتبر"),"",IF(Sync!$X1121="",0,Sync!$X1121))</f>
        <v/>
      </c>
      <c r="N1124">
        <f>IF(OR($E1124="",$E1124="نامعتبر"),"",IF(AND($J1124="هزینه",$K1124&lt;&gt;""),1,0))</f>
        <v/>
      </c>
      <c r="O1124">
        <f>IF($N1124=0,"",LEFT($E1124,4)&amp;MID($E1124,6,2)&amp;RIGHT($E1124,2)&amp;$F1124&amp;"|"&amp;"1"&amp;RIGHT("00000"&amp;1116,5))</f>
        <v/>
      </c>
      <c r="P1124">
        <f>IF($O1124="","",COUNTIFS(ExpSub,$K1124,ExpKey,"&lt;"&amp;$O1124)+1)</f>
        <v/>
      </c>
      <c r="Q1124">
        <f>IF($P1124="","",$K1124&amp;"|"&amp;RIGHT("000000"&amp;$P1124,6))</f>
        <v/>
      </c>
    </row>
    <row r="1125">
      <c r="A1125">
        <f>IF(Sync!$P1122="","",Sync!$P1122)</f>
        <v/>
      </c>
      <c r="B1125">
        <f>IF($A1125="","",IF(ISNUMBER($A1125),IF(AND($A1125&gt;=10000101,$A1125&lt;=99991231),INT($A1125/10000),""),IFERROR(VALUE(TRIM(LEFT($A1125,FIND("/",$A1125)-1))),"")))</f>
        <v/>
      </c>
      <c r="C1125">
        <f>IF(OR($A1125="",$B1125=""),"",IF(ISNUMBER($A1125),INT(MOD($A1125,10000)/100),IFERROR(VALUE(TRIM(LEFT(MID($A1125,FIND("/",$A1125)+1,20),FIND("/",MID($A1125,FIND("/",$A1125)+1,20))-1))),"")))</f>
        <v/>
      </c>
      <c r="D1125">
        <f>IF(OR($A1125="",$B1125=""),"",IF(ISNUMBER($A1125),MOD($A1125,100),IFERROR(VALUE(TRIM(MID(MID($A1125,FIND("/",$A1125)+1,20),FIND("/",MID($A1125,FIND("/",$A1125)+1,20))+1,20))),"")))</f>
        <v/>
      </c>
      <c r="E1125">
        <f>IF($A1125="","",IF(OR($B1125="",$C1125="",$D1125="",$B1125&lt;1300,$B1125&gt;1500,$C1125&lt;1,$C1125&gt;12,$D1125&lt;1,$D1125&gt;31),"نامعتبر",RIGHT("0000"&amp;$B1125,4)&amp;"/"&amp;RIGHT("00"&amp;$C1125,2)&amp;"/"&amp;RIGHT("00"&amp;$D1125,2)))</f>
        <v/>
      </c>
      <c r="F1125">
        <f>IF(OR($E1125="",$E1125="نامعتبر"),"",IF(Sync!$Q1122="","0000",IF(AND(ISNUMBER(Sync!$Q1122),Sync!$Q1122&gt;=0,Sync!$Q1122&lt;1),RIGHT("00"&amp;HOUR(Sync!$Q1122),2)&amp;RIGHT("00"&amp;MINUTE(Sync!$Q1122),2),IFERROR(RIGHT("00"&amp;VALUE(LEFT(Sync!$Q1122,FIND(":",Sync!$Q1122)-1)),2)&amp;RIGHT("00"&amp;VALUE(MID(Sync!$Q1122,FIND(":",Sync!$Q1122)+1,2)),2),"0000"))))</f>
        <v/>
      </c>
      <c r="G1125">
        <f>IF(OR($E1125="",$E1125="نامعتبر"),"",IF(Sync!$S1122="","",Sync!$S1122))</f>
        <v/>
      </c>
      <c r="H1125">
        <f>IF(OR($E1125="",$E1125="نامعتبر"),"",IF(Sync!$R1122="","",Sync!$R1122))</f>
        <v/>
      </c>
      <c r="I1125">
        <f>IF(OR($E1125="",$E1125="نامعتبر"),"",IF(Sync!$T1122="","",Sync!$T1122))</f>
        <v/>
      </c>
      <c r="J1125">
        <f>IF(OR($E1125="",$E1125="نامعتبر"),"",IF(Sync!$U1122="","",Sync!$U1122))</f>
        <v/>
      </c>
      <c r="K1125">
        <f>IF(OR($E1125="",$E1125="نامعتبر"),"",IF(Sync!$V1122="","",IFERROR(INDEX(SubCodes,MATCH(Sync!$V1122,SubTitles,0)),Sync!$V1122)))</f>
        <v/>
      </c>
      <c r="L1125">
        <f>IF(OR($E1125="",$E1125="نامعتبر"),"",IF(Sync!$W1122="",0,Sync!$W1122))</f>
        <v/>
      </c>
      <c r="M1125">
        <f>IF(OR($E1125="",$E1125="نامعتبر"),"",IF(Sync!$X1122="",0,Sync!$X1122))</f>
        <v/>
      </c>
      <c r="N1125">
        <f>IF(OR($E1125="",$E1125="نامعتبر"),"",IF(AND($J1125="هزینه",$K1125&lt;&gt;""),1,0))</f>
        <v/>
      </c>
      <c r="O1125">
        <f>IF($N1125=0,"",LEFT($E1125,4)&amp;MID($E1125,6,2)&amp;RIGHT($E1125,2)&amp;$F1125&amp;"|"&amp;"1"&amp;RIGHT("00000"&amp;1117,5))</f>
        <v/>
      </c>
      <c r="P1125">
        <f>IF($O1125="","",COUNTIFS(ExpSub,$K1125,ExpKey,"&lt;"&amp;$O1125)+1)</f>
        <v/>
      </c>
      <c r="Q1125">
        <f>IF($P1125="","",$K1125&amp;"|"&amp;RIGHT("000000"&amp;$P1125,6))</f>
        <v/>
      </c>
    </row>
    <row r="1126">
      <c r="A1126">
        <f>IF(Sync!$P1123="","",Sync!$P1123)</f>
        <v/>
      </c>
      <c r="B1126">
        <f>IF($A1126="","",IF(ISNUMBER($A1126),IF(AND($A1126&gt;=10000101,$A1126&lt;=99991231),INT($A1126/10000),""),IFERROR(VALUE(TRIM(LEFT($A1126,FIND("/",$A1126)-1))),"")))</f>
        <v/>
      </c>
      <c r="C1126">
        <f>IF(OR($A1126="",$B1126=""),"",IF(ISNUMBER($A1126),INT(MOD($A1126,10000)/100),IFERROR(VALUE(TRIM(LEFT(MID($A1126,FIND("/",$A1126)+1,20),FIND("/",MID($A1126,FIND("/",$A1126)+1,20))-1))),"")))</f>
        <v/>
      </c>
      <c r="D1126">
        <f>IF(OR($A1126="",$B1126=""),"",IF(ISNUMBER($A1126),MOD($A1126,100),IFERROR(VALUE(TRIM(MID(MID($A1126,FIND("/",$A1126)+1,20),FIND("/",MID($A1126,FIND("/",$A1126)+1,20))+1,20))),"")))</f>
        <v/>
      </c>
      <c r="E1126">
        <f>IF($A1126="","",IF(OR($B1126="",$C1126="",$D1126="",$B1126&lt;1300,$B1126&gt;1500,$C1126&lt;1,$C1126&gt;12,$D1126&lt;1,$D1126&gt;31),"نامعتبر",RIGHT("0000"&amp;$B1126,4)&amp;"/"&amp;RIGHT("00"&amp;$C1126,2)&amp;"/"&amp;RIGHT("00"&amp;$D1126,2)))</f>
        <v/>
      </c>
      <c r="F1126">
        <f>IF(OR($E1126="",$E1126="نامعتبر"),"",IF(Sync!$Q1123="","0000",IF(AND(ISNUMBER(Sync!$Q1123),Sync!$Q1123&gt;=0,Sync!$Q1123&lt;1),RIGHT("00"&amp;HOUR(Sync!$Q1123),2)&amp;RIGHT("00"&amp;MINUTE(Sync!$Q1123),2),IFERROR(RIGHT("00"&amp;VALUE(LEFT(Sync!$Q1123,FIND(":",Sync!$Q1123)-1)),2)&amp;RIGHT("00"&amp;VALUE(MID(Sync!$Q1123,FIND(":",Sync!$Q1123)+1,2)),2),"0000"))))</f>
        <v/>
      </c>
      <c r="G1126">
        <f>IF(OR($E1126="",$E1126="نامعتبر"),"",IF(Sync!$S1123="","",Sync!$S1123))</f>
        <v/>
      </c>
      <c r="H1126">
        <f>IF(OR($E1126="",$E1126="نامعتبر"),"",IF(Sync!$R1123="","",Sync!$R1123))</f>
        <v/>
      </c>
      <c r="I1126">
        <f>IF(OR($E1126="",$E1126="نامعتبر"),"",IF(Sync!$T1123="","",Sync!$T1123))</f>
        <v/>
      </c>
      <c r="J1126">
        <f>IF(OR($E1126="",$E1126="نامعتبر"),"",IF(Sync!$U1123="","",Sync!$U1123))</f>
        <v/>
      </c>
      <c r="K1126">
        <f>IF(OR($E1126="",$E1126="نامعتبر"),"",IF(Sync!$V1123="","",IFERROR(INDEX(SubCodes,MATCH(Sync!$V1123,SubTitles,0)),Sync!$V1123)))</f>
        <v/>
      </c>
      <c r="L1126">
        <f>IF(OR($E1126="",$E1126="نامعتبر"),"",IF(Sync!$W1123="",0,Sync!$W1123))</f>
        <v/>
      </c>
      <c r="M1126">
        <f>IF(OR($E1126="",$E1126="نامعتبر"),"",IF(Sync!$X1123="",0,Sync!$X1123))</f>
        <v/>
      </c>
      <c r="N1126">
        <f>IF(OR($E1126="",$E1126="نامعتبر"),"",IF(AND($J1126="هزینه",$K1126&lt;&gt;""),1,0))</f>
        <v/>
      </c>
      <c r="O1126">
        <f>IF($N1126=0,"",LEFT($E1126,4)&amp;MID($E1126,6,2)&amp;RIGHT($E1126,2)&amp;$F1126&amp;"|"&amp;"1"&amp;RIGHT("00000"&amp;1118,5))</f>
        <v/>
      </c>
      <c r="P1126">
        <f>IF($O1126="","",COUNTIFS(ExpSub,$K1126,ExpKey,"&lt;"&amp;$O1126)+1)</f>
        <v/>
      </c>
      <c r="Q1126">
        <f>IF($P1126="","",$K1126&amp;"|"&amp;RIGHT("000000"&amp;$P1126,6))</f>
        <v/>
      </c>
    </row>
    <row r="1127">
      <c r="A1127">
        <f>IF(Sync!$P1124="","",Sync!$P1124)</f>
        <v/>
      </c>
      <c r="B1127">
        <f>IF($A1127="","",IF(ISNUMBER($A1127),IF(AND($A1127&gt;=10000101,$A1127&lt;=99991231),INT($A1127/10000),""),IFERROR(VALUE(TRIM(LEFT($A1127,FIND("/",$A1127)-1))),"")))</f>
        <v/>
      </c>
      <c r="C1127">
        <f>IF(OR($A1127="",$B1127=""),"",IF(ISNUMBER($A1127),INT(MOD($A1127,10000)/100),IFERROR(VALUE(TRIM(LEFT(MID($A1127,FIND("/",$A1127)+1,20),FIND("/",MID($A1127,FIND("/",$A1127)+1,20))-1))),"")))</f>
        <v/>
      </c>
      <c r="D1127">
        <f>IF(OR($A1127="",$B1127=""),"",IF(ISNUMBER($A1127),MOD($A1127,100),IFERROR(VALUE(TRIM(MID(MID($A1127,FIND("/",$A1127)+1,20),FIND("/",MID($A1127,FIND("/",$A1127)+1,20))+1,20))),"")))</f>
        <v/>
      </c>
      <c r="E1127">
        <f>IF($A1127="","",IF(OR($B1127="",$C1127="",$D1127="",$B1127&lt;1300,$B1127&gt;1500,$C1127&lt;1,$C1127&gt;12,$D1127&lt;1,$D1127&gt;31),"نامعتبر",RIGHT("0000"&amp;$B1127,4)&amp;"/"&amp;RIGHT("00"&amp;$C1127,2)&amp;"/"&amp;RIGHT("00"&amp;$D1127,2)))</f>
        <v/>
      </c>
      <c r="F1127">
        <f>IF(OR($E1127="",$E1127="نامعتبر"),"",IF(Sync!$Q1124="","0000",IF(AND(ISNUMBER(Sync!$Q1124),Sync!$Q1124&gt;=0,Sync!$Q1124&lt;1),RIGHT("00"&amp;HOUR(Sync!$Q1124),2)&amp;RIGHT("00"&amp;MINUTE(Sync!$Q1124),2),IFERROR(RIGHT("00"&amp;VALUE(LEFT(Sync!$Q1124,FIND(":",Sync!$Q1124)-1)),2)&amp;RIGHT("00"&amp;VALUE(MID(Sync!$Q1124,FIND(":",Sync!$Q1124)+1,2)),2),"0000"))))</f>
        <v/>
      </c>
      <c r="G1127">
        <f>IF(OR($E1127="",$E1127="نامعتبر"),"",IF(Sync!$S1124="","",Sync!$S1124))</f>
        <v/>
      </c>
      <c r="H1127">
        <f>IF(OR($E1127="",$E1127="نامعتبر"),"",IF(Sync!$R1124="","",Sync!$R1124))</f>
        <v/>
      </c>
      <c r="I1127">
        <f>IF(OR($E1127="",$E1127="نامعتبر"),"",IF(Sync!$T1124="","",Sync!$T1124))</f>
        <v/>
      </c>
      <c r="J1127">
        <f>IF(OR($E1127="",$E1127="نامعتبر"),"",IF(Sync!$U1124="","",Sync!$U1124))</f>
        <v/>
      </c>
      <c r="K1127">
        <f>IF(OR($E1127="",$E1127="نامعتبر"),"",IF(Sync!$V1124="","",IFERROR(INDEX(SubCodes,MATCH(Sync!$V1124,SubTitles,0)),Sync!$V1124)))</f>
        <v/>
      </c>
      <c r="L1127">
        <f>IF(OR($E1127="",$E1127="نامعتبر"),"",IF(Sync!$W1124="",0,Sync!$W1124))</f>
        <v/>
      </c>
      <c r="M1127">
        <f>IF(OR($E1127="",$E1127="نامعتبر"),"",IF(Sync!$X1124="",0,Sync!$X1124))</f>
        <v/>
      </c>
      <c r="N1127">
        <f>IF(OR($E1127="",$E1127="نامعتبر"),"",IF(AND($J1127="هزینه",$K1127&lt;&gt;""),1,0))</f>
        <v/>
      </c>
      <c r="O1127">
        <f>IF($N1127=0,"",LEFT($E1127,4)&amp;MID($E1127,6,2)&amp;RIGHT($E1127,2)&amp;$F1127&amp;"|"&amp;"1"&amp;RIGHT("00000"&amp;1119,5))</f>
        <v/>
      </c>
      <c r="P1127">
        <f>IF($O1127="","",COUNTIFS(ExpSub,$K1127,ExpKey,"&lt;"&amp;$O1127)+1)</f>
        <v/>
      </c>
      <c r="Q1127">
        <f>IF($P1127="","",$K1127&amp;"|"&amp;RIGHT("000000"&amp;$P1127,6))</f>
        <v/>
      </c>
    </row>
    <row r="1128">
      <c r="A1128">
        <f>IF(Sync!$P1125="","",Sync!$P1125)</f>
        <v/>
      </c>
      <c r="B1128">
        <f>IF($A1128="","",IF(ISNUMBER($A1128),IF(AND($A1128&gt;=10000101,$A1128&lt;=99991231),INT($A1128/10000),""),IFERROR(VALUE(TRIM(LEFT($A1128,FIND("/",$A1128)-1))),"")))</f>
        <v/>
      </c>
      <c r="C1128">
        <f>IF(OR($A1128="",$B1128=""),"",IF(ISNUMBER($A1128),INT(MOD($A1128,10000)/100),IFERROR(VALUE(TRIM(LEFT(MID($A1128,FIND("/",$A1128)+1,20),FIND("/",MID($A1128,FIND("/",$A1128)+1,20))-1))),"")))</f>
        <v/>
      </c>
      <c r="D1128">
        <f>IF(OR($A1128="",$B1128=""),"",IF(ISNUMBER($A1128),MOD($A1128,100),IFERROR(VALUE(TRIM(MID(MID($A1128,FIND("/",$A1128)+1,20),FIND("/",MID($A1128,FIND("/",$A1128)+1,20))+1,20))),"")))</f>
        <v/>
      </c>
      <c r="E1128">
        <f>IF($A1128="","",IF(OR($B1128="",$C1128="",$D1128="",$B1128&lt;1300,$B1128&gt;1500,$C1128&lt;1,$C1128&gt;12,$D1128&lt;1,$D1128&gt;31),"نامعتبر",RIGHT("0000"&amp;$B1128,4)&amp;"/"&amp;RIGHT("00"&amp;$C1128,2)&amp;"/"&amp;RIGHT("00"&amp;$D1128,2)))</f>
        <v/>
      </c>
      <c r="F1128">
        <f>IF(OR($E1128="",$E1128="نامعتبر"),"",IF(Sync!$Q1125="","0000",IF(AND(ISNUMBER(Sync!$Q1125),Sync!$Q1125&gt;=0,Sync!$Q1125&lt;1),RIGHT("00"&amp;HOUR(Sync!$Q1125),2)&amp;RIGHT("00"&amp;MINUTE(Sync!$Q1125),2),IFERROR(RIGHT("00"&amp;VALUE(LEFT(Sync!$Q1125,FIND(":",Sync!$Q1125)-1)),2)&amp;RIGHT("00"&amp;VALUE(MID(Sync!$Q1125,FIND(":",Sync!$Q1125)+1,2)),2),"0000"))))</f>
        <v/>
      </c>
      <c r="G1128">
        <f>IF(OR($E1128="",$E1128="نامعتبر"),"",IF(Sync!$S1125="","",Sync!$S1125))</f>
        <v/>
      </c>
      <c r="H1128">
        <f>IF(OR($E1128="",$E1128="نامعتبر"),"",IF(Sync!$R1125="","",Sync!$R1125))</f>
        <v/>
      </c>
      <c r="I1128">
        <f>IF(OR($E1128="",$E1128="نامعتبر"),"",IF(Sync!$T1125="","",Sync!$T1125))</f>
        <v/>
      </c>
      <c r="J1128">
        <f>IF(OR($E1128="",$E1128="نامعتبر"),"",IF(Sync!$U1125="","",Sync!$U1125))</f>
        <v/>
      </c>
      <c r="K1128">
        <f>IF(OR($E1128="",$E1128="نامعتبر"),"",IF(Sync!$V1125="","",IFERROR(INDEX(SubCodes,MATCH(Sync!$V1125,SubTitles,0)),Sync!$V1125)))</f>
        <v/>
      </c>
      <c r="L1128">
        <f>IF(OR($E1128="",$E1128="نامعتبر"),"",IF(Sync!$W1125="",0,Sync!$W1125))</f>
        <v/>
      </c>
      <c r="M1128">
        <f>IF(OR($E1128="",$E1128="نامعتبر"),"",IF(Sync!$X1125="",0,Sync!$X1125))</f>
        <v/>
      </c>
      <c r="N1128">
        <f>IF(OR($E1128="",$E1128="نامعتبر"),"",IF(AND($J1128="هزینه",$K1128&lt;&gt;""),1,0))</f>
        <v/>
      </c>
      <c r="O1128">
        <f>IF($N1128=0,"",LEFT($E1128,4)&amp;MID($E1128,6,2)&amp;RIGHT($E1128,2)&amp;$F1128&amp;"|"&amp;"1"&amp;RIGHT("00000"&amp;1120,5))</f>
        <v/>
      </c>
      <c r="P1128">
        <f>IF($O1128="","",COUNTIFS(ExpSub,$K1128,ExpKey,"&lt;"&amp;$O1128)+1)</f>
        <v/>
      </c>
      <c r="Q1128">
        <f>IF($P1128="","",$K1128&amp;"|"&amp;RIGHT("000000"&amp;$P1128,6))</f>
        <v/>
      </c>
    </row>
    <row r="1129">
      <c r="A1129">
        <f>IF(Sync!$P1126="","",Sync!$P1126)</f>
        <v/>
      </c>
      <c r="B1129">
        <f>IF($A1129="","",IF(ISNUMBER($A1129),IF(AND($A1129&gt;=10000101,$A1129&lt;=99991231),INT($A1129/10000),""),IFERROR(VALUE(TRIM(LEFT($A1129,FIND("/",$A1129)-1))),"")))</f>
        <v/>
      </c>
      <c r="C1129">
        <f>IF(OR($A1129="",$B1129=""),"",IF(ISNUMBER($A1129),INT(MOD($A1129,10000)/100),IFERROR(VALUE(TRIM(LEFT(MID($A1129,FIND("/",$A1129)+1,20),FIND("/",MID($A1129,FIND("/",$A1129)+1,20))-1))),"")))</f>
        <v/>
      </c>
      <c r="D1129">
        <f>IF(OR($A1129="",$B1129=""),"",IF(ISNUMBER($A1129),MOD($A1129,100),IFERROR(VALUE(TRIM(MID(MID($A1129,FIND("/",$A1129)+1,20),FIND("/",MID($A1129,FIND("/",$A1129)+1,20))+1,20))),"")))</f>
        <v/>
      </c>
      <c r="E1129">
        <f>IF($A1129="","",IF(OR($B1129="",$C1129="",$D1129="",$B1129&lt;1300,$B1129&gt;1500,$C1129&lt;1,$C1129&gt;12,$D1129&lt;1,$D1129&gt;31),"نامعتبر",RIGHT("0000"&amp;$B1129,4)&amp;"/"&amp;RIGHT("00"&amp;$C1129,2)&amp;"/"&amp;RIGHT("00"&amp;$D1129,2)))</f>
        <v/>
      </c>
      <c r="F1129">
        <f>IF(OR($E1129="",$E1129="نامعتبر"),"",IF(Sync!$Q1126="","0000",IF(AND(ISNUMBER(Sync!$Q1126),Sync!$Q1126&gt;=0,Sync!$Q1126&lt;1),RIGHT("00"&amp;HOUR(Sync!$Q1126),2)&amp;RIGHT("00"&amp;MINUTE(Sync!$Q1126),2),IFERROR(RIGHT("00"&amp;VALUE(LEFT(Sync!$Q1126,FIND(":",Sync!$Q1126)-1)),2)&amp;RIGHT("00"&amp;VALUE(MID(Sync!$Q1126,FIND(":",Sync!$Q1126)+1,2)),2),"0000"))))</f>
        <v/>
      </c>
      <c r="G1129">
        <f>IF(OR($E1129="",$E1129="نامعتبر"),"",IF(Sync!$S1126="","",Sync!$S1126))</f>
        <v/>
      </c>
      <c r="H1129">
        <f>IF(OR($E1129="",$E1129="نامعتبر"),"",IF(Sync!$R1126="","",Sync!$R1126))</f>
        <v/>
      </c>
      <c r="I1129">
        <f>IF(OR($E1129="",$E1129="نامعتبر"),"",IF(Sync!$T1126="","",Sync!$T1126))</f>
        <v/>
      </c>
      <c r="J1129">
        <f>IF(OR($E1129="",$E1129="نامعتبر"),"",IF(Sync!$U1126="","",Sync!$U1126))</f>
        <v/>
      </c>
      <c r="K1129">
        <f>IF(OR($E1129="",$E1129="نامعتبر"),"",IF(Sync!$V1126="","",IFERROR(INDEX(SubCodes,MATCH(Sync!$V1126,SubTitles,0)),Sync!$V1126)))</f>
        <v/>
      </c>
      <c r="L1129">
        <f>IF(OR($E1129="",$E1129="نامعتبر"),"",IF(Sync!$W1126="",0,Sync!$W1126))</f>
        <v/>
      </c>
      <c r="M1129">
        <f>IF(OR($E1129="",$E1129="نامعتبر"),"",IF(Sync!$X1126="",0,Sync!$X1126))</f>
        <v/>
      </c>
      <c r="N1129">
        <f>IF(OR($E1129="",$E1129="نامعتبر"),"",IF(AND($J1129="هزینه",$K1129&lt;&gt;""),1,0))</f>
        <v/>
      </c>
      <c r="O1129">
        <f>IF($N1129=0,"",LEFT($E1129,4)&amp;MID($E1129,6,2)&amp;RIGHT($E1129,2)&amp;$F1129&amp;"|"&amp;"1"&amp;RIGHT("00000"&amp;1121,5))</f>
        <v/>
      </c>
      <c r="P1129">
        <f>IF($O1129="","",COUNTIFS(ExpSub,$K1129,ExpKey,"&lt;"&amp;$O1129)+1)</f>
        <v/>
      </c>
      <c r="Q1129">
        <f>IF($P1129="","",$K1129&amp;"|"&amp;RIGHT("000000"&amp;$P1129,6))</f>
        <v/>
      </c>
    </row>
    <row r="1130">
      <c r="A1130">
        <f>IF(Sync!$P1127="","",Sync!$P1127)</f>
        <v/>
      </c>
      <c r="B1130">
        <f>IF($A1130="","",IF(ISNUMBER($A1130),IF(AND($A1130&gt;=10000101,$A1130&lt;=99991231),INT($A1130/10000),""),IFERROR(VALUE(TRIM(LEFT($A1130,FIND("/",$A1130)-1))),"")))</f>
        <v/>
      </c>
      <c r="C1130">
        <f>IF(OR($A1130="",$B1130=""),"",IF(ISNUMBER($A1130),INT(MOD($A1130,10000)/100),IFERROR(VALUE(TRIM(LEFT(MID($A1130,FIND("/",$A1130)+1,20),FIND("/",MID($A1130,FIND("/",$A1130)+1,20))-1))),"")))</f>
        <v/>
      </c>
      <c r="D1130">
        <f>IF(OR($A1130="",$B1130=""),"",IF(ISNUMBER($A1130),MOD($A1130,100),IFERROR(VALUE(TRIM(MID(MID($A1130,FIND("/",$A1130)+1,20),FIND("/",MID($A1130,FIND("/",$A1130)+1,20))+1,20))),"")))</f>
        <v/>
      </c>
      <c r="E1130">
        <f>IF($A1130="","",IF(OR($B1130="",$C1130="",$D1130="",$B1130&lt;1300,$B1130&gt;1500,$C1130&lt;1,$C1130&gt;12,$D1130&lt;1,$D1130&gt;31),"نامعتبر",RIGHT("0000"&amp;$B1130,4)&amp;"/"&amp;RIGHT("00"&amp;$C1130,2)&amp;"/"&amp;RIGHT("00"&amp;$D1130,2)))</f>
        <v/>
      </c>
      <c r="F1130">
        <f>IF(OR($E1130="",$E1130="نامعتبر"),"",IF(Sync!$Q1127="","0000",IF(AND(ISNUMBER(Sync!$Q1127),Sync!$Q1127&gt;=0,Sync!$Q1127&lt;1),RIGHT("00"&amp;HOUR(Sync!$Q1127),2)&amp;RIGHT("00"&amp;MINUTE(Sync!$Q1127),2),IFERROR(RIGHT("00"&amp;VALUE(LEFT(Sync!$Q1127,FIND(":",Sync!$Q1127)-1)),2)&amp;RIGHT("00"&amp;VALUE(MID(Sync!$Q1127,FIND(":",Sync!$Q1127)+1,2)),2),"0000"))))</f>
        <v/>
      </c>
      <c r="G1130">
        <f>IF(OR($E1130="",$E1130="نامعتبر"),"",IF(Sync!$S1127="","",Sync!$S1127))</f>
        <v/>
      </c>
      <c r="H1130">
        <f>IF(OR($E1130="",$E1130="نامعتبر"),"",IF(Sync!$R1127="","",Sync!$R1127))</f>
        <v/>
      </c>
      <c r="I1130">
        <f>IF(OR($E1130="",$E1130="نامعتبر"),"",IF(Sync!$T1127="","",Sync!$T1127))</f>
        <v/>
      </c>
      <c r="J1130">
        <f>IF(OR($E1130="",$E1130="نامعتبر"),"",IF(Sync!$U1127="","",Sync!$U1127))</f>
        <v/>
      </c>
      <c r="K1130">
        <f>IF(OR($E1130="",$E1130="نامعتبر"),"",IF(Sync!$V1127="","",IFERROR(INDEX(SubCodes,MATCH(Sync!$V1127,SubTitles,0)),Sync!$V1127)))</f>
        <v/>
      </c>
      <c r="L1130">
        <f>IF(OR($E1130="",$E1130="نامعتبر"),"",IF(Sync!$W1127="",0,Sync!$W1127))</f>
        <v/>
      </c>
      <c r="M1130">
        <f>IF(OR($E1130="",$E1130="نامعتبر"),"",IF(Sync!$X1127="",0,Sync!$X1127))</f>
        <v/>
      </c>
      <c r="N1130">
        <f>IF(OR($E1130="",$E1130="نامعتبر"),"",IF(AND($J1130="هزینه",$K1130&lt;&gt;""),1,0))</f>
        <v/>
      </c>
      <c r="O1130">
        <f>IF($N1130=0,"",LEFT($E1130,4)&amp;MID($E1130,6,2)&amp;RIGHT($E1130,2)&amp;$F1130&amp;"|"&amp;"1"&amp;RIGHT("00000"&amp;1122,5))</f>
        <v/>
      </c>
      <c r="P1130">
        <f>IF($O1130="","",COUNTIFS(ExpSub,$K1130,ExpKey,"&lt;"&amp;$O1130)+1)</f>
        <v/>
      </c>
      <c r="Q1130">
        <f>IF($P1130="","",$K1130&amp;"|"&amp;RIGHT("000000"&amp;$P1130,6))</f>
        <v/>
      </c>
    </row>
    <row r="1131">
      <c r="A1131">
        <f>IF(Sync!$P1128="","",Sync!$P1128)</f>
        <v/>
      </c>
      <c r="B1131">
        <f>IF($A1131="","",IF(ISNUMBER($A1131),IF(AND($A1131&gt;=10000101,$A1131&lt;=99991231),INT($A1131/10000),""),IFERROR(VALUE(TRIM(LEFT($A1131,FIND("/",$A1131)-1))),"")))</f>
        <v/>
      </c>
      <c r="C1131">
        <f>IF(OR($A1131="",$B1131=""),"",IF(ISNUMBER($A1131),INT(MOD($A1131,10000)/100),IFERROR(VALUE(TRIM(LEFT(MID($A1131,FIND("/",$A1131)+1,20),FIND("/",MID($A1131,FIND("/",$A1131)+1,20))-1))),"")))</f>
        <v/>
      </c>
      <c r="D1131">
        <f>IF(OR($A1131="",$B1131=""),"",IF(ISNUMBER($A1131),MOD($A1131,100),IFERROR(VALUE(TRIM(MID(MID($A1131,FIND("/",$A1131)+1,20),FIND("/",MID($A1131,FIND("/",$A1131)+1,20))+1,20))),"")))</f>
        <v/>
      </c>
      <c r="E1131">
        <f>IF($A1131="","",IF(OR($B1131="",$C1131="",$D1131="",$B1131&lt;1300,$B1131&gt;1500,$C1131&lt;1,$C1131&gt;12,$D1131&lt;1,$D1131&gt;31),"نامعتبر",RIGHT("0000"&amp;$B1131,4)&amp;"/"&amp;RIGHT("00"&amp;$C1131,2)&amp;"/"&amp;RIGHT("00"&amp;$D1131,2)))</f>
        <v/>
      </c>
      <c r="F1131">
        <f>IF(OR($E1131="",$E1131="نامعتبر"),"",IF(Sync!$Q1128="","0000",IF(AND(ISNUMBER(Sync!$Q1128),Sync!$Q1128&gt;=0,Sync!$Q1128&lt;1),RIGHT("00"&amp;HOUR(Sync!$Q1128),2)&amp;RIGHT("00"&amp;MINUTE(Sync!$Q1128),2),IFERROR(RIGHT("00"&amp;VALUE(LEFT(Sync!$Q1128,FIND(":",Sync!$Q1128)-1)),2)&amp;RIGHT("00"&amp;VALUE(MID(Sync!$Q1128,FIND(":",Sync!$Q1128)+1,2)),2),"0000"))))</f>
        <v/>
      </c>
      <c r="G1131">
        <f>IF(OR($E1131="",$E1131="نامعتبر"),"",IF(Sync!$S1128="","",Sync!$S1128))</f>
        <v/>
      </c>
      <c r="H1131">
        <f>IF(OR($E1131="",$E1131="نامعتبر"),"",IF(Sync!$R1128="","",Sync!$R1128))</f>
        <v/>
      </c>
      <c r="I1131">
        <f>IF(OR($E1131="",$E1131="نامعتبر"),"",IF(Sync!$T1128="","",Sync!$T1128))</f>
        <v/>
      </c>
      <c r="J1131">
        <f>IF(OR($E1131="",$E1131="نامعتبر"),"",IF(Sync!$U1128="","",Sync!$U1128))</f>
        <v/>
      </c>
      <c r="K1131">
        <f>IF(OR($E1131="",$E1131="نامعتبر"),"",IF(Sync!$V1128="","",IFERROR(INDEX(SubCodes,MATCH(Sync!$V1128,SubTitles,0)),Sync!$V1128)))</f>
        <v/>
      </c>
      <c r="L1131">
        <f>IF(OR($E1131="",$E1131="نامعتبر"),"",IF(Sync!$W1128="",0,Sync!$W1128))</f>
        <v/>
      </c>
      <c r="M1131">
        <f>IF(OR($E1131="",$E1131="نامعتبر"),"",IF(Sync!$X1128="",0,Sync!$X1128))</f>
        <v/>
      </c>
      <c r="N1131">
        <f>IF(OR($E1131="",$E1131="نامعتبر"),"",IF(AND($J1131="هزینه",$K1131&lt;&gt;""),1,0))</f>
        <v/>
      </c>
      <c r="O1131">
        <f>IF($N1131=0,"",LEFT($E1131,4)&amp;MID($E1131,6,2)&amp;RIGHT($E1131,2)&amp;$F1131&amp;"|"&amp;"1"&amp;RIGHT("00000"&amp;1123,5))</f>
        <v/>
      </c>
      <c r="P1131">
        <f>IF($O1131="","",COUNTIFS(ExpSub,$K1131,ExpKey,"&lt;"&amp;$O1131)+1)</f>
        <v/>
      </c>
      <c r="Q1131">
        <f>IF($P1131="","",$K1131&amp;"|"&amp;RIGHT("000000"&amp;$P1131,6))</f>
        <v/>
      </c>
    </row>
    <row r="1132">
      <c r="A1132">
        <f>IF(Sync!$P1129="","",Sync!$P1129)</f>
        <v/>
      </c>
      <c r="B1132">
        <f>IF($A1132="","",IF(ISNUMBER($A1132),IF(AND($A1132&gt;=10000101,$A1132&lt;=99991231),INT($A1132/10000),""),IFERROR(VALUE(TRIM(LEFT($A1132,FIND("/",$A1132)-1))),"")))</f>
        <v/>
      </c>
      <c r="C1132">
        <f>IF(OR($A1132="",$B1132=""),"",IF(ISNUMBER($A1132),INT(MOD($A1132,10000)/100),IFERROR(VALUE(TRIM(LEFT(MID($A1132,FIND("/",$A1132)+1,20),FIND("/",MID($A1132,FIND("/",$A1132)+1,20))-1))),"")))</f>
        <v/>
      </c>
      <c r="D1132">
        <f>IF(OR($A1132="",$B1132=""),"",IF(ISNUMBER($A1132),MOD($A1132,100),IFERROR(VALUE(TRIM(MID(MID($A1132,FIND("/",$A1132)+1,20),FIND("/",MID($A1132,FIND("/",$A1132)+1,20))+1,20))),"")))</f>
        <v/>
      </c>
      <c r="E1132">
        <f>IF($A1132="","",IF(OR($B1132="",$C1132="",$D1132="",$B1132&lt;1300,$B1132&gt;1500,$C1132&lt;1,$C1132&gt;12,$D1132&lt;1,$D1132&gt;31),"نامعتبر",RIGHT("0000"&amp;$B1132,4)&amp;"/"&amp;RIGHT("00"&amp;$C1132,2)&amp;"/"&amp;RIGHT("00"&amp;$D1132,2)))</f>
        <v/>
      </c>
      <c r="F1132">
        <f>IF(OR($E1132="",$E1132="نامعتبر"),"",IF(Sync!$Q1129="","0000",IF(AND(ISNUMBER(Sync!$Q1129),Sync!$Q1129&gt;=0,Sync!$Q1129&lt;1),RIGHT("00"&amp;HOUR(Sync!$Q1129),2)&amp;RIGHT("00"&amp;MINUTE(Sync!$Q1129),2),IFERROR(RIGHT("00"&amp;VALUE(LEFT(Sync!$Q1129,FIND(":",Sync!$Q1129)-1)),2)&amp;RIGHT("00"&amp;VALUE(MID(Sync!$Q1129,FIND(":",Sync!$Q1129)+1,2)),2),"0000"))))</f>
        <v/>
      </c>
      <c r="G1132">
        <f>IF(OR($E1132="",$E1132="نامعتبر"),"",IF(Sync!$S1129="","",Sync!$S1129))</f>
        <v/>
      </c>
      <c r="H1132">
        <f>IF(OR($E1132="",$E1132="نامعتبر"),"",IF(Sync!$R1129="","",Sync!$R1129))</f>
        <v/>
      </c>
      <c r="I1132">
        <f>IF(OR($E1132="",$E1132="نامعتبر"),"",IF(Sync!$T1129="","",Sync!$T1129))</f>
        <v/>
      </c>
      <c r="J1132">
        <f>IF(OR($E1132="",$E1132="نامعتبر"),"",IF(Sync!$U1129="","",Sync!$U1129))</f>
        <v/>
      </c>
      <c r="K1132">
        <f>IF(OR($E1132="",$E1132="نامعتبر"),"",IF(Sync!$V1129="","",IFERROR(INDEX(SubCodes,MATCH(Sync!$V1129,SubTitles,0)),Sync!$V1129)))</f>
        <v/>
      </c>
      <c r="L1132">
        <f>IF(OR($E1132="",$E1132="نامعتبر"),"",IF(Sync!$W1129="",0,Sync!$W1129))</f>
        <v/>
      </c>
      <c r="M1132">
        <f>IF(OR($E1132="",$E1132="نامعتبر"),"",IF(Sync!$X1129="",0,Sync!$X1129))</f>
        <v/>
      </c>
      <c r="N1132">
        <f>IF(OR($E1132="",$E1132="نامعتبر"),"",IF(AND($J1132="هزینه",$K1132&lt;&gt;""),1,0))</f>
        <v/>
      </c>
      <c r="O1132">
        <f>IF($N1132=0,"",LEFT($E1132,4)&amp;MID($E1132,6,2)&amp;RIGHT($E1132,2)&amp;$F1132&amp;"|"&amp;"1"&amp;RIGHT("00000"&amp;1124,5))</f>
        <v/>
      </c>
      <c r="P1132">
        <f>IF($O1132="","",COUNTIFS(ExpSub,$K1132,ExpKey,"&lt;"&amp;$O1132)+1)</f>
        <v/>
      </c>
      <c r="Q1132">
        <f>IF($P1132="","",$K1132&amp;"|"&amp;RIGHT("000000"&amp;$P1132,6))</f>
        <v/>
      </c>
    </row>
    <row r="1133">
      <c r="A1133">
        <f>IF(Sync!$P1130="","",Sync!$P1130)</f>
        <v/>
      </c>
      <c r="B1133">
        <f>IF($A1133="","",IF(ISNUMBER($A1133),IF(AND($A1133&gt;=10000101,$A1133&lt;=99991231),INT($A1133/10000),""),IFERROR(VALUE(TRIM(LEFT($A1133,FIND("/",$A1133)-1))),"")))</f>
        <v/>
      </c>
      <c r="C1133">
        <f>IF(OR($A1133="",$B1133=""),"",IF(ISNUMBER($A1133),INT(MOD($A1133,10000)/100),IFERROR(VALUE(TRIM(LEFT(MID($A1133,FIND("/",$A1133)+1,20),FIND("/",MID($A1133,FIND("/",$A1133)+1,20))-1))),"")))</f>
        <v/>
      </c>
      <c r="D1133">
        <f>IF(OR($A1133="",$B1133=""),"",IF(ISNUMBER($A1133),MOD($A1133,100),IFERROR(VALUE(TRIM(MID(MID($A1133,FIND("/",$A1133)+1,20),FIND("/",MID($A1133,FIND("/",$A1133)+1,20))+1,20))),"")))</f>
        <v/>
      </c>
      <c r="E1133">
        <f>IF($A1133="","",IF(OR($B1133="",$C1133="",$D1133="",$B1133&lt;1300,$B1133&gt;1500,$C1133&lt;1,$C1133&gt;12,$D1133&lt;1,$D1133&gt;31),"نامعتبر",RIGHT("0000"&amp;$B1133,4)&amp;"/"&amp;RIGHT("00"&amp;$C1133,2)&amp;"/"&amp;RIGHT("00"&amp;$D1133,2)))</f>
        <v/>
      </c>
      <c r="F1133">
        <f>IF(OR($E1133="",$E1133="نامعتبر"),"",IF(Sync!$Q1130="","0000",IF(AND(ISNUMBER(Sync!$Q1130),Sync!$Q1130&gt;=0,Sync!$Q1130&lt;1),RIGHT("00"&amp;HOUR(Sync!$Q1130),2)&amp;RIGHT("00"&amp;MINUTE(Sync!$Q1130),2),IFERROR(RIGHT("00"&amp;VALUE(LEFT(Sync!$Q1130,FIND(":",Sync!$Q1130)-1)),2)&amp;RIGHT("00"&amp;VALUE(MID(Sync!$Q1130,FIND(":",Sync!$Q1130)+1,2)),2),"0000"))))</f>
        <v/>
      </c>
      <c r="G1133">
        <f>IF(OR($E1133="",$E1133="نامعتبر"),"",IF(Sync!$S1130="","",Sync!$S1130))</f>
        <v/>
      </c>
      <c r="H1133">
        <f>IF(OR($E1133="",$E1133="نامعتبر"),"",IF(Sync!$R1130="","",Sync!$R1130))</f>
        <v/>
      </c>
      <c r="I1133">
        <f>IF(OR($E1133="",$E1133="نامعتبر"),"",IF(Sync!$T1130="","",Sync!$T1130))</f>
        <v/>
      </c>
      <c r="J1133">
        <f>IF(OR($E1133="",$E1133="نامعتبر"),"",IF(Sync!$U1130="","",Sync!$U1130))</f>
        <v/>
      </c>
      <c r="K1133">
        <f>IF(OR($E1133="",$E1133="نامعتبر"),"",IF(Sync!$V1130="","",IFERROR(INDEX(SubCodes,MATCH(Sync!$V1130,SubTitles,0)),Sync!$V1130)))</f>
        <v/>
      </c>
      <c r="L1133">
        <f>IF(OR($E1133="",$E1133="نامعتبر"),"",IF(Sync!$W1130="",0,Sync!$W1130))</f>
        <v/>
      </c>
      <c r="M1133">
        <f>IF(OR($E1133="",$E1133="نامعتبر"),"",IF(Sync!$X1130="",0,Sync!$X1130))</f>
        <v/>
      </c>
      <c r="N1133">
        <f>IF(OR($E1133="",$E1133="نامعتبر"),"",IF(AND($J1133="هزینه",$K1133&lt;&gt;""),1,0))</f>
        <v/>
      </c>
      <c r="O1133">
        <f>IF($N1133=0,"",LEFT($E1133,4)&amp;MID($E1133,6,2)&amp;RIGHT($E1133,2)&amp;$F1133&amp;"|"&amp;"1"&amp;RIGHT("00000"&amp;1125,5))</f>
        <v/>
      </c>
      <c r="P1133">
        <f>IF($O1133="","",COUNTIFS(ExpSub,$K1133,ExpKey,"&lt;"&amp;$O1133)+1)</f>
        <v/>
      </c>
      <c r="Q1133">
        <f>IF($P1133="","",$K1133&amp;"|"&amp;RIGHT("000000"&amp;$P1133,6))</f>
        <v/>
      </c>
    </row>
    <row r="1134">
      <c r="A1134">
        <f>IF(Sync!$P1131="","",Sync!$P1131)</f>
        <v/>
      </c>
      <c r="B1134">
        <f>IF($A1134="","",IF(ISNUMBER($A1134),IF(AND($A1134&gt;=10000101,$A1134&lt;=99991231),INT($A1134/10000),""),IFERROR(VALUE(TRIM(LEFT($A1134,FIND("/",$A1134)-1))),"")))</f>
        <v/>
      </c>
      <c r="C1134">
        <f>IF(OR($A1134="",$B1134=""),"",IF(ISNUMBER($A1134),INT(MOD($A1134,10000)/100),IFERROR(VALUE(TRIM(LEFT(MID($A1134,FIND("/",$A1134)+1,20),FIND("/",MID($A1134,FIND("/",$A1134)+1,20))-1))),"")))</f>
        <v/>
      </c>
      <c r="D1134">
        <f>IF(OR($A1134="",$B1134=""),"",IF(ISNUMBER($A1134),MOD($A1134,100),IFERROR(VALUE(TRIM(MID(MID($A1134,FIND("/",$A1134)+1,20),FIND("/",MID($A1134,FIND("/",$A1134)+1,20))+1,20))),"")))</f>
        <v/>
      </c>
      <c r="E1134">
        <f>IF($A1134="","",IF(OR($B1134="",$C1134="",$D1134="",$B1134&lt;1300,$B1134&gt;1500,$C1134&lt;1,$C1134&gt;12,$D1134&lt;1,$D1134&gt;31),"نامعتبر",RIGHT("0000"&amp;$B1134,4)&amp;"/"&amp;RIGHT("00"&amp;$C1134,2)&amp;"/"&amp;RIGHT("00"&amp;$D1134,2)))</f>
        <v/>
      </c>
      <c r="F1134">
        <f>IF(OR($E1134="",$E1134="نامعتبر"),"",IF(Sync!$Q1131="","0000",IF(AND(ISNUMBER(Sync!$Q1131),Sync!$Q1131&gt;=0,Sync!$Q1131&lt;1),RIGHT("00"&amp;HOUR(Sync!$Q1131),2)&amp;RIGHT("00"&amp;MINUTE(Sync!$Q1131),2),IFERROR(RIGHT("00"&amp;VALUE(LEFT(Sync!$Q1131,FIND(":",Sync!$Q1131)-1)),2)&amp;RIGHT("00"&amp;VALUE(MID(Sync!$Q1131,FIND(":",Sync!$Q1131)+1,2)),2),"0000"))))</f>
        <v/>
      </c>
      <c r="G1134">
        <f>IF(OR($E1134="",$E1134="نامعتبر"),"",IF(Sync!$S1131="","",Sync!$S1131))</f>
        <v/>
      </c>
      <c r="H1134">
        <f>IF(OR($E1134="",$E1134="نامعتبر"),"",IF(Sync!$R1131="","",Sync!$R1131))</f>
        <v/>
      </c>
      <c r="I1134">
        <f>IF(OR($E1134="",$E1134="نامعتبر"),"",IF(Sync!$T1131="","",Sync!$T1131))</f>
        <v/>
      </c>
      <c r="J1134">
        <f>IF(OR($E1134="",$E1134="نامعتبر"),"",IF(Sync!$U1131="","",Sync!$U1131))</f>
        <v/>
      </c>
      <c r="K1134">
        <f>IF(OR($E1134="",$E1134="نامعتبر"),"",IF(Sync!$V1131="","",IFERROR(INDEX(SubCodes,MATCH(Sync!$V1131,SubTitles,0)),Sync!$V1131)))</f>
        <v/>
      </c>
      <c r="L1134">
        <f>IF(OR($E1134="",$E1134="نامعتبر"),"",IF(Sync!$W1131="",0,Sync!$W1131))</f>
        <v/>
      </c>
      <c r="M1134">
        <f>IF(OR($E1134="",$E1134="نامعتبر"),"",IF(Sync!$X1131="",0,Sync!$X1131))</f>
        <v/>
      </c>
      <c r="N1134">
        <f>IF(OR($E1134="",$E1134="نامعتبر"),"",IF(AND($J1134="هزینه",$K1134&lt;&gt;""),1,0))</f>
        <v/>
      </c>
      <c r="O1134">
        <f>IF($N1134=0,"",LEFT($E1134,4)&amp;MID($E1134,6,2)&amp;RIGHT($E1134,2)&amp;$F1134&amp;"|"&amp;"1"&amp;RIGHT("00000"&amp;1126,5))</f>
        <v/>
      </c>
      <c r="P1134">
        <f>IF($O1134="","",COUNTIFS(ExpSub,$K1134,ExpKey,"&lt;"&amp;$O1134)+1)</f>
        <v/>
      </c>
      <c r="Q1134">
        <f>IF($P1134="","",$K1134&amp;"|"&amp;RIGHT("000000"&amp;$P1134,6))</f>
        <v/>
      </c>
    </row>
    <row r="1135">
      <c r="A1135">
        <f>IF(Sync!$P1132="","",Sync!$P1132)</f>
        <v/>
      </c>
      <c r="B1135">
        <f>IF($A1135="","",IF(ISNUMBER($A1135),IF(AND($A1135&gt;=10000101,$A1135&lt;=99991231),INT($A1135/10000),""),IFERROR(VALUE(TRIM(LEFT($A1135,FIND("/",$A1135)-1))),"")))</f>
        <v/>
      </c>
      <c r="C1135">
        <f>IF(OR($A1135="",$B1135=""),"",IF(ISNUMBER($A1135),INT(MOD($A1135,10000)/100),IFERROR(VALUE(TRIM(LEFT(MID($A1135,FIND("/",$A1135)+1,20),FIND("/",MID($A1135,FIND("/",$A1135)+1,20))-1))),"")))</f>
        <v/>
      </c>
      <c r="D1135">
        <f>IF(OR($A1135="",$B1135=""),"",IF(ISNUMBER($A1135),MOD($A1135,100),IFERROR(VALUE(TRIM(MID(MID($A1135,FIND("/",$A1135)+1,20),FIND("/",MID($A1135,FIND("/",$A1135)+1,20))+1,20))),"")))</f>
        <v/>
      </c>
      <c r="E1135">
        <f>IF($A1135="","",IF(OR($B1135="",$C1135="",$D1135="",$B1135&lt;1300,$B1135&gt;1500,$C1135&lt;1,$C1135&gt;12,$D1135&lt;1,$D1135&gt;31),"نامعتبر",RIGHT("0000"&amp;$B1135,4)&amp;"/"&amp;RIGHT("00"&amp;$C1135,2)&amp;"/"&amp;RIGHT("00"&amp;$D1135,2)))</f>
        <v/>
      </c>
      <c r="F1135">
        <f>IF(OR($E1135="",$E1135="نامعتبر"),"",IF(Sync!$Q1132="","0000",IF(AND(ISNUMBER(Sync!$Q1132),Sync!$Q1132&gt;=0,Sync!$Q1132&lt;1),RIGHT("00"&amp;HOUR(Sync!$Q1132),2)&amp;RIGHT("00"&amp;MINUTE(Sync!$Q1132),2),IFERROR(RIGHT("00"&amp;VALUE(LEFT(Sync!$Q1132,FIND(":",Sync!$Q1132)-1)),2)&amp;RIGHT("00"&amp;VALUE(MID(Sync!$Q1132,FIND(":",Sync!$Q1132)+1,2)),2),"0000"))))</f>
        <v/>
      </c>
      <c r="G1135">
        <f>IF(OR($E1135="",$E1135="نامعتبر"),"",IF(Sync!$S1132="","",Sync!$S1132))</f>
        <v/>
      </c>
      <c r="H1135">
        <f>IF(OR($E1135="",$E1135="نامعتبر"),"",IF(Sync!$R1132="","",Sync!$R1132))</f>
        <v/>
      </c>
      <c r="I1135">
        <f>IF(OR($E1135="",$E1135="نامعتبر"),"",IF(Sync!$T1132="","",Sync!$T1132))</f>
        <v/>
      </c>
      <c r="J1135">
        <f>IF(OR($E1135="",$E1135="نامعتبر"),"",IF(Sync!$U1132="","",Sync!$U1132))</f>
        <v/>
      </c>
      <c r="K1135">
        <f>IF(OR($E1135="",$E1135="نامعتبر"),"",IF(Sync!$V1132="","",IFERROR(INDEX(SubCodes,MATCH(Sync!$V1132,SubTitles,0)),Sync!$V1132)))</f>
        <v/>
      </c>
      <c r="L1135">
        <f>IF(OR($E1135="",$E1135="نامعتبر"),"",IF(Sync!$W1132="",0,Sync!$W1132))</f>
        <v/>
      </c>
      <c r="M1135">
        <f>IF(OR($E1135="",$E1135="نامعتبر"),"",IF(Sync!$X1132="",0,Sync!$X1132))</f>
        <v/>
      </c>
      <c r="N1135">
        <f>IF(OR($E1135="",$E1135="نامعتبر"),"",IF(AND($J1135="هزینه",$K1135&lt;&gt;""),1,0))</f>
        <v/>
      </c>
      <c r="O1135">
        <f>IF($N1135=0,"",LEFT($E1135,4)&amp;MID($E1135,6,2)&amp;RIGHT($E1135,2)&amp;$F1135&amp;"|"&amp;"1"&amp;RIGHT("00000"&amp;1127,5))</f>
        <v/>
      </c>
      <c r="P1135">
        <f>IF($O1135="","",COUNTIFS(ExpSub,$K1135,ExpKey,"&lt;"&amp;$O1135)+1)</f>
        <v/>
      </c>
      <c r="Q1135">
        <f>IF($P1135="","",$K1135&amp;"|"&amp;RIGHT("000000"&amp;$P1135,6))</f>
        <v/>
      </c>
    </row>
    <row r="1136">
      <c r="A1136">
        <f>IF(Sync!$P1133="","",Sync!$P1133)</f>
        <v/>
      </c>
      <c r="B1136">
        <f>IF($A1136="","",IF(ISNUMBER($A1136),IF(AND($A1136&gt;=10000101,$A1136&lt;=99991231),INT($A1136/10000),""),IFERROR(VALUE(TRIM(LEFT($A1136,FIND("/",$A1136)-1))),"")))</f>
        <v/>
      </c>
      <c r="C1136">
        <f>IF(OR($A1136="",$B1136=""),"",IF(ISNUMBER($A1136),INT(MOD($A1136,10000)/100),IFERROR(VALUE(TRIM(LEFT(MID($A1136,FIND("/",$A1136)+1,20),FIND("/",MID($A1136,FIND("/",$A1136)+1,20))-1))),"")))</f>
        <v/>
      </c>
      <c r="D1136">
        <f>IF(OR($A1136="",$B1136=""),"",IF(ISNUMBER($A1136),MOD($A1136,100),IFERROR(VALUE(TRIM(MID(MID($A1136,FIND("/",$A1136)+1,20),FIND("/",MID($A1136,FIND("/",$A1136)+1,20))+1,20))),"")))</f>
        <v/>
      </c>
      <c r="E1136">
        <f>IF($A1136="","",IF(OR($B1136="",$C1136="",$D1136="",$B1136&lt;1300,$B1136&gt;1500,$C1136&lt;1,$C1136&gt;12,$D1136&lt;1,$D1136&gt;31),"نامعتبر",RIGHT("0000"&amp;$B1136,4)&amp;"/"&amp;RIGHT("00"&amp;$C1136,2)&amp;"/"&amp;RIGHT("00"&amp;$D1136,2)))</f>
        <v/>
      </c>
      <c r="F1136">
        <f>IF(OR($E1136="",$E1136="نامعتبر"),"",IF(Sync!$Q1133="","0000",IF(AND(ISNUMBER(Sync!$Q1133),Sync!$Q1133&gt;=0,Sync!$Q1133&lt;1),RIGHT("00"&amp;HOUR(Sync!$Q1133),2)&amp;RIGHT("00"&amp;MINUTE(Sync!$Q1133),2),IFERROR(RIGHT("00"&amp;VALUE(LEFT(Sync!$Q1133,FIND(":",Sync!$Q1133)-1)),2)&amp;RIGHT("00"&amp;VALUE(MID(Sync!$Q1133,FIND(":",Sync!$Q1133)+1,2)),2),"0000"))))</f>
        <v/>
      </c>
      <c r="G1136">
        <f>IF(OR($E1136="",$E1136="نامعتبر"),"",IF(Sync!$S1133="","",Sync!$S1133))</f>
        <v/>
      </c>
      <c r="H1136">
        <f>IF(OR($E1136="",$E1136="نامعتبر"),"",IF(Sync!$R1133="","",Sync!$R1133))</f>
        <v/>
      </c>
      <c r="I1136">
        <f>IF(OR($E1136="",$E1136="نامعتبر"),"",IF(Sync!$T1133="","",Sync!$T1133))</f>
        <v/>
      </c>
      <c r="J1136">
        <f>IF(OR($E1136="",$E1136="نامعتبر"),"",IF(Sync!$U1133="","",Sync!$U1133))</f>
        <v/>
      </c>
      <c r="K1136">
        <f>IF(OR($E1136="",$E1136="نامعتبر"),"",IF(Sync!$V1133="","",IFERROR(INDEX(SubCodes,MATCH(Sync!$V1133,SubTitles,0)),Sync!$V1133)))</f>
        <v/>
      </c>
      <c r="L1136">
        <f>IF(OR($E1136="",$E1136="نامعتبر"),"",IF(Sync!$W1133="",0,Sync!$W1133))</f>
        <v/>
      </c>
      <c r="M1136">
        <f>IF(OR($E1136="",$E1136="نامعتبر"),"",IF(Sync!$X1133="",0,Sync!$X1133))</f>
        <v/>
      </c>
      <c r="N1136">
        <f>IF(OR($E1136="",$E1136="نامعتبر"),"",IF(AND($J1136="هزینه",$K1136&lt;&gt;""),1,0))</f>
        <v/>
      </c>
      <c r="O1136">
        <f>IF($N1136=0,"",LEFT($E1136,4)&amp;MID($E1136,6,2)&amp;RIGHT($E1136,2)&amp;$F1136&amp;"|"&amp;"1"&amp;RIGHT("00000"&amp;1128,5))</f>
        <v/>
      </c>
      <c r="P1136">
        <f>IF($O1136="","",COUNTIFS(ExpSub,$K1136,ExpKey,"&lt;"&amp;$O1136)+1)</f>
        <v/>
      </c>
      <c r="Q1136">
        <f>IF($P1136="","",$K1136&amp;"|"&amp;RIGHT("000000"&amp;$P1136,6))</f>
        <v/>
      </c>
    </row>
    <row r="1137">
      <c r="A1137">
        <f>IF(Sync!$P1134="","",Sync!$P1134)</f>
        <v/>
      </c>
      <c r="B1137">
        <f>IF($A1137="","",IF(ISNUMBER($A1137),IF(AND($A1137&gt;=10000101,$A1137&lt;=99991231),INT($A1137/10000),""),IFERROR(VALUE(TRIM(LEFT($A1137,FIND("/",$A1137)-1))),"")))</f>
        <v/>
      </c>
      <c r="C1137">
        <f>IF(OR($A1137="",$B1137=""),"",IF(ISNUMBER($A1137),INT(MOD($A1137,10000)/100),IFERROR(VALUE(TRIM(LEFT(MID($A1137,FIND("/",$A1137)+1,20),FIND("/",MID($A1137,FIND("/",$A1137)+1,20))-1))),"")))</f>
        <v/>
      </c>
      <c r="D1137">
        <f>IF(OR($A1137="",$B1137=""),"",IF(ISNUMBER($A1137),MOD($A1137,100),IFERROR(VALUE(TRIM(MID(MID($A1137,FIND("/",$A1137)+1,20),FIND("/",MID($A1137,FIND("/",$A1137)+1,20))+1,20))),"")))</f>
        <v/>
      </c>
      <c r="E1137">
        <f>IF($A1137="","",IF(OR($B1137="",$C1137="",$D1137="",$B1137&lt;1300,$B1137&gt;1500,$C1137&lt;1,$C1137&gt;12,$D1137&lt;1,$D1137&gt;31),"نامعتبر",RIGHT("0000"&amp;$B1137,4)&amp;"/"&amp;RIGHT("00"&amp;$C1137,2)&amp;"/"&amp;RIGHT("00"&amp;$D1137,2)))</f>
        <v/>
      </c>
      <c r="F1137">
        <f>IF(OR($E1137="",$E1137="نامعتبر"),"",IF(Sync!$Q1134="","0000",IF(AND(ISNUMBER(Sync!$Q1134),Sync!$Q1134&gt;=0,Sync!$Q1134&lt;1),RIGHT("00"&amp;HOUR(Sync!$Q1134),2)&amp;RIGHT("00"&amp;MINUTE(Sync!$Q1134),2),IFERROR(RIGHT("00"&amp;VALUE(LEFT(Sync!$Q1134,FIND(":",Sync!$Q1134)-1)),2)&amp;RIGHT("00"&amp;VALUE(MID(Sync!$Q1134,FIND(":",Sync!$Q1134)+1,2)),2),"0000"))))</f>
        <v/>
      </c>
      <c r="G1137">
        <f>IF(OR($E1137="",$E1137="نامعتبر"),"",IF(Sync!$S1134="","",Sync!$S1134))</f>
        <v/>
      </c>
      <c r="H1137">
        <f>IF(OR($E1137="",$E1137="نامعتبر"),"",IF(Sync!$R1134="","",Sync!$R1134))</f>
        <v/>
      </c>
      <c r="I1137">
        <f>IF(OR($E1137="",$E1137="نامعتبر"),"",IF(Sync!$T1134="","",Sync!$T1134))</f>
        <v/>
      </c>
      <c r="J1137">
        <f>IF(OR($E1137="",$E1137="نامعتبر"),"",IF(Sync!$U1134="","",Sync!$U1134))</f>
        <v/>
      </c>
      <c r="K1137">
        <f>IF(OR($E1137="",$E1137="نامعتبر"),"",IF(Sync!$V1134="","",IFERROR(INDEX(SubCodes,MATCH(Sync!$V1134,SubTitles,0)),Sync!$V1134)))</f>
        <v/>
      </c>
      <c r="L1137">
        <f>IF(OR($E1137="",$E1137="نامعتبر"),"",IF(Sync!$W1134="",0,Sync!$W1134))</f>
        <v/>
      </c>
      <c r="M1137">
        <f>IF(OR($E1137="",$E1137="نامعتبر"),"",IF(Sync!$X1134="",0,Sync!$X1134))</f>
        <v/>
      </c>
      <c r="N1137">
        <f>IF(OR($E1137="",$E1137="نامعتبر"),"",IF(AND($J1137="هزینه",$K1137&lt;&gt;""),1,0))</f>
        <v/>
      </c>
      <c r="O1137">
        <f>IF($N1137=0,"",LEFT($E1137,4)&amp;MID($E1137,6,2)&amp;RIGHT($E1137,2)&amp;$F1137&amp;"|"&amp;"1"&amp;RIGHT("00000"&amp;1129,5))</f>
        <v/>
      </c>
      <c r="P1137">
        <f>IF($O1137="","",COUNTIFS(ExpSub,$K1137,ExpKey,"&lt;"&amp;$O1137)+1)</f>
        <v/>
      </c>
      <c r="Q1137">
        <f>IF($P1137="","",$K1137&amp;"|"&amp;RIGHT("000000"&amp;$P1137,6))</f>
        <v/>
      </c>
    </row>
    <row r="1138">
      <c r="A1138">
        <f>IF(Sync!$P1135="","",Sync!$P1135)</f>
        <v/>
      </c>
      <c r="B1138">
        <f>IF($A1138="","",IF(ISNUMBER($A1138),IF(AND($A1138&gt;=10000101,$A1138&lt;=99991231),INT($A1138/10000),""),IFERROR(VALUE(TRIM(LEFT($A1138,FIND("/",$A1138)-1))),"")))</f>
        <v/>
      </c>
      <c r="C1138">
        <f>IF(OR($A1138="",$B1138=""),"",IF(ISNUMBER($A1138),INT(MOD($A1138,10000)/100),IFERROR(VALUE(TRIM(LEFT(MID($A1138,FIND("/",$A1138)+1,20),FIND("/",MID($A1138,FIND("/",$A1138)+1,20))-1))),"")))</f>
        <v/>
      </c>
      <c r="D1138">
        <f>IF(OR($A1138="",$B1138=""),"",IF(ISNUMBER($A1138),MOD($A1138,100),IFERROR(VALUE(TRIM(MID(MID($A1138,FIND("/",$A1138)+1,20),FIND("/",MID($A1138,FIND("/",$A1138)+1,20))+1,20))),"")))</f>
        <v/>
      </c>
      <c r="E1138">
        <f>IF($A1138="","",IF(OR($B1138="",$C1138="",$D1138="",$B1138&lt;1300,$B1138&gt;1500,$C1138&lt;1,$C1138&gt;12,$D1138&lt;1,$D1138&gt;31),"نامعتبر",RIGHT("0000"&amp;$B1138,4)&amp;"/"&amp;RIGHT("00"&amp;$C1138,2)&amp;"/"&amp;RIGHT("00"&amp;$D1138,2)))</f>
        <v/>
      </c>
      <c r="F1138">
        <f>IF(OR($E1138="",$E1138="نامعتبر"),"",IF(Sync!$Q1135="","0000",IF(AND(ISNUMBER(Sync!$Q1135),Sync!$Q1135&gt;=0,Sync!$Q1135&lt;1),RIGHT("00"&amp;HOUR(Sync!$Q1135),2)&amp;RIGHT("00"&amp;MINUTE(Sync!$Q1135),2),IFERROR(RIGHT("00"&amp;VALUE(LEFT(Sync!$Q1135,FIND(":",Sync!$Q1135)-1)),2)&amp;RIGHT("00"&amp;VALUE(MID(Sync!$Q1135,FIND(":",Sync!$Q1135)+1,2)),2),"0000"))))</f>
        <v/>
      </c>
      <c r="G1138">
        <f>IF(OR($E1138="",$E1138="نامعتبر"),"",IF(Sync!$S1135="","",Sync!$S1135))</f>
        <v/>
      </c>
      <c r="H1138">
        <f>IF(OR($E1138="",$E1138="نامعتبر"),"",IF(Sync!$R1135="","",Sync!$R1135))</f>
        <v/>
      </c>
      <c r="I1138">
        <f>IF(OR($E1138="",$E1138="نامعتبر"),"",IF(Sync!$T1135="","",Sync!$T1135))</f>
        <v/>
      </c>
      <c r="J1138">
        <f>IF(OR($E1138="",$E1138="نامعتبر"),"",IF(Sync!$U1135="","",Sync!$U1135))</f>
        <v/>
      </c>
      <c r="K1138">
        <f>IF(OR($E1138="",$E1138="نامعتبر"),"",IF(Sync!$V1135="","",IFERROR(INDEX(SubCodes,MATCH(Sync!$V1135,SubTitles,0)),Sync!$V1135)))</f>
        <v/>
      </c>
      <c r="L1138">
        <f>IF(OR($E1138="",$E1138="نامعتبر"),"",IF(Sync!$W1135="",0,Sync!$W1135))</f>
        <v/>
      </c>
      <c r="M1138">
        <f>IF(OR($E1138="",$E1138="نامعتبر"),"",IF(Sync!$X1135="",0,Sync!$X1135))</f>
        <v/>
      </c>
      <c r="N1138">
        <f>IF(OR($E1138="",$E1138="نامعتبر"),"",IF(AND($J1138="هزینه",$K1138&lt;&gt;""),1,0))</f>
        <v/>
      </c>
      <c r="O1138">
        <f>IF($N1138=0,"",LEFT($E1138,4)&amp;MID($E1138,6,2)&amp;RIGHT($E1138,2)&amp;$F1138&amp;"|"&amp;"1"&amp;RIGHT("00000"&amp;1130,5))</f>
        <v/>
      </c>
      <c r="P1138">
        <f>IF($O1138="","",COUNTIFS(ExpSub,$K1138,ExpKey,"&lt;"&amp;$O1138)+1)</f>
        <v/>
      </c>
      <c r="Q1138">
        <f>IF($P1138="","",$K1138&amp;"|"&amp;RIGHT("000000"&amp;$P1138,6))</f>
        <v/>
      </c>
    </row>
    <row r="1139">
      <c r="A1139">
        <f>IF(Sync!$P1136="","",Sync!$P1136)</f>
        <v/>
      </c>
      <c r="B1139">
        <f>IF($A1139="","",IF(ISNUMBER($A1139),IF(AND($A1139&gt;=10000101,$A1139&lt;=99991231),INT($A1139/10000),""),IFERROR(VALUE(TRIM(LEFT($A1139,FIND("/",$A1139)-1))),"")))</f>
        <v/>
      </c>
      <c r="C1139">
        <f>IF(OR($A1139="",$B1139=""),"",IF(ISNUMBER($A1139),INT(MOD($A1139,10000)/100),IFERROR(VALUE(TRIM(LEFT(MID($A1139,FIND("/",$A1139)+1,20),FIND("/",MID($A1139,FIND("/",$A1139)+1,20))-1))),"")))</f>
        <v/>
      </c>
      <c r="D1139">
        <f>IF(OR($A1139="",$B1139=""),"",IF(ISNUMBER($A1139),MOD($A1139,100),IFERROR(VALUE(TRIM(MID(MID($A1139,FIND("/",$A1139)+1,20),FIND("/",MID($A1139,FIND("/",$A1139)+1,20))+1,20))),"")))</f>
        <v/>
      </c>
      <c r="E1139">
        <f>IF($A1139="","",IF(OR($B1139="",$C1139="",$D1139="",$B1139&lt;1300,$B1139&gt;1500,$C1139&lt;1,$C1139&gt;12,$D1139&lt;1,$D1139&gt;31),"نامعتبر",RIGHT("0000"&amp;$B1139,4)&amp;"/"&amp;RIGHT("00"&amp;$C1139,2)&amp;"/"&amp;RIGHT("00"&amp;$D1139,2)))</f>
        <v/>
      </c>
      <c r="F1139">
        <f>IF(OR($E1139="",$E1139="نامعتبر"),"",IF(Sync!$Q1136="","0000",IF(AND(ISNUMBER(Sync!$Q1136),Sync!$Q1136&gt;=0,Sync!$Q1136&lt;1),RIGHT("00"&amp;HOUR(Sync!$Q1136),2)&amp;RIGHT("00"&amp;MINUTE(Sync!$Q1136),2),IFERROR(RIGHT("00"&amp;VALUE(LEFT(Sync!$Q1136,FIND(":",Sync!$Q1136)-1)),2)&amp;RIGHT("00"&amp;VALUE(MID(Sync!$Q1136,FIND(":",Sync!$Q1136)+1,2)),2),"0000"))))</f>
        <v/>
      </c>
      <c r="G1139">
        <f>IF(OR($E1139="",$E1139="نامعتبر"),"",IF(Sync!$S1136="","",Sync!$S1136))</f>
        <v/>
      </c>
      <c r="H1139">
        <f>IF(OR($E1139="",$E1139="نامعتبر"),"",IF(Sync!$R1136="","",Sync!$R1136))</f>
        <v/>
      </c>
      <c r="I1139">
        <f>IF(OR($E1139="",$E1139="نامعتبر"),"",IF(Sync!$T1136="","",Sync!$T1136))</f>
        <v/>
      </c>
      <c r="J1139">
        <f>IF(OR($E1139="",$E1139="نامعتبر"),"",IF(Sync!$U1136="","",Sync!$U1136))</f>
        <v/>
      </c>
      <c r="K1139">
        <f>IF(OR($E1139="",$E1139="نامعتبر"),"",IF(Sync!$V1136="","",IFERROR(INDEX(SubCodes,MATCH(Sync!$V1136,SubTitles,0)),Sync!$V1136)))</f>
        <v/>
      </c>
      <c r="L1139">
        <f>IF(OR($E1139="",$E1139="نامعتبر"),"",IF(Sync!$W1136="",0,Sync!$W1136))</f>
        <v/>
      </c>
      <c r="M1139">
        <f>IF(OR($E1139="",$E1139="نامعتبر"),"",IF(Sync!$X1136="",0,Sync!$X1136))</f>
        <v/>
      </c>
      <c r="N1139">
        <f>IF(OR($E1139="",$E1139="نامعتبر"),"",IF(AND($J1139="هزینه",$K1139&lt;&gt;""),1,0))</f>
        <v/>
      </c>
      <c r="O1139">
        <f>IF($N1139=0,"",LEFT($E1139,4)&amp;MID($E1139,6,2)&amp;RIGHT($E1139,2)&amp;$F1139&amp;"|"&amp;"1"&amp;RIGHT("00000"&amp;1131,5))</f>
        <v/>
      </c>
      <c r="P1139">
        <f>IF($O1139="","",COUNTIFS(ExpSub,$K1139,ExpKey,"&lt;"&amp;$O1139)+1)</f>
        <v/>
      </c>
      <c r="Q1139">
        <f>IF($P1139="","",$K1139&amp;"|"&amp;RIGHT("000000"&amp;$P1139,6))</f>
        <v/>
      </c>
    </row>
    <row r="1140">
      <c r="A1140">
        <f>IF(Sync!$P1137="","",Sync!$P1137)</f>
        <v/>
      </c>
      <c r="B1140">
        <f>IF($A1140="","",IF(ISNUMBER($A1140),IF(AND($A1140&gt;=10000101,$A1140&lt;=99991231),INT($A1140/10000),""),IFERROR(VALUE(TRIM(LEFT($A1140,FIND("/",$A1140)-1))),"")))</f>
        <v/>
      </c>
      <c r="C1140">
        <f>IF(OR($A1140="",$B1140=""),"",IF(ISNUMBER($A1140),INT(MOD($A1140,10000)/100),IFERROR(VALUE(TRIM(LEFT(MID($A1140,FIND("/",$A1140)+1,20),FIND("/",MID($A1140,FIND("/",$A1140)+1,20))-1))),"")))</f>
        <v/>
      </c>
      <c r="D1140">
        <f>IF(OR($A1140="",$B1140=""),"",IF(ISNUMBER($A1140),MOD($A1140,100),IFERROR(VALUE(TRIM(MID(MID($A1140,FIND("/",$A1140)+1,20),FIND("/",MID($A1140,FIND("/",$A1140)+1,20))+1,20))),"")))</f>
        <v/>
      </c>
      <c r="E1140">
        <f>IF($A1140="","",IF(OR($B1140="",$C1140="",$D1140="",$B1140&lt;1300,$B1140&gt;1500,$C1140&lt;1,$C1140&gt;12,$D1140&lt;1,$D1140&gt;31),"نامعتبر",RIGHT("0000"&amp;$B1140,4)&amp;"/"&amp;RIGHT("00"&amp;$C1140,2)&amp;"/"&amp;RIGHT("00"&amp;$D1140,2)))</f>
        <v/>
      </c>
      <c r="F1140">
        <f>IF(OR($E1140="",$E1140="نامعتبر"),"",IF(Sync!$Q1137="","0000",IF(AND(ISNUMBER(Sync!$Q1137),Sync!$Q1137&gt;=0,Sync!$Q1137&lt;1),RIGHT("00"&amp;HOUR(Sync!$Q1137),2)&amp;RIGHT("00"&amp;MINUTE(Sync!$Q1137),2),IFERROR(RIGHT("00"&amp;VALUE(LEFT(Sync!$Q1137,FIND(":",Sync!$Q1137)-1)),2)&amp;RIGHT("00"&amp;VALUE(MID(Sync!$Q1137,FIND(":",Sync!$Q1137)+1,2)),2),"0000"))))</f>
        <v/>
      </c>
      <c r="G1140">
        <f>IF(OR($E1140="",$E1140="نامعتبر"),"",IF(Sync!$S1137="","",Sync!$S1137))</f>
        <v/>
      </c>
      <c r="H1140">
        <f>IF(OR($E1140="",$E1140="نامعتبر"),"",IF(Sync!$R1137="","",Sync!$R1137))</f>
        <v/>
      </c>
      <c r="I1140">
        <f>IF(OR($E1140="",$E1140="نامعتبر"),"",IF(Sync!$T1137="","",Sync!$T1137))</f>
        <v/>
      </c>
      <c r="J1140">
        <f>IF(OR($E1140="",$E1140="نامعتبر"),"",IF(Sync!$U1137="","",Sync!$U1137))</f>
        <v/>
      </c>
      <c r="K1140">
        <f>IF(OR($E1140="",$E1140="نامعتبر"),"",IF(Sync!$V1137="","",IFERROR(INDEX(SubCodes,MATCH(Sync!$V1137,SubTitles,0)),Sync!$V1137)))</f>
        <v/>
      </c>
      <c r="L1140">
        <f>IF(OR($E1140="",$E1140="نامعتبر"),"",IF(Sync!$W1137="",0,Sync!$W1137))</f>
        <v/>
      </c>
      <c r="M1140">
        <f>IF(OR($E1140="",$E1140="نامعتبر"),"",IF(Sync!$X1137="",0,Sync!$X1137))</f>
        <v/>
      </c>
      <c r="N1140">
        <f>IF(OR($E1140="",$E1140="نامعتبر"),"",IF(AND($J1140="هزینه",$K1140&lt;&gt;""),1,0))</f>
        <v/>
      </c>
      <c r="O1140">
        <f>IF($N1140=0,"",LEFT($E1140,4)&amp;MID($E1140,6,2)&amp;RIGHT($E1140,2)&amp;$F1140&amp;"|"&amp;"1"&amp;RIGHT("00000"&amp;1132,5))</f>
        <v/>
      </c>
      <c r="P1140">
        <f>IF($O1140="","",COUNTIFS(ExpSub,$K1140,ExpKey,"&lt;"&amp;$O1140)+1)</f>
        <v/>
      </c>
      <c r="Q1140">
        <f>IF($P1140="","",$K1140&amp;"|"&amp;RIGHT("000000"&amp;$P1140,6))</f>
        <v/>
      </c>
    </row>
    <row r="1141">
      <c r="A1141">
        <f>IF(Sync!$P1138="","",Sync!$P1138)</f>
        <v/>
      </c>
      <c r="B1141">
        <f>IF($A1141="","",IF(ISNUMBER($A1141),IF(AND($A1141&gt;=10000101,$A1141&lt;=99991231),INT($A1141/10000),""),IFERROR(VALUE(TRIM(LEFT($A1141,FIND("/",$A1141)-1))),"")))</f>
        <v/>
      </c>
      <c r="C1141">
        <f>IF(OR($A1141="",$B1141=""),"",IF(ISNUMBER($A1141),INT(MOD($A1141,10000)/100),IFERROR(VALUE(TRIM(LEFT(MID($A1141,FIND("/",$A1141)+1,20),FIND("/",MID($A1141,FIND("/",$A1141)+1,20))-1))),"")))</f>
        <v/>
      </c>
      <c r="D1141">
        <f>IF(OR($A1141="",$B1141=""),"",IF(ISNUMBER($A1141),MOD($A1141,100),IFERROR(VALUE(TRIM(MID(MID($A1141,FIND("/",$A1141)+1,20),FIND("/",MID($A1141,FIND("/",$A1141)+1,20))+1,20))),"")))</f>
        <v/>
      </c>
      <c r="E1141">
        <f>IF($A1141="","",IF(OR($B1141="",$C1141="",$D1141="",$B1141&lt;1300,$B1141&gt;1500,$C1141&lt;1,$C1141&gt;12,$D1141&lt;1,$D1141&gt;31),"نامعتبر",RIGHT("0000"&amp;$B1141,4)&amp;"/"&amp;RIGHT("00"&amp;$C1141,2)&amp;"/"&amp;RIGHT("00"&amp;$D1141,2)))</f>
        <v/>
      </c>
      <c r="F1141">
        <f>IF(OR($E1141="",$E1141="نامعتبر"),"",IF(Sync!$Q1138="","0000",IF(AND(ISNUMBER(Sync!$Q1138),Sync!$Q1138&gt;=0,Sync!$Q1138&lt;1),RIGHT("00"&amp;HOUR(Sync!$Q1138),2)&amp;RIGHT("00"&amp;MINUTE(Sync!$Q1138),2),IFERROR(RIGHT("00"&amp;VALUE(LEFT(Sync!$Q1138,FIND(":",Sync!$Q1138)-1)),2)&amp;RIGHT("00"&amp;VALUE(MID(Sync!$Q1138,FIND(":",Sync!$Q1138)+1,2)),2),"0000"))))</f>
        <v/>
      </c>
      <c r="G1141">
        <f>IF(OR($E1141="",$E1141="نامعتبر"),"",IF(Sync!$S1138="","",Sync!$S1138))</f>
        <v/>
      </c>
      <c r="H1141">
        <f>IF(OR($E1141="",$E1141="نامعتبر"),"",IF(Sync!$R1138="","",Sync!$R1138))</f>
        <v/>
      </c>
      <c r="I1141">
        <f>IF(OR($E1141="",$E1141="نامعتبر"),"",IF(Sync!$T1138="","",Sync!$T1138))</f>
        <v/>
      </c>
      <c r="J1141">
        <f>IF(OR($E1141="",$E1141="نامعتبر"),"",IF(Sync!$U1138="","",Sync!$U1138))</f>
        <v/>
      </c>
      <c r="K1141">
        <f>IF(OR($E1141="",$E1141="نامعتبر"),"",IF(Sync!$V1138="","",IFERROR(INDEX(SubCodes,MATCH(Sync!$V1138,SubTitles,0)),Sync!$V1138)))</f>
        <v/>
      </c>
      <c r="L1141">
        <f>IF(OR($E1141="",$E1141="نامعتبر"),"",IF(Sync!$W1138="",0,Sync!$W1138))</f>
        <v/>
      </c>
      <c r="M1141">
        <f>IF(OR($E1141="",$E1141="نامعتبر"),"",IF(Sync!$X1138="",0,Sync!$X1138))</f>
        <v/>
      </c>
      <c r="N1141">
        <f>IF(OR($E1141="",$E1141="نامعتبر"),"",IF(AND($J1141="هزینه",$K1141&lt;&gt;""),1,0))</f>
        <v/>
      </c>
      <c r="O1141">
        <f>IF($N1141=0,"",LEFT($E1141,4)&amp;MID($E1141,6,2)&amp;RIGHT($E1141,2)&amp;$F1141&amp;"|"&amp;"1"&amp;RIGHT("00000"&amp;1133,5))</f>
        <v/>
      </c>
      <c r="P1141">
        <f>IF($O1141="","",COUNTIFS(ExpSub,$K1141,ExpKey,"&lt;"&amp;$O1141)+1)</f>
        <v/>
      </c>
      <c r="Q1141">
        <f>IF($P1141="","",$K1141&amp;"|"&amp;RIGHT("000000"&amp;$P1141,6))</f>
        <v/>
      </c>
    </row>
    <row r="1142">
      <c r="A1142">
        <f>IF(Sync!$P1139="","",Sync!$P1139)</f>
        <v/>
      </c>
      <c r="B1142">
        <f>IF($A1142="","",IF(ISNUMBER($A1142),IF(AND($A1142&gt;=10000101,$A1142&lt;=99991231),INT($A1142/10000),""),IFERROR(VALUE(TRIM(LEFT($A1142,FIND("/",$A1142)-1))),"")))</f>
        <v/>
      </c>
      <c r="C1142">
        <f>IF(OR($A1142="",$B1142=""),"",IF(ISNUMBER($A1142),INT(MOD($A1142,10000)/100),IFERROR(VALUE(TRIM(LEFT(MID($A1142,FIND("/",$A1142)+1,20),FIND("/",MID($A1142,FIND("/",$A1142)+1,20))-1))),"")))</f>
        <v/>
      </c>
      <c r="D1142">
        <f>IF(OR($A1142="",$B1142=""),"",IF(ISNUMBER($A1142),MOD($A1142,100),IFERROR(VALUE(TRIM(MID(MID($A1142,FIND("/",$A1142)+1,20),FIND("/",MID($A1142,FIND("/",$A1142)+1,20))+1,20))),"")))</f>
        <v/>
      </c>
      <c r="E1142">
        <f>IF($A1142="","",IF(OR($B1142="",$C1142="",$D1142="",$B1142&lt;1300,$B1142&gt;1500,$C1142&lt;1,$C1142&gt;12,$D1142&lt;1,$D1142&gt;31),"نامعتبر",RIGHT("0000"&amp;$B1142,4)&amp;"/"&amp;RIGHT("00"&amp;$C1142,2)&amp;"/"&amp;RIGHT("00"&amp;$D1142,2)))</f>
        <v/>
      </c>
      <c r="F1142">
        <f>IF(OR($E1142="",$E1142="نامعتبر"),"",IF(Sync!$Q1139="","0000",IF(AND(ISNUMBER(Sync!$Q1139),Sync!$Q1139&gt;=0,Sync!$Q1139&lt;1),RIGHT("00"&amp;HOUR(Sync!$Q1139),2)&amp;RIGHT("00"&amp;MINUTE(Sync!$Q1139),2),IFERROR(RIGHT("00"&amp;VALUE(LEFT(Sync!$Q1139,FIND(":",Sync!$Q1139)-1)),2)&amp;RIGHT("00"&amp;VALUE(MID(Sync!$Q1139,FIND(":",Sync!$Q1139)+1,2)),2),"0000"))))</f>
        <v/>
      </c>
      <c r="G1142">
        <f>IF(OR($E1142="",$E1142="نامعتبر"),"",IF(Sync!$S1139="","",Sync!$S1139))</f>
        <v/>
      </c>
      <c r="H1142">
        <f>IF(OR($E1142="",$E1142="نامعتبر"),"",IF(Sync!$R1139="","",Sync!$R1139))</f>
        <v/>
      </c>
      <c r="I1142">
        <f>IF(OR($E1142="",$E1142="نامعتبر"),"",IF(Sync!$T1139="","",Sync!$T1139))</f>
        <v/>
      </c>
      <c r="J1142">
        <f>IF(OR($E1142="",$E1142="نامعتبر"),"",IF(Sync!$U1139="","",Sync!$U1139))</f>
        <v/>
      </c>
      <c r="K1142">
        <f>IF(OR($E1142="",$E1142="نامعتبر"),"",IF(Sync!$V1139="","",IFERROR(INDEX(SubCodes,MATCH(Sync!$V1139,SubTitles,0)),Sync!$V1139)))</f>
        <v/>
      </c>
      <c r="L1142">
        <f>IF(OR($E1142="",$E1142="نامعتبر"),"",IF(Sync!$W1139="",0,Sync!$W1139))</f>
        <v/>
      </c>
      <c r="M1142">
        <f>IF(OR($E1142="",$E1142="نامعتبر"),"",IF(Sync!$X1139="",0,Sync!$X1139))</f>
        <v/>
      </c>
      <c r="N1142">
        <f>IF(OR($E1142="",$E1142="نامعتبر"),"",IF(AND($J1142="هزینه",$K1142&lt;&gt;""),1,0))</f>
        <v/>
      </c>
      <c r="O1142">
        <f>IF($N1142=0,"",LEFT($E1142,4)&amp;MID($E1142,6,2)&amp;RIGHT($E1142,2)&amp;$F1142&amp;"|"&amp;"1"&amp;RIGHT("00000"&amp;1134,5))</f>
        <v/>
      </c>
      <c r="P1142">
        <f>IF($O1142="","",COUNTIFS(ExpSub,$K1142,ExpKey,"&lt;"&amp;$O1142)+1)</f>
        <v/>
      </c>
      <c r="Q1142">
        <f>IF($P1142="","",$K1142&amp;"|"&amp;RIGHT("000000"&amp;$P1142,6))</f>
        <v/>
      </c>
    </row>
    <row r="1143">
      <c r="A1143">
        <f>IF(Sync!$P1140="","",Sync!$P1140)</f>
        <v/>
      </c>
      <c r="B1143">
        <f>IF($A1143="","",IF(ISNUMBER($A1143),IF(AND($A1143&gt;=10000101,$A1143&lt;=99991231),INT($A1143/10000),""),IFERROR(VALUE(TRIM(LEFT($A1143,FIND("/",$A1143)-1))),"")))</f>
        <v/>
      </c>
      <c r="C1143">
        <f>IF(OR($A1143="",$B1143=""),"",IF(ISNUMBER($A1143),INT(MOD($A1143,10000)/100),IFERROR(VALUE(TRIM(LEFT(MID($A1143,FIND("/",$A1143)+1,20),FIND("/",MID($A1143,FIND("/",$A1143)+1,20))-1))),"")))</f>
        <v/>
      </c>
      <c r="D1143">
        <f>IF(OR($A1143="",$B1143=""),"",IF(ISNUMBER($A1143),MOD($A1143,100),IFERROR(VALUE(TRIM(MID(MID($A1143,FIND("/",$A1143)+1,20),FIND("/",MID($A1143,FIND("/",$A1143)+1,20))+1,20))),"")))</f>
        <v/>
      </c>
      <c r="E1143">
        <f>IF($A1143="","",IF(OR($B1143="",$C1143="",$D1143="",$B1143&lt;1300,$B1143&gt;1500,$C1143&lt;1,$C1143&gt;12,$D1143&lt;1,$D1143&gt;31),"نامعتبر",RIGHT("0000"&amp;$B1143,4)&amp;"/"&amp;RIGHT("00"&amp;$C1143,2)&amp;"/"&amp;RIGHT("00"&amp;$D1143,2)))</f>
        <v/>
      </c>
      <c r="F1143">
        <f>IF(OR($E1143="",$E1143="نامعتبر"),"",IF(Sync!$Q1140="","0000",IF(AND(ISNUMBER(Sync!$Q1140),Sync!$Q1140&gt;=0,Sync!$Q1140&lt;1),RIGHT("00"&amp;HOUR(Sync!$Q1140),2)&amp;RIGHT("00"&amp;MINUTE(Sync!$Q1140),2),IFERROR(RIGHT("00"&amp;VALUE(LEFT(Sync!$Q1140,FIND(":",Sync!$Q1140)-1)),2)&amp;RIGHT("00"&amp;VALUE(MID(Sync!$Q1140,FIND(":",Sync!$Q1140)+1,2)),2),"0000"))))</f>
        <v/>
      </c>
      <c r="G1143">
        <f>IF(OR($E1143="",$E1143="نامعتبر"),"",IF(Sync!$S1140="","",Sync!$S1140))</f>
        <v/>
      </c>
      <c r="H1143">
        <f>IF(OR($E1143="",$E1143="نامعتبر"),"",IF(Sync!$R1140="","",Sync!$R1140))</f>
        <v/>
      </c>
      <c r="I1143">
        <f>IF(OR($E1143="",$E1143="نامعتبر"),"",IF(Sync!$T1140="","",Sync!$T1140))</f>
        <v/>
      </c>
      <c r="J1143">
        <f>IF(OR($E1143="",$E1143="نامعتبر"),"",IF(Sync!$U1140="","",Sync!$U1140))</f>
        <v/>
      </c>
      <c r="K1143">
        <f>IF(OR($E1143="",$E1143="نامعتبر"),"",IF(Sync!$V1140="","",IFERROR(INDEX(SubCodes,MATCH(Sync!$V1140,SubTitles,0)),Sync!$V1140)))</f>
        <v/>
      </c>
      <c r="L1143">
        <f>IF(OR($E1143="",$E1143="نامعتبر"),"",IF(Sync!$W1140="",0,Sync!$W1140))</f>
        <v/>
      </c>
      <c r="M1143">
        <f>IF(OR($E1143="",$E1143="نامعتبر"),"",IF(Sync!$X1140="",0,Sync!$X1140))</f>
        <v/>
      </c>
      <c r="N1143">
        <f>IF(OR($E1143="",$E1143="نامعتبر"),"",IF(AND($J1143="هزینه",$K1143&lt;&gt;""),1,0))</f>
        <v/>
      </c>
      <c r="O1143">
        <f>IF($N1143=0,"",LEFT($E1143,4)&amp;MID($E1143,6,2)&amp;RIGHT($E1143,2)&amp;$F1143&amp;"|"&amp;"1"&amp;RIGHT("00000"&amp;1135,5))</f>
        <v/>
      </c>
      <c r="P1143">
        <f>IF($O1143="","",COUNTIFS(ExpSub,$K1143,ExpKey,"&lt;"&amp;$O1143)+1)</f>
        <v/>
      </c>
      <c r="Q1143">
        <f>IF($P1143="","",$K1143&amp;"|"&amp;RIGHT("000000"&amp;$P1143,6))</f>
        <v/>
      </c>
    </row>
    <row r="1144">
      <c r="A1144">
        <f>IF(Sync!$P1141="","",Sync!$P1141)</f>
        <v/>
      </c>
      <c r="B1144">
        <f>IF($A1144="","",IF(ISNUMBER($A1144),IF(AND($A1144&gt;=10000101,$A1144&lt;=99991231),INT($A1144/10000),""),IFERROR(VALUE(TRIM(LEFT($A1144,FIND("/",$A1144)-1))),"")))</f>
        <v/>
      </c>
      <c r="C1144">
        <f>IF(OR($A1144="",$B1144=""),"",IF(ISNUMBER($A1144),INT(MOD($A1144,10000)/100),IFERROR(VALUE(TRIM(LEFT(MID($A1144,FIND("/",$A1144)+1,20),FIND("/",MID($A1144,FIND("/",$A1144)+1,20))-1))),"")))</f>
        <v/>
      </c>
      <c r="D1144">
        <f>IF(OR($A1144="",$B1144=""),"",IF(ISNUMBER($A1144),MOD($A1144,100),IFERROR(VALUE(TRIM(MID(MID($A1144,FIND("/",$A1144)+1,20),FIND("/",MID($A1144,FIND("/",$A1144)+1,20))+1,20))),"")))</f>
        <v/>
      </c>
      <c r="E1144">
        <f>IF($A1144="","",IF(OR($B1144="",$C1144="",$D1144="",$B1144&lt;1300,$B1144&gt;1500,$C1144&lt;1,$C1144&gt;12,$D1144&lt;1,$D1144&gt;31),"نامعتبر",RIGHT("0000"&amp;$B1144,4)&amp;"/"&amp;RIGHT("00"&amp;$C1144,2)&amp;"/"&amp;RIGHT("00"&amp;$D1144,2)))</f>
        <v/>
      </c>
      <c r="F1144">
        <f>IF(OR($E1144="",$E1144="نامعتبر"),"",IF(Sync!$Q1141="","0000",IF(AND(ISNUMBER(Sync!$Q1141),Sync!$Q1141&gt;=0,Sync!$Q1141&lt;1),RIGHT("00"&amp;HOUR(Sync!$Q1141),2)&amp;RIGHT("00"&amp;MINUTE(Sync!$Q1141),2),IFERROR(RIGHT("00"&amp;VALUE(LEFT(Sync!$Q1141,FIND(":",Sync!$Q1141)-1)),2)&amp;RIGHT("00"&amp;VALUE(MID(Sync!$Q1141,FIND(":",Sync!$Q1141)+1,2)),2),"0000"))))</f>
        <v/>
      </c>
      <c r="G1144">
        <f>IF(OR($E1144="",$E1144="نامعتبر"),"",IF(Sync!$S1141="","",Sync!$S1141))</f>
        <v/>
      </c>
      <c r="H1144">
        <f>IF(OR($E1144="",$E1144="نامعتبر"),"",IF(Sync!$R1141="","",Sync!$R1141))</f>
        <v/>
      </c>
      <c r="I1144">
        <f>IF(OR($E1144="",$E1144="نامعتبر"),"",IF(Sync!$T1141="","",Sync!$T1141))</f>
        <v/>
      </c>
      <c r="J1144">
        <f>IF(OR($E1144="",$E1144="نامعتبر"),"",IF(Sync!$U1141="","",Sync!$U1141))</f>
        <v/>
      </c>
      <c r="K1144">
        <f>IF(OR($E1144="",$E1144="نامعتبر"),"",IF(Sync!$V1141="","",IFERROR(INDEX(SubCodes,MATCH(Sync!$V1141,SubTitles,0)),Sync!$V1141)))</f>
        <v/>
      </c>
      <c r="L1144">
        <f>IF(OR($E1144="",$E1144="نامعتبر"),"",IF(Sync!$W1141="",0,Sync!$W1141))</f>
        <v/>
      </c>
      <c r="M1144">
        <f>IF(OR($E1144="",$E1144="نامعتبر"),"",IF(Sync!$X1141="",0,Sync!$X1141))</f>
        <v/>
      </c>
      <c r="N1144">
        <f>IF(OR($E1144="",$E1144="نامعتبر"),"",IF(AND($J1144="هزینه",$K1144&lt;&gt;""),1,0))</f>
        <v/>
      </c>
      <c r="O1144">
        <f>IF($N1144=0,"",LEFT($E1144,4)&amp;MID($E1144,6,2)&amp;RIGHT($E1144,2)&amp;$F1144&amp;"|"&amp;"1"&amp;RIGHT("00000"&amp;1136,5))</f>
        <v/>
      </c>
      <c r="P1144">
        <f>IF($O1144="","",COUNTIFS(ExpSub,$K1144,ExpKey,"&lt;"&amp;$O1144)+1)</f>
        <v/>
      </c>
      <c r="Q1144">
        <f>IF($P1144="","",$K1144&amp;"|"&amp;RIGHT("000000"&amp;$P1144,6))</f>
        <v/>
      </c>
    </row>
    <row r="1145">
      <c r="A1145">
        <f>IF(Sync!$P1142="","",Sync!$P1142)</f>
        <v/>
      </c>
      <c r="B1145">
        <f>IF($A1145="","",IF(ISNUMBER($A1145),IF(AND($A1145&gt;=10000101,$A1145&lt;=99991231),INT($A1145/10000),""),IFERROR(VALUE(TRIM(LEFT($A1145,FIND("/",$A1145)-1))),"")))</f>
        <v/>
      </c>
      <c r="C1145">
        <f>IF(OR($A1145="",$B1145=""),"",IF(ISNUMBER($A1145),INT(MOD($A1145,10000)/100),IFERROR(VALUE(TRIM(LEFT(MID($A1145,FIND("/",$A1145)+1,20),FIND("/",MID($A1145,FIND("/",$A1145)+1,20))-1))),"")))</f>
        <v/>
      </c>
      <c r="D1145">
        <f>IF(OR($A1145="",$B1145=""),"",IF(ISNUMBER($A1145),MOD($A1145,100),IFERROR(VALUE(TRIM(MID(MID($A1145,FIND("/",$A1145)+1,20),FIND("/",MID($A1145,FIND("/",$A1145)+1,20))+1,20))),"")))</f>
        <v/>
      </c>
      <c r="E1145">
        <f>IF($A1145="","",IF(OR($B1145="",$C1145="",$D1145="",$B1145&lt;1300,$B1145&gt;1500,$C1145&lt;1,$C1145&gt;12,$D1145&lt;1,$D1145&gt;31),"نامعتبر",RIGHT("0000"&amp;$B1145,4)&amp;"/"&amp;RIGHT("00"&amp;$C1145,2)&amp;"/"&amp;RIGHT("00"&amp;$D1145,2)))</f>
        <v/>
      </c>
      <c r="F1145">
        <f>IF(OR($E1145="",$E1145="نامعتبر"),"",IF(Sync!$Q1142="","0000",IF(AND(ISNUMBER(Sync!$Q1142),Sync!$Q1142&gt;=0,Sync!$Q1142&lt;1),RIGHT("00"&amp;HOUR(Sync!$Q1142),2)&amp;RIGHT("00"&amp;MINUTE(Sync!$Q1142),2),IFERROR(RIGHT("00"&amp;VALUE(LEFT(Sync!$Q1142,FIND(":",Sync!$Q1142)-1)),2)&amp;RIGHT("00"&amp;VALUE(MID(Sync!$Q1142,FIND(":",Sync!$Q1142)+1,2)),2),"0000"))))</f>
        <v/>
      </c>
      <c r="G1145">
        <f>IF(OR($E1145="",$E1145="نامعتبر"),"",IF(Sync!$S1142="","",Sync!$S1142))</f>
        <v/>
      </c>
      <c r="H1145">
        <f>IF(OR($E1145="",$E1145="نامعتبر"),"",IF(Sync!$R1142="","",Sync!$R1142))</f>
        <v/>
      </c>
      <c r="I1145">
        <f>IF(OR($E1145="",$E1145="نامعتبر"),"",IF(Sync!$T1142="","",Sync!$T1142))</f>
        <v/>
      </c>
      <c r="J1145">
        <f>IF(OR($E1145="",$E1145="نامعتبر"),"",IF(Sync!$U1142="","",Sync!$U1142))</f>
        <v/>
      </c>
      <c r="K1145">
        <f>IF(OR($E1145="",$E1145="نامعتبر"),"",IF(Sync!$V1142="","",IFERROR(INDEX(SubCodes,MATCH(Sync!$V1142,SubTitles,0)),Sync!$V1142)))</f>
        <v/>
      </c>
      <c r="L1145">
        <f>IF(OR($E1145="",$E1145="نامعتبر"),"",IF(Sync!$W1142="",0,Sync!$W1142))</f>
        <v/>
      </c>
      <c r="M1145">
        <f>IF(OR($E1145="",$E1145="نامعتبر"),"",IF(Sync!$X1142="",0,Sync!$X1142))</f>
        <v/>
      </c>
      <c r="N1145">
        <f>IF(OR($E1145="",$E1145="نامعتبر"),"",IF(AND($J1145="هزینه",$K1145&lt;&gt;""),1,0))</f>
        <v/>
      </c>
      <c r="O1145">
        <f>IF($N1145=0,"",LEFT($E1145,4)&amp;MID($E1145,6,2)&amp;RIGHT($E1145,2)&amp;$F1145&amp;"|"&amp;"1"&amp;RIGHT("00000"&amp;1137,5))</f>
        <v/>
      </c>
      <c r="P1145">
        <f>IF($O1145="","",COUNTIFS(ExpSub,$K1145,ExpKey,"&lt;"&amp;$O1145)+1)</f>
        <v/>
      </c>
      <c r="Q1145">
        <f>IF($P1145="","",$K1145&amp;"|"&amp;RIGHT("000000"&amp;$P1145,6))</f>
        <v/>
      </c>
    </row>
    <row r="1146">
      <c r="A1146">
        <f>IF(Sync!$P1143="","",Sync!$P1143)</f>
        <v/>
      </c>
      <c r="B1146">
        <f>IF($A1146="","",IF(ISNUMBER($A1146),IF(AND($A1146&gt;=10000101,$A1146&lt;=99991231),INT($A1146/10000),""),IFERROR(VALUE(TRIM(LEFT($A1146,FIND("/",$A1146)-1))),"")))</f>
        <v/>
      </c>
      <c r="C1146">
        <f>IF(OR($A1146="",$B1146=""),"",IF(ISNUMBER($A1146),INT(MOD($A1146,10000)/100),IFERROR(VALUE(TRIM(LEFT(MID($A1146,FIND("/",$A1146)+1,20),FIND("/",MID($A1146,FIND("/",$A1146)+1,20))-1))),"")))</f>
        <v/>
      </c>
      <c r="D1146">
        <f>IF(OR($A1146="",$B1146=""),"",IF(ISNUMBER($A1146),MOD($A1146,100),IFERROR(VALUE(TRIM(MID(MID($A1146,FIND("/",$A1146)+1,20),FIND("/",MID($A1146,FIND("/",$A1146)+1,20))+1,20))),"")))</f>
        <v/>
      </c>
      <c r="E1146">
        <f>IF($A1146="","",IF(OR($B1146="",$C1146="",$D1146="",$B1146&lt;1300,$B1146&gt;1500,$C1146&lt;1,$C1146&gt;12,$D1146&lt;1,$D1146&gt;31),"نامعتبر",RIGHT("0000"&amp;$B1146,4)&amp;"/"&amp;RIGHT("00"&amp;$C1146,2)&amp;"/"&amp;RIGHT("00"&amp;$D1146,2)))</f>
        <v/>
      </c>
      <c r="F1146">
        <f>IF(OR($E1146="",$E1146="نامعتبر"),"",IF(Sync!$Q1143="","0000",IF(AND(ISNUMBER(Sync!$Q1143),Sync!$Q1143&gt;=0,Sync!$Q1143&lt;1),RIGHT("00"&amp;HOUR(Sync!$Q1143),2)&amp;RIGHT("00"&amp;MINUTE(Sync!$Q1143),2),IFERROR(RIGHT("00"&amp;VALUE(LEFT(Sync!$Q1143,FIND(":",Sync!$Q1143)-1)),2)&amp;RIGHT("00"&amp;VALUE(MID(Sync!$Q1143,FIND(":",Sync!$Q1143)+1,2)),2),"0000"))))</f>
        <v/>
      </c>
      <c r="G1146">
        <f>IF(OR($E1146="",$E1146="نامعتبر"),"",IF(Sync!$S1143="","",Sync!$S1143))</f>
        <v/>
      </c>
      <c r="H1146">
        <f>IF(OR($E1146="",$E1146="نامعتبر"),"",IF(Sync!$R1143="","",Sync!$R1143))</f>
        <v/>
      </c>
      <c r="I1146">
        <f>IF(OR($E1146="",$E1146="نامعتبر"),"",IF(Sync!$T1143="","",Sync!$T1143))</f>
        <v/>
      </c>
      <c r="J1146">
        <f>IF(OR($E1146="",$E1146="نامعتبر"),"",IF(Sync!$U1143="","",Sync!$U1143))</f>
        <v/>
      </c>
      <c r="K1146">
        <f>IF(OR($E1146="",$E1146="نامعتبر"),"",IF(Sync!$V1143="","",IFERROR(INDEX(SubCodes,MATCH(Sync!$V1143,SubTitles,0)),Sync!$V1143)))</f>
        <v/>
      </c>
      <c r="L1146">
        <f>IF(OR($E1146="",$E1146="نامعتبر"),"",IF(Sync!$W1143="",0,Sync!$W1143))</f>
        <v/>
      </c>
      <c r="M1146">
        <f>IF(OR($E1146="",$E1146="نامعتبر"),"",IF(Sync!$X1143="",0,Sync!$X1143))</f>
        <v/>
      </c>
      <c r="N1146">
        <f>IF(OR($E1146="",$E1146="نامعتبر"),"",IF(AND($J1146="هزینه",$K1146&lt;&gt;""),1,0))</f>
        <v/>
      </c>
      <c r="O1146">
        <f>IF($N1146=0,"",LEFT($E1146,4)&amp;MID($E1146,6,2)&amp;RIGHT($E1146,2)&amp;$F1146&amp;"|"&amp;"1"&amp;RIGHT("00000"&amp;1138,5))</f>
        <v/>
      </c>
      <c r="P1146">
        <f>IF($O1146="","",COUNTIFS(ExpSub,$K1146,ExpKey,"&lt;"&amp;$O1146)+1)</f>
        <v/>
      </c>
      <c r="Q1146">
        <f>IF($P1146="","",$K1146&amp;"|"&amp;RIGHT("000000"&amp;$P1146,6))</f>
        <v/>
      </c>
    </row>
    <row r="1147">
      <c r="A1147">
        <f>IF(Sync!$P1144="","",Sync!$P1144)</f>
        <v/>
      </c>
      <c r="B1147">
        <f>IF($A1147="","",IF(ISNUMBER($A1147),IF(AND($A1147&gt;=10000101,$A1147&lt;=99991231),INT($A1147/10000),""),IFERROR(VALUE(TRIM(LEFT($A1147,FIND("/",$A1147)-1))),"")))</f>
        <v/>
      </c>
      <c r="C1147">
        <f>IF(OR($A1147="",$B1147=""),"",IF(ISNUMBER($A1147),INT(MOD($A1147,10000)/100),IFERROR(VALUE(TRIM(LEFT(MID($A1147,FIND("/",$A1147)+1,20),FIND("/",MID($A1147,FIND("/",$A1147)+1,20))-1))),"")))</f>
        <v/>
      </c>
      <c r="D1147">
        <f>IF(OR($A1147="",$B1147=""),"",IF(ISNUMBER($A1147),MOD($A1147,100),IFERROR(VALUE(TRIM(MID(MID($A1147,FIND("/",$A1147)+1,20),FIND("/",MID($A1147,FIND("/",$A1147)+1,20))+1,20))),"")))</f>
        <v/>
      </c>
      <c r="E1147">
        <f>IF($A1147="","",IF(OR($B1147="",$C1147="",$D1147="",$B1147&lt;1300,$B1147&gt;1500,$C1147&lt;1,$C1147&gt;12,$D1147&lt;1,$D1147&gt;31),"نامعتبر",RIGHT("0000"&amp;$B1147,4)&amp;"/"&amp;RIGHT("00"&amp;$C1147,2)&amp;"/"&amp;RIGHT("00"&amp;$D1147,2)))</f>
        <v/>
      </c>
      <c r="F1147">
        <f>IF(OR($E1147="",$E1147="نامعتبر"),"",IF(Sync!$Q1144="","0000",IF(AND(ISNUMBER(Sync!$Q1144),Sync!$Q1144&gt;=0,Sync!$Q1144&lt;1),RIGHT("00"&amp;HOUR(Sync!$Q1144),2)&amp;RIGHT("00"&amp;MINUTE(Sync!$Q1144),2),IFERROR(RIGHT("00"&amp;VALUE(LEFT(Sync!$Q1144,FIND(":",Sync!$Q1144)-1)),2)&amp;RIGHT("00"&amp;VALUE(MID(Sync!$Q1144,FIND(":",Sync!$Q1144)+1,2)),2),"0000"))))</f>
        <v/>
      </c>
      <c r="G1147">
        <f>IF(OR($E1147="",$E1147="نامعتبر"),"",IF(Sync!$S1144="","",Sync!$S1144))</f>
        <v/>
      </c>
      <c r="H1147">
        <f>IF(OR($E1147="",$E1147="نامعتبر"),"",IF(Sync!$R1144="","",Sync!$R1144))</f>
        <v/>
      </c>
      <c r="I1147">
        <f>IF(OR($E1147="",$E1147="نامعتبر"),"",IF(Sync!$T1144="","",Sync!$T1144))</f>
        <v/>
      </c>
      <c r="J1147">
        <f>IF(OR($E1147="",$E1147="نامعتبر"),"",IF(Sync!$U1144="","",Sync!$U1144))</f>
        <v/>
      </c>
      <c r="K1147">
        <f>IF(OR($E1147="",$E1147="نامعتبر"),"",IF(Sync!$V1144="","",IFERROR(INDEX(SubCodes,MATCH(Sync!$V1144,SubTitles,0)),Sync!$V1144)))</f>
        <v/>
      </c>
      <c r="L1147">
        <f>IF(OR($E1147="",$E1147="نامعتبر"),"",IF(Sync!$W1144="",0,Sync!$W1144))</f>
        <v/>
      </c>
      <c r="M1147">
        <f>IF(OR($E1147="",$E1147="نامعتبر"),"",IF(Sync!$X1144="",0,Sync!$X1144))</f>
        <v/>
      </c>
      <c r="N1147">
        <f>IF(OR($E1147="",$E1147="نامعتبر"),"",IF(AND($J1147="هزینه",$K1147&lt;&gt;""),1,0))</f>
        <v/>
      </c>
      <c r="O1147">
        <f>IF($N1147=0,"",LEFT($E1147,4)&amp;MID($E1147,6,2)&amp;RIGHT($E1147,2)&amp;$F1147&amp;"|"&amp;"1"&amp;RIGHT("00000"&amp;1139,5))</f>
        <v/>
      </c>
      <c r="P1147">
        <f>IF($O1147="","",COUNTIFS(ExpSub,$K1147,ExpKey,"&lt;"&amp;$O1147)+1)</f>
        <v/>
      </c>
      <c r="Q1147">
        <f>IF($P1147="","",$K1147&amp;"|"&amp;RIGHT("000000"&amp;$P1147,6))</f>
        <v/>
      </c>
    </row>
    <row r="1148">
      <c r="A1148">
        <f>IF(Sync!$P1145="","",Sync!$P1145)</f>
        <v/>
      </c>
      <c r="B1148">
        <f>IF($A1148="","",IF(ISNUMBER($A1148),IF(AND($A1148&gt;=10000101,$A1148&lt;=99991231),INT($A1148/10000),""),IFERROR(VALUE(TRIM(LEFT($A1148,FIND("/",$A1148)-1))),"")))</f>
        <v/>
      </c>
      <c r="C1148">
        <f>IF(OR($A1148="",$B1148=""),"",IF(ISNUMBER($A1148),INT(MOD($A1148,10000)/100),IFERROR(VALUE(TRIM(LEFT(MID($A1148,FIND("/",$A1148)+1,20),FIND("/",MID($A1148,FIND("/",$A1148)+1,20))-1))),"")))</f>
        <v/>
      </c>
      <c r="D1148">
        <f>IF(OR($A1148="",$B1148=""),"",IF(ISNUMBER($A1148),MOD($A1148,100),IFERROR(VALUE(TRIM(MID(MID($A1148,FIND("/",$A1148)+1,20),FIND("/",MID($A1148,FIND("/",$A1148)+1,20))+1,20))),"")))</f>
        <v/>
      </c>
      <c r="E1148">
        <f>IF($A1148="","",IF(OR($B1148="",$C1148="",$D1148="",$B1148&lt;1300,$B1148&gt;1500,$C1148&lt;1,$C1148&gt;12,$D1148&lt;1,$D1148&gt;31),"نامعتبر",RIGHT("0000"&amp;$B1148,4)&amp;"/"&amp;RIGHT("00"&amp;$C1148,2)&amp;"/"&amp;RIGHT("00"&amp;$D1148,2)))</f>
        <v/>
      </c>
      <c r="F1148">
        <f>IF(OR($E1148="",$E1148="نامعتبر"),"",IF(Sync!$Q1145="","0000",IF(AND(ISNUMBER(Sync!$Q1145),Sync!$Q1145&gt;=0,Sync!$Q1145&lt;1),RIGHT("00"&amp;HOUR(Sync!$Q1145),2)&amp;RIGHT("00"&amp;MINUTE(Sync!$Q1145),2),IFERROR(RIGHT("00"&amp;VALUE(LEFT(Sync!$Q1145,FIND(":",Sync!$Q1145)-1)),2)&amp;RIGHT("00"&amp;VALUE(MID(Sync!$Q1145,FIND(":",Sync!$Q1145)+1,2)),2),"0000"))))</f>
        <v/>
      </c>
      <c r="G1148">
        <f>IF(OR($E1148="",$E1148="نامعتبر"),"",IF(Sync!$S1145="","",Sync!$S1145))</f>
        <v/>
      </c>
      <c r="H1148">
        <f>IF(OR($E1148="",$E1148="نامعتبر"),"",IF(Sync!$R1145="","",Sync!$R1145))</f>
        <v/>
      </c>
      <c r="I1148">
        <f>IF(OR($E1148="",$E1148="نامعتبر"),"",IF(Sync!$T1145="","",Sync!$T1145))</f>
        <v/>
      </c>
      <c r="J1148">
        <f>IF(OR($E1148="",$E1148="نامعتبر"),"",IF(Sync!$U1145="","",Sync!$U1145))</f>
        <v/>
      </c>
      <c r="K1148">
        <f>IF(OR($E1148="",$E1148="نامعتبر"),"",IF(Sync!$V1145="","",IFERROR(INDEX(SubCodes,MATCH(Sync!$V1145,SubTitles,0)),Sync!$V1145)))</f>
        <v/>
      </c>
      <c r="L1148">
        <f>IF(OR($E1148="",$E1148="نامعتبر"),"",IF(Sync!$W1145="",0,Sync!$W1145))</f>
        <v/>
      </c>
      <c r="M1148">
        <f>IF(OR($E1148="",$E1148="نامعتبر"),"",IF(Sync!$X1145="",0,Sync!$X1145))</f>
        <v/>
      </c>
      <c r="N1148">
        <f>IF(OR($E1148="",$E1148="نامعتبر"),"",IF(AND($J1148="هزینه",$K1148&lt;&gt;""),1,0))</f>
        <v/>
      </c>
      <c r="O1148">
        <f>IF($N1148=0,"",LEFT($E1148,4)&amp;MID($E1148,6,2)&amp;RIGHT($E1148,2)&amp;$F1148&amp;"|"&amp;"1"&amp;RIGHT("00000"&amp;1140,5))</f>
        <v/>
      </c>
      <c r="P1148">
        <f>IF($O1148="","",COUNTIFS(ExpSub,$K1148,ExpKey,"&lt;"&amp;$O1148)+1)</f>
        <v/>
      </c>
      <c r="Q1148">
        <f>IF($P1148="","",$K1148&amp;"|"&amp;RIGHT("000000"&amp;$P1148,6))</f>
        <v/>
      </c>
    </row>
    <row r="1149">
      <c r="A1149">
        <f>IF(Sync!$P1146="","",Sync!$P1146)</f>
        <v/>
      </c>
      <c r="B1149">
        <f>IF($A1149="","",IF(ISNUMBER($A1149),IF(AND($A1149&gt;=10000101,$A1149&lt;=99991231),INT($A1149/10000),""),IFERROR(VALUE(TRIM(LEFT($A1149,FIND("/",$A1149)-1))),"")))</f>
        <v/>
      </c>
      <c r="C1149">
        <f>IF(OR($A1149="",$B1149=""),"",IF(ISNUMBER($A1149),INT(MOD($A1149,10000)/100),IFERROR(VALUE(TRIM(LEFT(MID($A1149,FIND("/",$A1149)+1,20),FIND("/",MID($A1149,FIND("/",$A1149)+1,20))-1))),"")))</f>
        <v/>
      </c>
      <c r="D1149">
        <f>IF(OR($A1149="",$B1149=""),"",IF(ISNUMBER($A1149),MOD($A1149,100),IFERROR(VALUE(TRIM(MID(MID($A1149,FIND("/",$A1149)+1,20),FIND("/",MID($A1149,FIND("/",$A1149)+1,20))+1,20))),"")))</f>
        <v/>
      </c>
      <c r="E1149">
        <f>IF($A1149="","",IF(OR($B1149="",$C1149="",$D1149="",$B1149&lt;1300,$B1149&gt;1500,$C1149&lt;1,$C1149&gt;12,$D1149&lt;1,$D1149&gt;31),"نامعتبر",RIGHT("0000"&amp;$B1149,4)&amp;"/"&amp;RIGHT("00"&amp;$C1149,2)&amp;"/"&amp;RIGHT("00"&amp;$D1149,2)))</f>
        <v/>
      </c>
      <c r="F1149">
        <f>IF(OR($E1149="",$E1149="نامعتبر"),"",IF(Sync!$Q1146="","0000",IF(AND(ISNUMBER(Sync!$Q1146),Sync!$Q1146&gt;=0,Sync!$Q1146&lt;1),RIGHT("00"&amp;HOUR(Sync!$Q1146),2)&amp;RIGHT("00"&amp;MINUTE(Sync!$Q1146),2),IFERROR(RIGHT("00"&amp;VALUE(LEFT(Sync!$Q1146,FIND(":",Sync!$Q1146)-1)),2)&amp;RIGHT("00"&amp;VALUE(MID(Sync!$Q1146,FIND(":",Sync!$Q1146)+1,2)),2),"0000"))))</f>
        <v/>
      </c>
      <c r="G1149">
        <f>IF(OR($E1149="",$E1149="نامعتبر"),"",IF(Sync!$S1146="","",Sync!$S1146))</f>
        <v/>
      </c>
      <c r="H1149">
        <f>IF(OR($E1149="",$E1149="نامعتبر"),"",IF(Sync!$R1146="","",Sync!$R1146))</f>
        <v/>
      </c>
      <c r="I1149">
        <f>IF(OR($E1149="",$E1149="نامعتبر"),"",IF(Sync!$T1146="","",Sync!$T1146))</f>
        <v/>
      </c>
      <c r="J1149">
        <f>IF(OR($E1149="",$E1149="نامعتبر"),"",IF(Sync!$U1146="","",Sync!$U1146))</f>
        <v/>
      </c>
      <c r="K1149">
        <f>IF(OR($E1149="",$E1149="نامعتبر"),"",IF(Sync!$V1146="","",IFERROR(INDEX(SubCodes,MATCH(Sync!$V1146,SubTitles,0)),Sync!$V1146)))</f>
        <v/>
      </c>
      <c r="L1149">
        <f>IF(OR($E1149="",$E1149="نامعتبر"),"",IF(Sync!$W1146="",0,Sync!$W1146))</f>
        <v/>
      </c>
      <c r="M1149">
        <f>IF(OR($E1149="",$E1149="نامعتبر"),"",IF(Sync!$X1146="",0,Sync!$X1146))</f>
        <v/>
      </c>
      <c r="N1149">
        <f>IF(OR($E1149="",$E1149="نامعتبر"),"",IF(AND($J1149="هزینه",$K1149&lt;&gt;""),1,0))</f>
        <v/>
      </c>
      <c r="O1149">
        <f>IF($N1149=0,"",LEFT($E1149,4)&amp;MID($E1149,6,2)&amp;RIGHT($E1149,2)&amp;$F1149&amp;"|"&amp;"1"&amp;RIGHT("00000"&amp;1141,5))</f>
        <v/>
      </c>
      <c r="P1149">
        <f>IF($O1149="","",COUNTIFS(ExpSub,$K1149,ExpKey,"&lt;"&amp;$O1149)+1)</f>
        <v/>
      </c>
      <c r="Q1149">
        <f>IF($P1149="","",$K1149&amp;"|"&amp;RIGHT("000000"&amp;$P1149,6))</f>
        <v/>
      </c>
    </row>
    <row r="1150">
      <c r="A1150">
        <f>IF(Sync!$P1147="","",Sync!$P1147)</f>
        <v/>
      </c>
      <c r="B1150">
        <f>IF($A1150="","",IF(ISNUMBER($A1150),IF(AND($A1150&gt;=10000101,$A1150&lt;=99991231),INT($A1150/10000),""),IFERROR(VALUE(TRIM(LEFT($A1150,FIND("/",$A1150)-1))),"")))</f>
        <v/>
      </c>
      <c r="C1150">
        <f>IF(OR($A1150="",$B1150=""),"",IF(ISNUMBER($A1150),INT(MOD($A1150,10000)/100),IFERROR(VALUE(TRIM(LEFT(MID($A1150,FIND("/",$A1150)+1,20),FIND("/",MID($A1150,FIND("/",$A1150)+1,20))-1))),"")))</f>
        <v/>
      </c>
      <c r="D1150">
        <f>IF(OR($A1150="",$B1150=""),"",IF(ISNUMBER($A1150),MOD($A1150,100),IFERROR(VALUE(TRIM(MID(MID($A1150,FIND("/",$A1150)+1,20),FIND("/",MID($A1150,FIND("/",$A1150)+1,20))+1,20))),"")))</f>
        <v/>
      </c>
      <c r="E1150">
        <f>IF($A1150="","",IF(OR($B1150="",$C1150="",$D1150="",$B1150&lt;1300,$B1150&gt;1500,$C1150&lt;1,$C1150&gt;12,$D1150&lt;1,$D1150&gt;31),"نامعتبر",RIGHT("0000"&amp;$B1150,4)&amp;"/"&amp;RIGHT("00"&amp;$C1150,2)&amp;"/"&amp;RIGHT("00"&amp;$D1150,2)))</f>
        <v/>
      </c>
      <c r="F1150">
        <f>IF(OR($E1150="",$E1150="نامعتبر"),"",IF(Sync!$Q1147="","0000",IF(AND(ISNUMBER(Sync!$Q1147),Sync!$Q1147&gt;=0,Sync!$Q1147&lt;1),RIGHT("00"&amp;HOUR(Sync!$Q1147),2)&amp;RIGHT("00"&amp;MINUTE(Sync!$Q1147),2),IFERROR(RIGHT("00"&amp;VALUE(LEFT(Sync!$Q1147,FIND(":",Sync!$Q1147)-1)),2)&amp;RIGHT("00"&amp;VALUE(MID(Sync!$Q1147,FIND(":",Sync!$Q1147)+1,2)),2),"0000"))))</f>
        <v/>
      </c>
      <c r="G1150">
        <f>IF(OR($E1150="",$E1150="نامعتبر"),"",IF(Sync!$S1147="","",Sync!$S1147))</f>
        <v/>
      </c>
      <c r="H1150">
        <f>IF(OR($E1150="",$E1150="نامعتبر"),"",IF(Sync!$R1147="","",Sync!$R1147))</f>
        <v/>
      </c>
      <c r="I1150">
        <f>IF(OR($E1150="",$E1150="نامعتبر"),"",IF(Sync!$T1147="","",Sync!$T1147))</f>
        <v/>
      </c>
      <c r="J1150">
        <f>IF(OR($E1150="",$E1150="نامعتبر"),"",IF(Sync!$U1147="","",Sync!$U1147))</f>
        <v/>
      </c>
      <c r="K1150">
        <f>IF(OR($E1150="",$E1150="نامعتبر"),"",IF(Sync!$V1147="","",IFERROR(INDEX(SubCodes,MATCH(Sync!$V1147,SubTitles,0)),Sync!$V1147)))</f>
        <v/>
      </c>
      <c r="L1150">
        <f>IF(OR($E1150="",$E1150="نامعتبر"),"",IF(Sync!$W1147="",0,Sync!$W1147))</f>
        <v/>
      </c>
      <c r="M1150">
        <f>IF(OR($E1150="",$E1150="نامعتبر"),"",IF(Sync!$X1147="",0,Sync!$X1147))</f>
        <v/>
      </c>
      <c r="N1150">
        <f>IF(OR($E1150="",$E1150="نامعتبر"),"",IF(AND($J1150="هزینه",$K1150&lt;&gt;""),1,0))</f>
        <v/>
      </c>
      <c r="O1150">
        <f>IF($N1150=0,"",LEFT($E1150,4)&amp;MID($E1150,6,2)&amp;RIGHT($E1150,2)&amp;$F1150&amp;"|"&amp;"1"&amp;RIGHT("00000"&amp;1142,5))</f>
        <v/>
      </c>
      <c r="P1150">
        <f>IF($O1150="","",COUNTIFS(ExpSub,$K1150,ExpKey,"&lt;"&amp;$O1150)+1)</f>
        <v/>
      </c>
      <c r="Q1150">
        <f>IF($P1150="","",$K1150&amp;"|"&amp;RIGHT("000000"&amp;$P1150,6))</f>
        <v/>
      </c>
    </row>
    <row r="1151">
      <c r="A1151">
        <f>IF(Sync!$P1148="","",Sync!$P1148)</f>
        <v/>
      </c>
      <c r="B1151">
        <f>IF($A1151="","",IF(ISNUMBER($A1151),IF(AND($A1151&gt;=10000101,$A1151&lt;=99991231),INT($A1151/10000),""),IFERROR(VALUE(TRIM(LEFT($A1151,FIND("/",$A1151)-1))),"")))</f>
        <v/>
      </c>
      <c r="C1151">
        <f>IF(OR($A1151="",$B1151=""),"",IF(ISNUMBER($A1151),INT(MOD($A1151,10000)/100),IFERROR(VALUE(TRIM(LEFT(MID($A1151,FIND("/",$A1151)+1,20),FIND("/",MID($A1151,FIND("/",$A1151)+1,20))-1))),"")))</f>
        <v/>
      </c>
      <c r="D1151">
        <f>IF(OR($A1151="",$B1151=""),"",IF(ISNUMBER($A1151),MOD($A1151,100),IFERROR(VALUE(TRIM(MID(MID($A1151,FIND("/",$A1151)+1,20),FIND("/",MID($A1151,FIND("/",$A1151)+1,20))+1,20))),"")))</f>
        <v/>
      </c>
      <c r="E1151">
        <f>IF($A1151="","",IF(OR($B1151="",$C1151="",$D1151="",$B1151&lt;1300,$B1151&gt;1500,$C1151&lt;1,$C1151&gt;12,$D1151&lt;1,$D1151&gt;31),"نامعتبر",RIGHT("0000"&amp;$B1151,4)&amp;"/"&amp;RIGHT("00"&amp;$C1151,2)&amp;"/"&amp;RIGHT("00"&amp;$D1151,2)))</f>
        <v/>
      </c>
      <c r="F1151">
        <f>IF(OR($E1151="",$E1151="نامعتبر"),"",IF(Sync!$Q1148="","0000",IF(AND(ISNUMBER(Sync!$Q1148),Sync!$Q1148&gt;=0,Sync!$Q1148&lt;1),RIGHT("00"&amp;HOUR(Sync!$Q1148),2)&amp;RIGHT("00"&amp;MINUTE(Sync!$Q1148),2),IFERROR(RIGHT("00"&amp;VALUE(LEFT(Sync!$Q1148,FIND(":",Sync!$Q1148)-1)),2)&amp;RIGHT("00"&amp;VALUE(MID(Sync!$Q1148,FIND(":",Sync!$Q1148)+1,2)),2),"0000"))))</f>
        <v/>
      </c>
      <c r="G1151">
        <f>IF(OR($E1151="",$E1151="نامعتبر"),"",IF(Sync!$S1148="","",Sync!$S1148))</f>
        <v/>
      </c>
      <c r="H1151">
        <f>IF(OR($E1151="",$E1151="نامعتبر"),"",IF(Sync!$R1148="","",Sync!$R1148))</f>
        <v/>
      </c>
      <c r="I1151">
        <f>IF(OR($E1151="",$E1151="نامعتبر"),"",IF(Sync!$T1148="","",Sync!$T1148))</f>
        <v/>
      </c>
      <c r="J1151">
        <f>IF(OR($E1151="",$E1151="نامعتبر"),"",IF(Sync!$U1148="","",Sync!$U1148))</f>
        <v/>
      </c>
      <c r="K1151">
        <f>IF(OR($E1151="",$E1151="نامعتبر"),"",IF(Sync!$V1148="","",IFERROR(INDEX(SubCodes,MATCH(Sync!$V1148,SubTitles,0)),Sync!$V1148)))</f>
        <v/>
      </c>
      <c r="L1151">
        <f>IF(OR($E1151="",$E1151="نامعتبر"),"",IF(Sync!$W1148="",0,Sync!$W1148))</f>
        <v/>
      </c>
      <c r="M1151">
        <f>IF(OR($E1151="",$E1151="نامعتبر"),"",IF(Sync!$X1148="",0,Sync!$X1148))</f>
        <v/>
      </c>
      <c r="N1151">
        <f>IF(OR($E1151="",$E1151="نامعتبر"),"",IF(AND($J1151="هزینه",$K1151&lt;&gt;""),1,0))</f>
        <v/>
      </c>
      <c r="O1151">
        <f>IF($N1151=0,"",LEFT($E1151,4)&amp;MID($E1151,6,2)&amp;RIGHT($E1151,2)&amp;$F1151&amp;"|"&amp;"1"&amp;RIGHT("00000"&amp;1143,5))</f>
        <v/>
      </c>
      <c r="P1151">
        <f>IF($O1151="","",COUNTIFS(ExpSub,$K1151,ExpKey,"&lt;"&amp;$O1151)+1)</f>
        <v/>
      </c>
      <c r="Q1151">
        <f>IF($P1151="","",$K1151&amp;"|"&amp;RIGHT("000000"&amp;$P1151,6))</f>
        <v/>
      </c>
    </row>
    <row r="1152">
      <c r="A1152">
        <f>IF(Sync!$P1149="","",Sync!$P1149)</f>
        <v/>
      </c>
      <c r="B1152">
        <f>IF($A1152="","",IF(ISNUMBER($A1152),IF(AND($A1152&gt;=10000101,$A1152&lt;=99991231),INT($A1152/10000),""),IFERROR(VALUE(TRIM(LEFT($A1152,FIND("/",$A1152)-1))),"")))</f>
        <v/>
      </c>
      <c r="C1152">
        <f>IF(OR($A1152="",$B1152=""),"",IF(ISNUMBER($A1152),INT(MOD($A1152,10000)/100),IFERROR(VALUE(TRIM(LEFT(MID($A1152,FIND("/",$A1152)+1,20),FIND("/",MID($A1152,FIND("/",$A1152)+1,20))-1))),"")))</f>
        <v/>
      </c>
      <c r="D1152">
        <f>IF(OR($A1152="",$B1152=""),"",IF(ISNUMBER($A1152),MOD($A1152,100),IFERROR(VALUE(TRIM(MID(MID($A1152,FIND("/",$A1152)+1,20),FIND("/",MID($A1152,FIND("/",$A1152)+1,20))+1,20))),"")))</f>
        <v/>
      </c>
      <c r="E1152">
        <f>IF($A1152="","",IF(OR($B1152="",$C1152="",$D1152="",$B1152&lt;1300,$B1152&gt;1500,$C1152&lt;1,$C1152&gt;12,$D1152&lt;1,$D1152&gt;31),"نامعتبر",RIGHT("0000"&amp;$B1152,4)&amp;"/"&amp;RIGHT("00"&amp;$C1152,2)&amp;"/"&amp;RIGHT("00"&amp;$D1152,2)))</f>
        <v/>
      </c>
      <c r="F1152">
        <f>IF(OR($E1152="",$E1152="نامعتبر"),"",IF(Sync!$Q1149="","0000",IF(AND(ISNUMBER(Sync!$Q1149),Sync!$Q1149&gt;=0,Sync!$Q1149&lt;1),RIGHT("00"&amp;HOUR(Sync!$Q1149),2)&amp;RIGHT("00"&amp;MINUTE(Sync!$Q1149),2),IFERROR(RIGHT("00"&amp;VALUE(LEFT(Sync!$Q1149,FIND(":",Sync!$Q1149)-1)),2)&amp;RIGHT("00"&amp;VALUE(MID(Sync!$Q1149,FIND(":",Sync!$Q1149)+1,2)),2),"0000"))))</f>
        <v/>
      </c>
      <c r="G1152">
        <f>IF(OR($E1152="",$E1152="نامعتبر"),"",IF(Sync!$S1149="","",Sync!$S1149))</f>
        <v/>
      </c>
      <c r="H1152">
        <f>IF(OR($E1152="",$E1152="نامعتبر"),"",IF(Sync!$R1149="","",Sync!$R1149))</f>
        <v/>
      </c>
      <c r="I1152">
        <f>IF(OR($E1152="",$E1152="نامعتبر"),"",IF(Sync!$T1149="","",Sync!$T1149))</f>
        <v/>
      </c>
      <c r="J1152">
        <f>IF(OR($E1152="",$E1152="نامعتبر"),"",IF(Sync!$U1149="","",Sync!$U1149))</f>
        <v/>
      </c>
      <c r="K1152">
        <f>IF(OR($E1152="",$E1152="نامعتبر"),"",IF(Sync!$V1149="","",IFERROR(INDEX(SubCodes,MATCH(Sync!$V1149,SubTitles,0)),Sync!$V1149)))</f>
        <v/>
      </c>
      <c r="L1152">
        <f>IF(OR($E1152="",$E1152="نامعتبر"),"",IF(Sync!$W1149="",0,Sync!$W1149))</f>
        <v/>
      </c>
      <c r="M1152">
        <f>IF(OR($E1152="",$E1152="نامعتبر"),"",IF(Sync!$X1149="",0,Sync!$X1149))</f>
        <v/>
      </c>
      <c r="N1152">
        <f>IF(OR($E1152="",$E1152="نامعتبر"),"",IF(AND($J1152="هزینه",$K1152&lt;&gt;""),1,0))</f>
        <v/>
      </c>
      <c r="O1152">
        <f>IF($N1152=0,"",LEFT($E1152,4)&amp;MID($E1152,6,2)&amp;RIGHT($E1152,2)&amp;$F1152&amp;"|"&amp;"1"&amp;RIGHT("00000"&amp;1144,5))</f>
        <v/>
      </c>
      <c r="P1152">
        <f>IF($O1152="","",COUNTIFS(ExpSub,$K1152,ExpKey,"&lt;"&amp;$O1152)+1)</f>
        <v/>
      </c>
      <c r="Q1152">
        <f>IF($P1152="","",$K1152&amp;"|"&amp;RIGHT("000000"&amp;$P1152,6))</f>
        <v/>
      </c>
    </row>
    <row r="1153">
      <c r="A1153">
        <f>IF(Sync!$P1150="","",Sync!$P1150)</f>
        <v/>
      </c>
      <c r="B1153">
        <f>IF($A1153="","",IF(ISNUMBER($A1153),IF(AND($A1153&gt;=10000101,$A1153&lt;=99991231),INT($A1153/10000),""),IFERROR(VALUE(TRIM(LEFT($A1153,FIND("/",$A1153)-1))),"")))</f>
        <v/>
      </c>
      <c r="C1153">
        <f>IF(OR($A1153="",$B1153=""),"",IF(ISNUMBER($A1153),INT(MOD($A1153,10000)/100),IFERROR(VALUE(TRIM(LEFT(MID($A1153,FIND("/",$A1153)+1,20),FIND("/",MID($A1153,FIND("/",$A1153)+1,20))-1))),"")))</f>
        <v/>
      </c>
      <c r="D1153">
        <f>IF(OR($A1153="",$B1153=""),"",IF(ISNUMBER($A1153),MOD($A1153,100),IFERROR(VALUE(TRIM(MID(MID($A1153,FIND("/",$A1153)+1,20),FIND("/",MID($A1153,FIND("/",$A1153)+1,20))+1,20))),"")))</f>
        <v/>
      </c>
      <c r="E1153">
        <f>IF($A1153="","",IF(OR($B1153="",$C1153="",$D1153="",$B1153&lt;1300,$B1153&gt;1500,$C1153&lt;1,$C1153&gt;12,$D1153&lt;1,$D1153&gt;31),"نامعتبر",RIGHT("0000"&amp;$B1153,4)&amp;"/"&amp;RIGHT("00"&amp;$C1153,2)&amp;"/"&amp;RIGHT("00"&amp;$D1153,2)))</f>
        <v/>
      </c>
      <c r="F1153">
        <f>IF(OR($E1153="",$E1153="نامعتبر"),"",IF(Sync!$Q1150="","0000",IF(AND(ISNUMBER(Sync!$Q1150),Sync!$Q1150&gt;=0,Sync!$Q1150&lt;1),RIGHT("00"&amp;HOUR(Sync!$Q1150),2)&amp;RIGHT("00"&amp;MINUTE(Sync!$Q1150),2),IFERROR(RIGHT("00"&amp;VALUE(LEFT(Sync!$Q1150,FIND(":",Sync!$Q1150)-1)),2)&amp;RIGHT("00"&amp;VALUE(MID(Sync!$Q1150,FIND(":",Sync!$Q1150)+1,2)),2),"0000"))))</f>
        <v/>
      </c>
      <c r="G1153">
        <f>IF(OR($E1153="",$E1153="نامعتبر"),"",IF(Sync!$S1150="","",Sync!$S1150))</f>
        <v/>
      </c>
      <c r="H1153">
        <f>IF(OR($E1153="",$E1153="نامعتبر"),"",IF(Sync!$R1150="","",Sync!$R1150))</f>
        <v/>
      </c>
      <c r="I1153">
        <f>IF(OR($E1153="",$E1153="نامعتبر"),"",IF(Sync!$T1150="","",Sync!$T1150))</f>
        <v/>
      </c>
      <c r="J1153">
        <f>IF(OR($E1153="",$E1153="نامعتبر"),"",IF(Sync!$U1150="","",Sync!$U1150))</f>
        <v/>
      </c>
      <c r="K1153">
        <f>IF(OR($E1153="",$E1153="نامعتبر"),"",IF(Sync!$V1150="","",IFERROR(INDEX(SubCodes,MATCH(Sync!$V1150,SubTitles,0)),Sync!$V1150)))</f>
        <v/>
      </c>
      <c r="L1153">
        <f>IF(OR($E1153="",$E1153="نامعتبر"),"",IF(Sync!$W1150="",0,Sync!$W1150))</f>
        <v/>
      </c>
      <c r="M1153">
        <f>IF(OR($E1153="",$E1153="نامعتبر"),"",IF(Sync!$X1150="",0,Sync!$X1150))</f>
        <v/>
      </c>
      <c r="N1153">
        <f>IF(OR($E1153="",$E1153="نامعتبر"),"",IF(AND($J1153="هزینه",$K1153&lt;&gt;""),1,0))</f>
        <v/>
      </c>
      <c r="O1153">
        <f>IF($N1153=0,"",LEFT($E1153,4)&amp;MID($E1153,6,2)&amp;RIGHT($E1153,2)&amp;$F1153&amp;"|"&amp;"1"&amp;RIGHT("00000"&amp;1145,5))</f>
        <v/>
      </c>
      <c r="P1153">
        <f>IF($O1153="","",COUNTIFS(ExpSub,$K1153,ExpKey,"&lt;"&amp;$O1153)+1)</f>
        <v/>
      </c>
      <c r="Q1153">
        <f>IF($P1153="","",$K1153&amp;"|"&amp;RIGHT("000000"&amp;$P1153,6))</f>
        <v/>
      </c>
    </row>
    <row r="1154">
      <c r="A1154">
        <f>IF(Sync!$P1151="","",Sync!$P1151)</f>
        <v/>
      </c>
      <c r="B1154">
        <f>IF($A1154="","",IF(ISNUMBER($A1154),IF(AND($A1154&gt;=10000101,$A1154&lt;=99991231),INT($A1154/10000),""),IFERROR(VALUE(TRIM(LEFT($A1154,FIND("/",$A1154)-1))),"")))</f>
        <v/>
      </c>
      <c r="C1154">
        <f>IF(OR($A1154="",$B1154=""),"",IF(ISNUMBER($A1154),INT(MOD($A1154,10000)/100),IFERROR(VALUE(TRIM(LEFT(MID($A1154,FIND("/",$A1154)+1,20),FIND("/",MID($A1154,FIND("/",$A1154)+1,20))-1))),"")))</f>
        <v/>
      </c>
      <c r="D1154">
        <f>IF(OR($A1154="",$B1154=""),"",IF(ISNUMBER($A1154),MOD($A1154,100),IFERROR(VALUE(TRIM(MID(MID($A1154,FIND("/",$A1154)+1,20),FIND("/",MID($A1154,FIND("/",$A1154)+1,20))+1,20))),"")))</f>
        <v/>
      </c>
      <c r="E1154">
        <f>IF($A1154="","",IF(OR($B1154="",$C1154="",$D1154="",$B1154&lt;1300,$B1154&gt;1500,$C1154&lt;1,$C1154&gt;12,$D1154&lt;1,$D1154&gt;31),"نامعتبر",RIGHT("0000"&amp;$B1154,4)&amp;"/"&amp;RIGHT("00"&amp;$C1154,2)&amp;"/"&amp;RIGHT("00"&amp;$D1154,2)))</f>
        <v/>
      </c>
      <c r="F1154">
        <f>IF(OR($E1154="",$E1154="نامعتبر"),"",IF(Sync!$Q1151="","0000",IF(AND(ISNUMBER(Sync!$Q1151),Sync!$Q1151&gt;=0,Sync!$Q1151&lt;1),RIGHT("00"&amp;HOUR(Sync!$Q1151),2)&amp;RIGHT("00"&amp;MINUTE(Sync!$Q1151),2),IFERROR(RIGHT("00"&amp;VALUE(LEFT(Sync!$Q1151,FIND(":",Sync!$Q1151)-1)),2)&amp;RIGHT("00"&amp;VALUE(MID(Sync!$Q1151,FIND(":",Sync!$Q1151)+1,2)),2),"0000"))))</f>
        <v/>
      </c>
      <c r="G1154">
        <f>IF(OR($E1154="",$E1154="نامعتبر"),"",IF(Sync!$S1151="","",Sync!$S1151))</f>
        <v/>
      </c>
      <c r="H1154">
        <f>IF(OR($E1154="",$E1154="نامعتبر"),"",IF(Sync!$R1151="","",Sync!$R1151))</f>
        <v/>
      </c>
      <c r="I1154">
        <f>IF(OR($E1154="",$E1154="نامعتبر"),"",IF(Sync!$T1151="","",Sync!$T1151))</f>
        <v/>
      </c>
      <c r="J1154">
        <f>IF(OR($E1154="",$E1154="نامعتبر"),"",IF(Sync!$U1151="","",Sync!$U1151))</f>
        <v/>
      </c>
      <c r="K1154">
        <f>IF(OR($E1154="",$E1154="نامعتبر"),"",IF(Sync!$V1151="","",IFERROR(INDEX(SubCodes,MATCH(Sync!$V1151,SubTitles,0)),Sync!$V1151)))</f>
        <v/>
      </c>
      <c r="L1154">
        <f>IF(OR($E1154="",$E1154="نامعتبر"),"",IF(Sync!$W1151="",0,Sync!$W1151))</f>
        <v/>
      </c>
      <c r="M1154">
        <f>IF(OR($E1154="",$E1154="نامعتبر"),"",IF(Sync!$X1151="",0,Sync!$X1151))</f>
        <v/>
      </c>
      <c r="N1154">
        <f>IF(OR($E1154="",$E1154="نامعتبر"),"",IF(AND($J1154="هزینه",$K1154&lt;&gt;""),1,0))</f>
        <v/>
      </c>
      <c r="O1154">
        <f>IF($N1154=0,"",LEFT($E1154,4)&amp;MID($E1154,6,2)&amp;RIGHT($E1154,2)&amp;$F1154&amp;"|"&amp;"1"&amp;RIGHT("00000"&amp;1146,5))</f>
        <v/>
      </c>
      <c r="P1154">
        <f>IF($O1154="","",COUNTIFS(ExpSub,$K1154,ExpKey,"&lt;"&amp;$O1154)+1)</f>
        <v/>
      </c>
      <c r="Q1154">
        <f>IF($P1154="","",$K1154&amp;"|"&amp;RIGHT("000000"&amp;$P1154,6))</f>
        <v/>
      </c>
    </row>
    <row r="1155">
      <c r="A1155">
        <f>IF(Sync!$P1152="","",Sync!$P1152)</f>
        <v/>
      </c>
      <c r="B1155">
        <f>IF($A1155="","",IF(ISNUMBER($A1155),IF(AND($A1155&gt;=10000101,$A1155&lt;=99991231),INT($A1155/10000),""),IFERROR(VALUE(TRIM(LEFT($A1155,FIND("/",$A1155)-1))),"")))</f>
        <v/>
      </c>
      <c r="C1155">
        <f>IF(OR($A1155="",$B1155=""),"",IF(ISNUMBER($A1155),INT(MOD($A1155,10000)/100),IFERROR(VALUE(TRIM(LEFT(MID($A1155,FIND("/",$A1155)+1,20),FIND("/",MID($A1155,FIND("/",$A1155)+1,20))-1))),"")))</f>
        <v/>
      </c>
      <c r="D1155">
        <f>IF(OR($A1155="",$B1155=""),"",IF(ISNUMBER($A1155),MOD($A1155,100),IFERROR(VALUE(TRIM(MID(MID($A1155,FIND("/",$A1155)+1,20),FIND("/",MID($A1155,FIND("/",$A1155)+1,20))+1,20))),"")))</f>
        <v/>
      </c>
      <c r="E1155">
        <f>IF($A1155="","",IF(OR($B1155="",$C1155="",$D1155="",$B1155&lt;1300,$B1155&gt;1500,$C1155&lt;1,$C1155&gt;12,$D1155&lt;1,$D1155&gt;31),"نامعتبر",RIGHT("0000"&amp;$B1155,4)&amp;"/"&amp;RIGHT("00"&amp;$C1155,2)&amp;"/"&amp;RIGHT("00"&amp;$D1155,2)))</f>
        <v/>
      </c>
      <c r="F1155">
        <f>IF(OR($E1155="",$E1155="نامعتبر"),"",IF(Sync!$Q1152="","0000",IF(AND(ISNUMBER(Sync!$Q1152),Sync!$Q1152&gt;=0,Sync!$Q1152&lt;1),RIGHT("00"&amp;HOUR(Sync!$Q1152),2)&amp;RIGHT("00"&amp;MINUTE(Sync!$Q1152),2),IFERROR(RIGHT("00"&amp;VALUE(LEFT(Sync!$Q1152,FIND(":",Sync!$Q1152)-1)),2)&amp;RIGHT("00"&amp;VALUE(MID(Sync!$Q1152,FIND(":",Sync!$Q1152)+1,2)),2),"0000"))))</f>
        <v/>
      </c>
      <c r="G1155">
        <f>IF(OR($E1155="",$E1155="نامعتبر"),"",IF(Sync!$S1152="","",Sync!$S1152))</f>
        <v/>
      </c>
      <c r="H1155">
        <f>IF(OR($E1155="",$E1155="نامعتبر"),"",IF(Sync!$R1152="","",Sync!$R1152))</f>
        <v/>
      </c>
      <c r="I1155">
        <f>IF(OR($E1155="",$E1155="نامعتبر"),"",IF(Sync!$T1152="","",Sync!$T1152))</f>
        <v/>
      </c>
      <c r="J1155">
        <f>IF(OR($E1155="",$E1155="نامعتبر"),"",IF(Sync!$U1152="","",Sync!$U1152))</f>
        <v/>
      </c>
      <c r="K1155">
        <f>IF(OR($E1155="",$E1155="نامعتبر"),"",IF(Sync!$V1152="","",IFERROR(INDEX(SubCodes,MATCH(Sync!$V1152,SubTitles,0)),Sync!$V1152)))</f>
        <v/>
      </c>
      <c r="L1155">
        <f>IF(OR($E1155="",$E1155="نامعتبر"),"",IF(Sync!$W1152="",0,Sync!$W1152))</f>
        <v/>
      </c>
      <c r="M1155">
        <f>IF(OR($E1155="",$E1155="نامعتبر"),"",IF(Sync!$X1152="",0,Sync!$X1152))</f>
        <v/>
      </c>
      <c r="N1155">
        <f>IF(OR($E1155="",$E1155="نامعتبر"),"",IF(AND($J1155="هزینه",$K1155&lt;&gt;""),1,0))</f>
        <v/>
      </c>
      <c r="O1155">
        <f>IF($N1155=0,"",LEFT($E1155,4)&amp;MID($E1155,6,2)&amp;RIGHT($E1155,2)&amp;$F1155&amp;"|"&amp;"1"&amp;RIGHT("00000"&amp;1147,5))</f>
        <v/>
      </c>
      <c r="P1155">
        <f>IF($O1155="","",COUNTIFS(ExpSub,$K1155,ExpKey,"&lt;"&amp;$O1155)+1)</f>
        <v/>
      </c>
      <c r="Q1155">
        <f>IF($P1155="","",$K1155&amp;"|"&amp;RIGHT("000000"&amp;$P1155,6))</f>
        <v/>
      </c>
    </row>
    <row r="1156">
      <c r="A1156">
        <f>IF(Sync!$P1153="","",Sync!$P1153)</f>
        <v/>
      </c>
      <c r="B1156">
        <f>IF($A1156="","",IF(ISNUMBER($A1156),IF(AND($A1156&gt;=10000101,$A1156&lt;=99991231),INT($A1156/10000),""),IFERROR(VALUE(TRIM(LEFT($A1156,FIND("/",$A1156)-1))),"")))</f>
        <v/>
      </c>
      <c r="C1156">
        <f>IF(OR($A1156="",$B1156=""),"",IF(ISNUMBER($A1156),INT(MOD($A1156,10000)/100),IFERROR(VALUE(TRIM(LEFT(MID($A1156,FIND("/",$A1156)+1,20),FIND("/",MID($A1156,FIND("/",$A1156)+1,20))-1))),"")))</f>
        <v/>
      </c>
      <c r="D1156">
        <f>IF(OR($A1156="",$B1156=""),"",IF(ISNUMBER($A1156),MOD($A1156,100),IFERROR(VALUE(TRIM(MID(MID($A1156,FIND("/",$A1156)+1,20),FIND("/",MID($A1156,FIND("/",$A1156)+1,20))+1,20))),"")))</f>
        <v/>
      </c>
      <c r="E1156">
        <f>IF($A1156="","",IF(OR($B1156="",$C1156="",$D1156="",$B1156&lt;1300,$B1156&gt;1500,$C1156&lt;1,$C1156&gt;12,$D1156&lt;1,$D1156&gt;31),"نامعتبر",RIGHT("0000"&amp;$B1156,4)&amp;"/"&amp;RIGHT("00"&amp;$C1156,2)&amp;"/"&amp;RIGHT("00"&amp;$D1156,2)))</f>
        <v/>
      </c>
      <c r="F1156">
        <f>IF(OR($E1156="",$E1156="نامعتبر"),"",IF(Sync!$Q1153="","0000",IF(AND(ISNUMBER(Sync!$Q1153),Sync!$Q1153&gt;=0,Sync!$Q1153&lt;1),RIGHT("00"&amp;HOUR(Sync!$Q1153),2)&amp;RIGHT("00"&amp;MINUTE(Sync!$Q1153),2),IFERROR(RIGHT("00"&amp;VALUE(LEFT(Sync!$Q1153,FIND(":",Sync!$Q1153)-1)),2)&amp;RIGHT("00"&amp;VALUE(MID(Sync!$Q1153,FIND(":",Sync!$Q1153)+1,2)),2),"0000"))))</f>
        <v/>
      </c>
      <c r="G1156">
        <f>IF(OR($E1156="",$E1156="نامعتبر"),"",IF(Sync!$S1153="","",Sync!$S1153))</f>
        <v/>
      </c>
      <c r="H1156">
        <f>IF(OR($E1156="",$E1156="نامعتبر"),"",IF(Sync!$R1153="","",Sync!$R1153))</f>
        <v/>
      </c>
      <c r="I1156">
        <f>IF(OR($E1156="",$E1156="نامعتبر"),"",IF(Sync!$T1153="","",Sync!$T1153))</f>
        <v/>
      </c>
      <c r="J1156">
        <f>IF(OR($E1156="",$E1156="نامعتبر"),"",IF(Sync!$U1153="","",Sync!$U1153))</f>
        <v/>
      </c>
      <c r="K1156">
        <f>IF(OR($E1156="",$E1156="نامعتبر"),"",IF(Sync!$V1153="","",IFERROR(INDEX(SubCodes,MATCH(Sync!$V1153,SubTitles,0)),Sync!$V1153)))</f>
        <v/>
      </c>
      <c r="L1156">
        <f>IF(OR($E1156="",$E1156="نامعتبر"),"",IF(Sync!$W1153="",0,Sync!$W1153))</f>
        <v/>
      </c>
      <c r="M1156">
        <f>IF(OR($E1156="",$E1156="نامعتبر"),"",IF(Sync!$X1153="",0,Sync!$X1153))</f>
        <v/>
      </c>
      <c r="N1156">
        <f>IF(OR($E1156="",$E1156="نامعتبر"),"",IF(AND($J1156="هزینه",$K1156&lt;&gt;""),1,0))</f>
        <v/>
      </c>
      <c r="O1156">
        <f>IF($N1156=0,"",LEFT($E1156,4)&amp;MID($E1156,6,2)&amp;RIGHT($E1156,2)&amp;$F1156&amp;"|"&amp;"1"&amp;RIGHT("00000"&amp;1148,5))</f>
        <v/>
      </c>
      <c r="P1156">
        <f>IF($O1156="","",COUNTIFS(ExpSub,$K1156,ExpKey,"&lt;"&amp;$O1156)+1)</f>
        <v/>
      </c>
      <c r="Q1156">
        <f>IF($P1156="","",$K1156&amp;"|"&amp;RIGHT("000000"&amp;$P1156,6))</f>
        <v/>
      </c>
    </row>
    <row r="1157">
      <c r="A1157">
        <f>IF(Sync!$P1154="","",Sync!$P1154)</f>
        <v/>
      </c>
      <c r="B1157">
        <f>IF($A1157="","",IF(ISNUMBER($A1157),IF(AND($A1157&gt;=10000101,$A1157&lt;=99991231),INT($A1157/10000),""),IFERROR(VALUE(TRIM(LEFT($A1157,FIND("/",$A1157)-1))),"")))</f>
        <v/>
      </c>
      <c r="C1157">
        <f>IF(OR($A1157="",$B1157=""),"",IF(ISNUMBER($A1157),INT(MOD($A1157,10000)/100),IFERROR(VALUE(TRIM(LEFT(MID($A1157,FIND("/",$A1157)+1,20),FIND("/",MID($A1157,FIND("/",$A1157)+1,20))-1))),"")))</f>
        <v/>
      </c>
      <c r="D1157">
        <f>IF(OR($A1157="",$B1157=""),"",IF(ISNUMBER($A1157),MOD($A1157,100),IFERROR(VALUE(TRIM(MID(MID($A1157,FIND("/",$A1157)+1,20),FIND("/",MID($A1157,FIND("/",$A1157)+1,20))+1,20))),"")))</f>
        <v/>
      </c>
      <c r="E1157">
        <f>IF($A1157="","",IF(OR($B1157="",$C1157="",$D1157="",$B1157&lt;1300,$B1157&gt;1500,$C1157&lt;1,$C1157&gt;12,$D1157&lt;1,$D1157&gt;31),"نامعتبر",RIGHT("0000"&amp;$B1157,4)&amp;"/"&amp;RIGHT("00"&amp;$C1157,2)&amp;"/"&amp;RIGHT("00"&amp;$D1157,2)))</f>
        <v/>
      </c>
      <c r="F1157">
        <f>IF(OR($E1157="",$E1157="نامعتبر"),"",IF(Sync!$Q1154="","0000",IF(AND(ISNUMBER(Sync!$Q1154),Sync!$Q1154&gt;=0,Sync!$Q1154&lt;1),RIGHT("00"&amp;HOUR(Sync!$Q1154),2)&amp;RIGHT("00"&amp;MINUTE(Sync!$Q1154),2),IFERROR(RIGHT("00"&amp;VALUE(LEFT(Sync!$Q1154,FIND(":",Sync!$Q1154)-1)),2)&amp;RIGHT("00"&amp;VALUE(MID(Sync!$Q1154,FIND(":",Sync!$Q1154)+1,2)),2),"0000"))))</f>
        <v/>
      </c>
      <c r="G1157">
        <f>IF(OR($E1157="",$E1157="نامعتبر"),"",IF(Sync!$S1154="","",Sync!$S1154))</f>
        <v/>
      </c>
      <c r="H1157">
        <f>IF(OR($E1157="",$E1157="نامعتبر"),"",IF(Sync!$R1154="","",Sync!$R1154))</f>
        <v/>
      </c>
      <c r="I1157">
        <f>IF(OR($E1157="",$E1157="نامعتبر"),"",IF(Sync!$T1154="","",Sync!$T1154))</f>
        <v/>
      </c>
      <c r="J1157">
        <f>IF(OR($E1157="",$E1157="نامعتبر"),"",IF(Sync!$U1154="","",Sync!$U1154))</f>
        <v/>
      </c>
      <c r="K1157">
        <f>IF(OR($E1157="",$E1157="نامعتبر"),"",IF(Sync!$V1154="","",IFERROR(INDEX(SubCodes,MATCH(Sync!$V1154,SubTitles,0)),Sync!$V1154)))</f>
        <v/>
      </c>
      <c r="L1157">
        <f>IF(OR($E1157="",$E1157="نامعتبر"),"",IF(Sync!$W1154="",0,Sync!$W1154))</f>
        <v/>
      </c>
      <c r="M1157">
        <f>IF(OR($E1157="",$E1157="نامعتبر"),"",IF(Sync!$X1154="",0,Sync!$X1154))</f>
        <v/>
      </c>
      <c r="N1157">
        <f>IF(OR($E1157="",$E1157="نامعتبر"),"",IF(AND($J1157="هزینه",$K1157&lt;&gt;""),1,0))</f>
        <v/>
      </c>
      <c r="O1157">
        <f>IF($N1157=0,"",LEFT($E1157,4)&amp;MID($E1157,6,2)&amp;RIGHT($E1157,2)&amp;$F1157&amp;"|"&amp;"1"&amp;RIGHT("00000"&amp;1149,5))</f>
        <v/>
      </c>
      <c r="P1157">
        <f>IF($O1157="","",COUNTIFS(ExpSub,$K1157,ExpKey,"&lt;"&amp;$O1157)+1)</f>
        <v/>
      </c>
      <c r="Q1157">
        <f>IF($P1157="","",$K1157&amp;"|"&amp;RIGHT("000000"&amp;$P1157,6))</f>
        <v/>
      </c>
    </row>
    <row r="1158">
      <c r="A1158">
        <f>IF(Sync!$P1155="","",Sync!$P1155)</f>
        <v/>
      </c>
      <c r="B1158">
        <f>IF($A1158="","",IF(ISNUMBER($A1158),IF(AND($A1158&gt;=10000101,$A1158&lt;=99991231),INT($A1158/10000),""),IFERROR(VALUE(TRIM(LEFT($A1158,FIND("/",$A1158)-1))),"")))</f>
        <v/>
      </c>
      <c r="C1158">
        <f>IF(OR($A1158="",$B1158=""),"",IF(ISNUMBER($A1158),INT(MOD($A1158,10000)/100),IFERROR(VALUE(TRIM(LEFT(MID($A1158,FIND("/",$A1158)+1,20),FIND("/",MID($A1158,FIND("/",$A1158)+1,20))-1))),"")))</f>
        <v/>
      </c>
      <c r="D1158">
        <f>IF(OR($A1158="",$B1158=""),"",IF(ISNUMBER($A1158),MOD($A1158,100),IFERROR(VALUE(TRIM(MID(MID($A1158,FIND("/",$A1158)+1,20),FIND("/",MID($A1158,FIND("/",$A1158)+1,20))+1,20))),"")))</f>
        <v/>
      </c>
      <c r="E1158">
        <f>IF($A1158="","",IF(OR($B1158="",$C1158="",$D1158="",$B1158&lt;1300,$B1158&gt;1500,$C1158&lt;1,$C1158&gt;12,$D1158&lt;1,$D1158&gt;31),"نامعتبر",RIGHT("0000"&amp;$B1158,4)&amp;"/"&amp;RIGHT("00"&amp;$C1158,2)&amp;"/"&amp;RIGHT("00"&amp;$D1158,2)))</f>
        <v/>
      </c>
      <c r="F1158">
        <f>IF(OR($E1158="",$E1158="نامعتبر"),"",IF(Sync!$Q1155="","0000",IF(AND(ISNUMBER(Sync!$Q1155),Sync!$Q1155&gt;=0,Sync!$Q1155&lt;1),RIGHT("00"&amp;HOUR(Sync!$Q1155),2)&amp;RIGHT("00"&amp;MINUTE(Sync!$Q1155),2),IFERROR(RIGHT("00"&amp;VALUE(LEFT(Sync!$Q1155,FIND(":",Sync!$Q1155)-1)),2)&amp;RIGHT("00"&amp;VALUE(MID(Sync!$Q1155,FIND(":",Sync!$Q1155)+1,2)),2),"0000"))))</f>
        <v/>
      </c>
      <c r="G1158">
        <f>IF(OR($E1158="",$E1158="نامعتبر"),"",IF(Sync!$S1155="","",Sync!$S1155))</f>
        <v/>
      </c>
      <c r="H1158">
        <f>IF(OR($E1158="",$E1158="نامعتبر"),"",IF(Sync!$R1155="","",Sync!$R1155))</f>
        <v/>
      </c>
      <c r="I1158">
        <f>IF(OR($E1158="",$E1158="نامعتبر"),"",IF(Sync!$T1155="","",Sync!$T1155))</f>
        <v/>
      </c>
      <c r="J1158">
        <f>IF(OR($E1158="",$E1158="نامعتبر"),"",IF(Sync!$U1155="","",Sync!$U1155))</f>
        <v/>
      </c>
      <c r="K1158">
        <f>IF(OR($E1158="",$E1158="نامعتبر"),"",IF(Sync!$V1155="","",IFERROR(INDEX(SubCodes,MATCH(Sync!$V1155,SubTitles,0)),Sync!$V1155)))</f>
        <v/>
      </c>
      <c r="L1158">
        <f>IF(OR($E1158="",$E1158="نامعتبر"),"",IF(Sync!$W1155="",0,Sync!$W1155))</f>
        <v/>
      </c>
      <c r="M1158">
        <f>IF(OR($E1158="",$E1158="نامعتبر"),"",IF(Sync!$X1155="",0,Sync!$X1155))</f>
        <v/>
      </c>
      <c r="N1158">
        <f>IF(OR($E1158="",$E1158="نامعتبر"),"",IF(AND($J1158="هزینه",$K1158&lt;&gt;""),1,0))</f>
        <v/>
      </c>
      <c r="O1158">
        <f>IF($N1158=0,"",LEFT($E1158,4)&amp;MID($E1158,6,2)&amp;RIGHT($E1158,2)&amp;$F1158&amp;"|"&amp;"1"&amp;RIGHT("00000"&amp;1150,5))</f>
        <v/>
      </c>
      <c r="P1158">
        <f>IF($O1158="","",COUNTIFS(ExpSub,$K1158,ExpKey,"&lt;"&amp;$O1158)+1)</f>
        <v/>
      </c>
      <c r="Q1158">
        <f>IF($P1158="","",$K1158&amp;"|"&amp;RIGHT("000000"&amp;$P1158,6))</f>
        <v/>
      </c>
    </row>
    <row r="1159">
      <c r="A1159">
        <f>IF(Sync!$P1156="","",Sync!$P1156)</f>
        <v/>
      </c>
      <c r="B1159">
        <f>IF($A1159="","",IF(ISNUMBER($A1159),IF(AND($A1159&gt;=10000101,$A1159&lt;=99991231),INT($A1159/10000),""),IFERROR(VALUE(TRIM(LEFT($A1159,FIND("/",$A1159)-1))),"")))</f>
        <v/>
      </c>
      <c r="C1159">
        <f>IF(OR($A1159="",$B1159=""),"",IF(ISNUMBER($A1159),INT(MOD($A1159,10000)/100),IFERROR(VALUE(TRIM(LEFT(MID($A1159,FIND("/",$A1159)+1,20),FIND("/",MID($A1159,FIND("/",$A1159)+1,20))-1))),"")))</f>
        <v/>
      </c>
      <c r="D1159">
        <f>IF(OR($A1159="",$B1159=""),"",IF(ISNUMBER($A1159),MOD($A1159,100),IFERROR(VALUE(TRIM(MID(MID($A1159,FIND("/",$A1159)+1,20),FIND("/",MID($A1159,FIND("/",$A1159)+1,20))+1,20))),"")))</f>
        <v/>
      </c>
      <c r="E1159">
        <f>IF($A1159="","",IF(OR($B1159="",$C1159="",$D1159="",$B1159&lt;1300,$B1159&gt;1500,$C1159&lt;1,$C1159&gt;12,$D1159&lt;1,$D1159&gt;31),"نامعتبر",RIGHT("0000"&amp;$B1159,4)&amp;"/"&amp;RIGHT("00"&amp;$C1159,2)&amp;"/"&amp;RIGHT("00"&amp;$D1159,2)))</f>
        <v/>
      </c>
      <c r="F1159">
        <f>IF(OR($E1159="",$E1159="نامعتبر"),"",IF(Sync!$Q1156="","0000",IF(AND(ISNUMBER(Sync!$Q1156),Sync!$Q1156&gt;=0,Sync!$Q1156&lt;1),RIGHT("00"&amp;HOUR(Sync!$Q1156),2)&amp;RIGHT("00"&amp;MINUTE(Sync!$Q1156),2),IFERROR(RIGHT("00"&amp;VALUE(LEFT(Sync!$Q1156,FIND(":",Sync!$Q1156)-1)),2)&amp;RIGHT("00"&amp;VALUE(MID(Sync!$Q1156,FIND(":",Sync!$Q1156)+1,2)),2),"0000"))))</f>
        <v/>
      </c>
      <c r="G1159">
        <f>IF(OR($E1159="",$E1159="نامعتبر"),"",IF(Sync!$S1156="","",Sync!$S1156))</f>
        <v/>
      </c>
      <c r="H1159">
        <f>IF(OR($E1159="",$E1159="نامعتبر"),"",IF(Sync!$R1156="","",Sync!$R1156))</f>
        <v/>
      </c>
      <c r="I1159">
        <f>IF(OR($E1159="",$E1159="نامعتبر"),"",IF(Sync!$T1156="","",Sync!$T1156))</f>
        <v/>
      </c>
      <c r="J1159">
        <f>IF(OR($E1159="",$E1159="نامعتبر"),"",IF(Sync!$U1156="","",Sync!$U1156))</f>
        <v/>
      </c>
      <c r="K1159">
        <f>IF(OR($E1159="",$E1159="نامعتبر"),"",IF(Sync!$V1156="","",IFERROR(INDEX(SubCodes,MATCH(Sync!$V1156,SubTitles,0)),Sync!$V1156)))</f>
        <v/>
      </c>
      <c r="L1159">
        <f>IF(OR($E1159="",$E1159="نامعتبر"),"",IF(Sync!$W1156="",0,Sync!$W1156))</f>
        <v/>
      </c>
      <c r="M1159">
        <f>IF(OR($E1159="",$E1159="نامعتبر"),"",IF(Sync!$X1156="",0,Sync!$X1156))</f>
        <v/>
      </c>
      <c r="N1159">
        <f>IF(OR($E1159="",$E1159="نامعتبر"),"",IF(AND($J1159="هزینه",$K1159&lt;&gt;""),1,0))</f>
        <v/>
      </c>
      <c r="O1159">
        <f>IF($N1159=0,"",LEFT($E1159,4)&amp;MID($E1159,6,2)&amp;RIGHT($E1159,2)&amp;$F1159&amp;"|"&amp;"1"&amp;RIGHT("00000"&amp;1151,5))</f>
        <v/>
      </c>
      <c r="P1159">
        <f>IF($O1159="","",COUNTIFS(ExpSub,$K1159,ExpKey,"&lt;"&amp;$O1159)+1)</f>
        <v/>
      </c>
      <c r="Q1159">
        <f>IF($P1159="","",$K1159&amp;"|"&amp;RIGHT("000000"&amp;$P1159,6))</f>
        <v/>
      </c>
    </row>
    <row r="1160">
      <c r="A1160">
        <f>IF(Sync!$P1157="","",Sync!$P1157)</f>
        <v/>
      </c>
      <c r="B1160">
        <f>IF($A1160="","",IF(ISNUMBER($A1160),IF(AND($A1160&gt;=10000101,$A1160&lt;=99991231),INT($A1160/10000),""),IFERROR(VALUE(TRIM(LEFT($A1160,FIND("/",$A1160)-1))),"")))</f>
        <v/>
      </c>
      <c r="C1160">
        <f>IF(OR($A1160="",$B1160=""),"",IF(ISNUMBER($A1160),INT(MOD($A1160,10000)/100),IFERROR(VALUE(TRIM(LEFT(MID($A1160,FIND("/",$A1160)+1,20),FIND("/",MID($A1160,FIND("/",$A1160)+1,20))-1))),"")))</f>
        <v/>
      </c>
      <c r="D1160">
        <f>IF(OR($A1160="",$B1160=""),"",IF(ISNUMBER($A1160),MOD($A1160,100),IFERROR(VALUE(TRIM(MID(MID($A1160,FIND("/",$A1160)+1,20),FIND("/",MID($A1160,FIND("/",$A1160)+1,20))+1,20))),"")))</f>
        <v/>
      </c>
      <c r="E1160">
        <f>IF($A1160="","",IF(OR($B1160="",$C1160="",$D1160="",$B1160&lt;1300,$B1160&gt;1500,$C1160&lt;1,$C1160&gt;12,$D1160&lt;1,$D1160&gt;31),"نامعتبر",RIGHT("0000"&amp;$B1160,4)&amp;"/"&amp;RIGHT("00"&amp;$C1160,2)&amp;"/"&amp;RIGHT("00"&amp;$D1160,2)))</f>
        <v/>
      </c>
      <c r="F1160">
        <f>IF(OR($E1160="",$E1160="نامعتبر"),"",IF(Sync!$Q1157="","0000",IF(AND(ISNUMBER(Sync!$Q1157),Sync!$Q1157&gt;=0,Sync!$Q1157&lt;1),RIGHT("00"&amp;HOUR(Sync!$Q1157),2)&amp;RIGHT("00"&amp;MINUTE(Sync!$Q1157),2),IFERROR(RIGHT("00"&amp;VALUE(LEFT(Sync!$Q1157,FIND(":",Sync!$Q1157)-1)),2)&amp;RIGHT("00"&amp;VALUE(MID(Sync!$Q1157,FIND(":",Sync!$Q1157)+1,2)),2),"0000"))))</f>
        <v/>
      </c>
      <c r="G1160">
        <f>IF(OR($E1160="",$E1160="نامعتبر"),"",IF(Sync!$S1157="","",Sync!$S1157))</f>
        <v/>
      </c>
      <c r="H1160">
        <f>IF(OR($E1160="",$E1160="نامعتبر"),"",IF(Sync!$R1157="","",Sync!$R1157))</f>
        <v/>
      </c>
      <c r="I1160">
        <f>IF(OR($E1160="",$E1160="نامعتبر"),"",IF(Sync!$T1157="","",Sync!$T1157))</f>
        <v/>
      </c>
      <c r="J1160">
        <f>IF(OR($E1160="",$E1160="نامعتبر"),"",IF(Sync!$U1157="","",Sync!$U1157))</f>
        <v/>
      </c>
      <c r="K1160">
        <f>IF(OR($E1160="",$E1160="نامعتبر"),"",IF(Sync!$V1157="","",IFERROR(INDEX(SubCodes,MATCH(Sync!$V1157,SubTitles,0)),Sync!$V1157)))</f>
        <v/>
      </c>
      <c r="L1160">
        <f>IF(OR($E1160="",$E1160="نامعتبر"),"",IF(Sync!$W1157="",0,Sync!$W1157))</f>
        <v/>
      </c>
      <c r="M1160">
        <f>IF(OR($E1160="",$E1160="نامعتبر"),"",IF(Sync!$X1157="",0,Sync!$X1157))</f>
        <v/>
      </c>
      <c r="N1160">
        <f>IF(OR($E1160="",$E1160="نامعتبر"),"",IF(AND($J1160="هزینه",$K1160&lt;&gt;""),1,0))</f>
        <v/>
      </c>
      <c r="O1160">
        <f>IF($N1160=0,"",LEFT($E1160,4)&amp;MID($E1160,6,2)&amp;RIGHT($E1160,2)&amp;$F1160&amp;"|"&amp;"1"&amp;RIGHT("00000"&amp;1152,5))</f>
        <v/>
      </c>
      <c r="P1160">
        <f>IF($O1160="","",COUNTIFS(ExpSub,$K1160,ExpKey,"&lt;"&amp;$O1160)+1)</f>
        <v/>
      </c>
      <c r="Q1160">
        <f>IF($P1160="","",$K1160&amp;"|"&amp;RIGHT("000000"&amp;$P1160,6))</f>
        <v/>
      </c>
    </row>
    <row r="1161">
      <c r="A1161">
        <f>IF(Sync!$P1158="","",Sync!$P1158)</f>
        <v/>
      </c>
      <c r="B1161">
        <f>IF($A1161="","",IF(ISNUMBER($A1161),IF(AND($A1161&gt;=10000101,$A1161&lt;=99991231),INT($A1161/10000),""),IFERROR(VALUE(TRIM(LEFT($A1161,FIND("/",$A1161)-1))),"")))</f>
        <v/>
      </c>
      <c r="C1161">
        <f>IF(OR($A1161="",$B1161=""),"",IF(ISNUMBER($A1161),INT(MOD($A1161,10000)/100),IFERROR(VALUE(TRIM(LEFT(MID($A1161,FIND("/",$A1161)+1,20),FIND("/",MID($A1161,FIND("/",$A1161)+1,20))-1))),"")))</f>
        <v/>
      </c>
      <c r="D1161">
        <f>IF(OR($A1161="",$B1161=""),"",IF(ISNUMBER($A1161),MOD($A1161,100),IFERROR(VALUE(TRIM(MID(MID($A1161,FIND("/",$A1161)+1,20),FIND("/",MID($A1161,FIND("/",$A1161)+1,20))+1,20))),"")))</f>
        <v/>
      </c>
      <c r="E1161">
        <f>IF($A1161="","",IF(OR($B1161="",$C1161="",$D1161="",$B1161&lt;1300,$B1161&gt;1500,$C1161&lt;1,$C1161&gt;12,$D1161&lt;1,$D1161&gt;31),"نامعتبر",RIGHT("0000"&amp;$B1161,4)&amp;"/"&amp;RIGHT("00"&amp;$C1161,2)&amp;"/"&amp;RIGHT("00"&amp;$D1161,2)))</f>
        <v/>
      </c>
      <c r="F1161">
        <f>IF(OR($E1161="",$E1161="نامعتبر"),"",IF(Sync!$Q1158="","0000",IF(AND(ISNUMBER(Sync!$Q1158),Sync!$Q1158&gt;=0,Sync!$Q1158&lt;1),RIGHT("00"&amp;HOUR(Sync!$Q1158),2)&amp;RIGHT("00"&amp;MINUTE(Sync!$Q1158),2),IFERROR(RIGHT("00"&amp;VALUE(LEFT(Sync!$Q1158,FIND(":",Sync!$Q1158)-1)),2)&amp;RIGHT("00"&amp;VALUE(MID(Sync!$Q1158,FIND(":",Sync!$Q1158)+1,2)),2),"0000"))))</f>
        <v/>
      </c>
      <c r="G1161">
        <f>IF(OR($E1161="",$E1161="نامعتبر"),"",IF(Sync!$S1158="","",Sync!$S1158))</f>
        <v/>
      </c>
      <c r="H1161">
        <f>IF(OR($E1161="",$E1161="نامعتبر"),"",IF(Sync!$R1158="","",Sync!$R1158))</f>
        <v/>
      </c>
      <c r="I1161">
        <f>IF(OR($E1161="",$E1161="نامعتبر"),"",IF(Sync!$T1158="","",Sync!$T1158))</f>
        <v/>
      </c>
      <c r="J1161">
        <f>IF(OR($E1161="",$E1161="نامعتبر"),"",IF(Sync!$U1158="","",Sync!$U1158))</f>
        <v/>
      </c>
      <c r="K1161">
        <f>IF(OR($E1161="",$E1161="نامعتبر"),"",IF(Sync!$V1158="","",IFERROR(INDEX(SubCodes,MATCH(Sync!$V1158,SubTitles,0)),Sync!$V1158)))</f>
        <v/>
      </c>
      <c r="L1161">
        <f>IF(OR($E1161="",$E1161="نامعتبر"),"",IF(Sync!$W1158="",0,Sync!$W1158))</f>
        <v/>
      </c>
      <c r="M1161">
        <f>IF(OR($E1161="",$E1161="نامعتبر"),"",IF(Sync!$X1158="",0,Sync!$X1158))</f>
        <v/>
      </c>
      <c r="N1161">
        <f>IF(OR($E1161="",$E1161="نامعتبر"),"",IF(AND($J1161="هزینه",$K1161&lt;&gt;""),1,0))</f>
        <v/>
      </c>
      <c r="O1161">
        <f>IF($N1161=0,"",LEFT($E1161,4)&amp;MID($E1161,6,2)&amp;RIGHT($E1161,2)&amp;$F1161&amp;"|"&amp;"1"&amp;RIGHT("00000"&amp;1153,5))</f>
        <v/>
      </c>
      <c r="P1161">
        <f>IF($O1161="","",COUNTIFS(ExpSub,$K1161,ExpKey,"&lt;"&amp;$O1161)+1)</f>
        <v/>
      </c>
      <c r="Q1161">
        <f>IF($P1161="","",$K1161&amp;"|"&amp;RIGHT("000000"&amp;$P1161,6))</f>
        <v/>
      </c>
    </row>
    <row r="1162">
      <c r="A1162">
        <f>IF(Sync!$P1159="","",Sync!$P1159)</f>
        <v/>
      </c>
      <c r="B1162">
        <f>IF($A1162="","",IF(ISNUMBER($A1162),IF(AND($A1162&gt;=10000101,$A1162&lt;=99991231),INT($A1162/10000),""),IFERROR(VALUE(TRIM(LEFT($A1162,FIND("/",$A1162)-1))),"")))</f>
        <v/>
      </c>
      <c r="C1162">
        <f>IF(OR($A1162="",$B1162=""),"",IF(ISNUMBER($A1162),INT(MOD($A1162,10000)/100),IFERROR(VALUE(TRIM(LEFT(MID($A1162,FIND("/",$A1162)+1,20),FIND("/",MID($A1162,FIND("/",$A1162)+1,20))-1))),"")))</f>
        <v/>
      </c>
      <c r="D1162">
        <f>IF(OR($A1162="",$B1162=""),"",IF(ISNUMBER($A1162),MOD($A1162,100),IFERROR(VALUE(TRIM(MID(MID($A1162,FIND("/",$A1162)+1,20),FIND("/",MID($A1162,FIND("/",$A1162)+1,20))+1,20))),"")))</f>
        <v/>
      </c>
      <c r="E1162">
        <f>IF($A1162="","",IF(OR($B1162="",$C1162="",$D1162="",$B1162&lt;1300,$B1162&gt;1500,$C1162&lt;1,$C1162&gt;12,$D1162&lt;1,$D1162&gt;31),"نامعتبر",RIGHT("0000"&amp;$B1162,4)&amp;"/"&amp;RIGHT("00"&amp;$C1162,2)&amp;"/"&amp;RIGHT("00"&amp;$D1162,2)))</f>
        <v/>
      </c>
      <c r="F1162">
        <f>IF(OR($E1162="",$E1162="نامعتبر"),"",IF(Sync!$Q1159="","0000",IF(AND(ISNUMBER(Sync!$Q1159),Sync!$Q1159&gt;=0,Sync!$Q1159&lt;1),RIGHT("00"&amp;HOUR(Sync!$Q1159),2)&amp;RIGHT("00"&amp;MINUTE(Sync!$Q1159),2),IFERROR(RIGHT("00"&amp;VALUE(LEFT(Sync!$Q1159,FIND(":",Sync!$Q1159)-1)),2)&amp;RIGHT("00"&amp;VALUE(MID(Sync!$Q1159,FIND(":",Sync!$Q1159)+1,2)),2),"0000"))))</f>
        <v/>
      </c>
      <c r="G1162">
        <f>IF(OR($E1162="",$E1162="نامعتبر"),"",IF(Sync!$S1159="","",Sync!$S1159))</f>
        <v/>
      </c>
      <c r="H1162">
        <f>IF(OR($E1162="",$E1162="نامعتبر"),"",IF(Sync!$R1159="","",Sync!$R1159))</f>
        <v/>
      </c>
      <c r="I1162">
        <f>IF(OR($E1162="",$E1162="نامعتبر"),"",IF(Sync!$T1159="","",Sync!$T1159))</f>
        <v/>
      </c>
      <c r="J1162">
        <f>IF(OR($E1162="",$E1162="نامعتبر"),"",IF(Sync!$U1159="","",Sync!$U1159))</f>
        <v/>
      </c>
      <c r="K1162">
        <f>IF(OR($E1162="",$E1162="نامعتبر"),"",IF(Sync!$V1159="","",IFERROR(INDEX(SubCodes,MATCH(Sync!$V1159,SubTitles,0)),Sync!$V1159)))</f>
        <v/>
      </c>
      <c r="L1162">
        <f>IF(OR($E1162="",$E1162="نامعتبر"),"",IF(Sync!$W1159="",0,Sync!$W1159))</f>
        <v/>
      </c>
      <c r="M1162">
        <f>IF(OR($E1162="",$E1162="نامعتبر"),"",IF(Sync!$X1159="",0,Sync!$X1159))</f>
        <v/>
      </c>
      <c r="N1162">
        <f>IF(OR($E1162="",$E1162="نامعتبر"),"",IF(AND($J1162="هزینه",$K1162&lt;&gt;""),1,0))</f>
        <v/>
      </c>
      <c r="O1162">
        <f>IF($N1162=0,"",LEFT($E1162,4)&amp;MID($E1162,6,2)&amp;RIGHT($E1162,2)&amp;$F1162&amp;"|"&amp;"1"&amp;RIGHT("00000"&amp;1154,5))</f>
        <v/>
      </c>
      <c r="P1162">
        <f>IF($O1162="","",COUNTIFS(ExpSub,$K1162,ExpKey,"&lt;"&amp;$O1162)+1)</f>
        <v/>
      </c>
      <c r="Q1162">
        <f>IF($P1162="","",$K1162&amp;"|"&amp;RIGHT("000000"&amp;$P1162,6))</f>
        <v/>
      </c>
    </row>
    <row r="1163">
      <c r="A1163">
        <f>IF(Sync!$P1160="","",Sync!$P1160)</f>
        <v/>
      </c>
      <c r="B1163">
        <f>IF($A1163="","",IF(ISNUMBER($A1163),IF(AND($A1163&gt;=10000101,$A1163&lt;=99991231),INT($A1163/10000),""),IFERROR(VALUE(TRIM(LEFT($A1163,FIND("/",$A1163)-1))),"")))</f>
        <v/>
      </c>
      <c r="C1163">
        <f>IF(OR($A1163="",$B1163=""),"",IF(ISNUMBER($A1163),INT(MOD($A1163,10000)/100),IFERROR(VALUE(TRIM(LEFT(MID($A1163,FIND("/",$A1163)+1,20),FIND("/",MID($A1163,FIND("/",$A1163)+1,20))-1))),"")))</f>
        <v/>
      </c>
      <c r="D1163">
        <f>IF(OR($A1163="",$B1163=""),"",IF(ISNUMBER($A1163),MOD($A1163,100),IFERROR(VALUE(TRIM(MID(MID($A1163,FIND("/",$A1163)+1,20),FIND("/",MID($A1163,FIND("/",$A1163)+1,20))+1,20))),"")))</f>
        <v/>
      </c>
      <c r="E1163">
        <f>IF($A1163="","",IF(OR($B1163="",$C1163="",$D1163="",$B1163&lt;1300,$B1163&gt;1500,$C1163&lt;1,$C1163&gt;12,$D1163&lt;1,$D1163&gt;31),"نامعتبر",RIGHT("0000"&amp;$B1163,4)&amp;"/"&amp;RIGHT("00"&amp;$C1163,2)&amp;"/"&amp;RIGHT("00"&amp;$D1163,2)))</f>
        <v/>
      </c>
      <c r="F1163">
        <f>IF(OR($E1163="",$E1163="نامعتبر"),"",IF(Sync!$Q1160="","0000",IF(AND(ISNUMBER(Sync!$Q1160),Sync!$Q1160&gt;=0,Sync!$Q1160&lt;1),RIGHT("00"&amp;HOUR(Sync!$Q1160),2)&amp;RIGHT("00"&amp;MINUTE(Sync!$Q1160),2),IFERROR(RIGHT("00"&amp;VALUE(LEFT(Sync!$Q1160,FIND(":",Sync!$Q1160)-1)),2)&amp;RIGHT("00"&amp;VALUE(MID(Sync!$Q1160,FIND(":",Sync!$Q1160)+1,2)),2),"0000"))))</f>
        <v/>
      </c>
      <c r="G1163">
        <f>IF(OR($E1163="",$E1163="نامعتبر"),"",IF(Sync!$S1160="","",Sync!$S1160))</f>
        <v/>
      </c>
      <c r="H1163">
        <f>IF(OR($E1163="",$E1163="نامعتبر"),"",IF(Sync!$R1160="","",Sync!$R1160))</f>
        <v/>
      </c>
      <c r="I1163">
        <f>IF(OR($E1163="",$E1163="نامعتبر"),"",IF(Sync!$T1160="","",Sync!$T1160))</f>
        <v/>
      </c>
      <c r="J1163">
        <f>IF(OR($E1163="",$E1163="نامعتبر"),"",IF(Sync!$U1160="","",Sync!$U1160))</f>
        <v/>
      </c>
      <c r="K1163">
        <f>IF(OR($E1163="",$E1163="نامعتبر"),"",IF(Sync!$V1160="","",IFERROR(INDEX(SubCodes,MATCH(Sync!$V1160,SubTitles,0)),Sync!$V1160)))</f>
        <v/>
      </c>
      <c r="L1163">
        <f>IF(OR($E1163="",$E1163="نامعتبر"),"",IF(Sync!$W1160="",0,Sync!$W1160))</f>
        <v/>
      </c>
      <c r="M1163">
        <f>IF(OR($E1163="",$E1163="نامعتبر"),"",IF(Sync!$X1160="",0,Sync!$X1160))</f>
        <v/>
      </c>
      <c r="N1163">
        <f>IF(OR($E1163="",$E1163="نامعتبر"),"",IF(AND($J1163="هزینه",$K1163&lt;&gt;""),1,0))</f>
        <v/>
      </c>
      <c r="O1163">
        <f>IF($N1163=0,"",LEFT($E1163,4)&amp;MID($E1163,6,2)&amp;RIGHT($E1163,2)&amp;$F1163&amp;"|"&amp;"1"&amp;RIGHT("00000"&amp;1155,5))</f>
        <v/>
      </c>
      <c r="P1163">
        <f>IF($O1163="","",COUNTIFS(ExpSub,$K1163,ExpKey,"&lt;"&amp;$O1163)+1)</f>
        <v/>
      </c>
      <c r="Q1163">
        <f>IF($P1163="","",$K1163&amp;"|"&amp;RIGHT("000000"&amp;$P1163,6))</f>
        <v/>
      </c>
    </row>
    <row r="1164">
      <c r="A1164">
        <f>IF(Sync!$P1161="","",Sync!$P1161)</f>
        <v/>
      </c>
      <c r="B1164">
        <f>IF($A1164="","",IF(ISNUMBER($A1164),IF(AND($A1164&gt;=10000101,$A1164&lt;=99991231),INT($A1164/10000),""),IFERROR(VALUE(TRIM(LEFT($A1164,FIND("/",$A1164)-1))),"")))</f>
        <v/>
      </c>
      <c r="C1164">
        <f>IF(OR($A1164="",$B1164=""),"",IF(ISNUMBER($A1164),INT(MOD($A1164,10000)/100),IFERROR(VALUE(TRIM(LEFT(MID($A1164,FIND("/",$A1164)+1,20),FIND("/",MID($A1164,FIND("/",$A1164)+1,20))-1))),"")))</f>
        <v/>
      </c>
      <c r="D1164">
        <f>IF(OR($A1164="",$B1164=""),"",IF(ISNUMBER($A1164),MOD($A1164,100),IFERROR(VALUE(TRIM(MID(MID($A1164,FIND("/",$A1164)+1,20),FIND("/",MID($A1164,FIND("/",$A1164)+1,20))+1,20))),"")))</f>
        <v/>
      </c>
      <c r="E1164">
        <f>IF($A1164="","",IF(OR($B1164="",$C1164="",$D1164="",$B1164&lt;1300,$B1164&gt;1500,$C1164&lt;1,$C1164&gt;12,$D1164&lt;1,$D1164&gt;31),"نامعتبر",RIGHT("0000"&amp;$B1164,4)&amp;"/"&amp;RIGHT("00"&amp;$C1164,2)&amp;"/"&amp;RIGHT("00"&amp;$D1164,2)))</f>
        <v/>
      </c>
      <c r="F1164">
        <f>IF(OR($E1164="",$E1164="نامعتبر"),"",IF(Sync!$Q1161="","0000",IF(AND(ISNUMBER(Sync!$Q1161),Sync!$Q1161&gt;=0,Sync!$Q1161&lt;1),RIGHT("00"&amp;HOUR(Sync!$Q1161),2)&amp;RIGHT("00"&amp;MINUTE(Sync!$Q1161),2),IFERROR(RIGHT("00"&amp;VALUE(LEFT(Sync!$Q1161,FIND(":",Sync!$Q1161)-1)),2)&amp;RIGHT("00"&amp;VALUE(MID(Sync!$Q1161,FIND(":",Sync!$Q1161)+1,2)),2),"0000"))))</f>
        <v/>
      </c>
      <c r="G1164">
        <f>IF(OR($E1164="",$E1164="نامعتبر"),"",IF(Sync!$S1161="","",Sync!$S1161))</f>
        <v/>
      </c>
      <c r="H1164">
        <f>IF(OR($E1164="",$E1164="نامعتبر"),"",IF(Sync!$R1161="","",Sync!$R1161))</f>
        <v/>
      </c>
      <c r="I1164">
        <f>IF(OR($E1164="",$E1164="نامعتبر"),"",IF(Sync!$T1161="","",Sync!$T1161))</f>
        <v/>
      </c>
      <c r="J1164">
        <f>IF(OR($E1164="",$E1164="نامعتبر"),"",IF(Sync!$U1161="","",Sync!$U1161))</f>
        <v/>
      </c>
      <c r="K1164">
        <f>IF(OR($E1164="",$E1164="نامعتبر"),"",IF(Sync!$V1161="","",IFERROR(INDEX(SubCodes,MATCH(Sync!$V1161,SubTitles,0)),Sync!$V1161)))</f>
        <v/>
      </c>
      <c r="L1164">
        <f>IF(OR($E1164="",$E1164="نامعتبر"),"",IF(Sync!$W1161="",0,Sync!$W1161))</f>
        <v/>
      </c>
      <c r="M1164">
        <f>IF(OR($E1164="",$E1164="نامعتبر"),"",IF(Sync!$X1161="",0,Sync!$X1161))</f>
        <v/>
      </c>
      <c r="N1164">
        <f>IF(OR($E1164="",$E1164="نامعتبر"),"",IF(AND($J1164="هزینه",$K1164&lt;&gt;""),1,0))</f>
        <v/>
      </c>
      <c r="O1164">
        <f>IF($N1164=0,"",LEFT($E1164,4)&amp;MID($E1164,6,2)&amp;RIGHT($E1164,2)&amp;$F1164&amp;"|"&amp;"1"&amp;RIGHT("00000"&amp;1156,5))</f>
        <v/>
      </c>
      <c r="P1164">
        <f>IF($O1164="","",COUNTIFS(ExpSub,$K1164,ExpKey,"&lt;"&amp;$O1164)+1)</f>
        <v/>
      </c>
      <c r="Q1164">
        <f>IF($P1164="","",$K1164&amp;"|"&amp;RIGHT("000000"&amp;$P1164,6))</f>
        <v/>
      </c>
    </row>
    <row r="1165">
      <c r="A1165">
        <f>IF(Sync!$P1162="","",Sync!$P1162)</f>
        <v/>
      </c>
      <c r="B1165">
        <f>IF($A1165="","",IF(ISNUMBER($A1165),IF(AND($A1165&gt;=10000101,$A1165&lt;=99991231),INT($A1165/10000),""),IFERROR(VALUE(TRIM(LEFT($A1165,FIND("/",$A1165)-1))),"")))</f>
        <v/>
      </c>
      <c r="C1165">
        <f>IF(OR($A1165="",$B1165=""),"",IF(ISNUMBER($A1165),INT(MOD($A1165,10000)/100),IFERROR(VALUE(TRIM(LEFT(MID($A1165,FIND("/",$A1165)+1,20),FIND("/",MID($A1165,FIND("/",$A1165)+1,20))-1))),"")))</f>
        <v/>
      </c>
      <c r="D1165">
        <f>IF(OR($A1165="",$B1165=""),"",IF(ISNUMBER($A1165),MOD($A1165,100),IFERROR(VALUE(TRIM(MID(MID($A1165,FIND("/",$A1165)+1,20),FIND("/",MID($A1165,FIND("/",$A1165)+1,20))+1,20))),"")))</f>
        <v/>
      </c>
      <c r="E1165">
        <f>IF($A1165="","",IF(OR($B1165="",$C1165="",$D1165="",$B1165&lt;1300,$B1165&gt;1500,$C1165&lt;1,$C1165&gt;12,$D1165&lt;1,$D1165&gt;31),"نامعتبر",RIGHT("0000"&amp;$B1165,4)&amp;"/"&amp;RIGHT("00"&amp;$C1165,2)&amp;"/"&amp;RIGHT("00"&amp;$D1165,2)))</f>
        <v/>
      </c>
      <c r="F1165">
        <f>IF(OR($E1165="",$E1165="نامعتبر"),"",IF(Sync!$Q1162="","0000",IF(AND(ISNUMBER(Sync!$Q1162),Sync!$Q1162&gt;=0,Sync!$Q1162&lt;1),RIGHT("00"&amp;HOUR(Sync!$Q1162),2)&amp;RIGHT("00"&amp;MINUTE(Sync!$Q1162),2),IFERROR(RIGHT("00"&amp;VALUE(LEFT(Sync!$Q1162,FIND(":",Sync!$Q1162)-1)),2)&amp;RIGHT("00"&amp;VALUE(MID(Sync!$Q1162,FIND(":",Sync!$Q1162)+1,2)),2),"0000"))))</f>
        <v/>
      </c>
      <c r="G1165">
        <f>IF(OR($E1165="",$E1165="نامعتبر"),"",IF(Sync!$S1162="","",Sync!$S1162))</f>
        <v/>
      </c>
      <c r="H1165">
        <f>IF(OR($E1165="",$E1165="نامعتبر"),"",IF(Sync!$R1162="","",Sync!$R1162))</f>
        <v/>
      </c>
      <c r="I1165">
        <f>IF(OR($E1165="",$E1165="نامعتبر"),"",IF(Sync!$T1162="","",Sync!$T1162))</f>
        <v/>
      </c>
      <c r="J1165">
        <f>IF(OR($E1165="",$E1165="نامعتبر"),"",IF(Sync!$U1162="","",Sync!$U1162))</f>
        <v/>
      </c>
      <c r="K1165">
        <f>IF(OR($E1165="",$E1165="نامعتبر"),"",IF(Sync!$V1162="","",IFERROR(INDEX(SubCodes,MATCH(Sync!$V1162,SubTitles,0)),Sync!$V1162)))</f>
        <v/>
      </c>
      <c r="L1165">
        <f>IF(OR($E1165="",$E1165="نامعتبر"),"",IF(Sync!$W1162="",0,Sync!$W1162))</f>
        <v/>
      </c>
      <c r="M1165">
        <f>IF(OR($E1165="",$E1165="نامعتبر"),"",IF(Sync!$X1162="",0,Sync!$X1162))</f>
        <v/>
      </c>
      <c r="N1165">
        <f>IF(OR($E1165="",$E1165="نامعتبر"),"",IF(AND($J1165="هزینه",$K1165&lt;&gt;""),1,0))</f>
        <v/>
      </c>
      <c r="O1165">
        <f>IF($N1165=0,"",LEFT($E1165,4)&amp;MID($E1165,6,2)&amp;RIGHT($E1165,2)&amp;$F1165&amp;"|"&amp;"1"&amp;RIGHT("00000"&amp;1157,5))</f>
        <v/>
      </c>
      <c r="P1165">
        <f>IF($O1165="","",COUNTIFS(ExpSub,$K1165,ExpKey,"&lt;"&amp;$O1165)+1)</f>
        <v/>
      </c>
      <c r="Q1165">
        <f>IF($P1165="","",$K1165&amp;"|"&amp;RIGHT("000000"&amp;$P1165,6))</f>
        <v/>
      </c>
    </row>
    <row r="1166">
      <c r="A1166">
        <f>IF(Sync!$P1163="","",Sync!$P1163)</f>
        <v/>
      </c>
      <c r="B1166">
        <f>IF($A1166="","",IF(ISNUMBER($A1166),IF(AND($A1166&gt;=10000101,$A1166&lt;=99991231),INT($A1166/10000),""),IFERROR(VALUE(TRIM(LEFT($A1166,FIND("/",$A1166)-1))),"")))</f>
        <v/>
      </c>
      <c r="C1166">
        <f>IF(OR($A1166="",$B1166=""),"",IF(ISNUMBER($A1166),INT(MOD($A1166,10000)/100),IFERROR(VALUE(TRIM(LEFT(MID($A1166,FIND("/",$A1166)+1,20),FIND("/",MID($A1166,FIND("/",$A1166)+1,20))-1))),"")))</f>
        <v/>
      </c>
      <c r="D1166">
        <f>IF(OR($A1166="",$B1166=""),"",IF(ISNUMBER($A1166),MOD($A1166,100),IFERROR(VALUE(TRIM(MID(MID($A1166,FIND("/",$A1166)+1,20),FIND("/",MID($A1166,FIND("/",$A1166)+1,20))+1,20))),"")))</f>
        <v/>
      </c>
      <c r="E1166">
        <f>IF($A1166="","",IF(OR($B1166="",$C1166="",$D1166="",$B1166&lt;1300,$B1166&gt;1500,$C1166&lt;1,$C1166&gt;12,$D1166&lt;1,$D1166&gt;31),"نامعتبر",RIGHT("0000"&amp;$B1166,4)&amp;"/"&amp;RIGHT("00"&amp;$C1166,2)&amp;"/"&amp;RIGHT("00"&amp;$D1166,2)))</f>
        <v/>
      </c>
      <c r="F1166">
        <f>IF(OR($E1166="",$E1166="نامعتبر"),"",IF(Sync!$Q1163="","0000",IF(AND(ISNUMBER(Sync!$Q1163),Sync!$Q1163&gt;=0,Sync!$Q1163&lt;1),RIGHT("00"&amp;HOUR(Sync!$Q1163),2)&amp;RIGHT("00"&amp;MINUTE(Sync!$Q1163),2),IFERROR(RIGHT("00"&amp;VALUE(LEFT(Sync!$Q1163,FIND(":",Sync!$Q1163)-1)),2)&amp;RIGHT("00"&amp;VALUE(MID(Sync!$Q1163,FIND(":",Sync!$Q1163)+1,2)),2),"0000"))))</f>
        <v/>
      </c>
      <c r="G1166">
        <f>IF(OR($E1166="",$E1166="نامعتبر"),"",IF(Sync!$S1163="","",Sync!$S1163))</f>
        <v/>
      </c>
      <c r="H1166">
        <f>IF(OR($E1166="",$E1166="نامعتبر"),"",IF(Sync!$R1163="","",Sync!$R1163))</f>
        <v/>
      </c>
      <c r="I1166">
        <f>IF(OR($E1166="",$E1166="نامعتبر"),"",IF(Sync!$T1163="","",Sync!$T1163))</f>
        <v/>
      </c>
      <c r="J1166">
        <f>IF(OR($E1166="",$E1166="نامعتبر"),"",IF(Sync!$U1163="","",Sync!$U1163))</f>
        <v/>
      </c>
      <c r="K1166">
        <f>IF(OR($E1166="",$E1166="نامعتبر"),"",IF(Sync!$V1163="","",IFERROR(INDEX(SubCodes,MATCH(Sync!$V1163,SubTitles,0)),Sync!$V1163)))</f>
        <v/>
      </c>
      <c r="L1166">
        <f>IF(OR($E1166="",$E1166="نامعتبر"),"",IF(Sync!$W1163="",0,Sync!$W1163))</f>
        <v/>
      </c>
      <c r="M1166">
        <f>IF(OR($E1166="",$E1166="نامعتبر"),"",IF(Sync!$X1163="",0,Sync!$X1163))</f>
        <v/>
      </c>
      <c r="N1166">
        <f>IF(OR($E1166="",$E1166="نامعتبر"),"",IF(AND($J1166="هزینه",$K1166&lt;&gt;""),1,0))</f>
        <v/>
      </c>
      <c r="O1166">
        <f>IF($N1166=0,"",LEFT($E1166,4)&amp;MID($E1166,6,2)&amp;RIGHT($E1166,2)&amp;$F1166&amp;"|"&amp;"1"&amp;RIGHT("00000"&amp;1158,5))</f>
        <v/>
      </c>
      <c r="P1166">
        <f>IF($O1166="","",COUNTIFS(ExpSub,$K1166,ExpKey,"&lt;"&amp;$O1166)+1)</f>
        <v/>
      </c>
      <c r="Q1166">
        <f>IF($P1166="","",$K1166&amp;"|"&amp;RIGHT("000000"&amp;$P1166,6))</f>
        <v/>
      </c>
    </row>
    <row r="1167">
      <c r="A1167">
        <f>IF(Sync!$P1164="","",Sync!$P1164)</f>
        <v/>
      </c>
      <c r="B1167">
        <f>IF($A1167="","",IF(ISNUMBER($A1167),IF(AND($A1167&gt;=10000101,$A1167&lt;=99991231),INT($A1167/10000),""),IFERROR(VALUE(TRIM(LEFT($A1167,FIND("/",$A1167)-1))),"")))</f>
        <v/>
      </c>
      <c r="C1167">
        <f>IF(OR($A1167="",$B1167=""),"",IF(ISNUMBER($A1167),INT(MOD($A1167,10000)/100),IFERROR(VALUE(TRIM(LEFT(MID($A1167,FIND("/",$A1167)+1,20),FIND("/",MID($A1167,FIND("/",$A1167)+1,20))-1))),"")))</f>
        <v/>
      </c>
      <c r="D1167">
        <f>IF(OR($A1167="",$B1167=""),"",IF(ISNUMBER($A1167),MOD($A1167,100),IFERROR(VALUE(TRIM(MID(MID($A1167,FIND("/",$A1167)+1,20),FIND("/",MID($A1167,FIND("/",$A1167)+1,20))+1,20))),"")))</f>
        <v/>
      </c>
      <c r="E1167">
        <f>IF($A1167="","",IF(OR($B1167="",$C1167="",$D1167="",$B1167&lt;1300,$B1167&gt;1500,$C1167&lt;1,$C1167&gt;12,$D1167&lt;1,$D1167&gt;31),"نامعتبر",RIGHT("0000"&amp;$B1167,4)&amp;"/"&amp;RIGHT("00"&amp;$C1167,2)&amp;"/"&amp;RIGHT("00"&amp;$D1167,2)))</f>
        <v/>
      </c>
      <c r="F1167">
        <f>IF(OR($E1167="",$E1167="نامعتبر"),"",IF(Sync!$Q1164="","0000",IF(AND(ISNUMBER(Sync!$Q1164),Sync!$Q1164&gt;=0,Sync!$Q1164&lt;1),RIGHT("00"&amp;HOUR(Sync!$Q1164),2)&amp;RIGHT("00"&amp;MINUTE(Sync!$Q1164),2),IFERROR(RIGHT("00"&amp;VALUE(LEFT(Sync!$Q1164,FIND(":",Sync!$Q1164)-1)),2)&amp;RIGHT("00"&amp;VALUE(MID(Sync!$Q1164,FIND(":",Sync!$Q1164)+1,2)),2),"0000"))))</f>
        <v/>
      </c>
      <c r="G1167">
        <f>IF(OR($E1167="",$E1167="نامعتبر"),"",IF(Sync!$S1164="","",Sync!$S1164))</f>
        <v/>
      </c>
      <c r="H1167">
        <f>IF(OR($E1167="",$E1167="نامعتبر"),"",IF(Sync!$R1164="","",Sync!$R1164))</f>
        <v/>
      </c>
      <c r="I1167">
        <f>IF(OR($E1167="",$E1167="نامعتبر"),"",IF(Sync!$T1164="","",Sync!$T1164))</f>
        <v/>
      </c>
      <c r="J1167">
        <f>IF(OR($E1167="",$E1167="نامعتبر"),"",IF(Sync!$U1164="","",Sync!$U1164))</f>
        <v/>
      </c>
      <c r="K1167">
        <f>IF(OR($E1167="",$E1167="نامعتبر"),"",IF(Sync!$V1164="","",IFERROR(INDEX(SubCodes,MATCH(Sync!$V1164,SubTitles,0)),Sync!$V1164)))</f>
        <v/>
      </c>
      <c r="L1167">
        <f>IF(OR($E1167="",$E1167="نامعتبر"),"",IF(Sync!$W1164="",0,Sync!$W1164))</f>
        <v/>
      </c>
      <c r="M1167">
        <f>IF(OR($E1167="",$E1167="نامعتبر"),"",IF(Sync!$X1164="",0,Sync!$X1164))</f>
        <v/>
      </c>
      <c r="N1167">
        <f>IF(OR($E1167="",$E1167="نامعتبر"),"",IF(AND($J1167="هزینه",$K1167&lt;&gt;""),1,0))</f>
        <v/>
      </c>
      <c r="O1167">
        <f>IF($N1167=0,"",LEFT($E1167,4)&amp;MID($E1167,6,2)&amp;RIGHT($E1167,2)&amp;$F1167&amp;"|"&amp;"1"&amp;RIGHT("00000"&amp;1159,5))</f>
        <v/>
      </c>
      <c r="P1167">
        <f>IF($O1167="","",COUNTIFS(ExpSub,$K1167,ExpKey,"&lt;"&amp;$O1167)+1)</f>
        <v/>
      </c>
      <c r="Q1167">
        <f>IF($P1167="","",$K1167&amp;"|"&amp;RIGHT("000000"&amp;$P1167,6))</f>
        <v/>
      </c>
    </row>
    <row r="1168">
      <c r="A1168">
        <f>IF(Sync!$P1165="","",Sync!$P1165)</f>
        <v/>
      </c>
      <c r="B1168">
        <f>IF($A1168="","",IF(ISNUMBER($A1168),IF(AND($A1168&gt;=10000101,$A1168&lt;=99991231),INT($A1168/10000),""),IFERROR(VALUE(TRIM(LEFT($A1168,FIND("/",$A1168)-1))),"")))</f>
        <v/>
      </c>
      <c r="C1168">
        <f>IF(OR($A1168="",$B1168=""),"",IF(ISNUMBER($A1168),INT(MOD($A1168,10000)/100),IFERROR(VALUE(TRIM(LEFT(MID($A1168,FIND("/",$A1168)+1,20),FIND("/",MID($A1168,FIND("/",$A1168)+1,20))-1))),"")))</f>
        <v/>
      </c>
      <c r="D1168">
        <f>IF(OR($A1168="",$B1168=""),"",IF(ISNUMBER($A1168),MOD($A1168,100),IFERROR(VALUE(TRIM(MID(MID($A1168,FIND("/",$A1168)+1,20),FIND("/",MID($A1168,FIND("/",$A1168)+1,20))+1,20))),"")))</f>
        <v/>
      </c>
      <c r="E1168">
        <f>IF($A1168="","",IF(OR($B1168="",$C1168="",$D1168="",$B1168&lt;1300,$B1168&gt;1500,$C1168&lt;1,$C1168&gt;12,$D1168&lt;1,$D1168&gt;31),"نامعتبر",RIGHT("0000"&amp;$B1168,4)&amp;"/"&amp;RIGHT("00"&amp;$C1168,2)&amp;"/"&amp;RIGHT("00"&amp;$D1168,2)))</f>
        <v/>
      </c>
      <c r="F1168">
        <f>IF(OR($E1168="",$E1168="نامعتبر"),"",IF(Sync!$Q1165="","0000",IF(AND(ISNUMBER(Sync!$Q1165),Sync!$Q1165&gt;=0,Sync!$Q1165&lt;1),RIGHT("00"&amp;HOUR(Sync!$Q1165),2)&amp;RIGHT("00"&amp;MINUTE(Sync!$Q1165),2),IFERROR(RIGHT("00"&amp;VALUE(LEFT(Sync!$Q1165,FIND(":",Sync!$Q1165)-1)),2)&amp;RIGHT("00"&amp;VALUE(MID(Sync!$Q1165,FIND(":",Sync!$Q1165)+1,2)),2),"0000"))))</f>
        <v/>
      </c>
      <c r="G1168">
        <f>IF(OR($E1168="",$E1168="نامعتبر"),"",IF(Sync!$S1165="","",Sync!$S1165))</f>
        <v/>
      </c>
      <c r="H1168">
        <f>IF(OR($E1168="",$E1168="نامعتبر"),"",IF(Sync!$R1165="","",Sync!$R1165))</f>
        <v/>
      </c>
      <c r="I1168">
        <f>IF(OR($E1168="",$E1168="نامعتبر"),"",IF(Sync!$T1165="","",Sync!$T1165))</f>
        <v/>
      </c>
      <c r="J1168">
        <f>IF(OR($E1168="",$E1168="نامعتبر"),"",IF(Sync!$U1165="","",Sync!$U1165))</f>
        <v/>
      </c>
      <c r="K1168">
        <f>IF(OR($E1168="",$E1168="نامعتبر"),"",IF(Sync!$V1165="","",IFERROR(INDEX(SubCodes,MATCH(Sync!$V1165,SubTitles,0)),Sync!$V1165)))</f>
        <v/>
      </c>
      <c r="L1168">
        <f>IF(OR($E1168="",$E1168="نامعتبر"),"",IF(Sync!$W1165="",0,Sync!$W1165))</f>
        <v/>
      </c>
      <c r="M1168">
        <f>IF(OR($E1168="",$E1168="نامعتبر"),"",IF(Sync!$X1165="",0,Sync!$X1165))</f>
        <v/>
      </c>
      <c r="N1168">
        <f>IF(OR($E1168="",$E1168="نامعتبر"),"",IF(AND($J1168="هزینه",$K1168&lt;&gt;""),1,0))</f>
        <v/>
      </c>
      <c r="O1168">
        <f>IF($N1168=0,"",LEFT($E1168,4)&amp;MID($E1168,6,2)&amp;RIGHT($E1168,2)&amp;$F1168&amp;"|"&amp;"1"&amp;RIGHT("00000"&amp;1160,5))</f>
        <v/>
      </c>
      <c r="P1168">
        <f>IF($O1168="","",COUNTIFS(ExpSub,$K1168,ExpKey,"&lt;"&amp;$O1168)+1)</f>
        <v/>
      </c>
      <c r="Q1168">
        <f>IF($P1168="","",$K1168&amp;"|"&amp;RIGHT("000000"&amp;$P1168,6))</f>
        <v/>
      </c>
    </row>
    <row r="1169">
      <c r="A1169">
        <f>IF(Sync!$P1166="","",Sync!$P1166)</f>
        <v/>
      </c>
      <c r="B1169">
        <f>IF($A1169="","",IF(ISNUMBER($A1169),IF(AND($A1169&gt;=10000101,$A1169&lt;=99991231),INT($A1169/10000),""),IFERROR(VALUE(TRIM(LEFT($A1169,FIND("/",$A1169)-1))),"")))</f>
        <v/>
      </c>
      <c r="C1169">
        <f>IF(OR($A1169="",$B1169=""),"",IF(ISNUMBER($A1169),INT(MOD($A1169,10000)/100),IFERROR(VALUE(TRIM(LEFT(MID($A1169,FIND("/",$A1169)+1,20),FIND("/",MID($A1169,FIND("/",$A1169)+1,20))-1))),"")))</f>
        <v/>
      </c>
      <c r="D1169">
        <f>IF(OR($A1169="",$B1169=""),"",IF(ISNUMBER($A1169),MOD($A1169,100),IFERROR(VALUE(TRIM(MID(MID($A1169,FIND("/",$A1169)+1,20),FIND("/",MID($A1169,FIND("/",$A1169)+1,20))+1,20))),"")))</f>
        <v/>
      </c>
      <c r="E1169">
        <f>IF($A1169="","",IF(OR($B1169="",$C1169="",$D1169="",$B1169&lt;1300,$B1169&gt;1500,$C1169&lt;1,$C1169&gt;12,$D1169&lt;1,$D1169&gt;31),"نامعتبر",RIGHT("0000"&amp;$B1169,4)&amp;"/"&amp;RIGHT("00"&amp;$C1169,2)&amp;"/"&amp;RIGHT("00"&amp;$D1169,2)))</f>
        <v/>
      </c>
      <c r="F1169">
        <f>IF(OR($E1169="",$E1169="نامعتبر"),"",IF(Sync!$Q1166="","0000",IF(AND(ISNUMBER(Sync!$Q1166),Sync!$Q1166&gt;=0,Sync!$Q1166&lt;1),RIGHT("00"&amp;HOUR(Sync!$Q1166),2)&amp;RIGHT("00"&amp;MINUTE(Sync!$Q1166),2),IFERROR(RIGHT("00"&amp;VALUE(LEFT(Sync!$Q1166,FIND(":",Sync!$Q1166)-1)),2)&amp;RIGHT("00"&amp;VALUE(MID(Sync!$Q1166,FIND(":",Sync!$Q1166)+1,2)),2),"0000"))))</f>
        <v/>
      </c>
      <c r="G1169">
        <f>IF(OR($E1169="",$E1169="نامعتبر"),"",IF(Sync!$S1166="","",Sync!$S1166))</f>
        <v/>
      </c>
      <c r="H1169">
        <f>IF(OR($E1169="",$E1169="نامعتبر"),"",IF(Sync!$R1166="","",Sync!$R1166))</f>
        <v/>
      </c>
      <c r="I1169">
        <f>IF(OR($E1169="",$E1169="نامعتبر"),"",IF(Sync!$T1166="","",Sync!$T1166))</f>
        <v/>
      </c>
      <c r="J1169">
        <f>IF(OR($E1169="",$E1169="نامعتبر"),"",IF(Sync!$U1166="","",Sync!$U1166))</f>
        <v/>
      </c>
      <c r="K1169">
        <f>IF(OR($E1169="",$E1169="نامعتبر"),"",IF(Sync!$V1166="","",IFERROR(INDEX(SubCodes,MATCH(Sync!$V1166,SubTitles,0)),Sync!$V1166)))</f>
        <v/>
      </c>
      <c r="L1169">
        <f>IF(OR($E1169="",$E1169="نامعتبر"),"",IF(Sync!$W1166="",0,Sync!$W1166))</f>
        <v/>
      </c>
      <c r="M1169">
        <f>IF(OR($E1169="",$E1169="نامعتبر"),"",IF(Sync!$X1166="",0,Sync!$X1166))</f>
        <v/>
      </c>
      <c r="N1169">
        <f>IF(OR($E1169="",$E1169="نامعتبر"),"",IF(AND($J1169="هزینه",$K1169&lt;&gt;""),1,0))</f>
        <v/>
      </c>
      <c r="O1169">
        <f>IF($N1169=0,"",LEFT($E1169,4)&amp;MID($E1169,6,2)&amp;RIGHT($E1169,2)&amp;$F1169&amp;"|"&amp;"1"&amp;RIGHT("00000"&amp;1161,5))</f>
        <v/>
      </c>
      <c r="P1169">
        <f>IF($O1169="","",COUNTIFS(ExpSub,$K1169,ExpKey,"&lt;"&amp;$O1169)+1)</f>
        <v/>
      </c>
      <c r="Q1169">
        <f>IF($P1169="","",$K1169&amp;"|"&amp;RIGHT("000000"&amp;$P1169,6))</f>
        <v/>
      </c>
    </row>
    <row r="1170">
      <c r="A1170">
        <f>IF(Sync!$P1167="","",Sync!$P1167)</f>
        <v/>
      </c>
      <c r="B1170">
        <f>IF($A1170="","",IF(ISNUMBER($A1170),IF(AND($A1170&gt;=10000101,$A1170&lt;=99991231),INT($A1170/10000),""),IFERROR(VALUE(TRIM(LEFT($A1170,FIND("/",$A1170)-1))),"")))</f>
        <v/>
      </c>
      <c r="C1170">
        <f>IF(OR($A1170="",$B1170=""),"",IF(ISNUMBER($A1170),INT(MOD($A1170,10000)/100),IFERROR(VALUE(TRIM(LEFT(MID($A1170,FIND("/",$A1170)+1,20),FIND("/",MID($A1170,FIND("/",$A1170)+1,20))-1))),"")))</f>
        <v/>
      </c>
      <c r="D1170">
        <f>IF(OR($A1170="",$B1170=""),"",IF(ISNUMBER($A1170),MOD($A1170,100),IFERROR(VALUE(TRIM(MID(MID($A1170,FIND("/",$A1170)+1,20),FIND("/",MID($A1170,FIND("/",$A1170)+1,20))+1,20))),"")))</f>
        <v/>
      </c>
      <c r="E1170">
        <f>IF($A1170="","",IF(OR($B1170="",$C1170="",$D1170="",$B1170&lt;1300,$B1170&gt;1500,$C1170&lt;1,$C1170&gt;12,$D1170&lt;1,$D1170&gt;31),"نامعتبر",RIGHT("0000"&amp;$B1170,4)&amp;"/"&amp;RIGHT("00"&amp;$C1170,2)&amp;"/"&amp;RIGHT("00"&amp;$D1170,2)))</f>
        <v/>
      </c>
      <c r="F1170">
        <f>IF(OR($E1170="",$E1170="نامعتبر"),"",IF(Sync!$Q1167="","0000",IF(AND(ISNUMBER(Sync!$Q1167),Sync!$Q1167&gt;=0,Sync!$Q1167&lt;1),RIGHT("00"&amp;HOUR(Sync!$Q1167),2)&amp;RIGHT("00"&amp;MINUTE(Sync!$Q1167),2),IFERROR(RIGHT("00"&amp;VALUE(LEFT(Sync!$Q1167,FIND(":",Sync!$Q1167)-1)),2)&amp;RIGHT("00"&amp;VALUE(MID(Sync!$Q1167,FIND(":",Sync!$Q1167)+1,2)),2),"0000"))))</f>
        <v/>
      </c>
      <c r="G1170">
        <f>IF(OR($E1170="",$E1170="نامعتبر"),"",IF(Sync!$S1167="","",Sync!$S1167))</f>
        <v/>
      </c>
      <c r="H1170">
        <f>IF(OR($E1170="",$E1170="نامعتبر"),"",IF(Sync!$R1167="","",Sync!$R1167))</f>
        <v/>
      </c>
      <c r="I1170">
        <f>IF(OR($E1170="",$E1170="نامعتبر"),"",IF(Sync!$T1167="","",Sync!$T1167))</f>
        <v/>
      </c>
      <c r="J1170">
        <f>IF(OR($E1170="",$E1170="نامعتبر"),"",IF(Sync!$U1167="","",Sync!$U1167))</f>
        <v/>
      </c>
      <c r="K1170">
        <f>IF(OR($E1170="",$E1170="نامعتبر"),"",IF(Sync!$V1167="","",IFERROR(INDEX(SubCodes,MATCH(Sync!$V1167,SubTitles,0)),Sync!$V1167)))</f>
        <v/>
      </c>
      <c r="L1170">
        <f>IF(OR($E1170="",$E1170="نامعتبر"),"",IF(Sync!$W1167="",0,Sync!$W1167))</f>
        <v/>
      </c>
      <c r="M1170">
        <f>IF(OR($E1170="",$E1170="نامعتبر"),"",IF(Sync!$X1167="",0,Sync!$X1167))</f>
        <v/>
      </c>
      <c r="N1170">
        <f>IF(OR($E1170="",$E1170="نامعتبر"),"",IF(AND($J1170="هزینه",$K1170&lt;&gt;""),1,0))</f>
        <v/>
      </c>
      <c r="O1170">
        <f>IF($N1170=0,"",LEFT($E1170,4)&amp;MID($E1170,6,2)&amp;RIGHT($E1170,2)&amp;$F1170&amp;"|"&amp;"1"&amp;RIGHT("00000"&amp;1162,5))</f>
        <v/>
      </c>
      <c r="P1170">
        <f>IF($O1170="","",COUNTIFS(ExpSub,$K1170,ExpKey,"&lt;"&amp;$O1170)+1)</f>
        <v/>
      </c>
      <c r="Q1170">
        <f>IF($P1170="","",$K1170&amp;"|"&amp;RIGHT("000000"&amp;$P1170,6))</f>
        <v/>
      </c>
    </row>
    <row r="1171">
      <c r="A1171">
        <f>IF(Sync!$P1168="","",Sync!$P1168)</f>
        <v/>
      </c>
      <c r="B1171">
        <f>IF($A1171="","",IF(ISNUMBER($A1171),IF(AND($A1171&gt;=10000101,$A1171&lt;=99991231),INT($A1171/10000),""),IFERROR(VALUE(TRIM(LEFT($A1171,FIND("/",$A1171)-1))),"")))</f>
        <v/>
      </c>
      <c r="C1171">
        <f>IF(OR($A1171="",$B1171=""),"",IF(ISNUMBER($A1171),INT(MOD($A1171,10000)/100),IFERROR(VALUE(TRIM(LEFT(MID($A1171,FIND("/",$A1171)+1,20),FIND("/",MID($A1171,FIND("/",$A1171)+1,20))-1))),"")))</f>
        <v/>
      </c>
      <c r="D1171">
        <f>IF(OR($A1171="",$B1171=""),"",IF(ISNUMBER($A1171),MOD($A1171,100),IFERROR(VALUE(TRIM(MID(MID($A1171,FIND("/",$A1171)+1,20),FIND("/",MID($A1171,FIND("/",$A1171)+1,20))+1,20))),"")))</f>
        <v/>
      </c>
      <c r="E1171">
        <f>IF($A1171="","",IF(OR($B1171="",$C1171="",$D1171="",$B1171&lt;1300,$B1171&gt;1500,$C1171&lt;1,$C1171&gt;12,$D1171&lt;1,$D1171&gt;31),"نامعتبر",RIGHT("0000"&amp;$B1171,4)&amp;"/"&amp;RIGHT("00"&amp;$C1171,2)&amp;"/"&amp;RIGHT("00"&amp;$D1171,2)))</f>
        <v/>
      </c>
      <c r="F1171">
        <f>IF(OR($E1171="",$E1171="نامعتبر"),"",IF(Sync!$Q1168="","0000",IF(AND(ISNUMBER(Sync!$Q1168),Sync!$Q1168&gt;=0,Sync!$Q1168&lt;1),RIGHT("00"&amp;HOUR(Sync!$Q1168),2)&amp;RIGHT("00"&amp;MINUTE(Sync!$Q1168),2),IFERROR(RIGHT("00"&amp;VALUE(LEFT(Sync!$Q1168,FIND(":",Sync!$Q1168)-1)),2)&amp;RIGHT("00"&amp;VALUE(MID(Sync!$Q1168,FIND(":",Sync!$Q1168)+1,2)),2),"0000"))))</f>
        <v/>
      </c>
      <c r="G1171">
        <f>IF(OR($E1171="",$E1171="نامعتبر"),"",IF(Sync!$S1168="","",Sync!$S1168))</f>
        <v/>
      </c>
      <c r="H1171">
        <f>IF(OR($E1171="",$E1171="نامعتبر"),"",IF(Sync!$R1168="","",Sync!$R1168))</f>
        <v/>
      </c>
      <c r="I1171">
        <f>IF(OR($E1171="",$E1171="نامعتبر"),"",IF(Sync!$T1168="","",Sync!$T1168))</f>
        <v/>
      </c>
      <c r="J1171">
        <f>IF(OR($E1171="",$E1171="نامعتبر"),"",IF(Sync!$U1168="","",Sync!$U1168))</f>
        <v/>
      </c>
      <c r="K1171">
        <f>IF(OR($E1171="",$E1171="نامعتبر"),"",IF(Sync!$V1168="","",IFERROR(INDEX(SubCodes,MATCH(Sync!$V1168,SubTitles,0)),Sync!$V1168)))</f>
        <v/>
      </c>
      <c r="L1171">
        <f>IF(OR($E1171="",$E1171="نامعتبر"),"",IF(Sync!$W1168="",0,Sync!$W1168))</f>
        <v/>
      </c>
      <c r="M1171">
        <f>IF(OR($E1171="",$E1171="نامعتبر"),"",IF(Sync!$X1168="",0,Sync!$X1168))</f>
        <v/>
      </c>
      <c r="N1171">
        <f>IF(OR($E1171="",$E1171="نامعتبر"),"",IF(AND($J1171="هزینه",$K1171&lt;&gt;""),1,0))</f>
        <v/>
      </c>
      <c r="O1171">
        <f>IF($N1171=0,"",LEFT($E1171,4)&amp;MID($E1171,6,2)&amp;RIGHT($E1171,2)&amp;$F1171&amp;"|"&amp;"1"&amp;RIGHT("00000"&amp;1163,5))</f>
        <v/>
      </c>
      <c r="P1171">
        <f>IF($O1171="","",COUNTIFS(ExpSub,$K1171,ExpKey,"&lt;"&amp;$O1171)+1)</f>
        <v/>
      </c>
      <c r="Q1171">
        <f>IF($P1171="","",$K1171&amp;"|"&amp;RIGHT("000000"&amp;$P1171,6))</f>
        <v/>
      </c>
    </row>
    <row r="1172">
      <c r="A1172">
        <f>IF(Sync!$P1169="","",Sync!$P1169)</f>
        <v/>
      </c>
      <c r="B1172">
        <f>IF($A1172="","",IF(ISNUMBER($A1172),IF(AND($A1172&gt;=10000101,$A1172&lt;=99991231),INT($A1172/10000),""),IFERROR(VALUE(TRIM(LEFT($A1172,FIND("/",$A1172)-1))),"")))</f>
        <v/>
      </c>
      <c r="C1172">
        <f>IF(OR($A1172="",$B1172=""),"",IF(ISNUMBER($A1172),INT(MOD($A1172,10000)/100),IFERROR(VALUE(TRIM(LEFT(MID($A1172,FIND("/",$A1172)+1,20),FIND("/",MID($A1172,FIND("/",$A1172)+1,20))-1))),"")))</f>
        <v/>
      </c>
      <c r="D1172">
        <f>IF(OR($A1172="",$B1172=""),"",IF(ISNUMBER($A1172),MOD($A1172,100),IFERROR(VALUE(TRIM(MID(MID($A1172,FIND("/",$A1172)+1,20),FIND("/",MID($A1172,FIND("/",$A1172)+1,20))+1,20))),"")))</f>
        <v/>
      </c>
      <c r="E1172">
        <f>IF($A1172="","",IF(OR($B1172="",$C1172="",$D1172="",$B1172&lt;1300,$B1172&gt;1500,$C1172&lt;1,$C1172&gt;12,$D1172&lt;1,$D1172&gt;31),"نامعتبر",RIGHT("0000"&amp;$B1172,4)&amp;"/"&amp;RIGHT("00"&amp;$C1172,2)&amp;"/"&amp;RIGHT("00"&amp;$D1172,2)))</f>
        <v/>
      </c>
      <c r="F1172">
        <f>IF(OR($E1172="",$E1172="نامعتبر"),"",IF(Sync!$Q1169="","0000",IF(AND(ISNUMBER(Sync!$Q1169),Sync!$Q1169&gt;=0,Sync!$Q1169&lt;1),RIGHT("00"&amp;HOUR(Sync!$Q1169),2)&amp;RIGHT("00"&amp;MINUTE(Sync!$Q1169),2),IFERROR(RIGHT("00"&amp;VALUE(LEFT(Sync!$Q1169,FIND(":",Sync!$Q1169)-1)),2)&amp;RIGHT("00"&amp;VALUE(MID(Sync!$Q1169,FIND(":",Sync!$Q1169)+1,2)),2),"0000"))))</f>
        <v/>
      </c>
      <c r="G1172">
        <f>IF(OR($E1172="",$E1172="نامعتبر"),"",IF(Sync!$S1169="","",Sync!$S1169))</f>
        <v/>
      </c>
      <c r="H1172">
        <f>IF(OR($E1172="",$E1172="نامعتبر"),"",IF(Sync!$R1169="","",Sync!$R1169))</f>
        <v/>
      </c>
      <c r="I1172">
        <f>IF(OR($E1172="",$E1172="نامعتبر"),"",IF(Sync!$T1169="","",Sync!$T1169))</f>
        <v/>
      </c>
      <c r="J1172">
        <f>IF(OR($E1172="",$E1172="نامعتبر"),"",IF(Sync!$U1169="","",Sync!$U1169))</f>
        <v/>
      </c>
      <c r="K1172">
        <f>IF(OR($E1172="",$E1172="نامعتبر"),"",IF(Sync!$V1169="","",IFERROR(INDEX(SubCodes,MATCH(Sync!$V1169,SubTitles,0)),Sync!$V1169)))</f>
        <v/>
      </c>
      <c r="L1172">
        <f>IF(OR($E1172="",$E1172="نامعتبر"),"",IF(Sync!$W1169="",0,Sync!$W1169))</f>
        <v/>
      </c>
      <c r="M1172">
        <f>IF(OR($E1172="",$E1172="نامعتبر"),"",IF(Sync!$X1169="",0,Sync!$X1169))</f>
        <v/>
      </c>
      <c r="N1172">
        <f>IF(OR($E1172="",$E1172="نامعتبر"),"",IF(AND($J1172="هزینه",$K1172&lt;&gt;""),1,0))</f>
        <v/>
      </c>
      <c r="O1172">
        <f>IF($N1172=0,"",LEFT($E1172,4)&amp;MID($E1172,6,2)&amp;RIGHT($E1172,2)&amp;$F1172&amp;"|"&amp;"1"&amp;RIGHT("00000"&amp;1164,5))</f>
        <v/>
      </c>
      <c r="P1172">
        <f>IF($O1172="","",COUNTIFS(ExpSub,$K1172,ExpKey,"&lt;"&amp;$O1172)+1)</f>
        <v/>
      </c>
      <c r="Q1172">
        <f>IF($P1172="","",$K1172&amp;"|"&amp;RIGHT("000000"&amp;$P1172,6))</f>
        <v/>
      </c>
    </row>
    <row r="1173">
      <c r="A1173">
        <f>IF(Sync!$P1170="","",Sync!$P1170)</f>
        <v/>
      </c>
      <c r="B1173">
        <f>IF($A1173="","",IF(ISNUMBER($A1173),IF(AND($A1173&gt;=10000101,$A1173&lt;=99991231),INT($A1173/10000),""),IFERROR(VALUE(TRIM(LEFT($A1173,FIND("/",$A1173)-1))),"")))</f>
        <v/>
      </c>
      <c r="C1173">
        <f>IF(OR($A1173="",$B1173=""),"",IF(ISNUMBER($A1173),INT(MOD($A1173,10000)/100),IFERROR(VALUE(TRIM(LEFT(MID($A1173,FIND("/",$A1173)+1,20),FIND("/",MID($A1173,FIND("/",$A1173)+1,20))-1))),"")))</f>
        <v/>
      </c>
      <c r="D1173">
        <f>IF(OR($A1173="",$B1173=""),"",IF(ISNUMBER($A1173),MOD($A1173,100),IFERROR(VALUE(TRIM(MID(MID($A1173,FIND("/",$A1173)+1,20),FIND("/",MID($A1173,FIND("/",$A1173)+1,20))+1,20))),"")))</f>
        <v/>
      </c>
      <c r="E1173">
        <f>IF($A1173="","",IF(OR($B1173="",$C1173="",$D1173="",$B1173&lt;1300,$B1173&gt;1500,$C1173&lt;1,$C1173&gt;12,$D1173&lt;1,$D1173&gt;31),"نامعتبر",RIGHT("0000"&amp;$B1173,4)&amp;"/"&amp;RIGHT("00"&amp;$C1173,2)&amp;"/"&amp;RIGHT("00"&amp;$D1173,2)))</f>
        <v/>
      </c>
      <c r="F1173">
        <f>IF(OR($E1173="",$E1173="نامعتبر"),"",IF(Sync!$Q1170="","0000",IF(AND(ISNUMBER(Sync!$Q1170),Sync!$Q1170&gt;=0,Sync!$Q1170&lt;1),RIGHT("00"&amp;HOUR(Sync!$Q1170),2)&amp;RIGHT("00"&amp;MINUTE(Sync!$Q1170),2),IFERROR(RIGHT("00"&amp;VALUE(LEFT(Sync!$Q1170,FIND(":",Sync!$Q1170)-1)),2)&amp;RIGHT("00"&amp;VALUE(MID(Sync!$Q1170,FIND(":",Sync!$Q1170)+1,2)),2),"0000"))))</f>
        <v/>
      </c>
      <c r="G1173">
        <f>IF(OR($E1173="",$E1173="نامعتبر"),"",IF(Sync!$S1170="","",Sync!$S1170))</f>
        <v/>
      </c>
      <c r="H1173">
        <f>IF(OR($E1173="",$E1173="نامعتبر"),"",IF(Sync!$R1170="","",Sync!$R1170))</f>
        <v/>
      </c>
      <c r="I1173">
        <f>IF(OR($E1173="",$E1173="نامعتبر"),"",IF(Sync!$T1170="","",Sync!$T1170))</f>
        <v/>
      </c>
      <c r="J1173">
        <f>IF(OR($E1173="",$E1173="نامعتبر"),"",IF(Sync!$U1170="","",Sync!$U1170))</f>
        <v/>
      </c>
      <c r="K1173">
        <f>IF(OR($E1173="",$E1173="نامعتبر"),"",IF(Sync!$V1170="","",IFERROR(INDEX(SubCodes,MATCH(Sync!$V1170,SubTitles,0)),Sync!$V1170)))</f>
        <v/>
      </c>
      <c r="L1173">
        <f>IF(OR($E1173="",$E1173="نامعتبر"),"",IF(Sync!$W1170="",0,Sync!$W1170))</f>
        <v/>
      </c>
      <c r="M1173">
        <f>IF(OR($E1173="",$E1173="نامعتبر"),"",IF(Sync!$X1170="",0,Sync!$X1170))</f>
        <v/>
      </c>
      <c r="N1173">
        <f>IF(OR($E1173="",$E1173="نامعتبر"),"",IF(AND($J1173="هزینه",$K1173&lt;&gt;""),1,0))</f>
        <v/>
      </c>
      <c r="O1173">
        <f>IF($N1173=0,"",LEFT($E1173,4)&amp;MID($E1173,6,2)&amp;RIGHT($E1173,2)&amp;$F1173&amp;"|"&amp;"1"&amp;RIGHT("00000"&amp;1165,5))</f>
        <v/>
      </c>
      <c r="P1173">
        <f>IF($O1173="","",COUNTIFS(ExpSub,$K1173,ExpKey,"&lt;"&amp;$O1173)+1)</f>
        <v/>
      </c>
      <c r="Q1173">
        <f>IF($P1173="","",$K1173&amp;"|"&amp;RIGHT("000000"&amp;$P1173,6))</f>
        <v/>
      </c>
    </row>
    <row r="1174">
      <c r="A1174">
        <f>IF(Sync!$P1171="","",Sync!$P1171)</f>
        <v/>
      </c>
      <c r="B1174">
        <f>IF($A1174="","",IF(ISNUMBER($A1174),IF(AND($A1174&gt;=10000101,$A1174&lt;=99991231),INT($A1174/10000),""),IFERROR(VALUE(TRIM(LEFT($A1174,FIND("/",$A1174)-1))),"")))</f>
        <v/>
      </c>
      <c r="C1174">
        <f>IF(OR($A1174="",$B1174=""),"",IF(ISNUMBER($A1174),INT(MOD($A1174,10000)/100),IFERROR(VALUE(TRIM(LEFT(MID($A1174,FIND("/",$A1174)+1,20),FIND("/",MID($A1174,FIND("/",$A1174)+1,20))-1))),"")))</f>
        <v/>
      </c>
      <c r="D1174">
        <f>IF(OR($A1174="",$B1174=""),"",IF(ISNUMBER($A1174),MOD($A1174,100),IFERROR(VALUE(TRIM(MID(MID($A1174,FIND("/",$A1174)+1,20),FIND("/",MID($A1174,FIND("/",$A1174)+1,20))+1,20))),"")))</f>
        <v/>
      </c>
      <c r="E1174">
        <f>IF($A1174="","",IF(OR($B1174="",$C1174="",$D1174="",$B1174&lt;1300,$B1174&gt;1500,$C1174&lt;1,$C1174&gt;12,$D1174&lt;1,$D1174&gt;31),"نامعتبر",RIGHT("0000"&amp;$B1174,4)&amp;"/"&amp;RIGHT("00"&amp;$C1174,2)&amp;"/"&amp;RIGHT("00"&amp;$D1174,2)))</f>
        <v/>
      </c>
      <c r="F1174">
        <f>IF(OR($E1174="",$E1174="نامعتبر"),"",IF(Sync!$Q1171="","0000",IF(AND(ISNUMBER(Sync!$Q1171),Sync!$Q1171&gt;=0,Sync!$Q1171&lt;1),RIGHT("00"&amp;HOUR(Sync!$Q1171),2)&amp;RIGHT("00"&amp;MINUTE(Sync!$Q1171),2),IFERROR(RIGHT("00"&amp;VALUE(LEFT(Sync!$Q1171,FIND(":",Sync!$Q1171)-1)),2)&amp;RIGHT("00"&amp;VALUE(MID(Sync!$Q1171,FIND(":",Sync!$Q1171)+1,2)),2),"0000"))))</f>
        <v/>
      </c>
      <c r="G1174">
        <f>IF(OR($E1174="",$E1174="نامعتبر"),"",IF(Sync!$S1171="","",Sync!$S1171))</f>
        <v/>
      </c>
      <c r="H1174">
        <f>IF(OR($E1174="",$E1174="نامعتبر"),"",IF(Sync!$R1171="","",Sync!$R1171))</f>
        <v/>
      </c>
      <c r="I1174">
        <f>IF(OR($E1174="",$E1174="نامعتبر"),"",IF(Sync!$T1171="","",Sync!$T1171))</f>
        <v/>
      </c>
      <c r="J1174">
        <f>IF(OR($E1174="",$E1174="نامعتبر"),"",IF(Sync!$U1171="","",Sync!$U1171))</f>
        <v/>
      </c>
      <c r="K1174">
        <f>IF(OR($E1174="",$E1174="نامعتبر"),"",IF(Sync!$V1171="","",IFERROR(INDEX(SubCodes,MATCH(Sync!$V1171,SubTitles,0)),Sync!$V1171)))</f>
        <v/>
      </c>
      <c r="L1174">
        <f>IF(OR($E1174="",$E1174="نامعتبر"),"",IF(Sync!$W1171="",0,Sync!$W1171))</f>
        <v/>
      </c>
      <c r="M1174">
        <f>IF(OR($E1174="",$E1174="نامعتبر"),"",IF(Sync!$X1171="",0,Sync!$X1171))</f>
        <v/>
      </c>
      <c r="N1174">
        <f>IF(OR($E1174="",$E1174="نامعتبر"),"",IF(AND($J1174="هزینه",$K1174&lt;&gt;""),1,0))</f>
        <v/>
      </c>
      <c r="O1174">
        <f>IF($N1174=0,"",LEFT($E1174,4)&amp;MID($E1174,6,2)&amp;RIGHT($E1174,2)&amp;$F1174&amp;"|"&amp;"1"&amp;RIGHT("00000"&amp;1166,5))</f>
        <v/>
      </c>
      <c r="P1174">
        <f>IF($O1174="","",COUNTIFS(ExpSub,$K1174,ExpKey,"&lt;"&amp;$O1174)+1)</f>
        <v/>
      </c>
      <c r="Q1174">
        <f>IF($P1174="","",$K1174&amp;"|"&amp;RIGHT("000000"&amp;$P1174,6))</f>
        <v/>
      </c>
    </row>
    <row r="1175">
      <c r="A1175">
        <f>IF(Sync!$P1172="","",Sync!$P1172)</f>
        <v/>
      </c>
      <c r="B1175">
        <f>IF($A1175="","",IF(ISNUMBER($A1175),IF(AND($A1175&gt;=10000101,$A1175&lt;=99991231),INT($A1175/10000),""),IFERROR(VALUE(TRIM(LEFT($A1175,FIND("/",$A1175)-1))),"")))</f>
        <v/>
      </c>
      <c r="C1175">
        <f>IF(OR($A1175="",$B1175=""),"",IF(ISNUMBER($A1175),INT(MOD($A1175,10000)/100),IFERROR(VALUE(TRIM(LEFT(MID($A1175,FIND("/",$A1175)+1,20),FIND("/",MID($A1175,FIND("/",$A1175)+1,20))-1))),"")))</f>
        <v/>
      </c>
      <c r="D1175">
        <f>IF(OR($A1175="",$B1175=""),"",IF(ISNUMBER($A1175),MOD($A1175,100),IFERROR(VALUE(TRIM(MID(MID($A1175,FIND("/",$A1175)+1,20),FIND("/",MID($A1175,FIND("/",$A1175)+1,20))+1,20))),"")))</f>
        <v/>
      </c>
      <c r="E1175">
        <f>IF($A1175="","",IF(OR($B1175="",$C1175="",$D1175="",$B1175&lt;1300,$B1175&gt;1500,$C1175&lt;1,$C1175&gt;12,$D1175&lt;1,$D1175&gt;31),"نامعتبر",RIGHT("0000"&amp;$B1175,4)&amp;"/"&amp;RIGHT("00"&amp;$C1175,2)&amp;"/"&amp;RIGHT("00"&amp;$D1175,2)))</f>
        <v/>
      </c>
      <c r="F1175">
        <f>IF(OR($E1175="",$E1175="نامعتبر"),"",IF(Sync!$Q1172="","0000",IF(AND(ISNUMBER(Sync!$Q1172),Sync!$Q1172&gt;=0,Sync!$Q1172&lt;1),RIGHT("00"&amp;HOUR(Sync!$Q1172),2)&amp;RIGHT("00"&amp;MINUTE(Sync!$Q1172),2),IFERROR(RIGHT("00"&amp;VALUE(LEFT(Sync!$Q1172,FIND(":",Sync!$Q1172)-1)),2)&amp;RIGHT("00"&amp;VALUE(MID(Sync!$Q1172,FIND(":",Sync!$Q1172)+1,2)),2),"0000"))))</f>
        <v/>
      </c>
      <c r="G1175">
        <f>IF(OR($E1175="",$E1175="نامعتبر"),"",IF(Sync!$S1172="","",Sync!$S1172))</f>
        <v/>
      </c>
      <c r="H1175">
        <f>IF(OR($E1175="",$E1175="نامعتبر"),"",IF(Sync!$R1172="","",Sync!$R1172))</f>
        <v/>
      </c>
      <c r="I1175">
        <f>IF(OR($E1175="",$E1175="نامعتبر"),"",IF(Sync!$T1172="","",Sync!$T1172))</f>
        <v/>
      </c>
      <c r="J1175">
        <f>IF(OR($E1175="",$E1175="نامعتبر"),"",IF(Sync!$U1172="","",Sync!$U1172))</f>
        <v/>
      </c>
      <c r="K1175">
        <f>IF(OR($E1175="",$E1175="نامعتبر"),"",IF(Sync!$V1172="","",IFERROR(INDEX(SubCodes,MATCH(Sync!$V1172,SubTitles,0)),Sync!$V1172)))</f>
        <v/>
      </c>
      <c r="L1175">
        <f>IF(OR($E1175="",$E1175="نامعتبر"),"",IF(Sync!$W1172="",0,Sync!$W1172))</f>
        <v/>
      </c>
      <c r="M1175">
        <f>IF(OR($E1175="",$E1175="نامعتبر"),"",IF(Sync!$X1172="",0,Sync!$X1172))</f>
        <v/>
      </c>
      <c r="N1175">
        <f>IF(OR($E1175="",$E1175="نامعتبر"),"",IF(AND($J1175="هزینه",$K1175&lt;&gt;""),1,0))</f>
        <v/>
      </c>
      <c r="O1175">
        <f>IF($N1175=0,"",LEFT($E1175,4)&amp;MID($E1175,6,2)&amp;RIGHT($E1175,2)&amp;$F1175&amp;"|"&amp;"1"&amp;RIGHT("00000"&amp;1167,5))</f>
        <v/>
      </c>
      <c r="P1175">
        <f>IF($O1175="","",COUNTIFS(ExpSub,$K1175,ExpKey,"&lt;"&amp;$O1175)+1)</f>
        <v/>
      </c>
      <c r="Q1175">
        <f>IF($P1175="","",$K1175&amp;"|"&amp;RIGHT("000000"&amp;$P1175,6))</f>
        <v/>
      </c>
    </row>
    <row r="1176">
      <c r="A1176">
        <f>IF(Sync!$P1173="","",Sync!$P1173)</f>
        <v/>
      </c>
      <c r="B1176">
        <f>IF($A1176="","",IF(ISNUMBER($A1176),IF(AND($A1176&gt;=10000101,$A1176&lt;=99991231),INT($A1176/10000),""),IFERROR(VALUE(TRIM(LEFT($A1176,FIND("/",$A1176)-1))),"")))</f>
        <v/>
      </c>
      <c r="C1176">
        <f>IF(OR($A1176="",$B1176=""),"",IF(ISNUMBER($A1176),INT(MOD($A1176,10000)/100),IFERROR(VALUE(TRIM(LEFT(MID($A1176,FIND("/",$A1176)+1,20),FIND("/",MID($A1176,FIND("/",$A1176)+1,20))-1))),"")))</f>
        <v/>
      </c>
      <c r="D1176">
        <f>IF(OR($A1176="",$B1176=""),"",IF(ISNUMBER($A1176),MOD($A1176,100),IFERROR(VALUE(TRIM(MID(MID($A1176,FIND("/",$A1176)+1,20),FIND("/",MID($A1176,FIND("/",$A1176)+1,20))+1,20))),"")))</f>
        <v/>
      </c>
      <c r="E1176">
        <f>IF($A1176="","",IF(OR($B1176="",$C1176="",$D1176="",$B1176&lt;1300,$B1176&gt;1500,$C1176&lt;1,$C1176&gt;12,$D1176&lt;1,$D1176&gt;31),"نامعتبر",RIGHT("0000"&amp;$B1176,4)&amp;"/"&amp;RIGHT("00"&amp;$C1176,2)&amp;"/"&amp;RIGHT("00"&amp;$D1176,2)))</f>
        <v/>
      </c>
      <c r="F1176">
        <f>IF(OR($E1176="",$E1176="نامعتبر"),"",IF(Sync!$Q1173="","0000",IF(AND(ISNUMBER(Sync!$Q1173),Sync!$Q1173&gt;=0,Sync!$Q1173&lt;1),RIGHT("00"&amp;HOUR(Sync!$Q1173),2)&amp;RIGHT("00"&amp;MINUTE(Sync!$Q1173),2),IFERROR(RIGHT("00"&amp;VALUE(LEFT(Sync!$Q1173,FIND(":",Sync!$Q1173)-1)),2)&amp;RIGHT("00"&amp;VALUE(MID(Sync!$Q1173,FIND(":",Sync!$Q1173)+1,2)),2),"0000"))))</f>
        <v/>
      </c>
      <c r="G1176">
        <f>IF(OR($E1176="",$E1176="نامعتبر"),"",IF(Sync!$S1173="","",Sync!$S1173))</f>
        <v/>
      </c>
      <c r="H1176">
        <f>IF(OR($E1176="",$E1176="نامعتبر"),"",IF(Sync!$R1173="","",Sync!$R1173))</f>
        <v/>
      </c>
      <c r="I1176">
        <f>IF(OR($E1176="",$E1176="نامعتبر"),"",IF(Sync!$T1173="","",Sync!$T1173))</f>
        <v/>
      </c>
      <c r="J1176">
        <f>IF(OR($E1176="",$E1176="نامعتبر"),"",IF(Sync!$U1173="","",Sync!$U1173))</f>
        <v/>
      </c>
      <c r="K1176">
        <f>IF(OR($E1176="",$E1176="نامعتبر"),"",IF(Sync!$V1173="","",IFERROR(INDEX(SubCodes,MATCH(Sync!$V1173,SubTitles,0)),Sync!$V1173)))</f>
        <v/>
      </c>
      <c r="L1176">
        <f>IF(OR($E1176="",$E1176="نامعتبر"),"",IF(Sync!$W1173="",0,Sync!$W1173))</f>
        <v/>
      </c>
      <c r="M1176">
        <f>IF(OR($E1176="",$E1176="نامعتبر"),"",IF(Sync!$X1173="",0,Sync!$X1173))</f>
        <v/>
      </c>
      <c r="N1176">
        <f>IF(OR($E1176="",$E1176="نامعتبر"),"",IF(AND($J1176="هزینه",$K1176&lt;&gt;""),1,0))</f>
        <v/>
      </c>
      <c r="O1176">
        <f>IF($N1176=0,"",LEFT($E1176,4)&amp;MID($E1176,6,2)&amp;RIGHT($E1176,2)&amp;$F1176&amp;"|"&amp;"1"&amp;RIGHT("00000"&amp;1168,5))</f>
        <v/>
      </c>
      <c r="P1176">
        <f>IF($O1176="","",COUNTIFS(ExpSub,$K1176,ExpKey,"&lt;"&amp;$O1176)+1)</f>
        <v/>
      </c>
      <c r="Q1176">
        <f>IF($P1176="","",$K1176&amp;"|"&amp;RIGHT("000000"&amp;$P1176,6))</f>
        <v/>
      </c>
    </row>
    <row r="1177">
      <c r="A1177">
        <f>IF(Sync!$P1174="","",Sync!$P1174)</f>
        <v/>
      </c>
      <c r="B1177">
        <f>IF($A1177="","",IF(ISNUMBER($A1177),IF(AND($A1177&gt;=10000101,$A1177&lt;=99991231),INT($A1177/10000),""),IFERROR(VALUE(TRIM(LEFT($A1177,FIND("/",$A1177)-1))),"")))</f>
        <v/>
      </c>
      <c r="C1177">
        <f>IF(OR($A1177="",$B1177=""),"",IF(ISNUMBER($A1177),INT(MOD($A1177,10000)/100),IFERROR(VALUE(TRIM(LEFT(MID($A1177,FIND("/",$A1177)+1,20),FIND("/",MID($A1177,FIND("/",$A1177)+1,20))-1))),"")))</f>
        <v/>
      </c>
      <c r="D1177">
        <f>IF(OR($A1177="",$B1177=""),"",IF(ISNUMBER($A1177),MOD($A1177,100),IFERROR(VALUE(TRIM(MID(MID($A1177,FIND("/",$A1177)+1,20),FIND("/",MID($A1177,FIND("/",$A1177)+1,20))+1,20))),"")))</f>
        <v/>
      </c>
      <c r="E1177">
        <f>IF($A1177="","",IF(OR($B1177="",$C1177="",$D1177="",$B1177&lt;1300,$B1177&gt;1500,$C1177&lt;1,$C1177&gt;12,$D1177&lt;1,$D1177&gt;31),"نامعتبر",RIGHT("0000"&amp;$B1177,4)&amp;"/"&amp;RIGHT("00"&amp;$C1177,2)&amp;"/"&amp;RIGHT("00"&amp;$D1177,2)))</f>
        <v/>
      </c>
      <c r="F1177">
        <f>IF(OR($E1177="",$E1177="نامعتبر"),"",IF(Sync!$Q1174="","0000",IF(AND(ISNUMBER(Sync!$Q1174),Sync!$Q1174&gt;=0,Sync!$Q1174&lt;1),RIGHT("00"&amp;HOUR(Sync!$Q1174),2)&amp;RIGHT("00"&amp;MINUTE(Sync!$Q1174),2),IFERROR(RIGHT("00"&amp;VALUE(LEFT(Sync!$Q1174,FIND(":",Sync!$Q1174)-1)),2)&amp;RIGHT("00"&amp;VALUE(MID(Sync!$Q1174,FIND(":",Sync!$Q1174)+1,2)),2),"0000"))))</f>
        <v/>
      </c>
      <c r="G1177">
        <f>IF(OR($E1177="",$E1177="نامعتبر"),"",IF(Sync!$S1174="","",Sync!$S1174))</f>
        <v/>
      </c>
      <c r="H1177">
        <f>IF(OR($E1177="",$E1177="نامعتبر"),"",IF(Sync!$R1174="","",Sync!$R1174))</f>
        <v/>
      </c>
      <c r="I1177">
        <f>IF(OR($E1177="",$E1177="نامعتبر"),"",IF(Sync!$T1174="","",Sync!$T1174))</f>
        <v/>
      </c>
      <c r="J1177">
        <f>IF(OR($E1177="",$E1177="نامعتبر"),"",IF(Sync!$U1174="","",Sync!$U1174))</f>
        <v/>
      </c>
      <c r="K1177">
        <f>IF(OR($E1177="",$E1177="نامعتبر"),"",IF(Sync!$V1174="","",IFERROR(INDEX(SubCodes,MATCH(Sync!$V1174,SubTitles,0)),Sync!$V1174)))</f>
        <v/>
      </c>
      <c r="L1177">
        <f>IF(OR($E1177="",$E1177="نامعتبر"),"",IF(Sync!$W1174="",0,Sync!$W1174))</f>
        <v/>
      </c>
      <c r="M1177">
        <f>IF(OR($E1177="",$E1177="نامعتبر"),"",IF(Sync!$X1174="",0,Sync!$X1174))</f>
        <v/>
      </c>
      <c r="N1177">
        <f>IF(OR($E1177="",$E1177="نامعتبر"),"",IF(AND($J1177="هزینه",$K1177&lt;&gt;""),1,0))</f>
        <v/>
      </c>
      <c r="O1177">
        <f>IF($N1177=0,"",LEFT($E1177,4)&amp;MID($E1177,6,2)&amp;RIGHT($E1177,2)&amp;$F1177&amp;"|"&amp;"1"&amp;RIGHT("00000"&amp;1169,5))</f>
        <v/>
      </c>
      <c r="P1177">
        <f>IF($O1177="","",COUNTIFS(ExpSub,$K1177,ExpKey,"&lt;"&amp;$O1177)+1)</f>
        <v/>
      </c>
      <c r="Q1177">
        <f>IF($P1177="","",$K1177&amp;"|"&amp;RIGHT("000000"&amp;$P1177,6))</f>
        <v/>
      </c>
    </row>
    <row r="1178">
      <c r="A1178">
        <f>IF(Sync!$P1175="","",Sync!$P1175)</f>
        <v/>
      </c>
      <c r="B1178">
        <f>IF($A1178="","",IF(ISNUMBER($A1178),IF(AND($A1178&gt;=10000101,$A1178&lt;=99991231),INT($A1178/10000),""),IFERROR(VALUE(TRIM(LEFT($A1178,FIND("/",$A1178)-1))),"")))</f>
        <v/>
      </c>
      <c r="C1178">
        <f>IF(OR($A1178="",$B1178=""),"",IF(ISNUMBER($A1178),INT(MOD($A1178,10000)/100),IFERROR(VALUE(TRIM(LEFT(MID($A1178,FIND("/",$A1178)+1,20),FIND("/",MID($A1178,FIND("/",$A1178)+1,20))-1))),"")))</f>
        <v/>
      </c>
      <c r="D1178">
        <f>IF(OR($A1178="",$B1178=""),"",IF(ISNUMBER($A1178),MOD($A1178,100),IFERROR(VALUE(TRIM(MID(MID($A1178,FIND("/",$A1178)+1,20),FIND("/",MID($A1178,FIND("/",$A1178)+1,20))+1,20))),"")))</f>
        <v/>
      </c>
      <c r="E1178">
        <f>IF($A1178="","",IF(OR($B1178="",$C1178="",$D1178="",$B1178&lt;1300,$B1178&gt;1500,$C1178&lt;1,$C1178&gt;12,$D1178&lt;1,$D1178&gt;31),"نامعتبر",RIGHT("0000"&amp;$B1178,4)&amp;"/"&amp;RIGHT("00"&amp;$C1178,2)&amp;"/"&amp;RIGHT("00"&amp;$D1178,2)))</f>
        <v/>
      </c>
      <c r="F1178">
        <f>IF(OR($E1178="",$E1178="نامعتبر"),"",IF(Sync!$Q1175="","0000",IF(AND(ISNUMBER(Sync!$Q1175),Sync!$Q1175&gt;=0,Sync!$Q1175&lt;1),RIGHT("00"&amp;HOUR(Sync!$Q1175),2)&amp;RIGHT("00"&amp;MINUTE(Sync!$Q1175),2),IFERROR(RIGHT("00"&amp;VALUE(LEFT(Sync!$Q1175,FIND(":",Sync!$Q1175)-1)),2)&amp;RIGHT("00"&amp;VALUE(MID(Sync!$Q1175,FIND(":",Sync!$Q1175)+1,2)),2),"0000"))))</f>
        <v/>
      </c>
      <c r="G1178">
        <f>IF(OR($E1178="",$E1178="نامعتبر"),"",IF(Sync!$S1175="","",Sync!$S1175))</f>
        <v/>
      </c>
      <c r="H1178">
        <f>IF(OR($E1178="",$E1178="نامعتبر"),"",IF(Sync!$R1175="","",Sync!$R1175))</f>
        <v/>
      </c>
      <c r="I1178">
        <f>IF(OR($E1178="",$E1178="نامعتبر"),"",IF(Sync!$T1175="","",Sync!$T1175))</f>
        <v/>
      </c>
      <c r="J1178">
        <f>IF(OR($E1178="",$E1178="نامعتبر"),"",IF(Sync!$U1175="","",Sync!$U1175))</f>
        <v/>
      </c>
      <c r="K1178">
        <f>IF(OR($E1178="",$E1178="نامعتبر"),"",IF(Sync!$V1175="","",IFERROR(INDEX(SubCodes,MATCH(Sync!$V1175,SubTitles,0)),Sync!$V1175)))</f>
        <v/>
      </c>
      <c r="L1178">
        <f>IF(OR($E1178="",$E1178="نامعتبر"),"",IF(Sync!$W1175="",0,Sync!$W1175))</f>
        <v/>
      </c>
      <c r="M1178">
        <f>IF(OR($E1178="",$E1178="نامعتبر"),"",IF(Sync!$X1175="",0,Sync!$X1175))</f>
        <v/>
      </c>
      <c r="N1178">
        <f>IF(OR($E1178="",$E1178="نامعتبر"),"",IF(AND($J1178="هزینه",$K1178&lt;&gt;""),1,0))</f>
        <v/>
      </c>
      <c r="O1178">
        <f>IF($N1178=0,"",LEFT($E1178,4)&amp;MID($E1178,6,2)&amp;RIGHT($E1178,2)&amp;$F1178&amp;"|"&amp;"1"&amp;RIGHT("00000"&amp;1170,5))</f>
        <v/>
      </c>
      <c r="P1178">
        <f>IF($O1178="","",COUNTIFS(ExpSub,$K1178,ExpKey,"&lt;"&amp;$O1178)+1)</f>
        <v/>
      </c>
      <c r="Q1178">
        <f>IF($P1178="","",$K1178&amp;"|"&amp;RIGHT("000000"&amp;$P1178,6))</f>
        <v/>
      </c>
    </row>
    <row r="1179">
      <c r="A1179">
        <f>IF(Sync!$P1176="","",Sync!$P1176)</f>
        <v/>
      </c>
      <c r="B1179">
        <f>IF($A1179="","",IF(ISNUMBER($A1179),IF(AND($A1179&gt;=10000101,$A1179&lt;=99991231),INT($A1179/10000),""),IFERROR(VALUE(TRIM(LEFT($A1179,FIND("/",$A1179)-1))),"")))</f>
        <v/>
      </c>
      <c r="C1179">
        <f>IF(OR($A1179="",$B1179=""),"",IF(ISNUMBER($A1179),INT(MOD($A1179,10000)/100),IFERROR(VALUE(TRIM(LEFT(MID($A1179,FIND("/",$A1179)+1,20),FIND("/",MID($A1179,FIND("/",$A1179)+1,20))-1))),"")))</f>
        <v/>
      </c>
      <c r="D1179">
        <f>IF(OR($A1179="",$B1179=""),"",IF(ISNUMBER($A1179),MOD($A1179,100),IFERROR(VALUE(TRIM(MID(MID($A1179,FIND("/",$A1179)+1,20),FIND("/",MID($A1179,FIND("/",$A1179)+1,20))+1,20))),"")))</f>
        <v/>
      </c>
      <c r="E1179">
        <f>IF($A1179="","",IF(OR($B1179="",$C1179="",$D1179="",$B1179&lt;1300,$B1179&gt;1500,$C1179&lt;1,$C1179&gt;12,$D1179&lt;1,$D1179&gt;31),"نامعتبر",RIGHT("0000"&amp;$B1179,4)&amp;"/"&amp;RIGHT("00"&amp;$C1179,2)&amp;"/"&amp;RIGHT("00"&amp;$D1179,2)))</f>
        <v/>
      </c>
      <c r="F1179">
        <f>IF(OR($E1179="",$E1179="نامعتبر"),"",IF(Sync!$Q1176="","0000",IF(AND(ISNUMBER(Sync!$Q1176),Sync!$Q1176&gt;=0,Sync!$Q1176&lt;1),RIGHT("00"&amp;HOUR(Sync!$Q1176),2)&amp;RIGHT("00"&amp;MINUTE(Sync!$Q1176),2),IFERROR(RIGHT("00"&amp;VALUE(LEFT(Sync!$Q1176,FIND(":",Sync!$Q1176)-1)),2)&amp;RIGHT("00"&amp;VALUE(MID(Sync!$Q1176,FIND(":",Sync!$Q1176)+1,2)),2),"0000"))))</f>
        <v/>
      </c>
      <c r="G1179">
        <f>IF(OR($E1179="",$E1179="نامعتبر"),"",IF(Sync!$S1176="","",Sync!$S1176))</f>
        <v/>
      </c>
      <c r="H1179">
        <f>IF(OR($E1179="",$E1179="نامعتبر"),"",IF(Sync!$R1176="","",Sync!$R1176))</f>
        <v/>
      </c>
      <c r="I1179">
        <f>IF(OR($E1179="",$E1179="نامعتبر"),"",IF(Sync!$T1176="","",Sync!$T1176))</f>
        <v/>
      </c>
      <c r="J1179">
        <f>IF(OR($E1179="",$E1179="نامعتبر"),"",IF(Sync!$U1176="","",Sync!$U1176))</f>
        <v/>
      </c>
      <c r="K1179">
        <f>IF(OR($E1179="",$E1179="نامعتبر"),"",IF(Sync!$V1176="","",IFERROR(INDEX(SubCodes,MATCH(Sync!$V1176,SubTitles,0)),Sync!$V1176)))</f>
        <v/>
      </c>
      <c r="L1179">
        <f>IF(OR($E1179="",$E1179="نامعتبر"),"",IF(Sync!$W1176="",0,Sync!$W1176))</f>
        <v/>
      </c>
      <c r="M1179">
        <f>IF(OR($E1179="",$E1179="نامعتبر"),"",IF(Sync!$X1176="",0,Sync!$X1176))</f>
        <v/>
      </c>
      <c r="N1179">
        <f>IF(OR($E1179="",$E1179="نامعتبر"),"",IF(AND($J1179="هزینه",$K1179&lt;&gt;""),1,0))</f>
        <v/>
      </c>
      <c r="O1179">
        <f>IF($N1179=0,"",LEFT($E1179,4)&amp;MID($E1179,6,2)&amp;RIGHT($E1179,2)&amp;$F1179&amp;"|"&amp;"1"&amp;RIGHT("00000"&amp;1171,5))</f>
        <v/>
      </c>
      <c r="P1179">
        <f>IF($O1179="","",COUNTIFS(ExpSub,$K1179,ExpKey,"&lt;"&amp;$O1179)+1)</f>
        <v/>
      </c>
      <c r="Q1179">
        <f>IF($P1179="","",$K1179&amp;"|"&amp;RIGHT("000000"&amp;$P1179,6))</f>
        <v/>
      </c>
    </row>
    <row r="1180">
      <c r="A1180">
        <f>IF(Sync!$P1177="","",Sync!$P1177)</f>
        <v/>
      </c>
      <c r="B1180">
        <f>IF($A1180="","",IF(ISNUMBER($A1180),IF(AND($A1180&gt;=10000101,$A1180&lt;=99991231),INT($A1180/10000),""),IFERROR(VALUE(TRIM(LEFT($A1180,FIND("/",$A1180)-1))),"")))</f>
        <v/>
      </c>
      <c r="C1180">
        <f>IF(OR($A1180="",$B1180=""),"",IF(ISNUMBER($A1180),INT(MOD($A1180,10000)/100),IFERROR(VALUE(TRIM(LEFT(MID($A1180,FIND("/",$A1180)+1,20),FIND("/",MID($A1180,FIND("/",$A1180)+1,20))-1))),"")))</f>
        <v/>
      </c>
      <c r="D1180">
        <f>IF(OR($A1180="",$B1180=""),"",IF(ISNUMBER($A1180),MOD($A1180,100),IFERROR(VALUE(TRIM(MID(MID($A1180,FIND("/",$A1180)+1,20),FIND("/",MID($A1180,FIND("/",$A1180)+1,20))+1,20))),"")))</f>
        <v/>
      </c>
      <c r="E1180">
        <f>IF($A1180="","",IF(OR($B1180="",$C1180="",$D1180="",$B1180&lt;1300,$B1180&gt;1500,$C1180&lt;1,$C1180&gt;12,$D1180&lt;1,$D1180&gt;31),"نامعتبر",RIGHT("0000"&amp;$B1180,4)&amp;"/"&amp;RIGHT("00"&amp;$C1180,2)&amp;"/"&amp;RIGHT("00"&amp;$D1180,2)))</f>
        <v/>
      </c>
      <c r="F1180">
        <f>IF(OR($E1180="",$E1180="نامعتبر"),"",IF(Sync!$Q1177="","0000",IF(AND(ISNUMBER(Sync!$Q1177),Sync!$Q1177&gt;=0,Sync!$Q1177&lt;1),RIGHT("00"&amp;HOUR(Sync!$Q1177),2)&amp;RIGHT("00"&amp;MINUTE(Sync!$Q1177),2),IFERROR(RIGHT("00"&amp;VALUE(LEFT(Sync!$Q1177,FIND(":",Sync!$Q1177)-1)),2)&amp;RIGHT("00"&amp;VALUE(MID(Sync!$Q1177,FIND(":",Sync!$Q1177)+1,2)),2),"0000"))))</f>
        <v/>
      </c>
      <c r="G1180">
        <f>IF(OR($E1180="",$E1180="نامعتبر"),"",IF(Sync!$S1177="","",Sync!$S1177))</f>
        <v/>
      </c>
      <c r="H1180">
        <f>IF(OR($E1180="",$E1180="نامعتبر"),"",IF(Sync!$R1177="","",Sync!$R1177))</f>
        <v/>
      </c>
      <c r="I1180">
        <f>IF(OR($E1180="",$E1180="نامعتبر"),"",IF(Sync!$T1177="","",Sync!$T1177))</f>
        <v/>
      </c>
      <c r="J1180">
        <f>IF(OR($E1180="",$E1180="نامعتبر"),"",IF(Sync!$U1177="","",Sync!$U1177))</f>
        <v/>
      </c>
      <c r="K1180">
        <f>IF(OR($E1180="",$E1180="نامعتبر"),"",IF(Sync!$V1177="","",IFERROR(INDEX(SubCodes,MATCH(Sync!$V1177,SubTitles,0)),Sync!$V1177)))</f>
        <v/>
      </c>
      <c r="L1180">
        <f>IF(OR($E1180="",$E1180="نامعتبر"),"",IF(Sync!$W1177="",0,Sync!$W1177))</f>
        <v/>
      </c>
      <c r="M1180">
        <f>IF(OR($E1180="",$E1180="نامعتبر"),"",IF(Sync!$X1177="",0,Sync!$X1177))</f>
        <v/>
      </c>
      <c r="N1180">
        <f>IF(OR($E1180="",$E1180="نامعتبر"),"",IF(AND($J1180="هزینه",$K1180&lt;&gt;""),1,0))</f>
        <v/>
      </c>
      <c r="O1180">
        <f>IF($N1180=0,"",LEFT($E1180,4)&amp;MID($E1180,6,2)&amp;RIGHT($E1180,2)&amp;$F1180&amp;"|"&amp;"1"&amp;RIGHT("00000"&amp;1172,5))</f>
        <v/>
      </c>
      <c r="P1180">
        <f>IF($O1180="","",COUNTIFS(ExpSub,$K1180,ExpKey,"&lt;"&amp;$O1180)+1)</f>
        <v/>
      </c>
      <c r="Q1180">
        <f>IF($P1180="","",$K1180&amp;"|"&amp;RIGHT("000000"&amp;$P1180,6))</f>
        <v/>
      </c>
    </row>
    <row r="1181">
      <c r="A1181">
        <f>IF(Sync!$P1178="","",Sync!$P1178)</f>
        <v/>
      </c>
      <c r="B1181">
        <f>IF($A1181="","",IF(ISNUMBER($A1181),IF(AND($A1181&gt;=10000101,$A1181&lt;=99991231),INT($A1181/10000),""),IFERROR(VALUE(TRIM(LEFT($A1181,FIND("/",$A1181)-1))),"")))</f>
        <v/>
      </c>
      <c r="C1181">
        <f>IF(OR($A1181="",$B1181=""),"",IF(ISNUMBER($A1181),INT(MOD($A1181,10000)/100),IFERROR(VALUE(TRIM(LEFT(MID($A1181,FIND("/",$A1181)+1,20),FIND("/",MID($A1181,FIND("/",$A1181)+1,20))-1))),"")))</f>
        <v/>
      </c>
      <c r="D1181">
        <f>IF(OR($A1181="",$B1181=""),"",IF(ISNUMBER($A1181),MOD($A1181,100),IFERROR(VALUE(TRIM(MID(MID($A1181,FIND("/",$A1181)+1,20),FIND("/",MID($A1181,FIND("/",$A1181)+1,20))+1,20))),"")))</f>
        <v/>
      </c>
      <c r="E1181">
        <f>IF($A1181="","",IF(OR($B1181="",$C1181="",$D1181="",$B1181&lt;1300,$B1181&gt;1500,$C1181&lt;1,$C1181&gt;12,$D1181&lt;1,$D1181&gt;31),"نامعتبر",RIGHT("0000"&amp;$B1181,4)&amp;"/"&amp;RIGHT("00"&amp;$C1181,2)&amp;"/"&amp;RIGHT("00"&amp;$D1181,2)))</f>
        <v/>
      </c>
      <c r="F1181">
        <f>IF(OR($E1181="",$E1181="نامعتبر"),"",IF(Sync!$Q1178="","0000",IF(AND(ISNUMBER(Sync!$Q1178),Sync!$Q1178&gt;=0,Sync!$Q1178&lt;1),RIGHT("00"&amp;HOUR(Sync!$Q1178),2)&amp;RIGHT("00"&amp;MINUTE(Sync!$Q1178),2),IFERROR(RIGHT("00"&amp;VALUE(LEFT(Sync!$Q1178,FIND(":",Sync!$Q1178)-1)),2)&amp;RIGHT("00"&amp;VALUE(MID(Sync!$Q1178,FIND(":",Sync!$Q1178)+1,2)),2),"0000"))))</f>
        <v/>
      </c>
      <c r="G1181">
        <f>IF(OR($E1181="",$E1181="نامعتبر"),"",IF(Sync!$S1178="","",Sync!$S1178))</f>
        <v/>
      </c>
      <c r="H1181">
        <f>IF(OR($E1181="",$E1181="نامعتبر"),"",IF(Sync!$R1178="","",Sync!$R1178))</f>
        <v/>
      </c>
      <c r="I1181">
        <f>IF(OR($E1181="",$E1181="نامعتبر"),"",IF(Sync!$T1178="","",Sync!$T1178))</f>
        <v/>
      </c>
      <c r="J1181">
        <f>IF(OR($E1181="",$E1181="نامعتبر"),"",IF(Sync!$U1178="","",Sync!$U1178))</f>
        <v/>
      </c>
      <c r="K1181">
        <f>IF(OR($E1181="",$E1181="نامعتبر"),"",IF(Sync!$V1178="","",IFERROR(INDEX(SubCodes,MATCH(Sync!$V1178,SubTitles,0)),Sync!$V1178)))</f>
        <v/>
      </c>
      <c r="L1181">
        <f>IF(OR($E1181="",$E1181="نامعتبر"),"",IF(Sync!$W1178="",0,Sync!$W1178))</f>
        <v/>
      </c>
      <c r="M1181">
        <f>IF(OR($E1181="",$E1181="نامعتبر"),"",IF(Sync!$X1178="",0,Sync!$X1178))</f>
        <v/>
      </c>
      <c r="N1181">
        <f>IF(OR($E1181="",$E1181="نامعتبر"),"",IF(AND($J1181="هزینه",$K1181&lt;&gt;""),1,0))</f>
        <v/>
      </c>
      <c r="O1181">
        <f>IF($N1181=0,"",LEFT($E1181,4)&amp;MID($E1181,6,2)&amp;RIGHT($E1181,2)&amp;$F1181&amp;"|"&amp;"1"&amp;RIGHT("00000"&amp;1173,5))</f>
        <v/>
      </c>
      <c r="P1181">
        <f>IF($O1181="","",COUNTIFS(ExpSub,$K1181,ExpKey,"&lt;"&amp;$O1181)+1)</f>
        <v/>
      </c>
      <c r="Q1181">
        <f>IF($P1181="","",$K1181&amp;"|"&amp;RIGHT("000000"&amp;$P1181,6))</f>
        <v/>
      </c>
    </row>
    <row r="1182">
      <c r="A1182">
        <f>IF(Sync!$P1179="","",Sync!$P1179)</f>
        <v/>
      </c>
      <c r="B1182">
        <f>IF($A1182="","",IF(ISNUMBER($A1182),IF(AND($A1182&gt;=10000101,$A1182&lt;=99991231),INT($A1182/10000),""),IFERROR(VALUE(TRIM(LEFT($A1182,FIND("/",$A1182)-1))),"")))</f>
        <v/>
      </c>
      <c r="C1182">
        <f>IF(OR($A1182="",$B1182=""),"",IF(ISNUMBER($A1182),INT(MOD($A1182,10000)/100),IFERROR(VALUE(TRIM(LEFT(MID($A1182,FIND("/",$A1182)+1,20),FIND("/",MID($A1182,FIND("/",$A1182)+1,20))-1))),"")))</f>
        <v/>
      </c>
      <c r="D1182">
        <f>IF(OR($A1182="",$B1182=""),"",IF(ISNUMBER($A1182),MOD($A1182,100),IFERROR(VALUE(TRIM(MID(MID($A1182,FIND("/",$A1182)+1,20),FIND("/",MID($A1182,FIND("/",$A1182)+1,20))+1,20))),"")))</f>
        <v/>
      </c>
      <c r="E1182">
        <f>IF($A1182="","",IF(OR($B1182="",$C1182="",$D1182="",$B1182&lt;1300,$B1182&gt;1500,$C1182&lt;1,$C1182&gt;12,$D1182&lt;1,$D1182&gt;31),"نامعتبر",RIGHT("0000"&amp;$B1182,4)&amp;"/"&amp;RIGHT("00"&amp;$C1182,2)&amp;"/"&amp;RIGHT("00"&amp;$D1182,2)))</f>
        <v/>
      </c>
      <c r="F1182">
        <f>IF(OR($E1182="",$E1182="نامعتبر"),"",IF(Sync!$Q1179="","0000",IF(AND(ISNUMBER(Sync!$Q1179),Sync!$Q1179&gt;=0,Sync!$Q1179&lt;1),RIGHT("00"&amp;HOUR(Sync!$Q1179),2)&amp;RIGHT("00"&amp;MINUTE(Sync!$Q1179),2),IFERROR(RIGHT("00"&amp;VALUE(LEFT(Sync!$Q1179,FIND(":",Sync!$Q1179)-1)),2)&amp;RIGHT("00"&amp;VALUE(MID(Sync!$Q1179,FIND(":",Sync!$Q1179)+1,2)),2),"0000"))))</f>
        <v/>
      </c>
      <c r="G1182">
        <f>IF(OR($E1182="",$E1182="نامعتبر"),"",IF(Sync!$S1179="","",Sync!$S1179))</f>
        <v/>
      </c>
      <c r="H1182">
        <f>IF(OR($E1182="",$E1182="نامعتبر"),"",IF(Sync!$R1179="","",Sync!$R1179))</f>
        <v/>
      </c>
      <c r="I1182">
        <f>IF(OR($E1182="",$E1182="نامعتبر"),"",IF(Sync!$T1179="","",Sync!$T1179))</f>
        <v/>
      </c>
      <c r="J1182">
        <f>IF(OR($E1182="",$E1182="نامعتبر"),"",IF(Sync!$U1179="","",Sync!$U1179))</f>
        <v/>
      </c>
      <c r="K1182">
        <f>IF(OR($E1182="",$E1182="نامعتبر"),"",IF(Sync!$V1179="","",IFERROR(INDEX(SubCodes,MATCH(Sync!$V1179,SubTitles,0)),Sync!$V1179)))</f>
        <v/>
      </c>
      <c r="L1182">
        <f>IF(OR($E1182="",$E1182="نامعتبر"),"",IF(Sync!$W1179="",0,Sync!$W1179))</f>
        <v/>
      </c>
      <c r="M1182">
        <f>IF(OR($E1182="",$E1182="نامعتبر"),"",IF(Sync!$X1179="",0,Sync!$X1179))</f>
        <v/>
      </c>
      <c r="N1182">
        <f>IF(OR($E1182="",$E1182="نامعتبر"),"",IF(AND($J1182="هزینه",$K1182&lt;&gt;""),1,0))</f>
        <v/>
      </c>
      <c r="O1182">
        <f>IF($N1182=0,"",LEFT($E1182,4)&amp;MID($E1182,6,2)&amp;RIGHT($E1182,2)&amp;$F1182&amp;"|"&amp;"1"&amp;RIGHT("00000"&amp;1174,5))</f>
        <v/>
      </c>
      <c r="P1182">
        <f>IF($O1182="","",COUNTIFS(ExpSub,$K1182,ExpKey,"&lt;"&amp;$O1182)+1)</f>
        <v/>
      </c>
      <c r="Q1182">
        <f>IF($P1182="","",$K1182&amp;"|"&amp;RIGHT("000000"&amp;$P1182,6))</f>
        <v/>
      </c>
    </row>
    <row r="1183">
      <c r="A1183">
        <f>IF(Sync!$P1180="","",Sync!$P1180)</f>
        <v/>
      </c>
      <c r="B1183">
        <f>IF($A1183="","",IF(ISNUMBER($A1183),IF(AND($A1183&gt;=10000101,$A1183&lt;=99991231),INT($A1183/10000),""),IFERROR(VALUE(TRIM(LEFT($A1183,FIND("/",$A1183)-1))),"")))</f>
        <v/>
      </c>
      <c r="C1183">
        <f>IF(OR($A1183="",$B1183=""),"",IF(ISNUMBER($A1183),INT(MOD($A1183,10000)/100),IFERROR(VALUE(TRIM(LEFT(MID($A1183,FIND("/",$A1183)+1,20),FIND("/",MID($A1183,FIND("/",$A1183)+1,20))-1))),"")))</f>
        <v/>
      </c>
      <c r="D1183">
        <f>IF(OR($A1183="",$B1183=""),"",IF(ISNUMBER($A1183),MOD($A1183,100),IFERROR(VALUE(TRIM(MID(MID($A1183,FIND("/",$A1183)+1,20),FIND("/",MID($A1183,FIND("/",$A1183)+1,20))+1,20))),"")))</f>
        <v/>
      </c>
      <c r="E1183">
        <f>IF($A1183="","",IF(OR($B1183="",$C1183="",$D1183="",$B1183&lt;1300,$B1183&gt;1500,$C1183&lt;1,$C1183&gt;12,$D1183&lt;1,$D1183&gt;31),"نامعتبر",RIGHT("0000"&amp;$B1183,4)&amp;"/"&amp;RIGHT("00"&amp;$C1183,2)&amp;"/"&amp;RIGHT("00"&amp;$D1183,2)))</f>
        <v/>
      </c>
      <c r="F1183">
        <f>IF(OR($E1183="",$E1183="نامعتبر"),"",IF(Sync!$Q1180="","0000",IF(AND(ISNUMBER(Sync!$Q1180),Sync!$Q1180&gt;=0,Sync!$Q1180&lt;1),RIGHT("00"&amp;HOUR(Sync!$Q1180),2)&amp;RIGHT("00"&amp;MINUTE(Sync!$Q1180),2),IFERROR(RIGHT("00"&amp;VALUE(LEFT(Sync!$Q1180,FIND(":",Sync!$Q1180)-1)),2)&amp;RIGHT("00"&amp;VALUE(MID(Sync!$Q1180,FIND(":",Sync!$Q1180)+1,2)),2),"0000"))))</f>
        <v/>
      </c>
      <c r="G1183">
        <f>IF(OR($E1183="",$E1183="نامعتبر"),"",IF(Sync!$S1180="","",Sync!$S1180))</f>
        <v/>
      </c>
      <c r="H1183">
        <f>IF(OR($E1183="",$E1183="نامعتبر"),"",IF(Sync!$R1180="","",Sync!$R1180))</f>
        <v/>
      </c>
      <c r="I1183">
        <f>IF(OR($E1183="",$E1183="نامعتبر"),"",IF(Sync!$T1180="","",Sync!$T1180))</f>
        <v/>
      </c>
      <c r="J1183">
        <f>IF(OR($E1183="",$E1183="نامعتبر"),"",IF(Sync!$U1180="","",Sync!$U1180))</f>
        <v/>
      </c>
      <c r="K1183">
        <f>IF(OR($E1183="",$E1183="نامعتبر"),"",IF(Sync!$V1180="","",IFERROR(INDEX(SubCodes,MATCH(Sync!$V1180,SubTitles,0)),Sync!$V1180)))</f>
        <v/>
      </c>
      <c r="L1183">
        <f>IF(OR($E1183="",$E1183="نامعتبر"),"",IF(Sync!$W1180="",0,Sync!$W1180))</f>
        <v/>
      </c>
      <c r="M1183">
        <f>IF(OR($E1183="",$E1183="نامعتبر"),"",IF(Sync!$X1180="",0,Sync!$X1180))</f>
        <v/>
      </c>
      <c r="N1183">
        <f>IF(OR($E1183="",$E1183="نامعتبر"),"",IF(AND($J1183="هزینه",$K1183&lt;&gt;""),1,0))</f>
        <v/>
      </c>
      <c r="O1183">
        <f>IF($N1183=0,"",LEFT($E1183,4)&amp;MID($E1183,6,2)&amp;RIGHT($E1183,2)&amp;$F1183&amp;"|"&amp;"1"&amp;RIGHT("00000"&amp;1175,5))</f>
        <v/>
      </c>
      <c r="P1183">
        <f>IF($O1183="","",COUNTIFS(ExpSub,$K1183,ExpKey,"&lt;"&amp;$O1183)+1)</f>
        <v/>
      </c>
      <c r="Q1183">
        <f>IF($P1183="","",$K1183&amp;"|"&amp;RIGHT("000000"&amp;$P1183,6))</f>
        <v/>
      </c>
    </row>
    <row r="1184">
      <c r="A1184">
        <f>IF(Sync!$P1181="","",Sync!$P1181)</f>
        <v/>
      </c>
      <c r="B1184">
        <f>IF($A1184="","",IF(ISNUMBER($A1184),IF(AND($A1184&gt;=10000101,$A1184&lt;=99991231),INT($A1184/10000),""),IFERROR(VALUE(TRIM(LEFT($A1184,FIND("/",$A1184)-1))),"")))</f>
        <v/>
      </c>
      <c r="C1184">
        <f>IF(OR($A1184="",$B1184=""),"",IF(ISNUMBER($A1184),INT(MOD($A1184,10000)/100),IFERROR(VALUE(TRIM(LEFT(MID($A1184,FIND("/",$A1184)+1,20),FIND("/",MID($A1184,FIND("/",$A1184)+1,20))-1))),"")))</f>
        <v/>
      </c>
      <c r="D1184">
        <f>IF(OR($A1184="",$B1184=""),"",IF(ISNUMBER($A1184),MOD($A1184,100),IFERROR(VALUE(TRIM(MID(MID($A1184,FIND("/",$A1184)+1,20),FIND("/",MID($A1184,FIND("/",$A1184)+1,20))+1,20))),"")))</f>
        <v/>
      </c>
      <c r="E1184">
        <f>IF($A1184="","",IF(OR($B1184="",$C1184="",$D1184="",$B1184&lt;1300,$B1184&gt;1500,$C1184&lt;1,$C1184&gt;12,$D1184&lt;1,$D1184&gt;31),"نامعتبر",RIGHT("0000"&amp;$B1184,4)&amp;"/"&amp;RIGHT("00"&amp;$C1184,2)&amp;"/"&amp;RIGHT("00"&amp;$D1184,2)))</f>
        <v/>
      </c>
      <c r="F1184">
        <f>IF(OR($E1184="",$E1184="نامعتبر"),"",IF(Sync!$Q1181="","0000",IF(AND(ISNUMBER(Sync!$Q1181),Sync!$Q1181&gt;=0,Sync!$Q1181&lt;1),RIGHT("00"&amp;HOUR(Sync!$Q1181),2)&amp;RIGHT("00"&amp;MINUTE(Sync!$Q1181),2),IFERROR(RIGHT("00"&amp;VALUE(LEFT(Sync!$Q1181,FIND(":",Sync!$Q1181)-1)),2)&amp;RIGHT("00"&amp;VALUE(MID(Sync!$Q1181,FIND(":",Sync!$Q1181)+1,2)),2),"0000"))))</f>
        <v/>
      </c>
      <c r="G1184">
        <f>IF(OR($E1184="",$E1184="نامعتبر"),"",IF(Sync!$S1181="","",Sync!$S1181))</f>
        <v/>
      </c>
      <c r="H1184">
        <f>IF(OR($E1184="",$E1184="نامعتبر"),"",IF(Sync!$R1181="","",Sync!$R1181))</f>
        <v/>
      </c>
      <c r="I1184">
        <f>IF(OR($E1184="",$E1184="نامعتبر"),"",IF(Sync!$T1181="","",Sync!$T1181))</f>
        <v/>
      </c>
      <c r="J1184">
        <f>IF(OR($E1184="",$E1184="نامعتبر"),"",IF(Sync!$U1181="","",Sync!$U1181))</f>
        <v/>
      </c>
      <c r="K1184">
        <f>IF(OR($E1184="",$E1184="نامعتبر"),"",IF(Sync!$V1181="","",IFERROR(INDEX(SubCodes,MATCH(Sync!$V1181,SubTitles,0)),Sync!$V1181)))</f>
        <v/>
      </c>
      <c r="L1184">
        <f>IF(OR($E1184="",$E1184="نامعتبر"),"",IF(Sync!$W1181="",0,Sync!$W1181))</f>
        <v/>
      </c>
      <c r="M1184">
        <f>IF(OR($E1184="",$E1184="نامعتبر"),"",IF(Sync!$X1181="",0,Sync!$X1181))</f>
        <v/>
      </c>
      <c r="N1184">
        <f>IF(OR($E1184="",$E1184="نامعتبر"),"",IF(AND($J1184="هزینه",$K1184&lt;&gt;""),1,0))</f>
        <v/>
      </c>
      <c r="O1184">
        <f>IF($N1184=0,"",LEFT($E1184,4)&amp;MID($E1184,6,2)&amp;RIGHT($E1184,2)&amp;$F1184&amp;"|"&amp;"1"&amp;RIGHT("00000"&amp;1176,5))</f>
        <v/>
      </c>
      <c r="P1184">
        <f>IF($O1184="","",COUNTIFS(ExpSub,$K1184,ExpKey,"&lt;"&amp;$O1184)+1)</f>
        <v/>
      </c>
      <c r="Q1184">
        <f>IF($P1184="","",$K1184&amp;"|"&amp;RIGHT("000000"&amp;$P1184,6))</f>
        <v/>
      </c>
    </row>
    <row r="1185">
      <c r="A1185">
        <f>IF(Sync!$P1182="","",Sync!$P1182)</f>
        <v/>
      </c>
      <c r="B1185">
        <f>IF($A1185="","",IF(ISNUMBER($A1185),IF(AND($A1185&gt;=10000101,$A1185&lt;=99991231),INT($A1185/10000),""),IFERROR(VALUE(TRIM(LEFT($A1185,FIND("/",$A1185)-1))),"")))</f>
        <v/>
      </c>
      <c r="C1185">
        <f>IF(OR($A1185="",$B1185=""),"",IF(ISNUMBER($A1185),INT(MOD($A1185,10000)/100),IFERROR(VALUE(TRIM(LEFT(MID($A1185,FIND("/",$A1185)+1,20),FIND("/",MID($A1185,FIND("/",$A1185)+1,20))-1))),"")))</f>
        <v/>
      </c>
      <c r="D1185">
        <f>IF(OR($A1185="",$B1185=""),"",IF(ISNUMBER($A1185),MOD($A1185,100),IFERROR(VALUE(TRIM(MID(MID($A1185,FIND("/",$A1185)+1,20),FIND("/",MID($A1185,FIND("/",$A1185)+1,20))+1,20))),"")))</f>
        <v/>
      </c>
      <c r="E1185">
        <f>IF($A1185="","",IF(OR($B1185="",$C1185="",$D1185="",$B1185&lt;1300,$B1185&gt;1500,$C1185&lt;1,$C1185&gt;12,$D1185&lt;1,$D1185&gt;31),"نامعتبر",RIGHT("0000"&amp;$B1185,4)&amp;"/"&amp;RIGHT("00"&amp;$C1185,2)&amp;"/"&amp;RIGHT("00"&amp;$D1185,2)))</f>
        <v/>
      </c>
      <c r="F1185">
        <f>IF(OR($E1185="",$E1185="نامعتبر"),"",IF(Sync!$Q1182="","0000",IF(AND(ISNUMBER(Sync!$Q1182),Sync!$Q1182&gt;=0,Sync!$Q1182&lt;1),RIGHT("00"&amp;HOUR(Sync!$Q1182),2)&amp;RIGHT("00"&amp;MINUTE(Sync!$Q1182),2),IFERROR(RIGHT("00"&amp;VALUE(LEFT(Sync!$Q1182,FIND(":",Sync!$Q1182)-1)),2)&amp;RIGHT("00"&amp;VALUE(MID(Sync!$Q1182,FIND(":",Sync!$Q1182)+1,2)),2),"0000"))))</f>
        <v/>
      </c>
      <c r="G1185">
        <f>IF(OR($E1185="",$E1185="نامعتبر"),"",IF(Sync!$S1182="","",Sync!$S1182))</f>
        <v/>
      </c>
      <c r="H1185">
        <f>IF(OR($E1185="",$E1185="نامعتبر"),"",IF(Sync!$R1182="","",Sync!$R1182))</f>
        <v/>
      </c>
      <c r="I1185">
        <f>IF(OR($E1185="",$E1185="نامعتبر"),"",IF(Sync!$T1182="","",Sync!$T1182))</f>
        <v/>
      </c>
      <c r="J1185">
        <f>IF(OR($E1185="",$E1185="نامعتبر"),"",IF(Sync!$U1182="","",Sync!$U1182))</f>
        <v/>
      </c>
      <c r="K1185">
        <f>IF(OR($E1185="",$E1185="نامعتبر"),"",IF(Sync!$V1182="","",IFERROR(INDEX(SubCodes,MATCH(Sync!$V1182,SubTitles,0)),Sync!$V1182)))</f>
        <v/>
      </c>
      <c r="L1185">
        <f>IF(OR($E1185="",$E1185="نامعتبر"),"",IF(Sync!$W1182="",0,Sync!$W1182))</f>
        <v/>
      </c>
      <c r="M1185">
        <f>IF(OR($E1185="",$E1185="نامعتبر"),"",IF(Sync!$X1182="",0,Sync!$X1182))</f>
        <v/>
      </c>
      <c r="N1185">
        <f>IF(OR($E1185="",$E1185="نامعتبر"),"",IF(AND($J1185="هزینه",$K1185&lt;&gt;""),1,0))</f>
        <v/>
      </c>
      <c r="O1185">
        <f>IF($N1185=0,"",LEFT($E1185,4)&amp;MID($E1185,6,2)&amp;RIGHT($E1185,2)&amp;$F1185&amp;"|"&amp;"1"&amp;RIGHT("00000"&amp;1177,5))</f>
        <v/>
      </c>
      <c r="P1185">
        <f>IF($O1185="","",COUNTIFS(ExpSub,$K1185,ExpKey,"&lt;"&amp;$O1185)+1)</f>
        <v/>
      </c>
      <c r="Q1185">
        <f>IF($P1185="","",$K1185&amp;"|"&amp;RIGHT("000000"&amp;$P1185,6))</f>
        <v/>
      </c>
    </row>
    <row r="1186">
      <c r="A1186">
        <f>IF(Sync!$P1183="","",Sync!$P1183)</f>
        <v/>
      </c>
      <c r="B1186">
        <f>IF($A1186="","",IF(ISNUMBER($A1186),IF(AND($A1186&gt;=10000101,$A1186&lt;=99991231),INT($A1186/10000),""),IFERROR(VALUE(TRIM(LEFT($A1186,FIND("/",$A1186)-1))),"")))</f>
        <v/>
      </c>
      <c r="C1186">
        <f>IF(OR($A1186="",$B1186=""),"",IF(ISNUMBER($A1186),INT(MOD($A1186,10000)/100),IFERROR(VALUE(TRIM(LEFT(MID($A1186,FIND("/",$A1186)+1,20),FIND("/",MID($A1186,FIND("/",$A1186)+1,20))-1))),"")))</f>
        <v/>
      </c>
      <c r="D1186">
        <f>IF(OR($A1186="",$B1186=""),"",IF(ISNUMBER($A1186),MOD($A1186,100),IFERROR(VALUE(TRIM(MID(MID($A1186,FIND("/",$A1186)+1,20),FIND("/",MID($A1186,FIND("/",$A1186)+1,20))+1,20))),"")))</f>
        <v/>
      </c>
      <c r="E1186">
        <f>IF($A1186="","",IF(OR($B1186="",$C1186="",$D1186="",$B1186&lt;1300,$B1186&gt;1500,$C1186&lt;1,$C1186&gt;12,$D1186&lt;1,$D1186&gt;31),"نامعتبر",RIGHT("0000"&amp;$B1186,4)&amp;"/"&amp;RIGHT("00"&amp;$C1186,2)&amp;"/"&amp;RIGHT("00"&amp;$D1186,2)))</f>
        <v/>
      </c>
      <c r="F1186">
        <f>IF(OR($E1186="",$E1186="نامعتبر"),"",IF(Sync!$Q1183="","0000",IF(AND(ISNUMBER(Sync!$Q1183),Sync!$Q1183&gt;=0,Sync!$Q1183&lt;1),RIGHT("00"&amp;HOUR(Sync!$Q1183),2)&amp;RIGHT("00"&amp;MINUTE(Sync!$Q1183),2),IFERROR(RIGHT("00"&amp;VALUE(LEFT(Sync!$Q1183,FIND(":",Sync!$Q1183)-1)),2)&amp;RIGHT("00"&amp;VALUE(MID(Sync!$Q1183,FIND(":",Sync!$Q1183)+1,2)),2),"0000"))))</f>
        <v/>
      </c>
      <c r="G1186">
        <f>IF(OR($E1186="",$E1186="نامعتبر"),"",IF(Sync!$S1183="","",Sync!$S1183))</f>
        <v/>
      </c>
      <c r="H1186">
        <f>IF(OR($E1186="",$E1186="نامعتبر"),"",IF(Sync!$R1183="","",Sync!$R1183))</f>
        <v/>
      </c>
      <c r="I1186">
        <f>IF(OR($E1186="",$E1186="نامعتبر"),"",IF(Sync!$T1183="","",Sync!$T1183))</f>
        <v/>
      </c>
      <c r="J1186">
        <f>IF(OR($E1186="",$E1186="نامعتبر"),"",IF(Sync!$U1183="","",Sync!$U1183))</f>
        <v/>
      </c>
      <c r="K1186">
        <f>IF(OR($E1186="",$E1186="نامعتبر"),"",IF(Sync!$V1183="","",IFERROR(INDEX(SubCodes,MATCH(Sync!$V1183,SubTitles,0)),Sync!$V1183)))</f>
        <v/>
      </c>
      <c r="L1186">
        <f>IF(OR($E1186="",$E1186="نامعتبر"),"",IF(Sync!$W1183="",0,Sync!$W1183))</f>
        <v/>
      </c>
      <c r="M1186">
        <f>IF(OR($E1186="",$E1186="نامعتبر"),"",IF(Sync!$X1183="",0,Sync!$X1183))</f>
        <v/>
      </c>
      <c r="N1186">
        <f>IF(OR($E1186="",$E1186="نامعتبر"),"",IF(AND($J1186="هزینه",$K1186&lt;&gt;""),1,0))</f>
        <v/>
      </c>
      <c r="O1186">
        <f>IF($N1186=0,"",LEFT($E1186,4)&amp;MID($E1186,6,2)&amp;RIGHT($E1186,2)&amp;$F1186&amp;"|"&amp;"1"&amp;RIGHT("00000"&amp;1178,5))</f>
        <v/>
      </c>
      <c r="P1186">
        <f>IF($O1186="","",COUNTIFS(ExpSub,$K1186,ExpKey,"&lt;"&amp;$O1186)+1)</f>
        <v/>
      </c>
      <c r="Q1186">
        <f>IF($P1186="","",$K1186&amp;"|"&amp;RIGHT("000000"&amp;$P1186,6))</f>
        <v/>
      </c>
    </row>
    <row r="1187">
      <c r="A1187">
        <f>IF(Sync!$P1184="","",Sync!$P1184)</f>
        <v/>
      </c>
      <c r="B1187">
        <f>IF($A1187="","",IF(ISNUMBER($A1187),IF(AND($A1187&gt;=10000101,$A1187&lt;=99991231),INT($A1187/10000),""),IFERROR(VALUE(TRIM(LEFT($A1187,FIND("/",$A1187)-1))),"")))</f>
        <v/>
      </c>
      <c r="C1187">
        <f>IF(OR($A1187="",$B1187=""),"",IF(ISNUMBER($A1187),INT(MOD($A1187,10000)/100),IFERROR(VALUE(TRIM(LEFT(MID($A1187,FIND("/",$A1187)+1,20),FIND("/",MID($A1187,FIND("/",$A1187)+1,20))-1))),"")))</f>
        <v/>
      </c>
      <c r="D1187">
        <f>IF(OR($A1187="",$B1187=""),"",IF(ISNUMBER($A1187),MOD($A1187,100),IFERROR(VALUE(TRIM(MID(MID($A1187,FIND("/",$A1187)+1,20),FIND("/",MID($A1187,FIND("/",$A1187)+1,20))+1,20))),"")))</f>
        <v/>
      </c>
      <c r="E1187">
        <f>IF($A1187="","",IF(OR($B1187="",$C1187="",$D1187="",$B1187&lt;1300,$B1187&gt;1500,$C1187&lt;1,$C1187&gt;12,$D1187&lt;1,$D1187&gt;31),"نامعتبر",RIGHT("0000"&amp;$B1187,4)&amp;"/"&amp;RIGHT("00"&amp;$C1187,2)&amp;"/"&amp;RIGHT("00"&amp;$D1187,2)))</f>
        <v/>
      </c>
      <c r="F1187">
        <f>IF(OR($E1187="",$E1187="نامعتبر"),"",IF(Sync!$Q1184="","0000",IF(AND(ISNUMBER(Sync!$Q1184),Sync!$Q1184&gt;=0,Sync!$Q1184&lt;1),RIGHT("00"&amp;HOUR(Sync!$Q1184),2)&amp;RIGHT("00"&amp;MINUTE(Sync!$Q1184),2),IFERROR(RIGHT("00"&amp;VALUE(LEFT(Sync!$Q1184,FIND(":",Sync!$Q1184)-1)),2)&amp;RIGHT("00"&amp;VALUE(MID(Sync!$Q1184,FIND(":",Sync!$Q1184)+1,2)),2),"0000"))))</f>
        <v/>
      </c>
      <c r="G1187">
        <f>IF(OR($E1187="",$E1187="نامعتبر"),"",IF(Sync!$S1184="","",Sync!$S1184))</f>
        <v/>
      </c>
      <c r="H1187">
        <f>IF(OR($E1187="",$E1187="نامعتبر"),"",IF(Sync!$R1184="","",Sync!$R1184))</f>
        <v/>
      </c>
      <c r="I1187">
        <f>IF(OR($E1187="",$E1187="نامعتبر"),"",IF(Sync!$T1184="","",Sync!$T1184))</f>
        <v/>
      </c>
      <c r="J1187">
        <f>IF(OR($E1187="",$E1187="نامعتبر"),"",IF(Sync!$U1184="","",Sync!$U1184))</f>
        <v/>
      </c>
      <c r="K1187">
        <f>IF(OR($E1187="",$E1187="نامعتبر"),"",IF(Sync!$V1184="","",IFERROR(INDEX(SubCodes,MATCH(Sync!$V1184,SubTitles,0)),Sync!$V1184)))</f>
        <v/>
      </c>
      <c r="L1187">
        <f>IF(OR($E1187="",$E1187="نامعتبر"),"",IF(Sync!$W1184="",0,Sync!$W1184))</f>
        <v/>
      </c>
      <c r="M1187">
        <f>IF(OR($E1187="",$E1187="نامعتبر"),"",IF(Sync!$X1184="",0,Sync!$X1184))</f>
        <v/>
      </c>
      <c r="N1187">
        <f>IF(OR($E1187="",$E1187="نامعتبر"),"",IF(AND($J1187="هزینه",$K1187&lt;&gt;""),1,0))</f>
        <v/>
      </c>
      <c r="O1187">
        <f>IF($N1187=0,"",LEFT($E1187,4)&amp;MID($E1187,6,2)&amp;RIGHT($E1187,2)&amp;$F1187&amp;"|"&amp;"1"&amp;RIGHT("00000"&amp;1179,5))</f>
        <v/>
      </c>
      <c r="P1187">
        <f>IF($O1187="","",COUNTIFS(ExpSub,$K1187,ExpKey,"&lt;"&amp;$O1187)+1)</f>
        <v/>
      </c>
      <c r="Q1187">
        <f>IF($P1187="","",$K1187&amp;"|"&amp;RIGHT("000000"&amp;$P1187,6))</f>
        <v/>
      </c>
    </row>
    <row r="1188">
      <c r="A1188">
        <f>IF(Sync!$P1185="","",Sync!$P1185)</f>
        <v/>
      </c>
      <c r="B1188">
        <f>IF($A1188="","",IF(ISNUMBER($A1188),IF(AND($A1188&gt;=10000101,$A1188&lt;=99991231),INT($A1188/10000),""),IFERROR(VALUE(TRIM(LEFT($A1188,FIND("/",$A1188)-1))),"")))</f>
        <v/>
      </c>
      <c r="C1188">
        <f>IF(OR($A1188="",$B1188=""),"",IF(ISNUMBER($A1188),INT(MOD($A1188,10000)/100),IFERROR(VALUE(TRIM(LEFT(MID($A1188,FIND("/",$A1188)+1,20),FIND("/",MID($A1188,FIND("/",$A1188)+1,20))-1))),"")))</f>
        <v/>
      </c>
      <c r="D1188">
        <f>IF(OR($A1188="",$B1188=""),"",IF(ISNUMBER($A1188),MOD($A1188,100),IFERROR(VALUE(TRIM(MID(MID($A1188,FIND("/",$A1188)+1,20),FIND("/",MID($A1188,FIND("/",$A1188)+1,20))+1,20))),"")))</f>
        <v/>
      </c>
      <c r="E1188">
        <f>IF($A1188="","",IF(OR($B1188="",$C1188="",$D1188="",$B1188&lt;1300,$B1188&gt;1500,$C1188&lt;1,$C1188&gt;12,$D1188&lt;1,$D1188&gt;31),"نامعتبر",RIGHT("0000"&amp;$B1188,4)&amp;"/"&amp;RIGHT("00"&amp;$C1188,2)&amp;"/"&amp;RIGHT("00"&amp;$D1188,2)))</f>
        <v/>
      </c>
      <c r="F1188">
        <f>IF(OR($E1188="",$E1188="نامعتبر"),"",IF(Sync!$Q1185="","0000",IF(AND(ISNUMBER(Sync!$Q1185),Sync!$Q1185&gt;=0,Sync!$Q1185&lt;1),RIGHT("00"&amp;HOUR(Sync!$Q1185),2)&amp;RIGHT("00"&amp;MINUTE(Sync!$Q1185),2),IFERROR(RIGHT("00"&amp;VALUE(LEFT(Sync!$Q1185,FIND(":",Sync!$Q1185)-1)),2)&amp;RIGHT("00"&amp;VALUE(MID(Sync!$Q1185,FIND(":",Sync!$Q1185)+1,2)),2),"0000"))))</f>
        <v/>
      </c>
      <c r="G1188">
        <f>IF(OR($E1188="",$E1188="نامعتبر"),"",IF(Sync!$S1185="","",Sync!$S1185))</f>
        <v/>
      </c>
      <c r="H1188">
        <f>IF(OR($E1188="",$E1188="نامعتبر"),"",IF(Sync!$R1185="","",Sync!$R1185))</f>
        <v/>
      </c>
      <c r="I1188">
        <f>IF(OR($E1188="",$E1188="نامعتبر"),"",IF(Sync!$T1185="","",Sync!$T1185))</f>
        <v/>
      </c>
      <c r="J1188">
        <f>IF(OR($E1188="",$E1188="نامعتبر"),"",IF(Sync!$U1185="","",Sync!$U1185))</f>
        <v/>
      </c>
      <c r="K1188">
        <f>IF(OR($E1188="",$E1188="نامعتبر"),"",IF(Sync!$V1185="","",IFERROR(INDEX(SubCodes,MATCH(Sync!$V1185,SubTitles,0)),Sync!$V1185)))</f>
        <v/>
      </c>
      <c r="L1188">
        <f>IF(OR($E1188="",$E1188="نامعتبر"),"",IF(Sync!$W1185="",0,Sync!$W1185))</f>
        <v/>
      </c>
      <c r="M1188">
        <f>IF(OR($E1188="",$E1188="نامعتبر"),"",IF(Sync!$X1185="",0,Sync!$X1185))</f>
        <v/>
      </c>
      <c r="N1188">
        <f>IF(OR($E1188="",$E1188="نامعتبر"),"",IF(AND($J1188="هزینه",$K1188&lt;&gt;""),1,0))</f>
        <v/>
      </c>
      <c r="O1188">
        <f>IF($N1188=0,"",LEFT($E1188,4)&amp;MID($E1188,6,2)&amp;RIGHT($E1188,2)&amp;$F1188&amp;"|"&amp;"1"&amp;RIGHT("00000"&amp;1180,5))</f>
        <v/>
      </c>
      <c r="P1188">
        <f>IF($O1188="","",COUNTIFS(ExpSub,$K1188,ExpKey,"&lt;"&amp;$O1188)+1)</f>
        <v/>
      </c>
      <c r="Q1188">
        <f>IF($P1188="","",$K1188&amp;"|"&amp;RIGHT("000000"&amp;$P1188,6))</f>
        <v/>
      </c>
    </row>
    <row r="1189">
      <c r="A1189">
        <f>IF(Sync!$P1186="","",Sync!$P1186)</f>
        <v/>
      </c>
      <c r="B1189">
        <f>IF($A1189="","",IF(ISNUMBER($A1189),IF(AND($A1189&gt;=10000101,$A1189&lt;=99991231),INT($A1189/10000),""),IFERROR(VALUE(TRIM(LEFT($A1189,FIND("/",$A1189)-1))),"")))</f>
        <v/>
      </c>
      <c r="C1189">
        <f>IF(OR($A1189="",$B1189=""),"",IF(ISNUMBER($A1189),INT(MOD($A1189,10000)/100),IFERROR(VALUE(TRIM(LEFT(MID($A1189,FIND("/",$A1189)+1,20),FIND("/",MID($A1189,FIND("/",$A1189)+1,20))-1))),"")))</f>
        <v/>
      </c>
      <c r="D1189">
        <f>IF(OR($A1189="",$B1189=""),"",IF(ISNUMBER($A1189),MOD($A1189,100),IFERROR(VALUE(TRIM(MID(MID($A1189,FIND("/",$A1189)+1,20),FIND("/",MID($A1189,FIND("/",$A1189)+1,20))+1,20))),"")))</f>
        <v/>
      </c>
      <c r="E1189">
        <f>IF($A1189="","",IF(OR($B1189="",$C1189="",$D1189="",$B1189&lt;1300,$B1189&gt;1500,$C1189&lt;1,$C1189&gt;12,$D1189&lt;1,$D1189&gt;31),"نامعتبر",RIGHT("0000"&amp;$B1189,4)&amp;"/"&amp;RIGHT("00"&amp;$C1189,2)&amp;"/"&amp;RIGHT("00"&amp;$D1189,2)))</f>
        <v/>
      </c>
      <c r="F1189">
        <f>IF(OR($E1189="",$E1189="نامعتبر"),"",IF(Sync!$Q1186="","0000",IF(AND(ISNUMBER(Sync!$Q1186),Sync!$Q1186&gt;=0,Sync!$Q1186&lt;1),RIGHT("00"&amp;HOUR(Sync!$Q1186),2)&amp;RIGHT("00"&amp;MINUTE(Sync!$Q1186),2),IFERROR(RIGHT("00"&amp;VALUE(LEFT(Sync!$Q1186,FIND(":",Sync!$Q1186)-1)),2)&amp;RIGHT("00"&amp;VALUE(MID(Sync!$Q1186,FIND(":",Sync!$Q1186)+1,2)),2),"0000"))))</f>
        <v/>
      </c>
      <c r="G1189">
        <f>IF(OR($E1189="",$E1189="نامعتبر"),"",IF(Sync!$S1186="","",Sync!$S1186))</f>
        <v/>
      </c>
      <c r="H1189">
        <f>IF(OR($E1189="",$E1189="نامعتبر"),"",IF(Sync!$R1186="","",Sync!$R1186))</f>
        <v/>
      </c>
      <c r="I1189">
        <f>IF(OR($E1189="",$E1189="نامعتبر"),"",IF(Sync!$T1186="","",Sync!$T1186))</f>
        <v/>
      </c>
      <c r="J1189">
        <f>IF(OR($E1189="",$E1189="نامعتبر"),"",IF(Sync!$U1186="","",Sync!$U1186))</f>
        <v/>
      </c>
      <c r="K1189">
        <f>IF(OR($E1189="",$E1189="نامعتبر"),"",IF(Sync!$V1186="","",IFERROR(INDEX(SubCodes,MATCH(Sync!$V1186,SubTitles,0)),Sync!$V1186)))</f>
        <v/>
      </c>
      <c r="L1189">
        <f>IF(OR($E1189="",$E1189="نامعتبر"),"",IF(Sync!$W1186="",0,Sync!$W1186))</f>
        <v/>
      </c>
      <c r="M1189">
        <f>IF(OR($E1189="",$E1189="نامعتبر"),"",IF(Sync!$X1186="",0,Sync!$X1186))</f>
        <v/>
      </c>
      <c r="N1189">
        <f>IF(OR($E1189="",$E1189="نامعتبر"),"",IF(AND($J1189="هزینه",$K1189&lt;&gt;""),1,0))</f>
        <v/>
      </c>
      <c r="O1189">
        <f>IF($N1189=0,"",LEFT($E1189,4)&amp;MID($E1189,6,2)&amp;RIGHT($E1189,2)&amp;$F1189&amp;"|"&amp;"1"&amp;RIGHT("00000"&amp;1181,5))</f>
        <v/>
      </c>
      <c r="P1189">
        <f>IF($O1189="","",COUNTIFS(ExpSub,$K1189,ExpKey,"&lt;"&amp;$O1189)+1)</f>
        <v/>
      </c>
      <c r="Q1189">
        <f>IF($P1189="","",$K1189&amp;"|"&amp;RIGHT("000000"&amp;$P1189,6))</f>
        <v/>
      </c>
    </row>
    <row r="1190">
      <c r="A1190">
        <f>IF(Sync!$P1187="","",Sync!$P1187)</f>
        <v/>
      </c>
      <c r="B1190">
        <f>IF($A1190="","",IF(ISNUMBER($A1190),IF(AND($A1190&gt;=10000101,$A1190&lt;=99991231),INT($A1190/10000),""),IFERROR(VALUE(TRIM(LEFT($A1190,FIND("/",$A1190)-1))),"")))</f>
        <v/>
      </c>
      <c r="C1190">
        <f>IF(OR($A1190="",$B1190=""),"",IF(ISNUMBER($A1190),INT(MOD($A1190,10000)/100),IFERROR(VALUE(TRIM(LEFT(MID($A1190,FIND("/",$A1190)+1,20),FIND("/",MID($A1190,FIND("/",$A1190)+1,20))-1))),"")))</f>
        <v/>
      </c>
      <c r="D1190">
        <f>IF(OR($A1190="",$B1190=""),"",IF(ISNUMBER($A1190),MOD($A1190,100),IFERROR(VALUE(TRIM(MID(MID($A1190,FIND("/",$A1190)+1,20),FIND("/",MID($A1190,FIND("/",$A1190)+1,20))+1,20))),"")))</f>
        <v/>
      </c>
      <c r="E1190">
        <f>IF($A1190="","",IF(OR($B1190="",$C1190="",$D1190="",$B1190&lt;1300,$B1190&gt;1500,$C1190&lt;1,$C1190&gt;12,$D1190&lt;1,$D1190&gt;31),"نامعتبر",RIGHT("0000"&amp;$B1190,4)&amp;"/"&amp;RIGHT("00"&amp;$C1190,2)&amp;"/"&amp;RIGHT("00"&amp;$D1190,2)))</f>
        <v/>
      </c>
      <c r="F1190">
        <f>IF(OR($E1190="",$E1190="نامعتبر"),"",IF(Sync!$Q1187="","0000",IF(AND(ISNUMBER(Sync!$Q1187),Sync!$Q1187&gt;=0,Sync!$Q1187&lt;1),RIGHT("00"&amp;HOUR(Sync!$Q1187),2)&amp;RIGHT("00"&amp;MINUTE(Sync!$Q1187),2),IFERROR(RIGHT("00"&amp;VALUE(LEFT(Sync!$Q1187,FIND(":",Sync!$Q1187)-1)),2)&amp;RIGHT("00"&amp;VALUE(MID(Sync!$Q1187,FIND(":",Sync!$Q1187)+1,2)),2),"0000"))))</f>
        <v/>
      </c>
      <c r="G1190">
        <f>IF(OR($E1190="",$E1190="نامعتبر"),"",IF(Sync!$S1187="","",Sync!$S1187))</f>
        <v/>
      </c>
      <c r="H1190">
        <f>IF(OR($E1190="",$E1190="نامعتبر"),"",IF(Sync!$R1187="","",Sync!$R1187))</f>
        <v/>
      </c>
      <c r="I1190">
        <f>IF(OR($E1190="",$E1190="نامعتبر"),"",IF(Sync!$T1187="","",Sync!$T1187))</f>
        <v/>
      </c>
      <c r="J1190">
        <f>IF(OR($E1190="",$E1190="نامعتبر"),"",IF(Sync!$U1187="","",Sync!$U1187))</f>
        <v/>
      </c>
      <c r="K1190">
        <f>IF(OR($E1190="",$E1190="نامعتبر"),"",IF(Sync!$V1187="","",IFERROR(INDEX(SubCodes,MATCH(Sync!$V1187,SubTitles,0)),Sync!$V1187)))</f>
        <v/>
      </c>
      <c r="L1190">
        <f>IF(OR($E1190="",$E1190="نامعتبر"),"",IF(Sync!$W1187="",0,Sync!$W1187))</f>
        <v/>
      </c>
      <c r="M1190">
        <f>IF(OR($E1190="",$E1190="نامعتبر"),"",IF(Sync!$X1187="",0,Sync!$X1187))</f>
        <v/>
      </c>
      <c r="N1190">
        <f>IF(OR($E1190="",$E1190="نامعتبر"),"",IF(AND($J1190="هزینه",$K1190&lt;&gt;""),1,0))</f>
        <v/>
      </c>
      <c r="O1190">
        <f>IF($N1190=0,"",LEFT($E1190,4)&amp;MID($E1190,6,2)&amp;RIGHT($E1190,2)&amp;$F1190&amp;"|"&amp;"1"&amp;RIGHT("00000"&amp;1182,5))</f>
        <v/>
      </c>
      <c r="P1190">
        <f>IF($O1190="","",COUNTIFS(ExpSub,$K1190,ExpKey,"&lt;"&amp;$O1190)+1)</f>
        <v/>
      </c>
      <c r="Q1190">
        <f>IF($P1190="","",$K1190&amp;"|"&amp;RIGHT("000000"&amp;$P1190,6))</f>
        <v/>
      </c>
    </row>
    <row r="1191">
      <c r="A1191">
        <f>IF(Sync!$P1188="","",Sync!$P1188)</f>
        <v/>
      </c>
      <c r="B1191">
        <f>IF($A1191="","",IF(ISNUMBER($A1191),IF(AND($A1191&gt;=10000101,$A1191&lt;=99991231),INT($A1191/10000),""),IFERROR(VALUE(TRIM(LEFT($A1191,FIND("/",$A1191)-1))),"")))</f>
        <v/>
      </c>
      <c r="C1191">
        <f>IF(OR($A1191="",$B1191=""),"",IF(ISNUMBER($A1191),INT(MOD($A1191,10000)/100),IFERROR(VALUE(TRIM(LEFT(MID($A1191,FIND("/",$A1191)+1,20),FIND("/",MID($A1191,FIND("/",$A1191)+1,20))-1))),"")))</f>
        <v/>
      </c>
      <c r="D1191">
        <f>IF(OR($A1191="",$B1191=""),"",IF(ISNUMBER($A1191),MOD($A1191,100),IFERROR(VALUE(TRIM(MID(MID($A1191,FIND("/",$A1191)+1,20),FIND("/",MID($A1191,FIND("/",$A1191)+1,20))+1,20))),"")))</f>
        <v/>
      </c>
      <c r="E1191">
        <f>IF($A1191="","",IF(OR($B1191="",$C1191="",$D1191="",$B1191&lt;1300,$B1191&gt;1500,$C1191&lt;1,$C1191&gt;12,$D1191&lt;1,$D1191&gt;31),"نامعتبر",RIGHT("0000"&amp;$B1191,4)&amp;"/"&amp;RIGHT("00"&amp;$C1191,2)&amp;"/"&amp;RIGHT("00"&amp;$D1191,2)))</f>
        <v/>
      </c>
      <c r="F1191">
        <f>IF(OR($E1191="",$E1191="نامعتبر"),"",IF(Sync!$Q1188="","0000",IF(AND(ISNUMBER(Sync!$Q1188),Sync!$Q1188&gt;=0,Sync!$Q1188&lt;1),RIGHT("00"&amp;HOUR(Sync!$Q1188),2)&amp;RIGHT("00"&amp;MINUTE(Sync!$Q1188),2),IFERROR(RIGHT("00"&amp;VALUE(LEFT(Sync!$Q1188,FIND(":",Sync!$Q1188)-1)),2)&amp;RIGHT("00"&amp;VALUE(MID(Sync!$Q1188,FIND(":",Sync!$Q1188)+1,2)),2),"0000"))))</f>
        <v/>
      </c>
      <c r="G1191">
        <f>IF(OR($E1191="",$E1191="نامعتبر"),"",IF(Sync!$S1188="","",Sync!$S1188))</f>
        <v/>
      </c>
      <c r="H1191">
        <f>IF(OR($E1191="",$E1191="نامعتبر"),"",IF(Sync!$R1188="","",Sync!$R1188))</f>
        <v/>
      </c>
      <c r="I1191">
        <f>IF(OR($E1191="",$E1191="نامعتبر"),"",IF(Sync!$T1188="","",Sync!$T1188))</f>
        <v/>
      </c>
      <c r="J1191">
        <f>IF(OR($E1191="",$E1191="نامعتبر"),"",IF(Sync!$U1188="","",Sync!$U1188))</f>
        <v/>
      </c>
      <c r="K1191">
        <f>IF(OR($E1191="",$E1191="نامعتبر"),"",IF(Sync!$V1188="","",IFERROR(INDEX(SubCodes,MATCH(Sync!$V1188,SubTitles,0)),Sync!$V1188)))</f>
        <v/>
      </c>
      <c r="L1191">
        <f>IF(OR($E1191="",$E1191="نامعتبر"),"",IF(Sync!$W1188="",0,Sync!$W1188))</f>
        <v/>
      </c>
      <c r="M1191">
        <f>IF(OR($E1191="",$E1191="نامعتبر"),"",IF(Sync!$X1188="",0,Sync!$X1188))</f>
        <v/>
      </c>
      <c r="N1191">
        <f>IF(OR($E1191="",$E1191="نامعتبر"),"",IF(AND($J1191="هزینه",$K1191&lt;&gt;""),1,0))</f>
        <v/>
      </c>
      <c r="O1191">
        <f>IF($N1191=0,"",LEFT($E1191,4)&amp;MID($E1191,6,2)&amp;RIGHT($E1191,2)&amp;$F1191&amp;"|"&amp;"1"&amp;RIGHT("00000"&amp;1183,5))</f>
        <v/>
      </c>
      <c r="P1191">
        <f>IF($O1191="","",COUNTIFS(ExpSub,$K1191,ExpKey,"&lt;"&amp;$O1191)+1)</f>
        <v/>
      </c>
      <c r="Q1191">
        <f>IF($P1191="","",$K1191&amp;"|"&amp;RIGHT("000000"&amp;$P1191,6))</f>
        <v/>
      </c>
    </row>
    <row r="1192">
      <c r="A1192">
        <f>IF(Sync!$P1189="","",Sync!$P1189)</f>
        <v/>
      </c>
      <c r="B1192">
        <f>IF($A1192="","",IF(ISNUMBER($A1192),IF(AND($A1192&gt;=10000101,$A1192&lt;=99991231),INT($A1192/10000),""),IFERROR(VALUE(TRIM(LEFT($A1192,FIND("/",$A1192)-1))),"")))</f>
        <v/>
      </c>
      <c r="C1192">
        <f>IF(OR($A1192="",$B1192=""),"",IF(ISNUMBER($A1192),INT(MOD($A1192,10000)/100),IFERROR(VALUE(TRIM(LEFT(MID($A1192,FIND("/",$A1192)+1,20),FIND("/",MID($A1192,FIND("/",$A1192)+1,20))-1))),"")))</f>
        <v/>
      </c>
      <c r="D1192">
        <f>IF(OR($A1192="",$B1192=""),"",IF(ISNUMBER($A1192),MOD($A1192,100),IFERROR(VALUE(TRIM(MID(MID($A1192,FIND("/",$A1192)+1,20),FIND("/",MID($A1192,FIND("/",$A1192)+1,20))+1,20))),"")))</f>
        <v/>
      </c>
      <c r="E1192">
        <f>IF($A1192="","",IF(OR($B1192="",$C1192="",$D1192="",$B1192&lt;1300,$B1192&gt;1500,$C1192&lt;1,$C1192&gt;12,$D1192&lt;1,$D1192&gt;31),"نامعتبر",RIGHT("0000"&amp;$B1192,4)&amp;"/"&amp;RIGHT("00"&amp;$C1192,2)&amp;"/"&amp;RIGHT("00"&amp;$D1192,2)))</f>
        <v/>
      </c>
      <c r="F1192">
        <f>IF(OR($E1192="",$E1192="نامعتبر"),"",IF(Sync!$Q1189="","0000",IF(AND(ISNUMBER(Sync!$Q1189),Sync!$Q1189&gt;=0,Sync!$Q1189&lt;1),RIGHT("00"&amp;HOUR(Sync!$Q1189),2)&amp;RIGHT("00"&amp;MINUTE(Sync!$Q1189),2),IFERROR(RIGHT("00"&amp;VALUE(LEFT(Sync!$Q1189,FIND(":",Sync!$Q1189)-1)),2)&amp;RIGHT("00"&amp;VALUE(MID(Sync!$Q1189,FIND(":",Sync!$Q1189)+1,2)),2),"0000"))))</f>
        <v/>
      </c>
      <c r="G1192">
        <f>IF(OR($E1192="",$E1192="نامعتبر"),"",IF(Sync!$S1189="","",Sync!$S1189))</f>
        <v/>
      </c>
      <c r="H1192">
        <f>IF(OR($E1192="",$E1192="نامعتبر"),"",IF(Sync!$R1189="","",Sync!$R1189))</f>
        <v/>
      </c>
      <c r="I1192">
        <f>IF(OR($E1192="",$E1192="نامعتبر"),"",IF(Sync!$T1189="","",Sync!$T1189))</f>
        <v/>
      </c>
      <c r="J1192">
        <f>IF(OR($E1192="",$E1192="نامعتبر"),"",IF(Sync!$U1189="","",Sync!$U1189))</f>
        <v/>
      </c>
      <c r="K1192">
        <f>IF(OR($E1192="",$E1192="نامعتبر"),"",IF(Sync!$V1189="","",IFERROR(INDEX(SubCodes,MATCH(Sync!$V1189,SubTitles,0)),Sync!$V1189)))</f>
        <v/>
      </c>
      <c r="L1192">
        <f>IF(OR($E1192="",$E1192="نامعتبر"),"",IF(Sync!$W1189="",0,Sync!$W1189))</f>
        <v/>
      </c>
      <c r="M1192">
        <f>IF(OR($E1192="",$E1192="نامعتبر"),"",IF(Sync!$X1189="",0,Sync!$X1189))</f>
        <v/>
      </c>
      <c r="N1192">
        <f>IF(OR($E1192="",$E1192="نامعتبر"),"",IF(AND($J1192="هزینه",$K1192&lt;&gt;""),1,0))</f>
        <v/>
      </c>
      <c r="O1192">
        <f>IF($N1192=0,"",LEFT($E1192,4)&amp;MID($E1192,6,2)&amp;RIGHT($E1192,2)&amp;$F1192&amp;"|"&amp;"1"&amp;RIGHT("00000"&amp;1184,5))</f>
        <v/>
      </c>
      <c r="P1192">
        <f>IF($O1192="","",COUNTIFS(ExpSub,$K1192,ExpKey,"&lt;"&amp;$O1192)+1)</f>
        <v/>
      </c>
      <c r="Q1192">
        <f>IF($P1192="","",$K1192&amp;"|"&amp;RIGHT("000000"&amp;$P1192,6))</f>
        <v/>
      </c>
    </row>
    <row r="1193">
      <c r="A1193">
        <f>IF(Sync!$P1190="","",Sync!$P1190)</f>
        <v/>
      </c>
      <c r="B1193">
        <f>IF($A1193="","",IF(ISNUMBER($A1193),IF(AND($A1193&gt;=10000101,$A1193&lt;=99991231),INT($A1193/10000),""),IFERROR(VALUE(TRIM(LEFT($A1193,FIND("/",$A1193)-1))),"")))</f>
        <v/>
      </c>
      <c r="C1193">
        <f>IF(OR($A1193="",$B1193=""),"",IF(ISNUMBER($A1193),INT(MOD($A1193,10000)/100),IFERROR(VALUE(TRIM(LEFT(MID($A1193,FIND("/",$A1193)+1,20),FIND("/",MID($A1193,FIND("/",$A1193)+1,20))-1))),"")))</f>
        <v/>
      </c>
      <c r="D1193">
        <f>IF(OR($A1193="",$B1193=""),"",IF(ISNUMBER($A1193),MOD($A1193,100),IFERROR(VALUE(TRIM(MID(MID($A1193,FIND("/",$A1193)+1,20),FIND("/",MID($A1193,FIND("/",$A1193)+1,20))+1,20))),"")))</f>
        <v/>
      </c>
      <c r="E1193">
        <f>IF($A1193="","",IF(OR($B1193="",$C1193="",$D1193="",$B1193&lt;1300,$B1193&gt;1500,$C1193&lt;1,$C1193&gt;12,$D1193&lt;1,$D1193&gt;31),"نامعتبر",RIGHT("0000"&amp;$B1193,4)&amp;"/"&amp;RIGHT("00"&amp;$C1193,2)&amp;"/"&amp;RIGHT("00"&amp;$D1193,2)))</f>
        <v/>
      </c>
      <c r="F1193">
        <f>IF(OR($E1193="",$E1193="نامعتبر"),"",IF(Sync!$Q1190="","0000",IF(AND(ISNUMBER(Sync!$Q1190),Sync!$Q1190&gt;=0,Sync!$Q1190&lt;1),RIGHT("00"&amp;HOUR(Sync!$Q1190),2)&amp;RIGHT("00"&amp;MINUTE(Sync!$Q1190),2),IFERROR(RIGHT("00"&amp;VALUE(LEFT(Sync!$Q1190,FIND(":",Sync!$Q1190)-1)),2)&amp;RIGHT("00"&amp;VALUE(MID(Sync!$Q1190,FIND(":",Sync!$Q1190)+1,2)),2),"0000"))))</f>
        <v/>
      </c>
      <c r="G1193">
        <f>IF(OR($E1193="",$E1193="نامعتبر"),"",IF(Sync!$S1190="","",Sync!$S1190))</f>
        <v/>
      </c>
      <c r="H1193">
        <f>IF(OR($E1193="",$E1193="نامعتبر"),"",IF(Sync!$R1190="","",Sync!$R1190))</f>
        <v/>
      </c>
      <c r="I1193">
        <f>IF(OR($E1193="",$E1193="نامعتبر"),"",IF(Sync!$T1190="","",Sync!$T1190))</f>
        <v/>
      </c>
      <c r="J1193">
        <f>IF(OR($E1193="",$E1193="نامعتبر"),"",IF(Sync!$U1190="","",Sync!$U1190))</f>
        <v/>
      </c>
      <c r="K1193">
        <f>IF(OR($E1193="",$E1193="نامعتبر"),"",IF(Sync!$V1190="","",IFERROR(INDEX(SubCodes,MATCH(Sync!$V1190,SubTitles,0)),Sync!$V1190)))</f>
        <v/>
      </c>
      <c r="L1193">
        <f>IF(OR($E1193="",$E1193="نامعتبر"),"",IF(Sync!$W1190="",0,Sync!$W1190))</f>
        <v/>
      </c>
      <c r="M1193">
        <f>IF(OR($E1193="",$E1193="نامعتبر"),"",IF(Sync!$X1190="",0,Sync!$X1190))</f>
        <v/>
      </c>
      <c r="N1193">
        <f>IF(OR($E1193="",$E1193="نامعتبر"),"",IF(AND($J1193="هزینه",$K1193&lt;&gt;""),1,0))</f>
        <v/>
      </c>
      <c r="O1193">
        <f>IF($N1193=0,"",LEFT($E1193,4)&amp;MID($E1193,6,2)&amp;RIGHT($E1193,2)&amp;$F1193&amp;"|"&amp;"1"&amp;RIGHT("00000"&amp;1185,5))</f>
        <v/>
      </c>
      <c r="P1193">
        <f>IF($O1193="","",COUNTIFS(ExpSub,$K1193,ExpKey,"&lt;"&amp;$O1193)+1)</f>
        <v/>
      </c>
      <c r="Q1193">
        <f>IF($P1193="","",$K1193&amp;"|"&amp;RIGHT("000000"&amp;$P1193,6))</f>
        <v/>
      </c>
    </row>
    <row r="1194">
      <c r="A1194">
        <f>IF(Sync!$P1191="","",Sync!$P1191)</f>
        <v/>
      </c>
      <c r="B1194">
        <f>IF($A1194="","",IF(ISNUMBER($A1194),IF(AND($A1194&gt;=10000101,$A1194&lt;=99991231),INT($A1194/10000),""),IFERROR(VALUE(TRIM(LEFT($A1194,FIND("/",$A1194)-1))),"")))</f>
        <v/>
      </c>
      <c r="C1194">
        <f>IF(OR($A1194="",$B1194=""),"",IF(ISNUMBER($A1194),INT(MOD($A1194,10000)/100),IFERROR(VALUE(TRIM(LEFT(MID($A1194,FIND("/",$A1194)+1,20),FIND("/",MID($A1194,FIND("/",$A1194)+1,20))-1))),"")))</f>
        <v/>
      </c>
      <c r="D1194">
        <f>IF(OR($A1194="",$B1194=""),"",IF(ISNUMBER($A1194),MOD($A1194,100),IFERROR(VALUE(TRIM(MID(MID($A1194,FIND("/",$A1194)+1,20),FIND("/",MID($A1194,FIND("/",$A1194)+1,20))+1,20))),"")))</f>
        <v/>
      </c>
      <c r="E1194">
        <f>IF($A1194="","",IF(OR($B1194="",$C1194="",$D1194="",$B1194&lt;1300,$B1194&gt;1500,$C1194&lt;1,$C1194&gt;12,$D1194&lt;1,$D1194&gt;31),"نامعتبر",RIGHT("0000"&amp;$B1194,4)&amp;"/"&amp;RIGHT("00"&amp;$C1194,2)&amp;"/"&amp;RIGHT("00"&amp;$D1194,2)))</f>
        <v/>
      </c>
      <c r="F1194">
        <f>IF(OR($E1194="",$E1194="نامعتبر"),"",IF(Sync!$Q1191="","0000",IF(AND(ISNUMBER(Sync!$Q1191),Sync!$Q1191&gt;=0,Sync!$Q1191&lt;1),RIGHT("00"&amp;HOUR(Sync!$Q1191),2)&amp;RIGHT("00"&amp;MINUTE(Sync!$Q1191),2),IFERROR(RIGHT("00"&amp;VALUE(LEFT(Sync!$Q1191,FIND(":",Sync!$Q1191)-1)),2)&amp;RIGHT("00"&amp;VALUE(MID(Sync!$Q1191,FIND(":",Sync!$Q1191)+1,2)),2),"0000"))))</f>
        <v/>
      </c>
      <c r="G1194">
        <f>IF(OR($E1194="",$E1194="نامعتبر"),"",IF(Sync!$S1191="","",Sync!$S1191))</f>
        <v/>
      </c>
      <c r="H1194">
        <f>IF(OR($E1194="",$E1194="نامعتبر"),"",IF(Sync!$R1191="","",Sync!$R1191))</f>
        <v/>
      </c>
      <c r="I1194">
        <f>IF(OR($E1194="",$E1194="نامعتبر"),"",IF(Sync!$T1191="","",Sync!$T1191))</f>
        <v/>
      </c>
      <c r="J1194">
        <f>IF(OR($E1194="",$E1194="نامعتبر"),"",IF(Sync!$U1191="","",Sync!$U1191))</f>
        <v/>
      </c>
      <c r="K1194">
        <f>IF(OR($E1194="",$E1194="نامعتبر"),"",IF(Sync!$V1191="","",IFERROR(INDEX(SubCodes,MATCH(Sync!$V1191,SubTitles,0)),Sync!$V1191)))</f>
        <v/>
      </c>
      <c r="L1194">
        <f>IF(OR($E1194="",$E1194="نامعتبر"),"",IF(Sync!$W1191="",0,Sync!$W1191))</f>
        <v/>
      </c>
      <c r="M1194">
        <f>IF(OR($E1194="",$E1194="نامعتبر"),"",IF(Sync!$X1191="",0,Sync!$X1191))</f>
        <v/>
      </c>
      <c r="N1194">
        <f>IF(OR($E1194="",$E1194="نامعتبر"),"",IF(AND($J1194="هزینه",$K1194&lt;&gt;""),1,0))</f>
        <v/>
      </c>
      <c r="O1194">
        <f>IF($N1194=0,"",LEFT($E1194,4)&amp;MID($E1194,6,2)&amp;RIGHT($E1194,2)&amp;$F1194&amp;"|"&amp;"1"&amp;RIGHT("00000"&amp;1186,5))</f>
        <v/>
      </c>
      <c r="P1194">
        <f>IF($O1194="","",COUNTIFS(ExpSub,$K1194,ExpKey,"&lt;"&amp;$O1194)+1)</f>
        <v/>
      </c>
      <c r="Q1194">
        <f>IF($P1194="","",$K1194&amp;"|"&amp;RIGHT("000000"&amp;$P1194,6))</f>
        <v/>
      </c>
    </row>
    <row r="1195">
      <c r="A1195">
        <f>IF(Sync!$P1192="","",Sync!$P1192)</f>
        <v/>
      </c>
      <c r="B1195">
        <f>IF($A1195="","",IF(ISNUMBER($A1195),IF(AND($A1195&gt;=10000101,$A1195&lt;=99991231),INT($A1195/10000),""),IFERROR(VALUE(TRIM(LEFT($A1195,FIND("/",$A1195)-1))),"")))</f>
        <v/>
      </c>
      <c r="C1195">
        <f>IF(OR($A1195="",$B1195=""),"",IF(ISNUMBER($A1195),INT(MOD($A1195,10000)/100),IFERROR(VALUE(TRIM(LEFT(MID($A1195,FIND("/",$A1195)+1,20),FIND("/",MID($A1195,FIND("/",$A1195)+1,20))-1))),"")))</f>
        <v/>
      </c>
      <c r="D1195">
        <f>IF(OR($A1195="",$B1195=""),"",IF(ISNUMBER($A1195),MOD($A1195,100),IFERROR(VALUE(TRIM(MID(MID($A1195,FIND("/",$A1195)+1,20),FIND("/",MID($A1195,FIND("/",$A1195)+1,20))+1,20))),"")))</f>
        <v/>
      </c>
      <c r="E1195">
        <f>IF($A1195="","",IF(OR($B1195="",$C1195="",$D1195="",$B1195&lt;1300,$B1195&gt;1500,$C1195&lt;1,$C1195&gt;12,$D1195&lt;1,$D1195&gt;31),"نامعتبر",RIGHT("0000"&amp;$B1195,4)&amp;"/"&amp;RIGHT("00"&amp;$C1195,2)&amp;"/"&amp;RIGHT("00"&amp;$D1195,2)))</f>
        <v/>
      </c>
      <c r="F1195">
        <f>IF(OR($E1195="",$E1195="نامعتبر"),"",IF(Sync!$Q1192="","0000",IF(AND(ISNUMBER(Sync!$Q1192),Sync!$Q1192&gt;=0,Sync!$Q1192&lt;1),RIGHT("00"&amp;HOUR(Sync!$Q1192),2)&amp;RIGHT("00"&amp;MINUTE(Sync!$Q1192),2),IFERROR(RIGHT("00"&amp;VALUE(LEFT(Sync!$Q1192,FIND(":",Sync!$Q1192)-1)),2)&amp;RIGHT("00"&amp;VALUE(MID(Sync!$Q1192,FIND(":",Sync!$Q1192)+1,2)),2),"0000"))))</f>
        <v/>
      </c>
      <c r="G1195">
        <f>IF(OR($E1195="",$E1195="نامعتبر"),"",IF(Sync!$S1192="","",Sync!$S1192))</f>
        <v/>
      </c>
      <c r="H1195">
        <f>IF(OR($E1195="",$E1195="نامعتبر"),"",IF(Sync!$R1192="","",Sync!$R1192))</f>
        <v/>
      </c>
      <c r="I1195">
        <f>IF(OR($E1195="",$E1195="نامعتبر"),"",IF(Sync!$T1192="","",Sync!$T1192))</f>
        <v/>
      </c>
      <c r="J1195">
        <f>IF(OR($E1195="",$E1195="نامعتبر"),"",IF(Sync!$U1192="","",Sync!$U1192))</f>
        <v/>
      </c>
      <c r="K1195">
        <f>IF(OR($E1195="",$E1195="نامعتبر"),"",IF(Sync!$V1192="","",IFERROR(INDEX(SubCodes,MATCH(Sync!$V1192,SubTitles,0)),Sync!$V1192)))</f>
        <v/>
      </c>
      <c r="L1195">
        <f>IF(OR($E1195="",$E1195="نامعتبر"),"",IF(Sync!$W1192="",0,Sync!$W1192))</f>
        <v/>
      </c>
      <c r="M1195">
        <f>IF(OR($E1195="",$E1195="نامعتبر"),"",IF(Sync!$X1192="",0,Sync!$X1192))</f>
        <v/>
      </c>
      <c r="N1195">
        <f>IF(OR($E1195="",$E1195="نامعتبر"),"",IF(AND($J1195="هزینه",$K1195&lt;&gt;""),1,0))</f>
        <v/>
      </c>
      <c r="O1195">
        <f>IF($N1195=0,"",LEFT($E1195,4)&amp;MID($E1195,6,2)&amp;RIGHT($E1195,2)&amp;$F1195&amp;"|"&amp;"1"&amp;RIGHT("00000"&amp;1187,5))</f>
        <v/>
      </c>
      <c r="P1195">
        <f>IF($O1195="","",COUNTIFS(ExpSub,$K1195,ExpKey,"&lt;"&amp;$O1195)+1)</f>
        <v/>
      </c>
      <c r="Q1195">
        <f>IF($P1195="","",$K1195&amp;"|"&amp;RIGHT("000000"&amp;$P1195,6))</f>
        <v/>
      </c>
    </row>
    <row r="1196">
      <c r="A1196">
        <f>IF(Sync!$P1193="","",Sync!$P1193)</f>
        <v/>
      </c>
      <c r="B1196">
        <f>IF($A1196="","",IF(ISNUMBER($A1196),IF(AND($A1196&gt;=10000101,$A1196&lt;=99991231),INT($A1196/10000),""),IFERROR(VALUE(TRIM(LEFT($A1196,FIND("/",$A1196)-1))),"")))</f>
        <v/>
      </c>
      <c r="C1196">
        <f>IF(OR($A1196="",$B1196=""),"",IF(ISNUMBER($A1196),INT(MOD($A1196,10000)/100),IFERROR(VALUE(TRIM(LEFT(MID($A1196,FIND("/",$A1196)+1,20),FIND("/",MID($A1196,FIND("/",$A1196)+1,20))-1))),"")))</f>
        <v/>
      </c>
      <c r="D1196">
        <f>IF(OR($A1196="",$B1196=""),"",IF(ISNUMBER($A1196),MOD($A1196,100),IFERROR(VALUE(TRIM(MID(MID($A1196,FIND("/",$A1196)+1,20),FIND("/",MID($A1196,FIND("/",$A1196)+1,20))+1,20))),"")))</f>
        <v/>
      </c>
      <c r="E1196">
        <f>IF($A1196="","",IF(OR($B1196="",$C1196="",$D1196="",$B1196&lt;1300,$B1196&gt;1500,$C1196&lt;1,$C1196&gt;12,$D1196&lt;1,$D1196&gt;31),"نامعتبر",RIGHT("0000"&amp;$B1196,4)&amp;"/"&amp;RIGHT("00"&amp;$C1196,2)&amp;"/"&amp;RIGHT("00"&amp;$D1196,2)))</f>
        <v/>
      </c>
      <c r="F1196">
        <f>IF(OR($E1196="",$E1196="نامعتبر"),"",IF(Sync!$Q1193="","0000",IF(AND(ISNUMBER(Sync!$Q1193),Sync!$Q1193&gt;=0,Sync!$Q1193&lt;1),RIGHT("00"&amp;HOUR(Sync!$Q1193),2)&amp;RIGHT("00"&amp;MINUTE(Sync!$Q1193),2),IFERROR(RIGHT("00"&amp;VALUE(LEFT(Sync!$Q1193,FIND(":",Sync!$Q1193)-1)),2)&amp;RIGHT("00"&amp;VALUE(MID(Sync!$Q1193,FIND(":",Sync!$Q1193)+1,2)),2),"0000"))))</f>
        <v/>
      </c>
      <c r="G1196">
        <f>IF(OR($E1196="",$E1196="نامعتبر"),"",IF(Sync!$S1193="","",Sync!$S1193))</f>
        <v/>
      </c>
      <c r="H1196">
        <f>IF(OR($E1196="",$E1196="نامعتبر"),"",IF(Sync!$R1193="","",Sync!$R1193))</f>
        <v/>
      </c>
      <c r="I1196">
        <f>IF(OR($E1196="",$E1196="نامعتبر"),"",IF(Sync!$T1193="","",Sync!$T1193))</f>
        <v/>
      </c>
      <c r="J1196">
        <f>IF(OR($E1196="",$E1196="نامعتبر"),"",IF(Sync!$U1193="","",Sync!$U1193))</f>
        <v/>
      </c>
      <c r="K1196">
        <f>IF(OR($E1196="",$E1196="نامعتبر"),"",IF(Sync!$V1193="","",IFERROR(INDEX(SubCodes,MATCH(Sync!$V1193,SubTitles,0)),Sync!$V1193)))</f>
        <v/>
      </c>
      <c r="L1196">
        <f>IF(OR($E1196="",$E1196="نامعتبر"),"",IF(Sync!$W1193="",0,Sync!$W1193))</f>
        <v/>
      </c>
      <c r="M1196">
        <f>IF(OR($E1196="",$E1196="نامعتبر"),"",IF(Sync!$X1193="",0,Sync!$X1193))</f>
        <v/>
      </c>
      <c r="N1196">
        <f>IF(OR($E1196="",$E1196="نامعتبر"),"",IF(AND($J1196="هزینه",$K1196&lt;&gt;""),1,0))</f>
        <v/>
      </c>
      <c r="O1196">
        <f>IF($N1196=0,"",LEFT($E1196,4)&amp;MID($E1196,6,2)&amp;RIGHT($E1196,2)&amp;$F1196&amp;"|"&amp;"1"&amp;RIGHT("00000"&amp;1188,5))</f>
        <v/>
      </c>
      <c r="P1196">
        <f>IF($O1196="","",COUNTIFS(ExpSub,$K1196,ExpKey,"&lt;"&amp;$O1196)+1)</f>
        <v/>
      </c>
      <c r="Q1196">
        <f>IF($P1196="","",$K1196&amp;"|"&amp;RIGHT("000000"&amp;$P1196,6))</f>
        <v/>
      </c>
    </row>
    <row r="1197">
      <c r="A1197">
        <f>IF(Sync!$P1194="","",Sync!$P1194)</f>
        <v/>
      </c>
      <c r="B1197">
        <f>IF($A1197="","",IF(ISNUMBER($A1197),IF(AND($A1197&gt;=10000101,$A1197&lt;=99991231),INT($A1197/10000),""),IFERROR(VALUE(TRIM(LEFT($A1197,FIND("/",$A1197)-1))),"")))</f>
        <v/>
      </c>
      <c r="C1197">
        <f>IF(OR($A1197="",$B1197=""),"",IF(ISNUMBER($A1197),INT(MOD($A1197,10000)/100),IFERROR(VALUE(TRIM(LEFT(MID($A1197,FIND("/",$A1197)+1,20),FIND("/",MID($A1197,FIND("/",$A1197)+1,20))-1))),"")))</f>
        <v/>
      </c>
      <c r="D1197">
        <f>IF(OR($A1197="",$B1197=""),"",IF(ISNUMBER($A1197),MOD($A1197,100),IFERROR(VALUE(TRIM(MID(MID($A1197,FIND("/",$A1197)+1,20),FIND("/",MID($A1197,FIND("/",$A1197)+1,20))+1,20))),"")))</f>
        <v/>
      </c>
      <c r="E1197">
        <f>IF($A1197="","",IF(OR($B1197="",$C1197="",$D1197="",$B1197&lt;1300,$B1197&gt;1500,$C1197&lt;1,$C1197&gt;12,$D1197&lt;1,$D1197&gt;31),"نامعتبر",RIGHT("0000"&amp;$B1197,4)&amp;"/"&amp;RIGHT("00"&amp;$C1197,2)&amp;"/"&amp;RIGHT("00"&amp;$D1197,2)))</f>
        <v/>
      </c>
      <c r="F1197">
        <f>IF(OR($E1197="",$E1197="نامعتبر"),"",IF(Sync!$Q1194="","0000",IF(AND(ISNUMBER(Sync!$Q1194),Sync!$Q1194&gt;=0,Sync!$Q1194&lt;1),RIGHT("00"&amp;HOUR(Sync!$Q1194),2)&amp;RIGHT("00"&amp;MINUTE(Sync!$Q1194),2),IFERROR(RIGHT("00"&amp;VALUE(LEFT(Sync!$Q1194,FIND(":",Sync!$Q1194)-1)),2)&amp;RIGHT("00"&amp;VALUE(MID(Sync!$Q1194,FIND(":",Sync!$Q1194)+1,2)),2),"0000"))))</f>
        <v/>
      </c>
      <c r="G1197">
        <f>IF(OR($E1197="",$E1197="نامعتبر"),"",IF(Sync!$S1194="","",Sync!$S1194))</f>
        <v/>
      </c>
      <c r="H1197">
        <f>IF(OR($E1197="",$E1197="نامعتبر"),"",IF(Sync!$R1194="","",Sync!$R1194))</f>
        <v/>
      </c>
      <c r="I1197">
        <f>IF(OR($E1197="",$E1197="نامعتبر"),"",IF(Sync!$T1194="","",Sync!$T1194))</f>
        <v/>
      </c>
      <c r="J1197">
        <f>IF(OR($E1197="",$E1197="نامعتبر"),"",IF(Sync!$U1194="","",Sync!$U1194))</f>
        <v/>
      </c>
      <c r="K1197">
        <f>IF(OR($E1197="",$E1197="نامعتبر"),"",IF(Sync!$V1194="","",IFERROR(INDEX(SubCodes,MATCH(Sync!$V1194,SubTitles,0)),Sync!$V1194)))</f>
        <v/>
      </c>
      <c r="L1197">
        <f>IF(OR($E1197="",$E1197="نامعتبر"),"",IF(Sync!$W1194="",0,Sync!$W1194))</f>
        <v/>
      </c>
      <c r="M1197">
        <f>IF(OR($E1197="",$E1197="نامعتبر"),"",IF(Sync!$X1194="",0,Sync!$X1194))</f>
        <v/>
      </c>
      <c r="N1197">
        <f>IF(OR($E1197="",$E1197="نامعتبر"),"",IF(AND($J1197="هزینه",$K1197&lt;&gt;""),1,0))</f>
        <v/>
      </c>
      <c r="O1197">
        <f>IF($N1197=0,"",LEFT($E1197,4)&amp;MID($E1197,6,2)&amp;RIGHT($E1197,2)&amp;$F1197&amp;"|"&amp;"1"&amp;RIGHT("00000"&amp;1189,5))</f>
        <v/>
      </c>
      <c r="P1197">
        <f>IF($O1197="","",COUNTIFS(ExpSub,$K1197,ExpKey,"&lt;"&amp;$O1197)+1)</f>
        <v/>
      </c>
      <c r="Q1197">
        <f>IF($P1197="","",$K1197&amp;"|"&amp;RIGHT("000000"&amp;$P1197,6))</f>
        <v/>
      </c>
    </row>
    <row r="1198">
      <c r="A1198">
        <f>IF(Sync!$P1195="","",Sync!$P1195)</f>
        <v/>
      </c>
      <c r="B1198">
        <f>IF($A1198="","",IF(ISNUMBER($A1198),IF(AND($A1198&gt;=10000101,$A1198&lt;=99991231),INT($A1198/10000),""),IFERROR(VALUE(TRIM(LEFT($A1198,FIND("/",$A1198)-1))),"")))</f>
        <v/>
      </c>
      <c r="C1198">
        <f>IF(OR($A1198="",$B1198=""),"",IF(ISNUMBER($A1198),INT(MOD($A1198,10000)/100),IFERROR(VALUE(TRIM(LEFT(MID($A1198,FIND("/",$A1198)+1,20),FIND("/",MID($A1198,FIND("/",$A1198)+1,20))-1))),"")))</f>
        <v/>
      </c>
      <c r="D1198">
        <f>IF(OR($A1198="",$B1198=""),"",IF(ISNUMBER($A1198),MOD($A1198,100),IFERROR(VALUE(TRIM(MID(MID($A1198,FIND("/",$A1198)+1,20),FIND("/",MID($A1198,FIND("/",$A1198)+1,20))+1,20))),"")))</f>
        <v/>
      </c>
      <c r="E1198">
        <f>IF($A1198="","",IF(OR($B1198="",$C1198="",$D1198="",$B1198&lt;1300,$B1198&gt;1500,$C1198&lt;1,$C1198&gt;12,$D1198&lt;1,$D1198&gt;31),"نامعتبر",RIGHT("0000"&amp;$B1198,4)&amp;"/"&amp;RIGHT("00"&amp;$C1198,2)&amp;"/"&amp;RIGHT("00"&amp;$D1198,2)))</f>
        <v/>
      </c>
      <c r="F1198">
        <f>IF(OR($E1198="",$E1198="نامعتبر"),"",IF(Sync!$Q1195="","0000",IF(AND(ISNUMBER(Sync!$Q1195),Sync!$Q1195&gt;=0,Sync!$Q1195&lt;1),RIGHT("00"&amp;HOUR(Sync!$Q1195),2)&amp;RIGHT("00"&amp;MINUTE(Sync!$Q1195),2),IFERROR(RIGHT("00"&amp;VALUE(LEFT(Sync!$Q1195,FIND(":",Sync!$Q1195)-1)),2)&amp;RIGHT("00"&amp;VALUE(MID(Sync!$Q1195,FIND(":",Sync!$Q1195)+1,2)),2),"0000"))))</f>
        <v/>
      </c>
      <c r="G1198">
        <f>IF(OR($E1198="",$E1198="نامعتبر"),"",IF(Sync!$S1195="","",Sync!$S1195))</f>
        <v/>
      </c>
      <c r="H1198">
        <f>IF(OR($E1198="",$E1198="نامعتبر"),"",IF(Sync!$R1195="","",Sync!$R1195))</f>
        <v/>
      </c>
      <c r="I1198">
        <f>IF(OR($E1198="",$E1198="نامعتبر"),"",IF(Sync!$T1195="","",Sync!$T1195))</f>
        <v/>
      </c>
      <c r="J1198">
        <f>IF(OR($E1198="",$E1198="نامعتبر"),"",IF(Sync!$U1195="","",Sync!$U1195))</f>
        <v/>
      </c>
      <c r="K1198">
        <f>IF(OR($E1198="",$E1198="نامعتبر"),"",IF(Sync!$V1195="","",IFERROR(INDEX(SubCodes,MATCH(Sync!$V1195,SubTitles,0)),Sync!$V1195)))</f>
        <v/>
      </c>
      <c r="L1198">
        <f>IF(OR($E1198="",$E1198="نامعتبر"),"",IF(Sync!$W1195="",0,Sync!$W1195))</f>
        <v/>
      </c>
      <c r="M1198">
        <f>IF(OR($E1198="",$E1198="نامعتبر"),"",IF(Sync!$X1195="",0,Sync!$X1195))</f>
        <v/>
      </c>
      <c r="N1198">
        <f>IF(OR($E1198="",$E1198="نامعتبر"),"",IF(AND($J1198="هزینه",$K1198&lt;&gt;""),1,0))</f>
        <v/>
      </c>
      <c r="O1198">
        <f>IF($N1198=0,"",LEFT($E1198,4)&amp;MID($E1198,6,2)&amp;RIGHT($E1198,2)&amp;$F1198&amp;"|"&amp;"1"&amp;RIGHT("00000"&amp;1190,5))</f>
        <v/>
      </c>
      <c r="P1198">
        <f>IF($O1198="","",COUNTIFS(ExpSub,$K1198,ExpKey,"&lt;"&amp;$O1198)+1)</f>
        <v/>
      </c>
      <c r="Q1198">
        <f>IF($P1198="","",$K1198&amp;"|"&amp;RIGHT("000000"&amp;$P1198,6))</f>
        <v/>
      </c>
    </row>
    <row r="1199">
      <c r="A1199">
        <f>IF(Sync!$P1196="","",Sync!$P1196)</f>
        <v/>
      </c>
      <c r="B1199">
        <f>IF($A1199="","",IF(ISNUMBER($A1199),IF(AND($A1199&gt;=10000101,$A1199&lt;=99991231),INT($A1199/10000),""),IFERROR(VALUE(TRIM(LEFT($A1199,FIND("/",$A1199)-1))),"")))</f>
        <v/>
      </c>
      <c r="C1199">
        <f>IF(OR($A1199="",$B1199=""),"",IF(ISNUMBER($A1199),INT(MOD($A1199,10000)/100),IFERROR(VALUE(TRIM(LEFT(MID($A1199,FIND("/",$A1199)+1,20),FIND("/",MID($A1199,FIND("/",$A1199)+1,20))-1))),"")))</f>
        <v/>
      </c>
      <c r="D1199">
        <f>IF(OR($A1199="",$B1199=""),"",IF(ISNUMBER($A1199),MOD($A1199,100),IFERROR(VALUE(TRIM(MID(MID($A1199,FIND("/",$A1199)+1,20),FIND("/",MID($A1199,FIND("/",$A1199)+1,20))+1,20))),"")))</f>
        <v/>
      </c>
      <c r="E1199">
        <f>IF($A1199="","",IF(OR($B1199="",$C1199="",$D1199="",$B1199&lt;1300,$B1199&gt;1500,$C1199&lt;1,$C1199&gt;12,$D1199&lt;1,$D1199&gt;31),"نامعتبر",RIGHT("0000"&amp;$B1199,4)&amp;"/"&amp;RIGHT("00"&amp;$C1199,2)&amp;"/"&amp;RIGHT("00"&amp;$D1199,2)))</f>
        <v/>
      </c>
      <c r="F1199">
        <f>IF(OR($E1199="",$E1199="نامعتبر"),"",IF(Sync!$Q1196="","0000",IF(AND(ISNUMBER(Sync!$Q1196),Sync!$Q1196&gt;=0,Sync!$Q1196&lt;1),RIGHT("00"&amp;HOUR(Sync!$Q1196),2)&amp;RIGHT("00"&amp;MINUTE(Sync!$Q1196),2),IFERROR(RIGHT("00"&amp;VALUE(LEFT(Sync!$Q1196,FIND(":",Sync!$Q1196)-1)),2)&amp;RIGHT("00"&amp;VALUE(MID(Sync!$Q1196,FIND(":",Sync!$Q1196)+1,2)),2),"0000"))))</f>
        <v/>
      </c>
      <c r="G1199">
        <f>IF(OR($E1199="",$E1199="نامعتبر"),"",IF(Sync!$S1196="","",Sync!$S1196))</f>
        <v/>
      </c>
      <c r="H1199">
        <f>IF(OR($E1199="",$E1199="نامعتبر"),"",IF(Sync!$R1196="","",Sync!$R1196))</f>
        <v/>
      </c>
      <c r="I1199">
        <f>IF(OR($E1199="",$E1199="نامعتبر"),"",IF(Sync!$T1196="","",Sync!$T1196))</f>
        <v/>
      </c>
      <c r="J1199">
        <f>IF(OR($E1199="",$E1199="نامعتبر"),"",IF(Sync!$U1196="","",Sync!$U1196))</f>
        <v/>
      </c>
      <c r="K1199">
        <f>IF(OR($E1199="",$E1199="نامعتبر"),"",IF(Sync!$V1196="","",IFERROR(INDEX(SubCodes,MATCH(Sync!$V1196,SubTitles,0)),Sync!$V1196)))</f>
        <v/>
      </c>
      <c r="L1199">
        <f>IF(OR($E1199="",$E1199="نامعتبر"),"",IF(Sync!$W1196="",0,Sync!$W1196))</f>
        <v/>
      </c>
      <c r="M1199">
        <f>IF(OR($E1199="",$E1199="نامعتبر"),"",IF(Sync!$X1196="",0,Sync!$X1196))</f>
        <v/>
      </c>
      <c r="N1199">
        <f>IF(OR($E1199="",$E1199="نامعتبر"),"",IF(AND($J1199="هزینه",$K1199&lt;&gt;""),1,0))</f>
        <v/>
      </c>
      <c r="O1199">
        <f>IF($N1199=0,"",LEFT($E1199,4)&amp;MID($E1199,6,2)&amp;RIGHT($E1199,2)&amp;$F1199&amp;"|"&amp;"1"&amp;RIGHT("00000"&amp;1191,5))</f>
        <v/>
      </c>
      <c r="P1199">
        <f>IF($O1199="","",COUNTIFS(ExpSub,$K1199,ExpKey,"&lt;"&amp;$O1199)+1)</f>
        <v/>
      </c>
      <c r="Q1199">
        <f>IF($P1199="","",$K1199&amp;"|"&amp;RIGHT("000000"&amp;$P1199,6))</f>
        <v/>
      </c>
    </row>
    <row r="1200">
      <c r="A1200">
        <f>IF(Sync!$P1197="","",Sync!$P1197)</f>
        <v/>
      </c>
      <c r="B1200">
        <f>IF($A1200="","",IF(ISNUMBER($A1200),IF(AND($A1200&gt;=10000101,$A1200&lt;=99991231),INT($A1200/10000),""),IFERROR(VALUE(TRIM(LEFT($A1200,FIND("/",$A1200)-1))),"")))</f>
        <v/>
      </c>
      <c r="C1200">
        <f>IF(OR($A1200="",$B1200=""),"",IF(ISNUMBER($A1200),INT(MOD($A1200,10000)/100),IFERROR(VALUE(TRIM(LEFT(MID($A1200,FIND("/",$A1200)+1,20),FIND("/",MID($A1200,FIND("/",$A1200)+1,20))-1))),"")))</f>
        <v/>
      </c>
      <c r="D1200">
        <f>IF(OR($A1200="",$B1200=""),"",IF(ISNUMBER($A1200),MOD($A1200,100),IFERROR(VALUE(TRIM(MID(MID($A1200,FIND("/",$A1200)+1,20),FIND("/",MID($A1200,FIND("/",$A1200)+1,20))+1,20))),"")))</f>
        <v/>
      </c>
      <c r="E1200">
        <f>IF($A1200="","",IF(OR($B1200="",$C1200="",$D1200="",$B1200&lt;1300,$B1200&gt;1500,$C1200&lt;1,$C1200&gt;12,$D1200&lt;1,$D1200&gt;31),"نامعتبر",RIGHT("0000"&amp;$B1200,4)&amp;"/"&amp;RIGHT("00"&amp;$C1200,2)&amp;"/"&amp;RIGHT("00"&amp;$D1200,2)))</f>
        <v/>
      </c>
      <c r="F1200">
        <f>IF(OR($E1200="",$E1200="نامعتبر"),"",IF(Sync!$Q1197="","0000",IF(AND(ISNUMBER(Sync!$Q1197),Sync!$Q1197&gt;=0,Sync!$Q1197&lt;1),RIGHT("00"&amp;HOUR(Sync!$Q1197),2)&amp;RIGHT("00"&amp;MINUTE(Sync!$Q1197),2),IFERROR(RIGHT("00"&amp;VALUE(LEFT(Sync!$Q1197,FIND(":",Sync!$Q1197)-1)),2)&amp;RIGHT("00"&amp;VALUE(MID(Sync!$Q1197,FIND(":",Sync!$Q1197)+1,2)),2),"0000"))))</f>
        <v/>
      </c>
      <c r="G1200">
        <f>IF(OR($E1200="",$E1200="نامعتبر"),"",IF(Sync!$S1197="","",Sync!$S1197))</f>
        <v/>
      </c>
      <c r="H1200">
        <f>IF(OR($E1200="",$E1200="نامعتبر"),"",IF(Sync!$R1197="","",Sync!$R1197))</f>
        <v/>
      </c>
      <c r="I1200">
        <f>IF(OR($E1200="",$E1200="نامعتبر"),"",IF(Sync!$T1197="","",Sync!$T1197))</f>
        <v/>
      </c>
      <c r="J1200">
        <f>IF(OR($E1200="",$E1200="نامعتبر"),"",IF(Sync!$U1197="","",Sync!$U1197))</f>
        <v/>
      </c>
      <c r="K1200">
        <f>IF(OR($E1200="",$E1200="نامعتبر"),"",IF(Sync!$V1197="","",IFERROR(INDEX(SubCodes,MATCH(Sync!$V1197,SubTitles,0)),Sync!$V1197)))</f>
        <v/>
      </c>
      <c r="L1200">
        <f>IF(OR($E1200="",$E1200="نامعتبر"),"",IF(Sync!$W1197="",0,Sync!$W1197))</f>
        <v/>
      </c>
      <c r="M1200">
        <f>IF(OR($E1200="",$E1200="نامعتبر"),"",IF(Sync!$X1197="",0,Sync!$X1197))</f>
        <v/>
      </c>
      <c r="N1200">
        <f>IF(OR($E1200="",$E1200="نامعتبر"),"",IF(AND($J1200="هزینه",$K1200&lt;&gt;""),1,0))</f>
        <v/>
      </c>
      <c r="O1200">
        <f>IF($N1200=0,"",LEFT($E1200,4)&amp;MID($E1200,6,2)&amp;RIGHT($E1200,2)&amp;$F1200&amp;"|"&amp;"1"&amp;RIGHT("00000"&amp;1192,5))</f>
        <v/>
      </c>
      <c r="P1200">
        <f>IF($O1200="","",COUNTIFS(ExpSub,$K1200,ExpKey,"&lt;"&amp;$O1200)+1)</f>
        <v/>
      </c>
      <c r="Q1200">
        <f>IF($P1200="","",$K1200&amp;"|"&amp;RIGHT("000000"&amp;$P1200,6))</f>
        <v/>
      </c>
    </row>
    <row r="1201">
      <c r="A1201">
        <f>IF(Sync!$P1198="","",Sync!$P1198)</f>
        <v/>
      </c>
      <c r="B1201">
        <f>IF($A1201="","",IF(ISNUMBER($A1201),IF(AND($A1201&gt;=10000101,$A1201&lt;=99991231),INT($A1201/10000),""),IFERROR(VALUE(TRIM(LEFT($A1201,FIND("/",$A1201)-1))),"")))</f>
        <v/>
      </c>
      <c r="C1201">
        <f>IF(OR($A1201="",$B1201=""),"",IF(ISNUMBER($A1201),INT(MOD($A1201,10000)/100),IFERROR(VALUE(TRIM(LEFT(MID($A1201,FIND("/",$A1201)+1,20),FIND("/",MID($A1201,FIND("/",$A1201)+1,20))-1))),"")))</f>
        <v/>
      </c>
      <c r="D1201">
        <f>IF(OR($A1201="",$B1201=""),"",IF(ISNUMBER($A1201),MOD($A1201,100),IFERROR(VALUE(TRIM(MID(MID($A1201,FIND("/",$A1201)+1,20),FIND("/",MID($A1201,FIND("/",$A1201)+1,20))+1,20))),"")))</f>
        <v/>
      </c>
      <c r="E1201">
        <f>IF($A1201="","",IF(OR($B1201="",$C1201="",$D1201="",$B1201&lt;1300,$B1201&gt;1500,$C1201&lt;1,$C1201&gt;12,$D1201&lt;1,$D1201&gt;31),"نامعتبر",RIGHT("0000"&amp;$B1201,4)&amp;"/"&amp;RIGHT("00"&amp;$C1201,2)&amp;"/"&amp;RIGHT("00"&amp;$D1201,2)))</f>
        <v/>
      </c>
      <c r="F1201">
        <f>IF(OR($E1201="",$E1201="نامعتبر"),"",IF(Sync!$Q1198="","0000",IF(AND(ISNUMBER(Sync!$Q1198),Sync!$Q1198&gt;=0,Sync!$Q1198&lt;1),RIGHT("00"&amp;HOUR(Sync!$Q1198),2)&amp;RIGHT("00"&amp;MINUTE(Sync!$Q1198),2),IFERROR(RIGHT("00"&amp;VALUE(LEFT(Sync!$Q1198,FIND(":",Sync!$Q1198)-1)),2)&amp;RIGHT("00"&amp;VALUE(MID(Sync!$Q1198,FIND(":",Sync!$Q1198)+1,2)),2),"0000"))))</f>
        <v/>
      </c>
      <c r="G1201">
        <f>IF(OR($E1201="",$E1201="نامعتبر"),"",IF(Sync!$S1198="","",Sync!$S1198))</f>
        <v/>
      </c>
      <c r="H1201">
        <f>IF(OR($E1201="",$E1201="نامعتبر"),"",IF(Sync!$R1198="","",Sync!$R1198))</f>
        <v/>
      </c>
      <c r="I1201">
        <f>IF(OR($E1201="",$E1201="نامعتبر"),"",IF(Sync!$T1198="","",Sync!$T1198))</f>
        <v/>
      </c>
      <c r="J1201">
        <f>IF(OR($E1201="",$E1201="نامعتبر"),"",IF(Sync!$U1198="","",Sync!$U1198))</f>
        <v/>
      </c>
      <c r="K1201">
        <f>IF(OR($E1201="",$E1201="نامعتبر"),"",IF(Sync!$V1198="","",IFERROR(INDEX(SubCodes,MATCH(Sync!$V1198,SubTitles,0)),Sync!$V1198)))</f>
        <v/>
      </c>
      <c r="L1201">
        <f>IF(OR($E1201="",$E1201="نامعتبر"),"",IF(Sync!$W1198="",0,Sync!$W1198))</f>
        <v/>
      </c>
      <c r="M1201">
        <f>IF(OR($E1201="",$E1201="نامعتبر"),"",IF(Sync!$X1198="",0,Sync!$X1198))</f>
        <v/>
      </c>
      <c r="N1201">
        <f>IF(OR($E1201="",$E1201="نامعتبر"),"",IF(AND($J1201="هزینه",$K1201&lt;&gt;""),1,0))</f>
        <v/>
      </c>
      <c r="O1201">
        <f>IF($N1201=0,"",LEFT($E1201,4)&amp;MID($E1201,6,2)&amp;RIGHT($E1201,2)&amp;$F1201&amp;"|"&amp;"1"&amp;RIGHT("00000"&amp;1193,5))</f>
        <v/>
      </c>
      <c r="P1201">
        <f>IF($O1201="","",COUNTIFS(ExpSub,$K1201,ExpKey,"&lt;"&amp;$O1201)+1)</f>
        <v/>
      </c>
      <c r="Q1201">
        <f>IF($P1201="","",$K1201&amp;"|"&amp;RIGHT("000000"&amp;$P1201,6))</f>
        <v/>
      </c>
    </row>
    <row r="1202">
      <c r="A1202">
        <f>IF(Sync!$P1199="","",Sync!$P1199)</f>
        <v/>
      </c>
      <c r="B1202">
        <f>IF($A1202="","",IF(ISNUMBER($A1202),IF(AND($A1202&gt;=10000101,$A1202&lt;=99991231),INT($A1202/10000),""),IFERROR(VALUE(TRIM(LEFT($A1202,FIND("/",$A1202)-1))),"")))</f>
        <v/>
      </c>
      <c r="C1202">
        <f>IF(OR($A1202="",$B1202=""),"",IF(ISNUMBER($A1202),INT(MOD($A1202,10000)/100),IFERROR(VALUE(TRIM(LEFT(MID($A1202,FIND("/",$A1202)+1,20),FIND("/",MID($A1202,FIND("/",$A1202)+1,20))-1))),"")))</f>
        <v/>
      </c>
      <c r="D1202">
        <f>IF(OR($A1202="",$B1202=""),"",IF(ISNUMBER($A1202),MOD($A1202,100),IFERROR(VALUE(TRIM(MID(MID($A1202,FIND("/",$A1202)+1,20),FIND("/",MID($A1202,FIND("/",$A1202)+1,20))+1,20))),"")))</f>
        <v/>
      </c>
      <c r="E1202">
        <f>IF($A1202="","",IF(OR($B1202="",$C1202="",$D1202="",$B1202&lt;1300,$B1202&gt;1500,$C1202&lt;1,$C1202&gt;12,$D1202&lt;1,$D1202&gt;31),"نامعتبر",RIGHT("0000"&amp;$B1202,4)&amp;"/"&amp;RIGHT("00"&amp;$C1202,2)&amp;"/"&amp;RIGHT("00"&amp;$D1202,2)))</f>
        <v/>
      </c>
      <c r="F1202">
        <f>IF(OR($E1202="",$E1202="نامعتبر"),"",IF(Sync!$Q1199="","0000",IF(AND(ISNUMBER(Sync!$Q1199),Sync!$Q1199&gt;=0,Sync!$Q1199&lt;1),RIGHT("00"&amp;HOUR(Sync!$Q1199),2)&amp;RIGHT("00"&amp;MINUTE(Sync!$Q1199),2),IFERROR(RIGHT("00"&amp;VALUE(LEFT(Sync!$Q1199,FIND(":",Sync!$Q1199)-1)),2)&amp;RIGHT("00"&amp;VALUE(MID(Sync!$Q1199,FIND(":",Sync!$Q1199)+1,2)),2),"0000"))))</f>
        <v/>
      </c>
      <c r="G1202">
        <f>IF(OR($E1202="",$E1202="نامعتبر"),"",IF(Sync!$S1199="","",Sync!$S1199))</f>
        <v/>
      </c>
      <c r="H1202">
        <f>IF(OR($E1202="",$E1202="نامعتبر"),"",IF(Sync!$R1199="","",Sync!$R1199))</f>
        <v/>
      </c>
      <c r="I1202">
        <f>IF(OR($E1202="",$E1202="نامعتبر"),"",IF(Sync!$T1199="","",Sync!$T1199))</f>
        <v/>
      </c>
      <c r="J1202">
        <f>IF(OR($E1202="",$E1202="نامعتبر"),"",IF(Sync!$U1199="","",Sync!$U1199))</f>
        <v/>
      </c>
      <c r="K1202">
        <f>IF(OR($E1202="",$E1202="نامعتبر"),"",IF(Sync!$V1199="","",IFERROR(INDEX(SubCodes,MATCH(Sync!$V1199,SubTitles,0)),Sync!$V1199)))</f>
        <v/>
      </c>
      <c r="L1202">
        <f>IF(OR($E1202="",$E1202="نامعتبر"),"",IF(Sync!$W1199="",0,Sync!$W1199))</f>
        <v/>
      </c>
      <c r="M1202">
        <f>IF(OR($E1202="",$E1202="نامعتبر"),"",IF(Sync!$X1199="",0,Sync!$X1199))</f>
        <v/>
      </c>
      <c r="N1202">
        <f>IF(OR($E1202="",$E1202="نامعتبر"),"",IF(AND($J1202="هزینه",$K1202&lt;&gt;""),1,0))</f>
        <v/>
      </c>
      <c r="O1202">
        <f>IF($N1202=0,"",LEFT($E1202,4)&amp;MID($E1202,6,2)&amp;RIGHT($E1202,2)&amp;$F1202&amp;"|"&amp;"1"&amp;RIGHT("00000"&amp;1194,5))</f>
        <v/>
      </c>
      <c r="P1202">
        <f>IF($O1202="","",COUNTIFS(ExpSub,$K1202,ExpKey,"&lt;"&amp;$O1202)+1)</f>
        <v/>
      </c>
      <c r="Q1202">
        <f>IF($P1202="","",$K1202&amp;"|"&amp;RIGHT("000000"&amp;$P1202,6))</f>
        <v/>
      </c>
    </row>
    <row r="1203">
      <c r="A1203">
        <f>IF(Sync!$P1200="","",Sync!$P1200)</f>
        <v/>
      </c>
      <c r="B1203">
        <f>IF($A1203="","",IF(ISNUMBER($A1203),IF(AND($A1203&gt;=10000101,$A1203&lt;=99991231),INT($A1203/10000),""),IFERROR(VALUE(TRIM(LEFT($A1203,FIND("/",$A1203)-1))),"")))</f>
        <v/>
      </c>
      <c r="C1203">
        <f>IF(OR($A1203="",$B1203=""),"",IF(ISNUMBER($A1203),INT(MOD($A1203,10000)/100),IFERROR(VALUE(TRIM(LEFT(MID($A1203,FIND("/",$A1203)+1,20),FIND("/",MID($A1203,FIND("/",$A1203)+1,20))-1))),"")))</f>
        <v/>
      </c>
      <c r="D1203">
        <f>IF(OR($A1203="",$B1203=""),"",IF(ISNUMBER($A1203),MOD($A1203,100),IFERROR(VALUE(TRIM(MID(MID($A1203,FIND("/",$A1203)+1,20),FIND("/",MID($A1203,FIND("/",$A1203)+1,20))+1,20))),"")))</f>
        <v/>
      </c>
      <c r="E1203">
        <f>IF($A1203="","",IF(OR($B1203="",$C1203="",$D1203="",$B1203&lt;1300,$B1203&gt;1500,$C1203&lt;1,$C1203&gt;12,$D1203&lt;1,$D1203&gt;31),"نامعتبر",RIGHT("0000"&amp;$B1203,4)&amp;"/"&amp;RIGHT("00"&amp;$C1203,2)&amp;"/"&amp;RIGHT("00"&amp;$D1203,2)))</f>
        <v/>
      </c>
      <c r="F1203">
        <f>IF(OR($E1203="",$E1203="نامعتبر"),"",IF(Sync!$Q1200="","0000",IF(AND(ISNUMBER(Sync!$Q1200),Sync!$Q1200&gt;=0,Sync!$Q1200&lt;1),RIGHT("00"&amp;HOUR(Sync!$Q1200),2)&amp;RIGHT("00"&amp;MINUTE(Sync!$Q1200),2),IFERROR(RIGHT("00"&amp;VALUE(LEFT(Sync!$Q1200,FIND(":",Sync!$Q1200)-1)),2)&amp;RIGHT("00"&amp;VALUE(MID(Sync!$Q1200,FIND(":",Sync!$Q1200)+1,2)),2),"0000"))))</f>
        <v/>
      </c>
      <c r="G1203">
        <f>IF(OR($E1203="",$E1203="نامعتبر"),"",IF(Sync!$S1200="","",Sync!$S1200))</f>
        <v/>
      </c>
      <c r="H1203">
        <f>IF(OR($E1203="",$E1203="نامعتبر"),"",IF(Sync!$R1200="","",Sync!$R1200))</f>
        <v/>
      </c>
      <c r="I1203">
        <f>IF(OR($E1203="",$E1203="نامعتبر"),"",IF(Sync!$T1200="","",Sync!$T1200))</f>
        <v/>
      </c>
      <c r="J1203">
        <f>IF(OR($E1203="",$E1203="نامعتبر"),"",IF(Sync!$U1200="","",Sync!$U1200))</f>
        <v/>
      </c>
      <c r="K1203">
        <f>IF(OR($E1203="",$E1203="نامعتبر"),"",IF(Sync!$V1200="","",IFERROR(INDEX(SubCodes,MATCH(Sync!$V1200,SubTitles,0)),Sync!$V1200)))</f>
        <v/>
      </c>
      <c r="L1203">
        <f>IF(OR($E1203="",$E1203="نامعتبر"),"",IF(Sync!$W1200="",0,Sync!$W1200))</f>
        <v/>
      </c>
      <c r="M1203">
        <f>IF(OR($E1203="",$E1203="نامعتبر"),"",IF(Sync!$X1200="",0,Sync!$X1200))</f>
        <v/>
      </c>
      <c r="N1203">
        <f>IF(OR($E1203="",$E1203="نامعتبر"),"",IF(AND($J1203="هزینه",$K1203&lt;&gt;""),1,0))</f>
        <v/>
      </c>
      <c r="O1203">
        <f>IF($N1203=0,"",LEFT($E1203,4)&amp;MID($E1203,6,2)&amp;RIGHT($E1203,2)&amp;$F1203&amp;"|"&amp;"1"&amp;RIGHT("00000"&amp;1195,5))</f>
        <v/>
      </c>
      <c r="P1203">
        <f>IF($O1203="","",COUNTIFS(ExpSub,$K1203,ExpKey,"&lt;"&amp;$O1203)+1)</f>
        <v/>
      </c>
      <c r="Q1203">
        <f>IF($P1203="","",$K1203&amp;"|"&amp;RIGHT("000000"&amp;$P1203,6))</f>
        <v/>
      </c>
    </row>
    <row r="1204">
      <c r="A1204">
        <f>IF(Sync!$P1201="","",Sync!$P1201)</f>
        <v/>
      </c>
      <c r="B1204">
        <f>IF($A1204="","",IF(ISNUMBER($A1204),IF(AND($A1204&gt;=10000101,$A1204&lt;=99991231),INT($A1204/10000),""),IFERROR(VALUE(TRIM(LEFT($A1204,FIND("/",$A1204)-1))),"")))</f>
        <v/>
      </c>
      <c r="C1204">
        <f>IF(OR($A1204="",$B1204=""),"",IF(ISNUMBER($A1204),INT(MOD($A1204,10000)/100),IFERROR(VALUE(TRIM(LEFT(MID($A1204,FIND("/",$A1204)+1,20),FIND("/",MID($A1204,FIND("/",$A1204)+1,20))-1))),"")))</f>
        <v/>
      </c>
      <c r="D1204">
        <f>IF(OR($A1204="",$B1204=""),"",IF(ISNUMBER($A1204),MOD($A1204,100),IFERROR(VALUE(TRIM(MID(MID($A1204,FIND("/",$A1204)+1,20),FIND("/",MID($A1204,FIND("/",$A1204)+1,20))+1,20))),"")))</f>
        <v/>
      </c>
      <c r="E1204">
        <f>IF($A1204="","",IF(OR($B1204="",$C1204="",$D1204="",$B1204&lt;1300,$B1204&gt;1500,$C1204&lt;1,$C1204&gt;12,$D1204&lt;1,$D1204&gt;31),"نامعتبر",RIGHT("0000"&amp;$B1204,4)&amp;"/"&amp;RIGHT("00"&amp;$C1204,2)&amp;"/"&amp;RIGHT("00"&amp;$D1204,2)))</f>
        <v/>
      </c>
      <c r="F1204">
        <f>IF(OR($E1204="",$E1204="نامعتبر"),"",IF(Sync!$Q1201="","0000",IF(AND(ISNUMBER(Sync!$Q1201),Sync!$Q1201&gt;=0,Sync!$Q1201&lt;1),RIGHT("00"&amp;HOUR(Sync!$Q1201),2)&amp;RIGHT("00"&amp;MINUTE(Sync!$Q1201),2),IFERROR(RIGHT("00"&amp;VALUE(LEFT(Sync!$Q1201,FIND(":",Sync!$Q1201)-1)),2)&amp;RIGHT("00"&amp;VALUE(MID(Sync!$Q1201,FIND(":",Sync!$Q1201)+1,2)),2),"0000"))))</f>
        <v/>
      </c>
      <c r="G1204">
        <f>IF(OR($E1204="",$E1204="نامعتبر"),"",IF(Sync!$S1201="","",Sync!$S1201))</f>
        <v/>
      </c>
      <c r="H1204">
        <f>IF(OR($E1204="",$E1204="نامعتبر"),"",IF(Sync!$R1201="","",Sync!$R1201))</f>
        <v/>
      </c>
      <c r="I1204">
        <f>IF(OR($E1204="",$E1204="نامعتبر"),"",IF(Sync!$T1201="","",Sync!$T1201))</f>
        <v/>
      </c>
      <c r="J1204">
        <f>IF(OR($E1204="",$E1204="نامعتبر"),"",IF(Sync!$U1201="","",Sync!$U1201))</f>
        <v/>
      </c>
      <c r="K1204">
        <f>IF(OR($E1204="",$E1204="نامعتبر"),"",IF(Sync!$V1201="","",IFERROR(INDEX(SubCodes,MATCH(Sync!$V1201,SubTitles,0)),Sync!$V1201)))</f>
        <v/>
      </c>
      <c r="L1204">
        <f>IF(OR($E1204="",$E1204="نامعتبر"),"",IF(Sync!$W1201="",0,Sync!$W1201))</f>
        <v/>
      </c>
      <c r="M1204">
        <f>IF(OR($E1204="",$E1204="نامعتبر"),"",IF(Sync!$X1201="",0,Sync!$X1201))</f>
        <v/>
      </c>
      <c r="N1204">
        <f>IF(OR($E1204="",$E1204="نامعتبر"),"",IF(AND($J1204="هزینه",$K1204&lt;&gt;""),1,0))</f>
        <v/>
      </c>
      <c r="O1204">
        <f>IF($N1204=0,"",LEFT($E1204,4)&amp;MID($E1204,6,2)&amp;RIGHT($E1204,2)&amp;$F1204&amp;"|"&amp;"1"&amp;RIGHT("00000"&amp;1196,5))</f>
        <v/>
      </c>
      <c r="P1204">
        <f>IF($O1204="","",COUNTIFS(ExpSub,$K1204,ExpKey,"&lt;"&amp;$O1204)+1)</f>
        <v/>
      </c>
      <c r="Q1204">
        <f>IF($P1204="","",$K1204&amp;"|"&amp;RIGHT("000000"&amp;$P1204,6))</f>
        <v/>
      </c>
    </row>
    <row r="1205">
      <c r="A1205">
        <f>IF(Sync!$P1202="","",Sync!$P1202)</f>
        <v/>
      </c>
      <c r="B1205">
        <f>IF($A1205="","",IF(ISNUMBER($A1205),IF(AND($A1205&gt;=10000101,$A1205&lt;=99991231),INT($A1205/10000),""),IFERROR(VALUE(TRIM(LEFT($A1205,FIND("/",$A1205)-1))),"")))</f>
        <v/>
      </c>
      <c r="C1205">
        <f>IF(OR($A1205="",$B1205=""),"",IF(ISNUMBER($A1205),INT(MOD($A1205,10000)/100),IFERROR(VALUE(TRIM(LEFT(MID($A1205,FIND("/",$A1205)+1,20),FIND("/",MID($A1205,FIND("/",$A1205)+1,20))-1))),"")))</f>
        <v/>
      </c>
      <c r="D1205">
        <f>IF(OR($A1205="",$B1205=""),"",IF(ISNUMBER($A1205),MOD($A1205,100),IFERROR(VALUE(TRIM(MID(MID($A1205,FIND("/",$A1205)+1,20),FIND("/",MID($A1205,FIND("/",$A1205)+1,20))+1,20))),"")))</f>
        <v/>
      </c>
      <c r="E1205">
        <f>IF($A1205="","",IF(OR($B1205="",$C1205="",$D1205="",$B1205&lt;1300,$B1205&gt;1500,$C1205&lt;1,$C1205&gt;12,$D1205&lt;1,$D1205&gt;31),"نامعتبر",RIGHT("0000"&amp;$B1205,4)&amp;"/"&amp;RIGHT("00"&amp;$C1205,2)&amp;"/"&amp;RIGHT("00"&amp;$D1205,2)))</f>
        <v/>
      </c>
      <c r="F1205">
        <f>IF(OR($E1205="",$E1205="نامعتبر"),"",IF(Sync!$Q1202="","0000",IF(AND(ISNUMBER(Sync!$Q1202),Sync!$Q1202&gt;=0,Sync!$Q1202&lt;1),RIGHT("00"&amp;HOUR(Sync!$Q1202),2)&amp;RIGHT("00"&amp;MINUTE(Sync!$Q1202),2),IFERROR(RIGHT("00"&amp;VALUE(LEFT(Sync!$Q1202,FIND(":",Sync!$Q1202)-1)),2)&amp;RIGHT("00"&amp;VALUE(MID(Sync!$Q1202,FIND(":",Sync!$Q1202)+1,2)),2),"0000"))))</f>
        <v/>
      </c>
      <c r="G1205">
        <f>IF(OR($E1205="",$E1205="نامعتبر"),"",IF(Sync!$S1202="","",Sync!$S1202))</f>
        <v/>
      </c>
      <c r="H1205">
        <f>IF(OR($E1205="",$E1205="نامعتبر"),"",IF(Sync!$R1202="","",Sync!$R1202))</f>
        <v/>
      </c>
      <c r="I1205">
        <f>IF(OR($E1205="",$E1205="نامعتبر"),"",IF(Sync!$T1202="","",Sync!$T1202))</f>
        <v/>
      </c>
      <c r="J1205">
        <f>IF(OR($E1205="",$E1205="نامعتبر"),"",IF(Sync!$U1202="","",Sync!$U1202))</f>
        <v/>
      </c>
      <c r="K1205">
        <f>IF(OR($E1205="",$E1205="نامعتبر"),"",IF(Sync!$V1202="","",IFERROR(INDEX(SubCodes,MATCH(Sync!$V1202,SubTitles,0)),Sync!$V1202)))</f>
        <v/>
      </c>
      <c r="L1205">
        <f>IF(OR($E1205="",$E1205="نامعتبر"),"",IF(Sync!$W1202="",0,Sync!$W1202))</f>
        <v/>
      </c>
      <c r="M1205">
        <f>IF(OR($E1205="",$E1205="نامعتبر"),"",IF(Sync!$X1202="",0,Sync!$X1202))</f>
        <v/>
      </c>
      <c r="N1205">
        <f>IF(OR($E1205="",$E1205="نامعتبر"),"",IF(AND($J1205="هزینه",$K1205&lt;&gt;""),1,0))</f>
        <v/>
      </c>
      <c r="O1205">
        <f>IF($N1205=0,"",LEFT($E1205,4)&amp;MID($E1205,6,2)&amp;RIGHT($E1205,2)&amp;$F1205&amp;"|"&amp;"1"&amp;RIGHT("00000"&amp;1197,5))</f>
        <v/>
      </c>
      <c r="P1205">
        <f>IF($O1205="","",COUNTIFS(ExpSub,$K1205,ExpKey,"&lt;"&amp;$O1205)+1)</f>
        <v/>
      </c>
      <c r="Q1205">
        <f>IF($P1205="","",$K1205&amp;"|"&amp;RIGHT("000000"&amp;$P1205,6))</f>
        <v/>
      </c>
    </row>
    <row r="1206">
      <c r="A1206">
        <f>IF(Sync!$P1203="","",Sync!$P1203)</f>
        <v/>
      </c>
      <c r="B1206">
        <f>IF($A1206="","",IF(ISNUMBER($A1206),IF(AND($A1206&gt;=10000101,$A1206&lt;=99991231),INT($A1206/10000),""),IFERROR(VALUE(TRIM(LEFT($A1206,FIND("/",$A1206)-1))),"")))</f>
        <v/>
      </c>
      <c r="C1206">
        <f>IF(OR($A1206="",$B1206=""),"",IF(ISNUMBER($A1206),INT(MOD($A1206,10000)/100),IFERROR(VALUE(TRIM(LEFT(MID($A1206,FIND("/",$A1206)+1,20),FIND("/",MID($A1206,FIND("/",$A1206)+1,20))-1))),"")))</f>
        <v/>
      </c>
      <c r="D1206">
        <f>IF(OR($A1206="",$B1206=""),"",IF(ISNUMBER($A1206),MOD($A1206,100),IFERROR(VALUE(TRIM(MID(MID($A1206,FIND("/",$A1206)+1,20),FIND("/",MID($A1206,FIND("/",$A1206)+1,20))+1,20))),"")))</f>
        <v/>
      </c>
      <c r="E1206">
        <f>IF($A1206="","",IF(OR($B1206="",$C1206="",$D1206="",$B1206&lt;1300,$B1206&gt;1500,$C1206&lt;1,$C1206&gt;12,$D1206&lt;1,$D1206&gt;31),"نامعتبر",RIGHT("0000"&amp;$B1206,4)&amp;"/"&amp;RIGHT("00"&amp;$C1206,2)&amp;"/"&amp;RIGHT("00"&amp;$D1206,2)))</f>
        <v/>
      </c>
      <c r="F1206">
        <f>IF(OR($E1206="",$E1206="نامعتبر"),"",IF(Sync!$Q1203="","0000",IF(AND(ISNUMBER(Sync!$Q1203),Sync!$Q1203&gt;=0,Sync!$Q1203&lt;1),RIGHT("00"&amp;HOUR(Sync!$Q1203),2)&amp;RIGHT("00"&amp;MINUTE(Sync!$Q1203),2),IFERROR(RIGHT("00"&amp;VALUE(LEFT(Sync!$Q1203,FIND(":",Sync!$Q1203)-1)),2)&amp;RIGHT("00"&amp;VALUE(MID(Sync!$Q1203,FIND(":",Sync!$Q1203)+1,2)),2),"0000"))))</f>
        <v/>
      </c>
      <c r="G1206">
        <f>IF(OR($E1206="",$E1206="نامعتبر"),"",IF(Sync!$S1203="","",Sync!$S1203))</f>
        <v/>
      </c>
      <c r="H1206">
        <f>IF(OR($E1206="",$E1206="نامعتبر"),"",IF(Sync!$R1203="","",Sync!$R1203))</f>
        <v/>
      </c>
      <c r="I1206">
        <f>IF(OR($E1206="",$E1206="نامعتبر"),"",IF(Sync!$T1203="","",Sync!$T1203))</f>
        <v/>
      </c>
      <c r="J1206">
        <f>IF(OR($E1206="",$E1206="نامعتبر"),"",IF(Sync!$U1203="","",Sync!$U1203))</f>
        <v/>
      </c>
      <c r="K1206">
        <f>IF(OR($E1206="",$E1206="نامعتبر"),"",IF(Sync!$V1203="","",IFERROR(INDEX(SubCodes,MATCH(Sync!$V1203,SubTitles,0)),Sync!$V1203)))</f>
        <v/>
      </c>
      <c r="L1206">
        <f>IF(OR($E1206="",$E1206="نامعتبر"),"",IF(Sync!$W1203="",0,Sync!$W1203))</f>
        <v/>
      </c>
      <c r="M1206">
        <f>IF(OR($E1206="",$E1206="نامعتبر"),"",IF(Sync!$X1203="",0,Sync!$X1203))</f>
        <v/>
      </c>
      <c r="N1206">
        <f>IF(OR($E1206="",$E1206="نامعتبر"),"",IF(AND($J1206="هزینه",$K1206&lt;&gt;""),1,0))</f>
        <v/>
      </c>
      <c r="O1206">
        <f>IF($N1206=0,"",LEFT($E1206,4)&amp;MID($E1206,6,2)&amp;RIGHT($E1206,2)&amp;$F1206&amp;"|"&amp;"1"&amp;RIGHT("00000"&amp;1198,5))</f>
        <v/>
      </c>
      <c r="P1206">
        <f>IF($O1206="","",COUNTIFS(ExpSub,$K1206,ExpKey,"&lt;"&amp;$O1206)+1)</f>
        <v/>
      </c>
      <c r="Q1206">
        <f>IF($P1206="","",$K1206&amp;"|"&amp;RIGHT("000000"&amp;$P1206,6))</f>
        <v/>
      </c>
    </row>
    <row r="1207">
      <c r="A1207">
        <f>IF(Sync!$P1204="","",Sync!$P1204)</f>
        <v/>
      </c>
      <c r="B1207">
        <f>IF($A1207="","",IF(ISNUMBER($A1207),IF(AND($A1207&gt;=10000101,$A1207&lt;=99991231),INT($A1207/10000),""),IFERROR(VALUE(TRIM(LEFT($A1207,FIND("/",$A1207)-1))),"")))</f>
        <v/>
      </c>
      <c r="C1207">
        <f>IF(OR($A1207="",$B1207=""),"",IF(ISNUMBER($A1207),INT(MOD($A1207,10000)/100),IFERROR(VALUE(TRIM(LEFT(MID($A1207,FIND("/",$A1207)+1,20),FIND("/",MID($A1207,FIND("/",$A1207)+1,20))-1))),"")))</f>
        <v/>
      </c>
      <c r="D1207">
        <f>IF(OR($A1207="",$B1207=""),"",IF(ISNUMBER($A1207),MOD($A1207,100),IFERROR(VALUE(TRIM(MID(MID($A1207,FIND("/",$A1207)+1,20),FIND("/",MID($A1207,FIND("/",$A1207)+1,20))+1,20))),"")))</f>
        <v/>
      </c>
      <c r="E1207">
        <f>IF($A1207="","",IF(OR($B1207="",$C1207="",$D1207="",$B1207&lt;1300,$B1207&gt;1500,$C1207&lt;1,$C1207&gt;12,$D1207&lt;1,$D1207&gt;31),"نامعتبر",RIGHT("0000"&amp;$B1207,4)&amp;"/"&amp;RIGHT("00"&amp;$C1207,2)&amp;"/"&amp;RIGHT("00"&amp;$D1207,2)))</f>
        <v/>
      </c>
      <c r="F1207">
        <f>IF(OR($E1207="",$E1207="نامعتبر"),"",IF(Sync!$Q1204="","0000",IF(AND(ISNUMBER(Sync!$Q1204),Sync!$Q1204&gt;=0,Sync!$Q1204&lt;1),RIGHT("00"&amp;HOUR(Sync!$Q1204),2)&amp;RIGHT("00"&amp;MINUTE(Sync!$Q1204),2),IFERROR(RIGHT("00"&amp;VALUE(LEFT(Sync!$Q1204,FIND(":",Sync!$Q1204)-1)),2)&amp;RIGHT("00"&amp;VALUE(MID(Sync!$Q1204,FIND(":",Sync!$Q1204)+1,2)),2),"0000"))))</f>
        <v/>
      </c>
      <c r="G1207">
        <f>IF(OR($E1207="",$E1207="نامعتبر"),"",IF(Sync!$S1204="","",Sync!$S1204))</f>
        <v/>
      </c>
      <c r="H1207">
        <f>IF(OR($E1207="",$E1207="نامعتبر"),"",IF(Sync!$R1204="","",Sync!$R1204))</f>
        <v/>
      </c>
      <c r="I1207">
        <f>IF(OR($E1207="",$E1207="نامعتبر"),"",IF(Sync!$T1204="","",Sync!$T1204))</f>
        <v/>
      </c>
      <c r="J1207">
        <f>IF(OR($E1207="",$E1207="نامعتبر"),"",IF(Sync!$U1204="","",Sync!$U1204))</f>
        <v/>
      </c>
      <c r="K1207">
        <f>IF(OR($E1207="",$E1207="نامعتبر"),"",IF(Sync!$V1204="","",IFERROR(INDEX(SubCodes,MATCH(Sync!$V1204,SubTitles,0)),Sync!$V1204)))</f>
        <v/>
      </c>
      <c r="L1207">
        <f>IF(OR($E1207="",$E1207="نامعتبر"),"",IF(Sync!$W1204="",0,Sync!$W1204))</f>
        <v/>
      </c>
      <c r="M1207">
        <f>IF(OR($E1207="",$E1207="نامعتبر"),"",IF(Sync!$X1204="",0,Sync!$X1204))</f>
        <v/>
      </c>
      <c r="N1207">
        <f>IF(OR($E1207="",$E1207="نامعتبر"),"",IF(AND($J1207="هزینه",$K1207&lt;&gt;""),1,0))</f>
        <v/>
      </c>
      <c r="O1207">
        <f>IF($N1207=0,"",LEFT($E1207,4)&amp;MID($E1207,6,2)&amp;RIGHT($E1207,2)&amp;$F1207&amp;"|"&amp;"1"&amp;RIGHT("00000"&amp;1199,5))</f>
        <v/>
      </c>
      <c r="P1207">
        <f>IF($O1207="","",COUNTIFS(ExpSub,$K1207,ExpKey,"&lt;"&amp;$O1207)+1)</f>
        <v/>
      </c>
      <c r="Q1207">
        <f>IF($P1207="","",$K1207&amp;"|"&amp;RIGHT("000000"&amp;$P1207,6))</f>
        <v/>
      </c>
    </row>
    <row r="1208">
      <c r="A1208">
        <f>IF(Sync!$P1205="","",Sync!$P1205)</f>
        <v/>
      </c>
      <c r="B1208">
        <f>IF($A1208="","",IF(ISNUMBER($A1208),IF(AND($A1208&gt;=10000101,$A1208&lt;=99991231),INT($A1208/10000),""),IFERROR(VALUE(TRIM(LEFT($A1208,FIND("/",$A1208)-1))),"")))</f>
        <v/>
      </c>
      <c r="C1208">
        <f>IF(OR($A1208="",$B1208=""),"",IF(ISNUMBER($A1208),INT(MOD($A1208,10000)/100),IFERROR(VALUE(TRIM(LEFT(MID($A1208,FIND("/",$A1208)+1,20),FIND("/",MID($A1208,FIND("/",$A1208)+1,20))-1))),"")))</f>
        <v/>
      </c>
      <c r="D1208">
        <f>IF(OR($A1208="",$B1208=""),"",IF(ISNUMBER($A1208),MOD($A1208,100),IFERROR(VALUE(TRIM(MID(MID($A1208,FIND("/",$A1208)+1,20),FIND("/",MID($A1208,FIND("/",$A1208)+1,20))+1,20))),"")))</f>
        <v/>
      </c>
      <c r="E1208">
        <f>IF($A1208="","",IF(OR($B1208="",$C1208="",$D1208="",$B1208&lt;1300,$B1208&gt;1500,$C1208&lt;1,$C1208&gt;12,$D1208&lt;1,$D1208&gt;31),"نامعتبر",RIGHT("0000"&amp;$B1208,4)&amp;"/"&amp;RIGHT("00"&amp;$C1208,2)&amp;"/"&amp;RIGHT("00"&amp;$D1208,2)))</f>
        <v/>
      </c>
      <c r="F1208">
        <f>IF(OR($E1208="",$E1208="نامعتبر"),"",IF(Sync!$Q1205="","0000",IF(AND(ISNUMBER(Sync!$Q1205),Sync!$Q1205&gt;=0,Sync!$Q1205&lt;1),RIGHT("00"&amp;HOUR(Sync!$Q1205),2)&amp;RIGHT("00"&amp;MINUTE(Sync!$Q1205),2),IFERROR(RIGHT("00"&amp;VALUE(LEFT(Sync!$Q1205,FIND(":",Sync!$Q1205)-1)),2)&amp;RIGHT("00"&amp;VALUE(MID(Sync!$Q1205,FIND(":",Sync!$Q1205)+1,2)),2),"0000"))))</f>
        <v/>
      </c>
      <c r="G1208">
        <f>IF(OR($E1208="",$E1208="نامعتبر"),"",IF(Sync!$S1205="","",Sync!$S1205))</f>
        <v/>
      </c>
      <c r="H1208">
        <f>IF(OR($E1208="",$E1208="نامعتبر"),"",IF(Sync!$R1205="","",Sync!$R1205))</f>
        <v/>
      </c>
      <c r="I1208">
        <f>IF(OR($E1208="",$E1208="نامعتبر"),"",IF(Sync!$T1205="","",Sync!$T1205))</f>
        <v/>
      </c>
      <c r="J1208">
        <f>IF(OR($E1208="",$E1208="نامعتبر"),"",IF(Sync!$U1205="","",Sync!$U1205))</f>
        <v/>
      </c>
      <c r="K1208">
        <f>IF(OR($E1208="",$E1208="نامعتبر"),"",IF(Sync!$V1205="","",IFERROR(INDEX(SubCodes,MATCH(Sync!$V1205,SubTitles,0)),Sync!$V1205)))</f>
        <v/>
      </c>
      <c r="L1208">
        <f>IF(OR($E1208="",$E1208="نامعتبر"),"",IF(Sync!$W1205="",0,Sync!$W1205))</f>
        <v/>
      </c>
      <c r="M1208">
        <f>IF(OR($E1208="",$E1208="نامعتبر"),"",IF(Sync!$X1205="",0,Sync!$X1205))</f>
        <v/>
      </c>
      <c r="N1208">
        <f>IF(OR($E1208="",$E1208="نامعتبر"),"",IF(AND($J1208="هزینه",$K1208&lt;&gt;""),1,0))</f>
        <v/>
      </c>
      <c r="O1208">
        <f>IF($N1208=0,"",LEFT($E1208,4)&amp;MID($E1208,6,2)&amp;RIGHT($E1208,2)&amp;$F1208&amp;"|"&amp;"1"&amp;RIGHT("00000"&amp;1200,5))</f>
        <v/>
      </c>
      <c r="P1208">
        <f>IF($O1208="","",COUNTIFS(ExpSub,$K1208,ExpKey,"&lt;"&amp;$O1208)+1)</f>
        <v/>
      </c>
      <c r="Q1208">
        <f>IF($P1208="","",$K1208&amp;"|"&amp;RIGHT("000000"&amp;$P1208,6))</f>
        <v/>
      </c>
    </row>
    <row r="1209">
      <c r="A1209">
        <f>IF(Sync!$P1206="","",Sync!$P1206)</f>
        <v/>
      </c>
      <c r="B1209">
        <f>IF($A1209="","",IF(ISNUMBER($A1209),IF(AND($A1209&gt;=10000101,$A1209&lt;=99991231),INT($A1209/10000),""),IFERROR(VALUE(TRIM(LEFT($A1209,FIND("/",$A1209)-1))),"")))</f>
        <v/>
      </c>
      <c r="C1209">
        <f>IF(OR($A1209="",$B1209=""),"",IF(ISNUMBER($A1209),INT(MOD($A1209,10000)/100),IFERROR(VALUE(TRIM(LEFT(MID($A1209,FIND("/",$A1209)+1,20),FIND("/",MID($A1209,FIND("/",$A1209)+1,20))-1))),"")))</f>
        <v/>
      </c>
      <c r="D1209">
        <f>IF(OR($A1209="",$B1209=""),"",IF(ISNUMBER($A1209),MOD($A1209,100),IFERROR(VALUE(TRIM(MID(MID($A1209,FIND("/",$A1209)+1,20),FIND("/",MID($A1209,FIND("/",$A1209)+1,20))+1,20))),"")))</f>
        <v/>
      </c>
      <c r="E1209">
        <f>IF($A1209="","",IF(OR($B1209="",$C1209="",$D1209="",$B1209&lt;1300,$B1209&gt;1500,$C1209&lt;1,$C1209&gt;12,$D1209&lt;1,$D1209&gt;31),"نامعتبر",RIGHT("0000"&amp;$B1209,4)&amp;"/"&amp;RIGHT("00"&amp;$C1209,2)&amp;"/"&amp;RIGHT("00"&amp;$D1209,2)))</f>
        <v/>
      </c>
      <c r="F1209">
        <f>IF(OR($E1209="",$E1209="نامعتبر"),"",IF(Sync!$Q1206="","0000",IF(AND(ISNUMBER(Sync!$Q1206),Sync!$Q1206&gt;=0,Sync!$Q1206&lt;1),RIGHT("00"&amp;HOUR(Sync!$Q1206),2)&amp;RIGHT("00"&amp;MINUTE(Sync!$Q1206),2),IFERROR(RIGHT("00"&amp;VALUE(LEFT(Sync!$Q1206,FIND(":",Sync!$Q1206)-1)),2)&amp;RIGHT("00"&amp;VALUE(MID(Sync!$Q1206,FIND(":",Sync!$Q1206)+1,2)),2),"0000"))))</f>
        <v/>
      </c>
      <c r="G1209">
        <f>IF(OR($E1209="",$E1209="نامعتبر"),"",IF(Sync!$S1206="","",Sync!$S1206))</f>
        <v/>
      </c>
      <c r="H1209">
        <f>IF(OR($E1209="",$E1209="نامعتبر"),"",IF(Sync!$R1206="","",Sync!$R1206))</f>
        <v/>
      </c>
      <c r="I1209">
        <f>IF(OR($E1209="",$E1209="نامعتبر"),"",IF(Sync!$T1206="","",Sync!$T1206))</f>
        <v/>
      </c>
      <c r="J1209">
        <f>IF(OR($E1209="",$E1209="نامعتبر"),"",IF(Sync!$U1206="","",Sync!$U1206))</f>
        <v/>
      </c>
      <c r="K1209">
        <f>IF(OR($E1209="",$E1209="نامعتبر"),"",IF(Sync!$V1206="","",IFERROR(INDEX(SubCodes,MATCH(Sync!$V1206,SubTitles,0)),Sync!$V1206)))</f>
        <v/>
      </c>
      <c r="L1209">
        <f>IF(OR($E1209="",$E1209="نامعتبر"),"",IF(Sync!$W1206="",0,Sync!$W1206))</f>
        <v/>
      </c>
      <c r="M1209">
        <f>IF(OR($E1209="",$E1209="نامعتبر"),"",IF(Sync!$X1206="",0,Sync!$X1206))</f>
        <v/>
      </c>
      <c r="N1209">
        <f>IF(OR($E1209="",$E1209="نامعتبر"),"",IF(AND($J1209="هزینه",$K1209&lt;&gt;""),1,0))</f>
        <v/>
      </c>
      <c r="O1209">
        <f>IF($N1209=0,"",LEFT($E1209,4)&amp;MID($E1209,6,2)&amp;RIGHT($E1209,2)&amp;$F1209&amp;"|"&amp;"1"&amp;RIGHT("00000"&amp;1201,5))</f>
        <v/>
      </c>
      <c r="P1209">
        <f>IF($O1209="","",COUNTIFS(ExpSub,$K1209,ExpKey,"&lt;"&amp;$O1209)+1)</f>
        <v/>
      </c>
      <c r="Q1209">
        <f>IF($P1209="","",$K1209&amp;"|"&amp;RIGHT("000000"&amp;$P1209,6))</f>
        <v/>
      </c>
    </row>
    <row r="1210">
      <c r="A1210">
        <f>IF(Sync!$P1207="","",Sync!$P1207)</f>
        <v/>
      </c>
      <c r="B1210">
        <f>IF($A1210="","",IF(ISNUMBER($A1210),IF(AND($A1210&gt;=10000101,$A1210&lt;=99991231),INT($A1210/10000),""),IFERROR(VALUE(TRIM(LEFT($A1210,FIND("/",$A1210)-1))),"")))</f>
        <v/>
      </c>
      <c r="C1210">
        <f>IF(OR($A1210="",$B1210=""),"",IF(ISNUMBER($A1210),INT(MOD($A1210,10000)/100),IFERROR(VALUE(TRIM(LEFT(MID($A1210,FIND("/",$A1210)+1,20),FIND("/",MID($A1210,FIND("/",$A1210)+1,20))-1))),"")))</f>
        <v/>
      </c>
      <c r="D1210">
        <f>IF(OR($A1210="",$B1210=""),"",IF(ISNUMBER($A1210),MOD($A1210,100),IFERROR(VALUE(TRIM(MID(MID($A1210,FIND("/",$A1210)+1,20),FIND("/",MID($A1210,FIND("/",$A1210)+1,20))+1,20))),"")))</f>
        <v/>
      </c>
      <c r="E1210">
        <f>IF($A1210="","",IF(OR($B1210="",$C1210="",$D1210="",$B1210&lt;1300,$B1210&gt;1500,$C1210&lt;1,$C1210&gt;12,$D1210&lt;1,$D1210&gt;31),"نامعتبر",RIGHT("0000"&amp;$B1210,4)&amp;"/"&amp;RIGHT("00"&amp;$C1210,2)&amp;"/"&amp;RIGHT("00"&amp;$D1210,2)))</f>
        <v/>
      </c>
      <c r="F1210">
        <f>IF(OR($E1210="",$E1210="نامعتبر"),"",IF(Sync!$Q1207="","0000",IF(AND(ISNUMBER(Sync!$Q1207),Sync!$Q1207&gt;=0,Sync!$Q1207&lt;1),RIGHT("00"&amp;HOUR(Sync!$Q1207),2)&amp;RIGHT("00"&amp;MINUTE(Sync!$Q1207),2),IFERROR(RIGHT("00"&amp;VALUE(LEFT(Sync!$Q1207,FIND(":",Sync!$Q1207)-1)),2)&amp;RIGHT("00"&amp;VALUE(MID(Sync!$Q1207,FIND(":",Sync!$Q1207)+1,2)),2),"0000"))))</f>
        <v/>
      </c>
      <c r="G1210">
        <f>IF(OR($E1210="",$E1210="نامعتبر"),"",IF(Sync!$S1207="","",Sync!$S1207))</f>
        <v/>
      </c>
      <c r="H1210">
        <f>IF(OR($E1210="",$E1210="نامعتبر"),"",IF(Sync!$R1207="","",Sync!$R1207))</f>
        <v/>
      </c>
      <c r="I1210">
        <f>IF(OR($E1210="",$E1210="نامعتبر"),"",IF(Sync!$T1207="","",Sync!$T1207))</f>
        <v/>
      </c>
      <c r="J1210">
        <f>IF(OR($E1210="",$E1210="نامعتبر"),"",IF(Sync!$U1207="","",Sync!$U1207))</f>
        <v/>
      </c>
      <c r="K1210">
        <f>IF(OR($E1210="",$E1210="نامعتبر"),"",IF(Sync!$V1207="","",IFERROR(INDEX(SubCodes,MATCH(Sync!$V1207,SubTitles,0)),Sync!$V1207)))</f>
        <v/>
      </c>
      <c r="L1210">
        <f>IF(OR($E1210="",$E1210="نامعتبر"),"",IF(Sync!$W1207="",0,Sync!$W1207))</f>
        <v/>
      </c>
      <c r="M1210">
        <f>IF(OR($E1210="",$E1210="نامعتبر"),"",IF(Sync!$X1207="",0,Sync!$X1207))</f>
        <v/>
      </c>
      <c r="N1210">
        <f>IF(OR($E1210="",$E1210="نامعتبر"),"",IF(AND($J1210="هزینه",$K1210&lt;&gt;""),1,0))</f>
        <v/>
      </c>
      <c r="O1210">
        <f>IF($N1210=0,"",LEFT($E1210,4)&amp;MID($E1210,6,2)&amp;RIGHT($E1210,2)&amp;$F1210&amp;"|"&amp;"1"&amp;RIGHT("00000"&amp;1202,5))</f>
        <v/>
      </c>
      <c r="P1210">
        <f>IF($O1210="","",COUNTIFS(ExpSub,$K1210,ExpKey,"&lt;"&amp;$O1210)+1)</f>
        <v/>
      </c>
      <c r="Q1210">
        <f>IF($P1210="","",$K1210&amp;"|"&amp;RIGHT("000000"&amp;$P1210,6))</f>
        <v/>
      </c>
    </row>
    <row r="1211">
      <c r="A1211">
        <f>IF(Sync!$P1208="","",Sync!$P1208)</f>
        <v/>
      </c>
      <c r="B1211">
        <f>IF($A1211="","",IF(ISNUMBER($A1211),IF(AND($A1211&gt;=10000101,$A1211&lt;=99991231),INT($A1211/10000),""),IFERROR(VALUE(TRIM(LEFT($A1211,FIND("/",$A1211)-1))),"")))</f>
        <v/>
      </c>
      <c r="C1211">
        <f>IF(OR($A1211="",$B1211=""),"",IF(ISNUMBER($A1211),INT(MOD($A1211,10000)/100),IFERROR(VALUE(TRIM(LEFT(MID($A1211,FIND("/",$A1211)+1,20),FIND("/",MID($A1211,FIND("/",$A1211)+1,20))-1))),"")))</f>
        <v/>
      </c>
      <c r="D1211">
        <f>IF(OR($A1211="",$B1211=""),"",IF(ISNUMBER($A1211),MOD($A1211,100),IFERROR(VALUE(TRIM(MID(MID($A1211,FIND("/",$A1211)+1,20),FIND("/",MID($A1211,FIND("/",$A1211)+1,20))+1,20))),"")))</f>
        <v/>
      </c>
      <c r="E1211">
        <f>IF($A1211="","",IF(OR($B1211="",$C1211="",$D1211="",$B1211&lt;1300,$B1211&gt;1500,$C1211&lt;1,$C1211&gt;12,$D1211&lt;1,$D1211&gt;31),"نامعتبر",RIGHT("0000"&amp;$B1211,4)&amp;"/"&amp;RIGHT("00"&amp;$C1211,2)&amp;"/"&amp;RIGHT("00"&amp;$D1211,2)))</f>
        <v/>
      </c>
      <c r="F1211">
        <f>IF(OR($E1211="",$E1211="نامعتبر"),"",IF(Sync!$Q1208="","0000",IF(AND(ISNUMBER(Sync!$Q1208),Sync!$Q1208&gt;=0,Sync!$Q1208&lt;1),RIGHT("00"&amp;HOUR(Sync!$Q1208),2)&amp;RIGHT("00"&amp;MINUTE(Sync!$Q1208),2),IFERROR(RIGHT("00"&amp;VALUE(LEFT(Sync!$Q1208,FIND(":",Sync!$Q1208)-1)),2)&amp;RIGHT("00"&amp;VALUE(MID(Sync!$Q1208,FIND(":",Sync!$Q1208)+1,2)),2),"0000"))))</f>
        <v/>
      </c>
      <c r="G1211">
        <f>IF(OR($E1211="",$E1211="نامعتبر"),"",IF(Sync!$S1208="","",Sync!$S1208))</f>
        <v/>
      </c>
      <c r="H1211">
        <f>IF(OR($E1211="",$E1211="نامعتبر"),"",IF(Sync!$R1208="","",Sync!$R1208))</f>
        <v/>
      </c>
      <c r="I1211">
        <f>IF(OR($E1211="",$E1211="نامعتبر"),"",IF(Sync!$T1208="","",Sync!$T1208))</f>
        <v/>
      </c>
      <c r="J1211">
        <f>IF(OR($E1211="",$E1211="نامعتبر"),"",IF(Sync!$U1208="","",Sync!$U1208))</f>
        <v/>
      </c>
      <c r="K1211">
        <f>IF(OR($E1211="",$E1211="نامعتبر"),"",IF(Sync!$V1208="","",IFERROR(INDEX(SubCodes,MATCH(Sync!$V1208,SubTitles,0)),Sync!$V1208)))</f>
        <v/>
      </c>
      <c r="L1211">
        <f>IF(OR($E1211="",$E1211="نامعتبر"),"",IF(Sync!$W1208="",0,Sync!$W1208))</f>
        <v/>
      </c>
      <c r="M1211">
        <f>IF(OR($E1211="",$E1211="نامعتبر"),"",IF(Sync!$X1208="",0,Sync!$X1208))</f>
        <v/>
      </c>
      <c r="N1211">
        <f>IF(OR($E1211="",$E1211="نامعتبر"),"",IF(AND($J1211="هزینه",$K1211&lt;&gt;""),1,0))</f>
        <v/>
      </c>
      <c r="O1211">
        <f>IF($N1211=0,"",LEFT($E1211,4)&amp;MID($E1211,6,2)&amp;RIGHT($E1211,2)&amp;$F1211&amp;"|"&amp;"1"&amp;RIGHT("00000"&amp;1203,5))</f>
        <v/>
      </c>
      <c r="P1211">
        <f>IF($O1211="","",COUNTIFS(ExpSub,$K1211,ExpKey,"&lt;"&amp;$O1211)+1)</f>
        <v/>
      </c>
      <c r="Q1211">
        <f>IF($P1211="","",$K1211&amp;"|"&amp;RIGHT("000000"&amp;$P1211,6))</f>
        <v/>
      </c>
    </row>
    <row r="1212">
      <c r="A1212">
        <f>IF(Sync!$P1209="","",Sync!$P1209)</f>
        <v/>
      </c>
      <c r="B1212">
        <f>IF($A1212="","",IF(ISNUMBER($A1212),IF(AND($A1212&gt;=10000101,$A1212&lt;=99991231),INT($A1212/10000),""),IFERROR(VALUE(TRIM(LEFT($A1212,FIND("/",$A1212)-1))),"")))</f>
        <v/>
      </c>
      <c r="C1212">
        <f>IF(OR($A1212="",$B1212=""),"",IF(ISNUMBER($A1212),INT(MOD($A1212,10000)/100),IFERROR(VALUE(TRIM(LEFT(MID($A1212,FIND("/",$A1212)+1,20),FIND("/",MID($A1212,FIND("/",$A1212)+1,20))-1))),"")))</f>
        <v/>
      </c>
      <c r="D1212">
        <f>IF(OR($A1212="",$B1212=""),"",IF(ISNUMBER($A1212),MOD($A1212,100),IFERROR(VALUE(TRIM(MID(MID($A1212,FIND("/",$A1212)+1,20),FIND("/",MID($A1212,FIND("/",$A1212)+1,20))+1,20))),"")))</f>
        <v/>
      </c>
      <c r="E1212">
        <f>IF($A1212="","",IF(OR($B1212="",$C1212="",$D1212="",$B1212&lt;1300,$B1212&gt;1500,$C1212&lt;1,$C1212&gt;12,$D1212&lt;1,$D1212&gt;31),"نامعتبر",RIGHT("0000"&amp;$B1212,4)&amp;"/"&amp;RIGHT("00"&amp;$C1212,2)&amp;"/"&amp;RIGHT("00"&amp;$D1212,2)))</f>
        <v/>
      </c>
      <c r="F1212">
        <f>IF(OR($E1212="",$E1212="نامعتبر"),"",IF(Sync!$Q1209="","0000",IF(AND(ISNUMBER(Sync!$Q1209),Sync!$Q1209&gt;=0,Sync!$Q1209&lt;1),RIGHT("00"&amp;HOUR(Sync!$Q1209),2)&amp;RIGHT("00"&amp;MINUTE(Sync!$Q1209),2),IFERROR(RIGHT("00"&amp;VALUE(LEFT(Sync!$Q1209,FIND(":",Sync!$Q1209)-1)),2)&amp;RIGHT("00"&amp;VALUE(MID(Sync!$Q1209,FIND(":",Sync!$Q1209)+1,2)),2),"0000"))))</f>
        <v/>
      </c>
      <c r="G1212">
        <f>IF(OR($E1212="",$E1212="نامعتبر"),"",IF(Sync!$S1209="","",Sync!$S1209))</f>
        <v/>
      </c>
      <c r="H1212">
        <f>IF(OR($E1212="",$E1212="نامعتبر"),"",IF(Sync!$R1209="","",Sync!$R1209))</f>
        <v/>
      </c>
      <c r="I1212">
        <f>IF(OR($E1212="",$E1212="نامعتبر"),"",IF(Sync!$T1209="","",Sync!$T1209))</f>
        <v/>
      </c>
      <c r="J1212">
        <f>IF(OR($E1212="",$E1212="نامعتبر"),"",IF(Sync!$U1209="","",Sync!$U1209))</f>
        <v/>
      </c>
      <c r="K1212">
        <f>IF(OR($E1212="",$E1212="نامعتبر"),"",IF(Sync!$V1209="","",IFERROR(INDEX(SubCodes,MATCH(Sync!$V1209,SubTitles,0)),Sync!$V1209)))</f>
        <v/>
      </c>
      <c r="L1212">
        <f>IF(OR($E1212="",$E1212="نامعتبر"),"",IF(Sync!$W1209="",0,Sync!$W1209))</f>
        <v/>
      </c>
      <c r="M1212">
        <f>IF(OR($E1212="",$E1212="نامعتبر"),"",IF(Sync!$X1209="",0,Sync!$X1209))</f>
        <v/>
      </c>
      <c r="N1212">
        <f>IF(OR($E1212="",$E1212="نامعتبر"),"",IF(AND($J1212="هزینه",$K1212&lt;&gt;""),1,0))</f>
        <v/>
      </c>
      <c r="O1212">
        <f>IF($N1212=0,"",LEFT($E1212,4)&amp;MID($E1212,6,2)&amp;RIGHT($E1212,2)&amp;$F1212&amp;"|"&amp;"1"&amp;RIGHT("00000"&amp;1204,5))</f>
        <v/>
      </c>
      <c r="P1212">
        <f>IF($O1212="","",COUNTIFS(ExpSub,$K1212,ExpKey,"&lt;"&amp;$O1212)+1)</f>
        <v/>
      </c>
      <c r="Q1212">
        <f>IF($P1212="","",$K1212&amp;"|"&amp;RIGHT("000000"&amp;$P1212,6))</f>
        <v/>
      </c>
    </row>
    <row r="1213">
      <c r="A1213">
        <f>IF(Sync!$P1210="","",Sync!$P1210)</f>
        <v/>
      </c>
      <c r="B1213">
        <f>IF($A1213="","",IF(ISNUMBER($A1213),IF(AND($A1213&gt;=10000101,$A1213&lt;=99991231),INT($A1213/10000),""),IFERROR(VALUE(TRIM(LEFT($A1213,FIND("/",$A1213)-1))),"")))</f>
        <v/>
      </c>
      <c r="C1213">
        <f>IF(OR($A1213="",$B1213=""),"",IF(ISNUMBER($A1213),INT(MOD($A1213,10000)/100),IFERROR(VALUE(TRIM(LEFT(MID($A1213,FIND("/",$A1213)+1,20),FIND("/",MID($A1213,FIND("/",$A1213)+1,20))-1))),"")))</f>
        <v/>
      </c>
      <c r="D1213">
        <f>IF(OR($A1213="",$B1213=""),"",IF(ISNUMBER($A1213),MOD($A1213,100),IFERROR(VALUE(TRIM(MID(MID($A1213,FIND("/",$A1213)+1,20),FIND("/",MID($A1213,FIND("/",$A1213)+1,20))+1,20))),"")))</f>
        <v/>
      </c>
      <c r="E1213">
        <f>IF($A1213="","",IF(OR($B1213="",$C1213="",$D1213="",$B1213&lt;1300,$B1213&gt;1500,$C1213&lt;1,$C1213&gt;12,$D1213&lt;1,$D1213&gt;31),"نامعتبر",RIGHT("0000"&amp;$B1213,4)&amp;"/"&amp;RIGHT("00"&amp;$C1213,2)&amp;"/"&amp;RIGHT("00"&amp;$D1213,2)))</f>
        <v/>
      </c>
      <c r="F1213">
        <f>IF(OR($E1213="",$E1213="نامعتبر"),"",IF(Sync!$Q1210="","0000",IF(AND(ISNUMBER(Sync!$Q1210),Sync!$Q1210&gt;=0,Sync!$Q1210&lt;1),RIGHT("00"&amp;HOUR(Sync!$Q1210),2)&amp;RIGHT("00"&amp;MINUTE(Sync!$Q1210),2),IFERROR(RIGHT("00"&amp;VALUE(LEFT(Sync!$Q1210,FIND(":",Sync!$Q1210)-1)),2)&amp;RIGHT("00"&amp;VALUE(MID(Sync!$Q1210,FIND(":",Sync!$Q1210)+1,2)),2),"0000"))))</f>
        <v/>
      </c>
      <c r="G1213">
        <f>IF(OR($E1213="",$E1213="نامعتبر"),"",IF(Sync!$S1210="","",Sync!$S1210))</f>
        <v/>
      </c>
      <c r="H1213">
        <f>IF(OR($E1213="",$E1213="نامعتبر"),"",IF(Sync!$R1210="","",Sync!$R1210))</f>
        <v/>
      </c>
      <c r="I1213">
        <f>IF(OR($E1213="",$E1213="نامعتبر"),"",IF(Sync!$T1210="","",Sync!$T1210))</f>
        <v/>
      </c>
      <c r="J1213">
        <f>IF(OR($E1213="",$E1213="نامعتبر"),"",IF(Sync!$U1210="","",Sync!$U1210))</f>
        <v/>
      </c>
      <c r="K1213">
        <f>IF(OR($E1213="",$E1213="نامعتبر"),"",IF(Sync!$V1210="","",IFERROR(INDEX(SubCodes,MATCH(Sync!$V1210,SubTitles,0)),Sync!$V1210)))</f>
        <v/>
      </c>
      <c r="L1213">
        <f>IF(OR($E1213="",$E1213="نامعتبر"),"",IF(Sync!$W1210="",0,Sync!$W1210))</f>
        <v/>
      </c>
      <c r="M1213">
        <f>IF(OR($E1213="",$E1213="نامعتبر"),"",IF(Sync!$X1210="",0,Sync!$X1210))</f>
        <v/>
      </c>
      <c r="N1213">
        <f>IF(OR($E1213="",$E1213="نامعتبر"),"",IF(AND($J1213="هزینه",$K1213&lt;&gt;""),1,0))</f>
        <v/>
      </c>
      <c r="O1213">
        <f>IF($N1213=0,"",LEFT($E1213,4)&amp;MID($E1213,6,2)&amp;RIGHT($E1213,2)&amp;$F1213&amp;"|"&amp;"1"&amp;RIGHT("00000"&amp;1205,5))</f>
        <v/>
      </c>
      <c r="P1213">
        <f>IF($O1213="","",COUNTIFS(ExpSub,$K1213,ExpKey,"&lt;"&amp;$O1213)+1)</f>
        <v/>
      </c>
      <c r="Q1213">
        <f>IF($P1213="","",$K1213&amp;"|"&amp;RIGHT("000000"&amp;$P1213,6))</f>
        <v/>
      </c>
    </row>
    <row r="1214">
      <c r="A1214">
        <f>IF(Sync!$P1211="","",Sync!$P1211)</f>
        <v/>
      </c>
      <c r="B1214">
        <f>IF($A1214="","",IF(ISNUMBER($A1214),IF(AND($A1214&gt;=10000101,$A1214&lt;=99991231),INT($A1214/10000),""),IFERROR(VALUE(TRIM(LEFT($A1214,FIND("/",$A1214)-1))),"")))</f>
        <v/>
      </c>
      <c r="C1214">
        <f>IF(OR($A1214="",$B1214=""),"",IF(ISNUMBER($A1214),INT(MOD($A1214,10000)/100),IFERROR(VALUE(TRIM(LEFT(MID($A1214,FIND("/",$A1214)+1,20),FIND("/",MID($A1214,FIND("/",$A1214)+1,20))-1))),"")))</f>
        <v/>
      </c>
      <c r="D1214">
        <f>IF(OR($A1214="",$B1214=""),"",IF(ISNUMBER($A1214),MOD($A1214,100),IFERROR(VALUE(TRIM(MID(MID($A1214,FIND("/",$A1214)+1,20),FIND("/",MID($A1214,FIND("/",$A1214)+1,20))+1,20))),"")))</f>
        <v/>
      </c>
      <c r="E1214">
        <f>IF($A1214="","",IF(OR($B1214="",$C1214="",$D1214="",$B1214&lt;1300,$B1214&gt;1500,$C1214&lt;1,$C1214&gt;12,$D1214&lt;1,$D1214&gt;31),"نامعتبر",RIGHT("0000"&amp;$B1214,4)&amp;"/"&amp;RIGHT("00"&amp;$C1214,2)&amp;"/"&amp;RIGHT("00"&amp;$D1214,2)))</f>
        <v/>
      </c>
      <c r="F1214">
        <f>IF(OR($E1214="",$E1214="نامعتبر"),"",IF(Sync!$Q1211="","0000",IF(AND(ISNUMBER(Sync!$Q1211),Sync!$Q1211&gt;=0,Sync!$Q1211&lt;1),RIGHT("00"&amp;HOUR(Sync!$Q1211),2)&amp;RIGHT("00"&amp;MINUTE(Sync!$Q1211),2),IFERROR(RIGHT("00"&amp;VALUE(LEFT(Sync!$Q1211,FIND(":",Sync!$Q1211)-1)),2)&amp;RIGHT("00"&amp;VALUE(MID(Sync!$Q1211,FIND(":",Sync!$Q1211)+1,2)),2),"0000"))))</f>
        <v/>
      </c>
      <c r="G1214">
        <f>IF(OR($E1214="",$E1214="نامعتبر"),"",IF(Sync!$S1211="","",Sync!$S1211))</f>
        <v/>
      </c>
      <c r="H1214">
        <f>IF(OR($E1214="",$E1214="نامعتبر"),"",IF(Sync!$R1211="","",Sync!$R1211))</f>
        <v/>
      </c>
      <c r="I1214">
        <f>IF(OR($E1214="",$E1214="نامعتبر"),"",IF(Sync!$T1211="","",Sync!$T1211))</f>
        <v/>
      </c>
      <c r="J1214">
        <f>IF(OR($E1214="",$E1214="نامعتبر"),"",IF(Sync!$U1211="","",Sync!$U1211))</f>
        <v/>
      </c>
      <c r="K1214">
        <f>IF(OR($E1214="",$E1214="نامعتبر"),"",IF(Sync!$V1211="","",IFERROR(INDEX(SubCodes,MATCH(Sync!$V1211,SubTitles,0)),Sync!$V1211)))</f>
        <v/>
      </c>
      <c r="L1214">
        <f>IF(OR($E1214="",$E1214="نامعتبر"),"",IF(Sync!$W1211="",0,Sync!$W1211))</f>
        <v/>
      </c>
      <c r="M1214">
        <f>IF(OR($E1214="",$E1214="نامعتبر"),"",IF(Sync!$X1211="",0,Sync!$X1211))</f>
        <v/>
      </c>
      <c r="N1214">
        <f>IF(OR($E1214="",$E1214="نامعتبر"),"",IF(AND($J1214="هزینه",$K1214&lt;&gt;""),1,0))</f>
        <v/>
      </c>
      <c r="O1214">
        <f>IF($N1214=0,"",LEFT($E1214,4)&amp;MID($E1214,6,2)&amp;RIGHT($E1214,2)&amp;$F1214&amp;"|"&amp;"1"&amp;RIGHT("00000"&amp;1206,5))</f>
        <v/>
      </c>
      <c r="P1214">
        <f>IF($O1214="","",COUNTIFS(ExpSub,$K1214,ExpKey,"&lt;"&amp;$O1214)+1)</f>
        <v/>
      </c>
      <c r="Q1214">
        <f>IF($P1214="","",$K1214&amp;"|"&amp;RIGHT("000000"&amp;$P1214,6))</f>
        <v/>
      </c>
    </row>
    <row r="1215">
      <c r="A1215">
        <f>IF(Sync!$P1212="","",Sync!$P1212)</f>
        <v/>
      </c>
      <c r="B1215">
        <f>IF($A1215="","",IF(ISNUMBER($A1215),IF(AND($A1215&gt;=10000101,$A1215&lt;=99991231),INT($A1215/10000),""),IFERROR(VALUE(TRIM(LEFT($A1215,FIND("/",$A1215)-1))),"")))</f>
        <v/>
      </c>
      <c r="C1215">
        <f>IF(OR($A1215="",$B1215=""),"",IF(ISNUMBER($A1215),INT(MOD($A1215,10000)/100),IFERROR(VALUE(TRIM(LEFT(MID($A1215,FIND("/",$A1215)+1,20),FIND("/",MID($A1215,FIND("/",$A1215)+1,20))-1))),"")))</f>
        <v/>
      </c>
      <c r="D1215">
        <f>IF(OR($A1215="",$B1215=""),"",IF(ISNUMBER($A1215),MOD($A1215,100),IFERROR(VALUE(TRIM(MID(MID($A1215,FIND("/",$A1215)+1,20),FIND("/",MID($A1215,FIND("/",$A1215)+1,20))+1,20))),"")))</f>
        <v/>
      </c>
      <c r="E1215">
        <f>IF($A1215="","",IF(OR($B1215="",$C1215="",$D1215="",$B1215&lt;1300,$B1215&gt;1500,$C1215&lt;1,$C1215&gt;12,$D1215&lt;1,$D1215&gt;31),"نامعتبر",RIGHT("0000"&amp;$B1215,4)&amp;"/"&amp;RIGHT("00"&amp;$C1215,2)&amp;"/"&amp;RIGHT("00"&amp;$D1215,2)))</f>
        <v/>
      </c>
      <c r="F1215">
        <f>IF(OR($E1215="",$E1215="نامعتبر"),"",IF(Sync!$Q1212="","0000",IF(AND(ISNUMBER(Sync!$Q1212),Sync!$Q1212&gt;=0,Sync!$Q1212&lt;1),RIGHT("00"&amp;HOUR(Sync!$Q1212),2)&amp;RIGHT("00"&amp;MINUTE(Sync!$Q1212),2),IFERROR(RIGHT("00"&amp;VALUE(LEFT(Sync!$Q1212,FIND(":",Sync!$Q1212)-1)),2)&amp;RIGHT("00"&amp;VALUE(MID(Sync!$Q1212,FIND(":",Sync!$Q1212)+1,2)),2),"0000"))))</f>
        <v/>
      </c>
      <c r="G1215">
        <f>IF(OR($E1215="",$E1215="نامعتبر"),"",IF(Sync!$S1212="","",Sync!$S1212))</f>
        <v/>
      </c>
      <c r="H1215">
        <f>IF(OR($E1215="",$E1215="نامعتبر"),"",IF(Sync!$R1212="","",Sync!$R1212))</f>
        <v/>
      </c>
      <c r="I1215">
        <f>IF(OR($E1215="",$E1215="نامعتبر"),"",IF(Sync!$T1212="","",Sync!$T1212))</f>
        <v/>
      </c>
      <c r="J1215">
        <f>IF(OR($E1215="",$E1215="نامعتبر"),"",IF(Sync!$U1212="","",Sync!$U1212))</f>
        <v/>
      </c>
      <c r="K1215">
        <f>IF(OR($E1215="",$E1215="نامعتبر"),"",IF(Sync!$V1212="","",IFERROR(INDEX(SubCodes,MATCH(Sync!$V1212,SubTitles,0)),Sync!$V1212)))</f>
        <v/>
      </c>
      <c r="L1215">
        <f>IF(OR($E1215="",$E1215="نامعتبر"),"",IF(Sync!$W1212="",0,Sync!$W1212))</f>
        <v/>
      </c>
      <c r="M1215">
        <f>IF(OR($E1215="",$E1215="نامعتبر"),"",IF(Sync!$X1212="",0,Sync!$X1212))</f>
        <v/>
      </c>
      <c r="N1215">
        <f>IF(OR($E1215="",$E1215="نامعتبر"),"",IF(AND($J1215="هزینه",$K1215&lt;&gt;""),1,0))</f>
        <v/>
      </c>
      <c r="O1215">
        <f>IF($N1215=0,"",LEFT($E1215,4)&amp;MID($E1215,6,2)&amp;RIGHT($E1215,2)&amp;$F1215&amp;"|"&amp;"1"&amp;RIGHT("00000"&amp;1207,5))</f>
        <v/>
      </c>
      <c r="P1215">
        <f>IF($O1215="","",COUNTIFS(ExpSub,$K1215,ExpKey,"&lt;"&amp;$O1215)+1)</f>
        <v/>
      </c>
      <c r="Q1215">
        <f>IF($P1215="","",$K1215&amp;"|"&amp;RIGHT("000000"&amp;$P1215,6))</f>
        <v/>
      </c>
    </row>
    <row r="1216">
      <c r="A1216">
        <f>IF(Sync!$P1213="","",Sync!$P1213)</f>
        <v/>
      </c>
      <c r="B1216">
        <f>IF($A1216="","",IF(ISNUMBER($A1216),IF(AND($A1216&gt;=10000101,$A1216&lt;=99991231),INT($A1216/10000),""),IFERROR(VALUE(TRIM(LEFT($A1216,FIND("/",$A1216)-1))),"")))</f>
        <v/>
      </c>
      <c r="C1216">
        <f>IF(OR($A1216="",$B1216=""),"",IF(ISNUMBER($A1216),INT(MOD($A1216,10000)/100),IFERROR(VALUE(TRIM(LEFT(MID($A1216,FIND("/",$A1216)+1,20),FIND("/",MID($A1216,FIND("/",$A1216)+1,20))-1))),"")))</f>
        <v/>
      </c>
      <c r="D1216">
        <f>IF(OR($A1216="",$B1216=""),"",IF(ISNUMBER($A1216),MOD($A1216,100),IFERROR(VALUE(TRIM(MID(MID($A1216,FIND("/",$A1216)+1,20),FIND("/",MID($A1216,FIND("/",$A1216)+1,20))+1,20))),"")))</f>
        <v/>
      </c>
      <c r="E1216">
        <f>IF($A1216="","",IF(OR($B1216="",$C1216="",$D1216="",$B1216&lt;1300,$B1216&gt;1500,$C1216&lt;1,$C1216&gt;12,$D1216&lt;1,$D1216&gt;31),"نامعتبر",RIGHT("0000"&amp;$B1216,4)&amp;"/"&amp;RIGHT("00"&amp;$C1216,2)&amp;"/"&amp;RIGHT("00"&amp;$D1216,2)))</f>
        <v/>
      </c>
      <c r="F1216">
        <f>IF(OR($E1216="",$E1216="نامعتبر"),"",IF(Sync!$Q1213="","0000",IF(AND(ISNUMBER(Sync!$Q1213),Sync!$Q1213&gt;=0,Sync!$Q1213&lt;1),RIGHT("00"&amp;HOUR(Sync!$Q1213),2)&amp;RIGHT("00"&amp;MINUTE(Sync!$Q1213),2),IFERROR(RIGHT("00"&amp;VALUE(LEFT(Sync!$Q1213,FIND(":",Sync!$Q1213)-1)),2)&amp;RIGHT("00"&amp;VALUE(MID(Sync!$Q1213,FIND(":",Sync!$Q1213)+1,2)),2),"0000"))))</f>
        <v/>
      </c>
      <c r="G1216">
        <f>IF(OR($E1216="",$E1216="نامعتبر"),"",IF(Sync!$S1213="","",Sync!$S1213))</f>
        <v/>
      </c>
      <c r="H1216">
        <f>IF(OR($E1216="",$E1216="نامعتبر"),"",IF(Sync!$R1213="","",Sync!$R1213))</f>
        <v/>
      </c>
      <c r="I1216">
        <f>IF(OR($E1216="",$E1216="نامعتبر"),"",IF(Sync!$T1213="","",Sync!$T1213))</f>
        <v/>
      </c>
      <c r="J1216">
        <f>IF(OR($E1216="",$E1216="نامعتبر"),"",IF(Sync!$U1213="","",Sync!$U1213))</f>
        <v/>
      </c>
      <c r="K1216">
        <f>IF(OR($E1216="",$E1216="نامعتبر"),"",IF(Sync!$V1213="","",IFERROR(INDEX(SubCodes,MATCH(Sync!$V1213,SubTitles,0)),Sync!$V1213)))</f>
        <v/>
      </c>
      <c r="L1216">
        <f>IF(OR($E1216="",$E1216="نامعتبر"),"",IF(Sync!$W1213="",0,Sync!$W1213))</f>
        <v/>
      </c>
      <c r="M1216">
        <f>IF(OR($E1216="",$E1216="نامعتبر"),"",IF(Sync!$X1213="",0,Sync!$X1213))</f>
        <v/>
      </c>
      <c r="N1216">
        <f>IF(OR($E1216="",$E1216="نامعتبر"),"",IF(AND($J1216="هزینه",$K1216&lt;&gt;""),1,0))</f>
        <v/>
      </c>
      <c r="O1216">
        <f>IF($N1216=0,"",LEFT($E1216,4)&amp;MID($E1216,6,2)&amp;RIGHT($E1216,2)&amp;$F1216&amp;"|"&amp;"1"&amp;RIGHT("00000"&amp;1208,5))</f>
        <v/>
      </c>
      <c r="P1216">
        <f>IF($O1216="","",COUNTIFS(ExpSub,$K1216,ExpKey,"&lt;"&amp;$O1216)+1)</f>
        <v/>
      </c>
      <c r="Q1216">
        <f>IF($P1216="","",$K1216&amp;"|"&amp;RIGHT("000000"&amp;$P1216,6))</f>
        <v/>
      </c>
    </row>
    <row r="1217">
      <c r="A1217">
        <f>IF(Sync!$P1214="","",Sync!$P1214)</f>
        <v/>
      </c>
      <c r="B1217">
        <f>IF($A1217="","",IF(ISNUMBER($A1217),IF(AND($A1217&gt;=10000101,$A1217&lt;=99991231),INT($A1217/10000),""),IFERROR(VALUE(TRIM(LEFT($A1217,FIND("/",$A1217)-1))),"")))</f>
        <v/>
      </c>
      <c r="C1217">
        <f>IF(OR($A1217="",$B1217=""),"",IF(ISNUMBER($A1217),INT(MOD($A1217,10000)/100),IFERROR(VALUE(TRIM(LEFT(MID($A1217,FIND("/",$A1217)+1,20),FIND("/",MID($A1217,FIND("/",$A1217)+1,20))-1))),"")))</f>
        <v/>
      </c>
      <c r="D1217">
        <f>IF(OR($A1217="",$B1217=""),"",IF(ISNUMBER($A1217),MOD($A1217,100),IFERROR(VALUE(TRIM(MID(MID($A1217,FIND("/",$A1217)+1,20),FIND("/",MID($A1217,FIND("/",$A1217)+1,20))+1,20))),"")))</f>
        <v/>
      </c>
      <c r="E1217">
        <f>IF($A1217="","",IF(OR($B1217="",$C1217="",$D1217="",$B1217&lt;1300,$B1217&gt;1500,$C1217&lt;1,$C1217&gt;12,$D1217&lt;1,$D1217&gt;31),"نامعتبر",RIGHT("0000"&amp;$B1217,4)&amp;"/"&amp;RIGHT("00"&amp;$C1217,2)&amp;"/"&amp;RIGHT("00"&amp;$D1217,2)))</f>
        <v/>
      </c>
      <c r="F1217">
        <f>IF(OR($E1217="",$E1217="نامعتبر"),"",IF(Sync!$Q1214="","0000",IF(AND(ISNUMBER(Sync!$Q1214),Sync!$Q1214&gt;=0,Sync!$Q1214&lt;1),RIGHT("00"&amp;HOUR(Sync!$Q1214),2)&amp;RIGHT("00"&amp;MINUTE(Sync!$Q1214),2),IFERROR(RIGHT("00"&amp;VALUE(LEFT(Sync!$Q1214,FIND(":",Sync!$Q1214)-1)),2)&amp;RIGHT("00"&amp;VALUE(MID(Sync!$Q1214,FIND(":",Sync!$Q1214)+1,2)),2),"0000"))))</f>
        <v/>
      </c>
      <c r="G1217">
        <f>IF(OR($E1217="",$E1217="نامعتبر"),"",IF(Sync!$S1214="","",Sync!$S1214))</f>
        <v/>
      </c>
      <c r="H1217">
        <f>IF(OR($E1217="",$E1217="نامعتبر"),"",IF(Sync!$R1214="","",Sync!$R1214))</f>
        <v/>
      </c>
      <c r="I1217">
        <f>IF(OR($E1217="",$E1217="نامعتبر"),"",IF(Sync!$T1214="","",Sync!$T1214))</f>
        <v/>
      </c>
      <c r="J1217">
        <f>IF(OR($E1217="",$E1217="نامعتبر"),"",IF(Sync!$U1214="","",Sync!$U1214))</f>
        <v/>
      </c>
      <c r="K1217">
        <f>IF(OR($E1217="",$E1217="نامعتبر"),"",IF(Sync!$V1214="","",IFERROR(INDEX(SubCodes,MATCH(Sync!$V1214,SubTitles,0)),Sync!$V1214)))</f>
        <v/>
      </c>
      <c r="L1217">
        <f>IF(OR($E1217="",$E1217="نامعتبر"),"",IF(Sync!$W1214="",0,Sync!$W1214))</f>
        <v/>
      </c>
      <c r="M1217">
        <f>IF(OR($E1217="",$E1217="نامعتبر"),"",IF(Sync!$X1214="",0,Sync!$X1214))</f>
        <v/>
      </c>
      <c r="N1217">
        <f>IF(OR($E1217="",$E1217="نامعتبر"),"",IF(AND($J1217="هزینه",$K1217&lt;&gt;""),1,0))</f>
        <v/>
      </c>
      <c r="O1217">
        <f>IF($N1217=0,"",LEFT($E1217,4)&amp;MID($E1217,6,2)&amp;RIGHT($E1217,2)&amp;$F1217&amp;"|"&amp;"1"&amp;RIGHT("00000"&amp;1209,5))</f>
        <v/>
      </c>
      <c r="P1217">
        <f>IF($O1217="","",COUNTIFS(ExpSub,$K1217,ExpKey,"&lt;"&amp;$O1217)+1)</f>
        <v/>
      </c>
      <c r="Q1217">
        <f>IF($P1217="","",$K1217&amp;"|"&amp;RIGHT("000000"&amp;$P1217,6))</f>
        <v/>
      </c>
    </row>
    <row r="1218">
      <c r="A1218">
        <f>IF(Sync!$P1215="","",Sync!$P1215)</f>
        <v/>
      </c>
      <c r="B1218">
        <f>IF($A1218="","",IF(ISNUMBER($A1218),IF(AND($A1218&gt;=10000101,$A1218&lt;=99991231),INT($A1218/10000),""),IFERROR(VALUE(TRIM(LEFT($A1218,FIND("/",$A1218)-1))),"")))</f>
        <v/>
      </c>
      <c r="C1218">
        <f>IF(OR($A1218="",$B1218=""),"",IF(ISNUMBER($A1218),INT(MOD($A1218,10000)/100),IFERROR(VALUE(TRIM(LEFT(MID($A1218,FIND("/",$A1218)+1,20),FIND("/",MID($A1218,FIND("/",$A1218)+1,20))-1))),"")))</f>
        <v/>
      </c>
      <c r="D1218">
        <f>IF(OR($A1218="",$B1218=""),"",IF(ISNUMBER($A1218),MOD($A1218,100),IFERROR(VALUE(TRIM(MID(MID($A1218,FIND("/",$A1218)+1,20),FIND("/",MID($A1218,FIND("/",$A1218)+1,20))+1,20))),"")))</f>
        <v/>
      </c>
      <c r="E1218">
        <f>IF($A1218="","",IF(OR($B1218="",$C1218="",$D1218="",$B1218&lt;1300,$B1218&gt;1500,$C1218&lt;1,$C1218&gt;12,$D1218&lt;1,$D1218&gt;31),"نامعتبر",RIGHT("0000"&amp;$B1218,4)&amp;"/"&amp;RIGHT("00"&amp;$C1218,2)&amp;"/"&amp;RIGHT("00"&amp;$D1218,2)))</f>
        <v/>
      </c>
      <c r="F1218">
        <f>IF(OR($E1218="",$E1218="نامعتبر"),"",IF(Sync!$Q1215="","0000",IF(AND(ISNUMBER(Sync!$Q1215),Sync!$Q1215&gt;=0,Sync!$Q1215&lt;1),RIGHT("00"&amp;HOUR(Sync!$Q1215),2)&amp;RIGHT("00"&amp;MINUTE(Sync!$Q1215),2),IFERROR(RIGHT("00"&amp;VALUE(LEFT(Sync!$Q1215,FIND(":",Sync!$Q1215)-1)),2)&amp;RIGHT("00"&amp;VALUE(MID(Sync!$Q1215,FIND(":",Sync!$Q1215)+1,2)),2),"0000"))))</f>
        <v/>
      </c>
      <c r="G1218">
        <f>IF(OR($E1218="",$E1218="نامعتبر"),"",IF(Sync!$S1215="","",Sync!$S1215))</f>
        <v/>
      </c>
      <c r="H1218">
        <f>IF(OR($E1218="",$E1218="نامعتبر"),"",IF(Sync!$R1215="","",Sync!$R1215))</f>
        <v/>
      </c>
      <c r="I1218">
        <f>IF(OR($E1218="",$E1218="نامعتبر"),"",IF(Sync!$T1215="","",Sync!$T1215))</f>
        <v/>
      </c>
      <c r="J1218">
        <f>IF(OR($E1218="",$E1218="نامعتبر"),"",IF(Sync!$U1215="","",Sync!$U1215))</f>
        <v/>
      </c>
      <c r="K1218">
        <f>IF(OR($E1218="",$E1218="نامعتبر"),"",IF(Sync!$V1215="","",IFERROR(INDEX(SubCodes,MATCH(Sync!$V1215,SubTitles,0)),Sync!$V1215)))</f>
        <v/>
      </c>
      <c r="L1218">
        <f>IF(OR($E1218="",$E1218="نامعتبر"),"",IF(Sync!$W1215="",0,Sync!$W1215))</f>
        <v/>
      </c>
      <c r="M1218">
        <f>IF(OR($E1218="",$E1218="نامعتبر"),"",IF(Sync!$X1215="",0,Sync!$X1215))</f>
        <v/>
      </c>
      <c r="N1218">
        <f>IF(OR($E1218="",$E1218="نامعتبر"),"",IF(AND($J1218="هزینه",$K1218&lt;&gt;""),1,0))</f>
        <v/>
      </c>
      <c r="O1218">
        <f>IF($N1218=0,"",LEFT($E1218,4)&amp;MID($E1218,6,2)&amp;RIGHT($E1218,2)&amp;$F1218&amp;"|"&amp;"1"&amp;RIGHT("00000"&amp;1210,5))</f>
        <v/>
      </c>
      <c r="P1218">
        <f>IF($O1218="","",COUNTIFS(ExpSub,$K1218,ExpKey,"&lt;"&amp;$O1218)+1)</f>
        <v/>
      </c>
      <c r="Q1218">
        <f>IF($P1218="","",$K1218&amp;"|"&amp;RIGHT("000000"&amp;$P1218,6))</f>
        <v/>
      </c>
    </row>
    <row r="1219">
      <c r="A1219">
        <f>IF(Sync!$P1216="","",Sync!$P1216)</f>
        <v/>
      </c>
      <c r="B1219">
        <f>IF($A1219="","",IF(ISNUMBER($A1219),IF(AND($A1219&gt;=10000101,$A1219&lt;=99991231),INT($A1219/10000),""),IFERROR(VALUE(TRIM(LEFT($A1219,FIND("/",$A1219)-1))),"")))</f>
        <v/>
      </c>
      <c r="C1219">
        <f>IF(OR($A1219="",$B1219=""),"",IF(ISNUMBER($A1219),INT(MOD($A1219,10000)/100),IFERROR(VALUE(TRIM(LEFT(MID($A1219,FIND("/",$A1219)+1,20),FIND("/",MID($A1219,FIND("/",$A1219)+1,20))-1))),"")))</f>
        <v/>
      </c>
      <c r="D1219">
        <f>IF(OR($A1219="",$B1219=""),"",IF(ISNUMBER($A1219),MOD($A1219,100),IFERROR(VALUE(TRIM(MID(MID($A1219,FIND("/",$A1219)+1,20),FIND("/",MID($A1219,FIND("/",$A1219)+1,20))+1,20))),"")))</f>
        <v/>
      </c>
      <c r="E1219">
        <f>IF($A1219="","",IF(OR($B1219="",$C1219="",$D1219="",$B1219&lt;1300,$B1219&gt;1500,$C1219&lt;1,$C1219&gt;12,$D1219&lt;1,$D1219&gt;31),"نامعتبر",RIGHT("0000"&amp;$B1219,4)&amp;"/"&amp;RIGHT("00"&amp;$C1219,2)&amp;"/"&amp;RIGHT("00"&amp;$D1219,2)))</f>
        <v/>
      </c>
      <c r="F1219">
        <f>IF(OR($E1219="",$E1219="نامعتبر"),"",IF(Sync!$Q1216="","0000",IF(AND(ISNUMBER(Sync!$Q1216),Sync!$Q1216&gt;=0,Sync!$Q1216&lt;1),RIGHT("00"&amp;HOUR(Sync!$Q1216),2)&amp;RIGHT("00"&amp;MINUTE(Sync!$Q1216),2),IFERROR(RIGHT("00"&amp;VALUE(LEFT(Sync!$Q1216,FIND(":",Sync!$Q1216)-1)),2)&amp;RIGHT("00"&amp;VALUE(MID(Sync!$Q1216,FIND(":",Sync!$Q1216)+1,2)),2),"0000"))))</f>
        <v/>
      </c>
      <c r="G1219">
        <f>IF(OR($E1219="",$E1219="نامعتبر"),"",IF(Sync!$S1216="","",Sync!$S1216))</f>
        <v/>
      </c>
      <c r="H1219">
        <f>IF(OR($E1219="",$E1219="نامعتبر"),"",IF(Sync!$R1216="","",Sync!$R1216))</f>
        <v/>
      </c>
      <c r="I1219">
        <f>IF(OR($E1219="",$E1219="نامعتبر"),"",IF(Sync!$T1216="","",Sync!$T1216))</f>
        <v/>
      </c>
      <c r="J1219">
        <f>IF(OR($E1219="",$E1219="نامعتبر"),"",IF(Sync!$U1216="","",Sync!$U1216))</f>
        <v/>
      </c>
      <c r="K1219">
        <f>IF(OR($E1219="",$E1219="نامعتبر"),"",IF(Sync!$V1216="","",IFERROR(INDEX(SubCodes,MATCH(Sync!$V1216,SubTitles,0)),Sync!$V1216)))</f>
        <v/>
      </c>
      <c r="L1219">
        <f>IF(OR($E1219="",$E1219="نامعتبر"),"",IF(Sync!$W1216="",0,Sync!$W1216))</f>
        <v/>
      </c>
      <c r="M1219">
        <f>IF(OR($E1219="",$E1219="نامعتبر"),"",IF(Sync!$X1216="",0,Sync!$X1216))</f>
        <v/>
      </c>
      <c r="N1219">
        <f>IF(OR($E1219="",$E1219="نامعتبر"),"",IF(AND($J1219="هزینه",$K1219&lt;&gt;""),1,0))</f>
        <v/>
      </c>
      <c r="O1219">
        <f>IF($N1219=0,"",LEFT($E1219,4)&amp;MID($E1219,6,2)&amp;RIGHT($E1219,2)&amp;$F1219&amp;"|"&amp;"1"&amp;RIGHT("00000"&amp;1211,5))</f>
        <v/>
      </c>
      <c r="P1219">
        <f>IF($O1219="","",COUNTIFS(ExpSub,$K1219,ExpKey,"&lt;"&amp;$O1219)+1)</f>
        <v/>
      </c>
      <c r="Q1219">
        <f>IF($P1219="","",$K1219&amp;"|"&amp;RIGHT("000000"&amp;$P1219,6))</f>
        <v/>
      </c>
    </row>
    <row r="1220">
      <c r="A1220">
        <f>IF(Sync!$P1217="","",Sync!$P1217)</f>
        <v/>
      </c>
      <c r="B1220">
        <f>IF($A1220="","",IF(ISNUMBER($A1220),IF(AND($A1220&gt;=10000101,$A1220&lt;=99991231),INT($A1220/10000),""),IFERROR(VALUE(TRIM(LEFT($A1220,FIND("/",$A1220)-1))),"")))</f>
        <v/>
      </c>
      <c r="C1220">
        <f>IF(OR($A1220="",$B1220=""),"",IF(ISNUMBER($A1220),INT(MOD($A1220,10000)/100),IFERROR(VALUE(TRIM(LEFT(MID($A1220,FIND("/",$A1220)+1,20),FIND("/",MID($A1220,FIND("/",$A1220)+1,20))-1))),"")))</f>
        <v/>
      </c>
      <c r="D1220">
        <f>IF(OR($A1220="",$B1220=""),"",IF(ISNUMBER($A1220),MOD($A1220,100),IFERROR(VALUE(TRIM(MID(MID($A1220,FIND("/",$A1220)+1,20),FIND("/",MID($A1220,FIND("/",$A1220)+1,20))+1,20))),"")))</f>
        <v/>
      </c>
      <c r="E1220">
        <f>IF($A1220="","",IF(OR($B1220="",$C1220="",$D1220="",$B1220&lt;1300,$B1220&gt;1500,$C1220&lt;1,$C1220&gt;12,$D1220&lt;1,$D1220&gt;31),"نامعتبر",RIGHT("0000"&amp;$B1220,4)&amp;"/"&amp;RIGHT("00"&amp;$C1220,2)&amp;"/"&amp;RIGHT("00"&amp;$D1220,2)))</f>
        <v/>
      </c>
      <c r="F1220">
        <f>IF(OR($E1220="",$E1220="نامعتبر"),"",IF(Sync!$Q1217="","0000",IF(AND(ISNUMBER(Sync!$Q1217),Sync!$Q1217&gt;=0,Sync!$Q1217&lt;1),RIGHT("00"&amp;HOUR(Sync!$Q1217),2)&amp;RIGHT("00"&amp;MINUTE(Sync!$Q1217),2),IFERROR(RIGHT("00"&amp;VALUE(LEFT(Sync!$Q1217,FIND(":",Sync!$Q1217)-1)),2)&amp;RIGHT("00"&amp;VALUE(MID(Sync!$Q1217,FIND(":",Sync!$Q1217)+1,2)),2),"0000"))))</f>
        <v/>
      </c>
      <c r="G1220">
        <f>IF(OR($E1220="",$E1220="نامعتبر"),"",IF(Sync!$S1217="","",Sync!$S1217))</f>
        <v/>
      </c>
      <c r="H1220">
        <f>IF(OR($E1220="",$E1220="نامعتبر"),"",IF(Sync!$R1217="","",Sync!$R1217))</f>
        <v/>
      </c>
      <c r="I1220">
        <f>IF(OR($E1220="",$E1220="نامعتبر"),"",IF(Sync!$T1217="","",Sync!$T1217))</f>
        <v/>
      </c>
      <c r="J1220">
        <f>IF(OR($E1220="",$E1220="نامعتبر"),"",IF(Sync!$U1217="","",Sync!$U1217))</f>
        <v/>
      </c>
      <c r="K1220">
        <f>IF(OR($E1220="",$E1220="نامعتبر"),"",IF(Sync!$V1217="","",IFERROR(INDEX(SubCodes,MATCH(Sync!$V1217,SubTitles,0)),Sync!$V1217)))</f>
        <v/>
      </c>
      <c r="L1220">
        <f>IF(OR($E1220="",$E1220="نامعتبر"),"",IF(Sync!$W1217="",0,Sync!$W1217))</f>
        <v/>
      </c>
      <c r="M1220">
        <f>IF(OR($E1220="",$E1220="نامعتبر"),"",IF(Sync!$X1217="",0,Sync!$X1217))</f>
        <v/>
      </c>
      <c r="N1220">
        <f>IF(OR($E1220="",$E1220="نامعتبر"),"",IF(AND($J1220="هزینه",$K1220&lt;&gt;""),1,0))</f>
        <v/>
      </c>
      <c r="O1220">
        <f>IF($N1220=0,"",LEFT($E1220,4)&amp;MID($E1220,6,2)&amp;RIGHT($E1220,2)&amp;$F1220&amp;"|"&amp;"1"&amp;RIGHT("00000"&amp;1212,5))</f>
        <v/>
      </c>
      <c r="P1220">
        <f>IF($O1220="","",COUNTIFS(ExpSub,$K1220,ExpKey,"&lt;"&amp;$O1220)+1)</f>
        <v/>
      </c>
      <c r="Q1220">
        <f>IF($P1220="","",$K1220&amp;"|"&amp;RIGHT("000000"&amp;$P1220,6))</f>
        <v/>
      </c>
    </row>
    <row r="1221">
      <c r="A1221">
        <f>IF(Sync!$P1218="","",Sync!$P1218)</f>
        <v/>
      </c>
      <c r="B1221">
        <f>IF($A1221="","",IF(ISNUMBER($A1221),IF(AND($A1221&gt;=10000101,$A1221&lt;=99991231),INT($A1221/10000),""),IFERROR(VALUE(TRIM(LEFT($A1221,FIND("/",$A1221)-1))),"")))</f>
        <v/>
      </c>
      <c r="C1221">
        <f>IF(OR($A1221="",$B1221=""),"",IF(ISNUMBER($A1221),INT(MOD($A1221,10000)/100),IFERROR(VALUE(TRIM(LEFT(MID($A1221,FIND("/",$A1221)+1,20),FIND("/",MID($A1221,FIND("/",$A1221)+1,20))-1))),"")))</f>
        <v/>
      </c>
      <c r="D1221">
        <f>IF(OR($A1221="",$B1221=""),"",IF(ISNUMBER($A1221),MOD($A1221,100),IFERROR(VALUE(TRIM(MID(MID($A1221,FIND("/",$A1221)+1,20),FIND("/",MID($A1221,FIND("/",$A1221)+1,20))+1,20))),"")))</f>
        <v/>
      </c>
      <c r="E1221">
        <f>IF($A1221="","",IF(OR($B1221="",$C1221="",$D1221="",$B1221&lt;1300,$B1221&gt;1500,$C1221&lt;1,$C1221&gt;12,$D1221&lt;1,$D1221&gt;31),"نامعتبر",RIGHT("0000"&amp;$B1221,4)&amp;"/"&amp;RIGHT("00"&amp;$C1221,2)&amp;"/"&amp;RIGHT("00"&amp;$D1221,2)))</f>
        <v/>
      </c>
      <c r="F1221">
        <f>IF(OR($E1221="",$E1221="نامعتبر"),"",IF(Sync!$Q1218="","0000",IF(AND(ISNUMBER(Sync!$Q1218),Sync!$Q1218&gt;=0,Sync!$Q1218&lt;1),RIGHT("00"&amp;HOUR(Sync!$Q1218),2)&amp;RIGHT("00"&amp;MINUTE(Sync!$Q1218),2),IFERROR(RIGHT("00"&amp;VALUE(LEFT(Sync!$Q1218,FIND(":",Sync!$Q1218)-1)),2)&amp;RIGHT("00"&amp;VALUE(MID(Sync!$Q1218,FIND(":",Sync!$Q1218)+1,2)),2),"0000"))))</f>
        <v/>
      </c>
      <c r="G1221">
        <f>IF(OR($E1221="",$E1221="نامعتبر"),"",IF(Sync!$S1218="","",Sync!$S1218))</f>
        <v/>
      </c>
      <c r="H1221">
        <f>IF(OR($E1221="",$E1221="نامعتبر"),"",IF(Sync!$R1218="","",Sync!$R1218))</f>
        <v/>
      </c>
      <c r="I1221">
        <f>IF(OR($E1221="",$E1221="نامعتبر"),"",IF(Sync!$T1218="","",Sync!$T1218))</f>
        <v/>
      </c>
      <c r="J1221">
        <f>IF(OR($E1221="",$E1221="نامعتبر"),"",IF(Sync!$U1218="","",Sync!$U1218))</f>
        <v/>
      </c>
      <c r="K1221">
        <f>IF(OR($E1221="",$E1221="نامعتبر"),"",IF(Sync!$V1218="","",IFERROR(INDEX(SubCodes,MATCH(Sync!$V1218,SubTitles,0)),Sync!$V1218)))</f>
        <v/>
      </c>
      <c r="L1221">
        <f>IF(OR($E1221="",$E1221="نامعتبر"),"",IF(Sync!$W1218="",0,Sync!$W1218))</f>
        <v/>
      </c>
      <c r="M1221">
        <f>IF(OR($E1221="",$E1221="نامعتبر"),"",IF(Sync!$X1218="",0,Sync!$X1218))</f>
        <v/>
      </c>
      <c r="N1221">
        <f>IF(OR($E1221="",$E1221="نامعتبر"),"",IF(AND($J1221="هزینه",$K1221&lt;&gt;""),1,0))</f>
        <v/>
      </c>
      <c r="O1221">
        <f>IF($N1221=0,"",LEFT($E1221,4)&amp;MID($E1221,6,2)&amp;RIGHT($E1221,2)&amp;$F1221&amp;"|"&amp;"1"&amp;RIGHT("00000"&amp;1213,5))</f>
        <v/>
      </c>
      <c r="P1221">
        <f>IF($O1221="","",COUNTIFS(ExpSub,$K1221,ExpKey,"&lt;"&amp;$O1221)+1)</f>
        <v/>
      </c>
      <c r="Q1221">
        <f>IF($P1221="","",$K1221&amp;"|"&amp;RIGHT("000000"&amp;$P1221,6))</f>
        <v/>
      </c>
    </row>
    <row r="1222">
      <c r="A1222">
        <f>IF(Sync!$P1219="","",Sync!$P1219)</f>
        <v/>
      </c>
      <c r="B1222">
        <f>IF($A1222="","",IF(ISNUMBER($A1222),IF(AND($A1222&gt;=10000101,$A1222&lt;=99991231),INT($A1222/10000),""),IFERROR(VALUE(TRIM(LEFT($A1222,FIND("/",$A1222)-1))),"")))</f>
        <v/>
      </c>
      <c r="C1222">
        <f>IF(OR($A1222="",$B1222=""),"",IF(ISNUMBER($A1222),INT(MOD($A1222,10000)/100),IFERROR(VALUE(TRIM(LEFT(MID($A1222,FIND("/",$A1222)+1,20),FIND("/",MID($A1222,FIND("/",$A1222)+1,20))-1))),"")))</f>
        <v/>
      </c>
      <c r="D1222">
        <f>IF(OR($A1222="",$B1222=""),"",IF(ISNUMBER($A1222),MOD($A1222,100),IFERROR(VALUE(TRIM(MID(MID($A1222,FIND("/",$A1222)+1,20),FIND("/",MID($A1222,FIND("/",$A1222)+1,20))+1,20))),"")))</f>
        <v/>
      </c>
      <c r="E1222">
        <f>IF($A1222="","",IF(OR($B1222="",$C1222="",$D1222="",$B1222&lt;1300,$B1222&gt;1500,$C1222&lt;1,$C1222&gt;12,$D1222&lt;1,$D1222&gt;31),"نامعتبر",RIGHT("0000"&amp;$B1222,4)&amp;"/"&amp;RIGHT("00"&amp;$C1222,2)&amp;"/"&amp;RIGHT("00"&amp;$D1222,2)))</f>
        <v/>
      </c>
      <c r="F1222">
        <f>IF(OR($E1222="",$E1222="نامعتبر"),"",IF(Sync!$Q1219="","0000",IF(AND(ISNUMBER(Sync!$Q1219),Sync!$Q1219&gt;=0,Sync!$Q1219&lt;1),RIGHT("00"&amp;HOUR(Sync!$Q1219),2)&amp;RIGHT("00"&amp;MINUTE(Sync!$Q1219),2),IFERROR(RIGHT("00"&amp;VALUE(LEFT(Sync!$Q1219,FIND(":",Sync!$Q1219)-1)),2)&amp;RIGHT("00"&amp;VALUE(MID(Sync!$Q1219,FIND(":",Sync!$Q1219)+1,2)),2),"0000"))))</f>
        <v/>
      </c>
      <c r="G1222">
        <f>IF(OR($E1222="",$E1222="نامعتبر"),"",IF(Sync!$S1219="","",Sync!$S1219))</f>
        <v/>
      </c>
      <c r="H1222">
        <f>IF(OR($E1222="",$E1222="نامعتبر"),"",IF(Sync!$R1219="","",Sync!$R1219))</f>
        <v/>
      </c>
      <c r="I1222">
        <f>IF(OR($E1222="",$E1222="نامعتبر"),"",IF(Sync!$T1219="","",Sync!$T1219))</f>
        <v/>
      </c>
      <c r="J1222">
        <f>IF(OR($E1222="",$E1222="نامعتبر"),"",IF(Sync!$U1219="","",Sync!$U1219))</f>
        <v/>
      </c>
      <c r="K1222">
        <f>IF(OR($E1222="",$E1222="نامعتبر"),"",IF(Sync!$V1219="","",IFERROR(INDEX(SubCodes,MATCH(Sync!$V1219,SubTitles,0)),Sync!$V1219)))</f>
        <v/>
      </c>
      <c r="L1222">
        <f>IF(OR($E1222="",$E1222="نامعتبر"),"",IF(Sync!$W1219="",0,Sync!$W1219))</f>
        <v/>
      </c>
      <c r="M1222">
        <f>IF(OR($E1222="",$E1222="نامعتبر"),"",IF(Sync!$X1219="",0,Sync!$X1219))</f>
        <v/>
      </c>
      <c r="N1222">
        <f>IF(OR($E1222="",$E1222="نامعتبر"),"",IF(AND($J1222="هزینه",$K1222&lt;&gt;""),1,0))</f>
        <v/>
      </c>
      <c r="O1222">
        <f>IF($N1222=0,"",LEFT($E1222,4)&amp;MID($E1222,6,2)&amp;RIGHT($E1222,2)&amp;$F1222&amp;"|"&amp;"1"&amp;RIGHT("00000"&amp;1214,5))</f>
        <v/>
      </c>
      <c r="P1222">
        <f>IF($O1222="","",COUNTIFS(ExpSub,$K1222,ExpKey,"&lt;"&amp;$O1222)+1)</f>
        <v/>
      </c>
      <c r="Q1222">
        <f>IF($P1222="","",$K1222&amp;"|"&amp;RIGHT("000000"&amp;$P1222,6))</f>
        <v/>
      </c>
    </row>
    <row r="1223">
      <c r="A1223">
        <f>IF(Sync!$P1220="","",Sync!$P1220)</f>
        <v/>
      </c>
      <c r="B1223">
        <f>IF($A1223="","",IF(ISNUMBER($A1223),IF(AND($A1223&gt;=10000101,$A1223&lt;=99991231),INT($A1223/10000),""),IFERROR(VALUE(TRIM(LEFT($A1223,FIND("/",$A1223)-1))),"")))</f>
        <v/>
      </c>
      <c r="C1223">
        <f>IF(OR($A1223="",$B1223=""),"",IF(ISNUMBER($A1223),INT(MOD($A1223,10000)/100),IFERROR(VALUE(TRIM(LEFT(MID($A1223,FIND("/",$A1223)+1,20),FIND("/",MID($A1223,FIND("/",$A1223)+1,20))-1))),"")))</f>
        <v/>
      </c>
      <c r="D1223">
        <f>IF(OR($A1223="",$B1223=""),"",IF(ISNUMBER($A1223),MOD($A1223,100),IFERROR(VALUE(TRIM(MID(MID($A1223,FIND("/",$A1223)+1,20),FIND("/",MID($A1223,FIND("/",$A1223)+1,20))+1,20))),"")))</f>
        <v/>
      </c>
      <c r="E1223">
        <f>IF($A1223="","",IF(OR($B1223="",$C1223="",$D1223="",$B1223&lt;1300,$B1223&gt;1500,$C1223&lt;1,$C1223&gt;12,$D1223&lt;1,$D1223&gt;31),"نامعتبر",RIGHT("0000"&amp;$B1223,4)&amp;"/"&amp;RIGHT("00"&amp;$C1223,2)&amp;"/"&amp;RIGHT("00"&amp;$D1223,2)))</f>
        <v/>
      </c>
      <c r="F1223">
        <f>IF(OR($E1223="",$E1223="نامعتبر"),"",IF(Sync!$Q1220="","0000",IF(AND(ISNUMBER(Sync!$Q1220),Sync!$Q1220&gt;=0,Sync!$Q1220&lt;1),RIGHT("00"&amp;HOUR(Sync!$Q1220),2)&amp;RIGHT("00"&amp;MINUTE(Sync!$Q1220),2),IFERROR(RIGHT("00"&amp;VALUE(LEFT(Sync!$Q1220,FIND(":",Sync!$Q1220)-1)),2)&amp;RIGHT("00"&amp;VALUE(MID(Sync!$Q1220,FIND(":",Sync!$Q1220)+1,2)),2),"0000"))))</f>
        <v/>
      </c>
      <c r="G1223">
        <f>IF(OR($E1223="",$E1223="نامعتبر"),"",IF(Sync!$S1220="","",Sync!$S1220))</f>
        <v/>
      </c>
      <c r="H1223">
        <f>IF(OR($E1223="",$E1223="نامعتبر"),"",IF(Sync!$R1220="","",Sync!$R1220))</f>
        <v/>
      </c>
      <c r="I1223">
        <f>IF(OR($E1223="",$E1223="نامعتبر"),"",IF(Sync!$T1220="","",Sync!$T1220))</f>
        <v/>
      </c>
      <c r="J1223">
        <f>IF(OR($E1223="",$E1223="نامعتبر"),"",IF(Sync!$U1220="","",Sync!$U1220))</f>
        <v/>
      </c>
      <c r="K1223">
        <f>IF(OR($E1223="",$E1223="نامعتبر"),"",IF(Sync!$V1220="","",IFERROR(INDEX(SubCodes,MATCH(Sync!$V1220,SubTitles,0)),Sync!$V1220)))</f>
        <v/>
      </c>
      <c r="L1223">
        <f>IF(OR($E1223="",$E1223="نامعتبر"),"",IF(Sync!$W1220="",0,Sync!$W1220))</f>
        <v/>
      </c>
      <c r="M1223">
        <f>IF(OR($E1223="",$E1223="نامعتبر"),"",IF(Sync!$X1220="",0,Sync!$X1220))</f>
        <v/>
      </c>
      <c r="N1223">
        <f>IF(OR($E1223="",$E1223="نامعتبر"),"",IF(AND($J1223="هزینه",$K1223&lt;&gt;""),1,0))</f>
        <v/>
      </c>
      <c r="O1223">
        <f>IF($N1223=0,"",LEFT($E1223,4)&amp;MID($E1223,6,2)&amp;RIGHT($E1223,2)&amp;$F1223&amp;"|"&amp;"1"&amp;RIGHT("00000"&amp;1215,5))</f>
        <v/>
      </c>
      <c r="P1223">
        <f>IF($O1223="","",COUNTIFS(ExpSub,$K1223,ExpKey,"&lt;"&amp;$O1223)+1)</f>
        <v/>
      </c>
      <c r="Q1223">
        <f>IF($P1223="","",$K1223&amp;"|"&amp;RIGHT("000000"&amp;$P1223,6))</f>
        <v/>
      </c>
    </row>
    <row r="1224">
      <c r="A1224">
        <f>IF(Sync!$P1221="","",Sync!$P1221)</f>
        <v/>
      </c>
      <c r="B1224">
        <f>IF($A1224="","",IF(ISNUMBER($A1224),IF(AND($A1224&gt;=10000101,$A1224&lt;=99991231),INT($A1224/10000),""),IFERROR(VALUE(TRIM(LEFT($A1224,FIND("/",$A1224)-1))),"")))</f>
        <v/>
      </c>
      <c r="C1224">
        <f>IF(OR($A1224="",$B1224=""),"",IF(ISNUMBER($A1224),INT(MOD($A1224,10000)/100),IFERROR(VALUE(TRIM(LEFT(MID($A1224,FIND("/",$A1224)+1,20),FIND("/",MID($A1224,FIND("/",$A1224)+1,20))-1))),"")))</f>
        <v/>
      </c>
      <c r="D1224">
        <f>IF(OR($A1224="",$B1224=""),"",IF(ISNUMBER($A1224),MOD($A1224,100),IFERROR(VALUE(TRIM(MID(MID($A1224,FIND("/",$A1224)+1,20),FIND("/",MID($A1224,FIND("/",$A1224)+1,20))+1,20))),"")))</f>
        <v/>
      </c>
      <c r="E1224">
        <f>IF($A1224="","",IF(OR($B1224="",$C1224="",$D1224="",$B1224&lt;1300,$B1224&gt;1500,$C1224&lt;1,$C1224&gt;12,$D1224&lt;1,$D1224&gt;31),"نامعتبر",RIGHT("0000"&amp;$B1224,4)&amp;"/"&amp;RIGHT("00"&amp;$C1224,2)&amp;"/"&amp;RIGHT("00"&amp;$D1224,2)))</f>
        <v/>
      </c>
      <c r="F1224">
        <f>IF(OR($E1224="",$E1224="نامعتبر"),"",IF(Sync!$Q1221="","0000",IF(AND(ISNUMBER(Sync!$Q1221),Sync!$Q1221&gt;=0,Sync!$Q1221&lt;1),RIGHT("00"&amp;HOUR(Sync!$Q1221),2)&amp;RIGHT("00"&amp;MINUTE(Sync!$Q1221),2),IFERROR(RIGHT("00"&amp;VALUE(LEFT(Sync!$Q1221,FIND(":",Sync!$Q1221)-1)),2)&amp;RIGHT("00"&amp;VALUE(MID(Sync!$Q1221,FIND(":",Sync!$Q1221)+1,2)),2),"0000"))))</f>
        <v/>
      </c>
      <c r="G1224">
        <f>IF(OR($E1224="",$E1224="نامعتبر"),"",IF(Sync!$S1221="","",Sync!$S1221))</f>
        <v/>
      </c>
      <c r="H1224">
        <f>IF(OR($E1224="",$E1224="نامعتبر"),"",IF(Sync!$R1221="","",Sync!$R1221))</f>
        <v/>
      </c>
      <c r="I1224">
        <f>IF(OR($E1224="",$E1224="نامعتبر"),"",IF(Sync!$T1221="","",Sync!$T1221))</f>
        <v/>
      </c>
      <c r="J1224">
        <f>IF(OR($E1224="",$E1224="نامعتبر"),"",IF(Sync!$U1221="","",Sync!$U1221))</f>
        <v/>
      </c>
      <c r="K1224">
        <f>IF(OR($E1224="",$E1224="نامعتبر"),"",IF(Sync!$V1221="","",IFERROR(INDEX(SubCodes,MATCH(Sync!$V1221,SubTitles,0)),Sync!$V1221)))</f>
        <v/>
      </c>
      <c r="L1224">
        <f>IF(OR($E1224="",$E1224="نامعتبر"),"",IF(Sync!$W1221="",0,Sync!$W1221))</f>
        <v/>
      </c>
      <c r="M1224">
        <f>IF(OR($E1224="",$E1224="نامعتبر"),"",IF(Sync!$X1221="",0,Sync!$X1221))</f>
        <v/>
      </c>
      <c r="N1224">
        <f>IF(OR($E1224="",$E1224="نامعتبر"),"",IF(AND($J1224="هزینه",$K1224&lt;&gt;""),1,0))</f>
        <v/>
      </c>
      <c r="O1224">
        <f>IF($N1224=0,"",LEFT($E1224,4)&amp;MID($E1224,6,2)&amp;RIGHT($E1224,2)&amp;$F1224&amp;"|"&amp;"1"&amp;RIGHT("00000"&amp;1216,5))</f>
        <v/>
      </c>
      <c r="P1224">
        <f>IF($O1224="","",COUNTIFS(ExpSub,$K1224,ExpKey,"&lt;"&amp;$O1224)+1)</f>
        <v/>
      </c>
      <c r="Q1224">
        <f>IF($P1224="","",$K1224&amp;"|"&amp;RIGHT("000000"&amp;$P1224,6))</f>
        <v/>
      </c>
    </row>
    <row r="1225">
      <c r="A1225">
        <f>IF(Sync!$P1222="","",Sync!$P1222)</f>
        <v/>
      </c>
      <c r="B1225">
        <f>IF($A1225="","",IF(ISNUMBER($A1225),IF(AND($A1225&gt;=10000101,$A1225&lt;=99991231),INT($A1225/10000),""),IFERROR(VALUE(TRIM(LEFT($A1225,FIND("/",$A1225)-1))),"")))</f>
        <v/>
      </c>
      <c r="C1225">
        <f>IF(OR($A1225="",$B1225=""),"",IF(ISNUMBER($A1225),INT(MOD($A1225,10000)/100),IFERROR(VALUE(TRIM(LEFT(MID($A1225,FIND("/",$A1225)+1,20),FIND("/",MID($A1225,FIND("/",$A1225)+1,20))-1))),"")))</f>
        <v/>
      </c>
      <c r="D1225">
        <f>IF(OR($A1225="",$B1225=""),"",IF(ISNUMBER($A1225),MOD($A1225,100),IFERROR(VALUE(TRIM(MID(MID($A1225,FIND("/",$A1225)+1,20),FIND("/",MID($A1225,FIND("/",$A1225)+1,20))+1,20))),"")))</f>
        <v/>
      </c>
      <c r="E1225">
        <f>IF($A1225="","",IF(OR($B1225="",$C1225="",$D1225="",$B1225&lt;1300,$B1225&gt;1500,$C1225&lt;1,$C1225&gt;12,$D1225&lt;1,$D1225&gt;31),"نامعتبر",RIGHT("0000"&amp;$B1225,4)&amp;"/"&amp;RIGHT("00"&amp;$C1225,2)&amp;"/"&amp;RIGHT("00"&amp;$D1225,2)))</f>
        <v/>
      </c>
      <c r="F1225">
        <f>IF(OR($E1225="",$E1225="نامعتبر"),"",IF(Sync!$Q1222="","0000",IF(AND(ISNUMBER(Sync!$Q1222),Sync!$Q1222&gt;=0,Sync!$Q1222&lt;1),RIGHT("00"&amp;HOUR(Sync!$Q1222),2)&amp;RIGHT("00"&amp;MINUTE(Sync!$Q1222),2),IFERROR(RIGHT("00"&amp;VALUE(LEFT(Sync!$Q1222,FIND(":",Sync!$Q1222)-1)),2)&amp;RIGHT("00"&amp;VALUE(MID(Sync!$Q1222,FIND(":",Sync!$Q1222)+1,2)),2),"0000"))))</f>
        <v/>
      </c>
      <c r="G1225">
        <f>IF(OR($E1225="",$E1225="نامعتبر"),"",IF(Sync!$S1222="","",Sync!$S1222))</f>
        <v/>
      </c>
      <c r="H1225">
        <f>IF(OR($E1225="",$E1225="نامعتبر"),"",IF(Sync!$R1222="","",Sync!$R1222))</f>
        <v/>
      </c>
      <c r="I1225">
        <f>IF(OR($E1225="",$E1225="نامعتبر"),"",IF(Sync!$T1222="","",Sync!$T1222))</f>
        <v/>
      </c>
      <c r="J1225">
        <f>IF(OR($E1225="",$E1225="نامعتبر"),"",IF(Sync!$U1222="","",Sync!$U1222))</f>
        <v/>
      </c>
      <c r="K1225">
        <f>IF(OR($E1225="",$E1225="نامعتبر"),"",IF(Sync!$V1222="","",IFERROR(INDEX(SubCodes,MATCH(Sync!$V1222,SubTitles,0)),Sync!$V1222)))</f>
        <v/>
      </c>
      <c r="L1225">
        <f>IF(OR($E1225="",$E1225="نامعتبر"),"",IF(Sync!$W1222="",0,Sync!$W1222))</f>
        <v/>
      </c>
      <c r="M1225">
        <f>IF(OR($E1225="",$E1225="نامعتبر"),"",IF(Sync!$X1222="",0,Sync!$X1222))</f>
        <v/>
      </c>
      <c r="N1225">
        <f>IF(OR($E1225="",$E1225="نامعتبر"),"",IF(AND($J1225="هزینه",$K1225&lt;&gt;""),1,0))</f>
        <v/>
      </c>
      <c r="O1225">
        <f>IF($N1225=0,"",LEFT($E1225,4)&amp;MID($E1225,6,2)&amp;RIGHT($E1225,2)&amp;$F1225&amp;"|"&amp;"1"&amp;RIGHT("00000"&amp;1217,5))</f>
        <v/>
      </c>
      <c r="P1225">
        <f>IF($O1225="","",COUNTIFS(ExpSub,$K1225,ExpKey,"&lt;"&amp;$O1225)+1)</f>
        <v/>
      </c>
      <c r="Q1225">
        <f>IF($P1225="","",$K1225&amp;"|"&amp;RIGHT("000000"&amp;$P1225,6))</f>
        <v/>
      </c>
    </row>
    <row r="1226">
      <c r="A1226">
        <f>IF(Sync!$P1223="","",Sync!$P1223)</f>
        <v/>
      </c>
      <c r="B1226">
        <f>IF($A1226="","",IF(ISNUMBER($A1226),IF(AND($A1226&gt;=10000101,$A1226&lt;=99991231),INT($A1226/10000),""),IFERROR(VALUE(TRIM(LEFT($A1226,FIND("/",$A1226)-1))),"")))</f>
        <v/>
      </c>
      <c r="C1226">
        <f>IF(OR($A1226="",$B1226=""),"",IF(ISNUMBER($A1226),INT(MOD($A1226,10000)/100),IFERROR(VALUE(TRIM(LEFT(MID($A1226,FIND("/",$A1226)+1,20),FIND("/",MID($A1226,FIND("/",$A1226)+1,20))-1))),"")))</f>
        <v/>
      </c>
      <c r="D1226">
        <f>IF(OR($A1226="",$B1226=""),"",IF(ISNUMBER($A1226),MOD($A1226,100),IFERROR(VALUE(TRIM(MID(MID($A1226,FIND("/",$A1226)+1,20),FIND("/",MID($A1226,FIND("/",$A1226)+1,20))+1,20))),"")))</f>
        <v/>
      </c>
      <c r="E1226">
        <f>IF($A1226="","",IF(OR($B1226="",$C1226="",$D1226="",$B1226&lt;1300,$B1226&gt;1500,$C1226&lt;1,$C1226&gt;12,$D1226&lt;1,$D1226&gt;31),"نامعتبر",RIGHT("0000"&amp;$B1226,4)&amp;"/"&amp;RIGHT("00"&amp;$C1226,2)&amp;"/"&amp;RIGHT("00"&amp;$D1226,2)))</f>
        <v/>
      </c>
      <c r="F1226">
        <f>IF(OR($E1226="",$E1226="نامعتبر"),"",IF(Sync!$Q1223="","0000",IF(AND(ISNUMBER(Sync!$Q1223),Sync!$Q1223&gt;=0,Sync!$Q1223&lt;1),RIGHT("00"&amp;HOUR(Sync!$Q1223),2)&amp;RIGHT("00"&amp;MINUTE(Sync!$Q1223),2),IFERROR(RIGHT("00"&amp;VALUE(LEFT(Sync!$Q1223,FIND(":",Sync!$Q1223)-1)),2)&amp;RIGHT("00"&amp;VALUE(MID(Sync!$Q1223,FIND(":",Sync!$Q1223)+1,2)),2),"0000"))))</f>
        <v/>
      </c>
      <c r="G1226">
        <f>IF(OR($E1226="",$E1226="نامعتبر"),"",IF(Sync!$S1223="","",Sync!$S1223))</f>
        <v/>
      </c>
      <c r="H1226">
        <f>IF(OR($E1226="",$E1226="نامعتبر"),"",IF(Sync!$R1223="","",Sync!$R1223))</f>
        <v/>
      </c>
      <c r="I1226">
        <f>IF(OR($E1226="",$E1226="نامعتبر"),"",IF(Sync!$T1223="","",Sync!$T1223))</f>
        <v/>
      </c>
      <c r="J1226">
        <f>IF(OR($E1226="",$E1226="نامعتبر"),"",IF(Sync!$U1223="","",Sync!$U1223))</f>
        <v/>
      </c>
      <c r="K1226">
        <f>IF(OR($E1226="",$E1226="نامعتبر"),"",IF(Sync!$V1223="","",IFERROR(INDEX(SubCodes,MATCH(Sync!$V1223,SubTitles,0)),Sync!$V1223)))</f>
        <v/>
      </c>
      <c r="L1226">
        <f>IF(OR($E1226="",$E1226="نامعتبر"),"",IF(Sync!$W1223="",0,Sync!$W1223))</f>
        <v/>
      </c>
      <c r="M1226">
        <f>IF(OR($E1226="",$E1226="نامعتبر"),"",IF(Sync!$X1223="",0,Sync!$X1223))</f>
        <v/>
      </c>
      <c r="N1226">
        <f>IF(OR($E1226="",$E1226="نامعتبر"),"",IF(AND($J1226="هزینه",$K1226&lt;&gt;""),1,0))</f>
        <v/>
      </c>
      <c r="O1226">
        <f>IF($N1226=0,"",LEFT($E1226,4)&amp;MID($E1226,6,2)&amp;RIGHT($E1226,2)&amp;$F1226&amp;"|"&amp;"1"&amp;RIGHT("00000"&amp;1218,5))</f>
        <v/>
      </c>
      <c r="P1226">
        <f>IF($O1226="","",COUNTIFS(ExpSub,$K1226,ExpKey,"&lt;"&amp;$O1226)+1)</f>
        <v/>
      </c>
      <c r="Q1226">
        <f>IF($P1226="","",$K1226&amp;"|"&amp;RIGHT("000000"&amp;$P1226,6))</f>
        <v/>
      </c>
    </row>
    <row r="1227">
      <c r="A1227">
        <f>IF(Sync!$P1224="","",Sync!$P1224)</f>
        <v/>
      </c>
      <c r="B1227">
        <f>IF($A1227="","",IF(ISNUMBER($A1227),IF(AND($A1227&gt;=10000101,$A1227&lt;=99991231),INT($A1227/10000),""),IFERROR(VALUE(TRIM(LEFT($A1227,FIND("/",$A1227)-1))),"")))</f>
        <v/>
      </c>
      <c r="C1227">
        <f>IF(OR($A1227="",$B1227=""),"",IF(ISNUMBER($A1227),INT(MOD($A1227,10000)/100),IFERROR(VALUE(TRIM(LEFT(MID($A1227,FIND("/",$A1227)+1,20),FIND("/",MID($A1227,FIND("/",$A1227)+1,20))-1))),"")))</f>
        <v/>
      </c>
      <c r="D1227">
        <f>IF(OR($A1227="",$B1227=""),"",IF(ISNUMBER($A1227),MOD($A1227,100),IFERROR(VALUE(TRIM(MID(MID($A1227,FIND("/",$A1227)+1,20),FIND("/",MID($A1227,FIND("/",$A1227)+1,20))+1,20))),"")))</f>
        <v/>
      </c>
      <c r="E1227">
        <f>IF($A1227="","",IF(OR($B1227="",$C1227="",$D1227="",$B1227&lt;1300,$B1227&gt;1500,$C1227&lt;1,$C1227&gt;12,$D1227&lt;1,$D1227&gt;31),"نامعتبر",RIGHT("0000"&amp;$B1227,4)&amp;"/"&amp;RIGHT("00"&amp;$C1227,2)&amp;"/"&amp;RIGHT("00"&amp;$D1227,2)))</f>
        <v/>
      </c>
      <c r="F1227">
        <f>IF(OR($E1227="",$E1227="نامعتبر"),"",IF(Sync!$Q1224="","0000",IF(AND(ISNUMBER(Sync!$Q1224),Sync!$Q1224&gt;=0,Sync!$Q1224&lt;1),RIGHT("00"&amp;HOUR(Sync!$Q1224),2)&amp;RIGHT("00"&amp;MINUTE(Sync!$Q1224),2),IFERROR(RIGHT("00"&amp;VALUE(LEFT(Sync!$Q1224,FIND(":",Sync!$Q1224)-1)),2)&amp;RIGHT("00"&amp;VALUE(MID(Sync!$Q1224,FIND(":",Sync!$Q1224)+1,2)),2),"0000"))))</f>
        <v/>
      </c>
      <c r="G1227">
        <f>IF(OR($E1227="",$E1227="نامعتبر"),"",IF(Sync!$S1224="","",Sync!$S1224))</f>
        <v/>
      </c>
      <c r="H1227">
        <f>IF(OR($E1227="",$E1227="نامعتبر"),"",IF(Sync!$R1224="","",Sync!$R1224))</f>
        <v/>
      </c>
      <c r="I1227">
        <f>IF(OR($E1227="",$E1227="نامعتبر"),"",IF(Sync!$T1224="","",Sync!$T1224))</f>
        <v/>
      </c>
      <c r="J1227">
        <f>IF(OR($E1227="",$E1227="نامعتبر"),"",IF(Sync!$U1224="","",Sync!$U1224))</f>
        <v/>
      </c>
      <c r="K1227">
        <f>IF(OR($E1227="",$E1227="نامعتبر"),"",IF(Sync!$V1224="","",IFERROR(INDEX(SubCodes,MATCH(Sync!$V1224,SubTitles,0)),Sync!$V1224)))</f>
        <v/>
      </c>
      <c r="L1227">
        <f>IF(OR($E1227="",$E1227="نامعتبر"),"",IF(Sync!$W1224="",0,Sync!$W1224))</f>
        <v/>
      </c>
      <c r="M1227">
        <f>IF(OR($E1227="",$E1227="نامعتبر"),"",IF(Sync!$X1224="",0,Sync!$X1224))</f>
        <v/>
      </c>
      <c r="N1227">
        <f>IF(OR($E1227="",$E1227="نامعتبر"),"",IF(AND($J1227="هزینه",$K1227&lt;&gt;""),1,0))</f>
        <v/>
      </c>
      <c r="O1227">
        <f>IF($N1227=0,"",LEFT($E1227,4)&amp;MID($E1227,6,2)&amp;RIGHT($E1227,2)&amp;$F1227&amp;"|"&amp;"1"&amp;RIGHT("00000"&amp;1219,5))</f>
        <v/>
      </c>
      <c r="P1227">
        <f>IF($O1227="","",COUNTIFS(ExpSub,$K1227,ExpKey,"&lt;"&amp;$O1227)+1)</f>
        <v/>
      </c>
      <c r="Q1227">
        <f>IF($P1227="","",$K1227&amp;"|"&amp;RIGHT("000000"&amp;$P1227,6))</f>
        <v/>
      </c>
    </row>
    <row r="1228">
      <c r="A1228">
        <f>IF(Sync!$P1225="","",Sync!$P1225)</f>
        <v/>
      </c>
      <c r="B1228">
        <f>IF($A1228="","",IF(ISNUMBER($A1228),IF(AND($A1228&gt;=10000101,$A1228&lt;=99991231),INT($A1228/10000),""),IFERROR(VALUE(TRIM(LEFT($A1228,FIND("/",$A1228)-1))),"")))</f>
        <v/>
      </c>
      <c r="C1228">
        <f>IF(OR($A1228="",$B1228=""),"",IF(ISNUMBER($A1228),INT(MOD($A1228,10000)/100),IFERROR(VALUE(TRIM(LEFT(MID($A1228,FIND("/",$A1228)+1,20),FIND("/",MID($A1228,FIND("/",$A1228)+1,20))-1))),"")))</f>
        <v/>
      </c>
      <c r="D1228">
        <f>IF(OR($A1228="",$B1228=""),"",IF(ISNUMBER($A1228),MOD($A1228,100),IFERROR(VALUE(TRIM(MID(MID($A1228,FIND("/",$A1228)+1,20),FIND("/",MID($A1228,FIND("/",$A1228)+1,20))+1,20))),"")))</f>
        <v/>
      </c>
      <c r="E1228">
        <f>IF($A1228="","",IF(OR($B1228="",$C1228="",$D1228="",$B1228&lt;1300,$B1228&gt;1500,$C1228&lt;1,$C1228&gt;12,$D1228&lt;1,$D1228&gt;31),"نامعتبر",RIGHT("0000"&amp;$B1228,4)&amp;"/"&amp;RIGHT("00"&amp;$C1228,2)&amp;"/"&amp;RIGHT("00"&amp;$D1228,2)))</f>
        <v/>
      </c>
      <c r="F1228">
        <f>IF(OR($E1228="",$E1228="نامعتبر"),"",IF(Sync!$Q1225="","0000",IF(AND(ISNUMBER(Sync!$Q1225),Sync!$Q1225&gt;=0,Sync!$Q1225&lt;1),RIGHT("00"&amp;HOUR(Sync!$Q1225),2)&amp;RIGHT("00"&amp;MINUTE(Sync!$Q1225),2),IFERROR(RIGHT("00"&amp;VALUE(LEFT(Sync!$Q1225,FIND(":",Sync!$Q1225)-1)),2)&amp;RIGHT("00"&amp;VALUE(MID(Sync!$Q1225,FIND(":",Sync!$Q1225)+1,2)),2),"0000"))))</f>
        <v/>
      </c>
      <c r="G1228">
        <f>IF(OR($E1228="",$E1228="نامعتبر"),"",IF(Sync!$S1225="","",Sync!$S1225))</f>
        <v/>
      </c>
      <c r="H1228">
        <f>IF(OR($E1228="",$E1228="نامعتبر"),"",IF(Sync!$R1225="","",Sync!$R1225))</f>
        <v/>
      </c>
      <c r="I1228">
        <f>IF(OR($E1228="",$E1228="نامعتبر"),"",IF(Sync!$T1225="","",Sync!$T1225))</f>
        <v/>
      </c>
      <c r="J1228">
        <f>IF(OR($E1228="",$E1228="نامعتبر"),"",IF(Sync!$U1225="","",Sync!$U1225))</f>
        <v/>
      </c>
      <c r="K1228">
        <f>IF(OR($E1228="",$E1228="نامعتبر"),"",IF(Sync!$V1225="","",IFERROR(INDEX(SubCodes,MATCH(Sync!$V1225,SubTitles,0)),Sync!$V1225)))</f>
        <v/>
      </c>
      <c r="L1228">
        <f>IF(OR($E1228="",$E1228="نامعتبر"),"",IF(Sync!$W1225="",0,Sync!$W1225))</f>
        <v/>
      </c>
      <c r="M1228">
        <f>IF(OR($E1228="",$E1228="نامعتبر"),"",IF(Sync!$X1225="",0,Sync!$X1225))</f>
        <v/>
      </c>
      <c r="N1228">
        <f>IF(OR($E1228="",$E1228="نامعتبر"),"",IF(AND($J1228="هزینه",$K1228&lt;&gt;""),1,0))</f>
        <v/>
      </c>
      <c r="O1228">
        <f>IF($N1228=0,"",LEFT($E1228,4)&amp;MID($E1228,6,2)&amp;RIGHT($E1228,2)&amp;$F1228&amp;"|"&amp;"1"&amp;RIGHT("00000"&amp;1220,5))</f>
        <v/>
      </c>
      <c r="P1228">
        <f>IF($O1228="","",COUNTIFS(ExpSub,$K1228,ExpKey,"&lt;"&amp;$O1228)+1)</f>
        <v/>
      </c>
      <c r="Q1228">
        <f>IF($P1228="","",$K1228&amp;"|"&amp;RIGHT("000000"&amp;$P1228,6))</f>
        <v/>
      </c>
    </row>
    <row r="1229">
      <c r="A1229">
        <f>IF(Sync!$P1226="","",Sync!$P1226)</f>
        <v/>
      </c>
      <c r="B1229">
        <f>IF($A1229="","",IF(ISNUMBER($A1229),IF(AND($A1229&gt;=10000101,$A1229&lt;=99991231),INT($A1229/10000),""),IFERROR(VALUE(TRIM(LEFT($A1229,FIND("/",$A1229)-1))),"")))</f>
        <v/>
      </c>
      <c r="C1229">
        <f>IF(OR($A1229="",$B1229=""),"",IF(ISNUMBER($A1229),INT(MOD($A1229,10000)/100),IFERROR(VALUE(TRIM(LEFT(MID($A1229,FIND("/",$A1229)+1,20),FIND("/",MID($A1229,FIND("/",$A1229)+1,20))-1))),"")))</f>
        <v/>
      </c>
      <c r="D1229">
        <f>IF(OR($A1229="",$B1229=""),"",IF(ISNUMBER($A1229),MOD($A1229,100),IFERROR(VALUE(TRIM(MID(MID($A1229,FIND("/",$A1229)+1,20),FIND("/",MID($A1229,FIND("/",$A1229)+1,20))+1,20))),"")))</f>
        <v/>
      </c>
      <c r="E1229">
        <f>IF($A1229="","",IF(OR($B1229="",$C1229="",$D1229="",$B1229&lt;1300,$B1229&gt;1500,$C1229&lt;1,$C1229&gt;12,$D1229&lt;1,$D1229&gt;31),"نامعتبر",RIGHT("0000"&amp;$B1229,4)&amp;"/"&amp;RIGHT("00"&amp;$C1229,2)&amp;"/"&amp;RIGHT("00"&amp;$D1229,2)))</f>
        <v/>
      </c>
      <c r="F1229">
        <f>IF(OR($E1229="",$E1229="نامعتبر"),"",IF(Sync!$Q1226="","0000",IF(AND(ISNUMBER(Sync!$Q1226),Sync!$Q1226&gt;=0,Sync!$Q1226&lt;1),RIGHT("00"&amp;HOUR(Sync!$Q1226),2)&amp;RIGHT("00"&amp;MINUTE(Sync!$Q1226),2),IFERROR(RIGHT("00"&amp;VALUE(LEFT(Sync!$Q1226,FIND(":",Sync!$Q1226)-1)),2)&amp;RIGHT("00"&amp;VALUE(MID(Sync!$Q1226,FIND(":",Sync!$Q1226)+1,2)),2),"0000"))))</f>
        <v/>
      </c>
      <c r="G1229">
        <f>IF(OR($E1229="",$E1229="نامعتبر"),"",IF(Sync!$S1226="","",Sync!$S1226))</f>
        <v/>
      </c>
      <c r="H1229">
        <f>IF(OR($E1229="",$E1229="نامعتبر"),"",IF(Sync!$R1226="","",Sync!$R1226))</f>
        <v/>
      </c>
      <c r="I1229">
        <f>IF(OR($E1229="",$E1229="نامعتبر"),"",IF(Sync!$T1226="","",Sync!$T1226))</f>
        <v/>
      </c>
      <c r="J1229">
        <f>IF(OR($E1229="",$E1229="نامعتبر"),"",IF(Sync!$U1226="","",Sync!$U1226))</f>
        <v/>
      </c>
      <c r="K1229">
        <f>IF(OR($E1229="",$E1229="نامعتبر"),"",IF(Sync!$V1226="","",IFERROR(INDEX(SubCodes,MATCH(Sync!$V1226,SubTitles,0)),Sync!$V1226)))</f>
        <v/>
      </c>
      <c r="L1229">
        <f>IF(OR($E1229="",$E1229="نامعتبر"),"",IF(Sync!$W1226="",0,Sync!$W1226))</f>
        <v/>
      </c>
      <c r="M1229">
        <f>IF(OR($E1229="",$E1229="نامعتبر"),"",IF(Sync!$X1226="",0,Sync!$X1226))</f>
        <v/>
      </c>
      <c r="N1229">
        <f>IF(OR($E1229="",$E1229="نامعتبر"),"",IF(AND($J1229="هزینه",$K1229&lt;&gt;""),1,0))</f>
        <v/>
      </c>
      <c r="O1229">
        <f>IF($N1229=0,"",LEFT($E1229,4)&amp;MID($E1229,6,2)&amp;RIGHT($E1229,2)&amp;$F1229&amp;"|"&amp;"1"&amp;RIGHT("00000"&amp;1221,5))</f>
        <v/>
      </c>
      <c r="P1229">
        <f>IF($O1229="","",COUNTIFS(ExpSub,$K1229,ExpKey,"&lt;"&amp;$O1229)+1)</f>
        <v/>
      </c>
      <c r="Q1229">
        <f>IF($P1229="","",$K1229&amp;"|"&amp;RIGHT("000000"&amp;$P1229,6))</f>
        <v/>
      </c>
    </row>
    <row r="1230">
      <c r="A1230">
        <f>IF(Sync!$P1227="","",Sync!$P1227)</f>
        <v/>
      </c>
      <c r="B1230">
        <f>IF($A1230="","",IF(ISNUMBER($A1230),IF(AND($A1230&gt;=10000101,$A1230&lt;=99991231),INT($A1230/10000),""),IFERROR(VALUE(TRIM(LEFT($A1230,FIND("/",$A1230)-1))),"")))</f>
        <v/>
      </c>
      <c r="C1230">
        <f>IF(OR($A1230="",$B1230=""),"",IF(ISNUMBER($A1230),INT(MOD($A1230,10000)/100),IFERROR(VALUE(TRIM(LEFT(MID($A1230,FIND("/",$A1230)+1,20),FIND("/",MID($A1230,FIND("/",$A1230)+1,20))-1))),"")))</f>
        <v/>
      </c>
      <c r="D1230">
        <f>IF(OR($A1230="",$B1230=""),"",IF(ISNUMBER($A1230),MOD($A1230,100),IFERROR(VALUE(TRIM(MID(MID($A1230,FIND("/",$A1230)+1,20),FIND("/",MID($A1230,FIND("/",$A1230)+1,20))+1,20))),"")))</f>
        <v/>
      </c>
      <c r="E1230">
        <f>IF($A1230="","",IF(OR($B1230="",$C1230="",$D1230="",$B1230&lt;1300,$B1230&gt;1500,$C1230&lt;1,$C1230&gt;12,$D1230&lt;1,$D1230&gt;31),"نامعتبر",RIGHT("0000"&amp;$B1230,4)&amp;"/"&amp;RIGHT("00"&amp;$C1230,2)&amp;"/"&amp;RIGHT("00"&amp;$D1230,2)))</f>
        <v/>
      </c>
      <c r="F1230">
        <f>IF(OR($E1230="",$E1230="نامعتبر"),"",IF(Sync!$Q1227="","0000",IF(AND(ISNUMBER(Sync!$Q1227),Sync!$Q1227&gt;=0,Sync!$Q1227&lt;1),RIGHT("00"&amp;HOUR(Sync!$Q1227),2)&amp;RIGHT("00"&amp;MINUTE(Sync!$Q1227),2),IFERROR(RIGHT("00"&amp;VALUE(LEFT(Sync!$Q1227,FIND(":",Sync!$Q1227)-1)),2)&amp;RIGHT("00"&amp;VALUE(MID(Sync!$Q1227,FIND(":",Sync!$Q1227)+1,2)),2),"0000"))))</f>
        <v/>
      </c>
      <c r="G1230">
        <f>IF(OR($E1230="",$E1230="نامعتبر"),"",IF(Sync!$S1227="","",Sync!$S1227))</f>
        <v/>
      </c>
      <c r="H1230">
        <f>IF(OR($E1230="",$E1230="نامعتبر"),"",IF(Sync!$R1227="","",Sync!$R1227))</f>
        <v/>
      </c>
      <c r="I1230">
        <f>IF(OR($E1230="",$E1230="نامعتبر"),"",IF(Sync!$T1227="","",Sync!$T1227))</f>
        <v/>
      </c>
      <c r="J1230">
        <f>IF(OR($E1230="",$E1230="نامعتبر"),"",IF(Sync!$U1227="","",Sync!$U1227))</f>
        <v/>
      </c>
      <c r="K1230">
        <f>IF(OR($E1230="",$E1230="نامعتبر"),"",IF(Sync!$V1227="","",IFERROR(INDEX(SubCodes,MATCH(Sync!$V1227,SubTitles,0)),Sync!$V1227)))</f>
        <v/>
      </c>
      <c r="L1230">
        <f>IF(OR($E1230="",$E1230="نامعتبر"),"",IF(Sync!$W1227="",0,Sync!$W1227))</f>
        <v/>
      </c>
      <c r="M1230">
        <f>IF(OR($E1230="",$E1230="نامعتبر"),"",IF(Sync!$X1227="",0,Sync!$X1227))</f>
        <v/>
      </c>
      <c r="N1230">
        <f>IF(OR($E1230="",$E1230="نامعتبر"),"",IF(AND($J1230="هزینه",$K1230&lt;&gt;""),1,0))</f>
        <v/>
      </c>
      <c r="O1230">
        <f>IF($N1230=0,"",LEFT($E1230,4)&amp;MID($E1230,6,2)&amp;RIGHT($E1230,2)&amp;$F1230&amp;"|"&amp;"1"&amp;RIGHT("00000"&amp;1222,5))</f>
        <v/>
      </c>
      <c r="P1230">
        <f>IF($O1230="","",COUNTIFS(ExpSub,$K1230,ExpKey,"&lt;"&amp;$O1230)+1)</f>
        <v/>
      </c>
      <c r="Q1230">
        <f>IF($P1230="","",$K1230&amp;"|"&amp;RIGHT("000000"&amp;$P1230,6))</f>
        <v/>
      </c>
    </row>
    <row r="1231">
      <c r="A1231">
        <f>IF(Sync!$P1228="","",Sync!$P1228)</f>
        <v/>
      </c>
      <c r="B1231">
        <f>IF($A1231="","",IF(ISNUMBER($A1231),IF(AND($A1231&gt;=10000101,$A1231&lt;=99991231),INT($A1231/10000),""),IFERROR(VALUE(TRIM(LEFT($A1231,FIND("/",$A1231)-1))),"")))</f>
        <v/>
      </c>
      <c r="C1231">
        <f>IF(OR($A1231="",$B1231=""),"",IF(ISNUMBER($A1231),INT(MOD($A1231,10000)/100),IFERROR(VALUE(TRIM(LEFT(MID($A1231,FIND("/",$A1231)+1,20),FIND("/",MID($A1231,FIND("/",$A1231)+1,20))-1))),"")))</f>
        <v/>
      </c>
      <c r="D1231">
        <f>IF(OR($A1231="",$B1231=""),"",IF(ISNUMBER($A1231),MOD($A1231,100),IFERROR(VALUE(TRIM(MID(MID($A1231,FIND("/",$A1231)+1,20),FIND("/",MID($A1231,FIND("/",$A1231)+1,20))+1,20))),"")))</f>
        <v/>
      </c>
      <c r="E1231">
        <f>IF($A1231="","",IF(OR($B1231="",$C1231="",$D1231="",$B1231&lt;1300,$B1231&gt;1500,$C1231&lt;1,$C1231&gt;12,$D1231&lt;1,$D1231&gt;31),"نامعتبر",RIGHT("0000"&amp;$B1231,4)&amp;"/"&amp;RIGHT("00"&amp;$C1231,2)&amp;"/"&amp;RIGHT("00"&amp;$D1231,2)))</f>
        <v/>
      </c>
      <c r="F1231">
        <f>IF(OR($E1231="",$E1231="نامعتبر"),"",IF(Sync!$Q1228="","0000",IF(AND(ISNUMBER(Sync!$Q1228),Sync!$Q1228&gt;=0,Sync!$Q1228&lt;1),RIGHT("00"&amp;HOUR(Sync!$Q1228),2)&amp;RIGHT("00"&amp;MINUTE(Sync!$Q1228),2),IFERROR(RIGHT("00"&amp;VALUE(LEFT(Sync!$Q1228,FIND(":",Sync!$Q1228)-1)),2)&amp;RIGHT("00"&amp;VALUE(MID(Sync!$Q1228,FIND(":",Sync!$Q1228)+1,2)),2),"0000"))))</f>
        <v/>
      </c>
      <c r="G1231">
        <f>IF(OR($E1231="",$E1231="نامعتبر"),"",IF(Sync!$S1228="","",Sync!$S1228))</f>
        <v/>
      </c>
      <c r="H1231">
        <f>IF(OR($E1231="",$E1231="نامعتبر"),"",IF(Sync!$R1228="","",Sync!$R1228))</f>
        <v/>
      </c>
      <c r="I1231">
        <f>IF(OR($E1231="",$E1231="نامعتبر"),"",IF(Sync!$T1228="","",Sync!$T1228))</f>
        <v/>
      </c>
      <c r="J1231">
        <f>IF(OR($E1231="",$E1231="نامعتبر"),"",IF(Sync!$U1228="","",Sync!$U1228))</f>
        <v/>
      </c>
      <c r="K1231">
        <f>IF(OR($E1231="",$E1231="نامعتبر"),"",IF(Sync!$V1228="","",IFERROR(INDEX(SubCodes,MATCH(Sync!$V1228,SubTitles,0)),Sync!$V1228)))</f>
        <v/>
      </c>
      <c r="L1231">
        <f>IF(OR($E1231="",$E1231="نامعتبر"),"",IF(Sync!$W1228="",0,Sync!$W1228))</f>
        <v/>
      </c>
      <c r="M1231">
        <f>IF(OR($E1231="",$E1231="نامعتبر"),"",IF(Sync!$X1228="",0,Sync!$X1228))</f>
        <v/>
      </c>
      <c r="N1231">
        <f>IF(OR($E1231="",$E1231="نامعتبر"),"",IF(AND($J1231="هزینه",$K1231&lt;&gt;""),1,0))</f>
        <v/>
      </c>
      <c r="O1231">
        <f>IF($N1231=0,"",LEFT($E1231,4)&amp;MID($E1231,6,2)&amp;RIGHT($E1231,2)&amp;$F1231&amp;"|"&amp;"1"&amp;RIGHT("00000"&amp;1223,5))</f>
        <v/>
      </c>
      <c r="P1231">
        <f>IF($O1231="","",COUNTIFS(ExpSub,$K1231,ExpKey,"&lt;"&amp;$O1231)+1)</f>
        <v/>
      </c>
      <c r="Q1231">
        <f>IF($P1231="","",$K1231&amp;"|"&amp;RIGHT("000000"&amp;$P1231,6))</f>
        <v/>
      </c>
    </row>
    <row r="1232">
      <c r="A1232">
        <f>IF(Sync!$P1229="","",Sync!$P1229)</f>
        <v/>
      </c>
      <c r="B1232">
        <f>IF($A1232="","",IF(ISNUMBER($A1232),IF(AND($A1232&gt;=10000101,$A1232&lt;=99991231),INT($A1232/10000),""),IFERROR(VALUE(TRIM(LEFT($A1232,FIND("/",$A1232)-1))),"")))</f>
        <v/>
      </c>
      <c r="C1232">
        <f>IF(OR($A1232="",$B1232=""),"",IF(ISNUMBER($A1232),INT(MOD($A1232,10000)/100),IFERROR(VALUE(TRIM(LEFT(MID($A1232,FIND("/",$A1232)+1,20),FIND("/",MID($A1232,FIND("/",$A1232)+1,20))-1))),"")))</f>
        <v/>
      </c>
      <c r="D1232">
        <f>IF(OR($A1232="",$B1232=""),"",IF(ISNUMBER($A1232),MOD($A1232,100),IFERROR(VALUE(TRIM(MID(MID($A1232,FIND("/",$A1232)+1,20),FIND("/",MID($A1232,FIND("/",$A1232)+1,20))+1,20))),"")))</f>
        <v/>
      </c>
      <c r="E1232">
        <f>IF($A1232="","",IF(OR($B1232="",$C1232="",$D1232="",$B1232&lt;1300,$B1232&gt;1500,$C1232&lt;1,$C1232&gt;12,$D1232&lt;1,$D1232&gt;31),"نامعتبر",RIGHT("0000"&amp;$B1232,4)&amp;"/"&amp;RIGHT("00"&amp;$C1232,2)&amp;"/"&amp;RIGHT("00"&amp;$D1232,2)))</f>
        <v/>
      </c>
      <c r="F1232">
        <f>IF(OR($E1232="",$E1232="نامعتبر"),"",IF(Sync!$Q1229="","0000",IF(AND(ISNUMBER(Sync!$Q1229),Sync!$Q1229&gt;=0,Sync!$Q1229&lt;1),RIGHT("00"&amp;HOUR(Sync!$Q1229),2)&amp;RIGHT("00"&amp;MINUTE(Sync!$Q1229),2),IFERROR(RIGHT("00"&amp;VALUE(LEFT(Sync!$Q1229,FIND(":",Sync!$Q1229)-1)),2)&amp;RIGHT("00"&amp;VALUE(MID(Sync!$Q1229,FIND(":",Sync!$Q1229)+1,2)),2),"0000"))))</f>
        <v/>
      </c>
      <c r="G1232">
        <f>IF(OR($E1232="",$E1232="نامعتبر"),"",IF(Sync!$S1229="","",Sync!$S1229))</f>
        <v/>
      </c>
      <c r="H1232">
        <f>IF(OR($E1232="",$E1232="نامعتبر"),"",IF(Sync!$R1229="","",Sync!$R1229))</f>
        <v/>
      </c>
      <c r="I1232">
        <f>IF(OR($E1232="",$E1232="نامعتبر"),"",IF(Sync!$T1229="","",Sync!$T1229))</f>
        <v/>
      </c>
      <c r="J1232">
        <f>IF(OR($E1232="",$E1232="نامعتبر"),"",IF(Sync!$U1229="","",Sync!$U1229))</f>
        <v/>
      </c>
      <c r="K1232">
        <f>IF(OR($E1232="",$E1232="نامعتبر"),"",IF(Sync!$V1229="","",IFERROR(INDEX(SubCodes,MATCH(Sync!$V1229,SubTitles,0)),Sync!$V1229)))</f>
        <v/>
      </c>
      <c r="L1232">
        <f>IF(OR($E1232="",$E1232="نامعتبر"),"",IF(Sync!$W1229="",0,Sync!$W1229))</f>
        <v/>
      </c>
      <c r="M1232">
        <f>IF(OR($E1232="",$E1232="نامعتبر"),"",IF(Sync!$X1229="",0,Sync!$X1229))</f>
        <v/>
      </c>
      <c r="N1232">
        <f>IF(OR($E1232="",$E1232="نامعتبر"),"",IF(AND($J1232="هزینه",$K1232&lt;&gt;""),1,0))</f>
        <v/>
      </c>
      <c r="O1232">
        <f>IF($N1232=0,"",LEFT($E1232,4)&amp;MID($E1232,6,2)&amp;RIGHT($E1232,2)&amp;$F1232&amp;"|"&amp;"1"&amp;RIGHT("00000"&amp;1224,5))</f>
        <v/>
      </c>
      <c r="P1232">
        <f>IF($O1232="","",COUNTIFS(ExpSub,$K1232,ExpKey,"&lt;"&amp;$O1232)+1)</f>
        <v/>
      </c>
      <c r="Q1232">
        <f>IF($P1232="","",$K1232&amp;"|"&amp;RIGHT("000000"&amp;$P1232,6))</f>
        <v/>
      </c>
    </row>
    <row r="1233">
      <c r="A1233">
        <f>IF(Sync!$P1230="","",Sync!$P1230)</f>
        <v/>
      </c>
      <c r="B1233">
        <f>IF($A1233="","",IF(ISNUMBER($A1233),IF(AND($A1233&gt;=10000101,$A1233&lt;=99991231),INT($A1233/10000),""),IFERROR(VALUE(TRIM(LEFT($A1233,FIND("/",$A1233)-1))),"")))</f>
        <v/>
      </c>
      <c r="C1233">
        <f>IF(OR($A1233="",$B1233=""),"",IF(ISNUMBER($A1233),INT(MOD($A1233,10000)/100),IFERROR(VALUE(TRIM(LEFT(MID($A1233,FIND("/",$A1233)+1,20),FIND("/",MID($A1233,FIND("/",$A1233)+1,20))-1))),"")))</f>
        <v/>
      </c>
      <c r="D1233">
        <f>IF(OR($A1233="",$B1233=""),"",IF(ISNUMBER($A1233),MOD($A1233,100),IFERROR(VALUE(TRIM(MID(MID($A1233,FIND("/",$A1233)+1,20),FIND("/",MID($A1233,FIND("/",$A1233)+1,20))+1,20))),"")))</f>
        <v/>
      </c>
      <c r="E1233">
        <f>IF($A1233="","",IF(OR($B1233="",$C1233="",$D1233="",$B1233&lt;1300,$B1233&gt;1500,$C1233&lt;1,$C1233&gt;12,$D1233&lt;1,$D1233&gt;31),"نامعتبر",RIGHT("0000"&amp;$B1233,4)&amp;"/"&amp;RIGHT("00"&amp;$C1233,2)&amp;"/"&amp;RIGHT("00"&amp;$D1233,2)))</f>
        <v/>
      </c>
      <c r="F1233">
        <f>IF(OR($E1233="",$E1233="نامعتبر"),"",IF(Sync!$Q1230="","0000",IF(AND(ISNUMBER(Sync!$Q1230),Sync!$Q1230&gt;=0,Sync!$Q1230&lt;1),RIGHT("00"&amp;HOUR(Sync!$Q1230),2)&amp;RIGHT("00"&amp;MINUTE(Sync!$Q1230),2),IFERROR(RIGHT("00"&amp;VALUE(LEFT(Sync!$Q1230,FIND(":",Sync!$Q1230)-1)),2)&amp;RIGHT("00"&amp;VALUE(MID(Sync!$Q1230,FIND(":",Sync!$Q1230)+1,2)),2),"0000"))))</f>
        <v/>
      </c>
      <c r="G1233">
        <f>IF(OR($E1233="",$E1233="نامعتبر"),"",IF(Sync!$S1230="","",Sync!$S1230))</f>
        <v/>
      </c>
      <c r="H1233">
        <f>IF(OR($E1233="",$E1233="نامعتبر"),"",IF(Sync!$R1230="","",Sync!$R1230))</f>
        <v/>
      </c>
      <c r="I1233">
        <f>IF(OR($E1233="",$E1233="نامعتبر"),"",IF(Sync!$T1230="","",Sync!$T1230))</f>
        <v/>
      </c>
      <c r="J1233">
        <f>IF(OR($E1233="",$E1233="نامعتبر"),"",IF(Sync!$U1230="","",Sync!$U1230))</f>
        <v/>
      </c>
      <c r="K1233">
        <f>IF(OR($E1233="",$E1233="نامعتبر"),"",IF(Sync!$V1230="","",IFERROR(INDEX(SubCodes,MATCH(Sync!$V1230,SubTitles,0)),Sync!$V1230)))</f>
        <v/>
      </c>
      <c r="L1233">
        <f>IF(OR($E1233="",$E1233="نامعتبر"),"",IF(Sync!$W1230="",0,Sync!$W1230))</f>
        <v/>
      </c>
      <c r="M1233">
        <f>IF(OR($E1233="",$E1233="نامعتبر"),"",IF(Sync!$X1230="",0,Sync!$X1230))</f>
        <v/>
      </c>
      <c r="N1233">
        <f>IF(OR($E1233="",$E1233="نامعتبر"),"",IF(AND($J1233="هزینه",$K1233&lt;&gt;""),1,0))</f>
        <v/>
      </c>
      <c r="O1233">
        <f>IF($N1233=0,"",LEFT($E1233,4)&amp;MID($E1233,6,2)&amp;RIGHT($E1233,2)&amp;$F1233&amp;"|"&amp;"1"&amp;RIGHT("00000"&amp;1225,5))</f>
        <v/>
      </c>
      <c r="P1233">
        <f>IF($O1233="","",COUNTIFS(ExpSub,$K1233,ExpKey,"&lt;"&amp;$O1233)+1)</f>
        <v/>
      </c>
      <c r="Q1233">
        <f>IF($P1233="","",$K1233&amp;"|"&amp;RIGHT("000000"&amp;$P1233,6))</f>
        <v/>
      </c>
    </row>
    <row r="1234">
      <c r="A1234">
        <f>IF(Sync!$P1231="","",Sync!$P1231)</f>
        <v/>
      </c>
      <c r="B1234">
        <f>IF($A1234="","",IF(ISNUMBER($A1234),IF(AND($A1234&gt;=10000101,$A1234&lt;=99991231),INT($A1234/10000),""),IFERROR(VALUE(TRIM(LEFT($A1234,FIND("/",$A1234)-1))),"")))</f>
        <v/>
      </c>
      <c r="C1234">
        <f>IF(OR($A1234="",$B1234=""),"",IF(ISNUMBER($A1234),INT(MOD($A1234,10000)/100),IFERROR(VALUE(TRIM(LEFT(MID($A1234,FIND("/",$A1234)+1,20),FIND("/",MID($A1234,FIND("/",$A1234)+1,20))-1))),"")))</f>
        <v/>
      </c>
      <c r="D1234">
        <f>IF(OR($A1234="",$B1234=""),"",IF(ISNUMBER($A1234),MOD($A1234,100),IFERROR(VALUE(TRIM(MID(MID($A1234,FIND("/",$A1234)+1,20),FIND("/",MID($A1234,FIND("/",$A1234)+1,20))+1,20))),"")))</f>
        <v/>
      </c>
      <c r="E1234">
        <f>IF($A1234="","",IF(OR($B1234="",$C1234="",$D1234="",$B1234&lt;1300,$B1234&gt;1500,$C1234&lt;1,$C1234&gt;12,$D1234&lt;1,$D1234&gt;31),"نامعتبر",RIGHT("0000"&amp;$B1234,4)&amp;"/"&amp;RIGHT("00"&amp;$C1234,2)&amp;"/"&amp;RIGHT("00"&amp;$D1234,2)))</f>
        <v/>
      </c>
      <c r="F1234">
        <f>IF(OR($E1234="",$E1234="نامعتبر"),"",IF(Sync!$Q1231="","0000",IF(AND(ISNUMBER(Sync!$Q1231),Sync!$Q1231&gt;=0,Sync!$Q1231&lt;1),RIGHT("00"&amp;HOUR(Sync!$Q1231),2)&amp;RIGHT("00"&amp;MINUTE(Sync!$Q1231),2),IFERROR(RIGHT("00"&amp;VALUE(LEFT(Sync!$Q1231,FIND(":",Sync!$Q1231)-1)),2)&amp;RIGHT("00"&amp;VALUE(MID(Sync!$Q1231,FIND(":",Sync!$Q1231)+1,2)),2),"0000"))))</f>
        <v/>
      </c>
      <c r="G1234">
        <f>IF(OR($E1234="",$E1234="نامعتبر"),"",IF(Sync!$S1231="","",Sync!$S1231))</f>
        <v/>
      </c>
      <c r="H1234">
        <f>IF(OR($E1234="",$E1234="نامعتبر"),"",IF(Sync!$R1231="","",Sync!$R1231))</f>
        <v/>
      </c>
      <c r="I1234">
        <f>IF(OR($E1234="",$E1234="نامعتبر"),"",IF(Sync!$T1231="","",Sync!$T1231))</f>
        <v/>
      </c>
      <c r="J1234">
        <f>IF(OR($E1234="",$E1234="نامعتبر"),"",IF(Sync!$U1231="","",Sync!$U1231))</f>
        <v/>
      </c>
      <c r="K1234">
        <f>IF(OR($E1234="",$E1234="نامعتبر"),"",IF(Sync!$V1231="","",IFERROR(INDEX(SubCodes,MATCH(Sync!$V1231,SubTitles,0)),Sync!$V1231)))</f>
        <v/>
      </c>
      <c r="L1234">
        <f>IF(OR($E1234="",$E1234="نامعتبر"),"",IF(Sync!$W1231="",0,Sync!$W1231))</f>
        <v/>
      </c>
      <c r="M1234">
        <f>IF(OR($E1234="",$E1234="نامعتبر"),"",IF(Sync!$X1231="",0,Sync!$X1231))</f>
        <v/>
      </c>
      <c r="N1234">
        <f>IF(OR($E1234="",$E1234="نامعتبر"),"",IF(AND($J1234="هزینه",$K1234&lt;&gt;""),1,0))</f>
        <v/>
      </c>
      <c r="O1234">
        <f>IF($N1234=0,"",LEFT($E1234,4)&amp;MID($E1234,6,2)&amp;RIGHT($E1234,2)&amp;$F1234&amp;"|"&amp;"1"&amp;RIGHT("00000"&amp;1226,5))</f>
        <v/>
      </c>
      <c r="P1234">
        <f>IF($O1234="","",COUNTIFS(ExpSub,$K1234,ExpKey,"&lt;"&amp;$O1234)+1)</f>
        <v/>
      </c>
      <c r="Q1234">
        <f>IF($P1234="","",$K1234&amp;"|"&amp;RIGHT("000000"&amp;$P1234,6))</f>
        <v/>
      </c>
    </row>
    <row r="1235">
      <c r="A1235">
        <f>IF(Sync!$P1232="","",Sync!$P1232)</f>
        <v/>
      </c>
      <c r="B1235">
        <f>IF($A1235="","",IF(ISNUMBER($A1235),IF(AND($A1235&gt;=10000101,$A1235&lt;=99991231),INT($A1235/10000),""),IFERROR(VALUE(TRIM(LEFT($A1235,FIND("/",$A1235)-1))),"")))</f>
        <v/>
      </c>
      <c r="C1235">
        <f>IF(OR($A1235="",$B1235=""),"",IF(ISNUMBER($A1235),INT(MOD($A1235,10000)/100),IFERROR(VALUE(TRIM(LEFT(MID($A1235,FIND("/",$A1235)+1,20),FIND("/",MID($A1235,FIND("/",$A1235)+1,20))-1))),"")))</f>
        <v/>
      </c>
      <c r="D1235">
        <f>IF(OR($A1235="",$B1235=""),"",IF(ISNUMBER($A1235),MOD($A1235,100),IFERROR(VALUE(TRIM(MID(MID($A1235,FIND("/",$A1235)+1,20),FIND("/",MID($A1235,FIND("/",$A1235)+1,20))+1,20))),"")))</f>
        <v/>
      </c>
      <c r="E1235">
        <f>IF($A1235="","",IF(OR($B1235="",$C1235="",$D1235="",$B1235&lt;1300,$B1235&gt;1500,$C1235&lt;1,$C1235&gt;12,$D1235&lt;1,$D1235&gt;31),"نامعتبر",RIGHT("0000"&amp;$B1235,4)&amp;"/"&amp;RIGHT("00"&amp;$C1235,2)&amp;"/"&amp;RIGHT("00"&amp;$D1235,2)))</f>
        <v/>
      </c>
      <c r="F1235">
        <f>IF(OR($E1235="",$E1235="نامعتبر"),"",IF(Sync!$Q1232="","0000",IF(AND(ISNUMBER(Sync!$Q1232),Sync!$Q1232&gt;=0,Sync!$Q1232&lt;1),RIGHT("00"&amp;HOUR(Sync!$Q1232),2)&amp;RIGHT("00"&amp;MINUTE(Sync!$Q1232),2),IFERROR(RIGHT("00"&amp;VALUE(LEFT(Sync!$Q1232,FIND(":",Sync!$Q1232)-1)),2)&amp;RIGHT("00"&amp;VALUE(MID(Sync!$Q1232,FIND(":",Sync!$Q1232)+1,2)),2),"0000"))))</f>
        <v/>
      </c>
      <c r="G1235">
        <f>IF(OR($E1235="",$E1235="نامعتبر"),"",IF(Sync!$S1232="","",Sync!$S1232))</f>
        <v/>
      </c>
      <c r="H1235">
        <f>IF(OR($E1235="",$E1235="نامعتبر"),"",IF(Sync!$R1232="","",Sync!$R1232))</f>
        <v/>
      </c>
      <c r="I1235">
        <f>IF(OR($E1235="",$E1235="نامعتبر"),"",IF(Sync!$T1232="","",Sync!$T1232))</f>
        <v/>
      </c>
      <c r="J1235">
        <f>IF(OR($E1235="",$E1235="نامعتبر"),"",IF(Sync!$U1232="","",Sync!$U1232))</f>
        <v/>
      </c>
      <c r="K1235">
        <f>IF(OR($E1235="",$E1235="نامعتبر"),"",IF(Sync!$V1232="","",IFERROR(INDEX(SubCodes,MATCH(Sync!$V1232,SubTitles,0)),Sync!$V1232)))</f>
        <v/>
      </c>
      <c r="L1235">
        <f>IF(OR($E1235="",$E1235="نامعتبر"),"",IF(Sync!$W1232="",0,Sync!$W1232))</f>
        <v/>
      </c>
      <c r="M1235">
        <f>IF(OR($E1235="",$E1235="نامعتبر"),"",IF(Sync!$X1232="",0,Sync!$X1232))</f>
        <v/>
      </c>
      <c r="N1235">
        <f>IF(OR($E1235="",$E1235="نامعتبر"),"",IF(AND($J1235="هزینه",$K1235&lt;&gt;""),1,0))</f>
        <v/>
      </c>
      <c r="O1235">
        <f>IF($N1235=0,"",LEFT($E1235,4)&amp;MID($E1235,6,2)&amp;RIGHT($E1235,2)&amp;$F1235&amp;"|"&amp;"1"&amp;RIGHT("00000"&amp;1227,5))</f>
        <v/>
      </c>
      <c r="P1235">
        <f>IF($O1235="","",COUNTIFS(ExpSub,$K1235,ExpKey,"&lt;"&amp;$O1235)+1)</f>
        <v/>
      </c>
      <c r="Q1235">
        <f>IF($P1235="","",$K1235&amp;"|"&amp;RIGHT("000000"&amp;$P1235,6))</f>
        <v/>
      </c>
    </row>
    <row r="1236">
      <c r="A1236">
        <f>IF(Sync!$P1233="","",Sync!$P1233)</f>
        <v/>
      </c>
      <c r="B1236">
        <f>IF($A1236="","",IF(ISNUMBER($A1236),IF(AND($A1236&gt;=10000101,$A1236&lt;=99991231),INT($A1236/10000),""),IFERROR(VALUE(TRIM(LEFT($A1236,FIND("/",$A1236)-1))),"")))</f>
        <v/>
      </c>
      <c r="C1236">
        <f>IF(OR($A1236="",$B1236=""),"",IF(ISNUMBER($A1236),INT(MOD($A1236,10000)/100),IFERROR(VALUE(TRIM(LEFT(MID($A1236,FIND("/",$A1236)+1,20),FIND("/",MID($A1236,FIND("/",$A1236)+1,20))-1))),"")))</f>
        <v/>
      </c>
      <c r="D1236">
        <f>IF(OR($A1236="",$B1236=""),"",IF(ISNUMBER($A1236),MOD($A1236,100),IFERROR(VALUE(TRIM(MID(MID($A1236,FIND("/",$A1236)+1,20),FIND("/",MID($A1236,FIND("/",$A1236)+1,20))+1,20))),"")))</f>
        <v/>
      </c>
      <c r="E1236">
        <f>IF($A1236="","",IF(OR($B1236="",$C1236="",$D1236="",$B1236&lt;1300,$B1236&gt;1500,$C1236&lt;1,$C1236&gt;12,$D1236&lt;1,$D1236&gt;31),"نامعتبر",RIGHT("0000"&amp;$B1236,4)&amp;"/"&amp;RIGHT("00"&amp;$C1236,2)&amp;"/"&amp;RIGHT("00"&amp;$D1236,2)))</f>
        <v/>
      </c>
      <c r="F1236">
        <f>IF(OR($E1236="",$E1236="نامعتبر"),"",IF(Sync!$Q1233="","0000",IF(AND(ISNUMBER(Sync!$Q1233),Sync!$Q1233&gt;=0,Sync!$Q1233&lt;1),RIGHT("00"&amp;HOUR(Sync!$Q1233),2)&amp;RIGHT("00"&amp;MINUTE(Sync!$Q1233),2),IFERROR(RIGHT("00"&amp;VALUE(LEFT(Sync!$Q1233,FIND(":",Sync!$Q1233)-1)),2)&amp;RIGHT("00"&amp;VALUE(MID(Sync!$Q1233,FIND(":",Sync!$Q1233)+1,2)),2),"0000"))))</f>
        <v/>
      </c>
      <c r="G1236">
        <f>IF(OR($E1236="",$E1236="نامعتبر"),"",IF(Sync!$S1233="","",Sync!$S1233))</f>
        <v/>
      </c>
      <c r="H1236">
        <f>IF(OR($E1236="",$E1236="نامعتبر"),"",IF(Sync!$R1233="","",Sync!$R1233))</f>
        <v/>
      </c>
      <c r="I1236">
        <f>IF(OR($E1236="",$E1236="نامعتبر"),"",IF(Sync!$T1233="","",Sync!$T1233))</f>
        <v/>
      </c>
      <c r="J1236">
        <f>IF(OR($E1236="",$E1236="نامعتبر"),"",IF(Sync!$U1233="","",Sync!$U1233))</f>
        <v/>
      </c>
      <c r="K1236">
        <f>IF(OR($E1236="",$E1236="نامعتبر"),"",IF(Sync!$V1233="","",IFERROR(INDEX(SubCodes,MATCH(Sync!$V1233,SubTitles,0)),Sync!$V1233)))</f>
        <v/>
      </c>
      <c r="L1236">
        <f>IF(OR($E1236="",$E1236="نامعتبر"),"",IF(Sync!$W1233="",0,Sync!$W1233))</f>
        <v/>
      </c>
      <c r="M1236">
        <f>IF(OR($E1236="",$E1236="نامعتبر"),"",IF(Sync!$X1233="",0,Sync!$X1233))</f>
        <v/>
      </c>
      <c r="N1236">
        <f>IF(OR($E1236="",$E1236="نامعتبر"),"",IF(AND($J1236="هزینه",$K1236&lt;&gt;""),1,0))</f>
        <v/>
      </c>
      <c r="O1236">
        <f>IF($N1236=0,"",LEFT($E1236,4)&amp;MID($E1236,6,2)&amp;RIGHT($E1236,2)&amp;$F1236&amp;"|"&amp;"1"&amp;RIGHT("00000"&amp;1228,5))</f>
        <v/>
      </c>
      <c r="P1236">
        <f>IF($O1236="","",COUNTIFS(ExpSub,$K1236,ExpKey,"&lt;"&amp;$O1236)+1)</f>
        <v/>
      </c>
      <c r="Q1236">
        <f>IF($P1236="","",$K1236&amp;"|"&amp;RIGHT("000000"&amp;$P1236,6))</f>
        <v/>
      </c>
    </row>
    <row r="1237">
      <c r="A1237">
        <f>IF(Sync!$P1234="","",Sync!$P1234)</f>
        <v/>
      </c>
      <c r="B1237">
        <f>IF($A1237="","",IF(ISNUMBER($A1237),IF(AND($A1237&gt;=10000101,$A1237&lt;=99991231),INT($A1237/10000),""),IFERROR(VALUE(TRIM(LEFT($A1237,FIND("/",$A1237)-1))),"")))</f>
        <v/>
      </c>
      <c r="C1237">
        <f>IF(OR($A1237="",$B1237=""),"",IF(ISNUMBER($A1237),INT(MOD($A1237,10000)/100),IFERROR(VALUE(TRIM(LEFT(MID($A1237,FIND("/",$A1237)+1,20),FIND("/",MID($A1237,FIND("/",$A1237)+1,20))-1))),"")))</f>
        <v/>
      </c>
      <c r="D1237">
        <f>IF(OR($A1237="",$B1237=""),"",IF(ISNUMBER($A1237),MOD($A1237,100),IFERROR(VALUE(TRIM(MID(MID($A1237,FIND("/",$A1237)+1,20),FIND("/",MID($A1237,FIND("/",$A1237)+1,20))+1,20))),"")))</f>
        <v/>
      </c>
      <c r="E1237">
        <f>IF($A1237="","",IF(OR($B1237="",$C1237="",$D1237="",$B1237&lt;1300,$B1237&gt;1500,$C1237&lt;1,$C1237&gt;12,$D1237&lt;1,$D1237&gt;31),"نامعتبر",RIGHT("0000"&amp;$B1237,4)&amp;"/"&amp;RIGHT("00"&amp;$C1237,2)&amp;"/"&amp;RIGHT("00"&amp;$D1237,2)))</f>
        <v/>
      </c>
      <c r="F1237">
        <f>IF(OR($E1237="",$E1237="نامعتبر"),"",IF(Sync!$Q1234="","0000",IF(AND(ISNUMBER(Sync!$Q1234),Sync!$Q1234&gt;=0,Sync!$Q1234&lt;1),RIGHT("00"&amp;HOUR(Sync!$Q1234),2)&amp;RIGHT("00"&amp;MINUTE(Sync!$Q1234),2),IFERROR(RIGHT("00"&amp;VALUE(LEFT(Sync!$Q1234,FIND(":",Sync!$Q1234)-1)),2)&amp;RIGHT("00"&amp;VALUE(MID(Sync!$Q1234,FIND(":",Sync!$Q1234)+1,2)),2),"0000"))))</f>
        <v/>
      </c>
      <c r="G1237">
        <f>IF(OR($E1237="",$E1237="نامعتبر"),"",IF(Sync!$S1234="","",Sync!$S1234))</f>
        <v/>
      </c>
      <c r="H1237">
        <f>IF(OR($E1237="",$E1237="نامعتبر"),"",IF(Sync!$R1234="","",Sync!$R1234))</f>
        <v/>
      </c>
      <c r="I1237">
        <f>IF(OR($E1237="",$E1237="نامعتبر"),"",IF(Sync!$T1234="","",Sync!$T1234))</f>
        <v/>
      </c>
      <c r="J1237">
        <f>IF(OR($E1237="",$E1237="نامعتبر"),"",IF(Sync!$U1234="","",Sync!$U1234))</f>
        <v/>
      </c>
      <c r="K1237">
        <f>IF(OR($E1237="",$E1237="نامعتبر"),"",IF(Sync!$V1234="","",IFERROR(INDEX(SubCodes,MATCH(Sync!$V1234,SubTitles,0)),Sync!$V1234)))</f>
        <v/>
      </c>
      <c r="L1237">
        <f>IF(OR($E1237="",$E1237="نامعتبر"),"",IF(Sync!$W1234="",0,Sync!$W1234))</f>
        <v/>
      </c>
      <c r="M1237">
        <f>IF(OR($E1237="",$E1237="نامعتبر"),"",IF(Sync!$X1234="",0,Sync!$X1234))</f>
        <v/>
      </c>
      <c r="N1237">
        <f>IF(OR($E1237="",$E1237="نامعتبر"),"",IF(AND($J1237="هزینه",$K1237&lt;&gt;""),1,0))</f>
        <v/>
      </c>
      <c r="O1237">
        <f>IF($N1237=0,"",LEFT($E1237,4)&amp;MID($E1237,6,2)&amp;RIGHT($E1237,2)&amp;$F1237&amp;"|"&amp;"1"&amp;RIGHT("00000"&amp;1229,5))</f>
        <v/>
      </c>
      <c r="P1237">
        <f>IF($O1237="","",COUNTIFS(ExpSub,$K1237,ExpKey,"&lt;"&amp;$O1237)+1)</f>
        <v/>
      </c>
      <c r="Q1237">
        <f>IF($P1237="","",$K1237&amp;"|"&amp;RIGHT("000000"&amp;$P1237,6))</f>
        <v/>
      </c>
    </row>
    <row r="1238">
      <c r="A1238">
        <f>IF(Sync!$P1235="","",Sync!$P1235)</f>
        <v/>
      </c>
      <c r="B1238">
        <f>IF($A1238="","",IF(ISNUMBER($A1238),IF(AND($A1238&gt;=10000101,$A1238&lt;=99991231),INT($A1238/10000),""),IFERROR(VALUE(TRIM(LEFT($A1238,FIND("/",$A1238)-1))),"")))</f>
        <v/>
      </c>
      <c r="C1238">
        <f>IF(OR($A1238="",$B1238=""),"",IF(ISNUMBER($A1238),INT(MOD($A1238,10000)/100),IFERROR(VALUE(TRIM(LEFT(MID($A1238,FIND("/",$A1238)+1,20),FIND("/",MID($A1238,FIND("/",$A1238)+1,20))-1))),"")))</f>
        <v/>
      </c>
      <c r="D1238">
        <f>IF(OR($A1238="",$B1238=""),"",IF(ISNUMBER($A1238),MOD($A1238,100),IFERROR(VALUE(TRIM(MID(MID($A1238,FIND("/",$A1238)+1,20),FIND("/",MID($A1238,FIND("/",$A1238)+1,20))+1,20))),"")))</f>
        <v/>
      </c>
      <c r="E1238">
        <f>IF($A1238="","",IF(OR($B1238="",$C1238="",$D1238="",$B1238&lt;1300,$B1238&gt;1500,$C1238&lt;1,$C1238&gt;12,$D1238&lt;1,$D1238&gt;31),"نامعتبر",RIGHT("0000"&amp;$B1238,4)&amp;"/"&amp;RIGHT("00"&amp;$C1238,2)&amp;"/"&amp;RIGHT("00"&amp;$D1238,2)))</f>
        <v/>
      </c>
      <c r="F1238">
        <f>IF(OR($E1238="",$E1238="نامعتبر"),"",IF(Sync!$Q1235="","0000",IF(AND(ISNUMBER(Sync!$Q1235),Sync!$Q1235&gt;=0,Sync!$Q1235&lt;1),RIGHT("00"&amp;HOUR(Sync!$Q1235),2)&amp;RIGHT("00"&amp;MINUTE(Sync!$Q1235),2),IFERROR(RIGHT("00"&amp;VALUE(LEFT(Sync!$Q1235,FIND(":",Sync!$Q1235)-1)),2)&amp;RIGHT("00"&amp;VALUE(MID(Sync!$Q1235,FIND(":",Sync!$Q1235)+1,2)),2),"0000"))))</f>
        <v/>
      </c>
      <c r="G1238">
        <f>IF(OR($E1238="",$E1238="نامعتبر"),"",IF(Sync!$S1235="","",Sync!$S1235))</f>
        <v/>
      </c>
      <c r="H1238">
        <f>IF(OR($E1238="",$E1238="نامعتبر"),"",IF(Sync!$R1235="","",Sync!$R1235))</f>
        <v/>
      </c>
      <c r="I1238">
        <f>IF(OR($E1238="",$E1238="نامعتبر"),"",IF(Sync!$T1235="","",Sync!$T1235))</f>
        <v/>
      </c>
      <c r="J1238">
        <f>IF(OR($E1238="",$E1238="نامعتبر"),"",IF(Sync!$U1235="","",Sync!$U1235))</f>
        <v/>
      </c>
      <c r="K1238">
        <f>IF(OR($E1238="",$E1238="نامعتبر"),"",IF(Sync!$V1235="","",IFERROR(INDEX(SubCodes,MATCH(Sync!$V1235,SubTitles,0)),Sync!$V1235)))</f>
        <v/>
      </c>
      <c r="L1238">
        <f>IF(OR($E1238="",$E1238="نامعتبر"),"",IF(Sync!$W1235="",0,Sync!$W1235))</f>
        <v/>
      </c>
      <c r="M1238">
        <f>IF(OR($E1238="",$E1238="نامعتبر"),"",IF(Sync!$X1235="",0,Sync!$X1235))</f>
        <v/>
      </c>
      <c r="N1238">
        <f>IF(OR($E1238="",$E1238="نامعتبر"),"",IF(AND($J1238="هزینه",$K1238&lt;&gt;""),1,0))</f>
        <v/>
      </c>
      <c r="O1238">
        <f>IF($N1238=0,"",LEFT($E1238,4)&amp;MID($E1238,6,2)&amp;RIGHT($E1238,2)&amp;$F1238&amp;"|"&amp;"1"&amp;RIGHT("00000"&amp;1230,5))</f>
        <v/>
      </c>
      <c r="P1238">
        <f>IF($O1238="","",COUNTIFS(ExpSub,$K1238,ExpKey,"&lt;"&amp;$O1238)+1)</f>
        <v/>
      </c>
      <c r="Q1238">
        <f>IF($P1238="","",$K1238&amp;"|"&amp;RIGHT("000000"&amp;$P1238,6))</f>
        <v/>
      </c>
    </row>
    <row r="1239">
      <c r="A1239">
        <f>IF(Sync!$P1236="","",Sync!$P1236)</f>
        <v/>
      </c>
      <c r="B1239">
        <f>IF($A1239="","",IF(ISNUMBER($A1239),IF(AND($A1239&gt;=10000101,$A1239&lt;=99991231),INT($A1239/10000),""),IFERROR(VALUE(TRIM(LEFT($A1239,FIND("/",$A1239)-1))),"")))</f>
        <v/>
      </c>
      <c r="C1239">
        <f>IF(OR($A1239="",$B1239=""),"",IF(ISNUMBER($A1239),INT(MOD($A1239,10000)/100),IFERROR(VALUE(TRIM(LEFT(MID($A1239,FIND("/",$A1239)+1,20),FIND("/",MID($A1239,FIND("/",$A1239)+1,20))-1))),"")))</f>
        <v/>
      </c>
      <c r="D1239">
        <f>IF(OR($A1239="",$B1239=""),"",IF(ISNUMBER($A1239),MOD($A1239,100),IFERROR(VALUE(TRIM(MID(MID($A1239,FIND("/",$A1239)+1,20),FIND("/",MID($A1239,FIND("/",$A1239)+1,20))+1,20))),"")))</f>
        <v/>
      </c>
      <c r="E1239">
        <f>IF($A1239="","",IF(OR($B1239="",$C1239="",$D1239="",$B1239&lt;1300,$B1239&gt;1500,$C1239&lt;1,$C1239&gt;12,$D1239&lt;1,$D1239&gt;31),"نامعتبر",RIGHT("0000"&amp;$B1239,4)&amp;"/"&amp;RIGHT("00"&amp;$C1239,2)&amp;"/"&amp;RIGHT("00"&amp;$D1239,2)))</f>
        <v/>
      </c>
      <c r="F1239">
        <f>IF(OR($E1239="",$E1239="نامعتبر"),"",IF(Sync!$Q1236="","0000",IF(AND(ISNUMBER(Sync!$Q1236),Sync!$Q1236&gt;=0,Sync!$Q1236&lt;1),RIGHT("00"&amp;HOUR(Sync!$Q1236),2)&amp;RIGHT("00"&amp;MINUTE(Sync!$Q1236),2),IFERROR(RIGHT("00"&amp;VALUE(LEFT(Sync!$Q1236,FIND(":",Sync!$Q1236)-1)),2)&amp;RIGHT("00"&amp;VALUE(MID(Sync!$Q1236,FIND(":",Sync!$Q1236)+1,2)),2),"0000"))))</f>
        <v/>
      </c>
      <c r="G1239">
        <f>IF(OR($E1239="",$E1239="نامعتبر"),"",IF(Sync!$S1236="","",Sync!$S1236))</f>
        <v/>
      </c>
      <c r="H1239">
        <f>IF(OR($E1239="",$E1239="نامعتبر"),"",IF(Sync!$R1236="","",Sync!$R1236))</f>
        <v/>
      </c>
      <c r="I1239">
        <f>IF(OR($E1239="",$E1239="نامعتبر"),"",IF(Sync!$T1236="","",Sync!$T1236))</f>
        <v/>
      </c>
      <c r="J1239">
        <f>IF(OR($E1239="",$E1239="نامعتبر"),"",IF(Sync!$U1236="","",Sync!$U1236))</f>
        <v/>
      </c>
      <c r="K1239">
        <f>IF(OR($E1239="",$E1239="نامعتبر"),"",IF(Sync!$V1236="","",IFERROR(INDEX(SubCodes,MATCH(Sync!$V1236,SubTitles,0)),Sync!$V1236)))</f>
        <v/>
      </c>
      <c r="L1239">
        <f>IF(OR($E1239="",$E1239="نامعتبر"),"",IF(Sync!$W1236="",0,Sync!$W1236))</f>
        <v/>
      </c>
      <c r="M1239">
        <f>IF(OR($E1239="",$E1239="نامعتبر"),"",IF(Sync!$X1236="",0,Sync!$X1236))</f>
        <v/>
      </c>
      <c r="N1239">
        <f>IF(OR($E1239="",$E1239="نامعتبر"),"",IF(AND($J1239="هزینه",$K1239&lt;&gt;""),1,0))</f>
        <v/>
      </c>
      <c r="O1239">
        <f>IF($N1239=0,"",LEFT($E1239,4)&amp;MID($E1239,6,2)&amp;RIGHT($E1239,2)&amp;$F1239&amp;"|"&amp;"1"&amp;RIGHT("00000"&amp;1231,5))</f>
        <v/>
      </c>
      <c r="P1239">
        <f>IF($O1239="","",COUNTIFS(ExpSub,$K1239,ExpKey,"&lt;"&amp;$O1239)+1)</f>
        <v/>
      </c>
      <c r="Q1239">
        <f>IF($P1239="","",$K1239&amp;"|"&amp;RIGHT("000000"&amp;$P1239,6))</f>
        <v/>
      </c>
    </row>
    <row r="1240">
      <c r="A1240">
        <f>IF(Sync!$P1237="","",Sync!$P1237)</f>
        <v/>
      </c>
      <c r="B1240">
        <f>IF($A1240="","",IF(ISNUMBER($A1240),IF(AND($A1240&gt;=10000101,$A1240&lt;=99991231),INT($A1240/10000),""),IFERROR(VALUE(TRIM(LEFT($A1240,FIND("/",$A1240)-1))),"")))</f>
        <v/>
      </c>
      <c r="C1240">
        <f>IF(OR($A1240="",$B1240=""),"",IF(ISNUMBER($A1240),INT(MOD($A1240,10000)/100),IFERROR(VALUE(TRIM(LEFT(MID($A1240,FIND("/",$A1240)+1,20),FIND("/",MID($A1240,FIND("/",$A1240)+1,20))-1))),"")))</f>
        <v/>
      </c>
      <c r="D1240">
        <f>IF(OR($A1240="",$B1240=""),"",IF(ISNUMBER($A1240),MOD($A1240,100),IFERROR(VALUE(TRIM(MID(MID($A1240,FIND("/",$A1240)+1,20),FIND("/",MID($A1240,FIND("/",$A1240)+1,20))+1,20))),"")))</f>
        <v/>
      </c>
      <c r="E1240">
        <f>IF($A1240="","",IF(OR($B1240="",$C1240="",$D1240="",$B1240&lt;1300,$B1240&gt;1500,$C1240&lt;1,$C1240&gt;12,$D1240&lt;1,$D1240&gt;31),"نامعتبر",RIGHT("0000"&amp;$B1240,4)&amp;"/"&amp;RIGHT("00"&amp;$C1240,2)&amp;"/"&amp;RIGHT("00"&amp;$D1240,2)))</f>
        <v/>
      </c>
      <c r="F1240">
        <f>IF(OR($E1240="",$E1240="نامعتبر"),"",IF(Sync!$Q1237="","0000",IF(AND(ISNUMBER(Sync!$Q1237),Sync!$Q1237&gt;=0,Sync!$Q1237&lt;1),RIGHT("00"&amp;HOUR(Sync!$Q1237),2)&amp;RIGHT("00"&amp;MINUTE(Sync!$Q1237),2),IFERROR(RIGHT("00"&amp;VALUE(LEFT(Sync!$Q1237,FIND(":",Sync!$Q1237)-1)),2)&amp;RIGHT("00"&amp;VALUE(MID(Sync!$Q1237,FIND(":",Sync!$Q1237)+1,2)),2),"0000"))))</f>
        <v/>
      </c>
      <c r="G1240">
        <f>IF(OR($E1240="",$E1240="نامعتبر"),"",IF(Sync!$S1237="","",Sync!$S1237))</f>
        <v/>
      </c>
      <c r="H1240">
        <f>IF(OR($E1240="",$E1240="نامعتبر"),"",IF(Sync!$R1237="","",Sync!$R1237))</f>
        <v/>
      </c>
      <c r="I1240">
        <f>IF(OR($E1240="",$E1240="نامعتبر"),"",IF(Sync!$T1237="","",Sync!$T1237))</f>
        <v/>
      </c>
      <c r="J1240">
        <f>IF(OR($E1240="",$E1240="نامعتبر"),"",IF(Sync!$U1237="","",Sync!$U1237))</f>
        <v/>
      </c>
      <c r="K1240">
        <f>IF(OR($E1240="",$E1240="نامعتبر"),"",IF(Sync!$V1237="","",IFERROR(INDEX(SubCodes,MATCH(Sync!$V1237,SubTitles,0)),Sync!$V1237)))</f>
        <v/>
      </c>
      <c r="L1240">
        <f>IF(OR($E1240="",$E1240="نامعتبر"),"",IF(Sync!$W1237="",0,Sync!$W1237))</f>
        <v/>
      </c>
      <c r="M1240">
        <f>IF(OR($E1240="",$E1240="نامعتبر"),"",IF(Sync!$X1237="",0,Sync!$X1237))</f>
        <v/>
      </c>
      <c r="N1240">
        <f>IF(OR($E1240="",$E1240="نامعتبر"),"",IF(AND($J1240="هزینه",$K1240&lt;&gt;""),1,0))</f>
        <v/>
      </c>
      <c r="O1240">
        <f>IF($N1240=0,"",LEFT($E1240,4)&amp;MID($E1240,6,2)&amp;RIGHT($E1240,2)&amp;$F1240&amp;"|"&amp;"1"&amp;RIGHT("00000"&amp;1232,5))</f>
        <v/>
      </c>
      <c r="P1240">
        <f>IF($O1240="","",COUNTIFS(ExpSub,$K1240,ExpKey,"&lt;"&amp;$O1240)+1)</f>
        <v/>
      </c>
      <c r="Q1240">
        <f>IF($P1240="","",$K1240&amp;"|"&amp;RIGHT("000000"&amp;$P1240,6))</f>
        <v/>
      </c>
    </row>
    <row r="1241">
      <c r="A1241">
        <f>IF(Sync!$P1238="","",Sync!$P1238)</f>
        <v/>
      </c>
      <c r="B1241">
        <f>IF($A1241="","",IF(ISNUMBER($A1241),IF(AND($A1241&gt;=10000101,$A1241&lt;=99991231),INT($A1241/10000),""),IFERROR(VALUE(TRIM(LEFT($A1241,FIND("/",$A1241)-1))),"")))</f>
        <v/>
      </c>
      <c r="C1241">
        <f>IF(OR($A1241="",$B1241=""),"",IF(ISNUMBER($A1241),INT(MOD($A1241,10000)/100),IFERROR(VALUE(TRIM(LEFT(MID($A1241,FIND("/",$A1241)+1,20),FIND("/",MID($A1241,FIND("/",$A1241)+1,20))-1))),"")))</f>
        <v/>
      </c>
      <c r="D1241">
        <f>IF(OR($A1241="",$B1241=""),"",IF(ISNUMBER($A1241),MOD($A1241,100),IFERROR(VALUE(TRIM(MID(MID($A1241,FIND("/",$A1241)+1,20),FIND("/",MID($A1241,FIND("/",$A1241)+1,20))+1,20))),"")))</f>
        <v/>
      </c>
      <c r="E1241">
        <f>IF($A1241="","",IF(OR($B1241="",$C1241="",$D1241="",$B1241&lt;1300,$B1241&gt;1500,$C1241&lt;1,$C1241&gt;12,$D1241&lt;1,$D1241&gt;31),"نامعتبر",RIGHT("0000"&amp;$B1241,4)&amp;"/"&amp;RIGHT("00"&amp;$C1241,2)&amp;"/"&amp;RIGHT("00"&amp;$D1241,2)))</f>
        <v/>
      </c>
      <c r="F1241">
        <f>IF(OR($E1241="",$E1241="نامعتبر"),"",IF(Sync!$Q1238="","0000",IF(AND(ISNUMBER(Sync!$Q1238),Sync!$Q1238&gt;=0,Sync!$Q1238&lt;1),RIGHT("00"&amp;HOUR(Sync!$Q1238),2)&amp;RIGHT("00"&amp;MINUTE(Sync!$Q1238),2),IFERROR(RIGHT("00"&amp;VALUE(LEFT(Sync!$Q1238,FIND(":",Sync!$Q1238)-1)),2)&amp;RIGHT("00"&amp;VALUE(MID(Sync!$Q1238,FIND(":",Sync!$Q1238)+1,2)),2),"0000"))))</f>
        <v/>
      </c>
      <c r="G1241">
        <f>IF(OR($E1241="",$E1241="نامعتبر"),"",IF(Sync!$S1238="","",Sync!$S1238))</f>
        <v/>
      </c>
      <c r="H1241">
        <f>IF(OR($E1241="",$E1241="نامعتبر"),"",IF(Sync!$R1238="","",Sync!$R1238))</f>
        <v/>
      </c>
      <c r="I1241">
        <f>IF(OR($E1241="",$E1241="نامعتبر"),"",IF(Sync!$T1238="","",Sync!$T1238))</f>
        <v/>
      </c>
      <c r="J1241">
        <f>IF(OR($E1241="",$E1241="نامعتبر"),"",IF(Sync!$U1238="","",Sync!$U1238))</f>
        <v/>
      </c>
      <c r="K1241">
        <f>IF(OR($E1241="",$E1241="نامعتبر"),"",IF(Sync!$V1238="","",IFERROR(INDEX(SubCodes,MATCH(Sync!$V1238,SubTitles,0)),Sync!$V1238)))</f>
        <v/>
      </c>
      <c r="L1241">
        <f>IF(OR($E1241="",$E1241="نامعتبر"),"",IF(Sync!$W1238="",0,Sync!$W1238))</f>
        <v/>
      </c>
      <c r="M1241">
        <f>IF(OR($E1241="",$E1241="نامعتبر"),"",IF(Sync!$X1238="",0,Sync!$X1238))</f>
        <v/>
      </c>
      <c r="N1241">
        <f>IF(OR($E1241="",$E1241="نامعتبر"),"",IF(AND($J1241="هزینه",$K1241&lt;&gt;""),1,0))</f>
        <v/>
      </c>
      <c r="O1241">
        <f>IF($N1241=0,"",LEFT($E1241,4)&amp;MID($E1241,6,2)&amp;RIGHT($E1241,2)&amp;$F1241&amp;"|"&amp;"1"&amp;RIGHT("00000"&amp;1233,5))</f>
        <v/>
      </c>
      <c r="P1241">
        <f>IF($O1241="","",COUNTIFS(ExpSub,$K1241,ExpKey,"&lt;"&amp;$O1241)+1)</f>
        <v/>
      </c>
      <c r="Q1241">
        <f>IF($P1241="","",$K1241&amp;"|"&amp;RIGHT("000000"&amp;$P1241,6))</f>
        <v/>
      </c>
    </row>
    <row r="1242">
      <c r="A1242">
        <f>IF(Sync!$P1239="","",Sync!$P1239)</f>
        <v/>
      </c>
      <c r="B1242">
        <f>IF($A1242="","",IF(ISNUMBER($A1242),IF(AND($A1242&gt;=10000101,$A1242&lt;=99991231),INT($A1242/10000),""),IFERROR(VALUE(TRIM(LEFT($A1242,FIND("/",$A1242)-1))),"")))</f>
        <v/>
      </c>
      <c r="C1242">
        <f>IF(OR($A1242="",$B1242=""),"",IF(ISNUMBER($A1242),INT(MOD($A1242,10000)/100),IFERROR(VALUE(TRIM(LEFT(MID($A1242,FIND("/",$A1242)+1,20),FIND("/",MID($A1242,FIND("/",$A1242)+1,20))-1))),"")))</f>
        <v/>
      </c>
      <c r="D1242">
        <f>IF(OR($A1242="",$B1242=""),"",IF(ISNUMBER($A1242),MOD($A1242,100),IFERROR(VALUE(TRIM(MID(MID($A1242,FIND("/",$A1242)+1,20),FIND("/",MID($A1242,FIND("/",$A1242)+1,20))+1,20))),"")))</f>
        <v/>
      </c>
      <c r="E1242">
        <f>IF($A1242="","",IF(OR($B1242="",$C1242="",$D1242="",$B1242&lt;1300,$B1242&gt;1500,$C1242&lt;1,$C1242&gt;12,$D1242&lt;1,$D1242&gt;31),"نامعتبر",RIGHT("0000"&amp;$B1242,4)&amp;"/"&amp;RIGHT("00"&amp;$C1242,2)&amp;"/"&amp;RIGHT("00"&amp;$D1242,2)))</f>
        <v/>
      </c>
      <c r="F1242">
        <f>IF(OR($E1242="",$E1242="نامعتبر"),"",IF(Sync!$Q1239="","0000",IF(AND(ISNUMBER(Sync!$Q1239),Sync!$Q1239&gt;=0,Sync!$Q1239&lt;1),RIGHT("00"&amp;HOUR(Sync!$Q1239),2)&amp;RIGHT("00"&amp;MINUTE(Sync!$Q1239),2),IFERROR(RIGHT("00"&amp;VALUE(LEFT(Sync!$Q1239,FIND(":",Sync!$Q1239)-1)),2)&amp;RIGHT("00"&amp;VALUE(MID(Sync!$Q1239,FIND(":",Sync!$Q1239)+1,2)),2),"0000"))))</f>
        <v/>
      </c>
      <c r="G1242">
        <f>IF(OR($E1242="",$E1242="نامعتبر"),"",IF(Sync!$S1239="","",Sync!$S1239))</f>
        <v/>
      </c>
      <c r="H1242">
        <f>IF(OR($E1242="",$E1242="نامعتبر"),"",IF(Sync!$R1239="","",Sync!$R1239))</f>
        <v/>
      </c>
      <c r="I1242">
        <f>IF(OR($E1242="",$E1242="نامعتبر"),"",IF(Sync!$T1239="","",Sync!$T1239))</f>
        <v/>
      </c>
      <c r="J1242">
        <f>IF(OR($E1242="",$E1242="نامعتبر"),"",IF(Sync!$U1239="","",Sync!$U1239))</f>
        <v/>
      </c>
      <c r="K1242">
        <f>IF(OR($E1242="",$E1242="نامعتبر"),"",IF(Sync!$V1239="","",IFERROR(INDEX(SubCodes,MATCH(Sync!$V1239,SubTitles,0)),Sync!$V1239)))</f>
        <v/>
      </c>
      <c r="L1242">
        <f>IF(OR($E1242="",$E1242="نامعتبر"),"",IF(Sync!$W1239="",0,Sync!$W1239))</f>
        <v/>
      </c>
      <c r="M1242">
        <f>IF(OR($E1242="",$E1242="نامعتبر"),"",IF(Sync!$X1239="",0,Sync!$X1239))</f>
        <v/>
      </c>
      <c r="N1242">
        <f>IF(OR($E1242="",$E1242="نامعتبر"),"",IF(AND($J1242="هزینه",$K1242&lt;&gt;""),1,0))</f>
        <v/>
      </c>
      <c r="O1242">
        <f>IF($N1242=0,"",LEFT($E1242,4)&amp;MID($E1242,6,2)&amp;RIGHT($E1242,2)&amp;$F1242&amp;"|"&amp;"1"&amp;RIGHT("00000"&amp;1234,5))</f>
        <v/>
      </c>
      <c r="P1242">
        <f>IF($O1242="","",COUNTIFS(ExpSub,$K1242,ExpKey,"&lt;"&amp;$O1242)+1)</f>
        <v/>
      </c>
      <c r="Q1242">
        <f>IF($P1242="","",$K1242&amp;"|"&amp;RIGHT("000000"&amp;$P1242,6))</f>
        <v/>
      </c>
    </row>
    <row r="1243">
      <c r="A1243">
        <f>IF(Sync!$P1240="","",Sync!$P1240)</f>
        <v/>
      </c>
      <c r="B1243">
        <f>IF($A1243="","",IF(ISNUMBER($A1243),IF(AND($A1243&gt;=10000101,$A1243&lt;=99991231),INT($A1243/10000),""),IFERROR(VALUE(TRIM(LEFT($A1243,FIND("/",$A1243)-1))),"")))</f>
        <v/>
      </c>
      <c r="C1243">
        <f>IF(OR($A1243="",$B1243=""),"",IF(ISNUMBER($A1243),INT(MOD($A1243,10000)/100),IFERROR(VALUE(TRIM(LEFT(MID($A1243,FIND("/",$A1243)+1,20),FIND("/",MID($A1243,FIND("/",$A1243)+1,20))-1))),"")))</f>
        <v/>
      </c>
      <c r="D1243">
        <f>IF(OR($A1243="",$B1243=""),"",IF(ISNUMBER($A1243),MOD($A1243,100),IFERROR(VALUE(TRIM(MID(MID($A1243,FIND("/",$A1243)+1,20),FIND("/",MID($A1243,FIND("/",$A1243)+1,20))+1,20))),"")))</f>
        <v/>
      </c>
      <c r="E1243">
        <f>IF($A1243="","",IF(OR($B1243="",$C1243="",$D1243="",$B1243&lt;1300,$B1243&gt;1500,$C1243&lt;1,$C1243&gt;12,$D1243&lt;1,$D1243&gt;31),"نامعتبر",RIGHT("0000"&amp;$B1243,4)&amp;"/"&amp;RIGHT("00"&amp;$C1243,2)&amp;"/"&amp;RIGHT("00"&amp;$D1243,2)))</f>
        <v/>
      </c>
      <c r="F1243">
        <f>IF(OR($E1243="",$E1243="نامعتبر"),"",IF(Sync!$Q1240="","0000",IF(AND(ISNUMBER(Sync!$Q1240),Sync!$Q1240&gt;=0,Sync!$Q1240&lt;1),RIGHT("00"&amp;HOUR(Sync!$Q1240),2)&amp;RIGHT("00"&amp;MINUTE(Sync!$Q1240),2),IFERROR(RIGHT("00"&amp;VALUE(LEFT(Sync!$Q1240,FIND(":",Sync!$Q1240)-1)),2)&amp;RIGHT("00"&amp;VALUE(MID(Sync!$Q1240,FIND(":",Sync!$Q1240)+1,2)),2),"0000"))))</f>
        <v/>
      </c>
      <c r="G1243">
        <f>IF(OR($E1243="",$E1243="نامعتبر"),"",IF(Sync!$S1240="","",Sync!$S1240))</f>
        <v/>
      </c>
      <c r="H1243">
        <f>IF(OR($E1243="",$E1243="نامعتبر"),"",IF(Sync!$R1240="","",Sync!$R1240))</f>
        <v/>
      </c>
      <c r="I1243">
        <f>IF(OR($E1243="",$E1243="نامعتبر"),"",IF(Sync!$T1240="","",Sync!$T1240))</f>
        <v/>
      </c>
      <c r="J1243">
        <f>IF(OR($E1243="",$E1243="نامعتبر"),"",IF(Sync!$U1240="","",Sync!$U1240))</f>
        <v/>
      </c>
      <c r="K1243">
        <f>IF(OR($E1243="",$E1243="نامعتبر"),"",IF(Sync!$V1240="","",IFERROR(INDEX(SubCodes,MATCH(Sync!$V1240,SubTitles,0)),Sync!$V1240)))</f>
        <v/>
      </c>
      <c r="L1243">
        <f>IF(OR($E1243="",$E1243="نامعتبر"),"",IF(Sync!$W1240="",0,Sync!$W1240))</f>
        <v/>
      </c>
      <c r="M1243">
        <f>IF(OR($E1243="",$E1243="نامعتبر"),"",IF(Sync!$X1240="",0,Sync!$X1240))</f>
        <v/>
      </c>
      <c r="N1243">
        <f>IF(OR($E1243="",$E1243="نامعتبر"),"",IF(AND($J1243="هزینه",$K1243&lt;&gt;""),1,0))</f>
        <v/>
      </c>
      <c r="O1243">
        <f>IF($N1243=0,"",LEFT($E1243,4)&amp;MID($E1243,6,2)&amp;RIGHT($E1243,2)&amp;$F1243&amp;"|"&amp;"1"&amp;RIGHT("00000"&amp;1235,5))</f>
        <v/>
      </c>
      <c r="P1243">
        <f>IF($O1243="","",COUNTIFS(ExpSub,$K1243,ExpKey,"&lt;"&amp;$O1243)+1)</f>
        <v/>
      </c>
      <c r="Q1243">
        <f>IF($P1243="","",$K1243&amp;"|"&amp;RIGHT("000000"&amp;$P1243,6))</f>
        <v/>
      </c>
    </row>
    <row r="1244">
      <c r="A1244">
        <f>IF(Sync!$P1241="","",Sync!$P1241)</f>
        <v/>
      </c>
      <c r="B1244">
        <f>IF($A1244="","",IF(ISNUMBER($A1244),IF(AND($A1244&gt;=10000101,$A1244&lt;=99991231),INT($A1244/10000),""),IFERROR(VALUE(TRIM(LEFT($A1244,FIND("/",$A1244)-1))),"")))</f>
        <v/>
      </c>
      <c r="C1244">
        <f>IF(OR($A1244="",$B1244=""),"",IF(ISNUMBER($A1244),INT(MOD($A1244,10000)/100),IFERROR(VALUE(TRIM(LEFT(MID($A1244,FIND("/",$A1244)+1,20),FIND("/",MID($A1244,FIND("/",$A1244)+1,20))-1))),"")))</f>
        <v/>
      </c>
      <c r="D1244">
        <f>IF(OR($A1244="",$B1244=""),"",IF(ISNUMBER($A1244),MOD($A1244,100),IFERROR(VALUE(TRIM(MID(MID($A1244,FIND("/",$A1244)+1,20),FIND("/",MID($A1244,FIND("/",$A1244)+1,20))+1,20))),"")))</f>
        <v/>
      </c>
      <c r="E1244">
        <f>IF($A1244="","",IF(OR($B1244="",$C1244="",$D1244="",$B1244&lt;1300,$B1244&gt;1500,$C1244&lt;1,$C1244&gt;12,$D1244&lt;1,$D1244&gt;31),"نامعتبر",RIGHT("0000"&amp;$B1244,4)&amp;"/"&amp;RIGHT("00"&amp;$C1244,2)&amp;"/"&amp;RIGHT("00"&amp;$D1244,2)))</f>
        <v/>
      </c>
      <c r="F1244">
        <f>IF(OR($E1244="",$E1244="نامعتبر"),"",IF(Sync!$Q1241="","0000",IF(AND(ISNUMBER(Sync!$Q1241),Sync!$Q1241&gt;=0,Sync!$Q1241&lt;1),RIGHT("00"&amp;HOUR(Sync!$Q1241),2)&amp;RIGHT("00"&amp;MINUTE(Sync!$Q1241),2),IFERROR(RIGHT("00"&amp;VALUE(LEFT(Sync!$Q1241,FIND(":",Sync!$Q1241)-1)),2)&amp;RIGHT("00"&amp;VALUE(MID(Sync!$Q1241,FIND(":",Sync!$Q1241)+1,2)),2),"0000"))))</f>
        <v/>
      </c>
      <c r="G1244">
        <f>IF(OR($E1244="",$E1244="نامعتبر"),"",IF(Sync!$S1241="","",Sync!$S1241))</f>
        <v/>
      </c>
      <c r="H1244">
        <f>IF(OR($E1244="",$E1244="نامعتبر"),"",IF(Sync!$R1241="","",Sync!$R1241))</f>
        <v/>
      </c>
      <c r="I1244">
        <f>IF(OR($E1244="",$E1244="نامعتبر"),"",IF(Sync!$T1241="","",Sync!$T1241))</f>
        <v/>
      </c>
      <c r="J1244">
        <f>IF(OR($E1244="",$E1244="نامعتبر"),"",IF(Sync!$U1241="","",Sync!$U1241))</f>
        <v/>
      </c>
      <c r="K1244">
        <f>IF(OR($E1244="",$E1244="نامعتبر"),"",IF(Sync!$V1241="","",IFERROR(INDEX(SubCodes,MATCH(Sync!$V1241,SubTitles,0)),Sync!$V1241)))</f>
        <v/>
      </c>
      <c r="L1244">
        <f>IF(OR($E1244="",$E1244="نامعتبر"),"",IF(Sync!$W1241="",0,Sync!$W1241))</f>
        <v/>
      </c>
      <c r="M1244">
        <f>IF(OR($E1244="",$E1244="نامعتبر"),"",IF(Sync!$X1241="",0,Sync!$X1241))</f>
        <v/>
      </c>
      <c r="N1244">
        <f>IF(OR($E1244="",$E1244="نامعتبر"),"",IF(AND($J1244="هزینه",$K1244&lt;&gt;""),1,0))</f>
        <v/>
      </c>
      <c r="O1244">
        <f>IF($N1244=0,"",LEFT($E1244,4)&amp;MID($E1244,6,2)&amp;RIGHT($E1244,2)&amp;$F1244&amp;"|"&amp;"1"&amp;RIGHT("00000"&amp;1236,5))</f>
        <v/>
      </c>
      <c r="P1244">
        <f>IF($O1244="","",COUNTIFS(ExpSub,$K1244,ExpKey,"&lt;"&amp;$O1244)+1)</f>
        <v/>
      </c>
      <c r="Q1244">
        <f>IF($P1244="","",$K1244&amp;"|"&amp;RIGHT("000000"&amp;$P1244,6))</f>
        <v/>
      </c>
    </row>
    <row r="1245">
      <c r="A1245">
        <f>IF(Sync!$P1242="","",Sync!$P1242)</f>
        <v/>
      </c>
      <c r="B1245">
        <f>IF($A1245="","",IF(ISNUMBER($A1245),IF(AND($A1245&gt;=10000101,$A1245&lt;=99991231),INT($A1245/10000),""),IFERROR(VALUE(TRIM(LEFT($A1245,FIND("/",$A1245)-1))),"")))</f>
        <v/>
      </c>
      <c r="C1245">
        <f>IF(OR($A1245="",$B1245=""),"",IF(ISNUMBER($A1245),INT(MOD($A1245,10000)/100),IFERROR(VALUE(TRIM(LEFT(MID($A1245,FIND("/",$A1245)+1,20),FIND("/",MID($A1245,FIND("/",$A1245)+1,20))-1))),"")))</f>
        <v/>
      </c>
      <c r="D1245">
        <f>IF(OR($A1245="",$B1245=""),"",IF(ISNUMBER($A1245),MOD($A1245,100),IFERROR(VALUE(TRIM(MID(MID($A1245,FIND("/",$A1245)+1,20),FIND("/",MID($A1245,FIND("/",$A1245)+1,20))+1,20))),"")))</f>
        <v/>
      </c>
      <c r="E1245">
        <f>IF($A1245="","",IF(OR($B1245="",$C1245="",$D1245="",$B1245&lt;1300,$B1245&gt;1500,$C1245&lt;1,$C1245&gt;12,$D1245&lt;1,$D1245&gt;31),"نامعتبر",RIGHT("0000"&amp;$B1245,4)&amp;"/"&amp;RIGHT("00"&amp;$C1245,2)&amp;"/"&amp;RIGHT("00"&amp;$D1245,2)))</f>
        <v/>
      </c>
      <c r="F1245">
        <f>IF(OR($E1245="",$E1245="نامعتبر"),"",IF(Sync!$Q1242="","0000",IF(AND(ISNUMBER(Sync!$Q1242),Sync!$Q1242&gt;=0,Sync!$Q1242&lt;1),RIGHT("00"&amp;HOUR(Sync!$Q1242),2)&amp;RIGHT("00"&amp;MINUTE(Sync!$Q1242),2),IFERROR(RIGHT("00"&amp;VALUE(LEFT(Sync!$Q1242,FIND(":",Sync!$Q1242)-1)),2)&amp;RIGHT("00"&amp;VALUE(MID(Sync!$Q1242,FIND(":",Sync!$Q1242)+1,2)),2),"0000"))))</f>
        <v/>
      </c>
      <c r="G1245">
        <f>IF(OR($E1245="",$E1245="نامعتبر"),"",IF(Sync!$S1242="","",Sync!$S1242))</f>
        <v/>
      </c>
      <c r="H1245">
        <f>IF(OR($E1245="",$E1245="نامعتبر"),"",IF(Sync!$R1242="","",Sync!$R1242))</f>
        <v/>
      </c>
      <c r="I1245">
        <f>IF(OR($E1245="",$E1245="نامعتبر"),"",IF(Sync!$T1242="","",Sync!$T1242))</f>
        <v/>
      </c>
      <c r="J1245">
        <f>IF(OR($E1245="",$E1245="نامعتبر"),"",IF(Sync!$U1242="","",Sync!$U1242))</f>
        <v/>
      </c>
      <c r="K1245">
        <f>IF(OR($E1245="",$E1245="نامعتبر"),"",IF(Sync!$V1242="","",IFERROR(INDEX(SubCodes,MATCH(Sync!$V1242,SubTitles,0)),Sync!$V1242)))</f>
        <v/>
      </c>
      <c r="L1245">
        <f>IF(OR($E1245="",$E1245="نامعتبر"),"",IF(Sync!$W1242="",0,Sync!$W1242))</f>
        <v/>
      </c>
      <c r="M1245">
        <f>IF(OR($E1245="",$E1245="نامعتبر"),"",IF(Sync!$X1242="",0,Sync!$X1242))</f>
        <v/>
      </c>
      <c r="N1245">
        <f>IF(OR($E1245="",$E1245="نامعتبر"),"",IF(AND($J1245="هزینه",$K1245&lt;&gt;""),1,0))</f>
        <v/>
      </c>
      <c r="O1245">
        <f>IF($N1245=0,"",LEFT($E1245,4)&amp;MID($E1245,6,2)&amp;RIGHT($E1245,2)&amp;$F1245&amp;"|"&amp;"1"&amp;RIGHT("00000"&amp;1237,5))</f>
        <v/>
      </c>
      <c r="P1245">
        <f>IF($O1245="","",COUNTIFS(ExpSub,$K1245,ExpKey,"&lt;"&amp;$O1245)+1)</f>
        <v/>
      </c>
      <c r="Q1245">
        <f>IF($P1245="","",$K1245&amp;"|"&amp;RIGHT("000000"&amp;$P1245,6))</f>
        <v/>
      </c>
    </row>
    <row r="1246">
      <c r="A1246">
        <f>IF(Sync!$P1243="","",Sync!$P1243)</f>
        <v/>
      </c>
      <c r="B1246">
        <f>IF($A1246="","",IF(ISNUMBER($A1246),IF(AND($A1246&gt;=10000101,$A1246&lt;=99991231),INT($A1246/10000),""),IFERROR(VALUE(TRIM(LEFT($A1246,FIND("/",$A1246)-1))),"")))</f>
        <v/>
      </c>
      <c r="C1246">
        <f>IF(OR($A1246="",$B1246=""),"",IF(ISNUMBER($A1246),INT(MOD($A1246,10000)/100),IFERROR(VALUE(TRIM(LEFT(MID($A1246,FIND("/",$A1246)+1,20),FIND("/",MID($A1246,FIND("/",$A1246)+1,20))-1))),"")))</f>
        <v/>
      </c>
      <c r="D1246">
        <f>IF(OR($A1246="",$B1246=""),"",IF(ISNUMBER($A1246),MOD($A1246,100),IFERROR(VALUE(TRIM(MID(MID($A1246,FIND("/",$A1246)+1,20),FIND("/",MID($A1246,FIND("/",$A1246)+1,20))+1,20))),"")))</f>
        <v/>
      </c>
      <c r="E1246">
        <f>IF($A1246="","",IF(OR($B1246="",$C1246="",$D1246="",$B1246&lt;1300,$B1246&gt;1500,$C1246&lt;1,$C1246&gt;12,$D1246&lt;1,$D1246&gt;31),"نامعتبر",RIGHT("0000"&amp;$B1246,4)&amp;"/"&amp;RIGHT("00"&amp;$C1246,2)&amp;"/"&amp;RIGHT("00"&amp;$D1246,2)))</f>
        <v/>
      </c>
      <c r="F1246">
        <f>IF(OR($E1246="",$E1246="نامعتبر"),"",IF(Sync!$Q1243="","0000",IF(AND(ISNUMBER(Sync!$Q1243),Sync!$Q1243&gt;=0,Sync!$Q1243&lt;1),RIGHT("00"&amp;HOUR(Sync!$Q1243),2)&amp;RIGHT("00"&amp;MINUTE(Sync!$Q1243),2),IFERROR(RIGHT("00"&amp;VALUE(LEFT(Sync!$Q1243,FIND(":",Sync!$Q1243)-1)),2)&amp;RIGHT("00"&amp;VALUE(MID(Sync!$Q1243,FIND(":",Sync!$Q1243)+1,2)),2),"0000"))))</f>
        <v/>
      </c>
      <c r="G1246">
        <f>IF(OR($E1246="",$E1246="نامعتبر"),"",IF(Sync!$S1243="","",Sync!$S1243))</f>
        <v/>
      </c>
      <c r="H1246">
        <f>IF(OR($E1246="",$E1246="نامعتبر"),"",IF(Sync!$R1243="","",Sync!$R1243))</f>
        <v/>
      </c>
      <c r="I1246">
        <f>IF(OR($E1246="",$E1246="نامعتبر"),"",IF(Sync!$T1243="","",Sync!$T1243))</f>
        <v/>
      </c>
      <c r="J1246">
        <f>IF(OR($E1246="",$E1246="نامعتبر"),"",IF(Sync!$U1243="","",Sync!$U1243))</f>
        <v/>
      </c>
      <c r="K1246">
        <f>IF(OR($E1246="",$E1246="نامعتبر"),"",IF(Sync!$V1243="","",IFERROR(INDEX(SubCodes,MATCH(Sync!$V1243,SubTitles,0)),Sync!$V1243)))</f>
        <v/>
      </c>
      <c r="L1246">
        <f>IF(OR($E1246="",$E1246="نامعتبر"),"",IF(Sync!$W1243="",0,Sync!$W1243))</f>
        <v/>
      </c>
      <c r="M1246">
        <f>IF(OR($E1246="",$E1246="نامعتبر"),"",IF(Sync!$X1243="",0,Sync!$X1243))</f>
        <v/>
      </c>
      <c r="N1246">
        <f>IF(OR($E1246="",$E1246="نامعتبر"),"",IF(AND($J1246="هزینه",$K1246&lt;&gt;""),1,0))</f>
        <v/>
      </c>
      <c r="O1246">
        <f>IF($N1246=0,"",LEFT($E1246,4)&amp;MID($E1246,6,2)&amp;RIGHT($E1246,2)&amp;$F1246&amp;"|"&amp;"1"&amp;RIGHT("00000"&amp;1238,5))</f>
        <v/>
      </c>
      <c r="P1246">
        <f>IF($O1246="","",COUNTIFS(ExpSub,$K1246,ExpKey,"&lt;"&amp;$O1246)+1)</f>
        <v/>
      </c>
      <c r="Q1246">
        <f>IF($P1246="","",$K1246&amp;"|"&amp;RIGHT("000000"&amp;$P1246,6))</f>
        <v/>
      </c>
    </row>
    <row r="1247">
      <c r="A1247">
        <f>IF(Sync!$P1244="","",Sync!$P1244)</f>
        <v/>
      </c>
      <c r="B1247">
        <f>IF($A1247="","",IF(ISNUMBER($A1247),IF(AND($A1247&gt;=10000101,$A1247&lt;=99991231),INT($A1247/10000),""),IFERROR(VALUE(TRIM(LEFT($A1247,FIND("/",$A1247)-1))),"")))</f>
        <v/>
      </c>
      <c r="C1247">
        <f>IF(OR($A1247="",$B1247=""),"",IF(ISNUMBER($A1247),INT(MOD($A1247,10000)/100),IFERROR(VALUE(TRIM(LEFT(MID($A1247,FIND("/",$A1247)+1,20),FIND("/",MID($A1247,FIND("/",$A1247)+1,20))-1))),"")))</f>
        <v/>
      </c>
      <c r="D1247">
        <f>IF(OR($A1247="",$B1247=""),"",IF(ISNUMBER($A1247),MOD($A1247,100),IFERROR(VALUE(TRIM(MID(MID($A1247,FIND("/",$A1247)+1,20),FIND("/",MID($A1247,FIND("/",$A1247)+1,20))+1,20))),"")))</f>
        <v/>
      </c>
      <c r="E1247">
        <f>IF($A1247="","",IF(OR($B1247="",$C1247="",$D1247="",$B1247&lt;1300,$B1247&gt;1500,$C1247&lt;1,$C1247&gt;12,$D1247&lt;1,$D1247&gt;31),"نامعتبر",RIGHT("0000"&amp;$B1247,4)&amp;"/"&amp;RIGHT("00"&amp;$C1247,2)&amp;"/"&amp;RIGHT("00"&amp;$D1247,2)))</f>
        <v/>
      </c>
      <c r="F1247">
        <f>IF(OR($E1247="",$E1247="نامعتبر"),"",IF(Sync!$Q1244="","0000",IF(AND(ISNUMBER(Sync!$Q1244),Sync!$Q1244&gt;=0,Sync!$Q1244&lt;1),RIGHT("00"&amp;HOUR(Sync!$Q1244),2)&amp;RIGHT("00"&amp;MINUTE(Sync!$Q1244),2),IFERROR(RIGHT("00"&amp;VALUE(LEFT(Sync!$Q1244,FIND(":",Sync!$Q1244)-1)),2)&amp;RIGHT("00"&amp;VALUE(MID(Sync!$Q1244,FIND(":",Sync!$Q1244)+1,2)),2),"0000"))))</f>
        <v/>
      </c>
      <c r="G1247">
        <f>IF(OR($E1247="",$E1247="نامعتبر"),"",IF(Sync!$S1244="","",Sync!$S1244))</f>
        <v/>
      </c>
      <c r="H1247">
        <f>IF(OR($E1247="",$E1247="نامعتبر"),"",IF(Sync!$R1244="","",Sync!$R1244))</f>
        <v/>
      </c>
      <c r="I1247">
        <f>IF(OR($E1247="",$E1247="نامعتبر"),"",IF(Sync!$T1244="","",Sync!$T1244))</f>
        <v/>
      </c>
      <c r="J1247">
        <f>IF(OR($E1247="",$E1247="نامعتبر"),"",IF(Sync!$U1244="","",Sync!$U1244))</f>
        <v/>
      </c>
      <c r="K1247">
        <f>IF(OR($E1247="",$E1247="نامعتبر"),"",IF(Sync!$V1244="","",IFERROR(INDEX(SubCodes,MATCH(Sync!$V1244,SubTitles,0)),Sync!$V1244)))</f>
        <v/>
      </c>
      <c r="L1247">
        <f>IF(OR($E1247="",$E1247="نامعتبر"),"",IF(Sync!$W1244="",0,Sync!$W1244))</f>
        <v/>
      </c>
      <c r="M1247">
        <f>IF(OR($E1247="",$E1247="نامعتبر"),"",IF(Sync!$X1244="",0,Sync!$X1244))</f>
        <v/>
      </c>
      <c r="N1247">
        <f>IF(OR($E1247="",$E1247="نامعتبر"),"",IF(AND($J1247="هزینه",$K1247&lt;&gt;""),1,0))</f>
        <v/>
      </c>
      <c r="O1247">
        <f>IF($N1247=0,"",LEFT($E1247,4)&amp;MID($E1247,6,2)&amp;RIGHT($E1247,2)&amp;$F1247&amp;"|"&amp;"1"&amp;RIGHT("00000"&amp;1239,5))</f>
        <v/>
      </c>
      <c r="P1247">
        <f>IF($O1247="","",COUNTIFS(ExpSub,$K1247,ExpKey,"&lt;"&amp;$O1247)+1)</f>
        <v/>
      </c>
      <c r="Q1247">
        <f>IF($P1247="","",$K1247&amp;"|"&amp;RIGHT("000000"&amp;$P1247,6))</f>
        <v/>
      </c>
    </row>
    <row r="1248">
      <c r="A1248">
        <f>IF(Sync!$P1245="","",Sync!$P1245)</f>
        <v/>
      </c>
      <c r="B1248">
        <f>IF($A1248="","",IF(ISNUMBER($A1248),IF(AND($A1248&gt;=10000101,$A1248&lt;=99991231),INT($A1248/10000),""),IFERROR(VALUE(TRIM(LEFT($A1248,FIND("/",$A1248)-1))),"")))</f>
        <v/>
      </c>
      <c r="C1248">
        <f>IF(OR($A1248="",$B1248=""),"",IF(ISNUMBER($A1248),INT(MOD($A1248,10000)/100),IFERROR(VALUE(TRIM(LEFT(MID($A1248,FIND("/",$A1248)+1,20),FIND("/",MID($A1248,FIND("/",$A1248)+1,20))-1))),"")))</f>
        <v/>
      </c>
      <c r="D1248">
        <f>IF(OR($A1248="",$B1248=""),"",IF(ISNUMBER($A1248),MOD($A1248,100),IFERROR(VALUE(TRIM(MID(MID($A1248,FIND("/",$A1248)+1,20),FIND("/",MID($A1248,FIND("/",$A1248)+1,20))+1,20))),"")))</f>
        <v/>
      </c>
      <c r="E1248">
        <f>IF($A1248="","",IF(OR($B1248="",$C1248="",$D1248="",$B1248&lt;1300,$B1248&gt;1500,$C1248&lt;1,$C1248&gt;12,$D1248&lt;1,$D1248&gt;31),"نامعتبر",RIGHT("0000"&amp;$B1248,4)&amp;"/"&amp;RIGHT("00"&amp;$C1248,2)&amp;"/"&amp;RIGHT("00"&amp;$D1248,2)))</f>
        <v/>
      </c>
      <c r="F1248">
        <f>IF(OR($E1248="",$E1248="نامعتبر"),"",IF(Sync!$Q1245="","0000",IF(AND(ISNUMBER(Sync!$Q1245),Sync!$Q1245&gt;=0,Sync!$Q1245&lt;1),RIGHT("00"&amp;HOUR(Sync!$Q1245),2)&amp;RIGHT("00"&amp;MINUTE(Sync!$Q1245),2),IFERROR(RIGHT("00"&amp;VALUE(LEFT(Sync!$Q1245,FIND(":",Sync!$Q1245)-1)),2)&amp;RIGHT("00"&amp;VALUE(MID(Sync!$Q1245,FIND(":",Sync!$Q1245)+1,2)),2),"0000"))))</f>
        <v/>
      </c>
      <c r="G1248">
        <f>IF(OR($E1248="",$E1248="نامعتبر"),"",IF(Sync!$S1245="","",Sync!$S1245))</f>
        <v/>
      </c>
      <c r="H1248">
        <f>IF(OR($E1248="",$E1248="نامعتبر"),"",IF(Sync!$R1245="","",Sync!$R1245))</f>
        <v/>
      </c>
      <c r="I1248">
        <f>IF(OR($E1248="",$E1248="نامعتبر"),"",IF(Sync!$T1245="","",Sync!$T1245))</f>
        <v/>
      </c>
      <c r="J1248">
        <f>IF(OR($E1248="",$E1248="نامعتبر"),"",IF(Sync!$U1245="","",Sync!$U1245))</f>
        <v/>
      </c>
      <c r="K1248">
        <f>IF(OR($E1248="",$E1248="نامعتبر"),"",IF(Sync!$V1245="","",IFERROR(INDEX(SubCodes,MATCH(Sync!$V1245,SubTitles,0)),Sync!$V1245)))</f>
        <v/>
      </c>
      <c r="L1248">
        <f>IF(OR($E1248="",$E1248="نامعتبر"),"",IF(Sync!$W1245="",0,Sync!$W1245))</f>
        <v/>
      </c>
      <c r="M1248">
        <f>IF(OR($E1248="",$E1248="نامعتبر"),"",IF(Sync!$X1245="",0,Sync!$X1245))</f>
        <v/>
      </c>
      <c r="N1248">
        <f>IF(OR($E1248="",$E1248="نامعتبر"),"",IF(AND($J1248="هزینه",$K1248&lt;&gt;""),1,0))</f>
        <v/>
      </c>
      <c r="O1248">
        <f>IF($N1248=0,"",LEFT($E1248,4)&amp;MID($E1248,6,2)&amp;RIGHT($E1248,2)&amp;$F1248&amp;"|"&amp;"1"&amp;RIGHT("00000"&amp;1240,5))</f>
        <v/>
      </c>
      <c r="P1248">
        <f>IF($O1248="","",COUNTIFS(ExpSub,$K1248,ExpKey,"&lt;"&amp;$O1248)+1)</f>
        <v/>
      </c>
      <c r="Q1248">
        <f>IF($P1248="","",$K1248&amp;"|"&amp;RIGHT("000000"&amp;$P1248,6))</f>
        <v/>
      </c>
    </row>
    <row r="1249">
      <c r="A1249">
        <f>IF(Sync!$P1246="","",Sync!$P1246)</f>
        <v/>
      </c>
      <c r="B1249">
        <f>IF($A1249="","",IF(ISNUMBER($A1249),IF(AND($A1249&gt;=10000101,$A1249&lt;=99991231),INT($A1249/10000),""),IFERROR(VALUE(TRIM(LEFT($A1249,FIND("/",$A1249)-1))),"")))</f>
        <v/>
      </c>
      <c r="C1249">
        <f>IF(OR($A1249="",$B1249=""),"",IF(ISNUMBER($A1249),INT(MOD($A1249,10000)/100),IFERROR(VALUE(TRIM(LEFT(MID($A1249,FIND("/",$A1249)+1,20),FIND("/",MID($A1249,FIND("/",$A1249)+1,20))-1))),"")))</f>
        <v/>
      </c>
      <c r="D1249">
        <f>IF(OR($A1249="",$B1249=""),"",IF(ISNUMBER($A1249),MOD($A1249,100),IFERROR(VALUE(TRIM(MID(MID($A1249,FIND("/",$A1249)+1,20),FIND("/",MID($A1249,FIND("/",$A1249)+1,20))+1,20))),"")))</f>
        <v/>
      </c>
      <c r="E1249">
        <f>IF($A1249="","",IF(OR($B1249="",$C1249="",$D1249="",$B1249&lt;1300,$B1249&gt;1500,$C1249&lt;1,$C1249&gt;12,$D1249&lt;1,$D1249&gt;31),"نامعتبر",RIGHT("0000"&amp;$B1249,4)&amp;"/"&amp;RIGHT("00"&amp;$C1249,2)&amp;"/"&amp;RIGHT("00"&amp;$D1249,2)))</f>
        <v/>
      </c>
      <c r="F1249">
        <f>IF(OR($E1249="",$E1249="نامعتبر"),"",IF(Sync!$Q1246="","0000",IF(AND(ISNUMBER(Sync!$Q1246),Sync!$Q1246&gt;=0,Sync!$Q1246&lt;1),RIGHT("00"&amp;HOUR(Sync!$Q1246),2)&amp;RIGHT("00"&amp;MINUTE(Sync!$Q1246),2),IFERROR(RIGHT("00"&amp;VALUE(LEFT(Sync!$Q1246,FIND(":",Sync!$Q1246)-1)),2)&amp;RIGHT("00"&amp;VALUE(MID(Sync!$Q1246,FIND(":",Sync!$Q1246)+1,2)),2),"0000"))))</f>
        <v/>
      </c>
      <c r="G1249">
        <f>IF(OR($E1249="",$E1249="نامعتبر"),"",IF(Sync!$S1246="","",Sync!$S1246))</f>
        <v/>
      </c>
      <c r="H1249">
        <f>IF(OR($E1249="",$E1249="نامعتبر"),"",IF(Sync!$R1246="","",Sync!$R1246))</f>
        <v/>
      </c>
      <c r="I1249">
        <f>IF(OR($E1249="",$E1249="نامعتبر"),"",IF(Sync!$T1246="","",Sync!$T1246))</f>
        <v/>
      </c>
      <c r="J1249">
        <f>IF(OR($E1249="",$E1249="نامعتبر"),"",IF(Sync!$U1246="","",Sync!$U1246))</f>
        <v/>
      </c>
      <c r="K1249">
        <f>IF(OR($E1249="",$E1249="نامعتبر"),"",IF(Sync!$V1246="","",IFERROR(INDEX(SubCodes,MATCH(Sync!$V1246,SubTitles,0)),Sync!$V1246)))</f>
        <v/>
      </c>
      <c r="L1249">
        <f>IF(OR($E1249="",$E1249="نامعتبر"),"",IF(Sync!$W1246="",0,Sync!$W1246))</f>
        <v/>
      </c>
      <c r="M1249">
        <f>IF(OR($E1249="",$E1249="نامعتبر"),"",IF(Sync!$X1246="",0,Sync!$X1246))</f>
        <v/>
      </c>
      <c r="N1249">
        <f>IF(OR($E1249="",$E1249="نامعتبر"),"",IF(AND($J1249="هزینه",$K1249&lt;&gt;""),1,0))</f>
        <v/>
      </c>
      <c r="O1249">
        <f>IF($N1249=0,"",LEFT($E1249,4)&amp;MID($E1249,6,2)&amp;RIGHT($E1249,2)&amp;$F1249&amp;"|"&amp;"1"&amp;RIGHT("00000"&amp;1241,5))</f>
        <v/>
      </c>
      <c r="P1249">
        <f>IF($O1249="","",COUNTIFS(ExpSub,$K1249,ExpKey,"&lt;"&amp;$O1249)+1)</f>
        <v/>
      </c>
      <c r="Q1249">
        <f>IF($P1249="","",$K1249&amp;"|"&amp;RIGHT("000000"&amp;$P1249,6))</f>
        <v/>
      </c>
    </row>
    <row r="1250">
      <c r="A1250">
        <f>IF(Sync!$P1247="","",Sync!$P1247)</f>
        <v/>
      </c>
      <c r="B1250">
        <f>IF($A1250="","",IF(ISNUMBER($A1250),IF(AND($A1250&gt;=10000101,$A1250&lt;=99991231),INT($A1250/10000),""),IFERROR(VALUE(TRIM(LEFT($A1250,FIND("/",$A1250)-1))),"")))</f>
        <v/>
      </c>
      <c r="C1250">
        <f>IF(OR($A1250="",$B1250=""),"",IF(ISNUMBER($A1250),INT(MOD($A1250,10000)/100),IFERROR(VALUE(TRIM(LEFT(MID($A1250,FIND("/",$A1250)+1,20),FIND("/",MID($A1250,FIND("/",$A1250)+1,20))-1))),"")))</f>
        <v/>
      </c>
      <c r="D1250">
        <f>IF(OR($A1250="",$B1250=""),"",IF(ISNUMBER($A1250),MOD($A1250,100),IFERROR(VALUE(TRIM(MID(MID($A1250,FIND("/",$A1250)+1,20),FIND("/",MID($A1250,FIND("/",$A1250)+1,20))+1,20))),"")))</f>
        <v/>
      </c>
      <c r="E1250">
        <f>IF($A1250="","",IF(OR($B1250="",$C1250="",$D1250="",$B1250&lt;1300,$B1250&gt;1500,$C1250&lt;1,$C1250&gt;12,$D1250&lt;1,$D1250&gt;31),"نامعتبر",RIGHT("0000"&amp;$B1250,4)&amp;"/"&amp;RIGHT("00"&amp;$C1250,2)&amp;"/"&amp;RIGHT("00"&amp;$D1250,2)))</f>
        <v/>
      </c>
      <c r="F1250">
        <f>IF(OR($E1250="",$E1250="نامعتبر"),"",IF(Sync!$Q1247="","0000",IF(AND(ISNUMBER(Sync!$Q1247),Sync!$Q1247&gt;=0,Sync!$Q1247&lt;1),RIGHT("00"&amp;HOUR(Sync!$Q1247),2)&amp;RIGHT("00"&amp;MINUTE(Sync!$Q1247),2),IFERROR(RIGHT("00"&amp;VALUE(LEFT(Sync!$Q1247,FIND(":",Sync!$Q1247)-1)),2)&amp;RIGHT("00"&amp;VALUE(MID(Sync!$Q1247,FIND(":",Sync!$Q1247)+1,2)),2),"0000"))))</f>
        <v/>
      </c>
      <c r="G1250">
        <f>IF(OR($E1250="",$E1250="نامعتبر"),"",IF(Sync!$S1247="","",Sync!$S1247))</f>
        <v/>
      </c>
      <c r="H1250">
        <f>IF(OR($E1250="",$E1250="نامعتبر"),"",IF(Sync!$R1247="","",Sync!$R1247))</f>
        <v/>
      </c>
      <c r="I1250">
        <f>IF(OR($E1250="",$E1250="نامعتبر"),"",IF(Sync!$T1247="","",Sync!$T1247))</f>
        <v/>
      </c>
      <c r="J1250">
        <f>IF(OR($E1250="",$E1250="نامعتبر"),"",IF(Sync!$U1247="","",Sync!$U1247))</f>
        <v/>
      </c>
      <c r="K1250">
        <f>IF(OR($E1250="",$E1250="نامعتبر"),"",IF(Sync!$V1247="","",IFERROR(INDEX(SubCodes,MATCH(Sync!$V1247,SubTitles,0)),Sync!$V1247)))</f>
        <v/>
      </c>
      <c r="L1250">
        <f>IF(OR($E1250="",$E1250="نامعتبر"),"",IF(Sync!$W1247="",0,Sync!$W1247))</f>
        <v/>
      </c>
      <c r="M1250">
        <f>IF(OR($E1250="",$E1250="نامعتبر"),"",IF(Sync!$X1247="",0,Sync!$X1247))</f>
        <v/>
      </c>
      <c r="N1250">
        <f>IF(OR($E1250="",$E1250="نامعتبر"),"",IF(AND($J1250="هزینه",$K1250&lt;&gt;""),1,0))</f>
        <v/>
      </c>
      <c r="O1250">
        <f>IF($N1250=0,"",LEFT($E1250,4)&amp;MID($E1250,6,2)&amp;RIGHT($E1250,2)&amp;$F1250&amp;"|"&amp;"1"&amp;RIGHT("00000"&amp;1242,5))</f>
        <v/>
      </c>
      <c r="P1250">
        <f>IF($O1250="","",COUNTIFS(ExpSub,$K1250,ExpKey,"&lt;"&amp;$O1250)+1)</f>
        <v/>
      </c>
      <c r="Q1250">
        <f>IF($P1250="","",$K1250&amp;"|"&amp;RIGHT("000000"&amp;$P1250,6))</f>
        <v/>
      </c>
    </row>
    <row r="1251">
      <c r="A1251">
        <f>IF(Sync!$P1248="","",Sync!$P1248)</f>
        <v/>
      </c>
      <c r="B1251">
        <f>IF($A1251="","",IF(ISNUMBER($A1251),IF(AND($A1251&gt;=10000101,$A1251&lt;=99991231),INT($A1251/10000),""),IFERROR(VALUE(TRIM(LEFT($A1251,FIND("/",$A1251)-1))),"")))</f>
        <v/>
      </c>
      <c r="C1251">
        <f>IF(OR($A1251="",$B1251=""),"",IF(ISNUMBER($A1251),INT(MOD($A1251,10000)/100),IFERROR(VALUE(TRIM(LEFT(MID($A1251,FIND("/",$A1251)+1,20),FIND("/",MID($A1251,FIND("/",$A1251)+1,20))-1))),"")))</f>
        <v/>
      </c>
      <c r="D1251">
        <f>IF(OR($A1251="",$B1251=""),"",IF(ISNUMBER($A1251),MOD($A1251,100),IFERROR(VALUE(TRIM(MID(MID($A1251,FIND("/",$A1251)+1,20),FIND("/",MID($A1251,FIND("/",$A1251)+1,20))+1,20))),"")))</f>
        <v/>
      </c>
      <c r="E1251">
        <f>IF($A1251="","",IF(OR($B1251="",$C1251="",$D1251="",$B1251&lt;1300,$B1251&gt;1500,$C1251&lt;1,$C1251&gt;12,$D1251&lt;1,$D1251&gt;31),"نامعتبر",RIGHT("0000"&amp;$B1251,4)&amp;"/"&amp;RIGHT("00"&amp;$C1251,2)&amp;"/"&amp;RIGHT("00"&amp;$D1251,2)))</f>
        <v/>
      </c>
      <c r="F1251">
        <f>IF(OR($E1251="",$E1251="نامعتبر"),"",IF(Sync!$Q1248="","0000",IF(AND(ISNUMBER(Sync!$Q1248),Sync!$Q1248&gt;=0,Sync!$Q1248&lt;1),RIGHT("00"&amp;HOUR(Sync!$Q1248),2)&amp;RIGHT("00"&amp;MINUTE(Sync!$Q1248),2),IFERROR(RIGHT("00"&amp;VALUE(LEFT(Sync!$Q1248,FIND(":",Sync!$Q1248)-1)),2)&amp;RIGHT("00"&amp;VALUE(MID(Sync!$Q1248,FIND(":",Sync!$Q1248)+1,2)),2),"0000"))))</f>
        <v/>
      </c>
      <c r="G1251">
        <f>IF(OR($E1251="",$E1251="نامعتبر"),"",IF(Sync!$S1248="","",Sync!$S1248))</f>
        <v/>
      </c>
      <c r="H1251">
        <f>IF(OR($E1251="",$E1251="نامعتبر"),"",IF(Sync!$R1248="","",Sync!$R1248))</f>
        <v/>
      </c>
      <c r="I1251">
        <f>IF(OR($E1251="",$E1251="نامعتبر"),"",IF(Sync!$T1248="","",Sync!$T1248))</f>
        <v/>
      </c>
      <c r="J1251">
        <f>IF(OR($E1251="",$E1251="نامعتبر"),"",IF(Sync!$U1248="","",Sync!$U1248))</f>
        <v/>
      </c>
      <c r="K1251">
        <f>IF(OR($E1251="",$E1251="نامعتبر"),"",IF(Sync!$V1248="","",IFERROR(INDEX(SubCodes,MATCH(Sync!$V1248,SubTitles,0)),Sync!$V1248)))</f>
        <v/>
      </c>
      <c r="L1251">
        <f>IF(OR($E1251="",$E1251="نامعتبر"),"",IF(Sync!$W1248="",0,Sync!$W1248))</f>
        <v/>
      </c>
      <c r="M1251">
        <f>IF(OR($E1251="",$E1251="نامعتبر"),"",IF(Sync!$X1248="",0,Sync!$X1248))</f>
        <v/>
      </c>
      <c r="N1251">
        <f>IF(OR($E1251="",$E1251="نامعتبر"),"",IF(AND($J1251="هزینه",$K1251&lt;&gt;""),1,0))</f>
        <v/>
      </c>
      <c r="O1251">
        <f>IF($N1251=0,"",LEFT($E1251,4)&amp;MID($E1251,6,2)&amp;RIGHT($E1251,2)&amp;$F1251&amp;"|"&amp;"1"&amp;RIGHT("00000"&amp;1243,5))</f>
        <v/>
      </c>
      <c r="P1251">
        <f>IF($O1251="","",COUNTIFS(ExpSub,$K1251,ExpKey,"&lt;"&amp;$O1251)+1)</f>
        <v/>
      </c>
      <c r="Q1251">
        <f>IF($P1251="","",$K1251&amp;"|"&amp;RIGHT("000000"&amp;$P1251,6))</f>
        <v/>
      </c>
    </row>
    <row r="1252">
      <c r="A1252">
        <f>IF(Sync!$P1249="","",Sync!$P1249)</f>
        <v/>
      </c>
      <c r="B1252">
        <f>IF($A1252="","",IF(ISNUMBER($A1252),IF(AND($A1252&gt;=10000101,$A1252&lt;=99991231),INT($A1252/10000),""),IFERROR(VALUE(TRIM(LEFT($A1252,FIND("/",$A1252)-1))),"")))</f>
        <v/>
      </c>
      <c r="C1252">
        <f>IF(OR($A1252="",$B1252=""),"",IF(ISNUMBER($A1252),INT(MOD($A1252,10000)/100),IFERROR(VALUE(TRIM(LEFT(MID($A1252,FIND("/",$A1252)+1,20),FIND("/",MID($A1252,FIND("/",$A1252)+1,20))-1))),"")))</f>
        <v/>
      </c>
      <c r="D1252">
        <f>IF(OR($A1252="",$B1252=""),"",IF(ISNUMBER($A1252),MOD($A1252,100),IFERROR(VALUE(TRIM(MID(MID($A1252,FIND("/",$A1252)+1,20),FIND("/",MID($A1252,FIND("/",$A1252)+1,20))+1,20))),"")))</f>
        <v/>
      </c>
      <c r="E1252">
        <f>IF($A1252="","",IF(OR($B1252="",$C1252="",$D1252="",$B1252&lt;1300,$B1252&gt;1500,$C1252&lt;1,$C1252&gt;12,$D1252&lt;1,$D1252&gt;31),"نامعتبر",RIGHT("0000"&amp;$B1252,4)&amp;"/"&amp;RIGHT("00"&amp;$C1252,2)&amp;"/"&amp;RIGHT("00"&amp;$D1252,2)))</f>
        <v/>
      </c>
      <c r="F1252">
        <f>IF(OR($E1252="",$E1252="نامعتبر"),"",IF(Sync!$Q1249="","0000",IF(AND(ISNUMBER(Sync!$Q1249),Sync!$Q1249&gt;=0,Sync!$Q1249&lt;1),RIGHT("00"&amp;HOUR(Sync!$Q1249),2)&amp;RIGHT("00"&amp;MINUTE(Sync!$Q1249),2),IFERROR(RIGHT("00"&amp;VALUE(LEFT(Sync!$Q1249,FIND(":",Sync!$Q1249)-1)),2)&amp;RIGHT("00"&amp;VALUE(MID(Sync!$Q1249,FIND(":",Sync!$Q1249)+1,2)),2),"0000"))))</f>
        <v/>
      </c>
      <c r="G1252">
        <f>IF(OR($E1252="",$E1252="نامعتبر"),"",IF(Sync!$S1249="","",Sync!$S1249))</f>
        <v/>
      </c>
      <c r="H1252">
        <f>IF(OR($E1252="",$E1252="نامعتبر"),"",IF(Sync!$R1249="","",Sync!$R1249))</f>
        <v/>
      </c>
      <c r="I1252">
        <f>IF(OR($E1252="",$E1252="نامعتبر"),"",IF(Sync!$T1249="","",Sync!$T1249))</f>
        <v/>
      </c>
      <c r="J1252">
        <f>IF(OR($E1252="",$E1252="نامعتبر"),"",IF(Sync!$U1249="","",Sync!$U1249))</f>
        <v/>
      </c>
      <c r="K1252">
        <f>IF(OR($E1252="",$E1252="نامعتبر"),"",IF(Sync!$V1249="","",IFERROR(INDEX(SubCodes,MATCH(Sync!$V1249,SubTitles,0)),Sync!$V1249)))</f>
        <v/>
      </c>
      <c r="L1252">
        <f>IF(OR($E1252="",$E1252="نامعتبر"),"",IF(Sync!$W1249="",0,Sync!$W1249))</f>
        <v/>
      </c>
      <c r="M1252">
        <f>IF(OR($E1252="",$E1252="نامعتبر"),"",IF(Sync!$X1249="",0,Sync!$X1249))</f>
        <v/>
      </c>
      <c r="N1252">
        <f>IF(OR($E1252="",$E1252="نامعتبر"),"",IF(AND($J1252="هزینه",$K1252&lt;&gt;""),1,0))</f>
        <v/>
      </c>
      <c r="O1252">
        <f>IF($N1252=0,"",LEFT($E1252,4)&amp;MID($E1252,6,2)&amp;RIGHT($E1252,2)&amp;$F1252&amp;"|"&amp;"1"&amp;RIGHT("00000"&amp;1244,5))</f>
        <v/>
      </c>
      <c r="P1252">
        <f>IF($O1252="","",COUNTIFS(ExpSub,$K1252,ExpKey,"&lt;"&amp;$O1252)+1)</f>
        <v/>
      </c>
      <c r="Q1252">
        <f>IF($P1252="","",$K1252&amp;"|"&amp;RIGHT("000000"&amp;$P1252,6))</f>
        <v/>
      </c>
    </row>
    <row r="1253">
      <c r="A1253">
        <f>IF(Sync!$P1250="","",Sync!$P1250)</f>
        <v/>
      </c>
      <c r="B1253">
        <f>IF($A1253="","",IF(ISNUMBER($A1253),IF(AND($A1253&gt;=10000101,$A1253&lt;=99991231),INT($A1253/10000),""),IFERROR(VALUE(TRIM(LEFT($A1253,FIND("/",$A1253)-1))),"")))</f>
        <v/>
      </c>
      <c r="C1253">
        <f>IF(OR($A1253="",$B1253=""),"",IF(ISNUMBER($A1253),INT(MOD($A1253,10000)/100),IFERROR(VALUE(TRIM(LEFT(MID($A1253,FIND("/",$A1253)+1,20),FIND("/",MID($A1253,FIND("/",$A1253)+1,20))-1))),"")))</f>
        <v/>
      </c>
      <c r="D1253">
        <f>IF(OR($A1253="",$B1253=""),"",IF(ISNUMBER($A1253),MOD($A1253,100),IFERROR(VALUE(TRIM(MID(MID($A1253,FIND("/",$A1253)+1,20),FIND("/",MID($A1253,FIND("/",$A1253)+1,20))+1,20))),"")))</f>
        <v/>
      </c>
      <c r="E1253">
        <f>IF($A1253="","",IF(OR($B1253="",$C1253="",$D1253="",$B1253&lt;1300,$B1253&gt;1500,$C1253&lt;1,$C1253&gt;12,$D1253&lt;1,$D1253&gt;31),"نامعتبر",RIGHT("0000"&amp;$B1253,4)&amp;"/"&amp;RIGHT("00"&amp;$C1253,2)&amp;"/"&amp;RIGHT("00"&amp;$D1253,2)))</f>
        <v/>
      </c>
      <c r="F1253">
        <f>IF(OR($E1253="",$E1253="نامعتبر"),"",IF(Sync!$Q1250="","0000",IF(AND(ISNUMBER(Sync!$Q1250),Sync!$Q1250&gt;=0,Sync!$Q1250&lt;1),RIGHT("00"&amp;HOUR(Sync!$Q1250),2)&amp;RIGHT("00"&amp;MINUTE(Sync!$Q1250),2),IFERROR(RIGHT("00"&amp;VALUE(LEFT(Sync!$Q1250,FIND(":",Sync!$Q1250)-1)),2)&amp;RIGHT("00"&amp;VALUE(MID(Sync!$Q1250,FIND(":",Sync!$Q1250)+1,2)),2),"0000"))))</f>
        <v/>
      </c>
      <c r="G1253">
        <f>IF(OR($E1253="",$E1253="نامعتبر"),"",IF(Sync!$S1250="","",Sync!$S1250))</f>
        <v/>
      </c>
      <c r="H1253">
        <f>IF(OR($E1253="",$E1253="نامعتبر"),"",IF(Sync!$R1250="","",Sync!$R1250))</f>
        <v/>
      </c>
      <c r="I1253">
        <f>IF(OR($E1253="",$E1253="نامعتبر"),"",IF(Sync!$T1250="","",Sync!$T1250))</f>
        <v/>
      </c>
      <c r="J1253">
        <f>IF(OR($E1253="",$E1253="نامعتبر"),"",IF(Sync!$U1250="","",Sync!$U1250))</f>
        <v/>
      </c>
      <c r="K1253">
        <f>IF(OR($E1253="",$E1253="نامعتبر"),"",IF(Sync!$V1250="","",IFERROR(INDEX(SubCodes,MATCH(Sync!$V1250,SubTitles,0)),Sync!$V1250)))</f>
        <v/>
      </c>
      <c r="L1253">
        <f>IF(OR($E1253="",$E1253="نامعتبر"),"",IF(Sync!$W1250="",0,Sync!$W1250))</f>
        <v/>
      </c>
      <c r="M1253">
        <f>IF(OR($E1253="",$E1253="نامعتبر"),"",IF(Sync!$X1250="",0,Sync!$X1250))</f>
        <v/>
      </c>
      <c r="N1253">
        <f>IF(OR($E1253="",$E1253="نامعتبر"),"",IF(AND($J1253="هزینه",$K1253&lt;&gt;""),1,0))</f>
        <v/>
      </c>
      <c r="O1253">
        <f>IF($N1253=0,"",LEFT($E1253,4)&amp;MID($E1253,6,2)&amp;RIGHT($E1253,2)&amp;$F1253&amp;"|"&amp;"1"&amp;RIGHT("00000"&amp;1245,5))</f>
        <v/>
      </c>
      <c r="P1253">
        <f>IF($O1253="","",COUNTIFS(ExpSub,$K1253,ExpKey,"&lt;"&amp;$O1253)+1)</f>
        <v/>
      </c>
      <c r="Q1253">
        <f>IF($P1253="","",$K1253&amp;"|"&amp;RIGHT("000000"&amp;$P1253,6))</f>
        <v/>
      </c>
    </row>
    <row r="1254">
      <c r="A1254">
        <f>IF(Sync!$P1251="","",Sync!$P1251)</f>
        <v/>
      </c>
      <c r="B1254">
        <f>IF($A1254="","",IF(ISNUMBER($A1254),IF(AND($A1254&gt;=10000101,$A1254&lt;=99991231),INT($A1254/10000),""),IFERROR(VALUE(TRIM(LEFT($A1254,FIND("/",$A1254)-1))),"")))</f>
        <v/>
      </c>
      <c r="C1254">
        <f>IF(OR($A1254="",$B1254=""),"",IF(ISNUMBER($A1254),INT(MOD($A1254,10000)/100),IFERROR(VALUE(TRIM(LEFT(MID($A1254,FIND("/",$A1254)+1,20),FIND("/",MID($A1254,FIND("/",$A1254)+1,20))-1))),"")))</f>
        <v/>
      </c>
      <c r="D1254">
        <f>IF(OR($A1254="",$B1254=""),"",IF(ISNUMBER($A1254),MOD($A1254,100),IFERROR(VALUE(TRIM(MID(MID($A1254,FIND("/",$A1254)+1,20),FIND("/",MID($A1254,FIND("/",$A1254)+1,20))+1,20))),"")))</f>
        <v/>
      </c>
      <c r="E1254">
        <f>IF($A1254="","",IF(OR($B1254="",$C1254="",$D1254="",$B1254&lt;1300,$B1254&gt;1500,$C1254&lt;1,$C1254&gt;12,$D1254&lt;1,$D1254&gt;31),"نامعتبر",RIGHT("0000"&amp;$B1254,4)&amp;"/"&amp;RIGHT("00"&amp;$C1254,2)&amp;"/"&amp;RIGHT("00"&amp;$D1254,2)))</f>
        <v/>
      </c>
      <c r="F1254">
        <f>IF(OR($E1254="",$E1254="نامعتبر"),"",IF(Sync!$Q1251="","0000",IF(AND(ISNUMBER(Sync!$Q1251),Sync!$Q1251&gt;=0,Sync!$Q1251&lt;1),RIGHT("00"&amp;HOUR(Sync!$Q1251),2)&amp;RIGHT("00"&amp;MINUTE(Sync!$Q1251),2),IFERROR(RIGHT("00"&amp;VALUE(LEFT(Sync!$Q1251,FIND(":",Sync!$Q1251)-1)),2)&amp;RIGHT("00"&amp;VALUE(MID(Sync!$Q1251,FIND(":",Sync!$Q1251)+1,2)),2),"0000"))))</f>
        <v/>
      </c>
      <c r="G1254">
        <f>IF(OR($E1254="",$E1254="نامعتبر"),"",IF(Sync!$S1251="","",Sync!$S1251))</f>
        <v/>
      </c>
      <c r="H1254">
        <f>IF(OR($E1254="",$E1254="نامعتبر"),"",IF(Sync!$R1251="","",Sync!$R1251))</f>
        <v/>
      </c>
      <c r="I1254">
        <f>IF(OR($E1254="",$E1254="نامعتبر"),"",IF(Sync!$T1251="","",Sync!$T1251))</f>
        <v/>
      </c>
      <c r="J1254">
        <f>IF(OR($E1254="",$E1254="نامعتبر"),"",IF(Sync!$U1251="","",Sync!$U1251))</f>
        <v/>
      </c>
      <c r="K1254">
        <f>IF(OR($E1254="",$E1254="نامعتبر"),"",IF(Sync!$V1251="","",IFERROR(INDEX(SubCodes,MATCH(Sync!$V1251,SubTitles,0)),Sync!$V1251)))</f>
        <v/>
      </c>
      <c r="L1254">
        <f>IF(OR($E1254="",$E1254="نامعتبر"),"",IF(Sync!$W1251="",0,Sync!$W1251))</f>
        <v/>
      </c>
      <c r="M1254">
        <f>IF(OR($E1254="",$E1254="نامعتبر"),"",IF(Sync!$X1251="",0,Sync!$X1251))</f>
        <v/>
      </c>
      <c r="N1254">
        <f>IF(OR($E1254="",$E1254="نامعتبر"),"",IF(AND($J1254="هزینه",$K1254&lt;&gt;""),1,0))</f>
        <v/>
      </c>
      <c r="O1254">
        <f>IF($N1254=0,"",LEFT($E1254,4)&amp;MID($E1254,6,2)&amp;RIGHT($E1254,2)&amp;$F1254&amp;"|"&amp;"1"&amp;RIGHT("00000"&amp;1246,5))</f>
        <v/>
      </c>
      <c r="P1254">
        <f>IF($O1254="","",COUNTIFS(ExpSub,$K1254,ExpKey,"&lt;"&amp;$O1254)+1)</f>
        <v/>
      </c>
      <c r="Q1254">
        <f>IF($P1254="","",$K1254&amp;"|"&amp;RIGHT("000000"&amp;$P1254,6))</f>
        <v/>
      </c>
    </row>
    <row r="1255">
      <c r="A1255">
        <f>IF(Sync!$P1252="","",Sync!$P1252)</f>
        <v/>
      </c>
      <c r="B1255">
        <f>IF($A1255="","",IF(ISNUMBER($A1255),IF(AND($A1255&gt;=10000101,$A1255&lt;=99991231),INT($A1255/10000),""),IFERROR(VALUE(TRIM(LEFT($A1255,FIND("/",$A1255)-1))),"")))</f>
        <v/>
      </c>
      <c r="C1255">
        <f>IF(OR($A1255="",$B1255=""),"",IF(ISNUMBER($A1255),INT(MOD($A1255,10000)/100),IFERROR(VALUE(TRIM(LEFT(MID($A1255,FIND("/",$A1255)+1,20),FIND("/",MID($A1255,FIND("/",$A1255)+1,20))-1))),"")))</f>
        <v/>
      </c>
      <c r="D1255">
        <f>IF(OR($A1255="",$B1255=""),"",IF(ISNUMBER($A1255),MOD($A1255,100),IFERROR(VALUE(TRIM(MID(MID($A1255,FIND("/",$A1255)+1,20),FIND("/",MID($A1255,FIND("/",$A1255)+1,20))+1,20))),"")))</f>
        <v/>
      </c>
      <c r="E1255">
        <f>IF($A1255="","",IF(OR($B1255="",$C1255="",$D1255="",$B1255&lt;1300,$B1255&gt;1500,$C1255&lt;1,$C1255&gt;12,$D1255&lt;1,$D1255&gt;31),"نامعتبر",RIGHT("0000"&amp;$B1255,4)&amp;"/"&amp;RIGHT("00"&amp;$C1255,2)&amp;"/"&amp;RIGHT("00"&amp;$D1255,2)))</f>
        <v/>
      </c>
      <c r="F1255">
        <f>IF(OR($E1255="",$E1255="نامعتبر"),"",IF(Sync!$Q1252="","0000",IF(AND(ISNUMBER(Sync!$Q1252),Sync!$Q1252&gt;=0,Sync!$Q1252&lt;1),RIGHT("00"&amp;HOUR(Sync!$Q1252),2)&amp;RIGHT("00"&amp;MINUTE(Sync!$Q1252),2),IFERROR(RIGHT("00"&amp;VALUE(LEFT(Sync!$Q1252,FIND(":",Sync!$Q1252)-1)),2)&amp;RIGHT("00"&amp;VALUE(MID(Sync!$Q1252,FIND(":",Sync!$Q1252)+1,2)),2),"0000"))))</f>
        <v/>
      </c>
      <c r="G1255">
        <f>IF(OR($E1255="",$E1255="نامعتبر"),"",IF(Sync!$S1252="","",Sync!$S1252))</f>
        <v/>
      </c>
      <c r="H1255">
        <f>IF(OR($E1255="",$E1255="نامعتبر"),"",IF(Sync!$R1252="","",Sync!$R1252))</f>
        <v/>
      </c>
      <c r="I1255">
        <f>IF(OR($E1255="",$E1255="نامعتبر"),"",IF(Sync!$T1252="","",Sync!$T1252))</f>
        <v/>
      </c>
      <c r="J1255">
        <f>IF(OR($E1255="",$E1255="نامعتبر"),"",IF(Sync!$U1252="","",Sync!$U1252))</f>
        <v/>
      </c>
      <c r="K1255">
        <f>IF(OR($E1255="",$E1255="نامعتبر"),"",IF(Sync!$V1252="","",IFERROR(INDEX(SubCodes,MATCH(Sync!$V1252,SubTitles,0)),Sync!$V1252)))</f>
        <v/>
      </c>
      <c r="L1255">
        <f>IF(OR($E1255="",$E1255="نامعتبر"),"",IF(Sync!$W1252="",0,Sync!$W1252))</f>
        <v/>
      </c>
      <c r="M1255">
        <f>IF(OR($E1255="",$E1255="نامعتبر"),"",IF(Sync!$X1252="",0,Sync!$X1252))</f>
        <v/>
      </c>
      <c r="N1255">
        <f>IF(OR($E1255="",$E1255="نامعتبر"),"",IF(AND($J1255="هزینه",$K1255&lt;&gt;""),1,0))</f>
        <v/>
      </c>
      <c r="O1255">
        <f>IF($N1255=0,"",LEFT($E1255,4)&amp;MID($E1255,6,2)&amp;RIGHT($E1255,2)&amp;$F1255&amp;"|"&amp;"1"&amp;RIGHT("00000"&amp;1247,5))</f>
        <v/>
      </c>
      <c r="P1255">
        <f>IF($O1255="","",COUNTIFS(ExpSub,$K1255,ExpKey,"&lt;"&amp;$O1255)+1)</f>
        <v/>
      </c>
      <c r="Q1255">
        <f>IF($P1255="","",$K1255&amp;"|"&amp;RIGHT("000000"&amp;$P1255,6))</f>
        <v/>
      </c>
    </row>
    <row r="1256">
      <c r="A1256">
        <f>IF(Sync!$P1253="","",Sync!$P1253)</f>
        <v/>
      </c>
      <c r="B1256">
        <f>IF($A1256="","",IF(ISNUMBER($A1256),IF(AND($A1256&gt;=10000101,$A1256&lt;=99991231),INT($A1256/10000),""),IFERROR(VALUE(TRIM(LEFT($A1256,FIND("/",$A1256)-1))),"")))</f>
        <v/>
      </c>
      <c r="C1256">
        <f>IF(OR($A1256="",$B1256=""),"",IF(ISNUMBER($A1256),INT(MOD($A1256,10000)/100),IFERROR(VALUE(TRIM(LEFT(MID($A1256,FIND("/",$A1256)+1,20),FIND("/",MID($A1256,FIND("/",$A1256)+1,20))-1))),"")))</f>
        <v/>
      </c>
      <c r="D1256">
        <f>IF(OR($A1256="",$B1256=""),"",IF(ISNUMBER($A1256),MOD($A1256,100),IFERROR(VALUE(TRIM(MID(MID($A1256,FIND("/",$A1256)+1,20),FIND("/",MID($A1256,FIND("/",$A1256)+1,20))+1,20))),"")))</f>
        <v/>
      </c>
      <c r="E1256">
        <f>IF($A1256="","",IF(OR($B1256="",$C1256="",$D1256="",$B1256&lt;1300,$B1256&gt;1500,$C1256&lt;1,$C1256&gt;12,$D1256&lt;1,$D1256&gt;31),"نامعتبر",RIGHT("0000"&amp;$B1256,4)&amp;"/"&amp;RIGHT("00"&amp;$C1256,2)&amp;"/"&amp;RIGHT("00"&amp;$D1256,2)))</f>
        <v/>
      </c>
      <c r="F1256">
        <f>IF(OR($E1256="",$E1256="نامعتبر"),"",IF(Sync!$Q1253="","0000",IF(AND(ISNUMBER(Sync!$Q1253),Sync!$Q1253&gt;=0,Sync!$Q1253&lt;1),RIGHT("00"&amp;HOUR(Sync!$Q1253),2)&amp;RIGHT("00"&amp;MINUTE(Sync!$Q1253),2),IFERROR(RIGHT("00"&amp;VALUE(LEFT(Sync!$Q1253,FIND(":",Sync!$Q1253)-1)),2)&amp;RIGHT("00"&amp;VALUE(MID(Sync!$Q1253,FIND(":",Sync!$Q1253)+1,2)),2),"0000"))))</f>
        <v/>
      </c>
      <c r="G1256">
        <f>IF(OR($E1256="",$E1256="نامعتبر"),"",IF(Sync!$S1253="","",Sync!$S1253))</f>
        <v/>
      </c>
      <c r="H1256">
        <f>IF(OR($E1256="",$E1256="نامعتبر"),"",IF(Sync!$R1253="","",Sync!$R1253))</f>
        <v/>
      </c>
      <c r="I1256">
        <f>IF(OR($E1256="",$E1256="نامعتبر"),"",IF(Sync!$T1253="","",Sync!$T1253))</f>
        <v/>
      </c>
      <c r="J1256">
        <f>IF(OR($E1256="",$E1256="نامعتبر"),"",IF(Sync!$U1253="","",Sync!$U1253))</f>
        <v/>
      </c>
      <c r="K1256">
        <f>IF(OR($E1256="",$E1256="نامعتبر"),"",IF(Sync!$V1253="","",IFERROR(INDEX(SubCodes,MATCH(Sync!$V1253,SubTitles,0)),Sync!$V1253)))</f>
        <v/>
      </c>
      <c r="L1256">
        <f>IF(OR($E1256="",$E1256="نامعتبر"),"",IF(Sync!$W1253="",0,Sync!$W1253))</f>
        <v/>
      </c>
      <c r="M1256">
        <f>IF(OR($E1256="",$E1256="نامعتبر"),"",IF(Sync!$X1253="",0,Sync!$X1253))</f>
        <v/>
      </c>
      <c r="N1256">
        <f>IF(OR($E1256="",$E1256="نامعتبر"),"",IF(AND($J1256="هزینه",$K1256&lt;&gt;""),1,0))</f>
        <v/>
      </c>
      <c r="O1256">
        <f>IF($N1256=0,"",LEFT($E1256,4)&amp;MID($E1256,6,2)&amp;RIGHT($E1256,2)&amp;$F1256&amp;"|"&amp;"1"&amp;RIGHT("00000"&amp;1248,5))</f>
        <v/>
      </c>
      <c r="P1256">
        <f>IF($O1256="","",COUNTIFS(ExpSub,$K1256,ExpKey,"&lt;"&amp;$O1256)+1)</f>
        <v/>
      </c>
      <c r="Q1256">
        <f>IF($P1256="","",$K1256&amp;"|"&amp;RIGHT("000000"&amp;$P1256,6))</f>
        <v/>
      </c>
    </row>
    <row r="1257">
      <c r="A1257">
        <f>IF(Sync!$P1254="","",Sync!$P1254)</f>
        <v/>
      </c>
      <c r="B1257">
        <f>IF($A1257="","",IF(ISNUMBER($A1257),IF(AND($A1257&gt;=10000101,$A1257&lt;=99991231),INT($A1257/10000),""),IFERROR(VALUE(TRIM(LEFT($A1257,FIND("/",$A1257)-1))),"")))</f>
        <v/>
      </c>
      <c r="C1257">
        <f>IF(OR($A1257="",$B1257=""),"",IF(ISNUMBER($A1257),INT(MOD($A1257,10000)/100),IFERROR(VALUE(TRIM(LEFT(MID($A1257,FIND("/",$A1257)+1,20),FIND("/",MID($A1257,FIND("/",$A1257)+1,20))-1))),"")))</f>
        <v/>
      </c>
      <c r="D1257">
        <f>IF(OR($A1257="",$B1257=""),"",IF(ISNUMBER($A1257),MOD($A1257,100),IFERROR(VALUE(TRIM(MID(MID($A1257,FIND("/",$A1257)+1,20),FIND("/",MID($A1257,FIND("/",$A1257)+1,20))+1,20))),"")))</f>
        <v/>
      </c>
      <c r="E1257">
        <f>IF($A1257="","",IF(OR($B1257="",$C1257="",$D1257="",$B1257&lt;1300,$B1257&gt;1500,$C1257&lt;1,$C1257&gt;12,$D1257&lt;1,$D1257&gt;31),"نامعتبر",RIGHT("0000"&amp;$B1257,4)&amp;"/"&amp;RIGHT("00"&amp;$C1257,2)&amp;"/"&amp;RIGHT("00"&amp;$D1257,2)))</f>
        <v/>
      </c>
      <c r="F1257">
        <f>IF(OR($E1257="",$E1257="نامعتبر"),"",IF(Sync!$Q1254="","0000",IF(AND(ISNUMBER(Sync!$Q1254),Sync!$Q1254&gt;=0,Sync!$Q1254&lt;1),RIGHT("00"&amp;HOUR(Sync!$Q1254),2)&amp;RIGHT("00"&amp;MINUTE(Sync!$Q1254),2),IFERROR(RIGHT("00"&amp;VALUE(LEFT(Sync!$Q1254,FIND(":",Sync!$Q1254)-1)),2)&amp;RIGHT("00"&amp;VALUE(MID(Sync!$Q1254,FIND(":",Sync!$Q1254)+1,2)),2),"0000"))))</f>
        <v/>
      </c>
      <c r="G1257">
        <f>IF(OR($E1257="",$E1257="نامعتبر"),"",IF(Sync!$S1254="","",Sync!$S1254))</f>
        <v/>
      </c>
      <c r="H1257">
        <f>IF(OR($E1257="",$E1257="نامعتبر"),"",IF(Sync!$R1254="","",Sync!$R1254))</f>
        <v/>
      </c>
      <c r="I1257">
        <f>IF(OR($E1257="",$E1257="نامعتبر"),"",IF(Sync!$T1254="","",Sync!$T1254))</f>
        <v/>
      </c>
      <c r="J1257">
        <f>IF(OR($E1257="",$E1257="نامعتبر"),"",IF(Sync!$U1254="","",Sync!$U1254))</f>
        <v/>
      </c>
      <c r="K1257">
        <f>IF(OR($E1257="",$E1257="نامعتبر"),"",IF(Sync!$V1254="","",IFERROR(INDEX(SubCodes,MATCH(Sync!$V1254,SubTitles,0)),Sync!$V1254)))</f>
        <v/>
      </c>
      <c r="L1257">
        <f>IF(OR($E1257="",$E1257="نامعتبر"),"",IF(Sync!$W1254="",0,Sync!$W1254))</f>
        <v/>
      </c>
      <c r="M1257">
        <f>IF(OR($E1257="",$E1257="نامعتبر"),"",IF(Sync!$X1254="",0,Sync!$X1254))</f>
        <v/>
      </c>
      <c r="N1257">
        <f>IF(OR($E1257="",$E1257="نامعتبر"),"",IF(AND($J1257="هزینه",$K1257&lt;&gt;""),1,0))</f>
        <v/>
      </c>
      <c r="O1257">
        <f>IF($N1257=0,"",LEFT($E1257,4)&amp;MID($E1257,6,2)&amp;RIGHT($E1257,2)&amp;$F1257&amp;"|"&amp;"1"&amp;RIGHT("00000"&amp;1249,5))</f>
        <v/>
      </c>
      <c r="P1257">
        <f>IF($O1257="","",COUNTIFS(ExpSub,$K1257,ExpKey,"&lt;"&amp;$O1257)+1)</f>
        <v/>
      </c>
      <c r="Q1257">
        <f>IF($P1257="","",$K1257&amp;"|"&amp;RIGHT("000000"&amp;$P1257,6))</f>
        <v/>
      </c>
    </row>
    <row r="1258">
      <c r="A1258">
        <f>IF(Sync!$P1255="","",Sync!$P1255)</f>
        <v/>
      </c>
      <c r="B1258">
        <f>IF($A1258="","",IF(ISNUMBER($A1258),IF(AND($A1258&gt;=10000101,$A1258&lt;=99991231),INT($A1258/10000),""),IFERROR(VALUE(TRIM(LEFT($A1258,FIND("/",$A1258)-1))),"")))</f>
        <v/>
      </c>
      <c r="C1258">
        <f>IF(OR($A1258="",$B1258=""),"",IF(ISNUMBER($A1258),INT(MOD($A1258,10000)/100),IFERROR(VALUE(TRIM(LEFT(MID($A1258,FIND("/",$A1258)+1,20),FIND("/",MID($A1258,FIND("/",$A1258)+1,20))-1))),"")))</f>
        <v/>
      </c>
      <c r="D1258">
        <f>IF(OR($A1258="",$B1258=""),"",IF(ISNUMBER($A1258),MOD($A1258,100),IFERROR(VALUE(TRIM(MID(MID($A1258,FIND("/",$A1258)+1,20),FIND("/",MID($A1258,FIND("/",$A1258)+1,20))+1,20))),"")))</f>
        <v/>
      </c>
      <c r="E1258">
        <f>IF($A1258="","",IF(OR($B1258="",$C1258="",$D1258="",$B1258&lt;1300,$B1258&gt;1500,$C1258&lt;1,$C1258&gt;12,$D1258&lt;1,$D1258&gt;31),"نامعتبر",RIGHT("0000"&amp;$B1258,4)&amp;"/"&amp;RIGHT("00"&amp;$C1258,2)&amp;"/"&amp;RIGHT("00"&amp;$D1258,2)))</f>
        <v/>
      </c>
      <c r="F1258">
        <f>IF(OR($E1258="",$E1258="نامعتبر"),"",IF(Sync!$Q1255="","0000",IF(AND(ISNUMBER(Sync!$Q1255),Sync!$Q1255&gt;=0,Sync!$Q1255&lt;1),RIGHT("00"&amp;HOUR(Sync!$Q1255),2)&amp;RIGHT("00"&amp;MINUTE(Sync!$Q1255),2),IFERROR(RIGHT("00"&amp;VALUE(LEFT(Sync!$Q1255,FIND(":",Sync!$Q1255)-1)),2)&amp;RIGHT("00"&amp;VALUE(MID(Sync!$Q1255,FIND(":",Sync!$Q1255)+1,2)),2),"0000"))))</f>
        <v/>
      </c>
      <c r="G1258">
        <f>IF(OR($E1258="",$E1258="نامعتبر"),"",IF(Sync!$S1255="","",Sync!$S1255))</f>
        <v/>
      </c>
      <c r="H1258">
        <f>IF(OR($E1258="",$E1258="نامعتبر"),"",IF(Sync!$R1255="","",Sync!$R1255))</f>
        <v/>
      </c>
      <c r="I1258">
        <f>IF(OR($E1258="",$E1258="نامعتبر"),"",IF(Sync!$T1255="","",Sync!$T1255))</f>
        <v/>
      </c>
      <c r="J1258">
        <f>IF(OR($E1258="",$E1258="نامعتبر"),"",IF(Sync!$U1255="","",Sync!$U1255))</f>
        <v/>
      </c>
      <c r="K1258">
        <f>IF(OR($E1258="",$E1258="نامعتبر"),"",IF(Sync!$V1255="","",IFERROR(INDEX(SubCodes,MATCH(Sync!$V1255,SubTitles,0)),Sync!$V1255)))</f>
        <v/>
      </c>
      <c r="L1258">
        <f>IF(OR($E1258="",$E1258="نامعتبر"),"",IF(Sync!$W1255="",0,Sync!$W1255))</f>
        <v/>
      </c>
      <c r="M1258">
        <f>IF(OR($E1258="",$E1258="نامعتبر"),"",IF(Sync!$X1255="",0,Sync!$X1255))</f>
        <v/>
      </c>
      <c r="N1258">
        <f>IF(OR($E1258="",$E1258="نامعتبر"),"",IF(AND($J1258="هزینه",$K1258&lt;&gt;""),1,0))</f>
        <v/>
      </c>
      <c r="O1258">
        <f>IF($N1258=0,"",LEFT($E1258,4)&amp;MID($E1258,6,2)&amp;RIGHT($E1258,2)&amp;$F1258&amp;"|"&amp;"1"&amp;RIGHT("00000"&amp;1250,5))</f>
        <v/>
      </c>
      <c r="P1258">
        <f>IF($O1258="","",COUNTIFS(ExpSub,$K1258,ExpKey,"&lt;"&amp;$O1258)+1)</f>
        <v/>
      </c>
      <c r="Q1258">
        <f>IF($P1258="","",$K1258&amp;"|"&amp;RIGHT("000000"&amp;$P1258,6))</f>
        <v/>
      </c>
    </row>
    <row r="1259">
      <c r="A1259">
        <f>IF(Sync!$P1256="","",Sync!$P1256)</f>
        <v/>
      </c>
      <c r="B1259">
        <f>IF($A1259="","",IF(ISNUMBER($A1259),IF(AND($A1259&gt;=10000101,$A1259&lt;=99991231),INT($A1259/10000),""),IFERROR(VALUE(TRIM(LEFT($A1259,FIND("/",$A1259)-1))),"")))</f>
        <v/>
      </c>
      <c r="C1259">
        <f>IF(OR($A1259="",$B1259=""),"",IF(ISNUMBER($A1259),INT(MOD($A1259,10000)/100),IFERROR(VALUE(TRIM(LEFT(MID($A1259,FIND("/",$A1259)+1,20),FIND("/",MID($A1259,FIND("/",$A1259)+1,20))-1))),"")))</f>
        <v/>
      </c>
      <c r="D1259">
        <f>IF(OR($A1259="",$B1259=""),"",IF(ISNUMBER($A1259),MOD($A1259,100),IFERROR(VALUE(TRIM(MID(MID($A1259,FIND("/",$A1259)+1,20),FIND("/",MID($A1259,FIND("/",$A1259)+1,20))+1,20))),"")))</f>
        <v/>
      </c>
      <c r="E1259">
        <f>IF($A1259="","",IF(OR($B1259="",$C1259="",$D1259="",$B1259&lt;1300,$B1259&gt;1500,$C1259&lt;1,$C1259&gt;12,$D1259&lt;1,$D1259&gt;31),"نامعتبر",RIGHT("0000"&amp;$B1259,4)&amp;"/"&amp;RIGHT("00"&amp;$C1259,2)&amp;"/"&amp;RIGHT("00"&amp;$D1259,2)))</f>
        <v/>
      </c>
      <c r="F1259">
        <f>IF(OR($E1259="",$E1259="نامعتبر"),"",IF(Sync!$Q1256="","0000",IF(AND(ISNUMBER(Sync!$Q1256),Sync!$Q1256&gt;=0,Sync!$Q1256&lt;1),RIGHT("00"&amp;HOUR(Sync!$Q1256),2)&amp;RIGHT("00"&amp;MINUTE(Sync!$Q1256),2),IFERROR(RIGHT("00"&amp;VALUE(LEFT(Sync!$Q1256,FIND(":",Sync!$Q1256)-1)),2)&amp;RIGHT("00"&amp;VALUE(MID(Sync!$Q1256,FIND(":",Sync!$Q1256)+1,2)),2),"0000"))))</f>
        <v/>
      </c>
      <c r="G1259">
        <f>IF(OR($E1259="",$E1259="نامعتبر"),"",IF(Sync!$S1256="","",Sync!$S1256))</f>
        <v/>
      </c>
      <c r="H1259">
        <f>IF(OR($E1259="",$E1259="نامعتبر"),"",IF(Sync!$R1256="","",Sync!$R1256))</f>
        <v/>
      </c>
      <c r="I1259">
        <f>IF(OR($E1259="",$E1259="نامعتبر"),"",IF(Sync!$T1256="","",Sync!$T1256))</f>
        <v/>
      </c>
      <c r="J1259">
        <f>IF(OR($E1259="",$E1259="نامعتبر"),"",IF(Sync!$U1256="","",Sync!$U1256))</f>
        <v/>
      </c>
      <c r="K1259">
        <f>IF(OR($E1259="",$E1259="نامعتبر"),"",IF(Sync!$V1256="","",IFERROR(INDEX(SubCodes,MATCH(Sync!$V1256,SubTitles,0)),Sync!$V1256)))</f>
        <v/>
      </c>
      <c r="L1259">
        <f>IF(OR($E1259="",$E1259="نامعتبر"),"",IF(Sync!$W1256="",0,Sync!$W1256))</f>
        <v/>
      </c>
      <c r="M1259">
        <f>IF(OR($E1259="",$E1259="نامعتبر"),"",IF(Sync!$X1256="",0,Sync!$X1256))</f>
        <v/>
      </c>
      <c r="N1259">
        <f>IF(OR($E1259="",$E1259="نامعتبر"),"",IF(AND($J1259="هزینه",$K1259&lt;&gt;""),1,0))</f>
        <v/>
      </c>
      <c r="O1259">
        <f>IF($N1259=0,"",LEFT($E1259,4)&amp;MID($E1259,6,2)&amp;RIGHT($E1259,2)&amp;$F1259&amp;"|"&amp;"1"&amp;RIGHT("00000"&amp;1251,5))</f>
        <v/>
      </c>
      <c r="P1259">
        <f>IF($O1259="","",COUNTIFS(ExpSub,$K1259,ExpKey,"&lt;"&amp;$O1259)+1)</f>
        <v/>
      </c>
      <c r="Q1259">
        <f>IF($P1259="","",$K1259&amp;"|"&amp;RIGHT("000000"&amp;$P1259,6))</f>
        <v/>
      </c>
    </row>
    <row r="1260">
      <c r="A1260">
        <f>IF(Sync!$P1257="","",Sync!$P1257)</f>
        <v/>
      </c>
      <c r="B1260">
        <f>IF($A1260="","",IF(ISNUMBER($A1260),IF(AND($A1260&gt;=10000101,$A1260&lt;=99991231),INT($A1260/10000),""),IFERROR(VALUE(TRIM(LEFT($A1260,FIND("/",$A1260)-1))),"")))</f>
        <v/>
      </c>
      <c r="C1260">
        <f>IF(OR($A1260="",$B1260=""),"",IF(ISNUMBER($A1260),INT(MOD($A1260,10000)/100),IFERROR(VALUE(TRIM(LEFT(MID($A1260,FIND("/",$A1260)+1,20),FIND("/",MID($A1260,FIND("/",$A1260)+1,20))-1))),"")))</f>
        <v/>
      </c>
      <c r="D1260">
        <f>IF(OR($A1260="",$B1260=""),"",IF(ISNUMBER($A1260),MOD($A1260,100),IFERROR(VALUE(TRIM(MID(MID($A1260,FIND("/",$A1260)+1,20),FIND("/",MID($A1260,FIND("/",$A1260)+1,20))+1,20))),"")))</f>
        <v/>
      </c>
      <c r="E1260">
        <f>IF($A1260="","",IF(OR($B1260="",$C1260="",$D1260="",$B1260&lt;1300,$B1260&gt;1500,$C1260&lt;1,$C1260&gt;12,$D1260&lt;1,$D1260&gt;31),"نامعتبر",RIGHT("0000"&amp;$B1260,4)&amp;"/"&amp;RIGHT("00"&amp;$C1260,2)&amp;"/"&amp;RIGHT("00"&amp;$D1260,2)))</f>
        <v/>
      </c>
      <c r="F1260">
        <f>IF(OR($E1260="",$E1260="نامعتبر"),"",IF(Sync!$Q1257="","0000",IF(AND(ISNUMBER(Sync!$Q1257),Sync!$Q1257&gt;=0,Sync!$Q1257&lt;1),RIGHT("00"&amp;HOUR(Sync!$Q1257),2)&amp;RIGHT("00"&amp;MINUTE(Sync!$Q1257),2),IFERROR(RIGHT("00"&amp;VALUE(LEFT(Sync!$Q1257,FIND(":",Sync!$Q1257)-1)),2)&amp;RIGHT("00"&amp;VALUE(MID(Sync!$Q1257,FIND(":",Sync!$Q1257)+1,2)),2),"0000"))))</f>
        <v/>
      </c>
      <c r="G1260">
        <f>IF(OR($E1260="",$E1260="نامعتبر"),"",IF(Sync!$S1257="","",Sync!$S1257))</f>
        <v/>
      </c>
      <c r="H1260">
        <f>IF(OR($E1260="",$E1260="نامعتبر"),"",IF(Sync!$R1257="","",Sync!$R1257))</f>
        <v/>
      </c>
      <c r="I1260">
        <f>IF(OR($E1260="",$E1260="نامعتبر"),"",IF(Sync!$T1257="","",Sync!$T1257))</f>
        <v/>
      </c>
      <c r="J1260">
        <f>IF(OR($E1260="",$E1260="نامعتبر"),"",IF(Sync!$U1257="","",Sync!$U1257))</f>
        <v/>
      </c>
      <c r="K1260">
        <f>IF(OR($E1260="",$E1260="نامعتبر"),"",IF(Sync!$V1257="","",IFERROR(INDEX(SubCodes,MATCH(Sync!$V1257,SubTitles,0)),Sync!$V1257)))</f>
        <v/>
      </c>
      <c r="L1260">
        <f>IF(OR($E1260="",$E1260="نامعتبر"),"",IF(Sync!$W1257="",0,Sync!$W1257))</f>
        <v/>
      </c>
      <c r="M1260">
        <f>IF(OR($E1260="",$E1260="نامعتبر"),"",IF(Sync!$X1257="",0,Sync!$X1257))</f>
        <v/>
      </c>
      <c r="N1260">
        <f>IF(OR($E1260="",$E1260="نامعتبر"),"",IF(AND($J1260="هزینه",$K1260&lt;&gt;""),1,0))</f>
        <v/>
      </c>
      <c r="O1260">
        <f>IF($N1260=0,"",LEFT($E1260,4)&amp;MID($E1260,6,2)&amp;RIGHT($E1260,2)&amp;$F1260&amp;"|"&amp;"1"&amp;RIGHT("00000"&amp;1252,5))</f>
        <v/>
      </c>
      <c r="P1260">
        <f>IF($O1260="","",COUNTIFS(ExpSub,$K1260,ExpKey,"&lt;"&amp;$O1260)+1)</f>
        <v/>
      </c>
      <c r="Q1260">
        <f>IF($P1260="","",$K1260&amp;"|"&amp;RIGHT("000000"&amp;$P1260,6))</f>
        <v/>
      </c>
    </row>
    <row r="1261">
      <c r="A1261">
        <f>IF(Sync!$P1258="","",Sync!$P1258)</f>
        <v/>
      </c>
      <c r="B1261">
        <f>IF($A1261="","",IF(ISNUMBER($A1261),IF(AND($A1261&gt;=10000101,$A1261&lt;=99991231),INT($A1261/10000),""),IFERROR(VALUE(TRIM(LEFT($A1261,FIND("/",$A1261)-1))),"")))</f>
        <v/>
      </c>
      <c r="C1261">
        <f>IF(OR($A1261="",$B1261=""),"",IF(ISNUMBER($A1261),INT(MOD($A1261,10000)/100),IFERROR(VALUE(TRIM(LEFT(MID($A1261,FIND("/",$A1261)+1,20),FIND("/",MID($A1261,FIND("/",$A1261)+1,20))-1))),"")))</f>
        <v/>
      </c>
      <c r="D1261">
        <f>IF(OR($A1261="",$B1261=""),"",IF(ISNUMBER($A1261),MOD($A1261,100),IFERROR(VALUE(TRIM(MID(MID($A1261,FIND("/",$A1261)+1,20),FIND("/",MID($A1261,FIND("/",$A1261)+1,20))+1,20))),"")))</f>
        <v/>
      </c>
      <c r="E1261">
        <f>IF($A1261="","",IF(OR($B1261="",$C1261="",$D1261="",$B1261&lt;1300,$B1261&gt;1500,$C1261&lt;1,$C1261&gt;12,$D1261&lt;1,$D1261&gt;31),"نامعتبر",RIGHT("0000"&amp;$B1261,4)&amp;"/"&amp;RIGHT("00"&amp;$C1261,2)&amp;"/"&amp;RIGHT("00"&amp;$D1261,2)))</f>
        <v/>
      </c>
      <c r="F1261">
        <f>IF(OR($E1261="",$E1261="نامعتبر"),"",IF(Sync!$Q1258="","0000",IF(AND(ISNUMBER(Sync!$Q1258),Sync!$Q1258&gt;=0,Sync!$Q1258&lt;1),RIGHT("00"&amp;HOUR(Sync!$Q1258),2)&amp;RIGHT("00"&amp;MINUTE(Sync!$Q1258),2),IFERROR(RIGHT("00"&amp;VALUE(LEFT(Sync!$Q1258,FIND(":",Sync!$Q1258)-1)),2)&amp;RIGHT("00"&amp;VALUE(MID(Sync!$Q1258,FIND(":",Sync!$Q1258)+1,2)),2),"0000"))))</f>
        <v/>
      </c>
      <c r="G1261">
        <f>IF(OR($E1261="",$E1261="نامعتبر"),"",IF(Sync!$S1258="","",Sync!$S1258))</f>
        <v/>
      </c>
      <c r="H1261">
        <f>IF(OR($E1261="",$E1261="نامعتبر"),"",IF(Sync!$R1258="","",Sync!$R1258))</f>
        <v/>
      </c>
      <c r="I1261">
        <f>IF(OR($E1261="",$E1261="نامعتبر"),"",IF(Sync!$T1258="","",Sync!$T1258))</f>
        <v/>
      </c>
      <c r="J1261">
        <f>IF(OR($E1261="",$E1261="نامعتبر"),"",IF(Sync!$U1258="","",Sync!$U1258))</f>
        <v/>
      </c>
      <c r="K1261">
        <f>IF(OR($E1261="",$E1261="نامعتبر"),"",IF(Sync!$V1258="","",IFERROR(INDEX(SubCodes,MATCH(Sync!$V1258,SubTitles,0)),Sync!$V1258)))</f>
        <v/>
      </c>
      <c r="L1261">
        <f>IF(OR($E1261="",$E1261="نامعتبر"),"",IF(Sync!$W1258="",0,Sync!$W1258))</f>
        <v/>
      </c>
      <c r="M1261">
        <f>IF(OR($E1261="",$E1261="نامعتبر"),"",IF(Sync!$X1258="",0,Sync!$X1258))</f>
        <v/>
      </c>
      <c r="N1261">
        <f>IF(OR($E1261="",$E1261="نامعتبر"),"",IF(AND($J1261="هزینه",$K1261&lt;&gt;""),1,0))</f>
        <v/>
      </c>
      <c r="O1261">
        <f>IF($N1261=0,"",LEFT($E1261,4)&amp;MID($E1261,6,2)&amp;RIGHT($E1261,2)&amp;$F1261&amp;"|"&amp;"1"&amp;RIGHT("00000"&amp;1253,5))</f>
        <v/>
      </c>
      <c r="P1261">
        <f>IF($O1261="","",COUNTIFS(ExpSub,$K1261,ExpKey,"&lt;"&amp;$O1261)+1)</f>
        <v/>
      </c>
      <c r="Q1261">
        <f>IF($P1261="","",$K1261&amp;"|"&amp;RIGHT("000000"&amp;$P1261,6))</f>
        <v/>
      </c>
    </row>
    <row r="1262">
      <c r="A1262">
        <f>IF(Sync!$P1259="","",Sync!$P1259)</f>
        <v/>
      </c>
      <c r="B1262">
        <f>IF($A1262="","",IF(ISNUMBER($A1262),IF(AND($A1262&gt;=10000101,$A1262&lt;=99991231),INT($A1262/10000),""),IFERROR(VALUE(TRIM(LEFT($A1262,FIND("/",$A1262)-1))),"")))</f>
        <v/>
      </c>
      <c r="C1262">
        <f>IF(OR($A1262="",$B1262=""),"",IF(ISNUMBER($A1262),INT(MOD($A1262,10000)/100),IFERROR(VALUE(TRIM(LEFT(MID($A1262,FIND("/",$A1262)+1,20),FIND("/",MID($A1262,FIND("/",$A1262)+1,20))-1))),"")))</f>
        <v/>
      </c>
      <c r="D1262">
        <f>IF(OR($A1262="",$B1262=""),"",IF(ISNUMBER($A1262),MOD($A1262,100),IFERROR(VALUE(TRIM(MID(MID($A1262,FIND("/",$A1262)+1,20),FIND("/",MID($A1262,FIND("/",$A1262)+1,20))+1,20))),"")))</f>
        <v/>
      </c>
      <c r="E1262">
        <f>IF($A1262="","",IF(OR($B1262="",$C1262="",$D1262="",$B1262&lt;1300,$B1262&gt;1500,$C1262&lt;1,$C1262&gt;12,$D1262&lt;1,$D1262&gt;31),"نامعتبر",RIGHT("0000"&amp;$B1262,4)&amp;"/"&amp;RIGHT("00"&amp;$C1262,2)&amp;"/"&amp;RIGHT("00"&amp;$D1262,2)))</f>
        <v/>
      </c>
      <c r="F1262">
        <f>IF(OR($E1262="",$E1262="نامعتبر"),"",IF(Sync!$Q1259="","0000",IF(AND(ISNUMBER(Sync!$Q1259),Sync!$Q1259&gt;=0,Sync!$Q1259&lt;1),RIGHT("00"&amp;HOUR(Sync!$Q1259),2)&amp;RIGHT("00"&amp;MINUTE(Sync!$Q1259),2),IFERROR(RIGHT("00"&amp;VALUE(LEFT(Sync!$Q1259,FIND(":",Sync!$Q1259)-1)),2)&amp;RIGHT("00"&amp;VALUE(MID(Sync!$Q1259,FIND(":",Sync!$Q1259)+1,2)),2),"0000"))))</f>
        <v/>
      </c>
      <c r="G1262">
        <f>IF(OR($E1262="",$E1262="نامعتبر"),"",IF(Sync!$S1259="","",Sync!$S1259))</f>
        <v/>
      </c>
      <c r="H1262">
        <f>IF(OR($E1262="",$E1262="نامعتبر"),"",IF(Sync!$R1259="","",Sync!$R1259))</f>
        <v/>
      </c>
      <c r="I1262">
        <f>IF(OR($E1262="",$E1262="نامعتبر"),"",IF(Sync!$T1259="","",Sync!$T1259))</f>
        <v/>
      </c>
      <c r="J1262">
        <f>IF(OR($E1262="",$E1262="نامعتبر"),"",IF(Sync!$U1259="","",Sync!$U1259))</f>
        <v/>
      </c>
      <c r="K1262">
        <f>IF(OR($E1262="",$E1262="نامعتبر"),"",IF(Sync!$V1259="","",IFERROR(INDEX(SubCodes,MATCH(Sync!$V1259,SubTitles,0)),Sync!$V1259)))</f>
        <v/>
      </c>
      <c r="L1262">
        <f>IF(OR($E1262="",$E1262="نامعتبر"),"",IF(Sync!$W1259="",0,Sync!$W1259))</f>
        <v/>
      </c>
      <c r="M1262">
        <f>IF(OR($E1262="",$E1262="نامعتبر"),"",IF(Sync!$X1259="",0,Sync!$X1259))</f>
        <v/>
      </c>
      <c r="N1262">
        <f>IF(OR($E1262="",$E1262="نامعتبر"),"",IF(AND($J1262="هزینه",$K1262&lt;&gt;""),1,0))</f>
        <v/>
      </c>
      <c r="O1262">
        <f>IF($N1262=0,"",LEFT($E1262,4)&amp;MID($E1262,6,2)&amp;RIGHT($E1262,2)&amp;$F1262&amp;"|"&amp;"1"&amp;RIGHT("00000"&amp;1254,5))</f>
        <v/>
      </c>
      <c r="P1262">
        <f>IF($O1262="","",COUNTIFS(ExpSub,$K1262,ExpKey,"&lt;"&amp;$O1262)+1)</f>
        <v/>
      </c>
      <c r="Q1262">
        <f>IF($P1262="","",$K1262&amp;"|"&amp;RIGHT("000000"&amp;$P1262,6))</f>
        <v/>
      </c>
    </row>
    <row r="1263">
      <c r="A1263">
        <f>IF(Sync!$P1260="","",Sync!$P1260)</f>
        <v/>
      </c>
      <c r="B1263">
        <f>IF($A1263="","",IF(ISNUMBER($A1263),IF(AND($A1263&gt;=10000101,$A1263&lt;=99991231),INT($A1263/10000),""),IFERROR(VALUE(TRIM(LEFT($A1263,FIND("/",$A1263)-1))),"")))</f>
        <v/>
      </c>
      <c r="C1263">
        <f>IF(OR($A1263="",$B1263=""),"",IF(ISNUMBER($A1263),INT(MOD($A1263,10000)/100),IFERROR(VALUE(TRIM(LEFT(MID($A1263,FIND("/",$A1263)+1,20),FIND("/",MID($A1263,FIND("/",$A1263)+1,20))-1))),"")))</f>
        <v/>
      </c>
      <c r="D1263">
        <f>IF(OR($A1263="",$B1263=""),"",IF(ISNUMBER($A1263),MOD($A1263,100),IFERROR(VALUE(TRIM(MID(MID($A1263,FIND("/",$A1263)+1,20),FIND("/",MID($A1263,FIND("/",$A1263)+1,20))+1,20))),"")))</f>
        <v/>
      </c>
      <c r="E1263">
        <f>IF($A1263="","",IF(OR($B1263="",$C1263="",$D1263="",$B1263&lt;1300,$B1263&gt;1500,$C1263&lt;1,$C1263&gt;12,$D1263&lt;1,$D1263&gt;31),"نامعتبر",RIGHT("0000"&amp;$B1263,4)&amp;"/"&amp;RIGHT("00"&amp;$C1263,2)&amp;"/"&amp;RIGHT("00"&amp;$D1263,2)))</f>
        <v/>
      </c>
      <c r="F1263">
        <f>IF(OR($E1263="",$E1263="نامعتبر"),"",IF(Sync!$Q1260="","0000",IF(AND(ISNUMBER(Sync!$Q1260),Sync!$Q1260&gt;=0,Sync!$Q1260&lt;1),RIGHT("00"&amp;HOUR(Sync!$Q1260),2)&amp;RIGHT("00"&amp;MINUTE(Sync!$Q1260),2),IFERROR(RIGHT("00"&amp;VALUE(LEFT(Sync!$Q1260,FIND(":",Sync!$Q1260)-1)),2)&amp;RIGHT("00"&amp;VALUE(MID(Sync!$Q1260,FIND(":",Sync!$Q1260)+1,2)),2),"0000"))))</f>
        <v/>
      </c>
      <c r="G1263">
        <f>IF(OR($E1263="",$E1263="نامعتبر"),"",IF(Sync!$S1260="","",Sync!$S1260))</f>
        <v/>
      </c>
      <c r="H1263">
        <f>IF(OR($E1263="",$E1263="نامعتبر"),"",IF(Sync!$R1260="","",Sync!$R1260))</f>
        <v/>
      </c>
      <c r="I1263">
        <f>IF(OR($E1263="",$E1263="نامعتبر"),"",IF(Sync!$T1260="","",Sync!$T1260))</f>
        <v/>
      </c>
      <c r="J1263">
        <f>IF(OR($E1263="",$E1263="نامعتبر"),"",IF(Sync!$U1260="","",Sync!$U1260))</f>
        <v/>
      </c>
      <c r="K1263">
        <f>IF(OR($E1263="",$E1263="نامعتبر"),"",IF(Sync!$V1260="","",IFERROR(INDEX(SubCodes,MATCH(Sync!$V1260,SubTitles,0)),Sync!$V1260)))</f>
        <v/>
      </c>
      <c r="L1263">
        <f>IF(OR($E1263="",$E1263="نامعتبر"),"",IF(Sync!$W1260="",0,Sync!$W1260))</f>
        <v/>
      </c>
      <c r="M1263">
        <f>IF(OR($E1263="",$E1263="نامعتبر"),"",IF(Sync!$X1260="",0,Sync!$X1260))</f>
        <v/>
      </c>
      <c r="N1263">
        <f>IF(OR($E1263="",$E1263="نامعتبر"),"",IF(AND($J1263="هزینه",$K1263&lt;&gt;""),1,0))</f>
        <v/>
      </c>
      <c r="O1263">
        <f>IF($N1263=0,"",LEFT($E1263,4)&amp;MID($E1263,6,2)&amp;RIGHT($E1263,2)&amp;$F1263&amp;"|"&amp;"1"&amp;RIGHT("00000"&amp;1255,5))</f>
        <v/>
      </c>
      <c r="P1263">
        <f>IF($O1263="","",COUNTIFS(ExpSub,$K1263,ExpKey,"&lt;"&amp;$O1263)+1)</f>
        <v/>
      </c>
      <c r="Q1263">
        <f>IF($P1263="","",$K1263&amp;"|"&amp;RIGHT("000000"&amp;$P1263,6))</f>
        <v/>
      </c>
    </row>
    <row r="1264">
      <c r="A1264">
        <f>IF(Sync!$P1261="","",Sync!$P1261)</f>
        <v/>
      </c>
      <c r="B1264">
        <f>IF($A1264="","",IF(ISNUMBER($A1264),IF(AND($A1264&gt;=10000101,$A1264&lt;=99991231),INT($A1264/10000),""),IFERROR(VALUE(TRIM(LEFT($A1264,FIND("/",$A1264)-1))),"")))</f>
        <v/>
      </c>
      <c r="C1264">
        <f>IF(OR($A1264="",$B1264=""),"",IF(ISNUMBER($A1264),INT(MOD($A1264,10000)/100),IFERROR(VALUE(TRIM(LEFT(MID($A1264,FIND("/",$A1264)+1,20),FIND("/",MID($A1264,FIND("/",$A1264)+1,20))-1))),"")))</f>
        <v/>
      </c>
      <c r="D1264">
        <f>IF(OR($A1264="",$B1264=""),"",IF(ISNUMBER($A1264),MOD($A1264,100),IFERROR(VALUE(TRIM(MID(MID($A1264,FIND("/",$A1264)+1,20),FIND("/",MID($A1264,FIND("/",$A1264)+1,20))+1,20))),"")))</f>
        <v/>
      </c>
      <c r="E1264">
        <f>IF($A1264="","",IF(OR($B1264="",$C1264="",$D1264="",$B1264&lt;1300,$B1264&gt;1500,$C1264&lt;1,$C1264&gt;12,$D1264&lt;1,$D1264&gt;31),"نامعتبر",RIGHT("0000"&amp;$B1264,4)&amp;"/"&amp;RIGHT("00"&amp;$C1264,2)&amp;"/"&amp;RIGHT("00"&amp;$D1264,2)))</f>
        <v/>
      </c>
      <c r="F1264">
        <f>IF(OR($E1264="",$E1264="نامعتبر"),"",IF(Sync!$Q1261="","0000",IF(AND(ISNUMBER(Sync!$Q1261),Sync!$Q1261&gt;=0,Sync!$Q1261&lt;1),RIGHT("00"&amp;HOUR(Sync!$Q1261),2)&amp;RIGHT("00"&amp;MINUTE(Sync!$Q1261),2),IFERROR(RIGHT("00"&amp;VALUE(LEFT(Sync!$Q1261,FIND(":",Sync!$Q1261)-1)),2)&amp;RIGHT("00"&amp;VALUE(MID(Sync!$Q1261,FIND(":",Sync!$Q1261)+1,2)),2),"0000"))))</f>
        <v/>
      </c>
      <c r="G1264">
        <f>IF(OR($E1264="",$E1264="نامعتبر"),"",IF(Sync!$S1261="","",Sync!$S1261))</f>
        <v/>
      </c>
      <c r="H1264">
        <f>IF(OR($E1264="",$E1264="نامعتبر"),"",IF(Sync!$R1261="","",Sync!$R1261))</f>
        <v/>
      </c>
      <c r="I1264">
        <f>IF(OR($E1264="",$E1264="نامعتبر"),"",IF(Sync!$T1261="","",Sync!$T1261))</f>
        <v/>
      </c>
      <c r="J1264">
        <f>IF(OR($E1264="",$E1264="نامعتبر"),"",IF(Sync!$U1261="","",Sync!$U1261))</f>
        <v/>
      </c>
      <c r="K1264">
        <f>IF(OR($E1264="",$E1264="نامعتبر"),"",IF(Sync!$V1261="","",IFERROR(INDEX(SubCodes,MATCH(Sync!$V1261,SubTitles,0)),Sync!$V1261)))</f>
        <v/>
      </c>
      <c r="L1264">
        <f>IF(OR($E1264="",$E1264="نامعتبر"),"",IF(Sync!$W1261="",0,Sync!$W1261))</f>
        <v/>
      </c>
      <c r="M1264">
        <f>IF(OR($E1264="",$E1264="نامعتبر"),"",IF(Sync!$X1261="",0,Sync!$X1261))</f>
        <v/>
      </c>
      <c r="N1264">
        <f>IF(OR($E1264="",$E1264="نامعتبر"),"",IF(AND($J1264="هزینه",$K1264&lt;&gt;""),1,0))</f>
        <v/>
      </c>
      <c r="O1264">
        <f>IF($N1264=0,"",LEFT($E1264,4)&amp;MID($E1264,6,2)&amp;RIGHT($E1264,2)&amp;$F1264&amp;"|"&amp;"1"&amp;RIGHT("00000"&amp;1256,5))</f>
        <v/>
      </c>
      <c r="P1264">
        <f>IF($O1264="","",COUNTIFS(ExpSub,$K1264,ExpKey,"&lt;"&amp;$O1264)+1)</f>
        <v/>
      </c>
      <c r="Q1264">
        <f>IF($P1264="","",$K1264&amp;"|"&amp;RIGHT("000000"&amp;$P1264,6))</f>
        <v/>
      </c>
    </row>
    <row r="1265">
      <c r="A1265">
        <f>IF(Sync!$P1262="","",Sync!$P1262)</f>
        <v/>
      </c>
      <c r="B1265">
        <f>IF($A1265="","",IF(ISNUMBER($A1265),IF(AND($A1265&gt;=10000101,$A1265&lt;=99991231),INT($A1265/10000),""),IFERROR(VALUE(TRIM(LEFT($A1265,FIND("/",$A1265)-1))),"")))</f>
        <v/>
      </c>
      <c r="C1265">
        <f>IF(OR($A1265="",$B1265=""),"",IF(ISNUMBER($A1265),INT(MOD($A1265,10000)/100),IFERROR(VALUE(TRIM(LEFT(MID($A1265,FIND("/",$A1265)+1,20),FIND("/",MID($A1265,FIND("/",$A1265)+1,20))-1))),"")))</f>
        <v/>
      </c>
      <c r="D1265">
        <f>IF(OR($A1265="",$B1265=""),"",IF(ISNUMBER($A1265),MOD($A1265,100),IFERROR(VALUE(TRIM(MID(MID($A1265,FIND("/",$A1265)+1,20),FIND("/",MID($A1265,FIND("/",$A1265)+1,20))+1,20))),"")))</f>
        <v/>
      </c>
      <c r="E1265">
        <f>IF($A1265="","",IF(OR($B1265="",$C1265="",$D1265="",$B1265&lt;1300,$B1265&gt;1500,$C1265&lt;1,$C1265&gt;12,$D1265&lt;1,$D1265&gt;31),"نامعتبر",RIGHT("0000"&amp;$B1265,4)&amp;"/"&amp;RIGHT("00"&amp;$C1265,2)&amp;"/"&amp;RIGHT("00"&amp;$D1265,2)))</f>
        <v/>
      </c>
      <c r="F1265">
        <f>IF(OR($E1265="",$E1265="نامعتبر"),"",IF(Sync!$Q1262="","0000",IF(AND(ISNUMBER(Sync!$Q1262),Sync!$Q1262&gt;=0,Sync!$Q1262&lt;1),RIGHT("00"&amp;HOUR(Sync!$Q1262),2)&amp;RIGHT("00"&amp;MINUTE(Sync!$Q1262),2),IFERROR(RIGHT("00"&amp;VALUE(LEFT(Sync!$Q1262,FIND(":",Sync!$Q1262)-1)),2)&amp;RIGHT("00"&amp;VALUE(MID(Sync!$Q1262,FIND(":",Sync!$Q1262)+1,2)),2),"0000"))))</f>
        <v/>
      </c>
      <c r="G1265">
        <f>IF(OR($E1265="",$E1265="نامعتبر"),"",IF(Sync!$S1262="","",Sync!$S1262))</f>
        <v/>
      </c>
      <c r="H1265">
        <f>IF(OR($E1265="",$E1265="نامعتبر"),"",IF(Sync!$R1262="","",Sync!$R1262))</f>
        <v/>
      </c>
      <c r="I1265">
        <f>IF(OR($E1265="",$E1265="نامعتبر"),"",IF(Sync!$T1262="","",Sync!$T1262))</f>
        <v/>
      </c>
      <c r="J1265">
        <f>IF(OR($E1265="",$E1265="نامعتبر"),"",IF(Sync!$U1262="","",Sync!$U1262))</f>
        <v/>
      </c>
      <c r="K1265">
        <f>IF(OR($E1265="",$E1265="نامعتبر"),"",IF(Sync!$V1262="","",IFERROR(INDEX(SubCodes,MATCH(Sync!$V1262,SubTitles,0)),Sync!$V1262)))</f>
        <v/>
      </c>
      <c r="L1265">
        <f>IF(OR($E1265="",$E1265="نامعتبر"),"",IF(Sync!$W1262="",0,Sync!$W1262))</f>
        <v/>
      </c>
      <c r="M1265">
        <f>IF(OR($E1265="",$E1265="نامعتبر"),"",IF(Sync!$X1262="",0,Sync!$X1262))</f>
        <v/>
      </c>
      <c r="N1265">
        <f>IF(OR($E1265="",$E1265="نامعتبر"),"",IF(AND($J1265="هزینه",$K1265&lt;&gt;""),1,0))</f>
        <v/>
      </c>
      <c r="O1265">
        <f>IF($N1265=0,"",LEFT($E1265,4)&amp;MID($E1265,6,2)&amp;RIGHT($E1265,2)&amp;$F1265&amp;"|"&amp;"1"&amp;RIGHT("00000"&amp;1257,5))</f>
        <v/>
      </c>
      <c r="P1265">
        <f>IF($O1265="","",COUNTIFS(ExpSub,$K1265,ExpKey,"&lt;"&amp;$O1265)+1)</f>
        <v/>
      </c>
      <c r="Q1265">
        <f>IF($P1265="","",$K1265&amp;"|"&amp;RIGHT("000000"&amp;$P1265,6))</f>
        <v/>
      </c>
    </row>
    <row r="1266">
      <c r="A1266">
        <f>IF(Sync!$P1263="","",Sync!$P1263)</f>
        <v/>
      </c>
      <c r="B1266">
        <f>IF($A1266="","",IF(ISNUMBER($A1266),IF(AND($A1266&gt;=10000101,$A1266&lt;=99991231),INT($A1266/10000),""),IFERROR(VALUE(TRIM(LEFT($A1266,FIND("/",$A1266)-1))),"")))</f>
        <v/>
      </c>
      <c r="C1266">
        <f>IF(OR($A1266="",$B1266=""),"",IF(ISNUMBER($A1266),INT(MOD($A1266,10000)/100),IFERROR(VALUE(TRIM(LEFT(MID($A1266,FIND("/",$A1266)+1,20),FIND("/",MID($A1266,FIND("/",$A1266)+1,20))-1))),"")))</f>
        <v/>
      </c>
      <c r="D1266">
        <f>IF(OR($A1266="",$B1266=""),"",IF(ISNUMBER($A1266),MOD($A1266,100),IFERROR(VALUE(TRIM(MID(MID($A1266,FIND("/",$A1266)+1,20),FIND("/",MID($A1266,FIND("/",$A1266)+1,20))+1,20))),"")))</f>
        <v/>
      </c>
      <c r="E1266">
        <f>IF($A1266="","",IF(OR($B1266="",$C1266="",$D1266="",$B1266&lt;1300,$B1266&gt;1500,$C1266&lt;1,$C1266&gt;12,$D1266&lt;1,$D1266&gt;31),"نامعتبر",RIGHT("0000"&amp;$B1266,4)&amp;"/"&amp;RIGHT("00"&amp;$C1266,2)&amp;"/"&amp;RIGHT("00"&amp;$D1266,2)))</f>
        <v/>
      </c>
      <c r="F1266">
        <f>IF(OR($E1266="",$E1266="نامعتبر"),"",IF(Sync!$Q1263="","0000",IF(AND(ISNUMBER(Sync!$Q1263),Sync!$Q1263&gt;=0,Sync!$Q1263&lt;1),RIGHT("00"&amp;HOUR(Sync!$Q1263),2)&amp;RIGHT("00"&amp;MINUTE(Sync!$Q1263),2),IFERROR(RIGHT("00"&amp;VALUE(LEFT(Sync!$Q1263,FIND(":",Sync!$Q1263)-1)),2)&amp;RIGHT("00"&amp;VALUE(MID(Sync!$Q1263,FIND(":",Sync!$Q1263)+1,2)),2),"0000"))))</f>
        <v/>
      </c>
      <c r="G1266">
        <f>IF(OR($E1266="",$E1266="نامعتبر"),"",IF(Sync!$S1263="","",Sync!$S1263))</f>
        <v/>
      </c>
      <c r="H1266">
        <f>IF(OR($E1266="",$E1266="نامعتبر"),"",IF(Sync!$R1263="","",Sync!$R1263))</f>
        <v/>
      </c>
      <c r="I1266">
        <f>IF(OR($E1266="",$E1266="نامعتبر"),"",IF(Sync!$T1263="","",Sync!$T1263))</f>
        <v/>
      </c>
      <c r="J1266">
        <f>IF(OR($E1266="",$E1266="نامعتبر"),"",IF(Sync!$U1263="","",Sync!$U1263))</f>
        <v/>
      </c>
      <c r="K1266">
        <f>IF(OR($E1266="",$E1266="نامعتبر"),"",IF(Sync!$V1263="","",IFERROR(INDEX(SubCodes,MATCH(Sync!$V1263,SubTitles,0)),Sync!$V1263)))</f>
        <v/>
      </c>
      <c r="L1266">
        <f>IF(OR($E1266="",$E1266="نامعتبر"),"",IF(Sync!$W1263="",0,Sync!$W1263))</f>
        <v/>
      </c>
      <c r="M1266">
        <f>IF(OR($E1266="",$E1266="نامعتبر"),"",IF(Sync!$X1263="",0,Sync!$X1263))</f>
        <v/>
      </c>
      <c r="N1266">
        <f>IF(OR($E1266="",$E1266="نامعتبر"),"",IF(AND($J1266="هزینه",$K1266&lt;&gt;""),1,0))</f>
        <v/>
      </c>
      <c r="O1266">
        <f>IF($N1266=0,"",LEFT($E1266,4)&amp;MID($E1266,6,2)&amp;RIGHT($E1266,2)&amp;$F1266&amp;"|"&amp;"1"&amp;RIGHT("00000"&amp;1258,5))</f>
        <v/>
      </c>
      <c r="P1266">
        <f>IF($O1266="","",COUNTIFS(ExpSub,$K1266,ExpKey,"&lt;"&amp;$O1266)+1)</f>
        <v/>
      </c>
      <c r="Q1266">
        <f>IF($P1266="","",$K1266&amp;"|"&amp;RIGHT("000000"&amp;$P1266,6))</f>
        <v/>
      </c>
    </row>
    <row r="1267">
      <c r="A1267">
        <f>IF(Sync!$P1264="","",Sync!$P1264)</f>
        <v/>
      </c>
      <c r="B1267">
        <f>IF($A1267="","",IF(ISNUMBER($A1267),IF(AND($A1267&gt;=10000101,$A1267&lt;=99991231),INT($A1267/10000),""),IFERROR(VALUE(TRIM(LEFT($A1267,FIND("/",$A1267)-1))),"")))</f>
        <v/>
      </c>
      <c r="C1267">
        <f>IF(OR($A1267="",$B1267=""),"",IF(ISNUMBER($A1267),INT(MOD($A1267,10000)/100),IFERROR(VALUE(TRIM(LEFT(MID($A1267,FIND("/",$A1267)+1,20),FIND("/",MID($A1267,FIND("/",$A1267)+1,20))-1))),"")))</f>
        <v/>
      </c>
      <c r="D1267">
        <f>IF(OR($A1267="",$B1267=""),"",IF(ISNUMBER($A1267),MOD($A1267,100),IFERROR(VALUE(TRIM(MID(MID($A1267,FIND("/",$A1267)+1,20),FIND("/",MID($A1267,FIND("/",$A1267)+1,20))+1,20))),"")))</f>
        <v/>
      </c>
      <c r="E1267">
        <f>IF($A1267="","",IF(OR($B1267="",$C1267="",$D1267="",$B1267&lt;1300,$B1267&gt;1500,$C1267&lt;1,$C1267&gt;12,$D1267&lt;1,$D1267&gt;31),"نامعتبر",RIGHT("0000"&amp;$B1267,4)&amp;"/"&amp;RIGHT("00"&amp;$C1267,2)&amp;"/"&amp;RIGHT("00"&amp;$D1267,2)))</f>
        <v/>
      </c>
      <c r="F1267">
        <f>IF(OR($E1267="",$E1267="نامعتبر"),"",IF(Sync!$Q1264="","0000",IF(AND(ISNUMBER(Sync!$Q1264),Sync!$Q1264&gt;=0,Sync!$Q1264&lt;1),RIGHT("00"&amp;HOUR(Sync!$Q1264),2)&amp;RIGHT("00"&amp;MINUTE(Sync!$Q1264),2),IFERROR(RIGHT("00"&amp;VALUE(LEFT(Sync!$Q1264,FIND(":",Sync!$Q1264)-1)),2)&amp;RIGHT("00"&amp;VALUE(MID(Sync!$Q1264,FIND(":",Sync!$Q1264)+1,2)),2),"0000"))))</f>
        <v/>
      </c>
      <c r="G1267">
        <f>IF(OR($E1267="",$E1267="نامعتبر"),"",IF(Sync!$S1264="","",Sync!$S1264))</f>
        <v/>
      </c>
      <c r="H1267">
        <f>IF(OR($E1267="",$E1267="نامعتبر"),"",IF(Sync!$R1264="","",Sync!$R1264))</f>
        <v/>
      </c>
      <c r="I1267">
        <f>IF(OR($E1267="",$E1267="نامعتبر"),"",IF(Sync!$T1264="","",Sync!$T1264))</f>
        <v/>
      </c>
      <c r="J1267">
        <f>IF(OR($E1267="",$E1267="نامعتبر"),"",IF(Sync!$U1264="","",Sync!$U1264))</f>
        <v/>
      </c>
      <c r="K1267">
        <f>IF(OR($E1267="",$E1267="نامعتبر"),"",IF(Sync!$V1264="","",IFERROR(INDEX(SubCodes,MATCH(Sync!$V1264,SubTitles,0)),Sync!$V1264)))</f>
        <v/>
      </c>
      <c r="L1267">
        <f>IF(OR($E1267="",$E1267="نامعتبر"),"",IF(Sync!$W1264="",0,Sync!$W1264))</f>
        <v/>
      </c>
      <c r="M1267">
        <f>IF(OR($E1267="",$E1267="نامعتبر"),"",IF(Sync!$X1264="",0,Sync!$X1264))</f>
        <v/>
      </c>
      <c r="N1267">
        <f>IF(OR($E1267="",$E1267="نامعتبر"),"",IF(AND($J1267="هزینه",$K1267&lt;&gt;""),1,0))</f>
        <v/>
      </c>
      <c r="O1267">
        <f>IF($N1267=0,"",LEFT($E1267,4)&amp;MID($E1267,6,2)&amp;RIGHT($E1267,2)&amp;$F1267&amp;"|"&amp;"1"&amp;RIGHT("00000"&amp;1259,5))</f>
        <v/>
      </c>
      <c r="P1267">
        <f>IF($O1267="","",COUNTIFS(ExpSub,$K1267,ExpKey,"&lt;"&amp;$O1267)+1)</f>
        <v/>
      </c>
      <c r="Q1267">
        <f>IF($P1267="","",$K1267&amp;"|"&amp;RIGHT("000000"&amp;$P1267,6))</f>
        <v/>
      </c>
    </row>
    <row r="1268">
      <c r="A1268">
        <f>IF(Sync!$P1265="","",Sync!$P1265)</f>
        <v/>
      </c>
      <c r="B1268">
        <f>IF($A1268="","",IF(ISNUMBER($A1268),IF(AND($A1268&gt;=10000101,$A1268&lt;=99991231),INT($A1268/10000),""),IFERROR(VALUE(TRIM(LEFT($A1268,FIND("/",$A1268)-1))),"")))</f>
        <v/>
      </c>
      <c r="C1268">
        <f>IF(OR($A1268="",$B1268=""),"",IF(ISNUMBER($A1268),INT(MOD($A1268,10000)/100),IFERROR(VALUE(TRIM(LEFT(MID($A1268,FIND("/",$A1268)+1,20),FIND("/",MID($A1268,FIND("/",$A1268)+1,20))-1))),"")))</f>
        <v/>
      </c>
      <c r="D1268">
        <f>IF(OR($A1268="",$B1268=""),"",IF(ISNUMBER($A1268),MOD($A1268,100),IFERROR(VALUE(TRIM(MID(MID($A1268,FIND("/",$A1268)+1,20),FIND("/",MID($A1268,FIND("/",$A1268)+1,20))+1,20))),"")))</f>
        <v/>
      </c>
      <c r="E1268">
        <f>IF($A1268="","",IF(OR($B1268="",$C1268="",$D1268="",$B1268&lt;1300,$B1268&gt;1500,$C1268&lt;1,$C1268&gt;12,$D1268&lt;1,$D1268&gt;31),"نامعتبر",RIGHT("0000"&amp;$B1268,4)&amp;"/"&amp;RIGHT("00"&amp;$C1268,2)&amp;"/"&amp;RIGHT("00"&amp;$D1268,2)))</f>
        <v/>
      </c>
      <c r="F1268">
        <f>IF(OR($E1268="",$E1268="نامعتبر"),"",IF(Sync!$Q1265="","0000",IF(AND(ISNUMBER(Sync!$Q1265),Sync!$Q1265&gt;=0,Sync!$Q1265&lt;1),RIGHT("00"&amp;HOUR(Sync!$Q1265),2)&amp;RIGHT("00"&amp;MINUTE(Sync!$Q1265),2),IFERROR(RIGHT("00"&amp;VALUE(LEFT(Sync!$Q1265,FIND(":",Sync!$Q1265)-1)),2)&amp;RIGHT("00"&amp;VALUE(MID(Sync!$Q1265,FIND(":",Sync!$Q1265)+1,2)),2),"0000"))))</f>
        <v/>
      </c>
      <c r="G1268">
        <f>IF(OR($E1268="",$E1268="نامعتبر"),"",IF(Sync!$S1265="","",Sync!$S1265))</f>
        <v/>
      </c>
      <c r="H1268">
        <f>IF(OR($E1268="",$E1268="نامعتبر"),"",IF(Sync!$R1265="","",Sync!$R1265))</f>
        <v/>
      </c>
      <c r="I1268">
        <f>IF(OR($E1268="",$E1268="نامعتبر"),"",IF(Sync!$T1265="","",Sync!$T1265))</f>
        <v/>
      </c>
      <c r="J1268">
        <f>IF(OR($E1268="",$E1268="نامعتبر"),"",IF(Sync!$U1265="","",Sync!$U1265))</f>
        <v/>
      </c>
      <c r="K1268">
        <f>IF(OR($E1268="",$E1268="نامعتبر"),"",IF(Sync!$V1265="","",IFERROR(INDEX(SubCodes,MATCH(Sync!$V1265,SubTitles,0)),Sync!$V1265)))</f>
        <v/>
      </c>
      <c r="L1268">
        <f>IF(OR($E1268="",$E1268="نامعتبر"),"",IF(Sync!$W1265="",0,Sync!$W1265))</f>
        <v/>
      </c>
      <c r="M1268">
        <f>IF(OR($E1268="",$E1268="نامعتبر"),"",IF(Sync!$X1265="",0,Sync!$X1265))</f>
        <v/>
      </c>
      <c r="N1268">
        <f>IF(OR($E1268="",$E1268="نامعتبر"),"",IF(AND($J1268="هزینه",$K1268&lt;&gt;""),1,0))</f>
        <v/>
      </c>
      <c r="O1268">
        <f>IF($N1268=0,"",LEFT($E1268,4)&amp;MID($E1268,6,2)&amp;RIGHT($E1268,2)&amp;$F1268&amp;"|"&amp;"1"&amp;RIGHT("00000"&amp;1260,5))</f>
        <v/>
      </c>
      <c r="P1268">
        <f>IF($O1268="","",COUNTIFS(ExpSub,$K1268,ExpKey,"&lt;"&amp;$O1268)+1)</f>
        <v/>
      </c>
      <c r="Q1268">
        <f>IF($P1268="","",$K1268&amp;"|"&amp;RIGHT("000000"&amp;$P1268,6))</f>
        <v/>
      </c>
    </row>
    <row r="1269">
      <c r="A1269">
        <f>IF(Sync!$P1266="","",Sync!$P1266)</f>
        <v/>
      </c>
      <c r="B1269">
        <f>IF($A1269="","",IF(ISNUMBER($A1269),IF(AND($A1269&gt;=10000101,$A1269&lt;=99991231),INT($A1269/10000),""),IFERROR(VALUE(TRIM(LEFT($A1269,FIND("/",$A1269)-1))),"")))</f>
        <v/>
      </c>
      <c r="C1269">
        <f>IF(OR($A1269="",$B1269=""),"",IF(ISNUMBER($A1269),INT(MOD($A1269,10000)/100),IFERROR(VALUE(TRIM(LEFT(MID($A1269,FIND("/",$A1269)+1,20),FIND("/",MID($A1269,FIND("/",$A1269)+1,20))-1))),"")))</f>
        <v/>
      </c>
      <c r="D1269">
        <f>IF(OR($A1269="",$B1269=""),"",IF(ISNUMBER($A1269),MOD($A1269,100),IFERROR(VALUE(TRIM(MID(MID($A1269,FIND("/",$A1269)+1,20),FIND("/",MID($A1269,FIND("/",$A1269)+1,20))+1,20))),"")))</f>
        <v/>
      </c>
      <c r="E1269">
        <f>IF($A1269="","",IF(OR($B1269="",$C1269="",$D1269="",$B1269&lt;1300,$B1269&gt;1500,$C1269&lt;1,$C1269&gt;12,$D1269&lt;1,$D1269&gt;31),"نامعتبر",RIGHT("0000"&amp;$B1269,4)&amp;"/"&amp;RIGHT("00"&amp;$C1269,2)&amp;"/"&amp;RIGHT("00"&amp;$D1269,2)))</f>
        <v/>
      </c>
      <c r="F1269">
        <f>IF(OR($E1269="",$E1269="نامعتبر"),"",IF(Sync!$Q1266="","0000",IF(AND(ISNUMBER(Sync!$Q1266),Sync!$Q1266&gt;=0,Sync!$Q1266&lt;1),RIGHT("00"&amp;HOUR(Sync!$Q1266),2)&amp;RIGHT("00"&amp;MINUTE(Sync!$Q1266),2),IFERROR(RIGHT("00"&amp;VALUE(LEFT(Sync!$Q1266,FIND(":",Sync!$Q1266)-1)),2)&amp;RIGHT("00"&amp;VALUE(MID(Sync!$Q1266,FIND(":",Sync!$Q1266)+1,2)),2),"0000"))))</f>
        <v/>
      </c>
      <c r="G1269">
        <f>IF(OR($E1269="",$E1269="نامعتبر"),"",IF(Sync!$S1266="","",Sync!$S1266))</f>
        <v/>
      </c>
      <c r="H1269">
        <f>IF(OR($E1269="",$E1269="نامعتبر"),"",IF(Sync!$R1266="","",Sync!$R1266))</f>
        <v/>
      </c>
      <c r="I1269">
        <f>IF(OR($E1269="",$E1269="نامعتبر"),"",IF(Sync!$T1266="","",Sync!$T1266))</f>
        <v/>
      </c>
      <c r="J1269">
        <f>IF(OR($E1269="",$E1269="نامعتبر"),"",IF(Sync!$U1266="","",Sync!$U1266))</f>
        <v/>
      </c>
      <c r="K1269">
        <f>IF(OR($E1269="",$E1269="نامعتبر"),"",IF(Sync!$V1266="","",IFERROR(INDEX(SubCodes,MATCH(Sync!$V1266,SubTitles,0)),Sync!$V1266)))</f>
        <v/>
      </c>
      <c r="L1269">
        <f>IF(OR($E1269="",$E1269="نامعتبر"),"",IF(Sync!$W1266="",0,Sync!$W1266))</f>
        <v/>
      </c>
      <c r="M1269">
        <f>IF(OR($E1269="",$E1269="نامعتبر"),"",IF(Sync!$X1266="",0,Sync!$X1266))</f>
        <v/>
      </c>
      <c r="N1269">
        <f>IF(OR($E1269="",$E1269="نامعتبر"),"",IF(AND($J1269="هزینه",$K1269&lt;&gt;""),1,0))</f>
        <v/>
      </c>
      <c r="O1269">
        <f>IF($N1269=0,"",LEFT($E1269,4)&amp;MID($E1269,6,2)&amp;RIGHT($E1269,2)&amp;$F1269&amp;"|"&amp;"1"&amp;RIGHT("00000"&amp;1261,5))</f>
        <v/>
      </c>
      <c r="P1269">
        <f>IF($O1269="","",COUNTIFS(ExpSub,$K1269,ExpKey,"&lt;"&amp;$O1269)+1)</f>
        <v/>
      </c>
      <c r="Q1269">
        <f>IF($P1269="","",$K1269&amp;"|"&amp;RIGHT("000000"&amp;$P1269,6))</f>
        <v/>
      </c>
    </row>
    <row r="1270">
      <c r="A1270">
        <f>IF(Sync!$P1267="","",Sync!$P1267)</f>
        <v/>
      </c>
      <c r="B1270">
        <f>IF($A1270="","",IF(ISNUMBER($A1270),IF(AND($A1270&gt;=10000101,$A1270&lt;=99991231),INT($A1270/10000),""),IFERROR(VALUE(TRIM(LEFT($A1270,FIND("/",$A1270)-1))),"")))</f>
        <v/>
      </c>
      <c r="C1270">
        <f>IF(OR($A1270="",$B1270=""),"",IF(ISNUMBER($A1270),INT(MOD($A1270,10000)/100),IFERROR(VALUE(TRIM(LEFT(MID($A1270,FIND("/",$A1270)+1,20),FIND("/",MID($A1270,FIND("/",$A1270)+1,20))-1))),"")))</f>
        <v/>
      </c>
      <c r="D1270">
        <f>IF(OR($A1270="",$B1270=""),"",IF(ISNUMBER($A1270),MOD($A1270,100),IFERROR(VALUE(TRIM(MID(MID($A1270,FIND("/",$A1270)+1,20),FIND("/",MID($A1270,FIND("/",$A1270)+1,20))+1,20))),"")))</f>
        <v/>
      </c>
      <c r="E1270">
        <f>IF($A1270="","",IF(OR($B1270="",$C1270="",$D1270="",$B1270&lt;1300,$B1270&gt;1500,$C1270&lt;1,$C1270&gt;12,$D1270&lt;1,$D1270&gt;31),"نامعتبر",RIGHT("0000"&amp;$B1270,4)&amp;"/"&amp;RIGHT("00"&amp;$C1270,2)&amp;"/"&amp;RIGHT("00"&amp;$D1270,2)))</f>
        <v/>
      </c>
      <c r="F1270">
        <f>IF(OR($E1270="",$E1270="نامعتبر"),"",IF(Sync!$Q1267="","0000",IF(AND(ISNUMBER(Sync!$Q1267),Sync!$Q1267&gt;=0,Sync!$Q1267&lt;1),RIGHT("00"&amp;HOUR(Sync!$Q1267),2)&amp;RIGHT("00"&amp;MINUTE(Sync!$Q1267),2),IFERROR(RIGHT("00"&amp;VALUE(LEFT(Sync!$Q1267,FIND(":",Sync!$Q1267)-1)),2)&amp;RIGHT("00"&amp;VALUE(MID(Sync!$Q1267,FIND(":",Sync!$Q1267)+1,2)),2),"0000"))))</f>
        <v/>
      </c>
      <c r="G1270">
        <f>IF(OR($E1270="",$E1270="نامعتبر"),"",IF(Sync!$S1267="","",Sync!$S1267))</f>
        <v/>
      </c>
      <c r="H1270">
        <f>IF(OR($E1270="",$E1270="نامعتبر"),"",IF(Sync!$R1267="","",Sync!$R1267))</f>
        <v/>
      </c>
      <c r="I1270">
        <f>IF(OR($E1270="",$E1270="نامعتبر"),"",IF(Sync!$T1267="","",Sync!$T1267))</f>
        <v/>
      </c>
      <c r="J1270">
        <f>IF(OR($E1270="",$E1270="نامعتبر"),"",IF(Sync!$U1267="","",Sync!$U1267))</f>
        <v/>
      </c>
      <c r="K1270">
        <f>IF(OR($E1270="",$E1270="نامعتبر"),"",IF(Sync!$V1267="","",IFERROR(INDEX(SubCodes,MATCH(Sync!$V1267,SubTitles,0)),Sync!$V1267)))</f>
        <v/>
      </c>
      <c r="L1270">
        <f>IF(OR($E1270="",$E1270="نامعتبر"),"",IF(Sync!$W1267="",0,Sync!$W1267))</f>
        <v/>
      </c>
      <c r="M1270">
        <f>IF(OR($E1270="",$E1270="نامعتبر"),"",IF(Sync!$X1267="",0,Sync!$X1267))</f>
        <v/>
      </c>
      <c r="N1270">
        <f>IF(OR($E1270="",$E1270="نامعتبر"),"",IF(AND($J1270="هزینه",$K1270&lt;&gt;""),1,0))</f>
        <v/>
      </c>
      <c r="O1270">
        <f>IF($N1270=0,"",LEFT($E1270,4)&amp;MID($E1270,6,2)&amp;RIGHT($E1270,2)&amp;$F1270&amp;"|"&amp;"1"&amp;RIGHT("00000"&amp;1262,5))</f>
        <v/>
      </c>
      <c r="P1270">
        <f>IF($O1270="","",COUNTIFS(ExpSub,$K1270,ExpKey,"&lt;"&amp;$O1270)+1)</f>
        <v/>
      </c>
      <c r="Q1270">
        <f>IF($P1270="","",$K1270&amp;"|"&amp;RIGHT("000000"&amp;$P1270,6))</f>
        <v/>
      </c>
    </row>
    <row r="1271">
      <c r="A1271">
        <f>IF(Sync!$P1268="","",Sync!$P1268)</f>
        <v/>
      </c>
      <c r="B1271">
        <f>IF($A1271="","",IF(ISNUMBER($A1271),IF(AND($A1271&gt;=10000101,$A1271&lt;=99991231),INT($A1271/10000),""),IFERROR(VALUE(TRIM(LEFT($A1271,FIND("/",$A1271)-1))),"")))</f>
        <v/>
      </c>
      <c r="C1271">
        <f>IF(OR($A1271="",$B1271=""),"",IF(ISNUMBER($A1271),INT(MOD($A1271,10000)/100),IFERROR(VALUE(TRIM(LEFT(MID($A1271,FIND("/",$A1271)+1,20),FIND("/",MID($A1271,FIND("/",$A1271)+1,20))-1))),"")))</f>
        <v/>
      </c>
      <c r="D1271">
        <f>IF(OR($A1271="",$B1271=""),"",IF(ISNUMBER($A1271),MOD($A1271,100),IFERROR(VALUE(TRIM(MID(MID($A1271,FIND("/",$A1271)+1,20),FIND("/",MID($A1271,FIND("/",$A1271)+1,20))+1,20))),"")))</f>
        <v/>
      </c>
      <c r="E1271">
        <f>IF($A1271="","",IF(OR($B1271="",$C1271="",$D1271="",$B1271&lt;1300,$B1271&gt;1500,$C1271&lt;1,$C1271&gt;12,$D1271&lt;1,$D1271&gt;31),"نامعتبر",RIGHT("0000"&amp;$B1271,4)&amp;"/"&amp;RIGHT("00"&amp;$C1271,2)&amp;"/"&amp;RIGHT("00"&amp;$D1271,2)))</f>
        <v/>
      </c>
      <c r="F1271">
        <f>IF(OR($E1271="",$E1271="نامعتبر"),"",IF(Sync!$Q1268="","0000",IF(AND(ISNUMBER(Sync!$Q1268),Sync!$Q1268&gt;=0,Sync!$Q1268&lt;1),RIGHT("00"&amp;HOUR(Sync!$Q1268),2)&amp;RIGHT("00"&amp;MINUTE(Sync!$Q1268),2),IFERROR(RIGHT("00"&amp;VALUE(LEFT(Sync!$Q1268,FIND(":",Sync!$Q1268)-1)),2)&amp;RIGHT("00"&amp;VALUE(MID(Sync!$Q1268,FIND(":",Sync!$Q1268)+1,2)),2),"0000"))))</f>
        <v/>
      </c>
      <c r="G1271">
        <f>IF(OR($E1271="",$E1271="نامعتبر"),"",IF(Sync!$S1268="","",Sync!$S1268))</f>
        <v/>
      </c>
      <c r="H1271">
        <f>IF(OR($E1271="",$E1271="نامعتبر"),"",IF(Sync!$R1268="","",Sync!$R1268))</f>
        <v/>
      </c>
      <c r="I1271">
        <f>IF(OR($E1271="",$E1271="نامعتبر"),"",IF(Sync!$T1268="","",Sync!$T1268))</f>
        <v/>
      </c>
      <c r="J1271">
        <f>IF(OR($E1271="",$E1271="نامعتبر"),"",IF(Sync!$U1268="","",Sync!$U1268))</f>
        <v/>
      </c>
      <c r="K1271">
        <f>IF(OR($E1271="",$E1271="نامعتبر"),"",IF(Sync!$V1268="","",IFERROR(INDEX(SubCodes,MATCH(Sync!$V1268,SubTitles,0)),Sync!$V1268)))</f>
        <v/>
      </c>
      <c r="L1271">
        <f>IF(OR($E1271="",$E1271="نامعتبر"),"",IF(Sync!$W1268="",0,Sync!$W1268))</f>
        <v/>
      </c>
      <c r="M1271">
        <f>IF(OR($E1271="",$E1271="نامعتبر"),"",IF(Sync!$X1268="",0,Sync!$X1268))</f>
        <v/>
      </c>
      <c r="N1271">
        <f>IF(OR($E1271="",$E1271="نامعتبر"),"",IF(AND($J1271="هزینه",$K1271&lt;&gt;""),1,0))</f>
        <v/>
      </c>
      <c r="O1271">
        <f>IF($N1271=0,"",LEFT($E1271,4)&amp;MID($E1271,6,2)&amp;RIGHT($E1271,2)&amp;$F1271&amp;"|"&amp;"1"&amp;RIGHT("00000"&amp;1263,5))</f>
        <v/>
      </c>
      <c r="P1271">
        <f>IF($O1271="","",COUNTIFS(ExpSub,$K1271,ExpKey,"&lt;"&amp;$O1271)+1)</f>
        <v/>
      </c>
      <c r="Q1271">
        <f>IF($P1271="","",$K1271&amp;"|"&amp;RIGHT("000000"&amp;$P1271,6))</f>
        <v/>
      </c>
    </row>
    <row r="1272">
      <c r="A1272">
        <f>IF(Sync!$P1269="","",Sync!$P1269)</f>
        <v/>
      </c>
      <c r="B1272">
        <f>IF($A1272="","",IF(ISNUMBER($A1272),IF(AND($A1272&gt;=10000101,$A1272&lt;=99991231),INT($A1272/10000),""),IFERROR(VALUE(TRIM(LEFT($A1272,FIND("/",$A1272)-1))),"")))</f>
        <v/>
      </c>
      <c r="C1272">
        <f>IF(OR($A1272="",$B1272=""),"",IF(ISNUMBER($A1272),INT(MOD($A1272,10000)/100),IFERROR(VALUE(TRIM(LEFT(MID($A1272,FIND("/",$A1272)+1,20),FIND("/",MID($A1272,FIND("/",$A1272)+1,20))-1))),"")))</f>
        <v/>
      </c>
      <c r="D1272">
        <f>IF(OR($A1272="",$B1272=""),"",IF(ISNUMBER($A1272),MOD($A1272,100),IFERROR(VALUE(TRIM(MID(MID($A1272,FIND("/",$A1272)+1,20),FIND("/",MID($A1272,FIND("/",$A1272)+1,20))+1,20))),"")))</f>
        <v/>
      </c>
      <c r="E1272">
        <f>IF($A1272="","",IF(OR($B1272="",$C1272="",$D1272="",$B1272&lt;1300,$B1272&gt;1500,$C1272&lt;1,$C1272&gt;12,$D1272&lt;1,$D1272&gt;31),"نامعتبر",RIGHT("0000"&amp;$B1272,4)&amp;"/"&amp;RIGHT("00"&amp;$C1272,2)&amp;"/"&amp;RIGHT("00"&amp;$D1272,2)))</f>
        <v/>
      </c>
      <c r="F1272">
        <f>IF(OR($E1272="",$E1272="نامعتبر"),"",IF(Sync!$Q1269="","0000",IF(AND(ISNUMBER(Sync!$Q1269),Sync!$Q1269&gt;=0,Sync!$Q1269&lt;1),RIGHT("00"&amp;HOUR(Sync!$Q1269),2)&amp;RIGHT("00"&amp;MINUTE(Sync!$Q1269),2),IFERROR(RIGHT("00"&amp;VALUE(LEFT(Sync!$Q1269,FIND(":",Sync!$Q1269)-1)),2)&amp;RIGHT("00"&amp;VALUE(MID(Sync!$Q1269,FIND(":",Sync!$Q1269)+1,2)),2),"0000"))))</f>
        <v/>
      </c>
      <c r="G1272">
        <f>IF(OR($E1272="",$E1272="نامعتبر"),"",IF(Sync!$S1269="","",Sync!$S1269))</f>
        <v/>
      </c>
      <c r="H1272">
        <f>IF(OR($E1272="",$E1272="نامعتبر"),"",IF(Sync!$R1269="","",Sync!$R1269))</f>
        <v/>
      </c>
      <c r="I1272">
        <f>IF(OR($E1272="",$E1272="نامعتبر"),"",IF(Sync!$T1269="","",Sync!$T1269))</f>
        <v/>
      </c>
      <c r="J1272">
        <f>IF(OR($E1272="",$E1272="نامعتبر"),"",IF(Sync!$U1269="","",Sync!$U1269))</f>
        <v/>
      </c>
      <c r="K1272">
        <f>IF(OR($E1272="",$E1272="نامعتبر"),"",IF(Sync!$V1269="","",IFERROR(INDEX(SubCodes,MATCH(Sync!$V1269,SubTitles,0)),Sync!$V1269)))</f>
        <v/>
      </c>
      <c r="L1272">
        <f>IF(OR($E1272="",$E1272="نامعتبر"),"",IF(Sync!$W1269="",0,Sync!$W1269))</f>
        <v/>
      </c>
      <c r="M1272">
        <f>IF(OR($E1272="",$E1272="نامعتبر"),"",IF(Sync!$X1269="",0,Sync!$X1269))</f>
        <v/>
      </c>
      <c r="N1272">
        <f>IF(OR($E1272="",$E1272="نامعتبر"),"",IF(AND($J1272="هزینه",$K1272&lt;&gt;""),1,0))</f>
        <v/>
      </c>
      <c r="O1272">
        <f>IF($N1272=0,"",LEFT($E1272,4)&amp;MID($E1272,6,2)&amp;RIGHT($E1272,2)&amp;$F1272&amp;"|"&amp;"1"&amp;RIGHT("00000"&amp;1264,5))</f>
        <v/>
      </c>
      <c r="P1272">
        <f>IF($O1272="","",COUNTIFS(ExpSub,$K1272,ExpKey,"&lt;"&amp;$O1272)+1)</f>
        <v/>
      </c>
      <c r="Q1272">
        <f>IF($P1272="","",$K1272&amp;"|"&amp;RIGHT("000000"&amp;$P1272,6))</f>
        <v/>
      </c>
    </row>
    <row r="1273">
      <c r="A1273">
        <f>IF(Sync!$P1270="","",Sync!$P1270)</f>
        <v/>
      </c>
      <c r="B1273">
        <f>IF($A1273="","",IF(ISNUMBER($A1273),IF(AND($A1273&gt;=10000101,$A1273&lt;=99991231),INT($A1273/10000),""),IFERROR(VALUE(TRIM(LEFT($A1273,FIND("/",$A1273)-1))),"")))</f>
        <v/>
      </c>
      <c r="C1273">
        <f>IF(OR($A1273="",$B1273=""),"",IF(ISNUMBER($A1273),INT(MOD($A1273,10000)/100),IFERROR(VALUE(TRIM(LEFT(MID($A1273,FIND("/",$A1273)+1,20),FIND("/",MID($A1273,FIND("/",$A1273)+1,20))-1))),"")))</f>
        <v/>
      </c>
      <c r="D1273">
        <f>IF(OR($A1273="",$B1273=""),"",IF(ISNUMBER($A1273),MOD($A1273,100),IFERROR(VALUE(TRIM(MID(MID($A1273,FIND("/",$A1273)+1,20),FIND("/",MID($A1273,FIND("/",$A1273)+1,20))+1,20))),"")))</f>
        <v/>
      </c>
      <c r="E1273">
        <f>IF($A1273="","",IF(OR($B1273="",$C1273="",$D1273="",$B1273&lt;1300,$B1273&gt;1500,$C1273&lt;1,$C1273&gt;12,$D1273&lt;1,$D1273&gt;31),"نامعتبر",RIGHT("0000"&amp;$B1273,4)&amp;"/"&amp;RIGHT("00"&amp;$C1273,2)&amp;"/"&amp;RIGHT("00"&amp;$D1273,2)))</f>
        <v/>
      </c>
      <c r="F1273">
        <f>IF(OR($E1273="",$E1273="نامعتبر"),"",IF(Sync!$Q1270="","0000",IF(AND(ISNUMBER(Sync!$Q1270),Sync!$Q1270&gt;=0,Sync!$Q1270&lt;1),RIGHT("00"&amp;HOUR(Sync!$Q1270),2)&amp;RIGHT("00"&amp;MINUTE(Sync!$Q1270),2),IFERROR(RIGHT("00"&amp;VALUE(LEFT(Sync!$Q1270,FIND(":",Sync!$Q1270)-1)),2)&amp;RIGHT("00"&amp;VALUE(MID(Sync!$Q1270,FIND(":",Sync!$Q1270)+1,2)),2),"0000"))))</f>
        <v/>
      </c>
      <c r="G1273">
        <f>IF(OR($E1273="",$E1273="نامعتبر"),"",IF(Sync!$S1270="","",Sync!$S1270))</f>
        <v/>
      </c>
      <c r="H1273">
        <f>IF(OR($E1273="",$E1273="نامعتبر"),"",IF(Sync!$R1270="","",Sync!$R1270))</f>
        <v/>
      </c>
      <c r="I1273">
        <f>IF(OR($E1273="",$E1273="نامعتبر"),"",IF(Sync!$T1270="","",Sync!$T1270))</f>
        <v/>
      </c>
      <c r="J1273">
        <f>IF(OR($E1273="",$E1273="نامعتبر"),"",IF(Sync!$U1270="","",Sync!$U1270))</f>
        <v/>
      </c>
      <c r="K1273">
        <f>IF(OR($E1273="",$E1273="نامعتبر"),"",IF(Sync!$V1270="","",IFERROR(INDEX(SubCodes,MATCH(Sync!$V1270,SubTitles,0)),Sync!$V1270)))</f>
        <v/>
      </c>
      <c r="L1273">
        <f>IF(OR($E1273="",$E1273="نامعتبر"),"",IF(Sync!$W1270="",0,Sync!$W1270))</f>
        <v/>
      </c>
      <c r="M1273">
        <f>IF(OR($E1273="",$E1273="نامعتبر"),"",IF(Sync!$X1270="",0,Sync!$X1270))</f>
        <v/>
      </c>
      <c r="N1273">
        <f>IF(OR($E1273="",$E1273="نامعتبر"),"",IF(AND($J1273="هزینه",$K1273&lt;&gt;""),1,0))</f>
        <v/>
      </c>
      <c r="O1273">
        <f>IF($N1273=0,"",LEFT($E1273,4)&amp;MID($E1273,6,2)&amp;RIGHT($E1273,2)&amp;$F1273&amp;"|"&amp;"1"&amp;RIGHT("00000"&amp;1265,5))</f>
        <v/>
      </c>
      <c r="P1273">
        <f>IF($O1273="","",COUNTIFS(ExpSub,$K1273,ExpKey,"&lt;"&amp;$O1273)+1)</f>
        <v/>
      </c>
      <c r="Q1273">
        <f>IF($P1273="","",$K1273&amp;"|"&amp;RIGHT("000000"&amp;$P1273,6))</f>
        <v/>
      </c>
    </row>
    <row r="1274">
      <c r="A1274">
        <f>IF(Sync!$P1271="","",Sync!$P1271)</f>
        <v/>
      </c>
      <c r="B1274">
        <f>IF($A1274="","",IF(ISNUMBER($A1274),IF(AND($A1274&gt;=10000101,$A1274&lt;=99991231),INT($A1274/10000),""),IFERROR(VALUE(TRIM(LEFT($A1274,FIND("/",$A1274)-1))),"")))</f>
        <v/>
      </c>
      <c r="C1274">
        <f>IF(OR($A1274="",$B1274=""),"",IF(ISNUMBER($A1274),INT(MOD($A1274,10000)/100),IFERROR(VALUE(TRIM(LEFT(MID($A1274,FIND("/",$A1274)+1,20),FIND("/",MID($A1274,FIND("/",$A1274)+1,20))-1))),"")))</f>
        <v/>
      </c>
      <c r="D1274">
        <f>IF(OR($A1274="",$B1274=""),"",IF(ISNUMBER($A1274),MOD($A1274,100),IFERROR(VALUE(TRIM(MID(MID($A1274,FIND("/",$A1274)+1,20),FIND("/",MID($A1274,FIND("/",$A1274)+1,20))+1,20))),"")))</f>
        <v/>
      </c>
      <c r="E1274">
        <f>IF($A1274="","",IF(OR($B1274="",$C1274="",$D1274="",$B1274&lt;1300,$B1274&gt;1500,$C1274&lt;1,$C1274&gt;12,$D1274&lt;1,$D1274&gt;31),"نامعتبر",RIGHT("0000"&amp;$B1274,4)&amp;"/"&amp;RIGHT("00"&amp;$C1274,2)&amp;"/"&amp;RIGHT("00"&amp;$D1274,2)))</f>
        <v/>
      </c>
      <c r="F1274">
        <f>IF(OR($E1274="",$E1274="نامعتبر"),"",IF(Sync!$Q1271="","0000",IF(AND(ISNUMBER(Sync!$Q1271),Sync!$Q1271&gt;=0,Sync!$Q1271&lt;1),RIGHT("00"&amp;HOUR(Sync!$Q1271),2)&amp;RIGHT("00"&amp;MINUTE(Sync!$Q1271),2),IFERROR(RIGHT("00"&amp;VALUE(LEFT(Sync!$Q1271,FIND(":",Sync!$Q1271)-1)),2)&amp;RIGHT("00"&amp;VALUE(MID(Sync!$Q1271,FIND(":",Sync!$Q1271)+1,2)),2),"0000"))))</f>
        <v/>
      </c>
      <c r="G1274">
        <f>IF(OR($E1274="",$E1274="نامعتبر"),"",IF(Sync!$S1271="","",Sync!$S1271))</f>
        <v/>
      </c>
      <c r="H1274">
        <f>IF(OR($E1274="",$E1274="نامعتبر"),"",IF(Sync!$R1271="","",Sync!$R1271))</f>
        <v/>
      </c>
      <c r="I1274">
        <f>IF(OR($E1274="",$E1274="نامعتبر"),"",IF(Sync!$T1271="","",Sync!$T1271))</f>
        <v/>
      </c>
      <c r="J1274">
        <f>IF(OR($E1274="",$E1274="نامعتبر"),"",IF(Sync!$U1271="","",Sync!$U1271))</f>
        <v/>
      </c>
      <c r="K1274">
        <f>IF(OR($E1274="",$E1274="نامعتبر"),"",IF(Sync!$V1271="","",IFERROR(INDEX(SubCodes,MATCH(Sync!$V1271,SubTitles,0)),Sync!$V1271)))</f>
        <v/>
      </c>
      <c r="L1274">
        <f>IF(OR($E1274="",$E1274="نامعتبر"),"",IF(Sync!$W1271="",0,Sync!$W1271))</f>
        <v/>
      </c>
      <c r="M1274">
        <f>IF(OR($E1274="",$E1274="نامعتبر"),"",IF(Sync!$X1271="",0,Sync!$X1271))</f>
        <v/>
      </c>
      <c r="N1274">
        <f>IF(OR($E1274="",$E1274="نامعتبر"),"",IF(AND($J1274="هزینه",$K1274&lt;&gt;""),1,0))</f>
        <v/>
      </c>
      <c r="O1274">
        <f>IF($N1274=0,"",LEFT($E1274,4)&amp;MID($E1274,6,2)&amp;RIGHT($E1274,2)&amp;$F1274&amp;"|"&amp;"1"&amp;RIGHT("00000"&amp;1266,5))</f>
        <v/>
      </c>
      <c r="P1274">
        <f>IF($O1274="","",COUNTIFS(ExpSub,$K1274,ExpKey,"&lt;"&amp;$O1274)+1)</f>
        <v/>
      </c>
      <c r="Q1274">
        <f>IF($P1274="","",$K1274&amp;"|"&amp;RIGHT("000000"&amp;$P1274,6))</f>
        <v/>
      </c>
    </row>
    <row r="1275">
      <c r="A1275">
        <f>IF(Sync!$P1272="","",Sync!$P1272)</f>
        <v/>
      </c>
      <c r="B1275">
        <f>IF($A1275="","",IF(ISNUMBER($A1275),IF(AND($A1275&gt;=10000101,$A1275&lt;=99991231),INT($A1275/10000),""),IFERROR(VALUE(TRIM(LEFT($A1275,FIND("/",$A1275)-1))),"")))</f>
        <v/>
      </c>
      <c r="C1275">
        <f>IF(OR($A1275="",$B1275=""),"",IF(ISNUMBER($A1275),INT(MOD($A1275,10000)/100),IFERROR(VALUE(TRIM(LEFT(MID($A1275,FIND("/",$A1275)+1,20),FIND("/",MID($A1275,FIND("/",$A1275)+1,20))-1))),"")))</f>
        <v/>
      </c>
      <c r="D1275">
        <f>IF(OR($A1275="",$B1275=""),"",IF(ISNUMBER($A1275),MOD($A1275,100),IFERROR(VALUE(TRIM(MID(MID($A1275,FIND("/",$A1275)+1,20),FIND("/",MID($A1275,FIND("/",$A1275)+1,20))+1,20))),"")))</f>
        <v/>
      </c>
      <c r="E1275">
        <f>IF($A1275="","",IF(OR($B1275="",$C1275="",$D1275="",$B1275&lt;1300,$B1275&gt;1500,$C1275&lt;1,$C1275&gt;12,$D1275&lt;1,$D1275&gt;31),"نامعتبر",RIGHT("0000"&amp;$B1275,4)&amp;"/"&amp;RIGHT("00"&amp;$C1275,2)&amp;"/"&amp;RIGHT("00"&amp;$D1275,2)))</f>
        <v/>
      </c>
      <c r="F1275">
        <f>IF(OR($E1275="",$E1275="نامعتبر"),"",IF(Sync!$Q1272="","0000",IF(AND(ISNUMBER(Sync!$Q1272),Sync!$Q1272&gt;=0,Sync!$Q1272&lt;1),RIGHT("00"&amp;HOUR(Sync!$Q1272),2)&amp;RIGHT("00"&amp;MINUTE(Sync!$Q1272),2),IFERROR(RIGHT("00"&amp;VALUE(LEFT(Sync!$Q1272,FIND(":",Sync!$Q1272)-1)),2)&amp;RIGHT("00"&amp;VALUE(MID(Sync!$Q1272,FIND(":",Sync!$Q1272)+1,2)),2),"0000"))))</f>
        <v/>
      </c>
      <c r="G1275">
        <f>IF(OR($E1275="",$E1275="نامعتبر"),"",IF(Sync!$S1272="","",Sync!$S1272))</f>
        <v/>
      </c>
      <c r="H1275">
        <f>IF(OR($E1275="",$E1275="نامعتبر"),"",IF(Sync!$R1272="","",Sync!$R1272))</f>
        <v/>
      </c>
      <c r="I1275">
        <f>IF(OR($E1275="",$E1275="نامعتبر"),"",IF(Sync!$T1272="","",Sync!$T1272))</f>
        <v/>
      </c>
      <c r="J1275">
        <f>IF(OR($E1275="",$E1275="نامعتبر"),"",IF(Sync!$U1272="","",Sync!$U1272))</f>
        <v/>
      </c>
      <c r="K1275">
        <f>IF(OR($E1275="",$E1275="نامعتبر"),"",IF(Sync!$V1272="","",IFERROR(INDEX(SubCodes,MATCH(Sync!$V1272,SubTitles,0)),Sync!$V1272)))</f>
        <v/>
      </c>
      <c r="L1275">
        <f>IF(OR($E1275="",$E1275="نامعتبر"),"",IF(Sync!$W1272="",0,Sync!$W1272))</f>
        <v/>
      </c>
      <c r="M1275">
        <f>IF(OR($E1275="",$E1275="نامعتبر"),"",IF(Sync!$X1272="",0,Sync!$X1272))</f>
        <v/>
      </c>
      <c r="N1275">
        <f>IF(OR($E1275="",$E1275="نامعتبر"),"",IF(AND($J1275="هزینه",$K1275&lt;&gt;""),1,0))</f>
        <v/>
      </c>
      <c r="O1275">
        <f>IF($N1275=0,"",LEFT($E1275,4)&amp;MID($E1275,6,2)&amp;RIGHT($E1275,2)&amp;$F1275&amp;"|"&amp;"1"&amp;RIGHT("00000"&amp;1267,5))</f>
        <v/>
      </c>
      <c r="P1275">
        <f>IF($O1275="","",COUNTIFS(ExpSub,$K1275,ExpKey,"&lt;"&amp;$O1275)+1)</f>
        <v/>
      </c>
      <c r="Q1275">
        <f>IF($P1275="","",$K1275&amp;"|"&amp;RIGHT("000000"&amp;$P1275,6))</f>
        <v/>
      </c>
    </row>
    <row r="1276">
      <c r="A1276">
        <f>IF(Sync!$P1273="","",Sync!$P1273)</f>
        <v/>
      </c>
      <c r="B1276">
        <f>IF($A1276="","",IF(ISNUMBER($A1276),IF(AND($A1276&gt;=10000101,$A1276&lt;=99991231),INT($A1276/10000),""),IFERROR(VALUE(TRIM(LEFT($A1276,FIND("/",$A1276)-1))),"")))</f>
        <v/>
      </c>
      <c r="C1276">
        <f>IF(OR($A1276="",$B1276=""),"",IF(ISNUMBER($A1276),INT(MOD($A1276,10000)/100),IFERROR(VALUE(TRIM(LEFT(MID($A1276,FIND("/",$A1276)+1,20),FIND("/",MID($A1276,FIND("/",$A1276)+1,20))-1))),"")))</f>
        <v/>
      </c>
      <c r="D1276">
        <f>IF(OR($A1276="",$B1276=""),"",IF(ISNUMBER($A1276),MOD($A1276,100),IFERROR(VALUE(TRIM(MID(MID($A1276,FIND("/",$A1276)+1,20),FIND("/",MID($A1276,FIND("/",$A1276)+1,20))+1,20))),"")))</f>
        <v/>
      </c>
      <c r="E1276">
        <f>IF($A1276="","",IF(OR($B1276="",$C1276="",$D1276="",$B1276&lt;1300,$B1276&gt;1500,$C1276&lt;1,$C1276&gt;12,$D1276&lt;1,$D1276&gt;31),"نامعتبر",RIGHT("0000"&amp;$B1276,4)&amp;"/"&amp;RIGHT("00"&amp;$C1276,2)&amp;"/"&amp;RIGHT("00"&amp;$D1276,2)))</f>
        <v/>
      </c>
      <c r="F1276">
        <f>IF(OR($E1276="",$E1276="نامعتبر"),"",IF(Sync!$Q1273="","0000",IF(AND(ISNUMBER(Sync!$Q1273),Sync!$Q1273&gt;=0,Sync!$Q1273&lt;1),RIGHT("00"&amp;HOUR(Sync!$Q1273),2)&amp;RIGHT("00"&amp;MINUTE(Sync!$Q1273),2),IFERROR(RIGHT("00"&amp;VALUE(LEFT(Sync!$Q1273,FIND(":",Sync!$Q1273)-1)),2)&amp;RIGHT("00"&amp;VALUE(MID(Sync!$Q1273,FIND(":",Sync!$Q1273)+1,2)),2),"0000"))))</f>
        <v/>
      </c>
      <c r="G1276">
        <f>IF(OR($E1276="",$E1276="نامعتبر"),"",IF(Sync!$S1273="","",Sync!$S1273))</f>
        <v/>
      </c>
      <c r="H1276">
        <f>IF(OR($E1276="",$E1276="نامعتبر"),"",IF(Sync!$R1273="","",Sync!$R1273))</f>
        <v/>
      </c>
      <c r="I1276">
        <f>IF(OR($E1276="",$E1276="نامعتبر"),"",IF(Sync!$T1273="","",Sync!$T1273))</f>
        <v/>
      </c>
      <c r="J1276">
        <f>IF(OR($E1276="",$E1276="نامعتبر"),"",IF(Sync!$U1273="","",Sync!$U1273))</f>
        <v/>
      </c>
      <c r="K1276">
        <f>IF(OR($E1276="",$E1276="نامعتبر"),"",IF(Sync!$V1273="","",IFERROR(INDEX(SubCodes,MATCH(Sync!$V1273,SubTitles,0)),Sync!$V1273)))</f>
        <v/>
      </c>
      <c r="L1276">
        <f>IF(OR($E1276="",$E1276="نامعتبر"),"",IF(Sync!$W1273="",0,Sync!$W1273))</f>
        <v/>
      </c>
      <c r="M1276">
        <f>IF(OR($E1276="",$E1276="نامعتبر"),"",IF(Sync!$X1273="",0,Sync!$X1273))</f>
        <v/>
      </c>
      <c r="N1276">
        <f>IF(OR($E1276="",$E1276="نامعتبر"),"",IF(AND($J1276="هزینه",$K1276&lt;&gt;""),1,0))</f>
        <v/>
      </c>
      <c r="O1276">
        <f>IF($N1276=0,"",LEFT($E1276,4)&amp;MID($E1276,6,2)&amp;RIGHT($E1276,2)&amp;$F1276&amp;"|"&amp;"1"&amp;RIGHT("00000"&amp;1268,5))</f>
        <v/>
      </c>
      <c r="P1276">
        <f>IF($O1276="","",COUNTIFS(ExpSub,$K1276,ExpKey,"&lt;"&amp;$O1276)+1)</f>
        <v/>
      </c>
      <c r="Q1276">
        <f>IF($P1276="","",$K1276&amp;"|"&amp;RIGHT("000000"&amp;$P1276,6))</f>
        <v/>
      </c>
    </row>
    <row r="1277">
      <c r="A1277">
        <f>IF(Sync!$P1274="","",Sync!$P1274)</f>
        <v/>
      </c>
      <c r="B1277">
        <f>IF($A1277="","",IF(ISNUMBER($A1277),IF(AND($A1277&gt;=10000101,$A1277&lt;=99991231),INT($A1277/10000),""),IFERROR(VALUE(TRIM(LEFT($A1277,FIND("/",$A1277)-1))),"")))</f>
        <v/>
      </c>
      <c r="C1277">
        <f>IF(OR($A1277="",$B1277=""),"",IF(ISNUMBER($A1277),INT(MOD($A1277,10000)/100),IFERROR(VALUE(TRIM(LEFT(MID($A1277,FIND("/",$A1277)+1,20),FIND("/",MID($A1277,FIND("/",$A1277)+1,20))-1))),"")))</f>
        <v/>
      </c>
      <c r="D1277">
        <f>IF(OR($A1277="",$B1277=""),"",IF(ISNUMBER($A1277),MOD($A1277,100),IFERROR(VALUE(TRIM(MID(MID($A1277,FIND("/",$A1277)+1,20),FIND("/",MID($A1277,FIND("/",$A1277)+1,20))+1,20))),"")))</f>
        <v/>
      </c>
      <c r="E1277">
        <f>IF($A1277="","",IF(OR($B1277="",$C1277="",$D1277="",$B1277&lt;1300,$B1277&gt;1500,$C1277&lt;1,$C1277&gt;12,$D1277&lt;1,$D1277&gt;31),"نامعتبر",RIGHT("0000"&amp;$B1277,4)&amp;"/"&amp;RIGHT("00"&amp;$C1277,2)&amp;"/"&amp;RIGHT("00"&amp;$D1277,2)))</f>
        <v/>
      </c>
      <c r="F1277">
        <f>IF(OR($E1277="",$E1277="نامعتبر"),"",IF(Sync!$Q1274="","0000",IF(AND(ISNUMBER(Sync!$Q1274),Sync!$Q1274&gt;=0,Sync!$Q1274&lt;1),RIGHT("00"&amp;HOUR(Sync!$Q1274),2)&amp;RIGHT("00"&amp;MINUTE(Sync!$Q1274),2),IFERROR(RIGHT("00"&amp;VALUE(LEFT(Sync!$Q1274,FIND(":",Sync!$Q1274)-1)),2)&amp;RIGHT("00"&amp;VALUE(MID(Sync!$Q1274,FIND(":",Sync!$Q1274)+1,2)),2),"0000"))))</f>
        <v/>
      </c>
      <c r="G1277">
        <f>IF(OR($E1277="",$E1277="نامعتبر"),"",IF(Sync!$S1274="","",Sync!$S1274))</f>
        <v/>
      </c>
      <c r="H1277">
        <f>IF(OR($E1277="",$E1277="نامعتبر"),"",IF(Sync!$R1274="","",Sync!$R1274))</f>
        <v/>
      </c>
      <c r="I1277">
        <f>IF(OR($E1277="",$E1277="نامعتبر"),"",IF(Sync!$T1274="","",Sync!$T1274))</f>
        <v/>
      </c>
      <c r="J1277">
        <f>IF(OR($E1277="",$E1277="نامعتبر"),"",IF(Sync!$U1274="","",Sync!$U1274))</f>
        <v/>
      </c>
      <c r="K1277">
        <f>IF(OR($E1277="",$E1277="نامعتبر"),"",IF(Sync!$V1274="","",IFERROR(INDEX(SubCodes,MATCH(Sync!$V1274,SubTitles,0)),Sync!$V1274)))</f>
        <v/>
      </c>
      <c r="L1277">
        <f>IF(OR($E1277="",$E1277="نامعتبر"),"",IF(Sync!$W1274="",0,Sync!$W1274))</f>
        <v/>
      </c>
      <c r="M1277">
        <f>IF(OR($E1277="",$E1277="نامعتبر"),"",IF(Sync!$X1274="",0,Sync!$X1274))</f>
        <v/>
      </c>
      <c r="N1277">
        <f>IF(OR($E1277="",$E1277="نامعتبر"),"",IF(AND($J1277="هزینه",$K1277&lt;&gt;""),1,0))</f>
        <v/>
      </c>
      <c r="O1277">
        <f>IF($N1277=0,"",LEFT($E1277,4)&amp;MID($E1277,6,2)&amp;RIGHT($E1277,2)&amp;$F1277&amp;"|"&amp;"1"&amp;RIGHT("00000"&amp;1269,5))</f>
        <v/>
      </c>
      <c r="P1277">
        <f>IF($O1277="","",COUNTIFS(ExpSub,$K1277,ExpKey,"&lt;"&amp;$O1277)+1)</f>
        <v/>
      </c>
      <c r="Q1277">
        <f>IF($P1277="","",$K1277&amp;"|"&amp;RIGHT("000000"&amp;$P1277,6))</f>
        <v/>
      </c>
    </row>
    <row r="1278">
      <c r="A1278">
        <f>IF(Sync!$P1275="","",Sync!$P1275)</f>
        <v/>
      </c>
      <c r="B1278">
        <f>IF($A1278="","",IF(ISNUMBER($A1278),IF(AND($A1278&gt;=10000101,$A1278&lt;=99991231),INT($A1278/10000),""),IFERROR(VALUE(TRIM(LEFT($A1278,FIND("/",$A1278)-1))),"")))</f>
        <v/>
      </c>
      <c r="C1278">
        <f>IF(OR($A1278="",$B1278=""),"",IF(ISNUMBER($A1278),INT(MOD($A1278,10000)/100),IFERROR(VALUE(TRIM(LEFT(MID($A1278,FIND("/",$A1278)+1,20),FIND("/",MID($A1278,FIND("/",$A1278)+1,20))-1))),"")))</f>
        <v/>
      </c>
      <c r="D1278">
        <f>IF(OR($A1278="",$B1278=""),"",IF(ISNUMBER($A1278),MOD($A1278,100),IFERROR(VALUE(TRIM(MID(MID($A1278,FIND("/",$A1278)+1,20),FIND("/",MID($A1278,FIND("/",$A1278)+1,20))+1,20))),"")))</f>
        <v/>
      </c>
      <c r="E1278">
        <f>IF($A1278="","",IF(OR($B1278="",$C1278="",$D1278="",$B1278&lt;1300,$B1278&gt;1500,$C1278&lt;1,$C1278&gt;12,$D1278&lt;1,$D1278&gt;31),"نامعتبر",RIGHT("0000"&amp;$B1278,4)&amp;"/"&amp;RIGHT("00"&amp;$C1278,2)&amp;"/"&amp;RIGHT("00"&amp;$D1278,2)))</f>
        <v/>
      </c>
      <c r="F1278">
        <f>IF(OR($E1278="",$E1278="نامعتبر"),"",IF(Sync!$Q1275="","0000",IF(AND(ISNUMBER(Sync!$Q1275),Sync!$Q1275&gt;=0,Sync!$Q1275&lt;1),RIGHT("00"&amp;HOUR(Sync!$Q1275),2)&amp;RIGHT("00"&amp;MINUTE(Sync!$Q1275),2),IFERROR(RIGHT("00"&amp;VALUE(LEFT(Sync!$Q1275,FIND(":",Sync!$Q1275)-1)),2)&amp;RIGHT("00"&amp;VALUE(MID(Sync!$Q1275,FIND(":",Sync!$Q1275)+1,2)),2),"0000"))))</f>
        <v/>
      </c>
      <c r="G1278">
        <f>IF(OR($E1278="",$E1278="نامعتبر"),"",IF(Sync!$S1275="","",Sync!$S1275))</f>
        <v/>
      </c>
      <c r="H1278">
        <f>IF(OR($E1278="",$E1278="نامعتبر"),"",IF(Sync!$R1275="","",Sync!$R1275))</f>
        <v/>
      </c>
      <c r="I1278">
        <f>IF(OR($E1278="",$E1278="نامعتبر"),"",IF(Sync!$T1275="","",Sync!$T1275))</f>
        <v/>
      </c>
      <c r="J1278">
        <f>IF(OR($E1278="",$E1278="نامعتبر"),"",IF(Sync!$U1275="","",Sync!$U1275))</f>
        <v/>
      </c>
      <c r="K1278">
        <f>IF(OR($E1278="",$E1278="نامعتبر"),"",IF(Sync!$V1275="","",IFERROR(INDEX(SubCodes,MATCH(Sync!$V1275,SubTitles,0)),Sync!$V1275)))</f>
        <v/>
      </c>
      <c r="L1278">
        <f>IF(OR($E1278="",$E1278="نامعتبر"),"",IF(Sync!$W1275="",0,Sync!$W1275))</f>
        <v/>
      </c>
      <c r="M1278">
        <f>IF(OR($E1278="",$E1278="نامعتبر"),"",IF(Sync!$X1275="",0,Sync!$X1275))</f>
        <v/>
      </c>
      <c r="N1278">
        <f>IF(OR($E1278="",$E1278="نامعتبر"),"",IF(AND($J1278="هزینه",$K1278&lt;&gt;""),1,0))</f>
        <v/>
      </c>
      <c r="O1278">
        <f>IF($N1278=0,"",LEFT($E1278,4)&amp;MID($E1278,6,2)&amp;RIGHT($E1278,2)&amp;$F1278&amp;"|"&amp;"1"&amp;RIGHT("00000"&amp;1270,5))</f>
        <v/>
      </c>
      <c r="P1278">
        <f>IF($O1278="","",COUNTIFS(ExpSub,$K1278,ExpKey,"&lt;"&amp;$O1278)+1)</f>
        <v/>
      </c>
      <c r="Q1278">
        <f>IF($P1278="","",$K1278&amp;"|"&amp;RIGHT("000000"&amp;$P1278,6))</f>
        <v/>
      </c>
    </row>
    <row r="1279">
      <c r="A1279">
        <f>IF(Sync!$P1276="","",Sync!$P1276)</f>
        <v/>
      </c>
      <c r="B1279">
        <f>IF($A1279="","",IF(ISNUMBER($A1279),IF(AND($A1279&gt;=10000101,$A1279&lt;=99991231),INT($A1279/10000),""),IFERROR(VALUE(TRIM(LEFT($A1279,FIND("/",$A1279)-1))),"")))</f>
        <v/>
      </c>
      <c r="C1279">
        <f>IF(OR($A1279="",$B1279=""),"",IF(ISNUMBER($A1279),INT(MOD($A1279,10000)/100),IFERROR(VALUE(TRIM(LEFT(MID($A1279,FIND("/",$A1279)+1,20),FIND("/",MID($A1279,FIND("/",$A1279)+1,20))-1))),"")))</f>
        <v/>
      </c>
      <c r="D1279">
        <f>IF(OR($A1279="",$B1279=""),"",IF(ISNUMBER($A1279),MOD($A1279,100),IFERROR(VALUE(TRIM(MID(MID($A1279,FIND("/",$A1279)+1,20),FIND("/",MID($A1279,FIND("/",$A1279)+1,20))+1,20))),"")))</f>
        <v/>
      </c>
      <c r="E1279">
        <f>IF($A1279="","",IF(OR($B1279="",$C1279="",$D1279="",$B1279&lt;1300,$B1279&gt;1500,$C1279&lt;1,$C1279&gt;12,$D1279&lt;1,$D1279&gt;31),"نامعتبر",RIGHT("0000"&amp;$B1279,4)&amp;"/"&amp;RIGHT("00"&amp;$C1279,2)&amp;"/"&amp;RIGHT("00"&amp;$D1279,2)))</f>
        <v/>
      </c>
      <c r="F1279">
        <f>IF(OR($E1279="",$E1279="نامعتبر"),"",IF(Sync!$Q1276="","0000",IF(AND(ISNUMBER(Sync!$Q1276),Sync!$Q1276&gt;=0,Sync!$Q1276&lt;1),RIGHT("00"&amp;HOUR(Sync!$Q1276),2)&amp;RIGHT("00"&amp;MINUTE(Sync!$Q1276),2),IFERROR(RIGHT("00"&amp;VALUE(LEFT(Sync!$Q1276,FIND(":",Sync!$Q1276)-1)),2)&amp;RIGHT("00"&amp;VALUE(MID(Sync!$Q1276,FIND(":",Sync!$Q1276)+1,2)),2),"0000"))))</f>
        <v/>
      </c>
      <c r="G1279">
        <f>IF(OR($E1279="",$E1279="نامعتبر"),"",IF(Sync!$S1276="","",Sync!$S1276))</f>
        <v/>
      </c>
      <c r="H1279">
        <f>IF(OR($E1279="",$E1279="نامعتبر"),"",IF(Sync!$R1276="","",Sync!$R1276))</f>
        <v/>
      </c>
      <c r="I1279">
        <f>IF(OR($E1279="",$E1279="نامعتبر"),"",IF(Sync!$T1276="","",Sync!$T1276))</f>
        <v/>
      </c>
      <c r="J1279">
        <f>IF(OR($E1279="",$E1279="نامعتبر"),"",IF(Sync!$U1276="","",Sync!$U1276))</f>
        <v/>
      </c>
      <c r="K1279">
        <f>IF(OR($E1279="",$E1279="نامعتبر"),"",IF(Sync!$V1276="","",IFERROR(INDEX(SubCodes,MATCH(Sync!$V1276,SubTitles,0)),Sync!$V1276)))</f>
        <v/>
      </c>
      <c r="L1279">
        <f>IF(OR($E1279="",$E1279="نامعتبر"),"",IF(Sync!$W1276="",0,Sync!$W1276))</f>
        <v/>
      </c>
      <c r="M1279">
        <f>IF(OR($E1279="",$E1279="نامعتبر"),"",IF(Sync!$X1276="",0,Sync!$X1276))</f>
        <v/>
      </c>
      <c r="N1279">
        <f>IF(OR($E1279="",$E1279="نامعتبر"),"",IF(AND($J1279="هزینه",$K1279&lt;&gt;""),1,0))</f>
        <v/>
      </c>
      <c r="O1279">
        <f>IF($N1279=0,"",LEFT($E1279,4)&amp;MID($E1279,6,2)&amp;RIGHT($E1279,2)&amp;$F1279&amp;"|"&amp;"1"&amp;RIGHT("00000"&amp;1271,5))</f>
        <v/>
      </c>
      <c r="P1279">
        <f>IF($O1279="","",COUNTIFS(ExpSub,$K1279,ExpKey,"&lt;"&amp;$O1279)+1)</f>
        <v/>
      </c>
      <c r="Q1279">
        <f>IF($P1279="","",$K1279&amp;"|"&amp;RIGHT("000000"&amp;$P1279,6))</f>
        <v/>
      </c>
    </row>
    <row r="1280">
      <c r="A1280">
        <f>IF(Sync!$P1277="","",Sync!$P1277)</f>
        <v/>
      </c>
      <c r="B1280">
        <f>IF($A1280="","",IF(ISNUMBER($A1280),IF(AND($A1280&gt;=10000101,$A1280&lt;=99991231),INT($A1280/10000),""),IFERROR(VALUE(TRIM(LEFT($A1280,FIND("/",$A1280)-1))),"")))</f>
        <v/>
      </c>
      <c r="C1280">
        <f>IF(OR($A1280="",$B1280=""),"",IF(ISNUMBER($A1280),INT(MOD($A1280,10000)/100),IFERROR(VALUE(TRIM(LEFT(MID($A1280,FIND("/",$A1280)+1,20),FIND("/",MID($A1280,FIND("/",$A1280)+1,20))-1))),"")))</f>
        <v/>
      </c>
      <c r="D1280">
        <f>IF(OR($A1280="",$B1280=""),"",IF(ISNUMBER($A1280),MOD($A1280,100),IFERROR(VALUE(TRIM(MID(MID($A1280,FIND("/",$A1280)+1,20),FIND("/",MID($A1280,FIND("/",$A1280)+1,20))+1,20))),"")))</f>
        <v/>
      </c>
      <c r="E1280">
        <f>IF($A1280="","",IF(OR($B1280="",$C1280="",$D1280="",$B1280&lt;1300,$B1280&gt;1500,$C1280&lt;1,$C1280&gt;12,$D1280&lt;1,$D1280&gt;31),"نامعتبر",RIGHT("0000"&amp;$B1280,4)&amp;"/"&amp;RIGHT("00"&amp;$C1280,2)&amp;"/"&amp;RIGHT("00"&amp;$D1280,2)))</f>
        <v/>
      </c>
      <c r="F1280">
        <f>IF(OR($E1280="",$E1280="نامعتبر"),"",IF(Sync!$Q1277="","0000",IF(AND(ISNUMBER(Sync!$Q1277),Sync!$Q1277&gt;=0,Sync!$Q1277&lt;1),RIGHT("00"&amp;HOUR(Sync!$Q1277),2)&amp;RIGHT("00"&amp;MINUTE(Sync!$Q1277),2),IFERROR(RIGHT("00"&amp;VALUE(LEFT(Sync!$Q1277,FIND(":",Sync!$Q1277)-1)),2)&amp;RIGHT("00"&amp;VALUE(MID(Sync!$Q1277,FIND(":",Sync!$Q1277)+1,2)),2),"0000"))))</f>
        <v/>
      </c>
      <c r="G1280">
        <f>IF(OR($E1280="",$E1280="نامعتبر"),"",IF(Sync!$S1277="","",Sync!$S1277))</f>
        <v/>
      </c>
      <c r="H1280">
        <f>IF(OR($E1280="",$E1280="نامعتبر"),"",IF(Sync!$R1277="","",Sync!$R1277))</f>
        <v/>
      </c>
      <c r="I1280">
        <f>IF(OR($E1280="",$E1280="نامعتبر"),"",IF(Sync!$T1277="","",Sync!$T1277))</f>
        <v/>
      </c>
      <c r="J1280">
        <f>IF(OR($E1280="",$E1280="نامعتبر"),"",IF(Sync!$U1277="","",Sync!$U1277))</f>
        <v/>
      </c>
      <c r="K1280">
        <f>IF(OR($E1280="",$E1280="نامعتبر"),"",IF(Sync!$V1277="","",IFERROR(INDEX(SubCodes,MATCH(Sync!$V1277,SubTitles,0)),Sync!$V1277)))</f>
        <v/>
      </c>
      <c r="L1280">
        <f>IF(OR($E1280="",$E1280="نامعتبر"),"",IF(Sync!$W1277="",0,Sync!$W1277))</f>
        <v/>
      </c>
      <c r="M1280">
        <f>IF(OR($E1280="",$E1280="نامعتبر"),"",IF(Sync!$X1277="",0,Sync!$X1277))</f>
        <v/>
      </c>
      <c r="N1280">
        <f>IF(OR($E1280="",$E1280="نامعتبر"),"",IF(AND($J1280="هزینه",$K1280&lt;&gt;""),1,0))</f>
        <v/>
      </c>
      <c r="O1280">
        <f>IF($N1280=0,"",LEFT($E1280,4)&amp;MID($E1280,6,2)&amp;RIGHT($E1280,2)&amp;$F1280&amp;"|"&amp;"1"&amp;RIGHT("00000"&amp;1272,5))</f>
        <v/>
      </c>
      <c r="P1280">
        <f>IF($O1280="","",COUNTIFS(ExpSub,$K1280,ExpKey,"&lt;"&amp;$O1280)+1)</f>
        <v/>
      </c>
      <c r="Q1280">
        <f>IF($P1280="","",$K1280&amp;"|"&amp;RIGHT("000000"&amp;$P1280,6))</f>
        <v/>
      </c>
    </row>
    <row r="1281">
      <c r="A1281">
        <f>IF(Sync!$P1278="","",Sync!$P1278)</f>
        <v/>
      </c>
      <c r="B1281">
        <f>IF($A1281="","",IF(ISNUMBER($A1281),IF(AND($A1281&gt;=10000101,$A1281&lt;=99991231),INT($A1281/10000),""),IFERROR(VALUE(TRIM(LEFT($A1281,FIND("/",$A1281)-1))),"")))</f>
        <v/>
      </c>
      <c r="C1281">
        <f>IF(OR($A1281="",$B1281=""),"",IF(ISNUMBER($A1281),INT(MOD($A1281,10000)/100),IFERROR(VALUE(TRIM(LEFT(MID($A1281,FIND("/",$A1281)+1,20),FIND("/",MID($A1281,FIND("/",$A1281)+1,20))-1))),"")))</f>
        <v/>
      </c>
      <c r="D1281">
        <f>IF(OR($A1281="",$B1281=""),"",IF(ISNUMBER($A1281),MOD($A1281,100),IFERROR(VALUE(TRIM(MID(MID($A1281,FIND("/",$A1281)+1,20),FIND("/",MID($A1281,FIND("/",$A1281)+1,20))+1,20))),"")))</f>
        <v/>
      </c>
      <c r="E1281">
        <f>IF($A1281="","",IF(OR($B1281="",$C1281="",$D1281="",$B1281&lt;1300,$B1281&gt;1500,$C1281&lt;1,$C1281&gt;12,$D1281&lt;1,$D1281&gt;31),"نامعتبر",RIGHT("0000"&amp;$B1281,4)&amp;"/"&amp;RIGHT("00"&amp;$C1281,2)&amp;"/"&amp;RIGHT("00"&amp;$D1281,2)))</f>
        <v/>
      </c>
      <c r="F1281">
        <f>IF(OR($E1281="",$E1281="نامعتبر"),"",IF(Sync!$Q1278="","0000",IF(AND(ISNUMBER(Sync!$Q1278),Sync!$Q1278&gt;=0,Sync!$Q1278&lt;1),RIGHT("00"&amp;HOUR(Sync!$Q1278),2)&amp;RIGHT("00"&amp;MINUTE(Sync!$Q1278),2),IFERROR(RIGHT("00"&amp;VALUE(LEFT(Sync!$Q1278,FIND(":",Sync!$Q1278)-1)),2)&amp;RIGHT("00"&amp;VALUE(MID(Sync!$Q1278,FIND(":",Sync!$Q1278)+1,2)),2),"0000"))))</f>
        <v/>
      </c>
      <c r="G1281">
        <f>IF(OR($E1281="",$E1281="نامعتبر"),"",IF(Sync!$S1278="","",Sync!$S1278))</f>
        <v/>
      </c>
      <c r="H1281">
        <f>IF(OR($E1281="",$E1281="نامعتبر"),"",IF(Sync!$R1278="","",Sync!$R1278))</f>
        <v/>
      </c>
      <c r="I1281">
        <f>IF(OR($E1281="",$E1281="نامعتبر"),"",IF(Sync!$T1278="","",Sync!$T1278))</f>
        <v/>
      </c>
      <c r="J1281">
        <f>IF(OR($E1281="",$E1281="نامعتبر"),"",IF(Sync!$U1278="","",Sync!$U1278))</f>
        <v/>
      </c>
      <c r="K1281">
        <f>IF(OR($E1281="",$E1281="نامعتبر"),"",IF(Sync!$V1278="","",IFERROR(INDEX(SubCodes,MATCH(Sync!$V1278,SubTitles,0)),Sync!$V1278)))</f>
        <v/>
      </c>
      <c r="L1281">
        <f>IF(OR($E1281="",$E1281="نامعتبر"),"",IF(Sync!$W1278="",0,Sync!$W1278))</f>
        <v/>
      </c>
      <c r="M1281">
        <f>IF(OR($E1281="",$E1281="نامعتبر"),"",IF(Sync!$X1278="",0,Sync!$X1278))</f>
        <v/>
      </c>
      <c r="N1281">
        <f>IF(OR($E1281="",$E1281="نامعتبر"),"",IF(AND($J1281="هزینه",$K1281&lt;&gt;""),1,0))</f>
        <v/>
      </c>
      <c r="O1281">
        <f>IF($N1281=0,"",LEFT($E1281,4)&amp;MID($E1281,6,2)&amp;RIGHT($E1281,2)&amp;$F1281&amp;"|"&amp;"1"&amp;RIGHT("00000"&amp;1273,5))</f>
        <v/>
      </c>
      <c r="P1281">
        <f>IF($O1281="","",COUNTIFS(ExpSub,$K1281,ExpKey,"&lt;"&amp;$O1281)+1)</f>
        <v/>
      </c>
      <c r="Q1281">
        <f>IF($P1281="","",$K1281&amp;"|"&amp;RIGHT("000000"&amp;$P1281,6))</f>
        <v/>
      </c>
    </row>
    <row r="1282">
      <c r="A1282">
        <f>IF(Sync!$P1279="","",Sync!$P1279)</f>
        <v/>
      </c>
      <c r="B1282">
        <f>IF($A1282="","",IF(ISNUMBER($A1282),IF(AND($A1282&gt;=10000101,$A1282&lt;=99991231),INT($A1282/10000),""),IFERROR(VALUE(TRIM(LEFT($A1282,FIND("/",$A1282)-1))),"")))</f>
        <v/>
      </c>
      <c r="C1282">
        <f>IF(OR($A1282="",$B1282=""),"",IF(ISNUMBER($A1282),INT(MOD($A1282,10000)/100),IFERROR(VALUE(TRIM(LEFT(MID($A1282,FIND("/",$A1282)+1,20),FIND("/",MID($A1282,FIND("/",$A1282)+1,20))-1))),"")))</f>
        <v/>
      </c>
      <c r="D1282">
        <f>IF(OR($A1282="",$B1282=""),"",IF(ISNUMBER($A1282),MOD($A1282,100),IFERROR(VALUE(TRIM(MID(MID($A1282,FIND("/",$A1282)+1,20),FIND("/",MID($A1282,FIND("/",$A1282)+1,20))+1,20))),"")))</f>
        <v/>
      </c>
      <c r="E1282">
        <f>IF($A1282="","",IF(OR($B1282="",$C1282="",$D1282="",$B1282&lt;1300,$B1282&gt;1500,$C1282&lt;1,$C1282&gt;12,$D1282&lt;1,$D1282&gt;31),"نامعتبر",RIGHT("0000"&amp;$B1282,4)&amp;"/"&amp;RIGHT("00"&amp;$C1282,2)&amp;"/"&amp;RIGHT("00"&amp;$D1282,2)))</f>
        <v/>
      </c>
      <c r="F1282">
        <f>IF(OR($E1282="",$E1282="نامعتبر"),"",IF(Sync!$Q1279="","0000",IF(AND(ISNUMBER(Sync!$Q1279),Sync!$Q1279&gt;=0,Sync!$Q1279&lt;1),RIGHT("00"&amp;HOUR(Sync!$Q1279),2)&amp;RIGHT("00"&amp;MINUTE(Sync!$Q1279),2),IFERROR(RIGHT("00"&amp;VALUE(LEFT(Sync!$Q1279,FIND(":",Sync!$Q1279)-1)),2)&amp;RIGHT("00"&amp;VALUE(MID(Sync!$Q1279,FIND(":",Sync!$Q1279)+1,2)),2),"0000"))))</f>
        <v/>
      </c>
      <c r="G1282">
        <f>IF(OR($E1282="",$E1282="نامعتبر"),"",IF(Sync!$S1279="","",Sync!$S1279))</f>
        <v/>
      </c>
      <c r="H1282">
        <f>IF(OR($E1282="",$E1282="نامعتبر"),"",IF(Sync!$R1279="","",Sync!$R1279))</f>
        <v/>
      </c>
      <c r="I1282">
        <f>IF(OR($E1282="",$E1282="نامعتبر"),"",IF(Sync!$T1279="","",Sync!$T1279))</f>
        <v/>
      </c>
      <c r="J1282">
        <f>IF(OR($E1282="",$E1282="نامعتبر"),"",IF(Sync!$U1279="","",Sync!$U1279))</f>
        <v/>
      </c>
      <c r="K1282">
        <f>IF(OR($E1282="",$E1282="نامعتبر"),"",IF(Sync!$V1279="","",IFERROR(INDEX(SubCodes,MATCH(Sync!$V1279,SubTitles,0)),Sync!$V1279)))</f>
        <v/>
      </c>
      <c r="L1282">
        <f>IF(OR($E1282="",$E1282="نامعتبر"),"",IF(Sync!$W1279="",0,Sync!$W1279))</f>
        <v/>
      </c>
      <c r="M1282">
        <f>IF(OR($E1282="",$E1282="نامعتبر"),"",IF(Sync!$X1279="",0,Sync!$X1279))</f>
        <v/>
      </c>
      <c r="N1282">
        <f>IF(OR($E1282="",$E1282="نامعتبر"),"",IF(AND($J1282="هزینه",$K1282&lt;&gt;""),1,0))</f>
        <v/>
      </c>
      <c r="O1282">
        <f>IF($N1282=0,"",LEFT($E1282,4)&amp;MID($E1282,6,2)&amp;RIGHT($E1282,2)&amp;$F1282&amp;"|"&amp;"1"&amp;RIGHT("00000"&amp;1274,5))</f>
        <v/>
      </c>
      <c r="P1282">
        <f>IF($O1282="","",COUNTIFS(ExpSub,$K1282,ExpKey,"&lt;"&amp;$O1282)+1)</f>
        <v/>
      </c>
      <c r="Q1282">
        <f>IF($P1282="","",$K1282&amp;"|"&amp;RIGHT("000000"&amp;$P1282,6))</f>
        <v/>
      </c>
    </row>
    <row r="1283">
      <c r="A1283">
        <f>IF(Sync!$P1280="","",Sync!$P1280)</f>
        <v/>
      </c>
      <c r="B1283">
        <f>IF($A1283="","",IF(ISNUMBER($A1283),IF(AND($A1283&gt;=10000101,$A1283&lt;=99991231),INT($A1283/10000),""),IFERROR(VALUE(TRIM(LEFT($A1283,FIND("/",$A1283)-1))),"")))</f>
        <v/>
      </c>
      <c r="C1283">
        <f>IF(OR($A1283="",$B1283=""),"",IF(ISNUMBER($A1283),INT(MOD($A1283,10000)/100),IFERROR(VALUE(TRIM(LEFT(MID($A1283,FIND("/",$A1283)+1,20),FIND("/",MID($A1283,FIND("/",$A1283)+1,20))-1))),"")))</f>
        <v/>
      </c>
      <c r="D1283">
        <f>IF(OR($A1283="",$B1283=""),"",IF(ISNUMBER($A1283),MOD($A1283,100),IFERROR(VALUE(TRIM(MID(MID($A1283,FIND("/",$A1283)+1,20),FIND("/",MID($A1283,FIND("/",$A1283)+1,20))+1,20))),"")))</f>
        <v/>
      </c>
      <c r="E1283">
        <f>IF($A1283="","",IF(OR($B1283="",$C1283="",$D1283="",$B1283&lt;1300,$B1283&gt;1500,$C1283&lt;1,$C1283&gt;12,$D1283&lt;1,$D1283&gt;31),"نامعتبر",RIGHT("0000"&amp;$B1283,4)&amp;"/"&amp;RIGHT("00"&amp;$C1283,2)&amp;"/"&amp;RIGHT("00"&amp;$D1283,2)))</f>
        <v/>
      </c>
      <c r="F1283">
        <f>IF(OR($E1283="",$E1283="نامعتبر"),"",IF(Sync!$Q1280="","0000",IF(AND(ISNUMBER(Sync!$Q1280),Sync!$Q1280&gt;=0,Sync!$Q1280&lt;1),RIGHT("00"&amp;HOUR(Sync!$Q1280),2)&amp;RIGHT("00"&amp;MINUTE(Sync!$Q1280),2),IFERROR(RIGHT("00"&amp;VALUE(LEFT(Sync!$Q1280,FIND(":",Sync!$Q1280)-1)),2)&amp;RIGHT("00"&amp;VALUE(MID(Sync!$Q1280,FIND(":",Sync!$Q1280)+1,2)),2),"0000"))))</f>
        <v/>
      </c>
      <c r="G1283">
        <f>IF(OR($E1283="",$E1283="نامعتبر"),"",IF(Sync!$S1280="","",Sync!$S1280))</f>
        <v/>
      </c>
      <c r="H1283">
        <f>IF(OR($E1283="",$E1283="نامعتبر"),"",IF(Sync!$R1280="","",Sync!$R1280))</f>
        <v/>
      </c>
      <c r="I1283">
        <f>IF(OR($E1283="",$E1283="نامعتبر"),"",IF(Sync!$T1280="","",Sync!$T1280))</f>
        <v/>
      </c>
      <c r="J1283">
        <f>IF(OR($E1283="",$E1283="نامعتبر"),"",IF(Sync!$U1280="","",Sync!$U1280))</f>
        <v/>
      </c>
      <c r="K1283">
        <f>IF(OR($E1283="",$E1283="نامعتبر"),"",IF(Sync!$V1280="","",IFERROR(INDEX(SubCodes,MATCH(Sync!$V1280,SubTitles,0)),Sync!$V1280)))</f>
        <v/>
      </c>
      <c r="L1283">
        <f>IF(OR($E1283="",$E1283="نامعتبر"),"",IF(Sync!$W1280="",0,Sync!$W1280))</f>
        <v/>
      </c>
      <c r="M1283">
        <f>IF(OR($E1283="",$E1283="نامعتبر"),"",IF(Sync!$X1280="",0,Sync!$X1280))</f>
        <v/>
      </c>
      <c r="N1283">
        <f>IF(OR($E1283="",$E1283="نامعتبر"),"",IF(AND($J1283="هزینه",$K1283&lt;&gt;""),1,0))</f>
        <v/>
      </c>
      <c r="O1283">
        <f>IF($N1283=0,"",LEFT($E1283,4)&amp;MID($E1283,6,2)&amp;RIGHT($E1283,2)&amp;$F1283&amp;"|"&amp;"1"&amp;RIGHT("00000"&amp;1275,5))</f>
        <v/>
      </c>
      <c r="P1283">
        <f>IF($O1283="","",COUNTIFS(ExpSub,$K1283,ExpKey,"&lt;"&amp;$O1283)+1)</f>
        <v/>
      </c>
      <c r="Q1283">
        <f>IF($P1283="","",$K1283&amp;"|"&amp;RIGHT("000000"&amp;$P1283,6))</f>
        <v/>
      </c>
    </row>
    <row r="1284">
      <c r="A1284">
        <f>IF(Sync!$P1281="","",Sync!$P1281)</f>
        <v/>
      </c>
      <c r="B1284">
        <f>IF($A1284="","",IF(ISNUMBER($A1284),IF(AND($A1284&gt;=10000101,$A1284&lt;=99991231),INT($A1284/10000),""),IFERROR(VALUE(TRIM(LEFT($A1284,FIND("/",$A1284)-1))),"")))</f>
        <v/>
      </c>
      <c r="C1284">
        <f>IF(OR($A1284="",$B1284=""),"",IF(ISNUMBER($A1284),INT(MOD($A1284,10000)/100),IFERROR(VALUE(TRIM(LEFT(MID($A1284,FIND("/",$A1284)+1,20),FIND("/",MID($A1284,FIND("/",$A1284)+1,20))-1))),"")))</f>
        <v/>
      </c>
      <c r="D1284">
        <f>IF(OR($A1284="",$B1284=""),"",IF(ISNUMBER($A1284),MOD($A1284,100),IFERROR(VALUE(TRIM(MID(MID($A1284,FIND("/",$A1284)+1,20),FIND("/",MID($A1284,FIND("/",$A1284)+1,20))+1,20))),"")))</f>
        <v/>
      </c>
      <c r="E1284">
        <f>IF($A1284="","",IF(OR($B1284="",$C1284="",$D1284="",$B1284&lt;1300,$B1284&gt;1500,$C1284&lt;1,$C1284&gt;12,$D1284&lt;1,$D1284&gt;31),"نامعتبر",RIGHT("0000"&amp;$B1284,4)&amp;"/"&amp;RIGHT("00"&amp;$C1284,2)&amp;"/"&amp;RIGHT("00"&amp;$D1284,2)))</f>
        <v/>
      </c>
      <c r="F1284">
        <f>IF(OR($E1284="",$E1284="نامعتبر"),"",IF(Sync!$Q1281="","0000",IF(AND(ISNUMBER(Sync!$Q1281),Sync!$Q1281&gt;=0,Sync!$Q1281&lt;1),RIGHT("00"&amp;HOUR(Sync!$Q1281),2)&amp;RIGHT("00"&amp;MINUTE(Sync!$Q1281),2),IFERROR(RIGHT("00"&amp;VALUE(LEFT(Sync!$Q1281,FIND(":",Sync!$Q1281)-1)),2)&amp;RIGHT("00"&amp;VALUE(MID(Sync!$Q1281,FIND(":",Sync!$Q1281)+1,2)),2),"0000"))))</f>
        <v/>
      </c>
      <c r="G1284">
        <f>IF(OR($E1284="",$E1284="نامعتبر"),"",IF(Sync!$S1281="","",Sync!$S1281))</f>
        <v/>
      </c>
      <c r="H1284">
        <f>IF(OR($E1284="",$E1284="نامعتبر"),"",IF(Sync!$R1281="","",Sync!$R1281))</f>
        <v/>
      </c>
      <c r="I1284">
        <f>IF(OR($E1284="",$E1284="نامعتبر"),"",IF(Sync!$T1281="","",Sync!$T1281))</f>
        <v/>
      </c>
      <c r="J1284">
        <f>IF(OR($E1284="",$E1284="نامعتبر"),"",IF(Sync!$U1281="","",Sync!$U1281))</f>
        <v/>
      </c>
      <c r="K1284">
        <f>IF(OR($E1284="",$E1284="نامعتبر"),"",IF(Sync!$V1281="","",IFERROR(INDEX(SubCodes,MATCH(Sync!$V1281,SubTitles,0)),Sync!$V1281)))</f>
        <v/>
      </c>
      <c r="L1284">
        <f>IF(OR($E1284="",$E1284="نامعتبر"),"",IF(Sync!$W1281="",0,Sync!$W1281))</f>
        <v/>
      </c>
      <c r="M1284">
        <f>IF(OR($E1284="",$E1284="نامعتبر"),"",IF(Sync!$X1281="",0,Sync!$X1281))</f>
        <v/>
      </c>
      <c r="N1284">
        <f>IF(OR($E1284="",$E1284="نامعتبر"),"",IF(AND($J1284="هزینه",$K1284&lt;&gt;""),1,0))</f>
        <v/>
      </c>
      <c r="O1284">
        <f>IF($N1284=0,"",LEFT($E1284,4)&amp;MID($E1284,6,2)&amp;RIGHT($E1284,2)&amp;$F1284&amp;"|"&amp;"1"&amp;RIGHT("00000"&amp;1276,5))</f>
        <v/>
      </c>
      <c r="P1284">
        <f>IF($O1284="","",COUNTIFS(ExpSub,$K1284,ExpKey,"&lt;"&amp;$O1284)+1)</f>
        <v/>
      </c>
      <c r="Q1284">
        <f>IF($P1284="","",$K1284&amp;"|"&amp;RIGHT("000000"&amp;$P1284,6))</f>
        <v/>
      </c>
    </row>
    <row r="1285">
      <c r="A1285">
        <f>IF(Sync!$P1282="","",Sync!$P1282)</f>
        <v/>
      </c>
      <c r="B1285">
        <f>IF($A1285="","",IF(ISNUMBER($A1285),IF(AND($A1285&gt;=10000101,$A1285&lt;=99991231),INT($A1285/10000),""),IFERROR(VALUE(TRIM(LEFT($A1285,FIND("/",$A1285)-1))),"")))</f>
        <v/>
      </c>
      <c r="C1285">
        <f>IF(OR($A1285="",$B1285=""),"",IF(ISNUMBER($A1285),INT(MOD($A1285,10000)/100),IFERROR(VALUE(TRIM(LEFT(MID($A1285,FIND("/",$A1285)+1,20),FIND("/",MID($A1285,FIND("/",$A1285)+1,20))-1))),"")))</f>
        <v/>
      </c>
      <c r="D1285">
        <f>IF(OR($A1285="",$B1285=""),"",IF(ISNUMBER($A1285),MOD($A1285,100),IFERROR(VALUE(TRIM(MID(MID($A1285,FIND("/",$A1285)+1,20),FIND("/",MID($A1285,FIND("/",$A1285)+1,20))+1,20))),"")))</f>
        <v/>
      </c>
      <c r="E1285">
        <f>IF($A1285="","",IF(OR($B1285="",$C1285="",$D1285="",$B1285&lt;1300,$B1285&gt;1500,$C1285&lt;1,$C1285&gt;12,$D1285&lt;1,$D1285&gt;31),"نامعتبر",RIGHT("0000"&amp;$B1285,4)&amp;"/"&amp;RIGHT("00"&amp;$C1285,2)&amp;"/"&amp;RIGHT("00"&amp;$D1285,2)))</f>
        <v/>
      </c>
      <c r="F1285">
        <f>IF(OR($E1285="",$E1285="نامعتبر"),"",IF(Sync!$Q1282="","0000",IF(AND(ISNUMBER(Sync!$Q1282),Sync!$Q1282&gt;=0,Sync!$Q1282&lt;1),RIGHT("00"&amp;HOUR(Sync!$Q1282),2)&amp;RIGHT("00"&amp;MINUTE(Sync!$Q1282),2),IFERROR(RIGHT("00"&amp;VALUE(LEFT(Sync!$Q1282,FIND(":",Sync!$Q1282)-1)),2)&amp;RIGHT("00"&amp;VALUE(MID(Sync!$Q1282,FIND(":",Sync!$Q1282)+1,2)),2),"0000"))))</f>
        <v/>
      </c>
      <c r="G1285">
        <f>IF(OR($E1285="",$E1285="نامعتبر"),"",IF(Sync!$S1282="","",Sync!$S1282))</f>
        <v/>
      </c>
      <c r="H1285">
        <f>IF(OR($E1285="",$E1285="نامعتبر"),"",IF(Sync!$R1282="","",Sync!$R1282))</f>
        <v/>
      </c>
      <c r="I1285">
        <f>IF(OR($E1285="",$E1285="نامعتبر"),"",IF(Sync!$T1282="","",Sync!$T1282))</f>
        <v/>
      </c>
      <c r="J1285">
        <f>IF(OR($E1285="",$E1285="نامعتبر"),"",IF(Sync!$U1282="","",Sync!$U1282))</f>
        <v/>
      </c>
      <c r="K1285">
        <f>IF(OR($E1285="",$E1285="نامعتبر"),"",IF(Sync!$V1282="","",IFERROR(INDEX(SubCodes,MATCH(Sync!$V1282,SubTitles,0)),Sync!$V1282)))</f>
        <v/>
      </c>
      <c r="L1285">
        <f>IF(OR($E1285="",$E1285="نامعتبر"),"",IF(Sync!$W1282="",0,Sync!$W1282))</f>
        <v/>
      </c>
      <c r="M1285">
        <f>IF(OR($E1285="",$E1285="نامعتبر"),"",IF(Sync!$X1282="",0,Sync!$X1282))</f>
        <v/>
      </c>
      <c r="N1285">
        <f>IF(OR($E1285="",$E1285="نامعتبر"),"",IF(AND($J1285="هزینه",$K1285&lt;&gt;""),1,0))</f>
        <v/>
      </c>
      <c r="O1285">
        <f>IF($N1285=0,"",LEFT($E1285,4)&amp;MID($E1285,6,2)&amp;RIGHT($E1285,2)&amp;$F1285&amp;"|"&amp;"1"&amp;RIGHT("00000"&amp;1277,5))</f>
        <v/>
      </c>
      <c r="P1285">
        <f>IF($O1285="","",COUNTIFS(ExpSub,$K1285,ExpKey,"&lt;"&amp;$O1285)+1)</f>
        <v/>
      </c>
      <c r="Q1285">
        <f>IF($P1285="","",$K1285&amp;"|"&amp;RIGHT("000000"&amp;$P1285,6))</f>
        <v/>
      </c>
    </row>
    <row r="1286">
      <c r="A1286">
        <f>IF(Sync!$P1283="","",Sync!$P1283)</f>
        <v/>
      </c>
      <c r="B1286">
        <f>IF($A1286="","",IF(ISNUMBER($A1286),IF(AND($A1286&gt;=10000101,$A1286&lt;=99991231),INT($A1286/10000),""),IFERROR(VALUE(TRIM(LEFT($A1286,FIND("/",$A1286)-1))),"")))</f>
        <v/>
      </c>
      <c r="C1286">
        <f>IF(OR($A1286="",$B1286=""),"",IF(ISNUMBER($A1286),INT(MOD($A1286,10000)/100),IFERROR(VALUE(TRIM(LEFT(MID($A1286,FIND("/",$A1286)+1,20),FIND("/",MID($A1286,FIND("/",$A1286)+1,20))-1))),"")))</f>
        <v/>
      </c>
      <c r="D1286">
        <f>IF(OR($A1286="",$B1286=""),"",IF(ISNUMBER($A1286),MOD($A1286,100),IFERROR(VALUE(TRIM(MID(MID($A1286,FIND("/",$A1286)+1,20),FIND("/",MID($A1286,FIND("/",$A1286)+1,20))+1,20))),"")))</f>
        <v/>
      </c>
      <c r="E1286">
        <f>IF($A1286="","",IF(OR($B1286="",$C1286="",$D1286="",$B1286&lt;1300,$B1286&gt;1500,$C1286&lt;1,$C1286&gt;12,$D1286&lt;1,$D1286&gt;31),"نامعتبر",RIGHT("0000"&amp;$B1286,4)&amp;"/"&amp;RIGHT("00"&amp;$C1286,2)&amp;"/"&amp;RIGHT("00"&amp;$D1286,2)))</f>
        <v/>
      </c>
      <c r="F1286">
        <f>IF(OR($E1286="",$E1286="نامعتبر"),"",IF(Sync!$Q1283="","0000",IF(AND(ISNUMBER(Sync!$Q1283),Sync!$Q1283&gt;=0,Sync!$Q1283&lt;1),RIGHT("00"&amp;HOUR(Sync!$Q1283),2)&amp;RIGHT("00"&amp;MINUTE(Sync!$Q1283),2),IFERROR(RIGHT("00"&amp;VALUE(LEFT(Sync!$Q1283,FIND(":",Sync!$Q1283)-1)),2)&amp;RIGHT("00"&amp;VALUE(MID(Sync!$Q1283,FIND(":",Sync!$Q1283)+1,2)),2),"0000"))))</f>
        <v/>
      </c>
      <c r="G1286">
        <f>IF(OR($E1286="",$E1286="نامعتبر"),"",IF(Sync!$S1283="","",Sync!$S1283))</f>
        <v/>
      </c>
      <c r="H1286">
        <f>IF(OR($E1286="",$E1286="نامعتبر"),"",IF(Sync!$R1283="","",Sync!$R1283))</f>
        <v/>
      </c>
      <c r="I1286">
        <f>IF(OR($E1286="",$E1286="نامعتبر"),"",IF(Sync!$T1283="","",Sync!$T1283))</f>
        <v/>
      </c>
      <c r="J1286">
        <f>IF(OR($E1286="",$E1286="نامعتبر"),"",IF(Sync!$U1283="","",Sync!$U1283))</f>
        <v/>
      </c>
      <c r="K1286">
        <f>IF(OR($E1286="",$E1286="نامعتبر"),"",IF(Sync!$V1283="","",IFERROR(INDEX(SubCodes,MATCH(Sync!$V1283,SubTitles,0)),Sync!$V1283)))</f>
        <v/>
      </c>
      <c r="L1286">
        <f>IF(OR($E1286="",$E1286="نامعتبر"),"",IF(Sync!$W1283="",0,Sync!$W1283))</f>
        <v/>
      </c>
      <c r="M1286">
        <f>IF(OR($E1286="",$E1286="نامعتبر"),"",IF(Sync!$X1283="",0,Sync!$X1283))</f>
        <v/>
      </c>
      <c r="N1286">
        <f>IF(OR($E1286="",$E1286="نامعتبر"),"",IF(AND($J1286="هزینه",$K1286&lt;&gt;""),1,0))</f>
        <v/>
      </c>
      <c r="O1286">
        <f>IF($N1286=0,"",LEFT($E1286,4)&amp;MID($E1286,6,2)&amp;RIGHT($E1286,2)&amp;$F1286&amp;"|"&amp;"1"&amp;RIGHT("00000"&amp;1278,5))</f>
        <v/>
      </c>
      <c r="P1286">
        <f>IF($O1286="","",COUNTIFS(ExpSub,$K1286,ExpKey,"&lt;"&amp;$O1286)+1)</f>
        <v/>
      </c>
      <c r="Q1286">
        <f>IF($P1286="","",$K1286&amp;"|"&amp;RIGHT("000000"&amp;$P1286,6))</f>
        <v/>
      </c>
    </row>
    <row r="1287">
      <c r="A1287">
        <f>IF(Sync!$P1284="","",Sync!$P1284)</f>
        <v/>
      </c>
      <c r="B1287">
        <f>IF($A1287="","",IF(ISNUMBER($A1287),IF(AND($A1287&gt;=10000101,$A1287&lt;=99991231),INT($A1287/10000),""),IFERROR(VALUE(TRIM(LEFT($A1287,FIND("/",$A1287)-1))),"")))</f>
        <v/>
      </c>
      <c r="C1287">
        <f>IF(OR($A1287="",$B1287=""),"",IF(ISNUMBER($A1287),INT(MOD($A1287,10000)/100),IFERROR(VALUE(TRIM(LEFT(MID($A1287,FIND("/",$A1287)+1,20),FIND("/",MID($A1287,FIND("/",$A1287)+1,20))-1))),"")))</f>
        <v/>
      </c>
      <c r="D1287">
        <f>IF(OR($A1287="",$B1287=""),"",IF(ISNUMBER($A1287),MOD($A1287,100),IFERROR(VALUE(TRIM(MID(MID($A1287,FIND("/",$A1287)+1,20),FIND("/",MID($A1287,FIND("/",$A1287)+1,20))+1,20))),"")))</f>
        <v/>
      </c>
      <c r="E1287">
        <f>IF($A1287="","",IF(OR($B1287="",$C1287="",$D1287="",$B1287&lt;1300,$B1287&gt;1500,$C1287&lt;1,$C1287&gt;12,$D1287&lt;1,$D1287&gt;31),"نامعتبر",RIGHT("0000"&amp;$B1287,4)&amp;"/"&amp;RIGHT("00"&amp;$C1287,2)&amp;"/"&amp;RIGHT("00"&amp;$D1287,2)))</f>
        <v/>
      </c>
      <c r="F1287">
        <f>IF(OR($E1287="",$E1287="نامعتبر"),"",IF(Sync!$Q1284="","0000",IF(AND(ISNUMBER(Sync!$Q1284),Sync!$Q1284&gt;=0,Sync!$Q1284&lt;1),RIGHT("00"&amp;HOUR(Sync!$Q1284),2)&amp;RIGHT("00"&amp;MINUTE(Sync!$Q1284),2),IFERROR(RIGHT("00"&amp;VALUE(LEFT(Sync!$Q1284,FIND(":",Sync!$Q1284)-1)),2)&amp;RIGHT("00"&amp;VALUE(MID(Sync!$Q1284,FIND(":",Sync!$Q1284)+1,2)),2),"0000"))))</f>
        <v/>
      </c>
      <c r="G1287">
        <f>IF(OR($E1287="",$E1287="نامعتبر"),"",IF(Sync!$S1284="","",Sync!$S1284))</f>
        <v/>
      </c>
      <c r="H1287">
        <f>IF(OR($E1287="",$E1287="نامعتبر"),"",IF(Sync!$R1284="","",Sync!$R1284))</f>
        <v/>
      </c>
      <c r="I1287">
        <f>IF(OR($E1287="",$E1287="نامعتبر"),"",IF(Sync!$T1284="","",Sync!$T1284))</f>
        <v/>
      </c>
      <c r="J1287">
        <f>IF(OR($E1287="",$E1287="نامعتبر"),"",IF(Sync!$U1284="","",Sync!$U1284))</f>
        <v/>
      </c>
      <c r="K1287">
        <f>IF(OR($E1287="",$E1287="نامعتبر"),"",IF(Sync!$V1284="","",IFERROR(INDEX(SubCodes,MATCH(Sync!$V1284,SubTitles,0)),Sync!$V1284)))</f>
        <v/>
      </c>
      <c r="L1287">
        <f>IF(OR($E1287="",$E1287="نامعتبر"),"",IF(Sync!$W1284="",0,Sync!$W1284))</f>
        <v/>
      </c>
      <c r="M1287">
        <f>IF(OR($E1287="",$E1287="نامعتبر"),"",IF(Sync!$X1284="",0,Sync!$X1284))</f>
        <v/>
      </c>
      <c r="N1287">
        <f>IF(OR($E1287="",$E1287="نامعتبر"),"",IF(AND($J1287="هزینه",$K1287&lt;&gt;""),1,0))</f>
        <v/>
      </c>
      <c r="O1287">
        <f>IF($N1287=0,"",LEFT($E1287,4)&amp;MID($E1287,6,2)&amp;RIGHT($E1287,2)&amp;$F1287&amp;"|"&amp;"1"&amp;RIGHT("00000"&amp;1279,5))</f>
        <v/>
      </c>
      <c r="P1287">
        <f>IF($O1287="","",COUNTIFS(ExpSub,$K1287,ExpKey,"&lt;"&amp;$O1287)+1)</f>
        <v/>
      </c>
      <c r="Q1287">
        <f>IF($P1287="","",$K1287&amp;"|"&amp;RIGHT("000000"&amp;$P1287,6))</f>
        <v/>
      </c>
    </row>
    <row r="1288">
      <c r="A1288">
        <f>IF(Sync!$P1285="","",Sync!$P1285)</f>
        <v/>
      </c>
      <c r="B1288">
        <f>IF($A1288="","",IF(ISNUMBER($A1288),IF(AND($A1288&gt;=10000101,$A1288&lt;=99991231),INT($A1288/10000),""),IFERROR(VALUE(TRIM(LEFT($A1288,FIND("/",$A1288)-1))),"")))</f>
        <v/>
      </c>
      <c r="C1288">
        <f>IF(OR($A1288="",$B1288=""),"",IF(ISNUMBER($A1288),INT(MOD($A1288,10000)/100),IFERROR(VALUE(TRIM(LEFT(MID($A1288,FIND("/",$A1288)+1,20),FIND("/",MID($A1288,FIND("/",$A1288)+1,20))-1))),"")))</f>
        <v/>
      </c>
      <c r="D1288">
        <f>IF(OR($A1288="",$B1288=""),"",IF(ISNUMBER($A1288),MOD($A1288,100),IFERROR(VALUE(TRIM(MID(MID($A1288,FIND("/",$A1288)+1,20),FIND("/",MID($A1288,FIND("/",$A1288)+1,20))+1,20))),"")))</f>
        <v/>
      </c>
      <c r="E1288">
        <f>IF($A1288="","",IF(OR($B1288="",$C1288="",$D1288="",$B1288&lt;1300,$B1288&gt;1500,$C1288&lt;1,$C1288&gt;12,$D1288&lt;1,$D1288&gt;31),"نامعتبر",RIGHT("0000"&amp;$B1288,4)&amp;"/"&amp;RIGHT("00"&amp;$C1288,2)&amp;"/"&amp;RIGHT("00"&amp;$D1288,2)))</f>
        <v/>
      </c>
      <c r="F1288">
        <f>IF(OR($E1288="",$E1288="نامعتبر"),"",IF(Sync!$Q1285="","0000",IF(AND(ISNUMBER(Sync!$Q1285),Sync!$Q1285&gt;=0,Sync!$Q1285&lt;1),RIGHT("00"&amp;HOUR(Sync!$Q1285),2)&amp;RIGHT("00"&amp;MINUTE(Sync!$Q1285),2),IFERROR(RIGHT("00"&amp;VALUE(LEFT(Sync!$Q1285,FIND(":",Sync!$Q1285)-1)),2)&amp;RIGHT("00"&amp;VALUE(MID(Sync!$Q1285,FIND(":",Sync!$Q1285)+1,2)),2),"0000"))))</f>
        <v/>
      </c>
      <c r="G1288">
        <f>IF(OR($E1288="",$E1288="نامعتبر"),"",IF(Sync!$S1285="","",Sync!$S1285))</f>
        <v/>
      </c>
      <c r="H1288">
        <f>IF(OR($E1288="",$E1288="نامعتبر"),"",IF(Sync!$R1285="","",Sync!$R1285))</f>
        <v/>
      </c>
      <c r="I1288">
        <f>IF(OR($E1288="",$E1288="نامعتبر"),"",IF(Sync!$T1285="","",Sync!$T1285))</f>
        <v/>
      </c>
      <c r="J1288">
        <f>IF(OR($E1288="",$E1288="نامعتبر"),"",IF(Sync!$U1285="","",Sync!$U1285))</f>
        <v/>
      </c>
      <c r="K1288">
        <f>IF(OR($E1288="",$E1288="نامعتبر"),"",IF(Sync!$V1285="","",IFERROR(INDEX(SubCodes,MATCH(Sync!$V1285,SubTitles,0)),Sync!$V1285)))</f>
        <v/>
      </c>
      <c r="L1288">
        <f>IF(OR($E1288="",$E1288="نامعتبر"),"",IF(Sync!$W1285="",0,Sync!$W1285))</f>
        <v/>
      </c>
      <c r="M1288">
        <f>IF(OR($E1288="",$E1288="نامعتبر"),"",IF(Sync!$X1285="",0,Sync!$X1285))</f>
        <v/>
      </c>
      <c r="N1288">
        <f>IF(OR($E1288="",$E1288="نامعتبر"),"",IF(AND($J1288="هزینه",$K1288&lt;&gt;""),1,0))</f>
        <v/>
      </c>
      <c r="O1288">
        <f>IF($N1288=0,"",LEFT($E1288,4)&amp;MID($E1288,6,2)&amp;RIGHT($E1288,2)&amp;$F1288&amp;"|"&amp;"1"&amp;RIGHT("00000"&amp;1280,5))</f>
        <v/>
      </c>
      <c r="P1288">
        <f>IF($O1288="","",COUNTIFS(ExpSub,$K1288,ExpKey,"&lt;"&amp;$O1288)+1)</f>
        <v/>
      </c>
      <c r="Q1288">
        <f>IF($P1288="","",$K1288&amp;"|"&amp;RIGHT("000000"&amp;$P1288,6))</f>
        <v/>
      </c>
    </row>
    <row r="1289">
      <c r="A1289">
        <f>IF(Sync!$P1286="","",Sync!$P1286)</f>
        <v/>
      </c>
      <c r="B1289">
        <f>IF($A1289="","",IF(ISNUMBER($A1289),IF(AND($A1289&gt;=10000101,$A1289&lt;=99991231),INT($A1289/10000),""),IFERROR(VALUE(TRIM(LEFT($A1289,FIND("/",$A1289)-1))),"")))</f>
        <v/>
      </c>
      <c r="C1289">
        <f>IF(OR($A1289="",$B1289=""),"",IF(ISNUMBER($A1289),INT(MOD($A1289,10000)/100),IFERROR(VALUE(TRIM(LEFT(MID($A1289,FIND("/",$A1289)+1,20),FIND("/",MID($A1289,FIND("/",$A1289)+1,20))-1))),"")))</f>
        <v/>
      </c>
      <c r="D1289">
        <f>IF(OR($A1289="",$B1289=""),"",IF(ISNUMBER($A1289),MOD($A1289,100),IFERROR(VALUE(TRIM(MID(MID($A1289,FIND("/",$A1289)+1,20),FIND("/",MID($A1289,FIND("/",$A1289)+1,20))+1,20))),"")))</f>
        <v/>
      </c>
      <c r="E1289">
        <f>IF($A1289="","",IF(OR($B1289="",$C1289="",$D1289="",$B1289&lt;1300,$B1289&gt;1500,$C1289&lt;1,$C1289&gt;12,$D1289&lt;1,$D1289&gt;31),"نامعتبر",RIGHT("0000"&amp;$B1289,4)&amp;"/"&amp;RIGHT("00"&amp;$C1289,2)&amp;"/"&amp;RIGHT("00"&amp;$D1289,2)))</f>
        <v/>
      </c>
      <c r="F1289">
        <f>IF(OR($E1289="",$E1289="نامعتبر"),"",IF(Sync!$Q1286="","0000",IF(AND(ISNUMBER(Sync!$Q1286),Sync!$Q1286&gt;=0,Sync!$Q1286&lt;1),RIGHT("00"&amp;HOUR(Sync!$Q1286),2)&amp;RIGHT("00"&amp;MINUTE(Sync!$Q1286),2),IFERROR(RIGHT("00"&amp;VALUE(LEFT(Sync!$Q1286,FIND(":",Sync!$Q1286)-1)),2)&amp;RIGHT("00"&amp;VALUE(MID(Sync!$Q1286,FIND(":",Sync!$Q1286)+1,2)),2),"0000"))))</f>
        <v/>
      </c>
      <c r="G1289">
        <f>IF(OR($E1289="",$E1289="نامعتبر"),"",IF(Sync!$S1286="","",Sync!$S1286))</f>
        <v/>
      </c>
      <c r="H1289">
        <f>IF(OR($E1289="",$E1289="نامعتبر"),"",IF(Sync!$R1286="","",Sync!$R1286))</f>
        <v/>
      </c>
      <c r="I1289">
        <f>IF(OR($E1289="",$E1289="نامعتبر"),"",IF(Sync!$T1286="","",Sync!$T1286))</f>
        <v/>
      </c>
      <c r="J1289">
        <f>IF(OR($E1289="",$E1289="نامعتبر"),"",IF(Sync!$U1286="","",Sync!$U1286))</f>
        <v/>
      </c>
      <c r="K1289">
        <f>IF(OR($E1289="",$E1289="نامعتبر"),"",IF(Sync!$V1286="","",IFERROR(INDEX(SubCodes,MATCH(Sync!$V1286,SubTitles,0)),Sync!$V1286)))</f>
        <v/>
      </c>
      <c r="L1289">
        <f>IF(OR($E1289="",$E1289="نامعتبر"),"",IF(Sync!$W1286="",0,Sync!$W1286))</f>
        <v/>
      </c>
      <c r="M1289">
        <f>IF(OR($E1289="",$E1289="نامعتبر"),"",IF(Sync!$X1286="",0,Sync!$X1286))</f>
        <v/>
      </c>
      <c r="N1289">
        <f>IF(OR($E1289="",$E1289="نامعتبر"),"",IF(AND($J1289="هزینه",$K1289&lt;&gt;""),1,0))</f>
        <v/>
      </c>
      <c r="O1289">
        <f>IF($N1289=0,"",LEFT($E1289,4)&amp;MID($E1289,6,2)&amp;RIGHT($E1289,2)&amp;$F1289&amp;"|"&amp;"1"&amp;RIGHT("00000"&amp;1281,5))</f>
        <v/>
      </c>
      <c r="P1289">
        <f>IF($O1289="","",COUNTIFS(ExpSub,$K1289,ExpKey,"&lt;"&amp;$O1289)+1)</f>
        <v/>
      </c>
      <c r="Q1289">
        <f>IF($P1289="","",$K1289&amp;"|"&amp;RIGHT("000000"&amp;$P1289,6))</f>
        <v/>
      </c>
    </row>
    <row r="1290">
      <c r="A1290">
        <f>IF(Sync!$P1287="","",Sync!$P1287)</f>
        <v/>
      </c>
      <c r="B1290">
        <f>IF($A1290="","",IF(ISNUMBER($A1290),IF(AND($A1290&gt;=10000101,$A1290&lt;=99991231),INT($A1290/10000),""),IFERROR(VALUE(TRIM(LEFT($A1290,FIND("/",$A1290)-1))),"")))</f>
        <v/>
      </c>
      <c r="C1290">
        <f>IF(OR($A1290="",$B1290=""),"",IF(ISNUMBER($A1290),INT(MOD($A1290,10000)/100),IFERROR(VALUE(TRIM(LEFT(MID($A1290,FIND("/",$A1290)+1,20),FIND("/",MID($A1290,FIND("/",$A1290)+1,20))-1))),"")))</f>
        <v/>
      </c>
      <c r="D1290">
        <f>IF(OR($A1290="",$B1290=""),"",IF(ISNUMBER($A1290),MOD($A1290,100),IFERROR(VALUE(TRIM(MID(MID($A1290,FIND("/",$A1290)+1,20),FIND("/",MID($A1290,FIND("/",$A1290)+1,20))+1,20))),"")))</f>
        <v/>
      </c>
      <c r="E1290">
        <f>IF($A1290="","",IF(OR($B1290="",$C1290="",$D1290="",$B1290&lt;1300,$B1290&gt;1500,$C1290&lt;1,$C1290&gt;12,$D1290&lt;1,$D1290&gt;31),"نامعتبر",RIGHT("0000"&amp;$B1290,4)&amp;"/"&amp;RIGHT("00"&amp;$C1290,2)&amp;"/"&amp;RIGHT("00"&amp;$D1290,2)))</f>
        <v/>
      </c>
      <c r="F1290">
        <f>IF(OR($E1290="",$E1290="نامعتبر"),"",IF(Sync!$Q1287="","0000",IF(AND(ISNUMBER(Sync!$Q1287),Sync!$Q1287&gt;=0,Sync!$Q1287&lt;1),RIGHT("00"&amp;HOUR(Sync!$Q1287),2)&amp;RIGHT("00"&amp;MINUTE(Sync!$Q1287),2),IFERROR(RIGHT("00"&amp;VALUE(LEFT(Sync!$Q1287,FIND(":",Sync!$Q1287)-1)),2)&amp;RIGHT("00"&amp;VALUE(MID(Sync!$Q1287,FIND(":",Sync!$Q1287)+1,2)),2),"0000"))))</f>
        <v/>
      </c>
      <c r="G1290">
        <f>IF(OR($E1290="",$E1290="نامعتبر"),"",IF(Sync!$S1287="","",Sync!$S1287))</f>
        <v/>
      </c>
      <c r="H1290">
        <f>IF(OR($E1290="",$E1290="نامعتبر"),"",IF(Sync!$R1287="","",Sync!$R1287))</f>
        <v/>
      </c>
      <c r="I1290">
        <f>IF(OR($E1290="",$E1290="نامعتبر"),"",IF(Sync!$T1287="","",Sync!$T1287))</f>
        <v/>
      </c>
      <c r="J1290">
        <f>IF(OR($E1290="",$E1290="نامعتبر"),"",IF(Sync!$U1287="","",Sync!$U1287))</f>
        <v/>
      </c>
      <c r="K1290">
        <f>IF(OR($E1290="",$E1290="نامعتبر"),"",IF(Sync!$V1287="","",IFERROR(INDEX(SubCodes,MATCH(Sync!$V1287,SubTitles,0)),Sync!$V1287)))</f>
        <v/>
      </c>
      <c r="L1290">
        <f>IF(OR($E1290="",$E1290="نامعتبر"),"",IF(Sync!$W1287="",0,Sync!$W1287))</f>
        <v/>
      </c>
      <c r="M1290">
        <f>IF(OR($E1290="",$E1290="نامعتبر"),"",IF(Sync!$X1287="",0,Sync!$X1287))</f>
        <v/>
      </c>
      <c r="N1290">
        <f>IF(OR($E1290="",$E1290="نامعتبر"),"",IF(AND($J1290="هزینه",$K1290&lt;&gt;""),1,0))</f>
        <v/>
      </c>
      <c r="O1290">
        <f>IF($N1290=0,"",LEFT($E1290,4)&amp;MID($E1290,6,2)&amp;RIGHT($E1290,2)&amp;$F1290&amp;"|"&amp;"1"&amp;RIGHT("00000"&amp;1282,5))</f>
        <v/>
      </c>
      <c r="P1290">
        <f>IF($O1290="","",COUNTIFS(ExpSub,$K1290,ExpKey,"&lt;"&amp;$O1290)+1)</f>
        <v/>
      </c>
      <c r="Q1290">
        <f>IF($P1290="","",$K1290&amp;"|"&amp;RIGHT("000000"&amp;$P1290,6))</f>
        <v/>
      </c>
    </row>
    <row r="1291">
      <c r="A1291">
        <f>IF(Sync!$P1288="","",Sync!$P1288)</f>
        <v/>
      </c>
      <c r="B1291">
        <f>IF($A1291="","",IF(ISNUMBER($A1291),IF(AND($A1291&gt;=10000101,$A1291&lt;=99991231),INT($A1291/10000),""),IFERROR(VALUE(TRIM(LEFT($A1291,FIND("/",$A1291)-1))),"")))</f>
        <v/>
      </c>
      <c r="C1291">
        <f>IF(OR($A1291="",$B1291=""),"",IF(ISNUMBER($A1291),INT(MOD($A1291,10000)/100),IFERROR(VALUE(TRIM(LEFT(MID($A1291,FIND("/",$A1291)+1,20),FIND("/",MID($A1291,FIND("/",$A1291)+1,20))-1))),"")))</f>
        <v/>
      </c>
      <c r="D1291">
        <f>IF(OR($A1291="",$B1291=""),"",IF(ISNUMBER($A1291),MOD($A1291,100),IFERROR(VALUE(TRIM(MID(MID($A1291,FIND("/",$A1291)+1,20),FIND("/",MID($A1291,FIND("/",$A1291)+1,20))+1,20))),"")))</f>
        <v/>
      </c>
      <c r="E1291">
        <f>IF($A1291="","",IF(OR($B1291="",$C1291="",$D1291="",$B1291&lt;1300,$B1291&gt;1500,$C1291&lt;1,$C1291&gt;12,$D1291&lt;1,$D1291&gt;31),"نامعتبر",RIGHT("0000"&amp;$B1291,4)&amp;"/"&amp;RIGHT("00"&amp;$C1291,2)&amp;"/"&amp;RIGHT("00"&amp;$D1291,2)))</f>
        <v/>
      </c>
      <c r="F1291">
        <f>IF(OR($E1291="",$E1291="نامعتبر"),"",IF(Sync!$Q1288="","0000",IF(AND(ISNUMBER(Sync!$Q1288),Sync!$Q1288&gt;=0,Sync!$Q1288&lt;1),RIGHT("00"&amp;HOUR(Sync!$Q1288),2)&amp;RIGHT("00"&amp;MINUTE(Sync!$Q1288),2),IFERROR(RIGHT("00"&amp;VALUE(LEFT(Sync!$Q1288,FIND(":",Sync!$Q1288)-1)),2)&amp;RIGHT("00"&amp;VALUE(MID(Sync!$Q1288,FIND(":",Sync!$Q1288)+1,2)),2),"0000"))))</f>
        <v/>
      </c>
      <c r="G1291">
        <f>IF(OR($E1291="",$E1291="نامعتبر"),"",IF(Sync!$S1288="","",Sync!$S1288))</f>
        <v/>
      </c>
      <c r="H1291">
        <f>IF(OR($E1291="",$E1291="نامعتبر"),"",IF(Sync!$R1288="","",Sync!$R1288))</f>
        <v/>
      </c>
      <c r="I1291">
        <f>IF(OR($E1291="",$E1291="نامعتبر"),"",IF(Sync!$T1288="","",Sync!$T1288))</f>
        <v/>
      </c>
      <c r="J1291">
        <f>IF(OR($E1291="",$E1291="نامعتبر"),"",IF(Sync!$U1288="","",Sync!$U1288))</f>
        <v/>
      </c>
      <c r="K1291">
        <f>IF(OR($E1291="",$E1291="نامعتبر"),"",IF(Sync!$V1288="","",IFERROR(INDEX(SubCodes,MATCH(Sync!$V1288,SubTitles,0)),Sync!$V1288)))</f>
        <v/>
      </c>
      <c r="L1291">
        <f>IF(OR($E1291="",$E1291="نامعتبر"),"",IF(Sync!$W1288="",0,Sync!$W1288))</f>
        <v/>
      </c>
      <c r="M1291">
        <f>IF(OR($E1291="",$E1291="نامعتبر"),"",IF(Sync!$X1288="",0,Sync!$X1288))</f>
        <v/>
      </c>
      <c r="N1291">
        <f>IF(OR($E1291="",$E1291="نامعتبر"),"",IF(AND($J1291="هزینه",$K1291&lt;&gt;""),1,0))</f>
        <v/>
      </c>
      <c r="O1291">
        <f>IF($N1291=0,"",LEFT($E1291,4)&amp;MID($E1291,6,2)&amp;RIGHT($E1291,2)&amp;$F1291&amp;"|"&amp;"1"&amp;RIGHT("00000"&amp;1283,5))</f>
        <v/>
      </c>
      <c r="P1291">
        <f>IF($O1291="","",COUNTIFS(ExpSub,$K1291,ExpKey,"&lt;"&amp;$O1291)+1)</f>
        <v/>
      </c>
      <c r="Q1291">
        <f>IF($P1291="","",$K1291&amp;"|"&amp;RIGHT("000000"&amp;$P1291,6))</f>
        <v/>
      </c>
    </row>
    <row r="1292">
      <c r="A1292">
        <f>IF(Sync!$P1289="","",Sync!$P1289)</f>
        <v/>
      </c>
      <c r="B1292">
        <f>IF($A1292="","",IF(ISNUMBER($A1292),IF(AND($A1292&gt;=10000101,$A1292&lt;=99991231),INT($A1292/10000),""),IFERROR(VALUE(TRIM(LEFT($A1292,FIND("/",$A1292)-1))),"")))</f>
        <v/>
      </c>
      <c r="C1292">
        <f>IF(OR($A1292="",$B1292=""),"",IF(ISNUMBER($A1292),INT(MOD($A1292,10000)/100),IFERROR(VALUE(TRIM(LEFT(MID($A1292,FIND("/",$A1292)+1,20),FIND("/",MID($A1292,FIND("/",$A1292)+1,20))-1))),"")))</f>
        <v/>
      </c>
      <c r="D1292">
        <f>IF(OR($A1292="",$B1292=""),"",IF(ISNUMBER($A1292),MOD($A1292,100),IFERROR(VALUE(TRIM(MID(MID($A1292,FIND("/",$A1292)+1,20),FIND("/",MID($A1292,FIND("/",$A1292)+1,20))+1,20))),"")))</f>
        <v/>
      </c>
      <c r="E1292">
        <f>IF($A1292="","",IF(OR($B1292="",$C1292="",$D1292="",$B1292&lt;1300,$B1292&gt;1500,$C1292&lt;1,$C1292&gt;12,$D1292&lt;1,$D1292&gt;31),"نامعتبر",RIGHT("0000"&amp;$B1292,4)&amp;"/"&amp;RIGHT("00"&amp;$C1292,2)&amp;"/"&amp;RIGHT("00"&amp;$D1292,2)))</f>
        <v/>
      </c>
      <c r="F1292">
        <f>IF(OR($E1292="",$E1292="نامعتبر"),"",IF(Sync!$Q1289="","0000",IF(AND(ISNUMBER(Sync!$Q1289),Sync!$Q1289&gt;=0,Sync!$Q1289&lt;1),RIGHT("00"&amp;HOUR(Sync!$Q1289),2)&amp;RIGHT("00"&amp;MINUTE(Sync!$Q1289),2),IFERROR(RIGHT("00"&amp;VALUE(LEFT(Sync!$Q1289,FIND(":",Sync!$Q1289)-1)),2)&amp;RIGHT("00"&amp;VALUE(MID(Sync!$Q1289,FIND(":",Sync!$Q1289)+1,2)),2),"0000"))))</f>
        <v/>
      </c>
      <c r="G1292">
        <f>IF(OR($E1292="",$E1292="نامعتبر"),"",IF(Sync!$S1289="","",Sync!$S1289))</f>
        <v/>
      </c>
      <c r="H1292">
        <f>IF(OR($E1292="",$E1292="نامعتبر"),"",IF(Sync!$R1289="","",Sync!$R1289))</f>
        <v/>
      </c>
      <c r="I1292">
        <f>IF(OR($E1292="",$E1292="نامعتبر"),"",IF(Sync!$T1289="","",Sync!$T1289))</f>
        <v/>
      </c>
      <c r="J1292">
        <f>IF(OR($E1292="",$E1292="نامعتبر"),"",IF(Sync!$U1289="","",Sync!$U1289))</f>
        <v/>
      </c>
      <c r="K1292">
        <f>IF(OR($E1292="",$E1292="نامعتبر"),"",IF(Sync!$V1289="","",IFERROR(INDEX(SubCodes,MATCH(Sync!$V1289,SubTitles,0)),Sync!$V1289)))</f>
        <v/>
      </c>
      <c r="L1292">
        <f>IF(OR($E1292="",$E1292="نامعتبر"),"",IF(Sync!$W1289="",0,Sync!$W1289))</f>
        <v/>
      </c>
      <c r="M1292">
        <f>IF(OR($E1292="",$E1292="نامعتبر"),"",IF(Sync!$X1289="",0,Sync!$X1289))</f>
        <v/>
      </c>
      <c r="N1292">
        <f>IF(OR($E1292="",$E1292="نامعتبر"),"",IF(AND($J1292="هزینه",$K1292&lt;&gt;""),1,0))</f>
        <v/>
      </c>
      <c r="O1292">
        <f>IF($N1292=0,"",LEFT($E1292,4)&amp;MID($E1292,6,2)&amp;RIGHT($E1292,2)&amp;$F1292&amp;"|"&amp;"1"&amp;RIGHT("00000"&amp;1284,5))</f>
        <v/>
      </c>
      <c r="P1292">
        <f>IF($O1292="","",COUNTIFS(ExpSub,$K1292,ExpKey,"&lt;"&amp;$O1292)+1)</f>
        <v/>
      </c>
      <c r="Q1292">
        <f>IF($P1292="","",$K1292&amp;"|"&amp;RIGHT("000000"&amp;$P1292,6))</f>
        <v/>
      </c>
    </row>
    <row r="1293">
      <c r="A1293">
        <f>IF(Sync!$P1290="","",Sync!$P1290)</f>
        <v/>
      </c>
      <c r="B1293">
        <f>IF($A1293="","",IF(ISNUMBER($A1293),IF(AND($A1293&gt;=10000101,$A1293&lt;=99991231),INT($A1293/10000),""),IFERROR(VALUE(TRIM(LEFT($A1293,FIND("/",$A1293)-1))),"")))</f>
        <v/>
      </c>
      <c r="C1293">
        <f>IF(OR($A1293="",$B1293=""),"",IF(ISNUMBER($A1293),INT(MOD($A1293,10000)/100),IFERROR(VALUE(TRIM(LEFT(MID($A1293,FIND("/",$A1293)+1,20),FIND("/",MID($A1293,FIND("/",$A1293)+1,20))-1))),"")))</f>
        <v/>
      </c>
      <c r="D1293">
        <f>IF(OR($A1293="",$B1293=""),"",IF(ISNUMBER($A1293),MOD($A1293,100),IFERROR(VALUE(TRIM(MID(MID($A1293,FIND("/",$A1293)+1,20),FIND("/",MID($A1293,FIND("/",$A1293)+1,20))+1,20))),"")))</f>
        <v/>
      </c>
      <c r="E1293">
        <f>IF($A1293="","",IF(OR($B1293="",$C1293="",$D1293="",$B1293&lt;1300,$B1293&gt;1500,$C1293&lt;1,$C1293&gt;12,$D1293&lt;1,$D1293&gt;31),"نامعتبر",RIGHT("0000"&amp;$B1293,4)&amp;"/"&amp;RIGHT("00"&amp;$C1293,2)&amp;"/"&amp;RIGHT("00"&amp;$D1293,2)))</f>
        <v/>
      </c>
      <c r="F1293">
        <f>IF(OR($E1293="",$E1293="نامعتبر"),"",IF(Sync!$Q1290="","0000",IF(AND(ISNUMBER(Sync!$Q1290),Sync!$Q1290&gt;=0,Sync!$Q1290&lt;1),RIGHT("00"&amp;HOUR(Sync!$Q1290),2)&amp;RIGHT("00"&amp;MINUTE(Sync!$Q1290),2),IFERROR(RIGHT("00"&amp;VALUE(LEFT(Sync!$Q1290,FIND(":",Sync!$Q1290)-1)),2)&amp;RIGHT("00"&amp;VALUE(MID(Sync!$Q1290,FIND(":",Sync!$Q1290)+1,2)),2),"0000"))))</f>
        <v/>
      </c>
      <c r="G1293">
        <f>IF(OR($E1293="",$E1293="نامعتبر"),"",IF(Sync!$S1290="","",Sync!$S1290))</f>
        <v/>
      </c>
      <c r="H1293">
        <f>IF(OR($E1293="",$E1293="نامعتبر"),"",IF(Sync!$R1290="","",Sync!$R1290))</f>
        <v/>
      </c>
      <c r="I1293">
        <f>IF(OR($E1293="",$E1293="نامعتبر"),"",IF(Sync!$T1290="","",Sync!$T1290))</f>
        <v/>
      </c>
      <c r="J1293">
        <f>IF(OR($E1293="",$E1293="نامعتبر"),"",IF(Sync!$U1290="","",Sync!$U1290))</f>
        <v/>
      </c>
      <c r="K1293">
        <f>IF(OR($E1293="",$E1293="نامعتبر"),"",IF(Sync!$V1290="","",IFERROR(INDEX(SubCodes,MATCH(Sync!$V1290,SubTitles,0)),Sync!$V1290)))</f>
        <v/>
      </c>
      <c r="L1293">
        <f>IF(OR($E1293="",$E1293="نامعتبر"),"",IF(Sync!$W1290="",0,Sync!$W1290))</f>
        <v/>
      </c>
      <c r="M1293">
        <f>IF(OR($E1293="",$E1293="نامعتبر"),"",IF(Sync!$X1290="",0,Sync!$X1290))</f>
        <v/>
      </c>
      <c r="N1293">
        <f>IF(OR($E1293="",$E1293="نامعتبر"),"",IF(AND($J1293="هزینه",$K1293&lt;&gt;""),1,0))</f>
        <v/>
      </c>
      <c r="O1293">
        <f>IF($N1293=0,"",LEFT($E1293,4)&amp;MID($E1293,6,2)&amp;RIGHT($E1293,2)&amp;$F1293&amp;"|"&amp;"1"&amp;RIGHT("00000"&amp;1285,5))</f>
        <v/>
      </c>
      <c r="P1293">
        <f>IF($O1293="","",COUNTIFS(ExpSub,$K1293,ExpKey,"&lt;"&amp;$O1293)+1)</f>
        <v/>
      </c>
      <c r="Q1293">
        <f>IF($P1293="","",$K1293&amp;"|"&amp;RIGHT("000000"&amp;$P1293,6))</f>
        <v/>
      </c>
    </row>
    <row r="1294">
      <c r="A1294">
        <f>IF(Sync!$P1291="","",Sync!$P1291)</f>
        <v/>
      </c>
      <c r="B1294">
        <f>IF($A1294="","",IF(ISNUMBER($A1294),IF(AND($A1294&gt;=10000101,$A1294&lt;=99991231),INT($A1294/10000),""),IFERROR(VALUE(TRIM(LEFT($A1294,FIND("/",$A1294)-1))),"")))</f>
        <v/>
      </c>
      <c r="C1294">
        <f>IF(OR($A1294="",$B1294=""),"",IF(ISNUMBER($A1294),INT(MOD($A1294,10000)/100),IFERROR(VALUE(TRIM(LEFT(MID($A1294,FIND("/",$A1294)+1,20),FIND("/",MID($A1294,FIND("/",$A1294)+1,20))-1))),"")))</f>
        <v/>
      </c>
      <c r="D1294">
        <f>IF(OR($A1294="",$B1294=""),"",IF(ISNUMBER($A1294),MOD($A1294,100),IFERROR(VALUE(TRIM(MID(MID($A1294,FIND("/",$A1294)+1,20),FIND("/",MID($A1294,FIND("/",$A1294)+1,20))+1,20))),"")))</f>
        <v/>
      </c>
      <c r="E1294">
        <f>IF($A1294="","",IF(OR($B1294="",$C1294="",$D1294="",$B1294&lt;1300,$B1294&gt;1500,$C1294&lt;1,$C1294&gt;12,$D1294&lt;1,$D1294&gt;31),"نامعتبر",RIGHT("0000"&amp;$B1294,4)&amp;"/"&amp;RIGHT("00"&amp;$C1294,2)&amp;"/"&amp;RIGHT("00"&amp;$D1294,2)))</f>
        <v/>
      </c>
      <c r="F1294">
        <f>IF(OR($E1294="",$E1294="نامعتبر"),"",IF(Sync!$Q1291="","0000",IF(AND(ISNUMBER(Sync!$Q1291),Sync!$Q1291&gt;=0,Sync!$Q1291&lt;1),RIGHT("00"&amp;HOUR(Sync!$Q1291),2)&amp;RIGHT("00"&amp;MINUTE(Sync!$Q1291),2),IFERROR(RIGHT("00"&amp;VALUE(LEFT(Sync!$Q1291,FIND(":",Sync!$Q1291)-1)),2)&amp;RIGHT("00"&amp;VALUE(MID(Sync!$Q1291,FIND(":",Sync!$Q1291)+1,2)),2),"0000"))))</f>
        <v/>
      </c>
      <c r="G1294">
        <f>IF(OR($E1294="",$E1294="نامعتبر"),"",IF(Sync!$S1291="","",Sync!$S1291))</f>
        <v/>
      </c>
      <c r="H1294">
        <f>IF(OR($E1294="",$E1294="نامعتبر"),"",IF(Sync!$R1291="","",Sync!$R1291))</f>
        <v/>
      </c>
      <c r="I1294">
        <f>IF(OR($E1294="",$E1294="نامعتبر"),"",IF(Sync!$T1291="","",Sync!$T1291))</f>
        <v/>
      </c>
      <c r="J1294">
        <f>IF(OR($E1294="",$E1294="نامعتبر"),"",IF(Sync!$U1291="","",Sync!$U1291))</f>
        <v/>
      </c>
      <c r="K1294">
        <f>IF(OR($E1294="",$E1294="نامعتبر"),"",IF(Sync!$V1291="","",IFERROR(INDEX(SubCodes,MATCH(Sync!$V1291,SubTitles,0)),Sync!$V1291)))</f>
        <v/>
      </c>
      <c r="L1294">
        <f>IF(OR($E1294="",$E1294="نامعتبر"),"",IF(Sync!$W1291="",0,Sync!$W1291))</f>
        <v/>
      </c>
      <c r="M1294">
        <f>IF(OR($E1294="",$E1294="نامعتبر"),"",IF(Sync!$X1291="",0,Sync!$X1291))</f>
        <v/>
      </c>
      <c r="N1294">
        <f>IF(OR($E1294="",$E1294="نامعتبر"),"",IF(AND($J1294="هزینه",$K1294&lt;&gt;""),1,0))</f>
        <v/>
      </c>
      <c r="O1294">
        <f>IF($N1294=0,"",LEFT($E1294,4)&amp;MID($E1294,6,2)&amp;RIGHT($E1294,2)&amp;$F1294&amp;"|"&amp;"1"&amp;RIGHT("00000"&amp;1286,5))</f>
        <v/>
      </c>
      <c r="P1294">
        <f>IF($O1294="","",COUNTIFS(ExpSub,$K1294,ExpKey,"&lt;"&amp;$O1294)+1)</f>
        <v/>
      </c>
      <c r="Q1294">
        <f>IF($P1294="","",$K1294&amp;"|"&amp;RIGHT("000000"&amp;$P1294,6))</f>
        <v/>
      </c>
    </row>
    <row r="1295">
      <c r="A1295">
        <f>IF(Sync!$P1292="","",Sync!$P1292)</f>
        <v/>
      </c>
      <c r="B1295">
        <f>IF($A1295="","",IF(ISNUMBER($A1295),IF(AND($A1295&gt;=10000101,$A1295&lt;=99991231),INT($A1295/10000),""),IFERROR(VALUE(TRIM(LEFT($A1295,FIND("/",$A1295)-1))),"")))</f>
        <v/>
      </c>
      <c r="C1295">
        <f>IF(OR($A1295="",$B1295=""),"",IF(ISNUMBER($A1295),INT(MOD($A1295,10000)/100),IFERROR(VALUE(TRIM(LEFT(MID($A1295,FIND("/",$A1295)+1,20),FIND("/",MID($A1295,FIND("/",$A1295)+1,20))-1))),"")))</f>
        <v/>
      </c>
      <c r="D1295">
        <f>IF(OR($A1295="",$B1295=""),"",IF(ISNUMBER($A1295),MOD($A1295,100),IFERROR(VALUE(TRIM(MID(MID($A1295,FIND("/",$A1295)+1,20),FIND("/",MID($A1295,FIND("/",$A1295)+1,20))+1,20))),"")))</f>
        <v/>
      </c>
      <c r="E1295">
        <f>IF($A1295="","",IF(OR($B1295="",$C1295="",$D1295="",$B1295&lt;1300,$B1295&gt;1500,$C1295&lt;1,$C1295&gt;12,$D1295&lt;1,$D1295&gt;31),"نامعتبر",RIGHT("0000"&amp;$B1295,4)&amp;"/"&amp;RIGHT("00"&amp;$C1295,2)&amp;"/"&amp;RIGHT("00"&amp;$D1295,2)))</f>
        <v/>
      </c>
      <c r="F1295">
        <f>IF(OR($E1295="",$E1295="نامعتبر"),"",IF(Sync!$Q1292="","0000",IF(AND(ISNUMBER(Sync!$Q1292),Sync!$Q1292&gt;=0,Sync!$Q1292&lt;1),RIGHT("00"&amp;HOUR(Sync!$Q1292),2)&amp;RIGHT("00"&amp;MINUTE(Sync!$Q1292),2),IFERROR(RIGHT("00"&amp;VALUE(LEFT(Sync!$Q1292,FIND(":",Sync!$Q1292)-1)),2)&amp;RIGHT("00"&amp;VALUE(MID(Sync!$Q1292,FIND(":",Sync!$Q1292)+1,2)),2),"0000"))))</f>
        <v/>
      </c>
      <c r="G1295">
        <f>IF(OR($E1295="",$E1295="نامعتبر"),"",IF(Sync!$S1292="","",Sync!$S1292))</f>
        <v/>
      </c>
      <c r="H1295">
        <f>IF(OR($E1295="",$E1295="نامعتبر"),"",IF(Sync!$R1292="","",Sync!$R1292))</f>
        <v/>
      </c>
      <c r="I1295">
        <f>IF(OR($E1295="",$E1295="نامعتبر"),"",IF(Sync!$T1292="","",Sync!$T1292))</f>
        <v/>
      </c>
      <c r="J1295">
        <f>IF(OR($E1295="",$E1295="نامعتبر"),"",IF(Sync!$U1292="","",Sync!$U1292))</f>
        <v/>
      </c>
      <c r="K1295">
        <f>IF(OR($E1295="",$E1295="نامعتبر"),"",IF(Sync!$V1292="","",IFERROR(INDEX(SubCodes,MATCH(Sync!$V1292,SubTitles,0)),Sync!$V1292)))</f>
        <v/>
      </c>
      <c r="L1295">
        <f>IF(OR($E1295="",$E1295="نامعتبر"),"",IF(Sync!$W1292="",0,Sync!$W1292))</f>
        <v/>
      </c>
      <c r="M1295">
        <f>IF(OR($E1295="",$E1295="نامعتبر"),"",IF(Sync!$X1292="",0,Sync!$X1292))</f>
        <v/>
      </c>
      <c r="N1295">
        <f>IF(OR($E1295="",$E1295="نامعتبر"),"",IF(AND($J1295="هزینه",$K1295&lt;&gt;""),1,0))</f>
        <v/>
      </c>
      <c r="O1295">
        <f>IF($N1295=0,"",LEFT($E1295,4)&amp;MID($E1295,6,2)&amp;RIGHT($E1295,2)&amp;$F1295&amp;"|"&amp;"1"&amp;RIGHT("00000"&amp;1287,5))</f>
        <v/>
      </c>
      <c r="P1295">
        <f>IF($O1295="","",COUNTIFS(ExpSub,$K1295,ExpKey,"&lt;"&amp;$O1295)+1)</f>
        <v/>
      </c>
      <c r="Q1295">
        <f>IF($P1295="","",$K1295&amp;"|"&amp;RIGHT("000000"&amp;$P1295,6))</f>
        <v/>
      </c>
    </row>
    <row r="1296">
      <c r="A1296">
        <f>IF(Sync!$P1293="","",Sync!$P1293)</f>
        <v/>
      </c>
      <c r="B1296">
        <f>IF($A1296="","",IF(ISNUMBER($A1296),IF(AND($A1296&gt;=10000101,$A1296&lt;=99991231),INT($A1296/10000),""),IFERROR(VALUE(TRIM(LEFT($A1296,FIND("/",$A1296)-1))),"")))</f>
        <v/>
      </c>
      <c r="C1296">
        <f>IF(OR($A1296="",$B1296=""),"",IF(ISNUMBER($A1296),INT(MOD($A1296,10000)/100),IFERROR(VALUE(TRIM(LEFT(MID($A1296,FIND("/",$A1296)+1,20),FIND("/",MID($A1296,FIND("/",$A1296)+1,20))-1))),"")))</f>
        <v/>
      </c>
      <c r="D1296">
        <f>IF(OR($A1296="",$B1296=""),"",IF(ISNUMBER($A1296),MOD($A1296,100),IFERROR(VALUE(TRIM(MID(MID($A1296,FIND("/",$A1296)+1,20),FIND("/",MID($A1296,FIND("/",$A1296)+1,20))+1,20))),"")))</f>
        <v/>
      </c>
      <c r="E1296">
        <f>IF($A1296="","",IF(OR($B1296="",$C1296="",$D1296="",$B1296&lt;1300,$B1296&gt;1500,$C1296&lt;1,$C1296&gt;12,$D1296&lt;1,$D1296&gt;31),"نامعتبر",RIGHT("0000"&amp;$B1296,4)&amp;"/"&amp;RIGHT("00"&amp;$C1296,2)&amp;"/"&amp;RIGHT("00"&amp;$D1296,2)))</f>
        <v/>
      </c>
      <c r="F1296">
        <f>IF(OR($E1296="",$E1296="نامعتبر"),"",IF(Sync!$Q1293="","0000",IF(AND(ISNUMBER(Sync!$Q1293),Sync!$Q1293&gt;=0,Sync!$Q1293&lt;1),RIGHT("00"&amp;HOUR(Sync!$Q1293),2)&amp;RIGHT("00"&amp;MINUTE(Sync!$Q1293),2),IFERROR(RIGHT("00"&amp;VALUE(LEFT(Sync!$Q1293,FIND(":",Sync!$Q1293)-1)),2)&amp;RIGHT("00"&amp;VALUE(MID(Sync!$Q1293,FIND(":",Sync!$Q1293)+1,2)),2),"0000"))))</f>
        <v/>
      </c>
      <c r="G1296">
        <f>IF(OR($E1296="",$E1296="نامعتبر"),"",IF(Sync!$S1293="","",Sync!$S1293))</f>
        <v/>
      </c>
      <c r="H1296">
        <f>IF(OR($E1296="",$E1296="نامعتبر"),"",IF(Sync!$R1293="","",Sync!$R1293))</f>
        <v/>
      </c>
      <c r="I1296">
        <f>IF(OR($E1296="",$E1296="نامعتبر"),"",IF(Sync!$T1293="","",Sync!$T1293))</f>
        <v/>
      </c>
      <c r="J1296">
        <f>IF(OR($E1296="",$E1296="نامعتبر"),"",IF(Sync!$U1293="","",Sync!$U1293))</f>
        <v/>
      </c>
      <c r="K1296">
        <f>IF(OR($E1296="",$E1296="نامعتبر"),"",IF(Sync!$V1293="","",IFERROR(INDEX(SubCodes,MATCH(Sync!$V1293,SubTitles,0)),Sync!$V1293)))</f>
        <v/>
      </c>
      <c r="L1296">
        <f>IF(OR($E1296="",$E1296="نامعتبر"),"",IF(Sync!$W1293="",0,Sync!$W1293))</f>
        <v/>
      </c>
      <c r="M1296">
        <f>IF(OR($E1296="",$E1296="نامعتبر"),"",IF(Sync!$X1293="",0,Sync!$X1293))</f>
        <v/>
      </c>
      <c r="N1296">
        <f>IF(OR($E1296="",$E1296="نامعتبر"),"",IF(AND($J1296="هزینه",$K1296&lt;&gt;""),1,0))</f>
        <v/>
      </c>
      <c r="O1296">
        <f>IF($N1296=0,"",LEFT($E1296,4)&amp;MID($E1296,6,2)&amp;RIGHT($E1296,2)&amp;$F1296&amp;"|"&amp;"1"&amp;RIGHT("00000"&amp;1288,5))</f>
        <v/>
      </c>
      <c r="P1296">
        <f>IF($O1296="","",COUNTIFS(ExpSub,$K1296,ExpKey,"&lt;"&amp;$O1296)+1)</f>
        <v/>
      </c>
      <c r="Q1296">
        <f>IF($P1296="","",$K1296&amp;"|"&amp;RIGHT("000000"&amp;$P1296,6))</f>
        <v/>
      </c>
    </row>
    <row r="1297">
      <c r="A1297">
        <f>IF(Sync!$P1294="","",Sync!$P1294)</f>
        <v/>
      </c>
      <c r="B1297">
        <f>IF($A1297="","",IF(ISNUMBER($A1297),IF(AND($A1297&gt;=10000101,$A1297&lt;=99991231),INT($A1297/10000),""),IFERROR(VALUE(TRIM(LEFT($A1297,FIND("/",$A1297)-1))),"")))</f>
        <v/>
      </c>
      <c r="C1297">
        <f>IF(OR($A1297="",$B1297=""),"",IF(ISNUMBER($A1297),INT(MOD($A1297,10000)/100),IFERROR(VALUE(TRIM(LEFT(MID($A1297,FIND("/",$A1297)+1,20),FIND("/",MID($A1297,FIND("/",$A1297)+1,20))-1))),"")))</f>
        <v/>
      </c>
      <c r="D1297">
        <f>IF(OR($A1297="",$B1297=""),"",IF(ISNUMBER($A1297),MOD($A1297,100),IFERROR(VALUE(TRIM(MID(MID($A1297,FIND("/",$A1297)+1,20),FIND("/",MID($A1297,FIND("/",$A1297)+1,20))+1,20))),"")))</f>
        <v/>
      </c>
      <c r="E1297">
        <f>IF($A1297="","",IF(OR($B1297="",$C1297="",$D1297="",$B1297&lt;1300,$B1297&gt;1500,$C1297&lt;1,$C1297&gt;12,$D1297&lt;1,$D1297&gt;31),"نامعتبر",RIGHT("0000"&amp;$B1297,4)&amp;"/"&amp;RIGHT("00"&amp;$C1297,2)&amp;"/"&amp;RIGHT("00"&amp;$D1297,2)))</f>
        <v/>
      </c>
      <c r="F1297">
        <f>IF(OR($E1297="",$E1297="نامعتبر"),"",IF(Sync!$Q1294="","0000",IF(AND(ISNUMBER(Sync!$Q1294),Sync!$Q1294&gt;=0,Sync!$Q1294&lt;1),RIGHT("00"&amp;HOUR(Sync!$Q1294),2)&amp;RIGHT("00"&amp;MINUTE(Sync!$Q1294),2),IFERROR(RIGHT("00"&amp;VALUE(LEFT(Sync!$Q1294,FIND(":",Sync!$Q1294)-1)),2)&amp;RIGHT("00"&amp;VALUE(MID(Sync!$Q1294,FIND(":",Sync!$Q1294)+1,2)),2),"0000"))))</f>
        <v/>
      </c>
      <c r="G1297">
        <f>IF(OR($E1297="",$E1297="نامعتبر"),"",IF(Sync!$S1294="","",Sync!$S1294))</f>
        <v/>
      </c>
      <c r="H1297">
        <f>IF(OR($E1297="",$E1297="نامعتبر"),"",IF(Sync!$R1294="","",Sync!$R1294))</f>
        <v/>
      </c>
      <c r="I1297">
        <f>IF(OR($E1297="",$E1297="نامعتبر"),"",IF(Sync!$T1294="","",Sync!$T1294))</f>
        <v/>
      </c>
      <c r="J1297">
        <f>IF(OR($E1297="",$E1297="نامعتبر"),"",IF(Sync!$U1294="","",Sync!$U1294))</f>
        <v/>
      </c>
      <c r="K1297">
        <f>IF(OR($E1297="",$E1297="نامعتبر"),"",IF(Sync!$V1294="","",IFERROR(INDEX(SubCodes,MATCH(Sync!$V1294,SubTitles,0)),Sync!$V1294)))</f>
        <v/>
      </c>
      <c r="L1297">
        <f>IF(OR($E1297="",$E1297="نامعتبر"),"",IF(Sync!$W1294="",0,Sync!$W1294))</f>
        <v/>
      </c>
      <c r="M1297">
        <f>IF(OR($E1297="",$E1297="نامعتبر"),"",IF(Sync!$X1294="",0,Sync!$X1294))</f>
        <v/>
      </c>
      <c r="N1297">
        <f>IF(OR($E1297="",$E1297="نامعتبر"),"",IF(AND($J1297="هزینه",$K1297&lt;&gt;""),1,0))</f>
        <v/>
      </c>
      <c r="O1297">
        <f>IF($N1297=0,"",LEFT($E1297,4)&amp;MID($E1297,6,2)&amp;RIGHT($E1297,2)&amp;$F1297&amp;"|"&amp;"1"&amp;RIGHT("00000"&amp;1289,5))</f>
        <v/>
      </c>
      <c r="P1297">
        <f>IF($O1297="","",COUNTIFS(ExpSub,$K1297,ExpKey,"&lt;"&amp;$O1297)+1)</f>
        <v/>
      </c>
      <c r="Q1297">
        <f>IF($P1297="","",$K1297&amp;"|"&amp;RIGHT("000000"&amp;$P1297,6))</f>
        <v/>
      </c>
    </row>
    <row r="1298">
      <c r="A1298">
        <f>IF(Sync!$P1295="","",Sync!$P1295)</f>
        <v/>
      </c>
      <c r="B1298">
        <f>IF($A1298="","",IF(ISNUMBER($A1298),IF(AND($A1298&gt;=10000101,$A1298&lt;=99991231),INT($A1298/10000),""),IFERROR(VALUE(TRIM(LEFT($A1298,FIND("/",$A1298)-1))),"")))</f>
        <v/>
      </c>
      <c r="C1298">
        <f>IF(OR($A1298="",$B1298=""),"",IF(ISNUMBER($A1298),INT(MOD($A1298,10000)/100),IFERROR(VALUE(TRIM(LEFT(MID($A1298,FIND("/",$A1298)+1,20),FIND("/",MID($A1298,FIND("/",$A1298)+1,20))-1))),"")))</f>
        <v/>
      </c>
      <c r="D1298">
        <f>IF(OR($A1298="",$B1298=""),"",IF(ISNUMBER($A1298),MOD($A1298,100),IFERROR(VALUE(TRIM(MID(MID($A1298,FIND("/",$A1298)+1,20),FIND("/",MID($A1298,FIND("/",$A1298)+1,20))+1,20))),"")))</f>
        <v/>
      </c>
      <c r="E1298">
        <f>IF($A1298="","",IF(OR($B1298="",$C1298="",$D1298="",$B1298&lt;1300,$B1298&gt;1500,$C1298&lt;1,$C1298&gt;12,$D1298&lt;1,$D1298&gt;31),"نامعتبر",RIGHT("0000"&amp;$B1298,4)&amp;"/"&amp;RIGHT("00"&amp;$C1298,2)&amp;"/"&amp;RIGHT("00"&amp;$D1298,2)))</f>
        <v/>
      </c>
      <c r="F1298">
        <f>IF(OR($E1298="",$E1298="نامعتبر"),"",IF(Sync!$Q1295="","0000",IF(AND(ISNUMBER(Sync!$Q1295),Sync!$Q1295&gt;=0,Sync!$Q1295&lt;1),RIGHT("00"&amp;HOUR(Sync!$Q1295),2)&amp;RIGHT("00"&amp;MINUTE(Sync!$Q1295),2),IFERROR(RIGHT("00"&amp;VALUE(LEFT(Sync!$Q1295,FIND(":",Sync!$Q1295)-1)),2)&amp;RIGHT("00"&amp;VALUE(MID(Sync!$Q1295,FIND(":",Sync!$Q1295)+1,2)),2),"0000"))))</f>
        <v/>
      </c>
      <c r="G1298">
        <f>IF(OR($E1298="",$E1298="نامعتبر"),"",IF(Sync!$S1295="","",Sync!$S1295))</f>
        <v/>
      </c>
      <c r="H1298">
        <f>IF(OR($E1298="",$E1298="نامعتبر"),"",IF(Sync!$R1295="","",Sync!$R1295))</f>
        <v/>
      </c>
      <c r="I1298">
        <f>IF(OR($E1298="",$E1298="نامعتبر"),"",IF(Sync!$T1295="","",Sync!$T1295))</f>
        <v/>
      </c>
      <c r="J1298">
        <f>IF(OR($E1298="",$E1298="نامعتبر"),"",IF(Sync!$U1295="","",Sync!$U1295))</f>
        <v/>
      </c>
      <c r="K1298">
        <f>IF(OR($E1298="",$E1298="نامعتبر"),"",IF(Sync!$V1295="","",IFERROR(INDEX(SubCodes,MATCH(Sync!$V1295,SubTitles,0)),Sync!$V1295)))</f>
        <v/>
      </c>
      <c r="L1298">
        <f>IF(OR($E1298="",$E1298="نامعتبر"),"",IF(Sync!$W1295="",0,Sync!$W1295))</f>
        <v/>
      </c>
      <c r="M1298">
        <f>IF(OR($E1298="",$E1298="نامعتبر"),"",IF(Sync!$X1295="",0,Sync!$X1295))</f>
        <v/>
      </c>
      <c r="N1298">
        <f>IF(OR($E1298="",$E1298="نامعتبر"),"",IF(AND($J1298="هزینه",$K1298&lt;&gt;""),1,0))</f>
        <v/>
      </c>
      <c r="O1298">
        <f>IF($N1298=0,"",LEFT($E1298,4)&amp;MID($E1298,6,2)&amp;RIGHT($E1298,2)&amp;$F1298&amp;"|"&amp;"1"&amp;RIGHT("00000"&amp;1290,5))</f>
        <v/>
      </c>
      <c r="P1298">
        <f>IF($O1298="","",COUNTIFS(ExpSub,$K1298,ExpKey,"&lt;"&amp;$O1298)+1)</f>
        <v/>
      </c>
      <c r="Q1298">
        <f>IF($P1298="","",$K1298&amp;"|"&amp;RIGHT("000000"&amp;$P1298,6))</f>
        <v/>
      </c>
    </row>
    <row r="1299">
      <c r="A1299">
        <f>IF(Sync!$P1296="","",Sync!$P1296)</f>
        <v/>
      </c>
      <c r="B1299">
        <f>IF($A1299="","",IF(ISNUMBER($A1299),IF(AND($A1299&gt;=10000101,$A1299&lt;=99991231),INT($A1299/10000),""),IFERROR(VALUE(TRIM(LEFT($A1299,FIND("/",$A1299)-1))),"")))</f>
        <v/>
      </c>
      <c r="C1299">
        <f>IF(OR($A1299="",$B1299=""),"",IF(ISNUMBER($A1299),INT(MOD($A1299,10000)/100),IFERROR(VALUE(TRIM(LEFT(MID($A1299,FIND("/",$A1299)+1,20),FIND("/",MID($A1299,FIND("/",$A1299)+1,20))-1))),"")))</f>
        <v/>
      </c>
      <c r="D1299">
        <f>IF(OR($A1299="",$B1299=""),"",IF(ISNUMBER($A1299),MOD($A1299,100),IFERROR(VALUE(TRIM(MID(MID($A1299,FIND("/",$A1299)+1,20),FIND("/",MID($A1299,FIND("/",$A1299)+1,20))+1,20))),"")))</f>
        <v/>
      </c>
      <c r="E1299">
        <f>IF($A1299="","",IF(OR($B1299="",$C1299="",$D1299="",$B1299&lt;1300,$B1299&gt;1500,$C1299&lt;1,$C1299&gt;12,$D1299&lt;1,$D1299&gt;31),"نامعتبر",RIGHT("0000"&amp;$B1299,4)&amp;"/"&amp;RIGHT("00"&amp;$C1299,2)&amp;"/"&amp;RIGHT("00"&amp;$D1299,2)))</f>
        <v/>
      </c>
      <c r="F1299">
        <f>IF(OR($E1299="",$E1299="نامعتبر"),"",IF(Sync!$Q1296="","0000",IF(AND(ISNUMBER(Sync!$Q1296),Sync!$Q1296&gt;=0,Sync!$Q1296&lt;1),RIGHT("00"&amp;HOUR(Sync!$Q1296),2)&amp;RIGHT("00"&amp;MINUTE(Sync!$Q1296),2),IFERROR(RIGHT("00"&amp;VALUE(LEFT(Sync!$Q1296,FIND(":",Sync!$Q1296)-1)),2)&amp;RIGHT("00"&amp;VALUE(MID(Sync!$Q1296,FIND(":",Sync!$Q1296)+1,2)),2),"0000"))))</f>
        <v/>
      </c>
      <c r="G1299">
        <f>IF(OR($E1299="",$E1299="نامعتبر"),"",IF(Sync!$S1296="","",Sync!$S1296))</f>
        <v/>
      </c>
      <c r="H1299">
        <f>IF(OR($E1299="",$E1299="نامعتبر"),"",IF(Sync!$R1296="","",Sync!$R1296))</f>
        <v/>
      </c>
      <c r="I1299">
        <f>IF(OR($E1299="",$E1299="نامعتبر"),"",IF(Sync!$T1296="","",Sync!$T1296))</f>
        <v/>
      </c>
      <c r="J1299">
        <f>IF(OR($E1299="",$E1299="نامعتبر"),"",IF(Sync!$U1296="","",Sync!$U1296))</f>
        <v/>
      </c>
      <c r="K1299">
        <f>IF(OR($E1299="",$E1299="نامعتبر"),"",IF(Sync!$V1296="","",IFERROR(INDEX(SubCodes,MATCH(Sync!$V1296,SubTitles,0)),Sync!$V1296)))</f>
        <v/>
      </c>
      <c r="L1299">
        <f>IF(OR($E1299="",$E1299="نامعتبر"),"",IF(Sync!$W1296="",0,Sync!$W1296))</f>
        <v/>
      </c>
      <c r="M1299">
        <f>IF(OR($E1299="",$E1299="نامعتبر"),"",IF(Sync!$X1296="",0,Sync!$X1296))</f>
        <v/>
      </c>
      <c r="N1299">
        <f>IF(OR($E1299="",$E1299="نامعتبر"),"",IF(AND($J1299="هزینه",$K1299&lt;&gt;""),1,0))</f>
        <v/>
      </c>
      <c r="O1299">
        <f>IF($N1299=0,"",LEFT($E1299,4)&amp;MID($E1299,6,2)&amp;RIGHT($E1299,2)&amp;$F1299&amp;"|"&amp;"1"&amp;RIGHT("00000"&amp;1291,5))</f>
        <v/>
      </c>
      <c r="P1299">
        <f>IF($O1299="","",COUNTIFS(ExpSub,$K1299,ExpKey,"&lt;"&amp;$O1299)+1)</f>
        <v/>
      </c>
      <c r="Q1299">
        <f>IF($P1299="","",$K1299&amp;"|"&amp;RIGHT("000000"&amp;$P1299,6))</f>
        <v/>
      </c>
    </row>
    <row r="1300">
      <c r="A1300">
        <f>IF(Sync!$P1297="","",Sync!$P1297)</f>
        <v/>
      </c>
      <c r="B1300">
        <f>IF($A1300="","",IF(ISNUMBER($A1300),IF(AND($A1300&gt;=10000101,$A1300&lt;=99991231),INT($A1300/10000),""),IFERROR(VALUE(TRIM(LEFT($A1300,FIND("/",$A1300)-1))),"")))</f>
        <v/>
      </c>
      <c r="C1300">
        <f>IF(OR($A1300="",$B1300=""),"",IF(ISNUMBER($A1300),INT(MOD($A1300,10000)/100),IFERROR(VALUE(TRIM(LEFT(MID($A1300,FIND("/",$A1300)+1,20),FIND("/",MID($A1300,FIND("/",$A1300)+1,20))-1))),"")))</f>
        <v/>
      </c>
      <c r="D1300">
        <f>IF(OR($A1300="",$B1300=""),"",IF(ISNUMBER($A1300),MOD($A1300,100),IFERROR(VALUE(TRIM(MID(MID($A1300,FIND("/",$A1300)+1,20),FIND("/",MID($A1300,FIND("/",$A1300)+1,20))+1,20))),"")))</f>
        <v/>
      </c>
      <c r="E1300">
        <f>IF($A1300="","",IF(OR($B1300="",$C1300="",$D1300="",$B1300&lt;1300,$B1300&gt;1500,$C1300&lt;1,$C1300&gt;12,$D1300&lt;1,$D1300&gt;31),"نامعتبر",RIGHT("0000"&amp;$B1300,4)&amp;"/"&amp;RIGHT("00"&amp;$C1300,2)&amp;"/"&amp;RIGHT("00"&amp;$D1300,2)))</f>
        <v/>
      </c>
      <c r="F1300">
        <f>IF(OR($E1300="",$E1300="نامعتبر"),"",IF(Sync!$Q1297="","0000",IF(AND(ISNUMBER(Sync!$Q1297),Sync!$Q1297&gt;=0,Sync!$Q1297&lt;1),RIGHT("00"&amp;HOUR(Sync!$Q1297),2)&amp;RIGHT("00"&amp;MINUTE(Sync!$Q1297),2),IFERROR(RIGHT("00"&amp;VALUE(LEFT(Sync!$Q1297,FIND(":",Sync!$Q1297)-1)),2)&amp;RIGHT("00"&amp;VALUE(MID(Sync!$Q1297,FIND(":",Sync!$Q1297)+1,2)),2),"0000"))))</f>
        <v/>
      </c>
      <c r="G1300">
        <f>IF(OR($E1300="",$E1300="نامعتبر"),"",IF(Sync!$S1297="","",Sync!$S1297))</f>
        <v/>
      </c>
      <c r="H1300">
        <f>IF(OR($E1300="",$E1300="نامعتبر"),"",IF(Sync!$R1297="","",Sync!$R1297))</f>
        <v/>
      </c>
      <c r="I1300">
        <f>IF(OR($E1300="",$E1300="نامعتبر"),"",IF(Sync!$T1297="","",Sync!$T1297))</f>
        <v/>
      </c>
      <c r="J1300">
        <f>IF(OR($E1300="",$E1300="نامعتبر"),"",IF(Sync!$U1297="","",Sync!$U1297))</f>
        <v/>
      </c>
      <c r="K1300">
        <f>IF(OR($E1300="",$E1300="نامعتبر"),"",IF(Sync!$V1297="","",IFERROR(INDEX(SubCodes,MATCH(Sync!$V1297,SubTitles,0)),Sync!$V1297)))</f>
        <v/>
      </c>
      <c r="L1300">
        <f>IF(OR($E1300="",$E1300="نامعتبر"),"",IF(Sync!$W1297="",0,Sync!$W1297))</f>
        <v/>
      </c>
      <c r="M1300">
        <f>IF(OR($E1300="",$E1300="نامعتبر"),"",IF(Sync!$X1297="",0,Sync!$X1297))</f>
        <v/>
      </c>
      <c r="N1300">
        <f>IF(OR($E1300="",$E1300="نامعتبر"),"",IF(AND($J1300="هزینه",$K1300&lt;&gt;""),1,0))</f>
        <v/>
      </c>
      <c r="O1300">
        <f>IF($N1300=0,"",LEFT($E1300,4)&amp;MID($E1300,6,2)&amp;RIGHT($E1300,2)&amp;$F1300&amp;"|"&amp;"1"&amp;RIGHT("00000"&amp;1292,5))</f>
        <v/>
      </c>
      <c r="P1300">
        <f>IF($O1300="","",COUNTIFS(ExpSub,$K1300,ExpKey,"&lt;"&amp;$O1300)+1)</f>
        <v/>
      </c>
      <c r="Q1300">
        <f>IF($P1300="","",$K1300&amp;"|"&amp;RIGHT("000000"&amp;$P1300,6))</f>
        <v/>
      </c>
    </row>
    <row r="1301">
      <c r="A1301">
        <f>IF(Sync!$P1298="","",Sync!$P1298)</f>
        <v/>
      </c>
      <c r="B1301">
        <f>IF($A1301="","",IF(ISNUMBER($A1301),IF(AND($A1301&gt;=10000101,$A1301&lt;=99991231),INT($A1301/10000),""),IFERROR(VALUE(TRIM(LEFT($A1301,FIND("/",$A1301)-1))),"")))</f>
        <v/>
      </c>
      <c r="C1301">
        <f>IF(OR($A1301="",$B1301=""),"",IF(ISNUMBER($A1301),INT(MOD($A1301,10000)/100),IFERROR(VALUE(TRIM(LEFT(MID($A1301,FIND("/",$A1301)+1,20),FIND("/",MID($A1301,FIND("/",$A1301)+1,20))-1))),"")))</f>
        <v/>
      </c>
      <c r="D1301">
        <f>IF(OR($A1301="",$B1301=""),"",IF(ISNUMBER($A1301),MOD($A1301,100),IFERROR(VALUE(TRIM(MID(MID($A1301,FIND("/",$A1301)+1,20),FIND("/",MID($A1301,FIND("/",$A1301)+1,20))+1,20))),"")))</f>
        <v/>
      </c>
      <c r="E1301">
        <f>IF($A1301="","",IF(OR($B1301="",$C1301="",$D1301="",$B1301&lt;1300,$B1301&gt;1500,$C1301&lt;1,$C1301&gt;12,$D1301&lt;1,$D1301&gt;31),"نامعتبر",RIGHT("0000"&amp;$B1301,4)&amp;"/"&amp;RIGHT("00"&amp;$C1301,2)&amp;"/"&amp;RIGHT("00"&amp;$D1301,2)))</f>
        <v/>
      </c>
      <c r="F1301">
        <f>IF(OR($E1301="",$E1301="نامعتبر"),"",IF(Sync!$Q1298="","0000",IF(AND(ISNUMBER(Sync!$Q1298),Sync!$Q1298&gt;=0,Sync!$Q1298&lt;1),RIGHT("00"&amp;HOUR(Sync!$Q1298),2)&amp;RIGHT("00"&amp;MINUTE(Sync!$Q1298),2),IFERROR(RIGHT("00"&amp;VALUE(LEFT(Sync!$Q1298,FIND(":",Sync!$Q1298)-1)),2)&amp;RIGHT("00"&amp;VALUE(MID(Sync!$Q1298,FIND(":",Sync!$Q1298)+1,2)),2),"0000"))))</f>
        <v/>
      </c>
      <c r="G1301">
        <f>IF(OR($E1301="",$E1301="نامعتبر"),"",IF(Sync!$S1298="","",Sync!$S1298))</f>
        <v/>
      </c>
      <c r="H1301">
        <f>IF(OR($E1301="",$E1301="نامعتبر"),"",IF(Sync!$R1298="","",Sync!$R1298))</f>
        <v/>
      </c>
      <c r="I1301">
        <f>IF(OR($E1301="",$E1301="نامعتبر"),"",IF(Sync!$T1298="","",Sync!$T1298))</f>
        <v/>
      </c>
      <c r="J1301">
        <f>IF(OR($E1301="",$E1301="نامعتبر"),"",IF(Sync!$U1298="","",Sync!$U1298))</f>
        <v/>
      </c>
      <c r="K1301">
        <f>IF(OR($E1301="",$E1301="نامعتبر"),"",IF(Sync!$V1298="","",IFERROR(INDEX(SubCodes,MATCH(Sync!$V1298,SubTitles,0)),Sync!$V1298)))</f>
        <v/>
      </c>
      <c r="L1301">
        <f>IF(OR($E1301="",$E1301="نامعتبر"),"",IF(Sync!$W1298="",0,Sync!$W1298))</f>
        <v/>
      </c>
      <c r="M1301">
        <f>IF(OR($E1301="",$E1301="نامعتبر"),"",IF(Sync!$X1298="",0,Sync!$X1298))</f>
        <v/>
      </c>
      <c r="N1301">
        <f>IF(OR($E1301="",$E1301="نامعتبر"),"",IF(AND($J1301="هزینه",$K1301&lt;&gt;""),1,0))</f>
        <v/>
      </c>
      <c r="O1301">
        <f>IF($N1301=0,"",LEFT($E1301,4)&amp;MID($E1301,6,2)&amp;RIGHT($E1301,2)&amp;$F1301&amp;"|"&amp;"1"&amp;RIGHT("00000"&amp;1293,5))</f>
        <v/>
      </c>
      <c r="P1301">
        <f>IF($O1301="","",COUNTIFS(ExpSub,$K1301,ExpKey,"&lt;"&amp;$O1301)+1)</f>
        <v/>
      </c>
      <c r="Q1301">
        <f>IF($P1301="","",$K1301&amp;"|"&amp;RIGHT("000000"&amp;$P1301,6))</f>
        <v/>
      </c>
    </row>
    <row r="1302">
      <c r="A1302">
        <f>IF(Sync!$P1299="","",Sync!$P1299)</f>
        <v/>
      </c>
      <c r="B1302">
        <f>IF($A1302="","",IF(ISNUMBER($A1302),IF(AND($A1302&gt;=10000101,$A1302&lt;=99991231),INT($A1302/10000),""),IFERROR(VALUE(TRIM(LEFT($A1302,FIND("/",$A1302)-1))),"")))</f>
        <v/>
      </c>
      <c r="C1302">
        <f>IF(OR($A1302="",$B1302=""),"",IF(ISNUMBER($A1302),INT(MOD($A1302,10000)/100),IFERROR(VALUE(TRIM(LEFT(MID($A1302,FIND("/",$A1302)+1,20),FIND("/",MID($A1302,FIND("/",$A1302)+1,20))-1))),"")))</f>
        <v/>
      </c>
      <c r="D1302">
        <f>IF(OR($A1302="",$B1302=""),"",IF(ISNUMBER($A1302),MOD($A1302,100),IFERROR(VALUE(TRIM(MID(MID($A1302,FIND("/",$A1302)+1,20),FIND("/",MID($A1302,FIND("/",$A1302)+1,20))+1,20))),"")))</f>
        <v/>
      </c>
      <c r="E1302">
        <f>IF($A1302="","",IF(OR($B1302="",$C1302="",$D1302="",$B1302&lt;1300,$B1302&gt;1500,$C1302&lt;1,$C1302&gt;12,$D1302&lt;1,$D1302&gt;31),"نامعتبر",RIGHT("0000"&amp;$B1302,4)&amp;"/"&amp;RIGHT("00"&amp;$C1302,2)&amp;"/"&amp;RIGHT("00"&amp;$D1302,2)))</f>
        <v/>
      </c>
      <c r="F1302">
        <f>IF(OR($E1302="",$E1302="نامعتبر"),"",IF(Sync!$Q1299="","0000",IF(AND(ISNUMBER(Sync!$Q1299),Sync!$Q1299&gt;=0,Sync!$Q1299&lt;1),RIGHT("00"&amp;HOUR(Sync!$Q1299),2)&amp;RIGHT("00"&amp;MINUTE(Sync!$Q1299),2),IFERROR(RIGHT("00"&amp;VALUE(LEFT(Sync!$Q1299,FIND(":",Sync!$Q1299)-1)),2)&amp;RIGHT("00"&amp;VALUE(MID(Sync!$Q1299,FIND(":",Sync!$Q1299)+1,2)),2),"0000"))))</f>
        <v/>
      </c>
      <c r="G1302">
        <f>IF(OR($E1302="",$E1302="نامعتبر"),"",IF(Sync!$S1299="","",Sync!$S1299))</f>
        <v/>
      </c>
      <c r="H1302">
        <f>IF(OR($E1302="",$E1302="نامعتبر"),"",IF(Sync!$R1299="","",Sync!$R1299))</f>
        <v/>
      </c>
      <c r="I1302">
        <f>IF(OR($E1302="",$E1302="نامعتبر"),"",IF(Sync!$T1299="","",Sync!$T1299))</f>
        <v/>
      </c>
      <c r="J1302">
        <f>IF(OR($E1302="",$E1302="نامعتبر"),"",IF(Sync!$U1299="","",Sync!$U1299))</f>
        <v/>
      </c>
      <c r="K1302">
        <f>IF(OR($E1302="",$E1302="نامعتبر"),"",IF(Sync!$V1299="","",IFERROR(INDEX(SubCodes,MATCH(Sync!$V1299,SubTitles,0)),Sync!$V1299)))</f>
        <v/>
      </c>
      <c r="L1302">
        <f>IF(OR($E1302="",$E1302="نامعتبر"),"",IF(Sync!$W1299="",0,Sync!$W1299))</f>
        <v/>
      </c>
      <c r="M1302">
        <f>IF(OR($E1302="",$E1302="نامعتبر"),"",IF(Sync!$X1299="",0,Sync!$X1299))</f>
        <v/>
      </c>
      <c r="N1302">
        <f>IF(OR($E1302="",$E1302="نامعتبر"),"",IF(AND($J1302="هزینه",$K1302&lt;&gt;""),1,0))</f>
        <v/>
      </c>
      <c r="O1302">
        <f>IF($N1302=0,"",LEFT($E1302,4)&amp;MID($E1302,6,2)&amp;RIGHT($E1302,2)&amp;$F1302&amp;"|"&amp;"1"&amp;RIGHT("00000"&amp;1294,5))</f>
        <v/>
      </c>
      <c r="P1302">
        <f>IF($O1302="","",COUNTIFS(ExpSub,$K1302,ExpKey,"&lt;"&amp;$O1302)+1)</f>
        <v/>
      </c>
      <c r="Q1302">
        <f>IF($P1302="","",$K1302&amp;"|"&amp;RIGHT("000000"&amp;$P1302,6))</f>
        <v/>
      </c>
    </row>
    <row r="1303">
      <c r="A1303">
        <f>IF(Sync!$P1300="","",Sync!$P1300)</f>
        <v/>
      </c>
      <c r="B1303">
        <f>IF($A1303="","",IF(ISNUMBER($A1303),IF(AND($A1303&gt;=10000101,$A1303&lt;=99991231),INT($A1303/10000),""),IFERROR(VALUE(TRIM(LEFT($A1303,FIND("/",$A1303)-1))),"")))</f>
        <v/>
      </c>
      <c r="C1303">
        <f>IF(OR($A1303="",$B1303=""),"",IF(ISNUMBER($A1303),INT(MOD($A1303,10000)/100),IFERROR(VALUE(TRIM(LEFT(MID($A1303,FIND("/",$A1303)+1,20),FIND("/",MID($A1303,FIND("/",$A1303)+1,20))-1))),"")))</f>
        <v/>
      </c>
      <c r="D1303">
        <f>IF(OR($A1303="",$B1303=""),"",IF(ISNUMBER($A1303),MOD($A1303,100),IFERROR(VALUE(TRIM(MID(MID($A1303,FIND("/",$A1303)+1,20),FIND("/",MID($A1303,FIND("/",$A1303)+1,20))+1,20))),"")))</f>
        <v/>
      </c>
      <c r="E1303">
        <f>IF($A1303="","",IF(OR($B1303="",$C1303="",$D1303="",$B1303&lt;1300,$B1303&gt;1500,$C1303&lt;1,$C1303&gt;12,$D1303&lt;1,$D1303&gt;31),"نامعتبر",RIGHT("0000"&amp;$B1303,4)&amp;"/"&amp;RIGHT("00"&amp;$C1303,2)&amp;"/"&amp;RIGHT("00"&amp;$D1303,2)))</f>
        <v/>
      </c>
      <c r="F1303">
        <f>IF(OR($E1303="",$E1303="نامعتبر"),"",IF(Sync!$Q1300="","0000",IF(AND(ISNUMBER(Sync!$Q1300),Sync!$Q1300&gt;=0,Sync!$Q1300&lt;1),RIGHT("00"&amp;HOUR(Sync!$Q1300),2)&amp;RIGHT("00"&amp;MINUTE(Sync!$Q1300),2),IFERROR(RIGHT("00"&amp;VALUE(LEFT(Sync!$Q1300,FIND(":",Sync!$Q1300)-1)),2)&amp;RIGHT("00"&amp;VALUE(MID(Sync!$Q1300,FIND(":",Sync!$Q1300)+1,2)),2),"0000"))))</f>
        <v/>
      </c>
      <c r="G1303">
        <f>IF(OR($E1303="",$E1303="نامعتبر"),"",IF(Sync!$S1300="","",Sync!$S1300))</f>
        <v/>
      </c>
      <c r="H1303">
        <f>IF(OR($E1303="",$E1303="نامعتبر"),"",IF(Sync!$R1300="","",Sync!$R1300))</f>
        <v/>
      </c>
      <c r="I1303">
        <f>IF(OR($E1303="",$E1303="نامعتبر"),"",IF(Sync!$T1300="","",Sync!$T1300))</f>
        <v/>
      </c>
      <c r="J1303">
        <f>IF(OR($E1303="",$E1303="نامعتبر"),"",IF(Sync!$U1300="","",Sync!$U1300))</f>
        <v/>
      </c>
      <c r="K1303">
        <f>IF(OR($E1303="",$E1303="نامعتبر"),"",IF(Sync!$V1300="","",IFERROR(INDEX(SubCodes,MATCH(Sync!$V1300,SubTitles,0)),Sync!$V1300)))</f>
        <v/>
      </c>
      <c r="L1303">
        <f>IF(OR($E1303="",$E1303="نامعتبر"),"",IF(Sync!$W1300="",0,Sync!$W1300))</f>
        <v/>
      </c>
      <c r="M1303">
        <f>IF(OR($E1303="",$E1303="نامعتبر"),"",IF(Sync!$X1300="",0,Sync!$X1300))</f>
        <v/>
      </c>
      <c r="N1303">
        <f>IF(OR($E1303="",$E1303="نامعتبر"),"",IF(AND($J1303="هزینه",$K1303&lt;&gt;""),1,0))</f>
        <v/>
      </c>
      <c r="O1303">
        <f>IF($N1303=0,"",LEFT($E1303,4)&amp;MID($E1303,6,2)&amp;RIGHT($E1303,2)&amp;$F1303&amp;"|"&amp;"1"&amp;RIGHT("00000"&amp;1295,5))</f>
        <v/>
      </c>
      <c r="P1303">
        <f>IF($O1303="","",COUNTIFS(ExpSub,$K1303,ExpKey,"&lt;"&amp;$O1303)+1)</f>
        <v/>
      </c>
      <c r="Q1303">
        <f>IF($P1303="","",$K1303&amp;"|"&amp;RIGHT("000000"&amp;$P1303,6))</f>
        <v/>
      </c>
    </row>
    <row r="1304">
      <c r="A1304">
        <f>IF(Sync!$P1301="","",Sync!$P1301)</f>
        <v/>
      </c>
      <c r="B1304">
        <f>IF($A1304="","",IF(ISNUMBER($A1304),IF(AND($A1304&gt;=10000101,$A1304&lt;=99991231),INT($A1304/10000),""),IFERROR(VALUE(TRIM(LEFT($A1304,FIND("/",$A1304)-1))),"")))</f>
        <v/>
      </c>
      <c r="C1304">
        <f>IF(OR($A1304="",$B1304=""),"",IF(ISNUMBER($A1304),INT(MOD($A1304,10000)/100),IFERROR(VALUE(TRIM(LEFT(MID($A1304,FIND("/",$A1304)+1,20),FIND("/",MID($A1304,FIND("/",$A1304)+1,20))-1))),"")))</f>
        <v/>
      </c>
      <c r="D1304">
        <f>IF(OR($A1304="",$B1304=""),"",IF(ISNUMBER($A1304),MOD($A1304,100),IFERROR(VALUE(TRIM(MID(MID($A1304,FIND("/",$A1304)+1,20),FIND("/",MID($A1304,FIND("/",$A1304)+1,20))+1,20))),"")))</f>
        <v/>
      </c>
      <c r="E1304">
        <f>IF($A1304="","",IF(OR($B1304="",$C1304="",$D1304="",$B1304&lt;1300,$B1304&gt;1500,$C1304&lt;1,$C1304&gt;12,$D1304&lt;1,$D1304&gt;31),"نامعتبر",RIGHT("0000"&amp;$B1304,4)&amp;"/"&amp;RIGHT("00"&amp;$C1304,2)&amp;"/"&amp;RIGHT("00"&amp;$D1304,2)))</f>
        <v/>
      </c>
      <c r="F1304">
        <f>IF(OR($E1304="",$E1304="نامعتبر"),"",IF(Sync!$Q1301="","0000",IF(AND(ISNUMBER(Sync!$Q1301),Sync!$Q1301&gt;=0,Sync!$Q1301&lt;1),RIGHT("00"&amp;HOUR(Sync!$Q1301),2)&amp;RIGHT("00"&amp;MINUTE(Sync!$Q1301),2),IFERROR(RIGHT("00"&amp;VALUE(LEFT(Sync!$Q1301,FIND(":",Sync!$Q1301)-1)),2)&amp;RIGHT("00"&amp;VALUE(MID(Sync!$Q1301,FIND(":",Sync!$Q1301)+1,2)),2),"0000"))))</f>
        <v/>
      </c>
      <c r="G1304">
        <f>IF(OR($E1304="",$E1304="نامعتبر"),"",IF(Sync!$S1301="","",Sync!$S1301))</f>
        <v/>
      </c>
      <c r="H1304">
        <f>IF(OR($E1304="",$E1304="نامعتبر"),"",IF(Sync!$R1301="","",Sync!$R1301))</f>
        <v/>
      </c>
      <c r="I1304">
        <f>IF(OR($E1304="",$E1304="نامعتبر"),"",IF(Sync!$T1301="","",Sync!$T1301))</f>
        <v/>
      </c>
      <c r="J1304">
        <f>IF(OR($E1304="",$E1304="نامعتبر"),"",IF(Sync!$U1301="","",Sync!$U1301))</f>
        <v/>
      </c>
      <c r="K1304">
        <f>IF(OR($E1304="",$E1304="نامعتبر"),"",IF(Sync!$V1301="","",IFERROR(INDEX(SubCodes,MATCH(Sync!$V1301,SubTitles,0)),Sync!$V1301)))</f>
        <v/>
      </c>
      <c r="L1304">
        <f>IF(OR($E1304="",$E1304="نامعتبر"),"",IF(Sync!$W1301="",0,Sync!$W1301))</f>
        <v/>
      </c>
      <c r="M1304">
        <f>IF(OR($E1304="",$E1304="نامعتبر"),"",IF(Sync!$X1301="",0,Sync!$X1301))</f>
        <v/>
      </c>
      <c r="N1304">
        <f>IF(OR($E1304="",$E1304="نامعتبر"),"",IF(AND($J1304="هزینه",$K1304&lt;&gt;""),1,0))</f>
        <v/>
      </c>
      <c r="O1304">
        <f>IF($N1304=0,"",LEFT($E1304,4)&amp;MID($E1304,6,2)&amp;RIGHT($E1304,2)&amp;$F1304&amp;"|"&amp;"1"&amp;RIGHT("00000"&amp;1296,5))</f>
        <v/>
      </c>
      <c r="P1304">
        <f>IF($O1304="","",COUNTIFS(ExpSub,$K1304,ExpKey,"&lt;"&amp;$O1304)+1)</f>
        <v/>
      </c>
      <c r="Q1304">
        <f>IF($P1304="","",$K1304&amp;"|"&amp;RIGHT("000000"&amp;$P1304,6))</f>
        <v/>
      </c>
    </row>
    <row r="1305">
      <c r="A1305">
        <f>IF(Sync!$P1302="","",Sync!$P1302)</f>
        <v/>
      </c>
      <c r="B1305">
        <f>IF($A1305="","",IF(ISNUMBER($A1305),IF(AND($A1305&gt;=10000101,$A1305&lt;=99991231),INT($A1305/10000),""),IFERROR(VALUE(TRIM(LEFT($A1305,FIND("/",$A1305)-1))),"")))</f>
        <v/>
      </c>
      <c r="C1305">
        <f>IF(OR($A1305="",$B1305=""),"",IF(ISNUMBER($A1305),INT(MOD($A1305,10000)/100),IFERROR(VALUE(TRIM(LEFT(MID($A1305,FIND("/",$A1305)+1,20),FIND("/",MID($A1305,FIND("/",$A1305)+1,20))-1))),"")))</f>
        <v/>
      </c>
      <c r="D1305">
        <f>IF(OR($A1305="",$B1305=""),"",IF(ISNUMBER($A1305),MOD($A1305,100),IFERROR(VALUE(TRIM(MID(MID($A1305,FIND("/",$A1305)+1,20),FIND("/",MID($A1305,FIND("/",$A1305)+1,20))+1,20))),"")))</f>
        <v/>
      </c>
      <c r="E1305">
        <f>IF($A1305="","",IF(OR($B1305="",$C1305="",$D1305="",$B1305&lt;1300,$B1305&gt;1500,$C1305&lt;1,$C1305&gt;12,$D1305&lt;1,$D1305&gt;31),"نامعتبر",RIGHT("0000"&amp;$B1305,4)&amp;"/"&amp;RIGHT("00"&amp;$C1305,2)&amp;"/"&amp;RIGHT("00"&amp;$D1305,2)))</f>
        <v/>
      </c>
      <c r="F1305">
        <f>IF(OR($E1305="",$E1305="نامعتبر"),"",IF(Sync!$Q1302="","0000",IF(AND(ISNUMBER(Sync!$Q1302),Sync!$Q1302&gt;=0,Sync!$Q1302&lt;1),RIGHT("00"&amp;HOUR(Sync!$Q1302),2)&amp;RIGHT("00"&amp;MINUTE(Sync!$Q1302),2),IFERROR(RIGHT("00"&amp;VALUE(LEFT(Sync!$Q1302,FIND(":",Sync!$Q1302)-1)),2)&amp;RIGHT("00"&amp;VALUE(MID(Sync!$Q1302,FIND(":",Sync!$Q1302)+1,2)),2),"0000"))))</f>
        <v/>
      </c>
      <c r="G1305">
        <f>IF(OR($E1305="",$E1305="نامعتبر"),"",IF(Sync!$S1302="","",Sync!$S1302))</f>
        <v/>
      </c>
      <c r="H1305">
        <f>IF(OR($E1305="",$E1305="نامعتبر"),"",IF(Sync!$R1302="","",Sync!$R1302))</f>
        <v/>
      </c>
      <c r="I1305">
        <f>IF(OR($E1305="",$E1305="نامعتبر"),"",IF(Sync!$T1302="","",Sync!$T1302))</f>
        <v/>
      </c>
      <c r="J1305">
        <f>IF(OR($E1305="",$E1305="نامعتبر"),"",IF(Sync!$U1302="","",Sync!$U1302))</f>
        <v/>
      </c>
      <c r="K1305">
        <f>IF(OR($E1305="",$E1305="نامعتبر"),"",IF(Sync!$V1302="","",IFERROR(INDEX(SubCodes,MATCH(Sync!$V1302,SubTitles,0)),Sync!$V1302)))</f>
        <v/>
      </c>
      <c r="L1305">
        <f>IF(OR($E1305="",$E1305="نامعتبر"),"",IF(Sync!$W1302="",0,Sync!$W1302))</f>
        <v/>
      </c>
      <c r="M1305">
        <f>IF(OR($E1305="",$E1305="نامعتبر"),"",IF(Sync!$X1302="",0,Sync!$X1302))</f>
        <v/>
      </c>
      <c r="N1305">
        <f>IF(OR($E1305="",$E1305="نامعتبر"),"",IF(AND($J1305="هزینه",$K1305&lt;&gt;""),1,0))</f>
        <v/>
      </c>
      <c r="O1305">
        <f>IF($N1305=0,"",LEFT($E1305,4)&amp;MID($E1305,6,2)&amp;RIGHT($E1305,2)&amp;$F1305&amp;"|"&amp;"1"&amp;RIGHT("00000"&amp;1297,5))</f>
        <v/>
      </c>
      <c r="P1305">
        <f>IF($O1305="","",COUNTIFS(ExpSub,$K1305,ExpKey,"&lt;"&amp;$O1305)+1)</f>
        <v/>
      </c>
      <c r="Q1305">
        <f>IF($P1305="","",$K1305&amp;"|"&amp;RIGHT("000000"&amp;$P1305,6))</f>
        <v/>
      </c>
    </row>
    <row r="1306">
      <c r="A1306">
        <f>IF(Sync!$P1303="","",Sync!$P1303)</f>
        <v/>
      </c>
      <c r="B1306">
        <f>IF($A1306="","",IF(ISNUMBER($A1306),IF(AND($A1306&gt;=10000101,$A1306&lt;=99991231),INT($A1306/10000),""),IFERROR(VALUE(TRIM(LEFT($A1306,FIND("/",$A1306)-1))),"")))</f>
        <v/>
      </c>
      <c r="C1306">
        <f>IF(OR($A1306="",$B1306=""),"",IF(ISNUMBER($A1306),INT(MOD($A1306,10000)/100),IFERROR(VALUE(TRIM(LEFT(MID($A1306,FIND("/",$A1306)+1,20),FIND("/",MID($A1306,FIND("/",$A1306)+1,20))-1))),"")))</f>
        <v/>
      </c>
      <c r="D1306">
        <f>IF(OR($A1306="",$B1306=""),"",IF(ISNUMBER($A1306),MOD($A1306,100),IFERROR(VALUE(TRIM(MID(MID($A1306,FIND("/",$A1306)+1,20),FIND("/",MID($A1306,FIND("/",$A1306)+1,20))+1,20))),"")))</f>
        <v/>
      </c>
      <c r="E1306">
        <f>IF($A1306="","",IF(OR($B1306="",$C1306="",$D1306="",$B1306&lt;1300,$B1306&gt;1500,$C1306&lt;1,$C1306&gt;12,$D1306&lt;1,$D1306&gt;31),"نامعتبر",RIGHT("0000"&amp;$B1306,4)&amp;"/"&amp;RIGHT("00"&amp;$C1306,2)&amp;"/"&amp;RIGHT("00"&amp;$D1306,2)))</f>
        <v/>
      </c>
      <c r="F1306">
        <f>IF(OR($E1306="",$E1306="نامعتبر"),"",IF(Sync!$Q1303="","0000",IF(AND(ISNUMBER(Sync!$Q1303),Sync!$Q1303&gt;=0,Sync!$Q1303&lt;1),RIGHT("00"&amp;HOUR(Sync!$Q1303),2)&amp;RIGHT("00"&amp;MINUTE(Sync!$Q1303),2),IFERROR(RIGHT("00"&amp;VALUE(LEFT(Sync!$Q1303,FIND(":",Sync!$Q1303)-1)),2)&amp;RIGHT("00"&amp;VALUE(MID(Sync!$Q1303,FIND(":",Sync!$Q1303)+1,2)),2),"0000"))))</f>
        <v/>
      </c>
      <c r="G1306">
        <f>IF(OR($E1306="",$E1306="نامعتبر"),"",IF(Sync!$S1303="","",Sync!$S1303))</f>
        <v/>
      </c>
      <c r="H1306">
        <f>IF(OR($E1306="",$E1306="نامعتبر"),"",IF(Sync!$R1303="","",Sync!$R1303))</f>
        <v/>
      </c>
      <c r="I1306">
        <f>IF(OR($E1306="",$E1306="نامعتبر"),"",IF(Sync!$T1303="","",Sync!$T1303))</f>
        <v/>
      </c>
      <c r="J1306">
        <f>IF(OR($E1306="",$E1306="نامعتبر"),"",IF(Sync!$U1303="","",Sync!$U1303))</f>
        <v/>
      </c>
      <c r="K1306">
        <f>IF(OR($E1306="",$E1306="نامعتبر"),"",IF(Sync!$V1303="","",IFERROR(INDEX(SubCodes,MATCH(Sync!$V1303,SubTitles,0)),Sync!$V1303)))</f>
        <v/>
      </c>
      <c r="L1306">
        <f>IF(OR($E1306="",$E1306="نامعتبر"),"",IF(Sync!$W1303="",0,Sync!$W1303))</f>
        <v/>
      </c>
      <c r="M1306">
        <f>IF(OR($E1306="",$E1306="نامعتبر"),"",IF(Sync!$X1303="",0,Sync!$X1303))</f>
        <v/>
      </c>
      <c r="N1306">
        <f>IF(OR($E1306="",$E1306="نامعتبر"),"",IF(AND($J1306="هزینه",$K1306&lt;&gt;""),1,0))</f>
        <v/>
      </c>
      <c r="O1306">
        <f>IF($N1306=0,"",LEFT($E1306,4)&amp;MID($E1306,6,2)&amp;RIGHT($E1306,2)&amp;$F1306&amp;"|"&amp;"1"&amp;RIGHT("00000"&amp;1298,5))</f>
        <v/>
      </c>
      <c r="P1306">
        <f>IF($O1306="","",COUNTIFS(ExpSub,$K1306,ExpKey,"&lt;"&amp;$O1306)+1)</f>
        <v/>
      </c>
      <c r="Q1306">
        <f>IF($P1306="","",$K1306&amp;"|"&amp;RIGHT("000000"&amp;$P1306,6))</f>
        <v/>
      </c>
    </row>
    <row r="1307">
      <c r="A1307">
        <f>IF(Sync!$P1304="","",Sync!$P1304)</f>
        <v/>
      </c>
      <c r="B1307">
        <f>IF($A1307="","",IF(ISNUMBER($A1307),IF(AND($A1307&gt;=10000101,$A1307&lt;=99991231),INT($A1307/10000),""),IFERROR(VALUE(TRIM(LEFT($A1307,FIND("/",$A1307)-1))),"")))</f>
        <v/>
      </c>
      <c r="C1307">
        <f>IF(OR($A1307="",$B1307=""),"",IF(ISNUMBER($A1307),INT(MOD($A1307,10000)/100),IFERROR(VALUE(TRIM(LEFT(MID($A1307,FIND("/",$A1307)+1,20),FIND("/",MID($A1307,FIND("/",$A1307)+1,20))-1))),"")))</f>
        <v/>
      </c>
      <c r="D1307">
        <f>IF(OR($A1307="",$B1307=""),"",IF(ISNUMBER($A1307),MOD($A1307,100),IFERROR(VALUE(TRIM(MID(MID($A1307,FIND("/",$A1307)+1,20),FIND("/",MID($A1307,FIND("/",$A1307)+1,20))+1,20))),"")))</f>
        <v/>
      </c>
      <c r="E1307">
        <f>IF($A1307="","",IF(OR($B1307="",$C1307="",$D1307="",$B1307&lt;1300,$B1307&gt;1500,$C1307&lt;1,$C1307&gt;12,$D1307&lt;1,$D1307&gt;31),"نامعتبر",RIGHT("0000"&amp;$B1307,4)&amp;"/"&amp;RIGHT("00"&amp;$C1307,2)&amp;"/"&amp;RIGHT("00"&amp;$D1307,2)))</f>
        <v/>
      </c>
      <c r="F1307">
        <f>IF(OR($E1307="",$E1307="نامعتبر"),"",IF(Sync!$Q1304="","0000",IF(AND(ISNUMBER(Sync!$Q1304),Sync!$Q1304&gt;=0,Sync!$Q1304&lt;1),RIGHT("00"&amp;HOUR(Sync!$Q1304),2)&amp;RIGHT("00"&amp;MINUTE(Sync!$Q1304),2),IFERROR(RIGHT("00"&amp;VALUE(LEFT(Sync!$Q1304,FIND(":",Sync!$Q1304)-1)),2)&amp;RIGHT("00"&amp;VALUE(MID(Sync!$Q1304,FIND(":",Sync!$Q1304)+1,2)),2),"0000"))))</f>
        <v/>
      </c>
      <c r="G1307">
        <f>IF(OR($E1307="",$E1307="نامعتبر"),"",IF(Sync!$S1304="","",Sync!$S1304))</f>
        <v/>
      </c>
      <c r="H1307">
        <f>IF(OR($E1307="",$E1307="نامعتبر"),"",IF(Sync!$R1304="","",Sync!$R1304))</f>
        <v/>
      </c>
      <c r="I1307">
        <f>IF(OR($E1307="",$E1307="نامعتبر"),"",IF(Sync!$T1304="","",Sync!$T1304))</f>
        <v/>
      </c>
      <c r="J1307">
        <f>IF(OR($E1307="",$E1307="نامعتبر"),"",IF(Sync!$U1304="","",Sync!$U1304))</f>
        <v/>
      </c>
      <c r="K1307">
        <f>IF(OR($E1307="",$E1307="نامعتبر"),"",IF(Sync!$V1304="","",IFERROR(INDEX(SubCodes,MATCH(Sync!$V1304,SubTitles,0)),Sync!$V1304)))</f>
        <v/>
      </c>
      <c r="L1307">
        <f>IF(OR($E1307="",$E1307="نامعتبر"),"",IF(Sync!$W1304="",0,Sync!$W1304))</f>
        <v/>
      </c>
      <c r="M1307">
        <f>IF(OR($E1307="",$E1307="نامعتبر"),"",IF(Sync!$X1304="",0,Sync!$X1304))</f>
        <v/>
      </c>
      <c r="N1307">
        <f>IF(OR($E1307="",$E1307="نامعتبر"),"",IF(AND($J1307="هزینه",$K1307&lt;&gt;""),1,0))</f>
        <v/>
      </c>
      <c r="O1307">
        <f>IF($N1307=0,"",LEFT($E1307,4)&amp;MID($E1307,6,2)&amp;RIGHT($E1307,2)&amp;$F1307&amp;"|"&amp;"1"&amp;RIGHT("00000"&amp;1299,5))</f>
        <v/>
      </c>
      <c r="P1307">
        <f>IF($O1307="","",COUNTIFS(ExpSub,$K1307,ExpKey,"&lt;"&amp;$O1307)+1)</f>
        <v/>
      </c>
      <c r="Q1307">
        <f>IF($P1307="","",$K1307&amp;"|"&amp;RIGHT("000000"&amp;$P1307,6))</f>
        <v/>
      </c>
    </row>
    <row r="1308">
      <c r="A1308">
        <f>IF(Sync!$P1305="","",Sync!$P1305)</f>
        <v/>
      </c>
      <c r="B1308">
        <f>IF($A1308="","",IF(ISNUMBER($A1308),IF(AND($A1308&gt;=10000101,$A1308&lt;=99991231),INT($A1308/10000),""),IFERROR(VALUE(TRIM(LEFT($A1308,FIND("/",$A1308)-1))),"")))</f>
        <v/>
      </c>
      <c r="C1308">
        <f>IF(OR($A1308="",$B1308=""),"",IF(ISNUMBER($A1308),INT(MOD($A1308,10000)/100),IFERROR(VALUE(TRIM(LEFT(MID($A1308,FIND("/",$A1308)+1,20),FIND("/",MID($A1308,FIND("/",$A1308)+1,20))-1))),"")))</f>
        <v/>
      </c>
      <c r="D1308">
        <f>IF(OR($A1308="",$B1308=""),"",IF(ISNUMBER($A1308),MOD($A1308,100),IFERROR(VALUE(TRIM(MID(MID($A1308,FIND("/",$A1308)+1,20),FIND("/",MID($A1308,FIND("/",$A1308)+1,20))+1,20))),"")))</f>
        <v/>
      </c>
      <c r="E1308">
        <f>IF($A1308="","",IF(OR($B1308="",$C1308="",$D1308="",$B1308&lt;1300,$B1308&gt;1500,$C1308&lt;1,$C1308&gt;12,$D1308&lt;1,$D1308&gt;31),"نامعتبر",RIGHT("0000"&amp;$B1308,4)&amp;"/"&amp;RIGHT("00"&amp;$C1308,2)&amp;"/"&amp;RIGHT("00"&amp;$D1308,2)))</f>
        <v/>
      </c>
      <c r="F1308">
        <f>IF(OR($E1308="",$E1308="نامعتبر"),"",IF(Sync!$Q1305="","0000",IF(AND(ISNUMBER(Sync!$Q1305),Sync!$Q1305&gt;=0,Sync!$Q1305&lt;1),RIGHT("00"&amp;HOUR(Sync!$Q1305),2)&amp;RIGHT("00"&amp;MINUTE(Sync!$Q1305),2),IFERROR(RIGHT("00"&amp;VALUE(LEFT(Sync!$Q1305,FIND(":",Sync!$Q1305)-1)),2)&amp;RIGHT("00"&amp;VALUE(MID(Sync!$Q1305,FIND(":",Sync!$Q1305)+1,2)),2),"0000"))))</f>
        <v/>
      </c>
      <c r="G1308">
        <f>IF(OR($E1308="",$E1308="نامعتبر"),"",IF(Sync!$S1305="","",Sync!$S1305))</f>
        <v/>
      </c>
      <c r="H1308">
        <f>IF(OR($E1308="",$E1308="نامعتبر"),"",IF(Sync!$R1305="","",Sync!$R1305))</f>
        <v/>
      </c>
      <c r="I1308">
        <f>IF(OR($E1308="",$E1308="نامعتبر"),"",IF(Sync!$T1305="","",Sync!$T1305))</f>
        <v/>
      </c>
      <c r="J1308">
        <f>IF(OR($E1308="",$E1308="نامعتبر"),"",IF(Sync!$U1305="","",Sync!$U1305))</f>
        <v/>
      </c>
      <c r="K1308">
        <f>IF(OR($E1308="",$E1308="نامعتبر"),"",IF(Sync!$V1305="","",IFERROR(INDEX(SubCodes,MATCH(Sync!$V1305,SubTitles,0)),Sync!$V1305)))</f>
        <v/>
      </c>
      <c r="L1308">
        <f>IF(OR($E1308="",$E1308="نامعتبر"),"",IF(Sync!$W1305="",0,Sync!$W1305))</f>
        <v/>
      </c>
      <c r="M1308">
        <f>IF(OR($E1308="",$E1308="نامعتبر"),"",IF(Sync!$X1305="",0,Sync!$X1305))</f>
        <v/>
      </c>
      <c r="N1308">
        <f>IF(OR($E1308="",$E1308="نامعتبر"),"",IF(AND($J1308="هزینه",$K1308&lt;&gt;""),1,0))</f>
        <v/>
      </c>
      <c r="O1308">
        <f>IF($N1308=0,"",LEFT($E1308,4)&amp;MID($E1308,6,2)&amp;RIGHT($E1308,2)&amp;$F1308&amp;"|"&amp;"1"&amp;RIGHT("00000"&amp;1300,5))</f>
        <v/>
      </c>
      <c r="P1308">
        <f>IF($O1308="","",COUNTIFS(ExpSub,$K1308,ExpKey,"&lt;"&amp;$O1308)+1)</f>
        <v/>
      </c>
      <c r="Q1308">
        <f>IF($P1308="","",$K1308&amp;"|"&amp;RIGHT("000000"&amp;$P1308,6))</f>
        <v/>
      </c>
    </row>
    <row r="1309">
      <c r="A1309">
        <f>IF(Sync!$P1306="","",Sync!$P1306)</f>
        <v/>
      </c>
      <c r="B1309">
        <f>IF($A1309="","",IF(ISNUMBER($A1309),IF(AND($A1309&gt;=10000101,$A1309&lt;=99991231),INT($A1309/10000),""),IFERROR(VALUE(TRIM(LEFT($A1309,FIND("/",$A1309)-1))),"")))</f>
        <v/>
      </c>
      <c r="C1309">
        <f>IF(OR($A1309="",$B1309=""),"",IF(ISNUMBER($A1309),INT(MOD($A1309,10000)/100),IFERROR(VALUE(TRIM(LEFT(MID($A1309,FIND("/",$A1309)+1,20),FIND("/",MID($A1309,FIND("/",$A1309)+1,20))-1))),"")))</f>
        <v/>
      </c>
      <c r="D1309">
        <f>IF(OR($A1309="",$B1309=""),"",IF(ISNUMBER($A1309),MOD($A1309,100),IFERROR(VALUE(TRIM(MID(MID($A1309,FIND("/",$A1309)+1,20),FIND("/",MID($A1309,FIND("/",$A1309)+1,20))+1,20))),"")))</f>
        <v/>
      </c>
      <c r="E1309">
        <f>IF($A1309="","",IF(OR($B1309="",$C1309="",$D1309="",$B1309&lt;1300,$B1309&gt;1500,$C1309&lt;1,$C1309&gt;12,$D1309&lt;1,$D1309&gt;31),"نامعتبر",RIGHT("0000"&amp;$B1309,4)&amp;"/"&amp;RIGHT("00"&amp;$C1309,2)&amp;"/"&amp;RIGHT("00"&amp;$D1309,2)))</f>
        <v/>
      </c>
      <c r="F1309">
        <f>IF(OR($E1309="",$E1309="نامعتبر"),"",IF(Sync!$Q1306="","0000",IF(AND(ISNUMBER(Sync!$Q1306),Sync!$Q1306&gt;=0,Sync!$Q1306&lt;1),RIGHT("00"&amp;HOUR(Sync!$Q1306),2)&amp;RIGHT("00"&amp;MINUTE(Sync!$Q1306),2),IFERROR(RIGHT("00"&amp;VALUE(LEFT(Sync!$Q1306,FIND(":",Sync!$Q1306)-1)),2)&amp;RIGHT("00"&amp;VALUE(MID(Sync!$Q1306,FIND(":",Sync!$Q1306)+1,2)),2),"0000"))))</f>
        <v/>
      </c>
      <c r="G1309">
        <f>IF(OR($E1309="",$E1309="نامعتبر"),"",IF(Sync!$S1306="","",Sync!$S1306))</f>
        <v/>
      </c>
      <c r="H1309">
        <f>IF(OR($E1309="",$E1309="نامعتبر"),"",IF(Sync!$R1306="","",Sync!$R1306))</f>
        <v/>
      </c>
      <c r="I1309">
        <f>IF(OR($E1309="",$E1309="نامعتبر"),"",IF(Sync!$T1306="","",Sync!$T1306))</f>
        <v/>
      </c>
      <c r="J1309">
        <f>IF(OR($E1309="",$E1309="نامعتبر"),"",IF(Sync!$U1306="","",Sync!$U1306))</f>
        <v/>
      </c>
      <c r="K1309">
        <f>IF(OR($E1309="",$E1309="نامعتبر"),"",IF(Sync!$V1306="","",IFERROR(INDEX(SubCodes,MATCH(Sync!$V1306,SubTitles,0)),Sync!$V1306)))</f>
        <v/>
      </c>
      <c r="L1309">
        <f>IF(OR($E1309="",$E1309="نامعتبر"),"",IF(Sync!$W1306="",0,Sync!$W1306))</f>
        <v/>
      </c>
      <c r="M1309">
        <f>IF(OR($E1309="",$E1309="نامعتبر"),"",IF(Sync!$X1306="",0,Sync!$X1306))</f>
        <v/>
      </c>
      <c r="N1309">
        <f>IF(OR($E1309="",$E1309="نامعتبر"),"",IF(AND($J1309="هزینه",$K1309&lt;&gt;""),1,0))</f>
        <v/>
      </c>
      <c r="O1309">
        <f>IF($N1309=0,"",LEFT($E1309,4)&amp;MID($E1309,6,2)&amp;RIGHT($E1309,2)&amp;$F1309&amp;"|"&amp;"1"&amp;RIGHT("00000"&amp;1301,5))</f>
        <v/>
      </c>
      <c r="P1309">
        <f>IF($O1309="","",COUNTIFS(ExpSub,$K1309,ExpKey,"&lt;"&amp;$O1309)+1)</f>
        <v/>
      </c>
      <c r="Q1309">
        <f>IF($P1309="","",$K1309&amp;"|"&amp;RIGHT("000000"&amp;$P1309,6))</f>
        <v/>
      </c>
    </row>
    <row r="1310">
      <c r="A1310">
        <f>IF(Sync!$P1307="","",Sync!$P1307)</f>
        <v/>
      </c>
      <c r="B1310">
        <f>IF($A1310="","",IF(ISNUMBER($A1310),IF(AND($A1310&gt;=10000101,$A1310&lt;=99991231),INT($A1310/10000),""),IFERROR(VALUE(TRIM(LEFT($A1310,FIND("/",$A1310)-1))),"")))</f>
        <v/>
      </c>
      <c r="C1310">
        <f>IF(OR($A1310="",$B1310=""),"",IF(ISNUMBER($A1310),INT(MOD($A1310,10000)/100),IFERROR(VALUE(TRIM(LEFT(MID($A1310,FIND("/",$A1310)+1,20),FIND("/",MID($A1310,FIND("/",$A1310)+1,20))-1))),"")))</f>
        <v/>
      </c>
      <c r="D1310">
        <f>IF(OR($A1310="",$B1310=""),"",IF(ISNUMBER($A1310),MOD($A1310,100),IFERROR(VALUE(TRIM(MID(MID($A1310,FIND("/",$A1310)+1,20),FIND("/",MID($A1310,FIND("/",$A1310)+1,20))+1,20))),"")))</f>
        <v/>
      </c>
      <c r="E1310">
        <f>IF($A1310="","",IF(OR($B1310="",$C1310="",$D1310="",$B1310&lt;1300,$B1310&gt;1500,$C1310&lt;1,$C1310&gt;12,$D1310&lt;1,$D1310&gt;31),"نامعتبر",RIGHT("0000"&amp;$B1310,4)&amp;"/"&amp;RIGHT("00"&amp;$C1310,2)&amp;"/"&amp;RIGHT("00"&amp;$D1310,2)))</f>
        <v/>
      </c>
      <c r="F1310">
        <f>IF(OR($E1310="",$E1310="نامعتبر"),"",IF(Sync!$Q1307="","0000",IF(AND(ISNUMBER(Sync!$Q1307),Sync!$Q1307&gt;=0,Sync!$Q1307&lt;1),RIGHT("00"&amp;HOUR(Sync!$Q1307),2)&amp;RIGHT("00"&amp;MINUTE(Sync!$Q1307),2),IFERROR(RIGHT("00"&amp;VALUE(LEFT(Sync!$Q1307,FIND(":",Sync!$Q1307)-1)),2)&amp;RIGHT("00"&amp;VALUE(MID(Sync!$Q1307,FIND(":",Sync!$Q1307)+1,2)),2),"0000"))))</f>
        <v/>
      </c>
      <c r="G1310">
        <f>IF(OR($E1310="",$E1310="نامعتبر"),"",IF(Sync!$S1307="","",Sync!$S1307))</f>
        <v/>
      </c>
      <c r="H1310">
        <f>IF(OR($E1310="",$E1310="نامعتبر"),"",IF(Sync!$R1307="","",Sync!$R1307))</f>
        <v/>
      </c>
      <c r="I1310">
        <f>IF(OR($E1310="",$E1310="نامعتبر"),"",IF(Sync!$T1307="","",Sync!$T1307))</f>
        <v/>
      </c>
      <c r="J1310">
        <f>IF(OR($E1310="",$E1310="نامعتبر"),"",IF(Sync!$U1307="","",Sync!$U1307))</f>
        <v/>
      </c>
      <c r="K1310">
        <f>IF(OR($E1310="",$E1310="نامعتبر"),"",IF(Sync!$V1307="","",IFERROR(INDEX(SubCodes,MATCH(Sync!$V1307,SubTitles,0)),Sync!$V1307)))</f>
        <v/>
      </c>
      <c r="L1310">
        <f>IF(OR($E1310="",$E1310="نامعتبر"),"",IF(Sync!$W1307="",0,Sync!$W1307))</f>
        <v/>
      </c>
      <c r="M1310">
        <f>IF(OR($E1310="",$E1310="نامعتبر"),"",IF(Sync!$X1307="",0,Sync!$X1307))</f>
        <v/>
      </c>
      <c r="N1310">
        <f>IF(OR($E1310="",$E1310="نامعتبر"),"",IF(AND($J1310="هزینه",$K1310&lt;&gt;""),1,0))</f>
        <v/>
      </c>
      <c r="O1310">
        <f>IF($N1310=0,"",LEFT($E1310,4)&amp;MID($E1310,6,2)&amp;RIGHT($E1310,2)&amp;$F1310&amp;"|"&amp;"1"&amp;RIGHT("00000"&amp;1302,5))</f>
        <v/>
      </c>
      <c r="P1310">
        <f>IF($O1310="","",COUNTIFS(ExpSub,$K1310,ExpKey,"&lt;"&amp;$O1310)+1)</f>
        <v/>
      </c>
      <c r="Q1310">
        <f>IF($P1310="","",$K1310&amp;"|"&amp;RIGHT("000000"&amp;$P1310,6))</f>
        <v/>
      </c>
    </row>
    <row r="1311">
      <c r="A1311">
        <f>IF(Sync!$P1308="","",Sync!$P1308)</f>
        <v/>
      </c>
      <c r="B1311">
        <f>IF($A1311="","",IF(ISNUMBER($A1311),IF(AND($A1311&gt;=10000101,$A1311&lt;=99991231),INT($A1311/10000),""),IFERROR(VALUE(TRIM(LEFT($A1311,FIND("/",$A1311)-1))),"")))</f>
        <v/>
      </c>
      <c r="C1311">
        <f>IF(OR($A1311="",$B1311=""),"",IF(ISNUMBER($A1311),INT(MOD($A1311,10000)/100),IFERROR(VALUE(TRIM(LEFT(MID($A1311,FIND("/",$A1311)+1,20),FIND("/",MID($A1311,FIND("/",$A1311)+1,20))-1))),"")))</f>
        <v/>
      </c>
      <c r="D1311">
        <f>IF(OR($A1311="",$B1311=""),"",IF(ISNUMBER($A1311),MOD($A1311,100),IFERROR(VALUE(TRIM(MID(MID($A1311,FIND("/",$A1311)+1,20),FIND("/",MID($A1311,FIND("/",$A1311)+1,20))+1,20))),"")))</f>
        <v/>
      </c>
      <c r="E1311">
        <f>IF($A1311="","",IF(OR($B1311="",$C1311="",$D1311="",$B1311&lt;1300,$B1311&gt;1500,$C1311&lt;1,$C1311&gt;12,$D1311&lt;1,$D1311&gt;31),"نامعتبر",RIGHT("0000"&amp;$B1311,4)&amp;"/"&amp;RIGHT("00"&amp;$C1311,2)&amp;"/"&amp;RIGHT("00"&amp;$D1311,2)))</f>
        <v/>
      </c>
      <c r="F1311">
        <f>IF(OR($E1311="",$E1311="نامعتبر"),"",IF(Sync!$Q1308="","0000",IF(AND(ISNUMBER(Sync!$Q1308),Sync!$Q1308&gt;=0,Sync!$Q1308&lt;1),RIGHT("00"&amp;HOUR(Sync!$Q1308),2)&amp;RIGHT("00"&amp;MINUTE(Sync!$Q1308),2),IFERROR(RIGHT("00"&amp;VALUE(LEFT(Sync!$Q1308,FIND(":",Sync!$Q1308)-1)),2)&amp;RIGHT("00"&amp;VALUE(MID(Sync!$Q1308,FIND(":",Sync!$Q1308)+1,2)),2),"0000"))))</f>
        <v/>
      </c>
      <c r="G1311">
        <f>IF(OR($E1311="",$E1311="نامعتبر"),"",IF(Sync!$S1308="","",Sync!$S1308))</f>
        <v/>
      </c>
      <c r="H1311">
        <f>IF(OR($E1311="",$E1311="نامعتبر"),"",IF(Sync!$R1308="","",Sync!$R1308))</f>
        <v/>
      </c>
      <c r="I1311">
        <f>IF(OR($E1311="",$E1311="نامعتبر"),"",IF(Sync!$T1308="","",Sync!$T1308))</f>
        <v/>
      </c>
      <c r="J1311">
        <f>IF(OR($E1311="",$E1311="نامعتبر"),"",IF(Sync!$U1308="","",Sync!$U1308))</f>
        <v/>
      </c>
      <c r="K1311">
        <f>IF(OR($E1311="",$E1311="نامعتبر"),"",IF(Sync!$V1308="","",IFERROR(INDEX(SubCodes,MATCH(Sync!$V1308,SubTitles,0)),Sync!$V1308)))</f>
        <v/>
      </c>
      <c r="L1311">
        <f>IF(OR($E1311="",$E1311="نامعتبر"),"",IF(Sync!$W1308="",0,Sync!$W1308))</f>
        <v/>
      </c>
      <c r="M1311">
        <f>IF(OR($E1311="",$E1311="نامعتبر"),"",IF(Sync!$X1308="",0,Sync!$X1308))</f>
        <v/>
      </c>
      <c r="N1311">
        <f>IF(OR($E1311="",$E1311="نامعتبر"),"",IF(AND($J1311="هزینه",$K1311&lt;&gt;""),1,0))</f>
        <v/>
      </c>
      <c r="O1311">
        <f>IF($N1311=0,"",LEFT($E1311,4)&amp;MID($E1311,6,2)&amp;RIGHT($E1311,2)&amp;$F1311&amp;"|"&amp;"1"&amp;RIGHT("00000"&amp;1303,5))</f>
        <v/>
      </c>
      <c r="P1311">
        <f>IF($O1311="","",COUNTIFS(ExpSub,$K1311,ExpKey,"&lt;"&amp;$O1311)+1)</f>
        <v/>
      </c>
      <c r="Q1311">
        <f>IF($P1311="","",$K1311&amp;"|"&amp;RIGHT("000000"&amp;$P1311,6))</f>
        <v/>
      </c>
    </row>
    <row r="1312">
      <c r="A1312">
        <f>IF(Sync!$P1309="","",Sync!$P1309)</f>
        <v/>
      </c>
      <c r="B1312">
        <f>IF($A1312="","",IF(ISNUMBER($A1312),IF(AND($A1312&gt;=10000101,$A1312&lt;=99991231),INT($A1312/10000),""),IFERROR(VALUE(TRIM(LEFT($A1312,FIND("/",$A1312)-1))),"")))</f>
        <v/>
      </c>
      <c r="C1312">
        <f>IF(OR($A1312="",$B1312=""),"",IF(ISNUMBER($A1312),INT(MOD($A1312,10000)/100),IFERROR(VALUE(TRIM(LEFT(MID($A1312,FIND("/",$A1312)+1,20),FIND("/",MID($A1312,FIND("/",$A1312)+1,20))-1))),"")))</f>
        <v/>
      </c>
      <c r="D1312">
        <f>IF(OR($A1312="",$B1312=""),"",IF(ISNUMBER($A1312),MOD($A1312,100),IFERROR(VALUE(TRIM(MID(MID($A1312,FIND("/",$A1312)+1,20),FIND("/",MID($A1312,FIND("/",$A1312)+1,20))+1,20))),"")))</f>
        <v/>
      </c>
      <c r="E1312">
        <f>IF($A1312="","",IF(OR($B1312="",$C1312="",$D1312="",$B1312&lt;1300,$B1312&gt;1500,$C1312&lt;1,$C1312&gt;12,$D1312&lt;1,$D1312&gt;31),"نامعتبر",RIGHT("0000"&amp;$B1312,4)&amp;"/"&amp;RIGHT("00"&amp;$C1312,2)&amp;"/"&amp;RIGHT("00"&amp;$D1312,2)))</f>
        <v/>
      </c>
      <c r="F1312">
        <f>IF(OR($E1312="",$E1312="نامعتبر"),"",IF(Sync!$Q1309="","0000",IF(AND(ISNUMBER(Sync!$Q1309),Sync!$Q1309&gt;=0,Sync!$Q1309&lt;1),RIGHT("00"&amp;HOUR(Sync!$Q1309),2)&amp;RIGHT("00"&amp;MINUTE(Sync!$Q1309),2),IFERROR(RIGHT("00"&amp;VALUE(LEFT(Sync!$Q1309,FIND(":",Sync!$Q1309)-1)),2)&amp;RIGHT("00"&amp;VALUE(MID(Sync!$Q1309,FIND(":",Sync!$Q1309)+1,2)),2),"0000"))))</f>
        <v/>
      </c>
      <c r="G1312">
        <f>IF(OR($E1312="",$E1312="نامعتبر"),"",IF(Sync!$S1309="","",Sync!$S1309))</f>
        <v/>
      </c>
      <c r="H1312">
        <f>IF(OR($E1312="",$E1312="نامعتبر"),"",IF(Sync!$R1309="","",Sync!$R1309))</f>
        <v/>
      </c>
      <c r="I1312">
        <f>IF(OR($E1312="",$E1312="نامعتبر"),"",IF(Sync!$T1309="","",Sync!$T1309))</f>
        <v/>
      </c>
      <c r="J1312">
        <f>IF(OR($E1312="",$E1312="نامعتبر"),"",IF(Sync!$U1309="","",Sync!$U1309))</f>
        <v/>
      </c>
      <c r="K1312">
        <f>IF(OR($E1312="",$E1312="نامعتبر"),"",IF(Sync!$V1309="","",IFERROR(INDEX(SubCodes,MATCH(Sync!$V1309,SubTitles,0)),Sync!$V1309)))</f>
        <v/>
      </c>
      <c r="L1312">
        <f>IF(OR($E1312="",$E1312="نامعتبر"),"",IF(Sync!$W1309="",0,Sync!$W1309))</f>
        <v/>
      </c>
      <c r="M1312">
        <f>IF(OR($E1312="",$E1312="نامعتبر"),"",IF(Sync!$X1309="",0,Sync!$X1309))</f>
        <v/>
      </c>
      <c r="N1312">
        <f>IF(OR($E1312="",$E1312="نامعتبر"),"",IF(AND($J1312="هزینه",$K1312&lt;&gt;""),1,0))</f>
        <v/>
      </c>
      <c r="O1312">
        <f>IF($N1312=0,"",LEFT($E1312,4)&amp;MID($E1312,6,2)&amp;RIGHT($E1312,2)&amp;$F1312&amp;"|"&amp;"1"&amp;RIGHT("00000"&amp;1304,5))</f>
        <v/>
      </c>
      <c r="P1312">
        <f>IF($O1312="","",COUNTIFS(ExpSub,$K1312,ExpKey,"&lt;"&amp;$O1312)+1)</f>
        <v/>
      </c>
      <c r="Q1312">
        <f>IF($P1312="","",$K1312&amp;"|"&amp;RIGHT("000000"&amp;$P1312,6))</f>
        <v/>
      </c>
    </row>
    <row r="1313">
      <c r="A1313">
        <f>IF(Sync!$P1310="","",Sync!$P1310)</f>
        <v/>
      </c>
      <c r="B1313">
        <f>IF($A1313="","",IF(ISNUMBER($A1313),IF(AND($A1313&gt;=10000101,$A1313&lt;=99991231),INT($A1313/10000),""),IFERROR(VALUE(TRIM(LEFT($A1313,FIND("/",$A1313)-1))),"")))</f>
        <v/>
      </c>
      <c r="C1313">
        <f>IF(OR($A1313="",$B1313=""),"",IF(ISNUMBER($A1313),INT(MOD($A1313,10000)/100),IFERROR(VALUE(TRIM(LEFT(MID($A1313,FIND("/",$A1313)+1,20),FIND("/",MID($A1313,FIND("/",$A1313)+1,20))-1))),"")))</f>
        <v/>
      </c>
      <c r="D1313">
        <f>IF(OR($A1313="",$B1313=""),"",IF(ISNUMBER($A1313),MOD($A1313,100),IFERROR(VALUE(TRIM(MID(MID($A1313,FIND("/",$A1313)+1,20),FIND("/",MID($A1313,FIND("/",$A1313)+1,20))+1,20))),"")))</f>
        <v/>
      </c>
      <c r="E1313">
        <f>IF($A1313="","",IF(OR($B1313="",$C1313="",$D1313="",$B1313&lt;1300,$B1313&gt;1500,$C1313&lt;1,$C1313&gt;12,$D1313&lt;1,$D1313&gt;31),"نامعتبر",RIGHT("0000"&amp;$B1313,4)&amp;"/"&amp;RIGHT("00"&amp;$C1313,2)&amp;"/"&amp;RIGHT("00"&amp;$D1313,2)))</f>
        <v/>
      </c>
      <c r="F1313">
        <f>IF(OR($E1313="",$E1313="نامعتبر"),"",IF(Sync!$Q1310="","0000",IF(AND(ISNUMBER(Sync!$Q1310),Sync!$Q1310&gt;=0,Sync!$Q1310&lt;1),RIGHT("00"&amp;HOUR(Sync!$Q1310),2)&amp;RIGHT("00"&amp;MINUTE(Sync!$Q1310),2),IFERROR(RIGHT("00"&amp;VALUE(LEFT(Sync!$Q1310,FIND(":",Sync!$Q1310)-1)),2)&amp;RIGHT("00"&amp;VALUE(MID(Sync!$Q1310,FIND(":",Sync!$Q1310)+1,2)),2),"0000"))))</f>
        <v/>
      </c>
      <c r="G1313">
        <f>IF(OR($E1313="",$E1313="نامعتبر"),"",IF(Sync!$S1310="","",Sync!$S1310))</f>
        <v/>
      </c>
      <c r="H1313">
        <f>IF(OR($E1313="",$E1313="نامعتبر"),"",IF(Sync!$R1310="","",Sync!$R1310))</f>
        <v/>
      </c>
      <c r="I1313">
        <f>IF(OR($E1313="",$E1313="نامعتبر"),"",IF(Sync!$T1310="","",Sync!$T1310))</f>
        <v/>
      </c>
      <c r="J1313">
        <f>IF(OR($E1313="",$E1313="نامعتبر"),"",IF(Sync!$U1310="","",Sync!$U1310))</f>
        <v/>
      </c>
      <c r="K1313">
        <f>IF(OR($E1313="",$E1313="نامعتبر"),"",IF(Sync!$V1310="","",IFERROR(INDEX(SubCodes,MATCH(Sync!$V1310,SubTitles,0)),Sync!$V1310)))</f>
        <v/>
      </c>
      <c r="L1313">
        <f>IF(OR($E1313="",$E1313="نامعتبر"),"",IF(Sync!$W1310="",0,Sync!$W1310))</f>
        <v/>
      </c>
      <c r="M1313">
        <f>IF(OR($E1313="",$E1313="نامعتبر"),"",IF(Sync!$X1310="",0,Sync!$X1310))</f>
        <v/>
      </c>
      <c r="N1313">
        <f>IF(OR($E1313="",$E1313="نامعتبر"),"",IF(AND($J1313="هزینه",$K1313&lt;&gt;""),1,0))</f>
        <v/>
      </c>
      <c r="O1313">
        <f>IF($N1313=0,"",LEFT($E1313,4)&amp;MID($E1313,6,2)&amp;RIGHT($E1313,2)&amp;$F1313&amp;"|"&amp;"1"&amp;RIGHT("00000"&amp;1305,5))</f>
        <v/>
      </c>
      <c r="P1313">
        <f>IF($O1313="","",COUNTIFS(ExpSub,$K1313,ExpKey,"&lt;"&amp;$O1313)+1)</f>
        <v/>
      </c>
      <c r="Q1313">
        <f>IF($P1313="","",$K1313&amp;"|"&amp;RIGHT("000000"&amp;$P1313,6))</f>
        <v/>
      </c>
    </row>
    <row r="1314">
      <c r="A1314">
        <f>IF(Sync!$P1311="","",Sync!$P1311)</f>
        <v/>
      </c>
      <c r="B1314">
        <f>IF($A1314="","",IF(ISNUMBER($A1314),IF(AND($A1314&gt;=10000101,$A1314&lt;=99991231),INT($A1314/10000),""),IFERROR(VALUE(TRIM(LEFT($A1314,FIND("/",$A1314)-1))),"")))</f>
        <v/>
      </c>
      <c r="C1314">
        <f>IF(OR($A1314="",$B1314=""),"",IF(ISNUMBER($A1314),INT(MOD($A1314,10000)/100),IFERROR(VALUE(TRIM(LEFT(MID($A1314,FIND("/",$A1314)+1,20),FIND("/",MID($A1314,FIND("/",$A1314)+1,20))-1))),"")))</f>
        <v/>
      </c>
      <c r="D1314">
        <f>IF(OR($A1314="",$B1314=""),"",IF(ISNUMBER($A1314),MOD($A1314,100),IFERROR(VALUE(TRIM(MID(MID($A1314,FIND("/",$A1314)+1,20),FIND("/",MID($A1314,FIND("/",$A1314)+1,20))+1,20))),"")))</f>
        <v/>
      </c>
      <c r="E1314">
        <f>IF($A1314="","",IF(OR($B1314="",$C1314="",$D1314="",$B1314&lt;1300,$B1314&gt;1500,$C1314&lt;1,$C1314&gt;12,$D1314&lt;1,$D1314&gt;31),"نامعتبر",RIGHT("0000"&amp;$B1314,4)&amp;"/"&amp;RIGHT("00"&amp;$C1314,2)&amp;"/"&amp;RIGHT("00"&amp;$D1314,2)))</f>
        <v/>
      </c>
      <c r="F1314">
        <f>IF(OR($E1314="",$E1314="نامعتبر"),"",IF(Sync!$Q1311="","0000",IF(AND(ISNUMBER(Sync!$Q1311),Sync!$Q1311&gt;=0,Sync!$Q1311&lt;1),RIGHT("00"&amp;HOUR(Sync!$Q1311),2)&amp;RIGHT("00"&amp;MINUTE(Sync!$Q1311),2),IFERROR(RIGHT("00"&amp;VALUE(LEFT(Sync!$Q1311,FIND(":",Sync!$Q1311)-1)),2)&amp;RIGHT("00"&amp;VALUE(MID(Sync!$Q1311,FIND(":",Sync!$Q1311)+1,2)),2),"0000"))))</f>
        <v/>
      </c>
      <c r="G1314">
        <f>IF(OR($E1314="",$E1314="نامعتبر"),"",IF(Sync!$S1311="","",Sync!$S1311))</f>
        <v/>
      </c>
      <c r="H1314">
        <f>IF(OR($E1314="",$E1314="نامعتبر"),"",IF(Sync!$R1311="","",Sync!$R1311))</f>
        <v/>
      </c>
      <c r="I1314">
        <f>IF(OR($E1314="",$E1314="نامعتبر"),"",IF(Sync!$T1311="","",Sync!$T1311))</f>
        <v/>
      </c>
      <c r="J1314">
        <f>IF(OR($E1314="",$E1314="نامعتبر"),"",IF(Sync!$U1311="","",Sync!$U1311))</f>
        <v/>
      </c>
      <c r="K1314">
        <f>IF(OR($E1314="",$E1314="نامعتبر"),"",IF(Sync!$V1311="","",IFERROR(INDEX(SubCodes,MATCH(Sync!$V1311,SubTitles,0)),Sync!$V1311)))</f>
        <v/>
      </c>
      <c r="L1314">
        <f>IF(OR($E1314="",$E1314="نامعتبر"),"",IF(Sync!$W1311="",0,Sync!$W1311))</f>
        <v/>
      </c>
      <c r="M1314">
        <f>IF(OR($E1314="",$E1314="نامعتبر"),"",IF(Sync!$X1311="",0,Sync!$X1311))</f>
        <v/>
      </c>
      <c r="N1314">
        <f>IF(OR($E1314="",$E1314="نامعتبر"),"",IF(AND($J1314="هزینه",$K1314&lt;&gt;""),1,0))</f>
        <v/>
      </c>
      <c r="O1314">
        <f>IF($N1314=0,"",LEFT($E1314,4)&amp;MID($E1314,6,2)&amp;RIGHT($E1314,2)&amp;$F1314&amp;"|"&amp;"1"&amp;RIGHT("00000"&amp;1306,5))</f>
        <v/>
      </c>
      <c r="P1314">
        <f>IF($O1314="","",COUNTIFS(ExpSub,$K1314,ExpKey,"&lt;"&amp;$O1314)+1)</f>
        <v/>
      </c>
      <c r="Q1314">
        <f>IF($P1314="","",$K1314&amp;"|"&amp;RIGHT("000000"&amp;$P1314,6))</f>
        <v/>
      </c>
    </row>
    <row r="1315">
      <c r="A1315">
        <f>IF(Sync!$P1312="","",Sync!$P1312)</f>
        <v/>
      </c>
      <c r="B1315">
        <f>IF($A1315="","",IF(ISNUMBER($A1315),IF(AND($A1315&gt;=10000101,$A1315&lt;=99991231),INT($A1315/10000),""),IFERROR(VALUE(TRIM(LEFT($A1315,FIND("/",$A1315)-1))),"")))</f>
        <v/>
      </c>
      <c r="C1315">
        <f>IF(OR($A1315="",$B1315=""),"",IF(ISNUMBER($A1315),INT(MOD($A1315,10000)/100),IFERROR(VALUE(TRIM(LEFT(MID($A1315,FIND("/",$A1315)+1,20),FIND("/",MID($A1315,FIND("/",$A1315)+1,20))-1))),"")))</f>
        <v/>
      </c>
      <c r="D1315">
        <f>IF(OR($A1315="",$B1315=""),"",IF(ISNUMBER($A1315),MOD($A1315,100),IFERROR(VALUE(TRIM(MID(MID($A1315,FIND("/",$A1315)+1,20),FIND("/",MID($A1315,FIND("/",$A1315)+1,20))+1,20))),"")))</f>
        <v/>
      </c>
      <c r="E1315">
        <f>IF($A1315="","",IF(OR($B1315="",$C1315="",$D1315="",$B1315&lt;1300,$B1315&gt;1500,$C1315&lt;1,$C1315&gt;12,$D1315&lt;1,$D1315&gt;31),"نامعتبر",RIGHT("0000"&amp;$B1315,4)&amp;"/"&amp;RIGHT("00"&amp;$C1315,2)&amp;"/"&amp;RIGHT("00"&amp;$D1315,2)))</f>
        <v/>
      </c>
      <c r="F1315">
        <f>IF(OR($E1315="",$E1315="نامعتبر"),"",IF(Sync!$Q1312="","0000",IF(AND(ISNUMBER(Sync!$Q1312),Sync!$Q1312&gt;=0,Sync!$Q1312&lt;1),RIGHT("00"&amp;HOUR(Sync!$Q1312),2)&amp;RIGHT("00"&amp;MINUTE(Sync!$Q1312),2),IFERROR(RIGHT("00"&amp;VALUE(LEFT(Sync!$Q1312,FIND(":",Sync!$Q1312)-1)),2)&amp;RIGHT("00"&amp;VALUE(MID(Sync!$Q1312,FIND(":",Sync!$Q1312)+1,2)),2),"0000"))))</f>
        <v/>
      </c>
      <c r="G1315">
        <f>IF(OR($E1315="",$E1315="نامعتبر"),"",IF(Sync!$S1312="","",Sync!$S1312))</f>
        <v/>
      </c>
      <c r="H1315">
        <f>IF(OR($E1315="",$E1315="نامعتبر"),"",IF(Sync!$R1312="","",Sync!$R1312))</f>
        <v/>
      </c>
      <c r="I1315">
        <f>IF(OR($E1315="",$E1315="نامعتبر"),"",IF(Sync!$T1312="","",Sync!$T1312))</f>
        <v/>
      </c>
      <c r="J1315">
        <f>IF(OR($E1315="",$E1315="نامعتبر"),"",IF(Sync!$U1312="","",Sync!$U1312))</f>
        <v/>
      </c>
      <c r="K1315">
        <f>IF(OR($E1315="",$E1315="نامعتبر"),"",IF(Sync!$V1312="","",IFERROR(INDEX(SubCodes,MATCH(Sync!$V1312,SubTitles,0)),Sync!$V1312)))</f>
        <v/>
      </c>
      <c r="L1315">
        <f>IF(OR($E1315="",$E1315="نامعتبر"),"",IF(Sync!$W1312="",0,Sync!$W1312))</f>
        <v/>
      </c>
      <c r="M1315">
        <f>IF(OR($E1315="",$E1315="نامعتبر"),"",IF(Sync!$X1312="",0,Sync!$X1312))</f>
        <v/>
      </c>
      <c r="N1315">
        <f>IF(OR($E1315="",$E1315="نامعتبر"),"",IF(AND($J1315="هزینه",$K1315&lt;&gt;""),1,0))</f>
        <v/>
      </c>
      <c r="O1315">
        <f>IF($N1315=0,"",LEFT($E1315,4)&amp;MID($E1315,6,2)&amp;RIGHT($E1315,2)&amp;$F1315&amp;"|"&amp;"1"&amp;RIGHT("00000"&amp;1307,5))</f>
        <v/>
      </c>
      <c r="P1315">
        <f>IF($O1315="","",COUNTIFS(ExpSub,$K1315,ExpKey,"&lt;"&amp;$O1315)+1)</f>
        <v/>
      </c>
      <c r="Q1315">
        <f>IF($P1315="","",$K1315&amp;"|"&amp;RIGHT("000000"&amp;$P1315,6))</f>
        <v/>
      </c>
    </row>
    <row r="1316">
      <c r="A1316">
        <f>IF(Sync!$P1313="","",Sync!$P1313)</f>
        <v/>
      </c>
      <c r="B1316">
        <f>IF($A1316="","",IF(ISNUMBER($A1316),IF(AND($A1316&gt;=10000101,$A1316&lt;=99991231),INT($A1316/10000),""),IFERROR(VALUE(TRIM(LEFT($A1316,FIND("/",$A1316)-1))),"")))</f>
        <v/>
      </c>
      <c r="C1316">
        <f>IF(OR($A1316="",$B1316=""),"",IF(ISNUMBER($A1316),INT(MOD($A1316,10000)/100),IFERROR(VALUE(TRIM(LEFT(MID($A1316,FIND("/",$A1316)+1,20),FIND("/",MID($A1316,FIND("/",$A1316)+1,20))-1))),"")))</f>
        <v/>
      </c>
      <c r="D1316">
        <f>IF(OR($A1316="",$B1316=""),"",IF(ISNUMBER($A1316),MOD($A1316,100),IFERROR(VALUE(TRIM(MID(MID($A1316,FIND("/",$A1316)+1,20),FIND("/",MID($A1316,FIND("/",$A1316)+1,20))+1,20))),"")))</f>
        <v/>
      </c>
      <c r="E1316">
        <f>IF($A1316="","",IF(OR($B1316="",$C1316="",$D1316="",$B1316&lt;1300,$B1316&gt;1500,$C1316&lt;1,$C1316&gt;12,$D1316&lt;1,$D1316&gt;31),"نامعتبر",RIGHT("0000"&amp;$B1316,4)&amp;"/"&amp;RIGHT("00"&amp;$C1316,2)&amp;"/"&amp;RIGHT("00"&amp;$D1316,2)))</f>
        <v/>
      </c>
      <c r="F1316">
        <f>IF(OR($E1316="",$E1316="نامعتبر"),"",IF(Sync!$Q1313="","0000",IF(AND(ISNUMBER(Sync!$Q1313),Sync!$Q1313&gt;=0,Sync!$Q1313&lt;1),RIGHT("00"&amp;HOUR(Sync!$Q1313),2)&amp;RIGHT("00"&amp;MINUTE(Sync!$Q1313),2),IFERROR(RIGHT("00"&amp;VALUE(LEFT(Sync!$Q1313,FIND(":",Sync!$Q1313)-1)),2)&amp;RIGHT("00"&amp;VALUE(MID(Sync!$Q1313,FIND(":",Sync!$Q1313)+1,2)),2),"0000"))))</f>
        <v/>
      </c>
      <c r="G1316">
        <f>IF(OR($E1316="",$E1316="نامعتبر"),"",IF(Sync!$S1313="","",Sync!$S1313))</f>
        <v/>
      </c>
      <c r="H1316">
        <f>IF(OR($E1316="",$E1316="نامعتبر"),"",IF(Sync!$R1313="","",Sync!$R1313))</f>
        <v/>
      </c>
      <c r="I1316">
        <f>IF(OR($E1316="",$E1316="نامعتبر"),"",IF(Sync!$T1313="","",Sync!$T1313))</f>
        <v/>
      </c>
      <c r="J1316">
        <f>IF(OR($E1316="",$E1316="نامعتبر"),"",IF(Sync!$U1313="","",Sync!$U1313))</f>
        <v/>
      </c>
      <c r="K1316">
        <f>IF(OR($E1316="",$E1316="نامعتبر"),"",IF(Sync!$V1313="","",IFERROR(INDEX(SubCodes,MATCH(Sync!$V1313,SubTitles,0)),Sync!$V1313)))</f>
        <v/>
      </c>
      <c r="L1316">
        <f>IF(OR($E1316="",$E1316="نامعتبر"),"",IF(Sync!$W1313="",0,Sync!$W1313))</f>
        <v/>
      </c>
      <c r="M1316">
        <f>IF(OR($E1316="",$E1316="نامعتبر"),"",IF(Sync!$X1313="",0,Sync!$X1313))</f>
        <v/>
      </c>
      <c r="N1316">
        <f>IF(OR($E1316="",$E1316="نامعتبر"),"",IF(AND($J1316="هزینه",$K1316&lt;&gt;""),1,0))</f>
        <v/>
      </c>
      <c r="O1316">
        <f>IF($N1316=0,"",LEFT($E1316,4)&amp;MID($E1316,6,2)&amp;RIGHT($E1316,2)&amp;$F1316&amp;"|"&amp;"1"&amp;RIGHT("00000"&amp;1308,5))</f>
        <v/>
      </c>
      <c r="P1316">
        <f>IF($O1316="","",COUNTIFS(ExpSub,$K1316,ExpKey,"&lt;"&amp;$O1316)+1)</f>
        <v/>
      </c>
      <c r="Q1316">
        <f>IF($P1316="","",$K1316&amp;"|"&amp;RIGHT("000000"&amp;$P1316,6))</f>
        <v/>
      </c>
    </row>
    <row r="1317">
      <c r="A1317">
        <f>IF(Sync!$P1314="","",Sync!$P1314)</f>
        <v/>
      </c>
      <c r="B1317">
        <f>IF($A1317="","",IF(ISNUMBER($A1317),IF(AND($A1317&gt;=10000101,$A1317&lt;=99991231),INT($A1317/10000),""),IFERROR(VALUE(TRIM(LEFT($A1317,FIND("/",$A1317)-1))),"")))</f>
        <v/>
      </c>
      <c r="C1317">
        <f>IF(OR($A1317="",$B1317=""),"",IF(ISNUMBER($A1317),INT(MOD($A1317,10000)/100),IFERROR(VALUE(TRIM(LEFT(MID($A1317,FIND("/",$A1317)+1,20),FIND("/",MID($A1317,FIND("/",$A1317)+1,20))-1))),"")))</f>
        <v/>
      </c>
      <c r="D1317">
        <f>IF(OR($A1317="",$B1317=""),"",IF(ISNUMBER($A1317),MOD($A1317,100),IFERROR(VALUE(TRIM(MID(MID($A1317,FIND("/",$A1317)+1,20),FIND("/",MID($A1317,FIND("/",$A1317)+1,20))+1,20))),"")))</f>
        <v/>
      </c>
      <c r="E1317">
        <f>IF($A1317="","",IF(OR($B1317="",$C1317="",$D1317="",$B1317&lt;1300,$B1317&gt;1500,$C1317&lt;1,$C1317&gt;12,$D1317&lt;1,$D1317&gt;31),"نامعتبر",RIGHT("0000"&amp;$B1317,4)&amp;"/"&amp;RIGHT("00"&amp;$C1317,2)&amp;"/"&amp;RIGHT("00"&amp;$D1317,2)))</f>
        <v/>
      </c>
      <c r="F1317">
        <f>IF(OR($E1317="",$E1317="نامعتبر"),"",IF(Sync!$Q1314="","0000",IF(AND(ISNUMBER(Sync!$Q1314),Sync!$Q1314&gt;=0,Sync!$Q1314&lt;1),RIGHT("00"&amp;HOUR(Sync!$Q1314),2)&amp;RIGHT("00"&amp;MINUTE(Sync!$Q1314),2),IFERROR(RIGHT("00"&amp;VALUE(LEFT(Sync!$Q1314,FIND(":",Sync!$Q1314)-1)),2)&amp;RIGHT("00"&amp;VALUE(MID(Sync!$Q1314,FIND(":",Sync!$Q1314)+1,2)),2),"0000"))))</f>
        <v/>
      </c>
      <c r="G1317">
        <f>IF(OR($E1317="",$E1317="نامعتبر"),"",IF(Sync!$S1314="","",Sync!$S1314))</f>
        <v/>
      </c>
      <c r="H1317">
        <f>IF(OR($E1317="",$E1317="نامعتبر"),"",IF(Sync!$R1314="","",Sync!$R1314))</f>
        <v/>
      </c>
      <c r="I1317">
        <f>IF(OR($E1317="",$E1317="نامعتبر"),"",IF(Sync!$T1314="","",Sync!$T1314))</f>
        <v/>
      </c>
      <c r="J1317">
        <f>IF(OR($E1317="",$E1317="نامعتبر"),"",IF(Sync!$U1314="","",Sync!$U1314))</f>
        <v/>
      </c>
      <c r="K1317">
        <f>IF(OR($E1317="",$E1317="نامعتبر"),"",IF(Sync!$V1314="","",IFERROR(INDEX(SubCodes,MATCH(Sync!$V1314,SubTitles,0)),Sync!$V1314)))</f>
        <v/>
      </c>
      <c r="L1317">
        <f>IF(OR($E1317="",$E1317="نامعتبر"),"",IF(Sync!$W1314="",0,Sync!$W1314))</f>
        <v/>
      </c>
      <c r="M1317">
        <f>IF(OR($E1317="",$E1317="نامعتبر"),"",IF(Sync!$X1314="",0,Sync!$X1314))</f>
        <v/>
      </c>
      <c r="N1317">
        <f>IF(OR($E1317="",$E1317="نامعتبر"),"",IF(AND($J1317="هزینه",$K1317&lt;&gt;""),1,0))</f>
        <v/>
      </c>
      <c r="O1317">
        <f>IF($N1317=0,"",LEFT($E1317,4)&amp;MID($E1317,6,2)&amp;RIGHT($E1317,2)&amp;$F1317&amp;"|"&amp;"1"&amp;RIGHT("00000"&amp;1309,5))</f>
        <v/>
      </c>
      <c r="P1317">
        <f>IF($O1317="","",COUNTIFS(ExpSub,$K1317,ExpKey,"&lt;"&amp;$O1317)+1)</f>
        <v/>
      </c>
      <c r="Q1317">
        <f>IF($P1317="","",$K1317&amp;"|"&amp;RIGHT("000000"&amp;$P1317,6))</f>
        <v/>
      </c>
    </row>
    <row r="1318">
      <c r="A1318">
        <f>IF(Sync!$P1315="","",Sync!$P1315)</f>
        <v/>
      </c>
      <c r="B1318">
        <f>IF($A1318="","",IF(ISNUMBER($A1318),IF(AND($A1318&gt;=10000101,$A1318&lt;=99991231),INT($A1318/10000),""),IFERROR(VALUE(TRIM(LEFT($A1318,FIND("/",$A1318)-1))),"")))</f>
        <v/>
      </c>
      <c r="C1318">
        <f>IF(OR($A1318="",$B1318=""),"",IF(ISNUMBER($A1318),INT(MOD($A1318,10000)/100),IFERROR(VALUE(TRIM(LEFT(MID($A1318,FIND("/",$A1318)+1,20),FIND("/",MID($A1318,FIND("/",$A1318)+1,20))-1))),"")))</f>
        <v/>
      </c>
      <c r="D1318">
        <f>IF(OR($A1318="",$B1318=""),"",IF(ISNUMBER($A1318),MOD($A1318,100),IFERROR(VALUE(TRIM(MID(MID($A1318,FIND("/",$A1318)+1,20),FIND("/",MID($A1318,FIND("/",$A1318)+1,20))+1,20))),"")))</f>
        <v/>
      </c>
      <c r="E1318">
        <f>IF($A1318="","",IF(OR($B1318="",$C1318="",$D1318="",$B1318&lt;1300,$B1318&gt;1500,$C1318&lt;1,$C1318&gt;12,$D1318&lt;1,$D1318&gt;31),"نامعتبر",RIGHT("0000"&amp;$B1318,4)&amp;"/"&amp;RIGHT("00"&amp;$C1318,2)&amp;"/"&amp;RIGHT("00"&amp;$D1318,2)))</f>
        <v/>
      </c>
      <c r="F1318">
        <f>IF(OR($E1318="",$E1318="نامعتبر"),"",IF(Sync!$Q1315="","0000",IF(AND(ISNUMBER(Sync!$Q1315),Sync!$Q1315&gt;=0,Sync!$Q1315&lt;1),RIGHT("00"&amp;HOUR(Sync!$Q1315),2)&amp;RIGHT("00"&amp;MINUTE(Sync!$Q1315),2),IFERROR(RIGHT("00"&amp;VALUE(LEFT(Sync!$Q1315,FIND(":",Sync!$Q1315)-1)),2)&amp;RIGHT("00"&amp;VALUE(MID(Sync!$Q1315,FIND(":",Sync!$Q1315)+1,2)),2),"0000"))))</f>
        <v/>
      </c>
      <c r="G1318">
        <f>IF(OR($E1318="",$E1318="نامعتبر"),"",IF(Sync!$S1315="","",Sync!$S1315))</f>
        <v/>
      </c>
      <c r="H1318">
        <f>IF(OR($E1318="",$E1318="نامعتبر"),"",IF(Sync!$R1315="","",Sync!$R1315))</f>
        <v/>
      </c>
      <c r="I1318">
        <f>IF(OR($E1318="",$E1318="نامعتبر"),"",IF(Sync!$T1315="","",Sync!$T1315))</f>
        <v/>
      </c>
      <c r="J1318">
        <f>IF(OR($E1318="",$E1318="نامعتبر"),"",IF(Sync!$U1315="","",Sync!$U1315))</f>
        <v/>
      </c>
      <c r="K1318">
        <f>IF(OR($E1318="",$E1318="نامعتبر"),"",IF(Sync!$V1315="","",IFERROR(INDEX(SubCodes,MATCH(Sync!$V1315,SubTitles,0)),Sync!$V1315)))</f>
        <v/>
      </c>
      <c r="L1318">
        <f>IF(OR($E1318="",$E1318="نامعتبر"),"",IF(Sync!$W1315="",0,Sync!$W1315))</f>
        <v/>
      </c>
      <c r="M1318">
        <f>IF(OR($E1318="",$E1318="نامعتبر"),"",IF(Sync!$X1315="",0,Sync!$X1315))</f>
        <v/>
      </c>
      <c r="N1318">
        <f>IF(OR($E1318="",$E1318="نامعتبر"),"",IF(AND($J1318="هزینه",$K1318&lt;&gt;""),1,0))</f>
        <v/>
      </c>
      <c r="O1318">
        <f>IF($N1318=0,"",LEFT($E1318,4)&amp;MID($E1318,6,2)&amp;RIGHT($E1318,2)&amp;$F1318&amp;"|"&amp;"1"&amp;RIGHT("00000"&amp;1310,5))</f>
        <v/>
      </c>
      <c r="P1318">
        <f>IF($O1318="","",COUNTIFS(ExpSub,$K1318,ExpKey,"&lt;"&amp;$O1318)+1)</f>
        <v/>
      </c>
      <c r="Q1318">
        <f>IF($P1318="","",$K1318&amp;"|"&amp;RIGHT("000000"&amp;$P1318,6))</f>
        <v/>
      </c>
    </row>
    <row r="1319">
      <c r="A1319">
        <f>IF(Sync!$P1316="","",Sync!$P1316)</f>
        <v/>
      </c>
      <c r="B1319">
        <f>IF($A1319="","",IF(ISNUMBER($A1319),IF(AND($A1319&gt;=10000101,$A1319&lt;=99991231),INT($A1319/10000),""),IFERROR(VALUE(TRIM(LEFT($A1319,FIND("/",$A1319)-1))),"")))</f>
        <v/>
      </c>
      <c r="C1319">
        <f>IF(OR($A1319="",$B1319=""),"",IF(ISNUMBER($A1319),INT(MOD($A1319,10000)/100),IFERROR(VALUE(TRIM(LEFT(MID($A1319,FIND("/",$A1319)+1,20),FIND("/",MID($A1319,FIND("/",$A1319)+1,20))-1))),"")))</f>
        <v/>
      </c>
      <c r="D1319">
        <f>IF(OR($A1319="",$B1319=""),"",IF(ISNUMBER($A1319),MOD($A1319,100),IFERROR(VALUE(TRIM(MID(MID($A1319,FIND("/",$A1319)+1,20),FIND("/",MID($A1319,FIND("/",$A1319)+1,20))+1,20))),"")))</f>
        <v/>
      </c>
      <c r="E1319">
        <f>IF($A1319="","",IF(OR($B1319="",$C1319="",$D1319="",$B1319&lt;1300,$B1319&gt;1500,$C1319&lt;1,$C1319&gt;12,$D1319&lt;1,$D1319&gt;31),"نامعتبر",RIGHT("0000"&amp;$B1319,4)&amp;"/"&amp;RIGHT("00"&amp;$C1319,2)&amp;"/"&amp;RIGHT("00"&amp;$D1319,2)))</f>
        <v/>
      </c>
      <c r="F1319">
        <f>IF(OR($E1319="",$E1319="نامعتبر"),"",IF(Sync!$Q1316="","0000",IF(AND(ISNUMBER(Sync!$Q1316),Sync!$Q1316&gt;=0,Sync!$Q1316&lt;1),RIGHT("00"&amp;HOUR(Sync!$Q1316),2)&amp;RIGHT("00"&amp;MINUTE(Sync!$Q1316),2),IFERROR(RIGHT("00"&amp;VALUE(LEFT(Sync!$Q1316,FIND(":",Sync!$Q1316)-1)),2)&amp;RIGHT("00"&amp;VALUE(MID(Sync!$Q1316,FIND(":",Sync!$Q1316)+1,2)),2),"0000"))))</f>
        <v/>
      </c>
      <c r="G1319">
        <f>IF(OR($E1319="",$E1319="نامعتبر"),"",IF(Sync!$S1316="","",Sync!$S1316))</f>
        <v/>
      </c>
      <c r="H1319">
        <f>IF(OR($E1319="",$E1319="نامعتبر"),"",IF(Sync!$R1316="","",Sync!$R1316))</f>
        <v/>
      </c>
      <c r="I1319">
        <f>IF(OR($E1319="",$E1319="نامعتبر"),"",IF(Sync!$T1316="","",Sync!$T1316))</f>
        <v/>
      </c>
      <c r="J1319">
        <f>IF(OR($E1319="",$E1319="نامعتبر"),"",IF(Sync!$U1316="","",Sync!$U1316))</f>
        <v/>
      </c>
      <c r="K1319">
        <f>IF(OR($E1319="",$E1319="نامعتبر"),"",IF(Sync!$V1316="","",IFERROR(INDEX(SubCodes,MATCH(Sync!$V1316,SubTitles,0)),Sync!$V1316)))</f>
        <v/>
      </c>
      <c r="L1319">
        <f>IF(OR($E1319="",$E1319="نامعتبر"),"",IF(Sync!$W1316="",0,Sync!$W1316))</f>
        <v/>
      </c>
      <c r="M1319">
        <f>IF(OR($E1319="",$E1319="نامعتبر"),"",IF(Sync!$X1316="",0,Sync!$X1316))</f>
        <v/>
      </c>
      <c r="N1319">
        <f>IF(OR($E1319="",$E1319="نامعتبر"),"",IF(AND($J1319="هزینه",$K1319&lt;&gt;""),1,0))</f>
        <v/>
      </c>
      <c r="O1319">
        <f>IF($N1319=0,"",LEFT($E1319,4)&amp;MID($E1319,6,2)&amp;RIGHT($E1319,2)&amp;$F1319&amp;"|"&amp;"1"&amp;RIGHT("00000"&amp;1311,5))</f>
        <v/>
      </c>
      <c r="P1319">
        <f>IF($O1319="","",COUNTIFS(ExpSub,$K1319,ExpKey,"&lt;"&amp;$O1319)+1)</f>
        <v/>
      </c>
      <c r="Q1319">
        <f>IF($P1319="","",$K1319&amp;"|"&amp;RIGHT("000000"&amp;$P1319,6))</f>
        <v/>
      </c>
    </row>
    <row r="1320">
      <c r="A1320">
        <f>IF(Sync!$P1317="","",Sync!$P1317)</f>
        <v/>
      </c>
      <c r="B1320">
        <f>IF($A1320="","",IF(ISNUMBER($A1320),IF(AND($A1320&gt;=10000101,$A1320&lt;=99991231),INT($A1320/10000),""),IFERROR(VALUE(TRIM(LEFT($A1320,FIND("/",$A1320)-1))),"")))</f>
        <v/>
      </c>
      <c r="C1320">
        <f>IF(OR($A1320="",$B1320=""),"",IF(ISNUMBER($A1320),INT(MOD($A1320,10000)/100),IFERROR(VALUE(TRIM(LEFT(MID($A1320,FIND("/",$A1320)+1,20),FIND("/",MID($A1320,FIND("/",$A1320)+1,20))-1))),"")))</f>
        <v/>
      </c>
      <c r="D1320">
        <f>IF(OR($A1320="",$B1320=""),"",IF(ISNUMBER($A1320),MOD($A1320,100),IFERROR(VALUE(TRIM(MID(MID($A1320,FIND("/",$A1320)+1,20),FIND("/",MID($A1320,FIND("/",$A1320)+1,20))+1,20))),"")))</f>
        <v/>
      </c>
      <c r="E1320">
        <f>IF($A1320="","",IF(OR($B1320="",$C1320="",$D1320="",$B1320&lt;1300,$B1320&gt;1500,$C1320&lt;1,$C1320&gt;12,$D1320&lt;1,$D1320&gt;31),"نامعتبر",RIGHT("0000"&amp;$B1320,4)&amp;"/"&amp;RIGHT("00"&amp;$C1320,2)&amp;"/"&amp;RIGHT("00"&amp;$D1320,2)))</f>
        <v/>
      </c>
      <c r="F1320">
        <f>IF(OR($E1320="",$E1320="نامعتبر"),"",IF(Sync!$Q1317="","0000",IF(AND(ISNUMBER(Sync!$Q1317),Sync!$Q1317&gt;=0,Sync!$Q1317&lt;1),RIGHT("00"&amp;HOUR(Sync!$Q1317),2)&amp;RIGHT("00"&amp;MINUTE(Sync!$Q1317),2),IFERROR(RIGHT("00"&amp;VALUE(LEFT(Sync!$Q1317,FIND(":",Sync!$Q1317)-1)),2)&amp;RIGHT("00"&amp;VALUE(MID(Sync!$Q1317,FIND(":",Sync!$Q1317)+1,2)),2),"0000"))))</f>
        <v/>
      </c>
      <c r="G1320">
        <f>IF(OR($E1320="",$E1320="نامعتبر"),"",IF(Sync!$S1317="","",Sync!$S1317))</f>
        <v/>
      </c>
      <c r="H1320">
        <f>IF(OR($E1320="",$E1320="نامعتبر"),"",IF(Sync!$R1317="","",Sync!$R1317))</f>
        <v/>
      </c>
      <c r="I1320">
        <f>IF(OR($E1320="",$E1320="نامعتبر"),"",IF(Sync!$T1317="","",Sync!$T1317))</f>
        <v/>
      </c>
      <c r="J1320">
        <f>IF(OR($E1320="",$E1320="نامعتبر"),"",IF(Sync!$U1317="","",Sync!$U1317))</f>
        <v/>
      </c>
      <c r="K1320">
        <f>IF(OR($E1320="",$E1320="نامعتبر"),"",IF(Sync!$V1317="","",IFERROR(INDEX(SubCodes,MATCH(Sync!$V1317,SubTitles,0)),Sync!$V1317)))</f>
        <v/>
      </c>
      <c r="L1320">
        <f>IF(OR($E1320="",$E1320="نامعتبر"),"",IF(Sync!$W1317="",0,Sync!$W1317))</f>
        <v/>
      </c>
      <c r="M1320">
        <f>IF(OR($E1320="",$E1320="نامعتبر"),"",IF(Sync!$X1317="",0,Sync!$X1317))</f>
        <v/>
      </c>
      <c r="N1320">
        <f>IF(OR($E1320="",$E1320="نامعتبر"),"",IF(AND($J1320="هزینه",$K1320&lt;&gt;""),1,0))</f>
        <v/>
      </c>
      <c r="O1320">
        <f>IF($N1320=0,"",LEFT($E1320,4)&amp;MID($E1320,6,2)&amp;RIGHT($E1320,2)&amp;$F1320&amp;"|"&amp;"1"&amp;RIGHT("00000"&amp;1312,5))</f>
        <v/>
      </c>
      <c r="P1320">
        <f>IF($O1320="","",COUNTIFS(ExpSub,$K1320,ExpKey,"&lt;"&amp;$O1320)+1)</f>
        <v/>
      </c>
      <c r="Q1320">
        <f>IF($P1320="","",$K1320&amp;"|"&amp;RIGHT("000000"&amp;$P1320,6))</f>
        <v/>
      </c>
    </row>
    <row r="1321">
      <c r="A1321">
        <f>IF(Sync!$P1318="","",Sync!$P1318)</f>
        <v/>
      </c>
      <c r="B1321">
        <f>IF($A1321="","",IF(ISNUMBER($A1321),IF(AND($A1321&gt;=10000101,$A1321&lt;=99991231),INT($A1321/10000),""),IFERROR(VALUE(TRIM(LEFT($A1321,FIND("/",$A1321)-1))),"")))</f>
        <v/>
      </c>
      <c r="C1321">
        <f>IF(OR($A1321="",$B1321=""),"",IF(ISNUMBER($A1321),INT(MOD($A1321,10000)/100),IFERROR(VALUE(TRIM(LEFT(MID($A1321,FIND("/",$A1321)+1,20),FIND("/",MID($A1321,FIND("/",$A1321)+1,20))-1))),"")))</f>
        <v/>
      </c>
      <c r="D1321">
        <f>IF(OR($A1321="",$B1321=""),"",IF(ISNUMBER($A1321),MOD($A1321,100),IFERROR(VALUE(TRIM(MID(MID($A1321,FIND("/",$A1321)+1,20),FIND("/",MID($A1321,FIND("/",$A1321)+1,20))+1,20))),"")))</f>
        <v/>
      </c>
      <c r="E1321">
        <f>IF($A1321="","",IF(OR($B1321="",$C1321="",$D1321="",$B1321&lt;1300,$B1321&gt;1500,$C1321&lt;1,$C1321&gt;12,$D1321&lt;1,$D1321&gt;31),"نامعتبر",RIGHT("0000"&amp;$B1321,4)&amp;"/"&amp;RIGHT("00"&amp;$C1321,2)&amp;"/"&amp;RIGHT("00"&amp;$D1321,2)))</f>
        <v/>
      </c>
      <c r="F1321">
        <f>IF(OR($E1321="",$E1321="نامعتبر"),"",IF(Sync!$Q1318="","0000",IF(AND(ISNUMBER(Sync!$Q1318),Sync!$Q1318&gt;=0,Sync!$Q1318&lt;1),RIGHT("00"&amp;HOUR(Sync!$Q1318),2)&amp;RIGHT("00"&amp;MINUTE(Sync!$Q1318),2),IFERROR(RIGHT("00"&amp;VALUE(LEFT(Sync!$Q1318,FIND(":",Sync!$Q1318)-1)),2)&amp;RIGHT("00"&amp;VALUE(MID(Sync!$Q1318,FIND(":",Sync!$Q1318)+1,2)),2),"0000"))))</f>
        <v/>
      </c>
      <c r="G1321">
        <f>IF(OR($E1321="",$E1321="نامعتبر"),"",IF(Sync!$S1318="","",Sync!$S1318))</f>
        <v/>
      </c>
      <c r="H1321">
        <f>IF(OR($E1321="",$E1321="نامعتبر"),"",IF(Sync!$R1318="","",Sync!$R1318))</f>
        <v/>
      </c>
      <c r="I1321">
        <f>IF(OR($E1321="",$E1321="نامعتبر"),"",IF(Sync!$T1318="","",Sync!$T1318))</f>
        <v/>
      </c>
      <c r="J1321">
        <f>IF(OR($E1321="",$E1321="نامعتبر"),"",IF(Sync!$U1318="","",Sync!$U1318))</f>
        <v/>
      </c>
      <c r="K1321">
        <f>IF(OR($E1321="",$E1321="نامعتبر"),"",IF(Sync!$V1318="","",IFERROR(INDEX(SubCodes,MATCH(Sync!$V1318,SubTitles,0)),Sync!$V1318)))</f>
        <v/>
      </c>
      <c r="L1321">
        <f>IF(OR($E1321="",$E1321="نامعتبر"),"",IF(Sync!$W1318="",0,Sync!$W1318))</f>
        <v/>
      </c>
      <c r="M1321">
        <f>IF(OR($E1321="",$E1321="نامعتبر"),"",IF(Sync!$X1318="",0,Sync!$X1318))</f>
        <v/>
      </c>
      <c r="N1321">
        <f>IF(OR($E1321="",$E1321="نامعتبر"),"",IF(AND($J1321="هزینه",$K1321&lt;&gt;""),1,0))</f>
        <v/>
      </c>
      <c r="O1321">
        <f>IF($N1321=0,"",LEFT($E1321,4)&amp;MID($E1321,6,2)&amp;RIGHT($E1321,2)&amp;$F1321&amp;"|"&amp;"1"&amp;RIGHT("00000"&amp;1313,5))</f>
        <v/>
      </c>
      <c r="P1321">
        <f>IF($O1321="","",COUNTIFS(ExpSub,$K1321,ExpKey,"&lt;"&amp;$O1321)+1)</f>
        <v/>
      </c>
      <c r="Q1321">
        <f>IF($P1321="","",$K1321&amp;"|"&amp;RIGHT("000000"&amp;$P1321,6))</f>
        <v/>
      </c>
    </row>
    <row r="1322">
      <c r="A1322">
        <f>IF(Sync!$P1319="","",Sync!$P1319)</f>
        <v/>
      </c>
      <c r="B1322">
        <f>IF($A1322="","",IF(ISNUMBER($A1322),IF(AND($A1322&gt;=10000101,$A1322&lt;=99991231),INT($A1322/10000),""),IFERROR(VALUE(TRIM(LEFT($A1322,FIND("/",$A1322)-1))),"")))</f>
        <v/>
      </c>
      <c r="C1322">
        <f>IF(OR($A1322="",$B1322=""),"",IF(ISNUMBER($A1322),INT(MOD($A1322,10000)/100),IFERROR(VALUE(TRIM(LEFT(MID($A1322,FIND("/",$A1322)+1,20),FIND("/",MID($A1322,FIND("/",$A1322)+1,20))-1))),"")))</f>
        <v/>
      </c>
      <c r="D1322">
        <f>IF(OR($A1322="",$B1322=""),"",IF(ISNUMBER($A1322),MOD($A1322,100),IFERROR(VALUE(TRIM(MID(MID($A1322,FIND("/",$A1322)+1,20),FIND("/",MID($A1322,FIND("/",$A1322)+1,20))+1,20))),"")))</f>
        <v/>
      </c>
      <c r="E1322">
        <f>IF($A1322="","",IF(OR($B1322="",$C1322="",$D1322="",$B1322&lt;1300,$B1322&gt;1500,$C1322&lt;1,$C1322&gt;12,$D1322&lt;1,$D1322&gt;31),"نامعتبر",RIGHT("0000"&amp;$B1322,4)&amp;"/"&amp;RIGHT("00"&amp;$C1322,2)&amp;"/"&amp;RIGHT("00"&amp;$D1322,2)))</f>
        <v/>
      </c>
      <c r="F1322">
        <f>IF(OR($E1322="",$E1322="نامعتبر"),"",IF(Sync!$Q1319="","0000",IF(AND(ISNUMBER(Sync!$Q1319),Sync!$Q1319&gt;=0,Sync!$Q1319&lt;1),RIGHT("00"&amp;HOUR(Sync!$Q1319),2)&amp;RIGHT("00"&amp;MINUTE(Sync!$Q1319),2),IFERROR(RIGHT("00"&amp;VALUE(LEFT(Sync!$Q1319,FIND(":",Sync!$Q1319)-1)),2)&amp;RIGHT("00"&amp;VALUE(MID(Sync!$Q1319,FIND(":",Sync!$Q1319)+1,2)),2),"0000"))))</f>
        <v/>
      </c>
      <c r="G1322">
        <f>IF(OR($E1322="",$E1322="نامعتبر"),"",IF(Sync!$S1319="","",Sync!$S1319))</f>
        <v/>
      </c>
      <c r="H1322">
        <f>IF(OR($E1322="",$E1322="نامعتبر"),"",IF(Sync!$R1319="","",Sync!$R1319))</f>
        <v/>
      </c>
      <c r="I1322">
        <f>IF(OR($E1322="",$E1322="نامعتبر"),"",IF(Sync!$T1319="","",Sync!$T1319))</f>
        <v/>
      </c>
      <c r="J1322">
        <f>IF(OR($E1322="",$E1322="نامعتبر"),"",IF(Sync!$U1319="","",Sync!$U1319))</f>
        <v/>
      </c>
      <c r="K1322">
        <f>IF(OR($E1322="",$E1322="نامعتبر"),"",IF(Sync!$V1319="","",IFERROR(INDEX(SubCodes,MATCH(Sync!$V1319,SubTitles,0)),Sync!$V1319)))</f>
        <v/>
      </c>
      <c r="L1322">
        <f>IF(OR($E1322="",$E1322="نامعتبر"),"",IF(Sync!$W1319="",0,Sync!$W1319))</f>
        <v/>
      </c>
      <c r="M1322">
        <f>IF(OR($E1322="",$E1322="نامعتبر"),"",IF(Sync!$X1319="",0,Sync!$X1319))</f>
        <v/>
      </c>
      <c r="N1322">
        <f>IF(OR($E1322="",$E1322="نامعتبر"),"",IF(AND($J1322="هزینه",$K1322&lt;&gt;""),1,0))</f>
        <v/>
      </c>
      <c r="O1322">
        <f>IF($N1322=0,"",LEFT($E1322,4)&amp;MID($E1322,6,2)&amp;RIGHT($E1322,2)&amp;$F1322&amp;"|"&amp;"1"&amp;RIGHT("00000"&amp;1314,5))</f>
        <v/>
      </c>
      <c r="P1322">
        <f>IF($O1322="","",COUNTIFS(ExpSub,$K1322,ExpKey,"&lt;"&amp;$O1322)+1)</f>
        <v/>
      </c>
      <c r="Q1322">
        <f>IF($P1322="","",$K1322&amp;"|"&amp;RIGHT("000000"&amp;$P1322,6))</f>
        <v/>
      </c>
    </row>
    <row r="1323">
      <c r="A1323">
        <f>IF(Sync!$P1320="","",Sync!$P1320)</f>
        <v/>
      </c>
      <c r="B1323">
        <f>IF($A1323="","",IF(ISNUMBER($A1323),IF(AND($A1323&gt;=10000101,$A1323&lt;=99991231),INT($A1323/10000),""),IFERROR(VALUE(TRIM(LEFT($A1323,FIND("/",$A1323)-1))),"")))</f>
        <v/>
      </c>
      <c r="C1323">
        <f>IF(OR($A1323="",$B1323=""),"",IF(ISNUMBER($A1323),INT(MOD($A1323,10000)/100),IFERROR(VALUE(TRIM(LEFT(MID($A1323,FIND("/",$A1323)+1,20),FIND("/",MID($A1323,FIND("/",$A1323)+1,20))-1))),"")))</f>
        <v/>
      </c>
      <c r="D1323">
        <f>IF(OR($A1323="",$B1323=""),"",IF(ISNUMBER($A1323),MOD($A1323,100),IFERROR(VALUE(TRIM(MID(MID($A1323,FIND("/",$A1323)+1,20),FIND("/",MID($A1323,FIND("/",$A1323)+1,20))+1,20))),"")))</f>
        <v/>
      </c>
      <c r="E1323">
        <f>IF($A1323="","",IF(OR($B1323="",$C1323="",$D1323="",$B1323&lt;1300,$B1323&gt;1500,$C1323&lt;1,$C1323&gt;12,$D1323&lt;1,$D1323&gt;31),"نامعتبر",RIGHT("0000"&amp;$B1323,4)&amp;"/"&amp;RIGHT("00"&amp;$C1323,2)&amp;"/"&amp;RIGHT("00"&amp;$D1323,2)))</f>
        <v/>
      </c>
      <c r="F1323">
        <f>IF(OR($E1323="",$E1323="نامعتبر"),"",IF(Sync!$Q1320="","0000",IF(AND(ISNUMBER(Sync!$Q1320),Sync!$Q1320&gt;=0,Sync!$Q1320&lt;1),RIGHT("00"&amp;HOUR(Sync!$Q1320),2)&amp;RIGHT("00"&amp;MINUTE(Sync!$Q1320),2),IFERROR(RIGHT("00"&amp;VALUE(LEFT(Sync!$Q1320,FIND(":",Sync!$Q1320)-1)),2)&amp;RIGHT("00"&amp;VALUE(MID(Sync!$Q1320,FIND(":",Sync!$Q1320)+1,2)),2),"0000"))))</f>
        <v/>
      </c>
      <c r="G1323">
        <f>IF(OR($E1323="",$E1323="نامعتبر"),"",IF(Sync!$S1320="","",Sync!$S1320))</f>
        <v/>
      </c>
      <c r="H1323">
        <f>IF(OR($E1323="",$E1323="نامعتبر"),"",IF(Sync!$R1320="","",Sync!$R1320))</f>
        <v/>
      </c>
      <c r="I1323">
        <f>IF(OR($E1323="",$E1323="نامعتبر"),"",IF(Sync!$T1320="","",Sync!$T1320))</f>
        <v/>
      </c>
      <c r="J1323">
        <f>IF(OR($E1323="",$E1323="نامعتبر"),"",IF(Sync!$U1320="","",Sync!$U1320))</f>
        <v/>
      </c>
      <c r="K1323">
        <f>IF(OR($E1323="",$E1323="نامعتبر"),"",IF(Sync!$V1320="","",IFERROR(INDEX(SubCodes,MATCH(Sync!$V1320,SubTitles,0)),Sync!$V1320)))</f>
        <v/>
      </c>
      <c r="L1323">
        <f>IF(OR($E1323="",$E1323="نامعتبر"),"",IF(Sync!$W1320="",0,Sync!$W1320))</f>
        <v/>
      </c>
      <c r="M1323">
        <f>IF(OR($E1323="",$E1323="نامعتبر"),"",IF(Sync!$X1320="",0,Sync!$X1320))</f>
        <v/>
      </c>
      <c r="N1323">
        <f>IF(OR($E1323="",$E1323="نامعتبر"),"",IF(AND($J1323="هزینه",$K1323&lt;&gt;""),1,0))</f>
        <v/>
      </c>
      <c r="O1323">
        <f>IF($N1323=0,"",LEFT($E1323,4)&amp;MID($E1323,6,2)&amp;RIGHT($E1323,2)&amp;$F1323&amp;"|"&amp;"1"&amp;RIGHT("00000"&amp;1315,5))</f>
        <v/>
      </c>
      <c r="P1323">
        <f>IF($O1323="","",COUNTIFS(ExpSub,$K1323,ExpKey,"&lt;"&amp;$O1323)+1)</f>
        <v/>
      </c>
      <c r="Q1323">
        <f>IF($P1323="","",$K1323&amp;"|"&amp;RIGHT("000000"&amp;$P1323,6))</f>
        <v/>
      </c>
    </row>
    <row r="1324">
      <c r="A1324">
        <f>IF(Sync!$P1321="","",Sync!$P1321)</f>
        <v/>
      </c>
      <c r="B1324">
        <f>IF($A1324="","",IF(ISNUMBER($A1324),IF(AND($A1324&gt;=10000101,$A1324&lt;=99991231),INT($A1324/10000),""),IFERROR(VALUE(TRIM(LEFT($A1324,FIND("/",$A1324)-1))),"")))</f>
        <v/>
      </c>
      <c r="C1324">
        <f>IF(OR($A1324="",$B1324=""),"",IF(ISNUMBER($A1324),INT(MOD($A1324,10000)/100),IFERROR(VALUE(TRIM(LEFT(MID($A1324,FIND("/",$A1324)+1,20),FIND("/",MID($A1324,FIND("/",$A1324)+1,20))-1))),"")))</f>
        <v/>
      </c>
      <c r="D1324">
        <f>IF(OR($A1324="",$B1324=""),"",IF(ISNUMBER($A1324),MOD($A1324,100),IFERROR(VALUE(TRIM(MID(MID($A1324,FIND("/",$A1324)+1,20),FIND("/",MID($A1324,FIND("/",$A1324)+1,20))+1,20))),"")))</f>
        <v/>
      </c>
      <c r="E1324">
        <f>IF($A1324="","",IF(OR($B1324="",$C1324="",$D1324="",$B1324&lt;1300,$B1324&gt;1500,$C1324&lt;1,$C1324&gt;12,$D1324&lt;1,$D1324&gt;31),"نامعتبر",RIGHT("0000"&amp;$B1324,4)&amp;"/"&amp;RIGHT("00"&amp;$C1324,2)&amp;"/"&amp;RIGHT("00"&amp;$D1324,2)))</f>
        <v/>
      </c>
      <c r="F1324">
        <f>IF(OR($E1324="",$E1324="نامعتبر"),"",IF(Sync!$Q1321="","0000",IF(AND(ISNUMBER(Sync!$Q1321),Sync!$Q1321&gt;=0,Sync!$Q1321&lt;1),RIGHT("00"&amp;HOUR(Sync!$Q1321),2)&amp;RIGHT("00"&amp;MINUTE(Sync!$Q1321),2),IFERROR(RIGHT("00"&amp;VALUE(LEFT(Sync!$Q1321,FIND(":",Sync!$Q1321)-1)),2)&amp;RIGHT("00"&amp;VALUE(MID(Sync!$Q1321,FIND(":",Sync!$Q1321)+1,2)),2),"0000"))))</f>
        <v/>
      </c>
      <c r="G1324">
        <f>IF(OR($E1324="",$E1324="نامعتبر"),"",IF(Sync!$S1321="","",Sync!$S1321))</f>
        <v/>
      </c>
      <c r="H1324">
        <f>IF(OR($E1324="",$E1324="نامعتبر"),"",IF(Sync!$R1321="","",Sync!$R1321))</f>
        <v/>
      </c>
      <c r="I1324">
        <f>IF(OR($E1324="",$E1324="نامعتبر"),"",IF(Sync!$T1321="","",Sync!$T1321))</f>
        <v/>
      </c>
      <c r="J1324">
        <f>IF(OR($E1324="",$E1324="نامعتبر"),"",IF(Sync!$U1321="","",Sync!$U1321))</f>
        <v/>
      </c>
      <c r="K1324">
        <f>IF(OR($E1324="",$E1324="نامعتبر"),"",IF(Sync!$V1321="","",IFERROR(INDEX(SubCodes,MATCH(Sync!$V1321,SubTitles,0)),Sync!$V1321)))</f>
        <v/>
      </c>
      <c r="L1324">
        <f>IF(OR($E1324="",$E1324="نامعتبر"),"",IF(Sync!$W1321="",0,Sync!$W1321))</f>
        <v/>
      </c>
      <c r="M1324">
        <f>IF(OR($E1324="",$E1324="نامعتبر"),"",IF(Sync!$X1321="",0,Sync!$X1321))</f>
        <v/>
      </c>
      <c r="N1324">
        <f>IF(OR($E1324="",$E1324="نامعتبر"),"",IF(AND($J1324="هزینه",$K1324&lt;&gt;""),1,0))</f>
        <v/>
      </c>
      <c r="O1324">
        <f>IF($N1324=0,"",LEFT($E1324,4)&amp;MID($E1324,6,2)&amp;RIGHT($E1324,2)&amp;$F1324&amp;"|"&amp;"1"&amp;RIGHT("00000"&amp;1316,5))</f>
        <v/>
      </c>
      <c r="P1324">
        <f>IF($O1324="","",COUNTIFS(ExpSub,$K1324,ExpKey,"&lt;"&amp;$O1324)+1)</f>
        <v/>
      </c>
      <c r="Q1324">
        <f>IF($P1324="","",$K1324&amp;"|"&amp;RIGHT("000000"&amp;$P1324,6))</f>
        <v/>
      </c>
    </row>
    <row r="1325">
      <c r="A1325">
        <f>IF(Sync!$P1322="","",Sync!$P1322)</f>
        <v/>
      </c>
      <c r="B1325">
        <f>IF($A1325="","",IF(ISNUMBER($A1325),IF(AND($A1325&gt;=10000101,$A1325&lt;=99991231),INT($A1325/10000),""),IFERROR(VALUE(TRIM(LEFT($A1325,FIND("/",$A1325)-1))),"")))</f>
        <v/>
      </c>
      <c r="C1325">
        <f>IF(OR($A1325="",$B1325=""),"",IF(ISNUMBER($A1325),INT(MOD($A1325,10000)/100),IFERROR(VALUE(TRIM(LEFT(MID($A1325,FIND("/",$A1325)+1,20),FIND("/",MID($A1325,FIND("/",$A1325)+1,20))-1))),"")))</f>
        <v/>
      </c>
      <c r="D1325">
        <f>IF(OR($A1325="",$B1325=""),"",IF(ISNUMBER($A1325),MOD($A1325,100),IFERROR(VALUE(TRIM(MID(MID($A1325,FIND("/",$A1325)+1,20),FIND("/",MID($A1325,FIND("/",$A1325)+1,20))+1,20))),"")))</f>
        <v/>
      </c>
      <c r="E1325">
        <f>IF($A1325="","",IF(OR($B1325="",$C1325="",$D1325="",$B1325&lt;1300,$B1325&gt;1500,$C1325&lt;1,$C1325&gt;12,$D1325&lt;1,$D1325&gt;31),"نامعتبر",RIGHT("0000"&amp;$B1325,4)&amp;"/"&amp;RIGHT("00"&amp;$C1325,2)&amp;"/"&amp;RIGHT("00"&amp;$D1325,2)))</f>
        <v/>
      </c>
      <c r="F1325">
        <f>IF(OR($E1325="",$E1325="نامعتبر"),"",IF(Sync!$Q1322="","0000",IF(AND(ISNUMBER(Sync!$Q1322),Sync!$Q1322&gt;=0,Sync!$Q1322&lt;1),RIGHT("00"&amp;HOUR(Sync!$Q1322),2)&amp;RIGHT("00"&amp;MINUTE(Sync!$Q1322),2),IFERROR(RIGHT("00"&amp;VALUE(LEFT(Sync!$Q1322,FIND(":",Sync!$Q1322)-1)),2)&amp;RIGHT("00"&amp;VALUE(MID(Sync!$Q1322,FIND(":",Sync!$Q1322)+1,2)),2),"0000"))))</f>
        <v/>
      </c>
      <c r="G1325">
        <f>IF(OR($E1325="",$E1325="نامعتبر"),"",IF(Sync!$S1322="","",Sync!$S1322))</f>
        <v/>
      </c>
      <c r="H1325">
        <f>IF(OR($E1325="",$E1325="نامعتبر"),"",IF(Sync!$R1322="","",Sync!$R1322))</f>
        <v/>
      </c>
      <c r="I1325">
        <f>IF(OR($E1325="",$E1325="نامعتبر"),"",IF(Sync!$T1322="","",Sync!$T1322))</f>
        <v/>
      </c>
      <c r="J1325">
        <f>IF(OR($E1325="",$E1325="نامعتبر"),"",IF(Sync!$U1322="","",Sync!$U1322))</f>
        <v/>
      </c>
      <c r="K1325">
        <f>IF(OR($E1325="",$E1325="نامعتبر"),"",IF(Sync!$V1322="","",IFERROR(INDEX(SubCodes,MATCH(Sync!$V1322,SubTitles,0)),Sync!$V1322)))</f>
        <v/>
      </c>
      <c r="L1325">
        <f>IF(OR($E1325="",$E1325="نامعتبر"),"",IF(Sync!$W1322="",0,Sync!$W1322))</f>
        <v/>
      </c>
      <c r="M1325">
        <f>IF(OR($E1325="",$E1325="نامعتبر"),"",IF(Sync!$X1322="",0,Sync!$X1322))</f>
        <v/>
      </c>
      <c r="N1325">
        <f>IF(OR($E1325="",$E1325="نامعتبر"),"",IF(AND($J1325="هزینه",$K1325&lt;&gt;""),1,0))</f>
        <v/>
      </c>
      <c r="O1325">
        <f>IF($N1325=0,"",LEFT($E1325,4)&amp;MID($E1325,6,2)&amp;RIGHT($E1325,2)&amp;$F1325&amp;"|"&amp;"1"&amp;RIGHT("00000"&amp;1317,5))</f>
        <v/>
      </c>
      <c r="P1325">
        <f>IF($O1325="","",COUNTIFS(ExpSub,$K1325,ExpKey,"&lt;"&amp;$O1325)+1)</f>
        <v/>
      </c>
      <c r="Q1325">
        <f>IF($P1325="","",$K1325&amp;"|"&amp;RIGHT("000000"&amp;$P1325,6))</f>
        <v/>
      </c>
    </row>
    <row r="1326">
      <c r="A1326">
        <f>IF(Sync!$P1323="","",Sync!$P1323)</f>
        <v/>
      </c>
      <c r="B1326">
        <f>IF($A1326="","",IF(ISNUMBER($A1326),IF(AND($A1326&gt;=10000101,$A1326&lt;=99991231),INT($A1326/10000),""),IFERROR(VALUE(TRIM(LEFT($A1326,FIND("/",$A1326)-1))),"")))</f>
        <v/>
      </c>
      <c r="C1326">
        <f>IF(OR($A1326="",$B1326=""),"",IF(ISNUMBER($A1326),INT(MOD($A1326,10000)/100),IFERROR(VALUE(TRIM(LEFT(MID($A1326,FIND("/",$A1326)+1,20),FIND("/",MID($A1326,FIND("/",$A1326)+1,20))-1))),"")))</f>
        <v/>
      </c>
      <c r="D1326">
        <f>IF(OR($A1326="",$B1326=""),"",IF(ISNUMBER($A1326),MOD($A1326,100),IFERROR(VALUE(TRIM(MID(MID($A1326,FIND("/",$A1326)+1,20),FIND("/",MID($A1326,FIND("/",$A1326)+1,20))+1,20))),"")))</f>
        <v/>
      </c>
      <c r="E1326">
        <f>IF($A1326="","",IF(OR($B1326="",$C1326="",$D1326="",$B1326&lt;1300,$B1326&gt;1500,$C1326&lt;1,$C1326&gt;12,$D1326&lt;1,$D1326&gt;31),"نامعتبر",RIGHT("0000"&amp;$B1326,4)&amp;"/"&amp;RIGHT("00"&amp;$C1326,2)&amp;"/"&amp;RIGHT("00"&amp;$D1326,2)))</f>
        <v/>
      </c>
      <c r="F1326">
        <f>IF(OR($E1326="",$E1326="نامعتبر"),"",IF(Sync!$Q1323="","0000",IF(AND(ISNUMBER(Sync!$Q1323),Sync!$Q1323&gt;=0,Sync!$Q1323&lt;1),RIGHT("00"&amp;HOUR(Sync!$Q1323),2)&amp;RIGHT("00"&amp;MINUTE(Sync!$Q1323),2),IFERROR(RIGHT("00"&amp;VALUE(LEFT(Sync!$Q1323,FIND(":",Sync!$Q1323)-1)),2)&amp;RIGHT("00"&amp;VALUE(MID(Sync!$Q1323,FIND(":",Sync!$Q1323)+1,2)),2),"0000"))))</f>
        <v/>
      </c>
      <c r="G1326">
        <f>IF(OR($E1326="",$E1326="نامعتبر"),"",IF(Sync!$S1323="","",Sync!$S1323))</f>
        <v/>
      </c>
      <c r="H1326">
        <f>IF(OR($E1326="",$E1326="نامعتبر"),"",IF(Sync!$R1323="","",Sync!$R1323))</f>
        <v/>
      </c>
      <c r="I1326">
        <f>IF(OR($E1326="",$E1326="نامعتبر"),"",IF(Sync!$T1323="","",Sync!$T1323))</f>
        <v/>
      </c>
      <c r="J1326">
        <f>IF(OR($E1326="",$E1326="نامعتبر"),"",IF(Sync!$U1323="","",Sync!$U1323))</f>
        <v/>
      </c>
      <c r="K1326">
        <f>IF(OR($E1326="",$E1326="نامعتبر"),"",IF(Sync!$V1323="","",IFERROR(INDEX(SubCodes,MATCH(Sync!$V1323,SubTitles,0)),Sync!$V1323)))</f>
        <v/>
      </c>
      <c r="L1326">
        <f>IF(OR($E1326="",$E1326="نامعتبر"),"",IF(Sync!$W1323="",0,Sync!$W1323))</f>
        <v/>
      </c>
      <c r="M1326">
        <f>IF(OR($E1326="",$E1326="نامعتبر"),"",IF(Sync!$X1323="",0,Sync!$X1323))</f>
        <v/>
      </c>
      <c r="N1326">
        <f>IF(OR($E1326="",$E1326="نامعتبر"),"",IF(AND($J1326="هزینه",$K1326&lt;&gt;""),1,0))</f>
        <v/>
      </c>
      <c r="O1326">
        <f>IF($N1326=0,"",LEFT($E1326,4)&amp;MID($E1326,6,2)&amp;RIGHT($E1326,2)&amp;$F1326&amp;"|"&amp;"1"&amp;RIGHT("00000"&amp;1318,5))</f>
        <v/>
      </c>
      <c r="P1326">
        <f>IF($O1326="","",COUNTIFS(ExpSub,$K1326,ExpKey,"&lt;"&amp;$O1326)+1)</f>
        <v/>
      </c>
      <c r="Q1326">
        <f>IF($P1326="","",$K1326&amp;"|"&amp;RIGHT("000000"&amp;$P1326,6))</f>
        <v/>
      </c>
    </row>
    <row r="1327">
      <c r="A1327">
        <f>IF(Sync!$P1324="","",Sync!$P1324)</f>
        <v/>
      </c>
      <c r="B1327">
        <f>IF($A1327="","",IF(ISNUMBER($A1327),IF(AND($A1327&gt;=10000101,$A1327&lt;=99991231),INT($A1327/10000),""),IFERROR(VALUE(TRIM(LEFT($A1327,FIND("/",$A1327)-1))),"")))</f>
        <v/>
      </c>
      <c r="C1327">
        <f>IF(OR($A1327="",$B1327=""),"",IF(ISNUMBER($A1327),INT(MOD($A1327,10000)/100),IFERROR(VALUE(TRIM(LEFT(MID($A1327,FIND("/",$A1327)+1,20),FIND("/",MID($A1327,FIND("/",$A1327)+1,20))-1))),"")))</f>
        <v/>
      </c>
      <c r="D1327">
        <f>IF(OR($A1327="",$B1327=""),"",IF(ISNUMBER($A1327),MOD($A1327,100),IFERROR(VALUE(TRIM(MID(MID($A1327,FIND("/",$A1327)+1,20),FIND("/",MID($A1327,FIND("/",$A1327)+1,20))+1,20))),"")))</f>
        <v/>
      </c>
      <c r="E1327">
        <f>IF($A1327="","",IF(OR($B1327="",$C1327="",$D1327="",$B1327&lt;1300,$B1327&gt;1500,$C1327&lt;1,$C1327&gt;12,$D1327&lt;1,$D1327&gt;31),"نامعتبر",RIGHT("0000"&amp;$B1327,4)&amp;"/"&amp;RIGHT("00"&amp;$C1327,2)&amp;"/"&amp;RIGHT("00"&amp;$D1327,2)))</f>
        <v/>
      </c>
      <c r="F1327">
        <f>IF(OR($E1327="",$E1327="نامعتبر"),"",IF(Sync!$Q1324="","0000",IF(AND(ISNUMBER(Sync!$Q1324),Sync!$Q1324&gt;=0,Sync!$Q1324&lt;1),RIGHT("00"&amp;HOUR(Sync!$Q1324),2)&amp;RIGHT("00"&amp;MINUTE(Sync!$Q1324),2),IFERROR(RIGHT("00"&amp;VALUE(LEFT(Sync!$Q1324,FIND(":",Sync!$Q1324)-1)),2)&amp;RIGHT("00"&amp;VALUE(MID(Sync!$Q1324,FIND(":",Sync!$Q1324)+1,2)),2),"0000"))))</f>
        <v/>
      </c>
      <c r="G1327">
        <f>IF(OR($E1327="",$E1327="نامعتبر"),"",IF(Sync!$S1324="","",Sync!$S1324))</f>
        <v/>
      </c>
      <c r="H1327">
        <f>IF(OR($E1327="",$E1327="نامعتبر"),"",IF(Sync!$R1324="","",Sync!$R1324))</f>
        <v/>
      </c>
      <c r="I1327">
        <f>IF(OR($E1327="",$E1327="نامعتبر"),"",IF(Sync!$T1324="","",Sync!$T1324))</f>
        <v/>
      </c>
      <c r="J1327">
        <f>IF(OR($E1327="",$E1327="نامعتبر"),"",IF(Sync!$U1324="","",Sync!$U1324))</f>
        <v/>
      </c>
      <c r="K1327">
        <f>IF(OR($E1327="",$E1327="نامعتبر"),"",IF(Sync!$V1324="","",IFERROR(INDEX(SubCodes,MATCH(Sync!$V1324,SubTitles,0)),Sync!$V1324)))</f>
        <v/>
      </c>
      <c r="L1327">
        <f>IF(OR($E1327="",$E1327="نامعتبر"),"",IF(Sync!$W1324="",0,Sync!$W1324))</f>
        <v/>
      </c>
      <c r="M1327">
        <f>IF(OR($E1327="",$E1327="نامعتبر"),"",IF(Sync!$X1324="",0,Sync!$X1324))</f>
        <v/>
      </c>
      <c r="N1327">
        <f>IF(OR($E1327="",$E1327="نامعتبر"),"",IF(AND($J1327="هزینه",$K1327&lt;&gt;""),1,0))</f>
        <v/>
      </c>
      <c r="O1327">
        <f>IF($N1327=0,"",LEFT($E1327,4)&amp;MID($E1327,6,2)&amp;RIGHT($E1327,2)&amp;$F1327&amp;"|"&amp;"1"&amp;RIGHT("00000"&amp;1319,5))</f>
        <v/>
      </c>
      <c r="P1327">
        <f>IF($O1327="","",COUNTIFS(ExpSub,$K1327,ExpKey,"&lt;"&amp;$O1327)+1)</f>
        <v/>
      </c>
      <c r="Q1327">
        <f>IF($P1327="","",$K1327&amp;"|"&amp;RIGHT("000000"&amp;$P1327,6))</f>
        <v/>
      </c>
    </row>
    <row r="1328">
      <c r="A1328">
        <f>IF(Sync!$P1325="","",Sync!$P1325)</f>
        <v/>
      </c>
      <c r="B1328">
        <f>IF($A1328="","",IF(ISNUMBER($A1328),IF(AND($A1328&gt;=10000101,$A1328&lt;=99991231),INT($A1328/10000),""),IFERROR(VALUE(TRIM(LEFT($A1328,FIND("/",$A1328)-1))),"")))</f>
        <v/>
      </c>
      <c r="C1328">
        <f>IF(OR($A1328="",$B1328=""),"",IF(ISNUMBER($A1328),INT(MOD($A1328,10000)/100),IFERROR(VALUE(TRIM(LEFT(MID($A1328,FIND("/",$A1328)+1,20),FIND("/",MID($A1328,FIND("/",$A1328)+1,20))-1))),"")))</f>
        <v/>
      </c>
      <c r="D1328">
        <f>IF(OR($A1328="",$B1328=""),"",IF(ISNUMBER($A1328),MOD($A1328,100),IFERROR(VALUE(TRIM(MID(MID($A1328,FIND("/",$A1328)+1,20),FIND("/",MID($A1328,FIND("/",$A1328)+1,20))+1,20))),"")))</f>
        <v/>
      </c>
      <c r="E1328">
        <f>IF($A1328="","",IF(OR($B1328="",$C1328="",$D1328="",$B1328&lt;1300,$B1328&gt;1500,$C1328&lt;1,$C1328&gt;12,$D1328&lt;1,$D1328&gt;31),"نامعتبر",RIGHT("0000"&amp;$B1328,4)&amp;"/"&amp;RIGHT("00"&amp;$C1328,2)&amp;"/"&amp;RIGHT("00"&amp;$D1328,2)))</f>
        <v/>
      </c>
      <c r="F1328">
        <f>IF(OR($E1328="",$E1328="نامعتبر"),"",IF(Sync!$Q1325="","0000",IF(AND(ISNUMBER(Sync!$Q1325),Sync!$Q1325&gt;=0,Sync!$Q1325&lt;1),RIGHT("00"&amp;HOUR(Sync!$Q1325),2)&amp;RIGHT("00"&amp;MINUTE(Sync!$Q1325),2),IFERROR(RIGHT("00"&amp;VALUE(LEFT(Sync!$Q1325,FIND(":",Sync!$Q1325)-1)),2)&amp;RIGHT("00"&amp;VALUE(MID(Sync!$Q1325,FIND(":",Sync!$Q1325)+1,2)),2),"0000"))))</f>
        <v/>
      </c>
      <c r="G1328">
        <f>IF(OR($E1328="",$E1328="نامعتبر"),"",IF(Sync!$S1325="","",Sync!$S1325))</f>
        <v/>
      </c>
      <c r="H1328">
        <f>IF(OR($E1328="",$E1328="نامعتبر"),"",IF(Sync!$R1325="","",Sync!$R1325))</f>
        <v/>
      </c>
      <c r="I1328">
        <f>IF(OR($E1328="",$E1328="نامعتبر"),"",IF(Sync!$T1325="","",Sync!$T1325))</f>
        <v/>
      </c>
      <c r="J1328">
        <f>IF(OR($E1328="",$E1328="نامعتبر"),"",IF(Sync!$U1325="","",Sync!$U1325))</f>
        <v/>
      </c>
      <c r="K1328">
        <f>IF(OR($E1328="",$E1328="نامعتبر"),"",IF(Sync!$V1325="","",IFERROR(INDEX(SubCodes,MATCH(Sync!$V1325,SubTitles,0)),Sync!$V1325)))</f>
        <v/>
      </c>
      <c r="L1328">
        <f>IF(OR($E1328="",$E1328="نامعتبر"),"",IF(Sync!$W1325="",0,Sync!$W1325))</f>
        <v/>
      </c>
      <c r="M1328">
        <f>IF(OR($E1328="",$E1328="نامعتبر"),"",IF(Sync!$X1325="",0,Sync!$X1325))</f>
        <v/>
      </c>
      <c r="N1328">
        <f>IF(OR($E1328="",$E1328="نامعتبر"),"",IF(AND($J1328="هزینه",$K1328&lt;&gt;""),1,0))</f>
        <v/>
      </c>
      <c r="O1328">
        <f>IF($N1328=0,"",LEFT($E1328,4)&amp;MID($E1328,6,2)&amp;RIGHT($E1328,2)&amp;$F1328&amp;"|"&amp;"1"&amp;RIGHT("00000"&amp;1320,5))</f>
        <v/>
      </c>
      <c r="P1328">
        <f>IF($O1328="","",COUNTIFS(ExpSub,$K1328,ExpKey,"&lt;"&amp;$O1328)+1)</f>
        <v/>
      </c>
      <c r="Q1328">
        <f>IF($P1328="","",$K1328&amp;"|"&amp;RIGHT("000000"&amp;$P1328,6))</f>
        <v/>
      </c>
    </row>
    <row r="1329">
      <c r="A1329">
        <f>IF(Sync!$P1326="","",Sync!$P1326)</f>
        <v/>
      </c>
      <c r="B1329">
        <f>IF($A1329="","",IF(ISNUMBER($A1329),IF(AND($A1329&gt;=10000101,$A1329&lt;=99991231),INT($A1329/10000),""),IFERROR(VALUE(TRIM(LEFT($A1329,FIND("/",$A1329)-1))),"")))</f>
        <v/>
      </c>
      <c r="C1329">
        <f>IF(OR($A1329="",$B1329=""),"",IF(ISNUMBER($A1329),INT(MOD($A1329,10000)/100),IFERROR(VALUE(TRIM(LEFT(MID($A1329,FIND("/",$A1329)+1,20),FIND("/",MID($A1329,FIND("/",$A1329)+1,20))-1))),"")))</f>
        <v/>
      </c>
      <c r="D1329">
        <f>IF(OR($A1329="",$B1329=""),"",IF(ISNUMBER($A1329),MOD($A1329,100),IFERROR(VALUE(TRIM(MID(MID($A1329,FIND("/",$A1329)+1,20),FIND("/",MID($A1329,FIND("/",$A1329)+1,20))+1,20))),"")))</f>
        <v/>
      </c>
      <c r="E1329">
        <f>IF($A1329="","",IF(OR($B1329="",$C1329="",$D1329="",$B1329&lt;1300,$B1329&gt;1500,$C1329&lt;1,$C1329&gt;12,$D1329&lt;1,$D1329&gt;31),"نامعتبر",RIGHT("0000"&amp;$B1329,4)&amp;"/"&amp;RIGHT("00"&amp;$C1329,2)&amp;"/"&amp;RIGHT("00"&amp;$D1329,2)))</f>
        <v/>
      </c>
      <c r="F1329">
        <f>IF(OR($E1329="",$E1329="نامعتبر"),"",IF(Sync!$Q1326="","0000",IF(AND(ISNUMBER(Sync!$Q1326),Sync!$Q1326&gt;=0,Sync!$Q1326&lt;1),RIGHT("00"&amp;HOUR(Sync!$Q1326),2)&amp;RIGHT("00"&amp;MINUTE(Sync!$Q1326),2),IFERROR(RIGHT("00"&amp;VALUE(LEFT(Sync!$Q1326,FIND(":",Sync!$Q1326)-1)),2)&amp;RIGHT("00"&amp;VALUE(MID(Sync!$Q1326,FIND(":",Sync!$Q1326)+1,2)),2),"0000"))))</f>
        <v/>
      </c>
      <c r="G1329">
        <f>IF(OR($E1329="",$E1329="نامعتبر"),"",IF(Sync!$S1326="","",Sync!$S1326))</f>
        <v/>
      </c>
      <c r="H1329">
        <f>IF(OR($E1329="",$E1329="نامعتبر"),"",IF(Sync!$R1326="","",Sync!$R1326))</f>
        <v/>
      </c>
      <c r="I1329">
        <f>IF(OR($E1329="",$E1329="نامعتبر"),"",IF(Sync!$T1326="","",Sync!$T1326))</f>
        <v/>
      </c>
      <c r="J1329">
        <f>IF(OR($E1329="",$E1329="نامعتبر"),"",IF(Sync!$U1326="","",Sync!$U1326))</f>
        <v/>
      </c>
      <c r="K1329">
        <f>IF(OR($E1329="",$E1329="نامعتبر"),"",IF(Sync!$V1326="","",IFERROR(INDEX(SubCodes,MATCH(Sync!$V1326,SubTitles,0)),Sync!$V1326)))</f>
        <v/>
      </c>
      <c r="L1329">
        <f>IF(OR($E1329="",$E1329="نامعتبر"),"",IF(Sync!$W1326="",0,Sync!$W1326))</f>
        <v/>
      </c>
      <c r="M1329">
        <f>IF(OR($E1329="",$E1329="نامعتبر"),"",IF(Sync!$X1326="",0,Sync!$X1326))</f>
        <v/>
      </c>
      <c r="N1329">
        <f>IF(OR($E1329="",$E1329="نامعتبر"),"",IF(AND($J1329="هزینه",$K1329&lt;&gt;""),1,0))</f>
        <v/>
      </c>
      <c r="O1329">
        <f>IF($N1329=0,"",LEFT($E1329,4)&amp;MID($E1329,6,2)&amp;RIGHT($E1329,2)&amp;$F1329&amp;"|"&amp;"1"&amp;RIGHT("00000"&amp;1321,5))</f>
        <v/>
      </c>
      <c r="P1329">
        <f>IF($O1329="","",COUNTIFS(ExpSub,$K1329,ExpKey,"&lt;"&amp;$O1329)+1)</f>
        <v/>
      </c>
      <c r="Q1329">
        <f>IF($P1329="","",$K1329&amp;"|"&amp;RIGHT("000000"&amp;$P1329,6))</f>
        <v/>
      </c>
    </row>
    <row r="1330">
      <c r="A1330">
        <f>IF(Sync!$P1327="","",Sync!$P1327)</f>
        <v/>
      </c>
      <c r="B1330">
        <f>IF($A1330="","",IF(ISNUMBER($A1330),IF(AND($A1330&gt;=10000101,$A1330&lt;=99991231),INT($A1330/10000),""),IFERROR(VALUE(TRIM(LEFT($A1330,FIND("/",$A1330)-1))),"")))</f>
        <v/>
      </c>
      <c r="C1330">
        <f>IF(OR($A1330="",$B1330=""),"",IF(ISNUMBER($A1330),INT(MOD($A1330,10000)/100),IFERROR(VALUE(TRIM(LEFT(MID($A1330,FIND("/",$A1330)+1,20),FIND("/",MID($A1330,FIND("/",$A1330)+1,20))-1))),"")))</f>
        <v/>
      </c>
      <c r="D1330">
        <f>IF(OR($A1330="",$B1330=""),"",IF(ISNUMBER($A1330),MOD($A1330,100),IFERROR(VALUE(TRIM(MID(MID($A1330,FIND("/",$A1330)+1,20),FIND("/",MID($A1330,FIND("/",$A1330)+1,20))+1,20))),"")))</f>
        <v/>
      </c>
      <c r="E1330">
        <f>IF($A1330="","",IF(OR($B1330="",$C1330="",$D1330="",$B1330&lt;1300,$B1330&gt;1500,$C1330&lt;1,$C1330&gt;12,$D1330&lt;1,$D1330&gt;31),"نامعتبر",RIGHT("0000"&amp;$B1330,4)&amp;"/"&amp;RIGHT("00"&amp;$C1330,2)&amp;"/"&amp;RIGHT("00"&amp;$D1330,2)))</f>
        <v/>
      </c>
      <c r="F1330">
        <f>IF(OR($E1330="",$E1330="نامعتبر"),"",IF(Sync!$Q1327="","0000",IF(AND(ISNUMBER(Sync!$Q1327),Sync!$Q1327&gt;=0,Sync!$Q1327&lt;1),RIGHT("00"&amp;HOUR(Sync!$Q1327),2)&amp;RIGHT("00"&amp;MINUTE(Sync!$Q1327),2),IFERROR(RIGHT("00"&amp;VALUE(LEFT(Sync!$Q1327,FIND(":",Sync!$Q1327)-1)),2)&amp;RIGHT("00"&amp;VALUE(MID(Sync!$Q1327,FIND(":",Sync!$Q1327)+1,2)),2),"0000"))))</f>
        <v/>
      </c>
      <c r="G1330">
        <f>IF(OR($E1330="",$E1330="نامعتبر"),"",IF(Sync!$S1327="","",Sync!$S1327))</f>
        <v/>
      </c>
      <c r="H1330">
        <f>IF(OR($E1330="",$E1330="نامعتبر"),"",IF(Sync!$R1327="","",Sync!$R1327))</f>
        <v/>
      </c>
      <c r="I1330">
        <f>IF(OR($E1330="",$E1330="نامعتبر"),"",IF(Sync!$T1327="","",Sync!$T1327))</f>
        <v/>
      </c>
      <c r="J1330">
        <f>IF(OR($E1330="",$E1330="نامعتبر"),"",IF(Sync!$U1327="","",Sync!$U1327))</f>
        <v/>
      </c>
      <c r="K1330">
        <f>IF(OR($E1330="",$E1330="نامعتبر"),"",IF(Sync!$V1327="","",IFERROR(INDEX(SubCodes,MATCH(Sync!$V1327,SubTitles,0)),Sync!$V1327)))</f>
        <v/>
      </c>
      <c r="L1330">
        <f>IF(OR($E1330="",$E1330="نامعتبر"),"",IF(Sync!$W1327="",0,Sync!$W1327))</f>
        <v/>
      </c>
      <c r="M1330">
        <f>IF(OR($E1330="",$E1330="نامعتبر"),"",IF(Sync!$X1327="",0,Sync!$X1327))</f>
        <v/>
      </c>
      <c r="N1330">
        <f>IF(OR($E1330="",$E1330="نامعتبر"),"",IF(AND($J1330="هزینه",$K1330&lt;&gt;""),1,0))</f>
        <v/>
      </c>
      <c r="O1330">
        <f>IF($N1330=0,"",LEFT($E1330,4)&amp;MID($E1330,6,2)&amp;RIGHT($E1330,2)&amp;$F1330&amp;"|"&amp;"1"&amp;RIGHT("00000"&amp;1322,5))</f>
        <v/>
      </c>
      <c r="P1330">
        <f>IF($O1330="","",COUNTIFS(ExpSub,$K1330,ExpKey,"&lt;"&amp;$O1330)+1)</f>
        <v/>
      </c>
      <c r="Q1330">
        <f>IF($P1330="","",$K1330&amp;"|"&amp;RIGHT("000000"&amp;$P1330,6))</f>
        <v/>
      </c>
    </row>
    <row r="1331">
      <c r="A1331">
        <f>IF(Sync!$P1328="","",Sync!$P1328)</f>
        <v/>
      </c>
      <c r="B1331">
        <f>IF($A1331="","",IF(ISNUMBER($A1331),IF(AND($A1331&gt;=10000101,$A1331&lt;=99991231),INT($A1331/10000),""),IFERROR(VALUE(TRIM(LEFT($A1331,FIND("/",$A1331)-1))),"")))</f>
        <v/>
      </c>
      <c r="C1331">
        <f>IF(OR($A1331="",$B1331=""),"",IF(ISNUMBER($A1331),INT(MOD($A1331,10000)/100),IFERROR(VALUE(TRIM(LEFT(MID($A1331,FIND("/",$A1331)+1,20),FIND("/",MID($A1331,FIND("/",$A1331)+1,20))-1))),"")))</f>
        <v/>
      </c>
      <c r="D1331">
        <f>IF(OR($A1331="",$B1331=""),"",IF(ISNUMBER($A1331),MOD($A1331,100),IFERROR(VALUE(TRIM(MID(MID($A1331,FIND("/",$A1331)+1,20),FIND("/",MID($A1331,FIND("/",$A1331)+1,20))+1,20))),"")))</f>
        <v/>
      </c>
      <c r="E1331">
        <f>IF($A1331="","",IF(OR($B1331="",$C1331="",$D1331="",$B1331&lt;1300,$B1331&gt;1500,$C1331&lt;1,$C1331&gt;12,$D1331&lt;1,$D1331&gt;31),"نامعتبر",RIGHT("0000"&amp;$B1331,4)&amp;"/"&amp;RIGHT("00"&amp;$C1331,2)&amp;"/"&amp;RIGHT("00"&amp;$D1331,2)))</f>
        <v/>
      </c>
      <c r="F1331">
        <f>IF(OR($E1331="",$E1331="نامعتبر"),"",IF(Sync!$Q1328="","0000",IF(AND(ISNUMBER(Sync!$Q1328),Sync!$Q1328&gt;=0,Sync!$Q1328&lt;1),RIGHT("00"&amp;HOUR(Sync!$Q1328),2)&amp;RIGHT("00"&amp;MINUTE(Sync!$Q1328),2),IFERROR(RIGHT("00"&amp;VALUE(LEFT(Sync!$Q1328,FIND(":",Sync!$Q1328)-1)),2)&amp;RIGHT("00"&amp;VALUE(MID(Sync!$Q1328,FIND(":",Sync!$Q1328)+1,2)),2),"0000"))))</f>
        <v/>
      </c>
      <c r="G1331">
        <f>IF(OR($E1331="",$E1331="نامعتبر"),"",IF(Sync!$S1328="","",Sync!$S1328))</f>
        <v/>
      </c>
      <c r="H1331">
        <f>IF(OR($E1331="",$E1331="نامعتبر"),"",IF(Sync!$R1328="","",Sync!$R1328))</f>
        <v/>
      </c>
      <c r="I1331">
        <f>IF(OR($E1331="",$E1331="نامعتبر"),"",IF(Sync!$T1328="","",Sync!$T1328))</f>
        <v/>
      </c>
      <c r="J1331">
        <f>IF(OR($E1331="",$E1331="نامعتبر"),"",IF(Sync!$U1328="","",Sync!$U1328))</f>
        <v/>
      </c>
      <c r="K1331">
        <f>IF(OR($E1331="",$E1331="نامعتبر"),"",IF(Sync!$V1328="","",IFERROR(INDEX(SubCodes,MATCH(Sync!$V1328,SubTitles,0)),Sync!$V1328)))</f>
        <v/>
      </c>
      <c r="L1331">
        <f>IF(OR($E1331="",$E1331="نامعتبر"),"",IF(Sync!$W1328="",0,Sync!$W1328))</f>
        <v/>
      </c>
      <c r="M1331">
        <f>IF(OR($E1331="",$E1331="نامعتبر"),"",IF(Sync!$X1328="",0,Sync!$X1328))</f>
        <v/>
      </c>
      <c r="N1331">
        <f>IF(OR($E1331="",$E1331="نامعتبر"),"",IF(AND($J1331="هزینه",$K1331&lt;&gt;""),1,0))</f>
        <v/>
      </c>
      <c r="O1331">
        <f>IF($N1331=0,"",LEFT($E1331,4)&amp;MID($E1331,6,2)&amp;RIGHT($E1331,2)&amp;$F1331&amp;"|"&amp;"1"&amp;RIGHT("00000"&amp;1323,5))</f>
        <v/>
      </c>
      <c r="P1331">
        <f>IF($O1331="","",COUNTIFS(ExpSub,$K1331,ExpKey,"&lt;"&amp;$O1331)+1)</f>
        <v/>
      </c>
      <c r="Q1331">
        <f>IF($P1331="","",$K1331&amp;"|"&amp;RIGHT("000000"&amp;$P1331,6))</f>
        <v/>
      </c>
    </row>
    <row r="1332">
      <c r="A1332">
        <f>IF(Sync!$P1329="","",Sync!$P1329)</f>
        <v/>
      </c>
      <c r="B1332">
        <f>IF($A1332="","",IF(ISNUMBER($A1332),IF(AND($A1332&gt;=10000101,$A1332&lt;=99991231),INT($A1332/10000),""),IFERROR(VALUE(TRIM(LEFT($A1332,FIND("/",$A1332)-1))),"")))</f>
        <v/>
      </c>
      <c r="C1332">
        <f>IF(OR($A1332="",$B1332=""),"",IF(ISNUMBER($A1332),INT(MOD($A1332,10000)/100),IFERROR(VALUE(TRIM(LEFT(MID($A1332,FIND("/",$A1332)+1,20),FIND("/",MID($A1332,FIND("/",$A1332)+1,20))-1))),"")))</f>
        <v/>
      </c>
      <c r="D1332">
        <f>IF(OR($A1332="",$B1332=""),"",IF(ISNUMBER($A1332),MOD($A1332,100),IFERROR(VALUE(TRIM(MID(MID($A1332,FIND("/",$A1332)+1,20),FIND("/",MID($A1332,FIND("/",$A1332)+1,20))+1,20))),"")))</f>
        <v/>
      </c>
      <c r="E1332">
        <f>IF($A1332="","",IF(OR($B1332="",$C1332="",$D1332="",$B1332&lt;1300,$B1332&gt;1500,$C1332&lt;1,$C1332&gt;12,$D1332&lt;1,$D1332&gt;31),"نامعتبر",RIGHT("0000"&amp;$B1332,4)&amp;"/"&amp;RIGHT("00"&amp;$C1332,2)&amp;"/"&amp;RIGHT("00"&amp;$D1332,2)))</f>
        <v/>
      </c>
      <c r="F1332">
        <f>IF(OR($E1332="",$E1332="نامعتبر"),"",IF(Sync!$Q1329="","0000",IF(AND(ISNUMBER(Sync!$Q1329),Sync!$Q1329&gt;=0,Sync!$Q1329&lt;1),RIGHT("00"&amp;HOUR(Sync!$Q1329),2)&amp;RIGHT("00"&amp;MINUTE(Sync!$Q1329),2),IFERROR(RIGHT("00"&amp;VALUE(LEFT(Sync!$Q1329,FIND(":",Sync!$Q1329)-1)),2)&amp;RIGHT("00"&amp;VALUE(MID(Sync!$Q1329,FIND(":",Sync!$Q1329)+1,2)),2),"0000"))))</f>
        <v/>
      </c>
      <c r="G1332">
        <f>IF(OR($E1332="",$E1332="نامعتبر"),"",IF(Sync!$S1329="","",Sync!$S1329))</f>
        <v/>
      </c>
      <c r="H1332">
        <f>IF(OR($E1332="",$E1332="نامعتبر"),"",IF(Sync!$R1329="","",Sync!$R1329))</f>
        <v/>
      </c>
      <c r="I1332">
        <f>IF(OR($E1332="",$E1332="نامعتبر"),"",IF(Sync!$T1329="","",Sync!$T1329))</f>
        <v/>
      </c>
      <c r="J1332">
        <f>IF(OR($E1332="",$E1332="نامعتبر"),"",IF(Sync!$U1329="","",Sync!$U1329))</f>
        <v/>
      </c>
      <c r="K1332">
        <f>IF(OR($E1332="",$E1332="نامعتبر"),"",IF(Sync!$V1329="","",IFERROR(INDEX(SubCodes,MATCH(Sync!$V1329,SubTitles,0)),Sync!$V1329)))</f>
        <v/>
      </c>
      <c r="L1332">
        <f>IF(OR($E1332="",$E1332="نامعتبر"),"",IF(Sync!$W1329="",0,Sync!$W1329))</f>
        <v/>
      </c>
      <c r="M1332">
        <f>IF(OR($E1332="",$E1332="نامعتبر"),"",IF(Sync!$X1329="",0,Sync!$X1329))</f>
        <v/>
      </c>
      <c r="N1332">
        <f>IF(OR($E1332="",$E1332="نامعتبر"),"",IF(AND($J1332="هزینه",$K1332&lt;&gt;""),1,0))</f>
        <v/>
      </c>
      <c r="O1332">
        <f>IF($N1332=0,"",LEFT($E1332,4)&amp;MID($E1332,6,2)&amp;RIGHT($E1332,2)&amp;$F1332&amp;"|"&amp;"1"&amp;RIGHT("00000"&amp;1324,5))</f>
        <v/>
      </c>
      <c r="P1332">
        <f>IF($O1332="","",COUNTIFS(ExpSub,$K1332,ExpKey,"&lt;"&amp;$O1332)+1)</f>
        <v/>
      </c>
      <c r="Q1332">
        <f>IF($P1332="","",$K1332&amp;"|"&amp;RIGHT("000000"&amp;$P1332,6))</f>
        <v/>
      </c>
    </row>
    <row r="1333">
      <c r="A1333">
        <f>IF(Sync!$P1330="","",Sync!$P1330)</f>
        <v/>
      </c>
      <c r="B1333">
        <f>IF($A1333="","",IF(ISNUMBER($A1333),IF(AND($A1333&gt;=10000101,$A1333&lt;=99991231),INT($A1333/10000),""),IFERROR(VALUE(TRIM(LEFT($A1333,FIND("/",$A1333)-1))),"")))</f>
        <v/>
      </c>
      <c r="C1333">
        <f>IF(OR($A1333="",$B1333=""),"",IF(ISNUMBER($A1333),INT(MOD($A1333,10000)/100),IFERROR(VALUE(TRIM(LEFT(MID($A1333,FIND("/",$A1333)+1,20),FIND("/",MID($A1333,FIND("/",$A1333)+1,20))-1))),"")))</f>
        <v/>
      </c>
      <c r="D1333">
        <f>IF(OR($A1333="",$B1333=""),"",IF(ISNUMBER($A1333),MOD($A1333,100),IFERROR(VALUE(TRIM(MID(MID($A1333,FIND("/",$A1333)+1,20),FIND("/",MID($A1333,FIND("/",$A1333)+1,20))+1,20))),"")))</f>
        <v/>
      </c>
      <c r="E1333">
        <f>IF($A1333="","",IF(OR($B1333="",$C1333="",$D1333="",$B1333&lt;1300,$B1333&gt;1500,$C1333&lt;1,$C1333&gt;12,$D1333&lt;1,$D1333&gt;31),"نامعتبر",RIGHT("0000"&amp;$B1333,4)&amp;"/"&amp;RIGHT("00"&amp;$C1333,2)&amp;"/"&amp;RIGHT("00"&amp;$D1333,2)))</f>
        <v/>
      </c>
      <c r="F1333">
        <f>IF(OR($E1333="",$E1333="نامعتبر"),"",IF(Sync!$Q1330="","0000",IF(AND(ISNUMBER(Sync!$Q1330),Sync!$Q1330&gt;=0,Sync!$Q1330&lt;1),RIGHT("00"&amp;HOUR(Sync!$Q1330),2)&amp;RIGHT("00"&amp;MINUTE(Sync!$Q1330),2),IFERROR(RIGHT("00"&amp;VALUE(LEFT(Sync!$Q1330,FIND(":",Sync!$Q1330)-1)),2)&amp;RIGHT("00"&amp;VALUE(MID(Sync!$Q1330,FIND(":",Sync!$Q1330)+1,2)),2),"0000"))))</f>
        <v/>
      </c>
      <c r="G1333">
        <f>IF(OR($E1333="",$E1333="نامعتبر"),"",IF(Sync!$S1330="","",Sync!$S1330))</f>
        <v/>
      </c>
      <c r="H1333">
        <f>IF(OR($E1333="",$E1333="نامعتبر"),"",IF(Sync!$R1330="","",Sync!$R1330))</f>
        <v/>
      </c>
      <c r="I1333">
        <f>IF(OR($E1333="",$E1333="نامعتبر"),"",IF(Sync!$T1330="","",Sync!$T1330))</f>
        <v/>
      </c>
      <c r="J1333">
        <f>IF(OR($E1333="",$E1333="نامعتبر"),"",IF(Sync!$U1330="","",Sync!$U1330))</f>
        <v/>
      </c>
      <c r="K1333">
        <f>IF(OR($E1333="",$E1333="نامعتبر"),"",IF(Sync!$V1330="","",IFERROR(INDEX(SubCodes,MATCH(Sync!$V1330,SubTitles,0)),Sync!$V1330)))</f>
        <v/>
      </c>
      <c r="L1333">
        <f>IF(OR($E1333="",$E1333="نامعتبر"),"",IF(Sync!$W1330="",0,Sync!$W1330))</f>
        <v/>
      </c>
      <c r="M1333">
        <f>IF(OR($E1333="",$E1333="نامعتبر"),"",IF(Sync!$X1330="",0,Sync!$X1330))</f>
        <v/>
      </c>
      <c r="N1333">
        <f>IF(OR($E1333="",$E1333="نامعتبر"),"",IF(AND($J1333="هزینه",$K1333&lt;&gt;""),1,0))</f>
        <v/>
      </c>
      <c r="O1333">
        <f>IF($N1333=0,"",LEFT($E1333,4)&amp;MID($E1333,6,2)&amp;RIGHT($E1333,2)&amp;$F1333&amp;"|"&amp;"1"&amp;RIGHT("00000"&amp;1325,5))</f>
        <v/>
      </c>
      <c r="P1333">
        <f>IF($O1333="","",COUNTIFS(ExpSub,$K1333,ExpKey,"&lt;"&amp;$O1333)+1)</f>
        <v/>
      </c>
      <c r="Q1333">
        <f>IF($P1333="","",$K1333&amp;"|"&amp;RIGHT("000000"&amp;$P1333,6))</f>
        <v/>
      </c>
    </row>
    <row r="1334">
      <c r="A1334">
        <f>IF(Sync!$P1331="","",Sync!$P1331)</f>
        <v/>
      </c>
      <c r="B1334">
        <f>IF($A1334="","",IF(ISNUMBER($A1334),IF(AND($A1334&gt;=10000101,$A1334&lt;=99991231),INT($A1334/10000),""),IFERROR(VALUE(TRIM(LEFT($A1334,FIND("/",$A1334)-1))),"")))</f>
        <v/>
      </c>
      <c r="C1334">
        <f>IF(OR($A1334="",$B1334=""),"",IF(ISNUMBER($A1334),INT(MOD($A1334,10000)/100),IFERROR(VALUE(TRIM(LEFT(MID($A1334,FIND("/",$A1334)+1,20),FIND("/",MID($A1334,FIND("/",$A1334)+1,20))-1))),"")))</f>
        <v/>
      </c>
      <c r="D1334">
        <f>IF(OR($A1334="",$B1334=""),"",IF(ISNUMBER($A1334),MOD($A1334,100),IFERROR(VALUE(TRIM(MID(MID($A1334,FIND("/",$A1334)+1,20),FIND("/",MID($A1334,FIND("/",$A1334)+1,20))+1,20))),"")))</f>
        <v/>
      </c>
      <c r="E1334">
        <f>IF($A1334="","",IF(OR($B1334="",$C1334="",$D1334="",$B1334&lt;1300,$B1334&gt;1500,$C1334&lt;1,$C1334&gt;12,$D1334&lt;1,$D1334&gt;31),"نامعتبر",RIGHT("0000"&amp;$B1334,4)&amp;"/"&amp;RIGHT("00"&amp;$C1334,2)&amp;"/"&amp;RIGHT("00"&amp;$D1334,2)))</f>
        <v/>
      </c>
      <c r="F1334">
        <f>IF(OR($E1334="",$E1334="نامعتبر"),"",IF(Sync!$Q1331="","0000",IF(AND(ISNUMBER(Sync!$Q1331),Sync!$Q1331&gt;=0,Sync!$Q1331&lt;1),RIGHT("00"&amp;HOUR(Sync!$Q1331),2)&amp;RIGHT("00"&amp;MINUTE(Sync!$Q1331),2),IFERROR(RIGHT("00"&amp;VALUE(LEFT(Sync!$Q1331,FIND(":",Sync!$Q1331)-1)),2)&amp;RIGHT("00"&amp;VALUE(MID(Sync!$Q1331,FIND(":",Sync!$Q1331)+1,2)),2),"0000"))))</f>
        <v/>
      </c>
      <c r="G1334">
        <f>IF(OR($E1334="",$E1334="نامعتبر"),"",IF(Sync!$S1331="","",Sync!$S1331))</f>
        <v/>
      </c>
      <c r="H1334">
        <f>IF(OR($E1334="",$E1334="نامعتبر"),"",IF(Sync!$R1331="","",Sync!$R1331))</f>
        <v/>
      </c>
      <c r="I1334">
        <f>IF(OR($E1334="",$E1334="نامعتبر"),"",IF(Sync!$T1331="","",Sync!$T1331))</f>
        <v/>
      </c>
      <c r="J1334">
        <f>IF(OR($E1334="",$E1334="نامعتبر"),"",IF(Sync!$U1331="","",Sync!$U1331))</f>
        <v/>
      </c>
      <c r="K1334">
        <f>IF(OR($E1334="",$E1334="نامعتبر"),"",IF(Sync!$V1331="","",IFERROR(INDEX(SubCodes,MATCH(Sync!$V1331,SubTitles,0)),Sync!$V1331)))</f>
        <v/>
      </c>
      <c r="L1334">
        <f>IF(OR($E1334="",$E1334="نامعتبر"),"",IF(Sync!$W1331="",0,Sync!$W1331))</f>
        <v/>
      </c>
      <c r="M1334">
        <f>IF(OR($E1334="",$E1334="نامعتبر"),"",IF(Sync!$X1331="",0,Sync!$X1331))</f>
        <v/>
      </c>
      <c r="N1334">
        <f>IF(OR($E1334="",$E1334="نامعتبر"),"",IF(AND($J1334="هزینه",$K1334&lt;&gt;""),1,0))</f>
        <v/>
      </c>
      <c r="O1334">
        <f>IF($N1334=0,"",LEFT($E1334,4)&amp;MID($E1334,6,2)&amp;RIGHT($E1334,2)&amp;$F1334&amp;"|"&amp;"1"&amp;RIGHT("00000"&amp;1326,5))</f>
        <v/>
      </c>
      <c r="P1334">
        <f>IF($O1334="","",COUNTIFS(ExpSub,$K1334,ExpKey,"&lt;"&amp;$O1334)+1)</f>
        <v/>
      </c>
      <c r="Q1334">
        <f>IF($P1334="","",$K1334&amp;"|"&amp;RIGHT("000000"&amp;$P1334,6))</f>
        <v/>
      </c>
    </row>
    <row r="1335">
      <c r="A1335">
        <f>IF(Sync!$P1332="","",Sync!$P1332)</f>
        <v/>
      </c>
      <c r="B1335">
        <f>IF($A1335="","",IF(ISNUMBER($A1335),IF(AND($A1335&gt;=10000101,$A1335&lt;=99991231),INT($A1335/10000),""),IFERROR(VALUE(TRIM(LEFT($A1335,FIND("/",$A1335)-1))),"")))</f>
        <v/>
      </c>
      <c r="C1335">
        <f>IF(OR($A1335="",$B1335=""),"",IF(ISNUMBER($A1335),INT(MOD($A1335,10000)/100),IFERROR(VALUE(TRIM(LEFT(MID($A1335,FIND("/",$A1335)+1,20),FIND("/",MID($A1335,FIND("/",$A1335)+1,20))-1))),"")))</f>
        <v/>
      </c>
      <c r="D1335">
        <f>IF(OR($A1335="",$B1335=""),"",IF(ISNUMBER($A1335),MOD($A1335,100),IFERROR(VALUE(TRIM(MID(MID($A1335,FIND("/",$A1335)+1,20),FIND("/",MID($A1335,FIND("/",$A1335)+1,20))+1,20))),"")))</f>
        <v/>
      </c>
      <c r="E1335">
        <f>IF($A1335="","",IF(OR($B1335="",$C1335="",$D1335="",$B1335&lt;1300,$B1335&gt;1500,$C1335&lt;1,$C1335&gt;12,$D1335&lt;1,$D1335&gt;31),"نامعتبر",RIGHT("0000"&amp;$B1335,4)&amp;"/"&amp;RIGHT("00"&amp;$C1335,2)&amp;"/"&amp;RIGHT("00"&amp;$D1335,2)))</f>
        <v/>
      </c>
      <c r="F1335">
        <f>IF(OR($E1335="",$E1335="نامعتبر"),"",IF(Sync!$Q1332="","0000",IF(AND(ISNUMBER(Sync!$Q1332),Sync!$Q1332&gt;=0,Sync!$Q1332&lt;1),RIGHT("00"&amp;HOUR(Sync!$Q1332),2)&amp;RIGHT("00"&amp;MINUTE(Sync!$Q1332),2),IFERROR(RIGHT("00"&amp;VALUE(LEFT(Sync!$Q1332,FIND(":",Sync!$Q1332)-1)),2)&amp;RIGHT("00"&amp;VALUE(MID(Sync!$Q1332,FIND(":",Sync!$Q1332)+1,2)),2),"0000"))))</f>
        <v/>
      </c>
      <c r="G1335">
        <f>IF(OR($E1335="",$E1335="نامعتبر"),"",IF(Sync!$S1332="","",Sync!$S1332))</f>
        <v/>
      </c>
      <c r="H1335">
        <f>IF(OR($E1335="",$E1335="نامعتبر"),"",IF(Sync!$R1332="","",Sync!$R1332))</f>
        <v/>
      </c>
      <c r="I1335">
        <f>IF(OR($E1335="",$E1335="نامعتبر"),"",IF(Sync!$T1332="","",Sync!$T1332))</f>
        <v/>
      </c>
      <c r="J1335">
        <f>IF(OR($E1335="",$E1335="نامعتبر"),"",IF(Sync!$U1332="","",Sync!$U1332))</f>
        <v/>
      </c>
      <c r="K1335">
        <f>IF(OR($E1335="",$E1335="نامعتبر"),"",IF(Sync!$V1332="","",IFERROR(INDEX(SubCodes,MATCH(Sync!$V1332,SubTitles,0)),Sync!$V1332)))</f>
        <v/>
      </c>
      <c r="L1335">
        <f>IF(OR($E1335="",$E1335="نامعتبر"),"",IF(Sync!$W1332="",0,Sync!$W1332))</f>
        <v/>
      </c>
      <c r="M1335">
        <f>IF(OR($E1335="",$E1335="نامعتبر"),"",IF(Sync!$X1332="",0,Sync!$X1332))</f>
        <v/>
      </c>
      <c r="N1335">
        <f>IF(OR($E1335="",$E1335="نامعتبر"),"",IF(AND($J1335="هزینه",$K1335&lt;&gt;""),1,0))</f>
        <v/>
      </c>
      <c r="O1335">
        <f>IF($N1335=0,"",LEFT($E1335,4)&amp;MID($E1335,6,2)&amp;RIGHT($E1335,2)&amp;$F1335&amp;"|"&amp;"1"&amp;RIGHT("00000"&amp;1327,5))</f>
        <v/>
      </c>
      <c r="P1335">
        <f>IF($O1335="","",COUNTIFS(ExpSub,$K1335,ExpKey,"&lt;"&amp;$O1335)+1)</f>
        <v/>
      </c>
      <c r="Q1335">
        <f>IF($P1335="","",$K1335&amp;"|"&amp;RIGHT("000000"&amp;$P1335,6))</f>
        <v/>
      </c>
    </row>
    <row r="1336">
      <c r="A1336">
        <f>IF(Sync!$P1333="","",Sync!$P1333)</f>
        <v/>
      </c>
      <c r="B1336">
        <f>IF($A1336="","",IF(ISNUMBER($A1336),IF(AND($A1336&gt;=10000101,$A1336&lt;=99991231),INT($A1336/10000),""),IFERROR(VALUE(TRIM(LEFT($A1336,FIND("/",$A1336)-1))),"")))</f>
        <v/>
      </c>
      <c r="C1336">
        <f>IF(OR($A1336="",$B1336=""),"",IF(ISNUMBER($A1336),INT(MOD($A1336,10000)/100),IFERROR(VALUE(TRIM(LEFT(MID($A1336,FIND("/",$A1336)+1,20),FIND("/",MID($A1336,FIND("/",$A1336)+1,20))-1))),"")))</f>
        <v/>
      </c>
      <c r="D1336">
        <f>IF(OR($A1336="",$B1336=""),"",IF(ISNUMBER($A1336),MOD($A1336,100),IFERROR(VALUE(TRIM(MID(MID($A1336,FIND("/",$A1336)+1,20),FIND("/",MID($A1336,FIND("/",$A1336)+1,20))+1,20))),"")))</f>
        <v/>
      </c>
      <c r="E1336">
        <f>IF($A1336="","",IF(OR($B1336="",$C1336="",$D1336="",$B1336&lt;1300,$B1336&gt;1500,$C1336&lt;1,$C1336&gt;12,$D1336&lt;1,$D1336&gt;31),"نامعتبر",RIGHT("0000"&amp;$B1336,4)&amp;"/"&amp;RIGHT("00"&amp;$C1336,2)&amp;"/"&amp;RIGHT("00"&amp;$D1336,2)))</f>
        <v/>
      </c>
      <c r="F1336">
        <f>IF(OR($E1336="",$E1336="نامعتبر"),"",IF(Sync!$Q1333="","0000",IF(AND(ISNUMBER(Sync!$Q1333),Sync!$Q1333&gt;=0,Sync!$Q1333&lt;1),RIGHT("00"&amp;HOUR(Sync!$Q1333),2)&amp;RIGHT("00"&amp;MINUTE(Sync!$Q1333),2),IFERROR(RIGHT("00"&amp;VALUE(LEFT(Sync!$Q1333,FIND(":",Sync!$Q1333)-1)),2)&amp;RIGHT("00"&amp;VALUE(MID(Sync!$Q1333,FIND(":",Sync!$Q1333)+1,2)),2),"0000"))))</f>
        <v/>
      </c>
      <c r="G1336">
        <f>IF(OR($E1336="",$E1336="نامعتبر"),"",IF(Sync!$S1333="","",Sync!$S1333))</f>
        <v/>
      </c>
      <c r="H1336">
        <f>IF(OR($E1336="",$E1336="نامعتبر"),"",IF(Sync!$R1333="","",Sync!$R1333))</f>
        <v/>
      </c>
      <c r="I1336">
        <f>IF(OR($E1336="",$E1336="نامعتبر"),"",IF(Sync!$T1333="","",Sync!$T1333))</f>
        <v/>
      </c>
      <c r="J1336">
        <f>IF(OR($E1336="",$E1336="نامعتبر"),"",IF(Sync!$U1333="","",Sync!$U1333))</f>
        <v/>
      </c>
      <c r="K1336">
        <f>IF(OR($E1336="",$E1336="نامعتبر"),"",IF(Sync!$V1333="","",IFERROR(INDEX(SubCodes,MATCH(Sync!$V1333,SubTitles,0)),Sync!$V1333)))</f>
        <v/>
      </c>
      <c r="L1336">
        <f>IF(OR($E1336="",$E1336="نامعتبر"),"",IF(Sync!$W1333="",0,Sync!$W1333))</f>
        <v/>
      </c>
      <c r="M1336">
        <f>IF(OR($E1336="",$E1336="نامعتبر"),"",IF(Sync!$X1333="",0,Sync!$X1333))</f>
        <v/>
      </c>
      <c r="N1336">
        <f>IF(OR($E1336="",$E1336="نامعتبر"),"",IF(AND($J1336="هزینه",$K1336&lt;&gt;""),1,0))</f>
        <v/>
      </c>
      <c r="O1336">
        <f>IF($N1336=0,"",LEFT($E1336,4)&amp;MID($E1336,6,2)&amp;RIGHT($E1336,2)&amp;$F1336&amp;"|"&amp;"1"&amp;RIGHT("00000"&amp;1328,5))</f>
        <v/>
      </c>
      <c r="P1336">
        <f>IF($O1336="","",COUNTIFS(ExpSub,$K1336,ExpKey,"&lt;"&amp;$O1336)+1)</f>
        <v/>
      </c>
      <c r="Q1336">
        <f>IF($P1336="","",$K1336&amp;"|"&amp;RIGHT("000000"&amp;$P1336,6))</f>
        <v/>
      </c>
    </row>
    <row r="1337">
      <c r="A1337">
        <f>IF(Sync!$P1334="","",Sync!$P1334)</f>
        <v/>
      </c>
      <c r="B1337">
        <f>IF($A1337="","",IF(ISNUMBER($A1337),IF(AND($A1337&gt;=10000101,$A1337&lt;=99991231),INT($A1337/10000),""),IFERROR(VALUE(TRIM(LEFT($A1337,FIND("/",$A1337)-1))),"")))</f>
        <v/>
      </c>
      <c r="C1337">
        <f>IF(OR($A1337="",$B1337=""),"",IF(ISNUMBER($A1337),INT(MOD($A1337,10000)/100),IFERROR(VALUE(TRIM(LEFT(MID($A1337,FIND("/",$A1337)+1,20),FIND("/",MID($A1337,FIND("/",$A1337)+1,20))-1))),"")))</f>
        <v/>
      </c>
      <c r="D1337">
        <f>IF(OR($A1337="",$B1337=""),"",IF(ISNUMBER($A1337),MOD($A1337,100),IFERROR(VALUE(TRIM(MID(MID($A1337,FIND("/",$A1337)+1,20),FIND("/",MID($A1337,FIND("/",$A1337)+1,20))+1,20))),"")))</f>
        <v/>
      </c>
      <c r="E1337">
        <f>IF($A1337="","",IF(OR($B1337="",$C1337="",$D1337="",$B1337&lt;1300,$B1337&gt;1500,$C1337&lt;1,$C1337&gt;12,$D1337&lt;1,$D1337&gt;31),"نامعتبر",RIGHT("0000"&amp;$B1337,4)&amp;"/"&amp;RIGHT("00"&amp;$C1337,2)&amp;"/"&amp;RIGHT("00"&amp;$D1337,2)))</f>
        <v/>
      </c>
      <c r="F1337">
        <f>IF(OR($E1337="",$E1337="نامعتبر"),"",IF(Sync!$Q1334="","0000",IF(AND(ISNUMBER(Sync!$Q1334),Sync!$Q1334&gt;=0,Sync!$Q1334&lt;1),RIGHT("00"&amp;HOUR(Sync!$Q1334),2)&amp;RIGHT("00"&amp;MINUTE(Sync!$Q1334),2),IFERROR(RIGHT("00"&amp;VALUE(LEFT(Sync!$Q1334,FIND(":",Sync!$Q1334)-1)),2)&amp;RIGHT("00"&amp;VALUE(MID(Sync!$Q1334,FIND(":",Sync!$Q1334)+1,2)),2),"0000"))))</f>
        <v/>
      </c>
      <c r="G1337">
        <f>IF(OR($E1337="",$E1337="نامعتبر"),"",IF(Sync!$S1334="","",Sync!$S1334))</f>
        <v/>
      </c>
      <c r="H1337">
        <f>IF(OR($E1337="",$E1337="نامعتبر"),"",IF(Sync!$R1334="","",Sync!$R1334))</f>
        <v/>
      </c>
      <c r="I1337">
        <f>IF(OR($E1337="",$E1337="نامعتبر"),"",IF(Sync!$T1334="","",Sync!$T1334))</f>
        <v/>
      </c>
      <c r="J1337">
        <f>IF(OR($E1337="",$E1337="نامعتبر"),"",IF(Sync!$U1334="","",Sync!$U1334))</f>
        <v/>
      </c>
      <c r="K1337">
        <f>IF(OR($E1337="",$E1337="نامعتبر"),"",IF(Sync!$V1334="","",IFERROR(INDEX(SubCodes,MATCH(Sync!$V1334,SubTitles,0)),Sync!$V1334)))</f>
        <v/>
      </c>
      <c r="L1337">
        <f>IF(OR($E1337="",$E1337="نامعتبر"),"",IF(Sync!$W1334="",0,Sync!$W1334))</f>
        <v/>
      </c>
      <c r="M1337">
        <f>IF(OR($E1337="",$E1337="نامعتبر"),"",IF(Sync!$X1334="",0,Sync!$X1334))</f>
        <v/>
      </c>
      <c r="N1337">
        <f>IF(OR($E1337="",$E1337="نامعتبر"),"",IF(AND($J1337="هزینه",$K1337&lt;&gt;""),1,0))</f>
        <v/>
      </c>
      <c r="O1337">
        <f>IF($N1337=0,"",LEFT($E1337,4)&amp;MID($E1337,6,2)&amp;RIGHT($E1337,2)&amp;$F1337&amp;"|"&amp;"1"&amp;RIGHT("00000"&amp;1329,5))</f>
        <v/>
      </c>
      <c r="P1337">
        <f>IF($O1337="","",COUNTIFS(ExpSub,$K1337,ExpKey,"&lt;"&amp;$O1337)+1)</f>
        <v/>
      </c>
      <c r="Q1337">
        <f>IF($P1337="","",$K1337&amp;"|"&amp;RIGHT("000000"&amp;$P1337,6))</f>
        <v/>
      </c>
    </row>
    <row r="1338">
      <c r="A1338">
        <f>IF(Sync!$P1335="","",Sync!$P1335)</f>
        <v/>
      </c>
      <c r="B1338">
        <f>IF($A1338="","",IF(ISNUMBER($A1338),IF(AND($A1338&gt;=10000101,$A1338&lt;=99991231),INT($A1338/10000),""),IFERROR(VALUE(TRIM(LEFT($A1338,FIND("/",$A1338)-1))),"")))</f>
        <v/>
      </c>
      <c r="C1338">
        <f>IF(OR($A1338="",$B1338=""),"",IF(ISNUMBER($A1338),INT(MOD($A1338,10000)/100),IFERROR(VALUE(TRIM(LEFT(MID($A1338,FIND("/",$A1338)+1,20),FIND("/",MID($A1338,FIND("/",$A1338)+1,20))-1))),"")))</f>
        <v/>
      </c>
      <c r="D1338">
        <f>IF(OR($A1338="",$B1338=""),"",IF(ISNUMBER($A1338),MOD($A1338,100),IFERROR(VALUE(TRIM(MID(MID($A1338,FIND("/",$A1338)+1,20),FIND("/",MID($A1338,FIND("/",$A1338)+1,20))+1,20))),"")))</f>
        <v/>
      </c>
      <c r="E1338">
        <f>IF($A1338="","",IF(OR($B1338="",$C1338="",$D1338="",$B1338&lt;1300,$B1338&gt;1500,$C1338&lt;1,$C1338&gt;12,$D1338&lt;1,$D1338&gt;31),"نامعتبر",RIGHT("0000"&amp;$B1338,4)&amp;"/"&amp;RIGHT("00"&amp;$C1338,2)&amp;"/"&amp;RIGHT("00"&amp;$D1338,2)))</f>
        <v/>
      </c>
      <c r="F1338">
        <f>IF(OR($E1338="",$E1338="نامعتبر"),"",IF(Sync!$Q1335="","0000",IF(AND(ISNUMBER(Sync!$Q1335),Sync!$Q1335&gt;=0,Sync!$Q1335&lt;1),RIGHT("00"&amp;HOUR(Sync!$Q1335),2)&amp;RIGHT("00"&amp;MINUTE(Sync!$Q1335),2),IFERROR(RIGHT("00"&amp;VALUE(LEFT(Sync!$Q1335,FIND(":",Sync!$Q1335)-1)),2)&amp;RIGHT("00"&amp;VALUE(MID(Sync!$Q1335,FIND(":",Sync!$Q1335)+1,2)),2),"0000"))))</f>
        <v/>
      </c>
      <c r="G1338">
        <f>IF(OR($E1338="",$E1338="نامعتبر"),"",IF(Sync!$S1335="","",Sync!$S1335))</f>
        <v/>
      </c>
      <c r="H1338">
        <f>IF(OR($E1338="",$E1338="نامعتبر"),"",IF(Sync!$R1335="","",Sync!$R1335))</f>
        <v/>
      </c>
      <c r="I1338">
        <f>IF(OR($E1338="",$E1338="نامعتبر"),"",IF(Sync!$T1335="","",Sync!$T1335))</f>
        <v/>
      </c>
      <c r="J1338">
        <f>IF(OR($E1338="",$E1338="نامعتبر"),"",IF(Sync!$U1335="","",Sync!$U1335))</f>
        <v/>
      </c>
      <c r="K1338">
        <f>IF(OR($E1338="",$E1338="نامعتبر"),"",IF(Sync!$V1335="","",IFERROR(INDEX(SubCodes,MATCH(Sync!$V1335,SubTitles,0)),Sync!$V1335)))</f>
        <v/>
      </c>
      <c r="L1338">
        <f>IF(OR($E1338="",$E1338="نامعتبر"),"",IF(Sync!$W1335="",0,Sync!$W1335))</f>
        <v/>
      </c>
      <c r="M1338">
        <f>IF(OR($E1338="",$E1338="نامعتبر"),"",IF(Sync!$X1335="",0,Sync!$X1335))</f>
        <v/>
      </c>
      <c r="N1338">
        <f>IF(OR($E1338="",$E1338="نامعتبر"),"",IF(AND($J1338="هزینه",$K1338&lt;&gt;""),1,0))</f>
        <v/>
      </c>
      <c r="O1338">
        <f>IF($N1338=0,"",LEFT($E1338,4)&amp;MID($E1338,6,2)&amp;RIGHT($E1338,2)&amp;$F1338&amp;"|"&amp;"1"&amp;RIGHT("00000"&amp;1330,5))</f>
        <v/>
      </c>
      <c r="P1338">
        <f>IF($O1338="","",COUNTIFS(ExpSub,$K1338,ExpKey,"&lt;"&amp;$O1338)+1)</f>
        <v/>
      </c>
      <c r="Q1338">
        <f>IF($P1338="","",$K1338&amp;"|"&amp;RIGHT("000000"&amp;$P1338,6))</f>
        <v/>
      </c>
    </row>
    <row r="1339">
      <c r="A1339">
        <f>IF(Sync!$P1336="","",Sync!$P1336)</f>
        <v/>
      </c>
      <c r="B1339">
        <f>IF($A1339="","",IF(ISNUMBER($A1339),IF(AND($A1339&gt;=10000101,$A1339&lt;=99991231),INT($A1339/10000),""),IFERROR(VALUE(TRIM(LEFT($A1339,FIND("/",$A1339)-1))),"")))</f>
        <v/>
      </c>
      <c r="C1339">
        <f>IF(OR($A1339="",$B1339=""),"",IF(ISNUMBER($A1339),INT(MOD($A1339,10000)/100),IFERROR(VALUE(TRIM(LEFT(MID($A1339,FIND("/",$A1339)+1,20),FIND("/",MID($A1339,FIND("/",$A1339)+1,20))-1))),"")))</f>
        <v/>
      </c>
      <c r="D1339">
        <f>IF(OR($A1339="",$B1339=""),"",IF(ISNUMBER($A1339),MOD($A1339,100),IFERROR(VALUE(TRIM(MID(MID($A1339,FIND("/",$A1339)+1,20),FIND("/",MID($A1339,FIND("/",$A1339)+1,20))+1,20))),"")))</f>
        <v/>
      </c>
      <c r="E1339">
        <f>IF($A1339="","",IF(OR($B1339="",$C1339="",$D1339="",$B1339&lt;1300,$B1339&gt;1500,$C1339&lt;1,$C1339&gt;12,$D1339&lt;1,$D1339&gt;31),"نامعتبر",RIGHT("0000"&amp;$B1339,4)&amp;"/"&amp;RIGHT("00"&amp;$C1339,2)&amp;"/"&amp;RIGHT("00"&amp;$D1339,2)))</f>
        <v/>
      </c>
      <c r="F1339">
        <f>IF(OR($E1339="",$E1339="نامعتبر"),"",IF(Sync!$Q1336="","0000",IF(AND(ISNUMBER(Sync!$Q1336),Sync!$Q1336&gt;=0,Sync!$Q1336&lt;1),RIGHT("00"&amp;HOUR(Sync!$Q1336),2)&amp;RIGHT("00"&amp;MINUTE(Sync!$Q1336),2),IFERROR(RIGHT("00"&amp;VALUE(LEFT(Sync!$Q1336,FIND(":",Sync!$Q1336)-1)),2)&amp;RIGHT("00"&amp;VALUE(MID(Sync!$Q1336,FIND(":",Sync!$Q1336)+1,2)),2),"0000"))))</f>
        <v/>
      </c>
      <c r="G1339">
        <f>IF(OR($E1339="",$E1339="نامعتبر"),"",IF(Sync!$S1336="","",Sync!$S1336))</f>
        <v/>
      </c>
      <c r="H1339">
        <f>IF(OR($E1339="",$E1339="نامعتبر"),"",IF(Sync!$R1336="","",Sync!$R1336))</f>
        <v/>
      </c>
      <c r="I1339">
        <f>IF(OR($E1339="",$E1339="نامعتبر"),"",IF(Sync!$T1336="","",Sync!$T1336))</f>
        <v/>
      </c>
      <c r="J1339">
        <f>IF(OR($E1339="",$E1339="نامعتبر"),"",IF(Sync!$U1336="","",Sync!$U1336))</f>
        <v/>
      </c>
      <c r="K1339">
        <f>IF(OR($E1339="",$E1339="نامعتبر"),"",IF(Sync!$V1336="","",IFERROR(INDEX(SubCodes,MATCH(Sync!$V1336,SubTitles,0)),Sync!$V1336)))</f>
        <v/>
      </c>
      <c r="L1339">
        <f>IF(OR($E1339="",$E1339="نامعتبر"),"",IF(Sync!$W1336="",0,Sync!$W1336))</f>
        <v/>
      </c>
      <c r="M1339">
        <f>IF(OR($E1339="",$E1339="نامعتبر"),"",IF(Sync!$X1336="",0,Sync!$X1336))</f>
        <v/>
      </c>
      <c r="N1339">
        <f>IF(OR($E1339="",$E1339="نامعتبر"),"",IF(AND($J1339="هزینه",$K1339&lt;&gt;""),1,0))</f>
        <v/>
      </c>
      <c r="O1339">
        <f>IF($N1339=0,"",LEFT($E1339,4)&amp;MID($E1339,6,2)&amp;RIGHT($E1339,2)&amp;$F1339&amp;"|"&amp;"1"&amp;RIGHT("00000"&amp;1331,5))</f>
        <v/>
      </c>
      <c r="P1339">
        <f>IF($O1339="","",COUNTIFS(ExpSub,$K1339,ExpKey,"&lt;"&amp;$O1339)+1)</f>
        <v/>
      </c>
      <c r="Q1339">
        <f>IF($P1339="","",$K1339&amp;"|"&amp;RIGHT("000000"&amp;$P1339,6))</f>
        <v/>
      </c>
    </row>
    <row r="1340">
      <c r="A1340">
        <f>IF(Sync!$P1337="","",Sync!$P1337)</f>
        <v/>
      </c>
      <c r="B1340">
        <f>IF($A1340="","",IF(ISNUMBER($A1340),IF(AND($A1340&gt;=10000101,$A1340&lt;=99991231),INT($A1340/10000),""),IFERROR(VALUE(TRIM(LEFT($A1340,FIND("/",$A1340)-1))),"")))</f>
        <v/>
      </c>
      <c r="C1340">
        <f>IF(OR($A1340="",$B1340=""),"",IF(ISNUMBER($A1340),INT(MOD($A1340,10000)/100),IFERROR(VALUE(TRIM(LEFT(MID($A1340,FIND("/",$A1340)+1,20),FIND("/",MID($A1340,FIND("/",$A1340)+1,20))-1))),"")))</f>
        <v/>
      </c>
      <c r="D1340">
        <f>IF(OR($A1340="",$B1340=""),"",IF(ISNUMBER($A1340),MOD($A1340,100),IFERROR(VALUE(TRIM(MID(MID($A1340,FIND("/",$A1340)+1,20),FIND("/",MID($A1340,FIND("/",$A1340)+1,20))+1,20))),"")))</f>
        <v/>
      </c>
      <c r="E1340">
        <f>IF($A1340="","",IF(OR($B1340="",$C1340="",$D1340="",$B1340&lt;1300,$B1340&gt;1500,$C1340&lt;1,$C1340&gt;12,$D1340&lt;1,$D1340&gt;31),"نامعتبر",RIGHT("0000"&amp;$B1340,4)&amp;"/"&amp;RIGHT("00"&amp;$C1340,2)&amp;"/"&amp;RIGHT("00"&amp;$D1340,2)))</f>
        <v/>
      </c>
      <c r="F1340">
        <f>IF(OR($E1340="",$E1340="نامعتبر"),"",IF(Sync!$Q1337="","0000",IF(AND(ISNUMBER(Sync!$Q1337),Sync!$Q1337&gt;=0,Sync!$Q1337&lt;1),RIGHT("00"&amp;HOUR(Sync!$Q1337),2)&amp;RIGHT("00"&amp;MINUTE(Sync!$Q1337),2),IFERROR(RIGHT("00"&amp;VALUE(LEFT(Sync!$Q1337,FIND(":",Sync!$Q1337)-1)),2)&amp;RIGHT("00"&amp;VALUE(MID(Sync!$Q1337,FIND(":",Sync!$Q1337)+1,2)),2),"0000"))))</f>
        <v/>
      </c>
      <c r="G1340">
        <f>IF(OR($E1340="",$E1340="نامعتبر"),"",IF(Sync!$S1337="","",Sync!$S1337))</f>
        <v/>
      </c>
      <c r="H1340">
        <f>IF(OR($E1340="",$E1340="نامعتبر"),"",IF(Sync!$R1337="","",Sync!$R1337))</f>
        <v/>
      </c>
      <c r="I1340">
        <f>IF(OR($E1340="",$E1340="نامعتبر"),"",IF(Sync!$T1337="","",Sync!$T1337))</f>
        <v/>
      </c>
      <c r="J1340">
        <f>IF(OR($E1340="",$E1340="نامعتبر"),"",IF(Sync!$U1337="","",Sync!$U1337))</f>
        <v/>
      </c>
      <c r="K1340">
        <f>IF(OR($E1340="",$E1340="نامعتبر"),"",IF(Sync!$V1337="","",IFERROR(INDEX(SubCodes,MATCH(Sync!$V1337,SubTitles,0)),Sync!$V1337)))</f>
        <v/>
      </c>
      <c r="L1340">
        <f>IF(OR($E1340="",$E1340="نامعتبر"),"",IF(Sync!$W1337="",0,Sync!$W1337))</f>
        <v/>
      </c>
      <c r="M1340">
        <f>IF(OR($E1340="",$E1340="نامعتبر"),"",IF(Sync!$X1337="",0,Sync!$X1337))</f>
        <v/>
      </c>
      <c r="N1340">
        <f>IF(OR($E1340="",$E1340="نامعتبر"),"",IF(AND($J1340="هزینه",$K1340&lt;&gt;""),1,0))</f>
        <v/>
      </c>
      <c r="O1340">
        <f>IF($N1340=0,"",LEFT($E1340,4)&amp;MID($E1340,6,2)&amp;RIGHT($E1340,2)&amp;$F1340&amp;"|"&amp;"1"&amp;RIGHT("00000"&amp;1332,5))</f>
        <v/>
      </c>
      <c r="P1340">
        <f>IF($O1340="","",COUNTIFS(ExpSub,$K1340,ExpKey,"&lt;"&amp;$O1340)+1)</f>
        <v/>
      </c>
      <c r="Q1340">
        <f>IF($P1340="","",$K1340&amp;"|"&amp;RIGHT("000000"&amp;$P1340,6))</f>
        <v/>
      </c>
    </row>
    <row r="1341">
      <c r="A1341">
        <f>IF(Sync!$P1338="","",Sync!$P1338)</f>
        <v/>
      </c>
      <c r="B1341">
        <f>IF($A1341="","",IF(ISNUMBER($A1341),IF(AND($A1341&gt;=10000101,$A1341&lt;=99991231),INT($A1341/10000),""),IFERROR(VALUE(TRIM(LEFT($A1341,FIND("/",$A1341)-1))),"")))</f>
        <v/>
      </c>
      <c r="C1341">
        <f>IF(OR($A1341="",$B1341=""),"",IF(ISNUMBER($A1341),INT(MOD($A1341,10000)/100),IFERROR(VALUE(TRIM(LEFT(MID($A1341,FIND("/",$A1341)+1,20),FIND("/",MID($A1341,FIND("/",$A1341)+1,20))-1))),"")))</f>
        <v/>
      </c>
      <c r="D1341">
        <f>IF(OR($A1341="",$B1341=""),"",IF(ISNUMBER($A1341),MOD($A1341,100),IFERROR(VALUE(TRIM(MID(MID($A1341,FIND("/",$A1341)+1,20),FIND("/",MID($A1341,FIND("/",$A1341)+1,20))+1,20))),"")))</f>
        <v/>
      </c>
      <c r="E1341">
        <f>IF($A1341="","",IF(OR($B1341="",$C1341="",$D1341="",$B1341&lt;1300,$B1341&gt;1500,$C1341&lt;1,$C1341&gt;12,$D1341&lt;1,$D1341&gt;31),"نامعتبر",RIGHT("0000"&amp;$B1341,4)&amp;"/"&amp;RIGHT("00"&amp;$C1341,2)&amp;"/"&amp;RIGHT("00"&amp;$D1341,2)))</f>
        <v/>
      </c>
      <c r="F1341">
        <f>IF(OR($E1341="",$E1341="نامعتبر"),"",IF(Sync!$Q1338="","0000",IF(AND(ISNUMBER(Sync!$Q1338),Sync!$Q1338&gt;=0,Sync!$Q1338&lt;1),RIGHT("00"&amp;HOUR(Sync!$Q1338),2)&amp;RIGHT("00"&amp;MINUTE(Sync!$Q1338),2),IFERROR(RIGHT("00"&amp;VALUE(LEFT(Sync!$Q1338,FIND(":",Sync!$Q1338)-1)),2)&amp;RIGHT("00"&amp;VALUE(MID(Sync!$Q1338,FIND(":",Sync!$Q1338)+1,2)),2),"0000"))))</f>
        <v/>
      </c>
      <c r="G1341">
        <f>IF(OR($E1341="",$E1341="نامعتبر"),"",IF(Sync!$S1338="","",Sync!$S1338))</f>
        <v/>
      </c>
      <c r="H1341">
        <f>IF(OR($E1341="",$E1341="نامعتبر"),"",IF(Sync!$R1338="","",Sync!$R1338))</f>
        <v/>
      </c>
      <c r="I1341">
        <f>IF(OR($E1341="",$E1341="نامعتبر"),"",IF(Sync!$T1338="","",Sync!$T1338))</f>
        <v/>
      </c>
      <c r="J1341">
        <f>IF(OR($E1341="",$E1341="نامعتبر"),"",IF(Sync!$U1338="","",Sync!$U1338))</f>
        <v/>
      </c>
      <c r="K1341">
        <f>IF(OR($E1341="",$E1341="نامعتبر"),"",IF(Sync!$V1338="","",IFERROR(INDEX(SubCodes,MATCH(Sync!$V1338,SubTitles,0)),Sync!$V1338)))</f>
        <v/>
      </c>
      <c r="L1341">
        <f>IF(OR($E1341="",$E1341="نامعتبر"),"",IF(Sync!$W1338="",0,Sync!$W1338))</f>
        <v/>
      </c>
      <c r="M1341">
        <f>IF(OR($E1341="",$E1341="نامعتبر"),"",IF(Sync!$X1338="",0,Sync!$X1338))</f>
        <v/>
      </c>
      <c r="N1341">
        <f>IF(OR($E1341="",$E1341="نامعتبر"),"",IF(AND($J1341="هزینه",$K1341&lt;&gt;""),1,0))</f>
        <v/>
      </c>
      <c r="O1341">
        <f>IF($N1341=0,"",LEFT($E1341,4)&amp;MID($E1341,6,2)&amp;RIGHT($E1341,2)&amp;$F1341&amp;"|"&amp;"1"&amp;RIGHT("00000"&amp;1333,5))</f>
        <v/>
      </c>
      <c r="P1341">
        <f>IF($O1341="","",COUNTIFS(ExpSub,$K1341,ExpKey,"&lt;"&amp;$O1341)+1)</f>
        <v/>
      </c>
      <c r="Q1341">
        <f>IF($P1341="","",$K1341&amp;"|"&amp;RIGHT("000000"&amp;$P1341,6))</f>
        <v/>
      </c>
    </row>
    <row r="1342">
      <c r="A1342">
        <f>IF(Sync!$P1339="","",Sync!$P1339)</f>
        <v/>
      </c>
      <c r="B1342">
        <f>IF($A1342="","",IF(ISNUMBER($A1342),IF(AND($A1342&gt;=10000101,$A1342&lt;=99991231),INT($A1342/10000),""),IFERROR(VALUE(TRIM(LEFT($A1342,FIND("/",$A1342)-1))),"")))</f>
        <v/>
      </c>
      <c r="C1342">
        <f>IF(OR($A1342="",$B1342=""),"",IF(ISNUMBER($A1342),INT(MOD($A1342,10000)/100),IFERROR(VALUE(TRIM(LEFT(MID($A1342,FIND("/",$A1342)+1,20),FIND("/",MID($A1342,FIND("/",$A1342)+1,20))-1))),"")))</f>
        <v/>
      </c>
      <c r="D1342">
        <f>IF(OR($A1342="",$B1342=""),"",IF(ISNUMBER($A1342),MOD($A1342,100),IFERROR(VALUE(TRIM(MID(MID($A1342,FIND("/",$A1342)+1,20),FIND("/",MID($A1342,FIND("/",$A1342)+1,20))+1,20))),"")))</f>
        <v/>
      </c>
      <c r="E1342">
        <f>IF($A1342="","",IF(OR($B1342="",$C1342="",$D1342="",$B1342&lt;1300,$B1342&gt;1500,$C1342&lt;1,$C1342&gt;12,$D1342&lt;1,$D1342&gt;31),"نامعتبر",RIGHT("0000"&amp;$B1342,4)&amp;"/"&amp;RIGHT("00"&amp;$C1342,2)&amp;"/"&amp;RIGHT("00"&amp;$D1342,2)))</f>
        <v/>
      </c>
      <c r="F1342">
        <f>IF(OR($E1342="",$E1342="نامعتبر"),"",IF(Sync!$Q1339="","0000",IF(AND(ISNUMBER(Sync!$Q1339),Sync!$Q1339&gt;=0,Sync!$Q1339&lt;1),RIGHT("00"&amp;HOUR(Sync!$Q1339),2)&amp;RIGHT("00"&amp;MINUTE(Sync!$Q1339),2),IFERROR(RIGHT("00"&amp;VALUE(LEFT(Sync!$Q1339,FIND(":",Sync!$Q1339)-1)),2)&amp;RIGHT("00"&amp;VALUE(MID(Sync!$Q1339,FIND(":",Sync!$Q1339)+1,2)),2),"0000"))))</f>
        <v/>
      </c>
      <c r="G1342">
        <f>IF(OR($E1342="",$E1342="نامعتبر"),"",IF(Sync!$S1339="","",Sync!$S1339))</f>
        <v/>
      </c>
      <c r="H1342">
        <f>IF(OR($E1342="",$E1342="نامعتبر"),"",IF(Sync!$R1339="","",Sync!$R1339))</f>
        <v/>
      </c>
      <c r="I1342">
        <f>IF(OR($E1342="",$E1342="نامعتبر"),"",IF(Sync!$T1339="","",Sync!$T1339))</f>
        <v/>
      </c>
      <c r="J1342">
        <f>IF(OR($E1342="",$E1342="نامعتبر"),"",IF(Sync!$U1339="","",Sync!$U1339))</f>
        <v/>
      </c>
      <c r="K1342">
        <f>IF(OR($E1342="",$E1342="نامعتبر"),"",IF(Sync!$V1339="","",IFERROR(INDEX(SubCodes,MATCH(Sync!$V1339,SubTitles,0)),Sync!$V1339)))</f>
        <v/>
      </c>
      <c r="L1342">
        <f>IF(OR($E1342="",$E1342="نامعتبر"),"",IF(Sync!$W1339="",0,Sync!$W1339))</f>
        <v/>
      </c>
      <c r="M1342">
        <f>IF(OR($E1342="",$E1342="نامعتبر"),"",IF(Sync!$X1339="",0,Sync!$X1339))</f>
        <v/>
      </c>
      <c r="N1342">
        <f>IF(OR($E1342="",$E1342="نامعتبر"),"",IF(AND($J1342="هزینه",$K1342&lt;&gt;""),1,0))</f>
        <v/>
      </c>
      <c r="O1342">
        <f>IF($N1342=0,"",LEFT($E1342,4)&amp;MID($E1342,6,2)&amp;RIGHT($E1342,2)&amp;$F1342&amp;"|"&amp;"1"&amp;RIGHT("00000"&amp;1334,5))</f>
        <v/>
      </c>
      <c r="P1342">
        <f>IF($O1342="","",COUNTIFS(ExpSub,$K1342,ExpKey,"&lt;"&amp;$O1342)+1)</f>
        <v/>
      </c>
      <c r="Q1342">
        <f>IF($P1342="","",$K1342&amp;"|"&amp;RIGHT("000000"&amp;$P1342,6))</f>
        <v/>
      </c>
    </row>
    <row r="1343">
      <c r="A1343">
        <f>IF(Sync!$P1340="","",Sync!$P1340)</f>
        <v/>
      </c>
      <c r="B1343">
        <f>IF($A1343="","",IF(ISNUMBER($A1343),IF(AND($A1343&gt;=10000101,$A1343&lt;=99991231),INT($A1343/10000),""),IFERROR(VALUE(TRIM(LEFT($A1343,FIND("/",$A1343)-1))),"")))</f>
        <v/>
      </c>
      <c r="C1343">
        <f>IF(OR($A1343="",$B1343=""),"",IF(ISNUMBER($A1343),INT(MOD($A1343,10000)/100),IFERROR(VALUE(TRIM(LEFT(MID($A1343,FIND("/",$A1343)+1,20),FIND("/",MID($A1343,FIND("/",$A1343)+1,20))-1))),"")))</f>
        <v/>
      </c>
      <c r="D1343">
        <f>IF(OR($A1343="",$B1343=""),"",IF(ISNUMBER($A1343),MOD($A1343,100),IFERROR(VALUE(TRIM(MID(MID($A1343,FIND("/",$A1343)+1,20),FIND("/",MID($A1343,FIND("/",$A1343)+1,20))+1,20))),"")))</f>
        <v/>
      </c>
      <c r="E1343">
        <f>IF($A1343="","",IF(OR($B1343="",$C1343="",$D1343="",$B1343&lt;1300,$B1343&gt;1500,$C1343&lt;1,$C1343&gt;12,$D1343&lt;1,$D1343&gt;31),"نامعتبر",RIGHT("0000"&amp;$B1343,4)&amp;"/"&amp;RIGHT("00"&amp;$C1343,2)&amp;"/"&amp;RIGHT("00"&amp;$D1343,2)))</f>
        <v/>
      </c>
      <c r="F1343">
        <f>IF(OR($E1343="",$E1343="نامعتبر"),"",IF(Sync!$Q1340="","0000",IF(AND(ISNUMBER(Sync!$Q1340),Sync!$Q1340&gt;=0,Sync!$Q1340&lt;1),RIGHT("00"&amp;HOUR(Sync!$Q1340),2)&amp;RIGHT("00"&amp;MINUTE(Sync!$Q1340),2),IFERROR(RIGHT("00"&amp;VALUE(LEFT(Sync!$Q1340,FIND(":",Sync!$Q1340)-1)),2)&amp;RIGHT("00"&amp;VALUE(MID(Sync!$Q1340,FIND(":",Sync!$Q1340)+1,2)),2),"0000"))))</f>
        <v/>
      </c>
      <c r="G1343">
        <f>IF(OR($E1343="",$E1343="نامعتبر"),"",IF(Sync!$S1340="","",Sync!$S1340))</f>
        <v/>
      </c>
      <c r="H1343">
        <f>IF(OR($E1343="",$E1343="نامعتبر"),"",IF(Sync!$R1340="","",Sync!$R1340))</f>
        <v/>
      </c>
      <c r="I1343">
        <f>IF(OR($E1343="",$E1343="نامعتبر"),"",IF(Sync!$T1340="","",Sync!$T1340))</f>
        <v/>
      </c>
      <c r="J1343">
        <f>IF(OR($E1343="",$E1343="نامعتبر"),"",IF(Sync!$U1340="","",Sync!$U1340))</f>
        <v/>
      </c>
      <c r="K1343">
        <f>IF(OR($E1343="",$E1343="نامعتبر"),"",IF(Sync!$V1340="","",IFERROR(INDEX(SubCodes,MATCH(Sync!$V1340,SubTitles,0)),Sync!$V1340)))</f>
        <v/>
      </c>
      <c r="L1343">
        <f>IF(OR($E1343="",$E1343="نامعتبر"),"",IF(Sync!$W1340="",0,Sync!$W1340))</f>
        <v/>
      </c>
      <c r="M1343">
        <f>IF(OR($E1343="",$E1343="نامعتبر"),"",IF(Sync!$X1340="",0,Sync!$X1340))</f>
        <v/>
      </c>
      <c r="N1343">
        <f>IF(OR($E1343="",$E1343="نامعتبر"),"",IF(AND($J1343="هزینه",$K1343&lt;&gt;""),1,0))</f>
        <v/>
      </c>
      <c r="O1343">
        <f>IF($N1343=0,"",LEFT($E1343,4)&amp;MID($E1343,6,2)&amp;RIGHT($E1343,2)&amp;$F1343&amp;"|"&amp;"1"&amp;RIGHT("00000"&amp;1335,5))</f>
        <v/>
      </c>
      <c r="P1343">
        <f>IF($O1343="","",COUNTIFS(ExpSub,$K1343,ExpKey,"&lt;"&amp;$O1343)+1)</f>
        <v/>
      </c>
      <c r="Q1343">
        <f>IF($P1343="","",$K1343&amp;"|"&amp;RIGHT("000000"&amp;$P1343,6))</f>
        <v/>
      </c>
    </row>
    <row r="1344">
      <c r="A1344">
        <f>IF(Sync!$P1341="","",Sync!$P1341)</f>
        <v/>
      </c>
      <c r="B1344">
        <f>IF($A1344="","",IF(ISNUMBER($A1344),IF(AND($A1344&gt;=10000101,$A1344&lt;=99991231),INT($A1344/10000),""),IFERROR(VALUE(TRIM(LEFT($A1344,FIND("/",$A1344)-1))),"")))</f>
        <v/>
      </c>
      <c r="C1344">
        <f>IF(OR($A1344="",$B1344=""),"",IF(ISNUMBER($A1344),INT(MOD($A1344,10000)/100),IFERROR(VALUE(TRIM(LEFT(MID($A1344,FIND("/",$A1344)+1,20),FIND("/",MID($A1344,FIND("/",$A1344)+1,20))-1))),"")))</f>
        <v/>
      </c>
      <c r="D1344">
        <f>IF(OR($A1344="",$B1344=""),"",IF(ISNUMBER($A1344),MOD($A1344,100),IFERROR(VALUE(TRIM(MID(MID($A1344,FIND("/",$A1344)+1,20),FIND("/",MID($A1344,FIND("/",$A1344)+1,20))+1,20))),"")))</f>
        <v/>
      </c>
      <c r="E1344">
        <f>IF($A1344="","",IF(OR($B1344="",$C1344="",$D1344="",$B1344&lt;1300,$B1344&gt;1500,$C1344&lt;1,$C1344&gt;12,$D1344&lt;1,$D1344&gt;31),"نامعتبر",RIGHT("0000"&amp;$B1344,4)&amp;"/"&amp;RIGHT("00"&amp;$C1344,2)&amp;"/"&amp;RIGHT("00"&amp;$D1344,2)))</f>
        <v/>
      </c>
      <c r="F1344">
        <f>IF(OR($E1344="",$E1344="نامعتبر"),"",IF(Sync!$Q1341="","0000",IF(AND(ISNUMBER(Sync!$Q1341),Sync!$Q1341&gt;=0,Sync!$Q1341&lt;1),RIGHT("00"&amp;HOUR(Sync!$Q1341),2)&amp;RIGHT("00"&amp;MINUTE(Sync!$Q1341),2),IFERROR(RIGHT("00"&amp;VALUE(LEFT(Sync!$Q1341,FIND(":",Sync!$Q1341)-1)),2)&amp;RIGHT("00"&amp;VALUE(MID(Sync!$Q1341,FIND(":",Sync!$Q1341)+1,2)),2),"0000"))))</f>
        <v/>
      </c>
      <c r="G1344">
        <f>IF(OR($E1344="",$E1344="نامعتبر"),"",IF(Sync!$S1341="","",Sync!$S1341))</f>
        <v/>
      </c>
      <c r="H1344">
        <f>IF(OR($E1344="",$E1344="نامعتبر"),"",IF(Sync!$R1341="","",Sync!$R1341))</f>
        <v/>
      </c>
      <c r="I1344">
        <f>IF(OR($E1344="",$E1344="نامعتبر"),"",IF(Sync!$T1341="","",Sync!$T1341))</f>
        <v/>
      </c>
      <c r="J1344">
        <f>IF(OR($E1344="",$E1344="نامعتبر"),"",IF(Sync!$U1341="","",Sync!$U1341))</f>
        <v/>
      </c>
      <c r="K1344">
        <f>IF(OR($E1344="",$E1344="نامعتبر"),"",IF(Sync!$V1341="","",IFERROR(INDEX(SubCodes,MATCH(Sync!$V1341,SubTitles,0)),Sync!$V1341)))</f>
        <v/>
      </c>
      <c r="L1344">
        <f>IF(OR($E1344="",$E1344="نامعتبر"),"",IF(Sync!$W1341="",0,Sync!$W1341))</f>
        <v/>
      </c>
      <c r="M1344">
        <f>IF(OR($E1344="",$E1344="نامعتبر"),"",IF(Sync!$X1341="",0,Sync!$X1341))</f>
        <v/>
      </c>
      <c r="N1344">
        <f>IF(OR($E1344="",$E1344="نامعتبر"),"",IF(AND($J1344="هزینه",$K1344&lt;&gt;""),1,0))</f>
        <v/>
      </c>
      <c r="O1344">
        <f>IF($N1344=0,"",LEFT($E1344,4)&amp;MID($E1344,6,2)&amp;RIGHT($E1344,2)&amp;$F1344&amp;"|"&amp;"1"&amp;RIGHT("00000"&amp;1336,5))</f>
        <v/>
      </c>
      <c r="P1344">
        <f>IF($O1344="","",COUNTIFS(ExpSub,$K1344,ExpKey,"&lt;"&amp;$O1344)+1)</f>
        <v/>
      </c>
      <c r="Q1344">
        <f>IF($P1344="","",$K1344&amp;"|"&amp;RIGHT("000000"&amp;$P1344,6))</f>
        <v/>
      </c>
    </row>
    <row r="1345">
      <c r="A1345">
        <f>IF(Sync!$P1342="","",Sync!$P1342)</f>
        <v/>
      </c>
      <c r="B1345">
        <f>IF($A1345="","",IF(ISNUMBER($A1345),IF(AND($A1345&gt;=10000101,$A1345&lt;=99991231),INT($A1345/10000),""),IFERROR(VALUE(TRIM(LEFT($A1345,FIND("/",$A1345)-1))),"")))</f>
        <v/>
      </c>
      <c r="C1345">
        <f>IF(OR($A1345="",$B1345=""),"",IF(ISNUMBER($A1345),INT(MOD($A1345,10000)/100),IFERROR(VALUE(TRIM(LEFT(MID($A1345,FIND("/",$A1345)+1,20),FIND("/",MID($A1345,FIND("/",$A1345)+1,20))-1))),"")))</f>
        <v/>
      </c>
      <c r="D1345">
        <f>IF(OR($A1345="",$B1345=""),"",IF(ISNUMBER($A1345),MOD($A1345,100),IFERROR(VALUE(TRIM(MID(MID($A1345,FIND("/",$A1345)+1,20),FIND("/",MID($A1345,FIND("/",$A1345)+1,20))+1,20))),"")))</f>
        <v/>
      </c>
      <c r="E1345">
        <f>IF($A1345="","",IF(OR($B1345="",$C1345="",$D1345="",$B1345&lt;1300,$B1345&gt;1500,$C1345&lt;1,$C1345&gt;12,$D1345&lt;1,$D1345&gt;31),"نامعتبر",RIGHT("0000"&amp;$B1345,4)&amp;"/"&amp;RIGHT("00"&amp;$C1345,2)&amp;"/"&amp;RIGHT("00"&amp;$D1345,2)))</f>
        <v/>
      </c>
      <c r="F1345">
        <f>IF(OR($E1345="",$E1345="نامعتبر"),"",IF(Sync!$Q1342="","0000",IF(AND(ISNUMBER(Sync!$Q1342),Sync!$Q1342&gt;=0,Sync!$Q1342&lt;1),RIGHT("00"&amp;HOUR(Sync!$Q1342),2)&amp;RIGHT("00"&amp;MINUTE(Sync!$Q1342),2),IFERROR(RIGHT("00"&amp;VALUE(LEFT(Sync!$Q1342,FIND(":",Sync!$Q1342)-1)),2)&amp;RIGHT("00"&amp;VALUE(MID(Sync!$Q1342,FIND(":",Sync!$Q1342)+1,2)),2),"0000"))))</f>
        <v/>
      </c>
      <c r="G1345">
        <f>IF(OR($E1345="",$E1345="نامعتبر"),"",IF(Sync!$S1342="","",Sync!$S1342))</f>
        <v/>
      </c>
      <c r="H1345">
        <f>IF(OR($E1345="",$E1345="نامعتبر"),"",IF(Sync!$R1342="","",Sync!$R1342))</f>
        <v/>
      </c>
      <c r="I1345">
        <f>IF(OR($E1345="",$E1345="نامعتبر"),"",IF(Sync!$T1342="","",Sync!$T1342))</f>
        <v/>
      </c>
      <c r="J1345">
        <f>IF(OR($E1345="",$E1345="نامعتبر"),"",IF(Sync!$U1342="","",Sync!$U1342))</f>
        <v/>
      </c>
      <c r="K1345">
        <f>IF(OR($E1345="",$E1345="نامعتبر"),"",IF(Sync!$V1342="","",IFERROR(INDEX(SubCodes,MATCH(Sync!$V1342,SubTitles,0)),Sync!$V1342)))</f>
        <v/>
      </c>
      <c r="L1345">
        <f>IF(OR($E1345="",$E1345="نامعتبر"),"",IF(Sync!$W1342="",0,Sync!$W1342))</f>
        <v/>
      </c>
      <c r="M1345">
        <f>IF(OR($E1345="",$E1345="نامعتبر"),"",IF(Sync!$X1342="",0,Sync!$X1342))</f>
        <v/>
      </c>
      <c r="N1345">
        <f>IF(OR($E1345="",$E1345="نامعتبر"),"",IF(AND($J1345="هزینه",$K1345&lt;&gt;""),1,0))</f>
        <v/>
      </c>
      <c r="O1345">
        <f>IF($N1345=0,"",LEFT($E1345,4)&amp;MID($E1345,6,2)&amp;RIGHT($E1345,2)&amp;$F1345&amp;"|"&amp;"1"&amp;RIGHT("00000"&amp;1337,5))</f>
        <v/>
      </c>
      <c r="P1345">
        <f>IF($O1345="","",COUNTIFS(ExpSub,$K1345,ExpKey,"&lt;"&amp;$O1345)+1)</f>
        <v/>
      </c>
      <c r="Q1345">
        <f>IF($P1345="","",$K1345&amp;"|"&amp;RIGHT("000000"&amp;$P1345,6))</f>
        <v/>
      </c>
    </row>
    <row r="1346">
      <c r="A1346">
        <f>IF(Sync!$P1343="","",Sync!$P1343)</f>
        <v/>
      </c>
      <c r="B1346">
        <f>IF($A1346="","",IF(ISNUMBER($A1346),IF(AND($A1346&gt;=10000101,$A1346&lt;=99991231),INT($A1346/10000),""),IFERROR(VALUE(TRIM(LEFT($A1346,FIND("/",$A1346)-1))),"")))</f>
        <v/>
      </c>
      <c r="C1346">
        <f>IF(OR($A1346="",$B1346=""),"",IF(ISNUMBER($A1346),INT(MOD($A1346,10000)/100),IFERROR(VALUE(TRIM(LEFT(MID($A1346,FIND("/",$A1346)+1,20),FIND("/",MID($A1346,FIND("/",$A1346)+1,20))-1))),"")))</f>
        <v/>
      </c>
      <c r="D1346">
        <f>IF(OR($A1346="",$B1346=""),"",IF(ISNUMBER($A1346),MOD($A1346,100),IFERROR(VALUE(TRIM(MID(MID($A1346,FIND("/",$A1346)+1,20),FIND("/",MID($A1346,FIND("/",$A1346)+1,20))+1,20))),"")))</f>
        <v/>
      </c>
      <c r="E1346">
        <f>IF($A1346="","",IF(OR($B1346="",$C1346="",$D1346="",$B1346&lt;1300,$B1346&gt;1500,$C1346&lt;1,$C1346&gt;12,$D1346&lt;1,$D1346&gt;31),"نامعتبر",RIGHT("0000"&amp;$B1346,4)&amp;"/"&amp;RIGHT("00"&amp;$C1346,2)&amp;"/"&amp;RIGHT("00"&amp;$D1346,2)))</f>
        <v/>
      </c>
      <c r="F1346">
        <f>IF(OR($E1346="",$E1346="نامعتبر"),"",IF(Sync!$Q1343="","0000",IF(AND(ISNUMBER(Sync!$Q1343),Sync!$Q1343&gt;=0,Sync!$Q1343&lt;1),RIGHT("00"&amp;HOUR(Sync!$Q1343),2)&amp;RIGHT("00"&amp;MINUTE(Sync!$Q1343),2),IFERROR(RIGHT("00"&amp;VALUE(LEFT(Sync!$Q1343,FIND(":",Sync!$Q1343)-1)),2)&amp;RIGHT("00"&amp;VALUE(MID(Sync!$Q1343,FIND(":",Sync!$Q1343)+1,2)),2),"0000"))))</f>
        <v/>
      </c>
      <c r="G1346">
        <f>IF(OR($E1346="",$E1346="نامعتبر"),"",IF(Sync!$S1343="","",Sync!$S1343))</f>
        <v/>
      </c>
      <c r="H1346">
        <f>IF(OR($E1346="",$E1346="نامعتبر"),"",IF(Sync!$R1343="","",Sync!$R1343))</f>
        <v/>
      </c>
      <c r="I1346">
        <f>IF(OR($E1346="",$E1346="نامعتبر"),"",IF(Sync!$T1343="","",Sync!$T1343))</f>
        <v/>
      </c>
      <c r="J1346">
        <f>IF(OR($E1346="",$E1346="نامعتبر"),"",IF(Sync!$U1343="","",Sync!$U1343))</f>
        <v/>
      </c>
      <c r="K1346">
        <f>IF(OR($E1346="",$E1346="نامعتبر"),"",IF(Sync!$V1343="","",IFERROR(INDEX(SubCodes,MATCH(Sync!$V1343,SubTitles,0)),Sync!$V1343)))</f>
        <v/>
      </c>
      <c r="L1346">
        <f>IF(OR($E1346="",$E1346="نامعتبر"),"",IF(Sync!$W1343="",0,Sync!$W1343))</f>
        <v/>
      </c>
      <c r="M1346">
        <f>IF(OR($E1346="",$E1346="نامعتبر"),"",IF(Sync!$X1343="",0,Sync!$X1343))</f>
        <v/>
      </c>
      <c r="N1346">
        <f>IF(OR($E1346="",$E1346="نامعتبر"),"",IF(AND($J1346="هزینه",$K1346&lt;&gt;""),1,0))</f>
        <v/>
      </c>
      <c r="O1346">
        <f>IF($N1346=0,"",LEFT($E1346,4)&amp;MID($E1346,6,2)&amp;RIGHT($E1346,2)&amp;$F1346&amp;"|"&amp;"1"&amp;RIGHT("00000"&amp;1338,5))</f>
        <v/>
      </c>
      <c r="P1346">
        <f>IF($O1346="","",COUNTIFS(ExpSub,$K1346,ExpKey,"&lt;"&amp;$O1346)+1)</f>
        <v/>
      </c>
      <c r="Q1346">
        <f>IF($P1346="","",$K1346&amp;"|"&amp;RIGHT("000000"&amp;$P1346,6))</f>
        <v/>
      </c>
    </row>
    <row r="1347">
      <c r="A1347">
        <f>IF(Sync!$P1344="","",Sync!$P1344)</f>
        <v/>
      </c>
      <c r="B1347">
        <f>IF($A1347="","",IF(ISNUMBER($A1347),IF(AND($A1347&gt;=10000101,$A1347&lt;=99991231),INT($A1347/10000),""),IFERROR(VALUE(TRIM(LEFT($A1347,FIND("/",$A1347)-1))),"")))</f>
        <v/>
      </c>
      <c r="C1347">
        <f>IF(OR($A1347="",$B1347=""),"",IF(ISNUMBER($A1347),INT(MOD($A1347,10000)/100),IFERROR(VALUE(TRIM(LEFT(MID($A1347,FIND("/",$A1347)+1,20),FIND("/",MID($A1347,FIND("/",$A1347)+1,20))-1))),"")))</f>
        <v/>
      </c>
      <c r="D1347">
        <f>IF(OR($A1347="",$B1347=""),"",IF(ISNUMBER($A1347),MOD($A1347,100),IFERROR(VALUE(TRIM(MID(MID($A1347,FIND("/",$A1347)+1,20),FIND("/",MID($A1347,FIND("/",$A1347)+1,20))+1,20))),"")))</f>
        <v/>
      </c>
      <c r="E1347">
        <f>IF($A1347="","",IF(OR($B1347="",$C1347="",$D1347="",$B1347&lt;1300,$B1347&gt;1500,$C1347&lt;1,$C1347&gt;12,$D1347&lt;1,$D1347&gt;31),"نامعتبر",RIGHT("0000"&amp;$B1347,4)&amp;"/"&amp;RIGHT("00"&amp;$C1347,2)&amp;"/"&amp;RIGHT("00"&amp;$D1347,2)))</f>
        <v/>
      </c>
      <c r="F1347">
        <f>IF(OR($E1347="",$E1347="نامعتبر"),"",IF(Sync!$Q1344="","0000",IF(AND(ISNUMBER(Sync!$Q1344),Sync!$Q1344&gt;=0,Sync!$Q1344&lt;1),RIGHT("00"&amp;HOUR(Sync!$Q1344),2)&amp;RIGHT("00"&amp;MINUTE(Sync!$Q1344),2),IFERROR(RIGHT("00"&amp;VALUE(LEFT(Sync!$Q1344,FIND(":",Sync!$Q1344)-1)),2)&amp;RIGHT("00"&amp;VALUE(MID(Sync!$Q1344,FIND(":",Sync!$Q1344)+1,2)),2),"0000"))))</f>
        <v/>
      </c>
      <c r="G1347">
        <f>IF(OR($E1347="",$E1347="نامعتبر"),"",IF(Sync!$S1344="","",Sync!$S1344))</f>
        <v/>
      </c>
      <c r="H1347">
        <f>IF(OR($E1347="",$E1347="نامعتبر"),"",IF(Sync!$R1344="","",Sync!$R1344))</f>
        <v/>
      </c>
      <c r="I1347">
        <f>IF(OR($E1347="",$E1347="نامعتبر"),"",IF(Sync!$T1344="","",Sync!$T1344))</f>
        <v/>
      </c>
      <c r="J1347">
        <f>IF(OR($E1347="",$E1347="نامعتبر"),"",IF(Sync!$U1344="","",Sync!$U1344))</f>
        <v/>
      </c>
      <c r="K1347">
        <f>IF(OR($E1347="",$E1347="نامعتبر"),"",IF(Sync!$V1344="","",IFERROR(INDEX(SubCodes,MATCH(Sync!$V1344,SubTitles,0)),Sync!$V1344)))</f>
        <v/>
      </c>
      <c r="L1347">
        <f>IF(OR($E1347="",$E1347="نامعتبر"),"",IF(Sync!$W1344="",0,Sync!$W1344))</f>
        <v/>
      </c>
      <c r="M1347">
        <f>IF(OR($E1347="",$E1347="نامعتبر"),"",IF(Sync!$X1344="",0,Sync!$X1344))</f>
        <v/>
      </c>
      <c r="N1347">
        <f>IF(OR($E1347="",$E1347="نامعتبر"),"",IF(AND($J1347="هزینه",$K1347&lt;&gt;""),1,0))</f>
        <v/>
      </c>
      <c r="O1347">
        <f>IF($N1347=0,"",LEFT($E1347,4)&amp;MID($E1347,6,2)&amp;RIGHT($E1347,2)&amp;$F1347&amp;"|"&amp;"1"&amp;RIGHT("00000"&amp;1339,5))</f>
        <v/>
      </c>
      <c r="P1347">
        <f>IF($O1347="","",COUNTIFS(ExpSub,$K1347,ExpKey,"&lt;"&amp;$O1347)+1)</f>
        <v/>
      </c>
      <c r="Q1347">
        <f>IF($P1347="","",$K1347&amp;"|"&amp;RIGHT("000000"&amp;$P1347,6))</f>
        <v/>
      </c>
    </row>
    <row r="1348">
      <c r="A1348">
        <f>IF(Sync!$P1345="","",Sync!$P1345)</f>
        <v/>
      </c>
      <c r="B1348">
        <f>IF($A1348="","",IF(ISNUMBER($A1348),IF(AND($A1348&gt;=10000101,$A1348&lt;=99991231),INT($A1348/10000),""),IFERROR(VALUE(TRIM(LEFT($A1348,FIND("/",$A1348)-1))),"")))</f>
        <v/>
      </c>
      <c r="C1348">
        <f>IF(OR($A1348="",$B1348=""),"",IF(ISNUMBER($A1348),INT(MOD($A1348,10000)/100),IFERROR(VALUE(TRIM(LEFT(MID($A1348,FIND("/",$A1348)+1,20),FIND("/",MID($A1348,FIND("/",$A1348)+1,20))-1))),"")))</f>
        <v/>
      </c>
      <c r="D1348">
        <f>IF(OR($A1348="",$B1348=""),"",IF(ISNUMBER($A1348),MOD($A1348,100),IFERROR(VALUE(TRIM(MID(MID($A1348,FIND("/",$A1348)+1,20),FIND("/",MID($A1348,FIND("/",$A1348)+1,20))+1,20))),"")))</f>
        <v/>
      </c>
      <c r="E1348">
        <f>IF($A1348="","",IF(OR($B1348="",$C1348="",$D1348="",$B1348&lt;1300,$B1348&gt;1500,$C1348&lt;1,$C1348&gt;12,$D1348&lt;1,$D1348&gt;31),"نامعتبر",RIGHT("0000"&amp;$B1348,4)&amp;"/"&amp;RIGHT("00"&amp;$C1348,2)&amp;"/"&amp;RIGHT("00"&amp;$D1348,2)))</f>
        <v/>
      </c>
      <c r="F1348">
        <f>IF(OR($E1348="",$E1348="نامعتبر"),"",IF(Sync!$Q1345="","0000",IF(AND(ISNUMBER(Sync!$Q1345),Sync!$Q1345&gt;=0,Sync!$Q1345&lt;1),RIGHT("00"&amp;HOUR(Sync!$Q1345),2)&amp;RIGHT("00"&amp;MINUTE(Sync!$Q1345),2),IFERROR(RIGHT("00"&amp;VALUE(LEFT(Sync!$Q1345,FIND(":",Sync!$Q1345)-1)),2)&amp;RIGHT("00"&amp;VALUE(MID(Sync!$Q1345,FIND(":",Sync!$Q1345)+1,2)),2),"0000"))))</f>
        <v/>
      </c>
      <c r="G1348">
        <f>IF(OR($E1348="",$E1348="نامعتبر"),"",IF(Sync!$S1345="","",Sync!$S1345))</f>
        <v/>
      </c>
      <c r="H1348">
        <f>IF(OR($E1348="",$E1348="نامعتبر"),"",IF(Sync!$R1345="","",Sync!$R1345))</f>
        <v/>
      </c>
      <c r="I1348">
        <f>IF(OR($E1348="",$E1348="نامعتبر"),"",IF(Sync!$T1345="","",Sync!$T1345))</f>
        <v/>
      </c>
      <c r="J1348">
        <f>IF(OR($E1348="",$E1348="نامعتبر"),"",IF(Sync!$U1345="","",Sync!$U1345))</f>
        <v/>
      </c>
      <c r="K1348">
        <f>IF(OR($E1348="",$E1348="نامعتبر"),"",IF(Sync!$V1345="","",IFERROR(INDEX(SubCodes,MATCH(Sync!$V1345,SubTitles,0)),Sync!$V1345)))</f>
        <v/>
      </c>
      <c r="L1348">
        <f>IF(OR($E1348="",$E1348="نامعتبر"),"",IF(Sync!$W1345="",0,Sync!$W1345))</f>
        <v/>
      </c>
      <c r="M1348">
        <f>IF(OR($E1348="",$E1348="نامعتبر"),"",IF(Sync!$X1345="",0,Sync!$X1345))</f>
        <v/>
      </c>
      <c r="N1348">
        <f>IF(OR($E1348="",$E1348="نامعتبر"),"",IF(AND($J1348="هزینه",$K1348&lt;&gt;""),1,0))</f>
        <v/>
      </c>
      <c r="O1348">
        <f>IF($N1348=0,"",LEFT($E1348,4)&amp;MID($E1348,6,2)&amp;RIGHT($E1348,2)&amp;$F1348&amp;"|"&amp;"1"&amp;RIGHT("00000"&amp;1340,5))</f>
        <v/>
      </c>
      <c r="P1348">
        <f>IF($O1348="","",COUNTIFS(ExpSub,$K1348,ExpKey,"&lt;"&amp;$O1348)+1)</f>
        <v/>
      </c>
      <c r="Q1348">
        <f>IF($P1348="","",$K1348&amp;"|"&amp;RIGHT("000000"&amp;$P1348,6))</f>
        <v/>
      </c>
    </row>
    <row r="1349">
      <c r="A1349">
        <f>IF(Sync!$P1346="","",Sync!$P1346)</f>
        <v/>
      </c>
      <c r="B1349">
        <f>IF($A1349="","",IF(ISNUMBER($A1349),IF(AND($A1349&gt;=10000101,$A1349&lt;=99991231),INT($A1349/10000),""),IFERROR(VALUE(TRIM(LEFT($A1349,FIND("/",$A1349)-1))),"")))</f>
        <v/>
      </c>
      <c r="C1349">
        <f>IF(OR($A1349="",$B1349=""),"",IF(ISNUMBER($A1349),INT(MOD($A1349,10000)/100),IFERROR(VALUE(TRIM(LEFT(MID($A1349,FIND("/",$A1349)+1,20),FIND("/",MID($A1349,FIND("/",$A1349)+1,20))-1))),"")))</f>
        <v/>
      </c>
      <c r="D1349">
        <f>IF(OR($A1349="",$B1349=""),"",IF(ISNUMBER($A1349),MOD($A1349,100),IFERROR(VALUE(TRIM(MID(MID($A1349,FIND("/",$A1349)+1,20),FIND("/",MID($A1349,FIND("/",$A1349)+1,20))+1,20))),"")))</f>
        <v/>
      </c>
      <c r="E1349">
        <f>IF($A1349="","",IF(OR($B1349="",$C1349="",$D1349="",$B1349&lt;1300,$B1349&gt;1500,$C1349&lt;1,$C1349&gt;12,$D1349&lt;1,$D1349&gt;31),"نامعتبر",RIGHT("0000"&amp;$B1349,4)&amp;"/"&amp;RIGHT("00"&amp;$C1349,2)&amp;"/"&amp;RIGHT("00"&amp;$D1349,2)))</f>
        <v/>
      </c>
      <c r="F1349">
        <f>IF(OR($E1349="",$E1349="نامعتبر"),"",IF(Sync!$Q1346="","0000",IF(AND(ISNUMBER(Sync!$Q1346),Sync!$Q1346&gt;=0,Sync!$Q1346&lt;1),RIGHT("00"&amp;HOUR(Sync!$Q1346),2)&amp;RIGHT("00"&amp;MINUTE(Sync!$Q1346),2),IFERROR(RIGHT("00"&amp;VALUE(LEFT(Sync!$Q1346,FIND(":",Sync!$Q1346)-1)),2)&amp;RIGHT("00"&amp;VALUE(MID(Sync!$Q1346,FIND(":",Sync!$Q1346)+1,2)),2),"0000"))))</f>
        <v/>
      </c>
      <c r="G1349">
        <f>IF(OR($E1349="",$E1349="نامعتبر"),"",IF(Sync!$S1346="","",Sync!$S1346))</f>
        <v/>
      </c>
      <c r="H1349">
        <f>IF(OR($E1349="",$E1349="نامعتبر"),"",IF(Sync!$R1346="","",Sync!$R1346))</f>
        <v/>
      </c>
      <c r="I1349">
        <f>IF(OR($E1349="",$E1349="نامعتبر"),"",IF(Sync!$T1346="","",Sync!$T1346))</f>
        <v/>
      </c>
      <c r="J1349">
        <f>IF(OR($E1349="",$E1349="نامعتبر"),"",IF(Sync!$U1346="","",Sync!$U1346))</f>
        <v/>
      </c>
      <c r="K1349">
        <f>IF(OR($E1349="",$E1349="نامعتبر"),"",IF(Sync!$V1346="","",IFERROR(INDEX(SubCodes,MATCH(Sync!$V1346,SubTitles,0)),Sync!$V1346)))</f>
        <v/>
      </c>
      <c r="L1349">
        <f>IF(OR($E1349="",$E1349="نامعتبر"),"",IF(Sync!$W1346="",0,Sync!$W1346))</f>
        <v/>
      </c>
      <c r="M1349">
        <f>IF(OR($E1349="",$E1349="نامعتبر"),"",IF(Sync!$X1346="",0,Sync!$X1346))</f>
        <v/>
      </c>
      <c r="N1349">
        <f>IF(OR($E1349="",$E1349="نامعتبر"),"",IF(AND($J1349="هزینه",$K1349&lt;&gt;""),1,0))</f>
        <v/>
      </c>
      <c r="O1349">
        <f>IF($N1349=0,"",LEFT($E1349,4)&amp;MID($E1349,6,2)&amp;RIGHT($E1349,2)&amp;$F1349&amp;"|"&amp;"1"&amp;RIGHT("00000"&amp;1341,5))</f>
        <v/>
      </c>
      <c r="P1349">
        <f>IF($O1349="","",COUNTIFS(ExpSub,$K1349,ExpKey,"&lt;"&amp;$O1349)+1)</f>
        <v/>
      </c>
      <c r="Q1349">
        <f>IF($P1349="","",$K1349&amp;"|"&amp;RIGHT("000000"&amp;$P1349,6))</f>
        <v/>
      </c>
    </row>
    <row r="1350">
      <c r="A1350">
        <f>IF(Sync!$P1347="","",Sync!$P1347)</f>
        <v/>
      </c>
      <c r="B1350">
        <f>IF($A1350="","",IF(ISNUMBER($A1350),IF(AND($A1350&gt;=10000101,$A1350&lt;=99991231),INT($A1350/10000),""),IFERROR(VALUE(TRIM(LEFT($A1350,FIND("/",$A1350)-1))),"")))</f>
        <v/>
      </c>
      <c r="C1350">
        <f>IF(OR($A1350="",$B1350=""),"",IF(ISNUMBER($A1350),INT(MOD($A1350,10000)/100),IFERROR(VALUE(TRIM(LEFT(MID($A1350,FIND("/",$A1350)+1,20),FIND("/",MID($A1350,FIND("/",$A1350)+1,20))-1))),"")))</f>
        <v/>
      </c>
      <c r="D1350">
        <f>IF(OR($A1350="",$B1350=""),"",IF(ISNUMBER($A1350),MOD($A1350,100),IFERROR(VALUE(TRIM(MID(MID($A1350,FIND("/",$A1350)+1,20),FIND("/",MID($A1350,FIND("/",$A1350)+1,20))+1,20))),"")))</f>
        <v/>
      </c>
      <c r="E1350">
        <f>IF($A1350="","",IF(OR($B1350="",$C1350="",$D1350="",$B1350&lt;1300,$B1350&gt;1500,$C1350&lt;1,$C1350&gt;12,$D1350&lt;1,$D1350&gt;31),"نامعتبر",RIGHT("0000"&amp;$B1350,4)&amp;"/"&amp;RIGHT("00"&amp;$C1350,2)&amp;"/"&amp;RIGHT("00"&amp;$D1350,2)))</f>
        <v/>
      </c>
      <c r="F1350">
        <f>IF(OR($E1350="",$E1350="نامعتبر"),"",IF(Sync!$Q1347="","0000",IF(AND(ISNUMBER(Sync!$Q1347),Sync!$Q1347&gt;=0,Sync!$Q1347&lt;1),RIGHT("00"&amp;HOUR(Sync!$Q1347),2)&amp;RIGHT("00"&amp;MINUTE(Sync!$Q1347),2),IFERROR(RIGHT("00"&amp;VALUE(LEFT(Sync!$Q1347,FIND(":",Sync!$Q1347)-1)),2)&amp;RIGHT("00"&amp;VALUE(MID(Sync!$Q1347,FIND(":",Sync!$Q1347)+1,2)),2),"0000"))))</f>
        <v/>
      </c>
      <c r="G1350">
        <f>IF(OR($E1350="",$E1350="نامعتبر"),"",IF(Sync!$S1347="","",Sync!$S1347))</f>
        <v/>
      </c>
      <c r="H1350">
        <f>IF(OR($E1350="",$E1350="نامعتبر"),"",IF(Sync!$R1347="","",Sync!$R1347))</f>
        <v/>
      </c>
      <c r="I1350">
        <f>IF(OR($E1350="",$E1350="نامعتبر"),"",IF(Sync!$T1347="","",Sync!$T1347))</f>
        <v/>
      </c>
      <c r="J1350">
        <f>IF(OR($E1350="",$E1350="نامعتبر"),"",IF(Sync!$U1347="","",Sync!$U1347))</f>
        <v/>
      </c>
      <c r="K1350">
        <f>IF(OR($E1350="",$E1350="نامعتبر"),"",IF(Sync!$V1347="","",IFERROR(INDEX(SubCodes,MATCH(Sync!$V1347,SubTitles,0)),Sync!$V1347)))</f>
        <v/>
      </c>
      <c r="L1350">
        <f>IF(OR($E1350="",$E1350="نامعتبر"),"",IF(Sync!$W1347="",0,Sync!$W1347))</f>
        <v/>
      </c>
      <c r="M1350">
        <f>IF(OR($E1350="",$E1350="نامعتبر"),"",IF(Sync!$X1347="",0,Sync!$X1347))</f>
        <v/>
      </c>
      <c r="N1350">
        <f>IF(OR($E1350="",$E1350="نامعتبر"),"",IF(AND($J1350="هزینه",$K1350&lt;&gt;""),1,0))</f>
        <v/>
      </c>
      <c r="O1350">
        <f>IF($N1350=0,"",LEFT($E1350,4)&amp;MID($E1350,6,2)&amp;RIGHT($E1350,2)&amp;$F1350&amp;"|"&amp;"1"&amp;RIGHT("00000"&amp;1342,5))</f>
        <v/>
      </c>
      <c r="P1350">
        <f>IF($O1350="","",COUNTIFS(ExpSub,$K1350,ExpKey,"&lt;"&amp;$O1350)+1)</f>
        <v/>
      </c>
      <c r="Q1350">
        <f>IF($P1350="","",$K1350&amp;"|"&amp;RIGHT("000000"&amp;$P1350,6))</f>
        <v/>
      </c>
    </row>
    <row r="1351">
      <c r="A1351">
        <f>IF(Sync!$P1348="","",Sync!$P1348)</f>
        <v/>
      </c>
      <c r="B1351">
        <f>IF($A1351="","",IF(ISNUMBER($A1351),IF(AND($A1351&gt;=10000101,$A1351&lt;=99991231),INT($A1351/10000),""),IFERROR(VALUE(TRIM(LEFT($A1351,FIND("/",$A1351)-1))),"")))</f>
        <v/>
      </c>
      <c r="C1351">
        <f>IF(OR($A1351="",$B1351=""),"",IF(ISNUMBER($A1351),INT(MOD($A1351,10000)/100),IFERROR(VALUE(TRIM(LEFT(MID($A1351,FIND("/",$A1351)+1,20),FIND("/",MID($A1351,FIND("/",$A1351)+1,20))-1))),"")))</f>
        <v/>
      </c>
      <c r="D1351">
        <f>IF(OR($A1351="",$B1351=""),"",IF(ISNUMBER($A1351),MOD($A1351,100),IFERROR(VALUE(TRIM(MID(MID($A1351,FIND("/",$A1351)+1,20),FIND("/",MID($A1351,FIND("/",$A1351)+1,20))+1,20))),"")))</f>
        <v/>
      </c>
      <c r="E1351">
        <f>IF($A1351="","",IF(OR($B1351="",$C1351="",$D1351="",$B1351&lt;1300,$B1351&gt;1500,$C1351&lt;1,$C1351&gt;12,$D1351&lt;1,$D1351&gt;31),"نامعتبر",RIGHT("0000"&amp;$B1351,4)&amp;"/"&amp;RIGHT("00"&amp;$C1351,2)&amp;"/"&amp;RIGHT("00"&amp;$D1351,2)))</f>
        <v/>
      </c>
      <c r="F1351">
        <f>IF(OR($E1351="",$E1351="نامعتبر"),"",IF(Sync!$Q1348="","0000",IF(AND(ISNUMBER(Sync!$Q1348),Sync!$Q1348&gt;=0,Sync!$Q1348&lt;1),RIGHT("00"&amp;HOUR(Sync!$Q1348),2)&amp;RIGHT("00"&amp;MINUTE(Sync!$Q1348),2),IFERROR(RIGHT("00"&amp;VALUE(LEFT(Sync!$Q1348,FIND(":",Sync!$Q1348)-1)),2)&amp;RIGHT("00"&amp;VALUE(MID(Sync!$Q1348,FIND(":",Sync!$Q1348)+1,2)),2),"0000"))))</f>
        <v/>
      </c>
      <c r="G1351">
        <f>IF(OR($E1351="",$E1351="نامعتبر"),"",IF(Sync!$S1348="","",Sync!$S1348))</f>
        <v/>
      </c>
      <c r="H1351">
        <f>IF(OR($E1351="",$E1351="نامعتبر"),"",IF(Sync!$R1348="","",Sync!$R1348))</f>
        <v/>
      </c>
      <c r="I1351">
        <f>IF(OR($E1351="",$E1351="نامعتبر"),"",IF(Sync!$T1348="","",Sync!$T1348))</f>
        <v/>
      </c>
      <c r="J1351">
        <f>IF(OR($E1351="",$E1351="نامعتبر"),"",IF(Sync!$U1348="","",Sync!$U1348))</f>
        <v/>
      </c>
      <c r="K1351">
        <f>IF(OR($E1351="",$E1351="نامعتبر"),"",IF(Sync!$V1348="","",IFERROR(INDEX(SubCodes,MATCH(Sync!$V1348,SubTitles,0)),Sync!$V1348)))</f>
        <v/>
      </c>
      <c r="L1351">
        <f>IF(OR($E1351="",$E1351="نامعتبر"),"",IF(Sync!$W1348="",0,Sync!$W1348))</f>
        <v/>
      </c>
      <c r="M1351">
        <f>IF(OR($E1351="",$E1351="نامعتبر"),"",IF(Sync!$X1348="",0,Sync!$X1348))</f>
        <v/>
      </c>
      <c r="N1351">
        <f>IF(OR($E1351="",$E1351="نامعتبر"),"",IF(AND($J1351="هزینه",$K1351&lt;&gt;""),1,0))</f>
        <v/>
      </c>
      <c r="O1351">
        <f>IF($N1351=0,"",LEFT($E1351,4)&amp;MID($E1351,6,2)&amp;RIGHT($E1351,2)&amp;$F1351&amp;"|"&amp;"1"&amp;RIGHT("00000"&amp;1343,5))</f>
        <v/>
      </c>
      <c r="P1351">
        <f>IF($O1351="","",COUNTIFS(ExpSub,$K1351,ExpKey,"&lt;"&amp;$O1351)+1)</f>
        <v/>
      </c>
      <c r="Q1351">
        <f>IF($P1351="","",$K1351&amp;"|"&amp;RIGHT("000000"&amp;$P1351,6))</f>
        <v/>
      </c>
    </row>
    <row r="1352">
      <c r="A1352">
        <f>IF(Sync!$P1349="","",Sync!$P1349)</f>
        <v/>
      </c>
      <c r="B1352">
        <f>IF($A1352="","",IF(ISNUMBER($A1352),IF(AND($A1352&gt;=10000101,$A1352&lt;=99991231),INT($A1352/10000),""),IFERROR(VALUE(TRIM(LEFT($A1352,FIND("/",$A1352)-1))),"")))</f>
        <v/>
      </c>
      <c r="C1352">
        <f>IF(OR($A1352="",$B1352=""),"",IF(ISNUMBER($A1352),INT(MOD($A1352,10000)/100),IFERROR(VALUE(TRIM(LEFT(MID($A1352,FIND("/",$A1352)+1,20),FIND("/",MID($A1352,FIND("/",$A1352)+1,20))-1))),"")))</f>
        <v/>
      </c>
      <c r="D1352">
        <f>IF(OR($A1352="",$B1352=""),"",IF(ISNUMBER($A1352),MOD($A1352,100),IFERROR(VALUE(TRIM(MID(MID($A1352,FIND("/",$A1352)+1,20),FIND("/",MID($A1352,FIND("/",$A1352)+1,20))+1,20))),"")))</f>
        <v/>
      </c>
      <c r="E1352">
        <f>IF($A1352="","",IF(OR($B1352="",$C1352="",$D1352="",$B1352&lt;1300,$B1352&gt;1500,$C1352&lt;1,$C1352&gt;12,$D1352&lt;1,$D1352&gt;31),"نامعتبر",RIGHT("0000"&amp;$B1352,4)&amp;"/"&amp;RIGHT("00"&amp;$C1352,2)&amp;"/"&amp;RIGHT("00"&amp;$D1352,2)))</f>
        <v/>
      </c>
      <c r="F1352">
        <f>IF(OR($E1352="",$E1352="نامعتبر"),"",IF(Sync!$Q1349="","0000",IF(AND(ISNUMBER(Sync!$Q1349),Sync!$Q1349&gt;=0,Sync!$Q1349&lt;1),RIGHT("00"&amp;HOUR(Sync!$Q1349),2)&amp;RIGHT("00"&amp;MINUTE(Sync!$Q1349),2),IFERROR(RIGHT("00"&amp;VALUE(LEFT(Sync!$Q1349,FIND(":",Sync!$Q1349)-1)),2)&amp;RIGHT("00"&amp;VALUE(MID(Sync!$Q1349,FIND(":",Sync!$Q1349)+1,2)),2),"0000"))))</f>
        <v/>
      </c>
      <c r="G1352">
        <f>IF(OR($E1352="",$E1352="نامعتبر"),"",IF(Sync!$S1349="","",Sync!$S1349))</f>
        <v/>
      </c>
      <c r="H1352">
        <f>IF(OR($E1352="",$E1352="نامعتبر"),"",IF(Sync!$R1349="","",Sync!$R1349))</f>
        <v/>
      </c>
      <c r="I1352">
        <f>IF(OR($E1352="",$E1352="نامعتبر"),"",IF(Sync!$T1349="","",Sync!$T1349))</f>
        <v/>
      </c>
      <c r="J1352">
        <f>IF(OR($E1352="",$E1352="نامعتبر"),"",IF(Sync!$U1349="","",Sync!$U1349))</f>
        <v/>
      </c>
      <c r="K1352">
        <f>IF(OR($E1352="",$E1352="نامعتبر"),"",IF(Sync!$V1349="","",IFERROR(INDEX(SubCodes,MATCH(Sync!$V1349,SubTitles,0)),Sync!$V1349)))</f>
        <v/>
      </c>
      <c r="L1352">
        <f>IF(OR($E1352="",$E1352="نامعتبر"),"",IF(Sync!$W1349="",0,Sync!$W1349))</f>
        <v/>
      </c>
      <c r="M1352">
        <f>IF(OR($E1352="",$E1352="نامعتبر"),"",IF(Sync!$X1349="",0,Sync!$X1349))</f>
        <v/>
      </c>
      <c r="N1352">
        <f>IF(OR($E1352="",$E1352="نامعتبر"),"",IF(AND($J1352="هزینه",$K1352&lt;&gt;""),1,0))</f>
        <v/>
      </c>
      <c r="O1352">
        <f>IF($N1352=0,"",LEFT($E1352,4)&amp;MID($E1352,6,2)&amp;RIGHT($E1352,2)&amp;$F1352&amp;"|"&amp;"1"&amp;RIGHT("00000"&amp;1344,5))</f>
        <v/>
      </c>
      <c r="P1352">
        <f>IF($O1352="","",COUNTIFS(ExpSub,$K1352,ExpKey,"&lt;"&amp;$O1352)+1)</f>
        <v/>
      </c>
      <c r="Q1352">
        <f>IF($P1352="","",$K1352&amp;"|"&amp;RIGHT("000000"&amp;$P1352,6))</f>
        <v/>
      </c>
    </row>
    <row r="1353">
      <c r="A1353">
        <f>IF(Sync!$P1350="","",Sync!$P1350)</f>
        <v/>
      </c>
      <c r="B1353">
        <f>IF($A1353="","",IF(ISNUMBER($A1353),IF(AND($A1353&gt;=10000101,$A1353&lt;=99991231),INT($A1353/10000),""),IFERROR(VALUE(TRIM(LEFT($A1353,FIND("/",$A1353)-1))),"")))</f>
        <v/>
      </c>
      <c r="C1353">
        <f>IF(OR($A1353="",$B1353=""),"",IF(ISNUMBER($A1353),INT(MOD($A1353,10000)/100),IFERROR(VALUE(TRIM(LEFT(MID($A1353,FIND("/",$A1353)+1,20),FIND("/",MID($A1353,FIND("/",$A1353)+1,20))-1))),"")))</f>
        <v/>
      </c>
      <c r="D1353">
        <f>IF(OR($A1353="",$B1353=""),"",IF(ISNUMBER($A1353),MOD($A1353,100),IFERROR(VALUE(TRIM(MID(MID($A1353,FIND("/",$A1353)+1,20),FIND("/",MID($A1353,FIND("/",$A1353)+1,20))+1,20))),"")))</f>
        <v/>
      </c>
      <c r="E1353">
        <f>IF($A1353="","",IF(OR($B1353="",$C1353="",$D1353="",$B1353&lt;1300,$B1353&gt;1500,$C1353&lt;1,$C1353&gt;12,$D1353&lt;1,$D1353&gt;31),"نامعتبر",RIGHT("0000"&amp;$B1353,4)&amp;"/"&amp;RIGHT("00"&amp;$C1353,2)&amp;"/"&amp;RIGHT("00"&amp;$D1353,2)))</f>
        <v/>
      </c>
      <c r="F1353">
        <f>IF(OR($E1353="",$E1353="نامعتبر"),"",IF(Sync!$Q1350="","0000",IF(AND(ISNUMBER(Sync!$Q1350),Sync!$Q1350&gt;=0,Sync!$Q1350&lt;1),RIGHT("00"&amp;HOUR(Sync!$Q1350),2)&amp;RIGHT("00"&amp;MINUTE(Sync!$Q1350),2),IFERROR(RIGHT("00"&amp;VALUE(LEFT(Sync!$Q1350,FIND(":",Sync!$Q1350)-1)),2)&amp;RIGHT("00"&amp;VALUE(MID(Sync!$Q1350,FIND(":",Sync!$Q1350)+1,2)),2),"0000"))))</f>
        <v/>
      </c>
      <c r="G1353">
        <f>IF(OR($E1353="",$E1353="نامعتبر"),"",IF(Sync!$S1350="","",Sync!$S1350))</f>
        <v/>
      </c>
      <c r="H1353">
        <f>IF(OR($E1353="",$E1353="نامعتبر"),"",IF(Sync!$R1350="","",Sync!$R1350))</f>
        <v/>
      </c>
      <c r="I1353">
        <f>IF(OR($E1353="",$E1353="نامعتبر"),"",IF(Sync!$T1350="","",Sync!$T1350))</f>
        <v/>
      </c>
      <c r="J1353">
        <f>IF(OR($E1353="",$E1353="نامعتبر"),"",IF(Sync!$U1350="","",Sync!$U1350))</f>
        <v/>
      </c>
      <c r="K1353">
        <f>IF(OR($E1353="",$E1353="نامعتبر"),"",IF(Sync!$V1350="","",IFERROR(INDEX(SubCodes,MATCH(Sync!$V1350,SubTitles,0)),Sync!$V1350)))</f>
        <v/>
      </c>
      <c r="L1353">
        <f>IF(OR($E1353="",$E1353="نامعتبر"),"",IF(Sync!$W1350="",0,Sync!$W1350))</f>
        <v/>
      </c>
      <c r="M1353">
        <f>IF(OR($E1353="",$E1353="نامعتبر"),"",IF(Sync!$X1350="",0,Sync!$X1350))</f>
        <v/>
      </c>
      <c r="N1353">
        <f>IF(OR($E1353="",$E1353="نامعتبر"),"",IF(AND($J1353="هزینه",$K1353&lt;&gt;""),1,0))</f>
        <v/>
      </c>
      <c r="O1353">
        <f>IF($N1353=0,"",LEFT($E1353,4)&amp;MID($E1353,6,2)&amp;RIGHT($E1353,2)&amp;$F1353&amp;"|"&amp;"1"&amp;RIGHT("00000"&amp;1345,5))</f>
        <v/>
      </c>
      <c r="P1353">
        <f>IF($O1353="","",COUNTIFS(ExpSub,$K1353,ExpKey,"&lt;"&amp;$O1353)+1)</f>
        <v/>
      </c>
      <c r="Q1353">
        <f>IF($P1353="","",$K1353&amp;"|"&amp;RIGHT("000000"&amp;$P1353,6))</f>
        <v/>
      </c>
    </row>
    <row r="1354">
      <c r="A1354">
        <f>IF(Sync!$P1351="","",Sync!$P1351)</f>
        <v/>
      </c>
      <c r="B1354">
        <f>IF($A1354="","",IF(ISNUMBER($A1354),IF(AND($A1354&gt;=10000101,$A1354&lt;=99991231),INT($A1354/10000),""),IFERROR(VALUE(TRIM(LEFT($A1354,FIND("/",$A1354)-1))),"")))</f>
        <v/>
      </c>
      <c r="C1354">
        <f>IF(OR($A1354="",$B1354=""),"",IF(ISNUMBER($A1354),INT(MOD($A1354,10000)/100),IFERROR(VALUE(TRIM(LEFT(MID($A1354,FIND("/",$A1354)+1,20),FIND("/",MID($A1354,FIND("/",$A1354)+1,20))-1))),"")))</f>
        <v/>
      </c>
      <c r="D1354">
        <f>IF(OR($A1354="",$B1354=""),"",IF(ISNUMBER($A1354),MOD($A1354,100),IFERROR(VALUE(TRIM(MID(MID($A1354,FIND("/",$A1354)+1,20),FIND("/",MID($A1354,FIND("/",$A1354)+1,20))+1,20))),"")))</f>
        <v/>
      </c>
      <c r="E1354">
        <f>IF($A1354="","",IF(OR($B1354="",$C1354="",$D1354="",$B1354&lt;1300,$B1354&gt;1500,$C1354&lt;1,$C1354&gt;12,$D1354&lt;1,$D1354&gt;31),"نامعتبر",RIGHT("0000"&amp;$B1354,4)&amp;"/"&amp;RIGHT("00"&amp;$C1354,2)&amp;"/"&amp;RIGHT("00"&amp;$D1354,2)))</f>
        <v/>
      </c>
      <c r="F1354">
        <f>IF(OR($E1354="",$E1354="نامعتبر"),"",IF(Sync!$Q1351="","0000",IF(AND(ISNUMBER(Sync!$Q1351),Sync!$Q1351&gt;=0,Sync!$Q1351&lt;1),RIGHT("00"&amp;HOUR(Sync!$Q1351),2)&amp;RIGHT("00"&amp;MINUTE(Sync!$Q1351),2),IFERROR(RIGHT("00"&amp;VALUE(LEFT(Sync!$Q1351,FIND(":",Sync!$Q1351)-1)),2)&amp;RIGHT("00"&amp;VALUE(MID(Sync!$Q1351,FIND(":",Sync!$Q1351)+1,2)),2),"0000"))))</f>
        <v/>
      </c>
      <c r="G1354">
        <f>IF(OR($E1354="",$E1354="نامعتبر"),"",IF(Sync!$S1351="","",Sync!$S1351))</f>
        <v/>
      </c>
      <c r="H1354">
        <f>IF(OR($E1354="",$E1354="نامعتبر"),"",IF(Sync!$R1351="","",Sync!$R1351))</f>
        <v/>
      </c>
      <c r="I1354">
        <f>IF(OR($E1354="",$E1354="نامعتبر"),"",IF(Sync!$T1351="","",Sync!$T1351))</f>
        <v/>
      </c>
      <c r="J1354">
        <f>IF(OR($E1354="",$E1354="نامعتبر"),"",IF(Sync!$U1351="","",Sync!$U1351))</f>
        <v/>
      </c>
      <c r="K1354">
        <f>IF(OR($E1354="",$E1354="نامعتبر"),"",IF(Sync!$V1351="","",IFERROR(INDEX(SubCodes,MATCH(Sync!$V1351,SubTitles,0)),Sync!$V1351)))</f>
        <v/>
      </c>
      <c r="L1354">
        <f>IF(OR($E1354="",$E1354="نامعتبر"),"",IF(Sync!$W1351="",0,Sync!$W1351))</f>
        <v/>
      </c>
      <c r="M1354">
        <f>IF(OR($E1354="",$E1354="نامعتبر"),"",IF(Sync!$X1351="",0,Sync!$X1351))</f>
        <v/>
      </c>
      <c r="N1354">
        <f>IF(OR($E1354="",$E1354="نامعتبر"),"",IF(AND($J1354="هزینه",$K1354&lt;&gt;""),1,0))</f>
        <v/>
      </c>
      <c r="O1354">
        <f>IF($N1354=0,"",LEFT($E1354,4)&amp;MID($E1354,6,2)&amp;RIGHT($E1354,2)&amp;$F1354&amp;"|"&amp;"1"&amp;RIGHT("00000"&amp;1346,5))</f>
        <v/>
      </c>
      <c r="P1354">
        <f>IF($O1354="","",COUNTIFS(ExpSub,$K1354,ExpKey,"&lt;"&amp;$O1354)+1)</f>
        <v/>
      </c>
      <c r="Q1354">
        <f>IF($P1354="","",$K1354&amp;"|"&amp;RIGHT("000000"&amp;$P1354,6))</f>
        <v/>
      </c>
    </row>
    <row r="1355">
      <c r="A1355">
        <f>IF(Sync!$P1352="","",Sync!$P1352)</f>
        <v/>
      </c>
      <c r="B1355">
        <f>IF($A1355="","",IF(ISNUMBER($A1355),IF(AND($A1355&gt;=10000101,$A1355&lt;=99991231),INT($A1355/10000),""),IFERROR(VALUE(TRIM(LEFT($A1355,FIND("/",$A1355)-1))),"")))</f>
        <v/>
      </c>
      <c r="C1355">
        <f>IF(OR($A1355="",$B1355=""),"",IF(ISNUMBER($A1355),INT(MOD($A1355,10000)/100),IFERROR(VALUE(TRIM(LEFT(MID($A1355,FIND("/",$A1355)+1,20),FIND("/",MID($A1355,FIND("/",$A1355)+1,20))-1))),"")))</f>
        <v/>
      </c>
      <c r="D1355">
        <f>IF(OR($A1355="",$B1355=""),"",IF(ISNUMBER($A1355),MOD($A1355,100),IFERROR(VALUE(TRIM(MID(MID($A1355,FIND("/",$A1355)+1,20),FIND("/",MID($A1355,FIND("/",$A1355)+1,20))+1,20))),"")))</f>
        <v/>
      </c>
      <c r="E1355">
        <f>IF($A1355="","",IF(OR($B1355="",$C1355="",$D1355="",$B1355&lt;1300,$B1355&gt;1500,$C1355&lt;1,$C1355&gt;12,$D1355&lt;1,$D1355&gt;31),"نامعتبر",RIGHT("0000"&amp;$B1355,4)&amp;"/"&amp;RIGHT("00"&amp;$C1355,2)&amp;"/"&amp;RIGHT("00"&amp;$D1355,2)))</f>
        <v/>
      </c>
      <c r="F1355">
        <f>IF(OR($E1355="",$E1355="نامعتبر"),"",IF(Sync!$Q1352="","0000",IF(AND(ISNUMBER(Sync!$Q1352),Sync!$Q1352&gt;=0,Sync!$Q1352&lt;1),RIGHT("00"&amp;HOUR(Sync!$Q1352),2)&amp;RIGHT("00"&amp;MINUTE(Sync!$Q1352),2),IFERROR(RIGHT("00"&amp;VALUE(LEFT(Sync!$Q1352,FIND(":",Sync!$Q1352)-1)),2)&amp;RIGHT("00"&amp;VALUE(MID(Sync!$Q1352,FIND(":",Sync!$Q1352)+1,2)),2),"0000"))))</f>
        <v/>
      </c>
      <c r="G1355">
        <f>IF(OR($E1355="",$E1355="نامعتبر"),"",IF(Sync!$S1352="","",Sync!$S1352))</f>
        <v/>
      </c>
      <c r="H1355">
        <f>IF(OR($E1355="",$E1355="نامعتبر"),"",IF(Sync!$R1352="","",Sync!$R1352))</f>
        <v/>
      </c>
      <c r="I1355">
        <f>IF(OR($E1355="",$E1355="نامعتبر"),"",IF(Sync!$T1352="","",Sync!$T1352))</f>
        <v/>
      </c>
      <c r="J1355">
        <f>IF(OR($E1355="",$E1355="نامعتبر"),"",IF(Sync!$U1352="","",Sync!$U1352))</f>
        <v/>
      </c>
      <c r="K1355">
        <f>IF(OR($E1355="",$E1355="نامعتبر"),"",IF(Sync!$V1352="","",IFERROR(INDEX(SubCodes,MATCH(Sync!$V1352,SubTitles,0)),Sync!$V1352)))</f>
        <v/>
      </c>
      <c r="L1355">
        <f>IF(OR($E1355="",$E1355="نامعتبر"),"",IF(Sync!$W1352="",0,Sync!$W1352))</f>
        <v/>
      </c>
      <c r="M1355">
        <f>IF(OR($E1355="",$E1355="نامعتبر"),"",IF(Sync!$X1352="",0,Sync!$X1352))</f>
        <v/>
      </c>
      <c r="N1355">
        <f>IF(OR($E1355="",$E1355="نامعتبر"),"",IF(AND($J1355="هزینه",$K1355&lt;&gt;""),1,0))</f>
        <v/>
      </c>
      <c r="O1355">
        <f>IF($N1355=0,"",LEFT($E1355,4)&amp;MID($E1355,6,2)&amp;RIGHT($E1355,2)&amp;$F1355&amp;"|"&amp;"1"&amp;RIGHT("00000"&amp;1347,5))</f>
        <v/>
      </c>
      <c r="P1355">
        <f>IF($O1355="","",COUNTIFS(ExpSub,$K1355,ExpKey,"&lt;"&amp;$O1355)+1)</f>
        <v/>
      </c>
      <c r="Q1355">
        <f>IF($P1355="","",$K1355&amp;"|"&amp;RIGHT("000000"&amp;$P1355,6))</f>
        <v/>
      </c>
    </row>
    <row r="1356">
      <c r="A1356">
        <f>IF(Sync!$P1353="","",Sync!$P1353)</f>
        <v/>
      </c>
      <c r="B1356">
        <f>IF($A1356="","",IF(ISNUMBER($A1356),IF(AND($A1356&gt;=10000101,$A1356&lt;=99991231),INT($A1356/10000),""),IFERROR(VALUE(TRIM(LEFT($A1356,FIND("/",$A1356)-1))),"")))</f>
        <v/>
      </c>
      <c r="C1356">
        <f>IF(OR($A1356="",$B1356=""),"",IF(ISNUMBER($A1356),INT(MOD($A1356,10000)/100),IFERROR(VALUE(TRIM(LEFT(MID($A1356,FIND("/",$A1356)+1,20),FIND("/",MID($A1356,FIND("/",$A1356)+1,20))-1))),"")))</f>
        <v/>
      </c>
      <c r="D1356">
        <f>IF(OR($A1356="",$B1356=""),"",IF(ISNUMBER($A1356),MOD($A1356,100),IFERROR(VALUE(TRIM(MID(MID($A1356,FIND("/",$A1356)+1,20),FIND("/",MID($A1356,FIND("/",$A1356)+1,20))+1,20))),"")))</f>
        <v/>
      </c>
      <c r="E1356">
        <f>IF($A1356="","",IF(OR($B1356="",$C1356="",$D1356="",$B1356&lt;1300,$B1356&gt;1500,$C1356&lt;1,$C1356&gt;12,$D1356&lt;1,$D1356&gt;31),"نامعتبر",RIGHT("0000"&amp;$B1356,4)&amp;"/"&amp;RIGHT("00"&amp;$C1356,2)&amp;"/"&amp;RIGHT("00"&amp;$D1356,2)))</f>
        <v/>
      </c>
      <c r="F1356">
        <f>IF(OR($E1356="",$E1356="نامعتبر"),"",IF(Sync!$Q1353="","0000",IF(AND(ISNUMBER(Sync!$Q1353),Sync!$Q1353&gt;=0,Sync!$Q1353&lt;1),RIGHT("00"&amp;HOUR(Sync!$Q1353),2)&amp;RIGHT("00"&amp;MINUTE(Sync!$Q1353),2),IFERROR(RIGHT("00"&amp;VALUE(LEFT(Sync!$Q1353,FIND(":",Sync!$Q1353)-1)),2)&amp;RIGHT("00"&amp;VALUE(MID(Sync!$Q1353,FIND(":",Sync!$Q1353)+1,2)),2),"0000"))))</f>
        <v/>
      </c>
      <c r="G1356">
        <f>IF(OR($E1356="",$E1356="نامعتبر"),"",IF(Sync!$S1353="","",Sync!$S1353))</f>
        <v/>
      </c>
      <c r="H1356">
        <f>IF(OR($E1356="",$E1356="نامعتبر"),"",IF(Sync!$R1353="","",Sync!$R1353))</f>
        <v/>
      </c>
      <c r="I1356">
        <f>IF(OR($E1356="",$E1356="نامعتبر"),"",IF(Sync!$T1353="","",Sync!$T1353))</f>
        <v/>
      </c>
      <c r="J1356">
        <f>IF(OR($E1356="",$E1356="نامعتبر"),"",IF(Sync!$U1353="","",Sync!$U1353))</f>
        <v/>
      </c>
      <c r="K1356">
        <f>IF(OR($E1356="",$E1356="نامعتبر"),"",IF(Sync!$V1353="","",IFERROR(INDEX(SubCodes,MATCH(Sync!$V1353,SubTitles,0)),Sync!$V1353)))</f>
        <v/>
      </c>
      <c r="L1356">
        <f>IF(OR($E1356="",$E1356="نامعتبر"),"",IF(Sync!$W1353="",0,Sync!$W1353))</f>
        <v/>
      </c>
      <c r="M1356">
        <f>IF(OR($E1356="",$E1356="نامعتبر"),"",IF(Sync!$X1353="",0,Sync!$X1353))</f>
        <v/>
      </c>
      <c r="N1356">
        <f>IF(OR($E1356="",$E1356="نامعتبر"),"",IF(AND($J1356="هزینه",$K1356&lt;&gt;""),1,0))</f>
        <v/>
      </c>
      <c r="O1356">
        <f>IF($N1356=0,"",LEFT($E1356,4)&amp;MID($E1356,6,2)&amp;RIGHT($E1356,2)&amp;$F1356&amp;"|"&amp;"1"&amp;RIGHT("00000"&amp;1348,5))</f>
        <v/>
      </c>
      <c r="P1356">
        <f>IF($O1356="","",COUNTIFS(ExpSub,$K1356,ExpKey,"&lt;"&amp;$O1356)+1)</f>
        <v/>
      </c>
      <c r="Q1356">
        <f>IF($P1356="","",$K1356&amp;"|"&amp;RIGHT("000000"&amp;$P1356,6))</f>
        <v/>
      </c>
    </row>
    <row r="1357">
      <c r="A1357">
        <f>IF(Sync!$P1354="","",Sync!$P1354)</f>
        <v/>
      </c>
      <c r="B1357">
        <f>IF($A1357="","",IF(ISNUMBER($A1357),IF(AND($A1357&gt;=10000101,$A1357&lt;=99991231),INT($A1357/10000),""),IFERROR(VALUE(TRIM(LEFT($A1357,FIND("/",$A1357)-1))),"")))</f>
        <v/>
      </c>
      <c r="C1357">
        <f>IF(OR($A1357="",$B1357=""),"",IF(ISNUMBER($A1357),INT(MOD($A1357,10000)/100),IFERROR(VALUE(TRIM(LEFT(MID($A1357,FIND("/",$A1357)+1,20),FIND("/",MID($A1357,FIND("/",$A1357)+1,20))-1))),"")))</f>
        <v/>
      </c>
      <c r="D1357">
        <f>IF(OR($A1357="",$B1357=""),"",IF(ISNUMBER($A1357),MOD($A1357,100),IFERROR(VALUE(TRIM(MID(MID($A1357,FIND("/",$A1357)+1,20),FIND("/",MID($A1357,FIND("/",$A1357)+1,20))+1,20))),"")))</f>
        <v/>
      </c>
      <c r="E1357">
        <f>IF($A1357="","",IF(OR($B1357="",$C1357="",$D1357="",$B1357&lt;1300,$B1357&gt;1500,$C1357&lt;1,$C1357&gt;12,$D1357&lt;1,$D1357&gt;31),"نامعتبر",RIGHT("0000"&amp;$B1357,4)&amp;"/"&amp;RIGHT("00"&amp;$C1357,2)&amp;"/"&amp;RIGHT("00"&amp;$D1357,2)))</f>
        <v/>
      </c>
      <c r="F1357">
        <f>IF(OR($E1357="",$E1357="نامعتبر"),"",IF(Sync!$Q1354="","0000",IF(AND(ISNUMBER(Sync!$Q1354),Sync!$Q1354&gt;=0,Sync!$Q1354&lt;1),RIGHT("00"&amp;HOUR(Sync!$Q1354),2)&amp;RIGHT("00"&amp;MINUTE(Sync!$Q1354),2),IFERROR(RIGHT("00"&amp;VALUE(LEFT(Sync!$Q1354,FIND(":",Sync!$Q1354)-1)),2)&amp;RIGHT("00"&amp;VALUE(MID(Sync!$Q1354,FIND(":",Sync!$Q1354)+1,2)),2),"0000"))))</f>
        <v/>
      </c>
      <c r="G1357">
        <f>IF(OR($E1357="",$E1357="نامعتبر"),"",IF(Sync!$S1354="","",Sync!$S1354))</f>
        <v/>
      </c>
      <c r="H1357">
        <f>IF(OR($E1357="",$E1357="نامعتبر"),"",IF(Sync!$R1354="","",Sync!$R1354))</f>
        <v/>
      </c>
      <c r="I1357">
        <f>IF(OR($E1357="",$E1357="نامعتبر"),"",IF(Sync!$T1354="","",Sync!$T1354))</f>
        <v/>
      </c>
      <c r="J1357">
        <f>IF(OR($E1357="",$E1357="نامعتبر"),"",IF(Sync!$U1354="","",Sync!$U1354))</f>
        <v/>
      </c>
      <c r="K1357">
        <f>IF(OR($E1357="",$E1357="نامعتبر"),"",IF(Sync!$V1354="","",IFERROR(INDEX(SubCodes,MATCH(Sync!$V1354,SubTitles,0)),Sync!$V1354)))</f>
        <v/>
      </c>
      <c r="L1357">
        <f>IF(OR($E1357="",$E1357="نامعتبر"),"",IF(Sync!$W1354="",0,Sync!$W1354))</f>
        <v/>
      </c>
      <c r="M1357">
        <f>IF(OR($E1357="",$E1357="نامعتبر"),"",IF(Sync!$X1354="",0,Sync!$X1354))</f>
        <v/>
      </c>
      <c r="N1357">
        <f>IF(OR($E1357="",$E1357="نامعتبر"),"",IF(AND($J1357="هزینه",$K1357&lt;&gt;""),1,0))</f>
        <v/>
      </c>
      <c r="O1357">
        <f>IF($N1357=0,"",LEFT($E1357,4)&amp;MID($E1357,6,2)&amp;RIGHT($E1357,2)&amp;$F1357&amp;"|"&amp;"1"&amp;RIGHT("00000"&amp;1349,5))</f>
        <v/>
      </c>
      <c r="P1357">
        <f>IF($O1357="","",COUNTIFS(ExpSub,$K1357,ExpKey,"&lt;"&amp;$O1357)+1)</f>
        <v/>
      </c>
      <c r="Q1357">
        <f>IF($P1357="","",$K1357&amp;"|"&amp;RIGHT("000000"&amp;$P1357,6))</f>
        <v/>
      </c>
    </row>
    <row r="1358">
      <c r="A1358">
        <f>IF(Sync!$P1355="","",Sync!$P1355)</f>
        <v/>
      </c>
      <c r="B1358">
        <f>IF($A1358="","",IF(ISNUMBER($A1358),IF(AND($A1358&gt;=10000101,$A1358&lt;=99991231),INT($A1358/10000),""),IFERROR(VALUE(TRIM(LEFT($A1358,FIND("/",$A1358)-1))),"")))</f>
        <v/>
      </c>
      <c r="C1358">
        <f>IF(OR($A1358="",$B1358=""),"",IF(ISNUMBER($A1358),INT(MOD($A1358,10000)/100),IFERROR(VALUE(TRIM(LEFT(MID($A1358,FIND("/",$A1358)+1,20),FIND("/",MID($A1358,FIND("/",$A1358)+1,20))-1))),"")))</f>
        <v/>
      </c>
      <c r="D1358">
        <f>IF(OR($A1358="",$B1358=""),"",IF(ISNUMBER($A1358),MOD($A1358,100),IFERROR(VALUE(TRIM(MID(MID($A1358,FIND("/",$A1358)+1,20),FIND("/",MID($A1358,FIND("/",$A1358)+1,20))+1,20))),"")))</f>
        <v/>
      </c>
      <c r="E1358">
        <f>IF($A1358="","",IF(OR($B1358="",$C1358="",$D1358="",$B1358&lt;1300,$B1358&gt;1500,$C1358&lt;1,$C1358&gt;12,$D1358&lt;1,$D1358&gt;31),"نامعتبر",RIGHT("0000"&amp;$B1358,4)&amp;"/"&amp;RIGHT("00"&amp;$C1358,2)&amp;"/"&amp;RIGHT("00"&amp;$D1358,2)))</f>
        <v/>
      </c>
      <c r="F1358">
        <f>IF(OR($E1358="",$E1358="نامعتبر"),"",IF(Sync!$Q1355="","0000",IF(AND(ISNUMBER(Sync!$Q1355),Sync!$Q1355&gt;=0,Sync!$Q1355&lt;1),RIGHT("00"&amp;HOUR(Sync!$Q1355),2)&amp;RIGHT("00"&amp;MINUTE(Sync!$Q1355),2),IFERROR(RIGHT("00"&amp;VALUE(LEFT(Sync!$Q1355,FIND(":",Sync!$Q1355)-1)),2)&amp;RIGHT("00"&amp;VALUE(MID(Sync!$Q1355,FIND(":",Sync!$Q1355)+1,2)),2),"0000"))))</f>
        <v/>
      </c>
      <c r="G1358">
        <f>IF(OR($E1358="",$E1358="نامعتبر"),"",IF(Sync!$S1355="","",Sync!$S1355))</f>
        <v/>
      </c>
      <c r="H1358">
        <f>IF(OR($E1358="",$E1358="نامعتبر"),"",IF(Sync!$R1355="","",Sync!$R1355))</f>
        <v/>
      </c>
      <c r="I1358">
        <f>IF(OR($E1358="",$E1358="نامعتبر"),"",IF(Sync!$T1355="","",Sync!$T1355))</f>
        <v/>
      </c>
      <c r="J1358">
        <f>IF(OR($E1358="",$E1358="نامعتبر"),"",IF(Sync!$U1355="","",Sync!$U1355))</f>
        <v/>
      </c>
      <c r="K1358">
        <f>IF(OR($E1358="",$E1358="نامعتبر"),"",IF(Sync!$V1355="","",IFERROR(INDEX(SubCodes,MATCH(Sync!$V1355,SubTitles,0)),Sync!$V1355)))</f>
        <v/>
      </c>
      <c r="L1358">
        <f>IF(OR($E1358="",$E1358="نامعتبر"),"",IF(Sync!$W1355="",0,Sync!$W1355))</f>
        <v/>
      </c>
      <c r="M1358">
        <f>IF(OR($E1358="",$E1358="نامعتبر"),"",IF(Sync!$X1355="",0,Sync!$X1355))</f>
        <v/>
      </c>
      <c r="N1358">
        <f>IF(OR($E1358="",$E1358="نامعتبر"),"",IF(AND($J1358="هزینه",$K1358&lt;&gt;""),1,0))</f>
        <v/>
      </c>
      <c r="O1358">
        <f>IF($N1358=0,"",LEFT($E1358,4)&amp;MID($E1358,6,2)&amp;RIGHT($E1358,2)&amp;$F1358&amp;"|"&amp;"1"&amp;RIGHT("00000"&amp;1350,5))</f>
        <v/>
      </c>
      <c r="P1358">
        <f>IF($O1358="","",COUNTIFS(ExpSub,$K1358,ExpKey,"&lt;"&amp;$O1358)+1)</f>
        <v/>
      </c>
      <c r="Q1358">
        <f>IF($P1358="","",$K1358&amp;"|"&amp;RIGHT("000000"&amp;$P1358,6))</f>
        <v/>
      </c>
    </row>
    <row r="1359">
      <c r="A1359">
        <f>IF(Sync!$P1356="","",Sync!$P1356)</f>
        <v/>
      </c>
      <c r="B1359">
        <f>IF($A1359="","",IF(ISNUMBER($A1359),IF(AND($A1359&gt;=10000101,$A1359&lt;=99991231),INT($A1359/10000),""),IFERROR(VALUE(TRIM(LEFT($A1359,FIND("/",$A1359)-1))),"")))</f>
        <v/>
      </c>
      <c r="C1359">
        <f>IF(OR($A1359="",$B1359=""),"",IF(ISNUMBER($A1359),INT(MOD($A1359,10000)/100),IFERROR(VALUE(TRIM(LEFT(MID($A1359,FIND("/",$A1359)+1,20),FIND("/",MID($A1359,FIND("/",$A1359)+1,20))-1))),"")))</f>
        <v/>
      </c>
      <c r="D1359">
        <f>IF(OR($A1359="",$B1359=""),"",IF(ISNUMBER($A1359),MOD($A1359,100),IFERROR(VALUE(TRIM(MID(MID($A1359,FIND("/",$A1359)+1,20),FIND("/",MID($A1359,FIND("/",$A1359)+1,20))+1,20))),"")))</f>
        <v/>
      </c>
      <c r="E1359">
        <f>IF($A1359="","",IF(OR($B1359="",$C1359="",$D1359="",$B1359&lt;1300,$B1359&gt;1500,$C1359&lt;1,$C1359&gt;12,$D1359&lt;1,$D1359&gt;31),"نامعتبر",RIGHT("0000"&amp;$B1359,4)&amp;"/"&amp;RIGHT("00"&amp;$C1359,2)&amp;"/"&amp;RIGHT("00"&amp;$D1359,2)))</f>
        <v/>
      </c>
      <c r="F1359">
        <f>IF(OR($E1359="",$E1359="نامعتبر"),"",IF(Sync!$Q1356="","0000",IF(AND(ISNUMBER(Sync!$Q1356),Sync!$Q1356&gt;=0,Sync!$Q1356&lt;1),RIGHT("00"&amp;HOUR(Sync!$Q1356),2)&amp;RIGHT("00"&amp;MINUTE(Sync!$Q1356),2),IFERROR(RIGHT("00"&amp;VALUE(LEFT(Sync!$Q1356,FIND(":",Sync!$Q1356)-1)),2)&amp;RIGHT("00"&amp;VALUE(MID(Sync!$Q1356,FIND(":",Sync!$Q1356)+1,2)),2),"0000"))))</f>
        <v/>
      </c>
      <c r="G1359">
        <f>IF(OR($E1359="",$E1359="نامعتبر"),"",IF(Sync!$S1356="","",Sync!$S1356))</f>
        <v/>
      </c>
      <c r="H1359">
        <f>IF(OR($E1359="",$E1359="نامعتبر"),"",IF(Sync!$R1356="","",Sync!$R1356))</f>
        <v/>
      </c>
      <c r="I1359">
        <f>IF(OR($E1359="",$E1359="نامعتبر"),"",IF(Sync!$T1356="","",Sync!$T1356))</f>
        <v/>
      </c>
      <c r="J1359">
        <f>IF(OR($E1359="",$E1359="نامعتبر"),"",IF(Sync!$U1356="","",Sync!$U1356))</f>
        <v/>
      </c>
      <c r="K1359">
        <f>IF(OR($E1359="",$E1359="نامعتبر"),"",IF(Sync!$V1356="","",IFERROR(INDEX(SubCodes,MATCH(Sync!$V1356,SubTitles,0)),Sync!$V1356)))</f>
        <v/>
      </c>
      <c r="L1359">
        <f>IF(OR($E1359="",$E1359="نامعتبر"),"",IF(Sync!$W1356="",0,Sync!$W1356))</f>
        <v/>
      </c>
      <c r="M1359">
        <f>IF(OR($E1359="",$E1359="نامعتبر"),"",IF(Sync!$X1356="",0,Sync!$X1356))</f>
        <v/>
      </c>
      <c r="N1359">
        <f>IF(OR($E1359="",$E1359="نامعتبر"),"",IF(AND($J1359="هزینه",$K1359&lt;&gt;""),1,0))</f>
        <v/>
      </c>
      <c r="O1359">
        <f>IF($N1359=0,"",LEFT($E1359,4)&amp;MID($E1359,6,2)&amp;RIGHT($E1359,2)&amp;$F1359&amp;"|"&amp;"1"&amp;RIGHT("00000"&amp;1351,5))</f>
        <v/>
      </c>
      <c r="P1359">
        <f>IF($O1359="","",COUNTIFS(ExpSub,$K1359,ExpKey,"&lt;"&amp;$O1359)+1)</f>
        <v/>
      </c>
      <c r="Q1359">
        <f>IF($P1359="","",$K1359&amp;"|"&amp;RIGHT("000000"&amp;$P1359,6))</f>
        <v/>
      </c>
    </row>
    <row r="1360">
      <c r="A1360">
        <f>IF(Sync!$P1357="","",Sync!$P1357)</f>
        <v/>
      </c>
      <c r="B1360">
        <f>IF($A1360="","",IF(ISNUMBER($A1360),IF(AND($A1360&gt;=10000101,$A1360&lt;=99991231),INT($A1360/10000),""),IFERROR(VALUE(TRIM(LEFT($A1360,FIND("/",$A1360)-1))),"")))</f>
        <v/>
      </c>
      <c r="C1360">
        <f>IF(OR($A1360="",$B1360=""),"",IF(ISNUMBER($A1360),INT(MOD($A1360,10000)/100),IFERROR(VALUE(TRIM(LEFT(MID($A1360,FIND("/",$A1360)+1,20),FIND("/",MID($A1360,FIND("/",$A1360)+1,20))-1))),"")))</f>
        <v/>
      </c>
      <c r="D1360">
        <f>IF(OR($A1360="",$B1360=""),"",IF(ISNUMBER($A1360),MOD($A1360,100),IFERROR(VALUE(TRIM(MID(MID($A1360,FIND("/",$A1360)+1,20),FIND("/",MID($A1360,FIND("/",$A1360)+1,20))+1,20))),"")))</f>
        <v/>
      </c>
      <c r="E1360">
        <f>IF($A1360="","",IF(OR($B1360="",$C1360="",$D1360="",$B1360&lt;1300,$B1360&gt;1500,$C1360&lt;1,$C1360&gt;12,$D1360&lt;1,$D1360&gt;31),"نامعتبر",RIGHT("0000"&amp;$B1360,4)&amp;"/"&amp;RIGHT("00"&amp;$C1360,2)&amp;"/"&amp;RIGHT("00"&amp;$D1360,2)))</f>
        <v/>
      </c>
      <c r="F1360">
        <f>IF(OR($E1360="",$E1360="نامعتبر"),"",IF(Sync!$Q1357="","0000",IF(AND(ISNUMBER(Sync!$Q1357),Sync!$Q1357&gt;=0,Sync!$Q1357&lt;1),RIGHT("00"&amp;HOUR(Sync!$Q1357),2)&amp;RIGHT("00"&amp;MINUTE(Sync!$Q1357),2),IFERROR(RIGHT("00"&amp;VALUE(LEFT(Sync!$Q1357,FIND(":",Sync!$Q1357)-1)),2)&amp;RIGHT("00"&amp;VALUE(MID(Sync!$Q1357,FIND(":",Sync!$Q1357)+1,2)),2),"0000"))))</f>
        <v/>
      </c>
      <c r="G1360">
        <f>IF(OR($E1360="",$E1360="نامعتبر"),"",IF(Sync!$S1357="","",Sync!$S1357))</f>
        <v/>
      </c>
      <c r="H1360">
        <f>IF(OR($E1360="",$E1360="نامعتبر"),"",IF(Sync!$R1357="","",Sync!$R1357))</f>
        <v/>
      </c>
      <c r="I1360">
        <f>IF(OR($E1360="",$E1360="نامعتبر"),"",IF(Sync!$T1357="","",Sync!$T1357))</f>
        <v/>
      </c>
      <c r="J1360">
        <f>IF(OR($E1360="",$E1360="نامعتبر"),"",IF(Sync!$U1357="","",Sync!$U1357))</f>
        <v/>
      </c>
      <c r="K1360">
        <f>IF(OR($E1360="",$E1360="نامعتبر"),"",IF(Sync!$V1357="","",IFERROR(INDEX(SubCodes,MATCH(Sync!$V1357,SubTitles,0)),Sync!$V1357)))</f>
        <v/>
      </c>
      <c r="L1360">
        <f>IF(OR($E1360="",$E1360="نامعتبر"),"",IF(Sync!$W1357="",0,Sync!$W1357))</f>
        <v/>
      </c>
      <c r="M1360">
        <f>IF(OR($E1360="",$E1360="نامعتبر"),"",IF(Sync!$X1357="",0,Sync!$X1357))</f>
        <v/>
      </c>
      <c r="N1360">
        <f>IF(OR($E1360="",$E1360="نامعتبر"),"",IF(AND($J1360="هزینه",$K1360&lt;&gt;""),1,0))</f>
        <v/>
      </c>
      <c r="O1360">
        <f>IF($N1360=0,"",LEFT($E1360,4)&amp;MID($E1360,6,2)&amp;RIGHT($E1360,2)&amp;$F1360&amp;"|"&amp;"1"&amp;RIGHT("00000"&amp;1352,5))</f>
        <v/>
      </c>
      <c r="P1360">
        <f>IF($O1360="","",COUNTIFS(ExpSub,$K1360,ExpKey,"&lt;"&amp;$O1360)+1)</f>
        <v/>
      </c>
      <c r="Q1360">
        <f>IF($P1360="","",$K1360&amp;"|"&amp;RIGHT("000000"&amp;$P1360,6))</f>
        <v/>
      </c>
    </row>
    <row r="1361">
      <c r="A1361">
        <f>IF(Sync!$P1358="","",Sync!$P1358)</f>
        <v/>
      </c>
      <c r="B1361">
        <f>IF($A1361="","",IF(ISNUMBER($A1361),IF(AND($A1361&gt;=10000101,$A1361&lt;=99991231),INT($A1361/10000),""),IFERROR(VALUE(TRIM(LEFT($A1361,FIND("/",$A1361)-1))),"")))</f>
        <v/>
      </c>
      <c r="C1361">
        <f>IF(OR($A1361="",$B1361=""),"",IF(ISNUMBER($A1361),INT(MOD($A1361,10000)/100),IFERROR(VALUE(TRIM(LEFT(MID($A1361,FIND("/",$A1361)+1,20),FIND("/",MID($A1361,FIND("/",$A1361)+1,20))-1))),"")))</f>
        <v/>
      </c>
      <c r="D1361">
        <f>IF(OR($A1361="",$B1361=""),"",IF(ISNUMBER($A1361),MOD($A1361,100),IFERROR(VALUE(TRIM(MID(MID($A1361,FIND("/",$A1361)+1,20),FIND("/",MID($A1361,FIND("/",$A1361)+1,20))+1,20))),"")))</f>
        <v/>
      </c>
      <c r="E1361">
        <f>IF($A1361="","",IF(OR($B1361="",$C1361="",$D1361="",$B1361&lt;1300,$B1361&gt;1500,$C1361&lt;1,$C1361&gt;12,$D1361&lt;1,$D1361&gt;31),"نامعتبر",RIGHT("0000"&amp;$B1361,4)&amp;"/"&amp;RIGHT("00"&amp;$C1361,2)&amp;"/"&amp;RIGHT("00"&amp;$D1361,2)))</f>
        <v/>
      </c>
      <c r="F1361">
        <f>IF(OR($E1361="",$E1361="نامعتبر"),"",IF(Sync!$Q1358="","0000",IF(AND(ISNUMBER(Sync!$Q1358),Sync!$Q1358&gt;=0,Sync!$Q1358&lt;1),RIGHT("00"&amp;HOUR(Sync!$Q1358),2)&amp;RIGHT("00"&amp;MINUTE(Sync!$Q1358),2),IFERROR(RIGHT("00"&amp;VALUE(LEFT(Sync!$Q1358,FIND(":",Sync!$Q1358)-1)),2)&amp;RIGHT("00"&amp;VALUE(MID(Sync!$Q1358,FIND(":",Sync!$Q1358)+1,2)),2),"0000"))))</f>
        <v/>
      </c>
      <c r="G1361">
        <f>IF(OR($E1361="",$E1361="نامعتبر"),"",IF(Sync!$S1358="","",Sync!$S1358))</f>
        <v/>
      </c>
      <c r="H1361">
        <f>IF(OR($E1361="",$E1361="نامعتبر"),"",IF(Sync!$R1358="","",Sync!$R1358))</f>
        <v/>
      </c>
      <c r="I1361">
        <f>IF(OR($E1361="",$E1361="نامعتبر"),"",IF(Sync!$T1358="","",Sync!$T1358))</f>
        <v/>
      </c>
      <c r="J1361">
        <f>IF(OR($E1361="",$E1361="نامعتبر"),"",IF(Sync!$U1358="","",Sync!$U1358))</f>
        <v/>
      </c>
      <c r="K1361">
        <f>IF(OR($E1361="",$E1361="نامعتبر"),"",IF(Sync!$V1358="","",IFERROR(INDEX(SubCodes,MATCH(Sync!$V1358,SubTitles,0)),Sync!$V1358)))</f>
        <v/>
      </c>
      <c r="L1361">
        <f>IF(OR($E1361="",$E1361="نامعتبر"),"",IF(Sync!$W1358="",0,Sync!$W1358))</f>
        <v/>
      </c>
      <c r="M1361">
        <f>IF(OR($E1361="",$E1361="نامعتبر"),"",IF(Sync!$X1358="",0,Sync!$X1358))</f>
        <v/>
      </c>
      <c r="N1361">
        <f>IF(OR($E1361="",$E1361="نامعتبر"),"",IF(AND($J1361="هزینه",$K1361&lt;&gt;""),1,0))</f>
        <v/>
      </c>
      <c r="O1361">
        <f>IF($N1361=0,"",LEFT($E1361,4)&amp;MID($E1361,6,2)&amp;RIGHT($E1361,2)&amp;$F1361&amp;"|"&amp;"1"&amp;RIGHT("00000"&amp;1353,5))</f>
        <v/>
      </c>
      <c r="P1361">
        <f>IF($O1361="","",COUNTIFS(ExpSub,$K1361,ExpKey,"&lt;"&amp;$O1361)+1)</f>
        <v/>
      </c>
      <c r="Q1361">
        <f>IF($P1361="","",$K1361&amp;"|"&amp;RIGHT("000000"&amp;$P1361,6))</f>
        <v/>
      </c>
    </row>
    <row r="1362">
      <c r="A1362">
        <f>IF(Sync!$P1359="","",Sync!$P1359)</f>
        <v/>
      </c>
      <c r="B1362">
        <f>IF($A1362="","",IF(ISNUMBER($A1362),IF(AND($A1362&gt;=10000101,$A1362&lt;=99991231),INT($A1362/10000),""),IFERROR(VALUE(TRIM(LEFT($A1362,FIND("/",$A1362)-1))),"")))</f>
        <v/>
      </c>
      <c r="C1362">
        <f>IF(OR($A1362="",$B1362=""),"",IF(ISNUMBER($A1362),INT(MOD($A1362,10000)/100),IFERROR(VALUE(TRIM(LEFT(MID($A1362,FIND("/",$A1362)+1,20),FIND("/",MID($A1362,FIND("/",$A1362)+1,20))-1))),"")))</f>
        <v/>
      </c>
      <c r="D1362">
        <f>IF(OR($A1362="",$B1362=""),"",IF(ISNUMBER($A1362),MOD($A1362,100),IFERROR(VALUE(TRIM(MID(MID($A1362,FIND("/",$A1362)+1,20),FIND("/",MID($A1362,FIND("/",$A1362)+1,20))+1,20))),"")))</f>
        <v/>
      </c>
      <c r="E1362">
        <f>IF($A1362="","",IF(OR($B1362="",$C1362="",$D1362="",$B1362&lt;1300,$B1362&gt;1500,$C1362&lt;1,$C1362&gt;12,$D1362&lt;1,$D1362&gt;31),"نامعتبر",RIGHT("0000"&amp;$B1362,4)&amp;"/"&amp;RIGHT("00"&amp;$C1362,2)&amp;"/"&amp;RIGHT("00"&amp;$D1362,2)))</f>
        <v/>
      </c>
      <c r="F1362">
        <f>IF(OR($E1362="",$E1362="نامعتبر"),"",IF(Sync!$Q1359="","0000",IF(AND(ISNUMBER(Sync!$Q1359),Sync!$Q1359&gt;=0,Sync!$Q1359&lt;1),RIGHT("00"&amp;HOUR(Sync!$Q1359),2)&amp;RIGHT("00"&amp;MINUTE(Sync!$Q1359),2),IFERROR(RIGHT("00"&amp;VALUE(LEFT(Sync!$Q1359,FIND(":",Sync!$Q1359)-1)),2)&amp;RIGHT("00"&amp;VALUE(MID(Sync!$Q1359,FIND(":",Sync!$Q1359)+1,2)),2),"0000"))))</f>
        <v/>
      </c>
      <c r="G1362">
        <f>IF(OR($E1362="",$E1362="نامعتبر"),"",IF(Sync!$S1359="","",Sync!$S1359))</f>
        <v/>
      </c>
      <c r="H1362">
        <f>IF(OR($E1362="",$E1362="نامعتبر"),"",IF(Sync!$R1359="","",Sync!$R1359))</f>
        <v/>
      </c>
      <c r="I1362">
        <f>IF(OR($E1362="",$E1362="نامعتبر"),"",IF(Sync!$T1359="","",Sync!$T1359))</f>
        <v/>
      </c>
      <c r="J1362">
        <f>IF(OR($E1362="",$E1362="نامعتبر"),"",IF(Sync!$U1359="","",Sync!$U1359))</f>
        <v/>
      </c>
      <c r="K1362">
        <f>IF(OR($E1362="",$E1362="نامعتبر"),"",IF(Sync!$V1359="","",IFERROR(INDEX(SubCodes,MATCH(Sync!$V1359,SubTitles,0)),Sync!$V1359)))</f>
        <v/>
      </c>
      <c r="L1362">
        <f>IF(OR($E1362="",$E1362="نامعتبر"),"",IF(Sync!$W1359="",0,Sync!$W1359))</f>
        <v/>
      </c>
      <c r="M1362">
        <f>IF(OR($E1362="",$E1362="نامعتبر"),"",IF(Sync!$X1359="",0,Sync!$X1359))</f>
        <v/>
      </c>
      <c r="N1362">
        <f>IF(OR($E1362="",$E1362="نامعتبر"),"",IF(AND($J1362="هزینه",$K1362&lt;&gt;""),1,0))</f>
        <v/>
      </c>
      <c r="O1362">
        <f>IF($N1362=0,"",LEFT($E1362,4)&amp;MID($E1362,6,2)&amp;RIGHT($E1362,2)&amp;$F1362&amp;"|"&amp;"1"&amp;RIGHT("00000"&amp;1354,5))</f>
        <v/>
      </c>
      <c r="P1362">
        <f>IF($O1362="","",COUNTIFS(ExpSub,$K1362,ExpKey,"&lt;"&amp;$O1362)+1)</f>
        <v/>
      </c>
      <c r="Q1362">
        <f>IF($P1362="","",$K1362&amp;"|"&amp;RIGHT("000000"&amp;$P1362,6))</f>
        <v/>
      </c>
    </row>
    <row r="1363">
      <c r="A1363">
        <f>IF(Sync!$P1360="","",Sync!$P1360)</f>
        <v/>
      </c>
      <c r="B1363">
        <f>IF($A1363="","",IF(ISNUMBER($A1363),IF(AND($A1363&gt;=10000101,$A1363&lt;=99991231),INT($A1363/10000),""),IFERROR(VALUE(TRIM(LEFT($A1363,FIND("/",$A1363)-1))),"")))</f>
        <v/>
      </c>
      <c r="C1363">
        <f>IF(OR($A1363="",$B1363=""),"",IF(ISNUMBER($A1363),INT(MOD($A1363,10000)/100),IFERROR(VALUE(TRIM(LEFT(MID($A1363,FIND("/",$A1363)+1,20),FIND("/",MID($A1363,FIND("/",$A1363)+1,20))-1))),"")))</f>
        <v/>
      </c>
      <c r="D1363">
        <f>IF(OR($A1363="",$B1363=""),"",IF(ISNUMBER($A1363),MOD($A1363,100),IFERROR(VALUE(TRIM(MID(MID($A1363,FIND("/",$A1363)+1,20),FIND("/",MID($A1363,FIND("/",$A1363)+1,20))+1,20))),"")))</f>
        <v/>
      </c>
      <c r="E1363">
        <f>IF($A1363="","",IF(OR($B1363="",$C1363="",$D1363="",$B1363&lt;1300,$B1363&gt;1500,$C1363&lt;1,$C1363&gt;12,$D1363&lt;1,$D1363&gt;31),"نامعتبر",RIGHT("0000"&amp;$B1363,4)&amp;"/"&amp;RIGHT("00"&amp;$C1363,2)&amp;"/"&amp;RIGHT("00"&amp;$D1363,2)))</f>
        <v/>
      </c>
      <c r="F1363">
        <f>IF(OR($E1363="",$E1363="نامعتبر"),"",IF(Sync!$Q1360="","0000",IF(AND(ISNUMBER(Sync!$Q1360),Sync!$Q1360&gt;=0,Sync!$Q1360&lt;1),RIGHT("00"&amp;HOUR(Sync!$Q1360),2)&amp;RIGHT("00"&amp;MINUTE(Sync!$Q1360),2),IFERROR(RIGHT("00"&amp;VALUE(LEFT(Sync!$Q1360,FIND(":",Sync!$Q1360)-1)),2)&amp;RIGHT("00"&amp;VALUE(MID(Sync!$Q1360,FIND(":",Sync!$Q1360)+1,2)),2),"0000"))))</f>
        <v/>
      </c>
      <c r="G1363">
        <f>IF(OR($E1363="",$E1363="نامعتبر"),"",IF(Sync!$S1360="","",Sync!$S1360))</f>
        <v/>
      </c>
      <c r="H1363">
        <f>IF(OR($E1363="",$E1363="نامعتبر"),"",IF(Sync!$R1360="","",Sync!$R1360))</f>
        <v/>
      </c>
      <c r="I1363">
        <f>IF(OR($E1363="",$E1363="نامعتبر"),"",IF(Sync!$T1360="","",Sync!$T1360))</f>
        <v/>
      </c>
      <c r="J1363">
        <f>IF(OR($E1363="",$E1363="نامعتبر"),"",IF(Sync!$U1360="","",Sync!$U1360))</f>
        <v/>
      </c>
      <c r="K1363">
        <f>IF(OR($E1363="",$E1363="نامعتبر"),"",IF(Sync!$V1360="","",IFERROR(INDEX(SubCodes,MATCH(Sync!$V1360,SubTitles,0)),Sync!$V1360)))</f>
        <v/>
      </c>
      <c r="L1363">
        <f>IF(OR($E1363="",$E1363="نامعتبر"),"",IF(Sync!$W1360="",0,Sync!$W1360))</f>
        <v/>
      </c>
      <c r="M1363">
        <f>IF(OR($E1363="",$E1363="نامعتبر"),"",IF(Sync!$X1360="",0,Sync!$X1360))</f>
        <v/>
      </c>
      <c r="N1363">
        <f>IF(OR($E1363="",$E1363="نامعتبر"),"",IF(AND($J1363="هزینه",$K1363&lt;&gt;""),1,0))</f>
        <v/>
      </c>
      <c r="O1363">
        <f>IF($N1363=0,"",LEFT($E1363,4)&amp;MID($E1363,6,2)&amp;RIGHT($E1363,2)&amp;$F1363&amp;"|"&amp;"1"&amp;RIGHT("00000"&amp;1355,5))</f>
        <v/>
      </c>
      <c r="P1363">
        <f>IF($O1363="","",COUNTIFS(ExpSub,$K1363,ExpKey,"&lt;"&amp;$O1363)+1)</f>
        <v/>
      </c>
      <c r="Q1363">
        <f>IF($P1363="","",$K1363&amp;"|"&amp;RIGHT("000000"&amp;$P1363,6))</f>
        <v/>
      </c>
    </row>
    <row r="1364">
      <c r="A1364">
        <f>IF(Sync!$P1361="","",Sync!$P1361)</f>
        <v/>
      </c>
      <c r="B1364">
        <f>IF($A1364="","",IF(ISNUMBER($A1364),IF(AND($A1364&gt;=10000101,$A1364&lt;=99991231),INT($A1364/10000),""),IFERROR(VALUE(TRIM(LEFT($A1364,FIND("/",$A1364)-1))),"")))</f>
        <v/>
      </c>
      <c r="C1364">
        <f>IF(OR($A1364="",$B1364=""),"",IF(ISNUMBER($A1364),INT(MOD($A1364,10000)/100),IFERROR(VALUE(TRIM(LEFT(MID($A1364,FIND("/",$A1364)+1,20),FIND("/",MID($A1364,FIND("/",$A1364)+1,20))-1))),"")))</f>
        <v/>
      </c>
      <c r="D1364">
        <f>IF(OR($A1364="",$B1364=""),"",IF(ISNUMBER($A1364),MOD($A1364,100),IFERROR(VALUE(TRIM(MID(MID($A1364,FIND("/",$A1364)+1,20),FIND("/",MID($A1364,FIND("/",$A1364)+1,20))+1,20))),"")))</f>
        <v/>
      </c>
      <c r="E1364">
        <f>IF($A1364="","",IF(OR($B1364="",$C1364="",$D1364="",$B1364&lt;1300,$B1364&gt;1500,$C1364&lt;1,$C1364&gt;12,$D1364&lt;1,$D1364&gt;31),"نامعتبر",RIGHT("0000"&amp;$B1364,4)&amp;"/"&amp;RIGHT("00"&amp;$C1364,2)&amp;"/"&amp;RIGHT("00"&amp;$D1364,2)))</f>
        <v/>
      </c>
      <c r="F1364">
        <f>IF(OR($E1364="",$E1364="نامعتبر"),"",IF(Sync!$Q1361="","0000",IF(AND(ISNUMBER(Sync!$Q1361),Sync!$Q1361&gt;=0,Sync!$Q1361&lt;1),RIGHT("00"&amp;HOUR(Sync!$Q1361),2)&amp;RIGHT("00"&amp;MINUTE(Sync!$Q1361),2),IFERROR(RIGHT("00"&amp;VALUE(LEFT(Sync!$Q1361,FIND(":",Sync!$Q1361)-1)),2)&amp;RIGHT("00"&amp;VALUE(MID(Sync!$Q1361,FIND(":",Sync!$Q1361)+1,2)),2),"0000"))))</f>
        <v/>
      </c>
      <c r="G1364">
        <f>IF(OR($E1364="",$E1364="نامعتبر"),"",IF(Sync!$S1361="","",Sync!$S1361))</f>
        <v/>
      </c>
      <c r="H1364">
        <f>IF(OR($E1364="",$E1364="نامعتبر"),"",IF(Sync!$R1361="","",Sync!$R1361))</f>
        <v/>
      </c>
      <c r="I1364">
        <f>IF(OR($E1364="",$E1364="نامعتبر"),"",IF(Sync!$T1361="","",Sync!$T1361))</f>
        <v/>
      </c>
      <c r="J1364">
        <f>IF(OR($E1364="",$E1364="نامعتبر"),"",IF(Sync!$U1361="","",Sync!$U1361))</f>
        <v/>
      </c>
      <c r="K1364">
        <f>IF(OR($E1364="",$E1364="نامعتبر"),"",IF(Sync!$V1361="","",IFERROR(INDEX(SubCodes,MATCH(Sync!$V1361,SubTitles,0)),Sync!$V1361)))</f>
        <v/>
      </c>
      <c r="L1364">
        <f>IF(OR($E1364="",$E1364="نامعتبر"),"",IF(Sync!$W1361="",0,Sync!$W1361))</f>
        <v/>
      </c>
      <c r="M1364">
        <f>IF(OR($E1364="",$E1364="نامعتبر"),"",IF(Sync!$X1361="",0,Sync!$X1361))</f>
        <v/>
      </c>
      <c r="N1364">
        <f>IF(OR($E1364="",$E1364="نامعتبر"),"",IF(AND($J1364="هزینه",$K1364&lt;&gt;""),1,0))</f>
        <v/>
      </c>
      <c r="O1364">
        <f>IF($N1364=0,"",LEFT($E1364,4)&amp;MID($E1364,6,2)&amp;RIGHT($E1364,2)&amp;$F1364&amp;"|"&amp;"1"&amp;RIGHT("00000"&amp;1356,5))</f>
        <v/>
      </c>
      <c r="P1364">
        <f>IF($O1364="","",COUNTIFS(ExpSub,$K1364,ExpKey,"&lt;"&amp;$O1364)+1)</f>
        <v/>
      </c>
      <c r="Q1364">
        <f>IF($P1364="","",$K1364&amp;"|"&amp;RIGHT("000000"&amp;$P1364,6))</f>
        <v/>
      </c>
    </row>
    <row r="1365">
      <c r="A1365">
        <f>IF(Sync!$P1362="","",Sync!$P1362)</f>
        <v/>
      </c>
      <c r="B1365">
        <f>IF($A1365="","",IF(ISNUMBER($A1365),IF(AND($A1365&gt;=10000101,$A1365&lt;=99991231),INT($A1365/10000),""),IFERROR(VALUE(TRIM(LEFT($A1365,FIND("/",$A1365)-1))),"")))</f>
        <v/>
      </c>
      <c r="C1365">
        <f>IF(OR($A1365="",$B1365=""),"",IF(ISNUMBER($A1365),INT(MOD($A1365,10000)/100),IFERROR(VALUE(TRIM(LEFT(MID($A1365,FIND("/",$A1365)+1,20),FIND("/",MID($A1365,FIND("/",$A1365)+1,20))-1))),"")))</f>
        <v/>
      </c>
      <c r="D1365">
        <f>IF(OR($A1365="",$B1365=""),"",IF(ISNUMBER($A1365),MOD($A1365,100),IFERROR(VALUE(TRIM(MID(MID($A1365,FIND("/",$A1365)+1,20),FIND("/",MID($A1365,FIND("/",$A1365)+1,20))+1,20))),"")))</f>
        <v/>
      </c>
      <c r="E1365">
        <f>IF($A1365="","",IF(OR($B1365="",$C1365="",$D1365="",$B1365&lt;1300,$B1365&gt;1500,$C1365&lt;1,$C1365&gt;12,$D1365&lt;1,$D1365&gt;31),"نامعتبر",RIGHT("0000"&amp;$B1365,4)&amp;"/"&amp;RIGHT("00"&amp;$C1365,2)&amp;"/"&amp;RIGHT("00"&amp;$D1365,2)))</f>
        <v/>
      </c>
      <c r="F1365">
        <f>IF(OR($E1365="",$E1365="نامعتبر"),"",IF(Sync!$Q1362="","0000",IF(AND(ISNUMBER(Sync!$Q1362),Sync!$Q1362&gt;=0,Sync!$Q1362&lt;1),RIGHT("00"&amp;HOUR(Sync!$Q1362),2)&amp;RIGHT("00"&amp;MINUTE(Sync!$Q1362),2),IFERROR(RIGHT("00"&amp;VALUE(LEFT(Sync!$Q1362,FIND(":",Sync!$Q1362)-1)),2)&amp;RIGHT("00"&amp;VALUE(MID(Sync!$Q1362,FIND(":",Sync!$Q1362)+1,2)),2),"0000"))))</f>
        <v/>
      </c>
      <c r="G1365">
        <f>IF(OR($E1365="",$E1365="نامعتبر"),"",IF(Sync!$S1362="","",Sync!$S1362))</f>
        <v/>
      </c>
      <c r="H1365">
        <f>IF(OR($E1365="",$E1365="نامعتبر"),"",IF(Sync!$R1362="","",Sync!$R1362))</f>
        <v/>
      </c>
      <c r="I1365">
        <f>IF(OR($E1365="",$E1365="نامعتبر"),"",IF(Sync!$T1362="","",Sync!$T1362))</f>
        <v/>
      </c>
      <c r="J1365">
        <f>IF(OR($E1365="",$E1365="نامعتبر"),"",IF(Sync!$U1362="","",Sync!$U1362))</f>
        <v/>
      </c>
      <c r="K1365">
        <f>IF(OR($E1365="",$E1365="نامعتبر"),"",IF(Sync!$V1362="","",IFERROR(INDEX(SubCodes,MATCH(Sync!$V1362,SubTitles,0)),Sync!$V1362)))</f>
        <v/>
      </c>
      <c r="L1365">
        <f>IF(OR($E1365="",$E1365="نامعتبر"),"",IF(Sync!$W1362="",0,Sync!$W1362))</f>
        <v/>
      </c>
      <c r="M1365">
        <f>IF(OR($E1365="",$E1365="نامعتبر"),"",IF(Sync!$X1362="",0,Sync!$X1362))</f>
        <v/>
      </c>
      <c r="N1365">
        <f>IF(OR($E1365="",$E1365="نامعتبر"),"",IF(AND($J1365="هزینه",$K1365&lt;&gt;""),1,0))</f>
        <v/>
      </c>
      <c r="O1365">
        <f>IF($N1365=0,"",LEFT($E1365,4)&amp;MID($E1365,6,2)&amp;RIGHT($E1365,2)&amp;$F1365&amp;"|"&amp;"1"&amp;RIGHT("00000"&amp;1357,5))</f>
        <v/>
      </c>
      <c r="P1365">
        <f>IF($O1365="","",COUNTIFS(ExpSub,$K1365,ExpKey,"&lt;"&amp;$O1365)+1)</f>
        <v/>
      </c>
      <c r="Q1365">
        <f>IF($P1365="","",$K1365&amp;"|"&amp;RIGHT("000000"&amp;$P1365,6))</f>
        <v/>
      </c>
    </row>
    <row r="1366">
      <c r="A1366">
        <f>IF(Sync!$P1363="","",Sync!$P1363)</f>
        <v/>
      </c>
      <c r="B1366">
        <f>IF($A1366="","",IF(ISNUMBER($A1366),IF(AND($A1366&gt;=10000101,$A1366&lt;=99991231),INT($A1366/10000),""),IFERROR(VALUE(TRIM(LEFT($A1366,FIND("/",$A1366)-1))),"")))</f>
        <v/>
      </c>
      <c r="C1366">
        <f>IF(OR($A1366="",$B1366=""),"",IF(ISNUMBER($A1366),INT(MOD($A1366,10000)/100),IFERROR(VALUE(TRIM(LEFT(MID($A1366,FIND("/",$A1366)+1,20),FIND("/",MID($A1366,FIND("/",$A1366)+1,20))-1))),"")))</f>
        <v/>
      </c>
      <c r="D1366">
        <f>IF(OR($A1366="",$B1366=""),"",IF(ISNUMBER($A1366),MOD($A1366,100),IFERROR(VALUE(TRIM(MID(MID($A1366,FIND("/",$A1366)+1,20),FIND("/",MID($A1366,FIND("/",$A1366)+1,20))+1,20))),"")))</f>
        <v/>
      </c>
      <c r="E1366">
        <f>IF($A1366="","",IF(OR($B1366="",$C1366="",$D1366="",$B1366&lt;1300,$B1366&gt;1500,$C1366&lt;1,$C1366&gt;12,$D1366&lt;1,$D1366&gt;31),"نامعتبر",RIGHT("0000"&amp;$B1366,4)&amp;"/"&amp;RIGHT("00"&amp;$C1366,2)&amp;"/"&amp;RIGHT("00"&amp;$D1366,2)))</f>
        <v/>
      </c>
      <c r="F1366">
        <f>IF(OR($E1366="",$E1366="نامعتبر"),"",IF(Sync!$Q1363="","0000",IF(AND(ISNUMBER(Sync!$Q1363),Sync!$Q1363&gt;=0,Sync!$Q1363&lt;1),RIGHT("00"&amp;HOUR(Sync!$Q1363),2)&amp;RIGHT("00"&amp;MINUTE(Sync!$Q1363),2),IFERROR(RIGHT("00"&amp;VALUE(LEFT(Sync!$Q1363,FIND(":",Sync!$Q1363)-1)),2)&amp;RIGHT("00"&amp;VALUE(MID(Sync!$Q1363,FIND(":",Sync!$Q1363)+1,2)),2),"0000"))))</f>
        <v/>
      </c>
      <c r="G1366">
        <f>IF(OR($E1366="",$E1366="نامعتبر"),"",IF(Sync!$S1363="","",Sync!$S1363))</f>
        <v/>
      </c>
      <c r="H1366">
        <f>IF(OR($E1366="",$E1366="نامعتبر"),"",IF(Sync!$R1363="","",Sync!$R1363))</f>
        <v/>
      </c>
      <c r="I1366">
        <f>IF(OR($E1366="",$E1366="نامعتبر"),"",IF(Sync!$T1363="","",Sync!$T1363))</f>
        <v/>
      </c>
      <c r="J1366">
        <f>IF(OR($E1366="",$E1366="نامعتبر"),"",IF(Sync!$U1363="","",Sync!$U1363))</f>
        <v/>
      </c>
      <c r="K1366">
        <f>IF(OR($E1366="",$E1366="نامعتبر"),"",IF(Sync!$V1363="","",IFERROR(INDEX(SubCodes,MATCH(Sync!$V1363,SubTitles,0)),Sync!$V1363)))</f>
        <v/>
      </c>
      <c r="L1366">
        <f>IF(OR($E1366="",$E1366="نامعتبر"),"",IF(Sync!$W1363="",0,Sync!$W1363))</f>
        <v/>
      </c>
      <c r="M1366">
        <f>IF(OR($E1366="",$E1366="نامعتبر"),"",IF(Sync!$X1363="",0,Sync!$X1363))</f>
        <v/>
      </c>
      <c r="N1366">
        <f>IF(OR($E1366="",$E1366="نامعتبر"),"",IF(AND($J1366="هزینه",$K1366&lt;&gt;""),1,0))</f>
        <v/>
      </c>
      <c r="O1366">
        <f>IF($N1366=0,"",LEFT($E1366,4)&amp;MID($E1366,6,2)&amp;RIGHT($E1366,2)&amp;$F1366&amp;"|"&amp;"1"&amp;RIGHT("00000"&amp;1358,5))</f>
        <v/>
      </c>
      <c r="P1366">
        <f>IF($O1366="","",COUNTIFS(ExpSub,$K1366,ExpKey,"&lt;"&amp;$O1366)+1)</f>
        <v/>
      </c>
      <c r="Q1366">
        <f>IF($P1366="","",$K1366&amp;"|"&amp;RIGHT("000000"&amp;$P1366,6))</f>
        <v/>
      </c>
    </row>
    <row r="1367">
      <c r="A1367">
        <f>IF(Sync!$P1364="","",Sync!$P1364)</f>
        <v/>
      </c>
      <c r="B1367">
        <f>IF($A1367="","",IF(ISNUMBER($A1367),IF(AND($A1367&gt;=10000101,$A1367&lt;=99991231),INT($A1367/10000),""),IFERROR(VALUE(TRIM(LEFT($A1367,FIND("/",$A1367)-1))),"")))</f>
        <v/>
      </c>
      <c r="C1367">
        <f>IF(OR($A1367="",$B1367=""),"",IF(ISNUMBER($A1367),INT(MOD($A1367,10000)/100),IFERROR(VALUE(TRIM(LEFT(MID($A1367,FIND("/",$A1367)+1,20),FIND("/",MID($A1367,FIND("/",$A1367)+1,20))-1))),"")))</f>
        <v/>
      </c>
      <c r="D1367">
        <f>IF(OR($A1367="",$B1367=""),"",IF(ISNUMBER($A1367),MOD($A1367,100),IFERROR(VALUE(TRIM(MID(MID($A1367,FIND("/",$A1367)+1,20),FIND("/",MID($A1367,FIND("/",$A1367)+1,20))+1,20))),"")))</f>
        <v/>
      </c>
      <c r="E1367">
        <f>IF($A1367="","",IF(OR($B1367="",$C1367="",$D1367="",$B1367&lt;1300,$B1367&gt;1500,$C1367&lt;1,$C1367&gt;12,$D1367&lt;1,$D1367&gt;31),"نامعتبر",RIGHT("0000"&amp;$B1367,4)&amp;"/"&amp;RIGHT("00"&amp;$C1367,2)&amp;"/"&amp;RIGHT("00"&amp;$D1367,2)))</f>
        <v/>
      </c>
      <c r="F1367">
        <f>IF(OR($E1367="",$E1367="نامعتبر"),"",IF(Sync!$Q1364="","0000",IF(AND(ISNUMBER(Sync!$Q1364),Sync!$Q1364&gt;=0,Sync!$Q1364&lt;1),RIGHT("00"&amp;HOUR(Sync!$Q1364),2)&amp;RIGHT("00"&amp;MINUTE(Sync!$Q1364),2),IFERROR(RIGHT("00"&amp;VALUE(LEFT(Sync!$Q1364,FIND(":",Sync!$Q1364)-1)),2)&amp;RIGHT("00"&amp;VALUE(MID(Sync!$Q1364,FIND(":",Sync!$Q1364)+1,2)),2),"0000"))))</f>
        <v/>
      </c>
      <c r="G1367">
        <f>IF(OR($E1367="",$E1367="نامعتبر"),"",IF(Sync!$S1364="","",Sync!$S1364))</f>
        <v/>
      </c>
      <c r="H1367">
        <f>IF(OR($E1367="",$E1367="نامعتبر"),"",IF(Sync!$R1364="","",Sync!$R1364))</f>
        <v/>
      </c>
      <c r="I1367">
        <f>IF(OR($E1367="",$E1367="نامعتبر"),"",IF(Sync!$T1364="","",Sync!$T1364))</f>
        <v/>
      </c>
      <c r="J1367">
        <f>IF(OR($E1367="",$E1367="نامعتبر"),"",IF(Sync!$U1364="","",Sync!$U1364))</f>
        <v/>
      </c>
      <c r="K1367">
        <f>IF(OR($E1367="",$E1367="نامعتبر"),"",IF(Sync!$V1364="","",IFERROR(INDEX(SubCodes,MATCH(Sync!$V1364,SubTitles,0)),Sync!$V1364)))</f>
        <v/>
      </c>
      <c r="L1367">
        <f>IF(OR($E1367="",$E1367="نامعتبر"),"",IF(Sync!$W1364="",0,Sync!$W1364))</f>
        <v/>
      </c>
      <c r="M1367">
        <f>IF(OR($E1367="",$E1367="نامعتبر"),"",IF(Sync!$X1364="",0,Sync!$X1364))</f>
        <v/>
      </c>
      <c r="N1367">
        <f>IF(OR($E1367="",$E1367="نامعتبر"),"",IF(AND($J1367="هزینه",$K1367&lt;&gt;""),1,0))</f>
        <v/>
      </c>
      <c r="O1367">
        <f>IF($N1367=0,"",LEFT($E1367,4)&amp;MID($E1367,6,2)&amp;RIGHT($E1367,2)&amp;$F1367&amp;"|"&amp;"1"&amp;RIGHT("00000"&amp;1359,5))</f>
        <v/>
      </c>
      <c r="P1367">
        <f>IF($O1367="","",COUNTIFS(ExpSub,$K1367,ExpKey,"&lt;"&amp;$O1367)+1)</f>
        <v/>
      </c>
      <c r="Q1367">
        <f>IF($P1367="","",$K1367&amp;"|"&amp;RIGHT("000000"&amp;$P1367,6))</f>
        <v/>
      </c>
    </row>
    <row r="1368">
      <c r="A1368">
        <f>IF(Sync!$P1365="","",Sync!$P1365)</f>
        <v/>
      </c>
      <c r="B1368">
        <f>IF($A1368="","",IF(ISNUMBER($A1368),IF(AND($A1368&gt;=10000101,$A1368&lt;=99991231),INT($A1368/10000),""),IFERROR(VALUE(TRIM(LEFT($A1368,FIND("/",$A1368)-1))),"")))</f>
        <v/>
      </c>
      <c r="C1368">
        <f>IF(OR($A1368="",$B1368=""),"",IF(ISNUMBER($A1368),INT(MOD($A1368,10000)/100),IFERROR(VALUE(TRIM(LEFT(MID($A1368,FIND("/",$A1368)+1,20),FIND("/",MID($A1368,FIND("/",$A1368)+1,20))-1))),"")))</f>
        <v/>
      </c>
      <c r="D1368">
        <f>IF(OR($A1368="",$B1368=""),"",IF(ISNUMBER($A1368),MOD($A1368,100),IFERROR(VALUE(TRIM(MID(MID($A1368,FIND("/",$A1368)+1,20),FIND("/",MID($A1368,FIND("/",$A1368)+1,20))+1,20))),"")))</f>
        <v/>
      </c>
      <c r="E1368">
        <f>IF($A1368="","",IF(OR($B1368="",$C1368="",$D1368="",$B1368&lt;1300,$B1368&gt;1500,$C1368&lt;1,$C1368&gt;12,$D1368&lt;1,$D1368&gt;31),"نامعتبر",RIGHT("0000"&amp;$B1368,4)&amp;"/"&amp;RIGHT("00"&amp;$C1368,2)&amp;"/"&amp;RIGHT("00"&amp;$D1368,2)))</f>
        <v/>
      </c>
      <c r="F1368">
        <f>IF(OR($E1368="",$E1368="نامعتبر"),"",IF(Sync!$Q1365="","0000",IF(AND(ISNUMBER(Sync!$Q1365),Sync!$Q1365&gt;=0,Sync!$Q1365&lt;1),RIGHT("00"&amp;HOUR(Sync!$Q1365),2)&amp;RIGHT("00"&amp;MINUTE(Sync!$Q1365),2),IFERROR(RIGHT("00"&amp;VALUE(LEFT(Sync!$Q1365,FIND(":",Sync!$Q1365)-1)),2)&amp;RIGHT("00"&amp;VALUE(MID(Sync!$Q1365,FIND(":",Sync!$Q1365)+1,2)),2),"0000"))))</f>
        <v/>
      </c>
      <c r="G1368">
        <f>IF(OR($E1368="",$E1368="نامعتبر"),"",IF(Sync!$S1365="","",Sync!$S1365))</f>
        <v/>
      </c>
      <c r="H1368">
        <f>IF(OR($E1368="",$E1368="نامعتبر"),"",IF(Sync!$R1365="","",Sync!$R1365))</f>
        <v/>
      </c>
      <c r="I1368">
        <f>IF(OR($E1368="",$E1368="نامعتبر"),"",IF(Sync!$T1365="","",Sync!$T1365))</f>
        <v/>
      </c>
      <c r="J1368">
        <f>IF(OR($E1368="",$E1368="نامعتبر"),"",IF(Sync!$U1365="","",Sync!$U1365))</f>
        <v/>
      </c>
      <c r="K1368">
        <f>IF(OR($E1368="",$E1368="نامعتبر"),"",IF(Sync!$V1365="","",IFERROR(INDEX(SubCodes,MATCH(Sync!$V1365,SubTitles,0)),Sync!$V1365)))</f>
        <v/>
      </c>
      <c r="L1368">
        <f>IF(OR($E1368="",$E1368="نامعتبر"),"",IF(Sync!$W1365="",0,Sync!$W1365))</f>
        <v/>
      </c>
      <c r="M1368">
        <f>IF(OR($E1368="",$E1368="نامعتبر"),"",IF(Sync!$X1365="",0,Sync!$X1365))</f>
        <v/>
      </c>
      <c r="N1368">
        <f>IF(OR($E1368="",$E1368="نامعتبر"),"",IF(AND($J1368="هزینه",$K1368&lt;&gt;""),1,0))</f>
        <v/>
      </c>
      <c r="O1368">
        <f>IF($N1368=0,"",LEFT($E1368,4)&amp;MID($E1368,6,2)&amp;RIGHT($E1368,2)&amp;$F1368&amp;"|"&amp;"1"&amp;RIGHT("00000"&amp;1360,5))</f>
        <v/>
      </c>
      <c r="P1368">
        <f>IF($O1368="","",COUNTIFS(ExpSub,$K1368,ExpKey,"&lt;"&amp;$O1368)+1)</f>
        <v/>
      </c>
      <c r="Q1368">
        <f>IF($P1368="","",$K1368&amp;"|"&amp;RIGHT("000000"&amp;$P1368,6))</f>
        <v/>
      </c>
    </row>
    <row r="1369">
      <c r="A1369">
        <f>IF(Sync!$P1366="","",Sync!$P1366)</f>
        <v/>
      </c>
      <c r="B1369">
        <f>IF($A1369="","",IF(ISNUMBER($A1369),IF(AND($A1369&gt;=10000101,$A1369&lt;=99991231),INT($A1369/10000),""),IFERROR(VALUE(TRIM(LEFT($A1369,FIND("/",$A1369)-1))),"")))</f>
        <v/>
      </c>
      <c r="C1369">
        <f>IF(OR($A1369="",$B1369=""),"",IF(ISNUMBER($A1369),INT(MOD($A1369,10000)/100),IFERROR(VALUE(TRIM(LEFT(MID($A1369,FIND("/",$A1369)+1,20),FIND("/",MID($A1369,FIND("/",$A1369)+1,20))-1))),"")))</f>
        <v/>
      </c>
      <c r="D1369">
        <f>IF(OR($A1369="",$B1369=""),"",IF(ISNUMBER($A1369),MOD($A1369,100),IFERROR(VALUE(TRIM(MID(MID($A1369,FIND("/",$A1369)+1,20),FIND("/",MID($A1369,FIND("/",$A1369)+1,20))+1,20))),"")))</f>
        <v/>
      </c>
      <c r="E1369">
        <f>IF($A1369="","",IF(OR($B1369="",$C1369="",$D1369="",$B1369&lt;1300,$B1369&gt;1500,$C1369&lt;1,$C1369&gt;12,$D1369&lt;1,$D1369&gt;31),"نامعتبر",RIGHT("0000"&amp;$B1369,4)&amp;"/"&amp;RIGHT("00"&amp;$C1369,2)&amp;"/"&amp;RIGHT("00"&amp;$D1369,2)))</f>
        <v/>
      </c>
      <c r="F1369">
        <f>IF(OR($E1369="",$E1369="نامعتبر"),"",IF(Sync!$Q1366="","0000",IF(AND(ISNUMBER(Sync!$Q1366),Sync!$Q1366&gt;=0,Sync!$Q1366&lt;1),RIGHT("00"&amp;HOUR(Sync!$Q1366),2)&amp;RIGHT("00"&amp;MINUTE(Sync!$Q1366),2),IFERROR(RIGHT("00"&amp;VALUE(LEFT(Sync!$Q1366,FIND(":",Sync!$Q1366)-1)),2)&amp;RIGHT("00"&amp;VALUE(MID(Sync!$Q1366,FIND(":",Sync!$Q1366)+1,2)),2),"0000"))))</f>
        <v/>
      </c>
      <c r="G1369">
        <f>IF(OR($E1369="",$E1369="نامعتبر"),"",IF(Sync!$S1366="","",Sync!$S1366))</f>
        <v/>
      </c>
      <c r="H1369">
        <f>IF(OR($E1369="",$E1369="نامعتبر"),"",IF(Sync!$R1366="","",Sync!$R1366))</f>
        <v/>
      </c>
      <c r="I1369">
        <f>IF(OR($E1369="",$E1369="نامعتبر"),"",IF(Sync!$T1366="","",Sync!$T1366))</f>
        <v/>
      </c>
      <c r="J1369">
        <f>IF(OR($E1369="",$E1369="نامعتبر"),"",IF(Sync!$U1366="","",Sync!$U1366))</f>
        <v/>
      </c>
      <c r="K1369">
        <f>IF(OR($E1369="",$E1369="نامعتبر"),"",IF(Sync!$V1366="","",IFERROR(INDEX(SubCodes,MATCH(Sync!$V1366,SubTitles,0)),Sync!$V1366)))</f>
        <v/>
      </c>
      <c r="L1369">
        <f>IF(OR($E1369="",$E1369="نامعتبر"),"",IF(Sync!$W1366="",0,Sync!$W1366))</f>
        <v/>
      </c>
      <c r="M1369">
        <f>IF(OR($E1369="",$E1369="نامعتبر"),"",IF(Sync!$X1366="",0,Sync!$X1366))</f>
        <v/>
      </c>
      <c r="N1369">
        <f>IF(OR($E1369="",$E1369="نامعتبر"),"",IF(AND($J1369="هزینه",$K1369&lt;&gt;""),1,0))</f>
        <v/>
      </c>
      <c r="O1369">
        <f>IF($N1369=0,"",LEFT($E1369,4)&amp;MID($E1369,6,2)&amp;RIGHT($E1369,2)&amp;$F1369&amp;"|"&amp;"1"&amp;RIGHT("00000"&amp;1361,5))</f>
        <v/>
      </c>
      <c r="P1369">
        <f>IF($O1369="","",COUNTIFS(ExpSub,$K1369,ExpKey,"&lt;"&amp;$O1369)+1)</f>
        <v/>
      </c>
      <c r="Q1369">
        <f>IF($P1369="","",$K1369&amp;"|"&amp;RIGHT("000000"&amp;$P1369,6))</f>
        <v/>
      </c>
    </row>
    <row r="1370">
      <c r="A1370">
        <f>IF(Sync!$P1367="","",Sync!$P1367)</f>
        <v/>
      </c>
      <c r="B1370">
        <f>IF($A1370="","",IF(ISNUMBER($A1370),IF(AND($A1370&gt;=10000101,$A1370&lt;=99991231),INT($A1370/10000),""),IFERROR(VALUE(TRIM(LEFT($A1370,FIND("/",$A1370)-1))),"")))</f>
        <v/>
      </c>
      <c r="C1370">
        <f>IF(OR($A1370="",$B1370=""),"",IF(ISNUMBER($A1370),INT(MOD($A1370,10000)/100),IFERROR(VALUE(TRIM(LEFT(MID($A1370,FIND("/",$A1370)+1,20),FIND("/",MID($A1370,FIND("/",$A1370)+1,20))-1))),"")))</f>
        <v/>
      </c>
      <c r="D1370">
        <f>IF(OR($A1370="",$B1370=""),"",IF(ISNUMBER($A1370),MOD($A1370,100),IFERROR(VALUE(TRIM(MID(MID($A1370,FIND("/",$A1370)+1,20),FIND("/",MID($A1370,FIND("/",$A1370)+1,20))+1,20))),"")))</f>
        <v/>
      </c>
      <c r="E1370">
        <f>IF($A1370="","",IF(OR($B1370="",$C1370="",$D1370="",$B1370&lt;1300,$B1370&gt;1500,$C1370&lt;1,$C1370&gt;12,$D1370&lt;1,$D1370&gt;31),"نامعتبر",RIGHT("0000"&amp;$B1370,4)&amp;"/"&amp;RIGHT("00"&amp;$C1370,2)&amp;"/"&amp;RIGHT("00"&amp;$D1370,2)))</f>
        <v/>
      </c>
      <c r="F1370">
        <f>IF(OR($E1370="",$E1370="نامعتبر"),"",IF(Sync!$Q1367="","0000",IF(AND(ISNUMBER(Sync!$Q1367),Sync!$Q1367&gt;=0,Sync!$Q1367&lt;1),RIGHT("00"&amp;HOUR(Sync!$Q1367),2)&amp;RIGHT("00"&amp;MINUTE(Sync!$Q1367),2),IFERROR(RIGHT("00"&amp;VALUE(LEFT(Sync!$Q1367,FIND(":",Sync!$Q1367)-1)),2)&amp;RIGHT("00"&amp;VALUE(MID(Sync!$Q1367,FIND(":",Sync!$Q1367)+1,2)),2),"0000"))))</f>
        <v/>
      </c>
      <c r="G1370">
        <f>IF(OR($E1370="",$E1370="نامعتبر"),"",IF(Sync!$S1367="","",Sync!$S1367))</f>
        <v/>
      </c>
      <c r="H1370">
        <f>IF(OR($E1370="",$E1370="نامعتبر"),"",IF(Sync!$R1367="","",Sync!$R1367))</f>
        <v/>
      </c>
      <c r="I1370">
        <f>IF(OR($E1370="",$E1370="نامعتبر"),"",IF(Sync!$T1367="","",Sync!$T1367))</f>
        <v/>
      </c>
      <c r="J1370">
        <f>IF(OR($E1370="",$E1370="نامعتبر"),"",IF(Sync!$U1367="","",Sync!$U1367))</f>
        <v/>
      </c>
      <c r="K1370">
        <f>IF(OR($E1370="",$E1370="نامعتبر"),"",IF(Sync!$V1367="","",IFERROR(INDEX(SubCodes,MATCH(Sync!$V1367,SubTitles,0)),Sync!$V1367)))</f>
        <v/>
      </c>
      <c r="L1370">
        <f>IF(OR($E1370="",$E1370="نامعتبر"),"",IF(Sync!$W1367="",0,Sync!$W1367))</f>
        <v/>
      </c>
      <c r="M1370">
        <f>IF(OR($E1370="",$E1370="نامعتبر"),"",IF(Sync!$X1367="",0,Sync!$X1367))</f>
        <v/>
      </c>
      <c r="N1370">
        <f>IF(OR($E1370="",$E1370="نامعتبر"),"",IF(AND($J1370="هزینه",$K1370&lt;&gt;""),1,0))</f>
        <v/>
      </c>
      <c r="O1370">
        <f>IF($N1370=0,"",LEFT($E1370,4)&amp;MID($E1370,6,2)&amp;RIGHT($E1370,2)&amp;$F1370&amp;"|"&amp;"1"&amp;RIGHT("00000"&amp;1362,5))</f>
        <v/>
      </c>
      <c r="P1370">
        <f>IF($O1370="","",COUNTIFS(ExpSub,$K1370,ExpKey,"&lt;"&amp;$O1370)+1)</f>
        <v/>
      </c>
      <c r="Q1370">
        <f>IF($P1370="","",$K1370&amp;"|"&amp;RIGHT("000000"&amp;$P1370,6))</f>
        <v/>
      </c>
    </row>
    <row r="1371">
      <c r="A1371">
        <f>IF(Sync!$P1368="","",Sync!$P1368)</f>
        <v/>
      </c>
      <c r="B1371">
        <f>IF($A1371="","",IF(ISNUMBER($A1371),IF(AND($A1371&gt;=10000101,$A1371&lt;=99991231),INT($A1371/10000),""),IFERROR(VALUE(TRIM(LEFT($A1371,FIND("/",$A1371)-1))),"")))</f>
        <v/>
      </c>
      <c r="C1371">
        <f>IF(OR($A1371="",$B1371=""),"",IF(ISNUMBER($A1371),INT(MOD($A1371,10000)/100),IFERROR(VALUE(TRIM(LEFT(MID($A1371,FIND("/",$A1371)+1,20),FIND("/",MID($A1371,FIND("/",$A1371)+1,20))-1))),"")))</f>
        <v/>
      </c>
      <c r="D1371">
        <f>IF(OR($A1371="",$B1371=""),"",IF(ISNUMBER($A1371),MOD($A1371,100),IFERROR(VALUE(TRIM(MID(MID($A1371,FIND("/",$A1371)+1,20),FIND("/",MID($A1371,FIND("/",$A1371)+1,20))+1,20))),"")))</f>
        <v/>
      </c>
      <c r="E1371">
        <f>IF($A1371="","",IF(OR($B1371="",$C1371="",$D1371="",$B1371&lt;1300,$B1371&gt;1500,$C1371&lt;1,$C1371&gt;12,$D1371&lt;1,$D1371&gt;31),"نامعتبر",RIGHT("0000"&amp;$B1371,4)&amp;"/"&amp;RIGHT("00"&amp;$C1371,2)&amp;"/"&amp;RIGHT("00"&amp;$D1371,2)))</f>
        <v/>
      </c>
      <c r="F1371">
        <f>IF(OR($E1371="",$E1371="نامعتبر"),"",IF(Sync!$Q1368="","0000",IF(AND(ISNUMBER(Sync!$Q1368),Sync!$Q1368&gt;=0,Sync!$Q1368&lt;1),RIGHT("00"&amp;HOUR(Sync!$Q1368),2)&amp;RIGHT("00"&amp;MINUTE(Sync!$Q1368),2),IFERROR(RIGHT("00"&amp;VALUE(LEFT(Sync!$Q1368,FIND(":",Sync!$Q1368)-1)),2)&amp;RIGHT("00"&amp;VALUE(MID(Sync!$Q1368,FIND(":",Sync!$Q1368)+1,2)),2),"0000"))))</f>
        <v/>
      </c>
      <c r="G1371">
        <f>IF(OR($E1371="",$E1371="نامعتبر"),"",IF(Sync!$S1368="","",Sync!$S1368))</f>
        <v/>
      </c>
      <c r="H1371">
        <f>IF(OR($E1371="",$E1371="نامعتبر"),"",IF(Sync!$R1368="","",Sync!$R1368))</f>
        <v/>
      </c>
      <c r="I1371">
        <f>IF(OR($E1371="",$E1371="نامعتبر"),"",IF(Sync!$T1368="","",Sync!$T1368))</f>
        <v/>
      </c>
      <c r="J1371">
        <f>IF(OR($E1371="",$E1371="نامعتبر"),"",IF(Sync!$U1368="","",Sync!$U1368))</f>
        <v/>
      </c>
      <c r="K1371">
        <f>IF(OR($E1371="",$E1371="نامعتبر"),"",IF(Sync!$V1368="","",IFERROR(INDEX(SubCodes,MATCH(Sync!$V1368,SubTitles,0)),Sync!$V1368)))</f>
        <v/>
      </c>
      <c r="L1371">
        <f>IF(OR($E1371="",$E1371="نامعتبر"),"",IF(Sync!$W1368="",0,Sync!$W1368))</f>
        <v/>
      </c>
      <c r="M1371">
        <f>IF(OR($E1371="",$E1371="نامعتبر"),"",IF(Sync!$X1368="",0,Sync!$X1368))</f>
        <v/>
      </c>
      <c r="N1371">
        <f>IF(OR($E1371="",$E1371="نامعتبر"),"",IF(AND($J1371="هزینه",$K1371&lt;&gt;""),1,0))</f>
        <v/>
      </c>
      <c r="O1371">
        <f>IF($N1371=0,"",LEFT($E1371,4)&amp;MID($E1371,6,2)&amp;RIGHT($E1371,2)&amp;$F1371&amp;"|"&amp;"1"&amp;RIGHT("00000"&amp;1363,5))</f>
        <v/>
      </c>
      <c r="P1371">
        <f>IF($O1371="","",COUNTIFS(ExpSub,$K1371,ExpKey,"&lt;"&amp;$O1371)+1)</f>
        <v/>
      </c>
      <c r="Q1371">
        <f>IF($P1371="","",$K1371&amp;"|"&amp;RIGHT("000000"&amp;$P1371,6))</f>
        <v/>
      </c>
    </row>
    <row r="1372">
      <c r="A1372">
        <f>IF(Sync!$P1369="","",Sync!$P1369)</f>
        <v/>
      </c>
      <c r="B1372">
        <f>IF($A1372="","",IF(ISNUMBER($A1372),IF(AND($A1372&gt;=10000101,$A1372&lt;=99991231),INT($A1372/10000),""),IFERROR(VALUE(TRIM(LEFT($A1372,FIND("/",$A1372)-1))),"")))</f>
        <v/>
      </c>
      <c r="C1372">
        <f>IF(OR($A1372="",$B1372=""),"",IF(ISNUMBER($A1372),INT(MOD($A1372,10000)/100),IFERROR(VALUE(TRIM(LEFT(MID($A1372,FIND("/",$A1372)+1,20),FIND("/",MID($A1372,FIND("/",$A1372)+1,20))-1))),"")))</f>
        <v/>
      </c>
      <c r="D1372">
        <f>IF(OR($A1372="",$B1372=""),"",IF(ISNUMBER($A1372),MOD($A1372,100),IFERROR(VALUE(TRIM(MID(MID($A1372,FIND("/",$A1372)+1,20),FIND("/",MID($A1372,FIND("/",$A1372)+1,20))+1,20))),"")))</f>
        <v/>
      </c>
      <c r="E1372">
        <f>IF($A1372="","",IF(OR($B1372="",$C1372="",$D1372="",$B1372&lt;1300,$B1372&gt;1500,$C1372&lt;1,$C1372&gt;12,$D1372&lt;1,$D1372&gt;31),"نامعتبر",RIGHT("0000"&amp;$B1372,4)&amp;"/"&amp;RIGHT("00"&amp;$C1372,2)&amp;"/"&amp;RIGHT("00"&amp;$D1372,2)))</f>
        <v/>
      </c>
      <c r="F1372">
        <f>IF(OR($E1372="",$E1372="نامعتبر"),"",IF(Sync!$Q1369="","0000",IF(AND(ISNUMBER(Sync!$Q1369),Sync!$Q1369&gt;=0,Sync!$Q1369&lt;1),RIGHT("00"&amp;HOUR(Sync!$Q1369),2)&amp;RIGHT("00"&amp;MINUTE(Sync!$Q1369),2),IFERROR(RIGHT("00"&amp;VALUE(LEFT(Sync!$Q1369,FIND(":",Sync!$Q1369)-1)),2)&amp;RIGHT("00"&amp;VALUE(MID(Sync!$Q1369,FIND(":",Sync!$Q1369)+1,2)),2),"0000"))))</f>
        <v/>
      </c>
      <c r="G1372">
        <f>IF(OR($E1372="",$E1372="نامعتبر"),"",IF(Sync!$S1369="","",Sync!$S1369))</f>
        <v/>
      </c>
      <c r="H1372">
        <f>IF(OR($E1372="",$E1372="نامعتبر"),"",IF(Sync!$R1369="","",Sync!$R1369))</f>
        <v/>
      </c>
      <c r="I1372">
        <f>IF(OR($E1372="",$E1372="نامعتبر"),"",IF(Sync!$T1369="","",Sync!$T1369))</f>
        <v/>
      </c>
      <c r="J1372">
        <f>IF(OR($E1372="",$E1372="نامعتبر"),"",IF(Sync!$U1369="","",Sync!$U1369))</f>
        <v/>
      </c>
      <c r="K1372">
        <f>IF(OR($E1372="",$E1372="نامعتبر"),"",IF(Sync!$V1369="","",IFERROR(INDEX(SubCodes,MATCH(Sync!$V1369,SubTitles,0)),Sync!$V1369)))</f>
        <v/>
      </c>
      <c r="L1372">
        <f>IF(OR($E1372="",$E1372="نامعتبر"),"",IF(Sync!$W1369="",0,Sync!$W1369))</f>
        <v/>
      </c>
      <c r="M1372">
        <f>IF(OR($E1372="",$E1372="نامعتبر"),"",IF(Sync!$X1369="",0,Sync!$X1369))</f>
        <v/>
      </c>
      <c r="N1372">
        <f>IF(OR($E1372="",$E1372="نامعتبر"),"",IF(AND($J1372="هزینه",$K1372&lt;&gt;""),1,0))</f>
        <v/>
      </c>
      <c r="O1372">
        <f>IF($N1372=0,"",LEFT($E1372,4)&amp;MID($E1372,6,2)&amp;RIGHT($E1372,2)&amp;$F1372&amp;"|"&amp;"1"&amp;RIGHT("00000"&amp;1364,5))</f>
        <v/>
      </c>
      <c r="P1372">
        <f>IF($O1372="","",COUNTIFS(ExpSub,$K1372,ExpKey,"&lt;"&amp;$O1372)+1)</f>
        <v/>
      </c>
      <c r="Q1372">
        <f>IF($P1372="","",$K1372&amp;"|"&amp;RIGHT("000000"&amp;$P1372,6))</f>
        <v/>
      </c>
    </row>
    <row r="1373">
      <c r="A1373">
        <f>IF(Sync!$P1370="","",Sync!$P1370)</f>
        <v/>
      </c>
      <c r="B1373">
        <f>IF($A1373="","",IF(ISNUMBER($A1373),IF(AND($A1373&gt;=10000101,$A1373&lt;=99991231),INT($A1373/10000),""),IFERROR(VALUE(TRIM(LEFT($A1373,FIND("/",$A1373)-1))),"")))</f>
        <v/>
      </c>
      <c r="C1373">
        <f>IF(OR($A1373="",$B1373=""),"",IF(ISNUMBER($A1373),INT(MOD($A1373,10000)/100),IFERROR(VALUE(TRIM(LEFT(MID($A1373,FIND("/",$A1373)+1,20),FIND("/",MID($A1373,FIND("/",$A1373)+1,20))-1))),"")))</f>
        <v/>
      </c>
      <c r="D1373">
        <f>IF(OR($A1373="",$B1373=""),"",IF(ISNUMBER($A1373),MOD($A1373,100),IFERROR(VALUE(TRIM(MID(MID($A1373,FIND("/",$A1373)+1,20),FIND("/",MID($A1373,FIND("/",$A1373)+1,20))+1,20))),"")))</f>
        <v/>
      </c>
      <c r="E1373">
        <f>IF($A1373="","",IF(OR($B1373="",$C1373="",$D1373="",$B1373&lt;1300,$B1373&gt;1500,$C1373&lt;1,$C1373&gt;12,$D1373&lt;1,$D1373&gt;31),"نامعتبر",RIGHT("0000"&amp;$B1373,4)&amp;"/"&amp;RIGHT("00"&amp;$C1373,2)&amp;"/"&amp;RIGHT("00"&amp;$D1373,2)))</f>
        <v/>
      </c>
      <c r="F1373">
        <f>IF(OR($E1373="",$E1373="نامعتبر"),"",IF(Sync!$Q1370="","0000",IF(AND(ISNUMBER(Sync!$Q1370),Sync!$Q1370&gt;=0,Sync!$Q1370&lt;1),RIGHT("00"&amp;HOUR(Sync!$Q1370),2)&amp;RIGHT("00"&amp;MINUTE(Sync!$Q1370),2),IFERROR(RIGHT("00"&amp;VALUE(LEFT(Sync!$Q1370,FIND(":",Sync!$Q1370)-1)),2)&amp;RIGHT("00"&amp;VALUE(MID(Sync!$Q1370,FIND(":",Sync!$Q1370)+1,2)),2),"0000"))))</f>
        <v/>
      </c>
      <c r="G1373">
        <f>IF(OR($E1373="",$E1373="نامعتبر"),"",IF(Sync!$S1370="","",Sync!$S1370))</f>
        <v/>
      </c>
      <c r="H1373">
        <f>IF(OR($E1373="",$E1373="نامعتبر"),"",IF(Sync!$R1370="","",Sync!$R1370))</f>
        <v/>
      </c>
      <c r="I1373">
        <f>IF(OR($E1373="",$E1373="نامعتبر"),"",IF(Sync!$T1370="","",Sync!$T1370))</f>
        <v/>
      </c>
      <c r="J1373">
        <f>IF(OR($E1373="",$E1373="نامعتبر"),"",IF(Sync!$U1370="","",Sync!$U1370))</f>
        <v/>
      </c>
      <c r="K1373">
        <f>IF(OR($E1373="",$E1373="نامعتبر"),"",IF(Sync!$V1370="","",IFERROR(INDEX(SubCodes,MATCH(Sync!$V1370,SubTitles,0)),Sync!$V1370)))</f>
        <v/>
      </c>
      <c r="L1373">
        <f>IF(OR($E1373="",$E1373="نامعتبر"),"",IF(Sync!$W1370="",0,Sync!$W1370))</f>
        <v/>
      </c>
      <c r="M1373">
        <f>IF(OR($E1373="",$E1373="نامعتبر"),"",IF(Sync!$X1370="",0,Sync!$X1370))</f>
        <v/>
      </c>
      <c r="N1373">
        <f>IF(OR($E1373="",$E1373="نامعتبر"),"",IF(AND($J1373="هزینه",$K1373&lt;&gt;""),1,0))</f>
        <v/>
      </c>
      <c r="O1373">
        <f>IF($N1373=0,"",LEFT($E1373,4)&amp;MID($E1373,6,2)&amp;RIGHT($E1373,2)&amp;$F1373&amp;"|"&amp;"1"&amp;RIGHT("00000"&amp;1365,5))</f>
        <v/>
      </c>
      <c r="P1373">
        <f>IF($O1373="","",COUNTIFS(ExpSub,$K1373,ExpKey,"&lt;"&amp;$O1373)+1)</f>
        <v/>
      </c>
      <c r="Q1373">
        <f>IF($P1373="","",$K1373&amp;"|"&amp;RIGHT("000000"&amp;$P1373,6))</f>
        <v/>
      </c>
    </row>
    <row r="1374">
      <c r="A1374">
        <f>IF(Sync!$P1371="","",Sync!$P1371)</f>
        <v/>
      </c>
      <c r="B1374">
        <f>IF($A1374="","",IF(ISNUMBER($A1374),IF(AND($A1374&gt;=10000101,$A1374&lt;=99991231),INT($A1374/10000),""),IFERROR(VALUE(TRIM(LEFT($A1374,FIND("/",$A1374)-1))),"")))</f>
        <v/>
      </c>
      <c r="C1374">
        <f>IF(OR($A1374="",$B1374=""),"",IF(ISNUMBER($A1374),INT(MOD($A1374,10000)/100),IFERROR(VALUE(TRIM(LEFT(MID($A1374,FIND("/",$A1374)+1,20),FIND("/",MID($A1374,FIND("/",$A1374)+1,20))-1))),"")))</f>
        <v/>
      </c>
      <c r="D1374">
        <f>IF(OR($A1374="",$B1374=""),"",IF(ISNUMBER($A1374),MOD($A1374,100),IFERROR(VALUE(TRIM(MID(MID($A1374,FIND("/",$A1374)+1,20),FIND("/",MID($A1374,FIND("/",$A1374)+1,20))+1,20))),"")))</f>
        <v/>
      </c>
      <c r="E1374">
        <f>IF($A1374="","",IF(OR($B1374="",$C1374="",$D1374="",$B1374&lt;1300,$B1374&gt;1500,$C1374&lt;1,$C1374&gt;12,$D1374&lt;1,$D1374&gt;31),"نامعتبر",RIGHT("0000"&amp;$B1374,4)&amp;"/"&amp;RIGHT("00"&amp;$C1374,2)&amp;"/"&amp;RIGHT("00"&amp;$D1374,2)))</f>
        <v/>
      </c>
      <c r="F1374">
        <f>IF(OR($E1374="",$E1374="نامعتبر"),"",IF(Sync!$Q1371="","0000",IF(AND(ISNUMBER(Sync!$Q1371),Sync!$Q1371&gt;=0,Sync!$Q1371&lt;1),RIGHT("00"&amp;HOUR(Sync!$Q1371),2)&amp;RIGHT("00"&amp;MINUTE(Sync!$Q1371),2),IFERROR(RIGHT("00"&amp;VALUE(LEFT(Sync!$Q1371,FIND(":",Sync!$Q1371)-1)),2)&amp;RIGHT("00"&amp;VALUE(MID(Sync!$Q1371,FIND(":",Sync!$Q1371)+1,2)),2),"0000"))))</f>
        <v/>
      </c>
      <c r="G1374">
        <f>IF(OR($E1374="",$E1374="نامعتبر"),"",IF(Sync!$S1371="","",Sync!$S1371))</f>
        <v/>
      </c>
      <c r="H1374">
        <f>IF(OR($E1374="",$E1374="نامعتبر"),"",IF(Sync!$R1371="","",Sync!$R1371))</f>
        <v/>
      </c>
      <c r="I1374">
        <f>IF(OR($E1374="",$E1374="نامعتبر"),"",IF(Sync!$T1371="","",Sync!$T1371))</f>
        <v/>
      </c>
      <c r="J1374">
        <f>IF(OR($E1374="",$E1374="نامعتبر"),"",IF(Sync!$U1371="","",Sync!$U1371))</f>
        <v/>
      </c>
      <c r="K1374">
        <f>IF(OR($E1374="",$E1374="نامعتبر"),"",IF(Sync!$V1371="","",IFERROR(INDEX(SubCodes,MATCH(Sync!$V1371,SubTitles,0)),Sync!$V1371)))</f>
        <v/>
      </c>
      <c r="L1374">
        <f>IF(OR($E1374="",$E1374="نامعتبر"),"",IF(Sync!$W1371="",0,Sync!$W1371))</f>
        <v/>
      </c>
      <c r="M1374">
        <f>IF(OR($E1374="",$E1374="نامعتبر"),"",IF(Sync!$X1371="",0,Sync!$X1371))</f>
        <v/>
      </c>
      <c r="N1374">
        <f>IF(OR($E1374="",$E1374="نامعتبر"),"",IF(AND($J1374="هزینه",$K1374&lt;&gt;""),1,0))</f>
        <v/>
      </c>
      <c r="O1374">
        <f>IF($N1374=0,"",LEFT($E1374,4)&amp;MID($E1374,6,2)&amp;RIGHT($E1374,2)&amp;$F1374&amp;"|"&amp;"1"&amp;RIGHT("00000"&amp;1366,5))</f>
        <v/>
      </c>
      <c r="P1374">
        <f>IF($O1374="","",COUNTIFS(ExpSub,$K1374,ExpKey,"&lt;"&amp;$O1374)+1)</f>
        <v/>
      </c>
      <c r="Q1374">
        <f>IF($P1374="","",$K1374&amp;"|"&amp;RIGHT("000000"&amp;$P1374,6))</f>
        <v/>
      </c>
    </row>
    <row r="1375">
      <c r="A1375">
        <f>IF(Sync!$P1372="","",Sync!$P1372)</f>
        <v/>
      </c>
      <c r="B1375">
        <f>IF($A1375="","",IF(ISNUMBER($A1375),IF(AND($A1375&gt;=10000101,$A1375&lt;=99991231),INT($A1375/10000),""),IFERROR(VALUE(TRIM(LEFT($A1375,FIND("/",$A1375)-1))),"")))</f>
        <v/>
      </c>
      <c r="C1375">
        <f>IF(OR($A1375="",$B1375=""),"",IF(ISNUMBER($A1375),INT(MOD($A1375,10000)/100),IFERROR(VALUE(TRIM(LEFT(MID($A1375,FIND("/",$A1375)+1,20),FIND("/",MID($A1375,FIND("/",$A1375)+1,20))-1))),"")))</f>
        <v/>
      </c>
      <c r="D1375">
        <f>IF(OR($A1375="",$B1375=""),"",IF(ISNUMBER($A1375),MOD($A1375,100),IFERROR(VALUE(TRIM(MID(MID($A1375,FIND("/",$A1375)+1,20),FIND("/",MID($A1375,FIND("/",$A1375)+1,20))+1,20))),"")))</f>
        <v/>
      </c>
      <c r="E1375">
        <f>IF($A1375="","",IF(OR($B1375="",$C1375="",$D1375="",$B1375&lt;1300,$B1375&gt;1500,$C1375&lt;1,$C1375&gt;12,$D1375&lt;1,$D1375&gt;31),"نامعتبر",RIGHT("0000"&amp;$B1375,4)&amp;"/"&amp;RIGHT("00"&amp;$C1375,2)&amp;"/"&amp;RIGHT("00"&amp;$D1375,2)))</f>
        <v/>
      </c>
      <c r="F1375">
        <f>IF(OR($E1375="",$E1375="نامعتبر"),"",IF(Sync!$Q1372="","0000",IF(AND(ISNUMBER(Sync!$Q1372),Sync!$Q1372&gt;=0,Sync!$Q1372&lt;1),RIGHT("00"&amp;HOUR(Sync!$Q1372),2)&amp;RIGHT("00"&amp;MINUTE(Sync!$Q1372),2),IFERROR(RIGHT("00"&amp;VALUE(LEFT(Sync!$Q1372,FIND(":",Sync!$Q1372)-1)),2)&amp;RIGHT("00"&amp;VALUE(MID(Sync!$Q1372,FIND(":",Sync!$Q1372)+1,2)),2),"0000"))))</f>
        <v/>
      </c>
      <c r="G1375">
        <f>IF(OR($E1375="",$E1375="نامعتبر"),"",IF(Sync!$S1372="","",Sync!$S1372))</f>
        <v/>
      </c>
      <c r="H1375">
        <f>IF(OR($E1375="",$E1375="نامعتبر"),"",IF(Sync!$R1372="","",Sync!$R1372))</f>
        <v/>
      </c>
      <c r="I1375">
        <f>IF(OR($E1375="",$E1375="نامعتبر"),"",IF(Sync!$T1372="","",Sync!$T1372))</f>
        <v/>
      </c>
      <c r="J1375">
        <f>IF(OR($E1375="",$E1375="نامعتبر"),"",IF(Sync!$U1372="","",Sync!$U1372))</f>
        <v/>
      </c>
      <c r="K1375">
        <f>IF(OR($E1375="",$E1375="نامعتبر"),"",IF(Sync!$V1372="","",IFERROR(INDEX(SubCodes,MATCH(Sync!$V1372,SubTitles,0)),Sync!$V1372)))</f>
        <v/>
      </c>
      <c r="L1375">
        <f>IF(OR($E1375="",$E1375="نامعتبر"),"",IF(Sync!$W1372="",0,Sync!$W1372))</f>
        <v/>
      </c>
      <c r="M1375">
        <f>IF(OR($E1375="",$E1375="نامعتبر"),"",IF(Sync!$X1372="",0,Sync!$X1372))</f>
        <v/>
      </c>
      <c r="N1375">
        <f>IF(OR($E1375="",$E1375="نامعتبر"),"",IF(AND($J1375="هزینه",$K1375&lt;&gt;""),1,0))</f>
        <v/>
      </c>
      <c r="O1375">
        <f>IF($N1375=0,"",LEFT($E1375,4)&amp;MID($E1375,6,2)&amp;RIGHT($E1375,2)&amp;$F1375&amp;"|"&amp;"1"&amp;RIGHT("00000"&amp;1367,5))</f>
        <v/>
      </c>
      <c r="P1375">
        <f>IF($O1375="","",COUNTIFS(ExpSub,$K1375,ExpKey,"&lt;"&amp;$O1375)+1)</f>
        <v/>
      </c>
      <c r="Q1375">
        <f>IF($P1375="","",$K1375&amp;"|"&amp;RIGHT("000000"&amp;$P1375,6))</f>
        <v/>
      </c>
    </row>
    <row r="1376">
      <c r="A1376">
        <f>IF(Sync!$P1373="","",Sync!$P1373)</f>
        <v/>
      </c>
      <c r="B1376">
        <f>IF($A1376="","",IF(ISNUMBER($A1376),IF(AND($A1376&gt;=10000101,$A1376&lt;=99991231),INT($A1376/10000),""),IFERROR(VALUE(TRIM(LEFT($A1376,FIND("/",$A1376)-1))),"")))</f>
        <v/>
      </c>
      <c r="C1376">
        <f>IF(OR($A1376="",$B1376=""),"",IF(ISNUMBER($A1376),INT(MOD($A1376,10000)/100),IFERROR(VALUE(TRIM(LEFT(MID($A1376,FIND("/",$A1376)+1,20),FIND("/",MID($A1376,FIND("/",$A1376)+1,20))-1))),"")))</f>
        <v/>
      </c>
      <c r="D1376">
        <f>IF(OR($A1376="",$B1376=""),"",IF(ISNUMBER($A1376),MOD($A1376,100),IFERROR(VALUE(TRIM(MID(MID($A1376,FIND("/",$A1376)+1,20),FIND("/",MID($A1376,FIND("/",$A1376)+1,20))+1,20))),"")))</f>
        <v/>
      </c>
      <c r="E1376">
        <f>IF($A1376="","",IF(OR($B1376="",$C1376="",$D1376="",$B1376&lt;1300,$B1376&gt;1500,$C1376&lt;1,$C1376&gt;12,$D1376&lt;1,$D1376&gt;31),"نامعتبر",RIGHT("0000"&amp;$B1376,4)&amp;"/"&amp;RIGHT("00"&amp;$C1376,2)&amp;"/"&amp;RIGHT("00"&amp;$D1376,2)))</f>
        <v/>
      </c>
      <c r="F1376">
        <f>IF(OR($E1376="",$E1376="نامعتبر"),"",IF(Sync!$Q1373="","0000",IF(AND(ISNUMBER(Sync!$Q1373),Sync!$Q1373&gt;=0,Sync!$Q1373&lt;1),RIGHT("00"&amp;HOUR(Sync!$Q1373),2)&amp;RIGHT("00"&amp;MINUTE(Sync!$Q1373),2),IFERROR(RIGHT("00"&amp;VALUE(LEFT(Sync!$Q1373,FIND(":",Sync!$Q1373)-1)),2)&amp;RIGHT("00"&amp;VALUE(MID(Sync!$Q1373,FIND(":",Sync!$Q1373)+1,2)),2),"0000"))))</f>
        <v/>
      </c>
      <c r="G1376">
        <f>IF(OR($E1376="",$E1376="نامعتبر"),"",IF(Sync!$S1373="","",Sync!$S1373))</f>
        <v/>
      </c>
      <c r="H1376">
        <f>IF(OR($E1376="",$E1376="نامعتبر"),"",IF(Sync!$R1373="","",Sync!$R1373))</f>
        <v/>
      </c>
      <c r="I1376">
        <f>IF(OR($E1376="",$E1376="نامعتبر"),"",IF(Sync!$T1373="","",Sync!$T1373))</f>
        <v/>
      </c>
      <c r="J1376">
        <f>IF(OR($E1376="",$E1376="نامعتبر"),"",IF(Sync!$U1373="","",Sync!$U1373))</f>
        <v/>
      </c>
      <c r="K1376">
        <f>IF(OR($E1376="",$E1376="نامعتبر"),"",IF(Sync!$V1373="","",IFERROR(INDEX(SubCodes,MATCH(Sync!$V1373,SubTitles,0)),Sync!$V1373)))</f>
        <v/>
      </c>
      <c r="L1376">
        <f>IF(OR($E1376="",$E1376="نامعتبر"),"",IF(Sync!$W1373="",0,Sync!$W1373))</f>
        <v/>
      </c>
      <c r="M1376">
        <f>IF(OR($E1376="",$E1376="نامعتبر"),"",IF(Sync!$X1373="",0,Sync!$X1373))</f>
        <v/>
      </c>
      <c r="N1376">
        <f>IF(OR($E1376="",$E1376="نامعتبر"),"",IF(AND($J1376="هزینه",$K1376&lt;&gt;""),1,0))</f>
        <v/>
      </c>
      <c r="O1376">
        <f>IF($N1376=0,"",LEFT($E1376,4)&amp;MID($E1376,6,2)&amp;RIGHT($E1376,2)&amp;$F1376&amp;"|"&amp;"1"&amp;RIGHT("00000"&amp;1368,5))</f>
        <v/>
      </c>
      <c r="P1376">
        <f>IF($O1376="","",COUNTIFS(ExpSub,$K1376,ExpKey,"&lt;"&amp;$O1376)+1)</f>
        <v/>
      </c>
      <c r="Q1376">
        <f>IF($P1376="","",$K1376&amp;"|"&amp;RIGHT("000000"&amp;$P1376,6))</f>
        <v/>
      </c>
    </row>
    <row r="1377">
      <c r="A1377">
        <f>IF(Sync!$P1374="","",Sync!$P1374)</f>
        <v/>
      </c>
      <c r="B1377">
        <f>IF($A1377="","",IF(ISNUMBER($A1377),IF(AND($A1377&gt;=10000101,$A1377&lt;=99991231),INT($A1377/10000),""),IFERROR(VALUE(TRIM(LEFT($A1377,FIND("/",$A1377)-1))),"")))</f>
        <v/>
      </c>
      <c r="C1377">
        <f>IF(OR($A1377="",$B1377=""),"",IF(ISNUMBER($A1377),INT(MOD($A1377,10000)/100),IFERROR(VALUE(TRIM(LEFT(MID($A1377,FIND("/",$A1377)+1,20),FIND("/",MID($A1377,FIND("/",$A1377)+1,20))-1))),"")))</f>
        <v/>
      </c>
      <c r="D1377">
        <f>IF(OR($A1377="",$B1377=""),"",IF(ISNUMBER($A1377),MOD($A1377,100),IFERROR(VALUE(TRIM(MID(MID($A1377,FIND("/",$A1377)+1,20),FIND("/",MID($A1377,FIND("/",$A1377)+1,20))+1,20))),"")))</f>
        <v/>
      </c>
      <c r="E1377">
        <f>IF($A1377="","",IF(OR($B1377="",$C1377="",$D1377="",$B1377&lt;1300,$B1377&gt;1500,$C1377&lt;1,$C1377&gt;12,$D1377&lt;1,$D1377&gt;31),"نامعتبر",RIGHT("0000"&amp;$B1377,4)&amp;"/"&amp;RIGHT("00"&amp;$C1377,2)&amp;"/"&amp;RIGHT("00"&amp;$D1377,2)))</f>
        <v/>
      </c>
      <c r="F1377">
        <f>IF(OR($E1377="",$E1377="نامعتبر"),"",IF(Sync!$Q1374="","0000",IF(AND(ISNUMBER(Sync!$Q1374),Sync!$Q1374&gt;=0,Sync!$Q1374&lt;1),RIGHT("00"&amp;HOUR(Sync!$Q1374),2)&amp;RIGHT("00"&amp;MINUTE(Sync!$Q1374),2),IFERROR(RIGHT("00"&amp;VALUE(LEFT(Sync!$Q1374,FIND(":",Sync!$Q1374)-1)),2)&amp;RIGHT("00"&amp;VALUE(MID(Sync!$Q1374,FIND(":",Sync!$Q1374)+1,2)),2),"0000"))))</f>
        <v/>
      </c>
      <c r="G1377">
        <f>IF(OR($E1377="",$E1377="نامعتبر"),"",IF(Sync!$S1374="","",Sync!$S1374))</f>
        <v/>
      </c>
      <c r="H1377">
        <f>IF(OR($E1377="",$E1377="نامعتبر"),"",IF(Sync!$R1374="","",Sync!$R1374))</f>
        <v/>
      </c>
      <c r="I1377">
        <f>IF(OR($E1377="",$E1377="نامعتبر"),"",IF(Sync!$T1374="","",Sync!$T1374))</f>
        <v/>
      </c>
      <c r="J1377">
        <f>IF(OR($E1377="",$E1377="نامعتبر"),"",IF(Sync!$U1374="","",Sync!$U1374))</f>
        <v/>
      </c>
      <c r="K1377">
        <f>IF(OR($E1377="",$E1377="نامعتبر"),"",IF(Sync!$V1374="","",IFERROR(INDEX(SubCodes,MATCH(Sync!$V1374,SubTitles,0)),Sync!$V1374)))</f>
        <v/>
      </c>
      <c r="L1377">
        <f>IF(OR($E1377="",$E1377="نامعتبر"),"",IF(Sync!$W1374="",0,Sync!$W1374))</f>
        <v/>
      </c>
      <c r="M1377">
        <f>IF(OR($E1377="",$E1377="نامعتبر"),"",IF(Sync!$X1374="",0,Sync!$X1374))</f>
        <v/>
      </c>
      <c r="N1377">
        <f>IF(OR($E1377="",$E1377="نامعتبر"),"",IF(AND($J1377="هزینه",$K1377&lt;&gt;""),1,0))</f>
        <v/>
      </c>
      <c r="O1377">
        <f>IF($N1377=0,"",LEFT($E1377,4)&amp;MID($E1377,6,2)&amp;RIGHT($E1377,2)&amp;$F1377&amp;"|"&amp;"1"&amp;RIGHT("00000"&amp;1369,5))</f>
        <v/>
      </c>
      <c r="P1377">
        <f>IF($O1377="","",COUNTIFS(ExpSub,$K1377,ExpKey,"&lt;"&amp;$O1377)+1)</f>
        <v/>
      </c>
      <c r="Q1377">
        <f>IF($P1377="","",$K1377&amp;"|"&amp;RIGHT("000000"&amp;$P1377,6))</f>
        <v/>
      </c>
    </row>
    <row r="1378">
      <c r="A1378">
        <f>IF(Sync!$P1375="","",Sync!$P1375)</f>
        <v/>
      </c>
      <c r="B1378">
        <f>IF($A1378="","",IF(ISNUMBER($A1378),IF(AND($A1378&gt;=10000101,$A1378&lt;=99991231),INT($A1378/10000),""),IFERROR(VALUE(TRIM(LEFT($A1378,FIND("/",$A1378)-1))),"")))</f>
        <v/>
      </c>
      <c r="C1378">
        <f>IF(OR($A1378="",$B1378=""),"",IF(ISNUMBER($A1378),INT(MOD($A1378,10000)/100),IFERROR(VALUE(TRIM(LEFT(MID($A1378,FIND("/",$A1378)+1,20),FIND("/",MID($A1378,FIND("/",$A1378)+1,20))-1))),"")))</f>
        <v/>
      </c>
      <c r="D1378">
        <f>IF(OR($A1378="",$B1378=""),"",IF(ISNUMBER($A1378),MOD($A1378,100),IFERROR(VALUE(TRIM(MID(MID($A1378,FIND("/",$A1378)+1,20),FIND("/",MID($A1378,FIND("/",$A1378)+1,20))+1,20))),"")))</f>
        <v/>
      </c>
      <c r="E1378">
        <f>IF($A1378="","",IF(OR($B1378="",$C1378="",$D1378="",$B1378&lt;1300,$B1378&gt;1500,$C1378&lt;1,$C1378&gt;12,$D1378&lt;1,$D1378&gt;31),"نامعتبر",RIGHT("0000"&amp;$B1378,4)&amp;"/"&amp;RIGHT("00"&amp;$C1378,2)&amp;"/"&amp;RIGHT("00"&amp;$D1378,2)))</f>
        <v/>
      </c>
      <c r="F1378">
        <f>IF(OR($E1378="",$E1378="نامعتبر"),"",IF(Sync!$Q1375="","0000",IF(AND(ISNUMBER(Sync!$Q1375),Sync!$Q1375&gt;=0,Sync!$Q1375&lt;1),RIGHT("00"&amp;HOUR(Sync!$Q1375),2)&amp;RIGHT("00"&amp;MINUTE(Sync!$Q1375),2),IFERROR(RIGHT("00"&amp;VALUE(LEFT(Sync!$Q1375,FIND(":",Sync!$Q1375)-1)),2)&amp;RIGHT("00"&amp;VALUE(MID(Sync!$Q1375,FIND(":",Sync!$Q1375)+1,2)),2),"0000"))))</f>
        <v/>
      </c>
      <c r="G1378">
        <f>IF(OR($E1378="",$E1378="نامعتبر"),"",IF(Sync!$S1375="","",Sync!$S1375))</f>
        <v/>
      </c>
      <c r="H1378">
        <f>IF(OR($E1378="",$E1378="نامعتبر"),"",IF(Sync!$R1375="","",Sync!$R1375))</f>
        <v/>
      </c>
      <c r="I1378">
        <f>IF(OR($E1378="",$E1378="نامعتبر"),"",IF(Sync!$T1375="","",Sync!$T1375))</f>
        <v/>
      </c>
      <c r="J1378">
        <f>IF(OR($E1378="",$E1378="نامعتبر"),"",IF(Sync!$U1375="","",Sync!$U1375))</f>
        <v/>
      </c>
      <c r="K1378">
        <f>IF(OR($E1378="",$E1378="نامعتبر"),"",IF(Sync!$V1375="","",IFERROR(INDEX(SubCodes,MATCH(Sync!$V1375,SubTitles,0)),Sync!$V1375)))</f>
        <v/>
      </c>
      <c r="L1378">
        <f>IF(OR($E1378="",$E1378="نامعتبر"),"",IF(Sync!$W1375="",0,Sync!$W1375))</f>
        <v/>
      </c>
      <c r="M1378">
        <f>IF(OR($E1378="",$E1378="نامعتبر"),"",IF(Sync!$X1375="",0,Sync!$X1375))</f>
        <v/>
      </c>
      <c r="N1378">
        <f>IF(OR($E1378="",$E1378="نامعتبر"),"",IF(AND($J1378="هزینه",$K1378&lt;&gt;""),1,0))</f>
        <v/>
      </c>
      <c r="O1378">
        <f>IF($N1378=0,"",LEFT($E1378,4)&amp;MID($E1378,6,2)&amp;RIGHT($E1378,2)&amp;$F1378&amp;"|"&amp;"1"&amp;RIGHT("00000"&amp;1370,5))</f>
        <v/>
      </c>
      <c r="P1378">
        <f>IF($O1378="","",COUNTIFS(ExpSub,$K1378,ExpKey,"&lt;"&amp;$O1378)+1)</f>
        <v/>
      </c>
      <c r="Q1378">
        <f>IF($P1378="","",$K1378&amp;"|"&amp;RIGHT("000000"&amp;$P1378,6))</f>
        <v/>
      </c>
    </row>
    <row r="1379">
      <c r="A1379">
        <f>IF(Sync!$P1376="","",Sync!$P1376)</f>
        <v/>
      </c>
      <c r="B1379">
        <f>IF($A1379="","",IF(ISNUMBER($A1379),IF(AND($A1379&gt;=10000101,$A1379&lt;=99991231),INT($A1379/10000),""),IFERROR(VALUE(TRIM(LEFT($A1379,FIND("/",$A1379)-1))),"")))</f>
        <v/>
      </c>
      <c r="C1379">
        <f>IF(OR($A1379="",$B1379=""),"",IF(ISNUMBER($A1379),INT(MOD($A1379,10000)/100),IFERROR(VALUE(TRIM(LEFT(MID($A1379,FIND("/",$A1379)+1,20),FIND("/",MID($A1379,FIND("/",$A1379)+1,20))-1))),"")))</f>
        <v/>
      </c>
      <c r="D1379">
        <f>IF(OR($A1379="",$B1379=""),"",IF(ISNUMBER($A1379),MOD($A1379,100),IFERROR(VALUE(TRIM(MID(MID($A1379,FIND("/",$A1379)+1,20),FIND("/",MID($A1379,FIND("/",$A1379)+1,20))+1,20))),"")))</f>
        <v/>
      </c>
      <c r="E1379">
        <f>IF($A1379="","",IF(OR($B1379="",$C1379="",$D1379="",$B1379&lt;1300,$B1379&gt;1500,$C1379&lt;1,$C1379&gt;12,$D1379&lt;1,$D1379&gt;31),"نامعتبر",RIGHT("0000"&amp;$B1379,4)&amp;"/"&amp;RIGHT("00"&amp;$C1379,2)&amp;"/"&amp;RIGHT("00"&amp;$D1379,2)))</f>
        <v/>
      </c>
      <c r="F1379">
        <f>IF(OR($E1379="",$E1379="نامعتبر"),"",IF(Sync!$Q1376="","0000",IF(AND(ISNUMBER(Sync!$Q1376),Sync!$Q1376&gt;=0,Sync!$Q1376&lt;1),RIGHT("00"&amp;HOUR(Sync!$Q1376),2)&amp;RIGHT("00"&amp;MINUTE(Sync!$Q1376),2),IFERROR(RIGHT("00"&amp;VALUE(LEFT(Sync!$Q1376,FIND(":",Sync!$Q1376)-1)),2)&amp;RIGHT("00"&amp;VALUE(MID(Sync!$Q1376,FIND(":",Sync!$Q1376)+1,2)),2),"0000"))))</f>
        <v/>
      </c>
      <c r="G1379">
        <f>IF(OR($E1379="",$E1379="نامعتبر"),"",IF(Sync!$S1376="","",Sync!$S1376))</f>
        <v/>
      </c>
      <c r="H1379">
        <f>IF(OR($E1379="",$E1379="نامعتبر"),"",IF(Sync!$R1376="","",Sync!$R1376))</f>
        <v/>
      </c>
      <c r="I1379">
        <f>IF(OR($E1379="",$E1379="نامعتبر"),"",IF(Sync!$T1376="","",Sync!$T1376))</f>
        <v/>
      </c>
      <c r="J1379">
        <f>IF(OR($E1379="",$E1379="نامعتبر"),"",IF(Sync!$U1376="","",Sync!$U1376))</f>
        <v/>
      </c>
      <c r="K1379">
        <f>IF(OR($E1379="",$E1379="نامعتبر"),"",IF(Sync!$V1376="","",IFERROR(INDEX(SubCodes,MATCH(Sync!$V1376,SubTitles,0)),Sync!$V1376)))</f>
        <v/>
      </c>
      <c r="L1379">
        <f>IF(OR($E1379="",$E1379="نامعتبر"),"",IF(Sync!$W1376="",0,Sync!$W1376))</f>
        <v/>
      </c>
      <c r="M1379">
        <f>IF(OR($E1379="",$E1379="نامعتبر"),"",IF(Sync!$X1376="",0,Sync!$X1376))</f>
        <v/>
      </c>
      <c r="N1379">
        <f>IF(OR($E1379="",$E1379="نامعتبر"),"",IF(AND($J1379="هزینه",$K1379&lt;&gt;""),1,0))</f>
        <v/>
      </c>
      <c r="O1379">
        <f>IF($N1379=0,"",LEFT($E1379,4)&amp;MID($E1379,6,2)&amp;RIGHT($E1379,2)&amp;$F1379&amp;"|"&amp;"1"&amp;RIGHT("00000"&amp;1371,5))</f>
        <v/>
      </c>
      <c r="P1379">
        <f>IF($O1379="","",COUNTIFS(ExpSub,$K1379,ExpKey,"&lt;"&amp;$O1379)+1)</f>
        <v/>
      </c>
      <c r="Q1379">
        <f>IF($P1379="","",$K1379&amp;"|"&amp;RIGHT("000000"&amp;$P1379,6))</f>
        <v/>
      </c>
    </row>
    <row r="1380">
      <c r="A1380">
        <f>IF(Sync!$P1377="","",Sync!$P1377)</f>
        <v/>
      </c>
      <c r="B1380">
        <f>IF($A1380="","",IF(ISNUMBER($A1380),IF(AND($A1380&gt;=10000101,$A1380&lt;=99991231),INT($A1380/10000),""),IFERROR(VALUE(TRIM(LEFT($A1380,FIND("/",$A1380)-1))),"")))</f>
        <v/>
      </c>
      <c r="C1380">
        <f>IF(OR($A1380="",$B1380=""),"",IF(ISNUMBER($A1380),INT(MOD($A1380,10000)/100),IFERROR(VALUE(TRIM(LEFT(MID($A1380,FIND("/",$A1380)+1,20),FIND("/",MID($A1380,FIND("/",$A1380)+1,20))-1))),"")))</f>
        <v/>
      </c>
      <c r="D1380">
        <f>IF(OR($A1380="",$B1380=""),"",IF(ISNUMBER($A1380),MOD($A1380,100),IFERROR(VALUE(TRIM(MID(MID($A1380,FIND("/",$A1380)+1,20),FIND("/",MID($A1380,FIND("/",$A1380)+1,20))+1,20))),"")))</f>
        <v/>
      </c>
      <c r="E1380">
        <f>IF($A1380="","",IF(OR($B1380="",$C1380="",$D1380="",$B1380&lt;1300,$B1380&gt;1500,$C1380&lt;1,$C1380&gt;12,$D1380&lt;1,$D1380&gt;31),"نامعتبر",RIGHT("0000"&amp;$B1380,4)&amp;"/"&amp;RIGHT("00"&amp;$C1380,2)&amp;"/"&amp;RIGHT("00"&amp;$D1380,2)))</f>
        <v/>
      </c>
      <c r="F1380">
        <f>IF(OR($E1380="",$E1380="نامعتبر"),"",IF(Sync!$Q1377="","0000",IF(AND(ISNUMBER(Sync!$Q1377),Sync!$Q1377&gt;=0,Sync!$Q1377&lt;1),RIGHT("00"&amp;HOUR(Sync!$Q1377),2)&amp;RIGHT("00"&amp;MINUTE(Sync!$Q1377),2),IFERROR(RIGHT("00"&amp;VALUE(LEFT(Sync!$Q1377,FIND(":",Sync!$Q1377)-1)),2)&amp;RIGHT("00"&amp;VALUE(MID(Sync!$Q1377,FIND(":",Sync!$Q1377)+1,2)),2),"0000"))))</f>
        <v/>
      </c>
      <c r="G1380">
        <f>IF(OR($E1380="",$E1380="نامعتبر"),"",IF(Sync!$S1377="","",Sync!$S1377))</f>
        <v/>
      </c>
      <c r="H1380">
        <f>IF(OR($E1380="",$E1380="نامعتبر"),"",IF(Sync!$R1377="","",Sync!$R1377))</f>
        <v/>
      </c>
      <c r="I1380">
        <f>IF(OR($E1380="",$E1380="نامعتبر"),"",IF(Sync!$T1377="","",Sync!$T1377))</f>
        <v/>
      </c>
      <c r="J1380">
        <f>IF(OR($E1380="",$E1380="نامعتبر"),"",IF(Sync!$U1377="","",Sync!$U1377))</f>
        <v/>
      </c>
      <c r="K1380">
        <f>IF(OR($E1380="",$E1380="نامعتبر"),"",IF(Sync!$V1377="","",IFERROR(INDEX(SubCodes,MATCH(Sync!$V1377,SubTitles,0)),Sync!$V1377)))</f>
        <v/>
      </c>
      <c r="L1380">
        <f>IF(OR($E1380="",$E1380="نامعتبر"),"",IF(Sync!$W1377="",0,Sync!$W1377))</f>
        <v/>
      </c>
      <c r="M1380">
        <f>IF(OR($E1380="",$E1380="نامعتبر"),"",IF(Sync!$X1377="",0,Sync!$X1377))</f>
        <v/>
      </c>
      <c r="N1380">
        <f>IF(OR($E1380="",$E1380="نامعتبر"),"",IF(AND($J1380="هزینه",$K1380&lt;&gt;""),1,0))</f>
        <v/>
      </c>
      <c r="O1380">
        <f>IF($N1380=0,"",LEFT($E1380,4)&amp;MID($E1380,6,2)&amp;RIGHT($E1380,2)&amp;$F1380&amp;"|"&amp;"1"&amp;RIGHT("00000"&amp;1372,5))</f>
        <v/>
      </c>
      <c r="P1380">
        <f>IF($O1380="","",COUNTIFS(ExpSub,$K1380,ExpKey,"&lt;"&amp;$O1380)+1)</f>
        <v/>
      </c>
      <c r="Q1380">
        <f>IF($P1380="","",$K1380&amp;"|"&amp;RIGHT("000000"&amp;$P1380,6))</f>
        <v/>
      </c>
    </row>
    <row r="1381">
      <c r="A1381">
        <f>IF(Sync!$P1378="","",Sync!$P1378)</f>
        <v/>
      </c>
      <c r="B1381">
        <f>IF($A1381="","",IF(ISNUMBER($A1381),IF(AND($A1381&gt;=10000101,$A1381&lt;=99991231),INT($A1381/10000),""),IFERROR(VALUE(TRIM(LEFT($A1381,FIND("/",$A1381)-1))),"")))</f>
        <v/>
      </c>
      <c r="C1381">
        <f>IF(OR($A1381="",$B1381=""),"",IF(ISNUMBER($A1381),INT(MOD($A1381,10000)/100),IFERROR(VALUE(TRIM(LEFT(MID($A1381,FIND("/",$A1381)+1,20),FIND("/",MID($A1381,FIND("/",$A1381)+1,20))-1))),"")))</f>
        <v/>
      </c>
      <c r="D1381">
        <f>IF(OR($A1381="",$B1381=""),"",IF(ISNUMBER($A1381),MOD($A1381,100),IFERROR(VALUE(TRIM(MID(MID($A1381,FIND("/",$A1381)+1,20),FIND("/",MID($A1381,FIND("/",$A1381)+1,20))+1,20))),"")))</f>
        <v/>
      </c>
      <c r="E1381">
        <f>IF($A1381="","",IF(OR($B1381="",$C1381="",$D1381="",$B1381&lt;1300,$B1381&gt;1500,$C1381&lt;1,$C1381&gt;12,$D1381&lt;1,$D1381&gt;31),"نامعتبر",RIGHT("0000"&amp;$B1381,4)&amp;"/"&amp;RIGHT("00"&amp;$C1381,2)&amp;"/"&amp;RIGHT("00"&amp;$D1381,2)))</f>
        <v/>
      </c>
      <c r="F1381">
        <f>IF(OR($E1381="",$E1381="نامعتبر"),"",IF(Sync!$Q1378="","0000",IF(AND(ISNUMBER(Sync!$Q1378),Sync!$Q1378&gt;=0,Sync!$Q1378&lt;1),RIGHT("00"&amp;HOUR(Sync!$Q1378),2)&amp;RIGHT("00"&amp;MINUTE(Sync!$Q1378),2),IFERROR(RIGHT("00"&amp;VALUE(LEFT(Sync!$Q1378,FIND(":",Sync!$Q1378)-1)),2)&amp;RIGHT("00"&amp;VALUE(MID(Sync!$Q1378,FIND(":",Sync!$Q1378)+1,2)),2),"0000"))))</f>
        <v/>
      </c>
      <c r="G1381">
        <f>IF(OR($E1381="",$E1381="نامعتبر"),"",IF(Sync!$S1378="","",Sync!$S1378))</f>
        <v/>
      </c>
      <c r="H1381">
        <f>IF(OR($E1381="",$E1381="نامعتبر"),"",IF(Sync!$R1378="","",Sync!$R1378))</f>
        <v/>
      </c>
      <c r="I1381">
        <f>IF(OR($E1381="",$E1381="نامعتبر"),"",IF(Sync!$T1378="","",Sync!$T1378))</f>
        <v/>
      </c>
      <c r="J1381">
        <f>IF(OR($E1381="",$E1381="نامعتبر"),"",IF(Sync!$U1378="","",Sync!$U1378))</f>
        <v/>
      </c>
      <c r="K1381">
        <f>IF(OR($E1381="",$E1381="نامعتبر"),"",IF(Sync!$V1378="","",IFERROR(INDEX(SubCodes,MATCH(Sync!$V1378,SubTitles,0)),Sync!$V1378)))</f>
        <v/>
      </c>
      <c r="L1381">
        <f>IF(OR($E1381="",$E1381="نامعتبر"),"",IF(Sync!$W1378="",0,Sync!$W1378))</f>
        <v/>
      </c>
      <c r="M1381">
        <f>IF(OR($E1381="",$E1381="نامعتبر"),"",IF(Sync!$X1378="",0,Sync!$X1378))</f>
        <v/>
      </c>
      <c r="N1381">
        <f>IF(OR($E1381="",$E1381="نامعتبر"),"",IF(AND($J1381="هزینه",$K1381&lt;&gt;""),1,0))</f>
        <v/>
      </c>
      <c r="O1381">
        <f>IF($N1381=0,"",LEFT($E1381,4)&amp;MID($E1381,6,2)&amp;RIGHT($E1381,2)&amp;$F1381&amp;"|"&amp;"1"&amp;RIGHT("00000"&amp;1373,5))</f>
        <v/>
      </c>
      <c r="P1381">
        <f>IF($O1381="","",COUNTIFS(ExpSub,$K1381,ExpKey,"&lt;"&amp;$O1381)+1)</f>
        <v/>
      </c>
      <c r="Q1381">
        <f>IF($P1381="","",$K1381&amp;"|"&amp;RIGHT("000000"&amp;$P1381,6))</f>
        <v/>
      </c>
    </row>
    <row r="1382">
      <c r="A1382">
        <f>IF(Sync!$P1379="","",Sync!$P1379)</f>
        <v/>
      </c>
      <c r="B1382">
        <f>IF($A1382="","",IF(ISNUMBER($A1382),IF(AND($A1382&gt;=10000101,$A1382&lt;=99991231),INT($A1382/10000),""),IFERROR(VALUE(TRIM(LEFT($A1382,FIND("/",$A1382)-1))),"")))</f>
        <v/>
      </c>
      <c r="C1382">
        <f>IF(OR($A1382="",$B1382=""),"",IF(ISNUMBER($A1382),INT(MOD($A1382,10000)/100),IFERROR(VALUE(TRIM(LEFT(MID($A1382,FIND("/",$A1382)+1,20),FIND("/",MID($A1382,FIND("/",$A1382)+1,20))-1))),"")))</f>
        <v/>
      </c>
      <c r="D1382">
        <f>IF(OR($A1382="",$B1382=""),"",IF(ISNUMBER($A1382),MOD($A1382,100),IFERROR(VALUE(TRIM(MID(MID($A1382,FIND("/",$A1382)+1,20),FIND("/",MID($A1382,FIND("/",$A1382)+1,20))+1,20))),"")))</f>
        <v/>
      </c>
      <c r="E1382">
        <f>IF($A1382="","",IF(OR($B1382="",$C1382="",$D1382="",$B1382&lt;1300,$B1382&gt;1500,$C1382&lt;1,$C1382&gt;12,$D1382&lt;1,$D1382&gt;31),"نامعتبر",RIGHT("0000"&amp;$B1382,4)&amp;"/"&amp;RIGHT("00"&amp;$C1382,2)&amp;"/"&amp;RIGHT("00"&amp;$D1382,2)))</f>
        <v/>
      </c>
      <c r="F1382">
        <f>IF(OR($E1382="",$E1382="نامعتبر"),"",IF(Sync!$Q1379="","0000",IF(AND(ISNUMBER(Sync!$Q1379),Sync!$Q1379&gt;=0,Sync!$Q1379&lt;1),RIGHT("00"&amp;HOUR(Sync!$Q1379),2)&amp;RIGHT("00"&amp;MINUTE(Sync!$Q1379),2),IFERROR(RIGHT("00"&amp;VALUE(LEFT(Sync!$Q1379,FIND(":",Sync!$Q1379)-1)),2)&amp;RIGHT("00"&amp;VALUE(MID(Sync!$Q1379,FIND(":",Sync!$Q1379)+1,2)),2),"0000"))))</f>
        <v/>
      </c>
      <c r="G1382">
        <f>IF(OR($E1382="",$E1382="نامعتبر"),"",IF(Sync!$S1379="","",Sync!$S1379))</f>
        <v/>
      </c>
      <c r="H1382">
        <f>IF(OR($E1382="",$E1382="نامعتبر"),"",IF(Sync!$R1379="","",Sync!$R1379))</f>
        <v/>
      </c>
      <c r="I1382">
        <f>IF(OR($E1382="",$E1382="نامعتبر"),"",IF(Sync!$T1379="","",Sync!$T1379))</f>
        <v/>
      </c>
      <c r="J1382">
        <f>IF(OR($E1382="",$E1382="نامعتبر"),"",IF(Sync!$U1379="","",Sync!$U1379))</f>
        <v/>
      </c>
      <c r="K1382">
        <f>IF(OR($E1382="",$E1382="نامعتبر"),"",IF(Sync!$V1379="","",IFERROR(INDEX(SubCodes,MATCH(Sync!$V1379,SubTitles,0)),Sync!$V1379)))</f>
        <v/>
      </c>
      <c r="L1382">
        <f>IF(OR($E1382="",$E1382="نامعتبر"),"",IF(Sync!$W1379="",0,Sync!$W1379))</f>
        <v/>
      </c>
      <c r="M1382">
        <f>IF(OR($E1382="",$E1382="نامعتبر"),"",IF(Sync!$X1379="",0,Sync!$X1379))</f>
        <v/>
      </c>
      <c r="N1382">
        <f>IF(OR($E1382="",$E1382="نامعتبر"),"",IF(AND($J1382="هزینه",$K1382&lt;&gt;""),1,0))</f>
        <v/>
      </c>
      <c r="O1382">
        <f>IF($N1382=0,"",LEFT($E1382,4)&amp;MID($E1382,6,2)&amp;RIGHT($E1382,2)&amp;$F1382&amp;"|"&amp;"1"&amp;RIGHT("00000"&amp;1374,5))</f>
        <v/>
      </c>
      <c r="P1382">
        <f>IF($O1382="","",COUNTIFS(ExpSub,$K1382,ExpKey,"&lt;"&amp;$O1382)+1)</f>
        <v/>
      </c>
      <c r="Q1382">
        <f>IF($P1382="","",$K1382&amp;"|"&amp;RIGHT("000000"&amp;$P1382,6))</f>
        <v/>
      </c>
    </row>
    <row r="1383">
      <c r="A1383">
        <f>IF(Sync!$P1380="","",Sync!$P1380)</f>
        <v/>
      </c>
      <c r="B1383">
        <f>IF($A1383="","",IF(ISNUMBER($A1383),IF(AND($A1383&gt;=10000101,$A1383&lt;=99991231),INT($A1383/10000),""),IFERROR(VALUE(TRIM(LEFT($A1383,FIND("/",$A1383)-1))),"")))</f>
        <v/>
      </c>
      <c r="C1383">
        <f>IF(OR($A1383="",$B1383=""),"",IF(ISNUMBER($A1383),INT(MOD($A1383,10000)/100),IFERROR(VALUE(TRIM(LEFT(MID($A1383,FIND("/",$A1383)+1,20),FIND("/",MID($A1383,FIND("/",$A1383)+1,20))-1))),"")))</f>
        <v/>
      </c>
      <c r="D1383">
        <f>IF(OR($A1383="",$B1383=""),"",IF(ISNUMBER($A1383),MOD($A1383,100),IFERROR(VALUE(TRIM(MID(MID($A1383,FIND("/",$A1383)+1,20),FIND("/",MID($A1383,FIND("/",$A1383)+1,20))+1,20))),"")))</f>
        <v/>
      </c>
      <c r="E1383">
        <f>IF($A1383="","",IF(OR($B1383="",$C1383="",$D1383="",$B1383&lt;1300,$B1383&gt;1500,$C1383&lt;1,$C1383&gt;12,$D1383&lt;1,$D1383&gt;31),"نامعتبر",RIGHT("0000"&amp;$B1383,4)&amp;"/"&amp;RIGHT("00"&amp;$C1383,2)&amp;"/"&amp;RIGHT("00"&amp;$D1383,2)))</f>
        <v/>
      </c>
      <c r="F1383">
        <f>IF(OR($E1383="",$E1383="نامعتبر"),"",IF(Sync!$Q1380="","0000",IF(AND(ISNUMBER(Sync!$Q1380),Sync!$Q1380&gt;=0,Sync!$Q1380&lt;1),RIGHT("00"&amp;HOUR(Sync!$Q1380),2)&amp;RIGHT("00"&amp;MINUTE(Sync!$Q1380),2),IFERROR(RIGHT("00"&amp;VALUE(LEFT(Sync!$Q1380,FIND(":",Sync!$Q1380)-1)),2)&amp;RIGHT("00"&amp;VALUE(MID(Sync!$Q1380,FIND(":",Sync!$Q1380)+1,2)),2),"0000"))))</f>
        <v/>
      </c>
      <c r="G1383">
        <f>IF(OR($E1383="",$E1383="نامعتبر"),"",IF(Sync!$S1380="","",Sync!$S1380))</f>
        <v/>
      </c>
      <c r="H1383">
        <f>IF(OR($E1383="",$E1383="نامعتبر"),"",IF(Sync!$R1380="","",Sync!$R1380))</f>
        <v/>
      </c>
      <c r="I1383">
        <f>IF(OR($E1383="",$E1383="نامعتبر"),"",IF(Sync!$T1380="","",Sync!$T1380))</f>
        <v/>
      </c>
      <c r="J1383">
        <f>IF(OR($E1383="",$E1383="نامعتبر"),"",IF(Sync!$U1380="","",Sync!$U1380))</f>
        <v/>
      </c>
      <c r="K1383">
        <f>IF(OR($E1383="",$E1383="نامعتبر"),"",IF(Sync!$V1380="","",IFERROR(INDEX(SubCodes,MATCH(Sync!$V1380,SubTitles,0)),Sync!$V1380)))</f>
        <v/>
      </c>
      <c r="L1383">
        <f>IF(OR($E1383="",$E1383="نامعتبر"),"",IF(Sync!$W1380="",0,Sync!$W1380))</f>
        <v/>
      </c>
      <c r="M1383">
        <f>IF(OR($E1383="",$E1383="نامعتبر"),"",IF(Sync!$X1380="",0,Sync!$X1380))</f>
        <v/>
      </c>
      <c r="N1383">
        <f>IF(OR($E1383="",$E1383="نامعتبر"),"",IF(AND($J1383="هزینه",$K1383&lt;&gt;""),1,0))</f>
        <v/>
      </c>
      <c r="O1383">
        <f>IF($N1383=0,"",LEFT($E1383,4)&amp;MID($E1383,6,2)&amp;RIGHT($E1383,2)&amp;$F1383&amp;"|"&amp;"1"&amp;RIGHT("00000"&amp;1375,5))</f>
        <v/>
      </c>
      <c r="P1383">
        <f>IF($O1383="","",COUNTIFS(ExpSub,$K1383,ExpKey,"&lt;"&amp;$O1383)+1)</f>
        <v/>
      </c>
      <c r="Q1383">
        <f>IF($P1383="","",$K1383&amp;"|"&amp;RIGHT("000000"&amp;$P1383,6))</f>
        <v/>
      </c>
    </row>
    <row r="1384">
      <c r="A1384">
        <f>IF(Sync!$P1381="","",Sync!$P1381)</f>
        <v/>
      </c>
      <c r="B1384">
        <f>IF($A1384="","",IF(ISNUMBER($A1384),IF(AND($A1384&gt;=10000101,$A1384&lt;=99991231),INT($A1384/10000),""),IFERROR(VALUE(TRIM(LEFT($A1384,FIND("/",$A1384)-1))),"")))</f>
        <v/>
      </c>
      <c r="C1384">
        <f>IF(OR($A1384="",$B1384=""),"",IF(ISNUMBER($A1384),INT(MOD($A1384,10000)/100),IFERROR(VALUE(TRIM(LEFT(MID($A1384,FIND("/",$A1384)+1,20),FIND("/",MID($A1384,FIND("/",$A1384)+1,20))-1))),"")))</f>
        <v/>
      </c>
      <c r="D1384">
        <f>IF(OR($A1384="",$B1384=""),"",IF(ISNUMBER($A1384),MOD($A1384,100),IFERROR(VALUE(TRIM(MID(MID($A1384,FIND("/",$A1384)+1,20),FIND("/",MID($A1384,FIND("/",$A1384)+1,20))+1,20))),"")))</f>
        <v/>
      </c>
      <c r="E1384">
        <f>IF($A1384="","",IF(OR($B1384="",$C1384="",$D1384="",$B1384&lt;1300,$B1384&gt;1500,$C1384&lt;1,$C1384&gt;12,$D1384&lt;1,$D1384&gt;31),"نامعتبر",RIGHT("0000"&amp;$B1384,4)&amp;"/"&amp;RIGHT("00"&amp;$C1384,2)&amp;"/"&amp;RIGHT("00"&amp;$D1384,2)))</f>
        <v/>
      </c>
      <c r="F1384">
        <f>IF(OR($E1384="",$E1384="نامعتبر"),"",IF(Sync!$Q1381="","0000",IF(AND(ISNUMBER(Sync!$Q1381),Sync!$Q1381&gt;=0,Sync!$Q1381&lt;1),RIGHT("00"&amp;HOUR(Sync!$Q1381),2)&amp;RIGHT("00"&amp;MINUTE(Sync!$Q1381),2),IFERROR(RIGHT("00"&amp;VALUE(LEFT(Sync!$Q1381,FIND(":",Sync!$Q1381)-1)),2)&amp;RIGHT("00"&amp;VALUE(MID(Sync!$Q1381,FIND(":",Sync!$Q1381)+1,2)),2),"0000"))))</f>
        <v/>
      </c>
      <c r="G1384">
        <f>IF(OR($E1384="",$E1384="نامعتبر"),"",IF(Sync!$S1381="","",Sync!$S1381))</f>
        <v/>
      </c>
      <c r="H1384">
        <f>IF(OR($E1384="",$E1384="نامعتبر"),"",IF(Sync!$R1381="","",Sync!$R1381))</f>
        <v/>
      </c>
      <c r="I1384">
        <f>IF(OR($E1384="",$E1384="نامعتبر"),"",IF(Sync!$T1381="","",Sync!$T1381))</f>
        <v/>
      </c>
      <c r="J1384">
        <f>IF(OR($E1384="",$E1384="نامعتبر"),"",IF(Sync!$U1381="","",Sync!$U1381))</f>
        <v/>
      </c>
      <c r="K1384">
        <f>IF(OR($E1384="",$E1384="نامعتبر"),"",IF(Sync!$V1381="","",IFERROR(INDEX(SubCodes,MATCH(Sync!$V1381,SubTitles,0)),Sync!$V1381)))</f>
        <v/>
      </c>
      <c r="L1384">
        <f>IF(OR($E1384="",$E1384="نامعتبر"),"",IF(Sync!$W1381="",0,Sync!$W1381))</f>
        <v/>
      </c>
      <c r="M1384">
        <f>IF(OR($E1384="",$E1384="نامعتبر"),"",IF(Sync!$X1381="",0,Sync!$X1381))</f>
        <v/>
      </c>
      <c r="N1384">
        <f>IF(OR($E1384="",$E1384="نامعتبر"),"",IF(AND($J1384="هزینه",$K1384&lt;&gt;""),1,0))</f>
        <v/>
      </c>
      <c r="O1384">
        <f>IF($N1384=0,"",LEFT($E1384,4)&amp;MID($E1384,6,2)&amp;RIGHT($E1384,2)&amp;$F1384&amp;"|"&amp;"1"&amp;RIGHT("00000"&amp;1376,5))</f>
        <v/>
      </c>
      <c r="P1384">
        <f>IF($O1384="","",COUNTIFS(ExpSub,$K1384,ExpKey,"&lt;"&amp;$O1384)+1)</f>
        <v/>
      </c>
      <c r="Q1384">
        <f>IF($P1384="","",$K1384&amp;"|"&amp;RIGHT("000000"&amp;$P1384,6))</f>
        <v/>
      </c>
    </row>
    <row r="1385">
      <c r="A1385">
        <f>IF(Sync!$P1382="","",Sync!$P1382)</f>
        <v/>
      </c>
      <c r="B1385">
        <f>IF($A1385="","",IF(ISNUMBER($A1385),IF(AND($A1385&gt;=10000101,$A1385&lt;=99991231),INT($A1385/10000),""),IFERROR(VALUE(TRIM(LEFT($A1385,FIND("/",$A1385)-1))),"")))</f>
        <v/>
      </c>
      <c r="C1385">
        <f>IF(OR($A1385="",$B1385=""),"",IF(ISNUMBER($A1385),INT(MOD($A1385,10000)/100),IFERROR(VALUE(TRIM(LEFT(MID($A1385,FIND("/",$A1385)+1,20),FIND("/",MID($A1385,FIND("/",$A1385)+1,20))-1))),"")))</f>
        <v/>
      </c>
      <c r="D1385">
        <f>IF(OR($A1385="",$B1385=""),"",IF(ISNUMBER($A1385),MOD($A1385,100),IFERROR(VALUE(TRIM(MID(MID($A1385,FIND("/",$A1385)+1,20),FIND("/",MID($A1385,FIND("/",$A1385)+1,20))+1,20))),"")))</f>
        <v/>
      </c>
      <c r="E1385">
        <f>IF($A1385="","",IF(OR($B1385="",$C1385="",$D1385="",$B1385&lt;1300,$B1385&gt;1500,$C1385&lt;1,$C1385&gt;12,$D1385&lt;1,$D1385&gt;31),"نامعتبر",RIGHT("0000"&amp;$B1385,4)&amp;"/"&amp;RIGHT("00"&amp;$C1385,2)&amp;"/"&amp;RIGHT("00"&amp;$D1385,2)))</f>
        <v/>
      </c>
      <c r="F1385">
        <f>IF(OR($E1385="",$E1385="نامعتبر"),"",IF(Sync!$Q1382="","0000",IF(AND(ISNUMBER(Sync!$Q1382),Sync!$Q1382&gt;=0,Sync!$Q1382&lt;1),RIGHT("00"&amp;HOUR(Sync!$Q1382),2)&amp;RIGHT("00"&amp;MINUTE(Sync!$Q1382),2),IFERROR(RIGHT("00"&amp;VALUE(LEFT(Sync!$Q1382,FIND(":",Sync!$Q1382)-1)),2)&amp;RIGHT("00"&amp;VALUE(MID(Sync!$Q1382,FIND(":",Sync!$Q1382)+1,2)),2),"0000"))))</f>
        <v/>
      </c>
      <c r="G1385">
        <f>IF(OR($E1385="",$E1385="نامعتبر"),"",IF(Sync!$S1382="","",Sync!$S1382))</f>
        <v/>
      </c>
      <c r="H1385">
        <f>IF(OR($E1385="",$E1385="نامعتبر"),"",IF(Sync!$R1382="","",Sync!$R1382))</f>
        <v/>
      </c>
      <c r="I1385">
        <f>IF(OR($E1385="",$E1385="نامعتبر"),"",IF(Sync!$T1382="","",Sync!$T1382))</f>
        <v/>
      </c>
      <c r="J1385">
        <f>IF(OR($E1385="",$E1385="نامعتبر"),"",IF(Sync!$U1382="","",Sync!$U1382))</f>
        <v/>
      </c>
      <c r="K1385">
        <f>IF(OR($E1385="",$E1385="نامعتبر"),"",IF(Sync!$V1382="","",IFERROR(INDEX(SubCodes,MATCH(Sync!$V1382,SubTitles,0)),Sync!$V1382)))</f>
        <v/>
      </c>
      <c r="L1385">
        <f>IF(OR($E1385="",$E1385="نامعتبر"),"",IF(Sync!$W1382="",0,Sync!$W1382))</f>
        <v/>
      </c>
      <c r="M1385">
        <f>IF(OR($E1385="",$E1385="نامعتبر"),"",IF(Sync!$X1382="",0,Sync!$X1382))</f>
        <v/>
      </c>
      <c r="N1385">
        <f>IF(OR($E1385="",$E1385="نامعتبر"),"",IF(AND($J1385="هزینه",$K1385&lt;&gt;""),1,0))</f>
        <v/>
      </c>
      <c r="O1385">
        <f>IF($N1385=0,"",LEFT($E1385,4)&amp;MID($E1385,6,2)&amp;RIGHT($E1385,2)&amp;$F1385&amp;"|"&amp;"1"&amp;RIGHT("00000"&amp;1377,5))</f>
        <v/>
      </c>
      <c r="P1385">
        <f>IF($O1385="","",COUNTIFS(ExpSub,$K1385,ExpKey,"&lt;"&amp;$O1385)+1)</f>
        <v/>
      </c>
      <c r="Q1385">
        <f>IF($P1385="","",$K1385&amp;"|"&amp;RIGHT("000000"&amp;$P1385,6))</f>
        <v/>
      </c>
    </row>
    <row r="1386">
      <c r="A1386">
        <f>IF(Sync!$P1383="","",Sync!$P1383)</f>
        <v/>
      </c>
      <c r="B1386">
        <f>IF($A1386="","",IF(ISNUMBER($A1386),IF(AND($A1386&gt;=10000101,$A1386&lt;=99991231),INT($A1386/10000),""),IFERROR(VALUE(TRIM(LEFT($A1386,FIND("/",$A1386)-1))),"")))</f>
        <v/>
      </c>
      <c r="C1386">
        <f>IF(OR($A1386="",$B1386=""),"",IF(ISNUMBER($A1386),INT(MOD($A1386,10000)/100),IFERROR(VALUE(TRIM(LEFT(MID($A1386,FIND("/",$A1386)+1,20),FIND("/",MID($A1386,FIND("/",$A1386)+1,20))-1))),"")))</f>
        <v/>
      </c>
      <c r="D1386">
        <f>IF(OR($A1386="",$B1386=""),"",IF(ISNUMBER($A1386),MOD($A1386,100),IFERROR(VALUE(TRIM(MID(MID($A1386,FIND("/",$A1386)+1,20),FIND("/",MID($A1386,FIND("/",$A1386)+1,20))+1,20))),"")))</f>
        <v/>
      </c>
      <c r="E1386">
        <f>IF($A1386="","",IF(OR($B1386="",$C1386="",$D1386="",$B1386&lt;1300,$B1386&gt;1500,$C1386&lt;1,$C1386&gt;12,$D1386&lt;1,$D1386&gt;31),"نامعتبر",RIGHT("0000"&amp;$B1386,4)&amp;"/"&amp;RIGHT("00"&amp;$C1386,2)&amp;"/"&amp;RIGHT("00"&amp;$D1386,2)))</f>
        <v/>
      </c>
      <c r="F1386">
        <f>IF(OR($E1386="",$E1386="نامعتبر"),"",IF(Sync!$Q1383="","0000",IF(AND(ISNUMBER(Sync!$Q1383),Sync!$Q1383&gt;=0,Sync!$Q1383&lt;1),RIGHT("00"&amp;HOUR(Sync!$Q1383),2)&amp;RIGHT("00"&amp;MINUTE(Sync!$Q1383),2),IFERROR(RIGHT("00"&amp;VALUE(LEFT(Sync!$Q1383,FIND(":",Sync!$Q1383)-1)),2)&amp;RIGHT("00"&amp;VALUE(MID(Sync!$Q1383,FIND(":",Sync!$Q1383)+1,2)),2),"0000"))))</f>
        <v/>
      </c>
      <c r="G1386">
        <f>IF(OR($E1386="",$E1386="نامعتبر"),"",IF(Sync!$S1383="","",Sync!$S1383))</f>
        <v/>
      </c>
      <c r="H1386">
        <f>IF(OR($E1386="",$E1386="نامعتبر"),"",IF(Sync!$R1383="","",Sync!$R1383))</f>
        <v/>
      </c>
      <c r="I1386">
        <f>IF(OR($E1386="",$E1386="نامعتبر"),"",IF(Sync!$T1383="","",Sync!$T1383))</f>
        <v/>
      </c>
      <c r="J1386">
        <f>IF(OR($E1386="",$E1386="نامعتبر"),"",IF(Sync!$U1383="","",Sync!$U1383))</f>
        <v/>
      </c>
      <c r="K1386">
        <f>IF(OR($E1386="",$E1386="نامعتبر"),"",IF(Sync!$V1383="","",IFERROR(INDEX(SubCodes,MATCH(Sync!$V1383,SubTitles,0)),Sync!$V1383)))</f>
        <v/>
      </c>
      <c r="L1386">
        <f>IF(OR($E1386="",$E1386="نامعتبر"),"",IF(Sync!$W1383="",0,Sync!$W1383))</f>
        <v/>
      </c>
      <c r="M1386">
        <f>IF(OR($E1386="",$E1386="نامعتبر"),"",IF(Sync!$X1383="",0,Sync!$X1383))</f>
        <v/>
      </c>
      <c r="N1386">
        <f>IF(OR($E1386="",$E1386="نامعتبر"),"",IF(AND($J1386="هزینه",$K1386&lt;&gt;""),1,0))</f>
        <v/>
      </c>
      <c r="O1386">
        <f>IF($N1386=0,"",LEFT($E1386,4)&amp;MID($E1386,6,2)&amp;RIGHT($E1386,2)&amp;$F1386&amp;"|"&amp;"1"&amp;RIGHT("00000"&amp;1378,5))</f>
        <v/>
      </c>
      <c r="P1386">
        <f>IF($O1386="","",COUNTIFS(ExpSub,$K1386,ExpKey,"&lt;"&amp;$O1386)+1)</f>
        <v/>
      </c>
      <c r="Q1386">
        <f>IF($P1386="","",$K1386&amp;"|"&amp;RIGHT("000000"&amp;$P1386,6))</f>
        <v/>
      </c>
    </row>
    <row r="1387">
      <c r="A1387">
        <f>IF(Sync!$P1384="","",Sync!$P1384)</f>
        <v/>
      </c>
      <c r="B1387">
        <f>IF($A1387="","",IF(ISNUMBER($A1387),IF(AND($A1387&gt;=10000101,$A1387&lt;=99991231),INT($A1387/10000),""),IFERROR(VALUE(TRIM(LEFT($A1387,FIND("/",$A1387)-1))),"")))</f>
        <v/>
      </c>
      <c r="C1387">
        <f>IF(OR($A1387="",$B1387=""),"",IF(ISNUMBER($A1387),INT(MOD($A1387,10000)/100),IFERROR(VALUE(TRIM(LEFT(MID($A1387,FIND("/",$A1387)+1,20),FIND("/",MID($A1387,FIND("/",$A1387)+1,20))-1))),"")))</f>
        <v/>
      </c>
      <c r="D1387">
        <f>IF(OR($A1387="",$B1387=""),"",IF(ISNUMBER($A1387),MOD($A1387,100),IFERROR(VALUE(TRIM(MID(MID($A1387,FIND("/",$A1387)+1,20),FIND("/",MID($A1387,FIND("/",$A1387)+1,20))+1,20))),"")))</f>
        <v/>
      </c>
      <c r="E1387">
        <f>IF($A1387="","",IF(OR($B1387="",$C1387="",$D1387="",$B1387&lt;1300,$B1387&gt;1500,$C1387&lt;1,$C1387&gt;12,$D1387&lt;1,$D1387&gt;31),"نامعتبر",RIGHT("0000"&amp;$B1387,4)&amp;"/"&amp;RIGHT("00"&amp;$C1387,2)&amp;"/"&amp;RIGHT("00"&amp;$D1387,2)))</f>
        <v/>
      </c>
      <c r="F1387">
        <f>IF(OR($E1387="",$E1387="نامعتبر"),"",IF(Sync!$Q1384="","0000",IF(AND(ISNUMBER(Sync!$Q1384),Sync!$Q1384&gt;=0,Sync!$Q1384&lt;1),RIGHT("00"&amp;HOUR(Sync!$Q1384),2)&amp;RIGHT("00"&amp;MINUTE(Sync!$Q1384),2),IFERROR(RIGHT("00"&amp;VALUE(LEFT(Sync!$Q1384,FIND(":",Sync!$Q1384)-1)),2)&amp;RIGHT("00"&amp;VALUE(MID(Sync!$Q1384,FIND(":",Sync!$Q1384)+1,2)),2),"0000"))))</f>
        <v/>
      </c>
      <c r="G1387">
        <f>IF(OR($E1387="",$E1387="نامعتبر"),"",IF(Sync!$S1384="","",Sync!$S1384))</f>
        <v/>
      </c>
      <c r="H1387">
        <f>IF(OR($E1387="",$E1387="نامعتبر"),"",IF(Sync!$R1384="","",Sync!$R1384))</f>
        <v/>
      </c>
      <c r="I1387">
        <f>IF(OR($E1387="",$E1387="نامعتبر"),"",IF(Sync!$T1384="","",Sync!$T1384))</f>
        <v/>
      </c>
      <c r="J1387">
        <f>IF(OR($E1387="",$E1387="نامعتبر"),"",IF(Sync!$U1384="","",Sync!$U1384))</f>
        <v/>
      </c>
      <c r="K1387">
        <f>IF(OR($E1387="",$E1387="نامعتبر"),"",IF(Sync!$V1384="","",IFERROR(INDEX(SubCodes,MATCH(Sync!$V1384,SubTitles,0)),Sync!$V1384)))</f>
        <v/>
      </c>
      <c r="L1387">
        <f>IF(OR($E1387="",$E1387="نامعتبر"),"",IF(Sync!$W1384="",0,Sync!$W1384))</f>
        <v/>
      </c>
      <c r="M1387">
        <f>IF(OR($E1387="",$E1387="نامعتبر"),"",IF(Sync!$X1384="",0,Sync!$X1384))</f>
        <v/>
      </c>
      <c r="N1387">
        <f>IF(OR($E1387="",$E1387="نامعتبر"),"",IF(AND($J1387="هزینه",$K1387&lt;&gt;""),1,0))</f>
        <v/>
      </c>
      <c r="O1387">
        <f>IF($N1387=0,"",LEFT($E1387,4)&amp;MID($E1387,6,2)&amp;RIGHT($E1387,2)&amp;$F1387&amp;"|"&amp;"1"&amp;RIGHT("00000"&amp;1379,5))</f>
        <v/>
      </c>
      <c r="P1387">
        <f>IF($O1387="","",COUNTIFS(ExpSub,$K1387,ExpKey,"&lt;"&amp;$O1387)+1)</f>
        <v/>
      </c>
      <c r="Q1387">
        <f>IF($P1387="","",$K1387&amp;"|"&amp;RIGHT("000000"&amp;$P1387,6))</f>
        <v/>
      </c>
    </row>
    <row r="1388">
      <c r="A1388">
        <f>IF(Sync!$P1385="","",Sync!$P1385)</f>
        <v/>
      </c>
      <c r="B1388">
        <f>IF($A1388="","",IF(ISNUMBER($A1388),IF(AND($A1388&gt;=10000101,$A1388&lt;=99991231),INT($A1388/10000),""),IFERROR(VALUE(TRIM(LEFT($A1388,FIND("/",$A1388)-1))),"")))</f>
        <v/>
      </c>
      <c r="C1388">
        <f>IF(OR($A1388="",$B1388=""),"",IF(ISNUMBER($A1388),INT(MOD($A1388,10000)/100),IFERROR(VALUE(TRIM(LEFT(MID($A1388,FIND("/",$A1388)+1,20),FIND("/",MID($A1388,FIND("/",$A1388)+1,20))-1))),"")))</f>
        <v/>
      </c>
      <c r="D1388">
        <f>IF(OR($A1388="",$B1388=""),"",IF(ISNUMBER($A1388),MOD($A1388,100),IFERROR(VALUE(TRIM(MID(MID($A1388,FIND("/",$A1388)+1,20),FIND("/",MID($A1388,FIND("/",$A1388)+1,20))+1,20))),"")))</f>
        <v/>
      </c>
      <c r="E1388">
        <f>IF($A1388="","",IF(OR($B1388="",$C1388="",$D1388="",$B1388&lt;1300,$B1388&gt;1500,$C1388&lt;1,$C1388&gt;12,$D1388&lt;1,$D1388&gt;31),"نامعتبر",RIGHT("0000"&amp;$B1388,4)&amp;"/"&amp;RIGHT("00"&amp;$C1388,2)&amp;"/"&amp;RIGHT("00"&amp;$D1388,2)))</f>
        <v/>
      </c>
      <c r="F1388">
        <f>IF(OR($E1388="",$E1388="نامعتبر"),"",IF(Sync!$Q1385="","0000",IF(AND(ISNUMBER(Sync!$Q1385),Sync!$Q1385&gt;=0,Sync!$Q1385&lt;1),RIGHT("00"&amp;HOUR(Sync!$Q1385),2)&amp;RIGHT("00"&amp;MINUTE(Sync!$Q1385),2),IFERROR(RIGHT("00"&amp;VALUE(LEFT(Sync!$Q1385,FIND(":",Sync!$Q1385)-1)),2)&amp;RIGHT("00"&amp;VALUE(MID(Sync!$Q1385,FIND(":",Sync!$Q1385)+1,2)),2),"0000"))))</f>
        <v/>
      </c>
      <c r="G1388">
        <f>IF(OR($E1388="",$E1388="نامعتبر"),"",IF(Sync!$S1385="","",Sync!$S1385))</f>
        <v/>
      </c>
      <c r="H1388">
        <f>IF(OR($E1388="",$E1388="نامعتبر"),"",IF(Sync!$R1385="","",Sync!$R1385))</f>
        <v/>
      </c>
      <c r="I1388">
        <f>IF(OR($E1388="",$E1388="نامعتبر"),"",IF(Sync!$T1385="","",Sync!$T1385))</f>
        <v/>
      </c>
      <c r="J1388">
        <f>IF(OR($E1388="",$E1388="نامعتبر"),"",IF(Sync!$U1385="","",Sync!$U1385))</f>
        <v/>
      </c>
      <c r="K1388">
        <f>IF(OR($E1388="",$E1388="نامعتبر"),"",IF(Sync!$V1385="","",IFERROR(INDEX(SubCodes,MATCH(Sync!$V1385,SubTitles,0)),Sync!$V1385)))</f>
        <v/>
      </c>
      <c r="L1388">
        <f>IF(OR($E1388="",$E1388="نامعتبر"),"",IF(Sync!$W1385="",0,Sync!$W1385))</f>
        <v/>
      </c>
      <c r="M1388">
        <f>IF(OR($E1388="",$E1388="نامعتبر"),"",IF(Sync!$X1385="",0,Sync!$X1385))</f>
        <v/>
      </c>
      <c r="N1388">
        <f>IF(OR($E1388="",$E1388="نامعتبر"),"",IF(AND($J1388="هزینه",$K1388&lt;&gt;""),1,0))</f>
        <v/>
      </c>
      <c r="O1388">
        <f>IF($N1388=0,"",LEFT($E1388,4)&amp;MID($E1388,6,2)&amp;RIGHT($E1388,2)&amp;$F1388&amp;"|"&amp;"1"&amp;RIGHT("00000"&amp;1380,5))</f>
        <v/>
      </c>
      <c r="P1388">
        <f>IF($O1388="","",COUNTIFS(ExpSub,$K1388,ExpKey,"&lt;"&amp;$O1388)+1)</f>
        <v/>
      </c>
      <c r="Q1388">
        <f>IF($P1388="","",$K1388&amp;"|"&amp;RIGHT("000000"&amp;$P1388,6))</f>
        <v/>
      </c>
    </row>
    <row r="1389">
      <c r="A1389">
        <f>IF(Sync!$P1386="","",Sync!$P1386)</f>
        <v/>
      </c>
      <c r="B1389">
        <f>IF($A1389="","",IF(ISNUMBER($A1389),IF(AND($A1389&gt;=10000101,$A1389&lt;=99991231),INT($A1389/10000),""),IFERROR(VALUE(TRIM(LEFT($A1389,FIND("/",$A1389)-1))),"")))</f>
        <v/>
      </c>
      <c r="C1389">
        <f>IF(OR($A1389="",$B1389=""),"",IF(ISNUMBER($A1389),INT(MOD($A1389,10000)/100),IFERROR(VALUE(TRIM(LEFT(MID($A1389,FIND("/",$A1389)+1,20),FIND("/",MID($A1389,FIND("/",$A1389)+1,20))-1))),"")))</f>
        <v/>
      </c>
      <c r="D1389">
        <f>IF(OR($A1389="",$B1389=""),"",IF(ISNUMBER($A1389),MOD($A1389,100),IFERROR(VALUE(TRIM(MID(MID($A1389,FIND("/",$A1389)+1,20),FIND("/",MID($A1389,FIND("/",$A1389)+1,20))+1,20))),"")))</f>
        <v/>
      </c>
      <c r="E1389">
        <f>IF($A1389="","",IF(OR($B1389="",$C1389="",$D1389="",$B1389&lt;1300,$B1389&gt;1500,$C1389&lt;1,$C1389&gt;12,$D1389&lt;1,$D1389&gt;31),"نامعتبر",RIGHT("0000"&amp;$B1389,4)&amp;"/"&amp;RIGHT("00"&amp;$C1389,2)&amp;"/"&amp;RIGHT("00"&amp;$D1389,2)))</f>
        <v/>
      </c>
      <c r="F1389">
        <f>IF(OR($E1389="",$E1389="نامعتبر"),"",IF(Sync!$Q1386="","0000",IF(AND(ISNUMBER(Sync!$Q1386),Sync!$Q1386&gt;=0,Sync!$Q1386&lt;1),RIGHT("00"&amp;HOUR(Sync!$Q1386),2)&amp;RIGHT("00"&amp;MINUTE(Sync!$Q1386),2),IFERROR(RIGHT("00"&amp;VALUE(LEFT(Sync!$Q1386,FIND(":",Sync!$Q1386)-1)),2)&amp;RIGHT("00"&amp;VALUE(MID(Sync!$Q1386,FIND(":",Sync!$Q1386)+1,2)),2),"0000"))))</f>
        <v/>
      </c>
      <c r="G1389">
        <f>IF(OR($E1389="",$E1389="نامعتبر"),"",IF(Sync!$S1386="","",Sync!$S1386))</f>
        <v/>
      </c>
      <c r="H1389">
        <f>IF(OR($E1389="",$E1389="نامعتبر"),"",IF(Sync!$R1386="","",Sync!$R1386))</f>
        <v/>
      </c>
      <c r="I1389">
        <f>IF(OR($E1389="",$E1389="نامعتبر"),"",IF(Sync!$T1386="","",Sync!$T1386))</f>
        <v/>
      </c>
      <c r="J1389">
        <f>IF(OR($E1389="",$E1389="نامعتبر"),"",IF(Sync!$U1386="","",Sync!$U1386))</f>
        <v/>
      </c>
      <c r="K1389">
        <f>IF(OR($E1389="",$E1389="نامعتبر"),"",IF(Sync!$V1386="","",IFERROR(INDEX(SubCodes,MATCH(Sync!$V1386,SubTitles,0)),Sync!$V1386)))</f>
        <v/>
      </c>
      <c r="L1389">
        <f>IF(OR($E1389="",$E1389="نامعتبر"),"",IF(Sync!$W1386="",0,Sync!$W1386))</f>
        <v/>
      </c>
      <c r="M1389">
        <f>IF(OR($E1389="",$E1389="نامعتبر"),"",IF(Sync!$X1386="",0,Sync!$X1386))</f>
        <v/>
      </c>
      <c r="N1389">
        <f>IF(OR($E1389="",$E1389="نامعتبر"),"",IF(AND($J1389="هزینه",$K1389&lt;&gt;""),1,0))</f>
        <v/>
      </c>
      <c r="O1389">
        <f>IF($N1389=0,"",LEFT($E1389,4)&amp;MID($E1389,6,2)&amp;RIGHT($E1389,2)&amp;$F1389&amp;"|"&amp;"1"&amp;RIGHT("00000"&amp;1381,5))</f>
        <v/>
      </c>
      <c r="P1389">
        <f>IF($O1389="","",COUNTIFS(ExpSub,$K1389,ExpKey,"&lt;"&amp;$O1389)+1)</f>
        <v/>
      </c>
      <c r="Q1389">
        <f>IF($P1389="","",$K1389&amp;"|"&amp;RIGHT("000000"&amp;$P1389,6))</f>
        <v/>
      </c>
    </row>
    <row r="1390">
      <c r="A1390">
        <f>IF(Sync!$P1387="","",Sync!$P1387)</f>
        <v/>
      </c>
      <c r="B1390">
        <f>IF($A1390="","",IF(ISNUMBER($A1390),IF(AND($A1390&gt;=10000101,$A1390&lt;=99991231),INT($A1390/10000),""),IFERROR(VALUE(TRIM(LEFT($A1390,FIND("/",$A1390)-1))),"")))</f>
        <v/>
      </c>
      <c r="C1390">
        <f>IF(OR($A1390="",$B1390=""),"",IF(ISNUMBER($A1390),INT(MOD($A1390,10000)/100),IFERROR(VALUE(TRIM(LEFT(MID($A1390,FIND("/",$A1390)+1,20),FIND("/",MID($A1390,FIND("/",$A1390)+1,20))-1))),"")))</f>
        <v/>
      </c>
      <c r="D1390">
        <f>IF(OR($A1390="",$B1390=""),"",IF(ISNUMBER($A1390),MOD($A1390,100),IFERROR(VALUE(TRIM(MID(MID($A1390,FIND("/",$A1390)+1,20),FIND("/",MID($A1390,FIND("/",$A1390)+1,20))+1,20))),"")))</f>
        <v/>
      </c>
      <c r="E1390">
        <f>IF($A1390="","",IF(OR($B1390="",$C1390="",$D1390="",$B1390&lt;1300,$B1390&gt;1500,$C1390&lt;1,$C1390&gt;12,$D1390&lt;1,$D1390&gt;31),"نامعتبر",RIGHT("0000"&amp;$B1390,4)&amp;"/"&amp;RIGHT("00"&amp;$C1390,2)&amp;"/"&amp;RIGHT("00"&amp;$D1390,2)))</f>
        <v/>
      </c>
      <c r="F1390">
        <f>IF(OR($E1390="",$E1390="نامعتبر"),"",IF(Sync!$Q1387="","0000",IF(AND(ISNUMBER(Sync!$Q1387),Sync!$Q1387&gt;=0,Sync!$Q1387&lt;1),RIGHT("00"&amp;HOUR(Sync!$Q1387),2)&amp;RIGHT("00"&amp;MINUTE(Sync!$Q1387),2),IFERROR(RIGHT("00"&amp;VALUE(LEFT(Sync!$Q1387,FIND(":",Sync!$Q1387)-1)),2)&amp;RIGHT("00"&amp;VALUE(MID(Sync!$Q1387,FIND(":",Sync!$Q1387)+1,2)),2),"0000"))))</f>
        <v/>
      </c>
      <c r="G1390">
        <f>IF(OR($E1390="",$E1390="نامعتبر"),"",IF(Sync!$S1387="","",Sync!$S1387))</f>
        <v/>
      </c>
      <c r="H1390">
        <f>IF(OR($E1390="",$E1390="نامعتبر"),"",IF(Sync!$R1387="","",Sync!$R1387))</f>
        <v/>
      </c>
      <c r="I1390">
        <f>IF(OR($E1390="",$E1390="نامعتبر"),"",IF(Sync!$T1387="","",Sync!$T1387))</f>
        <v/>
      </c>
      <c r="J1390">
        <f>IF(OR($E1390="",$E1390="نامعتبر"),"",IF(Sync!$U1387="","",Sync!$U1387))</f>
        <v/>
      </c>
      <c r="K1390">
        <f>IF(OR($E1390="",$E1390="نامعتبر"),"",IF(Sync!$V1387="","",IFERROR(INDEX(SubCodes,MATCH(Sync!$V1387,SubTitles,0)),Sync!$V1387)))</f>
        <v/>
      </c>
      <c r="L1390">
        <f>IF(OR($E1390="",$E1390="نامعتبر"),"",IF(Sync!$W1387="",0,Sync!$W1387))</f>
        <v/>
      </c>
      <c r="M1390">
        <f>IF(OR($E1390="",$E1390="نامعتبر"),"",IF(Sync!$X1387="",0,Sync!$X1387))</f>
        <v/>
      </c>
      <c r="N1390">
        <f>IF(OR($E1390="",$E1390="نامعتبر"),"",IF(AND($J1390="هزینه",$K1390&lt;&gt;""),1,0))</f>
        <v/>
      </c>
      <c r="O1390">
        <f>IF($N1390=0,"",LEFT($E1390,4)&amp;MID($E1390,6,2)&amp;RIGHT($E1390,2)&amp;$F1390&amp;"|"&amp;"1"&amp;RIGHT("00000"&amp;1382,5))</f>
        <v/>
      </c>
      <c r="P1390">
        <f>IF($O1390="","",COUNTIFS(ExpSub,$K1390,ExpKey,"&lt;"&amp;$O1390)+1)</f>
        <v/>
      </c>
      <c r="Q1390">
        <f>IF($P1390="","",$K1390&amp;"|"&amp;RIGHT("000000"&amp;$P1390,6))</f>
        <v/>
      </c>
    </row>
    <row r="1391">
      <c r="A1391">
        <f>IF(Sync!$P1388="","",Sync!$P1388)</f>
        <v/>
      </c>
      <c r="B1391">
        <f>IF($A1391="","",IF(ISNUMBER($A1391),IF(AND($A1391&gt;=10000101,$A1391&lt;=99991231),INT($A1391/10000),""),IFERROR(VALUE(TRIM(LEFT($A1391,FIND("/",$A1391)-1))),"")))</f>
        <v/>
      </c>
      <c r="C1391">
        <f>IF(OR($A1391="",$B1391=""),"",IF(ISNUMBER($A1391),INT(MOD($A1391,10000)/100),IFERROR(VALUE(TRIM(LEFT(MID($A1391,FIND("/",$A1391)+1,20),FIND("/",MID($A1391,FIND("/",$A1391)+1,20))-1))),"")))</f>
        <v/>
      </c>
      <c r="D1391">
        <f>IF(OR($A1391="",$B1391=""),"",IF(ISNUMBER($A1391),MOD($A1391,100),IFERROR(VALUE(TRIM(MID(MID($A1391,FIND("/",$A1391)+1,20),FIND("/",MID($A1391,FIND("/",$A1391)+1,20))+1,20))),"")))</f>
        <v/>
      </c>
      <c r="E1391">
        <f>IF($A1391="","",IF(OR($B1391="",$C1391="",$D1391="",$B1391&lt;1300,$B1391&gt;1500,$C1391&lt;1,$C1391&gt;12,$D1391&lt;1,$D1391&gt;31),"نامعتبر",RIGHT("0000"&amp;$B1391,4)&amp;"/"&amp;RIGHT("00"&amp;$C1391,2)&amp;"/"&amp;RIGHT("00"&amp;$D1391,2)))</f>
        <v/>
      </c>
      <c r="F1391">
        <f>IF(OR($E1391="",$E1391="نامعتبر"),"",IF(Sync!$Q1388="","0000",IF(AND(ISNUMBER(Sync!$Q1388),Sync!$Q1388&gt;=0,Sync!$Q1388&lt;1),RIGHT("00"&amp;HOUR(Sync!$Q1388),2)&amp;RIGHT("00"&amp;MINUTE(Sync!$Q1388),2),IFERROR(RIGHT("00"&amp;VALUE(LEFT(Sync!$Q1388,FIND(":",Sync!$Q1388)-1)),2)&amp;RIGHT("00"&amp;VALUE(MID(Sync!$Q1388,FIND(":",Sync!$Q1388)+1,2)),2),"0000"))))</f>
        <v/>
      </c>
      <c r="G1391">
        <f>IF(OR($E1391="",$E1391="نامعتبر"),"",IF(Sync!$S1388="","",Sync!$S1388))</f>
        <v/>
      </c>
      <c r="H1391">
        <f>IF(OR($E1391="",$E1391="نامعتبر"),"",IF(Sync!$R1388="","",Sync!$R1388))</f>
        <v/>
      </c>
      <c r="I1391">
        <f>IF(OR($E1391="",$E1391="نامعتبر"),"",IF(Sync!$T1388="","",Sync!$T1388))</f>
        <v/>
      </c>
      <c r="J1391">
        <f>IF(OR($E1391="",$E1391="نامعتبر"),"",IF(Sync!$U1388="","",Sync!$U1388))</f>
        <v/>
      </c>
      <c r="K1391">
        <f>IF(OR($E1391="",$E1391="نامعتبر"),"",IF(Sync!$V1388="","",IFERROR(INDEX(SubCodes,MATCH(Sync!$V1388,SubTitles,0)),Sync!$V1388)))</f>
        <v/>
      </c>
      <c r="L1391">
        <f>IF(OR($E1391="",$E1391="نامعتبر"),"",IF(Sync!$W1388="",0,Sync!$W1388))</f>
        <v/>
      </c>
      <c r="M1391">
        <f>IF(OR($E1391="",$E1391="نامعتبر"),"",IF(Sync!$X1388="",0,Sync!$X1388))</f>
        <v/>
      </c>
      <c r="N1391">
        <f>IF(OR($E1391="",$E1391="نامعتبر"),"",IF(AND($J1391="هزینه",$K1391&lt;&gt;""),1,0))</f>
        <v/>
      </c>
      <c r="O1391">
        <f>IF($N1391=0,"",LEFT($E1391,4)&amp;MID($E1391,6,2)&amp;RIGHT($E1391,2)&amp;$F1391&amp;"|"&amp;"1"&amp;RIGHT("00000"&amp;1383,5))</f>
        <v/>
      </c>
      <c r="P1391">
        <f>IF($O1391="","",COUNTIFS(ExpSub,$K1391,ExpKey,"&lt;"&amp;$O1391)+1)</f>
        <v/>
      </c>
      <c r="Q1391">
        <f>IF($P1391="","",$K1391&amp;"|"&amp;RIGHT("000000"&amp;$P1391,6))</f>
        <v/>
      </c>
    </row>
    <row r="1392">
      <c r="A1392">
        <f>IF(Sync!$P1389="","",Sync!$P1389)</f>
        <v/>
      </c>
      <c r="B1392">
        <f>IF($A1392="","",IF(ISNUMBER($A1392),IF(AND($A1392&gt;=10000101,$A1392&lt;=99991231),INT($A1392/10000),""),IFERROR(VALUE(TRIM(LEFT($A1392,FIND("/",$A1392)-1))),"")))</f>
        <v/>
      </c>
      <c r="C1392">
        <f>IF(OR($A1392="",$B1392=""),"",IF(ISNUMBER($A1392),INT(MOD($A1392,10000)/100),IFERROR(VALUE(TRIM(LEFT(MID($A1392,FIND("/",$A1392)+1,20),FIND("/",MID($A1392,FIND("/",$A1392)+1,20))-1))),"")))</f>
        <v/>
      </c>
      <c r="D1392">
        <f>IF(OR($A1392="",$B1392=""),"",IF(ISNUMBER($A1392),MOD($A1392,100),IFERROR(VALUE(TRIM(MID(MID($A1392,FIND("/",$A1392)+1,20),FIND("/",MID($A1392,FIND("/",$A1392)+1,20))+1,20))),"")))</f>
        <v/>
      </c>
      <c r="E1392">
        <f>IF($A1392="","",IF(OR($B1392="",$C1392="",$D1392="",$B1392&lt;1300,$B1392&gt;1500,$C1392&lt;1,$C1392&gt;12,$D1392&lt;1,$D1392&gt;31),"نامعتبر",RIGHT("0000"&amp;$B1392,4)&amp;"/"&amp;RIGHT("00"&amp;$C1392,2)&amp;"/"&amp;RIGHT("00"&amp;$D1392,2)))</f>
        <v/>
      </c>
      <c r="F1392">
        <f>IF(OR($E1392="",$E1392="نامعتبر"),"",IF(Sync!$Q1389="","0000",IF(AND(ISNUMBER(Sync!$Q1389),Sync!$Q1389&gt;=0,Sync!$Q1389&lt;1),RIGHT("00"&amp;HOUR(Sync!$Q1389),2)&amp;RIGHT("00"&amp;MINUTE(Sync!$Q1389),2),IFERROR(RIGHT("00"&amp;VALUE(LEFT(Sync!$Q1389,FIND(":",Sync!$Q1389)-1)),2)&amp;RIGHT("00"&amp;VALUE(MID(Sync!$Q1389,FIND(":",Sync!$Q1389)+1,2)),2),"0000"))))</f>
        <v/>
      </c>
      <c r="G1392">
        <f>IF(OR($E1392="",$E1392="نامعتبر"),"",IF(Sync!$S1389="","",Sync!$S1389))</f>
        <v/>
      </c>
      <c r="H1392">
        <f>IF(OR($E1392="",$E1392="نامعتبر"),"",IF(Sync!$R1389="","",Sync!$R1389))</f>
        <v/>
      </c>
      <c r="I1392">
        <f>IF(OR($E1392="",$E1392="نامعتبر"),"",IF(Sync!$T1389="","",Sync!$T1389))</f>
        <v/>
      </c>
      <c r="J1392">
        <f>IF(OR($E1392="",$E1392="نامعتبر"),"",IF(Sync!$U1389="","",Sync!$U1389))</f>
        <v/>
      </c>
      <c r="K1392">
        <f>IF(OR($E1392="",$E1392="نامعتبر"),"",IF(Sync!$V1389="","",IFERROR(INDEX(SubCodes,MATCH(Sync!$V1389,SubTitles,0)),Sync!$V1389)))</f>
        <v/>
      </c>
      <c r="L1392">
        <f>IF(OR($E1392="",$E1392="نامعتبر"),"",IF(Sync!$W1389="",0,Sync!$W1389))</f>
        <v/>
      </c>
      <c r="M1392">
        <f>IF(OR($E1392="",$E1392="نامعتبر"),"",IF(Sync!$X1389="",0,Sync!$X1389))</f>
        <v/>
      </c>
      <c r="N1392">
        <f>IF(OR($E1392="",$E1392="نامعتبر"),"",IF(AND($J1392="هزینه",$K1392&lt;&gt;""),1,0))</f>
        <v/>
      </c>
      <c r="O1392">
        <f>IF($N1392=0,"",LEFT($E1392,4)&amp;MID($E1392,6,2)&amp;RIGHT($E1392,2)&amp;$F1392&amp;"|"&amp;"1"&amp;RIGHT("00000"&amp;1384,5))</f>
        <v/>
      </c>
      <c r="P1392">
        <f>IF($O1392="","",COUNTIFS(ExpSub,$K1392,ExpKey,"&lt;"&amp;$O1392)+1)</f>
        <v/>
      </c>
      <c r="Q1392">
        <f>IF($P1392="","",$K1392&amp;"|"&amp;RIGHT("000000"&amp;$P1392,6))</f>
        <v/>
      </c>
    </row>
    <row r="1393">
      <c r="A1393">
        <f>IF(Sync!$P1390="","",Sync!$P1390)</f>
        <v/>
      </c>
      <c r="B1393">
        <f>IF($A1393="","",IF(ISNUMBER($A1393),IF(AND($A1393&gt;=10000101,$A1393&lt;=99991231),INT($A1393/10000),""),IFERROR(VALUE(TRIM(LEFT($A1393,FIND("/",$A1393)-1))),"")))</f>
        <v/>
      </c>
      <c r="C1393">
        <f>IF(OR($A1393="",$B1393=""),"",IF(ISNUMBER($A1393),INT(MOD($A1393,10000)/100),IFERROR(VALUE(TRIM(LEFT(MID($A1393,FIND("/",$A1393)+1,20),FIND("/",MID($A1393,FIND("/",$A1393)+1,20))-1))),"")))</f>
        <v/>
      </c>
      <c r="D1393">
        <f>IF(OR($A1393="",$B1393=""),"",IF(ISNUMBER($A1393),MOD($A1393,100),IFERROR(VALUE(TRIM(MID(MID($A1393,FIND("/",$A1393)+1,20),FIND("/",MID($A1393,FIND("/",$A1393)+1,20))+1,20))),"")))</f>
        <v/>
      </c>
      <c r="E1393">
        <f>IF($A1393="","",IF(OR($B1393="",$C1393="",$D1393="",$B1393&lt;1300,$B1393&gt;1500,$C1393&lt;1,$C1393&gt;12,$D1393&lt;1,$D1393&gt;31),"نامعتبر",RIGHT("0000"&amp;$B1393,4)&amp;"/"&amp;RIGHT("00"&amp;$C1393,2)&amp;"/"&amp;RIGHT("00"&amp;$D1393,2)))</f>
        <v/>
      </c>
      <c r="F1393">
        <f>IF(OR($E1393="",$E1393="نامعتبر"),"",IF(Sync!$Q1390="","0000",IF(AND(ISNUMBER(Sync!$Q1390),Sync!$Q1390&gt;=0,Sync!$Q1390&lt;1),RIGHT("00"&amp;HOUR(Sync!$Q1390),2)&amp;RIGHT("00"&amp;MINUTE(Sync!$Q1390),2),IFERROR(RIGHT("00"&amp;VALUE(LEFT(Sync!$Q1390,FIND(":",Sync!$Q1390)-1)),2)&amp;RIGHT("00"&amp;VALUE(MID(Sync!$Q1390,FIND(":",Sync!$Q1390)+1,2)),2),"0000"))))</f>
        <v/>
      </c>
      <c r="G1393">
        <f>IF(OR($E1393="",$E1393="نامعتبر"),"",IF(Sync!$S1390="","",Sync!$S1390))</f>
        <v/>
      </c>
      <c r="H1393">
        <f>IF(OR($E1393="",$E1393="نامعتبر"),"",IF(Sync!$R1390="","",Sync!$R1390))</f>
        <v/>
      </c>
      <c r="I1393">
        <f>IF(OR($E1393="",$E1393="نامعتبر"),"",IF(Sync!$T1390="","",Sync!$T1390))</f>
        <v/>
      </c>
      <c r="J1393">
        <f>IF(OR($E1393="",$E1393="نامعتبر"),"",IF(Sync!$U1390="","",Sync!$U1390))</f>
        <v/>
      </c>
      <c r="K1393">
        <f>IF(OR($E1393="",$E1393="نامعتبر"),"",IF(Sync!$V1390="","",IFERROR(INDEX(SubCodes,MATCH(Sync!$V1390,SubTitles,0)),Sync!$V1390)))</f>
        <v/>
      </c>
      <c r="L1393">
        <f>IF(OR($E1393="",$E1393="نامعتبر"),"",IF(Sync!$W1390="",0,Sync!$W1390))</f>
        <v/>
      </c>
      <c r="M1393">
        <f>IF(OR($E1393="",$E1393="نامعتبر"),"",IF(Sync!$X1390="",0,Sync!$X1390))</f>
        <v/>
      </c>
      <c r="N1393">
        <f>IF(OR($E1393="",$E1393="نامعتبر"),"",IF(AND($J1393="هزینه",$K1393&lt;&gt;""),1,0))</f>
        <v/>
      </c>
      <c r="O1393">
        <f>IF($N1393=0,"",LEFT($E1393,4)&amp;MID($E1393,6,2)&amp;RIGHT($E1393,2)&amp;$F1393&amp;"|"&amp;"1"&amp;RIGHT("00000"&amp;1385,5))</f>
        <v/>
      </c>
      <c r="P1393">
        <f>IF($O1393="","",COUNTIFS(ExpSub,$K1393,ExpKey,"&lt;"&amp;$O1393)+1)</f>
        <v/>
      </c>
      <c r="Q1393">
        <f>IF($P1393="","",$K1393&amp;"|"&amp;RIGHT("000000"&amp;$P1393,6))</f>
        <v/>
      </c>
    </row>
    <row r="1394">
      <c r="A1394">
        <f>IF(Sync!$P1391="","",Sync!$P1391)</f>
        <v/>
      </c>
      <c r="B1394">
        <f>IF($A1394="","",IF(ISNUMBER($A1394),IF(AND($A1394&gt;=10000101,$A1394&lt;=99991231),INT($A1394/10000),""),IFERROR(VALUE(TRIM(LEFT($A1394,FIND("/",$A1394)-1))),"")))</f>
        <v/>
      </c>
      <c r="C1394">
        <f>IF(OR($A1394="",$B1394=""),"",IF(ISNUMBER($A1394),INT(MOD($A1394,10000)/100),IFERROR(VALUE(TRIM(LEFT(MID($A1394,FIND("/",$A1394)+1,20),FIND("/",MID($A1394,FIND("/",$A1394)+1,20))-1))),"")))</f>
        <v/>
      </c>
      <c r="D1394">
        <f>IF(OR($A1394="",$B1394=""),"",IF(ISNUMBER($A1394),MOD($A1394,100),IFERROR(VALUE(TRIM(MID(MID($A1394,FIND("/",$A1394)+1,20),FIND("/",MID($A1394,FIND("/",$A1394)+1,20))+1,20))),"")))</f>
        <v/>
      </c>
      <c r="E1394">
        <f>IF($A1394="","",IF(OR($B1394="",$C1394="",$D1394="",$B1394&lt;1300,$B1394&gt;1500,$C1394&lt;1,$C1394&gt;12,$D1394&lt;1,$D1394&gt;31),"نامعتبر",RIGHT("0000"&amp;$B1394,4)&amp;"/"&amp;RIGHT("00"&amp;$C1394,2)&amp;"/"&amp;RIGHT("00"&amp;$D1394,2)))</f>
        <v/>
      </c>
      <c r="F1394">
        <f>IF(OR($E1394="",$E1394="نامعتبر"),"",IF(Sync!$Q1391="","0000",IF(AND(ISNUMBER(Sync!$Q1391),Sync!$Q1391&gt;=0,Sync!$Q1391&lt;1),RIGHT("00"&amp;HOUR(Sync!$Q1391),2)&amp;RIGHT("00"&amp;MINUTE(Sync!$Q1391),2),IFERROR(RIGHT("00"&amp;VALUE(LEFT(Sync!$Q1391,FIND(":",Sync!$Q1391)-1)),2)&amp;RIGHT("00"&amp;VALUE(MID(Sync!$Q1391,FIND(":",Sync!$Q1391)+1,2)),2),"0000"))))</f>
        <v/>
      </c>
      <c r="G1394">
        <f>IF(OR($E1394="",$E1394="نامعتبر"),"",IF(Sync!$S1391="","",Sync!$S1391))</f>
        <v/>
      </c>
      <c r="H1394">
        <f>IF(OR($E1394="",$E1394="نامعتبر"),"",IF(Sync!$R1391="","",Sync!$R1391))</f>
        <v/>
      </c>
      <c r="I1394">
        <f>IF(OR($E1394="",$E1394="نامعتبر"),"",IF(Sync!$T1391="","",Sync!$T1391))</f>
        <v/>
      </c>
      <c r="J1394">
        <f>IF(OR($E1394="",$E1394="نامعتبر"),"",IF(Sync!$U1391="","",Sync!$U1391))</f>
        <v/>
      </c>
      <c r="K1394">
        <f>IF(OR($E1394="",$E1394="نامعتبر"),"",IF(Sync!$V1391="","",IFERROR(INDEX(SubCodes,MATCH(Sync!$V1391,SubTitles,0)),Sync!$V1391)))</f>
        <v/>
      </c>
      <c r="L1394">
        <f>IF(OR($E1394="",$E1394="نامعتبر"),"",IF(Sync!$W1391="",0,Sync!$W1391))</f>
        <v/>
      </c>
      <c r="M1394">
        <f>IF(OR($E1394="",$E1394="نامعتبر"),"",IF(Sync!$X1391="",0,Sync!$X1391))</f>
        <v/>
      </c>
      <c r="N1394">
        <f>IF(OR($E1394="",$E1394="نامعتبر"),"",IF(AND($J1394="هزینه",$K1394&lt;&gt;""),1,0))</f>
        <v/>
      </c>
      <c r="O1394">
        <f>IF($N1394=0,"",LEFT($E1394,4)&amp;MID($E1394,6,2)&amp;RIGHT($E1394,2)&amp;$F1394&amp;"|"&amp;"1"&amp;RIGHT("00000"&amp;1386,5))</f>
        <v/>
      </c>
      <c r="P1394">
        <f>IF($O1394="","",COUNTIFS(ExpSub,$K1394,ExpKey,"&lt;"&amp;$O1394)+1)</f>
        <v/>
      </c>
      <c r="Q1394">
        <f>IF($P1394="","",$K1394&amp;"|"&amp;RIGHT("000000"&amp;$P1394,6))</f>
        <v/>
      </c>
    </row>
    <row r="1395">
      <c r="A1395">
        <f>IF(Sync!$P1392="","",Sync!$P1392)</f>
        <v/>
      </c>
      <c r="B1395">
        <f>IF($A1395="","",IF(ISNUMBER($A1395),IF(AND($A1395&gt;=10000101,$A1395&lt;=99991231),INT($A1395/10000),""),IFERROR(VALUE(TRIM(LEFT($A1395,FIND("/",$A1395)-1))),"")))</f>
        <v/>
      </c>
      <c r="C1395">
        <f>IF(OR($A1395="",$B1395=""),"",IF(ISNUMBER($A1395),INT(MOD($A1395,10000)/100),IFERROR(VALUE(TRIM(LEFT(MID($A1395,FIND("/",$A1395)+1,20),FIND("/",MID($A1395,FIND("/",$A1395)+1,20))-1))),"")))</f>
        <v/>
      </c>
      <c r="D1395">
        <f>IF(OR($A1395="",$B1395=""),"",IF(ISNUMBER($A1395),MOD($A1395,100),IFERROR(VALUE(TRIM(MID(MID($A1395,FIND("/",$A1395)+1,20),FIND("/",MID($A1395,FIND("/",$A1395)+1,20))+1,20))),"")))</f>
        <v/>
      </c>
      <c r="E1395">
        <f>IF($A1395="","",IF(OR($B1395="",$C1395="",$D1395="",$B1395&lt;1300,$B1395&gt;1500,$C1395&lt;1,$C1395&gt;12,$D1395&lt;1,$D1395&gt;31),"نامعتبر",RIGHT("0000"&amp;$B1395,4)&amp;"/"&amp;RIGHT("00"&amp;$C1395,2)&amp;"/"&amp;RIGHT("00"&amp;$D1395,2)))</f>
        <v/>
      </c>
      <c r="F1395">
        <f>IF(OR($E1395="",$E1395="نامعتبر"),"",IF(Sync!$Q1392="","0000",IF(AND(ISNUMBER(Sync!$Q1392),Sync!$Q1392&gt;=0,Sync!$Q1392&lt;1),RIGHT("00"&amp;HOUR(Sync!$Q1392),2)&amp;RIGHT("00"&amp;MINUTE(Sync!$Q1392),2),IFERROR(RIGHT("00"&amp;VALUE(LEFT(Sync!$Q1392,FIND(":",Sync!$Q1392)-1)),2)&amp;RIGHT("00"&amp;VALUE(MID(Sync!$Q1392,FIND(":",Sync!$Q1392)+1,2)),2),"0000"))))</f>
        <v/>
      </c>
      <c r="G1395">
        <f>IF(OR($E1395="",$E1395="نامعتبر"),"",IF(Sync!$S1392="","",Sync!$S1392))</f>
        <v/>
      </c>
      <c r="H1395">
        <f>IF(OR($E1395="",$E1395="نامعتبر"),"",IF(Sync!$R1392="","",Sync!$R1392))</f>
        <v/>
      </c>
      <c r="I1395">
        <f>IF(OR($E1395="",$E1395="نامعتبر"),"",IF(Sync!$T1392="","",Sync!$T1392))</f>
        <v/>
      </c>
      <c r="J1395">
        <f>IF(OR($E1395="",$E1395="نامعتبر"),"",IF(Sync!$U1392="","",Sync!$U1392))</f>
        <v/>
      </c>
      <c r="K1395">
        <f>IF(OR($E1395="",$E1395="نامعتبر"),"",IF(Sync!$V1392="","",IFERROR(INDEX(SubCodes,MATCH(Sync!$V1392,SubTitles,0)),Sync!$V1392)))</f>
        <v/>
      </c>
      <c r="L1395">
        <f>IF(OR($E1395="",$E1395="نامعتبر"),"",IF(Sync!$W1392="",0,Sync!$W1392))</f>
        <v/>
      </c>
      <c r="M1395">
        <f>IF(OR($E1395="",$E1395="نامعتبر"),"",IF(Sync!$X1392="",0,Sync!$X1392))</f>
        <v/>
      </c>
      <c r="N1395">
        <f>IF(OR($E1395="",$E1395="نامعتبر"),"",IF(AND($J1395="هزینه",$K1395&lt;&gt;""),1,0))</f>
        <v/>
      </c>
      <c r="O1395">
        <f>IF($N1395=0,"",LEFT($E1395,4)&amp;MID($E1395,6,2)&amp;RIGHT($E1395,2)&amp;$F1395&amp;"|"&amp;"1"&amp;RIGHT("00000"&amp;1387,5))</f>
        <v/>
      </c>
      <c r="P1395">
        <f>IF($O1395="","",COUNTIFS(ExpSub,$K1395,ExpKey,"&lt;"&amp;$O1395)+1)</f>
        <v/>
      </c>
      <c r="Q1395">
        <f>IF($P1395="","",$K1395&amp;"|"&amp;RIGHT("000000"&amp;$P1395,6))</f>
        <v/>
      </c>
    </row>
    <row r="1396">
      <c r="A1396">
        <f>IF(Sync!$P1393="","",Sync!$P1393)</f>
        <v/>
      </c>
      <c r="B1396">
        <f>IF($A1396="","",IF(ISNUMBER($A1396),IF(AND($A1396&gt;=10000101,$A1396&lt;=99991231),INT($A1396/10000),""),IFERROR(VALUE(TRIM(LEFT($A1396,FIND("/",$A1396)-1))),"")))</f>
        <v/>
      </c>
      <c r="C1396">
        <f>IF(OR($A1396="",$B1396=""),"",IF(ISNUMBER($A1396),INT(MOD($A1396,10000)/100),IFERROR(VALUE(TRIM(LEFT(MID($A1396,FIND("/",$A1396)+1,20),FIND("/",MID($A1396,FIND("/",$A1396)+1,20))-1))),"")))</f>
        <v/>
      </c>
      <c r="D1396">
        <f>IF(OR($A1396="",$B1396=""),"",IF(ISNUMBER($A1396),MOD($A1396,100),IFERROR(VALUE(TRIM(MID(MID($A1396,FIND("/",$A1396)+1,20),FIND("/",MID($A1396,FIND("/",$A1396)+1,20))+1,20))),"")))</f>
        <v/>
      </c>
      <c r="E1396">
        <f>IF($A1396="","",IF(OR($B1396="",$C1396="",$D1396="",$B1396&lt;1300,$B1396&gt;1500,$C1396&lt;1,$C1396&gt;12,$D1396&lt;1,$D1396&gt;31),"نامعتبر",RIGHT("0000"&amp;$B1396,4)&amp;"/"&amp;RIGHT("00"&amp;$C1396,2)&amp;"/"&amp;RIGHT("00"&amp;$D1396,2)))</f>
        <v/>
      </c>
      <c r="F1396">
        <f>IF(OR($E1396="",$E1396="نامعتبر"),"",IF(Sync!$Q1393="","0000",IF(AND(ISNUMBER(Sync!$Q1393),Sync!$Q1393&gt;=0,Sync!$Q1393&lt;1),RIGHT("00"&amp;HOUR(Sync!$Q1393),2)&amp;RIGHT("00"&amp;MINUTE(Sync!$Q1393),2),IFERROR(RIGHT("00"&amp;VALUE(LEFT(Sync!$Q1393,FIND(":",Sync!$Q1393)-1)),2)&amp;RIGHT("00"&amp;VALUE(MID(Sync!$Q1393,FIND(":",Sync!$Q1393)+1,2)),2),"0000"))))</f>
        <v/>
      </c>
      <c r="G1396">
        <f>IF(OR($E1396="",$E1396="نامعتبر"),"",IF(Sync!$S1393="","",Sync!$S1393))</f>
        <v/>
      </c>
      <c r="H1396">
        <f>IF(OR($E1396="",$E1396="نامعتبر"),"",IF(Sync!$R1393="","",Sync!$R1393))</f>
        <v/>
      </c>
      <c r="I1396">
        <f>IF(OR($E1396="",$E1396="نامعتبر"),"",IF(Sync!$T1393="","",Sync!$T1393))</f>
        <v/>
      </c>
      <c r="J1396">
        <f>IF(OR($E1396="",$E1396="نامعتبر"),"",IF(Sync!$U1393="","",Sync!$U1393))</f>
        <v/>
      </c>
      <c r="K1396">
        <f>IF(OR($E1396="",$E1396="نامعتبر"),"",IF(Sync!$V1393="","",IFERROR(INDEX(SubCodes,MATCH(Sync!$V1393,SubTitles,0)),Sync!$V1393)))</f>
        <v/>
      </c>
      <c r="L1396">
        <f>IF(OR($E1396="",$E1396="نامعتبر"),"",IF(Sync!$W1393="",0,Sync!$W1393))</f>
        <v/>
      </c>
      <c r="M1396">
        <f>IF(OR($E1396="",$E1396="نامعتبر"),"",IF(Sync!$X1393="",0,Sync!$X1393))</f>
        <v/>
      </c>
      <c r="N1396">
        <f>IF(OR($E1396="",$E1396="نامعتبر"),"",IF(AND($J1396="هزینه",$K1396&lt;&gt;""),1,0))</f>
        <v/>
      </c>
      <c r="O1396">
        <f>IF($N1396=0,"",LEFT($E1396,4)&amp;MID($E1396,6,2)&amp;RIGHT($E1396,2)&amp;$F1396&amp;"|"&amp;"1"&amp;RIGHT("00000"&amp;1388,5))</f>
        <v/>
      </c>
      <c r="P1396">
        <f>IF($O1396="","",COUNTIFS(ExpSub,$K1396,ExpKey,"&lt;"&amp;$O1396)+1)</f>
        <v/>
      </c>
      <c r="Q1396">
        <f>IF($P1396="","",$K1396&amp;"|"&amp;RIGHT("000000"&amp;$P1396,6))</f>
        <v/>
      </c>
    </row>
    <row r="1397">
      <c r="A1397">
        <f>IF(Sync!$P1394="","",Sync!$P1394)</f>
        <v/>
      </c>
      <c r="B1397">
        <f>IF($A1397="","",IF(ISNUMBER($A1397),IF(AND($A1397&gt;=10000101,$A1397&lt;=99991231),INT($A1397/10000),""),IFERROR(VALUE(TRIM(LEFT($A1397,FIND("/",$A1397)-1))),"")))</f>
        <v/>
      </c>
      <c r="C1397">
        <f>IF(OR($A1397="",$B1397=""),"",IF(ISNUMBER($A1397),INT(MOD($A1397,10000)/100),IFERROR(VALUE(TRIM(LEFT(MID($A1397,FIND("/",$A1397)+1,20),FIND("/",MID($A1397,FIND("/",$A1397)+1,20))-1))),"")))</f>
        <v/>
      </c>
      <c r="D1397">
        <f>IF(OR($A1397="",$B1397=""),"",IF(ISNUMBER($A1397),MOD($A1397,100),IFERROR(VALUE(TRIM(MID(MID($A1397,FIND("/",$A1397)+1,20),FIND("/",MID($A1397,FIND("/",$A1397)+1,20))+1,20))),"")))</f>
        <v/>
      </c>
      <c r="E1397">
        <f>IF($A1397="","",IF(OR($B1397="",$C1397="",$D1397="",$B1397&lt;1300,$B1397&gt;1500,$C1397&lt;1,$C1397&gt;12,$D1397&lt;1,$D1397&gt;31),"نامعتبر",RIGHT("0000"&amp;$B1397,4)&amp;"/"&amp;RIGHT("00"&amp;$C1397,2)&amp;"/"&amp;RIGHT("00"&amp;$D1397,2)))</f>
        <v/>
      </c>
      <c r="F1397">
        <f>IF(OR($E1397="",$E1397="نامعتبر"),"",IF(Sync!$Q1394="","0000",IF(AND(ISNUMBER(Sync!$Q1394),Sync!$Q1394&gt;=0,Sync!$Q1394&lt;1),RIGHT("00"&amp;HOUR(Sync!$Q1394),2)&amp;RIGHT("00"&amp;MINUTE(Sync!$Q1394),2),IFERROR(RIGHT("00"&amp;VALUE(LEFT(Sync!$Q1394,FIND(":",Sync!$Q1394)-1)),2)&amp;RIGHT("00"&amp;VALUE(MID(Sync!$Q1394,FIND(":",Sync!$Q1394)+1,2)),2),"0000"))))</f>
        <v/>
      </c>
      <c r="G1397">
        <f>IF(OR($E1397="",$E1397="نامعتبر"),"",IF(Sync!$S1394="","",Sync!$S1394))</f>
        <v/>
      </c>
      <c r="H1397">
        <f>IF(OR($E1397="",$E1397="نامعتبر"),"",IF(Sync!$R1394="","",Sync!$R1394))</f>
        <v/>
      </c>
      <c r="I1397">
        <f>IF(OR($E1397="",$E1397="نامعتبر"),"",IF(Sync!$T1394="","",Sync!$T1394))</f>
        <v/>
      </c>
      <c r="J1397">
        <f>IF(OR($E1397="",$E1397="نامعتبر"),"",IF(Sync!$U1394="","",Sync!$U1394))</f>
        <v/>
      </c>
      <c r="K1397">
        <f>IF(OR($E1397="",$E1397="نامعتبر"),"",IF(Sync!$V1394="","",IFERROR(INDEX(SubCodes,MATCH(Sync!$V1394,SubTitles,0)),Sync!$V1394)))</f>
        <v/>
      </c>
      <c r="L1397">
        <f>IF(OR($E1397="",$E1397="نامعتبر"),"",IF(Sync!$W1394="",0,Sync!$W1394))</f>
        <v/>
      </c>
      <c r="M1397">
        <f>IF(OR($E1397="",$E1397="نامعتبر"),"",IF(Sync!$X1394="",0,Sync!$X1394))</f>
        <v/>
      </c>
      <c r="N1397">
        <f>IF(OR($E1397="",$E1397="نامعتبر"),"",IF(AND($J1397="هزینه",$K1397&lt;&gt;""),1,0))</f>
        <v/>
      </c>
      <c r="O1397">
        <f>IF($N1397=0,"",LEFT($E1397,4)&amp;MID($E1397,6,2)&amp;RIGHT($E1397,2)&amp;$F1397&amp;"|"&amp;"1"&amp;RIGHT("00000"&amp;1389,5))</f>
        <v/>
      </c>
      <c r="P1397">
        <f>IF($O1397="","",COUNTIFS(ExpSub,$K1397,ExpKey,"&lt;"&amp;$O1397)+1)</f>
        <v/>
      </c>
      <c r="Q1397">
        <f>IF($P1397="","",$K1397&amp;"|"&amp;RIGHT("000000"&amp;$P1397,6))</f>
        <v/>
      </c>
    </row>
    <row r="1398">
      <c r="A1398">
        <f>IF(Sync!$P1395="","",Sync!$P1395)</f>
        <v/>
      </c>
      <c r="B1398">
        <f>IF($A1398="","",IF(ISNUMBER($A1398),IF(AND($A1398&gt;=10000101,$A1398&lt;=99991231),INT($A1398/10000),""),IFERROR(VALUE(TRIM(LEFT($A1398,FIND("/",$A1398)-1))),"")))</f>
        <v/>
      </c>
      <c r="C1398">
        <f>IF(OR($A1398="",$B1398=""),"",IF(ISNUMBER($A1398),INT(MOD($A1398,10000)/100),IFERROR(VALUE(TRIM(LEFT(MID($A1398,FIND("/",$A1398)+1,20),FIND("/",MID($A1398,FIND("/",$A1398)+1,20))-1))),"")))</f>
        <v/>
      </c>
      <c r="D1398">
        <f>IF(OR($A1398="",$B1398=""),"",IF(ISNUMBER($A1398),MOD($A1398,100),IFERROR(VALUE(TRIM(MID(MID($A1398,FIND("/",$A1398)+1,20),FIND("/",MID($A1398,FIND("/",$A1398)+1,20))+1,20))),"")))</f>
        <v/>
      </c>
      <c r="E1398">
        <f>IF($A1398="","",IF(OR($B1398="",$C1398="",$D1398="",$B1398&lt;1300,$B1398&gt;1500,$C1398&lt;1,$C1398&gt;12,$D1398&lt;1,$D1398&gt;31),"نامعتبر",RIGHT("0000"&amp;$B1398,4)&amp;"/"&amp;RIGHT("00"&amp;$C1398,2)&amp;"/"&amp;RIGHT("00"&amp;$D1398,2)))</f>
        <v/>
      </c>
      <c r="F1398">
        <f>IF(OR($E1398="",$E1398="نامعتبر"),"",IF(Sync!$Q1395="","0000",IF(AND(ISNUMBER(Sync!$Q1395),Sync!$Q1395&gt;=0,Sync!$Q1395&lt;1),RIGHT("00"&amp;HOUR(Sync!$Q1395),2)&amp;RIGHT("00"&amp;MINUTE(Sync!$Q1395),2),IFERROR(RIGHT("00"&amp;VALUE(LEFT(Sync!$Q1395,FIND(":",Sync!$Q1395)-1)),2)&amp;RIGHT("00"&amp;VALUE(MID(Sync!$Q1395,FIND(":",Sync!$Q1395)+1,2)),2),"0000"))))</f>
        <v/>
      </c>
      <c r="G1398">
        <f>IF(OR($E1398="",$E1398="نامعتبر"),"",IF(Sync!$S1395="","",Sync!$S1395))</f>
        <v/>
      </c>
      <c r="H1398">
        <f>IF(OR($E1398="",$E1398="نامعتبر"),"",IF(Sync!$R1395="","",Sync!$R1395))</f>
        <v/>
      </c>
      <c r="I1398">
        <f>IF(OR($E1398="",$E1398="نامعتبر"),"",IF(Sync!$T1395="","",Sync!$T1395))</f>
        <v/>
      </c>
      <c r="J1398">
        <f>IF(OR($E1398="",$E1398="نامعتبر"),"",IF(Sync!$U1395="","",Sync!$U1395))</f>
        <v/>
      </c>
      <c r="K1398">
        <f>IF(OR($E1398="",$E1398="نامعتبر"),"",IF(Sync!$V1395="","",IFERROR(INDEX(SubCodes,MATCH(Sync!$V1395,SubTitles,0)),Sync!$V1395)))</f>
        <v/>
      </c>
      <c r="L1398">
        <f>IF(OR($E1398="",$E1398="نامعتبر"),"",IF(Sync!$W1395="",0,Sync!$W1395))</f>
        <v/>
      </c>
      <c r="M1398">
        <f>IF(OR($E1398="",$E1398="نامعتبر"),"",IF(Sync!$X1395="",0,Sync!$X1395))</f>
        <v/>
      </c>
      <c r="N1398">
        <f>IF(OR($E1398="",$E1398="نامعتبر"),"",IF(AND($J1398="هزینه",$K1398&lt;&gt;""),1,0))</f>
        <v/>
      </c>
      <c r="O1398">
        <f>IF($N1398=0,"",LEFT($E1398,4)&amp;MID($E1398,6,2)&amp;RIGHT($E1398,2)&amp;$F1398&amp;"|"&amp;"1"&amp;RIGHT("00000"&amp;1390,5))</f>
        <v/>
      </c>
      <c r="P1398">
        <f>IF($O1398="","",COUNTIFS(ExpSub,$K1398,ExpKey,"&lt;"&amp;$O1398)+1)</f>
        <v/>
      </c>
      <c r="Q1398">
        <f>IF($P1398="","",$K1398&amp;"|"&amp;RIGHT("000000"&amp;$P1398,6))</f>
        <v/>
      </c>
    </row>
    <row r="1399">
      <c r="A1399">
        <f>IF(Sync!$P1396="","",Sync!$P1396)</f>
        <v/>
      </c>
      <c r="B1399">
        <f>IF($A1399="","",IF(ISNUMBER($A1399),IF(AND($A1399&gt;=10000101,$A1399&lt;=99991231),INT($A1399/10000),""),IFERROR(VALUE(TRIM(LEFT($A1399,FIND("/",$A1399)-1))),"")))</f>
        <v/>
      </c>
      <c r="C1399">
        <f>IF(OR($A1399="",$B1399=""),"",IF(ISNUMBER($A1399),INT(MOD($A1399,10000)/100),IFERROR(VALUE(TRIM(LEFT(MID($A1399,FIND("/",$A1399)+1,20),FIND("/",MID($A1399,FIND("/",$A1399)+1,20))-1))),"")))</f>
        <v/>
      </c>
      <c r="D1399">
        <f>IF(OR($A1399="",$B1399=""),"",IF(ISNUMBER($A1399),MOD($A1399,100),IFERROR(VALUE(TRIM(MID(MID($A1399,FIND("/",$A1399)+1,20),FIND("/",MID($A1399,FIND("/",$A1399)+1,20))+1,20))),"")))</f>
        <v/>
      </c>
      <c r="E1399">
        <f>IF($A1399="","",IF(OR($B1399="",$C1399="",$D1399="",$B1399&lt;1300,$B1399&gt;1500,$C1399&lt;1,$C1399&gt;12,$D1399&lt;1,$D1399&gt;31),"نامعتبر",RIGHT("0000"&amp;$B1399,4)&amp;"/"&amp;RIGHT("00"&amp;$C1399,2)&amp;"/"&amp;RIGHT("00"&amp;$D1399,2)))</f>
        <v/>
      </c>
      <c r="F1399">
        <f>IF(OR($E1399="",$E1399="نامعتبر"),"",IF(Sync!$Q1396="","0000",IF(AND(ISNUMBER(Sync!$Q1396),Sync!$Q1396&gt;=0,Sync!$Q1396&lt;1),RIGHT("00"&amp;HOUR(Sync!$Q1396),2)&amp;RIGHT("00"&amp;MINUTE(Sync!$Q1396),2),IFERROR(RIGHT("00"&amp;VALUE(LEFT(Sync!$Q1396,FIND(":",Sync!$Q1396)-1)),2)&amp;RIGHT("00"&amp;VALUE(MID(Sync!$Q1396,FIND(":",Sync!$Q1396)+1,2)),2),"0000"))))</f>
        <v/>
      </c>
      <c r="G1399">
        <f>IF(OR($E1399="",$E1399="نامعتبر"),"",IF(Sync!$S1396="","",Sync!$S1396))</f>
        <v/>
      </c>
      <c r="H1399">
        <f>IF(OR($E1399="",$E1399="نامعتبر"),"",IF(Sync!$R1396="","",Sync!$R1396))</f>
        <v/>
      </c>
      <c r="I1399">
        <f>IF(OR($E1399="",$E1399="نامعتبر"),"",IF(Sync!$T1396="","",Sync!$T1396))</f>
        <v/>
      </c>
      <c r="J1399">
        <f>IF(OR($E1399="",$E1399="نامعتبر"),"",IF(Sync!$U1396="","",Sync!$U1396))</f>
        <v/>
      </c>
      <c r="K1399">
        <f>IF(OR($E1399="",$E1399="نامعتبر"),"",IF(Sync!$V1396="","",IFERROR(INDEX(SubCodes,MATCH(Sync!$V1396,SubTitles,0)),Sync!$V1396)))</f>
        <v/>
      </c>
      <c r="L1399">
        <f>IF(OR($E1399="",$E1399="نامعتبر"),"",IF(Sync!$W1396="",0,Sync!$W1396))</f>
        <v/>
      </c>
      <c r="M1399">
        <f>IF(OR($E1399="",$E1399="نامعتبر"),"",IF(Sync!$X1396="",0,Sync!$X1396))</f>
        <v/>
      </c>
      <c r="N1399">
        <f>IF(OR($E1399="",$E1399="نامعتبر"),"",IF(AND($J1399="هزینه",$K1399&lt;&gt;""),1,0))</f>
        <v/>
      </c>
      <c r="O1399">
        <f>IF($N1399=0,"",LEFT($E1399,4)&amp;MID($E1399,6,2)&amp;RIGHT($E1399,2)&amp;$F1399&amp;"|"&amp;"1"&amp;RIGHT("00000"&amp;1391,5))</f>
        <v/>
      </c>
      <c r="P1399">
        <f>IF($O1399="","",COUNTIFS(ExpSub,$K1399,ExpKey,"&lt;"&amp;$O1399)+1)</f>
        <v/>
      </c>
      <c r="Q1399">
        <f>IF($P1399="","",$K1399&amp;"|"&amp;RIGHT("000000"&amp;$P1399,6))</f>
        <v/>
      </c>
    </row>
    <row r="1400">
      <c r="A1400">
        <f>IF(Sync!$P1397="","",Sync!$P1397)</f>
        <v/>
      </c>
      <c r="B1400">
        <f>IF($A1400="","",IF(ISNUMBER($A1400),IF(AND($A1400&gt;=10000101,$A1400&lt;=99991231),INT($A1400/10000),""),IFERROR(VALUE(TRIM(LEFT($A1400,FIND("/",$A1400)-1))),"")))</f>
        <v/>
      </c>
      <c r="C1400">
        <f>IF(OR($A1400="",$B1400=""),"",IF(ISNUMBER($A1400),INT(MOD($A1400,10000)/100),IFERROR(VALUE(TRIM(LEFT(MID($A1400,FIND("/",$A1400)+1,20),FIND("/",MID($A1400,FIND("/",$A1400)+1,20))-1))),"")))</f>
        <v/>
      </c>
      <c r="D1400">
        <f>IF(OR($A1400="",$B1400=""),"",IF(ISNUMBER($A1400),MOD($A1400,100),IFERROR(VALUE(TRIM(MID(MID($A1400,FIND("/",$A1400)+1,20),FIND("/",MID($A1400,FIND("/",$A1400)+1,20))+1,20))),"")))</f>
        <v/>
      </c>
      <c r="E1400">
        <f>IF($A1400="","",IF(OR($B1400="",$C1400="",$D1400="",$B1400&lt;1300,$B1400&gt;1500,$C1400&lt;1,$C1400&gt;12,$D1400&lt;1,$D1400&gt;31),"نامعتبر",RIGHT("0000"&amp;$B1400,4)&amp;"/"&amp;RIGHT("00"&amp;$C1400,2)&amp;"/"&amp;RIGHT("00"&amp;$D1400,2)))</f>
        <v/>
      </c>
      <c r="F1400">
        <f>IF(OR($E1400="",$E1400="نامعتبر"),"",IF(Sync!$Q1397="","0000",IF(AND(ISNUMBER(Sync!$Q1397),Sync!$Q1397&gt;=0,Sync!$Q1397&lt;1),RIGHT("00"&amp;HOUR(Sync!$Q1397),2)&amp;RIGHT("00"&amp;MINUTE(Sync!$Q1397),2),IFERROR(RIGHT("00"&amp;VALUE(LEFT(Sync!$Q1397,FIND(":",Sync!$Q1397)-1)),2)&amp;RIGHT("00"&amp;VALUE(MID(Sync!$Q1397,FIND(":",Sync!$Q1397)+1,2)),2),"0000"))))</f>
        <v/>
      </c>
      <c r="G1400">
        <f>IF(OR($E1400="",$E1400="نامعتبر"),"",IF(Sync!$S1397="","",Sync!$S1397))</f>
        <v/>
      </c>
      <c r="H1400">
        <f>IF(OR($E1400="",$E1400="نامعتبر"),"",IF(Sync!$R1397="","",Sync!$R1397))</f>
        <v/>
      </c>
      <c r="I1400">
        <f>IF(OR($E1400="",$E1400="نامعتبر"),"",IF(Sync!$T1397="","",Sync!$T1397))</f>
        <v/>
      </c>
      <c r="J1400">
        <f>IF(OR($E1400="",$E1400="نامعتبر"),"",IF(Sync!$U1397="","",Sync!$U1397))</f>
        <v/>
      </c>
      <c r="K1400">
        <f>IF(OR($E1400="",$E1400="نامعتبر"),"",IF(Sync!$V1397="","",IFERROR(INDEX(SubCodes,MATCH(Sync!$V1397,SubTitles,0)),Sync!$V1397)))</f>
        <v/>
      </c>
      <c r="L1400">
        <f>IF(OR($E1400="",$E1400="نامعتبر"),"",IF(Sync!$W1397="",0,Sync!$W1397))</f>
        <v/>
      </c>
      <c r="M1400">
        <f>IF(OR($E1400="",$E1400="نامعتبر"),"",IF(Sync!$X1397="",0,Sync!$X1397))</f>
        <v/>
      </c>
      <c r="N1400">
        <f>IF(OR($E1400="",$E1400="نامعتبر"),"",IF(AND($J1400="هزینه",$K1400&lt;&gt;""),1,0))</f>
        <v/>
      </c>
      <c r="O1400">
        <f>IF($N1400=0,"",LEFT($E1400,4)&amp;MID($E1400,6,2)&amp;RIGHT($E1400,2)&amp;$F1400&amp;"|"&amp;"1"&amp;RIGHT("00000"&amp;1392,5))</f>
        <v/>
      </c>
      <c r="P1400">
        <f>IF($O1400="","",COUNTIFS(ExpSub,$K1400,ExpKey,"&lt;"&amp;$O1400)+1)</f>
        <v/>
      </c>
      <c r="Q1400">
        <f>IF($P1400="","",$K1400&amp;"|"&amp;RIGHT("000000"&amp;$P1400,6))</f>
        <v/>
      </c>
    </row>
    <row r="1401">
      <c r="A1401">
        <f>IF(Sync!$P1398="","",Sync!$P1398)</f>
        <v/>
      </c>
      <c r="B1401">
        <f>IF($A1401="","",IF(ISNUMBER($A1401),IF(AND($A1401&gt;=10000101,$A1401&lt;=99991231),INT($A1401/10000),""),IFERROR(VALUE(TRIM(LEFT($A1401,FIND("/",$A1401)-1))),"")))</f>
        <v/>
      </c>
      <c r="C1401">
        <f>IF(OR($A1401="",$B1401=""),"",IF(ISNUMBER($A1401),INT(MOD($A1401,10000)/100),IFERROR(VALUE(TRIM(LEFT(MID($A1401,FIND("/",$A1401)+1,20),FIND("/",MID($A1401,FIND("/",$A1401)+1,20))-1))),"")))</f>
        <v/>
      </c>
      <c r="D1401">
        <f>IF(OR($A1401="",$B1401=""),"",IF(ISNUMBER($A1401),MOD($A1401,100),IFERROR(VALUE(TRIM(MID(MID($A1401,FIND("/",$A1401)+1,20),FIND("/",MID($A1401,FIND("/",$A1401)+1,20))+1,20))),"")))</f>
        <v/>
      </c>
      <c r="E1401">
        <f>IF($A1401="","",IF(OR($B1401="",$C1401="",$D1401="",$B1401&lt;1300,$B1401&gt;1500,$C1401&lt;1,$C1401&gt;12,$D1401&lt;1,$D1401&gt;31),"نامعتبر",RIGHT("0000"&amp;$B1401,4)&amp;"/"&amp;RIGHT("00"&amp;$C1401,2)&amp;"/"&amp;RIGHT("00"&amp;$D1401,2)))</f>
        <v/>
      </c>
      <c r="F1401">
        <f>IF(OR($E1401="",$E1401="نامعتبر"),"",IF(Sync!$Q1398="","0000",IF(AND(ISNUMBER(Sync!$Q1398),Sync!$Q1398&gt;=0,Sync!$Q1398&lt;1),RIGHT("00"&amp;HOUR(Sync!$Q1398),2)&amp;RIGHT("00"&amp;MINUTE(Sync!$Q1398),2),IFERROR(RIGHT("00"&amp;VALUE(LEFT(Sync!$Q1398,FIND(":",Sync!$Q1398)-1)),2)&amp;RIGHT("00"&amp;VALUE(MID(Sync!$Q1398,FIND(":",Sync!$Q1398)+1,2)),2),"0000"))))</f>
        <v/>
      </c>
      <c r="G1401">
        <f>IF(OR($E1401="",$E1401="نامعتبر"),"",IF(Sync!$S1398="","",Sync!$S1398))</f>
        <v/>
      </c>
      <c r="H1401">
        <f>IF(OR($E1401="",$E1401="نامعتبر"),"",IF(Sync!$R1398="","",Sync!$R1398))</f>
        <v/>
      </c>
      <c r="I1401">
        <f>IF(OR($E1401="",$E1401="نامعتبر"),"",IF(Sync!$T1398="","",Sync!$T1398))</f>
        <v/>
      </c>
      <c r="J1401">
        <f>IF(OR($E1401="",$E1401="نامعتبر"),"",IF(Sync!$U1398="","",Sync!$U1398))</f>
        <v/>
      </c>
      <c r="K1401">
        <f>IF(OR($E1401="",$E1401="نامعتبر"),"",IF(Sync!$V1398="","",IFERROR(INDEX(SubCodes,MATCH(Sync!$V1398,SubTitles,0)),Sync!$V1398)))</f>
        <v/>
      </c>
      <c r="L1401">
        <f>IF(OR($E1401="",$E1401="نامعتبر"),"",IF(Sync!$W1398="",0,Sync!$W1398))</f>
        <v/>
      </c>
      <c r="M1401">
        <f>IF(OR($E1401="",$E1401="نامعتبر"),"",IF(Sync!$X1398="",0,Sync!$X1398))</f>
        <v/>
      </c>
      <c r="N1401">
        <f>IF(OR($E1401="",$E1401="نامعتبر"),"",IF(AND($J1401="هزینه",$K1401&lt;&gt;""),1,0))</f>
        <v/>
      </c>
      <c r="O1401">
        <f>IF($N1401=0,"",LEFT($E1401,4)&amp;MID($E1401,6,2)&amp;RIGHT($E1401,2)&amp;$F1401&amp;"|"&amp;"1"&amp;RIGHT("00000"&amp;1393,5))</f>
        <v/>
      </c>
      <c r="P1401">
        <f>IF($O1401="","",COUNTIFS(ExpSub,$K1401,ExpKey,"&lt;"&amp;$O1401)+1)</f>
        <v/>
      </c>
      <c r="Q1401">
        <f>IF($P1401="","",$K1401&amp;"|"&amp;RIGHT("000000"&amp;$P1401,6))</f>
        <v/>
      </c>
    </row>
    <row r="1402">
      <c r="A1402">
        <f>IF(Sync!$P1399="","",Sync!$P1399)</f>
        <v/>
      </c>
      <c r="B1402">
        <f>IF($A1402="","",IF(ISNUMBER($A1402),IF(AND($A1402&gt;=10000101,$A1402&lt;=99991231),INT($A1402/10000),""),IFERROR(VALUE(TRIM(LEFT($A1402,FIND("/",$A1402)-1))),"")))</f>
        <v/>
      </c>
      <c r="C1402">
        <f>IF(OR($A1402="",$B1402=""),"",IF(ISNUMBER($A1402),INT(MOD($A1402,10000)/100),IFERROR(VALUE(TRIM(LEFT(MID($A1402,FIND("/",$A1402)+1,20),FIND("/",MID($A1402,FIND("/",$A1402)+1,20))-1))),"")))</f>
        <v/>
      </c>
      <c r="D1402">
        <f>IF(OR($A1402="",$B1402=""),"",IF(ISNUMBER($A1402),MOD($A1402,100),IFERROR(VALUE(TRIM(MID(MID($A1402,FIND("/",$A1402)+1,20),FIND("/",MID($A1402,FIND("/",$A1402)+1,20))+1,20))),"")))</f>
        <v/>
      </c>
      <c r="E1402">
        <f>IF($A1402="","",IF(OR($B1402="",$C1402="",$D1402="",$B1402&lt;1300,$B1402&gt;1500,$C1402&lt;1,$C1402&gt;12,$D1402&lt;1,$D1402&gt;31),"نامعتبر",RIGHT("0000"&amp;$B1402,4)&amp;"/"&amp;RIGHT("00"&amp;$C1402,2)&amp;"/"&amp;RIGHT("00"&amp;$D1402,2)))</f>
        <v/>
      </c>
      <c r="F1402">
        <f>IF(OR($E1402="",$E1402="نامعتبر"),"",IF(Sync!$Q1399="","0000",IF(AND(ISNUMBER(Sync!$Q1399),Sync!$Q1399&gt;=0,Sync!$Q1399&lt;1),RIGHT("00"&amp;HOUR(Sync!$Q1399),2)&amp;RIGHT("00"&amp;MINUTE(Sync!$Q1399),2),IFERROR(RIGHT("00"&amp;VALUE(LEFT(Sync!$Q1399,FIND(":",Sync!$Q1399)-1)),2)&amp;RIGHT("00"&amp;VALUE(MID(Sync!$Q1399,FIND(":",Sync!$Q1399)+1,2)),2),"0000"))))</f>
        <v/>
      </c>
      <c r="G1402">
        <f>IF(OR($E1402="",$E1402="نامعتبر"),"",IF(Sync!$S1399="","",Sync!$S1399))</f>
        <v/>
      </c>
      <c r="H1402">
        <f>IF(OR($E1402="",$E1402="نامعتبر"),"",IF(Sync!$R1399="","",Sync!$R1399))</f>
        <v/>
      </c>
      <c r="I1402">
        <f>IF(OR($E1402="",$E1402="نامعتبر"),"",IF(Sync!$T1399="","",Sync!$T1399))</f>
        <v/>
      </c>
      <c r="J1402">
        <f>IF(OR($E1402="",$E1402="نامعتبر"),"",IF(Sync!$U1399="","",Sync!$U1399))</f>
        <v/>
      </c>
      <c r="K1402">
        <f>IF(OR($E1402="",$E1402="نامعتبر"),"",IF(Sync!$V1399="","",IFERROR(INDEX(SubCodes,MATCH(Sync!$V1399,SubTitles,0)),Sync!$V1399)))</f>
        <v/>
      </c>
      <c r="L1402">
        <f>IF(OR($E1402="",$E1402="نامعتبر"),"",IF(Sync!$W1399="",0,Sync!$W1399))</f>
        <v/>
      </c>
      <c r="M1402">
        <f>IF(OR($E1402="",$E1402="نامعتبر"),"",IF(Sync!$X1399="",0,Sync!$X1399))</f>
        <v/>
      </c>
      <c r="N1402">
        <f>IF(OR($E1402="",$E1402="نامعتبر"),"",IF(AND($J1402="هزینه",$K1402&lt;&gt;""),1,0))</f>
        <v/>
      </c>
      <c r="O1402">
        <f>IF($N1402=0,"",LEFT($E1402,4)&amp;MID($E1402,6,2)&amp;RIGHT($E1402,2)&amp;$F1402&amp;"|"&amp;"1"&amp;RIGHT("00000"&amp;1394,5))</f>
        <v/>
      </c>
      <c r="P1402">
        <f>IF($O1402="","",COUNTIFS(ExpSub,$K1402,ExpKey,"&lt;"&amp;$O1402)+1)</f>
        <v/>
      </c>
      <c r="Q1402">
        <f>IF($P1402="","",$K1402&amp;"|"&amp;RIGHT("000000"&amp;$P1402,6))</f>
        <v/>
      </c>
    </row>
    <row r="1403">
      <c r="A1403">
        <f>IF(Sync!$P1400="","",Sync!$P1400)</f>
        <v/>
      </c>
      <c r="B1403">
        <f>IF($A1403="","",IF(ISNUMBER($A1403),IF(AND($A1403&gt;=10000101,$A1403&lt;=99991231),INT($A1403/10000),""),IFERROR(VALUE(TRIM(LEFT($A1403,FIND("/",$A1403)-1))),"")))</f>
        <v/>
      </c>
      <c r="C1403">
        <f>IF(OR($A1403="",$B1403=""),"",IF(ISNUMBER($A1403),INT(MOD($A1403,10000)/100),IFERROR(VALUE(TRIM(LEFT(MID($A1403,FIND("/",$A1403)+1,20),FIND("/",MID($A1403,FIND("/",$A1403)+1,20))-1))),"")))</f>
        <v/>
      </c>
      <c r="D1403">
        <f>IF(OR($A1403="",$B1403=""),"",IF(ISNUMBER($A1403),MOD($A1403,100),IFERROR(VALUE(TRIM(MID(MID($A1403,FIND("/",$A1403)+1,20),FIND("/",MID($A1403,FIND("/",$A1403)+1,20))+1,20))),"")))</f>
        <v/>
      </c>
      <c r="E1403">
        <f>IF($A1403="","",IF(OR($B1403="",$C1403="",$D1403="",$B1403&lt;1300,$B1403&gt;1500,$C1403&lt;1,$C1403&gt;12,$D1403&lt;1,$D1403&gt;31),"نامعتبر",RIGHT("0000"&amp;$B1403,4)&amp;"/"&amp;RIGHT("00"&amp;$C1403,2)&amp;"/"&amp;RIGHT("00"&amp;$D1403,2)))</f>
        <v/>
      </c>
      <c r="F1403">
        <f>IF(OR($E1403="",$E1403="نامعتبر"),"",IF(Sync!$Q1400="","0000",IF(AND(ISNUMBER(Sync!$Q1400),Sync!$Q1400&gt;=0,Sync!$Q1400&lt;1),RIGHT("00"&amp;HOUR(Sync!$Q1400),2)&amp;RIGHT("00"&amp;MINUTE(Sync!$Q1400),2),IFERROR(RIGHT("00"&amp;VALUE(LEFT(Sync!$Q1400,FIND(":",Sync!$Q1400)-1)),2)&amp;RIGHT("00"&amp;VALUE(MID(Sync!$Q1400,FIND(":",Sync!$Q1400)+1,2)),2),"0000"))))</f>
        <v/>
      </c>
      <c r="G1403">
        <f>IF(OR($E1403="",$E1403="نامعتبر"),"",IF(Sync!$S1400="","",Sync!$S1400))</f>
        <v/>
      </c>
      <c r="H1403">
        <f>IF(OR($E1403="",$E1403="نامعتبر"),"",IF(Sync!$R1400="","",Sync!$R1400))</f>
        <v/>
      </c>
      <c r="I1403">
        <f>IF(OR($E1403="",$E1403="نامعتبر"),"",IF(Sync!$T1400="","",Sync!$T1400))</f>
        <v/>
      </c>
      <c r="J1403">
        <f>IF(OR($E1403="",$E1403="نامعتبر"),"",IF(Sync!$U1400="","",Sync!$U1400))</f>
        <v/>
      </c>
      <c r="K1403">
        <f>IF(OR($E1403="",$E1403="نامعتبر"),"",IF(Sync!$V1400="","",IFERROR(INDEX(SubCodes,MATCH(Sync!$V1400,SubTitles,0)),Sync!$V1400)))</f>
        <v/>
      </c>
      <c r="L1403">
        <f>IF(OR($E1403="",$E1403="نامعتبر"),"",IF(Sync!$W1400="",0,Sync!$W1400))</f>
        <v/>
      </c>
      <c r="M1403">
        <f>IF(OR($E1403="",$E1403="نامعتبر"),"",IF(Sync!$X1400="",0,Sync!$X1400))</f>
        <v/>
      </c>
      <c r="N1403">
        <f>IF(OR($E1403="",$E1403="نامعتبر"),"",IF(AND($J1403="هزینه",$K1403&lt;&gt;""),1,0))</f>
        <v/>
      </c>
      <c r="O1403">
        <f>IF($N1403=0,"",LEFT($E1403,4)&amp;MID($E1403,6,2)&amp;RIGHT($E1403,2)&amp;$F1403&amp;"|"&amp;"1"&amp;RIGHT("00000"&amp;1395,5))</f>
        <v/>
      </c>
      <c r="P1403">
        <f>IF($O1403="","",COUNTIFS(ExpSub,$K1403,ExpKey,"&lt;"&amp;$O1403)+1)</f>
        <v/>
      </c>
      <c r="Q1403">
        <f>IF($P1403="","",$K1403&amp;"|"&amp;RIGHT("000000"&amp;$P1403,6))</f>
        <v/>
      </c>
    </row>
    <row r="1404">
      <c r="A1404">
        <f>IF(Sync!$P1401="","",Sync!$P1401)</f>
        <v/>
      </c>
      <c r="B1404">
        <f>IF($A1404="","",IF(ISNUMBER($A1404),IF(AND($A1404&gt;=10000101,$A1404&lt;=99991231),INT($A1404/10000),""),IFERROR(VALUE(TRIM(LEFT($A1404,FIND("/",$A1404)-1))),"")))</f>
        <v/>
      </c>
      <c r="C1404">
        <f>IF(OR($A1404="",$B1404=""),"",IF(ISNUMBER($A1404),INT(MOD($A1404,10000)/100),IFERROR(VALUE(TRIM(LEFT(MID($A1404,FIND("/",$A1404)+1,20),FIND("/",MID($A1404,FIND("/",$A1404)+1,20))-1))),"")))</f>
        <v/>
      </c>
      <c r="D1404">
        <f>IF(OR($A1404="",$B1404=""),"",IF(ISNUMBER($A1404),MOD($A1404,100),IFERROR(VALUE(TRIM(MID(MID($A1404,FIND("/",$A1404)+1,20),FIND("/",MID($A1404,FIND("/",$A1404)+1,20))+1,20))),"")))</f>
        <v/>
      </c>
      <c r="E1404">
        <f>IF($A1404="","",IF(OR($B1404="",$C1404="",$D1404="",$B1404&lt;1300,$B1404&gt;1500,$C1404&lt;1,$C1404&gt;12,$D1404&lt;1,$D1404&gt;31),"نامعتبر",RIGHT("0000"&amp;$B1404,4)&amp;"/"&amp;RIGHT("00"&amp;$C1404,2)&amp;"/"&amp;RIGHT("00"&amp;$D1404,2)))</f>
        <v/>
      </c>
      <c r="F1404">
        <f>IF(OR($E1404="",$E1404="نامعتبر"),"",IF(Sync!$Q1401="","0000",IF(AND(ISNUMBER(Sync!$Q1401),Sync!$Q1401&gt;=0,Sync!$Q1401&lt;1),RIGHT("00"&amp;HOUR(Sync!$Q1401),2)&amp;RIGHT("00"&amp;MINUTE(Sync!$Q1401),2),IFERROR(RIGHT("00"&amp;VALUE(LEFT(Sync!$Q1401,FIND(":",Sync!$Q1401)-1)),2)&amp;RIGHT("00"&amp;VALUE(MID(Sync!$Q1401,FIND(":",Sync!$Q1401)+1,2)),2),"0000"))))</f>
        <v/>
      </c>
      <c r="G1404">
        <f>IF(OR($E1404="",$E1404="نامعتبر"),"",IF(Sync!$S1401="","",Sync!$S1401))</f>
        <v/>
      </c>
      <c r="H1404">
        <f>IF(OR($E1404="",$E1404="نامعتبر"),"",IF(Sync!$R1401="","",Sync!$R1401))</f>
        <v/>
      </c>
      <c r="I1404">
        <f>IF(OR($E1404="",$E1404="نامعتبر"),"",IF(Sync!$T1401="","",Sync!$T1401))</f>
        <v/>
      </c>
      <c r="J1404">
        <f>IF(OR($E1404="",$E1404="نامعتبر"),"",IF(Sync!$U1401="","",Sync!$U1401))</f>
        <v/>
      </c>
      <c r="K1404">
        <f>IF(OR($E1404="",$E1404="نامعتبر"),"",IF(Sync!$V1401="","",IFERROR(INDEX(SubCodes,MATCH(Sync!$V1401,SubTitles,0)),Sync!$V1401)))</f>
        <v/>
      </c>
      <c r="L1404">
        <f>IF(OR($E1404="",$E1404="نامعتبر"),"",IF(Sync!$W1401="",0,Sync!$W1401))</f>
        <v/>
      </c>
      <c r="M1404">
        <f>IF(OR($E1404="",$E1404="نامعتبر"),"",IF(Sync!$X1401="",0,Sync!$X1401))</f>
        <v/>
      </c>
      <c r="N1404">
        <f>IF(OR($E1404="",$E1404="نامعتبر"),"",IF(AND($J1404="هزینه",$K1404&lt;&gt;""),1,0))</f>
        <v/>
      </c>
      <c r="O1404">
        <f>IF($N1404=0,"",LEFT($E1404,4)&amp;MID($E1404,6,2)&amp;RIGHT($E1404,2)&amp;$F1404&amp;"|"&amp;"1"&amp;RIGHT("00000"&amp;1396,5))</f>
        <v/>
      </c>
      <c r="P1404">
        <f>IF($O1404="","",COUNTIFS(ExpSub,$K1404,ExpKey,"&lt;"&amp;$O1404)+1)</f>
        <v/>
      </c>
      <c r="Q1404">
        <f>IF($P1404="","",$K1404&amp;"|"&amp;RIGHT("000000"&amp;$P1404,6))</f>
        <v/>
      </c>
    </row>
    <row r="1405">
      <c r="A1405">
        <f>IF(Sync!$P1402="","",Sync!$P1402)</f>
        <v/>
      </c>
      <c r="B1405">
        <f>IF($A1405="","",IF(ISNUMBER($A1405),IF(AND($A1405&gt;=10000101,$A1405&lt;=99991231),INT($A1405/10000),""),IFERROR(VALUE(TRIM(LEFT($A1405,FIND("/",$A1405)-1))),"")))</f>
        <v/>
      </c>
      <c r="C1405">
        <f>IF(OR($A1405="",$B1405=""),"",IF(ISNUMBER($A1405),INT(MOD($A1405,10000)/100),IFERROR(VALUE(TRIM(LEFT(MID($A1405,FIND("/",$A1405)+1,20),FIND("/",MID($A1405,FIND("/",$A1405)+1,20))-1))),"")))</f>
        <v/>
      </c>
      <c r="D1405">
        <f>IF(OR($A1405="",$B1405=""),"",IF(ISNUMBER($A1405),MOD($A1405,100),IFERROR(VALUE(TRIM(MID(MID($A1405,FIND("/",$A1405)+1,20),FIND("/",MID($A1405,FIND("/",$A1405)+1,20))+1,20))),"")))</f>
        <v/>
      </c>
      <c r="E1405">
        <f>IF($A1405="","",IF(OR($B1405="",$C1405="",$D1405="",$B1405&lt;1300,$B1405&gt;1500,$C1405&lt;1,$C1405&gt;12,$D1405&lt;1,$D1405&gt;31),"نامعتبر",RIGHT("0000"&amp;$B1405,4)&amp;"/"&amp;RIGHT("00"&amp;$C1405,2)&amp;"/"&amp;RIGHT("00"&amp;$D1405,2)))</f>
        <v/>
      </c>
      <c r="F1405">
        <f>IF(OR($E1405="",$E1405="نامعتبر"),"",IF(Sync!$Q1402="","0000",IF(AND(ISNUMBER(Sync!$Q1402),Sync!$Q1402&gt;=0,Sync!$Q1402&lt;1),RIGHT("00"&amp;HOUR(Sync!$Q1402),2)&amp;RIGHT("00"&amp;MINUTE(Sync!$Q1402),2),IFERROR(RIGHT("00"&amp;VALUE(LEFT(Sync!$Q1402,FIND(":",Sync!$Q1402)-1)),2)&amp;RIGHT("00"&amp;VALUE(MID(Sync!$Q1402,FIND(":",Sync!$Q1402)+1,2)),2),"0000"))))</f>
        <v/>
      </c>
      <c r="G1405">
        <f>IF(OR($E1405="",$E1405="نامعتبر"),"",IF(Sync!$S1402="","",Sync!$S1402))</f>
        <v/>
      </c>
      <c r="H1405">
        <f>IF(OR($E1405="",$E1405="نامعتبر"),"",IF(Sync!$R1402="","",Sync!$R1402))</f>
        <v/>
      </c>
      <c r="I1405">
        <f>IF(OR($E1405="",$E1405="نامعتبر"),"",IF(Sync!$T1402="","",Sync!$T1402))</f>
        <v/>
      </c>
      <c r="J1405">
        <f>IF(OR($E1405="",$E1405="نامعتبر"),"",IF(Sync!$U1402="","",Sync!$U1402))</f>
        <v/>
      </c>
      <c r="K1405">
        <f>IF(OR($E1405="",$E1405="نامعتبر"),"",IF(Sync!$V1402="","",IFERROR(INDEX(SubCodes,MATCH(Sync!$V1402,SubTitles,0)),Sync!$V1402)))</f>
        <v/>
      </c>
      <c r="L1405">
        <f>IF(OR($E1405="",$E1405="نامعتبر"),"",IF(Sync!$W1402="",0,Sync!$W1402))</f>
        <v/>
      </c>
      <c r="M1405">
        <f>IF(OR($E1405="",$E1405="نامعتبر"),"",IF(Sync!$X1402="",0,Sync!$X1402))</f>
        <v/>
      </c>
      <c r="N1405">
        <f>IF(OR($E1405="",$E1405="نامعتبر"),"",IF(AND($J1405="هزینه",$K1405&lt;&gt;""),1,0))</f>
        <v/>
      </c>
      <c r="O1405">
        <f>IF($N1405=0,"",LEFT($E1405,4)&amp;MID($E1405,6,2)&amp;RIGHT($E1405,2)&amp;$F1405&amp;"|"&amp;"1"&amp;RIGHT("00000"&amp;1397,5))</f>
        <v/>
      </c>
      <c r="P1405">
        <f>IF($O1405="","",COUNTIFS(ExpSub,$K1405,ExpKey,"&lt;"&amp;$O1405)+1)</f>
        <v/>
      </c>
      <c r="Q1405">
        <f>IF($P1405="","",$K1405&amp;"|"&amp;RIGHT("000000"&amp;$P1405,6))</f>
        <v/>
      </c>
    </row>
    <row r="1406">
      <c r="A1406">
        <f>IF(Sync!$P1403="","",Sync!$P1403)</f>
        <v/>
      </c>
      <c r="B1406">
        <f>IF($A1406="","",IF(ISNUMBER($A1406),IF(AND($A1406&gt;=10000101,$A1406&lt;=99991231),INT($A1406/10000),""),IFERROR(VALUE(TRIM(LEFT($A1406,FIND("/",$A1406)-1))),"")))</f>
        <v/>
      </c>
      <c r="C1406">
        <f>IF(OR($A1406="",$B1406=""),"",IF(ISNUMBER($A1406),INT(MOD($A1406,10000)/100),IFERROR(VALUE(TRIM(LEFT(MID($A1406,FIND("/",$A1406)+1,20),FIND("/",MID($A1406,FIND("/",$A1406)+1,20))-1))),"")))</f>
        <v/>
      </c>
      <c r="D1406">
        <f>IF(OR($A1406="",$B1406=""),"",IF(ISNUMBER($A1406),MOD($A1406,100),IFERROR(VALUE(TRIM(MID(MID($A1406,FIND("/",$A1406)+1,20),FIND("/",MID($A1406,FIND("/",$A1406)+1,20))+1,20))),"")))</f>
        <v/>
      </c>
      <c r="E1406">
        <f>IF($A1406="","",IF(OR($B1406="",$C1406="",$D1406="",$B1406&lt;1300,$B1406&gt;1500,$C1406&lt;1,$C1406&gt;12,$D1406&lt;1,$D1406&gt;31),"نامعتبر",RIGHT("0000"&amp;$B1406,4)&amp;"/"&amp;RIGHT("00"&amp;$C1406,2)&amp;"/"&amp;RIGHT("00"&amp;$D1406,2)))</f>
        <v/>
      </c>
      <c r="F1406">
        <f>IF(OR($E1406="",$E1406="نامعتبر"),"",IF(Sync!$Q1403="","0000",IF(AND(ISNUMBER(Sync!$Q1403),Sync!$Q1403&gt;=0,Sync!$Q1403&lt;1),RIGHT("00"&amp;HOUR(Sync!$Q1403),2)&amp;RIGHT("00"&amp;MINUTE(Sync!$Q1403),2),IFERROR(RIGHT("00"&amp;VALUE(LEFT(Sync!$Q1403,FIND(":",Sync!$Q1403)-1)),2)&amp;RIGHT("00"&amp;VALUE(MID(Sync!$Q1403,FIND(":",Sync!$Q1403)+1,2)),2),"0000"))))</f>
        <v/>
      </c>
      <c r="G1406">
        <f>IF(OR($E1406="",$E1406="نامعتبر"),"",IF(Sync!$S1403="","",Sync!$S1403))</f>
        <v/>
      </c>
      <c r="H1406">
        <f>IF(OR($E1406="",$E1406="نامعتبر"),"",IF(Sync!$R1403="","",Sync!$R1403))</f>
        <v/>
      </c>
      <c r="I1406">
        <f>IF(OR($E1406="",$E1406="نامعتبر"),"",IF(Sync!$T1403="","",Sync!$T1403))</f>
        <v/>
      </c>
      <c r="J1406">
        <f>IF(OR($E1406="",$E1406="نامعتبر"),"",IF(Sync!$U1403="","",Sync!$U1403))</f>
        <v/>
      </c>
      <c r="K1406">
        <f>IF(OR($E1406="",$E1406="نامعتبر"),"",IF(Sync!$V1403="","",IFERROR(INDEX(SubCodes,MATCH(Sync!$V1403,SubTitles,0)),Sync!$V1403)))</f>
        <v/>
      </c>
      <c r="L1406">
        <f>IF(OR($E1406="",$E1406="نامعتبر"),"",IF(Sync!$W1403="",0,Sync!$W1403))</f>
        <v/>
      </c>
      <c r="M1406">
        <f>IF(OR($E1406="",$E1406="نامعتبر"),"",IF(Sync!$X1403="",0,Sync!$X1403))</f>
        <v/>
      </c>
      <c r="N1406">
        <f>IF(OR($E1406="",$E1406="نامعتبر"),"",IF(AND($J1406="هزینه",$K1406&lt;&gt;""),1,0))</f>
        <v/>
      </c>
      <c r="O1406">
        <f>IF($N1406=0,"",LEFT($E1406,4)&amp;MID($E1406,6,2)&amp;RIGHT($E1406,2)&amp;$F1406&amp;"|"&amp;"1"&amp;RIGHT("00000"&amp;1398,5))</f>
        <v/>
      </c>
      <c r="P1406">
        <f>IF($O1406="","",COUNTIFS(ExpSub,$K1406,ExpKey,"&lt;"&amp;$O1406)+1)</f>
        <v/>
      </c>
      <c r="Q1406">
        <f>IF($P1406="","",$K1406&amp;"|"&amp;RIGHT("000000"&amp;$P1406,6))</f>
        <v/>
      </c>
    </row>
    <row r="1407">
      <c r="A1407">
        <f>IF(Sync!$P1404="","",Sync!$P1404)</f>
        <v/>
      </c>
      <c r="B1407">
        <f>IF($A1407="","",IF(ISNUMBER($A1407),IF(AND($A1407&gt;=10000101,$A1407&lt;=99991231),INT($A1407/10000),""),IFERROR(VALUE(TRIM(LEFT($A1407,FIND("/",$A1407)-1))),"")))</f>
        <v/>
      </c>
      <c r="C1407">
        <f>IF(OR($A1407="",$B1407=""),"",IF(ISNUMBER($A1407),INT(MOD($A1407,10000)/100),IFERROR(VALUE(TRIM(LEFT(MID($A1407,FIND("/",$A1407)+1,20),FIND("/",MID($A1407,FIND("/",$A1407)+1,20))-1))),"")))</f>
        <v/>
      </c>
      <c r="D1407">
        <f>IF(OR($A1407="",$B1407=""),"",IF(ISNUMBER($A1407),MOD($A1407,100),IFERROR(VALUE(TRIM(MID(MID($A1407,FIND("/",$A1407)+1,20),FIND("/",MID($A1407,FIND("/",$A1407)+1,20))+1,20))),"")))</f>
        <v/>
      </c>
      <c r="E1407">
        <f>IF($A1407="","",IF(OR($B1407="",$C1407="",$D1407="",$B1407&lt;1300,$B1407&gt;1500,$C1407&lt;1,$C1407&gt;12,$D1407&lt;1,$D1407&gt;31),"نامعتبر",RIGHT("0000"&amp;$B1407,4)&amp;"/"&amp;RIGHT("00"&amp;$C1407,2)&amp;"/"&amp;RIGHT("00"&amp;$D1407,2)))</f>
        <v/>
      </c>
      <c r="F1407">
        <f>IF(OR($E1407="",$E1407="نامعتبر"),"",IF(Sync!$Q1404="","0000",IF(AND(ISNUMBER(Sync!$Q1404),Sync!$Q1404&gt;=0,Sync!$Q1404&lt;1),RIGHT("00"&amp;HOUR(Sync!$Q1404),2)&amp;RIGHT("00"&amp;MINUTE(Sync!$Q1404),2),IFERROR(RIGHT("00"&amp;VALUE(LEFT(Sync!$Q1404,FIND(":",Sync!$Q1404)-1)),2)&amp;RIGHT("00"&amp;VALUE(MID(Sync!$Q1404,FIND(":",Sync!$Q1404)+1,2)),2),"0000"))))</f>
        <v/>
      </c>
      <c r="G1407">
        <f>IF(OR($E1407="",$E1407="نامعتبر"),"",IF(Sync!$S1404="","",Sync!$S1404))</f>
        <v/>
      </c>
      <c r="H1407">
        <f>IF(OR($E1407="",$E1407="نامعتبر"),"",IF(Sync!$R1404="","",Sync!$R1404))</f>
        <v/>
      </c>
      <c r="I1407">
        <f>IF(OR($E1407="",$E1407="نامعتبر"),"",IF(Sync!$T1404="","",Sync!$T1404))</f>
        <v/>
      </c>
      <c r="J1407">
        <f>IF(OR($E1407="",$E1407="نامعتبر"),"",IF(Sync!$U1404="","",Sync!$U1404))</f>
        <v/>
      </c>
      <c r="K1407">
        <f>IF(OR($E1407="",$E1407="نامعتبر"),"",IF(Sync!$V1404="","",IFERROR(INDEX(SubCodes,MATCH(Sync!$V1404,SubTitles,0)),Sync!$V1404)))</f>
        <v/>
      </c>
      <c r="L1407">
        <f>IF(OR($E1407="",$E1407="نامعتبر"),"",IF(Sync!$W1404="",0,Sync!$W1404))</f>
        <v/>
      </c>
      <c r="M1407">
        <f>IF(OR($E1407="",$E1407="نامعتبر"),"",IF(Sync!$X1404="",0,Sync!$X1404))</f>
        <v/>
      </c>
      <c r="N1407">
        <f>IF(OR($E1407="",$E1407="نامعتبر"),"",IF(AND($J1407="هزینه",$K1407&lt;&gt;""),1,0))</f>
        <v/>
      </c>
      <c r="O1407">
        <f>IF($N1407=0,"",LEFT($E1407,4)&amp;MID($E1407,6,2)&amp;RIGHT($E1407,2)&amp;$F1407&amp;"|"&amp;"1"&amp;RIGHT("00000"&amp;1399,5))</f>
        <v/>
      </c>
      <c r="P1407">
        <f>IF($O1407="","",COUNTIFS(ExpSub,$K1407,ExpKey,"&lt;"&amp;$O1407)+1)</f>
        <v/>
      </c>
      <c r="Q1407">
        <f>IF($P1407="","",$K1407&amp;"|"&amp;RIGHT("000000"&amp;$P1407,6))</f>
        <v/>
      </c>
    </row>
    <row r="1408">
      <c r="A1408">
        <f>IF(Sync!$P1405="","",Sync!$P1405)</f>
        <v/>
      </c>
      <c r="B1408">
        <f>IF($A1408="","",IF(ISNUMBER($A1408),IF(AND($A1408&gt;=10000101,$A1408&lt;=99991231),INT($A1408/10000),""),IFERROR(VALUE(TRIM(LEFT($A1408,FIND("/",$A1408)-1))),"")))</f>
        <v/>
      </c>
      <c r="C1408">
        <f>IF(OR($A1408="",$B1408=""),"",IF(ISNUMBER($A1408),INT(MOD($A1408,10000)/100),IFERROR(VALUE(TRIM(LEFT(MID($A1408,FIND("/",$A1408)+1,20),FIND("/",MID($A1408,FIND("/",$A1408)+1,20))-1))),"")))</f>
        <v/>
      </c>
      <c r="D1408">
        <f>IF(OR($A1408="",$B1408=""),"",IF(ISNUMBER($A1408),MOD($A1408,100),IFERROR(VALUE(TRIM(MID(MID($A1408,FIND("/",$A1408)+1,20),FIND("/",MID($A1408,FIND("/",$A1408)+1,20))+1,20))),"")))</f>
        <v/>
      </c>
      <c r="E1408">
        <f>IF($A1408="","",IF(OR($B1408="",$C1408="",$D1408="",$B1408&lt;1300,$B1408&gt;1500,$C1408&lt;1,$C1408&gt;12,$D1408&lt;1,$D1408&gt;31),"نامعتبر",RIGHT("0000"&amp;$B1408,4)&amp;"/"&amp;RIGHT("00"&amp;$C1408,2)&amp;"/"&amp;RIGHT("00"&amp;$D1408,2)))</f>
        <v/>
      </c>
      <c r="F1408">
        <f>IF(OR($E1408="",$E1408="نامعتبر"),"",IF(Sync!$Q1405="","0000",IF(AND(ISNUMBER(Sync!$Q1405),Sync!$Q1405&gt;=0,Sync!$Q1405&lt;1),RIGHT("00"&amp;HOUR(Sync!$Q1405),2)&amp;RIGHT("00"&amp;MINUTE(Sync!$Q1405),2),IFERROR(RIGHT("00"&amp;VALUE(LEFT(Sync!$Q1405,FIND(":",Sync!$Q1405)-1)),2)&amp;RIGHT("00"&amp;VALUE(MID(Sync!$Q1405,FIND(":",Sync!$Q1405)+1,2)),2),"0000"))))</f>
        <v/>
      </c>
      <c r="G1408">
        <f>IF(OR($E1408="",$E1408="نامعتبر"),"",IF(Sync!$S1405="","",Sync!$S1405))</f>
        <v/>
      </c>
      <c r="H1408">
        <f>IF(OR($E1408="",$E1408="نامعتبر"),"",IF(Sync!$R1405="","",Sync!$R1405))</f>
        <v/>
      </c>
      <c r="I1408">
        <f>IF(OR($E1408="",$E1408="نامعتبر"),"",IF(Sync!$T1405="","",Sync!$T1405))</f>
        <v/>
      </c>
      <c r="J1408">
        <f>IF(OR($E1408="",$E1408="نامعتبر"),"",IF(Sync!$U1405="","",Sync!$U1405))</f>
        <v/>
      </c>
      <c r="K1408">
        <f>IF(OR($E1408="",$E1408="نامعتبر"),"",IF(Sync!$V1405="","",IFERROR(INDEX(SubCodes,MATCH(Sync!$V1405,SubTitles,0)),Sync!$V1405)))</f>
        <v/>
      </c>
      <c r="L1408">
        <f>IF(OR($E1408="",$E1408="نامعتبر"),"",IF(Sync!$W1405="",0,Sync!$W1405))</f>
        <v/>
      </c>
      <c r="M1408">
        <f>IF(OR($E1408="",$E1408="نامعتبر"),"",IF(Sync!$X1405="",0,Sync!$X1405))</f>
        <v/>
      </c>
      <c r="N1408">
        <f>IF(OR($E1408="",$E1408="نامعتبر"),"",IF(AND($J1408="هزینه",$K1408&lt;&gt;""),1,0))</f>
        <v/>
      </c>
      <c r="O1408">
        <f>IF($N1408=0,"",LEFT($E1408,4)&amp;MID($E1408,6,2)&amp;RIGHT($E1408,2)&amp;$F1408&amp;"|"&amp;"1"&amp;RIGHT("00000"&amp;1400,5))</f>
        <v/>
      </c>
      <c r="P1408">
        <f>IF($O1408="","",COUNTIFS(ExpSub,$K1408,ExpKey,"&lt;"&amp;$O1408)+1)</f>
        <v/>
      </c>
      <c r="Q1408">
        <f>IF($P1408="","",$K1408&amp;"|"&amp;RIGHT("000000"&amp;$P1408,6))</f>
        <v/>
      </c>
    </row>
    <row r="1409">
      <c r="A1409">
        <f>IF(Sync!$P1406="","",Sync!$P1406)</f>
        <v/>
      </c>
      <c r="B1409">
        <f>IF($A1409="","",IF(ISNUMBER($A1409),IF(AND($A1409&gt;=10000101,$A1409&lt;=99991231),INT($A1409/10000),""),IFERROR(VALUE(TRIM(LEFT($A1409,FIND("/",$A1409)-1))),"")))</f>
        <v/>
      </c>
      <c r="C1409">
        <f>IF(OR($A1409="",$B1409=""),"",IF(ISNUMBER($A1409),INT(MOD($A1409,10000)/100),IFERROR(VALUE(TRIM(LEFT(MID($A1409,FIND("/",$A1409)+1,20),FIND("/",MID($A1409,FIND("/",$A1409)+1,20))-1))),"")))</f>
        <v/>
      </c>
      <c r="D1409">
        <f>IF(OR($A1409="",$B1409=""),"",IF(ISNUMBER($A1409),MOD($A1409,100),IFERROR(VALUE(TRIM(MID(MID($A1409,FIND("/",$A1409)+1,20),FIND("/",MID($A1409,FIND("/",$A1409)+1,20))+1,20))),"")))</f>
        <v/>
      </c>
      <c r="E1409">
        <f>IF($A1409="","",IF(OR($B1409="",$C1409="",$D1409="",$B1409&lt;1300,$B1409&gt;1500,$C1409&lt;1,$C1409&gt;12,$D1409&lt;1,$D1409&gt;31),"نامعتبر",RIGHT("0000"&amp;$B1409,4)&amp;"/"&amp;RIGHT("00"&amp;$C1409,2)&amp;"/"&amp;RIGHT("00"&amp;$D1409,2)))</f>
        <v/>
      </c>
      <c r="F1409">
        <f>IF(OR($E1409="",$E1409="نامعتبر"),"",IF(Sync!$Q1406="","0000",IF(AND(ISNUMBER(Sync!$Q1406),Sync!$Q1406&gt;=0,Sync!$Q1406&lt;1),RIGHT("00"&amp;HOUR(Sync!$Q1406),2)&amp;RIGHT("00"&amp;MINUTE(Sync!$Q1406),2),IFERROR(RIGHT("00"&amp;VALUE(LEFT(Sync!$Q1406,FIND(":",Sync!$Q1406)-1)),2)&amp;RIGHT("00"&amp;VALUE(MID(Sync!$Q1406,FIND(":",Sync!$Q1406)+1,2)),2),"0000"))))</f>
        <v/>
      </c>
      <c r="G1409">
        <f>IF(OR($E1409="",$E1409="نامعتبر"),"",IF(Sync!$S1406="","",Sync!$S1406))</f>
        <v/>
      </c>
      <c r="H1409">
        <f>IF(OR($E1409="",$E1409="نامعتبر"),"",IF(Sync!$R1406="","",Sync!$R1406))</f>
        <v/>
      </c>
      <c r="I1409">
        <f>IF(OR($E1409="",$E1409="نامعتبر"),"",IF(Sync!$T1406="","",Sync!$T1406))</f>
        <v/>
      </c>
      <c r="J1409">
        <f>IF(OR($E1409="",$E1409="نامعتبر"),"",IF(Sync!$U1406="","",Sync!$U1406))</f>
        <v/>
      </c>
      <c r="K1409">
        <f>IF(OR($E1409="",$E1409="نامعتبر"),"",IF(Sync!$V1406="","",IFERROR(INDEX(SubCodes,MATCH(Sync!$V1406,SubTitles,0)),Sync!$V1406)))</f>
        <v/>
      </c>
      <c r="L1409">
        <f>IF(OR($E1409="",$E1409="نامعتبر"),"",IF(Sync!$W1406="",0,Sync!$W1406))</f>
        <v/>
      </c>
      <c r="M1409">
        <f>IF(OR($E1409="",$E1409="نامعتبر"),"",IF(Sync!$X1406="",0,Sync!$X1406))</f>
        <v/>
      </c>
      <c r="N1409">
        <f>IF(OR($E1409="",$E1409="نامعتبر"),"",IF(AND($J1409="هزینه",$K1409&lt;&gt;""),1,0))</f>
        <v/>
      </c>
      <c r="O1409">
        <f>IF($N1409=0,"",LEFT($E1409,4)&amp;MID($E1409,6,2)&amp;RIGHT($E1409,2)&amp;$F1409&amp;"|"&amp;"1"&amp;RIGHT("00000"&amp;1401,5))</f>
        <v/>
      </c>
      <c r="P1409">
        <f>IF($O1409="","",COUNTIFS(ExpSub,$K1409,ExpKey,"&lt;"&amp;$O1409)+1)</f>
        <v/>
      </c>
      <c r="Q1409">
        <f>IF($P1409="","",$K1409&amp;"|"&amp;RIGHT("000000"&amp;$P1409,6))</f>
        <v/>
      </c>
    </row>
    <row r="1410">
      <c r="A1410">
        <f>IF(Sync!$P1407="","",Sync!$P1407)</f>
        <v/>
      </c>
      <c r="B1410">
        <f>IF($A1410="","",IF(ISNUMBER($A1410),IF(AND($A1410&gt;=10000101,$A1410&lt;=99991231),INT($A1410/10000),""),IFERROR(VALUE(TRIM(LEFT($A1410,FIND("/",$A1410)-1))),"")))</f>
        <v/>
      </c>
      <c r="C1410">
        <f>IF(OR($A1410="",$B1410=""),"",IF(ISNUMBER($A1410),INT(MOD($A1410,10000)/100),IFERROR(VALUE(TRIM(LEFT(MID($A1410,FIND("/",$A1410)+1,20),FIND("/",MID($A1410,FIND("/",$A1410)+1,20))-1))),"")))</f>
        <v/>
      </c>
      <c r="D1410">
        <f>IF(OR($A1410="",$B1410=""),"",IF(ISNUMBER($A1410),MOD($A1410,100),IFERROR(VALUE(TRIM(MID(MID($A1410,FIND("/",$A1410)+1,20),FIND("/",MID($A1410,FIND("/",$A1410)+1,20))+1,20))),"")))</f>
        <v/>
      </c>
      <c r="E1410">
        <f>IF($A1410="","",IF(OR($B1410="",$C1410="",$D1410="",$B1410&lt;1300,$B1410&gt;1500,$C1410&lt;1,$C1410&gt;12,$D1410&lt;1,$D1410&gt;31),"نامعتبر",RIGHT("0000"&amp;$B1410,4)&amp;"/"&amp;RIGHT("00"&amp;$C1410,2)&amp;"/"&amp;RIGHT("00"&amp;$D1410,2)))</f>
        <v/>
      </c>
      <c r="F1410">
        <f>IF(OR($E1410="",$E1410="نامعتبر"),"",IF(Sync!$Q1407="","0000",IF(AND(ISNUMBER(Sync!$Q1407),Sync!$Q1407&gt;=0,Sync!$Q1407&lt;1),RIGHT("00"&amp;HOUR(Sync!$Q1407),2)&amp;RIGHT("00"&amp;MINUTE(Sync!$Q1407),2),IFERROR(RIGHT("00"&amp;VALUE(LEFT(Sync!$Q1407,FIND(":",Sync!$Q1407)-1)),2)&amp;RIGHT("00"&amp;VALUE(MID(Sync!$Q1407,FIND(":",Sync!$Q1407)+1,2)),2),"0000"))))</f>
        <v/>
      </c>
      <c r="G1410">
        <f>IF(OR($E1410="",$E1410="نامعتبر"),"",IF(Sync!$S1407="","",Sync!$S1407))</f>
        <v/>
      </c>
      <c r="H1410">
        <f>IF(OR($E1410="",$E1410="نامعتبر"),"",IF(Sync!$R1407="","",Sync!$R1407))</f>
        <v/>
      </c>
      <c r="I1410">
        <f>IF(OR($E1410="",$E1410="نامعتبر"),"",IF(Sync!$T1407="","",Sync!$T1407))</f>
        <v/>
      </c>
      <c r="J1410">
        <f>IF(OR($E1410="",$E1410="نامعتبر"),"",IF(Sync!$U1407="","",Sync!$U1407))</f>
        <v/>
      </c>
      <c r="K1410">
        <f>IF(OR($E1410="",$E1410="نامعتبر"),"",IF(Sync!$V1407="","",IFERROR(INDEX(SubCodes,MATCH(Sync!$V1407,SubTitles,0)),Sync!$V1407)))</f>
        <v/>
      </c>
      <c r="L1410">
        <f>IF(OR($E1410="",$E1410="نامعتبر"),"",IF(Sync!$W1407="",0,Sync!$W1407))</f>
        <v/>
      </c>
      <c r="M1410">
        <f>IF(OR($E1410="",$E1410="نامعتبر"),"",IF(Sync!$X1407="",0,Sync!$X1407))</f>
        <v/>
      </c>
      <c r="N1410">
        <f>IF(OR($E1410="",$E1410="نامعتبر"),"",IF(AND($J1410="هزینه",$K1410&lt;&gt;""),1,0))</f>
        <v/>
      </c>
      <c r="O1410">
        <f>IF($N1410=0,"",LEFT($E1410,4)&amp;MID($E1410,6,2)&amp;RIGHT($E1410,2)&amp;$F1410&amp;"|"&amp;"1"&amp;RIGHT("00000"&amp;1402,5))</f>
        <v/>
      </c>
      <c r="P1410">
        <f>IF($O1410="","",COUNTIFS(ExpSub,$K1410,ExpKey,"&lt;"&amp;$O1410)+1)</f>
        <v/>
      </c>
      <c r="Q1410">
        <f>IF($P1410="","",$K1410&amp;"|"&amp;RIGHT("000000"&amp;$P1410,6))</f>
        <v/>
      </c>
    </row>
    <row r="1411">
      <c r="A1411">
        <f>IF(Sync!$P1408="","",Sync!$P1408)</f>
        <v/>
      </c>
      <c r="B1411">
        <f>IF($A1411="","",IF(ISNUMBER($A1411),IF(AND($A1411&gt;=10000101,$A1411&lt;=99991231),INT($A1411/10000),""),IFERROR(VALUE(TRIM(LEFT($A1411,FIND("/",$A1411)-1))),"")))</f>
        <v/>
      </c>
      <c r="C1411">
        <f>IF(OR($A1411="",$B1411=""),"",IF(ISNUMBER($A1411),INT(MOD($A1411,10000)/100),IFERROR(VALUE(TRIM(LEFT(MID($A1411,FIND("/",$A1411)+1,20),FIND("/",MID($A1411,FIND("/",$A1411)+1,20))-1))),"")))</f>
        <v/>
      </c>
      <c r="D1411">
        <f>IF(OR($A1411="",$B1411=""),"",IF(ISNUMBER($A1411),MOD($A1411,100),IFERROR(VALUE(TRIM(MID(MID($A1411,FIND("/",$A1411)+1,20),FIND("/",MID($A1411,FIND("/",$A1411)+1,20))+1,20))),"")))</f>
        <v/>
      </c>
      <c r="E1411">
        <f>IF($A1411="","",IF(OR($B1411="",$C1411="",$D1411="",$B1411&lt;1300,$B1411&gt;1500,$C1411&lt;1,$C1411&gt;12,$D1411&lt;1,$D1411&gt;31),"نامعتبر",RIGHT("0000"&amp;$B1411,4)&amp;"/"&amp;RIGHT("00"&amp;$C1411,2)&amp;"/"&amp;RIGHT("00"&amp;$D1411,2)))</f>
        <v/>
      </c>
      <c r="F1411">
        <f>IF(OR($E1411="",$E1411="نامعتبر"),"",IF(Sync!$Q1408="","0000",IF(AND(ISNUMBER(Sync!$Q1408),Sync!$Q1408&gt;=0,Sync!$Q1408&lt;1),RIGHT("00"&amp;HOUR(Sync!$Q1408),2)&amp;RIGHT("00"&amp;MINUTE(Sync!$Q1408),2),IFERROR(RIGHT("00"&amp;VALUE(LEFT(Sync!$Q1408,FIND(":",Sync!$Q1408)-1)),2)&amp;RIGHT("00"&amp;VALUE(MID(Sync!$Q1408,FIND(":",Sync!$Q1408)+1,2)),2),"0000"))))</f>
        <v/>
      </c>
      <c r="G1411">
        <f>IF(OR($E1411="",$E1411="نامعتبر"),"",IF(Sync!$S1408="","",Sync!$S1408))</f>
        <v/>
      </c>
      <c r="H1411">
        <f>IF(OR($E1411="",$E1411="نامعتبر"),"",IF(Sync!$R1408="","",Sync!$R1408))</f>
        <v/>
      </c>
      <c r="I1411">
        <f>IF(OR($E1411="",$E1411="نامعتبر"),"",IF(Sync!$T1408="","",Sync!$T1408))</f>
        <v/>
      </c>
      <c r="J1411">
        <f>IF(OR($E1411="",$E1411="نامعتبر"),"",IF(Sync!$U1408="","",Sync!$U1408))</f>
        <v/>
      </c>
      <c r="K1411">
        <f>IF(OR($E1411="",$E1411="نامعتبر"),"",IF(Sync!$V1408="","",IFERROR(INDEX(SubCodes,MATCH(Sync!$V1408,SubTitles,0)),Sync!$V1408)))</f>
        <v/>
      </c>
      <c r="L1411">
        <f>IF(OR($E1411="",$E1411="نامعتبر"),"",IF(Sync!$W1408="",0,Sync!$W1408))</f>
        <v/>
      </c>
      <c r="M1411">
        <f>IF(OR($E1411="",$E1411="نامعتبر"),"",IF(Sync!$X1408="",0,Sync!$X1408))</f>
        <v/>
      </c>
      <c r="N1411">
        <f>IF(OR($E1411="",$E1411="نامعتبر"),"",IF(AND($J1411="هزینه",$K1411&lt;&gt;""),1,0))</f>
        <v/>
      </c>
      <c r="O1411">
        <f>IF($N1411=0,"",LEFT($E1411,4)&amp;MID($E1411,6,2)&amp;RIGHT($E1411,2)&amp;$F1411&amp;"|"&amp;"1"&amp;RIGHT("00000"&amp;1403,5))</f>
        <v/>
      </c>
      <c r="P1411">
        <f>IF($O1411="","",COUNTIFS(ExpSub,$K1411,ExpKey,"&lt;"&amp;$O1411)+1)</f>
        <v/>
      </c>
      <c r="Q1411">
        <f>IF($P1411="","",$K1411&amp;"|"&amp;RIGHT("000000"&amp;$P1411,6))</f>
        <v/>
      </c>
    </row>
    <row r="1412">
      <c r="A1412">
        <f>IF(Sync!$P1409="","",Sync!$P1409)</f>
        <v/>
      </c>
      <c r="B1412">
        <f>IF($A1412="","",IF(ISNUMBER($A1412),IF(AND($A1412&gt;=10000101,$A1412&lt;=99991231),INT($A1412/10000),""),IFERROR(VALUE(TRIM(LEFT($A1412,FIND("/",$A1412)-1))),"")))</f>
        <v/>
      </c>
      <c r="C1412">
        <f>IF(OR($A1412="",$B1412=""),"",IF(ISNUMBER($A1412),INT(MOD($A1412,10000)/100),IFERROR(VALUE(TRIM(LEFT(MID($A1412,FIND("/",$A1412)+1,20),FIND("/",MID($A1412,FIND("/",$A1412)+1,20))-1))),"")))</f>
        <v/>
      </c>
      <c r="D1412">
        <f>IF(OR($A1412="",$B1412=""),"",IF(ISNUMBER($A1412),MOD($A1412,100),IFERROR(VALUE(TRIM(MID(MID($A1412,FIND("/",$A1412)+1,20),FIND("/",MID($A1412,FIND("/",$A1412)+1,20))+1,20))),"")))</f>
        <v/>
      </c>
      <c r="E1412">
        <f>IF($A1412="","",IF(OR($B1412="",$C1412="",$D1412="",$B1412&lt;1300,$B1412&gt;1500,$C1412&lt;1,$C1412&gt;12,$D1412&lt;1,$D1412&gt;31),"نامعتبر",RIGHT("0000"&amp;$B1412,4)&amp;"/"&amp;RIGHT("00"&amp;$C1412,2)&amp;"/"&amp;RIGHT("00"&amp;$D1412,2)))</f>
        <v/>
      </c>
      <c r="F1412">
        <f>IF(OR($E1412="",$E1412="نامعتبر"),"",IF(Sync!$Q1409="","0000",IF(AND(ISNUMBER(Sync!$Q1409),Sync!$Q1409&gt;=0,Sync!$Q1409&lt;1),RIGHT("00"&amp;HOUR(Sync!$Q1409),2)&amp;RIGHT("00"&amp;MINUTE(Sync!$Q1409),2),IFERROR(RIGHT("00"&amp;VALUE(LEFT(Sync!$Q1409,FIND(":",Sync!$Q1409)-1)),2)&amp;RIGHT("00"&amp;VALUE(MID(Sync!$Q1409,FIND(":",Sync!$Q1409)+1,2)),2),"0000"))))</f>
        <v/>
      </c>
      <c r="G1412">
        <f>IF(OR($E1412="",$E1412="نامعتبر"),"",IF(Sync!$S1409="","",Sync!$S1409))</f>
        <v/>
      </c>
      <c r="H1412">
        <f>IF(OR($E1412="",$E1412="نامعتبر"),"",IF(Sync!$R1409="","",Sync!$R1409))</f>
        <v/>
      </c>
      <c r="I1412">
        <f>IF(OR($E1412="",$E1412="نامعتبر"),"",IF(Sync!$T1409="","",Sync!$T1409))</f>
        <v/>
      </c>
      <c r="J1412">
        <f>IF(OR($E1412="",$E1412="نامعتبر"),"",IF(Sync!$U1409="","",Sync!$U1409))</f>
        <v/>
      </c>
      <c r="K1412">
        <f>IF(OR($E1412="",$E1412="نامعتبر"),"",IF(Sync!$V1409="","",IFERROR(INDEX(SubCodes,MATCH(Sync!$V1409,SubTitles,0)),Sync!$V1409)))</f>
        <v/>
      </c>
      <c r="L1412">
        <f>IF(OR($E1412="",$E1412="نامعتبر"),"",IF(Sync!$W1409="",0,Sync!$W1409))</f>
        <v/>
      </c>
      <c r="M1412">
        <f>IF(OR($E1412="",$E1412="نامعتبر"),"",IF(Sync!$X1409="",0,Sync!$X1409))</f>
        <v/>
      </c>
      <c r="N1412">
        <f>IF(OR($E1412="",$E1412="نامعتبر"),"",IF(AND($J1412="هزینه",$K1412&lt;&gt;""),1,0))</f>
        <v/>
      </c>
      <c r="O1412">
        <f>IF($N1412=0,"",LEFT($E1412,4)&amp;MID($E1412,6,2)&amp;RIGHT($E1412,2)&amp;$F1412&amp;"|"&amp;"1"&amp;RIGHT("00000"&amp;1404,5))</f>
        <v/>
      </c>
      <c r="P1412">
        <f>IF($O1412="","",COUNTIFS(ExpSub,$K1412,ExpKey,"&lt;"&amp;$O1412)+1)</f>
        <v/>
      </c>
      <c r="Q1412">
        <f>IF($P1412="","",$K1412&amp;"|"&amp;RIGHT("000000"&amp;$P1412,6))</f>
        <v/>
      </c>
    </row>
    <row r="1413">
      <c r="A1413">
        <f>IF(Sync!$P1410="","",Sync!$P1410)</f>
        <v/>
      </c>
      <c r="B1413">
        <f>IF($A1413="","",IF(ISNUMBER($A1413),IF(AND($A1413&gt;=10000101,$A1413&lt;=99991231),INT($A1413/10000),""),IFERROR(VALUE(TRIM(LEFT($A1413,FIND("/",$A1413)-1))),"")))</f>
        <v/>
      </c>
      <c r="C1413">
        <f>IF(OR($A1413="",$B1413=""),"",IF(ISNUMBER($A1413),INT(MOD($A1413,10000)/100),IFERROR(VALUE(TRIM(LEFT(MID($A1413,FIND("/",$A1413)+1,20),FIND("/",MID($A1413,FIND("/",$A1413)+1,20))-1))),"")))</f>
        <v/>
      </c>
      <c r="D1413">
        <f>IF(OR($A1413="",$B1413=""),"",IF(ISNUMBER($A1413),MOD($A1413,100),IFERROR(VALUE(TRIM(MID(MID($A1413,FIND("/",$A1413)+1,20),FIND("/",MID($A1413,FIND("/",$A1413)+1,20))+1,20))),"")))</f>
        <v/>
      </c>
      <c r="E1413">
        <f>IF($A1413="","",IF(OR($B1413="",$C1413="",$D1413="",$B1413&lt;1300,$B1413&gt;1500,$C1413&lt;1,$C1413&gt;12,$D1413&lt;1,$D1413&gt;31),"نامعتبر",RIGHT("0000"&amp;$B1413,4)&amp;"/"&amp;RIGHT("00"&amp;$C1413,2)&amp;"/"&amp;RIGHT("00"&amp;$D1413,2)))</f>
        <v/>
      </c>
      <c r="F1413">
        <f>IF(OR($E1413="",$E1413="نامعتبر"),"",IF(Sync!$Q1410="","0000",IF(AND(ISNUMBER(Sync!$Q1410),Sync!$Q1410&gt;=0,Sync!$Q1410&lt;1),RIGHT("00"&amp;HOUR(Sync!$Q1410),2)&amp;RIGHT("00"&amp;MINUTE(Sync!$Q1410),2),IFERROR(RIGHT("00"&amp;VALUE(LEFT(Sync!$Q1410,FIND(":",Sync!$Q1410)-1)),2)&amp;RIGHT("00"&amp;VALUE(MID(Sync!$Q1410,FIND(":",Sync!$Q1410)+1,2)),2),"0000"))))</f>
        <v/>
      </c>
      <c r="G1413">
        <f>IF(OR($E1413="",$E1413="نامعتبر"),"",IF(Sync!$S1410="","",Sync!$S1410))</f>
        <v/>
      </c>
      <c r="H1413">
        <f>IF(OR($E1413="",$E1413="نامعتبر"),"",IF(Sync!$R1410="","",Sync!$R1410))</f>
        <v/>
      </c>
      <c r="I1413">
        <f>IF(OR($E1413="",$E1413="نامعتبر"),"",IF(Sync!$T1410="","",Sync!$T1410))</f>
        <v/>
      </c>
      <c r="J1413">
        <f>IF(OR($E1413="",$E1413="نامعتبر"),"",IF(Sync!$U1410="","",Sync!$U1410))</f>
        <v/>
      </c>
      <c r="K1413">
        <f>IF(OR($E1413="",$E1413="نامعتبر"),"",IF(Sync!$V1410="","",IFERROR(INDEX(SubCodes,MATCH(Sync!$V1410,SubTitles,0)),Sync!$V1410)))</f>
        <v/>
      </c>
      <c r="L1413">
        <f>IF(OR($E1413="",$E1413="نامعتبر"),"",IF(Sync!$W1410="",0,Sync!$W1410))</f>
        <v/>
      </c>
      <c r="M1413">
        <f>IF(OR($E1413="",$E1413="نامعتبر"),"",IF(Sync!$X1410="",0,Sync!$X1410))</f>
        <v/>
      </c>
      <c r="N1413">
        <f>IF(OR($E1413="",$E1413="نامعتبر"),"",IF(AND($J1413="هزینه",$K1413&lt;&gt;""),1,0))</f>
        <v/>
      </c>
      <c r="O1413">
        <f>IF($N1413=0,"",LEFT($E1413,4)&amp;MID($E1413,6,2)&amp;RIGHT($E1413,2)&amp;$F1413&amp;"|"&amp;"1"&amp;RIGHT("00000"&amp;1405,5))</f>
        <v/>
      </c>
      <c r="P1413">
        <f>IF($O1413="","",COUNTIFS(ExpSub,$K1413,ExpKey,"&lt;"&amp;$O1413)+1)</f>
        <v/>
      </c>
      <c r="Q1413">
        <f>IF($P1413="","",$K1413&amp;"|"&amp;RIGHT("000000"&amp;$P1413,6))</f>
        <v/>
      </c>
    </row>
    <row r="1414">
      <c r="A1414">
        <f>IF(Sync!$P1411="","",Sync!$P1411)</f>
        <v/>
      </c>
      <c r="B1414">
        <f>IF($A1414="","",IF(ISNUMBER($A1414),IF(AND($A1414&gt;=10000101,$A1414&lt;=99991231),INT($A1414/10000),""),IFERROR(VALUE(TRIM(LEFT($A1414,FIND("/",$A1414)-1))),"")))</f>
        <v/>
      </c>
      <c r="C1414">
        <f>IF(OR($A1414="",$B1414=""),"",IF(ISNUMBER($A1414),INT(MOD($A1414,10000)/100),IFERROR(VALUE(TRIM(LEFT(MID($A1414,FIND("/",$A1414)+1,20),FIND("/",MID($A1414,FIND("/",$A1414)+1,20))-1))),"")))</f>
        <v/>
      </c>
      <c r="D1414">
        <f>IF(OR($A1414="",$B1414=""),"",IF(ISNUMBER($A1414),MOD($A1414,100),IFERROR(VALUE(TRIM(MID(MID($A1414,FIND("/",$A1414)+1,20),FIND("/",MID($A1414,FIND("/",$A1414)+1,20))+1,20))),"")))</f>
        <v/>
      </c>
      <c r="E1414">
        <f>IF($A1414="","",IF(OR($B1414="",$C1414="",$D1414="",$B1414&lt;1300,$B1414&gt;1500,$C1414&lt;1,$C1414&gt;12,$D1414&lt;1,$D1414&gt;31),"نامعتبر",RIGHT("0000"&amp;$B1414,4)&amp;"/"&amp;RIGHT("00"&amp;$C1414,2)&amp;"/"&amp;RIGHT("00"&amp;$D1414,2)))</f>
        <v/>
      </c>
      <c r="F1414">
        <f>IF(OR($E1414="",$E1414="نامعتبر"),"",IF(Sync!$Q1411="","0000",IF(AND(ISNUMBER(Sync!$Q1411),Sync!$Q1411&gt;=0,Sync!$Q1411&lt;1),RIGHT("00"&amp;HOUR(Sync!$Q1411),2)&amp;RIGHT("00"&amp;MINUTE(Sync!$Q1411),2),IFERROR(RIGHT("00"&amp;VALUE(LEFT(Sync!$Q1411,FIND(":",Sync!$Q1411)-1)),2)&amp;RIGHT("00"&amp;VALUE(MID(Sync!$Q1411,FIND(":",Sync!$Q1411)+1,2)),2),"0000"))))</f>
        <v/>
      </c>
      <c r="G1414">
        <f>IF(OR($E1414="",$E1414="نامعتبر"),"",IF(Sync!$S1411="","",Sync!$S1411))</f>
        <v/>
      </c>
      <c r="H1414">
        <f>IF(OR($E1414="",$E1414="نامعتبر"),"",IF(Sync!$R1411="","",Sync!$R1411))</f>
        <v/>
      </c>
      <c r="I1414">
        <f>IF(OR($E1414="",$E1414="نامعتبر"),"",IF(Sync!$T1411="","",Sync!$T1411))</f>
        <v/>
      </c>
      <c r="J1414">
        <f>IF(OR($E1414="",$E1414="نامعتبر"),"",IF(Sync!$U1411="","",Sync!$U1411))</f>
        <v/>
      </c>
      <c r="K1414">
        <f>IF(OR($E1414="",$E1414="نامعتبر"),"",IF(Sync!$V1411="","",IFERROR(INDEX(SubCodes,MATCH(Sync!$V1411,SubTitles,0)),Sync!$V1411)))</f>
        <v/>
      </c>
      <c r="L1414">
        <f>IF(OR($E1414="",$E1414="نامعتبر"),"",IF(Sync!$W1411="",0,Sync!$W1411))</f>
        <v/>
      </c>
      <c r="M1414">
        <f>IF(OR($E1414="",$E1414="نامعتبر"),"",IF(Sync!$X1411="",0,Sync!$X1411))</f>
        <v/>
      </c>
      <c r="N1414">
        <f>IF(OR($E1414="",$E1414="نامعتبر"),"",IF(AND($J1414="هزینه",$K1414&lt;&gt;""),1,0))</f>
        <v/>
      </c>
      <c r="O1414">
        <f>IF($N1414=0,"",LEFT($E1414,4)&amp;MID($E1414,6,2)&amp;RIGHT($E1414,2)&amp;$F1414&amp;"|"&amp;"1"&amp;RIGHT("00000"&amp;1406,5))</f>
        <v/>
      </c>
      <c r="P1414">
        <f>IF($O1414="","",COUNTIFS(ExpSub,$K1414,ExpKey,"&lt;"&amp;$O1414)+1)</f>
        <v/>
      </c>
      <c r="Q1414">
        <f>IF($P1414="","",$K1414&amp;"|"&amp;RIGHT("000000"&amp;$P1414,6))</f>
        <v/>
      </c>
    </row>
    <row r="1415">
      <c r="A1415">
        <f>IF(Sync!$P1412="","",Sync!$P1412)</f>
        <v/>
      </c>
      <c r="B1415">
        <f>IF($A1415="","",IF(ISNUMBER($A1415),IF(AND($A1415&gt;=10000101,$A1415&lt;=99991231),INT($A1415/10000),""),IFERROR(VALUE(TRIM(LEFT($A1415,FIND("/",$A1415)-1))),"")))</f>
        <v/>
      </c>
      <c r="C1415">
        <f>IF(OR($A1415="",$B1415=""),"",IF(ISNUMBER($A1415),INT(MOD($A1415,10000)/100),IFERROR(VALUE(TRIM(LEFT(MID($A1415,FIND("/",$A1415)+1,20),FIND("/",MID($A1415,FIND("/",$A1415)+1,20))-1))),"")))</f>
        <v/>
      </c>
      <c r="D1415">
        <f>IF(OR($A1415="",$B1415=""),"",IF(ISNUMBER($A1415),MOD($A1415,100),IFERROR(VALUE(TRIM(MID(MID($A1415,FIND("/",$A1415)+1,20),FIND("/",MID($A1415,FIND("/",$A1415)+1,20))+1,20))),"")))</f>
        <v/>
      </c>
      <c r="E1415">
        <f>IF($A1415="","",IF(OR($B1415="",$C1415="",$D1415="",$B1415&lt;1300,$B1415&gt;1500,$C1415&lt;1,$C1415&gt;12,$D1415&lt;1,$D1415&gt;31),"نامعتبر",RIGHT("0000"&amp;$B1415,4)&amp;"/"&amp;RIGHT("00"&amp;$C1415,2)&amp;"/"&amp;RIGHT("00"&amp;$D1415,2)))</f>
        <v/>
      </c>
      <c r="F1415">
        <f>IF(OR($E1415="",$E1415="نامعتبر"),"",IF(Sync!$Q1412="","0000",IF(AND(ISNUMBER(Sync!$Q1412),Sync!$Q1412&gt;=0,Sync!$Q1412&lt;1),RIGHT("00"&amp;HOUR(Sync!$Q1412),2)&amp;RIGHT("00"&amp;MINUTE(Sync!$Q1412),2),IFERROR(RIGHT("00"&amp;VALUE(LEFT(Sync!$Q1412,FIND(":",Sync!$Q1412)-1)),2)&amp;RIGHT("00"&amp;VALUE(MID(Sync!$Q1412,FIND(":",Sync!$Q1412)+1,2)),2),"0000"))))</f>
        <v/>
      </c>
      <c r="G1415">
        <f>IF(OR($E1415="",$E1415="نامعتبر"),"",IF(Sync!$S1412="","",Sync!$S1412))</f>
        <v/>
      </c>
      <c r="H1415">
        <f>IF(OR($E1415="",$E1415="نامعتبر"),"",IF(Sync!$R1412="","",Sync!$R1412))</f>
        <v/>
      </c>
      <c r="I1415">
        <f>IF(OR($E1415="",$E1415="نامعتبر"),"",IF(Sync!$T1412="","",Sync!$T1412))</f>
        <v/>
      </c>
      <c r="J1415">
        <f>IF(OR($E1415="",$E1415="نامعتبر"),"",IF(Sync!$U1412="","",Sync!$U1412))</f>
        <v/>
      </c>
      <c r="K1415">
        <f>IF(OR($E1415="",$E1415="نامعتبر"),"",IF(Sync!$V1412="","",IFERROR(INDEX(SubCodes,MATCH(Sync!$V1412,SubTitles,0)),Sync!$V1412)))</f>
        <v/>
      </c>
      <c r="L1415">
        <f>IF(OR($E1415="",$E1415="نامعتبر"),"",IF(Sync!$W1412="",0,Sync!$W1412))</f>
        <v/>
      </c>
      <c r="M1415">
        <f>IF(OR($E1415="",$E1415="نامعتبر"),"",IF(Sync!$X1412="",0,Sync!$X1412))</f>
        <v/>
      </c>
      <c r="N1415">
        <f>IF(OR($E1415="",$E1415="نامعتبر"),"",IF(AND($J1415="هزینه",$K1415&lt;&gt;""),1,0))</f>
        <v/>
      </c>
      <c r="O1415">
        <f>IF($N1415=0,"",LEFT($E1415,4)&amp;MID($E1415,6,2)&amp;RIGHT($E1415,2)&amp;$F1415&amp;"|"&amp;"1"&amp;RIGHT("00000"&amp;1407,5))</f>
        <v/>
      </c>
      <c r="P1415">
        <f>IF($O1415="","",COUNTIFS(ExpSub,$K1415,ExpKey,"&lt;"&amp;$O1415)+1)</f>
        <v/>
      </c>
      <c r="Q1415">
        <f>IF($P1415="","",$K1415&amp;"|"&amp;RIGHT("000000"&amp;$P1415,6))</f>
        <v/>
      </c>
    </row>
    <row r="1416">
      <c r="A1416">
        <f>IF(Sync!$P1413="","",Sync!$P1413)</f>
        <v/>
      </c>
      <c r="B1416">
        <f>IF($A1416="","",IF(ISNUMBER($A1416),IF(AND($A1416&gt;=10000101,$A1416&lt;=99991231),INT($A1416/10000),""),IFERROR(VALUE(TRIM(LEFT($A1416,FIND("/",$A1416)-1))),"")))</f>
        <v/>
      </c>
      <c r="C1416">
        <f>IF(OR($A1416="",$B1416=""),"",IF(ISNUMBER($A1416),INT(MOD($A1416,10000)/100),IFERROR(VALUE(TRIM(LEFT(MID($A1416,FIND("/",$A1416)+1,20),FIND("/",MID($A1416,FIND("/",$A1416)+1,20))-1))),"")))</f>
        <v/>
      </c>
      <c r="D1416">
        <f>IF(OR($A1416="",$B1416=""),"",IF(ISNUMBER($A1416),MOD($A1416,100),IFERROR(VALUE(TRIM(MID(MID($A1416,FIND("/",$A1416)+1,20),FIND("/",MID($A1416,FIND("/",$A1416)+1,20))+1,20))),"")))</f>
        <v/>
      </c>
      <c r="E1416">
        <f>IF($A1416="","",IF(OR($B1416="",$C1416="",$D1416="",$B1416&lt;1300,$B1416&gt;1500,$C1416&lt;1,$C1416&gt;12,$D1416&lt;1,$D1416&gt;31),"نامعتبر",RIGHT("0000"&amp;$B1416,4)&amp;"/"&amp;RIGHT("00"&amp;$C1416,2)&amp;"/"&amp;RIGHT("00"&amp;$D1416,2)))</f>
        <v/>
      </c>
      <c r="F1416">
        <f>IF(OR($E1416="",$E1416="نامعتبر"),"",IF(Sync!$Q1413="","0000",IF(AND(ISNUMBER(Sync!$Q1413),Sync!$Q1413&gt;=0,Sync!$Q1413&lt;1),RIGHT("00"&amp;HOUR(Sync!$Q1413),2)&amp;RIGHT("00"&amp;MINUTE(Sync!$Q1413),2),IFERROR(RIGHT("00"&amp;VALUE(LEFT(Sync!$Q1413,FIND(":",Sync!$Q1413)-1)),2)&amp;RIGHT("00"&amp;VALUE(MID(Sync!$Q1413,FIND(":",Sync!$Q1413)+1,2)),2),"0000"))))</f>
        <v/>
      </c>
      <c r="G1416">
        <f>IF(OR($E1416="",$E1416="نامعتبر"),"",IF(Sync!$S1413="","",Sync!$S1413))</f>
        <v/>
      </c>
      <c r="H1416">
        <f>IF(OR($E1416="",$E1416="نامعتبر"),"",IF(Sync!$R1413="","",Sync!$R1413))</f>
        <v/>
      </c>
      <c r="I1416">
        <f>IF(OR($E1416="",$E1416="نامعتبر"),"",IF(Sync!$T1413="","",Sync!$T1413))</f>
        <v/>
      </c>
      <c r="J1416">
        <f>IF(OR($E1416="",$E1416="نامعتبر"),"",IF(Sync!$U1413="","",Sync!$U1413))</f>
        <v/>
      </c>
      <c r="K1416">
        <f>IF(OR($E1416="",$E1416="نامعتبر"),"",IF(Sync!$V1413="","",IFERROR(INDEX(SubCodes,MATCH(Sync!$V1413,SubTitles,0)),Sync!$V1413)))</f>
        <v/>
      </c>
      <c r="L1416">
        <f>IF(OR($E1416="",$E1416="نامعتبر"),"",IF(Sync!$W1413="",0,Sync!$W1413))</f>
        <v/>
      </c>
      <c r="M1416">
        <f>IF(OR($E1416="",$E1416="نامعتبر"),"",IF(Sync!$X1413="",0,Sync!$X1413))</f>
        <v/>
      </c>
      <c r="N1416">
        <f>IF(OR($E1416="",$E1416="نامعتبر"),"",IF(AND($J1416="هزینه",$K1416&lt;&gt;""),1,0))</f>
        <v/>
      </c>
      <c r="O1416">
        <f>IF($N1416=0,"",LEFT($E1416,4)&amp;MID($E1416,6,2)&amp;RIGHT($E1416,2)&amp;$F1416&amp;"|"&amp;"1"&amp;RIGHT("00000"&amp;1408,5))</f>
        <v/>
      </c>
      <c r="P1416">
        <f>IF($O1416="","",COUNTIFS(ExpSub,$K1416,ExpKey,"&lt;"&amp;$O1416)+1)</f>
        <v/>
      </c>
      <c r="Q1416">
        <f>IF($P1416="","",$K1416&amp;"|"&amp;RIGHT("000000"&amp;$P1416,6))</f>
        <v/>
      </c>
    </row>
    <row r="1417">
      <c r="A1417">
        <f>IF(Sync!$P1414="","",Sync!$P1414)</f>
        <v/>
      </c>
      <c r="B1417">
        <f>IF($A1417="","",IF(ISNUMBER($A1417),IF(AND($A1417&gt;=10000101,$A1417&lt;=99991231),INT($A1417/10000),""),IFERROR(VALUE(TRIM(LEFT($A1417,FIND("/",$A1417)-1))),"")))</f>
        <v/>
      </c>
      <c r="C1417">
        <f>IF(OR($A1417="",$B1417=""),"",IF(ISNUMBER($A1417),INT(MOD($A1417,10000)/100),IFERROR(VALUE(TRIM(LEFT(MID($A1417,FIND("/",$A1417)+1,20),FIND("/",MID($A1417,FIND("/",$A1417)+1,20))-1))),"")))</f>
        <v/>
      </c>
      <c r="D1417">
        <f>IF(OR($A1417="",$B1417=""),"",IF(ISNUMBER($A1417),MOD($A1417,100),IFERROR(VALUE(TRIM(MID(MID($A1417,FIND("/",$A1417)+1,20),FIND("/",MID($A1417,FIND("/",$A1417)+1,20))+1,20))),"")))</f>
        <v/>
      </c>
      <c r="E1417">
        <f>IF($A1417="","",IF(OR($B1417="",$C1417="",$D1417="",$B1417&lt;1300,$B1417&gt;1500,$C1417&lt;1,$C1417&gt;12,$D1417&lt;1,$D1417&gt;31),"نامعتبر",RIGHT("0000"&amp;$B1417,4)&amp;"/"&amp;RIGHT("00"&amp;$C1417,2)&amp;"/"&amp;RIGHT("00"&amp;$D1417,2)))</f>
        <v/>
      </c>
      <c r="F1417">
        <f>IF(OR($E1417="",$E1417="نامعتبر"),"",IF(Sync!$Q1414="","0000",IF(AND(ISNUMBER(Sync!$Q1414),Sync!$Q1414&gt;=0,Sync!$Q1414&lt;1),RIGHT("00"&amp;HOUR(Sync!$Q1414),2)&amp;RIGHT("00"&amp;MINUTE(Sync!$Q1414),2),IFERROR(RIGHT("00"&amp;VALUE(LEFT(Sync!$Q1414,FIND(":",Sync!$Q1414)-1)),2)&amp;RIGHT("00"&amp;VALUE(MID(Sync!$Q1414,FIND(":",Sync!$Q1414)+1,2)),2),"0000"))))</f>
        <v/>
      </c>
      <c r="G1417">
        <f>IF(OR($E1417="",$E1417="نامعتبر"),"",IF(Sync!$S1414="","",Sync!$S1414))</f>
        <v/>
      </c>
      <c r="H1417">
        <f>IF(OR($E1417="",$E1417="نامعتبر"),"",IF(Sync!$R1414="","",Sync!$R1414))</f>
        <v/>
      </c>
      <c r="I1417">
        <f>IF(OR($E1417="",$E1417="نامعتبر"),"",IF(Sync!$T1414="","",Sync!$T1414))</f>
        <v/>
      </c>
      <c r="J1417">
        <f>IF(OR($E1417="",$E1417="نامعتبر"),"",IF(Sync!$U1414="","",Sync!$U1414))</f>
        <v/>
      </c>
      <c r="K1417">
        <f>IF(OR($E1417="",$E1417="نامعتبر"),"",IF(Sync!$V1414="","",IFERROR(INDEX(SubCodes,MATCH(Sync!$V1414,SubTitles,0)),Sync!$V1414)))</f>
        <v/>
      </c>
      <c r="L1417">
        <f>IF(OR($E1417="",$E1417="نامعتبر"),"",IF(Sync!$W1414="",0,Sync!$W1414))</f>
        <v/>
      </c>
      <c r="M1417">
        <f>IF(OR($E1417="",$E1417="نامعتبر"),"",IF(Sync!$X1414="",0,Sync!$X1414))</f>
        <v/>
      </c>
      <c r="N1417">
        <f>IF(OR($E1417="",$E1417="نامعتبر"),"",IF(AND($J1417="هزینه",$K1417&lt;&gt;""),1,0))</f>
        <v/>
      </c>
      <c r="O1417">
        <f>IF($N1417=0,"",LEFT($E1417,4)&amp;MID($E1417,6,2)&amp;RIGHT($E1417,2)&amp;$F1417&amp;"|"&amp;"1"&amp;RIGHT("00000"&amp;1409,5))</f>
        <v/>
      </c>
      <c r="P1417">
        <f>IF($O1417="","",COUNTIFS(ExpSub,$K1417,ExpKey,"&lt;"&amp;$O1417)+1)</f>
        <v/>
      </c>
      <c r="Q1417">
        <f>IF($P1417="","",$K1417&amp;"|"&amp;RIGHT("000000"&amp;$P1417,6))</f>
        <v/>
      </c>
    </row>
    <row r="1418">
      <c r="A1418">
        <f>IF(Sync!$P1415="","",Sync!$P1415)</f>
        <v/>
      </c>
      <c r="B1418">
        <f>IF($A1418="","",IF(ISNUMBER($A1418),IF(AND($A1418&gt;=10000101,$A1418&lt;=99991231),INT($A1418/10000),""),IFERROR(VALUE(TRIM(LEFT($A1418,FIND("/",$A1418)-1))),"")))</f>
        <v/>
      </c>
      <c r="C1418">
        <f>IF(OR($A1418="",$B1418=""),"",IF(ISNUMBER($A1418),INT(MOD($A1418,10000)/100),IFERROR(VALUE(TRIM(LEFT(MID($A1418,FIND("/",$A1418)+1,20),FIND("/",MID($A1418,FIND("/",$A1418)+1,20))-1))),"")))</f>
        <v/>
      </c>
      <c r="D1418">
        <f>IF(OR($A1418="",$B1418=""),"",IF(ISNUMBER($A1418),MOD($A1418,100),IFERROR(VALUE(TRIM(MID(MID($A1418,FIND("/",$A1418)+1,20),FIND("/",MID($A1418,FIND("/",$A1418)+1,20))+1,20))),"")))</f>
        <v/>
      </c>
      <c r="E1418">
        <f>IF($A1418="","",IF(OR($B1418="",$C1418="",$D1418="",$B1418&lt;1300,$B1418&gt;1500,$C1418&lt;1,$C1418&gt;12,$D1418&lt;1,$D1418&gt;31),"نامعتبر",RIGHT("0000"&amp;$B1418,4)&amp;"/"&amp;RIGHT("00"&amp;$C1418,2)&amp;"/"&amp;RIGHT("00"&amp;$D1418,2)))</f>
        <v/>
      </c>
      <c r="F1418">
        <f>IF(OR($E1418="",$E1418="نامعتبر"),"",IF(Sync!$Q1415="","0000",IF(AND(ISNUMBER(Sync!$Q1415),Sync!$Q1415&gt;=0,Sync!$Q1415&lt;1),RIGHT("00"&amp;HOUR(Sync!$Q1415),2)&amp;RIGHT("00"&amp;MINUTE(Sync!$Q1415),2),IFERROR(RIGHT("00"&amp;VALUE(LEFT(Sync!$Q1415,FIND(":",Sync!$Q1415)-1)),2)&amp;RIGHT("00"&amp;VALUE(MID(Sync!$Q1415,FIND(":",Sync!$Q1415)+1,2)),2),"0000"))))</f>
        <v/>
      </c>
      <c r="G1418">
        <f>IF(OR($E1418="",$E1418="نامعتبر"),"",IF(Sync!$S1415="","",Sync!$S1415))</f>
        <v/>
      </c>
      <c r="H1418">
        <f>IF(OR($E1418="",$E1418="نامعتبر"),"",IF(Sync!$R1415="","",Sync!$R1415))</f>
        <v/>
      </c>
      <c r="I1418">
        <f>IF(OR($E1418="",$E1418="نامعتبر"),"",IF(Sync!$T1415="","",Sync!$T1415))</f>
        <v/>
      </c>
      <c r="J1418">
        <f>IF(OR($E1418="",$E1418="نامعتبر"),"",IF(Sync!$U1415="","",Sync!$U1415))</f>
        <v/>
      </c>
      <c r="K1418">
        <f>IF(OR($E1418="",$E1418="نامعتبر"),"",IF(Sync!$V1415="","",IFERROR(INDEX(SubCodes,MATCH(Sync!$V1415,SubTitles,0)),Sync!$V1415)))</f>
        <v/>
      </c>
      <c r="L1418">
        <f>IF(OR($E1418="",$E1418="نامعتبر"),"",IF(Sync!$W1415="",0,Sync!$W1415))</f>
        <v/>
      </c>
      <c r="M1418">
        <f>IF(OR($E1418="",$E1418="نامعتبر"),"",IF(Sync!$X1415="",0,Sync!$X1415))</f>
        <v/>
      </c>
      <c r="N1418">
        <f>IF(OR($E1418="",$E1418="نامعتبر"),"",IF(AND($J1418="هزینه",$K1418&lt;&gt;""),1,0))</f>
        <v/>
      </c>
      <c r="O1418">
        <f>IF($N1418=0,"",LEFT($E1418,4)&amp;MID($E1418,6,2)&amp;RIGHT($E1418,2)&amp;$F1418&amp;"|"&amp;"1"&amp;RIGHT("00000"&amp;1410,5))</f>
        <v/>
      </c>
      <c r="P1418">
        <f>IF($O1418="","",COUNTIFS(ExpSub,$K1418,ExpKey,"&lt;"&amp;$O1418)+1)</f>
        <v/>
      </c>
      <c r="Q1418">
        <f>IF($P1418="","",$K1418&amp;"|"&amp;RIGHT("000000"&amp;$P1418,6))</f>
        <v/>
      </c>
    </row>
    <row r="1419">
      <c r="A1419">
        <f>IF(Sync!$P1416="","",Sync!$P1416)</f>
        <v/>
      </c>
      <c r="B1419">
        <f>IF($A1419="","",IF(ISNUMBER($A1419),IF(AND($A1419&gt;=10000101,$A1419&lt;=99991231),INT($A1419/10000),""),IFERROR(VALUE(TRIM(LEFT($A1419,FIND("/",$A1419)-1))),"")))</f>
        <v/>
      </c>
      <c r="C1419">
        <f>IF(OR($A1419="",$B1419=""),"",IF(ISNUMBER($A1419),INT(MOD($A1419,10000)/100),IFERROR(VALUE(TRIM(LEFT(MID($A1419,FIND("/",$A1419)+1,20),FIND("/",MID($A1419,FIND("/",$A1419)+1,20))-1))),"")))</f>
        <v/>
      </c>
      <c r="D1419">
        <f>IF(OR($A1419="",$B1419=""),"",IF(ISNUMBER($A1419),MOD($A1419,100),IFERROR(VALUE(TRIM(MID(MID($A1419,FIND("/",$A1419)+1,20),FIND("/",MID($A1419,FIND("/",$A1419)+1,20))+1,20))),"")))</f>
        <v/>
      </c>
      <c r="E1419">
        <f>IF($A1419="","",IF(OR($B1419="",$C1419="",$D1419="",$B1419&lt;1300,$B1419&gt;1500,$C1419&lt;1,$C1419&gt;12,$D1419&lt;1,$D1419&gt;31),"نامعتبر",RIGHT("0000"&amp;$B1419,4)&amp;"/"&amp;RIGHT("00"&amp;$C1419,2)&amp;"/"&amp;RIGHT("00"&amp;$D1419,2)))</f>
        <v/>
      </c>
      <c r="F1419">
        <f>IF(OR($E1419="",$E1419="نامعتبر"),"",IF(Sync!$Q1416="","0000",IF(AND(ISNUMBER(Sync!$Q1416),Sync!$Q1416&gt;=0,Sync!$Q1416&lt;1),RIGHT("00"&amp;HOUR(Sync!$Q1416),2)&amp;RIGHT("00"&amp;MINUTE(Sync!$Q1416),2),IFERROR(RIGHT("00"&amp;VALUE(LEFT(Sync!$Q1416,FIND(":",Sync!$Q1416)-1)),2)&amp;RIGHT("00"&amp;VALUE(MID(Sync!$Q1416,FIND(":",Sync!$Q1416)+1,2)),2),"0000"))))</f>
        <v/>
      </c>
      <c r="G1419">
        <f>IF(OR($E1419="",$E1419="نامعتبر"),"",IF(Sync!$S1416="","",Sync!$S1416))</f>
        <v/>
      </c>
      <c r="H1419">
        <f>IF(OR($E1419="",$E1419="نامعتبر"),"",IF(Sync!$R1416="","",Sync!$R1416))</f>
        <v/>
      </c>
      <c r="I1419">
        <f>IF(OR($E1419="",$E1419="نامعتبر"),"",IF(Sync!$T1416="","",Sync!$T1416))</f>
        <v/>
      </c>
      <c r="J1419">
        <f>IF(OR($E1419="",$E1419="نامعتبر"),"",IF(Sync!$U1416="","",Sync!$U1416))</f>
        <v/>
      </c>
      <c r="K1419">
        <f>IF(OR($E1419="",$E1419="نامعتبر"),"",IF(Sync!$V1416="","",IFERROR(INDEX(SubCodes,MATCH(Sync!$V1416,SubTitles,0)),Sync!$V1416)))</f>
        <v/>
      </c>
      <c r="L1419">
        <f>IF(OR($E1419="",$E1419="نامعتبر"),"",IF(Sync!$W1416="",0,Sync!$W1416))</f>
        <v/>
      </c>
      <c r="M1419">
        <f>IF(OR($E1419="",$E1419="نامعتبر"),"",IF(Sync!$X1416="",0,Sync!$X1416))</f>
        <v/>
      </c>
      <c r="N1419">
        <f>IF(OR($E1419="",$E1419="نامعتبر"),"",IF(AND($J1419="هزینه",$K1419&lt;&gt;""),1,0))</f>
        <v/>
      </c>
      <c r="O1419">
        <f>IF($N1419=0,"",LEFT($E1419,4)&amp;MID($E1419,6,2)&amp;RIGHT($E1419,2)&amp;$F1419&amp;"|"&amp;"1"&amp;RIGHT("00000"&amp;1411,5))</f>
        <v/>
      </c>
      <c r="P1419">
        <f>IF($O1419="","",COUNTIFS(ExpSub,$K1419,ExpKey,"&lt;"&amp;$O1419)+1)</f>
        <v/>
      </c>
      <c r="Q1419">
        <f>IF($P1419="","",$K1419&amp;"|"&amp;RIGHT("000000"&amp;$P1419,6))</f>
        <v/>
      </c>
    </row>
    <row r="1420">
      <c r="A1420">
        <f>IF(Sync!$P1417="","",Sync!$P1417)</f>
        <v/>
      </c>
      <c r="B1420">
        <f>IF($A1420="","",IF(ISNUMBER($A1420),IF(AND($A1420&gt;=10000101,$A1420&lt;=99991231),INT($A1420/10000),""),IFERROR(VALUE(TRIM(LEFT($A1420,FIND("/",$A1420)-1))),"")))</f>
        <v/>
      </c>
      <c r="C1420">
        <f>IF(OR($A1420="",$B1420=""),"",IF(ISNUMBER($A1420),INT(MOD($A1420,10000)/100),IFERROR(VALUE(TRIM(LEFT(MID($A1420,FIND("/",$A1420)+1,20),FIND("/",MID($A1420,FIND("/",$A1420)+1,20))-1))),"")))</f>
        <v/>
      </c>
      <c r="D1420">
        <f>IF(OR($A1420="",$B1420=""),"",IF(ISNUMBER($A1420),MOD($A1420,100),IFERROR(VALUE(TRIM(MID(MID($A1420,FIND("/",$A1420)+1,20),FIND("/",MID($A1420,FIND("/",$A1420)+1,20))+1,20))),"")))</f>
        <v/>
      </c>
      <c r="E1420">
        <f>IF($A1420="","",IF(OR($B1420="",$C1420="",$D1420="",$B1420&lt;1300,$B1420&gt;1500,$C1420&lt;1,$C1420&gt;12,$D1420&lt;1,$D1420&gt;31),"نامعتبر",RIGHT("0000"&amp;$B1420,4)&amp;"/"&amp;RIGHT("00"&amp;$C1420,2)&amp;"/"&amp;RIGHT("00"&amp;$D1420,2)))</f>
        <v/>
      </c>
      <c r="F1420">
        <f>IF(OR($E1420="",$E1420="نامعتبر"),"",IF(Sync!$Q1417="","0000",IF(AND(ISNUMBER(Sync!$Q1417),Sync!$Q1417&gt;=0,Sync!$Q1417&lt;1),RIGHT("00"&amp;HOUR(Sync!$Q1417),2)&amp;RIGHT("00"&amp;MINUTE(Sync!$Q1417),2),IFERROR(RIGHT("00"&amp;VALUE(LEFT(Sync!$Q1417,FIND(":",Sync!$Q1417)-1)),2)&amp;RIGHT("00"&amp;VALUE(MID(Sync!$Q1417,FIND(":",Sync!$Q1417)+1,2)),2),"0000"))))</f>
        <v/>
      </c>
      <c r="G1420">
        <f>IF(OR($E1420="",$E1420="نامعتبر"),"",IF(Sync!$S1417="","",Sync!$S1417))</f>
        <v/>
      </c>
      <c r="H1420">
        <f>IF(OR($E1420="",$E1420="نامعتبر"),"",IF(Sync!$R1417="","",Sync!$R1417))</f>
        <v/>
      </c>
      <c r="I1420">
        <f>IF(OR($E1420="",$E1420="نامعتبر"),"",IF(Sync!$T1417="","",Sync!$T1417))</f>
        <v/>
      </c>
      <c r="J1420">
        <f>IF(OR($E1420="",$E1420="نامعتبر"),"",IF(Sync!$U1417="","",Sync!$U1417))</f>
        <v/>
      </c>
      <c r="K1420">
        <f>IF(OR($E1420="",$E1420="نامعتبر"),"",IF(Sync!$V1417="","",IFERROR(INDEX(SubCodes,MATCH(Sync!$V1417,SubTitles,0)),Sync!$V1417)))</f>
        <v/>
      </c>
      <c r="L1420">
        <f>IF(OR($E1420="",$E1420="نامعتبر"),"",IF(Sync!$W1417="",0,Sync!$W1417))</f>
        <v/>
      </c>
      <c r="M1420">
        <f>IF(OR($E1420="",$E1420="نامعتبر"),"",IF(Sync!$X1417="",0,Sync!$X1417))</f>
        <v/>
      </c>
      <c r="N1420">
        <f>IF(OR($E1420="",$E1420="نامعتبر"),"",IF(AND($J1420="هزینه",$K1420&lt;&gt;""),1,0))</f>
        <v/>
      </c>
      <c r="O1420">
        <f>IF($N1420=0,"",LEFT($E1420,4)&amp;MID($E1420,6,2)&amp;RIGHT($E1420,2)&amp;$F1420&amp;"|"&amp;"1"&amp;RIGHT("00000"&amp;1412,5))</f>
        <v/>
      </c>
      <c r="P1420">
        <f>IF($O1420="","",COUNTIFS(ExpSub,$K1420,ExpKey,"&lt;"&amp;$O1420)+1)</f>
        <v/>
      </c>
      <c r="Q1420">
        <f>IF($P1420="","",$K1420&amp;"|"&amp;RIGHT("000000"&amp;$P1420,6))</f>
        <v/>
      </c>
    </row>
    <row r="1421">
      <c r="A1421">
        <f>IF(Sync!$P1418="","",Sync!$P1418)</f>
        <v/>
      </c>
      <c r="B1421">
        <f>IF($A1421="","",IF(ISNUMBER($A1421),IF(AND($A1421&gt;=10000101,$A1421&lt;=99991231),INT($A1421/10000),""),IFERROR(VALUE(TRIM(LEFT($A1421,FIND("/",$A1421)-1))),"")))</f>
        <v/>
      </c>
      <c r="C1421">
        <f>IF(OR($A1421="",$B1421=""),"",IF(ISNUMBER($A1421),INT(MOD($A1421,10000)/100),IFERROR(VALUE(TRIM(LEFT(MID($A1421,FIND("/",$A1421)+1,20),FIND("/",MID($A1421,FIND("/",$A1421)+1,20))-1))),"")))</f>
        <v/>
      </c>
      <c r="D1421">
        <f>IF(OR($A1421="",$B1421=""),"",IF(ISNUMBER($A1421),MOD($A1421,100),IFERROR(VALUE(TRIM(MID(MID($A1421,FIND("/",$A1421)+1,20),FIND("/",MID($A1421,FIND("/",$A1421)+1,20))+1,20))),"")))</f>
        <v/>
      </c>
      <c r="E1421">
        <f>IF($A1421="","",IF(OR($B1421="",$C1421="",$D1421="",$B1421&lt;1300,$B1421&gt;1500,$C1421&lt;1,$C1421&gt;12,$D1421&lt;1,$D1421&gt;31),"نامعتبر",RIGHT("0000"&amp;$B1421,4)&amp;"/"&amp;RIGHT("00"&amp;$C1421,2)&amp;"/"&amp;RIGHT("00"&amp;$D1421,2)))</f>
        <v/>
      </c>
      <c r="F1421">
        <f>IF(OR($E1421="",$E1421="نامعتبر"),"",IF(Sync!$Q1418="","0000",IF(AND(ISNUMBER(Sync!$Q1418),Sync!$Q1418&gt;=0,Sync!$Q1418&lt;1),RIGHT("00"&amp;HOUR(Sync!$Q1418),2)&amp;RIGHT("00"&amp;MINUTE(Sync!$Q1418),2),IFERROR(RIGHT("00"&amp;VALUE(LEFT(Sync!$Q1418,FIND(":",Sync!$Q1418)-1)),2)&amp;RIGHT("00"&amp;VALUE(MID(Sync!$Q1418,FIND(":",Sync!$Q1418)+1,2)),2),"0000"))))</f>
        <v/>
      </c>
      <c r="G1421">
        <f>IF(OR($E1421="",$E1421="نامعتبر"),"",IF(Sync!$S1418="","",Sync!$S1418))</f>
        <v/>
      </c>
      <c r="H1421">
        <f>IF(OR($E1421="",$E1421="نامعتبر"),"",IF(Sync!$R1418="","",Sync!$R1418))</f>
        <v/>
      </c>
      <c r="I1421">
        <f>IF(OR($E1421="",$E1421="نامعتبر"),"",IF(Sync!$T1418="","",Sync!$T1418))</f>
        <v/>
      </c>
      <c r="J1421">
        <f>IF(OR($E1421="",$E1421="نامعتبر"),"",IF(Sync!$U1418="","",Sync!$U1418))</f>
        <v/>
      </c>
      <c r="K1421">
        <f>IF(OR($E1421="",$E1421="نامعتبر"),"",IF(Sync!$V1418="","",IFERROR(INDEX(SubCodes,MATCH(Sync!$V1418,SubTitles,0)),Sync!$V1418)))</f>
        <v/>
      </c>
      <c r="L1421">
        <f>IF(OR($E1421="",$E1421="نامعتبر"),"",IF(Sync!$W1418="",0,Sync!$W1418))</f>
        <v/>
      </c>
      <c r="M1421">
        <f>IF(OR($E1421="",$E1421="نامعتبر"),"",IF(Sync!$X1418="",0,Sync!$X1418))</f>
        <v/>
      </c>
      <c r="N1421">
        <f>IF(OR($E1421="",$E1421="نامعتبر"),"",IF(AND($J1421="هزینه",$K1421&lt;&gt;""),1,0))</f>
        <v/>
      </c>
      <c r="O1421">
        <f>IF($N1421=0,"",LEFT($E1421,4)&amp;MID($E1421,6,2)&amp;RIGHT($E1421,2)&amp;$F1421&amp;"|"&amp;"1"&amp;RIGHT("00000"&amp;1413,5))</f>
        <v/>
      </c>
      <c r="P1421">
        <f>IF($O1421="","",COUNTIFS(ExpSub,$K1421,ExpKey,"&lt;"&amp;$O1421)+1)</f>
        <v/>
      </c>
      <c r="Q1421">
        <f>IF($P1421="","",$K1421&amp;"|"&amp;RIGHT("000000"&amp;$P1421,6))</f>
        <v/>
      </c>
    </row>
    <row r="1422">
      <c r="A1422">
        <f>IF(Sync!$P1419="","",Sync!$P1419)</f>
        <v/>
      </c>
      <c r="B1422">
        <f>IF($A1422="","",IF(ISNUMBER($A1422),IF(AND($A1422&gt;=10000101,$A1422&lt;=99991231),INT($A1422/10000),""),IFERROR(VALUE(TRIM(LEFT($A1422,FIND("/",$A1422)-1))),"")))</f>
        <v/>
      </c>
      <c r="C1422">
        <f>IF(OR($A1422="",$B1422=""),"",IF(ISNUMBER($A1422),INT(MOD($A1422,10000)/100),IFERROR(VALUE(TRIM(LEFT(MID($A1422,FIND("/",$A1422)+1,20),FIND("/",MID($A1422,FIND("/",$A1422)+1,20))-1))),"")))</f>
        <v/>
      </c>
      <c r="D1422">
        <f>IF(OR($A1422="",$B1422=""),"",IF(ISNUMBER($A1422),MOD($A1422,100),IFERROR(VALUE(TRIM(MID(MID($A1422,FIND("/",$A1422)+1,20),FIND("/",MID($A1422,FIND("/",$A1422)+1,20))+1,20))),"")))</f>
        <v/>
      </c>
      <c r="E1422">
        <f>IF($A1422="","",IF(OR($B1422="",$C1422="",$D1422="",$B1422&lt;1300,$B1422&gt;1500,$C1422&lt;1,$C1422&gt;12,$D1422&lt;1,$D1422&gt;31),"نامعتبر",RIGHT("0000"&amp;$B1422,4)&amp;"/"&amp;RIGHT("00"&amp;$C1422,2)&amp;"/"&amp;RIGHT("00"&amp;$D1422,2)))</f>
        <v/>
      </c>
      <c r="F1422">
        <f>IF(OR($E1422="",$E1422="نامعتبر"),"",IF(Sync!$Q1419="","0000",IF(AND(ISNUMBER(Sync!$Q1419),Sync!$Q1419&gt;=0,Sync!$Q1419&lt;1),RIGHT("00"&amp;HOUR(Sync!$Q1419),2)&amp;RIGHT("00"&amp;MINUTE(Sync!$Q1419),2),IFERROR(RIGHT("00"&amp;VALUE(LEFT(Sync!$Q1419,FIND(":",Sync!$Q1419)-1)),2)&amp;RIGHT("00"&amp;VALUE(MID(Sync!$Q1419,FIND(":",Sync!$Q1419)+1,2)),2),"0000"))))</f>
        <v/>
      </c>
      <c r="G1422">
        <f>IF(OR($E1422="",$E1422="نامعتبر"),"",IF(Sync!$S1419="","",Sync!$S1419))</f>
        <v/>
      </c>
      <c r="H1422">
        <f>IF(OR($E1422="",$E1422="نامعتبر"),"",IF(Sync!$R1419="","",Sync!$R1419))</f>
        <v/>
      </c>
      <c r="I1422">
        <f>IF(OR($E1422="",$E1422="نامعتبر"),"",IF(Sync!$T1419="","",Sync!$T1419))</f>
        <v/>
      </c>
      <c r="J1422">
        <f>IF(OR($E1422="",$E1422="نامعتبر"),"",IF(Sync!$U1419="","",Sync!$U1419))</f>
        <v/>
      </c>
      <c r="K1422">
        <f>IF(OR($E1422="",$E1422="نامعتبر"),"",IF(Sync!$V1419="","",IFERROR(INDEX(SubCodes,MATCH(Sync!$V1419,SubTitles,0)),Sync!$V1419)))</f>
        <v/>
      </c>
      <c r="L1422">
        <f>IF(OR($E1422="",$E1422="نامعتبر"),"",IF(Sync!$W1419="",0,Sync!$W1419))</f>
        <v/>
      </c>
      <c r="M1422">
        <f>IF(OR($E1422="",$E1422="نامعتبر"),"",IF(Sync!$X1419="",0,Sync!$X1419))</f>
        <v/>
      </c>
      <c r="N1422">
        <f>IF(OR($E1422="",$E1422="نامعتبر"),"",IF(AND($J1422="هزینه",$K1422&lt;&gt;""),1,0))</f>
        <v/>
      </c>
      <c r="O1422">
        <f>IF($N1422=0,"",LEFT($E1422,4)&amp;MID($E1422,6,2)&amp;RIGHT($E1422,2)&amp;$F1422&amp;"|"&amp;"1"&amp;RIGHT("00000"&amp;1414,5))</f>
        <v/>
      </c>
      <c r="P1422">
        <f>IF($O1422="","",COUNTIFS(ExpSub,$K1422,ExpKey,"&lt;"&amp;$O1422)+1)</f>
        <v/>
      </c>
      <c r="Q1422">
        <f>IF($P1422="","",$K1422&amp;"|"&amp;RIGHT("000000"&amp;$P1422,6))</f>
        <v/>
      </c>
    </row>
    <row r="1423">
      <c r="A1423">
        <f>IF(Sync!$P1420="","",Sync!$P1420)</f>
        <v/>
      </c>
      <c r="B1423">
        <f>IF($A1423="","",IF(ISNUMBER($A1423),IF(AND($A1423&gt;=10000101,$A1423&lt;=99991231),INT($A1423/10000),""),IFERROR(VALUE(TRIM(LEFT($A1423,FIND("/",$A1423)-1))),"")))</f>
        <v/>
      </c>
      <c r="C1423">
        <f>IF(OR($A1423="",$B1423=""),"",IF(ISNUMBER($A1423),INT(MOD($A1423,10000)/100),IFERROR(VALUE(TRIM(LEFT(MID($A1423,FIND("/",$A1423)+1,20),FIND("/",MID($A1423,FIND("/",$A1423)+1,20))-1))),"")))</f>
        <v/>
      </c>
      <c r="D1423">
        <f>IF(OR($A1423="",$B1423=""),"",IF(ISNUMBER($A1423),MOD($A1423,100),IFERROR(VALUE(TRIM(MID(MID($A1423,FIND("/",$A1423)+1,20),FIND("/",MID($A1423,FIND("/",$A1423)+1,20))+1,20))),"")))</f>
        <v/>
      </c>
      <c r="E1423">
        <f>IF($A1423="","",IF(OR($B1423="",$C1423="",$D1423="",$B1423&lt;1300,$B1423&gt;1500,$C1423&lt;1,$C1423&gt;12,$D1423&lt;1,$D1423&gt;31),"نامعتبر",RIGHT("0000"&amp;$B1423,4)&amp;"/"&amp;RIGHT("00"&amp;$C1423,2)&amp;"/"&amp;RIGHT("00"&amp;$D1423,2)))</f>
        <v/>
      </c>
      <c r="F1423">
        <f>IF(OR($E1423="",$E1423="نامعتبر"),"",IF(Sync!$Q1420="","0000",IF(AND(ISNUMBER(Sync!$Q1420),Sync!$Q1420&gt;=0,Sync!$Q1420&lt;1),RIGHT("00"&amp;HOUR(Sync!$Q1420),2)&amp;RIGHT("00"&amp;MINUTE(Sync!$Q1420),2),IFERROR(RIGHT("00"&amp;VALUE(LEFT(Sync!$Q1420,FIND(":",Sync!$Q1420)-1)),2)&amp;RIGHT("00"&amp;VALUE(MID(Sync!$Q1420,FIND(":",Sync!$Q1420)+1,2)),2),"0000"))))</f>
        <v/>
      </c>
      <c r="G1423">
        <f>IF(OR($E1423="",$E1423="نامعتبر"),"",IF(Sync!$S1420="","",Sync!$S1420))</f>
        <v/>
      </c>
      <c r="H1423">
        <f>IF(OR($E1423="",$E1423="نامعتبر"),"",IF(Sync!$R1420="","",Sync!$R1420))</f>
        <v/>
      </c>
      <c r="I1423">
        <f>IF(OR($E1423="",$E1423="نامعتبر"),"",IF(Sync!$T1420="","",Sync!$T1420))</f>
        <v/>
      </c>
      <c r="J1423">
        <f>IF(OR($E1423="",$E1423="نامعتبر"),"",IF(Sync!$U1420="","",Sync!$U1420))</f>
        <v/>
      </c>
      <c r="K1423">
        <f>IF(OR($E1423="",$E1423="نامعتبر"),"",IF(Sync!$V1420="","",IFERROR(INDEX(SubCodes,MATCH(Sync!$V1420,SubTitles,0)),Sync!$V1420)))</f>
        <v/>
      </c>
      <c r="L1423">
        <f>IF(OR($E1423="",$E1423="نامعتبر"),"",IF(Sync!$W1420="",0,Sync!$W1420))</f>
        <v/>
      </c>
      <c r="M1423">
        <f>IF(OR($E1423="",$E1423="نامعتبر"),"",IF(Sync!$X1420="",0,Sync!$X1420))</f>
        <v/>
      </c>
      <c r="N1423">
        <f>IF(OR($E1423="",$E1423="نامعتبر"),"",IF(AND($J1423="هزینه",$K1423&lt;&gt;""),1,0))</f>
        <v/>
      </c>
      <c r="O1423">
        <f>IF($N1423=0,"",LEFT($E1423,4)&amp;MID($E1423,6,2)&amp;RIGHT($E1423,2)&amp;$F1423&amp;"|"&amp;"1"&amp;RIGHT("00000"&amp;1415,5))</f>
        <v/>
      </c>
      <c r="P1423">
        <f>IF($O1423="","",COUNTIFS(ExpSub,$K1423,ExpKey,"&lt;"&amp;$O1423)+1)</f>
        <v/>
      </c>
      <c r="Q1423">
        <f>IF($P1423="","",$K1423&amp;"|"&amp;RIGHT("000000"&amp;$P1423,6))</f>
        <v/>
      </c>
    </row>
    <row r="1424">
      <c r="A1424">
        <f>IF(Sync!$P1421="","",Sync!$P1421)</f>
        <v/>
      </c>
      <c r="B1424">
        <f>IF($A1424="","",IF(ISNUMBER($A1424),IF(AND($A1424&gt;=10000101,$A1424&lt;=99991231),INT($A1424/10000),""),IFERROR(VALUE(TRIM(LEFT($A1424,FIND("/",$A1424)-1))),"")))</f>
        <v/>
      </c>
      <c r="C1424">
        <f>IF(OR($A1424="",$B1424=""),"",IF(ISNUMBER($A1424),INT(MOD($A1424,10000)/100),IFERROR(VALUE(TRIM(LEFT(MID($A1424,FIND("/",$A1424)+1,20),FIND("/",MID($A1424,FIND("/",$A1424)+1,20))-1))),"")))</f>
        <v/>
      </c>
      <c r="D1424">
        <f>IF(OR($A1424="",$B1424=""),"",IF(ISNUMBER($A1424),MOD($A1424,100),IFERROR(VALUE(TRIM(MID(MID($A1424,FIND("/",$A1424)+1,20),FIND("/",MID($A1424,FIND("/",$A1424)+1,20))+1,20))),"")))</f>
        <v/>
      </c>
      <c r="E1424">
        <f>IF($A1424="","",IF(OR($B1424="",$C1424="",$D1424="",$B1424&lt;1300,$B1424&gt;1500,$C1424&lt;1,$C1424&gt;12,$D1424&lt;1,$D1424&gt;31),"نامعتبر",RIGHT("0000"&amp;$B1424,4)&amp;"/"&amp;RIGHT("00"&amp;$C1424,2)&amp;"/"&amp;RIGHT("00"&amp;$D1424,2)))</f>
        <v/>
      </c>
      <c r="F1424">
        <f>IF(OR($E1424="",$E1424="نامعتبر"),"",IF(Sync!$Q1421="","0000",IF(AND(ISNUMBER(Sync!$Q1421),Sync!$Q1421&gt;=0,Sync!$Q1421&lt;1),RIGHT("00"&amp;HOUR(Sync!$Q1421),2)&amp;RIGHT("00"&amp;MINUTE(Sync!$Q1421),2),IFERROR(RIGHT("00"&amp;VALUE(LEFT(Sync!$Q1421,FIND(":",Sync!$Q1421)-1)),2)&amp;RIGHT("00"&amp;VALUE(MID(Sync!$Q1421,FIND(":",Sync!$Q1421)+1,2)),2),"0000"))))</f>
        <v/>
      </c>
      <c r="G1424">
        <f>IF(OR($E1424="",$E1424="نامعتبر"),"",IF(Sync!$S1421="","",Sync!$S1421))</f>
        <v/>
      </c>
      <c r="H1424">
        <f>IF(OR($E1424="",$E1424="نامعتبر"),"",IF(Sync!$R1421="","",Sync!$R1421))</f>
        <v/>
      </c>
      <c r="I1424">
        <f>IF(OR($E1424="",$E1424="نامعتبر"),"",IF(Sync!$T1421="","",Sync!$T1421))</f>
        <v/>
      </c>
      <c r="J1424">
        <f>IF(OR($E1424="",$E1424="نامعتبر"),"",IF(Sync!$U1421="","",Sync!$U1421))</f>
        <v/>
      </c>
      <c r="K1424">
        <f>IF(OR($E1424="",$E1424="نامعتبر"),"",IF(Sync!$V1421="","",IFERROR(INDEX(SubCodes,MATCH(Sync!$V1421,SubTitles,0)),Sync!$V1421)))</f>
        <v/>
      </c>
      <c r="L1424">
        <f>IF(OR($E1424="",$E1424="نامعتبر"),"",IF(Sync!$W1421="",0,Sync!$W1421))</f>
        <v/>
      </c>
      <c r="M1424">
        <f>IF(OR($E1424="",$E1424="نامعتبر"),"",IF(Sync!$X1421="",0,Sync!$X1421))</f>
        <v/>
      </c>
      <c r="N1424">
        <f>IF(OR($E1424="",$E1424="نامعتبر"),"",IF(AND($J1424="هزینه",$K1424&lt;&gt;""),1,0))</f>
        <v/>
      </c>
      <c r="O1424">
        <f>IF($N1424=0,"",LEFT($E1424,4)&amp;MID($E1424,6,2)&amp;RIGHT($E1424,2)&amp;$F1424&amp;"|"&amp;"1"&amp;RIGHT("00000"&amp;1416,5))</f>
        <v/>
      </c>
      <c r="P1424">
        <f>IF($O1424="","",COUNTIFS(ExpSub,$K1424,ExpKey,"&lt;"&amp;$O1424)+1)</f>
        <v/>
      </c>
      <c r="Q1424">
        <f>IF($P1424="","",$K1424&amp;"|"&amp;RIGHT("000000"&amp;$P1424,6))</f>
        <v/>
      </c>
    </row>
    <row r="1425">
      <c r="A1425">
        <f>IF(Sync!$P1422="","",Sync!$P1422)</f>
        <v/>
      </c>
      <c r="B1425">
        <f>IF($A1425="","",IF(ISNUMBER($A1425),IF(AND($A1425&gt;=10000101,$A1425&lt;=99991231),INT($A1425/10000),""),IFERROR(VALUE(TRIM(LEFT($A1425,FIND("/",$A1425)-1))),"")))</f>
        <v/>
      </c>
      <c r="C1425">
        <f>IF(OR($A1425="",$B1425=""),"",IF(ISNUMBER($A1425),INT(MOD($A1425,10000)/100),IFERROR(VALUE(TRIM(LEFT(MID($A1425,FIND("/",$A1425)+1,20),FIND("/",MID($A1425,FIND("/",$A1425)+1,20))-1))),"")))</f>
        <v/>
      </c>
      <c r="D1425">
        <f>IF(OR($A1425="",$B1425=""),"",IF(ISNUMBER($A1425),MOD($A1425,100),IFERROR(VALUE(TRIM(MID(MID($A1425,FIND("/",$A1425)+1,20),FIND("/",MID($A1425,FIND("/",$A1425)+1,20))+1,20))),"")))</f>
        <v/>
      </c>
      <c r="E1425">
        <f>IF($A1425="","",IF(OR($B1425="",$C1425="",$D1425="",$B1425&lt;1300,$B1425&gt;1500,$C1425&lt;1,$C1425&gt;12,$D1425&lt;1,$D1425&gt;31),"نامعتبر",RIGHT("0000"&amp;$B1425,4)&amp;"/"&amp;RIGHT("00"&amp;$C1425,2)&amp;"/"&amp;RIGHT("00"&amp;$D1425,2)))</f>
        <v/>
      </c>
      <c r="F1425">
        <f>IF(OR($E1425="",$E1425="نامعتبر"),"",IF(Sync!$Q1422="","0000",IF(AND(ISNUMBER(Sync!$Q1422),Sync!$Q1422&gt;=0,Sync!$Q1422&lt;1),RIGHT("00"&amp;HOUR(Sync!$Q1422),2)&amp;RIGHT("00"&amp;MINUTE(Sync!$Q1422),2),IFERROR(RIGHT("00"&amp;VALUE(LEFT(Sync!$Q1422,FIND(":",Sync!$Q1422)-1)),2)&amp;RIGHT("00"&amp;VALUE(MID(Sync!$Q1422,FIND(":",Sync!$Q1422)+1,2)),2),"0000"))))</f>
        <v/>
      </c>
      <c r="G1425">
        <f>IF(OR($E1425="",$E1425="نامعتبر"),"",IF(Sync!$S1422="","",Sync!$S1422))</f>
        <v/>
      </c>
      <c r="H1425">
        <f>IF(OR($E1425="",$E1425="نامعتبر"),"",IF(Sync!$R1422="","",Sync!$R1422))</f>
        <v/>
      </c>
      <c r="I1425">
        <f>IF(OR($E1425="",$E1425="نامعتبر"),"",IF(Sync!$T1422="","",Sync!$T1422))</f>
        <v/>
      </c>
      <c r="J1425">
        <f>IF(OR($E1425="",$E1425="نامعتبر"),"",IF(Sync!$U1422="","",Sync!$U1422))</f>
        <v/>
      </c>
      <c r="K1425">
        <f>IF(OR($E1425="",$E1425="نامعتبر"),"",IF(Sync!$V1422="","",IFERROR(INDEX(SubCodes,MATCH(Sync!$V1422,SubTitles,0)),Sync!$V1422)))</f>
        <v/>
      </c>
      <c r="L1425">
        <f>IF(OR($E1425="",$E1425="نامعتبر"),"",IF(Sync!$W1422="",0,Sync!$W1422))</f>
        <v/>
      </c>
      <c r="M1425">
        <f>IF(OR($E1425="",$E1425="نامعتبر"),"",IF(Sync!$X1422="",0,Sync!$X1422))</f>
        <v/>
      </c>
      <c r="N1425">
        <f>IF(OR($E1425="",$E1425="نامعتبر"),"",IF(AND($J1425="هزینه",$K1425&lt;&gt;""),1,0))</f>
        <v/>
      </c>
      <c r="O1425">
        <f>IF($N1425=0,"",LEFT($E1425,4)&amp;MID($E1425,6,2)&amp;RIGHT($E1425,2)&amp;$F1425&amp;"|"&amp;"1"&amp;RIGHT("00000"&amp;1417,5))</f>
        <v/>
      </c>
      <c r="P1425">
        <f>IF($O1425="","",COUNTIFS(ExpSub,$K1425,ExpKey,"&lt;"&amp;$O1425)+1)</f>
        <v/>
      </c>
      <c r="Q1425">
        <f>IF($P1425="","",$K1425&amp;"|"&amp;RIGHT("000000"&amp;$P1425,6))</f>
        <v/>
      </c>
    </row>
    <row r="1426">
      <c r="A1426">
        <f>IF(Sync!$P1423="","",Sync!$P1423)</f>
        <v/>
      </c>
      <c r="B1426">
        <f>IF($A1426="","",IF(ISNUMBER($A1426),IF(AND($A1426&gt;=10000101,$A1426&lt;=99991231),INT($A1426/10000),""),IFERROR(VALUE(TRIM(LEFT($A1426,FIND("/",$A1426)-1))),"")))</f>
        <v/>
      </c>
      <c r="C1426">
        <f>IF(OR($A1426="",$B1426=""),"",IF(ISNUMBER($A1426),INT(MOD($A1426,10000)/100),IFERROR(VALUE(TRIM(LEFT(MID($A1426,FIND("/",$A1426)+1,20),FIND("/",MID($A1426,FIND("/",$A1426)+1,20))-1))),"")))</f>
        <v/>
      </c>
      <c r="D1426">
        <f>IF(OR($A1426="",$B1426=""),"",IF(ISNUMBER($A1426),MOD($A1426,100),IFERROR(VALUE(TRIM(MID(MID($A1426,FIND("/",$A1426)+1,20),FIND("/",MID($A1426,FIND("/",$A1426)+1,20))+1,20))),"")))</f>
        <v/>
      </c>
      <c r="E1426">
        <f>IF($A1426="","",IF(OR($B1426="",$C1426="",$D1426="",$B1426&lt;1300,$B1426&gt;1500,$C1426&lt;1,$C1426&gt;12,$D1426&lt;1,$D1426&gt;31),"نامعتبر",RIGHT("0000"&amp;$B1426,4)&amp;"/"&amp;RIGHT("00"&amp;$C1426,2)&amp;"/"&amp;RIGHT("00"&amp;$D1426,2)))</f>
        <v/>
      </c>
      <c r="F1426">
        <f>IF(OR($E1426="",$E1426="نامعتبر"),"",IF(Sync!$Q1423="","0000",IF(AND(ISNUMBER(Sync!$Q1423),Sync!$Q1423&gt;=0,Sync!$Q1423&lt;1),RIGHT("00"&amp;HOUR(Sync!$Q1423),2)&amp;RIGHT("00"&amp;MINUTE(Sync!$Q1423),2),IFERROR(RIGHT("00"&amp;VALUE(LEFT(Sync!$Q1423,FIND(":",Sync!$Q1423)-1)),2)&amp;RIGHT("00"&amp;VALUE(MID(Sync!$Q1423,FIND(":",Sync!$Q1423)+1,2)),2),"0000"))))</f>
        <v/>
      </c>
      <c r="G1426">
        <f>IF(OR($E1426="",$E1426="نامعتبر"),"",IF(Sync!$S1423="","",Sync!$S1423))</f>
        <v/>
      </c>
      <c r="H1426">
        <f>IF(OR($E1426="",$E1426="نامعتبر"),"",IF(Sync!$R1423="","",Sync!$R1423))</f>
        <v/>
      </c>
      <c r="I1426">
        <f>IF(OR($E1426="",$E1426="نامعتبر"),"",IF(Sync!$T1423="","",Sync!$T1423))</f>
        <v/>
      </c>
      <c r="J1426">
        <f>IF(OR($E1426="",$E1426="نامعتبر"),"",IF(Sync!$U1423="","",Sync!$U1423))</f>
        <v/>
      </c>
      <c r="K1426">
        <f>IF(OR($E1426="",$E1426="نامعتبر"),"",IF(Sync!$V1423="","",IFERROR(INDEX(SubCodes,MATCH(Sync!$V1423,SubTitles,0)),Sync!$V1423)))</f>
        <v/>
      </c>
      <c r="L1426">
        <f>IF(OR($E1426="",$E1426="نامعتبر"),"",IF(Sync!$W1423="",0,Sync!$W1423))</f>
        <v/>
      </c>
      <c r="M1426">
        <f>IF(OR($E1426="",$E1426="نامعتبر"),"",IF(Sync!$X1423="",0,Sync!$X1423))</f>
        <v/>
      </c>
      <c r="N1426">
        <f>IF(OR($E1426="",$E1426="نامعتبر"),"",IF(AND($J1426="هزینه",$K1426&lt;&gt;""),1,0))</f>
        <v/>
      </c>
      <c r="O1426">
        <f>IF($N1426=0,"",LEFT($E1426,4)&amp;MID($E1426,6,2)&amp;RIGHT($E1426,2)&amp;$F1426&amp;"|"&amp;"1"&amp;RIGHT("00000"&amp;1418,5))</f>
        <v/>
      </c>
      <c r="P1426">
        <f>IF($O1426="","",COUNTIFS(ExpSub,$K1426,ExpKey,"&lt;"&amp;$O1426)+1)</f>
        <v/>
      </c>
      <c r="Q1426">
        <f>IF($P1426="","",$K1426&amp;"|"&amp;RIGHT("000000"&amp;$P1426,6))</f>
        <v/>
      </c>
    </row>
    <row r="1427">
      <c r="A1427">
        <f>IF(Sync!$P1424="","",Sync!$P1424)</f>
        <v/>
      </c>
      <c r="B1427">
        <f>IF($A1427="","",IF(ISNUMBER($A1427),IF(AND($A1427&gt;=10000101,$A1427&lt;=99991231),INT($A1427/10000),""),IFERROR(VALUE(TRIM(LEFT($A1427,FIND("/",$A1427)-1))),"")))</f>
        <v/>
      </c>
      <c r="C1427">
        <f>IF(OR($A1427="",$B1427=""),"",IF(ISNUMBER($A1427),INT(MOD($A1427,10000)/100),IFERROR(VALUE(TRIM(LEFT(MID($A1427,FIND("/",$A1427)+1,20),FIND("/",MID($A1427,FIND("/",$A1427)+1,20))-1))),"")))</f>
        <v/>
      </c>
      <c r="D1427">
        <f>IF(OR($A1427="",$B1427=""),"",IF(ISNUMBER($A1427),MOD($A1427,100),IFERROR(VALUE(TRIM(MID(MID($A1427,FIND("/",$A1427)+1,20),FIND("/",MID($A1427,FIND("/",$A1427)+1,20))+1,20))),"")))</f>
        <v/>
      </c>
      <c r="E1427">
        <f>IF($A1427="","",IF(OR($B1427="",$C1427="",$D1427="",$B1427&lt;1300,$B1427&gt;1500,$C1427&lt;1,$C1427&gt;12,$D1427&lt;1,$D1427&gt;31),"نامعتبر",RIGHT("0000"&amp;$B1427,4)&amp;"/"&amp;RIGHT("00"&amp;$C1427,2)&amp;"/"&amp;RIGHT("00"&amp;$D1427,2)))</f>
        <v/>
      </c>
      <c r="F1427">
        <f>IF(OR($E1427="",$E1427="نامعتبر"),"",IF(Sync!$Q1424="","0000",IF(AND(ISNUMBER(Sync!$Q1424),Sync!$Q1424&gt;=0,Sync!$Q1424&lt;1),RIGHT("00"&amp;HOUR(Sync!$Q1424),2)&amp;RIGHT("00"&amp;MINUTE(Sync!$Q1424),2),IFERROR(RIGHT("00"&amp;VALUE(LEFT(Sync!$Q1424,FIND(":",Sync!$Q1424)-1)),2)&amp;RIGHT("00"&amp;VALUE(MID(Sync!$Q1424,FIND(":",Sync!$Q1424)+1,2)),2),"0000"))))</f>
        <v/>
      </c>
      <c r="G1427">
        <f>IF(OR($E1427="",$E1427="نامعتبر"),"",IF(Sync!$S1424="","",Sync!$S1424))</f>
        <v/>
      </c>
      <c r="H1427">
        <f>IF(OR($E1427="",$E1427="نامعتبر"),"",IF(Sync!$R1424="","",Sync!$R1424))</f>
        <v/>
      </c>
      <c r="I1427">
        <f>IF(OR($E1427="",$E1427="نامعتبر"),"",IF(Sync!$T1424="","",Sync!$T1424))</f>
        <v/>
      </c>
      <c r="J1427">
        <f>IF(OR($E1427="",$E1427="نامعتبر"),"",IF(Sync!$U1424="","",Sync!$U1424))</f>
        <v/>
      </c>
      <c r="K1427">
        <f>IF(OR($E1427="",$E1427="نامعتبر"),"",IF(Sync!$V1424="","",IFERROR(INDEX(SubCodes,MATCH(Sync!$V1424,SubTitles,0)),Sync!$V1424)))</f>
        <v/>
      </c>
      <c r="L1427">
        <f>IF(OR($E1427="",$E1427="نامعتبر"),"",IF(Sync!$W1424="",0,Sync!$W1424))</f>
        <v/>
      </c>
      <c r="M1427">
        <f>IF(OR($E1427="",$E1427="نامعتبر"),"",IF(Sync!$X1424="",0,Sync!$X1424))</f>
        <v/>
      </c>
      <c r="N1427">
        <f>IF(OR($E1427="",$E1427="نامعتبر"),"",IF(AND($J1427="هزینه",$K1427&lt;&gt;""),1,0))</f>
        <v/>
      </c>
      <c r="O1427">
        <f>IF($N1427=0,"",LEFT($E1427,4)&amp;MID($E1427,6,2)&amp;RIGHT($E1427,2)&amp;$F1427&amp;"|"&amp;"1"&amp;RIGHT("00000"&amp;1419,5))</f>
        <v/>
      </c>
      <c r="P1427">
        <f>IF($O1427="","",COUNTIFS(ExpSub,$K1427,ExpKey,"&lt;"&amp;$O1427)+1)</f>
        <v/>
      </c>
      <c r="Q1427">
        <f>IF($P1427="","",$K1427&amp;"|"&amp;RIGHT("000000"&amp;$P1427,6))</f>
        <v/>
      </c>
    </row>
    <row r="1428">
      <c r="A1428">
        <f>IF(Sync!$P1425="","",Sync!$P1425)</f>
        <v/>
      </c>
      <c r="B1428">
        <f>IF($A1428="","",IF(ISNUMBER($A1428),IF(AND($A1428&gt;=10000101,$A1428&lt;=99991231),INT($A1428/10000),""),IFERROR(VALUE(TRIM(LEFT($A1428,FIND("/",$A1428)-1))),"")))</f>
        <v/>
      </c>
      <c r="C1428">
        <f>IF(OR($A1428="",$B1428=""),"",IF(ISNUMBER($A1428),INT(MOD($A1428,10000)/100),IFERROR(VALUE(TRIM(LEFT(MID($A1428,FIND("/",$A1428)+1,20),FIND("/",MID($A1428,FIND("/",$A1428)+1,20))-1))),"")))</f>
        <v/>
      </c>
      <c r="D1428">
        <f>IF(OR($A1428="",$B1428=""),"",IF(ISNUMBER($A1428),MOD($A1428,100),IFERROR(VALUE(TRIM(MID(MID($A1428,FIND("/",$A1428)+1,20),FIND("/",MID($A1428,FIND("/",$A1428)+1,20))+1,20))),"")))</f>
        <v/>
      </c>
      <c r="E1428">
        <f>IF($A1428="","",IF(OR($B1428="",$C1428="",$D1428="",$B1428&lt;1300,$B1428&gt;1500,$C1428&lt;1,$C1428&gt;12,$D1428&lt;1,$D1428&gt;31),"نامعتبر",RIGHT("0000"&amp;$B1428,4)&amp;"/"&amp;RIGHT("00"&amp;$C1428,2)&amp;"/"&amp;RIGHT("00"&amp;$D1428,2)))</f>
        <v/>
      </c>
      <c r="F1428">
        <f>IF(OR($E1428="",$E1428="نامعتبر"),"",IF(Sync!$Q1425="","0000",IF(AND(ISNUMBER(Sync!$Q1425),Sync!$Q1425&gt;=0,Sync!$Q1425&lt;1),RIGHT("00"&amp;HOUR(Sync!$Q1425),2)&amp;RIGHT("00"&amp;MINUTE(Sync!$Q1425),2),IFERROR(RIGHT("00"&amp;VALUE(LEFT(Sync!$Q1425,FIND(":",Sync!$Q1425)-1)),2)&amp;RIGHT("00"&amp;VALUE(MID(Sync!$Q1425,FIND(":",Sync!$Q1425)+1,2)),2),"0000"))))</f>
        <v/>
      </c>
      <c r="G1428">
        <f>IF(OR($E1428="",$E1428="نامعتبر"),"",IF(Sync!$S1425="","",Sync!$S1425))</f>
        <v/>
      </c>
      <c r="H1428">
        <f>IF(OR($E1428="",$E1428="نامعتبر"),"",IF(Sync!$R1425="","",Sync!$R1425))</f>
        <v/>
      </c>
      <c r="I1428">
        <f>IF(OR($E1428="",$E1428="نامعتبر"),"",IF(Sync!$T1425="","",Sync!$T1425))</f>
        <v/>
      </c>
      <c r="J1428">
        <f>IF(OR($E1428="",$E1428="نامعتبر"),"",IF(Sync!$U1425="","",Sync!$U1425))</f>
        <v/>
      </c>
      <c r="K1428">
        <f>IF(OR($E1428="",$E1428="نامعتبر"),"",IF(Sync!$V1425="","",IFERROR(INDEX(SubCodes,MATCH(Sync!$V1425,SubTitles,0)),Sync!$V1425)))</f>
        <v/>
      </c>
      <c r="L1428">
        <f>IF(OR($E1428="",$E1428="نامعتبر"),"",IF(Sync!$W1425="",0,Sync!$W1425))</f>
        <v/>
      </c>
      <c r="M1428">
        <f>IF(OR($E1428="",$E1428="نامعتبر"),"",IF(Sync!$X1425="",0,Sync!$X1425))</f>
        <v/>
      </c>
      <c r="N1428">
        <f>IF(OR($E1428="",$E1428="نامعتبر"),"",IF(AND($J1428="هزینه",$K1428&lt;&gt;""),1,0))</f>
        <v/>
      </c>
      <c r="O1428">
        <f>IF($N1428=0,"",LEFT($E1428,4)&amp;MID($E1428,6,2)&amp;RIGHT($E1428,2)&amp;$F1428&amp;"|"&amp;"1"&amp;RIGHT("00000"&amp;1420,5))</f>
        <v/>
      </c>
      <c r="P1428">
        <f>IF($O1428="","",COUNTIFS(ExpSub,$K1428,ExpKey,"&lt;"&amp;$O1428)+1)</f>
        <v/>
      </c>
      <c r="Q1428">
        <f>IF($P1428="","",$K1428&amp;"|"&amp;RIGHT("000000"&amp;$P1428,6))</f>
        <v/>
      </c>
    </row>
    <row r="1429">
      <c r="A1429">
        <f>IF(Sync!$P1426="","",Sync!$P1426)</f>
        <v/>
      </c>
      <c r="B1429">
        <f>IF($A1429="","",IF(ISNUMBER($A1429),IF(AND($A1429&gt;=10000101,$A1429&lt;=99991231),INT($A1429/10000),""),IFERROR(VALUE(TRIM(LEFT($A1429,FIND("/",$A1429)-1))),"")))</f>
        <v/>
      </c>
      <c r="C1429">
        <f>IF(OR($A1429="",$B1429=""),"",IF(ISNUMBER($A1429),INT(MOD($A1429,10000)/100),IFERROR(VALUE(TRIM(LEFT(MID($A1429,FIND("/",$A1429)+1,20),FIND("/",MID($A1429,FIND("/",$A1429)+1,20))-1))),"")))</f>
        <v/>
      </c>
      <c r="D1429">
        <f>IF(OR($A1429="",$B1429=""),"",IF(ISNUMBER($A1429),MOD($A1429,100),IFERROR(VALUE(TRIM(MID(MID($A1429,FIND("/",$A1429)+1,20),FIND("/",MID($A1429,FIND("/",$A1429)+1,20))+1,20))),"")))</f>
        <v/>
      </c>
      <c r="E1429">
        <f>IF($A1429="","",IF(OR($B1429="",$C1429="",$D1429="",$B1429&lt;1300,$B1429&gt;1500,$C1429&lt;1,$C1429&gt;12,$D1429&lt;1,$D1429&gt;31),"نامعتبر",RIGHT("0000"&amp;$B1429,4)&amp;"/"&amp;RIGHT("00"&amp;$C1429,2)&amp;"/"&amp;RIGHT("00"&amp;$D1429,2)))</f>
        <v/>
      </c>
      <c r="F1429">
        <f>IF(OR($E1429="",$E1429="نامعتبر"),"",IF(Sync!$Q1426="","0000",IF(AND(ISNUMBER(Sync!$Q1426),Sync!$Q1426&gt;=0,Sync!$Q1426&lt;1),RIGHT("00"&amp;HOUR(Sync!$Q1426),2)&amp;RIGHT("00"&amp;MINUTE(Sync!$Q1426),2),IFERROR(RIGHT("00"&amp;VALUE(LEFT(Sync!$Q1426,FIND(":",Sync!$Q1426)-1)),2)&amp;RIGHT("00"&amp;VALUE(MID(Sync!$Q1426,FIND(":",Sync!$Q1426)+1,2)),2),"0000"))))</f>
        <v/>
      </c>
      <c r="G1429">
        <f>IF(OR($E1429="",$E1429="نامعتبر"),"",IF(Sync!$S1426="","",Sync!$S1426))</f>
        <v/>
      </c>
      <c r="H1429">
        <f>IF(OR($E1429="",$E1429="نامعتبر"),"",IF(Sync!$R1426="","",Sync!$R1426))</f>
        <v/>
      </c>
      <c r="I1429">
        <f>IF(OR($E1429="",$E1429="نامعتبر"),"",IF(Sync!$T1426="","",Sync!$T1426))</f>
        <v/>
      </c>
      <c r="J1429">
        <f>IF(OR($E1429="",$E1429="نامعتبر"),"",IF(Sync!$U1426="","",Sync!$U1426))</f>
        <v/>
      </c>
      <c r="K1429">
        <f>IF(OR($E1429="",$E1429="نامعتبر"),"",IF(Sync!$V1426="","",IFERROR(INDEX(SubCodes,MATCH(Sync!$V1426,SubTitles,0)),Sync!$V1426)))</f>
        <v/>
      </c>
      <c r="L1429">
        <f>IF(OR($E1429="",$E1429="نامعتبر"),"",IF(Sync!$W1426="",0,Sync!$W1426))</f>
        <v/>
      </c>
      <c r="M1429">
        <f>IF(OR($E1429="",$E1429="نامعتبر"),"",IF(Sync!$X1426="",0,Sync!$X1426))</f>
        <v/>
      </c>
      <c r="N1429">
        <f>IF(OR($E1429="",$E1429="نامعتبر"),"",IF(AND($J1429="هزینه",$K1429&lt;&gt;""),1,0))</f>
        <v/>
      </c>
      <c r="O1429">
        <f>IF($N1429=0,"",LEFT($E1429,4)&amp;MID($E1429,6,2)&amp;RIGHT($E1429,2)&amp;$F1429&amp;"|"&amp;"1"&amp;RIGHT("00000"&amp;1421,5))</f>
        <v/>
      </c>
      <c r="P1429">
        <f>IF($O1429="","",COUNTIFS(ExpSub,$K1429,ExpKey,"&lt;"&amp;$O1429)+1)</f>
        <v/>
      </c>
      <c r="Q1429">
        <f>IF($P1429="","",$K1429&amp;"|"&amp;RIGHT("000000"&amp;$P1429,6))</f>
        <v/>
      </c>
    </row>
    <row r="1430">
      <c r="A1430">
        <f>IF(Sync!$P1427="","",Sync!$P1427)</f>
        <v/>
      </c>
      <c r="B1430">
        <f>IF($A1430="","",IF(ISNUMBER($A1430),IF(AND($A1430&gt;=10000101,$A1430&lt;=99991231),INT($A1430/10000),""),IFERROR(VALUE(TRIM(LEFT($A1430,FIND("/",$A1430)-1))),"")))</f>
        <v/>
      </c>
      <c r="C1430">
        <f>IF(OR($A1430="",$B1430=""),"",IF(ISNUMBER($A1430),INT(MOD($A1430,10000)/100),IFERROR(VALUE(TRIM(LEFT(MID($A1430,FIND("/",$A1430)+1,20),FIND("/",MID($A1430,FIND("/",$A1430)+1,20))-1))),"")))</f>
        <v/>
      </c>
      <c r="D1430">
        <f>IF(OR($A1430="",$B1430=""),"",IF(ISNUMBER($A1430),MOD($A1430,100),IFERROR(VALUE(TRIM(MID(MID($A1430,FIND("/",$A1430)+1,20),FIND("/",MID($A1430,FIND("/",$A1430)+1,20))+1,20))),"")))</f>
        <v/>
      </c>
      <c r="E1430">
        <f>IF($A1430="","",IF(OR($B1430="",$C1430="",$D1430="",$B1430&lt;1300,$B1430&gt;1500,$C1430&lt;1,$C1430&gt;12,$D1430&lt;1,$D1430&gt;31),"نامعتبر",RIGHT("0000"&amp;$B1430,4)&amp;"/"&amp;RIGHT("00"&amp;$C1430,2)&amp;"/"&amp;RIGHT("00"&amp;$D1430,2)))</f>
        <v/>
      </c>
      <c r="F1430">
        <f>IF(OR($E1430="",$E1430="نامعتبر"),"",IF(Sync!$Q1427="","0000",IF(AND(ISNUMBER(Sync!$Q1427),Sync!$Q1427&gt;=0,Sync!$Q1427&lt;1),RIGHT("00"&amp;HOUR(Sync!$Q1427),2)&amp;RIGHT("00"&amp;MINUTE(Sync!$Q1427),2),IFERROR(RIGHT("00"&amp;VALUE(LEFT(Sync!$Q1427,FIND(":",Sync!$Q1427)-1)),2)&amp;RIGHT("00"&amp;VALUE(MID(Sync!$Q1427,FIND(":",Sync!$Q1427)+1,2)),2),"0000"))))</f>
        <v/>
      </c>
      <c r="G1430">
        <f>IF(OR($E1430="",$E1430="نامعتبر"),"",IF(Sync!$S1427="","",Sync!$S1427))</f>
        <v/>
      </c>
      <c r="H1430">
        <f>IF(OR($E1430="",$E1430="نامعتبر"),"",IF(Sync!$R1427="","",Sync!$R1427))</f>
        <v/>
      </c>
      <c r="I1430">
        <f>IF(OR($E1430="",$E1430="نامعتبر"),"",IF(Sync!$T1427="","",Sync!$T1427))</f>
        <v/>
      </c>
      <c r="J1430">
        <f>IF(OR($E1430="",$E1430="نامعتبر"),"",IF(Sync!$U1427="","",Sync!$U1427))</f>
        <v/>
      </c>
      <c r="K1430">
        <f>IF(OR($E1430="",$E1430="نامعتبر"),"",IF(Sync!$V1427="","",IFERROR(INDEX(SubCodes,MATCH(Sync!$V1427,SubTitles,0)),Sync!$V1427)))</f>
        <v/>
      </c>
      <c r="L1430">
        <f>IF(OR($E1430="",$E1430="نامعتبر"),"",IF(Sync!$W1427="",0,Sync!$W1427))</f>
        <v/>
      </c>
      <c r="M1430">
        <f>IF(OR($E1430="",$E1430="نامعتبر"),"",IF(Sync!$X1427="",0,Sync!$X1427))</f>
        <v/>
      </c>
      <c r="N1430">
        <f>IF(OR($E1430="",$E1430="نامعتبر"),"",IF(AND($J1430="هزینه",$K1430&lt;&gt;""),1,0))</f>
        <v/>
      </c>
      <c r="O1430">
        <f>IF($N1430=0,"",LEFT($E1430,4)&amp;MID($E1430,6,2)&amp;RIGHT($E1430,2)&amp;$F1430&amp;"|"&amp;"1"&amp;RIGHT("00000"&amp;1422,5))</f>
        <v/>
      </c>
      <c r="P1430">
        <f>IF($O1430="","",COUNTIFS(ExpSub,$K1430,ExpKey,"&lt;"&amp;$O1430)+1)</f>
        <v/>
      </c>
      <c r="Q1430">
        <f>IF($P1430="","",$K1430&amp;"|"&amp;RIGHT("000000"&amp;$P1430,6))</f>
        <v/>
      </c>
    </row>
    <row r="1431">
      <c r="A1431">
        <f>IF(Sync!$P1428="","",Sync!$P1428)</f>
        <v/>
      </c>
      <c r="B1431">
        <f>IF($A1431="","",IF(ISNUMBER($A1431),IF(AND($A1431&gt;=10000101,$A1431&lt;=99991231),INT($A1431/10000),""),IFERROR(VALUE(TRIM(LEFT($A1431,FIND("/",$A1431)-1))),"")))</f>
        <v/>
      </c>
      <c r="C1431">
        <f>IF(OR($A1431="",$B1431=""),"",IF(ISNUMBER($A1431),INT(MOD($A1431,10000)/100),IFERROR(VALUE(TRIM(LEFT(MID($A1431,FIND("/",$A1431)+1,20),FIND("/",MID($A1431,FIND("/",$A1431)+1,20))-1))),"")))</f>
        <v/>
      </c>
      <c r="D1431">
        <f>IF(OR($A1431="",$B1431=""),"",IF(ISNUMBER($A1431),MOD($A1431,100),IFERROR(VALUE(TRIM(MID(MID($A1431,FIND("/",$A1431)+1,20),FIND("/",MID($A1431,FIND("/",$A1431)+1,20))+1,20))),"")))</f>
        <v/>
      </c>
      <c r="E1431">
        <f>IF($A1431="","",IF(OR($B1431="",$C1431="",$D1431="",$B1431&lt;1300,$B1431&gt;1500,$C1431&lt;1,$C1431&gt;12,$D1431&lt;1,$D1431&gt;31),"نامعتبر",RIGHT("0000"&amp;$B1431,4)&amp;"/"&amp;RIGHT("00"&amp;$C1431,2)&amp;"/"&amp;RIGHT("00"&amp;$D1431,2)))</f>
        <v/>
      </c>
      <c r="F1431">
        <f>IF(OR($E1431="",$E1431="نامعتبر"),"",IF(Sync!$Q1428="","0000",IF(AND(ISNUMBER(Sync!$Q1428),Sync!$Q1428&gt;=0,Sync!$Q1428&lt;1),RIGHT("00"&amp;HOUR(Sync!$Q1428),2)&amp;RIGHT("00"&amp;MINUTE(Sync!$Q1428),2),IFERROR(RIGHT("00"&amp;VALUE(LEFT(Sync!$Q1428,FIND(":",Sync!$Q1428)-1)),2)&amp;RIGHT("00"&amp;VALUE(MID(Sync!$Q1428,FIND(":",Sync!$Q1428)+1,2)),2),"0000"))))</f>
        <v/>
      </c>
      <c r="G1431">
        <f>IF(OR($E1431="",$E1431="نامعتبر"),"",IF(Sync!$S1428="","",Sync!$S1428))</f>
        <v/>
      </c>
      <c r="H1431">
        <f>IF(OR($E1431="",$E1431="نامعتبر"),"",IF(Sync!$R1428="","",Sync!$R1428))</f>
        <v/>
      </c>
      <c r="I1431">
        <f>IF(OR($E1431="",$E1431="نامعتبر"),"",IF(Sync!$T1428="","",Sync!$T1428))</f>
        <v/>
      </c>
      <c r="J1431">
        <f>IF(OR($E1431="",$E1431="نامعتبر"),"",IF(Sync!$U1428="","",Sync!$U1428))</f>
        <v/>
      </c>
      <c r="K1431">
        <f>IF(OR($E1431="",$E1431="نامعتبر"),"",IF(Sync!$V1428="","",IFERROR(INDEX(SubCodes,MATCH(Sync!$V1428,SubTitles,0)),Sync!$V1428)))</f>
        <v/>
      </c>
      <c r="L1431">
        <f>IF(OR($E1431="",$E1431="نامعتبر"),"",IF(Sync!$W1428="",0,Sync!$W1428))</f>
        <v/>
      </c>
      <c r="M1431">
        <f>IF(OR($E1431="",$E1431="نامعتبر"),"",IF(Sync!$X1428="",0,Sync!$X1428))</f>
        <v/>
      </c>
      <c r="N1431">
        <f>IF(OR($E1431="",$E1431="نامعتبر"),"",IF(AND($J1431="هزینه",$K1431&lt;&gt;""),1,0))</f>
        <v/>
      </c>
      <c r="O1431">
        <f>IF($N1431=0,"",LEFT($E1431,4)&amp;MID($E1431,6,2)&amp;RIGHT($E1431,2)&amp;$F1431&amp;"|"&amp;"1"&amp;RIGHT("00000"&amp;1423,5))</f>
        <v/>
      </c>
      <c r="P1431">
        <f>IF($O1431="","",COUNTIFS(ExpSub,$K1431,ExpKey,"&lt;"&amp;$O1431)+1)</f>
        <v/>
      </c>
      <c r="Q1431">
        <f>IF($P1431="","",$K1431&amp;"|"&amp;RIGHT("000000"&amp;$P1431,6))</f>
        <v/>
      </c>
    </row>
    <row r="1432">
      <c r="A1432">
        <f>IF(Sync!$P1429="","",Sync!$P1429)</f>
        <v/>
      </c>
      <c r="B1432">
        <f>IF($A1432="","",IF(ISNUMBER($A1432),IF(AND($A1432&gt;=10000101,$A1432&lt;=99991231),INT($A1432/10000),""),IFERROR(VALUE(TRIM(LEFT($A1432,FIND("/",$A1432)-1))),"")))</f>
        <v/>
      </c>
      <c r="C1432">
        <f>IF(OR($A1432="",$B1432=""),"",IF(ISNUMBER($A1432),INT(MOD($A1432,10000)/100),IFERROR(VALUE(TRIM(LEFT(MID($A1432,FIND("/",$A1432)+1,20),FIND("/",MID($A1432,FIND("/",$A1432)+1,20))-1))),"")))</f>
        <v/>
      </c>
      <c r="D1432">
        <f>IF(OR($A1432="",$B1432=""),"",IF(ISNUMBER($A1432),MOD($A1432,100),IFERROR(VALUE(TRIM(MID(MID($A1432,FIND("/",$A1432)+1,20),FIND("/",MID($A1432,FIND("/",$A1432)+1,20))+1,20))),"")))</f>
        <v/>
      </c>
      <c r="E1432">
        <f>IF($A1432="","",IF(OR($B1432="",$C1432="",$D1432="",$B1432&lt;1300,$B1432&gt;1500,$C1432&lt;1,$C1432&gt;12,$D1432&lt;1,$D1432&gt;31),"نامعتبر",RIGHT("0000"&amp;$B1432,4)&amp;"/"&amp;RIGHT("00"&amp;$C1432,2)&amp;"/"&amp;RIGHT("00"&amp;$D1432,2)))</f>
        <v/>
      </c>
      <c r="F1432">
        <f>IF(OR($E1432="",$E1432="نامعتبر"),"",IF(Sync!$Q1429="","0000",IF(AND(ISNUMBER(Sync!$Q1429),Sync!$Q1429&gt;=0,Sync!$Q1429&lt;1),RIGHT("00"&amp;HOUR(Sync!$Q1429),2)&amp;RIGHT("00"&amp;MINUTE(Sync!$Q1429),2),IFERROR(RIGHT("00"&amp;VALUE(LEFT(Sync!$Q1429,FIND(":",Sync!$Q1429)-1)),2)&amp;RIGHT("00"&amp;VALUE(MID(Sync!$Q1429,FIND(":",Sync!$Q1429)+1,2)),2),"0000"))))</f>
        <v/>
      </c>
      <c r="G1432">
        <f>IF(OR($E1432="",$E1432="نامعتبر"),"",IF(Sync!$S1429="","",Sync!$S1429))</f>
        <v/>
      </c>
      <c r="H1432">
        <f>IF(OR($E1432="",$E1432="نامعتبر"),"",IF(Sync!$R1429="","",Sync!$R1429))</f>
        <v/>
      </c>
      <c r="I1432">
        <f>IF(OR($E1432="",$E1432="نامعتبر"),"",IF(Sync!$T1429="","",Sync!$T1429))</f>
        <v/>
      </c>
      <c r="J1432">
        <f>IF(OR($E1432="",$E1432="نامعتبر"),"",IF(Sync!$U1429="","",Sync!$U1429))</f>
        <v/>
      </c>
      <c r="K1432">
        <f>IF(OR($E1432="",$E1432="نامعتبر"),"",IF(Sync!$V1429="","",IFERROR(INDEX(SubCodes,MATCH(Sync!$V1429,SubTitles,0)),Sync!$V1429)))</f>
        <v/>
      </c>
      <c r="L1432">
        <f>IF(OR($E1432="",$E1432="نامعتبر"),"",IF(Sync!$W1429="",0,Sync!$W1429))</f>
        <v/>
      </c>
      <c r="M1432">
        <f>IF(OR($E1432="",$E1432="نامعتبر"),"",IF(Sync!$X1429="",0,Sync!$X1429))</f>
        <v/>
      </c>
      <c r="N1432">
        <f>IF(OR($E1432="",$E1432="نامعتبر"),"",IF(AND($J1432="هزینه",$K1432&lt;&gt;""),1,0))</f>
        <v/>
      </c>
      <c r="O1432">
        <f>IF($N1432=0,"",LEFT($E1432,4)&amp;MID($E1432,6,2)&amp;RIGHT($E1432,2)&amp;$F1432&amp;"|"&amp;"1"&amp;RIGHT("00000"&amp;1424,5))</f>
        <v/>
      </c>
      <c r="P1432">
        <f>IF($O1432="","",COUNTIFS(ExpSub,$K1432,ExpKey,"&lt;"&amp;$O1432)+1)</f>
        <v/>
      </c>
      <c r="Q1432">
        <f>IF($P1432="","",$K1432&amp;"|"&amp;RIGHT("000000"&amp;$P1432,6))</f>
        <v/>
      </c>
    </row>
    <row r="1433">
      <c r="A1433">
        <f>IF(Sync!$P1430="","",Sync!$P1430)</f>
        <v/>
      </c>
      <c r="B1433">
        <f>IF($A1433="","",IF(ISNUMBER($A1433),IF(AND($A1433&gt;=10000101,$A1433&lt;=99991231),INT($A1433/10000),""),IFERROR(VALUE(TRIM(LEFT($A1433,FIND("/",$A1433)-1))),"")))</f>
        <v/>
      </c>
      <c r="C1433">
        <f>IF(OR($A1433="",$B1433=""),"",IF(ISNUMBER($A1433),INT(MOD($A1433,10000)/100),IFERROR(VALUE(TRIM(LEFT(MID($A1433,FIND("/",$A1433)+1,20),FIND("/",MID($A1433,FIND("/",$A1433)+1,20))-1))),"")))</f>
        <v/>
      </c>
      <c r="D1433">
        <f>IF(OR($A1433="",$B1433=""),"",IF(ISNUMBER($A1433),MOD($A1433,100),IFERROR(VALUE(TRIM(MID(MID($A1433,FIND("/",$A1433)+1,20),FIND("/",MID($A1433,FIND("/",$A1433)+1,20))+1,20))),"")))</f>
        <v/>
      </c>
      <c r="E1433">
        <f>IF($A1433="","",IF(OR($B1433="",$C1433="",$D1433="",$B1433&lt;1300,$B1433&gt;1500,$C1433&lt;1,$C1433&gt;12,$D1433&lt;1,$D1433&gt;31),"نامعتبر",RIGHT("0000"&amp;$B1433,4)&amp;"/"&amp;RIGHT("00"&amp;$C1433,2)&amp;"/"&amp;RIGHT("00"&amp;$D1433,2)))</f>
        <v/>
      </c>
      <c r="F1433">
        <f>IF(OR($E1433="",$E1433="نامعتبر"),"",IF(Sync!$Q1430="","0000",IF(AND(ISNUMBER(Sync!$Q1430),Sync!$Q1430&gt;=0,Sync!$Q1430&lt;1),RIGHT("00"&amp;HOUR(Sync!$Q1430),2)&amp;RIGHT("00"&amp;MINUTE(Sync!$Q1430),2),IFERROR(RIGHT("00"&amp;VALUE(LEFT(Sync!$Q1430,FIND(":",Sync!$Q1430)-1)),2)&amp;RIGHT("00"&amp;VALUE(MID(Sync!$Q1430,FIND(":",Sync!$Q1430)+1,2)),2),"0000"))))</f>
        <v/>
      </c>
      <c r="G1433">
        <f>IF(OR($E1433="",$E1433="نامعتبر"),"",IF(Sync!$S1430="","",Sync!$S1430))</f>
        <v/>
      </c>
      <c r="H1433">
        <f>IF(OR($E1433="",$E1433="نامعتبر"),"",IF(Sync!$R1430="","",Sync!$R1430))</f>
        <v/>
      </c>
      <c r="I1433">
        <f>IF(OR($E1433="",$E1433="نامعتبر"),"",IF(Sync!$T1430="","",Sync!$T1430))</f>
        <v/>
      </c>
      <c r="J1433">
        <f>IF(OR($E1433="",$E1433="نامعتبر"),"",IF(Sync!$U1430="","",Sync!$U1430))</f>
        <v/>
      </c>
      <c r="K1433">
        <f>IF(OR($E1433="",$E1433="نامعتبر"),"",IF(Sync!$V1430="","",IFERROR(INDEX(SubCodes,MATCH(Sync!$V1430,SubTitles,0)),Sync!$V1430)))</f>
        <v/>
      </c>
      <c r="L1433">
        <f>IF(OR($E1433="",$E1433="نامعتبر"),"",IF(Sync!$W1430="",0,Sync!$W1430))</f>
        <v/>
      </c>
      <c r="M1433">
        <f>IF(OR($E1433="",$E1433="نامعتبر"),"",IF(Sync!$X1430="",0,Sync!$X1430))</f>
        <v/>
      </c>
      <c r="N1433">
        <f>IF(OR($E1433="",$E1433="نامعتبر"),"",IF(AND($J1433="هزینه",$K1433&lt;&gt;""),1,0))</f>
        <v/>
      </c>
      <c r="O1433">
        <f>IF($N1433=0,"",LEFT($E1433,4)&amp;MID($E1433,6,2)&amp;RIGHT($E1433,2)&amp;$F1433&amp;"|"&amp;"1"&amp;RIGHT("00000"&amp;1425,5))</f>
        <v/>
      </c>
      <c r="P1433">
        <f>IF($O1433="","",COUNTIFS(ExpSub,$K1433,ExpKey,"&lt;"&amp;$O1433)+1)</f>
        <v/>
      </c>
      <c r="Q1433">
        <f>IF($P1433="","",$K1433&amp;"|"&amp;RIGHT("000000"&amp;$P1433,6))</f>
        <v/>
      </c>
    </row>
    <row r="1434">
      <c r="A1434">
        <f>IF(Sync!$P1431="","",Sync!$P1431)</f>
        <v/>
      </c>
      <c r="B1434">
        <f>IF($A1434="","",IF(ISNUMBER($A1434),IF(AND($A1434&gt;=10000101,$A1434&lt;=99991231),INT($A1434/10000),""),IFERROR(VALUE(TRIM(LEFT($A1434,FIND("/",$A1434)-1))),"")))</f>
        <v/>
      </c>
      <c r="C1434">
        <f>IF(OR($A1434="",$B1434=""),"",IF(ISNUMBER($A1434),INT(MOD($A1434,10000)/100),IFERROR(VALUE(TRIM(LEFT(MID($A1434,FIND("/",$A1434)+1,20),FIND("/",MID($A1434,FIND("/",$A1434)+1,20))-1))),"")))</f>
        <v/>
      </c>
      <c r="D1434">
        <f>IF(OR($A1434="",$B1434=""),"",IF(ISNUMBER($A1434),MOD($A1434,100),IFERROR(VALUE(TRIM(MID(MID($A1434,FIND("/",$A1434)+1,20),FIND("/",MID($A1434,FIND("/",$A1434)+1,20))+1,20))),"")))</f>
        <v/>
      </c>
      <c r="E1434">
        <f>IF($A1434="","",IF(OR($B1434="",$C1434="",$D1434="",$B1434&lt;1300,$B1434&gt;1500,$C1434&lt;1,$C1434&gt;12,$D1434&lt;1,$D1434&gt;31),"نامعتبر",RIGHT("0000"&amp;$B1434,4)&amp;"/"&amp;RIGHT("00"&amp;$C1434,2)&amp;"/"&amp;RIGHT("00"&amp;$D1434,2)))</f>
        <v/>
      </c>
      <c r="F1434">
        <f>IF(OR($E1434="",$E1434="نامعتبر"),"",IF(Sync!$Q1431="","0000",IF(AND(ISNUMBER(Sync!$Q1431),Sync!$Q1431&gt;=0,Sync!$Q1431&lt;1),RIGHT("00"&amp;HOUR(Sync!$Q1431),2)&amp;RIGHT("00"&amp;MINUTE(Sync!$Q1431),2),IFERROR(RIGHT("00"&amp;VALUE(LEFT(Sync!$Q1431,FIND(":",Sync!$Q1431)-1)),2)&amp;RIGHT("00"&amp;VALUE(MID(Sync!$Q1431,FIND(":",Sync!$Q1431)+1,2)),2),"0000"))))</f>
        <v/>
      </c>
      <c r="G1434">
        <f>IF(OR($E1434="",$E1434="نامعتبر"),"",IF(Sync!$S1431="","",Sync!$S1431))</f>
        <v/>
      </c>
      <c r="H1434">
        <f>IF(OR($E1434="",$E1434="نامعتبر"),"",IF(Sync!$R1431="","",Sync!$R1431))</f>
        <v/>
      </c>
      <c r="I1434">
        <f>IF(OR($E1434="",$E1434="نامعتبر"),"",IF(Sync!$T1431="","",Sync!$T1431))</f>
        <v/>
      </c>
      <c r="J1434">
        <f>IF(OR($E1434="",$E1434="نامعتبر"),"",IF(Sync!$U1431="","",Sync!$U1431))</f>
        <v/>
      </c>
      <c r="K1434">
        <f>IF(OR($E1434="",$E1434="نامعتبر"),"",IF(Sync!$V1431="","",IFERROR(INDEX(SubCodes,MATCH(Sync!$V1431,SubTitles,0)),Sync!$V1431)))</f>
        <v/>
      </c>
      <c r="L1434">
        <f>IF(OR($E1434="",$E1434="نامعتبر"),"",IF(Sync!$W1431="",0,Sync!$W1431))</f>
        <v/>
      </c>
      <c r="M1434">
        <f>IF(OR($E1434="",$E1434="نامعتبر"),"",IF(Sync!$X1431="",0,Sync!$X1431))</f>
        <v/>
      </c>
      <c r="N1434">
        <f>IF(OR($E1434="",$E1434="نامعتبر"),"",IF(AND($J1434="هزینه",$K1434&lt;&gt;""),1,0))</f>
        <v/>
      </c>
      <c r="O1434">
        <f>IF($N1434=0,"",LEFT($E1434,4)&amp;MID($E1434,6,2)&amp;RIGHT($E1434,2)&amp;$F1434&amp;"|"&amp;"1"&amp;RIGHT("00000"&amp;1426,5))</f>
        <v/>
      </c>
      <c r="P1434">
        <f>IF($O1434="","",COUNTIFS(ExpSub,$K1434,ExpKey,"&lt;"&amp;$O1434)+1)</f>
        <v/>
      </c>
      <c r="Q1434">
        <f>IF($P1434="","",$K1434&amp;"|"&amp;RIGHT("000000"&amp;$P1434,6))</f>
        <v/>
      </c>
    </row>
    <row r="1435">
      <c r="A1435">
        <f>IF(Sync!$P1432="","",Sync!$P1432)</f>
        <v/>
      </c>
      <c r="B1435">
        <f>IF($A1435="","",IF(ISNUMBER($A1435),IF(AND($A1435&gt;=10000101,$A1435&lt;=99991231),INT($A1435/10000),""),IFERROR(VALUE(TRIM(LEFT($A1435,FIND("/",$A1435)-1))),"")))</f>
        <v/>
      </c>
      <c r="C1435">
        <f>IF(OR($A1435="",$B1435=""),"",IF(ISNUMBER($A1435),INT(MOD($A1435,10000)/100),IFERROR(VALUE(TRIM(LEFT(MID($A1435,FIND("/",$A1435)+1,20),FIND("/",MID($A1435,FIND("/",$A1435)+1,20))-1))),"")))</f>
        <v/>
      </c>
      <c r="D1435">
        <f>IF(OR($A1435="",$B1435=""),"",IF(ISNUMBER($A1435),MOD($A1435,100),IFERROR(VALUE(TRIM(MID(MID($A1435,FIND("/",$A1435)+1,20),FIND("/",MID($A1435,FIND("/",$A1435)+1,20))+1,20))),"")))</f>
        <v/>
      </c>
      <c r="E1435">
        <f>IF($A1435="","",IF(OR($B1435="",$C1435="",$D1435="",$B1435&lt;1300,$B1435&gt;1500,$C1435&lt;1,$C1435&gt;12,$D1435&lt;1,$D1435&gt;31),"نامعتبر",RIGHT("0000"&amp;$B1435,4)&amp;"/"&amp;RIGHT("00"&amp;$C1435,2)&amp;"/"&amp;RIGHT("00"&amp;$D1435,2)))</f>
        <v/>
      </c>
      <c r="F1435">
        <f>IF(OR($E1435="",$E1435="نامعتبر"),"",IF(Sync!$Q1432="","0000",IF(AND(ISNUMBER(Sync!$Q1432),Sync!$Q1432&gt;=0,Sync!$Q1432&lt;1),RIGHT("00"&amp;HOUR(Sync!$Q1432),2)&amp;RIGHT("00"&amp;MINUTE(Sync!$Q1432),2),IFERROR(RIGHT("00"&amp;VALUE(LEFT(Sync!$Q1432,FIND(":",Sync!$Q1432)-1)),2)&amp;RIGHT("00"&amp;VALUE(MID(Sync!$Q1432,FIND(":",Sync!$Q1432)+1,2)),2),"0000"))))</f>
        <v/>
      </c>
      <c r="G1435">
        <f>IF(OR($E1435="",$E1435="نامعتبر"),"",IF(Sync!$S1432="","",Sync!$S1432))</f>
        <v/>
      </c>
      <c r="H1435">
        <f>IF(OR($E1435="",$E1435="نامعتبر"),"",IF(Sync!$R1432="","",Sync!$R1432))</f>
        <v/>
      </c>
      <c r="I1435">
        <f>IF(OR($E1435="",$E1435="نامعتبر"),"",IF(Sync!$T1432="","",Sync!$T1432))</f>
        <v/>
      </c>
      <c r="J1435">
        <f>IF(OR($E1435="",$E1435="نامعتبر"),"",IF(Sync!$U1432="","",Sync!$U1432))</f>
        <v/>
      </c>
      <c r="K1435">
        <f>IF(OR($E1435="",$E1435="نامعتبر"),"",IF(Sync!$V1432="","",IFERROR(INDEX(SubCodes,MATCH(Sync!$V1432,SubTitles,0)),Sync!$V1432)))</f>
        <v/>
      </c>
      <c r="L1435">
        <f>IF(OR($E1435="",$E1435="نامعتبر"),"",IF(Sync!$W1432="",0,Sync!$W1432))</f>
        <v/>
      </c>
      <c r="M1435">
        <f>IF(OR($E1435="",$E1435="نامعتبر"),"",IF(Sync!$X1432="",0,Sync!$X1432))</f>
        <v/>
      </c>
      <c r="N1435">
        <f>IF(OR($E1435="",$E1435="نامعتبر"),"",IF(AND($J1435="هزینه",$K1435&lt;&gt;""),1,0))</f>
        <v/>
      </c>
      <c r="O1435">
        <f>IF($N1435=0,"",LEFT($E1435,4)&amp;MID($E1435,6,2)&amp;RIGHT($E1435,2)&amp;$F1435&amp;"|"&amp;"1"&amp;RIGHT("00000"&amp;1427,5))</f>
        <v/>
      </c>
      <c r="P1435">
        <f>IF($O1435="","",COUNTIFS(ExpSub,$K1435,ExpKey,"&lt;"&amp;$O1435)+1)</f>
        <v/>
      </c>
      <c r="Q1435">
        <f>IF($P1435="","",$K1435&amp;"|"&amp;RIGHT("000000"&amp;$P1435,6))</f>
        <v/>
      </c>
    </row>
    <row r="1436">
      <c r="A1436">
        <f>IF(Sync!$P1433="","",Sync!$P1433)</f>
        <v/>
      </c>
      <c r="B1436">
        <f>IF($A1436="","",IF(ISNUMBER($A1436),IF(AND($A1436&gt;=10000101,$A1436&lt;=99991231),INT($A1436/10000),""),IFERROR(VALUE(TRIM(LEFT($A1436,FIND("/",$A1436)-1))),"")))</f>
        <v/>
      </c>
      <c r="C1436">
        <f>IF(OR($A1436="",$B1436=""),"",IF(ISNUMBER($A1436),INT(MOD($A1436,10000)/100),IFERROR(VALUE(TRIM(LEFT(MID($A1436,FIND("/",$A1436)+1,20),FIND("/",MID($A1436,FIND("/",$A1436)+1,20))-1))),"")))</f>
        <v/>
      </c>
      <c r="D1436">
        <f>IF(OR($A1436="",$B1436=""),"",IF(ISNUMBER($A1436),MOD($A1436,100),IFERROR(VALUE(TRIM(MID(MID($A1436,FIND("/",$A1436)+1,20),FIND("/",MID($A1436,FIND("/",$A1436)+1,20))+1,20))),"")))</f>
        <v/>
      </c>
      <c r="E1436">
        <f>IF($A1436="","",IF(OR($B1436="",$C1436="",$D1436="",$B1436&lt;1300,$B1436&gt;1500,$C1436&lt;1,$C1436&gt;12,$D1436&lt;1,$D1436&gt;31),"نامعتبر",RIGHT("0000"&amp;$B1436,4)&amp;"/"&amp;RIGHT("00"&amp;$C1436,2)&amp;"/"&amp;RIGHT("00"&amp;$D1436,2)))</f>
        <v/>
      </c>
      <c r="F1436">
        <f>IF(OR($E1436="",$E1436="نامعتبر"),"",IF(Sync!$Q1433="","0000",IF(AND(ISNUMBER(Sync!$Q1433),Sync!$Q1433&gt;=0,Sync!$Q1433&lt;1),RIGHT("00"&amp;HOUR(Sync!$Q1433),2)&amp;RIGHT("00"&amp;MINUTE(Sync!$Q1433),2),IFERROR(RIGHT("00"&amp;VALUE(LEFT(Sync!$Q1433,FIND(":",Sync!$Q1433)-1)),2)&amp;RIGHT("00"&amp;VALUE(MID(Sync!$Q1433,FIND(":",Sync!$Q1433)+1,2)),2),"0000"))))</f>
        <v/>
      </c>
      <c r="G1436">
        <f>IF(OR($E1436="",$E1436="نامعتبر"),"",IF(Sync!$S1433="","",Sync!$S1433))</f>
        <v/>
      </c>
      <c r="H1436">
        <f>IF(OR($E1436="",$E1436="نامعتبر"),"",IF(Sync!$R1433="","",Sync!$R1433))</f>
        <v/>
      </c>
      <c r="I1436">
        <f>IF(OR($E1436="",$E1436="نامعتبر"),"",IF(Sync!$T1433="","",Sync!$T1433))</f>
        <v/>
      </c>
      <c r="J1436">
        <f>IF(OR($E1436="",$E1436="نامعتبر"),"",IF(Sync!$U1433="","",Sync!$U1433))</f>
        <v/>
      </c>
      <c r="K1436">
        <f>IF(OR($E1436="",$E1436="نامعتبر"),"",IF(Sync!$V1433="","",IFERROR(INDEX(SubCodes,MATCH(Sync!$V1433,SubTitles,0)),Sync!$V1433)))</f>
        <v/>
      </c>
      <c r="L1436">
        <f>IF(OR($E1436="",$E1436="نامعتبر"),"",IF(Sync!$W1433="",0,Sync!$W1433))</f>
        <v/>
      </c>
      <c r="M1436">
        <f>IF(OR($E1436="",$E1436="نامعتبر"),"",IF(Sync!$X1433="",0,Sync!$X1433))</f>
        <v/>
      </c>
      <c r="N1436">
        <f>IF(OR($E1436="",$E1436="نامعتبر"),"",IF(AND($J1436="هزینه",$K1436&lt;&gt;""),1,0))</f>
        <v/>
      </c>
      <c r="O1436">
        <f>IF($N1436=0,"",LEFT($E1436,4)&amp;MID($E1436,6,2)&amp;RIGHT($E1436,2)&amp;$F1436&amp;"|"&amp;"1"&amp;RIGHT("00000"&amp;1428,5))</f>
        <v/>
      </c>
      <c r="P1436">
        <f>IF($O1436="","",COUNTIFS(ExpSub,$K1436,ExpKey,"&lt;"&amp;$O1436)+1)</f>
        <v/>
      </c>
      <c r="Q1436">
        <f>IF($P1436="","",$K1436&amp;"|"&amp;RIGHT("000000"&amp;$P1436,6))</f>
        <v/>
      </c>
    </row>
    <row r="1437">
      <c r="A1437">
        <f>IF(Sync!$P1434="","",Sync!$P1434)</f>
        <v/>
      </c>
      <c r="B1437">
        <f>IF($A1437="","",IF(ISNUMBER($A1437),IF(AND($A1437&gt;=10000101,$A1437&lt;=99991231),INT($A1437/10000),""),IFERROR(VALUE(TRIM(LEFT($A1437,FIND("/",$A1437)-1))),"")))</f>
        <v/>
      </c>
      <c r="C1437">
        <f>IF(OR($A1437="",$B1437=""),"",IF(ISNUMBER($A1437),INT(MOD($A1437,10000)/100),IFERROR(VALUE(TRIM(LEFT(MID($A1437,FIND("/",$A1437)+1,20),FIND("/",MID($A1437,FIND("/",$A1437)+1,20))-1))),"")))</f>
        <v/>
      </c>
      <c r="D1437">
        <f>IF(OR($A1437="",$B1437=""),"",IF(ISNUMBER($A1437),MOD($A1437,100),IFERROR(VALUE(TRIM(MID(MID($A1437,FIND("/",$A1437)+1,20),FIND("/",MID($A1437,FIND("/",$A1437)+1,20))+1,20))),"")))</f>
        <v/>
      </c>
      <c r="E1437">
        <f>IF($A1437="","",IF(OR($B1437="",$C1437="",$D1437="",$B1437&lt;1300,$B1437&gt;1500,$C1437&lt;1,$C1437&gt;12,$D1437&lt;1,$D1437&gt;31),"نامعتبر",RIGHT("0000"&amp;$B1437,4)&amp;"/"&amp;RIGHT("00"&amp;$C1437,2)&amp;"/"&amp;RIGHT("00"&amp;$D1437,2)))</f>
        <v/>
      </c>
      <c r="F1437">
        <f>IF(OR($E1437="",$E1437="نامعتبر"),"",IF(Sync!$Q1434="","0000",IF(AND(ISNUMBER(Sync!$Q1434),Sync!$Q1434&gt;=0,Sync!$Q1434&lt;1),RIGHT("00"&amp;HOUR(Sync!$Q1434),2)&amp;RIGHT("00"&amp;MINUTE(Sync!$Q1434),2),IFERROR(RIGHT("00"&amp;VALUE(LEFT(Sync!$Q1434,FIND(":",Sync!$Q1434)-1)),2)&amp;RIGHT("00"&amp;VALUE(MID(Sync!$Q1434,FIND(":",Sync!$Q1434)+1,2)),2),"0000"))))</f>
        <v/>
      </c>
      <c r="G1437">
        <f>IF(OR($E1437="",$E1437="نامعتبر"),"",IF(Sync!$S1434="","",Sync!$S1434))</f>
        <v/>
      </c>
      <c r="H1437">
        <f>IF(OR($E1437="",$E1437="نامعتبر"),"",IF(Sync!$R1434="","",Sync!$R1434))</f>
        <v/>
      </c>
      <c r="I1437">
        <f>IF(OR($E1437="",$E1437="نامعتبر"),"",IF(Sync!$T1434="","",Sync!$T1434))</f>
        <v/>
      </c>
      <c r="J1437">
        <f>IF(OR($E1437="",$E1437="نامعتبر"),"",IF(Sync!$U1434="","",Sync!$U1434))</f>
        <v/>
      </c>
      <c r="K1437">
        <f>IF(OR($E1437="",$E1437="نامعتبر"),"",IF(Sync!$V1434="","",IFERROR(INDEX(SubCodes,MATCH(Sync!$V1434,SubTitles,0)),Sync!$V1434)))</f>
        <v/>
      </c>
      <c r="L1437">
        <f>IF(OR($E1437="",$E1437="نامعتبر"),"",IF(Sync!$W1434="",0,Sync!$W1434))</f>
        <v/>
      </c>
      <c r="M1437">
        <f>IF(OR($E1437="",$E1437="نامعتبر"),"",IF(Sync!$X1434="",0,Sync!$X1434))</f>
        <v/>
      </c>
      <c r="N1437">
        <f>IF(OR($E1437="",$E1437="نامعتبر"),"",IF(AND($J1437="هزینه",$K1437&lt;&gt;""),1,0))</f>
        <v/>
      </c>
      <c r="O1437">
        <f>IF($N1437=0,"",LEFT($E1437,4)&amp;MID($E1437,6,2)&amp;RIGHT($E1437,2)&amp;$F1437&amp;"|"&amp;"1"&amp;RIGHT("00000"&amp;1429,5))</f>
        <v/>
      </c>
      <c r="P1437">
        <f>IF($O1437="","",COUNTIFS(ExpSub,$K1437,ExpKey,"&lt;"&amp;$O1437)+1)</f>
        <v/>
      </c>
      <c r="Q1437">
        <f>IF($P1437="","",$K1437&amp;"|"&amp;RIGHT("000000"&amp;$P1437,6))</f>
        <v/>
      </c>
    </row>
    <row r="1438">
      <c r="A1438">
        <f>IF(Sync!$P1435="","",Sync!$P1435)</f>
        <v/>
      </c>
      <c r="B1438">
        <f>IF($A1438="","",IF(ISNUMBER($A1438),IF(AND($A1438&gt;=10000101,$A1438&lt;=99991231),INT($A1438/10000),""),IFERROR(VALUE(TRIM(LEFT($A1438,FIND("/",$A1438)-1))),"")))</f>
        <v/>
      </c>
      <c r="C1438">
        <f>IF(OR($A1438="",$B1438=""),"",IF(ISNUMBER($A1438),INT(MOD($A1438,10000)/100),IFERROR(VALUE(TRIM(LEFT(MID($A1438,FIND("/",$A1438)+1,20),FIND("/",MID($A1438,FIND("/",$A1438)+1,20))-1))),"")))</f>
        <v/>
      </c>
      <c r="D1438">
        <f>IF(OR($A1438="",$B1438=""),"",IF(ISNUMBER($A1438),MOD($A1438,100),IFERROR(VALUE(TRIM(MID(MID($A1438,FIND("/",$A1438)+1,20),FIND("/",MID($A1438,FIND("/",$A1438)+1,20))+1,20))),"")))</f>
        <v/>
      </c>
      <c r="E1438">
        <f>IF($A1438="","",IF(OR($B1438="",$C1438="",$D1438="",$B1438&lt;1300,$B1438&gt;1500,$C1438&lt;1,$C1438&gt;12,$D1438&lt;1,$D1438&gt;31),"نامعتبر",RIGHT("0000"&amp;$B1438,4)&amp;"/"&amp;RIGHT("00"&amp;$C1438,2)&amp;"/"&amp;RIGHT("00"&amp;$D1438,2)))</f>
        <v/>
      </c>
      <c r="F1438">
        <f>IF(OR($E1438="",$E1438="نامعتبر"),"",IF(Sync!$Q1435="","0000",IF(AND(ISNUMBER(Sync!$Q1435),Sync!$Q1435&gt;=0,Sync!$Q1435&lt;1),RIGHT("00"&amp;HOUR(Sync!$Q1435),2)&amp;RIGHT("00"&amp;MINUTE(Sync!$Q1435),2),IFERROR(RIGHT("00"&amp;VALUE(LEFT(Sync!$Q1435,FIND(":",Sync!$Q1435)-1)),2)&amp;RIGHT("00"&amp;VALUE(MID(Sync!$Q1435,FIND(":",Sync!$Q1435)+1,2)),2),"0000"))))</f>
        <v/>
      </c>
      <c r="G1438">
        <f>IF(OR($E1438="",$E1438="نامعتبر"),"",IF(Sync!$S1435="","",Sync!$S1435))</f>
        <v/>
      </c>
      <c r="H1438">
        <f>IF(OR($E1438="",$E1438="نامعتبر"),"",IF(Sync!$R1435="","",Sync!$R1435))</f>
        <v/>
      </c>
      <c r="I1438">
        <f>IF(OR($E1438="",$E1438="نامعتبر"),"",IF(Sync!$T1435="","",Sync!$T1435))</f>
        <v/>
      </c>
      <c r="J1438">
        <f>IF(OR($E1438="",$E1438="نامعتبر"),"",IF(Sync!$U1435="","",Sync!$U1435))</f>
        <v/>
      </c>
      <c r="K1438">
        <f>IF(OR($E1438="",$E1438="نامعتبر"),"",IF(Sync!$V1435="","",IFERROR(INDEX(SubCodes,MATCH(Sync!$V1435,SubTitles,0)),Sync!$V1435)))</f>
        <v/>
      </c>
      <c r="L1438">
        <f>IF(OR($E1438="",$E1438="نامعتبر"),"",IF(Sync!$W1435="",0,Sync!$W1435))</f>
        <v/>
      </c>
      <c r="M1438">
        <f>IF(OR($E1438="",$E1438="نامعتبر"),"",IF(Sync!$X1435="",0,Sync!$X1435))</f>
        <v/>
      </c>
      <c r="N1438">
        <f>IF(OR($E1438="",$E1438="نامعتبر"),"",IF(AND($J1438="هزینه",$K1438&lt;&gt;""),1,0))</f>
        <v/>
      </c>
      <c r="O1438">
        <f>IF($N1438=0,"",LEFT($E1438,4)&amp;MID($E1438,6,2)&amp;RIGHT($E1438,2)&amp;$F1438&amp;"|"&amp;"1"&amp;RIGHT("00000"&amp;1430,5))</f>
        <v/>
      </c>
      <c r="P1438">
        <f>IF($O1438="","",COUNTIFS(ExpSub,$K1438,ExpKey,"&lt;"&amp;$O1438)+1)</f>
        <v/>
      </c>
      <c r="Q1438">
        <f>IF($P1438="","",$K1438&amp;"|"&amp;RIGHT("000000"&amp;$P1438,6))</f>
        <v/>
      </c>
    </row>
    <row r="1439">
      <c r="A1439">
        <f>IF(Sync!$P1436="","",Sync!$P1436)</f>
        <v/>
      </c>
      <c r="B1439">
        <f>IF($A1439="","",IF(ISNUMBER($A1439),IF(AND($A1439&gt;=10000101,$A1439&lt;=99991231),INT($A1439/10000),""),IFERROR(VALUE(TRIM(LEFT($A1439,FIND("/",$A1439)-1))),"")))</f>
        <v/>
      </c>
      <c r="C1439">
        <f>IF(OR($A1439="",$B1439=""),"",IF(ISNUMBER($A1439),INT(MOD($A1439,10000)/100),IFERROR(VALUE(TRIM(LEFT(MID($A1439,FIND("/",$A1439)+1,20),FIND("/",MID($A1439,FIND("/",$A1439)+1,20))-1))),"")))</f>
        <v/>
      </c>
      <c r="D1439">
        <f>IF(OR($A1439="",$B1439=""),"",IF(ISNUMBER($A1439),MOD($A1439,100),IFERROR(VALUE(TRIM(MID(MID($A1439,FIND("/",$A1439)+1,20),FIND("/",MID($A1439,FIND("/",$A1439)+1,20))+1,20))),"")))</f>
        <v/>
      </c>
      <c r="E1439">
        <f>IF($A1439="","",IF(OR($B1439="",$C1439="",$D1439="",$B1439&lt;1300,$B1439&gt;1500,$C1439&lt;1,$C1439&gt;12,$D1439&lt;1,$D1439&gt;31),"نامعتبر",RIGHT("0000"&amp;$B1439,4)&amp;"/"&amp;RIGHT("00"&amp;$C1439,2)&amp;"/"&amp;RIGHT("00"&amp;$D1439,2)))</f>
        <v/>
      </c>
      <c r="F1439">
        <f>IF(OR($E1439="",$E1439="نامعتبر"),"",IF(Sync!$Q1436="","0000",IF(AND(ISNUMBER(Sync!$Q1436),Sync!$Q1436&gt;=0,Sync!$Q1436&lt;1),RIGHT("00"&amp;HOUR(Sync!$Q1436),2)&amp;RIGHT("00"&amp;MINUTE(Sync!$Q1436),2),IFERROR(RIGHT("00"&amp;VALUE(LEFT(Sync!$Q1436,FIND(":",Sync!$Q1436)-1)),2)&amp;RIGHT("00"&amp;VALUE(MID(Sync!$Q1436,FIND(":",Sync!$Q1436)+1,2)),2),"0000"))))</f>
        <v/>
      </c>
      <c r="G1439">
        <f>IF(OR($E1439="",$E1439="نامعتبر"),"",IF(Sync!$S1436="","",Sync!$S1436))</f>
        <v/>
      </c>
      <c r="H1439">
        <f>IF(OR($E1439="",$E1439="نامعتبر"),"",IF(Sync!$R1436="","",Sync!$R1436))</f>
        <v/>
      </c>
      <c r="I1439">
        <f>IF(OR($E1439="",$E1439="نامعتبر"),"",IF(Sync!$T1436="","",Sync!$T1436))</f>
        <v/>
      </c>
      <c r="J1439">
        <f>IF(OR($E1439="",$E1439="نامعتبر"),"",IF(Sync!$U1436="","",Sync!$U1436))</f>
        <v/>
      </c>
      <c r="K1439">
        <f>IF(OR($E1439="",$E1439="نامعتبر"),"",IF(Sync!$V1436="","",IFERROR(INDEX(SubCodes,MATCH(Sync!$V1436,SubTitles,0)),Sync!$V1436)))</f>
        <v/>
      </c>
      <c r="L1439">
        <f>IF(OR($E1439="",$E1439="نامعتبر"),"",IF(Sync!$W1436="",0,Sync!$W1436))</f>
        <v/>
      </c>
      <c r="M1439">
        <f>IF(OR($E1439="",$E1439="نامعتبر"),"",IF(Sync!$X1436="",0,Sync!$X1436))</f>
        <v/>
      </c>
      <c r="N1439">
        <f>IF(OR($E1439="",$E1439="نامعتبر"),"",IF(AND($J1439="هزینه",$K1439&lt;&gt;""),1,0))</f>
        <v/>
      </c>
      <c r="O1439">
        <f>IF($N1439=0,"",LEFT($E1439,4)&amp;MID($E1439,6,2)&amp;RIGHT($E1439,2)&amp;$F1439&amp;"|"&amp;"1"&amp;RIGHT("00000"&amp;1431,5))</f>
        <v/>
      </c>
      <c r="P1439">
        <f>IF($O1439="","",COUNTIFS(ExpSub,$K1439,ExpKey,"&lt;"&amp;$O1439)+1)</f>
        <v/>
      </c>
      <c r="Q1439">
        <f>IF($P1439="","",$K1439&amp;"|"&amp;RIGHT("000000"&amp;$P1439,6))</f>
        <v/>
      </c>
    </row>
    <row r="1440">
      <c r="A1440">
        <f>IF(Sync!$P1437="","",Sync!$P1437)</f>
        <v/>
      </c>
      <c r="B1440">
        <f>IF($A1440="","",IF(ISNUMBER($A1440),IF(AND($A1440&gt;=10000101,$A1440&lt;=99991231),INT($A1440/10000),""),IFERROR(VALUE(TRIM(LEFT($A1440,FIND("/",$A1440)-1))),"")))</f>
        <v/>
      </c>
      <c r="C1440">
        <f>IF(OR($A1440="",$B1440=""),"",IF(ISNUMBER($A1440),INT(MOD($A1440,10000)/100),IFERROR(VALUE(TRIM(LEFT(MID($A1440,FIND("/",$A1440)+1,20),FIND("/",MID($A1440,FIND("/",$A1440)+1,20))-1))),"")))</f>
        <v/>
      </c>
      <c r="D1440">
        <f>IF(OR($A1440="",$B1440=""),"",IF(ISNUMBER($A1440),MOD($A1440,100),IFERROR(VALUE(TRIM(MID(MID($A1440,FIND("/",$A1440)+1,20),FIND("/",MID($A1440,FIND("/",$A1440)+1,20))+1,20))),"")))</f>
        <v/>
      </c>
      <c r="E1440">
        <f>IF($A1440="","",IF(OR($B1440="",$C1440="",$D1440="",$B1440&lt;1300,$B1440&gt;1500,$C1440&lt;1,$C1440&gt;12,$D1440&lt;1,$D1440&gt;31),"نامعتبر",RIGHT("0000"&amp;$B1440,4)&amp;"/"&amp;RIGHT("00"&amp;$C1440,2)&amp;"/"&amp;RIGHT("00"&amp;$D1440,2)))</f>
        <v/>
      </c>
      <c r="F1440">
        <f>IF(OR($E1440="",$E1440="نامعتبر"),"",IF(Sync!$Q1437="","0000",IF(AND(ISNUMBER(Sync!$Q1437),Sync!$Q1437&gt;=0,Sync!$Q1437&lt;1),RIGHT("00"&amp;HOUR(Sync!$Q1437),2)&amp;RIGHT("00"&amp;MINUTE(Sync!$Q1437),2),IFERROR(RIGHT("00"&amp;VALUE(LEFT(Sync!$Q1437,FIND(":",Sync!$Q1437)-1)),2)&amp;RIGHT("00"&amp;VALUE(MID(Sync!$Q1437,FIND(":",Sync!$Q1437)+1,2)),2),"0000"))))</f>
        <v/>
      </c>
      <c r="G1440">
        <f>IF(OR($E1440="",$E1440="نامعتبر"),"",IF(Sync!$S1437="","",Sync!$S1437))</f>
        <v/>
      </c>
      <c r="H1440">
        <f>IF(OR($E1440="",$E1440="نامعتبر"),"",IF(Sync!$R1437="","",Sync!$R1437))</f>
        <v/>
      </c>
      <c r="I1440">
        <f>IF(OR($E1440="",$E1440="نامعتبر"),"",IF(Sync!$T1437="","",Sync!$T1437))</f>
        <v/>
      </c>
      <c r="J1440">
        <f>IF(OR($E1440="",$E1440="نامعتبر"),"",IF(Sync!$U1437="","",Sync!$U1437))</f>
        <v/>
      </c>
      <c r="K1440">
        <f>IF(OR($E1440="",$E1440="نامعتبر"),"",IF(Sync!$V1437="","",IFERROR(INDEX(SubCodes,MATCH(Sync!$V1437,SubTitles,0)),Sync!$V1437)))</f>
        <v/>
      </c>
      <c r="L1440">
        <f>IF(OR($E1440="",$E1440="نامعتبر"),"",IF(Sync!$W1437="",0,Sync!$W1437))</f>
        <v/>
      </c>
      <c r="M1440">
        <f>IF(OR($E1440="",$E1440="نامعتبر"),"",IF(Sync!$X1437="",0,Sync!$X1437))</f>
        <v/>
      </c>
      <c r="N1440">
        <f>IF(OR($E1440="",$E1440="نامعتبر"),"",IF(AND($J1440="هزینه",$K1440&lt;&gt;""),1,0))</f>
        <v/>
      </c>
      <c r="O1440">
        <f>IF($N1440=0,"",LEFT($E1440,4)&amp;MID($E1440,6,2)&amp;RIGHT($E1440,2)&amp;$F1440&amp;"|"&amp;"1"&amp;RIGHT("00000"&amp;1432,5))</f>
        <v/>
      </c>
      <c r="P1440">
        <f>IF($O1440="","",COUNTIFS(ExpSub,$K1440,ExpKey,"&lt;"&amp;$O1440)+1)</f>
        <v/>
      </c>
      <c r="Q1440">
        <f>IF($P1440="","",$K1440&amp;"|"&amp;RIGHT("000000"&amp;$P1440,6))</f>
        <v/>
      </c>
    </row>
    <row r="1441">
      <c r="A1441">
        <f>IF(Sync!$P1438="","",Sync!$P1438)</f>
        <v/>
      </c>
      <c r="B1441">
        <f>IF($A1441="","",IF(ISNUMBER($A1441),IF(AND($A1441&gt;=10000101,$A1441&lt;=99991231),INT($A1441/10000),""),IFERROR(VALUE(TRIM(LEFT($A1441,FIND("/",$A1441)-1))),"")))</f>
        <v/>
      </c>
      <c r="C1441">
        <f>IF(OR($A1441="",$B1441=""),"",IF(ISNUMBER($A1441),INT(MOD($A1441,10000)/100),IFERROR(VALUE(TRIM(LEFT(MID($A1441,FIND("/",$A1441)+1,20),FIND("/",MID($A1441,FIND("/",$A1441)+1,20))-1))),"")))</f>
        <v/>
      </c>
      <c r="D1441">
        <f>IF(OR($A1441="",$B1441=""),"",IF(ISNUMBER($A1441),MOD($A1441,100),IFERROR(VALUE(TRIM(MID(MID($A1441,FIND("/",$A1441)+1,20),FIND("/",MID($A1441,FIND("/",$A1441)+1,20))+1,20))),"")))</f>
        <v/>
      </c>
      <c r="E1441">
        <f>IF($A1441="","",IF(OR($B1441="",$C1441="",$D1441="",$B1441&lt;1300,$B1441&gt;1500,$C1441&lt;1,$C1441&gt;12,$D1441&lt;1,$D1441&gt;31),"نامعتبر",RIGHT("0000"&amp;$B1441,4)&amp;"/"&amp;RIGHT("00"&amp;$C1441,2)&amp;"/"&amp;RIGHT("00"&amp;$D1441,2)))</f>
        <v/>
      </c>
      <c r="F1441">
        <f>IF(OR($E1441="",$E1441="نامعتبر"),"",IF(Sync!$Q1438="","0000",IF(AND(ISNUMBER(Sync!$Q1438),Sync!$Q1438&gt;=0,Sync!$Q1438&lt;1),RIGHT("00"&amp;HOUR(Sync!$Q1438),2)&amp;RIGHT("00"&amp;MINUTE(Sync!$Q1438),2),IFERROR(RIGHT("00"&amp;VALUE(LEFT(Sync!$Q1438,FIND(":",Sync!$Q1438)-1)),2)&amp;RIGHT("00"&amp;VALUE(MID(Sync!$Q1438,FIND(":",Sync!$Q1438)+1,2)),2),"0000"))))</f>
        <v/>
      </c>
      <c r="G1441">
        <f>IF(OR($E1441="",$E1441="نامعتبر"),"",IF(Sync!$S1438="","",Sync!$S1438))</f>
        <v/>
      </c>
      <c r="H1441">
        <f>IF(OR($E1441="",$E1441="نامعتبر"),"",IF(Sync!$R1438="","",Sync!$R1438))</f>
        <v/>
      </c>
      <c r="I1441">
        <f>IF(OR($E1441="",$E1441="نامعتبر"),"",IF(Sync!$T1438="","",Sync!$T1438))</f>
        <v/>
      </c>
      <c r="J1441">
        <f>IF(OR($E1441="",$E1441="نامعتبر"),"",IF(Sync!$U1438="","",Sync!$U1438))</f>
        <v/>
      </c>
      <c r="K1441">
        <f>IF(OR($E1441="",$E1441="نامعتبر"),"",IF(Sync!$V1438="","",IFERROR(INDEX(SubCodes,MATCH(Sync!$V1438,SubTitles,0)),Sync!$V1438)))</f>
        <v/>
      </c>
      <c r="L1441">
        <f>IF(OR($E1441="",$E1441="نامعتبر"),"",IF(Sync!$W1438="",0,Sync!$W1438))</f>
        <v/>
      </c>
      <c r="M1441">
        <f>IF(OR($E1441="",$E1441="نامعتبر"),"",IF(Sync!$X1438="",0,Sync!$X1438))</f>
        <v/>
      </c>
      <c r="N1441">
        <f>IF(OR($E1441="",$E1441="نامعتبر"),"",IF(AND($J1441="هزینه",$K1441&lt;&gt;""),1,0))</f>
        <v/>
      </c>
      <c r="O1441">
        <f>IF($N1441=0,"",LEFT($E1441,4)&amp;MID($E1441,6,2)&amp;RIGHT($E1441,2)&amp;$F1441&amp;"|"&amp;"1"&amp;RIGHT("00000"&amp;1433,5))</f>
        <v/>
      </c>
      <c r="P1441">
        <f>IF($O1441="","",COUNTIFS(ExpSub,$K1441,ExpKey,"&lt;"&amp;$O1441)+1)</f>
        <v/>
      </c>
      <c r="Q1441">
        <f>IF($P1441="","",$K1441&amp;"|"&amp;RIGHT("000000"&amp;$P1441,6))</f>
        <v/>
      </c>
    </row>
    <row r="1442">
      <c r="A1442">
        <f>IF(Sync!$P1439="","",Sync!$P1439)</f>
        <v/>
      </c>
      <c r="B1442">
        <f>IF($A1442="","",IF(ISNUMBER($A1442),IF(AND($A1442&gt;=10000101,$A1442&lt;=99991231),INT($A1442/10000),""),IFERROR(VALUE(TRIM(LEFT($A1442,FIND("/",$A1442)-1))),"")))</f>
        <v/>
      </c>
      <c r="C1442">
        <f>IF(OR($A1442="",$B1442=""),"",IF(ISNUMBER($A1442),INT(MOD($A1442,10000)/100),IFERROR(VALUE(TRIM(LEFT(MID($A1442,FIND("/",$A1442)+1,20),FIND("/",MID($A1442,FIND("/",$A1442)+1,20))-1))),"")))</f>
        <v/>
      </c>
      <c r="D1442">
        <f>IF(OR($A1442="",$B1442=""),"",IF(ISNUMBER($A1442),MOD($A1442,100),IFERROR(VALUE(TRIM(MID(MID($A1442,FIND("/",$A1442)+1,20),FIND("/",MID($A1442,FIND("/",$A1442)+1,20))+1,20))),"")))</f>
        <v/>
      </c>
      <c r="E1442">
        <f>IF($A1442="","",IF(OR($B1442="",$C1442="",$D1442="",$B1442&lt;1300,$B1442&gt;1500,$C1442&lt;1,$C1442&gt;12,$D1442&lt;1,$D1442&gt;31),"نامعتبر",RIGHT("0000"&amp;$B1442,4)&amp;"/"&amp;RIGHT("00"&amp;$C1442,2)&amp;"/"&amp;RIGHT("00"&amp;$D1442,2)))</f>
        <v/>
      </c>
      <c r="F1442">
        <f>IF(OR($E1442="",$E1442="نامعتبر"),"",IF(Sync!$Q1439="","0000",IF(AND(ISNUMBER(Sync!$Q1439),Sync!$Q1439&gt;=0,Sync!$Q1439&lt;1),RIGHT("00"&amp;HOUR(Sync!$Q1439),2)&amp;RIGHT("00"&amp;MINUTE(Sync!$Q1439),2),IFERROR(RIGHT("00"&amp;VALUE(LEFT(Sync!$Q1439,FIND(":",Sync!$Q1439)-1)),2)&amp;RIGHT("00"&amp;VALUE(MID(Sync!$Q1439,FIND(":",Sync!$Q1439)+1,2)),2),"0000"))))</f>
        <v/>
      </c>
      <c r="G1442">
        <f>IF(OR($E1442="",$E1442="نامعتبر"),"",IF(Sync!$S1439="","",Sync!$S1439))</f>
        <v/>
      </c>
      <c r="H1442">
        <f>IF(OR($E1442="",$E1442="نامعتبر"),"",IF(Sync!$R1439="","",Sync!$R1439))</f>
        <v/>
      </c>
      <c r="I1442">
        <f>IF(OR($E1442="",$E1442="نامعتبر"),"",IF(Sync!$T1439="","",Sync!$T1439))</f>
        <v/>
      </c>
      <c r="J1442">
        <f>IF(OR($E1442="",$E1442="نامعتبر"),"",IF(Sync!$U1439="","",Sync!$U1439))</f>
        <v/>
      </c>
      <c r="K1442">
        <f>IF(OR($E1442="",$E1442="نامعتبر"),"",IF(Sync!$V1439="","",IFERROR(INDEX(SubCodes,MATCH(Sync!$V1439,SubTitles,0)),Sync!$V1439)))</f>
        <v/>
      </c>
      <c r="L1442">
        <f>IF(OR($E1442="",$E1442="نامعتبر"),"",IF(Sync!$W1439="",0,Sync!$W1439))</f>
        <v/>
      </c>
      <c r="M1442">
        <f>IF(OR($E1442="",$E1442="نامعتبر"),"",IF(Sync!$X1439="",0,Sync!$X1439))</f>
        <v/>
      </c>
      <c r="N1442">
        <f>IF(OR($E1442="",$E1442="نامعتبر"),"",IF(AND($J1442="هزینه",$K1442&lt;&gt;""),1,0))</f>
        <v/>
      </c>
      <c r="O1442">
        <f>IF($N1442=0,"",LEFT($E1442,4)&amp;MID($E1442,6,2)&amp;RIGHT($E1442,2)&amp;$F1442&amp;"|"&amp;"1"&amp;RIGHT("00000"&amp;1434,5))</f>
        <v/>
      </c>
      <c r="P1442">
        <f>IF($O1442="","",COUNTIFS(ExpSub,$K1442,ExpKey,"&lt;"&amp;$O1442)+1)</f>
        <v/>
      </c>
      <c r="Q1442">
        <f>IF($P1442="","",$K1442&amp;"|"&amp;RIGHT("000000"&amp;$P1442,6))</f>
        <v/>
      </c>
    </row>
    <row r="1443">
      <c r="A1443">
        <f>IF(Sync!$P1440="","",Sync!$P1440)</f>
        <v/>
      </c>
      <c r="B1443">
        <f>IF($A1443="","",IF(ISNUMBER($A1443),IF(AND($A1443&gt;=10000101,$A1443&lt;=99991231),INT($A1443/10000),""),IFERROR(VALUE(TRIM(LEFT($A1443,FIND("/",$A1443)-1))),"")))</f>
        <v/>
      </c>
      <c r="C1443">
        <f>IF(OR($A1443="",$B1443=""),"",IF(ISNUMBER($A1443),INT(MOD($A1443,10000)/100),IFERROR(VALUE(TRIM(LEFT(MID($A1443,FIND("/",$A1443)+1,20),FIND("/",MID($A1443,FIND("/",$A1443)+1,20))-1))),"")))</f>
        <v/>
      </c>
      <c r="D1443">
        <f>IF(OR($A1443="",$B1443=""),"",IF(ISNUMBER($A1443),MOD($A1443,100),IFERROR(VALUE(TRIM(MID(MID($A1443,FIND("/",$A1443)+1,20),FIND("/",MID($A1443,FIND("/",$A1443)+1,20))+1,20))),"")))</f>
        <v/>
      </c>
      <c r="E1443">
        <f>IF($A1443="","",IF(OR($B1443="",$C1443="",$D1443="",$B1443&lt;1300,$B1443&gt;1500,$C1443&lt;1,$C1443&gt;12,$D1443&lt;1,$D1443&gt;31),"نامعتبر",RIGHT("0000"&amp;$B1443,4)&amp;"/"&amp;RIGHT("00"&amp;$C1443,2)&amp;"/"&amp;RIGHT("00"&amp;$D1443,2)))</f>
        <v/>
      </c>
      <c r="F1443">
        <f>IF(OR($E1443="",$E1443="نامعتبر"),"",IF(Sync!$Q1440="","0000",IF(AND(ISNUMBER(Sync!$Q1440),Sync!$Q1440&gt;=0,Sync!$Q1440&lt;1),RIGHT("00"&amp;HOUR(Sync!$Q1440),2)&amp;RIGHT("00"&amp;MINUTE(Sync!$Q1440),2),IFERROR(RIGHT("00"&amp;VALUE(LEFT(Sync!$Q1440,FIND(":",Sync!$Q1440)-1)),2)&amp;RIGHT("00"&amp;VALUE(MID(Sync!$Q1440,FIND(":",Sync!$Q1440)+1,2)),2),"0000"))))</f>
        <v/>
      </c>
      <c r="G1443">
        <f>IF(OR($E1443="",$E1443="نامعتبر"),"",IF(Sync!$S1440="","",Sync!$S1440))</f>
        <v/>
      </c>
      <c r="H1443">
        <f>IF(OR($E1443="",$E1443="نامعتبر"),"",IF(Sync!$R1440="","",Sync!$R1440))</f>
        <v/>
      </c>
      <c r="I1443">
        <f>IF(OR($E1443="",$E1443="نامعتبر"),"",IF(Sync!$T1440="","",Sync!$T1440))</f>
        <v/>
      </c>
      <c r="J1443">
        <f>IF(OR($E1443="",$E1443="نامعتبر"),"",IF(Sync!$U1440="","",Sync!$U1440))</f>
        <v/>
      </c>
      <c r="K1443">
        <f>IF(OR($E1443="",$E1443="نامعتبر"),"",IF(Sync!$V1440="","",IFERROR(INDEX(SubCodes,MATCH(Sync!$V1440,SubTitles,0)),Sync!$V1440)))</f>
        <v/>
      </c>
      <c r="L1443">
        <f>IF(OR($E1443="",$E1443="نامعتبر"),"",IF(Sync!$W1440="",0,Sync!$W1440))</f>
        <v/>
      </c>
      <c r="M1443">
        <f>IF(OR($E1443="",$E1443="نامعتبر"),"",IF(Sync!$X1440="",0,Sync!$X1440))</f>
        <v/>
      </c>
      <c r="N1443">
        <f>IF(OR($E1443="",$E1443="نامعتبر"),"",IF(AND($J1443="هزینه",$K1443&lt;&gt;""),1,0))</f>
        <v/>
      </c>
      <c r="O1443">
        <f>IF($N1443=0,"",LEFT($E1443,4)&amp;MID($E1443,6,2)&amp;RIGHT($E1443,2)&amp;$F1443&amp;"|"&amp;"1"&amp;RIGHT("00000"&amp;1435,5))</f>
        <v/>
      </c>
      <c r="P1443">
        <f>IF($O1443="","",COUNTIFS(ExpSub,$K1443,ExpKey,"&lt;"&amp;$O1443)+1)</f>
        <v/>
      </c>
      <c r="Q1443">
        <f>IF($P1443="","",$K1443&amp;"|"&amp;RIGHT("000000"&amp;$P1443,6))</f>
        <v/>
      </c>
    </row>
    <row r="1444">
      <c r="A1444">
        <f>IF(Sync!$P1441="","",Sync!$P1441)</f>
        <v/>
      </c>
      <c r="B1444">
        <f>IF($A1444="","",IF(ISNUMBER($A1444),IF(AND($A1444&gt;=10000101,$A1444&lt;=99991231),INT($A1444/10000),""),IFERROR(VALUE(TRIM(LEFT($A1444,FIND("/",$A1444)-1))),"")))</f>
        <v/>
      </c>
      <c r="C1444">
        <f>IF(OR($A1444="",$B1444=""),"",IF(ISNUMBER($A1444),INT(MOD($A1444,10000)/100),IFERROR(VALUE(TRIM(LEFT(MID($A1444,FIND("/",$A1444)+1,20),FIND("/",MID($A1444,FIND("/",$A1444)+1,20))-1))),"")))</f>
        <v/>
      </c>
      <c r="D1444">
        <f>IF(OR($A1444="",$B1444=""),"",IF(ISNUMBER($A1444),MOD($A1444,100),IFERROR(VALUE(TRIM(MID(MID($A1444,FIND("/",$A1444)+1,20),FIND("/",MID($A1444,FIND("/",$A1444)+1,20))+1,20))),"")))</f>
        <v/>
      </c>
      <c r="E1444">
        <f>IF($A1444="","",IF(OR($B1444="",$C1444="",$D1444="",$B1444&lt;1300,$B1444&gt;1500,$C1444&lt;1,$C1444&gt;12,$D1444&lt;1,$D1444&gt;31),"نامعتبر",RIGHT("0000"&amp;$B1444,4)&amp;"/"&amp;RIGHT("00"&amp;$C1444,2)&amp;"/"&amp;RIGHT("00"&amp;$D1444,2)))</f>
        <v/>
      </c>
      <c r="F1444">
        <f>IF(OR($E1444="",$E1444="نامعتبر"),"",IF(Sync!$Q1441="","0000",IF(AND(ISNUMBER(Sync!$Q1441),Sync!$Q1441&gt;=0,Sync!$Q1441&lt;1),RIGHT("00"&amp;HOUR(Sync!$Q1441),2)&amp;RIGHT("00"&amp;MINUTE(Sync!$Q1441),2),IFERROR(RIGHT("00"&amp;VALUE(LEFT(Sync!$Q1441,FIND(":",Sync!$Q1441)-1)),2)&amp;RIGHT("00"&amp;VALUE(MID(Sync!$Q1441,FIND(":",Sync!$Q1441)+1,2)),2),"0000"))))</f>
        <v/>
      </c>
      <c r="G1444">
        <f>IF(OR($E1444="",$E1444="نامعتبر"),"",IF(Sync!$S1441="","",Sync!$S1441))</f>
        <v/>
      </c>
      <c r="H1444">
        <f>IF(OR($E1444="",$E1444="نامعتبر"),"",IF(Sync!$R1441="","",Sync!$R1441))</f>
        <v/>
      </c>
      <c r="I1444">
        <f>IF(OR($E1444="",$E1444="نامعتبر"),"",IF(Sync!$T1441="","",Sync!$T1441))</f>
        <v/>
      </c>
      <c r="J1444">
        <f>IF(OR($E1444="",$E1444="نامعتبر"),"",IF(Sync!$U1441="","",Sync!$U1441))</f>
        <v/>
      </c>
      <c r="K1444">
        <f>IF(OR($E1444="",$E1444="نامعتبر"),"",IF(Sync!$V1441="","",IFERROR(INDEX(SubCodes,MATCH(Sync!$V1441,SubTitles,0)),Sync!$V1441)))</f>
        <v/>
      </c>
      <c r="L1444">
        <f>IF(OR($E1444="",$E1444="نامعتبر"),"",IF(Sync!$W1441="",0,Sync!$W1441))</f>
        <v/>
      </c>
      <c r="M1444">
        <f>IF(OR($E1444="",$E1444="نامعتبر"),"",IF(Sync!$X1441="",0,Sync!$X1441))</f>
        <v/>
      </c>
      <c r="N1444">
        <f>IF(OR($E1444="",$E1444="نامعتبر"),"",IF(AND($J1444="هزینه",$K1444&lt;&gt;""),1,0))</f>
        <v/>
      </c>
      <c r="O1444">
        <f>IF($N1444=0,"",LEFT($E1444,4)&amp;MID($E1444,6,2)&amp;RIGHT($E1444,2)&amp;$F1444&amp;"|"&amp;"1"&amp;RIGHT("00000"&amp;1436,5))</f>
        <v/>
      </c>
      <c r="P1444">
        <f>IF($O1444="","",COUNTIFS(ExpSub,$K1444,ExpKey,"&lt;"&amp;$O1444)+1)</f>
        <v/>
      </c>
      <c r="Q1444">
        <f>IF($P1444="","",$K1444&amp;"|"&amp;RIGHT("000000"&amp;$P1444,6))</f>
        <v/>
      </c>
    </row>
    <row r="1445">
      <c r="A1445">
        <f>IF(Sync!$P1442="","",Sync!$P1442)</f>
        <v/>
      </c>
      <c r="B1445">
        <f>IF($A1445="","",IF(ISNUMBER($A1445),IF(AND($A1445&gt;=10000101,$A1445&lt;=99991231),INT($A1445/10000),""),IFERROR(VALUE(TRIM(LEFT($A1445,FIND("/",$A1445)-1))),"")))</f>
        <v/>
      </c>
      <c r="C1445">
        <f>IF(OR($A1445="",$B1445=""),"",IF(ISNUMBER($A1445),INT(MOD($A1445,10000)/100),IFERROR(VALUE(TRIM(LEFT(MID($A1445,FIND("/",$A1445)+1,20),FIND("/",MID($A1445,FIND("/",$A1445)+1,20))-1))),"")))</f>
        <v/>
      </c>
      <c r="D1445">
        <f>IF(OR($A1445="",$B1445=""),"",IF(ISNUMBER($A1445),MOD($A1445,100),IFERROR(VALUE(TRIM(MID(MID($A1445,FIND("/",$A1445)+1,20),FIND("/",MID($A1445,FIND("/",$A1445)+1,20))+1,20))),"")))</f>
        <v/>
      </c>
      <c r="E1445">
        <f>IF($A1445="","",IF(OR($B1445="",$C1445="",$D1445="",$B1445&lt;1300,$B1445&gt;1500,$C1445&lt;1,$C1445&gt;12,$D1445&lt;1,$D1445&gt;31),"نامعتبر",RIGHT("0000"&amp;$B1445,4)&amp;"/"&amp;RIGHT("00"&amp;$C1445,2)&amp;"/"&amp;RIGHT("00"&amp;$D1445,2)))</f>
        <v/>
      </c>
      <c r="F1445">
        <f>IF(OR($E1445="",$E1445="نامعتبر"),"",IF(Sync!$Q1442="","0000",IF(AND(ISNUMBER(Sync!$Q1442),Sync!$Q1442&gt;=0,Sync!$Q1442&lt;1),RIGHT("00"&amp;HOUR(Sync!$Q1442),2)&amp;RIGHT("00"&amp;MINUTE(Sync!$Q1442),2),IFERROR(RIGHT("00"&amp;VALUE(LEFT(Sync!$Q1442,FIND(":",Sync!$Q1442)-1)),2)&amp;RIGHT("00"&amp;VALUE(MID(Sync!$Q1442,FIND(":",Sync!$Q1442)+1,2)),2),"0000"))))</f>
        <v/>
      </c>
      <c r="G1445">
        <f>IF(OR($E1445="",$E1445="نامعتبر"),"",IF(Sync!$S1442="","",Sync!$S1442))</f>
        <v/>
      </c>
      <c r="H1445">
        <f>IF(OR($E1445="",$E1445="نامعتبر"),"",IF(Sync!$R1442="","",Sync!$R1442))</f>
        <v/>
      </c>
      <c r="I1445">
        <f>IF(OR($E1445="",$E1445="نامعتبر"),"",IF(Sync!$T1442="","",Sync!$T1442))</f>
        <v/>
      </c>
      <c r="J1445">
        <f>IF(OR($E1445="",$E1445="نامعتبر"),"",IF(Sync!$U1442="","",Sync!$U1442))</f>
        <v/>
      </c>
      <c r="K1445">
        <f>IF(OR($E1445="",$E1445="نامعتبر"),"",IF(Sync!$V1442="","",IFERROR(INDEX(SubCodes,MATCH(Sync!$V1442,SubTitles,0)),Sync!$V1442)))</f>
        <v/>
      </c>
      <c r="L1445">
        <f>IF(OR($E1445="",$E1445="نامعتبر"),"",IF(Sync!$W1442="",0,Sync!$W1442))</f>
        <v/>
      </c>
      <c r="M1445">
        <f>IF(OR($E1445="",$E1445="نامعتبر"),"",IF(Sync!$X1442="",0,Sync!$X1442))</f>
        <v/>
      </c>
      <c r="N1445">
        <f>IF(OR($E1445="",$E1445="نامعتبر"),"",IF(AND($J1445="هزینه",$K1445&lt;&gt;""),1,0))</f>
        <v/>
      </c>
      <c r="O1445">
        <f>IF($N1445=0,"",LEFT($E1445,4)&amp;MID($E1445,6,2)&amp;RIGHT($E1445,2)&amp;$F1445&amp;"|"&amp;"1"&amp;RIGHT("00000"&amp;1437,5))</f>
        <v/>
      </c>
      <c r="P1445">
        <f>IF($O1445="","",COUNTIFS(ExpSub,$K1445,ExpKey,"&lt;"&amp;$O1445)+1)</f>
        <v/>
      </c>
      <c r="Q1445">
        <f>IF($P1445="","",$K1445&amp;"|"&amp;RIGHT("000000"&amp;$P1445,6))</f>
        <v/>
      </c>
    </row>
    <row r="1446">
      <c r="A1446">
        <f>IF(Sync!$P1443="","",Sync!$P1443)</f>
        <v/>
      </c>
      <c r="B1446">
        <f>IF($A1446="","",IF(ISNUMBER($A1446),IF(AND($A1446&gt;=10000101,$A1446&lt;=99991231),INT($A1446/10000),""),IFERROR(VALUE(TRIM(LEFT($A1446,FIND("/",$A1446)-1))),"")))</f>
        <v/>
      </c>
      <c r="C1446">
        <f>IF(OR($A1446="",$B1446=""),"",IF(ISNUMBER($A1446),INT(MOD($A1446,10000)/100),IFERROR(VALUE(TRIM(LEFT(MID($A1446,FIND("/",$A1446)+1,20),FIND("/",MID($A1446,FIND("/",$A1446)+1,20))-1))),"")))</f>
        <v/>
      </c>
      <c r="D1446">
        <f>IF(OR($A1446="",$B1446=""),"",IF(ISNUMBER($A1446),MOD($A1446,100),IFERROR(VALUE(TRIM(MID(MID($A1446,FIND("/",$A1446)+1,20),FIND("/",MID($A1446,FIND("/",$A1446)+1,20))+1,20))),"")))</f>
        <v/>
      </c>
      <c r="E1446">
        <f>IF($A1446="","",IF(OR($B1446="",$C1446="",$D1446="",$B1446&lt;1300,$B1446&gt;1500,$C1446&lt;1,$C1446&gt;12,$D1446&lt;1,$D1446&gt;31),"نامعتبر",RIGHT("0000"&amp;$B1446,4)&amp;"/"&amp;RIGHT("00"&amp;$C1446,2)&amp;"/"&amp;RIGHT("00"&amp;$D1446,2)))</f>
        <v/>
      </c>
      <c r="F1446">
        <f>IF(OR($E1446="",$E1446="نامعتبر"),"",IF(Sync!$Q1443="","0000",IF(AND(ISNUMBER(Sync!$Q1443),Sync!$Q1443&gt;=0,Sync!$Q1443&lt;1),RIGHT("00"&amp;HOUR(Sync!$Q1443),2)&amp;RIGHT("00"&amp;MINUTE(Sync!$Q1443),2),IFERROR(RIGHT("00"&amp;VALUE(LEFT(Sync!$Q1443,FIND(":",Sync!$Q1443)-1)),2)&amp;RIGHT("00"&amp;VALUE(MID(Sync!$Q1443,FIND(":",Sync!$Q1443)+1,2)),2),"0000"))))</f>
        <v/>
      </c>
      <c r="G1446">
        <f>IF(OR($E1446="",$E1446="نامعتبر"),"",IF(Sync!$S1443="","",Sync!$S1443))</f>
        <v/>
      </c>
      <c r="H1446">
        <f>IF(OR($E1446="",$E1446="نامعتبر"),"",IF(Sync!$R1443="","",Sync!$R1443))</f>
        <v/>
      </c>
      <c r="I1446">
        <f>IF(OR($E1446="",$E1446="نامعتبر"),"",IF(Sync!$T1443="","",Sync!$T1443))</f>
        <v/>
      </c>
      <c r="J1446">
        <f>IF(OR($E1446="",$E1446="نامعتبر"),"",IF(Sync!$U1443="","",Sync!$U1443))</f>
        <v/>
      </c>
      <c r="K1446">
        <f>IF(OR($E1446="",$E1446="نامعتبر"),"",IF(Sync!$V1443="","",IFERROR(INDEX(SubCodes,MATCH(Sync!$V1443,SubTitles,0)),Sync!$V1443)))</f>
        <v/>
      </c>
      <c r="L1446">
        <f>IF(OR($E1446="",$E1446="نامعتبر"),"",IF(Sync!$W1443="",0,Sync!$W1443))</f>
        <v/>
      </c>
      <c r="M1446">
        <f>IF(OR($E1446="",$E1446="نامعتبر"),"",IF(Sync!$X1443="",0,Sync!$X1443))</f>
        <v/>
      </c>
      <c r="N1446">
        <f>IF(OR($E1446="",$E1446="نامعتبر"),"",IF(AND($J1446="هزینه",$K1446&lt;&gt;""),1,0))</f>
        <v/>
      </c>
      <c r="O1446">
        <f>IF($N1446=0,"",LEFT($E1446,4)&amp;MID($E1446,6,2)&amp;RIGHT($E1446,2)&amp;$F1446&amp;"|"&amp;"1"&amp;RIGHT("00000"&amp;1438,5))</f>
        <v/>
      </c>
      <c r="P1446">
        <f>IF($O1446="","",COUNTIFS(ExpSub,$K1446,ExpKey,"&lt;"&amp;$O1446)+1)</f>
        <v/>
      </c>
      <c r="Q1446">
        <f>IF($P1446="","",$K1446&amp;"|"&amp;RIGHT("000000"&amp;$P1446,6))</f>
        <v/>
      </c>
    </row>
    <row r="1447">
      <c r="A1447">
        <f>IF(Sync!$P1444="","",Sync!$P1444)</f>
        <v/>
      </c>
      <c r="B1447">
        <f>IF($A1447="","",IF(ISNUMBER($A1447),IF(AND($A1447&gt;=10000101,$A1447&lt;=99991231),INT($A1447/10000),""),IFERROR(VALUE(TRIM(LEFT($A1447,FIND("/",$A1447)-1))),"")))</f>
        <v/>
      </c>
      <c r="C1447">
        <f>IF(OR($A1447="",$B1447=""),"",IF(ISNUMBER($A1447),INT(MOD($A1447,10000)/100),IFERROR(VALUE(TRIM(LEFT(MID($A1447,FIND("/",$A1447)+1,20),FIND("/",MID($A1447,FIND("/",$A1447)+1,20))-1))),"")))</f>
        <v/>
      </c>
      <c r="D1447">
        <f>IF(OR($A1447="",$B1447=""),"",IF(ISNUMBER($A1447),MOD($A1447,100),IFERROR(VALUE(TRIM(MID(MID($A1447,FIND("/",$A1447)+1,20),FIND("/",MID($A1447,FIND("/",$A1447)+1,20))+1,20))),"")))</f>
        <v/>
      </c>
      <c r="E1447">
        <f>IF($A1447="","",IF(OR($B1447="",$C1447="",$D1447="",$B1447&lt;1300,$B1447&gt;1500,$C1447&lt;1,$C1447&gt;12,$D1447&lt;1,$D1447&gt;31),"نامعتبر",RIGHT("0000"&amp;$B1447,4)&amp;"/"&amp;RIGHT("00"&amp;$C1447,2)&amp;"/"&amp;RIGHT("00"&amp;$D1447,2)))</f>
        <v/>
      </c>
      <c r="F1447">
        <f>IF(OR($E1447="",$E1447="نامعتبر"),"",IF(Sync!$Q1444="","0000",IF(AND(ISNUMBER(Sync!$Q1444),Sync!$Q1444&gt;=0,Sync!$Q1444&lt;1),RIGHT("00"&amp;HOUR(Sync!$Q1444),2)&amp;RIGHT("00"&amp;MINUTE(Sync!$Q1444),2),IFERROR(RIGHT("00"&amp;VALUE(LEFT(Sync!$Q1444,FIND(":",Sync!$Q1444)-1)),2)&amp;RIGHT("00"&amp;VALUE(MID(Sync!$Q1444,FIND(":",Sync!$Q1444)+1,2)),2),"0000"))))</f>
        <v/>
      </c>
      <c r="G1447">
        <f>IF(OR($E1447="",$E1447="نامعتبر"),"",IF(Sync!$S1444="","",Sync!$S1444))</f>
        <v/>
      </c>
      <c r="H1447">
        <f>IF(OR($E1447="",$E1447="نامعتبر"),"",IF(Sync!$R1444="","",Sync!$R1444))</f>
        <v/>
      </c>
      <c r="I1447">
        <f>IF(OR($E1447="",$E1447="نامعتبر"),"",IF(Sync!$T1444="","",Sync!$T1444))</f>
        <v/>
      </c>
      <c r="J1447">
        <f>IF(OR($E1447="",$E1447="نامعتبر"),"",IF(Sync!$U1444="","",Sync!$U1444))</f>
        <v/>
      </c>
      <c r="K1447">
        <f>IF(OR($E1447="",$E1447="نامعتبر"),"",IF(Sync!$V1444="","",IFERROR(INDEX(SubCodes,MATCH(Sync!$V1444,SubTitles,0)),Sync!$V1444)))</f>
        <v/>
      </c>
      <c r="L1447">
        <f>IF(OR($E1447="",$E1447="نامعتبر"),"",IF(Sync!$W1444="",0,Sync!$W1444))</f>
        <v/>
      </c>
      <c r="M1447">
        <f>IF(OR($E1447="",$E1447="نامعتبر"),"",IF(Sync!$X1444="",0,Sync!$X1444))</f>
        <v/>
      </c>
      <c r="N1447">
        <f>IF(OR($E1447="",$E1447="نامعتبر"),"",IF(AND($J1447="هزینه",$K1447&lt;&gt;""),1,0))</f>
        <v/>
      </c>
      <c r="O1447">
        <f>IF($N1447=0,"",LEFT($E1447,4)&amp;MID($E1447,6,2)&amp;RIGHT($E1447,2)&amp;$F1447&amp;"|"&amp;"1"&amp;RIGHT("00000"&amp;1439,5))</f>
        <v/>
      </c>
      <c r="P1447">
        <f>IF($O1447="","",COUNTIFS(ExpSub,$K1447,ExpKey,"&lt;"&amp;$O1447)+1)</f>
        <v/>
      </c>
      <c r="Q1447">
        <f>IF($P1447="","",$K1447&amp;"|"&amp;RIGHT("000000"&amp;$P1447,6))</f>
        <v/>
      </c>
    </row>
    <row r="1448">
      <c r="A1448">
        <f>IF(Sync!$P1445="","",Sync!$P1445)</f>
        <v/>
      </c>
      <c r="B1448">
        <f>IF($A1448="","",IF(ISNUMBER($A1448),IF(AND($A1448&gt;=10000101,$A1448&lt;=99991231),INT($A1448/10000),""),IFERROR(VALUE(TRIM(LEFT($A1448,FIND("/",$A1448)-1))),"")))</f>
        <v/>
      </c>
      <c r="C1448">
        <f>IF(OR($A1448="",$B1448=""),"",IF(ISNUMBER($A1448),INT(MOD($A1448,10000)/100),IFERROR(VALUE(TRIM(LEFT(MID($A1448,FIND("/",$A1448)+1,20),FIND("/",MID($A1448,FIND("/",$A1448)+1,20))-1))),"")))</f>
        <v/>
      </c>
      <c r="D1448">
        <f>IF(OR($A1448="",$B1448=""),"",IF(ISNUMBER($A1448),MOD($A1448,100),IFERROR(VALUE(TRIM(MID(MID($A1448,FIND("/",$A1448)+1,20),FIND("/",MID($A1448,FIND("/",$A1448)+1,20))+1,20))),"")))</f>
        <v/>
      </c>
      <c r="E1448">
        <f>IF($A1448="","",IF(OR($B1448="",$C1448="",$D1448="",$B1448&lt;1300,$B1448&gt;1500,$C1448&lt;1,$C1448&gt;12,$D1448&lt;1,$D1448&gt;31),"نامعتبر",RIGHT("0000"&amp;$B1448,4)&amp;"/"&amp;RIGHT("00"&amp;$C1448,2)&amp;"/"&amp;RIGHT("00"&amp;$D1448,2)))</f>
        <v/>
      </c>
      <c r="F1448">
        <f>IF(OR($E1448="",$E1448="نامعتبر"),"",IF(Sync!$Q1445="","0000",IF(AND(ISNUMBER(Sync!$Q1445),Sync!$Q1445&gt;=0,Sync!$Q1445&lt;1),RIGHT("00"&amp;HOUR(Sync!$Q1445),2)&amp;RIGHT("00"&amp;MINUTE(Sync!$Q1445),2),IFERROR(RIGHT("00"&amp;VALUE(LEFT(Sync!$Q1445,FIND(":",Sync!$Q1445)-1)),2)&amp;RIGHT("00"&amp;VALUE(MID(Sync!$Q1445,FIND(":",Sync!$Q1445)+1,2)),2),"0000"))))</f>
        <v/>
      </c>
      <c r="G1448">
        <f>IF(OR($E1448="",$E1448="نامعتبر"),"",IF(Sync!$S1445="","",Sync!$S1445))</f>
        <v/>
      </c>
      <c r="H1448">
        <f>IF(OR($E1448="",$E1448="نامعتبر"),"",IF(Sync!$R1445="","",Sync!$R1445))</f>
        <v/>
      </c>
      <c r="I1448">
        <f>IF(OR($E1448="",$E1448="نامعتبر"),"",IF(Sync!$T1445="","",Sync!$T1445))</f>
        <v/>
      </c>
      <c r="J1448">
        <f>IF(OR($E1448="",$E1448="نامعتبر"),"",IF(Sync!$U1445="","",Sync!$U1445))</f>
        <v/>
      </c>
      <c r="K1448">
        <f>IF(OR($E1448="",$E1448="نامعتبر"),"",IF(Sync!$V1445="","",IFERROR(INDEX(SubCodes,MATCH(Sync!$V1445,SubTitles,0)),Sync!$V1445)))</f>
        <v/>
      </c>
      <c r="L1448">
        <f>IF(OR($E1448="",$E1448="نامعتبر"),"",IF(Sync!$W1445="",0,Sync!$W1445))</f>
        <v/>
      </c>
      <c r="M1448">
        <f>IF(OR($E1448="",$E1448="نامعتبر"),"",IF(Sync!$X1445="",0,Sync!$X1445))</f>
        <v/>
      </c>
      <c r="N1448">
        <f>IF(OR($E1448="",$E1448="نامعتبر"),"",IF(AND($J1448="هزینه",$K1448&lt;&gt;""),1,0))</f>
        <v/>
      </c>
      <c r="O1448">
        <f>IF($N1448=0,"",LEFT($E1448,4)&amp;MID($E1448,6,2)&amp;RIGHT($E1448,2)&amp;$F1448&amp;"|"&amp;"1"&amp;RIGHT("00000"&amp;1440,5))</f>
        <v/>
      </c>
      <c r="P1448">
        <f>IF($O1448="","",COUNTIFS(ExpSub,$K1448,ExpKey,"&lt;"&amp;$O1448)+1)</f>
        <v/>
      </c>
      <c r="Q1448">
        <f>IF($P1448="","",$K1448&amp;"|"&amp;RIGHT("000000"&amp;$P1448,6))</f>
        <v/>
      </c>
    </row>
    <row r="1449">
      <c r="A1449">
        <f>IF(Sync!$P1446="","",Sync!$P1446)</f>
        <v/>
      </c>
      <c r="B1449">
        <f>IF($A1449="","",IF(ISNUMBER($A1449),IF(AND($A1449&gt;=10000101,$A1449&lt;=99991231),INT($A1449/10000),""),IFERROR(VALUE(TRIM(LEFT($A1449,FIND("/",$A1449)-1))),"")))</f>
        <v/>
      </c>
      <c r="C1449">
        <f>IF(OR($A1449="",$B1449=""),"",IF(ISNUMBER($A1449),INT(MOD($A1449,10000)/100),IFERROR(VALUE(TRIM(LEFT(MID($A1449,FIND("/",$A1449)+1,20),FIND("/",MID($A1449,FIND("/",$A1449)+1,20))-1))),"")))</f>
        <v/>
      </c>
      <c r="D1449">
        <f>IF(OR($A1449="",$B1449=""),"",IF(ISNUMBER($A1449),MOD($A1449,100),IFERROR(VALUE(TRIM(MID(MID($A1449,FIND("/",$A1449)+1,20),FIND("/",MID($A1449,FIND("/",$A1449)+1,20))+1,20))),"")))</f>
        <v/>
      </c>
      <c r="E1449">
        <f>IF($A1449="","",IF(OR($B1449="",$C1449="",$D1449="",$B1449&lt;1300,$B1449&gt;1500,$C1449&lt;1,$C1449&gt;12,$D1449&lt;1,$D1449&gt;31),"نامعتبر",RIGHT("0000"&amp;$B1449,4)&amp;"/"&amp;RIGHT("00"&amp;$C1449,2)&amp;"/"&amp;RIGHT("00"&amp;$D1449,2)))</f>
        <v/>
      </c>
      <c r="F1449">
        <f>IF(OR($E1449="",$E1449="نامعتبر"),"",IF(Sync!$Q1446="","0000",IF(AND(ISNUMBER(Sync!$Q1446),Sync!$Q1446&gt;=0,Sync!$Q1446&lt;1),RIGHT("00"&amp;HOUR(Sync!$Q1446),2)&amp;RIGHT("00"&amp;MINUTE(Sync!$Q1446),2),IFERROR(RIGHT("00"&amp;VALUE(LEFT(Sync!$Q1446,FIND(":",Sync!$Q1446)-1)),2)&amp;RIGHT("00"&amp;VALUE(MID(Sync!$Q1446,FIND(":",Sync!$Q1446)+1,2)),2),"0000"))))</f>
        <v/>
      </c>
      <c r="G1449">
        <f>IF(OR($E1449="",$E1449="نامعتبر"),"",IF(Sync!$S1446="","",Sync!$S1446))</f>
        <v/>
      </c>
      <c r="H1449">
        <f>IF(OR($E1449="",$E1449="نامعتبر"),"",IF(Sync!$R1446="","",Sync!$R1446))</f>
        <v/>
      </c>
      <c r="I1449">
        <f>IF(OR($E1449="",$E1449="نامعتبر"),"",IF(Sync!$T1446="","",Sync!$T1446))</f>
        <v/>
      </c>
      <c r="J1449">
        <f>IF(OR($E1449="",$E1449="نامعتبر"),"",IF(Sync!$U1446="","",Sync!$U1446))</f>
        <v/>
      </c>
      <c r="K1449">
        <f>IF(OR($E1449="",$E1449="نامعتبر"),"",IF(Sync!$V1446="","",IFERROR(INDEX(SubCodes,MATCH(Sync!$V1446,SubTitles,0)),Sync!$V1446)))</f>
        <v/>
      </c>
      <c r="L1449">
        <f>IF(OR($E1449="",$E1449="نامعتبر"),"",IF(Sync!$W1446="",0,Sync!$W1446))</f>
        <v/>
      </c>
      <c r="M1449">
        <f>IF(OR($E1449="",$E1449="نامعتبر"),"",IF(Sync!$X1446="",0,Sync!$X1446))</f>
        <v/>
      </c>
      <c r="N1449">
        <f>IF(OR($E1449="",$E1449="نامعتبر"),"",IF(AND($J1449="هزینه",$K1449&lt;&gt;""),1,0))</f>
        <v/>
      </c>
      <c r="O1449">
        <f>IF($N1449=0,"",LEFT($E1449,4)&amp;MID($E1449,6,2)&amp;RIGHT($E1449,2)&amp;$F1449&amp;"|"&amp;"1"&amp;RIGHT("00000"&amp;1441,5))</f>
        <v/>
      </c>
      <c r="P1449">
        <f>IF($O1449="","",COUNTIFS(ExpSub,$K1449,ExpKey,"&lt;"&amp;$O1449)+1)</f>
        <v/>
      </c>
      <c r="Q1449">
        <f>IF($P1449="","",$K1449&amp;"|"&amp;RIGHT("000000"&amp;$P1449,6))</f>
        <v/>
      </c>
    </row>
    <row r="1450">
      <c r="A1450">
        <f>IF(Sync!$P1447="","",Sync!$P1447)</f>
        <v/>
      </c>
      <c r="B1450">
        <f>IF($A1450="","",IF(ISNUMBER($A1450),IF(AND($A1450&gt;=10000101,$A1450&lt;=99991231),INT($A1450/10000),""),IFERROR(VALUE(TRIM(LEFT($A1450,FIND("/",$A1450)-1))),"")))</f>
        <v/>
      </c>
      <c r="C1450">
        <f>IF(OR($A1450="",$B1450=""),"",IF(ISNUMBER($A1450),INT(MOD($A1450,10000)/100),IFERROR(VALUE(TRIM(LEFT(MID($A1450,FIND("/",$A1450)+1,20),FIND("/",MID($A1450,FIND("/",$A1450)+1,20))-1))),"")))</f>
        <v/>
      </c>
      <c r="D1450">
        <f>IF(OR($A1450="",$B1450=""),"",IF(ISNUMBER($A1450),MOD($A1450,100),IFERROR(VALUE(TRIM(MID(MID($A1450,FIND("/",$A1450)+1,20),FIND("/",MID($A1450,FIND("/",$A1450)+1,20))+1,20))),"")))</f>
        <v/>
      </c>
      <c r="E1450">
        <f>IF($A1450="","",IF(OR($B1450="",$C1450="",$D1450="",$B1450&lt;1300,$B1450&gt;1500,$C1450&lt;1,$C1450&gt;12,$D1450&lt;1,$D1450&gt;31),"نامعتبر",RIGHT("0000"&amp;$B1450,4)&amp;"/"&amp;RIGHT("00"&amp;$C1450,2)&amp;"/"&amp;RIGHT("00"&amp;$D1450,2)))</f>
        <v/>
      </c>
      <c r="F1450">
        <f>IF(OR($E1450="",$E1450="نامعتبر"),"",IF(Sync!$Q1447="","0000",IF(AND(ISNUMBER(Sync!$Q1447),Sync!$Q1447&gt;=0,Sync!$Q1447&lt;1),RIGHT("00"&amp;HOUR(Sync!$Q1447),2)&amp;RIGHT("00"&amp;MINUTE(Sync!$Q1447),2),IFERROR(RIGHT("00"&amp;VALUE(LEFT(Sync!$Q1447,FIND(":",Sync!$Q1447)-1)),2)&amp;RIGHT("00"&amp;VALUE(MID(Sync!$Q1447,FIND(":",Sync!$Q1447)+1,2)),2),"0000"))))</f>
        <v/>
      </c>
      <c r="G1450">
        <f>IF(OR($E1450="",$E1450="نامعتبر"),"",IF(Sync!$S1447="","",Sync!$S1447))</f>
        <v/>
      </c>
      <c r="H1450">
        <f>IF(OR($E1450="",$E1450="نامعتبر"),"",IF(Sync!$R1447="","",Sync!$R1447))</f>
        <v/>
      </c>
      <c r="I1450">
        <f>IF(OR($E1450="",$E1450="نامعتبر"),"",IF(Sync!$T1447="","",Sync!$T1447))</f>
        <v/>
      </c>
      <c r="J1450">
        <f>IF(OR($E1450="",$E1450="نامعتبر"),"",IF(Sync!$U1447="","",Sync!$U1447))</f>
        <v/>
      </c>
      <c r="K1450">
        <f>IF(OR($E1450="",$E1450="نامعتبر"),"",IF(Sync!$V1447="","",IFERROR(INDEX(SubCodes,MATCH(Sync!$V1447,SubTitles,0)),Sync!$V1447)))</f>
        <v/>
      </c>
      <c r="L1450">
        <f>IF(OR($E1450="",$E1450="نامعتبر"),"",IF(Sync!$W1447="",0,Sync!$W1447))</f>
        <v/>
      </c>
      <c r="M1450">
        <f>IF(OR($E1450="",$E1450="نامعتبر"),"",IF(Sync!$X1447="",0,Sync!$X1447))</f>
        <v/>
      </c>
      <c r="N1450">
        <f>IF(OR($E1450="",$E1450="نامعتبر"),"",IF(AND($J1450="هزینه",$K1450&lt;&gt;""),1,0))</f>
        <v/>
      </c>
      <c r="O1450">
        <f>IF($N1450=0,"",LEFT($E1450,4)&amp;MID($E1450,6,2)&amp;RIGHT($E1450,2)&amp;$F1450&amp;"|"&amp;"1"&amp;RIGHT("00000"&amp;1442,5))</f>
        <v/>
      </c>
      <c r="P1450">
        <f>IF($O1450="","",COUNTIFS(ExpSub,$K1450,ExpKey,"&lt;"&amp;$O1450)+1)</f>
        <v/>
      </c>
      <c r="Q1450">
        <f>IF($P1450="","",$K1450&amp;"|"&amp;RIGHT("000000"&amp;$P1450,6))</f>
        <v/>
      </c>
    </row>
    <row r="1451">
      <c r="A1451">
        <f>IF(Sync!$P1448="","",Sync!$P1448)</f>
        <v/>
      </c>
      <c r="B1451">
        <f>IF($A1451="","",IF(ISNUMBER($A1451),IF(AND($A1451&gt;=10000101,$A1451&lt;=99991231),INT($A1451/10000),""),IFERROR(VALUE(TRIM(LEFT($A1451,FIND("/",$A1451)-1))),"")))</f>
        <v/>
      </c>
      <c r="C1451">
        <f>IF(OR($A1451="",$B1451=""),"",IF(ISNUMBER($A1451),INT(MOD($A1451,10000)/100),IFERROR(VALUE(TRIM(LEFT(MID($A1451,FIND("/",$A1451)+1,20),FIND("/",MID($A1451,FIND("/",$A1451)+1,20))-1))),"")))</f>
        <v/>
      </c>
      <c r="D1451">
        <f>IF(OR($A1451="",$B1451=""),"",IF(ISNUMBER($A1451),MOD($A1451,100),IFERROR(VALUE(TRIM(MID(MID($A1451,FIND("/",$A1451)+1,20),FIND("/",MID($A1451,FIND("/",$A1451)+1,20))+1,20))),"")))</f>
        <v/>
      </c>
      <c r="E1451">
        <f>IF($A1451="","",IF(OR($B1451="",$C1451="",$D1451="",$B1451&lt;1300,$B1451&gt;1500,$C1451&lt;1,$C1451&gt;12,$D1451&lt;1,$D1451&gt;31),"نامعتبر",RIGHT("0000"&amp;$B1451,4)&amp;"/"&amp;RIGHT("00"&amp;$C1451,2)&amp;"/"&amp;RIGHT("00"&amp;$D1451,2)))</f>
        <v/>
      </c>
      <c r="F1451">
        <f>IF(OR($E1451="",$E1451="نامعتبر"),"",IF(Sync!$Q1448="","0000",IF(AND(ISNUMBER(Sync!$Q1448),Sync!$Q1448&gt;=0,Sync!$Q1448&lt;1),RIGHT("00"&amp;HOUR(Sync!$Q1448),2)&amp;RIGHT("00"&amp;MINUTE(Sync!$Q1448),2),IFERROR(RIGHT("00"&amp;VALUE(LEFT(Sync!$Q1448,FIND(":",Sync!$Q1448)-1)),2)&amp;RIGHT("00"&amp;VALUE(MID(Sync!$Q1448,FIND(":",Sync!$Q1448)+1,2)),2),"0000"))))</f>
        <v/>
      </c>
      <c r="G1451">
        <f>IF(OR($E1451="",$E1451="نامعتبر"),"",IF(Sync!$S1448="","",Sync!$S1448))</f>
        <v/>
      </c>
      <c r="H1451">
        <f>IF(OR($E1451="",$E1451="نامعتبر"),"",IF(Sync!$R1448="","",Sync!$R1448))</f>
        <v/>
      </c>
      <c r="I1451">
        <f>IF(OR($E1451="",$E1451="نامعتبر"),"",IF(Sync!$T1448="","",Sync!$T1448))</f>
        <v/>
      </c>
      <c r="J1451">
        <f>IF(OR($E1451="",$E1451="نامعتبر"),"",IF(Sync!$U1448="","",Sync!$U1448))</f>
        <v/>
      </c>
      <c r="K1451">
        <f>IF(OR($E1451="",$E1451="نامعتبر"),"",IF(Sync!$V1448="","",IFERROR(INDEX(SubCodes,MATCH(Sync!$V1448,SubTitles,0)),Sync!$V1448)))</f>
        <v/>
      </c>
      <c r="L1451">
        <f>IF(OR($E1451="",$E1451="نامعتبر"),"",IF(Sync!$W1448="",0,Sync!$W1448))</f>
        <v/>
      </c>
      <c r="M1451">
        <f>IF(OR($E1451="",$E1451="نامعتبر"),"",IF(Sync!$X1448="",0,Sync!$X1448))</f>
        <v/>
      </c>
      <c r="N1451">
        <f>IF(OR($E1451="",$E1451="نامعتبر"),"",IF(AND($J1451="هزینه",$K1451&lt;&gt;""),1,0))</f>
        <v/>
      </c>
      <c r="O1451">
        <f>IF($N1451=0,"",LEFT($E1451,4)&amp;MID($E1451,6,2)&amp;RIGHT($E1451,2)&amp;$F1451&amp;"|"&amp;"1"&amp;RIGHT("00000"&amp;1443,5))</f>
        <v/>
      </c>
      <c r="P1451">
        <f>IF($O1451="","",COUNTIFS(ExpSub,$K1451,ExpKey,"&lt;"&amp;$O1451)+1)</f>
        <v/>
      </c>
      <c r="Q1451">
        <f>IF($P1451="","",$K1451&amp;"|"&amp;RIGHT("000000"&amp;$P1451,6))</f>
        <v/>
      </c>
    </row>
    <row r="1452">
      <c r="A1452">
        <f>IF(Sync!$P1449="","",Sync!$P1449)</f>
        <v/>
      </c>
      <c r="B1452">
        <f>IF($A1452="","",IF(ISNUMBER($A1452),IF(AND($A1452&gt;=10000101,$A1452&lt;=99991231),INT($A1452/10000),""),IFERROR(VALUE(TRIM(LEFT($A1452,FIND("/",$A1452)-1))),"")))</f>
        <v/>
      </c>
      <c r="C1452">
        <f>IF(OR($A1452="",$B1452=""),"",IF(ISNUMBER($A1452),INT(MOD($A1452,10000)/100),IFERROR(VALUE(TRIM(LEFT(MID($A1452,FIND("/",$A1452)+1,20),FIND("/",MID($A1452,FIND("/",$A1452)+1,20))-1))),"")))</f>
        <v/>
      </c>
      <c r="D1452">
        <f>IF(OR($A1452="",$B1452=""),"",IF(ISNUMBER($A1452),MOD($A1452,100),IFERROR(VALUE(TRIM(MID(MID($A1452,FIND("/",$A1452)+1,20),FIND("/",MID($A1452,FIND("/",$A1452)+1,20))+1,20))),"")))</f>
        <v/>
      </c>
      <c r="E1452">
        <f>IF($A1452="","",IF(OR($B1452="",$C1452="",$D1452="",$B1452&lt;1300,$B1452&gt;1500,$C1452&lt;1,$C1452&gt;12,$D1452&lt;1,$D1452&gt;31),"نامعتبر",RIGHT("0000"&amp;$B1452,4)&amp;"/"&amp;RIGHT("00"&amp;$C1452,2)&amp;"/"&amp;RIGHT("00"&amp;$D1452,2)))</f>
        <v/>
      </c>
      <c r="F1452">
        <f>IF(OR($E1452="",$E1452="نامعتبر"),"",IF(Sync!$Q1449="","0000",IF(AND(ISNUMBER(Sync!$Q1449),Sync!$Q1449&gt;=0,Sync!$Q1449&lt;1),RIGHT("00"&amp;HOUR(Sync!$Q1449),2)&amp;RIGHT("00"&amp;MINUTE(Sync!$Q1449),2),IFERROR(RIGHT("00"&amp;VALUE(LEFT(Sync!$Q1449,FIND(":",Sync!$Q1449)-1)),2)&amp;RIGHT("00"&amp;VALUE(MID(Sync!$Q1449,FIND(":",Sync!$Q1449)+1,2)),2),"0000"))))</f>
        <v/>
      </c>
      <c r="G1452">
        <f>IF(OR($E1452="",$E1452="نامعتبر"),"",IF(Sync!$S1449="","",Sync!$S1449))</f>
        <v/>
      </c>
      <c r="H1452">
        <f>IF(OR($E1452="",$E1452="نامعتبر"),"",IF(Sync!$R1449="","",Sync!$R1449))</f>
        <v/>
      </c>
      <c r="I1452">
        <f>IF(OR($E1452="",$E1452="نامعتبر"),"",IF(Sync!$T1449="","",Sync!$T1449))</f>
        <v/>
      </c>
      <c r="J1452">
        <f>IF(OR($E1452="",$E1452="نامعتبر"),"",IF(Sync!$U1449="","",Sync!$U1449))</f>
        <v/>
      </c>
      <c r="K1452">
        <f>IF(OR($E1452="",$E1452="نامعتبر"),"",IF(Sync!$V1449="","",IFERROR(INDEX(SubCodes,MATCH(Sync!$V1449,SubTitles,0)),Sync!$V1449)))</f>
        <v/>
      </c>
      <c r="L1452">
        <f>IF(OR($E1452="",$E1452="نامعتبر"),"",IF(Sync!$W1449="",0,Sync!$W1449))</f>
        <v/>
      </c>
      <c r="M1452">
        <f>IF(OR($E1452="",$E1452="نامعتبر"),"",IF(Sync!$X1449="",0,Sync!$X1449))</f>
        <v/>
      </c>
      <c r="N1452">
        <f>IF(OR($E1452="",$E1452="نامعتبر"),"",IF(AND($J1452="هزینه",$K1452&lt;&gt;""),1,0))</f>
        <v/>
      </c>
      <c r="O1452">
        <f>IF($N1452=0,"",LEFT($E1452,4)&amp;MID($E1452,6,2)&amp;RIGHT($E1452,2)&amp;$F1452&amp;"|"&amp;"1"&amp;RIGHT("00000"&amp;1444,5))</f>
        <v/>
      </c>
      <c r="P1452">
        <f>IF($O1452="","",COUNTIFS(ExpSub,$K1452,ExpKey,"&lt;"&amp;$O1452)+1)</f>
        <v/>
      </c>
      <c r="Q1452">
        <f>IF($P1452="","",$K1452&amp;"|"&amp;RIGHT("000000"&amp;$P1452,6))</f>
        <v/>
      </c>
    </row>
    <row r="1453">
      <c r="A1453">
        <f>IF(Sync!$P1450="","",Sync!$P1450)</f>
        <v/>
      </c>
      <c r="B1453">
        <f>IF($A1453="","",IF(ISNUMBER($A1453),IF(AND($A1453&gt;=10000101,$A1453&lt;=99991231),INT($A1453/10000),""),IFERROR(VALUE(TRIM(LEFT($A1453,FIND("/",$A1453)-1))),"")))</f>
        <v/>
      </c>
      <c r="C1453">
        <f>IF(OR($A1453="",$B1453=""),"",IF(ISNUMBER($A1453),INT(MOD($A1453,10000)/100),IFERROR(VALUE(TRIM(LEFT(MID($A1453,FIND("/",$A1453)+1,20),FIND("/",MID($A1453,FIND("/",$A1453)+1,20))-1))),"")))</f>
        <v/>
      </c>
      <c r="D1453">
        <f>IF(OR($A1453="",$B1453=""),"",IF(ISNUMBER($A1453),MOD($A1453,100),IFERROR(VALUE(TRIM(MID(MID($A1453,FIND("/",$A1453)+1,20),FIND("/",MID($A1453,FIND("/",$A1453)+1,20))+1,20))),"")))</f>
        <v/>
      </c>
      <c r="E1453">
        <f>IF($A1453="","",IF(OR($B1453="",$C1453="",$D1453="",$B1453&lt;1300,$B1453&gt;1500,$C1453&lt;1,$C1453&gt;12,$D1453&lt;1,$D1453&gt;31),"نامعتبر",RIGHT("0000"&amp;$B1453,4)&amp;"/"&amp;RIGHT("00"&amp;$C1453,2)&amp;"/"&amp;RIGHT("00"&amp;$D1453,2)))</f>
        <v/>
      </c>
      <c r="F1453">
        <f>IF(OR($E1453="",$E1453="نامعتبر"),"",IF(Sync!$Q1450="","0000",IF(AND(ISNUMBER(Sync!$Q1450),Sync!$Q1450&gt;=0,Sync!$Q1450&lt;1),RIGHT("00"&amp;HOUR(Sync!$Q1450),2)&amp;RIGHT("00"&amp;MINUTE(Sync!$Q1450),2),IFERROR(RIGHT("00"&amp;VALUE(LEFT(Sync!$Q1450,FIND(":",Sync!$Q1450)-1)),2)&amp;RIGHT("00"&amp;VALUE(MID(Sync!$Q1450,FIND(":",Sync!$Q1450)+1,2)),2),"0000"))))</f>
        <v/>
      </c>
      <c r="G1453">
        <f>IF(OR($E1453="",$E1453="نامعتبر"),"",IF(Sync!$S1450="","",Sync!$S1450))</f>
        <v/>
      </c>
      <c r="H1453">
        <f>IF(OR($E1453="",$E1453="نامعتبر"),"",IF(Sync!$R1450="","",Sync!$R1450))</f>
        <v/>
      </c>
      <c r="I1453">
        <f>IF(OR($E1453="",$E1453="نامعتبر"),"",IF(Sync!$T1450="","",Sync!$T1450))</f>
        <v/>
      </c>
      <c r="J1453">
        <f>IF(OR($E1453="",$E1453="نامعتبر"),"",IF(Sync!$U1450="","",Sync!$U1450))</f>
        <v/>
      </c>
      <c r="K1453">
        <f>IF(OR($E1453="",$E1453="نامعتبر"),"",IF(Sync!$V1450="","",IFERROR(INDEX(SubCodes,MATCH(Sync!$V1450,SubTitles,0)),Sync!$V1450)))</f>
        <v/>
      </c>
      <c r="L1453">
        <f>IF(OR($E1453="",$E1453="نامعتبر"),"",IF(Sync!$W1450="",0,Sync!$W1450))</f>
        <v/>
      </c>
      <c r="M1453">
        <f>IF(OR($E1453="",$E1453="نامعتبر"),"",IF(Sync!$X1450="",0,Sync!$X1450))</f>
        <v/>
      </c>
      <c r="N1453">
        <f>IF(OR($E1453="",$E1453="نامعتبر"),"",IF(AND($J1453="هزینه",$K1453&lt;&gt;""),1,0))</f>
        <v/>
      </c>
      <c r="O1453">
        <f>IF($N1453=0,"",LEFT($E1453,4)&amp;MID($E1453,6,2)&amp;RIGHT($E1453,2)&amp;$F1453&amp;"|"&amp;"1"&amp;RIGHT("00000"&amp;1445,5))</f>
        <v/>
      </c>
      <c r="P1453">
        <f>IF($O1453="","",COUNTIFS(ExpSub,$K1453,ExpKey,"&lt;"&amp;$O1453)+1)</f>
        <v/>
      </c>
      <c r="Q1453">
        <f>IF($P1453="","",$K1453&amp;"|"&amp;RIGHT("000000"&amp;$P1453,6))</f>
        <v/>
      </c>
    </row>
    <row r="1454">
      <c r="A1454">
        <f>IF(Sync!$P1451="","",Sync!$P1451)</f>
        <v/>
      </c>
      <c r="B1454">
        <f>IF($A1454="","",IF(ISNUMBER($A1454),IF(AND($A1454&gt;=10000101,$A1454&lt;=99991231),INT($A1454/10000),""),IFERROR(VALUE(TRIM(LEFT($A1454,FIND("/",$A1454)-1))),"")))</f>
        <v/>
      </c>
      <c r="C1454">
        <f>IF(OR($A1454="",$B1454=""),"",IF(ISNUMBER($A1454),INT(MOD($A1454,10000)/100),IFERROR(VALUE(TRIM(LEFT(MID($A1454,FIND("/",$A1454)+1,20),FIND("/",MID($A1454,FIND("/",$A1454)+1,20))-1))),"")))</f>
        <v/>
      </c>
      <c r="D1454">
        <f>IF(OR($A1454="",$B1454=""),"",IF(ISNUMBER($A1454),MOD($A1454,100),IFERROR(VALUE(TRIM(MID(MID($A1454,FIND("/",$A1454)+1,20),FIND("/",MID($A1454,FIND("/",$A1454)+1,20))+1,20))),"")))</f>
        <v/>
      </c>
      <c r="E1454">
        <f>IF($A1454="","",IF(OR($B1454="",$C1454="",$D1454="",$B1454&lt;1300,$B1454&gt;1500,$C1454&lt;1,$C1454&gt;12,$D1454&lt;1,$D1454&gt;31),"نامعتبر",RIGHT("0000"&amp;$B1454,4)&amp;"/"&amp;RIGHT("00"&amp;$C1454,2)&amp;"/"&amp;RIGHT("00"&amp;$D1454,2)))</f>
        <v/>
      </c>
      <c r="F1454">
        <f>IF(OR($E1454="",$E1454="نامعتبر"),"",IF(Sync!$Q1451="","0000",IF(AND(ISNUMBER(Sync!$Q1451),Sync!$Q1451&gt;=0,Sync!$Q1451&lt;1),RIGHT("00"&amp;HOUR(Sync!$Q1451),2)&amp;RIGHT("00"&amp;MINUTE(Sync!$Q1451),2),IFERROR(RIGHT("00"&amp;VALUE(LEFT(Sync!$Q1451,FIND(":",Sync!$Q1451)-1)),2)&amp;RIGHT("00"&amp;VALUE(MID(Sync!$Q1451,FIND(":",Sync!$Q1451)+1,2)),2),"0000"))))</f>
        <v/>
      </c>
      <c r="G1454">
        <f>IF(OR($E1454="",$E1454="نامعتبر"),"",IF(Sync!$S1451="","",Sync!$S1451))</f>
        <v/>
      </c>
      <c r="H1454">
        <f>IF(OR($E1454="",$E1454="نامعتبر"),"",IF(Sync!$R1451="","",Sync!$R1451))</f>
        <v/>
      </c>
      <c r="I1454">
        <f>IF(OR($E1454="",$E1454="نامعتبر"),"",IF(Sync!$T1451="","",Sync!$T1451))</f>
        <v/>
      </c>
      <c r="J1454">
        <f>IF(OR($E1454="",$E1454="نامعتبر"),"",IF(Sync!$U1451="","",Sync!$U1451))</f>
        <v/>
      </c>
      <c r="K1454">
        <f>IF(OR($E1454="",$E1454="نامعتبر"),"",IF(Sync!$V1451="","",IFERROR(INDEX(SubCodes,MATCH(Sync!$V1451,SubTitles,0)),Sync!$V1451)))</f>
        <v/>
      </c>
      <c r="L1454">
        <f>IF(OR($E1454="",$E1454="نامعتبر"),"",IF(Sync!$W1451="",0,Sync!$W1451))</f>
        <v/>
      </c>
      <c r="M1454">
        <f>IF(OR($E1454="",$E1454="نامعتبر"),"",IF(Sync!$X1451="",0,Sync!$X1451))</f>
        <v/>
      </c>
      <c r="N1454">
        <f>IF(OR($E1454="",$E1454="نامعتبر"),"",IF(AND($J1454="هزینه",$K1454&lt;&gt;""),1,0))</f>
        <v/>
      </c>
      <c r="O1454">
        <f>IF($N1454=0,"",LEFT($E1454,4)&amp;MID($E1454,6,2)&amp;RIGHT($E1454,2)&amp;$F1454&amp;"|"&amp;"1"&amp;RIGHT("00000"&amp;1446,5))</f>
        <v/>
      </c>
      <c r="P1454">
        <f>IF($O1454="","",COUNTIFS(ExpSub,$K1454,ExpKey,"&lt;"&amp;$O1454)+1)</f>
        <v/>
      </c>
      <c r="Q1454">
        <f>IF($P1454="","",$K1454&amp;"|"&amp;RIGHT("000000"&amp;$P1454,6))</f>
        <v/>
      </c>
    </row>
    <row r="1455">
      <c r="A1455">
        <f>IF(Sync!$P1452="","",Sync!$P1452)</f>
        <v/>
      </c>
      <c r="B1455">
        <f>IF($A1455="","",IF(ISNUMBER($A1455),IF(AND($A1455&gt;=10000101,$A1455&lt;=99991231),INT($A1455/10000),""),IFERROR(VALUE(TRIM(LEFT($A1455,FIND("/",$A1455)-1))),"")))</f>
        <v/>
      </c>
      <c r="C1455">
        <f>IF(OR($A1455="",$B1455=""),"",IF(ISNUMBER($A1455),INT(MOD($A1455,10000)/100),IFERROR(VALUE(TRIM(LEFT(MID($A1455,FIND("/",$A1455)+1,20),FIND("/",MID($A1455,FIND("/",$A1455)+1,20))-1))),"")))</f>
        <v/>
      </c>
      <c r="D1455">
        <f>IF(OR($A1455="",$B1455=""),"",IF(ISNUMBER($A1455),MOD($A1455,100),IFERROR(VALUE(TRIM(MID(MID($A1455,FIND("/",$A1455)+1,20),FIND("/",MID($A1455,FIND("/",$A1455)+1,20))+1,20))),"")))</f>
        <v/>
      </c>
      <c r="E1455">
        <f>IF($A1455="","",IF(OR($B1455="",$C1455="",$D1455="",$B1455&lt;1300,$B1455&gt;1500,$C1455&lt;1,$C1455&gt;12,$D1455&lt;1,$D1455&gt;31),"نامعتبر",RIGHT("0000"&amp;$B1455,4)&amp;"/"&amp;RIGHT("00"&amp;$C1455,2)&amp;"/"&amp;RIGHT("00"&amp;$D1455,2)))</f>
        <v/>
      </c>
      <c r="F1455">
        <f>IF(OR($E1455="",$E1455="نامعتبر"),"",IF(Sync!$Q1452="","0000",IF(AND(ISNUMBER(Sync!$Q1452),Sync!$Q1452&gt;=0,Sync!$Q1452&lt;1),RIGHT("00"&amp;HOUR(Sync!$Q1452),2)&amp;RIGHT("00"&amp;MINUTE(Sync!$Q1452),2),IFERROR(RIGHT("00"&amp;VALUE(LEFT(Sync!$Q1452,FIND(":",Sync!$Q1452)-1)),2)&amp;RIGHT("00"&amp;VALUE(MID(Sync!$Q1452,FIND(":",Sync!$Q1452)+1,2)),2),"0000"))))</f>
        <v/>
      </c>
      <c r="G1455">
        <f>IF(OR($E1455="",$E1455="نامعتبر"),"",IF(Sync!$S1452="","",Sync!$S1452))</f>
        <v/>
      </c>
      <c r="H1455">
        <f>IF(OR($E1455="",$E1455="نامعتبر"),"",IF(Sync!$R1452="","",Sync!$R1452))</f>
        <v/>
      </c>
      <c r="I1455">
        <f>IF(OR($E1455="",$E1455="نامعتبر"),"",IF(Sync!$T1452="","",Sync!$T1452))</f>
        <v/>
      </c>
      <c r="J1455">
        <f>IF(OR($E1455="",$E1455="نامعتبر"),"",IF(Sync!$U1452="","",Sync!$U1452))</f>
        <v/>
      </c>
      <c r="K1455">
        <f>IF(OR($E1455="",$E1455="نامعتبر"),"",IF(Sync!$V1452="","",IFERROR(INDEX(SubCodes,MATCH(Sync!$V1452,SubTitles,0)),Sync!$V1452)))</f>
        <v/>
      </c>
      <c r="L1455">
        <f>IF(OR($E1455="",$E1455="نامعتبر"),"",IF(Sync!$W1452="",0,Sync!$W1452))</f>
        <v/>
      </c>
      <c r="M1455">
        <f>IF(OR($E1455="",$E1455="نامعتبر"),"",IF(Sync!$X1452="",0,Sync!$X1452))</f>
        <v/>
      </c>
      <c r="N1455">
        <f>IF(OR($E1455="",$E1455="نامعتبر"),"",IF(AND($J1455="هزینه",$K1455&lt;&gt;""),1,0))</f>
        <v/>
      </c>
      <c r="O1455">
        <f>IF($N1455=0,"",LEFT($E1455,4)&amp;MID($E1455,6,2)&amp;RIGHT($E1455,2)&amp;$F1455&amp;"|"&amp;"1"&amp;RIGHT("00000"&amp;1447,5))</f>
        <v/>
      </c>
      <c r="P1455">
        <f>IF($O1455="","",COUNTIFS(ExpSub,$K1455,ExpKey,"&lt;"&amp;$O1455)+1)</f>
        <v/>
      </c>
      <c r="Q1455">
        <f>IF($P1455="","",$K1455&amp;"|"&amp;RIGHT("000000"&amp;$P1455,6))</f>
        <v/>
      </c>
    </row>
    <row r="1456">
      <c r="A1456">
        <f>IF(Sync!$P1453="","",Sync!$P1453)</f>
        <v/>
      </c>
      <c r="B1456">
        <f>IF($A1456="","",IF(ISNUMBER($A1456),IF(AND($A1456&gt;=10000101,$A1456&lt;=99991231),INT($A1456/10000),""),IFERROR(VALUE(TRIM(LEFT($A1456,FIND("/",$A1456)-1))),"")))</f>
        <v/>
      </c>
      <c r="C1456">
        <f>IF(OR($A1456="",$B1456=""),"",IF(ISNUMBER($A1456),INT(MOD($A1456,10000)/100),IFERROR(VALUE(TRIM(LEFT(MID($A1456,FIND("/",$A1456)+1,20),FIND("/",MID($A1456,FIND("/",$A1456)+1,20))-1))),"")))</f>
        <v/>
      </c>
      <c r="D1456">
        <f>IF(OR($A1456="",$B1456=""),"",IF(ISNUMBER($A1456),MOD($A1456,100),IFERROR(VALUE(TRIM(MID(MID($A1456,FIND("/",$A1456)+1,20),FIND("/",MID($A1456,FIND("/",$A1456)+1,20))+1,20))),"")))</f>
        <v/>
      </c>
      <c r="E1456">
        <f>IF($A1456="","",IF(OR($B1456="",$C1456="",$D1456="",$B1456&lt;1300,$B1456&gt;1500,$C1456&lt;1,$C1456&gt;12,$D1456&lt;1,$D1456&gt;31),"نامعتبر",RIGHT("0000"&amp;$B1456,4)&amp;"/"&amp;RIGHT("00"&amp;$C1456,2)&amp;"/"&amp;RIGHT("00"&amp;$D1456,2)))</f>
        <v/>
      </c>
      <c r="F1456">
        <f>IF(OR($E1456="",$E1456="نامعتبر"),"",IF(Sync!$Q1453="","0000",IF(AND(ISNUMBER(Sync!$Q1453),Sync!$Q1453&gt;=0,Sync!$Q1453&lt;1),RIGHT("00"&amp;HOUR(Sync!$Q1453),2)&amp;RIGHT("00"&amp;MINUTE(Sync!$Q1453),2),IFERROR(RIGHT("00"&amp;VALUE(LEFT(Sync!$Q1453,FIND(":",Sync!$Q1453)-1)),2)&amp;RIGHT("00"&amp;VALUE(MID(Sync!$Q1453,FIND(":",Sync!$Q1453)+1,2)),2),"0000"))))</f>
        <v/>
      </c>
      <c r="G1456">
        <f>IF(OR($E1456="",$E1456="نامعتبر"),"",IF(Sync!$S1453="","",Sync!$S1453))</f>
        <v/>
      </c>
      <c r="H1456">
        <f>IF(OR($E1456="",$E1456="نامعتبر"),"",IF(Sync!$R1453="","",Sync!$R1453))</f>
        <v/>
      </c>
      <c r="I1456">
        <f>IF(OR($E1456="",$E1456="نامعتبر"),"",IF(Sync!$T1453="","",Sync!$T1453))</f>
        <v/>
      </c>
      <c r="J1456">
        <f>IF(OR($E1456="",$E1456="نامعتبر"),"",IF(Sync!$U1453="","",Sync!$U1453))</f>
        <v/>
      </c>
      <c r="K1456">
        <f>IF(OR($E1456="",$E1456="نامعتبر"),"",IF(Sync!$V1453="","",IFERROR(INDEX(SubCodes,MATCH(Sync!$V1453,SubTitles,0)),Sync!$V1453)))</f>
        <v/>
      </c>
      <c r="L1456">
        <f>IF(OR($E1456="",$E1456="نامعتبر"),"",IF(Sync!$W1453="",0,Sync!$W1453))</f>
        <v/>
      </c>
      <c r="M1456">
        <f>IF(OR($E1456="",$E1456="نامعتبر"),"",IF(Sync!$X1453="",0,Sync!$X1453))</f>
        <v/>
      </c>
      <c r="N1456">
        <f>IF(OR($E1456="",$E1456="نامعتبر"),"",IF(AND($J1456="هزینه",$K1456&lt;&gt;""),1,0))</f>
        <v/>
      </c>
      <c r="O1456">
        <f>IF($N1456=0,"",LEFT($E1456,4)&amp;MID($E1456,6,2)&amp;RIGHT($E1456,2)&amp;$F1456&amp;"|"&amp;"1"&amp;RIGHT("00000"&amp;1448,5))</f>
        <v/>
      </c>
      <c r="P1456">
        <f>IF($O1456="","",COUNTIFS(ExpSub,$K1456,ExpKey,"&lt;"&amp;$O1456)+1)</f>
        <v/>
      </c>
      <c r="Q1456">
        <f>IF($P1456="","",$K1456&amp;"|"&amp;RIGHT("000000"&amp;$P1456,6))</f>
        <v/>
      </c>
    </row>
    <row r="1457">
      <c r="A1457">
        <f>IF(Sync!$P1454="","",Sync!$P1454)</f>
        <v/>
      </c>
      <c r="B1457">
        <f>IF($A1457="","",IF(ISNUMBER($A1457),IF(AND($A1457&gt;=10000101,$A1457&lt;=99991231),INT($A1457/10000),""),IFERROR(VALUE(TRIM(LEFT($A1457,FIND("/",$A1457)-1))),"")))</f>
        <v/>
      </c>
      <c r="C1457">
        <f>IF(OR($A1457="",$B1457=""),"",IF(ISNUMBER($A1457),INT(MOD($A1457,10000)/100),IFERROR(VALUE(TRIM(LEFT(MID($A1457,FIND("/",$A1457)+1,20),FIND("/",MID($A1457,FIND("/",$A1457)+1,20))-1))),"")))</f>
        <v/>
      </c>
      <c r="D1457">
        <f>IF(OR($A1457="",$B1457=""),"",IF(ISNUMBER($A1457),MOD($A1457,100),IFERROR(VALUE(TRIM(MID(MID($A1457,FIND("/",$A1457)+1,20),FIND("/",MID($A1457,FIND("/",$A1457)+1,20))+1,20))),"")))</f>
        <v/>
      </c>
      <c r="E1457">
        <f>IF($A1457="","",IF(OR($B1457="",$C1457="",$D1457="",$B1457&lt;1300,$B1457&gt;1500,$C1457&lt;1,$C1457&gt;12,$D1457&lt;1,$D1457&gt;31),"نامعتبر",RIGHT("0000"&amp;$B1457,4)&amp;"/"&amp;RIGHT("00"&amp;$C1457,2)&amp;"/"&amp;RIGHT("00"&amp;$D1457,2)))</f>
        <v/>
      </c>
      <c r="F1457">
        <f>IF(OR($E1457="",$E1457="نامعتبر"),"",IF(Sync!$Q1454="","0000",IF(AND(ISNUMBER(Sync!$Q1454),Sync!$Q1454&gt;=0,Sync!$Q1454&lt;1),RIGHT("00"&amp;HOUR(Sync!$Q1454),2)&amp;RIGHT("00"&amp;MINUTE(Sync!$Q1454),2),IFERROR(RIGHT("00"&amp;VALUE(LEFT(Sync!$Q1454,FIND(":",Sync!$Q1454)-1)),2)&amp;RIGHT("00"&amp;VALUE(MID(Sync!$Q1454,FIND(":",Sync!$Q1454)+1,2)),2),"0000"))))</f>
        <v/>
      </c>
      <c r="G1457">
        <f>IF(OR($E1457="",$E1457="نامعتبر"),"",IF(Sync!$S1454="","",Sync!$S1454))</f>
        <v/>
      </c>
      <c r="H1457">
        <f>IF(OR($E1457="",$E1457="نامعتبر"),"",IF(Sync!$R1454="","",Sync!$R1454))</f>
        <v/>
      </c>
      <c r="I1457">
        <f>IF(OR($E1457="",$E1457="نامعتبر"),"",IF(Sync!$T1454="","",Sync!$T1454))</f>
        <v/>
      </c>
      <c r="J1457">
        <f>IF(OR($E1457="",$E1457="نامعتبر"),"",IF(Sync!$U1454="","",Sync!$U1454))</f>
        <v/>
      </c>
      <c r="K1457">
        <f>IF(OR($E1457="",$E1457="نامعتبر"),"",IF(Sync!$V1454="","",IFERROR(INDEX(SubCodes,MATCH(Sync!$V1454,SubTitles,0)),Sync!$V1454)))</f>
        <v/>
      </c>
      <c r="L1457">
        <f>IF(OR($E1457="",$E1457="نامعتبر"),"",IF(Sync!$W1454="",0,Sync!$W1454))</f>
        <v/>
      </c>
      <c r="M1457">
        <f>IF(OR($E1457="",$E1457="نامعتبر"),"",IF(Sync!$X1454="",0,Sync!$X1454))</f>
        <v/>
      </c>
      <c r="N1457">
        <f>IF(OR($E1457="",$E1457="نامعتبر"),"",IF(AND($J1457="هزینه",$K1457&lt;&gt;""),1,0))</f>
        <v/>
      </c>
      <c r="O1457">
        <f>IF($N1457=0,"",LEFT($E1457,4)&amp;MID($E1457,6,2)&amp;RIGHT($E1457,2)&amp;$F1457&amp;"|"&amp;"1"&amp;RIGHT("00000"&amp;1449,5))</f>
        <v/>
      </c>
      <c r="P1457">
        <f>IF($O1457="","",COUNTIFS(ExpSub,$K1457,ExpKey,"&lt;"&amp;$O1457)+1)</f>
        <v/>
      </c>
      <c r="Q1457">
        <f>IF($P1457="","",$K1457&amp;"|"&amp;RIGHT("000000"&amp;$P1457,6))</f>
        <v/>
      </c>
    </row>
    <row r="1458">
      <c r="A1458">
        <f>IF(Sync!$P1455="","",Sync!$P1455)</f>
        <v/>
      </c>
      <c r="B1458">
        <f>IF($A1458="","",IF(ISNUMBER($A1458),IF(AND($A1458&gt;=10000101,$A1458&lt;=99991231),INT($A1458/10000),""),IFERROR(VALUE(TRIM(LEFT($A1458,FIND("/",$A1458)-1))),"")))</f>
        <v/>
      </c>
      <c r="C1458">
        <f>IF(OR($A1458="",$B1458=""),"",IF(ISNUMBER($A1458),INT(MOD($A1458,10000)/100),IFERROR(VALUE(TRIM(LEFT(MID($A1458,FIND("/",$A1458)+1,20),FIND("/",MID($A1458,FIND("/",$A1458)+1,20))-1))),"")))</f>
        <v/>
      </c>
      <c r="D1458">
        <f>IF(OR($A1458="",$B1458=""),"",IF(ISNUMBER($A1458),MOD($A1458,100),IFERROR(VALUE(TRIM(MID(MID($A1458,FIND("/",$A1458)+1,20),FIND("/",MID($A1458,FIND("/",$A1458)+1,20))+1,20))),"")))</f>
        <v/>
      </c>
      <c r="E1458">
        <f>IF($A1458="","",IF(OR($B1458="",$C1458="",$D1458="",$B1458&lt;1300,$B1458&gt;1500,$C1458&lt;1,$C1458&gt;12,$D1458&lt;1,$D1458&gt;31),"نامعتبر",RIGHT("0000"&amp;$B1458,4)&amp;"/"&amp;RIGHT("00"&amp;$C1458,2)&amp;"/"&amp;RIGHT("00"&amp;$D1458,2)))</f>
        <v/>
      </c>
      <c r="F1458">
        <f>IF(OR($E1458="",$E1458="نامعتبر"),"",IF(Sync!$Q1455="","0000",IF(AND(ISNUMBER(Sync!$Q1455),Sync!$Q1455&gt;=0,Sync!$Q1455&lt;1),RIGHT("00"&amp;HOUR(Sync!$Q1455),2)&amp;RIGHT("00"&amp;MINUTE(Sync!$Q1455),2),IFERROR(RIGHT("00"&amp;VALUE(LEFT(Sync!$Q1455,FIND(":",Sync!$Q1455)-1)),2)&amp;RIGHT("00"&amp;VALUE(MID(Sync!$Q1455,FIND(":",Sync!$Q1455)+1,2)),2),"0000"))))</f>
        <v/>
      </c>
      <c r="G1458">
        <f>IF(OR($E1458="",$E1458="نامعتبر"),"",IF(Sync!$S1455="","",Sync!$S1455))</f>
        <v/>
      </c>
      <c r="H1458">
        <f>IF(OR($E1458="",$E1458="نامعتبر"),"",IF(Sync!$R1455="","",Sync!$R1455))</f>
        <v/>
      </c>
      <c r="I1458">
        <f>IF(OR($E1458="",$E1458="نامعتبر"),"",IF(Sync!$T1455="","",Sync!$T1455))</f>
        <v/>
      </c>
      <c r="J1458">
        <f>IF(OR($E1458="",$E1458="نامعتبر"),"",IF(Sync!$U1455="","",Sync!$U1455))</f>
        <v/>
      </c>
      <c r="K1458">
        <f>IF(OR($E1458="",$E1458="نامعتبر"),"",IF(Sync!$V1455="","",IFERROR(INDEX(SubCodes,MATCH(Sync!$V1455,SubTitles,0)),Sync!$V1455)))</f>
        <v/>
      </c>
      <c r="L1458">
        <f>IF(OR($E1458="",$E1458="نامعتبر"),"",IF(Sync!$W1455="",0,Sync!$W1455))</f>
        <v/>
      </c>
      <c r="M1458">
        <f>IF(OR($E1458="",$E1458="نامعتبر"),"",IF(Sync!$X1455="",0,Sync!$X1455))</f>
        <v/>
      </c>
      <c r="N1458">
        <f>IF(OR($E1458="",$E1458="نامعتبر"),"",IF(AND($J1458="هزینه",$K1458&lt;&gt;""),1,0))</f>
        <v/>
      </c>
      <c r="O1458">
        <f>IF($N1458=0,"",LEFT($E1458,4)&amp;MID($E1458,6,2)&amp;RIGHT($E1458,2)&amp;$F1458&amp;"|"&amp;"1"&amp;RIGHT("00000"&amp;1450,5))</f>
        <v/>
      </c>
      <c r="P1458">
        <f>IF($O1458="","",COUNTIFS(ExpSub,$K1458,ExpKey,"&lt;"&amp;$O1458)+1)</f>
        <v/>
      </c>
      <c r="Q1458">
        <f>IF($P1458="","",$K1458&amp;"|"&amp;RIGHT("000000"&amp;$P1458,6))</f>
        <v/>
      </c>
    </row>
    <row r="1459">
      <c r="A1459">
        <f>IF(Sync!$P1456="","",Sync!$P1456)</f>
        <v/>
      </c>
      <c r="B1459">
        <f>IF($A1459="","",IF(ISNUMBER($A1459),IF(AND($A1459&gt;=10000101,$A1459&lt;=99991231),INT($A1459/10000),""),IFERROR(VALUE(TRIM(LEFT($A1459,FIND("/",$A1459)-1))),"")))</f>
        <v/>
      </c>
      <c r="C1459">
        <f>IF(OR($A1459="",$B1459=""),"",IF(ISNUMBER($A1459),INT(MOD($A1459,10000)/100),IFERROR(VALUE(TRIM(LEFT(MID($A1459,FIND("/",$A1459)+1,20),FIND("/",MID($A1459,FIND("/",$A1459)+1,20))-1))),"")))</f>
        <v/>
      </c>
      <c r="D1459">
        <f>IF(OR($A1459="",$B1459=""),"",IF(ISNUMBER($A1459),MOD($A1459,100),IFERROR(VALUE(TRIM(MID(MID($A1459,FIND("/",$A1459)+1,20),FIND("/",MID($A1459,FIND("/",$A1459)+1,20))+1,20))),"")))</f>
        <v/>
      </c>
      <c r="E1459">
        <f>IF($A1459="","",IF(OR($B1459="",$C1459="",$D1459="",$B1459&lt;1300,$B1459&gt;1500,$C1459&lt;1,$C1459&gt;12,$D1459&lt;1,$D1459&gt;31),"نامعتبر",RIGHT("0000"&amp;$B1459,4)&amp;"/"&amp;RIGHT("00"&amp;$C1459,2)&amp;"/"&amp;RIGHT("00"&amp;$D1459,2)))</f>
        <v/>
      </c>
      <c r="F1459">
        <f>IF(OR($E1459="",$E1459="نامعتبر"),"",IF(Sync!$Q1456="","0000",IF(AND(ISNUMBER(Sync!$Q1456),Sync!$Q1456&gt;=0,Sync!$Q1456&lt;1),RIGHT("00"&amp;HOUR(Sync!$Q1456),2)&amp;RIGHT("00"&amp;MINUTE(Sync!$Q1456),2),IFERROR(RIGHT("00"&amp;VALUE(LEFT(Sync!$Q1456,FIND(":",Sync!$Q1456)-1)),2)&amp;RIGHT("00"&amp;VALUE(MID(Sync!$Q1456,FIND(":",Sync!$Q1456)+1,2)),2),"0000"))))</f>
        <v/>
      </c>
      <c r="G1459">
        <f>IF(OR($E1459="",$E1459="نامعتبر"),"",IF(Sync!$S1456="","",Sync!$S1456))</f>
        <v/>
      </c>
      <c r="H1459">
        <f>IF(OR($E1459="",$E1459="نامعتبر"),"",IF(Sync!$R1456="","",Sync!$R1456))</f>
        <v/>
      </c>
      <c r="I1459">
        <f>IF(OR($E1459="",$E1459="نامعتبر"),"",IF(Sync!$T1456="","",Sync!$T1456))</f>
        <v/>
      </c>
      <c r="J1459">
        <f>IF(OR($E1459="",$E1459="نامعتبر"),"",IF(Sync!$U1456="","",Sync!$U1456))</f>
        <v/>
      </c>
      <c r="K1459">
        <f>IF(OR($E1459="",$E1459="نامعتبر"),"",IF(Sync!$V1456="","",IFERROR(INDEX(SubCodes,MATCH(Sync!$V1456,SubTitles,0)),Sync!$V1456)))</f>
        <v/>
      </c>
      <c r="L1459">
        <f>IF(OR($E1459="",$E1459="نامعتبر"),"",IF(Sync!$W1456="",0,Sync!$W1456))</f>
        <v/>
      </c>
      <c r="M1459">
        <f>IF(OR($E1459="",$E1459="نامعتبر"),"",IF(Sync!$X1456="",0,Sync!$X1456))</f>
        <v/>
      </c>
      <c r="N1459">
        <f>IF(OR($E1459="",$E1459="نامعتبر"),"",IF(AND($J1459="هزینه",$K1459&lt;&gt;""),1,0))</f>
        <v/>
      </c>
      <c r="O1459">
        <f>IF($N1459=0,"",LEFT($E1459,4)&amp;MID($E1459,6,2)&amp;RIGHT($E1459,2)&amp;$F1459&amp;"|"&amp;"1"&amp;RIGHT("00000"&amp;1451,5))</f>
        <v/>
      </c>
      <c r="P1459">
        <f>IF($O1459="","",COUNTIFS(ExpSub,$K1459,ExpKey,"&lt;"&amp;$O1459)+1)</f>
        <v/>
      </c>
      <c r="Q1459">
        <f>IF($P1459="","",$K1459&amp;"|"&amp;RIGHT("000000"&amp;$P1459,6))</f>
        <v/>
      </c>
    </row>
    <row r="1460">
      <c r="A1460">
        <f>IF(Sync!$P1457="","",Sync!$P1457)</f>
        <v/>
      </c>
      <c r="B1460">
        <f>IF($A1460="","",IF(ISNUMBER($A1460),IF(AND($A1460&gt;=10000101,$A1460&lt;=99991231),INT($A1460/10000),""),IFERROR(VALUE(TRIM(LEFT($A1460,FIND("/",$A1460)-1))),"")))</f>
        <v/>
      </c>
      <c r="C1460">
        <f>IF(OR($A1460="",$B1460=""),"",IF(ISNUMBER($A1460),INT(MOD($A1460,10000)/100),IFERROR(VALUE(TRIM(LEFT(MID($A1460,FIND("/",$A1460)+1,20),FIND("/",MID($A1460,FIND("/",$A1460)+1,20))-1))),"")))</f>
        <v/>
      </c>
      <c r="D1460">
        <f>IF(OR($A1460="",$B1460=""),"",IF(ISNUMBER($A1460),MOD($A1460,100),IFERROR(VALUE(TRIM(MID(MID($A1460,FIND("/",$A1460)+1,20),FIND("/",MID($A1460,FIND("/",$A1460)+1,20))+1,20))),"")))</f>
        <v/>
      </c>
      <c r="E1460">
        <f>IF($A1460="","",IF(OR($B1460="",$C1460="",$D1460="",$B1460&lt;1300,$B1460&gt;1500,$C1460&lt;1,$C1460&gt;12,$D1460&lt;1,$D1460&gt;31),"نامعتبر",RIGHT("0000"&amp;$B1460,4)&amp;"/"&amp;RIGHT("00"&amp;$C1460,2)&amp;"/"&amp;RIGHT("00"&amp;$D1460,2)))</f>
        <v/>
      </c>
      <c r="F1460">
        <f>IF(OR($E1460="",$E1460="نامعتبر"),"",IF(Sync!$Q1457="","0000",IF(AND(ISNUMBER(Sync!$Q1457),Sync!$Q1457&gt;=0,Sync!$Q1457&lt;1),RIGHT("00"&amp;HOUR(Sync!$Q1457),2)&amp;RIGHT("00"&amp;MINUTE(Sync!$Q1457),2),IFERROR(RIGHT("00"&amp;VALUE(LEFT(Sync!$Q1457,FIND(":",Sync!$Q1457)-1)),2)&amp;RIGHT("00"&amp;VALUE(MID(Sync!$Q1457,FIND(":",Sync!$Q1457)+1,2)),2),"0000"))))</f>
        <v/>
      </c>
      <c r="G1460">
        <f>IF(OR($E1460="",$E1460="نامعتبر"),"",IF(Sync!$S1457="","",Sync!$S1457))</f>
        <v/>
      </c>
      <c r="H1460">
        <f>IF(OR($E1460="",$E1460="نامعتبر"),"",IF(Sync!$R1457="","",Sync!$R1457))</f>
        <v/>
      </c>
      <c r="I1460">
        <f>IF(OR($E1460="",$E1460="نامعتبر"),"",IF(Sync!$T1457="","",Sync!$T1457))</f>
        <v/>
      </c>
      <c r="J1460">
        <f>IF(OR($E1460="",$E1460="نامعتبر"),"",IF(Sync!$U1457="","",Sync!$U1457))</f>
        <v/>
      </c>
      <c r="K1460">
        <f>IF(OR($E1460="",$E1460="نامعتبر"),"",IF(Sync!$V1457="","",IFERROR(INDEX(SubCodes,MATCH(Sync!$V1457,SubTitles,0)),Sync!$V1457)))</f>
        <v/>
      </c>
      <c r="L1460">
        <f>IF(OR($E1460="",$E1460="نامعتبر"),"",IF(Sync!$W1457="",0,Sync!$W1457))</f>
        <v/>
      </c>
      <c r="M1460">
        <f>IF(OR($E1460="",$E1460="نامعتبر"),"",IF(Sync!$X1457="",0,Sync!$X1457))</f>
        <v/>
      </c>
      <c r="N1460">
        <f>IF(OR($E1460="",$E1460="نامعتبر"),"",IF(AND($J1460="هزینه",$K1460&lt;&gt;""),1,0))</f>
        <v/>
      </c>
      <c r="O1460">
        <f>IF($N1460=0,"",LEFT($E1460,4)&amp;MID($E1460,6,2)&amp;RIGHT($E1460,2)&amp;$F1460&amp;"|"&amp;"1"&amp;RIGHT("00000"&amp;1452,5))</f>
        <v/>
      </c>
      <c r="P1460">
        <f>IF($O1460="","",COUNTIFS(ExpSub,$K1460,ExpKey,"&lt;"&amp;$O1460)+1)</f>
        <v/>
      </c>
      <c r="Q1460">
        <f>IF($P1460="","",$K1460&amp;"|"&amp;RIGHT("000000"&amp;$P1460,6))</f>
        <v/>
      </c>
    </row>
    <row r="1461">
      <c r="A1461">
        <f>IF(Sync!$P1458="","",Sync!$P1458)</f>
        <v/>
      </c>
      <c r="B1461">
        <f>IF($A1461="","",IF(ISNUMBER($A1461),IF(AND($A1461&gt;=10000101,$A1461&lt;=99991231),INT($A1461/10000),""),IFERROR(VALUE(TRIM(LEFT($A1461,FIND("/",$A1461)-1))),"")))</f>
        <v/>
      </c>
      <c r="C1461">
        <f>IF(OR($A1461="",$B1461=""),"",IF(ISNUMBER($A1461),INT(MOD($A1461,10000)/100),IFERROR(VALUE(TRIM(LEFT(MID($A1461,FIND("/",$A1461)+1,20),FIND("/",MID($A1461,FIND("/",$A1461)+1,20))-1))),"")))</f>
        <v/>
      </c>
      <c r="D1461">
        <f>IF(OR($A1461="",$B1461=""),"",IF(ISNUMBER($A1461),MOD($A1461,100),IFERROR(VALUE(TRIM(MID(MID($A1461,FIND("/",$A1461)+1,20),FIND("/",MID($A1461,FIND("/",$A1461)+1,20))+1,20))),"")))</f>
        <v/>
      </c>
      <c r="E1461">
        <f>IF($A1461="","",IF(OR($B1461="",$C1461="",$D1461="",$B1461&lt;1300,$B1461&gt;1500,$C1461&lt;1,$C1461&gt;12,$D1461&lt;1,$D1461&gt;31),"نامعتبر",RIGHT("0000"&amp;$B1461,4)&amp;"/"&amp;RIGHT("00"&amp;$C1461,2)&amp;"/"&amp;RIGHT("00"&amp;$D1461,2)))</f>
        <v/>
      </c>
      <c r="F1461">
        <f>IF(OR($E1461="",$E1461="نامعتبر"),"",IF(Sync!$Q1458="","0000",IF(AND(ISNUMBER(Sync!$Q1458),Sync!$Q1458&gt;=0,Sync!$Q1458&lt;1),RIGHT("00"&amp;HOUR(Sync!$Q1458),2)&amp;RIGHT("00"&amp;MINUTE(Sync!$Q1458),2),IFERROR(RIGHT("00"&amp;VALUE(LEFT(Sync!$Q1458,FIND(":",Sync!$Q1458)-1)),2)&amp;RIGHT("00"&amp;VALUE(MID(Sync!$Q1458,FIND(":",Sync!$Q1458)+1,2)),2),"0000"))))</f>
        <v/>
      </c>
      <c r="G1461">
        <f>IF(OR($E1461="",$E1461="نامعتبر"),"",IF(Sync!$S1458="","",Sync!$S1458))</f>
        <v/>
      </c>
      <c r="H1461">
        <f>IF(OR($E1461="",$E1461="نامعتبر"),"",IF(Sync!$R1458="","",Sync!$R1458))</f>
        <v/>
      </c>
      <c r="I1461">
        <f>IF(OR($E1461="",$E1461="نامعتبر"),"",IF(Sync!$T1458="","",Sync!$T1458))</f>
        <v/>
      </c>
      <c r="J1461">
        <f>IF(OR($E1461="",$E1461="نامعتبر"),"",IF(Sync!$U1458="","",Sync!$U1458))</f>
        <v/>
      </c>
      <c r="K1461">
        <f>IF(OR($E1461="",$E1461="نامعتبر"),"",IF(Sync!$V1458="","",IFERROR(INDEX(SubCodes,MATCH(Sync!$V1458,SubTitles,0)),Sync!$V1458)))</f>
        <v/>
      </c>
      <c r="L1461">
        <f>IF(OR($E1461="",$E1461="نامعتبر"),"",IF(Sync!$W1458="",0,Sync!$W1458))</f>
        <v/>
      </c>
      <c r="M1461">
        <f>IF(OR($E1461="",$E1461="نامعتبر"),"",IF(Sync!$X1458="",0,Sync!$X1458))</f>
        <v/>
      </c>
      <c r="N1461">
        <f>IF(OR($E1461="",$E1461="نامعتبر"),"",IF(AND($J1461="هزینه",$K1461&lt;&gt;""),1,0))</f>
        <v/>
      </c>
      <c r="O1461">
        <f>IF($N1461=0,"",LEFT($E1461,4)&amp;MID($E1461,6,2)&amp;RIGHT($E1461,2)&amp;$F1461&amp;"|"&amp;"1"&amp;RIGHT("00000"&amp;1453,5))</f>
        <v/>
      </c>
      <c r="P1461">
        <f>IF($O1461="","",COUNTIFS(ExpSub,$K1461,ExpKey,"&lt;"&amp;$O1461)+1)</f>
        <v/>
      </c>
      <c r="Q1461">
        <f>IF($P1461="","",$K1461&amp;"|"&amp;RIGHT("000000"&amp;$P1461,6))</f>
        <v/>
      </c>
    </row>
    <row r="1462">
      <c r="A1462">
        <f>IF(Sync!$P1459="","",Sync!$P1459)</f>
        <v/>
      </c>
      <c r="B1462">
        <f>IF($A1462="","",IF(ISNUMBER($A1462),IF(AND($A1462&gt;=10000101,$A1462&lt;=99991231),INT($A1462/10000),""),IFERROR(VALUE(TRIM(LEFT($A1462,FIND("/",$A1462)-1))),"")))</f>
        <v/>
      </c>
      <c r="C1462">
        <f>IF(OR($A1462="",$B1462=""),"",IF(ISNUMBER($A1462),INT(MOD($A1462,10000)/100),IFERROR(VALUE(TRIM(LEFT(MID($A1462,FIND("/",$A1462)+1,20),FIND("/",MID($A1462,FIND("/",$A1462)+1,20))-1))),"")))</f>
        <v/>
      </c>
      <c r="D1462">
        <f>IF(OR($A1462="",$B1462=""),"",IF(ISNUMBER($A1462),MOD($A1462,100),IFERROR(VALUE(TRIM(MID(MID($A1462,FIND("/",$A1462)+1,20),FIND("/",MID($A1462,FIND("/",$A1462)+1,20))+1,20))),"")))</f>
        <v/>
      </c>
      <c r="E1462">
        <f>IF($A1462="","",IF(OR($B1462="",$C1462="",$D1462="",$B1462&lt;1300,$B1462&gt;1500,$C1462&lt;1,$C1462&gt;12,$D1462&lt;1,$D1462&gt;31),"نامعتبر",RIGHT("0000"&amp;$B1462,4)&amp;"/"&amp;RIGHT("00"&amp;$C1462,2)&amp;"/"&amp;RIGHT("00"&amp;$D1462,2)))</f>
        <v/>
      </c>
      <c r="F1462">
        <f>IF(OR($E1462="",$E1462="نامعتبر"),"",IF(Sync!$Q1459="","0000",IF(AND(ISNUMBER(Sync!$Q1459),Sync!$Q1459&gt;=0,Sync!$Q1459&lt;1),RIGHT("00"&amp;HOUR(Sync!$Q1459),2)&amp;RIGHT("00"&amp;MINUTE(Sync!$Q1459),2),IFERROR(RIGHT("00"&amp;VALUE(LEFT(Sync!$Q1459,FIND(":",Sync!$Q1459)-1)),2)&amp;RIGHT("00"&amp;VALUE(MID(Sync!$Q1459,FIND(":",Sync!$Q1459)+1,2)),2),"0000"))))</f>
        <v/>
      </c>
      <c r="G1462">
        <f>IF(OR($E1462="",$E1462="نامعتبر"),"",IF(Sync!$S1459="","",Sync!$S1459))</f>
        <v/>
      </c>
      <c r="H1462">
        <f>IF(OR($E1462="",$E1462="نامعتبر"),"",IF(Sync!$R1459="","",Sync!$R1459))</f>
        <v/>
      </c>
      <c r="I1462">
        <f>IF(OR($E1462="",$E1462="نامعتبر"),"",IF(Sync!$T1459="","",Sync!$T1459))</f>
        <v/>
      </c>
      <c r="J1462">
        <f>IF(OR($E1462="",$E1462="نامعتبر"),"",IF(Sync!$U1459="","",Sync!$U1459))</f>
        <v/>
      </c>
      <c r="K1462">
        <f>IF(OR($E1462="",$E1462="نامعتبر"),"",IF(Sync!$V1459="","",IFERROR(INDEX(SubCodes,MATCH(Sync!$V1459,SubTitles,0)),Sync!$V1459)))</f>
        <v/>
      </c>
      <c r="L1462">
        <f>IF(OR($E1462="",$E1462="نامعتبر"),"",IF(Sync!$W1459="",0,Sync!$W1459))</f>
        <v/>
      </c>
      <c r="M1462">
        <f>IF(OR($E1462="",$E1462="نامعتبر"),"",IF(Sync!$X1459="",0,Sync!$X1459))</f>
        <v/>
      </c>
      <c r="N1462">
        <f>IF(OR($E1462="",$E1462="نامعتبر"),"",IF(AND($J1462="هزینه",$K1462&lt;&gt;""),1,0))</f>
        <v/>
      </c>
      <c r="O1462">
        <f>IF($N1462=0,"",LEFT($E1462,4)&amp;MID($E1462,6,2)&amp;RIGHT($E1462,2)&amp;$F1462&amp;"|"&amp;"1"&amp;RIGHT("00000"&amp;1454,5))</f>
        <v/>
      </c>
      <c r="P1462">
        <f>IF($O1462="","",COUNTIFS(ExpSub,$K1462,ExpKey,"&lt;"&amp;$O1462)+1)</f>
        <v/>
      </c>
      <c r="Q1462">
        <f>IF($P1462="","",$K1462&amp;"|"&amp;RIGHT("000000"&amp;$P1462,6))</f>
        <v/>
      </c>
    </row>
    <row r="1463">
      <c r="A1463">
        <f>IF(Sync!$P1460="","",Sync!$P1460)</f>
        <v/>
      </c>
      <c r="B1463">
        <f>IF($A1463="","",IF(ISNUMBER($A1463),IF(AND($A1463&gt;=10000101,$A1463&lt;=99991231),INT($A1463/10000),""),IFERROR(VALUE(TRIM(LEFT($A1463,FIND("/",$A1463)-1))),"")))</f>
        <v/>
      </c>
      <c r="C1463">
        <f>IF(OR($A1463="",$B1463=""),"",IF(ISNUMBER($A1463),INT(MOD($A1463,10000)/100),IFERROR(VALUE(TRIM(LEFT(MID($A1463,FIND("/",$A1463)+1,20),FIND("/",MID($A1463,FIND("/",$A1463)+1,20))-1))),"")))</f>
        <v/>
      </c>
      <c r="D1463">
        <f>IF(OR($A1463="",$B1463=""),"",IF(ISNUMBER($A1463),MOD($A1463,100),IFERROR(VALUE(TRIM(MID(MID($A1463,FIND("/",$A1463)+1,20),FIND("/",MID($A1463,FIND("/",$A1463)+1,20))+1,20))),"")))</f>
        <v/>
      </c>
      <c r="E1463">
        <f>IF($A1463="","",IF(OR($B1463="",$C1463="",$D1463="",$B1463&lt;1300,$B1463&gt;1500,$C1463&lt;1,$C1463&gt;12,$D1463&lt;1,$D1463&gt;31),"نامعتبر",RIGHT("0000"&amp;$B1463,4)&amp;"/"&amp;RIGHT("00"&amp;$C1463,2)&amp;"/"&amp;RIGHT("00"&amp;$D1463,2)))</f>
        <v/>
      </c>
      <c r="F1463">
        <f>IF(OR($E1463="",$E1463="نامعتبر"),"",IF(Sync!$Q1460="","0000",IF(AND(ISNUMBER(Sync!$Q1460),Sync!$Q1460&gt;=0,Sync!$Q1460&lt;1),RIGHT("00"&amp;HOUR(Sync!$Q1460),2)&amp;RIGHT("00"&amp;MINUTE(Sync!$Q1460),2),IFERROR(RIGHT("00"&amp;VALUE(LEFT(Sync!$Q1460,FIND(":",Sync!$Q1460)-1)),2)&amp;RIGHT("00"&amp;VALUE(MID(Sync!$Q1460,FIND(":",Sync!$Q1460)+1,2)),2),"0000"))))</f>
        <v/>
      </c>
      <c r="G1463">
        <f>IF(OR($E1463="",$E1463="نامعتبر"),"",IF(Sync!$S1460="","",Sync!$S1460))</f>
        <v/>
      </c>
      <c r="H1463">
        <f>IF(OR($E1463="",$E1463="نامعتبر"),"",IF(Sync!$R1460="","",Sync!$R1460))</f>
        <v/>
      </c>
      <c r="I1463">
        <f>IF(OR($E1463="",$E1463="نامعتبر"),"",IF(Sync!$T1460="","",Sync!$T1460))</f>
        <v/>
      </c>
      <c r="J1463">
        <f>IF(OR($E1463="",$E1463="نامعتبر"),"",IF(Sync!$U1460="","",Sync!$U1460))</f>
        <v/>
      </c>
      <c r="K1463">
        <f>IF(OR($E1463="",$E1463="نامعتبر"),"",IF(Sync!$V1460="","",IFERROR(INDEX(SubCodes,MATCH(Sync!$V1460,SubTitles,0)),Sync!$V1460)))</f>
        <v/>
      </c>
      <c r="L1463">
        <f>IF(OR($E1463="",$E1463="نامعتبر"),"",IF(Sync!$W1460="",0,Sync!$W1460))</f>
        <v/>
      </c>
      <c r="M1463">
        <f>IF(OR($E1463="",$E1463="نامعتبر"),"",IF(Sync!$X1460="",0,Sync!$X1460))</f>
        <v/>
      </c>
      <c r="N1463">
        <f>IF(OR($E1463="",$E1463="نامعتبر"),"",IF(AND($J1463="هزینه",$K1463&lt;&gt;""),1,0))</f>
        <v/>
      </c>
      <c r="O1463">
        <f>IF($N1463=0,"",LEFT($E1463,4)&amp;MID($E1463,6,2)&amp;RIGHT($E1463,2)&amp;$F1463&amp;"|"&amp;"1"&amp;RIGHT("00000"&amp;1455,5))</f>
        <v/>
      </c>
      <c r="P1463">
        <f>IF($O1463="","",COUNTIFS(ExpSub,$K1463,ExpKey,"&lt;"&amp;$O1463)+1)</f>
        <v/>
      </c>
      <c r="Q1463">
        <f>IF($P1463="","",$K1463&amp;"|"&amp;RIGHT("000000"&amp;$P1463,6))</f>
        <v/>
      </c>
    </row>
    <row r="1464">
      <c r="A1464">
        <f>IF(Sync!$P1461="","",Sync!$P1461)</f>
        <v/>
      </c>
      <c r="B1464">
        <f>IF($A1464="","",IF(ISNUMBER($A1464),IF(AND($A1464&gt;=10000101,$A1464&lt;=99991231),INT($A1464/10000),""),IFERROR(VALUE(TRIM(LEFT($A1464,FIND("/",$A1464)-1))),"")))</f>
        <v/>
      </c>
      <c r="C1464">
        <f>IF(OR($A1464="",$B1464=""),"",IF(ISNUMBER($A1464),INT(MOD($A1464,10000)/100),IFERROR(VALUE(TRIM(LEFT(MID($A1464,FIND("/",$A1464)+1,20),FIND("/",MID($A1464,FIND("/",$A1464)+1,20))-1))),"")))</f>
        <v/>
      </c>
      <c r="D1464">
        <f>IF(OR($A1464="",$B1464=""),"",IF(ISNUMBER($A1464),MOD($A1464,100),IFERROR(VALUE(TRIM(MID(MID($A1464,FIND("/",$A1464)+1,20),FIND("/",MID($A1464,FIND("/",$A1464)+1,20))+1,20))),"")))</f>
        <v/>
      </c>
      <c r="E1464">
        <f>IF($A1464="","",IF(OR($B1464="",$C1464="",$D1464="",$B1464&lt;1300,$B1464&gt;1500,$C1464&lt;1,$C1464&gt;12,$D1464&lt;1,$D1464&gt;31),"نامعتبر",RIGHT("0000"&amp;$B1464,4)&amp;"/"&amp;RIGHT("00"&amp;$C1464,2)&amp;"/"&amp;RIGHT("00"&amp;$D1464,2)))</f>
        <v/>
      </c>
      <c r="F1464">
        <f>IF(OR($E1464="",$E1464="نامعتبر"),"",IF(Sync!$Q1461="","0000",IF(AND(ISNUMBER(Sync!$Q1461),Sync!$Q1461&gt;=0,Sync!$Q1461&lt;1),RIGHT("00"&amp;HOUR(Sync!$Q1461),2)&amp;RIGHT("00"&amp;MINUTE(Sync!$Q1461),2),IFERROR(RIGHT("00"&amp;VALUE(LEFT(Sync!$Q1461,FIND(":",Sync!$Q1461)-1)),2)&amp;RIGHT("00"&amp;VALUE(MID(Sync!$Q1461,FIND(":",Sync!$Q1461)+1,2)),2),"0000"))))</f>
        <v/>
      </c>
      <c r="G1464">
        <f>IF(OR($E1464="",$E1464="نامعتبر"),"",IF(Sync!$S1461="","",Sync!$S1461))</f>
        <v/>
      </c>
      <c r="H1464">
        <f>IF(OR($E1464="",$E1464="نامعتبر"),"",IF(Sync!$R1461="","",Sync!$R1461))</f>
        <v/>
      </c>
      <c r="I1464">
        <f>IF(OR($E1464="",$E1464="نامعتبر"),"",IF(Sync!$T1461="","",Sync!$T1461))</f>
        <v/>
      </c>
      <c r="J1464">
        <f>IF(OR($E1464="",$E1464="نامعتبر"),"",IF(Sync!$U1461="","",Sync!$U1461))</f>
        <v/>
      </c>
      <c r="K1464">
        <f>IF(OR($E1464="",$E1464="نامعتبر"),"",IF(Sync!$V1461="","",IFERROR(INDEX(SubCodes,MATCH(Sync!$V1461,SubTitles,0)),Sync!$V1461)))</f>
        <v/>
      </c>
      <c r="L1464">
        <f>IF(OR($E1464="",$E1464="نامعتبر"),"",IF(Sync!$W1461="",0,Sync!$W1461))</f>
        <v/>
      </c>
      <c r="M1464">
        <f>IF(OR($E1464="",$E1464="نامعتبر"),"",IF(Sync!$X1461="",0,Sync!$X1461))</f>
        <v/>
      </c>
      <c r="N1464">
        <f>IF(OR($E1464="",$E1464="نامعتبر"),"",IF(AND($J1464="هزینه",$K1464&lt;&gt;""),1,0))</f>
        <v/>
      </c>
      <c r="O1464">
        <f>IF($N1464=0,"",LEFT($E1464,4)&amp;MID($E1464,6,2)&amp;RIGHT($E1464,2)&amp;$F1464&amp;"|"&amp;"1"&amp;RIGHT("00000"&amp;1456,5))</f>
        <v/>
      </c>
      <c r="P1464">
        <f>IF($O1464="","",COUNTIFS(ExpSub,$K1464,ExpKey,"&lt;"&amp;$O1464)+1)</f>
        <v/>
      </c>
      <c r="Q1464">
        <f>IF($P1464="","",$K1464&amp;"|"&amp;RIGHT("000000"&amp;$P1464,6))</f>
        <v/>
      </c>
    </row>
    <row r="1465">
      <c r="A1465">
        <f>IF(Sync!$P1462="","",Sync!$P1462)</f>
        <v/>
      </c>
      <c r="B1465">
        <f>IF($A1465="","",IF(ISNUMBER($A1465),IF(AND($A1465&gt;=10000101,$A1465&lt;=99991231),INT($A1465/10000),""),IFERROR(VALUE(TRIM(LEFT($A1465,FIND("/",$A1465)-1))),"")))</f>
        <v/>
      </c>
      <c r="C1465">
        <f>IF(OR($A1465="",$B1465=""),"",IF(ISNUMBER($A1465),INT(MOD($A1465,10000)/100),IFERROR(VALUE(TRIM(LEFT(MID($A1465,FIND("/",$A1465)+1,20),FIND("/",MID($A1465,FIND("/",$A1465)+1,20))-1))),"")))</f>
        <v/>
      </c>
      <c r="D1465">
        <f>IF(OR($A1465="",$B1465=""),"",IF(ISNUMBER($A1465),MOD($A1465,100),IFERROR(VALUE(TRIM(MID(MID($A1465,FIND("/",$A1465)+1,20),FIND("/",MID($A1465,FIND("/",$A1465)+1,20))+1,20))),"")))</f>
        <v/>
      </c>
      <c r="E1465">
        <f>IF($A1465="","",IF(OR($B1465="",$C1465="",$D1465="",$B1465&lt;1300,$B1465&gt;1500,$C1465&lt;1,$C1465&gt;12,$D1465&lt;1,$D1465&gt;31),"نامعتبر",RIGHT("0000"&amp;$B1465,4)&amp;"/"&amp;RIGHT("00"&amp;$C1465,2)&amp;"/"&amp;RIGHT("00"&amp;$D1465,2)))</f>
        <v/>
      </c>
      <c r="F1465">
        <f>IF(OR($E1465="",$E1465="نامعتبر"),"",IF(Sync!$Q1462="","0000",IF(AND(ISNUMBER(Sync!$Q1462),Sync!$Q1462&gt;=0,Sync!$Q1462&lt;1),RIGHT("00"&amp;HOUR(Sync!$Q1462),2)&amp;RIGHT("00"&amp;MINUTE(Sync!$Q1462),2),IFERROR(RIGHT("00"&amp;VALUE(LEFT(Sync!$Q1462,FIND(":",Sync!$Q1462)-1)),2)&amp;RIGHT("00"&amp;VALUE(MID(Sync!$Q1462,FIND(":",Sync!$Q1462)+1,2)),2),"0000"))))</f>
        <v/>
      </c>
      <c r="G1465">
        <f>IF(OR($E1465="",$E1465="نامعتبر"),"",IF(Sync!$S1462="","",Sync!$S1462))</f>
        <v/>
      </c>
      <c r="H1465">
        <f>IF(OR($E1465="",$E1465="نامعتبر"),"",IF(Sync!$R1462="","",Sync!$R1462))</f>
        <v/>
      </c>
      <c r="I1465">
        <f>IF(OR($E1465="",$E1465="نامعتبر"),"",IF(Sync!$T1462="","",Sync!$T1462))</f>
        <v/>
      </c>
      <c r="J1465">
        <f>IF(OR($E1465="",$E1465="نامعتبر"),"",IF(Sync!$U1462="","",Sync!$U1462))</f>
        <v/>
      </c>
      <c r="K1465">
        <f>IF(OR($E1465="",$E1465="نامعتبر"),"",IF(Sync!$V1462="","",IFERROR(INDEX(SubCodes,MATCH(Sync!$V1462,SubTitles,0)),Sync!$V1462)))</f>
        <v/>
      </c>
      <c r="L1465">
        <f>IF(OR($E1465="",$E1465="نامعتبر"),"",IF(Sync!$W1462="",0,Sync!$W1462))</f>
        <v/>
      </c>
      <c r="M1465">
        <f>IF(OR($E1465="",$E1465="نامعتبر"),"",IF(Sync!$X1462="",0,Sync!$X1462))</f>
        <v/>
      </c>
      <c r="N1465">
        <f>IF(OR($E1465="",$E1465="نامعتبر"),"",IF(AND($J1465="هزینه",$K1465&lt;&gt;""),1,0))</f>
        <v/>
      </c>
      <c r="O1465">
        <f>IF($N1465=0,"",LEFT($E1465,4)&amp;MID($E1465,6,2)&amp;RIGHT($E1465,2)&amp;$F1465&amp;"|"&amp;"1"&amp;RIGHT("00000"&amp;1457,5))</f>
        <v/>
      </c>
      <c r="P1465">
        <f>IF($O1465="","",COUNTIFS(ExpSub,$K1465,ExpKey,"&lt;"&amp;$O1465)+1)</f>
        <v/>
      </c>
      <c r="Q1465">
        <f>IF($P1465="","",$K1465&amp;"|"&amp;RIGHT("000000"&amp;$P1465,6))</f>
        <v/>
      </c>
    </row>
    <row r="1466">
      <c r="A1466">
        <f>IF(Sync!$P1463="","",Sync!$P1463)</f>
        <v/>
      </c>
      <c r="B1466">
        <f>IF($A1466="","",IF(ISNUMBER($A1466),IF(AND($A1466&gt;=10000101,$A1466&lt;=99991231),INT($A1466/10000),""),IFERROR(VALUE(TRIM(LEFT($A1466,FIND("/",$A1466)-1))),"")))</f>
        <v/>
      </c>
      <c r="C1466">
        <f>IF(OR($A1466="",$B1466=""),"",IF(ISNUMBER($A1466),INT(MOD($A1466,10000)/100),IFERROR(VALUE(TRIM(LEFT(MID($A1466,FIND("/",$A1466)+1,20),FIND("/",MID($A1466,FIND("/",$A1466)+1,20))-1))),"")))</f>
        <v/>
      </c>
      <c r="D1466">
        <f>IF(OR($A1466="",$B1466=""),"",IF(ISNUMBER($A1466),MOD($A1466,100),IFERROR(VALUE(TRIM(MID(MID($A1466,FIND("/",$A1466)+1,20),FIND("/",MID($A1466,FIND("/",$A1466)+1,20))+1,20))),"")))</f>
        <v/>
      </c>
      <c r="E1466">
        <f>IF($A1466="","",IF(OR($B1466="",$C1466="",$D1466="",$B1466&lt;1300,$B1466&gt;1500,$C1466&lt;1,$C1466&gt;12,$D1466&lt;1,$D1466&gt;31),"نامعتبر",RIGHT("0000"&amp;$B1466,4)&amp;"/"&amp;RIGHT("00"&amp;$C1466,2)&amp;"/"&amp;RIGHT("00"&amp;$D1466,2)))</f>
        <v/>
      </c>
      <c r="F1466">
        <f>IF(OR($E1466="",$E1466="نامعتبر"),"",IF(Sync!$Q1463="","0000",IF(AND(ISNUMBER(Sync!$Q1463),Sync!$Q1463&gt;=0,Sync!$Q1463&lt;1),RIGHT("00"&amp;HOUR(Sync!$Q1463),2)&amp;RIGHT("00"&amp;MINUTE(Sync!$Q1463),2),IFERROR(RIGHT("00"&amp;VALUE(LEFT(Sync!$Q1463,FIND(":",Sync!$Q1463)-1)),2)&amp;RIGHT("00"&amp;VALUE(MID(Sync!$Q1463,FIND(":",Sync!$Q1463)+1,2)),2),"0000"))))</f>
        <v/>
      </c>
      <c r="G1466">
        <f>IF(OR($E1466="",$E1466="نامعتبر"),"",IF(Sync!$S1463="","",Sync!$S1463))</f>
        <v/>
      </c>
      <c r="H1466">
        <f>IF(OR($E1466="",$E1466="نامعتبر"),"",IF(Sync!$R1463="","",Sync!$R1463))</f>
        <v/>
      </c>
      <c r="I1466">
        <f>IF(OR($E1466="",$E1466="نامعتبر"),"",IF(Sync!$T1463="","",Sync!$T1463))</f>
        <v/>
      </c>
      <c r="J1466">
        <f>IF(OR($E1466="",$E1466="نامعتبر"),"",IF(Sync!$U1463="","",Sync!$U1463))</f>
        <v/>
      </c>
      <c r="K1466">
        <f>IF(OR($E1466="",$E1466="نامعتبر"),"",IF(Sync!$V1463="","",IFERROR(INDEX(SubCodes,MATCH(Sync!$V1463,SubTitles,0)),Sync!$V1463)))</f>
        <v/>
      </c>
      <c r="L1466">
        <f>IF(OR($E1466="",$E1466="نامعتبر"),"",IF(Sync!$W1463="",0,Sync!$W1463))</f>
        <v/>
      </c>
      <c r="M1466">
        <f>IF(OR($E1466="",$E1466="نامعتبر"),"",IF(Sync!$X1463="",0,Sync!$X1463))</f>
        <v/>
      </c>
      <c r="N1466">
        <f>IF(OR($E1466="",$E1466="نامعتبر"),"",IF(AND($J1466="هزینه",$K1466&lt;&gt;""),1,0))</f>
        <v/>
      </c>
      <c r="O1466">
        <f>IF($N1466=0,"",LEFT($E1466,4)&amp;MID($E1466,6,2)&amp;RIGHT($E1466,2)&amp;$F1466&amp;"|"&amp;"1"&amp;RIGHT("00000"&amp;1458,5))</f>
        <v/>
      </c>
      <c r="P1466">
        <f>IF($O1466="","",COUNTIFS(ExpSub,$K1466,ExpKey,"&lt;"&amp;$O1466)+1)</f>
        <v/>
      </c>
      <c r="Q1466">
        <f>IF($P1466="","",$K1466&amp;"|"&amp;RIGHT("000000"&amp;$P1466,6))</f>
        <v/>
      </c>
    </row>
    <row r="1467">
      <c r="A1467">
        <f>IF(Sync!$P1464="","",Sync!$P1464)</f>
        <v/>
      </c>
      <c r="B1467">
        <f>IF($A1467="","",IF(ISNUMBER($A1467),IF(AND($A1467&gt;=10000101,$A1467&lt;=99991231),INT($A1467/10000),""),IFERROR(VALUE(TRIM(LEFT($A1467,FIND("/",$A1467)-1))),"")))</f>
        <v/>
      </c>
      <c r="C1467">
        <f>IF(OR($A1467="",$B1467=""),"",IF(ISNUMBER($A1467),INT(MOD($A1467,10000)/100),IFERROR(VALUE(TRIM(LEFT(MID($A1467,FIND("/",$A1467)+1,20),FIND("/",MID($A1467,FIND("/",$A1467)+1,20))-1))),"")))</f>
        <v/>
      </c>
      <c r="D1467">
        <f>IF(OR($A1467="",$B1467=""),"",IF(ISNUMBER($A1467),MOD($A1467,100),IFERROR(VALUE(TRIM(MID(MID($A1467,FIND("/",$A1467)+1,20),FIND("/",MID($A1467,FIND("/",$A1467)+1,20))+1,20))),"")))</f>
        <v/>
      </c>
      <c r="E1467">
        <f>IF($A1467="","",IF(OR($B1467="",$C1467="",$D1467="",$B1467&lt;1300,$B1467&gt;1500,$C1467&lt;1,$C1467&gt;12,$D1467&lt;1,$D1467&gt;31),"نامعتبر",RIGHT("0000"&amp;$B1467,4)&amp;"/"&amp;RIGHT("00"&amp;$C1467,2)&amp;"/"&amp;RIGHT("00"&amp;$D1467,2)))</f>
        <v/>
      </c>
      <c r="F1467">
        <f>IF(OR($E1467="",$E1467="نامعتبر"),"",IF(Sync!$Q1464="","0000",IF(AND(ISNUMBER(Sync!$Q1464),Sync!$Q1464&gt;=0,Sync!$Q1464&lt;1),RIGHT("00"&amp;HOUR(Sync!$Q1464),2)&amp;RIGHT("00"&amp;MINUTE(Sync!$Q1464),2),IFERROR(RIGHT("00"&amp;VALUE(LEFT(Sync!$Q1464,FIND(":",Sync!$Q1464)-1)),2)&amp;RIGHT("00"&amp;VALUE(MID(Sync!$Q1464,FIND(":",Sync!$Q1464)+1,2)),2),"0000"))))</f>
        <v/>
      </c>
      <c r="G1467">
        <f>IF(OR($E1467="",$E1467="نامعتبر"),"",IF(Sync!$S1464="","",Sync!$S1464))</f>
        <v/>
      </c>
      <c r="H1467">
        <f>IF(OR($E1467="",$E1467="نامعتبر"),"",IF(Sync!$R1464="","",Sync!$R1464))</f>
        <v/>
      </c>
      <c r="I1467">
        <f>IF(OR($E1467="",$E1467="نامعتبر"),"",IF(Sync!$T1464="","",Sync!$T1464))</f>
        <v/>
      </c>
      <c r="J1467">
        <f>IF(OR($E1467="",$E1467="نامعتبر"),"",IF(Sync!$U1464="","",Sync!$U1464))</f>
        <v/>
      </c>
      <c r="K1467">
        <f>IF(OR($E1467="",$E1467="نامعتبر"),"",IF(Sync!$V1464="","",IFERROR(INDEX(SubCodes,MATCH(Sync!$V1464,SubTitles,0)),Sync!$V1464)))</f>
        <v/>
      </c>
      <c r="L1467">
        <f>IF(OR($E1467="",$E1467="نامعتبر"),"",IF(Sync!$W1464="",0,Sync!$W1464))</f>
        <v/>
      </c>
      <c r="M1467">
        <f>IF(OR($E1467="",$E1467="نامعتبر"),"",IF(Sync!$X1464="",0,Sync!$X1464))</f>
        <v/>
      </c>
      <c r="N1467">
        <f>IF(OR($E1467="",$E1467="نامعتبر"),"",IF(AND($J1467="هزینه",$K1467&lt;&gt;""),1,0))</f>
        <v/>
      </c>
      <c r="O1467">
        <f>IF($N1467=0,"",LEFT($E1467,4)&amp;MID($E1467,6,2)&amp;RIGHT($E1467,2)&amp;$F1467&amp;"|"&amp;"1"&amp;RIGHT("00000"&amp;1459,5))</f>
        <v/>
      </c>
      <c r="P1467">
        <f>IF($O1467="","",COUNTIFS(ExpSub,$K1467,ExpKey,"&lt;"&amp;$O1467)+1)</f>
        <v/>
      </c>
      <c r="Q1467">
        <f>IF($P1467="","",$K1467&amp;"|"&amp;RIGHT("000000"&amp;$P1467,6))</f>
        <v/>
      </c>
    </row>
    <row r="1468">
      <c r="A1468">
        <f>IF(Sync!$P1465="","",Sync!$P1465)</f>
        <v/>
      </c>
      <c r="B1468">
        <f>IF($A1468="","",IF(ISNUMBER($A1468),IF(AND($A1468&gt;=10000101,$A1468&lt;=99991231),INT($A1468/10000),""),IFERROR(VALUE(TRIM(LEFT($A1468,FIND("/",$A1468)-1))),"")))</f>
        <v/>
      </c>
      <c r="C1468">
        <f>IF(OR($A1468="",$B1468=""),"",IF(ISNUMBER($A1468),INT(MOD($A1468,10000)/100),IFERROR(VALUE(TRIM(LEFT(MID($A1468,FIND("/",$A1468)+1,20),FIND("/",MID($A1468,FIND("/",$A1468)+1,20))-1))),"")))</f>
        <v/>
      </c>
      <c r="D1468">
        <f>IF(OR($A1468="",$B1468=""),"",IF(ISNUMBER($A1468),MOD($A1468,100),IFERROR(VALUE(TRIM(MID(MID($A1468,FIND("/",$A1468)+1,20),FIND("/",MID($A1468,FIND("/",$A1468)+1,20))+1,20))),"")))</f>
        <v/>
      </c>
      <c r="E1468">
        <f>IF($A1468="","",IF(OR($B1468="",$C1468="",$D1468="",$B1468&lt;1300,$B1468&gt;1500,$C1468&lt;1,$C1468&gt;12,$D1468&lt;1,$D1468&gt;31),"نامعتبر",RIGHT("0000"&amp;$B1468,4)&amp;"/"&amp;RIGHT("00"&amp;$C1468,2)&amp;"/"&amp;RIGHT("00"&amp;$D1468,2)))</f>
        <v/>
      </c>
      <c r="F1468">
        <f>IF(OR($E1468="",$E1468="نامعتبر"),"",IF(Sync!$Q1465="","0000",IF(AND(ISNUMBER(Sync!$Q1465),Sync!$Q1465&gt;=0,Sync!$Q1465&lt;1),RIGHT("00"&amp;HOUR(Sync!$Q1465),2)&amp;RIGHT("00"&amp;MINUTE(Sync!$Q1465),2),IFERROR(RIGHT("00"&amp;VALUE(LEFT(Sync!$Q1465,FIND(":",Sync!$Q1465)-1)),2)&amp;RIGHT("00"&amp;VALUE(MID(Sync!$Q1465,FIND(":",Sync!$Q1465)+1,2)),2),"0000"))))</f>
        <v/>
      </c>
      <c r="G1468">
        <f>IF(OR($E1468="",$E1468="نامعتبر"),"",IF(Sync!$S1465="","",Sync!$S1465))</f>
        <v/>
      </c>
      <c r="H1468">
        <f>IF(OR($E1468="",$E1468="نامعتبر"),"",IF(Sync!$R1465="","",Sync!$R1465))</f>
        <v/>
      </c>
      <c r="I1468">
        <f>IF(OR($E1468="",$E1468="نامعتبر"),"",IF(Sync!$T1465="","",Sync!$T1465))</f>
        <v/>
      </c>
      <c r="J1468">
        <f>IF(OR($E1468="",$E1468="نامعتبر"),"",IF(Sync!$U1465="","",Sync!$U1465))</f>
        <v/>
      </c>
      <c r="K1468">
        <f>IF(OR($E1468="",$E1468="نامعتبر"),"",IF(Sync!$V1465="","",IFERROR(INDEX(SubCodes,MATCH(Sync!$V1465,SubTitles,0)),Sync!$V1465)))</f>
        <v/>
      </c>
      <c r="L1468">
        <f>IF(OR($E1468="",$E1468="نامعتبر"),"",IF(Sync!$W1465="",0,Sync!$W1465))</f>
        <v/>
      </c>
      <c r="M1468">
        <f>IF(OR($E1468="",$E1468="نامعتبر"),"",IF(Sync!$X1465="",0,Sync!$X1465))</f>
        <v/>
      </c>
      <c r="N1468">
        <f>IF(OR($E1468="",$E1468="نامعتبر"),"",IF(AND($J1468="هزینه",$K1468&lt;&gt;""),1,0))</f>
        <v/>
      </c>
      <c r="O1468">
        <f>IF($N1468=0,"",LEFT($E1468,4)&amp;MID($E1468,6,2)&amp;RIGHT($E1468,2)&amp;$F1468&amp;"|"&amp;"1"&amp;RIGHT("00000"&amp;1460,5))</f>
        <v/>
      </c>
      <c r="P1468">
        <f>IF($O1468="","",COUNTIFS(ExpSub,$K1468,ExpKey,"&lt;"&amp;$O1468)+1)</f>
        <v/>
      </c>
      <c r="Q1468">
        <f>IF($P1468="","",$K1468&amp;"|"&amp;RIGHT("000000"&amp;$P1468,6))</f>
        <v/>
      </c>
    </row>
    <row r="1469">
      <c r="A1469">
        <f>IF(Sync!$P1466="","",Sync!$P1466)</f>
        <v/>
      </c>
      <c r="B1469">
        <f>IF($A1469="","",IF(ISNUMBER($A1469),IF(AND($A1469&gt;=10000101,$A1469&lt;=99991231),INT($A1469/10000),""),IFERROR(VALUE(TRIM(LEFT($A1469,FIND("/",$A1469)-1))),"")))</f>
        <v/>
      </c>
      <c r="C1469">
        <f>IF(OR($A1469="",$B1469=""),"",IF(ISNUMBER($A1469),INT(MOD($A1469,10000)/100),IFERROR(VALUE(TRIM(LEFT(MID($A1469,FIND("/",$A1469)+1,20),FIND("/",MID($A1469,FIND("/",$A1469)+1,20))-1))),"")))</f>
        <v/>
      </c>
      <c r="D1469">
        <f>IF(OR($A1469="",$B1469=""),"",IF(ISNUMBER($A1469),MOD($A1469,100),IFERROR(VALUE(TRIM(MID(MID($A1469,FIND("/",$A1469)+1,20),FIND("/",MID($A1469,FIND("/",$A1469)+1,20))+1,20))),"")))</f>
        <v/>
      </c>
      <c r="E1469">
        <f>IF($A1469="","",IF(OR($B1469="",$C1469="",$D1469="",$B1469&lt;1300,$B1469&gt;1500,$C1469&lt;1,$C1469&gt;12,$D1469&lt;1,$D1469&gt;31),"نامعتبر",RIGHT("0000"&amp;$B1469,4)&amp;"/"&amp;RIGHT("00"&amp;$C1469,2)&amp;"/"&amp;RIGHT("00"&amp;$D1469,2)))</f>
        <v/>
      </c>
      <c r="F1469">
        <f>IF(OR($E1469="",$E1469="نامعتبر"),"",IF(Sync!$Q1466="","0000",IF(AND(ISNUMBER(Sync!$Q1466),Sync!$Q1466&gt;=0,Sync!$Q1466&lt;1),RIGHT("00"&amp;HOUR(Sync!$Q1466),2)&amp;RIGHT("00"&amp;MINUTE(Sync!$Q1466),2),IFERROR(RIGHT("00"&amp;VALUE(LEFT(Sync!$Q1466,FIND(":",Sync!$Q1466)-1)),2)&amp;RIGHT("00"&amp;VALUE(MID(Sync!$Q1466,FIND(":",Sync!$Q1466)+1,2)),2),"0000"))))</f>
        <v/>
      </c>
      <c r="G1469">
        <f>IF(OR($E1469="",$E1469="نامعتبر"),"",IF(Sync!$S1466="","",Sync!$S1466))</f>
        <v/>
      </c>
      <c r="H1469">
        <f>IF(OR($E1469="",$E1469="نامعتبر"),"",IF(Sync!$R1466="","",Sync!$R1466))</f>
        <v/>
      </c>
      <c r="I1469">
        <f>IF(OR($E1469="",$E1469="نامعتبر"),"",IF(Sync!$T1466="","",Sync!$T1466))</f>
        <v/>
      </c>
      <c r="J1469">
        <f>IF(OR($E1469="",$E1469="نامعتبر"),"",IF(Sync!$U1466="","",Sync!$U1466))</f>
        <v/>
      </c>
      <c r="K1469">
        <f>IF(OR($E1469="",$E1469="نامعتبر"),"",IF(Sync!$V1466="","",IFERROR(INDEX(SubCodes,MATCH(Sync!$V1466,SubTitles,0)),Sync!$V1466)))</f>
        <v/>
      </c>
      <c r="L1469">
        <f>IF(OR($E1469="",$E1469="نامعتبر"),"",IF(Sync!$W1466="",0,Sync!$W1466))</f>
        <v/>
      </c>
      <c r="M1469">
        <f>IF(OR($E1469="",$E1469="نامعتبر"),"",IF(Sync!$X1466="",0,Sync!$X1466))</f>
        <v/>
      </c>
      <c r="N1469">
        <f>IF(OR($E1469="",$E1469="نامعتبر"),"",IF(AND($J1469="هزینه",$K1469&lt;&gt;""),1,0))</f>
        <v/>
      </c>
      <c r="O1469">
        <f>IF($N1469=0,"",LEFT($E1469,4)&amp;MID($E1469,6,2)&amp;RIGHT($E1469,2)&amp;$F1469&amp;"|"&amp;"1"&amp;RIGHT("00000"&amp;1461,5))</f>
        <v/>
      </c>
      <c r="P1469">
        <f>IF($O1469="","",COUNTIFS(ExpSub,$K1469,ExpKey,"&lt;"&amp;$O1469)+1)</f>
        <v/>
      </c>
      <c r="Q1469">
        <f>IF($P1469="","",$K1469&amp;"|"&amp;RIGHT("000000"&amp;$P1469,6))</f>
        <v/>
      </c>
    </row>
    <row r="1470">
      <c r="A1470">
        <f>IF(Sync!$P1467="","",Sync!$P1467)</f>
        <v/>
      </c>
      <c r="B1470">
        <f>IF($A1470="","",IF(ISNUMBER($A1470),IF(AND($A1470&gt;=10000101,$A1470&lt;=99991231),INT($A1470/10000),""),IFERROR(VALUE(TRIM(LEFT($A1470,FIND("/",$A1470)-1))),"")))</f>
        <v/>
      </c>
      <c r="C1470">
        <f>IF(OR($A1470="",$B1470=""),"",IF(ISNUMBER($A1470),INT(MOD($A1470,10000)/100),IFERROR(VALUE(TRIM(LEFT(MID($A1470,FIND("/",$A1470)+1,20),FIND("/",MID($A1470,FIND("/",$A1470)+1,20))-1))),"")))</f>
        <v/>
      </c>
      <c r="D1470">
        <f>IF(OR($A1470="",$B1470=""),"",IF(ISNUMBER($A1470),MOD($A1470,100),IFERROR(VALUE(TRIM(MID(MID($A1470,FIND("/",$A1470)+1,20),FIND("/",MID($A1470,FIND("/",$A1470)+1,20))+1,20))),"")))</f>
        <v/>
      </c>
      <c r="E1470">
        <f>IF($A1470="","",IF(OR($B1470="",$C1470="",$D1470="",$B1470&lt;1300,$B1470&gt;1500,$C1470&lt;1,$C1470&gt;12,$D1470&lt;1,$D1470&gt;31),"نامعتبر",RIGHT("0000"&amp;$B1470,4)&amp;"/"&amp;RIGHT("00"&amp;$C1470,2)&amp;"/"&amp;RIGHT("00"&amp;$D1470,2)))</f>
        <v/>
      </c>
      <c r="F1470">
        <f>IF(OR($E1470="",$E1470="نامعتبر"),"",IF(Sync!$Q1467="","0000",IF(AND(ISNUMBER(Sync!$Q1467),Sync!$Q1467&gt;=0,Sync!$Q1467&lt;1),RIGHT("00"&amp;HOUR(Sync!$Q1467),2)&amp;RIGHT("00"&amp;MINUTE(Sync!$Q1467),2),IFERROR(RIGHT("00"&amp;VALUE(LEFT(Sync!$Q1467,FIND(":",Sync!$Q1467)-1)),2)&amp;RIGHT("00"&amp;VALUE(MID(Sync!$Q1467,FIND(":",Sync!$Q1467)+1,2)),2),"0000"))))</f>
        <v/>
      </c>
      <c r="G1470">
        <f>IF(OR($E1470="",$E1470="نامعتبر"),"",IF(Sync!$S1467="","",Sync!$S1467))</f>
        <v/>
      </c>
      <c r="H1470">
        <f>IF(OR($E1470="",$E1470="نامعتبر"),"",IF(Sync!$R1467="","",Sync!$R1467))</f>
        <v/>
      </c>
      <c r="I1470">
        <f>IF(OR($E1470="",$E1470="نامعتبر"),"",IF(Sync!$T1467="","",Sync!$T1467))</f>
        <v/>
      </c>
      <c r="J1470">
        <f>IF(OR($E1470="",$E1470="نامعتبر"),"",IF(Sync!$U1467="","",Sync!$U1467))</f>
        <v/>
      </c>
      <c r="K1470">
        <f>IF(OR($E1470="",$E1470="نامعتبر"),"",IF(Sync!$V1467="","",IFERROR(INDEX(SubCodes,MATCH(Sync!$V1467,SubTitles,0)),Sync!$V1467)))</f>
        <v/>
      </c>
      <c r="L1470">
        <f>IF(OR($E1470="",$E1470="نامعتبر"),"",IF(Sync!$W1467="",0,Sync!$W1467))</f>
        <v/>
      </c>
      <c r="M1470">
        <f>IF(OR($E1470="",$E1470="نامعتبر"),"",IF(Sync!$X1467="",0,Sync!$X1467))</f>
        <v/>
      </c>
      <c r="N1470">
        <f>IF(OR($E1470="",$E1470="نامعتبر"),"",IF(AND($J1470="هزینه",$K1470&lt;&gt;""),1,0))</f>
        <v/>
      </c>
      <c r="O1470">
        <f>IF($N1470=0,"",LEFT($E1470,4)&amp;MID($E1470,6,2)&amp;RIGHT($E1470,2)&amp;$F1470&amp;"|"&amp;"1"&amp;RIGHT("00000"&amp;1462,5))</f>
        <v/>
      </c>
      <c r="P1470">
        <f>IF($O1470="","",COUNTIFS(ExpSub,$K1470,ExpKey,"&lt;"&amp;$O1470)+1)</f>
        <v/>
      </c>
      <c r="Q1470">
        <f>IF($P1470="","",$K1470&amp;"|"&amp;RIGHT("000000"&amp;$P1470,6))</f>
        <v/>
      </c>
    </row>
    <row r="1471">
      <c r="A1471">
        <f>IF(Sync!$P1468="","",Sync!$P1468)</f>
        <v/>
      </c>
      <c r="B1471">
        <f>IF($A1471="","",IF(ISNUMBER($A1471),IF(AND($A1471&gt;=10000101,$A1471&lt;=99991231),INT($A1471/10000),""),IFERROR(VALUE(TRIM(LEFT($A1471,FIND("/",$A1471)-1))),"")))</f>
        <v/>
      </c>
      <c r="C1471">
        <f>IF(OR($A1471="",$B1471=""),"",IF(ISNUMBER($A1471),INT(MOD($A1471,10000)/100),IFERROR(VALUE(TRIM(LEFT(MID($A1471,FIND("/",$A1471)+1,20),FIND("/",MID($A1471,FIND("/",$A1471)+1,20))-1))),"")))</f>
        <v/>
      </c>
      <c r="D1471">
        <f>IF(OR($A1471="",$B1471=""),"",IF(ISNUMBER($A1471),MOD($A1471,100),IFERROR(VALUE(TRIM(MID(MID($A1471,FIND("/",$A1471)+1,20),FIND("/",MID($A1471,FIND("/",$A1471)+1,20))+1,20))),"")))</f>
        <v/>
      </c>
      <c r="E1471">
        <f>IF($A1471="","",IF(OR($B1471="",$C1471="",$D1471="",$B1471&lt;1300,$B1471&gt;1500,$C1471&lt;1,$C1471&gt;12,$D1471&lt;1,$D1471&gt;31),"نامعتبر",RIGHT("0000"&amp;$B1471,4)&amp;"/"&amp;RIGHT("00"&amp;$C1471,2)&amp;"/"&amp;RIGHT("00"&amp;$D1471,2)))</f>
        <v/>
      </c>
      <c r="F1471">
        <f>IF(OR($E1471="",$E1471="نامعتبر"),"",IF(Sync!$Q1468="","0000",IF(AND(ISNUMBER(Sync!$Q1468),Sync!$Q1468&gt;=0,Sync!$Q1468&lt;1),RIGHT("00"&amp;HOUR(Sync!$Q1468),2)&amp;RIGHT("00"&amp;MINUTE(Sync!$Q1468),2),IFERROR(RIGHT("00"&amp;VALUE(LEFT(Sync!$Q1468,FIND(":",Sync!$Q1468)-1)),2)&amp;RIGHT("00"&amp;VALUE(MID(Sync!$Q1468,FIND(":",Sync!$Q1468)+1,2)),2),"0000"))))</f>
        <v/>
      </c>
      <c r="G1471">
        <f>IF(OR($E1471="",$E1471="نامعتبر"),"",IF(Sync!$S1468="","",Sync!$S1468))</f>
        <v/>
      </c>
      <c r="H1471">
        <f>IF(OR($E1471="",$E1471="نامعتبر"),"",IF(Sync!$R1468="","",Sync!$R1468))</f>
        <v/>
      </c>
      <c r="I1471">
        <f>IF(OR($E1471="",$E1471="نامعتبر"),"",IF(Sync!$T1468="","",Sync!$T1468))</f>
        <v/>
      </c>
      <c r="J1471">
        <f>IF(OR($E1471="",$E1471="نامعتبر"),"",IF(Sync!$U1468="","",Sync!$U1468))</f>
        <v/>
      </c>
      <c r="K1471">
        <f>IF(OR($E1471="",$E1471="نامعتبر"),"",IF(Sync!$V1468="","",IFERROR(INDEX(SubCodes,MATCH(Sync!$V1468,SubTitles,0)),Sync!$V1468)))</f>
        <v/>
      </c>
      <c r="L1471">
        <f>IF(OR($E1471="",$E1471="نامعتبر"),"",IF(Sync!$W1468="",0,Sync!$W1468))</f>
        <v/>
      </c>
      <c r="M1471">
        <f>IF(OR($E1471="",$E1471="نامعتبر"),"",IF(Sync!$X1468="",0,Sync!$X1468))</f>
        <v/>
      </c>
      <c r="N1471">
        <f>IF(OR($E1471="",$E1471="نامعتبر"),"",IF(AND($J1471="هزینه",$K1471&lt;&gt;""),1,0))</f>
        <v/>
      </c>
      <c r="O1471">
        <f>IF($N1471=0,"",LEFT($E1471,4)&amp;MID($E1471,6,2)&amp;RIGHT($E1471,2)&amp;$F1471&amp;"|"&amp;"1"&amp;RIGHT("00000"&amp;1463,5))</f>
        <v/>
      </c>
      <c r="P1471">
        <f>IF($O1471="","",COUNTIFS(ExpSub,$K1471,ExpKey,"&lt;"&amp;$O1471)+1)</f>
        <v/>
      </c>
      <c r="Q1471">
        <f>IF($P1471="","",$K1471&amp;"|"&amp;RIGHT("000000"&amp;$P1471,6))</f>
        <v/>
      </c>
    </row>
    <row r="1472">
      <c r="A1472">
        <f>IF(Sync!$P1469="","",Sync!$P1469)</f>
        <v/>
      </c>
      <c r="B1472">
        <f>IF($A1472="","",IF(ISNUMBER($A1472),IF(AND($A1472&gt;=10000101,$A1472&lt;=99991231),INT($A1472/10000),""),IFERROR(VALUE(TRIM(LEFT($A1472,FIND("/",$A1472)-1))),"")))</f>
        <v/>
      </c>
      <c r="C1472">
        <f>IF(OR($A1472="",$B1472=""),"",IF(ISNUMBER($A1472),INT(MOD($A1472,10000)/100),IFERROR(VALUE(TRIM(LEFT(MID($A1472,FIND("/",$A1472)+1,20),FIND("/",MID($A1472,FIND("/",$A1472)+1,20))-1))),"")))</f>
        <v/>
      </c>
      <c r="D1472">
        <f>IF(OR($A1472="",$B1472=""),"",IF(ISNUMBER($A1472),MOD($A1472,100),IFERROR(VALUE(TRIM(MID(MID($A1472,FIND("/",$A1472)+1,20),FIND("/",MID($A1472,FIND("/",$A1472)+1,20))+1,20))),"")))</f>
        <v/>
      </c>
      <c r="E1472">
        <f>IF($A1472="","",IF(OR($B1472="",$C1472="",$D1472="",$B1472&lt;1300,$B1472&gt;1500,$C1472&lt;1,$C1472&gt;12,$D1472&lt;1,$D1472&gt;31),"نامعتبر",RIGHT("0000"&amp;$B1472,4)&amp;"/"&amp;RIGHT("00"&amp;$C1472,2)&amp;"/"&amp;RIGHT("00"&amp;$D1472,2)))</f>
        <v/>
      </c>
      <c r="F1472">
        <f>IF(OR($E1472="",$E1472="نامعتبر"),"",IF(Sync!$Q1469="","0000",IF(AND(ISNUMBER(Sync!$Q1469),Sync!$Q1469&gt;=0,Sync!$Q1469&lt;1),RIGHT("00"&amp;HOUR(Sync!$Q1469),2)&amp;RIGHT("00"&amp;MINUTE(Sync!$Q1469),2),IFERROR(RIGHT("00"&amp;VALUE(LEFT(Sync!$Q1469,FIND(":",Sync!$Q1469)-1)),2)&amp;RIGHT("00"&amp;VALUE(MID(Sync!$Q1469,FIND(":",Sync!$Q1469)+1,2)),2),"0000"))))</f>
        <v/>
      </c>
      <c r="G1472">
        <f>IF(OR($E1472="",$E1472="نامعتبر"),"",IF(Sync!$S1469="","",Sync!$S1469))</f>
        <v/>
      </c>
      <c r="H1472">
        <f>IF(OR($E1472="",$E1472="نامعتبر"),"",IF(Sync!$R1469="","",Sync!$R1469))</f>
        <v/>
      </c>
      <c r="I1472">
        <f>IF(OR($E1472="",$E1472="نامعتبر"),"",IF(Sync!$T1469="","",Sync!$T1469))</f>
        <v/>
      </c>
      <c r="J1472">
        <f>IF(OR($E1472="",$E1472="نامعتبر"),"",IF(Sync!$U1469="","",Sync!$U1469))</f>
        <v/>
      </c>
      <c r="K1472">
        <f>IF(OR($E1472="",$E1472="نامعتبر"),"",IF(Sync!$V1469="","",IFERROR(INDEX(SubCodes,MATCH(Sync!$V1469,SubTitles,0)),Sync!$V1469)))</f>
        <v/>
      </c>
      <c r="L1472">
        <f>IF(OR($E1472="",$E1472="نامعتبر"),"",IF(Sync!$W1469="",0,Sync!$W1469))</f>
        <v/>
      </c>
      <c r="M1472">
        <f>IF(OR($E1472="",$E1472="نامعتبر"),"",IF(Sync!$X1469="",0,Sync!$X1469))</f>
        <v/>
      </c>
      <c r="N1472">
        <f>IF(OR($E1472="",$E1472="نامعتبر"),"",IF(AND($J1472="هزینه",$K1472&lt;&gt;""),1,0))</f>
        <v/>
      </c>
      <c r="O1472">
        <f>IF($N1472=0,"",LEFT($E1472,4)&amp;MID($E1472,6,2)&amp;RIGHT($E1472,2)&amp;$F1472&amp;"|"&amp;"1"&amp;RIGHT("00000"&amp;1464,5))</f>
        <v/>
      </c>
      <c r="P1472">
        <f>IF($O1472="","",COUNTIFS(ExpSub,$K1472,ExpKey,"&lt;"&amp;$O1472)+1)</f>
        <v/>
      </c>
      <c r="Q1472">
        <f>IF($P1472="","",$K1472&amp;"|"&amp;RIGHT("000000"&amp;$P1472,6))</f>
        <v/>
      </c>
    </row>
    <row r="1473">
      <c r="A1473">
        <f>IF(Sync!$P1470="","",Sync!$P1470)</f>
        <v/>
      </c>
      <c r="B1473">
        <f>IF($A1473="","",IF(ISNUMBER($A1473),IF(AND($A1473&gt;=10000101,$A1473&lt;=99991231),INT($A1473/10000),""),IFERROR(VALUE(TRIM(LEFT($A1473,FIND("/",$A1473)-1))),"")))</f>
        <v/>
      </c>
      <c r="C1473">
        <f>IF(OR($A1473="",$B1473=""),"",IF(ISNUMBER($A1473),INT(MOD($A1473,10000)/100),IFERROR(VALUE(TRIM(LEFT(MID($A1473,FIND("/",$A1473)+1,20),FIND("/",MID($A1473,FIND("/",$A1473)+1,20))-1))),"")))</f>
        <v/>
      </c>
      <c r="D1473">
        <f>IF(OR($A1473="",$B1473=""),"",IF(ISNUMBER($A1473),MOD($A1473,100),IFERROR(VALUE(TRIM(MID(MID($A1473,FIND("/",$A1473)+1,20),FIND("/",MID($A1473,FIND("/",$A1473)+1,20))+1,20))),"")))</f>
        <v/>
      </c>
      <c r="E1473">
        <f>IF($A1473="","",IF(OR($B1473="",$C1473="",$D1473="",$B1473&lt;1300,$B1473&gt;1500,$C1473&lt;1,$C1473&gt;12,$D1473&lt;1,$D1473&gt;31),"نامعتبر",RIGHT("0000"&amp;$B1473,4)&amp;"/"&amp;RIGHT("00"&amp;$C1473,2)&amp;"/"&amp;RIGHT("00"&amp;$D1473,2)))</f>
        <v/>
      </c>
      <c r="F1473">
        <f>IF(OR($E1473="",$E1473="نامعتبر"),"",IF(Sync!$Q1470="","0000",IF(AND(ISNUMBER(Sync!$Q1470),Sync!$Q1470&gt;=0,Sync!$Q1470&lt;1),RIGHT("00"&amp;HOUR(Sync!$Q1470),2)&amp;RIGHT("00"&amp;MINUTE(Sync!$Q1470),2),IFERROR(RIGHT("00"&amp;VALUE(LEFT(Sync!$Q1470,FIND(":",Sync!$Q1470)-1)),2)&amp;RIGHT("00"&amp;VALUE(MID(Sync!$Q1470,FIND(":",Sync!$Q1470)+1,2)),2),"0000"))))</f>
        <v/>
      </c>
      <c r="G1473">
        <f>IF(OR($E1473="",$E1473="نامعتبر"),"",IF(Sync!$S1470="","",Sync!$S1470))</f>
        <v/>
      </c>
      <c r="H1473">
        <f>IF(OR($E1473="",$E1473="نامعتبر"),"",IF(Sync!$R1470="","",Sync!$R1470))</f>
        <v/>
      </c>
      <c r="I1473">
        <f>IF(OR($E1473="",$E1473="نامعتبر"),"",IF(Sync!$T1470="","",Sync!$T1470))</f>
        <v/>
      </c>
      <c r="J1473">
        <f>IF(OR($E1473="",$E1473="نامعتبر"),"",IF(Sync!$U1470="","",Sync!$U1470))</f>
        <v/>
      </c>
      <c r="K1473">
        <f>IF(OR($E1473="",$E1473="نامعتبر"),"",IF(Sync!$V1470="","",IFERROR(INDEX(SubCodes,MATCH(Sync!$V1470,SubTitles,0)),Sync!$V1470)))</f>
        <v/>
      </c>
      <c r="L1473">
        <f>IF(OR($E1473="",$E1473="نامعتبر"),"",IF(Sync!$W1470="",0,Sync!$W1470))</f>
        <v/>
      </c>
      <c r="M1473">
        <f>IF(OR($E1473="",$E1473="نامعتبر"),"",IF(Sync!$X1470="",0,Sync!$X1470))</f>
        <v/>
      </c>
      <c r="N1473">
        <f>IF(OR($E1473="",$E1473="نامعتبر"),"",IF(AND($J1473="هزینه",$K1473&lt;&gt;""),1,0))</f>
        <v/>
      </c>
      <c r="O1473">
        <f>IF($N1473=0,"",LEFT($E1473,4)&amp;MID($E1473,6,2)&amp;RIGHT($E1473,2)&amp;$F1473&amp;"|"&amp;"1"&amp;RIGHT("00000"&amp;1465,5))</f>
        <v/>
      </c>
      <c r="P1473">
        <f>IF($O1473="","",COUNTIFS(ExpSub,$K1473,ExpKey,"&lt;"&amp;$O1473)+1)</f>
        <v/>
      </c>
      <c r="Q1473">
        <f>IF($P1473="","",$K1473&amp;"|"&amp;RIGHT("000000"&amp;$P1473,6))</f>
        <v/>
      </c>
    </row>
    <row r="1474">
      <c r="A1474">
        <f>IF(Sync!$P1471="","",Sync!$P1471)</f>
        <v/>
      </c>
      <c r="B1474">
        <f>IF($A1474="","",IF(ISNUMBER($A1474),IF(AND($A1474&gt;=10000101,$A1474&lt;=99991231),INT($A1474/10000),""),IFERROR(VALUE(TRIM(LEFT($A1474,FIND("/",$A1474)-1))),"")))</f>
        <v/>
      </c>
      <c r="C1474">
        <f>IF(OR($A1474="",$B1474=""),"",IF(ISNUMBER($A1474),INT(MOD($A1474,10000)/100),IFERROR(VALUE(TRIM(LEFT(MID($A1474,FIND("/",$A1474)+1,20),FIND("/",MID($A1474,FIND("/",$A1474)+1,20))-1))),"")))</f>
        <v/>
      </c>
      <c r="D1474">
        <f>IF(OR($A1474="",$B1474=""),"",IF(ISNUMBER($A1474),MOD($A1474,100),IFERROR(VALUE(TRIM(MID(MID($A1474,FIND("/",$A1474)+1,20),FIND("/",MID($A1474,FIND("/",$A1474)+1,20))+1,20))),"")))</f>
        <v/>
      </c>
      <c r="E1474">
        <f>IF($A1474="","",IF(OR($B1474="",$C1474="",$D1474="",$B1474&lt;1300,$B1474&gt;1500,$C1474&lt;1,$C1474&gt;12,$D1474&lt;1,$D1474&gt;31),"نامعتبر",RIGHT("0000"&amp;$B1474,4)&amp;"/"&amp;RIGHT("00"&amp;$C1474,2)&amp;"/"&amp;RIGHT("00"&amp;$D1474,2)))</f>
        <v/>
      </c>
      <c r="F1474">
        <f>IF(OR($E1474="",$E1474="نامعتبر"),"",IF(Sync!$Q1471="","0000",IF(AND(ISNUMBER(Sync!$Q1471),Sync!$Q1471&gt;=0,Sync!$Q1471&lt;1),RIGHT("00"&amp;HOUR(Sync!$Q1471),2)&amp;RIGHT("00"&amp;MINUTE(Sync!$Q1471),2),IFERROR(RIGHT("00"&amp;VALUE(LEFT(Sync!$Q1471,FIND(":",Sync!$Q1471)-1)),2)&amp;RIGHT("00"&amp;VALUE(MID(Sync!$Q1471,FIND(":",Sync!$Q1471)+1,2)),2),"0000"))))</f>
        <v/>
      </c>
      <c r="G1474">
        <f>IF(OR($E1474="",$E1474="نامعتبر"),"",IF(Sync!$S1471="","",Sync!$S1471))</f>
        <v/>
      </c>
      <c r="H1474">
        <f>IF(OR($E1474="",$E1474="نامعتبر"),"",IF(Sync!$R1471="","",Sync!$R1471))</f>
        <v/>
      </c>
      <c r="I1474">
        <f>IF(OR($E1474="",$E1474="نامعتبر"),"",IF(Sync!$T1471="","",Sync!$T1471))</f>
        <v/>
      </c>
      <c r="J1474">
        <f>IF(OR($E1474="",$E1474="نامعتبر"),"",IF(Sync!$U1471="","",Sync!$U1471))</f>
        <v/>
      </c>
      <c r="K1474">
        <f>IF(OR($E1474="",$E1474="نامعتبر"),"",IF(Sync!$V1471="","",IFERROR(INDEX(SubCodes,MATCH(Sync!$V1471,SubTitles,0)),Sync!$V1471)))</f>
        <v/>
      </c>
      <c r="L1474">
        <f>IF(OR($E1474="",$E1474="نامعتبر"),"",IF(Sync!$W1471="",0,Sync!$W1471))</f>
        <v/>
      </c>
      <c r="M1474">
        <f>IF(OR($E1474="",$E1474="نامعتبر"),"",IF(Sync!$X1471="",0,Sync!$X1471))</f>
        <v/>
      </c>
      <c r="N1474">
        <f>IF(OR($E1474="",$E1474="نامعتبر"),"",IF(AND($J1474="هزینه",$K1474&lt;&gt;""),1,0))</f>
        <v/>
      </c>
      <c r="O1474">
        <f>IF($N1474=0,"",LEFT($E1474,4)&amp;MID($E1474,6,2)&amp;RIGHT($E1474,2)&amp;$F1474&amp;"|"&amp;"1"&amp;RIGHT("00000"&amp;1466,5))</f>
        <v/>
      </c>
      <c r="P1474">
        <f>IF($O1474="","",COUNTIFS(ExpSub,$K1474,ExpKey,"&lt;"&amp;$O1474)+1)</f>
        <v/>
      </c>
      <c r="Q1474">
        <f>IF($P1474="","",$K1474&amp;"|"&amp;RIGHT("000000"&amp;$P1474,6))</f>
        <v/>
      </c>
    </row>
    <row r="1475">
      <c r="A1475">
        <f>IF(Sync!$P1472="","",Sync!$P1472)</f>
        <v/>
      </c>
      <c r="B1475">
        <f>IF($A1475="","",IF(ISNUMBER($A1475),IF(AND($A1475&gt;=10000101,$A1475&lt;=99991231),INT($A1475/10000),""),IFERROR(VALUE(TRIM(LEFT($A1475,FIND("/",$A1475)-1))),"")))</f>
        <v/>
      </c>
      <c r="C1475">
        <f>IF(OR($A1475="",$B1475=""),"",IF(ISNUMBER($A1475),INT(MOD($A1475,10000)/100),IFERROR(VALUE(TRIM(LEFT(MID($A1475,FIND("/",$A1475)+1,20),FIND("/",MID($A1475,FIND("/",$A1475)+1,20))-1))),"")))</f>
        <v/>
      </c>
      <c r="D1475">
        <f>IF(OR($A1475="",$B1475=""),"",IF(ISNUMBER($A1475),MOD($A1475,100),IFERROR(VALUE(TRIM(MID(MID($A1475,FIND("/",$A1475)+1,20),FIND("/",MID($A1475,FIND("/",$A1475)+1,20))+1,20))),"")))</f>
        <v/>
      </c>
      <c r="E1475">
        <f>IF($A1475="","",IF(OR($B1475="",$C1475="",$D1475="",$B1475&lt;1300,$B1475&gt;1500,$C1475&lt;1,$C1475&gt;12,$D1475&lt;1,$D1475&gt;31),"نامعتبر",RIGHT("0000"&amp;$B1475,4)&amp;"/"&amp;RIGHT("00"&amp;$C1475,2)&amp;"/"&amp;RIGHT("00"&amp;$D1475,2)))</f>
        <v/>
      </c>
      <c r="F1475">
        <f>IF(OR($E1475="",$E1475="نامعتبر"),"",IF(Sync!$Q1472="","0000",IF(AND(ISNUMBER(Sync!$Q1472),Sync!$Q1472&gt;=0,Sync!$Q1472&lt;1),RIGHT("00"&amp;HOUR(Sync!$Q1472),2)&amp;RIGHT("00"&amp;MINUTE(Sync!$Q1472),2),IFERROR(RIGHT("00"&amp;VALUE(LEFT(Sync!$Q1472,FIND(":",Sync!$Q1472)-1)),2)&amp;RIGHT("00"&amp;VALUE(MID(Sync!$Q1472,FIND(":",Sync!$Q1472)+1,2)),2),"0000"))))</f>
        <v/>
      </c>
      <c r="G1475">
        <f>IF(OR($E1475="",$E1475="نامعتبر"),"",IF(Sync!$S1472="","",Sync!$S1472))</f>
        <v/>
      </c>
      <c r="H1475">
        <f>IF(OR($E1475="",$E1475="نامعتبر"),"",IF(Sync!$R1472="","",Sync!$R1472))</f>
        <v/>
      </c>
      <c r="I1475">
        <f>IF(OR($E1475="",$E1475="نامعتبر"),"",IF(Sync!$T1472="","",Sync!$T1472))</f>
        <v/>
      </c>
      <c r="J1475">
        <f>IF(OR($E1475="",$E1475="نامعتبر"),"",IF(Sync!$U1472="","",Sync!$U1472))</f>
        <v/>
      </c>
      <c r="K1475">
        <f>IF(OR($E1475="",$E1475="نامعتبر"),"",IF(Sync!$V1472="","",IFERROR(INDEX(SubCodes,MATCH(Sync!$V1472,SubTitles,0)),Sync!$V1472)))</f>
        <v/>
      </c>
      <c r="L1475">
        <f>IF(OR($E1475="",$E1475="نامعتبر"),"",IF(Sync!$W1472="",0,Sync!$W1472))</f>
        <v/>
      </c>
      <c r="M1475">
        <f>IF(OR($E1475="",$E1475="نامعتبر"),"",IF(Sync!$X1472="",0,Sync!$X1472))</f>
        <v/>
      </c>
      <c r="N1475">
        <f>IF(OR($E1475="",$E1475="نامعتبر"),"",IF(AND($J1475="هزینه",$K1475&lt;&gt;""),1,0))</f>
        <v/>
      </c>
      <c r="O1475">
        <f>IF($N1475=0,"",LEFT($E1475,4)&amp;MID($E1475,6,2)&amp;RIGHT($E1475,2)&amp;$F1475&amp;"|"&amp;"1"&amp;RIGHT("00000"&amp;1467,5))</f>
        <v/>
      </c>
      <c r="P1475">
        <f>IF($O1475="","",COUNTIFS(ExpSub,$K1475,ExpKey,"&lt;"&amp;$O1475)+1)</f>
        <v/>
      </c>
      <c r="Q1475">
        <f>IF($P1475="","",$K1475&amp;"|"&amp;RIGHT("000000"&amp;$P1475,6))</f>
        <v/>
      </c>
    </row>
    <row r="1476">
      <c r="A1476">
        <f>IF(Sync!$P1473="","",Sync!$P1473)</f>
        <v/>
      </c>
      <c r="B1476">
        <f>IF($A1476="","",IF(ISNUMBER($A1476),IF(AND($A1476&gt;=10000101,$A1476&lt;=99991231),INT($A1476/10000),""),IFERROR(VALUE(TRIM(LEFT($A1476,FIND("/",$A1476)-1))),"")))</f>
        <v/>
      </c>
      <c r="C1476">
        <f>IF(OR($A1476="",$B1476=""),"",IF(ISNUMBER($A1476),INT(MOD($A1476,10000)/100),IFERROR(VALUE(TRIM(LEFT(MID($A1476,FIND("/",$A1476)+1,20),FIND("/",MID($A1476,FIND("/",$A1476)+1,20))-1))),"")))</f>
        <v/>
      </c>
      <c r="D1476">
        <f>IF(OR($A1476="",$B1476=""),"",IF(ISNUMBER($A1476),MOD($A1476,100),IFERROR(VALUE(TRIM(MID(MID($A1476,FIND("/",$A1476)+1,20),FIND("/",MID($A1476,FIND("/",$A1476)+1,20))+1,20))),"")))</f>
        <v/>
      </c>
      <c r="E1476">
        <f>IF($A1476="","",IF(OR($B1476="",$C1476="",$D1476="",$B1476&lt;1300,$B1476&gt;1500,$C1476&lt;1,$C1476&gt;12,$D1476&lt;1,$D1476&gt;31),"نامعتبر",RIGHT("0000"&amp;$B1476,4)&amp;"/"&amp;RIGHT("00"&amp;$C1476,2)&amp;"/"&amp;RIGHT("00"&amp;$D1476,2)))</f>
        <v/>
      </c>
      <c r="F1476">
        <f>IF(OR($E1476="",$E1476="نامعتبر"),"",IF(Sync!$Q1473="","0000",IF(AND(ISNUMBER(Sync!$Q1473),Sync!$Q1473&gt;=0,Sync!$Q1473&lt;1),RIGHT("00"&amp;HOUR(Sync!$Q1473),2)&amp;RIGHT("00"&amp;MINUTE(Sync!$Q1473),2),IFERROR(RIGHT("00"&amp;VALUE(LEFT(Sync!$Q1473,FIND(":",Sync!$Q1473)-1)),2)&amp;RIGHT("00"&amp;VALUE(MID(Sync!$Q1473,FIND(":",Sync!$Q1473)+1,2)),2),"0000"))))</f>
        <v/>
      </c>
      <c r="G1476">
        <f>IF(OR($E1476="",$E1476="نامعتبر"),"",IF(Sync!$S1473="","",Sync!$S1473))</f>
        <v/>
      </c>
      <c r="H1476">
        <f>IF(OR($E1476="",$E1476="نامعتبر"),"",IF(Sync!$R1473="","",Sync!$R1473))</f>
        <v/>
      </c>
      <c r="I1476">
        <f>IF(OR($E1476="",$E1476="نامعتبر"),"",IF(Sync!$T1473="","",Sync!$T1473))</f>
        <v/>
      </c>
      <c r="J1476">
        <f>IF(OR($E1476="",$E1476="نامعتبر"),"",IF(Sync!$U1473="","",Sync!$U1473))</f>
        <v/>
      </c>
      <c r="K1476">
        <f>IF(OR($E1476="",$E1476="نامعتبر"),"",IF(Sync!$V1473="","",IFERROR(INDEX(SubCodes,MATCH(Sync!$V1473,SubTitles,0)),Sync!$V1473)))</f>
        <v/>
      </c>
      <c r="L1476">
        <f>IF(OR($E1476="",$E1476="نامعتبر"),"",IF(Sync!$W1473="",0,Sync!$W1473))</f>
        <v/>
      </c>
      <c r="M1476">
        <f>IF(OR($E1476="",$E1476="نامعتبر"),"",IF(Sync!$X1473="",0,Sync!$X1473))</f>
        <v/>
      </c>
      <c r="N1476">
        <f>IF(OR($E1476="",$E1476="نامعتبر"),"",IF(AND($J1476="هزینه",$K1476&lt;&gt;""),1,0))</f>
        <v/>
      </c>
      <c r="O1476">
        <f>IF($N1476=0,"",LEFT($E1476,4)&amp;MID($E1476,6,2)&amp;RIGHT($E1476,2)&amp;$F1476&amp;"|"&amp;"1"&amp;RIGHT("00000"&amp;1468,5))</f>
        <v/>
      </c>
      <c r="P1476">
        <f>IF($O1476="","",COUNTIFS(ExpSub,$K1476,ExpKey,"&lt;"&amp;$O1476)+1)</f>
        <v/>
      </c>
      <c r="Q1476">
        <f>IF($P1476="","",$K1476&amp;"|"&amp;RIGHT("000000"&amp;$P1476,6))</f>
        <v/>
      </c>
    </row>
    <row r="1477">
      <c r="A1477">
        <f>IF(Sync!$P1474="","",Sync!$P1474)</f>
        <v/>
      </c>
      <c r="B1477">
        <f>IF($A1477="","",IF(ISNUMBER($A1477),IF(AND($A1477&gt;=10000101,$A1477&lt;=99991231),INT($A1477/10000),""),IFERROR(VALUE(TRIM(LEFT($A1477,FIND("/",$A1477)-1))),"")))</f>
        <v/>
      </c>
      <c r="C1477">
        <f>IF(OR($A1477="",$B1477=""),"",IF(ISNUMBER($A1477),INT(MOD($A1477,10000)/100),IFERROR(VALUE(TRIM(LEFT(MID($A1477,FIND("/",$A1477)+1,20),FIND("/",MID($A1477,FIND("/",$A1477)+1,20))-1))),"")))</f>
        <v/>
      </c>
      <c r="D1477">
        <f>IF(OR($A1477="",$B1477=""),"",IF(ISNUMBER($A1477),MOD($A1477,100),IFERROR(VALUE(TRIM(MID(MID($A1477,FIND("/",$A1477)+1,20),FIND("/",MID($A1477,FIND("/",$A1477)+1,20))+1,20))),"")))</f>
        <v/>
      </c>
      <c r="E1477">
        <f>IF($A1477="","",IF(OR($B1477="",$C1477="",$D1477="",$B1477&lt;1300,$B1477&gt;1500,$C1477&lt;1,$C1477&gt;12,$D1477&lt;1,$D1477&gt;31),"نامعتبر",RIGHT("0000"&amp;$B1477,4)&amp;"/"&amp;RIGHT("00"&amp;$C1477,2)&amp;"/"&amp;RIGHT("00"&amp;$D1477,2)))</f>
        <v/>
      </c>
      <c r="F1477">
        <f>IF(OR($E1477="",$E1477="نامعتبر"),"",IF(Sync!$Q1474="","0000",IF(AND(ISNUMBER(Sync!$Q1474),Sync!$Q1474&gt;=0,Sync!$Q1474&lt;1),RIGHT("00"&amp;HOUR(Sync!$Q1474),2)&amp;RIGHT("00"&amp;MINUTE(Sync!$Q1474),2),IFERROR(RIGHT("00"&amp;VALUE(LEFT(Sync!$Q1474,FIND(":",Sync!$Q1474)-1)),2)&amp;RIGHT("00"&amp;VALUE(MID(Sync!$Q1474,FIND(":",Sync!$Q1474)+1,2)),2),"0000"))))</f>
        <v/>
      </c>
      <c r="G1477">
        <f>IF(OR($E1477="",$E1477="نامعتبر"),"",IF(Sync!$S1474="","",Sync!$S1474))</f>
        <v/>
      </c>
      <c r="H1477">
        <f>IF(OR($E1477="",$E1477="نامعتبر"),"",IF(Sync!$R1474="","",Sync!$R1474))</f>
        <v/>
      </c>
      <c r="I1477">
        <f>IF(OR($E1477="",$E1477="نامعتبر"),"",IF(Sync!$T1474="","",Sync!$T1474))</f>
        <v/>
      </c>
      <c r="J1477">
        <f>IF(OR($E1477="",$E1477="نامعتبر"),"",IF(Sync!$U1474="","",Sync!$U1474))</f>
        <v/>
      </c>
      <c r="K1477">
        <f>IF(OR($E1477="",$E1477="نامعتبر"),"",IF(Sync!$V1474="","",IFERROR(INDEX(SubCodes,MATCH(Sync!$V1474,SubTitles,0)),Sync!$V1474)))</f>
        <v/>
      </c>
      <c r="L1477">
        <f>IF(OR($E1477="",$E1477="نامعتبر"),"",IF(Sync!$W1474="",0,Sync!$W1474))</f>
        <v/>
      </c>
      <c r="M1477">
        <f>IF(OR($E1477="",$E1477="نامعتبر"),"",IF(Sync!$X1474="",0,Sync!$X1474))</f>
        <v/>
      </c>
      <c r="N1477">
        <f>IF(OR($E1477="",$E1477="نامعتبر"),"",IF(AND($J1477="هزینه",$K1477&lt;&gt;""),1,0))</f>
        <v/>
      </c>
      <c r="O1477">
        <f>IF($N1477=0,"",LEFT($E1477,4)&amp;MID($E1477,6,2)&amp;RIGHT($E1477,2)&amp;$F1477&amp;"|"&amp;"1"&amp;RIGHT("00000"&amp;1469,5))</f>
        <v/>
      </c>
      <c r="P1477">
        <f>IF($O1477="","",COUNTIFS(ExpSub,$K1477,ExpKey,"&lt;"&amp;$O1477)+1)</f>
        <v/>
      </c>
      <c r="Q1477">
        <f>IF($P1477="","",$K1477&amp;"|"&amp;RIGHT("000000"&amp;$P1477,6))</f>
        <v/>
      </c>
    </row>
    <row r="1478">
      <c r="A1478">
        <f>IF(Sync!$P1475="","",Sync!$P1475)</f>
        <v/>
      </c>
      <c r="B1478">
        <f>IF($A1478="","",IF(ISNUMBER($A1478),IF(AND($A1478&gt;=10000101,$A1478&lt;=99991231),INT($A1478/10000),""),IFERROR(VALUE(TRIM(LEFT($A1478,FIND("/",$A1478)-1))),"")))</f>
        <v/>
      </c>
      <c r="C1478">
        <f>IF(OR($A1478="",$B1478=""),"",IF(ISNUMBER($A1478),INT(MOD($A1478,10000)/100),IFERROR(VALUE(TRIM(LEFT(MID($A1478,FIND("/",$A1478)+1,20),FIND("/",MID($A1478,FIND("/",$A1478)+1,20))-1))),"")))</f>
        <v/>
      </c>
      <c r="D1478">
        <f>IF(OR($A1478="",$B1478=""),"",IF(ISNUMBER($A1478),MOD($A1478,100),IFERROR(VALUE(TRIM(MID(MID($A1478,FIND("/",$A1478)+1,20),FIND("/",MID($A1478,FIND("/",$A1478)+1,20))+1,20))),"")))</f>
        <v/>
      </c>
      <c r="E1478">
        <f>IF($A1478="","",IF(OR($B1478="",$C1478="",$D1478="",$B1478&lt;1300,$B1478&gt;1500,$C1478&lt;1,$C1478&gt;12,$D1478&lt;1,$D1478&gt;31),"نامعتبر",RIGHT("0000"&amp;$B1478,4)&amp;"/"&amp;RIGHT("00"&amp;$C1478,2)&amp;"/"&amp;RIGHT("00"&amp;$D1478,2)))</f>
        <v/>
      </c>
      <c r="F1478">
        <f>IF(OR($E1478="",$E1478="نامعتبر"),"",IF(Sync!$Q1475="","0000",IF(AND(ISNUMBER(Sync!$Q1475),Sync!$Q1475&gt;=0,Sync!$Q1475&lt;1),RIGHT("00"&amp;HOUR(Sync!$Q1475),2)&amp;RIGHT("00"&amp;MINUTE(Sync!$Q1475),2),IFERROR(RIGHT("00"&amp;VALUE(LEFT(Sync!$Q1475,FIND(":",Sync!$Q1475)-1)),2)&amp;RIGHT("00"&amp;VALUE(MID(Sync!$Q1475,FIND(":",Sync!$Q1475)+1,2)),2),"0000"))))</f>
        <v/>
      </c>
      <c r="G1478">
        <f>IF(OR($E1478="",$E1478="نامعتبر"),"",IF(Sync!$S1475="","",Sync!$S1475))</f>
        <v/>
      </c>
      <c r="H1478">
        <f>IF(OR($E1478="",$E1478="نامعتبر"),"",IF(Sync!$R1475="","",Sync!$R1475))</f>
        <v/>
      </c>
      <c r="I1478">
        <f>IF(OR($E1478="",$E1478="نامعتبر"),"",IF(Sync!$T1475="","",Sync!$T1475))</f>
        <v/>
      </c>
      <c r="J1478">
        <f>IF(OR($E1478="",$E1478="نامعتبر"),"",IF(Sync!$U1475="","",Sync!$U1475))</f>
        <v/>
      </c>
      <c r="K1478">
        <f>IF(OR($E1478="",$E1478="نامعتبر"),"",IF(Sync!$V1475="","",IFERROR(INDEX(SubCodes,MATCH(Sync!$V1475,SubTitles,0)),Sync!$V1475)))</f>
        <v/>
      </c>
      <c r="L1478">
        <f>IF(OR($E1478="",$E1478="نامعتبر"),"",IF(Sync!$W1475="",0,Sync!$W1475))</f>
        <v/>
      </c>
      <c r="M1478">
        <f>IF(OR($E1478="",$E1478="نامعتبر"),"",IF(Sync!$X1475="",0,Sync!$X1475))</f>
        <v/>
      </c>
      <c r="N1478">
        <f>IF(OR($E1478="",$E1478="نامعتبر"),"",IF(AND($J1478="هزینه",$K1478&lt;&gt;""),1,0))</f>
        <v/>
      </c>
      <c r="O1478">
        <f>IF($N1478=0,"",LEFT($E1478,4)&amp;MID($E1478,6,2)&amp;RIGHT($E1478,2)&amp;$F1478&amp;"|"&amp;"1"&amp;RIGHT("00000"&amp;1470,5))</f>
        <v/>
      </c>
      <c r="P1478">
        <f>IF($O1478="","",COUNTIFS(ExpSub,$K1478,ExpKey,"&lt;"&amp;$O1478)+1)</f>
        <v/>
      </c>
      <c r="Q1478">
        <f>IF($P1478="","",$K1478&amp;"|"&amp;RIGHT("000000"&amp;$P1478,6))</f>
        <v/>
      </c>
    </row>
    <row r="1479">
      <c r="A1479">
        <f>IF(Sync!$P1476="","",Sync!$P1476)</f>
        <v/>
      </c>
      <c r="B1479">
        <f>IF($A1479="","",IF(ISNUMBER($A1479),IF(AND($A1479&gt;=10000101,$A1479&lt;=99991231),INT($A1479/10000),""),IFERROR(VALUE(TRIM(LEFT($A1479,FIND("/",$A1479)-1))),"")))</f>
        <v/>
      </c>
      <c r="C1479">
        <f>IF(OR($A1479="",$B1479=""),"",IF(ISNUMBER($A1479),INT(MOD($A1479,10000)/100),IFERROR(VALUE(TRIM(LEFT(MID($A1479,FIND("/",$A1479)+1,20),FIND("/",MID($A1479,FIND("/",$A1479)+1,20))-1))),"")))</f>
        <v/>
      </c>
      <c r="D1479">
        <f>IF(OR($A1479="",$B1479=""),"",IF(ISNUMBER($A1479),MOD($A1479,100),IFERROR(VALUE(TRIM(MID(MID($A1479,FIND("/",$A1479)+1,20),FIND("/",MID($A1479,FIND("/",$A1479)+1,20))+1,20))),"")))</f>
        <v/>
      </c>
      <c r="E1479">
        <f>IF($A1479="","",IF(OR($B1479="",$C1479="",$D1479="",$B1479&lt;1300,$B1479&gt;1500,$C1479&lt;1,$C1479&gt;12,$D1479&lt;1,$D1479&gt;31),"نامعتبر",RIGHT("0000"&amp;$B1479,4)&amp;"/"&amp;RIGHT("00"&amp;$C1479,2)&amp;"/"&amp;RIGHT("00"&amp;$D1479,2)))</f>
        <v/>
      </c>
      <c r="F1479">
        <f>IF(OR($E1479="",$E1479="نامعتبر"),"",IF(Sync!$Q1476="","0000",IF(AND(ISNUMBER(Sync!$Q1476),Sync!$Q1476&gt;=0,Sync!$Q1476&lt;1),RIGHT("00"&amp;HOUR(Sync!$Q1476),2)&amp;RIGHT("00"&amp;MINUTE(Sync!$Q1476),2),IFERROR(RIGHT("00"&amp;VALUE(LEFT(Sync!$Q1476,FIND(":",Sync!$Q1476)-1)),2)&amp;RIGHT("00"&amp;VALUE(MID(Sync!$Q1476,FIND(":",Sync!$Q1476)+1,2)),2),"0000"))))</f>
        <v/>
      </c>
      <c r="G1479">
        <f>IF(OR($E1479="",$E1479="نامعتبر"),"",IF(Sync!$S1476="","",Sync!$S1476))</f>
        <v/>
      </c>
      <c r="H1479">
        <f>IF(OR($E1479="",$E1479="نامعتبر"),"",IF(Sync!$R1476="","",Sync!$R1476))</f>
        <v/>
      </c>
      <c r="I1479">
        <f>IF(OR($E1479="",$E1479="نامعتبر"),"",IF(Sync!$T1476="","",Sync!$T1476))</f>
        <v/>
      </c>
      <c r="J1479">
        <f>IF(OR($E1479="",$E1479="نامعتبر"),"",IF(Sync!$U1476="","",Sync!$U1476))</f>
        <v/>
      </c>
      <c r="K1479">
        <f>IF(OR($E1479="",$E1479="نامعتبر"),"",IF(Sync!$V1476="","",IFERROR(INDEX(SubCodes,MATCH(Sync!$V1476,SubTitles,0)),Sync!$V1476)))</f>
        <v/>
      </c>
      <c r="L1479">
        <f>IF(OR($E1479="",$E1479="نامعتبر"),"",IF(Sync!$W1476="",0,Sync!$W1476))</f>
        <v/>
      </c>
      <c r="M1479">
        <f>IF(OR($E1479="",$E1479="نامعتبر"),"",IF(Sync!$X1476="",0,Sync!$X1476))</f>
        <v/>
      </c>
      <c r="N1479">
        <f>IF(OR($E1479="",$E1479="نامعتبر"),"",IF(AND($J1479="هزینه",$K1479&lt;&gt;""),1,0))</f>
        <v/>
      </c>
      <c r="O1479">
        <f>IF($N1479=0,"",LEFT($E1479,4)&amp;MID($E1479,6,2)&amp;RIGHT($E1479,2)&amp;$F1479&amp;"|"&amp;"1"&amp;RIGHT("00000"&amp;1471,5))</f>
        <v/>
      </c>
      <c r="P1479">
        <f>IF($O1479="","",COUNTIFS(ExpSub,$K1479,ExpKey,"&lt;"&amp;$O1479)+1)</f>
        <v/>
      </c>
      <c r="Q1479">
        <f>IF($P1479="","",$K1479&amp;"|"&amp;RIGHT("000000"&amp;$P1479,6))</f>
        <v/>
      </c>
    </row>
    <row r="1480">
      <c r="A1480">
        <f>IF(Sync!$P1477="","",Sync!$P1477)</f>
        <v/>
      </c>
      <c r="B1480">
        <f>IF($A1480="","",IF(ISNUMBER($A1480),IF(AND($A1480&gt;=10000101,$A1480&lt;=99991231),INT($A1480/10000),""),IFERROR(VALUE(TRIM(LEFT($A1480,FIND("/",$A1480)-1))),"")))</f>
        <v/>
      </c>
      <c r="C1480">
        <f>IF(OR($A1480="",$B1480=""),"",IF(ISNUMBER($A1480),INT(MOD($A1480,10000)/100),IFERROR(VALUE(TRIM(LEFT(MID($A1480,FIND("/",$A1480)+1,20),FIND("/",MID($A1480,FIND("/",$A1480)+1,20))-1))),"")))</f>
        <v/>
      </c>
      <c r="D1480">
        <f>IF(OR($A1480="",$B1480=""),"",IF(ISNUMBER($A1480),MOD($A1480,100),IFERROR(VALUE(TRIM(MID(MID($A1480,FIND("/",$A1480)+1,20),FIND("/",MID($A1480,FIND("/",$A1480)+1,20))+1,20))),"")))</f>
        <v/>
      </c>
      <c r="E1480">
        <f>IF($A1480="","",IF(OR($B1480="",$C1480="",$D1480="",$B1480&lt;1300,$B1480&gt;1500,$C1480&lt;1,$C1480&gt;12,$D1480&lt;1,$D1480&gt;31),"نامعتبر",RIGHT("0000"&amp;$B1480,4)&amp;"/"&amp;RIGHT("00"&amp;$C1480,2)&amp;"/"&amp;RIGHT("00"&amp;$D1480,2)))</f>
        <v/>
      </c>
      <c r="F1480">
        <f>IF(OR($E1480="",$E1480="نامعتبر"),"",IF(Sync!$Q1477="","0000",IF(AND(ISNUMBER(Sync!$Q1477),Sync!$Q1477&gt;=0,Sync!$Q1477&lt;1),RIGHT("00"&amp;HOUR(Sync!$Q1477),2)&amp;RIGHT("00"&amp;MINUTE(Sync!$Q1477),2),IFERROR(RIGHT("00"&amp;VALUE(LEFT(Sync!$Q1477,FIND(":",Sync!$Q1477)-1)),2)&amp;RIGHT("00"&amp;VALUE(MID(Sync!$Q1477,FIND(":",Sync!$Q1477)+1,2)),2),"0000"))))</f>
        <v/>
      </c>
      <c r="G1480">
        <f>IF(OR($E1480="",$E1480="نامعتبر"),"",IF(Sync!$S1477="","",Sync!$S1477))</f>
        <v/>
      </c>
      <c r="H1480">
        <f>IF(OR($E1480="",$E1480="نامعتبر"),"",IF(Sync!$R1477="","",Sync!$R1477))</f>
        <v/>
      </c>
      <c r="I1480">
        <f>IF(OR($E1480="",$E1480="نامعتبر"),"",IF(Sync!$T1477="","",Sync!$T1477))</f>
        <v/>
      </c>
      <c r="J1480">
        <f>IF(OR($E1480="",$E1480="نامعتبر"),"",IF(Sync!$U1477="","",Sync!$U1477))</f>
        <v/>
      </c>
      <c r="K1480">
        <f>IF(OR($E1480="",$E1480="نامعتبر"),"",IF(Sync!$V1477="","",IFERROR(INDEX(SubCodes,MATCH(Sync!$V1477,SubTitles,0)),Sync!$V1477)))</f>
        <v/>
      </c>
      <c r="L1480">
        <f>IF(OR($E1480="",$E1480="نامعتبر"),"",IF(Sync!$W1477="",0,Sync!$W1477))</f>
        <v/>
      </c>
      <c r="M1480">
        <f>IF(OR($E1480="",$E1480="نامعتبر"),"",IF(Sync!$X1477="",0,Sync!$X1477))</f>
        <v/>
      </c>
      <c r="N1480">
        <f>IF(OR($E1480="",$E1480="نامعتبر"),"",IF(AND($J1480="هزینه",$K1480&lt;&gt;""),1,0))</f>
        <v/>
      </c>
      <c r="O1480">
        <f>IF($N1480=0,"",LEFT($E1480,4)&amp;MID($E1480,6,2)&amp;RIGHT($E1480,2)&amp;$F1480&amp;"|"&amp;"1"&amp;RIGHT("00000"&amp;1472,5))</f>
        <v/>
      </c>
      <c r="P1480">
        <f>IF($O1480="","",COUNTIFS(ExpSub,$K1480,ExpKey,"&lt;"&amp;$O1480)+1)</f>
        <v/>
      </c>
      <c r="Q1480">
        <f>IF($P1480="","",$K1480&amp;"|"&amp;RIGHT("000000"&amp;$P1480,6))</f>
        <v/>
      </c>
    </row>
    <row r="1481">
      <c r="A1481">
        <f>IF(Sync!$P1478="","",Sync!$P1478)</f>
        <v/>
      </c>
      <c r="B1481">
        <f>IF($A1481="","",IF(ISNUMBER($A1481),IF(AND($A1481&gt;=10000101,$A1481&lt;=99991231),INT($A1481/10000),""),IFERROR(VALUE(TRIM(LEFT($A1481,FIND("/",$A1481)-1))),"")))</f>
        <v/>
      </c>
      <c r="C1481">
        <f>IF(OR($A1481="",$B1481=""),"",IF(ISNUMBER($A1481),INT(MOD($A1481,10000)/100),IFERROR(VALUE(TRIM(LEFT(MID($A1481,FIND("/",$A1481)+1,20),FIND("/",MID($A1481,FIND("/",$A1481)+1,20))-1))),"")))</f>
        <v/>
      </c>
      <c r="D1481">
        <f>IF(OR($A1481="",$B1481=""),"",IF(ISNUMBER($A1481),MOD($A1481,100),IFERROR(VALUE(TRIM(MID(MID($A1481,FIND("/",$A1481)+1,20),FIND("/",MID($A1481,FIND("/",$A1481)+1,20))+1,20))),"")))</f>
        <v/>
      </c>
      <c r="E1481">
        <f>IF($A1481="","",IF(OR($B1481="",$C1481="",$D1481="",$B1481&lt;1300,$B1481&gt;1500,$C1481&lt;1,$C1481&gt;12,$D1481&lt;1,$D1481&gt;31),"نامعتبر",RIGHT("0000"&amp;$B1481,4)&amp;"/"&amp;RIGHT("00"&amp;$C1481,2)&amp;"/"&amp;RIGHT("00"&amp;$D1481,2)))</f>
        <v/>
      </c>
      <c r="F1481">
        <f>IF(OR($E1481="",$E1481="نامعتبر"),"",IF(Sync!$Q1478="","0000",IF(AND(ISNUMBER(Sync!$Q1478),Sync!$Q1478&gt;=0,Sync!$Q1478&lt;1),RIGHT("00"&amp;HOUR(Sync!$Q1478),2)&amp;RIGHT("00"&amp;MINUTE(Sync!$Q1478),2),IFERROR(RIGHT("00"&amp;VALUE(LEFT(Sync!$Q1478,FIND(":",Sync!$Q1478)-1)),2)&amp;RIGHT("00"&amp;VALUE(MID(Sync!$Q1478,FIND(":",Sync!$Q1478)+1,2)),2),"0000"))))</f>
        <v/>
      </c>
      <c r="G1481">
        <f>IF(OR($E1481="",$E1481="نامعتبر"),"",IF(Sync!$S1478="","",Sync!$S1478))</f>
        <v/>
      </c>
      <c r="H1481">
        <f>IF(OR($E1481="",$E1481="نامعتبر"),"",IF(Sync!$R1478="","",Sync!$R1478))</f>
        <v/>
      </c>
      <c r="I1481">
        <f>IF(OR($E1481="",$E1481="نامعتبر"),"",IF(Sync!$T1478="","",Sync!$T1478))</f>
        <v/>
      </c>
      <c r="J1481">
        <f>IF(OR($E1481="",$E1481="نامعتبر"),"",IF(Sync!$U1478="","",Sync!$U1478))</f>
        <v/>
      </c>
      <c r="K1481">
        <f>IF(OR($E1481="",$E1481="نامعتبر"),"",IF(Sync!$V1478="","",IFERROR(INDEX(SubCodes,MATCH(Sync!$V1478,SubTitles,0)),Sync!$V1478)))</f>
        <v/>
      </c>
      <c r="L1481">
        <f>IF(OR($E1481="",$E1481="نامعتبر"),"",IF(Sync!$W1478="",0,Sync!$W1478))</f>
        <v/>
      </c>
      <c r="M1481">
        <f>IF(OR($E1481="",$E1481="نامعتبر"),"",IF(Sync!$X1478="",0,Sync!$X1478))</f>
        <v/>
      </c>
      <c r="N1481">
        <f>IF(OR($E1481="",$E1481="نامعتبر"),"",IF(AND($J1481="هزینه",$K1481&lt;&gt;""),1,0))</f>
        <v/>
      </c>
      <c r="O1481">
        <f>IF($N1481=0,"",LEFT($E1481,4)&amp;MID($E1481,6,2)&amp;RIGHT($E1481,2)&amp;$F1481&amp;"|"&amp;"1"&amp;RIGHT("00000"&amp;1473,5))</f>
        <v/>
      </c>
      <c r="P1481">
        <f>IF($O1481="","",COUNTIFS(ExpSub,$K1481,ExpKey,"&lt;"&amp;$O1481)+1)</f>
        <v/>
      </c>
      <c r="Q1481">
        <f>IF($P1481="","",$K1481&amp;"|"&amp;RIGHT("000000"&amp;$P1481,6))</f>
        <v/>
      </c>
    </row>
    <row r="1482">
      <c r="A1482">
        <f>IF(Sync!$P1479="","",Sync!$P1479)</f>
        <v/>
      </c>
      <c r="B1482">
        <f>IF($A1482="","",IF(ISNUMBER($A1482),IF(AND($A1482&gt;=10000101,$A1482&lt;=99991231),INT($A1482/10000),""),IFERROR(VALUE(TRIM(LEFT($A1482,FIND("/",$A1482)-1))),"")))</f>
        <v/>
      </c>
      <c r="C1482">
        <f>IF(OR($A1482="",$B1482=""),"",IF(ISNUMBER($A1482),INT(MOD($A1482,10000)/100),IFERROR(VALUE(TRIM(LEFT(MID($A1482,FIND("/",$A1482)+1,20),FIND("/",MID($A1482,FIND("/",$A1482)+1,20))-1))),"")))</f>
        <v/>
      </c>
      <c r="D1482">
        <f>IF(OR($A1482="",$B1482=""),"",IF(ISNUMBER($A1482),MOD($A1482,100),IFERROR(VALUE(TRIM(MID(MID($A1482,FIND("/",$A1482)+1,20),FIND("/",MID($A1482,FIND("/",$A1482)+1,20))+1,20))),"")))</f>
        <v/>
      </c>
      <c r="E1482">
        <f>IF($A1482="","",IF(OR($B1482="",$C1482="",$D1482="",$B1482&lt;1300,$B1482&gt;1500,$C1482&lt;1,$C1482&gt;12,$D1482&lt;1,$D1482&gt;31),"نامعتبر",RIGHT("0000"&amp;$B1482,4)&amp;"/"&amp;RIGHT("00"&amp;$C1482,2)&amp;"/"&amp;RIGHT("00"&amp;$D1482,2)))</f>
        <v/>
      </c>
      <c r="F1482">
        <f>IF(OR($E1482="",$E1482="نامعتبر"),"",IF(Sync!$Q1479="","0000",IF(AND(ISNUMBER(Sync!$Q1479),Sync!$Q1479&gt;=0,Sync!$Q1479&lt;1),RIGHT("00"&amp;HOUR(Sync!$Q1479),2)&amp;RIGHT("00"&amp;MINUTE(Sync!$Q1479),2),IFERROR(RIGHT("00"&amp;VALUE(LEFT(Sync!$Q1479,FIND(":",Sync!$Q1479)-1)),2)&amp;RIGHT("00"&amp;VALUE(MID(Sync!$Q1479,FIND(":",Sync!$Q1479)+1,2)),2),"0000"))))</f>
        <v/>
      </c>
      <c r="G1482">
        <f>IF(OR($E1482="",$E1482="نامعتبر"),"",IF(Sync!$S1479="","",Sync!$S1479))</f>
        <v/>
      </c>
      <c r="H1482">
        <f>IF(OR($E1482="",$E1482="نامعتبر"),"",IF(Sync!$R1479="","",Sync!$R1479))</f>
        <v/>
      </c>
      <c r="I1482">
        <f>IF(OR($E1482="",$E1482="نامعتبر"),"",IF(Sync!$T1479="","",Sync!$T1479))</f>
        <v/>
      </c>
      <c r="J1482">
        <f>IF(OR($E1482="",$E1482="نامعتبر"),"",IF(Sync!$U1479="","",Sync!$U1479))</f>
        <v/>
      </c>
      <c r="K1482">
        <f>IF(OR($E1482="",$E1482="نامعتبر"),"",IF(Sync!$V1479="","",IFERROR(INDEX(SubCodes,MATCH(Sync!$V1479,SubTitles,0)),Sync!$V1479)))</f>
        <v/>
      </c>
      <c r="L1482">
        <f>IF(OR($E1482="",$E1482="نامعتبر"),"",IF(Sync!$W1479="",0,Sync!$W1479))</f>
        <v/>
      </c>
      <c r="M1482">
        <f>IF(OR($E1482="",$E1482="نامعتبر"),"",IF(Sync!$X1479="",0,Sync!$X1479))</f>
        <v/>
      </c>
      <c r="N1482">
        <f>IF(OR($E1482="",$E1482="نامعتبر"),"",IF(AND($J1482="هزینه",$K1482&lt;&gt;""),1,0))</f>
        <v/>
      </c>
      <c r="O1482">
        <f>IF($N1482=0,"",LEFT($E1482,4)&amp;MID($E1482,6,2)&amp;RIGHT($E1482,2)&amp;$F1482&amp;"|"&amp;"1"&amp;RIGHT("00000"&amp;1474,5))</f>
        <v/>
      </c>
      <c r="P1482">
        <f>IF($O1482="","",COUNTIFS(ExpSub,$K1482,ExpKey,"&lt;"&amp;$O1482)+1)</f>
        <v/>
      </c>
      <c r="Q1482">
        <f>IF($P1482="","",$K1482&amp;"|"&amp;RIGHT("000000"&amp;$P1482,6))</f>
        <v/>
      </c>
    </row>
    <row r="1483">
      <c r="A1483">
        <f>IF(Sync!$P1480="","",Sync!$P1480)</f>
        <v/>
      </c>
      <c r="B1483">
        <f>IF($A1483="","",IF(ISNUMBER($A1483),IF(AND($A1483&gt;=10000101,$A1483&lt;=99991231),INT($A1483/10000),""),IFERROR(VALUE(TRIM(LEFT($A1483,FIND("/",$A1483)-1))),"")))</f>
        <v/>
      </c>
      <c r="C1483">
        <f>IF(OR($A1483="",$B1483=""),"",IF(ISNUMBER($A1483),INT(MOD($A1483,10000)/100),IFERROR(VALUE(TRIM(LEFT(MID($A1483,FIND("/",$A1483)+1,20),FIND("/",MID($A1483,FIND("/",$A1483)+1,20))-1))),"")))</f>
        <v/>
      </c>
      <c r="D1483">
        <f>IF(OR($A1483="",$B1483=""),"",IF(ISNUMBER($A1483),MOD($A1483,100),IFERROR(VALUE(TRIM(MID(MID($A1483,FIND("/",$A1483)+1,20),FIND("/",MID($A1483,FIND("/",$A1483)+1,20))+1,20))),"")))</f>
        <v/>
      </c>
      <c r="E1483">
        <f>IF($A1483="","",IF(OR($B1483="",$C1483="",$D1483="",$B1483&lt;1300,$B1483&gt;1500,$C1483&lt;1,$C1483&gt;12,$D1483&lt;1,$D1483&gt;31),"نامعتبر",RIGHT("0000"&amp;$B1483,4)&amp;"/"&amp;RIGHT("00"&amp;$C1483,2)&amp;"/"&amp;RIGHT("00"&amp;$D1483,2)))</f>
        <v/>
      </c>
      <c r="F1483">
        <f>IF(OR($E1483="",$E1483="نامعتبر"),"",IF(Sync!$Q1480="","0000",IF(AND(ISNUMBER(Sync!$Q1480),Sync!$Q1480&gt;=0,Sync!$Q1480&lt;1),RIGHT("00"&amp;HOUR(Sync!$Q1480),2)&amp;RIGHT("00"&amp;MINUTE(Sync!$Q1480),2),IFERROR(RIGHT("00"&amp;VALUE(LEFT(Sync!$Q1480,FIND(":",Sync!$Q1480)-1)),2)&amp;RIGHT("00"&amp;VALUE(MID(Sync!$Q1480,FIND(":",Sync!$Q1480)+1,2)),2),"0000"))))</f>
        <v/>
      </c>
      <c r="G1483">
        <f>IF(OR($E1483="",$E1483="نامعتبر"),"",IF(Sync!$S1480="","",Sync!$S1480))</f>
        <v/>
      </c>
      <c r="H1483">
        <f>IF(OR($E1483="",$E1483="نامعتبر"),"",IF(Sync!$R1480="","",Sync!$R1480))</f>
        <v/>
      </c>
      <c r="I1483">
        <f>IF(OR($E1483="",$E1483="نامعتبر"),"",IF(Sync!$T1480="","",Sync!$T1480))</f>
        <v/>
      </c>
      <c r="J1483">
        <f>IF(OR($E1483="",$E1483="نامعتبر"),"",IF(Sync!$U1480="","",Sync!$U1480))</f>
        <v/>
      </c>
      <c r="K1483">
        <f>IF(OR($E1483="",$E1483="نامعتبر"),"",IF(Sync!$V1480="","",IFERROR(INDEX(SubCodes,MATCH(Sync!$V1480,SubTitles,0)),Sync!$V1480)))</f>
        <v/>
      </c>
      <c r="L1483">
        <f>IF(OR($E1483="",$E1483="نامعتبر"),"",IF(Sync!$W1480="",0,Sync!$W1480))</f>
        <v/>
      </c>
      <c r="M1483">
        <f>IF(OR($E1483="",$E1483="نامعتبر"),"",IF(Sync!$X1480="",0,Sync!$X1480))</f>
        <v/>
      </c>
      <c r="N1483">
        <f>IF(OR($E1483="",$E1483="نامعتبر"),"",IF(AND($J1483="هزینه",$K1483&lt;&gt;""),1,0))</f>
        <v/>
      </c>
      <c r="O1483">
        <f>IF($N1483=0,"",LEFT($E1483,4)&amp;MID($E1483,6,2)&amp;RIGHT($E1483,2)&amp;$F1483&amp;"|"&amp;"1"&amp;RIGHT("00000"&amp;1475,5))</f>
        <v/>
      </c>
      <c r="P1483">
        <f>IF($O1483="","",COUNTIFS(ExpSub,$K1483,ExpKey,"&lt;"&amp;$O1483)+1)</f>
        <v/>
      </c>
      <c r="Q1483">
        <f>IF($P1483="","",$K1483&amp;"|"&amp;RIGHT("000000"&amp;$P1483,6))</f>
        <v/>
      </c>
    </row>
    <row r="1484">
      <c r="A1484">
        <f>IF(Sync!$P1481="","",Sync!$P1481)</f>
        <v/>
      </c>
      <c r="B1484">
        <f>IF($A1484="","",IF(ISNUMBER($A1484),IF(AND($A1484&gt;=10000101,$A1484&lt;=99991231),INT($A1484/10000),""),IFERROR(VALUE(TRIM(LEFT($A1484,FIND("/",$A1484)-1))),"")))</f>
        <v/>
      </c>
      <c r="C1484">
        <f>IF(OR($A1484="",$B1484=""),"",IF(ISNUMBER($A1484),INT(MOD($A1484,10000)/100),IFERROR(VALUE(TRIM(LEFT(MID($A1484,FIND("/",$A1484)+1,20),FIND("/",MID($A1484,FIND("/",$A1484)+1,20))-1))),"")))</f>
        <v/>
      </c>
      <c r="D1484">
        <f>IF(OR($A1484="",$B1484=""),"",IF(ISNUMBER($A1484),MOD($A1484,100),IFERROR(VALUE(TRIM(MID(MID($A1484,FIND("/",$A1484)+1,20),FIND("/",MID($A1484,FIND("/",$A1484)+1,20))+1,20))),"")))</f>
        <v/>
      </c>
      <c r="E1484">
        <f>IF($A1484="","",IF(OR($B1484="",$C1484="",$D1484="",$B1484&lt;1300,$B1484&gt;1500,$C1484&lt;1,$C1484&gt;12,$D1484&lt;1,$D1484&gt;31),"نامعتبر",RIGHT("0000"&amp;$B1484,4)&amp;"/"&amp;RIGHT("00"&amp;$C1484,2)&amp;"/"&amp;RIGHT("00"&amp;$D1484,2)))</f>
        <v/>
      </c>
      <c r="F1484">
        <f>IF(OR($E1484="",$E1484="نامعتبر"),"",IF(Sync!$Q1481="","0000",IF(AND(ISNUMBER(Sync!$Q1481),Sync!$Q1481&gt;=0,Sync!$Q1481&lt;1),RIGHT("00"&amp;HOUR(Sync!$Q1481),2)&amp;RIGHT("00"&amp;MINUTE(Sync!$Q1481),2),IFERROR(RIGHT("00"&amp;VALUE(LEFT(Sync!$Q1481,FIND(":",Sync!$Q1481)-1)),2)&amp;RIGHT("00"&amp;VALUE(MID(Sync!$Q1481,FIND(":",Sync!$Q1481)+1,2)),2),"0000"))))</f>
        <v/>
      </c>
      <c r="G1484">
        <f>IF(OR($E1484="",$E1484="نامعتبر"),"",IF(Sync!$S1481="","",Sync!$S1481))</f>
        <v/>
      </c>
      <c r="H1484">
        <f>IF(OR($E1484="",$E1484="نامعتبر"),"",IF(Sync!$R1481="","",Sync!$R1481))</f>
        <v/>
      </c>
      <c r="I1484">
        <f>IF(OR($E1484="",$E1484="نامعتبر"),"",IF(Sync!$T1481="","",Sync!$T1481))</f>
        <v/>
      </c>
      <c r="J1484">
        <f>IF(OR($E1484="",$E1484="نامعتبر"),"",IF(Sync!$U1481="","",Sync!$U1481))</f>
        <v/>
      </c>
      <c r="K1484">
        <f>IF(OR($E1484="",$E1484="نامعتبر"),"",IF(Sync!$V1481="","",IFERROR(INDEX(SubCodes,MATCH(Sync!$V1481,SubTitles,0)),Sync!$V1481)))</f>
        <v/>
      </c>
      <c r="L1484">
        <f>IF(OR($E1484="",$E1484="نامعتبر"),"",IF(Sync!$W1481="",0,Sync!$W1481))</f>
        <v/>
      </c>
      <c r="M1484">
        <f>IF(OR($E1484="",$E1484="نامعتبر"),"",IF(Sync!$X1481="",0,Sync!$X1481))</f>
        <v/>
      </c>
      <c r="N1484">
        <f>IF(OR($E1484="",$E1484="نامعتبر"),"",IF(AND($J1484="هزینه",$K1484&lt;&gt;""),1,0))</f>
        <v/>
      </c>
      <c r="O1484">
        <f>IF($N1484=0,"",LEFT($E1484,4)&amp;MID($E1484,6,2)&amp;RIGHT($E1484,2)&amp;$F1484&amp;"|"&amp;"1"&amp;RIGHT("00000"&amp;1476,5))</f>
        <v/>
      </c>
      <c r="P1484">
        <f>IF($O1484="","",COUNTIFS(ExpSub,$K1484,ExpKey,"&lt;"&amp;$O1484)+1)</f>
        <v/>
      </c>
      <c r="Q1484">
        <f>IF($P1484="","",$K1484&amp;"|"&amp;RIGHT("000000"&amp;$P1484,6))</f>
        <v/>
      </c>
    </row>
    <row r="1485">
      <c r="A1485">
        <f>IF(Sync!$P1482="","",Sync!$P1482)</f>
        <v/>
      </c>
      <c r="B1485">
        <f>IF($A1485="","",IF(ISNUMBER($A1485),IF(AND($A1485&gt;=10000101,$A1485&lt;=99991231),INT($A1485/10000),""),IFERROR(VALUE(TRIM(LEFT($A1485,FIND("/",$A1485)-1))),"")))</f>
        <v/>
      </c>
      <c r="C1485">
        <f>IF(OR($A1485="",$B1485=""),"",IF(ISNUMBER($A1485),INT(MOD($A1485,10000)/100),IFERROR(VALUE(TRIM(LEFT(MID($A1485,FIND("/",$A1485)+1,20),FIND("/",MID($A1485,FIND("/",$A1485)+1,20))-1))),"")))</f>
        <v/>
      </c>
      <c r="D1485">
        <f>IF(OR($A1485="",$B1485=""),"",IF(ISNUMBER($A1485),MOD($A1485,100),IFERROR(VALUE(TRIM(MID(MID($A1485,FIND("/",$A1485)+1,20),FIND("/",MID($A1485,FIND("/",$A1485)+1,20))+1,20))),"")))</f>
        <v/>
      </c>
      <c r="E1485">
        <f>IF($A1485="","",IF(OR($B1485="",$C1485="",$D1485="",$B1485&lt;1300,$B1485&gt;1500,$C1485&lt;1,$C1485&gt;12,$D1485&lt;1,$D1485&gt;31),"نامعتبر",RIGHT("0000"&amp;$B1485,4)&amp;"/"&amp;RIGHT("00"&amp;$C1485,2)&amp;"/"&amp;RIGHT("00"&amp;$D1485,2)))</f>
        <v/>
      </c>
      <c r="F1485">
        <f>IF(OR($E1485="",$E1485="نامعتبر"),"",IF(Sync!$Q1482="","0000",IF(AND(ISNUMBER(Sync!$Q1482),Sync!$Q1482&gt;=0,Sync!$Q1482&lt;1),RIGHT("00"&amp;HOUR(Sync!$Q1482),2)&amp;RIGHT("00"&amp;MINUTE(Sync!$Q1482),2),IFERROR(RIGHT("00"&amp;VALUE(LEFT(Sync!$Q1482,FIND(":",Sync!$Q1482)-1)),2)&amp;RIGHT("00"&amp;VALUE(MID(Sync!$Q1482,FIND(":",Sync!$Q1482)+1,2)),2),"0000"))))</f>
        <v/>
      </c>
      <c r="G1485">
        <f>IF(OR($E1485="",$E1485="نامعتبر"),"",IF(Sync!$S1482="","",Sync!$S1482))</f>
        <v/>
      </c>
      <c r="H1485">
        <f>IF(OR($E1485="",$E1485="نامعتبر"),"",IF(Sync!$R1482="","",Sync!$R1482))</f>
        <v/>
      </c>
      <c r="I1485">
        <f>IF(OR($E1485="",$E1485="نامعتبر"),"",IF(Sync!$T1482="","",Sync!$T1482))</f>
        <v/>
      </c>
      <c r="J1485">
        <f>IF(OR($E1485="",$E1485="نامعتبر"),"",IF(Sync!$U1482="","",Sync!$U1482))</f>
        <v/>
      </c>
      <c r="K1485">
        <f>IF(OR($E1485="",$E1485="نامعتبر"),"",IF(Sync!$V1482="","",IFERROR(INDEX(SubCodes,MATCH(Sync!$V1482,SubTitles,0)),Sync!$V1482)))</f>
        <v/>
      </c>
      <c r="L1485">
        <f>IF(OR($E1485="",$E1485="نامعتبر"),"",IF(Sync!$W1482="",0,Sync!$W1482))</f>
        <v/>
      </c>
      <c r="M1485">
        <f>IF(OR($E1485="",$E1485="نامعتبر"),"",IF(Sync!$X1482="",0,Sync!$X1482))</f>
        <v/>
      </c>
      <c r="N1485">
        <f>IF(OR($E1485="",$E1485="نامعتبر"),"",IF(AND($J1485="هزینه",$K1485&lt;&gt;""),1,0))</f>
        <v/>
      </c>
      <c r="O1485">
        <f>IF($N1485=0,"",LEFT($E1485,4)&amp;MID($E1485,6,2)&amp;RIGHT($E1485,2)&amp;$F1485&amp;"|"&amp;"1"&amp;RIGHT("00000"&amp;1477,5))</f>
        <v/>
      </c>
      <c r="P1485">
        <f>IF($O1485="","",COUNTIFS(ExpSub,$K1485,ExpKey,"&lt;"&amp;$O1485)+1)</f>
        <v/>
      </c>
      <c r="Q1485">
        <f>IF($P1485="","",$K1485&amp;"|"&amp;RIGHT("000000"&amp;$P1485,6))</f>
        <v/>
      </c>
    </row>
    <row r="1486">
      <c r="A1486">
        <f>IF(Sync!$P1483="","",Sync!$P1483)</f>
        <v/>
      </c>
      <c r="B1486">
        <f>IF($A1486="","",IF(ISNUMBER($A1486),IF(AND($A1486&gt;=10000101,$A1486&lt;=99991231),INT($A1486/10000),""),IFERROR(VALUE(TRIM(LEFT($A1486,FIND("/",$A1486)-1))),"")))</f>
        <v/>
      </c>
      <c r="C1486">
        <f>IF(OR($A1486="",$B1486=""),"",IF(ISNUMBER($A1486),INT(MOD($A1486,10000)/100),IFERROR(VALUE(TRIM(LEFT(MID($A1486,FIND("/",$A1486)+1,20),FIND("/",MID($A1486,FIND("/",$A1486)+1,20))-1))),"")))</f>
        <v/>
      </c>
      <c r="D1486">
        <f>IF(OR($A1486="",$B1486=""),"",IF(ISNUMBER($A1486),MOD($A1486,100),IFERROR(VALUE(TRIM(MID(MID($A1486,FIND("/",$A1486)+1,20),FIND("/",MID($A1486,FIND("/",$A1486)+1,20))+1,20))),"")))</f>
        <v/>
      </c>
      <c r="E1486">
        <f>IF($A1486="","",IF(OR($B1486="",$C1486="",$D1486="",$B1486&lt;1300,$B1486&gt;1500,$C1486&lt;1,$C1486&gt;12,$D1486&lt;1,$D1486&gt;31),"نامعتبر",RIGHT("0000"&amp;$B1486,4)&amp;"/"&amp;RIGHT("00"&amp;$C1486,2)&amp;"/"&amp;RIGHT("00"&amp;$D1486,2)))</f>
        <v/>
      </c>
      <c r="F1486">
        <f>IF(OR($E1486="",$E1486="نامعتبر"),"",IF(Sync!$Q1483="","0000",IF(AND(ISNUMBER(Sync!$Q1483),Sync!$Q1483&gt;=0,Sync!$Q1483&lt;1),RIGHT("00"&amp;HOUR(Sync!$Q1483),2)&amp;RIGHT("00"&amp;MINUTE(Sync!$Q1483),2),IFERROR(RIGHT("00"&amp;VALUE(LEFT(Sync!$Q1483,FIND(":",Sync!$Q1483)-1)),2)&amp;RIGHT("00"&amp;VALUE(MID(Sync!$Q1483,FIND(":",Sync!$Q1483)+1,2)),2),"0000"))))</f>
        <v/>
      </c>
      <c r="G1486">
        <f>IF(OR($E1486="",$E1486="نامعتبر"),"",IF(Sync!$S1483="","",Sync!$S1483))</f>
        <v/>
      </c>
      <c r="H1486">
        <f>IF(OR($E1486="",$E1486="نامعتبر"),"",IF(Sync!$R1483="","",Sync!$R1483))</f>
        <v/>
      </c>
      <c r="I1486">
        <f>IF(OR($E1486="",$E1486="نامعتبر"),"",IF(Sync!$T1483="","",Sync!$T1483))</f>
        <v/>
      </c>
      <c r="J1486">
        <f>IF(OR($E1486="",$E1486="نامعتبر"),"",IF(Sync!$U1483="","",Sync!$U1483))</f>
        <v/>
      </c>
      <c r="K1486">
        <f>IF(OR($E1486="",$E1486="نامعتبر"),"",IF(Sync!$V1483="","",IFERROR(INDEX(SubCodes,MATCH(Sync!$V1483,SubTitles,0)),Sync!$V1483)))</f>
        <v/>
      </c>
      <c r="L1486">
        <f>IF(OR($E1486="",$E1486="نامعتبر"),"",IF(Sync!$W1483="",0,Sync!$W1483))</f>
        <v/>
      </c>
      <c r="M1486">
        <f>IF(OR($E1486="",$E1486="نامعتبر"),"",IF(Sync!$X1483="",0,Sync!$X1483))</f>
        <v/>
      </c>
      <c r="N1486">
        <f>IF(OR($E1486="",$E1486="نامعتبر"),"",IF(AND($J1486="هزینه",$K1486&lt;&gt;""),1,0))</f>
        <v/>
      </c>
      <c r="O1486">
        <f>IF($N1486=0,"",LEFT($E1486,4)&amp;MID($E1486,6,2)&amp;RIGHT($E1486,2)&amp;$F1486&amp;"|"&amp;"1"&amp;RIGHT("00000"&amp;1478,5))</f>
        <v/>
      </c>
      <c r="P1486">
        <f>IF($O1486="","",COUNTIFS(ExpSub,$K1486,ExpKey,"&lt;"&amp;$O1486)+1)</f>
        <v/>
      </c>
      <c r="Q1486">
        <f>IF($P1486="","",$K1486&amp;"|"&amp;RIGHT("000000"&amp;$P1486,6))</f>
        <v/>
      </c>
    </row>
    <row r="1487">
      <c r="A1487">
        <f>IF(Sync!$P1484="","",Sync!$P1484)</f>
        <v/>
      </c>
      <c r="B1487">
        <f>IF($A1487="","",IF(ISNUMBER($A1487),IF(AND($A1487&gt;=10000101,$A1487&lt;=99991231),INT($A1487/10000),""),IFERROR(VALUE(TRIM(LEFT($A1487,FIND("/",$A1487)-1))),"")))</f>
        <v/>
      </c>
      <c r="C1487">
        <f>IF(OR($A1487="",$B1487=""),"",IF(ISNUMBER($A1487),INT(MOD($A1487,10000)/100),IFERROR(VALUE(TRIM(LEFT(MID($A1487,FIND("/",$A1487)+1,20),FIND("/",MID($A1487,FIND("/",$A1487)+1,20))-1))),"")))</f>
        <v/>
      </c>
      <c r="D1487">
        <f>IF(OR($A1487="",$B1487=""),"",IF(ISNUMBER($A1487),MOD($A1487,100),IFERROR(VALUE(TRIM(MID(MID($A1487,FIND("/",$A1487)+1,20),FIND("/",MID($A1487,FIND("/",$A1487)+1,20))+1,20))),"")))</f>
        <v/>
      </c>
      <c r="E1487">
        <f>IF($A1487="","",IF(OR($B1487="",$C1487="",$D1487="",$B1487&lt;1300,$B1487&gt;1500,$C1487&lt;1,$C1487&gt;12,$D1487&lt;1,$D1487&gt;31),"نامعتبر",RIGHT("0000"&amp;$B1487,4)&amp;"/"&amp;RIGHT("00"&amp;$C1487,2)&amp;"/"&amp;RIGHT("00"&amp;$D1487,2)))</f>
        <v/>
      </c>
      <c r="F1487">
        <f>IF(OR($E1487="",$E1487="نامعتبر"),"",IF(Sync!$Q1484="","0000",IF(AND(ISNUMBER(Sync!$Q1484),Sync!$Q1484&gt;=0,Sync!$Q1484&lt;1),RIGHT("00"&amp;HOUR(Sync!$Q1484),2)&amp;RIGHT("00"&amp;MINUTE(Sync!$Q1484),2),IFERROR(RIGHT("00"&amp;VALUE(LEFT(Sync!$Q1484,FIND(":",Sync!$Q1484)-1)),2)&amp;RIGHT("00"&amp;VALUE(MID(Sync!$Q1484,FIND(":",Sync!$Q1484)+1,2)),2),"0000"))))</f>
        <v/>
      </c>
      <c r="G1487">
        <f>IF(OR($E1487="",$E1487="نامعتبر"),"",IF(Sync!$S1484="","",Sync!$S1484))</f>
        <v/>
      </c>
      <c r="H1487">
        <f>IF(OR($E1487="",$E1487="نامعتبر"),"",IF(Sync!$R1484="","",Sync!$R1484))</f>
        <v/>
      </c>
      <c r="I1487">
        <f>IF(OR($E1487="",$E1487="نامعتبر"),"",IF(Sync!$T1484="","",Sync!$T1484))</f>
        <v/>
      </c>
      <c r="J1487">
        <f>IF(OR($E1487="",$E1487="نامعتبر"),"",IF(Sync!$U1484="","",Sync!$U1484))</f>
        <v/>
      </c>
      <c r="K1487">
        <f>IF(OR($E1487="",$E1487="نامعتبر"),"",IF(Sync!$V1484="","",IFERROR(INDEX(SubCodes,MATCH(Sync!$V1484,SubTitles,0)),Sync!$V1484)))</f>
        <v/>
      </c>
      <c r="L1487">
        <f>IF(OR($E1487="",$E1487="نامعتبر"),"",IF(Sync!$W1484="",0,Sync!$W1484))</f>
        <v/>
      </c>
      <c r="M1487">
        <f>IF(OR($E1487="",$E1487="نامعتبر"),"",IF(Sync!$X1484="",0,Sync!$X1484))</f>
        <v/>
      </c>
      <c r="N1487">
        <f>IF(OR($E1487="",$E1487="نامعتبر"),"",IF(AND($J1487="هزینه",$K1487&lt;&gt;""),1,0))</f>
        <v/>
      </c>
      <c r="O1487">
        <f>IF($N1487=0,"",LEFT($E1487,4)&amp;MID($E1487,6,2)&amp;RIGHT($E1487,2)&amp;$F1487&amp;"|"&amp;"1"&amp;RIGHT("00000"&amp;1479,5))</f>
        <v/>
      </c>
      <c r="P1487">
        <f>IF($O1487="","",COUNTIFS(ExpSub,$K1487,ExpKey,"&lt;"&amp;$O1487)+1)</f>
        <v/>
      </c>
      <c r="Q1487">
        <f>IF($P1487="","",$K1487&amp;"|"&amp;RIGHT("000000"&amp;$P1487,6))</f>
        <v/>
      </c>
    </row>
    <row r="1488">
      <c r="A1488">
        <f>IF(Sync!$P1485="","",Sync!$P1485)</f>
        <v/>
      </c>
      <c r="B1488">
        <f>IF($A1488="","",IF(ISNUMBER($A1488),IF(AND($A1488&gt;=10000101,$A1488&lt;=99991231),INT($A1488/10000),""),IFERROR(VALUE(TRIM(LEFT($A1488,FIND("/",$A1488)-1))),"")))</f>
        <v/>
      </c>
      <c r="C1488">
        <f>IF(OR($A1488="",$B1488=""),"",IF(ISNUMBER($A1488),INT(MOD($A1488,10000)/100),IFERROR(VALUE(TRIM(LEFT(MID($A1488,FIND("/",$A1488)+1,20),FIND("/",MID($A1488,FIND("/",$A1488)+1,20))-1))),"")))</f>
        <v/>
      </c>
      <c r="D1488">
        <f>IF(OR($A1488="",$B1488=""),"",IF(ISNUMBER($A1488),MOD($A1488,100),IFERROR(VALUE(TRIM(MID(MID($A1488,FIND("/",$A1488)+1,20),FIND("/",MID($A1488,FIND("/",$A1488)+1,20))+1,20))),"")))</f>
        <v/>
      </c>
      <c r="E1488">
        <f>IF($A1488="","",IF(OR($B1488="",$C1488="",$D1488="",$B1488&lt;1300,$B1488&gt;1500,$C1488&lt;1,$C1488&gt;12,$D1488&lt;1,$D1488&gt;31),"نامعتبر",RIGHT("0000"&amp;$B1488,4)&amp;"/"&amp;RIGHT("00"&amp;$C1488,2)&amp;"/"&amp;RIGHT("00"&amp;$D1488,2)))</f>
        <v/>
      </c>
      <c r="F1488">
        <f>IF(OR($E1488="",$E1488="نامعتبر"),"",IF(Sync!$Q1485="","0000",IF(AND(ISNUMBER(Sync!$Q1485),Sync!$Q1485&gt;=0,Sync!$Q1485&lt;1),RIGHT("00"&amp;HOUR(Sync!$Q1485),2)&amp;RIGHT("00"&amp;MINUTE(Sync!$Q1485),2),IFERROR(RIGHT("00"&amp;VALUE(LEFT(Sync!$Q1485,FIND(":",Sync!$Q1485)-1)),2)&amp;RIGHT("00"&amp;VALUE(MID(Sync!$Q1485,FIND(":",Sync!$Q1485)+1,2)),2),"0000"))))</f>
        <v/>
      </c>
      <c r="G1488">
        <f>IF(OR($E1488="",$E1488="نامعتبر"),"",IF(Sync!$S1485="","",Sync!$S1485))</f>
        <v/>
      </c>
      <c r="H1488">
        <f>IF(OR($E1488="",$E1488="نامعتبر"),"",IF(Sync!$R1485="","",Sync!$R1485))</f>
        <v/>
      </c>
      <c r="I1488">
        <f>IF(OR($E1488="",$E1488="نامعتبر"),"",IF(Sync!$T1485="","",Sync!$T1485))</f>
        <v/>
      </c>
      <c r="J1488">
        <f>IF(OR($E1488="",$E1488="نامعتبر"),"",IF(Sync!$U1485="","",Sync!$U1485))</f>
        <v/>
      </c>
      <c r="K1488">
        <f>IF(OR($E1488="",$E1488="نامعتبر"),"",IF(Sync!$V1485="","",IFERROR(INDEX(SubCodes,MATCH(Sync!$V1485,SubTitles,0)),Sync!$V1485)))</f>
        <v/>
      </c>
      <c r="L1488">
        <f>IF(OR($E1488="",$E1488="نامعتبر"),"",IF(Sync!$W1485="",0,Sync!$W1485))</f>
        <v/>
      </c>
      <c r="M1488">
        <f>IF(OR($E1488="",$E1488="نامعتبر"),"",IF(Sync!$X1485="",0,Sync!$X1485))</f>
        <v/>
      </c>
      <c r="N1488">
        <f>IF(OR($E1488="",$E1488="نامعتبر"),"",IF(AND($J1488="هزینه",$K1488&lt;&gt;""),1,0))</f>
        <v/>
      </c>
      <c r="O1488">
        <f>IF($N1488=0,"",LEFT($E1488,4)&amp;MID($E1488,6,2)&amp;RIGHT($E1488,2)&amp;$F1488&amp;"|"&amp;"1"&amp;RIGHT("00000"&amp;1480,5))</f>
        <v/>
      </c>
      <c r="P1488">
        <f>IF($O1488="","",COUNTIFS(ExpSub,$K1488,ExpKey,"&lt;"&amp;$O1488)+1)</f>
        <v/>
      </c>
      <c r="Q1488">
        <f>IF($P1488="","",$K1488&amp;"|"&amp;RIGHT("000000"&amp;$P1488,6))</f>
        <v/>
      </c>
    </row>
    <row r="1489">
      <c r="A1489">
        <f>IF(Sync!$P1486="","",Sync!$P1486)</f>
        <v/>
      </c>
      <c r="B1489">
        <f>IF($A1489="","",IF(ISNUMBER($A1489),IF(AND($A1489&gt;=10000101,$A1489&lt;=99991231),INT($A1489/10000),""),IFERROR(VALUE(TRIM(LEFT($A1489,FIND("/",$A1489)-1))),"")))</f>
        <v/>
      </c>
      <c r="C1489">
        <f>IF(OR($A1489="",$B1489=""),"",IF(ISNUMBER($A1489),INT(MOD($A1489,10000)/100),IFERROR(VALUE(TRIM(LEFT(MID($A1489,FIND("/",$A1489)+1,20),FIND("/",MID($A1489,FIND("/",$A1489)+1,20))-1))),"")))</f>
        <v/>
      </c>
      <c r="D1489">
        <f>IF(OR($A1489="",$B1489=""),"",IF(ISNUMBER($A1489),MOD($A1489,100),IFERROR(VALUE(TRIM(MID(MID($A1489,FIND("/",$A1489)+1,20),FIND("/",MID($A1489,FIND("/",$A1489)+1,20))+1,20))),"")))</f>
        <v/>
      </c>
      <c r="E1489">
        <f>IF($A1489="","",IF(OR($B1489="",$C1489="",$D1489="",$B1489&lt;1300,$B1489&gt;1500,$C1489&lt;1,$C1489&gt;12,$D1489&lt;1,$D1489&gt;31),"نامعتبر",RIGHT("0000"&amp;$B1489,4)&amp;"/"&amp;RIGHT("00"&amp;$C1489,2)&amp;"/"&amp;RIGHT("00"&amp;$D1489,2)))</f>
        <v/>
      </c>
      <c r="F1489">
        <f>IF(OR($E1489="",$E1489="نامعتبر"),"",IF(Sync!$Q1486="","0000",IF(AND(ISNUMBER(Sync!$Q1486),Sync!$Q1486&gt;=0,Sync!$Q1486&lt;1),RIGHT("00"&amp;HOUR(Sync!$Q1486),2)&amp;RIGHT("00"&amp;MINUTE(Sync!$Q1486),2),IFERROR(RIGHT("00"&amp;VALUE(LEFT(Sync!$Q1486,FIND(":",Sync!$Q1486)-1)),2)&amp;RIGHT("00"&amp;VALUE(MID(Sync!$Q1486,FIND(":",Sync!$Q1486)+1,2)),2),"0000"))))</f>
        <v/>
      </c>
      <c r="G1489">
        <f>IF(OR($E1489="",$E1489="نامعتبر"),"",IF(Sync!$S1486="","",Sync!$S1486))</f>
        <v/>
      </c>
      <c r="H1489">
        <f>IF(OR($E1489="",$E1489="نامعتبر"),"",IF(Sync!$R1486="","",Sync!$R1486))</f>
        <v/>
      </c>
      <c r="I1489">
        <f>IF(OR($E1489="",$E1489="نامعتبر"),"",IF(Sync!$T1486="","",Sync!$T1486))</f>
        <v/>
      </c>
      <c r="J1489">
        <f>IF(OR($E1489="",$E1489="نامعتبر"),"",IF(Sync!$U1486="","",Sync!$U1486))</f>
        <v/>
      </c>
      <c r="K1489">
        <f>IF(OR($E1489="",$E1489="نامعتبر"),"",IF(Sync!$V1486="","",IFERROR(INDEX(SubCodes,MATCH(Sync!$V1486,SubTitles,0)),Sync!$V1486)))</f>
        <v/>
      </c>
      <c r="L1489">
        <f>IF(OR($E1489="",$E1489="نامعتبر"),"",IF(Sync!$W1486="",0,Sync!$W1486))</f>
        <v/>
      </c>
      <c r="M1489">
        <f>IF(OR($E1489="",$E1489="نامعتبر"),"",IF(Sync!$X1486="",0,Sync!$X1486))</f>
        <v/>
      </c>
      <c r="N1489">
        <f>IF(OR($E1489="",$E1489="نامعتبر"),"",IF(AND($J1489="هزینه",$K1489&lt;&gt;""),1,0))</f>
        <v/>
      </c>
      <c r="O1489">
        <f>IF($N1489=0,"",LEFT($E1489,4)&amp;MID($E1489,6,2)&amp;RIGHT($E1489,2)&amp;$F1489&amp;"|"&amp;"1"&amp;RIGHT("00000"&amp;1481,5))</f>
        <v/>
      </c>
      <c r="P1489">
        <f>IF($O1489="","",COUNTIFS(ExpSub,$K1489,ExpKey,"&lt;"&amp;$O1489)+1)</f>
        <v/>
      </c>
      <c r="Q1489">
        <f>IF($P1489="","",$K1489&amp;"|"&amp;RIGHT("000000"&amp;$P1489,6))</f>
        <v/>
      </c>
    </row>
    <row r="1490">
      <c r="A1490">
        <f>IF(Sync!$P1487="","",Sync!$P1487)</f>
        <v/>
      </c>
      <c r="B1490">
        <f>IF($A1490="","",IF(ISNUMBER($A1490),IF(AND($A1490&gt;=10000101,$A1490&lt;=99991231),INT($A1490/10000),""),IFERROR(VALUE(TRIM(LEFT($A1490,FIND("/",$A1490)-1))),"")))</f>
        <v/>
      </c>
      <c r="C1490">
        <f>IF(OR($A1490="",$B1490=""),"",IF(ISNUMBER($A1490),INT(MOD($A1490,10000)/100),IFERROR(VALUE(TRIM(LEFT(MID($A1490,FIND("/",$A1490)+1,20),FIND("/",MID($A1490,FIND("/",$A1490)+1,20))-1))),"")))</f>
        <v/>
      </c>
      <c r="D1490">
        <f>IF(OR($A1490="",$B1490=""),"",IF(ISNUMBER($A1490),MOD($A1490,100),IFERROR(VALUE(TRIM(MID(MID($A1490,FIND("/",$A1490)+1,20),FIND("/",MID($A1490,FIND("/",$A1490)+1,20))+1,20))),"")))</f>
        <v/>
      </c>
      <c r="E1490">
        <f>IF($A1490="","",IF(OR($B1490="",$C1490="",$D1490="",$B1490&lt;1300,$B1490&gt;1500,$C1490&lt;1,$C1490&gt;12,$D1490&lt;1,$D1490&gt;31),"نامعتبر",RIGHT("0000"&amp;$B1490,4)&amp;"/"&amp;RIGHT("00"&amp;$C1490,2)&amp;"/"&amp;RIGHT("00"&amp;$D1490,2)))</f>
        <v/>
      </c>
      <c r="F1490">
        <f>IF(OR($E1490="",$E1490="نامعتبر"),"",IF(Sync!$Q1487="","0000",IF(AND(ISNUMBER(Sync!$Q1487),Sync!$Q1487&gt;=0,Sync!$Q1487&lt;1),RIGHT("00"&amp;HOUR(Sync!$Q1487),2)&amp;RIGHT("00"&amp;MINUTE(Sync!$Q1487),2),IFERROR(RIGHT("00"&amp;VALUE(LEFT(Sync!$Q1487,FIND(":",Sync!$Q1487)-1)),2)&amp;RIGHT("00"&amp;VALUE(MID(Sync!$Q1487,FIND(":",Sync!$Q1487)+1,2)),2),"0000"))))</f>
        <v/>
      </c>
      <c r="G1490">
        <f>IF(OR($E1490="",$E1490="نامعتبر"),"",IF(Sync!$S1487="","",Sync!$S1487))</f>
        <v/>
      </c>
      <c r="H1490">
        <f>IF(OR($E1490="",$E1490="نامعتبر"),"",IF(Sync!$R1487="","",Sync!$R1487))</f>
        <v/>
      </c>
      <c r="I1490">
        <f>IF(OR($E1490="",$E1490="نامعتبر"),"",IF(Sync!$T1487="","",Sync!$T1487))</f>
        <v/>
      </c>
      <c r="J1490">
        <f>IF(OR($E1490="",$E1490="نامعتبر"),"",IF(Sync!$U1487="","",Sync!$U1487))</f>
        <v/>
      </c>
      <c r="K1490">
        <f>IF(OR($E1490="",$E1490="نامعتبر"),"",IF(Sync!$V1487="","",IFERROR(INDEX(SubCodes,MATCH(Sync!$V1487,SubTitles,0)),Sync!$V1487)))</f>
        <v/>
      </c>
      <c r="L1490">
        <f>IF(OR($E1490="",$E1490="نامعتبر"),"",IF(Sync!$W1487="",0,Sync!$W1487))</f>
        <v/>
      </c>
      <c r="M1490">
        <f>IF(OR($E1490="",$E1490="نامعتبر"),"",IF(Sync!$X1487="",0,Sync!$X1487))</f>
        <v/>
      </c>
      <c r="N1490">
        <f>IF(OR($E1490="",$E1490="نامعتبر"),"",IF(AND($J1490="هزینه",$K1490&lt;&gt;""),1,0))</f>
        <v/>
      </c>
      <c r="O1490">
        <f>IF($N1490=0,"",LEFT($E1490,4)&amp;MID($E1490,6,2)&amp;RIGHT($E1490,2)&amp;$F1490&amp;"|"&amp;"1"&amp;RIGHT("00000"&amp;1482,5))</f>
        <v/>
      </c>
      <c r="P1490">
        <f>IF($O1490="","",COUNTIFS(ExpSub,$K1490,ExpKey,"&lt;"&amp;$O1490)+1)</f>
        <v/>
      </c>
      <c r="Q1490">
        <f>IF($P1490="","",$K1490&amp;"|"&amp;RIGHT("000000"&amp;$P1490,6))</f>
        <v/>
      </c>
    </row>
    <row r="1491">
      <c r="A1491">
        <f>IF(Sync!$P1488="","",Sync!$P1488)</f>
        <v/>
      </c>
      <c r="B1491">
        <f>IF($A1491="","",IF(ISNUMBER($A1491),IF(AND($A1491&gt;=10000101,$A1491&lt;=99991231),INT($A1491/10000),""),IFERROR(VALUE(TRIM(LEFT($A1491,FIND("/",$A1491)-1))),"")))</f>
        <v/>
      </c>
      <c r="C1491">
        <f>IF(OR($A1491="",$B1491=""),"",IF(ISNUMBER($A1491),INT(MOD($A1491,10000)/100),IFERROR(VALUE(TRIM(LEFT(MID($A1491,FIND("/",$A1491)+1,20),FIND("/",MID($A1491,FIND("/",$A1491)+1,20))-1))),"")))</f>
        <v/>
      </c>
      <c r="D1491">
        <f>IF(OR($A1491="",$B1491=""),"",IF(ISNUMBER($A1491),MOD($A1491,100),IFERROR(VALUE(TRIM(MID(MID($A1491,FIND("/",$A1491)+1,20),FIND("/",MID($A1491,FIND("/",$A1491)+1,20))+1,20))),"")))</f>
        <v/>
      </c>
      <c r="E1491">
        <f>IF($A1491="","",IF(OR($B1491="",$C1491="",$D1491="",$B1491&lt;1300,$B1491&gt;1500,$C1491&lt;1,$C1491&gt;12,$D1491&lt;1,$D1491&gt;31),"نامعتبر",RIGHT("0000"&amp;$B1491,4)&amp;"/"&amp;RIGHT("00"&amp;$C1491,2)&amp;"/"&amp;RIGHT("00"&amp;$D1491,2)))</f>
        <v/>
      </c>
      <c r="F1491">
        <f>IF(OR($E1491="",$E1491="نامعتبر"),"",IF(Sync!$Q1488="","0000",IF(AND(ISNUMBER(Sync!$Q1488),Sync!$Q1488&gt;=0,Sync!$Q1488&lt;1),RIGHT("00"&amp;HOUR(Sync!$Q1488),2)&amp;RIGHT("00"&amp;MINUTE(Sync!$Q1488),2),IFERROR(RIGHT("00"&amp;VALUE(LEFT(Sync!$Q1488,FIND(":",Sync!$Q1488)-1)),2)&amp;RIGHT("00"&amp;VALUE(MID(Sync!$Q1488,FIND(":",Sync!$Q1488)+1,2)),2),"0000"))))</f>
        <v/>
      </c>
      <c r="G1491">
        <f>IF(OR($E1491="",$E1491="نامعتبر"),"",IF(Sync!$S1488="","",Sync!$S1488))</f>
        <v/>
      </c>
      <c r="H1491">
        <f>IF(OR($E1491="",$E1491="نامعتبر"),"",IF(Sync!$R1488="","",Sync!$R1488))</f>
        <v/>
      </c>
      <c r="I1491">
        <f>IF(OR($E1491="",$E1491="نامعتبر"),"",IF(Sync!$T1488="","",Sync!$T1488))</f>
        <v/>
      </c>
      <c r="J1491">
        <f>IF(OR($E1491="",$E1491="نامعتبر"),"",IF(Sync!$U1488="","",Sync!$U1488))</f>
        <v/>
      </c>
      <c r="K1491">
        <f>IF(OR($E1491="",$E1491="نامعتبر"),"",IF(Sync!$V1488="","",IFERROR(INDEX(SubCodes,MATCH(Sync!$V1488,SubTitles,0)),Sync!$V1488)))</f>
        <v/>
      </c>
      <c r="L1491">
        <f>IF(OR($E1491="",$E1491="نامعتبر"),"",IF(Sync!$W1488="",0,Sync!$W1488))</f>
        <v/>
      </c>
      <c r="M1491">
        <f>IF(OR($E1491="",$E1491="نامعتبر"),"",IF(Sync!$X1488="",0,Sync!$X1488))</f>
        <v/>
      </c>
      <c r="N1491">
        <f>IF(OR($E1491="",$E1491="نامعتبر"),"",IF(AND($J1491="هزینه",$K1491&lt;&gt;""),1,0))</f>
        <v/>
      </c>
      <c r="O1491">
        <f>IF($N1491=0,"",LEFT($E1491,4)&amp;MID($E1491,6,2)&amp;RIGHT($E1491,2)&amp;$F1491&amp;"|"&amp;"1"&amp;RIGHT("00000"&amp;1483,5))</f>
        <v/>
      </c>
      <c r="P1491">
        <f>IF($O1491="","",COUNTIFS(ExpSub,$K1491,ExpKey,"&lt;"&amp;$O1491)+1)</f>
        <v/>
      </c>
      <c r="Q1491">
        <f>IF($P1491="","",$K1491&amp;"|"&amp;RIGHT("000000"&amp;$P1491,6))</f>
        <v/>
      </c>
    </row>
    <row r="1492">
      <c r="A1492">
        <f>IF(Sync!$P1489="","",Sync!$P1489)</f>
        <v/>
      </c>
      <c r="B1492">
        <f>IF($A1492="","",IF(ISNUMBER($A1492),IF(AND($A1492&gt;=10000101,$A1492&lt;=99991231),INT($A1492/10000),""),IFERROR(VALUE(TRIM(LEFT($A1492,FIND("/",$A1492)-1))),"")))</f>
        <v/>
      </c>
      <c r="C1492">
        <f>IF(OR($A1492="",$B1492=""),"",IF(ISNUMBER($A1492),INT(MOD($A1492,10000)/100),IFERROR(VALUE(TRIM(LEFT(MID($A1492,FIND("/",$A1492)+1,20),FIND("/",MID($A1492,FIND("/",$A1492)+1,20))-1))),"")))</f>
        <v/>
      </c>
      <c r="D1492">
        <f>IF(OR($A1492="",$B1492=""),"",IF(ISNUMBER($A1492),MOD($A1492,100),IFERROR(VALUE(TRIM(MID(MID($A1492,FIND("/",$A1492)+1,20),FIND("/",MID($A1492,FIND("/",$A1492)+1,20))+1,20))),"")))</f>
        <v/>
      </c>
      <c r="E1492">
        <f>IF($A1492="","",IF(OR($B1492="",$C1492="",$D1492="",$B1492&lt;1300,$B1492&gt;1500,$C1492&lt;1,$C1492&gt;12,$D1492&lt;1,$D1492&gt;31),"نامعتبر",RIGHT("0000"&amp;$B1492,4)&amp;"/"&amp;RIGHT("00"&amp;$C1492,2)&amp;"/"&amp;RIGHT("00"&amp;$D1492,2)))</f>
        <v/>
      </c>
      <c r="F1492">
        <f>IF(OR($E1492="",$E1492="نامعتبر"),"",IF(Sync!$Q1489="","0000",IF(AND(ISNUMBER(Sync!$Q1489),Sync!$Q1489&gt;=0,Sync!$Q1489&lt;1),RIGHT("00"&amp;HOUR(Sync!$Q1489),2)&amp;RIGHT("00"&amp;MINUTE(Sync!$Q1489),2),IFERROR(RIGHT("00"&amp;VALUE(LEFT(Sync!$Q1489,FIND(":",Sync!$Q1489)-1)),2)&amp;RIGHT("00"&amp;VALUE(MID(Sync!$Q1489,FIND(":",Sync!$Q1489)+1,2)),2),"0000"))))</f>
        <v/>
      </c>
      <c r="G1492">
        <f>IF(OR($E1492="",$E1492="نامعتبر"),"",IF(Sync!$S1489="","",Sync!$S1489))</f>
        <v/>
      </c>
      <c r="H1492">
        <f>IF(OR($E1492="",$E1492="نامعتبر"),"",IF(Sync!$R1489="","",Sync!$R1489))</f>
        <v/>
      </c>
      <c r="I1492">
        <f>IF(OR($E1492="",$E1492="نامعتبر"),"",IF(Sync!$T1489="","",Sync!$T1489))</f>
        <v/>
      </c>
      <c r="J1492">
        <f>IF(OR($E1492="",$E1492="نامعتبر"),"",IF(Sync!$U1489="","",Sync!$U1489))</f>
        <v/>
      </c>
      <c r="K1492">
        <f>IF(OR($E1492="",$E1492="نامعتبر"),"",IF(Sync!$V1489="","",IFERROR(INDEX(SubCodes,MATCH(Sync!$V1489,SubTitles,0)),Sync!$V1489)))</f>
        <v/>
      </c>
      <c r="L1492">
        <f>IF(OR($E1492="",$E1492="نامعتبر"),"",IF(Sync!$W1489="",0,Sync!$W1489))</f>
        <v/>
      </c>
      <c r="M1492">
        <f>IF(OR($E1492="",$E1492="نامعتبر"),"",IF(Sync!$X1489="",0,Sync!$X1489))</f>
        <v/>
      </c>
      <c r="N1492">
        <f>IF(OR($E1492="",$E1492="نامعتبر"),"",IF(AND($J1492="هزینه",$K1492&lt;&gt;""),1,0))</f>
        <v/>
      </c>
      <c r="O1492">
        <f>IF($N1492=0,"",LEFT($E1492,4)&amp;MID($E1492,6,2)&amp;RIGHT($E1492,2)&amp;$F1492&amp;"|"&amp;"1"&amp;RIGHT("00000"&amp;1484,5))</f>
        <v/>
      </c>
      <c r="P1492">
        <f>IF($O1492="","",COUNTIFS(ExpSub,$K1492,ExpKey,"&lt;"&amp;$O1492)+1)</f>
        <v/>
      </c>
      <c r="Q1492">
        <f>IF($P1492="","",$K1492&amp;"|"&amp;RIGHT("000000"&amp;$P1492,6))</f>
        <v/>
      </c>
    </row>
    <row r="1493">
      <c r="A1493">
        <f>IF(Sync!$P1490="","",Sync!$P1490)</f>
        <v/>
      </c>
      <c r="B1493">
        <f>IF($A1493="","",IF(ISNUMBER($A1493),IF(AND($A1493&gt;=10000101,$A1493&lt;=99991231),INT($A1493/10000),""),IFERROR(VALUE(TRIM(LEFT($A1493,FIND("/",$A1493)-1))),"")))</f>
        <v/>
      </c>
      <c r="C1493">
        <f>IF(OR($A1493="",$B1493=""),"",IF(ISNUMBER($A1493),INT(MOD($A1493,10000)/100),IFERROR(VALUE(TRIM(LEFT(MID($A1493,FIND("/",$A1493)+1,20),FIND("/",MID($A1493,FIND("/",$A1493)+1,20))-1))),"")))</f>
        <v/>
      </c>
      <c r="D1493">
        <f>IF(OR($A1493="",$B1493=""),"",IF(ISNUMBER($A1493),MOD($A1493,100),IFERROR(VALUE(TRIM(MID(MID($A1493,FIND("/",$A1493)+1,20),FIND("/",MID($A1493,FIND("/",$A1493)+1,20))+1,20))),"")))</f>
        <v/>
      </c>
      <c r="E1493">
        <f>IF($A1493="","",IF(OR($B1493="",$C1493="",$D1493="",$B1493&lt;1300,$B1493&gt;1500,$C1493&lt;1,$C1493&gt;12,$D1493&lt;1,$D1493&gt;31),"نامعتبر",RIGHT("0000"&amp;$B1493,4)&amp;"/"&amp;RIGHT("00"&amp;$C1493,2)&amp;"/"&amp;RIGHT("00"&amp;$D1493,2)))</f>
        <v/>
      </c>
      <c r="F1493">
        <f>IF(OR($E1493="",$E1493="نامعتبر"),"",IF(Sync!$Q1490="","0000",IF(AND(ISNUMBER(Sync!$Q1490),Sync!$Q1490&gt;=0,Sync!$Q1490&lt;1),RIGHT("00"&amp;HOUR(Sync!$Q1490),2)&amp;RIGHT("00"&amp;MINUTE(Sync!$Q1490),2),IFERROR(RIGHT("00"&amp;VALUE(LEFT(Sync!$Q1490,FIND(":",Sync!$Q1490)-1)),2)&amp;RIGHT("00"&amp;VALUE(MID(Sync!$Q1490,FIND(":",Sync!$Q1490)+1,2)),2),"0000"))))</f>
        <v/>
      </c>
      <c r="G1493">
        <f>IF(OR($E1493="",$E1493="نامعتبر"),"",IF(Sync!$S1490="","",Sync!$S1490))</f>
        <v/>
      </c>
      <c r="H1493">
        <f>IF(OR($E1493="",$E1493="نامعتبر"),"",IF(Sync!$R1490="","",Sync!$R1490))</f>
        <v/>
      </c>
      <c r="I1493">
        <f>IF(OR($E1493="",$E1493="نامعتبر"),"",IF(Sync!$T1490="","",Sync!$T1490))</f>
        <v/>
      </c>
      <c r="J1493">
        <f>IF(OR($E1493="",$E1493="نامعتبر"),"",IF(Sync!$U1490="","",Sync!$U1490))</f>
        <v/>
      </c>
      <c r="K1493">
        <f>IF(OR($E1493="",$E1493="نامعتبر"),"",IF(Sync!$V1490="","",IFERROR(INDEX(SubCodes,MATCH(Sync!$V1490,SubTitles,0)),Sync!$V1490)))</f>
        <v/>
      </c>
      <c r="L1493">
        <f>IF(OR($E1493="",$E1493="نامعتبر"),"",IF(Sync!$W1490="",0,Sync!$W1490))</f>
        <v/>
      </c>
      <c r="M1493">
        <f>IF(OR($E1493="",$E1493="نامعتبر"),"",IF(Sync!$X1490="",0,Sync!$X1490))</f>
        <v/>
      </c>
      <c r="N1493">
        <f>IF(OR($E1493="",$E1493="نامعتبر"),"",IF(AND($J1493="هزینه",$K1493&lt;&gt;""),1,0))</f>
        <v/>
      </c>
      <c r="O1493">
        <f>IF($N1493=0,"",LEFT($E1493,4)&amp;MID($E1493,6,2)&amp;RIGHT($E1493,2)&amp;$F1493&amp;"|"&amp;"1"&amp;RIGHT("00000"&amp;1485,5))</f>
        <v/>
      </c>
      <c r="P1493">
        <f>IF($O1493="","",COUNTIFS(ExpSub,$K1493,ExpKey,"&lt;"&amp;$O1493)+1)</f>
        <v/>
      </c>
      <c r="Q1493">
        <f>IF($P1493="","",$K1493&amp;"|"&amp;RIGHT("000000"&amp;$P1493,6))</f>
        <v/>
      </c>
    </row>
    <row r="1494">
      <c r="A1494">
        <f>IF(Sync!$P1491="","",Sync!$P1491)</f>
        <v/>
      </c>
      <c r="B1494">
        <f>IF($A1494="","",IF(ISNUMBER($A1494),IF(AND($A1494&gt;=10000101,$A1494&lt;=99991231),INT($A1494/10000),""),IFERROR(VALUE(TRIM(LEFT($A1494,FIND("/",$A1494)-1))),"")))</f>
        <v/>
      </c>
      <c r="C1494">
        <f>IF(OR($A1494="",$B1494=""),"",IF(ISNUMBER($A1494),INT(MOD($A1494,10000)/100),IFERROR(VALUE(TRIM(LEFT(MID($A1494,FIND("/",$A1494)+1,20),FIND("/",MID($A1494,FIND("/",$A1494)+1,20))-1))),"")))</f>
        <v/>
      </c>
      <c r="D1494">
        <f>IF(OR($A1494="",$B1494=""),"",IF(ISNUMBER($A1494),MOD($A1494,100),IFERROR(VALUE(TRIM(MID(MID($A1494,FIND("/",$A1494)+1,20),FIND("/",MID($A1494,FIND("/",$A1494)+1,20))+1,20))),"")))</f>
        <v/>
      </c>
      <c r="E1494">
        <f>IF($A1494="","",IF(OR($B1494="",$C1494="",$D1494="",$B1494&lt;1300,$B1494&gt;1500,$C1494&lt;1,$C1494&gt;12,$D1494&lt;1,$D1494&gt;31),"نامعتبر",RIGHT("0000"&amp;$B1494,4)&amp;"/"&amp;RIGHT("00"&amp;$C1494,2)&amp;"/"&amp;RIGHT("00"&amp;$D1494,2)))</f>
        <v/>
      </c>
      <c r="F1494">
        <f>IF(OR($E1494="",$E1494="نامعتبر"),"",IF(Sync!$Q1491="","0000",IF(AND(ISNUMBER(Sync!$Q1491),Sync!$Q1491&gt;=0,Sync!$Q1491&lt;1),RIGHT("00"&amp;HOUR(Sync!$Q1491),2)&amp;RIGHT("00"&amp;MINUTE(Sync!$Q1491),2),IFERROR(RIGHT("00"&amp;VALUE(LEFT(Sync!$Q1491,FIND(":",Sync!$Q1491)-1)),2)&amp;RIGHT("00"&amp;VALUE(MID(Sync!$Q1491,FIND(":",Sync!$Q1491)+1,2)),2),"0000"))))</f>
        <v/>
      </c>
      <c r="G1494">
        <f>IF(OR($E1494="",$E1494="نامعتبر"),"",IF(Sync!$S1491="","",Sync!$S1491))</f>
        <v/>
      </c>
      <c r="H1494">
        <f>IF(OR($E1494="",$E1494="نامعتبر"),"",IF(Sync!$R1491="","",Sync!$R1491))</f>
        <v/>
      </c>
      <c r="I1494">
        <f>IF(OR($E1494="",$E1494="نامعتبر"),"",IF(Sync!$T1491="","",Sync!$T1491))</f>
        <v/>
      </c>
      <c r="J1494">
        <f>IF(OR($E1494="",$E1494="نامعتبر"),"",IF(Sync!$U1491="","",Sync!$U1491))</f>
        <v/>
      </c>
      <c r="K1494">
        <f>IF(OR($E1494="",$E1494="نامعتبر"),"",IF(Sync!$V1491="","",IFERROR(INDEX(SubCodes,MATCH(Sync!$V1491,SubTitles,0)),Sync!$V1491)))</f>
        <v/>
      </c>
      <c r="L1494">
        <f>IF(OR($E1494="",$E1494="نامعتبر"),"",IF(Sync!$W1491="",0,Sync!$W1491))</f>
        <v/>
      </c>
      <c r="M1494">
        <f>IF(OR($E1494="",$E1494="نامعتبر"),"",IF(Sync!$X1491="",0,Sync!$X1491))</f>
        <v/>
      </c>
      <c r="N1494">
        <f>IF(OR($E1494="",$E1494="نامعتبر"),"",IF(AND($J1494="هزینه",$K1494&lt;&gt;""),1,0))</f>
        <v/>
      </c>
      <c r="O1494">
        <f>IF($N1494=0,"",LEFT($E1494,4)&amp;MID($E1494,6,2)&amp;RIGHT($E1494,2)&amp;$F1494&amp;"|"&amp;"1"&amp;RIGHT("00000"&amp;1486,5))</f>
        <v/>
      </c>
      <c r="P1494">
        <f>IF($O1494="","",COUNTIFS(ExpSub,$K1494,ExpKey,"&lt;"&amp;$O1494)+1)</f>
        <v/>
      </c>
      <c r="Q1494">
        <f>IF($P1494="","",$K1494&amp;"|"&amp;RIGHT("000000"&amp;$P1494,6))</f>
        <v/>
      </c>
    </row>
    <row r="1495">
      <c r="A1495">
        <f>IF(Sync!$P1492="","",Sync!$P1492)</f>
        <v/>
      </c>
      <c r="B1495">
        <f>IF($A1495="","",IF(ISNUMBER($A1495),IF(AND($A1495&gt;=10000101,$A1495&lt;=99991231),INT($A1495/10000),""),IFERROR(VALUE(TRIM(LEFT($A1495,FIND("/",$A1495)-1))),"")))</f>
        <v/>
      </c>
      <c r="C1495">
        <f>IF(OR($A1495="",$B1495=""),"",IF(ISNUMBER($A1495),INT(MOD($A1495,10000)/100),IFERROR(VALUE(TRIM(LEFT(MID($A1495,FIND("/",$A1495)+1,20),FIND("/",MID($A1495,FIND("/",$A1495)+1,20))-1))),"")))</f>
        <v/>
      </c>
      <c r="D1495">
        <f>IF(OR($A1495="",$B1495=""),"",IF(ISNUMBER($A1495),MOD($A1495,100),IFERROR(VALUE(TRIM(MID(MID($A1495,FIND("/",$A1495)+1,20),FIND("/",MID($A1495,FIND("/",$A1495)+1,20))+1,20))),"")))</f>
        <v/>
      </c>
      <c r="E1495">
        <f>IF($A1495="","",IF(OR($B1495="",$C1495="",$D1495="",$B1495&lt;1300,$B1495&gt;1500,$C1495&lt;1,$C1495&gt;12,$D1495&lt;1,$D1495&gt;31),"نامعتبر",RIGHT("0000"&amp;$B1495,4)&amp;"/"&amp;RIGHT("00"&amp;$C1495,2)&amp;"/"&amp;RIGHT("00"&amp;$D1495,2)))</f>
        <v/>
      </c>
      <c r="F1495">
        <f>IF(OR($E1495="",$E1495="نامعتبر"),"",IF(Sync!$Q1492="","0000",IF(AND(ISNUMBER(Sync!$Q1492),Sync!$Q1492&gt;=0,Sync!$Q1492&lt;1),RIGHT("00"&amp;HOUR(Sync!$Q1492),2)&amp;RIGHT("00"&amp;MINUTE(Sync!$Q1492),2),IFERROR(RIGHT("00"&amp;VALUE(LEFT(Sync!$Q1492,FIND(":",Sync!$Q1492)-1)),2)&amp;RIGHT("00"&amp;VALUE(MID(Sync!$Q1492,FIND(":",Sync!$Q1492)+1,2)),2),"0000"))))</f>
        <v/>
      </c>
      <c r="G1495">
        <f>IF(OR($E1495="",$E1495="نامعتبر"),"",IF(Sync!$S1492="","",Sync!$S1492))</f>
        <v/>
      </c>
      <c r="H1495">
        <f>IF(OR($E1495="",$E1495="نامعتبر"),"",IF(Sync!$R1492="","",Sync!$R1492))</f>
        <v/>
      </c>
      <c r="I1495">
        <f>IF(OR($E1495="",$E1495="نامعتبر"),"",IF(Sync!$T1492="","",Sync!$T1492))</f>
        <v/>
      </c>
      <c r="J1495">
        <f>IF(OR($E1495="",$E1495="نامعتبر"),"",IF(Sync!$U1492="","",Sync!$U1492))</f>
        <v/>
      </c>
      <c r="K1495">
        <f>IF(OR($E1495="",$E1495="نامعتبر"),"",IF(Sync!$V1492="","",IFERROR(INDEX(SubCodes,MATCH(Sync!$V1492,SubTitles,0)),Sync!$V1492)))</f>
        <v/>
      </c>
      <c r="L1495">
        <f>IF(OR($E1495="",$E1495="نامعتبر"),"",IF(Sync!$W1492="",0,Sync!$W1492))</f>
        <v/>
      </c>
      <c r="M1495">
        <f>IF(OR($E1495="",$E1495="نامعتبر"),"",IF(Sync!$X1492="",0,Sync!$X1492))</f>
        <v/>
      </c>
      <c r="N1495">
        <f>IF(OR($E1495="",$E1495="نامعتبر"),"",IF(AND($J1495="هزینه",$K1495&lt;&gt;""),1,0))</f>
        <v/>
      </c>
      <c r="O1495">
        <f>IF($N1495=0,"",LEFT($E1495,4)&amp;MID($E1495,6,2)&amp;RIGHT($E1495,2)&amp;$F1495&amp;"|"&amp;"1"&amp;RIGHT("00000"&amp;1487,5))</f>
        <v/>
      </c>
      <c r="P1495">
        <f>IF($O1495="","",COUNTIFS(ExpSub,$K1495,ExpKey,"&lt;"&amp;$O1495)+1)</f>
        <v/>
      </c>
      <c r="Q1495">
        <f>IF($P1495="","",$K1495&amp;"|"&amp;RIGHT("000000"&amp;$P1495,6))</f>
        <v/>
      </c>
    </row>
    <row r="1496">
      <c r="A1496">
        <f>IF(Sync!$P1493="","",Sync!$P1493)</f>
        <v/>
      </c>
      <c r="B1496">
        <f>IF($A1496="","",IF(ISNUMBER($A1496),IF(AND($A1496&gt;=10000101,$A1496&lt;=99991231),INT($A1496/10000),""),IFERROR(VALUE(TRIM(LEFT($A1496,FIND("/",$A1496)-1))),"")))</f>
        <v/>
      </c>
      <c r="C1496">
        <f>IF(OR($A1496="",$B1496=""),"",IF(ISNUMBER($A1496),INT(MOD($A1496,10000)/100),IFERROR(VALUE(TRIM(LEFT(MID($A1496,FIND("/",$A1496)+1,20),FIND("/",MID($A1496,FIND("/",$A1496)+1,20))-1))),"")))</f>
        <v/>
      </c>
      <c r="D1496">
        <f>IF(OR($A1496="",$B1496=""),"",IF(ISNUMBER($A1496),MOD($A1496,100),IFERROR(VALUE(TRIM(MID(MID($A1496,FIND("/",$A1496)+1,20),FIND("/",MID($A1496,FIND("/",$A1496)+1,20))+1,20))),"")))</f>
        <v/>
      </c>
      <c r="E1496">
        <f>IF($A1496="","",IF(OR($B1496="",$C1496="",$D1496="",$B1496&lt;1300,$B1496&gt;1500,$C1496&lt;1,$C1496&gt;12,$D1496&lt;1,$D1496&gt;31),"نامعتبر",RIGHT("0000"&amp;$B1496,4)&amp;"/"&amp;RIGHT("00"&amp;$C1496,2)&amp;"/"&amp;RIGHT("00"&amp;$D1496,2)))</f>
        <v/>
      </c>
      <c r="F1496">
        <f>IF(OR($E1496="",$E1496="نامعتبر"),"",IF(Sync!$Q1493="","0000",IF(AND(ISNUMBER(Sync!$Q1493),Sync!$Q1493&gt;=0,Sync!$Q1493&lt;1),RIGHT("00"&amp;HOUR(Sync!$Q1493),2)&amp;RIGHT("00"&amp;MINUTE(Sync!$Q1493),2),IFERROR(RIGHT("00"&amp;VALUE(LEFT(Sync!$Q1493,FIND(":",Sync!$Q1493)-1)),2)&amp;RIGHT("00"&amp;VALUE(MID(Sync!$Q1493,FIND(":",Sync!$Q1493)+1,2)),2),"0000"))))</f>
        <v/>
      </c>
      <c r="G1496">
        <f>IF(OR($E1496="",$E1496="نامعتبر"),"",IF(Sync!$S1493="","",Sync!$S1493))</f>
        <v/>
      </c>
      <c r="H1496">
        <f>IF(OR($E1496="",$E1496="نامعتبر"),"",IF(Sync!$R1493="","",Sync!$R1493))</f>
        <v/>
      </c>
      <c r="I1496">
        <f>IF(OR($E1496="",$E1496="نامعتبر"),"",IF(Sync!$T1493="","",Sync!$T1493))</f>
        <v/>
      </c>
      <c r="J1496">
        <f>IF(OR($E1496="",$E1496="نامعتبر"),"",IF(Sync!$U1493="","",Sync!$U1493))</f>
        <v/>
      </c>
      <c r="K1496">
        <f>IF(OR($E1496="",$E1496="نامعتبر"),"",IF(Sync!$V1493="","",IFERROR(INDEX(SubCodes,MATCH(Sync!$V1493,SubTitles,0)),Sync!$V1493)))</f>
        <v/>
      </c>
      <c r="L1496">
        <f>IF(OR($E1496="",$E1496="نامعتبر"),"",IF(Sync!$W1493="",0,Sync!$W1493))</f>
        <v/>
      </c>
      <c r="M1496">
        <f>IF(OR($E1496="",$E1496="نامعتبر"),"",IF(Sync!$X1493="",0,Sync!$X1493))</f>
        <v/>
      </c>
      <c r="N1496">
        <f>IF(OR($E1496="",$E1496="نامعتبر"),"",IF(AND($J1496="هزینه",$K1496&lt;&gt;""),1,0))</f>
        <v/>
      </c>
      <c r="O1496">
        <f>IF($N1496=0,"",LEFT($E1496,4)&amp;MID($E1496,6,2)&amp;RIGHT($E1496,2)&amp;$F1496&amp;"|"&amp;"1"&amp;RIGHT("00000"&amp;1488,5))</f>
        <v/>
      </c>
      <c r="P1496">
        <f>IF($O1496="","",COUNTIFS(ExpSub,$K1496,ExpKey,"&lt;"&amp;$O1496)+1)</f>
        <v/>
      </c>
      <c r="Q1496">
        <f>IF($P1496="","",$K1496&amp;"|"&amp;RIGHT("000000"&amp;$P1496,6))</f>
        <v/>
      </c>
    </row>
    <row r="1497">
      <c r="A1497">
        <f>IF(Sync!$P1494="","",Sync!$P1494)</f>
        <v/>
      </c>
      <c r="B1497">
        <f>IF($A1497="","",IF(ISNUMBER($A1497),IF(AND($A1497&gt;=10000101,$A1497&lt;=99991231),INT($A1497/10000),""),IFERROR(VALUE(TRIM(LEFT($A1497,FIND("/",$A1497)-1))),"")))</f>
        <v/>
      </c>
      <c r="C1497">
        <f>IF(OR($A1497="",$B1497=""),"",IF(ISNUMBER($A1497),INT(MOD($A1497,10000)/100),IFERROR(VALUE(TRIM(LEFT(MID($A1497,FIND("/",$A1497)+1,20),FIND("/",MID($A1497,FIND("/",$A1497)+1,20))-1))),"")))</f>
        <v/>
      </c>
      <c r="D1497">
        <f>IF(OR($A1497="",$B1497=""),"",IF(ISNUMBER($A1497),MOD($A1497,100),IFERROR(VALUE(TRIM(MID(MID($A1497,FIND("/",$A1497)+1,20),FIND("/",MID($A1497,FIND("/",$A1497)+1,20))+1,20))),"")))</f>
        <v/>
      </c>
      <c r="E1497">
        <f>IF($A1497="","",IF(OR($B1497="",$C1497="",$D1497="",$B1497&lt;1300,$B1497&gt;1500,$C1497&lt;1,$C1497&gt;12,$D1497&lt;1,$D1497&gt;31),"نامعتبر",RIGHT("0000"&amp;$B1497,4)&amp;"/"&amp;RIGHT("00"&amp;$C1497,2)&amp;"/"&amp;RIGHT("00"&amp;$D1497,2)))</f>
        <v/>
      </c>
      <c r="F1497">
        <f>IF(OR($E1497="",$E1497="نامعتبر"),"",IF(Sync!$Q1494="","0000",IF(AND(ISNUMBER(Sync!$Q1494),Sync!$Q1494&gt;=0,Sync!$Q1494&lt;1),RIGHT("00"&amp;HOUR(Sync!$Q1494),2)&amp;RIGHT("00"&amp;MINUTE(Sync!$Q1494),2),IFERROR(RIGHT("00"&amp;VALUE(LEFT(Sync!$Q1494,FIND(":",Sync!$Q1494)-1)),2)&amp;RIGHT("00"&amp;VALUE(MID(Sync!$Q1494,FIND(":",Sync!$Q1494)+1,2)),2),"0000"))))</f>
        <v/>
      </c>
      <c r="G1497">
        <f>IF(OR($E1497="",$E1497="نامعتبر"),"",IF(Sync!$S1494="","",Sync!$S1494))</f>
        <v/>
      </c>
      <c r="H1497">
        <f>IF(OR($E1497="",$E1497="نامعتبر"),"",IF(Sync!$R1494="","",Sync!$R1494))</f>
        <v/>
      </c>
      <c r="I1497">
        <f>IF(OR($E1497="",$E1497="نامعتبر"),"",IF(Sync!$T1494="","",Sync!$T1494))</f>
        <v/>
      </c>
      <c r="J1497">
        <f>IF(OR($E1497="",$E1497="نامعتبر"),"",IF(Sync!$U1494="","",Sync!$U1494))</f>
        <v/>
      </c>
      <c r="K1497">
        <f>IF(OR($E1497="",$E1497="نامعتبر"),"",IF(Sync!$V1494="","",IFERROR(INDEX(SubCodes,MATCH(Sync!$V1494,SubTitles,0)),Sync!$V1494)))</f>
        <v/>
      </c>
      <c r="L1497">
        <f>IF(OR($E1497="",$E1497="نامعتبر"),"",IF(Sync!$W1494="",0,Sync!$W1494))</f>
        <v/>
      </c>
      <c r="M1497">
        <f>IF(OR($E1497="",$E1497="نامعتبر"),"",IF(Sync!$X1494="",0,Sync!$X1494))</f>
        <v/>
      </c>
      <c r="N1497">
        <f>IF(OR($E1497="",$E1497="نامعتبر"),"",IF(AND($J1497="هزینه",$K1497&lt;&gt;""),1,0))</f>
        <v/>
      </c>
      <c r="O1497">
        <f>IF($N1497=0,"",LEFT($E1497,4)&amp;MID($E1497,6,2)&amp;RIGHT($E1497,2)&amp;$F1497&amp;"|"&amp;"1"&amp;RIGHT("00000"&amp;1489,5))</f>
        <v/>
      </c>
      <c r="P1497">
        <f>IF($O1497="","",COUNTIFS(ExpSub,$K1497,ExpKey,"&lt;"&amp;$O1497)+1)</f>
        <v/>
      </c>
      <c r="Q1497">
        <f>IF($P1497="","",$K1497&amp;"|"&amp;RIGHT("000000"&amp;$P1497,6))</f>
        <v/>
      </c>
    </row>
    <row r="1498">
      <c r="A1498">
        <f>IF(Sync!$P1495="","",Sync!$P1495)</f>
        <v/>
      </c>
      <c r="B1498">
        <f>IF($A1498="","",IF(ISNUMBER($A1498),IF(AND($A1498&gt;=10000101,$A1498&lt;=99991231),INT($A1498/10000),""),IFERROR(VALUE(TRIM(LEFT($A1498,FIND("/",$A1498)-1))),"")))</f>
        <v/>
      </c>
      <c r="C1498">
        <f>IF(OR($A1498="",$B1498=""),"",IF(ISNUMBER($A1498),INT(MOD($A1498,10000)/100),IFERROR(VALUE(TRIM(LEFT(MID($A1498,FIND("/",$A1498)+1,20),FIND("/",MID($A1498,FIND("/",$A1498)+1,20))-1))),"")))</f>
        <v/>
      </c>
      <c r="D1498">
        <f>IF(OR($A1498="",$B1498=""),"",IF(ISNUMBER($A1498),MOD($A1498,100),IFERROR(VALUE(TRIM(MID(MID($A1498,FIND("/",$A1498)+1,20),FIND("/",MID($A1498,FIND("/",$A1498)+1,20))+1,20))),"")))</f>
        <v/>
      </c>
      <c r="E1498">
        <f>IF($A1498="","",IF(OR($B1498="",$C1498="",$D1498="",$B1498&lt;1300,$B1498&gt;1500,$C1498&lt;1,$C1498&gt;12,$D1498&lt;1,$D1498&gt;31),"نامعتبر",RIGHT("0000"&amp;$B1498,4)&amp;"/"&amp;RIGHT("00"&amp;$C1498,2)&amp;"/"&amp;RIGHT("00"&amp;$D1498,2)))</f>
        <v/>
      </c>
      <c r="F1498">
        <f>IF(OR($E1498="",$E1498="نامعتبر"),"",IF(Sync!$Q1495="","0000",IF(AND(ISNUMBER(Sync!$Q1495),Sync!$Q1495&gt;=0,Sync!$Q1495&lt;1),RIGHT("00"&amp;HOUR(Sync!$Q1495),2)&amp;RIGHT("00"&amp;MINUTE(Sync!$Q1495),2),IFERROR(RIGHT("00"&amp;VALUE(LEFT(Sync!$Q1495,FIND(":",Sync!$Q1495)-1)),2)&amp;RIGHT("00"&amp;VALUE(MID(Sync!$Q1495,FIND(":",Sync!$Q1495)+1,2)),2),"0000"))))</f>
        <v/>
      </c>
      <c r="G1498">
        <f>IF(OR($E1498="",$E1498="نامعتبر"),"",IF(Sync!$S1495="","",Sync!$S1495))</f>
        <v/>
      </c>
      <c r="H1498">
        <f>IF(OR($E1498="",$E1498="نامعتبر"),"",IF(Sync!$R1495="","",Sync!$R1495))</f>
        <v/>
      </c>
      <c r="I1498">
        <f>IF(OR($E1498="",$E1498="نامعتبر"),"",IF(Sync!$T1495="","",Sync!$T1495))</f>
        <v/>
      </c>
      <c r="J1498">
        <f>IF(OR($E1498="",$E1498="نامعتبر"),"",IF(Sync!$U1495="","",Sync!$U1495))</f>
        <v/>
      </c>
      <c r="K1498">
        <f>IF(OR($E1498="",$E1498="نامعتبر"),"",IF(Sync!$V1495="","",IFERROR(INDEX(SubCodes,MATCH(Sync!$V1495,SubTitles,0)),Sync!$V1495)))</f>
        <v/>
      </c>
      <c r="L1498">
        <f>IF(OR($E1498="",$E1498="نامعتبر"),"",IF(Sync!$W1495="",0,Sync!$W1495))</f>
        <v/>
      </c>
      <c r="M1498">
        <f>IF(OR($E1498="",$E1498="نامعتبر"),"",IF(Sync!$X1495="",0,Sync!$X1495))</f>
        <v/>
      </c>
      <c r="N1498">
        <f>IF(OR($E1498="",$E1498="نامعتبر"),"",IF(AND($J1498="هزینه",$K1498&lt;&gt;""),1,0))</f>
        <v/>
      </c>
      <c r="O1498">
        <f>IF($N1498=0,"",LEFT($E1498,4)&amp;MID($E1498,6,2)&amp;RIGHT($E1498,2)&amp;$F1498&amp;"|"&amp;"1"&amp;RIGHT("00000"&amp;1490,5))</f>
        <v/>
      </c>
      <c r="P1498">
        <f>IF($O1498="","",COUNTIFS(ExpSub,$K1498,ExpKey,"&lt;"&amp;$O1498)+1)</f>
        <v/>
      </c>
      <c r="Q1498">
        <f>IF($P1498="","",$K1498&amp;"|"&amp;RIGHT("000000"&amp;$P1498,6))</f>
        <v/>
      </c>
    </row>
    <row r="1499">
      <c r="A1499">
        <f>IF(Sync!$P1496="","",Sync!$P1496)</f>
        <v/>
      </c>
      <c r="B1499">
        <f>IF($A1499="","",IF(ISNUMBER($A1499),IF(AND($A1499&gt;=10000101,$A1499&lt;=99991231),INT($A1499/10000),""),IFERROR(VALUE(TRIM(LEFT($A1499,FIND("/",$A1499)-1))),"")))</f>
        <v/>
      </c>
      <c r="C1499">
        <f>IF(OR($A1499="",$B1499=""),"",IF(ISNUMBER($A1499),INT(MOD($A1499,10000)/100),IFERROR(VALUE(TRIM(LEFT(MID($A1499,FIND("/",$A1499)+1,20),FIND("/",MID($A1499,FIND("/",$A1499)+1,20))-1))),"")))</f>
        <v/>
      </c>
      <c r="D1499">
        <f>IF(OR($A1499="",$B1499=""),"",IF(ISNUMBER($A1499),MOD($A1499,100),IFERROR(VALUE(TRIM(MID(MID($A1499,FIND("/",$A1499)+1,20),FIND("/",MID($A1499,FIND("/",$A1499)+1,20))+1,20))),"")))</f>
        <v/>
      </c>
      <c r="E1499">
        <f>IF($A1499="","",IF(OR($B1499="",$C1499="",$D1499="",$B1499&lt;1300,$B1499&gt;1500,$C1499&lt;1,$C1499&gt;12,$D1499&lt;1,$D1499&gt;31),"نامعتبر",RIGHT("0000"&amp;$B1499,4)&amp;"/"&amp;RIGHT("00"&amp;$C1499,2)&amp;"/"&amp;RIGHT("00"&amp;$D1499,2)))</f>
        <v/>
      </c>
      <c r="F1499">
        <f>IF(OR($E1499="",$E1499="نامعتبر"),"",IF(Sync!$Q1496="","0000",IF(AND(ISNUMBER(Sync!$Q1496),Sync!$Q1496&gt;=0,Sync!$Q1496&lt;1),RIGHT("00"&amp;HOUR(Sync!$Q1496),2)&amp;RIGHT("00"&amp;MINUTE(Sync!$Q1496),2),IFERROR(RIGHT("00"&amp;VALUE(LEFT(Sync!$Q1496,FIND(":",Sync!$Q1496)-1)),2)&amp;RIGHT("00"&amp;VALUE(MID(Sync!$Q1496,FIND(":",Sync!$Q1496)+1,2)),2),"0000"))))</f>
        <v/>
      </c>
      <c r="G1499">
        <f>IF(OR($E1499="",$E1499="نامعتبر"),"",IF(Sync!$S1496="","",Sync!$S1496))</f>
        <v/>
      </c>
      <c r="H1499">
        <f>IF(OR($E1499="",$E1499="نامعتبر"),"",IF(Sync!$R1496="","",Sync!$R1496))</f>
        <v/>
      </c>
      <c r="I1499">
        <f>IF(OR($E1499="",$E1499="نامعتبر"),"",IF(Sync!$T1496="","",Sync!$T1496))</f>
        <v/>
      </c>
      <c r="J1499">
        <f>IF(OR($E1499="",$E1499="نامعتبر"),"",IF(Sync!$U1496="","",Sync!$U1496))</f>
        <v/>
      </c>
      <c r="K1499">
        <f>IF(OR($E1499="",$E1499="نامعتبر"),"",IF(Sync!$V1496="","",IFERROR(INDEX(SubCodes,MATCH(Sync!$V1496,SubTitles,0)),Sync!$V1496)))</f>
        <v/>
      </c>
      <c r="L1499">
        <f>IF(OR($E1499="",$E1499="نامعتبر"),"",IF(Sync!$W1496="",0,Sync!$W1496))</f>
        <v/>
      </c>
      <c r="M1499">
        <f>IF(OR($E1499="",$E1499="نامعتبر"),"",IF(Sync!$X1496="",0,Sync!$X1496))</f>
        <v/>
      </c>
      <c r="N1499">
        <f>IF(OR($E1499="",$E1499="نامعتبر"),"",IF(AND($J1499="هزینه",$K1499&lt;&gt;""),1,0))</f>
        <v/>
      </c>
      <c r="O1499">
        <f>IF($N1499=0,"",LEFT($E1499,4)&amp;MID($E1499,6,2)&amp;RIGHT($E1499,2)&amp;$F1499&amp;"|"&amp;"1"&amp;RIGHT("00000"&amp;1491,5))</f>
        <v/>
      </c>
      <c r="P1499">
        <f>IF($O1499="","",COUNTIFS(ExpSub,$K1499,ExpKey,"&lt;"&amp;$O1499)+1)</f>
        <v/>
      </c>
      <c r="Q1499">
        <f>IF($P1499="","",$K1499&amp;"|"&amp;RIGHT("000000"&amp;$P1499,6))</f>
        <v/>
      </c>
    </row>
    <row r="1500">
      <c r="A1500">
        <f>IF(Sync!$P1497="","",Sync!$P1497)</f>
        <v/>
      </c>
      <c r="B1500">
        <f>IF($A1500="","",IF(ISNUMBER($A1500),IF(AND($A1500&gt;=10000101,$A1500&lt;=99991231),INT($A1500/10000),""),IFERROR(VALUE(TRIM(LEFT($A1500,FIND("/",$A1500)-1))),"")))</f>
        <v/>
      </c>
      <c r="C1500">
        <f>IF(OR($A1500="",$B1500=""),"",IF(ISNUMBER($A1500),INT(MOD($A1500,10000)/100),IFERROR(VALUE(TRIM(LEFT(MID($A1500,FIND("/",$A1500)+1,20),FIND("/",MID($A1500,FIND("/",$A1500)+1,20))-1))),"")))</f>
        <v/>
      </c>
      <c r="D1500">
        <f>IF(OR($A1500="",$B1500=""),"",IF(ISNUMBER($A1500),MOD($A1500,100),IFERROR(VALUE(TRIM(MID(MID($A1500,FIND("/",$A1500)+1,20),FIND("/",MID($A1500,FIND("/",$A1500)+1,20))+1,20))),"")))</f>
        <v/>
      </c>
      <c r="E1500">
        <f>IF($A1500="","",IF(OR($B1500="",$C1500="",$D1500="",$B1500&lt;1300,$B1500&gt;1500,$C1500&lt;1,$C1500&gt;12,$D1500&lt;1,$D1500&gt;31),"نامعتبر",RIGHT("0000"&amp;$B1500,4)&amp;"/"&amp;RIGHT("00"&amp;$C1500,2)&amp;"/"&amp;RIGHT("00"&amp;$D1500,2)))</f>
        <v/>
      </c>
      <c r="F1500">
        <f>IF(OR($E1500="",$E1500="نامعتبر"),"",IF(Sync!$Q1497="","0000",IF(AND(ISNUMBER(Sync!$Q1497),Sync!$Q1497&gt;=0,Sync!$Q1497&lt;1),RIGHT("00"&amp;HOUR(Sync!$Q1497),2)&amp;RIGHT("00"&amp;MINUTE(Sync!$Q1497),2),IFERROR(RIGHT("00"&amp;VALUE(LEFT(Sync!$Q1497,FIND(":",Sync!$Q1497)-1)),2)&amp;RIGHT("00"&amp;VALUE(MID(Sync!$Q1497,FIND(":",Sync!$Q1497)+1,2)),2),"0000"))))</f>
        <v/>
      </c>
      <c r="G1500">
        <f>IF(OR($E1500="",$E1500="نامعتبر"),"",IF(Sync!$S1497="","",Sync!$S1497))</f>
        <v/>
      </c>
      <c r="H1500">
        <f>IF(OR($E1500="",$E1500="نامعتبر"),"",IF(Sync!$R1497="","",Sync!$R1497))</f>
        <v/>
      </c>
      <c r="I1500">
        <f>IF(OR($E1500="",$E1500="نامعتبر"),"",IF(Sync!$T1497="","",Sync!$T1497))</f>
        <v/>
      </c>
      <c r="J1500">
        <f>IF(OR($E1500="",$E1500="نامعتبر"),"",IF(Sync!$U1497="","",Sync!$U1497))</f>
        <v/>
      </c>
      <c r="K1500">
        <f>IF(OR($E1500="",$E1500="نامعتبر"),"",IF(Sync!$V1497="","",IFERROR(INDEX(SubCodes,MATCH(Sync!$V1497,SubTitles,0)),Sync!$V1497)))</f>
        <v/>
      </c>
      <c r="L1500">
        <f>IF(OR($E1500="",$E1500="نامعتبر"),"",IF(Sync!$W1497="",0,Sync!$W1497))</f>
        <v/>
      </c>
      <c r="M1500">
        <f>IF(OR($E1500="",$E1500="نامعتبر"),"",IF(Sync!$X1497="",0,Sync!$X1497))</f>
        <v/>
      </c>
      <c r="N1500">
        <f>IF(OR($E1500="",$E1500="نامعتبر"),"",IF(AND($J1500="هزینه",$K1500&lt;&gt;""),1,0))</f>
        <v/>
      </c>
      <c r="O1500">
        <f>IF($N1500=0,"",LEFT($E1500,4)&amp;MID($E1500,6,2)&amp;RIGHT($E1500,2)&amp;$F1500&amp;"|"&amp;"1"&amp;RIGHT("00000"&amp;1492,5))</f>
        <v/>
      </c>
      <c r="P1500">
        <f>IF($O1500="","",COUNTIFS(ExpSub,$K1500,ExpKey,"&lt;"&amp;$O1500)+1)</f>
        <v/>
      </c>
      <c r="Q1500">
        <f>IF($P1500="","",$K1500&amp;"|"&amp;RIGHT("000000"&amp;$P1500,6))</f>
        <v/>
      </c>
    </row>
    <row r="1501">
      <c r="A1501">
        <f>IF(Sync!$P1498="","",Sync!$P1498)</f>
        <v/>
      </c>
      <c r="B1501">
        <f>IF($A1501="","",IF(ISNUMBER($A1501),IF(AND($A1501&gt;=10000101,$A1501&lt;=99991231),INT($A1501/10000),""),IFERROR(VALUE(TRIM(LEFT($A1501,FIND("/",$A1501)-1))),"")))</f>
        <v/>
      </c>
      <c r="C1501">
        <f>IF(OR($A1501="",$B1501=""),"",IF(ISNUMBER($A1501),INT(MOD($A1501,10000)/100),IFERROR(VALUE(TRIM(LEFT(MID($A1501,FIND("/",$A1501)+1,20),FIND("/",MID($A1501,FIND("/",$A1501)+1,20))-1))),"")))</f>
        <v/>
      </c>
      <c r="D1501">
        <f>IF(OR($A1501="",$B1501=""),"",IF(ISNUMBER($A1501),MOD($A1501,100),IFERROR(VALUE(TRIM(MID(MID($A1501,FIND("/",$A1501)+1,20),FIND("/",MID($A1501,FIND("/",$A1501)+1,20))+1,20))),"")))</f>
        <v/>
      </c>
      <c r="E1501">
        <f>IF($A1501="","",IF(OR($B1501="",$C1501="",$D1501="",$B1501&lt;1300,$B1501&gt;1500,$C1501&lt;1,$C1501&gt;12,$D1501&lt;1,$D1501&gt;31),"نامعتبر",RIGHT("0000"&amp;$B1501,4)&amp;"/"&amp;RIGHT("00"&amp;$C1501,2)&amp;"/"&amp;RIGHT("00"&amp;$D1501,2)))</f>
        <v/>
      </c>
      <c r="F1501">
        <f>IF(OR($E1501="",$E1501="نامعتبر"),"",IF(Sync!$Q1498="","0000",IF(AND(ISNUMBER(Sync!$Q1498),Sync!$Q1498&gt;=0,Sync!$Q1498&lt;1),RIGHT("00"&amp;HOUR(Sync!$Q1498),2)&amp;RIGHT("00"&amp;MINUTE(Sync!$Q1498),2),IFERROR(RIGHT("00"&amp;VALUE(LEFT(Sync!$Q1498,FIND(":",Sync!$Q1498)-1)),2)&amp;RIGHT("00"&amp;VALUE(MID(Sync!$Q1498,FIND(":",Sync!$Q1498)+1,2)),2),"0000"))))</f>
        <v/>
      </c>
      <c r="G1501">
        <f>IF(OR($E1501="",$E1501="نامعتبر"),"",IF(Sync!$S1498="","",Sync!$S1498))</f>
        <v/>
      </c>
      <c r="H1501">
        <f>IF(OR($E1501="",$E1501="نامعتبر"),"",IF(Sync!$R1498="","",Sync!$R1498))</f>
        <v/>
      </c>
      <c r="I1501">
        <f>IF(OR($E1501="",$E1501="نامعتبر"),"",IF(Sync!$T1498="","",Sync!$T1498))</f>
        <v/>
      </c>
      <c r="J1501">
        <f>IF(OR($E1501="",$E1501="نامعتبر"),"",IF(Sync!$U1498="","",Sync!$U1498))</f>
        <v/>
      </c>
      <c r="K1501">
        <f>IF(OR($E1501="",$E1501="نامعتبر"),"",IF(Sync!$V1498="","",IFERROR(INDEX(SubCodes,MATCH(Sync!$V1498,SubTitles,0)),Sync!$V1498)))</f>
        <v/>
      </c>
      <c r="L1501">
        <f>IF(OR($E1501="",$E1501="نامعتبر"),"",IF(Sync!$W1498="",0,Sync!$W1498))</f>
        <v/>
      </c>
      <c r="M1501">
        <f>IF(OR($E1501="",$E1501="نامعتبر"),"",IF(Sync!$X1498="",0,Sync!$X1498))</f>
        <v/>
      </c>
      <c r="N1501">
        <f>IF(OR($E1501="",$E1501="نامعتبر"),"",IF(AND($J1501="هزینه",$K1501&lt;&gt;""),1,0))</f>
        <v/>
      </c>
      <c r="O1501">
        <f>IF($N1501=0,"",LEFT($E1501,4)&amp;MID($E1501,6,2)&amp;RIGHT($E1501,2)&amp;$F1501&amp;"|"&amp;"1"&amp;RIGHT("00000"&amp;1493,5))</f>
        <v/>
      </c>
      <c r="P1501">
        <f>IF($O1501="","",COUNTIFS(ExpSub,$K1501,ExpKey,"&lt;"&amp;$O1501)+1)</f>
        <v/>
      </c>
      <c r="Q1501">
        <f>IF($P1501="","",$K1501&amp;"|"&amp;RIGHT("000000"&amp;$P1501,6))</f>
        <v/>
      </c>
    </row>
    <row r="1502">
      <c r="A1502">
        <f>IF(Sync!$P1499="","",Sync!$P1499)</f>
        <v/>
      </c>
      <c r="B1502">
        <f>IF($A1502="","",IF(ISNUMBER($A1502),IF(AND($A1502&gt;=10000101,$A1502&lt;=99991231),INT($A1502/10000),""),IFERROR(VALUE(TRIM(LEFT($A1502,FIND("/",$A1502)-1))),"")))</f>
        <v/>
      </c>
      <c r="C1502">
        <f>IF(OR($A1502="",$B1502=""),"",IF(ISNUMBER($A1502),INT(MOD($A1502,10000)/100),IFERROR(VALUE(TRIM(LEFT(MID($A1502,FIND("/",$A1502)+1,20),FIND("/",MID($A1502,FIND("/",$A1502)+1,20))-1))),"")))</f>
        <v/>
      </c>
      <c r="D1502">
        <f>IF(OR($A1502="",$B1502=""),"",IF(ISNUMBER($A1502),MOD($A1502,100),IFERROR(VALUE(TRIM(MID(MID($A1502,FIND("/",$A1502)+1,20),FIND("/",MID($A1502,FIND("/",$A1502)+1,20))+1,20))),"")))</f>
        <v/>
      </c>
      <c r="E1502">
        <f>IF($A1502="","",IF(OR($B1502="",$C1502="",$D1502="",$B1502&lt;1300,$B1502&gt;1500,$C1502&lt;1,$C1502&gt;12,$D1502&lt;1,$D1502&gt;31),"نامعتبر",RIGHT("0000"&amp;$B1502,4)&amp;"/"&amp;RIGHT("00"&amp;$C1502,2)&amp;"/"&amp;RIGHT("00"&amp;$D1502,2)))</f>
        <v/>
      </c>
      <c r="F1502">
        <f>IF(OR($E1502="",$E1502="نامعتبر"),"",IF(Sync!$Q1499="","0000",IF(AND(ISNUMBER(Sync!$Q1499),Sync!$Q1499&gt;=0,Sync!$Q1499&lt;1),RIGHT("00"&amp;HOUR(Sync!$Q1499),2)&amp;RIGHT("00"&amp;MINUTE(Sync!$Q1499),2),IFERROR(RIGHT("00"&amp;VALUE(LEFT(Sync!$Q1499,FIND(":",Sync!$Q1499)-1)),2)&amp;RIGHT("00"&amp;VALUE(MID(Sync!$Q1499,FIND(":",Sync!$Q1499)+1,2)),2),"0000"))))</f>
        <v/>
      </c>
      <c r="G1502">
        <f>IF(OR($E1502="",$E1502="نامعتبر"),"",IF(Sync!$S1499="","",Sync!$S1499))</f>
        <v/>
      </c>
      <c r="H1502">
        <f>IF(OR($E1502="",$E1502="نامعتبر"),"",IF(Sync!$R1499="","",Sync!$R1499))</f>
        <v/>
      </c>
      <c r="I1502">
        <f>IF(OR($E1502="",$E1502="نامعتبر"),"",IF(Sync!$T1499="","",Sync!$T1499))</f>
        <v/>
      </c>
      <c r="J1502">
        <f>IF(OR($E1502="",$E1502="نامعتبر"),"",IF(Sync!$U1499="","",Sync!$U1499))</f>
        <v/>
      </c>
      <c r="K1502">
        <f>IF(OR($E1502="",$E1502="نامعتبر"),"",IF(Sync!$V1499="","",IFERROR(INDEX(SubCodes,MATCH(Sync!$V1499,SubTitles,0)),Sync!$V1499)))</f>
        <v/>
      </c>
      <c r="L1502">
        <f>IF(OR($E1502="",$E1502="نامعتبر"),"",IF(Sync!$W1499="",0,Sync!$W1499))</f>
        <v/>
      </c>
      <c r="M1502">
        <f>IF(OR($E1502="",$E1502="نامعتبر"),"",IF(Sync!$X1499="",0,Sync!$X1499))</f>
        <v/>
      </c>
      <c r="N1502">
        <f>IF(OR($E1502="",$E1502="نامعتبر"),"",IF(AND($J1502="هزینه",$K1502&lt;&gt;""),1,0))</f>
        <v/>
      </c>
      <c r="O1502">
        <f>IF($N1502=0,"",LEFT($E1502,4)&amp;MID($E1502,6,2)&amp;RIGHT($E1502,2)&amp;$F1502&amp;"|"&amp;"1"&amp;RIGHT("00000"&amp;1494,5))</f>
        <v/>
      </c>
      <c r="P1502">
        <f>IF($O1502="","",COUNTIFS(ExpSub,$K1502,ExpKey,"&lt;"&amp;$O1502)+1)</f>
        <v/>
      </c>
      <c r="Q1502">
        <f>IF($P1502="","",$K1502&amp;"|"&amp;RIGHT("000000"&amp;$P1502,6))</f>
        <v/>
      </c>
    </row>
    <row r="1503">
      <c r="A1503">
        <f>IF(Sync!$P1500="","",Sync!$P1500)</f>
        <v/>
      </c>
      <c r="B1503">
        <f>IF($A1503="","",IF(ISNUMBER($A1503),IF(AND($A1503&gt;=10000101,$A1503&lt;=99991231),INT($A1503/10000),""),IFERROR(VALUE(TRIM(LEFT($A1503,FIND("/",$A1503)-1))),"")))</f>
        <v/>
      </c>
      <c r="C1503">
        <f>IF(OR($A1503="",$B1503=""),"",IF(ISNUMBER($A1503),INT(MOD($A1503,10000)/100),IFERROR(VALUE(TRIM(LEFT(MID($A1503,FIND("/",$A1503)+1,20),FIND("/",MID($A1503,FIND("/",$A1503)+1,20))-1))),"")))</f>
        <v/>
      </c>
      <c r="D1503">
        <f>IF(OR($A1503="",$B1503=""),"",IF(ISNUMBER($A1503),MOD($A1503,100),IFERROR(VALUE(TRIM(MID(MID($A1503,FIND("/",$A1503)+1,20),FIND("/",MID($A1503,FIND("/",$A1503)+1,20))+1,20))),"")))</f>
        <v/>
      </c>
      <c r="E1503">
        <f>IF($A1503="","",IF(OR($B1503="",$C1503="",$D1503="",$B1503&lt;1300,$B1503&gt;1500,$C1503&lt;1,$C1503&gt;12,$D1503&lt;1,$D1503&gt;31),"نامعتبر",RIGHT("0000"&amp;$B1503,4)&amp;"/"&amp;RIGHT("00"&amp;$C1503,2)&amp;"/"&amp;RIGHT("00"&amp;$D1503,2)))</f>
        <v/>
      </c>
      <c r="F1503">
        <f>IF(OR($E1503="",$E1503="نامعتبر"),"",IF(Sync!$Q1500="","0000",IF(AND(ISNUMBER(Sync!$Q1500),Sync!$Q1500&gt;=0,Sync!$Q1500&lt;1),RIGHT("00"&amp;HOUR(Sync!$Q1500),2)&amp;RIGHT("00"&amp;MINUTE(Sync!$Q1500),2),IFERROR(RIGHT("00"&amp;VALUE(LEFT(Sync!$Q1500,FIND(":",Sync!$Q1500)-1)),2)&amp;RIGHT("00"&amp;VALUE(MID(Sync!$Q1500,FIND(":",Sync!$Q1500)+1,2)),2),"0000"))))</f>
        <v/>
      </c>
      <c r="G1503">
        <f>IF(OR($E1503="",$E1503="نامعتبر"),"",IF(Sync!$S1500="","",Sync!$S1500))</f>
        <v/>
      </c>
      <c r="H1503">
        <f>IF(OR($E1503="",$E1503="نامعتبر"),"",IF(Sync!$R1500="","",Sync!$R1500))</f>
        <v/>
      </c>
      <c r="I1503">
        <f>IF(OR($E1503="",$E1503="نامعتبر"),"",IF(Sync!$T1500="","",Sync!$T1500))</f>
        <v/>
      </c>
      <c r="J1503">
        <f>IF(OR($E1503="",$E1503="نامعتبر"),"",IF(Sync!$U1500="","",Sync!$U1500))</f>
        <v/>
      </c>
      <c r="K1503">
        <f>IF(OR($E1503="",$E1503="نامعتبر"),"",IF(Sync!$V1500="","",IFERROR(INDEX(SubCodes,MATCH(Sync!$V1500,SubTitles,0)),Sync!$V1500)))</f>
        <v/>
      </c>
      <c r="L1503">
        <f>IF(OR($E1503="",$E1503="نامعتبر"),"",IF(Sync!$W1500="",0,Sync!$W1500))</f>
        <v/>
      </c>
      <c r="M1503">
        <f>IF(OR($E1503="",$E1503="نامعتبر"),"",IF(Sync!$X1500="",0,Sync!$X1500))</f>
        <v/>
      </c>
      <c r="N1503">
        <f>IF(OR($E1503="",$E1503="نامعتبر"),"",IF(AND($J1503="هزینه",$K1503&lt;&gt;""),1,0))</f>
        <v/>
      </c>
      <c r="O1503">
        <f>IF($N1503=0,"",LEFT($E1503,4)&amp;MID($E1503,6,2)&amp;RIGHT($E1503,2)&amp;$F1503&amp;"|"&amp;"1"&amp;RIGHT("00000"&amp;1495,5))</f>
        <v/>
      </c>
      <c r="P1503">
        <f>IF($O1503="","",COUNTIFS(ExpSub,$K1503,ExpKey,"&lt;"&amp;$O1503)+1)</f>
        <v/>
      </c>
      <c r="Q1503">
        <f>IF($P1503="","",$K1503&amp;"|"&amp;RIGHT("000000"&amp;$P1503,6))</f>
        <v/>
      </c>
    </row>
    <row r="1504">
      <c r="A1504">
        <f>IF(Sync!$P1501="","",Sync!$P1501)</f>
        <v/>
      </c>
      <c r="B1504">
        <f>IF($A1504="","",IF(ISNUMBER($A1504),IF(AND($A1504&gt;=10000101,$A1504&lt;=99991231),INT($A1504/10000),""),IFERROR(VALUE(TRIM(LEFT($A1504,FIND("/",$A1504)-1))),"")))</f>
        <v/>
      </c>
      <c r="C1504">
        <f>IF(OR($A1504="",$B1504=""),"",IF(ISNUMBER($A1504),INT(MOD($A1504,10000)/100),IFERROR(VALUE(TRIM(LEFT(MID($A1504,FIND("/",$A1504)+1,20),FIND("/",MID($A1504,FIND("/",$A1504)+1,20))-1))),"")))</f>
        <v/>
      </c>
      <c r="D1504">
        <f>IF(OR($A1504="",$B1504=""),"",IF(ISNUMBER($A1504),MOD($A1504,100),IFERROR(VALUE(TRIM(MID(MID($A1504,FIND("/",$A1504)+1,20),FIND("/",MID($A1504,FIND("/",$A1504)+1,20))+1,20))),"")))</f>
        <v/>
      </c>
      <c r="E1504">
        <f>IF($A1504="","",IF(OR($B1504="",$C1504="",$D1504="",$B1504&lt;1300,$B1504&gt;1500,$C1504&lt;1,$C1504&gt;12,$D1504&lt;1,$D1504&gt;31),"نامعتبر",RIGHT("0000"&amp;$B1504,4)&amp;"/"&amp;RIGHT("00"&amp;$C1504,2)&amp;"/"&amp;RIGHT("00"&amp;$D1504,2)))</f>
        <v/>
      </c>
      <c r="F1504">
        <f>IF(OR($E1504="",$E1504="نامعتبر"),"",IF(Sync!$Q1501="","0000",IF(AND(ISNUMBER(Sync!$Q1501),Sync!$Q1501&gt;=0,Sync!$Q1501&lt;1),RIGHT("00"&amp;HOUR(Sync!$Q1501),2)&amp;RIGHT("00"&amp;MINUTE(Sync!$Q1501),2),IFERROR(RIGHT("00"&amp;VALUE(LEFT(Sync!$Q1501,FIND(":",Sync!$Q1501)-1)),2)&amp;RIGHT("00"&amp;VALUE(MID(Sync!$Q1501,FIND(":",Sync!$Q1501)+1,2)),2),"0000"))))</f>
        <v/>
      </c>
      <c r="G1504">
        <f>IF(OR($E1504="",$E1504="نامعتبر"),"",IF(Sync!$S1501="","",Sync!$S1501))</f>
        <v/>
      </c>
      <c r="H1504">
        <f>IF(OR($E1504="",$E1504="نامعتبر"),"",IF(Sync!$R1501="","",Sync!$R1501))</f>
        <v/>
      </c>
      <c r="I1504">
        <f>IF(OR($E1504="",$E1504="نامعتبر"),"",IF(Sync!$T1501="","",Sync!$T1501))</f>
        <v/>
      </c>
      <c r="J1504">
        <f>IF(OR($E1504="",$E1504="نامعتبر"),"",IF(Sync!$U1501="","",Sync!$U1501))</f>
        <v/>
      </c>
      <c r="K1504">
        <f>IF(OR($E1504="",$E1504="نامعتبر"),"",IF(Sync!$V1501="","",IFERROR(INDEX(SubCodes,MATCH(Sync!$V1501,SubTitles,0)),Sync!$V1501)))</f>
        <v/>
      </c>
      <c r="L1504">
        <f>IF(OR($E1504="",$E1504="نامعتبر"),"",IF(Sync!$W1501="",0,Sync!$W1501))</f>
        <v/>
      </c>
      <c r="M1504">
        <f>IF(OR($E1504="",$E1504="نامعتبر"),"",IF(Sync!$X1501="",0,Sync!$X1501))</f>
        <v/>
      </c>
      <c r="N1504">
        <f>IF(OR($E1504="",$E1504="نامعتبر"),"",IF(AND($J1504="هزینه",$K1504&lt;&gt;""),1,0))</f>
        <v/>
      </c>
      <c r="O1504">
        <f>IF($N1504=0,"",LEFT($E1504,4)&amp;MID($E1504,6,2)&amp;RIGHT($E1504,2)&amp;$F1504&amp;"|"&amp;"1"&amp;RIGHT("00000"&amp;1496,5))</f>
        <v/>
      </c>
      <c r="P1504">
        <f>IF($O1504="","",COUNTIFS(ExpSub,$K1504,ExpKey,"&lt;"&amp;$O1504)+1)</f>
        <v/>
      </c>
      <c r="Q1504">
        <f>IF($P1504="","",$K1504&amp;"|"&amp;RIGHT("000000"&amp;$P1504,6))</f>
        <v/>
      </c>
    </row>
    <row r="1505">
      <c r="A1505">
        <f>IF(Sync!$P1502="","",Sync!$P1502)</f>
        <v/>
      </c>
      <c r="B1505">
        <f>IF($A1505="","",IF(ISNUMBER($A1505),IF(AND($A1505&gt;=10000101,$A1505&lt;=99991231),INT($A1505/10000),""),IFERROR(VALUE(TRIM(LEFT($A1505,FIND("/",$A1505)-1))),"")))</f>
        <v/>
      </c>
      <c r="C1505">
        <f>IF(OR($A1505="",$B1505=""),"",IF(ISNUMBER($A1505),INT(MOD($A1505,10000)/100),IFERROR(VALUE(TRIM(LEFT(MID($A1505,FIND("/",$A1505)+1,20),FIND("/",MID($A1505,FIND("/",$A1505)+1,20))-1))),"")))</f>
        <v/>
      </c>
      <c r="D1505">
        <f>IF(OR($A1505="",$B1505=""),"",IF(ISNUMBER($A1505),MOD($A1505,100),IFERROR(VALUE(TRIM(MID(MID($A1505,FIND("/",$A1505)+1,20),FIND("/",MID($A1505,FIND("/",$A1505)+1,20))+1,20))),"")))</f>
        <v/>
      </c>
      <c r="E1505">
        <f>IF($A1505="","",IF(OR($B1505="",$C1505="",$D1505="",$B1505&lt;1300,$B1505&gt;1500,$C1505&lt;1,$C1505&gt;12,$D1505&lt;1,$D1505&gt;31),"نامعتبر",RIGHT("0000"&amp;$B1505,4)&amp;"/"&amp;RIGHT("00"&amp;$C1505,2)&amp;"/"&amp;RIGHT("00"&amp;$D1505,2)))</f>
        <v/>
      </c>
      <c r="F1505">
        <f>IF(OR($E1505="",$E1505="نامعتبر"),"",IF(Sync!$Q1502="","0000",IF(AND(ISNUMBER(Sync!$Q1502),Sync!$Q1502&gt;=0,Sync!$Q1502&lt;1),RIGHT("00"&amp;HOUR(Sync!$Q1502),2)&amp;RIGHT("00"&amp;MINUTE(Sync!$Q1502),2),IFERROR(RIGHT("00"&amp;VALUE(LEFT(Sync!$Q1502,FIND(":",Sync!$Q1502)-1)),2)&amp;RIGHT("00"&amp;VALUE(MID(Sync!$Q1502,FIND(":",Sync!$Q1502)+1,2)),2),"0000"))))</f>
        <v/>
      </c>
      <c r="G1505">
        <f>IF(OR($E1505="",$E1505="نامعتبر"),"",IF(Sync!$S1502="","",Sync!$S1502))</f>
        <v/>
      </c>
      <c r="H1505">
        <f>IF(OR($E1505="",$E1505="نامعتبر"),"",IF(Sync!$R1502="","",Sync!$R1502))</f>
        <v/>
      </c>
      <c r="I1505">
        <f>IF(OR($E1505="",$E1505="نامعتبر"),"",IF(Sync!$T1502="","",Sync!$T1502))</f>
        <v/>
      </c>
      <c r="J1505">
        <f>IF(OR($E1505="",$E1505="نامعتبر"),"",IF(Sync!$U1502="","",Sync!$U1502))</f>
        <v/>
      </c>
      <c r="K1505">
        <f>IF(OR($E1505="",$E1505="نامعتبر"),"",IF(Sync!$V1502="","",IFERROR(INDEX(SubCodes,MATCH(Sync!$V1502,SubTitles,0)),Sync!$V1502)))</f>
        <v/>
      </c>
      <c r="L1505">
        <f>IF(OR($E1505="",$E1505="نامعتبر"),"",IF(Sync!$W1502="",0,Sync!$W1502))</f>
        <v/>
      </c>
      <c r="M1505">
        <f>IF(OR($E1505="",$E1505="نامعتبر"),"",IF(Sync!$X1502="",0,Sync!$X1502))</f>
        <v/>
      </c>
      <c r="N1505">
        <f>IF(OR($E1505="",$E1505="نامعتبر"),"",IF(AND($J1505="هزینه",$K1505&lt;&gt;""),1,0))</f>
        <v/>
      </c>
      <c r="O1505">
        <f>IF($N1505=0,"",LEFT($E1505,4)&amp;MID($E1505,6,2)&amp;RIGHT($E1505,2)&amp;$F1505&amp;"|"&amp;"1"&amp;RIGHT("00000"&amp;1497,5))</f>
        <v/>
      </c>
      <c r="P1505">
        <f>IF($O1505="","",COUNTIFS(ExpSub,$K1505,ExpKey,"&lt;"&amp;$O1505)+1)</f>
        <v/>
      </c>
      <c r="Q1505">
        <f>IF($P1505="","",$K1505&amp;"|"&amp;RIGHT("000000"&amp;$P1505,6))</f>
        <v/>
      </c>
    </row>
    <row r="1506">
      <c r="A1506">
        <f>IF(Sync!$P1503="","",Sync!$P1503)</f>
        <v/>
      </c>
      <c r="B1506">
        <f>IF($A1506="","",IF(ISNUMBER($A1506),IF(AND($A1506&gt;=10000101,$A1506&lt;=99991231),INT($A1506/10000),""),IFERROR(VALUE(TRIM(LEFT($A1506,FIND("/",$A1506)-1))),"")))</f>
        <v/>
      </c>
      <c r="C1506">
        <f>IF(OR($A1506="",$B1506=""),"",IF(ISNUMBER($A1506),INT(MOD($A1506,10000)/100),IFERROR(VALUE(TRIM(LEFT(MID($A1506,FIND("/",$A1506)+1,20),FIND("/",MID($A1506,FIND("/",$A1506)+1,20))-1))),"")))</f>
        <v/>
      </c>
      <c r="D1506">
        <f>IF(OR($A1506="",$B1506=""),"",IF(ISNUMBER($A1506),MOD($A1506,100),IFERROR(VALUE(TRIM(MID(MID($A1506,FIND("/",$A1506)+1,20),FIND("/",MID($A1506,FIND("/",$A1506)+1,20))+1,20))),"")))</f>
        <v/>
      </c>
      <c r="E1506">
        <f>IF($A1506="","",IF(OR($B1506="",$C1506="",$D1506="",$B1506&lt;1300,$B1506&gt;1500,$C1506&lt;1,$C1506&gt;12,$D1506&lt;1,$D1506&gt;31),"نامعتبر",RIGHT("0000"&amp;$B1506,4)&amp;"/"&amp;RIGHT("00"&amp;$C1506,2)&amp;"/"&amp;RIGHT("00"&amp;$D1506,2)))</f>
        <v/>
      </c>
      <c r="F1506">
        <f>IF(OR($E1506="",$E1506="نامعتبر"),"",IF(Sync!$Q1503="","0000",IF(AND(ISNUMBER(Sync!$Q1503),Sync!$Q1503&gt;=0,Sync!$Q1503&lt;1),RIGHT("00"&amp;HOUR(Sync!$Q1503),2)&amp;RIGHT("00"&amp;MINUTE(Sync!$Q1503),2),IFERROR(RIGHT("00"&amp;VALUE(LEFT(Sync!$Q1503,FIND(":",Sync!$Q1503)-1)),2)&amp;RIGHT("00"&amp;VALUE(MID(Sync!$Q1503,FIND(":",Sync!$Q1503)+1,2)),2),"0000"))))</f>
        <v/>
      </c>
      <c r="G1506">
        <f>IF(OR($E1506="",$E1506="نامعتبر"),"",IF(Sync!$S1503="","",Sync!$S1503))</f>
        <v/>
      </c>
      <c r="H1506">
        <f>IF(OR($E1506="",$E1506="نامعتبر"),"",IF(Sync!$R1503="","",Sync!$R1503))</f>
        <v/>
      </c>
      <c r="I1506">
        <f>IF(OR($E1506="",$E1506="نامعتبر"),"",IF(Sync!$T1503="","",Sync!$T1503))</f>
        <v/>
      </c>
      <c r="J1506">
        <f>IF(OR($E1506="",$E1506="نامعتبر"),"",IF(Sync!$U1503="","",Sync!$U1503))</f>
        <v/>
      </c>
      <c r="K1506">
        <f>IF(OR($E1506="",$E1506="نامعتبر"),"",IF(Sync!$V1503="","",IFERROR(INDEX(SubCodes,MATCH(Sync!$V1503,SubTitles,0)),Sync!$V1503)))</f>
        <v/>
      </c>
      <c r="L1506">
        <f>IF(OR($E1506="",$E1506="نامعتبر"),"",IF(Sync!$W1503="",0,Sync!$W1503))</f>
        <v/>
      </c>
      <c r="M1506">
        <f>IF(OR($E1506="",$E1506="نامعتبر"),"",IF(Sync!$X1503="",0,Sync!$X1503))</f>
        <v/>
      </c>
      <c r="N1506">
        <f>IF(OR($E1506="",$E1506="نامعتبر"),"",IF(AND($J1506="هزینه",$K1506&lt;&gt;""),1,0))</f>
        <v/>
      </c>
      <c r="O1506">
        <f>IF($N1506=0,"",LEFT($E1506,4)&amp;MID($E1506,6,2)&amp;RIGHT($E1506,2)&amp;$F1506&amp;"|"&amp;"1"&amp;RIGHT("00000"&amp;1498,5))</f>
        <v/>
      </c>
      <c r="P1506">
        <f>IF($O1506="","",COUNTIFS(ExpSub,$K1506,ExpKey,"&lt;"&amp;$O1506)+1)</f>
        <v/>
      </c>
      <c r="Q1506">
        <f>IF($P1506="","",$K1506&amp;"|"&amp;RIGHT("000000"&amp;$P1506,6))</f>
        <v/>
      </c>
    </row>
    <row r="1507">
      <c r="A1507">
        <f>IF(Sync!$P1504="","",Sync!$P1504)</f>
        <v/>
      </c>
      <c r="B1507">
        <f>IF($A1507="","",IF(ISNUMBER($A1507),IF(AND($A1507&gt;=10000101,$A1507&lt;=99991231),INT($A1507/10000),""),IFERROR(VALUE(TRIM(LEFT($A1507,FIND("/",$A1507)-1))),"")))</f>
        <v/>
      </c>
      <c r="C1507">
        <f>IF(OR($A1507="",$B1507=""),"",IF(ISNUMBER($A1507),INT(MOD($A1507,10000)/100),IFERROR(VALUE(TRIM(LEFT(MID($A1507,FIND("/",$A1507)+1,20),FIND("/",MID($A1507,FIND("/",$A1507)+1,20))-1))),"")))</f>
        <v/>
      </c>
      <c r="D1507">
        <f>IF(OR($A1507="",$B1507=""),"",IF(ISNUMBER($A1507),MOD($A1507,100),IFERROR(VALUE(TRIM(MID(MID($A1507,FIND("/",$A1507)+1,20),FIND("/",MID($A1507,FIND("/",$A1507)+1,20))+1,20))),"")))</f>
        <v/>
      </c>
      <c r="E1507">
        <f>IF($A1507="","",IF(OR($B1507="",$C1507="",$D1507="",$B1507&lt;1300,$B1507&gt;1500,$C1507&lt;1,$C1507&gt;12,$D1507&lt;1,$D1507&gt;31),"نامعتبر",RIGHT("0000"&amp;$B1507,4)&amp;"/"&amp;RIGHT("00"&amp;$C1507,2)&amp;"/"&amp;RIGHT("00"&amp;$D1507,2)))</f>
        <v/>
      </c>
      <c r="F1507">
        <f>IF(OR($E1507="",$E1507="نامعتبر"),"",IF(Sync!$Q1504="","0000",IF(AND(ISNUMBER(Sync!$Q1504),Sync!$Q1504&gt;=0,Sync!$Q1504&lt;1),RIGHT("00"&amp;HOUR(Sync!$Q1504),2)&amp;RIGHT("00"&amp;MINUTE(Sync!$Q1504),2),IFERROR(RIGHT("00"&amp;VALUE(LEFT(Sync!$Q1504,FIND(":",Sync!$Q1504)-1)),2)&amp;RIGHT("00"&amp;VALUE(MID(Sync!$Q1504,FIND(":",Sync!$Q1504)+1,2)),2),"0000"))))</f>
        <v/>
      </c>
      <c r="G1507">
        <f>IF(OR($E1507="",$E1507="نامعتبر"),"",IF(Sync!$S1504="","",Sync!$S1504))</f>
        <v/>
      </c>
      <c r="H1507">
        <f>IF(OR($E1507="",$E1507="نامعتبر"),"",IF(Sync!$R1504="","",Sync!$R1504))</f>
        <v/>
      </c>
      <c r="I1507">
        <f>IF(OR($E1507="",$E1507="نامعتبر"),"",IF(Sync!$T1504="","",Sync!$T1504))</f>
        <v/>
      </c>
      <c r="J1507">
        <f>IF(OR($E1507="",$E1507="نامعتبر"),"",IF(Sync!$U1504="","",Sync!$U1504))</f>
        <v/>
      </c>
      <c r="K1507">
        <f>IF(OR($E1507="",$E1507="نامعتبر"),"",IF(Sync!$V1504="","",IFERROR(INDEX(SubCodes,MATCH(Sync!$V1504,SubTitles,0)),Sync!$V1504)))</f>
        <v/>
      </c>
      <c r="L1507">
        <f>IF(OR($E1507="",$E1507="نامعتبر"),"",IF(Sync!$W1504="",0,Sync!$W1504))</f>
        <v/>
      </c>
      <c r="M1507">
        <f>IF(OR($E1507="",$E1507="نامعتبر"),"",IF(Sync!$X1504="",0,Sync!$X1504))</f>
        <v/>
      </c>
      <c r="N1507">
        <f>IF(OR($E1507="",$E1507="نامعتبر"),"",IF(AND($J1507="هزینه",$K1507&lt;&gt;""),1,0))</f>
        <v/>
      </c>
      <c r="O1507">
        <f>IF($N1507=0,"",LEFT($E1507,4)&amp;MID($E1507,6,2)&amp;RIGHT($E1507,2)&amp;$F1507&amp;"|"&amp;"1"&amp;RIGHT("00000"&amp;1499,5))</f>
        <v/>
      </c>
      <c r="P1507">
        <f>IF($O1507="","",COUNTIFS(ExpSub,$K1507,ExpKey,"&lt;"&amp;$O1507)+1)</f>
        <v/>
      </c>
      <c r="Q1507">
        <f>IF($P1507="","",$K1507&amp;"|"&amp;RIGHT("000000"&amp;$P1507,6))</f>
        <v/>
      </c>
    </row>
    <row r="1508">
      <c r="A1508">
        <f>IF(Sync!$P1505="","",Sync!$P1505)</f>
        <v/>
      </c>
      <c r="B1508">
        <f>IF($A1508="","",IF(ISNUMBER($A1508),IF(AND($A1508&gt;=10000101,$A1508&lt;=99991231),INT($A1508/10000),""),IFERROR(VALUE(TRIM(LEFT($A1508,FIND("/",$A1508)-1))),"")))</f>
        <v/>
      </c>
      <c r="C1508">
        <f>IF(OR($A1508="",$B1508=""),"",IF(ISNUMBER($A1508),INT(MOD($A1508,10000)/100),IFERROR(VALUE(TRIM(LEFT(MID($A1508,FIND("/",$A1508)+1,20),FIND("/",MID($A1508,FIND("/",$A1508)+1,20))-1))),"")))</f>
        <v/>
      </c>
      <c r="D1508">
        <f>IF(OR($A1508="",$B1508=""),"",IF(ISNUMBER($A1508),MOD($A1508,100),IFERROR(VALUE(TRIM(MID(MID($A1508,FIND("/",$A1508)+1,20),FIND("/",MID($A1508,FIND("/",$A1508)+1,20))+1,20))),"")))</f>
        <v/>
      </c>
      <c r="E1508">
        <f>IF($A1508="","",IF(OR($B1508="",$C1508="",$D1508="",$B1508&lt;1300,$B1508&gt;1500,$C1508&lt;1,$C1508&gt;12,$D1508&lt;1,$D1508&gt;31),"نامعتبر",RIGHT("0000"&amp;$B1508,4)&amp;"/"&amp;RIGHT("00"&amp;$C1508,2)&amp;"/"&amp;RIGHT("00"&amp;$D1508,2)))</f>
        <v/>
      </c>
      <c r="F1508">
        <f>IF(OR($E1508="",$E1508="نامعتبر"),"",IF(Sync!$Q1505="","0000",IF(AND(ISNUMBER(Sync!$Q1505),Sync!$Q1505&gt;=0,Sync!$Q1505&lt;1),RIGHT("00"&amp;HOUR(Sync!$Q1505),2)&amp;RIGHT("00"&amp;MINUTE(Sync!$Q1505),2),IFERROR(RIGHT("00"&amp;VALUE(LEFT(Sync!$Q1505,FIND(":",Sync!$Q1505)-1)),2)&amp;RIGHT("00"&amp;VALUE(MID(Sync!$Q1505,FIND(":",Sync!$Q1505)+1,2)),2),"0000"))))</f>
        <v/>
      </c>
      <c r="G1508">
        <f>IF(OR($E1508="",$E1508="نامعتبر"),"",IF(Sync!$S1505="","",Sync!$S1505))</f>
        <v/>
      </c>
      <c r="H1508">
        <f>IF(OR($E1508="",$E1508="نامعتبر"),"",IF(Sync!$R1505="","",Sync!$R1505))</f>
        <v/>
      </c>
      <c r="I1508">
        <f>IF(OR($E1508="",$E1508="نامعتبر"),"",IF(Sync!$T1505="","",Sync!$T1505))</f>
        <v/>
      </c>
      <c r="J1508">
        <f>IF(OR($E1508="",$E1508="نامعتبر"),"",IF(Sync!$U1505="","",Sync!$U1505))</f>
        <v/>
      </c>
      <c r="K1508">
        <f>IF(OR($E1508="",$E1508="نامعتبر"),"",IF(Sync!$V1505="","",IFERROR(INDEX(SubCodes,MATCH(Sync!$V1505,SubTitles,0)),Sync!$V1505)))</f>
        <v/>
      </c>
      <c r="L1508">
        <f>IF(OR($E1508="",$E1508="نامعتبر"),"",IF(Sync!$W1505="",0,Sync!$W1505))</f>
        <v/>
      </c>
      <c r="M1508">
        <f>IF(OR($E1508="",$E1508="نامعتبر"),"",IF(Sync!$X1505="",0,Sync!$X1505))</f>
        <v/>
      </c>
      <c r="N1508">
        <f>IF(OR($E1508="",$E1508="نامعتبر"),"",IF(AND($J1508="هزینه",$K1508&lt;&gt;""),1,0))</f>
        <v/>
      </c>
      <c r="O1508">
        <f>IF($N1508=0,"",LEFT($E1508,4)&amp;MID($E1508,6,2)&amp;RIGHT($E1508,2)&amp;$F1508&amp;"|"&amp;"1"&amp;RIGHT("00000"&amp;1500,5))</f>
        <v/>
      </c>
      <c r="P1508">
        <f>IF($O1508="","",COUNTIFS(ExpSub,$K1508,ExpKey,"&lt;"&amp;$O1508)+1)</f>
        <v/>
      </c>
      <c r="Q1508">
        <f>IF($P1508="","",$K1508&amp;"|"&amp;RIGHT("000000"&amp;$P1508,6))</f>
        <v/>
      </c>
    </row>
    <row r="1509">
      <c r="A1509">
        <f>IF(Sync!$P1506="","",Sync!$P1506)</f>
        <v/>
      </c>
      <c r="B1509">
        <f>IF($A1509="","",IF(ISNUMBER($A1509),IF(AND($A1509&gt;=10000101,$A1509&lt;=99991231),INT($A1509/10000),""),IFERROR(VALUE(TRIM(LEFT($A1509,FIND("/",$A1509)-1))),"")))</f>
        <v/>
      </c>
      <c r="C1509">
        <f>IF(OR($A1509="",$B1509=""),"",IF(ISNUMBER($A1509),INT(MOD($A1509,10000)/100),IFERROR(VALUE(TRIM(LEFT(MID($A1509,FIND("/",$A1509)+1,20),FIND("/",MID($A1509,FIND("/",$A1509)+1,20))-1))),"")))</f>
        <v/>
      </c>
      <c r="D1509">
        <f>IF(OR($A1509="",$B1509=""),"",IF(ISNUMBER($A1509),MOD($A1509,100),IFERROR(VALUE(TRIM(MID(MID($A1509,FIND("/",$A1509)+1,20),FIND("/",MID($A1509,FIND("/",$A1509)+1,20))+1,20))),"")))</f>
        <v/>
      </c>
      <c r="E1509">
        <f>IF($A1509="","",IF(OR($B1509="",$C1509="",$D1509="",$B1509&lt;1300,$B1509&gt;1500,$C1509&lt;1,$C1509&gt;12,$D1509&lt;1,$D1509&gt;31),"نامعتبر",RIGHT("0000"&amp;$B1509,4)&amp;"/"&amp;RIGHT("00"&amp;$C1509,2)&amp;"/"&amp;RIGHT("00"&amp;$D1509,2)))</f>
        <v/>
      </c>
      <c r="F1509">
        <f>IF(OR($E1509="",$E1509="نامعتبر"),"",IF(Sync!$Q1506="","0000",IF(AND(ISNUMBER(Sync!$Q1506),Sync!$Q1506&gt;=0,Sync!$Q1506&lt;1),RIGHT("00"&amp;HOUR(Sync!$Q1506),2)&amp;RIGHT("00"&amp;MINUTE(Sync!$Q1506),2),IFERROR(RIGHT("00"&amp;VALUE(LEFT(Sync!$Q1506,FIND(":",Sync!$Q1506)-1)),2)&amp;RIGHT("00"&amp;VALUE(MID(Sync!$Q1506,FIND(":",Sync!$Q1506)+1,2)),2),"0000"))))</f>
        <v/>
      </c>
      <c r="G1509">
        <f>IF(OR($E1509="",$E1509="نامعتبر"),"",IF(Sync!$S1506="","",Sync!$S1506))</f>
        <v/>
      </c>
      <c r="H1509">
        <f>IF(OR($E1509="",$E1509="نامعتبر"),"",IF(Sync!$R1506="","",Sync!$R1506))</f>
        <v/>
      </c>
      <c r="I1509">
        <f>IF(OR($E1509="",$E1509="نامعتبر"),"",IF(Sync!$T1506="","",Sync!$T1506))</f>
        <v/>
      </c>
      <c r="J1509">
        <f>IF(OR($E1509="",$E1509="نامعتبر"),"",IF(Sync!$U1506="","",Sync!$U1506))</f>
        <v/>
      </c>
      <c r="K1509">
        <f>IF(OR($E1509="",$E1509="نامعتبر"),"",IF(Sync!$V1506="","",IFERROR(INDEX(SubCodes,MATCH(Sync!$V1506,SubTitles,0)),Sync!$V1506)))</f>
        <v/>
      </c>
      <c r="L1509">
        <f>IF(OR($E1509="",$E1509="نامعتبر"),"",IF(Sync!$W1506="",0,Sync!$W1506))</f>
        <v/>
      </c>
      <c r="M1509">
        <f>IF(OR($E1509="",$E1509="نامعتبر"),"",IF(Sync!$X1506="",0,Sync!$X1506))</f>
        <v/>
      </c>
      <c r="N1509">
        <f>IF(OR($E1509="",$E1509="نامعتبر"),"",IF(AND($J1509="هزینه",$K1509&lt;&gt;""),1,0))</f>
        <v/>
      </c>
      <c r="O1509">
        <f>IF($N1509=0,"",LEFT($E1509,4)&amp;MID($E1509,6,2)&amp;RIGHT($E1509,2)&amp;$F1509&amp;"|"&amp;"1"&amp;RIGHT("00000"&amp;1501,5))</f>
        <v/>
      </c>
      <c r="P1509">
        <f>IF($O1509="","",COUNTIFS(ExpSub,$K1509,ExpKey,"&lt;"&amp;$O1509)+1)</f>
        <v/>
      </c>
      <c r="Q1509">
        <f>IF($P1509="","",$K1509&amp;"|"&amp;RIGHT("000000"&amp;$P1509,6))</f>
        <v/>
      </c>
    </row>
    <row r="1510">
      <c r="A1510">
        <f>IF(Sync!$P1507="","",Sync!$P1507)</f>
        <v/>
      </c>
      <c r="B1510">
        <f>IF($A1510="","",IF(ISNUMBER($A1510),IF(AND($A1510&gt;=10000101,$A1510&lt;=99991231),INT($A1510/10000),""),IFERROR(VALUE(TRIM(LEFT($A1510,FIND("/",$A1510)-1))),"")))</f>
        <v/>
      </c>
      <c r="C1510">
        <f>IF(OR($A1510="",$B1510=""),"",IF(ISNUMBER($A1510),INT(MOD($A1510,10000)/100),IFERROR(VALUE(TRIM(LEFT(MID($A1510,FIND("/",$A1510)+1,20),FIND("/",MID($A1510,FIND("/",$A1510)+1,20))-1))),"")))</f>
        <v/>
      </c>
      <c r="D1510">
        <f>IF(OR($A1510="",$B1510=""),"",IF(ISNUMBER($A1510),MOD($A1510,100),IFERROR(VALUE(TRIM(MID(MID($A1510,FIND("/",$A1510)+1,20),FIND("/",MID($A1510,FIND("/",$A1510)+1,20))+1,20))),"")))</f>
        <v/>
      </c>
      <c r="E1510">
        <f>IF($A1510="","",IF(OR($B1510="",$C1510="",$D1510="",$B1510&lt;1300,$B1510&gt;1500,$C1510&lt;1,$C1510&gt;12,$D1510&lt;1,$D1510&gt;31),"نامعتبر",RIGHT("0000"&amp;$B1510,4)&amp;"/"&amp;RIGHT("00"&amp;$C1510,2)&amp;"/"&amp;RIGHT("00"&amp;$D1510,2)))</f>
        <v/>
      </c>
      <c r="F1510">
        <f>IF(OR($E1510="",$E1510="نامعتبر"),"",IF(Sync!$Q1507="","0000",IF(AND(ISNUMBER(Sync!$Q1507),Sync!$Q1507&gt;=0,Sync!$Q1507&lt;1),RIGHT("00"&amp;HOUR(Sync!$Q1507),2)&amp;RIGHT("00"&amp;MINUTE(Sync!$Q1507),2),IFERROR(RIGHT("00"&amp;VALUE(LEFT(Sync!$Q1507,FIND(":",Sync!$Q1507)-1)),2)&amp;RIGHT("00"&amp;VALUE(MID(Sync!$Q1507,FIND(":",Sync!$Q1507)+1,2)),2),"0000"))))</f>
        <v/>
      </c>
      <c r="G1510">
        <f>IF(OR($E1510="",$E1510="نامعتبر"),"",IF(Sync!$S1507="","",Sync!$S1507))</f>
        <v/>
      </c>
      <c r="H1510">
        <f>IF(OR($E1510="",$E1510="نامعتبر"),"",IF(Sync!$R1507="","",Sync!$R1507))</f>
        <v/>
      </c>
      <c r="I1510">
        <f>IF(OR($E1510="",$E1510="نامعتبر"),"",IF(Sync!$T1507="","",Sync!$T1507))</f>
        <v/>
      </c>
      <c r="J1510">
        <f>IF(OR($E1510="",$E1510="نامعتبر"),"",IF(Sync!$U1507="","",Sync!$U1507))</f>
        <v/>
      </c>
      <c r="K1510">
        <f>IF(OR($E1510="",$E1510="نامعتبر"),"",IF(Sync!$V1507="","",IFERROR(INDEX(SubCodes,MATCH(Sync!$V1507,SubTitles,0)),Sync!$V1507)))</f>
        <v/>
      </c>
      <c r="L1510">
        <f>IF(OR($E1510="",$E1510="نامعتبر"),"",IF(Sync!$W1507="",0,Sync!$W1507))</f>
        <v/>
      </c>
      <c r="M1510">
        <f>IF(OR($E1510="",$E1510="نامعتبر"),"",IF(Sync!$X1507="",0,Sync!$X1507))</f>
        <v/>
      </c>
      <c r="N1510">
        <f>IF(OR($E1510="",$E1510="نامعتبر"),"",IF(AND($J1510="هزینه",$K1510&lt;&gt;""),1,0))</f>
        <v/>
      </c>
      <c r="O1510">
        <f>IF($N1510=0,"",LEFT($E1510,4)&amp;MID($E1510,6,2)&amp;RIGHT($E1510,2)&amp;$F1510&amp;"|"&amp;"1"&amp;RIGHT("00000"&amp;1502,5))</f>
        <v/>
      </c>
      <c r="P1510">
        <f>IF($O1510="","",COUNTIFS(ExpSub,$K1510,ExpKey,"&lt;"&amp;$O1510)+1)</f>
        <v/>
      </c>
      <c r="Q1510">
        <f>IF($P1510="","",$K1510&amp;"|"&amp;RIGHT("000000"&amp;$P1510,6))</f>
        <v/>
      </c>
    </row>
    <row r="1511">
      <c r="A1511">
        <f>IF(Sync!$P1508="","",Sync!$P1508)</f>
        <v/>
      </c>
      <c r="B1511">
        <f>IF($A1511="","",IF(ISNUMBER($A1511),IF(AND($A1511&gt;=10000101,$A1511&lt;=99991231),INT($A1511/10000),""),IFERROR(VALUE(TRIM(LEFT($A1511,FIND("/",$A1511)-1))),"")))</f>
        <v/>
      </c>
      <c r="C1511">
        <f>IF(OR($A1511="",$B1511=""),"",IF(ISNUMBER($A1511),INT(MOD($A1511,10000)/100),IFERROR(VALUE(TRIM(LEFT(MID($A1511,FIND("/",$A1511)+1,20),FIND("/",MID($A1511,FIND("/",$A1511)+1,20))-1))),"")))</f>
        <v/>
      </c>
      <c r="D1511">
        <f>IF(OR($A1511="",$B1511=""),"",IF(ISNUMBER($A1511),MOD($A1511,100),IFERROR(VALUE(TRIM(MID(MID($A1511,FIND("/",$A1511)+1,20),FIND("/",MID($A1511,FIND("/",$A1511)+1,20))+1,20))),"")))</f>
        <v/>
      </c>
      <c r="E1511">
        <f>IF($A1511="","",IF(OR($B1511="",$C1511="",$D1511="",$B1511&lt;1300,$B1511&gt;1500,$C1511&lt;1,$C1511&gt;12,$D1511&lt;1,$D1511&gt;31),"نامعتبر",RIGHT("0000"&amp;$B1511,4)&amp;"/"&amp;RIGHT("00"&amp;$C1511,2)&amp;"/"&amp;RIGHT("00"&amp;$D1511,2)))</f>
        <v/>
      </c>
      <c r="F1511">
        <f>IF(OR($E1511="",$E1511="نامعتبر"),"",IF(Sync!$Q1508="","0000",IF(AND(ISNUMBER(Sync!$Q1508),Sync!$Q1508&gt;=0,Sync!$Q1508&lt;1),RIGHT("00"&amp;HOUR(Sync!$Q1508),2)&amp;RIGHT("00"&amp;MINUTE(Sync!$Q1508),2),IFERROR(RIGHT("00"&amp;VALUE(LEFT(Sync!$Q1508,FIND(":",Sync!$Q1508)-1)),2)&amp;RIGHT("00"&amp;VALUE(MID(Sync!$Q1508,FIND(":",Sync!$Q1508)+1,2)),2),"0000"))))</f>
        <v/>
      </c>
      <c r="G1511">
        <f>IF(OR($E1511="",$E1511="نامعتبر"),"",IF(Sync!$S1508="","",Sync!$S1508))</f>
        <v/>
      </c>
      <c r="H1511">
        <f>IF(OR($E1511="",$E1511="نامعتبر"),"",IF(Sync!$R1508="","",Sync!$R1508))</f>
        <v/>
      </c>
      <c r="I1511">
        <f>IF(OR($E1511="",$E1511="نامعتبر"),"",IF(Sync!$T1508="","",Sync!$T1508))</f>
        <v/>
      </c>
      <c r="J1511">
        <f>IF(OR($E1511="",$E1511="نامعتبر"),"",IF(Sync!$U1508="","",Sync!$U1508))</f>
        <v/>
      </c>
      <c r="K1511">
        <f>IF(OR($E1511="",$E1511="نامعتبر"),"",IF(Sync!$V1508="","",IFERROR(INDEX(SubCodes,MATCH(Sync!$V1508,SubTitles,0)),Sync!$V1508)))</f>
        <v/>
      </c>
      <c r="L1511">
        <f>IF(OR($E1511="",$E1511="نامعتبر"),"",IF(Sync!$W1508="",0,Sync!$W1508))</f>
        <v/>
      </c>
      <c r="M1511">
        <f>IF(OR($E1511="",$E1511="نامعتبر"),"",IF(Sync!$X1508="",0,Sync!$X1508))</f>
        <v/>
      </c>
      <c r="N1511">
        <f>IF(OR($E1511="",$E1511="نامعتبر"),"",IF(AND($J1511="هزینه",$K1511&lt;&gt;""),1,0))</f>
        <v/>
      </c>
      <c r="O1511">
        <f>IF($N1511=0,"",LEFT($E1511,4)&amp;MID($E1511,6,2)&amp;RIGHT($E1511,2)&amp;$F1511&amp;"|"&amp;"1"&amp;RIGHT("00000"&amp;1503,5))</f>
        <v/>
      </c>
      <c r="P1511">
        <f>IF($O1511="","",COUNTIFS(ExpSub,$K1511,ExpKey,"&lt;"&amp;$O1511)+1)</f>
        <v/>
      </c>
      <c r="Q1511">
        <f>IF($P1511="","",$K1511&amp;"|"&amp;RIGHT("000000"&amp;$P1511,6))</f>
        <v/>
      </c>
    </row>
    <row r="1512">
      <c r="A1512">
        <f>IF(Sync!$P1509="","",Sync!$P1509)</f>
        <v/>
      </c>
      <c r="B1512">
        <f>IF($A1512="","",IF(ISNUMBER($A1512),IF(AND($A1512&gt;=10000101,$A1512&lt;=99991231),INT($A1512/10000),""),IFERROR(VALUE(TRIM(LEFT($A1512,FIND("/",$A1512)-1))),"")))</f>
        <v/>
      </c>
      <c r="C1512">
        <f>IF(OR($A1512="",$B1512=""),"",IF(ISNUMBER($A1512),INT(MOD($A1512,10000)/100),IFERROR(VALUE(TRIM(LEFT(MID($A1512,FIND("/",$A1512)+1,20),FIND("/",MID($A1512,FIND("/",$A1512)+1,20))-1))),"")))</f>
        <v/>
      </c>
      <c r="D1512">
        <f>IF(OR($A1512="",$B1512=""),"",IF(ISNUMBER($A1512),MOD($A1512,100),IFERROR(VALUE(TRIM(MID(MID($A1512,FIND("/",$A1512)+1,20),FIND("/",MID($A1512,FIND("/",$A1512)+1,20))+1,20))),"")))</f>
        <v/>
      </c>
      <c r="E1512">
        <f>IF($A1512="","",IF(OR($B1512="",$C1512="",$D1512="",$B1512&lt;1300,$B1512&gt;1500,$C1512&lt;1,$C1512&gt;12,$D1512&lt;1,$D1512&gt;31),"نامعتبر",RIGHT("0000"&amp;$B1512,4)&amp;"/"&amp;RIGHT("00"&amp;$C1512,2)&amp;"/"&amp;RIGHT("00"&amp;$D1512,2)))</f>
        <v/>
      </c>
      <c r="F1512">
        <f>IF(OR($E1512="",$E1512="نامعتبر"),"",IF(Sync!$Q1509="","0000",IF(AND(ISNUMBER(Sync!$Q1509),Sync!$Q1509&gt;=0,Sync!$Q1509&lt;1),RIGHT("00"&amp;HOUR(Sync!$Q1509),2)&amp;RIGHT("00"&amp;MINUTE(Sync!$Q1509),2),IFERROR(RIGHT("00"&amp;VALUE(LEFT(Sync!$Q1509,FIND(":",Sync!$Q1509)-1)),2)&amp;RIGHT("00"&amp;VALUE(MID(Sync!$Q1509,FIND(":",Sync!$Q1509)+1,2)),2),"0000"))))</f>
        <v/>
      </c>
      <c r="G1512">
        <f>IF(OR($E1512="",$E1512="نامعتبر"),"",IF(Sync!$S1509="","",Sync!$S1509))</f>
        <v/>
      </c>
      <c r="H1512">
        <f>IF(OR($E1512="",$E1512="نامعتبر"),"",IF(Sync!$R1509="","",Sync!$R1509))</f>
        <v/>
      </c>
      <c r="I1512">
        <f>IF(OR($E1512="",$E1512="نامعتبر"),"",IF(Sync!$T1509="","",Sync!$T1509))</f>
        <v/>
      </c>
      <c r="J1512">
        <f>IF(OR($E1512="",$E1512="نامعتبر"),"",IF(Sync!$U1509="","",Sync!$U1509))</f>
        <v/>
      </c>
      <c r="K1512">
        <f>IF(OR($E1512="",$E1512="نامعتبر"),"",IF(Sync!$V1509="","",IFERROR(INDEX(SubCodes,MATCH(Sync!$V1509,SubTitles,0)),Sync!$V1509)))</f>
        <v/>
      </c>
      <c r="L1512">
        <f>IF(OR($E1512="",$E1512="نامعتبر"),"",IF(Sync!$W1509="",0,Sync!$W1509))</f>
        <v/>
      </c>
      <c r="M1512">
        <f>IF(OR($E1512="",$E1512="نامعتبر"),"",IF(Sync!$X1509="",0,Sync!$X1509))</f>
        <v/>
      </c>
      <c r="N1512">
        <f>IF(OR($E1512="",$E1512="نامعتبر"),"",IF(AND($J1512="هزینه",$K1512&lt;&gt;""),1,0))</f>
        <v/>
      </c>
      <c r="O1512">
        <f>IF($N1512=0,"",LEFT($E1512,4)&amp;MID($E1512,6,2)&amp;RIGHT($E1512,2)&amp;$F1512&amp;"|"&amp;"1"&amp;RIGHT("00000"&amp;1504,5))</f>
        <v/>
      </c>
      <c r="P1512">
        <f>IF($O1512="","",COUNTIFS(ExpSub,$K1512,ExpKey,"&lt;"&amp;$O1512)+1)</f>
        <v/>
      </c>
      <c r="Q1512">
        <f>IF($P1512="","",$K1512&amp;"|"&amp;RIGHT("000000"&amp;$P1512,6))</f>
        <v/>
      </c>
    </row>
    <row r="1513">
      <c r="A1513">
        <f>IF(Sync!$P1510="","",Sync!$P1510)</f>
        <v/>
      </c>
      <c r="B1513">
        <f>IF($A1513="","",IF(ISNUMBER($A1513),IF(AND($A1513&gt;=10000101,$A1513&lt;=99991231),INT($A1513/10000),""),IFERROR(VALUE(TRIM(LEFT($A1513,FIND("/",$A1513)-1))),"")))</f>
        <v/>
      </c>
      <c r="C1513">
        <f>IF(OR($A1513="",$B1513=""),"",IF(ISNUMBER($A1513),INT(MOD($A1513,10000)/100),IFERROR(VALUE(TRIM(LEFT(MID($A1513,FIND("/",$A1513)+1,20),FIND("/",MID($A1513,FIND("/",$A1513)+1,20))-1))),"")))</f>
        <v/>
      </c>
      <c r="D1513">
        <f>IF(OR($A1513="",$B1513=""),"",IF(ISNUMBER($A1513),MOD($A1513,100),IFERROR(VALUE(TRIM(MID(MID($A1513,FIND("/",$A1513)+1,20),FIND("/",MID($A1513,FIND("/",$A1513)+1,20))+1,20))),"")))</f>
        <v/>
      </c>
      <c r="E1513">
        <f>IF($A1513="","",IF(OR($B1513="",$C1513="",$D1513="",$B1513&lt;1300,$B1513&gt;1500,$C1513&lt;1,$C1513&gt;12,$D1513&lt;1,$D1513&gt;31),"نامعتبر",RIGHT("0000"&amp;$B1513,4)&amp;"/"&amp;RIGHT("00"&amp;$C1513,2)&amp;"/"&amp;RIGHT("00"&amp;$D1513,2)))</f>
        <v/>
      </c>
      <c r="F1513">
        <f>IF(OR($E1513="",$E1513="نامعتبر"),"",IF(Sync!$Q1510="","0000",IF(AND(ISNUMBER(Sync!$Q1510),Sync!$Q1510&gt;=0,Sync!$Q1510&lt;1),RIGHT("00"&amp;HOUR(Sync!$Q1510),2)&amp;RIGHT("00"&amp;MINUTE(Sync!$Q1510),2),IFERROR(RIGHT("00"&amp;VALUE(LEFT(Sync!$Q1510,FIND(":",Sync!$Q1510)-1)),2)&amp;RIGHT("00"&amp;VALUE(MID(Sync!$Q1510,FIND(":",Sync!$Q1510)+1,2)),2),"0000"))))</f>
        <v/>
      </c>
      <c r="G1513">
        <f>IF(OR($E1513="",$E1513="نامعتبر"),"",IF(Sync!$S1510="","",Sync!$S1510))</f>
        <v/>
      </c>
      <c r="H1513">
        <f>IF(OR($E1513="",$E1513="نامعتبر"),"",IF(Sync!$R1510="","",Sync!$R1510))</f>
        <v/>
      </c>
      <c r="I1513">
        <f>IF(OR($E1513="",$E1513="نامعتبر"),"",IF(Sync!$T1510="","",Sync!$T1510))</f>
        <v/>
      </c>
      <c r="J1513">
        <f>IF(OR($E1513="",$E1513="نامعتبر"),"",IF(Sync!$U1510="","",Sync!$U1510))</f>
        <v/>
      </c>
      <c r="K1513">
        <f>IF(OR($E1513="",$E1513="نامعتبر"),"",IF(Sync!$V1510="","",IFERROR(INDEX(SubCodes,MATCH(Sync!$V1510,SubTitles,0)),Sync!$V1510)))</f>
        <v/>
      </c>
      <c r="L1513">
        <f>IF(OR($E1513="",$E1513="نامعتبر"),"",IF(Sync!$W1510="",0,Sync!$W1510))</f>
        <v/>
      </c>
      <c r="M1513">
        <f>IF(OR($E1513="",$E1513="نامعتبر"),"",IF(Sync!$X1510="",0,Sync!$X1510))</f>
        <v/>
      </c>
      <c r="N1513">
        <f>IF(OR($E1513="",$E1513="نامعتبر"),"",IF(AND($J1513="هزینه",$K1513&lt;&gt;""),1,0))</f>
        <v/>
      </c>
      <c r="O1513">
        <f>IF($N1513=0,"",LEFT($E1513,4)&amp;MID($E1513,6,2)&amp;RIGHT($E1513,2)&amp;$F1513&amp;"|"&amp;"1"&amp;RIGHT("00000"&amp;1505,5))</f>
        <v/>
      </c>
      <c r="P1513">
        <f>IF($O1513="","",COUNTIFS(ExpSub,$K1513,ExpKey,"&lt;"&amp;$O1513)+1)</f>
        <v/>
      </c>
      <c r="Q1513">
        <f>IF($P1513="","",$K1513&amp;"|"&amp;RIGHT("000000"&amp;$P1513,6))</f>
        <v/>
      </c>
    </row>
    <row r="1514">
      <c r="A1514">
        <f>IF(Sync!$P1511="","",Sync!$P1511)</f>
        <v/>
      </c>
      <c r="B1514">
        <f>IF($A1514="","",IF(ISNUMBER($A1514),IF(AND($A1514&gt;=10000101,$A1514&lt;=99991231),INT($A1514/10000),""),IFERROR(VALUE(TRIM(LEFT($A1514,FIND("/",$A1514)-1))),"")))</f>
        <v/>
      </c>
      <c r="C1514">
        <f>IF(OR($A1514="",$B1514=""),"",IF(ISNUMBER($A1514),INT(MOD($A1514,10000)/100),IFERROR(VALUE(TRIM(LEFT(MID($A1514,FIND("/",$A1514)+1,20),FIND("/",MID($A1514,FIND("/",$A1514)+1,20))-1))),"")))</f>
        <v/>
      </c>
      <c r="D1514">
        <f>IF(OR($A1514="",$B1514=""),"",IF(ISNUMBER($A1514),MOD($A1514,100),IFERROR(VALUE(TRIM(MID(MID($A1514,FIND("/",$A1514)+1,20),FIND("/",MID($A1514,FIND("/",$A1514)+1,20))+1,20))),"")))</f>
        <v/>
      </c>
      <c r="E1514">
        <f>IF($A1514="","",IF(OR($B1514="",$C1514="",$D1514="",$B1514&lt;1300,$B1514&gt;1500,$C1514&lt;1,$C1514&gt;12,$D1514&lt;1,$D1514&gt;31),"نامعتبر",RIGHT("0000"&amp;$B1514,4)&amp;"/"&amp;RIGHT("00"&amp;$C1514,2)&amp;"/"&amp;RIGHT("00"&amp;$D1514,2)))</f>
        <v/>
      </c>
      <c r="F1514">
        <f>IF(OR($E1514="",$E1514="نامعتبر"),"",IF(Sync!$Q1511="","0000",IF(AND(ISNUMBER(Sync!$Q1511),Sync!$Q1511&gt;=0,Sync!$Q1511&lt;1),RIGHT("00"&amp;HOUR(Sync!$Q1511),2)&amp;RIGHT("00"&amp;MINUTE(Sync!$Q1511),2),IFERROR(RIGHT("00"&amp;VALUE(LEFT(Sync!$Q1511,FIND(":",Sync!$Q1511)-1)),2)&amp;RIGHT("00"&amp;VALUE(MID(Sync!$Q1511,FIND(":",Sync!$Q1511)+1,2)),2),"0000"))))</f>
        <v/>
      </c>
      <c r="G1514">
        <f>IF(OR($E1514="",$E1514="نامعتبر"),"",IF(Sync!$S1511="","",Sync!$S1511))</f>
        <v/>
      </c>
      <c r="H1514">
        <f>IF(OR($E1514="",$E1514="نامعتبر"),"",IF(Sync!$R1511="","",Sync!$R1511))</f>
        <v/>
      </c>
      <c r="I1514">
        <f>IF(OR($E1514="",$E1514="نامعتبر"),"",IF(Sync!$T1511="","",Sync!$T1511))</f>
        <v/>
      </c>
      <c r="J1514">
        <f>IF(OR($E1514="",$E1514="نامعتبر"),"",IF(Sync!$U1511="","",Sync!$U1511))</f>
        <v/>
      </c>
      <c r="K1514">
        <f>IF(OR($E1514="",$E1514="نامعتبر"),"",IF(Sync!$V1511="","",IFERROR(INDEX(SubCodes,MATCH(Sync!$V1511,SubTitles,0)),Sync!$V1511)))</f>
        <v/>
      </c>
      <c r="L1514">
        <f>IF(OR($E1514="",$E1514="نامعتبر"),"",IF(Sync!$W1511="",0,Sync!$W1511))</f>
        <v/>
      </c>
      <c r="M1514">
        <f>IF(OR($E1514="",$E1514="نامعتبر"),"",IF(Sync!$X1511="",0,Sync!$X1511))</f>
        <v/>
      </c>
      <c r="N1514">
        <f>IF(OR($E1514="",$E1514="نامعتبر"),"",IF(AND($J1514="هزینه",$K1514&lt;&gt;""),1,0))</f>
        <v/>
      </c>
      <c r="O1514">
        <f>IF($N1514=0,"",LEFT($E1514,4)&amp;MID($E1514,6,2)&amp;RIGHT($E1514,2)&amp;$F1514&amp;"|"&amp;"1"&amp;RIGHT("00000"&amp;1506,5))</f>
        <v/>
      </c>
      <c r="P1514">
        <f>IF($O1514="","",COUNTIFS(ExpSub,$K1514,ExpKey,"&lt;"&amp;$O1514)+1)</f>
        <v/>
      </c>
      <c r="Q1514">
        <f>IF($P1514="","",$K1514&amp;"|"&amp;RIGHT("000000"&amp;$P1514,6))</f>
        <v/>
      </c>
    </row>
    <row r="1515">
      <c r="A1515">
        <f>IF(Sync!$P1512="","",Sync!$P1512)</f>
        <v/>
      </c>
      <c r="B1515">
        <f>IF($A1515="","",IF(ISNUMBER($A1515),IF(AND($A1515&gt;=10000101,$A1515&lt;=99991231),INT($A1515/10000),""),IFERROR(VALUE(TRIM(LEFT($A1515,FIND("/",$A1515)-1))),"")))</f>
        <v/>
      </c>
      <c r="C1515">
        <f>IF(OR($A1515="",$B1515=""),"",IF(ISNUMBER($A1515),INT(MOD($A1515,10000)/100),IFERROR(VALUE(TRIM(LEFT(MID($A1515,FIND("/",$A1515)+1,20),FIND("/",MID($A1515,FIND("/",$A1515)+1,20))-1))),"")))</f>
        <v/>
      </c>
      <c r="D1515">
        <f>IF(OR($A1515="",$B1515=""),"",IF(ISNUMBER($A1515),MOD($A1515,100),IFERROR(VALUE(TRIM(MID(MID($A1515,FIND("/",$A1515)+1,20),FIND("/",MID($A1515,FIND("/",$A1515)+1,20))+1,20))),"")))</f>
        <v/>
      </c>
      <c r="E1515">
        <f>IF($A1515="","",IF(OR($B1515="",$C1515="",$D1515="",$B1515&lt;1300,$B1515&gt;1500,$C1515&lt;1,$C1515&gt;12,$D1515&lt;1,$D1515&gt;31),"نامعتبر",RIGHT("0000"&amp;$B1515,4)&amp;"/"&amp;RIGHT("00"&amp;$C1515,2)&amp;"/"&amp;RIGHT("00"&amp;$D1515,2)))</f>
        <v/>
      </c>
      <c r="F1515">
        <f>IF(OR($E1515="",$E1515="نامعتبر"),"",IF(Sync!$Q1512="","0000",IF(AND(ISNUMBER(Sync!$Q1512),Sync!$Q1512&gt;=0,Sync!$Q1512&lt;1),RIGHT("00"&amp;HOUR(Sync!$Q1512),2)&amp;RIGHT("00"&amp;MINUTE(Sync!$Q1512),2),IFERROR(RIGHT("00"&amp;VALUE(LEFT(Sync!$Q1512,FIND(":",Sync!$Q1512)-1)),2)&amp;RIGHT("00"&amp;VALUE(MID(Sync!$Q1512,FIND(":",Sync!$Q1512)+1,2)),2),"0000"))))</f>
        <v/>
      </c>
      <c r="G1515">
        <f>IF(OR($E1515="",$E1515="نامعتبر"),"",IF(Sync!$S1512="","",Sync!$S1512))</f>
        <v/>
      </c>
      <c r="H1515">
        <f>IF(OR($E1515="",$E1515="نامعتبر"),"",IF(Sync!$R1512="","",Sync!$R1512))</f>
        <v/>
      </c>
      <c r="I1515">
        <f>IF(OR($E1515="",$E1515="نامعتبر"),"",IF(Sync!$T1512="","",Sync!$T1512))</f>
        <v/>
      </c>
      <c r="J1515">
        <f>IF(OR($E1515="",$E1515="نامعتبر"),"",IF(Sync!$U1512="","",Sync!$U1512))</f>
        <v/>
      </c>
      <c r="K1515">
        <f>IF(OR($E1515="",$E1515="نامعتبر"),"",IF(Sync!$V1512="","",IFERROR(INDEX(SubCodes,MATCH(Sync!$V1512,SubTitles,0)),Sync!$V1512)))</f>
        <v/>
      </c>
      <c r="L1515">
        <f>IF(OR($E1515="",$E1515="نامعتبر"),"",IF(Sync!$W1512="",0,Sync!$W1512))</f>
        <v/>
      </c>
      <c r="M1515">
        <f>IF(OR($E1515="",$E1515="نامعتبر"),"",IF(Sync!$X1512="",0,Sync!$X1512))</f>
        <v/>
      </c>
      <c r="N1515">
        <f>IF(OR($E1515="",$E1515="نامعتبر"),"",IF(AND($J1515="هزینه",$K1515&lt;&gt;""),1,0))</f>
        <v/>
      </c>
      <c r="O1515">
        <f>IF($N1515=0,"",LEFT($E1515,4)&amp;MID($E1515,6,2)&amp;RIGHT($E1515,2)&amp;$F1515&amp;"|"&amp;"1"&amp;RIGHT("00000"&amp;1507,5))</f>
        <v/>
      </c>
      <c r="P1515">
        <f>IF($O1515="","",COUNTIFS(ExpSub,$K1515,ExpKey,"&lt;"&amp;$O1515)+1)</f>
        <v/>
      </c>
      <c r="Q1515">
        <f>IF($P1515="","",$K1515&amp;"|"&amp;RIGHT("000000"&amp;$P1515,6))</f>
        <v/>
      </c>
    </row>
    <row r="1516">
      <c r="A1516">
        <f>IF(Sync!$P1513="","",Sync!$P1513)</f>
        <v/>
      </c>
      <c r="B1516">
        <f>IF($A1516="","",IF(ISNUMBER($A1516),IF(AND($A1516&gt;=10000101,$A1516&lt;=99991231),INT($A1516/10000),""),IFERROR(VALUE(TRIM(LEFT($A1516,FIND("/",$A1516)-1))),"")))</f>
        <v/>
      </c>
      <c r="C1516">
        <f>IF(OR($A1516="",$B1516=""),"",IF(ISNUMBER($A1516),INT(MOD($A1516,10000)/100),IFERROR(VALUE(TRIM(LEFT(MID($A1516,FIND("/",$A1516)+1,20),FIND("/",MID($A1516,FIND("/",$A1516)+1,20))-1))),"")))</f>
        <v/>
      </c>
      <c r="D1516">
        <f>IF(OR($A1516="",$B1516=""),"",IF(ISNUMBER($A1516),MOD($A1516,100),IFERROR(VALUE(TRIM(MID(MID($A1516,FIND("/",$A1516)+1,20),FIND("/",MID($A1516,FIND("/",$A1516)+1,20))+1,20))),"")))</f>
        <v/>
      </c>
      <c r="E1516">
        <f>IF($A1516="","",IF(OR($B1516="",$C1516="",$D1516="",$B1516&lt;1300,$B1516&gt;1500,$C1516&lt;1,$C1516&gt;12,$D1516&lt;1,$D1516&gt;31),"نامعتبر",RIGHT("0000"&amp;$B1516,4)&amp;"/"&amp;RIGHT("00"&amp;$C1516,2)&amp;"/"&amp;RIGHT("00"&amp;$D1516,2)))</f>
        <v/>
      </c>
      <c r="F1516">
        <f>IF(OR($E1516="",$E1516="نامعتبر"),"",IF(Sync!$Q1513="","0000",IF(AND(ISNUMBER(Sync!$Q1513),Sync!$Q1513&gt;=0,Sync!$Q1513&lt;1),RIGHT("00"&amp;HOUR(Sync!$Q1513),2)&amp;RIGHT("00"&amp;MINUTE(Sync!$Q1513),2),IFERROR(RIGHT("00"&amp;VALUE(LEFT(Sync!$Q1513,FIND(":",Sync!$Q1513)-1)),2)&amp;RIGHT("00"&amp;VALUE(MID(Sync!$Q1513,FIND(":",Sync!$Q1513)+1,2)),2),"0000"))))</f>
        <v/>
      </c>
      <c r="G1516">
        <f>IF(OR($E1516="",$E1516="نامعتبر"),"",IF(Sync!$S1513="","",Sync!$S1513))</f>
        <v/>
      </c>
      <c r="H1516">
        <f>IF(OR($E1516="",$E1516="نامعتبر"),"",IF(Sync!$R1513="","",Sync!$R1513))</f>
        <v/>
      </c>
      <c r="I1516">
        <f>IF(OR($E1516="",$E1516="نامعتبر"),"",IF(Sync!$T1513="","",Sync!$T1513))</f>
        <v/>
      </c>
      <c r="J1516">
        <f>IF(OR($E1516="",$E1516="نامعتبر"),"",IF(Sync!$U1513="","",Sync!$U1513))</f>
        <v/>
      </c>
      <c r="K1516">
        <f>IF(OR($E1516="",$E1516="نامعتبر"),"",IF(Sync!$V1513="","",IFERROR(INDEX(SubCodes,MATCH(Sync!$V1513,SubTitles,0)),Sync!$V1513)))</f>
        <v/>
      </c>
      <c r="L1516">
        <f>IF(OR($E1516="",$E1516="نامعتبر"),"",IF(Sync!$W1513="",0,Sync!$W1513))</f>
        <v/>
      </c>
      <c r="M1516">
        <f>IF(OR($E1516="",$E1516="نامعتبر"),"",IF(Sync!$X1513="",0,Sync!$X1513))</f>
        <v/>
      </c>
      <c r="N1516">
        <f>IF(OR($E1516="",$E1516="نامعتبر"),"",IF(AND($J1516="هزینه",$K1516&lt;&gt;""),1,0))</f>
        <v/>
      </c>
      <c r="O1516">
        <f>IF($N1516=0,"",LEFT($E1516,4)&amp;MID($E1516,6,2)&amp;RIGHT($E1516,2)&amp;$F1516&amp;"|"&amp;"1"&amp;RIGHT("00000"&amp;1508,5))</f>
        <v/>
      </c>
      <c r="P1516">
        <f>IF($O1516="","",COUNTIFS(ExpSub,$K1516,ExpKey,"&lt;"&amp;$O1516)+1)</f>
        <v/>
      </c>
      <c r="Q1516">
        <f>IF($P1516="","",$K1516&amp;"|"&amp;RIGHT("000000"&amp;$P1516,6))</f>
        <v/>
      </c>
    </row>
    <row r="1517">
      <c r="A1517">
        <f>IF(Sync!$P1514="","",Sync!$P1514)</f>
        <v/>
      </c>
      <c r="B1517">
        <f>IF($A1517="","",IF(ISNUMBER($A1517),IF(AND($A1517&gt;=10000101,$A1517&lt;=99991231),INT($A1517/10000),""),IFERROR(VALUE(TRIM(LEFT($A1517,FIND("/",$A1517)-1))),"")))</f>
        <v/>
      </c>
      <c r="C1517">
        <f>IF(OR($A1517="",$B1517=""),"",IF(ISNUMBER($A1517),INT(MOD($A1517,10000)/100),IFERROR(VALUE(TRIM(LEFT(MID($A1517,FIND("/",$A1517)+1,20),FIND("/",MID($A1517,FIND("/",$A1517)+1,20))-1))),"")))</f>
        <v/>
      </c>
      <c r="D1517">
        <f>IF(OR($A1517="",$B1517=""),"",IF(ISNUMBER($A1517),MOD($A1517,100),IFERROR(VALUE(TRIM(MID(MID($A1517,FIND("/",$A1517)+1,20),FIND("/",MID($A1517,FIND("/",$A1517)+1,20))+1,20))),"")))</f>
        <v/>
      </c>
      <c r="E1517">
        <f>IF($A1517="","",IF(OR($B1517="",$C1517="",$D1517="",$B1517&lt;1300,$B1517&gt;1500,$C1517&lt;1,$C1517&gt;12,$D1517&lt;1,$D1517&gt;31),"نامعتبر",RIGHT("0000"&amp;$B1517,4)&amp;"/"&amp;RIGHT("00"&amp;$C1517,2)&amp;"/"&amp;RIGHT("00"&amp;$D1517,2)))</f>
        <v/>
      </c>
      <c r="F1517">
        <f>IF(OR($E1517="",$E1517="نامعتبر"),"",IF(Sync!$Q1514="","0000",IF(AND(ISNUMBER(Sync!$Q1514),Sync!$Q1514&gt;=0,Sync!$Q1514&lt;1),RIGHT("00"&amp;HOUR(Sync!$Q1514),2)&amp;RIGHT("00"&amp;MINUTE(Sync!$Q1514),2),IFERROR(RIGHT("00"&amp;VALUE(LEFT(Sync!$Q1514,FIND(":",Sync!$Q1514)-1)),2)&amp;RIGHT("00"&amp;VALUE(MID(Sync!$Q1514,FIND(":",Sync!$Q1514)+1,2)),2),"0000"))))</f>
        <v/>
      </c>
      <c r="G1517">
        <f>IF(OR($E1517="",$E1517="نامعتبر"),"",IF(Sync!$S1514="","",Sync!$S1514))</f>
        <v/>
      </c>
      <c r="H1517">
        <f>IF(OR($E1517="",$E1517="نامعتبر"),"",IF(Sync!$R1514="","",Sync!$R1514))</f>
        <v/>
      </c>
      <c r="I1517">
        <f>IF(OR($E1517="",$E1517="نامعتبر"),"",IF(Sync!$T1514="","",Sync!$T1514))</f>
        <v/>
      </c>
      <c r="J1517">
        <f>IF(OR($E1517="",$E1517="نامعتبر"),"",IF(Sync!$U1514="","",Sync!$U1514))</f>
        <v/>
      </c>
      <c r="K1517">
        <f>IF(OR($E1517="",$E1517="نامعتبر"),"",IF(Sync!$V1514="","",IFERROR(INDEX(SubCodes,MATCH(Sync!$V1514,SubTitles,0)),Sync!$V1514)))</f>
        <v/>
      </c>
      <c r="L1517">
        <f>IF(OR($E1517="",$E1517="نامعتبر"),"",IF(Sync!$W1514="",0,Sync!$W1514))</f>
        <v/>
      </c>
      <c r="M1517">
        <f>IF(OR($E1517="",$E1517="نامعتبر"),"",IF(Sync!$X1514="",0,Sync!$X1514))</f>
        <v/>
      </c>
      <c r="N1517">
        <f>IF(OR($E1517="",$E1517="نامعتبر"),"",IF(AND($J1517="هزینه",$K1517&lt;&gt;""),1,0))</f>
        <v/>
      </c>
      <c r="O1517">
        <f>IF($N1517=0,"",LEFT($E1517,4)&amp;MID($E1517,6,2)&amp;RIGHT($E1517,2)&amp;$F1517&amp;"|"&amp;"1"&amp;RIGHT("00000"&amp;1509,5))</f>
        <v/>
      </c>
      <c r="P1517">
        <f>IF($O1517="","",COUNTIFS(ExpSub,$K1517,ExpKey,"&lt;"&amp;$O1517)+1)</f>
        <v/>
      </c>
      <c r="Q1517">
        <f>IF($P1517="","",$K1517&amp;"|"&amp;RIGHT("000000"&amp;$P1517,6))</f>
        <v/>
      </c>
    </row>
    <row r="1518">
      <c r="A1518">
        <f>IF(Sync!$P1515="","",Sync!$P1515)</f>
        <v/>
      </c>
      <c r="B1518">
        <f>IF($A1518="","",IF(ISNUMBER($A1518),IF(AND($A1518&gt;=10000101,$A1518&lt;=99991231),INT($A1518/10000),""),IFERROR(VALUE(TRIM(LEFT($A1518,FIND("/",$A1518)-1))),"")))</f>
        <v/>
      </c>
      <c r="C1518">
        <f>IF(OR($A1518="",$B1518=""),"",IF(ISNUMBER($A1518),INT(MOD($A1518,10000)/100),IFERROR(VALUE(TRIM(LEFT(MID($A1518,FIND("/",$A1518)+1,20),FIND("/",MID($A1518,FIND("/",$A1518)+1,20))-1))),"")))</f>
        <v/>
      </c>
      <c r="D1518">
        <f>IF(OR($A1518="",$B1518=""),"",IF(ISNUMBER($A1518),MOD($A1518,100),IFERROR(VALUE(TRIM(MID(MID($A1518,FIND("/",$A1518)+1,20),FIND("/",MID($A1518,FIND("/",$A1518)+1,20))+1,20))),"")))</f>
        <v/>
      </c>
      <c r="E1518">
        <f>IF($A1518="","",IF(OR($B1518="",$C1518="",$D1518="",$B1518&lt;1300,$B1518&gt;1500,$C1518&lt;1,$C1518&gt;12,$D1518&lt;1,$D1518&gt;31),"نامعتبر",RIGHT("0000"&amp;$B1518,4)&amp;"/"&amp;RIGHT("00"&amp;$C1518,2)&amp;"/"&amp;RIGHT("00"&amp;$D1518,2)))</f>
        <v/>
      </c>
      <c r="F1518">
        <f>IF(OR($E1518="",$E1518="نامعتبر"),"",IF(Sync!$Q1515="","0000",IF(AND(ISNUMBER(Sync!$Q1515),Sync!$Q1515&gt;=0,Sync!$Q1515&lt;1),RIGHT("00"&amp;HOUR(Sync!$Q1515),2)&amp;RIGHT("00"&amp;MINUTE(Sync!$Q1515),2),IFERROR(RIGHT("00"&amp;VALUE(LEFT(Sync!$Q1515,FIND(":",Sync!$Q1515)-1)),2)&amp;RIGHT("00"&amp;VALUE(MID(Sync!$Q1515,FIND(":",Sync!$Q1515)+1,2)),2),"0000"))))</f>
        <v/>
      </c>
      <c r="G1518">
        <f>IF(OR($E1518="",$E1518="نامعتبر"),"",IF(Sync!$S1515="","",Sync!$S1515))</f>
        <v/>
      </c>
      <c r="H1518">
        <f>IF(OR($E1518="",$E1518="نامعتبر"),"",IF(Sync!$R1515="","",Sync!$R1515))</f>
        <v/>
      </c>
      <c r="I1518">
        <f>IF(OR($E1518="",$E1518="نامعتبر"),"",IF(Sync!$T1515="","",Sync!$T1515))</f>
        <v/>
      </c>
      <c r="J1518">
        <f>IF(OR($E1518="",$E1518="نامعتبر"),"",IF(Sync!$U1515="","",Sync!$U1515))</f>
        <v/>
      </c>
      <c r="K1518">
        <f>IF(OR($E1518="",$E1518="نامعتبر"),"",IF(Sync!$V1515="","",IFERROR(INDEX(SubCodes,MATCH(Sync!$V1515,SubTitles,0)),Sync!$V1515)))</f>
        <v/>
      </c>
      <c r="L1518">
        <f>IF(OR($E1518="",$E1518="نامعتبر"),"",IF(Sync!$W1515="",0,Sync!$W1515))</f>
        <v/>
      </c>
      <c r="M1518">
        <f>IF(OR($E1518="",$E1518="نامعتبر"),"",IF(Sync!$X1515="",0,Sync!$X1515))</f>
        <v/>
      </c>
      <c r="N1518">
        <f>IF(OR($E1518="",$E1518="نامعتبر"),"",IF(AND($J1518="هزینه",$K1518&lt;&gt;""),1,0))</f>
        <v/>
      </c>
      <c r="O1518">
        <f>IF($N1518=0,"",LEFT($E1518,4)&amp;MID($E1518,6,2)&amp;RIGHT($E1518,2)&amp;$F1518&amp;"|"&amp;"1"&amp;RIGHT("00000"&amp;1510,5))</f>
        <v/>
      </c>
      <c r="P1518">
        <f>IF($O1518="","",COUNTIFS(ExpSub,$K1518,ExpKey,"&lt;"&amp;$O1518)+1)</f>
        <v/>
      </c>
      <c r="Q1518">
        <f>IF($P1518="","",$K1518&amp;"|"&amp;RIGHT("000000"&amp;$P1518,6))</f>
        <v/>
      </c>
    </row>
    <row r="1519">
      <c r="A1519">
        <f>IF(Sync!$P1516="","",Sync!$P1516)</f>
        <v/>
      </c>
      <c r="B1519">
        <f>IF($A1519="","",IF(ISNUMBER($A1519),IF(AND($A1519&gt;=10000101,$A1519&lt;=99991231),INT($A1519/10000),""),IFERROR(VALUE(TRIM(LEFT($A1519,FIND("/",$A1519)-1))),"")))</f>
        <v/>
      </c>
      <c r="C1519">
        <f>IF(OR($A1519="",$B1519=""),"",IF(ISNUMBER($A1519),INT(MOD($A1519,10000)/100),IFERROR(VALUE(TRIM(LEFT(MID($A1519,FIND("/",$A1519)+1,20),FIND("/",MID($A1519,FIND("/",$A1519)+1,20))-1))),"")))</f>
        <v/>
      </c>
      <c r="D1519">
        <f>IF(OR($A1519="",$B1519=""),"",IF(ISNUMBER($A1519),MOD($A1519,100),IFERROR(VALUE(TRIM(MID(MID($A1519,FIND("/",$A1519)+1,20),FIND("/",MID($A1519,FIND("/",$A1519)+1,20))+1,20))),"")))</f>
        <v/>
      </c>
      <c r="E1519">
        <f>IF($A1519="","",IF(OR($B1519="",$C1519="",$D1519="",$B1519&lt;1300,$B1519&gt;1500,$C1519&lt;1,$C1519&gt;12,$D1519&lt;1,$D1519&gt;31),"نامعتبر",RIGHT("0000"&amp;$B1519,4)&amp;"/"&amp;RIGHT("00"&amp;$C1519,2)&amp;"/"&amp;RIGHT("00"&amp;$D1519,2)))</f>
        <v/>
      </c>
      <c r="F1519">
        <f>IF(OR($E1519="",$E1519="نامعتبر"),"",IF(Sync!$Q1516="","0000",IF(AND(ISNUMBER(Sync!$Q1516),Sync!$Q1516&gt;=0,Sync!$Q1516&lt;1),RIGHT("00"&amp;HOUR(Sync!$Q1516),2)&amp;RIGHT("00"&amp;MINUTE(Sync!$Q1516),2),IFERROR(RIGHT("00"&amp;VALUE(LEFT(Sync!$Q1516,FIND(":",Sync!$Q1516)-1)),2)&amp;RIGHT("00"&amp;VALUE(MID(Sync!$Q1516,FIND(":",Sync!$Q1516)+1,2)),2),"0000"))))</f>
        <v/>
      </c>
      <c r="G1519">
        <f>IF(OR($E1519="",$E1519="نامعتبر"),"",IF(Sync!$S1516="","",Sync!$S1516))</f>
        <v/>
      </c>
      <c r="H1519">
        <f>IF(OR($E1519="",$E1519="نامعتبر"),"",IF(Sync!$R1516="","",Sync!$R1516))</f>
        <v/>
      </c>
      <c r="I1519">
        <f>IF(OR($E1519="",$E1519="نامعتبر"),"",IF(Sync!$T1516="","",Sync!$T1516))</f>
        <v/>
      </c>
      <c r="J1519">
        <f>IF(OR($E1519="",$E1519="نامعتبر"),"",IF(Sync!$U1516="","",Sync!$U1516))</f>
        <v/>
      </c>
      <c r="K1519">
        <f>IF(OR($E1519="",$E1519="نامعتبر"),"",IF(Sync!$V1516="","",IFERROR(INDEX(SubCodes,MATCH(Sync!$V1516,SubTitles,0)),Sync!$V1516)))</f>
        <v/>
      </c>
      <c r="L1519">
        <f>IF(OR($E1519="",$E1519="نامعتبر"),"",IF(Sync!$W1516="",0,Sync!$W1516))</f>
        <v/>
      </c>
      <c r="M1519">
        <f>IF(OR($E1519="",$E1519="نامعتبر"),"",IF(Sync!$X1516="",0,Sync!$X1516))</f>
        <v/>
      </c>
      <c r="N1519">
        <f>IF(OR($E1519="",$E1519="نامعتبر"),"",IF(AND($J1519="هزینه",$K1519&lt;&gt;""),1,0))</f>
        <v/>
      </c>
      <c r="O1519">
        <f>IF($N1519=0,"",LEFT($E1519,4)&amp;MID($E1519,6,2)&amp;RIGHT($E1519,2)&amp;$F1519&amp;"|"&amp;"1"&amp;RIGHT("00000"&amp;1511,5))</f>
        <v/>
      </c>
      <c r="P1519">
        <f>IF($O1519="","",COUNTIFS(ExpSub,$K1519,ExpKey,"&lt;"&amp;$O1519)+1)</f>
        <v/>
      </c>
      <c r="Q1519">
        <f>IF($P1519="","",$K1519&amp;"|"&amp;RIGHT("000000"&amp;$P1519,6))</f>
        <v/>
      </c>
    </row>
    <row r="1520">
      <c r="A1520">
        <f>IF(Sync!$P1517="","",Sync!$P1517)</f>
        <v/>
      </c>
      <c r="B1520">
        <f>IF($A1520="","",IF(ISNUMBER($A1520),IF(AND($A1520&gt;=10000101,$A1520&lt;=99991231),INT($A1520/10000),""),IFERROR(VALUE(TRIM(LEFT($A1520,FIND("/",$A1520)-1))),"")))</f>
        <v/>
      </c>
      <c r="C1520">
        <f>IF(OR($A1520="",$B1520=""),"",IF(ISNUMBER($A1520),INT(MOD($A1520,10000)/100),IFERROR(VALUE(TRIM(LEFT(MID($A1520,FIND("/",$A1520)+1,20),FIND("/",MID($A1520,FIND("/",$A1520)+1,20))-1))),"")))</f>
        <v/>
      </c>
      <c r="D1520">
        <f>IF(OR($A1520="",$B1520=""),"",IF(ISNUMBER($A1520),MOD($A1520,100),IFERROR(VALUE(TRIM(MID(MID($A1520,FIND("/",$A1520)+1,20),FIND("/",MID($A1520,FIND("/",$A1520)+1,20))+1,20))),"")))</f>
        <v/>
      </c>
      <c r="E1520">
        <f>IF($A1520="","",IF(OR($B1520="",$C1520="",$D1520="",$B1520&lt;1300,$B1520&gt;1500,$C1520&lt;1,$C1520&gt;12,$D1520&lt;1,$D1520&gt;31),"نامعتبر",RIGHT("0000"&amp;$B1520,4)&amp;"/"&amp;RIGHT("00"&amp;$C1520,2)&amp;"/"&amp;RIGHT("00"&amp;$D1520,2)))</f>
        <v/>
      </c>
      <c r="F1520">
        <f>IF(OR($E1520="",$E1520="نامعتبر"),"",IF(Sync!$Q1517="","0000",IF(AND(ISNUMBER(Sync!$Q1517),Sync!$Q1517&gt;=0,Sync!$Q1517&lt;1),RIGHT("00"&amp;HOUR(Sync!$Q1517),2)&amp;RIGHT("00"&amp;MINUTE(Sync!$Q1517),2),IFERROR(RIGHT("00"&amp;VALUE(LEFT(Sync!$Q1517,FIND(":",Sync!$Q1517)-1)),2)&amp;RIGHT("00"&amp;VALUE(MID(Sync!$Q1517,FIND(":",Sync!$Q1517)+1,2)),2),"0000"))))</f>
        <v/>
      </c>
      <c r="G1520">
        <f>IF(OR($E1520="",$E1520="نامعتبر"),"",IF(Sync!$S1517="","",Sync!$S1517))</f>
        <v/>
      </c>
      <c r="H1520">
        <f>IF(OR($E1520="",$E1520="نامعتبر"),"",IF(Sync!$R1517="","",Sync!$R1517))</f>
        <v/>
      </c>
      <c r="I1520">
        <f>IF(OR($E1520="",$E1520="نامعتبر"),"",IF(Sync!$T1517="","",Sync!$T1517))</f>
        <v/>
      </c>
      <c r="J1520">
        <f>IF(OR($E1520="",$E1520="نامعتبر"),"",IF(Sync!$U1517="","",Sync!$U1517))</f>
        <v/>
      </c>
      <c r="K1520">
        <f>IF(OR($E1520="",$E1520="نامعتبر"),"",IF(Sync!$V1517="","",IFERROR(INDEX(SubCodes,MATCH(Sync!$V1517,SubTitles,0)),Sync!$V1517)))</f>
        <v/>
      </c>
      <c r="L1520">
        <f>IF(OR($E1520="",$E1520="نامعتبر"),"",IF(Sync!$W1517="",0,Sync!$W1517))</f>
        <v/>
      </c>
      <c r="M1520">
        <f>IF(OR($E1520="",$E1520="نامعتبر"),"",IF(Sync!$X1517="",0,Sync!$X1517))</f>
        <v/>
      </c>
      <c r="N1520">
        <f>IF(OR($E1520="",$E1520="نامعتبر"),"",IF(AND($J1520="هزینه",$K1520&lt;&gt;""),1,0))</f>
        <v/>
      </c>
      <c r="O1520">
        <f>IF($N1520=0,"",LEFT($E1520,4)&amp;MID($E1520,6,2)&amp;RIGHT($E1520,2)&amp;$F1520&amp;"|"&amp;"1"&amp;RIGHT("00000"&amp;1512,5))</f>
        <v/>
      </c>
      <c r="P1520">
        <f>IF($O1520="","",COUNTIFS(ExpSub,$K1520,ExpKey,"&lt;"&amp;$O1520)+1)</f>
        <v/>
      </c>
      <c r="Q1520">
        <f>IF($P1520="","",$K1520&amp;"|"&amp;RIGHT("000000"&amp;$P1520,6))</f>
        <v/>
      </c>
    </row>
    <row r="1521">
      <c r="A1521">
        <f>IF(Sync!$P1518="","",Sync!$P1518)</f>
        <v/>
      </c>
      <c r="B1521">
        <f>IF($A1521="","",IF(ISNUMBER($A1521),IF(AND($A1521&gt;=10000101,$A1521&lt;=99991231),INT($A1521/10000),""),IFERROR(VALUE(TRIM(LEFT($A1521,FIND("/",$A1521)-1))),"")))</f>
        <v/>
      </c>
      <c r="C1521">
        <f>IF(OR($A1521="",$B1521=""),"",IF(ISNUMBER($A1521),INT(MOD($A1521,10000)/100),IFERROR(VALUE(TRIM(LEFT(MID($A1521,FIND("/",$A1521)+1,20),FIND("/",MID($A1521,FIND("/",$A1521)+1,20))-1))),"")))</f>
        <v/>
      </c>
      <c r="D1521">
        <f>IF(OR($A1521="",$B1521=""),"",IF(ISNUMBER($A1521),MOD($A1521,100),IFERROR(VALUE(TRIM(MID(MID($A1521,FIND("/",$A1521)+1,20),FIND("/",MID($A1521,FIND("/",$A1521)+1,20))+1,20))),"")))</f>
        <v/>
      </c>
      <c r="E1521">
        <f>IF($A1521="","",IF(OR($B1521="",$C1521="",$D1521="",$B1521&lt;1300,$B1521&gt;1500,$C1521&lt;1,$C1521&gt;12,$D1521&lt;1,$D1521&gt;31),"نامعتبر",RIGHT("0000"&amp;$B1521,4)&amp;"/"&amp;RIGHT("00"&amp;$C1521,2)&amp;"/"&amp;RIGHT("00"&amp;$D1521,2)))</f>
        <v/>
      </c>
      <c r="F1521">
        <f>IF(OR($E1521="",$E1521="نامعتبر"),"",IF(Sync!$Q1518="","0000",IF(AND(ISNUMBER(Sync!$Q1518),Sync!$Q1518&gt;=0,Sync!$Q1518&lt;1),RIGHT("00"&amp;HOUR(Sync!$Q1518),2)&amp;RIGHT("00"&amp;MINUTE(Sync!$Q1518),2),IFERROR(RIGHT("00"&amp;VALUE(LEFT(Sync!$Q1518,FIND(":",Sync!$Q1518)-1)),2)&amp;RIGHT("00"&amp;VALUE(MID(Sync!$Q1518,FIND(":",Sync!$Q1518)+1,2)),2),"0000"))))</f>
        <v/>
      </c>
      <c r="G1521">
        <f>IF(OR($E1521="",$E1521="نامعتبر"),"",IF(Sync!$S1518="","",Sync!$S1518))</f>
        <v/>
      </c>
      <c r="H1521">
        <f>IF(OR($E1521="",$E1521="نامعتبر"),"",IF(Sync!$R1518="","",Sync!$R1518))</f>
        <v/>
      </c>
      <c r="I1521">
        <f>IF(OR($E1521="",$E1521="نامعتبر"),"",IF(Sync!$T1518="","",Sync!$T1518))</f>
        <v/>
      </c>
      <c r="J1521">
        <f>IF(OR($E1521="",$E1521="نامعتبر"),"",IF(Sync!$U1518="","",Sync!$U1518))</f>
        <v/>
      </c>
      <c r="K1521">
        <f>IF(OR($E1521="",$E1521="نامعتبر"),"",IF(Sync!$V1518="","",IFERROR(INDEX(SubCodes,MATCH(Sync!$V1518,SubTitles,0)),Sync!$V1518)))</f>
        <v/>
      </c>
      <c r="L1521">
        <f>IF(OR($E1521="",$E1521="نامعتبر"),"",IF(Sync!$W1518="",0,Sync!$W1518))</f>
        <v/>
      </c>
      <c r="M1521">
        <f>IF(OR($E1521="",$E1521="نامعتبر"),"",IF(Sync!$X1518="",0,Sync!$X1518))</f>
        <v/>
      </c>
      <c r="N1521">
        <f>IF(OR($E1521="",$E1521="نامعتبر"),"",IF(AND($J1521="هزینه",$K1521&lt;&gt;""),1,0))</f>
        <v/>
      </c>
      <c r="O1521">
        <f>IF($N1521=0,"",LEFT($E1521,4)&amp;MID($E1521,6,2)&amp;RIGHT($E1521,2)&amp;$F1521&amp;"|"&amp;"1"&amp;RIGHT("00000"&amp;1513,5))</f>
        <v/>
      </c>
      <c r="P1521">
        <f>IF($O1521="","",COUNTIFS(ExpSub,$K1521,ExpKey,"&lt;"&amp;$O1521)+1)</f>
        <v/>
      </c>
      <c r="Q1521">
        <f>IF($P1521="","",$K1521&amp;"|"&amp;RIGHT("000000"&amp;$P1521,6))</f>
        <v/>
      </c>
    </row>
    <row r="1522">
      <c r="A1522">
        <f>IF(Sync!$P1519="","",Sync!$P1519)</f>
        <v/>
      </c>
      <c r="B1522">
        <f>IF($A1522="","",IF(ISNUMBER($A1522),IF(AND($A1522&gt;=10000101,$A1522&lt;=99991231),INT($A1522/10000),""),IFERROR(VALUE(TRIM(LEFT($A1522,FIND("/",$A1522)-1))),"")))</f>
        <v/>
      </c>
      <c r="C1522">
        <f>IF(OR($A1522="",$B1522=""),"",IF(ISNUMBER($A1522),INT(MOD($A1522,10000)/100),IFERROR(VALUE(TRIM(LEFT(MID($A1522,FIND("/",$A1522)+1,20),FIND("/",MID($A1522,FIND("/",$A1522)+1,20))-1))),"")))</f>
        <v/>
      </c>
      <c r="D1522">
        <f>IF(OR($A1522="",$B1522=""),"",IF(ISNUMBER($A1522),MOD($A1522,100),IFERROR(VALUE(TRIM(MID(MID($A1522,FIND("/",$A1522)+1,20),FIND("/",MID($A1522,FIND("/",$A1522)+1,20))+1,20))),"")))</f>
        <v/>
      </c>
      <c r="E1522">
        <f>IF($A1522="","",IF(OR($B1522="",$C1522="",$D1522="",$B1522&lt;1300,$B1522&gt;1500,$C1522&lt;1,$C1522&gt;12,$D1522&lt;1,$D1522&gt;31),"نامعتبر",RIGHT("0000"&amp;$B1522,4)&amp;"/"&amp;RIGHT("00"&amp;$C1522,2)&amp;"/"&amp;RIGHT("00"&amp;$D1522,2)))</f>
        <v/>
      </c>
      <c r="F1522">
        <f>IF(OR($E1522="",$E1522="نامعتبر"),"",IF(Sync!$Q1519="","0000",IF(AND(ISNUMBER(Sync!$Q1519),Sync!$Q1519&gt;=0,Sync!$Q1519&lt;1),RIGHT("00"&amp;HOUR(Sync!$Q1519),2)&amp;RIGHT("00"&amp;MINUTE(Sync!$Q1519),2),IFERROR(RIGHT("00"&amp;VALUE(LEFT(Sync!$Q1519,FIND(":",Sync!$Q1519)-1)),2)&amp;RIGHT("00"&amp;VALUE(MID(Sync!$Q1519,FIND(":",Sync!$Q1519)+1,2)),2),"0000"))))</f>
        <v/>
      </c>
      <c r="G1522">
        <f>IF(OR($E1522="",$E1522="نامعتبر"),"",IF(Sync!$S1519="","",Sync!$S1519))</f>
        <v/>
      </c>
      <c r="H1522">
        <f>IF(OR($E1522="",$E1522="نامعتبر"),"",IF(Sync!$R1519="","",Sync!$R1519))</f>
        <v/>
      </c>
      <c r="I1522">
        <f>IF(OR($E1522="",$E1522="نامعتبر"),"",IF(Sync!$T1519="","",Sync!$T1519))</f>
        <v/>
      </c>
      <c r="J1522">
        <f>IF(OR($E1522="",$E1522="نامعتبر"),"",IF(Sync!$U1519="","",Sync!$U1519))</f>
        <v/>
      </c>
      <c r="K1522">
        <f>IF(OR($E1522="",$E1522="نامعتبر"),"",IF(Sync!$V1519="","",IFERROR(INDEX(SubCodes,MATCH(Sync!$V1519,SubTitles,0)),Sync!$V1519)))</f>
        <v/>
      </c>
      <c r="L1522">
        <f>IF(OR($E1522="",$E1522="نامعتبر"),"",IF(Sync!$W1519="",0,Sync!$W1519))</f>
        <v/>
      </c>
      <c r="M1522">
        <f>IF(OR($E1522="",$E1522="نامعتبر"),"",IF(Sync!$X1519="",0,Sync!$X1519))</f>
        <v/>
      </c>
      <c r="N1522">
        <f>IF(OR($E1522="",$E1522="نامعتبر"),"",IF(AND($J1522="هزینه",$K1522&lt;&gt;""),1,0))</f>
        <v/>
      </c>
      <c r="O1522">
        <f>IF($N1522=0,"",LEFT($E1522,4)&amp;MID($E1522,6,2)&amp;RIGHT($E1522,2)&amp;$F1522&amp;"|"&amp;"1"&amp;RIGHT("00000"&amp;1514,5))</f>
        <v/>
      </c>
      <c r="P1522">
        <f>IF($O1522="","",COUNTIFS(ExpSub,$K1522,ExpKey,"&lt;"&amp;$O1522)+1)</f>
        <v/>
      </c>
      <c r="Q1522">
        <f>IF($P1522="","",$K1522&amp;"|"&amp;RIGHT("000000"&amp;$P1522,6))</f>
        <v/>
      </c>
    </row>
    <row r="1523">
      <c r="A1523">
        <f>IF(Sync!$P1520="","",Sync!$P1520)</f>
        <v/>
      </c>
      <c r="B1523">
        <f>IF($A1523="","",IF(ISNUMBER($A1523),IF(AND($A1523&gt;=10000101,$A1523&lt;=99991231),INT($A1523/10000),""),IFERROR(VALUE(TRIM(LEFT($A1523,FIND("/",$A1523)-1))),"")))</f>
        <v/>
      </c>
      <c r="C1523">
        <f>IF(OR($A1523="",$B1523=""),"",IF(ISNUMBER($A1523),INT(MOD($A1523,10000)/100),IFERROR(VALUE(TRIM(LEFT(MID($A1523,FIND("/",$A1523)+1,20),FIND("/",MID($A1523,FIND("/",$A1523)+1,20))-1))),"")))</f>
        <v/>
      </c>
      <c r="D1523">
        <f>IF(OR($A1523="",$B1523=""),"",IF(ISNUMBER($A1523),MOD($A1523,100),IFERROR(VALUE(TRIM(MID(MID($A1523,FIND("/",$A1523)+1,20),FIND("/",MID($A1523,FIND("/",$A1523)+1,20))+1,20))),"")))</f>
        <v/>
      </c>
      <c r="E1523">
        <f>IF($A1523="","",IF(OR($B1523="",$C1523="",$D1523="",$B1523&lt;1300,$B1523&gt;1500,$C1523&lt;1,$C1523&gt;12,$D1523&lt;1,$D1523&gt;31),"نامعتبر",RIGHT("0000"&amp;$B1523,4)&amp;"/"&amp;RIGHT("00"&amp;$C1523,2)&amp;"/"&amp;RIGHT("00"&amp;$D1523,2)))</f>
        <v/>
      </c>
      <c r="F1523">
        <f>IF(OR($E1523="",$E1523="نامعتبر"),"",IF(Sync!$Q1520="","0000",IF(AND(ISNUMBER(Sync!$Q1520),Sync!$Q1520&gt;=0,Sync!$Q1520&lt;1),RIGHT("00"&amp;HOUR(Sync!$Q1520),2)&amp;RIGHT("00"&amp;MINUTE(Sync!$Q1520),2),IFERROR(RIGHT("00"&amp;VALUE(LEFT(Sync!$Q1520,FIND(":",Sync!$Q1520)-1)),2)&amp;RIGHT("00"&amp;VALUE(MID(Sync!$Q1520,FIND(":",Sync!$Q1520)+1,2)),2),"0000"))))</f>
        <v/>
      </c>
      <c r="G1523">
        <f>IF(OR($E1523="",$E1523="نامعتبر"),"",IF(Sync!$S1520="","",Sync!$S1520))</f>
        <v/>
      </c>
      <c r="H1523">
        <f>IF(OR($E1523="",$E1523="نامعتبر"),"",IF(Sync!$R1520="","",Sync!$R1520))</f>
        <v/>
      </c>
      <c r="I1523">
        <f>IF(OR($E1523="",$E1523="نامعتبر"),"",IF(Sync!$T1520="","",Sync!$T1520))</f>
        <v/>
      </c>
      <c r="J1523">
        <f>IF(OR($E1523="",$E1523="نامعتبر"),"",IF(Sync!$U1520="","",Sync!$U1520))</f>
        <v/>
      </c>
      <c r="K1523">
        <f>IF(OR($E1523="",$E1523="نامعتبر"),"",IF(Sync!$V1520="","",IFERROR(INDEX(SubCodes,MATCH(Sync!$V1520,SubTitles,0)),Sync!$V1520)))</f>
        <v/>
      </c>
      <c r="L1523">
        <f>IF(OR($E1523="",$E1523="نامعتبر"),"",IF(Sync!$W1520="",0,Sync!$W1520))</f>
        <v/>
      </c>
      <c r="M1523">
        <f>IF(OR($E1523="",$E1523="نامعتبر"),"",IF(Sync!$X1520="",0,Sync!$X1520))</f>
        <v/>
      </c>
      <c r="N1523">
        <f>IF(OR($E1523="",$E1523="نامعتبر"),"",IF(AND($J1523="هزینه",$K1523&lt;&gt;""),1,0))</f>
        <v/>
      </c>
      <c r="O1523">
        <f>IF($N1523=0,"",LEFT($E1523,4)&amp;MID($E1523,6,2)&amp;RIGHT($E1523,2)&amp;$F1523&amp;"|"&amp;"1"&amp;RIGHT("00000"&amp;1515,5))</f>
        <v/>
      </c>
      <c r="P1523">
        <f>IF($O1523="","",COUNTIFS(ExpSub,$K1523,ExpKey,"&lt;"&amp;$O1523)+1)</f>
        <v/>
      </c>
      <c r="Q1523">
        <f>IF($P1523="","",$K1523&amp;"|"&amp;RIGHT("000000"&amp;$P1523,6))</f>
        <v/>
      </c>
    </row>
    <row r="1524">
      <c r="A1524">
        <f>IF(Sync!$P1521="","",Sync!$P1521)</f>
        <v/>
      </c>
      <c r="B1524">
        <f>IF($A1524="","",IF(ISNUMBER($A1524),IF(AND($A1524&gt;=10000101,$A1524&lt;=99991231),INT($A1524/10000),""),IFERROR(VALUE(TRIM(LEFT($A1524,FIND("/",$A1524)-1))),"")))</f>
        <v/>
      </c>
      <c r="C1524">
        <f>IF(OR($A1524="",$B1524=""),"",IF(ISNUMBER($A1524),INT(MOD($A1524,10000)/100),IFERROR(VALUE(TRIM(LEFT(MID($A1524,FIND("/",$A1524)+1,20),FIND("/",MID($A1524,FIND("/",$A1524)+1,20))-1))),"")))</f>
        <v/>
      </c>
      <c r="D1524">
        <f>IF(OR($A1524="",$B1524=""),"",IF(ISNUMBER($A1524),MOD($A1524,100),IFERROR(VALUE(TRIM(MID(MID($A1524,FIND("/",$A1524)+1,20),FIND("/",MID($A1524,FIND("/",$A1524)+1,20))+1,20))),"")))</f>
        <v/>
      </c>
      <c r="E1524">
        <f>IF($A1524="","",IF(OR($B1524="",$C1524="",$D1524="",$B1524&lt;1300,$B1524&gt;1500,$C1524&lt;1,$C1524&gt;12,$D1524&lt;1,$D1524&gt;31),"نامعتبر",RIGHT("0000"&amp;$B1524,4)&amp;"/"&amp;RIGHT("00"&amp;$C1524,2)&amp;"/"&amp;RIGHT("00"&amp;$D1524,2)))</f>
        <v/>
      </c>
      <c r="F1524">
        <f>IF(OR($E1524="",$E1524="نامعتبر"),"",IF(Sync!$Q1521="","0000",IF(AND(ISNUMBER(Sync!$Q1521),Sync!$Q1521&gt;=0,Sync!$Q1521&lt;1),RIGHT("00"&amp;HOUR(Sync!$Q1521),2)&amp;RIGHT("00"&amp;MINUTE(Sync!$Q1521),2),IFERROR(RIGHT("00"&amp;VALUE(LEFT(Sync!$Q1521,FIND(":",Sync!$Q1521)-1)),2)&amp;RIGHT("00"&amp;VALUE(MID(Sync!$Q1521,FIND(":",Sync!$Q1521)+1,2)),2),"0000"))))</f>
        <v/>
      </c>
      <c r="G1524">
        <f>IF(OR($E1524="",$E1524="نامعتبر"),"",IF(Sync!$S1521="","",Sync!$S1521))</f>
        <v/>
      </c>
      <c r="H1524">
        <f>IF(OR($E1524="",$E1524="نامعتبر"),"",IF(Sync!$R1521="","",Sync!$R1521))</f>
        <v/>
      </c>
      <c r="I1524">
        <f>IF(OR($E1524="",$E1524="نامعتبر"),"",IF(Sync!$T1521="","",Sync!$T1521))</f>
        <v/>
      </c>
      <c r="J1524">
        <f>IF(OR($E1524="",$E1524="نامعتبر"),"",IF(Sync!$U1521="","",Sync!$U1521))</f>
        <v/>
      </c>
      <c r="K1524">
        <f>IF(OR($E1524="",$E1524="نامعتبر"),"",IF(Sync!$V1521="","",IFERROR(INDEX(SubCodes,MATCH(Sync!$V1521,SubTitles,0)),Sync!$V1521)))</f>
        <v/>
      </c>
      <c r="L1524">
        <f>IF(OR($E1524="",$E1524="نامعتبر"),"",IF(Sync!$W1521="",0,Sync!$W1521))</f>
        <v/>
      </c>
      <c r="M1524">
        <f>IF(OR($E1524="",$E1524="نامعتبر"),"",IF(Sync!$X1521="",0,Sync!$X1521))</f>
        <v/>
      </c>
      <c r="N1524">
        <f>IF(OR($E1524="",$E1524="نامعتبر"),"",IF(AND($J1524="هزینه",$K1524&lt;&gt;""),1,0))</f>
        <v/>
      </c>
      <c r="O1524">
        <f>IF($N1524=0,"",LEFT($E1524,4)&amp;MID($E1524,6,2)&amp;RIGHT($E1524,2)&amp;$F1524&amp;"|"&amp;"1"&amp;RIGHT("00000"&amp;1516,5))</f>
        <v/>
      </c>
      <c r="P1524">
        <f>IF($O1524="","",COUNTIFS(ExpSub,$K1524,ExpKey,"&lt;"&amp;$O1524)+1)</f>
        <v/>
      </c>
      <c r="Q1524">
        <f>IF($P1524="","",$K1524&amp;"|"&amp;RIGHT("000000"&amp;$P1524,6))</f>
        <v/>
      </c>
    </row>
    <row r="1525">
      <c r="A1525">
        <f>IF(Sync!$P1522="","",Sync!$P1522)</f>
        <v/>
      </c>
      <c r="B1525">
        <f>IF($A1525="","",IF(ISNUMBER($A1525),IF(AND($A1525&gt;=10000101,$A1525&lt;=99991231),INT($A1525/10000),""),IFERROR(VALUE(TRIM(LEFT($A1525,FIND("/",$A1525)-1))),"")))</f>
        <v/>
      </c>
      <c r="C1525">
        <f>IF(OR($A1525="",$B1525=""),"",IF(ISNUMBER($A1525),INT(MOD($A1525,10000)/100),IFERROR(VALUE(TRIM(LEFT(MID($A1525,FIND("/",$A1525)+1,20),FIND("/",MID($A1525,FIND("/",$A1525)+1,20))-1))),"")))</f>
        <v/>
      </c>
      <c r="D1525">
        <f>IF(OR($A1525="",$B1525=""),"",IF(ISNUMBER($A1525),MOD($A1525,100),IFERROR(VALUE(TRIM(MID(MID($A1525,FIND("/",$A1525)+1,20),FIND("/",MID($A1525,FIND("/",$A1525)+1,20))+1,20))),"")))</f>
        <v/>
      </c>
      <c r="E1525">
        <f>IF($A1525="","",IF(OR($B1525="",$C1525="",$D1525="",$B1525&lt;1300,$B1525&gt;1500,$C1525&lt;1,$C1525&gt;12,$D1525&lt;1,$D1525&gt;31),"نامعتبر",RIGHT("0000"&amp;$B1525,4)&amp;"/"&amp;RIGHT("00"&amp;$C1525,2)&amp;"/"&amp;RIGHT("00"&amp;$D1525,2)))</f>
        <v/>
      </c>
      <c r="F1525">
        <f>IF(OR($E1525="",$E1525="نامعتبر"),"",IF(Sync!$Q1522="","0000",IF(AND(ISNUMBER(Sync!$Q1522),Sync!$Q1522&gt;=0,Sync!$Q1522&lt;1),RIGHT("00"&amp;HOUR(Sync!$Q1522),2)&amp;RIGHT("00"&amp;MINUTE(Sync!$Q1522),2),IFERROR(RIGHT("00"&amp;VALUE(LEFT(Sync!$Q1522,FIND(":",Sync!$Q1522)-1)),2)&amp;RIGHT("00"&amp;VALUE(MID(Sync!$Q1522,FIND(":",Sync!$Q1522)+1,2)),2),"0000"))))</f>
        <v/>
      </c>
      <c r="G1525">
        <f>IF(OR($E1525="",$E1525="نامعتبر"),"",IF(Sync!$S1522="","",Sync!$S1522))</f>
        <v/>
      </c>
      <c r="H1525">
        <f>IF(OR($E1525="",$E1525="نامعتبر"),"",IF(Sync!$R1522="","",Sync!$R1522))</f>
        <v/>
      </c>
      <c r="I1525">
        <f>IF(OR($E1525="",$E1525="نامعتبر"),"",IF(Sync!$T1522="","",Sync!$T1522))</f>
        <v/>
      </c>
      <c r="J1525">
        <f>IF(OR($E1525="",$E1525="نامعتبر"),"",IF(Sync!$U1522="","",Sync!$U1522))</f>
        <v/>
      </c>
      <c r="K1525">
        <f>IF(OR($E1525="",$E1525="نامعتبر"),"",IF(Sync!$V1522="","",IFERROR(INDEX(SubCodes,MATCH(Sync!$V1522,SubTitles,0)),Sync!$V1522)))</f>
        <v/>
      </c>
      <c r="L1525">
        <f>IF(OR($E1525="",$E1525="نامعتبر"),"",IF(Sync!$W1522="",0,Sync!$W1522))</f>
        <v/>
      </c>
      <c r="M1525">
        <f>IF(OR($E1525="",$E1525="نامعتبر"),"",IF(Sync!$X1522="",0,Sync!$X1522))</f>
        <v/>
      </c>
      <c r="N1525">
        <f>IF(OR($E1525="",$E1525="نامعتبر"),"",IF(AND($J1525="هزینه",$K1525&lt;&gt;""),1,0))</f>
        <v/>
      </c>
      <c r="O1525">
        <f>IF($N1525=0,"",LEFT($E1525,4)&amp;MID($E1525,6,2)&amp;RIGHT($E1525,2)&amp;$F1525&amp;"|"&amp;"1"&amp;RIGHT("00000"&amp;1517,5))</f>
        <v/>
      </c>
      <c r="P1525">
        <f>IF($O1525="","",COUNTIFS(ExpSub,$K1525,ExpKey,"&lt;"&amp;$O1525)+1)</f>
        <v/>
      </c>
      <c r="Q1525">
        <f>IF($P1525="","",$K1525&amp;"|"&amp;RIGHT("000000"&amp;$P1525,6))</f>
        <v/>
      </c>
    </row>
    <row r="1526">
      <c r="A1526">
        <f>IF(Sync!$P1523="","",Sync!$P1523)</f>
        <v/>
      </c>
      <c r="B1526">
        <f>IF($A1526="","",IF(ISNUMBER($A1526),IF(AND($A1526&gt;=10000101,$A1526&lt;=99991231),INT($A1526/10000),""),IFERROR(VALUE(TRIM(LEFT($A1526,FIND("/",$A1526)-1))),"")))</f>
        <v/>
      </c>
      <c r="C1526">
        <f>IF(OR($A1526="",$B1526=""),"",IF(ISNUMBER($A1526),INT(MOD($A1526,10000)/100),IFERROR(VALUE(TRIM(LEFT(MID($A1526,FIND("/",$A1526)+1,20),FIND("/",MID($A1526,FIND("/",$A1526)+1,20))-1))),"")))</f>
        <v/>
      </c>
      <c r="D1526">
        <f>IF(OR($A1526="",$B1526=""),"",IF(ISNUMBER($A1526),MOD($A1526,100),IFERROR(VALUE(TRIM(MID(MID($A1526,FIND("/",$A1526)+1,20),FIND("/",MID($A1526,FIND("/",$A1526)+1,20))+1,20))),"")))</f>
        <v/>
      </c>
      <c r="E1526">
        <f>IF($A1526="","",IF(OR($B1526="",$C1526="",$D1526="",$B1526&lt;1300,$B1526&gt;1500,$C1526&lt;1,$C1526&gt;12,$D1526&lt;1,$D1526&gt;31),"نامعتبر",RIGHT("0000"&amp;$B1526,4)&amp;"/"&amp;RIGHT("00"&amp;$C1526,2)&amp;"/"&amp;RIGHT("00"&amp;$D1526,2)))</f>
        <v/>
      </c>
      <c r="F1526">
        <f>IF(OR($E1526="",$E1526="نامعتبر"),"",IF(Sync!$Q1523="","0000",IF(AND(ISNUMBER(Sync!$Q1523),Sync!$Q1523&gt;=0,Sync!$Q1523&lt;1),RIGHT("00"&amp;HOUR(Sync!$Q1523),2)&amp;RIGHT("00"&amp;MINUTE(Sync!$Q1523),2),IFERROR(RIGHT("00"&amp;VALUE(LEFT(Sync!$Q1523,FIND(":",Sync!$Q1523)-1)),2)&amp;RIGHT("00"&amp;VALUE(MID(Sync!$Q1523,FIND(":",Sync!$Q1523)+1,2)),2),"0000"))))</f>
        <v/>
      </c>
      <c r="G1526">
        <f>IF(OR($E1526="",$E1526="نامعتبر"),"",IF(Sync!$S1523="","",Sync!$S1523))</f>
        <v/>
      </c>
      <c r="H1526">
        <f>IF(OR($E1526="",$E1526="نامعتبر"),"",IF(Sync!$R1523="","",Sync!$R1523))</f>
        <v/>
      </c>
      <c r="I1526">
        <f>IF(OR($E1526="",$E1526="نامعتبر"),"",IF(Sync!$T1523="","",Sync!$T1523))</f>
        <v/>
      </c>
      <c r="J1526">
        <f>IF(OR($E1526="",$E1526="نامعتبر"),"",IF(Sync!$U1523="","",Sync!$U1523))</f>
        <v/>
      </c>
      <c r="K1526">
        <f>IF(OR($E1526="",$E1526="نامعتبر"),"",IF(Sync!$V1523="","",IFERROR(INDEX(SubCodes,MATCH(Sync!$V1523,SubTitles,0)),Sync!$V1523)))</f>
        <v/>
      </c>
      <c r="L1526">
        <f>IF(OR($E1526="",$E1526="نامعتبر"),"",IF(Sync!$W1523="",0,Sync!$W1523))</f>
        <v/>
      </c>
      <c r="M1526">
        <f>IF(OR($E1526="",$E1526="نامعتبر"),"",IF(Sync!$X1523="",0,Sync!$X1523))</f>
        <v/>
      </c>
      <c r="N1526">
        <f>IF(OR($E1526="",$E1526="نامعتبر"),"",IF(AND($J1526="هزینه",$K1526&lt;&gt;""),1,0))</f>
        <v/>
      </c>
      <c r="O1526">
        <f>IF($N1526=0,"",LEFT($E1526,4)&amp;MID($E1526,6,2)&amp;RIGHT($E1526,2)&amp;$F1526&amp;"|"&amp;"1"&amp;RIGHT("00000"&amp;1518,5))</f>
        <v/>
      </c>
      <c r="P1526">
        <f>IF($O1526="","",COUNTIFS(ExpSub,$K1526,ExpKey,"&lt;"&amp;$O1526)+1)</f>
        <v/>
      </c>
      <c r="Q1526">
        <f>IF($P1526="","",$K1526&amp;"|"&amp;RIGHT("000000"&amp;$P1526,6))</f>
        <v/>
      </c>
    </row>
    <row r="1527">
      <c r="A1527">
        <f>IF(Sync!$P1524="","",Sync!$P1524)</f>
        <v/>
      </c>
      <c r="B1527">
        <f>IF($A1527="","",IF(ISNUMBER($A1527),IF(AND($A1527&gt;=10000101,$A1527&lt;=99991231),INT($A1527/10000),""),IFERROR(VALUE(TRIM(LEFT($A1527,FIND("/",$A1527)-1))),"")))</f>
        <v/>
      </c>
      <c r="C1527">
        <f>IF(OR($A1527="",$B1527=""),"",IF(ISNUMBER($A1527),INT(MOD($A1527,10000)/100),IFERROR(VALUE(TRIM(LEFT(MID($A1527,FIND("/",$A1527)+1,20),FIND("/",MID($A1527,FIND("/",$A1527)+1,20))-1))),"")))</f>
        <v/>
      </c>
      <c r="D1527">
        <f>IF(OR($A1527="",$B1527=""),"",IF(ISNUMBER($A1527),MOD($A1527,100),IFERROR(VALUE(TRIM(MID(MID($A1527,FIND("/",$A1527)+1,20),FIND("/",MID($A1527,FIND("/",$A1527)+1,20))+1,20))),"")))</f>
        <v/>
      </c>
      <c r="E1527">
        <f>IF($A1527="","",IF(OR($B1527="",$C1527="",$D1527="",$B1527&lt;1300,$B1527&gt;1500,$C1527&lt;1,$C1527&gt;12,$D1527&lt;1,$D1527&gt;31),"نامعتبر",RIGHT("0000"&amp;$B1527,4)&amp;"/"&amp;RIGHT("00"&amp;$C1527,2)&amp;"/"&amp;RIGHT("00"&amp;$D1527,2)))</f>
        <v/>
      </c>
      <c r="F1527">
        <f>IF(OR($E1527="",$E1527="نامعتبر"),"",IF(Sync!$Q1524="","0000",IF(AND(ISNUMBER(Sync!$Q1524),Sync!$Q1524&gt;=0,Sync!$Q1524&lt;1),RIGHT("00"&amp;HOUR(Sync!$Q1524),2)&amp;RIGHT("00"&amp;MINUTE(Sync!$Q1524),2),IFERROR(RIGHT("00"&amp;VALUE(LEFT(Sync!$Q1524,FIND(":",Sync!$Q1524)-1)),2)&amp;RIGHT("00"&amp;VALUE(MID(Sync!$Q1524,FIND(":",Sync!$Q1524)+1,2)),2),"0000"))))</f>
        <v/>
      </c>
      <c r="G1527">
        <f>IF(OR($E1527="",$E1527="نامعتبر"),"",IF(Sync!$S1524="","",Sync!$S1524))</f>
        <v/>
      </c>
      <c r="H1527">
        <f>IF(OR($E1527="",$E1527="نامعتبر"),"",IF(Sync!$R1524="","",Sync!$R1524))</f>
        <v/>
      </c>
      <c r="I1527">
        <f>IF(OR($E1527="",$E1527="نامعتبر"),"",IF(Sync!$T1524="","",Sync!$T1524))</f>
        <v/>
      </c>
      <c r="J1527">
        <f>IF(OR($E1527="",$E1527="نامعتبر"),"",IF(Sync!$U1524="","",Sync!$U1524))</f>
        <v/>
      </c>
      <c r="K1527">
        <f>IF(OR($E1527="",$E1527="نامعتبر"),"",IF(Sync!$V1524="","",IFERROR(INDEX(SubCodes,MATCH(Sync!$V1524,SubTitles,0)),Sync!$V1524)))</f>
        <v/>
      </c>
      <c r="L1527">
        <f>IF(OR($E1527="",$E1527="نامعتبر"),"",IF(Sync!$W1524="",0,Sync!$W1524))</f>
        <v/>
      </c>
      <c r="M1527">
        <f>IF(OR($E1527="",$E1527="نامعتبر"),"",IF(Sync!$X1524="",0,Sync!$X1524))</f>
        <v/>
      </c>
      <c r="N1527">
        <f>IF(OR($E1527="",$E1527="نامعتبر"),"",IF(AND($J1527="هزینه",$K1527&lt;&gt;""),1,0))</f>
        <v/>
      </c>
      <c r="O1527">
        <f>IF($N1527=0,"",LEFT($E1527,4)&amp;MID($E1527,6,2)&amp;RIGHT($E1527,2)&amp;$F1527&amp;"|"&amp;"1"&amp;RIGHT("00000"&amp;1519,5))</f>
        <v/>
      </c>
      <c r="P1527">
        <f>IF($O1527="","",COUNTIFS(ExpSub,$K1527,ExpKey,"&lt;"&amp;$O1527)+1)</f>
        <v/>
      </c>
      <c r="Q1527">
        <f>IF($P1527="","",$K1527&amp;"|"&amp;RIGHT("000000"&amp;$P1527,6))</f>
        <v/>
      </c>
    </row>
    <row r="1528">
      <c r="A1528">
        <f>IF(Sync!$P1525="","",Sync!$P1525)</f>
        <v/>
      </c>
      <c r="B1528">
        <f>IF($A1528="","",IF(ISNUMBER($A1528),IF(AND($A1528&gt;=10000101,$A1528&lt;=99991231),INT($A1528/10000),""),IFERROR(VALUE(TRIM(LEFT($A1528,FIND("/",$A1528)-1))),"")))</f>
        <v/>
      </c>
      <c r="C1528">
        <f>IF(OR($A1528="",$B1528=""),"",IF(ISNUMBER($A1528),INT(MOD($A1528,10000)/100),IFERROR(VALUE(TRIM(LEFT(MID($A1528,FIND("/",$A1528)+1,20),FIND("/",MID($A1528,FIND("/",$A1528)+1,20))-1))),"")))</f>
        <v/>
      </c>
      <c r="D1528">
        <f>IF(OR($A1528="",$B1528=""),"",IF(ISNUMBER($A1528),MOD($A1528,100),IFERROR(VALUE(TRIM(MID(MID($A1528,FIND("/",$A1528)+1,20),FIND("/",MID($A1528,FIND("/",$A1528)+1,20))+1,20))),"")))</f>
        <v/>
      </c>
      <c r="E1528">
        <f>IF($A1528="","",IF(OR($B1528="",$C1528="",$D1528="",$B1528&lt;1300,$B1528&gt;1500,$C1528&lt;1,$C1528&gt;12,$D1528&lt;1,$D1528&gt;31),"نامعتبر",RIGHT("0000"&amp;$B1528,4)&amp;"/"&amp;RIGHT("00"&amp;$C1528,2)&amp;"/"&amp;RIGHT("00"&amp;$D1528,2)))</f>
        <v/>
      </c>
      <c r="F1528">
        <f>IF(OR($E1528="",$E1528="نامعتبر"),"",IF(Sync!$Q1525="","0000",IF(AND(ISNUMBER(Sync!$Q1525),Sync!$Q1525&gt;=0,Sync!$Q1525&lt;1),RIGHT("00"&amp;HOUR(Sync!$Q1525),2)&amp;RIGHT("00"&amp;MINUTE(Sync!$Q1525),2),IFERROR(RIGHT("00"&amp;VALUE(LEFT(Sync!$Q1525,FIND(":",Sync!$Q1525)-1)),2)&amp;RIGHT("00"&amp;VALUE(MID(Sync!$Q1525,FIND(":",Sync!$Q1525)+1,2)),2),"0000"))))</f>
        <v/>
      </c>
      <c r="G1528">
        <f>IF(OR($E1528="",$E1528="نامعتبر"),"",IF(Sync!$S1525="","",Sync!$S1525))</f>
        <v/>
      </c>
      <c r="H1528">
        <f>IF(OR($E1528="",$E1528="نامعتبر"),"",IF(Sync!$R1525="","",Sync!$R1525))</f>
        <v/>
      </c>
      <c r="I1528">
        <f>IF(OR($E1528="",$E1528="نامعتبر"),"",IF(Sync!$T1525="","",Sync!$T1525))</f>
        <v/>
      </c>
      <c r="J1528">
        <f>IF(OR($E1528="",$E1528="نامعتبر"),"",IF(Sync!$U1525="","",Sync!$U1525))</f>
        <v/>
      </c>
      <c r="K1528">
        <f>IF(OR($E1528="",$E1528="نامعتبر"),"",IF(Sync!$V1525="","",IFERROR(INDEX(SubCodes,MATCH(Sync!$V1525,SubTitles,0)),Sync!$V1525)))</f>
        <v/>
      </c>
      <c r="L1528">
        <f>IF(OR($E1528="",$E1528="نامعتبر"),"",IF(Sync!$W1525="",0,Sync!$W1525))</f>
        <v/>
      </c>
      <c r="M1528">
        <f>IF(OR($E1528="",$E1528="نامعتبر"),"",IF(Sync!$X1525="",0,Sync!$X1525))</f>
        <v/>
      </c>
      <c r="N1528">
        <f>IF(OR($E1528="",$E1528="نامعتبر"),"",IF(AND($J1528="هزینه",$K1528&lt;&gt;""),1,0))</f>
        <v/>
      </c>
      <c r="O1528">
        <f>IF($N1528=0,"",LEFT($E1528,4)&amp;MID($E1528,6,2)&amp;RIGHT($E1528,2)&amp;$F1528&amp;"|"&amp;"1"&amp;RIGHT("00000"&amp;1520,5))</f>
        <v/>
      </c>
      <c r="P1528">
        <f>IF($O1528="","",COUNTIFS(ExpSub,$K1528,ExpKey,"&lt;"&amp;$O1528)+1)</f>
        <v/>
      </c>
      <c r="Q1528">
        <f>IF($P1528="","",$K1528&amp;"|"&amp;RIGHT("000000"&amp;$P1528,6))</f>
        <v/>
      </c>
    </row>
    <row r="1529">
      <c r="A1529">
        <f>IF(Sync!$P1526="","",Sync!$P1526)</f>
        <v/>
      </c>
      <c r="B1529">
        <f>IF($A1529="","",IF(ISNUMBER($A1529),IF(AND($A1529&gt;=10000101,$A1529&lt;=99991231),INT($A1529/10000),""),IFERROR(VALUE(TRIM(LEFT($A1529,FIND("/",$A1529)-1))),"")))</f>
        <v/>
      </c>
      <c r="C1529">
        <f>IF(OR($A1529="",$B1529=""),"",IF(ISNUMBER($A1529),INT(MOD($A1529,10000)/100),IFERROR(VALUE(TRIM(LEFT(MID($A1529,FIND("/",$A1529)+1,20),FIND("/",MID($A1529,FIND("/",$A1529)+1,20))-1))),"")))</f>
        <v/>
      </c>
      <c r="D1529">
        <f>IF(OR($A1529="",$B1529=""),"",IF(ISNUMBER($A1529),MOD($A1529,100),IFERROR(VALUE(TRIM(MID(MID($A1529,FIND("/",$A1529)+1,20),FIND("/",MID($A1529,FIND("/",$A1529)+1,20))+1,20))),"")))</f>
        <v/>
      </c>
      <c r="E1529">
        <f>IF($A1529="","",IF(OR($B1529="",$C1529="",$D1529="",$B1529&lt;1300,$B1529&gt;1500,$C1529&lt;1,$C1529&gt;12,$D1529&lt;1,$D1529&gt;31),"نامعتبر",RIGHT("0000"&amp;$B1529,4)&amp;"/"&amp;RIGHT("00"&amp;$C1529,2)&amp;"/"&amp;RIGHT("00"&amp;$D1529,2)))</f>
        <v/>
      </c>
      <c r="F1529">
        <f>IF(OR($E1529="",$E1529="نامعتبر"),"",IF(Sync!$Q1526="","0000",IF(AND(ISNUMBER(Sync!$Q1526),Sync!$Q1526&gt;=0,Sync!$Q1526&lt;1),RIGHT("00"&amp;HOUR(Sync!$Q1526),2)&amp;RIGHT("00"&amp;MINUTE(Sync!$Q1526),2),IFERROR(RIGHT("00"&amp;VALUE(LEFT(Sync!$Q1526,FIND(":",Sync!$Q1526)-1)),2)&amp;RIGHT("00"&amp;VALUE(MID(Sync!$Q1526,FIND(":",Sync!$Q1526)+1,2)),2),"0000"))))</f>
        <v/>
      </c>
      <c r="G1529">
        <f>IF(OR($E1529="",$E1529="نامعتبر"),"",IF(Sync!$S1526="","",Sync!$S1526))</f>
        <v/>
      </c>
      <c r="H1529">
        <f>IF(OR($E1529="",$E1529="نامعتبر"),"",IF(Sync!$R1526="","",Sync!$R1526))</f>
        <v/>
      </c>
      <c r="I1529">
        <f>IF(OR($E1529="",$E1529="نامعتبر"),"",IF(Sync!$T1526="","",Sync!$T1526))</f>
        <v/>
      </c>
      <c r="J1529">
        <f>IF(OR($E1529="",$E1529="نامعتبر"),"",IF(Sync!$U1526="","",Sync!$U1526))</f>
        <v/>
      </c>
      <c r="K1529">
        <f>IF(OR($E1529="",$E1529="نامعتبر"),"",IF(Sync!$V1526="","",IFERROR(INDEX(SubCodes,MATCH(Sync!$V1526,SubTitles,0)),Sync!$V1526)))</f>
        <v/>
      </c>
      <c r="L1529">
        <f>IF(OR($E1529="",$E1529="نامعتبر"),"",IF(Sync!$W1526="",0,Sync!$W1526))</f>
        <v/>
      </c>
      <c r="M1529">
        <f>IF(OR($E1529="",$E1529="نامعتبر"),"",IF(Sync!$X1526="",0,Sync!$X1526))</f>
        <v/>
      </c>
      <c r="N1529">
        <f>IF(OR($E1529="",$E1529="نامعتبر"),"",IF(AND($J1529="هزینه",$K1529&lt;&gt;""),1,0))</f>
        <v/>
      </c>
      <c r="O1529">
        <f>IF($N1529=0,"",LEFT($E1529,4)&amp;MID($E1529,6,2)&amp;RIGHT($E1529,2)&amp;$F1529&amp;"|"&amp;"1"&amp;RIGHT("00000"&amp;1521,5))</f>
        <v/>
      </c>
      <c r="P1529">
        <f>IF($O1529="","",COUNTIFS(ExpSub,$K1529,ExpKey,"&lt;"&amp;$O1529)+1)</f>
        <v/>
      </c>
      <c r="Q1529">
        <f>IF($P1529="","",$K1529&amp;"|"&amp;RIGHT("000000"&amp;$P1529,6))</f>
        <v/>
      </c>
    </row>
    <row r="1530">
      <c r="A1530">
        <f>IF(Sync!$P1527="","",Sync!$P1527)</f>
        <v/>
      </c>
      <c r="B1530">
        <f>IF($A1530="","",IF(ISNUMBER($A1530),IF(AND($A1530&gt;=10000101,$A1530&lt;=99991231),INT($A1530/10000),""),IFERROR(VALUE(TRIM(LEFT($A1530,FIND("/",$A1530)-1))),"")))</f>
        <v/>
      </c>
      <c r="C1530">
        <f>IF(OR($A1530="",$B1530=""),"",IF(ISNUMBER($A1530),INT(MOD($A1530,10000)/100),IFERROR(VALUE(TRIM(LEFT(MID($A1530,FIND("/",$A1530)+1,20),FIND("/",MID($A1530,FIND("/",$A1530)+1,20))-1))),"")))</f>
        <v/>
      </c>
      <c r="D1530">
        <f>IF(OR($A1530="",$B1530=""),"",IF(ISNUMBER($A1530),MOD($A1530,100),IFERROR(VALUE(TRIM(MID(MID($A1530,FIND("/",$A1530)+1,20),FIND("/",MID($A1530,FIND("/",$A1530)+1,20))+1,20))),"")))</f>
        <v/>
      </c>
      <c r="E1530">
        <f>IF($A1530="","",IF(OR($B1530="",$C1530="",$D1530="",$B1530&lt;1300,$B1530&gt;1500,$C1530&lt;1,$C1530&gt;12,$D1530&lt;1,$D1530&gt;31),"نامعتبر",RIGHT("0000"&amp;$B1530,4)&amp;"/"&amp;RIGHT("00"&amp;$C1530,2)&amp;"/"&amp;RIGHT("00"&amp;$D1530,2)))</f>
        <v/>
      </c>
      <c r="F1530">
        <f>IF(OR($E1530="",$E1530="نامعتبر"),"",IF(Sync!$Q1527="","0000",IF(AND(ISNUMBER(Sync!$Q1527),Sync!$Q1527&gt;=0,Sync!$Q1527&lt;1),RIGHT("00"&amp;HOUR(Sync!$Q1527),2)&amp;RIGHT("00"&amp;MINUTE(Sync!$Q1527),2),IFERROR(RIGHT("00"&amp;VALUE(LEFT(Sync!$Q1527,FIND(":",Sync!$Q1527)-1)),2)&amp;RIGHT("00"&amp;VALUE(MID(Sync!$Q1527,FIND(":",Sync!$Q1527)+1,2)),2),"0000"))))</f>
        <v/>
      </c>
      <c r="G1530">
        <f>IF(OR($E1530="",$E1530="نامعتبر"),"",IF(Sync!$S1527="","",Sync!$S1527))</f>
        <v/>
      </c>
      <c r="H1530">
        <f>IF(OR($E1530="",$E1530="نامعتبر"),"",IF(Sync!$R1527="","",Sync!$R1527))</f>
        <v/>
      </c>
      <c r="I1530">
        <f>IF(OR($E1530="",$E1530="نامعتبر"),"",IF(Sync!$T1527="","",Sync!$T1527))</f>
        <v/>
      </c>
      <c r="J1530">
        <f>IF(OR($E1530="",$E1530="نامعتبر"),"",IF(Sync!$U1527="","",Sync!$U1527))</f>
        <v/>
      </c>
      <c r="K1530">
        <f>IF(OR($E1530="",$E1530="نامعتبر"),"",IF(Sync!$V1527="","",IFERROR(INDEX(SubCodes,MATCH(Sync!$V1527,SubTitles,0)),Sync!$V1527)))</f>
        <v/>
      </c>
      <c r="L1530">
        <f>IF(OR($E1530="",$E1530="نامعتبر"),"",IF(Sync!$W1527="",0,Sync!$W1527))</f>
        <v/>
      </c>
      <c r="M1530">
        <f>IF(OR($E1530="",$E1530="نامعتبر"),"",IF(Sync!$X1527="",0,Sync!$X1527))</f>
        <v/>
      </c>
      <c r="N1530">
        <f>IF(OR($E1530="",$E1530="نامعتبر"),"",IF(AND($J1530="هزینه",$K1530&lt;&gt;""),1,0))</f>
        <v/>
      </c>
      <c r="O1530">
        <f>IF($N1530=0,"",LEFT($E1530,4)&amp;MID($E1530,6,2)&amp;RIGHT($E1530,2)&amp;$F1530&amp;"|"&amp;"1"&amp;RIGHT("00000"&amp;1522,5))</f>
        <v/>
      </c>
      <c r="P1530">
        <f>IF($O1530="","",COUNTIFS(ExpSub,$K1530,ExpKey,"&lt;"&amp;$O1530)+1)</f>
        <v/>
      </c>
      <c r="Q1530">
        <f>IF($P1530="","",$K1530&amp;"|"&amp;RIGHT("000000"&amp;$P1530,6))</f>
        <v/>
      </c>
    </row>
    <row r="1531">
      <c r="A1531">
        <f>IF(Sync!$P1528="","",Sync!$P1528)</f>
        <v/>
      </c>
      <c r="B1531">
        <f>IF($A1531="","",IF(ISNUMBER($A1531),IF(AND($A1531&gt;=10000101,$A1531&lt;=99991231),INT($A1531/10000),""),IFERROR(VALUE(TRIM(LEFT($A1531,FIND("/",$A1531)-1))),"")))</f>
        <v/>
      </c>
      <c r="C1531">
        <f>IF(OR($A1531="",$B1531=""),"",IF(ISNUMBER($A1531),INT(MOD($A1531,10000)/100),IFERROR(VALUE(TRIM(LEFT(MID($A1531,FIND("/",$A1531)+1,20),FIND("/",MID($A1531,FIND("/",$A1531)+1,20))-1))),"")))</f>
        <v/>
      </c>
      <c r="D1531">
        <f>IF(OR($A1531="",$B1531=""),"",IF(ISNUMBER($A1531),MOD($A1531,100),IFERROR(VALUE(TRIM(MID(MID($A1531,FIND("/",$A1531)+1,20),FIND("/",MID($A1531,FIND("/",$A1531)+1,20))+1,20))),"")))</f>
        <v/>
      </c>
      <c r="E1531">
        <f>IF($A1531="","",IF(OR($B1531="",$C1531="",$D1531="",$B1531&lt;1300,$B1531&gt;1500,$C1531&lt;1,$C1531&gt;12,$D1531&lt;1,$D1531&gt;31),"نامعتبر",RIGHT("0000"&amp;$B1531,4)&amp;"/"&amp;RIGHT("00"&amp;$C1531,2)&amp;"/"&amp;RIGHT("00"&amp;$D1531,2)))</f>
        <v/>
      </c>
      <c r="F1531">
        <f>IF(OR($E1531="",$E1531="نامعتبر"),"",IF(Sync!$Q1528="","0000",IF(AND(ISNUMBER(Sync!$Q1528),Sync!$Q1528&gt;=0,Sync!$Q1528&lt;1),RIGHT("00"&amp;HOUR(Sync!$Q1528),2)&amp;RIGHT("00"&amp;MINUTE(Sync!$Q1528),2),IFERROR(RIGHT("00"&amp;VALUE(LEFT(Sync!$Q1528,FIND(":",Sync!$Q1528)-1)),2)&amp;RIGHT("00"&amp;VALUE(MID(Sync!$Q1528,FIND(":",Sync!$Q1528)+1,2)),2),"0000"))))</f>
        <v/>
      </c>
      <c r="G1531">
        <f>IF(OR($E1531="",$E1531="نامعتبر"),"",IF(Sync!$S1528="","",Sync!$S1528))</f>
        <v/>
      </c>
      <c r="H1531">
        <f>IF(OR($E1531="",$E1531="نامعتبر"),"",IF(Sync!$R1528="","",Sync!$R1528))</f>
        <v/>
      </c>
      <c r="I1531">
        <f>IF(OR($E1531="",$E1531="نامعتبر"),"",IF(Sync!$T1528="","",Sync!$T1528))</f>
        <v/>
      </c>
      <c r="J1531">
        <f>IF(OR($E1531="",$E1531="نامعتبر"),"",IF(Sync!$U1528="","",Sync!$U1528))</f>
        <v/>
      </c>
      <c r="K1531">
        <f>IF(OR($E1531="",$E1531="نامعتبر"),"",IF(Sync!$V1528="","",IFERROR(INDEX(SubCodes,MATCH(Sync!$V1528,SubTitles,0)),Sync!$V1528)))</f>
        <v/>
      </c>
      <c r="L1531">
        <f>IF(OR($E1531="",$E1531="نامعتبر"),"",IF(Sync!$W1528="",0,Sync!$W1528))</f>
        <v/>
      </c>
      <c r="M1531">
        <f>IF(OR($E1531="",$E1531="نامعتبر"),"",IF(Sync!$X1528="",0,Sync!$X1528))</f>
        <v/>
      </c>
      <c r="N1531">
        <f>IF(OR($E1531="",$E1531="نامعتبر"),"",IF(AND($J1531="هزینه",$K1531&lt;&gt;""),1,0))</f>
        <v/>
      </c>
      <c r="O1531">
        <f>IF($N1531=0,"",LEFT($E1531,4)&amp;MID($E1531,6,2)&amp;RIGHT($E1531,2)&amp;$F1531&amp;"|"&amp;"1"&amp;RIGHT("00000"&amp;1523,5))</f>
        <v/>
      </c>
      <c r="P1531">
        <f>IF($O1531="","",COUNTIFS(ExpSub,$K1531,ExpKey,"&lt;"&amp;$O1531)+1)</f>
        <v/>
      </c>
      <c r="Q1531">
        <f>IF($P1531="","",$K1531&amp;"|"&amp;RIGHT("000000"&amp;$P1531,6))</f>
        <v/>
      </c>
    </row>
    <row r="1532">
      <c r="A1532">
        <f>IF(Sync!$P1529="","",Sync!$P1529)</f>
        <v/>
      </c>
      <c r="B1532">
        <f>IF($A1532="","",IF(ISNUMBER($A1532),IF(AND($A1532&gt;=10000101,$A1532&lt;=99991231),INT($A1532/10000),""),IFERROR(VALUE(TRIM(LEFT($A1532,FIND("/",$A1532)-1))),"")))</f>
        <v/>
      </c>
      <c r="C1532">
        <f>IF(OR($A1532="",$B1532=""),"",IF(ISNUMBER($A1532),INT(MOD($A1532,10000)/100),IFERROR(VALUE(TRIM(LEFT(MID($A1532,FIND("/",$A1532)+1,20),FIND("/",MID($A1532,FIND("/",$A1532)+1,20))-1))),"")))</f>
        <v/>
      </c>
      <c r="D1532">
        <f>IF(OR($A1532="",$B1532=""),"",IF(ISNUMBER($A1532),MOD($A1532,100),IFERROR(VALUE(TRIM(MID(MID($A1532,FIND("/",$A1532)+1,20),FIND("/",MID($A1532,FIND("/",$A1532)+1,20))+1,20))),"")))</f>
        <v/>
      </c>
      <c r="E1532">
        <f>IF($A1532="","",IF(OR($B1532="",$C1532="",$D1532="",$B1532&lt;1300,$B1532&gt;1500,$C1532&lt;1,$C1532&gt;12,$D1532&lt;1,$D1532&gt;31),"نامعتبر",RIGHT("0000"&amp;$B1532,4)&amp;"/"&amp;RIGHT("00"&amp;$C1532,2)&amp;"/"&amp;RIGHT("00"&amp;$D1532,2)))</f>
        <v/>
      </c>
      <c r="F1532">
        <f>IF(OR($E1532="",$E1532="نامعتبر"),"",IF(Sync!$Q1529="","0000",IF(AND(ISNUMBER(Sync!$Q1529),Sync!$Q1529&gt;=0,Sync!$Q1529&lt;1),RIGHT("00"&amp;HOUR(Sync!$Q1529),2)&amp;RIGHT("00"&amp;MINUTE(Sync!$Q1529),2),IFERROR(RIGHT("00"&amp;VALUE(LEFT(Sync!$Q1529,FIND(":",Sync!$Q1529)-1)),2)&amp;RIGHT("00"&amp;VALUE(MID(Sync!$Q1529,FIND(":",Sync!$Q1529)+1,2)),2),"0000"))))</f>
        <v/>
      </c>
      <c r="G1532">
        <f>IF(OR($E1532="",$E1532="نامعتبر"),"",IF(Sync!$S1529="","",Sync!$S1529))</f>
        <v/>
      </c>
      <c r="H1532">
        <f>IF(OR($E1532="",$E1532="نامعتبر"),"",IF(Sync!$R1529="","",Sync!$R1529))</f>
        <v/>
      </c>
      <c r="I1532">
        <f>IF(OR($E1532="",$E1532="نامعتبر"),"",IF(Sync!$T1529="","",Sync!$T1529))</f>
        <v/>
      </c>
      <c r="J1532">
        <f>IF(OR($E1532="",$E1532="نامعتبر"),"",IF(Sync!$U1529="","",Sync!$U1529))</f>
        <v/>
      </c>
      <c r="K1532">
        <f>IF(OR($E1532="",$E1532="نامعتبر"),"",IF(Sync!$V1529="","",IFERROR(INDEX(SubCodes,MATCH(Sync!$V1529,SubTitles,0)),Sync!$V1529)))</f>
        <v/>
      </c>
      <c r="L1532">
        <f>IF(OR($E1532="",$E1532="نامعتبر"),"",IF(Sync!$W1529="",0,Sync!$W1529))</f>
        <v/>
      </c>
      <c r="M1532">
        <f>IF(OR($E1532="",$E1532="نامعتبر"),"",IF(Sync!$X1529="",0,Sync!$X1529))</f>
        <v/>
      </c>
      <c r="N1532">
        <f>IF(OR($E1532="",$E1532="نامعتبر"),"",IF(AND($J1532="هزینه",$K1532&lt;&gt;""),1,0))</f>
        <v/>
      </c>
      <c r="O1532">
        <f>IF($N1532=0,"",LEFT($E1532,4)&amp;MID($E1532,6,2)&amp;RIGHT($E1532,2)&amp;$F1532&amp;"|"&amp;"1"&amp;RIGHT("00000"&amp;1524,5))</f>
        <v/>
      </c>
      <c r="P1532">
        <f>IF($O1532="","",COUNTIFS(ExpSub,$K1532,ExpKey,"&lt;"&amp;$O1532)+1)</f>
        <v/>
      </c>
      <c r="Q1532">
        <f>IF($P1532="","",$K1532&amp;"|"&amp;RIGHT("000000"&amp;$P1532,6))</f>
        <v/>
      </c>
    </row>
    <row r="1533">
      <c r="A1533">
        <f>IF(Sync!$P1530="","",Sync!$P1530)</f>
        <v/>
      </c>
      <c r="B1533">
        <f>IF($A1533="","",IF(ISNUMBER($A1533),IF(AND($A1533&gt;=10000101,$A1533&lt;=99991231),INT($A1533/10000),""),IFERROR(VALUE(TRIM(LEFT($A1533,FIND("/",$A1533)-1))),"")))</f>
        <v/>
      </c>
      <c r="C1533">
        <f>IF(OR($A1533="",$B1533=""),"",IF(ISNUMBER($A1533),INT(MOD($A1533,10000)/100),IFERROR(VALUE(TRIM(LEFT(MID($A1533,FIND("/",$A1533)+1,20),FIND("/",MID($A1533,FIND("/",$A1533)+1,20))-1))),"")))</f>
        <v/>
      </c>
      <c r="D1533">
        <f>IF(OR($A1533="",$B1533=""),"",IF(ISNUMBER($A1533),MOD($A1533,100),IFERROR(VALUE(TRIM(MID(MID($A1533,FIND("/",$A1533)+1,20),FIND("/",MID($A1533,FIND("/",$A1533)+1,20))+1,20))),"")))</f>
        <v/>
      </c>
      <c r="E1533">
        <f>IF($A1533="","",IF(OR($B1533="",$C1533="",$D1533="",$B1533&lt;1300,$B1533&gt;1500,$C1533&lt;1,$C1533&gt;12,$D1533&lt;1,$D1533&gt;31),"نامعتبر",RIGHT("0000"&amp;$B1533,4)&amp;"/"&amp;RIGHT("00"&amp;$C1533,2)&amp;"/"&amp;RIGHT("00"&amp;$D1533,2)))</f>
        <v/>
      </c>
      <c r="F1533">
        <f>IF(OR($E1533="",$E1533="نامعتبر"),"",IF(Sync!$Q1530="","0000",IF(AND(ISNUMBER(Sync!$Q1530),Sync!$Q1530&gt;=0,Sync!$Q1530&lt;1),RIGHT("00"&amp;HOUR(Sync!$Q1530),2)&amp;RIGHT("00"&amp;MINUTE(Sync!$Q1530),2),IFERROR(RIGHT("00"&amp;VALUE(LEFT(Sync!$Q1530,FIND(":",Sync!$Q1530)-1)),2)&amp;RIGHT("00"&amp;VALUE(MID(Sync!$Q1530,FIND(":",Sync!$Q1530)+1,2)),2),"0000"))))</f>
        <v/>
      </c>
      <c r="G1533">
        <f>IF(OR($E1533="",$E1533="نامعتبر"),"",IF(Sync!$S1530="","",Sync!$S1530))</f>
        <v/>
      </c>
      <c r="H1533">
        <f>IF(OR($E1533="",$E1533="نامعتبر"),"",IF(Sync!$R1530="","",Sync!$R1530))</f>
        <v/>
      </c>
      <c r="I1533">
        <f>IF(OR($E1533="",$E1533="نامعتبر"),"",IF(Sync!$T1530="","",Sync!$T1530))</f>
        <v/>
      </c>
      <c r="J1533">
        <f>IF(OR($E1533="",$E1533="نامعتبر"),"",IF(Sync!$U1530="","",Sync!$U1530))</f>
        <v/>
      </c>
      <c r="K1533">
        <f>IF(OR($E1533="",$E1533="نامعتبر"),"",IF(Sync!$V1530="","",IFERROR(INDEX(SubCodes,MATCH(Sync!$V1530,SubTitles,0)),Sync!$V1530)))</f>
        <v/>
      </c>
      <c r="L1533">
        <f>IF(OR($E1533="",$E1533="نامعتبر"),"",IF(Sync!$W1530="",0,Sync!$W1530))</f>
        <v/>
      </c>
      <c r="M1533">
        <f>IF(OR($E1533="",$E1533="نامعتبر"),"",IF(Sync!$X1530="",0,Sync!$X1530))</f>
        <v/>
      </c>
      <c r="N1533">
        <f>IF(OR($E1533="",$E1533="نامعتبر"),"",IF(AND($J1533="هزینه",$K1533&lt;&gt;""),1,0))</f>
        <v/>
      </c>
      <c r="O1533">
        <f>IF($N1533=0,"",LEFT($E1533,4)&amp;MID($E1533,6,2)&amp;RIGHT($E1533,2)&amp;$F1533&amp;"|"&amp;"1"&amp;RIGHT("00000"&amp;1525,5))</f>
        <v/>
      </c>
      <c r="P1533">
        <f>IF($O1533="","",COUNTIFS(ExpSub,$K1533,ExpKey,"&lt;"&amp;$O1533)+1)</f>
        <v/>
      </c>
      <c r="Q1533">
        <f>IF($P1533="","",$K1533&amp;"|"&amp;RIGHT("000000"&amp;$P1533,6))</f>
        <v/>
      </c>
    </row>
    <row r="1534">
      <c r="A1534">
        <f>IF(Sync!$P1531="","",Sync!$P1531)</f>
        <v/>
      </c>
      <c r="B1534">
        <f>IF($A1534="","",IF(ISNUMBER($A1534),IF(AND($A1534&gt;=10000101,$A1534&lt;=99991231),INT($A1534/10000),""),IFERROR(VALUE(TRIM(LEFT($A1534,FIND("/",$A1534)-1))),"")))</f>
        <v/>
      </c>
      <c r="C1534">
        <f>IF(OR($A1534="",$B1534=""),"",IF(ISNUMBER($A1534),INT(MOD($A1534,10000)/100),IFERROR(VALUE(TRIM(LEFT(MID($A1534,FIND("/",$A1534)+1,20),FIND("/",MID($A1534,FIND("/",$A1534)+1,20))-1))),"")))</f>
        <v/>
      </c>
      <c r="D1534">
        <f>IF(OR($A1534="",$B1534=""),"",IF(ISNUMBER($A1534),MOD($A1534,100),IFERROR(VALUE(TRIM(MID(MID($A1534,FIND("/",$A1534)+1,20),FIND("/",MID($A1534,FIND("/",$A1534)+1,20))+1,20))),"")))</f>
        <v/>
      </c>
      <c r="E1534">
        <f>IF($A1534="","",IF(OR($B1534="",$C1534="",$D1534="",$B1534&lt;1300,$B1534&gt;1500,$C1534&lt;1,$C1534&gt;12,$D1534&lt;1,$D1534&gt;31),"نامعتبر",RIGHT("0000"&amp;$B1534,4)&amp;"/"&amp;RIGHT("00"&amp;$C1534,2)&amp;"/"&amp;RIGHT("00"&amp;$D1534,2)))</f>
        <v/>
      </c>
      <c r="F1534">
        <f>IF(OR($E1534="",$E1534="نامعتبر"),"",IF(Sync!$Q1531="","0000",IF(AND(ISNUMBER(Sync!$Q1531),Sync!$Q1531&gt;=0,Sync!$Q1531&lt;1),RIGHT("00"&amp;HOUR(Sync!$Q1531),2)&amp;RIGHT("00"&amp;MINUTE(Sync!$Q1531),2),IFERROR(RIGHT("00"&amp;VALUE(LEFT(Sync!$Q1531,FIND(":",Sync!$Q1531)-1)),2)&amp;RIGHT("00"&amp;VALUE(MID(Sync!$Q1531,FIND(":",Sync!$Q1531)+1,2)),2),"0000"))))</f>
        <v/>
      </c>
      <c r="G1534">
        <f>IF(OR($E1534="",$E1534="نامعتبر"),"",IF(Sync!$S1531="","",Sync!$S1531))</f>
        <v/>
      </c>
      <c r="H1534">
        <f>IF(OR($E1534="",$E1534="نامعتبر"),"",IF(Sync!$R1531="","",Sync!$R1531))</f>
        <v/>
      </c>
      <c r="I1534">
        <f>IF(OR($E1534="",$E1534="نامعتبر"),"",IF(Sync!$T1531="","",Sync!$T1531))</f>
        <v/>
      </c>
      <c r="J1534">
        <f>IF(OR($E1534="",$E1534="نامعتبر"),"",IF(Sync!$U1531="","",Sync!$U1531))</f>
        <v/>
      </c>
      <c r="K1534">
        <f>IF(OR($E1534="",$E1534="نامعتبر"),"",IF(Sync!$V1531="","",IFERROR(INDEX(SubCodes,MATCH(Sync!$V1531,SubTitles,0)),Sync!$V1531)))</f>
        <v/>
      </c>
      <c r="L1534">
        <f>IF(OR($E1534="",$E1534="نامعتبر"),"",IF(Sync!$W1531="",0,Sync!$W1531))</f>
        <v/>
      </c>
      <c r="M1534">
        <f>IF(OR($E1534="",$E1534="نامعتبر"),"",IF(Sync!$X1531="",0,Sync!$X1531))</f>
        <v/>
      </c>
      <c r="N1534">
        <f>IF(OR($E1534="",$E1534="نامعتبر"),"",IF(AND($J1534="هزینه",$K1534&lt;&gt;""),1,0))</f>
        <v/>
      </c>
      <c r="O1534">
        <f>IF($N1534=0,"",LEFT($E1534,4)&amp;MID($E1534,6,2)&amp;RIGHT($E1534,2)&amp;$F1534&amp;"|"&amp;"1"&amp;RIGHT("00000"&amp;1526,5))</f>
        <v/>
      </c>
      <c r="P1534">
        <f>IF($O1534="","",COUNTIFS(ExpSub,$K1534,ExpKey,"&lt;"&amp;$O1534)+1)</f>
        <v/>
      </c>
      <c r="Q1534">
        <f>IF($P1534="","",$K1534&amp;"|"&amp;RIGHT("000000"&amp;$P1534,6))</f>
        <v/>
      </c>
    </row>
    <row r="1535">
      <c r="A1535">
        <f>IF(Sync!$P1532="","",Sync!$P1532)</f>
        <v/>
      </c>
      <c r="B1535">
        <f>IF($A1535="","",IF(ISNUMBER($A1535),IF(AND($A1535&gt;=10000101,$A1535&lt;=99991231),INT($A1535/10000),""),IFERROR(VALUE(TRIM(LEFT($A1535,FIND("/",$A1535)-1))),"")))</f>
        <v/>
      </c>
      <c r="C1535">
        <f>IF(OR($A1535="",$B1535=""),"",IF(ISNUMBER($A1535),INT(MOD($A1535,10000)/100),IFERROR(VALUE(TRIM(LEFT(MID($A1535,FIND("/",$A1535)+1,20),FIND("/",MID($A1535,FIND("/",$A1535)+1,20))-1))),"")))</f>
        <v/>
      </c>
      <c r="D1535">
        <f>IF(OR($A1535="",$B1535=""),"",IF(ISNUMBER($A1535),MOD($A1535,100),IFERROR(VALUE(TRIM(MID(MID($A1535,FIND("/",$A1535)+1,20),FIND("/",MID($A1535,FIND("/",$A1535)+1,20))+1,20))),"")))</f>
        <v/>
      </c>
      <c r="E1535">
        <f>IF($A1535="","",IF(OR($B1535="",$C1535="",$D1535="",$B1535&lt;1300,$B1535&gt;1500,$C1535&lt;1,$C1535&gt;12,$D1535&lt;1,$D1535&gt;31),"نامعتبر",RIGHT("0000"&amp;$B1535,4)&amp;"/"&amp;RIGHT("00"&amp;$C1535,2)&amp;"/"&amp;RIGHT("00"&amp;$D1535,2)))</f>
        <v/>
      </c>
      <c r="F1535">
        <f>IF(OR($E1535="",$E1535="نامعتبر"),"",IF(Sync!$Q1532="","0000",IF(AND(ISNUMBER(Sync!$Q1532),Sync!$Q1532&gt;=0,Sync!$Q1532&lt;1),RIGHT("00"&amp;HOUR(Sync!$Q1532),2)&amp;RIGHT("00"&amp;MINUTE(Sync!$Q1532),2),IFERROR(RIGHT("00"&amp;VALUE(LEFT(Sync!$Q1532,FIND(":",Sync!$Q1532)-1)),2)&amp;RIGHT("00"&amp;VALUE(MID(Sync!$Q1532,FIND(":",Sync!$Q1532)+1,2)),2),"0000"))))</f>
        <v/>
      </c>
      <c r="G1535">
        <f>IF(OR($E1535="",$E1535="نامعتبر"),"",IF(Sync!$S1532="","",Sync!$S1532))</f>
        <v/>
      </c>
      <c r="H1535">
        <f>IF(OR($E1535="",$E1535="نامعتبر"),"",IF(Sync!$R1532="","",Sync!$R1532))</f>
        <v/>
      </c>
      <c r="I1535">
        <f>IF(OR($E1535="",$E1535="نامعتبر"),"",IF(Sync!$T1532="","",Sync!$T1532))</f>
        <v/>
      </c>
      <c r="J1535">
        <f>IF(OR($E1535="",$E1535="نامعتبر"),"",IF(Sync!$U1532="","",Sync!$U1532))</f>
        <v/>
      </c>
      <c r="K1535">
        <f>IF(OR($E1535="",$E1535="نامعتبر"),"",IF(Sync!$V1532="","",IFERROR(INDEX(SubCodes,MATCH(Sync!$V1532,SubTitles,0)),Sync!$V1532)))</f>
        <v/>
      </c>
      <c r="L1535">
        <f>IF(OR($E1535="",$E1535="نامعتبر"),"",IF(Sync!$W1532="",0,Sync!$W1532))</f>
        <v/>
      </c>
      <c r="M1535">
        <f>IF(OR($E1535="",$E1535="نامعتبر"),"",IF(Sync!$X1532="",0,Sync!$X1532))</f>
        <v/>
      </c>
      <c r="N1535">
        <f>IF(OR($E1535="",$E1535="نامعتبر"),"",IF(AND($J1535="هزینه",$K1535&lt;&gt;""),1,0))</f>
        <v/>
      </c>
      <c r="O1535">
        <f>IF($N1535=0,"",LEFT($E1535,4)&amp;MID($E1535,6,2)&amp;RIGHT($E1535,2)&amp;$F1535&amp;"|"&amp;"1"&amp;RIGHT("00000"&amp;1527,5))</f>
        <v/>
      </c>
      <c r="P1535">
        <f>IF($O1535="","",COUNTIFS(ExpSub,$K1535,ExpKey,"&lt;"&amp;$O1535)+1)</f>
        <v/>
      </c>
      <c r="Q1535">
        <f>IF($P1535="","",$K1535&amp;"|"&amp;RIGHT("000000"&amp;$P1535,6))</f>
        <v/>
      </c>
    </row>
    <row r="1536">
      <c r="A1536">
        <f>IF(Sync!$P1533="","",Sync!$P1533)</f>
        <v/>
      </c>
      <c r="B1536">
        <f>IF($A1536="","",IF(ISNUMBER($A1536),IF(AND($A1536&gt;=10000101,$A1536&lt;=99991231),INT($A1536/10000),""),IFERROR(VALUE(TRIM(LEFT($A1536,FIND("/",$A1536)-1))),"")))</f>
        <v/>
      </c>
      <c r="C1536">
        <f>IF(OR($A1536="",$B1536=""),"",IF(ISNUMBER($A1536),INT(MOD($A1536,10000)/100),IFERROR(VALUE(TRIM(LEFT(MID($A1536,FIND("/",$A1536)+1,20),FIND("/",MID($A1536,FIND("/",$A1536)+1,20))-1))),"")))</f>
        <v/>
      </c>
      <c r="D1536">
        <f>IF(OR($A1536="",$B1536=""),"",IF(ISNUMBER($A1536),MOD($A1536,100),IFERROR(VALUE(TRIM(MID(MID($A1536,FIND("/",$A1536)+1,20),FIND("/",MID($A1536,FIND("/",$A1536)+1,20))+1,20))),"")))</f>
        <v/>
      </c>
      <c r="E1536">
        <f>IF($A1536="","",IF(OR($B1536="",$C1536="",$D1536="",$B1536&lt;1300,$B1536&gt;1500,$C1536&lt;1,$C1536&gt;12,$D1536&lt;1,$D1536&gt;31),"نامعتبر",RIGHT("0000"&amp;$B1536,4)&amp;"/"&amp;RIGHT("00"&amp;$C1536,2)&amp;"/"&amp;RIGHT("00"&amp;$D1536,2)))</f>
        <v/>
      </c>
      <c r="F1536">
        <f>IF(OR($E1536="",$E1536="نامعتبر"),"",IF(Sync!$Q1533="","0000",IF(AND(ISNUMBER(Sync!$Q1533),Sync!$Q1533&gt;=0,Sync!$Q1533&lt;1),RIGHT("00"&amp;HOUR(Sync!$Q1533),2)&amp;RIGHT("00"&amp;MINUTE(Sync!$Q1533),2),IFERROR(RIGHT("00"&amp;VALUE(LEFT(Sync!$Q1533,FIND(":",Sync!$Q1533)-1)),2)&amp;RIGHT("00"&amp;VALUE(MID(Sync!$Q1533,FIND(":",Sync!$Q1533)+1,2)),2),"0000"))))</f>
        <v/>
      </c>
      <c r="G1536">
        <f>IF(OR($E1536="",$E1536="نامعتبر"),"",IF(Sync!$S1533="","",Sync!$S1533))</f>
        <v/>
      </c>
      <c r="H1536">
        <f>IF(OR($E1536="",$E1536="نامعتبر"),"",IF(Sync!$R1533="","",Sync!$R1533))</f>
        <v/>
      </c>
      <c r="I1536">
        <f>IF(OR($E1536="",$E1536="نامعتبر"),"",IF(Sync!$T1533="","",Sync!$T1533))</f>
        <v/>
      </c>
      <c r="J1536">
        <f>IF(OR($E1536="",$E1536="نامعتبر"),"",IF(Sync!$U1533="","",Sync!$U1533))</f>
        <v/>
      </c>
      <c r="K1536">
        <f>IF(OR($E1536="",$E1536="نامعتبر"),"",IF(Sync!$V1533="","",IFERROR(INDEX(SubCodes,MATCH(Sync!$V1533,SubTitles,0)),Sync!$V1533)))</f>
        <v/>
      </c>
      <c r="L1536">
        <f>IF(OR($E1536="",$E1536="نامعتبر"),"",IF(Sync!$W1533="",0,Sync!$W1533))</f>
        <v/>
      </c>
      <c r="M1536">
        <f>IF(OR($E1536="",$E1536="نامعتبر"),"",IF(Sync!$X1533="",0,Sync!$X1533))</f>
        <v/>
      </c>
      <c r="N1536">
        <f>IF(OR($E1536="",$E1536="نامعتبر"),"",IF(AND($J1536="هزینه",$K1536&lt;&gt;""),1,0))</f>
        <v/>
      </c>
      <c r="O1536">
        <f>IF($N1536=0,"",LEFT($E1536,4)&amp;MID($E1536,6,2)&amp;RIGHT($E1536,2)&amp;$F1536&amp;"|"&amp;"1"&amp;RIGHT("00000"&amp;1528,5))</f>
        <v/>
      </c>
      <c r="P1536">
        <f>IF($O1536="","",COUNTIFS(ExpSub,$K1536,ExpKey,"&lt;"&amp;$O1536)+1)</f>
        <v/>
      </c>
      <c r="Q1536">
        <f>IF($P1536="","",$K1536&amp;"|"&amp;RIGHT("000000"&amp;$P1536,6))</f>
        <v/>
      </c>
    </row>
    <row r="1537">
      <c r="A1537">
        <f>IF(Sync!$P1534="","",Sync!$P1534)</f>
        <v/>
      </c>
      <c r="B1537">
        <f>IF($A1537="","",IF(ISNUMBER($A1537),IF(AND($A1537&gt;=10000101,$A1537&lt;=99991231),INT($A1537/10000),""),IFERROR(VALUE(TRIM(LEFT($A1537,FIND("/",$A1537)-1))),"")))</f>
        <v/>
      </c>
      <c r="C1537">
        <f>IF(OR($A1537="",$B1537=""),"",IF(ISNUMBER($A1537),INT(MOD($A1537,10000)/100),IFERROR(VALUE(TRIM(LEFT(MID($A1537,FIND("/",$A1537)+1,20),FIND("/",MID($A1537,FIND("/",$A1537)+1,20))-1))),"")))</f>
        <v/>
      </c>
      <c r="D1537">
        <f>IF(OR($A1537="",$B1537=""),"",IF(ISNUMBER($A1537),MOD($A1537,100),IFERROR(VALUE(TRIM(MID(MID($A1537,FIND("/",$A1537)+1,20),FIND("/",MID($A1537,FIND("/",$A1537)+1,20))+1,20))),"")))</f>
        <v/>
      </c>
      <c r="E1537">
        <f>IF($A1537="","",IF(OR($B1537="",$C1537="",$D1537="",$B1537&lt;1300,$B1537&gt;1500,$C1537&lt;1,$C1537&gt;12,$D1537&lt;1,$D1537&gt;31),"نامعتبر",RIGHT("0000"&amp;$B1537,4)&amp;"/"&amp;RIGHT("00"&amp;$C1537,2)&amp;"/"&amp;RIGHT("00"&amp;$D1537,2)))</f>
        <v/>
      </c>
      <c r="F1537">
        <f>IF(OR($E1537="",$E1537="نامعتبر"),"",IF(Sync!$Q1534="","0000",IF(AND(ISNUMBER(Sync!$Q1534),Sync!$Q1534&gt;=0,Sync!$Q1534&lt;1),RIGHT("00"&amp;HOUR(Sync!$Q1534),2)&amp;RIGHT("00"&amp;MINUTE(Sync!$Q1534),2),IFERROR(RIGHT("00"&amp;VALUE(LEFT(Sync!$Q1534,FIND(":",Sync!$Q1534)-1)),2)&amp;RIGHT("00"&amp;VALUE(MID(Sync!$Q1534,FIND(":",Sync!$Q1534)+1,2)),2),"0000"))))</f>
        <v/>
      </c>
      <c r="G1537">
        <f>IF(OR($E1537="",$E1537="نامعتبر"),"",IF(Sync!$S1534="","",Sync!$S1534))</f>
        <v/>
      </c>
      <c r="H1537">
        <f>IF(OR($E1537="",$E1537="نامعتبر"),"",IF(Sync!$R1534="","",Sync!$R1534))</f>
        <v/>
      </c>
      <c r="I1537">
        <f>IF(OR($E1537="",$E1537="نامعتبر"),"",IF(Sync!$T1534="","",Sync!$T1534))</f>
        <v/>
      </c>
      <c r="J1537">
        <f>IF(OR($E1537="",$E1537="نامعتبر"),"",IF(Sync!$U1534="","",Sync!$U1534))</f>
        <v/>
      </c>
      <c r="K1537">
        <f>IF(OR($E1537="",$E1537="نامعتبر"),"",IF(Sync!$V1534="","",IFERROR(INDEX(SubCodes,MATCH(Sync!$V1534,SubTitles,0)),Sync!$V1534)))</f>
        <v/>
      </c>
      <c r="L1537">
        <f>IF(OR($E1537="",$E1537="نامعتبر"),"",IF(Sync!$W1534="",0,Sync!$W1534))</f>
        <v/>
      </c>
      <c r="M1537">
        <f>IF(OR($E1537="",$E1537="نامعتبر"),"",IF(Sync!$X1534="",0,Sync!$X1534))</f>
        <v/>
      </c>
      <c r="N1537">
        <f>IF(OR($E1537="",$E1537="نامعتبر"),"",IF(AND($J1537="هزینه",$K1537&lt;&gt;""),1,0))</f>
        <v/>
      </c>
      <c r="O1537">
        <f>IF($N1537=0,"",LEFT($E1537,4)&amp;MID($E1537,6,2)&amp;RIGHT($E1537,2)&amp;$F1537&amp;"|"&amp;"1"&amp;RIGHT("00000"&amp;1529,5))</f>
        <v/>
      </c>
      <c r="P1537">
        <f>IF($O1537="","",COUNTIFS(ExpSub,$K1537,ExpKey,"&lt;"&amp;$O1537)+1)</f>
        <v/>
      </c>
      <c r="Q1537">
        <f>IF($P1537="","",$K1537&amp;"|"&amp;RIGHT("000000"&amp;$P1537,6))</f>
        <v/>
      </c>
    </row>
    <row r="1538">
      <c r="A1538">
        <f>IF(Sync!$P1535="","",Sync!$P1535)</f>
        <v/>
      </c>
      <c r="B1538">
        <f>IF($A1538="","",IF(ISNUMBER($A1538),IF(AND($A1538&gt;=10000101,$A1538&lt;=99991231),INT($A1538/10000),""),IFERROR(VALUE(TRIM(LEFT($A1538,FIND("/",$A1538)-1))),"")))</f>
        <v/>
      </c>
      <c r="C1538">
        <f>IF(OR($A1538="",$B1538=""),"",IF(ISNUMBER($A1538),INT(MOD($A1538,10000)/100),IFERROR(VALUE(TRIM(LEFT(MID($A1538,FIND("/",$A1538)+1,20),FIND("/",MID($A1538,FIND("/",$A1538)+1,20))-1))),"")))</f>
        <v/>
      </c>
      <c r="D1538">
        <f>IF(OR($A1538="",$B1538=""),"",IF(ISNUMBER($A1538),MOD($A1538,100),IFERROR(VALUE(TRIM(MID(MID($A1538,FIND("/",$A1538)+1,20),FIND("/",MID($A1538,FIND("/",$A1538)+1,20))+1,20))),"")))</f>
        <v/>
      </c>
      <c r="E1538">
        <f>IF($A1538="","",IF(OR($B1538="",$C1538="",$D1538="",$B1538&lt;1300,$B1538&gt;1500,$C1538&lt;1,$C1538&gt;12,$D1538&lt;1,$D1538&gt;31),"نامعتبر",RIGHT("0000"&amp;$B1538,4)&amp;"/"&amp;RIGHT("00"&amp;$C1538,2)&amp;"/"&amp;RIGHT("00"&amp;$D1538,2)))</f>
        <v/>
      </c>
      <c r="F1538">
        <f>IF(OR($E1538="",$E1538="نامعتبر"),"",IF(Sync!$Q1535="","0000",IF(AND(ISNUMBER(Sync!$Q1535),Sync!$Q1535&gt;=0,Sync!$Q1535&lt;1),RIGHT("00"&amp;HOUR(Sync!$Q1535),2)&amp;RIGHT("00"&amp;MINUTE(Sync!$Q1535),2),IFERROR(RIGHT("00"&amp;VALUE(LEFT(Sync!$Q1535,FIND(":",Sync!$Q1535)-1)),2)&amp;RIGHT("00"&amp;VALUE(MID(Sync!$Q1535,FIND(":",Sync!$Q1535)+1,2)),2),"0000"))))</f>
        <v/>
      </c>
      <c r="G1538">
        <f>IF(OR($E1538="",$E1538="نامعتبر"),"",IF(Sync!$S1535="","",Sync!$S1535))</f>
        <v/>
      </c>
      <c r="H1538">
        <f>IF(OR($E1538="",$E1538="نامعتبر"),"",IF(Sync!$R1535="","",Sync!$R1535))</f>
        <v/>
      </c>
      <c r="I1538">
        <f>IF(OR($E1538="",$E1538="نامعتبر"),"",IF(Sync!$T1535="","",Sync!$T1535))</f>
        <v/>
      </c>
      <c r="J1538">
        <f>IF(OR($E1538="",$E1538="نامعتبر"),"",IF(Sync!$U1535="","",Sync!$U1535))</f>
        <v/>
      </c>
      <c r="K1538">
        <f>IF(OR($E1538="",$E1538="نامعتبر"),"",IF(Sync!$V1535="","",IFERROR(INDEX(SubCodes,MATCH(Sync!$V1535,SubTitles,0)),Sync!$V1535)))</f>
        <v/>
      </c>
      <c r="L1538">
        <f>IF(OR($E1538="",$E1538="نامعتبر"),"",IF(Sync!$W1535="",0,Sync!$W1535))</f>
        <v/>
      </c>
      <c r="M1538">
        <f>IF(OR($E1538="",$E1538="نامعتبر"),"",IF(Sync!$X1535="",0,Sync!$X1535))</f>
        <v/>
      </c>
      <c r="N1538">
        <f>IF(OR($E1538="",$E1538="نامعتبر"),"",IF(AND($J1538="هزینه",$K1538&lt;&gt;""),1,0))</f>
        <v/>
      </c>
      <c r="O1538">
        <f>IF($N1538=0,"",LEFT($E1538,4)&amp;MID($E1538,6,2)&amp;RIGHT($E1538,2)&amp;$F1538&amp;"|"&amp;"1"&amp;RIGHT("00000"&amp;1530,5))</f>
        <v/>
      </c>
      <c r="P1538">
        <f>IF($O1538="","",COUNTIFS(ExpSub,$K1538,ExpKey,"&lt;"&amp;$O1538)+1)</f>
        <v/>
      </c>
      <c r="Q1538">
        <f>IF($P1538="","",$K1538&amp;"|"&amp;RIGHT("000000"&amp;$P1538,6))</f>
        <v/>
      </c>
    </row>
    <row r="1539">
      <c r="A1539">
        <f>IF(Sync!$P1536="","",Sync!$P1536)</f>
        <v/>
      </c>
      <c r="B1539">
        <f>IF($A1539="","",IF(ISNUMBER($A1539),IF(AND($A1539&gt;=10000101,$A1539&lt;=99991231),INT($A1539/10000),""),IFERROR(VALUE(TRIM(LEFT($A1539,FIND("/",$A1539)-1))),"")))</f>
        <v/>
      </c>
      <c r="C1539">
        <f>IF(OR($A1539="",$B1539=""),"",IF(ISNUMBER($A1539),INT(MOD($A1539,10000)/100),IFERROR(VALUE(TRIM(LEFT(MID($A1539,FIND("/",$A1539)+1,20),FIND("/",MID($A1539,FIND("/",$A1539)+1,20))-1))),"")))</f>
        <v/>
      </c>
      <c r="D1539">
        <f>IF(OR($A1539="",$B1539=""),"",IF(ISNUMBER($A1539),MOD($A1539,100),IFERROR(VALUE(TRIM(MID(MID($A1539,FIND("/",$A1539)+1,20),FIND("/",MID($A1539,FIND("/",$A1539)+1,20))+1,20))),"")))</f>
        <v/>
      </c>
      <c r="E1539">
        <f>IF($A1539="","",IF(OR($B1539="",$C1539="",$D1539="",$B1539&lt;1300,$B1539&gt;1500,$C1539&lt;1,$C1539&gt;12,$D1539&lt;1,$D1539&gt;31),"نامعتبر",RIGHT("0000"&amp;$B1539,4)&amp;"/"&amp;RIGHT("00"&amp;$C1539,2)&amp;"/"&amp;RIGHT("00"&amp;$D1539,2)))</f>
        <v/>
      </c>
      <c r="F1539">
        <f>IF(OR($E1539="",$E1539="نامعتبر"),"",IF(Sync!$Q1536="","0000",IF(AND(ISNUMBER(Sync!$Q1536),Sync!$Q1536&gt;=0,Sync!$Q1536&lt;1),RIGHT("00"&amp;HOUR(Sync!$Q1536),2)&amp;RIGHT("00"&amp;MINUTE(Sync!$Q1536),2),IFERROR(RIGHT("00"&amp;VALUE(LEFT(Sync!$Q1536,FIND(":",Sync!$Q1536)-1)),2)&amp;RIGHT("00"&amp;VALUE(MID(Sync!$Q1536,FIND(":",Sync!$Q1536)+1,2)),2),"0000"))))</f>
        <v/>
      </c>
      <c r="G1539">
        <f>IF(OR($E1539="",$E1539="نامعتبر"),"",IF(Sync!$S1536="","",Sync!$S1536))</f>
        <v/>
      </c>
      <c r="H1539">
        <f>IF(OR($E1539="",$E1539="نامعتبر"),"",IF(Sync!$R1536="","",Sync!$R1536))</f>
        <v/>
      </c>
      <c r="I1539">
        <f>IF(OR($E1539="",$E1539="نامعتبر"),"",IF(Sync!$T1536="","",Sync!$T1536))</f>
        <v/>
      </c>
      <c r="J1539">
        <f>IF(OR($E1539="",$E1539="نامعتبر"),"",IF(Sync!$U1536="","",Sync!$U1536))</f>
        <v/>
      </c>
      <c r="K1539">
        <f>IF(OR($E1539="",$E1539="نامعتبر"),"",IF(Sync!$V1536="","",IFERROR(INDEX(SubCodes,MATCH(Sync!$V1536,SubTitles,0)),Sync!$V1536)))</f>
        <v/>
      </c>
      <c r="L1539">
        <f>IF(OR($E1539="",$E1539="نامعتبر"),"",IF(Sync!$W1536="",0,Sync!$W1536))</f>
        <v/>
      </c>
      <c r="M1539">
        <f>IF(OR($E1539="",$E1539="نامعتبر"),"",IF(Sync!$X1536="",0,Sync!$X1536))</f>
        <v/>
      </c>
      <c r="N1539">
        <f>IF(OR($E1539="",$E1539="نامعتبر"),"",IF(AND($J1539="هزینه",$K1539&lt;&gt;""),1,0))</f>
        <v/>
      </c>
      <c r="O1539">
        <f>IF($N1539=0,"",LEFT($E1539,4)&amp;MID($E1539,6,2)&amp;RIGHT($E1539,2)&amp;$F1539&amp;"|"&amp;"1"&amp;RIGHT("00000"&amp;1531,5))</f>
        <v/>
      </c>
      <c r="P1539">
        <f>IF($O1539="","",COUNTIFS(ExpSub,$K1539,ExpKey,"&lt;"&amp;$O1539)+1)</f>
        <v/>
      </c>
      <c r="Q1539">
        <f>IF($P1539="","",$K1539&amp;"|"&amp;RIGHT("000000"&amp;$P1539,6))</f>
        <v/>
      </c>
    </row>
    <row r="1540">
      <c r="A1540">
        <f>IF(Sync!$P1537="","",Sync!$P1537)</f>
        <v/>
      </c>
      <c r="B1540">
        <f>IF($A1540="","",IF(ISNUMBER($A1540),IF(AND($A1540&gt;=10000101,$A1540&lt;=99991231),INT($A1540/10000),""),IFERROR(VALUE(TRIM(LEFT($A1540,FIND("/",$A1540)-1))),"")))</f>
        <v/>
      </c>
      <c r="C1540">
        <f>IF(OR($A1540="",$B1540=""),"",IF(ISNUMBER($A1540),INT(MOD($A1540,10000)/100),IFERROR(VALUE(TRIM(LEFT(MID($A1540,FIND("/",$A1540)+1,20),FIND("/",MID($A1540,FIND("/",$A1540)+1,20))-1))),"")))</f>
        <v/>
      </c>
      <c r="D1540">
        <f>IF(OR($A1540="",$B1540=""),"",IF(ISNUMBER($A1540),MOD($A1540,100),IFERROR(VALUE(TRIM(MID(MID($A1540,FIND("/",$A1540)+1,20),FIND("/",MID($A1540,FIND("/",$A1540)+1,20))+1,20))),"")))</f>
        <v/>
      </c>
      <c r="E1540">
        <f>IF($A1540="","",IF(OR($B1540="",$C1540="",$D1540="",$B1540&lt;1300,$B1540&gt;1500,$C1540&lt;1,$C1540&gt;12,$D1540&lt;1,$D1540&gt;31),"نامعتبر",RIGHT("0000"&amp;$B1540,4)&amp;"/"&amp;RIGHT("00"&amp;$C1540,2)&amp;"/"&amp;RIGHT("00"&amp;$D1540,2)))</f>
        <v/>
      </c>
      <c r="F1540">
        <f>IF(OR($E1540="",$E1540="نامعتبر"),"",IF(Sync!$Q1537="","0000",IF(AND(ISNUMBER(Sync!$Q1537),Sync!$Q1537&gt;=0,Sync!$Q1537&lt;1),RIGHT("00"&amp;HOUR(Sync!$Q1537),2)&amp;RIGHT("00"&amp;MINUTE(Sync!$Q1537),2),IFERROR(RIGHT("00"&amp;VALUE(LEFT(Sync!$Q1537,FIND(":",Sync!$Q1537)-1)),2)&amp;RIGHT("00"&amp;VALUE(MID(Sync!$Q1537,FIND(":",Sync!$Q1537)+1,2)),2),"0000"))))</f>
        <v/>
      </c>
      <c r="G1540">
        <f>IF(OR($E1540="",$E1540="نامعتبر"),"",IF(Sync!$S1537="","",Sync!$S1537))</f>
        <v/>
      </c>
      <c r="H1540">
        <f>IF(OR($E1540="",$E1540="نامعتبر"),"",IF(Sync!$R1537="","",Sync!$R1537))</f>
        <v/>
      </c>
      <c r="I1540">
        <f>IF(OR($E1540="",$E1540="نامعتبر"),"",IF(Sync!$T1537="","",Sync!$T1537))</f>
        <v/>
      </c>
      <c r="J1540">
        <f>IF(OR($E1540="",$E1540="نامعتبر"),"",IF(Sync!$U1537="","",Sync!$U1537))</f>
        <v/>
      </c>
      <c r="K1540">
        <f>IF(OR($E1540="",$E1540="نامعتبر"),"",IF(Sync!$V1537="","",IFERROR(INDEX(SubCodes,MATCH(Sync!$V1537,SubTitles,0)),Sync!$V1537)))</f>
        <v/>
      </c>
      <c r="L1540">
        <f>IF(OR($E1540="",$E1540="نامعتبر"),"",IF(Sync!$W1537="",0,Sync!$W1537))</f>
        <v/>
      </c>
      <c r="M1540">
        <f>IF(OR($E1540="",$E1540="نامعتبر"),"",IF(Sync!$X1537="",0,Sync!$X1537))</f>
        <v/>
      </c>
      <c r="N1540">
        <f>IF(OR($E1540="",$E1540="نامعتبر"),"",IF(AND($J1540="هزینه",$K1540&lt;&gt;""),1,0))</f>
        <v/>
      </c>
      <c r="O1540">
        <f>IF($N1540=0,"",LEFT($E1540,4)&amp;MID($E1540,6,2)&amp;RIGHT($E1540,2)&amp;$F1540&amp;"|"&amp;"1"&amp;RIGHT("00000"&amp;1532,5))</f>
        <v/>
      </c>
      <c r="P1540">
        <f>IF($O1540="","",COUNTIFS(ExpSub,$K1540,ExpKey,"&lt;"&amp;$O1540)+1)</f>
        <v/>
      </c>
      <c r="Q1540">
        <f>IF($P1540="","",$K1540&amp;"|"&amp;RIGHT("000000"&amp;$P1540,6))</f>
        <v/>
      </c>
    </row>
    <row r="1541">
      <c r="A1541">
        <f>IF(Sync!$P1538="","",Sync!$P1538)</f>
        <v/>
      </c>
      <c r="B1541">
        <f>IF($A1541="","",IF(ISNUMBER($A1541),IF(AND($A1541&gt;=10000101,$A1541&lt;=99991231),INT($A1541/10000),""),IFERROR(VALUE(TRIM(LEFT($A1541,FIND("/",$A1541)-1))),"")))</f>
        <v/>
      </c>
      <c r="C1541">
        <f>IF(OR($A1541="",$B1541=""),"",IF(ISNUMBER($A1541),INT(MOD($A1541,10000)/100),IFERROR(VALUE(TRIM(LEFT(MID($A1541,FIND("/",$A1541)+1,20),FIND("/",MID($A1541,FIND("/",$A1541)+1,20))-1))),"")))</f>
        <v/>
      </c>
      <c r="D1541">
        <f>IF(OR($A1541="",$B1541=""),"",IF(ISNUMBER($A1541),MOD($A1541,100),IFERROR(VALUE(TRIM(MID(MID($A1541,FIND("/",$A1541)+1,20),FIND("/",MID($A1541,FIND("/",$A1541)+1,20))+1,20))),"")))</f>
        <v/>
      </c>
      <c r="E1541">
        <f>IF($A1541="","",IF(OR($B1541="",$C1541="",$D1541="",$B1541&lt;1300,$B1541&gt;1500,$C1541&lt;1,$C1541&gt;12,$D1541&lt;1,$D1541&gt;31),"نامعتبر",RIGHT("0000"&amp;$B1541,4)&amp;"/"&amp;RIGHT("00"&amp;$C1541,2)&amp;"/"&amp;RIGHT("00"&amp;$D1541,2)))</f>
        <v/>
      </c>
      <c r="F1541">
        <f>IF(OR($E1541="",$E1541="نامعتبر"),"",IF(Sync!$Q1538="","0000",IF(AND(ISNUMBER(Sync!$Q1538),Sync!$Q1538&gt;=0,Sync!$Q1538&lt;1),RIGHT("00"&amp;HOUR(Sync!$Q1538),2)&amp;RIGHT("00"&amp;MINUTE(Sync!$Q1538),2),IFERROR(RIGHT("00"&amp;VALUE(LEFT(Sync!$Q1538,FIND(":",Sync!$Q1538)-1)),2)&amp;RIGHT("00"&amp;VALUE(MID(Sync!$Q1538,FIND(":",Sync!$Q1538)+1,2)),2),"0000"))))</f>
        <v/>
      </c>
      <c r="G1541">
        <f>IF(OR($E1541="",$E1541="نامعتبر"),"",IF(Sync!$S1538="","",Sync!$S1538))</f>
        <v/>
      </c>
      <c r="H1541">
        <f>IF(OR($E1541="",$E1541="نامعتبر"),"",IF(Sync!$R1538="","",Sync!$R1538))</f>
        <v/>
      </c>
      <c r="I1541">
        <f>IF(OR($E1541="",$E1541="نامعتبر"),"",IF(Sync!$T1538="","",Sync!$T1538))</f>
        <v/>
      </c>
      <c r="J1541">
        <f>IF(OR($E1541="",$E1541="نامعتبر"),"",IF(Sync!$U1538="","",Sync!$U1538))</f>
        <v/>
      </c>
      <c r="K1541">
        <f>IF(OR($E1541="",$E1541="نامعتبر"),"",IF(Sync!$V1538="","",IFERROR(INDEX(SubCodes,MATCH(Sync!$V1538,SubTitles,0)),Sync!$V1538)))</f>
        <v/>
      </c>
      <c r="L1541">
        <f>IF(OR($E1541="",$E1541="نامعتبر"),"",IF(Sync!$W1538="",0,Sync!$W1538))</f>
        <v/>
      </c>
      <c r="M1541">
        <f>IF(OR($E1541="",$E1541="نامعتبر"),"",IF(Sync!$X1538="",0,Sync!$X1538))</f>
        <v/>
      </c>
      <c r="N1541">
        <f>IF(OR($E1541="",$E1541="نامعتبر"),"",IF(AND($J1541="هزینه",$K1541&lt;&gt;""),1,0))</f>
        <v/>
      </c>
      <c r="O1541">
        <f>IF($N1541=0,"",LEFT($E1541,4)&amp;MID($E1541,6,2)&amp;RIGHT($E1541,2)&amp;$F1541&amp;"|"&amp;"1"&amp;RIGHT("00000"&amp;1533,5))</f>
        <v/>
      </c>
      <c r="P1541">
        <f>IF($O1541="","",COUNTIFS(ExpSub,$K1541,ExpKey,"&lt;"&amp;$O1541)+1)</f>
        <v/>
      </c>
      <c r="Q1541">
        <f>IF($P1541="","",$K1541&amp;"|"&amp;RIGHT("000000"&amp;$P1541,6))</f>
        <v/>
      </c>
    </row>
    <row r="1542">
      <c r="A1542">
        <f>IF(Sync!$P1539="","",Sync!$P1539)</f>
        <v/>
      </c>
      <c r="B1542">
        <f>IF($A1542="","",IF(ISNUMBER($A1542),IF(AND($A1542&gt;=10000101,$A1542&lt;=99991231),INT($A1542/10000),""),IFERROR(VALUE(TRIM(LEFT($A1542,FIND("/",$A1542)-1))),"")))</f>
        <v/>
      </c>
      <c r="C1542">
        <f>IF(OR($A1542="",$B1542=""),"",IF(ISNUMBER($A1542),INT(MOD($A1542,10000)/100),IFERROR(VALUE(TRIM(LEFT(MID($A1542,FIND("/",$A1542)+1,20),FIND("/",MID($A1542,FIND("/",$A1542)+1,20))-1))),"")))</f>
        <v/>
      </c>
      <c r="D1542">
        <f>IF(OR($A1542="",$B1542=""),"",IF(ISNUMBER($A1542),MOD($A1542,100),IFERROR(VALUE(TRIM(MID(MID($A1542,FIND("/",$A1542)+1,20),FIND("/",MID($A1542,FIND("/",$A1542)+1,20))+1,20))),"")))</f>
        <v/>
      </c>
      <c r="E1542">
        <f>IF($A1542="","",IF(OR($B1542="",$C1542="",$D1542="",$B1542&lt;1300,$B1542&gt;1500,$C1542&lt;1,$C1542&gt;12,$D1542&lt;1,$D1542&gt;31),"نامعتبر",RIGHT("0000"&amp;$B1542,4)&amp;"/"&amp;RIGHT("00"&amp;$C1542,2)&amp;"/"&amp;RIGHT("00"&amp;$D1542,2)))</f>
        <v/>
      </c>
      <c r="F1542">
        <f>IF(OR($E1542="",$E1542="نامعتبر"),"",IF(Sync!$Q1539="","0000",IF(AND(ISNUMBER(Sync!$Q1539),Sync!$Q1539&gt;=0,Sync!$Q1539&lt;1),RIGHT("00"&amp;HOUR(Sync!$Q1539),2)&amp;RIGHT("00"&amp;MINUTE(Sync!$Q1539),2),IFERROR(RIGHT("00"&amp;VALUE(LEFT(Sync!$Q1539,FIND(":",Sync!$Q1539)-1)),2)&amp;RIGHT("00"&amp;VALUE(MID(Sync!$Q1539,FIND(":",Sync!$Q1539)+1,2)),2),"0000"))))</f>
        <v/>
      </c>
      <c r="G1542">
        <f>IF(OR($E1542="",$E1542="نامعتبر"),"",IF(Sync!$S1539="","",Sync!$S1539))</f>
        <v/>
      </c>
      <c r="H1542">
        <f>IF(OR($E1542="",$E1542="نامعتبر"),"",IF(Sync!$R1539="","",Sync!$R1539))</f>
        <v/>
      </c>
      <c r="I1542">
        <f>IF(OR($E1542="",$E1542="نامعتبر"),"",IF(Sync!$T1539="","",Sync!$T1539))</f>
        <v/>
      </c>
      <c r="J1542">
        <f>IF(OR($E1542="",$E1542="نامعتبر"),"",IF(Sync!$U1539="","",Sync!$U1539))</f>
        <v/>
      </c>
      <c r="K1542">
        <f>IF(OR($E1542="",$E1542="نامعتبر"),"",IF(Sync!$V1539="","",IFERROR(INDEX(SubCodes,MATCH(Sync!$V1539,SubTitles,0)),Sync!$V1539)))</f>
        <v/>
      </c>
      <c r="L1542">
        <f>IF(OR($E1542="",$E1542="نامعتبر"),"",IF(Sync!$W1539="",0,Sync!$W1539))</f>
        <v/>
      </c>
      <c r="M1542">
        <f>IF(OR($E1542="",$E1542="نامعتبر"),"",IF(Sync!$X1539="",0,Sync!$X1539))</f>
        <v/>
      </c>
      <c r="N1542">
        <f>IF(OR($E1542="",$E1542="نامعتبر"),"",IF(AND($J1542="هزینه",$K1542&lt;&gt;""),1,0))</f>
        <v/>
      </c>
      <c r="O1542">
        <f>IF($N1542=0,"",LEFT($E1542,4)&amp;MID($E1542,6,2)&amp;RIGHT($E1542,2)&amp;$F1542&amp;"|"&amp;"1"&amp;RIGHT("00000"&amp;1534,5))</f>
        <v/>
      </c>
      <c r="P1542">
        <f>IF($O1542="","",COUNTIFS(ExpSub,$K1542,ExpKey,"&lt;"&amp;$O1542)+1)</f>
        <v/>
      </c>
      <c r="Q1542">
        <f>IF($P1542="","",$K1542&amp;"|"&amp;RIGHT("000000"&amp;$P1542,6))</f>
        <v/>
      </c>
    </row>
    <row r="1543">
      <c r="A1543">
        <f>IF(Sync!$P1540="","",Sync!$P1540)</f>
        <v/>
      </c>
      <c r="B1543">
        <f>IF($A1543="","",IF(ISNUMBER($A1543),IF(AND($A1543&gt;=10000101,$A1543&lt;=99991231),INT($A1543/10000),""),IFERROR(VALUE(TRIM(LEFT($A1543,FIND("/",$A1543)-1))),"")))</f>
        <v/>
      </c>
      <c r="C1543">
        <f>IF(OR($A1543="",$B1543=""),"",IF(ISNUMBER($A1543),INT(MOD($A1543,10000)/100),IFERROR(VALUE(TRIM(LEFT(MID($A1543,FIND("/",$A1543)+1,20),FIND("/",MID($A1543,FIND("/",$A1543)+1,20))-1))),"")))</f>
        <v/>
      </c>
      <c r="D1543">
        <f>IF(OR($A1543="",$B1543=""),"",IF(ISNUMBER($A1543),MOD($A1543,100),IFERROR(VALUE(TRIM(MID(MID($A1543,FIND("/",$A1543)+1,20),FIND("/",MID($A1543,FIND("/",$A1543)+1,20))+1,20))),"")))</f>
        <v/>
      </c>
      <c r="E1543">
        <f>IF($A1543="","",IF(OR($B1543="",$C1543="",$D1543="",$B1543&lt;1300,$B1543&gt;1500,$C1543&lt;1,$C1543&gt;12,$D1543&lt;1,$D1543&gt;31),"نامعتبر",RIGHT("0000"&amp;$B1543,4)&amp;"/"&amp;RIGHT("00"&amp;$C1543,2)&amp;"/"&amp;RIGHT("00"&amp;$D1543,2)))</f>
        <v/>
      </c>
      <c r="F1543">
        <f>IF(OR($E1543="",$E1543="نامعتبر"),"",IF(Sync!$Q1540="","0000",IF(AND(ISNUMBER(Sync!$Q1540),Sync!$Q1540&gt;=0,Sync!$Q1540&lt;1),RIGHT("00"&amp;HOUR(Sync!$Q1540),2)&amp;RIGHT("00"&amp;MINUTE(Sync!$Q1540),2),IFERROR(RIGHT("00"&amp;VALUE(LEFT(Sync!$Q1540,FIND(":",Sync!$Q1540)-1)),2)&amp;RIGHT("00"&amp;VALUE(MID(Sync!$Q1540,FIND(":",Sync!$Q1540)+1,2)),2),"0000"))))</f>
        <v/>
      </c>
      <c r="G1543">
        <f>IF(OR($E1543="",$E1543="نامعتبر"),"",IF(Sync!$S1540="","",Sync!$S1540))</f>
        <v/>
      </c>
      <c r="H1543">
        <f>IF(OR($E1543="",$E1543="نامعتبر"),"",IF(Sync!$R1540="","",Sync!$R1540))</f>
        <v/>
      </c>
      <c r="I1543">
        <f>IF(OR($E1543="",$E1543="نامعتبر"),"",IF(Sync!$T1540="","",Sync!$T1540))</f>
        <v/>
      </c>
      <c r="J1543">
        <f>IF(OR($E1543="",$E1543="نامعتبر"),"",IF(Sync!$U1540="","",Sync!$U1540))</f>
        <v/>
      </c>
      <c r="K1543">
        <f>IF(OR($E1543="",$E1543="نامعتبر"),"",IF(Sync!$V1540="","",IFERROR(INDEX(SubCodes,MATCH(Sync!$V1540,SubTitles,0)),Sync!$V1540)))</f>
        <v/>
      </c>
      <c r="L1543">
        <f>IF(OR($E1543="",$E1543="نامعتبر"),"",IF(Sync!$W1540="",0,Sync!$W1540))</f>
        <v/>
      </c>
      <c r="M1543">
        <f>IF(OR($E1543="",$E1543="نامعتبر"),"",IF(Sync!$X1540="",0,Sync!$X1540))</f>
        <v/>
      </c>
      <c r="N1543">
        <f>IF(OR($E1543="",$E1543="نامعتبر"),"",IF(AND($J1543="هزینه",$K1543&lt;&gt;""),1,0))</f>
        <v/>
      </c>
      <c r="O1543">
        <f>IF($N1543=0,"",LEFT($E1543,4)&amp;MID($E1543,6,2)&amp;RIGHT($E1543,2)&amp;$F1543&amp;"|"&amp;"1"&amp;RIGHT("00000"&amp;1535,5))</f>
        <v/>
      </c>
      <c r="P1543">
        <f>IF($O1543="","",COUNTIFS(ExpSub,$K1543,ExpKey,"&lt;"&amp;$O1543)+1)</f>
        <v/>
      </c>
      <c r="Q1543">
        <f>IF($P1543="","",$K1543&amp;"|"&amp;RIGHT("000000"&amp;$P1543,6))</f>
        <v/>
      </c>
    </row>
    <row r="1544">
      <c r="A1544">
        <f>IF(Sync!$P1541="","",Sync!$P1541)</f>
        <v/>
      </c>
      <c r="B1544">
        <f>IF($A1544="","",IF(ISNUMBER($A1544),IF(AND($A1544&gt;=10000101,$A1544&lt;=99991231),INT($A1544/10000),""),IFERROR(VALUE(TRIM(LEFT($A1544,FIND("/",$A1544)-1))),"")))</f>
        <v/>
      </c>
      <c r="C1544">
        <f>IF(OR($A1544="",$B1544=""),"",IF(ISNUMBER($A1544),INT(MOD($A1544,10000)/100),IFERROR(VALUE(TRIM(LEFT(MID($A1544,FIND("/",$A1544)+1,20),FIND("/",MID($A1544,FIND("/",$A1544)+1,20))-1))),"")))</f>
        <v/>
      </c>
      <c r="D1544">
        <f>IF(OR($A1544="",$B1544=""),"",IF(ISNUMBER($A1544),MOD($A1544,100),IFERROR(VALUE(TRIM(MID(MID($A1544,FIND("/",$A1544)+1,20),FIND("/",MID($A1544,FIND("/",$A1544)+1,20))+1,20))),"")))</f>
        <v/>
      </c>
      <c r="E1544">
        <f>IF($A1544="","",IF(OR($B1544="",$C1544="",$D1544="",$B1544&lt;1300,$B1544&gt;1500,$C1544&lt;1,$C1544&gt;12,$D1544&lt;1,$D1544&gt;31),"نامعتبر",RIGHT("0000"&amp;$B1544,4)&amp;"/"&amp;RIGHT("00"&amp;$C1544,2)&amp;"/"&amp;RIGHT("00"&amp;$D1544,2)))</f>
        <v/>
      </c>
      <c r="F1544">
        <f>IF(OR($E1544="",$E1544="نامعتبر"),"",IF(Sync!$Q1541="","0000",IF(AND(ISNUMBER(Sync!$Q1541),Sync!$Q1541&gt;=0,Sync!$Q1541&lt;1),RIGHT("00"&amp;HOUR(Sync!$Q1541),2)&amp;RIGHT("00"&amp;MINUTE(Sync!$Q1541),2),IFERROR(RIGHT("00"&amp;VALUE(LEFT(Sync!$Q1541,FIND(":",Sync!$Q1541)-1)),2)&amp;RIGHT("00"&amp;VALUE(MID(Sync!$Q1541,FIND(":",Sync!$Q1541)+1,2)),2),"0000"))))</f>
        <v/>
      </c>
      <c r="G1544">
        <f>IF(OR($E1544="",$E1544="نامعتبر"),"",IF(Sync!$S1541="","",Sync!$S1541))</f>
        <v/>
      </c>
      <c r="H1544">
        <f>IF(OR($E1544="",$E1544="نامعتبر"),"",IF(Sync!$R1541="","",Sync!$R1541))</f>
        <v/>
      </c>
      <c r="I1544">
        <f>IF(OR($E1544="",$E1544="نامعتبر"),"",IF(Sync!$T1541="","",Sync!$T1541))</f>
        <v/>
      </c>
      <c r="J1544">
        <f>IF(OR($E1544="",$E1544="نامعتبر"),"",IF(Sync!$U1541="","",Sync!$U1541))</f>
        <v/>
      </c>
      <c r="K1544">
        <f>IF(OR($E1544="",$E1544="نامعتبر"),"",IF(Sync!$V1541="","",IFERROR(INDEX(SubCodes,MATCH(Sync!$V1541,SubTitles,0)),Sync!$V1541)))</f>
        <v/>
      </c>
      <c r="L1544">
        <f>IF(OR($E1544="",$E1544="نامعتبر"),"",IF(Sync!$W1541="",0,Sync!$W1541))</f>
        <v/>
      </c>
      <c r="M1544">
        <f>IF(OR($E1544="",$E1544="نامعتبر"),"",IF(Sync!$X1541="",0,Sync!$X1541))</f>
        <v/>
      </c>
      <c r="N1544">
        <f>IF(OR($E1544="",$E1544="نامعتبر"),"",IF(AND($J1544="هزینه",$K1544&lt;&gt;""),1,0))</f>
        <v/>
      </c>
      <c r="O1544">
        <f>IF($N1544=0,"",LEFT($E1544,4)&amp;MID($E1544,6,2)&amp;RIGHT($E1544,2)&amp;$F1544&amp;"|"&amp;"1"&amp;RIGHT("00000"&amp;1536,5))</f>
        <v/>
      </c>
      <c r="P1544">
        <f>IF($O1544="","",COUNTIFS(ExpSub,$K1544,ExpKey,"&lt;"&amp;$O1544)+1)</f>
        <v/>
      </c>
      <c r="Q1544">
        <f>IF($P1544="","",$K1544&amp;"|"&amp;RIGHT("000000"&amp;$P1544,6))</f>
        <v/>
      </c>
    </row>
    <row r="1545">
      <c r="A1545">
        <f>IF(Sync!$P1542="","",Sync!$P1542)</f>
        <v/>
      </c>
      <c r="B1545">
        <f>IF($A1545="","",IF(ISNUMBER($A1545),IF(AND($A1545&gt;=10000101,$A1545&lt;=99991231),INT($A1545/10000),""),IFERROR(VALUE(TRIM(LEFT($A1545,FIND("/",$A1545)-1))),"")))</f>
        <v/>
      </c>
      <c r="C1545">
        <f>IF(OR($A1545="",$B1545=""),"",IF(ISNUMBER($A1545),INT(MOD($A1545,10000)/100),IFERROR(VALUE(TRIM(LEFT(MID($A1545,FIND("/",$A1545)+1,20),FIND("/",MID($A1545,FIND("/",$A1545)+1,20))-1))),"")))</f>
        <v/>
      </c>
      <c r="D1545">
        <f>IF(OR($A1545="",$B1545=""),"",IF(ISNUMBER($A1545),MOD($A1545,100),IFERROR(VALUE(TRIM(MID(MID($A1545,FIND("/",$A1545)+1,20),FIND("/",MID($A1545,FIND("/",$A1545)+1,20))+1,20))),"")))</f>
        <v/>
      </c>
      <c r="E1545">
        <f>IF($A1545="","",IF(OR($B1545="",$C1545="",$D1545="",$B1545&lt;1300,$B1545&gt;1500,$C1545&lt;1,$C1545&gt;12,$D1545&lt;1,$D1545&gt;31),"نامعتبر",RIGHT("0000"&amp;$B1545,4)&amp;"/"&amp;RIGHT("00"&amp;$C1545,2)&amp;"/"&amp;RIGHT("00"&amp;$D1545,2)))</f>
        <v/>
      </c>
      <c r="F1545">
        <f>IF(OR($E1545="",$E1545="نامعتبر"),"",IF(Sync!$Q1542="","0000",IF(AND(ISNUMBER(Sync!$Q1542),Sync!$Q1542&gt;=0,Sync!$Q1542&lt;1),RIGHT("00"&amp;HOUR(Sync!$Q1542),2)&amp;RIGHT("00"&amp;MINUTE(Sync!$Q1542),2),IFERROR(RIGHT("00"&amp;VALUE(LEFT(Sync!$Q1542,FIND(":",Sync!$Q1542)-1)),2)&amp;RIGHT("00"&amp;VALUE(MID(Sync!$Q1542,FIND(":",Sync!$Q1542)+1,2)),2),"0000"))))</f>
        <v/>
      </c>
      <c r="G1545">
        <f>IF(OR($E1545="",$E1545="نامعتبر"),"",IF(Sync!$S1542="","",Sync!$S1542))</f>
        <v/>
      </c>
      <c r="H1545">
        <f>IF(OR($E1545="",$E1545="نامعتبر"),"",IF(Sync!$R1542="","",Sync!$R1542))</f>
        <v/>
      </c>
      <c r="I1545">
        <f>IF(OR($E1545="",$E1545="نامعتبر"),"",IF(Sync!$T1542="","",Sync!$T1542))</f>
        <v/>
      </c>
      <c r="J1545">
        <f>IF(OR($E1545="",$E1545="نامعتبر"),"",IF(Sync!$U1542="","",Sync!$U1542))</f>
        <v/>
      </c>
      <c r="K1545">
        <f>IF(OR($E1545="",$E1545="نامعتبر"),"",IF(Sync!$V1542="","",IFERROR(INDEX(SubCodes,MATCH(Sync!$V1542,SubTitles,0)),Sync!$V1542)))</f>
        <v/>
      </c>
      <c r="L1545">
        <f>IF(OR($E1545="",$E1545="نامعتبر"),"",IF(Sync!$W1542="",0,Sync!$W1542))</f>
        <v/>
      </c>
      <c r="M1545">
        <f>IF(OR($E1545="",$E1545="نامعتبر"),"",IF(Sync!$X1542="",0,Sync!$X1542))</f>
        <v/>
      </c>
      <c r="N1545">
        <f>IF(OR($E1545="",$E1545="نامعتبر"),"",IF(AND($J1545="هزینه",$K1545&lt;&gt;""),1,0))</f>
        <v/>
      </c>
      <c r="O1545">
        <f>IF($N1545=0,"",LEFT($E1545,4)&amp;MID($E1545,6,2)&amp;RIGHT($E1545,2)&amp;$F1545&amp;"|"&amp;"1"&amp;RIGHT("00000"&amp;1537,5))</f>
        <v/>
      </c>
      <c r="P1545">
        <f>IF($O1545="","",COUNTIFS(ExpSub,$K1545,ExpKey,"&lt;"&amp;$O1545)+1)</f>
        <v/>
      </c>
      <c r="Q1545">
        <f>IF($P1545="","",$K1545&amp;"|"&amp;RIGHT("000000"&amp;$P1545,6))</f>
        <v/>
      </c>
    </row>
    <row r="1546">
      <c r="A1546">
        <f>IF(Sync!$P1543="","",Sync!$P1543)</f>
        <v/>
      </c>
      <c r="B1546">
        <f>IF($A1546="","",IF(ISNUMBER($A1546),IF(AND($A1546&gt;=10000101,$A1546&lt;=99991231),INT($A1546/10000),""),IFERROR(VALUE(TRIM(LEFT($A1546,FIND("/",$A1546)-1))),"")))</f>
        <v/>
      </c>
      <c r="C1546">
        <f>IF(OR($A1546="",$B1546=""),"",IF(ISNUMBER($A1546),INT(MOD($A1546,10000)/100),IFERROR(VALUE(TRIM(LEFT(MID($A1546,FIND("/",$A1546)+1,20),FIND("/",MID($A1546,FIND("/",$A1546)+1,20))-1))),"")))</f>
        <v/>
      </c>
      <c r="D1546">
        <f>IF(OR($A1546="",$B1546=""),"",IF(ISNUMBER($A1546),MOD($A1546,100),IFERROR(VALUE(TRIM(MID(MID($A1546,FIND("/",$A1546)+1,20),FIND("/",MID($A1546,FIND("/",$A1546)+1,20))+1,20))),"")))</f>
        <v/>
      </c>
      <c r="E1546">
        <f>IF($A1546="","",IF(OR($B1546="",$C1546="",$D1546="",$B1546&lt;1300,$B1546&gt;1500,$C1546&lt;1,$C1546&gt;12,$D1546&lt;1,$D1546&gt;31),"نامعتبر",RIGHT("0000"&amp;$B1546,4)&amp;"/"&amp;RIGHT("00"&amp;$C1546,2)&amp;"/"&amp;RIGHT("00"&amp;$D1546,2)))</f>
        <v/>
      </c>
      <c r="F1546">
        <f>IF(OR($E1546="",$E1546="نامعتبر"),"",IF(Sync!$Q1543="","0000",IF(AND(ISNUMBER(Sync!$Q1543),Sync!$Q1543&gt;=0,Sync!$Q1543&lt;1),RIGHT("00"&amp;HOUR(Sync!$Q1543),2)&amp;RIGHT("00"&amp;MINUTE(Sync!$Q1543),2),IFERROR(RIGHT("00"&amp;VALUE(LEFT(Sync!$Q1543,FIND(":",Sync!$Q1543)-1)),2)&amp;RIGHT("00"&amp;VALUE(MID(Sync!$Q1543,FIND(":",Sync!$Q1543)+1,2)),2),"0000"))))</f>
        <v/>
      </c>
      <c r="G1546">
        <f>IF(OR($E1546="",$E1546="نامعتبر"),"",IF(Sync!$S1543="","",Sync!$S1543))</f>
        <v/>
      </c>
      <c r="H1546">
        <f>IF(OR($E1546="",$E1546="نامعتبر"),"",IF(Sync!$R1543="","",Sync!$R1543))</f>
        <v/>
      </c>
      <c r="I1546">
        <f>IF(OR($E1546="",$E1546="نامعتبر"),"",IF(Sync!$T1543="","",Sync!$T1543))</f>
        <v/>
      </c>
      <c r="J1546">
        <f>IF(OR($E1546="",$E1546="نامعتبر"),"",IF(Sync!$U1543="","",Sync!$U1543))</f>
        <v/>
      </c>
      <c r="K1546">
        <f>IF(OR($E1546="",$E1546="نامعتبر"),"",IF(Sync!$V1543="","",IFERROR(INDEX(SubCodes,MATCH(Sync!$V1543,SubTitles,0)),Sync!$V1543)))</f>
        <v/>
      </c>
      <c r="L1546">
        <f>IF(OR($E1546="",$E1546="نامعتبر"),"",IF(Sync!$W1543="",0,Sync!$W1543))</f>
        <v/>
      </c>
      <c r="M1546">
        <f>IF(OR($E1546="",$E1546="نامعتبر"),"",IF(Sync!$X1543="",0,Sync!$X1543))</f>
        <v/>
      </c>
      <c r="N1546">
        <f>IF(OR($E1546="",$E1546="نامعتبر"),"",IF(AND($J1546="هزینه",$K1546&lt;&gt;""),1,0))</f>
        <v/>
      </c>
      <c r="O1546">
        <f>IF($N1546=0,"",LEFT($E1546,4)&amp;MID($E1546,6,2)&amp;RIGHT($E1546,2)&amp;$F1546&amp;"|"&amp;"1"&amp;RIGHT("00000"&amp;1538,5))</f>
        <v/>
      </c>
      <c r="P1546">
        <f>IF($O1546="","",COUNTIFS(ExpSub,$K1546,ExpKey,"&lt;"&amp;$O1546)+1)</f>
        <v/>
      </c>
      <c r="Q1546">
        <f>IF($P1546="","",$K1546&amp;"|"&amp;RIGHT("000000"&amp;$P1546,6))</f>
        <v/>
      </c>
    </row>
    <row r="1547">
      <c r="A1547">
        <f>IF(Sync!$P1544="","",Sync!$P1544)</f>
        <v/>
      </c>
      <c r="B1547">
        <f>IF($A1547="","",IF(ISNUMBER($A1547),IF(AND($A1547&gt;=10000101,$A1547&lt;=99991231),INT($A1547/10000),""),IFERROR(VALUE(TRIM(LEFT($A1547,FIND("/",$A1547)-1))),"")))</f>
        <v/>
      </c>
      <c r="C1547">
        <f>IF(OR($A1547="",$B1547=""),"",IF(ISNUMBER($A1547),INT(MOD($A1547,10000)/100),IFERROR(VALUE(TRIM(LEFT(MID($A1547,FIND("/",$A1547)+1,20),FIND("/",MID($A1547,FIND("/",$A1547)+1,20))-1))),"")))</f>
        <v/>
      </c>
      <c r="D1547">
        <f>IF(OR($A1547="",$B1547=""),"",IF(ISNUMBER($A1547),MOD($A1547,100),IFERROR(VALUE(TRIM(MID(MID($A1547,FIND("/",$A1547)+1,20),FIND("/",MID($A1547,FIND("/",$A1547)+1,20))+1,20))),"")))</f>
        <v/>
      </c>
      <c r="E1547">
        <f>IF($A1547="","",IF(OR($B1547="",$C1547="",$D1547="",$B1547&lt;1300,$B1547&gt;1500,$C1547&lt;1,$C1547&gt;12,$D1547&lt;1,$D1547&gt;31),"نامعتبر",RIGHT("0000"&amp;$B1547,4)&amp;"/"&amp;RIGHT("00"&amp;$C1547,2)&amp;"/"&amp;RIGHT("00"&amp;$D1547,2)))</f>
        <v/>
      </c>
      <c r="F1547">
        <f>IF(OR($E1547="",$E1547="نامعتبر"),"",IF(Sync!$Q1544="","0000",IF(AND(ISNUMBER(Sync!$Q1544),Sync!$Q1544&gt;=0,Sync!$Q1544&lt;1),RIGHT("00"&amp;HOUR(Sync!$Q1544),2)&amp;RIGHT("00"&amp;MINUTE(Sync!$Q1544),2),IFERROR(RIGHT("00"&amp;VALUE(LEFT(Sync!$Q1544,FIND(":",Sync!$Q1544)-1)),2)&amp;RIGHT("00"&amp;VALUE(MID(Sync!$Q1544,FIND(":",Sync!$Q1544)+1,2)),2),"0000"))))</f>
        <v/>
      </c>
      <c r="G1547">
        <f>IF(OR($E1547="",$E1547="نامعتبر"),"",IF(Sync!$S1544="","",Sync!$S1544))</f>
        <v/>
      </c>
      <c r="H1547">
        <f>IF(OR($E1547="",$E1547="نامعتبر"),"",IF(Sync!$R1544="","",Sync!$R1544))</f>
        <v/>
      </c>
      <c r="I1547">
        <f>IF(OR($E1547="",$E1547="نامعتبر"),"",IF(Sync!$T1544="","",Sync!$T1544))</f>
        <v/>
      </c>
      <c r="J1547">
        <f>IF(OR($E1547="",$E1547="نامعتبر"),"",IF(Sync!$U1544="","",Sync!$U1544))</f>
        <v/>
      </c>
      <c r="K1547">
        <f>IF(OR($E1547="",$E1547="نامعتبر"),"",IF(Sync!$V1544="","",IFERROR(INDEX(SubCodes,MATCH(Sync!$V1544,SubTitles,0)),Sync!$V1544)))</f>
        <v/>
      </c>
      <c r="L1547">
        <f>IF(OR($E1547="",$E1547="نامعتبر"),"",IF(Sync!$W1544="",0,Sync!$W1544))</f>
        <v/>
      </c>
      <c r="M1547">
        <f>IF(OR($E1547="",$E1547="نامعتبر"),"",IF(Sync!$X1544="",0,Sync!$X1544))</f>
        <v/>
      </c>
      <c r="N1547">
        <f>IF(OR($E1547="",$E1547="نامعتبر"),"",IF(AND($J1547="هزینه",$K1547&lt;&gt;""),1,0))</f>
        <v/>
      </c>
      <c r="O1547">
        <f>IF($N1547=0,"",LEFT($E1547,4)&amp;MID($E1547,6,2)&amp;RIGHT($E1547,2)&amp;$F1547&amp;"|"&amp;"1"&amp;RIGHT("00000"&amp;1539,5))</f>
        <v/>
      </c>
      <c r="P1547">
        <f>IF($O1547="","",COUNTIFS(ExpSub,$K1547,ExpKey,"&lt;"&amp;$O1547)+1)</f>
        <v/>
      </c>
      <c r="Q1547">
        <f>IF($P1547="","",$K1547&amp;"|"&amp;RIGHT("000000"&amp;$P1547,6))</f>
        <v/>
      </c>
    </row>
    <row r="1548">
      <c r="A1548">
        <f>IF(Sync!$P1545="","",Sync!$P1545)</f>
        <v/>
      </c>
      <c r="B1548">
        <f>IF($A1548="","",IF(ISNUMBER($A1548),IF(AND($A1548&gt;=10000101,$A1548&lt;=99991231),INT($A1548/10000),""),IFERROR(VALUE(TRIM(LEFT($A1548,FIND("/",$A1548)-1))),"")))</f>
        <v/>
      </c>
      <c r="C1548">
        <f>IF(OR($A1548="",$B1548=""),"",IF(ISNUMBER($A1548),INT(MOD($A1548,10000)/100),IFERROR(VALUE(TRIM(LEFT(MID($A1548,FIND("/",$A1548)+1,20),FIND("/",MID($A1548,FIND("/",$A1548)+1,20))-1))),"")))</f>
        <v/>
      </c>
      <c r="D1548">
        <f>IF(OR($A1548="",$B1548=""),"",IF(ISNUMBER($A1548),MOD($A1548,100),IFERROR(VALUE(TRIM(MID(MID($A1548,FIND("/",$A1548)+1,20),FIND("/",MID($A1548,FIND("/",$A1548)+1,20))+1,20))),"")))</f>
        <v/>
      </c>
      <c r="E1548">
        <f>IF($A1548="","",IF(OR($B1548="",$C1548="",$D1548="",$B1548&lt;1300,$B1548&gt;1500,$C1548&lt;1,$C1548&gt;12,$D1548&lt;1,$D1548&gt;31),"نامعتبر",RIGHT("0000"&amp;$B1548,4)&amp;"/"&amp;RIGHT("00"&amp;$C1548,2)&amp;"/"&amp;RIGHT("00"&amp;$D1548,2)))</f>
        <v/>
      </c>
      <c r="F1548">
        <f>IF(OR($E1548="",$E1548="نامعتبر"),"",IF(Sync!$Q1545="","0000",IF(AND(ISNUMBER(Sync!$Q1545),Sync!$Q1545&gt;=0,Sync!$Q1545&lt;1),RIGHT("00"&amp;HOUR(Sync!$Q1545),2)&amp;RIGHT("00"&amp;MINUTE(Sync!$Q1545),2),IFERROR(RIGHT("00"&amp;VALUE(LEFT(Sync!$Q1545,FIND(":",Sync!$Q1545)-1)),2)&amp;RIGHT("00"&amp;VALUE(MID(Sync!$Q1545,FIND(":",Sync!$Q1545)+1,2)),2),"0000"))))</f>
        <v/>
      </c>
      <c r="G1548">
        <f>IF(OR($E1548="",$E1548="نامعتبر"),"",IF(Sync!$S1545="","",Sync!$S1545))</f>
        <v/>
      </c>
      <c r="H1548">
        <f>IF(OR($E1548="",$E1548="نامعتبر"),"",IF(Sync!$R1545="","",Sync!$R1545))</f>
        <v/>
      </c>
      <c r="I1548">
        <f>IF(OR($E1548="",$E1548="نامعتبر"),"",IF(Sync!$T1545="","",Sync!$T1545))</f>
        <v/>
      </c>
      <c r="J1548">
        <f>IF(OR($E1548="",$E1548="نامعتبر"),"",IF(Sync!$U1545="","",Sync!$U1545))</f>
        <v/>
      </c>
      <c r="K1548">
        <f>IF(OR($E1548="",$E1548="نامعتبر"),"",IF(Sync!$V1545="","",IFERROR(INDEX(SubCodes,MATCH(Sync!$V1545,SubTitles,0)),Sync!$V1545)))</f>
        <v/>
      </c>
      <c r="L1548">
        <f>IF(OR($E1548="",$E1548="نامعتبر"),"",IF(Sync!$W1545="",0,Sync!$W1545))</f>
        <v/>
      </c>
      <c r="M1548">
        <f>IF(OR($E1548="",$E1548="نامعتبر"),"",IF(Sync!$X1545="",0,Sync!$X1545))</f>
        <v/>
      </c>
      <c r="N1548">
        <f>IF(OR($E1548="",$E1548="نامعتبر"),"",IF(AND($J1548="هزینه",$K1548&lt;&gt;""),1,0))</f>
        <v/>
      </c>
      <c r="O1548">
        <f>IF($N1548=0,"",LEFT($E1548,4)&amp;MID($E1548,6,2)&amp;RIGHT($E1548,2)&amp;$F1548&amp;"|"&amp;"1"&amp;RIGHT("00000"&amp;1540,5))</f>
        <v/>
      </c>
      <c r="P1548">
        <f>IF($O1548="","",COUNTIFS(ExpSub,$K1548,ExpKey,"&lt;"&amp;$O1548)+1)</f>
        <v/>
      </c>
      <c r="Q1548">
        <f>IF($P1548="","",$K1548&amp;"|"&amp;RIGHT("000000"&amp;$P1548,6))</f>
        <v/>
      </c>
    </row>
    <row r="1549">
      <c r="A1549">
        <f>IF(Sync!$P1546="","",Sync!$P1546)</f>
        <v/>
      </c>
      <c r="B1549">
        <f>IF($A1549="","",IF(ISNUMBER($A1549),IF(AND($A1549&gt;=10000101,$A1549&lt;=99991231),INT($A1549/10000),""),IFERROR(VALUE(TRIM(LEFT($A1549,FIND("/",$A1549)-1))),"")))</f>
        <v/>
      </c>
      <c r="C1549">
        <f>IF(OR($A1549="",$B1549=""),"",IF(ISNUMBER($A1549),INT(MOD($A1549,10000)/100),IFERROR(VALUE(TRIM(LEFT(MID($A1549,FIND("/",$A1549)+1,20),FIND("/",MID($A1549,FIND("/",$A1549)+1,20))-1))),"")))</f>
        <v/>
      </c>
      <c r="D1549">
        <f>IF(OR($A1549="",$B1549=""),"",IF(ISNUMBER($A1549),MOD($A1549,100),IFERROR(VALUE(TRIM(MID(MID($A1549,FIND("/",$A1549)+1,20),FIND("/",MID($A1549,FIND("/",$A1549)+1,20))+1,20))),"")))</f>
        <v/>
      </c>
      <c r="E1549">
        <f>IF($A1549="","",IF(OR($B1549="",$C1549="",$D1549="",$B1549&lt;1300,$B1549&gt;1500,$C1549&lt;1,$C1549&gt;12,$D1549&lt;1,$D1549&gt;31),"نامعتبر",RIGHT("0000"&amp;$B1549,4)&amp;"/"&amp;RIGHT("00"&amp;$C1549,2)&amp;"/"&amp;RIGHT("00"&amp;$D1549,2)))</f>
        <v/>
      </c>
      <c r="F1549">
        <f>IF(OR($E1549="",$E1549="نامعتبر"),"",IF(Sync!$Q1546="","0000",IF(AND(ISNUMBER(Sync!$Q1546),Sync!$Q1546&gt;=0,Sync!$Q1546&lt;1),RIGHT("00"&amp;HOUR(Sync!$Q1546),2)&amp;RIGHT("00"&amp;MINUTE(Sync!$Q1546),2),IFERROR(RIGHT("00"&amp;VALUE(LEFT(Sync!$Q1546,FIND(":",Sync!$Q1546)-1)),2)&amp;RIGHT("00"&amp;VALUE(MID(Sync!$Q1546,FIND(":",Sync!$Q1546)+1,2)),2),"0000"))))</f>
        <v/>
      </c>
      <c r="G1549">
        <f>IF(OR($E1549="",$E1549="نامعتبر"),"",IF(Sync!$S1546="","",Sync!$S1546))</f>
        <v/>
      </c>
      <c r="H1549">
        <f>IF(OR($E1549="",$E1549="نامعتبر"),"",IF(Sync!$R1546="","",Sync!$R1546))</f>
        <v/>
      </c>
      <c r="I1549">
        <f>IF(OR($E1549="",$E1549="نامعتبر"),"",IF(Sync!$T1546="","",Sync!$T1546))</f>
        <v/>
      </c>
      <c r="J1549">
        <f>IF(OR($E1549="",$E1549="نامعتبر"),"",IF(Sync!$U1546="","",Sync!$U1546))</f>
        <v/>
      </c>
      <c r="K1549">
        <f>IF(OR($E1549="",$E1549="نامعتبر"),"",IF(Sync!$V1546="","",IFERROR(INDEX(SubCodes,MATCH(Sync!$V1546,SubTitles,0)),Sync!$V1546)))</f>
        <v/>
      </c>
      <c r="L1549">
        <f>IF(OR($E1549="",$E1549="نامعتبر"),"",IF(Sync!$W1546="",0,Sync!$W1546))</f>
        <v/>
      </c>
      <c r="M1549">
        <f>IF(OR($E1549="",$E1549="نامعتبر"),"",IF(Sync!$X1546="",0,Sync!$X1546))</f>
        <v/>
      </c>
      <c r="N1549">
        <f>IF(OR($E1549="",$E1549="نامعتبر"),"",IF(AND($J1549="هزینه",$K1549&lt;&gt;""),1,0))</f>
        <v/>
      </c>
      <c r="O1549">
        <f>IF($N1549=0,"",LEFT($E1549,4)&amp;MID($E1549,6,2)&amp;RIGHT($E1549,2)&amp;$F1549&amp;"|"&amp;"1"&amp;RIGHT("00000"&amp;1541,5))</f>
        <v/>
      </c>
      <c r="P1549">
        <f>IF($O1549="","",COUNTIFS(ExpSub,$K1549,ExpKey,"&lt;"&amp;$O1549)+1)</f>
        <v/>
      </c>
      <c r="Q1549">
        <f>IF($P1549="","",$K1549&amp;"|"&amp;RIGHT("000000"&amp;$P1549,6))</f>
        <v/>
      </c>
    </row>
    <row r="1550">
      <c r="A1550">
        <f>IF(Sync!$P1547="","",Sync!$P1547)</f>
        <v/>
      </c>
      <c r="B1550">
        <f>IF($A1550="","",IF(ISNUMBER($A1550),IF(AND($A1550&gt;=10000101,$A1550&lt;=99991231),INT($A1550/10000),""),IFERROR(VALUE(TRIM(LEFT($A1550,FIND("/",$A1550)-1))),"")))</f>
        <v/>
      </c>
      <c r="C1550">
        <f>IF(OR($A1550="",$B1550=""),"",IF(ISNUMBER($A1550),INT(MOD($A1550,10000)/100),IFERROR(VALUE(TRIM(LEFT(MID($A1550,FIND("/",$A1550)+1,20),FIND("/",MID($A1550,FIND("/",$A1550)+1,20))-1))),"")))</f>
        <v/>
      </c>
      <c r="D1550">
        <f>IF(OR($A1550="",$B1550=""),"",IF(ISNUMBER($A1550),MOD($A1550,100),IFERROR(VALUE(TRIM(MID(MID($A1550,FIND("/",$A1550)+1,20),FIND("/",MID($A1550,FIND("/",$A1550)+1,20))+1,20))),"")))</f>
        <v/>
      </c>
      <c r="E1550">
        <f>IF($A1550="","",IF(OR($B1550="",$C1550="",$D1550="",$B1550&lt;1300,$B1550&gt;1500,$C1550&lt;1,$C1550&gt;12,$D1550&lt;1,$D1550&gt;31),"نامعتبر",RIGHT("0000"&amp;$B1550,4)&amp;"/"&amp;RIGHT("00"&amp;$C1550,2)&amp;"/"&amp;RIGHT("00"&amp;$D1550,2)))</f>
        <v/>
      </c>
      <c r="F1550">
        <f>IF(OR($E1550="",$E1550="نامعتبر"),"",IF(Sync!$Q1547="","0000",IF(AND(ISNUMBER(Sync!$Q1547),Sync!$Q1547&gt;=0,Sync!$Q1547&lt;1),RIGHT("00"&amp;HOUR(Sync!$Q1547),2)&amp;RIGHT("00"&amp;MINUTE(Sync!$Q1547),2),IFERROR(RIGHT("00"&amp;VALUE(LEFT(Sync!$Q1547,FIND(":",Sync!$Q1547)-1)),2)&amp;RIGHT("00"&amp;VALUE(MID(Sync!$Q1547,FIND(":",Sync!$Q1547)+1,2)),2),"0000"))))</f>
        <v/>
      </c>
      <c r="G1550">
        <f>IF(OR($E1550="",$E1550="نامعتبر"),"",IF(Sync!$S1547="","",Sync!$S1547))</f>
        <v/>
      </c>
      <c r="H1550">
        <f>IF(OR($E1550="",$E1550="نامعتبر"),"",IF(Sync!$R1547="","",Sync!$R1547))</f>
        <v/>
      </c>
      <c r="I1550">
        <f>IF(OR($E1550="",$E1550="نامعتبر"),"",IF(Sync!$T1547="","",Sync!$T1547))</f>
        <v/>
      </c>
      <c r="J1550">
        <f>IF(OR($E1550="",$E1550="نامعتبر"),"",IF(Sync!$U1547="","",Sync!$U1547))</f>
        <v/>
      </c>
      <c r="K1550">
        <f>IF(OR($E1550="",$E1550="نامعتبر"),"",IF(Sync!$V1547="","",IFERROR(INDEX(SubCodes,MATCH(Sync!$V1547,SubTitles,0)),Sync!$V1547)))</f>
        <v/>
      </c>
      <c r="L1550">
        <f>IF(OR($E1550="",$E1550="نامعتبر"),"",IF(Sync!$W1547="",0,Sync!$W1547))</f>
        <v/>
      </c>
      <c r="M1550">
        <f>IF(OR($E1550="",$E1550="نامعتبر"),"",IF(Sync!$X1547="",0,Sync!$X1547))</f>
        <v/>
      </c>
      <c r="N1550">
        <f>IF(OR($E1550="",$E1550="نامعتبر"),"",IF(AND($J1550="هزینه",$K1550&lt;&gt;""),1,0))</f>
        <v/>
      </c>
      <c r="O1550">
        <f>IF($N1550=0,"",LEFT($E1550,4)&amp;MID($E1550,6,2)&amp;RIGHT($E1550,2)&amp;$F1550&amp;"|"&amp;"1"&amp;RIGHT("00000"&amp;1542,5))</f>
        <v/>
      </c>
      <c r="P1550">
        <f>IF($O1550="","",COUNTIFS(ExpSub,$K1550,ExpKey,"&lt;"&amp;$O1550)+1)</f>
        <v/>
      </c>
      <c r="Q1550">
        <f>IF($P1550="","",$K1550&amp;"|"&amp;RIGHT("000000"&amp;$P1550,6))</f>
        <v/>
      </c>
    </row>
    <row r="1551">
      <c r="A1551">
        <f>IF(Sync!$P1548="","",Sync!$P1548)</f>
        <v/>
      </c>
      <c r="B1551">
        <f>IF($A1551="","",IF(ISNUMBER($A1551),IF(AND($A1551&gt;=10000101,$A1551&lt;=99991231),INT($A1551/10000),""),IFERROR(VALUE(TRIM(LEFT($A1551,FIND("/",$A1551)-1))),"")))</f>
        <v/>
      </c>
      <c r="C1551">
        <f>IF(OR($A1551="",$B1551=""),"",IF(ISNUMBER($A1551),INT(MOD($A1551,10000)/100),IFERROR(VALUE(TRIM(LEFT(MID($A1551,FIND("/",$A1551)+1,20),FIND("/",MID($A1551,FIND("/",$A1551)+1,20))-1))),"")))</f>
        <v/>
      </c>
      <c r="D1551">
        <f>IF(OR($A1551="",$B1551=""),"",IF(ISNUMBER($A1551),MOD($A1551,100),IFERROR(VALUE(TRIM(MID(MID($A1551,FIND("/",$A1551)+1,20),FIND("/",MID($A1551,FIND("/",$A1551)+1,20))+1,20))),"")))</f>
        <v/>
      </c>
      <c r="E1551">
        <f>IF($A1551="","",IF(OR($B1551="",$C1551="",$D1551="",$B1551&lt;1300,$B1551&gt;1500,$C1551&lt;1,$C1551&gt;12,$D1551&lt;1,$D1551&gt;31),"نامعتبر",RIGHT("0000"&amp;$B1551,4)&amp;"/"&amp;RIGHT("00"&amp;$C1551,2)&amp;"/"&amp;RIGHT("00"&amp;$D1551,2)))</f>
        <v/>
      </c>
      <c r="F1551">
        <f>IF(OR($E1551="",$E1551="نامعتبر"),"",IF(Sync!$Q1548="","0000",IF(AND(ISNUMBER(Sync!$Q1548),Sync!$Q1548&gt;=0,Sync!$Q1548&lt;1),RIGHT("00"&amp;HOUR(Sync!$Q1548),2)&amp;RIGHT("00"&amp;MINUTE(Sync!$Q1548),2),IFERROR(RIGHT("00"&amp;VALUE(LEFT(Sync!$Q1548,FIND(":",Sync!$Q1548)-1)),2)&amp;RIGHT("00"&amp;VALUE(MID(Sync!$Q1548,FIND(":",Sync!$Q1548)+1,2)),2),"0000"))))</f>
        <v/>
      </c>
      <c r="G1551">
        <f>IF(OR($E1551="",$E1551="نامعتبر"),"",IF(Sync!$S1548="","",Sync!$S1548))</f>
        <v/>
      </c>
      <c r="H1551">
        <f>IF(OR($E1551="",$E1551="نامعتبر"),"",IF(Sync!$R1548="","",Sync!$R1548))</f>
        <v/>
      </c>
      <c r="I1551">
        <f>IF(OR($E1551="",$E1551="نامعتبر"),"",IF(Sync!$T1548="","",Sync!$T1548))</f>
        <v/>
      </c>
      <c r="J1551">
        <f>IF(OR($E1551="",$E1551="نامعتبر"),"",IF(Sync!$U1548="","",Sync!$U1548))</f>
        <v/>
      </c>
      <c r="K1551">
        <f>IF(OR($E1551="",$E1551="نامعتبر"),"",IF(Sync!$V1548="","",IFERROR(INDEX(SubCodes,MATCH(Sync!$V1548,SubTitles,0)),Sync!$V1548)))</f>
        <v/>
      </c>
      <c r="L1551">
        <f>IF(OR($E1551="",$E1551="نامعتبر"),"",IF(Sync!$W1548="",0,Sync!$W1548))</f>
        <v/>
      </c>
      <c r="M1551">
        <f>IF(OR($E1551="",$E1551="نامعتبر"),"",IF(Sync!$X1548="",0,Sync!$X1548))</f>
        <v/>
      </c>
      <c r="N1551">
        <f>IF(OR($E1551="",$E1551="نامعتبر"),"",IF(AND($J1551="هزینه",$K1551&lt;&gt;""),1,0))</f>
        <v/>
      </c>
      <c r="O1551">
        <f>IF($N1551=0,"",LEFT($E1551,4)&amp;MID($E1551,6,2)&amp;RIGHT($E1551,2)&amp;$F1551&amp;"|"&amp;"1"&amp;RIGHT("00000"&amp;1543,5))</f>
        <v/>
      </c>
      <c r="P1551">
        <f>IF($O1551="","",COUNTIFS(ExpSub,$K1551,ExpKey,"&lt;"&amp;$O1551)+1)</f>
        <v/>
      </c>
      <c r="Q1551">
        <f>IF($P1551="","",$K1551&amp;"|"&amp;RIGHT("000000"&amp;$P1551,6))</f>
        <v/>
      </c>
    </row>
    <row r="1552">
      <c r="A1552">
        <f>IF(Sync!$P1549="","",Sync!$P1549)</f>
        <v/>
      </c>
      <c r="B1552">
        <f>IF($A1552="","",IF(ISNUMBER($A1552),IF(AND($A1552&gt;=10000101,$A1552&lt;=99991231),INT($A1552/10000),""),IFERROR(VALUE(TRIM(LEFT($A1552,FIND("/",$A1552)-1))),"")))</f>
        <v/>
      </c>
      <c r="C1552">
        <f>IF(OR($A1552="",$B1552=""),"",IF(ISNUMBER($A1552),INT(MOD($A1552,10000)/100),IFERROR(VALUE(TRIM(LEFT(MID($A1552,FIND("/",$A1552)+1,20),FIND("/",MID($A1552,FIND("/",$A1552)+1,20))-1))),"")))</f>
        <v/>
      </c>
      <c r="D1552">
        <f>IF(OR($A1552="",$B1552=""),"",IF(ISNUMBER($A1552),MOD($A1552,100),IFERROR(VALUE(TRIM(MID(MID($A1552,FIND("/",$A1552)+1,20),FIND("/",MID($A1552,FIND("/",$A1552)+1,20))+1,20))),"")))</f>
        <v/>
      </c>
      <c r="E1552">
        <f>IF($A1552="","",IF(OR($B1552="",$C1552="",$D1552="",$B1552&lt;1300,$B1552&gt;1500,$C1552&lt;1,$C1552&gt;12,$D1552&lt;1,$D1552&gt;31),"نامعتبر",RIGHT("0000"&amp;$B1552,4)&amp;"/"&amp;RIGHT("00"&amp;$C1552,2)&amp;"/"&amp;RIGHT("00"&amp;$D1552,2)))</f>
        <v/>
      </c>
      <c r="F1552">
        <f>IF(OR($E1552="",$E1552="نامعتبر"),"",IF(Sync!$Q1549="","0000",IF(AND(ISNUMBER(Sync!$Q1549),Sync!$Q1549&gt;=0,Sync!$Q1549&lt;1),RIGHT("00"&amp;HOUR(Sync!$Q1549),2)&amp;RIGHT("00"&amp;MINUTE(Sync!$Q1549),2),IFERROR(RIGHT("00"&amp;VALUE(LEFT(Sync!$Q1549,FIND(":",Sync!$Q1549)-1)),2)&amp;RIGHT("00"&amp;VALUE(MID(Sync!$Q1549,FIND(":",Sync!$Q1549)+1,2)),2),"0000"))))</f>
        <v/>
      </c>
      <c r="G1552">
        <f>IF(OR($E1552="",$E1552="نامعتبر"),"",IF(Sync!$S1549="","",Sync!$S1549))</f>
        <v/>
      </c>
      <c r="H1552">
        <f>IF(OR($E1552="",$E1552="نامعتبر"),"",IF(Sync!$R1549="","",Sync!$R1549))</f>
        <v/>
      </c>
      <c r="I1552">
        <f>IF(OR($E1552="",$E1552="نامعتبر"),"",IF(Sync!$T1549="","",Sync!$T1549))</f>
        <v/>
      </c>
      <c r="J1552">
        <f>IF(OR($E1552="",$E1552="نامعتبر"),"",IF(Sync!$U1549="","",Sync!$U1549))</f>
        <v/>
      </c>
      <c r="K1552">
        <f>IF(OR($E1552="",$E1552="نامعتبر"),"",IF(Sync!$V1549="","",IFERROR(INDEX(SubCodes,MATCH(Sync!$V1549,SubTitles,0)),Sync!$V1549)))</f>
        <v/>
      </c>
      <c r="L1552">
        <f>IF(OR($E1552="",$E1552="نامعتبر"),"",IF(Sync!$W1549="",0,Sync!$W1549))</f>
        <v/>
      </c>
      <c r="M1552">
        <f>IF(OR($E1552="",$E1552="نامعتبر"),"",IF(Sync!$X1549="",0,Sync!$X1549))</f>
        <v/>
      </c>
      <c r="N1552">
        <f>IF(OR($E1552="",$E1552="نامعتبر"),"",IF(AND($J1552="هزینه",$K1552&lt;&gt;""),1,0))</f>
        <v/>
      </c>
      <c r="O1552">
        <f>IF($N1552=0,"",LEFT($E1552,4)&amp;MID($E1552,6,2)&amp;RIGHT($E1552,2)&amp;$F1552&amp;"|"&amp;"1"&amp;RIGHT("00000"&amp;1544,5))</f>
        <v/>
      </c>
      <c r="P1552">
        <f>IF($O1552="","",COUNTIFS(ExpSub,$K1552,ExpKey,"&lt;"&amp;$O1552)+1)</f>
        <v/>
      </c>
      <c r="Q1552">
        <f>IF($P1552="","",$K1552&amp;"|"&amp;RIGHT("000000"&amp;$P1552,6))</f>
        <v/>
      </c>
    </row>
    <row r="1553">
      <c r="A1553">
        <f>IF(Sync!$P1550="","",Sync!$P1550)</f>
        <v/>
      </c>
      <c r="B1553">
        <f>IF($A1553="","",IF(ISNUMBER($A1553),IF(AND($A1553&gt;=10000101,$A1553&lt;=99991231),INT($A1553/10000),""),IFERROR(VALUE(TRIM(LEFT($A1553,FIND("/",$A1553)-1))),"")))</f>
        <v/>
      </c>
      <c r="C1553">
        <f>IF(OR($A1553="",$B1553=""),"",IF(ISNUMBER($A1553),INT(MOD($A1553,10000)/100),IFERROR(VALUE(TRIM(LEFT(MID($A1553,FIND("/",$A1553)+1,20),FIND("/",MID($A1553,FIND("/",$A1553)+1,20))-1))),"")))</f>
        <v/>
      </c>
      <c r="D1553">
        <f>IF(OR($A1553="",$B1553=""),"",IF(ISNUMBER($A1553),MOD($A1553,100),IFERROR(VALUE(TRIM(MID(MID($A1553,FIND("/",$A1553)+1,20),FIND("/",MID($A1553,FIND("/",$A1553)+1,20))+1,20))),"")))</f>
        <v/>
      </c>
      <c r="E1553">
        <f>IF($A1553="","",IF(OR($B1553="",$C1553="",$D1553="",$B1553&lt;1300,$B1553&gt;1500,$C1553&lt;1,$C1553&gt;12,$D1553&lt;1,$D1553&gt;31),"نامعتبر",RIGHT("0000"&amp;$B1553,4)&amp;"/"&amp;RIGHT("00"&amp;$C1553,2)&amp;"/"&amp;RIGHT("00"&amp;$D1553,2)))</f>
        <v/>
      </c>
      <c r="F1553">
        <f>IF(OR($E1553="",$E1553="نامعتبر"),"",IF(Sync!$Q1550="","0000",IF(AND(ISNUMBER(Sync!$Q1550),Sync!$Q1550&gt;=0,Sync!$Q1550&lt;1),RIGHT("00"&amp;HOUR(Sync!$Q1550),2)&amp;RIGHT("00"&amp;MINUTE(Sync!$Q1550),2),IFERROR(RIGHT("00"&amp;VALUE(LEFT(Sync!$Q1550,FIND(":",Sync!$Q1550)-1)),2)&amp;RIGHT("00"&amp;VALUE(MID(Sync!$Q1550,FIND(":",Sync!$Q1550)+1,2)),2),"0000"))))</f>
        <v/>
      </c>
      <c r="G1553">
        <f>IF(OR($E1553="",$E1553="نامعتبر"),"",IF(Sync!$S1550="","",Sync!$S1550))</f>
        <v/>
      </c>
      <c r="H1553">
        <f>IF(OR($E1553="",$E1553="نامعتبر"),"",IF(Sync!$R1550="","",Sync!$R1550))</f>
        <v/>
      </c>
      <c r="I1553">
        <f>IF(OR($E1553="",$E1553="نامعتبر"),"",IF(Sync!$T1550="","",Sync!$T1550))</f>
        <v/>
      </c>
      <c r="J1553">
        <f>IF(OR($E1553="",$E1553="نامعتبر"),"",IF(Sync!$U1550="","",Sync!$U1550))</f>
        <v/>
      </c>
      <c r="K1553">
        <f>IF(OR($E1553="",$E1553="نامعتبر"),"",IF(Sync!$V1550="","",IFERROR(INDEX(SubCodes,MATCH(Sync!$V1550,SubTitles,0)),Sync!$V1550)))</f>
        <v/>
      </c>
      <c r="L1553">
        <f>IF(OR($E1553="",$E1553="نامعتبر"),"",IF(Sync!$W1550="",0,Sync!$W1550))</f>
        <v/>
      </c>
      <c r="M1553">
        <f>IF(OR($E1553="",$E1553="نامعتبر"),"",IF(Sync!$X1550="",0,Sync!$X1550))</f>
        <v/>
      </c>
      <c r="N1553">
        <f>IF(OR($E1553="",$E1553="نامعتبر"),"",IF(AND($J1553="هزینه",$K1553&lt;&gt;""),1,0))</f>
        <v/>
      </c>
      <c r="O1553">
        <f>IF($N1553=0,"",LEFT($E1553,4)&amp;MID($E1553,6,2)&amp;RIGHT($E1553,2)&amp;$F1553&amp;"|"&amp;"1"&amp;RIGHT("00000"&amp;1545,5))</f>
        <v/>
      </c>
      <c r="P1553">
        <f>IF($O1553="","",COUNTIFS(ExpSub,$K1553,ExpKey,"&lt;"&amp;$O1553)+1)</f>
        <v/>
      </c>
      <c r="Q1553">
        <f>IF($P1553="","",$K1553&amp;"|"&amp;RIGHT("000000"&amp;$P1553,6))</f>
        <v/>
      </c>
    </row>
    <row r="1554">
      <c r="A1554">
        <f>IF(Sync!$P1551="","",Sync!$P1551)</f>
        <v/>
      </c>
      <c r="B1554">
        <f>IF($A1554="","",IF(ISNUMBER($A1554),IF(AND($A1554&gt;=10000101,$A1554&lt;=99991231),INT($A1554/10000),""),IFERROR(VALUE(TRIM(LEFT($A1554,FIND("/",$A1554)-1))),"")))</f>
        <v/>
      </c>
      <c r="C1554">
        <f>IF(OR($A1554="",$B1554=""),"",IF(ISNUMBER($A1554),INT(MOD($A1554,10000)/100),IFERROR(VALUE(TRIM(LEFT(MID($A1554,FIND("/",$A1554)+1,20),FIND("/",MID($A1554,FIND("/",$A1554)+1,20))-1))),"")))</f>
        <v/>
      </c>
      <c r="D1554">
        <f>IF(OR($A1554="",$B1554=""),"",IF(ISNUMBER($A1554),MOD($A1554,100),IFERROR(VALUE(TRIM(MID(MID($A1554,FIND("/",$A1554)+1,20),FIND("/",MID($A1554,FIND("/",$A1554)+1,20))+1,20))),"")))</f>
        <v/>
      </c>
      <c r="E1554">
        <f>IF($A1554="","",IF(OR($B1554="",$C1554="",$D1554="",$B1554&lt;1300,$B1554&gt;1500,$C1554&lt;1,$C1554&gt;12,$D1554&lt;1,$D1554&gt;31),"نامعتبر",RIGHT("0000"&amp;$B1554,4)&amp;"/"&amp;RIGHT("00"&amp;$C1554,2)&amp;"/"&amp;RIGHT("00"&amp;$D1554,2)))</f>
        <v/>
      </c>
      <c r="F1554">
        <f>IF(OR($E1554="",$E1554="نامعتبر"),"",IF(Sync!$Q1551="","0000",IF(AND(ISNUMBER(Sync!$Q1551),Sync!$Q1551&gt;=0,Sync!$Q1551&lt;1),RIGHT("00"&amp;HOUR(Sync!$Q1551),2)&amp;RIGHT("00"&amp;MINUTE(Sync!$Q1551),2),IFERROR(RIGHT("00"&amp;VALUE(LEFT(Sync!$Q1551,FIND(":",Sync!$Q1551)-1)),2)&amp;RIGHT("00"&amp;VALUE(MID(Sync!$Q1551,FIND(":",Sync!$Q1551)+1,2)),2),"0000"))))</f>
        <v/>
      </c>
      <c r="G1554">
        <f>IF(OR($E1554="",$E1554="نامعتبر"),"",IF(Sync!$S1551="","",Sync!$S1551))</f>
        <v/>
      </c>
      <c r="H1554">
        <f>IF(OR($E1554="",$E1554="نامعتبر"),"",IF(Sync!$R1551="","",Sync!$R1551))</f>
        <v/>
      </c>
      <c r="I1554">
        <f>IF(OR($E1554="",$E1554="نامعتبر"),"",IF(Sync!$T1551="","",Sync!$T1551))</f>
        <v/>
      </c>
      <c r="J1554">
        <f>IF(OR($E1554="",$E1554="نامعتبر"),"",IF(Sync!$U1551="","",Sync!$U1551))</f>
        <v/>
      </c>
      <c r="K1554">
        <f>IF(OR($E1554="",$E1554="نامعتبر"),"",IF(Sync!$V1551="","",IFERROR(INDEX(SubCodes,MATCH(Sync!$V1551,SubTitles,0)),Sync!$V1551)))</f>
        <v/>
      </c>
      <c r="L1554">
        <f>IF(OR($E1554="",$E1554="نامعتبر"),"",IF(Sync!$W1551="",0,Sync!$W1551))</f>
        <v/>
      </c>
      <c r="M1554">
        <f>IF(OR($E1554="",$E1554="نامعتبر"),"",IF(Sync!$X1551="",0,Sync!$X1551))</f>
        <v/>
      </c>
      <c r="N1554">
        <f>IF(OR($E1554="",$E1554="نامعتبر"),"",IF(AND($J1554="هزینه",$K1554&lt;&gt;""),1,0))</f>
        <v/>
      </c>
      <c r="O1554">
        <f>IF($N1554=0,"",LEFT($E1554,4)&amp;MID($E1554,6,2)&amp;RIGHT($E1554,2)&amp;$F1554&amp;"|"&amp;"1"&amp;RIGHT("00000"&amp;1546,5))</f>
        <v/>
      </c>
      <c r="P1554">
        <f>IF($O1554="","",COUNTIFS(ExpSub,$K1554,ExpKey,"&lt;"&amp;$O1554)+1)</f>
        <v/>
      </c>
      <c r="Q1554">
        <f>IF($P1554="","",$K1554&amp;"|"&amp;RIGHT("000000"&amp;$P1554,6))</f>
        <v/>
      </c>
    </row>
    <row r="1555">
      <c r="A1555">
        <f>IF(Sync!$P1552="","",Sync!$P1552)</f>
        <v/>
      </c>
      <c r="B1555">
        <f>IF($A1555="","",IF(ISNUMBER($A1555),IF(AND($A1555&gt;=10000101,$A1555&lt;=99991231),INT($A1555/10000),""),IFERROR(VALUE(TRIM(LEFT($A1555,FIND("/",$A1555)-1))),"")))</f>
        <v/>
      </c>
      <c r="C1555">
        <f>IF(OR($A1555="",$B1555=""),"",IF(ISNUMBER($A1555),INT(MOD($A1555,10000)/100),IFERROR(VALUE(TRIM(LEFT(MID($A1555,FIND("/",$A1555)+1,20),FIND("/",MID($A1555,FIND("/",$A1555)+1,20))-1))),"")))</f>
        <v/>
      </c>
      <c r="D1555">
        <f>IF(OR($A1555="",$B1555=""),"",IF(ISNUMBER($A1555),MOD($A1555,100),IFERROR(VALUE(TRIM(MID(MID($A1555,FIND("/",$A1555)+1,20),FIND("/",MID($A1555,FIND("/",$A1555)+1,20))+1,20))),"")))</f>
        <v/>
      </c>
      <c r="E1555">
        <f>IF($A1555="","",IF(OR($B1555="",$C1555="",$D1555="",$B1555&lt;1300,$B1555&gt;1500,$C1555&lt;1,$C1555&gt;12,$D1555&lt;1,$D1555&gt;31),"نامعتبر",RIGHT("0000"&amp;$B1555,4)&amp;"/"&amp;RIGHT("00"&amp;$C1555,2)&amp;"/"&amp;RIGHT("00"&amp;$D1555,2)))</f>
        <v/>
      </c>
      <c r="F1555">
        <f>IF(OR($E1555="",$E1555="نامعتبر"),"",IF(Sync!$Q1552="","0000",IF(AND(ISNUMBER(Sync!$Q1552),Sync!$Q1552&gt;=0,Sync!$Q1552&lt;1),RIGHT("00"&amp;HOUR(Sync!$Q1552),2)&amp;RIGHT("00"&amp;MINUTE(Sync!$Q1552),2),IFERROR(RIGHT("00"&amp;VALUE(LEFT(Sync!$Q1552,FIND(":",Sync!$Q1552)-1)),2)&amp;RIGHT("00"&amp;VALUE(MID(Sync!$Q1552,FIND(":",Sync!$Q1552)+1,2)),2),"0000"))))</f>
        <v/>
      </c>
      <c r="G1555">
        <f>IF(OR($E1555="",$E1555="نامعتبر"),"",IF(Sync!$S1552="","",Sync!$S1552))</f>
        <v/>
      </c>
      <c r="H1555">
        <f>IF(OR($E1555="",$E1555="نامعتبر"),"",IF(Sync!$R1552="","",Sync!$R1552))</f>
        <v/>
      </c>
      <c r="I1555">
        <f>IF(OR($E1555="",$E1555="نامعتبر"),"",IF(Sync!$T1552="","",Sync!$T1552))</f>
        <v/>
      </c>
      <c r="J1555">
        <f>IF(OR($E1555="",$E1555="نامعتبر"),"",IF(Sync!$U1552="","",Sync!$U1552))</f>
        <v/>
      </c>
      <c r="K1555">
        <f>IF(OR($E1555="",$E1555="نامعتبر"),"",IF(Sync!$V1552="","",IFERROR(INDEX(SubCodes,MATCH(Sync!$V1552,SubTitles,0)),Sync!$V1552)))</f>
        <v/>
      </c>
      <c r="L1555">
        <f>IF(OR($E1555="",$E1555="نامعتبر"),"",IF(Sync!$W1552="",0,Sync!$W1552))</f>
        <v/>
      </c>
      <c r="M1555">
        <f>IF(OR($E1555="",$E1555="نامعتبر"),"",IF(Sync!$X1552="",0,Sync!$X1552))</f>
        <v/>
      </c>
      <c r="N1555">
        <f>IF(OR($E1555="",$E1555="نامعتبر"),"",IF(AND($J1555="هزینه",$K1555&lt;&gt;""),1,0))</f>
        <v/>
      </c>
      <c r="O1555">
        <f>IF($N1555=0,"",LEFT($E1555,4)&amp;MID($E1555,6,2)&amp;RIGHT($E1555,2)&amp;$F1555&amp;"|"&amp;"1"&amp;RIGHT("00000"&amp;1547,5))</f>
        <v/>
      </c>
      <c r="P1555">
        <f>IF($O1555="","",COUNTIFS(ExpSub,$K1555,ExpKey,"&lt;"&amp;$O1555)+1)</f>
        <v/>
      </c>
      <c r="Q1555">
        <f>IF($P1555="","",$K1555&amp;"|"&amp;RIGHT("000000"&amp;$P1555,6))</f>
        <v/>
      </c>
    </row>
    <row r="1556">
      <c r="A1556">
        <f>IF(Sync!$P1553="","",Sync!$P1553)</f>
        <v/>
      </c>
      <c r="B1556">
        <f>IF($A1556="","",IF(ISNUMBER($A1556),IF(AND($A1556&gt;=10000101,$A1556&lt;=99991231),INT($A1556/10000),""),IFERROR(VALUE(TRIM(LEFT($A1556,FIND("/",$A1556)-1))),"")))</f>
        <v/>
      </c>
      <c r="C1556">
        <f>IF(OR($A1556="",$B1556=""),"",IF(ISNUMBER($A1556),INT(MOD($A1556,10000)/100),IFERROR(VALUE(TRIM(LEFT(MID($A1556,FIND("/",$A1556)+1,20),FIND("/",MID($A1556,FIND("/",$A1556)+1,20))-1))),"")))</f>
        <v/>
      </c>
      <c r="D1556">
        <f>IF(OR($A1556="",$B1556=""),"",IF(ISNUMBER($A1556),MOD($A1556,100),IFERROR(VALUE(TRIM(MID(MID($A1556,FIND("/",$A1556)+1,20),FIND("/",MID($A1556,FIND("/",$A1556)+1,20))+1,20))),"")))</f>
        <v/>
      </c>
      <c r="E1556">
        <f>IF($A1556="","",IF(OR($B1556="",$C1556="",$D1556="",$B1556&lt;1300,$B1556&gt;1500,$C1556&lt;1,$C1556&gt;12,$D1556&lt;1,$D1556&gt;31),"نامعتبر",RIGHT("0000"&amp;$B1556,4)&amp;"/"&amp;RIGHT("00"&amp;$C1556,2)&amp;"/"&amp;RIGHT("00"&amp;$D1556,2)))</f>
        <v/>
      </c>
      <c r="F1556">
        <f>IF(OR($E1556="",$E1556="نامعتبر"),"",IF(Sync!$Q1553="","0000",IF(AND(ISNUMBER(Sync!$Q1553),Sync!$Q1553&gt;=0,Sync!$Q1553&lt;1),RIGHT("00"&amp;HOUR(Sync!$Q1553),2)&amp;RIGHT("00"&amp;MINUTE(Sync!$Q1553),2),IFERROR(RIGHT("00"&amp;VALUE(LEFT(Sync!$Q1553,FIND(":",Sync!$Q1553)-1)),2)&amp;RIGHT("00"&amp;VALUE(MID(Sync!$Q1553,FIND(":",Sync!$Q1553)+1,2)),2),"0000"))))</f>
        <v/>
      </c>
      <c r="G1556">
        <f>IF(OR($E1556="",$E1556="نامعتبر"),"",IF(Sync!$S1553="","",Sync!$S1553))</f>
        <v/>
      </c>
      <c r="H1556">
        <f>IF(OR($E1556="",$E1556="نامعتبر"),"",IF(Sync!$R1553="","",Sync!$R1553))</f>
        <v/>
      </c>
      <c r="I1556">
        <f>IF(OR($E1556="",$E1556="نامعتبر"),"",IF(Sync!$T1553="","",Sync!$T1553))</f>
        <v/>
      </c>
      <c r="J1556">
        <f>IF(OR($E1556="",$E1556="نامعتبر"),"",IF(Sync!$U1553="","",Sync!$U1553))</f>
        <v/>
      </c>
      <c r="K1556">
        <f>IF(OR($E1556="",$E1556="نامعتبر"),"",IF(Sync!$V1553="","",IFERROR(INDEX(SubCodes,MATCH(Sync!$V1553,SubTitles,0)),Sync!$V1553)))</f>
        <v/>
      </c>
      <c r="L1556">
        <f>IF(OR($E1556="",$E1556="نامعتبر"),"",IF(Sync!$W1553="",0,Sync!$W1553))</f>
        <v/>
      </c>
      <c r="M1556">
        <f>IF(OR($E1556="",$E1556="نامعتبر"),"",IF(Sync!$X1553="",0,Sync!$X1553))</f>
        <v/>
      </c>
      <c r="N1556">
        <f>IF(OR($E1556="",$E1556="نامعتبر"),"",IF(AND($J1556="هزینه",$K1556&lt;&gt;""),1,0))</f>
        <v/>
      </c>
      <c r="O1556">
        <f>IF($N1556=0,"",LEFT($E1556,4)&amp;MID($E1556,6,2)&amp;RIGHT($E1556,2)&amp;$F1556&amp;"|"&amp;"1"&amp;RIGHT("00000"&amp;1548,5))</f>
        <v/>
      </c>
      <c r="P1556">
        <f>IF($O1556="","",COUNTIFS(ExpSub,$K1556,ExpKey,"&lt;"&amp;$O1556)+1)</f>
        <v/>
      </c>
      <c r="Q1556">
        <f>IF($P1556="","",$K1556&amp;"|"&amp;RIGHT("000000"&amp;$P1556,6))</f>
        <v/>
      </c>
    </row>
    <row r="1557">
      <c r="A1557">
        <f>IF(Sync!$P1554="","",Sync!$P1554)</f>
        <v/>
      </c>
      <c r="B1557">
        <f>IF($A1557="","",IF(ISNUMBER($A1557),IF(AND($A1557&gt;=10000101,$A1557&lt;=99991231),INT($A1557/10000),""),IFERROR(VALUE(TRIM(LEFT($A1557,FIND("/",$A1557)-1))),"")))</f>
        <v/>
      </c>
      <c r="C1557">
        <f>IF(OR($A1557="",$B1557=""),"",IF(ISNUMBER($A1557),INT(MOD($A1557,10000)/100),IFERROR(VALUE(TRIM(LEFT(MID($A1557,FIND("/",$A1557)+1,20),FIND("/",MID($A1557,FIND("/",$A1557)+1,20))-1))),"")))</f>
        <v/>
      </c>
      <c r="D1557">
        <f>IF(OR($A1557="",$B1557=""),"",IF(ISNUMBER($A1557),MOD($A1557,100),IFERROR(VALUE(TRIM(MID(MID($A1557,FIND("/",$A1557)+1,20),FIND("/",MID($A1557,FIND("/",$A1557)+1,20))+1,20))),"")))</f>
        <v/>
      </c>
      <c r="E1557">
        <f>IF($A1557="","",IF(OR($B1557="",$C1557="",$D1557="",$B1557&lt;1300,$B1557&gt;1500,$C1557&lt;1,$C1557&gt;12,$D1557&lt;1,$D1557&gt;31),"نامعتبر",RIGHT("0000"&amp;$B1557,4)&amp;"/"&amp;RIGHT("00"&amp;$C1557,2)&amp;"/"&amp;RIGHT("00"&amp;$D1557,2)))</f>
        <v/>
      </c>
      <c r="F1557">
        <f>IF(OR($E1557="",$E1557="نامعتبر"),"",IF(Sync!$Q1554="","0000",IF(AND(ISNUMBER(Sync!$Q1554),Sync!$Q1554&gt;=0,Sync!$Q1554&lt;1),RIGHT("00"&amp;HOUR(Sync!$Q1554),2)&amp;RIGHT("00"&amp;MINUTE(Sync!$Q1554),2),IFERROR(RIGHT("00"&amp;VALUE(LEFT(Sync!$Q1554,FIND(":",Sync!$Q1554)-1)),2)&amp;RIGHT("00"&amp;VALUE(MID(Sync!$Q1554,FIND(":",Sync!$Q1554)+1,2)),2),"0000"))))</f>
        <v/>
      </c>
      <c r="G1557">
        <f>IF(OR($E1557="",$E1557="نامعتبر"),"",IF(Sync!$S1554="","",Sync!$S1554))</f>
        <v/>
      </c>
      <c r="H1557">
        <f>IF(OR($E1557="",$E1557="نامعتبر"),"",IF(Sync!$R1554="","",Sync!$R1554))</f>
        <v/>
      </c>
      <c r="I1557">
        <f>IF(OR($E1557="",$E1557="نامعتبر"),"",IF(Sync!$T1554="","",Sync!$T1554))</f>
        <v/>
      </c>
      <c r="J1557">
        <f>IF(OR($E1557="",$E1557="نامعتبر"),"",IF(Sync!$U1554="","",Sync!$U1554))</f>
        <v/>
      </c>
      <c r="K1557">
        <f>IF(OR($E1557="",$E1557="نامعتبر"),"",IF(Sync!$V1554="","",IFERROR(INDEX(SubCodes,MATCH(Sync!$V1554,SubTitles,0)),Sync!$V1554)))</f>
        <v/>
      </c>
      <c r="L1557">
        <f>IF(OR($E1557="",$E1557="نامعتبر"),"",IF(Sync!$W1554="",0,Sync!$W1554))</f>
        <v/>
      </c>
      <c r="M1557">
        <f>IF(OR($E1557="",$E1557="نامعتبر"),"",IF(Sync!$X1554="",0,Sync!$X1554))</f>
        <v/>
      </c>
      <c r="N1557">
        <f>IF(OR($E1557="",$E1557="نامعتبر"),"",IF(AND($J1557="هزینه",$K1557&lt;&gt;""),1,0))</f>
        <v/>
      </c>
      <c r="O1557">
        <f>IF($N1557=0,"",LEFT($E1557,4)&amp;MID($E1557,6,2)&amp;RIGHT($E1557,2)&amp;$F1557&amp;"|"&amp;"1"&amp;RIGHT("00000"&amp;1549,5))</f>
        <v/>
      </c>
      <c r="P1557">
        <f>IF($O1557="","",COUNTIFS(ExpSub,$K1557,ExpKey,"&lt;"&amp;$O1557)+1)</f>
        <v/>
      </c>
      <c r="Q1557">
        <f>IF($P1557="","",$K1557&amp;"|"&amp;RIGHT("000000"&amp;$P1557,6))</f>
        <v/>
      </c>
    </row>
    <row r="1558">
      <c r="A1558">
        <f>IF(Sync!$P1555="","",Sync!$P1555)</f>
        <v/>
      </c>
      <c r="B1558">
        <f>IF($A1558="","",IF(ISNUMBER($A1558),IF(AND($A1558&gt;=10000101,$A1558&lt;=99991231),INT($A1558/10000),""),IFERROR(VALUE(TRIM(LEFT($A1558,FIND("/",$A1558)-1))),"")))</f>
        <v/>
      </c>
      <c r="C1558">
        <f>IF(OR($A1558="",$B1558=""),"",IF(ISNUMBER($A1558),INT(MOD($A1558,10000)/100),IFERROR(VALUE(TRIM(LEFT(MID($A1558,FIND("/",$A1558)+1,20),FIND("/",MID($A1558,FIND("/",$A1558)+1,20))-1))),"")))</f>
        <v/>
      </c>
      <c r="D1558">
        <f>IF(OR($A1558="",$B1558=""),"",IF(ISNUMBER($A1558),MOD($A1558,100),IFERROR(VALUE(TRIM(MID(MID($A1558,FIND("/",$A1558)+1,20),FIND("/",MID($A1558,FIND("/",$A1558)+1,20))+1,20))),"")))</f>
        <v/>
      </c>
      <c r="E1558">
        <f>IF($A1558="","",IF(OR($B1558="",$C1558="",$D1558="",$B1558&lt;1300,$B1558&gt;1500,$C1558&lt;1,$C1558&gt;12,$D1558&lt;1,$D1558&gt;31),"نامعتبر",RIGHT("0000"&amp;$B1558,4)&amp;"/"&amp;RIGHT("00"&amp;$C1558,2)&amp;"/"&amp;RIGHT("00"&amp;$D1558,2)))</f>
        <v/>
      </c>
      <c r="F1558">
        <f>IF(OR($E1558="",$E1558="نامعتبر"),"",IF(Sync!$Q1555="","0000",IF(AND(ISNUMBER(Sync!$Q1555),Sync!$Q1555&gt;=0,Sync!$Q1555&lt;1),RIGHT("00"&amp;HOUR(Sync!$Q1555),2)&amp;RIGHT("00"&amp;MINUTE(Sync!$Q1555),2),IFERROR(RIGHT("00"&amp;VALUE(LEFT(Sync!$Q1555,FIND(":",Sync!$Q1555)-1)),2)&amp;RIGHT("00"&amp;VALUE(MID(Sync!$Q1555,FIND(":",Sync!$Q1555)+1,2)),2),"0000"))))</f>
        <v/>
      </c>
      <c r="G1558">
        <f>IF(OR($E1558="",$E1558="نامعتبر"),"",IF(Sync!$S1555="","",Sync!$S1555))</f>
        <v/>
      </c>
      <c r="H1558">
        <f>IF(OR($E1558="",$E1558="نامعتبر"),"",IF(Sync!$R1555="","",Sync!$R1555))</f>
        <v/>
      </c>
      <c r="I1558">
        <f>IF(OR($E1558="",$E1558="نامعتبر"),"",IF(Sync!$T1555="","",Sync!$T1555))</f>
        <v/>
      </c>
      <c r="J1558">
        <f>IF(OR($E1558="",$E1558="نامعتبر"),"",IF(Sync!$U1555="","",Sync!$U1555))</f>
        <v/>
      </c>
      <c r="K1558">
        <f>IF(OR($E1558="",$E1558="نامعتبر"),"",IF(Sync!$V1555="","",IFERROR(INDEX(SubCodes,MATCH(Sync!$V1555,SubTitles,0)),Sync!$V1555)))</f>
        <v/>
      </c>
      <c r="L1558">
        <f>IF(OR($E1558="",$E1558="نامعتبر"),"",IF(Sync!$W1555="",0,Sync!$W1555))</f>
        <v/>
      </c>
      <c r="M1558">
        <f>IF(OR($E1558="",$E1558="نامعتبر"),"",IF(Sync!$X1555="",0,Sync!$X1555))</f>
        <v/>
      </c>
      <c r="N1558">
        <f>IF(OR($E1558="",$E1558="نامعتبر"),"",IF(AND($J1558="هزینه",$K1558&lt;&gt;""),1,0))</f>
        <v/>
      </c>
      <c r="O1558">
        <f>IF($N1558=0,"",LEFT($E1558,4)&amp;MID($E1558,6,2)&amp;RIGHT($E1558,2)&amp;$F1558&amp;"|"&amp;"1"&amp;RIGHT("00000"&amp;1550,5))</f>
        <v/>
      </c>
      <c r="P1558">
        <f>IF($O1558="","",COUNTIFS(ExpSub,$K1558,ExpKey,"&lt;"&amp;$O1558)+1)</f>
        <v/>
      </c>
      <c r="Q1558">
        <f>IF($P1558="","",$K1558&amp;"|"&amp;RIGHT("000000"&amp;$P1558,6))</f>
        <v/>
      </c>
    </row>
    <row r="1559">
      <c r="A1559">
        <f>IF(Sync!$P1556="","",Sync!$P1556)</f>
        <v/>
      </c>
      <c r="B1559">
        <f>IF($A1559="","",IF(ISNUMBER($A1559),IF(AND($A1559&gt;=10000101,$A1559&lt;=99991231),INT($A1559/10000),""),IFERROR(VALUE(TRIM(LEFT($A1559,FIND("/",$A1559)-1))),"")))</f>
        <v/>
      </c>
      <c r="C1559">
        <f>IF(OR($A1559="",$B1559=""),"",IF(ISNUMBER($A1559),INT(MOD($A1559,10000)/100),IFERROR(VALUE(TRIM(LEFT(MID($A1559,FIND("/",$A1559)+1,20),FIND("/",MID($A1559,FIND("/",$A1559)+1,20))-1))),"")))</f>
        <v/>
      </c>
      <c r="D1559">
        <f>IF(OR($A1559="",$B1559=""),"",IF(ISNUMBER($A1559),MOD($A1559,100),IFERROR(VALUE(TRIM(MID(MID($A1559,FIND("/",$A1559)+1,20),FIND("/",MID($A1559,FIND("/",$A1559)+1,20))+1,20))),"")))</f>
        <v/>
      </c>
      <c r="E1559">
        <f>IF($A1559="","",IF(OR($B1559="",$C1559="",$D1559="",$B1559&lt;1300,$B1559&gt;1500,$C1559&lt;1,$C1559&gt;12,$D1559&lt;1,$D1559&gt;31),"نامعتبر",RIGHT("0000"&amp;$B1559,4)&amp;"/"&amp;RIGHT("00"&amp;$C1559,2)&amp;"/"&amp;RIGHT("00"&amp;$D1559,2)))</f>
        <v/>
      </c>
      <c r="F1559">
        <f>IF(OR($E1559="",$E1559="نامعتبر"),"",IF(Sync!$Q1556="","0000",IF(AND(ISNUMBER(Sync!$Q1556),Sync!$Q1556&gt;=0,Sync!$Q1556&lt;1),RIGHT("00"&amp;HOUR(Sync!$Q1556),2)&amp;RIGHT("00"&amp;MINUTE(Sync!$Q1556),2),IFERROR(RIGHT("00"&amp;VALUE(LEFT(Sync!$Q1556,FIND(":",Sync!$Q1556)-1)),2)&amp;RIGHT("00"&amp;VALUE(MID(Sync!$Q1556,FIND(":",Sync!$Q1556)+1,2)),2),"0000"))))</f>
        <v/>
      </c>
      <c r="G1559">
        <f>IF(OR($E1559="",$E1559="نامعتبر"),"",IF(Sync!$S1556="","",Sync!$S1556))</f>
        <v/>
      </c>
      <c r="H1559">
        <f>IF(OR($E1559="",$E1559="نامعتبر"),"",IF(Sync!$R1556="","",Sync!$R1556))</f>
        <v/>
      </c>
      <c r="I1559">
        <f>IF(OR($E1559="",$E1559="نامعتبر"),"",IF(Sync!$T1556="","",Sync!$T1556))</f>
        <v/>
      </c>
      <c r="J1559">
        <f>IF(OR($E1559="",$E1559="نامعتبر"),"",IF(Sync!$U1556="","",Sync!$U1556))</f>
        <v/>
      </c>
      <c r="K1559">
        <f>IF(OR($E1559="",$E1559="نامعتبر"),"",IF(Sync!$V1556="","",IFERROR(INDEX(SubCodes,MATCH(Sync!$V1556,SubTitles,0)),Sync!$V1556)))</f>
        <v/>
      </c>
      <c r="L1559">
        <f>IF(OR($E1559="",$E1559="نامعتبر"),"",IF(Sync!$W1556="",0,Sync!$W1556))</f>
        <v/>
      </c>
      <c r="M1559">
        <f>IF(OR($E1559="",$E1559="نامعتبر"),"",IF(Sync!$X1556="",0,Sync!$X1556))</f>
        <v/>
      </c>
      <c r="N1559">
        <f>IF(OR($E1559="",$E1559="نامعتبر"),"",IF(AND($J1559="هزینه",$K1559&lt;&gt;""),1,0))</f>
        <v/>
      </c>
      <c r="O1559">
        <f>IF($N1559=0,"",LEFT($E1559,4)&amp;MID($E1559,6,2)&amp;RIGHT($E1559,2)&amp;$F1559&amp;"|"&amp;"1"&amp;RIGHT("00000"&amp;1551,5))</f>
        <v/>
      </c>
      <c r="P1559">
        <f>IF($O1559="","",COUNTIFS(ExpSub,$K1559,ExpKey,"&lt;"&amp;$O1559)+1)</f>
        <v/>
      </c>
      <c r="Q1559">
        <f>IF($P1559="","",$K1559&amp;"|"&amp;RIGHT("000000"&amp;$P1559,6))</f>
        <v/>
      </c>
    </row>
    <row r="1560">
      <c r="A1560">
        <f>IF(Sync!$P1557="","",Sync!$P1557)</f>
        <v/>
      </c>
      <c r="B1560">
        <f>IF($A1560="","",IF(ISNUMBER($A1560),IF(AND($A1560&gt;=10000101,$A1560&lt;=99991231),INT($A1560/10000),""),IFERROR(VALUE(TRIM(LEFT($A1560,FIND("/",$A1560)-1))),"")))</f>
        <v/>
      </c>
      <c r="C1560">
        <f>IF(OR($A1560="",$B1560=""),"",IF(ISNUMBER($A1560),INT(MOD($A1560,10000)/100),IFERROR(VALUE(TRIM(LEFT(MID($A1560,FIND("/",$A1560)+1,20),FIND("/",MID($A1560,FIND("/",$A1560)+1,20))-1))),"")))</f>
        <v/>
      </c>
      <c r="D1560">
        <f>IF(OR($A1560="",$B1560=""),"",IF(ISNUMBER($A1560),MOD($A1560,100),IFERROR(VALUE(TRIM(MID(MID($A1560,FIND("/",$A1560)+1,20),FIND("/",MID($A1560,FIND("/",$A1560)+1,20))+1,20))),"")))</f>
        <v/>
      </c>
      <c r="E1560">
        <f>IF($A1560="","",IF(OR($B1560="",$C1560="",$D1560="",$B1560&lt;1300,$B1560&gt;1500,$C1560&lt;1,$C1560&gt;12,$D1560&lt;1,$D1560&gt;31),"نامعتبر",RIGHT("0000"&amp;$B1560,4)&amp;"/"&amp;RIGHT("00"&amp;$C1560,2)&amp;"/"&amp;RIGHT("00"&amp;$D1560,2)))</f>
        <v/>
      </c>
      <c r="F1560">
        <f>IF(OR($E1560="",$E1560="نامعتبر"),"",IF(Sync!$Q1557="","0000",IF(AND(ISNUMBER(Sync!$Q1557),Sync!$Q1557&gt;=0,Sync!$Q1557&lt;1),RIGHT("00"&amp;HOUR(Sync!$Q1557),2)&amp;RIGHT("00"&amp;MINUTE(Sync!$Q1557),2),IFERROR(RIGHT("00"&amp;VALUE(LEFT(Sync!$Q1557,FIND(":",Sync!$Q1557)-1)),2)&amp;RIGHT("00"&amp;VALUE(MID(Sync!$Q1557,FIND(":",Sync!$Q1557)+1,2)),2),"0000"))))</f>
        <v/>
      </c>
      <c r="G1560">
        <f>IF(OR($E1560="",$E1560="نامعتبر"),"",IF(Sync!$S1557="","",Sync!$S1557))</f>
        <v/>
      </c>
      <c r="H1560">
        <f>IF(OR($E1560="",$E1560="نامعتبر"),"",IF(Sync!$R1557="","",Sync!$R1557))</f>
        <v/>
      </c>
      <c r="I1560">
        <f>IF(OR($E1560="",$E1560="نامعتبر"),"",IF(Sync!$T1557="","",Sync!$T1557))</f>
        <v/>
      </c>
      <c r="J1560">
        <f>IF(OR($E1560="",$E1560="نامعتبر"),"",IF(Sync!$U1557="","",Sync!$U1557))</f>
        <v/>
      </c>
      <c r="K1560">
        <f>IF(OR($E1560="",$E1560="نامعتبر"),"",IF(Sync!$V1557="","",IFERROR(INDEX(SubCodes,MATCH(Sync!$V1557,SubTitles,0)),Sync!$V1557)))</f>
        <v/>
      </c>
      <c r="L1560">
        <f>IF(OR($E1560="",$E1560="نامعتبر"),"",IF(Sync!$W1557="",0,Sync!$W1557))</f>
        <v/>
      </c>
      <c r="M1560">
        <f>IF(OR($E1560="",$E1560="نامعتبر"),"",IF(Sync!$X1557="",0,Sync!$X1557))</f>
        <v/>
      </c>
      <c r="N1560">
        <f>IF(OR($E1560="",$E1560="نامعتبر"),"",IF(AND($J1560="هزینه",$K1560&lt;&gt;""),1,0))</f>
        <v/>
      </c>
      <c r="O1560">
        <f>IF($N1560=0,"",LEFT($E1560,4)&amp;MID($E1560,6,2)&amp;RIGHT($E1560,2)&amp;$F1560&amp;"|"&amp;"1"&amp;RIGHT("00000"&amp;1552,5))</f>
        <v/>
      </c>
      <c r="P1560">
        <f>IF($O1560="","",COUNTIFS(ExpSub,$K1560,ExpKey,"&lt;"&amp;$O1560)+1)</f>
        <v/>
      </c>
      <c r="Q1560">
        <f>IF($P1560="","",$K1560&amp;"|"&amp;RIGHT("000000"&amp;$P1560,6))</f>
        <v/>
      </c>
    </row>
    <row r="1561">
      <c r="A1561">
        <f>IF(Sync!$P1558="","",Sync!$P1558)</f>
        <v/>
      </c>
      <c r="B1561">
        <f>IF($A1561="","",IF(ISNUMBER($A1561),IF(AND($A1561&gt;=10000101,$A1561&lt;=99991231),INT($A1561/10000),""),IFERROR(VALUE(TRIM(LEFT($A1561,FIND("/",$A1561)-1))),"")))</f>
        <v/>
      </c>
      <c r="C1561">
        <f>IF(OR($A1561="",$B1561=""),"",IF(ISNUMBER($A1561),INT(MOD($A1561,10000)/100),IFERROR(VALUE(TRIM(LEFT(MID($A1561,FIND("/",$A1561)+1,20),FIND("/",MID($A1561,FIND("/",$A1561)+1,20))-1))),"")))</f>
        <v/>
      </c>
      <c r="D1561">
        <f>IF(OR($A1561="",$B1561=""),"",IF(ISNUMBER($A1561),MOD($A1561,100),IFERROR(VALUE(TRIM(MID(MID($A1561,FIND("/",$A1561)+1,20),FIND("/",MID($A1561,FIND("/",$A1561)+1,20))+1,20))),"")))</f>
        <v/>
      </c>
      <c r="E1561">
        <f>IF($A1561="","",IF(OR($B1561="",$C1561="",$D1561="",$B1561&lt;1300,$B1561&gt;1500,$C1561&lt;1,$C1561&gt;12,$D1561&lt;1,$D1561&gt;31),"نامعتبر",RIGHT("0000"&amp;$B1561,4)&amp;"/"&amp;RIGHT("00"&amp;$C1561,2)&amp;"/"&amp;RIGHT("00"&amp;$D1561,2)))</f>
        <v/>
      </c>
      <c r="F1561">
        <f>IF(OR($E1561="",$E1561="نامعتبر"),"",IF(Sync!$Q1558="","0000",IF(AND(ISNUMBER(Sync!$Q1558),Sync!$Q1558&gt;=0,Sync!$Q1558&lt;1),RIGHT("00"&amp;HOUR(Sync!$Q1558),2)&amp;RIGHT("00"&amp;MINUTE(Sync!$Q1558),2),IFERROR(RIGHT("00"&amp;VALUE(LEFT(Sync!$Q1558,FIND(":",Sync!$Q1558)-1)),2)&amp;RIGHT("00"&amp;VALUE(MID(Sync!$Q1558,FIND(":",Sync!$Q1558)+1,2)),2),"0000"))))</f>
        <v/>
      </c>
      <c r="G1561">
        <f>IF(OR($E1561="",$E1561="نامعتبر"),"",IF(Sync!$S1558="","",Sync!$S1558))</f>
        <v/>
      </c>
      <c r="H1561">
        <f>IF(OR($E1561="",$E1561="نامعتبر"),"",IF(Sync!$R1558="","",Sync!$R1558))</f>
        <v/>
      </c>
      <c r="I1561">
        <f>IF(OR($E1561="",$E1561="نامعتبر"),"",IF(Sync!$T1558="","",Sync!$T1558))</f>
        <v/>
      </c>
      <c r="J1561">
        <f>IF(OR($E1561="",$E1561="نامعتبر"),"",IF(Sync!$U1558="","",Sync!$U1558))</f>
        <v/>
      </c>
      <c r="K1561">
        <f>IF(OR($E1561="",$E1561="نامعتبر"),"",IF(Sync!$V1558="","",IFERROR(INDEX(SubCodes,MATCH(Sync!$V1558,SubTitles,0)),Sync!$V1558)))</f>
        <v/>
      </c>
      <c r="L1561">
        <f>IF(OR($E1561="",$E1561="نامعتبر"),"",IF(Sync!$W1558="",0,Sync!$W1558))</f>
        <v/>
      </c>
      <c r="M1561">
        <f>IF(OR($E1561="",$E1561="نامعتبر"),"",IF(Sync!$X1558="",0,Sync!$X1558))</f>
        <v/>
      </c>
      <c r="N1561">
        <f>IF(OR($E1561="",$E1561="نامعتبر"),"",IF(AND($J1561="هزینه",$K1561&lt;&gt;""),1,0))</f>
        <v/>
      </c>
      <c r="O1561">
        <f>IF($N1561=0,"",LEFT($E1561,4)&amp;MID($E1561,6,2)&amp;RIGHT($E1561,2)&amp;$F1561&amp;"|"&amp;"1"&amp;RIGHT("00000"&amp;1553,5))</f>
        <v/>
      </c>
      <c r="P1561">
        <f>IF($O1561="","",COUNTIFS(ExpSub,$K1561,ExpKey,"&lt;"&amp;$O1561)+1)</f>
        <v/>
      </c>
      <c r="Q1561">
        <f>IF($P1561="","",$K1561&amp;"|"&amp;RIGHT("000000"&amp;$P1561,6))</f>
        <v/>
      </c>
    </row>
    <row r="1562">
      <c r="A1562">
        <f>IF(Sync!$P1559="","",Sync!$P1559)</f>
        <v/>
      </c>
      <c r="B1562">
        <f>IF($A1562="","",IF(ISNUMBER($A1562),IF(AND($A1562&gt;=10000101,$A1562&lt;=99991231),INT($A1562/10000),""),IFERROR(VALUE(TRIM(LEFT($A1562,FIND("/",$A1562)-1))),"")))</f>
        <v/>
      </c>
      <c r="C1562">
        <f>IF(OR($A1562="",$B1562=""),"",IF(ISNUMBER($A1562),INT(MOD($A1562,10000)/100),IFERROR(VALUE(TRIM(LEFT(MID($A1562,FIND("/",$A1562)+1,20),FIND("/",MID($A1562,FIND("/",$A1562)+1,20))-1))),"")))</f>
        <v/>
      </c>
      <c r="D1562">
        <f>IF(OR($A1562="",$B1562=""),"",IF(ISNUMBER($A1562),MOD($A1562,100),IFERROR(VALUE(TRIM(MID(MID($A1562,FIND("/",$A1562)+1,20),FIND("/",MID($A1562,FIND("/",$A1562)+1,20))+1,20))),"")))</f>
        <v/>
      </c>
      <c r="E1562">
        <f>IF($A1562="","",IF(OR($B1562="",$C1562="",$D1562="",$B1562&lt;1300,$B1562&gt;1500,$C1562&lt;1,$C1562&gt;12,$D1562&lt;1,$D1562&gt;31),"نامعتبر",RIGHT("0000"&amp;$B1562,4)&amp;"/"&amp;RIGHT("00"&amp;$C1562,2)&amp;"/"&amp;RIGHT("00"&amp;$D1562,2)))</f>
        <v/>
      </c>
      <c r="F1562">
        <f>IF(OR($E1562="",$E1562="نامعتبر"),"",IF(Sync!$Q1559="","0000",IF(AND(ISNUMBER(Sync!$Q1559),Sync!$Q1559&gt;=0,Sync!$Q1559&lt;1),RIGHT("00"&amp;HOUR(Sync!$Q1559),2)&amp;RIGHT("00"&amp;MINUTE(Sync!$Q1559),2),IFERROR(RIGHT("00"&amp;VALUE(LEFT(Sync!$Q1559,FIND(":",Sync!$Q1559)-1)),2)&amp;RIGHT("00"&amp;VALUE(MID(Sync!$Q1559,FIND(":",Sync!$Q1559)+1,2)),2),"0000"))))</f>
        <v/>
      </c>
      <c r="G1562">
        <f>IF(OR($E1562="",$E1562="نامعتبر"),"",IF(Sync!$S1559="","",Sync!$S1559))</f>
        <v/>
      </c>
      <c r="H1562">
        <f>IF(OR($E1562="",$E1562="نامعتبر"),"",IF(Sync!$R1559="","",Sync!$R1559))</f>
        <v/>
      </c>
      <c r="I1562">
        <f>IF(OR($E1562="",$E1562="نامعتبر"),"",IF(Sync!$T1559="","",Sync!$T1559))</f>
        <v/>
      </c>
      <c r="J1562">
        <f>IF(OR($E1562="",$E1562="نامعتبر"),"",IF(Sync!$U1559="","",Sync!$U1559))</f>
        <v/>
      </c>
      <c r="K1562">
        <f>IF(OR($E1562="",$E1562="نامعتبر"),"",IF(Sync!$V1559="","",IFERROR(INDEX(SubCodes,MATCH(Sync!$V1559,SubTitles,0)),Sync!$V1559)))</f>
        <v/>
      </c>
      <c r="L1562">
        <f>IF(OR($E1562="",$E1562="نامعتبر"),"",IF(Sync!$W1559="",0,Sync!$W1559))</f>
        <v/>
      </c>
      <c r="M1562">
        <f>IF(OR($E1562="",$E1562="نامعتبر"),"",IF(Sync!$X1559="",0,Sync!$X1559))</f>
        <v/>
      </c>
      <c r="N1562">
        <f>IF(OR($E1562="",$E1562="نامعتبر"),"",IF(AND($J1562="هزینه",$K1562&lt;&gt;""),1,0))</f>
        <v/>
      </c>
      <c r="O1562">
        <f>IF($N1562=0,"",LEFT($E1562,4)&amp;MID($E1562,6,2)&amp;RIGHT($E1562,2)&amp;$F1562&amp;"|"&amp;"1"&amp;RIGHT("00000"&amp;1554,5))</f>
        <v/>
      </c>
      <c r="P1562">
        <f>IF($O1562="","",COUNTIFS(ExpSub,$K1562,ExpKey,"&lt;"&amp;$O1562)+1)</f>
        <v/>
      </c>
      <c r="Q1562">
        <f>IF($P1562="","",$K1562&amp;"|"&amp;RIGHT("000000"&amp;$P1562,6))</f>
        <v/>
      </c>
    </row>
    <row r="1563">
      <c r="A1563">
        <f>IF(Sync!$P1560="","",Sync!$P1560)</f>
        <v/>
      </c>
      <c r="B1563">
        <f>IF($A1563="","",IF(ISNUMBER($A1563),IF(AND($A1563&gt;=10000101,$A1563&lt;=99991231),INT($A1563/10000),""),IFERROR(VALUE(TRIM(LEFT($A1563,FIND("/",$A1563)-1))),"")))</f>
        <v/>
      </c>
      <c r="C1563">
        <f>IF(OR($A1563="",$B1563=""),"",IF(ISNUMBER($A1563),INT(MOD($A1563,10000)/100),IFERROR(VALUE(TRIM(LEFT(MID($A1563,FIND("/",$A1563)+1,20),FIND("/",MID($A1563,FIND("/",$A1563)+1,20))-1))),"")))</f>
        <v/>
      </c>
      <c r="D1563">
        <f>IF(OR($A1563="",$B1563=""),"",IF(ISNUMBER($A1563),MOD($A1563,100),IFERROR(VALUE(TRIM(MID(MID($A1563,FIND("/",$A1563)+1,20),FIND("/",MID($A1563,FIND("/",$A1563)+1,20))+1,20))),"")))</f>
        <v/>
      </c>
      <c r="E1563">
        <f>IF($A1563="","",IF(OR($B1563="",$C1563="",$D1563="",$B1563&lt;1300,$B1563&gt;1500,$C1563&lt;1,$C1563&gt;12,$D1563&lt;1,$D1563&gt;31),"نامعتبر",RIGHT("0000"&amp;$B1563,4)&amp;"/"&amp;RIGHT("00"&amp;$C1563,2)&amp;"/"&amp;RIGHT("00"&amp;$D1563,2)))</f>
        <v/>
      </c>
      <c r="F1563">
        <f>IF(OR($E1563="",$E1563="نامعتبر"),"",IF(Sync!$Q1560="","0000",IF(AND(ISNUMBER(Sync!$Q1560),Sync!$Q1560&gt;=0,Sync!$Q1560&lt;1),RIGHT("00"&amp;HOUR(Sync!$Q1560),2)&amp;RIGHT("00"&amp;MINUTE(Sync!$Q1560),2),IFERROR(RIGHT("00"&amp;VALUE(LEFT(Sync!$Q1560,FIND(":",Sync!$Q1560)-1)),2)&amp;RIGHT("00"&amp;VALUE(MID(Sync!$Q1560,FIND(":",Sync!$Q1560)+1,2)),2),"0000"))))</f>
        <v/>
      </c>
      <c r="G1563">
        <f>IF(OR($E1563="",$E1563="نامعتبر"),"",IF(Sync!$S1560="","",Sync!$S1560))</f>
        <v/>
      </c>
      <c r="H1563">
        <f>IF(OR($E1563="",$E1563="نامعتبر"),"",IF(Sync!$R1560="","",Sync!$R1560))</f>
        <v/>
      </c>
      <c r="I1563">
        <f>IF(OR($E1563="",$E1563="نامعتبر"),"",IF(Sync!$T1560="","",Sync!$T1560))</f>
        <v/>
      </c>
      <c r="J1563">
        <f>IF(OR($E1563="",$E1563="نامعتبر"),"",IF(Sync!$U1560="","",Sync!$U1560))</f>
        <v/>
      </c>
      <c r="K1563">
        <f>IF(OR($E1563="",$E1563="نامعتبر"),"",IF(Sync!$V1560="","",IFERROR(INDEX(SubCodes,MATCH(Sync!$V1560,SubTitles,0)),Sync!$V1560)))</f>
        <v/>
      </c>
      <c r="L1563">
        <f>IF(OR($E1563="",$E1563="نامعتبر"),"",IF(Sync!$W1560="",0,Sync!$W1560))</f>
        <v/>
      </c>
      <c r="M1563">
        <f>IF(OR($E1563="",$E1563="نامعتبر"),"",IF(Sync!$X1560="",0,Sync!$X1560))</f>
        <v/>
      </c>
      <c r="N1563">
        <f>IF(OR($E1563="",$E1563="نامعتبر"),"",IF(AND($J1563="هزینه",$K1563&lt;&gt;""),1,0))</f>
        <v/>
      </c>
      <c r="O1563">
        <f>IF($N1563=0,"",LEFT($E1563,4)&amp;MID($E1563,6,2)&amp;RIGHT($E1563,2)&amp;$F1563&amp;"|"&amp;"1"&amp;RIGHT("00000"&amp;1555,5))</f>
        <v/>
      </c>
      <c r="P1563">
        <f>IF($O1563="","",COUNTIFS(ExpSub,$K1563,ExpKey,"&lt;"&amp;$O1563)+1)</f>
        <v/>
      </c>
      <c r="Q1563">
        <f>IF($P1563="","",$K1563&amp;"|"&amp;RIGHT("000000"&amp;$P1563,6))</f>
        <v/>
      </c>
    </row>
    <row r="1564">
      <c r="A1564">
        <f>IF(Sync!$P1561="","",Sync!$P1561)</f>
        <v/>
      </c>
      <c r="B1564">
        <f>IF($A1564="","",IF(ISNUMBER($A1564),IF(AND($A1564&gt;=10000101,$A1564&lt;=99991231),INT($A1564/10000),""),IFERROR(VALUE(TRIM(LEFT($A1564,FIND("/",$A1564)-1))),"")))</f>
        <v/>
      </c>
      <c r="C1564">
        <f>IF(OR($A1564="",$B1564=""),"",IF(ISNUMBER($A1564),INT(MOD($A1564,10000)/100),IFERROR(VALUE(TRIM(LEFT(MID($A1564,FIND("/",$A1564)+1,20),FIND("/",MID($A1564,FIND("/",$A1564)+1,20))-1))),"")))</f>
        <v/>
      </c>
      <c r="D1564">
        <f>IF(OR($A1564="",$B1564=""),"",IF(ISNUMBER($A1564),MOD($A1564,100),IFERROR(VALUE(TRIM(MID(MID($A1564,FIND("/",$A1564)+1,20),FIND("/",MID($A1564,FIND("/",$A1564)+1,20))+1,20))),"")))</f>
        <v/>
      </c>
      <c r="E1564">
        <f>IF($A1564="","",IF(OR($B1564="",$C1564="",$D1564="",$B1564&lt;1300,$B1564&gt;1500,$C1564&lt;1,$C1564&gt;12,$D1564&lt;1,$D1564&gt;31),"نامعتبر",RIGHT("0000"&amp;$B1564,4)&amp;"/"&amp;RIGHT("00"&amp;$C1564,2)&amp;"/"&amp;RIGHT("00"&amp;$D1564,2)))</f>
        <v/>
      </c>
      <c r="F1564">
        <f>IF(OR($E1564="",$E1564="نامعتبر"),"",IF(Sync!$Q1561="","0000",IF(AND(ISNUMBER(Sync!$Q1561),Sync!$Q1561&gt;=0,Sync!$Q1561&lt;1),RIGHT("00"&amp;HOUR(Sync!$Q1561),2)&amp;RIGHT("00"&amp;MINUTE(Sync!$Q1561),2),IFERROR(RIGHT("00"&amp;VALUE(LEFT(Sync!$Q1561,FIND(":",Sync!$Q1561)-1)),2)&amp;RIGHT("00"&amp;VALUE(MID(Sync!$Q1561,FIND(":",Sync!$Q1561)+1,2)),2),"0000"))))</f>
        <v/>
      </c>
      <c r="G1564">
        <f>IF(OR($E1564="",$E1564="نامعتبر"),"",IF(Sync!$S1561="","",Sync!$S1561))</f>
        <v/>
      </c>
      <c r="H1564">
        <f>IF(OR($E1564="",$E1564="نامعتبر"),"",IF(Sync!$R1561="","",Sync!$R1561))</f>
        <v/>
      </c>
      <c r="I1564">
        <f>IF(OR($E1564="",$E1564="نامعتبر"),"",IF(Sync!$T1561="","",Sync!$T1561))</f>
        <v/>
      </c>
      <c r="J1564">
        <f>IF(OR($E1564="",$E1564="نامعتبر"),"",IF(Sync!$U1561="","",Sync!$U1561))</f>
        <v/>
      </c>
      <c r="K1564">
        <f>IF(OR($E1564="",$E1564="نامعتبر"),"",IF(Sync!$V1561="","",IFERROR(INDEX(SubCodes,MATCH(Sync!$V1561,SubTitles,0)),Sync!$V1561)))</f>
        <v/>
      </c>
      <c r="L1564">
        <f>IF(OR($E1564="",$E1564="نامعتبر"),"",IF(Sync!$W1561="",0,Sync!$W1561))</f>
        <v/>
      </c>
      <c r="M1564">
        <f>IF(OR($E1564="",$E1564="نامعتبر"),"",IF(Sync!$X1561="",0,Sync!$X1561))</f>
        <v/>
      </c>
      <c r="N1564">
        <f>IF(OR($E1564="",$E1564="نامعتبر"),"",IF(AND($J1564="هزینه",$K1564&lt;&gt;""),1,0))</f>
        <v/>
      </c>
      <c r="O1564">
        <f>IF($N1564=0,"",LEFT($E1564,4)&amp;MID($E1564,6,2)&amp;RIGHT($E1564,2)&amp;$F1564&amp;"|"&amp;"1"&amp;RIGHT("00000"&amp;1556,5))</f>
        <v/>
      </c>
      <c r="P1564">
        <f>IF($O1564="","",COUNTIFS(ExpSub,$K1564,ExpKey,"&lt;"&amp;$O1564)+1)</f>
        <v/>
      </c>
      <c r="Q1564">
        <f>IF($P1564="","",$K1564&amp;"|"&amp;RIGHT("000000"&amp;$P1564,6))</f>
        <v/>
      </c>
    </row>
    <row r="1565">
      <c r="A1565">
        <f>IF(Sync!$P1562="","",Sync!$P1562)</f>
        <v/>
      </c>
      <c r="B1565">
        <f>IF($A1565="","",IF(ISNUMBER($A1565),IF(AND($A1565&gt;=10000101,$A1565&lt;=99991231),INT($A1565/10000),""),IFERROR(VALUE(TRIM(LEFT($A1565,FIND("/",$A1565)-1))),"")))</f>
        <v/>
      </c>
      <c r="C1565">
        <f>IF(OR($A1565="",$B1565=""),"",IF(ISNUMBER($A1565),INT(MOD($A1565,10000)/100),IFERROR(VALUE(TRIM(LEFT(MID($A1565,FIND("/",$A1565)+1,20),FIND("/",MID($A1565,FIND("/",$A1565)+1,20))-1))),"")))</f>
        <v/>
      </c>
      <c r="D1565">
        <f>IF(OR($A1565="",$B1565=""),"",IF(ISNUMBER($A1565),MOD($A1565,100),IFERROR(VALUE(TRIM(MID(MID($A1565,FIND("/",$A1565)+1,20),FIND("/",MID($A1565,FIND("/",$A1565)+1,20))+1,20))),"")))</f>
        <v/>
      </c>
      <c r="E1565">
        <f>IF($A1565="","",IF(OR($B1565="",$C1565="",$D1565="",$B1565&lt;1300,$B1565&gt;1500,$C1565&lt;1,$C1565&gt;12,$D1565&lt;1,$D1565&gt;31),"نامعتبر",RIGHT("0000"&amp;$B1565,4)&amp;"/"&amp;RIGHT("00"&amp;$C1565,2)&amp;"/"&amp;RIGHT("00"&amp;$D1565,2)))</f>
        <v/>
      </c>
      <c r="F1565">
        <f>IF(OR($E1565="",$E1565="نامعتبر"),"",IF(Sync!$Q1562="","0000",IF(AND(ISNUMBER(Sync!$Q1562),Sync!$Q1562&gt;=0,Sync!$Q1562&lt;1),RIGHT("00"&amp;HOUR(Sync!$Q1562),2)&amp;RIGHT("00"&amp;MINUTE(Sync!$Q1562),2),IFERROR(RIGHT("00"&amp;VALUE(LEFT(Sync!$Q1562,FIND(":",Sync!$Q1562)-1)),2)&amp;RIGHT("00"&amp;VALUE(MID(Sync!$Q1562,FIND(":",Sync!$Q1562)+1,2)),2),"0000"))))</f>
        <v/>
      </c>
      <c r="G1565">
        <f>IF(OR($E1565="",$E1565="نامعتبر"),"",IF(Sync!$S1562="","",Sync!$S1562))</f>
        <v/>
      </c>
      <c r="H1565">
        <f>IF(OR($E1565="",$E1565="نامعتبر"),"",IF(Sync!$R1562="","",Sync!$R1562))</f>
        <v/>
      </c>
      <c r="I1565">
        <f>IF(OR($E1565="",$E1565="نامعتبر"),"",IF(Sync!$T1562="","",Sync!$T1562))</f>
        <v/>
      </c>
      <c r="J1565">
        <f>IF(OR($E1565="",$E1565="نامعتبر"),"",IF(Sync!$U1562="","",Sync!$U1562))</f>
        <v/>
      </c>
      <c r="K1565">
        <f>IF(OR($E1565="",$E1565="نامعتبر"),"",IF(Sync!$V1562="","",IFERROR(INDEX(SubCodes,MATCH(Sync!$V1562,SubTitles,0)),Sync!$V1562)))</f>
        <v/>
      </c>
      <c r="L1565">
        <f>IF(OR($E1565="",$E1565="نامعتبر"),"",IF(Sync!$W1562="",0,Sync!$W1562))</f>
        <v/>
      </c>
      <c r="M1565">
        <f>IF(OR($E1565="",$E1565="نامعتبر"),"",IF(Sync!$X1562="",0,Sync!$X1562))</f>
        <v/>
      </c>
      <c r="N1565">
        <f>IF(OR($E1565="",$E1565="نامعتبر"),"",IF(AND($J1565="هزینه",$K1565&lt;&gt;""),1,0))</f>
        <v/>
      </c>
      <c r="O1565">
        <f>IF($N1565=0,"",LEFT($E1565,4)&amp;MID($E1565,6,2)&amp;RIGHT($E1565,2)&amp;$F1565&amp;"|"&amp;"1"&amp;RIGHT("00000"&amp;1557,5))</f>
        <v/>
      </c>
      <c r="P1565">
        <f>IF($O1565="","",COUNTIFS(ExpSub,$K1565,ExpKey,"&lt;"&amp;$O1565)+1)</f>
        <v/>
      </c>
      <c r="Q1565">
        <f>IF($P1565="","",$K1565&amp;"|"&amp;RIGHT("000000"&amp;$P1565,6))</f>
        <v/>
      </c>
    </row>
    <row r="1566">
      <c r="A1566">
        <f>IF(Sync!$P1563="","",Sync!$P1563)</f>
        <v/>
      </c>
      <c r="B1566">
        <f>IF($A1566="","",IF(ISNUMBER($A1566),IF(AND($A1566&gt;=10000101,$A1566&lt;=99991231),INT($A1566/10000),""),IFERROR(VALUE(TRIM(LEFT($A1566,FIND("/",$A1566)-1))),"")))</f>
        <v/>
      </c>
      <c r="C1566">
        <f>IF(OR($A1566="",$B1566=""),"",IF(ISNUMBER($A1566),INT(MOD($A1566,10000)/100),IFERROR(VALUE(TRIM(LEFT(MID($A1566,FIND("/",$A1566)+1,20),FIND("/",MID($A1566,FIND("/",$A1566)+1,20))-1))),"")))</f>
        <v/>
      </c>
      <c r="D1566">
        <f>IF(OR($A1566="",$B1566=""),"",IF(ISNUMBER($A1566),MOD($A1566,100),IFERROR(VALUE(TRIM(MID(MID($A1566,FIND("/",$A1566)+1,20),FIND("/",MID($A1566,FIND("/",$A1566)+1,20))+1,20))),"")))</f>
        <v/>
      </c>
      <c r="E1566">
        <f>IF($A1566="","",IF(OR($B1566="",$C1566="",$D1566="",$B1566&lt;1300,$B1566&gt;1500,$C1566&lt;1,$C1566&gt;12,$D1566&lt;1,$D1566&gt;31),"نامعتبر",RIGHT("0000"&amp;$B1566,4)&amp;"/"&amp;RIGHT("00"&amp;$C1566,2)&amp;"/"&amp;RIGHT("00"&amp;$D1566,2)))</f>
        <v/>
      </c>
      <c r="F1566">
        <f>IF(OR($E1566="",$E1566="نامعتبر"),"",IF(Sync!$Q1563="","0000",IF(AND(ISNUMBER(Sync!$Q1563),Sync!$Q1563&gt;=0,Sync!$Q1563&lt;1),RIGHT("00"&amp;HOUR(Sync!$Q1563),2)&amp;RIGHT("00"&amp;MINUTE(Sync!$Q1563),2),IFERROR(RIGHT("00"&amp;VALUE(LEFT(Sync!$Q1563,FIND(":",Sync!$Q1563)-1)),2)&amp;RIGHT("00"&amp;VALUE(MID(Sync!$Q1563,FIND(":",Sync!$Q1563)+1,2)),2),"0000"))))</f>
        <v/>
      </c>
      <c r="G1566">
        <f>IF(OR($E1566="",$E1566="نامعتبر"),"",IF(Sync!$S1563="","",Sync!$S1563))</f>
        <v/>
      </c>
      <c r="H1566">
        <f>IF(OR($E1566="",$E1566="نامعتبر"),"",IF(Sync!$R1563="","",Sync!$R1563))</f>
        <v/>
      </c>
      <c r="I1566">
        <f>IF(OR($E1566="",$E1566="نامعتبر"),"",IF(Sync!$T1563="","",Sync!$T1563))</f>
        <v/>
      </c>
      <c r="J1566">
        <f>IF(OR($E1566="",$E1566="نامعتبر"),"",IF(Sync!$U1563="","",Sync!$U1563))</f>
        <v/>
      </c>
      <c r="K1566">
        <f>IF(OR($E1566="",$E1566="نامعتبر"),"",IF(Sync!$V1563="","",IFERROR(INDEX(SubCodes,MATCH(Sync!$V1563,SubTitles,0)),Sync!$V1563)))</f>
        <v/>
      </c>
      <c r="L1566">
        <f>IF(OR($E1566="",$E1566="نامعتبر"),"",IF(Sync!$W1563="",0,Sync!$W1563))</f>
        <v/>
      </c>
      <c r="M1566">
        <f>IF(OR($E1566="",$E1566="نامعتبر"),"",IF(Sync!$X1563="",0,Sync!$X1563))</f>
        <v/>
      </c>
      <c r="N1566">
        <f>IF(OR($E1566="",$E1566="نامعتبر"),"",IF(AND($J1566="هزینه",$K1566&lt;&gt;""),1,0))</f>
        <v/>
      </c>
      <c r="O1566">
        <f>IF($N1566=0,"",LEFT($E1566,4)&amp;MID($E1566,6,2)&amp;RIGHT($E1566,2)&amp;$F1566&amp;"|"&amp;"1"&amp;RIGHT("00000"&amp;1558,5))</f>
        <v/>
      </c>
      <c r="P1566">
        <f>IF($O1566="","",COUNTIFS(ExpSub,$K1566,ExpKey,"&lt;"&amp;$O1566)+1)</f>
        <v/>
      </c>
      <c r="Q1566">
        <f>IF($P1566="","",$K1566&amp;"|"&amp;RIGHT("000000"&amp;$P1566,6))</f>
        <v/>
      </c>
    </row>
    <row r="1567">
      <c r="A1567">
        <f>IF(Sync!$P1564="","",Sync!$P1564)</f>
        <v/>
      </c>
      <c r="B1567">
        <f>IF($A1567="","",IF(ISNUMBER($A1567),IF(AND($A1567&gt;=10000101,$A1567&lt;=99991231),INT($A1567/10000),""),IFERROR(VALUE(TRIM(LEFT($A1567,FIND("/",$A1567)-1))),"")))</f>
        <v/>
      </c>
      <c r="C1567">
        <f>IF(OR($A1567="",$B1567=""),"",IF(ISNUMBER($A1567),INT(MOD($A1567,10000)/100),IFERROR(VALUE(TRIM(LEFT(MID($A1567,FIND("/",$A1567)+1,20),FIND("/",MID($A1567,FIND("/",$A1567)+1,20))-1))),"")))</f>
        <v/>
      </c>
      <c r="D1567">
        <f>IF(OR($A1567="",$B1567=""),"",IF(ISNUMBER($A1567),MOD($A1567,100),IFERROR(VALUE(TRIM(MID(MID($A1567,FIND("/",$A1567)+1,20),FIND("/",MID($A1567,FIND("/",$A1567)+1,20))+1,20))),"")))</f>
        <v/>
      </c>
      <c r="E1567">
        <f>IF($A1567="","",IF(OR($B1567="",$C1567="",$D1567="",$B1567&lt;1300,$B1567&gt;1500,$C1567&lt;1,$C1567&gt;12,$D1567&lt;1,$D1567&gt;31),"نامعتبر",RIGHT("0000"&amp;$B1567,4)&amp;"/"&amp;RIGHT("00"&amp;$C1567,2)&amp;"/"&amp;RIGHT("00"&amp;$D1567,2)))</f>
        <v/>
      </c>
      <c r="F1567">
        <f>IF(OR($E1567="",$E1567="نامعتبر"),"",IF(Sync!$Q1564="","0000",IF(AND(ISNUMBER(Sync!$Q1564),Sync!$Q1564&gt;=0,Sync!$Q1564&lt;1),RIGHT("00"&amp;HOUR(Sync!$Q1564),2)&amp;RIGHT("00"&amp;MINUTE(Sync!$Q1564),2),IFERROR(RIGHT("00"&amp;VALUE(LEFT(Sync!$Q1564,FIND(":",Sync!$Q1564)-1)),2)&amp;RIGHT("00"&amp;VALUE(MID(Sync!$Q1564,FIND(":",Sync!$Q1564)+1,2)),2),"0000"))))</f>
        <v/>
      </c>
      <c r="G1567">
        <f>IF(OR($E1567="",$E1567="نامعتبر"),"",IF(Sync!$S1564="","",Sync!$S1564))</f>
        <v/>
      </c>
      <c r="H1567">
        <f>IF(OR($E1567="",$E1567="نامعتبر"),"",IF(Sync!$R1564="","",Sync!$R1564))</f>
        <v/>
      </c>
      <c r="I1567">
        <f>IF(OR($E1567="",$E1567="نامعتبر"),"",IF(Sync!$T1564="","",Sync!$T1564))</f>
        <v/>
      </c>
      <c r="J1567">
        <f>IF(OR($E1567="",$E1567="نامعتبر"),"",IF(Sync!$U1564="","",Sync!$U1564))</f>
        <v/>
      </c>
      <c r="K1567">
        <f>IF(OR($E1567="",$E1567="نامعتبر"),"",IF(Sync!$V1564="","",IFERROR(INDEX(SubCodes,MATCH(Sync!$V1564,SubTitles,0)),Sync!$V1564)))</f>
        <v/>
      </c>
      <c r="L1567">
        <f>IF(OR($E1567="",$E1567="نامعتبر"),"",IF(Sync!$W1564="",0,Sync!$W1564))</f>
        <v/>
      </c>
      <c r="M1567">
        <f>IF(OR($E1567="",$E1567="نامعتبر"),"",IF(Sync!$X1564="",0,Sync!$X1564))</f>
        <v/>
      </c>
      <c r="N1567">
        <f>IF(OR($E1567="",$E1567="نامعتبر"),"",IF(AND($J1567="هزینه",$K1567&lt;&gt;""),1,0))</f>
        <v/>
      </c>
      <c r="O1567">
        <f>IF($N1567=0,"",LEFT($E1567,4)&amp;MID($E1567,6,2)&amp;RIGHT($E1567,2)&amp;$F1567&amp;"|"&amp;"1"&amp;RIGHT("00000"&amp;1559,5))</f>
        <v/>
      </c>
      <c r="P1567">
        <f>IF($O1567="","",COUNTIFS(ExpSub,$K1567,ExpKey,"&lt;"&amp;$O1567)+1)</f>
        <v/>
      </c>
      <c r="Q1567">
        <f>IF($P1567="","",$K1567&amp;"|"&amp;RIGHT("000000"&amp;$P1567,6))</f>
        <v/>
      </c>
    </row>
    <row r="1568">
      <c r="A1568">
        <f>IF(Sync!$P1565="","",Sync!$P1565)</f>
        <v/>
      </c>
      <c r="B1568">
        <f>IF($A1568="","",IF(ISNUMBER($A1568),IF(AND($A1568&gt;=10000101,$A1568&lt;=99991231),INT($A1568/10000),""),IFERROR(VALUE(TRIM(LEFT($A1568,FIND("/",$A1568)-1))),"")))</f>
        <v/>
      </c>
      <c r="C1568">
        <f>IF(OR($A1568="",$B1568=""),"",IF(ISNUMBER($A1568),INT(MOD($A1568,10000)/100),IFERROR(VALUE(TRIM(LEFT(MID($A1568,FIND("/",$A1568)+1,20),FIND("/",MID($A1568,FIND("/",$A1568)+1,20))-1))),"")))</f>
        <v/>
      </c>
      <c r="D1568">
        <f>IF(OR($A1568="",$B1568=""),"",IF(ISNUMBER($A1568),MOD($A1568,100),IFERROR(VALUE(TRIM(MID(MID($A1568,FIND("/",$A1568)+1,20),FIND("/",MID($A1568,FIND("/",$A1568)+1,20))+1,20))),"")))</f>
        <v/>
      </c>
      <c r="E1568">
        <f>IF($A1568="","",IF(OR($B1568="",$C1568="",$D1568="",$B1568&lt;1300,$B1568&gt;1500,$C1568&lt;1,$C1568&gt;12,$D1568&lt;1,$D1568&gt;31),"نامعتبر",RIGHT("0000"&amp;$B1568,4)&amp;"/"&amp;RIGHT("00"&amp;$C1568,2)&amp;"/"&amp;RIGHT("00"&amp;$D1568,2)))</f>
        <v/>
      </c>
      <c r="F1568">
        <f>IF(OR($E1568="",$E1568="نامعتبر"),"",IF(Sync!$Q1565="","0000",IF(AND(ISNUMBER(Sync!$Q1565),Sync!$Q1565&gt;=0,Sync!$Q1565&lt;1),RIGHT("00"&amp;HOUR(Sync!$Q1565),2)&amp;RIGHT("00"&amp;MINUTE(Sync!$Q1565),2),IFERROR(RIGHT("00"&amp;VALUE(LEFT(Sync!$Q1565,FIND(":",Sync!$Q1565)-1)),2)&amp;RIGHT("00"&amp;VALUE(MID(Sync!$Q1565,FIND(":",Sync!$Q1565)+1,2)),2),"0000"))))</f>
        <v/>
      </c>
      <c r="G1568">
        <f>IF(OR($E1568="",$E1568="نامعتبر"),"",IF(Sync!$S1565="","",Sync!$S1565))</f>
        <v/>
      </c>
      <c r="H1568">
        <f>IF(OR($E1568="",$E1568="نامعتبر"),"",IF(Sync!$R1565="","",Sync!$R1565))</f>
        <v/>
      </c>
      <c r="I1568">
        <f>IF(OR($E1568="",$E1568="نامعتبر"),"",IF(Sync!$T1565="","",Sync!$T1565))</f>
        <v/>
      </c>
      <c r="J1568">
        <f>IF(OR($E1568="",$E1568="نامعتبر"),"",IF(Sync!$U1565="","",Sync!$U1565))</f>
        <v/>
      </c>
      <c r="K1568">
        <f>IF(OR($E1568="",$E1568="نامعتبر"),"",IF(Sync!$V1565="","",IFERROR(INDEX(SubCodes,MATCH(Sync!$V1565,SubTitles,0)),Sync!$V1565)))</f>
        <v/>
      </c>
      <c r="L1568">
        <f>IF(OR($E1568="",$E1568="نامعتبر"),"",IF(Sync!$W1565="",0,Sync!$W1565))</f>
        <v/>
      </c>
      <c r="M1568">
        <f>IF(OR($E1568="",$E1568="نامعتبر"),"",IF(Sync!$X1565="",0,Sync!$X1565))</f>
        <v/>
      </c>
      <c r="N1568">
        <f>IF(OR($E1568="",$E1568="نامعتبر"),"",IF(AND($J1568="هزینه",$K1568&lt;&gt;""),1,0))</f>
        <v/>
      </c>
      <c r="O1568">
        <f>IF($N1568=0,"",LEFT($E1568,4)&amp;MID($E1568,6,2)&amp;RIGHT($E1568,2)&amp;$F1568&amp;"|"&amp;"1"&amp;RIGHT("00000"&amp;1560,5))</f>
        <v/>
      </c>
      <c r="P1568">
        <f>IF($O1568="","",COUNTIFS(ExpSub,$K1568,ExpKey,"&lt;"&amp;$O1568)+1)</f>
        <v/>
      </c>
      <c r="Q1568">
        <f>IF($P1568="","",$K1568&amp;"|"&amp;RIGHT("000000"&amp;$P1568,6))</f>
        <v/>
      </c>
    </row>
    <row r="1569">
      <c r="A1569">
        <f>IF(Sync!$P1566="","",Sync!$P1566)</f>
        <v/>
      </c>
      <c r="B1569">
        <f>IF($A1569="","",IF(ISNUMBER($A1569),IF(AND($A1569&gt;=10000101,$A1569&lt;=99991231),INT($A1569/10000),""),IFERROR(VALUE(TRIM(LEFT($A1569,FIND("/",$A1569)-1))),"")))</f>
        <v/>
      </c>
      <c r="C1569">
        <f>IF(OR($A1569="",$B1569=""),"",IF(ISNUMBER($A1569),INT(MOD($A1569,10000)/100),IFERROR(VALUE(TRIM(LEFT(MID($A1569,FIND("/",$A1569)+1,20),FIND("/",MID($A1569,FIND("/",$A1569)+1,20))-1))),"")))</f>
        <v/>
      </c>
      <c r="D1569">
        <f>IF(OR($A1569="",$B1569=""),"",IF(ISNUMBER($A1569),MOD($A1569,100),IFERROR(VALUE(TRIM(MID(MID($A1569,FIND("/",$A1569)+1,20),FIND("/",MID($A1569,FIND("/",$A1569)+1,20))+1,20))),"")))</f>
        <v/>
      </c>
      <c r="E1569">
        <f>IF($A1569="","",IF(OR($B1569="",$C1569="",$D1569="",$B1569&lt;1300,$B1569&gt;1500,$C1569&lt;1,$C1569&gt;12,$D1569&lt;1,$D1569&gt;31),"نامعتبر",RIGHT("0000"&amp;$B1569,4)&amp;"/"&amp;RIGHT("00"&amp;$C1569,2)&amp;"/"&amp;RIGHT("00"&amp;$D1569,2)))</f>
        <v/>
      </c>
      <c r="F1569">
        <f>IF(OR($E1569="",$E1569="نامعتبر"),"",IF(Sync!$Q1566="","0000",IF(AND(ISNUMBER(Sync!$Q1566),Sync!$Q1566&gt;=0,Sync!$Q1566&lt;1),RIGHT("00"&amp;HOUR(Sync!$Q1566),2)&amp;RIGHT("00"&amp;MINUTE(Sync!$Q1566),2),IFERROR(RIGHT("00"&amp;VALUE(LEFT(Sync!$Q1566,FIND(":",Sync!$Q1566)-1)),2)&amp;RIGHT("00"&amp;VALUE(MID(Sync!$Q1566,FIND(":",Sync!$Q1566)+1,2)),2),"0000"))))</f>
        <v/>
      </c>
      <c r="G1569">
        <f>IF(OR($E1569="",$E1569="نامعتبر"),"",IF(Sync!$S1566="","",Sync!$S1566))</f>
        <v/>
      </c>
      <c r="H1569">
        <f>IF(OR($E1569="",$E1569="نامعتبر"),"",IF(Sync!$R1566="","",Sync!$R1566))</f>
        <v/>
      </c>
      <c r="I1569">
        <f>IF(OR($E1569="",$E1569="نامعتبر"),"",IF(Sync!$T1566="","",Sync!$T1566))</f>
        <v/>
      </c>
      <c r="J1569">
        <f>IF(OR($E1569="",$E1569="نامعتبر"),"",IF(Sync!$U1566="","",Sync!$U1566))</f>
        <v/>
      </c>
      <c r="K1569">
        <f>IF(OR($E1569="",$E1569="نامعتبر"),"",IF(Sync!$V1566="","",IFERROR(INDEX(SubCodes,MATCH(Sync!$V1566,SubTitles,0)),Sync!$V1566)))</f>
        <v/>
      </c>
      <c r="L1569">
        <f>IF(OR($E1569="",$E1569="نامعتبر"),"",IF(Sync!$W1566="",0,Sync!$W1566))</f>
        <v/>
      </c>
      <c r="M1569">
        <f>IF(OR($E1569="",$E1569="نامعتبر"),"",IF(Sync!$X1566="",0,Sync!$X1566))</f>
        <v/>
      </c>
      <c r="N1569">
        <f>IF(OR($E1569="",$E1569="نامعتبر"),"",IF(AND($J1569="هزینه",$K1569&lt;&gt;""),1,0))</f>
        <v/>
      </c>
      <c r="O1569">
        <f>IF($N1569=0,"",LEFT($E1569,4)&amp;MID($E1569,6,2)&amp;RIGHT($E1569,2)&amp;$F1569&amp;"|"&amp;"1"&amp;RIGHT("00000"&amp;1561,5))</f>
        <v/>
      </c>
      <c r="P1569">
        <f>IF($O1569="","",COUNTIFS(ExpSub,$K1569,ExpKey,"&lt;"&amp;$O1569)+1)</f>
        <v/>
      </c>
      <c r="Q1569">
        <f>IF($P1569="","",$K1569&amp;"|"&amp;RIGHT("000000"&amp;$P1569,6))</f>
        <v/>
      </c>
    </row>
    <row r="1570">
      <c r="A1570">
        <f>IF(Sync!$P1567="","",Sync!$P1567)</f>
        <v/>
      </c>
      <c r="B1570">
        <f>IF($A1570="","",IF(ISNUMBER($A1570),IF(AND($A1570&gt;=10000101,$A1570&lt;=99991231),INT($A1570/10000),""),IFERROR(VALUE(TRIM(LEFT($A1570,FIND("/",$A1570)-1))),"")))</f>
        <v/>
      </c>
      <c r="C1570">
        <f>IF(OR($A1570="",$B1570=""),"",IF(ISNUMBER($A1570),INT(MOD($A1570,10000)/100),IFERROR(VALUE(TRIM(LEFT(MID($A1570,FIND("/",$A1570)+1,20),FIND("/",MID($A1570,FIND("/",$A1570)+1,20))-1))),"")))</f>
        <v/>
      </c>
      <c r="D1570">
        <f>IF(OR($A1570="",$B1570=""),"",IF(ISNUMBER($A1570),MOD($A1570,100),IFERROR(VALUE(TRIM(MID(MID($A1570,FIND("/",$A1570)+1,20),FIND("/",MID($A1570,FIND("/",$A1570)+1,20))+1,20))),"")))</f>
        <v/>
      </c>
      <c r="E1570">
        <f>IF($A1570="","",IF(OR($B1570="",$C1570="",$D1570="",$B1570&lt;1300,$B1570&gt;1500,$C1570&lt;1,$C1570&gt;12,$D1570&lt;1,$D1570&gt;31),"نامعتبر",RIGHT("0000"&amp;$B1570,4)&amp;"/"&amp;RIGHT("00"&amp;$C1570,2)&amp;"/"&amp;RIGHT("00"&amp;$D1570,2)))</f>
        <v/>
      </c>
      <c r="F1570">
        <f>IF(OR($E1570="",$E1570="نامعتبر"),"",IF(Sync!$Q1567="","0000",IF(AND(ISNUMBER(Sync!$Q1567),Sync!$Q1567&gt;=0,Sync!$Q1567&lt;1),RIGHT("00"&amp;HOUR(Sync!$Q1567),2)&amp;RIGHT("00"&amp;MINUTE(Sync!$Q1567),2),IFERROR(RIGHT("00"&amp;VALUE(LEFT(Sync!$Q1567,FIND(":",Sync!$Q1567)-1)),2)&amp;RIGHT("00"&amp;VALUE(MID(Sync!$Q1567,FIND(":",Sync!$Q1567)+1,2)),2),"0000"))))</f>
        <v/>
      </c>
      <c r="G1570">
        <f>IF(OR($E1570="",$E1570="نامعتبر"),"",IF(Sync!$S1567="","",Sync!$S1567))</f>
        <v/>
      </c>
      <c r="H1570">
        <f>IF(OR($E1570="",$E1570="نامعتبر"),"",IF(Sync!$R1567="","",Sync!$R1567))</f>
        <v/>
      </c>
      <c r="I1570">
        <f>IF(OR($E1570="",$E1570="نامعتبر"),"",IF(Sync!$T1567="","",Sync!$T1567))</f>
        <v/>
      </c>
      <c r="J1570">
        <f>IF(OR($E1570="",$E1570="نامعتبر"),"",IF(Sync!$U1567="","",Sync!$U1567))</f>
        <v/>
      </c>
      <c r="K1570">
        <f>IF(OR($E1570="",$E1570="نامعتبر"),"",IF(Sync!$V1567="","",IFERROR(INDEX(SubCodes,MATCH(Sync!$V1567,SubTitles,0)),Sync!$V1567)))</f>
        <v/>
      </c>
      <c r="L1570">
        <f>IF(OR($E1570="",$E1570="نامعتبر"),"",IF(Sync!$W1567="",0,Sync!$W1567))</f>
        <v/>
      </c>
      <c r="M1570">
        <f>IF(OR($E1570="",$E1570="نامعتبر"),"",IF(Sync!$X1567="",0,Sync!$X1567))</f>
        <v/>
      </c>
      <c r="N1570">
        <f>IF(OR($E1570="",$E1570="نامعتبر"),"",IF(AND($J1570="هزینه",$K1570&lt;&gt;""),1,0))</f>
        <v/>
      </c>
      <c r="O1570">
        <f>IF($N1570=0,"",LEFT($E1570,4)&amp;MID($E1570,6,2)&amp;RIGHT($E1570,2)&amp;$F1570&amp;"|"&amp;"1"&amp;RIGHT("00000"&amp;1562,5))</f>
        <v/>
      </c>
      <c r="P1570">
        <f>IF($O1570="","",COUNTIFS(ExpSub,$K1570,ExpKey,"&lt;"&amp;$O1570)+1)</f>
        <v/>
      </c>
      <c r="Q1570">
        <f>IF($P1570="","",$K1570&amp;"|"&amp;RIGHT("000000"&amp;$P1570,6))</f>
        <v/>
      </c>
    </row>
    <row r="1571">
      <c r="A1571">
        <f>IF(Sync!$P1568="","",Sync!$P1568)</f>
        <v/>
      </c>
      <c r="B1571">
        <f>IF($A1571="","",IF(ISNUMBER($A1571),IF(AND($A1571&gt;=10000101,$A1571&lt;=99991231),INT($A1571/10000),""),IFERROR(VALUE(TRIM(LEFT($A1571,FIND("/",$A1571)-1))),"")))</f>
        <v/>
      </c>
      <c r="C1571">
        <f>IF(OR($A1571="",$B1571=""),"",IF(ISNUMBER($A1571),INT(MOD($A1571,10000)/100),IFERROR(VALUE(TRIM(LEFT(MID($A1571,FIND("/",$A1571)+1,20),FIND("/",MID($A1571,FIND("/",$A1571)+1,20))-1))),"")))</f>
        <v/>
      </c>
      <c r="D1571">
        <f>IF(OR($A1571="",$B1571=""),"",IF(ISNUMBER($A1571),MOD($A1571,100),IFERROR(VALUE(TRIM(MID(MID($A1571,FIND("/",$A1571)+1,20),FIND("/",MID($A1571,FIND("/",$A1571)+1,20))+1,20))),"")))</f>
        <v/>
      </c>
      <c r="E1571">
        <f>IF($A1571="","",IF(OR($B1571="",$C1571="",$D1571="",$B1571&lt;1300,$B1571&gt;1500,$C1571&lt;1,$C1571&gt;12,$D1571&lt;1,$D1571&gt;31),"نامعتبر",RIGHT("0000"&amp;$B1571,4)&amp;"/"&amp;RIGHT("00"&amp;$C1571,2)&amp;"/"&amp;RIGHT("00"&amp;$D1571,2)))</f>
        <v/>
      </c>
      <c r="F1571">
        <f>IF(OR($E1571="",$E1571="نامعتبر"),"",IF(Sync!$Q1568="","0000",IF(AND(ISNUMBER(Sync!$Q1568),Sync!$Q1568&gt;=0,Sync!$Q1568&lt;1),RIGHT("00"&amp;HOUR(Sync!$Q1568),2)&amp;RIGHT("00"&amp;MINUTE(Sync!$Q1568),2),IFERROR(RIGHT("00"&amp;VALUE(LEFT(Sync!$Q1568,FIND(":",Sync!$Q1568)-1)),2)&amp;RIGHT("00"&amp;VALUE(MID(Sync!$Q1568,FIND(":",Sync!$Q1568)+1,2)),2),"0000"))))</f>
        <v/>
      </c>
      <c r="G1571">
        <f>IF(OR($E1571="",$E1571="نامعتبر"),"",IF(Sync!$S1568="","",Sync!$S1568))</f>
        <v/>
      </c>
      <c r="H1571">
        <f>IF(OR($E1571="",$E1571="نامعتبر"),"",IF(Sync!$R1568="","",Sync!$R1568))</f>
        <v/>
      </c>
      <c r="I1571">
        <f>IF(OR($E1571="",$E1571="نامعتبر"),"",IF(Sync!$T1568="","",Sync!$T1568))</f>
        <v/>
      </c>
      <c r="J1571">
        <f>IF(OR($E1571="",$E1571="نامعتبر"),"",IF(Sync!$U1568="","",Sync!$U1568))</f>
        <v/>
      </c>
      <c r="K1571">
        <f>IF(OR($E1571="",$E1571="نامعتبر"),"",IF(Sync!$V1568="","",IFERROR(INDEX(SubCodes,MATCH(Sync!$V1568,SubTitles,0)),Sync!$V1568)))</f>
        <v/>
      </c>
      <c r="L1571">
        <f>IF(OR($E1571="",$E1571="نامعتبر"),"",IF(Sync!$W1568="",0,Sync!$W1568))</f>
        <v/>
      </c>
      <c r="M1571">
        <f>IF(OR($E1571="",$E1571="نامعتبر"),"",IF(Sync!$X1568="",0,Sync!$X1568))</f>
        <v/>
      </c>
      <c r="N1571">
        <f>IF(OR($E1571="",$E1571="نامعتبر"),"",IF(AND($J1571="هزینه",$K1571&lt;&gt;""),1,0))</f>
        <v/>
      </c>
      <c r="O1571">
        <f>IF($N1571=0,"",LEFT($E1571,4)&amp;MID($E1571,6,2)&amp;RIGHT($E1571,2)&amp;$F1571&amp;"|"&amp;"1"&amp;RIGHT("00000"&amp;1563,5))</f>
        <v/>
      </c>
      <c r="P1571">
        <f>IF($O1571="","",COUNTIFS(ExpSub,$K1571,ExpKey,"&lt;"&amp;$O1571)+1)</f>
        <v/>
      </c>
      <c r="Q1571">
        <f>IF($P1571="","",$K1571&amp;"|"&amp;RIGHT("000000"&amp;$P1571,6))</f>
        <v/>
      </c>
    </row>
    <row r="1572">
      <c r="A1572">
        <f>IF(Sync!$P1569="","",Sync!$P1569)</f>
        <v/>
      </c>
      <c r="B1572">
        <f>IF($A1572="","",IF(ISNUMBER($A1572),IF(AND($A1572&gt;=10000101,$A1572&lt;=99991231),INT($A1572/10000),""),IFERROR(VALUE(TRIM(LEFT($A1572,FIND("/",$A1572)-1))),"")))</f>
        <v/>
      </c>
      <c r="C1572">
        <f>IF(OR($A1572="",$B1572=""),"",IF(ISNUMBER($A1572),INT(MOD($A1572,10000)/100),IFERROR(VALUE(TRIM(LEFT(MID($A1572,FIND("/",$A1572)+1,20),FIND("/",MID($A1572,FIND("/",$A1572)+1,20))-1))),"")))</f>
        <v/>
      </c>
      <c r="D1572">
        <f>IF(OR($A1572="",$B1572=""),"",IF(ISNUMBER($A1572),MOD($A1572,100),IFERROR(VALUE(TRIM(MID(MID($A1572,FIND("/",$A1572)+1,20),FIND("/",MID($A1572,FIND("/",$A1572)+1,20))+1,20))),"")))</f>
        <v/>
      </c>
      <c r="E1572">
        <f>IF($A1572="","",IF(OR($B1572="",$C1572="",$D1572="",$B1572&lt;1300,$B1572&gt;1500,$C1572&lt;1,$C1572&gt;12,$D1572&lt;1,$D1572&gt;31),"نامعتبر",RIGHT("0000"&amp;$B1572,4)&amp;"/"&amp;RIGHT("00"&amp;$C1572,2)&amp;"/"&amp;RIGHT("00"&amp;$D1572,2)))</f>
        <v/>
      </c>
      <c r="F1572">
        <f>IF(OR($E1572="",$E1572="نامعتبر"),"",IF(Sync!$Q1569="","0000",IF(AND(ISNUMBER(Sync!$Q1569),Sync!$Q1569&gt;=0,Sync!$Q1569&lt;1),RIGHT("00"&amp;HOUR(Sync!$Q1569),2)&amp;RIGHT("00"&amp;MINUTE(Sync!$Q1569),2),IFERROR(RIGHT("00"&amp;VALUE(LEFT(Sync!$Q1569,FIND(":",Sync!$Q1569)-1)),2)&amp;RIGHT("00"&amp;VALUE(MID(Sync!$Q1569,FIND(":",Sync!$Q1569)+1,2)),2),"0000"))))</f>
        <v/>
      </c>
      <c r="G1572">
        <f>IF(OR($E1572="",$E1572="نامعتبر"),"",IF(Sync!$S1569="","",Sync!$S1569))</f>
        <v/>
      </c>
      <c r="H1572">
        <f>IF(OR($E1572="",$E1572="نامعتبر"),"",IF(Sync!$R1569="","",Sync!$R1569))</f>
        <v/>
      </c>
      <c r="I1572">
        <f>IF(OR($E1572="",$E1572="نامعتبر"),"",IF(Sync!$T1569="","",Sync!$T1569))</f>
        <v/>
      </c>
      <c r="J1572">
        <f>IF(OR($E1572="",$E1572="نامعتبر"),"",IF(Sync!$U1569="","",Sync!$U1569))</f>
        <v/>
      </c>
      <c r="K1572">
        <f>IF(OR($E1572="",$E1572="نامعتبر"),"",IF(Sync!$V1569="","",IFERROR(INDEX(SubCodes,MATCH(Sync!$V1569,SubTitles,0)),Sync!$V1569)))</f>
        <v/>
      </c>
      <c r="L1572">
        <f>IF(OR($E1572="",$E1572="نامعتبر"),"",IF(Sync!$W1569="",0,Sync!$W1569))</f>
        <v/>
      </c>
      <c r="M1572">
        <f>IF(OR($E1572="",$E1572="نامعتبر"),"",IF(Sync!$X1569="",0,Sync!$X1569))</f>
        <v/>
      </c>
      <c r="N1572">
        <f>IF(OR($E1572="",$E1572="نامعتبر"),"",IF(AND($J1572="هزینه",$K1572&lt;&gt;""),1,0))</f>
        <v/>
      </c>
      <c r="O1572">
        <f>IF($N1572=0,"",LEFT($E1572,4)&amp;MID($E1572,6,2)&amp;RIGHT($E1572,2)&amp;$F1572&amp;"|"&amp;"1"&amp;RIGHT("00000"&amp;1564,5))</f>
        <v/>
      </c>
      <c r="P1572">
        <f>IF($O1572="","",COUNTIFS(ExpSub,$K1572,ExpKey,"&lt;"&amp;$O1572)+1)</f>
        <v/>
      </c>
      <c r="Q1572">
        <f>IF($P1572="","",$K1572&amp;"|"&amp;RIGHT("000000"&amp;$P1572,6))</f>
        <v/>
      </c>
    </row>
    <row r="1573">
      <c r="A1573">
        <f>IF(Sync!$P1570="","",Sync!$P1570)</f>
        <v/>
      </c>
      <c r="B1573">
        <f>IF($A1573="","",IF(ISNUMBER($A1573),IF(AND($A1573&gt;=10000101,$A1573&lt;=99991231),INT($A1573/10000),""),IFERROR(VALUE(TRIM(LEFT($A1573,FIND("/",$A1573)-1))),"")))</f>
        <v/>
      </c>
      <c r="C1573">
        <f>IF(OR($A1573="",$B1573=""),"",IF(ISNUMBER($A1573),INT(MOD($A1573,10000)/100),IFERROR(VALUE(TRIM(LEFT(MID($A1573,FIND("/",$A1573)+1,20),FIND("/",MID($A1573,FIND("/",$A1573)+1,20))-1))),"")))</f>
        <v/>
      </c>
      <c r="D1573">
        <f>IF(OR($A1573="",$B1573=""),"",IF(ISNUMBER($A1573),MOD($A1573,100),IFERROR(VALUE(TRIM(MID(MID($A1573,FIND("/",$A1573)+1,20),FIND("/",MID($A1573,FIND("/",$A1573)+1,20))+1,20))),"")))</f>
        <v/>
      </c>
      <c r="E1573">
        <f>IF($A1573="","",IF(OR($B1573="",$C1573="",$D1573="",$B1573&lt;1300,$B1573&gt;1500,$C1573&lt;1,$C1573&gt;12,$D1573&lt;1,$D1573&gt;31),"نامعتبر",RIGHT("0000"&amp;$B1573,4)&amp;"/"&amp;RIGHT("00"&amp;$C1573,2)&amp;"/"&amp;RIGHT("00"&amp;$D1573,2)))</f>
        <v/>
      </c>
      <c r="F1573">
        <f>IF(OR($E1573="",$E1573="نامعتبر"),"",IF(Sync!$Q1570="","0000",IF(AND(ISNUMBER(Sync!$Q1570),Sync!$Q1570&gt;=0,Sync!$Q1570&lt;1),RIGHT("00"&amp;HOUR(Sync!$Q1570),2)&amp;RIGHT("00"&amp;MINUTE(Sync!$Q1570),2),IFERROR(RIGHT("00"&amp;VALUE(LEFT(Sync!$Q1570,FIND(":",Sync!$Q1570)-1)),2)&amp;RIGHT("00"&amp;VALUE(MID(Sync!$Q1570,FIND(":",Sync!$Q1570)+1,2)),2),"0000"))))</f>
        <v/>
      </c>
      <c r="G1573">
        <f>IF(OR($E1573="",$E1573="نامعتبر"),"",IF(Sync!$S1570="","",Sync!$S1570))</f>
        <v/>
      </c>
      <c r="H1573">
        <f>IF(OR($E1573="",$E1573="نامعتبر"),"",IF(Sync!$R1570="","",Sync!$R1570))</f>
        <v/>
      </c>
      <c r="I1573">
        <f>IF(OR($E1573="",$E1573="نامعتبر"),"",IF(Sync!$T1570="","",Sync!$T1570))</f>
        <v/>
      </c>
      <c r="J1573">
        <f>IF(OR($E1573="",$E1573="نامعتبر"),"",IF(Sync!$U1570="","",Sync!$U1570))</f>
        <v/>
      </c>
      <c r="K1573">
        <f>IF(OR($E1573="",$E1573="نامعتبر"),"",IF(Sync!$V1570="","",IFERROR(INDEX(SubCodes,MATCH(Sync!$V1570,SubTitles,0)),Sync!$V1570)))</f>
        <v/>
      </c>
      <c r="L1573">
        <f>IF(OR($E1573="",$E1573="نامعتبر"),"",IF(Sync!$W1570="",0,Sync!$W1570))</f>
        <v/>
      </c>
      <c r="M1573">
        <f>IF(OR($E1573="",$E1573="نامعتبر"),"",IF(Sync!$X1570="",0,Sync!$X1570))</f>
        <v/>
      </c>
      <c r="N1573">
        <f>IF(OR($E1573="",$E1573="نامعتبر"),"",IF(AND($J1573="هزینه",$K1573&lt;&gt;""),1,0))</f>
        <v/>
      </c>
      <c r="O1573">
        <f>IF($N1573=0,"",LEFT($E1573,4)&amp;MID($E1573,6,2)&amp;RIGHT($E1573,2)&amp;$F1573&amp;"|"&amp;"1"&amp;RIGHT("00000"&amp;1565,5))</f>
        <v/>
      </c>
      <c r="P1573">
        <f>IF($O1573="","",COUNTIFS(ExpSub,$K1573,ExpKey,"&lt;"&amp;$O1573)+1)</f>
        <v/>
      </c>
      <c r="Q1573">
        <f>IF($P1573="","",$K1573&amp;"|"&amp;RIGHT("000000"&amp;$P1573,6))</f>
        <v/>
      </c>
    </row>
    <row r="1574">
      <c r="A1574">
        <f>IF(Sync!$P1571="","",Sync!$P1571)</f>
        <v/>
      </c>
      <c r="B1574">
        <f>IF($A1574="","",IF(ISNUMBER($A1574),IF(AND($A1574&gt;=10000101,$A1574&lt;=99991231),INT($A1574/10000),""),IFERROR(VALUE(TRIM(LEFT($A1574,FIND("/",$A1574)-1))),"")))</f>
        <v/>
      </c>
      <c r="C1574">
        <f>IF(OR($A1574="",$B1574=""),"",IF(ISNUMBER($A1574),INT(MOD($A1574,10000)/100),IFERROR(VALUE(TRIM(LEFT(MID($A1574,FIND("/",$A1574)+1,20),FIND("/",MID($A1574,FIND("/",$A1574)+1,20))-1))),"")))</f>
        <v/>
      </c>
      <c r="D1574">
        <f>IF(OR($A1574="",$B1574=""),"",IF(ISNUMBER($A1574),MOD($A1574,100),IFERROR(VALUE(TRIM(MID(MID($A1574,FIND("/",$A1574)+1,20),FIND("/",MID($A1574,FIND("/",$A1574)+1,20))+1,20))),"")))</f>
        <v/>
      </c>
      <c r="E1574">
        <f>IF($A1574="","",IF(OR($B1574="",$C1574="",$D1574="",$B1574&lt;1300,$B1574&gt;1500,$C1574&lt;1,$C1574&gt;12,$D1574&lt;1,$D1574&gt;31),"نامعتبر",RIGHT("0000"&amp;$B1574,4)&amp;"/"&amp;RIGHT("00"&amp;$C1574,2)&amp;"/"&amp;RIGHT("00"&amp;$D1574,2)))</f>
        <v/>
      </c>
      <c r="F1574">
        <f>IF(OR($E1574="",$E1574="نامعتبر"),"",IF(Sync!$Q1571="","0000",IF(AND(ISNUMBER(Sync!$Q1571),Sync!$Q1571&gt;=0,Sync!$Q1571&lt;1),RIGHT("00"&amp;HOUR(Sync!$Q1571),2)&amp;RIGHT("00"&amp;MINUTE(Sync!$Q1571),2),IFERROR(RIGHT("00"&amp;VALUE(LEFT(Sync!$Q1571,FIND(":",Sync!$Q1571)-1)),2)&amp;RIGHT("00"&amp;VALUE(MID(Sync!$Q1571,FIND(":",Sync!$Q1571)+1,2)),2),"0000"))))</f>
        <v/>
      </c>
      <c r="G1574">
        <f>IF(OR($E1574="",$E1574="نامعتبر"),"",IF(Sync!$S1571="","",Sync!$S1571))</f>
        <v/>
      </c>
      <c r="H1574">
        <f>IF(OR($E1574="",$E1574="نامعتبر"),"",IF(Sync!$R1571="","",Sync!$R1571))</f>
        <v/>
      </c>
      <c r="I1574">
        <f>IF(OR($E1574="",$E1574="نامعتبر"),"",IF(Sync!$T1571="","",Sync!$T1571))</f>
        <v/>
      </c>
      <c r="J1574">
        <f>IF(OR($E1574="",$E1574="نامعتبر"),"",IF(Sync!$U1571="","",Sync!$U1571))</f>
        <v/>
      </c>
      <c r="K1574">
        <f>IF(OR($E1574="",$E1574="نامعتبر"),"",IF(Sync!$V1571="","",IFERROR(INDEX(SubCodes,MATCH(Sync!$V1571,SubTitles,0)),Sync!$V1571)))</f>
        <v/>
      </c>
      <c r="L1574">
        <f>IF(OR($E1574="",$E1574="نامعتبر"),"",IF(Sync!$W1571="",0,Sync!$W1571))</f>
        <v/>
      </c>
      <c r="M1574">
        <f>IF(OR($E1574="",$E1574="نامعتبر"),"",IF(Sync!$X1571="",0,Sync!$X1571))</f>
        <v/>
      </c>
      <c r="N1574">
        <f>IF(OR($E1574="",$E1574="نامعتبر"),"",IF(AND($J1574="هزینه",$K1574&lt;&gt;""),1,0))</f>
        <v/>
      </c>
      <c r="O1574">
        <f>IF($N1574=0,"",LEFT($E1574,4)&amp;MID($E1574,6,2)&amp;RIGHT($E1574,2)&amp;$F1574&amp;"|"&amp;"1"&amp;RIGHT("00000"&amp;1566,5))</f>
        <v/>
      </c>
      <c r="P1574">
        <f>IF($O1574="","",COUNTIFS(ExpSub,$K1574,ExpKey,"&lt;"&amp;$O1574)+1)</f>
        <v/>
      </c>
      <c r="Q1574">
        <f>IF($P1574="","",$K1574&amp;"|"&amp;RIGHT("000000"&amp;$P1574,6))</f>
        <v/>
      </c>
    </row>
    <row r="1575">
      <c r="A1575">
        <f>IF(Sync!$P1572="","",Sync!$P1572)</f>
        <v/>
      </c>
      <c r="B1575">
        <f>IF($A1575="","",IF(ISNUMBER($A1575),IF(AND($A1575&gt;=10000101,$A1575&lt;=99991231),INT($A1575/10000),""),IFERROR(VALUE(TRIM(LEFT($A1575,FIND("/",$A1575)-1))),"")))</f>
        <v/>
      </c>
      <c r="C1575">
        <f>IF(OR($A1575="",$B1575=""),"",IF(ISNUMBER($A1575),INT(MOD($A1575,10000)/100),IFERROR(VALUE(TRIM(LEFT(MID($A1575,FIND("/",$A1575)+1,20),FIND("/",MID($A1575,FIND("/",$A1575)+1,20))-1))),"")))</f>
        <v/>
      </c>
      <c r="D1575">
        <f>IF(OR($A1575="",$B1575=""),"",IF(ISNUMBER($A1575),MOD($A1575,100),IFERROR(VALUE(TRIM(MID(MID($A1575,FIND("/",$A1575)+1,20),FIND("/",MID($A1575,FIND("/",$A1575)+1,20))+1,20))),"")))</f>
        <v/>
      </c>
      <c r="E1575">
        <f>IF($A1575="","",IF(OR($B1575="",$C1575="",$D1575="",$B1575&lt;1300,$B1575&gt;1500,$C1575&lt;1,$C1575&gt;12,$D1575&lt;1,$D1575&gt;31),"نامعتبر",RIGHT("0000"&amp;$B1575,4)&amp;"/"&amp;RIGHT("00"&amp;$C1575,2)&amp;"/"&amp;RIGHT("00"&amp;$D1575,2)))</f>
        <v/>
      </c>
      <c r="F1575">
        <f>IF(OR($E1575="",$E1575="نامعتبر"),"",IF(Sync!$Q1572="","0000",IF(AND(ISNUMBER(Sync!$Q1572),Sync!$Q1572&gt;=0,Sync!$Q1572&lt;1),RIGHT("00"&amp;HOUR(Sync!$Q1572),2)&amp;RIGHT("00"&amp;MINUTE(Sync!$Q1572),2),IFERROR(RIGHT("00"&amp;VALUE(LEFT(Sync!$Q1572,FIND(":",Sync!$Q1572)-1)),2)&amp;RIGHT("00"&amp;VALUE(MID(Sync!$Q1572,FIND(":",Sync!$Q1572)+1,2)),2),"0000"))))</f>
        <v/>
      </c>
      <c r="G1575">
        <f>IF(OR($E1575="",$E1575="نامعتبر"),"",IF(Sync!$S1572="","",Sync!$S1572))</f>
        <v/>
      </c>
      <c r="H1575">
        <f>IF(OR($E1575="",$E1575="نامعتبر"),"",IF(Sync!$R1572="","",Sync!$R1572))</f>
        <v/>
      </c>
      <c r="I1575">
        <f>IF(OR($E1575="",$E1575="نامعتبر"),"",IF(Sync!$T1572="","",Sync!$T1572))</f>
        <v/>
      </c>
      <c r="J1575">
        <f>IF(OR($E1575="",$E1575="نامعتبر"),"",IF(Sync!$U1572="","",Sync!$U1572))</f>
        <v/>
      </c>
      <c r="K1575">
        <f>IF(OR($E1575="",$E1575="نامعتبر"),"",IF(Sync!$V1572="","",IFERROR(INDEX(SubCodes,MATCH(Sync!$V1572,SubTitles,0)),Sync!$V1572)))</f>
        <v/>
      </c>
      <c r="L1575">
        <f>IF(OR($E1575="",$E1575="نامعتبر"),"",IF(Sync!$W1572="",0,Sync!$W1572))</f>
        <v/>
      </c>
      <c r="M1575">
        <f>IF(OR($E1575="",$E1575="نامعتبر"),"",IF(Sync!$X1572="",0,Sync!$X1572))</f>
        <v/>
      </c>
      <c r="N1575">
        <f>IF(OR($E1575="",$E1575="نامعتبر"),"",IF(AND($J1575="هزینه",$K1575&lt;&gt;""),1,0))</f>
        <v/>
      </c>
      <c r="O1575">
        <f>IF($N1575=0,"",LEFT($E1575,4)&amp;MID($E1575,6,2)&amp;RIGHT($E1575,2)&amp;$F1575&amp;"|"&amp;"1"&amp;RIGHT("00000"&amp;1567,5))</f>
        <v/>
      </c>
      <c r="P1575">
        <f>IF($O1575="","",COUNTIFS(ExpSub,$K1575,ExpKey,"&lt;"&amp;$O1575)+1)</f>
        <v/>
      </c>
      <c r="Q1575">
        <f>IF($P1575="","",$K1575&amp;"|"&amp;RIGHT("000000"&amp;$P1575,6))</f>
        <v/>
      </c>
    </row>
    <row r="1576">
      <c r="A1576">
        <f>IF(Sync!$P1573="","",Sync!$P1573)</f>
        <v/>
      </c>
      <c r="B1576">
        <f>IF($A1576="","",IF(ISNUMBER($A1576),IF(AND($A1576&gt;=10000101,$A1576&lt;=99991231),INT($A1576/10000),""),IFERROR(VALUE(TRIM(LEFT($A1576,FIND("/",$A1576)-1))),"")))</f>
        <v/>
      </c>
      <c r="C1576">
        <f>IF(OR($A1576="",$B1576=""),"",IF(ISNUMBER($A1576),INT(MOD($A1576,10000)/100),IFERROR(VALUE(TRIM(LEFT(MID($A1576,FIND("/",$A1576)+1,20),FIND("/",MID($A1576,FIND("/",$A1576)+1,20))-1))),"")))</f>
        <v/>
      </c>
      <c r="D1576">
        <f>IF(OR($A1576="",$B1576=""),"",IF(ISNUMBER($A1576),MOD($A1576,100),IFERROR(VALUE(TRIM(MID(MID($A1576,FIND("/",$A1576)+1,20),FIND("/",MID($A1576,FIND("/",$A1576)+1,20))+1,20))),"")))</f>
        <v/>
      </c>
      <c r="E1576">
        <f>IF($A1576="","",IF(OR($B1576="",$C1576="",$D1576="",$B1576&lt;1300,$B1576&gt;1500,$C1576&lt;1,$C1576&gt;12,$D1576&lt;1,$D1576&gt;31),"نامعتبر",RIGHT("0000"&amp;$B1576,4)&amp;"/"&amp;RIGHT("00"&amp;$C1576,2)&amp;"/"&amp;RIGHT("00"&amp;$D1576,2)))</f>
        <v/>
      </c>
      <c r="F1576">
        <f>IF(OR($E1576="",$E1576="نامعتبر"),"",IF(Sync!$Q1573="","0000",IF(AND(ISNUMBER(Sync!$Q1573),Sync!$Q1573&gt;=0,Sync!$Q1573&lt;1),RIGHT("00"&amp;HOUR(Sync!$Q1573),2)&amp;RIGHT("00"&amp;MINUTE(Sync!$Q1573),2),IFERROR(RIGHT("00"&amp;VALUE(LEFT(Sync!$Q1573,FIND(":",Sync!$Q1573)-1)),2)&amp;RIGHT("00"&amp;VALUE(MID(Sync!$Q1573,FIND(":",Sync!$Q1573)+1,2)),2),"0000"))))</f>
        <v/>
      </c>
      <c r="G1576">
        <f>IF(OR($E1576="",$E1576="نامعتبر"),"",IF(Sync!$S1573="","",Sync!$S1573))</f>
        <v/>
      </c>
      <c r="H1576">
        <f>IF(OR($E1576="",$E1576="نامعتبر"),"",IF(Sync!$R1573="","",Sync!$R1573))</f>
        <v/>
      </c>
      <c r="I1576">
        <f>IF(OR($E1576="",$E1576="نامعتبر"),"",IF(Sync!$T1573="","",Sync!$T1573))</f>
        <v/>
      </c>
      <c r="J1576">
        <f>IF(OR($E1576="",$E1576="نامعتبر"),"",IF(Sync!$U1573="","",Sync!$U1573))</f>
        <v/>
      </c>
      <c r="K1576">
        <f>IF(OR($E1576="",$E1576="نامعتبر"),"",IF(Sync!$V1573="","",IFERROR(INDEX(SubCodes,MATCH(Sync!$V1573,SubTitles,0)),Sync!$V1573)))</f>
        <v/>
      </c>
      <c r="L1576">
        <f>IF(OR($E1576="",$E1576="نامعتبر"),"",IF(Sync!$W1573="",0,Sync!$W1573))</f>
        <v/>
      </c>
      <c r="M1576">
        <f>IF(OR($E1576="",$E1576="نامعتبر"),"",IF(Sync!$X1573="",0,Sync!$X1573))</f>
        <v/>
      </c>
      <c r="N1576">
        <f>IF(OR($E1576="",$E1576="نامعتبر"),"",IF(AND($J1576="هزینه",$K1576&lt;&gt;""),1,0))</f>
        <v/>
      </c>
      <c r="O1576">
        <f>IF($N1576=0,"",LEFT($E1576,4)&amp;MID($E1576,6,2)&amp;RIGHT($E1576,2)&amp;$F1576&amp;"|"&amp;"1"&amp;RIGHT("00000"&amp;1568,5))</f>
        <v/>
      </c>
      <c r="P1576">
        <f>IF($O1576="","",COUNTIFS(ExpSub,$K1576,ExpKey,"&lt;"&amp;$O1576)+1)</f>
        <v/>
      </c>
      <c r="Q1576">
        <f>IF($P1576="","",$K1576&amp;"|"&amp;RIGHT("000000"&amp;$P1576,6))</f>
        <v/>
      </c>
    </row>
    <row r="1577">
      <c r="A1577">
        <f>IF(Sync!$P1574="","",Sync!$P1574)</f>
        <v/>
      </c>
      <c r="B1577">
        <f>IF($A1577="","",IF(ISNUMBER($A1577),IF(AND($A1577&gt;=10000101,$A1577&lt;=99991231),INT($A1577/10000),""),IFERROR(VALUE(TRIM(LEFT($A1577,FIND("/",$A1577)-1))),"")))</f>
        <v/>
      </c>
      <c r="C1577">
        <f>IF(OR($A1577="",$B1577=""),"",IF(ISNUMBER($A1577),INT(MOD($A1577,10000)/100),IFERROR(VALUE(TRIM(LEFT(MID($A1577,FIND("/",$A1577)+1,20),FIND("/",MID($A1577,FIND("/",$A1577)+1,20))-1))),"")))</f>
        <v/>
      </c>
      <c r="D1577">
        <f>IF(OR($A1577="",$B1577=""),"",IF(ISNUMBER($A1577),MOD($A1577,100),IFERROR(VALUE(TRIM(MID(MID($A1577,FIND("/",$A1577)+1,20),FIND("/",MID($A1577,FIND("/",$A1577)+1,20))+1,20))),"")))</f>
        <v/>
      </c>
      <c r="E1577">
        <f>IF($A1577="","",IF(OR($B1577="",$C1577="",$D1577="",$B1577&lt;1300,$B1577&gt;1500,$C1577&lt;1,$C1577&gt;12,$D1577&lt;1,$D1577&gt;31),"نامعتبر",RIGHT("0000"&amp;$B1577,4)&amp;"/"&amp;RIGHT("00"&amp;$C1577,2)&amp;"/"&amp;RIGHT("00"&amp;$D1577,2)))</f>
        <v/>
      </c>
      <c r="F1577">
        <f>IF(OR($E1577="",$E1577="نامعتبر"),"",IF(Sync!$Q1574="","0000",IF(AND(ISNUMBER(Sync!$Q1574),Sync!$Q1574&gt;=0,Sync!$Q1574&lt;1),RIGHT("00"&amp;HOUR(Sync!$Q1574),2)&amp;RIGHT("00"&amp;MINUTE(Sync!$Q1574),2),IFERROR(RIGHT("00"&amp;VALUE(LEFT(Sync!$Q1574,FIND(":",Sync!$Q1574)-1)),2)&amp;RIGHT("00"&amp;VALUE(MID(Sync!$Q1574,FIND(":",Sync!$Q1574)+1,2)),2),"0000"))))</f>
        <v/>
      </c>
      <c r="G1577">
        <f>IF(OR($E1577="",$E1577="نامعتبر"),"",IF(Sync!$S1574="","",Sync!$S1574))</f>
        <v/>
      </c>
      <c r="H1577">
        <f>IF(OR($E1577="",$E1577="نامعتبر"),"",IF(Sync!$R1574="","",Sync!$R1574))</f>
        <v/>
      </c>
      <c r="I1577">
        <f>IF(OR($E1577="",$E1577="نامعتبر"),"",IF(Sync!$T1574="","",Sync!$T1574))</f>
        <v/>
      </c>
      <c r="J1577">
        <f>IF(OR($E1577="",$E1577="نامعتبر"),"",IF(Sync!$U1574="","",Sync!$U1574))</f>
        <v/>
      </c>
      <c r="K1577">
        <f>IF(OR($E1577="",$E1577="نامعتبر"),"",IF(Sync!$V1574="","",IFERROR(INDEX(SubCodes,MATCH(Sync!$V1574,SubTitles,0)),Sync!$V1574)))</f>
        <v/>
      </c>
      <c r="L1577">
        <f>IF(OR($E1577="",$E1577="نامعتبر"),"",IF(Sync!$W1574="",0,Sync!$W1574))</f>
        <v/>
      </c>
      <c r="M1577">
        <f>IF(OR($E1577="",$E1577="نامعتبر"),"",IF(Sync!$X1574="",0,Sync!$X1574))</f>
        <v/>
      </c>
      <c r="N1577">
        <f>IF(OR($E1577="",$E1577="نامعتبر"),"",IF(AND($J1577="هزینه",$K1577&lt;&gt;""),1,0))</f>
        <v/>
      </c>
      <c r="O1577">
        <f>IF($N1577=0,"",LEFT($E1577,4)&amp;MID($E1577,6,2)&amp;RIGHT($E1577,2)&amp;$F1577&amp;"|"&amp;"1"&amp;RIGHT("00000"&amp;1569,5))</f>
        <v/>
      </c>
      <c r="P1577">
        <f>IF($O1577="","",COUNTIFS(ExpSub,$K1577,ExpKey,"&lt;"&amp;$O1577)+1)</f>
        <v/>
      </c>
      <c r="Q1577">
        <f>IF($P1577="","",$K1577&amp;"|"&amp;RIGHT("000000"&amp;$P1577,6))</f>
        <v/>
      </c>
    </row>
    <row r="1578">
      <c r="A1578">
        <f>IF(Sync!$P1575="","",Sync!$P1575)</f>
        <v/>
      </c>
      <c r="B1578">
        <f>IF($A1578="","",IF(ISNUMBER($A1578),IF(AND($A1578&gt;=10000101,$A1578&lt;=99991231),INT($A1578/10000),""),IFERROR(VALUE(TRIM(LEFT($A1578,FIND("/",$A1578)-1))),"")))</f>
        <v/>
      </c>
      <c r="C1578">
        <f>IF(OR($A1578="",$B1578=""),"",IF(ISNUMBER($A1578),INT(MOD($A1578,10000)/100),IFERROR(VALUE(TRIM(LEFT(MID($A1578,FIND("/",$A1578)+1,20),FIND("/",MID($A1578,FIND("/",$A1578)+1,20))-1))),"")))</f>
        <v/>
      </c>
      <c r="D1578">
        <f>IF(OR($A1578="",$B1578=""),"",IF(ISNUMBER($A1578),MOD($A1578,100),IFERROR(VALUE(TRIM(MID(MID($A1578,FIND("/",$A1578)+1,20),FIND("/",MID($A1578,FIND("/",$A1578)+1,20))+1,20))),"")))</f>
        <v/>
      </c>
      <c r="E1578">
        <f>IF($A1578="","",IF(OR($B1578="",$C1578="",$D1578="",$B1578&lt;1300,$B1578&gt;1500,$C1578&lt;1,$C1578&gt;12,$D1578&lt;1,$D1578&gt;31),"نامعتبر",RIGHT("0000"&amp;$B1578,4)&amp;"/"&amp;RIGHT("00"&amp;$C1578,2)&amp;"/"&amp;RIGHT("00"&amp;$D1578,2)))</f>
        <v/>
      </c>
      <c r="F1578">
        <f>IF(OR($E1578="",$E1578="نامعتبر"),"",IF(Sync!$Q1575="","0000",IF(AND(ISNUMBER(Sync!$Q1575),Sync!$Q1575&gt;=0,Sync!$Q1575&lt;1),RIGHT("00"&amp;HOUR(Sync!$Q1575),2)&amp;RIGHT("00"&amp;MINUTE(Sync!$Q1575),2),IFERROR(RIGHT("00"&amp;VALUE(LEFT(Sync!$Q1575,FIND(":",Sync!$Q1575)-1)),2)&amp;RIGHT("00"&amp;VALUE(MID(Sync!$Q1575,FIND(":",Sync!$Q1575)+1,2)),2),"0000"))))</f>
        <v/>
      </c>
      <c r="G1578">
        <f>IF(OR($E1578="",$E1578="نامعتبر"),"",IF(Sync!$S1575="","",Sync!$S1575))</f>
        <v/>
      </c>
      <c r="H1578">
        <f>IF(OR($E1578="",$E1578="نامعتبر"),"",IF(Sync!$R1575="","",Sync!$R1575))</f>
        <v/>
      </c>
      <c r="I1578">
        <f>IF(OR($E1578="",$E1578="نامعتبر"),"",IF(Sync!$T1575="","",Sync!$T1575))</f>
        <v/>
      </c>
      <c r="J1578">
        <f>IF(OR($E1578="",$E1578="نامعتبر"),"",IF(Sync!$U1575="","",Sync!$U1575))</f>
        <v/>
      </c>
      <c r="K1578">
        <f>IF(OR($E1578="",$E1578="نامعتبر"),"",IF(Sync!$V1575="","",IFERROR(INDEX(SubCodes,MATCH(Sync!$V1575,SubTitles,0)),Sync!$V1575)))</f>
        <v/>
      </c>
      <c r="L1578">
        <f>IF(OR($E1578="",$E1578="نامعتبر"),"",IF(Sync!$W1575="",0,Sync!$W1575))</f>
        <v/>
      </c>
      <c r="M1578">
        <f>IF(OR($E1578="",$E1578="نامعتبر"),"",IF(Sync!$X1575="",0,Sync!$X1575))</f>
        <v/>
      </c>
      <c r="N1578">
        <f>IF(OR($E1578="",$E1578="نامعتبر"),"",IF(AND($J1578="هزینه",$K1578&lt;&gt;""),1,0))</f>
        <v/>
      </c>
      <c r="O1578">
        <f>IF($N1578=0,"",LEFT($E1578,4)&amp;MID($E1578,6,2)&amp;RIGHT($E1578,2)&amp;$F1578&amp;"|"&amp;"1"&amp;RIGHT("00000"&amp;1570,5))</f>
        <v/>
      </c>
      <c r="P1578">
        <f>IF($O1578="","",COUNTIFS(ExpSub,$K1578,ExpKey,"&lt;"&amp;$O1578)+1)</f>
        <v/>
      </c>
      <c r="Q1578">
        <f>IF($P1578="","",$K1578&amp;"|"&amp;RIGHT("000000"&amp;$P1578,6))</f>
        <v/>
      </c>
    </row>
    <row r="1579">
      <c r="A1579">
        <f>IF(Sync!$P1576="","",Sync!$P1576)</f>
        <v/>
      </c>
      <c r="B1579">
        <f>IF($A1579="","",IF(ISNUMBER($A1579),IF(AND($A1579&gt;=10000101,$A1579&lt;=99991231),INT($A1579/10000),""),IFERROR(VALUE(TRIM(LEFT($A1579,FIND("/",$A1579)-1))),"")))</f>
        <v/>
      </c>
      <c r="C1579">
        <f>IF(OR($A1579="",$B1579=""),"",IF(ISNUMBER($A1579),INT(MOD($A1579,10000)/100),IFERROR(VALUE(TRIM(LEFT(MID($A1579,FIND("/",$A1579)+1,20),FIND("/",MID($A1579,FIND("/",$A1579)+1,20))-1))),"")))</f>
        <v/>
      </c>
      <c r="D1579">
        <f>IF(OR($A1579="",$B1579=""),"",IF(ISNUMBER($A1579),MOD($A1579,100),IFERROR(VALUE(TRIM(MID(MID($A1579,FIND("/",$A1579)+1,20),FIND("/",MID($A1579,FIND("/",$A1579)+1,20))+1,20))),"")))</f>
        <v/>
      </c>
      <c r="E1579">
        <f>IF($A1579="","",IF(OR($B1579="",$C1579="",$D1579="",$B1579&lt;1300,$B1579&gt;1500,$C1579&lt;1,$C1579&gt;12,$D1579&lt;1,$D1579&gt;31),"نامعتبر",RIGHT("0000"&amp;$B1579,4)&amp;"/"&amp;RIGHT("00"&amp;$C1579,2)&amp;"/"&amp;RIGHT("00"&amp;$D1579,2)))</f>
        <v/>
      </c>
      <c r="F1579">
        <f>IF(OR($E1579="",$E1579="نامعتبر"),"",IF(Sync!$Q1576="","0000",IF(AND(ISNUMBER(Sync!$Q1576),Sync!$Q1576&gt;=0,Sync!$Q1576&lt;1),RIGHT("00"&amp;HOUR(Sync!$Q1576),2)&amp;RIGHT("00"&amp;MINUTE(Sync!$Q1576),2),IFERROR(RIGHT("00"&amp;VALUE(LEFT(Sync!$Q1576,FIND(":",Sync!$Q1576)-1)),2)&amp;RIGHT("00"&amp;VALUE(MID(Sync!$Q1576,FIND(":",Sync!$Q1576)+1,2)),2),"0000"))))</f>
        <v/>
      </c>
      <c r="G1579">
        <f>IF(OR($E1579="",$E1579="نامعتبر"),"",IF(Sync!$S1576="","",Sync!$S1576))</f>
        <v/>
      </c>
      <c r="H1579">
        <f>IF(OR($E1579="",$E1579="نامعتبر"),"",IF(Sync!$R1576="","",Sync!$R1576))</f>
        <v/>
      </c>
      <c r="I1579">
        <f>IF(OR($E1579="",$E1579="نامعتبر"),"",IF(Sync!$T1576="","",Sync!$T1576))</f>
        <v/>
      </c>
      <c r="J1579">
        <f>IF(OR($E1579="",$E1579="نامعتبر"),"",IF(Sync!$U1576="","",Sync!$U1576))</f>
        <v/>
      </c>
      <c r="K1579">
        <f>IF(OR($E1579="",$E1579="نامعتبر"),"",IF(Sync!$V1576="","",IFERROR(INDEX(SubCodes,MATCH(Sync!$V1576,SubTitles,0)),Sync!$V1576)))</f>
        <v/>
      </c>
      <c r="L1579">
        <f>IF(OR($E1579="",$E1579="نامعتبر"),"",IF(Sync!$W1576="",0,Sync!$W1576))</f>
        <v/>
      </c>
      <c r="M1579">
        <f>IF(OR($E1579="",$E1579="نامعتبر"),"",IF(Sync!$X1576="",0,Sync!$X1576))</f>
        <v/>
      </c>
      <c r="N1579">
        <f>IF(OR($E1579="",$E1579="نامعتبر"),"",IF(AND($J1579="هزینه",$K1579&lt;&gt;""),1,0))</f>
        <v/>
      </c>
      <c r="O1579">
        <f>IF($N1579=0,"",LEFT($E1579,4)&amp;MID($E1579,6,2)&amp;RIGHT($E1579,2)&amp;$F1579&amp;"|"&amp;"1"&amp;RIGHT("00000"&amp;1571,5))</f>
        <v/>
      </c>
      <c r="P1579">
        <f>IF($O1579="","",COUNTIFS(ExpSub,$K1579,ExpKey,"&lt;"&amp;$O1579)+1)</f>
        <v/>
      </c>
      <c r="Q1579">
        <f>IF($P1579="","",$K1579&amp;"|"&amp;RIGHT("000000"&amp;$P1579,6))</f>
        <v/>
      </c>
    </row>
    <row r="1580">
      <c r="A1580">
        <f>IF(Sync!$P1577="","",Sync!$P1577)</f>
        <v/>
      </c>
      <c r="B1580">
        <f>IF($A1580="","",IF(ISNUMBER($A1580),IF(AND($A1580&gt;=10000101,$A1580&lt;=99991231),INT($A1580/10000),""),IFERROR(VALUE(TRIM(LEFT($A1580,FIND("/",$A1580)-1))),"")))</f>
        <v/>
      </c>
      <c r="C1580">
        <f>IF(OR($A1580="",$B1580=""),"",IF(ISNUMBER($A1580),INT(MOD($A1580,10000)/100),IFERROR(VALUE(TRIM(LEFT(MID($A1580,FIND("/",$A1580)+1,20),FIND("/",MID($A1580,FIND("/",$A1580)+1,20))-1))),"")))</f>
        <v/>
      </c>
      <c r="D1580">
        <f>IF(OR($A1580="",$B1580=""),"",IF(ISNUMBER($A1580),MOD($A1580,100),IFERROR(VALUE(TRIM(MID(MID($A1580,FIND("/",$A1580)+1,20),FIND("/",MID($A1580,FIND("/",$A1580)+1,20))+1,20))),"")))</f>
        <v/>
      </c>
      <c r="E1580">
        <f>IF($A1580="","",IF(OR($B1580="",$C1580="",$D1580="",$B1580&lt;1300,$B1580&gt;1500,$C1580&lt;1,$C1580&gt;12,$D1580&lt;1,$D1580&gt;31),"نامعتبر",RIGHT("0000"&amp;$B1580,4)&amp;"/"&amp;RIGHT("00"&amp;$C1580,2)&amp;"/"&amp;RIGHT("00"&amp;$D1580,2)))</f>
        <v/>
      </c>
      <c r="F1580">
        <f>IF(OR($E1580="",$E1580="نامعتبر"),"",IF(Sync!$Q1577="","0000",IF(AND(ISNUMBER(Sync!$Q1577),Sync!$Q1577&gt;=0,Sync!$Q1577&lt;1),RIGHT("00"&amp;HOUR(Sync!$Q1577),2)&amp;RIGHT("00"&amp;MINUTE(Sync!$Q1577),2),IFERROR(RIGHT("00"&amp;VALUE(LEFT(Sync!$Q1577,FIND(":",Sync!$Q1577)-1)),2)&amp;RIGHT("00"&amp;VALUE(MID(Sync!$Q1577,FIND(":",Sync!$Q1577)+1,2)),2),"0000"))))</f>
        <v/>
      </c>
      <c r="G1580">
        <f>IF(OR($E1580="",$E1580="نامعتبر"),"",IF(Sync!$S1577="","",Sync!$S1577))</f>
        <v/>
      </c>
      <c r="H1580">
        <f>IF(OR($E1580="",$E1580="نامعتبر"),"",IF(Sync!$R1577="","",Sync!$R1577))</f>
        <v/>
      </c>
      <c r="I1580">
        <f>IF(OR($E1580="",$E1580="نامعتبر"),"",IF(Sync!$T1577="","",Sync!$T1577))</f>
        <v/>
      </c>
      <c r="J1580">
        <f>IF(OR($E1580="",$E1580="نامعتبر"),"",IF(Sync!$U1577="","",Sync!$U1577))</f>
        <v/>
      </c>
      <c r="K1580">
        <f>IF(OR($E1580="",$E1580="نامعتبر"),"",IF(Sync!$V1577="","",IFERROR(INDEX(SubCodes,MATCH(Sync!$V1577,SubTitles,0)),Sync!$V1577)))</f>
        <v/>
      </c>
      <c r="L1580">
        <f>IF(OR($E1580="",$E1580="نامعتبر"),"",IF(Sync!$W1577="",0,Sync!$W1577))</f>
        <v/>
      </c>
      <c r="M1580">
        <f>IF(OR($E1580="",$E1580="نامعتبر"),"",IF(Sync!$X1577="",0,Sync!$X1577))</f>
        <v/>
      </c>
      <c r="N1580">
        <f>IF(OR($E1580="",$E1580="نامعتبر"),"",IF(AND($J1580="هزینه",$K1580&lt;&gt;""),1,0))</f>
        <v/>
      </c>
      <c r="O1580">
        <f>IF($N1580=0,"",LEFT($E1580,4)&amp;MID($E1580,6,2)&amp;RIGHT($E1580,2)&amp;$F1580&amp;"|"&amp;"1"&amp;RIGHT("00000"&amp;1572,5))</f>
        <v/>
      </c>
      <c r="P1580">
        <f>IF($O1580="","",COUNTIFS(ExpSub,$K1580,ExpKey,"&lt;"&amp;$O1580)+1)</f>
        <v/>
      </c>
      <c r="Q1580">
        <f>IF($P1580="","",$K1580&amp;"|"&amp;RIGHT("000000"&amp;$P1580,6))</f>
        <v/>
      </c>
    </row>
    <row r="1581">
      <c r="A1581">
        <f>IF(Sync!$P1578="","",Sync!$P1578)</f>
        <v/>
      </c>
      <c r="B1581">
        <f>IF($A1581="","",IF(ISNUMBER($A1581),IF(AND($A1581&gt;=10000101,$A1581&lt;=99991231),INT($A1581/10000),""),IFERROR(VALUE(TRIM(LEFT($A1581,FIND("/",$A1581)-1))),"")))</f>
        <v/>
      </c>
      <c r="C1581">
        <f>IF(OR($A1581="",$B1581=""),"",IF(ISNUMBER($A1581),INT(MOD($A1581,10000)/100),IFERROR(VALUE(TRIM(LEFT(MID($A1581,FIND("/",$A1581)+1,20),FIND("/",MID($A1581,FIND("/",$A1581)+1,20))-1))),"")))</f>
        <v/>
      </c>
      <c r="D1581">
        <f>IF(OR($A1581="",$B1581=""),"",IF(ISNUMBER($A1581),MOD($A1581,100),IFERROR(VALUE(TRIM(MID(MID($A1581,FIND("/",$A1581)+1,20),FIND("/",MID($A1581,FIND("/",$A1581)+1,20))+1,20))),"")))</f>
        <v/>
      </c>
      <c r="E1581">
        <f>IF($A1581="","",IF(OR($B1581="",$C1581="",$D1581="",$B1581&lt;1300,$B1581&gt;1500,$C1581&lt;1,$C1581&gt;12,$D1581&lt;1,$D1581&gt;31),"نامعتبر",RIGHT("0000"&amp;$B1581,4)&amp;"/"&amp;RIGHT("00"&amp;$C1581,2)&amp;"/"&amp;RIGHT("00"&amp;$D1581,2)))</f>
        <v/>
      </c>
      <c r="F1581">
        <f>IF(OR($E1581="",$E1581="نامعتبر"),"",IF(Sync!$Q1578="","0000",IF(AND(ISNUMBER(Sync!$Q1578),Sync!$Q1578&gt;=0,Sync!$Q1578&lt;1),RIGHT("00"&amp;HOUR(Sync!$Q1578),2)&amp;RIGHT("00"&amp;MINUTE(Sync!$Q1578),2),IFERROR(RIGHT("00"&amp;VALUE(LEFT(Sync!$Q1578,FIND(":",Sync!$Q1578)-1)),2)&amp;RIGHT("00"&amp;VALUE(MID(Sync!$Q1578,FIND(":",Sync!$Q1578)+1,2)),2),"0000"))))</f>
        <v/>
      </c>
      <c r="G1581">
        <f>IF(OR($E1581="",$E1581="نامعتبر"),"",IF(Sync!$S1578="","",Sync!$S1578))</f>
        <v/>
      </c>
      <c r="H1581">
        <f>IF(OR($E1581="",$E1581="نامعتبر"),"",IF(Sync!$R1578="","",Sync!$R1578))</f>
        <v/>
      </c>
      <c r="I1581">
        <f>IF(OR($E1581="",$E1581="نامعتبر"),"",IF(Sync!$T1578="","",Sync!$T1578))</f>
        <v/>
      </c>
      <c r="J1581">
        <f>IF(OR($E1581="",$E1581="نامعتبر"),"",IF(Sync!$U1578="","",Sync!$U1578))</f>
        <v/>
      </c>
      <c r="K1581">
        <f>IF(OR($E1581="",$E1581="نامعتبر"),"",IF(Sync!$V1578="","",IFERROR(INDEX(SubCodes,MATCH(Sync!$V1578,SubTitles,0)),Sync!$V1578)))</f>
        <v/>
      </c>
      <c r="L1581">
        <f>IF(OR($E1581="",$E1581="نامعتبر"),"",IF(Sync!$W1578="",0,Sync!$W1578))</f>
        <v/>
      </c>
      <c r="M1581">
        <f>IF(OR($E1581="",$E1581="نامعتبر"),"",IF(Sync!$X1578="",0,Sync!$X1578))</f>
        <v/>
      </c>
      <c r="N1581">
        <f>IF(OR($E1581="",$E1581="نامعتبر"),"",IF(AND($J1581="هزینه",$K1581&lt;&gt;""),1,0))</f>
        <v/>
      </c>
      <c r="O1581">
        <f>IF($N1581=0,"",LEFT($E1581,4)&amp;MID($E1581,6,2)&amp;RIGHT($E1581,2)&amp;$F1581&amp;"|"&amp;"1"&amp;RIGHT("00000"&amp;1573,5))</f>
        <v/>
      </c>
      <c r="P1581">
        <f>IF($O1581="","",COUNTIFS(ExpSub,$K1581,ExpKey,"&lt;"&amp;$O1581)+1)</f>
        <v/>
      </c>
      <c r="Q1581">
        <f>IF($P1581="","",$K1581&amp;"|"&amp;RIGHT("000000"&amp;$P1581,6))</f>
        <v/>
      </c>
    </row>
    <row r="1582">
      <c r="A1582">
        <f>IF(Sync!$P1579="","",Sync!$P1579)</f>
        <v/>
      </c>
      <c r="B1582">
        <f>IF($A1582="","",IF(ISNUMBER($A1582),IF(AND($A1582&gt;=10000101,$A1582&lt;=99991231),INT($A1582/10000),""),IFERROR(VALUE(TRIM(LEFT($A1582,FIND("/",$A1582)-1))),"")))</f>
        <v/>
      </c>
      <c r="C1582">
        <f>IF(OR($A1582="",$B1582=""),"",IF(ISNUMBER($A1582),INT(MOD($A1582,10000)/100),IFERROR(VALUE(TRIM(LEFT(MID($A1582,FIND("/",$A1582)+1,20),FIND("/",MID($A1582,FIND("/",$A1582)+1,20))-1))),"")))</f>
        <v/>
      </c>
      <c r="D1582">
        <f>IF(OR($A1582="",$B1582=""),"",IF(ISNUMBER($A1582),MOD($A1582,100),IFERROR(VALUE(TRIM(MID(MID($A1582,FIND("/",$A1582)+1,20),FIND("/",MID($A1582,FIND("/",$A1582)+1,20))+1,20))),"")))</f>
        <v/>
      </c>
      <c r="E1582">
        <f>IF($A1582="","",IF(OR($B1582="",$C1582="",$D1582="",$B1582&lt;1300,$B1582&gt;1500,$C1582&lt;1,$C1582&gt;12,$D1582&lt;1,$D1582&gt;31),"نامعتبر",RIGHT("0000"&amp;$B1582,4)&amp;"/"&amp;RIGHT("00"&amp;$C1582,2)&amp;"/"&amp;RIGHT("00"&amp;$D1582,2)))</f>
        <v/>
      </c>
      <c r="F1582">
        <f>IF(OR($E1582="",$E1582="نامعتبر"),"",IF(Sync!$Q1579="","0000",IF(AND(ISNUMBER(Sync!$Q1579),Sync!$Q1579&gt;=0,Sync!$Q1579&lt;1),RIGHT("00"&amp;HOUR(Sync!$Q1579),2)&amp;RIGHT("00"&amp;MINUTE(Sync!$Q1579),2),IFERROR(RIGHT("00"&amp;VALUE(LEFT(Sync!$Q1579,FIND(":",Sync!$Q1579)-1)),2)&amp;RIGHT("00"&amp;VALUE(MID(Sync!$Q1579,FIND(":",Sync!$Q1579)+1,2)),2),"0000"))))</f>
        <v/>
      </c>
      <c r="G1582">
        <f>IF(OR($E1582="",$E1582="نامعتبر"),"",IF(Sync!$S1579="","",Sync!$S1579))</f>
        <v/>
      </c>
      <c r="H1582">
        <f>IF(OR($E1582="",$E1582="نامعتبر"),"",IF(Sync!$R1579="","",Sync!$R1579))</f>
        <v/>
      </c>
      <c r="I1582">
        <f>IF(OR($E1582="",$E1582="نامعتبر"),"",IF(Sync!$T1579="","",Sync!$T1579))</f>
        <v/>
      </c>
      <c r="J1582">
        <f>IF(OR($E1582="",$E1582="نامعتبر"),"",IF(Sync!$U1579="","",Sync!$U1579))</f>
        <v/>
      </c>
      <c r="K1582">
        <f>IF(OR($E1582="",$E1582="نامعتبر"),"",IF(Sync!$V1579="","",IFERROR(INDEX(SubCodes,MATCH(Sync!$V1579,SubTitles,0)),Sync!$V1579)))</f>
        <v/>
      </c>
      <c r="L1582">
        <f>IF(OR($E1582="",$E1582="نامعتبر"),"",IF(Sync!$W1579="",0,Sync!$W1579))</f>
        <v/>
      </c>
      <c r="M1582">
        <f>IF(OR($E1582="",$E1582="نامعتبر"),"",IF(Sync!$X1579="",0,Sync!$X1579))</f>
        <v/>
      </c>
      <c r="N1582">
        <f>IF(OR($E1582="",$E1582="نامعتبر"),"",IF(AND($J1582="هزینه",$K1582&lt;&gt;""),1,0))</f>
        <v/>
      </c>
      <c r="O1582">
        <f>IF($N1582=0,"",LEFT($E1582,4)&amp;MID($E1582,6,2)&amp;RIGHT($E1582,2)&amp;$F1582&amp;"|"&amp;"1"&amp;RIGHT("00000"&amp;1574,5))</f>
        <v/>
      </c>
      <c r="P1582">
        <f>IF($O1582="","",COUNTIFS(ExpSub,$K1582,ExpKey,"&lt;"&amp;$O1582)+1)</f>
        <v/>
      </c>
      <c r="Q1582">
        <f>IF($P1582="","",$K1582&amp;"|"&amp;RIGHT("000000"&amp;$P1582,6))</f>
        <v/>
      </c>
    </row>
    <row r="1583">
      <c r="A1583">
        <f>IF(Sync!$P1580="","",Sync!$P1580)</f>
        <v/>
      </c>
      <c r="B1583">
        <f>IF($A1583="","",IF(ISNUMBER($A1583),IF(AND($A1583&gt;=10000101,$A1583&lt;=99991231),INT($A1583/10000),""),IFERROR(VALUE(TRIM(LEFT($A1583,FIND("/",$A1583)-1))),"")))</f>
        <v/>
      </c>
      <c r="C1583">
        <f>IF(OR($A1583="",$B1583=""),"",IF(ISNUMBER($A1583),INT(MOD($A1583,10000)/100),IFERROR(VALUE(TRIM(LEFT(MID($A1583,FIND("/",$A1583)+1,20),FIND("/",MID($A1583,FIND("/",$A1583)+1,20))-1))),"")))</f>
        <v/>
      </c>
      <c r="D1583">
        <f>IF(OR($A1583="",$B1583=""),"",IF(ISNUMBER($A1583),MOD($A1583,100),IFERROR(VALUE(TRIM(MID(MID($A1583,FIND("/",$A1583)+1,20),FIND("/",MID($A1583,FIND("/",$A1583)+1,20))+1,20))),"")))</f>
        <v/>
      </c>
      <c r="E1583">
        <f>IF($A1583="","",IF(OR($B1583="",$C1583="",$D1583="",$B1583&lt;1300,$B1583&gt;1500,$C1583&lt;1,$C1583&gt;12,$D1583&lt;1,$D1583&gt;31),"نامعتبر",RIGHT("0000"&amp;$B1583,4)&amp;"/"&amp;RIGHT("00"&amp;$C1583,2)&amp;"/"&amp;RIGHT("00"&amp;$D1583,2)))</f>
        <v/>
      </c>
      <c r="F1583">
        <f>IF(OR($E1583="",$E1583="نامعتبر"),"",IF(Sync!$Q1580="","0000",IF(AND(ISNUMBER(Sync!$Q1580),Sync!$Q1580&gt;=0,Sync!$Q1580&lt;1),RIGHT("00"&amp;HOUR(Sync!$Q1580),2)&amp;RIGHT("00"&amp;MINUTE(Sync!$Q1580),2),IFERROR(RIGHT("00"&amp;VALUE(LEFT(Sync!$Q1580,FIND(":",Sync!$Q1580)-1)),2)&amp;RIGHT("00"&amp;VALUE(MID(Sync!$Q1580,FIND(":",Sync!$Q1580)+1,2)),2),"0000"))))</f>
        <v/>
      </c>
      <c r="G1583">
        <f>IF(OR($E1583="",$E1583="نامعتبر"),"",IF(Sync!$S1580="","",Sync!$S1580))</f>
        <v/>
      </c>
      <c r="H1583">
        <f>IF(OR($E1583="",$E1583="نامعتبر"),"",IF(Sync!$R1580="","",Sync!$R1580))</f>
        <v/>
      </c>
      <c r="I1583">
        <f>IF(OR($E1583="",$E1583="نامعتبر"),"",IF(Sync!$T1580="","",Sync!$T1580))</f>
        <v/>
      </c>
      <c r="J1583">
        <f>IF(OR($E1583="",$E1583="نامعتبر"),"",IF(Sync!$U1580="","",Sync!$U1580))</f>
        <v/>
      </c>
      <c r="K1583">
        <f>IF(OR($E1583="",$E1583="نامعتبر"),"",IF(Sync!$V1580="","",IFERROR(INDEX(SubCodes,MATCH(Sync!$V1580,SubTitles,0)),Sync!$V1580)))</f>
        <v/>
      </c>
      <c r="L1583">
        <f>IF(OR($E1583="",$E1583="نامعتبر"),"",IF(Sync!$W1580="",0,Sync!$W1580))</f>
        <v/>
      </c>
      <c r="M1583">
        <f>IF(OR($E1583="",$E1583="نامعتبر"),"",IF(Sync!$X1580="",0,Sync!$X1580))</f>
        <v/>
      </c>
      <c r="N1583">
        <f>IF(OR($E1583="",$E1583="نامعتبر"),"",IF(AND($J1583="هزینه",$K1583&lt;&gt;""),1,0))</f>
        <v/>
      </c>
      <c r="O1583">
        <f>IF($N1583=0,"",LEFT($E1583,4)&amp;MID($E1583,6,2)&amp;RIGHT($E1583,2)&amp;$F1583&amp;"|"&amp;"1"&amp;RIGHT("00000"&amp;1575,5))</f>
        <v/>
      </c>
      <c r="P1583">
        <f>IF($O1583="","",COUNTIFS(ExpSub,$K1583,ExpKey,"&lt;"&amp;$O1583)+1)</f>
        <v/>
      </c>
      <c r="Q1583">
        <f>IF($P1583="","",$K1583&amp;"|"&amp;RIGHT("000000"&amp;$P1583,6))</f>
        <v/>
      </c>
    </row>
    <row r="1584">
      <c r="A1584">
        <f>IF(Sync!$P1581="","",Sync!$P1581)</f>
        <v/>
      </c>
      <c r="B1584">
        <f>IF($A1584="","",IF(ISNUMBER($A1584),IF(AND($A1584&gt;=10000101,$A1584&lt;=99991231),INT($A1584/10000),""),IFERROR(VALUE(TRIM(LEFT($A1584,FIND("/",$A1584)-1))),"")))</f>
        <v/>
      </c>
      <c r="C1584">
        <f>IF(OR($A1584="",$B1584=""),"",IF(ISNUMBER($A1584),INT(MOD($A1584,10000)/100),IFERROR(VALUE(TRIM(LEFT(MID($A1584,FIND("/",$A1584)+1,20),FIND("/",MID($A1584,FIND("/",$A1584)+1,20))-1))),"")))</f>
        <v/>
      </c>
      <c r="D1584">
        <f>IF(OR($A1584="",$B1584=""),"",IF(ISNUMBER($A1584),MOD($A1584,100),IFERROR(VALUE(TRIM(MID(MID($A1584,FIND("/",$A1584)+1,20),FIND("/",MID($A1584,FIND("/",$A1584)+1,20))+1,20))),"")))</f>
        <v/>
      </c>
      <c r="E1584">
        <f>IF($A1584="","",IF(OR($B1584="",$C1584="",$D1584="",$B1584&lt;1300,$B1584&gt;1500,$C1584&lt;1,$C1584&gt;12,$D1584&lt;1,$D1584&gt;31),"نامعتبر",RIGHT("0000"&amp;$B1584,4)&amp;"/"&amp;RIGHT("00"&amp;$C1584,2)&amp;"/"&amp;RIGHT("00"&amp;$D1584,2)))</f>
        <v/>
      </c>
      <c r="F1584">
        <f>IF(OR($E1584="",$E1584="نامعتبر"),"",IF(Sync!$Q1581="","0000",IF(AND(ISNUMBER(Sync!$Q1581),Sync!$Q1581&gt;=0,Sync!$Q1581&lt;1),RIGHT("00"&amp;HOUR(Sync!$Q1581),2)&amp;RIGHT("00"&amp;MINUTE(Sync!$Q1581),2),IFERROR(RIGHT("00"&amp;VALUE(LEFT(Sync!$Q1581,FIND(":",Sync!$Q1581)-1)),2)&amp;RIGHT("00"&amp;VALUE(MID(Sync!$Q1581,FIND(":",Sync!$Q1581)+1,2)),2),"0000"))))</f>
        <v/>
      </c>
      <c r="G1584">
        <f>IF(OR($E1584="",$E1584="نامعتبر"),"",IF(Sync!$S1581="","",Sync!$S1581))</f>
        <v/>
      </c>
      <c r="H1584">
        <f>IF(OR($E1584="",$E1584="نامعتبر"),"",IF(Sync!$R1581="","",Sync!$R1581))</f>
        <v/>
      </c>
      <c r="I1584">
        <f>IF(OR($E1584="",$E1584="نامعتبر"),"",IF(Sync!$T1581="","",Sync!$T1581))</f>
        <v/>
      </c>
      <c r="J1584">
        <f>IF(OR($E1584="",$E1584="نامعتبر"),"",IF(Sync!$U1581="","",Sync!$U1581))</f>
        <v/>
      </c>
      <c r="K1584">
        <f>IF(OR($E1584="",$E1584="نامعتبر"),"",IF(Sync!$V1581="","",IFERROR(INDEX(SubCodes,MATCH(Sync!$V1581,SubTitles,0)),Sync!$V1581)))</f>
        <v/>
      </c>
      <c r="L1584">
        <f>IF(OR($E1584="",$E1584="نامعتبر"),"",IF(Sync!$W1581="",0,Sync!$W1581))</f>
        <v/>
      </c>
      <c r="M1584">
        <f>IF(OR($E1584="",$E1584="نامعتبر"),"",IF(Sync!$X1581="",0,Sync!$X1581))</f>
        <v/>
      </c>
      <c r="N1584">
        <f>IF(OR($E1584="",$E1584="نامعتبر"),"",IF(AND($J1584="هزینه",$K1584&lt;&gt;""),1,0))</f>
        <v/>
      </c>
      <c r="O1584">
        <f>IF($N1584=0,"",LEFT($E1584,4)&amp;MID($E1584,6,2)&amp;RIGHT($E1584,2)&amp;$F1584&amp;"|"&amp;"1"&amp;RIGHT("00000"&amp;1576,5))</f>
        <v/>
      </c>
      <c r="P1584">
        <f>IF($O1584="","",COUNTIFS(ExpSub,$K1584,ExpKey,"&lt;"&amp;$O1584)+1)</f>
        <v/>
      </c>
      <c r="Q1584">
        <f>IF($P1584="","",$K1584&amp;"|"&amp;RIGHT("000000"&amp;$P1584,6))</f>
        <v/>
      </c>
    </row>
    <row r="1585">
      <c r="A1585">
        <f>IF(Sync!$P1582="","",Sync!$P1582)</f>
        <v/>
      </c>
      <c r="B1585">
        <f>IF($A1585="","",IF(ISNUMBER($A1585),IF(AND($A1585&gt;=10000101,$A1585&lt;=99991231),INT($A1585/10000),""),IFERROR(VALUE(TRIM(LEFT($A1585,FIND("/",$A1585)-1))),"")))</f>
        <v/>
      </c>
      <c r="C1585">
        <f>IF(OR($A1585="",$B1585=""),"",IF(ISNUMBER($A1585),INT(MOD($A1585,10000)/100),IFERROR(VALUE(TRIM(LEFT(MID($A1585,FIND("/",$A1585)+1,20),FIND("/",MID($A1585,FIND("/",$A1585)+1,20))-1))),"")))</f>
        <v/>
      </c>
      <c r="D1585">
        <f>IF(OR($A1585="",$B1585=""),"",IF(ISNUMBER($A1585),MOD($A1585,100),IFERROR(VALUE(TRIM(MID(MID($A1585,FIND("/",$A1585)+1,20),FIND("/",MID($A1585,FIND("/",$A1585)+1,20))+1,20))),"")))</f>
        <v/>
      </c>
      <c r="E1585">
        <f>IF($A1585="","",IF(OR($B1585="",$C1585="",$D1585="",$B1585&lt;1300,$B1585&gt;1500,$C1585&lt;1,$C1585&gt;12,$D1585&lt;1,$D1585&gt;31),"نامعتبر",RIGHT("0000"&amp;$B1585,4)&amp;"/"&amp;RIGHT("00"&amp;$C1585,2)&amp;"/"&amp;RIGHT("00"&amp;$D1585,2)))</f>
        <v/>
      </c>
      <c r="F1585">
        <f>IF(OR($E1585="",$E1585="نامعتبر"),"",IF(Sync!$Q1582="","0000",IF(AND(ISNUMBER(Sync!$Q1582),Sync!$Q1582&gt;=0,Sync!$Q1582&lt;1),RIGHT("00"&amp;HOUR(Sync!$Q1582),2)&amp;RIGHT("00"&amp;MINUTE(Sync!$Q1582),2),IFERROR(RIGHT("00"&amp;VALUE(LEFT(Sync!$Q1582,FIND(":",Sync!$Q1582)-1)),2)&amp;RIGHT("00"&amp;VALUE(MID(Sync!$Q1582,FIND(":",Sync!$Q1582)+1,2)),2),"0000"))))</f>
        <v/>
      </c>
      <c r="G1585">
        <f>IF(OR($E1585="",$E1585="نامعتبر"),"",IF(Sync!$S1582="","",Sync!$S1582))</f>
        <v/>
      </c>
      <c r="H1585">
        <f>IF(OR($E1585="",$E1585="نامعتبر"),"",IF(Sync!$R1582="","",Sync!$R1582))</f>
        <v/>
      </c>
      <c r="I1585">
        <f>IF(OR($E1585="",$E1585="نامعتبر"),"",IF(Sync!$T1582="","",Sync!$T1582))</f>
        <v/>
      </c>
      <c r="J1585">
        <f>IF(OR($E1585="",$E1585="نامعتبر"),"",IF(Sync!$U1582="","",Sync!$U1582))</f>
        <v/>
      </c>
      <c r="K1585">
        <f>IF(OR($E1585="",$E1585="نامعتبر"),"",IF(Sync!$V1582="","",IFERROR(INDEX(SubCodes,MATCH(Sync!$V1582,SubTitles,0)),Sync!$V1582)))</f>
        <v/>
      </c>
      <c r="L1585">
        <f>IF(OR($E1585="",$E1585="نامعتبر"),"",IF(Sync!$W1582="",0,Sync!$W1582))</f>
        <v/>
      </c>
      <c r="M1585">
        <f>IF(OR($E1585="",$E1585="نامعتبر"),"",IF(Sync!$X1582="",0,Sync!$X1582))</f>
        <v/>
      </c>
      <c r="N1585">
        <f>IF(OR($E1585="",$E1585="نامعتبر"),"",IF(AND($J1585="هزینه",$K1585&lt;&gt;""),1,0))</f>
        <v/>
      </c>
      <c r="O1585">
        <f>IF($N1585=0,"",LEFT($E1585,4)&amp;MID($E1585,6,2)&amp;RIGHT($E1585,2)&amp;$F1585&amp;"|"&amp;"1"&amp;RIGHT("00000"&amp;1577,5))</f>
        <v/>
      </c>
      <c r="P1585">
        <f>IF($O1585="","",COUNTIFS(ExpSub,$K1585,ExpKey,"&lt;"&amp;$O1585)+1)</f>
        <v/>
      </c>
      <c r="Q1585">
        <f>IF($P1585="","",$K1585&amp;"|"&amp;RIGHT("000000"&amp;$P1585,6))</f>
        <v/>
      </c>
    </row>
    <row r="1586">
      <c r="A1586">
        <f>IF(Sync!$P1583="","",Sync!$P1583)</f>
        <v/>
      </c>
      <c r="B1586">
        <f>IF($A1586="","",IF(ISNUMBER($A1586),IF(AND($A1586&gt;=10000101,$A1586&lt;=99991231),INT($A1586/10000),""),IFERROR(VALUE(TRIM(LEFT($A1586,FIND("/",$A1586)-1))),"")))</f>
        <v/>
      </c>
      <c r="C1586">
        <f>IF(OR($A1586="",$B1586=""),"",IF(ISNUMBER($A1586),INT(MOD($A1586,10000)/100),IFERROR(VALUE(TRIM(LEFT(MID($A1586,FIND("/",$A1586)+1,20),FIND("/",MID($A1586,FIND("/",$A1586)+1,20))-1))),"")))</f>
        <v/>
      </c>
      <c r="D1586">
        <f>IF(OR($A1586="",$B1586=""),"",IF(ISNUMBER($A1586),MOD($A1586,100),IFERROR(VALUE(TRIM(MID(MID($A1586,FIND("/",$A1586)+1,20),FIND("/",MID($A1586,FIND("/",$A1586)+1,20))+1,20))),"")))</f>
        <v/>
      </c>
      <c r="E1586">
        <f>IF($A1586="","",IF(OR($B1586="",$C1586="",$D1586="",$B1586&lt;1300,$B1586&gt;1500,$C1586&lt;1,$C1586&gt;12,$D1586&lt;1,$D1586&gt;31),"نامعتبر",RIGHT("0000"&amp;$B1586,4)&amp;"/"&amp;RIGHT("00"&amp;$C1586,2)&amp;"/"&amp;RIGHT("00"&amp;$D1586,2)))</f>
        <v/>
      </c>
      <c r="F1586">
        <f>IF(OR($E1586="",$E1586="نامعتبر"),"",IF(Sync!$Q1583="","0000",IF(AND(ISNUMBER(Sync!$Q1583),Sync!$Q1583&gt;=0,Sync!$Q1583&lt;1),RIGHT("00"&amp;HOUR(Sync!$Q1583),2)&amp;RIGHT("00"&amp;MINUTE(Sync!$Q1583),2),IFERROR(RIGHT("00"&amp;VALUE(LEFT(Sync!$Q1583,FIND(":",Sync!$Q1583)-1)),2)&amp;RIGHT("00"&amp;VALUE(MID(Sync!$Q1583,FIND(":",Sync!$Q1583)+1,2)),2),"0000"))))</f>
        <v/>
      </c>
      <c r="G1586">
        <f>IF(OR($E1586="",$E1586="نامعتبر"),"",IF(Sync!$S1583="","",Sync!$S1583))</f>
        <v/>
      </c>
      <c r="H1586">
        <f>IF(OR($E1586="",$E1586="نامعتبر"),"",IF(Sync!$R1583="","",Sync!$R1583))</f>
        <v/>
      </c>
      <c r="I1586">
        <f>IF(OR($E1586="",$E1586="نامعتبر"),"",IF(Sync!$T1583="","",Sync!$T1583))</f>
        <v/>
      </c>
      <c r="J1586">
        <f>IF(OR($E1586="",$E1586="نامعتبر"),"",IF(Sync!$U1583="","",Sync!$U1583))</f>
        <v/>
      </c>
      <c r="K1586">
        <f>IF(OR($E1586="",$E1586="نامعتبر"),"",IF(Sync!$V1583="","",IFERROR(INDEX(SubCodes,MATCH(Sync!$V1583,SubTitles,0)),Sync!$V1583)))</f>
        <v/>
      </c>
      <c r="L1586">
        <f>IF(OR($E1586="",$E1586="نامعتبر"),"",IF(Sync!$W1583="",0,Sync!$W1583))</f>
        <v/>
      </c>
      <c r="M1586">
        <f>IF(OR($E1586="",$E1586="نامعتبر"),"",IF(Sync!$X1583="",0,Sync!$X1583))</f>
        <v/>
      </c>
      <c r="N1586">
        <f>IF(OR($E1586="",$E1586="نامعتبر"),"",IF(AND($J1586="هزینه",$K1586&lt;&gt;""),1,0))</f>
        <v/>
      </c>
      <c r="O1586">
        <f>IF($N1586=0,"",LEFT($E1586,4)&amp;MID($E1586,6,2)&amp;RIGHT($E1586,2)&amp;$F1586&amp;"|"&amp;"1"&amp;RIGHT("00000"&amp;1578,5))</f>
        <v/>
      </c>
      <c r="P1586">
        <f>IF($O1586="","",COUNTIFS(ExpSub,$K1586,ExpKey,"&lt;"&amp;$O1586)+1)</f>
        <v/>
      </c>
      <c r="Q1586">
        <f>IF($P1586="","",$K1586&amp;"|"&amp;RIGHT("000000"&amp;$P1586,6))</f>
        <v/>
      </c>
    </row>
    <row r="1587">
      <c r="A1587">
        <f>IF(Sync!$P1584="","",Sync!$P1584)</f>
        <v/>
      </c>
      <c r="B1587">
        <f>IF($A1587="","",IF(ISNUMBER($A1587),IF(AND($A1587&gt;=10000101,$A1587&lt;=99991231),INT($A1587/10000),""),IFERROR(VALUE(TRIM(LEFT($A1587,FIND("/",$A1587)-1))),"")))</f>
        <v/>
      </c>
      <c r="C1587">
        <f>IF(OR($A1587="",$B1587=""),"",IF(ISNUMBER($A1587),INT(MOD($A1587,10000)/100),IFERROR(VALUE(TRIM(LEFT(MID($A1587,FIND("/",$A1587)+1,20),FIND("/",MID($A1587,FIND("/",$A1587)+1,20))-1))),"")))</f>
        <v/>
      </c>
      <c r="D1587">
        <f>IF(OR($A1587="",$B1587=""),"",IF(ISNUMBER($A1587),MOD($A1587,100),IFERROR(VALUE(TRIM(MID(MID($A1587,FIND("/",$A1587)+1,20),FIND("/",MID($A1587,FIND("/",$A1587)+1,20))+1,20))),"")))</f>
        <v/>
      </c>
      <c r="E1587">
        <f>IF($A1587="","",IF(OR($B1587="",$C1587="",$D1587="",$B1587&lt;1300,$B1587&gt;1500,$C1587&lt;1,$C1587&gt;12,$D1587&lt;1,$D1587&gt;31),"نامعتبر",RIGHT("0000"&amp;$B1587,4)&amp;"/"&amp;RIGHT("00"&amp;$C1587,2)&amp;"/"&amp;RIGHT("00"&amp;$D1587,2)))</f>
        <v/>
      </c>
      <c r="F1587">
        <f>IF(OR($E1587="",$E1587="نامعتبر"),"",IF(Sync!$Q1584="","0000",IF(AND(ISNUMBER(Sync!$Q1584),Sync!$Q1584&gt;=0,Sync!$Q1584&lt;1),RIGHT("00"&amp;HOUR(Sync!$Q1584),2)&amp;RIGHT("00"&amp;MINUTE(Sync!$Q1584),2),IFERROR(RIGHT("00"&amp;VALUE(LEFT(Sync!$Q1584,FIND(":",Sync!$Q1584)-1)),2)&amp;RIGHT("00"&amp;VALUE(MID(Sync!$Q1584,FIND(":",Sync!$Q1584)+1,2)),2),"0000"))))</f>
        <v/>
      </c>
      <c r="G1587">
        <f>IF(OR($E1587="",$E1587="نامعتبر"),"",IF(Sync!$S1584="","",Sync!$S1584))</f>
        <v/>
      </c>
      <c r="H1587">
        <f>IF(OR($E1587="",$E1587="نامعتبر"),"",IF(Sync!$R1584="","",Sync!$R1584))</f>
        <v/>
      </c>
      <c r="I1587">
        <f>IF(OR($E1587="",$E1587="نامعتبر"),"",IF(Sync!$T1584="","",Sync!$T1584))</f>
        <v/>
      </c>
      <c r="J1587">
        <f>IF(OR($E1587="",$E1587="نامعتبر"),"",IF(Sync!$U1584="","",Sync!$U1584))</f>
        <v/>
      </c>
      <c r="K1587">
        <f>IF(OR($E1587="",$E1587="نامعتبر"),"",IF(Sync!$V1584="","",IFERROR(INDEX(SubCodes,MATCH(Sync!$V1584,SubTitles,0)),Sync!$V1584)))</f>
        <v/>
      </c>
      <c r="L1587">
        <f>IF(OR($E1587="",$E1587="نامعتبر"),"",IF(Sync!$W1584="",0,Sync!$W1584))</f>
        <v/>
      </c>
      <c r="M1587">
        <f>IF(OR($E1587="",$E1587="نامعتبر"),"",IF(Sync!$X1584="",0,Sync!$X1584))</f>
        <v/>
      </c>
      <c r="N1587">
        <f>IF(OR($E1587="",$E1587="نامعتبر"),"",IF(AND($J1587="هزینه",$K1587&lt;&gt;""),1,0))</f>
        <v/>
      </c>
      <c r="O1587">
        <f>IF($N1587=0,"",LEFT($E1587,4)&amp;MID($E1587,6,2)&amp;RIGHT($E1587,2)&amp;$F1587&amp;"|"&amp;"1"&amp;RIGHT("00000"&amp;1579,5))</f>
        <v/>
      </c>
      <c r="P1587">
        <f>IF($O1587="","",COUNTIFS(ExpSub,$K1587,ExpKey,"&lt;"&amp;$O1587)+1)</f>
        <v/>
      </c>
      <c r="Q1587">
        <f>IF($P1587="","",$K1587&amp;"|"&amp;RIGHT("000000"&amp;$P1587,6))</f>
        <v/>
      </c>
    </row>
    <row r="1588">
      <c r="A1588">
        <f>IF(Sync!$P1585="","",Sync!$P1585)</f>
        <v/>
      </c>
      <c r="B1588">
        <f>IF($A1588="","",IF(ISNUMBER($A1588),IF(AND($A1588&gt;=10000101,$A1588&lt;=99991231),INT($A1588/10000),""),IFERROR(VALUE(TRIM(LEFT($A1588,FIND("/",$A1588)-1))),"")))</f>
        <v/>
      </c>
      <c r="C1588">
        <f>IF(OR($A1588="",$B1588=""),"",IF(ISNUMBER($A1588),INT(MOD($A1588,10000)/100),IFERROR(VALUE(TRIM(LEFT(MID($A1588,FIND("/",$A1588)+1,20),FIND("/",MID($A1588,FIND("/",$A1588)+1,20))-1))),"")))</f>
        <v/>
      </c>
      <c r="D1588">
        <f>IF(OR($A1588="",$B1588=""),"",IF(ISNUMBER($A1588),MOD($A1588,100),IFERROR(VALUE(TRIM(MID(MID($A1588,FIND("/",$A1588)+1,20),FIND("/",MID($A1588,FIND("/",$A1588)+1,20))+1,20))),"")))</f>
        <v/>
      </c>
      <c r="E1588">
        <f>IF($A1588="","",IF(OR($B1588="",$C1588="",$D1588="",$B1588&lt;1300,$B1588&gt;1500,$C1588&lt;1,$C1588&gt;12,$D1588&lt;1,$D1588&gt;31),"نامعتبر",RIGHT("0000"&amp;$B1588,4)&amp;"/"&amp;RIGHT("00"&amp;$C1588,2)&amp;"/"&amp;RIGHT("00"&amp;$D1588,2)))</f>
        <v/>
      </c>
      <c r="F1588">
        <f>IF(OR($E1588="",$E1588="نامعتبر"),"",IF(Sync!$Q1585="","0000",IF(AND(ISNUMBER(Sync!$Q1585),Sync!$Q1585&gt;=0,Sync!$Q1585&lt;1),RIGHT("00"&amp;HOUR(Sync!$Q1585),2)&amp;RIGHT("00"&amp;MINUTE(Sync!$Q1585),2),IFERROR(RIGHT("00"&amp;VALUE(LEFT(Sync!$Q1585,FIND(":",Sync!$Q1585)-1)),2)&amp;RIGHT("00"&amp;VALUE(MID(Sync!$Q1585,FIND(":",Sync!$Q1585)+1,2)),2),"0000"))))</f>
        <v/>
      </c>
      <c r="G1588">
        <f>IF(OR($E1588="",$E1588="نامعتبر"),"",IF(Sync!$S1585="","",Sync!$S1585))</f>
        <v/>
      </c>
      <c r="H1588">
        <f>IF(OR($E1588="",$E1588="نامعتبر"),"",IF(Sync!$R1585="","",Sync!$R1585))</f>
        <v/>
      </c>
      <c r="I1588">
        <f>IF(OR($E1588="",$E1588="نامعتبر"),"",IF(Sync!$T1585="","",Sync!$T1585))</f>
        <v/>
      </c>
      <c r="J1588">
        <f>IF(OR($E1588="",$E1588="نامعتبر"),"",IF(Sync!$U1585="","",Sync!$U1585))</f>
        <v/>
      </c>
      <c r="K1588">
        <f>IF(OR($E1588="",$E1588="نامعتبر"),"",IF(Sync!$V1585="","",IFERROR(INDEX(SubCodes,MATCH(Sync!$V1585,SubTitles,0)),Sync!$V1585)))</f>
        <v/>
      </c>
      <c r="L1588">
        <f>IF(OR($E1588="",$E1588="نامعتبر"),"",IF(Sync!$W1585="",0,Sync!$W1585))</f>
        <v/>
      </c>
      <c r="M1588">
        <f>IF(OR($E1588="",$E1588="نامعتبر"),"",IF(Sync!$X1585="",0,Sync!$X1585))</f>
        <v/>
      </c>
      <c r="N1588">
        <f>IF(OR($E1588="",$E1588="نامعتبر"),"",IF(AND($J1588="هزینه",$K1588&lt;&gt;""),1,0))</f>
        <v/>
      </c>
      <c r="O1588">
        <f>IF($N1588=0,"",LEFT($E1588,4)&amp;MID($E1588,6,2)&amp;RIGHT($E1588,2)&amp;$F1588&amp;"|"&amp;"1"&amp;RIGHT("00000"&amp;1580,5))</f>
        <v/>
      </c>
      <c r="P1588">
        <f>IF($O1588="","",COUNTIFS(ExpSub,$K1588,ExpKey,"&lt;"&amp;$O1588)+1)</f>
        <v/>
      </c>
      <c r="Q1588">
        <f>IF($P1588="","",$K1588&amp;"|"&amp;RIGHT("000000"&amp;$P1588,6))</f>
        <v/>
      </c>
    </row>
    <row r="1589">
      <c r="A1589">
        <f>IF(Sync!$P1586="","",Sync!$P1586)</f>
        <v/>
      </c>
      <c r="B1589">
        <f>IF($A1589="","",IF(ISNUMBER($A1589),IF(AND($A1589&gt;=10000101,$A1589&lt;=99991231),INT($A1589/10000),""),IFERROR(VALUE(TRIM(LEFT($A1589,FIND("/",$A1589)-1))),"")))</f>
        <v/>
      </c>
      <c r="C1589">
        <f>IF(OR($A1589="",$B1589=""),"",IF(ISNUMBER($A1589),INT(MOD($A1589,10000)/100),IFERROR(VALUE(TRIM(LEFT(MID($A1589,FIND("/",$A1589)+1,20),FIND("/",MID($A1589,FIND("/",$A1589)+1,20))-1))),"")))</f>
        <v/>
      </c>
      <c r="D1589">
        <f>IF(OR($A1589="",$B1589=""),"",IF(ISNUMBER($A1589),MOD($A1589,100),IFERROR(VALUE(TRIM(MID(MID($A1589,FIND("/",$A1589)+1,20),FIND("/",MID($A1589,FIND("/",$A1589)+1,20))+1,20))),"")))</f>
        <v/>
      </c>
      <c r="E1589">
        <f>IF($A1589="","",IF(OR($B1589="",$C1589="",$D1589="",$B1589&lt;1300,$B1589&gt;1500,$C1589&lt;1,$C1589&gt;12,$D1589&lt;1,$D1589&gt;31),"نامعتبر",RIGHT("0000"&amp;$B1589,4)&amp;"/"&amp;RIGHT("00"&amp;$C1589,2)&amp;"/"&amp;RIGHT("00"&amp;$D1589,2)))</f>
        <v/>
      </c>
      <c r="F1589">
        <f>IF(OR($E1589="",$E1589="نامعتبر"),"",IF(Sync!$Q1586="","0000",IF(AND(ISNUMBER(Sync!$Q1586),Sync!$Q1586&gt;=0,Sync!$Q1586&lt;1),RIGHT("00"&amp;HOUR(Sync!$Q1586),2)&amp;RIGHT("00"&amp;MINUTE(Sync!$Q1586),2),IFERROR(RIGHT("00"&amp;VALUE(LEFT(Sync!$Q1586,FIND(":",Sync!$Q1586)-1)),2)&amp;RIGHT("00"&amp;VALUE(MID(Sync!$Q1586,FIND(":",Sync!$Q1586)+1,2)),2),"0000"))))</f>
        <v/>
      </c>
      <c r="G1589">
        <f>IF(OR($E1589="",$E1589="نامعتبر"),"",IF(Sync!$S1586="","",Sync!$S1586))</f>
        <v/>
      </c>
      <c r="H1589">
        <f>IF(OR($E1589="",$E1589="نامعتبر"),"",IF(Sync!$R1586="","",Sync!$R1586))</f>
        <v/>
      </c>
      <c r="I1589">
        <f>IF(OR($E1589="",$E1589="نامعتبر"),"",IF(Sync!$T1586="","",Sync!$T1586))</f>
        <v/>
      </c>
      <c r="J1589">
        <f>IF(OR($E1589="",$E1589="نامعتبر"),"",IF(Sync!$U1586="","",Sync!$U1586))</f>
        <v/>
      </c>
      <c r="K1589">
        <f>IF(OR($E1589="",$E1589="نامعتبر"),"",IF(Sync!$V1586="","",IFERROR(INDEX(SubCodes,MATCH(Sync!$V1586,SubTitles,0)),Sync!$V1586)))</f>
        <v/>
      </c>
      <c r="L1589">
        <f>IF(OR($E1589="",$E1589="نامعتبر"),"",IF(Sync!$W1586="",0,Sync!$W1586))</f>
        <v/>
      </c>
      <c r="M1589">
        <f>IF(OR($E1589="",$E1589="نامعتبر"),"",IF(Sync!$X1586="",0,Sync!$X1586))</f>
        <v/>
      </c>
      <c r="N1589">
        <f>IF(OR($E1589="",$E1589="نامعتبر"),"",IF(AND($J1589="هزینه",$K1589&lt;&gt;""),1,0))</f>
        <v/>
      </c>
      <c r="O1589">
        <f>IF($N1589=0,"",LEFT($E1589,4)&amp;MID($E1589,6,2)&amp;RIGHT($E1589,2)&amp;$F1589&amp;"|"&amp;"1"&amp;RIGHT("00000"&amp;1581,5))</f>
        <v/>
      </c>
      <c r="P1589">
        <f>IF($O1589="","",COUNTIFS(ExpSub,$K1589,ExpKey,"&lt;"&amp;$O1589)+1)</f>
        <v/>
      </c>
      <c r="Q1589">
        <f>IF($P1589="","",$K1589&amp;"|"&amp;RIGHT("000000"&amp;$P1589,6))</f>
        <v/>
      </c>
    </row>
    <row r="1590">
      <c r="A1590">
        <f>IF(Sync!$P1587="","",Sync!$P1587)</f>
        <v/>
      </c>
      <c r="B1590">
        <f>IF($A1590="","",IF(ISNUMBER($A1590),IF(AND($A1590&gt;=10000101,$A1590&lt;=99991231),INT($A1590/10000),""),IFERROR(VALUE(TRIM(LEFT($A1590,FIND("/",$A1590)-1))),"")))</f>
        <v/>
      </c>
      <c r="C1590">
        <f>IF(OR($A1590="",$B1590=""),"",IF(ISNUMBER($A1590),INT(MOD($A1590,10000)/100),IFERROR(VALUE(TRIM(LEFT(MID($A1590,FIND("/",$A1590)+1,20),FIND("/",MID($A1590,FIND("/",$A1590)+1,20))-1))),"")))</f>
        <v/>
      </c>
      <c r="D1590">
        <f>IF(OR($A1590="",$B1590=""),"",IF(ISNUMBER($A1590),MOD($A1590,100),IFERROR(VALUE(TRIM(MID(MID($A1590,FIND("/",$A1590)+1,20),FIND("/",MID($A1590,FIND("/",$A1590)+1,20))+1,20))),"")))</f>
        <v/>
      </c>
      <c r="E1590">
        <f>IF($A1590="","",IF(OR($B1590="",$C1590="",$D1590="",$B1590&lt;1300,$B1590&gt;1500,$C1590&lt;1,$C1590&gt;12,$D1590&lt;1,$D1590&gt;31),"نامعتبر",RIGHT("0000"&amp;$B1590,4)&amp;"/"&amp;RIGHT("00"&amp;$C1590,2)&amp;"/"&amp;RIGHT("00"&amp;$D1590,2)))</f>
        <v/>
      </c>
      <c r="F1590">
        <f>IF(OR($E1590="",$E1590="نامعتبر"),"",IF(Sync!$Q1587="","0000",IF(AND(ISNUMBER(Sync!$Q1587),Sync!$Q1587&gt;=0,Sync!$Q1587&lt;1),RIGHT("00"&amp;HOUR(Sync!$Q1587),2)&amp;RIGHT("00"&amp;MINUTE(Sync!$Q1587),2),IFERROR(RIGHT("00"&amp;VALUE(LEFT(Sync!$Q1587,FIND(":",Sync!$Q1587)-1)),2)&amp;RIGHT("00"&amp;VALUE(MID(Sync!$Q1587,FIND(":",Sync!$Q1587)+1,2)),2),"0000"))))</f>
        <v/>
      </c>
      <c r="G1590">
        <f>IF(OR($E1590="",$E1590="نامعتبر"),"",IF(Sync!$S1587="","",Sync!$S1587))</f>
        <v/>
      </c>
      <c r="H1590">
        <f>IF(OR($E1590="",$E1590="نامعتبر"),"",IF(Sync!$R1587="","",Sync!$R1587))</f>
        <v/>
      </c>
      <c r="I1590">
        <f>IF(OR($E1590="",$E1590="نامعتبر"),"",IF(Sync!$T1587="","",Sync!$T1587))</f>
        <v/>
      </c>
      <c r="J1590">
        <f>IF(OR($E1590="",$E1590="نامعتبر"),"",IF(Sync!$U1587="","",Sync!$U1587))</f>
        <v/>
      </c>
      <c r="K1590">
        <f>IF(OR($E1590="",$E1590="نامعتبر"),"",IF(Sync!$V1587="","",IFERROR(INDEX(SubCodes,MATCH(Sync!$V1587,SubTitles,0)),Sync!$V1587)))</f>
        <v/>
      </c>
      <c r="L1590">
        <f>IF(OR($E1590="",$E1590="نامعتبر"),"",IF(Sync!$W1587="",0,Sync!$W1587))</f>
        <v/>
      </c>
      <c r="M1590">
        <f>IF(OR($E1590="",$E1590="نامعتبر"),"",IF(Sync!$X1587="",0,Sync!$X1587))</f>
        <v/>
      </c>
      <c r="N1590">
        <f>IF(OR($E1590="",$E1590="نامعتبر"),"",IF(AND($J1590="هزینه",$K1590&lt;&gt;""),1,0))</f>
        <v/>
      </c>
      <c r="O1590">
        <f>IF($N1590=0,"",LEFT($E1590,4)&amp;MID($E1590,6,2)&amp;RIGHT($E1590,2)&amp;$F1590&amp;"|"&amp;"1"&amp;RIGHT("00000"&amp;1582,5))</f>
        <v/>
      </c>
      <c r="P1590">
        <f>IF($O1590="","",COUNTIFS(ExpSub,$K1590,ExpKey,"&lt;"&amp;$O1590)+1)</f>
        <v/>
      </c>
      <c r="Q1590">
        <f>IF($P1590="","",$K1590&amp;"|"&amp;RIGHT("000000"&amp;$P1590,6))</f>
        <v/>
      </c>
    </row>
    <row r="1591">
      <c r="A1591">
        <f>IF(Sync!$P1588="","",Sync!$P1588)</f>
        <v/>
      </c>
      <c r="B1591">
        <f>IF($A1591="","",IF(ISNUMBER($A1591),IF(AND($A1591&gt;=10000101,$A1591&lt;=99991231),INT($A1591/10000),""),IFERROR(VALUE(TRIM(LEFT($A1591,FIND("/",$A1591)-1))),"")))</f>
        <v/>
      </c>
      <c r="C1591">
        <f>IF(OR($A1591="",$B1591=""),"",IF(ISNUMBER($A1591),INT(MOD($A1591,10000)/100),IFERROR(VALUE(TRIM(LEFT(MID($A1591,FIND("/",$A1591)+1,20),FIND("/",MID($A1591,FIND("/",$A1591)+1,20))-1))),"")))</f>
        <v/>
      </c>
      <c r="D1591">
        <f>IF(OR($A1591="",$B1591=""),"",IF(ISNUMBER($A1591),MOD($A1591,100),IFERROR(VALUE(TRIM(MID(MID($A1591,FIND("/",$A1591)+1,20),FIND("/",MID($A1591,FIND("/",$A1591)+1,20))+1,20))),"")))</f>
        <v/>
      </c>
      <c r="E1591">
        <f>IF($A1591="","",IF(OR($B1591="",$C1591="",$D1591="",$B1591&lt;1300,$B1591&gt;1500,$C1591&lt;1,$C1591&gt;12,$D1591&lt;1,$D1591&gt;31),"نامعتبر",RIGHT("0000"&amp;$B1591,4)&amp;"/"&amp;RIGHT("00"&amp;$C1591,2)&amp;"/"&amp;RIGHT("00"&amp;$D1591,2)))</f>
        <v/>
      </c>
      <c r="F1591">
        <f>IF(OR($E1591="",$E1591="نامعتبر"),"",IF(Sync!$Q1588="","0000",IF(AND(ISNUMBER(Sync!$Q1588),Sync!$Q1588&gt;=0,Sync!$Q1588&lt;1),RIGHT("00"&amp;HOUR(Sync!$Q1588),2)&amp;RIGHT("00"&amp;MINUTE(Sync!$Q1588),2),IFERROR(RIGHT("00"&amp;VALUE(LEFT(Sync!$Q1588,FIND(":",Sync!$Q1588)-1)),2)&amp;RIGHT("00"&amp;VALUE(MID(Sync!$Q1588,FIND(":",Sync!$Q1588)+1,2)),2),"0000"))))</f>
        <v/>
      </c>
      <c r="G1591">
        <f>IF(OR($E1591="",$E1591="نامعتبر"),"",IF(Sync!$S1588="","",Sync!$S1588))</f>
        <v/>
      </c>
      <c r="H1591">
        <f>IF(OR($E1591="",$E1591="نامعتبر"),"",IF(Sync!$R1588="","",Sync!$R1588))</f>
        <v/>
      </c>
      <c r="I1591">
        <f>IF(OR($E1591="",$E1591="نامعتبر"),"",IF(Sync!$T1588="","",Sync!$T1588))</f>
        <v/>
      </c>
      <c r="J1591">
        <f>IF(OR($E1591="",$E1591="نامعتبر"),"",IF(Sync!$U1588="","",Sync!$U1588))</f>
        <v/>
      </c>
      <c r="K1591">
        <f>IF(OR($E1591="",$E1591="نامعتبر"),"",IF(Sync!$V1588="","",IFERROR(INDEX(SubCodes,MATCH(Sync!$V1588,SubTitles,0)),Sync!$V1588)))</f>
        <v/>
      </c>
      <c r="L1591">
        <f>IF(OR($E1591="",$E1591="نامعتبر"),"",IF(Sync!$W1588="",0,Sync!$W1588))</f>
        <v/>
      </c>
      <c r="M1591">
        <f>IF(OR($E1591="",$E1591="نامعتبر"),"",IF(Sync!$X1588="",0,Sync!$X1588))</f>
        <v/>
      </c>
      <c r="N1591">
        <f>IF(OR($E1591="",$E1591="نامعتبر"),"",IF(AND($J1591="هزینه",$K1591&lt;&gt;""),1,0))</f>
        <v/>
      </c>
      <c r="O1591">
        <f>IF($N1591=0,"",LEFT($E1591,4)&amp;MID($E1591,6,2)&amp;RIGHT($E1591,2)&amp;$F1591&amp;"|"&amp;"1"&amp;RIGHT("00000"&amp;1583,5))</f>
        <v/>
      </c>
      <c r="P1591">
        <f>IF($O1591="","",COUNTIFS(ExpSub,$K1591,ExpKey,"&lt;"&amp;$O1591)+1)</f>
        <v/>
      </c>
      <c r="Q1591">
        <f>IF($P1591="","",$K1591&amp;"|"&amp;RIGHT("000000"&amp;$P1591,6))</f>
        <v/>
      </c>
    </row>
    <row r="1592">
      <c r="A1592">
        <f>IF(Sync!$P1589="","",Sync!$P1589)</f>
        <v/>
      </c>
      <c r="B1592">
        <f>IF($A1592="","",IF(ISNUMBER($A1592),IF(AND($A1592&gt;=10000101,$A1592&lt;=99991231),INT($A1592/10000),""),IFERROR(VALUE(TRIM(LEFT($A1592,FIND("/",$A1592)-1))),"")))</f>
        <v/>
      </c>
      <c r="C1592">
        <f>IF(OR($A1592="",$B1592=""),"",IF(ISNUMBER($A1592),INT(MOD($A1592,10000)/100),IFERROR(VALUE(TRIM(LEFT(MID($A1592,FIND("/",$A1592)+1,20),FIND("/",MID($A1592,FIND("/",$A1592)+1,20))-1))),"")))</f>
        <v/>
      </c>
      <c r="D1592">
        <f>IF(OR($A1592="",$B1592=""),"",IF(ISNUMBER($A1592),MOD($A1592,100),IFERROR(VALUE(TRIM(MID(MID($A1592,FIND("/",$A1592)+1,20),FIND("/",MID($A1592,FIND("/",$A1592)+1,20))+1,20))),"")))</f>
        <v/>
      </c>
      <c r="E1592">
        <f>IF($A1592="","",IF(OR($B1592="",$C1592="",$D1592="",$B1592&lt;1300,$B1592&gt;1500,$C1592&lt;1,$C1592&gt;12,$D1592&lt;1,$D1592&gt;31),"نامعتبر",RIGHT("0000"&amp;$B1592,4)&amp;"/"&amp;RIGHT("00"&amp;$C1592,2)&amp;"/"&amp;RIGHT("00"&amp;$D1592,2)))</f>
        <v/>
      </c>
      <c r="F1592">
        <f>IF(OR($E1592="",$E1592="نامعتبر"),"",IF(Sync!$Q1589="","0000",IF(AND(ISNUMBER(Sync!$Q1589),Sync!$Q1589&gt;=0,Sync!$Q1589&lt;1),RIGHT("00"&amp;HOUR(Sync!$Q1589),2)&amp;RIGHT("00"&amp;MINUTE(Sync!$Q1589),2),IFERROR(RIGHT("00"&amp;VALUE(LEFT(Sync!$Q1589,FIND(":",Sync!$Q1589)-1)),2)&amp;RIGHT("00"&amp;VALUE(MID(Sync!$Q1589,FIND(":",Sync!$Q1589)+1,2)),2),"0000"))))</f>
        <v/>
      </c>
      <c r="G1592">
        <f>IF(OR($E1592="",$E1592="نامعتبر"),"",IF(Sync!$S1589="","",Sync!$S1589))</f>
        <v/>
      </c>
      <c r="H1592">
        <f>IF(OR($E1592="",$E1592="نامعتبر"),"",IF(Sync!$R1589="","",Sync!$R1589))</f>
        <v/>
      </c>
      <c r="I1592">
        <f>IF(OR($E1592="",$E1592="نامعتبر"),"",IF(Sync!$T1589="","",Sync!$T1589))</f>
        <v/>
      </c>
      <c r="J1592">
        <f>IF(OR($E1592="",$E1592="نامعتبر"),"",IF(Sync!$U1589="","",Sync!$U1589))</f>
        <v/>
      </c>
      <c r="K1592">
        <f>IF(OR($E1592="",$E1592="نامعتبر"),"",IF(Sync!$V1589="","",IFERROR(INDEX(SubCodes,MATCH(Sync!$V1589,SubTitles,0)),Sync!$V1589)))</f>
        <v/>
      </c>
      <c r="L1592">
        <f>IF(OR($E1592="",$E1592="نامعتبر"),"",IF(Sync!$W1589="",0,Sync!$W1589))</f>
        <v/>
      </c>
      <c r="M1592">
        <f>IF(OR($E1592="",$E1592="نامعتبر"),"",IF(Sync!$X1589="",0,Sync!$X1589))</f>
        <v/>
      </c>
      <c r="N1592">
        <f>IF(OR($E1592="",$E1592="نامعتبر"),"",IF(AND($J1592="هزینه",$K1592&lt;&gt;""),1,0))</f>
        <v/>
      </c>
      <c r="O1592">
        <f>IF($N1592=0,"",LEFT($E1592,4)&amp;MID($E1592,6,2)&amp;RIGHT($E1592,2)&amp;$F1592&amp;"|"&amp;"1"&amp;RIGHT("00000"&amp;1584,5))</f>
        <v/>
      </c>
      <c r="P1592">
        <f>IF($O1592="","",COUNTIFS(ExpSub,$K1592,ExpKey,"&lt;"&amp;$O1592)+1)</f>
        <v/>
      </c>
      <c r="Q1592">
        <f>IF($P1592="","",$K1592&amp;"|"&amp;RIGHT("000000"&amp;$P1592,6))</f>
        <v/>
      </c>
    </row>
    <row r="1593">
      <c r="A1593">
        <f>IF(Sync!$P1590="","",Sync!$P1590)</f>
        <v/>
      </c>
      <c r="B1593">
        <f>IF($A1593="","",IF(ISNUMBER($A1593),IF(AND($A1593&gt;=10000101,$A1593&lt;=99991231),INT($A1593/10000),""),IFERROR(VALUE(TRIM(LEFT($A1593,FIND("/",$A1593)-1))),"")))</f>
        <v/>
      </c>
      <c r="C1593">
        <f>IF(OR($A1593="",$B1593=""),"",IF(ISNUMBER($A1593),INT(MOD($A1593,10000)/100),IFERROR(VALUE(TRIM(LEFT(MID($A1593,FIND("/",$A1593)+1,20),FIND("/",MID($A1593,FIND("/",$A1593)+1,20))-1))),"")))</f>
        <v/>
      </c>
      <c r="D1593">
        <f>IF(OR($A1593="",$B1593=""),"",IF(ISNUMBER($A1593),MOD($A1593,100),IFERROR(VALUE(TRIM(MID(MID($A1593,FIND("/",$A1593)+1,20),FIND("/",MID($A1593,FIND("/",$A1593)+1,20))+1,20))),"")))</f>
        <v/>
      </c>
      <c r="E1593">
        <f>IF($A1593="","",IF(OR($B1593="",$C1593="",$D1593="",$B1593&lt;1300,$B1593&gt;1500,$C1593&lt;1,$C1593&gt;12,$D1593&lt;1,$D1593&gt;31),"نامعتبر",RIGHT("0000"&amp;$B1593,4)&amp;"/"&amp;RIGHT("00"&amp;$C1593,2)&amp;"/"&amp;RIGHT("00"&amp;$D1593,2)))</f>
        <v/>
      </c>
      <c r="F1593">
        <f>IF(OR($E1593="",$E1593="نامعتبر"),"",IF(Sync!$Q1590="","0000",IF(AND(ISNUMBER(Sync!$Q1590),Sync!$Q1590&gt;=0,Sync!$Q1590&lt;1),RIGHT("00"&amp;HOUR(Sync!$Q1590),2)&amp;RIGHT("00"&amp;MINUTE(Sync!$Q1590),2),IFERROR(RIGHT("00"&amp;VALUE(LEFT(Sync!$Q1590,FIND(":",Sync!$Q1590)-1)),2)&amp;RIGHT("00"&amp;VALUE(MID(Sync!$Q1590,FIND(":",Sync!$Q1590)+1,2)),2),"0000"))))</f>
        <v/>
      </c>
      <c r="G1593">
        <f>IF(OR($E1593="",$E1593="نامعتبر"),"",IF(Sync!$S1590="","",Sync!$S1590))</f>
        <v/>
      </c>
      <c r="H1593">
        <f>IF(OR($E1593="",$E1593="نامعتبر"),"",IF(Sync!$R1590="","",Sync!$R1590))</f>
        <v/>
      </c>
      <c r="I1593">
        <f>IF(OR($E1593="",$E1593="نامعتبر"),"",IF(Sync!$T1590="","",Sync!$T1590))</f>
        <v/>
      </c>
      <c r="J1593">
        <f>IF(OR($E1593="",$E1593="نامعتبر"),"",IF(Sync!$U1590="","",Sync!$U1590))</f>
        <v/>
      </c>
      <c r="K1593">
        <f>IF(OR($E1593="",$E1593="نامعتبر"),"",IF(Sync!$V1590="","",IFERROR(INDEX(SubCodes,MATCH(Sync!$V1590,SubTitles,0)),Sync!$V1590)))</f>
        <v/>
      </c>
      <c r="L1593">
        <f>IF(OR($E1593="",$E1593="نامعتبر"),"",IF(Sync!$W1590="",0,Sync!$W1590))</f>
        <v/>
      </c>
      <c r="M1593">
        <f>IF(OR($E1593="",$E1593="نامعتبر"),"",IF(Sync!$X1590="",0,Sync!$X1590))</f>
        <v/>
      </c>
      <c r="N1593">
        <f>IF(OR($E1593="",$E1593="نامعتبر"),"",IF(AND($J1593="هزینه",$K1593&lt;&gt;""),1,0))</f>
        <v/>
      </c>
      <c r="O1593">
        <f>IF($N1593=0,"",LEFT($E1593,4)&amp;MID($E1593,6,2)&amp;RIGHT($E1593,2)&amp;$F1593&amp;"|"&amp;"1"&amp;RIGHT("00000"&amp;1585,5))</f>
        <v/>
      </c>
      <c r="P1593">
        <f>IF($O1593="","",COUNTIFS(ExpSub,$K1593,ExpKey,"&lt;"&amp;$O1593)+1)</f>
        <v/>
      </c>
      <c r="Q1593">
        <f>IF($P1593="","",$K1593&amp;"|"&amp;RIGHT("000000"&amp;$P1593,6))</f>
        <v/>
      </c>
    </row>
    <row r="1594">
      <c r="A1594">
        <f>IF(Sync!$P1591="","",Sync!$P1591)</f>
        <v/>
      </c>
      <c r="B1594">
        <f>IF($A1594="","",IF(ISNUMBER($A1594),IF(AND($A1594&gt;=10000101,$A1594&lt;=99991231),INT($A1594/10000),""),IFERROR(VALUE(TRIM(LEFT($A1594,FIND("/",$A1594)-1))),"")))</f>
        <v/>
      </c>
      <c r="C1594">
        <f>IF(OR($A1594="",$B1594=""),"",IF(ISNUMBER($A1594),INT(MOD($A1594,10000)/100),IFERROR(VALUE(TRIM(LEFT(MID($A1594,FIND("/",$A1594)+1,20),FIND("/",MID($A1594,FIND("/",$A1594)+1,20))-1))),"")))</f>
        <v/>
      </c>
      <c r="D1594">
        <f>IF(OR($A1594="",$B1594=""),"",IF(ISNUMBER($A1594),MOD($A1594,100),IFERROR(VALUE(TRIM(MID(MID($A1594,FIND("/",$A1594)+1,20),FIND("/",MID($A1594,FIND("/",$A1594)+1,20))+1,20))),"")))</f>
        <v/>
      </c>
      <c r="E1594">
        <f>IF($A1594="","",IF(OR($B1594="",$C1594="",$D1594="",$B1594&lt;1300,$B1594&gt;1500,$C1594&lt;1,$C1594&gt;12,$D1594&lt;1,$D1594&gt;31),"نامعتبر",RIGHT("0000"&amp;$B1594,4)&amp;"/"&amp;RIGHT("00"&amp;$C1594,2)&amp;"/"&amp;RIGHT("00"&amp;$D1594,2)))</f>
        <v/>
      </c>
      <c r="F1594">
        <f>IF(OR($E1594="",$E1594="نامعتبر"),"",IF(Sync!$Q1591="","0000",IF(AND(ISNUMBER(Sync!$Q1591),Sync!$Q1591&gt;=0,Sync!$Q1591&lt;1),RIGHT("00"&amp;HOUR(Sync!$Q1591),2)&amp;RIGHT("00"&amp;MINUTE(Sync!$Q1591),2),IFERROR(RIGHT("00"&amp;VALUE(LEFT(Sync!$Q1591,FIND(":",Sync!$Q1591)-1)),2)&amp;RIGHT("00"&amp;VALUE(MID(Sync!$Q1591,FIND(":",Sync!$Q1591)+1,2)),2),"0000"))))</f>
        <v/>
      </c>
      <c r="G1594">
        <f>IF(OR($E1594="",$E1594="نامعتبر"),"",IF(Sync!$S1591="","",Sync!$S1591))</f>
        <v/>
      </c>
      <c r="H1594">
        <f>IF(OR($E1594="",$E1594="نامعتبر"),"",IF(Sync!$R1591="","",Sync!$R1591))</f>
        <v/>
      </c>
      <c r="I1594">
        <f>IF(OR($E1594="",$E1594="نامعتبر"),"",IF(Sync!$T1591="","",Sync!$T1591))</f>
        <v/>
      </c>
      <c r="J1594">
        <f>IF(OR($E1594="",$E1594="نامعتبر"),"",IF(Sync!$U1591="","",Sync!$U1591))</f>
        <v/>
      </c>
      <c r="K1594">
        <f>IF(OR($E1594="",$E1594="نامعتبر"),"",IF(Sync!$V1591="","",IFERROR(INDEX(SubCodes,MATCH(Sync!$V1591,SubTitles,0)),Sync!$V1591)))</f>
        <v/>
      </c>
      <c r="L1594">
        <f>IF(OR($E1594="",$E1594="نامعتبر"),"",IF(Sync!$W1591="",0,Sync!$W1591))</f>
        <v/>
      </c>
      <c r="M1594">
        <f>IF(OR($E1594="",$E1594="نامعتبر"),"",IF(Sync!$X1591="",0,Sync!$X1591))</f>
        <v/>
      </c>
      <c r="N1594">
        <f>IF(OR($E1594="",$E1594="نامعتبر"),"",IF(AND($J1594="هزینه",$K1594&lt;&gt;""),1,0))</f>
        <v/>
      </c>
      <c r="O1594">
        <f>IF($N1594=0,"",LEFT($E1594,4)&amp;MID($E1594,6,2)&amp;RIGHT($E1594,2)&amp;$F1594&amp;"|"&amp;"1"&amp;RIGHT("00000"&amp;1586,5))</f>
        <v/>
      </c>
      <c r="P1594">
        <f>IF($O1594="","",COUNTIFS(ExpSub,$K1594,ExpKey,"&lt;"&amp;$O1594)+1)</f>
        <v/>
      </c>
      <c r="Q1594">
        <f>IF($P1594="","",$K1594&amp;"|"&amp;RIGHT("000000"&amp;$P1594,6))</f>
        <v/>
      </c>
    </row>
    <row r="1595">
      <c r="A1595">
        <f>IF(Sync!$P1592="","",Sync!$P1592)</f>
        <v/>
      </c>
      <c r="B1595">
        <f>IF($A1595="","",IF(ISNUMBER($A1595),IF(AND($A1595&gt;=10000101,$A1595&lt;=99991231),INT($A1595/10000),""),IFERROR(VALUE(TRIM(LEFT($A1595,FIND("/",$A1595)-1))),"")))</f>
        <v/>
      </c>
      <c r="C1595">
        <f>IF(OR($A1595="",$B1595=""),"",IF(ISNUMBER($A1595),INT(MOD($A1595,10000)/100),IFERROR(VALUE(TRIM(LEFT(MID($A1595,FIND("/",$A1595)+1,20),FIND("/",MID($A1595,FIND("/",$A1595)+1,20))-1))),"")))</f>
        <v/>
      </c>
      <c r="D1595">
        <f>IF(OR($A1595="",$B1595=""),"",IF(ISNUMBER($A1595),MOD($A1595,100),IFERROR(VALUE(TRIM(MID(MID($A1595,FIND("/",$A1595)+1,20),FIND("/",MID($A1595,FIND("/",$A1595)+1,20))+1,20))),"")))</f>
        <v/>
      </c>
      <c r="E1595">
        <f>IF($A1595="","",IF(OR($B1595="",$C1595="",$D1595="",$B1595&lt;1300,$B1595&gt;1500,$C1595&lt;1,$C1595&gt;12,$D1595&lt;1,$D1595&gt;31),"نامعتبر",RIGHT("0000"&amp;$B1595,4)&amp;"/"&amp;RIGHT("00"&amp;$C1595,2)&amp;"/"&amp;RIGHT("00"&amp;$D1595,2)))</f>
        <v/>
      </c>
      <c r="F1595">
        <f>IF(OR($E1595="",$E1595="نامعتبر"),"",IF(Sync!$Q1592="","0000",IF(AND(ISNUMBER(Sync!$Q1592),Sync!$Q1592&gt;=0,Sync!$Q1592&lt;1),RIGHT("00"&amp;HOUR(Sync!$Q1592),2)&amp;RIGHT("00"&amp;MINUTE(Sync!$Q1592),2),IFERROR(RIGHT("00"&amp;VALUE(LEFT(Sync!$Q1592,FIND(":",Sync!$Q1592)-1)),2)&amp;RIGHT("00"&amp;VALUE(MID(Sync!$Q1592,FIND(":",Sync!$Q1592)+1,2)),2),"0000"))))</f>
        <v/>
      </c>
      <c r="G1595">
        <f>IF(OR($E1595="",$E1595="نامعتبر"),"",IF(Sync!$S1592="","",Sync!$S1592))</f>
        <v/>
      </c>
      <c r="H1595">
        <f>IF(OR($E1595="",$E1595="نامعتبر"),"",IF(Sync!$R1592="","",Sync!$R1592))</f>
        <v/>
      </c>
      <c r="I1595">
        <f>IF(OR($E1595="",$E1595="نامعتبر"),"",IF(Sync!$T1592="","",Sync!$T1592))</f>
        <v/>
      </c>
      <c r="J1595">
        <f>IF(OR($E1595="",$E1595="نامعتبر"),"",IF(Sync!$U1592="","",Sync!$U1592))</f>
        <v/>
      </c>
      <c r="K1595">
        <f>IF(OR($E1595="",$E1595="نامعتبر"),"",IF(Sync!$V1592="","",IFERROR(INDEX(SubCodes,MATCH(Sync!$V1592,SubTitles,0)),Sync!$V1592)))</f>
        <v/>
      </c>
      <c r="L1595">
        <f>IF(OR($E1595="",$E1595="نامعتبر"),"",IF(Sync!$W1592="",0,Sync!$W1592))</f>
        <v/>
      </c>
      <c r="M1595">
        <f>IF(OR($E1595="",$E1595="نامعتبر"),"",IF(Sync!$X1592="",0,Sync!$X1592))</f>
        <v/>
      </c>
      <c r="N1595">
        <f>IF(OR($E1595="",$E1595="نامعتبر"),"",IF(AND($J1595="هزینه",$K1595&lt;&gt;""),1,0))</f>
        <v/>
      </c>
      <c r="O1595">
        <f>IF($N1595=0,"",LEFT($E1595,4)&amp;MID($E1595,6,2)&amp;RIGHT($E1595,2)&amp;$F1595&amp;"|"&amp;"1"&amp;RIGHT("00000"&amp;1587,5))</f>
        <v/>
      </c>
      <c r="P1595">
        <f>IF($O1595="","",COUNTIFS(ExpSub,$K1595,ExpKey,"&lt;"&amp;$O1595)+1)</f>
        <v/>
      </c>
      <c r="Q1595">
        <f>IF($P1595="","",$K1595&amp;"|"&amp;RIGHT("000000"&amp;$P1595,6))</f>
        <v/>
      </c>
    </row>
    <row r="1596">
      <c r="A1596">
        <f>IF(Sync!$P1593="","",Sync!$P1593)</f>
        <v/>
      </c>
      <c r="B1596">
        <f>IF($A1596="","",IF(ISNUMBER($A1596),IF(AND($A1596&gt;=10000101,$A1596&lt;=99991231),INT($A1596/10000),""),IFERROR(VALUE(TRIM(LEFT($A1596,FIND("/",$A1596)-1))),"")))</f>
        <v/>
      </c>
      <c r="C1596">
        <f>IF(OR($A1596="",$B1596=""),"",IF(ISNUMBER($A1596),INT(MOD($A1596,10000)/100),IFERROR(VALUE(TRIM(LEFT(MID($A1596,FIND("/",$A1596)+1,20),FIND("/",MID($A1596,FIND("/",$A1596)+1,20))-1))),"")))</f>
        <v/>
      </c>
      <c r="D1596">
        <f>IF(OR($A1596="",$B1596=""),"",IF(ISNUMBER($A1596),MOD($A1596,100),IFERROR(VALUE(TRIM(MID(MID($A1596,FIND("/",$A1596)+1,20),FIND("/",MID($A1596,FIND("/",$A1596)+1,20))+1,20))),"")))</f>
        <v/>
      </c>
      <c r="E1596">
        <f>IF($A1596="","",IF(OR($B1596="",$C1596="",$D1596="",$B1596&lt;1300,$B1596&gt;1500,$C1596&lt;1,$C1596&gt;12,$D1596&lt;1,$D1596&gt;31),"نامعتبر",RIGHT("0000"&amp;$B1596,4)&amp;"/"&amp;RIGHT("00"&amp;$C1596,2)&amp;"/"&amp;RIGHT("00"&amp;$D1596,2)))</f>
        <v/>
      </c>
      <c r="F1596">
        <f>IF(OR($E1596="",$E1596="نامعتبر"),"",IF(Sync!$Q1593="","0000",IF(AND(ISNUMBER(Sync!$Q1593),Sync!$Q1593&gt;=0,Sync!$Q1593&lt;1),RIGHT("00"&amp;HOUR(Sync!$Q1593),2)&amp;RIGHT("00"&amp;MINUTE(Sync!$Q1593),2),IFERROR(RIGHT("00"&amp;VALUE(LEFT(Sync!$Q1593,FIND(":",Sync!$Q1593)-1)),2)&amp;RIGHT("00"&amp;VALUE(MID(Sync!$Q1593,FIND(":",Sync!$Q1593)+1,2)),2),"0000"))))</f>
        <v/>
      </c>
      <c r="G1596">
        <f>IF(OR($E1596="",$E1596="نامعتبر"),"",IF(Sync!$S1593="","",Sync!$S1593))</f>
        <v/>
      </c>
      <c r="H1596">
        <f>IF(OR($E1596="",$E1596="نامعتبر"),"",IF(Sync!$R1593="","",Sync!$R1593))</f>
        <v/>
      </c>
      <c r="I1596">
        <f>IF(OR($E1596="",$E1596="نامعتبر"),"",IF(Sync!$T1593="","",Sync!$T1593))</f>
        <v/>
      </c>
      <c r="J1596">
        <f>IF(OR($E1596="",$E1596="نامعتبر"),"",IF(Sync!$U1593="","",Sync!$U1593))</f>
        <v/>
      </c>
      <c r="K1596">
        <f>IF(OR($E1596="",$E1596="نامعتبر"),"",IF(Sync!$V1593="","",IFERROR(INDEX(SubCodes,MATCH(Sync!$V1593,SubTitles,0)),Sync!$V1593)))</f>
        <v/>
      </c>
      <c r="L1596">
        <f>IF(OR($E1596="",$E1596="نامعتبر"),"",IF(Sync!$W1593="",0,Sync!$W1593))</f>
        <v/>
      </c>
      <c r="M1596">
        <f>IF(OR($E1596="",$E1596="نامعتبر"),"",IF(Sync!$X1593="",0,Sync!$X1593))</f>
        <v/>
      </c>
      <c r="N1596">
        <f>IF(OR($E1596="",$E1596="نامعتبر"),"",IF(AND($J1596="هزینه",$K1596&lt;&gt;""),1,0))</f>
        <v/>
      </c>
      <c r="O1596">
        <f>IF($N1596=0,"",LEFT($E1596,4)&amp;MID($E1596,6,2)&amp;RIGHT($E1596,2)&amp;$F1596&amp;"|"&amp;"1"&amp;RIGHT("00000"&amp;1588,5))</f>
        <v/>
      </c>
      <c r="P1596">
        <f>IF($O1596="","",COUNTIFS(ExpSub,$K1596,ExpKey,"&lt;"&amp;$O1596)+1)</f>
        <v/>
      </c>
      <c r="Q1596">
        <f>IF($P1596="","",$K1596&amp;"|"&amp;RIGHT("000000"&amp;$P1596,6))</f>
        <v/>
      </c>
    </row>
    <row r="1597">
      <c r="A1597">
        <f>IF(Sync!$P1594="","",Sync!$P1594)</f>
        <v/>
      </c>
      <c r="B1597">
        <f>IF($A1597="","",IF(ISNUMBER($A1597),IF(AND($A1597&gt;=10000101,$A1597&lt;=99991231),INT($A1597/10000),""),IFERROR(VALUE(TRIM(LEFT($A1597,FIND("/",$A1597)-1))),"")))</f>
        <v/>
      </c>
      <c r="C1597">
        <f>IF(OR($A1597="",$B1597=""),"",IF(ISNUMBER($A1597),INT(MOD($A1597,10000)/100),IFERROR(VALUE(TRIM(LEFT(MID($A1597,FIND("/",$A1597)+1,20),FIND("/",MID($A1597,FIND("/",$A1597)+1,20))-1))),"")))</f>
        <v/>
      </c>
      <c r="D1597">
        <f>IF(OR($A1597="",$B1597=""),"",IF(ISNUMBER($A1597),MOD($A1597,100),IFERROR(VALUE(TRIM(MID(MID($A1597,FIND("/",$A1597)+1,20),FIND("/",MID($A1597,FIND("/",$A1597)+1,20))+1,20))),"")))</f>
        <v/>
      </c>
      <c r="E1597">
        <f>IF($A1597="","",IF(OR($B1597="",$C1597="",$D1597="",$B1597&lt;1300,$B1597&gt;1500,$C1597&lt;1,$C1597&gt;12,$D1597&lt;1,$D1597&gt;31),"نامعتبر",RIGHT("0000"&amp;$B1597,4)&amp;"/"&amp;RIGHT("00"&amp;$C1597,2)&amp;"/"&amp;RIGHT("00"&amp;$D1597,2)))</f>
        <v/>
      </c>
      <c r="F1597">
        <f>IF(OR($E1597="",$E1597="نامعتبر"),"",IF(Sync!$Q1594="","0000",IF(AND(ISNUMBER(Sync!$Q1594),Sync!$Q1594&gt;=0,Sync!$Q1594&lt;1),RIGHT("00"&amp;HOUR(Sync!$Q1594),2)&amp;RIGHT("00"&amp;MINUTE(Sync!$Q1594),2),IFERROR(RIGHT("00"&amp;VALUE(LEFT(Sync!$Q1594,FIND(":",Sync!$Q1594)-1)),2)&amp;RIGHT("00"&amp;VALUE(MID(Sync!$Q1594,FIND(":",Sync!$Q1594)+1,2)),2),"0000"))))</f>
        <v/>
      </c>
      <c r="G1597">
        <f>IF(OR($E1597="",$E1597="نامعتبر"),"",IF(Sync!$S1594="","",Sync!$S1594))</f>
        <v/>
      </c>
      <c r="H1597">
        <f>IF(OR($E1597="",$E1597="نامعتبر"),"",IF(Sync!$R1594="","",Sync!$R1594))</f>
        <v/>
      </c>
      <c r="I1597">
        <f>IF(OR($E1597="",$E1597="نامعتبر"),"",IF(Sync!$T1594="","",Sync!$T1594))</f>
        <v/>
      </c>
      <c r="J1597">
        <f>IF(OR($E1597="",$E1597="نامعتبر"),"",IF(Sync!$U1594="","",Sync!$U1594))</f>
        <v/>
      </c>
      <c r="K1597">
        <f>IF(OR($E1597="",$E1597="نامعتبر"),"",IF(Sync!$V1594="","",IFERROR(INDEX(SubCodes,MATCH(Sync!$V1594,SubTitles,0)),Sync!$V1594)))</f>
        <v/>
      </c>
      <c r="L1597">
        <f>IF(OR($E1597="",$E1597="نامعتبر"),"",IF(Sync!$W1594="",0,Sync!$W1594))</f>
        <v/>
      </c>
      <c r="M1597">
        <f>IF(OR($E1597="",$E1597="نامعتبر"),"",IF(Sync!$X1594="",0,Sync!$X1594))</f>
        <v/>
      </c>
      <c r="N1597">
        <f>IF(OR($E1597="",$E1597="نامعتبر"),"",IF(AND($J1597="هزینه",$K1597&lt;&gt;""),1,0))</f>
        <v/>
      </c>
      <c r="O1597">
        <f>IF($N1597=0,"",LEFT($E1597,4)&amp;MID($E1597,6,2)&amp;RIGHT($E1597,2)&amp;$F1597&amp;"|"&amp;"1"&amp;RIGHT("00000"&amp;1589,5))</f>
        <v/>
      </c>
      <c r="P1597">
        <f>IF($O1597="","",COUNTIFS(ExpSub,$K1597,ExpKey,"&lt;"&amp;$O1597)+1)</f>
        <v/>
      </c>
      <c r="Q1597">
        <f>IF($P1597="","",$K1597&amp;"|"&amp;RIGHT("000000"&amp;$P1597,6))</f>
        <v/>
      </c>
    </row>
    <row r="1598">
      <c r="A1598">
        <f>IF(Sync!$P1595="","",Sync!$P1595)</f>
        <v/>
      </c>
      <c r="B1598">
        <f>IF($A1598="","",IF(ISNUMBER($A1598),IF(AND($A1598&gt;=10000101,$A1598&lt;=99991231),INT($A1598/10000),""),IFERROR(VALUE(TRIM(LEFT($A1598,FIND("/",$A1598)-1))),"")))</f>
        <v/>
      </c>
      <c r="C1598">
        <f>IF(OR($A1598="",$B1598=""),"",IF(ISNUMBER($A1598),INT(MOD($A1598,10000)/100),IFERROR(VALUE(TRIM(LEFT(MID($A1598,FIND("/",$A1598)+1,20),FIND("/",MID($A1598,FIND("/",$A1598)+1,20))-1))),"")))</f>
        <v/>
      </c>
      <c r="D1598">
        <f>IF(OR($A1598="",$B1598=""),"",IF(ISNUMBER($A1598),MOD($A1598,100),IFERROR(VALUE(TRIM(MID(MID($A1598,FIND("/",$A1598)+1,20),FIND("/",MID($A1598,FIND("/",$A1598)+1,20))+1,20))),"")))</f>
        <v/>
      </c>
      <c r="E1598">
        <f>IF($A1598="","",IF(OR($B1598="",$C1598="",$D1598="",$B1598&lt;1300,$B1598&gt;1500,$C1598&lt;1,$C1598&gt;12,$D1598&lt;1,$D1598&gt;31),"نامعتبر",RIGHT("0000"&amp;$B1598,4)&amp;"/"&amp;RIGHT("00"&amp;$C1598,2)&amp;"/"&amp;RIGHT("00"&amp;$D1598,2)))</f>
        <v/>
      </c>
      <c r="F1598">
        <f>IF(OR($E1598="",$E1598="نامعتبر"),"",IF(Sync!$Q1595="","0000",IF(AND(ISNUMBER(Sync!$Q1595),Sync!$Q1595&gt;=0,Sync!$Q1595&lt;1),RIGHT("00"&amp;HOUR(Sync!$Q1595),2)&amp;RIGHT("00"&amp;MINUTE(Sync!$Q1595),2),IFERROR(RIGHT("00"&amp;VALUE(LEFT(Sync!$Q1595,FIND(":",Sync!$Q1595)-1)),2)&amp;RIGHT("00"&amp;VALUE(MID(Sync!$Q1595,FIND(":",Sync!$Q1595)+1,2)),2),"0000"))))</f>
        <v/>
      </c>
      <c r="G1598">
        <f>IF(OR($E1598="",$E1598="نامعتبر"),"",IF(Sync!$S1595="","",Sync!$S1595))</f>
        <v/>
      </c>
      <c r="H1598">
        <f>IF(OR($E1598="",$E1598="نامعتبر"),"",IF(Sync!$R1595="","",Sync!$R1595))</f>
        <v/>
      </c>
      <c r="I1598">
        <f>IF(OR($E1598="",$E1598="نامعتبر"),"",IF(Sync!$T1595="","",Sync!$T1595))</f>
        <v/>
      </c>
      <c r="J1598">
        <f>IF(OR($E1598="",$E1598="نامعتبر"),"",IF(Sync!$U1595="","",Sync!$U1595))</f>
        <v/>
      </c>
      <c r="K1598">
        <f>IF(OR($E1598="",$E1598="نامعتبر"),"",IF(Sync!$V1595="","",IFERROR(INDEX(SubCodes,MATCH(Sync!$V1595,SubTitles,0)),Sync!$V1595)))</f>
        <v/>
      </c>
      <c r="L1598">
        <f>IF(OR($E1598="",$E1598="نامعتبر"),"",IF(Sync!$W1595="",0,Sync!$W1595))</f>
        <v/>
      </c>
      <c r="M1598">
        <f>IF(OR($E1598="",$E1598="نامعتبر"),"",IF(Sync!$X1595="",0,Sync!$X1595))</f>
        <v/>
      </c>
      <c r="N1598">
        <f>IF(OR($E1598="",$E1598="نامعتبر"),"",IF(AND($J1598="هزینه",$K1598&lt;&gt;""),1,0))</f>
        <v/>
      </c>
      <c r="O1598">
        <f>IF($N1598=0,"",LEFT($E1598,4)&amp;MID($E1598,6,2)&amp;RIGHT($E1598,2)&amp;$F1598&amp;"|"&amp;"1"&amp;RIGHT("00000"&amp;1590,5))</f>
        <v/>
      </c>
      <c r="P1598">
        <f>IF($O1598="","",COUNTIFS(ExpSub,$K1598,ExpKey,"&lt;"&amp;$O1598)+1)</f>
        <v/>
      </c>
      <c r="Q1598">
        <f>IF($P1598="","",$K1598&amp;"|"&amp;RIGHT("000000"&amp;$P1598,6))</f>
        <v/>
      </c>
    </row>
    <row r="1599">
      <c r="A1599">
        <f>IF(Sync!$P1596="","",Sync!$P1596)</f>
        <v/>
      </c>
      <c r="B1599">
        <f>IF($A1599="","",IF(ISNUMBER($A1599),IF(AND($A1599&gt;=10000101,$A1599&lt;=99991231),INT($A1599/10000),""),IFERROR(VALUE(TRIM(LEFT($A1599,FIND("/",$A1599)-1))),"")))</f>
        <v/>
      </c>
      <c r="C1599">
        <f>IF(OR($A1599="",$B1599=""),"",IF(ISNUMBER($A1599),INT(MOD($A1599,10000)/100),IFERROR(VALUE(TRIM(LEFT(MID($A1599,FIND("/",$A1599)+1,20),FIND("/",MID($A1599,FIND("/",$A1599)+1,20))-1))),"")))</f>
        <v/>
      </c>
      <c r="D1599">
        <f>IF(OR($A1599="",$B1599=""),"",IF(ISNUMBER($A1599),MOD($A1599,100),IFERROR(VALUE(TRIM(MID(MID($A1599,FIND("/",$A1599)+1,20),FIND("/",MID($A1599,FIND("/",$A1599)+1,20))+1,20))),"")))</f>
        <v/>
      </c>
      <c r="E1599">
        <f>IF($A1599="","",IF(OR($B1599="",$C1599="",$D1599="",$B1599&lt;1300,$B1599&gt;1500,$C1599&lt;1,$C1599&gt;12,$D1599&lt;1,$D1599&gt;31),"نامعتبر",RIGHT("0000"&amp;$B1599,4)&amp;"/"&amp;RIGHT("00"&amp;$C1599,2)&amp;"/"&amp;RIGHT("00"&amp;$D1599,2)))</f>
        <v/>
      </c>
      <c r="F1599">
        <f>IF(OR($E1599="",$E1599="نامعتبر"),"",IF(Sync!$Q1596="","0000",IF(AND(ISNUMBER(Sync!$Q1596),Sync!$Q1596&gt;=0,Sync!$Q1596&lt;1),RIGHT("00"&amp;HOUR(Sync!$Q1596),2)&amp;RIGHT("00"&amp;MINUTE(Sync!$Q1596),2),IFERROR(RIGHT("00"&amp;VALUE(LEFT(Sync!$Q1596,FIND(":",Sync!$Q1596)-1)),2)&amp;RIGHT("00"&amp;VALUE(MID(Sync!$Q1596,FIND(":",Sync!$Q1596)+1,2)),2),"0000"))))</f>
        <v/>
      </c>
      <c r="G1599">
        <f>IF(OR($E1599="",$E1599="نامعتبر"),"",IF(Sync!$S1596="","",Sync!$S1596))</f>
        <v/>
      </c>
      <c r="H1599">
        <f>IF(OR($E1599="",$E1599="نامعتبر"),"",IF(Sync!$R1596="","",Sync!$R1596))</f>
        <v/>
      </c>
      <c r="I1599">
        <f>IF(OR($E1599="",$E1599="نامعتبر"),"",IF(Sync!$T1596="","",Sync!$T1596))</f>
        <v/>
      </c>
      <c r="J1599">
        <f>IF(OR($E1599="",$E1599="نامعتبر"),"",IF(Sync!$U1596="","",Sync!$U1596))</f>
        <v/>
      </c>
      <c r="K1599">
        <f>IF(OR($E1599="",$E1599="نامعتبر"),"",IF(Sync!$V1596="","",IFERROR(INDEX(SubCodes,MATCH(Sync!$V1596,SubTitles,0)),Sync!$V1596)))</f>
        <v/>
      </c>
      <c r="L1599">
        <f>IF(OR($E1599="",$E1599="نامعتبر"),"",IF(Sync!$W1596="",0,Sync!$W1596))</f>
        <v/>
      </c>
      <c r="M1599">
        <f>IF(OR($E1599="",$E1599="نامعتبر"),"",IF(Sync!$X1596="",0,Sync!$X1596))</f>
        <v/>
      </c>
      <c r="N1599">
        <f>IF(OR($E1599="",$E1599="نامعتبر"),"",IF(AND($J1599="هزینه",$K1599&lt;&gt;""),1,0))</f>
        <v/>
      </c>
      <c r="O1599">
        <f>IF($N1599=0,"",LEFT($E1599,4)&amp;MID($E1599,6,2)&amp;RIGHT($E1599,2)&amp;$F1599&amp;"|"&amp;"1"&amp;RIGHT("00000"&amp;1591,5))</f>
        <v/>
      </c>
      <c r="P1599">
        <f>IF($O1599="","",COUNTIFS(ExpSub,$K1599,ExpKey,"&lt;"&amp;$O1599)+1)</f>
        <v/>
      </c>
      <c r="Q1599">
        <f>IF($P1599="","",$K1599&amp;"|"&amp;RIGHT("000000"&amp;$P1599,6))</f>
        <v/>
      </c>
    </row>
    <row r="1600">
      <c r="A1600">
        <f>IF(Sync!$P1597="","",Sync!$P1597)</f>
        <v/>
      </c>
      <c r="B1600">
        <f>IF($A1600="","",IF(ISNUMBER($A1600),IF(AND($A1600&gt;=10000101,$A1600&lt;=99991231),INT($A1600/10000),""),IFERROR(VALUE(TRIM(LEFT($A1600,FIND("/",$A1600)-1))),"")))</f>
        <v/>
      </c>
      <c r="C1600">
        <f>IF(OR($A1600="",$B1600=""),"",IF(ISNUMBER($A1600),INT(MOD($A1600,10000)/100),IFERROR(VALUE(TRIM(LEFT(MID($A1600,FIND("/",$A1600)+1,20),FIND("/",MID($A1600,FIND("/",$A1600)+1,20))-1))),"")))</f>
        <v/>
      </c>
      <c r="D1600">
        <f>IF(OR($A1600="",$B1600=""),"",IF(ISNUMBER($A1600),MOD($A1600,100),IFERROR(VALUE(TRIM(MID(MID($A1600,FIND("/",$A1600)+1,20),FIND("/",MID($A1600,FIND("/",$A1600)+1,20))+1,20))),"")))</f>
        <v/>
      </c>
      <c r="E1600">
        <f>IF($A1600="","",IF(OR($B1600="",$C1600="",$D1600="",$B1600&lt;1300,$B1600&gt;1500,$C1600&lt;1,$C1600&gt;12,$D1600&lt;1,$D1600&gt;31),"نامعتبر",RIGHT("0000"&amp;$B1600,4)&amp;"/"&amp;RIGHT("00"&amp;$C1600,2)&amp;"/"&amp;RIGHT("00"&amp;$D1600,2)))</f>
        <v/>
      </c>
      <c r="F1600">
        <f>IF(OR($E1600="",$E1600="نامعتبر"),"",IF(Sync!$Q1597="","0000",IF(AND(ISNUMBER(Sync!$Q1597),Sync!$Q1597&gt;=0,Sync!$Q1597&lt;1),RIGHT("00"&amp;HOUR(Sync!$Q1597),2)&amp;RIGHT("00"&amp;MINUTE(Sync!$Q1597),2),IFERROR(RIGHT("00"&amp;VALUE(LEFT(Sync!$Q1597,FIND(":",Sync!$Q1597)-1)),2)&amp;RIGHT("00"&amp;VALUE(MID(Sync!$Q1597,FIND(":",Sync!$Q1597)+1,2)),2),"0000"))))</f>
        <v/>
      </c>
      <c r="G1600">
        <f>IF(OR($E1600="",$E1600="نامعتبر"),"",IF(Sync!$S1597="","",Sync!$S1597))</f>
        <v/>
      </c>
      <c r="H1600">
        <f>IF(OR($E1600="",$E1600="نامعتبر"),"",IF(Sync!$R1597="","",Sync!$R1597))</f>
        <v/>
      </c>
      <c r="I1600">
        <f>IF(OR($E1600="",$E1600="نامعتبر"),"",IF(Sync!$T1597="","",Sync!$T1597))</f>
        <v/>
      </c>
      <c r="J1600">
        <f>IF(OR($E1600="",$E1600="نامعتبر"),"",IF(Sync!$U1597="","",Sync!$U1597))</f>
        <v/>
      </c>
      <c r="K1600">
        <f>IF(OR($E1600="",$E1600="نامعتبر"),"",IF(Sync!$V1597="","",IFERROR(INDEX(SubCodes,MATCH(Sync!$V1597,SubTitles,0)),Sync!$V1597)))</f>
        <v/>
      </c>
      <c r="L1600">
        <f>IF(OR($E1600="",$E1600="نامعتبر"),"",IF(Sync!$W1597="",0,Sync!$W1597))</f>
        <v/>
      </c>
      <c r="M1600">
        <f>IF(OR($E1600="",$E1600="نامعتبر"),"",IF(Sync!$X1597="",0,Sync!$X1597))</f>
        <v/>
      </c>
      <c r="N1600">
        <f>IF(OR($E1600="",$E1600="نامعتبر"),"",IF(AND($J1600="هزینه",$K1600&lt;&gt;""),1,0))</f>
        <v/>
      </c>
      <c r="O1600">
        <f>IF($N1600=0,"",LEFT($E1600,4)&amp;MID($E1600,6,2)&amp;RIGHT($E1600,2)&amp;$F1600&amp;"|"&amp;"1"&amp;RIGHT("00000"&amp;1592,5))</f>
        <v/>
      </c>
      <c r="P1600">
        <f>IF($O1600="","",COUNTIFS(ExpSub,$K1600,ExpKey,"&lt;"&amp;$O1600)+1)</f>
        <v/>
      </c>
      <c r="Q1600">
        <f>IF($P1600="","",$K1600&amp;"|"&amp;RIGHT("000000"&amp;$P1600,6))</f>
        <v/>
      </c>
    </row>
    <row r="1601">
      <c r="A1601">
        <f>IF(Sync!$P1598="","",Sync!$P1598)</f>
        <v/>
      </c>
      <c r="B1601">
        <f>IF($A1601="","",IF(ISNUMBER($A1601),IF(AND($A1601&gt;=10000101,$A1601&lt;=99991231),INT($A1601/10000),""),IFERROR(VALUE(TRIM(LEFT($A1601,FIND("/",$A1601)-1))),"")))</f>
        <v/>
      </c>
      <c r="C1601">
        <f>IF(OR($A1601="",$B1601=""),"",IF(ISNUMBER($A1601),INT(MOD($A1601,10000)/100),IFERROR(VALUE(TRIM(LEFT(MID($A1601,FIND("/",$A1601)+1,20),FIND("/",MID($A1601,FIND("/",$A1601)+1,20))-1))),"")))</f>
        <v/>
      </c>
      <c r="D1601">
        <f>IF(OR($A1601="",$B1601=""),"",IF(ISNUMBER($A1601),MOD($A1601,100),IFERROR(VALUE(TRIM(MID(MID($A1601,FIND("/",$A1601)+1,20),FIND("/",MID($A1601,FIND("/",$A1601)+1,20))+1,20))),"")))</f>
        <v/>
      </c>
      <c r="E1601">
        <f>IF($A1601="","",IF(OR($B1601="",$C1601="",$D1601="",$B1601&lt;1300,$B1601&gt;1500,$C1601&lt;1,$C1601&gt;12,$D1601&lt;1,$D1601&gt;31),"نامعتبر",RIGHT("0000"&amp;$B1601,4)&amp;"/"&amp;RIGHT("00"&amp;$C1601,2)&amp;"/"&amp;RIGHT("00"&amp;$D1601,2)))</f>
        <v/>
      </c>
      <c r="F1601">
        <f>IF(OR($E1601="",$E1601="نامعتبر"),"",IF(Sync!$Q1598="","0000",IF(AND(ISNUMBER(Sync!$Q1598),Sync!$Q1598&gt;=0,Sync!$Q1598&lt;1),RIGHT("00"&amp;HOUR(Sync!$Q1598),2)&amp;RIGHT("00"&amp;MINUTE(Sync!$Q1598),2),IFERROR(RIGHT("00"&amp;VALUE(LEFT(Sync!$Q1598,FIND(":",Sync!$Q1598)-1)),2)&amp;RIGHT("00"&amp;VALUE(MID(Sync!$Q1598,FIND(":",Sync!$Q1598)+1,2)),2),"0000"))))</f>
        <v/>
      </c>
      <c r="G1601">
        <f>IF(OR($E1601="",$E1601="نامعتبر"),"",IF(Sync!$S1598="","",Sync!$S1598))</f>
        <v/>
      </c>
      <c r="H1601">
        <f>IF(OR($E1601="",$E1601="نامعتبر"),"",IF(Sync!$R1598="","",Sync!$R1598))</f>
        <v/>
      </c>
      <c r="I1601">
        <f>IF(OR($E1601="",$E1601="نامعتبر"),"",IF(Sync!$T1598="","",Sync!$T1598))</f>
        <v/>
      </c>
      <c r="J1601">
        <f>IF(OR($E1601="",$E1601="نامعتبر"),"",IF(Sync!$U1598="","",Sync!$U1598))</f>
        <v/>
      </c>
      <c r="K1601">
        <f>IF(OR($E1601="",$E1601="نامعتبر"),"",IF(Sync!$V1598="","",IFERROR(INDEX(SubCodes,MATCH(Sync!$V1598,SubTitles,0)),Sync!$V1598)))</f>
        <v/>
      </c>
      <c r="L1601">
        <f>IF(OR($E1601="",$E1601="نامعتبر"),"",IF(Sync!$W1598="",0,Sync!$W1598))</f>
        <v/>
      </c>
      <c r="M1601">
        <f>IF(OR($E1601="",$E1601="نامعتبر"),"",IF(Sync!$X1598="",0,Sync!$X1598))</f>
        <v/>
      </c>
      <c r="N1601">
        <f>IF(OR($E1601="",$E1601="نامعتبر"),"",IF(AND($J1601="هزینه",$K1601&lt;&gt;""),1,0))</f>
        <v/>
      </c>
      <c r="O1601">
        <f>IF($N1601=0,"",LEFT($E1601,4)&amp;MID($E1601,6,2)&amp;RIGHT($E1601,2)&amp;$F1601&amp;"|"&amp;"1"&amp;RIGHT("00000"&amp;1593,5))</f>
        <v/>
      </c>
      <c r="P1601">
        <f>IF($O1601="","",COUNTIFS(ExpSub,$K1601,ExpKey,"&lt;"&amp;$O1601)+1)</f>
        <v/>
      </c>
      <c r="Q1601">
        <f>IF($P1601="","",$K1601&amp;"|"&amp;RIGHT("000000"&amp;$P1601,6))</f>
        <v/>
      </c>
    </row>
    <row r="1602">
      <c r="A1602">
        <f>IF(Sync!$P1599="","",Sync!$P1599)</f>
        <v/>
      </c>
      <c r="B1602">
        <f>IF($A1602="","",IF(ISNUMBER($A1602),IF(AND($A1602&gt;=10000101,$A1602&lt;=99991231),INT($A1602/10000),""),IFERROR(VALUE(TRIM(LEFT($A1602,FIND("/",$A1602)-1))),"")))</f>
        <v/>
      </c>
      <c r="C1602">
        <f>IF(OR($A1602="",$B1602=""),"",IF(ISNUMBER($A1602),INT(MOD($A1602,10000)/100),IFERROR(VALUE(TRIM(LEFT(MID($A1602,FIND("/",$A1602)+1,20),FIND("/",MID($A1602,FIND("/",$A1602)+1,20))-1))),"")))</f>
        <v/>
      </c>
      <c r="D1602">
        <f>IF(OR($A1602="",$B1602=""),"",IF(ISNUMBER($A1602),MOD($A1602,100),IFERROR(VALUE(TRIM(MID(MID($A1602,FIND("/",$A1602)+1,20),FIND("/",MID($A1602,FIND("/",$A1602)+1,20))+1,20))),"")))</f>
        <v/>
      </c>
      <c r="E1602">
        <f>IF($A1602="","",IF(OR($B1602="",$C1602="",$D1602="",$B1602&lt;1300,$B1602&gt;1500,$C1602&lt;1,$C1602&gt;12,$D1602&lt;1,$D1602&gt;31),"نامعتبر",RIGHT("0000"&amp;$B1602,4)&amp;"/"&amp;RIGHT("00"&amp;$C1602,2)&amp;"/"&amp;RIGHT("00"&amp;$D1602,2)))</f>
        <v/>
      </c>
      <c r="F1602">
        <f>IF(OR($E1602="",$E1602="نامعتبر"),"",IF(Sync!$Q1599="","0000",IF(AND(ISNUMBER(Sync!$Q1599),Sync!$Q1599&gt;=0,Sync!$Q1599&lt;1),RIGHT("00"&amp;HOUR(Sync!$Q1599),2)&amp;RIGHT("00"&amp;MINUTE(Sync!$Q1599),2),IFERROR(RIGHT("00"&amp;VALUE(LEFT(Sync!$Q1599,FIND(":",Sync!$Q1599)-1)),2)&amp;RIGHT("00"&amp;VALUE(MID(Sync!$Q1599,FIND(":",Sync!$Q1599)+1,2)),2),"0000"))))</f>
        <v/>
      </c>
      <c r="G1602">
        <f>IF(OR($E1602="",$E1602="نامعتبر"),"",IF(Sync!$S1599="","",Sync!$S1599))</f>
        <v/>
      </c>
      <c r="H1602">
        <f>IF(OR($E1602="",$E1602="نامعتبر"),"",IF(Sync!$R1599="","",Sync!$R1599))</f>
        <v/>
      </c>
      <c r="I1602">
        <f>IF(OR($E1602="",$E1602="نامعتبر"),"",IF(Sync!$T1599="","",Sync!$T1599))</f>
        <v/>
      </c>
      <c r="J1602">
        <f>IF(OR($E1602="",$E1602="نامعتبر"),"",IF(Sync!$U1599="","",Sync!$U1599))</f>
        <v/>
      </c>
      <c r="K1602">
        <f>IF(OR($E1602="",$E1602="نامعتبر"),"",IF(Sync!$V1599="","",IFERROR(INDEX(SubCodes,MATCH(Sync!$V1599,SubTitles,0)),Sync!$V1599)))</f>
        <v/>
      </c>
      <c r="L1602">
        <f>IF(OR($E1602="",$E1602="نامعتبر"),"",IF(Sync!$W1599="",0,Sync!$W1599))</f>
        <v/>
      </c>
      <c r="M1602">
        <f>IF(OR($E1602="",$E1602="نامعتبر"),"",IF(Sync!$X1599="",0,Sync!$X1599))</f>
        <v/>
      </c>
      <c r="N1602">
        <f>IF(OR($E1602="",$E1602="نامعتبر"),"",IF(AND($J1602="هزینه",$K1602&lt;&gt;""),1,0))</f>
        <v/>
      </c>
      <c r="O1602">
        <f>IF($N1602=0,"",LEFT($E1602,4)&amp;MID($E1602,6,2)&amp;RIGHT($E1602,2)&amp;$F1602&amp;"|"&amp;"1"&amp;RIGHT("00000"&amp;1594,5))</f>
        <v/>
      </c>
      <c r="P1602">
        <f>IF($O1602="","",COUNTIFS(ExpSub,$K1602,ExpKey,"&lt;"&amp;$O1602)+1)</f>
        <v/>
      </c>
      <c r="Q1602">
        <f>IF($P1602="","",$K1602&amp;"|"&amp;RIGHT("000000"&amp;$P1602,6))</f>
        <v/>
      </c>
    </row>
    <row r="1603">
      <c r="A1603">
        <f>IF(Sync!$P1600="","",Sync!$P1600)</f>
        <v/>
      </c>
      <c r="B1603">
        <f>IF($A1603="","",IF(ISNUMBER($A1603),IF(AND($A1603&gt;=10000101,$A1603&lt;=99991231),INT($A1603/10000),""),IFERROR(VALUE(TRIM(LEFT($A1603,FIND("/",$A1603)-1))),"")))</f>
        <v/>
      </c>
      <c r="C1603">
        <f>IF(OR($A1603="",$B1603=""),"",IF(ISNUMBER($A1603),INT(MOD($A1603,10000)/100),IFERROR(VALUE(TRIM(LEFT(MID($A1603,FIND("/",$A1603)+1,20),FIND("/",MID($A1603,FIND("/",$A1603)+1,20))-1))),"")))</f>
        <v/>
      </c>
      <c r="D1603">
        <f>IF(OR($A1603="",$B1603=""),"",IF(ISNUMBER($A1603),MOD($A1603,100),IFERROR(VALUE(TRIM(MID(MID($A1603,FIND("/",$A1603)+1,20),FIND("/",MID($A1603,FIND("/",$A1603)+1,20))+1,20))),"")))</f>
        <v/>
      </c>
      <c r="E1603">
        <f>IF($A1603="","",IF(OR($B1603="",$C1603="",$D1603="",$B1603&lt;1300,$B1603&gt;1500,$C1603&lt;1,$C1603&gt;12,$D1603&lt;1,$D1603&gt;31),"نامعتبر",RIGHT("0000"&amp;$B1603,4)&amp;"/"&amp;RIGHT("00"&amp;$C1603,2)&amp;"/"&amp;RIGHT("00"&amp;$D1603,2)))</f>
        <v/>
      </c>
      <c r="F1603">
        <f>IF(OR($E1603="",$E1603="نامعتبر"),"",IF(Sync!$Q1600="","0000",IF(AND(ISNUMBER(Sync!$Q1600),Sync!$Q1600&gt;=0,Sync!$Q1600&lt;1),RIGHT("00"&amp;HOUR(Sync!$Q1600),2)&amp;RIGHT("00"&amp;MINUTE(Sync!$Q1600),2),IFERROR(RIGHT("00"&amp;VALUE(LEFT(Sync!$Q1600,FIND(":",Sync!$Q1600)-1)),2)&amp;RIGHT("00"&amp;VALUE(MID(Sync!$Q1600,FIND(":",Sync!$Q1600)+1,2)),2),"0000"))))</f>
        <v/>
      </c>
      <c r="G1603">
        <f>IF(OR($E1603="",$E1603="نامعتبر"),"",IF(Sync!$S1600="","",Sync!$S1600))</f>
        <v/>
      </c>
      <c r="H1603">
        <f>IF(OR($E1603="",$E1603="نامعتبر"),"",IF(Sync!$R1600="","",Sync!$R1600))</f>
        <v/>
      </c>
      <c r="I1603">
        <f>IF(OR($E1603="",$E1603="نامعتبر"),"",IF(Sync!$T1600="","",Sync!$T1600))</f>
        <v/>
      </c>
      <c r="J1603">
        <f>IF(OR($E1603="",$E1603="نامعتبر"),"",IF(Sync!$U1600="","",Sync!$U1600))</f>
        <v/>
      </c>
      <c r="K1603">
        <f>IF(OR($E1603="",$E1603="نامعتبر"),"",IF(Sync!$V1600="","",IFERROR(INDEX(SubCodes,MATCH(Sync!$V1600,SubTitles,0)),Sync!$V1600)))</f>
        <v/>
      </c>
      <c r="L1603">
        <f>IF(OR($E1603="",$E1603="نامعتبر"),"",IF(Sync!$W1600="",0,Sync!$W1600))</f>
        <v/>
      </c>
      <c r="M1603">
        <f>IF(OR($E1603="",$E1603="نامعتبر"),"",IF(Sync!$X1600="",0,Sync!$X1600))</f>
        <v/>
      </c>
      <c r="N1603">
        <f>IF(OR($E1603="",$E1603="نامعتبر"),"",IF(AND($J1603="هزینه",$K1603&lt;&gt;""),1,0))</f>
        <v/>
      </c>
      <c r="O1603">
        <f>IF($N1603=0,"",LEFT($E1603,4)&amp;MID($E1603,6,2)&amp;RIGHT($E1603,2)&amp;$F1603&amp;"|"&amp;"1"&amp;RIGHT("00000"&amp;1595,5))</f>
        <v/>
      </c>
      <c r="P1603">
        <f>IF($O1603="","",COUNTIFS(ExpSub,$K1603,ExpKey,"&lt;"&amp;$O1603)+1)</f>
        <v/>
      </c>
      <c r="Q1603">
        <f>IF($P1603="","",$K1603&amp;"|"&amp;RIGHT("000000"&amp;$P1603,6))</f>
        <v/>
      </c>
    </row>
    <row r="1604">
      <c r="A1604">
        <f>IF(Sync!$P1601="","",Sync!$P1601)</f>
        <v/>
      </c>
      <c r="B1604">
        <f>IF($A1604="","",IF(ISNUMBER($A1604),IF(AND($A1604&gt;=10000101,$A1604&lt;=99991231),INT($A1604/10000),""),IFERROR(VALUE(TRIM(LEFT($A1604,FIND("/",$A1604)-1))),"")))</f>
        <v/>
      </c>
      <c r="C1604">
        <f>IF(OR($A1604="",$B1604=""),"",IF(ISNUMBER($A1604),INT(MOD($A1604,10000)/100),IFERROR(VALUE(TRIM(LEFT(MID($A1604,FIND("/",$A1604)+1,20),FIND("/",MID($A1604,FIND("/",$A1604)+1,20))-1))),"")))</f>
        <v/>
      </c>
      <c r="D1604">
        <f>IF(OR($A1604="",$B1604=""),"",IF(ISNUMBER($A1604),MOD($A1604,100),IFERROR(VALUE(TRIM(MID(MID($A1604,FIND("/",$A1604)+1,20),FIND("/",MID($A1604,FIND("/",$A1604)+1,20))+1,20))),"")))</f>
        <v/>
      </c>
      <c r="E1604">
        <f>IF($A1604="","",IF(OR($B1604="",$C1604="",$D1604="",$B1604&lt;1300,$B1604&gt;1500,$C1604&lt;1,$C1604&gt;12,$D1604&lt;1,$D1604&gt;31),"نامعتبر",RIGHT("0000"&amp;$B1604,4)&amp;"/"&amp;RIGHT("00"&amp;$C1604,2)&amp;"/"&amp;RIGHT("00"&amp;$D1604,2)))</f>
        <v/>
      </c>
      <c r="F1604">
        <f>IF(OR($E1604="",$E1604="نامعتبر"),"",IF(Sync!$Q1601="","0000",IF(AND(ISNUMBER(Sync!$Q1601),Sync!$Q1601&gt;=0,Sync!$Q1601&lt;1),RIGHT("00"&amp;HOUR(Sync!$Q1601),2)&amp;RIGHT("00"&amp;MINUTE(Sync!$Q1601),2),IFERROR(RIGHT("00"&amp;VALUE(LEFT(Sync!$Q1601,FIND(":",Sync!$Q1601)-1)),2)&amp;RIGHT("00"&amp;VALUE(MID(Sync!$Q1601,FIND(":",Sync!$Q1601)+1,2)),2),"0000"))))</f>
        <v/>
      </c>
      <c r="G1604">
        <f>IF(OR($E1604="",$E1604="نامعتبر"),"",IF(Sync!$S1601="","",Sync!$S1601))</f>
        <v/>
      </c>
      <c r="H1604">
        <f>IF(OR($E1604="",$E1604="نامعتبر"),"",IF(Sync!$R1601="","",Sync!$R1601))</f>
        <v/>
      </c>
      <c r="I1604">
        <f>IF(OR($E1604="",$E1604="نامعتبر"),"",IF(Sync!$T1601="","",Sync!$T1601))</f>
        <v/>
      </c>
      <c r="J1604">
        <f>IF(OR($E1604="",$E1604="نامعتبر"),"",IF(Sync!$U1601="","",Sync!$U1601))</f>
        <v/>
      </c>
      <c r="K1604">
        <f>IF(OR($E1604="",$E1604="نامعتبر"),"",IF(Sync!$V1601="","",IFERROR(INDEX(SubCodes,MATCH(Sync!$V1601,SubTitles,0)),Sync!$V1601)))</f>
        <v/>
      </c>
      <c r="L1604">
        <f>IF(OR($E1604="",$E1604="نامعتبر"),"",IF(Sync!$W1601="",0,Sync!$W1601))</f>
        <v/>
      </c>
      <c r="M1604">
        <f>IF(OR($E1604="",$E1604="نامعتبر"),"",IF(Sync!$X1601="",0,Sync!$X1601))</f>
        <v/>
      </c>
      <c r="N1604">
        <f>IF(OR($E1604="",$E1604="نامعتبر"),"",IF(AND($J1604="هزینه",$K1604&lt;&gt;""),1,0))</f>
        <v/>
      </c>
      <c r="O1604">
        <f>IF($N1604=0,"",LEFT($E1604,4)&amp;MID($E1604,6,2)&amp;RIGHT($E1604,2)&amp;$F1604&amp;"|"&amp;"1"&amp;RIGHT("00000"&amp;1596,5))</f>
        <v/>
      </c>
      <c r="P1604">
        <f>IF($O1604="","",COUNTIFS(ExpSub,$K1604,ExpKey,"&lt;"&amp;$O1604)+1)</f>
        <v/>
      </c>
      <c r="Q1604">
        <f>IF($P1604="","",$K1604&amp;"|"&amp;RIGHT("000000"&amp;$P1604,6))</f>
        <v/>
      </c>
    </row>
    <row r="1605">
      <c r="A1605">
        <f>IF(Sync!$P1602="","",Sync!$P1602)</f>
        <v/>
      </c>
      <c r="B1605">
        <f>IF($A1605="","",IF(ISNUMBER($A1605),IF(AND($A1605&gt;=10000101,$A1605&lt;=99991231),INT($A1605/10000),""),IFERROR(VALUE(TRIM(LEFT($A1605,FIND("/",$A1605)-1))),"")))</f>
        <v/>
      </c>
      <c r="C1605">
        <f>IF(OR($A1605="",$B1605=""),"",IF(ISNUMBER($A1605),INT(MOD($A1605,10000)/100),IFERROR(VALUE(TRIM(LEFT(MID($A1605,FIND("/",$A1605)+1,20),FIND("/",MID($A1605,FIND("/",$A1605)+1,20))-1))),"")))</f>
        <v/>
      </c>
      <c r="D1605">
        <f>IF(OR($A1605="",$B1605=""),"",IF(ISNUMBER($A1605),MOD($A1605,100),IFERROR(VALUE(TRIM(MID(MID($A1605,FIND("/",$A1605)+1,20),FIND("/",MID($A1605,FIND("/",$A1605)+1,20))+1,20))),"")))</f>
        <v/>
      </c>
      <c r="E1605">
        <f>IF($A1605="","",IF(OR($B1605="",$C1605="",$D1605="",$B1605&lt;1300,$B1605&gt;1500,$C1605&lt;1,$C1605&gt;12,$D1605&lt;1,$D1605&gt;31),"نامعتبر",RIGHT("0000"&amp;$B1605,4)&amp;"/"&amp;RIGHT("00"&amp;$C1605,2)&amp;"/"&amp;RIGHT("00"&amp;$D1605,2)))</f>
        <v/>
      </c>
      <c r="F1605">
        <f>IF(OR($E1605="",$E1605="نامعتبر"),"",IF(Sync!$Q1602="","0000",IF(AND(ISNUMBER(Sync!$Q1602),Sync!$Q1602&gt;=0,Sync!$Q1602&lt;1),RIGHT("00"&amp;HOUR(Sync!$Q1602),2)&amp;RIGHT("00"&amp;MINUTE(Sync!$Q1602),2),IFERROR(RIGHT("00"&amp;VALUE(LEFT(Sync!$Q1602,FIND(":",Sync!$Q1602)-1)),2)&amp;RIGHT("00"&amp;VALUE(MID(Sync!$Q1602,FIND(":",Sync!$Q1602)+1,2)),2),"0000"))))</f>
        <v/>
      </c>
      <c r="G1605">
        <f>IF(OR($E1605="",$E1605="نامعتبر"),"",IF(Sync!$S1602="","",Sync!$S1602))</f>
        <v/>
      </c>
      <c r="H1605">
        <f>IF(OR($E1605="",$E1605="نامعتبر"),"",IF(Sync!$R1602="","",Sync!$R1602))</f>
        <v/>
      </c>
      <c r="I1605">
        <f>IF(OR($E1605="",$E1605="نامعتبر"),"",IF(Sync!$T1602="","",Sync!$T1602))</f>
        <v/>
      </c>
      <c r="J1605">
        <f>IF(OR($E1605="",$E1605="نامعتبر"),"",IF(Sync!$U1602="","",Sync!$U1602))</f>
        <v/>
      </c>
      <c r="K1605">
        <f>IF(OR($E1605="",$E1605="نامعتبر"),"",IF(Sync!$V1602="","",IFERROR(INDEX(SubCodes,MATCH(Sync!$V1602,SubTitles,0)),Sync!$V1602)))</f>
        <v/>
      </c>
      <c r="L1605">
        <f>IF(OR($E1605="",$E1605="نامعتبر"),"",IF(Sync!$W1602="",0,Sync!$W1602))</f>
        <v/>
      </c>
      <c r="M1605">
        <f>IF(OR($E1605="",$E1605="نامعتبر"),"",IF(Sync!$X1602="",0,Sync!$X1602))</f>
        <v/>
      </c>
      <c r="N1605">
        <f>IF(OR($E1605="",$E1605="نامعتبر"),"",IF(AND($J1605="هزینه",$K1605&lt;&gt;""),1,0))</f>
        <v/>
      </c>
      <c r="O1605">
        <f>IF($N1605=0,"",LEFT($E1605,4)&amp;MID($E1605,6,2)&amp;RIGHT($E1605,2)&amp;$F1605&amp;"|"&amp;"1"&amp;RIGHT("00000"&amp;1597,5))</f>
        <v/>
      </c>
      <c r="P1605">
        <f>IF($O1605="","",COUNTIFS(ExpSub,$K1605,ExpKey,"&lt;"&amp;$O1605)+1)</f>
        <v/>
      </c>
      <c r="Q1605">
        <f>IF($P1605="","",$K1605&amp;"|"&amp;RIGHT("000000"&amp;$P1605,6))</f>
        <v/>
      </c>
    </row>
    <row r="1606">
      <c r="A1606">
        <f>IF(Sync!$P1603="","",Sync!$P1603)</f>
        <v/>
      </c>
      <c r="B1606">
        <f>IF($A1606="","",IF(ISNUMBER($A1606),IF(AND($A1606&gt;=10000101,$A1606&lt;=99991231),INT($A1606/10000),""),IFERROR(VALUE(TRIM(LEFT($A1606,FIND("/",$A1606)-1))),"")))</f>
        <v/>
      </c>
      <c r="C1606">
        <f>IF(OR($A1606="",$B1606=""),"",IF(ISNUMBER($A1606),INT(MOD($A1606,10000)/100),IFERROR(VALUE(TRIM(LEFT(MID($A1606,FIND("/",$A1606)+1,20),FIND("/",MID($A1606,FIND("/",$A1606)+1,20))-1))),"")))</f>
        <v/>
      </c>
      <c r="D1606">
        <f>IF(OR($A1606="",$B1606=""),"",IF(ISNUMBER($A1606),MOD($A1606,100),IFERROR(VALUE(TRIM(MID(MID($A1606,FIND("/",$A1606)+1,20),FIND("/",MID($A1606,FIND("/",$A1606)+1,20))+1,20))),"")))</f>
        <v/>
      </c>
      <c r="E1606">
        <f>IF($A1606="","",IF(OR($B1606="",$C1606="",$D1606="",$B1606&lt;1300,$B1606&gt;1500,$C1606&lt;1,$C1606&gt;12,$D1606&lt;1,$D1606&gt;31),"نامعتبر",RIGHT("0000"&amp;$B1606,4)&amp;"/"&amp;RIGHT("00"&amp;$C1606,2)&amp;"/"&amp;RIGHT("00"&amp;$D1606,2)))</f>
        <v/>
      </c>
      <c r="F1606">
        <f>IF(OR($E1606="",$E1606="نامعتبر"),"",IF(Sync!$Q1603="","0000",IF(AND(ISNUMBER(Sync!$Q1603),Sync!$Q1603&gt;=0,Sync!$Q1603&lt;1),RIGHT("00"&amp;HOUR(Sync!$Q1603),2)&amp;RIGHT("00"&amp;MINUTE(Sync!$Q1603),2),IFERROR(RIGHT("00"&amp;VALUE(LEFT(Sync!$Q1603,FIND(":",Sync!$Q1603)-1)),2)&amp;RIGHT("00"&amp;VALUE(MID(Sync!$Q1603,FIND(":",Sync!$Q1603)+1,2)),2),"0000"))))</f>
        <v/>
      </c>
      <c r="G1606">
        <f>IF(OR($E1606="",$E1606="نامعتبر"),"",IF(Sync!$S1603="","",Sync!$S1603))</f>
        <v/>
      </c>
      <c r="H1606">
        <f>IF(OR($E1606="",$E1606="نامعتبر"),"",IF(Sync!$R1603="","",Sync!$R1603))</f>
        <v/>
      </c>
      <c r="I1606">
        <f>IF(OR($E1606="",$E1606="نامعتبر"),"",IF(Sync!$T1603="","",Sync!$T1603))</f>
        <v/>
      </c>
      <c r="J1606">
        <f>IF(OR($E1606="",$E1606="نامعتبر"),"",IF(Sync!$U1603="","",Sync!$U1603))</f>
        <v/>
      </c>
      <c r="K1606">
        <f>IF(OR($E1606="",$E1606="نامعتبر"),"",IF(Sync!$V1603="","",IFERROR(INDEX(SubCodes,MATCH(Sync!$V1603,SubTitles,0)),Sync!$V1603)))</f>
        <v/>
      </c>
      <c r="L1606">
        <f>IF(OR($E1606="",$E1606="نامعتبر"),"",IF(Sync!$W1603="",0,Sync!$W1603))</f>
        <v/>
      </c>
      <c r="M1606">
        <f>IF(OR($E1606="",$E1606="نامعتبر"),"",IF(Sync!$X1603="",0,Sync!$X1603))</f>
        <v/>
      </c>
      <c r="N1606">
        <f>IF(OR($E1606="",$E1606="نامعتبر"),"",IF(AND($J1606="هزینه",$K1606&lt;&gt;""),1,0))</f>
        <v/>
      </c>
      <c r="O1606">
        <f>IF($N1606=0,"",LEFT($E1606,4)&amp;MID($E1606,6,2)&amp;RIGHT($E1606,2)&amp;$F1606&amp;"|"&amp;"1"&amp;RIGHT("00000"&amp;1598,5))</f>
        <v/>
      </c>
      <c r="P1606">
        <f>IF($O1606="","",COUNTIFS(ExpSub,$K1606,ExpKey,"&lt;"&amp;$O1606)+1)</f>
        <v/>
      </c>
      <c r="Q1606">
        <f>IF($P1606="","",$K1606&amp;"|"&amp;RIGHT("000000"&amp;$P1606,6))</f>
        <v/>
      </c>
    </row>
    <row r="1607">
      <c r="A1607">
        <f>IF(Sync!$P1604="","",Sync!$P1604)</f>
        <v/>
      </c>
      <c r="B1607">
        <f>IF($A1607="","",IF(ISNUMBER($A1607),IF(AND($A1607&gt;=10000101,$A1607&lt;=99991231),INT($A1607/10000),""),IFERROR(VALUE(TRIM(LEFT($A1607,FIND("/",$A1607)-1))),"")))</f>
        <v/>
      </c>
      <c r="C1607">
        <f>IF(OR($A1607="",$B1607=""),"",IF(ISNUMBER($A1607),INT(MOD($A1607,10000)/100),IFERROR(VALUE(TRIM(LEFT(MID($A1607,FIND("/",$A1607)+1,20),FIND("/",MID($A1607,FIND("/",$A1607)+1,20))-1))),"")))</f>
        <v/>
      </c>
      <c r="D1607">
        <f>IF(OR($A1607="",$B1607=""),"",IF(ISNUMBER($A1607),MOD($A1607,100),IFERROR(VALUE(TRIM(MID(MID($A1607,FIND("/",$A1607)+1,20),FIND("/",MID($A1607,FIND("/",$A1607)+1,20))+1,20))),"")))</f>
        <v/>
      </c>
      <c r="E1607">
        <f>IF($A1607="","",IF(OR($B1607="",$C1607="",$D1607="",$B1607&lt;1300,$B1607&gt;1500,$C1607&lt;1,$C1607&gt;12,$D1607&lt;1,$D1607&gt;31),"نامعتبر",RIGHT("0000"&amp;$B1607,4)&amp;"/"&amp;RIGHT("00"&amp;$C1607,2)&amp;"/"&amp;RIGHT("00"&amp;$D1607,2)))</f>
        <v/>
      </c>
      <c r="F1607">
        <f>IF(OR($E1607="",$E1607="نامعتبر"),"",IF(Sync!$Q1604="","0000",IF(AND(ISNUMBER(Sync!$Q1604),Sync!$Q1604&gt;=0,Sync!$Q1604&lt;1),RIGHT("00"&amp;HOUR(Sync!$Q1604),2)&amp;RIGHT("00"&amp;MINUTE(Sync!$Q1604),2),IFERROR(RIGHT("00"&amp;VALUE(LEFT(Sync!$Q1604,FIND(":",Sync!$Q1604)-1)),2)&amp;RIGHT("00"&amp;VALUE(MID(Sync!$Q1604,FIND(":",Sync!$Q1604)+1,2)),2),"0000"))))</f>
        <v/>
      </c>
      <c r="G1607">
        <f>IF(OR($E1607="",$E1607="نامعتبر"),"",IF(Sync!$S1604="","",Sync!$S1604))</f>
        <v/>
      </c>
      <c r="H1607">
        <f>IF(OR($E1607="",$E1607="نامعتبر"),"",IF(Sync!$R1604="","",Sync!$R1604))</f>
        <v/>
      </c>
      <c r="I1607">
        <f>IF(OR($E1607="",$E1607="نامعتبر"),"",IF(Sync!$T1604="","",Sync!$T1604))</f>
        <v/>
      </c>
      <c r="J1607">
        <f>IF(OR($E1607="",$E1607="نامعتبر"),"",IF(Sync!$U1604="","",Sync!$U1604))</f>
        <v/>
      </c>
      <c r="K1607">
        <f>IF(OR($E1607="",$E1607="نامعتبر"),"",IF(Sync!$V1604="","",IFERROR(INDEX(SubCodes,MATCH(Sync!$V1604,SubTitles,0)),Sync!$V1604)))</f>
        <v/>
      </c>
      <c r="L1607">
        <f>IF(OR($E1607="",$E1607="نامعتبر"),"",IF(Sync!$W1604="",0,Sync!$W1604))</f>
        <v/>
      </c>
      <c r="M1607">
        <f>IF(OR($E1607="",$E1607="نامعتبر"),"",IF(Sync!$X1604="",0,Sync!$X1604))</f>
        <v/>
      </c>
      <c r="N1607">
        <f>IF(OR($E1607="",$E1607="نامعتبر"),"",IF(AND($J1607="هزینه",$K1607&lt;&gt;""),1,0))</f>
        <v/>
      </c>
      <c r="O1607">
        <f>IF($N1607=0,"",LEFT($E1607,4)&amp;MID($E1607,6,2)&amp;RIGHT($E1607,2)&amp;$F1607&amp;"|"&amp;"1"&amp;RIGHT("00000"&amp;1599,5))</f>
        <v/>
      </c>
      <c r="P1607">
        <f>IF($O1607="","",COUNTIFS(ExpSub,$K1607,ExpKey,"&lt;"&amp;$O1607)+1)</f>
        <v/>
      </c>
      <c r="Q1607">
        <f>IF($P1607="","",$K1607&amp;"|"&amp;RIGHT("000000"&amp;$P1607,6))</f>
        <v/>
      </c>
    </row>
    <row r="1608">
      <c r="A1608">
        <f>IF(Sync!$P1605="","",Sync!$P1605)</f>
        <v/>
      </c>
      <c r="B1608">
        <f>IF($A1608="","",IF(ISNUMBER($A1608),IF(AND($A1608&gt;=10000101,$A1608&lt;=99991231),INT($A1608/10000),""),IFERROR(VALUE(TRIM(LEFT($A1608,FIND("/",$A1608)-1))),"")))</f>
        <v/>
      </c>
      <c r="C1608">
        <f>IF(OR($A1608="",$B1608=""),"",IF(ISNUMBER($A1608),INT(MOD($A1608,10000)/100),IFERROR(VALUE(TRIM(LEFT(MID($A1608,FIND("/",$A1608)+1,20),FIND("/",MID($A1608,FIND("/",$A1608)+1,20))-1))),"")))</f>
        <v/>
      </c>
      <c r="D1608">
        <f>IF(OR($A1608="",$B1608=""),"",IF(ISNUMBER($A1608),MOD($A1608,100),IFERROR(VALUE(TRIM(MID(MID($A1608,FIND("/",$A1608)+1,20),FIND("/",MID($A1608,FIND("/",$A1608)+1,20))+1,20))),"")))</f>
        <v/>
      </c>
      <c r="E1608">
        <f>IF($A1608="","",IF(OR($B1608="",$C1608="",$D1608="",$B1608&lt;1300,$B1608&gt;1500,$C1608&lt;1,$C1608&gt;12,$D1608&lt;1,$D1608&gt;31),"نامعتبر",RIGHT("0000"&amp;$B1608,4)&amp;"/"&amp;RIGHT("00"&amp;$C1608,2)&amp;"/"&amp;RIGHT("00"&amp;$D1608,2)))</f>
        <v/>
      </c>
      <c r="F1608">
        <f>IF(OR($E1608="",$E1608="نامعتبر"),"",IF(Sync!$Q1605="","0000",IF(AND(ISNUMBER(Sync!$Q1605),Sync!$Q1605&gt;=0,Sync!$Q1605&lt;1),RIGHT("00"&amp;HOUR(Sync!$Q1605),2)&amp;RIGHT("00"&amp;MINUTE(Sync!$Q1605),2),IFERROR(RIGHT("00"&amp;VALUE(LEFT(Sync!$Q1605,FIND(":",Sync!$Q1605)-1)),2)&amp;RIGHT("00"&amp;VALUE(MID(Sync!$Q1605,FIND(":",Sync!$Q1605)+1,2)),2),"0000"))))</f>
        <v/>
      </c>
      <c r="G1608">
        <f>IF(OR($E1608="",$E1608="نامعتبر"),"",IF(Sync!$S1605="","",Sync!$S1605))</f>
        <v/>
      </c>
      <c r="H1608">
        <f>IF(OR($E1608="",$E1608="نامعتبر"),"",IF(Sync!$R1605="","",Sync!$R1605))</f>
        <v/>
      </c>
      <c r="I1608">
        <f>IF(OR($E1608="",$E1608="نامعتبر"),"",IF(Sync!$T1605="","",Sync!$T1605))</f>
        <v/>
      </c>
      <c r="J1608">
        <f>IF(OR($E1608="",$E1608="نامعتبر"),"",IF(Sync!$U1605="","",Sync!$U1605))</f>
        <v/>
      </c>
      <c r="K1608">
        <f>IF(OR($E1608="",$E1608="نامعتبر"),"",IF(Sync!$V1605="","",IFERROR(INDEX(SubCodes,MATCH(Sync!$V1605,SubTitles,0)),Sync!$V1605)))</f>
        <v/>
      </c>
      <c r="L1608">
        <f>IF(OR($E1608="",$E1608="نامعتبر"),"",IF(Sync!$W1605="",0,Sync!$W1605))</f>
        <v/>
      </c>
      <c r="M1608">
        <f>IF(OR($E1608="",$E1608="نامعتبر"),"",IF(Sync!$X1605="",0,Sync!$X1605))</f>
        <v/>
      </c>
      <c r="N1608">
        <f>IF(OR($E1608="",$E1608="نامعتبر"),"",IF(AND($J1608="هزینه",$K1608&lt;&gt;""),1,0))</f>
        <v/>
      </c>
      <c r="O1608">
        <f>IF($N1608=0,"",LEFT($E1608,4)&amp;MID($E1608,6,2)&amp;RIGHT($E1608,2)&amp;$F1608&amp;"|"&amp;"1"&amp;RIGHT("00000"&amp;1600,5))</f>
        <v/>
      </c>
      <c r="P1608">
        <f>IF($O1608="","",COUNTIFS(ExpSub,$K1608,ExpKey,"&lt;"&amp;$O1608)+1)</f>
        <v/>
      </c>
      <c r="Q1608">
        <f>IF($P1608="","",$K1608&amp;"|"&amp;RIGHT("000000"&amp;$P1608,6))</f>
        <v/>
      </c>
    </row>
    <row r="1609">
      <c r="A1609">
        <f>IF(Sync!$P1606="","",Sync!$P1606)</f>
        <v/>
      </c>
      <c r="B1609">
        <f>IF($A1609="","",IF(ISNUMBER($A1609),IF(AND($A1609&gt;=10000101,$A1609&lt;=99991231),INT($A1609/10000),""),IFERROR(VALUE(TRIM(LEFT($A1609,FIND("/",$A1609)-1))),"")))</f>
        <v/>
      </c>
      <c r="C1609">
        <f>IF(OR($A1609="",$B1609=""),"",IF(ISNUMBER($A1609),INT(MOD($A1609,10000)/100),IFERROR(VALUE(TRIM(LEFT(MID($A1609,FIND("/",$A1609)+1,20),FIND("/",MID($A1609,FIND("/",$A1609)+1,20))-1))),"")))</f>
        <v/>
      </c>
      <c r="D1609">
        <f>IF(OR($A1609="",$B1609=""),"",IF(ISNUMBER($A1609),MOD($A1609,100),IFERROR(VALUE(TRIM(MID(MID($A1609,FIND("/",$A1609)+1,20),FIND("/",MID($A1609,FIND("/",$A1609)+1,20))+1,20))),"")))</f>
        <v/>
      </c>
      <c r="E1609">
        <f>IF($A1609="","",IF(OR($B1609="",$C1609="",$D1609="",$B1609&lt;1300,$B1609&gt;1500,$C1609&lt;1,$C1609&gt;12,$D1609&lt;1,$D1609&gt;31),"نامعتبر",RIGHT("0000"&amp;$B1609,4)&amp;"/"&amp;RIGHT("00"&amp;$C1609,2)&amp;"/"&amp;RIGHT("00"&amp;$D1609,2)))</f>
        <v/>
      </c>
      <c r="F1609">
        <f>IF(OR($E1609="",$E1609="نامعتبر"),"",IF(Sync!$Q1606="","0000",IF(AND(ISNUMBER(Sync!$Q1606),Sync!$Q1606&gt;=0,Sync!$Q1606&lt;1),RIGHT("00"&amp;HOUR(Sync!$Q1606),2)&amp;RIGHT("00"&amp;MINUTE(Sync!$Q1606),2),IFERROR(RIGHT("00"&amp;VALUE(LEFT(Sync!$Q1606,FIND(":",Sync!$Q1606)-1)),2)&amp;RIGHT("00"&amp;VALUE(MID(Sync!$Q1606,FIND(":",Sync!$Q1606)+1,2)),2),"0000"))))</f>
        <v/>
      </c>
      <c r="G1609">
        <f>IF(OR($E1609="",$E1609="نامعتبر"),"",IF(Sync!$S1606="","",Sync!$S1606))</f>
        <v/>
      </c>
      <c r="H1609">
        <f>IF(OR($E1609="",$E1609="نامعتبر"),"",IF(Sync!$R1606="","",Sync!$R1606))</f>
        <v/>
      </c>
      <c r="I1609">
        <f>IF(OR($E1609="",$E1609="نامعتبر"),"",IF(Sync!$T1606="","",Sync!$T1606))</f>
        <v/>
      </c>
      <c r="J1609">
        <f>IF(OR($E1609="",$E1609="نامعتبر"),"",IF(Sync!$U1606="","",Sync!$U1606))</f>
        <v/>
      </c>
      <c r="K1609">
        <f>IF(OR($E1609="",$E1609="نامعتبر"),"",IF(Sync!$V1606="","",IFERROR(INDEX(SubCodes,MATCH(Sync!$V1606,SubTitles,0)),Sync!$V1606)))</f>
        <v/>
      </c>
      <c r="L1609">
        <f>IF(OR($E1609="",$E1609="نامعتبر"),"",IF(Sync!$W1606="",0,Sync!$W1606))</f>
        <v/>
      </c>
      <c r="M1609">
        <f>IF(OR($E1609="",$E1609="نامعتبر"),"",IF(Sync!$X1606="",0,Sync!$X1606))</f>
        <v/>
      </c>
      <c r="N1609">
        <f>IF(OR($E1609="",$E1609="نامعتبر"),"",IF(AND($J1609="هزینه",$K1609&lt;&gt;""),1,0))</f>
        <v/>
      </c>
      <c r="O1609">
        <f>IF($N1609=0,"",LEFT($E1609,4)&amp;MID($E1609,6,2)&amp;RIGHT($E1609,2)&amp;$F1609&amp;"|"&amp;"1"&amp;RIGHT("00000"&amp;1601,5))</f>
        <v/>
      </c>
      <c r="P1609">
        <f>IF($O1609="","",COUNTIFS(ExpSub,$K1609,ExpKey,"&lt;"&amp;$O1609)+1)</f>
        <v/>
      </c>
      <c r="Q1609">
        <f>IF($P1609="","",$K1609&amp;"|"&amp;RIGHT("000000"&amp;$P1609,6))</f>
        <v/>
      </c>
    </row>
    <row r="1610">
      <c r="A1610">
        <f>IF(Sync!$P1607="","",Sync!$P1607)</f>
        <v/>
      </c>
      <c r="B1610">
        <f>IF($A1610="","",IF(ISNUMBER($A1610),IF(AND($A1610&gt;=10000101,$A1610&lt;=99991231),INT($A1610/10000),""),IFERROR(VALUE(TRIM(LEFT($A1610,FIND("/",$A1610)-1))),"")))</f>
        <v/>
      </c>
      <c r="C1610">
        <f>IF(OR($A1610="",$B1610=""),"",IF(ISNUMBER($A1610),INT(MOD($A1610,10000)/100),IFERROR(VALUE(TRIM(LEFT(MID($A1610,FIND("/",$A1610)+1,20),FIND("/",MID($A1610,FIND("/",$A1610)+1,20))-1))),"")))</f>
        <v/>
      </c>
      <c r="D1610">
        <f>IF(OR($A1610="",$B1610=""),"",IF(ISNUMBER($A1610),MOD($A1610,100),IFERROR(VALUE(TRIM(MID(MID($A1610,FIND("/",$A1610)+1,20),FIND("/",MID($A1610,FIND("/",$A1610)+1,20))+1,20))),"")))</f>
        <v/>
      </c>
      <c r="E1610">
        <f>IF($A1610="","",IF(OR($B1610="",$C1610="",$D1610="",$B1610&lt;1300,$B1610&gt;1500,$C1610&lt;1,$C1610&gt;12,$D1610&lt;1,$D1610&gt;31),"نامعتبر",RIGHT("0000"&amp;$B1610,4)&amp;"/"&amp;RIGHT("00"&amp;$C1610,2)&amp;"/"&amp;RIGHT("00"&amp;$D1610,2)))</f>
        <v/>
      </c>
      <c r="F1610">
        <f>IF(OR($E1610="",$E1610="نامعتبر"),"",IF(Sync!$Q1607="","0000",IF(AND(ISNUMBER(Sync!$Q1607),Sync!$Q1607&gt;=0,Sync!$Q1607&lt;1),RIGHT("00"&amp;HOUR(Sync!$Q1607),2)&amp;RIGHT("00"&amp;MINUTE(Sync!$Q1607),2),IFERROR(RIGHT("00"&amp;VALUE(LEFT(Sync!$Q1607,FIND(":",Sync!$Q1607)-1)),2)&amp;RIGHT("00"&amp;VALUE(MID(Sync!$Q1607,FIND(":",Sync!$Q1607)+1,2)),2),"0000"))))</f>
        <v/>
      </c>
      <c r="G1610">
        <f>IF(OR($E1610="",$E1610="نامعتبر"),"",IF(Sync!$S1607="","",Sync!$S1607))</f>
        <v/>
      </c>
      <c r="H1610">
        <f>IF(OR($E1610="",$E1610="نامعتبر"),"",IF(Sync!$R1607="","",Sync!$R1607))</f>
        <v/>
      </c>
      <c r="I1610">
        <f>IF(OR($E1610="",$E1610="نامعتبر"),"",IF(Sync!$T1607="","",Sync!$T1607))</f>
        <v/>
      </c>
      <c r="J1610">
        <f>IF(OR($E1610="",$E1610="نامعتبر"),"",IF(Sync!$U1607="","",Sync!$U1607))</f>
        <v/>
      </c>
      <c r="K1610">
        <f>IF(OR($E1610="",$E1610="نامعتبر"),"",IF(Sync!$V1607="","",IFERROR(INDEX(SubCodes,MATCH(Sync!$V1607,SubTitles,0)),Sync!$V1607)))</f>
        <v/>
      </c>
      <c r="L1610">
        <f>IF(OR($E1610="",$E1610="نامعتبر"),"",IF(Sync!$W1607="",0,Sync!$W1607))</f>
        <v/>
      </c>
      <c r="M1610">
        <f>IF(OR($E1610="",$E1610="نامعتبر"),"",IF(Sync!$X1607="",0,Sync!$X1607))</f>
        <v/>
      </c>
      <c r="N1610">
        <f>IF(OR($E1610="",$E1610="نامعتبر"),"",IF(AND($J1610="هزینه",$K1610&lt;&gt;""),1,0))</f>
        <v/>
      </c>
      <c r="O1610">
        <f>IF($N1610=0,"",LEFT($E1610,4)&amp;MID($E1610,6,2)&amp;RIGHT($E1610,2)&amp;$F1610&amp;"|"&amp;"1"&amp;RIGHT("00000"&amp;1602,5))</f>
        <v/>
      </c>
      <c r="P1610">
        <f>IF($O1610="","",COUNTIFS(ExpSub,$K1610,ExpKey,"&lt;"&amp;$O1610)+1)</f>
        <v/>
      </c>
      <c r="Q1610">
        <f>IF($P1610="","",$K1610&amp;"|"&amp;RIGHT("000000"&amp;$P1610,6))</f>
        <v/>
      </c>
    </row>
    <row r="1611">
      <c r="A1611">
        <f>IF(Sync!$P1608="","",Sync!$P1608)</f>
        <v/>
      </c>
      <c r="B1611">
        <f>IF($A1611="","",IF(ISNUMBER($A1611),IF(AND($A1611&gt;=10000101,$A1611&lt;=99991231),INT($A1611/10000),""),IFERROR(VALUE(TRIM(LEFT($A1611,FIND("/",$A1611)-1))),"")))</f>
        <v/>
      </c>
      <c r="C1611">
        <f>IF(OR($A1611="",$B1611=""),"",IF(ISNUMBER($A1611),INT(MOD($A1611,10000)/100),IFERROR(VALUE(TRIM(LEFT(MID($A1611,FIND("/",$A1611)+1,20),FIND("/",MID($A1611,FIND("/",$A1611)+1,20))-1))),"")))</f>
        <v/>
      </c>
      <c r="D1611">
        <f>IF(OR($A1611="",$B1611=""),"",IF(ISNUMBER($A1611),MOD($A1611,100),IFERROR(VALUE(TRIM(MID(MID($A1611,FIND("/",$A1611)+1,20),FIND("/",MID($A1611,FIND("/",$A1611)+1,20))+1,20))),"")))</f>
        <v/>
      </c>
      <c r="E1611">
        <f>IF($A1611="","",IF(OR($B1611="",$C1611="",$D1611="",$B1611&lt;1300,$B1611&gt;1500,$C1611&lt;1,$C1611&gt;12,$D1611&lt;1,$D1611&gt;31),"نامعتبر",RIGHT("0000"&amp;$B1611,4)&amp;"/"&amp;RIGHT("00"&amp;$C1611,2)&amp;"/"&amp;RIGHT("00"&amp;$D1611,2)))</f>
        <v/>
      </c>
      <c r="F1611">
        <f>IF(OR($E1611="",$E1611="نامعتبر"),"",IF(Sync!$Q1608="","0000",IF(AND(ISNUMBER(Sync!$Q1608),Sync!$Q1608&gt;=0,Sync!$Q1608&lt;1),RIGHT("00"&amp;HOUR(Sync!$Q1608),2)&amp;RIGHT("00"&amp;MINUTE(Sync!$Q1608),2),IFERROR(RIGHT("00"&amp;VALUE(LEFT(Sync!$Q1608,FIND(":",Sync!$Q1608)-1)),2)&amp;RIGHT("00"&amp;VALUE(MID(Sync!$Q1608,FIND(":",Sync!$Q1608)+1,2)),2),"0000"))))</f>
        <v/>
      </c>
      <c r="G1611">
        <f>IF(OR($E1611="",$E1611="نامعتبر"),"",IF(Sync!$S1608="","",Sync!$S1608))</f>
        <v/>
      </c>
      <c r="H1611">
        <f>IF(OR($E1611="",$E1611="نامعتبر"),"",IF(Sync!$R1608="","",Sync!$R1608))</f>
        <v/>
      </c>
      <c r="I1611">
        <f>IF(OR($E1611="",$E1611="نامعتبر"),"",IF(Sync!$T1608="","",Sync!$T1608))</f>
        <v/>
      </c>
      <c r="J1611">
        <f>IF(OR($E1611="",$E1611="نامعتبر"),"",IF(Sync!$U1608="","",Sync!$U1608))</f>
        <v/>
      </c>
      <c r="K1611">
        <f>IF(OR($E1611="",$E1611="نامعتبر"),"",IF(Sync!$V1608="","",IFERROR(INDEX(SubCodes,MATCH(Sync!$V1608,SubTitles,0)),Sync!$V1608)))</f>
        <v/>
      </c>
      <c r="L1611">
        <f>IF(OR($E1611="",$E1611="نامعتبر"),"",IF(Sync!$W1608="",0,Sync!$W1608))</f>
        <v/>
      </c>
      <c r="M1611">
        <f>IF(OR($E1611="",$E1611="نامعتبر"),"",IF(Sync!$X1608="",0,Sync!$X1608))</f>
        <v/>
      </c>
      <c r="N1611">
        <f>IF(OR($E1611="",$E1611="نامعتبر"),"",IF(AND($J1611="هزینه",$K1611&lt;&gt;""),1,0))</f>
        <v/>
      </c>
      <c r="O1611">
        <f>IF($N1611=0,"",LEFT($E1611,4)&amp;MID($E1611,6,2)&amp;RIGHT($E1611,2)&amp;$F1611&amp;"|"&amp;"1"&amp;RIGHT("00000"&amp;1603,5))</f>
        <v/>
      </c>
      <c r="P1611">
        <f>IF($O1611="","",COUNTIFS(ExpSub,$K1611,ExpKey,"&lt;"&amp;$O1611)+1)</f>
        <v/>
      </c>
      <c r="Q1611">
        <f>IF($P1611="","",$K1611&amp;"|"&amp;RIGHT("000000"&amp;$P1611,6))</f>
        <v/>
      </c>
    </row>
    <row r="1612">
      <c r="A1612">
        <f>IF(Sync!$P1609="","",Sync!$P1609)</f>
        <v/>
      </c>
      <c r="B1612">
        <f>IF($A1612="","",IF(ISNUMBER($A1612),IF(AND($A1612&gt;=10000101,$A1612&lt;=99991231),INT($A1612/10000),""),IFERROR(VALUE(TRIM(LEFT($A1612,FIND("/",$A1612)-1))),"")))</f>
        <v/>
      </c>
      <c r="C1612">
        <f>IF(OR($A1612="",$B1612=""),"",IF(ISNUMBER($A1612),INT(MOD($A1612,10000)/100),IFERROR(VALUE(TRIM(LEFT(MID($A1612,FIND("/",$A1612)+1,20),FIND("/",MID($A1612,FIND("/",$A1612)+1,20))-1))),"")))</f>
        <v/>
      </c>
      <c r="D1612">
        <f>IF(OR($A1612="",$B1612=""),"",IF(ISNUMBER($A1612),MOD($A1612,100),IFERROR(VALUE(TRIM(MID(MID($A1612,FIND("/",$A1612)+1,20),FIND("/",MID($A1612,FIND("/",$A1612)+1,20))+1,20))),"")))</f>
        <v/>
      </c>
      <c r="E1612">
        <f>IF($A1612="","",IF(OR($B1612="",$C1612="",$D1612="",$B1612&lt;1300,$B1612&gt;1500,$C1612&lt;1,$C1612&gt;12,$D1612&lt;1,$D1612&gt;31),"نامعتبر",RIGHT("0000"&amp;$B1612,4)&amp;"/"&amp;RIGHT("00"&amp;$C1612,2)&amp;"/"&amp;RIGHT("00"&amp;$D1612,2)))</f>
        <v/>
      </c>
      <c r="F1612">
        <f>IF(OR($E1612="",$E1612="نامعتبر"),"",IF(Sync!$Q1609="","0000",IF(AND(ISNUMBER(Sync!$Q1609),Sync!$Q1609&gt;=0,Sync!$Q1609&lt;1),RIGHT("00"&amp;HOUR(Sync!$Q1609),2)&amp;RIGHT("00"&amp;MINUTE(Sync!$Q1609),2),IFERROR(RIGHT("00"&amp;VALUE(LEFT(Sync!$Q1609,FIND(":",Sync!$Q1609)-1)),2)&amp;RIGHT("00"&amp;VALUE(MID(Sync!$Q1609,FIND(":",Sync!$Q1609)+1,2)),2),"0000"))))</f>
        <v/>
      </c>
      <c r="G1612">
        <f>IF(OR($E1612="",$E1612="نامعتبر"),"",IF(Sync!$S1609="","",Sync!$S1609))</f>
        <v/>
      </c>
      <c r="H1612">
        <f>IF(OR($E1612="",$E1612="نامعتبر"),"",IF(Sync!$R1609="","",Sync!$R1609))</f>
        <v/>
      </c>
      <c r="I1612">
        <f>IF(OR($E1612="",$E1612="نامعتبر"),"",IF(Sync!$T1609="","",Sync!$T1609))</f>
        <v/>
      </c>
      <c r="J1612">
        <f>IF(OR($E1612="",$E1612="نامعتبر"),"",IF(Sync!$U1609="","",Sync!$U1609))</f>
        <v/>
      </c>
      <c r="K1612">
        <f>IF(OR($E1612="",$E1612="نامعتبر"),"",IF(Sync!$V1609="","",IFERROR(INDEX(SubCodes,MATCH(Sync!$V1609,SubTitles,0)),Sync!$V1609)))</f>
        <v/>
      </c>
      <c r="L1612">
        <f>IF(OR($E1612="",$E1612="نامعتبر"),"",IF(Sync!$W1609="",0,Sync!$W1609))</f>
        <v/>
      </c>
      <c r="M1612">
        <f>IF(OR($E1612="",$E1612="نامعتبر"),"",IF(Sync!$X1609="",0,Sync!$X1609))</f>
        <v/>
      </c>
      <c r="N1612">
        <f>IF(OR($E1612="",$E1612="نامعتبر"),"",IF(AND($J1612="هزینه",$K1612&lt;&gt;""),1,0))</f>
        <v/>
      </c>
      <c r="O1612">
        <f>IF($N1612=0,"",LEFT($E1612,4)&amp;MID($E1612,6,2)&amp;RIGHT($E1612,2)&amp;$F1612&amp;"|"&amp;"1"&amp;RIGHT("00000"&amp;1604,5))</f>
        <v/>
      </c>
      <c r="P1612">
        <f>IF($O1612="","",COUNTIFS(ExpSub,$K1612,ExpKey,"&lt;"&amp;$O1612)+1)</f>
        <v/>
      </c>
      <c r="Q1612">
        <f>IF($P1612="","",$K1612&amp;"|"&amp;RIGHT("000000"&amp;$P1612,6))</f>
        <v/>
      </c>
    </row>
    <row r="1613">
      <c r="A1613">
        <f>IF(Sync!$P1610="","",Sync!$P1610)</f>
        <v/>
      </c>
      <c r="B1613">
        <f>IF($A1613="","",IF(ISNUMBER($A1613),IF(AND($A1613&gt;=10000101,$A1613&lt;=99991231),INT($A1613/10000),""),IFERROR(VALUE(TRIM(LEFT($A1613,FIND("/",$A1613)-1))),"")))</f>
        <v/>
      </c>
      <c r="C1613">
        <f>IF(OR($A1613="",$B1613=""),"",IF(ISNUMBER($A1613),INT(MOD($A1613,10000)/100),IFERROR(VALUE(TRIM(LEFT(MID($A1613,FIND("/",$A1613)+1,20),FIND("/",MID($A1613,FIND("/",$A1613)+1,20))-1))),"")))</f>
        <v/>
      </c>
      <c r="D1613">
        <f>IF(OR($A1613="",$B1613=""),"",IF(ISNUMBER($A1613),MOD($A1613,100),IFERROR(VALUE(TRIM(MID(MID($A1613,FIND("/",$A1613)+1,20),FIND("/",MID($A1613,FIND("/",$A1613)+1,20))+1,20))),"")))</f>
        <v/>
      </c>
      <c r="E1613">
        <f>IF($A1613="","",IF(OR($B1613="",$C1613="",$D1613="",$B1613&lt;1300,$B1613&gt;1500,$C1613&lt;1,$C1613&gt;12,$D1613&lt;1,$D1613&gt;31),"نامعتبر",RIGHT("0000"&amp;$B1613,4)&amp;"/"&amp;RIGHT("00"&amp;$C1613,2)&amp;"/"&amp;RIGHT("00"&amp;$D1613,2)))</f>
        <v/>
      </c>
      <c r="F1613">
        <f>IF(OR($E1613="",$E1613="نامعتبر"),"",IF(Sync!$Q1610="","0000",IF(AND(ISNUMBER(Sync!$Q1610),Sync!$Q1610&gt;=0,Sync!$Q1610&lt;1),RIGHT("00"&amp;HOUR(Sync!$Q1610),2)&amp;RIGHT("00"&amp;MINUTE(Sync!$Q1610),2),IFERROR(RIGHT("00"&amp;VALUE(LEFT(Sync!$Q1610,FIND(":",Sync!$Q1610)-1)),2)&amp;RIGHT("00"&amp;VALUE(MID(Sync!$Q1610,FIND(":",Sync!$Q1610)+1,2)),2),"0000"))))</f>
        <v/>
      </c>
      <c r="G1613">
        <f>IF(OR($E1613="",$E1613="نامعتبر"),"",IF(Sync!$S1610="","",Sync!$S1610))</f>
        <v/>
      </c>
      <c r="H1613">
        <f>IF(OR($E1613="",$E1613="نامعتبر"),"",IF(Sync!$R1610="","",Sync!$R1610))</f>
        <v/>
      </c>
      <c r="I1613">
        <f>IF(OR($E1613="",$E1613="نامعتبر"),"",IF(Sync!$T1610="","",Sync!$T1610))</f>
        <v/>
      </c>
      <c r="J1613">
        <f>IF(OR($E1613="",$E1613="نامعتبر"),"",IF(Sync!$U1610="","",Sync!$U1610))</f>
        <v/>
      </c>
      <c r="K1613">
        <f>IF(OR($E1613="",$E1613="نامعتبر"),"",IF(Sync!$V1610="","",IFERROR(INDEX(SubCodes,MATCH(Sync!$V1610,SubTitles,0)),Sync!$V1610)))</f>
        <v/>
      </c>
      <c r="L1613">
        <f>IF(OR($E1613="",$E1613="نامعتبر"),"",IF(Sync!$W1610="",0,Sync!$W1610))</f>
        <v/>
      </c>
      <c r="M1613">
        <f>IF(OR($E1613="",$E1613="نامعتبر"),"",IF(Sync!$X1610="",0,Sync!$X1610))</f>
        <v/>
      </c>
      <c r="N1613">
        <f>IF(OR($E1613="",$E1613="نامعتبر"),"",IF(AND($J1613="هزینه",$K1613&lt;&gt;""),1,0))</f>
        <v/>
      </c>
      <c r="O1613">
        <f>IF($N1613=0,"",LEFT($E1613,4)&amp;MID($E1613,6,2)&amp;RIGHT($E1613,2)&amp;$F1613&amp;"|"&amp;"1"&amp;RIGHT("00000"&amp;1605,5))</f>
        <v/>
      </c>
      <c r="P1613">
        <f>IF($O1613="","",COUNTIFS(ExpSub,$K1613,ExpKey,"&lt;"&amp;$O1613)+1)</f>
        <v/>
      </c>
      <c r="Q1613">
        <f>IF($P1613="","",$K1613&amp;"|"&amp;RIGHT("000000"&amp;$P1613,6))</f>
        <v/>
      </c>
    </row>
    <row r="1614">
      <c r="A1614">
        <f>IF(Sync!$P1611="","",Sync!$P1611)</f>
        <v/>
      </c>
      <c r="B1614">
        <f>IF($A1614="","",IF(ISNUMBER($A1614),IF(AND($A1614&gt;=10000101,$A1614&lt;=99991231),INT($A1614/10000),""),IFERROR(VALUE(TRIM(LEFT($A1614,FIND("/",$A1614)-1))),"")))</f>
        <v/>
      </c>
      <c r="C1614">
        <f>IF(OR($A1614="",$B1614=""),"",IF(ISNUMBER($A1614),INT(MOD($A1614,10000)/100),IFERROR(VALUE(TRIM(LEFT(MID($A1614,FIND("/",$A1614)+1,20),FIND("/",MID($A1614,FIND("/",$A1614)+1,20))-1))),"")))</f>
        <v/>
      </c>
      <c r="D1614">
        <f>IF(OR($A1614="",$B1614=""),"",IF(ISNUMBER($A1614),MOD($A1614,100),IFERROR(VALUE(TRIM(MID(MID($A1614,FIND("/",$A1614)+1,20),FIND("/",MID($A1614,FIND("/",$A1614)+1,20))+1,20))),"")))</f>
        <v/>
      </c>
      <c r="E1614">
        <f>IF($A1614="","",IF(OR($B1614="",$C1614="",$D1614="",$B1614&lt;1300,$B1614&gt;1500,$C1614&lt;1,$C1614&gt;12,$D1614&lt;1,$D1614&gt;31),"نامعتبر",RIGHT("0000"&amp;$B1614,4)&amp;"/"&amp;RIGHT("00"&amp;$C1614,2)&amp;"/"&amp;RIGHT("00"&amp;$D1614,2)))</f>
        <v/>
      </c>
      <c r="F1614">
        <f>IF(OR($E1614="",$E1614="نامعتبر"),"",IF(Sync!$Q1611="","0000",IF(AND(ISNUMBER(Sync!$Q1611),Sync!$Q1611&gt;=0,Sync!$Q1611&lt;1),RIGHT("00"&amp;HOUR(Sync!$Q1611),2)&amp;RIGHT("00"&amp;MINUTE(Sync!$Q1611),2),IFERROR(RIGHT("00"&amp;VALUE(LEFT(Sync!$Q1611,FIND(":",Sync!$Q1611)-1)),2)&amp;RIGHT("00"&amp;VALUE(MID(Sync!$Q1611,FIND(":",Sync!$Q1611)+1,2)),2),"0000"))))</f>
        <v/>
      </c>
      <c r="G1614">
        <f>IF(OR($E1614="",$E1614="نامعتبر"),"",IF(Sync!$S1611="","",Sync!$S1611))</f>
        <v/>
      </c>
      <c r="H1614">
        <f>IF(OR($E1614="",$E1614="نامعتبر"),"",IF(Sync!$R1611="","",Sync!$R1611))</f>
        <v/>
      </c>
      <c r="I1614">
        <f>IF(OR($E1614="",$E1614="نامعتبر"),"",IF(Sync!$T1611="","",Sync!$T1611))</f>
        <v/>
      </c>
      <c r="J1614">
        <f>IF(OR($E1614="",$E1614="نامعتبر"),"",IF(Sync!$U1611="","",Sync!$U1611))</f>
        <v/>
      </c>
      <c r="K1614">
        <f>IF(OR($E1614="",$E1614="نامعتبر"),"",IF(Sync!$V1611="","",IFERROR(INDEX(SubCodes,MATCH(Sync!$V1611,SubTitles,0)),Sync!$V1611)))</f>
        <v/>
      </c>
      <c r="L1614">
        <f>IF(OR($E1614="",$E1614="نامعتبر"),"",IF(Sync!$W1611="",0,Sync!$W1611))</f>
        <v/>
      </c>
      <c r="M1614">
        <f>IF(OR($E1614="",$E1614="نامعتبر"),"",IF(Sync!$X1611="",0,Sync!$X1611))</f>
        <v/>
      </c>
      <c r="N1614">
        <f>IF(OR($E1614="",$E1614="نامعتبر"),"",IF(AND($J1614="هزینه",$K1614&lt;&gt;""),1,0))</f>
        <v/>
      </c>
      <c r="O1614">
        <f>IF($N1614=0,"",LEFT($E1614,4)&amp;MID($E1614,6,2)&amp;RIGHT($E1614,2)&amp;$F1614&amp;"|"&amp;"1"&amp;RIGHT("00000"&amp;1606,5))</f>
        <v/>
      </c>
      <c r="P1614">
        <f>IF($O1614="","",COUNTIFS(ExpSub,$K1614,ExpKey,"&lt;"&amp;$O1614)+1)</f>
        <v/>
      </c>
      <c r="Q1614">
        <f>IF($P1614="","",$K1614&amp;"|"&amp;RIGHT("000000"&amp;$P1614,6))</f>
        <v/>
      </c>
    </row>
    <row r="1615">
      <c r="A1615">
        <f>IF(Sync!$P1612="","",Sync!$P1612)</f>
        <v/>
      </c>
      <c r="B1615">
        <f>IF($A1615="","",IF(ISNUMBER($A1615),IF(AND($A1615&gt;=10000101,$A1615&lt;=99991231),INT($A1615/10000),""),IFERROR(VALUE(TRIM(LEFT($A1615,FIND("/",$A1615)-1))),"")))</f>
        <v/>
      </c>
      <c r="C1615">
        <f>IF(OR($A1615="",$B1615=""),"",IF(ISNUMBER($A1615),INT(MOD($A1615,10000)/100),IFERROR(VALUE(TRIM(LEFT(MID($A1615,FIND("/",$A1615)+1,20),FIND("/",MID($A1615,FIND("/",$A1615)+1,20))-1))),"")))</f>
        <v/>
      </c>
      <c r="D1615">
        <f>IF(OR($A1615="",$B1615=""),"",IF(ISNUMBER($A1615),MOD($A1615,100),IFERROR(VALUE(TRIM(MID(MID($A1615,FIND("/",$A1615)+1,20),FIND("/",MID($A1615,FIND("/",$A1615)+1,20))+1,20))),"")))</f>
        <v/>
      </c>
      <c r="E1615">
        <f>IF($A1615="","",IF(OR($B1615="",$C1615="",$D1615="",$B1615&lt;1300,$B1615&gt;1500,$C1615&lt;1,$C1615&gt;12,$D1615&lt;1,$D1615&gt;31),"نامعتبر",RIGHT("0000"&amp;$B1615,4)&amp;"/"&amp;RIGHT("00"&amp;$C1615,2)&amp;"/"&amp;RIGHT("00"&amp;$D1615,2)))</f>
        <v/>
      </c>
      <c r="F1615">
        <f>IF(OR($E1615="",$E1615="نامعتبر"),"",IF(Sync!$Q1612="","0000",IF(AND(ISNUMBER(Sync!$Q1612),Sync!$Q1612&gt;=0,Sync!$Q1612&lt;1),RIGHT("00"&amp;HOUR(Sync!$Q1612),2)&amp;RIGHT("00"&amp;MINUTE(Sync!$Q1612),2),IFERROR(RIGHT("00"&amp;VALUE(LEFT(Sync!$Q1612,FIND(":",Sync!$Q1612)-1)),2)&amp;RIGHT("00"&amp;VALUE(MID(Sync!$Q1612,FIND(":",Sync!$Q1612)+1,2)),2),"0000"))))</f>
        <v/>
      </c>
      <c r="G1615">
        <f>IF(OR($E1615="",$E1615="نامعتبر"),"",IF(Sync!$S1612="","",Sync!$S1612))</f>
        <v/>
      </c>
      <c r="H1615">
        <f>IF(OR($E1615="",$E1615="نامعتبر"),"",IF(Sync!$R1612="","",Sync!$R1612))</f>
        <v/>
      </c>
      <c r="I1615">
        <f>IF(OR($E1615="",$E1615="نامعتبر"),"",IF(Sync!$T1612="","",Sync!$T1612))</f>
        <v/>
      </c>
      <c r="J1615">
        <f>IF(OR($E1615="",$E1615="نامعتبر"),"",IF(Sync!$U1612="","",Sync!$U1612))</f>
        <v/>
      </c>
      <c r="K1615">
        <f>IF(OR($E1615="",$E1615="نامعتبر"),"",IF(Sync!$V1612="","",IFERROR(INDEX(SubCodes,MATCH(Sync!$V1612,SubTitles,0)),Sync!$V1612)))</f>
        <v/>
      </c>
      <c r="L1615">
        <f>IF(OR($E1615="",$E1615="نامعتبر"),"",IF(Sync!$W1612="",0,Sync!$W1612))</f>
        <v/>
      </c>
      <c r="M1615">
        <f>IF(OR($E1615="",$E1615="نامعتبر"),"",IF(Sync!$X1612="",0,Sync!$X1612))</f>
        <v/>
      </c>
      <c r="N1615">
        <f>IF(OR($E1615="",$E1615="نامعتبر"),"",IF(AND($J1615="هزینه",$K1615&lt;&gt;""),1,0))</f>
        <v/>
      </c>
      <c r="O1615">
        <f>IF($N1615=0,"",LEFT($E1615,4)&amp;MID($E1615,6,2)&amp;RIGHT($E1615,2)&amp;$F1615&amp;"|"&amp;"1"&amp;RIGHT("00000"&amp;1607,5))</f>
        <v/>
      </c>
      <c r="P1615">
        <f>IF($O1615="","",COUNTIFS(ExpSub,$K1615,ExpKey,"&lt;"&amp;$O1615)+1)</f>
        <v/>
      </c>
      <c r="Q1615">
        <f>IF($P1615="","",$K1615&amp;"|"&amp;RIGHT("000000"&amp;$P1615,6))</f>
        <v/>
      </c>
    </row>
    <row r="1616">
      <c r="A1616">
        <f>IF(Sync!$P1613="","",Sync!$P1613)</f>
        <v/>
      </c>
      <c r="B1616">
        <f>IF($A1616="","",IF(ISNUMBER($A1616),IF(AND($A1616&gt;=10000101,$A1616&lt;=99991231),INT($A1616/10000),""),IFERROR(VALUE(TRIM(LEFT($A1616,FIND("/",$A1616)-1))),"")))</f>
        <v/>
      </c>
      <c r="C1616">
        <f>IF(OR($A1616="",$B1616=""),"",IF(ISNUMBER($A1616),INT(MOD($A1616,10000)/100),IFERROR(VALUE(TRIM(LEFT(MID($A1616,FIND("/",$A1616)+1,20),FIND("/",MID($A1616,FIND("/",$A1616)+1,20))-1))),"")))</f>
        <v/>
      </c>
      <c r="D1616">
        <f>IF(OR($A1616="",$B1616=""),"",IF(ISNUMBER($A1616),MOD($A1616,100),IFERROR(VALUE(TRIM(MID(MID($A1616,FIND("/",$A1616)+1,20),FIND("/",MID($A1616,FIND("/",$A1616)+1,20))+1,20))),"")))</f>
        <v/>
      </c>
      <c r="E1616">
        <f>IF($A1616="","",IF(OR($B1616="",$C1616="",$D1616="",$B1616&lt;1300,$B1616&gt;1500,$C1616&lt;1,$C1616&gt;12,$D1616&lt;1,$D1616&gt;31),"نامعتبر",RIGHT("0000"&amp;$B1616,4)&amp;"/"&amp;RIGHT("00"&amp;$C1616,2)&amp;"/"&amp;RIGHT("00"&amp;$D1616,2)))</f>
        <v/>
      </c>
      <c r="F1616">
        <f>IF(OR($E1616="",$E1616="نامعتبر"),"",IF(Sync!$Q1613="","0000",IF(AND(ISNUMBER(Sync!$Q1613),Sync!$Q1613&gt;=0,Sync!$Q1613&lt;1),RIGHT("00"&amp;HOUR(Sync!$Q1613),2)&amp;RIGHT("00"&amp;MINUTE(Sync!$Q1613),2),IFERROR(RIGHT("00"&amp;VALUE(LEFT(Sync!$Q1613,FIND(":",Sync!$Q1613)-1)),2)&amp;RIGHT("00"&amp;VALUE(MID(Sync!$Q1613,FIND(":",Sync!$Q1613)+1,2)),2),"0000"))))</f>
        <v/>
      </c>
      <c r="G1616">
        <f>IF(OR($E1616="",$E1616="نامعتبر"),"",IF(Sync!$S1613="","",Sync!$S1613))</f>
        <v/>
      </c>
      <c r="H1616">
        <f>IF(OR($E1616="",$E1616="نامعتبر"),"",IF(Sync!$R1613="","",Sync!$R1613))</f>
        <v/>
      </c>
      <c r="I1616">
        <f>IF(OR($E1616="",$E1616="نامعتبر"),"",IF(Sync!$T1613="","",Sync!$T1613))</f>
        <v/>
      </c>
      <c r="J1616">
        <f>IF(OR($E1616="",$E1616="نامعتبر"),"",IF(Sync!$U1613="","",Sync!$U1613))</f>
        <v/>
      </c>
      <c r="K1616">
        <f>IF(OR($E1616="",$E1616="نامعتبر"),"",IF(Sync!$V1613="","",IFERROR(INDEX(SubCodes,MATCH(Sync!$V1613,SubTitles,0)),Sync!$V1613)))</f>
        <v/>
      </c>
      <c r="L1616">
        <f>IF(OR($E1616="",$E1616="نامعتبر"),"",IF(Sync!$W1613="",0,Sync!$W1613))</f>
        <v/>
      </c>
      <c r="M1616">
        <f>IF(OR($E1616="",$E1616="نامعتبر"),"",IF(Sync!$X1613="",0,Sync!$X1613))</f>
        <v/>
      </c>
      <c r="N1616">
        <f>IF(OR($E1616="",$E1616="نامعتبر"),"",IF(AND($J1616="هزینه",$K1616&lt;&gt;""),1,0))</f>
        <v/>
      </c>
      <c r="O1616">
        <f>IF($N1616=0,"",LEFT($E1616,4)&amp;MID($E1616,6,2)&amp;RIGHT($E1616,2)&amp;$F1616&amp;"|"&amp;"1"&amp;RIGHT("00000"&amp;1608,5))</f>
        <v/>
      </c>
      <c r="P1616">
        <f>IF($O1616="","",COUNTIFS(ExpSub,$K1616,ExpKey,"&lt;"&amp;$O1616)+1)</f>
        <v/>
      </c>
      <c r="Q1616">
        <f>IF($P1616="","",$K1616&amp;"|"&amp;RIGHT("000000"&amp;$P1616,6))</f>
        <v/>
      </c>
    </row>
    <row r="1617">
      <c r="A1617">
        <f>IF(Sync!$P1614="","",Sync!$P1614)</f>
        <v/>
      </c>
      <c r="B1617">
        <f>IF($A1617="","",IF(ISNUMBER($A1617),IF(AND($A1617&gt;=10000101,$A1617&lt;=99991231),INT($A1617/10000),""),IFERROR(VALUE(TRIM(LEFT($A1617,FIND("/",$A1617)-1))),"")))</f>
        <v/>
      </c>
      <c r="C1617">
        <f>IF(OR($A1617="",$B1617=""),"",IF(ISNUMBER($A1617),INT(MOD($A1617,10000)/100),IFERROR(VALUE(TRIM(LEFT(MID($A1617,FIND("/",$A1617)+1,20),FIND("/",MID($A1617,FIND("/",$A1617)+1,20))-1))),"")))</f>
        <v/>
      </c>
      <c r="D1617">
        <f>IF(OR($A1617="",$B1617=""),"",IF(ISNUMBER($A1617),MOD($A1617,100),IFERROR(VALUE(TRIM(MID(MID($A1617,FIND("/",$A1617)+1,20),FIND("/",MID($A1617,FIND("/",$A1617)+1,20))+1,20))),"")))</f>
        <v/>
      </c>
      <c r="E1617">
        <f>IF($A1617="","",IF(OR($B1617="",$C1617="",$D1617="",$B1617&lt;1300,$B1617&gt;1500,$C1617&lt;1,$C1617&gt;12,$D1617&lt;1,$D1617&gt;31),"نامعتبر",RIGHT("0000"&amp;$B1617,4)&amp;"/"&amp;RIGHT("00"&amp;$C1617,2)&amp;"/"&amp;RIGHT("00"&amp;$D1617,2)))</f>
        <v/>
      </c>
      <c r="F1617">
        <f>IF(OR($E1617="",$E1617="نامعتبر"),"",IF(Sync!$Q1614="","0000",IF(AND(ISNUMBER(Sync!$Q1614),Sync!$Q1614&gt;=0,Sync!$Q1614&lt;1),RIGHT("00"&amp;HOUR(Sync!$Q1614),2)&amp;RIGHT("00"&amp;MINUTE(Sync!$Q1614),2),IFERROR(RIGHT("00"&amp;VALUE(LEFT(Sync!$Q1614,FIND(":",Sync!$Q1614)-1)),2)&amp;RIGHT("00"&amp;VALUE(MID(Sync!$Q1614,FIND(":",Sync!$Q1614)+1,2)),2),"0000"))))</f>
        <v/>
      </c>
      <c r="G1617">
        <f>IF(OR($E1617="",$E1617="نامعتبر"),"",IF(Sync!$S1614="","",Sync!$S1614))</f>
        <v/>
      </c>
      <c r="H1617">
        <f>IF(OR($E1617="",$E1617="نامعتبر"),"",IF(Sync!$R1614="","",Sync!$R1614))</f>
        <v/>
      </c>
      <c r="I1617">
        <f>IF(OR($E1617="",$E1617="نامعتبر"),"",IF(Sync!$T1614="","",Sync!$T1614))</f>
        <v/>
      </c>
      <c r="J1617">
        <f>IF(OR($E1617="",$E1617="نامعتبر"),"",IF(Sync!$U1614="","",Sync!$U1614))</f>
        <v/>
      </c>
      <c r="K1617">
        <f>IF(OR($E1617="",$E1617="نامعتبر"),"",IF(Sync!$V1614="","",IFERROR(INDEX(SubCodes,MATCH(Sync!$V1614,SubTitles,0)),Sync!$V1614)))</f>
        <v/>
      </c>
      <c r="L1617">
        <f>IF(OR($E1617="",$E1617="نامعتبر"),"",IF(Sync!$W1614="",0,Sync!$W1614))</f>
        <v/>
      </c>
      <c r="M1617">
        <f>IF(OR($E1617="",$E1617="نامعتبر"),"",IF(Sync!$X1614="",0,Sync!$X1614))</f>
        <v/>
      </c>
      <c r="N1617">
        <f>IF(OR($E1617="",$E1617="نامعتبر"),"",IF(AND($J1617="هزینه",$K1617&lt;&gt;""),1,0))</f>
        <v/>
      </c>
      <c r="O1617">
        <f>IF($N1617=0,"",LEFT($E1617,4)&amp;MID($E1617,6,2)&amp;RIGHT($E1617,2)&amp;$F1617&amp;"|"&amp;"1"&amp;RIGHT("00000"&amp;1609,5))</f>
        <v/>
      </c>
      <c r="P1617">
        <f>IF($O1617="","",COUNTIFS(ExpSub,$K1617,ExpKey,"&lt;"&amp;$O1617)+1)</f>
        <v/>
      </c>
      <c r="Q1617">
        <f>IF($P1617="","",$K1617&amp;"|"&amp;RIGHT("000000"&amp;$P1617,6))</f>
        <v/>
      </c>
    </row>
    <row r="1618">
      <c r="A1618">
        <f>IF(Sync!$P1615="","",Sync!$P1615)</f>
        <v/>
      </c>
      <c r="B1618">
        <f>IF($A1618="","",IF(ISNUMBER($A1618),IF(AND($A1618&gt;=10000101,$A1618&lt;=99991231),INT($A1618/10000),""),IFERROR(VALUE(TRIM(LEFT($A1618,FIND("/",$A1618)-1))),"")))</f>
        <v/>
      </c>
      <c r="C1618">
        <f>IF(OR($A1618="",$B1618=""),"",IF(ISNUMBER($A1618),INT(MOD($A1618,10000)/100),IFERROR(VALUE(TRIM(LEFT(MID($A1618,FIND("/",$A1618)+1,20),FIND("/",MID($A1618,FIND("/",$A1618)+1,20))-1))),"")))</f>
        <v/>
      </c>
      <c r="D1618">
        <f>IF(OR($A1618="",$B1618=""),"",IF(ISNUMBER($A1618),MOD($A1618,100),IFERROR(VALUE(TRIM(MID(MID($A1618,FIND("/",$A1618)+1,20),FIND("/",MID($A1618,FIND("/",$A1618)+1,20))+1,20))),"")))</f>
        <v/>
      </c>
      <c r="E1618">
        <f>IF($A1618="","",IF(OR($B1618="",$C1618="",$D1618="",$B1618&lt;1300,$B1618&gt;1500,$C1618&lt;1,$C1618&gt;12,$D1618&lt;1,$D1618&gt;31),"نامعتبر",RIGHT("0000"&amp;$B1618,4)&amp;"/"&amp;RIGHT("00"&amp;$C1618,2)&amp;"/"&amp;RIGHT("00"&amp;$D1618,2)))</f>
        <v/>
      </c>
      <c r="F1618">
        <f>IF(OR($E1618="",$E1618="نامعتبر"),"",IF(Sync!$Q1615="","0000",IF(AND(ISNUMBER(Sync!$Q1615),Sync!$Q1615&gt;=0,Sync!$Q1615&lt;1),RIGHT("00"&amp;HOUR(Sync!$Q1615),2)&amp;RIGHT("00"&amp;MINUTE(Sync!$Q1615),2),IFERROR(RIGHT("00"&amp;VALUE(LEFT(Sync!$Q1615,FIND(":",Sync!$Q1615)-1)),2)&amp;RIGHT("00"&amp;VALUE(MID(Sync!$Q1615,FIND(":",Sync!$Q1615)+1,2)),2),"0000"))))</f>
        <v/>
      </c>
      <c r="G1618">
        <f>IF(OR($E1618="",$E1618="نامعتبر"),"",IF(Sync!$S1615="","",Sync!$S1615))</f>
        <v/>
      </c>
      <c r="H1618">
        <f>IF(OR($E1618="",$E1618="نامعتبر"),"",IF(Sync!$R1615="","",Sync!$R1615))</f>
        <v/>
      </c>
      <c r="I1618">
        <f>IF(OR($E1618="",$E1618="نامعتبر"),"",IF(Sync!$T1615="","",Sync!$T1615))</f>
        <v/>
      </c>
      <c r="J1618">
        <f>IF(OR($E1618="",$E1618="نامعتبر"),"",IF(Sync!$U1615="","",Sync!$U1615))</f>
        <v/>
      </c>
      <c r="K1618">
        <f>IF(OR($E1618="",$E1618="نامعتبر"),"",IF(Sync!$V1615="","",IFERROR(INDEX(SubCodes,MATCH(Sync!$V1615,SubTitles,0)),Sync!$V1615)))</f>
        <v/>
      </c>
      <c r="L1618">
        <f>IF(OR($E1618="",$E1618="نامعتبر"),"",IF(Sync!$W1615="",0,Sync!$W1615))</f>
        <v/>
      </c>
      <c r="M1618">
        <f>IF(OR($E1618="",$E1618="نامعتبر"),"",IF(Sync!$X1615="",0,Sync!$X1615))</f>
        <v/>
      </c>
      <c r="N1618">
        <f>IF(OR($E1618="",$E1618="نامعتبر"),"",IF(AND($J1618="هزینه",$K1618&lt;&gt;""),1,0))</f>
        <v/>
      </c>
      <c r="O1618">
        <f>IF($N1618=0,"",LEFT($E1618,4)&amp;MID($E1618,6,2)&amp;RIGHT($E1618,2)&amp;$F1618&amp;"|"&amp;"1"&amp;RIGHT("00000"&amp;1610,5))</f>
        <v/>
      </c>
      <c r="P1618">
        <f>IF($O1618="","",COUNTIFS(ExpSub,$K1618,ExpKey,"&lt;"&amp;$O1618)+1)</f>
        <v/>
      </c>
      <c r="Q1618">
        <f>IF($P1618="","",$K1618&amp;"|"&amp;RIGHT("000000"&amp;$P1618,6))</f>
        <v/>
      </c>
    </row>
    <row r="1619">
      <c r="A1619">
        <f>IF(Sync!$P1616="","",Sync!$P1616)</f>
        <v/>
      </c>
      <c r="B1619">
        <f>IF($A1619="","",IF(ISNUMBER($A1619),IF(AND($A1619&gt;=10000101,$A1619&lt;=99991231),INT($A1619/10000),""),IFERROR(VALUE(TRIM(LEFT($A1619,FIND("/",$A1619)-1))),"")))</f>
        <v/>
      </c>
      <c r="C1619">
        <f>IF(OR($A1619="",$B1619=""),"",IF(ISNUMBER($A1619),INT(MOD($A1619,10000)/100),IFERROR(VALUE(TRIM(LEFT(MID($A1619,FIND("/",$A1619)+1,20),FIND("/",MID($A1619,FIND("/",$A1619)+1,20))-1))),"")))</f>
        <v/>
      </c>
      <c r="D1619">
        <f>IF(OR($A1619="",$B1619=""),"",IF(ISNUMBER($A1619),MOD($A1619,100),IFERROR(VALUE(TRIM(MID(MID($A1619,FIND("/",$A1619)+1,20),FIND("/",MID($A1619,FIND("/",$A1619)+1,20))+1,20))),"")))</f>
        <v/>
      </c>
      <c r="E1619">
        <f>IF($A1619="","",IF(OR($B1619="",$C1619="",$D1619="",$B1619&lt;1300,$B1619&gt;1500,$C1619&lt;1,$C1619&gt;12,$D1619&lt;1,$D1619&gt;31),"نامعتبر",RIGHT("0000"&amp;$B1619,4)&amp;"/"&amp;RIGHT("00"&amp;$C1619,2)&amp;"/"&amp;RIGHT("00"&amp;$D1619,2)))</f>
        <v/>
      </c>
      <c r="F1619">
        <f>IF(OR($E1619="",$E1619="نامعتبر"),"",IF(Sync!$Q1616="","0000",IF(AND(ISNUMBER(Sync!$Q1616),Sync!$Q1616&gt;=0,Sync!$Q1616&lt;1),RIGHT("00"&amp;HOUR(Sync!$Q1616),2)&amp;RIGHT("00"&amp;MINUTE(Sync!$Q1616),2),IFERROR(RIGHT("00"&amp;VALUE(LEFT(Sync!$Q1616,FIND(":",Sync!$Q1616)-1)),2)&amp;RIGHT("00"&amp;VALUE(MID(Sync!$Q1616,FIND(":",Sync!$Q1616)+1,2)),2),"0000"))))</f>
        <v/>
      </c>
      <c r="G1619">
        <f>IF(OR($E1619="",$E1619="نامعتبر"),"",IF(Sync!$S1616="","",Sync!$S1616))</f>
        <v/>
      </c>
      <c r="H1619">
        <f>IF(OR($E1619="",$E1619="نامعتبر"),"",IF(Sync!$R1616="","",Sync!$R1616))</f>
        <v/>
      </c>
      <c r="I1619">
        <f>IF(OR($E1619="",$E1619="نامعتبر"),"",IF(Sync!$T1616="","",Sync!$T1616))</f>
        <v/>
      </c>
      <c r="J1619">
        <f>IF(OR($E1619="",$E1619="نامعتبر"),"",IF(Sync!$U1616="","",Sync!$U1616))</f>
        <v/>
      </c>
      <c r="K1619">
        <f>IF(OR($E1619="",$E1619="نامعتبر"),"",IF(Sync!$V1616="","",IFERROR(INDEX(SubCodes,MATCH(Sync!$V1616,SubTitles,0)),Sync!$V1616)))</f>
        <v/>
      </c>
      <c r="L1619">
        <f>IF(OR($E1619="",$E1619="نامعتبر"),"",IF(Sync!$W1616="",0,Sync!$W1616))</f>
        <v/>
      </c>
      <c r="M1619">
        <f>IF(OR($E1619="",$E1619="نامعتبر"),"",IF(Sync!$X1616="",0,Sync!$X1616))</f>
        <v/>
      </c>
      <c r="N1619">
        <f>IF(OR($E1619="",$E1619="نامعتبر"),"",IF(AND($J1619="هزینه",$K1619&lt;&gt;""),1,0))</f>
        <v/>
      </c>
      <c r="O1619">
        <f>IF($N1619=0,"",LEFT($E1619,4)&amp;MID($E1619,6,2)&amp;RIGHT($E1619,2)&amp;$F1619&amp;"|"&amp;"1"&amp;RIGHT("00000"&amp;1611,5))</f>
        <v/>
      </c>
      <c r="P1619">
        <f>IF($O1619="","",COUNTIFS(ExpSub,$K1619,ExpKey,"&lt;"&amp;$O1619)+1)</f>
        <v/>
      </c>
      <c r="Q1619">
        <f>IF($P1619="","",$K1619&amp;"|"&amp;RIGHT("000000"&amp;$P1619,6))</f>
        <v/>
      </c>
    </row>
    <row r="1620">
      <c r="A1620">
        <f>IF(Sync!$P1617="","",Sync!$P1617)</f>
        <v/>
      </c>
      <c r="B1620">
        <f>IF($A1620="","",IF(ISNUMBER($A1620),IF(AND($A1620&gt;=10000101,$A1620&lt;=99991231),INT($A1620/10000),""),IFERROR(VALUE(TRIM(LEFT($A1620,FIND("/",$A1620)-1))),"")))</f>
        <v/>
      </c>
      <c r="C1620">
        <f>IF(OR($A1620="",$B1620=""),"",IF(ISNUMBER($A1620),INT(MOD($A1620,10000)/100),IFERROR(VALUE(TRIM(LEFT(MID($A1620,FIND("/",$A1620)+1,20),FIND("/",MID($A1620,FIND("/",$A1620)+1,20))-1))),"")))</f>
        <v/>
      </c>
      <c r="D1620">
        <f>IF(OR($A1620="",$B1620=""),"",IF(ISNUMBER($A1620),MOD($A1620,100),IFERROR(VALUE(TRIM(MID(MID($A1620,FIND("/",$A1620)+1,20),FIND("/",MID($A1620,FIND("/",$A1620)+1,20))+1,20))),"")))</f>
        <v/>
      </c>
      <c r="E1620">
        <f>IF($A1620="","",IF(OR($B1620="",$C1620="",$D1620="",$B1620&lt;1300,$B1620&gt;1500,$C1620&lt;1,$C1620&gt;12,$D1620&lt;1,$D1620&gt;31),"نامعتبر",RIGHT("0000"&amp;$B1620,4)&amp;"/"&amp;RIGHT("00"&amp;$C1620,2)&amp;"/"&amp;RIGHT("00"&amp;$D1620,2)))</f>
        <v/>
      </c>
      <c r="F1620">
        <f>IF(OR($E1620="",$E1620="نامعتبر"),"",IF(Sync!$Q1617="","0000",IF(AND(ISNUMBER(Sync!$Q1617),Sync!$Q1617&gt;=0,Sync!$Q1617&lt;1),RIGHT("00"&amp;HOUR(Sync!$Q1617),2)&amp;RIGHT("00"&amp;MINUTE(Sync!$Q1617),2),IFERROR(RIGHT("00"&amp;VALUE(LEFT(Sync!$Q1617,FIND(":",Sync!$Q1617)-1)),2)&amp;RIGHT("00"&amp;VALUE(MID(Sync!$Q1617,FIND(":",Sync!$Q1617)+1,2)),2),"0000"))))</f>
        <v/>
      </c>
      <c r="G1620">
        <f>IF(OR($E1620="",$E1620="نامعتبر"),"",IF(Sync!$S1617="","",Sync!$S1617))</f>
        <v/>
      </c>
      <c r="H1620">
        <f>IF(OR($E1620="",$E1620="نامعتبر"),"",IF(Sync!$R1617="","",Sync!$R1617))</f>
        <v/>
      </c>
      <c r="I1620">
        <f>IF(OR($E1620="",$E1620="نامعتبر"),"",IF(Sync!$T1617="","",Sync!$T1617))</f>
        <v/>
      </c>
      <c r="J1620">
        <f>IF(OR($E1620="",$E1620="نامعتبر"),"",IF(Sync!$U1617="","",Sync!$U1617))</f>
        <v/>
      </c>
      <c r="K1620">
        <f>IF(OR($E1620="",$E1620="نامعتبر"),"",IF(Sync!$V1617="","",IFERROR(INDEX(SubCodes,MATCH(Sync!$V1617,SubTitles,0)),Sync!$V1617)))</f>
        <v/>
      </c>
      <c r="L1620">
        <f>IF(OR($E1620="",$E1620="نامعتبر"),"",IF(Sync!$W1617="",0,Sync!$W1617))</f>
        <v/>
      </c>
      <c r="M1620">
        <f>IF(OR($E1620="",$E1620="نامعتبر"),"",IF(Sync!$X1617="",0,Sync!$X1617))</f>
        <v/>
      </c>
      <c r="N1620">
        <f>IF(OR($E1620="",$E1620="نامعتبر"),"",IF(AND($J1620="هزینه",$K1620&lt;&gt;""),1,0))</f>
        <v/>
      </c>
      <c r="O1620">
        <f>IF($N1620=0,"",LEFT($E1620,4)&amp;MID($E1620,6,2)&amp;RIGHT($E1620,2)&amp;$F1620&amp;"|"&amp;"1"&amp;RIGHT("00000"&amp;1612,5))</f>
        <v/>
      </c>
      <c r="P1620">
        <f>IF($O1620="","",COUNTIFS(ExpSub,$K1620,ExpKey,"&lt;"&amp;$O1620)+1)</f>
        <v/>
      </c>
      <c r="Q1620">
        <f>IF($P1620="","",$K1620&amp;"|"&amp;RIGHT("000000"&amp;$P1620,6))</f>
        <v/>
      </c>
    </row>
    <row r="1621">
      <c r="A1621">
        <f>IF(Sync!$P1618="","",Sync!$P1618)</f>
        <v/>
      </c>
      <c r="B1621">
        <f>IF($A1621="","",IF(ISNUMBER($A1621),IF(AND($A1621&gt;=10000101,$A1621&lt;=99991231),INT($A1621/10000),""),IFERROR(VALUE(TRIM(LEFT($A1621,FIND("/",$A1621)-1))),"")))</f>
        <v/>
      </c>
      <c r="C1621">
        <f>IF(OR($A1621="",$B1621=""),"",IF(ISNUMBER($A1621),INT(MOD($A1621,10000)/100),IFERROR(VALUE(TRIM(LEFT(MID($A1621,FIND("/",$A1621)+1,20),FIND("/",MID($A1621,FIND("/",$A1621)+1,20))-1))),"")))</f>
        <v/>
      </c>
      <c r="D1621">
        <f>IF(OR($A1621="",$B1621=""),"",IF(ISNUMBER($A1621),MOD($A1621,100),IFERROR(VALUE(TRIM(MID(MID($A1621,FIND("/",$A1621)+1,20),FIND("/",MID($A1621,FIND("/",$A1621)+1,20))+1,20))),"")))</f>
        <v/>
      </c>
      <c r="E1621">
        <f>IF($A1621="","",IF(OR($B1621="",$C1621="",$D1621="",$B1621&lt;1300,$B1621&gt;1500,$C1621&lt;1,$C1621&gt;12,$D1621&lt;1,$D1621&gt;31),"نامعتبر",RIGHT("0000"&amp;$B1621,4)&amp;"/"&amp;RIGHT("00"&amp;$C1621,2)&amp;"/"&amp;RIGHT("00"&amp;$D1621,2)))</f>
        <v/>
      </c>
      <c r="F1621">
        <f>IF(OR($E1621="",$E1621="نامعتبر"),"",IF(Sync!$Q1618="","0000",IF(AND(ISNUMBER(Sync!$Q1618),Sync!$Q1618&gt;=0,Sync!$Q1618&lt;1),RIGHT("00"&amp;HOUR(Sync!$Q1618),2)&amp;RIGHT("00"&amp;MINUTE(Sync!$Q1618),2),IFERROR(RIGHT("00"&amp;VALUE(LEFT(Sync!$Q1618,FIND(":",Sync!$Q1618)-1)),2)&amp;RIGHT("00"&amp;VALUE(MID(Sync!$Q1618,FIND(":",Sync!$Q1618)+1,2)),2),"0000"))))</f>
        <v/>
      </c>
      <c r="G1621">
        <f>IF(OR($E1621="",$E1621="نامعتبر"),"",IF(Sync!$S1618="","",Sync!$S1618))</f>
        <v/>
      </c>
      <c r="H1621">
        <f>IF(OR($E1621="",$E1621="نامعتبر"),"",IF(Sync!$R1618="","",Sync!$R1618))</f>
        <v/>
      </c>
      <c r="I1621">
        <f>IF(OR($E1621="",$E1621="نامعتبر"),"",IF(Sync!$T1618="","",Sync!$T1618))</f>
        <v/>
      </c>
      <c r="J1621">
        <f>IF(OR($E1621="",$E1621="نامعتبر"),"",IF(Sync!$U1618="","",Sync!$U1618))</f>
        <v/>
      </c>
      <c r="K1621">
        <f>IF(OR($E1621="",$E1621="نامعتبر"),"",IF(Sync!$V1618="","",IFERROR(INDEX(SubCodes,MATCH(Sync!$V1618,SubTitles,0)),Sync!$V1618)))</f>
        <v/>
      </c>
      <c r="L1621">
        <f>IF(OR($E1621="",$E1621="نامعتبر"),"",IF(Sync!$W1618="",0,Sync!$W1618))</f>
        <v/>
      </c>
      <c r="M1621">
        <f>IF(OR($E1621="",$E1621="نامعتبر"),"",IF(Sync!$X1618="",0,Sync!$X1618))</f>
        <v/>
      </c>
      <c r="N1621">
        <f>IF(OR($E1621="",$E1621="نامعتبر"),"",IF(AND($J1621="هزینه",$K1621&lt;&gt;""),1,0))</f>
        <v/>
      </c>
      <c r="O1621">
        <f>IF($N1621=0,"",LEFT($E1621,4)&amp;MID($E1621,6,2)&amp;RIGHT($E1621,2)&amp;$F1621&amp;"|"&amp;"1"&amp;RIGHT("00000"&amp;1613,5))</f>
        <v/>
      </c>
      <c r="P1621">
        <f>IF($O1621="","",COUNTIFS(ExpSub,$K1621,ExpKey,"&lt;"&amp;$O1621)+1)</f>
        <v/>
      </c>
      <c r="Q1621">
        <f>IF($P1621="","",$K1621&amp;"|"&amp;RIGHT("000000"&amp;$P1621,6))</f>
        <v/>
      </c>
    </row>
    <row r="1622">
      <c r="A1622">
        <f>IF(Sync!$P1619="","",Sync!$P1619)</f>
        <v/>
      </c>
      <c r="B1622">
        <f>IF($A1622="","",IF(ISNUMBER($A1622),IF(AND($A1622&gt;=10000101,$A1622&lt;=99991231),INT($A1622/10000),""),IFERROR(VALUE(TRIM(LEFT($A1622,FIND("/",$A1622)-1))),"")))</f>
        <v/>
      </c>
      <c r="C1622">
        <f>IF(OR($A1622="",$B1622=""),"",IF(ISNUMBER($A1622),INT(MOD($A1622,10000)/100),IFERROR(VALUE(TRIM(LEFT(MID($A1622,FIND("/",$A1622)+1,20),FIND("/",MID($A1622,FIND("/",$A1622)+1,20))-1))),"")))</f>
        <v/>
      </c>
      <c r="D1622">
        <f>IF(OR($A1622="",$B1622=""),"",IF(ISNUMBER($A1622),MOD($A1622,100),IFERROR(VALUE(TRIM(MID(MID($A1622,FIND("/",$A1622)+1,20),FIND("/",MID($A1622,FIND("/",$A1622)+1,20))+1,20))),"")))</f>
        <v/>
      </c>
      <c r="E1622">
        <f>IF($A1622="","",IF(OR($B1622="",$C1622="",$D1622="",$B1622&lt;1300,$B1622&gt;1500,$C1622&lt;1,$C1622&gt;12,$D1622&lt;1,$D1622&gt;31),"نامعتبر",RIGHT("0000"&amp;$B1622,4)&amp;"/"&amp;RIGHT("00"&amp;$C1622,2)&amp;"/"&amp;RIGHT("00"&amp;$D1622,2)))</f>
        <v/>
      </c>
      <c r="F1622">
        <f>IF(OR($E1622="",$E1622="نامعتبر"),"",IF(Sync!$Q1619="","0000",IF(AND(ISNUMBER(Sync!$Q1619),Sync!$Q1619&gt;=0,Sync!$Q1619&lt;1),RIGHT("00"&amp;HOUR(Sync!$Q1619),2)&amp;RIGHT("00"&amp;MINUTE(Sync!$Q1619),2),IFERROR(RIGHT("00"&amp;VALUE(LEFT(Sync!$Q1619,FIND(":",Sync!$Q1619)-1)),2)&amp;RIGHT("00"&amp;VALUE(MID(Sync!$Q1619,FIND(":",Sync!$Q1619)+1,2)),2),"0000"))))</f>
        <v/>
      </c>
      <c r="G1622">
        <f>IF(OR($E1622="",$E1622="نامعتبر"),"",IF(Sync!$S1619="","",Sync!$S1619))</f>
        <v/>
      </c>
      <c r="H1622">
        <f>IF(OR($E1622="",$E1622="نامعتبر"),"",IF(Sync!$R1619="","",Sync!$R1619))</f>
        <v/>
      </c>
      <c r="I1622">
        <f>IF(OR($E1622="",$E1622="نامعتبر"),"",IF(Sync!$T1619="","",Sync!$T1619))</f>
        <v/>
      </c>
      <c r="J1622">
        <f>IF(OR($E1622="",$E1622="نامعتبر"),"",IF(Sync!$U1619="","",Sync!$U1619))</f>
        <v/>
      </c>
      <c r="K1622">
        <f>IF(OR($E1622="",$E1622="نامعتبر"),"",IF(Sync!$V1619="","",IFERROR(INDEX(SubCodes,MATCH(Sync!$V1619,SubTitles,0)),Sync!$V1619)))</f>
        <v/>
      </c>
      <c r="L1622">
        <f>IF(OR($E1622="",$E1622="نامعتبر"),"",IF(Sync!$W1619="",0,Sync!$W1619))</f>
        <v/>
      </c>
      <c r="M1622">
        <f>IF(OR($E1622="",$E1622="نامعتبر"),"",IF(Sync!$X1619="",0,Sync!$X1619))</f>
        <v/>
      </c>
      <c r="N1622">
        <f>IF(OR($E1622="",$E1622="نامعتبر"),"",IF(AND($J1622="هزینه",$K1622&lt;&gt;""),1,0))</f>
        <v/>
      </c>
      <c r="O1622">
        <f>IF($N1622=0,"",LEFT($E1622,4)&amp;MID($E1622,6,2)&amp;RIGHT($E1622,2)&amp;$F1622&amp;"|"&amp;"1"&amp;RIGHT("00000"&amp;1614,5))</f>
        <v/>
      </c>
      <c r="P1622">
        <f>IF($O1622="","",COUNTIFS(ExpSub,$K1622,ExpKey,"&lt;"&amp;$O1622)+1)</f>
        <v/>
      </c>
      <c r="Q1622">
        <f>IF($P1622="","",$K1622&amp;"|"&amp;RIGHT("000000"&amp;$P1622,6))</f>
        <v/>
      </c>
    </row>
    <row r="1623">
      <c r="A1623">
        <f>IF(Sync!$P1620="","",Sync!$P1620)</f>
        <v/>
      </c>
      <c r="B1623">
        <f>IF($A1623="","",IF(ISNUMBER($A1623),IF(AND($A1623&gt;=10000101,$A1623&lt;=99991231),INT($A1623/10000),""),IFERROR(VALUE(TRIM(LEFT($A1623,FIND("/",$A1623)-1))),"")))</f>
        <v/>
      </c>
      <c r="C1623">
        <f>IF(OR($A1623="",$B1623=""),"",IF(ISNUMBER($A1623),INT(MOD($A1623,10000)/100),IFERROR(VALUE(TRIM(LEFT(MID($A1623,FIND("/",$A1623)+1,20),FIND("/",MID($A1623,FIND("/",$A1623)+1,20))-1))),"")))</f>
        <v/>
      </c>
      <c r="D1623">
        <f>IF(OR($A1623="",$B1623=""),"",IF(ISNUMBER($A1623),MOD($A1623,100),IFERROR(VALUE(TRIM(MID(MID($A1623,FIND("/",$A1623)+1,20),FIND("/",MID($A1623,FIND("/",$A1623)+1,20))+1,20))),"")))</f>
        <v/>
      </c>
      <c r="E1623">
        <f>IF($A1623="","",IF(OR($B1623="",$C1623="",$D1623="",$B1623&lt;1300,$B1623&gt;1500,$C1623&lt;1,$C1623&gt;12,$D1623&lt;1,$D1623&gt;31),"نامعتبر",RIGHT("0000"&amp;$B1623,4)&amp;"/"&amp;RIGHT("00"&amp;$C1623,2)&amp;"/"&amp;RIGHT("00"&amp;$D1623,2)))</f>
        <v/>
      </c>
      <c r="F1623">
        <f>IF(OR($E1623="",$E1623="نامعتبر"),"",IF(Sync!$Q1620="","0000",IF(AND(ISNUMBER(Sync!$Q1620),Sync!$Q1620&gt;=0,Sync!$Q1620&lt;1),RIGHT("00"&amp;HOUR(Sync!$Q1620),2)&amp;RIGHT("00"&amp;MINUTE(Sync!$Q1620),2),IFERROR(RIGHT("00"&amp;VALUE(LEFT(Sync!$Q1620,FIND(":",Sync!$Q1620)-1)),2)&amp;RIGHT("00"&amp;VALUE(MID(Sync!$Q1620,FIND(":",Sync!$Q1620)+1,2)),2),"0000"))))</f>
        <v/>
      </c>
      <c r="G1623">
        <f>IF(OR($E1623="",$E1623="نامعتبر"),"",IF(Sync!$S1620="","",Sync!$S1620))</f>
        <v/>
      </c>
      <c r="H1623">
        <f>IF(OR($E1623="",$E1623="نامعتبر"),"",IF(Sync!$R1620="","",Sync!$R1620))</f>
        <v/>
      </c>
      <c r="I1623">
        <f>IF(OR($E1623="",$E1623="نامعتبر"),"",IF(Sync!$T1620="","",Sync!$T1620))</f>
        <v/>
      </c>
      <c r="J1623">
        <f>IF(OR($E1623="",$E1623="نامعتبر"),"",IF(Sync!$U1620="","",Sync!$U1620))</f>
        <v/>
      </c>
      <c r="K1623">
        <f>IF(OR($E1623="",$E1623="نامعتبر"),"",IF(Sync!$V1620="","",IFERROR(INDEX(SubCodes,MATCH(Sync!$V1620,SubTitles,0)),Sync!$V1620)))</f>
        <v/>
      </c>
      <c r="L1623">
        <f>IF(OR($E1623="",$E1623="نامعتبر"),"",IF(Sync!$W1620="",0,Sync!$W1620))</f>
        <v/>
      </c>
      <c r="M1623">
        <f>IF(OR($E1623="",$E1623="نامعتبر"),"",IF(Sync!$X1620="",0,Sync!$X1620))</f>
        <v/>
      </c>
      <c r="N1623">
        <f>IF(OR($E1623="",$E1623="نامعتبر"),"",IF(AND($J1623="هزینه",$K1623&lt;&gt;""),1,0))</f>
        <v/>
      </c>
      <c r="O1623">
        <f>IF($N1623=0,"",LEFT($E1623,4)&amp;MID($E1623,6,2)&amp;RIGHT($E1623,2)&amp;$F1623&amp;"|"&amp;"1"&amp;RIGHT("00000"&amp;1615,5))</f>
        <v/>
      </c>
      <c r="P1623">
        <f>IF($O1623="","",COUNTIFS(ExpSub,$K1623,ExpKey,"&lt;"&amp;$O1623)+1)</f>
        <v/>
      </c>
      <c r="Q1623">
        <f>IF($P1623="","",$K1623&amp;"|"&amp;RIGHT("000000"&amp;$P1623,6))</f>
        <v/>
      </c>
    </row>
    <row r="1624">
      <c r="A1624">
        <f>IF(Sync!$P1621="","",Sync!$P1621)</f>
        <v/>
      </c>
      <c r="B1624">
        <f>IF($A1624="","",IF(ISNUMBER($A1624),IF(AND($A1624&gt;=10000101,$A1624&lt;=99991231),INT($A1624/10000),""),IFERROR(VALUE(TRIM(LEFT($A1624,FIND("/",$A1624)-1))),"")))</f>
        <v/>
      </c>
      <c r="C1624">
        <f>IF(OR($A1624="",$B1624=""),"",IF(ISNUMBER($A1624),INT(MOD($A1624,10000)/100),IFERROR(VALUE(TRIM(LEFT(MID($A1624,FIND("/",$A1624)+1,20),FIND("/",MID($A1624,FIND("/",$A1624)+1,20))-1))),"")))</f>
        <v/>
      </c>
      <c r="D1624">
        <f>IF(OR($A1624="",$B1624=""),"",IF(ISNUMBER($A1624),MOD($A1624,100),IFERROR(VALUE(TRIM(MID(MID($A1624,FIND("/",$A1624)+1,20),FIND("/",MID($A1624,FIND("/",$A1624)+1,20))+1,20))),"")))</f>
        <v/>
      </c>
      <c r="E1624">
        <f>IF($A1624="","",IF(OR($B1624="",$C1624="",$D1624="",$B1624&lt;1300,$B1624&gt;1500,$C1624&lt;1,$C1624&gt;12,$D1624&lt;1,$D1624&gt;31),"نامعتبر",RIGHT("0000"&amp;$B1624,4)&amp;"/"&amp;RIGHT("00"&amp;$C1624,2)&amp;"/"&amp;RIGHT("00"&amp;$D1624,2)))</f>
        <v/>
      </c>
      <c r="F1624">
        <f>IF(OR($E1624="",$E1624="نامعتبر"),"",IF(Sync!$Q1621="","0000",IF(AND(ISNUMBER(Sync!$Q1621),Sync!$Q1621&gt;=0,Sync!$Q1621&lt;1),RIGHT("00"&amp;HOUR(Sync!$Q1621),2)&amp;RIGHT("00"&amp;MINUTE(Sync!$Q1621),2),IFERROR(RIGHT("00"&amp;VALUE(LEFT(Sync!$Q1621,FIND(":",Sync!$Q1621)-1)),2)&amp;RIGHT("00"&amp;VALUE(MID(Sync!$Q1621,FIND(":",Sync!$Q1621)+1,2)),2),"0000"))))</f>
        <v/>
      </c>
      <c r="G1624">
        <f>IF(OR($E1624="",$E1624="نامعتبر"),"",IF(Sync!$S1621="","",Sync!$S1621))</f>
        <v/>
      </c>
      <c r="H1624">
        <f>IF(OR($E1624="",$E1624="نامعتبر"),"",IF(Sync!$R1621="","",Sync!$R1621))</f>
        <v/>
      </c>
      <c r="I1624">
        <f>IF(OR($E1624="",$E1624="نامعتبر"),"",IF(Sync!$T1621="","",Sync!$T1621))</f>
        <v/>
      </c>
      <c r="J1624">
        <f>IF(OR($E1624="",$E1624="نامعتبر"),"",IF(Sync!$U1621="","",Sync!$U1621))</f>
        <v/>
      </c>
      <c r="K1624">
        <f>IF(OR($E1624="",$E1624="نامعتبر"),"",IF(Sync!$V1621="","",IFERROR(INDEX(SubCodes,MATCH(Sync!$V1621,SubTitles,0)),Sync!$V1621)))</f>
        <v/>
      </c>
      <c r="L1624">
        <f>IF(OR($E1624="",$E1624="نامعتبر"),"",IF(Sync!$W1621="",0,Sync!$W1621))</f>
        <v/>
      </c>
      <c r="M1624">
        <f>IF(OR($E1624="",$E1624="نامعتبر"),"",IF(Sync!$X1621="",0,Sync!$X1621))</f>
        <v/>
      </c>
      <c r="N1624">
        <f>IF(OR($E1624="",$E1624="نامعتبر"),"",IF(AND($J1624="هزینه",$K1624&lt;&gt;""),1,0))</f>
        <v/>
      </c>
      <c r="O1624">
        <f>IF($N1624=0,"",LEFT($E1624,4)&amp;MID($E1624,6,2)&amp;RIGHT($E1624,2)&amp;$F1624&amp;"|"&amp;"1"&amp;RIGHT("00000"&amp;1616,5))</f>
        <v/>
      </c>
      <c r="P1624">
        <f>IF($O1624="","",COUNTIFS(ExpSub,$K1624,ExpKey,"&lt;"&amp;$O1624)+1)</f>
        <v/>
      </c>
      <c r="Q1624">
        <f>IF($P1624="","",$K1624&amp;"|"&amp;RIGHT("000000"&amp;$P1624,6))</f>
        <v/>
      </c>
    </row>
    <row r="1625">
      <c r="A1625">
        <f>IF(Sync!$P1622="","",Sync!$P1622)</f>
        <v/>
      </c>
      <c r="B1625">
        <f>IF($A1625="","",IF(ISNUMBER($A1625),IF(AND($A1625&gt;=10000101,$A1625&lt;=99991231),INT($A1625/10000),""),IFERROR(VALUE(TRIM(LEFT($A1625,FIND("/",$A1625)-1))),"")))</f>
        <v/>
      </c>
      <c r="C1625">
        <f>IF(OR($A1625="",$B1625=""),"",IF(ISNUMBER($A1625),INT(MOD($A1625,10000)/100),IFERROR(VALUE(TRIM(LEFT(MID($A1625,FIND("/",$A1625)+1,20),FIND("/",MID($A1625,FIND("/",$A1625)+1,20))-1))),"")))</f>
        <v/>
      </c>
      <c r="D1625">
        <f>IF(OR($A1625="",$B1625=""),"",IF(ISNUMBER($A1625),MOD($A1625,100),IFERROR(VALUE(TRIM(MID(MID($A1625,FIND("/",$A1625)+1,20),FIND("/",MID($A1625,FIND("/",$A1625)+1,20))+1,20))),"")))</f>
        <v/>
      </c>
      <c r="E1625">
        <f>IF($A1625="","",IF(OR($B1625="",$C1625="",$D1625="",$B1625&lt;1300,$B1625&gt;1500,$C1625&lt;1,$C1625&gt;12,$D1625&lt;1,$D1625&gt;31),"نامعتبر",RIGHT("0000"&amp;$B1625,4)&amp;"/"&amp;RIGHT("00"&amp;$C1625,2)&amp;"/"&amp;RIGHT("00"&amp;$D1625,2)))</f>
        <v/>
      </c>
      <c r="F1625">
        <f>IF(OR($E1625="",$E1625="نامعتبر"),"",IF(Sync!$Q1622="","0000",IF(AND(ISNUMBER(Sync!$Q1622),Sync!$Q1622&gt;=0,Sync!$Q1622&lt;1),RIGHT("00"&amp;HOUR(Sync!$Q1622),2)&amp;RIGHT("00"&amp;MINUTE(Sync!$Q1622),2),IFERROR(RIGHT("00"&amp;VALUE(LEFT(Sync!$Q1622,FIND(":",Sync!$Q1622)-1)),2)&amp;RIGHT("00"&amp;VALUE(MID(Sync!$Q1622,FIND(":",Sync!$Q1622)+1,2)),2),"0000"))))</f>
        <v/>
      </c>
      <c r="G1625">
        <f>IF(OR($E1625="",$E1625="نامعتبر"),"",IF(Sync!$S1622="","",Sync!$S1622))</f>
        <v/>
      </c>
      <c r="H1625">
        <f>IF(OR($E1625="",$E1625="نامعتبر"),"",IF(Sync!$R1622="","",Sync!$R1622))</f>
        <v/>
      </c>
      <c r="I1625">
        <f>IF(OR($E1625="",$E1625="نامعتبر"),"",IF(Sync!$T1622="","",Sync!$T1622))</f>
        <v/>
      </c>
      <c r="J1625">
        <f>IF(OR($E1625="",$E1625="نامعتبر"),"",IF(Sync!$U1622="","",Sync!$U1622))</f>
        <v/>
      </c>
      <c r="K1625">
        <f>IF(OR($E1625="",$E1625="نامعتبر"),"",IF(Sync!$V1622="","",IFERROR(INDEX(SubCodes,MATCH(Sync!$V1622,SubTitles,0)),Sync!$V1622)))</f>
        <v/>
      </c>
      <c r="L1625">
        <f>IF(OR($E1625="",$E1625="نامعتبر"),"",IF(Sync!$W1622="",0,Sync!$W1622))</f>
        <v/>
      </c>
      <c r="M1625">
        <f>IF(OR($E1625="",$E1625="نامعتبر"),"",IF(Sync!$X1622="",0,Sync!$X1622))</f>
        <v/>
      </c>
      <c r="N1625">
        <f>IF(OR($E1625="",$E1625="نامعتبر"),"",IF(AND($J1625="هزینه",$K1625&lt;&gt;""),1,0))</f>
        <v/>
      </c>
      <c r="O1625">
        <f>IF($N1625=0,"",LEFT($E1625,4)&amp;MID($E1625,6,2)&amp;RIGHT($E1625,2)&amp;$F1625&amp;"|"&amp;"1"&amp;RIGHT("00000"&amp;1617,5))</f>
        <v/>
      </c>
      <c r="P1625">
        <f>IF($O1625="","",COUNTIFS(ExpSub,$K1625,ExpKey,"&lt;"&amp;$O1625)+1)</f>
        <v/>
      </c>
      <c r="Q1625">
        <f>IF($P1625="","",$K1625&amp;"|"&amp;RIGHT("000000"&amp;$P1625,6))</f>
        <v/>
      </c>
    </row>
    <row r="1626">
      <c r="A1626">
        <f>IF(Sync!$P1623="","",Sync!$P1623)</f>
        <v/>
      </c>
      <c r="B1626">
        <f>IF($A1626="","",IF(ISNUMBER($A1626),IF(AND($A1626&gt;=10000101,$A1626&lt;=99991231),INT($A1626/10000),""),IFERROR(VALUE(TRIM(LEFT($A1626,FIND("/",$A1626)-1))),"")))</f>
        <v/>
      </c>
      <c r="C1626">
        <f>IF(OR($A1626="",$B1626=""),"",IF(ISNUMBER($A1626),INT(MOD($A1626,10000)/100),IFERROR(VALUE(TRIM(LEFT(MID($A1626,FIND("/",$A1626)+1,20),FIND("/",MID($A1626,FIND("/",$A1626)+1,20))-1))),"")))</f>
        <v/>
      </c>
      <c r="D1626">
        <f>IF(OR($A1626="",$B1626=""),"",IF(ISNUMBER($A1626),MOD($A1626,100),IFERROR(VALUE(TRIM(MID(MID($A1626,FIND("/",$A1626)+1,20),FIND("/",MID($A1626,FIND("/",$A1626)+1,20))+1,20))),"")))</f>
        <v/>
      </c>
      <c r="E1626">
        <f>IF($A1626="","",IF(OR($B1626="",$C1626="",$D1626="",$B1626&lt;1300,$B1626&gt;1500,$C1626&lt;1,$C1626&gt;12,$D1626&lt;1,$D1626&gt;31),"نامعتبر",RIGHT("0000"&amp;$B1626,4)&amp;"/"&amp;RIGHT("00"&amp;$C1626,2)&amp;"/"&amp;RIGHT("00"&amp;$D1626,2)))</f>
        <v/>
      </c>
      <c r="F1626">
        <f>IF(OR($E1626="",$E1626="نامعتبر"),"",IF(Sync!$Q1623="","0000",IF(AND(ISNUMBER(Sync!$Q1623),Sync!$Q1623&gt;=0,Sync!$Q1623&lt;1),RIGHT("00"&amp;HOUR(Sync!$Q1623),2)&amp;RIGHT("00"&amp;MINUTE(Sync!$Q1623),2),IFERROR(RIGHT("00"&amp;VALUE(LEFT(Sync!$Q1623,FIND(":",Sync!$Q1623)-1)),2)&amp;RIGHT("00"&amp;VALUE(MID(Sync!$Q1623,FIND(":",Sync!$Q1623)+1,2)),2),"0000"))))</f>
        <v/>
      </c>
      <c r="G1626">
        <f>IF(OR($E1626="",$E1626="نامعتبر"),"",IF(Sync!$S1623="","",Sync!$S1623))</f>
        <v/>
      </c>
      <c r="H1626">
        <f>IF(OR($E1626="",$E1626="نامعتبر"),"",IF(Sync!$R1623="","",Sync!$R1623))</f>
        <v/>
      </c>
      <c r="I1626">
        <f>IF(OR($E1626="",$E1626="نامعتبر"),"",IF(Sync!$T1623="","",Sync!$T1623))</f>
        <v/>
      </c>
      <c r="J1626">
        <f>IF(OR($E1626="",$E1626="نامعتبر"),"",IF(Sync!$U1623="","",Sync!$U1623))</f>
        <v/>
      </c>
      <c r="K1626">
        <f>IF(OR($E1626="",$E1626="نامعتبر"),"",IF(Sync!$V1623="","",IFERROR(INDEX(SubCodes,MATCH(Sync!$V1623,SubTitles,0)),Sync!$V1623)))</f>
        <v/>
      </c>
      <c r="L1626">
        <f>IF(OR($E1626="",$E1626="نامعتبر"),"",IF(Sync!$W1623="",0,Sync!$W1623))</f>
        <v/>
      </c>
      <c r="M1626">
        <f>IF(OR($E1626="",$E1626="نامعتبر"),"",IF(Sync!$X1623="",0,Sync!$X1623))</f>
        <v/>
      </c>
      <c r="N1626">
        <f>IF(OR($E1626="",$E1626="نامعتبر"),"",IF(AND($J1626="هزینه",$K1626&lt;&gt;""),1,0))</f>
        <v/>
      </c>
      <c r="O1626">
        <f>IF($N1626=0,"",LEFT($E1626,4)&amp;MID($E1626,6,2)&amp;RIGHT($E1626,2)&amp;$F1626&amp;"|"&amp;"1"&amp;RIGHT("00000"&amp;1618,5))</f>
        <v/>
      </c>
      <c r="P1626">
        <f>IF($O1626="","",COUNTIFS(ExpSub,$K1626,ExpKey,"&lt;"&amp;$O1626)+1)</f>
        <v/>
      </c>
      <c r="Q1626">
        <f>IF($P1626="","",$K1626&amp;"|"&amp;RIGHT("000000"&amp;$P1626,6))</f>
        <v/>
      </c>
    </row>
    <row r="1627">
      <c r="A1627">
        <f>IF(Sync!$P1624="","",Sync!$P1624)</f>
        <v/>
      </c>
      <c r="B1627">
        <f>IF($A1627="","",IF(ISNUMBER($A1627),IF(AND($A1627&gt;=10000101,$A1627&lt;=99991231),INT($A1627/10000),""),IFERROR(VALUE(TRIM(LEFT($A1627,FIND("/",$A1627)-1))),"")))</f>
        <v/>
      </c>
      <c r="C1627">
        <f>IF(OR($A1627="",$B1627=""),"",IF(ISNUMBER($A1627),INT(MOD($A1627,10000)/100),IFERROR(VALUE(TRIM(LEFT(MID($A1627,FIND("/",$A1627)+1,20),FIND("/",MID($A1627,FIND("/",$A1627)+1,20))-1))),"")))</f>
        <v/>
      </c>
      <c r="D1627">
        <f>IF(OR($A1627="",$B1627=""),"",IF(ISNUMBER($A1627),MOD($A1627,100),IFERROR(VALUE(TRIM(MID(MID($A1627,FIND("/",$A1627)+1,20),FIND("/",MID($A1627,FIND("/",$A1627)+1,20))+1,20))),"")))</f>
        <v/>
      </c>
      <c r="E1627">
        <f>IF($A1627="","",IF(OR($B1627="",$C1627="",$D1627="",$B1627&lt;1300,$B1627&gt;1500,$C1627&lt;1,$C1627&gt;12,$D1627&lt;1,$D1627&gt;31),"نامعتبر",RIGHT("0000"&amp;$B1627,4)&amp;"/"&amp;RIGHT("00"&amp;$C1627,2)&amp;"/"&amp;RIGHT("00"&amp;$D1627,2)))</f>
        <v/>
      </c>
      <c r="F1627">
        <f>IF(OR($E1627="",$E1627="نامعتبر"),"",IF(Sync!$Q1624="","0000",IF(AND(ISNUMBER(Sync!$Q1624),Sync!$Q1624&gt;=0,Sync!$Q1624&lt;1),RIGHT("00"&amp;HOUR(Sync!$Q1624),2)&amp;RIGHT("00"&amp;MINUTE(Sync!$Q1624),2),IFERROR(RIGHT("00"&amp;VALUE(LEFT(Sync!$Q1624,FIND(":",Sync!$Q1624)-1)),2)&amp;RIGHT("00"&amp;VALUE(MID(Sync!$Q1624,FIND(":",Sync!$Q1624)+1,2)),2),"0000"))))</f>
        <v/>
      </c>
      <c r="G1627">
        <f>IF(OR($E1627="",$E1627="نامعتبر"),"",IF(Sync!$S1624="","",Sync!$S1624))</f>
        <v/>
      </c>
      <c r="H1627">
        <f>IF(OR($E1627="",$E1627="نامعتبر"),"",IF(Sync!$R1624="","",Sync!$R1624))</f>
        <v/>
      </c>
      <c r="I1627">
        <f>IF(OR($E1627="",$E1627="نامعتبر"),"",IF(Sync!$T1624="","",Sync!$T1624))</f>
        <v/>
      </c>
      <c r="J1627">
        <f>IF(OR($E1627="",$E1627="نامعتبر"),"",IF(Sync!$U1624="","",Sync!$U1624))</f>
        <v/>
      </c>
      <c r="K1627">
        <f>IF(OR($E1627="",$E1627="نامعتبر"),"",IF(Sync!$V1624="","",IFERROR(INDEX(SubCodes,MATCH(Sync!$V1624,SubTitles,0)),Sync!$V1624)))</f>
        <v/>
      </c>
      <c r="L1627">
        <f>IF(OR($E1627="",$E1627="نامعتبر"),"",IF(Sync!$W1624="",0,Sync!$W1624))</f>
        <v/>
      </c>
      <c r="M1627">
        <f>IF(OR($E1627="",$E1627="نامعتبر"),"",IF(Sync!$X1624="",0,Sync!$X1624))</f>
        <v/>
      </c>
      <c r="N1627">
        <f>IF(OR($E1627="",$E1627="نامعتبر"),"",IF(AND($J1627="هزینه",$K1627&lt;&gt;""),1,0))</f>
        <v/>
      </c>
      <c r="O1627">
        <f>IF($N1627=0,"",LEFT($E1627,4)&amp;MID($E1627,6,2)&amp;RIGHT($E1627,2)&amp;$F1627&amp;"|"&amp;"1"&amp;RIGHT("00000"&amp;1619,5))</f>
        <v/>
      </c>
      <c r="P1627">
        <f>IF($O1627="","",COUNTIFS(ExpSub,$K1627,ExpKey,"&lt;"&amp;$O1627)+1)</f>
        <v/>
      </c>
      <c r="Q1627">
        <f>IF($P1627="","",$K1627&amp;"|"&amp;RIGHT("000000"&amp;$P1627,6))</f>
        <v/>
      </c>
    </row>
    <row r="1628">
      <c r="A1628">
        <f>IF(Sync!$P1625="","",Sync!$P1625)</f>
        <v/>
      </c>
      <c r="B1628">
        <f>IF($A1628="","",IF(ISNUMBER($A1628),IF(AND($A1628&gt;=10000101,$A1628&lt;=99991231),INT($A1628/10000),""),IFERROR(VALUE(TRIM(LEFT($A1628,FIND("/",$A1628)-1))),"")))</f>
        <v/>
      </c>
      <c r="C1628">
        <f>IF(OR($A1628="",$B1628=""),"",IF(ISNUMBER($A1628),INT(MOD($A1628,10000)/100),IFERROR(VALUE(TRIM(LEFT(MID($A1628,FIND("/",$A1628)+1,20),FIND("/",MID($A1628,FIND("/",$A1628)+1,20))-1))),"")))</f>
        <v/>
      </c>
      <c r="D1628">
        <f>IF(OR($A1628="",$B1628=""),"",IF(ISNUMBER($A1628),MOD($A1628,100),IFERROR(VALUE(TRIM(MID(MID($A1628,FIND("/",$A1628)+1,20),FIND("/",MID($A1628,FIND("/",$A1628)+1,20))+1,20))),"")))</f>
        <v/>
      </c>
      <c r="E1628">
        <f>IF($A1628="","",IF(OR($B1628="",$C1628="",$D1628="",$B1628&lt;1300,$B1628&gt;1500,$C1628&lt;1,$C1628&gt;12,$D1628&lt;1,$D1628&gt;31),"نامعتبر",RIGHT("0000"&amp;$B1628,4)&amp;"/"&amp;RIGHT("00"&amp;$C1628,2)&amp;"/"&amp;RIGHT("00"&amp;$D1628,2)))</f>
        <v/>
      </c>
      <c r="F1628">
        <f>IF(OR($E1628="",$E1628="نامعتبر"),"",IF(Sync!$Q1625="","0000",IF(AND(ISNUMBER(Sync!$Q1625),Sync!$Q1625&gt;=0,Sync!$Q1625&lt;1),RIGHT("00"&amp;HOUR(Sync!$Q1625),2)&amp;RIGHT("00"&amp;MINUTE(Sync!$Q1625),2),IFERROR(RIGHT("00"&amp;VALUE(LEFT(Sync!$Q1625,FIND(":",Sync!$Q1625)-1)),2)&amp;RIGHT("00"&amp;VALUE(MID(Sync!$Q1625,FIND(":",Sync!$Q1625)+1,2)),2),"0000"))))</f>
        <v/>
      </c>
      <c r="G1628">
        <f>IF(OR($E1628="",$E1628="نامعتبر"),"",IF(Sync!$S1625="","",Sync!$S1625))</f>
        <v/>
      </c>
      <c r="H1628">
        <f>IF(OR($E1628="",$E1628="نامعتبر"),"",IF(Sync!$R1625="","",Sync!$R1625))</f>
        <v/>
      </c>
      <c r="I1628">
        <f>IF(OR($E1628="",$E1628="نامعتبر"),"",IF(Sync!$T1625="","",Sync!$T1625))</f>
        <v/>
      </c>
      <c r="J1628">
        <f>IF(OR($E1628="",$E1628="نامعتبر"),"",IF(Sync!$U1625="","",Sync!$U1625))</f>
        <v/>
      </c>
      <c r="K1628">
        <f>IF(OR($E1628="",$E1628="نامعتبر"),"",IF(Sync!$V1625="","",IFERROR(INDEX(SubCodes,MATCH(Sync!$V1625,SubTitles,0)),Sync!$V1625)))</f>
        <v/>
      </c>
      <c r="L1628">
        <f>IF(OR($E1628="",$E1628="نامعتبر"),"",IF(Sync!$W1625="",0,Sync!$W1625))</f>
        <v/>
      </c>
      <c r="M1628">
        <f>IF(OR($E1628="",$E1628="نامعتبر"),"",IF(Sync!$X1625="",0,Sync!$X1625))</f>
        <v/>
      </c>
      <c r="N1628">
        <f>IF(OR($E1628="",$E1628="نامعتبر"),"",IF(AND($J1628="هزینه",$K1628&lt;&gt;""),1,0))</f>
        <v/>
      </c>
      <c r="O1628">
        <f>IF($N1628=0,"",LEFT($E1628,4)&amp;MID($E1628,6,2)&amp;RIGHT($E1628,2)&amp;$F1628&amp;"|"&amp;"1"&amp;RIGHT("00000"&amp;1620,5))</f>
        <v/>
      </c>
      <c r="P1628">
        <f>IF($O1628="","",COUNTIFS(ExpSub,$K1628,ExpKey,"&lt;"&amp;$O1628)+1)</f>
        <v/>
      </c>
      <c r="Q1628">
        <f>IF($P1628="","",$K1628&amp;"|"&amp;RIGHT("000000"&amp;$P1628,6))</f>
        <v/>
      </c>
    </row>
    <row r="1629">
      <c r="A1629">
        <f>IF(Sync!$P1626="","",Sync!$P1626)</f>
        <v/>
      </c>
      <c r="B1629">
        <f>IF($A1629="","",IF(ISNUMBER($A1629),IF(AND($A1629&gt;=10000101,$A1629&lt;=99991231),INT($A1629/10000),""),IFERROR(VALUE(TRIM(LEFT($A1629,FIND("/",$A1629)-1))),"")))</f>
        <v/>
      </c>
      <c r="C1629">
        <f>IF(OR($A1629="",$B1629=""),"",IF(ISNUMBER($A1629),INT(MOD($A1629,10000)/100),IFERROR(VALUE(TRIM(LEFT(MID($A1629,FIND("/",$A1629)+1,20),FIND("/",MID($A1629,FIND("/",$A1629)+1,20))-1))),"")))</f>
        <v/>
      </c>
      <c r="D1629">
        <f>IF(OR($A1629="",$B1629=""),"",IF(ISNUMBER($A1629),MOD($A1629,100),IFERROR(VALUE(TRIM(MID(MID($A1629,FIND("/",$A1629)+1,20),FIND("/",MID($A1629,FIND("/",$A1629)+1,20))+1,20))),"")))</f>
        <v/>
      </c>
      <c r="E1629">
        <f>IF($A1629="","",IF(OR($B1629="",$C1629="",$D1629="",$B1629&lt;1300,$B1629&gt;1500,$C1629&lt;1,$C1629&gt;12,$D1629&lt;1,$D1629&gt;31),"نامعتبر",RIGHT("0000"&amp;$B1629,4)&amp;"/"&amp;RIGHT("00"&amp;$C1629,2)&amp;"/"&amp;RIGHT("00"&amp;$D1629,2)))</f>
        <v/>
      </c>
      <c r="F1629">
        <f>IF(OR($E1629="",$E1629="نامعتبر"),"",IF(Sync!$Q1626="","0000",IF(AND(ISNUMBER(Sync!$Q1626),Sync!$Q1626&gt;=0,Sync!$Q1626&lt;1),RIGHT("00"&amp;HOUR(Sync!$Q1626),2)&amp;RIGHT("00"&amp;MINUTE(Sync!$Q1626),2),IFERROR(RIGHT("00"&amp;VALUE(LEFT(Sync!$Q1626,FIND(":",Sync!$Q1626)-1)),2)&amp;RIGHT("00"&amp;VALUE(MID(Sync!$Q1626,FIND(":",Sync!$Q1626)+1,2)),2),"0000"))))</f>
        <v/>
      </c>
      <c r="G1629">
        <f>IF(OR($E1629="",$E1629="نامعتبر"),"",IF(Sync!$S1626="","",Sync!$S1626))</f>
        <v/>
      </c>
      <c r="H1629">
        <f>IF(OR($E1629="",$E1629="نامعتبر"),"",IF(Sync!$R1626="","",Sync!$R1626))</f>
        <v/>
      </c>
      <c r="I1629">
        <f>IF(OR($E1629="",$E1629="نامعتبر"),"",IF(Sync!$T1626="","",Sync!$T1626))</f>
        <v/>
      </c>
      <c r="J1629">
        <f>IF(OR($E1629="",$E1629="نامعتبر"),"",IF(Sync!$U1626="","",Sync!$U1626))</f>
        <v/>
      </c>
      <c r="K1629">
        <f>IF(OR($E1629="",$E1629="نامعتبر"),"",IF(Sync!$V1626="","",IFERROR(INDEX(SubCodes,MATCH(Sync!$V1626,SubTitles,0)),Sync!$V1626)))</f>
        <v/>
      </c>
      <c r="L1629">
        <f>IF(OR($E1629="",$E1629="نامعتبر"),"",IF(Sync!$W1626="",0,Sync!$W1626))</f>
        <v/>
      </c>
      <c r="M1629">
        <f>IF(OR($E1629="",$E1629="نامعتبر"),"",IF(Sync!$X1626="",0,Sync!$X1626))</f>
        <v/>
      </c>
      <c r="N1629">
        <f>IF(OR($E1629="",$E1629="نامعتبر"),"",IF(AND($J1629="هزینه",$K1629&lt;&gt;""),1,0))</f>
        <v/>
      </c>
      <c r="O1629">
        <f>IF($N1629=0,"",LEFT($E1629,4)&amp;MID($E1629,6,2)&amp;RIGHT($E1629,2)&amp;$F1629&amp;"|"&amp;"1"&amp;RIGHT("00000"&amp;1621,5))</f>
        <v/>
      </c>
      <c r="P1629">
        <f>IF($O1629="","",COUNTIFS(ExpSub,$K1629,ExpKey,"&lt;"&amp;$O1629)+1)</f>
        <v/>
      </c>
      <c r="Q1629">
        <f>IF($P1629="","",$K1629&amp;"|"&amp;RIGHT("000000"&amp;$P1629,6))</f>
        <v/>
      </c>
    </row>
    <row r="1630">
      <c r="A1630">
        <f>IF(Sync!$P1627="","",Sync!$P1627)</f>
        <v/>
      </c>
      <c r="B1630">
        <f>IF($A1630="","",IF(ISNUMBER($A1630),IF(AND($A1630&gt;=10000101,$A1630&lt;=99991231),INT($A1630/10000),""),IFERROR(VALUE(TRIM(LEFT($A1630,FIND("/",$A1630)-1))),"")))</f>
        <v/>
      </c>
      <c r="C1630">
        <f>IF(OR($A1630="",$B1630=""),"",IF(ISNUMBER($A1630),INT(MOD($A1630,10000)/100),IFERROR(VALUE(TRIM(LEFT(MID($A1630,FIND("/",$A1630)+1,20),FIND("/",MID($A1630,FIND("/",$A1630)+1,20))-1))),"")))</f>
        <v/>
      </c>
      <c r="D1630">
        <f>IF(OR($A1630="",$B1630=""),"",IF(ISNUMBER($A1630),MOD($A1630,100),IFERROR(VALUE(TRIM(MID(MID($A1630,FIND("/",$A1630)+1,20),FIND("/",MID($A1630,FIND("/",$A1630)+1,20))+1,20))),"")))</f>
        <v/>
      </c>
      <c r="E1630">
        <f>IF($A1630="","",IF(OR($B1630="",$C1630="",$D1630="",$B1630&lt;1300,$B1630&gt;1500,$C1630&lt;1,$C1630&gt;12,$D1630&lt;1,$D1630&gt;31),"نامعتبر",RIGHT("0000"&amp;$B1630,4)&amp;"/"&amp;RIGHT("00"&amp;$C1630,2)&amp;"/"&amp;RIGHT("00"&amp;$D1630,2)))</f>
        <v/>
      </c>
      <c r="F1630">
        <f>IF(OR($E1630="",$E1630="نامعتبر"),"",IF(Sync!$Q1627="","0000",IF(AND(ISNUMBER(Sync!$Q1627),Sync!$Q1627&gt;=0,Sync!$Q1627&lt;1),RIGHT("00"&amp;HOUR(Sync!$Q1627),2)&amp;RIGHT("00"&amp;MINUTE(Sync!$Q1627),2),IFERROR(RIGHT("00"&amp;VALUE(LEFT(Sync!$Q1627,FIND(":",Sync!$Q1627)-1)),2)&amp;RIGHT("00"&amp;VALUE(MID(Sync!$Q1627,FIND(":",Sync!$Q1627)+1,2)),2),"0000"))))</f>
        <v/>
      </c>
      <c r="G1630">
        <f>IF(OR($E1630="",$E1630="نامعتبر"),"",IF(Sync!$S1627="","",Sync!$S1627))</f>
        <v/>
      </c>
      <c r="H1630">
        <f>IF(OR($E1630="",$E1630="نامعتبر"),"",IF(Sync!$R1627="","",Sync!$R1627))</f>
        <v/>
      </c>
      <c r="I1630">
        <f>IF(OR($E1630="",$E1630="نامعتبر"),"",IF(Sync!$T1627="","",Sync!$T1627))</f>
        <v/>
      </c>
      <c r="J1630">
        <f>IF(OR($E1630="",$E1630="نامعتبر"),"",IF(Sync!$U1627="","",Sync!$U1627))</f>
        <v/>
      </c>
      <c r="K1630">
        <f>IF(OR($E1630="",$E1630="نامعتبر"),"",IF(Sync!$V1627="","",IFERROR(INDEX(SubCodes,MATCH(Sync!$V1627,SubTitles,0)),Sync!$V1627)))</f>
        <v/>
      </c>
      <c r="L1630">
        <f>IF(OR($E1630="",$E1630="نامعتبر"),"",IF(Sync!$W1627="",0,Sync!$W1627))</f>
        <v/>
      </c>
      <c r="M1630">
        <f>IF(OR($E1630="",$E1630="نامعتبر"),"",IF(Sync!$X1627="",0,Sync!$X1627))</f>
        <v/>
      </c>
      <c r="N1630">
        <f>IF(OR($E1630="",$E1630="نامعتبر"),"",IF(AND($J1630="هزینه",$K1630&lt;&gt;""),1,0))</f>
        <v/>
      </c>
      <c r="O1630">
        <f>IF($N1630=0,"",LEFT($E1630,4)&amp;MID($E1630,6,2)&amp;RIGHT($E1630,2)&amp;$F1630&amp;"|"&amp;"1"&amp;RIGHT("00000"&amp;1622,5))</f>
        <v/>
      </c>
      <c r="P1630">
        <f>IF($O1630="","",COUNTIFS(ExpSub,$K1630,ExpKey,"&lt;"&amp;$O1630)+1)</f>
        <v/>
      </c>
      <c r="Q1630">
        <f>IF($P1630="","",$K1630&amp;"|"&amp;RIGHT("000000"&amp;$P1630,6))</f>
        <v/>
      </c>
    </row>
    <row r="1631">
      <c r="A1631">
        <f>IF(Sync!$P1628="","",Sync!$P1628)</f>
        <v/>
      </c>
      <c r="B1631">
        <f>IF($A1631="","",IF(ISNUMBER($A1631),IF(AND($A1631&gt;=10000101,$A1631&lt;=99991231),INT($A1631/10000),""),IFERROR(VALUE(TRIM(LEFT($A1631,FIND("/",$A1631)-1))),"")))</f>
        <v/>
      </c>
      <c r="C1631">
        <f>IF(OR($A1631="",$B1631=""),"",IF(ISNUMBER($A1631),INT(MOD($A1631,10000)/100),IFERROR(VALUE(TRIM(LEFT(MID($A1631,FIND("/",$A1631)+1,20),FIND("/",MID($A1631,FIND("/",$A1631)+1,20))-1))),"")))</f>
        <v/>
      </c>
      <c r="D1631">
        <f>IF(OR($A1631="",$B1631=""),"",IF(ISNUMBER($A1631),MOD($A1631,100),IFERROR(VALUE(TRIM(MID(MID($A1631,FIND("/",$A1631)+1,20),FIND("/",MID($A1631,FIND("/",$A1631)+1,20))+1,20))),"")))</f>
        <v/>
      </c>
      <c r="E1631">
        <f>IF($A1631="","",IF(OR($B1631="",$C1631="",$D1631="",$B1631&lt;1300,$B1631&gt;1500,$C1631&lt;1,$C1631&gt;12,$D1631&lt;1,$D1631&gt;31),"نامعتبر",RIGHT("0000"&amp;$B1631,4)&amp;"/"&amp;RIGHT("00"&amp;$C1631,2)&amp;"/"&amp;RIGHT("00"&amp;$D1631,2)))</f>
        <v/>
      </c>
      <c r="F1631">
        <f>IF(OR($E1631="",$E1631="نامعتبر"),"",IF(Sync!$Q1628="","0000",IF(AND(ISNUMBER(Sync!$Q1628),Sync!$Q1628&gt;=0,Sync!$Q1628&lt;1),RIGHT("00"&amp;HOUR(Sync!$Q1628),2)&amp;RIGHT("00"&amp;MINUTE(Sync!$Q1628),2),IFERROR(RIGHT("00"&amp;VALUE(LEFT(Sync!$Q1628,FIND(":",Sync!$Q1628)-1)),2)&amp;RIGHT("00"&amp;VALUE(MID(Sync!$Q1628,FIND(":",Sync!$Q1628)+1,2)),2),"0000"))))</f>
        <v/>
      </c>
      <c r="G1631">
        <f>IF(OR($E1631="",$E1631="نامعتبر"),"",IF(Sync!$S1628="","",Sync!$S1628))</f>
        <v/>
      </c>
      <c r="H1631">
        <f>IF(OR($E1631="",$E1631="نامعتبر"),"",IF(Sync!$R1628="","",Sync!$R1628))</f>
        <v/>
      </c>
      <c r="I1631">
        <f>IF(OR($E1631="",$E1631="نامعتبر"),"",IF(Sync!$T1628="","",Sync!$T1628))</f>
        <v/>
      </c>
      <c r="J1631">
        <f>IF(OR($E1631="",$E1631="نامعتبر"),"",IF(Sync!$U1628="","",Sync!$U1628))</f>
        <v/>
      </c>
      <c r="K1631">
        <f>IF(OR($E1631="",$E1631="نامعتبر"),"",IF(Sync!$V1628="","",IFERROR(INDEX(SubCodes,MATCH(Sync!$V1628,SubTitles,0)),Sync!$V1628)))</f>
        <v/>
      </c>
      <c r="L1631">
        <f>IF(OR($E1631="",$E1631="نامعتبر"),"",IF(Sync!$W1628="",0,Sync!$W1628))</f>
        <v/>
      </c>
      <c r="M1631">
        <f>IF(OR($E1631="",$E1631="نامعتبر"),"",IF(Sync!$X1628="",0,Sync!$X1628))</f>
        <v/>
      </c>
      <c r="N1631">
        <f>IF(OR($E1631="",$E1631="نامعتبر"),"",IF(AND($J1631="هزینه",$K1631&lt;&gt;""),1,0))</f>
        <v/>
      </c>
      <c r="O1631">
        <f>IF($N1631=0,"",LEFT($E1631,4)&amp;MID($E1631,6,2)&amp;RIGHT($E1631,2)&amp;$F1631&amp;"|"&amp;"1"&amp;RIGHT("00000"&amp;1623,5))</f>
        <v/>
      </c>
      <c r="P1631">
        <f>IF($O1631="","",COUNTIFS(ExpSub,$K1631,ExpKey,"&lt;"&amp;$O1631)+1)</f>
        <v/>
      </c>
      <c r="Q1631">
        <f>IF($P1631="","",$K1631&amp;"|"&amp;RIGHT("000000"&amp;$P1631,6))</f>
        <v/>
      </c>
    </row>
    <row r="1632">
      <c r="A1632">
        <f>IF(Sync!$P1629="","",Sync!$P1629)</f>
        <v/>
      </c>
      <c r="B1632">
        <f>IF($A1632="","",IF(ISNUMBER($A1632),IF(AND($A1632&gt;=10000101,$A1632&lt;=99991231),INT($A1632/10000),""),IFERROR(VALUE(TRIM(LEFT($A1632,FIND("/",$A1632)-1))),"")))</f>
        <v/>
      </c>
      <c r="C1632">
        <f>IF(OR($A1632="",$B1632=""),"",IF(ISNUMBER($A1632),INT(MOD($A1632,10000)/100),IFERROR(VALUE(TRIM(LEFT(MID($A1632,FIND("/",$A1632)+1,20),FIND("/",MID($A1632,FIND("/",$A1632)+1,20))-1))),"")))</f>
        <v/>
      </c>
      <c r="D1632">
        <f>IF(OR($A1632="",$B1632=""),"",IF(ISNUMBER($A1632),MOD($A1632,100),IFERROR(VALUE(TRIM(MID(MID($A1632,FIND("/",$A1632)+1,20),FIND("/",MID($A1632,FIND("/",$A1632)+1,20))+1,20))),"")))</f>
        <v/>
      </c>
      <c r="E1632">
        <f>IF($A1632="","",IF(OR($B1632="",$C1632="",$D1632="",$B1632&lt;1300,$B1632&gt;1500,$C1632&lt;1,$C1632&gt;12,$D1632&lt;1,$D1632&gt;31),"نامعتبر",RIGHT("0000"&amp;$B1632,4)&amp;"/"&amp;RIGHT("00"&amp;$C1632,2)&amp;"/"&amp;RIGHT("00"&amp;$D1632,2)))</f>
        <v/>
      </c>
      <c r="F1632">
        <f>IF(OR($E1632="",$E1632="نامعتبر"),"",IF(Sync!$Q1629="","0000",IF(AND(ISNUMBER(Sync!$Q1629),Sync!$Q1629&gt;=0,Sync!$Q1629&lt;1),RIGHT("00"&amp;HOUR(Sync!$Q1629),2)&amp;RIGHT("00"&amp;MINUTE(Sync!$Q1629),2),IFERROR(RIGHT("00"&amp;VALUE(LEFT(Sync!$Q1629,FIND(":",Sync!$Q1629)-1)),2)&amp;RIGHT("00"&amp;VALUE(MID(Sync!$Q1629,FIND(":",Sync!$Q1629)+1,2)),2),"0000"))))</f>
        <v/>
      </c>
      <c r="G1632">
        <f>IF(OR($E1632="",$E1632="نامعتبر"),"",IF(Sync!$S1629="","",Sync!$S1629))</f>
        <v/>
      </c>
      <c r="H1632">
        <f>IF(OR($E1632="",$E1632="نامعتبر"),"",IF(Sync!$R1629="","",Sync!$R1629))</f>
        <v/>
      </c>
      <c r="I1632">
        <f>IF(OR($E1632="",$E1632="نامعتبر"),"",IF(Sync!$T1629="","",Sync!$T1629))</f>
        <v/>
      </c>
      <c r="J1632">
        <f>IF(OR($E1632="",$E1632="نامعتبر"),"",IF(Sync!$U1629="","",Sync!$U1629))</f>
        <v/>
      </c>
      <c r="K1632">
        <f>IF(OR($E1632="",$E1632="نامعتبر"),"",IF(Sync!$V1629="","",IFERROR(INDEX(SubCodes,MATCH(Sync!$V1629,SubTitles,0)),Sync!$V1629)))</f>
        <v/>
      </c>
      <c r="L1632">
        <f>IF(OR($E1632="",$E1632="نامعتبر"),"",IF(Sync!$W1629="",0,Sync!$W1629))</f>
        <v/>
      </c>
      <c r="M1632">
        <f>IF(OR($E1632="",$E1632="نامعتبر"),"",IF(Sync!$X1629="",0,Sync!$X1629))</f>
        <v/>
      </c>
      <c r="N1632">
        <f>IF(OR($E1632="",$E1632="نامعتبر"),"",IF(AND($J1632="هزینه",$K1632&lt;&gt;""),1,0))</f>
        <v/>
      </c>
      <c r="O1632">
        <f>IF($N1632=0,"",LEFT($E1632,4)&amp;MID($E1632,6,2)&amp;RIGHT($E1632,2)&amp;$F1632&amp;"|"&amp;"1"&amp;RIGHT("00000"&amp;1624,5))</f>
        <v/>
      </c>
      <c r="P1632">
        <f>IF($O1632="","",COUNTIFS(ExpSub,$K1632,ExpKey,"&lt;"&amp;$O1632)+1)</f>
        <v/>
      </c>
      <c r="Q1632">
        <f>IF($P1632="","",$K1632&amp;"|"&amp;RIGHT("000000"&amp;$P1632,6))</f>
        <v/>
      </c>
    </row>
    <row r="1633">
      <c r="A1633">
        <f>IF(Sync!$P1630="","",Sync!$P1630)</f>
        <v/>
      </c>
      <c r="B1633">
        <f>IF($A1633="","",IF(ISNUMBER($A1633),IF(AND($A1633&gt;=10000101,$A1633&lt;=99991231),INT($A1633/10000),""),IFERROR(VALUE(TRIM(LEFT($A1633,FIND("/",$A1633)-1))),"")))</f>
        <v/>
      </c>
      <c r="C1633">
        <f>IF(OR($A1633="",$B1633=""),"",IF(ISNUMBER($A1633),INT(MOD($A1633,10000)/100),IFERROR(VALUE(TRIM(LEFT(MID($A1633,FIND("/",$A1633)+1,20),FIND("/",MID($A1633,FIND("/",$A1633)+1,20))-1))),"")))</f>
        <v/>
      </c>
      <c r="D1633">
        <f>IF(OR($A1633="",$B1633=""),"",IF(ISNUMBER($A1633),MOD($A1633,100),IFERROR(VALUE(TRIM(MID(MID($A1633,FIND("/",$A1633)+1,20),FIND("/",MID($A1633,FIND("/",$A1633)+1,20))+1,20))),"")))</f>
        <v/>
      </c>
      <c r="E1633">
        <f>IF($A1633="","",IF(OR($B1633="",$C1633="",$D1633="",$B1633&lt;1300,$B1633&gt;1500,$C1633&lt;1,$C1633&gt;12,$D1633&lt;1,$D1633&gt;31),"نامعتبر",RIGHT("0000"&amp;$B1633,4)&amp;"/"&amp;RIGHT("00"&amp;$C1633,2)&amp;"/"&amp;RIGHT("00"&amp;$D1633,2)))</f>
        <v/>
      </c>
      <c r="F1633">
        <f>IF(OR($E1633="",$E1633="نامعتبر"),"",IF(Sync!$Q1630="","0000",IF(AND(ISNUMBER(Sync!$Q1630),Sync!$Q1630&gt;=0,Sync!$Q1630&lt;1),RIGHT("00"&amp;HOUR(Sync!$Q1630),2)&amp;RIGHT("00"&amp;MINUTE(Sync!$Q1630),2),IFERROR(RIGHT("00"&amp;VALUE(LEFT(Sync!$Q1630,FIND(":",Sync!$Q1630)-1)),2)&amp;RIGHT("00"&amp;VALUE(MID(Sync!$Q1630,FIND(":",Sync!$Q1630)+1,2)),2),"0000"))))</f>
        <v/>
      </c>
      <c r="G1633">
        <f>IF(OR($E1633="",$E1633="نامعتبر"),"",IF(Sync!$S1630="","",Sync!$S1630))</f>
        <v/>
      </c>
      <c r="H1633">
        <f>IF(OR($E1633="",$E1633="نامعتبر"),"",IF(Sync!$R1630="","",Sync!$R1630))</f>
        <v/>
      </c>
      <c r="I1633">
        <f>IF(OR($E1633="",$E1633="نامعتبر"),"",IF(Sync!$T1630="","",Sync!$T1630))</f>
        <v/>
      </c>
      <c r="J1633">
        <f>IF(OR($E1633="",$E1633="نامعتبر"),"",IF(Sync!$U1630="","",Sync!$U1630))</f>
        <v/>
      </c>
      <c r="K1633">
        <f>IF(OR($E1633="",$E1633="نامعتبر"),"",IF(Sync!$V1630="","",IFERROR(INDEX(SubCodes,MATCH(Sync!$V1630,SubTitles,0)),Sync!$V1630)))</f>
        <v/>
      </c>
      <c r="L1633">
        <f>IF(OR($E1633="",$E1633="نامعتبر"),"",IF(Sync!$W1630="",0,Sync!$W1630))</f>
        <v/>
      </c>
      <c r="M1633">
        <f>IF(OR($E1633="",$E1633="نامعتبر"),"",IF(Sync!$X1630="",0,Sync!$X1630))</f>
        <v/>
      </c>
      <c r="N1633">
        <f>IF(OR($E1633="",$E1633="نامعتبر"),"",IF(AND($J1633="هزینه",$K1633&lt;&gt;""),1,0))</f>
        <v/>
      </c>
      <c r="O1633">
        <f>IF($N1633=0,"",LEFT($E1633,4)&amp;MID($E1633,6,2)&amp;RIGHT($E1633,2)&amp;$F1633&amp;"|"&amp;"1"&amp;RIGHT("00000"&amp;1625,5))</f>
        <v/>
      </c>
      <c r="P1633">
        <f>IF($O1633="","",COUNTIFS(ExpSub,$K1633,ExpKey,"&lt;"&amp;$O1633)+1)</f>
        <v/>
      </c>
      <c r="Q1633">
        <f>IF($P1633="","",$K1633&amp;"|"&amp;RIGHT("000000"&amp;$P1633,6))</f>
        <v/>
      </c>
    </row>
    <row r="1634">
      <c r="A1634">
        <f>IF(Sync!$P1631="","",Sync!$P1631)</f>
        <v/>
      </c>
      <c r="B1634">
        <f>IF($A1634="","",IF(ISNUMBER($A1634),IF(AND($A1634&gt;=10000101,$A1634&lt;=99991231),INT($A1634/10000),""),IFERROR(VALUE(TRIM(LEFT($A1634,FIND("/",$A1634)-1))),"")))</f>
        <v/>
      </c>
      <c r="C1634">
        <f>IF(OR($A1634="",$B1634=""),"",IF(ISNUMBER($A1634),INT(MOD($A1634,10000)/100),IFERROR(VALUE(TRIM(LEFT(MID($A1634,FIND("/",$A1634)+1,20),FIND("/",MID($A1634,FIND("/",$A1634)+1,20))-1))),"")))</f>
        <v/>
      </c>
      <c r="D1634">
        <f>IF(OR($A1634="",$B1634=""),"",IF(ISNUMBER($A1634),MOD($A1634,100),IFERROR(VALUE(TRIM(MID(MID($A1634,FIND("/",$A1634)+1,20),FIND("/",MID($A1634,FIND("/",$A1634)+1,20))+1,20))),"")))</f>
        <v/>
      </c>
      <c r="E1634">
        <f>IF($A1634="","",IF(OR($B1634="",$C1634="",$D1634="",$B1634&lt;1300,$B1634&gt;1500,$C1634&lt;1,$C1634&gt;12,$D1634&lt;1,$D1634&gt;31),"نامعتبر",RIGHT("0000"&amp;$B1634,4)&amp;"/"&amp;RIGHT("00"&amp;$C1634,2)&amp;"/"&amp;RIGHT("00"&amp;$D1634,2)))</f>
        <v/>
      </c>
      <c r="F1634">
        <f>IF(OR($E1634="",$E1634="نامعتبر"),"",IF(Sync!$Q1631="","0000",IF(AND(ISNUMBER(Sync!$Q1631),Sync!$Q1631&gt;=0,Sync!$Q1631&lt;1),RIGHT("00"&amp;HOUR(Sync!$Q1631),2)&amp;RIGHT("00"&amp;MINUTE(Sync!$Q1631),2),IFERROR(RIGHT("00"&amp;VALUE(LEFT(Sync!$Q1631,FIND(":",Sync!$Q1631)-1)),2)&amp;RIGHT("00"&amp;VALUE(MID(Sync!$Q1631,FIND(":",Sync!$Q1631)+1,2)),2),"0000"))))</f>
        <v/>
      </c>
      <c r="G1634">
        <f>IF(OR($E1634="",$E1634="نامعتبر"),"",IF(Sync!$S1631="","",Sync!$S1631))</f>
        <v/>
      </c>
      <c r="H1634">
        <f>IF(OR($E1634="",$E1634="نامعتبر"),"",IF(Sync!$R1631="","",Sync!$R1631))</f>
        <v/>
      </c>
      <c r="I1634">
        <f>IF(OR($E1634="",$E1634="نامعتبر"),"",IF(Sync!$T1631="","",Sync!$T1631))</f>
        <v/>
      </c>
      <c r="J1634">
        <f>IF(OR($E1634="",$E1634="نامعتبر"),"",IF(Sync!$U1631="","",Sync!$U1631))</f>
        <v/>
      </c>
      <c r="K1634">
        <f>IF(OR($E1634="",$E1634="نامعتبر"),"",IF(Sync!$V1631="","",IFERROR(INDEX(SubCodes,MATCH(Sync!$V1631,SubTitles,0)),Sync!$V1631)))</f>
        <v/>
      </c>
      <c r="L1634">
        <f>IF(OR($E1634="",$E1634="نامعتبر"),"",IF(Sync!$W1631="",0,Sync!$W1631))</f>
        <v/>
      </c>
      <c r="M1634">
        <f>IF(OR($E1634="",$E1634="نامعتبر"),"",IF(Sync!$X1631="",0,Sync!$X1631))</f>
        <v/>
      </c>
      <c r="N1634">
        <f>IF(OR($E1634="",$E1634="نامعتبر"),"",IF(AND($J1634="هزینه",$K1634&lt;&gt;""),1,0))</f>
        <v/>
      </c>
      <c r="O1634">
        <f>IF($N1634=0,"",LEFT($E1634,4)&amp;MID($E1634,6,2)&amp;RIGHT($E1634,2)&amp;$F1634&amp;"|"&amp;"1"&amp;RIGHT("00000"&amp;1626,5))</f>
        <v/>
      </c>
      <c r="P1634">
        <f>IF($O1634="","",COUNTIFS(ExpSub,$K1634,ExpKey,"&lt;"&amp;$O1634)+1)</f>
        <v/>
      </c>
      <c r="Q1634">
        <f>IF($P1634="","",$K1634&amp;"|"&amp;RIGHT("000000"&amp;$P1634,6))</f>
        <v/>
      </c>
    </row>
    <row r="1635">
      <c r="A1635">
        <f>IF(Sync!$P1632="","",Sync!$P1632)</f>
        <v/>
      </c>
      <c r="B1635">
        <f>IF($A1635="","",IF(ISNUMBER($A1635),IF(AND($A1635&gt;=10000101,$A1635&lt;=99991231),INT($A1635/10000),""),IFERROR(VALUE(TRIM(LEFT($A1635,FIND("/",$A1635)-1))),"")))</f>
        <v/>
      </c>
      <c r="C1635">
        <f>IF(OR($A1635="",$B1635=""),"",IF(ISNUMBER($A1635),INT(MOD($A1635,10000)/100),IFERROR(VALUE(TRIM(LEFT(MID($A1635,FIND("/",$A1635)+1,20),FIND("/",MID($A1635,FIND("/",$A1635)+1,20))-1))),"")))</f>
        <v/>
      </c>
      <c r="D1635">
        <f>IF(OR($A1635="",$B1635=""),"",IF(ISNUMBER($A1635),MOD($A1635,100),IFERROR(VALUE(TRIM(MID(MID($A1635,FIND("/",$A1635)+1,20),FIND("/",MID($A1635,FIND("/",$A1635)+1,20))+1,20))),"")))</f>
        <v/>
      </c>
      <c r="E1635">
        <f>IF($A1635="","",IF(OR($B1635="",$C1635="",$D1635="",$B1635&lt;1300,$B1635&gt;1500,$C1635&lt;1,$C1635&gt;12,$D1635&lt;1,$D1635&gt;31),"نامعتبر",RIGHT("0000"&amp;$B1635,4)&amp;"/"&amp;RIGHT("00"&amp;$C1635,2)&amp;"/"&amp;RIGHT("00"&amp;$D1635,2)))</f>
        <v/>
      </c>
      <c r="F1635">
        <f>IF(OR($E1635="",$E1635="نامعتبر"),"",IF(Sync!$Q1632="","0000",IF(AND(ISNUMBER(Sync!$Q1632),Sync!$Q1632&gt;=0,Sync!$Q1632&lt;1),RIGHT("00"&amp;HOUR(Sync!$Q1632),2)&amp;RIGHT("00"&amp;MINUTE(Sync!$Q1632),2),IFERROR(RIGHT("00"&amp;VALUE(LEFT(Sync!$Q1632,FIND(":",Sync!$Q1632)-1)),2)&amp;RIGHT("00"&amp;VALUE(MID(Sync!$Q1632,FIND(":",Sync!$Q1632)+1,2)),2),"0000"))))</f>
        <v/>
      </c>
      <c r="G1635">
        <f>IF(OR($E1635="",$E1635="نامعتبر"),"",IF(Sync!$S1632="","",Sync!$S1632))</f>
        <v/>
      </c>
      <c r="H1635">
        <f>IF(OR($E1635="",$E1635="نامعتبر"),"",IF(Sync!$R1632="","",Sync!$R1632))</f>
        <v/>
      </c>
      <c r="I1635">
        <f>IF(OR($E1635="",$E1635="نامعتبر"),"",IF(Sync!$T1632="","",Sync!$T1632))</f>
        <v/>
      </c>
      <c r="J1635">
        <f>IF(OR($E1635="",$E1635="نامعتبر"),"",IF(Sync!$U1632="","",Sync!$U1632))</f>
        <v/>
      </c>
      <c r="K1635">
        <f>IF(OR($E1635="",$E1635="نامعتبر"),"",IF(Sync!$V1632="","",IFERROR(INDEX(SubCodes,MATCH(Sync!$V1632,SubTitles,0)),Sync!$V1632)))</f>
        <v/>
      </c>
      <c r="L1635">
        <f>IF(OR($E1635="",$E1635="نامعتبر"),"",IF(Sync!$W1632="",0,Sync!$W1632))</f>
        <v/>
      </c>
      <c r="M1635">
        <f>IF(OR($E1635="",$E1635="نامعتبر"),"",IF(Sync!$X1632="",0,Sync!$X1632))</f>
        <v/>
      </c>
      <c r="N1635">
        <f>IF(OR($E1635="",$E1635="نامعتبر"),"",IF(AND($J1635="هزینه",$K1635&lt;&gt;""),1,0))</f>
        <v/>
      </c>
      <c r="O1635">
        <f>IF($N1635=0,"",LEFT($E1635,4)&amp;MID($E1635,6,2)&amp;RIGHT($E1635,2)&amp;$F1635&amp;"|"&amp;"1"&amp;RIGHT("00000"&amp;1627,5))</f>
        <v/>
      </c>
      <c r="P1635">
        <f>IF($O1635="","",COUNTIFS(ExpSub,$K1635,ExpKey,"&lt;"&amp;$O1635)+1)</f>
        <v/>
      </c>
      <c r="Q1635">
        <f>IF($P1635="","",$K1635&amp;"|"&amp;RIGHT("000000"&amp;$P1635,6))</f>
        <v/>
      </c>
    </row>
    <row r="1636">
      <c r="A1636">
        <f>IF(Sync!$P1633="","",Sync!$P1633)</f>
        <v/>
      </c>
      <c r="B1636">
        <f>IF($A1636="","",IF(ISNUMBER($A1636),IF(AND($A1636&gt;=10000101,$A1636&lt;=99991231),INT($A1636/10000),""),IFERROR(VALUE(TRIM(LEFT($A1636,FIND("/",$A1636)-1))),"")))</f>
        <v/>
      </c>
      <c r="C1636">
        <f>IF(OR($A1636="",$B1636=""),"",IF(ISNUMBER($A1636),INT(MOD($A1636,10000)/100),IFERROR(VALUE(TRIM(LEFT(MID($A1636,FIND("/",$A1636)+1,20),FIND("/",MID($A1636,FIND("/",$A1636)+1,20))-1))),"")))</f>
        <v/>
      </c>
      <c r="D1636">
        <f>IF(OR($A1636="",$B1636=""),"",IF(ISNUMBER($A1636),MOD($A1636,100),IFERROR(VALUE(TRIM(MID(MID($A1636,FIND("/",$A1636)+1,20),FIND("/",MID($A1636,FIND("/",$A1636)+1,20))+1,20))),"")))</f>
        <v/>
      </c>
      <c r="E1636">
        <f>IF($A1636="","",IF(OR($B1636="",$C1636="",$D1636="",$B1636&lt;1300,$B1636&gt;1500,$C1636&lt;1,$C1636&gt;12,$D1636&lt;1,$D1636&gt;31),"نامعتبر",RIGHT("0000"&amp;$B1636,4)&amp;"/"&amp;RIGHT("00"&amp;$C1636,2)&amp;"/"&amp;RIGHT("00"&amp;$D1636,2)))</f>
        <v/>
      </c>
      <c r="F1636">
        <f>IF(OR($E1636="",$E1636="نامعتبر"),"",IF(Sync!$Q1633="","0000",IF(AND(ISNUMBER(Sync!$Q1633),Sync!$Q1633&gt;=0,Sync!$Q1633&lt;1),RIGHT("00"&amp;HOUR(Sync!$Q1633),2)&amp;RIGHT("00"&amp;MINUTE(Sync!$Q1633),2),IFERROR(RIGHT("00"&amp;VALUE(LEFT(Sync!$Q1633,FIND(":",Sync!$Q1633)-1)),2)&amp;RIGHT("00"&amp;VALUE(MID(Sync!$Q1633,FIND(":",Sync!$Q1633)+1,2)),2),"0000"))))</f>
        <v/>
      </c>
      <c r="G1636">
        <f>IF(OR($E1636="",$E1636="نامعتبر"),"",IF(Sync!$S1633="","",Sync!$S1633))</f>
        <v/>
      </c>
      <c r="H1636">
        <f>IF(OR($E1636="",$E1636="نامعتبر"),"",IF(Sync!$R1633="","",Sync!$R1633))</f>
        <v/>
      </c>
      <c r="I1636">
        <f>IF(OR($E1636="",$E1636="نامعتبر"),"",IF(Sync!$T1633="","",Sync!$T1633))</f>
        <v/>
      </c>
      <c r="J1636">
        <f>IF(OR($E1636="",$E1636="نامعتبر"),"",IF(Sync!$U1633="","",Sync!$U1633))</f>
        <v/>
      </c>
      <c r="K1636">
        <f>IF(OR($E1636="",$E1636="نامعتبر"),"",IF(Sync!$V1633="","",IFERROR(INDEX(SubCodes,MATCH(Sync!$V1633,SubTitles,0)),Sync!$V1633)))</f>
        <v/>
      </c>
      <c r="L1636">
        <f>IF(OR($E1636="",$E1636="نامعتبر"),"",IF(Sync!$W1633="",0,Sync!$W1633))</f>
        <v/>
      </c>
      <c r="M1636">
        <f>IF(OR($E1636="",$E1636="نامعتبر"),"",IF(Sync!$X1633="",0,Sync!$X1633))</f>
        <v/>
      </c>
      <c r="N1636">
        <f>IF(OR($E1636="",$E1636="نامعتبر"),"",IF(AND($J1636="هزینه",$K1636&lt;&gt;""),1,0))</f>
        <v/>
      </c>
      <c r="O1636">
        <f>IF($N1636=0,"",LEFT($E1636,4)&amp;MID($E1636,6,2)&amp;RIGHT($E1636,2)&amp;$F1636&amp;"|"&amp;"1"&amp;RIGHT("00000"&amp;1628,5))</f>
        <v/>
      </c>
      <c r="P1636">
        <f>IF($O1636="","",COUNTIFS(ExpSub,$K1636,ExpKey,"&lt;"&amp;$O1636)+1)</f>
        <v/>
      </c>
      <c r="Q1636">
        <f>IF($P1636="","",$K1636&amp;"|"&amp;RIGHT("000000"&amp;$P1636,6))</f>
        <v/>
      </c>
    </row>
    <row r="1637">
      <c r="A1637">
        <f>IF(Sync!$P1634="","",Sync!$P1634)</f>
        <v/>
      </c>
      <c r="B1637">
        <f>IF($A1637="","",IF(ISNUMBER($A1637),IF(AND($A1637&gt;=10000101,$A1637&lt;=99991231),INT($A1637/10000),""),IFERROR(VALUE(TRIM(LEFT($A1637,FIND("/",$A1637)-1))),"")))</f>
        <v/>
      </c>
      <c r="C1637">
        <f>IF(OR($A1637="",$B1637=""),"",IF(ISNUMBER($A1637),INT(MOD($A1637,10000)/100),IFERROR(VALUE(TRIM(LEFT(MID($A1637,FIND("/",$A1637)+1,20),FIND("/",MID($A1637,FIND("/",$A1637)+1,20))-1))),"")))</f>
        <v/>
      </c>
      <c r="D1637">
        <f>IF(OR($A1637="",$B1637=""),"",IF(ISNUMBER($A1637),MOD($A1637,100),IFERROR(VALUE(TRIM(MID(MID($A1637,FIND("/",$A1637)+1,20),FIND("/",MID($A1637,FIND("/",$A1637)+1,20))+1,20))),"")))</f>
        <v/>
      </c>
      <c r="E1637">
        <f>IF($A1637="","",IF(OR($B1637="",$C1637="",$D1637="",$B1637&lt;1300,$B1637&gt;1500,$C1637&lt;1,$C1637&gt;12,$D1637&lt;1,$D1637&gt;31),"نامعتبر",RIGHT("0000"&amp;$B1637,4)&amp;"/"&amp;RIGHT("00"&amp;$C1637,2)&amp;"/"&amp;RIGHT("00"&amp;$D1637,2)))</f>
        <v/>
      </c>
      <c r="F1637">
        <f>IF(OR($E1637="",$E1637="نامعتبر"),"",IF(Sync!$Q1634="","0000",IF(AND(ISNUMBER(Sync!$Q1634),Sync!$Q1634&gt;=0,Sync!$Q1634&lt;1),RIGHT("00"&amp;HOUR(Sync!$Q1634),2)&amp;RIGHT("00"&amp;MINUTE(Sync!$Q1634),2),IFERROR(RIGHT("00"&amp;VALUE(LEFT(Sync!$Q1634,FIND(":",Sync!$Q1634)-1)),2)&amp;RIGHT("00"&amp;VALUE(MID(Sync!$Q1634,FIND(":",Sync!$Q1634)+1,2)),2),"0000"))))</f>
        <v/>
      </c>
      <c r="G1637">
        <f>IF(OR($E1637="",$E1637="نامعتبر"),"",IF(Sync!$S1634="","",Sync!$S1634))</f>
        <v/>
      </c>
      <c r="H1637">
        <f>IF(OR($E1637="",$E1637="نامعتبر"),"",IF(Sync!$R1634="","",Sync!$R1634))</f>
        <v/>
      </c>
      <c r="I1637">
        <f>IF(OR($E1637="",$E1637="نامعتبر"),"",IF(Sync!$T1634="","",Sync!$T1634))</f>
        <v/>
      </c>
      <c r="J1637">
        <f>IF(OR($E1637="",$E1637="نامعتبر"),"",IF(Sync!$U1634="","",Sync!$U1634))</f>
        <v/>
      </c>
      <c r="K1637">
        <f>IF(OR($E1637="",$E1637="نامعتبر"),"",IF(Sync!$V1634="","",IFERROR(INDEX(SubCodes,MATCH(Sync!$V1634,SubTitles,0)),Sync!$V1634)))</f>
        <v/>
      </c>
      <c r="L1637">
        <f>IF(OR($E1637="",$E1637="نامعتبر"),"",IF(Sync!$W1634="",0,Sync!$W1634))</f>
        <v/>
      </c>
      <c r="M1637">
        <f>IF(OR($E1637="",$E1637="نامعتبر"),"",IF(Sync!$X1634="",0,Sync!$X1634))</f>
        <v/>
      </c>
      <c r="N1637">
        <f>IF(OR($E1637="",$E1637="نامعتبر"),"",IF(AND($J1637="هزینه",$K1637&lt;&gt;""),1,0))</f>
        <v/>
      </c>
      <c r="O1637">
        <f>IF($N1637=0,"",LEFT($E1637,4)&amp;MID($E1637,6,2)&amp;RIGHT($E1637,2)&amp;$F1637&amp;"|"&amp;"1"&amp;RIGHT("00000"&amp;1629,5))</f>
        <v/>
      </c>
      <c r="P1637">
        <f>IF($O1637="","",COUNTIFS(ExpSub,$K1637,ExpKey,"&lt;"&amp;$O1637)+1)</f>
        <v/>
      </c>
      <c r="Q1637">
        <f>IF($P1637="","",$K1637&amp;"|"&amp;RIGHT("000000"&amp;$P1637,6))</f>
        <v/>
      </c>
    </row>
    <row r="1638">
      <c r="A1638">
        <f>IF(Sync!$P1635="","",Sync!$P1635)</f>
        <v/>
      </c>
      <c r="B1638">
        <f>IF($A1638="","",IF(ISNUMBER($A1638),IF(AND($A1638&gt;=10000101,$A1638&lt;=99991231),INT($A1638/10000),""),IFERROR(VALUE(TRIM(LEFT($A1638,FIND("/",$A1638)-1))),"")))</f>
        <v/>
      </c>
      <c r="C1638">
        <f>IF(OR($A1638="",$B1638=""),"",IF(ISNUMBER($A1638),INT(MOD($A1638,10000)/100),IFERROR(VALUE(TRIM(LEFT(MID($A1638,FIND("/",$A1638)+1,20),FIND("/",MID($A1638,FIND("/",$A1638)+1,20))-1))),"")))</f>
        <v/>
      </c>
      <c r="D1638">
        <f>IF(OR($A1638="",$B1638=""),"",IF(ISNUMBER($A1638),MOD($A1638,100),IFERROR(VALUE(TRIM(MID(MID($A1638,FIND("/",$A1638)+1,20),FIND("/",MID($A1638,FIND("/",$A1638)+1,20))+1,20))),"")))</f>
        <v/>
      </c>
      <c r="E1638">
        <f>IF($A1638="","",IF(OR($B1638="",$C1638="",$D1638="",$B1638&lt;1300,$B1638&gt;1500,$C1638&lt;1,$C1638&gt;12,$D1638&lt;1,$D1638&gt;31),"نامعتبر",RIGHT("0000"&amp;$B1638,4)&amp;"/"&amp;RIGHT("00"&amp;$C1638,2)&amp;"/"&amp;RIGHT("00"&amp;$D1638,2)))</f>
        <v/>
      </c>
      <c r="F1638">
        <f>IF(OR($E1638="",$E1638="نامعتبر"),"",IF(Sync!$Q1635="","0000",IF(AND(ISNUMBER(Sync!$Q1635),Sync!$Q1635&gt;=0,Sync!$Q1635&lt;1),RIGHT("00"&amp;HOUR(Sync!$Q1635),2)&amp;RIGHT("00"&amp;MINUTE(Sync!$Q1635),2),IFERROR(RIGHT("00"&amp;VALUE(LEFT(Sync!$Q1635,FIND(":",Sync!$Q1635)-1)),2)&amp;RIGHT("00"&amp;VALUE(MID(Sync!$Q1635,FIND(":",Sync!$Q1635)+1,2)),2),"0000"))))</f>
        <v/>
      </c>
      <c r="G1638">
        <f>IF(OR($E1638="",$E1638="نامعتبر"),"",IF(Sync!$S1635="","",Sync!$S1635))</f>
        <v/>
      </c>
      <c r="H1638">
        <f>IF(OR($E1638="",$E1638="نامعتبر"),"",IF(Sync!$R1635="","",Sync!$R1635))</f>
        <v/>
      </c>
      <c r="I1638">
        <f>IF(OR($E1638="",$E1638="نامعتبر"),"",IF(Sync!$T1635="","",Sync!$T1635))</f>
        <v/>
      </c>
      <c r="J1638">
        <f>IF(OR($E1638="",$E1638="نامعتبر"),"",IF(Sync!$U1635="","",Sync!$U1635))</f>
        <v/>
      </c>
      <c r="K1638">
        <f>IF(OR($E1638="",$E1638="نامعتبر"),"",IF(Sync!$V1635="","",IFERROR(INDEX(SubCodes,MATCH(Sync!$V1635,SubTitles,0)),Sync!$V1635)))</f>
        <v/>
      </c>
      <c r="L1638">
        <f>IF(OR($E1638="",$E1638="نامعتبر"),"",IF(Sync!$W1635="",0,Sync!$W1635))</f>
        <v/>
      </c>
      <c r="M1638">
        <f>IF(OR($E1638="",$E1638="نامعتبر"),"",IF(Sync!$X1635="",0,Sync!$X1635))</f>
        <v/>
      </c>
      <c r="N1638">
        <f>IF(OR($E1638="",$E1638="نامعتبر"),"",IF(AND($J1638="هزینه",$K1638&lt;&gt;""),1,0))</f>
        <v/>
      </c>
      <c r="O1638">
        <f>IF($N1638=0,"",LEFT($E1638,4)&amp;MID($E1638,6,2)&amp;RIGHT($E1638,2)&amp;$F1638&amp;"|"&amp;"1"&amp;RIGHT("00000"&amp;1630,5))</f>
        <v/>
      </c>
      <c r="P1638">
        <f>IF($O1638="","",COUNTIFS(ExpSub,$K1638,ExpKey,"&lt;"&amp;$O1638)+1)</f>
        <v/>
      </c>
      <c r="Q1638">
        <f>IF($P1638="","",$K1638&amp;"|"&amp;RIGHT("000000"&amp;$P1638,6))</f>
        <v/>
      </c>
    </row>
    <row r="1639">
      <c r="A1639">
        <f>IF(Sync!$P1636="","",Sync!$P1636)</f>
        <v/>
      </c>
      <c r="B1639">
        <f>IF($A1639="","",IF(ISNUMBER($A1639),IF(AND($A1639&gt;=10000101,$A1639&lt;=99991231),INT($A1639/10000),""),IFERROR(VALUE(TRIM(LEFT($A1639,FIND("/",$A1639)-1))),"")))</f>
        <v/>
      </c>
      <c r="C1639">
        <f>IF(OR($A1639="",$B1639=""),"",IF(ISNUMBER($A1639),INT(MOD($A1639,10000)/100),IFERROR(VALUE(TRIM(LEFT(MID($A1639,FIND("/",$A1639)+1,20),FIND("/",MID($A1639,FIND("/",$A1639)+1,20))-1))),"")))</f>
        <v/>
      </c>
      <c r="D1639">
        <f>IF(OR($A1639="",$B1639=""),"",IF(ISNUMBER($A1639),MOD($A1639,100),IFERROR(VALUE(TRIM(MID(MID($A1639,FIND("/",$A1639)+1,20),FIND("/",MID($A1639,FIND("/",$A1639)+1,20))+1,20))),"")))</f>
        <v/>
      </c>
      <c r="E1639">
        <f>IF($A1639="","",IF(OR($B1639="",$C1639="",$D1639="",$B1639&lt;1300,$B1639&gt;1500,$C1639&lt;1,$C1639&gt;12,$D1639&lt;1,$D1639&gt;31),"نامعتبر",RIGHT("0000"&amp;$B1639,4)&amp;"/"&amp;RIGHT("00"&amp;$C1639,2)&amp;"/"&amp;RIGHT("00"&amp;$D1639,2)))</f>
        <v/>
      </c>
      <c r="F1639">
        <f>IF(OR($E1639="",$E1639="نامعتبر"),"",IF(Sync!$Q1636="","0000",IF(AND(ISNUMBER(Sync!$Q1636),Sync!$Q1636&gt;=0,Sync!$Q1636&lt;1),RIGHT("00"&amp;HOUR(Sync!$Q1636),2)&amp;RIGHT("00"&amp;MINUTE(Sync!$Q1636),2),IFERROR(RIGHT("00"&amp;VALUE(LEFT(Sync!$Q1636,FIND(":",Sync!$Q1636)-1)),2)&amp;RIGHT("00"&amp;VALUE(MID(Sync!$Q1636,FIND(":",Sync!$Q1636)+1,2)),2),"0000"))))</f>
        <v/>
      </c>
      <c r="G1639">
        <f>IF(OR($E1639="",$E1639="نامعتبر"),"",IF(Sync!$S1636="","",Sync!$S1636))</f>
        <v/>
      </c>
      <c r="H1639">
        <f>IF(OR($E1639="",$E1639="نامعتبر"),"",IF(Sync!$R1636="","",Sync!$R1636))</f>
        <v/>
      </c>
      <c r="I1639">
        <f>IF(OR($E1639="",$E1639="نامعتبر"),"",IF(Sync!$T1636="","",Sync!$T1636))</f>
        <v/>
      </c>
      <c r="J1639">
        <f>IF(OR($E1639="",$E1639="نامعتبر"),"",IF(Sync!$U1636="","",Sync!$U1636))</f>
        <v/>
      </c>
      <c r="K1639">
        <f>IF(OR($E1639="",$E1639="نامعتبر"),"",IF(Sync!$V1636="","",IFERROR(INDEX(SubCodes,MATCH(Sync!$V1636,SubTitles,0)),Sync!$V1636)))</f>
        <v/>
      </c>
      <c r="L1639">
        <f>IF(OR($E1639="",$E1639="نامعتبر"),"",IF(Sync!$W1636="",0,Sync!$W1636))</f>
        <v/>
      </c>
      <c r="M1639">
        <f>IF(OR($E1639="",$E1639="نامعتبر"),"",IF(Sync!$X1636="",0,Sync!$X1636))</f>
        <v/>
      </c>
      <c r="N1639">
        <f>IF(OR($E1639="",$E1639="نامعتبر"),"",IF(AND($J1639="هزینه",$K1639&lt;&gt;""),1,0))</f>
        <v/>
      </c>
      <c r="O1639">
        <f>IF($N1639=0,"",LEFT($E1639,4)&amp;MID($E1639,6,2)&amp;RIGHT($E1639,2)&amp;$F1639&amp;"|"&amp;"1"&amp;RIGHT("00000"&amp;1631,5))</f>
        <v/>
      </c>
      <c r="P1639">
        <f>IF($O1639="","",COUNTIFS(ExpSub,$K1639,ExpKey,"&lt;"&amp;$O1639)+1)</f>
        <v/>
      </c>
      <c r="Q1639">
        <f>IF($P1639="","",$K1639&amp;"|"&amp;RIGHT("000000"&amp;$P1639,6))</f>
        <v/>
      </c>
    </row>
    <row r="1640">
      <c r="A1640">
        <f>IF(Sync!$P1637="","",Sync!$P1637)</f>
        <v/>
      </c>
      <c r="B1640">
        <f>IF($A1640="","",IF(ISNUMBER($A1640),IF(AND($A1640&gt;=10000101,$A1640&lt;=99991231),INT($A1640/10000),""),IFERROR(VALUE(TRIM(LEFT($A1640,FIND("/",$A1640)-1))),"")))</f>
        <v/>
      </c>
      <c r="C1640">
        <f>IF(OR($A1640="",$B1640=""),"",IF(ISNUMBER($A1640),INT(MOD($A1640,10000)/100),IFERROR(VALUE(TRIM(LEFT(MID($A1640,FIND("/",$A1640)+1,20),FIND("/",MID($A1640,FIND("/",$A1640)+1,20))-1))),"")))</f>
        <v/>
      </c>
      <c r="D1640">
        <f>IF(OR($A1640="",$B1640=""),"",IF(ISNUMBER($A1640),MOD($A1640,100),IFERROR(VALUE(TRIM(MID(MID($A1640,FIND("/",$A1640)+1,20),FIND("/",MID($A1640,FIND("/",$A1640)+1,20))+1,20))),"")))</f>
        <v/>
      </c>
      <c r="E1640">
        <f>IF($A1640="","",IF(OR($B1640="",$C1640="",$D1640="",$B1640&lt;1300,$B1640&gt;1500,$C1640&lt;1,$C1640&gt;12,$D1640&lt;1,$D1640&gt;31),"نامعتبر",RIGHT("0000"&amp;$B1640,4)&amp;"/"&amp;RIGHT("00"&amp;$C1640,2)&amp;"/"&amp;RIGHT("00"&amp;$D1640,2)))</f>
        <v/>
      </c>
      <c r="F1640">
        <f>IF(OR($E1640="",$E1640="نامعتبر"),"",IF(Sync!$Q1637="","0000",IF(AND(ISNUMBER(Sync!$Q1637),Sync!$Q1637&gt;=0,Sync!$Q1637&lt;1),RIGHT("00"&amp;HOUR(Sync!$Q1637),2)&amp;RIGHT("00"&amp;MINUTE(Sync!$Q1637),2),IFERROR(RIGHT("00"&amp;VALUE(LEFT(Sync!$Q1637,FIND(":",Sync!$Q1637)-1)),2)&amp;RIGHT("00"&amp;VALUE(MID(Sync!$Q1637,FIND(":",Sync!$Q1637)+1,2)),2),"0000"))))</f>
        <v/>
      </c>
      <c r="G1640">
        <f>IF(OR($E1640="",$E1640="نامعتبر"),"",IF(Sync!$S1637="","",Sync!$S1637))</f>
        <v/>
      </c>
      <c r="H1640">
        <f>IF(OR($E1640="",$E1640="نامعتبر"),"",IF(Sync!$R1637="","",Sync!$R1637))</f>
        <v/>
      </c>
      <c r="I1640">
        <f>IF(OR($E1640="",$E1640="نامعتبر"),"",IF(Sync!$T1637="","",Sync!$T1637))</f>
        <v/>
      </c>
      <c r="J1640">
        <f>IF(OR($E1640="",$E1640="نامعتبر"),"",IF(Sync!$U1637="","",Sync!$U1637))</f>
        <v/>
      </c>
      <c r="K1640">
        <f>IF(OR($E1640="",$E1640="نامعتبر"),"",IF(Sync!$V1637="","",IFERROR(INDEX(SubCodes,MATCH(Sync!$V1637,SubTitles,0)),Sync!$V1637)))</f>
        <v/>
      </c>
      <c r="L1640">
        <f>IF(OR($E1640="",$E1640="نامعتبر"),"",IF(Sync!$W1637="",0,Sync!$W1637))</f>
        <v/>
      </c>
      <c r="M1640">
        <f>IF(OR($E1640="",$E1640="نامعتبر"),"",IF(Sync!$X1637="",0,Sync!$X1637))</f>
        <v/>
      </c>
      <c r="N1640">
        <f>IF(OR($E1640="",$E1640="نامعتبر"),"",IF(AND($J1640="هزینه",$K1640&lt;&gt;""),1,0))</f>
        <v/>
      </c>
      <c r="O1640">
        <f>IF($N1640=0,"",LEFT($E1640,4)&amp;MID($E1640,6,2)&amp;RIGHT($E1640,2)&amp;$F1640&amp;"|"&amp;"1"&amp;RIGHT("00000"&amp;1632,5))</f>
        <v/>
      </c>
      <c r="P1640">
        <f>IF($O1640="","",COUNTIFS(ExpSub,$K1640,ExpKey,"&lt;"&amp;$O1640)+1)</f>
        <v/>
      </c>
      <c r="Q1640">
        <f>IF($P1640="","",$K1640&amp;"|"&amp;RIGHT("000000"&amp;$P1640,6))</f>
        <v/>
      </c>
    </row>
    <row r="1641">
      <c r="A1641">
        <f>IF(Sync!$P1638="","",Sync!$P1638)</f>
        <v/>
      </c>
      <c r="B1641">
        <f>IF($A1641="","",IF(ISNUMBER($A1641),IF(AND($A1641&gt;=10000101,$A1641&lt;=99991231),INT($A1641/10000),""),IFERROR(VALUE(TRIM(LEFT($A1641,FIND("/",$A1641)-1))),"")))</f>
        <v/>
      </c>
      <c r="C1641">
        <f>IF(OR($A1641="",$B1641=""),"",IF(ISNUMBER($A1641),INT(MOD($A1641,10000)/100),IFERROR(VALUE(TRIM(LEFT(MID($A1641,FIND("/",$A1641)+1,20),FIND("/",MID($A1641,FIND("/",$A1641)+1,20))-1))),"")))</f>
        <v/>
      </c>
      <c r="D1641">
        <f>IF(OR($A1641="",$B1641=""),"",IF(ISNUMBER($A1641),MOD($A1641,100),IFERROR(VALUE(TRIM(MID(MID($A1641,FIND("/",$A1641)+1,20),FIND("/",MID($A1641,FIND("/",$A1641)+1,20))+1,20))),"")))</f>
        <v/>
      </c>
      <c r="E1641">
        <f>IF($A1641="","",IF(OR($B1641="",$C1641="",$D1641="",$B1641&lt;1300,$B1641&gt;1500,$C1641&lt;1,$C1641&gt;12,$D1641&lt;1,$D1641&gt;31),"نامعتبر",RIGHT("0000"&amp;$B1641,4)&amp;"/"&amp;RIGHT("00"&amp;$C1641,2)&amp;"/"&amp;RIGHT("00"&amp;$D1641,2)))</f>
        <v/>
      </c>
      <c r="F1641">
        <f>IF(OR($E1641="",$E1641="نامعتبر"),"",IF(Sync!$Q1638="","0000",IF(AND(ISNUMBER(Sync!$Q1638),Sync!$Q1638&gt;=0,Sync!$Q1638&lt;1),RIGHT("00"&amp;HOUR(Sync!$Q1638),2)&amp;RIGHT("00"&amp;MINUTE(Sync!$Q1638),2),IFERROR(RIGHT("00"&amp;VALUE(LEFT(Sync!$Q1638,FIND(":",Sync!$Q1638)-1)),2)&amp;RIGHT("00"&amp;VALUE(MID(Sync!$Q1638,FIND(":",Sync!$Q1638)+1,2)),2),"0000"))))</f>
        <v/>
      </c>
      <c r="G1641">
        <f>IF(OR($E1641="",$E1641="نامعتبر"),"",IF(Sync!$S1638="","",Sync!$S1638))</f>
        <v/>
      </c>
      <c r="H1641">
        <f>IF(OR($E1641="",$E1641="نامعتبر"),"",IF(Sync!$R1638="","",Sync!$R1638))</f>
        <v/>
      </c>
      <c r="I1641">
        <f>IF(OR($E1641="",$E1641="نامعتبر"),"",IF(Sync!$T1638="","",Sync!$T1638))</f>
        <v/>
      </c>
      <c r="J1641">
        <f>IF(OR($E1641="",$E1641="نامعتبر"),"",IF(Sync!$U1638="","",Sync!$U1638))</f>
        <v/>
      </c>
      <c r="K1641">
        <f>IF(OR($E1641="",$E1641="نامعتبر"),"",IF(Sync!$V1638="","",IFERROR(INDEX(SubCodes,MATCH(Sync!$V1638,SubTitles,0)),Sync!$V1638)))</f>
        <v/>
      </c>
      <c r="L1641">
        <f>IF(OR($E1641="",$E1641="نامعتبر"),"",IF(Sync!$W1638="",0,Sync!$W1638))</f>
        <v/>
      </c>
      <c r="M1641">
        <f>IF(OR($E1641="",$E1641="نامعتبر"),"",IF(Sync!$X1638="",0,Sync!$X1638))</f>
        <v/>
      </c>
      <c r="N1641">
        <f>IF(OR($E1641="",$E1641="نامعتبر"),"",IF(AND($J1641="هزینه",$K1641&lt;&gt;""),1,0))</f>
        <v/>
      </c>
      <c r="O1641">
        <f>IF($N1641=0,"",LEFT($E1641,4)&amp;MID($E1641,6,2)&amp;RIGHT($E1641,2)&amp;$F1641&amp;"|"&amp;"1"&amp;RIGHT("00000"&amp;1633,5))</f>
        <v/>
      </c>
      <c r="P1641">
        <f>IF($O1641="","",COUNTIFS(ExpSub,$K1641,ExpKey,"&lt;"&amp;$O1641)+1)</f>
        <v/>
      </c>
      <c r="Q1641">
        <f>IF($P1641="","",$K1641&amp;"|"&amp;RIGHT("000000"&amp;$P1641,6))</f>
        <v/>
      </c>
    </row>
    <row r="1642">
      <c r="A1642">
        <f>IF(Sync!$P1639="","",Sync!$P1639)</f>
        <v/>
      </c>
      <c r="B1642">
        <f>IF($A1642="","",IF(ISNUMBER($A1642),IF(AND($A1642&gt;=10000101,$A1642&lt;=99991231),INT($A1642/10000),""),IFERROR(VALUE(TRIM(LEFT($A1642,FIND("/",$A1642)-1))),"")))</f>
        <v/>
      </c>
      <c r="C1642">
        <f>IF(OR($A1642="",$B1642=""),"",IF(ISNUMBER($A1642),INT(MOD($A1642,10000)/100),IFERROR(VALUE(TRIM(LEFT(MID($A1642,FIND("/",$A1642)+1,20),FIND("/",MID($A1642,FIND("/",$A1642)+1,20))-1))),"")))</f>
        <v/>
      </c>
      <c r="D1642">
        <f>IF(OR($A1642="",$B1642=""),"",IF(ISNUMBER($A1642),MOD($A1642,100),IFERROR(VALUE(TRIM(MID(MID($A1642,FIND("/",$A1642)+1,20),FIND("/",MID($A1642,FIND("/",$A1642)+1,20))+1,20))),"")))</f>
        <v/>
      </c>
      <c r="E1642">
        <f>IF($A1642="","",IF(OR($B1642="",$C1642="",$D1642="",$B1642&lt;1300,$B1642&gt;1500,$C1642&lt;1,$C1642&gt;12,$D1642&lt;1,$D1642&gt;31),"نامعتبر",RIGHT("0000"&amp;$B1642,4)&amp;"/"&amp;RIGHT("00"&amp;$C1642,2)&amp;"/"&amp;RIGHT("00"&amp;$D1642,2)))</f>
        <v/>
      </c>
      <c r="F1642">
        <f>IF(OR($E1642="",$E1642="نامعتبر"),"",IF(Sync!$Q1639="","0000",IF(AND(ISNUMBER(Sync!$Q1639),Sync!$Q1639&gt;=0,Sync!$Q1639&lt;1),RIGHT("00"&amp;HOUR(Sync!$Q1639),2)&amp;RIGHT("00"&amp;MINUTE(Sync!$Q1639),2),IFERROR(RIGHT("00"&amp;VALUE(LEFT(Sync!$Q1639,FIND(":",Sync!$Q1639)-1)),2)&amp;RIGHT("00"&amp;VALUE(MID(Sync!$Q1639,FIND(":",Sync!$Q1639)+1,2)),2),"0000"))))</f>
        <v/>
      </c>
      <c r="G1642">
        <f>IF(OR($E1642="",$E1642="نامعتبر"),"",IF(Sync!$S1639="","",Sync!$S1639))</f>
        <v/>
      </c>
      <c r="H1642">
        <f>IF(OR($E1642="",$E1642="نامعتبر"),"",IF(Sync!$R1639="","",Sync!$R1639))</f>
        <v/>
      </c>
      <c r="I1642">
        <f>IF(OR($E1642="",$E1642="نامعتبر"),"",IF(Sync!$T1639="","",Sync!$T1639))</f>
        <v/>
      </c>
      <c r="J1642">
        <f>IF(OR($E1642="",$E1642="نامعتبر"),"",IF(Sync!$U1639="","",Sync!$U1639))</f>
        <v/>
      </c>
      <c r="K1642">
        <f>IF(OR($E1642="",$E1642="نامعتبر"),"",IF(Sync!$V1639="","",IFERROR(INDEX(SubCodes,MATCH(Sync!$V1639,SubTitles,0)),Sync!$V1639)))</f>
        <v/>
      </c>
      <c r="L1642">
        <f>IF(OR($E1642="",$E1642="نامعتبر"),"",IF(Sync!$W1639="",0,Sync!$W1639))</f>
        <v/>
      </c>
      <c r="M1642">
        <f>IF(OR($E1642="",$E1642="نامعتبر"),"",IF(Sync!$X1639="",0,Sync!$X1639))</f>
        <v/>
      </c>
      <c r="N1642">
        <f>IF(OR($E1642="",$E1642="نامعتبر"),"",IF(AND($J1642="هزینه",$K1642&lt;&gt;""),1,0))</f>
        <v/>
      </c>
      <c r="O1642">
        <f>IF($N1642=0,"",LEFT($E1642,4)&amp;MID($E1642,6,2)&amp;RIGHT($E1642,2)&amp;$F1642&amp;"|"&amp;"1"&amp;RIGHT("00000"&amp;1634,5))</f>
        <v/>
      </c>
      <c r="P1642">
        <f>IF($O1642="","",COUNTIFS(ExpSub,$K1642,ExpKey,"&lt;"&amp;$O1642)+1)</f>
        <v/>
      </c>
      <c r="Q1642">
        <f>IF($P1642="","",$K1642&amp;"|"&amp;RIGHT("000000"&amp;$P1642,6))</f>
        <v/>
      </c>
    </row>
    <row r="1643">
      <c r="A1643">
        <f>IF(Sync!$P1640="","",Sync!$P1640)</f>
        <v/>
      </c>
      <c r="B1643">
        <f>IF($A1643="","",IF(ISNUMBER($A1643),IF(AND($A1643&gt;=10000101,$A1643&lt;=99991231),INT($A1643/10000),""),IFERROR(VALUE(TRIM(LEFT($A1643,FIND("/",$A1643)-1))),"")))</f>
        <v/>
      </c>
      <c r="C1643">
        <f>IF(OR($A1643="",$B1643=""),"",IF(ISNUMBER($A1643),INT(MOD($A1643,10000)/100),IFERROR(VALUE(TRIM(LEFT(MID($A1643,FIND("/",$A1643)+1,20),FIND("/",MID($A1643,FIND("/",$A1643)+1,20))-1))),"")))</f>
        <v/>
      </c>
      <c r="D1643">
        <f>IF(OR($A1643="",$B1643=""),"",IF(ISNUMBER($A1643),MOD($A1643,100),IFERROR(VALUE(TRIM(MID(MID($A1643,FIND("/",$A1643)+1,20),FIND("/",MID($A1643,FIND("/",$A1643)+1,20))+1,20))),"")))</f>
        <v/>
      </c>
      <c r="E1643">
        <f>IF($A1643="","",IF(OR($B1643="",$C1643="",$D1643="",$B1643&lt;1300,$B1643&gt;1500,$C1643&lt;1,$C1643&gt;12,$D1643&lt;1,$D1643&gt;31),"نامعتبر",RIGHT("0000"&amp;$B1643,4)&amp;"/"&amp;RIGHT("00"&amp;$C1643,2)&amp;"/"&amp;RIGHT("00"&amp;$D1643,2)))</f>
        <v/>
      </c>
      <c r="F1643">
        <f>IF(OR($E1643="",$E1643="نامعتبر"),"",IF(Sync!$Q1640="","0000",IF(AND(ISNUMBER(Sync!$Q1640),Sync!$Q1640&gt;=0,Sync!$Q1640&lt;1),RIGHT("00"&amp;HOUR(Sync!$Q1640),2)&amp;RIGHT("00"&amp;MINUTE(Sync!$Q1640),2),IFERROR(RIGHT("00"&amp;VALUE(LEFT(Sync!$Q1640,FIND(":",Sync!$Q1640)-1)),2)&amp;RIGHT("00"&amp;VALUE(MID(Sync!$Q1640,FIND(":",Sync!$Q1640)+1,2)),2),"0000"))))</f>
        <v/>
      </c>
      <c r="G1643">
        <f>IF(OR($E1643="",$E1643="نامعتبر"),"",IF(Sync!$S1640="","",Sync!$S1640))</f>
        <v/>
      </c>
      <c r="H1643">
        <f>IF(OR($E1643="",$E1643="نامعتبر"),"",IF(Sync!$R1640="","",Sync!$R1640))</f>
        <v/>
      </c>
      <c r="I1643">
        <f>IF(OR($E1643="",$E1643="نامعتبر"),"",IF(Sync!$T1640="","",Sync!$T1640))</f>
        <v/>
      </c>
      <c r="J1643">
        <f>IF(OR($E1643="",$E1643="نامعتبر"),"",IF(Sync!$U1640="","",Sync!$U1640))</f>
        <v/>
      </c>
      <c r="K1643">
        <f>IF(OR($E1643="",$E1643="نامعتبر"),"",IF(Sync!$V1640="","",IFERROR(INDEX(SubCodes,MATCH(Sync!$V1640,SubTitles,0)),Sync!$V1640)))</f>
        <v/>
      </c>
      <c r="L1643">
        <f>IF(OR($E1643="",$E1643="نامعتبر"),"",IF(Sync!$W1640="",0,Sync!$W1640))</f>
        <v/>
      </c>
      <c r="M1643">
        <f>IF(OR($E1643="",$E1643="نامعتبر"),"",IF(Sync!$X1640="",0,Sync!$X1640))</f>
        <v/>
      </c>
      <c r="N1643">
        <f>IF(OR($E1643="",$E1643="نامعتبر"),"",IF(AND($J1643="هزینه",$K1643&lt;&gt;""),1,0))</f>
        <v/>
      </c>
      <c r="O1643">
        <f>IF($N1643=0,"",LEFT($E1643,4)&amp;MID($E1643,6,2)&amp;RIGHT($E1643,2)&amp;$F1643&amp;"|"&amp;"1"&amp;RIGHT("00000"&amp;1635,5))</f>
        <v/>
      </c>
      <c r="P1643">
        <f>IF($O1643="","",COUNTIFS(ExpSub,$K1643,ExpKey,"&lt;"&amp;$O1643)+1)</f>
        <v/>
      </c>
      <c r="Q1643">
        <f>IF($P1643="","",$K1643&amp;"|"&amp;RIGHT("000000"&amp;$P1643,6))</f>
        <v/>
      </c>
    </row>
    <row r="1644">
      <c r="A1644">
        <f>IF(Sync!$P1641="","",Sync!$P1641)</f>
        <v/>
      </c>
      <c r="B1644">
        <f>IF($A1644="","",IF(ISNUMBER($A1644),IF(AND($A1644&gt;=10000101,$A1644&lt;=99991231),INT($A1644/10000),""),IFERROR(VALUE(TRIM(LEFT($A1644,FIND("/",$A1644)-1))),"")))</f>
        <v/>
      </c>
      <c r="C1644">
        <f>IF(OR($A1644="",$B1644=""),"",IF(ISNUMBER($A1644),INT(MOD($A1644,10000)/100),IFERROR(VALUE(TRIM(LEFT(MID($A1644,FIND("/",$A1644)+1,20),FIND("/",MID($A1644,FIND("/",$A1644)+1,20))-1))),"")))</f>
        <v/>
      </c>
      <c r="D1644">
        <f>IF(OR($A1644="",$B1644=""),"",IF(ISNUMBER($A1644),MOD($A1644,100),IFERROR(VALUE(TRIM(MID(MID($A1644,FIND("/",$A1644)+1,20),FIND("/",MID($A1644,FIND("/",$A1644)+1,20))+1,20))),"")))</f>
        <v/>
      </c>
      <c r="E1644">
        <f>IF($A1644="","",IF(OR($B1644="",$C1644="",$D1644="",$B1644&lt;1300,$B1644&gt;1500,$C1644&lt;1,$C1644&gt;12,$D1644&lt;1,$D1644&gt;31),"نامعتبر",RIGHT("0000"&amp;$B1644,4)&amp;"/"&amp;RIGHT("00"&amp;$C1644,2)&amp;"/"&amp;RIGHT("00"&amp;$D1644,2)))</f>
        <v/>
      </c>
      <c r="F1644">
        <f>IF(OR($E1644="",$E1644="نامعتبر"),"",IF(Sync!$Q1641="","0000",IF(AND(ISNUMBER(Sync!$Q1641),Sync!$Q1641&gt;=0,Sync!$Q1641&lt;1),RIGHT("00"&amp;HOUR(Sync!$Q1641),2)&amp;RIGHT("00"&amp;MINUTE(Sync!$Q1641),2),IFERROR(RIGHT("00"&amp;VALUE(LEFT(Sync!$Q1641,FIND(":",Sync!$Q1641)-1)),2)&amp;RIGHT("00"&amp;VALUE(MID(Sync!$Q1641,FIND(":",Sync!$Q1641)+1,2)),2),"0000"))))</f>
        <v/>
      </c>
      <c r="G1644">
        <f>IF(OR($E1644="",$E1644="نامعتبر"),"",IF(Sync!$S1641="","",Sync!$S1641))</f>
        <v/>
      </c>
      <c r="H1644">
        <f>IF(OR($E1644="",$E1644="نامعتبر"),"",IF(Sync!$R1641="","",Sync!$R1641))</f>
        <v/>
      </c>
      <c r="I1644">
        <f>IF(OR($E1644="",$E1644="نامعتبر"),"",IF(Sync!$T1641="","",Sync!$T1641))</f>
        <v/>
      </c>
      <c r="J1644">
        <f>IF(OR($E1644="",$E1644="نامعتبر"),"",IF(Sync!$U1641="","",Sync!$U1641))</f>
        <v/>
      </c>
      <c r="K1644">
        <f>IF(OR($E1644="",$E1644="نامعتبر"),"",IF(Sync!$V1641="","",IFERROR(INDEX(SubCodes,MATCH(Sync!$V1641,SubTitles,0)),Sync!$V1641)))</f>
        <v/>
      </c>
      <c r="L1644">
        <f>IF(OR($E1644="",$E1644="نامعتبر"),"",IF(Sync!$W1641="",0,Sync!$W1641))</f>
        <v/>
      </c>
      <c r="M1644">
        <f>IF(OR($E1644="",$E1644="نامعتبر"),"",IF(Sync!$X1641="",0,Sync!$X1641))</f>
        <v/>
      </c>
      <c r="N1644">
        <f>IF(OR($E1644="",$E1644="نامعتبر"),"",IF(AND($J1644="هزینه",$K1644&lt;&gt;""),1,0))</f>
        <v/>
      </c>
      <c r="O1644">
        <f>IF($N1644=0,"",LEFT($E1644,4)&amp;MID($E1644,6,2)&amp;RIGHT($E1644,2)&amp;$F1644&amp;"|"&amp;"1"&amp;RIGHT("00000"&amp;1636,5))</f>
        <v/>
      </c>
      <c r="P1644">
        <f>IF($O1644="","",COUNTIFS(ExpSub,$K1644,ExpKey,"&lt;"&amp;$O1644)+1)</f>
        <v/>
      </c>
      <c r="Q1644">
        <f>IF($P1644="","",$K1644&amp;"|"&amp;RIGHT("000000"&amp;$P1644,6))</f>
        <v/>
      </c>
    </row>
    <row r="1645">
      <c r="A1645">
        <f>IF(Sync!$P1642="","",Sync!$P1642)</f>
        <v/>
      </c>
      <c r="B1645">
        <f>IF($A1645="","",IF(ISNUMBER($A1645),IF(AND($A1645&gt;=10000101,$A1645&lt;=99991231),INT($A1645/10000),""),IFERROR(VALUE(TRIM(LEFT($A1645,FIND("/",$A1645)-1))),"")))</f>
        <v/>
      </c>
      <c r="C1645">
        <f>IF(OR($A1645="",$B1645=""),"",IF(ISNUMBER($A1645),INT(MOD($A1645,10000)/100),IFERROR(VALUE(TRIM(LEFT(MID($A1645,FIND("/",$A1645)+1,20),FIND("/",MID($A1645,FIND("/",$A1645)+1,20))-1))),"")))</f>
        <v/>
      </c>
      <c r="D1645">
        <f>IF(OR($A1645="",$B1645=""),"",IF(ISNUMBER($A1645),MOD($A1645,100),IFERROR(VALUE(TRIM(MID(MID($A1645,FIND("/",$A1645)+1,20),FIND("/",MID($A1645,FIND("/",$A1645)+1,20))+1,20))),"")))</f>
        <v/>
      </c>
      <c r="E1645">
        <f>IF($A1645="","",IF(OR($B1645="",$C1645="",$D1645="",$B1645&lt;1300,$B1645&gt;1500,$C1645&lt;1,$C1645&gt;12,$D1645&lt;1,$D1645&gt;31),"نامعتبر",RIGHT("0000"&amp;$B1645,4)&amp;"/"&amp;RIGHT("00"&amp;$C1645,2)&amp;"/"&amp;RIGHT("00"&amp;$D1645,2)))</f>
        <v/>
      </c>
      <c r="F1645">
        <f>IF(OR($E1645="",$E1645="نامعتبر"),"",IF(Sync!$Q1642="","0000",IF(AND(ISNUMBER(Sync!$Q1642),Sync!$Q1642&gt;=0,Sync!$Q1642&lt;1),RIGHT("00"&amp;HOUR(Sync!$Q1642),2)&amp;RIGHT("00"&amp;MINUTE(Sync!$Q1642),2),IFERROR(RIGHT("00"&amp;VALUE(LEFT(Sync!$Q1642,FIND(":",Sync!$Q1642)-1)),2)&amp;RIGHT("00"&amp;VALUE(MID(Sync!$Q1642,FIND(":",Sync!$Q1642)+1,2)),2),"0000"))))</f>
        <v/>
      </c>
      <c r="G1645">
        <f>IF(OR($E1645="",$E1645="نامعتبر"),"",IF(Sync!$S1642="","",Sync!$S1642))</f>
        <v/>
      </c>
      <c r="H1645">
        <f>IF(OR($E1645="",$E1645="نامعتبر"),"",IF(Sync!$R1642="","",Sync!$R1642))</f>
        <v/>
      </c>
      <c r="I1645">
        <f>IF(OR($E1645="",$E1645="نامعتبر"),"",IF(Sync!$T1642="","",Sync!$T1642))</f>
        <v/>
      </c>
      <c r="J1645">
        <f>IF(OR($E1645="",$E1645="نامعتبر"),"",IF(Sync!$U1642="","",Sync!$U1642))</f>
        <v/>
      </c>
      <c r="K1645">
        <f>IF(OR($E1645="",$E1645="نامعتبر"),"",IF(Sync!$V1642="","",IFERROR(INDEX(SubCodes,MATCH(Sync!$V1642,SubTitles,0)),Sync!$V1642)))</f>
        <v/>
      </c>
      <c r="L1645">
        <f>IF(OR($E1645="",$E1645="نامعتبر"),"",IF(Sync!$W1642="",0,Sync!$W1642))</f>
        <v/>
      </c>
      <c r="M1645">
        <f>IF(OR($E1645="",$E1645="نامعتبر"),"",IF(Sync!$X1642="",0,Sync!$X1642))</f>
        <v/>
      </c>
      <c r="N1645">
        <f>IF(OR($E1645="",$E1645="نامعتبر"),"",IF(AND($J1645="هزینه",$K1645&lt;&gt;""),1,0))</f>
        <v/>
      </c>
      <c r="O1645">
        <f>IF($N1645=0,"",LEFT($E1645,4)&amp;MID($E1645,6,2)&amp;RIGHT($E1645,2)&amp;$F1645&amp;"|"&amp;"1"&amp;RIGHT("00000"&amp;1637,5))</f>
        <v/>
      </c>
      <c r="P1645">
        <f>IF($O1645="","",COUNTIFS(ExpSub,$K1645,ExpKey,"&lt;"&amp;$O1645)+1)</f>
        <v/>
      </c>
      <c r="Q1645">
        <f>IF($P1645="","",$K1645&amp;"|"&amp;RIGHT("000000"&amp;$P1645,6))</f>
        <v/>
      </c>
    </row>
    <row r="1646">
      <c r="A1646">
        <f>IF(Sync!$P1643="","",Sync!$P1643)</f>
        <v/>
      </c>
      <c r="B1646">
        <f>IF($A1646="","",IF(ISNUMBER($A1646),IF(AND($A1646&gt;=10000101,$A1646&lt;=99991231),INT($A1646/10000),""),IFERROR(VALUE(TRIM(LEFT($A1646,FIND("/",$A1646)-1))),"")))</f>
        <v/>
      </c>
      <c r="C1646">
        <f>IF(OR($A1646="",$B1646=""),"",IF(ISNUMBER($A1646),INT(MOD($A1646,10000)/100),IFERROR(VALUE(TRIM(LEFT(MID($A1646,FIND("/",$A1646)+1,20),FIND("/",MID($A1646,FIND("/",$A1646)+1,20))-1))),"")))</f>
        <v/>
      </c>
      <c r="D1646">
        <f>IF(OR($A1646="",$B1646=""),"",IF(ISNUMBER($A1646),MOD($A1646,100),IFERROR(VALUE(TRIM(MID(MID($A1646,FIND("/",$A1646)+1,20),FIND("/",MID($A1646,FIND("/",$A1646)+1,20))+1,20))),"")))</f>
        <v/>
      </c>
      <c r="E1646">
        <f>IF($A1646="","",IF(OR($B1646="",$C1646="",$D1646="",$B1646&lt;1300,$B1646&gt;1500,$C1646&lt;1,$C1646&gt;12,$D1646&lt;1,$D1646&gt;31),"نامعتبر",RIGHT("0000"&amp;$B1646,4)&amp;"/"&amp;RIGHT("00"&amp;$C1646,2)&amp;"/"&amp;RIGHT("00"&amp;$D1646,2)))</f>
        <v/>
      </c>
      <c r="F1646">
        <f>IF(OR($E1646="",$E1646="نامعتبر"),"",IF(Sync!$Q1643="","0000",IF(AND(ISNUMBER(Sync!$Q1643),Sync!$Q1643&gt;=0,Sync!$Q1643&lt;1),RIGHT("00"&amp;HOUR(Sync!$Q1643),2)&amp;RIGHT("00"&amp;MINUTE(Sync!$Q1643),2),IFERROR(RIGHT("00"&amp;VALUE(LEFT(Sync!$Q1643,FIND(":",Sync!$Q1643)-1)),2)&amp;RIGHT("00"&amp;VALUE(MID(Sync!$Q1643,FIND(":",Sync!$Q1643)+1,2)),2),"0000"))))</f>
        <v/>
      </c>
      <c r="G1646">
        <f>IF(OR($E1646="",$E1646="نامعتبر"),"",IF(Sync!$S1643="","",Sync!$S1643))</f>
        <v/>
      </c>
      <c r="H1646">
        <f>IF(OR($E1646="",$E1646="نامعتبر"),"",IF(Sync!$R1643="","",Sync!$R1643))</f>
        <v/>
      </c>
      <c r="I1646">
        <f>IF(OR($E1646="",$E1646="نامعتبر"),"",IF(Sync!$T1643="","",Sync!$T1643))</f>
        <v/>
      </c>
      <c r="J1646">
        <f>IF(OR($E1646="",$E1646="نامعتبر"),"",IF(Sync!$U1643="","",Sync!$U1643))</f>
        <v/>
      </c>
      <c r="K1646">
        <f>IF(OR($E1646="",$E1646="نامعتبر"),"",IF(Sync!$V1643="","",IFERROR(INDEX(SubCodes,MATCH(Sync!$V1643,SubTitles,0)),Sync!$V1643)))</f>
        <v/>
      </c>
      <c r="L1646">
        <f>IF(OR($E1646="",$E1646="نامعتبر"),"",IF(Sync!$W1643="",0,Sync!$W1643))</f>
        <v/>
      </c>
      <c r="M1646">
        <f>IF(OR($E1646="",$E1646="نامعتبر"),"",IF(Sync!$X1643="",0,Sync!$X1643))</f>
        <v/>
      </c>
      <c r="N1646">
        <f>IF(OR($E1646="",$E1646="نامعتبر"),"",IF(AND($J1646="هزینه",$K1646&lt;&gt;""),1,0))</f>
        <v/>
      </c>
      <c r="O1646">
        <f>IF($N1646=0,"",LEFT($E1646,4)&amp;MID($E1646,6,2)&amp;RIGHT($E1646,2)&amp;$F1646&amp;"|"&amp;"1"&amp;RIGHT("00000"&amp;1638,5))</f>
        <v/>
      </c>
      <c r="P1646">
        <f>IF($O1646="","",COUNTIFS(ExpSub,$K1646,ExpKey,"&lt;"&amp;$O1646)+1)</f>
        <v/>
      </c>
      <c r="Q1646">
        <f>IF($P1646="","",$K1646&amp;"|"&amp;RIGHT("000000"&amp;$P1646,6))</f>
        <v/>
      </c>
    </row>
    <row r="1647">
      <c r="A1647">
        <f>IF(Sync!$P1644="","",Sync!$P1644)</f>
        <v/>
      </c>
      <c r="B1647">
        <f>IF($A1647="","",IF(ISNUMBER($A1647),IF(AND($A1647&gt;=10000101,$A1647&lt;=99991231),INT($A1647/10000),""),IFERROR(VALUE(TRIM(LEFT($A1647,FIND("/",$A1647)-1))),"")))</f>
        <v/>
      </c>
      <c r="C1647">
        <f>IF(OR($A1647="",$B1647=""),"",IF(ISNUMBER($A1647),INT(MOD($A1647,10000)/100),IFERROR(VALUE(TRIM(LEFT(MID($A1647,FIND("/",$A1647)+1,20),FIND("/",MID($A1647,FIND("/",$A1647)+1,20))-1))),"")))</f>
        <v/>
      </c>
      <c r="D1647">
        <f>IF(OR($A1647="",$B1647=""),"",IF(ISNUMBER($A1647),MOD($A1647,100),IFERROR(VALUE(TRIM(MID(MID($A1647,FIND("/",$A1647)+1,20),FIND("/",MID($A1647,FIND("/",$A1647)+1,20))+1,20))),"")))</f>
        <v/>
      </c>
      <c r="E1647">
        <f>IF($A1647="","",IF(OR($B1647="",$C1647="",$D1647="",$B1647&lt;1300,$B1647&gt;1500,$C1647&lt;1,$C1647&gt;12,$D1647&lt;1,$D1647&gt;31),"نامعتبر",RIGHT("0000"&amp;$B1647,4)&amp;"/"&amp;RIGHT("00"&amp;$C1647,2)&amp;"/"&amp;RIGHT("00"&amp;$D1647,2)))</f>
        <v/>
      </c>
      <c r="F1647">
        <f>IF(OR($E1647="",$E1647="نامعتبر"),"",IF(Sync!$Q1644="","0000",IF(AND(ISNUMBER(Sync!$Q1644),Sync!$Q1644&gt;=0,Sync!$Q1644&lt;1),RIGHT("00"&amp;HOUR(Sync!$Q1644),2)&amp;RIGHT("00"&amp;MINUTE(Sync!$Q1644),2),IFERROR(RIGHT("00"&amp;VALUE(LEFT(Sync!$Q1644,FIND(":",Sync!$Q1644)-1)),2)&amp;RIGHT("00"&amp;VALUE(MID(Sync!$Q1644,FIND(":",Sync!$Q1644)+1,2)),2),"0000"))))</f>
        <v/>
      </c>
      <c r="G1647">
        <f>IF(OR($E1647="",$E1647="نامعتبر"),"",IF(Sync!$S1644="","",Sync!$S1644))</f>
        <v/>
      </c>
      <c r="H1647">
        <f>IF(OR($E1647="",$E1647="نامعتبر"),"",IF(Sync!$R1644="","",Sync!$R1644))</f>
        <v/>
      </c>
      <c r="I1647">
        <f>IF(OR($E1647="",$E1647="نامعتبر"),"",IF(Sync!$T1644="","",Sync!$T1644))</f>
        <v/>
      </c>
      <c r="J1647">
        <f>IF(OR($E1647="",$E1647="نامعتبر"),"",IF(Sync!$U1644="","",Sync!$U1644))</f>
        <v/>
      </c>
      <c r="K1647">
        <f>IF(OR($E1647="",$E1647="نامعتبر"),"",IF(Sync!$V1644="","",IFERROR(INDEX(SubCodes,MATCH(Sync!$V1644,SubTitles,0)),Sync!$V1644)))</f>
        <v/>
      </c>
      <c r="L1647">
        <f>IF(OR($E1647="",$E1647="نامعتبر"),"",IF(Sync!$W1644="",0,Sync!$W1644))</f>
        <v/>
      </c>
      <c r="M1647">
        <f>IF(OR($E1647="",$E1647="نامعتبر"),"",IF(Sync!$X1644="",0,Sync!$X1644))</f>
        <v/>
      </c>
      <c r="N1647">
        <f>IF(OR($E1647="",$E1647="نامعتبر"),"",IF(AND($J1647="هزینه",$K1647&lt;&gt;""),1,0))</f>
        <v/>
      </c>
      <c r="O1647">
        <f>IF($N1647=0,"",LEFT($E1647,4)&amp;MID($E1647,6,2)&amp;RIGHT($E1647,2)&amp;$F1647&amp;"|"&amp;"1"&amp;RIGHT("00000"&amp;1639,5))</f>
        <v/>
      </c>
      <c r="P1647">
        <f>IF($O1647="","",COUNTIFS(ExpSub,$K1647,ExpKey,"&lt;"&amp;$O1647)+1)</f>
        <v/>
      </c>
      <c r="Q1647">
        <f>IF($P1647="","",$K1647&amp;"|"&amp;RIGHT("000000"&amp;$P1647,6))</f>
        <v/>
      </c>
    </row>
    <row r="1648">
      <c r="A1648">
        <f>IF(Sync!$P1645="","",Sync!$P1645)</f>
        <v/>
      </c>
      <c r="B1648">
        <f>IF($A1648="","",IF(ISNUMBER($A1648),IF(AND($A1648&gt;=10000101,$A1648&lt;=99991231),INT($A1648/10000),""),IFERROR(VALUE(TRIM(LEFT($A1648,FIND("/",$A1648)-1))),"")))</f>
        <v/>
      </c>
      <c r="C1648">
        <f>IF(OR($A1648="",$B1648=""),"",IF(ISNUMBER($A1648),INT(MOD($A1648,10000)/100),IFERROR(VALUE(TRIM(LEFT(MID($A1648,FIND("/",$A1648)+1,20),FIND("/",MID($A1648,FIND("/",$A1648)+1,20))-1))),"")))</f>
        <v/>
      </c>
      <c r="D1648">
        <f>IF(OR($A1648="",$B1648=""),"",IF(ISNUMBER($A1648),MOD($A1648,100),IFERROR(VALUE(TRIM(MID(MID($A1648,FIND("/",$A1648)+1,20),FIND("/",MID($A1648,FIND("/",$A1648)+1,20))+1,20))),"")))</f>
        <v/>
      </c>
      <c r="E1648">
        <f>IF($A1648="","",IF(OR($B1648="",$C1648="",$D1648="",$B1648&lt;1300,$B1648&gt;1500,$C1648&lt;1,$C1648&gt;12,$D1648&lt;1,$D1648&gt;31),"نامعتبر",RIGHT("0000"&amp;$B1648,4)&amp;"/"&amp;RIGHT("00"&amp;$C1648,2)&amp;"/"&amp;RIGHT("00"&amp;$D1648,2)))</f>
        <v/>
      </c>
      <c r="F1648">
        <f>IF(OR($E1648="",$E1648="نامعتبر"),"",IF(Sync!$Q1645="","0000",IF(AND(ISNUMBER(Sync!$Q1645),Sync!$Q1645&gt;=0,Sync!$Q1645&lt;1),RIGHT("00"&amp;HOUR(Sync!$Q1645),2)&amp;RIGHT("00"&amp;MINUTE(Sync!$Q1645),2),IFERROR(RIGHT("00"&amp;VALUE(LEFT(Sync!$Q1645,FIND(":",Sync!$Q1645)-1)),2)&amp;RIGHT("00"&amp;VALUE(MID(Sync!$Q1645,FIND(":",Sync!$Q1645)+1,2)),2),"0000"))))</f>
        <v/>
      </c>
      <c r="G1648">
        <f>IF(OR($E1648="",$E1648="نامعتبر"),"",IF(Sync!$S1645="","",Sync!$S1645))</f>
        <v/>
      </c>
      <c r="H1648">
        <f>IF(OR($E1648="",$E1648="نامعتبر"),"",IF(Sync!$R1645="","",Sync!$R1645))</f>
        <v/>
      </c>
      <c r="I1648">
        <f>IF(OR($E1648="",$E1648="نامعتبر"),"",IF(Sync!$T1645="","",Sync!$T1645))</f>
        <v/>
      </c>
      <c r="J1648">
        <f>IF(OR($E1648="",$E1648="نامعتبر"),"",IF(Sync!$U1645="","",Sync!$U1645))</f>
        <v/>
      </c>
      <c r="K1648">
        <f>IF(OR($E1648="",$E1648="نامعتبر"),"",IF(Sync!$V1645="","",IFERROR(INDEX(SubCodes,MATCH(Sync!$V1645,SubTitles,0)),Sync!$V1645)))</f>
        <v/>
      </c>
      <c r="L1648">
        <f>IF(OR($E1648="",$E1648="نامعتبر"),"",IF(Sync!$W1645="",0,Sync!$W1645))</f>
        <v/>
      </c>
      <c r="M1648">
        <f>IF(OR($E1648="",$E1648="نامعتبر"),"",IF(Sync!$X1645="",0,Sync!$X1645))</f>
        <v/>
      </c>
      <c r="N1648">
        <f>IF(OR($E1648="",$E1648="نامعتبر"),"",IF(AND($J1648="هزینه",$K1648&lt;&gt;""),1,0))</f>
        <v/>
      </c>
      <c r="O1648">
        <f>IF($N1648=0,"",LEFT($E1648,4)&amp;MID($E1648,6,2)&amp;RIGHT($E1648,2)&amp;$F1648&amp;"|"&amp;"1"&amp;RIGHT("00000"&amp;1640,5))</f>
        <v/>
      </c>
      <c r="P1648">
        <f>IF($O1648="","",COUNTIFS(ExpSub,$K1648,ExpKey,"&lt;"&amp;$O1648)+1)</f>
        <v/>
      </c>
      <c r="Q1648">
        <f>IF($P1648="","",$K1648&amp;"|"&amp;RIGHT("000000"&amp;$P1648,6))</f>
        <v/>
      </c>
    </row>
    <row r="1649">
      <c r="A1649">
        <f>IF(Sync!$P1646="","",Sync!$P1646)</f>
        <v/>
      </c>
      <c r="B1649">
        <f>IF($A1649="","",IF(ISNUMBER($A1649),IF(AND($A1649&gt;=10000101,$A1649&lt;=99991231),INT($A1649/10000),""),IFERROR(VALUE(TRIM(LEFT($A1649,FIND("/",$A1649)-1))),"")))</f>
        <v/>
      </c>
      <c r="C1649">
        <f>IF(OR($A1649="",$B1649=""),"",IF(ISNUMBER($A1649),INT(MOD($A1649,10000)/100),IFERROR(VALUE(TRIM(LEFT(MID($A1649,FIND("/",$A1649)+1,20),FIND("/",MID($A1649,FIND("/",$A1649)+1,20))-1))),"")))</f>
        <v/>
      </c>
      <c r="D1649">
        <f>IF(OR($A1649="",$B1649=""),"",IF(ISNUMBER($A1649),MOD($A1649,100),IFERROR(VALUE(TRIM(MID(MID($A1649,FIND("/",$A1649)+1,20),FIND("/",MID($A1649,FIND("/",$A1649)+1,20))+1,20))),"")))</f>
        <v/>
      </c>
      <c r="E1649">
        <f>IF($A1649="","",IF(OR($B1649="",$C1649="",$D1649="",$B1649&lt;1300,$B1649&gt;1500,$C1649&lt;1,$C1649&gt;12,$D1649&lt;1,$D1649&gt;31),"نامعتبر",RIGHT("0000"&amp;$B1649,4)&amp;"/"&amp;RIGHT("00"&amp;$C1649,2)&amp;"/"&amp;RIGHT("00"&amp;$D1649,2)))</f>
        <v/>
      </c>
      <c r="F1649">
        <f>IF(OR($E1649="",$E1649="نامعتبر"),"",IF(Sync!$Q1646="","0000",IF(AND(ISNUMBER(Sync!$Q1646),Sync!$Q1646&gt;=0,Sync!$Q1646&lt;1),RIGHT("00"&amp;HOUR(Sync!$Q1646),2)&amp;RIGHT("00"&amp;MINUTE(Sync!$Q1646),2),IFERROR(RIGHT("00"&amp;VALUE(LEFT(Sync!$Q1646,FIND(":",Sync!$Q1646)-1)),2)&amp;RIGHT("00"&amp;VALUE(MID(Sync!$Q1646,FIND(":",Sync!$Q1646)+1,2)),2),"0000"))))</f>
        <v/>
      </c>
      <c r="G1649">
        <f>IF(OR($E1649="",$E1649="نامعتبر"),"",IF(Sync!$S1646="","",Sync!$S1646))</f>
        <v/>
      </c>
      <c r="H1649">
        <f>IF(OR($E1649="",$E1649="نامعتبر"),"",IF(Sync!$R1646="","",Sync!$R1646))</f>
        <v/>
      </c>
      <c r="I1649">
        <f>IF(OR($E1649="",$E1649="نامعتبر"),"",IF(Sync!$T1646="","",Sync!$T1646))</f>
        <v/>
      </c>
      <c r="J1649">
        <f>IF(OR($E1649="",$E1649="نامعتبر"),"",IF(Sync!$U1646="","",Sync!$U1646))</f>
        <v/>
      </c>
      <c r="K1649">
        <f>IF(OR($E1649="",$E1649="نامعتبر"),"",IF(Sync!$V1646="","",IFERROR(INDEX(SubCodes,MATCH(Sync!$V1646,SubTitles,0)),Sync!$V1646)))</f>
        <v/>
      </c>
      <c r="L1649">
        <f>IF(OR($E1649="",$E1649="نامعتبر"),"",IF(Sync!$W1646="",0,Sync!$W1646))</f>
        <v/>
      </c>
      <c r="M1649">
        <f>IF(OR($E1649="",$E1649="نامعتبر"),"",IF(Sync!$X1646="",0,Sync!$X1646))</f>
        <v/>
      </c>
      <c r="N1649">
        <f>IF(OR($E1649="",$E1649="نامعتبر"),"",IF(AND($J1649="هزینه",$K1649&lt;&gt;""),1,0))</f>
        <v/>
      </c>
      <c r="O1649">
        <f>IF($N1649=0,"",LEFT($E1649,4)&amp;MID($E1649,6,2)&amp;RIGHT($E1649,2)&amp;$F1649&amp;"|"&amp;"1"&amp;RIGHT("00000"&amp;1641,5))</f>
        <v/>
      </c>
      <c r="P1649">
        <f>IF($O1649="","",COUNTIFS(ExpSub,$K1649,ExpKey,"&lt;"&amp;$O1649)+1)</f>
        <v/>
      </c>
      <c r="Q1649">
        <f>IF($P1649="","",$K1649&amp;"|"&amp;RIGHT("000000"&amp;$P1649,6))</f>
        <v/>
      </c>
    </row>
    <row r="1650">
      <c r="A1650">
        <f>IF(Sync!$P1647="","",Sync!$P1647)</f>
        <v/>
      </c>
      <c r="B1650">
        <f>IF($A1650="","",IF(ISNUMBER($A1650),IF(AND($A1650&gt;=10000101,$A1650&lt;=99991231),INT($A1650/10000),""),IFERROR(VALUE(TRIM(LEFT($A1650,FIND("/",$A1650)-1))),"")))</f>
        <v/>
      </c>
      <c r="C1650">
        <f>IF(OR($A1650="",$B1650=""),"",IF(ISNUMBER($A1650),INT(MOD($A1650,10000)/100),IFERROR(VALUE(TRIM(LEFT(MID($A1650,FIND("/",$A1650)+1,20),FIND("/",MID($A1650,FIND("/",$A1650)+1,20))-1))),"")))</f>
        <v/>
      </c>
      <c r="D1650">
        <f>IF(OR($A1650="",$B1650=""),"",IF(ISNUMBER($A1650),MOD($A1650,100),IFERROR(VALUE(TRIM(MID(MID($A1650,FIND("/",$A1650)+1,20),FIND("/",MID($A1650,FIND("/",$A1650)+1,20))+1,20))),"")))</f>
        <v/>
      </c>
      <c r="E1650">
        <f>IF($A1650="","",IF(OR($B1650="",$C1650="",$D1650="",$B1650&lt;1300,$B1650&gt;1500,$C1650&lt;1,$C1650&gt;12,$D1650&lt;1,$D1650&gt;31),"نامعتبر",RIGHT("0000"&amp;$B1650,4)&amp;"/"&amp;RIGHT("00"&amp;$C1650,2)&amp;"/"&amp;RIGHT("00"&amp;$D1650,2)))</f>
        <v/>
      </c>
      <c r="F1650">
        <f>IF(OR($E1650="",$E1650="نامعتبر"),"",IF(Sync!$Q1647="","0000",IF(AND(ISNUMBER(Sync!$Q1647),Sync!$Q1647&gt;=0,Sync!$Q1647&lt;1),RIGHT("00"&amp;HOUR(Sync!$Q1647),2)&amp;RIGHT("00"&amp;MINUTE(Sync!$Q1647),2),IFERROR(RIGHT("00"&amp;VALUE(LEFT(Sync!$Q1647,FIND(":",Sync!$Q1647)-1)),2)&amp;RIGHT("00"&amp;VALUE(MID(Sync!$Q1647,FIND(":",Sync!$Q1647)+1,2)),2),"0000"))))</f>
        <v/>
      </c>
      <c r="G1650">
        <f>IF(OR($E1650="",$E1650="نامعتبر"),"",IF(Sync!$S1647="","",Sync!$S1647))</f>
        <v/>
      </c>
      <c r="H1650">
        <f>IF(OR($E1650="",$E1650="نامعتبر"),"",IF(Sync!$R1647="","",Sync!$R1647))</f>
        <v/>
      </c>
      <c r="I1650">
        <f>IF(OR($E1650="",$E1650="نامعتبر"),"",IF(Sync!$T1647="","",Sync!$T1647))</f>
        <v/>
      </c>
      <c r="J1650">
        <f>IF(OR($E1650="",$E1650="نامعتبر"),"",IF(Sync!$U1647="","",Sync!$U1647))</f>
        <v/>
      </c>
      <c r="K1650">
        <f>IF(OR($E1650="",$E1650="نامعتبر"),"",IF(Sync!$V1647="","",IFERROR(INDEX(SubCodes,MATCH(Sync!$V1647,SubTitles,0)),Sync!$V1647)))</f>
        <v/>
      </c>
      <c r="L1650">
        <f>IF(OR($E1650="",$E1650="نامعتبر"),"",IF(Sync!$W1647="",0,Sync!$W1647))</f>
        <v/>
      </c>
      <c r="M1650">
        <f>IF(OR($E1650="",$E1650="نامعتبر"),"",IF(Sync!$X1647="",0,Sync!$X1647))</f>
        <v/>
      </c>
      <c r="N1650">
        <f>IF(OR($E1650="",$E1650="نامعتبر"),"",IF(AND($J1650="هزینه",$K1650&lt;&gt;""),1,0))</f>
        <v/>
      </c>
      <c r="O1650">
        <f>IF($N1650=0,"",LEFT($E1650,4)&amp;MID($E1650,6,2)&amp;RIGHT($E1650,2)&amp;$F1650&amp;"|"&amp;"1"&amp;RIGHT("00000"&amp;1642,5))</f>
        <v/>
      </c>
      <c r="P1650">
        <f>IF($O1650="","",COUNTIFS(ExpSub,$K1650,ExpKey,"&lt;"&amp;$O1650)+1)</f>
        <v/>
      </c>
      <c r="Q1650">
        <f>IF($P1650="","",$K1650&amp;"|"&amp;RIGHT("000000"&amp;$P1650,6))</f>
        <v/>
      </c>
    </row>
    <row r="1651">
      <c r="A1651">
        <f>IF(Sync!$P1648="","",Sync!$P1648)</f>
        <v/>
      </c>
      <c r="B1651">
        <f>IF($A1651="","",IF(ISNUMBER($A1651),IF(AND($A1651&gt;=10000101,$A1651&lt;=99991231),INT($A1651/10000),""),IFERROR(VALUE(TRIM(LEFT($A1651,FIND("/",$A1651)-1))),"")))</f>
        <v/>
      </c>
      <c r="C1651">
        <f>IF(OR($A1651="",$B1651=""),"",IF(ISNUMBER($A1651),INT(MOD($A1651,10000)/100),IFERROR(VALUE(TRIM(LEFT(MID($A1651,FIND("/",$A1651)+1,20),FIND("/",MID($A1651,FIND("/",$A1651)+1,20))-1))),"")))</f>
        <v/>
      </c>
      <c r="D1651">
        <f>IF(OR($A1651="",$B1651=""),"",IF(ISNUMBER($A1651),MOD($A1651,100),IFERROR(VALUE(TRIM(MID(MID($A1651,FIND("/",$A1651)+1,20),FIND("/",MID($A1651,FIND("/",$A1651)+1,20))+1,20))),"")))</f>
        <v/>
      </c>
      <c r="E1651">
        <f>IF($A1651="","",IF(OR($B1651="",$C1651="",$D1651="",$B1651&lt;1300,$B1651&gt;1500,$C1651&lt;1,$C1651&gt;12,$D1651&lt;1,$D1651&gt;31),"نامعتبر",RIGHT("0000"&amp;$B1651,4)&amp;"/"&amp;RIGHT("00"&amp;$C1651,2)&amp;"/"&amp;RIGHT("00"&amp;$D1651,2)))</f>
        <v/>
      </c>
      <c r="F1651">
        <f>IF(OR($E1651="",$E1651="نامعتبر"),"",IF(Sync!$Q1648="","0000",IF(AND(ISNUMBER(Sync!$Q1648),Sync!$Q1648&gt;=0,Sync!$Q1648&lt;1),RIGHT("00"&amp;HOUR(Sync!$Q1648),2)&amp;RIGHT("00"&amp;MINUTE(Sync!$Q1648),2),IFERROR(RIGHT("00"&amp;VALUE(LEFT(Sync!$Q1648,FIND(":",Sync!$Q1648)-1)),2)&amp;RIGHT("00"&amp;VALUE(MID(Sync!$Q1648,FIND(":",Sync!$Q1648)+1,2)),2),"0000"))))</f>
        <v/>
      </c>
      <c r="G1651">
        <f>IF(OR($E1651="",$E1651="نامعتبر"),"",IF(Sync!$S1648="","",Sync!$S1648))</f>
        <v/>
      </c>
      <c r="H1651">
        <f>IF(OR($E1651="",$E1651="نامعتبر"),"",IF(Sync!$R1648="","",Sync!$R1648))</f>
        <v/>
      </c>
      <c r="I1651">
        <f>IF(OR($E1651="",$E1651="نامعتبر"),"",IF(Sync!$T1648="","",Sync!$T1648))</f>
        <v/>
      </c>
      <c r="J1651">
        <f>IF(OR($E1651="",$E1651="نامعتبر"),"",IF(Sync!$U1648="","",Sync!$U1648))</f>
        <v/>
      </c>
      <c r="K1651">
        <f>IF(OR($E1651="",$E1651="نامعتبر"),"",IF(Sync!$V1648="","",IFERROR(INDEX(SubCodes,MATCH(Sync!$V1648,SubTitles,0)),Sync!$V1648)))</f>
        <v/>
      </c>
      <c r="L1651">
        <f>IF(OR($E1651="",$E1651="نامعتبر"),"",IF(Sync!$W1648="",0,Sync!$W1648))</f>
        <v/>
      </c>
      <c r="M1651">
        <f>IF(OR($E1651="",$E1651="نامعتبر"),"",IF(Sync!$X1648="",0,Sync!$X1648))</f>
        <v/>
      </c>
      <c r="N1651">
        <f>IF(OR($E1651="",$E1651="نامعتبر"),"",IF(AND($J1651="هزینه",$K1651&lt;&gt;""),1,0))</f>
        <v/>
      </c>
      <c r="O1651">
        <f>IF($N1651=0,"",LEFT($E1651,4)&amp;MID($E1651,6,2)&amp;RIGHT($E1651,2)&amp;$F1651&amp;"|"&amp;"1"&amp;RIGHT("00000"&amp;1643,5))</f>
        <v/>
      </c>
      <c r="P1651">
        <f>IF($O1651="","",COUNTIFS(ExpSub,$K1651,ExpKey,"&lt;"&amp;$O1651)+1)</f>
        <v/>
      </c>
      <c r="Q1651">
        <f>IF($P1651="","",$K1651&amp;"|"&amp;RIGHT("000000"&amp;$P1651,6))</f>
        <v/>
      </c>
    </row>
    <row r="1652">
      <c r="A1652">
        <f>IF(Sync!$P1649="","",Sync!$P1649)</f>
        <v/>
      </c>
      <c r="B1652">
        <f>IF($A1652="","",IF(ISNUMBER($A1652),IF(AND($A1652&gt;=10000101,$A1652&lt;=99991231),INT($A1652/10000),""),IFERROR(VALUE(TRIM(LEFT($A1652,FIND("/",$A1652)-1))),"")))</f>
        <v/>
      </c>
      <c r="C1652">
        <f>IF(OR($A1652="",$B1652=""),"",IF(ISNUMBER($A1652),INT(MOD($A1652,10000)/100),IFERROR(VALUE(TRIM(LEFT(MID($A1652,FIND("/",$A1652)+1,20),FIND("/",MID($A1652,FIND("/",$A1652)+1,20))-1))),"")))</f>
        <v/>
      </c>
      <c r="D1652">
        <f>IF(OR($A1652="",$B1652=""),"",IF(ISNUMBER($A1652),MOD($A1652,100),IFERROR(VALUE(TRIM(MID(MID($A1652,FIND("/",$A1652)+1,20),FIND("/",MID($A1652,FIND("/",$A1652)+1,20))+1,20))),"")))</f>
        <v/>
      </c>
      <c r="E1652">
        <f>IF($A1652="","",IF(OR($B1652="",$C1652="",$D1652="",$B1652&lt;1300,$B1652&gt;1500,$C1652&lt;1,$C1652&gt;12,$D1652&lt;1,$D1652&gt;31),"نامعتبر",RIGHT("0000"&amp;$B1652,4)&amp;"/"&amp;RIGHT("00"&amp;$C1652,2)&amp;"/"&amp;RIGHT("00"&amp;$D1652,2)))</f>
        <v/>
      </c>
      <c r="F1652">
        <f>IF(OR($E1652="",$E1652="نامعتبر"),"",IF(Sync!$Q1649="","0000",IF(AND(ISNUMBER(Sync!$Q1649),Sync!$Q1649&gt;=0,Sync!$Q1649&lt;1),RIGHT("00"&amp;HOUR(Sync!$Q1649),2)&amp;RIGHT("00"&amp;MINUTE(Sync!$Q1649),2),IFERROR(RIGHT("00"&amp;VALUE(LEFT(Sync!$Q1649,FIND(":",Sync!$Q1649)-1)),2)&amp;RIGHT("00"&amp;VALUE(MID(Sync!$Q1649,FIND(":",Sync!$Q1649)+1,2)),2),"0000"))))</f>
        <v/>
      </c>
      <c r="G1652">
        <f>IF(OR($E1652="",$E1652="نامعتبر"),"",IF(Sync!$S1649="","",Sync!$S1649))</f>
        <v/>
      </c>
      <c r="H1652">
        <f>IF(OR($E1652="",$E1652="نامعتبر"),"",IF(Sync!$R1649="","",Sync!$R1649))</f>
        <v/>
      </c>
      <c r="I1652">
        <f>IF(OR($E1652="",$E1652="نامعتبر"),"",IF(Sync!$T1649="","",Sync!$T1649))</f>
        <v/>
      </c>
      <c r="J1652">
        <f>IF(OR($E1652="",$E1652="نامعتبر"),"",IF(Sync!$U1649="","",Sync!$U1649))</f>
        <v/>
      </c>
      <c r="K1652">
        <f>IF(OR($E1652="",$E1652="نامعتبر"),"",IF(Sync!$V1649="","",IFERROR(INDEX(SubCodes,MATCH(Sync!$V1649,SubTitles,0)),Sync!$V1649)))</f>
        <v/>
      </c>
      <c r="L1652">
        <f>IF(OR($E1652="",$E1652="نامعتبر"),"",IF(Sync!$W1649="",0,Sync!$W1649))</f>
        <v/>
      </c>
      <c r="M1652">
        <f>IF(OR($E1652="",$E1652="نامعتبر"),"",IF(Sync!$X1649="",0,Sync!$X1649))</f>
        <v/>
      </c>
      <c r="N1652">
        <f>IF(OR($E1652="",$E1652="نامعتبر"),"",IF(AND($J1652="هزینه",$K1652&lt;&gt;""),1,0))</f>
        <v/>
      </c>
      <c r="O1652">
        <f>IF($N1652=0,"",LEFT($E1652,4)&amp;MID($E1652,6,2)&amp;RIGHT($E1652,2)&amp;$F1652&amp;"|"&amp;"1"&amp;RIGHT("00000"&amp;1644,5))</f>
        <v/>
      </c>
      <c r="P1652">
        <f>IF($O1652="","",COUNTIFS(ExpSub,$K1652,ExpKey,"&lt;"&amp;$O1652)+1)</f>
        <v/>
      </c>
      <c r="Q1652">
        <f>IF($P1652="","",$K1652&amp;"|"&amp;RIGHT("000000"&amp;$P1652,6))</f>
        <v/>
      </c>
    </row>
    <row r="1653">
      <c r="A1653">
        <f>IF(Sync!$P1650="","",Sync!$P1650)</f>
        <v/>
      </c>
      <c r="B1653">
        <f>IF($A1653="","",IF(ISNUMBER($A1653),IF(AND($A1653&gt;=10000101,$A1653&lt;=99991231),INT($A1653/10000),""),IFERROR(VALUE(TRIM(LEFT($A1653,FIND("/",$A1653)-1))),"")))</f>
        <v/>
      </c>
      <c r="C1653">
        <f>IF(OR($A1653="",$B1653=""),"",IF(ISNUMBER($A1653),INT(MOD($A1653,10000)/100),IFERROR(VALUE(TRIM(LEFT(MID($A1653,FIND("/",$A1653)+1,20),FIND("/",MID($A1653,FIND("/",$A1653)+1,20))-1))),"")))</f>
        <v/>
      </c>
      <c r="D1653">
        <f>IF(OR($A1653="",$B1653=""),"",IF(ISNUMBER($A1653),MOD($A1653,100),IFERROR(VALUE(TRIM(MID(MID($A1653,FIND("/",$A1653)+1,20),FIND("/",MID($A1653,FIND("/",$A1653)+1,20))+1,20))),"")))</f>
        <v/>
      </c>
      <c r="E1653">
        <f>IF($A1653="","",IF(OR($B1653="",$C1653="",$D1653="",$B1653&lt;1300,$B1653&gt;1500,$C1653&lt;1,$C1653&gt;12,$D1653&lt;1,$D1653&gt;31),"نامعتبر",RIGHT("0000"&amp;$B1653,4)&amp;"/"&amp;RIGHT("00"&amp;$C1653,2)&amp;"/"&amp;RIGHT("00"&amp;$D1653,2)))</f>
        <v/>
      </c>
      <c r="F1653">
        <f>IF(OR($E1653="",$E1653="نامعتبر"),"",IF(Sync!$Q1650="","0000",IF(AND(ISNUMBER(Sync!$Q1650),Sync!$Q1650&gt;=0,Sync!$Q1650&lt;1),RIGHT("00"&amp;HOUR(Sync!$Q1650),2)&amp;RIGHT("00"&amp;MINUTE(Sync!$Q1650),2),IFERROR(RIGHT("00"&amp;VALUE(LEFT(Sync!$Q1650,FIND(":",Sync!$Q1650)-1)),2)&amp;RIGHT("00"&amp;VALUE(MID(Sync!$Q1650,FIND(":",Sync!$Q1650)+1,2)),2),"0000"))))</f>
        <v/>
      </c>
      <c r="G1653">
        <f>IF(OR($E1653="",$E1653="نامعتبر"),"",IF(Sync!$S1650="","",Sync!$S1650))</f>
        <v/>
      </c>
      <c r="H1653">
        <f>IF(OR($E1653="",$E1653="نامعتبر"),"",IF(Sync!$R1650="","",Sync!$R1650))</f>
        <v/>
      </c>
      <c r="I1653">
        <f>IF(OR($E1653="",$E1653="نامعتبر"),"",IF(Sync!$T1650="","",Sync!$T1650))</f>
        <v/>
      </c>
      <c r="J1653">
        <f>IF(OR($E1653="",$E1653="نامعتبر"),"",IF(Sync!$U1650="","",Sync!$U1650))</f>
        <v/>
      </c>
      <c r="K1653">
        <f>IF(OR($E1653="",$E1653="نامعتبر"),"",IF(Sync!$V1650="","",IFERROR(INDEX(SubCodes,MATCH(Sync!$V1650,SubTitles,0)),Sync!$V1650)))</f>
        <v/>
      </c>
      <c r="L1653">
        <f>IF(OR($E1653="",$E1653="نامعتبر"),"",IF(Sync!$W1650="",0,Sync!$W1650))</f>
        <v/>
      </c>
      <c r="M1653">
        <f>IF(OR($E1653="",$E1653="نامعتبر"),"",IF(Sync!$X1650="",0,Sync!$X1650))</f>
        <v/>
      </c>
      <c r="N1653">
        <f>IF(OR($E1653="",$E1653="نامعتبر"),"",IF(AND($J1653="هزینه",$K1653&lt;&gt;""),1,0))</f>
        <v/>
      </c>
      <c r="O1653">
        <f>IF($N1653=0,"",LEFT($E1653,4)&amp;MID($E1653,6,2)&amp;RIGHT($E1653,2)&amp;$F1653&amp;"|"&amp;"1"&amp;RIGHT("00000"&amp;1645,5))</f>
        <v/>
      </c>
      <c r="P1653">
        <f>IF($O1653="","",COUNTIFS(ExpSub,$K1653,ExpKey,"&lt;"&amp;$O1653)+1)</f>
        <v/>
      </c>
      <c r="Q1653">
        <f>IF($P1653="","",$K1653&amp;"|"&amp;RIGHT("000000"&amp;$P1653,6))</f>
        <v/>
      </c>
    </row>
    <row r="1654">
      <c r="A1654">
        <f>IF(Sync!$P1651="","",Sync!$P1651)</f>
        <v/>
      </c>
      <c r="B1654">
        <f>IF($A1654="","",IF(ISNUMBER($A1654),IF(AND($A1654&gt;=10000101,$A1654&lt;=99991231),INT($A1654/10000),""),IFERROR(VALUE(TRIM(LEFT($A1654,FIND("/",$A1654)-1))),"")))</f>
        <v/>
      </c>
      <c r="C1654">
        <f>IF(OR($A1654="",$B1654=""),"",IF(ISNUMBER($A1654),INT(MOD($A1654,10000)/100),IFERROR(VALUE(TRIM(LEFT(MID($A1654,FIND("/",$A1654)+1,20),FIND("/",MID($A1654,FIND("/",$A1654)+1,20))-1))),"")))</f>
        <v/>
      </c>
      <c r="D1654">
        <f>IF(OR($A1654="",$B1654=""),"",IF(ISNUMBER($A1654),MOD($A1654,100),IFERROR(VALUE(TRIM(MID(MID($A1654,FIND("/",$A1654)+1,20),FIND("/",MID($A1654,FIND("/",$A1654)+1,20))+1,20))),"")))</f>
        <v/>
      </c>
      <c r="E1654">
        <f>IF($A1654="","",IF(OR($B1654="",$C1654="",$D1654="",$B1654&lt;1300,$B1654&gt;1500,$C1654&lt;1,$C1654&gt;12,$D1654&lt;1,$D1654&gt;31),"نامعتبر",RIGHT("0000"&amp;$B1654,4)&amp;"/"&amp;RIGHT("00"&amp;$C1654,2)&amp;"/"&amp;RIGHT("00"&amp;$D1654,2)))</f>
        <v/>
      </c>
      <c r="F1654">
        <f>IF(OR($E1654="",$E1654="نامعتبر"),"",IF(Sync!$Q1651="","0000",IF(AND(ISNUMBER(Sync!$Q1651),Sync!$Q1651&gt;=0,Sync!$Q1651&lt;1),RIGHT("00"&amp;HOUR(Sync!$Q1651),2)&amp;RIGHT("00"&amp;MINUTE(Sync!$Q1651),2),IFERROR(RIGHT("00"&amp;VALUE(LEFT(Sync!$Q1651,FIND(":",Sync!$Q1651)-1)),2)&amp;RIGHT("00"&amp;VALUE(MID(Sync!$Q1651,FIND(":",Sync!$Q1651)+1,2)),2),"0000"))))</f>
        <v/>
      </c>
      <c r="G1654">
        <f>IF(OR($E1654="",$E1654="نامعتبر"),"",IF(Sync!$S1651="","",Sync!$S1651))</f>
        <v/>
      </c>
      <c r="H1654">
        <f>IF(OR($E1654="",$E1654="نامعتبر"),"",IF(Sync!$R1651="","",Sync!$R1651))</f>
        <v/>
      </c>
      <c r="I1654">
        <f>IF(OR($E1654="",$E1654="نامعتبر"),"",IF(Sync!$T1651="","",Sync!$T1651))</f>
        <v/>
      </c>
      <c r="J1654">
        <f>IF(OR($E1654="",$E1654="نامعتبر"),"",IF(Sync!$U1651="","",Sync!$U1651))</f>
        <v/>
      </c>
      <c r="K1654">
        <f>IF(OR($E1654="",$E1654="نامعتبر"),"",IF(Sync!$V1651="","",IFERROR(INDEX(SubCodes,MATCH(Sync!$V1651,SubTitles,0)),Sync!$V1651)))</f>
        <v/>
      </c>
      <c r="L1654">
        <f>IF(OR($E1654="",$E1654="نامعتبر"),"",IF(Sync!$W1651="",0,Sync!$W1651))</f>
        <v/>
      </c>
      <c r="M1654">
        <f>IF(OR($E1654="",$E1654="نامعتبر"),"",IF(Sync!$X1651="",0,Sync!$X1651))</f>
        <v/>
      </c>
      <c r="N1654">
        <f>IF(OR($E1654="",$E1654="نامعتبر"),"",IF(AND($J1654="هزینه",$K1654&lt;&gt;""),1,0))</f>
        <v/>
      </c>
      <c r="O1654">
        <f>IF($N1654=0,"",LEFT($E1654,4)&amp;MID($E1654,6,2)&amp;RIGHT($E1654,2)&amp;$F1654&amp;"|"&amp;"1"&amp;RIGHT("00000"&amp;1646,5))</f>
        <v/>
      </c>
      <c r="P1654">
        <f>IF($O1654="","",COUNTIFS(ExpSub,$K1654,ExpKey,"&lt;"&amp;$O1654)+1)</f>
        <v/>
      </c>
      <c r="Q1654">
        <f>IF($P1654="","",$K1654&amp;"|"&amp;RIGHT("000000"&amp;$P1654,6))</f>
        <v/>
      </c>
    </row>
    <row r="1655">
      <c r="A1655">
        <f>IF(Sync!$P1652="","",Sync!$P1652)</f>
        <v/>
      </c>
      <c r="B1655">
        <f>IF($A1655="","",IF(ISNUMBER($A1655),IF(AND($A1655&gt;=10000101,$A1655&lt;=99991231),INT($A1655/10000),""),IFERROR(VALUE(TRIM(LEFT($A1655,FIND("/",$A1655)-1))),"")))</f>
        <v/>
      </c>
      <c r="C1655">
        <f>IF(OR($A1655="",$B1655=""),"",IF(ISNUMBER($A1655),INT(MOD($A1655,10000)/100),IFERROR(VALUE(TRIM(LEFT(MID($A1655,FIND("/",$A1655)+1,20),FIND("/",MID($A1655,FIND("/",$A1655)+1,20))-1))),"")))</f>
        <v/>
      </c>
      <c r="D1655">
        <f>IF(OR($A1655="",$B1655=""),"",IF(ISNUMBER($A1655),MOD($A1655,100),IFERROR(VALUE(TRIM(MID(MID($A1655,FIND("/",$A1655)+1,20),FIND("/",MID($A1655,FIND("/",$A1655)+1,20))+1,20))),"")))</f>
        <v/>
      </c>
      <c r="E1655">
        <f>IF($A1655="","",IF(OR($B1655="",$C1655="",$D1655="",$B1655&lt;1300,$B1655&gt;1500,$C1655&lt;1,$C1655&gt;12,$D1655&lt;1,$D1655&gt;31),"نامعتبر",RIGHT("0000"&amp;$B1655,4)&amp;"/"&amp;RIGHT("00"&amp;$C1655,2)&amp;"/"&amp;RIGHT("00"&amp;$D1655,2)))</f>
        <v/>
      </c>
      <c r="F1655">
        <f>IF(OR($E1655="",$E1655="نامعتبر"),"",IF(Sync!$Q1652="","0000",IF(AND(ISNUMBER(Sync!$Q1652),Sync!$Q1652&gt;=0,Sync!$Q1652&lt;1),RIGHT("00"&amp;HOUR(Sync!$Q1652),2)&amp;RIGHT("00"&amp;MINUTE(Sync!$Q1652),2),IFERROR(RIGHT("00"&amp;VALUE(LEFT(Sync!$Q1652,FIND(":",Sync!$Q1652)-1)),2)&amp;RIGHT("00"&amp;VALUE(MID(Sync!$Q1652,FIND(":",Sync!$Q1652)+1,2)),2),"0000"))))</f>
        <v/>
      </c>
      <c r="G1655">
        <f>IF(OR($E1655="",$E1655="نامعتبر"),"",IF(Sync!$S1652="","",Sync!$S1652))</f>
        <v/>
      </c>
      <c r="H1655">
        <f>IF(OR($E1655="",$E1655="نامعتبر"),"",IF(Sync!$R1652="","",Sync!$R1652))</f>
        <v/>
      </c>
      <c r="I1655">
        <f>IF(OR($E1655="",$E1655="نامعتبر"),"",IF(Sync!$T1652="","",Sync!$T1652))</f>
        <v/>
      </c>
      <c r="J1655">
        <f>IF(OR($E1655="",$E1655="نامعتبر"),"",IF(Sync!$U1652="","",Sync!$U1652))</f>
        <v/>
      </c>
      <c r="K1655">
        <f>IF(OR($E1655="",$E1655="نامعتبر"),"",IF(Sync!$V1652="","",IFERROR(INDEX(SubCodes,MATCH(Sync!$V1652,SubTitles,0)),Sync!$V1652)))</f>
        <v/>
      </c>
      <c r="L1655">
        <f>IF(OR($E1655="",$E1655="نامعتبر"),"",IF(Sync!$W1652="",0,Sync!$W1652))</f>
        <v/>
      </c>
      <c r="M1655">
        <f>IF(OR($E1655="",$E1655="نامعتبر"),"",IF(Sync!$X1652="",0,Sync!$X1652))</f>
        <v/>
      </c>
      <c r="N1655">
        <f>IF(OR($E1655="",$E1655="نامعتبر"),"",IF(AND($J1655="هزینه",$K1655&lt;&gt;""),1,0))</f>
        <v/>
      </c>
      <c r="O1655">
        <f>IF($N1655=0,"",LEFT($E1655,4)&amp;MID($E1655,6,2)&amp;RIGHT($E1655,2)&amp;$F1655&amp;"|"&amp;"1"&amp;RIGHT("00000"&amp;1647,5))</f>
        <v/>
      </c>
      <c r="P1655">
        <f>IF($O1655="","",COUNTIFS(ExpSub,$K1655,ExpKey,"&lt;"&amp;$O1655)+1)</f>
        <v/>
      </c>
      <c r="Q1655">
        <f>IF($P1655="","",$K1655&amp;"|"&amp;RIGHT("000000"&amp;$P1655,6))</f>
        <v/>
      </c>
    </row>
    <row r="1656">
      <c r="A1656">
        <f>IF(Sync!$P1653="","",Sync!$P1653)</f>
        <v/>
      </c>
      <c r="B1656">
        <f>IF($A1656="","",IF(ISNUMBER($A1656),IF(AND($A1656&gt;=10000101,$A1656&lt;=99991231),INT($A1656/10000),""),IFERROR(VALUE(TRIM(LEFT($A1656,FIND("/",$A1656)-1))),"")))</f>
        <v/>
      </c>
      <c r="C1656">
        <f>IF(OR($A1656="",$B1656=""),"",IF(ISNUMBER($A1656),INT(MOD($A1656,10000)/100),IFERROR(VALUE(TRIM(LEFT(MID($A1656,FIND("/",$A1656)+1,20),FIND("/",MID($A1656,FIND("/",$A1656)+1,20))-1))),"")))</f>
        <v/>
      </c>
      <c r="D1656">
        <f>IF(OR($A1656="",$B1656=""),"",IF(ISNUMBER($A1656),MOD($A1656,100),IFERROR(VALUE(TRIM(MID(MID($A1656,FIND("/",$A1656)+1,20),FIND("/",MID($A1656,FIND("/",$A1656)+1,20))+1,20))),"")))</f>
        <v/>
      </c>
      <c r="E1656">
        <f>IF($A1656="","",IF(OR($B1656="",$C1656="",$D1656="",$B1656&lt;1300,$B1656&gt;1500,$C1656&lt;1,$C1656&gt;12,$D1656&lt;1,$D1656&gt;31),"نامعتبر",RIGHT("0000"&amp;$B1656,4)&amp;"/"&amp;RIGHT("00"&amp;$C1656,2)&amp;"/"&amp;RIGHT("00"&amp;$D1656,2)))</f>
        <v/>
      </c>
      <c r="F1656">
        <f>IF(OR($E1656="",$E1656="نامعتبر"),"",IF(Sync!$Q1653="","0000",IF(AND(ISNUMBER(Sync!$Q1653),Sync!$Q1653&gt;=0,Sync!$Q1653&lt;1),RIGHT("00"&amp;HOUR(Sync!$Q1653),2)&amp;RIGHT("00"&amp;MINUTE(Sync!$Q1653),2),IFERROR(RIGHT("00"&amp;VALUE(LEFT(Sync!$Q1653,FIND(":",Sync!$Q1653)-1)),2)&amp;RIGHT("00"&amp;VALUE(MID(Sync!$Q1653,FIND(":",Sync!$Q1653)+1,2)),2),"0000"))))</f>
        <v/>
      </c>
      <c r="G1656">
        <f>IF(OR($E1656="",$E1656="نامعتبر"),"",IF(Sync!$S1653="","",Sync!$S1653))</f>
        <v/>
      </c>
      <c r="H1656">
        <f>IF(OR($E1656="",$E1656="نامعتبر"),"",IF(Sync!$R1653="","",Sync!$R1653))</f>
        <v/>
      </c>
      <c r="I1656">
        <f>IF(OR($E1656="",$E1656="نامعتبر"),"",IF(Sync!$T1653="","",Sync!$T1653))</f>
        <v/>
      </c>
      <c r="J1656">
        <f>IF(OR($E1656="",$E1656="نامعتبر"),"",IF(Sync!$U1653="","",Sync!$U1653))</f>
        <v/>
      </c>
      <c r="K1656">
        <f>IF(OR($E1656="",$E1656="نامعتبر"),"",IF(Sync!$V1653="","",IFERROR(INDEX(SubCodes,MATCH(Sync!$V1653,SubTitles,0)),Sync!$V1653)))</f>
        <v/>
      </c>
      <c r="L1656">
        <f>IF(OR($E1656="",$E1656="نامعتبر"),"",IF(Sync!$W1653="",0,Sync!$W1653))</f>
        <v/>
      </c>
      <c r="M1656">
        <f>IF(OR($E1656="",$E1656="نامعتبر"),"",IF(Sync!$X1653="",0,Sync!$X1653))</f>
        <v/>
      </c>
      <c r="N1656">
        <f>IF(OR($E1656="",$E1656="نامعتبر"),"",IF(AND($J1656="هزینه",$K1656&lt;&gt;""),1,0))</f>
        <v/>
      </c>
      <c r="O1656">
        <f>IF($N1656=0,"",LEFT($E1656,4)&amp;MID($E1656,6,2)&amp;RIGHT($E1656,2)&amp;$F1656&amp;"|"&amp;"1"&amp;RIGHT("00000"&amp;1648,5))</f>
        <v/>
      </c>
      <c r="P1656">
        <f>IF($O1656="","",COUNTIFS(ExpSub,$K1656,ExpKey,"&lt;"&amp;$O1656)+1)</f>
        <v/>
      </c>
      <c r="Q1656">
        <f>IF($P1656="","",$K1656&amp;"|"&amp;RIGHT("000000"&amp;$P1656,6))</f>
        <v/>
      </c>
    </row>
    <row r="1657">
      <c r="A1657">
        <f>IF(Sync!$P1654="","",Sync!$P1654)</f>
        <v/>
      </c>
      <c r="B1657">
        <f>IF($A1657="","",IF(ISNUMBER($A1657),IF(AND($A1657&gt;=10000101,$A1657&lt;=99991231),INT($A1657/10000),""),IFERROR(VALUE(TRIM(LEFT($A1657,FIND("/",$A1657)-1))),"")))</f>
        <v/>
      </c>
      <c r="C1657">
        <f>IF(OR($A1657="",$B1657=""),"",IF(ISNUMBER($A1657),INT(MOD($A1657,10000)/100),IFERROR(VALUE(TRIM(LEFT(MID($A1657,FIND("/",$A1657)+1,20),FIND("/",MID($A1657,FIND("/",$A1657)+1,20))-1))),"")))</f>
        <v/>
      </c>
      <c r="D1657">
        <f>IF(OR($A1657="",$B1657=""),"",IF(ISNUMBER($A1657),MOD($A1657,100),IFERROR(VALUE(TRIM(MID(MID($A1657,FIND("/",$A1657)+1,20),FIND("/",MID($A1657,FIND("/",$A1657)+1,20))+1,20))),"")))</f>
        <v/>
      </c>
      <c r="E1657">
        <f>IF($A1657="","",IF(OR($B1657="",$C1657="",$D1657="",$B1657&lt;1300,$B1657&gt;1500,$C1657&lt;1,$C1657&gt;12,$D1657&lt;1,$D1657&gt;31),"نامعتبر",RIGHT("0000"&amp;$B1657,4)&amp;"/"&amp;RIGHT("00"&amp;$C1657,2)&amp;"/"&amp;RIGHT("00"&amp;$D1657,2)))</f>
        <v/>
      </c>
      <c r="F1657">
        <f>IF(OR($E1657="",$E1657="نامعتبر"),"",IF(Sync!$Q1654="","0000",IF(AND(ISNUMBER(Sync!$Q1654),Sync!$Q1654&gt;=0,Sync!$Q1654&lt;1),RIGHT("00"&amp;HOUR(Sync!$Q1654),2)&amp;RIGHT("00"&amp;MINUTE(Sync!$Q1654),2),IFERROR(RIGHT("00"&amp;VALUE(LEFT(Sync!$Q1654,FIND(":",Sync!$Q1654)-1)),2)&amp;RIGHT("00"&amp;VALUE(MID(Sync!$Q1654,FIND(":",Sync!$Q1654)+1,2)),2),"0000"))))</f>
        <v/>
      </c>
      <c r="G1657">
        <f>IF(OR($E1657="",$E1657="نامعتبر"),"",IF(Sync!$S1654="","",Sync!$S1654))</f>
        <v/>
      </c>
      <c r="H1657">
        <f>IF(OR($E1657="",$E1657="نامعتبر"),"",IF(Sync!$R1654="","",Sync!$R1654))</f>
        <v/>
      </c>
      <c r="I1657">
        <f>IF(OR($E1657="",$E1657="نامعتبر"),"",IF(Sync!$T1654="","",Sync!$T1654))</f>
        <v/>
      </c>
      <c r="J1657">
        <f>IF(OR($E1657="",$E1657="نامعتبر"),"",IF(Sync!$U1654="","",Sync!$U1654))</f>
        <v/>
      </c>
      <c r="K1657">
        <f>IF(OR($E1657="",$E1657="نامعتبر"),"",IF(Sync!$V1654="","",IFERROR(INDEX(SubCodes,MATCH(Sync!$V1654,SubTitles,0)),Sync!$V1654)))</f>
        <v/>
      </c>
      <c r="L1657">
        <f>IF(OR($E1657="",$E1657="نامعتبر"),"",IF(Sync!$W1654="",0,Sync!$W1654))</f>
        <v/>
      </c>
      <c r="M1657">
        <f>IF(OR($E1657="",$E1657="نامعتبر"),"",IF(Sync!$X1654="",0,Sync!$X1654))</f>
        <v/>
      </c>
      <c r="N1657">
        <f>IF(OR($E1657="",$E1657="نامعتبر"),"",IF(AND($J1657="هزینه",$K1657&lt;&gt;""),1,0))</f>
        <v/>
      </c>
      <c r="O1657">
        <f>IF($N1657=0,"",LEFT($E1657,4)&amp;MID($E1657,6,2)&amp;RIGHT($E1657,2)&amp;$F1657&amp;"|"&amp;"1"&amp;RIGHT("00000"&amp;1649,5))</f>
        <v/>
      </c>
      <c r="P1657">
        <f>IF($O1657="","",COUNTIFS(ExpSub,$K1657,ExpKey,"&lt;"&amp;$O1657)+1)</f>
        <v/>
      </c>
      <c r="Q1657">
        <f>IF($P1657="","",$K1657&amp;"|"&amp;RIGHT("000000"&amp;$P1657,6))</f>
        <v/>
      </c>
    </row>
    <row r="1658">
      <c r="A1658">
        <f>IF(Sync!$P1655="","",Sync!$P1655)</f>
        <v/>
      </c>
      <c r="B1658">
        <f>IF($A1658="","",IF(ISNUMBER($A1658),IF(AND($A1658&gt;=10000101,$A1658&lt;=99991231),INT($A1658/10000),""),IFERROR(VALUE(TRIM(LEFT($A1658,FIND("/",$A1658)-1))),"")))</f>
        <v/>
      </c>
      <c r="C1658">
        <f>IF(OR($A1658="",$B1658=""),"",IF(ISNUMBER($A1658),INT(MOD($A1658,10000)/100),IFERROR(VALUE(TRIM(LEFT(MID($A1658,FIND("/",$A1658)+1,20),FIND("/",MID($A1658,FIND("/",$A1658)+1,20))-1))),"")))</f>
        <v/>
      </c>
      <c r="D1658">
        <f>IF(OR($A1658="",$B1658=""),"",IF(ISNUMBER($A1658),MOD($A1658,100),IFERROR(VALUE(TRIM(MID(MID($A1658,FIND("/",$A1658)+1,20),FIND("/",MID($A1658,FIND("/",$A1658)+1,20))+1,20))),"")))</f>
        <v/>
      </c>
      <c r="E1658">
        <f>IF($A1658="","",IF(OR($B1658="",$C1658="",$D1658="",$B1658&lt;1300,$B1658&gt;1500,$C1658&lt;1,$C1658&gt;12,$D1658&lt;1,$D1658&gt;31),"نامعتبر",RIGHT("0000"&amp;$B1658,4)&amp;"/"&amp;RIGHT("00"&amp;$C1658,2)&amp;"/"&amp;RIGHT("00"&amp;$D1658,2)))</f>
        <v/>
      </c>
      <c r="F1658">
        <f>IF(OR($E1658="",$E1658="نامعتبر"),"",IF(Sync!$Q1655="","0000",IF(AND(ISNUMBER(Sync!$Q1655),Sync!$Q1655&gt;=0,Sync!$Q1655&lt;1),RIGHT("00"&amp;HOUR(Sync!$Q1655),2)&amp;RIGHT("00"&amp;MINUTE(Sync!$Q1655),2),IFERROR(RIGHT("00"&amp;VALUE(LEFT(Sync!$Q1655,FIND(":",Sync!$Q1655)-1)),2)&amp;RIGHT("00"&amp;VALUE(MID(Sync!$Q1655,FIND(":",Sync!$Q1655)+1,2)),2),"0000"))))</f>
        <v/>
      </c>
      <c r="G1658">
        <f>IF(OR($E1658="",$E1658="نامعتبر"),"",IF(Sync!$S1655="","",Sync!$S1655))</f>
        <v/>
      </c>
      <c r="H1658">
        <f>IF(OR($E1658="",$E1658="نامعتبر"),"",IF(Sync!$R1655="","",Sync!$R1655))</f>
        <v/>
      </c>
      <c r="I1658">
        <f>IF(OR($E1658="",$E1658="نامعتبر"),"",IF(Sync!$T1655="","",Sync!$T1655))</f>
        <v/>
      </c>
      <c r="J1658">
        <f>IF(OR($E1658="",$E1658="نامعتبر"),"",IF(Sync!$U1655="","",Sync!$U1655))</f>
        <v/>
      </c>
      <c r="K1658">
        <f>IF(OR($E1658="",$E1658="نامعتبر"),"",IF(Sync!$V1655="","",IFERROR(INDEX(SubCodes,MATCH(Sync!$V1655,SubTitles,0)),Sync!$V1655)))</f>
        <v/>
      </c>
      <c r="L1658">
        <f>IF(OR($E1658="",$E1658="نامعتبر"),"",IF(Sync!$W1655="",0,Sync!$W1655))</f>
        <v/>
      </c>
      <c r="M1658">
        <f>IF(OR($E1658="",$E1658="نامعتبر"),"",IF(Sync!$X1655="",0,Sync!$X1655))</f>
        <v/>
      </c>
      <c r="N1658">
        <f>IF(OR($E1658="",$E1658="نامعتبر"),"",IF(AND($J1658="هزینه",$K1658&lt;&gt;""),1,0))</f>
        <v/>
      </c>
      <c r="O1658">
        <f>IF($N1658=0,"",LEFT($E1658,4)&amp;MID($E1658,6,2)&amp;RIGHT($E1658,2)&amp;$F1658&amp;"|"&amp;"1"&amp;RIGHT("00000"&amp;1650,5))</f>
        <v/>
      </c>
      <c r="P1658">
        <f>IF($O1658="","",COUNTIFS(ExpSub,$K1658,ExpKey,"&lt;"&amp;$O1658)+1)</f>
        <v/>
      </c>
      <c r="Q1658">
        <f>IF($P1658="","",$K1658&amp;"|"&amp;RIGHT("000000"&amp;$P1658,6))</f>
        <v/>
      </c>
    </row>
    <row r="1659">
      <c r="A1659">
        <f>IF(Sync!$P1656="","",Sync!$P1656)</f>
        <v/>
      </c>
      <c r="B1659">
        <f>IF($A1659="","",IF(ISNUMBER($A1659),IF(AND($A1659&gt;=10000101,$A1659&lt;=99991231),INT($A1659/10000),""),IFERROR(VALUE(TRIM(LEFT($A1659,FIND("/",$A1659)-1))),"")))</f>
        <v/>
      </c>
      <c r="C1659">
        <f>IF(OR($A1659="",$B1659=""),"",IF(ISNUMBER($A1659),INT(MOD($A1659,10000)/100),IFERROR(VALUE(TRIM(LEFT(MID($A1659,FIND("/",$A1659)+1,20),FIND("/",MID($A1659,FIND("/",$A1659)+1,20))-1))),"")))</f>
        <v/>
      </c>
      <c r="D1659">
        <f>IF(OR($A1659="",$B1659=""),"",IF(ISNUMBER($A1659),MOD($A1659,100),IFERROR(VALUE(TRIM(MID(MID($A1659,FIND("/",$A1659)+1,20),FIND("/",MID($A1659,FIND("/",$A1659)+1,20))+1,20))),"")))</f>
        <v/>
      </c>
      <c r="E1659">
        <f>IF($A1659="","",IF(OR($B1659="",$C1659="",$D1659="",$B1659&lt;1300,$B1659&gt;1500,$C1659&lt;1,$C1659&gt;12,$D1659&lt;1,$D1659&gt;31),"نامعتبر",RIGHT("0000"&amp;$B1659,4)&amp;"/"&amp;RIGHT("00"&amp;$C1659,2)&amp;"/"&amp;RIGHT("00"&amp;$D1659,2)))</f>
        <v/>
      </c>
      <c r="F1659">
        <f>IF(OR($E1659="",$E1659="نامعتبر"),"",IF(Sync!$Q1656="","0000",IF(AND(ISNUMBER(Sync!$Q1656),Sync!$Q1656&gt;=0,Sync!$Q1656&lt;1),RIGHT("00"&amp;HOUR(Sync!$Q1656),2)&amp;RIGHT("00"&amp;MINUTE(Sync!$Q1656),2),IFERROR(RIGHT("00"&amp;VALUE(LEFT(Sync!$Q1656,FIND(":",Sync!$Q1656)-1)),2)&amp;RIGHT("00"&amp;VALUE(MID(Sync!$Q1656,FIND(":",Sync!$Q1656)+1,2)),2),"0000"))))</f>
        <v/>
      </c>
      <c r="G1659">
        <f>IF(OR($E1659="",$E1659="نامعتبر"),"",IF(Sync!$S1656="","",Sync!$S1656))</f>
        <v/>
      </c>
      <c r="H1659">
        <f>IF(OR($E1659="",$E1659="نامعتبر"),"",IF(Sync!$R1656="","",Sync!$R1656))</f>
        <v/>
      </c>
      <c r="I1659">
        <f>IF(OR($E1659="",$E1659="نامعتبر"),"",IF(Sync!$T1656="","",Sync!$T1656))</f>
        <v/>
      </c>
      <c r="J1659">
        <f>IF(OR($E1659="",$E1659="نامعتبر"),"",IF(Sync!$U1656="","",Sync!$U1656))</f>
        <v/>
      </c>
      <c r="K1659">
        <f>IF(OR($E1659="",$E1659="نامعتبر"),"",IF(Sync!$V1656="","",IFERROR(INDEX(SubCodes,MATCH(Sync!$V1656,SubTitles,0)),Sync!$V1656)))</f>
        <v/>
      </c>
      <c r="L1659">
        <f>IF(OR($E1659="",$E1659="نامعتبر"),"",IF(Sync!$W1656="",0,Sync!$W1656))</f>
        <v/>
      </c>
      <c r="M1659">
        <f>IF(OR($E1659="",$E1659="نامعتبر"),"",IF(Sync!$X1656="",0,Sync!$X1656))</f>
        <v/>
      </c>
      <c r="N1659">
        <f>IF(OR($E1659="",$E1659="نامعتبر"),"",IF(AND($J1659="هزینه",$K1659&lt;&gt;""),1,0))</f>
        <v/>
      </c>
      <c r="O1659">
        <f>IF($N1659=0,"",LEFT($E1659,4)&amp;MID($E1659,6,2)&amp;RIGHT($E1659,2)&amp;$F1659&amp;"|"&amp;"1"&amp;RIGHT("00000"&amp;1651,5))</f>
        <v/>
      </c>
      <c r="P1659">
        <f>IF($O1659="","",COUNTIFS(ExpSub,$K1659,ExpKey,"&lt;"&amp;$O1659)+1)</f>
        <v/>
      </c>
      <c r="Q1659">
        <f>IF($P1659="","",$K1659&amp;"|"&amp;RIGHT("000000"&amp;$P1659,6))</f>
        <v/>
      </c>
    </row>
    <row r="1660">
      <c r="A1660">
        <f>IF(Sync!$P1657="","",Sync!$P1657)</f>
        <v/>
      </c>
      <c r="B1660">
        <f>IF($A1660="","",IF(ISNUMBER($A1660),IF(AND($A1660&gt;=10000101,$A1660&lt;=99991231),INT($A1660/10000),""),IFERROR(VALUE(TRIM(LEFT($A1660,FIND("/",$A1660)-1))),"")))</f>
        <v/>
      </c>
      <c r="C1660">
        <f>IF(OR($A1660="",$B1660=""),"",IF(ISNUMBER($A1660),INT(MOD($A1660,10000)/100),IFERROR(VALUE(TRIM(LEFT(MID($A1660,FIND("/",$A1660)+1,20),FIND("/",MID($A1660,FIND("/",$A1660)+1,20))-1))),"")))</f>
        <v/>
      </c>
      <c r="D1660">
        <f>IF(OR($A1660="",$B1660=""),"",IF(ISNUMBER($A1660),MOD($A1660,100),IFERROR(VALUE(TRIM(MID(MID($A1660,FIND("/",$A1660)+1,20),FIND("/",MID($A1660,FIND("/",$A1660)+1,20))+1,20))),"")))</f>
        <v/>
      </c>
      <c r="E1660">
        <f>IF($A1660="","",IF(OR($B1660="",$C1660="",$D1660="",$B1660&lt;1300,$B1660&gt;1500,$C1660&lt;1,$C1660&gt;12,$D1660&lt;1,$D1660&gt;31),"نامعتبر",RIGHT("0000"&amp;$B1660,4)&amp;"/"&amp;RIGHT("00"&amp;$C1660,2)&amp;"/"&amp;RIGHT("00"&amp;$D1660,2)))</f>
        <v/>
      </c>
      <c r="F1660">
        <f>IF(OR($E1660="",$E1660="نامعتبر"),"",IF(Sync!$Q1657="","0000",IF(AND(ISNUMBER(Sync!$Q1657),Sync!$Q1657&gt;=0,Sync!$Q1657&lt;1),RIGHT("00"&amp;HOUR(Sync!$Q1657),2)&amp;RIGHT("00"&amp;MINUTE(Sync!$Q1657),2),IFERROR(RIGHT("00"&amp;VALUE(LEFT(Sync!$Q1657,FIND(":",Sync!$Q1657)-1)),2)&amp;RIGHT("00"&amp;VALUE(MID(Sync!$Q1657,FIND(":",Sync!$Q1657)+1,2)),2),"0000"))))</f>
        <v/>
      </c>
      <c r="G1660">
        <f>IF(OR($E1660="",$E1660="نامعتبر"),"",IF(Sync!$S1657="","",Sync!$S1657))</f>
        <v/>
      </c>
      <c r="H1660">
        <f>IF(OR($E1660="",$E1660="نامعتبر"),"",IF(Sync!$R1657="","",Sync!$R1657))</f>
        <v/>
      </c>
      <c r="I1660">
        <f>IF(OR($E1660="",$E1660="نامعتبر"),"",IF(Sync!$T1657="","",Sync!$T1657))</f>
        <v/>
      </c>
      <c r="J1660">
        <f>IF(OR($E1660="",$E1660="نامعتبر"),"",IF(Sync!$U1657="","",Sync!$U1657))</f>
        <v/>
      </c>
      <c r="K1660">
        <f>IF(OR($E1660="",$E1660="نامعتبر"),"",IF(Sync!$V1657="","",IFERROR(INDEX(SubCodes,MATCH(Sync!$V1657,SubTitles,0)),Sync!$V1657)))</f>
        <v/>
      </c>
      <c r="L1660">
        <f>IF(OR($E1660="",$E1660="نامعتبر"),"",IF(Sync!$W1657="",0,Sync!$W1657))</f>
        <v/>
      </c>
      <c r="M1660">
        <f>IF(OR($E1660="",$E1660="نامعتبر"),"",IF(Sync!$X1657="",0,Sync!$X1657))</f>
        <v/>
      </c>
      <c r="N1660">
        <f>IF(OR($E1660="",$E1660="نامعتبر"),"",IF(AND($J1660="هزینه",$K1660&lt;&gt;""),1,0))</f>
        <v/>
      </c>
      <c r="O1660">
        <f>IF($N1660=0,"",LEFT($E1660,4)&amp;MID($E1660,6,2)&amp;RIGHT($E1660,2)&amp;$F1660&amp;"|"&amp;"1"&amp;RIGHT("00000"&amp;1652,5))</f>
        <v/>
      </c>
      <c r="P1660">
        <f>IF($O1660="","",COUNTIFS(ExpSub,$K1660,ExpKey,"&lt;"&amp;$O1660)+1)</f>
        <v/>
      </c>
      <c r="Q1660">
        <f>IF($P1660="","",$K1660&amp;"|"&amp;RIGHT("000000"&amp;$P1660,6))</f>
        <v/>
      </c>
    </row>
    <row r="1661">
      <c r="A1661">
        <f>IF(Sync!$P1658="","",Sync!$P1658)</f>
        <v/>
      </c>
      <c r="B1661">
        <f>IF($A1661="","",IF(ISNUMBER($A1661),IF(AND($A1661&gt;=10000101,$A1661&lt;=99991231),INT($A1661/10000),""),IFERROR(VALUE(TRIM(LEFT($A1661,FIND("/",$A1661)-1))),"")))</f>
        <v/>
      </c>
      <c r="C1661">
        <f>IF(OR($A1661="",$B1661=""),"",IF(ISNUMBER($A1661),INT(MOD($A1661,10000)/100),IFERROR(VALUE(TRIM(LEFT(MID($A1661,FIND("/",$A1661)+1,20),FIND("/",MID($A1661,FIND("/",$A1661)+1,20))-1))),"")))</f>
        <v/>
      </c>
      <c r="D1661">
        <f>IF(OR($A1661="",$B1661=""),"",IF(ISNUMBER($A1661),MOD($A1661,100),IFERROR(VALUE(TRIM(MID(MID($A1661,FIND("/",$A1661)+1,20),FIND("/",MID($A1661,FIND("/",$A1661)+1,20))+1,20))),"")))</f>
        <v/>
      </c>
      <c r="E1661">
        <f>IF($A1661="","",IF(OR($B1661="",$C1661="",$D1661="",$B1661&lt;1300,$B1661&gt;1500,$C1661&lt;1,$C1661&gt;12,$D1661&lt;1,$D1661&gt;31),"نامعتبر",RIGHT("0000"&amp;$B1661,4)&amp;"/"&amp;RIGHT("00"&amp;$C1661,2)&amp;"/"&amp;RIGHT("00"&amp;$D1661,2)))</f>
        <v/>
      </c>
      <c r="F1661">
        <f>IF(OR($E1661="",$E1661="نامعتبر"),"",IF(Sync!$Q1658="","0000",IF(AND(ISNUMBER(Sync!$Q1658),Sync!$Q1658&gt;=0,Sync!$Q1658&lt;1),RIGHT("00"&amp;HOUR(Sync!$Q1658),2)&amp;RIGHT("00"&amp;MINUTE(Sync!$Q1658),2),IFERROR(RIGHT("00"&amp;VALUE(LEFT(Sync!$Q1658,FIND(":",Sync!$Q1658)-1)),2)&amp;RIGHT("00"&amp;VALUE(MID(Sync!$Q1658,FIND(":",Sync!$Q1658)+1,2)),2),"0000"))))</f>
        <v/>
      </c>
      <c r="G1661">
        <f>IF(OR($E1661="",$E1661="نامعتبر"),"",IF(Sync!$S1658="","",Sync!$S1658))</f>
        <v/>
      </c>
      <c r="H1661">
        <f>IF(OR($E1661="",$E1661="نامعتبر"),"",IF(Sync!$R1658="","",Sync!$R1658))</f>
        <v/>
      </c>
      <c r="I1661">
        <f>IF(OR($E1661="",$E1661="نامعتبر"),"",IF(Sync!$T1658="","",Sync!$T1658))</f>
        <v/>
      </c>
      <c r="J1661">
        <f>IF(OR($E1661="",$E1661="نامعتبر"),"",IF(Sync!$U1658="","",Sync!$U1658))</f>
        <v/>
      </c>
      <c r="K1661">
        <f>IF(OR($E1661="",$E1661="نامعتبر"),"",IF(Sync!$V1658="","",IFERROR(INDEX(SubCodes,MATCH(Sync!$V1658,SubTitles,0)),Sync!$V1658)))</f>
        <v/>
      </c>
      <c r="L1661">
        <f>IF(OR($E1661="",$E1661="نامعتبر"),"",IF(Sync!$W1658="",0,Sync!$W1658))</f>
        <v/>
      </c>
      <c r="M1661">
        <f>IF(OR($E1661="",$E1661="نامعتبر"),"",IF(Sync!$X1658="",0,Sync!$X1658))</f>
        <v/>
      </c>
      <c r="N1661">
        <f>IF(OR($E1661="",$E1661="نامعتبر"),"",IF(AND($J1661="هزینه",$K1661&lt;&gt;""),1,0))</f>
        <v/>
      </c>
      <c r="O1661">
        <f>IF($N1661=0,"",LEFT($E1661,4)&amp;MID($E1661,6,2)&amp;RIGHT($E1661,2)&amp;$F1661&amp;"|"&amp;"1"&amp;RIGHT("00000"&amp;1653,5))</f>
        <v/>
      </c>
      <c r="P1661">
        <f>IF($O1661="","",COUNTIFS(ExpSub,$K1661,ExpKey,"&lt;"&amp;$O1661)+1)</f>
        <v/>
      </c>
      <c r="Q1661">
        <f>IF($P1661="","",$K1661&amp;"|"&amp;RIGHT("000000"&amp;$P1661,6))</f>
        <v/>
      </c>
    </row>
    <row r="1662">
      <c r="A1662">
        <f>IF(Sync!$P1659="","",Sync!$P1659)</f>
        <v/>
      </c>
      <c r="B1662">
        <f>IF($A1662="","",IF(ISNUMBER($A1662),IF(AND($A1662&gt;=10000101,$A1662&lt;=99991231),INT($A1662/10000),""),IFERROR(VALUE(TRIM(LEFT($A1662,FIND("/",$A1662)-1))),"")))</f>
        <v/>
      </c>
      <c r="C1662">
        <f>IF(OR($A1662="",$B1662=""),"",IF(ISNUMBER($A1662),INT(MOD($A1662,10000)/100),IFERROR(VALUE(TRIM(LEFT(MID($A1662,FIND("/",$A1662)+1,20),FIND("/",MID($A1662,FIND("/",$A1662)+1,20))-1))),"")))</f>
        <v/>
      </c>
      <c r="D1662">
        <f>IF(OR($A1662="",$B1662=""),"",IF(ISNUMBER($A1662),MOD($A1662,100),IFERROR(VALUE(TRIM(MID(MID($A1662,FIND("/",$A1662)+1,20),FIND("/",MID($A1662,FIND("/",$A1662)+1,20))+1,20))),"")))</f>
        <v/>
      </c>
      <c r="E1662">
        <f>IF($A1662="","",IF(OR($B1662="",$C1662="",$D1662="",$B1662&lt;1300,$B1662&gt;1500,$C1662&lt;1,$C1662&gt;12,$D1662&lt;1,$D1662&gt;31),"نامعتبر",RIGHT("0000"&amp;$B1662,4)&amp;"/"&amp;RIGHT("00"&amp;$C1662,2)&amp;"/"&amp;RIGHT("00"&amp;$D1662,2)))</f>
        <v/>
      </c>
      <c r="F1662">
        <f>IF(OR($E1662="",$E1662="نامعتبر"),"",IF(Sync!$Q1659="","0000",IF(AND(ISNUMBER(Sync!$Q1659),Sync!$Q1659&gt;=0,Sync!$Q1659&lt;1),RIGHT("00"&amp;HOUR(Sync!$Q1659),2)&amp;RIGHT("00"&amp;MINUTE(Sync!$Q1659),2),IFERROR(RIGHT("00"&amp;VALUE(LEFT(Sync!$Q1659,FIND(":",Sync!$Q1659)-1)),2)&amp;RIGHT("00"&amp;VALUE(MID(Sync!$Q1659,FIND(":",Sync!$Q1659)+1,2)),2),"0000"))))</f>
        <v/>
      </c>
      <c r="G1662">
        <f>IF(OR($E1662="",$E1662="نامعتبر"),"",IF(Sync!$S1659="","",Sync!$S1659))</f>
        <v/>
      </c>
      <c r="H1662">
        <f>IF(OR($E1662="",$E1662="نامعتبر"),"",IF(Sync!$R1659="","",Sync!$R1659))</f>
        <v/>
      </c>
      <c r="I1662">
        <f>IF(OR($E1662="",$E1662="نامعتبر"),"",IF(Sync!$T1659="","",Sync!$T1659))</f>
        <v/>
      </c>
      <c r="J1662">
        <f>IF(OR($E1662="",$E1662="نامعتبر"),"",IF(Sync!$U1659="","",Sync!$U1659))</f>
        <v/>
      </c>
      <c r="K1662">
        <f>IF(OR($E1662="",$E1662="نامعتبر"),"",IF(Sync!$V1659="","",IFERROR(INDEX(SubCodes,MATCH(Sync!$V1659,SubTitles,0)),Sync!$V1659)))</f>
        <v/>
      </c>
      <c r="L1662">
        <f>IF(OR($E1662="",$E1662="نامعتبر"),"",IF(Sync!$W1659="",0,Sync!$W1659))</f>
        <v/>
      </c>
      <c r="M1662">
        <f>IF(OR($E1662="",$E1662="نامعتبر"),"",IF(Sync!$X1659="",0,Sync!$X1659))</f>
        <v/>
      </c>
      <c r="N1662">
        <f>IF(OR($E1662="",$E1662="نامعتبر"),"",IF(AND($J1662="هزینه",$K1662&lt;&gt;""),1,0))</f>
        <v/>
      </c>
      <c r="O1662">
        <f>IF($N1662=0,"",LEFT($E1662,4)&amp;MID($E1662,6,2)&amp;RIGHT($E1662,2)&amp;$F1662&amp;"|"&amp;"1"&amp;RIGHT("00000"&amp;1654,5))</f>
        <v/>
      </c>
      <c r="P1662">
        <f>IF($O1662="","",COUNTIFS(ExpSub,$K1662,ExpKey,"&lt;"&amp;$O1662)+1)</f>
        <v/>
      </c>
      <c r="Q1662">
        <f>IF($P1662="","",$K1662&amp;"|"&amp;RIGHT("000000"&amp;$P1662,6))</f>
        <v/>
      </c>
    </row>
    <row r="1663">
      <c r="A1663">
        <f>IF(Sync!$P1660="","",Sync!$P1660)</f>
        <v/>
      </c>
      <c r="B1663">
        <f>IF($A1663="","",IF(ISNUMBER($A1663),IF(AND($A1663&gt;=10000101,$A1663&lt;=99991231),INT($A1663/10000),""),IFERROR(VALUE(TRIM(LEFT($A1663,FIND("/",$A1663)-1))),"")))</f>
        <v/>
      </c>
      <c r="C1663">
        <f>IF(OR($A1663="",$B1663=""),"",IF(ISNUMBER($A1663),INT(MOD($A1663,10000)/100),IFERROR(VALUE(TRIM(LEFT(MID($A1663,FIND("/",$A1663)+1,20),FIND("/",MID($A1663,FIND("/",$A1663)+1,20))-1))),"")))</f>
        <v/>
      </c>
      <c r="D1663">
        <f>IF(OR($A1663="",$B1663=""),"",IF(ISNUMBER($A1663),MOD($A1663,100),IFERROR(VALUE(TRIM(MID(MID($A1663,FIND("/",$A1663)+1,20),FIND("/",MID($A1663,FIND("/",$A1663)+1,20))+1,20))),"")))</f>
        <v/>
      </c>
      <c r="E1663">
        <f>IF($A1663="","",IF(OR($B1663="",$C1663="",$D1663="",$B1663&lt;1300,$B1663&gt;1500,$C1663&lt;1,$C1663&gt;12,$D1663&lt;1,$D1663&gt;31),"نامعتبر",RIGHT("0000"&amp;$B1663,4)&amp;"/"&amp;RIGHT("00"&amp;$C1663,2)&amp;"/"&amp;RIGHT("00"&amp;$D1663,2)))</f>
        <v/>
      </c>
      <c r="F1663">
        <f>IF(OR($E1663="",$E1663="نامعتبر"),"",IF(Sync!$Q1660="","0000",IF(AND(ISNUMBER(Sync!$Q1660),Sync!$Q1660&gt;=0,Sync!$Q1660&lt;1),RIGHT("00"&amp;HOUR(Sync!$Q1660),2)&amp;RIGHT("00"&amp;MINUTE(Sync!$Q1660),2),IFERROR(RIGHT("00"&amp;VALUE(LEFT(Sync!$Q1660,FIND(":",Sync!$Q1660)-1)),2)&amp;RIGHT("00"&amp;VALUE(MID(Sync!$Q1660,FIND(":",Sync!$Q1660)+1,2)),2),"0000"))))</f>
        <v/>
      </c>
      <c r="G1663">
        <f>IF(OR($E1663="",$E1663="نامعتبر"),"",IF(Sync!$S1660="","",Sync!$S1660))</f>
        <v/>
      </c>
      <c r="H1663">
        <f>IF(OR($E1663="",$E1663="نامعتبر"),"",IF(Sync!$R1660="","",Sync!$R1660))</f>
        <v/>
      </c>
      <c r="I1663">
        <f>IF(OR($E1663="",$E1663="نامعتبر"),"",IF(Sync!$T1660="","",Sync!$T1660))</f>
        <v/>
      </c>
      <c r="J1663">
        <f>IF(OR($E1663="",$E1663="نامعتبر"),"",IF(Sync!$U1660="","",Sync!$U1660))</f>
        <v/>
      </c>
      <c r="K1663">
        <f>IF(OR($E1663="",$E1663="نامعتبر"),"",IF(Sync!$V1660="","",IFERROR(INDEX(SubCodes,MATCH(Sync!$V1660,SubTitles,0)),Sync!$V1660)))</f>
        <v/>
      </c>
      <c r="L1663">
        <f>IF(OR($E1663="",$E1663="نامعتبر"),"",IF(Sync!$W1660="",0,Sync!$W1660))</f>
        <v/>
      </c>
      <c r="M1663">
        <f>IF(OR($E1663="",$E1663="نامعتبر"),"",IF(Sync!$X1660="",0,Sync!$X1660))</f>
        <v/>
      </c>
      <c r="N1663">
        <f>IF(OR($E1663="",$E1663="نامعتبر"),"",IF(AND($J1663="هزینه",$K1663&lt;&gt;""),1,0))</f>
        <v/>
      </c>
      <c r="O1663">
        <f>IF($N1663=0,"",LEFT($E1663,4)&amp;MID($E1663,6,2)&amp;RIGHT($E1663,2)&amp;$F1663&amp;"|"&amp;"1"&amp;RIGHT("00000"&amp;1655,5))</f>
        <v/>
      </c>
      <c r="P1663">
        <f>IF($O1663="","",COUNTIFS(ExpSub,$K1663,ExpKey,"&lt;"&amp;$O1663)+1)</f>
        <v/>
      </c>
      <c r="Q1663">
        <f>IF($P1663="","",$K1663&amp;"|"&amp;RIGHT("000000"&amp;$P1663,6))</f>
        <v/>
      </c>
    </row>
    <row r="1664">
      <c r="A1664">
        <f>IF(Sync!$P1661="","",Sync!$P1661)</f>
        <v/>
      </c>
      <c r="B1664">
        <f>IF($A1664="","",IF(ISNUMBER($A1664),IF(AND($A1664&gt;=10000101,$A1664&lt;=99991231),INT($A1664/10000),""),IFERROR(VALUE(TRIM(LEFT($A1664,FIND("/",$A1664)-1))),"")))</f>
        <v/>
      </c>
      <c r="C1664">
        <f>IF(OR($A1664="",$B1664=""),"",IF(ISNUMBER($A1664),INT(MOD($A1664,10000)/100),IFERROR(VALUE(TRIM(LEFT(MID($A1664,FIND("/",$A1664)+1,20),FIND("/",MID($A1664,FIND("/",$A1664)+1,20))-1))),"")))</f>
        <v/>
      </c>
      <c r="D1664">
        <f>IF(OR($A1664="",$B1664=""),"",IF(ISNUMBER($A1664),MOD($A1664,100),IFERROR(VALUE(TRIM(MID(MID($A1664,FIND("/",$A1664)+1,20),FIND("/",MID($A1664,FIND("/",$A1664)+1,20))+1,20))),"")))</f>
        <v/>
      </c>
      <c r="E1664">
        <f>IF($A1664="","",IF(OR($B1664="",$C1664="",$D1664="",$B1664&lt;1300,$B1664&gt;1500,$C1664&lt;1,$C1664&gt;12,$D1664&lt;1,$D1664&gt;31),"نامعتبر",RIGHT("0000"&amp;$B1664,4)&amp;"/"&amp;RIGHT("00"&amp;$C1664,2)&amp;"/"&amp;RIGHT("00"&amp;$D1664,2)))</f>
        <v/>
      </c>
      <c r="F1664">
        <f>IF(OR($E1664="",$E1664="نامعتبر"),"",IF(Sync!$Q1661="","0000",IF(AND(ISNUMBER(Sync!$Q1661),Sync!$Q1661&gt;=0,Sync!$Q1661&lt;1),RIGHT("00"&amp;HOUR(Sync!$Q1661),2)&amp;RIGHT("00"&amp;MINUTE(Sync!$Q1661),2),IFERROR(RIGHT("00"&amp;VALUE(LEFT(Sync!$Q1661,FIND(":",Sync!$Q1661)-1)),2)&amp;RIGHT("00"&amp;VALUE(MID(Sync!$Q1661,FIND(":",Sync!$Q1661)+1,2)),2),"0000"))))</f>
        <v/>
      </c>
      <c r="G1664">
        <f>IF(OR($E1664="",$E1664="نامعتبر"),"",IF(Sync!$S1661="","",Sync!$S1661))</f>
        <v/>
      </c>
      <c r="H1664">
        <f>IF(OR($E1664="",$E1664="نامعتبر"),"",IF(Sync!$R1661="","",Sync!$R1661))</f>
        <v/>
      </c>
      <c r="I1664">
        <f>IF(OR($E1664="",$E1664="نامعتبر"),"",IF(Sync!$T1661="","",Sync!$T1661))</f>
        <v/>
      </c>
      <c r="J1664">
        <f>IF(OR($E1664="",$E1664="نامعتبر"),"",IF(Sync!$U1661="","",Sync!$U1661))</f>
        <v/>
      </c>
      <c r="K1664">
        <f>IF(OR($E1664="",$E1664="نامعتبر"),"",IF(Sync!$V1661="","",IFERROR(INDEX(SubCodes,MATCH(Sync!$V1661,SubTitles,0)),Sync!$V1661)))</f>
        <v/>
      </c>
      <c r="L1664">
        <f>IF(OR($E1664="",$E1664="نامعتبر"),"",IF(Sync!$W1661="",0,Sync!$W1661))</f>
        <v/>
      </c>
      <c r="M1664">
        <f>IF(OR($E1664="",$E1664="نامعتبر"),"",IF(Sync!$X1661="",0,Sync!$X1661))</f>
        <v/>
      </c>
      <c r="N1664">
        <f>IF(OR($E1664="",$E1664="نامعتبر"),"",IF(AND($J1664="هزینه",$K1664&lt;&gt;""),1,0))</f>
        <v/>
      </c>
      <c r="O1664">
        <f>IF($N1664=0,"",LEFT($E1664,4)&amp;MID($E1664,6,2)&amp;RIGHT($E1664,2)&amp;$F1664&amp;"|"&amp;"1"&amp;RIGHT("00000"&amp;1656,5))</f>
        <v/>
      </c>
      <c r="P1664">
        <f>IF($O1664="","",COUNTIFS(ExpSub,$K1664,ExpKey,"&lt;"&amp;$O1664)+1)</f>
        <v/>
      </c>
      <c r="Q1664">
        <f>IF($P1664="","",$K1664&amp;"|"&amp;RIGHT("000000"&amp;$P1664,6))</f>
        <v/>
      </c>
    </row>
    <row r="1665">
      <c r="A1665">
        <f>IF(Sync!$P1662="","",Sync!$P1662)</f>
        <v/>
      </c>
      <c r="B1665">
        <f>IF($A1665="","",IF(ISNUMBER($A1665),IF(AND($A1665&gt;=10000101,$A1665&lt;=99991231),INT($A1665/10000),""),IFERROR(VALUE(TRIM(LEFT($A1665,FIND("/",$A1665)-1))),"")))</f>
        <v/>
      </c>
      <c r="C1665">
        <f>IF(OR($A1665="",$B1665=""),"",IF(ISNUMBER($A1665),INT(MOD($A1665,10000)/100),IFERROR(VALUE(TRIM(LEFT(MID($A1665,FIND("/",$A1665)+1,20),FIND("/",MID($A1665,FIND("/",$A1665)+1,20))-1))),"")))</f>
        <v/>
      </c>
      <c r="D1665">
        <f>IF(OR($A1665="",$B1665=""),"",IF(ISNUMBER($A1665),MOD($A1665,100),IFERROR(VALUE(TRIM(MID(MID($A1665,FIND("/",$A1665)+1,20),FIND("/",MID($A1665,FIND("/",$A1665)+1,20))+1,20))),"")))</f>
        <v/>
      </c>
      <c r="E1665">
        <f>IF($A1665="","",IF(OR($B1665="",$C1665="",$D1665="",$B1665&lt;1300,$B1665&gt;1500,$C1665&lt;1,$C1665&gt;12,$D1665&lt;1,$D1665&gt;31),"نامعتبر",RIGHT("0000"&amp;$B1665,4)&amp;"/"&amp;RIGHT("00"&amp;$C1665,2)&amp;"/"&amp;RIGHT("00"&amp;$D1665,2)))</f>
        <v/>
      </c>
      <c r="F1665">
        <f>IF(OR($E1665="",$E1665="نامعتبر"),"",IF(Sync!$Q1662="","0000",IF(AND(ISNUMBER(Sync!$Q1662),Sync!$Q1662&gt;=0,Sync!$Q1662&lt;1),RIGHT("00"&amp;HOUR(Sync!$Q1662),2)&amp;RIGHT("00"&amp;MINUTE(Sync!$Q1662),2),IFERROR(RIGHT("00"&amp;VALUE(LEFT(Sync!$Q1662,FIND(":",Sync!$Q1662)-1)),2)&amp;RIGHT("00"&amp;VALUE(MID(Sync!$Q1662,FIND(":",Sync!$Q1662)+1,2)),2),"0000"))))</f>
        <v/>
      </c>
      <c r="G1665">
        <f>IF(OR($E1665="",$E1665="نامعتبر"),"",IF(Sync!$S1662="","",Sync!$S1662))</f>
        <v/>
      </c>
      <c r="H1665">
        <f>IF(OR($E1665="",$E1665="نامعتبر"),"",IF(Sync!$R1662="","",Sync!$R1662))</f>
        <v/>
      </c>
      <c r="I1665">
        <f>IF(OR($E1665="",$E1665="نامعتبر"),"",IF(Sync!$T1662="","",Sync!$T1662))</f>
        <v/>
      </c>
      <c r="J1665">
        <f>IF(OR($E1665="",$E1665="نامعتبر"),"",IF(Sync!$U1662="","",Sync!$U1662))</f>
        <v/>
      </c>
      <c r="K1665">
        <f>IF(OR($E1665="",$E1665="نامعتبر"),"",IF(Sync!$V1662="","",IFERROR(INDEX(SubCodes,MATCH(Sync!$V1662,SubTitles,0)),Sync!$V1662)))</f>
        <v/>
      </c>
      <c r="L1665">
        <f>IF(OR($E1665="",$E1665="نامعتبر"),"",IF(Sync!$W1662="",0,Sync!$W1662))</f>
        <v/>
      </c>
      <c r="M1665">
        <f>IF(OR($E1665="",$E1665="نامعتبر"),"",IF(Sync!$X1662="",0,Sync!$X1662))</f>
        <v/>
      </c>
      <c r="N1665">
        <f>IF(OR($E1665="",$E1665="نامعتبر"),"",IF(AND($J1665="هزینه",$K1665&lt;&gt;""),1,0))</f>
        <v/>
      </c>
      <c r="O1665">
        <f>IF($N1665=0,"",LEFT($E1665,4)&amp;MID($E1665,6,2)&amp;RIGHT($E1665,2)&amp;$F1665&amp;"|"&amp;"1"&amp;RIGHT("00000"&amp;1657,5))</f>
        <v/>
      </c>
      <c r="P1665">
        <f>IF($O1665="","",COUNTIFS(ExpSub,$K1665,ExpKey,"&lt;"&amp;$O1665)+1)</f>
        <v/>
      </c>
      <c r="Q1665">
        <f>IF($P1665="","",$K1665&amp;"|"&amp;RIGHT("000000"&amp;$P1665,6))</f>
        <v/>
      </c>
    </row>
    <row r="1666">
      <c r="A1666">
        <f>IF(Sync!$P1663="","",Sync!$P1663)</f>
        <v/>
      </c>
      <c r="B1666">
        <f>IF($A1666="","",IF(ISNUMBER($A1666),IF(AND($A1666&gt;=10000101,$A1666&lt;=99991231),INT($A1666/10000),""),IFERROR(VALUE(TRIM(LEFT($A1666,FIND("/",$A1666)-1))),"")))</f>
        <v/>
      </c>
      <c r="C1666">
        <f>IF(OR($A1666="",$B1666=""),"",IF(ISNUMBER($A1666),INT(MOD($A1666,10000)/100),IFERROR(VALUE(TRIM(LEFT(MID($A1666,FIND("/",$A1666)+1,20),FIND("/",MID($A1666,FIND("/",$A1666)+1,20))-1))),"")))</f>
        <v/>
      </c>
      <c r="D1666">
        <f>IF(OR($A1666="",$B1666=""),"",IF(ISNUMBER($A1666),MOD($A1666,100),IFERROR(VALUE(TRIM(MID(MID($A1666,FIND("/",$A1666)+1,20),FIND("/",MID($A1666,FIND("/",$A1666)+1,20))+1,20))),"")))</f>
        <v/>
      </c>
      <c r="E1666">
        <f>IF($A1666="","",IF(OR($B1666="",$C1666="",$D1666="",$B1666&lt;1300,$B1666&gt;1500,$C1666&lt;1,$C1666&gt;12,$D1666&lt;1,$D1666&gt;31),"نامعتبر",RIGHT("0000"&amp;$B1666,4)&amp;"/"&amp;RIGHT("00"&amp;$C1666,2)&amp;"/"&amp;RIGHT("00"&amp;$D1666,2)))</f>
        <v/>
      </c>
      <c r="F1666">
        <f>IF(OR($E1666="",$E1666="نامعتبر"),"",IF(Sync!$Q1663="","0000",IF(AND(ISNUMBER(Sync!$Q1663),Sync!$Q1663&gt;=0,Sync!$Q1663&lt;1),RIGHT("00"&amp;HOUR(Sync!$Q1663),2)&amp;RIGHT("00"&amp;MINUTE(Sync!$Q1663),2),IFERROR(RIGHT("00"&amp;VALUE(LEFT(Sync!$Q1663,FIND(":",Sync!$Q1663)-1)),2)&amp;RIGHT("00"&amp;VALUE(MID(Sync!$Q1663,FIND(":",Sync!$Q1663)+1,2)),2),"0000"))))</f>
        <v/>
      </c>
      <c r="G1666">
        <f>IF(OR($E1666="",$E1666="نامعتبر"),"",IF(Sync!$S1663="","",Sync!$S1663))</f>
        <v/>
      </c>
      <c r="H1666">
        <f>IF(OR($E1666="",$E1666="نامعتبر"),"",IF(Sync!$R1663="","",Sync!$R1663))</f>
        <v/>
      </c>
      <c r="I1666">
        <f>IF(OR($E1666="",$E1666="نامعتبر"),"",IF(Sync!$T1663="","",Sync!$T1663))</f>
        <v/>
      </c>
      <c r="J1666">
        <f>IF(OR($E1666="",$E1666="نامعتبر"),"",IF(Sync!$U1663="","",Sync!$U1663))</f>
        <v/>
      </c>
      <c r="K1666">
        <f>IF(OR($E1666="",$E1666="نامعتبر"),"",IF(Sync!$V1663="","",IFERROR(INDEX(SubCodes,MATCH(Sync!$V1663,SubTitles,0)),Sync!$V1663)))</f>
        <v/>
      </c>
      <c r="L1666">
        <f>IF(OR($E1666="",$E1666="نامعتبر"),"",IF(Sync!$W1663="",0,Sync!$W1663))</f>
        <v/>
      </c>
      <c r="M1666">
        <f>IF(OR($E1666="",$E1666="نامعتبر"),"",IF(Sync!$X1663="",0,Sync!$X1663))</f>
        <v/>
      </c>
      <c r="N1666">
        <f>IF(OR($E1666="",$E1666="نامعتبر"),"",IF(AND($J1666="هزینه",$K1666&lt;&gt;""),1,0))</f>
        <v/>
      </c>
      <c r="O1666">
        <f>IF($N1666=0,"",LEFT($E1666,4)&amp;MID($E1666,6,2)&amp;RIGHT($E1666,2)&amp;$F1666&amp;"|"&amp;"1"&amp;RIGHT("00000"&amp;1658,5))</f>
        <v/>
      </c>
      <c r="P1666">
        <f>IF($O1666="","",COUNTIFS(ExpSub,$K1666,ExpKey,"&lt;"&amp;$O1666)+1)</f>
        <v/>
      </c>
      <c r="Q1666">
        <f>IF($P1666="","",$K1666&amp;"|"&amp;RIGHT("000000"&amp;$P1666,6))</f>
        <v/>
      </c>
    </row>
    <row r="1667">
      <c r="A1667">
        <f>IF(Sync!$P1664="","",Sync!$P1664)</f>
        <v/>
      </c>
      <c r="B1667">
        <f>IF($A1667="","",IF(ISNUMBER($A1667),IF(AND($A1667&gt;=10000101,$A1667&lt;=99991231),INT($A1667/10000),""),IFERROR(VALUE(TRIM(LEFT($A1667,FIND("/",$A1667)-1))),"")))</f>
        <v/>
      </c>
      <c r="C1667">
        <f>IF(OR($A1667="",$B1667=""),"",IF(ISNUMBER($A1667),INT(MOD($A1667,10000)/100),IFERROR(VALUE(TRIM(LEFT(MID($A1667,FIND("/",$A1667)+1,20),FIND("/",MID($A1667,FIND("/",$A1667)+1,20))-1))),"")))</f>
        <v/>
      </c>
      <c r="D1667">
        <f>IF(OR($A1667="",$B1667=""),"",IF(ISNUMBER($A1667),MOD($A1667,100),IFERROR(VALUE(TRIM(MID(MID($A1667,FIND("/",$A1667)+1,20),FIND("/",MID($A1667,FIND("/",$A1667)+1,20))+1,20))),"")))</f>
        <v/>
      </c>
      <c r="E1667">
        <f>IF($A1667="","",IF(OR($B1667="",$C1667="",$D1667="",$B1667&lt;1300,$B1667&gt;1500,$C1667&lt;1,$C1667&gt;12,$D1667&lt;1,$D1667&gt;31),"نامعتبر",RIGHT("0000"&amp;$B1667,4)&amp;"/"&amp;RIGHT("00"&amp;$C1667,2)&amp;"/"&amp;RIGHT("00"&amp;$D1667,2)))</f>
        <v/>
      </c>
      <c r="F1667">
        <f>IF(OR($E1667="",$E1667="نامعتبر"),"",IF(Sync!$Q1664="","0000",IF(AND(ISNUMBER(Sync!$Q1664),Sync!$Q1664&gt;=0,Sync!$Q1664&lt;1),RIGHT("00"&amp;HOUR(Sync!$Q1664),2)&amp;RIGHT("00"&amp;MINUTE(Sync!$Q1664),2),IFERROR(RIGHT("00"&amp;VALUE(LEFT(Sync!$Q1664,FIND(":",Sync!$Q1664)-1)),2)&amp;RIGHT("00"&amp;VALUE(MID(Sync!$Q1664,FIND(":",Sync!$Q1664)+1,2)),2),"0000"))))</f>
        <v/>
      </c>
      <c r="G1667">
        <f>IF(OR($E1667="",$E1667="نامعتبر"),"",IF(Sync!$S1664="","",Sync!$S1664))</f>
        <v/>
      </c>
      <c r="H1667">
        <f>IF(OR($E1667="",$E1667="نامعتبر"),"",IF(Sync!$R1664="","",Sync!$R1664))</f>
        <v/>
      </c>
      <c r="I1667">
        <f>IF(OR($E1667="",$E1667="نامعتبر"),"",IF(Sync!$T1664="","",Sync!$T1664))</f>
        <v/>
      </c>
      <c r="J1667">
        <f>IF(OR($E1667="",$E1667="نامعتبر"),"",IF(Sync!$U1664="","",Sync!$U1664))</f>
        <v/>
      </c>
      <c r="K1667">
        <f>IF(OR($E1667="",$E1667="نامعتبر"),"",IF(Sync!$V1664="","",IFERROR(INDEX(SubCodes,MATCH(Sync!$V1664,SubTitles,0)),Sync!$V1664)))</f>
        <v/>
      </c>
      <c r="L1667">
        <f>IF(OR($E1667="",$E1667="نامعتبر"),"",IF(Sync!$W1664="",0,Sync!$W1664))</f>
        <v/>
      </c>
      <c r="M1667">
        <f>IF(OR($E1667="",$E1667="نامعتبر"),"",IF(Sync!$X1664="",0,Sync!$X1664))</f>
        <v/>
      </c>
      <c r="N1667">
        <f>IF(OR($E1667="",$E1667="نامعتبر"),"",IF(AND($J1667="هزینه",$K1667&lt;&gt;""),1,0))</f>
        <v/>
      </c>
      <c r="O1667">
        <f>IF($N1667=0,"",LEFT($E1667,4)&amp;MID($E1667,6,2)&amp;RIGHT($E1667,2)&amp;$F1667&amp;"|"&amp;"1"&amp;RIGHT("00000"&amp;1659,5))</f>
        <v/>
      </c>
      <c r="P1667">
        <f>IF($O1667="","",COUNTIFS(ExpSub,$K1667,ExpKey,"&lt;"&amp;$O1667)+1)</f>
        <v/>
      </c>
      <c r="Q1667">
        <f>IF($P1667="","",$K1667&amp;"|"&amp;RIGHT("000000"&amp;$P1667,6))</f>
        <v/>
      </c>
    </row>
    <row r="1668">
      <c r="A1668">
        <f>IF(Sync!$P1665="","",Sync!$P1665)</f>
        <v/>
      </c>
      <c r="B1668">
        <f>IF($A1668="","",IF(ISNUMBER($A1668),IF(AND($A1668&gt;=10000101,$A1668&lt;=99991231),INT($A1668/10000),""),IFERROR(VALUE(TRIM(LEFT($A1668,FIND("/",$A1668)-1))),"")))</f>
        <v/>
      </c>
      <c r="C1668">
        <f>IF(OR($A1668="",$B1668=""),"",IF(ISNUMBER($A1668),INT(MOD($A1668,10000)/100),IFERROR(VALUE(TRIM(LEFT(MID($A1668,FIND("/",$A1668)+1,20),FIND("/",MID($A1668,FIND("/",$A1668)+1,20))-1))),"")))</f>
        <v/>
      </c>
      <c r="D1668">
        <f>IF(OR($A1668="",$B1668=""),"",IF(ISNUMBER($A1668),MOD($A1668,100),IFERROR(VALUE(TRIM(MID(MID($A1668,FIND("/",$A1668)+1,20),FIND("/",MID($A1668,FIND("/",$A1668)+1,20))+1,20))),"")))</f>
        <v/>
      </c>
      <c r="E1668">
        <f>IF($A1668="","",IF(OR($B1668="",$C1668="",$D1668="",$B1668&lt;1300,$B1668&gt;1500,$C1668&lt;1,$C1668&gt;12,$D1668&lt;1,$D1668&gt;31),"نامعتبر",RIGHT("0000"&amp;$B1668,4)&amp;"/"&amp;RIGHT("00"&amp;$C1668,2)&amp;"/"&amp;RIGHT("00"&amp;$D1668,2)))</f>
        <v/>
      </c>
      <c r="F1668">
        <f>IF(OR($E1668="",$E1668="نامعتبر"),"",IF(Sync!$Q1665="","0000",IF(AND(ISNUMBER(Sync!$Q1665),Sync!$Q1665&gt;=0,Sync!$Q1665&lt;1),RIGHT("00"&amp;HOUR(Sync!$Q1665),2)&amp;RIGHT("00"&amp;MINUTE(Sync!$Q1665),2),IFERROR(RIGHT("00"&amp;VALUE(LEFT(Sync!$Q1665,FIND(":",Sync!$Q1665)-1)),2)&amp;RIGHT("00"&amp;VALUE(MID(Sync!$Q1665,FIND(":",Sync!$Q1665)+1,2)),2),"0000"))))</f>
        <v/>
      </c>
      <c r="G1668">
        <f>IF(OR($E1668="",$E1668="نامعتبر"),"",IF(Sync!$S1665="","",Sync!$S1665))</f>
        <v/>
      </c>
      <c r="H1668">
        <f>IF(OR($E1668="",$E1668="نامعتبر"),"",IF(Sync!$R1665="","",Sync!$R1665))</f>
        <v/>
      </c>
      <c r="I1668">
        <f>IF(OR($E1668="",$E1668="نامعتبر"),"",IF(Sync!$T1665="","",Sync!$T1665))</f>
        <v/>
      </c>
      <c r="J1668">
        <f>IF(OR($E1668="",$E1668="نامعتبر"),"",IF(Sync!$U1665="","",Sync!$U1665))</f>
        <v/>
      </c>
      <c r="K1668">
        <f>IF(OR($E1668="",$E1668="نامعتبر"),"",IF(Sync!$V1665="","",IFERROR(INDEX(SubCodes,MATCH(Sync!$V1665,SubTitles,0)),Sync!$V1665)))</f>
        <v/>
      </c>
      <c r="L1668">
        <f>IF(OR($E1668="",$E1668="نامعتبر"),"",IF(Sync!$W1665="",0,Sync!$W1665))</f>
        <v/>
      </c>
      <c r="M1668">
        <f>IF(OR($E1668="",$E1668="نامعتبر"),"",IF(Sync!$X1665="",0,Sync!$X1665))</f>
        <v/>
      </c>
      <c r="N1668">
        <f>IF(OR($E1668="",$E1668="نامعتبر"),"",IF(AND($J1668="هزینه",$K1668&lt;&gt;""),1,0))</f>
        <v/>
      </c>
      <c r="O1668">
        <f>IF($N1668=0,"",LEFT($E1668,4)&amp;MID($E1668,6,2)&amp;RIGHT($E1668,2)&amp;$F1668&amp;"|"&amp;"1"&amp;RIGHT("00000"&amp;1660,5))</f>
        <v/>
      </c>
      <c r="P1668">
        <f>IF($O1668="","",COUNTIFS(ExpSub,$K1668,ExpKey,"&lt;"&amp;$O1668)+1)</f>
        <v/>
      </c>
      <c r="Q1668">
        <f>IF($P1668="","",$K1668&amp;"|"&amp;RIGHT("000000"&amp;$P1668,6))</f>
        <v/>
      </c>
    </row>
    <row r="1669">
      <c r="A1669">
        <f>IF(Sync!$P1666="","",Sync!$P1666)</f>
        <v/>
      </c>
      <c r="B1669">
        <f>IF($A1669="","",IF(ISNUMBER($A1669),IF(AND($A1669&gt;=10000101,$A1669&lt;=99991231),INT($A1669/10000),""),IFERROR(VALUE(TRIM(LEFT($A1669,FIND("/",$A1669)-1))),"")))</f>
        <v/>
      </c>
      <c r="C1669">
        <f>IF(OR($A1669="",$B1669=""),"",IF(ISNUMBER($A1669),INT(MOD($A1669,10000)/100),IFERROR(VALUE(TRIM(LEFT(MID($A1669,FIND("/",$A1669)+1,20),FIND("/",MID($A1669,FIND("/",$A1669)+1,20))-1))),"")))</f>
        <v/>
      </c>
      <c r="D1669">
        <f>IF(OR($A1669="",$B1669=""),"",IF(ISNUMBER($A1669),MOD($A1669,100),IFERROR(VALUE(TRIM(MID(MID($A1669,FIND("/",$A1669)+1,20),FIND("/",MID($A1669,FIND("/",$A1669)+1,20))+1,20))),"")))</f>
        <v/>
      </c>
      <c r="E1669">
        <f>IF($A1669="","",IF(OR($B1669="",$C1669="",$D1669="",$B1669&lt;1300,$B1669&gt;1500,$C1669&lt;1,$C1669&gt;12,$D1669&lt;1,$D1669&gt;31),"نامعتبر",RIGHT("0000"&amp;$B1669,4)&amp;"/"&amp;RIGHT("00"&amp;$C1669,2)&amp;"/"&amp;RIGHT("00"&amp;$D1669,2)))</f>
        <v/>
      </c>
      <c r="F1669">
        <f>IF(OR($E1669="",$E1669="نامعتبر"),"",IF(Sync!$Q1666="","0000",IF(AND(ISNUMBER(Sync!$Q1666),Sync!$Q1666&gt;=0,Sync!$Q1666&lt;1),RIGHT("00"&amp;HOUR(Sync!$Q1666),2)&amp;RIGHT("00"&amp;MINUTE(Sync!$Q1666),2),IFERROR(RIGHT("00"&amp;VALUE(LEFT(Sync!$Q1666,FIND(":",Sync!$Q1666)-1)),2)&amp;RIGHT("00"&amp;VALUE(MID(Sync!$Q1666,FIND(":",Sync!$Q1666)+1,2)),2),"0000"))))</f>
        <v/>
      </c>
      <c r="G1669">
        <f>IF(OR($E1669="",$E1669="نامعتبر"),"",IF(Sync!$S1666="","",Sync!$S1666))</f>
        <v/>
      </c>
      <c r="H1669">
        <f>IF(OR($E1669="",$E1669="نامعتبر"),"",IF(Sync!$R1666="","",Sync!$R1666))</f>
        <v/>
      </c>
      <c r="I1669">
        <f>IF(OR($E1669="",$E1669="نامعتبر"),"",IF(Sync!$T1666="","",Sync!$T1666))</f>
        <v/>
      </c>
      <c r="J1669">
        <f>IF(OR($E1669="",$E1669="نامعتبر"),"",IF(Sync!$U1666="","",Sync!$U1666))</f>
        <v/>
      </c>
      <c r="K1669">
        <f>IF(OR($E1669="",$E1669="نامعتبر"),"",IF(Sync!$V1666="","",IFERROR(INDEX(SubCodes,MATCH(Sync!$V1666,SubTitles,0)),Sync!$V1666)))</f>
        <v/>
      </c>
      <c r="L1669">
        <f>IF(OR($E1669="",$E1669="نامعتبر"),"",IF(Sync!$W1666="",0,Sync!$W1666))</f>
        <v/>
      </c>
      <c r="M1669">
        <f>IF(OR($E1669="",$E1669="نامعتبر"),"",IF(Sync!$X1666="",0,Sync!$X1666))</f>
        <v/>
      </c>
      <c r="N1669">
        <f>IF(OR($E1669="",$E1669="نامعتبر"),"",IF(AND($J1669="هزینه",$K1669&lt;&gt;""),1,0))</f>
        <v/>
      </c>
      <c r="O1669">
        <f>IF($N1669=0,"",LEFT($E1669,4)&amp;MID($E1669,6,2)&amp;RIGHT($E1669,2)&amp;$F1669&amp;"|"&amp;"1"&amp;RIGHT("00000"&amp;1661,5))</f>
        <v/>
      </c>
      <c r="P1669">
        <f>IF($O1669="","",COUNTIFS(ExpSub,$K1669,ExpKey,"&lt;"&amp;$O1669)+1)</f>
        <v/>
      </c>
      <c r="Q1669">
        <f>IF($P1669="","",$K1669&amp;"|"&amp;RIGHT("000000"&amp;$P1669,6))</f>
        <v/>
      </c>
    </row>
    <row r="1670">
      <c r="A1670">
        <f>IF(Sync!$P1667="","",Sync!$P1667)</f>
        <v/>
      </c>
      <c r="B1670">
        <f>IF($A1670="","",IF(ISNUMBER($A1670),IF(AND($A1670&gt;=10000101,$A1670&lt;=99991231),INT($A1670/10000),""),IFERROR(VALUE(TRIM(LEFT($A1670,FIND("/",$A1670)-1))),"")))</f>
        <v/>
      </c>
      <c r="C1670">
        <f>IF(OR($A1670="",$B1670=""),"",IF(ISNUMBER($A1670),INT(MOD($A1670,10000)/100),IFERROR(VALUE(TRIM(LEFT(MID($A1670,FIND("/",$A1670)+1,20),FIND("/",MID($A1670,FIND("/",$A1670)+1,20))-1))),"")))</f>
        <v/>
      </c>
      <c r="D1670">
        <f>IF(OR($A1670="",$B1670=""),"",IF(ISNUMBER($A1670),MOD($A1670,100),IFERROR(VALUE(TRIM(MID(MID($A1670,FIND("/",$A1670)+1,20),FIND("/",MID($A1670,FIND("/",$A1670)+1,20))+1,20))),"")))</f>
        <v/>
      </c>
      <c r="E1670">
        <f>IF($A1670="","",IF(OR($B1670="",$C1670="",$D1670="",$B1670&lt;1300,$B1670&gt;1500,$C1670&lt;1,$C1670&gt;12,$D1670&lt;1,$D1670&gt;31),"نامعتبر",RIGHT("0000"&amp;$B1670,4)&amp;"/"&amp;RIGHT("00"&amp;$C1670,2)&amp;"/"&amp;RIGHT("00"&amp;$D1670,2)))</f>
        <v/>
      </c>
      <c r="F1670">
        <f>IF(OR($E1670="",$E1670="نامعتبر"),"",IF(Sync!$Q1667="","0000",IF(AND(ISNUMBER(Sync!$Q1667),Sync!$Q1667&gt;=0,Sync!$Q1667&lt;1),RIGHT("00"&amp;HOUR(Sync!$Q1667),2)&amp;RIGHT("00"&amp;MINUTE(Sync!$Q1667),2),IFERROR(RIGHT("00"&amp;VALUE(LEFT(Sync!$Q1667,FIND(":",Sync!$Q1667)-1)),2)&amp;RIGHT("00"&amp;VALUE(MID(Sync!$Q1667,FIND(":",Sync!$Q1667)+1,2)),2),"0000"))))</f>
        <v/>
      </c>
      <c r="G1670">
        <f>IF(OR($E1670="",$E1670="نامعتبر"),"",IF(Sync!$S1667="","",Sync!$S1667))</f>
        <v/>
      </c>
      <c r="H1670">
        <f>IF(OR($E1670="",$E1670="نامعتبر"),"",IF(Sync!$R1667="","",Sync!$R1667))</f>
        <v/>
      </c>
      <c r="I1670">
        <f>IF(OR($E1670="",$E1670="نامعتبر"),"",IF(Sync!$T1667="","",Sync!$T1667))</f>
        <v/>
      </c>
      <c r="J1670">
        <f>IF(OR($E1670="",$E1670="نامعتبر"),"",IF(Sync!$U1667="","",Sync!$U1667))</f>
        <v/>
      </c>
      <c r="K1670">
        <f>IF(OR($E1670="",$E1670="نامعتبر"),"",IF(Sync!$V1667="","",IFERROR(INDEX(SubCodes,MATCH(Sync!$V1667,SubTitles,0)),Sync!$V1667)))</f>
        <v/>
      </c>
      <c r="L1670">
        <f>IF(OR($E1670="",$E1670="نامعتبر"),"",IF(Sync!$W1667="",0,Sync!$W1667))</f>
        <v/>
      </c>
      <c r="M1670">
        <f>IF(OR($E1670="",$E1670="نامعتبر"),"",IF(Sync!$X1667="",0,Sync!$X1667))</f>
        <v/>
      </c>
      <c r="N1670">
        <f>IF(OR($E1670="",$E1670="نامعتبر"),"",IF(AND($J1670="هزینه",$K1670&lt;&gt;""),1,0))</f>
        <v/>
      </c>
      <c r="O1670">
        <f>IF($N1670=0,"",LEFT($E1670,4)&amp;MID($E1670,6,2)&amp;RIGHT($E1670,2)&amp;$F1670&amp;"|"&amp;"1"&amp;RIGHT("00000"&amp;1662,5))</f>
        <v/>
      </c>
      <c r="P1670">
        <f>IF($O1670="","",COUNTIFS(ExpSub,$K1670,ExpKey,"&lt;"&amp;$O1670)+1)</f>
        <v/>
      </c>
      <c r="Q1670">
        <f>IF($P1670="","",$K1670&amp;"|"&amp;RIGHT("000000"&amp;$P1670,6))</f>
        <v/>
      </c>
    </row>
    <row r="1671">
      <c r="A1671">
        <f>IF(Sync!$P1668="","",Sync!$P1668)</f>
        <v/>
      </c>
      <c r="B1671">
        <f>IF($A1671="","",IF(ISNUMBER($A1671),IF(AND($A1671&gt;=10000101,$A1671&lt;=99991231),INT($A1671/10000),""),IFERROR(VALUE(TRIM(LEFT($A1671,FIND("/",$A1671)-1))),"")))</f>
        <v/>
      </c>
      <c r="C1671">
        <f>IF(OR($A1671="",$B1671=""),"",IF(ISNUMBER($A1671),INT(MOD($A1671,10000)/100),IFERROR(VALUE(TRIM(LEFT(MID($A1671,FIND("/",$A1671)+1,20),FIND("/",MID($A1671,FIND("/",$A1671)+1,20))-1))),"")))</f>
        <v/>
      </c>
      <c r="D1671">
        <f>IF(OR($A1671="",$B1671=""),"",IF(ISNUMBER($A1671),MOD($A1671,100),IFERROR(VALUE(TRIM(MID(MID($A1671,FIND("/",$A1671)+1,20),FIND("/",MID($A1671,FIND("/",$A1671)+1,20))+1,20))),"")))</f>
        <v/>
      </c>
      <c r="E1671">
        <f>IF($A1671="","",IF(OR($B1671="",$C1671="",$D1671="",$B1671&lt;1300,$B1671&gt;1500,$C1671&lt;1,$C1671&gt;12,$D1671&lt;1,$D1671&gt;31),"نامعتبر",RIGHT("0000"&amp;$B1671,4)&amp;"/"&amp;RIGHT("00"&amp;$C1671,2)&amp;"/"&amp;RIGHT("00"&amp;$D1671,2)))</f>
        <v/>
      </c>
      <c r="F1671">
        <f>IF(OR($E1671="",$E1671="نامعتبر"),"",IF(Sync!$Q1668="","0000",IF(AND(ISNUMBER(Sync!$Q1668),Sync!$Q1668&gt;=0,Sync!$Q1668&lt;1),RIGHT("00"&amp;HOUR(Sync!$Q1668),2)&amp;RIGHT("00"&amp;MINUTE(Sync!$Q1668),2),IFERROR(RIGHT("00"&amp;VALUE(LEFT(Sync!$Q1668,FIND(":",Sync!$Q1668)-1)),2)&amp;RIGHT("00"&amp;VALUE(MID(Sync!$Q1668,FIND(":",Sync!$Q1668)+1,2)),2),"0000"))))</f>
        <v/>
      </c>
      <c r="G1671">
        <f>IF(OR($E1671="",$E1671="نامعتبر"),"",IF(Sync!$S1668="","",Sync!$S1668))</f>
        <v/>
      </c>
      <c r="H1671">
        <f>IF(OR($E1671="",$E1671="نامعتبر"),"",IF(Sync!$R1668="","",Sync!$R1668))</f>
        <v/>
      </c>
      <c r="I1671">
        <f>IF(OR($E1671="",$E1671="نامعتبر"),"",IF(Sync!$T1668="","",Sync!$T1668))</f>
        <v/>
      </c>
      <c r="J1671">
        <f>IF(OR($E1671="",$E1671="نامعتبر"),"",IF(Sync!$U1668="","",Sync!$U1668))</f>
        <v/>
      </c>
      <c r="K1671">
        <f>IF(OR($E1671="",$E1671="نامعتبر"),"",IF(Sync!$V1668="","",IFERROR(INDEX(SubCodes,MATCH(Sync!$V1668,SubTitles,0)),Sync!$V1668)))</f>
        <v/>
      </c>
      <c r="L1671">
        <f>IF(OR($E1671="",$E1671="نامعتبر"),"",IF(Sync!$W1668="",0,Sync!$W1668))</f>
        <v/>
      </c>
      <c r="M1671">
        <f>IF(OR($E1671="",$E1671="نامعتبر"),"",IF(Sync!$X1668="",0,Sync!$X1668))</f>
        <v/>
      </c>
      <c r="N1671">
        <f>IF(OR($E1671="",$E1671="نامعتبر"),"",IF(AND($J1671="هزینه",$K1671&lt;&gt;""),1,0))</f>
        <v/>
      </c>
      <c r="O1671">
        <f>IF($N1671=0,"",LEFT($E1671,4)&amp;MID($E1671,6,2)&amp;RIGHT($E1671,2)&amp;$F1671&amp;"|"&amp;"1"&amp;RIGHT("00000"&amp;1663,5))</f>
        <v/>
      </c>
      <c r="P1671">
        <f>IF($O1671="","",COUNTIFS(ExpSub,$K1671,ExpKey,"&lt;"&amp;$O1671)+1)</f>
        <v/>
      </c>
      <c r="Q1671">
        <f>IF($P1671="","",$K1671&amp;"|"&amp;RIGHT("000000"&amp;$P1671,6))</f>
        <v/>
      </c>
    </row>
    <row r="1672">
      <c r="A1672">
        <f>IF(Sync!$P1669="","",Sync!$P1669)</f>
        <v/>
      </c>
      <c r="B1672">
        <f>IF($A1672="","",IF(ISNUMBER($A1672),IF(AND($A1672&gt;=10000101,$A1672&lt;=99991231),INT($A1672/10000),""),IFERROR(VALUE(TRIM(LEFT($A1672,FIND("/",$A1672)-1))),"")))</f>
        <v/>
      </c>
      <c r="C1672">
        <f>IF(OR($A1672="",$B1672=""),"",IF(ISNUMBER($A1672),INT(MOD($A1672,10000)/100),IFERROR(VALUE(TRIM(LEFT(MID($A1672,FIND("/",$A1672)+1,20),FIND("/",MID($A1672,FIND("/",$A1672)+1,20))-1))),"")))</f>
        <v/>
      </c>
      <c r="D1672">
        <f>IF(OR($A1672="",$B1672=""),"",IF(ISNUMBER($A1672),MOD($A1672,100),IFERROR(VALUE(TRIM(MID(MID($A1672,FIND("/",$A1672)+1,20),FIND("/",MID($A1672,FIND("/",$A1672)+1,20))+1,20))),"")))</f>
        <v/>
      </c>
      <c r="E1672">
        <f>IF($A1672="","",IF(OR($B1672="",$C1672="",$D1672="",$B1672&lt;1300,$B1672&gt;1500,$C1672&lt;1,$C1672&gt;12,$D1672&lt;1,$D1672&gt;31),"نامعتبر",RIGHT("0000"&amp;$B1672,4)&amp;"/"&amp;RIGHT("00"&amp;$C1672,2)&amp;"/"&amp;RIGHT("00"&amp;$D1672,2)))</f>
        <v/>
      </c>
      <c r="F1672">
        <f>IF(OR($E1672="",$E1672="نامعتبر"),"",IF(Sync!$Q1669="","0000",IF(AND(ISNUMBER(Sync!$Q1669),Sync!$Q1669&gt;=0,Sync!$Q1669&lt;1),RIGHT("00"&amp;HOUR(Sync!$Q1669),2)&amp;RIGHT("00"&amp;MINUTE(Sync!$Q1669),2),IFERROR(RIGHT("00"&amp;VALUE(LEFT(Sync!$Q1669,FIND(":",Sync!$Q1669)-1)),2)&amp;RIGHT("00"&amp;VALUE(MID(Sync!$Q1669,FIND(":",Sync!$Q1669)+1,2)),2),"0000"))))</f>
        <v/>
      </c>
      <c r="G1672">
        <f>IF(OR($E1672="",$E1672="نامعتبر"),"",IF(Sync!$S1669="","",Sync!$S1669))</f>
        <v/>
      </c>
      <c r="H1672">
        <f>IF(OR($E1672="",$E1672="نامعتبر"),"",IF(Sync!$R1669="","",Sync!$R1669))</f>
        <v/>
      </c>
      <c r="I1672">
        <f>IF(OR($E1672="",$E1672="نامعتبر"),"",IF(Sync!$T1669="","",Sync!$T1669))</f>
        <v/>
      </c>
      <c r="J1672">
        <f>IF(OR($E1672="",$E1672="نامعتبر"),"",IF(Sync!$U1669="","",Sync!$U1669))</f>
        <v/>
      </c>
      <c r="K1672">
        <f>IF(OR($E1672="",$E1672="نامعتبر"),"",IF(Sync!$V1669="","",IFERROR(INDEX(SubCodes,MATCH(Sync!$V1669,SubTitles,0)),Sync!$V1669)))</f>
        <v/>
      </c>
      <c r="L1672">
        <f>IF(OR($E1672="",$E1672="نامعتبر"),"",IF(Sync!$W1669="",0,Sync!$W1669))</f>
        <v/>
      </c>
      <c r="M1672">
        <f>IF(OR($E1672="",$E1672="نامعتبر"),"",IF(Sync!$X1669="",0,Sync!$X1669))</f>
        <v/>
      </c>
      <c r="N1672">
        <f>IF(OR($E1672="",$E1672="نامعتبر"),"",IF(AND($J1672="هزینه",$K1672&lt;&gt;""),1,0))</f>
        <v/>
      </c>
      <c r="O1672">
        <f>IF($N1672=0,"",LEFT($E1672,4)&amp;MID($E1672,6,2)&amp;RIGHT($E1672,2)&amp;$F1672&amp;"|"&amp;"1"&amp;RIGHT("00000"&amp;1664,5))</f>
        <v/>
      </c>
      <c r="P1672">
        <f>IF($O1672="","",COUNTIFS(ExpSub,$K1672,ExpKey,"&lt;"&amp;$O1672)+1)</f>
        <v/>
      </c>
      <c r="Q1672">
        <f>IF($P1672="","",$K1672&amp;"|"&amp;RIGHT("000000"&amp;$P1672,6))</f>
        <v/>
      </c>
    </row>
    <row r="1673">
      <c r="A1673">
        <f>IF(Sync!$P1670="","",Sync!$P1670)</f>
        <v/>
      </c>
      <c r="B1673">
        <f>IF($A1673="","",IF(ISNUMBER($A1673),IF(AND($A1673&gt;=10000101,$A1673&lt;=99991231),INT($A1673/10000),""),IFERROR(VALUE(TRIM(LEFT($A1673,FIND("/",$A1673)-1))),"")))</f>
        <v/>
      </c>
      <c r="C1673">
        <f>IF(OR($A1673="",$B1673=""),"",IF(ISNUMBER($A1673),INT(MOD($A1673,10000)/100),IFERROR(VALUE(TRIM(LEFT(MID($A1673,FIND("/",$A1673)+1,20),FIND("/",MID($A1673,FIND("/",$A1673)+1,20))-1))),"")))</f>
        <v/>
      </c>
      <c r="D1673">
        <f>IF(OR($A1673="",$B1673=""),"",IF(ISNUMBER($A1673),MOD($A1673,100),IFERROR(VALUE(TRIM(MID(MID($A1673,FIND("/",$A1673)+1,20),FIND("/",MID($A1673,FIND("/",$A1673)+1,20))+1,20))),"")))</f>
        <v/>
      </c>
      <c r="E1673">
        <f>IF($A1673="","",IF(OR($B1673="",$C1673="",$D1673="",$B1673&lt;1300,$B1673&gt;1500,$C1673&lt;1,$C1673&gt;12,$D1673&lt;1,$D1673&gt;31),"نامعتبر",RIGHT("0000"&amp;$B1673,4)&amp;"/"&amp;RIGHT("00"&amp;$C1673,2)&amp;"/"&amp;RIGHT("00"&amp;$D1673,2)))</f>
        <v/>
      </c>
      <c r="F1673">
        <f>IF(OR($E1673="",$E1673="نامعتبر"),"",IF(Sync!$Q1670="","0000",IF(AND(ISNUMBER(Sync!$Q1670),Sync!$Q1670&gt;=0,Sync!$Q1670&lt;1),RIGHT("00"&amp;HOUR(Sync!$Q1670),2)&amp;RIGHT("00"&amp;MINUTE(Sync!$Q1670),2),IFERROR(RIGHT("00"&amp;VALUE(LEFT(Sync!$Q1670,FIND(":",Sync!$Q1670)-1)),2)&amp;RIGHT("00"&amp;VALUE(MID(Sync!$Q1670,FIND(":",Sync!$Q1670)+1,2)),2),"0000"))))</f>
        <v/>
      </c>
      <c r="G1673">
        <f>IF(OR($E1673="",$E1673="نامعتبر"),"",IF(Sync!$S1670="","",Sync!$S1670))</f>
        <v/>
      </c>
      <c r="H1673">
        <f>IF(OR($E1673="",$E1673="نامعتبر"),"",IF(Sync!$R1670="","",Sync!$R1670))</f>
        <v/>
      </c>
      <c r="I1673">
        <f>IF(OR($E1673="",$E1673="نامعتبر"),"",IF(Sync!$T1670="","",Sync!$T1670))</f>
        <v/>
      </c>
      <c r="J1673">
        <f>IF(OR($E1673="",$E1673="نامعتبر"),"",IF(Sync!$U1670="","",Sync!$U1670))</f>
        <v/>
      </c>
      <c r="K1673">
        <f>IF(OR($E1673="",$E1673="نامعتبر"),"",IF(Sync!$V1670="","",IFERROR(INDEX(SubCodes,MATCH(Sync!$V1670,SubTitles,0)),Sync!$V1670)))</f>
        <v/>
      </c>
      <c r="L1673">
        <f>IF(OR($E1673="",$E1673="نامعتبر"),"",IF(Sync!$W1670="",0,Sync!$W1670))</f>
        <v/>
      </c>
      <c r="M1673">
        <f>IF(OR($E1673="",$E1673="نامعتبر"),"",IF(Sync!$X1670="",0,Sync!$X1670))</f>
        <v/>
      </c>
      <c r="N1673">
        <f>IF(OR($E1673="",$E1673="نامعتبر"),"",IF(AND($J1673="هزینه",$K1673&lt;&gt;""),1,0))</f>
        <v/>
      </c>
      <c r="O1673">
        <f>IF($N1673=0,"",LEFT($E1673,4)&amp;MID($E1673,6,2)&amp;RIGHT($E1673,2)&amp;$F1673&amp;"|"&amp;"1"&amp;RIGHT("00000"&amp;1665,5))</f>
        <v/>
      </c>
      <c r="P1673">
        <f>IF($O1673="","",COUNTIFS(ExpSub,$K1673,ExpKey,"&lt;"&amp;$O1673)+1)</f>
        <v/>
      </c>
      <c r="Q1673">
        <f>IF($P1673="","",$K1673&amp;"|"&amp;RIGHT("000000"&amp;$P1673,6))</f>
        <v/>
      </c>
    </row>
    <row r="1674">
      <c r="A1674">
        <f>IF(Sync!$P1671="","",Sync!$P1671)</f>
        <v/>
      </c>
      <c r="B1674">
        <f>IF($A1674="","",IF(ISNUMBER($A1674),IF(AND($A1674&gt;=10000101,$A1674&lt;=99991231),INT($A1674/10000),""),IFERROR(VALUE(TRIM(LEFT($A1674,FIND("/",$A1674)-1))),"")))</f>
        <v/>
      </c>
      <c r="C1674">
        <f>IF(OR($A1674="",$B1674=""),"",IF(ISNUMBER($A1674),INT(MOD($A1674,10000)/100),IFERROR(VALUE(TRIM(LEFT(MID($A1674,FIND("/",$A1674)+1,20),FIND("/",MID($A1674,FIND("/",$A1674)+1,20))-1))),"")))</f>
        <v/>
      </c>
      <c r="D1674">
        <f>IF(OR($A1674="",$B1674=""),"",IF(ISNUMBER($A1674),MOD($A1674,100),IFERROR(VALUE(TRIM(MID(MID($A1674,FIND("/",$A1674)+1,20),FIND("/",MID($A1674,FIND("/",$A1674)+1,20))+1,20))),"")))</f>
        <v/>
      </c>
      <c r="E1674">
        <f>IF($A1674="","",IF(OR($B1674="",$C1674="",$D1674="",$B1674&lt;1300,$B1674&gt;1500,$C1674&lt;1,$C1674&gt;12,$D1674&lt;1,$D1674&gt;31),"نامعتبر",RIGHT("0000"&amp;$B1674,4)&amp;"/"&amp;RIGHT("00"&amp;$C1674,2)&amp;"/"&amp;RIGHT("00"&amp;$D1674,2)))</f>
        <v/>
      </c>
      <c r="F1674">
        <f>IF(OR($E1674="",$E1674="نامعتبر"),"",IF(Sync!$Q1671="","0000",IF(AND(ISNUMBER(Sync!$Q1671),Sync!$Q1671&gt;=0,Sync!$Q1671&lt;1),RIGHT("00"&amp;HOUR(Sync!$Q1671),2)&amp;RIGHT("00"&amp;MINUTE(Sync!$Q1671),2),IFERROR(RIGHT("00"&amp;VALUE(LEFT(Sync!$Q1671,FIND(":",Sync!$Q1671)-1)),2)&amp;RIGHT("00"&amp;VALUE(MID(Sync!$Q1671,FIND(":",Sync!$Q1671)+1,2)),2),"0000"))))</f>
        <v/>
      </c>
      <c r="G1674">
        <f>IF(OR($E1674="",$E1674="نامعتبر"),"",IF(Sync!$S1671="","",Sync!$S1671))</f>
        <v/>
      </c>
      <c r="H1674">
        <f>IF(OR($E1674="",$E1674="نامعتبر"),"",IF(Sync!$R1671="","",Sync!$R1671))</f>
        <v/>
      </c>
      <c r="I1674">
        <f>IF(OR($E1674="",$E1674="نامعتبر"),"",IF(Sync!$T1671="","",Sync!$T1671))</f>
        <v/>
      </c>
      <c r="J1674">
        <f>IF(OR($E1674="",$E1674="نامعتبر"),"",IF(Sync!$U1671="","",Sync!$U1671))</f>
        <v/>
      </c>
      <c r="K1674">
        <f>IF(OR($E1674="",$E1674="نامعتبر"),"",IF(Sync!$V1671="","",IFERROR(INDEX(SubCodes,MATCH(Sync!$V1671,SubTitles,0)),Sync!$V1671)))</f>
        <v/>
      </c>
      <c r="L1674">
        <f>IF(OR($E1674="",$E1674="نامعتبر"),"",IF(Sync!$W1671="",0,Sync!$W1671))</f>
        <v/>
      </c>
      <c r="M1674">
        <f>IF(OR($E1674="",$E1674="نامعتبر"),"",IF(Sync!$X1671="",0,Sync!$X1671))</f>
        <v/>
      </c>
      <c r="N1674">
        <f>IF(OR($E1674="",$E1674="نامعتبر"),"",IF(AND($J1674="هزینه",$K1674&lt;&gt;""),1,0))</f>
        <v/>
      </c>
      <c r="O1674">
        <f>IF($N1674=0,"",LEFT($E1674,4)&amp;MID($E1674,6,2)&amp;RIGHT($E1674,2)&amp;$F1674&amp;"|"&amp;"1"&amp;RIGHT("00000"&amp;1666,5))</f>
        <v/>
      </c>
      <c r="P1674">
        <f>IF($O1674="","",COUNTIFS(ExpSub,$K1674,ExpKey,"&lt;"&amp;$O1674)+1)</f>
        <v/>
      </c>
      <c r="Q1674">
        <f>IF($P1674="","",$K1674&amp;"|"&amp;RIGHT("000000"&amp;$P1674,6))</f>
        <v/>
      </c>
    </row>
    <row r="1675">
      <c r="A1675">
        <f>IF(Sync!$P1672="","",Sync!$P1672)</f>
        <v/>
      </c>
      <c r="B1675">
        <f>IF($A1675="","",IF(ISNUMBER($A1675),IF(AND($A1675&gt;=10000101,$A1675&lt;=99991231),INT($A1675/10000),""),IFERROR(VALUE(TRIM(LEFT($A1675,FIND("/",$A1675)-1))),"")))</f>
        <v/>
      </c>
      <c r="C1675">
        <f>IF(OR($A1675="",$B1675=""),"",IF(ISNUMBER($A1675),INT(MOD($A1675,10000)/100),IFERROR(VALUE(TRIM(LEFT(MID($A1675,FIND("/",$A1675)+1,20),FIND("/",MID($A1675,FIND("/",$A1675)+1,20))-1))),"")))</f>
        <v/>
      </c>
      <c r="D1675">
        <f>IF(OR($A1675="",$B1675=""),"",IF(ISNUMBER($A1675),MOD($A1675,100),IFERROR(VALUE(TRIM(MID(MID($A1675,FIND("/",$A1675)+1,20),FIND("/",MID($A1675,FIND("/",$A1675)+1,20))+1,20))),"")))</f>
        <v/>
      </c>
      <c r="E1675">
        <f>IF($A1675="","",IF(OR($B1675="",$C1675="",$D1675="",$B1675&lt;1300,$B1675&gt;1500,$C1675&lt;1,$C1675&gt;12,$D1675&lt;1,$D1675&gt;31),"نامعتبر",RIGHT("0000"&amp;$B1675,4)&amp;"/"&amp;RIGHT("00"&amp;$C1675,2)&amp;"/"&amp;RIGHT("00"&amp;$D1675,2)))</f>
        <v/>
      </c>
      <c r="F1675">
        <f>IF(OR($E1675="",$E1675="نامعتبر"),"",IF(Sync!$Q1672="","0000",IF(AND(ISNUMBER(Sync!$Q1672),Sync!$Q1672&gt;=0,Sync!$Q1672&lt;1),RIGHT("00"&amp;HOUR(Sync!$Q1672),2)&amp;RIGHT("00"&amp;MINUTE(Sync!$Q1672),2),IFERROR(RIGHT("00"&amp;VALUE(LEFT(Sync!$Q1672,FIND(":",Sync!$Q1672)-1)),2)&amp;RIGHT("00"&amp;VALUE(MID(Sync!$Q1672,FIND(":",Sync!$Q1672)+1,2)),2),"0000"))))</f>
        <v/>
      </c>
      <c r="G1675">
        <f>IF(OR($E1675="",$E1675="نامعتبر"),"",IF(Sync!$S1672="","",Sync!$S1672))</f>
        <v/>
      </c>
      <c r="H1675">
        <f>IF(OR($E1675="",$E1675="نامعتبر"),"",IF(Sync!$R1672="","",Sync!$R1672))</f>
        <v/>
      </c>
      <c r="I1675">
        <f>IF(OR($E1675="",$E1675="نامعتبر"),"",IF(Sync!$T1672="","",Sync!$T1672))</f>
        <v/>
      </c>
      <c r="J1675">
        <f>IF(OR($E1675="",$E1675="نامعتبر"),"",IF(Sync!$U1672="","",Sync!$U1672))</f>
        <v/>
      </c>
      <c r="K1675">
        <f>IF(OR($E1675="",$E1675="نامعتبر"),"",IF(Sync!$V1672="","",IFERROR(INDEX(SubCodes,MATCH(Sync!$V1672,SubTitles,0)),Sync!$V1672)))</f>
        <v/>
      </c>
      <c r="L1675">
        <f>IF(OR($E1675="",$E1675="نامعتبر"),"",IF(Sync!$W1672="",0,Sync!$W1672))</f>
        <v/>
      </c>
      <c r="M1675">
        <f>IF(OR($E1675="",$E1675="نامعتبر"),"",IF(Sync!$X1672="",0,Sync!$X1672))</f>
        <v/>
      </c>
      <c r="N1675">
        <f>IF(OR($E1675="",$E1675="نامعتبر"),"",IF(AND($J1675="هزینه",$K1675&lt;&gt;""),1,0))</f>
        <v/>
      </c>
      <c r="O1675">
        <f>IF($N1675=0,"",LEFT($E1675,4)&amp;MID($E1675,6,2)&amp;RIGHT($E1675,2)&amp;$F1675&amp;"|"&amp;"1"&amp;RIGHT("00000"&amp;1667,5))</f>
        <v/>
      </c>
      <c r="P1675">
        <f>IF($O1675="","",COUNTIFS(ExpSub,$K1675,ExpKey,"&lt;"&amp;$O1675)+1)</f>
        <v/>
      </c>
      <c r="Q1675">
        <f>IF($P1675="","",$K1675&amp;"|"&amp;RIGHT("000000"&amp;$P1675,6))</f>
        <v/>
      </c>
    </row>
    <row r="1676">
      <c r="A1676">
        <f>IF(Sync!$P1673="","",Sync!$P1673)</f>
        <v/>
      </c>
      <c r="B1676">
        <f>IF($A1676="","",IF(ISNUMBER($A1676),IF(AND($A1676&gt;=10000101,$A1676&lt;=99991231),INT($A1676/10000),""),IFERROR(VALUE(TRIM(LEFT($A1676,FIND("/",$A1676)-1))),"")))</f>
        <v/>
      </c>
      <c r="C1676">
        <f>IF(OR($A1676="",$B1676=""),"",IF(ISNUMBER($A1676),INT(MOD($A1676,10000)/100),IFERROR(VALUE(TRIM(LEFT(MID($A1676,FIND("/",$A1676)+1,20),FIND("/",MID($A1676,FIND("/",$A1676)+1,20))-1))),"")))</f>
        <v/>
      </c>
      <c r="D1676">
        <f>IF(OR($A1676="",$B1676=""),"",IF(ISNUMBER($A1676),MOD($A1676,100),IFERROR(VALUE(TRIM(MID(MID($A1676,FIND("/",$A1676)+1,20),FIND("/",MID($A1676,FIND("/",$A1676)+1,20))+1,20))),"")))</f>
        <v/>
      </c>
      <c r="E1676">
        <f>IF($A1676="","",IF(OR($B1676="",$C1676="",$D1676="",$B1676&lt;1300,$B1676&gt;1500,$C1676&lt;1,$C1676&gt;12,$D1676&lt;1,$D1676&gt;31),"نامعتبر",RIGHT("0000"&amp;$B1676,4)&amp;"/"&amp;RIGHT("00"&amp;$C1676,2)&amp;"/"&amp;RIGHT("00"&amp;$D1676,2)))</f>
        <v/>
      </c>
      <c r="F1676">
        <f>IF(OR($E1676="",$E1676="نامعتبر"),"",IF(Sync!$Q1673="","0000",IF(AND(ISNUMBER(Sync!$Q1673),Sync!$Q1673&gt;=0,Sync!$Q1673&lt;1),RIGHT("00"&amp;HOUR(Sync!$Q1673),2)&amp;RIGHT("00"&amp;MINUTE(Sync!$Q1673),2),IFERROR(RIGHT("00"&amp;VALUE(LEFT(Sync!$Q1673,FIND(":",Sync!$Q1673)-1)),2)&amp;RIGHT("00"&amp;VALUE(MID(Sync!$Q1673,FIND(":",Sync!$Q1673)+1,2)),2),"0000"))))</f>
        <v/>
      </c>
      <c r="G1676">
        <f>IF(OR($E1676="",$E1676="نامعتبر"),"",IF(Sync!$S1673="","",Sync!$S1673))</f>
        <v/>
      </c>
      <c r="H1676">
        <f>IF(OR($E1676="",$E1676="نامعتبر"),"",IF(Sync!$R1673="","",Sync!$R1673))</f>
        <v/>
      </c>
      <c r="I1676">
        <f>IF(OR($E1676="",$E1676="نامعتبر"),"",IF(Sync!$T1673="","",Sync!$T1673))</f>
        <v/>
      </c>
      <c r="J1676">
        <f>IF(OR($E1676="",$E1676="نامعتبر"),"",IF(Sync!$U1673="","",Sync!$U1673))</f>
        <v/>
      </c>
      <c r="K1676">
        <f>IF(OR($E1676="",$E1676="نامعتبر"),"",IF(Sync!$V1673="","",IFERROR(INDEX(SubCodes,MATCH(Sync!$V1673,SubTitles,0)),Sync!$V1673)))</f>
        <v/>
      </c>
      <c r="L1676">
        <f>IF(OR($E1676="",$E1676="نامعتبر"),"",IF(Sync!$W1673="",0,Sync!$W1673))</f>
        <v/>
      </c>
      <c r="M1676">
        <f>IF(OR($E1676="",$E1676="نامعتبر"),"",IF(Sync!$X1673="",0,Sync!$X1673))</f>
        <v/>
      </c>
      <c r="N1676">
        <f>IF(OR($E1676="",$E1676="نامعتبر"),"",IF(AND($J1676="هزینه",$K1676&lt;&gt;""),1,0))</f>
        <v/>
      </c>
      <c r="O1676">
        <f>IF($N1676=0,"",LEFT($E1676,4)&amp;MID($E1676,6,2)&amp;RIGHT($E1676,2)&amp;$F1676&amp;"|"&amp;"1"&amp;RIGHT("00000"&amp;1668,5))</f>
        <v/>
      </c>
      <c r="P1676">
        <f>IF($O1676="","",COUNTIFS(ExpSub,$K1676,ExpKey,"&lt;"&amp;$O1676)+1)</f>
        <v/>
      </c>
      <c r="Q1676">
        <f>IF($P1676="","",$K1676&amp;"|"&amp;RIGHT("000000"&amp;$P1676,6))</f>
        <v/>
      </c>
    </row>
    <row r="1677">
      <c r="A1677">
        <f>IF(Sync!$P1674="","",Sync!$P1674)</f>
        <v/>
      </c>
      <c r="B1677">
        <f>IF($A1677="","",IF(ISNUMBER($A1677),IF(AND($A1677&gt;=10000101,$A1677&lt;=99991231),INT($A1677/10000),""),IFERROR(VALUE(TRIM(LEFT($A1677,FIND("/",$A1677)-1))),"")))</f>
        <v/>
      </c>
      <c r="C1677">
        <f>IF(OR($A1677="",$B1677=""),"",IF(ISNUMBER($A1677),INT(MOD($A1677,10000)/100),IFERROR(VALUE(TRIM(LEFT(MID($A1677,FIND("/",$A1677)+1,20),FIND("/",MID($A1677,FIND("/",$A1677)+1,20))-1))),"")))</f>
        <v/>
      </c>
      <c r="D1677">
        <f>IF(OR($A1677="",$B1677=""),"",IF(ISNUMBER($A1677),MOD($A1677,100),IFERROR(VALUE(TRIM(MID(MID($A1677,FIND("/",$A1677)+1,20),FIND("/",MID($A1677,FIND("/",$A1677)+1,20))+1,20))),"")))</f>
        <v/>
      </c>
      <c r="E1677">
        <f>IF($A1677="","",IF(OR($B1677="",$C1677="",$D1677="",$B1677&lt;1300,$B1677&gt;1500,$C1677&lt;1,$C1677&gt;12,$D1677&lt;1,$D1677&gt;31),"نامعتبر",RIGHT("0000"&amp;$B1677,4)&amp;"/"&amp;RIGHT("00"&amp;$C1677,2)&amp;"/"&amp;RIGHT("00"&amp;$D1677,2)))</f>
        <v/>
      </c>
      <c r="F1677">
        <f>IF(OR($E1677="",$E1677="نامعتبر"),"",IF(Sync!$Q1674="","0000",IF(AND(ISNUMBER(Sync!$Q1674),Sync!$Q1674&gt;=0,Sync!$Q1674&lt;1),RIGHT("00"&amp;HOUR(Sync!$Q1674),2)&amp;RIGHT("00"&amp;MINUTE(Sync!$Q1674),2),IFERROR(RIGHT("00"&amp;VALUE(LEFT(Sync!$Q1674,FIND(":",Sync!$Q1674)-1)),2)&amp;RIGHT("00"&amp;VALUE(MID(Sync!$Q1674,FIND(":",Sync!$Q1674)+1,2)),2),"0000"))))</f>
        <v/>
      </c>
      <c r="G1677">
        <f>IF(OR($E1677="",$E1677="نامعتبر"),"",IF(Sync!$S1674="","",Sync!$S1674))</f>
        <v/>
      </c>
      <c r="H1677">
        <f>IF(OR($E1677="",$E1677="نامعتبر"),"",IF(Sync!$R1674="","",Sync!$R1674))</f>
        <v/>
      </c>
      <c r="I1677">
        <f>IF(OR($E1677="",$E1677="نامعتبر"),"",IF(Sync!$T1674="","",Sync!$T1674))</f>
        <v/>
      </c>
      <c r="J1677">
        <f>IF(OR($E1677="",$E1677="نامعتبر"),"",IF(Sync!$U1674="","",Sync!$U1674))</f>
        <v/>
      </c>
      <c r="K1677">
        <f>IF(OR($E1677="",$E1677="نامعتبر"),"",IF(Sync!$V1674="","",IFERROR(INDEX(SubCodes,MATCH(Sync!$V1674,SubTitles,0)),Sync!$V1674)))</f>
        <v/>
      </c>
      <c r="L1677">
        <f>IF(OR($E1677="",$E1677="نامعتبر"),"",IF(Sync!$W1674="",0,Sync!$W1674))</f>
        <v/>
      </c>
      <c r="M1677">
        <f>IF(OR($E1677="",$E1677="نامعتبر"),"",IF(Sync!$X1674="",0,Sync!$X1674))</f>
        <v/>
      </c>
      <c r="N1677">
        <f>IF(OR($E1677="",$E1677="نامعتبر"),"",IF(AND($J1677="هزینه",$K1677&lt;&gt;""),1,0))</f>
        <v/>
      </c>
      <c r="O1677">
        <f>IF($N1677=0,"",LEFT($E1677,4)&amp;MID($E1677,6,2)&amp;RIGHT($E1677,2)&amp;$F1677&amp;"|"&amp;"1"&amp;RIGHT("00000"&amp;1669,5))</f>
        <v/>
      </c>
      <c r="P1677">
        <f>IF($O1677="","",COUNTIFS(ExpSub,$K1677,ExpKey,"&lt;"&amp;$O1677)+1)</f>
        <v/>
      </c>
      <c r="Q1677">
        <f>IF($P1677="","",$K1677&amp;"|"&amp;RIGHT("000000"&amp;$P1677,6))</f>
        <v/>
      </c>
    </row>
    <row r="1678">
      <c r="A1678">
        <f>IF(Sync!$P1675="","",Sync!$P1675)</f>
        <v/>
      </c>
      <c r="B1678">
        <f>IF($A1678="","",IF(ISNUMBER($A1678),IF(AND($A1678&gt;=10000101,$A1678&lt;=99991231),INT($A1678/10000),""),IFERROR(VALUE(TRIM(LEFT($A1678,FIND("/",$A1678)-1))),"")))</f>
        <v/>
      </c>
      <c r="C1678">
        <f>IF(OR($A1678="",$B1678=""),"",IF(ISNUMBER($A1678),INT(MOD($A1678,10000)/100),IFERROR(VALUE(TRIM(LEFT(MID($A1678,FIND("/",$A1678)+1,20),FIND("/",MID($A1678,FIND("/",$A1678)+1,20))-1))),"")))</f>
        <v/>
      </c>
      <c r="D1678">
        <f>IF(OR($A1678="",$B1678=""),"",IF(ISNUMBER($A1678),MOD($A1678,100),IFERROR(VALUE(TRIM(MID(MID($A1678,FIND("/",$A1678)+1,20),FIND("/",MID($A1678,FIND("/",$A1678)+1,20))+1,20))),"")))</f>
        <v/>
      </c>
      <c r="E1678">
        <f>IF($A1678="","",IF(OR($B1678="",$C1678="",$D1678="",$B1678&lt;1300,$B1678&gt;1500,$C1678&lt;1,$C1678&gt;12,$D1678&lt;1,$D1678&gt;31),"نامعتبر",RIGHT("0000"&amp;$B1678,4)&amp;"/"&amp;RIGHT("00"&amp;$C1678,2)&amp;"/"&amp;RIGHT("00"&amp;$D1678,2)))</f>
        <v/>
      </c>
      <c r="F1678">
        <f>IF(OR($E1678="",$E1678="نامعتبر"),"",IF(Sync!$Q1675="","0000",IF(AND(ISNUMBER(Sync!$Q1675),Sync!$Q1675&gt;=0,Sync!$Q1675&lt;1),RIGHT("00"&amp;HOUR(Sync!$Q1675),2)&amp;RIGHT("00"&amp;MINUTE(Sync!$Q1675),2),IFERROR(RIGHT("00"&amp;VALUE(LEFT(Sync!$Q1675,FIND(":",Sync!$Q1675)-1)),2)&amp;RIGHT("00"&amp;VALUE(MID(Sync!$Q1675,FIND(":",Sync!$Q1675)+1,2)),2),"0000"))))</f>
        <v/>
      </c>
      <c r="G1678">
        <f>IF(OR($E1678="",$E1678="نامعتبر"),"",IF(Sync!$S1675="","",Sync!$S1675))</f>
        <v/>
      </c>
      <c r="H1678">
        <f>IF(OR($E1678="",$E1678="نامعتبر"),"",IF(Sync!$R1675="","",Sync!$R1675))</f>
        <v/>
      </c>
      <c r="I1678">
        <f>IF(OR($E1678="",$E1678="نامعتبر"),"",IF(Sync!$T1675="","",Sync!$T1675))</f>
        <v/>
      </c>
      <c r="J1678">
        <f>IF(OR($E1678="",$E1678="نامعتبر"),"",IF(Sync!$U1675="","",Sync!$U1675))</f>
        <v/>
      </c>
      <c r="K1678">
        <f>IF(OR($E1678="",$E1678="نامعتبر"),"",IF(Sync!$V1675="","",IFERROR(INDEX(SubCodes,MATCH(Sync!$V1675,SubTitles,0)),Sync!$V1675)))</f>
        <v/>
      </c>
      <c r="L1678">
        <f>IF(OR($E1678="",$E1678="نامعتبر"),"",IF(Sync!$W1675="",0,Sync!$W1675))</f>
        <v/>
      </c>
      <c r="M1678">
        <f>IF(OR($E1678="",$E1678="نامعتبر"),"",IF(Sync!$X1675="",0,Sync!$X1675))</f>
        <v/>
      </c>
      <c r="N1678">
        <f>IF(OR($E1678="",$E1678="نامعتبر"),"",IF(AND($J1678="هزینه",$K1678&lt;&gt;""),1,0))</f>
        <v/>
      </c>
      <c r="O1678">
        <f>IF($N1678=0,"",LEFT($E1678,4)&amp;MID($E1678,6,2)&amp;RIGHT($E1678,2)&amp;$F1678&amp;"|"&amp;"1"&amp;RIGHT("00000"&amp;1670,5))</f>
        <v/>
      </c>
      <c r="P1678">
        <f>IF($O1678="","",COUNTIFS(ExpSub,$K1678,ExpKey,"&lt;"&amp;$O1678)+1)</f>
        <v/>
      </c>
      <c r="Q1678">
        <f>IF($P1678="","",$K1678&amp;"|"&amp;RIGHT("000000"&amp;$P1678,6))</f>
        <v/>
      </c>
    </row>
    <row r="1679">
      <c r="A1679">
        <f>IF(Sync!$P1676="","",Sync!$P1676)</f>
        <v/>
      </c>
      <c r="B1679">
        <f>IF($A1679="","",IF(ISNUMBER($A1679),IF(AND($A1679&gt;=10000101,$A1679&lt;=99991231),INT($A1679/10000),""),IFERROR(VALUE(TRIM(LEFT($A1679,FIND("/",$A1679)-1))),"")))</f>
        <v/>
      </c>
      <c r="C1679">
        <f>IF(OR($A1679="",$B1679=""),"",IF(ISNUMBER($A1679),INT(MOD($A1679,10000)/100),IFERROR(VALUE(TRIM(LEFT(MID($A1679,FIND("/",$A1679)+1,20),FIND("/",MID($A1679,FIND("/",$A1679)+1,20))-1))),"")))</f>
        <v/>
      </c>
      <c r="D1679">
        <f>IF(OR($A1679="",$B1679=""),"",IF(ISNUMBER($A1679),MOD($A1679,100),IFERROR(VALUE(TRIM(MID(MID($A1679,FIND("/",$A1679)+1,20),FIND("/",MID($A1679,FIND("/",$A1679)+1,20))+1,20))),"")))</f>
        <v/>
      </c>
      <c r="E1679">
        <f>IF($A1679="","",IF(OR($B1679="",$C1679="",$D1679="",$B1679&lt;1300,$B1679&gt;1500,$C1679&lt;1,$C1679&gt;12,$D1679&lt;1,$D1679&gt;31),"نامعتبر",RIGHT("0000"&amp;$B1679,4)&amp;"/"&amp;RIGHT("00"&amp;$C1679,2)&amp;"/"&amp;RIGHT("00"&amp;$D1679,2)))</f>
        <v/>
      </c>
      <c r="F1679">
        <f>IF(OR($E1679="",$E1679="نامعتبر"),"",IF(Sync!$Q1676="","0000",IF(AND(ISNUMBER(Sync!$Q1676),Sync!$Q1676&gt;=0,Sync!$Q1676&lt;1),RIGHT("00"&amp;HOUR(Sync!$Q1676),2)&amp;RIGHT("00"&amp;MINUTE(Sync!$Q1676),2),IFERROR(RIGHT("00"&amp;VALUE(LEFT(Sync!$Q1676,FIND(":",Sync!$Q1676)-1)),2)&amp;RIGHT("00"&amp;VALUE(MID(Sync!$Q1676,FIND(":",Sync!$Q1676)+1,2)),2),"0000"))))</f>
        <v/>
      </c>
      <c r="G1679">
        <f>IF(OR($E1679="",$E1679="نامعتبر"),"",IF(Sync!$S1676="","",Sync!$S1676))</f>
        <v/>
      </c>
      <c r="H1679">
        <f>IF(OR($E1679="",$E1679="نامعتبر"),"",IF(Sync!$R1676="","",Sync!$R1676))</f>
        <v/>
      </c>
      <c r="I1679">
        <f>IF(OR($E1679="",$E1679="نامعتبر"),"",IF(Sync!$T1676="","",Sync!$T1676))</f>
        <v/>
      </c>
      <c r="J1679">
        <f>IF(OR($E1679="",$E1679="نامعتبر"),"",IF(Sync!$U1676="","",Sync!$U1676))</f>
        <v/>
      </c>
      <c r="K1679">
        <f>IF(OR($E1679="",$E1679="نامعتبر"),"",IF(Sync!$V1676="","",IFERROR(INDEX(SubCodes,MATCH(Sync!$V1676,SubTitles,0)),Sync!$V1676)))</f>
        <v/>
      </c>
      <c r="L1679">
        <f>IF(OR($E1679="",$E1679="نامعتبر"),"",IF(Sync!$W1676="",0,Sync!$W1676))</f>
        <v/>
      </c>
      <c r="M1679">
        <f>IF(OR($E1679="",$E1679="نامعتبر"),"",IF(Sync!$X1676="",0,Sync!$X1676))</f>
        <v/>
      </c>
      <c r="N1679">
        <f>IF(OR($E1679="",$E1679="نامعتبر"),"",IF(AND($J1679="هزینه",$K1679&lt;&gt;""),1,0))</f>
        <v/>
      </c>
      <c r="O1679">
        <f>IF($N1679=0,"",LEFT($E1679,4)&amp;MID($E1679,6,2)&amp;RIGHT($E1679,2)&amp;$F1679&amp;"|"&amp;"1"&amp;RIGHT("00000"&amp;1671,5))</f>
        <v/>
      </c>
      <c r="P1679">
        <f>IF($O1679="","",COUNTIFS(ExpSub,$K1679,ExpKey,"&lt;"&amp;$O1679)+1)</f>
        <v/>
      </c>
      <c r="Q1679">
        <f>IF($P1679="","",$K1679&amp;"|"&amp;RIGHT("000000"&amp;$P1679,6))</f>
        <v/>
      </c>
    </row>
    <row r="1680">
      <c r="A1680">
        <f>IF(Sync!$P1677="","",Sync!$P1677)</f>
        <v/>
      </c>
      <c r="B1680">
        <f>IF($A1680="","",IF(ISNUMBER($A1680),IF(AND($A1680&gt;=10000101,$A1680&lt;=99991231),INT($A1680/10000),""),IFERROR(VALUE(TRIM(LEFT($A1680,FIND("/",$A1680)-1))),"")))</f>
        <v/>
      </c>
      <c r="C1680">
        <f>IF(OR($A1680="",$B1680=""),"",IF(ISNUMBER($A1680),INT(MOD($A1680,10000)/100),IFERROR(VALUE(TRIM(LEFT(MID($A1680,FIND("/",$A1680)+1,20),FIND("/",MID($A1680,FIND("/",$A1680)+1,20))-1))),"")))</f>
        <v/>
      </c>
      <c r="D1680">
        <f>IF(OR($A1680="",$B1680=""),"",IF(ISNUMBER($A1680),MOD($A1680,100),IFERROR(VALUE(TRIM(MID(MID($A1680,FIND("/",$A1680)+1,20),FIND("/",MID($A1680,FIND("/",$A1680)+1,20))+1,20))),"")))</f>
        <v/>
      </c>
      <c r="E1680">
        <f>IF($A1680="","",IF(OR($B1680="",$C1680="",$D1680="",$B1680&lt;1300,$B1680&gt;1500,$C1680&lt;1,$C1680&gt;12,$D1680&lt;1,$D1680&gt;31),"نامعتبر",RIGHT("0000"&amp;$B1680,4)&amp;"/"&amp;RIGHT("00"&amp;$C1680,2)&amp;"/"&amp;RIGHT("00"&amp;$D1680,2)))</f>
        <v/>
      </c>
      <c r="F1680">
        <f>IF(OR($E1680="",$E1680="نامعتبر"),"",IF(Sync!$Q1677="","0000",IF(AND(ISNUMBER(Sync!$Q1677),Sync!$Q1677&gt;=0,Sync!$Q1677&lt;1),RIGHT("00"&amp;HOUR(Sync!$Q1677),2)&amp;RIGHT("00"&amp;MINUTE(Sync!$Q1677),2),IFERROR(RIGHT("00"&amp;VALUE(LEFT(Sync!$Q1677,FIND(":",Sync!$Q1677)-1)),2)&amp;RIGHT("00"&amp;VALUE(MID(Sync!$Q1677,FIND(":",Sync!$Q1677)+1,2)),2),"0000"))))</f>
        <v/>
      </c>
      <c r="G1680">
        <f>IF(OR($E1680="",$E1680="نامعتبر"),"",IF(Sync!$S1677="","",Sync!$S1677))</f>
        <v/>
      </c>
      <c r="H1680">
        <f>IF(OR($E1680="",$E1680="نامعتبر"),"",IF(Sync!$R1677="","",Sync!$R1677))</f>
        <v/>
      </c>
      <c r="I1680">
        <f>IF(OR($E1680="",$E1680="نامعتبر"),"",IF(Sync!$T1677="","",Sync!$T1677))</f>
        <v/>
      </c>
      <c r="J1680">
        <f>IF(OR($E1680="",$E1680="نامعتبر"),"",IF(Sync!$U1677="","",Sync!$U1677))</f>
        <v/>
      </c>
      <c r="K1680">
        <f>IF(OR($E1680="",$E1680="نامعتبر"),"",IF(Sync!$V1677="","",IFERROR(INDEX(SubCodes,MATCH(Sync!$V1677,SubTitles,0)),Sync!$V1677)))</f>
        <v/>
      </c>
      <c r="L1680">
        <f>IF(OR($E1680="",$E1680="نامعتبر"),"",IF(Sync!$W1677="",0,Sync!$W1677))</f>
        <v/>
      </c>
      <c r="M1680">
        <f>IF(OR($E1680="",$E1680="نامعتبر"),"",IF(Sync!$X1677="",0,Sync!$X1677))</f>
        <v/>
      </c>
      <c r="N1680">
        <f>IF(OR($E1680="",$E1680="نامعتبر"),"",IF(AND($J1680="هزینه",$K1680&lt;&gt;""),1,0))</f>
        <v/>
      </c>
      <c r="O1680">
        <f>IF($N1680=0,"",LEFT($E1680,4)&amp;MID($E1680,6,2)&amp;RIGHT($E1680,2)&amp;$F1680&amp;"|"&amp;"1"&amp;RIGHT("00000"&amp;1672,5))</f>
        <v/>
      </c>
      <c r="P1680">
        <f>IF($O1680="","",COUNTIFS(ExpSub,$K1680,ExpKey,"&lt;"&amp;$O1680)+1)</f>
        <v/>
      </c>
      <c r="Q1680">
        <f>IF($P1680="","",$K1680&amp;"|"&amp;RIGHT("000000"&amp;$P1680,6))</f>
        <v/>
      </c>
    </row>
    <row r="1681">
      <c r="A1681">
        <f>IF(Sync!$P1678="","",Sync!$P1678)</f>
        <v/>
      </c>
      <c r="B1681">
        <f>IF($A1681="","",IF(ISNUMBER($A1681),IF(AND($A1681&gt;=10000101,$A1681&lt;=99991231),INT($A1681/10000),""),IFERROR(VALUE(TRIM(LEFT($A1681,FIND("/",$A1681)-1))),"")))</f>
        <v/>
      </c>
      <c r="C1681">
        <f>IF(OR($A1681="",$B1681=""),"",IF(ISNUMBER($A1681),INT(MOD($A1681,10000)/100),IFERROR(VALUE(TRIM(LEFT(MID($A1681,FIND("/",$A1681)+1,20),FIND("/",MID($A1681,FIND("/",$A1681)+1,20))-1))),"")))</f>
        <v/>
      </c>
      <c r="D1681">
        <f>IF(OR($A1681="",$B1681=""),"",IF(ISNUMBER($A1681),MOD($A1681,100),IFERROR(VALUE(TRIM(MID(MID($A1681,FIND("/",$A1681)+1,20),FIND("/",MID($A1681,FIND("/",$A1681)+1,20))+1,20))),"")))</f>
        <v/>
      </c>
      <c r="E1681">
        <f>IF($A1681="","",IF(OR($B1681="",$C1681="",$D1681="",$B1681&lt;1300,$B1681&gt;1500,$C1681&lt;1,$C1681&gt;12,$D1681&lt;1,$D1681&gt;31),"نامعتبر",RIGHT("0000"&amp;$B1681,4)&amp;"/"&amp;RIGHT("00"&amp;$C1681,2)&amp;"/"&amp;RIGHT("00"&amp;$D1681,2)))</f>
        <v/>
      </c>
      <c r="F1681">
        <f>IF(OR($E1681="",$E1681="نامعتبر"),"",IF(Sync!$Q1678="","0000",IF(AND(ISNUMBER(Sync!$Q1678),Sync!$Q1678&gt;=0,Sync!$Q1678&lt;1),RIGHT("00"&amp;HOUR(Sync!$Q1678),2)&amp;RIGHT("00"&amp;MINUTE(Sync!$Q1678),2),IFERROR(RIGHT("00"&amp;VALUE(LEFT(Sync!$Q1678,FIND(":",Sync!$Q1678)-1)),2)&amp;RIGHT("00"&amp;VALUE(MID(Sync!$Q1678,FIND(":",Sync!$Q1678)+1,2)),2),"0000"))))</f>
        <v/>
      </c>
      <c r="G1681">
        <f>IF(OR($E1681="",$E1681="نامعتبر"),"",IF(Sync!$S1678="","",Sync!$S1678))</f>
        <v/>
      </c>
      <c r="H1681">
        <f>IF(OR($E1681="",$E1681="نامعتبر"),"",IF(Sync!$R1678="","",Sync!$R1678))</f>
        <v/>
      </c>
      <c r="I1681">
        <f>IF(OR($E1681="",$E1681="نامعتبر"),"",IF(Sync!$T1678="","",Sync!$T1678))</f>
        <v/>
      </c>
      <c r="J1681">
        <f>IF(OR($E1681="",$E1681="نامعتبر"),"",IF(Sync!$U1678="","",Sync!$U1678))</f>
        <v/>
      </c>
      <c r="K1681">
        <f>IF(OR($E1681="",$E1681="نامعتبر"),"",IF(Sync!$V1678="","",IFERROR(INDEX(SubCodes,MATCH(Sync!$V1678,SubTitles,0)),Sync!$V1678)))</f>
        <v/>
      </c>
      <c r="L1681">
        <f>IF(OR($E1681="",$E1681="نامعتبر"),"",IF(Sync!$W1678="",0,Sync!$W1678))</f>
        <v/>
      </c>
      <c r="M1681">
        <f>IF(OR($E1681="",$E1681="نامعتبر"),"",IF(Sync!$X1678="",0,Sync!$X1678))</f>
        <v/>
      </c>
      <c r="N1681">
        <f>IF(OR($E1681="",$E1681="نامعتبر"),"",IF(AND($J1681="هزینه",$K1681&lt;&gt;""),1,0))</f>
        <v/>
      </c>
      <c r="O1681">
        <f>IF($N1681=0,"",LEFT($E1681,4)&amp;MID($E1681,6,2)&amp;RIGHT($E1681,2)&amp;$F1681&amp;"|"&amp;"1"&amp;RIGHT("00000"&amp;1673,5))</f>
        <v/>
      </c>
      <c r="P1681">
        <f>IF($O1681="","",COUNTIFS(ExpSub,$K1681,ExpKey,"&lt;"&amp;$O1681)+1)</f>
        <v/>
      </c>
      <c r="Q1681">
        <f>IF($P1681="","",$K1681&amp;"|"&amp;RIGHT("000000"&amp;$P1681,6))</f>
        <v/>
      </c>
    </row>
    <row r="1682">
      <c r="A1682">
        <f>IF(Sync!$P1679="","",Sync!$P1679)</f>
        <v/>
      </c>
      <c r="B1682">
        <f>IF($A1682="","",IF(ISNUMBER($A1682),IF(AND($A1682&gt;=10000101,$A1682&lt;=99991231),INT($A1682/10000),""),IFERROR(VALUE(TRIM(LEFT($A1682,FIND("/",$A1682)-1))),"")))</f>
        <v/>
      </c>
      <c r="C1682">
        <f>IF(OR($A1682="",$B1682=""),"",IF(ISNUMBER($A1682),INT(MOD($A1682,10000)/100),IFERROR(VALUE(TRIM(LEFT(MID($A1682,FIND("/",$A1682)+1,20),FIND("/",MID($A1682,FIND("/",$A1682)+1,20))-1))),"")))</f>
        <v/>
      </c>
      <c r="D1682">
        <f>IF(OR($A1682="",$B1682=""),"",IF(ISNUMBER($A1682),MOD($A1682,100),IFERROR(VALUE(TRIM(MID(MID($A1682,FIND("/",$A1682)+1,20),FIND("/",MID($A1682,FIND("/",$A1682)+1,20))+1,20))),"")))</f>
        <v/>
      </c>
      <c r="E1682">
        <f>IF($A1682="","",IF(OR($B1682="",$C1682="",$D1682="",$B1682&lt;1300,$B1682&gt;1500,$C1682&lt;1,$C1682&gt;12,$D1682&lt;1,$D1682&gt;31),"نامعتبر",RIGHT("0000"&amp;$B1682,4)&amp;"/"&amp;RIGHT("00"&amp;$C1682,2)&amp;"/"&amp;RIGHT("00"&amp;$D1682,2)))</f>
        <v/>
      </c>
      <c r="F1682">
        <f>IF(OR($E1682="",$E1682="نامعتبر"),"",IF(Sync!$Q1679="","0000",IF(AND(ISNUMBER(Sync!$Q1679),Sync!$Q1679&gt;=0,Sync!$Q1679&lt;1),RIGHT("00"&amp;HOUR(Sync!$Q1679),2)&amp;RIGHT("00"&amp;MINUTE(Sync!$Q1679),2),IFERROR(RIGHT("00"&amp;VALUE(LEFT(Sync!$Q1679,FIND(":",Sync!$Q1679)-1)),2)&amp;RIGHT("00"&amp;VALUE(MID(Sync!$Q1679,FIND(":",Sync!$Q1679)+1,2)),2),"0000"))))</f>
        <v/>
      </c>
      <c r="G1682">
        <f>IF(OR($E1682="",$E1682="نامعتبر"),"",IF(Sync!$S1679="","",Sync!$S1679))</f>
        <v/>
      </c>
      <c r="H1682">
        <f>IF(OR($E1682="",$E1682="نامعتبر"),"",IF(Sync!$R1679="","",Sync!$R1679))</f>
        <v/>
      </c>
      <c r="I1682">
        <f>IF(OR($E1682="",$E1682="نامعتبر"),"",IF(Sync!$T1679="","",Sync!$T1679))</f>
        <v/>
      </c>
      <c r="J1682">
        <f>IF(OR($E1682="",$E1682="نامعتبر"),"",IF(Sync!$U1679="","",Sync!$U1679))</f>
        <v/>
      </c>
      <c r="K1682">
        <f>IF(OR($E1682="",$E1682="نامعتبر"),"",IF(Sync!$V1679="","",IFERROR(INDEX(SubCodes,MATCH(Sync!$V1679,SubTitles,0)),Sync!$V1679)))</f>
        <v/>
      </c>
      <c r="L1682">
        <f>IF(OR($E1682="",$E1682="نامعتبر"),"",IF(Sync!$W1679="",0,Sync!$W1679))</f>
        <v/>
      </c>
      <c r="M1682">
        <f>IF(OR($E1682="",$E1682="نامعتبر"),"",IF(Sync!$X1679="",0,Sync!$X1679))</f>
        <v/>
      </c>
      <c r="N1682">
        <f>IF(OR($E1682="",$E1682="نامعتبر"),"",IF(AND($J1682="هزینه",$K1682&lt;&gt;""),1,0))</f>
        <v/>
      </c>
      <c r="O1682">
        <f>IF($N1682=0,"",LEFT($E1682,4)&amp;MID($E1682,6,2)&amp;RIGHT($E1682,2)&amp;$F1682&amp;"|"&amp;"1"&amp;RIGHT("00000"&amp;1674,5))</f>
        <v/>
      </c>
      <c r="P1682">
        <f>IF($O1682="","",COUNTIFS(ExpSub,$K1682,ExpKey,"&lt;"&amp;$O1682)+1)</f>
        <v/>
      </c>
      <c r="Q1682">
        <f>IF($P1682="","",$K1682&amp;"|"&amp;RIGHT("000000"&amp;$P1682,6))</f>
        <v/>
      </c>
    </row>
    <row r="1683">
      <c r="A1683">
        <f>IF(Sync!$P1680="","",Sync!$P1680)</f>
        <v/>
      </c>
      <c r="B1683">
        <f>IF($A1683="","",IF(ISNUMBER($A1683),IF(AND($A1683&gt;=10000101,$A1683&lt;=99991231),INT($A1683/10000),""),IFERROR(VALUE(TRIM(LEFT($A1683,FIND("/",$A1683)-1))),"")))</f>
        <v/>
      </c>
      <c r="C1683">
        <f>IF(OR($A1683="",$B1683=""),"",IF(ISNUMBER($A1683),INT(MOD($A1683,10000)/100),IFERROR(VALUE(TRIM(LEFT(MID($A1683,FIND("/",$A1683)+1,20),FIND("/",MID($A1683,FIND("/",$A1683)+1,20))-1))),"")))</f>
        <v/>
      </c>
      <c r="D1683">
        <f>IF(OR($A1683="",$B1683=""),"",IF(ISNUMBER($A1683),MOD($A1683,100),IFERROR(VALUE(TRIM(MID(MID($A1683,FIND("/",$A1683)+1,20),FIND("/",MID($A1683,FIND("/",$A1683)+1,20))+1,20))),"")))</f>
        <v/>
      </c>
      <c r="E1683">
        <f>IF($A1683="","",IF(OR($B1683="",$C1683="",$D1683="",$B1683&lt;1300,$B1683&gt;1500,$C1683&lt;1,$C1683&gt;12,$D1683&lt;1,$D1683&gt;31),"نامعتبر",RIGHT("0000"&amp;$B1683,4)&amp;"/"&amp;RIGHT("00"&amp;$C1683,2)&amp;"/"&amp;RIGHT("00"&amp;$D1683,2)))</f>
        <v/>
      </c>
      <c r="F1683">
        <f>IF(OR($E1683="",$E1683="نامعتبر"),"",IF(Sync!$Q1680="","0000",IF(AND(ISNUMBER(Sync!$Q1680),Sync!$Q1680&gt;=0,Sync!$Q1680&lt;1),RIGHT("00"&amp;HOUR(Sync!$Q1680),2)&amp;RIGHT("00"&amp;MINUTE(Sync!$Q1680),2),IFERROR(RIGHT("00"&amp;VALUE(LEFT(Sync!$Q1680,FIND(":",Sync!$Q1680)-1)),2)&amp;RIGHT("00"&amp;VALUE(MID(Sync!$Q1680,FIND(":",Sync!$Q1680)+1,2)),2),"0000"))))</f>
        <v/>
      </c>
      <c r="G1683">
        <f>IF(OR($E1683="",$E1683="نامعتبر"),"",IF(Sync!$S1680="","",Sync!$S1680))</f>
        <v/>
      </c>
      <c r="H1683">
        <f>IF(OR($E1683="",$E1683="نامعتبر"),"",IF(Sync!$R1680="","",Sync!$R1680))</f>
        <v/>
      </c>
      <c r="I1683">
        <f>IF(OR($E1683="",$E1683="نامعتبر"),"",IF(Sync!$T1680="","",Sync!$T1680))</f>
        <v/>
      </c>
      <c r="J1683">
        <f>IF(OR($E1683="",$E1683="نامعتبر"),"",IF(Sync!$U1680="","",Sync!$U1680))</f>
        <v/>
      </c>
      <c r="K1683">
        <f>IF(OR($E1683="",$E1683="نامعتبر"),"",IF(Sync!$V1680="","",IFERROR(INDEX(SubCodes,MATCH(Sync!$V1680,SubTitles,0)),Sync!$V1680)))</f>
        <v/>
      </c>
      <c r="L1683">
        <f>IF(OR($E1683="",$E1683="نامعتبر"),"",IF(Sync!$W1680="",0,Sync!$W1680))</f>
        <v/>
      </c>
      <c r="M1683">
        <f>IF(OR($E1683="",$E1683="نامعتبر"),"",IF(Sync!$X1680="",0,Sync!$X1680))</f>
        <v/>
      </c>
      <c r="N1683">
        <f>IF(OR($E1683="",$E1683="نامعتبر"),"",IF(AND($J1683="هزینه",$K1683&lt;&gt;""),1,0))</f>
        <v/>
      </c>
      <c r="O1683">
        <f>IF($N1683=0,"",LEFT($E1683,4)&amp;MID($E1683,6,2)&amp;RIGHT($E1683,2)&amp;$F1683&amp;"|"&amp;"1"&amp;RIGHT("00000"&amp;1675,5))</f>
        <v/>
      </c>
      <c r="P1683">
        <f>IF($O1683="","",COUNTIFS(ExpSub,$K1683,ExpKey,"&lt;"&amp;$O1683)+1)</f>
        <v/>
      </c>
      <c r="Q1683">
        <f>IF($P1683="","",$K1683&amp;"|"&amp;RIGHT("000000"&amp;$P1683,6))</f>
        <v/>
      </c>
    </row>
    <row r="1684">
      <c r="A1684">
        <f>IF(Sync!$P1681="","",Sync!$P1681)</f>
        <v/>
      </c>
      <c r="B1684">
        <f>IF($A1684="","",IF(ISNUMBER($A1684),IF(AND($A1684&gt;=10000101,$A1684&lt;=99991231),INT($A1684/10000),""),IFERROR(VALUE(TRIM(LEFT($A1684,FIND("/",$A1684)-1))),"")))</f>
        <v/>
      </c>
      <c r="C1684">
        <f>IF(OR($A1684="",$B1684=""),"",IF(ISNUMBER($A1684),INT(MOD($A1684,10000)/100),IFERROR(VALUE(TRIM(LEFT(MID($A1684,FIND("/",$A1684)+1,20),FIND("/",MID($A1684,FIND("/",$A1684)+1,20))-1))),"")))</f>
        <v/>
      </c>
      <c r="D1684">
        <f>IF(OR($A1684="",$B1684=""),"",IF(ISNUMBER($A1684),MOD($A1684,100),IFERROR(VALUE(TRIM(MID(MID($A1684,FIND("/",$A1684)+1,20),FIND("/",MID($A1684,FIND("/",$A1684)+1,20))+1,20))),"")))</f>
        <v/>
      </c>
      <c r="E1684">
        <f>IF($A1684="","",IF(OR($B1684="",$C1684="",$D1684="",$B1684&lt;1300,$B1684&gt;1500,$C1684&lt;1,$C1684&gt;12,$D1684&lt;1,$D1684&gt;31),"نامعتبر",RIGHT("0000"&amp;$B1684,4)&amp;"/"&amp;RIGHT("00"&amp;$C1684,2)&amp;"/"&amp;RIGHT("00"&amp;$D1684,2)))</f>
        <v/>
      </c>
      <c r="F1684">
        <f>IF(OR($E1684="",$E1684="نامعتبر"),"",IF(Sync!$Q1681="","0000",IF(AND(ISNUMBER(Sync!$Q1681),Sync!$Q1681&gt;=0,Sync!$Q1681&lt;1),RIGHT("00"&amp;HOUR(Sync!$Q1681),2)&amp;RIGHT("00"&amp;MINUTE(Sync!$Q1681),2),IFERROR(RIGHT("00"&amp;VALUE(LEFT(Sync!$Q1681,FIND(":",Sync!$Q1681)-1)),2)&amp;RIGHT("00"&amp;VALUE(MID(Sync!$Q1681,FIND(":",Sync!$Q1681)+1,2)),2),"0000"))))</f>
        <v/>
      </c>
      <c r="G1684">
        <f>IF(OR($E1684="",$E1684="نامعتبر"),"",IF(Sync!$S1681="","",Sync!$S1681))</f>
        <v/>
      </c>
      <c r="H1684">
        <f>IF(OR($E1684="",$E1684="نامعتبر"),"",IF(Sync!$R1681="","",Sync!$R1681))</f>
        <v/>
      </c>
      <c r="I1684">
        <f>IF(OR($E1684="",$E1684="نامعتبر"),"",IF(Sync!$T1681="","",Sync!$T1681))</f>
        <v/>
      </c>
      <c r="J1684">
        <f>IF(OR($E1684="",$E1684="نامعتبر"),"",IF(Sync!$U1681="","",Sync!$U1681))</f>
        <v/>
      </c>
      <c r="K1684">
        <f>IF(OR($E1684="",$E1684="نامعتبر"),"",IF(Sync!$V1681="","",IFERROR(INDEX(SubCodes,MATCH(Sync!$V1681,SubTitles,0)),Sync!$V1681)))</f>
        <v/>
      </c>
      <c r="L1684">
        <f>IF(OR($E1684="",$E1684="نامعتبر"),"",IF(Sync!$W1681="",0,Sync!$W1681))</f>
        <v/>
      </c>
      <c r="M1684">
        <f>IF(OR($E1684="",$E1684="نامعتبر"),"",IF(Sync!$X1681="",0,Sync!$X1681))</f>
        <v/>
      </c>
      <c r="N1684">
        <f>IF(OR($E1684="",$E1684="نامعتبر"),"",IF(AND($J1684="هزینه",$K1684&lt;&gt;""),1,0))</f>
        <v/>
      </c>
      <c r="O1684">
        <f>IF($N1684=0,"",LEFT($E1684,4)&amp;MID($E1684,6,2)&amp;RIGHT($E1684,2)&amp;$F1684&amp;"|"&amp;"1"&amp;RIGHT("00000"&amp;1676,5))</f>
        <v/>
      </c>
      <c r="P1684">
        <f>IF($O1684="","",COUNTIFS(ExpSub,$K1684,ExpKey,"&lt;"&amp;$O1684)+1)</f>
        <v/>
      </c>
      <c r="Q1684">
        <f>IF($P1684="","",$K1684&amp;"|"&amp;RIGHT("000000"&amp;$P1684,6))</f>
        <v/>
      </c>
    </row>
    <row r="1685">
      <c r="A1685">
        <f>IF(Sync!$P1682="","",Sync!$P1682)</f>
        <v/>
      </c>
      <c r="B1685">
        <f>IF($A1685="","",IF(ISNUMBER($A1685),IF(AND($A1685&gt;=10000101,$A1685&lt;=99991231),INT($A1685/10000),""),IFERROR(VALUE(TRIM(LEFT($A1685,FIND("/",$A1685)-1))),"")))</f>
        <v/>
      </c>
      <c r="C1685">
        <f>IF(OR($A1685="",$B1685=""),"",IF(ISNUMBER($A1685),INT(MOD($A1685,10000)/100),IFERROR(VALUE(TRIM(LEFT(MID($A1685,FIND("/",$A1685)+1,20),FIND("/",MID($A1685,FIND("/",$A1685)+1,20))-1))),"")))</f>
        <v/>
      </c>
      <c r="D1685">
        <f>IF(OR($A1685="",$B1685=""),"",IF(ISNUMBER($A1685),MOD($A1685,100),IFERROR(VALUE(TRIM(MID(MID($A1685,FIND("/",$A1685)+1,20),FIND("/",MID($A1685,FIND("/",$A1685)+1,20))+1,20))),"")))</f>
        <v/>
      </c>
      <c r="E1685">
        <f>IF($A1685="","",IF(OR($B1685="",$C1685="",$D1685="",$B1685&lt;1300,$B1685&gt;1500,$C1685&lt;1,$C1685&gt;12,$D1685&lt;1,$D1685&gt;31),"نامعتبر",RIGHT("0000"&amp;$B1685,4)&amp;"/"&amp;RIGHT("00"&amp;$C1685,2)&amp;"/"&amp;RIGHT("00"&amp;$D1685,2)))</f>
        <v/>
      </c>
      <c r="F1685">
        <f>IF(OR($E1685="",$E1685="نامعتبر"),"",IF(Sync!$Q1682="","0000",IF(AND(ISNUMBER(Sync!$Q1682),Sync!$Q1682&gt;=0,Sync!$Q1682&lt;1),RIGHT("00"&amp;HOUR(Sync!$Q1682),2)&amp;RIGHT("00"&amp;MINUTE(Sync!$Q1682),2),IFERROR(RIGHT("00"&amp;VALUE(LEFT(Sync!$Q1682,FIND(":",Sync!$Q1682)-1)),2)&amp;RIGHT("00"&amp;VALUE(MID(Sync!$Q1682,FIND(":",Sync!$Q1682)+1,2)),2),"0000"))))</f>
        <v/>
      </c>
      <c r="G1685">
        <f>IF(OR($E1685="",$E1685="نامعتبر"),"",IF(Sync!$S1682="","",Sync!$S1682))</f>
        <v/>
      </c>
      <c r="H1685">
        <f>IF(OR($E1685="",$E1685="نامعتبر"),"",IF(Sync!$R1682="","",Sync!$R1682))</f>
        <v/>
      </c>
      <c r="I1685">
        <f>IF(OR($E1685="",$E1685="نامعتبر"),"",IF(Sync!$T1682="","",Sync!$T1682))</f>
        <v/>
      </c>
      <c r="J1685">
        <f>IF(OR($E1685="",$E1685="نامعتبر"),"",IF(Sync!$U1682="","",Sync!$U1682))</f>
        <v/>
      </c>
      <c r="K1685">
        <f>IF(OR($E1685="",$E1685="نامعتبر"),"",IF(Sync!$V1682="","",IFERROR(INDEX(SubCodes,MATCH(Sync!$V1682,SubTitles,0)),Sync!$V1682)))</f>
        <v/>
      </c>
      <c r="L1685">
        <f>IF(OR($E1685="",$E1685="نامعتبر"),"",IF(Sync!$W1682="",0,Sync!$W1682))</f>
        <v/>
      </c>
      <c r="M1685">
        <f>IF(OR($E1685="",$E1685="نامعتبر"),"",IF(Sync!$X1682="",0,Sync!$X1682))</f>
        <v/>
      </c>
      <c r="N1685">
        <f>IF(OR($E1685="",$E1685="نامعتبر"),"",IF(AND($J1685="هزینه",$K1685&lt;&gt;""),1,0))</f>
        <v/>
      </c>
      <c r="O1685">
        <f>IF($N1685=0,"",LEFT($E1685,4)&amp;MID($E1685,6,2)&amp;RIGHT($E1685,2)&amp;$F1685&amp;"|"&amp;"1"&amp;RIGHT("00000"&amp;1677,5))</f>
        <v/>
      </c>
      <c r="P1685">
        <f>IF($O1685="","",COUNTIFS(ExpSub,$K1685,ExpKey,"&lt;"&amp;$O1685)+1)</f>
        <v/>
      </c>
      <c r="Q1685">
        <f>IF($P1685="","",$K1685&amp;"|"&amp;RIGHT("000000"&amp;$P1685,6))</f>
        <v/>
      </c>
    </row>
    <row r="1686">
      <c r="A1686">
        <f>IF(Sync!$P1683="","",Sync!$P1683)</f>
        <v/>
      </c>
      <c r="B1686">
        <f>IF($A1686="","",IF(ISNUMBER($A1686),IF(AND($A1686&gt;=10000101,$A1686&lt;=99991231),INT($A1686/10000),""),IFERROR(VALUE(TRIM(LEFT($A1686,FIND("/",$A1686)-1))),"")))</f>
        <v/>
      </c>
      <c r="C1686">
        <f>IF(OR($A1686="",$B1686=""),"",IF(ISNUMBER($A1686),INT(MOD($A1686,10000)/100),IFERROR(VALUE(TRIM(LEFT(MID($A1686,FIND("/",$A1686)+1,20),FIND("/",MID($A1686,FIND("/",$A1686)+1,20))-1))),"")))</f>
        <v/>
      </c>
      <c r="D1686">
        <f>IF(OR($A1686="",$B1686=""),"",IF(ISNUMBER($A1686),MOD($A1686,100),IFERROR(VALUE(TRIM(MID(MID($A1686,FIND("/",$A1686)+1,20),FIND("/",MID($A1686,FIND("/",$A1686)+1,20))+1,20))),"")))</f>
        <v/>
      </c>
      <c r="E1686">
        <f>IF($A1686="","",IF(OR($B1686="",$C1686="",$D1686="",$B1686&lt;1300,$B1686&gt;1500,$C1686&lt;1,$C1686&gt;12,$D1686&lt;1,$D1686&gt;31),"نامعتبر",RIGHT("0000"&amp;$B1686,4)&amp;"/"&amp;RIGHT("00"&amp;$C1686,2)&amp;"/"&amp;RIGHT("00"&amp;$D1686,2)))</f>
        <v/>
      </c>
      <c r="F1686">
        <f>IF(OR($E1686="",$E1686="نامعتبر"),"",IF(Sync!$Q1683="","0000",IF(AND(ISNUMBER(Sync!$Q1683),Sync!$Q1683&gt;=0,Sync!$Q1683&lt;1),RIGHT("00"&amp;HOUR(Sync!$Q1683),2)&amp;RIGHT("00"&amp;MINUTE(Sync!$Q1683),2),IFERROR(RIGHT("00"&amp;VALUE(LEFT(Sync!$Q1683,FIND(":",Sync!$Q1683)-1)),2)&amp;RIGHT("00"&amp;VALUE(MID(Sync!$Q1683,FIND(":",Sync!$Q1683)+1,2)),2),"0000"))))</f>
        <v/>
      </c>
      <c r="G1686">
        <f>IF(OR($E1686="",$E1686="نامعتبر"),"",IF(Sync!$S1683="","",Sync!$S1683))</f>
        <v/>
      </c>
      <c r="H1686">
        <f>IF(OR($E1686="",$E1686="نامعتبر"),"",IF(Sync!$R1683="","",Sync!$R1683))</f>
        <v/>
      </c>
      <c r="I1686">
        <f>IF(OR($E1686="",$E1686="نامعتبر"),"",IF(Sync!$T1683="","",Sync!$T1683))</f>
        <v/>
      </c>
      <c r="J1686">
        <f>IF(OR($E1686="",$E1686="نامعتبر"),"",IF(Sync!$U1683="","",Sync!$U1683))</f>
        <v/>
      </c>
      <c r="K1686">
        <f>IF(OR($E1686="",$E1686="نامعتبر"),"",IF(Sync!$V1683="","",IFERROR(INDEX(SubCodes,MATCH(Sync!$V1683,SubTitles,0)),Sync!$V1683)))</f>
        <v/>
      </c>
      <c r="L1686">
        <f>IF(OR($E1686="",$E1686="نامعتبر"),"",IF(Sync!$W1683="",0,Sync!$W1683))</f>
        <v/>
      </c>
      <c r="M1686">
        <f>IF(OR($E1686="",$E1686="نامعتبر"),"",IF(Sync!$X1683="",0,Sync!$X1683))</f>
        <v/>
      </c>
      <c r="N1686">
        <f>IF(OR($E1686="",$E1686="نامعتبر"),"",IF(AND($J1686="هزینه",$K1686&lt;&gt;""),1,0))</f>
        <v/>
      </c>
      <c r="O1686">
        <f>IF($N1686=0,"",LEFT($E1686,4)&amp;MID($E1686,6,2)&amp;RIGHT($E1686,2)&amp;$F1686&amp;"|"&amp;"1"&amp;RIGHT("00000"&amp;1678,5))</f>
        <v/>
      </c>
      <c r="P1686">
        <f>IF($O1686="","",COUNTIFS(ExpSub,$K1686,ExpKey,"&lt;"&amp;$O1686)+1)</f>
        <v/>
      </c>
      <c r="Q1686">
        <f>IF($P1686="","",$K1686&amp;"|"&amp;RIGHT("000000"&amp;$P1686,6))</f>
        <v/>
      </c>
    </row>
    <row r="1687">
      <c r="A1687">
        <f>IF(Sync!$P1684="","",Sync!$P1684)</f>
        <v/>
      </c>
      <c r="B1687">
        <f>IF($A1687="","",IF(ISNUMBER($A1687),IF(AND($A1687&gt;=10000101,$A1687&lt;=99991231),INT($A1687/10000),""),IFERROR(VALUE(TRIM(LEFT($A1687,FIND("/",$A1687)-1))),"")))</f>
        <v/>
      </c>
      <c r="C1687">
        <f>IF(OR($A1687="",$B1687=""),"",IF(ISNUMBER($A1687),INT(MOD($A1687,10000)/100),IFERROR(VALUE(TRIM(LEFT(MID($A1687,FIND("/",$A1687)+1,20),FIND("/",MID($A1687,FIND("/",$A1687)+1,20))-1))),"")))</f>
        <v/>
      </c>
      <c r="D1687">
        <f>IF(OR($A1687="",$B1687=""),"",IF(ISNUMBER($A1687),MOD($A1687,100),IFERROR(VALUE(TRIM(MID(MID($A1687,FIND("/",$A1687)+1,20),FIND("/",MID($A1687,FIND("/",$A1687)+1,20))+1,20))),"")))</f>
        <v/>
      </c>
      <c r="E1687">
        <f>IF($A1687="","",IF(OR($B1687="",$C1687="",$D1687="",$B1687&lt;1300,$B1687&gt;1500,$C1687&lt;1,$C1687&gt;12,$D1687&lt;1,$D1687&gt;31),"نامعتبر",RIGHT("0000"&amp;$B1687,4)&amp;"/"&amp;RIGHT("00"&amp;$C1687,2)&amp;"/"&amp;RIGHT("00"&amp;$D1687,2)))</f>
        <v/>
      </c>
      <c r="F1687">
        <f>IF(OR($E1687="",$E1687="نامعتبر"),"",IF(Sync!$Q1684="","0000",IF(AND(ISNUMBER(Sync!$Q1684),Sync!$Q1684&gt;=0,Sync!$Q1684&lt;1),RIGHT("00"&amp;HOUR(Sync!$Q1684),2)&amp;RIGHT("00"&amp;MINUTE(Sync!$Q1684),2),IFERROR(RIGHT("00"&amp;VALUE(LEFT(Sync!$Q1684,FIND(":",Sync!$Q1684)-1)),2)&amp;RIGHT("00"&amp;VALUE(MID(Sync!$Q1684,FIND(":",Sync!$Q1684)+1,2)),2),"0000"))))</f>
        <v/>
      </c>
      <c r="G1687">
        <f>IF(OR($E1687="",$E1687="نامعتبر"),"",IF(Sync!$S1684="","",Sync!$S1684))</f>
        <v/>
      </c>
      <c r="H1687">
        <f>IF(OR($E1687="",$E1687="نامعتبر"),"",IF(Sync!$R1684="","",Sync!$R1684))</f>
        <v/>
      </c>
      <c r="I1687">
        <f>IF(OR($E1687="",$E1687="نامعتبر"),"",IF(Sync!$T1684="","",Sync!$T1684))</f>
        <v/>
      </c>
      <c r="J1687">
        <f>IF(OR($E1687="",$E1687="نامعتبر"),"",IF(Sync!$U1684="","",Sync!$U1684))</f>
        <v/>
      </c>
      <c r="K1687">
        <f>IF(OR($E1687="",$E1687="نامعتبر"),"",IF(Sync!$V1684="","",IFERROR(INDEX(SubCodes,MATCH(Sync!$V1684,SubTitles,0)),Sync!$V1684)))</f>
        <v/>
      </c>
      <c r="L1687">
        <f>IF(OR($E1687="",$E1687="نامعتبر"),"",IF(Sync!$W1684="",0,Sync!$W1684))</f>
        <v/>
      </c>
      <c r="M1687">
        <f>IF(OR($E1687="",$E1687="نامعتبر"),"",IF(Sync!$X1684="",0,Sync!$X1684))</f>
        <v/>
      </c>
      <c r="N1687">
        <f>IF(OR($E1687="",$E1687="نامعتبر"),"",IF(AND($J1687="هزینه",$K1687&lt;&gt;""),1,0))</f>
        <v/>
      </c>
      <c r="O1687">
        <f>IF($N1687=0,"",LEFT($E1687,4)&amp;MID($E1687,6,2)&amp;RIGHT($E1687,2)&amp;$F1687&amp;"|"&amp;"1"&amp;RIGHT("00000"&amp;1679,5))</f>
        <v/>
      </c>
      <c r="P1687">
        <f>IF($O1687="","",COUNTIFS(ExpSub,$K1687,ExpKey,"&lt;"&amp;$O1687)+1)</f>
        <v/>
      </c>
      <c r="Q1687">
        <f>IF($P1687="","",$K1687&amp;"|"&amp;RIGHT("000000"&amp;$P1687,6))</f>
        <v/>
      </c>
    </row>
    <row r="1688">
      <c r="A1688">
        <f>IF(Sync!$P1685="","",Sync!$P1685)</f>
        <v/>
      </c>
      <c r="B1688">
        <f>IF($A1688="","",IF(ISNUMBER($A1688),IF(AND($A1688&gt;=10000101,$A1688&lt;=99991231),INT($A1688/10000),""),IFERROR(VALUE(TRIM(LEFT($A1688,FIND("/",$A1688)-1))),"")))</f>
        <v/>
      </c>
      <c r="C1688">
        <f>IF(OR($A1688="",$B1688=""),"",IF(ISNUMBER($A1688),INT(MOD($A1688,10000)/100),IFERROR(VALUE(TRIM(LEFT(MID($A1688,FIND("/",$A1688)+1,20),FIND("/",MID($A1688,FIND("/",$A1688)+1,20))-1))),"")))</f>
        <v/>
      </c>
      <c r="D1688">
        <f>IF(OR($A1688="",$B1688=""),"",IF(ISNUMBER($A1688),MOD($A1688,100),IFERROR(VALUE(TRIM(MID(MID($A1688,FIND("/",$A1688)+1,20),FIND("/",MID($A1688,FIND("/",$A1688)+1,20))+1,20))),"")))</f>
        <v/>
      </c>
      <c r="E1688">
        <f>IF($A1688="","",IF(OR($B1688="",$C1688="",$D1688="",$B1688&lt;1300,$B1688&gt;1500,$C1688&lt;1,$C1688&gt;12,$D1688&lt;1,$D1688&gt;31),"نامعتبر",RIGHT("0000"&amp;$B1688,4)&amp;"/"&amp;RIGHT("00"&amp;$C1688,2)&amp;"/"&amp;RIGHT("00"&amp;$D1688,2)))</f>
        <v/>
      </c>
      <c r="F1688">
        <f>IF(OR($E1688="",$E1688="نامعتبر"),"",IF(Sync!$Q1685="","0000",IF(AND(ISNUMBER(Sync!$Q1685),Sync!$Q1685&gt;=0,Sync!$Q1685&lt;1),RIGHT("00"&amp;HOUR(Sync!$Q1685),2)&amp;RIGHT("00"&amp;MINUTE(Sync!$Q1685),2),IFERROR(RIGHT("00"&amp;VALUE(LEFT(Sync!$Q1685,FIND(":",Sync!$Q1685)-1)),2)&amp;RIGHT("00"&amp;VALUE(MID(Sync!$Q1685,FIND(":",Sync!$Q1685)+1,2)),2),"0000"))))</f>
        <v/>
      </c>
      <c r="G1688">
        <f>IF(OR($E1688="",$E1688="نامعتبر"),"",IF(Sync!$S1685="","",Sync!$S1685))</f>
        <v/>
      </c>
      <c r="H1688">
        <f>IF(OR($E1688="",$E1688="نامعتبر"),"",IF(Sync!$R1685="","",Sync!$R1685))</f>
        <v/>
      </c>
      <c r="I1688">
        <f>IF(OR($E1688="",$E1688="نامعتبر"),"",IF(Sync!$T1685="","",Sync!$T1685))</f>
        <v/>
      </c>
      <c r="J1688">
        <f>IF(OR($E1688="",$E1688="نامعتبر"),"",IF(Sync!$U1685="","",Sync!$U1685))</f>
        <v/>
      </c>
      <c r="K1688">
        <f>IF(OR($E1688="",$E1688="نامعتبر"),"",IF(Sync!$V1685="","",IFERROR(INDEX(SubCodes,MATCH(Sync!$V1685,SubTitles,0)),Sync!$V1685)))</f>
        <v/>
      </c>
      <c r="L1688">
        <f>IF(OR($E1688="",$E1688="نامعتبر"),"",IF(Sync!$W1685="",0,Sync!$W1685))</f>
        <v/>
      </c>
      <c r="M1688">
        <f>IF(OR($E1688="",$E1688="نامعتبر"),"",IF(Sync!$X1685="",0,Sync!$X1685))</f>
        <v/>
      </c>
      <c r="N1688">
        <f>IF(OR($E1688="",$E1688="نامعتبر"),"",IF(AND($J1688="هزینه",$K1688&lt;&gt;""),1,0))</f>
        <v/>
      </c>
      <c r="O1688">
        <f>IF($N1688=0,"",LEFT($E1688,4)&amp;MID($E1688,6,2)&amp;RIGHT($E1688,2)&amp;$F1688&amp;"|"&amp;"1"&amp;RIGHT("00000"&amp;1680,5))</f>
        <v/>
      </c>
      <c r="P1688">
        <f>IF($O1688="","",COUNTIFS(ExpSub,$K1688,ExpKey,"&lt;"&amp;$O1688)+1)</f>
        <v/>
      </c>
      <c r="Q1688">
        <f>IF($P1688="","",$K1688&amp;"|"&amp;RIGHT("000000"&amp;$P1688,6))</f>
        <v/>
      </c>
    </row>
    <row r="1689">
      <c r="A1689">
        <f>IF(Sync!$P1686="","",Sync!$P1686)</f>
        <v/>
      </c>
      <c r="B1689">
        <f>IF($A1689="","",IF(ISNUMBER($A1689),IF(AND($A1689&gt;=10000101,$A1689&lt;=99991231),INT($A1689/10000),""),IFERROR(VALUE(TRIM(LEFT($A1689,FIND("/",$A1689)-1))),"")))</f>
        <v/>
      </c>
      <c r="C1689">
        <f>IF(OR($A1689="",$B1689=""),"",IF(ISNUMBER($A1689),INT(MOD($A1689,10000)/100),IFERROR(VALUE(TRIM(LEFT(MID($A1689,FIND("/",$A1689)+1,20),FIND("/",MID($A1689,FIND("/",$A1689)+1,20))-1))),"")))</f>
        <v/>
      </c>
      <c r="D1689">
        <f>IF(OR($A1689="",$B1689=""),"",IF(ISNUMBER($A1689),MOD($A1689,100),IFERROR(VALUE(TRIM(MID(MID($A1689,FIND("/",$A1689)+1,20),FIND("/",MID($A1689,FIND("/",$A1689)+1,20))+1,20))),"")))</f>
        <v/>
      </c>
      <c r="E1689">
        <f>IF($A1689="","",IF(OR($B1689="",$C1689="",$D1689="",$B1689&lt;1300,$B1689&gt;1500,$C1689&lt;1,$C1689&gt;12,$D1689&lt;1,$D1689&gt;31),"نامعتبر",RIGHT("0000"&amp;$B1689,4)&amp;"/"&amp;RIGHT("00"&amp;$C1689,2)&amp;"/"&amp;RIGHT("00"&amp;$D1689,2)))</f>
        <v/>
      </c>
      <c r="F1689">
        <f>IF(OR($E1689="",$E1689="نامعتبر"),"",IF(Sync!$Q1686="","0000",IF(AND(ISNUMBER(Sync!$Q1686),Sync!$Q1686&gt;=0,Sync!$Q1686&lt;1),RIGHT("00"&amp;HOUR(Sync!$Q1686),2)&amp;RIGHT("00"&amp;MINUTE(Sync!$Q1686),2),IFERROR(RIGHT("00"&amp;VALUE(LEFT(Sync!$Q1686,FIND(":",Sync!$Q1686)-1)),2)&amp;RIGHT("00"&amp;VALUE(MID(Sync!$Q1686,FIND(":",Sync!$Q1686)+1,2)),2),"0000"))))</f>
        <v/>
      </c>
      <c r="G1689">
        <f>IF(OR($E1689="",$E1689="نامعتبر"),"",IF(Sync!$S1686="","",Sync!$S1686))</f>
        <v/>
      </c>
      <c r="H1689">
        <f>IF(OR($E1689="",$E1689="نامعتبر"),"",IF(Sync!$R1686="","",Sync!$R1686))</f>
        <v/>
      </c>
      <c r="I1689">
        <f>IF(OR($E1689="",$E1689="نامعتبر"),"",IF(Sync!$T1686="","",Sync!$T1686))</f>
        <v/>
      </c>
      <c r="J1689">
        <f>IF(OR($E1689="",$E1689="نامعتبر"),"",IF(Sync!$U1686="","",Sync!$U1686))</f>
        <v/>
      </c>
      <c r="K1689">
        <f>IF(OR($E1689="",$E1689="نامعتبر"),"",IF(Sync!$V1686="","",IFERROR(INDEX(SubCodes,MATCH(Sync!$V1686,SubTitles,0)),Sync!$V1686)))</f>
        <v/>
      </c>
      <c r="L1689">
        <f>IF(OR($E1689="",$E1689="نامعتبر"),"",IF(Sync!$W1686="",0,Sync!$W1686))</f>
        <v/>
      </c>
      <c r="M1689">
        <f>IF(OR($E1689="",$E1689="نامعتبر"),"",IF(Sync!$X1686="",0,Sync!$X1686))</f>
        <v/>
      </c>
      <c r="N1689">
        <f>IF(OR($E1689="",$E1689="نامعتبر"),"",IF(AND($J1689="هزینه",$K1689&lt;&gt;""),1,0))</f>
        <v/>
      </c>
      <c r="O1689">
        <f>IF($N1689=0,"",LEFT($E1689,4)&amp;MID($E1689,6,2)&amp;RIGHT($E1689,2)&amp;$F1689&amp;"|"&amp;"1"&amp;RIGHT("00000"&amp;1681,5))</f>
        <v/>
      </c>
      <c r="P1689">
        <f>IF($O1689="","",COUNTIFS(ExpSub,$K1689,ExpKey,"&lt;"&amp;$O1689)+1)</f>
        <v/>
      </c>
      <c r="Q1689">
        <f>IF($P1689="","",$K1689&amp;"|"&amp;RIGHT("000000"&amp;$P1689,6))</f>
        <v/>
      </c>
    </row>
    <row r="1690">
      <c r="A1690">
        <f>IF(Sync!$P1687="","",Sync!$P1687)</f>
        <v/>
      </c>
      <c r="B1690">
        <f>IF($A1690="","",IF(ISNUMBER($A1690),IF(AND($A1690&gt;=10000101,$A1690&lt;=99991231),INT($A1690/10000),""),IFERROR(VALUE(TRIM(LEFT($A1690,FIND("/",$A1690)-1))),"")))</f>
        <v/>
      </c>
      <c r="C1690">
        <f>IF(OR($A1690="",$B1690=""),"",IF(ISNUMBER($A1690),INT(MOD($A1690,10000)/100),IFERROR(VALUE(TRIM(LEFT(MID($A1690,FIND("/",$A1690)+1,20),FIND("/",MID($A1690,FIND("/",$A1690)+1,20))-1))),"")))</f>
        <v/>
      </c>
      <c r="D1690">
        <f>IF(OR($A1690="",$B1690=""),"",IF(ISNUMBER($A1690),MOD($A1690,100),IFERROR(VALUE(TRIM(MID(MID($A1690,FIND("/",$A1690)+1,20),FIND("/",MID($A1690,FIND("/",$A1690)+1,20))+1,20))),"")))</f>
        <v/>
      </c>
      <c r="E1690">
        <f>IF($A1690="","",IF(OR($B1690="",$C1690="",$D1690="",$B1690&lt;1300,$B1690&gt;1500,$C1690&lt;1,$C1690&gt;12,$D1690&lt;1,$D1690&gt;31),"نامعتبر",RIGHT("0000"&amp;$B1690,4)&amp;"/"&amp;RIGHT("00"&amp;$C1690,2)&amp;"/"&amp;RIGHT("00"&amp;$D1690,2)))</f>
        <v/>
      </c>
      <c r="F1690">
        <f>IF(OR($E1690="",$E1690="نامعتبر"),"",IF(Sync!$Q1687="","0000",IF(AND(ISNUMBER(Sync!$Q1687),Sync!$Q1687&gt;=0,Sync!$Q1687&lt;1),RIGHT("00"&amp;HOUR(Sync!$Q1687),2)&amp;RIGHT("00"&amp;MINUTE(Sync!$Q1687),2),IFERROR(RIGHT("00"&amp;VALUE(LEFT(Sync!$Q1687,FIND(":",Sync!$Q1687)-1)),2)&amp;RIGHT("00"&amp;VALUE(MID(Sync!$Q1687,FIND(":",Sync!$Q1687)+1,2)),2),"0000"))))</f>
        <v/>
      </c>
      <c r="G1690">
        <f>IF(OR($E1690="",$E1690="نامعتبر"),"",IF(Sync!$S1687="","",Sync!$S1687))</f>
        <v/>
      </c>
      <c r="H1690">
        <f>IF(OR($E1690="",$E1690="نامعتبر"),"",IF(Sync!$R1687="","",Sync!$R1687))</f>
        <v/>
      </c>
      <c r="I1690">
        <f>IF(OR($E1690="",$E1690="نامعتبر"),"",IF(Sync!$T1687="","",Sync!$T1687))</f>
        <v/>
      </c>
      <c r="J1690">
        <f>IF(OR($E1690="",$E1690="نامعتبر"),"",IF(Sync!$U1687="","",Sync!$U1687))</f>
        <v/>
      </c>
      <c r="K1690">
        <f>IF(OR($E1690="",$E1690="نامعتبر"),"",IF(Sync!$V1687="","",IFERROR(INDEX(SubCodes,MATCH(Sync!$V1687,SubTitles,0)),Sync!$V1687)))</f>
        <v/>
      </c>
      <c r="L1690">
        <f>IF(OR($E1690="",$E1690="نامعتبر"),"",IF(Sync!$W1687="",0,Sync!$W1687))</f>
        <v/>
      </c>
      <c r="M1690">
        <f>IF(OR($E1690="",$E1690="نامعتبر"),"",IF(Sync!$X1687="",0,Sync!$X1687))</f>
        <v/>
      </c>
      <c r="N1690">
        <f>IF(OR($E1690="",$E1690="نامعتبر"),"",IF(AND($J1690="هزینه",$K1690&lt;&gt;""),1,0))</f>
        <v/>
      </c>
      <c r="O1690">
        <f>IF($N1690=0,"",LEFT($E1690,4)&amp;MID($E1690,6,2)&amp;RIGHT($E1690,2)&amp;$F1690&amp;"|"&amp;"1"&amp;RIGHT("00000"&amp;1682,5))</f>
        <v/>
      </c>
      <c r="P1690">
        <f>IF($O1690="","",COUNTIFS(ExpSub,$K1690,ExpKey,"&lt;"&amp;$O1690)+1)</f>
        <v/>
      </c>
      <c r="Q1690">
        <f>IF($P1690="","",$K1690&amp;"|"&amp;RIGHT("000000"&amp;$P1690,6))</f>
        <v/>
      </c>
    </row>
    <row r="1691">
      <c r="A1691">
        <f>IF(Sync!$P1688="","",Sync!$P1688)</f>
        <v/>
      </c>
      <c r="B1691">
        <f>IF($A1691="","",IF(ISNUMBER($A1691),IF(AND($A1691&gt;=10000101,$A1691&lt;=99991231),INT($A1691/10000),""),IFERROR(VALUE(TRIM(LEFT($A1691,FIND("/",$A1691)-1))),"")))</f>
        <v/>
      </c>
      <c r="C1691">
        <f>IF(OR($A1691="",$B1691=""),"",IF(ISNUMBER($A1691),INT(MOD($A1691,10000)/100),IFERROR(VALUE(TRIM(LEFT(MID($A1691,FIND("/",$A1691)+1,20),FIND("/",MID($A1691,FIND("/",$A1691)+1,20))-1))),"")))</f>
        <v/>
      </c>
      <c r="D1691">
        <f>IF(OR($A1691="",$B1691=""),"",IF(ISNUMBER($A1691),MOD($A1691,100),IFERROR(VALUE(TRIM(MID(MID($A1691,FIND("/",$A1691)+1,20),FIND("/",MID($A1691,FIND("/",$A1691)+1,20))+1,20))),"")))</f>
        <v/>
      </c>
      <c r="E1691">
        <f>IF($A1691="","",IF(OR($B1691="",$C1691="",$D1691="",$B1691&lt;1300,$B1691&gt;1500,$C1691&lt;1,$C1691&gt;12,$D1691&lt;1,$D1691&gt;31),"نامعتبر",RIGHT("0000"&amp;$B1691,4)&amp;"/"&amp;RIGHT("00"&amp;$C1691,2)&amp;"/"&amp;RIGHT("00"&amp;$D1691,2)))</f>
        <v/>
      </c>
      <c r="F1691">
        <f>IF(OR($E1691="",$E1691="نامعتبر"),"",IF(Sync!$Q1688="","0000",IF(AND(ISNUMBER(Sync!$Q1688),Sync!$Q1688&gt;=0,Sync!$Q1688&lt;1),RIGHT("00"&amp;HOUR(Sync!$Q1688),2)&amp;RIGHT("00"&amp;MINUTE(Sync!$Q1688),2),IFERROR(RIGHT("00"&amp;VALUE(LEFT(Sync!$Q1688,FIND(":",Sync!$Q1688)-1)),2)&amp;RIGHT("00"&amp;VALUE(MID(Sync!$Q1688,FIND(":",Sync!$Q1688)+1,2)),2),"0000"))))</f>
        <v/>
      </c>
      <c r="G1691">
        <f>IF(OR($E1691="",$E1691="نامعتبر"),"",IF(Sync!$S1688="","",Sync!$S1688))</f>
        <v/>
      </c>
      <c r="H1691">
        <f>IF(OR($E1691="",$E1691="نامعتبر"),"",IF(Sync!$R1688="","",Sync!$R1688))</f>
        <v/>
      </c>
      <c r="I1691">
        <f>IF(OR($E1691="",$E1691="نامعتبر"),"",IF(Sync!$T1688="","",Sync!$T1688))</f>
        <v/>
      </c>
      <c r="J1691">
        <f>IF(OR($E1691="",$E1691="نامعتبر"),"",IF(Sync!$U1688="","",Sync!$U1688))</f>
        <v/>
      </c>
      <c r="K1691">
        <f>IF(OR($E1691="",$E1691="نامعتبر"),"",IF(Sync!$V1688="","",IFERROR(INDEX(SubCodes,MATCH(Sync!$V1688,SubTitles,0)),Sync!$V1688)))</f>
        <v/>
      </c>
      <c r="L1691">
        <f>IF(OR($E1691="",$E1691="نامعتبر"),"",IF(Sync!$W1688="",0,Sync!$W1688))</f>
        <v/>
      </c>
      <c r="M1691">
        <f>IF(OR($E1691="",$E1691="نامعتبر"),"",IF(Sync!$X1688="",0,Sync!$X1688))</f>
        <v/>
      </c>
      <c r="N1691">
        <f>IF(OR($E1691="",$E1691="نامعتبر"),"",IF(AND($J1691="هزینه",$K1691&lt;&gt;""),1,0))</f>
        <v/>
      </c>
      <c r="O1691">
        <f>IF($N1691=0,"",LEFT($E1691,4)&amp;MID($E1691,6,2)&amp;RIGHT($E1691,2)&amp;$F1691&amp;"|"&amp;"1"&amp;RIGHT("00000"&amp;1683,5))</f>
        <v/>
      </c>
      <c r="P1691">
        <f>IF($O1691="","",COUNTIFS(ExpSub,$K1691,ExpKey,"&lt;"&amp;$O1691)+1)</f>
        <v/>
      </c>
      <c r="Q1691">
        <f>IF($P1691="","",$K1691&amp;"|"&amp;RIGHT("000000"&amp;$P1691,6))</f>
        <v/>
      </c>
    </row>
    <row r="1692">
      <c r="A1692">
        <f>IF(Sync!$P1689="","",Sync!$P1689)</f>
        <v/>
      </c>
      <c r="B1692">
        <f>IF($A1692="","",IF(ISNUMBER($A1692),IF(AND($A1692&gt;=10000101,$A1692&lt;=99991231),INT($A1692/10000),""),IFERROR(VALUE(TRIM(LEFT($A1692,FIND("/",$A1692)-1))),"")))</f>
        <v/>
      </c>
      <c r="C1692">
        <f>IF(OR($A1692="",$B1692=""),"",IF(ISNUMBER($A1692),INT(MOD($A1692,10000)/100),IFERROR(VALUE(TRIM(LEFT(MID($A1692,FIND("/",$A1692)+1,20),FIND("/",MID($A1692,FIND("/",$A1692)+1,20))-1))),"")))</f>
        <v/>
      </c>
      <c r="D1692">
        <f>IF(OR($A1692="",$B1692=""),"",IF(ISNUMBER($A1692),MOD($A1692,100),IFERROR(VALUE(TRIM(MID(MID($A1692,FIND("/",$A1692)+1,20),FIND("/",MID($A1692,FIND("/",$A1692)+1,20))+1,20))),"")))</f>
        <v/>
      </c>
      <c r="E1692">
        <f>IF($A1692="","",IF(OR($B1692="",$C1692="",$D1692="",$B1692&lt;1300,$B1692&gt;1500,$C1692&lt;1,$C1692&gt;12,$D1692&lt;1,$D1692&gt;31),"نامعتبر",RIGHT("0000"&amp;$B1692,4)&amp;"/"&amp;RIGHT("00"&amp;$C1692,2)&amp;"/"&amp;RIGHT("00"&amp;$D1692,2)))</f>
        <v/>
      </c>
      <c r="F1692">
        <f>IF(OR($E1692="",$E1692="نامعتبر"),"",IF(Sync!$Q1689="","0000",IF(AND(ISNUMBER(Sync!$Q1689),Sync!$Q1689&gt;=0,Sync!$Q1689&lt;1),RIGHT("00"&amp;HOUR(Sync!$Q1689),2)&amp;RIGHT("00"&amp;MINUTE(Sync!$Q1689),2),IFERROR(RIGHT("00"&amp;VALUE(LEFT(Sync!$Q1689,FIND(":",Sync!$Q1689)-1)),2)&amp;RIGHT("00"&amp;VALUE(MID(Sync!$Q1689,FIND(":",Sync!$Q1689)+1,2)),2),"0000"))))</f>
        <v/>
      </c>
      <c r="G1692">
        <f>IF(OR($E1692="",$E1692="نامعتبر"),"",IF(Sync!$S1689="","",Sync!$S1689))</f>
        <v/>
      </c>
      <c r="H1692">
        <f>IF(OR($E1692="",$E1692="نامعتبر"),"",IF(Sync!$R1689="","",Sync!$R1689))</f>
        <v/>
      </c>
      <c r="I1692">
        <f>IF(OR($E1692="",$E1692="نامعتبر"),"",IF(Sync!$T1689="","",Sync!$T1689))</f>
        <v/>
      </c>
      <c r="J1692">
        <f>IF(OR($E1692="",$E1692="نامعتبر"),"",IF(Sync!$U1689="","",Sync!$U1689))</f>
        <v/>
      </c>
      <c r="K1692">
        <f>IF(OR($E1692="",$E1692="نامعتبر"),"",IF(Sync!$V1689="","",IFERROR(INDEX(SubCodes,MATCH(Sync!$V1689,SubTitles,0)),Sync!$V1689)))</f>
        <v/>
      </c>
      <c r="L1692">
        <f>IF(OR($E1692="",$E1692="نامعتبر"),"",IF(Sync!$W1689="",0,Sync!$W1689))</f>
        <v/>
      </c>
      <c r="M1692">
        <f>IF(OR($E1692="",$E1692="نامعتبر"),"",IF(Sync!$X1689="",0,Sync!$X1689))</f>
        <v/>
      </c>
      <c r="N1692">
        <f>IF(OR($E1692="",$E1692="نامعتبر"),"",IF(AND($J1692="هزینه",$K1692&lt;&gt;""),1,0))</f>
        <v/>
      </c>
      <c r="O1692">
        <f>IF($N1692=0,"",LEFT($E1692,4)&amp;MID($E1692,6,2)&amp;RIGHT($E1692,2)&amp;$F1692&amp;"|"&amp;"1"&amp;RIGHT("00000"&amp;1684,5))</f>
        <v/>
      </c>
      <c r="P1692">
        <f>IF($O1692="","",COUNTIFS(ExpSub,$K1692,ExpKey,"&lt;"&amp;$O1692)+1)</f>
        <v/>
      </c>
      <c r="Q1692">
        <f>IF($P1692="","",$K1692&amp;"|"&amp;RIGHT("000000"&amp;$P1692,6))</f>
        <v/>
      </c>
    </row>
    <row r="1693">
      <c r="A1693">
        <f>IF(Sync!$P1690="","",Sync!$P1690)</f>
        <v/>
      </c>
      <c r="B1693">
        <f>IF($A1693="","",IF(ISNUMBER($A1693),IF(AND($A1693&gt;=10000101,$A1693&lt;=99991231),INT($A1693/10000),""),IFERROR(VALUE(TRIM(LEFT($A1693,FIND("/",$A1693)-1))),"")))</f>
        <v/>
      </c>
      <c r="C1693">
        <f>IF(OR($A1693="",$B1693=""),"",IF(ISNUMBER($A1693),INT(MOD($A1693,10000)/100),IFERROR(VALUE(TRIM(LEFT(MID($A1693,FIND("/",$A1693)+1,20),FIND("/",MID($A1693,FIND("/",$A1693)+1,20))-1))),"")))</f>
        <v/>
      </c>
      <c r="D1693">
        <f>IF(OR($A1693="",$B1693=""),"",IF(ISNUMBER($A1693),MOD($A1693,100),IFERROR(VALUE(TRIM(MID(MID($A1693,FIND("/",$A1693)+1,20),FIND("/",MID($A1693,FIND("/",$A1693)+1,20))+1,20))),"")))</f>
        <v/>
      </c>
      <c r="E1693">
        <f>IF($A1693="","",IF(OR($B1693="",$C1693="",$D1693="",$B1693&lt;1300,$B1693&gt;1500,$C1693&lt;1,$C1693&gt;12,$D1693&lt;1,$D1693&gt;31),"نامعتبر",RIGHT("0000"&amp;$B1693,4)&amp;"/"&amp;RIGHT("00"&amp;$C1693,2)&amp;"/"&amp;RIGHT("00"&amp;$D1693,2)))</f>
        <v/>
      </c>
      <c r="F1693">
        <f>IF(OR($E1693="",$E1693="نامعتبر"),"",IF(Sync!$Q1690="","0000",IF(AND(ISNUMBER(Sync!$Q1690),Sync!$Q1690&gt;=0,Sync!$Q1690&lt;1),RIGHT("00"&amp;HOUR(Sync!$Q1690),2)&amp;RIGHT("00"&amp;MINUTE(Sync!$Q1690),2),IFERROR(RIGHT("00"&amp;VALUE(LEFT(Sync!$Q1690,FIND(":",Sync!$Q1690)-1)),2)&amp;RIGHT("00"&amp;VALUE(MID(Sync!$Q1690,FIND(":",Sync!$Q1690)+1,2)),2),"0000"))))</f>
        <v/>
      </c>
      <c r="G1693">
        <f>IF(OR($E1693="",$E1693="نامعتبر"),"",IF(Sync!$S1690="","",Sync!$S1690))</f>
        <v/>
      </c>
      <c r="H1693">
        <f>IF(OR($E1693="",$E1693="نامعتبر"),"",IF(Sync!$R1690="","",Sync!$R1690))</f>
        <v/>
      </c>
      <c r="I1693">
        <f>IF(OR($E1693="",$E1693="نامعتبر"),"",IF(Sync!$T1690="","",Sync!$T1690))</f>
        <v/>
      </c>
      <c r="J1693">
        <f>IF(OR($E1693="",$E1693="نامعتبر"),"",IF(Sync!$U1690="","",Sync!$U1690))</f>
        <v/>
      </c>
      <c r="K1693">
        <f>IF(OR($E1693="",$E1693="نامعتبر"),"",IF(Sync!$V1690="","",IFERROR(INDEX(SubCodes,MATCH(Sync!$V1690,SubTitles,0)),Sync!$V1690)))</f>
        <v/>
      </c>
      <c r="L1693">
        <f>IF(OR($E1693="",$E1693="نامعتبر"),"",IF(Sync!$W1690="",0,Sync!$W1690))</f>
        <v/>
      </c>
      <c r="M1693">
        <f>IF(OR($E1693="",$E1693="نامعتبر"),"",IF(Sync!$X1690="",0,Sync!$X1690))</f>
        <v/>
      </c>
      <c r="N1693">
        <f>IF(OR($E1693="",$E1693="نامعتبر"),"",IF(AND($J1693="هزینه",$K1693&lt;&gt;""),1,0))</f>
        <v/>
      </c>
      <c r="O1693">
        <f>IF($N1693=0,"",LEFT($E1693,4)&amp;MID($E1693,6,2)&amp;RIGHT($E1693,2)&amp;$F1693&amp;"|"&amp;"1"&amp;RIGHT("00000"&amp;1685,5))</f>
        <v/>
      </c>
      <c r="P1693">
        <f>IF($O1693="","",COUNTIFS(ExpSub,$K1693,ExpKey,"&lt;"&amp;$O1693)+1)</f>
        <v/>
      </c>
      <c r="Q1693">
        <f>IF($P1693="","",$K1693&amp;"|"&amp;RIGHT("000000"&amp;$P1693,6))</f>
        <v/>
      </c>
    </row>
    <row r="1694">
      <c r="A1694">
        <f>IF(Sync!$P1691="","",Sync!$P1691)</f>
        <v/>
      </c>
      <c r="B1694">
        <f>IF($A1694="","",IF(ISNUMBER($A1694),IF(AND($A1694&gt;=10000101,$A1694&lt;=99991231),INT($A1694/10000),""),IFERROR(VALUE(TRIM(LEFT($A1694,FIND("/",$A1694)-1))),"")))</f>
        <v/>
      </c>
      <c r="C1694">
        <f>IF(OR($A1694="",$B1694=""),"",IF(ISNUMBER($A1694),INT(MOD($A1694,10000)/100),IFERROR(VALUE(TRIM(LEFT(MID($A1694,FIND("/",$A1694)+1,20),FIND("/",MID($A1694,FIND("/",$A1694)+1,20))-1))),"")))</f>
        <v/>
      </c>
      <c r="D1694">
        <f>IF(OR($A1694="",$B1694=""),"",IF(ISNUMBER($A1694),MOD($A1694,100),IFERROR(VALUE(TRIM(MID(MID($A1694,FIND("/",$A1694)+1,20),FIND("/",MID($A1694,FIND("/",$A1694)+1,20))+1,20))),"")))</f>
        <v/>
      </c>
      <c r="E1694">
        <f>IF($A1694="","",IF(OR($B1694="",$C1694="",$D1694="",$B1694&lt;1300,$B1694&gt;1500,$C1694&lt;1,$C1694&gt;12,$D1694&lt;1,$D1694&gt;31),"نامعتبر",RIGHT("0000"&amp;$B1694,4)&amp;"/"&amp;RIGHT("00"&amp;$C1694,2)&amp;"/"&amp;RIGHT("00"&amp;$D1694,2)))</f>
        <v/>
      </c>
      <c r="F1694">
        <f>IF(OR($E1694="",$E1694="نامعتبر"),"",IF(Sync!$Q1691="","0000",IF(AND(ISNUMBER(Sync!$Q1691),Sync!$Q1691&gt;=0,Sync!$Q1691&lt;1),RIGHT("00"&amp;HOUR(Sync!$Q1691),2)&amp;RIGHT("00"&amp;MINUTE(Sync!$Q1691),2),IFERROR(RIGHT("00"&amp;VALUE(LEFT(Sync!$Q1691,FIND(":",Sync!$Q1691)-1)),2)&amp;RIGHT("00"&amp;VALUE(MID(Sync!$Q1691,FIND(":",Sync!$Q1691)+1,2)),2),"0000"))))</f>
        <v/>
      </c>
      <c r="G1694">
        <f>IF(OR($E1694="",$E1694="نامعتبر"),"",IF(Sync!$S1691="","",Sync!$S1691))</f>
        <v/>
      </c>
      <c r="H1694">
        <f>IF(OR($E1694="",$E1694="نامعتبر"),"",IF(Sync!$R1691="","",Sync!$R1691))</f>
        <v/>
      </c>
      <c r="I1694">
        <f>IF(OR($E1694="",$E1694="نامعتبر"),"",IF(Sync!$T1691="","",Sync!$T1691))</f>
        <v/>
      </c>
      <c r="J1694">
        <f>IF(OR($E1694="",$E1694="نامعتبر"),"",IF(Sync!$U1691="","",Sync!$U1691))</f>
        <v/>
      </c>
      <c r="K1694">
        <f>IF(OR($E1694="",$E1694="نامعتبر"),"",IF(Sync!$V1691="","",IFERROR(INDEX(SubCodes,MATCH(Sync!$V1691,SubTitles,0)),Sync!$V1691)))</f>
        <v/>
      </c>
      <c r="L1694">
        <f>IF(OR($E1694="",$E1694="نامعتبر"),"",IF(Sync!$W1691="",0,Sync!$W1691))</f>
        <v/>
      </c>
      <c r="M1694">
        <f>IF(OR($E1694="",$E1694="نامعتبر"),"",IF(Sync!$X1691="",0,Sync!$X1691))</f>
        <v/>
      </c>
      <c r="N1694">
        <f>IF(OR($E1694="",$E1694="نامعتبر"),"",IF(AND($J1694="هزینه",$K1694&lt;&gt;""),1,0))</f>
        <v/>
      </c>
      <c r="O1694">
        <f>IF($N1694=0,"",LEFT($E1694,4)&amp;MID($E1694,6,2)&amp;RIGHT($E1694,2)&amp;$F1694&amp;"|"&amp;"1"&amp;RIGHT("00000"&amp;1686,5))</f>
        <v/>
      </c>
      <c r="P1694">
        <f>IF($O1694="","",COUNTIFS(ExpSub,$K1694,ExpKey,"&lt;"&amp;$O1694)+1)</f>
        <v/>
      </c>
      <c r="Q1694">
        <f>IF($P1694="","",$K1694&amp;"|"&amp;RIGHT("000000"&amp;$P1694,6))</f>
        <v/>
      </c>
    </row>
    <row r="1695">
      <c r="A1695">
        <f>IF(Sync!$P1692="","",Sync!$P1692)</f>
        <v/>
      </c>
      <c r="B1695">
        <f>IF($A1695="","",IF(ISNUMBER($A1695),IF(AND($A1695&gt;=10000101,$A1695&lt;=99991231),INT($A1695/10000),""),IFERROR(VALUE(TRIM(LEFT($A1695,FIND("/",$A1695)-1))),"")))</f>
        <v/>
      </c>
      <c r="C1695">
        <f>IF(OR($A1695="",$B1695=""),"",IF(ISNUMBER($A1695),INT(MOD($A1695,10000)/100),IFERROR(VALUE(TRIM(LEFT(MID($A1695,FIND("/",$A1695)+1,20),FIND("/",MID($A1695,FIND("/",$A1695)+1,20))-1))),"")))</f>
        <v/>
      </c>
      <c r="D1695">
        <f>IF(OR($A1695="",$B1695=""),"",IF(ISNUMBER($A1695),MOD($A1695,100),IFERROR(VALUE(TRIM(MID(MID($A1695,FIND("/",$A1695)+1,20),FIND("/",MID($A1695,FIND("/",$A1695)+1,20))+1,20))),"")))</f>
        <v/>
      </c>
      <c r="E1695">
        <f>IF($A1695="","",IF(OR($B1695="",$C1695="",$D1695="",$B1695&lt;1300,$B1695&gt;1500,$C1695&lt;1,$C1695&gt;12,$D1695&lt;1,$D1695&gt;31),"نامعتبر",RIGHT("0000"&amp;$B1695,4)&amp;"/"&amp;RIGHT("00"&amp;$C1695,2)&amp;"/"&amp;RIGHT("00"&amp;$D1695,2)))</f>
        <v/>
      </c>
      <c r="F1695">
        <f>IF(OR($E1695="",$E1695="نامعتبر"),"",IF(Sync!$Q1692="","0000",IF(AND(ISNUMBER(Sync!$Q1692),Sync!$Q1692&gt;=0,Sync!$Q1692&lt;1),RIGHT("00"&amp;HOUR(Sync!$Q1692),2)&amp;RIGHT("00"&amp;MINUTE(Sync!$Q1692),2),IFERROR(RIGHT("00"&amp;VALUE(LEFT(Sync!$Q1692,FIND(":",Sync!$Q1692)-1)),2)&amp;RIGHT("00"&amp;VALUE(MID(Sync!$Q1692,FIND(":",Sync!$Q1692)+1,2)),2),"0000"))))</f>
        <v/>
      </c>
      <c r="G1695">
        <f>IF(OR($E1695="",$E1695="نامعتبر"),"",IF(Sync!$S1692="","",Sync!$S1692))</f>
        <v/>
      </c>
      <c r="H1695">
        <f>IF(OR($E1695="",$E1695="نامعتبر"),"",IF(Sync!$R1692="","",Sync!$R1692))</f>
        <v/>
      </c>
      <c r="I1695">
        <f>IF(OR($E1695="",$E1695="نامعتبر"),"",IF(Sync!$T1692="","",Sync!$T1692))</f>
        <v/>
      </c>
      <c r="J1695">
        <f>IF(OR($E1695="",$E1695="نامعتبر"),"",IF(Sync!$U1692="","",Sync!$U1692))</f>
        <v/>
      </c>
      <c r="K1695">
        <f>IF(OR($E1695="",$E1695="نامعتبر"),"",IF(Sync!$V1692="","",IFERROR(INDEX(SubCodes,MATCH(Sync!$V1692,SubTitles,0)),Sync!$V1692)))</f>
        <v/>
      </c>
      <c r="L1695">
        <f>IF(OR($E1695="",$E1695="نامعتبر"),"",IF(Sync!$W1692="",0,Sync!$W1692))</f>
        <v/>
      </c>
      <c r="M1695">
        <f>IF(OR($E1695="",$E1695="نامعتبر"),"",IF(Sync!$X1692="",0,Sync!$X1692))</f>
        <v/>
      </c>
      <c r="N1695">
        <f>IF(OR($E1695="",$E1695="نامعتبر"),"",IF(AND($J1695="هزینه",$K1695&lt;&gt;""),1,0))</f>
        <v/>
      </c>
      <c r="O1695">
        <f>IF($N1695=0,"",LEFT($E1695,4)&amp;MID($E1695,6,2)&amp;RIGHT($E1695,2)&amp;$F1695&amp;"|"&amp;"1"&amp;RIGHT("00000"&amp;1687,5))</f>
        <v/>
      </c>
      <c r="P1695">
        <f>IF($O1695="","",COUNTIFS(ExpSub,$K1695,ExpKey,"&lt;"&amp;$O1695)+1)</f>
        <v/>
      </c>
      <c r="Q1695">
        <f>IF($P1695="","",$K1695&amp;"|"&amp;RIGHT("000000"&amp;$P1695,6))</f>
        <v/>
      </c>
    </row>
    <row r="1696">
      <c r="A1696">
        <f>IF(Sync!$P1693="","",Sync!$P1693)</f>
        <v/>
      </c>
      <c r="B1696">
        <f>IF($A1696="","",IF(ISNUMBER($A1696),IF(AND($A1696&gt;=10000101,$A1696&lt;=99991231),INT($A1696/10000),""),IFERROR(VALUE(TRIM(LEFT($A1696,FIND("/",$A1696)-1))),"")))</f>
        <v/>
      </c>
      <c r="C1696">
        <f>IF(OR($A1696="",$B1696=""),"",IF(ISNUMBER($A1696),INT(MOD($A1696,10000)/100),IFERROR(VALUE(TRIM(LEFT(MID($A1696,FIND("/",$A1696)+1,20),FIND("/",MID($A1696,FIND("/",$A1696)+1,20))-1))),"")))</f>
        <v/>
      </c>
      <c r="D1696">
        <f>IF(OR($A1696="",$B1696=""),"",IF(ISNUMBER($A1696),MOD($A1696,100),IFERROR(VALUE(TRIM(MID(MID($A1696,FIND("/",$A1696)+1,20),FIND("/",MID($A1696,FIND("/",$A1696)+1,20))+1,20))),"")))</f>
        <v/>
      </c>
      <c r="E1696">
        <f>IF($A1696="","",IF(OR($B1696="",$C1696="",$D1696="",$B1696&lt;1300,$B1696&gt;1500,$C1696&lt;1,$C1696&gt;12,$D1696&lt;1,$D1696&gt;31),"نامعتبر",RIGHT("0000"&amp;$B1696,4)&amp;"/"&amp;RIGHT("00"&amp;$C1696,2)&amp;"/"&amp;RIGHT("00"&amp;$D1696,2)))</f>
        <v/>
      </c>
      <c r="F1696">
        <f>IF(OR($E1696="",$E1696="نامعتبر"),"",IF(Sync!$Q1693="","0000",IF(AND(ISNUMBER(Sync!$Q1693),Sync!$Q1693&gt;=0,Sync!$Q1693&lt;1),RIGHT("00"&amp;HOUR(Sync!$Q1693),2)&amp;RIGHT("00"&amp;MINUTE(Sync!$Q1693),2),IFERROR(RIGHT("00"&amp;VALUE(LEFT(Sync!$Q1693,FIND(":",Sync!$Q1693)-1)),2)&amp;RIGHT("00"&amp;VALUE(MID(Sync!$Q1693,FIND(":",Sync!$Q1693)+1,2)),2),"0000"))))</f>
        <v/>
      </c>
      <c r="G1696">
        <f>IF(OR($E1696="",$E1696="نامعتبر"),"",IF(Sync!$S1693="","",Sync!$S1693))</f>
        <v/>
      </c>
      <c r="H1696">
        <f>IF(OR($E1696="",$E1696="نامعتبر"),"",IF(Sync!$R1693="","",Sync!$R1693))</f>
        <v/>
      </c>
      <c r="I1696">
        <f>IF(OR($E1696="",$E1696="نامعتبر"),"",IF(Sync!$T1693="","",Sync!$T1693))</f>
        <v/>
      </c>
      <c r="J1696">
        <f>IF(OR($E1696="",$E1696="نامعتبر"),"",IF(Sync!$U1693="","",Sync!$U1693))</f>
        <v/>
      </c>
      <c r="K1696">
        <f>IF(OR($E1696="",$E1696="نامعتبر"),"",IF(Sync!$V1693="","",IFERROR(INDEX(SubCodes,MATCH(Sync!$V1693,SubTitles,0)),Sync!$V1693)))</f>
        <v/>
      </c>
      <c r="L1696">
        <f>IF(OR($E1696="",$E1696="نامعتبر"),"",IF(Sync!$W1693="",0,Sync!$W1693))</f>
        <v/>
      </c>
      <c r="M1696">
        <f>IF(OR($E1696="",$E1696="نامعتبر"),"",IF(Sync!$X1693="",0,Sync!$X1693))</f>
        <v/>
      </c>
      <c r="N1696">
        <f>IF(OR($E1696="",$E1696="نامعتبر"),"",IF(AND($J1696="هزینه",$K1696&lt;&gt;""),1,0))</f>
        <v/>
      </c>
      <c r="O1696">
        <f>IF($N1696=0,"",LEFT($E1696,4)&amp;MID($E1696,6,2)&amp;RIGHT($E1696,2)&amp;$F1696&amp;"|"&amp;"1"&amp;RIGHT("00000"&amp;1688,5))</f>
        <v/>
      </c>
      <c r="P1696">
        <f>IF($O1696="","",COUNTIFS(ExpSub,$K1696,ExpKey,"&lt;"&amp;$O1696)+1)</f>
        <v/>
      </c>
      <c r="Q1696">
        <f>IF($P1696="","",$K1696&amp;"|"&amp;RIGHT("000000"&amp;$P1696,6))</f>
        <v/>
      </c>
    </row>
    <row r="1697">
      <c r="A1697">
        <f>IF(Sync!$P1694="","",Sync!$P1694)</f>
        <v/>
      </c>
      <c r="B1697">
        <f>IF($A1697="","",IF(ISNUMBER($A1697),IF(AND($A1697&gt;=10000101,$A1697&lt;=99991231),INT($A1697/10000),""),IFERROR(VALUE(TRIM(LEFT($A1697,FIND("/",$A1697)-1))),"")))</f>
        <v/>
      </c>
      <c r="C1697">
        <f>IF(OR($A1697="",$B1697=""),"",IF(ISNUMBER($A1697),INT(MOD($A1697,10000)/100),IFERROR(VALUE(TRIM(LEFT(MID($A1697,FIND("/",$A1697)+1,20),FIND("/",MID($A1697,FIND("/",$A1697)+1,20))-1))),"")))</f>
        <v/>
      </c>
      <c r="D1697">
        <f>IF(OR($A1697="",$B1697=""),"",IF(ISNUMBER($A1697),MOD($A1697,100),IFERROR(VALUE(TRIM(MID(MID($A1697,FIND("/",$A1697)+1,20),FIND("/",MID($A1697,FIND("/",$A1697)+1,20))+1,20))),"")))</f>
        <v/>
      </c>
      <c r="E1697">
        <f>IF($A1697="","",IF(OR($B1697="",$C1697="",$D1697="",$B1697&lt;1300,$B1697&gt;1500,$C1697&lt;1,$C1697&gt;12,$D1697&lt;1,$D1697&gt;31),"نامعتبر",RIGHT("0000"&amp;$B1697,4)&amp;"/"&amp;RIGHT("00"&amp;$C1697,2)&amp;"/"&amp;RIGHT("00"&amp;$D1697,2)))</f>
        <v/>
      </c>
      <c r="F1697">
        <f>IF(OR($E1697="",$E1697="نامعتبر"),"",IF(Sync!$Q1694="","0000",IF(AND(ISNUMBER(Sync!$Q1694),Sync!$Q1694&gt;=0,Sync!$Q1694&lt;1),RIGHT("00"&amp;HOUR(Sync!$Q1694),2)&amp;RIGHT("00"&amp;MINUTE(Sync!$Q1694),2),IFERROR(RIGHT("00"&amp;VALUE(LEFT(Sync!$Q1694,FIND(":",Sync!$Q1694)-1)),2)&amp;RIGHT("00"&amp;VALUE(MID(Sync!$Q1694,FIND(":",Sync!$Q1694)+1,2)),2),"0000"))))</f>
        <v/>
      </c>
      <c r="G1697">
        <f>IF(OR($E1697="",$E1697="نامعتبر"),"",IF(Sync!$S1694="","",Sync!$S1694))</f>
        <v/>
      </c>
      <c r="H1697">
        <f>IF(OR($E1697="",$E1697="نامعتبر"),"",IF(Sync!$R1694="","",Sync!$R1694))</f>
        <v/>
      </c>
      <c r="I1697">
        <f>IF(OR($E1697="",$E1697="نامعتبر"),"",IF(Sync!$T1694="","",Sync!$T1694))</f>
        <v/>
      </c>
      <c r="J1697">
        <f>IF(OR($E1697="",$E1697="نامعتبر"),"",IF(Sync!$U1694="","",Sync!$U1694))</f>
        <v/>
      </c>
      <c r="K1697">
        <f>IF(OR($E1697="",$E1697="نامعتبر"),"",IF(Sync!$V1694="","",IFERROR(INDEX(SubCodes,MATCH(Sync!$V1694,SubTitles,0)),Sync!$V1694)))</f>
        <v/>
      </c>
      <c r="L1697">
        <f>IF(OR($E1697="",$E1697="نامعتبر"),"",IF(Sync!$W1694="",0,Sync!$W1694))</f>
        <v/>
      </c>
      <c r="M1697">
        <f>IF(OR($E1697="",$E1697="نامعتبر"),"",IF(Sync!$X1694="",0,Sync!$X1694))</f>
        <v/>
      </c>
      <c r="N1697">
        <f>IF(OR($E1697="",$E1697="نامعتبر"),"",IF(AND($J1697="هزینه",$K1697&lt;&gt;""),1,0))</f>
        <v/>
      </c>
      <c r="O1697">
        <f>IF($N1697=0,"",LEFT($E1697,4)&amp;MID($E1697,6,2)&amp;RIGHT($E1697,2)&amp;$F1697&amp;"|"&amp;"1"&amp;RIGHT("00000"&amp;1689,5))</f>
        <v/>
      </c>
      <c r="P1697">
        <f>IF($O1697="","",COUNTIFS(ExpSub,$K1697,ExpKey,"&lt;"&amp;$O1697)+1)</f>
        <v/>
      </c>
      <c r="Q1697">
        <f>IF($P1697="","",$K1697&amp;"|"&amp;RIGHT("000000"&amp;$P1697,6))</f>
        <v/>
      </c>
    </row>
    <row r="1698">
      <c r="A1698">
        <f>IF(Sync!$P1695="","",Sync!$P1695)</f>
        <v/>
      </c>
      <c r="B1698">
        <f>IF($A1698="","",IF(ISNUMBER($A1698),IF(AND($A1698&gt;=10000101,$A1698&lt;=99991231),INT($A1698/10000),""),IFERROR(VALUE(TRIM(LEFT($A1698,FIND("/",$A1698)-1))),"")))</f>
        <v/>
      </c>
      <c r="C1698">
        <f>IF(OR($A1698="",$B1698=""),"",IF(ISNUMBER($A1698),INT(MOD($A1698,10000)/100),IFERROR(VALUE(TRIM(LEFT(MID($A1698,FIND("/",$A1698)+1,20),FIND("/",MID($A1698,FIND("/",$A1698)+1,20))-1))),"")))</f>
        <v/>
      </c>
      <c r="D1698">
        <f>IF(OR($A1698="",$B1698=""),"",IF(ISNUMBER($A1698),MOD($A1698,100),IFERROR(VALUE(TRIM(MID(MID($A1698,FIND("/",$A1698)+1,20),FIND("/",MID($A1698,FIND("/",$A1698)+1,20))+1,20))),"")))</f>
        <v/>
      </c>
      <c r="E1698">
        <f>IF($A1698="","",IF(OR($B1698="",$C1698="",$D1698="",$B1698&lt;1300,$B1698&gt;1500,$C1698&lt;1,$C1698&gt;12,$D1698&lt;1,$D1698&gt;31),"نامعتبر",RIGHT("0000"&amp;$B1698,4)&amp;"/"&amp;RIGHT("00"&amp;$C1698,2)&amp;"/"&amp;RIGHT("00"&amp;$D1698,2)))</f>
        <v/>
      </c>
      <c r="F1698">
        <f>IF(OR($E1698="",$E1698="نامعتبر"),"",IF(Sync!$Q1695="","0000",IF(AND(ISNUMBER(Sync!$Q1695),Sync!$Q1695&gt;=0,Sync!$Q1695&lt;1),RIGHT("00"&amp;HOUR(Sync!$Q1695),2)&amp;RIGHT("00"&amp;MINUTE(Sync!$Q1695),2),IFERROR(RIGHT("00"&amp;VALUE(LEFT(Sync!$Q1695,FIND(":",Sync!$Q1695)-1)),2)&amp;RIGHT("00"&amp;VALUE(MID(Sync!$Q1695,FIND(":",Sync!$Q1695)+1,2)),2),"0000"))))</f>
        <v/>
      </c>
      <c r="G1698">
        <f>IF(OR($E1698="",$E1698="نامعتبر"),"",IF(Sync!$S1695="","",Sync!$S1695))</f>
        <v/>
      </c>
      <c r="H1698">
        <f>IF(OR($E1698="",$E1698="نامعتبر"),"",IF(Sync!$R1695="","",Sync!$R1695))</f>
        <v/>
      </c>
      <c r="I1698">
        <f>IF(OR($E1698="",$E1698="نامعتبر"),"",IF(Sync!$T1695="","",Sync!$T1695))</f>
        <v/>
      </c>
      <c r="J1698">
        <f>IF(OR($E1698="",$E1698="نامعتبر"),"",IF(Sync!$U1695="","",Sync!$U1695))</f>
        <v/>
      </c>
      <c r="K1698">
        <f>IF(OR($E1698="",$E1698="نامعتبر"),"",IF(Sync!$V1695="","",IFERROR(INDEX(SubCodes,MATCH(Sync!$V1695,SubTitles,0)),Sync!$V1695)))</f>
        <v/>
      </c>
      <c r="L1698">
        <f>IF(OR($E1698="",$E1698="نامعتبر"),"",IF(Sync!$W1695="",0,Sync!$W1695))</f>
        <v/>
      </c>
      <c r="M1698">
        <f>IF(OR($E1698="",$E1698="نامعتبر"),"",IF(Sync!$X1695="",0,Sync!$X1695))</f>
        <v/>
      </c>
      <c r="N1698">
        <f>IF(OR($E1698="",$E1698="نامعتبر"),"",IF(AND($J1698="هزینه",$K1698&lt;&gt;""),1,0))</f>
        <v/>
      </c>
      <c r="O1698">
        <f>IF($N1698=0,"",LEFT($E1698,4)&amp;MID($E1698,6,2)&amp;RIGHT($E1698,2)&amp;$F1698&amp;"|"&amp;"1"&amp;RIGHT("00000"&amp;1690,5))</f>
        <v/>
      </c>
      <c r="P1698">
        <f>IF($O1698="","",COUNTIFS(ExpSub,$K1698,ExpKey,"&lt;"&amp;$O1698)+1)</f>
        <v/>
      </c>
      <c r="Q1698">
        <f>IF($P1698="","",$K1698&amp;"|"&amp;RIGHT("000000"&amp;$P1698,6))</f>
        <v/>
      </c>
    </row>
    <row r="1699">
      <c r="A1699">
        <f>IF(Sync!$P1696="","",Sync!$P1696)</f>
        <v/>
      </c>
      <c r="B1699">
        <f>IF($A1699="","",IF(ISNUMBER($A1699),IF(AND($A1699&gt;=10000101,$A1699&lt;=99991231),INT($A1699/10000),""),IFERROR(VALUE(TRIM(LEFT($A1699,FIND("/",$A1699)-1))),"")))</f>
        <v/>
      </c>
      <c r="C1699">
        <f>IF(OR($A1699="",$B1699=""),"",IF(ISNUMBER($A1699),INT(MOD($A1699,10000)/100),IFERROR(VALUE(TRIM(LEFT(MID($A1699,FIND("/",$A1699)+1,20),FIND("/",MID($A1699,FIND("/",$A1699)+1,20))-1))),"")))</f>
        <v/>
      </c>
      <c r="D1699">
        <f>IF(OR($A1699="",$B1699=""),"",IF(ISNUMBER($A1699),MOD($A1699,100),IFERROR(VALUE(TRIM(MID(MID($A1699,FIND("/",$A1699)+1,20),FIND("/",MID($A1699,FIND("/",$A1699)+1,20))+1,20))),"")))</f>
        <v/>
      </c>
      <c r="E1699">
        <f>IF($A1699="","",IF(OR($B1699="",$C1699="",$D1699="",$B1699&lt;1300,$B1699&gt;1500,$C1699&lt;1,$C1699&gt;12,$D1699&lt;1,$D1699&gt;31),"نامعتبر",RIGHT("0000"&amp;$B1699,4)&amp;"/"&amp;RIGHT("00"&amp;$C1699,2)&amp;"/"&amp;RIGHT("00"&amp;$D1699,2)))</f>
        <v/>
      </c>
      <c r="F1699">
        <f>IF(OR($E1699="",$E1699="نامعتبر"),"",IF(Sync!$Q1696="","0000",IF(AND(ISNUMBER(Sync!$Q1696),Sync!$Q1696&gt;=0,Sync!$Q1696&lt;1),RIGHT("00"&amp;HOUR(Sync!$Q1696),2)&amp;RIGHT("00"&amp;MINUTE(Sync!$Q1696),2),IFERROR(RIGHT("00"&amp;VALUE(LEFT(Sync!$Q1696,FIND(":",Sync!$Q1696)-1)),2)&amp;RIGHT("00"&amp;VALUE(MID(Sync!$Q1696,FIND(":",Sync!$Q1696)+1,2)),2),"0000"))))</f>
        <v/>
      </c>
      <c r="G1699">
        <f>IF(OR($E1699="",$E1699="نامعتبر"),"",IF(Sync!$S1696="","",Sync!$S1696))</f>
        <v/>
      </c>
      <c r="H1699">
        <f>IF(OR($E1699="",$E1699="نامعتبر"),"",IF(Sync!$R1696="","",Sync!$R1696))</f>
        <v/>
      </c>
      <c r="I1699">
        <f>IF(OR($E1699="",$E1699="نامعتبر"),"",IF(Sync!$T1696="","",Sync!$T1696))</f>
        <v/>
      </c>
      <c r="J1699">
        <f>IF(OR($E1699="",$E1699="نامعتبر"),"",IF(Sync!$U1696="","",Sync!$U1696))</f>
        <v/>
      </c>
      <c r="K1699">
        <f>IF(OR($E1699="",$E1699="نامعتبر"),"",IF(Sync!$V1696="","",IFERROR(INDEX(SubCodes,MATCH(Sync!$V1696,SubTitles,0)),Sync!$V1696)))</f>
        <v/>
      </c>
      <c r="L1699">
        <f>IF(OR($E1699="",$E1699="نامعتبر"),"",IF(Sync!$W1696="",0,Sync!$W1696))</f>
        <v/>
      </c>
      <c r="M1699">
        <f>IF(OR($E1699="",$E1699="نامعتبر"),"",IF(Sync!$X1696="",0,Sync!$X1696))</f>
        <v/>
      </c>
      <c r="N1699">
        <f>IF(OR($E1699="",$E1699="نامعتبر"),"",IF(AND($J1699="هزینه",$K1699&lt;&gt;""),1,0))</f>
        <v/>
      </c>
      <c r="O1699">
        <f>IF($N1699=0,"",LEFT($E1699,4)&amp;MID($E1699,6,2)&amp;RIGHT($E1699,2)&amp;$F1699&amp;"|"&amp;"1"&amp;RIGHT("00000"&amp;1691,5))</f>
        <v/>
      </c>
      <c r="P1699">
        <f>IF($O1699="","",COUNTIFS(ExpSub,$K1699,ExpKey,"&lt;"&amp;$O1699)+1)</f>
        <v/>
      </c>
      <c r="Q1699">
        <f>IF($P1699="","",$K1699&amp;"|"&amp;RIGHT("000000"&amp;$P1699,6))</f>
        <v/>
      </c>
    </row>
    <row r="1700">
      <c r="A1700">
        <f>IF(Sync!$P1697="","",Sync!$P1697)</f>
        <v/>
      </c>
      <c r="B1700">
        <f>IF($A1700="","",IF(ISNUMBER($A1700),IF(AND($A1700&gt;=10000101,$A1700&lt;=99991231),INT($A1700/10000),""),IFERROR(VALUE(TRIM(LEFT($A1700,FIND("/",$A1700)-1))),"")))</f>
        <v/>
      </c>
      <c r="C1700">
        <f>IF(OR($A1700="",$B1700=""),"",IF(ISNUMBER($A1700),INT(MOD($A1700,10000)/100),IFERROR(VALUE(TRIM(LEFT(MID($A1700,FIND("/",$A1700)+1,20),FIND("/",MID($A1700,FIND("/",$A1700)+1,20))-1))),"")))</f>
        <v/>
      </c>
      <c r="D1700">
        <f>IF(OR($A1700="",$B1700=""),"",IF(ISNUMBER($A1700),MOD($A1700,100),IFERROR(VALUE(TRIM(MID(MID($A1700,FIND("/",$A1700)+1,20),FIND("/",MID($A1700,FIND("/",$A1700)+1,20))+1,20))),"")))</f>
        <v/>
      </c>
      <c r="E1700">
        <f>IF($A1700="","",IF(OR($B1700="",$C1700="",$D1700="",$B1700&lt;1300,$B1700&gt;1500,$C1700&lt;1,$C1700&gt;12,$D1700&lt;1,$D1700&gt;31),"نامعتبر",RIGHT("0000"&amp;$B1700,4)&amp;"/"&amp;RIGHT("00"&amp;$C1700,2)&amp;"/"&amp;RIGHT("00"&amp;$D1700,2)))</f>
        <v/>
      </c>
      <c r="F1700">
        <f>IF(OR($E1700="",$E1700="نامعتبر"),"",IF(Sync!$Q1697="","0000",IF(AND(ISNUMBER(Sync!$Q1697),Sync!$Q1697&gt;=0,Sync!$Q1697&lt;1),RIGHT("00"&amp;HOUR(Sync!$Q1697),2)&amp;RIGHT("00"&amp;MINUTE(Sync!$Q1697),2),IFERROR(RIGHT("00"&amp;VALUE(LEFT(Sync!$Q1697,FIND(":",Sync!$Q1697)-1)),2)&amp;RIGHT("00"&amp;VALUE(MID(Sync!$Q1697,FIND(":",Sync!$Q1697)+1,2)),2),"0000"))))</f>
        <v/>
      </c>
      <c r="G1700">
        <f>IF(OR($E1700="",$E1700="نامعتبر"),"",IF(Sync!$S1697="","",Sync!$S1697))</f>
        <v/>
      </c>
      <c r="H1700">
        <f>IF(OR($E1700="",$E1700="نامعتبر"),"",IF(Sync!$R1697="","",Sync!$R1697))</f>
        <v/>
      </c>
      <c r="I1700">
        <f>IF(OR($E1700="",$E1700="نامعتبر"),"",IF(Sync!$T1697="","",Sync!$T1697))</f>
        <v/>
      </c>
      <c r="J1700">
        <f>IF(OR($E1700="",$E1700="نامعتبر"),"",IF(Sync!$U1697="","",Sync!$U1697))</f>
        <v/>
      </c>
      <c r="K1700">
        <f>IF(OR($E1700="",$E1700="نامعتبر"),"",IF(Sync!$V1697="","",IFERROR(INDEX(SubCodes,MATCH(Sync!$V1697,SubTitles,0)),Sync!$V1697)))</f>
        <v/>
      </c>
      <c r="L1700">
        <f>IF(OR($E1700="",$E1700="نامعتبر"),"",IF(Sync!$W1697="",0,Sync!$W1697))</f>
        <v/>
      </c>
      <c r="M1700">
        <f>IF(OR($E1700="",$E1700="نامعتبر"),"",IF(Sync!$X1697="",0,Sync!$X1697))</f>
        <v/>
      </c>
      <c r="N1700">
        <f>IF(OR($E1700="",$E1700="نامعتبر"),"",IF(AND($J1700="هزینه",$K1700&lt;&gt;""),1,0))</f>
        <v/>
      </c>
      <c r="O1700">
        <f>IF($N1700=0,"",LEFT($E1700,4)&amp;MID($E1700,6,2)&amp;RIGHT($E1700,2)&amp;$F1700&amp;"|"&amp;"1"&amp;RIGHT("00000"&amp;1692,5))</f>
        <v/>
      </c>
      <c r="P1700">
        <f>IF($O1700="","",COUNTIFS(ExpSub,$K1700,ExpKey,"&lt;"&amp;$O1700)+1)</f>
        <v/>
      </c>
      <c r="Q1700">
        <f>IF($P1700="","",$K1700&amp;"|"&amp;RIGHT("000000"&amp;$P1700,6))</f>
        <v/>
      </c>
    </row>
    <row r="1701">
      <c r="A1701">
        <f>IF(Sync!$P1698="","",Sync!$P1698)</f>
        <v/>
      </c>
      <c r="B1701">
        <f>IF($A1701="","",IF(ISNUMBER($A1701),IF(AND($A1701&gt;=10000101,$A1701&lt;=99991231),INT($A1701/10000),""),IFERROR(VALUE(TRIM(LEFT($A1701,FIND("/",$A1701)-1))),"")))</f>
        <v/>
      </c>
      <c r="C1701">
        <f>IF(OR($A1701="",$B1701=""),"",IF(ISNUMBER($A1701),INT(MOD($A1701,10000)/100),IFERROR(VALUE(TRIM(LEFT(MID($A1701,FIND("/",$A1701)+1,20),FIND("/",MID($A1701,FIND("/",$A1701)+1,20))-1))),"")))</f>
        <v/>
      </c>
      <c r="D1701">
        <f>IF(OR($A1701="",$B1701=""),"",IF(ISNUMBER($A1701),MOD($A1701,100),IFERROR(VALUE(TRIM(MID(MID($A1701,FIND("/",$A1701)+1,20),FIND("/",MID($A1701,FIND("/",$A1701)+1,20))+1,20))),"")))</f>
        <v/>
      </c>
      <c r="E1701">
        <f>IF($A1701="","",IF(OR($B1701="",$C1701="",$D1701="",$B1701&lt;1300,$B1701&gt;1500,$C1701&lt;1,$C1701&gt;12,$D1701&lt;1,$D1701&gt;31),"نامعتبر",RIGHT("0000"&amp;$B1701,4)&amp;"/"&amp;RIGHT("00"&amp;$C1701,2)&amp;"/"&amp;RIGHT("00"&amp;$D1701,2)))</f>
        <v/>
      </c>
      <c r="F1701">
        <f>IF(OR($E1701="",$E1701="نامعتبر"),"",IF(Sync!$Q1698="","0000",IF(AND(ISNUMBER(Sync!$Q1698),Sync!$Q1698&gt;=0,Sync!$Q1698&lt;1),RIGHT("00"&amp;HOUR(Sync!$Q1698),2)&amp;RIGHT("00"&amp;MINUTE(Sync!$Q1698),2),IFERROR(RIGHT("00"&amp;VALUE(LEFT(Sync!$Q1698,FIND(":",Sync!$Q1698)-1)),2)&amp;RIGHT("00"&amp;VALUE(MID(Sync!$Q1698,FIND(":",Sync!$Q1698)+1,2)),2),"0000"))))</f>
        <v/>
      </c>
      <c r="G1701">
        <f>IF(OR($E1701="",$E1701="نامعتبر"),"",IF(Sync!$S1698="","",Sync!$S1698))</f>
        <v/>
      </c>
      <c r="H1701">
        <f>IF(OR($E1701="",$E1701="نامعتبر"),"",IF(Sync!$R1698="","",Sync!$R1698))</f>
        <v/>
      </c>
      <c r="I1701">
        <f>IF(OR($E1701="",$E1701="نامعتبر"),"",IF(Sync!$T1698="","",Sync!$T1698))</f>
        <v/>
      </c>
      <c r="J1701">
        <f>IF(OR($E1701="",$E1701="نامعتبر"),"",IF(Sync!$U1698="","",Sync!$U1698))</f>
        <v/>
      </c>
      <c r="K1701">
        <f>IF(OR($E1701="",$E1701="نامعتبر"),"",IF(Sync!$V1698="","",IFERROR(INDEX(SubCodes,MATCH(Sync!$V1698,SubTitles,0)),Sync!$V1698)))</f>
        <v/>
      </c>
      <c r="L1701">
        <f>IF(OR($E1701="",$E1701="نامعتبر"),"",IF(Sync!$W1698="",0,Sync!$W1698))</f>
        <v/>
      </c>
      <c r="M1701">
        <f>IF(OR($E1701="",$E1701="نامعتبر"),"",IF(Sync!$X1698="",0,Sync!$X1698))</f>
        <v/>
      </c>
      <c r="N1701">
        <f>IF(OR($E1701="",$E1701="نامعتبر"),"",IF(AND($J1701="هزینه",$K1701&lt;&gt;""),1,0))</f>
        <v/>
      </c>
      <c r="O1701">
        <f>IF($N1701=0,"",LEFT($E1701,4)&amp;MID($E1701,6,2)&amp;RIGHT($E1701,2)&amp;$F1701&amp;"|"&amp;"1"&amp;RIGHT("00000"&amp;1693,5))</f>
        <v/>
      </c>
      <c r="P1701">
        <f>IF($O1701="","",COUNTIFS(ExpSub,$K1701,ExpKey,"&lt;"&amp;$O1701)+1)</f>
        <v/>
      </c>
      <c r="Q1701">
        <f>IF($P1701="","",$K1701&amp;"|"&amp;RIGHT("000000"&amp;$P1701,6))</f>
        <v/>
      </c>
    </row>
    <row r="1702">
      <c r="A1702">
        <f>IF(Sync!$P1699="","",Sync!$P1699)</f>
        <v/>
      </c>
      <c r="B1702">
        <f>IF($A1702="","",IF(ISNUMBER($A1702),IF(AND($A1702&gt;=10000101,$A1702&lt;=99991231),INT($A1702/10000),""),IFERROR(VALUE(TRIM(LEFT($A1702,FIND("/",$A1702)-1))),"")))</f>
        <v/>
      </c>
      <c r="C1702">
        <f>IF(OR($A1702="",$B1702=""),"",IF(ISNUMBER($A1702),INT(MOD($A1702,10000)/100),IFERROR(VALUE(TRIM(LEFT(MID($A1702,FIND("/",$A1702)+1,20),FIND("/",MID($A1702,FIND("/",$A1702)+1,20))-1))),"")))</f>
        <v/>
      </c>
      <c r="D1702">
        <f>IF(OR($A1702="",$B1702=""),"",IF(ISNUMBER($A1702),MOD($A1702,100),IFERROR(VALUE(TRIM(MID(MID($A1702,FIND("/",$A1702)+1,20),FIND("/",MID($A1702,FIND("/",$A1702)+1,20))+1,20))),"")))</f>
        <v/>
      </c>
      <c r="E1702">
        <f>IF($A1702="","",IF(OR($B1702="",$C1702="",$D1702="",$B1702&lt;1300,$B1702&gt;1500,$C1702&lt;1,$C1702&gt;12,$D1702&lt;1,$D1702&gt;31),"نامعتبر",RIGHT("0000"&amp;$B1702,4)&amp;"/"&amp;RIGHT("00"&amp;$C1702,2)&amp;"/"&amp;RIGHT("00"&amp;$D1702,2)))</f>
        <v/>
      </c>
      <c r="F1702">
        <f>IF(OR($E1702="",$E1702="نامعتبر"),"",IF(Sync!$Q1699="","0000",IF(AND(ISNUMBER(Sync!$Q1699),Sync!$Q1699&gt;=0,Sync!$Q1699&lt;1),RIGHT("00"&amp;HOUR(Sync!$Q1699),2)&amp;RIGHT("00"&amp;MINUTE(Sync!$Q1699),2),IFERROR(RIGHT("00"&amp;VALUE(LEFT(Sync!$Q1699,FIND(":",Sync!$Q1699)-1)),2)&amp;RIGHT("00"&amp;VALUE(MID(Sync!$Q1699,FIND(":",Sync!$Q1699)+1,2)),2),"0000"))))</f>
        <v/>
      </c>
      <c r="G1702">
        <f>IF(OR($E1702="",$E1702="نامعتبر"),"",IF(Sync!$S1699="","",Sync!$S1699))</f>
        <v/>
      </c>
      <c r="H1702">
        <f>IF(OR($E1702="",$E1702="نامعتبر"),"",IF(Sync!$R1699="","",Sync!$R1699))</f>
        <v/>
      </c>
      <c r="I1702">
        <f>IF(OR($E1702="",$E1702="نامعتبر"),"",IF(Sync!$T1699="","",Sync!$T1699))</f>
        <v/>
      </c>
      <c r="J1702">
        <f>IF(OR($E1702="",$E1702="نامعتبر"),"",IF(Sync!$U1699="","",Sync!$U1699))</f>
        <v/>
      </c>
      <c r="K1702">
        <f>IF(OR($E1702="",$E1702="نامعتبر"),"",IF(Sync!$V1699="","",IFERROR(INDEX(SubCodes,MATCH(Sync!$V1699,SubTitles,0)),Sync!$V1699)))</f>
        <v/>
      </c>
      <c r="L1702">
        <f>IF(OR($E1702="",$E1702="نامعتبر"),"",IF(Sync!$W1699="",0,Sync!$W1699))</f>
        <v/>
      </c>
      <c r="M1702">
        <f>IF(OR($E1702="",$E1702="نامعتبر"),"",IF(Sync!$X1699="",0,Sync!$X1699))</f>
        <v/>
      </c>
      <c r="N1702">
        <f>IF(OR($E1702="",$E1702="نامعتبر"),"",IF(AND($J1702="هزینه",$K1702&lt;&gt;""),1,0))</f>
        <v/>
      </c>
      <c r="O1702">
        <f>IF($N1702=0,"",LEFT($E1702,4)&amp;MID($E1702,6,2)&amp;RIGHT($E1702,2)&amp;$F1702&amp;"|"&amp;"1"&amp;RIGHT("00000"&amp;1694,5))</f>
        <v/>
      </c>
      <c r="P1702">
        <f>IF($O1702="","",COUNTIFS(ExpSub,$K1702,ExpKey,"&lt;"&amp;$O1702)+1)</f>
        <v/>
      </c>
      <c r="Q1702">
        <f>IF($P1702="","",$K1702&amp;"|"&amp;RIGHT("000000"&amp;$P1702,6))</f>
        <v/>
      </c>
    </row>
    <row r="1703">
      <c r="A1703">
        <f>IF(Sync!$P1700="","",Sync!$P1700)</f>
        <v/>
      </c>
      <c r="B1703">
        <f>IF($A1703="","",IF(ISNUMBER($A1703),IF(AND($A1703&gt;=10000101,$A1703&lt;=99991231),INT($A1703/10000),""),IFERROR(VALUE(TRIM(LEFT($A1703,FIND("/",$A1703)-1))),"")))</f>
        <v/>
      </c>
      <c r="C1703">
        <f>IF(OR($A1703="",$B1703=""),"",IF(ISNUMBER($A1703),INT(MOD($A1703,10000)/100),IFERROR(VALUE(TRIM(LEFT(MID($A1703,FIND("/",$A1703)+1,20),FIND("/",MID($A1703,FIND("/",$A1703)+1,20))-1))),"")))</f>
        <v/>
      </c>
      <c r="D1703">
        <f>IF(OR($A1703="",$B1703=""),"",IF(ISNUMBER($A1703),MOD($A1703,100),IFERROR(VALUE(TRIM(MID(MID($A1703,FIND("/",$A1703)+1,20),FIND("/",MID($A1703,FIND("/",$A1703)+1,20))+1,20))),"")))</f>
        <v/>
      </c>
      <c r="E1703">
        <f>IF($A1703="","",IF(OR($B1703="",$C1703="",$D1703="",$B1703&lt;1300,$B1703&gt;1500,$C1703&lt;1,$C1703&gt;12,$D1703&lt;1,$D1703&gt;31),"نامعتبر",RIGHT("0000"&amp;$B1703,4)&amp;"/"&amp;RIGHT("00"&amp;$C1703,2)&amp;"/"&amp;RIGHT("00"&amp;$D1703,2)))</f>
        <v/>
      </c>
      <c r="F1703">
        <f>IF(OR($E1703="",$E1703="نامعتبر"),"",IF(Sync!$Q1700="","0000",IF(AND(ISNUMBER(Sync!$Q1700),Sync!$Q1700&gt;=0,Sync!$Q1700&lt;1),RIGHT("00"&amp;HOUR(Sync!$Q1700),2)&amp;RIGHT("00"&amp;MINUTE(Sync!$Q1700),2),IFERROR(RIGHT("00"&amp;VALUE(LEFT(Sync!$Q1700,FIND(":",Sync!$Q1700)-1)),2)&amp;RIGHT("00"&amp;VALUE(MID(Sync!$Q1700,FIND(":",Sync!$Q1700)+1,2)),2),"0000"))))</f>
        <v/>
      </c>
      <c r="G1703">
        <f>IF(OR($E1703="",$E1703="نامعتبر"),"",IF(Sync!$S1700="","",Sync!$S1700))</f>
        <v/>
      </c>
      <c r="H1703">
        <f>IF(OR($E1703="",$E1703="نامعتبر"),"",IF(Sync!$R1700="","",Sync!$R1700))</f>
        <v/>
      </c>
      <c r="I1703">
        <f>IF(OR($E1703="",$E1703="نامعتبر"),"",IF(Sync!$T1700="","",Sync!$T1700))</f>
        <v/>
      </c>
      <c r="J1703">
        <f>IF(OR($E1703="",$E1703="نامعتبر"),"",IF(Sync!$U1700="","",Sync!$U1700))</f>
        <v/>
      </c>
      <c r="K1703">
        <f>IF(OR($E1703="",$E1703="نامعتبر"),"",IF(Sync!$V1700="","",IFERROR(INDEX(SubCodes,MATCH(Sync!$V1700,SubTitles,0)),Sync!$V1700)))</f>
        <v/>
      </c>
      <c r="L1703">
        <f>IF(OR($E1703="",$E1703="نامعتبر"),"",IF(Sync!$W1700="",0,Sync!$W1700))</f>
        <v/>
      </c>
      <c r="M1703">
        <f>IF(OR($E1703="",$E1703="نامعتبر"),"",IF(Sync!$X1700="",0,Sync!$X1700))</f>
        <v/>
      </c>
      <c r="N1703">
        <f>IF(OR($E1703="",$E1703="نامعتبر"),"",IF(AND($J1703="هزینه",$K1703&lt;&gt;""),1,0))</f>
        <v/>
      </c>
      <c r="O1703">
        <f>IF($N1703=0,"",LEFT($E1703,4)&amp;MID($E1703,6,2)&amp;RIGHT($E1703,2)&amp;$F1703&amp;"|"&amp;"1"&amp;RIGHT("00000"&amp;1695,5))</f>
        <v/>
      </c>
      <c r="P1703">
        <f>IF($O1703="","",COUNTIFS(ExpSub,$K1703,ExpKey,"&lt;"&amp;$O1703)+1)</f>
        <v/>
      </c>
      <c r="Q1703">
        <f>IF($P1703="","",$K1703&amp;"|"&amp;RIGHT("000000"&amp;$P1703,6))</f>
        <v/>
      </c>
    </row>
    <row r="1704">
      <c r="A1704">
        <f>IF(Sync!$P1701="","",Sync!$P1701)</f>
        <v/>
      </c>
      <c r="B1704">
        <f>IF($A1704="","",IF(ISNUMBER($A1704),IF(AND($A1704&gt;=10000101,$A1704&lt;=99991231),INT($A1704/10000),""),IFERROR(VALUE(TRIM(LEFT($A1704,FIND("/",$A1704)-1))),"")))</f>
        <v/>
      </c>
      <c r="C1704">
        <f>IF(OR($A1704="",$B1704=""),"",IF(ISNUMBER($A1704),INT(MOD($A1704,10000)/100),IFERROR(VALUE(TRIM(LEFT(MID($A1704,FIND("/",$A1704)+1,20),FIND("/",MID($A1704,FIND("/",$A1704)+1,20))-1))),"")))</f>
        <v/>
      </c>
      <c r="D1704">
        <f>IF(OR($A1704="",$B1704=""),"",IF(ISNUMBER($A1704),MOD($A1704,100),IFERROR(VALUE(TRIM(MID(MID($A1704,FIND("/",$A1704)+1,20),FIND("/",MID($A1704,FIND("/",$A1704)+1,20))+1,20))),"")))</f>
        <v/>
      </c>
      <c r="E1704">
        <f>IF($A1704="","",IF(OR($B1704="",$C1704="",$D1704="",$B1704&lt;1300,$B1704&gt;1500,$C1704&lt;1,$C1704&gt;12,$D1704&lt;1,$D1704&gt;31),"نامعتبر",RIGHT("0000"&amp;$B1704,4)&amp;"/"&amp;RIGHT("00"&amp;$C1704,2)&amp;"/"&amp;RIGHT("00"&amp;$D1704,2)))</f>
        <v/>
      </c>
      <c r="F1704">
        <f>IF(OR($E1704="",$E1704="نامعتبر"),"",IF(Sync!$Q1701="","0000",IF(AND(ISNUMBER(Sync!$Q1701),Sync!$Q1701&gt;=0,Sync!$Q1701&lt;1),RIGHT("00"&amp;HOUR(Sync!$Q1701),2)&amp;RIGHT("00"&amp;MINUTE(Sync!$Q1701),2),IFERROR(RIGHT("00"&amp;VALUE(LEFT(Sync!$Q1701,FIND(":",Sync!$Q1701)-1)),2)&amp;RIGHT("00"&amp;VALUE(MID(Sync!$Q1701,FIND(":",Sync!$Q1701)+1,2)),2),"0000"))))</f>
        <v/>
      </c>
      <c r="G1704">
        <f>IF(OR($E1704="",$E1704="نامعتبر"),"",IF(Sync!$S1701="","",Sync!$S1701))</f>
        <v/>
      </c>
      <c r="H1704">
        <f>IF(OR($E1704="",$E1704="نامعتبر"),"",IF(Sync!$R1701="","",Sync!$R1701))</f>
        <v/>
      </c>
      <c r="I1704">
        <f>IF(OR($E1704="",$E1704="نامعتبر"),"",IF(Sync!$T1701="","",Sync!$T1701))</f>
        <v/>
      </c>
      <c r="J1704">
        <f>IF(OR($E1704="",$E1704="نامعتبر"),"",IF(Sync!$U1701="","",Sync!$U1701))</f>
        <v/>
      </c>
      <c r="K1704">
        <f>IF(OR($E1704="",$E1704="نامعتبر"),"",IF(Sync!$V1701="","",IFERROR(INDEX(SubCodes,MATCH(Sync!$V1701,SubTitles,0)),Sync!$V1701)))</f>
        <v/>
      </c>
      <c r="L1704">
        <f>IF(OR($E1704="",$E1704="نامعتبر"),"",IF(Sync!$W1701="",0,Sync!$W1701))</f>
        <v/>
      </c>
      <c r="M1704">
        <f>IF(OR($E1704="",$E1704="نامعتبر"),"",IF(Sync!$X1701="",0,Sync!$X1701))</f>
        <v/>
      </c>
      <c r="N1704">
        <f>IF(OR($E1704="",$E1704="نامعتبر"),"",IF(AND($J1704="هزینه",$K1704&lt;&gt;""),1,0))</f>
        <v/>
      </c>
      <c r="O1704">
        <f>IF($N1704=0,"",LEFT($E1704,4)&amp;MID($E1704,6,2)&amp;RIGHT($E1704,2)&amp;$F1704&amp;"|"&amp;"1"&amp;RIGHT("00000"&amp;1696,5))</f>
        <v/>
      </c>
      <c r="P1704">
        <f>IF($O1704="","",COUNTIFS(ExpSub,$K1704,ExpKey,"&lt;"&amp;$O1704)+1)</f>
        <v/>
      </c>
      <c r="Q1704">
        <f>IF($P1704="","",$K1704&amp;"|"&amp;RIGHT("000000"&amp;$P1704,6))</f>
        <v/>
      </c>
    </row>
    <row r="1705">
      <c r="A1705">
        <f>IF(Sync!$P1702="","",Sync!$P1702)</f>
        <v/>
      </c>
      <c r="B1705">
        <f>IF($A1705="","",IF(ISNUMBER($A1705),IF(AND($A1705&gt;=10000101,$A1705&lt;=99991231),INT($A1705/10000),""),IFERROR(VALUE(TRIM(LEFT($A1705,FIND("/",$A1705)-1))),"")))</f>
        <v/>
      </c>
      <c r="C1705">
        <f>IF(OR($A1705="",$B1705=""),"",IF(ISNUMBER($A1705),INT(MOD($A1705,10000)/100),IFERROR(VALUE(TRIM(LEFT(MID($A1705,FIND("/",$A1705)+1,20),FIND("/",MID($A1705,FIND("/",$A1705)+1,20))-1))),"")))</f>
        <v/>
      </c>
      <c r="D1705">
        <f>IF(OR($A1705="",$B1705=""),"",IF(ISNUMBER($A1705),MOD($A1705,100),IFERROR(VALUE(TRIM(MID(MID($A1705,FIND("/",$A1705)+1,20),FIND("/",MID($A1705,FIND("/",$A1705)+1,20))+1,20))),"")))</f>
        <v/>
      </c>
      <c r="E1705">
        <f>IF($A1705="","",IF(OR($B1705="",$C1705="",$D1705="",$B1705&lt;1300,$B1705&gt;1500,$C1705&lt;1,$C1705&gt;12,$D1705&lt;1,$D1705&gt;31),"نامعتبر",RIGHT("0000"&amp;$B1705,4)&amp;"/"&amp;RIGHT("00"&amp;$C1705,2)&amp;"/"&amp;RIGHT("00"&amp;$D1705,2)))</f>
        <v/>
      </c>
      <c r="F1705">
        <f>IF(OR($E1705="",$E1705="نامعتبر"),"",IF(Sync!$Q1702="","0000",IF(AND(ISNUMBER(Sync!$Q1702),Sync!$Q1702&gt;=0,Sync!$Q1702&lt;1),RIGHT("00"&amp;HOUR(Sync!$Q1702),2)&amp;RIGHT("00"&amp;MINUTE(Sync!$Q1702),2),IFERROR(RIGHT("00"&amp;VALUE(LEFT(Sync!$Q1702,FIND(":",Sync!$Q1702)-1)),2)&amp;RIGHT("00"&amp;VALUE(MID(Sync!$Q1702,FIND(":",Sync!$Q1702)+1,2)),2),"0000"))))</f>
        <v/>
      </c>
      <c r="G1705">
        <f>IF(OR($E1705="",$E1705="نامعتبر"),"",IF(Sync!$S1702="","",Sync!$S1702))</f>
        <v/>
      </c>
      <c r="H1705">
        <f>IF(OR($E1705="",$E1705="نامعتبر"),"",IF(Sync!$R1702="","",Sync!$R1702))</f>
        <v/>
      </c>
      <c r="I1705">
        <f>IF(OR($E1705="",$E1705="نامعتبر"),"",IF(Sync!$T1702="","",Sync!$T1702))</f>
        <v/>
      </c>
      <c r="J1705">
        <f>IF(OR($E1705="",$E1705="نامعتبر"),"",IF(Sync!$U1702="","",Sync!$U1702))</f>
        <v/>
      </c>
      <c r="K1705">
        <f>IF(OR($E1705="",$E1705="نامعتبر"),"",IF(Sync!$V1702="","",IFERROR(INDEX(SubCodes,MATCH(Sync!$V1702,SubTitles,0)),Sync!$V1702)))</f>
        <v/>
      </c>
      <c r="L1705">
        <f>IF(OR($E1705="",$E1705="نامعتبر"),"",IF(Sync!$W1702="",0,Sync!$W1702))</f>
        <v/>
      </c>
      <c r="M1705">
        <f>IF(OR($E1705="",$E1705="نامعتبر"),"",IF(Sync!$X1702="",0,Sync!$X1702))</f>
        <v/>
      </c>
      <c r="N1705">
        <f>IF(OR($E1705="",$E1705="نامعتبر"),"",IF(AND($J1705="هزینه",$K1705&lt;&gt;""),1,0))</f>
        <v/>
      </c>
      <c r="O1705">
        <f>IF($N1705=0,"",LEFT($E1705,4)&amp;MID($E1705,6,2)&amp;RIGHT($E1705,2)&amp;$F1705&amp;"|"&amp;"1"&amp;RIGHT("00000"&amp;1697,5))</f>
        <v/>
      </c>
      <c r="P1705">
        <f>IF($O1705="","",COUNTIFS(ExpSub,$K1705,ExpKey,"&lt;"&amp;$O1705)+1)</f>
        <v/>
      </c>
      <c r="Q1705">
        <f>IF($P1705="","",$K1705&amp;"|"&amp;RIGHT("000000"&amp;$P1705,6))</f>
        <v/>
      </c>
    </row>
    <row r="1706">
      <c r="A1706">
        <f>IF(Sync!$P1703="","",Sync!$P1703)</f>
        <v/>
      </c>
      <c r="B1706">
        <f>IF($A1706="","",IF(ISNUMBER($A1706),IF(AND($A1706&gt;=10000101,$A1706&lt;=99991231),INT($A1706/10000),""),IFERROR(VALUE(TRIM(LEFT($A1706,FIND("/",$A1706)-1))),"")))</f>
        <v/>
      </c>
      <c r="C1706">
        <f>IF(OR($A1706="",$B1706=""),"",IF(ISNUMBER($A1706),INT(MOD($A1706,10000)/100),IFERROR(VALUE(TRIM(LEFT(MID($A1706,FIND("/",$A1706)+1,20),FIND("/",MID($A1706,FIND("/",$A1706)+1,20))-1))),"")))</f>
        <v/>
      </c>
      <c r="D1706">
        <f>IF(OR($A1706="",$B1706=""),"",IF(ISNUMBER($A1706),MOD($A1706,100),IFERROR(VALUE(TRIM(MID(MID($A1706,FIND("/",$A1706)+1,20),FIND("/",MID($A1706,FIND("/",$A1706)+1,20))+1,20))),"")))</f>
        <v/>
      </c>
      <c r="E1706">
        <f>IF($A1706="","",IF(OR($B1706="",$C1706="",$D1706="",$B1706&lt;1300,$B1706&gt;1500,$C1706&lt;1,$C1706&gt;12,$D1706&lt;1,$D1706&gt;31),"نامعتبر",RIGHT("0000"&amp;$B1706,4)&amp;"/"&amp;RIGHT("00"&amp;$C1706,2)&amp;"/"&amp;RIGHT("00"&amp;$D1706,2)))</f>
        <v/>
      </c>
      <c r="F1706">
        <f>IF(OR($E1706="",$E1706="نامعتبر"),"",IF(Sync!$Q1703="","0000",IF(AND(ISNUMBER(Sync!$Q1703),Sync!$Q1703&gt;=0,Sync!$Q1703&lt;1),RIGHT("00"&amp;HOUR(Sync!$Q1703),2)&amp;RIGHT("00"&amp;MINUTE(Sync!$Q1703),2),IFERROR(RIGHT("00"&amp;VALUE(LEFT(Sync!$Q1703,FIND(":",Sync!$Q1703)-1)),2)&amp;RIGHT("00"&amp;VALUE(MID(Sync!$Q1703,FIND(":",Sync!$Q1703)+1,2)),2),"0000"))))</f>
        <v/>
      </c>
      <c r="G1706">
        <f>IF(OR($E1706="",$E1706="نامعتبر"),"",IF(Sync!$S1703="","",Sync!$S1703))</f>
        <v/>
      </c>
      <c r="H1706">
        <f>IF(OR($E1706="",$E1706="نامعتبر"),"",IF(Sync!$R1703="","",Sync!$R1703))</f>
        <v/>
      </c>
      <c r="I1706">
        <f>IF(OR($E1706="",$E1706="نامعتبر"),"",IF(Sync!$T1703="","",Sync!$T1703))</f>
        <v/>
      </c>
      <c r="J1706">
        <f>IF(OR($E1706="",$E1706="نامعتبر"),"",IF(Sync!$U1703="","",Sync!$U1703))</f>
        <v/>
      </c>
      <c r="K1706">
        <f>IF(OR($E1706="",$E1706="نامعتبر"),"",IF(Sync!$V1703="","",IFERROR(INDEX(SubCodes,MATCH(Sync!$V1703,SubTitles,0)),Sync!$V1703)))</f>
        <v/>
      </c>
      <c r="L1706">
        <f>IF(OR($E1706="",$E1706="نامعتبر"),"",IF(Sync!$W1703="",0,Sync!$W1703))</f>
        <v/>
      </c>
      <c r="M1706">
        <f>IF(OR($E1706="",$E1706="نامعتبر"),"",IF(Sync!$X1703="",0,Sync!$X1703))</f>
        <v/>
      </c>
      <c r="N1706">
        <f>IF(OR($E1706="",$E1706="نامعتبر"),"",IF(AND($J1706="هزینه",$K1706&lt;&gt;""),1,0))</f>
        <v/>
      </c>
      <c r="O1706">
        <f>IF($N1706=0,"",LEFT($E1706,4)&amp;MID($E1706,6,2)&amp;RIGHT($E1706,2)&amp;$F1706&amp;"|"&amp;"1"&amp;RIGHT("00000"&amp;1698,5))</f>
        <v/>
      </c>
      <c r="P1706">
        <f>IF($O1706="","",COUNTIFS(ExpSub,$K1706,ExpKey,"&lt;"&amp;$O1706)+1)</f>
        <v/>
      </c>
      <c r="Q1706">
        <f>IF($P1706="","",$K1706&amp;"|"&amp;RIGHT("000000"&amp;$P1706,6))</f>
        <v/>
      </c>
    </row>
    <row r="1707">
      <c r="A1707">
        <f>IF(Sync!$P1704="","",Sync!$P1704)</f>
        <v/>
      </c>
      <c r="B1707">
        <f>IF($A1707="","",IF(ISNUMBER($A1707),IF(AND($A1707&gt;=10000101,$A1707&lt;=99991231),INT($A1707/10000),""),IFERROR(VALUE(TRIM(LEFT($A1707,FIND("/",$A1707)-1))),"")))</f>
        <v/>
      </c>
      <c r="C1707">
        <f>IF(OR($A1707="",$B1707=""),"",IF(ISNUMBER($A1707),INT(MOD($A1707,10000)/100),IFERROR(VALUE(TRIM(LEFT(MID($A1707,FIND("/",$A1707)+1,20),FIND("/",MID($A1707,FIND("/",$A1707)+1,20))-1))),"")))</f>
        <v/>
      </c>
      <c r="D1707">
        <f>IF(OR($A1707="",$B1707=""),"",IF(ISNUMBER($A1707),MOD($A1707,100),IFERROR(VALUE(TRIM(MID(MID($A1707,FIND("/",$A1707)+1,20),FIND("/",MID($A1707,FIND("/",$A1707)+1,20))+1,20))),"")))</f>
        <v/>
      </c>
      <c r="E1707">
        <f>IF($A1707="","",IF(OR($B1707="",$C1707="",$D1707="",$B1707&lt;1300,$B1707&gt;1500,$C1707&lt;1,$C1707&gt;12,$D1707&lt;1,$D1707&gt;31),"نامعتبر",RIGHT("0000"&amp;$B1707,4)&amp;"/"&amp;RIGHT("00"&amp;$C1707,2)&amp;"/"&amp;RIGHT("00"&amp;$D1707,2)))</f>
        <v/>
      </c>
      <c r="F1707">
        <f>IF(OR($E1707="",$E1707="نامعتبر"),"",IF(Sync!$Q1704="","0000",IF(AND(ISNUMBER(Sync!$Q1704),Sync!$Q1704&gt;=0,Sync!$Q1704&lt;1),RIGHT("00"&amp;HOUR(Sync!$Q1704),2)&amp;RIGHT("00"&amp;MINUTE(Sync!$Q1704),2),IFERROR(RIGHT("00"&amp;VALUE(LEFT(Sync!$Q1704,FIND(":",Sync!$Q1704)-1)),2)&amp;RIGHT("00"&amp;VALUE(MID(Sync!$Q1704,FIND(":",Sync!$Q1704)+1,2)),2),"0000"))))</f>
        <v/>
      </c>
      <c r="G1707">
        <f>IF(OR($E1707="",$E1707="نامعتبر"),"",IF(Sync!$S1704="","",Sync!$S1704))</f>
        <v/>
      </c>
      <c r="H1707">
        <f>IF(OR($E1707="",$E1707="نامعتبر"),"",IF(Sync!$R1704="","",Sync!$R1704))</f>
        <v/>
      </c>
      <c r="I1707">
        <f>IF(OR($E1707="",$E1707="نامعتبر"),"",IF(Sync!$T1704="","",Sync!$T1704))</f>
        <v/>
      </c>
      <c r="J1707">
        <f>IF(OR($E1707="",$E1707="نامعتبر"),"",IF(Sync!$U1704="","",Sync!$U1704))</f>
        <v/>
      </c>
      <c r="K1707">
        <f>IF(OR($E1707="",$E1707="نامعتبر"),"",IF(Sync!$V1704="","",IFERROR(INDEX(SubCodes,MATCH(Sync!$V1704,SubTitles,0)),Sync!$V1704)))</f>
        <v/>
      </c>
      <c r="L1707">
        <f>IF(OR($E1707="",$E1707="نامعتبر"),"",IF(Sync!$W1704="",0,Sync!$W1704))</f>
        <v/>
      </c>
      <c r="M1707">
        <f>IF(OR($E1707="",$E1707="نامعتبر"),"",IF(Sync!$X1704="",0,Sync!$X1704))</f>
        <v/>
      </c>
      <c r="N1707">
        <f>IF(OR($E1707="",$E1707="نامعتبر"),"",IF(AND($J1707="هزینه",$K1707&lt;&gt;""),1,0))</f>
        <v/>
      </c>
      <c r="O1707">
        <f>IF($N1707=0,"",LEFT($E1707,4)&amp;MID($E1707,6,2)&amp;RIGHT($E1707,2)&amp;$F1707&amp;"|"&amp;"1"&amp;RIGHT("00000"&amp;1699,5))</f>
        <v/>
      </c>
      <c r="P1707">
        <f>IF($O1707="","",COUNTIFS(ExpSub,$K1707,ExpKey,"&lt;"&amp;$O1707)+1)</f>
        <v/>
      </c>
      <c r="Q1707">
        <f>IF($P1707="","",$K1707&amp;"|"&amp;RIGHT("000000"&amp;$P1707,6))</f>
        <v/>
      </c>
    </row>
    <row r="1708">
      <c r="A1708">
        <f>IF(Sync!$P1705="","",Sync!$P1705)</f>
        <v/>
      </c>
      <c r="B1708">
        <f>IF($A1708="","",IF(ISNUMBER($A1708),IF(AND($A1708&gt;=10000101,$A1708&lt;=99991231),INT($A1708/10000),""),IFERROR(VALUE(TRIM(LEFT($A1708,FIND("/",$A1708)-1))),"")))</f>
        <v/>
      </c>
      <c r="C1708">
        <f>IF(OR($A1708="",$B1708=""),"",IF(ISNUMBER($A1708),INT(MOD($A1708,10000)/100),IFERROR(VALUE(TRIM(LEFT(MID($A1708,FIND("/",$A1708)+1,20),FIND("/",MID($A1708,FIND("/",$A1708)+1,20))-1))),"")))</f>
        <v/>
      </c>
      <c r="D1708">
        <f>IF(OR($A1708="",$B1708=""),"",IF(ISNUMBER($A1708),MOD($A1708,100),IFERROR(VALUE(TRIM(MID(MID($A1708,FIND("/",$A1708)+1,20),FIND("/",MID($A1708,FIND("/",$A1708)+1,20))+1,20))),"")))</f>
        <v/>
      </c>
      <c r="E1708">
        <f>IF($A1708="","",IF(OR($B1708="",$C1708="",$D1708="",$B1708&lt;1300,$B1708&gt;1500,$C1708&lt;1,$C1708&gt;12,$D1708&lt;1,$D1708&gt;31),"نامعتبر",RIGHT("0000"&amp;$B1708,4)&amp;"/"&amp;RIGHT("00"&amp;$C1708,2)&amp;"/"&amp;RIGHT("00"&amp;$D1708,2)))</f>
        <v/>
      </c>
      <c r="F1708">
        <f>IF(OR($E1708="",$E1708="نامعتبر"),"",IF(Sync!$Q1705="","0000",IF(AND(ISNUMBER(Sync!$Q1705),Sync!$Q1705&gt;=0,Sync!$Q1705&lt;1),RIGHT("00"&amp;HOUR(Sync!$Q1705),2)&amp;RIGHT("00"&amp;MINUTE(Sync!$Q1705),2),IFERROR(RIGHT("00"&amp;VALUE(LEFT(Sync!$Q1705,FIND(":",Sync!$Q1705)-1)),2)&amp;RIGHT("00"&amp;VALUE(MID(Sync!$Q1705,FIND(":",Sync!$Q1705)+1,2)),2),"0000"))))</f>
        <v/>
      </c>
      <c r="G1708">
        <f>IF(OR($E1708="",$E1708="نامعتبر"),"",IF(Sync!$S1705="","",Sync!$S1705))</f>
        <v/>
      </c>
      <c r="H1708">
        <f>IF(OR($E1708="",$E1708="نامعتبر"),"",IF(Sync!$R1705="","",Sync!$R1705))</f>
        <v/>
      </c>
      <c r="I1708">
        <f>IF(OR($E1708="",$E1708="نامعتبر"),"",IF(Sync!$T1705="","",Sync!$T1705))</f>
        <v/>
      </c>
      <c r="J1708">
        <f>IF(OR($E1708="",$E1708="نامعتبر"),"",IF(Sync!$U1705="","",Sync!$U1705))</f>
        <v/>
      </c>
      <c r="K1708">
        <f>IF(OR($E1708="",$E1708="نامعتبر"),"",IF(Sync!$V1705="","",IFERROR(INDEX(SubCodes,MATCH(Sync!$V1705,SubTitles,0)),Sync!$V1705)))</f>
        <v/>
      </c>
      <c r="L1708">
        <f>IF(OR($E1708="",$E1708="نامعتبر"),"",IF(Sync!$W1705="",0,Sync!$W1705))</f>
        <v/>
      </c>
      <c r="M1708">
        <f>IF(OR($E1708="",$E1708="نامعتبر"),"",IF(Sync!$X1705="",0,Sync!$X1705))</f>
        <v/>
      </c>
      <c r="N1708">
        <f>IF(OR($E1708="",$E1708="نامعتبر"),"",IF(AND($J1708="هزینه",$K1708&lt;&gt;""),1,0))</f>
        <v/>
      </c>
      <c r="O1708">
        <f>IF($N1708=0,"",LEFT($E1708,4)&amp;MID($E1708,6,2)&amp;RIGHT($E1708,2)&amp;$F1708&amp;"|"&amp;"1"&amp;RIGHT("00000"&amp;1700,5))</f>
        <v/>
      </c>
      <c r="P1708">
        <f>IF($O1708="","",COUNTIFS(ExpSub,$K1708,ExpKey,"&lt;"&amp;$O1708)+1)</f>
        <v/>
      </c>
      <c r="Q1708">
        <f>IF($P1708="","",$K1708&amp;"|"&amp;RIGHT("000000"&amp;$P1708,6))</f>
        <v/>
      </c>
    </row>
    <row r="1709">
      <c r="A1709">
        <f>IF(Sync!$P1706="","",Sync!$P1706)</f>
        <v/>
      </c>
      <c r="B1709">
        <f>IF($A1709="","",IF(ISNUMBER($A1709),IF(AND($A1709&gt;=10000101,$A1709&lt;=99991231),INT($A1709/10000),""),IFERROR(VALUE(TRIM(LEFT($A1709,FIND("/",$A1709)-1))),"")))</f>
        <v/>
      </c>
      <c r="C1709">
        <f>IF(OR($A1709="",$B1709=""),"",IF(ISNUMBER($A1709),INT(MOD($A1709,10000)/100),IFERROR(VALUE(TRIM(LEFT(MID($A1709,FIND("/",$A1709)+1,20),FIND("/",MID($A1709,FIND("/",$A1709)+1,20))-1))),"")))</f>
        <v/>
      </c>
      <c r="D1709">
        <f>IF(OR($A1709="",$B1709=""),"",IF(ISNUMBER($A1709),MOD($A1709,100),IFERROR(VALUE(TRIM(MID(MID($A1709,FIND("/",$A1709)+1,20),FIND("/",MID($A1709,FIND("/",$A1709)+1,20))+1,20))),"")))</f>
        <v/>
      </c>
      <c r="E1709">
        <f>IF($A1709="","",IF(OR($B1709="",$C1709="",$D1709="",$B1709&lt;1300,$B1709&gt;1500,$C1709&lt;1,$C1709&gt;12,$D1709&lt;1,$D1709&gt;31),"نامعتبر",RIGHT("0000"&amp;$B1709,4)&amp;"/"&amp;RIGHT("00"&amp;$C1709,2)&amp;"/"&amp;RIGHT("00"&amp;$D1709,2)))</f>
        <v/>
      </c>
      <c r="F1709">
        <f>IF(OR($E1709="",$E1709="نامعتبر"),"",IF(Sync!$Q1706="","0000",IF(AND(ISNUMBER(Sync!$Q1706),Sync!$Q1706&gt;=0,Sync!$Q1706&lt;1),RIGHT("00"&amp;HOUR(Sync!$Q1706),2)&amp;RIGHT("00"&amp;MINUTE(Sync!$Q1706),2),IFERROR(RIGHT("00"&amp;VALUE(LEFT(Sync!$Q1706,FIND(":",Sync!$Q1706)-1)),2)&amp;RIGHT("00"&amp;VALUE(MID(Sync!$Q1706,FIND(":",Sync!$Q1706)+1,2)),2),"0000"))))</f>
        <v/>
      </c>
      <c r="G1709">
        <f>IF(OR($E1709="",$E1709="نامعتبر"),"",IF(Sync!$S1706="","",Sync!$S1706))</f>
        <v/>
      </c>
      <c r="H1709">
        <f>IF(OR($E1709="",$E1709="نامعتبر"),"",IF(Sync!$R1706="","",Sync!$R1706))</f>
        <v/>
      </c>
      <c r="I1709">
        <f>IF(OR($E1709="",$E1709="نامعتبر"),"",IF(Sync!$T1706="","",Sync!$T1706))</f>
        <v/>
      </c>
      <c r="J1709">
        <f>IF(OR($E1709="",$E1709="نامعتبر"),"",IF(Sync!$U1706="","",Sync!$U1706))</f>
        <v/>
      </c>
      <c r="K1709">
        <f>IF(OR($E1709="",$E1709="نامعتبر"),"",IF(Sync!$V1706="","",IFERROR(INDEX(SubCodes,MATCH(Sync!$V1706,SubTitles,0)),Sync!$V1706)))</f>
        <v/>
      </c>
      <c r="L1709">
        <f>IF(OR($E1709="",$E1709="نامعتبر"),"",IF(Sync!$W1706="",0,Sync!$W1706))</f>
        <v/>
      </c>
      <c r="M1709">
        <f>IF(OR($E1709="",$E1709="نامعتبر"),"",IF(Sync!$X1706="",0,Sync!$X1706))</f>
        <v/>
      </c>
      <c r="N1709">
        <f>IF(OR($E1709="",$E1709="نامعتبر"),"",IF(AND($J1709="هزینه",$K1709&lt;&gt;""),1,0))</f>
        <v/>
      </c>
      <c r="O1709">
        <f>IF($N1709=0,"",LEFT($E1709,4)&amp;MID($E1709,6,2)&amp;RIGHT($E1709,2)&amp;$F1709&amp;"|"&amp;"1"&amp;RIGHT("00000"&amp;1701,5))</f>
        <v/>
      </c>
      <c r="P1709">
        <f>IF($O1709="","",COUNTIFS(ExpSub,$K1709,ExpKey,"&lt;"&amp;$O1709)+1)</f>
        <v/>
      </c>
      <c r="Q1709">
        <f>IF($P1709="","",$K1709&amp;"|"&amp;RIGHT("000000"&amp;$P1709,6))</f>
        <v/>
      </c>
    </row>
    <row r="1710">
      <c r="A1710">
        <f>IF(Sync!$P1707="","",Sync!$P1707)</f>
        <v/>
      </c>
      <c r="B1710">
        <f>IF($A1710="","",IF(ISNUMBER($A1710),IF(AND($A1710&gt;=10000101,$A1710&lt;=99991231),INT($A1710/10000),""),IFERROR(VALUE(TRIM(LEFT($A1710,FIND("/",$A1710)-1))),"")))</f>
        <v/>
      </c>
      <c r="C1710">
        <f>IF(OR($A1710="",$B1710=""),"",IF(ISNUMBER($A1710),INT(MOD($A1710,10000)/100),IFERROR(VALUE(TRIM(LEFT(MID($A1710,FIND("/",$A1710)+1,20),FIND("/",MID($A1710,FIND("/",$A1710)+1,20))-1))),"")))</f>
        <v/>
      </c>
      <c r="D1710">
        <f>IF(OR($A1710="",$B1710=""),"",IF(ISNUMBER($A1710),MOD($A1710,100),IFERROR(VALUE(TRIM(MID(MID($A1710,FIND("/",$A1710)+1,20),FIND("/",MID($A1710,FIND("/",$A1710)+1,20))+1,20))),"")))</f>
        <v/>
      </c>
      <c r="E1710">
        <f>IF($A1710="","",IF(OR($B1710="",$C1710="",$D1710="",$B1710&lt;1300,$B1710&gt;1500,$C1710&lt;1,$C1710&gt;12,$D1710&lt;1,$D1710&gt;31),"نامعتبر",RIGHT("0000"&amp;$B1710,4)&amp;"/"&amp;RIGHT("00"&amp;$C1710,2)&amp;"/"&amp;RIGHT("00"&amp;$D1710,2)))</f>
        <v/>
      </c>
      <c r="F1710">
        <f>IF(OR($E1710="",$E1710="نامعتبر"),"",IF(Sync!$Q1707="","0000",IF(AND(ISNUMBER(Sync!$Q1707),Sync!$Q1707&gt;=0,Sync!$Q1707&lt;1),RIGHT("00"&amp;HOUR(Sync!$Q1707),2)&amp;RIGHT("00"&amp;MINUTE(Sync!$Q1707),2),IFERROR(RIGHT("00"&amp;VALUE(LEFT(Sync!$Q1707,FIND(":",Sync!$Q1707)-1)),2)&amp;RIGHT("00"&amp;VALUE(MID(Sync!$Q1707,FIND(":",Sync!$Q1707)+1,2)),2),"0000"))))</f>
        <v/>
      </c>
      <c r="G1710">
        <f>IF(OR($E1710="",$E1710="نامعتبر"),"",IF(Sync!$S1707="","",Sync!$S1707))</f>
        <v/>
      </c>
      <c r="H1710">
        <f>IF(OR($E1710="",$E1710="نامعتبر"),"",IF(Sync!$R1707="","",Sync!$R1707))</f>
        <v/>
      </c>
      <c r="I1710">
        <f>IF(OR($E1710="",$E1710="نامعتبر"),"",IF(Sync!$T1707="","",Sync!$T1707))</f>
        <v/>
      </c>
      <c r="J1710">
        <f>IF(OR($E1710="",$E1710="نامعتبر"),"",IF(Sync!$U1707="","",Sync!$U1707))</f>
        <v/>
      </c>
      <c r="K1710">
        <f>IF(OR($E1710="",$E1710="نامعتبر"),"",IF(Sync!$V1707="","",IFERROR(INDEX(SubCodes,MATCH(Sync!$V1707,SubTitles,0)),Sync!$V1707)))</f>
        <v/>
      </c>
      <c r="L1710">
        <f>IF(OR($E1710="",$E1710="نامعتبر"),"",IF(Sync!$W1707="",0,Sync!$W1707))</f>
        <v/>
      </c>
      <c r="M1710">
        <f>IF(OR($E1710="",$E1710="نامعتبر"),"",IF(Sync!$X1707="",0,Sync!$X1707))</f>
        <v/>
      </c>
      <c r="N1710">
        <f>IF(OR($E1710="",$E1710="نامعتبر"),"",IF(AND($J1710="هزینه",$K1710&lt;&gt;""),1,0))</f>
        <v/>
      </c>
      <c r="O1710">
        <f>IF($N1710=0,"",LEFT($E1710,4)&amp;MID($E1710,6,2)&amp;RIGHT($E1710,2)&amp;$F1710&amp;"|"&amp;"1"&amp;RIGHT("00000"&amp;1702,5))</f>
        <v/>
      </c>
      <c r="P1710">
        <f>IF($O1710="","",COUNTIFS(ExpSub,$K1710,ExpKey,"&lt;"&amp;$O1710)+1)</f>
        <v/>
      </c>
      <c r="Q1710">
        <f>IF($P1710="","",$K1710&amp;"|"&amp;RIGHT("000000"&amp;$P1710,6))</f>
        <v/>
      </c>
    </row>
    <row r="1711">
      <c r="A1711">
        <f>IF(Sync!$P1708="","",Sync!$P1708)</f>
        <v/>
      </c>
      <c r="B1711">
        <f>IF($A1711="","",IF(ISNUMBER($A1711),IF(AND($A1711&gt;=10000101,$A1711&lt;=99991231),INT($A1711/10000),""),IFERROR(VALUE(TRIM(LEFT($A1711,FIND("/",$A1711)-1))),"")))</f>
        <v/>
      </c>
      <c r="C1711">
        <f>IF(OR($A1711="",$B1711=""),"",IF(ISNUMBER($A1711),INT(MOD($A1711,10000)/100),IFERROR(VALUE(TRIM(LEFT(MID($A1711,FIND("/",$A1711)+1,20),FIND("/",MID($A1711,FIND("/",$A1711)+1,20))-1))),"")))</f>
        <v/>
      </c>
      <c r="D1711">
        <f>IF(OR($A1711="",$B1711=""),"",IF(ISNUMBER($A1711),MOD($A1711,100),IFERROR(VALUE(TRIM(MID(MID($A1711,FIND("/",$A1711)+1,20),FIND("/",MID($A1711,FIND("/",$A1711)+1,20))+1,20))),"")))</f>
        <v/>
      </c>
      <c r="E1711">
        <f>IF($A1711="","",IF(OR($B1711="",$C1711="",$D1711="",$B1711&lt;1300,$B1711&gt;1500,$C1711&lt;1,$C1711&gt;12,$D1711&lt;1,$D1711&gt;31),"نامعتبر",RIGHT("0000"&amp;$B1711,4)&amp;"/"&amp;RIGHT("00"&amp;$C1711,2)&amp;"/"&amp;RIGHT("00"&amp;$D1711,2)))</f>
        <v/>
      </c>
      <c r="F1711">
        <f>IF(OR($E1711="",$E1711="نامعتبر"),"",IF(Sync!$Q1708="","0000",IF(AND(ISNUMBER(Sync!$Q1708),Sync!$Q1708&gt;=0,Sync!$Q1708&lt;1),RIGHT("00"&amp;HOUR(Sync!$Q1708),2)&amp;RIGHT("00"&amp;MINUTE(Sync!$Q1708),2),IFERROR(RIGHT("00"&amp;VALUE(LEFT(Sync!$Q1708,FIND(":",Sync!$Q1708)-1)),2)&amp;RIGHT("00"&amp;VALUE(MID(Sync!$Q1708,FIND(":",Sync!$Q1708)+1,2)),2),"0000"))))</f>
        <v/>
      </c>
      <c r="G1711">
        <f>IF(OR($E1711="",$E1711="نامعتبر"),"",IF(Sync!$S1708="","",Sync!$S1708))</f>
        <v/>
      </c>
      <c r="H1711">
        <f>IF(OR($E1711="",$E1711="نامعتبر"),"",IF(Sync!$R1708="","",Sync!$R1708))</f>
        <v/>
      </c>
      <c r="I1711">
        <f>IF(OR($E1711="",$E1711="نامعتبر"),"",IF(Sync!$T1708="","",Sync!$T1708))</f>
        <v/>
      </c>
      <c r="J1711">
        <f>IF(OR($E1711="",$E1711="نامعتبر"),"",IF(Sync!$U1708="","",Sync!$U1708))</f>
        <v/>
      </c>
      <c r="K1711">
        <f>IF(OR($E1711="",$E1711="نامعتبر"),"",IF(Sync!$V1708="","",IFERROR(INDEX(SubCodes,MATCH(Sync!$V1708,SubTitles,0)),Sync!$V1708)))</f>
        <v/>
      </c>
      <c r="L1711">
        <f>IF(OR($E1711="",$E1711="نامعتبر"),"",IF(Sync!$W1708="",0,Sync!$W1708))</f>
        <v/>
      </c>
      <c r="M1711">
        <f>IF(OR($E1711="",$E1711="نامعتبر"),"",IF(Sync!$X1708="",0,Sync!$X1708))</f>
        <v/>
      </c>
      <c r="N1711">
        <f>IF(OR($E1711="",$E1711="نامعتبر"),"",IF(AND($J1711="هزینه",$K1711&lt;&gt;""),1,0))</f>
        <v/>
      </c>
      <c r="O1711">
        <f>IF($N1711=0,"",LEFT($E1711,4)&amp;MID($E1711,6,2)&amp;RIGHT($E1711,2)&amp;$F1711&amp;"|"&amp;"1"&amp;RIGHT("00000"&amp;1703,5))</f>
        <v/>
      </c>
      <c r="P1711">
        <f>IF($O1711="","",COUNTIFS(ExpSub,$K1711,ExpKey,"&lt;"&amp;$O1711)+1)</f>
        <v/>
      </c>
      <c r="Q1711">
        <f>IF($P1711="","",$K1711&amp;"|"&amp;RIGHT("000000"&amp;$P1711,6))</f>
        <v/>
      </c>
    </row>
    <row r="1712">
      <c r="A1712">
        <f>IF(Sync!$P1709="","",Sync!$P1709)</f>
        <v/>
      </c>
      <c r="B1712">
        <f>IF($A1712="","",IF(ISNUMBER($A1712),IF(AND($A1712&gt;=10000101,$A1712&lt;=99991231),INT($A1712/10000),""),IFERROR(VALUE(TRIM(LEFT($A1712,FIND("/",$A1712)-1))),"")))</f>
        <v/>
      </c>
      <c r="C1712">
        <f>IF(OR($A1712="",$B1712=""),"",IF(ISNUMBER($A1712),INT(MOD($A1712,10000)/100),IFERROR(VALUE(TRIM(LEFT(MID($A1712,FIND("/",$A1712)+1,20),FIND("/",MID($A1712,FIND("/",$A1712)+1,20))-1))),"")))</f>
        <v/>
      </c>
      <c r="D1712">
        <f>IF(OR($A1712="",$B1712=""),"",IF(ISNUMBER($A1712),MOD($A1712,100),IFERROR(VALUE(TRIM(MID(MID($A1712,FIND("/",$A1712)+1,20),FIND("/",MID($A1712,FIND("/",$A1712)+1,20))+1,20))),"")))</f>
        <v/>
      </c>
      <c r="E1712">
        <f>IF($A1712="","",IF(OR($B1712="",$C1712="",$D1712="",$B1712&lt;1300,$B1712&gt;1500,$C1712&lt;1,$C1712&gt;12,$D1712&lt;1,$D1712&gt;31),"نامعتبر",RIGHT("0000"&amp;$B1712,4)&amp;"/"&amp;RIGHT("00"&amp;$C1712,2)&amp;"/"&amp;RIGHT("00"&amp;$D1712,2)))</f>
        <v/>
      </c>
      <c r="F1712">
        <f>IF(OR($E1712="",$E1712="نامعتبر"),"",IF(Sync!$Q1709="","0000",IF(AND(ISNUMBER(Sync!$Q1709),Sync!$Q1709&gt;=0,Sync!$Q1709&lt;1),RIGHT("00"&amp;HOUR(Sync!$Q1709),2)&amp;RIGHT("00"&amp;MINUTE(Sync!$Q1709),2),IFERROR(RIGHT("00"&amp;VALUE(LEFT(Sync!$Q1709,FIND(":",Sync!$Q1709)-1)),2)&amp;RIGHT("00"&amp;VALUE(MID(Sync!$Q1709,FIND(":",Sync!$Q1709)+1,2)),2),"0000"))))</f>
        <v/>
      </c>
      <c r="G1712">
        <f>IF(OR($E1712="",$E1712="نامعتبر"),"",IF(Sync!$S1709="","",Sync!$S1709))</f>
        <v/>
      </c>
      <c r="H1712">
        <f>IF(OR($E1712="",$E1712="نامعتبر"),"",IF(Sync!$R1709="","",Sync!$R1709))</f>
        <v/>
      </c>
      <c r="I1712">
        <f>IF(OR($E1712="",$E1712="نامعتبر"),"",IF(Sync!$T1709="","",Sync!$T1709))</f>
        <v/>
      </c>
      <c r="J1712">
        <f>IF(OR($E1712="",$E1712="نامعتبر"),"",IF(Sync!$U1709="","",Sync!$U1709))</f>
        <v/>
      </c>
      <c r="K1712">
        <f>IF(OR($E1712="",$E1712="نامعتبر"),"",IF(Sync!$V1709="","",IFERROR(INDEX(SubCodes,MATCH(Sync!$V1709,SubTitles,0)),Sync!$V1709)))</f>
        <v/>
      </c>
      <c r="L1712">
        <f>IF(OR($E1712="",$E1712="نامعتبر"),"",IF(Sync!$W1709="",0,Sync!$W1709))</f>
        <v/>
      </c>
      <c r="M1712">
        <f>IF(OR($E1712="",$E1712="نامعتبر"),"",IF(Sync!$X1709="",0,Sync!$X1709))</f>
        <v/>
      </c>
      <c r="N1712">
        <f>IF(OR($E1712="",$E1712="نامعتبر"),"",IF(AND($J1712="هزینه",$K1712&lt;&gt;""),1,0))</f>
        <v/>
      </c>
      <c r="O1712">
        <f>IF($N1712=0,"",LEFT($E1712,4)&amp;MID($E1712,6,2)&amp;RIGHT($E1712,2)&amp;$F1712&amp;"|"&amp;"1"&amp;RIGHT("00000"&amp;1704,5))</f>
        <v/>
      </c>
      <c r="P1712">
        <f>IF($O1712="","",COUNTIFS(ExpSub,$K1712,ExpKey,"&lt;"&amp;$O1712)+1)</f>
        <v/>
      </c>
      <c r="Q1712">
        <f>IF($P1712="","",$K1712&amp;"|"&amp;RIGHT("000000"&amp;$P1712,6))</f>
        <v/>
      </c>
    </row>
    <row r="1713">
      <c r="A1713">
        <f>IF(Sync!$P1710="","",Sync!$P1710)</f>
        <v/>
      </c>
      <c r="B1713">
        <f>IF($A1713="","",IF(ISNUMBER($A1713),IF(AND($A1713&gt;=10000101,$A1713&lt;=99991231),INT($A1713/10000),""),IFERROR(VALUE(TRIM(LEFT($A1713,FIND("/",$A1713)-1))),"")))</f>
        <v/>
      </c>
      <c r="C1713">
        <f>IF(OR($A1713="",$B1713=""),"",IF(ISNUMBER($A1713),INT(MOD($A1713,10000)/100),IFERROR(VALUE(TRIM(LEFT(MID($A1713,FIND("/",$A1713)+1,20),FIND("/",MID($A1713,FIND("/",$A1713)+1,20))-1))),"")))</f>
        <v/>
      </c>
      <c r="D1713">
        <f>IF(OR($A1713="",$B1713=""),"",IF(ISNUMBER($A1713),MOD($A1713,100),IFERROR(VALUE(TRIM(MID(MID($A1713,FIND("/",$A1713)+1,20),FIND("/",MID($A1713,FIND("/",$A1713)+1,20))+1,20))),"")))</f>
        <v/>
      </c>
      <c r="E1713">
        <f>IF($A1713="","",IF(OR($B1713="",$C1713="",$D1713="",$B1713&lt;1300,$B1713&gt;1500,$C1713&lt;1,$C1713&gt;12,$D1713&lt;1,$D1713&gt;31),"نامعتبر",RIGHT("0000"&amp;$B1713,4)&amp;"/"&amp;RIGHT("00"&amp;$C1713,2)&amp;"/"&amp;RIGHT("00"&amp;$D1713,2)))</f>
        <v/>
      </c>
      <c r="F1713">
        <f>IF(OR($E1713="",$E1713="نامعتبر"),"",IF(Sync!$Q1710="","0000",IF(AND(ISNUMBER(Sync!$Q1710),Sync!$Q1710&gt;=0,Sync!$Q1710&lt;1),RIGHT("00"&amp;HOUR(Sync!$Q1710),2)&amp;RIGHT("00"&amp;MINUTE(Sync!$Q1710),2),IFERROR(RIGHT("00"&amp;VALUE(LEFT(Sync!$Q1710,FIND(":",Sync!$Q1710)-1)),2)&amp;RIGHT("00"&amp;VALUE(MID(Sync!$Q1710,FIND(":",Sync!$Q1710)+1,2)),2),"0000"))))</f>
        <v/>
      </c>
      <c r="G1713">
        <f>IF(OR($E1713="",$E1713="نامعتبر"),"",IF(Sync!$S1710="","",Sync!$S1710))</f>
        <v/>
      </c>
      <c r="H1713">
        <f>IF(OR($E1713="",$E1713="نامعتبر"),"",IF(Sync!$R1710="","",Sync!$R1710))</f>
        <v/>
      </c>
      <c r="I1713">
        <f>IF(OR($E1713="",$E1713="نامعتبر"),"",IF(Sync!$T1710="","",Sync!$T1710))</f>
        <v/>
      </c>
      <c r="J1713">
        <f>IF(OR($E1713="",$E1713="نامعتبر"),"",IF(Sync!$U1710="","",Sync!$U1710))</f>
        <v/>
      </c>
      <c r="K1713">
        <f>IF(OR($E1713="",$E1713="نامعتبر"),"",IF(Sync!$V1710="","",IFERROR(INDEX(SubCodes,MATCH(Sync!$V1710,SubTitles,0)),Sync!$V1710)))</f>
        <v/>
      </c>
      <c r="L1713">
        <f>IF(OR($E1713="",$E1713="نامعتبر"),"",IF(Sync!$W1710="",0,Sync!$W1710))</f>
        <v/>
      </c>
      <c r="M1713">
        <f>IF(OR($E1713="",$E1713="نامعتبر"),"",IF(Sync!$X1710="",0,Sync!$X1710))</f>
        <v/>
      </c>
      <c r="N1713">
        <f>IF(OR($E1713="",$E1713="نامعتبر"),"",IF(AND($J1713="هزینه",$K1713&lt;&gt;""),1,0))</f>
        <v/>
      </c>
      <c r="O1713">
        <f>IF($N1713=0,"",LEFT($E1713,4)&amp;MID($E1713,6,2)&amp;RIGHT($E1713,2)&amp;$F1713&amp;"|"&amp;"1"&amp;RIGHT("00000"&amp;1705,5))</f>
        <v/>
      </c>
      <c r="P1713">
        <f>IF($O1713="","",COUNTIFS(ExpSub,$K1713,ExpKey,"&lt;"&amp;$O1713)+1)</f>
        <v/>
      </c>
      <c r="Q1713">
        <f>IF($P1713="","",$K1713&amp;"|"&amp;RIGHT("000000"&amp;$P1713,6))</f>
        <v/>
      </c>
    </row>
    <row r="1714">
      <c r="A1714">
        <f>IF(Sync!$P1711="","",Sync!$P1711)</f>
        <v/>
      </c>
      <c r="B1714">
        <f>IF($A1714="","",IF(ISNUMBER($A1714),IF(AND($A1714&gt;=10000101,$A1714&lt;=99991231),INT($A1714/10000),""),IFERROR(VALUE(TRIM(LEFT($A1714,FIND("/",$A1714)-1))),"")))</f>
        <v/>
      </c>
      <c r="C1714">
        <f>IF(OR($A1714="",$B1714=""),"",IF(ISNUMBER($A1714),INT(MOD($A1714,10000)/100),IFERROR(VALUE(TRIM(LEFT(MID($A1714,FIND("/",$A1714)+1,20),FIND("/",MID($A1714,FIND("/",$A1714)+1,20))-1))),"")))</f>
        <v/>
      </c>
      <c r="D1714">
        <f>IF(OR($A1714="",$B1714=""),"",IF(ISNUMBER($A1714),MOD($A1714,100),IFERROR(VALUE(TRIM(MID(MID($A1714,FIND("/",$A1714)+1,20),FIND("/",MID($A1714,FIND("/",$A1714)+1,20))+1,20))),"")))</f>
        <v/>
      </c>
      <c r="E1714">
        <f>IF($A1714="","",IF(OR($B1714="",$C1714="",$D1714="",$B1714&lt;1300,$B1714&gt;1500,$C1714&lt;1,$C1714&gt;12,$D1714&lt;1,$D1714&gt;31),"نامعتبر",RIGHT("0000"&amp;$B1714,4)&amp;"/"&amp;RIGHT("00"&amp;$C1714,2)&amp;"/"&amp;RIGHT("00"&amp;$D1714,2)))</f>
        <v/>
      </c>
      <c r="F1714">
        <f>IF(OR($E1714="",$E1714="نامعتبر"),"",IF(Sync!$Q1711="","0000",IF(AND(ISNUMBER(Sync!$Q1711),Sync!$Q1711&gt;=0,Sync!$Q1711&lt;1),RIGHT("00"&amp;HOUR(Sync!$Q1711),2)&amp;RIGHT("00"&amp;MINUTE(Sync!$Q1711),2),IFERROR(RIGHT("00"&amp;VALUE(LEFT(Sync!$Q1711,FIND(":",Sync!$Q1711)-1)),2)&amp;RIGHT("00"&amp;VALUE(MID(Sync!$Q1711,FIND(":",Sync!$Q1711)+1,2)),2),"0000"))))</f>
        <v/>
      </c>
      <c r="G1714">
        <f>IF(OR($E1714="",$E1714="نامعتبر"),"",IF(Sync!$S1711="","",Sync!$S1711))</f>
        <v/>
      </c>
      <c r="H1714">
        <f>IF(OR($E1714="",$E1714="نامعتبر"),"",IF(Sync!$R1711="","",Sync!$R1711))</f>
        <v/>
      </c>
      <c r="I1714">
        <f>IF(OR($E1714="",$E1714="نامعتبر"),"",IF(Sync!$T1711="","",Sync!$T1711))</f>
        <v/>
      </c>
      <c r="J1714">
        <f>IF(OR($E1714="",$E1714="نامعتبر"),"",IF(Sync!$U1711="","",Sync!$U1711))</f>
        <v/>
      </c>
      <c r="K1714">
        <f>IF(OR($E1714="",$E1714="نامعتبر"),"",IF(Sync!$V1711="","",IFERROR(INDEX(SubCodes,MATCH(Sync!$V1711,SubTitles,0)),Sync!$V1711)))</f>
        <v/>
      </c>
      <c r="L1714">
        <f>IF(OR($E1714="",$E1714="نامعتبر"),"",IF(Sync!$W1711="",0,Sync!$W1711))</f>
        <v/>
      </c>
      <c r="M1714">
        <f>IF(OR($E1714="",$E1714="نامعتبر"),"",IF(Sync!$X1711="",0,Sync!$X1711))</f>
        <v/>
      </c>
      <c r="N1714">
        <f>IF(OR($E1714="",$E1714="نامعتبر"),"",IF(AND($J1714="هزینه",$K1714&lt;&gt;""),1,0))</f>
        <v/>
      </c>
      <c r="O1714">
        <f>IF($N1714=0,"",LEFT($E1714,4)&amp;MID($E1714,6,2)&amp;RIGHT($E1714,2)&amp;$F1714&amp;"|"&amp;"1"&amp;RIGHT("00000"&amp;1706,5))</f>
        <v/>
      </c>
      <c r="P1714">
        <f>IF($O1714="","",COUNTIFS(ExpSub,$K1714,ExpKey,"&lt;"&amp;$O1714)+1)</f>
        <v/>
      </c>
      <c r="Q1714">
        <f>IF($P1714="","",$K1714&amp;"|"&amp;RIGHT("000000"&amp;$P1714,6))</f>
        <v/>
      </c>
    </row>
    <row r="1715">
      <c r="A1715">
        <f>IF(Sync!$P1712="","",Sync!$P1712)</f>
        <v/>
      </c>
      <c r="B1715">
        <f>IF($A1715="","",IF(ISNUMBER($A1715),IF(AND($A1715&gt;=10000101,$A1715&lt;=99991231),INT($A1715/10000),""),IFERROR(VALUE(TRIM(LEFT($A1715,FIND("/",$A1715)-1))),"")))</f>
        <v/>
      </c>
      <c r="C1715">
        <f>IF(OR($A1715="",$B1715=""),"",IF(ISNUMBER($A1715),INT(MOD($A1715,10000)/100),IFERROR(VALUE(TRIM(LEFT(MID($A1715,FIND("/",$A1715)+1,20),FIND("/",MID($A1715,FIND("/",$A1715)+1,20))-1))),"")))</f>
        <v/>
      </c>
      <c r="D1715">
        <f>IF(OR($A1715="",$B1715=""),"",IF(ISNUMBER($A1715),MOD($A1715,100),IFERROR(VALUE(TRIM(MID(MID($A1715,FIND("/",$A1715)+1,20),FIND("/",MID($A1715,FIND("/",$A1715)+1,20))+1,20))),"")))</f>
        <v/>
      </c>
      <c r="E1715">
        <f>IF($A1715="","",IF(OR($B1715="",$C1715="",$D1715="",$B1715&lt;1300,$B1715&gt;1500,$C1715&lt;1,$C1715&gt;12,$D1715&lt;1,$D1715&gt;31),"نامعتبر",RIGHT("0000"&amp;$B1715,4)&amp;"/"&amp;RIGHT("00"&amp;$C1715,2)&amp;"/"&amp;RIGHT("00"&amp;$D1715,2)))</f>
        <v/>
      </c>
      <c r="F1715">
        <f>IF(OR($E1715="",$E1715="نامعتبر"),"",IF(Sync!$Q1712="","0000",IF(AND(ISNUMBER(Sync!$Q1712),Sync!$Q1712&gt;=0,Sync!$Q1712&lt;1),RIGHT("00"&amp;HOUR(Sync!$Q1712),2)&amp;RIGHT("00"&amp;MINUTE(Sync!$Q1712),2),IFERROR(RIGHT("00"&amp;VALUE(LEFT(Sync!$Q1712,FIND(":",Sync!$Q1712)-1)),2)&amp;RIGHT("00"&amp;VALUE(MID(Sync!$Q1712,FIND(":",Sync!$Q1712)+1,2)),2),"0000"))))</f>
        <v/>
      </c>
      <c r="G1715">
        <f>IF(OR($E1715="",$E1715="نامعتبر"),"",IF(Sync!$S1712="","",Sync!$S1712))</f>
        <v/>
      </c>
      <c r="H1715">
        <f>IF(OR($E1715="",$E1715="نامعتبر"),"",IF(Sync!$R1712="","",Sync!$R1712))</f>
        <v/>
      </c>
      <c r="I1715">
        <f>IF(OR($E1715="",$E1715="نامعتبر"),"",IF(Sync!$T1712="","",Sync!$T1712))</f>
        <v/>
      </c>
      <c r="J1715">
        <f>IF(OR($E1715="",$E1715="نامعتبر"),"",IF(Sync!$U1712="","",Sync!$U1712))</f>
        <v/>
      </c>
      <c r="K1715">
        <f>IF(OR($E1715="",$E1715="نامعتبر"),"",IF(Sync!$V1712="","",IFERROR(INDEX(SubCodes,MATCH(Sync!$V1712,SubTitles,0)),Sync!$V1712)))</f>
        <v/>
      </c>
      <c r="L1715">
        <f>IF(OR($E1715="",$E1715="نامعتبر"),"",IF(Sync!$W1712="",0,Sync!$W1712))</f>
        <v/>
      </c>
      <c r="M1715">
        <f>IF(OR($E1715="",$E1715="نامعتبر"),"",IF(Sync!$X1712="",0,Sync!$X1712))</f>
        <v/>
      </c>
      <c r="N1715">
        <f>IF(OR($E1715="",$E1715="نامعتبر"),"",IF(AND($J1715="هزینه",$K1715&lt;&gt;""),1,0))</f>
        <v/>
      </c>
      <c r="O1715">
        <f>IF($N1715=0,"",LEFT($E1715,4)&amp;MID($E1715,6,2)&amp;RIGHT($E1715,2)&amp;$F1715&amp;"|"&amp;"1"&amp;RIGHT("00000"&amp;1707,5))</f>
        <v/>
      </c>
      <c r="P1715">
        <f>IF($O1715="","",COUNTIFS(ExpSub,$K1715,ExpKey,"&lt;"&amp;$O1715)+1)</f>
        <v/>
      </c>
      <c r="Q1715">
        <f>IF($P1715="","",$K1715&amp;"|"&amp;RIGHT("000000"&amp;$P1715,6))</f>
        <v/>
      </c>
    </row>
    <row r="1716">
      <c r="A1716">
        <f>IF(Sync!$P1713="","",Sync!$P1713)</f>
        <v/>
      </c>
      <c r="B1716">
        <f>IF($A1716="","",IF(ISNUMBER($A1716),IF(AND($A1716&gt;=10000101,$A1716&lt;=99991231),INT($A1716/10000),""),IFERROR(VALUE(TRIM(LEFT($A1716,FIND("/",$A1716)-1))),"")))</f>
        <v/>
      </c>
      <c r="C1716">
        <f>IF(OR($A1716="",$B1716=""),"",IF(ISNUMBER($A1716),INT(MOD($A1716,10000)/100),IFERROR(VALUE(TRIM(LEFT(MID($A1716,FIND("/",$A1716)+1,20),FIND("/",MID($A1716,FIND("/",$A1716)+1,20))-1))),"")))</f>
        <v/>
      </c>
      <c r="D1716">
        <f>IF(OR($A1716="",$B1716=""),"",IF(ISNUMBER($A1716),MOD($A1716,100),IFERROR(VALUE(TRIM(MID(MID($A1716,FIND("/",$A1716)+1,20),FIND("/",MID($A1716,FIND("/",$A1716)+1,20))+1,20))),"")))</f>
        <v/>
      </c>
      <c r="E1716">
        <f>IF($A1716="","",IF(OR($B1716="",$C1716="",$D1716="",$B1716&lt;1300,$B1716&gt;1500,$C1716&lt;1,$C1716&gt;12,$D1716&lt;1,$D1716&gt;31),"نامعتبر",RIGHT("0000"&amp;$B1716,4)&amp;"/"&amp;RIGHT("00"&amp;$C1716,2)&amp;"/"&amp;RIGHT("00"&amp;$D1716,2)))</f>
        <v/>
      </c>
      <c r="F1716">
        <f>IF(OR($E1716="",$E1716="نامعتبر"),"",IF(Sync!$Q1713="","0000",IF(AND(ISNUMBER(Sync!$Q1713),Sync!$Q1713&gt;=0,Sync!$Q1713&lt;1),RIGHT("00"&amp;HOUR(Sync!$Q1713),2)&amp;RIGHT("00"&amp;MINUTE(Sync!$Q1713),2),IFERROR(RIGHT("00"&amp;VALUE(LEFT(Sync!$Q1713,FIND(":",Sync!$Q1713)-1)),2)&amp;RIGHT("00"&amp;VALUE(MID(Sync!$Q1713,FIND(":",Sync!$Q1713)+1,2)),2),"0000"))))</f>
        <v/>
      </c>
      <c r="G1716">
        <f>IF(OR($E1716="",$E1716="نامعتبر"),"",IF(Sync!$S1713="","",Sync!$S1713))</f>
        <v/>
      </c>
      <c r="H1716">
        <f>IF(OR($E1716="",$E1716="نامعتبر"),"",IF(Sync!$R1713="","",Sync!$R1713))</f>
        <v/>
      </c>
      <c r="I1716">
        <f>IF(OR($E1716="",$E1716="نامعتبر"),"",IF(Sync!$T1713="","",Sync!$T1713))</f>
        <v/>
      </c>
      <c r="J1716">
        <f>IF(OR($E1716="",$E1716="نامعتبر"),"",IF(Sync!$U1713="","",Sync!$U1713))</f>
        <v/>
      </c>
      <c r="K1716">
        <f>IF(OR($E1716="",$E1716="نامعتبر"),"",IF(Sync!$V1713="","",IFERROR(INDEX(SubCodes,MATCH(Sync!$V1713,SubTitles,0)),Sync!$V1713)))</f>
        <v/>
      </c>
      <c r="L1716">
        <f>IF(OR($E1716="",$E1716="نامعتبر"),"",IF(Sync!$W1713="",0,Sync!$W1713))</f>
        <v/>
      </c>
      <c r="M1716">
        <f>IF(OR($E1716="",$E1716="نامعتبر"),"",IF(Sync!$X1713="",0,Sync!$X1713))</f>
        <v/>
      </c>
      <c r="N1716">
        <f>IF(OR($E1716="",$E1716="نامعتبر"),"",IF(AND($J1716="هزینه",$K1716&lt;&gt;""),1,0))</f>
        <v/>
      </c>
      <c r="O1716">
        <f>IF($N1716=0,"",LEFT($E1716,4)&amp;MID($E1716,6,2)&amp;RIGHT($E1716,2)&amp;$F1716&amp;"|"&amp;"1"&amp;RIGHT("00000"&amp;1708,5))</f>
        <v/>
      </c>
      <c r="P1716">
        <f>IF($O1716="","",COUNTIFS(ExpSub,$K1716,ExpKey,"&lt;"&amp;$O1716)+1)</f>
        <v/>
      </c>
      <c r="Q1716">
        <f>IF($P1716="","",$K1716&amp;"|"&amp;RIGHT("000000"&amp;$P1716,6))</f>
        <v/>
      </c>
    </row>
    <row r="1717">
      <c r="A1717">
        <f>IF(Sync!$P1714="","",Sync!$P1714)</f>
        <v/>
      </c>
      <c r="B1717">
        <f>IF($A1717="","",IF(ISNUMBER($A1717),IF(AND($A1717&gt;=10000101,$A1717&lt;=99991231),INT($A1717/10000),""),IFERROR(VALUE(TRIM(LEFT($A1717,FIND("/",$A1717)-1))),"")))</f>
        <v/>
      </c>
      <c r="C1717">
        <f>IF(OR($A1717="",$B1717=""),"",IF(ISNUMBER($A1717),INT(MOD($A1717,10000)/100),IFERROR(VALUE(TRIM(LEFT(MID($A1717,FIND("/",$A1717)+1,20),FIND("/",MID($A1717,FIND("/",$A1717)+1,20))-1))),"")))</f>
        <v/>
      </c>
      <c r="D1717">
        <f>IF(OR($A1717="",$B1717=""),"",IF(ISNUMBER($A1717),MOD($A1717,100),IFERROR(VALUE(TRIM(MID(MID($A1717,FIND("/",$A1717)+1,20),FIND("/",MID($A1717,FIND("/",$A1717)+1,20))+1,20))),"")))</f>
        <v/>
      </c>
      <c r="E1717">
        <f>IF($A1717="","",IF(OR($B1717="",$C1717="",$D1717="",$B1717&lt;1300,$B1717&gt;1500,$C1717&lt;1,$C1717&gt;12,$D1717&lt;1,$D1717&gt;31),"نامعتبر",RIGHT("0000"&amp;$B1717,4)&amp;"/"&amp;RIGHT("00"&amp;$C1717,2)&amp;"/"&amp;RIGHT("00"&amp;$D1717,2)))</f>
        <v/>
      </c>
      <c r="F1717">
        <f>IF(OR($E1717="",$E1717="نامعتبر"),"",IF(Sync!$Q1714="","0000",IF(AND(ISNUMBER(Sync!$Q1714),Sync!$Q1714&gt;=0,Sync!$Q1714&lt;1),RIGHT("00"&amp;HOUR(Sync!$Q1714),2)&amp;RIGHT("00"&amp;MINUTE(Sync!$Q1714),2),IFERROR(RIGHT("00"&amp;VALUE(LEFT(Sync!$Q1714,FIND(":",Sync!$Q1714)-1)),2)&amp;RIGHT("00"&amp;VALUE(MID(Sync!$Q1714,FIND(":",Sync!$Q1714)+1,2)),2),"0000"))))</f>
        <v/>
      </c>
      <c r="G1717">
        <f>IF(OR($E1717="",$E1717="نامعتبر"),"",IF(Sync!$S1714="","",Sync!$S1714))</f>
        <v/>
      </c>
      <c r="H1717">
        <f>IF(OR($E1717="",$E1717="نامعتبر"),"",IF(Sync!$R1714="","",Sync!$R1714))</f>
        <v/>
      </c>
      <c r="I1717">
        <f>IF(OR($E1717="",$E1717="نامعتبر"),"",IF(Sync!$T1714="","",Sync!$T1714))</f>
        <v/>
      </c>
      <c r="J1717">
        <f>IF(OR($E1717="",$E1717="نامعتبر"),"",IF(Sync!$U1714="","",Sync!$U1714))</f>
        <v/>
      </c>
      <c r="K1717">
        <f>IF(OR($E1717="",$E1717="نامعتبر"),"",IF(Sync!$V1714="","",IFERROR(INDEX(SubCodes,MATCH(Sync!$V1714,SubTitles,0)),Sync!$V1714)))</f>
        <v/>
      </c>
      <c r="L1717">
        <f>IF(OR($E1717="",$E1717="نامعتبر"),"",IF(Sync!$W1714="",0,Sync!$W1714))</f>
        <v/>
      </c>
      <c r="M1717">
        <f>IF(OR($E1717="",$E1717="نامعتبر"),"",IF(Sync!$X1714="",0,Sync!$X1714))</f>
        <v/>
      </c>
      <c r="N1717">
        <f>IF(OR($E1717="",$E1717="نامعتبر"),"",IF(AND($J1717="هزینه",$K1717&lt;&gt;""),1,0))</f>
        <v/>
      </c>
      <c r="O1717">
        <f>IF($N1717=0,"",LEFT($E1717,4)&amp;MID($E1717,6,2)&amp;RIGHT($E1717,2)&amp;$F1717&amp;"|"&amp;"1"&amp;RIGHT("00000"&amp;1709,5))</f>
        <v/>
      </c>
      <c r="P1717">
        <f>IF($O1717="","",COUNTIFS(ExpSub,$K1717,ExpKey,"&lt;"&amp;$O1717)+1)</f>
        <v/>
      </c>
      <c r="Q1717">
        <f>IF($P1717="","",$K1717&amp;"|"&amp;RIGHT("000000"&amp;$P1717,6))</f>
        <v/>
      </c>
    </row>
    <row r="1718">
      <c r="A1718">
        <f>IF(Sync!$P1715="","",Sync!$P1715)</f>
        <v/>
      </c>
      <c r="B1718">
        <f>IF($A1718="","",IF(ISNUMBER($A1718),IF(AND($A1718&gt;=10000101,$A1718&lt;=99991231),INT($A1718/10000),""),IFERROR(VALUE(TRIM(LEFT($A1718,FIND("/",$A1718)-1))),"")))</f>
        <v/>
      </c>
      <c r="C1718">
        <f>IF(OR($A1718="",$B1718=""),"",IF(ISNUMBER($A1718),INT(MOD($A1718,10000)/100),IFERROR(VALUE(TRIM(LEFT(MID($A1718,FIND("/",$A1718)+1,20),FIND("/",MID($A1718,FIND("/",$A1718)+1,20))-1))),"")))</f>
        <v/>
      </c>
      <c r="D1718">
        <f>IF(OR($A1718="",$B1718=""),"",IF(ISNUMBER($A1718),MOD($A1718,100),IFERROR(VALUE(TRIM(MID(MID($A1718,FIND("/",$A1718)+1,20),FIND("/",MID($A1718,FIND("/",$A1718)+1,20))+1,20))),"")))</f>
        <v/>
      </c>
      <c r="E1718">
        <f>IF($A1718="","",IF(OR($B1718="",$C1718="",$D1718="",$B1718&lt;1300,$B1718&gt;1500,$C1718&lt;1,$C1718&gt;12,$D1718&lt;1,$D1718&gt;31),"نامعتبر",RIGHT("0000"&amp;$B1718,4)&amp;"/"&amp;RIGHT("00"&amp;$C1718,2)&amp;"/"&amp;RIGHT("00"&amp;$D1718,2)))</f>
        <v/>
      </c>
      <c r="F1718">
        <f>IF(OR($E1718="",$E1718="نامعتبر"),"",IF(Sync!$Q1715="","0000",IF(AND(ISNUMBER(Sync!$Q1715),Sync!$Q1715&gt;=0,Sync!$Q1715&lt;1),RIGHT("00"&amp;HOUR(Sync!$Q1715),2)&amp;RIGHT("00"&amp;MINUTE(Sync!$Q1715),2),IFERROR(RIGHT("00"&amp;VALUE(LEFT(Sync!$Q1715,FIND(":",Sync!$Q1715)-1)),2)&amp;RIGHT("00"&amp;VALUE(MID(Sync!$Q1715,FIND(":",Sync!$Q1715)+1,2)),2),"0000"))))</f>
        <v/>
      </c>
      <c r="G1718">
        <f>IF(OR($E1718="",$E1718="نامعتبر"),"",IF(Sync!$S1715="","",Sync!$S1715))</f>
        <v/>
      </c>
      <c r="H1718">
        <f>IF(OR($E1718="",$E1718="نامعتبر"),"",IF(Sync!$R1715="","",Sync!$R1715))</f>
        <v/>
      </c>
      <c r="I1718">
        <f>IF(OR($E1718="",$E1718="نامعتبر"),"",IF(Sync!$T1715="","",Sync!$T1715))</f>
        <v/>
      </c>
      <c r="J1718">
        <f>IF(OR($E1718="",$E1718="نامعتبر"),"",IF(Sync!$U1715="","",Sync!$U1715))</f>
        <v/>
      </c>
      <c r="K1718">
        <f>IF(OR($E1718="",$E1718="نامعتبر"),"",IF(Sync!$V1715="","",IFERROR(INDEX(SubCodes,MATCH(Sync!$V1715,SubTitles,0)),Sync!$V1715)))</f>
        <v/>
      </c>
      <c r="L1718">
        <f>IF(OR($E1718="",$E1718="نامعتبر"),"",IF(Sync!$W1715="",0,Sync!$W1715))</f>
        <v/>
      </c>
      <c r="M1718">
        <f>IF(OR($E1718="",$E1718="نامعتبر"),"",IF(Sync!$X1715="",0,Sync!$X1715))</f>
        <v/>
      </c>
      <c r="N1718">
        <f>IF(OR($E1718="",$E1718="نامعتبر"),"",IF(AND($J1718="هزینه",$K1718&lt;&gt;""),1,0))</f>
        <v/>
      </c>
      <c r="O1718">
        <f>IF($N1718=0,"",LEFT($E1718,4)&amp;MID($E1718,6,2)&amp;RIGHT($E1718,2)&amp;$F1718&amp;"|"&amp;"1"&amp;RIGHT("00000"&amp;1710,5))</f>
        <v/>
      </c>
      <c r="P1718">
        <f>IF($O1718="","",COUNTIFS(ExpSub,$K1718,ExpKey,"&lt;"&amp;$O1718)+1)</f>
        <v/>
      </c>
      <c r="Q1718">
        <f>IF($P1718="","",$K1718&amp;"|"&amp;RIGHT("000000"&amp;$P1718,6))</f>
        <v/>
      </c>
    </row>
    <row r="1719">
      <c r="A1719">
        <f>IF(Sync!$P1716="","",Sync!$P1716)</f>
        <v/>
      </c>
      <c r="B1719">
        <f>IF($A1719="","",IF(ISNUMBER($A1719),IF(AND($A1719&gt;=10000101,$A1719&lt;=99991231),INT($A1719/10000),""),IFERROR(VALUE(TRIM(LEFT($A1719,FIND("/",$A1719)-1))),"")))</f>
        <v/>
      </c>
      <c r="C1719">
        <f>IF(OR($A1719="",$B1719=""),"",IF(ISNUMBER($A1719),INT(MOD($A1719,10000)/100),IFERROR(VALUE(TRIM(LEFT(MID($A1719,FIND("/",$A1719)+1,20),FIND("/",MID($A1719,FIND("/",$A1719)+1,20))-1))),"")))</f>
        <v/>
      </c>
      <c r="D1719">
        <f>IF(OR($A1719="",$B1719=""),"",IF(ISNUMBER($A1719),MOD($A1719,100),IFERROR(VALUE(TRIM(MID(MID($A1719,FIND("/",$A1719)+1,20),FIND("/",MID($A1719,FIND("/",$A1719)+1,20))+1,20))),"")))</f>
        <v/>
      </c>
      <c r="E1719">
        <f>IF($A1719="","",IF(OR($B1719="",$C1719="",$D1719="",$B1719&lt;1300,$B1719&gt;1500,$C1719&lt;1,$C1719&gt;12,$D1719&lt;1,$D1719&gt;31),"نامعتبر",RIGHT("0000"&amp;$B1719,4)&amp;"/"&amp;RIGHT("00"&amp;$C1719,2)&amp;"/"&amp;RIGHT("00"&amp;$D1719,2)))</f>
        <v/>
      </c>
      <c r="F1719">
        <f>IF(OR($E1719="",$E1719="نامعتبر"),"",IF(Sync!$Q1716="","0000",IF(AND(ISNUMBER(Sync!$Q1716),Sync!$Q1716&gt;=0,Sync!$Q1716&lt;1),RIGHT("00"&amp;HOUR(Sync!$Q1716),2)&amp;RIGHT("00"&amp;MINUTE(Sync!$Q1716),2),IFERROR(RIGHT("00"&amp;VALUE(LEFT(Sync!$Q1716,FIND(":",Sync!$Q1716)-1)),2)&amp;RIGHT("00"&amp;VALUE(MID(Sync!$Q1716,FIND(":",Sync!$Q1716)+1,2)),2),"0000"))))</f>
        <v/>
      </c>
      <c r="G1719">
        <f>IF(OR($E1719="",$E1719="نامعتبر"),"",IF(Sync!$S1716="","",Sync!$S1716))</f>
        <v/>
      </c>
      <c r="H1719">
        <f>IF(OR($E1719="",$E1719="نامعتبر"),"",IF(Sync!$R1716="","",Sync!$R1716))</f>
        <v/>
      </c>
      <c r="I1719">
        <f>IF(OR($E1719="",$E1719="نامعتبر"),"",IF(Sync!$T1716="","",Sync!$T1716))</f>
        <v/>
      </c>
      <c r="J1719">
        <f>IF(OR($E1719="",$E1719="نامعتبر"),"",IF(Sync!$U1716="","",Sync!$U1716))</f>
        <v/>
      </c>
      <c r="K1719">
        <f>IF(OR($E1719="",$E1719="نامعتبر"),"",IF(Sync!$V1716="","",IFERROR(INDEX(SubCodes,MATCH(Sync!$V1716,SubTitles,0)),Sync!$V1716)))</f>
        <v/>
      </c>
      <c r="L1719">
        <f>IF(OR($E1719="",$E1719="نامعتبر"),"",IF(Sync!$W1716="",0,Sync!$W1716))</f>
        <v/>
      </c>
      <c r="M1719">
        <f>IF(OR($E1719="",$E1719="نامعتبر"),"",IF(Sync!$X1716="",0,Sync!$X1716))</f>
        <v/>
      </c>
      <c r="N1719">
        <f>IF(OR($E1719="",$E1719="نامعتبر"),"",IF(AND($J1719="هزینه",$K1719&lt;&gt;""),1,0))</f>
        <v/>
      </c>
      <c r="O1719">
        <f>IF($N1719=0,"",LEFT($E1719,4)&amp;MID($E1719,6,2)&amp;RIGHT($E1719,2)&amp;$F1719&amp;"|"&amp;"1"&amp;RIGHT("00000"&amp;1711,5))</f>
        <v/>
      </c>
      <c r="P1719">
        <f>IF($O1719="","",COUNTIFS(ExpSub,$K1719,ExpKey,"&lt;"&amp;$O1719)+1)</f>
        <v/>
      </c>
      <c r="Q1719">
        <f>IF($P1719="","",$K1719&amp;"|"&amp;RIGHT("000000"&amp;$P1719,6))</f>
        <v/>
      </c>
    </row>
    <row r="1720">
      <c r="A1720">
        <f>IF(Sync!$P1717="","",Sync!$P1717)</f>
        <v/>
      </c>
      <c r="B1720">
        <f>IF($A1720="","",IF(ISNUMBER($A1720),IF(AND($A1720&gt;=10000101,$A1720&lt;=99991231),INT($A1720/10000),""),IFERROR(VALUE(TRIM(LEFT($A1720,FIND("/",$A1720)-1))),"")))</f>
        <v/>
      </c>
      <c r="C1720">
        <f>IF(OR($A1720="",$B1720=""),"",IF(ISNUMBER($A1720),INT(MOD($A1720,10000)/100),IFERROR(VALUE(TRIM(LEFT(MID($A1720,FIND("/",$A1720)+1,20),FIND("/",MID($A1720,FIND("/",$A1720)+1,20))-1))),"")))</f>
        <v/>
      </c>
      <c r="D1720">
        <f>IF(OR($A1720="",$B1720=""),"",IF(ISNUMBER($A1720),MOD($A1720,100),IFERROR(VALUE(TRIM(MID(MID($A1720,FIND("/",$A1720)+1,20),FIND("/",MID($A1720,FIND("/",$A1720)+1,20))+1,20))),"")))</f>
        <v/>
      </c>
      <c r="E1720">
        <f>IF($A1720="","",IF(OR($B1720="",$C1720="",$D1720="",$B1720&lt;1300,$B1720&gt;1500,$C1720&lt;1,$C1720&gt;12,$D1720&lt;1,$D1720&gt;31),"نامعتبر",RIGHT("0000"&amp;$B1720,4)&amp;"/"&amp;RIGHT("00"&amp;$C1720,2)&amp;"/"&amp;RIGHT("00"&amp;$D1720,2)))</f>
        <v/>
      </c>
      <c r="F1720">
        <f>IF(OR($E1720="",$E1720="نامعتبر"),"",IF(Sync!$Q1717="","0000",IF(AND(ISNUMBER(Sync!$Q1717),Sync!$Q1717&gt;=0,Sync!$Q1717&lt;1),RIGHT("00"&amp;HOUR(Sync!$Q1717),2)&amp;RIGHT("00"&amp;MINUTE(Sync!$Q1717),2),IFERROR(RIGHT("00"&amp;VALUE(LEFT(Sync!$Q1717,FIND(":",Sync!$Q1717)-1)),2)&amp;RIGHT("00"&amp;VALUE(MID(Sync!$Q1717,FIND(":",Sync!$Q1717)+1,2)),2),"0000"))))</f>
        <v/>
      </c>
      <c r="G1720">
        <f>IF(OR($E1720="",$E1720="نامعتبر"),"",IF(Sync!$S1717="","",Sync!$S1717))</f>
        <v/>
      </c>
      <c r="H1720">
        <f>IF(OR($E1720="",$E1720="نامعتبر"),"",IF(Sync!$R1717="","",Sync!$R1717))</f>
        <v/>
      </c>
      <c r="I1720">
        <f>IF(OR($E1720="",$E1720="نامعتبر"),"",IF(Sync!$T1717="","",Sync!$T1717))</f>
        <v/>
      </c>
      <c r="J1720">
        <f>IF(OR($E1720="",$E1720="نامعتبر"),"",IF(Sync!$U1717="","",Sync!$U1717))</f>
        <v/>
      </c>
      <c r="K1720">
        <f>IF(OR($E1720="",$E1720="نامعتبر"),"",IF(Sync!$V1717="","",IFERROR(INDEX(SubCodes,MATCH(Sync!$V1717,SubTitles,0)),Sync!$V1717)))</f>
        <v/>
      </c>
      <c r="L1720">
        <f>IF(OR($E1720="",$E1720="نامعتبر"),"",IF(Sync!$W1717="",0,Sync!$W1717))</f>
        <v/>
      </c>
      <c r="M1720">
        <f>IF(OR($E1720="",$E1720="نامعتبر"),"",IF(Sync!$X1717="",0,Sync!$X1717))</f>
        <v/>
      </c>
      <c r="N1720">
        <f>IF(OR($E1720="",$E1720="نامعتبر"),"",IF(AND($J1720="هزینه",$K1720&lt;&gt;""),1,0))</f>
        <v/>
      </c>
      <c r="O1720">
        <f>IF($N1720=0,"",LEFT($E1720,4)&amp;MID($E1720,6,2)&amp;RIGHT($E1720,2)&amp;$F1720&amp;"|"&amp;"1"&amp;RIGHT("00000"&amp;1712,5))</f>
        <v/>
      </c>
      <c r="P1720">
        <f>IF($O1720="","",COUNTIFS(ExpSub,$K1720,ExpKey,"&lt;"&amp;$O1720)+1)</f>
        <v/>
      </c>
      <c r="Q1720">
        <f>IF($P1720="","",$K1720&amp;"|"&amp;RIGHT("000000"&amp;$P1720,6))</f>
        <v/>
      </c>
    </row>
    <row r="1721">
      <c r="A1721">
        <f>IF(Sync!$P1718="","",Sync!$P1718)</f>
        <v/>
      </c>
      <c r="B1721">
        <f>IF($A1721="","",IF(ISNUMBER($A1721),IF(AND($A1721&gt;=10000101,$A1721&lt;=99991231),INT($A1721/10000),""),IFERROR(VALUE(TRIM(LEFT($A1721,FIND("/",$A1721)-1))),"")))</f>
        <v/>
      </c>
      <c r="C1721">
        <f>IF(OR($A1721="",$B1721=""),"",IF(ISNUMBER($A1721),INT(MOD($A1721,10000)/100),IFERROR(VALUE(TRIM(LEFT(MID($A1721,FIND("/",$A1721)+1,20),FIND("/",MID($A1721,FIND("/",$A1721)+1,20))-1))),"")))</f>
        <v/>
      </c>
      <c r="D1721">
        <f>IF(OR($A1721="",$B1721=""),"",IF(ISNUMBER($A1721),MOD($A1721,100),IFERROR(VALUE(TRIM(MID(MID($A1721,FIND("/",$A1721)+1,20),FIND("/",MID($A1721,FIND("/",$A1721)+1,20))+1,20))),"")))</f>
        <v/>
      </c>
      <c r="E1721">
        <f>IF($A1721="","",IF(OR($B1721="",$C1721="",$D1721="",$B1721&lt;1300,$B1721&gt;1500,$C1721&lt;1,$C1721&gt;12,$D1721&lt;1,$D1721&gt;31),"نامعتبر",RIGHT("0000"&amp;$B1721,4)&amp;"/"&amp;RIGHT("00"&amp;$C1721,2)&amp;"/"&amp;RIGHT("00"&amp;$D1721,2)))</f>
        <v/>
      </c>
      <c r="F1721">
        <f>IF(OR($E1721="",$E1721="نامعتبر"),"",IF(Sync!$Q1718="","0000",IF(AND(ISNUMBER(Sync!$Q1718),Sync!$Q1718&gt;=0,Sync!$Q1718&lt;1),RIGHT("00"&amp;HOUR(Sync!$Q1718),2)&amp;RIGHT("00"&amp;MINUTE(Sync!$Q1718),2),IFERROR(RIGHT("00"&amp;VALUE(LEFT(Sync!$Q1718,FIND(":",Sync!$Q1718)-1)),2)&amp;RIGHT("00"&amp;VALUE(MID(Sync!$Q1718,FIND(":",Sync!$Q1718)+1,2)),2),"0000"))))</f>
        <v/>
      </c>
      <c r="G1721">
        <f>IF(OR($E1721="",$E1721="نامعتبر"),"",IF(Sync!$S1718="","",Sync!$S1718))</f>
        <v/>
      </c>
      <c r="H1721">
        <f>IF(OR($E1721="",$E1721="نامعتبر"),"",IF(Sync!$R1718="","",Sync!$R1718))</f>
        <v/>
      </c>
      <c r="I1721">
        <f>IF(OR($E1721="",$E1721="نامعتبر"),"",IF(Sync!$T1718="","",Sync!$T1718))</f>
        <v/>
      </c>
      <c r="J1721">
        <f>IF(OR($E1721="",$E1721="نامعتبر"),"",IF(Sync!$U1718="","",Sync!$U1718))</f>
        <v/>
      </c>
      <c r="K1721">
        <f>IF(OR($E1721="",$E1721="نامعتبر"),"",IF(Sync!$V1718="","",IFERROR(INDEX(SubCodes,MATCH(Sync!$V1718,SubTitles,0)),Sync!$V1718)))</f>
        <v/>
      </c>
      <c r="L1721">
        <f>IF(OR($E1721="",$E1721="نامعتبر"),"",IF(Sync!$W1718="",0,Sync!$W1718))</f>
        <v/>
      </c>
      <c r="M1721">
        <f>IF(OR($E1721="",$E1721="نامعتبر"),"",IF(Sync!$X1718="",0,Sync!$X1718))</f>
        <v/>
      </c>
      <c r="N1721">
        <f>IF(OR($E1721="",$E1721="نامعتبر"),"",IF(AND($J1721="هزینه",$K1721&lt;&gt;""),1,0))</f>
        <v/>
      </c>
      <c r="O1721">
        <f>IF($N1721=0,"",LEFT($E1721,4)&amp;MID($E1721,6,2)&amp;RIGHT($E1721,2)&amp;$F1721&amp;"|"&amp;"1"&amp;RIGHT("00000"&amp;1713,5))</f>
        <v/>
      </c>
      <c r="P1721">
        <f>IF($O1721="","",COUNTIFS(ExpSub,$K1721,ExpKey,"&lt;"&amp;$O1721)+1)</f>
        <v/>
      </c>
      <c r="Q1721">
        <f>IF($P1721="","",$K1721&amp;"|"&amp;RIGHT("000000"&amp;$P1721,6))</f>
        <v/>
      </c>
    </row>
    <row r="1722">
      <c r="A1722">
        <f>IF(Sync!$P1719="","",Sync!$P1719)</f>
        <v/>
      </c>
      <c r="B1722">
        <f>IF($A1722="","",IF(ISNUMBER($A1722),IF(AND($A1722&gt;=10000101,$A1722&lt;=99991231),INT($A1722/10000),""),IFERROR(VALUE(TRIM(LEFT($A1722,FIND("/",$A1722)-1))),"")))</f>
        <v/>
      </c>
      <c r="C1722">
        <f>IF(OR($A1722="",$B1722=""),"",IF(ISNUMBER($A1722),INT(MOD($A1722,10000)/100),IFERROR(VALUE(TRIM(LEFT(MID($A1722,FIND("/",$A1722)+1,20),FIND("/",MID($A1722,FIND("/",$A1722)+1,20))-1))),"")))</f>
        <v/>
      </c>
      <c r="D1722">
        <f>IF(OR($A1722="",$B1722=""),"",IF(ISNUMBER($A1722),MOD($A1722,100),IFERROR(VALUE(TRIM(MID(MID($A1722,FIND("/",$A1722)+1,20),FIND("/",MID($A1722,FIND("/",$A1722)+1,20))+1,20))),"")))</f>
        <v/>
      </c>
      <c r="E1722">
        <f>IF($A1722="","",IF(OR($B1722="",$C1722="",$D1722="",$B1722&lt;1300,$B1722&gt;1500,$C1722&lt;1,$C1722&gt;12,$D1722&lt;1,$D1722&gt;31),"نامعتبر",RIGHT("0000"&amp;$B1722,4)&amp;"/"&amp;RIGHT("00"&amp;$C1722,2)&amp;"/"&amp;RIGHT("00"&amp;$D1722,2)))</f>
        <v/>
      </c>
      <c r="F1722">
        <f>IF(OR($E1722="",$E1722="نامعتبر"),"",IF(Sync!$Q1719="","0000",IF(AND(ISNUMBER(Sync!$Q1719),Sync!$Q1719&gt;=0,Sync!$Q1719&lt;1),RIGHT("00"&amp;HOUR(Sync!$Q1719),2)&amp;RIGHT("00"&amp;MINUTE(Sync!$Q1719),2),IFERROR(RIGHT("00"&amp;VALUE(LEFT(Sync!$Q1719,FIND(":",Sync!$Q1719)-1)),2)&amp;RIGHT("00"&amp;VALUE(MID(Sync!$Q1719,FIND(":",Sync!$Q1719)+1,2)),2),"0000"))))</f>
        <v/>
      </c>
      <c r="G1722">
        <f>IF(OR($E1722="",$E1722="نامعتبر"),"",IF(Sync!$S1719="","",Sync!$S1719))</f>
        <v/>
      </c>
      <c r="H1722">
        <f>IF(OR($E1722="",$E1722="نامعتبر"),"",IF(Sync!$R1719="","",Sync!$R1719))</f>
        <v/>
      </c>
      <c r="I1722">
        <f>IF(OR($E1722="",$E1722="نامعتبر"),"",IF(Sync!$T1719="","",Sync!$T1719))</f>
        <v/>
      </c>
      <c r="J1722">
        <f>IF(OR($E1722="",$E1722="نامعتبر"),"",IF(Sync!$U1719="","",Sync!$U1719))</f>
        <v/>
      </c>
      <c r="K1722">
        <f>IF(OR($E1722="",$E1722="نامعتبر"),"",IF(Sync!$V1719="","",IFERROR(INDEX(SubCodes,MATCH(Sync!$V1719,SubTitles,0)),Sync!$V1719)))</f>
        <v/>
      </c>
      <c r="L1722">
        <f>IF(OR($E1722="",$E1722="نامعتبر"),"",IF(Sync!$W1719="",0,Sync!$W1719))</f>
        <v/>
      </c>
      <c r="M1722">
        <f>IF(OR($E1722="",$E1722="نامعتبر"),"",IF(Sync!$X1719="",0,Sync!$X1719))</f>
        <v/>
      </c>
      <c r="N1722">
        <f>IF(OR($E1722="",$E1722="نامعتبر"),"",IF(AND($J1722="هزینه",$K1722&lt;&gt;""),1,0))</f>
        <v/>
      </c>
      <c r="O1722">
        <f>IF($N1722=0,"",LEFT($E1722,4)&amp;MID($E1722,6,2)&amp;RIGHT($E1722,2)&amp;$F1722&amp;"|"&amp;"1"&amp;RIGHT("00000"&amp;1714,5))</f>
        <v/>
      </c>
      <c r="P1722">
        <f>IF($O1722="","",COUNTIFS(ExpSub,$K1722,ExpKey,"&lt;"&amp;$O1722)+1)</f>
        <v/>
      </c>
      <c r="Q1722">
        <f>IF($P1722="","",$K1722&amp;"|"&amp;RIGHT("000000"&amp;$P1722,6))</f>
        <v/>
      </c>
    </row>
    <row r="1723">
      <c r="A1723">
        <f>IF(Sync!$P1720="","",Sync!$P1720)</f>
        <v/>
      </c>
      <c r="B1723">
        <f>IF($A1723="","",IF(ISNUMBER($A1723),IF(AND($A1723&gt;=10000101,$A1723&lt;=99991231),INT($A1723/10000),""),IFERROR(VALUE(TRIM(LEFT($A1723,FIND("/",$A1723)-1))),"")))</f>
        <v/>
      </c>
      <c r="C1723">
        <f>IF(OR($A1723="",$B1723=""),"",IF(ISNUMBER($A1723),INT(MOD($A1723,10000)/100),IFERROR(VALUE(TRIM(LEFT(MID($A1723,FIND("/",$A1723)+1,20),FIND("/",MID($A1723,FIND("/",$A1723)+1,20))-1))),"")))</f>
        <v/>
      </c>
      <c r="D1723">
        <f>IF(OR($A1723="",$B1723=""),"",IF(ISNUMBER($A1723),MOD($A1723,100),IFERROR(VALUE(TRIM(MID(MID($A1723,FIND("/",$A1723)+1,20),FIND("/",MID($A1723,FIND("/",$A1723)+1,20))+1,20))),"")))</f>
        <v/>
      </c>
      <c r="E1723">
        <f>IF($A1723="","",IF(OR($B1723="",$C1723="",$D1723="",$B1723&lt;1300,$B1723&gt;1500,$C1723&lt;1,$C1723&gt;12,$D1723&lt;1,$D1723&gt;31),"نامعتبر",RIGHT("0000"&amp;$B1723,4)&amp;"/"&amp;RIGHT("00"&amp;$C1723,2)&amp;"/"&amp;RIGHT("00"&amp;$D1723,2)))</f>
        <v/>
      </c>
      <c r="F1723">
        <f>IF(OR($E1723="",$E1723="نامعتبر"),"",IF(Sync!$Q1720="","0000",IF(AND(ISNUMBER(Sync!$Q1720),Sync!$Q1720&gt;=0,Sync!$Q1720&lt;1),RIGHT("00"&amp;HOUR(Sync!$Q1720),2)&amp;RIGHT("00"&amp;MINUTE(Sync!$Q1720),2),IFERROR(RIGHT("00"&amp;VALUE(LEFT(Sync!$Q1720,FIND(":",Sync!$Q1720)-1)),2)&amp;RIGHT("00"&amp;VALUE(MID(Sync!$Q1720,FIND(":",Sync!$Q1720)+1,2)),2),"0000"))))</f>
        <v/>
      </c>
      <c r="G1723">
        <f>IF(OR($E1723="",$E1723="نامعتبر"),"",IF(Sync!$S1720="","",Sync!$S1720))</f>
        <v/>
      </c>
      <c r="H1723">
        <f>IF(OR($E1723="",$E1723="نامعتبر"),"",IF(Sync!$R1720="","",Sync!$R1720))</f>
        <v/>
      </c>
      <c r="I1723">
        <f>IF(OR($E1723="",$E1723="نامعتبر"),"",IF(Sync!$T1720="","",Sync!$T1720))</f>
        <v/>
      </c>
      <c r="J1723">
        <f>IF(OR($E1723="",$E1723="نامعتبر"),"",IF(Sync!$U1720="","",Sync!$U1720))</f>
        <v/>
      </c>
      <c r="K1723">
        <f>IF(OR($E1723="",$E1723="نامعتبر"),"",IF(Sync!$V1720="","",IFERROR(INDEX(SubCodes,MATCH(Sync!$V1720,SubTitles,0)),Sync!$V1720)))</f>
        <v/>
      </c>
      <c r="L1723">
        <f>IF(OR($E1723="",$E1723="نامعتبر"),"",IF(Sync!$W1720="",0,Sync!$W1720))</f>
        <v/>
      </c>
      <c r="M1723">
        <f>IF(OR($E1723="",$E1723="نامعتبر"),"",IF(Sync!$X1720="",0,Sync!$X1720))</f>
        <v/>
      </c>
      <c r="N1723">
        <f>IF(OR($E1723="",$E1723="نامعتبر"),"",IF(AND($J1723="هزینه",$K1723&lt;&gt;""),1,0))</f>
        <v/>
      </c>
      <c r="O1723">
        <f>IF($N1723=0,"",LEFT($E1723,4)&amp;MID($E1723,6,2)&amp;RIGHT($E1723,2)&amp;$F1723&amp;"|"&amp;"1"&amp;RIGHT("00000"&amp;1715,5))</f>
        <v/>
      </c>
      <c r="P1723">
        <f>IF($O1723="","",COUNTIFS(ExpSub,$K1723,ExpKey,"&lt;"&amp;$O1723)+1)</f>
        <v/>
      </c>
      <c r="Q1723">
        <f>IF($P1723="","",$K1723&amp;"|"&amp;RIGHT("000000"&amp;$P1723,6))</f>
        <v/>
      </c>
    </row>
    <row r="1724">
      <c r="A1724">
        <f>IF(Sync!$P1721="","",Sync!$P1721)</f>
        <v/>
      </c>
      <c r="B1724">
        <f>IF($A1724="","",IF(ISNUMBER($A1724),IF(AND($A1724&gt;=10000101,$A1724&lt;=99991231),INT($A1724/10000),""),IFERROR(VALUE(TRIM(LEFT($A1724,FIND("/",$A1724)-1))),"")))</f>
        <v/>
      </c>
      <c r="C1724">
        <f>IF(OR($A1724="",$B1724=""),"",IF(ISNUMBER($A1724),INT(MOD($A1724,10000)/100),IFERROR(VALUE(TRIM(LEFT(MID($A1724,FIND("/",$A1724)+1,20),FIND("/",MID($A1724,FIND("/",$A1724)+1,20))-1))),"")))</f>
        <v/>
      </c>
      <c r="D1724">
        <f>IF(OR($A1724="",$B1724=""),"",IF(ISNUMBER($A1724),MOD($A1724,100),IFERROR(VALUE(TRIM(MID(MID($A1724,FIND("/",$A1724)+1,20),FIND("/",MID($A1724,FIND("/",$A1724)+1,20))+1,20))),"")))</f>
        <v/>
      </c>
      <c r="E1724">
        <f>IF($A1724="","",IF(OR($B1724="",$C1724="",$D1724="",$B1724&lt;1300,$B1724&gt;1500,$C1724&lt;1,$C1724&gt;12,$D1724&lt;1,$D1724&gt;31),"نامعتبر",RIGHT("0000"&amp;$B1724,4)&amp;"/"&amp;RIGHT("00"&amp;$C1724,2)&amp;"/"&amp;RIGHT("00"&amp;$D1724,2)))</f>
        <v/>
      </c>
      <c r="F1724">
        <f>IF(OR($E1724="",$E1724="نامعتبر"),"",IF(Sync!$Q1721="","0000",IF(AND(ISNUMBER(Sync!$Q1721),Sync!$Q1721&gt;=0,Sync!$Q1721&lt;1),RIGHT("00"&amp;HOUR(Sync!$Q1721),2)&amp;RIGHT("00"&amp;MINUTE(Sync!$Q1721),2),IFERROR(RIGHT("00"&amp;VALUE(LEFT(Sync!$Q1721,FIND(":",Sync!$Q1721)-1)),2)&amp;RIGHT("00"&amp;VALUE(MID(Sync!$Q1721,FIND(":",Sync!$Q1721)+1,2)),2),"0000"))))</f>
        <v/>
      </c>
      <c r="G1724">
        <f>IF(OR($E1724="",$E1724="نامعتبر"),"",IF(Sync!$S1721="","",Sync!$S1721))</f>
        <v/>
      </c>
      <c r="H1724">
        <f>IF(OR($E1724="",$E1724="نامعتبر"),"",IF(Sync!$R1721="","",Sync!$R1721))</f>
        <v/>
      </c>
      <c r="I1724">
        <f>IF(OR($E1724="",$E1724="نامعتبر"),"",IF(Sync!$T1721="","",Sync!$T1721))</f>
        <v/>
      </c>
      <c r="J1724">
        <f>IF(OR($E1724="",$E1724="نامعتبر"),"",IF(Sync!$U1721="","",Sync!$U1721))</f>
        <v/>
      </c>
      <c r="K1724">
        <f>IF(OR($E1724="",$E1724="نامعتبر"),"",IF(Sync!$V1721="","",IFERROR(INDEX(SubCodes,MATCH(Sync!$V1721,SubTitles,0)),Sync!$V1721)))</f>
        <v/>
      </c>
      <c r="L1724">
        <f>IF(OR($E1724="",$E1724="نامعتبر"),"",IF(Sync!$W1721="",0,Sync!$W1721))</f>
        <v/>
      </c>
      <c r="M1724">
        <f>IF(OR($E1724="",$E1724="نامعتبر"),"",IF(Sync!$X1721="",0,Sync!$X1721))</f>
        <v/>
      </c>
      <c r="N1724">
        <f>IF(OR($E1724="",$E1724="نامعتبر"),"",IF(AND($J1724="هزینه",$K1724&lt;&gt;""),1,0))</f>
        <v/>
      </c>
      <c r="O1724">
        <f>IF($N1724=0,"",LEFT($E1724,4)&amp;MID($E1724,6,2)&amp;RIGHT($E1724,2)&amp;$F1724&amp;"|"&amp;"1"&amp;RIGHT("00000"&amp;1716,5))</f>
        <v/>
      </c>
      <c r="P1724">
        <f>IF($O1724="","",COUNTIFS(ExpSub,$K1724,ExpKey,"&lt;"&amp;$O1724)+1)</f>
        <v/>
      </c>
      <c r="Q1724">
        <f>IF($P1724="","",$K1724&amp;"|"&amp;RIGHT("000000"&amp;$P1724,6))</f>
        <v/>
      </c>
    </row>
    <row r="1725">
      <c r="A1725">
        <f>IF(Sync!$P1722="","",Sync!$P1722)</f>
        <v/>
      </c>
      <c r="B1725">
        <f>IF($A1725="","",IF(ISNUMBER($A1725),IF(AND($A1725&gt;=10000101,$A1725&lt;=99991231),INT($A1725/10000),""),IFERROR(VALUE(TRIM(LEFT($A1725,FIND("/",$A1725)-1))),"")))</f>
        <v/>
      </c>
      <c r="C1725">
        <f>IF(OR($A1725="",$B1725=""),"",IF(ISNUMBER($A1725),INT(MOD($A1725,10000)/100),IFERROR(VALUE(TRIM(LEFT(MID($A1725,FIND("/",$A1725)+1,20),FIND("/",MID($A1725,FIND("/",$A1725)+1,20))-1))),"")))</f>
        <v/>
      </c>
      <c r="D1725">
        <f>IF(OR($A1725="",$B1725=""),"",IF(ISNUMBER($A1725),MOD($A1725,100),IFERROR(VALUE(TRIM(MID(MID($A1725,FIND("/",$A1725)+1,20),FIND("/",MID($A1725,FIND("/",$A1725)+1,20))+1,20))),"")))</f>
        <v/>
      </c>
      <c r="E1725">
        <f>IF($A1725="","",IF(OR($B1725="",$C1725="",$D1725="",$B1725&lt;1300,$B1725&gt;1500,$C1725&lt;1,$C1725&gt;12,$D1725&lt;1,$D1725&gt;31),"نامعتبر",RIGHT("0000"&amp;$B1725,4)&amp;"/"&amp;RIGHT("00"&amp;$C1725,2)&amp;"/"&amp;RIGHT("00"&amp;$D1725,2)))</f>
        <v/>
      </c>
      <c r="F1725">
        <f>IF(OR($E1725="",$E1725="نامعتبر"),"",IF(Sync!$Q1722="","0000",IF(AND(ISNUMBER(Sync!$Q1722),Sync!$Q1722&gt;=0,Sync!$Q1722&lt;1),RIGHT("00"&amp;HOUR(Sync!$Q1722),2)&amp;RIGHT("00"&amp;MINUTE(Sync!$Q1722),2),IFERROR(RIGHT("00"&amp;VALUE(LEFT(Sync!$Q1722,FIND(":",Sync!$Q1722)-1)),2)&amp;RIGHT("00"&amp;VALUE(MID(Sync!$Q1722,FIND(":",Sync!$Q1722)+1,2)),2),"0000"))))</f>
        <v/>
      </c>
      <c r="G1725">
        <f>IF(OR($E1725="",$E1725="نامعتبر"),"",IF(Sync!$S1722="","",Sync!$S1722))</f>
        <v/>
      </c>
      <c r="H1725">
        <f>IF(OR($E1725="",$E1725="نامعتبر"),"",IF(Sync!$R1722="","",Sync!$R1722))</f>
        <v/>
      </c>
      <c r="I1725">
        <f>IF(OR($E1725="",$E1725="نامعتبر"),"",IF(Sync!$T1722="","",Sync!$T1722))</f>
        <v/>
      </c>
      <c r="J1725">
        <f>IF(OR($E1725="",$E1725="نامعتبر"),"",IF(Sync!$U1722="","",Sync!$U1722))</f>
        <v/>
      </c>
      <c r="K1725">
        <f>IF(OR($E1725="",$E1725="نامعتبر"),"",IF(Sync!$V1722="","",IFERROR(INDEX(SubCodes,MATCH(Sync!$V1722,SubTitles,0)),Sync!$V1722)))</f>
        <v/>
      </c>
      <c r="L1725">
        <f>IF(OR($E1725="",$E1725="نامعتبر"),"",IF(Sync!$W1722="",0,Sync!$W1722))</f>
        <v/>
      </c>
      <c r="M1725">
        <f>IF(OR($E1725="",$E1725="نامعتبر"),"",IF(Sync!$X1722="",0,Sync!$X1722))</f>
        <v/>
      </c>
      <c r="N1725">
        <f>IF(OR($E1725="",$E1725="نامعتبر"),"",IF(AND($J1725="هزینه",$K1725&lt;&gt;""),1,0))</f>
        <v/>
      </c>
      <c r="O1725">
        <f>IF($N1725=0,"",LEFT($E1725,4)&amp;MID($E1725,6,2)&amp;RIGHT($E1725,2)&amp;$F1725&amp;"|"&amp;"1"&amp;RIGHT("00000"&amp;1717,5))</f>
        <v/>
      </c>
      <c r="P1725">
        <f>IF($O1725="","",COUNTIFS(ExpSub,$K1725,ExpKey,"&lt;"&amp;$O1725)+1)</f>
        <v/>
      </c>
      <c r="Q1725">
        <f>IF($P1725="","",$K1725&amp;"|"&amp;RIGHT("000000"&amp;$P1725,6))</f>
        <v/>
      </c>
    </row>
    <row r="1726">
      <c r="A1726">
        <f>IF(Sync!$P1723="","",Sync!$P1723)</f>
        <v/>
      </c>
      <c r="B1726">
        <f>IF($A1726="","",IF(ISNUMBER($A1726),IF(AND($A1726&gt;=10000101,$A1726&lt;=99991231),INT($A1726/10000),""),IFERROR(VALUE(TRIM(LEFT($A1726,FIND("/",$A1726)-1))),"")))</f>
        <v/>
      </c>
      <c r="C1726">
        <f>IF(OR($A1726="",$B1726=""),"",IF(ISNUMBER($A1726),INT(MOD($A1726,10000)/100),IFERROR(VALUE(TRIM(LEFT(MID($A1726,FIND("/",$A1726)+1,20),FIND("/",MID($A1726,FIND("/",$A1726)+1,20))-1))),"")))</f>
        <v/>
      </c>
      <c r="D1726">
        <f>IF(OR($A1726="",$B1726=""),"",IF(ISNUMBER($A1726),MOD($A1726,100),IFERROR(VALUE(TRIM(MID(MID($A1726,FIND("/",$A1726)+1,20),FIND("/",MID($A1726,FIND("/",$A1726)+1,20))+1,20))),"")))</f>
        <v/>
      </c>
      <c r="E1726">
        <f>IF($A1726="","",IF(OR($B1726="",$C1726="",$D1726="",$B1726&lt;1300,$B1726&gt;1500,$C1726&lt;1,$C1726&gt;12,$D1726&lt;1,$D1726&gt;31),"نامعتبر",RIGHT("0000"&amp;$B1726,4)&amp;"/"&amp;RIGHT("00"&amp;$C1726,2)&amp;"/"&amp;RIGHT("00"&amp;$D1726,2)))</f>
        <v/>
      </c>
      <c r="F1726">
        <f>IF(OR($E1726="",$E1726="نامعتبر"),"",IF(Sync!$Q1723="","0000",IF(AND(ISNUMBER(Sync!$Q1723),Sync!$Q1723&gt;=0,Sync!$Q1723&lt;1),RIGHT("00"&amp;HOUR(Sync!$Q1723),2)&amp;RIGHT("00"&amp;MINUTE(Sync!$Q1723),2),IFERROR(RIGHT("00"&amp;VALUE(LEFT(Sync!$Q1723,FIND(":",Sync!$Q1723)-1)),2)&amp;RIGHT("00"&amp;VALUE(MID(Sync!$Q1723,FIND(":",Sync!$Q1723)+1,2)),2),"0000"))))</f>
        <v/>
      </c>
      <c r="G1726">
        <f>IF(OR($E1726="",$E1726="نامعتبر"),"",IF(Sync!$S1723="","",Sync!$S1723))</f>
        <v/>
      </c>
      <c r="H1726">
        <f>IF(OR($E1726="",$E1726="نامعتبر"),"",IF(Sync!$R1723="","",Sync!$R1723))</f>
        <v/>
      </c>
      <c r="I1726">
        <f>IF(OR($E1726="",$E1726="نامعتبر"),"",IF(Sync!$T1723="","",Sync!$T1723))</f>
        <v/>
      </c>
      <c r="J1726">
        <f>IF(OR($E1726="",$E1726="نامعتبر"),"",IF(Sync!$U1723="","",Sync!$U1723))</f>
        <v/>
      </c>
      <c r="K1726">
        <f>IF(OR($E1726="",$E1726="نامعتبر"),"",IF(Sync!$V1723="","",IFERROR(INDEX(SubCodes,MATCH(Sync!$V1723,SubTitles,0)),Sync!$V1723)))</f>
        <v/>
      </c>
      <c r="L1726">
        <f>IF(OR($E1726="",$E1726="نامعتبر"),"",IF(Sync!$W1723="",0,Sync!$W1723))</f>
        <v/>
      </c>
      <c r="M1726">
        <f>IF(OR($E1726="",$E1726="نامعتبر"),"",IF(Sync!$X1723="",0,Sync!$X1723))</f>
        <v/>
      </c>
      <c r="N1726">
        <f>IF(OR($E1726="",$E1726="نامعتبر"),"",IF(AND($J1726="هزینه",$K1726&lt;&gt;""),1,0))</f>
        <v/>
      </c>
      <c r="O1726">
        <f>IF($N1726=0,"",LEFT($E1726,4)&amp;MID($E1726,6,2)&amp;RIGHT($E1726,2)&amp;$F1726&amp;"|"&amp;"1"&amp;RIGHT("00000"&amp;1718,5))</f>
        <v/>
      </c>
      <c r="P1726">
        <f>IF($O1726="","",COUNTIFS(ExpSub,$K1726,ExpKey,"&lt;"&amp;$O1726)+1)</f>
        <v/>
      </c>
      <c r="Q1726">
        <f>IF($P1726="","",$K1726&amp;"|"&amp;RIGHT("000000"&amp;$P1726,6))</f>
        <v/>
      </c>
    </row>
    <row r="1727">
      <c r="A1727">
        <f>IF(Sync!$P1724="","",Sync!$P1724)</f>
        <v/>
      </c>
      <c r="B1727">
        <f>IF($A1727="","",IF(ISNUMBER($A1727),IF(AND($A1727&gt;=10000101,$A1727&lt;=99991231),INT($A1727/10000),""),IFERROR(VALUE(TRIM(LEFT($A1727,FIND("/",$A1727)-1))),"")))</f>
        <v/>
      </c>
      <c r="C1727">
        <f>IF(OR($A1727="",$B1727=""),"",IF(ISNUMBER($A1727),INT(MOD($A1727,10000)/100),IFERROR(VALUE(TRIM(LEFT(MID($A1727,FIND("/",$A1727)+1,20),FIND("/",MID($A1727,FIND("/",$A1727)+1,20))-1))),"")))</f>
        <v/>
      </c>
      <c r="D1727">
        <f>IF(OR($A1727="",$B1727=""),"",IF(ISNUMBER($A1727),MOD($A1727,100),IFERROR(VALUE(TRIM(MID(MID($A1727,FIND("/",$A1727)+1,20),FIND("/",MID($A1727,FIND("/",$A1727)+1,20))+1,20))),"")))</f>
        <v/>
      </c>
      <c r="E1727">
        <f>IF($A1727="","",IF(OR($B1727="",$C1727="",$D1727="",$B1727&lt;1300,$B1727&gt;1500,$C1727&lt;1,$C1727&gt;12,$D1727&lt;1,$D1727&gt;31),"نامعتبر",RIGHT("0000"&amp;$B1727,4)&amp;"/"&amp;RIGHT("00"&amp;$C1727,2)&amp;"/"&amp;RIGHT("00"&amp;$D1727,2)))</f>
        <v/>
      </c>
      <c r="F1727">
        <f>IF(OR($E1727="",$E1727="نامعتبر"),"",IF(Sync!$Q1724="","0000",IF(AND(ISNUMBER(Sync!$Q1724),Sync!$Q1724&gt;=0,Sync!$Q1724&lt;1),RIGHT("00"&amp;HOUR(Sync!$Q1724),2)&amp;RIGHT("00"&amp;MINUTE(Sync!$Q1724),2),IFERROR(RIGHT("00"&amp;VALUE(LEFT(Sync!$Q1724,FIND(":",Sync!$Q1724)-1)),2)&amp;RIGHT("00"&amp;VALUE(MID(Sync!$Q1724,FIND(":",Sync!$Q1724)+1,2)),2),"0000"))))</f>
        <v/>
      </c>
      <c r="G1727">
        <f>IF(OR($E1727="",$E1727="نامعتبر"),"",IF(Sync!$S1724="","",Sync!$S1724))</f>
        <v/>
      </c>
      <c r="H1727">
        <f>IF(OR($E1727="",$E1727="نامعتبر"),"",IF(Sync!$R1724="","",Sync!$R1724))</f>
        <v/>
      </c>
      <c r="I1727">
        <f>IF(OR($E1727="",$E1727="نامعتبر"),"",IF(Sync!$T1724="","",Sync!$T1724))</f>
        <v/>
      </c>
      <c r="J1727">
        <f>IF(OR($E1727="",$E1727="نامعتبر"),"",IF(Sync!$U1724="","",Sync!$U1724))</f>
        <v/>
      </c>
      <c r="K1727">
        <f>IF(OR($E1727="",$E1727="نامعتبر"),"",IF(Sync!$V1724="","",IFERROR(INDEX(SubCodes,MATCH(Sync!$V1724,SubTitles,0)),Sync!$V1724)))</f>
        <v/>
      </c>
      <c r="L1727">
        <f>IF(OR($E1727="",$E1727="نامعتبر"),"",IF(Sync!$W1724="",0,Sync!$W1724))</f>
        <v/>
      </c>
      <c r="M1727">
        <f>IF(OR($E1727="",$E1727="نامعتبر"),"",IF(Sync!$X1724="",0,Sync!$X1724))</f>
        <v/>
      </c>
      <c r="N1727">
        <f>IF(OR($E1727="",$E1727="نامعتبر"),"",IF(AND($J1727="هزینه",$K1727&lt;&gt;""),1,0))</f>
        <v/>
      </c>
      <c r="O1727">
        <f>IF($N1727=0,"",LEFT($E1727,4)&amp;MID($E1727,6,2)&amp;RIGHT($E1727,2)&amp;$F1727&amp;"|"&amp;"1"&amp;RIGHT("00000"&amp;1719,5))</f>
        <v/>
      </c>
      <c r="P1727">
        <f>IF($O1727="","",COUNTIFS(ExpSub,$K1727,ExpKey,"&lt;"&amp;$O1727)+1)</f>
        <v/>
      </c>
      <c r="Q1727">
        <f>IF($P1727="","",$K1727&amp;"|"&amp;RIGHT("000000"&amp;$P1727,6))</f>
        <v/>
      </c>
    </row>
    <row r="1728">
      <c r="A1728">
        <f>IF(Sync!$P1725="","",Sync!$P1725)</f>
        <v/>
      </c>
      <c r="B1728">
        <f>IF($A1728="","",IF(ISNUMBER($A1728),IF(AND($A1728&gt;=10000101,$A1728&lt;=99991231),INT($A1728/10000),""),IFERROR(VALUE(TRIM(LEFT($A1728,FIND("/",$A1728)-1))),"")))</f>
        <v/>
      </c>
      <c r="C1728">
        <f>IF(OR($A1728="",$B1728=""),"",IF(ISNUMBER($A1728),INT(MOD($A1728,10000)/100),IFERROR(VALUE(TRIM(LEFT(MID($A1728,FIND("/",$A1728)+1,20),FIND("/",MID($A1728,FIND("/",$A1728)+1,20))-1))),"")))</f>
        <v/>
      </c>
      <c r="D1728">
        <f>IF(OR($A1728="",$B1728=""),"",IF(ISNUMBER($A1728),MOD($A1728,100),IFERROR(VALUE(TRIM(MID(MID($A1728,FIND("/",$A1728)+1,20),FIND("/",MID($A1728,FIND("/",$A1728)+1,20))+1,20))),"")))</f>
        <v/>
      </c>
      <c r="E1728">
        <f>IF($A1728="","",IF(OR($B1728="",$C1728="",$D1728="",$B1728&lt;1300,$B1728&gt;1500,$C1728&lt;1,$C1728&gt;12,$D1728&lt;1,$D1728&gt;31),"نامعتبر",RIGHT("0000"&amp;$B1728,4)&amp;"/"&amp;RIGHT("00"&amp;$C1728,2)&amp;"/"&amp;RIGHT("00"&amp;$D1728,2)))</f>
        <v/>
      </c>
      <c r="F1728">
        <f>IF(OR($E1728="",$E1728="نامعتبر"),"",IF(Sync!$Q1725="","0000",IF(AND(ISNUMBER(Sync!$Q1725),Sync!$Q1725&gt;=0,Sync!$Q1725&lt;1),RIGHT("00"&amp;HOUR(Sync!$Q1725),2)&amp;RIGHT("00"&amp;MINUTE(Sync!$Q1725),2),IFERROR(RIGHT("00"&amp;VALUE(LEFT(Sync!$Q1725,FIND(":",Sync!$Q1725)-1)),2)&amp;RIGHT("00"&amp;VALUE(MID(Sync!$Q1725,FIND(":",Sync!$Q1725)+1,2)),2),"0000"))))</f>
        <v/>
      </c>
      <c r="G1728">
        <f>IF(OR($E1728="",$E1728="نامعتبر"),"",IF(Sync!$S1725="","",Sync!$S1725))</f>
        <v/>
      </c>
      <c r="H1728">
        <f>IF(OR($E1728="",$E1728="نامعتبر"),"",IF(Sync!$R1725="","",Sync!$R1725))</f>
        <v/>
      </c>
      <c r="I1728">
        <f>IF(OR($E1728="",$E1728="نامعتبر"),"",IF(Sync!$T1725="","",Sync!$T1725))</f>
        <v/>
      </c>
      <c r="J1728">
        <f>IF(OR($E1728="",$E1728="نامعتبر"),"",IF(Sync!$U1725="","",Sync!$U1725))</f>
        <v/>
      </c>
      <c r="K1728">
        <f>IF(OR($E1728="",$E1728="نامعتبر"),"",IF(Sync!$V1725="","",IFERROR(INDEX(SubCodes,MATCH(Sync!$V1725,SubTitles,0)),Sync!$V1725)))</f>
        <v/>
      </c>
      <c r="L1728">
        <f>IF(OR($E1728="",$E1728="نامعتبر"),"",IF(Sync!$W1725="",0,Sync!$W1725))</f>
        <v/>
      </c>
      <c r="M1728">
        <f>IF(OR($E1728="",$E1728="نامعتبر"),"",IF(Sync!$X1725="",0,Sync!$X1725))</f>
        <v/>
      </c>
      <c r="N1728">
        <f>IF(OR($E1728="",$E1728="نامعتبر"),"",IF(AND($J1728="هزینه",$K1728&lt;&gt;""),1,0))</f>
        <v/>
      </c>
      <c r="O1728">
        <f>IF($N1728=0,"",LEFT($E1728,4)&amp;MID($E1728,6,2)&amp;RIGHT($E1728,2)&amp;$F1728&amp;"|"&amp;"1"&amp;RIGHT("00000"&amp;1720,5))</f>
        <v/>
      </c>
      <c r="P1728">
        <f>IF($O1728="","",COUNTIFS(ExpSub,$K1728,ExpKey,"&lt;"&amp;$O1728)+1)</f>
        <v/>
      </c>
      <c r="Q1728">
        <f>IF($P1728="","",$K1728&amp;"|"&amp;RIGHT("000000"&amp;$P1728,6))</f>
        <v/>
      </c>
    </row>
    <row r="1729">
      <c r="A1729">
        <f>IF(Sync!$P1726="","",Sync!$P1726)</f>
        <v/>
      </c>
      <c r="B1729">
        <f>IF($A1729="","",IF(ISNUMBER($A1729),IF(AND($A1729&gt;=10000101,$A1729&lt;=99991231),INT($A1729/10000),""),IFERROR(VALUE(TRIM(LEFT($A1729,FIND("/",$A1729)-1))),"")))</f>
        <v/>
      </c>
      <c r="C1729">
        <f>IF(OR($A1729="",$B1729=""),"",IF(ISNUMBER($A1729),INT(MOD($A1729,10000)/100),IFERROR(VALUE(TRIM(LEFT(MID($A1729,FIND("/",$A1729)+1,20),FIND("/",MID($A1729,FIND("/",$A1729)+1,20))-1))),"")))</f>
        <v/>
      </c>
      <c r="D1729">
        <f>IF(OR($A1729="",$B1729=""),"",IF(ISNUMBER($A1729),MOD($A1729,100),IFERROR(VALUE(TRIM(MID(MID($A1729,FIND("/",$A1729)+1,20),FIND("/",MID($A1729,FIND("/",$A1729)+1,20))+1,20))),"")))</f>
        <v/>
      </c>
      <c r="E1729">
        <f>IF($A1729="","",IF(OR($B1729="",$C1729="",$D1729="",$B1729&lt;1300,$B1729&gt;1500,$C1729&lt;1,$C1729&gt;12,$D1729&lt;1,$D1729&gt;31),"نامعتبر",RIGHT("0000"&amp;$B1729,4)&amp;"/"&amp;RIGHT("00"&amp;$C1729,2)&amp;"/"&amp;RIGHT("00"&amp;$D1729,2)))</f>
        <v/>
      </c>
      <c r="F1729">
        <f>IF(OR($E1729="",$E1729="نامعتبر"),"",IF(Sync!$Q1726="","0000",IF(AND(ISNUMBER(Sync!$Q1726),Sync!$Q1726&gt;=0,Sync!$Q1726&lt;1),RIGHT("00"&amp;HOUR(Sync!$Q1726),2)&amp;RIGHT("00"&amp;MINUTE(Sync!$Q1726),2),IFERROR(RIGHT("00"&amp;VALUE(LEFT(Sync!$Q1726,FIND(":",Sync!$Q1726)-1)),2)&amp;RIGHT("00"&amp;VALUE(MID(Sync!$Q1726,FIND(":",Sync!$Q1726)+1,2)),2),"0000"))))</f>
        <v/>
      </c>
      <c r="G1729">
        <f>IF(OR($E1729="",$E1729="نامعتبر"),"",IF(Sync!$S1726="","",Sync!$S1726))</f>
        <v/>
      </c>
      <c r="H1729">
        <f>IF(OR($E1729="",$E1729="نامعتبر"),"",IF(Sync!$R1726="","",Sync!$R1726))</f>
        <v/>
      </c>
      <c r="I1729">
        <f>IF(OR($E1729="",$E1729="نامعتبر"),"",IF(Sync!$T1726="","",Sync!$T1726))</f>
        <v/>
      </c>
      <c r="J1729">
        <f>IF(OR($E1729="",$E1729="نامعتبر"),"",IF(Sync!$U1726="","",Sync!$U1726))</f>
        <v/>
      </c>
      <c r="K1729">
        <f>IF(OR($E1729="",$E1729="نامعتبر"),"",IF(Sync!$V1726="","",IFERROR(INDEX(SubCodes,MATCH(Sync!$V1726,SubTitles,0)),Sync!$V1726)))</f>
        <v/>
      </c>
      <c r="L1729">
        <f>IF(OR($E1729="",$E1729="نامعتبر"),"",IF(Sync!$W1726="",0,Sync!$W1726))</f>
        <v/>
      </c>
      <c r="M1729">
        <f>IF(OR($E1729="",$E1729="نامعتبر"),"",IF(Sync!$X1726="",0,Sync!$X1726))</f>
        <v/>
      </c>
      <c r="N1729">
        <f>IF(OR($E1729="",$E1729="نامعتبر"),"",IF(AND($J1729="هزینه",$K1729&lt;&gt;""),1,0))</f>
        <v/>
      </c>
      <c r="O1729">
        <f>IF($N1729=0,"",LEFT($E1729,4)&amp;MID($E1729,6,2)&amp;RIGHT($E1729,2)&amp;$F1729&amp;"|"&amp;"1"&amp;RIGHT("00000"&amp;1721,5))</f>
        <v/>
      </c>
      <c r="P1729">
        <f>IF($O1729="","",COUNTIFS(ExpSub,$K1729,ExpKey,"&lt;"&amp;$O1729)+1)</f>
        <v/>
      </c>
      <c r="Q1729">
        <f>IF($P1729="","",$K1729&amp;"|"&amp;RIGHT("000000"&amp;$P1729,6))</f>
        <v/>
      </c>
    </row>
    <row r="1730">
      <c r="A1730">
        <f>IF(Sync!$P1727="","",Sync!$P1727)</f>
        <v/>
      </c>
      <c r="B1730">
        <f>IF($A1730="","",IF(ISNUMBER($A1730),IF(AND($A1730&gt;=10000101,$A1730&lt;=99991231),INT($A1730/10000),""),IFERROR(VALUE(TRIM(LEFT($A1730,FIND("/",$A1730)-1))),"")))</f>
        <v/>
      </c>
      <c r="C1730">
        <f>IF(OR($A1730="",$B1730=""),"",IF(ISNUMBER($A1730),INT(MOD($A1730,10000)/100),IFERROR(VALUE(TRIM(LEFT(MID($A1730,FIND("/",$A1730)+1,20),FIND("/",MID($A1730,FIND("/",$A1730)+1,20))-1))),"")))</f>
        <v/>
      </c>
      <c r="D1730">
        <f>IF(OR($A1730="",$B1730=""),"",IF(ISNUMBER($A1730),MOD($A1730,100),IFERROR(VALUE(TRIM(MID(MID($A1730,FIND("/",$A1730)+1,20),FIND("/",MID($A1730,FIND("/",$A1730)+1,20))+1,20))),"")))</f>
        <v/>
      </c>
      <c r="E1730">
        <f>IF($A1730="","",IF(OR($B1730="",$C1730="",$D1730="",$B1730&lt;1300,$B1730&gt;1500,$C1730&lt;1,$C1730&gt;12,$D1730&lt;1,$D1730&gt;31),"نامعتبر",RIGHT("0000"&amp;$B1730,4)&amp;"/"&amp;RIGHT("00"&amp;$C1730,2)&amp;"/"&amp;RIGHT("00"&amp;$D1730,2)))</f>
        <v/>
      </c>
      <c r="F1730">
        <f>IF(OR($E1730="",$E1730="نامعتبر"),"",IF(Sync!$Q1727="","0000",IF(AND(ISNUMBER(Sync!$Q1727),Sync!$Q1727&gt;=0,Sync!$Q1727&lt;1),RIGHT("00"&amp;HOUR(Sync!$Q1727),2)&amp;RIGHT("00"&amp;MINUTE(Sync!$Q1727),2),IFERROR(RIGHT("00"&amp;VALUE(LEFT(Sync!$Q1727,FIND(":",Sync!$Q1727)-1)),2)&amp;RIGHT("00"&amp;VALUE(MID(Sync!$Q1727,FIND(":",Sync!$Q1727)+1,2)),2),"0000"))))</f>
        <v/>
      </c>
      <c r="G1730">
        <f>IF(OR($E1730="",$E1730="نامعتبر"),"",IF(Sync!$S1727="","",Sync!$S1727))</f>
        <v/>
      </c>
      <c r="H1730">
        <f>IF(OR($E1730="",$E1730="نامعتبر"),"",IF(Sync!$R1727="","",Sync!$R1727))</f>
        <v/>
      </c>
      <c r="I1730">
        <f>IF(OR($E1730="",$E1730="نامعتبر"),"",IF(Sync!$T1727="","",Sync!$T1727))</f>
        <v/>
      </c>
      <c r="J1730">
        <f>IF(OR($E1730="",$E1730="نامعتبر"),"",IF(Sync!$U1727="","",Sync!$U1727))</f>
        <v/>
      </c>
      <c r="K1730">
        <f>IF(OR($E1730="",$E1730="نامعتبر"),"",IF(Sync!$V1727="","",IFERROR(INDEX(SubCodes,MATCH(Sync!$V1727,SubTitles,0)),Sync!$V1727)))</f>
        <v/>
      </c>
      <c r="L1730">
        <f>IF(OR($E1730="",$E1730="نامعتبر"),"",IF(Sync!$W1727="",0,Sync!$W1727))</f>
        <v/>
      </c>
      <c r="M1730">
        <f>IF(OR($E1730="",$E1730="نامعتبر"),"",IF(Sync!$X1727="",0,Sync!$X1727))</f>
        <v/>
      </c>
      <c r="N1730">
        <f>IF(OR($E1730="",$E1730="نامعتبر"),"",IF(AND($J1730="هزینه",$K1730&lt;&gt;""),1,0))</f>
        <v/>
      </c>
      <c r="O1730">
        <f>IF($N1730=0,"",LEFT($E1730,4)&amp;MID($E1730,6,2)&amp;RIGHT($E1730,2)&amp;$F1730&amp;"|"&amp;"1"&amp;RIGHT("00000"&amp;1722,5))</f>
        <v/>
      </c>
      <c r="P1730">
        <f>IF($O1730="","",COUNTIFS(ExpSub,$K1730,ExpKey,"&lt;"&amp;$O1730)+1)</f>
        <v/>
      </c>
      <c r="Q1730">
        <f>IF($P1730="","",$K1730&amp;"|"&amp;RIGHT("000000"&amp;$P1730,6))</f>
        <v/>
      </c>
    </row>
    <row r="1731">
      <c r="A1731">
        <f>IF(Sync!$P1728="","",Sync!$P1728)</f>
        <v/>
      </c>
      <c r="B1731">
        <f>IF($A1731="","",IF(ISNUMBER($A1731),IF(AND($A1731&gt;=10000101,$A1731&lt;=99991231),INT($A1731/10000),""),IFERROR(VALUE(TRIM(LEFT($A1731,FIND("/",$A1731)-1))),"")))</f>
        <v/>
      </c>
      <c r="C1731">
        <f>IF(OR($A1731="",$B1731=""),"",IF(ISNUMBER($A1731),INT(MOD($A1731,10000)/100),IFERROR(VALUE(TRIM(LEFT(MID($A1731,FIND("/",$A1731)+1,20),FIND("/",MID($A1731,FIND("/",$A1731)+1,20))-1))),"")))</f>
        <v/>
      </c>
      <c r="D1731">
        <f>IF(OR($A1731="",$B1731=""),"",IF(ISNUMBER($A1731),MOD($A1731,100),IFERROR(VALUE(TRIM(MID(MID($A1731,FIND("/",$A1731)+1,20),FIND("/",MID($A1731,FIND("/",$A1731)+1,20))+1,20))),"")))</f>
        <v/>
      </c>
      <c r="E1731">
        <f>IF($A1731="","",IF(OR($B1731="",$C1731="",$D1731="",$B1731&lt;1300,$B1731&gt;1500,$C1731&lt;1,$C1731&gt;12,$D1731&lt;1,$D1731&gt;31),"نامعتبر",RIGHT("0000"&amp;$B1731,4)&amp;"/"&amp;RIGHT("00"&amp;$C1731,2)&amp;"/"&amp;RIGHT("00"&amp;$D1731,2)))</f>
        <v/>
      </c>
      <c r="F1731">
        <f>IF(OR($E1731="",$E1731="نامعتبر"),"",IF(Sync!$Q1728="","0000",IF(AND(ISNUMBER(Sync!$Q1728),Sync!$Q1728&gt;=0,Sync!$Q1728&lt;1),RIGHT("00"&amp;HOUR(Sync!$Q1728),2)&amp;RIGHT("00"&amp;MINUTE(Sync!$Q1728),2),IFERROR(RIGHT("00"&amp;VALUE(LEFT(Sync!$Q1728,FIND(":",Sync!$Q1728)-1)),2)&amp;RIGHT("00"&amp;VALUE(MID(Sync!$Q1728,FIND(":",Sync!$Q1728)+1,2)),2),"0000"))))</f>
        <v/>
      </c>
      <c r="G1731">
        <f>IF(OR($E1731="",$E1731="نامعتبر"),"",IF(Sync!$S1728="","",Sync!$S1728))</f>
        <v/>
      </c>
      <c r="H1731">
        <f>IF(OR($E1731="",$E1731="نامعتبر"),"",IF(Sync!$R1728="","",Sync!$R1728))</f>
        <v/>
      </c>
      <c r="I1731">
        <f>IF(OR($E1731="",$E1731="نامعتبر"),"",IF(Sync!$T1728="","",Sync!$T1728))</f>
        <v/>
      </c>
      <c r="J1731">
        <f>IF(OR($E1731="",$E1731="نامعتبر"),"",IF(Sync!$U1728="","",Sync!$U1728))</f>
        <v/>
      </c>
      <c r="K1731">
        <f>IF(OR($E1731="",$E1731="نامعتبر"),"",IF(Sync!$V1728="","",IFERROR(INDEX(SubCodes,MATCH(Sync!$V1728,SubTitles,0)),Sync!$V1728)))</f>
        <v/>
      </c>
      <c r="L1731">
        <f>IF(OR($E1731="",$E1731="نامعتبر"),"",IF(Sync!$W1728="",0,Sync!$W1728))</f>
        <v/>
      </c>
      <c r="M1731">
        <f>IF(OR($E1731="",$E1731="نامعتبر"),"",IF(Sync!$X1728="",0,Sync!$X1728))</f>
        <v/>
      </c>
      <c r="N1731">
        <f>IF(OR($E1731="",$E1731="نامعتبر"),"",IF(AND($J1731="هزینه",$K1731&lt;&gt;""),1,0))</f>
        <v/>
      </c>
      <c r="O1731">
        <f>IF($N1731=0,"",LEFT($E1731,4)&amp;MID($E1731,6,2)&amp;RIGHT($E1731,2)&amp;$F1731&amp;"|"&amp;"1"&amp;RIGHT("00000"&amp;1723,5))</f>
        <v/>
      </c>
      <c r="P1731">
        <f>IF($O1731="","",COUNTIFS(ExpSub,$K1731,ExpKey,"&lt;"&amp;$O1731)+1)</f>
        <v/>
      </c>
      <c r="Q1731">
        <f>IF($P1731="","",$K1731&amp;"|"&amp;RIGHT("000000"&amp;$P1731,6))</f>
        <v/>
      </c>
    </row>
    <row r="1732">
      <c r="A1732">
        <f>IF(Sync!$P1729="","",Sync!$P1729)</f>
        <v/>
      </c>
      <c r="B1732">
        <f>IF($A1732="","",IF(ISNUMBER($A1732),IF(AND($A1732&gt;=10000101,$A1732&lt;=99991231),INT($A1732/10000),""),IFERROR(VALUE(TRIM(LEFT($A1732,FIND("/",$A1732)-1))),"")))</f>
        <v/>
      </c>
      <c r="C1732">
        <f>IF(OR($A1732="",$B1732=""),"",IF(ISNUMBER($A1732),INT(MOD($A1732,10000)/100),IFERROR(VALUE(TRIM(LEFT(MID($A1732,FIND("/",$A1732)+1,20),FIND("/",MID($A1732,FIND("/",$A1732)+1,20))-1))),"")))</f>
        <v/>
      </c>
      <c r="D1732">
        <f>IF(OR($A1732="",$B1732=""),"",IF(ISNUMBER($A1732),MOD($A1732,100),IFERROR(VALUE(TRIM(MID(MID($A1732,FIND("/",$A1732)+1,20),FIND("/",MID($A1732,FIND("/",$A1732)+1,20))+1,20))),"")))</f>
        <v/>
      </c>
      <c r="E1732">
        <f>IF($A1732="","",IF(OR($B1732="",$C1732="",$D1732="",$B1732&lt;1300,$B1732&gt;1500,$C1732&lt;1,$C1732&gt;12,$D1732&lt;1,$D1732&gt;31),"نامعتبر",RIGHT("0000"&amp;$B1732,4)&amp;"/"&amp;RIGHT("00"&amp;$C1732,2)&amp;"/"&amp;RIGHT("00"&amp;$D1732,2)))</f>
        <v/>
      </c>
      <c r="F1732">
        <f>IF(OR($E1732="",$E1732="نامعتبر"),"",IF(Sync!$Q1729="","0000",IF(AND(ISNUMBER(Sync!$Q1729),Sync!$Q1729&gt;=0,Sync!$Q1729&lt;1),RIGHT("00"&amp;HOUR(Sync!$Q1729),2)&amp;RIGHT("00"&amp;MINUTE(Sync!$Q1729),2),IFERROR(RIGHT("00"&amp;VALUE(LEFT(Sync!$Q1729,FIND(":",Sync!$Q1729)-1)),2)&amp;RIGHT("00"&amp;VALUE(MID(Sync!$Q1729,FIND(":",Sync!$Q1729)+1,2)),2),"0000"))))</f>
        <v/>
      </c>
      <c r="G1732">
        <f>IF(OR($E1732="",$E1732="نامعتبر"),"",IF(Sync!$S1729="","",Sync!$S1729))</f>
        <v/>
      </c>
      <c r="H1732">
        <f>IF(OR($E1732="",$E1732="نامعتبر"),"",IF(Sync!$R1729="","",Sync!$R1729))</f>
        <v/>
      </c>
      <c r="I1732">
        <f>IF(OR($E1732="",$E1732="نامعتبر"),"",IF(Sync!$T1729="","",Sync!$T1729))</f>
        <v/>
      </c>
      <c r="J1732">
        <f>IF(OR($E1732="",$E1732="نامعتبر"),"",IF(Sync!$U1729="","",Sync!$U1729))</f>
        <v/>
      </c>
      <c r="K1732">
        <f>IF(OR($E1732="",$E1732="نامعتبر"),"",IF(Sync!$V1729="","",IFERROR(INDEX(SubCodes,MATCH(Sync!$V1729,SubTitles,0)),Sync!$V1729)))</f>
        <v/>
      </c>
      <c r="L1732">
        <f>IF(OR($E1732="",$E1732="نامعتبر"),"",IF(Sync!$W1729="",0,Sync!$W1729))</f>
        <v/>
      </c>
      <c r="M1732">
        <f>IF(OR($E1732="",$E1732="نامعتبر"),"",IF(Sync!$X1729="",0,Sync!$X1729))</f>
        <v/>
      </c>
      <c r="N1732">
        <f>IF(OR($E1732="",$E1732="نامعتبر"),"",IF(AND($J1732="هزینه",$K1732&lt;&gt;""),1,0))</f>
        <v/>
      </c>
      <c r="O1732">
        <f>IF($N1732=0,"",LEFT($E1732,4)&amp;MID($E1732,6,2)&amp;RIGHT($E1732,2)&amp;$F1732&amp;"|"&amp;"1"&amp;RIGHT("00000"&amp;1724,5))</f>
        <v/>
      </c>
      <c r="P1732">
        <f>IF($O1732="","",COUNTIFS(ExpSub,$K1732,ExpKey,"&lt;"&amp;$O1732)+1)</f>
        <v/>
      </c>
      <c r="Q1732">
        <f>IF($P1732="","",$K1732&amp;"|"&amp;RIGHT("000000"&amp;$P1732,6))</f>
        <v/>
      </c>
    </row>
    <row r="1733">
      <c r="A1733">
        <f>IF(Sync!$P1730="","",Sync!$P1730)</f>
        <v/>
      </c>
      <c r="B1733">
        <f>IF($A1733="","",IF(ISNUMBER($A1733),IF(AND($A1733&gt;=10000101,$A1733&lt;=99991231),INT($A1733/10000),""),IFERROR(VALUE(TRIM(LEFT($A1733,FIND("/",$A1733)-1))),"")))</f>
        <v/>
      </c>
      <c r="C1733">
        <f>IF(OR($A1733="",$B1733=""),"",IF(ISNUMBER($A1733),INT(MOD($A1733,10000)/100),IFERROR(VALUE(TRIM(LEFT(MID($A1733,FIND("/",$A1733)+1,20),FIND("/",MID($A1733,FIND("/",$A1733)+1,20))-1))),"")))</f>
        <v/>
      </c>
      <c r="D1733">
        <f>IF(OR($A1733="",$B1733=""),"",IF(ISNUMBER($A1733),MOD($A1733,100),IFERROR(VALUE(TRIM(MID(MID($A1733,FIND("/",$A1733)+1,20),FIND("/",MID($A1733,FIND("/",$A1733)+1,20))+1,20))),"")))</f>
        <v/>
      </c>
      <c r="E1733">
        <f>IF($A1733="","",IF(OR($B1733="",$C1733="",$D1733="",$B1733&lt;1300,$B1733&gt;1500,$C1733&lt;1,$C1733&gt;12,$D1733&lt;1,$D1733&gt;31),"نامعتبر",RIGHT("0000"&amp;$B1733,4)&amp;"/"&amp;RIGHT("00"&amp;$C1733,2)&amp;"/"&amp;RIGHT("00"&amp;$D1733,2)))</f>
        <v/>
      </c>
      <c r="F1733">
        <f>IF(OR($E1733="",$E1733="نامعتبر"),"",IF(Sync!$Q1730="","0000",IF(AND(ISNUMBER(Sync!$Q1730),Sync!$Q1730&gt;=0,Sync!$Q1730&lt;1),RIGHT("00"&amp;HOUR(Sync!$Q1730),2)&amp;RIGHT("00"&amp;MINUTE(Sync!$Q1730),2),IFERROR(RIGHT("00"&amp;VALUE(LEFT(Sync!$Q1730,FIND(":",Sync!$Q1730)-1)),2)&amp;RIGHT("00"&amp;VALUE(MID(Sync!$Q1730,FIND(":",Sync!$Q1730)+1,2)),2),"0000"))))</f>
        <v/>
      </c>
      <c r="G1733">
        <f>IF(OR($E1733="",$E1733="نامعتبر"),"",IF(Sync!$S1730="","",Sync!$S1730))</f>
        <v/>
      </c>
      <c r="H1733">
        <f>IF(OR($E1733="",$E1733="نامعتبر"),"",IF(Sync!$R1730="","",Sync!$R1730))</f>
        <v/>
      </c>
      <c r="I1733">
        <f>IF(OR($E1733="",$E1733="نامعتبر"),"",IF(Sync!$T1730="","",Sync!$T1730))</f>
        <v/>
      </c>
      <c r="J1733">
        <f>IF(OR($E1733="",$E1733="نامعتبر"),"",IF(Sync!$U1730="","",Sync!$U1730))</f>
        <v/>
      </c>
      <c r="K1733">
        <f>IF(OR($E1733="",$E1733="نامعتبر"),"",IF(Sync!$V1730="","",IFERROR(INDEX(SubCodes,MATCH(Sync!$V1730,SubTitles,0)),Sync!$V1730)))</f>
        <v/>
      </c>
      <c r="L1733">
        <f>IF(OR($E1733="",$E1733="نامعتبر"),"",IF(Sync!$W1730="",0,Sync!$W1730))</f>
        <v/>
      </c>
      <c r="M1733">
        <f>IF(OR($E1733="",$E1733="نامعتبر"),"",IF(Sync!$X1730="",0,Sync!$X1730))</f>
        <v/>
      </c>
      <c r="N1733">
        <f>IF(OR($E1733="",$E1733="نامعتبر"),"",IF(AND($J1733="هزینه",$K1733&lt;&gt;""),1,0))</f>
        <v/>
      </c>
      <c r="O1733">
        <f>IF($N1733=0,"",LEFT($E1733,4)&amp;MID($E1733,6,2)&amp;RIGHT($E1733,2)&amp;$F1733&amp;"|"&amp;"1"&amp;RIGHT("00000"&amp;1725,5))</f>
        <v/>
      </c>
      <c r="P1733">
        <f>IF($O1733="","",COUNTIFS(ExpSub,$K1733,ExpKey,"&lt;"&amp;$O1733)+1)</f>
        <v/>
      </c>
      <c r="Q1733">
        <f>IF($P1733="","",$K1733&amp;"|"&amp;RIGHT("000000"&amp;$P1733,6))</f>
        <v/>
      </c>
    </row>
    <row r="1734">
      <c r="A1734">
        <f>IF(Sync!$P1731="","",Sync!$P1731)</f>
        <v/>
      </c>
      <c r="B1734">
        <f>IF($A1734="","",IF(ISNUMBER($A1734),IF(AND($A1734&gt;=10000101,$A1734&lt;=99991231),INT($A1734/10000),""),IFERROR(VALUE(TRIM(LEFT($A1734,FIND("/",$A1734)-1))),"")))</f>
        <v/>
      </c>
      <c r="C1734">
        <f>IF(OR($A1734="",$B1734=""),"",IF(ISNUMBER($A1734),INT(MOD($A1734,10000)/100),IFERROR(VALUE(TRIM(LEFT(MID($A1734,FIND("/",$A1734)+1,20),FIND("/",MID($A1734,FIND("/",$A1734)+1,20))-1))),"")))</f>
        <v/>
      </c>
      <c r="D1734">
        <f>IF(OR($A1734="",$B1734=""),"",IF(ISNUMBER($A1734),MOD($A1734,100),IFERROR(VALUE(TRIM(MID(MID($A1734,FIND("/",$A1734)+1,20),FIND("/",MID($A1734,FIND("/",$A1734)+1,20))+1,20))),"")))</f>
        <v/>
      </c>
      <c r="E1734">
        <f>IF($A1734="","",IF(OR($B1734="",$C1734="",$D1734="",$B1734&lt;1300,$B1734&gt;1500,$C1734&lt;1,$C1734&gt;12,$D1734&lt;1,$D1734&gt;31),"نامعتبر",RIGHT("0000"&amp;$B1734,4)&amp;"/"&amp;RIGHT("00"&amp;$C1734,2)&amp;"/"&amp;RIGHT("00"&amp;$D1734,2)))</f>
        <v/>
      </c>
      <c r="F1734">
        <f>IF(OR($E1734="",$E1734="نامعتبر"),"",IF(Sync!$Q1731="","0000",IF(AND(ISNUMBER(Sync!$Q1731),Sync!$Q1731&gt;=0,Sync!$Q1731&lt;1),RIGHT("00"&amp;HOUR(Sync!$Q1731),2)&amp;RIGHT("00"&amp;MINUTE(Sync!$Q1731),2),IFERROR(RIGHT("00"&amp;VALUE(LEFT(Sync!$Q1731,FIND(":",Sync!$Q1731)-1)),2)&amp;RIGHT("00"&amp;VALUE(MID(Sync!$Q1731,FIND(":",Sync!$Q1731)+1,2)),2),"0000"))))</f>
        <v/>
      </c>
      <c r="G1734">
        <f>IF(OR($E1734="",$E1734="نامعتبر"),"",IF(Sync!$S1731="","",Sync!$S1731))</f>
        <v/>
      </c>
      <c r="H1734">
        <f>IF(OR($E1734="",$E1734="نامعتبر"),"",IF(Sync!$R1731="","",Sync!$R1731))</f>
        <v/>
      </c>
      <c r="I1734">
        <f>IF(OR($E1734="",$E1734="نامعتبر"),"",IF(Sync!$T1731="","",Sync!$T1731))</f>
        <v/>
      </c>
      <c r="J1734">
        <f>IF(OR($E1734="",$E1734="نامعتبر"),"",IF(Sync!$U1731="","",Sync!$U1731))</f>
        <v/>
      </c>
      <c r="K1734">
        <f>IF(OR($E1734="",$E1734="نامعتبر"),"",IF(Sync!$V1731="","",IFERROR(INDEX(SubCodes,MATCH(Sync!$V1731,SubTitles,0)),Sync!$V1731)))</f>
        <v/>
      </c>
      <c r="L1734">
        <f>IF(OR($E1734="",$E1734="نامعتبر"),"",IF(Sync!$W1731="",0,Sync!$W1731))</f>
        <v/>
      </c>
      <c r="M1734">
        <f>IF(OR($E1734="",$E1734="نامعتبر"),"",IF(Sync!$X1731="",0,Sync!$X1731))</f>
        <v/>
      </c>
      <c r="N1734">
        <f>IF(OR($E1734="",$E1734="نامعتبر"),"",IF(AND($J1734="هزینه",$K1734&lt;&gt;""),1,0))</f>
        <v/>
      </c>
      <c r="O1734">
        <f>IF($N1734=0,"",LEFT($E1734,4)&amp;MID($E1734,6,2)&amp;RIGHT($E1734,2)&amp;$F1734&amp;"|"&amp;"1"&amp;RIGHT("00000"&amp;1726,5))</f>
        <v/>
      </c>
      <c r="P1734">
        <f>IF($O1734="","",COUNTIFS(ExpSub,$K1734,ExpKey,"&lt;"&amp;$O1734)+1)</f>
        <v/>
      </c>
      <c r="Q1734">
        <f>IF($P1734="","",$K1734&amp;"|"&amp;RIGHT("000000"&amp;$P1734,6))</f>
        <v/>
      </c>
    </row>
    <row r="1735">
      <c r="A1735">
        <f>IF(Sync!$P1732="","",Sync!$P1732)</f>
        <v/>
      </c>
      <c r="B1735">
        <f>IF($A1735="","",IF(ISNUMBER($A1735),IF(AND($A1735&gt;=10000101,$A1735&lt;=99991231),INT($A1735/10000),""),IFERROR(VALUE(TRIM(LEFT($A1735,FIND("/",$A1735)-1))),"")))</f>
        <v/>
      </c>
      <c r="C1735">
        <f>IF(OR($A1735="",$B1735=""),"",IF(ISNUMBER($A1735),INT(MOD($A1735,10000)/100),IFERROR(VALUE(TRIM(LEFT(MID($A1735,FIND("/",$A1735)+1,20),FIND("/",MID($A1735,FIND("/",$A1735)+1,20))-1))),"")))</f>
        <v/>
      </c>
      <c r="D1735">
        <f>IF(OR($A1735="",$B1735=""),"",IF(ISNUMBER($A1735),MOD($A1735,100),IFERROR(VALUE(TRIM(MID(MID($A1735,FIND("/",$A1735)+1,20),FIND("/",MID($A1735,FIND("/",$A1735)+1,20))+1,20))),"")))</f>
        <v/>
      </c>
      <c r="E1735">
        <f>IF($A1735="","",IF(OR($B1735="",$C1735="",$D1735="",$B1735&lt;1300,$B1735&gt;1500,$C1735&lt;1,$C1735&gt;12,$D1735&lt;1,$D1735&gt;31),"نامعتبر",RIGHT("0000"&amp;$B1735,4)&amp;"/"&amp;RIGHT("00"&amp;$C1735,2)&amp;"/"&amp;RIGHT("00"&amp;$D1735,2)))</f>
        <v/>
      </c>
      <c r="F1735">
        <f>IF(OR($E1735="",$E1735="نامعتبر"),"",IF(Sync!$Q1732="","0000",IF(AND(ISNUMBER(Sync!$Q1732),Sync!$Q1732&gt;=0,Sync!$Q1732&lt;1),RIGHT("00"&amp;HOUR(Sync!$Q1732),2)&amp;RIGHT("00"&amp;MINUTE(Sync!$Q1732),2),IFERROR(RIGHT("00"&amp;VALUE(LEFT(Sync!$Q1732,FIND(":",Sync!$Q1732)-1)),2)&amp;RIGHT("00"&amp;VALUE(MID(Sync!$Q1732,FIND(":",Sync!$Q1732)+1,2)),2),"0000"))))</f>
        <v/>
      </c>
      <c r="G1735">
        <f>IF(OR($E1735="",$E1735="نامعتبر"),"",IF(Sync!$S1732="","",Sync!$S1732))</f>
        <v/>
      </c>
      <c r="H1735">
        <f>IF(OR($E1735="",$E1735="نامعتبر"),"",IF(Sync!$R1732="","",Sync!$R1732))</f>
        <v/>
      </c>
      <c r="I1735">
        <f>IF(OR($E1735="",$E1735="نامعتبر"),"",IF(Sync!$T1732="","",Sync!$T1732))</f>
        <v/>
      </c>
      <c r="J1735">
        <f>IF(OR($E1735="",$E1735="نامعتبر"),"",IF(Sync!$U1732="","",Sync!$U1732))</f>
        <v/>
      </c>
      <c r="K1735">
        <f>IF(OR($E1735="",$E1735="نامعتبر"),"",IF(Sync!$V1732="","",IFERROR(INDEX(SubCodes,MATCH(Sync!$V1732,SubTitles,0)),Sync!$V1732)))</f>
        <v/>
      </c>
      <c r="L1735">
        <f>IF(OR($E1735="",$E1735="نامعتبر"),"",IF(Sync!$W1732="",0,Sync!$W1732))</f>
        <v/>
      </c>
      <c r="M1735">
        <f>IF(OR($E1735="",$E1735="نامعتبر"),"",IF(Sync!$X1732="",0,Sync!$X1732))</f>
        <v/>
      </c>
      <c r="N1735">
        <f>IF(OR($E1735="",$E1735="نامعتبر"),"",IF(AND($J1735="هزینه",$K1735&lt;&gt;""),1,0))</f>
        <v/>
      </c>
      <c r="O1735">
        <f>IF($N1735=0,"",LEFT($E1735,4)&amp;MID($E1735,6,2)&amp;RIGHT($E1735,2)&amp;$F1735&amp;"|"&amp;"1"&amp;RIGHT("00000"&amp;1727,5))</f>
        <v/>
      </c>
      <c r="P1735">
        <f>IF($O1735="","",COUNTIFS(ExpSub,$K1735,ExpKey,"&lt;"&amp;$O1735)+1)</f>
        <v/>
      </c>
      <c r="Q1735">
        <f>IF($P1735="","",$K1735&amp;"|"&amp;RIGHT("000000"&amp;$P1735,6))</f>
        <v/>
      </c>
    </row>
    <row r="1736">
      <c r="A1736">
        <f>IF(Sync!$P1733="","",Sync!$P1733)</f>
        <v/>
      </c>
      <c r="B1736">
        <f>IF($A1736="","",IF(ISNUMBER($A1736),IF(AND($A1736&gt;=10000101,$A1736&lt;=99991231),INT($A1736/10000),""),IFERROR(VALUE(TRIM(LEFT($A1736,FIND("/",$A1736)-1))),"")))</f>
        <v/>
      </c>
      <c r="C1736">
        <f>IF(OR($A1736="",$B1736=""),"",IF(ISNUMBER($A1736),INT(MOD($A1736,10000)/100),IFERROR(VALUE(TRIM(LEFT(MID($A1736,FIND("/",$A1736)+1,20),FIND("/",MID($A1736,FIND("/",$A1736)+1,20))-1))),"")))</f>
        <v/>
      </c>
      <c r="D1736">
        <f>IF(OR($A1736="",$B1736=""),"",IF(ISNUMBER($A1736),MOD($A1736,100),IFERROR(VALUE(TRIM(MID(MID($A1736,FIND("/",$A1736)+1,20),FIND("/",MID($A1736,FIND("/",$A1736)+1,20))+1,20))),"")))</f>
        <v/>
      </c>
      <c r="E1736">
        <f>IF($A1736="","",IF(OR($B1736="",$C1736="",$D1736="",$B1736&lt;1300,$B1736&gt;1500,$C1736&lt;1,$C1736&gt;12,$D1736&lt;1,$D1736&gt;31),"نامعتبر",RIGHT("0000"&amp;$B1736,4)&amp;"/"&amp;RIGHT("00"&amp;$C1736,2)&amp;"/"&amp;RIGHT("00"&amp;$D1736,2)))</f>
        <v/>
      </c>
      <c r="F1736">
        <f>IF(OR($E1736="",$E1736="نامعتبر"),"",IF(Sync!$Q1733="","0000",IF(AND(ISNUMBER(Sync!$Q1733),Sync!$Q1733&gt;=0,Sync!$Q1733&lt;1),RIGHT("00"&amp;HOUR(Sync!$Q1733),2)&amp;RIGHT("00"&amp;MINUTE(Sync!$Q1733),2),IFERROR(RIGHT("00"&amp;VALUE(LEFT(Sync!$Q1733,FIND(":",Sync!$Q1733)-1)),2)&amp;RIGHT("00"&amp;VALUE(MID(Sync!$Q1733,FIND(":",Sync!$Q1733)+1,2)),2),"0000"))))</f>
        <v/>
      </c>
      <c r="G1736">
        <f>IF(OR($E1736="",$E1736="نامعتبر"),"",IF(Sync!$S1733="","",Sync!$S1733))</f>
        <v/>
      </c>
      <c r="H1736">
        <f>IF(OR($E1736="",$E1736="نامعتبر"),"",IF(Sync!$R1733="","",Sync!$R1733))</f>
        <v/>
      </c>
      <c r="I1736">
        <f>IF(OR($E1736="",$E1736="نامعتبر"),"",IF(Sync!$T1733="","",Sync!$T1733))</f>
        <v/>
      </c>
      <c r="J1736">
        <f>IF(OR($E1736="",$E1736="نامعتبر"),"",IF(Sync!$U1733="","",Sync!$U1733))</f>
        <v/>
      </c>
      <c r="K1736">
        <f>IF(OR($E1736="",$E1736="نامعتبر"),"",IF(Sync!$V1733="","",IFERROR(INDEX(SubCodes,MATCH(Sync!$V1733,SubTitles,0)),Sync!$V1733)))</f>
        <v/>
      </c>
      <c r="L1736">
        <f>IF(OR($E1736="",$E1736="نامعتبر"),"",IF(Sync!$W1733="",0,Sync!$W1733))</f>
        <v/>
      </c>
      <c r="M1736">
        <f>IF(OR($E1736="",$E1736="نامعتبر"),"",IF(Sync!$X1733="",0,Sync!$X1733))</f>
        <v/>
      </c>
      <c r="N1736">
        <f>IF(OR($E1736="",$E1736="نامعتبر"),"",IF(AND($J1736="هزینه",$K1736&lt;&gt;""),1,0))</f>
        <v/>
      </c>
      <c r="O1736">
        <f>IF($N1736=0,"",LEFT($E1736,4)&amp;MID($E1736,6,2)&amp;RIGHT($E1736,2)&amp;$F1736&amp;"|"&amp;"1"&amp;RIGHT("00000"&amp;1728,5))</f>
        <v/>
      </c>
      <c r="P1736">
        <f>IF($O1736="","",COUNTIFS(ExpSub,$K1736,ExpKey,"&lt;"&amp;$O1736)+1)</f>
        <v/>
      </c>
      <c r="Q1736">
        <f>IF($P1736="","",$K1736&amp;"|"&amp;RIGHT("000000"&amp;$P1736,6))</f>
        <v/>
      </c>
    </row>
    <row r="1737">
      <c r="A1737">
        <f>IF(Sync!$P1734="","",Sync!$P1734)</f>
        <v/>
      </c>
      <c r="B1737">
        <f>IF($A1737="","",IF(ISNUMBER($A1737),IF(AND($A1737&gt;=10000101,$A1737&lt;=99991231),INT($A1737/10000),""),IFERROR(VALUE(TRIM(LEFT($A1737,FIND("/",$A1737)-1))),"")))</f>
        <v/>
      </c>
      <c r="C1737">
        <f>IF(OR($A1737="",$B1737=""),"",IF(ISNUMBER($A1737),INT(MOD($A1737,10000)/100),IFERROR(VALUE(TRIM(LEFT(MID($A1737,FIND("/",$A1737)+1,20),FIND("/",MID($A1737,FIND("/",$A1737)+1,20))-1))),"")))</f>
        <v/>
      </c>
      <c r="D1737">
        <f>IF(OR($A1737="",$B1737=""),"",IF(ISNUMBER($A1737),MOD($A1737,100),IFERROR(VALUE(TRIM(MID(MID($A1737,FIND("/",$A1737)+1,20),FIND("/",MID($A1737,FIND("/",$A1737)+1,20))+1,20))),"")))</f>
        <v/>
      </c>
      <c r="E1737">
        <f>IF($A1737="","",IF(OR($B1737="",$C1737="",$D1737="",$B1737&lt;1300,$B1737&gt;1500,$C1737&lt;1,$C1737&gt;12,$D1737&lt;1,$D1737&gt;31),"نامعتبر",RIGHT("0000"&amp;$B1737,4)&amp;"/"&amp;RIGHT("00"&amp;$C1737,2)&amp;"/"&amp;RIGHT("00"&amp;$D1737,2)))</f>
        <v/>
      </c>
      <c r="F1737">
        <f>IF(OR($E1737="",$E1737="نامعتبر"),"",IF(Sync!$Q1734="","0000",IF(AND(ISNUMBER(Sync!$Q1734),Sync!$Q1734&gt;=0,Sync!$Q1734&lt;1),RIGHT("00"&amp;HOUR(Sync!$Q1734),2)&amp;RIGHT("00"&amp;MINUTE(Sync!$Q1734),2),IFERROR(RIGHT("00"&amp;VALUE(LEFT(Sync!$Q1734,FIND(":",Sync!$Q1734)-1)),2)&amp;RIGHT("00"&amp;VALUE(MID(Sync!$Q1734,FIND(":",Sync!$Q1734)+1,2)),2),"0000"))))</f>
        <v/>
      </c>
      <c r="G1737">
        <f>IF(OR($E1737="",$E1737="نامعتبر"),"",IF(Sync!$S1734="","",Sync!$S1734))</f>
        <v/>
      </c>
      <c r="H1737">
        <f>IF(OR($E1737="",$E1737="نامعتبر"),"",IF(Sync!$R1734="","",Sync!$R1734))</f>
        <v/>
      </c>
      <c r="I1737">
        <f>IF(OR($E1737="",$E1737="نامعتبر"),"",IF(Sync!$T1734="","",Sync!$T1734))</f>
        <v/>
      </c>
      <c r="J1737">
        <f>IF(OR($E1737="",$E1737="نامعتبر"),"",IF(Sync!$U1734="","",Sync!$U1734))</f>
        <v/>
      </c>
      <c r="K1737">
        <f>IF(OR($E1737="",$E1737="نامعتبر"),"",IF(Sync!$V1734="","",IFERROR(INDEX(SubCodes,MATCH(Sync!$V1734,SubTitles,0)),Sync!$V1734)))</f>
        <v/>
      </c>
      <c r="L1737">
        <f>IF(OR($E1737="",$E1737="نامعتبر"),"",IF(Sync!$W1734="",0,Sync!$W1734))</f>
        <v/>
      </c>
      <c r="M1737">
        <f>IF(OR($E1737="",$E1737="نامعتبر"),"",IF(Sync!$X1734="",0,Sync!$X1734))</f>
        <v/>
      </c>
      <c r="N1737">
        <f>IF(OR($E1737="",$E1737="نامعتبر"),"",IF(AND($J1737="هزینه",$K1737&lt;&gt;""),1,0))</f>
        <v/>
      </c>
      <c r="O1737">
        <f>IF($N1737=0,"",LEFT($E1737,4)&amp;MID($E1737,6,2)&amp;RIGHT($E1737,2)&amp;$F1737&amp;"|"&amp;"1"&amp;RIGHT("00000"&amp;1729,5))</f>
        <v/>
      </c>
      <c r="P1737">
        <f>IF($O1737="","",COUNTIFS(ExpSub,$K1737,ExpKey,"&lt;"&amp;$O1737)+1)</f>
        <v/>
      </c>
      <c r="Q1737">
        <f>IF($P1737="","",$K1737&amp;"|"&amp;RIGHT("000000"&amp;$P1737,6))</f>
        <v/>
      </c>
    </row>
    <row r="1738">
      <c r="A1738">
        <f>IF(Sync!$P1735="","",Sync!$P1735)</f>
        <v/>
      </c>
      <c r="B1738">
        <f>IF($A1738="","",IF(ISNUMBER($A1738),IF(AND($A1738&gt;=10000101,$A1738&lt;=99991231),INT($A1738/10000),""),IFERROR(VALUE(TRIM(LEFT($A1738,FIND("/",$A1738)-1))),"")))</f>
        <v/>
      </c>
      <c r="C1738">
        <f>IF(OR($A1738="",$B1738=""),"",IF(ISNUMBER($A1738),INT(MOD($A1738,10000)/100),IFERROR(VALUE(TRIM(LEFT(MID($A1738,FIND("/",$A1738)+1,20),FIND("/",MID($A1738,FIND("/",$A1738)+1,20))-1))),"")))</f>
        <v/>
      </c>
      <c r="D1738">
        <f>IF(OR($A1738="",$B1738=""),"",IF(ISNUMBER($A1738),MOD($A1738,100),IFERROR(VALUE(TRIM(MID(MID($A1738,FIND("/",$A1738)+1,20),FIND("/",MID($A1738,FIND("/",$A1738)+1,20))+1,20))),"")))</f>
        <v/>
      </c>
      <c r="E1738">
        <f>IF($A1738="","",IF(OR($B1738="",$C1738="",$D1738="",$B1738&lt;1300,$B1738&gt;1500,$C1738&lt;1,$C1738&gt;12,$D1738&lt;1,$D1738&gt;31),"نامعتبر",RIGHT("0000"&amp;$B1738,4)&amp;"/"&amp;RIGHT("00"&amp;$C1738,2)&amp;"/"&amp;RIGHT("00"&amp;$D1738,2)))</f>
        <v/>
      </c>
      <c r="F1738">
        <f>IF(OR($E1738="",$E1738="نامعتبر"),"",IF(Sync!$Q1735="","0000",IF(AND(ISNUMBER(Sync!$Q1735),Sync!$Q1735&gt;=0,Sync!$Q1735&lt;1),RIGHT("00"&amp;HOUR(Sync!$Q1735),2)&amp;RIGHT("00"&amp;MINUTE(Sync!$Q1735),2),IFERROR(RIGHT("00"&amp;VALUE(LEFT(Sync!$Q1735,FIND(":",Sync!$Q1735)-1)),2)&amp;RIGHT("00"&amp;VALUE(MID(Sync!$Q1735,FIND(":",Sync!$Q1735)+1,2)),2),"0000"))))</f>
        <v/>
      </c>
      <c r="G1738">
        <f>IF(OR($E1738="",$E1738="نامعتبر"),"",IF(Sync!$S1735="","",Sync!$S1735))</f>
        <v/>
      </c>
      <c r="H1738">
        <f>IF(OR($E1738="",$E1738="نامعتبر"),"",IF(Sync!$R1735="","",Sync!$R1735))</f>
        <v/>
      </c>
      <c r="I1738">
        <f>IF(OR($E1738="",$E1738="نامعتبر"),"",IF(Sync!$T1735="","",Sync!$T1735))</f>
        <v/>
      </c>
      <c r="J1738">
        <f>IF(OR($E1738="",$E1738="نامعتبر"),"",IF(Sync!$U1735="","",Sync!$U1735))</f>
        <v/>
      </c>
      <c r="K1738">
        <f>IF(OR($E1738="",$E1738="نامعتبر"),"",IF(Sync!$V1735="","",IFERROR(INDEX(SubCodes,MATCH(Sync!$V1735,SubTitles,0)),Sync!$V1735)))</f>
        <v/>
      </c>
      <c r="L1738">
        <f>IF(OR($E1738="",$E1738="نامعتبر"),"",IF(Sync!$W1735="",0,Sync!$W1735))</f>
        <v/>
      </c>
      <c r="M1738">
        <f>IF(OR($E1738="",$E1738="نامعتبر"),"",IF(Sync!$X1735="",0,Sync!$X1735))</f>
        <v/>
      </c>
      <c r="N1738">
        <f>IF(OR($E1738="",$E1738="نامعتبر"),"",IF(AND($J1738="هزینه",$K1738&lt;&gt;""),1,0))</f>
        <v/>
      </c>
      <c r="O1738">
        <f>IF($N1738=0,"",LEFT($E1738,4)&amp;MID($E1738,6,2)&amp;RIGHT($E1738,2)&amp;$F1738&amp;"|"&amp;"1"&amp;RIGHT("00000"&amp;1730,5))</f>
        <v/>
      </c>
      <c r="P1738">
        <f>IF($O1738="","",COUNTIFS(ExpSub,$K1738,ExpKey,"&lt;"&amp;$O1738)+1)</f>
        <v/>
      </c>
      <c r="Q1738">
        <f>IF($P1738="","",$K1738&amp;"|"&amp;RIGHT("000000"&amp;$P1738,6))</f>
        <v/>
      </c>
    </row>
    <row r="1739">
      <c r="A1739">
        <f>IF(Sync!$P1736="","",Sync!$P1736)</f>
        <v/>
      </c>
      <c r="B1739">
        <f>IF($A1739="","",IF(ISNUMBER($A1739),IF(AND($A1739&gt;=10000101,$A1739&lt;=99991231),INT($A1739/10000),""),IFERROR(VALUE(TRIM(LEFT($A1739,FIND("/",$A1739)-1))),"")))</f>
        <v/>
      </c>
      <c r="C1739">
        <f>IF(OR($A1739="",$B1739=""),"",IF(ISNUMBER($A1739),INT(MOD($A1739,10000)/100),IFERROR(VALUE(TRIM(LEFT(MID($A1739,FIND("/",$A1739)+1,20),FIND("/",MID($A1739,FIND("/",$A1739)+1,20))-1))),"")))</f>
        <v/>
      </c>
      <c r="D1739">
        <f>IF(OR($A1739="",$B1739=""),"",IF(ISNUMBER($A1739),MOD($A1739,100),IFERROR(VALUE(TRIM(MID(MID($A1739,FIND("/",$A1739)+1,20),FIND("/",MID($A1739,FIND("/",$A1739)+1,20))+1,20))),"")))</f>
        <v/>
      </c>
      <c r="E1739">
        <f>IF($A1739="","",IF(OR($B1739="",$C1739="",$D1739="",$B1739&lt;1300,$B1739&gt;1500,$C1739&lt;1,$C1739&gt;12,$D1739&lt;1,$D1739&gt;31),"نامعتبر",RIGHT("0000"&amp;$B1739,4)&amp;"/"&amp;RIGHT("00"&amp;$C1739,2)&amp;"/"&amp;RIGHT("00"&amp;$D1739,2)))</f>
        <v/>
      </c>
      <c r="F1739">
        <f>IF(OR($E1739="",$E1739="نامعتبر"),"",IF(Sync!$Q1736="","0000",IF(AND(ISNUMBER(Sync!$Q1736),Sync!$Q1736&gt;=0,Sync!$Q1736&lt;1),RIGHT("00"&amp;HOUR(Sync!$Q1736),2)&amp;RIGHT("00"&amp;MINUTE(Sync!$Q1736),2),IFERROR(RIGHT("00"&amp;VALUE(LEFT(Sync!$Q1736,FIND(":",Sync!$Q1736)-1)),2)&amp;RIGHT("00"&amp;VALUE(MID(Sync!$Q1736,FIND(":",Sync!$Q1736)+1,2)),2),"0000"))))</f>
        <v/>
      </c>
      <c r="G1739">
        <f>IF(OR($E1739="",$E1739="نامعتبر"),"",IF(Sync!$S1736="","",Sync!$S1736))</f>
        <v/>
      </c>
      <c r="H1739">
        <f>IF(OR($E1739="",$E1739="نامعتبر"),"",IF(Sync!$R1736="","",Sync!$R1736))</f>
        <v/>
      </c>
      <c r="I1739">
        <f>IF(OR($E1739="",$E1739="نامعتبر"),"",IF(Sync!$T1736="","",Sync!$T1736))</f>
        <v/>
      </c>
      <c r="J1739">
        <f>IF(OR($E1739="",$E1739="نامعتبر"),"",IF(Sync!$U1736="","",Sync!$U1736))</f>
        <v/>
      </c>
      <c r="K1739">
        <f>IF(OR($E1739="",$E1739="نامعتبر"),"",IF(Sync!$V1736="","",IFERROR(INDEX(SubCodes,MATCH(Sync!$V1736,SubTitles,0)),Sync!$V1736)))</f>
        <v/>
      </c>
      <c r="L1739">
        <f>IF(OR($E1739="",$E1739="نامعتبر"),"",IF(Sync!$W1736="",0,Sync!$W1736))</f>
        <v/>
      </c>
      <c r="M1739">
        <f>IF(OR($E1739="",$E1739="نامعتبر"),"",IF(Sync!$X1736="",0,Sync!$X1736))</f>
        <v/>
      </c>
      <c r="N1739">
        <f>IF(OR($E1739="",$E1739="نامعتبر"),"",IF(AND($J1739="هزینه",$K1739&lt;&gt;""),1,0))</f>
        <v/>
      </c>
      <c r="O1739">
        <f>IF($N1739=0,"",LEFT($E1739,4)&amp;MID($E1739,6,2)&amp;RIGHT($E1739,2)&amp;$F1739&amp;"|"&amp;"1"&amp;RIGHT("00000"&amp;1731,5))</f>
        <v/>
      </c>
      <c r="P1739">
        <f>IF($O1739="","",COUNTIFS(ExpSub,$K1739,ExpKey,"&lt;"&amp;$O1739)+1)</f>
        <v/>
      </c>
      <c r="Q1739">
        <f>IF($P1739="","",$K1739&amp;"|"&amp;RIGHT("000000"&amp;$P1739,6))</f>
        <v/>
      </c>
    </row>
    <row r="1740">
      <c r="A1740">
        <f>IF(Sync!$P1737="","",Sync!$P1737)</f>
        <v/>
      </c>
      <c r="B1740">
        <f>IF($A1740="","",IF(ISNUMBER($A1740),IF(AND($A1740&gt;=10000101,$A1740&lt;=99991231),INT($A1740/10000),""),IFERROR(VALUE(TRIM(LEFT($A1740,FIND("/",$A1740)-1))),"")))</f>
        <v/>
      </c>
      <c r="C1740">
        <f>IF(OR($A1740="",$B1740=""),"",IF(ISNUMBER($A1740),INT(MOD($A1740,10000)/100),IFERROR(VALUE(TRIM(LEFT(MID($A1740,FIND("/",$A1740)+1,20),FIND("/",MID($A1740,FIND("/",$A1740)+1,20))-1))),"")))</f>
        <v/>
      </c>
      <c r="D1740">
        <f>IF(OR($A1740="",$B1740=""),"",IF(ISNUMBER($A1740),MOD($A1740,100),IFERROR(VALUE(TRIM(MID(MID($A1740,FIND("/",$A1740)+1,20),FIND("/",MID($A1740,FIND("/",$A1740)+1,20))+1,20))),"")))</f>
        <v/>
      </c>
      <c r="E1740">
        <f>IF($A1740="","",IF(OR($B1740="",$C1740="",$D1740="",$B1740&lt;1300,$B1740&gt;1500,$C1740&lt;1,$C1740&gt;12,$D1740&lt;1,$D1740&gt;31),"نامعتبر",RIGHT("0000"&amp;$B1740,4)&amp;"/"&amp;RIGHT("00"&amp;$C1740,2)&amp;"/"&amp;RIGHT("00"&amp;$D1740,2)))</f>
        <v/>
      </c>
      <c r="F1740">
        <f>IF(OR($E1740="",$E1740="نامعتبر"),"",IF(Sync!$Q1737="","0000",IF(AND(ISNUMBER(Sync!$Q1737),Sync!$Q1737&gt;=0,Sync!$Q1737&lt;1),RIGHT("00"&amp;HOUR(Sync!$Q1737),2)&amp;RIGHT("00"&amp;MINUTE(Sync!$Q1737),2),IFERROR(RIGHT("00"&amp;VALUE(LEFT(Sync!$Q1737,FIND(":",Sync!$Q1737)-1)),2)&amp;RIGHT("00"&amp;VALUE(MID(Sync!$Q1737,FIND(":",Sync!$Q1737)+1,2)),2),"0000"))))</f>
        <v/>
      </c>
      <c r="G1740">
        <f>IF(OR($E1740="",$E1740="نامعتبر"),"",IF(Sync!$S1737="","",Sync!$S1737))</f>
        <v/>
      </c>
      <c r="H1740">
        <f>IF(OR($E1740="",$E1740="نامعتبر"),"",IF(Sync!$R1737="","",Sync!$R1737))</f>
        <v/>
      </c>
      <c r="I1740">
        <f>IF(OR($E1740="",$E1740="نامعتبر"),"",IF(Sync!$T1737="","",Sync!$T1737))</f>
        <v/>
      </c>
      <c r="J1740">
        <f>IF(OR($E1740="",$E1740="نامعتبر"),"",IF(Sync!$U1737="","",Sync!$U1737))</f>
        <v/>
      </c>
      <c r="K1740">
        <f>IF(OR($E1740="",$E1740="نامعتبر"),"",IF(Sync!$V1737="","",IFERROR(INDEX(SubCodes,MATCH(Sync!$V1737,SubTitles,0)),Sync!$V1737)))</f>
        <v/>
      </c>
      <c r="L1740">
        <f>IF(OR($E1740="",$E1740="نامعتبر"),"",IF(Sync!$W1737="",0,Sync!$W1737))</f>
        <v/>
      </c>
      <c r="M1740">
        <f>IF(OR($E1740="",$E1740="نامعتبر"),"",IF(Sync!$X1737="",0,Sync!$X1737))</f>
        <v/>
      </c>
      <c r="N1740">
        <f>IF(OR($E1740="",$E1740="نامعتبر"),"",IF(AND($J1740="هزینه",$K1740&lt;&gt;""),1,0))</f>
        <v/>
      </c>
      <c r="O1740">
        <f>IF($N1740=0,"",LEFT($E1740,4)&amp;MID($E1740,6,2)&amp;RIGHT($E1740,2)&amp;$F1740&amp;"|"&amp;"1"&amp;RIGHT("00000"&amp;1732,5))</f>
        <v/>
      </c>
      <c r="P1740">
        <f>IF($O1740="","",COUNTIFS(ExpSub,$K1740,ExpKey,"&lt;"&amp;$O1740)+1)</f>
        <v/>
      </c>
      <c r="Q1740">
        <f>IF($P1740="","",$K1740&amp;"|"&amp;RIGHT("000000"&amp;$P1740,6))</f>
        <v/>
      </c>
    </row>
    <row r="1741">
      <c r="A1741">
        <f>IF(Sync!$P1738="","",Sync!$P1738)</f>
        <v/>
      </c>
      <c r="B1741">
        <f>IF($A1741="","",IF(ISNUMBER($A1741),IF(AND($A1741&gt;=10000101,$A1741&lt;=99991231),INT($A1741/10000),""),IFERROR(VALUE(TRIM(LEFT($A1741,FIND("/",$A1741)-1))),"")))</f>
        <v/>
      </c>
      <c r="C1741">
        <f>IF(OR($A1741="",$B1741=""),"",IF(ISNUMBER($A1741),INT(MOD($A1741,10000)/100),IFERROR(VALUE(TRIM(LEFT(MID($A1741,FIND("/",$A1741)+1,20),FIND("/",MID($A1741,FIND("/",$A1741)+1,20))-1))),"")))</f>
        <v/>
      </c>
      <c r="D1741">
        <f>IF(OR($A1741="",$B1741=""),"",IF(ISNUMBER($A1741),MOD($A1741,100),IFERROR(VALUE(TRIM(MID(MID($A1741,FIND("/",$A1741)+1,20),FIND("/",MID($A1741,FIND("/",$A1741)+1,20))+1,20))),"")))</f>
        <v/>
      </c>
      <c r="E1741">
        <f>IF($A1741="","",IF(OR($B1741="",$C1741="",$D1741="",$B1741&lt;1300,$B1741&gt;1500,$C1741&lt;1,$C1741&gt;12,$D1741&lt;1,$D1741&gt;31),"نامعتبر",RIGHT("0000"&amp;$B1741,4)&amp;"/"&amp;RIGHT("00"&amp;$C1741,2)&amp;"/"&amp;RIGHT("00"&amp;$D1741,2)))</f>
        <v/>
      </c>
      <c r="F1741">
        <f>IF(OR($E1741="",$E1741="نامعتبر"),"",IF(Sync!$Q1738="","0000",IF(AND(ISNUMBER(Sync!$Q1738),Sync!$Q1738&gt;=0,Sync!$Q1738&lt;1),RIGHT("00"&amp;HOUR(Sync!$Q1738),2)&amp;RIGHT("00"&amp;MINUTE(Sync!$Q1738),2),IFERROR(RIGHT("00"&amp;VALUE(LEFT(Sync!$Q1738,FIND(":",Sync!$Q1738)-1)),2)&amp;RIGHT("00"&amp;VALUE(MID(Sync!$Q1738,FIND(":",Sync!$Q1738)+1,2)),2),"0000"))))</f>
        <v/>
      </c>
      <c r="G1741">
        <f>IF(OR($E1741="",$E1741="نامعتبر"),"",IF(Sync!$S1738="","",Sync!$S1738))</f>
        <v/>
      </c>
      <c r="H1741">
        <f>IF(OR($E1741="",$E1741="نامعتبر"),"",IF(Sync!$R1738="","",Sync!$R1738))</f>
        <v/>
      </c>
      <c r="I1741">
        <f>IF(OR($E1741="",$E1741="نامعتبر"),"",IF(Sync!$T1738="","",Sync!$T1738))</f>
        <v/>
      </c>
      <c r="J1741">
        <f>IF(OR($E1741="",$E1741="نامعتبر"),"",IF(Sync!$U1738="","",Sync!$U1738))</f>
        <v/>
      </c>
      <c r="K1741">
        <f>IF(OR($E1741="",$E1741="نامعتبر"),"",IF(Sync!$V1738="","",IFERROR(INDEX(SubCodes,MATCH(Sync!$V1738,SubTitles,0)),Sync!$V1738)))</f>
        <v/>
      </c>
      <c r="L1741">
        <f>IF(OR($E1741="",$E1741="نامعتبر"),"",IF(Sync!$W1738="",0,Sync!$W1738))</f>
        <v/>
      </c>
      <c r="M1741">
        <f>IF(OR($E1741="",$E1741="نامعتبر"),"",IF(Sync!$X1738="",0,Sync!$X1738))</f>
        <v/>
      </c>
      <c r="N1741">
        <f>IF(OR($E1741="",$E1741="نامعتبر"),"",IF(AND($J1741="هزینه",$K1741&lt;&gt;""),1,0))</f>
        <v/>
      </c>
      <c r="O1741">
        <f>IF($N1741=0,"",LEFT($E1741,4)&amp;MID($E1741,6,2)&amp;RIGHT($E1741,2)&amp;$F1741&amp;"|"&amp;"1"&amp;RIGHT("00000"&amp;1733,5))</f>
        <v/>
      </c>
      <c r="P1741">
        <f>IF($O1741="","",COUNTIFS(ExpSub,$K1741,ExpKey,"&lt;"&amp;$O1741)+1)</f>
        <v/>
      </c>
      <c r="Q1741">
        <f>IF($P1741="","",$K1741&amp;"|"&amp;RIGHT("000000"&amp;$P1741,6))</f>
        <v/>
      </c>
    </row>
    <row r="1742">
      <c r="A1742">
        <f>IF(Sync!$P1739="","",Sync!$P1739)</f>
        <v/>
      </c>
      <c r="B1742">
        <f>IF($A1742="","",IF(ISNUMBER($A1742),IF(AND($A1742&gt;=10000101,$A1742&lt;=99991231),INT($A1742/10000),""),IFERROR(VALUE(TRIM(LEFT($A1742,FIND("/",$A1742)-1))),"")))</f>
        <v/>
      </c>
      <c r="C1742">
        <f>IF(OR($A1742="",$B1742=""),"",IF(ISNUMBER($A1742),INT(MOD($A1742,10000)/100),IFERROR(VALUE(TRIM(LEFT(MID($A1742,FIND("/",$A1742)+1,20),FIND("/",MID($A1742,FIND("/",$A1742)+1,20))-1))),"")))</f>
        <v/>
      </c>
      <c r="D1742">
        <f>IF(OR($A1742="",$B1742=""),"",IF(ISNUMBER($A1742),MOD($A1742,100),IFERROR(VALUE(TRIM(MID(MID($A1742,FIND("/",$A1742)+1,20),FIND("/",MID($A1742,FIND("/",$A1742)+1,20))+1,20))),"")))</f>
        <v/>
      </c>
      <c r="E1742">
        <f>IF($A1742="","",IF(OR($B1742="",$C1742="",$D1742="",$B1742&lt;1300,$B1742&gt;1500,$C1742&lt;1,$C1742&gt;12,$D1742&lt;1,$D1742&gt;31),"نامعتبر",RIGHT("0000"&amp;$B1742,4)&amp;"/"&amp;RIGHT("00"&amp;$C1742,2)&amp;"/"&amp;RIGHT("00"&amp;$D1742,2)))</f>
        <v/>
      </c>
      <c r="F1742">
        <f>IF(OR($E1742="",$E1742="نامعتبر"),"",IF(Sync!$Q1739="","0000",IF(AND(ISNUMBER(Sync!$Q1739),Sync!$Q1739&gt;=0,Sync!$Q1739&lt;1),RIGHT("00"&amp;HOUR(Sync!$Q1739),2)&amp;RIGHT("00"&amp;MINUTE(Sync!$Q1739),2),IFERROR(RIGHT("00"&amp;VALUE(LEFT(Sync!$Q1739,FIND(":",Sync!$Q1739)-1)),2)&amp;RIGHT("00"&amp;VALUE(MID(Sync!$Q1739,FIND(":",Sync!$Q1739)+1,2)),2),"0000"))))</f>
        <v/>
      </c>
      <c r="G1742">
        <f>IF(OR($E1742="",$E1742="نامعتبر"),"",IF(Sync!$S1739="","",Sync!$S1739))</f>
        <v/>
      </c>
      <c r="H1742">
        <f>IF(OR($E1742="",$E1742="نامعتبر"),"",IF(Sync!$R1739="","",Sync!$R1739))</f>
        <v/>
      </c>
      <c r="I1742">
        <f>IF(OR($E1742="",$E1742="نامعتبر"),"",IF(Sync!$T1739="","",Sync!$T1739))</f>
        <v/>
      </c>
      <c r="J1742">
        <f>IF(OR($E1742="",$E1742="نامعتبر"),"",IF(Sync!$U1739="","",Sync!$U1739))</f>
        <v/>
      </c>
      <c r="K1742">
        <f>IF(OR($E1742="",$E1742="نامعتبر"),"",IF(Sync!$V1739="","",IFERROR(INDEX(SubCodes,MATCH(Sync!$V1739,SubTitles,0)),Sync!$V1739)))</f>
        <v/>
      </c>
      <c r="L1742">
        <f>IF(OR($E1742="",$E1742="نامعتبر"),"",IF(Sync!$W1739="",0,Sync!$W1739))</f>
        <v/>
      </c>
      <c r="M1742">
        <f>IF(OR($E1742="",$E1742="نامعتبر"),"",IF(Sync!$X1739="",0,Sync!$X1739))</f>
        <v/>
      </c>
      <c r="N1742">
        <f>IF(OR($E1742="",$E1742="نامعتبر"),"",IF(AND($J1742="هزینه",$K1742&lt;&gt;""),1,0))</f>
        <v/>
      </c>
      <c r="O1742">
        <f>IF($N1742=0,"",LEFT($E1742,4)&amp;MID($E1742,6,2)&amp;RIGHT($E1742,2)&amp;$F1742&amp;"|"&amp;"1"&amp;RIGHT("00000"&amp;1734,5))</f>
        <v/>
      </c>
      <c r="P1742">
        <f>IF($O1742="","",COUNTIFS(ExpSub,$K1742,ExpKey,"&lt;"&amp;$O1742)+1)</f>
        <v/>
      </c>
      <c r="Q1742">
        <f>IF($P1742="","",$K1742&amp;"|"&amp;RIGHT("000000"&amp;$P1742,6))</f>
        <v/>
      </c>
    </row>
    <row r="1743">
      <c r="A1743">
        <f>IF(Sync!$P1740="","",Sync!$P1740)</f>
        <v/>
      </c>
      <c r="B1743">
        <f>IF($A1743="","",IF(ISNUMBER($A1743),IF(AND($A1743&gt;=10000101,$A1743&lt;=99991231),INT($A1743/10000),""),IFERROR(VALUE(TRIM(LEFT($A1743,FIND("/",$A1743)-1))),"")))</f>
        <v/>
      </c>
      <c r="C1743">
        <f>IF(OR($A1743="",$B1743=""),"",IF(ISNUMBER($A1743),INT(MOD($A1743,10000)/100),IFERROR(VALUE(TRIM(LEFT(MID($A1743,FIND("/",$A1743)+1,20),FIND("/",MID($A1743,FIND("/",$A1743)+1,20))-1))),"")))</f>
        <v/>
      </c>
      <c r="D1743">
        <f>IF(OR($A1743="",$B1743=""),"",IF(ISNUMBER($A1743),MOD($A1743,100),IFERROR(VALUE(TRIM(MID(MID($A1743,FIND("/",$A1743)+1,20),FIND("/",MID($A1743,FIND("/",$A1743)+1,20))+1,20))),"")))</f>
        <v/>
      </c>
      <c r="E1743">
        <f>IF($A1743="","",IF(OR($B1743="",$C1743="",$D1743="",$B1743&lt;1300,$B1743&gt;1500,$C1743&lt;1,$C1743&gt;12,$D1743&lt;1,$D1743&gt;31),"نامعتبر",RIGHT("0000"&amp;$B1743,4)&amp;"/"&amp;RIGHT("00"&amp;$C1743,2)&amp;"/"&amp;RIGHT("00"&amp;$D1743,2)))</f>
        <v/>
      </c>
      <c r="F1743">
        <f>IF(OR($E1743="",$E1743="نامعتبر"),"",IF(Sync!$Q1740="","0000",IF(AND(ISNUMBER(Sync!$Q1740),Sync!$Q1740&gt;=0,Sync!$Q1740&lt;1),RIGHT("00"&amp;HOUR(Sync!$Q1740),2)&amp;RIGHT("00"&amp;MINUTE(Sync!$Q1740),2),IFERROR(RIGHT("00"&amp;VALUE(LEFT(Sync!$Q1740,FIND(":",Sync!$Q1740)-1)),2)&amp;RIGHT("00"&amp;VALUE(MID(Sync!$Q1740,FIND(":",Sync!$Q1740)+1,2)),2),"0000"))))</f>
        <v/>
      </c>
      <c r="G1743">
        <f>IF(OR($E1743="",$E1743="نامعتبر"),"",IF(Sync!$S1740="","",Sync!$S1740))</f>
        <v/>
      </c>
      <c r="H1743">
        <f>IF(OR($E1743="",$E1743="نامعتبر"),"",IF(Sync!$R1740="","",Sync!$R1740))</f>
        <v/>
      </c>
      <c r="I1743">
        <f>IF(OR($E1743="",$E1743="نامعتبر"),"",IF(Sync!$T1740="","",Sync!$T1740))</f>
        <v/>
      </c>
      <c r="J1743">
        <f>IF(OR($E1743="",$E1743="نامعتبر"),"",IF(Sync!$U1740="","",Sync!$U1740))</f>
        <v/>
      </c>
      <c r="K1743">
        <f>IF(OR($E1743="",$E1743="نامعتبر"),"",IF(Sync!$V1740="","",IFERROR(INDEX(SubCodes,MATCH(Sync!$V1740,SubTitles,0)),Sync!$V1740)))</f>
        <v/>
      </c>
      <c r="L1743">
        <f>IF(OR($E1743="",$E1743="نامعتبر"),"",IF(Sync!$W1740="",0,Sync!$W1740))</f>
        <v/>
      </c>
      <c r="M1743">
        <f>IF(OR($E1743="",$E1743="نامعتبر"),"",IF(Sync!$X1740="",0,Sync!$X1740))</f>
        <v/>
      </c>
      <c r="N1743">
        <f>IF(OR($E1743="",$E1743="نامعتبر"),"",IF(AND($J1743="هزینه",$K1743&lt;&gt;""),1,0))</f>
        <v/>
      </c>
      <c r="O1743">
        <f>IF($N1743=0,"",LEFT($E1743,4)&amp;MID($E1743,6,2)&amp;RIGHT($E1743,2)&amp;$F1743&amp;"|"&amp;"1"&amp;RIGHT("00000"&amp;1735,5))</f>
        <v/>
      </c>
      <c r="P1743">
        <f>IF($O1743="","",COUNTIFS(ExpSub,$K1743,ExpKey,"&lt;"&amp;$O1743)+1)</f>
        <v/>
      </c>
      <c r="Q1743">
        <f>IF($P1743="","",$K1743&amp;"|"&amp;RIGHT("000000"&amp;$P1743,6))</f>
        <v/>
      </c>
    </row>
    <row r="1744">
      <c r="A1744">
        <f>IF(Sync!$P1741="","",Sync!$P1741)</f>
        <v/>
      </c>
      <c r="B1744">
        <f>IF($A1744="","",IF(ISNUMBER($A1744),IF(AND($A1744&gt;=10000101,$A1744&lt;=99991231),INT($A1744/10000),""),IFERROR(VALUE(TRIM(LEFT($A1744,FIND("/",$A1744)-1))),"")))</f>
        <v/>
      </c>
      <c r="C1744">
        <f>IF(OR($A1744="",$B1744=""),"",IF(ISNUMBER($A1744),INT(MOD($A1744,10000)/100),IFERROR(VALUE(TRIM(LEFT(MID($A1744,FIND("/",$A1744)+1,20),FIND("/",MID($A1744,FIND("/",$A1744)+1,20))-1))),"")))</f>
        <v/>
      </c>
      <c r="D1744">
        <f>IF(OR($A1744="",$B1744=""),"",IF(ISNUMBER($A1744),MOD($A1744,100),IFERROR(VALUE(TRIM(MID(MID($A1744,FIND("/",$A1744)+1,20),FIND("/",MID($A1744,FIND("/",$A1744)+1,20))+1,20))),"")))</f>
        <v/>
      </c>
      <c r="E1744">
        <f>IF($A1744="","",IF(OR($B1744="",$C1744="",$D1744="",$B1744&lt;1300,$B1744&gt;1500,$C1744&lt;1,$C1744&gt;12,$D1744&lt;1,$D1744&gt;31),"نامعتبر",RIGHT("0000"&amp;$B1744,4)&amp;"/"&amp;RIGHT("00"&amp;$C1744,2)&amp;"/"&amp;RIGHT("00"&amp;$D1744,2)))</f>
        <v/>
      </c>
      <c r="F1744">
        <f>IF(OR($E1744="",$E1744="نامعتبر"),"",IF(Sync!$Q1741="","0000",IF(AND(ISNUMBER(Sync!$Q1741),Sync!$Q1741&gt;=0,Sync!$Q1741&lt;1),RIGHT("00"&amp;HOUR(Sync!$Q1741),2)&amp;RIGHT("00"&amp;MINUTE(Sync!$Q1741),2),IFERROR(RIGHT("00"&amp;VALUE(LEFT(Sync!$Q1741,FIND(":",Sync!$Q1741)-1)),2)&amp;RIGHT("00"&amp;VALUE(MID(Sync!$Q1741,FIND(":",Sync!$Q1741)+1,2)),2),"0000"))))</f>
        <v/>
      </c>
      <c r="G1744">
        <f>IF(OR($E1744="",$E1744="نامعتبر"),"",IF(Sync!$S1741="","",Sync!$S1741))</f>
        <v/>
      </c>
      <c r="H1744">
        <f>IF(OR($E1744="",$E1744="نامعتبر"),"",IF(Sync!$R1741="","",Sync!$R1741))</f>
        <v/>
      </c>
      <c r="I1744">
        <f>IF(OR($E1744="",$E1744="نامعتبر"),"",IF(Sync!$T1741="","",Sync!$T1741))</f>
        <v/>
      </c>
      <c r="J1744">
        <f>IF(OR($E1744="",$E1744="نامعتبر"),"",IF(Sync!$U1741="","",Sync!$U1741))</f>
        <v/>
      </c>
      <c r="K1744">
        <f>IF(OR($E1744="",$E1744="نامعتبر"),"",IF(Sync!$V1741="","",IFERROR(INDEX(SubCodes,MATCH(Sync!$V1741,SubTitles,0)),Sync!$V1741)))</f>
        <v/>
      </c>
      <c r="L1744">
        <f>IF(OR($E1744="",$E1744="نامعتبر"),"",IF(Sync!$W1741="",0,Sync!$W1741))</f>
        <v/>
      </c>
      <c r="M1744">
        <f>IF(OR($E1744="",$E1744="نامعتبر"),"",IF(Sync!$X1741="",0,Sync!$X1741))</f>
        <v/>
      </c>
      <c r="N1744">
        <f>IF(OR($E1744="",$E1744="نامعتبر"),"",IF(AND($J1744="هزینه",$K1744&lt;&gt;""),1,0))</f>
        <v/>
      </c>
      <c r="O1744">
        <f>IF($N1744=0,"",LEFT($E1744,4)&amp;MID($E1744,6,2)&amp;RIGHT($E1744,2)&amp;$F1744&amp;"|"&amp;"1"&amp;RIGHT("00000"&amp;1736,5))</f>
        <v/>
      </c>
      <c r="P1744">
        <f>IF($O1744="","",COUNTIFS(ExpSub,$K1744,ExpKey,"&lt;"&amp;$O1744)+1)</f>
        <v/>
      </c>
      <c r="Q1744">
        <f>IF($P1744="","",$K1744&amp;"|"&amp;RIGHT("000000"&amp;$P1744,6))</f>
        <v/>
      </c>
    </row>
    <row r="1745">
      <c r="A1745">
        <f>IF(Sync!$P1742="","",Sync!$P1742)</f>
        <v/>
      </c>
      <c r="B1745">
        <f>IF($A1745="","",IF(ISNUMBER($A1745),IF(AND($A1745&gt;=10000101,$A1745&lt;=99991231),INT($A1745/10000),""),IFERROR(VALUE(TRIM(LEFT($A1745,FIND("/",$A1745)-1))),"")))</f>
        <v/>
      </c>
      <c r="C1745">
        <f>IF(OR($A1745="",$B1745=""),"",IF(ISNUMBER($A1745),INT(MOD($A1745,10000)/100),IFERROR(VALUE(TRIM(LEFT(MID($A1745,FIND("/",$A1745)+1,20),FIND("/",MID($A1745,FIND("/",$A1745)+1,20))-1))),"")))</f>
        <v/>
      </c>
      <c r="D1745">
        <f>IF(OR($A1745="",$B1745=""),"",IF(ISNUMBER($A1745),MOD($A1745,100),IFERROR(VALUE(TRIM(MID(MID($A1745,FIND("/",$A1745)+1,20),FIND("/",MID($A1745,FIND("/",$A1745)+1,20))+1,20))),"")))</f>
        <v/>
      </c>
      <c r="E1745">
        <f>IF($A1745="","",IF(OR($B1745="",$C1745="",$D1745="",$B1745&lt;1300,$B1745&gt;1500,$C1745&lt;1,$C1745&gt;12,$D1745&lt;1,$D1745&gt;31),"نامعتبر",RIGHT("0000"&amp;$B1745,4)&amp;"/"&amp;RIGHT("00"&amp;$C1745,2)&amp;"/"&amp;RIGHT("00"&amp;$D1745,2)))</f>
        <v/>
      </c>
      <c r="F1745">
        <f>IF(OR($E1745="",$E1745="نامعتبر"),"",IF(Sync!$Q1742="","0000",IF(AND(ISNUMBER(Sync!$Q1742),Sync!$Q1742&gt;=0,Sync!$Q1742&lt;1),RIGHT("00"&amp;HOUR(Sync!$Q1742),2)&amp;RIGHT("00"&amp;MINUTE(Sync!$Q1742),2),IFERROR(RIGHT("00"&amp;VALUE(LEFT(Sync!$Q1742,FIND(":",Sync!$Q1742)-1)),2)&amp;RIGHT("00"&amp;VALUE(MID(Sync!$Q1742,FIND(":",Sync!$Q1742)+1,2)),2),"0000"))))</f>
        <v/>
      </c>
      <c r="G1745">
        <f>IF(OR($E1745="",$E1745="نامعتبر"),"",IF(Sync!$S1742="","",Sync!$S1742))</f>
        <v/>
      </c>
      <c r="H1745">
        <f>IF(OR($E1745="",$E1745="نامعتبر"),"",IF(Sync!$R1742="","",Sync!$R1742))</f>
        <v/>
      </c>
      <c r="I1745">
        <f>IF(OR($E1745="",$E1745="نامعتبر"),"",IF(Sync!$T1742="","",Sync!$T1742))</f>
        <v/>
      </c>
      <c r="J1745">
        <f>IF(OR($E1745="",$E1745="نامعتبر"),"",IF(Sync!$U1742="","",Sync!$U1742))</f>
        <v/>
      </c>
      <c r="K1745">
        <f>IF(OR($E1745="",$E1745="نامعتبر"),"",IF(Sync!$V1742="","",IFERROR(INDEX(SubCodes,MATCH(Sync!$V1742,SubTitles,0)),Sync!$V1742)))</f>
        <v/>
      </c>
      <c r="L1745">
        <f>IF(OR($E1745="",$E1745="نامعتبر"),"",IF(Sync!$W1742="",0,Sync!$W1742))</f>
        <v/>
      </c>
      <c r="M1745">
        <f>IF(OR($E1745="",$E1745="نامعتبر"),"",IF(Sync!$X1742="",0,Sync!$X1742))</f>
        <v/>
      </c>
      <c r="N1745">
        <f>IF(OR($E1745="",$E1745="نامعتبر"),"",IF(AND($J1745="هزینه",$K1745&lt;&gt;""),1,0))</f>
        <v/>
      </c>
      <c r="O1745">
        <f>IF($N1745=0,"",LEFT($E1745,4)&amp;MID($E1745,6,2)&amp;RIGHT($E1745,2)&amp;$F1745&amp;"|"&amp;"1"&amp;RIGHT("00000"&amp;1737,5))</f>
        <v/>
      </c>
      <c r="P1745">
        <f>IF($O1745="","",COUNTIFS(ExpSub,$K1745,ExpKey,"&lt;"&amp;$O1745)+1)</f>
        <v/>
      </c>
      <c r="Q1745">
        <f>IF($P1745="","",$K1745&amp;"|"&amp;RIGHT("000000"&amp;$P1745,6))</f>
        <v/>
      </c>
    </row>
    <row r="1746">
      <c r="A1746">
        <f>IF(Sync!$P1743="","",Sync!$P1743)</f>
        <v/>
      </c>
      <c r="B1746">
        <f>IF($A1746="","",IF(ISNUMBER($A1746),IF(AND($A1746&gt;=10000101,$A1746&lt;=99991231),INT($A1746/10000),""),IFERROR(VALUE(TRIM(LEFT($A1746,FIND("/",$A1746)-1))),"")))</f>
        <v/>
      </c>
      <c r="C1746">
        <f>IF(OR($A1746="",$B1746=""),"",IF(ISNUMBER($A1746),INT(MOD($A1746,10000)/100),IFERROR(VALUE(TRIM(LEFT(MID($A1746,FIND("/",$A1746)+1,20),FIND("/",MID($A1746,FIND("/",$A1746)+1,20))-1))),"")))</f>
        <v/>
      </c>
      <c r="D1746">
        <f>IF(OR($A1746="",$B1746=""),"",IF(ISNUMBER($A1746),MOD($A1746,100),IFERROR(VALUE(TRIM(MID(MID($A1746,FIND("/",$A1746)+1,20),FIND("/",MID($A1746,FIND("/",$A1746)+1,20))+1,20))),"")))</f>
        <v/>
      </c>
      <c r="E1746">
        <f>IF($A1746="","",IF(OR($B1746="",$C1746="",$D1746="",$B1746&lt;1300,$B1746&gt;1500,$C1746&lt;1,$C1746&gt;12,$D1746&lt;1,$D1746&gt;31),"نامعتبر",RIGHT("0000"&amp;$B1746,4)&amp;"/"&amp;RIGHT("00"&amp;$C1746,2)&amp;"/"&amp;RIGHT("00"&amp;$D1746,2)))</f>
        <v/>
      </c>
      <c r="F1746">
        <f>IF(OR($E1746="",$E1746="نامعتبر"),"",IF(Sync!$Q1743="","0000",IF(AND(ISNUMBER(Sync!$Q1743),Sync!$Q1743&gt;=0,Sync!$Q1743&lt;1),RIGHT("00"&amp;HOUR(Sync!$Q1743),2)&amp;RIGHT("00"&amp;MINUTE(Sync!$Q1743),2),IFERROR(RIGHT("00"&amp;VALUE(LEFT(Sync!$Q1743,FIND(":",Sync!$Q1743)-1)),2)&amp;RIGHT("00"&amp;VALUE(MID(Sync!$Q1743,FIND(":",Sync!$Q1743)+1,2)),2),"0000"))))</f>
        <v/>
      </c>
      <c r="G1746">
        <f>IF(OR($E1746="",$E1746="نامعتبر"),"",IF(Sync!$S1743="","",Sync!$S1743))</f>
        <v/>
      </c>
      <c r="H1746">
        <f>IF(OR($E1746="",$E1746="نامعتبر"),"",IF(Sync!$R1743="","",Sync!$R1743))</f>
        <v/>
      </c>
      <c r="I1746">
        <f>IF(OR($E1746="",$E1746="نامعتبر"),"",IF(Sync!$T1743="","",Sync!$T1743))</f>
        <v/>
      </c>
      <c r="J1746">
        <f>IF(OR($E1746="",$E1746="نامعتبر"),"",IF(Sync!$U1743="","",Sync!$U1743))</f>
        <v/>
      </c>
      <c r="K1746">
        <f>IF(OR($E1746="",$E1746="نامعتبر"),"",IF(Sync!$V1743="","",IFERROR(INDEX(SubCodes,MATCH(Sync!$V1743,SubTitles,0)),Sync!$V1743)))</f>
        <v/>
      </c>
      <c r="L1746">
        <f>IF(OR($E1746="",$E1746="نامعتبر"),"",IF(Sync!$W1743="",0,Sync!$W1743))</f>
        <v/>
      </c>
      <c r="M1746">
        <f>IF(OR($E1746="",$E1746="نامعتبر"),"",IF(Sync!$X1743="",0,Sync!$X1743))</f>
        <v/>
      </c>
      <c r="N1746">
        <f>IF(OR($E1746="",$E1746="نامعتبر"),"",IF(AND($J1746="هزینه",$K1746&lt;&gt;""),1,0))</f>
        <v/>
      </c>
      <c r="O1746">
        <f>IF($N1746=0,"",LEFT($E1746,4)&amp;MID($E1746,6,2)&amp;RIGHT($E1746,2)&amp;$F1746&amp;"|"&amp;"1"&amp;RIGHT("00000"&amp;1738,5))</f>
        <v/>
      </c>
      <c r="P1746">
        <f>IF($O1746="","",COUNTIFS(ExpSub,$K1746,ExpKey,"&lt;"&amp;$O1746)+1)</f>
        <v/>
      </c>
      <c r="Q1746">
        <f>IF($P1746="","",$K1746&amp;"|"&amp;RIGHT("000000"&amp;$P1746,6))</f>
        <v/>
      </c>
    </row>
    <row r="1747">
      <c r="A1747">
        <f>IF(Sync!$P1744="","",Sync!$P1744)</f>
        <v/>
      </c>
      <c r="B1747">
        <f>IF($A1747="","",IF(ISNUMBER($A1747),IF(AND($A1747&gt;=10000101,$A1747&lt;=99991231),INT($A1747/10000),""),IFERROR(VALUE(TRIM(LEFT($A1747,FIND("/",$A1747)-1))),"")))</f>
        <v/>
      </c>
      <c r="C1747">
        <f>IF(OR($A1747="",$B1747=""),"",IF(ISNUMBER($A1747),INT(MOD($A1747,10000)/100),IFERROR(VALUE(TRIM(LEFT(MID($A1747,FIND("/",$A1747)+1,20),FIND("/",MID($A1747,FIND("/",$A1747)+1,20))-1))),"")))</f>
        <v/>
      </c>
      <c r="D1747">
        <f>IF(OR($A1747="",$B1747=""),"",IF(ISNUMBER($A1747),MOD($A1747,100),IFERROR(VALUE(TRIM(MID(MID($A1747,FIND("/",$A1747)+1,20),FIND("/",MID($A1747,FIND("/",$A1747)+1,20))+1,20))),"")))</f>
        <v/>
      </c>
      <c r="E1747">
        <f>IF($A1747="","",IF(OR($B1747="",$C1747="",$D1747="",$B1747&lt;1300,$B1747&gt;1500,$C1747&lt;1,$C1747&gt;12,$D1747&lt;1,$D1747&gt;31),"نامعتبر",RIGHT("0000"&amp;$B1747,4)&amp;"/"&amp;RIGHT("00"&amp;$C1747,2)&amp;"/"&amp;RIGHT("00"&amp;$D1747,2)))</f>
        <v/>
      </c>
      <c r="F1747">
        <f>IF(OR($E1747="",$E1747="نامعتبر"),"",IF(Sync!$Q1744="","0000",IF(AND(ISNUMBER(Sync!$Q1744),Sync!$Q1744&gt;=0,Sync!$Q1744&lt;1),RIGHT("00"&amp;HOUR(Sync!$Q1744),2)&amp;RIGHT("00"&amp;MINUTE(Sync!$Q1744),2),IFERROR(RIGHT("00"&amp;VALUE(LEFT(Sync!$Q1744,FIND(":",Sync!$Q1744)-1)),2)&amp;RIGHT("00"&amp;VALUE(MID(Sync!$Q1744,FIND(":",Sync!$Q1744)+1,2)),2),"0000"))))</f>
        <v/>
      </c>
      <c r="G1747">
        <f>IF(OR($E1747="",$E1747="نامعتبر"),"",IF(Sync!$S1744="","",Sync!$S1744))</f>
        <v/>
      </c>
      <c r="H1747">
        <f>IF(OR($E1747="",$E1747="نامعتبر"),"",IF(Sync!$R1744="","",Sync!$R1744))</f>
        <v/>
      </c>
      <c r="I1747">
        <f>IF(OR($E1747="",$E1747="نامعتبر"),"",IF(Sync!$T1744="","",Sync!$T1744))</f>
        <v/>
      </c>
      <c r="J1747">
        <f>IF(OR($E1747="",$E1747="نامعتبر"),"",IF(Sync!$U1744="","",Sync!$U1744))</f>
        <v/>
      </c>
      <c r="K1747">
        <f>IF(OR($E1747="",$E1747="نامعتبر"),"",IF(Sync!$V1744="","",IFERROR(INDEX(SubCodes,MATCH(Sync!$V1744,SubTitles,0)),Sync!$V1744)))</f>
        <v/>
      </c>
      <c r="L1747">
        <f>IF(OR($E1747="",$E1747="نامعتبر"),"",IF(Sync!$W1744="",0,Sync!$W1744))</f>
        <v/>
      </c>
      <c r="M1747">
        <f>IF(OR($E1747="",$E1747="نامعتبر"),"",IF(Sync!$X1744="",0,Sync!$X1744))</f>
        <v/>
      </c>
      <c r="N1747">
        <f>IF(OR($E1747="",$E1747="نامعتبر"),"",IF(AND($J1747="هزینه",$K1747&lt;&gt;""),1,0))</f>
        <v/>
      </c>
      <c r="O1747">
        <f>IF($N1747=0,"",LEFT($E1747,4)&amp;MID($E1747,6,2)&amp;RIGHT($E1747,2)&amp;$F1747&amp;"|"&amp;"1"&amp;RIGHT("00000"&amp;1739,5))</f>
        <v/>
      </c>
      <c r="P1747">
        <f>IF($O1747="","",COUNTIFS(ExpSub,$K1747,ExpKey,"&lt;"&amp;$O1747)+1)</f>
        <v/>
      </c>
      <c r="Q1747">
        <f>IF($P1747="","",$K1747&amp;"|"&amp;RIGHT("000000"&amp;$P1747,6))</f>
        <v/>
      </c>
    </row>
    <row r="1748">
      <c r="A1748">
        <f>IF(Sync!$P1745="","",Sync!$P1745)</f>
        <v/>
      </c>
      <c r="B1748">
        <f>IF($A1748="","",IF(ISNUMBER($A1748),IF(AND($A1748&gt;=10000101,$A1748&lt;=99991231),INT($A1748/10000),""),IFERROR(VALUE(TRIM(LEFT($A1748,FIND("/",$A1748)-1))),"")))</f>
        <v/>
      </c>
      <c r="C1748">
        <f>IF(OR($A1748="",$B1748=""),"",IF(ISNUMBER($A1748),INT(MOD($A1748,10000)/100),IFERROR(VALUE(TRIM(LEFT(MID($A1748,FIND("/",$A1748)+1,20),FIND("/",MID($A1748,FIND("/",$A1748)+1,20))-1))),"")))</f>
        <v/>
      </c>
      <c r="D1748">
        <f>IF(OR($A1748="",$B1748=""),"",IF(ISNUMBER($A1748),MOD($A1748,100),IFERROR(VALUE(TRIM(MID(MID($A1748,FIND("/",$A1748)+1,20),FIND("/",MID($A1748,FIND("/",$A1748)+1,20))+1,20))),"")))</f>
        <v/>
      </c>
      <c r="E1748">
        <f>IF($A1748="","",IF(OR($B1748="",$C1748="",$D1748="",$B1748&lt;1300,$B1748&gt;1500,$C1748&lt;1,$C1748&gt;12,$D1748&lt;1,$D1748&gt;31),"نامعتبر",RIGHT("0000"&amp;$B1748,4)&amp;"/"&amp;RIGHT("00"&amp;$C1748,2)&amp;"/"&amp;RIGHT("00"&amp;$D1748,2)))</f>
        <v/>
      </c>
      <c r="F1748">
        <f>IF(OR($E1748="",$E1748="نامعتبر"),"",IF(Sync!$Q1745="","0000",IF(AND(ISNUMBER(Sync!$Q1745),Sync!$Q1745&gt;=0,Sync!$Q1745&lt;1),RIGHT("00"&amp;HOUR(Sync!$Q1745),2)&amp;RIGHT("00"&amp;MINUTE(Sync!$Q1745),2),IFERROR(RIGHT("00"&amp;VALUE(LEFT(Sync!$Q1745,FIND(":",Sync!$Q1745)-1)),2)&amp;RIGHT("00"&amp;VALUE(MID(Sync!$Q1745,FIND(":",Sync!$Q1745)+1,2)),2),"0000"))))</f>
        <v/>
      </c>
      <c r="G1748">
        <f>IF(OR($E1748="",$E1748="نامعتبر"),"",IF(Sync!$S1745="","",Sync!$S1745))</f>
        <v/>
      </c>
      <c r="H1748">
        <f>IF(OR($E1748="",$E1748="نامعتبر"),"",IF(Sync!$R1745="","",Sync!$R1745))</f>
        <v/>
      </c>
      <c r="I1748">
        <f>IF(OR($E1748="",$E1748="نامعتبر"),"",IF(Sync!$T1745="","",Sync!$T1745))</f>
        <v/>
      </c>
      <c r="J1748">
        <f>IF(OR($E1748="",$E1748="نامعتبر"),"",IF(Sync!$U1745="","",Sync!$U1745))</f>
        <v/>
      </c>
      <c r="K1748">
        <f>IF(OR($E1748="",$E1748="نامعتبر"),"",IF(Sync!$V1745="","",IFERROR(INDEX(SubCodes,MATCH(Sync!$V1745,SubTitles,0)),Sync!$V1745)))</f>
        <v/>
      </c>
      <c r="L1748">
        <f>IF(OR($E1748="",$E1748="نامعتبر"),"",IF(Sync!$W1745="",0,Sync!$W1745))</f>
        <v/>
      </c>
      <c r="M1748">
        <f>IF(OR($E1748="",$E1748="نامعتبر"),"",IF(Sync!$X1745="",0,Sync!$X1745))</f>
        <v/>
      </c>
      <c r="N1748">
        <f>IF(OR($E1748="",$E1748="نامعتبر"),"",IF(AND($J1748="هزینه",$K1748&lt;&gt;""),1,0))</f>
        <v/>
      </c>
      <c r="O1748">
        <f>IF($N1748=0,"",LEFT($E1748,4)&amp;MID($E1748,6,2)&amp;RIGHT($E1748,2)&amp;$F1748&amp;"|"&amp;"1"&amp;RIGHT("00000"&amp;1740,5))</f>
        <v/>
      </c>
      <c r="P1748">
        <f>IF($O1748="","",COUNTIFS(ExpSub,$K1748,ExpKey,"&lt;"&amp;$O1748)+1)</f>
        <v/>
      </c>
      <c r="Q1748">
        <f>IF($P1748="","",$K1748&amp;"|"&amp;RIGHT("000000"&amp;$P1748,6))</f>
        <v/>
      </c>
    </row>
    <row r="1749">
      <c r="A1749">
        <f>IF(Sync!$P1746="","",Sync!$P1746)</f>
        <v/>
      </c>
      <c r="B1749">
        <f>IF($A1749="","",IF(ISNUMBER($A1749),IF(AND($A1749&gt;=10000101,$A1749&lt;=99991231),INT($A1749/10000),""),IFERROR(VALUE(TRIM(LEFT($A1749,FIND("/",$A1749)-1))),"")))</f>
        <v/>
      </c>
      <c r="C1749">
        <f>IF(OR($A1749="",$B1749=""),"",IF(ISNUMBER($A1749),INT(MOD($A1749,10000)/100),IFERROR(VALUE(TRIM(LEFT(MID($A1749,FIND("/",$A1749)+1,20),FIND("/",MID($A1749,FIND("/",$A1749)+1,20))-1))),"")))</f>
        <v/>
      </c>
      <c r="D1749">
        <f>IF(OR($A1749="",$B1749=""),"",IF(ISNUMBER($A1749),MOD($A1749,100),IFERROR(VALUE(TRIM(MID(MID($A1749,FIND("/",$A1749)+1,20),FIND("/",MID($A1749,FIND("/",$A1749)+1,20))+1,20))),"")))</f>
        <v/>
      </c>
      <c r="E1749">
        <f>IF($A1749="","",IF(OR($B1749="",$C1749="",$D1749="",$B1749&lt;1300,$B1749&gt;1500,$C1749&lt;1,$C1749&gt;12,$D1749&lt;1,$D1749&gt;31),"نامعتبر",RIGHT("0000"&amp;$B1749,4)&amp;"/"&amp;RIGHT("00"&amp;$C1749,2)&amp;"/"&amp;RIGHT("00"&amp;$D1749,2)))</f>
        <v/>
      </c>
      <c r="F1749">
        <f>IF(OR($E1749="",$E1749="نامعتبر"),"",IF(Sync!$Q1746="","0000",IF(AND(ISNUMBER(Sync!$Q1746),Sync!$Q1746&gt;=0,Sync!$Q1746&lt;1),RIGHT("00"&amp;HOUR(Sync!$Q1746),2)&amp;RIGHT("00"&amp;MINUTE(Sync!$Q1746),2),IFERROR(RIGHT("00"&amp;VALUE(LEFT(Sync!$Q1746,FIND(":",Sync!$Q1746)-1)),2)&amp;RIGHT("00"&amp;VALUE(MID(Sync!$Q1746,FIND(":",Sync!$Q1746)+1,2)),2),"0000"))))</f>
        <v/>
      </c>
      <c r="G1749">
        <f>IF(OR($E1749="",$E1749="نامعتبر"),"",IF(Sync!$S1746="","",Sync!$S1746))</f>
        <v/>
      </c>
      <c r="H1749">
        <f>IF(OR($E1749="",$E1749="نامعتبر"),"",IF(Sync!$R1746="","",Sync!$R1746))</f>
        <v/>
      </c>
      <c r="I1749">
        <f>IF(OR($E1749="",$E1749="نامعتبر"),"",IF(Sync!$T1746="","",Sync!$T1746))</f>
        <v/>
      </c>
      <c r="J1749">
        <f>IF(OR($E1749="",$E1749="نامعتبر"),"",IF(Sync!$U1746="","",Sync!$U1746))</f>
        <v/>
      </c>
      <c r="K1749">
        <f>IF(OR($E1749="",$E1749="نامعتبر"),"",IF(Sync!$V1746="","",IFERROR(INDEX(SubCodes,MATCH(Sync!$V1746,SubTitles,0)),Sync!$V1746)))</f>
        <v/>
      </c>
      <c r="L1749">
        <f>IF(OR($E1749="",$E1749="نامعتبر"),"",IF(Sync!$W1746="",0,Sync!$W1746))</f>
        <v/>
      </c>
      <c r="M1749">
        <f>IF(OR($E1749="",$E1749="نامعتبر"),"",IF(Sync!$X1746="",0,Sync!$X1746))</f>
        <v/>
      </c>
      <c r="N1749">
        <f>IF(OR($E1749="",$E1749="نامعتبر"),"",IF(AND($J1749="هزینه",$K1749&lt;&gt;""),1,0))</f>
        <v/>
      </c>
      <c r="O1749">
        <f>IF($N1749=0,"",LEFT($E1749,4)&amp;MID($E1749,6,2)&amp;RIGHT($E1749,2)&amp;$F1749&amp;"|"&amp;"1"&amp;RIGHT("00000"&amp;1741,5))</f>
        <v/>
      </c>
      <c r="P1749">
        <f>IF($O1749="","",COUNTIFS(ExpSub,$K1749,ExpKey,"&lt;"&amp;$O1749)+1)</f>
        <v/>
      </c>
      <c r="Q1749">
        <f>IF($P1749="","",$K1749&amp;"|"&amp;RIGHT("000000"&amp;$P1749,6))</f>
        <v/>
      </c>
    </row>
    <row r="1750">
      <c r="A1750">
        <f>IF(Sync!$P1747="","",Sync!$P1747)</f>
        <v/>
      </c>
      <c r="B1750">
        <f>IF($A1750="","",IF(ISNUMBER($A1750),IF(AND($A1750&gt;=10000101,$A1750&lt;=99991231),INT($A1750/10000),""),IFERROR(VALUE(TRIM(LEFT($A1750,FIND("/",$A1750)-1))),"")))</f>
        <v/>
      </c>
      <c r="C1750">
        <f>IF(OR($A1750="",$B1750=""),"",IF(ISNUMBER($A1750),INT(MOD($A1750,10000)/100),IFERROR(VALUE(TRIM(LEFT(MID($A1750,FIND("/",$A1750)+1,20),FIND("/",MID($A1750,FIND("/",$A1750)+1,20))-1))),"")))</f>
        <v/>
      </c>
      <c r="D1750">
        <f>IF(OR($A1750="",$B1750=""),"",IF(ISNUMBER($A1750),MOD($A1750,100),IFERROR(VALUE(TRIM(MID(MID($A1750,FIND("/",$A1750)+1,20),FIND("/",MID($A1750,FIND("/",$A1750)+1,20))+1,20))),"")))</f>
        <v/>
      </c>
      <c r="E1750">
        <f>IF($A1750="","",IF(OR($B1750="",$C1750="",$D1750="",$B1750&lt;1300,$B1750&gt;1500,$C1750&lt;1,$C1750&gt;12,$D1750&lt;1,$D1750&gt;31),"نامعتبر",RIGHT("0000"&amp;$B1750,4)&amp;"/"&amp;RIGHT("00"&amp;$C1750,2)&amp;"/"&amp;RIGHT("00"&amp;$D1750,2)))</f>
        <v/>
      </c>
      <c r="F1750">
        <f>IF(OR($E1750="",$E1750="نامعتبر"),"",IF(Sync!$Q1747="","0000",IF(AND(ISNUMBER(Sync!$Q1747),Sync!$Q1747&gt;=0,Sync!$Q1747&lt;1),RIGHT("00"&amp;HOUR(Sync!$Q1747),2)&amp;RIGHT("00"&amp;MINUTE(Sync!$Q1747),2),IFERROR(RIGHT("00"&amp;VALUE(LEFT(Sync!$Q1747,FIND(":",Sync!$Q1747)-1)),2)&amp;RIGHT("00"&amp;VALUE(MID(Sync!$Q1747,FIND(":",Sync!$Q1747)+1,2)),2),"0000"))))</f>
        <v/>
      </c>
      <c r="G1750">
        <f>IF(OR($E1750="",$E1750="نامعتبر"),"",IF(Sync!$S1747="","",Sync!$S1747))</f>
        <v/>
      </c>
      <c r="H1750">
        <f>IF(OR($E1750="",$E1750="نامعتبر"),"",IF(Sync!$R1747="","",Sync!$R1747))</f>
        <v/>
      </c>
      <c r="I1750">
        <f>IF(OR($E1750="",$E1750="نامعتبر"),"",IF(Sync!$T1747="","",Sync!$T1747))</f>
        <v/>
      </c>
      <c r="J1750">
        <f>IF(OR($E1750="",$E1750="نامعتبر"),"",IF(Sync!$U1747="","",Sync!$U1747))</f>
        <v/>
      </c>
      <c r="K1750">
        <f>IF(OR($E1750="",$E1750="نامعتبر"),"",IF(Sync!$V1747="","",IFERROR(INDEX(SubCodes,MATCH(Sync!$V1747,SubTitles,0)),Sync!$V1747)))</f>
        <v/>
      </c>
      <c r="L1750">
        <f>IF(OR($E1750="",$E1750="نامعتبر"),"",IF(Sync!$W1747="",0,Sync!$W1747))</f>
        <v/>
      </c>
      <c r="M1750">
        <f>IF(OR($E1750="",$E1750="نامعتبر"),"",IF(Sync!$X1747="",0,Sync!$X1747))</f>
        <v/>
      </c>
      <c r="N1750">
        <f>IF(OR($E1750="",$E1750="نامعتبر"),"",IF(AND($J1750="هزینه",$K1750&lt;&gt;""),1,0))</f>
        <v/>
      </c>
      <c r="O1750">
        <f>IF($N1750=0,"",LEFT($E1750,4)&amp;MID($E1750,6,2)&amp;RIGHT($E1750,2)&amp;$F1750&amp;"|"&amp;"1"&amp;RIGHT("00000"&amp;1742,5))</f>
        <v/>
      </c>
      <c r="P1750">
        <f>IF($O1750="","",COUNTIFS(ExpSub,$K1750,ExpKey,"&lt;"&amp;$O1750)+1)</f>
        <v/>
      </c>
      <c r="Q1750">
        <f>IF($P1750="","",$K1750&amp;"|"&amp;RIGHT("000000"&amp;$P1750,6))</f>
        <v/>
      </c>
    </row>
    <row r="1751">
      <c r="A1751">
        <f>IF(Sync!$P1748="","",Sync!$P1748)</f>
        <v/>
      </c>
      <c r="B1751">
        <f>IF($A1751="","",IF(ISNUMBER($A1751),IF(AND($A1751&gt;=10000101,$A1751&lt;=99991231),INT($A1751/10000),""),IFERROR(VALUE(TRIM(LEFT($A1751,FIND("/",$A1751)-1))),"")))</f>
        <v/>
      </c>
      <c r="C1751">
        <f>IF(OR($A1751="",$B1751=""),"",IF(ISNUMBER($A1751),INT(MOD($A1751,10000)/100),IFERROR(VALUE(TRIM(LEFT(MID($A1751,FIND("/",$A1751)+1,20),FIND("/",MID($A1751,FIND("/",$A1751)+1,20))-1))),"")))</f>
        <v/>
      </c>
      <c r="D1751">
        <f>IF(OR($A1751="",$B1751=""),"",IF(ISNUMBER($A1751),MOD($A1751,100),IFERROR(VALUE(TRIM(MID(MID($A1751,FIND("/",$A1751)+1,20),FIND("/",MID($A1751,FIND("/",$A1751)+1,20))+1,20))),"")))</f>
        <v/>
      </c>
      <c r="E1751">
        <f>IF($A1751="","",IF(OR($B1751="",$C1751="",$D1751="",$B1751&lt;1300,$B1751&gt;1500,$C1751&lt;1,$C1751&gt;12,$D1751&lt;1,$D1751&gt;31),"نامعتبر",RIGHT("0000"&amp;$B1751,4)&amp;"/"&amp;RIGHT("00"&amp;$C1751,2)&amp;"/"&amp;RIGHT("00"&amp;$D1751,2)))</f>
        <v/>
      </c>
      <c r="F1751">
        <f>IF(OR($E1751="",$E1751="نامعتبر"),"",IF(Sync!$Q1748="","0000",IF(AND(ISNUMBER(Sync!$Q1748),Sync!$Q1748&gt;=0,Sync!$Q1748&lt;1),RIGHT("00"&amp;HOUR(Sync!$Q1748),2)&amp;RIGHT("00"&amp;MINUTE(Sync!$Q1748),2),IFERROR(RIGHT("00"&amp;VALUE(LEFT(Sync!$Q1748,FIND(":",Sync!$Q1748)-1)),2)&amp;RIGHT("00"&amp;VALUE(MID(Sync!$Q1748,FIND(":",Sync!$Q1748)+1,2)),2),"0000"))))</f>
        <v/>
      </c>
      <c r="G1751">
        <f>IF(OR($E1751="",$E1751="نامعتبر"),"",IF(Sync!$S1748="","",Sync!$S1748))</f>
        <v/>
      </c>
      <c r="H1751">
        <f>IF(OR($E1751="",$E1751="نامعتبر"),"",IF(Sync!$R1748="","",Sync!$R1748))</f>
        <v/>
      </c>
      <c r="I1751">
        <f>IF(OR($E1751="",$E1751="نامعتبر"),"",IF(Sync!$T1748="","",Sync!$T1748))</f>
        <v/>
      </c>
      <c r="J1751">
        <f>IF(OR($E1751="",$E1751="نامعتبر"),"",IF(Sync!$U1748="","",Sync!$U1748))</f>
        <v/>
      </c>
      <c r="K1751">
        <f>IF(OR($E1751="",$E1751="نامعتبر"),"",IF(Sync!$V1748="","",IFERROR(INDEX(SubCodes,MATCH(Sync!$V1748,SubTitles,0)),Sync!$V1748)))</f>
        <v/>
      </c>
      <c r="L1751">
        <f>IF(OR($E1751="",$E1751="نامعتبر"),"",IF(Sync!$W1748="",0,Sync!$W1748))</f>
        <v/>
      </c>
      <c r="M1751">
        <f>IF(OR($E1751="",$E1751="نامعتبر"),"",IF(Sync!$X1748="",0,Sync!$X1748))</f>
        <v/>
      </c>
      <c r="N1751">
        <f>IF(OR($E1751="",$E1751="نامعتبر"),"",IF(AND($J1751="هزینه",$K1751&lt;&gt;""),1,0))</f>
        <v/>
      </c>
      <c r="O1751">
        <f>IF($N1751=0,"",LEFT($E1751,4)&amp;MID($E1751,6,2)&amp;RIGHT($E1751,2)&amp;$F1751&amp;"|"&amp;"1"&amp;RIGHT("00000"&amp;1743,5))</f>
        <v/>
      </c>
      <c r="P1751">
        <f>IF($O1751="","",COUNTIFS(ExpSub,$K1751,ExpKey,"&lt;"&amp;$O1751)+1)</f>
        <v/>
      </c>
      <c r="Q1751">
        <f>IF($P1751="","",$K1751&amp;"|"&amp;RIGHT("000000"&amp;$P1751,6))</f>
        <v/>
      </c>
    </row>
    <row r="1752">
      <c r="A1752">
        <f>IF(Sync!$P1749="","",Sync!$P1749)</f>
        <v/>
      </c>
      <c r="B1752">
        <f>IF($A1752="","",IF(ISNUMBER($A1752),IF(AND($A1752&gt;=10000101,$A1752&lt;=99991231),INT($A1752/10000),""),IFERROR(VALUE(TRIM(LEFT($A1752,FIND("/",$A1752)-1))),"")))</f>
        <v/>
      </c>
      <c r="C1752">
        <f>IF(OR($A1752="",$B1752=""),"",IF(ISNUMBER($A1752),INT(MOD($A1752,10000)/100),IFERROR(VALUE(TRIM(LEFT(MID($A1752,FIND("/",$A1752)+1,20),FIND("/",MID($A1752,FIND("/",$A1752)+1,20))-1))),"")))</f>
        <v/>
      </c>
      <c r="D1752">
        <f>IF(OR($A1752="",$B1752=""),"",IF(ISNUMBER($A1752),MOD($A1752,100),IFERROR(VALUE(TRIM(MID(MID($A1752,FIND("/",$A1752)+1,20),FIND("/",MID($A1752,FIND("/",$A1752)+1,20))+1,20))),"")))</f>
        <v/>
      </c>
      <c r="E1752">
        <f>IF($A1752="","",IF(OR($B1752="",$C1752="",$D1752="",$B1752&lt;1300,$B1752&gt;1500,$C1752&lt;1,$C1752&gt;12,$D1752&lt;1,$D1752&gt;31),"نامعتبر",RIGHT("0000"&amp;$B1752,4)&amp;"/"&amp;RIGHT("00"&amp;$C1752,2)&amp;"/"&amp;RIGHT("00"&amp;$D1752,2)))</f>
        <v/>
      </c>
      <c r="F1752">
        <f>IF(OR($E1752="",$E1752="نامعتبر"),"",IF(Sync!$Q1749="","0000",IF(AND(ISNUMBER(Sync!$Q1749),Sync!$Q1749&gt;=0,Sync!$Q1749&lt;1),RIGHT("00"&amp;HOUR(Sync!$Q1749),2)&amp;RIGHT("00"&amp;MINUTE(Sync!$Q1749),2),IFERROR(RIGHT("00"&amp;VALUE(LEFT(Sync!$Q1749,FIND(":",Sync!$Q1749)-1)),2)&amp;RIGHT("00"&amp;VALUE(MID(Sync!$Q1749,FIND(":",Sync!$Q1749)+1,2)),2),"0000"))))</f>
        <v/>
      </c>
      <c r="G1752">
        <f>IF(OR($E1752="",$E1752="نامعتبر"),"",IF(Sync!$S1749="","",Sync!$S1749))</f>
        <v/>
      </c>
      <c r="H1752">
        <f>IF(OR($E1752="",$E1752="نامعتبر"),"",IF(Sync!$R1749="","",Sync!$R1749))</f>
        <v/>
      </c>
      <c r="I1752">
        <f>IF(OR($E1752="",$E1752="نامعتبر"),"",IF(Sync!$T1749="","",Sync!$T1749))</f>
        <v/>
      </c>
      <c r="J1752">
        <f>IF(OR($E1752="",$E1752="نامعتبر"),"",IF(Sync!$U1749="","",Sync!$U1749))</f>
        <v/>
      </c>
      <c r="K1752">
        <f>IF(OR($E1752="",$E1752="نامعتبر"),"",IF(Sync!$V1749="","",IFERROR(INDEX(SubCodes,MATCH(Sync!$V1749,SubTitles,0)),Sync!$V1749)))</f>
        <v/>
      </c>
      <c r="L1752">
        <f>IF(OR($E1752="",$E1752="نامعتبر"),"",IF(Sync!$W1749="",0,Sync!$W1749))</f>
        <v/>
      </c>
      <c r="M1752">
        <f>IF(OR($E1752="",$E1752="نامعتبر"),"",IF(Sync!$X1749="",0,Sync!$X1749))</f>
        <v/>
      </c>
      <c r="N1752">
        <f>IF(OR($E1752="",$E1752="نامعتبر"),"",IF(AND($J1752="هزینه",$K1752&lt;&gt;""),1,0))</f>
        <v/>
      </c>
      <c r="O1752">
        <f>IF($N1752=0,"",LEFT($E1752,4)&amp;MID($E1752,6,2)&amp;RIGHT($E1752,2)&amp;$F1752&amp;"|"&amp;"1"&amp;RIGHT("00000"&amp;1744,5))</f>
        <v/>
      </c>
      <c r="P1752">
        <f>IF($O1752="","",COUNTIFS(ExpSub,$K1752,ExpKey,"&lt;"&amp;$O1752)+1)</f>
        <v/>
      </c>
      <c r="Q1752">
        <f>IF($P1752="","",$K1752&amp;"|"&amp;RIGHT("000000"&amp;$P1752,6))</f>
        <v/>
      </c>
    </row>
    <row r="1753">
      <c r="A1753">
        <f>IF(Sync!$P1750="","",Sync!$P1750)</f>
        <v/>
      </c>
      <c r="B1753">
        <f>IF($A1753="","",IF(ISNUMBER($A1753),IF(AND($A1753&gt;=10000101,$A1753&lt;=99991231),INT($A1753/10000),""),IFERROR(VALUE(TRIM(LEFT($A1753,FIND("/",$A1753)-1))),"")))</f>
        <v/>
      </c>
      <c r="C1753">
        <f>IF(OR($A1753="",$B1753=""),"",IF(ISNUMBER($A1753),INT(MOD($A1753,10000)/100),IFERROR(VALUE(TRIM(LEFT(MID($A1753,FIND("/",$A1753)+1,20),FIND("/",MID($A1753,FIND("/",$A1753)+1,20))-1))),"")))</f>
        <v/>
      </c>
      <c r="D1753">
        <f>IF(OR($A1753="",$B1753=""),"",IF(ISNUMBER($A1753),MOD($A1753,100),IFERROR(VALUE(TRIM(MID(MID($A1753,FIND("/",$A1753)+1,20),FIND("/",MID($A1753,FIND("/",$A1753)+1,20))+1,20))),"")))</f>
        <v/>
      </c>
      <c r="E1753">
        <f>IF($A1753="","",IF(OR($B1753="",$C1753="",$D1753="",$B1753&lt;1300,$B1753&gt;1500,$C1753&lt;1,$C1753&gt;12,$D1753&lt;1,$D1753&gt;31),"نامعتبر",RIGHT("0000"&amp;$B1753,4)&amp;"/"&amp;RIGHT("00"&amp;$C1753,2)&amp;"/"&amp;RIGHT("00"&amp;$D1753,2)))</f>
        <v/>
      </c>
      <c r="F1753">
        <f>IF(OR($E1753="",$E1753="نامعتبر"),"",IF(Sync!$Q1750="","0000",IF(AND(ISNUMBER(Sync!$Q1750),Sync!$Q1750&gt;=0,Sync!$Q1750&lt;1),RIGHT("00"&amp;HOUR(Sync!$Q1750),2)&amp;RIGHT("00"&amp;MINUTE(Sync!$Q1750),2),IFERROR(RIGHT("00"&amp;VALUE(LEFT(Sync!$Q1750,FIND(":",Sync!$Q1750)-1)),2)&amp;RIGHT("00"&amp;VALUE(MID(Sync!$Q1750,FIND(":",Sync!$Q1750)+1,2)),2),"0000"))))</f>
        <v/>
      </c>
      <c r="G1753">
        <f>IF(OR($E1753="",$E1753="نامعتبر"),"",IF(Sync!$S1750="","",Sync!$S1750))</f>
        <v/>
      </c>
      <c r="H1753">
        <f>IF(OR($E1753="",$E1753="نامعتبر"),"",IF(Sync!$R1750="","",Sync!$R1750))</f>
        <v/>
      </c>
      <c r="I1753">
        <f>IF(OR($E1753="",$E1753="نامعتبر"),"",IF(Sync!$T1750="","",Sync!$T1750))</f>
        <v/>
      </c>
      <c r="J1753">
        <f>IF(OR($E1753="",$E1753="نامعتبر"),"",IF(Sync!$U1750="","",Sync!$U1750))</f>
        <v/>
      </c>
      <c r="K1753">
        <f>IF(OR($E1753="",$E1753="نامعتبر"),"",IF(Sync!$V1750="","",IFERROR(INDEX(SubCodes,MATCH(Sync!$V1750,SubTitles,0)),Sync!$V1750)))</f>
        <v/>
      </c>
      <c r="L1753">
        <f>IF(OR($E1753="",$E1753="نامعتبر"),"",IF(Sync!$W1750="",0,Sync!$W1750))</f>
        <v/>
      </c>
      <c r="M1753">
        <f>IF(OR($E1753="",$E1753="نامعتبر"),"",IF(Sync!$X1750="",0,Sync!$X1750))</f>
        <v/>
      </c>
      <c r="N1753">
        <f>IF(OR($E1753="",$E1753="نامعتبر"),"",IF(AND($J1753="هزینه",$K1753&lt;&gt;""),1,0))</f>
        <v/>
      </c>
      <c r="O1753">
        <f>IF($N1753=0,"",LEFT($E1753,4)&amp;MID($E1753,6,2)&amp;RIGHT($E1753,2)&amp;$F1753&amp;"|"&amp;"1"&amp;RIGHT("00000"&amp;1745,5))</f>
        <v/>
      </c>
      <c r="P1753">
        <f>IF($O1753="","",COUNTIFS(ExpSub,$K1753,ExpKey,"&lt;"&amp;$O1753)+1)</f>
        <v/>
      </c>
      <c r="Q1753">
        <f>IF($P1753="","",$K1753&amp;"|"&amp;RIGHT("000000"&amp;$P1753,6))</f>
        <v/>
      </c>
    </row>
    <row r="1754">
      <c r="A1754">
        <f>IF(Sync!$P1751="","",Sync!$P1751)</f>
        <v/>
      </c>
      <c r="B1754">
        <f>IF($A1754="","",IF(ISNUMBER($A1754),IF(AND($A1754&gt;=10000101,$A1754&lt;=99991231),INT($A1754/10000),""),IFERROR(VALUE(TRIM(LEFT($A1754,FIND("/",$A1754)-1))),"")))</f>
        <v/>
      </c>
      <c r="C1754">
        <f>IF(OR($A1754="",$B1754=""),"",IF(ISNUMBER($A1754),INT(MOD($A1754,10000)/100),IFERROR(VALUE(TRIM(LEFT(MID($A1754,FIND("/",$A1754)+1,20),FIND("/",MID($A1754,FIND("/",$A1754)+1,20))-1))),"")))</f>
        <v/>
      </c>
      <c r="D1754">
        <f>IF(OR($A1754="",$B1754=""),"",IF(ISNUMBER($A1754),MOD($A1754,100),IFERROR(VALUE(TRIM(MID(MID($A1754,FIND("/",$A1754)+1,20),FIND("/",MID($A1754,FIND("/",$A1754)+1,20))+1,20))),"")))</f>
        <v/>
      </c>
      <c r="E1754">
        <f>IF($A1754="","",IF(OR($B1754="",$C1754="",$D1754="",$B1754&lt;1300,$B1754&gt;1500,$C1754&lt;1,$C1754&gt;12,$D1754&lt;1,$D1754&gt;31),"نامعتبر",RIGHT("0000"&amp;$B1754,4)&amp;"/"&amp;RIGHT("00"&amp;$C1754,2)&amp;"/"&amp;RIGHT("00"&amp;$D1754,2)))</f>
        <v/>
      </c>
      <c r="F1754">
        <f>IF(OR($E1754="",$E1754="نامعتبر"),"",IF(Sync!$Q1751="","0000",IF(AND(ISNUMBER(Sync!$Q1751),Sync!$Q1751&gt;=0,Sync!$Q1751&lt;1),RIGHT("00"&amp;HOUR(Sync!$Q1751),2)&amp;RIGHT("00"&amp;MINUTE(Sync!$Q1751),2),IFERROR(RIGHT("00"&amp;VALUE(LEFT(Sync!$Q1751,FIND(":",Sync!$Q1751)-1)),2)&amp;RIGHT("00"&amp;VALUE(MID(Sync!$Q1751,FIND(":",Sync!$Q1751)+1,2)),2),"0000"))))</f>
        <v/>
      </c>
      <c r="G1754">
        <f>IF(OR($E1754="",$E1754="نامعتبر"),"",IF(Sync!$S1751="","",Sync!$S1751))</f>
        <v/>
      </c>
      <c r="H1754">
        <f>IF(OR($E1754="",$E1754="نامعتبر"),"",IF(Sync!$R1751="","",Sync!$R1751))</f>
        <v/>
      </c>
      <c r="I1754">
        <f>IF(OR($E1754="",$E1754="نامعتبر"),"",IF(Sync!$T1751="","",Sync!$T1751))</f>
        <v/>
      </c>
      <c r="J1754">
        <f>IF(OR($E1754="",$E1754="نامعتبر"),"",IF(Sync!$U1751="","",Sync!$U1751))</f>
        <v/>
      </c>
      <c r="K1754">
        <f>IF(OR($E1754="",$E1754="نامعتبر"),"",IF(Sync!$V1751="","",IFERROR(INDEX(SubCodes,MATCH(Sync!$V1751,SubTitles,0)),Sync!$V1751)))</f>
        <v/>
      </c>
      <c r="L1754">
        <f>IF(OR($E1754="",$E1754="نامعتبر"),"",IF(Sync!$W1751="",0,Sync!$W1751))</f>
        <v/>
      </c>
      <c r="M1754">
        <f>IF(OR($E1754="",$E1754="نامعتبر"),"",IF(Sync!$X1751="",0,Sync!$X1751))</f>
        <v/>
      </c>
      <c r="N1754">
        <f>IF(OR($E1754="",$E1754="نامعتبر"),"",IF(AND($J1754="هزینه",$K1754&lt;&gt;""),1,0))</f>
        <v/>
      </c>
      <c r="O1754">
        <f>IF($N1754=0,"",LEFT($E1754,4)&amp;MID($E1754,6,2)&amp;RIGHT($E1754,2)&amp;$F1754&amp;"|"&amp;"1"&amp;RIGHT("00000"&amp;1746,5))</f>
        <v/>
      </c>
      <c r="P1754">
        <f>IF($O1754="","",COUNTIFS(ExpSub,$K1754,ExpKey,"&lt;"&amp;$O1754)+1)</f>
        <v/>
      </c>
      <c r="Q1754">
        <f>IF($P1754="","",$K1754&amp;"|"&amp;RIGHT("000000"&amp;$P1754,6))</f>
        <v/>
      </c>
    </row>
    <row r="1755">
      <c r="A1755">
        <f>IF(Sync!$P1752="","",Sync!$P1752)</f>
        <v/>
      </c>
      <c r="B1755">
        <f>IF($A1755="","",IF(ISNUMBER($A1755),IF(AND($A1755&gt;=10000101,$A1755&lt;=99991231),INT($A1755/10000),""),IFERROR(VALUE(TRIM(LEFT($A1755,FIND("/",$A1755)-1))),"")))</f>
        <v/>
      </c>
      <c r="C1755">
        <f>IF(OR($A1755="",$B1755=""),"",IF(ISNUMBER($A1755),INT(MOD($A1755,10000)/100),IFERROR(VALUE(TRIM(LEFT(MID($A1755,FIND("/",$A1755)+1,20),FIND("/",MID($A1755,FIND("/",$A1755)+1,20))-1))),"")))</f>
        <v/>
      </c>
      <c r="D1755">
        <f>IF(OR($A1755="",$B1755=""),"",IF(ISNUMBER($A1755),MOD($A1755,100),IFERROR(VALUE(TRIM(MID(MID($A1755,FIND("/",$A1755)+1,20),FIND("/",MID($A1755,FIND("/",$A1755)+1,20))+1,20))),"")))</f>
        <v/>
      </c>
      <c r="E1755">
        <f>IF($A1755="","",IF(OR($B1755="",$C1755="",$D1755="",$B1755&lt;1300,$B1755&gt;1500,$C1755&lt;1,$C1755&gt;12,$D1755&lt;1,$D1755&gt;31),"نامعتبر",RIGHT("0000"&amp;$B1755,4)&amp;"/"&amp;RIGHT("00"&amp;$C1755,2)&amp;"/"&amp;RIGHT("00"&amp;$D1755,2)))</f>
        <v/>
      </c>
      <c r="F1755">
        <f>IF(OR($E1755="",$E1755="نامعتبر"),"",IF(Sync!$Q1752="","0000",IF(AND(ISNUMBER(Sync!$Q1752),Sync!$Q1752&gt;=0,Sync!$Q1752&lt;1),RIGHT("00"&amp;HOUR(Sync!$Q1752),2)&amp;RIGHT("00"&amp;MINUTE(Sync!$Q1752),2),IFERROR(RIGHT("00"&amp;VALUE(LEFT(Sync!$Q1752,FIND(":",Sync!$Q1752)-1)),2)&amp;RIGHT("00"&amp;VALUE(MID(Sync!$Q1752,FIND(":",Sync!$Q1752)+1,2)),2),"0000"))))</f>
        <v/>
      </c>
      <c r="G1755">
        <f>IF(OR($E1755="",$E1755="نامعتبر"),"",IF(Sync!$S1752="","",Sync!$S1752))</f>
        <v/>
      </c>
      <c r="H1755">
        <f>IF(OR($E1755="",$E1755="نامعتبر"),"",IF(Sync!$R1752="","",Sync!$R1752))</f>
        <v/>
      </c>
      <c r="I1755">
        <f>IF(OR($E1755="",$E1755="نامعتبر"),"",IF(Sync!$T1752="","",Sync!$T1752))</f>
        <v/>
      </c>
      <c r="J1755">
        <f>IF(OR($E1755="",$E1755="نامعتبر"),"",IF(Sync!$U1752="","",Sync!$U1752))</f>
        <v/>
      </c>
      <c r="K1755">
        <f>IF(OR($E1755="",$E1755="نامعتبر"),"",IF(Sync!$V1752="","",IFERROR(INDEX(SubCodes,MATCH(Sync!$V1752,SubTitles,0)),Sync!$V1752)))</f>
        <v/>
      </c>
      <c r="L1755">
        <f>IF(OR($E1755="",$E1755="نامعتبر"),"",IF(Sync!$W1752="",0,Sync!$W1752))</f>
        <v/>
      </c>
      <c r="M1755">
        <f>IF(OR($E1755="",$E1755="نامعتبر"),"",IF(Sync!$X1752="",0,Sync!$X1752))</f>
        <v/>
      </c>
      <c r="N1755">
        <f>IF(OR($E1755="",$E1755="نامعتبر"),"",IF(AND($J1755="هزینه",$K1755&lt;&gt;""),1,0))</f>
        <v/>
      </c>
      <c r="O1755">
        <f>IF($N1755=0,"",LEFT($E1755,4)&amp;MID($E1755,6,2)&amp;RIGHT($E1755,2)&amp;$F1755&amp;"|"&amp;"1"&amp;RIGHT("00000"&amp;1747,5))</f>
        <v/>
      </c>
      <c r="P1755">
        <f>IF($O1755="","",COUNTIFS(ExpSub,$K1755,ExpKey,"&lt;"&amp;$O1755)+1)</f>
        <v/>
      </c>
      <c r="Q1755">
        <f>IF($P1755="","",$K1755&amp;"|"&amp;RIGHT("000000"&amp;$P1755,6))</f>
        <v/>
      </c>
    </row>
    <row r="1756">
      <c r="A1756">
        <f>IF(Sync!$P1753="","",Sync!$P1753)</f>
        <v/>
      </c>
      <c r="B1756">
        <f>IF($A1756="","",IF(ISNUMBER($A1756),IF(AND($A1756&gt;=10000101,$A1756&lt;=99991231),INT($A1756/10000),""),IFERROR(VALUE(TRIM(LEFT($A1756,FIND("/",$A1756)-1))),"")))</f>
        <v/>
      </c>
      <c r="C1756">
        <f>IF(OR($A1756="",$B1756=""),"",IF(ISNUMBER($A1756),INT(MOD($A1756,10000)/100),IFERROR(VALUE(TRIM(LEFT(MID($A1756,FIND("/",$A1756)+1,20),FIND("/",MID($A1756,FIND("/",$A1756)+1,20))-1))),"")))</f>
        <v/>
      </c>
      <c r="D1756">
        <f>IF(OR($A1756="",$B1756=""),"",IF(ISNUMBER($A1756),MOD($A1756,100),IFERROR(VALUE(TRIM(MID(MID($A1756,FIND("/",$A1756)+1,20),FIND("/",MID($A1756,FIND("/",$A1756)+1,20))+1,20))),"")))</f>
        <v/>
      </c>
      <c r="E1756">
        <f>IF($A1756="","",IF(OR($B1756="",$C1756="",$D1756="",$B1756&lt;1300,$B1756&gt;1500,$C1756&lt;1,$C1756&gt;12,$D1756&lt;1,$D1756&gt;31),"نامعتبر",RIGHT("0000"&amp;$B1756,4)&amp;"/"&amp;RIGHT("00"&amp;$C1756,2)&amp;"/"&amp;RIGHT("00"&amp;$D1756,2)))</f>
        <v/>
      </c>
      <c r="F1756">
        <f>IF(OR($E1756="",$E1756="نامعتبر"),"",IF(Sync!$Q1753="","0000",IF(AND(ISNUMBER(Sync!$Q1753),Sync!$Q1753&gt;=0,Sync!$Q1753&lt;1),RIGHT("00"&amp;HOUR(Sync!$Q1753),2)&amp;RIGHT("00"&amp;MINUTE(Sync!$Q1753),2),IFERROR(RIGHT("00"&amp;VALUE(LEFT(Sync!$Q1753,FIND(":",Sync!$Q1753)-1)),2)&amp;RIGHT("00"&amp;VALUE(MID(Sync!$Q1753,FIND(":",Sync!$Q1753)+1,2)),2),"0000"))))</f>
        <v/>
      </c>
      <c r="G1756">
        <f>IF(OR($E1756="",$E1756="نامعتبر"),"",IF(Sync!$S1753="","",Sync!$S1753))</f>
        <v/>
      </c>
      <c r="H1756">
        <f>IF(OR($E1756="",$E1756="نامعتبر"),"",IF(Sync!$R1753="","",Sync!$R1753))</f>
        <v/>
      </c>
      <c r="I1756">
        <f>IF(OR($E1756="",$E1756="نامعتبر"),"",IF(Sync!$T1753="","",Sync!$T1753))</f>
        <v/>
      </c>
      <c r="J1756">
        <f>IF(OR($E1756="",$E1756="نامعتبر"),"",IF(Sync!$U1753="","",Sync!$U1753))</f>
        <v/>
      </c>
      <c r="K1756">
        <f>IF(OR($E1756="",$E1756="نامعتبر"),"",IF(Sync!$V1753="","",IFERROR(INDEX(SubCodes,MATCH(Sync!$V1753,SubTitles,0)),Sync!$V1753)))</f>
        <v/>
      </c>
      <c r="L1756">
        <f>IF(OR($E1756="",$E1756="نامعتبر"),"",IF(Sync!$W1753="",0,Sync!$W1753))</f>
        <v/>
      </c>
      <c r="M1756">
        <f>IF(OR($E1756="",$E1756="نامعتبر"),"",IF(Sync!$X1753="",0,Sync!$X1753))</f>
        <v/>
      </c>
      <c r="N1756">
        <f>IF(OR($E1756="",$E1756="نامعتبر"),"",IF(AND($J1756="هزینه",$K1756&lt;&gt;""),1,0))</f>
        <v/>
      </c>
      <c r="O1756">
        <f>IF($N1756=0,"",LEFT($E1756,4)&amp;MID($E1756,6,2)&amp;RIGHT($E1756,2)&amp;$F1756&amp;"|"&amp;"1"&amp;RIGHT("00000"&amp;1748,5))</f>
        <v/>
      </c>
      <c r="P1756">
        <f>IF($O1756="","",COUNTIFS(ExpSub,$K1756,ExpKey,"&lt;"&amp;$O1756)+1)</f>
        <v/>
      </c>
      <c r="Q1756">
        <f>IF($P1756="","",$K1756&amp;"|"&amp;RIGHT("000000"&amp;$P1756,6))</f>
        <v/>
      </c>
    </row>
    <row r="1757">
      <c r="A1757">
        <f>IF(Sync!$P1754="","",Sync!$P1754)</f>
        <v/>
      </c>
      <c r="B1757">
        <f>IF($A1757="","",IF(ISNUMBER($A1757),IF(AND($A1757&gt;=10000101,$A1757&lt;=99991231),INT($A1757/10000),""),IFERROR(VALUE(TRIM(LEFT($A1757,FIND("/",$A1757)-1))),"")))</f>
        <v/>
      </c>
      <c r="C1757">
        <f>IF(OR($A1757="",$B1757=""),"",IF(ISNUMBER($A1757),INT(MOD($A1757,10000)/100),IFERROR(VALUE(TRIM(LEFT(MID($A1757,FIND("/",$A1757)+1,20),FIND("/",MID($A1757,FIND("/",$A1757)+1,20))-1))),"")))</f>
        <v/>
      </c>
      <c r="D1757">
        <f>IF(OR($A1757="",$B1757=""),"",IF(ISNUMBER($A1757),MOD($A1757,100),IFERROR(VALUE(TRIM(MID(MID($A1757,FIND("/",$A1757)+1,20),FIND("/",MID($A1757,FIND("/",$A1757)+1,20))+1,20))),"")))</f>
        <v/>
      </c>
      <c r="E1757">
        <f>IF($A1757="","",IF(OR($B1757="",$C1757="",$D1757="",$B1757&lt;1300,$B1757&gt;1500,$C1757&lt;1,$C1757&gt;12,$D1757&lt;1,$D1757&gt;31),"نامعتبر",RIGHT("0000"&amp;$B1757,4)&amp;"/"&amp;RIGHT("00"&amp;$C1757,2)&amp;"/"&amp;RIGHT("00"&amp;$D1757,2)))</f>
        <v/>
      </c>
      <c r="F1757">
        <f>IF(OR($E1757="",$E1757="نامعتبر"),"",IF(Sync!$Q1754="","0000",IF(AND(ISNUMBER(Sync!$Q1754),Sync!$Q1754&gt;=0,Sync!$Q1754&lt;1),RIGHT("00"&amp;HOUR(Sync!$Q1754),2)&amp;RIGHT("00"&amp;MINUTE(Sync!$Q1754),2),IFERROR(RIGHT("00"&amp;VALUE(LEFT(Sync!$Q1754,FIND(":",Sync!$Q1754)-1)),2)&amp;RIGHT("00"&amp;VALUE(MID(Sync!$Q1754,FIND(":",Sync!$Q1754)+1,2)),2),"0000"))))</f>
        <v/>
      </c>
      <c r="G1757">
        <f>IF(OR($E1757="",$E1757="نامعتبر"),"",IF(Sync!$S1754="","",Sync!$S1754))</f>
        <v/>
      </c>
      <c r="H1757">
        <f>IF(OR($E1757="",$E1757="نامعتبر"),"",IF(Sync!$R1754="","",Sync!$R1754))</f>
        <v/>
      </c>
      <c r="I1757">
        <f>IF(OR($E1757="",$E1757="نامعتبر"),"",IF(Sync!$T1754="","",Sync!$T1754))</f>
        <v/>
      </c>
      <c r="J1757">
        <f>IF(OR($E1757="",$E1757="نامعتبر"),"",IF(Sync!$U1754="","",Sync!$U1754))</f>
        <v/>
      </c>
      <c r="K1757">
        <f>IF(OR($E1757="",$E1757="نامعتبر"),"",IF(Sync!$V1754="","",IFERROR(INDEX(SubCodes,MATCH(Sync!$V1754,SubTitles,0)),Sync!$V1754)))</f>
        <v/>
      </c>
      <c r="L1757">
        <f>IF(OR($E1757="",$E1757="نامعتبر"),"",IF(Sync!$W1754="",0,Sync!$W1754))</f>
        <v/>
      </c>
      <c r="M1757">
        <f>IF(OR($E1757="",$E1757="نامعتبر"),"",IF(Sync!$X1754="",0,Sync!$X1754))</f>
        <v/>
      </c>
      <c r="N1757">
        <f>IF(OR($E1757="",$E1757="نامعتبر"),"",IF(AND($J1757="هزینه",$K1757&lt;&gt;""),1,0))</f>
        <v/>
      </c>
      <c r="O1757">
        <f>IF($N1757=0,"",LEFT($E1757,4)&amp;MID($E1757,6,2)&amp;RIGHT($E1757,2)&amp;$F1757&amp;"|"&amp;"1"&amp;RIGHT("00000"&amp;1749,5))</f>
        <v/>
      </c>
      <c r="P1757">
        <f>IF($O1757="","",COUNTIFS(ExpSub,$K1757,ExpKey,"&lt;"&amp;$O1757)+1)</f>
        <v/>
      </c>
      <c r="Q1757">
        <f>IF($P1757="","",$K1757&amp;"|"&amp;RIGHT("000000"&amp;$P1757,6))</f>
        <v/>
      </c>
    </row>
    <row r="1758">
      <c r="A1758">
        <f>IF(Sync!$P1755="","",Sync!$P1755)</f>
        <v/>
      </c>
      <c r="B1758">
        <f>IF($A1758="","",IF(ISNUMBER($A1758),IF(AND($A1758&gt;=10000101,$A1758&lt;=99991231),INT($A1758/10000),""),IFERROR(VALUE(TRIM(LEFT($A1758,FIND("/",$A1758)-1))),"")))</f>
        <v/>
      </c>
      <c r="C1758">
        <f>IF(OR($A1758="",$B1758=""),"",IF(ISNUMBER($A1758),INT(MOD($A1758,10000)/100),IFERROR(VALUE(TRIM(LEFT(MID($A1758,FIND("/",$A1758)+1,20),FIND("/",MID($A1758,FIND("/",$A1758)+1,20))-1))),"")))</f>
        <v/>
      </c>
      <c r="D1758">
        <f>IF(OR($A1758="",$B1758=""),"",IF(ISNUMBER($A1758),MOD($A1758,100),IFERROR(VALUE(TRIM(MID(MID($A1758,FIND("/",$A1758)+1,20),FIND("/",MID($A1758,FIND("/",$A1758)+1,20))+1,20))),"")))</f>
        <v/>
      </c>
      <c r="E1758">
        <f>IF($A1758="","",IF(OR($B1758="",$C1758="",$D1758="",$B1758&lt;1300,$B1758&gt;1500,$C1758&lt;1,$C1758&gt;12,$D1758&lt;1,$D1758&gt;31),"نامعتبر",RIGHT("0000"&amp;$B1758,4)&amp;"/"&amp;RIGHT("00"&amp;$C1758,2)&amp;"/"&amp;RIGHT("00"&amp;$D1758,2)))</f>
        <v/>
      </c>
      <c r="F1758">
        <f>IF(OR($E1758="",$E1758="نامعتبر"),"",IF(Sync!$Q1755="","0000",IF(AND(ISNUMBER(Sync!$Q1755),Sync!$Q1755&gt;=0,Sync!$Q1755&lt;1),RIGHT("00"&amp;HOUR(Sync!$Q1755),2)&amp;RIGHT("00"&amp;MINUTE(Sync!$Q1755),2),IFERROR(RIGHT("00"&amp;VALUE(LEFT(Sync!$Q1755,FIND(":",Sync!$Q1755)-1)),2)&amp;RIGHT("00"&amp;VALUE(MID(Sync!$Q1755,FIND(":",Sync!$Q1755)+1,2)),2),"0000"))))</f>
        <v/>
      </c>
      <c r="G1758">
        <f>IF(OR($E1758="",$E1758="نامعتبر"),"",IF(Sync!$S1755="","",Sync!$S1755))</f>
        <v/>
      </c>
      <c r="H1758">
        <f>IF(OR($E1758="",$E1758="نامعتبر"),"",IF(Sync!$R1755="","",Sync!$R1755))</f>
        <v/>
      </c>
      <c r="I1758">
        <f>IF(OR($E1758="",$E1758="نامعتبر"),"",IF(Sync!$T1755="","",Sync!$T1755))</f>
        <v/>
      </c>
      <c r="J1758">
        <f>IF(OR($E1758="",$E1758="نامعتبر"),"",IF(Sync!$U1755="","",Sync!$U1755))</f>
        <v/>
      </c>
      <c r="K1758">
        <f>IF(OR($E1758="",$E1758="نامعتبر"),"",IF(Sync!$V1755="","",IFERROR(INDEX(SubCodes,MATCH(Sync!$V1755,SubTitles,0)),Sync!$V1755)))</f>
        <v/>
      </c>
      <c r="L1758">
        <f>IF(OR($E1758="",$E1758="نامعتبر"),"",IF(Sync!$W1755="",0,Sync!$W1755))</f>
        <v/>
      </c>
      <c r="M1758">
        <f>IF(OR($E1758="",$E1758="نامعتبر"),"",IF(Sync!$X1755="",0,Sync!$X1755))</f>
        <v/>
      </c>
      <c r="N1758">
        <f>IF(OR($E1758="",$E1758="نامعتبر"),"",IF(AND($J1758="هزینه",$K1758&lt;&gt;""),1,0))</f>
        <v/>
      </c>
      <c r="O1758">
        <f>IF($N1758=0,"",LEFT($E1758,4)&amp;MID($E1758,6,2)&amp;RIGHT($E1758,2)&amp;$F1758&amp;"|"&amp;"1"&amp;RIGHT("00000"&amp;1750,5))</f>
        <v/>
      </c>
      <c r="P1758">
        <f>IF($O1758="","",COUNTIFS(ExpSub,$K1758,ExpKey,"&lt;"&amp;$O1758)+1)</f>
        <v/>
      </c>
      <c r="Q1758">
        <f>IF($P1758="","",$K1758&amp;"|"&amp;RIGHT("000000"&amp;$P1758,6))</f>
        <v/>
      </c>
    </row>
    <row r="1759">
      <c r="A1759">
        <f>IF(Sync!$P1756="","",Sync!$P1756)</f>
        <v/>
      </c>
      <c r="B1759">
        <f>IF($A1759="","",IF(ISNUMBER($A1759),IF(AND($A1759&gt;=10000101,$A1759&lt;=99991231),INT($A1759/10000),""),IFERROR(VALUE(TRIM(LEFT($A1759,FIND("/",$A1759)-1))),"")))</f>
        <v/>
      </c>
      <c r="C1759">
        <f>IF(OR($A1759="",$B1759=""),"",IF(ISNUMBER($A1759),INT(MOD($A1759,10000)/100),IFERROR(VALUE(TRIM(LEFT(MID($A1759,FIND("/",$A1759)+1,20),FIND("/",MID($A1759,FIND("/",$A1759)+1,20))-1))),"")))</f>
        <v/>
      </c>
      <c r="D1759">
        <f>IF(OR($A1759="",$B1759=""),"",IF(ISNUMBER($A1759),MOD($A1759,100),IFERROR(VALUE(TRIM(MID(MID($A1759,FIND("/",$A1759)+1,20),FIND("/",MID($A1759,FIND("/",$A1759)+1,20))+1,20))),"")))</f>
        <v/>
      </c>
      <c r="E1759">
        <f>IF($A1759="","",IF(OR($B1759="",$C1759="",$D1759="",$B1759&lt;1300,$B1759&gt;1500,$C1759&lt;1,$C1759&gt;12,$D1759&lt;1,$D1759&gt;31),"نامعتبر",RIGHT("0000"&amp;$B1759,4)&amp;"/"&amp;RIGHT("00"&amp;$C1759,2)&amp;"/"&amp;RIGHT("00"&amp;$D1759,2)))</f>
        <v/>
      </c>
      <c r="F1759">
        <f>IF(OR($E1759="",$E1759="نامعتبر"),"",IF(Sync!$Q1756="","0000",IF(AND(ISNUMBER(Sync!$Q1756),Sync!$Q1756&gt;=0,Sync!$Q1756&lt;1),RIGHT("00"&amp;HOUR(Sync!$Q1756),2)&amp;RIGHT("00"&amp;MINUTE(Sync!$Q1756),2),IFERROR(RIGHT("00"&amp;VALUE(LEFT(Sync!$Q1756,FIND(":",Sync!$Q1756)-1)),2)&amp;RIGHT("00"&amp;VALUE(MID(Sync!$Q1756,FIND(":",Sync!$Q1756)+1,2)),2),"0000"))))</f>
        <v/>
      </c>
      <c r="G1759">
        <f>IF(OR($E1759="",$E1759="نامعتبر"),"",IF(Sync!$S1756="","",Sync!$S1756))</f>
        <v/>
      </c>
      <c r="H1759">
        <f>IF(OR($E1759="",$E1759="نامعتبر"),"",IF(Sync!$R1756="","",Sync!$R1756))</f>
        <v/>
      </c>
      <c r="I1759">
        <f>IF(OR($E1759="",$E1759="نامعتبر"),"",IF(Sync!$T1756="","",Sync!$T1756))</f>
        <v/>
      </c>
      <c r="J1759">
        <f>IF(OR($E1759="",$E1759="نامعتبر"),"",IF(Sync!$U1756="","",Sync!$U1756))</f>
        <v/>
      </c>
      <c r="K1759">
        <f>IF(OR($E1759="",$E1759="نامعتبر"),"",IF(Sync!$V1756="","",IFERROR(INDEX(SubCodes,MATCH(Sync!$V1756,SubTitles,0)),Sync!$V1756)))</f>
        <v/>
      </c>
      <c r="L1759">
        <f>IF(OR($E1759="",$E1759="نامعتبر"),"",IF(Sync!$W1756="",0,Sync!$W1756))</f>
        <v/>
      </c>
      <c r="M1759">
        <f>IF(OR($E1759="",$E1759="نامعتبر"),"",IF(Sync!$X1756="",0,Sync!$X1756))</f>
        <v/>
      </c>
      <c r="N1759">
        <f>IF(OR($E1759="",$E1759="نامعتبر"),"",IF(AND($J1759="هزینه",$K1759&lt;&gt;""),1,0))</f>
        <v/>
      </c>
      <c r="O1759">
        <f>IF($N1759=0,"",LEFT($E1759,4)&amp;MID($E1759,6,2)&amp;RIGHT($E1759,2)&amp;$F1759&amp;"|"&amp;"1"&amp;RIGHT("00000"&amp;1751,5))</f>
        <v/>
      </c>
      <c r="P1759">
        <f>IF($O1759="","",COUNTIFS(ExpSub,$K1759,ExpKey,"&lt;"&amp;$O1759)+1)</f>
        <v/>
      </c>
      <c r="Q1759">
        <f>IF($P1759="","",$K1759&amp;"|"&amp;RIGHT("000000"&amp;$P1759,6))</f>
        <v/>
      </c>
    </row>
    <row r="1760">
      <c r="A1760">
        <f>IF(Sync!$P1757="","",Sync!$P1757)</f>
        <v/>
      </c>
      <c r="B1760">
        <f>IF($A1760="","",IF(ISNUMBER($A1760),IF(AND($A1760&gt;=10000101,$A1760&lt;=99991231),INT($A1760/10000),""),IFERROR(VALUE(TRIM(LEFT($A1760,FIND("/",$A1760)-1))),"")))</f>
        <v/>
      </c>
      <c r="C1760">
        <f>IF(OR($A1760="",$B1760=""),"",IF(ISNUMBER($A1760),INT(MOD($A1760,10000)/100),IFERROR(VALUE(TRIM(LEFT(MID($A1760,FIND("/",$A1760)+1,20),FIND("/",MID($A1760,FIND("/",$A1760)+1,20))-1))),"")))</f>
        <v/>
      </c>
      <c r="D1760">
        <f>IF(OR($A1760="",$B1760=""),"",IF(ISNUMBER($A1760),MOD($A1760,100),IFERROR(VALUE(TRIM(MID(MID($A1760,FIND("/",$A1760)+1,20),FIND("/",MID($A1760,FIND("/",$A1760)+1,20))+1,20))),"")))</f>
        <v/>
      </c>
      <c r="E1760">
        <f>IF($A1760="","",IF(OR($B1760="",$C1760="",$D1760="",$B1760&lt;1300,$B1760&gt;1500,$C1760&lt;1,$C1760&gt;12,$D1760&lt;1,$D1760&gt;31),"نامعتبر",RIGHT("0000"&amp;$B1760,4)&amp;"/"&amp;RIGHT("00"&amp;$C1760,2)&amp;"/"&amp;RIGHT("00"&amp;$D1760,2)))</f>
        <v/>
      </c>
      <c r="F1760">
        <f>IF(OR($E1760="",$E1760="نامعتبر"),"",IF(Sync!$Q1757="","0000",IF(AND(ISNUMBER(Sync!$Q1757),Sync!$Q1757&gt;=0,Sync!$Q1757&lt;1),RIGHT("00"&amp;HOUR(Sync!$Q1757),2)&amp;RIGHT("00"&amp;MINUTE(Sync!$Q1757),2),IFERROR(RIGHT("00"&amp;VALUE(LEFT(Sync!$Q1757,FIND(":",Sync!$Q1757)-1)),2)&amp;RIGHT("00"&amp;VALUE(MID(Sync!$Q1757,FIND(":",Sync!$Q1757)+1,2)),2),"0000"))))</f>
        <v/>
      </c>
      <c r="G1760">
        <f>IF(OR($E1760="",$E1760="نامعتبر"),"",IF(Sync!$S1757="","",Sync!$S1757))</f>
        <v/>
      </c>
      <c r="H1760">
        <f>IF(OR($E1760="",$E1760="نامعتبر"),"",IF(Sync!$R1757="","",Sync!$R1757))</f>
        <v/>
      </c>
      <c r="I1760">
        <f>IF(OR($E1760="",$E1760="نامعتبر"),"",IF(Sync!$T1757="","",Sync!$T1757))</f>
        <v/>
      </c>
      <c r="J1760">
        <f>IF(OR($E1760="",$E1760="نامعتبر"),"",IF(Sync!$U1757="","",Sync!$U1757))</f>
        <v/>
      </c>
      <c r="K1760">
        <f>IF(OR($E1760="",$E1760="نامعتبر"),"",IF(Sync!$V1757="","",IFERROR(INDEX(SubCodes,MATCH(Sync!$V1757,SubTitles,0)),Sync!$V1757)))</f>
        <v/>
      </c>
      <c r="L1760">
        <f>IF(OR($E1760="",$E1760="نامعتبر"),"",IF(Sync!$W1757="",0,Sync!$W1757))</f>
        <v/>
      </c>
      <c r="M1760">
        <f>IF(OR($E1760="",$E1760="نامعتبر"),"",IF(Sync!$X1757="",0,Sync!$X1757))</f>
        <v/>
      </c>
      <c r="N1760">
        <f>IF(OR($E1760="",$E1760="نامعتبر"),"",IF(AND($J1760="هزینه",$K1760&lt;&gt;""),1,0))</f>
        <v/>
      </c>
      <c r="O1760">
        <f>IF($N1760=0,"",LEFT($E1760,4)&amp;MID($E1760,6,2)&amp;RIGHT($E1760,2)&amp;$F1760&amp;"|"&amp;"1"&amp;RIGHT("00000"&amp;1752,5))</f>
        <v/>
      </c>
      <c r="P1760">
        <f>IF($O1760="","",COUNTIFS(ExpSub,$K1760,ExpKey,"&lt;"&amp;$O1760)+1)</f>
        <v/>
      </c>
      <c r="Q1760">
        <f>IF($P1760="","",$K1760&amp;"|"&amp;RIGHT("000000"&amp;$P1760,6))</f>
        <v/>
      </c>
    </row>
    <row r="1761">
      <c r="A1761">
        <f>IF(Sync!$P1758="","",Sync!$P1758)</f>
        <v/>
      </c>
      <c r="B1761">
        <f>IF($A1761="","",IF(ISNUMBER($A1761),IF(AND($A1761&gt;=10000101,$A1761&lt;=99991231),INT($A1761/10000),""),IFERROR(VALUE(TRIM(LEFT($A1761,FIND("/",$A1761)-1))),"")))</f>
        <v/>
      </c>
      <c r="C1761">
        <f>IF(OR($A1761="",$B1761=""),"",IF(ISNUMBER($A1761),INT(MOD($A1761,10000)/100),IFERROR(VALUE(TRIM(LEFT(MID($A1761,FIND("/",$A1761)+1,20),FIND("/",MID($A1761,FIND("/",$A1761)+1,20))-1))),"")))</f>
        <v/>
      </c>
      <c r="D1761">
        <f>IF(OR($A1761="",$B1761=""),"",IF(ISNUMBER($A1761),MOD($A1761,100),IFERROR(VALUE(TRIM(MID(MID($A1761,FIND("/",$A1761)+1,20),FIND("/",MID($A1761,FIND("/",$A1761)+1,20))+1,20))),"")))</f>
        <v/>
      </c>
      <c r="E1761">
        <f>IF($A1761="","",IF(OR($B1761="",$C1761="",$D1761="",$B1761&lt;1300,$B1761&gt;1500,$C1761&lt;1,$C1761&gt;12,$D1761&lt;1,$D1761&gt;31),"نامعتبر",RIGHT("0000"&amp;$B1761,4)&amp;"/"&amp;RIGHT("00"&amp;$C1761,2)&amp;"/"&amp;RIGHT("00"&amp;$D1761,2)))</f>
        <v/>
      </c>
      <c r="F1761">
        <f>IF(OR($E1761="",$E1761="نامعتبر"),"",IF(Sync!$Q1758="","0000",IF(AND(ISNUMBER(Sync!$Q1758),Sync!$Q1758&gt;=0,Sync!$Q1758&lt;1),RIGHT("00"&amp;HOUR(Sync!$Q1758),2)&amp;RIGHT("00"&amp;MINUTE(Sync!$Q1758),2),IFERROR(RIGHT("00"&amp;VALUE(LEFT(Sync!$Q1758,FIND(":",Sync!$Q1758)-1)),2)&amp;RIGHT("00"&amp;VALUE(MID(Sync!$Q1758,FIND(":",Sync!$Q1758)+1,2)),2),"0000"))))</f>
        <v/>
      </c>
      <c r="G1761">
        <f>IF(OR($E1761="",$E1761="نامعتبر"),"",IF(Sync!$S1758="","",Sync!$S1758))</f>
        <v/>
      </c>
      <c r="H1761">
        <f>IF(OR($E1761="",$E1761="نامعتبر"),"",IF(Sync!$R1758="","",Sync!$R1758))</f>
        <v/>
      </c>
      <c r="I1761">
        <f>IF(OR($E1761="",$E1761="نامعتبر"),"",IF(Sync!$T1758="","",Sync!$T1758))</f>
        <v/>
      </c>
      <c r="J1761">
        <f>IF(OR($E1761="",$E1761="نامعتبر"),"",IF(Sync!$U1758="","",Sync!$U1758))</f>
        <v/>
      </c>
      <c r="K1761">
        <f>IF(OR($E1761="",$E1761="نامعتبر"),"",IF(Sync!$V1758="","",IFERROR(INDEX(SubCodes,MATCH(Sync!$V1758,SubTitles,0)),Sync!$V1758)))</f>
        <v/>
      </c>
      <c r="L1761">
        <f>IF(OR($E1761="",$E1761="نامعتبر"),"",IF(Sync!$W1758="",0,Sync!$W1758))</f>
        <v/>
      </c>
      <c r="M1761">
        <f>IF(OR($E1761="",$E1761="نامعتبر"),"",IF(Sync!$X1758="",0,Sync!$X1758))</f>
        <v/>
      </c>
      <c r="N1761">
        <f>IF(OR($E1761="",$E1761="نامعتبر"),"",IF(AND($J1761="هزینه",$K1761&lt;&gt;""),1,0))</f>
        <v/>
      </c>
      <c r="O1761">
        <f>IF($N1761=0,"",LEFT($E1761,4)&amp;MID($E1761,6,2)&amp;RIGHT($E1761,2)&amp;$F1761&amp;"|"&amp;"1"&amp;RIGHT("00000"&amp;1753,5))</f>
        <v/>
      </c>
      <c r="P1761">
        <f>IF($O1761="","",COUNTIFS(ExpSub,$K1761,ExpKey,"&lt;"&amp;$O1761)+1)</f>
        <v/>
      </c>
      <c r="Q1761">
        <f>IF($P1761="","",$K1761&amp;"|"&amp;RIGHT("000000"&amp;$P1761,6))</f>
        <v/>
      </c>
    </row>
    <row r="1762">
      <c r="A1762">
        <f>IF(Sync!$P1759="","",Sync!$P1759)</f>
        <v/>
      </c>
      <c r="B1762">
        <f>IF($A1762="","",IF(ISNUMBER($A1762),IF(AND($A1762&gt;=10000101,$A1762&lt;=99991231),INT($A1762/10000),""),IFERROR(VALUE(TRIM(LEFT($A1762,FIND("/",$A1762)-1))),"")))</f>
        <v/>
      </c>
      <c r="C1762">
        <f>IF(OR($A1762="",$B1762=""),"",IF(ISNUMBER($A1762),INT(MOD($A1762,10000)/100),IFERROR(VALUE(TRIM(LEFT(MID($A1762,FIND("/",$A1762)+1,20),FIND("/",MID($A1762,FIND("/",$A1762)+1,20))-1))),"")))</f>
        <v/>
      </c>
      <c r="D1762">
        <f>IF(OR($A1762="",$B1762=""),"",IF(ISNUMBER($A1762),MOD($A1762,100),IFERROR(VALUE(TRIM(MID(MID($A1762,FIND("/",$A1762)+1,20),FIND("/",MID($A1762,FIND("/",$A1762)+1,20))+1,20))),"")))</f>
        <v/>
      </c>
      <c r="E1762">
        <f>IF($A1762="","",IF(OR($B1762="",$C1762="",$D1762="",$B1762&lt;1300,$B1762&gt;1500,$C1762&lt;1,$C1762&gt;12,$D1762&lt;1,$D1762&gt;31),"نامعتبر",RIGHT("0000"&amp;$B1762,4)&amp;"/"&amp;RIGHT("00"&amp;$C1762,2)&amp;"/"&amp;RIGHT("00"&amp;$D1762,2)))</f>
        <v/>
      </c>
      <c r="F1762">
        <f>IF(OR($E1762="",$E1762="نامعتبر"),"",IF(Sync!$Q1759="","0000",IF(AND(ISNUMBER(Sync!$Q1759),Sync!$Q1759&gt;=0,Sync!$Q1759&lt;1),RIGHT("00"&amp;HOUR(Sync!$Q1759),2)&amp;RIGHT("00"&amp;MINUTE(Sync!$Q1759),2),IFERROR(RIGHT("00"&amp;VALUE(LEFT(Sync!$Q1759,FIND(":",Sync!$Q1759)-1)),2)&amp;RIGHT("00"&amp;VALUE(MID(Sync!$Q1759,FIND(":",Sync!$Q1759)+1,2)),2),"0000"))))</f>
        <v/>
      </c>
      <c r="G1762">
        <f>IF(OR($E1762="",$E1762="نامعتبر"),"",IF(Sync!$S1759="","",Sync!$S1759))</f>
        <v/>
      </c>
      <c r="H1762">
        <f>IF(OR($E1762="",$E1762="نامعتبر"),"",IF(Sync!$R1759="","",Sync!$R1759))</f>
        <v/>
      </c>
      <c r="I1762">
        <f>IF(OR($E1762="",$E1762="نامعتبر"),"",IF(Sync!$T1759="","",Sync!$T1759))</f>
        <v/>
      </c>
      <c r="J1762">
        <f>IF(OR($E1762="",$E1762="نامعتبر"),"",IF(Sync!$U1759="","",Sync!$U1759))</f>
        <v/>
      </c>
      <c r="K1762">
        <f>IF(OR($E1762="",$E1762="نامعتبر"),"",IF(Sync!$V1759="","",IFERROR(INDEX(SubCodes,MATCH(Sync!$V1759,SubTitles,0)),Sync!$V1759)))</f>
        <v/>
      </c>
      <c r="L1762">
        <f>IF(OR($E1762="",$E1762="نامعتبر"),"",IF(Sync!$W1759="",0,Sync!$W1759))</f>
        <v/>
      </c>
      <c r="M1762">
        <f>IF(OR($E1762="",$E1762="نامعتبر"),"",IF(Sync!$X1759="",0,Sync!$X1759))</f>
        <v/>
      </c>
      <c r="N1762">
        <f>IF(OR($E1762="",$E1762="نامعتبر"),"",IF(AND($J1762="هزینه",$K1762&lt;&gt;""),1,0))</f>
        <v/>
      </c>
      <c r="O1762">
        <f>IF($N1762=0,"",LEFT($E1762,4)&amp;MID($E1762,6,2)&amp;RIGHT($E1762,2)&amp;$F1762&amp;"|"&amp;"1"&amp;RIGHT("00000"&amp;1754,5))</f>
        <v/>
      </c>
      <c r="P1762">
        <f>IF($O1762="","",COUNTIFS(ExpSub,$K1762,ExpKey,"&lt;"&amp;$O1762)+1)</f>
        <v/>
      </c>
      <c r="Q1762">
        <f>IF($P1762="","",$K1762&amp;"|"&amp;RIGHT("000000"&amp;$P1762,6))</f>
        <v/>
      </c>
    </row>
    <row r="1763">
      <c r="A1763">
        <f>IF(Sync!$P1760="","",Sync!$P1760)</f>
        <v/>
      </c>
      <c r="B1763">
        <f>IF($A1763="","",IF(ISNUMBER($A1763),IF(AND($A1763&gt;=10000101,$A1763&lt;=99991231),INT($A1763/10000),""),IFERROR(VALUE(TRIM(LEFT($A1763,FIND("/",$A1763)-1))),"")))</f>
        <v/>
      </c>
      <c r="C1763">
        <f>IF(OR($A1763="",$B1763=""),"",IF(ISNUMBER($A1763),INT(MOD($A1763,10000)/100),IFERROR(VALUE(TRIM(LEFT(MID($A1763,FIND("/",$A1763)+1,20),FIND("/",MID($A1763,FIND("/",$A1763)+1,20))-1))),"")))</f>
        <v/>
      </c>
      <c r="D1763">
        <f>IF(OR($A1763="",$B1763=""),"",IF(ISNUMBER($A1763),MOD($A1763,100),IFERROR(VALUE(TRIM(MID(MID($A1763,FIND("/",$A1763)+1,20),FIND("/",MID($A1763,FIND("/",$A1763)+1,20))+1,20))),"")))</f>
        <v/>
      </c>
      <c r="E1763">
        <f>IF($A1763="","",IF(OR($B1763="",$C1763="",$D1763="",$B1763&lt;1300,$B1763&gt;1500,$C1763&lt;1,$C1763&gt;12,$D1763&lt;1,$D1763&gt;31),"نامعتبر",RIGHT("0000"&amp;$B1763,4)&amp;"/"&amp;RIGHT("00"&amp;$C1763,2)&amp;"/"&amp;RIGHT("00"&amp;$D1763,2)))</f>
        <v/>
      </c>
      <c r="F1763">
        <f>IF(OR($E1763="",$E1763="نامعتبر"),"",IF(Sync!$Q1760="","0000",IF(AND(ISNUMBER(Sync!$Q1760),Sync!$Q1760&gt;=0,Sync!$Q1760&lt;1),RIGHT("00"&amp;HOUR(Sync!$Q1760),2)&amp;RIGHT("00"&amp;MINUTE(Sync!$Q1760),2),IFERROR(RIGHT("00"&amp;VALUE(LEFT(Sync!$Q1760,FIND(":",Sync!$Q1760)-1)),2)&amp;RIGHT("00"&amp;VALUE(MID(Sync!$Q1760,FIND(":",Sync!$Q1760)+1,2)),2),"0000"))))</f>
        <v/>
      </c>
      <c r="G1763">
        <f>IF(OR($E1763="",$E1763="نامعتبر"),"",IF(Sync!$S1760="","",Sync!$S1760))</f>
        <v/>
      </c>
      <c r="H1763">
        <f>IF(OR($E1763="",$E1763="نامعتبر"),"",IF(Sync!$R1760="","",Sync!$R1760))</f>
        <v/>
      </c>
      <c r="I1763">
        <f>IF(OR($E1763="",$E1763="نامعتبر"),"",IF(Sync!$T1760="","",Sync!$T1760))</f>
        <v/>
      </c>
      <c r="J1763">
        <f>IF(OR($E1763="",$E1763="نامعتبر"),"",IF(Sync!$U1760="","",Sync!$U1760))</f>
        <v/>
      </c>
      <c r="K1763">
        <f>IF(OR($E1763="",$E1763="نامعتبر"),"",IF(Sync!$V1760="","",IFERROR(INDEX(SubCodes,MATCH(Sync!$V1760,SubTitles,0)),Sync!$V1760)))</f>
        <v/>
      </c>
      <c r="L1763">
        <f>IF(OR($E1763="",$E1763="نامعتبر"),"",IF(Sync!$W1760="",0,Sync!$W1760))</f>
        <v/>
      </c>
      <c r="M1763">
        <f>IF(OR($E1763="",$E1763="نامعتبر"),"",IF(Sync!$X1760="",0,Sync!$X1760))</f>
        <v/>
      </c>
      <c r="N1763">
        <f>IF(OR($E1763="",$E1763="نامعتبر"),"",IF(AND($J1763="هزینه",$K1763&lt;&gt;""),1,0))</f>
        <v/>
      </c>
      <c r="O1763">
        <f>IF($N1763=0,"",LEFT($E1763,4)&amp;MID($E1763,6,2)&amp;RIGHT($E1763,2)&amp;$F1763&amp;"|"&amp;"1"&amp;RIGHT("00000"&amp;1755,5))</f>
        <v/>
      </c>
      <c r="P1763">
        <f>IF($O1763="","",COUNTIFS(ExpSub,$K1763,ExpKey,"&lt;"&amp;$O1763)+1)</f>
        <v/>
      </c>
      <c r="Q1763">
        <f>IF($P1763="","",$K1763&amp;"|"&amp;RIGHT("000000"&amp;$P1763,6))</f>
        <v/>
      </c>
    </row>
    <row r="1764">
      <c r="A1764">
        <f>IF(Sync!$P1761="","",Sync!$P1761)</f>
        <v/>
      </c>
      <c r="B1764">
        <f>IF($A1764="","",IF(ISNUMBER($A1764),IF(AND($A1764&gt;=10000101,$A1764&lt;=99991231),INT($A1764/10000),""),IFERROR(VALUE(TRIM(LEFT($A1764,FIND("/",$A1764)-1))),"")))</f>
        <v/>
      </c>
      <c r="C1764">
        <f>IF(OR($A1764="",$B1764=""),"",IF(ISNUMBER($A1764),INT(MOD($A1764,10000)/100),IFERROR(VALUE(TRIM(LEFT(MID($A1764,FIND("/",$A1764)+1,20),FIND("/",MID($A1764,FIND("/",$A1764)+1,20))-1))),"")))</f>
        <v/>
      </c>
      <c r="D1764">
        <f>IF(OR($A1764="",$B1764=""),"",IF(ISNUMBER($A1764),MOD($A1764,100),IFERROR(VALUE(TRIM(MID(MID($A1764,FIND("/",$A1764)+1,20),FIND("/",MID($A1764,FIND("/",$A1764)+1,20))+1,20))),"")))</f>
        <v/>
      </c>
      <c r="E1764">
        <f>IF($A1764="","",IF(OR($B1764="",$C1764="",$D1764="",$B1764&lt;1300,$B1764&gt;1500,$C1764&lt;1,$C1764&gt;12,$D1764&lt;1,$D1764&gt;31),"نامعتبر",RIGHT("0000"&amp;$B1764,4)&amp;"/"&amp;RIGHT("00"&amp;$C1764,2)&amp;"/"&amp;RIGHT("00"&amp;$D1764,2)))</f>
        <v/>
      </c>
      <c r="F1764">
        <f>IF(OR($E1764="",$E1764="نامعتبر"),"",IF(Sync!$Q1761="","0000",IF(AND(ISNUMBER(Sync!$Q1761),Sync!$Q1761&gt;=0,Sync!$Q1761&lt;1),RIGHT("00"&amp;HOUR(Sync!$Q1761),2)&amp;RIGHT("00"&amp;MINUTE(Sync!$Q1761),2),IFERROR(RIGHT("00"&amp;VALUE(LEFT(Sync!$Q1761,FIND(":",Sync!$Q1761)-1)),2)&amp;RIGHT("00"&amp;VALUE(MID(Sync!$Q1761,FIND(":",Sync!$Q1761)+1,2)),2),"0000"))))</f>
        <v/>
      </c>
      <c r="G1764">
        <f>IF(OR($E1764="",$E1764="نامعتبر"),"",IF(Sync!$S1761="","",Sync!$S1761))</f>
        <v/>
      </c>
      <c r="H1764">
        <f>IF(OR($E1764="",$E1764="نامعتبر"),"",IF(Sync!$R1761="","",Sync!$R1761))</f>
        <v/>
      </c>
      <c r="I1764">
        <f>IF(OR($E1764="",$E1764="نامعتبر"),"",IF(Sync!$T1761="","",Sync!$T1761))</f>
        <v/>
      </c>
      <c r="J1764">
        <f>IF(OR($E1764="",$E1764="نامعتبر"),"",IF(Sync!$U1761="","",Sync!$U1761))</f>
        <v/>
      </c>
      <c r="K1764">
        <f>IF(OR($E1764="",$E1764="نامعتبر"),"",IF(Sync!$V1761="","",IFERROR(INDEX(SubCodes,MATCH(Sync!$V1761,SubTitles,0)),Sync!$V1761)))</f>
        <v/>
      </c>
      <c r="L1764">
        <f>IF(OR($E1764="",$E1764="نامعتبر"),"",IF(Sync!$W1761="",0,Sync!$W1761))</f>
        <v/>
      </c>
      <c r="M1764">
        <f>IF(OR($E1764="",$E1764="نامعتبر"),"",IF(Sync!$X1761="",0,Sync!$X1761))</f>
        <v/>
      </c>
      <c r="N1764">
        <f>IF(OR($E1764="",$E1764="نامعتبر"),"",IF(AND($J1764="هزینه",$K1764&lt;&gt;""),1,0))</f>
        <v/>
      </c>
      <c r="O1764">
        <f>IF($N1764=0,"",LEFT($E1764,4)&amp;MID($E1764,6,2)&amp;RIGHT($E1764,2)&amp;$F1764&amp;"|"&amp;"1"&amp;RIGHT("00000"&amp;1756,5))</f>
        <v/>
      </c>
      <c r="P1764">
        <f>IF($O1764="","",COUNTIFS(ExpSub,$K1764,ExpKey,"&lt;"&amp;$O1764)+1)</f>
        <v/>
      </c>
      <c r="Q1764">
        <f>IF($P1764="","",$K1764&amp;"|"&amp;RIGHT("000000"&amp;$P1764,6))</f>
        <v/>
      </c>
    </row>
    <row r="1765">
      <c r="A1765">
        <f>IF(Sync!$P1762="","",Sync!$P1762)</f>
        <v/>
      </c>
      <c r="B1765">
        <f>IF($A1765="","",IF(ISNUMBER($A1765),IF(AND($A1765&gt;=10000101,$A1765&lt;=99991231),INT($A1765/10000),""),IFERROR(VALUE(TRIM(LEFT($A1765,FIND("/",$A1765)-1))),"")))</f>
        <v/>
      </c>
      <c r="C1765">
        <f>IF(OR($A1765="",$B1765=""),"",IF(ISNUMBER($A1765),INT(MOD($A1765,10000)/100),IFERROR(VALUE(TRIM(LEFT(MID($A1765,FIND("/",$A1765)+1,20),FIND("/",MID($A1765,FIND("/",$A1765)+1,20))-1))),"")))</f>
        <v/>
      </c>
      <c r="D1765">
        <f>IF(OR($A1765="",$B1765=""),"",IF(ISNUMBER($A1765),MOD($A1765,100),IFERROR(VALUE(TRIM(MID(MID($A1765,FIND("/",$A1765)+1,20),FIND("/",MID($A1765,FIND("/",$A1765)+1,20))+1,20))),"")))</f>
        <v/>
      </c>
      <c r="E1765">
        <f>IF($A1765="","",IF(OR($B1765="",$C1765="",$D1765="",$B1765&lt;1300,$B1765&gt;1500,$C1765&lt;1,$C1765&gt;12,$D1765&lt;1,$D1765&gt;31),"نامعتبر",RIGHT("0000"&amp;$B1765,4)&amp;"/"&amp;RIGHT("00"&amp;$C1765,2)&amp;"/"&amp;RIGHT("00"&amp;$D1765,2)))</f>
        <v/>
      </c>
      <c r="F1765">
        <f>IF(OR($E1765="",$E1765="نامعتبر"),"",IF(Sync!$Q1762="","0000",IF(AND(ISNUMBER(Sync!$Q1762),Sync!$Q1762&gt;=0,Sync!$Q1762&lt;1),RIGHT("00"&amp;HOUR(Sync!$Q1762),2)&amp;RIGHT("00"&amp;MINUTE(Sync!$Q1762),2),IFERROR(RIGHT("00"&amp;VALUE(LEFT(Sync!$Q1762,FIND(":",Sync!$Q1762)-1)),2)&amp;RIGHT("00"&amp;VALUE(MID(Sync!$Q1762,FIND(":",Sync!$Q1762)+1,2)),2),"0000"))))</f>
        <v/>
      </c>
      <c r="G1765">
        <f>IF(OR($E1765="",$E1765="نامعتبر"),"",IF(Sync!$S1762="","",Sync!$S1762))</f>
        <v/>
      </c>
      <c r="H1765">
        <f>IF(OR($E1765="",$E1765="نامعتبر"),"",IF(Sync!$R1762="","",Sync!$R1762))</f>
        <v/>
      </c>
      <c r="I1765">
        <f>IF(OR($E1765="",$E1765="نامعتبر"),"",IF(Sync!$T1762="","",Sync!$T1762))</f>
        <v/>
      </c>
      <c r="J1765">
        <f>IF(OR($E1765="",$E1765="نامعتبر"),"",IF(Sync!$U1762="","",Sync!$U1762))</f>
        <v/>
      </c>
      <c r="K1765">
        <f>IF(OR($E1765="",$E1765="نامعتبر"),"",IF(Sync!$V1762="","",IFERROR(INDEX(SubCodes,MATCH(Sync!$V1762,SubTitles,0)),Sync!$V1762)))</f>
        <v/>
      </c>
      <c r="L1765">
        <f>IF(OR($E1765="",$E1765="نامعتبر"),"",IF(Sync!$W1762="",0,Sync!$W1762))</f>
        <v/>
      </c>
      <c r="M1765">
        <f>IF(OR($E1765="",$E1765="نامعتبر"),"",IF(Sync!$X1762="",0,Sync!$X1762))</f>
        <v/>
      </c>
      <c r="N1765">
        <f>IF(OR($E1765="",$E1765="نامعتبر"),"",IF(AND($J1765="هزینه",$K1765&lt;&gt;""),1,0))</f>
        <v/>
      </c>
      <c r="O1765">
        <f>IF($N1765=0,"",LEFT($E1765,4)&amp;MID($E1765,6,2)&amp;RIGHT($E1765,2)&amp;$F1765&amp;"|"&amp;"1"&amp;RIGHT("00000"&amp;1757,5))</f>
        <v/>
      </c>
      <c r="P1765">
        <f>IF($O1765="","",COUNTIFS(ExpSub,$K1765,ExpKey,"&lt;"&amp;$O1765)+1)</f>
        <v/>
      </c>
      <c r="Q1765">
        <f>IF($P1765="","",$K1765&amp;"|"&amp;RIGHT("000000"&amp;$P1765,6))</f>
        <v/>
      </c>
    </row>
    <row r="1766">
      <c r="A1766">
        <f>IF(Sync!$P1763="","",Sync!$P1763)</f>
        <v/>
      </c>
      <c r="B1766">
        <f>IF($A1766="","",IF(ISNUMBER($A1766),IF(AND($A1766&gt;=10000101,$A1766&lt;=99991231),INT($A1766/10000),""),IFERROR(VALUE(TRIM(LEFT($A1766,FIND("/",$A1766)-1))),"")))</f>
        <v/>
      </c>
      <c r="C1766">
        <f>IF(OR($A1766="",$B1766=""),"",IF(ISNUMBER($A1766),INT(MOD($A1766,10000)/100),IFERROR(VALUE(TRIM(LEFT(MID($A1766,FIND("/",$A1766)+1,20),FIND("/",MID($A1766,FIND("/",$A1766)+1,20))-1))),"")))</f>
        <v/>
      </c>
      <c r="D1766">
        <f>IF(OR($A1766="",$B1766=""),"",IF(ISNUMBER($A1766),MOD($A1766,100),IFERROR(VALUE(TRIM(MID(MID($A1766,FIND("/",$A1766)+1,20),FIND("/",MID($A1766,FIND("/",$A1766)+1,20))+1,20))),"")))</f>
        <v/>
      </c>
      <c r="E1766">
        <f>IF($A1766="","",IF(OR($B1766="",$C1766="",$D1766="",$B1766&lt;1300,$B1766&gt;1500,$C1766&lt;1,$C1766&gt;12,$D1766&lt;1,$D1766&gt;31),"نامعتبر",RIGHT("0000"&amp;$B1766,4)&amp;"/"&amp;RIGHT("00"&amp;$C1766,2)&amp;"/"&amp;RIGHT("00"&amp;$D1766,2)))</f>
        <v/>
      </c>
      <c r="F1766">
        <f>IF(OR($E1766="",$E1766="نامعتبر"),"",IF(Sync!$Q1763="","0000",IF(AND(ISNUMBER(Sync!$Q1763),Sync!$Q1763&gt;=0,Sync!$Q1763&lt;1),RIGHT("00"&amp;HOUR(Sync!$Q1763),2)&amp;RIGHT("00"&amp;MINUTE(Sync!$Q1763),2),IFERROR(RIGHT("00"&amp;VALUE(LEFT(Sync!$Q1763,FIND(":",Sync!$Q1763)-1)),2)&amp;RIGHT("00"&amp;VALUE(MID(Sync!$Q1763,FIND(":",Sync!$Q1763)+1,2)),2),"0000"))))</f>
        <v/>
      </c>
      <c r="G1766">
        <f>IF(OR($E1766="",$E1766="نامعتبر"),"",IF(Sync!$S1763="","",Sync!$S1763))</f>
        <v/>
      </c>
      <c r="H1766">
        <f>IF(OR($E1766="",$E1766="نامعتبر"),"",IF(Sync!$R1763="","",Sync!$R1763))</f>
        <v/>
      </c>
      <c r="I1766">
        <f>IF(OR($E1766="",$E1766="نامعتبر"),"",IF(Sync!$T1763="","",Sync!$T1763))</f>
        <v/>
      </c>
      <c r="J1766">
        <f>IF(OR($E1766="",$E1766="نامعتبر"),"",IF(Sync!$U1763="","",Sync!$U1763))</f>
        <v/>
      </c>
      <c r="K1766">
        <f>IF(OR($E1766="",$E1766="نامعتبر"),"",IF(Sync!$V1763="","",IFERROR(INDEX(SubCodes,MATCH(Sync!$V1763,SubTitles,0)),Sync!$V1763)))</f>
        <v/>
      </c>
      <c r="L1766">
        <f>IF(OR($E1766="",$E1766="نامعتبر"),"",IF(Sync!$W1763="",0,Sync!$W1763))</f>
        <v/>
      </c>
      <c r="M1766">
        <f>IF(OR($E1766="",$E1766="نامعتبر"),"",IF(Sync!$X1763="",0,Sync!$X1763))</f>
        <v/>
      </c>
      <c r="N1766">
        <f>IF(OR($E1766="",$E1766="نامعتبر"),"",IF(AND($J1766="هزینه",$K1766&lt;&gt;""),1,0))</f>
        <v/>
      </c>
      <c r="O1766">
        <f>IF($N1766=0,"",LEFT($E1766,4)&amp;MID($E1766,6,2)&amp;RIGHT($E1766,2)&amp;$F1766&amp;"|"&amp;"1"&amp;RIGHT("00000"&amp;1758,5))</f>
        <v/>
      </c>
      <c r="P1766">
        <f>IF($O1766="","",COUNTIFS(ExpSub,$K1766,ExpKey,"&lt;"&amp;$O1766)+1)</f>
        <v/>
      </c>
      <c r="Q1766">
        <f>IF($P1766="","",$K1766&amp;"|"&amp;RIGHT("000000"&amp;$P1766,6))</f>
        <v/>
      </c>
    </row>
    <row r="1767">
      <c r="A1767">
        <f>IF(Sync!$P1764="","",Sync!$P1764)</f>
        <v/>
      </c>
      <c r="B1767">
        <f>IF($A1767="","",IF(ISNUMBER($A1767),IF(AND($A1767&gt;=10000101,$A1767&lt;=99991231),INT($A1767/10000),""),IFERROR(VALUE(TRIM(LEFT($A1767,FIND("/",$A1767)-1))),"")))</f>
        <v/>
      </c>
      <c r="C1767">
        <f>IF(OR($A1767="",$B1767=""),"",IF(ISNUMBER($A1767),INT(MOD($A1767,10000)/100),IFERROR(VALUE(TRIM(LEFT(MID($A1767,FIND("/",$A1767)+1,20),FIND("/",MID($A1767,FIND("/",$A1767)+1,20))-1))),"")))</f>
        <v/>
      </c>
      <c r="D1767">
        <f>IF(OR($A1767="",$B1767=""),"",IF(ISNUMBER($A1767),MOD($A1767,100),IFERROR(VALUE(TRIM(MID(MID($A1767,FIND("/",$A1767)+1,20),FIND("/",MID($A1767,FIND("/",$A1767)+1,20))+1,20))),"")))</f>
        <v/>
      </c>
      <c r="E1767">
        <f>IF($A1767="","",IF(OR($B1767="",$C1767="",$D1767="",$B1767&lt;1300,$B1767&gt;1500,$C1767&lt;1,$C1767&gt;12,$D1767&lt;1,$D1767&gt;31),"نامعتبر",RIGHT("0000"&amp;$B1767,4)&amp;"/"&amp;RIGHT("00"&amp;$C1767,2)&amp;"/"&amp;RIGHT("00"&amp;$D1767,2)))</f>
        <v/>
      </c>
      <c r="F1767">
        <f>IF(OR($E1767="",$E1767="نامعتبر"),"",IF(Sync!$Q1764="","0000",IF(AND(ISNUMBER(Sync!$Q1764),Sync!$Q1764&gt;=0,Sync!$Q1764&lt;1),RIGHT("00"&amp;HOUR(Sync!$Q1764),2)&amp;RIGHT("00"&amp;MINUTE(Sync!$Q1764),2),IFERROR(RIGHT("00"&amp;VALUE(LEFT(Sync!$Q1764,FIND(":",Sync!$Q1764)-1)),2)&amp;RIGHT("00"&amp;VALUE(MID(Sync!$Q1764,FIND(":",Sync!$Q1764)+1,2)),2),"0000"))))</f>
        <v/>
      </c>
      <c r="G1767">
        <f>IF(OR($E1767="",$E1767="نامعتبر"),"",IF(Sync!$S1764="","",Sync!$S1764))</f>
        <v/>
      </c>
      <c r="H1767">
        <f>IF(OR($E1767="",$E1767="نامعتبر"),"",IF(Sync!$R1764="","",Sync!$R1764))</f>
        <v/>
      </c>
      <c r="I1767">
        <f>IF(OR($E1767="",$E1767="نامعتبر"),"",IF(Sync!$T1764="","",Sync!$T1764))</f>
        <v/>
      </c>
      <c r="J1767">
        <f>IF(OR($E1767="",$E1767="نامعتبر"),"",IF(Sync!$U1764="","",Sync!$U1764))</f>
        <v/>
      </c>
      <c r="K1767">
        <f>IF(OR($E1767="",$E1767="نامعتبر"),"",IF(Sync!$V1764="","",IFERROR(INDEX(SubCodes,MATCH(Sync!$V1764,SubTitles,0)),Sync!$V1764)))</f>
        <v/>
      </c>
      <c r="L1767">
        <f>IF(OR($E1767="",$E1767="نامعتبر"),"",IF(Sync!$W1764="",0,Sync!$W1764))</f>
        <v/>
      </c>
      <c r="M1767">
        <f>IF(OR($E1767="",$E1767="نامعتبر"),"",IF(Sync!$X1764="",0,Sync!$X1764))</f>
        <v/>
      </c>
      <c r="N1767">
        <f>IF(OR($E1767="",$E1767="نامعتبر"),"",IF(AND($J1767="هزینه",$K1767&lt;&gt;""),1,0))</f>
        <v/>
      </c>
      <c r="O1767">
        <f>IF($N1767=0,"",LEFT($E1767,4)&amp;MID($E1767,6,2)&amp;RIGHT($E1767,2)&amp;$F1767&amp;"|"&amp;"1"&amp;RIGHT("00000"&amp;1759,5))</f>
        <v/>
      </c>
      <c r="P1767">
        <f>IF($O1767="","",COUNTIFS(ExpSub,$K1767,ExpKey,"&lt;"&amp;$O1767)+1)</f>
        <v/>
      </c>
      <c r="Q1767">
        <f>IF($P1767="","",$K1767&amp;"|"&amp;RIGHT("000000"&amp;$P1767,6))</f>
        <v/>
      </c>
    </row>
    <row r="1768">
      <c r="A1768">
        <f>IF(Sync!$P1765="","",Sync!$P1765)</f>
        <v/>
      </c>
      <c r="B1768">
        <f>IF($A1768="","",IF(ISNUMBER($A1768),IF(AND($A1768&gt;=10000101,$A1768&lt;=99991231),INT($A1768/10000),""),IFERROR(VALUE(TRIM(LEFT($A1768,FIND("/",$A1768)-1))),"")))</f>
        <v/>
      </c>
      <c r="C1768">
        <f>IF(OR($A1768="",$B1768=""),"",IF(ISNUMBER($A1768),INT(MOD($A1768,10000)/100),IFERROR(VALUE(TRIM(LEFT(MID($A1768,FIND("/",$A1768)+1,20),FIND("/",MID($A1768,FIND("/",$A1768)+1,20))-1))),"")))</f>
        <v/>
      </c>
      <c r="D1768">
        <f>IF(OR($A1768="",$B1768=""),"",IF(ISNUMBER($A1768),MOD($A1768,100),IFERROR(VALUE(TRIM(MID(MID($A1768,FIND("/",$A1768)+1,20),FIND("/",MID($A1768,FIND("/",$A1768)+1,20))+1,20))),"")))</f>
        <v/>
      </c>
      <c r="E1768">
        <f>IF($A1768="","",IF(OR($B1768="",$C1768="",$D1768="",$B1768&lt;1300,$B1768&gt;1500,$C1768&lt;1,$C1768&gt;12,$D1768&lt;1,$D1768&gt;31),"نامعتبر",RIGHT("0000"&amp;$B1768,4)&amp;"/"&amp;RIGHT("00"&amp;$C1768,2)&amp;"/"&amp;RIGHT("00"&amp;$D1768,2)))</f>
        <v/>
      </c>
      <c r="F1768">
        <f>IF(OR($E1768="",$E1768="نامعتبر"),"",IF(Sync!$Q1765="","0000",IF(AND(ISNUMBER(Sync!$Q1765),Sync!$Q1765&gt;=0,Sync!$Q1765&lt;1),RIGHT("00"&amp;HOUR(Sync!$Q1765),2)&amp;RIGHT("00"&amp;MINUTE(Sync!$Q1765),2),IFERROR(RIGHT("00"&amp;VALUE(LEFT(Sync!$Q1765,FIND(":",Sync!$Q1765)-1)),2)&amp;RIGHT("00"&amp;VALUE(MID(Sync!$Q1765,FIND(":",Sync!$Q1765)+1,2)),2),"0000"))))</f>
        <v/>
      </c>
      <c r="G1768">
        <f>IF(OR($E1768="",$E1768="نامعتبر"),"",IF(Sync!$S1765="","",Sync!$S1765))</f>
        <v/>
      </c>
      <c r="H1768">
        <f>IF(OR($E1768="",$E1768="نامعتبر"),"",IF(Sync!$R1765="","",Sync!$R1765))</f>
        <v/>
      </c>
      <c r="I1768">
        <f>IF(OR($E1768="",$E1768="نامعتبر"),"",IF(Sync!$T1765="","",Sync!$T1765))</f>
        <v/>
      </c>
      <c r="J1768">
        <f>IF(OR($E1768="",$E1768="نامعتبر"),"",IF(Sync!$U1765="","",Sync!$U1765))</f>
        <v/>
      </c>
      <c r="K1768">
        <f>IF(OR($E1768="",$E1768="نامعتبر"),"",IF(Sync!$V1765="","",IFERROR(INDEX(SubCodes,MATCH(Sync!$V1765,SubTitles,0)),Sync!$V1765)))</f>
        <v/>
      </c>
      <c r="L1768">
        <f>IF(OR($E1768="",$E1768="نامعتبر"),"",IF(Sync!$W1765="",0,Sync!$W1765))</f>
        <v/>
      </c>
      <c r="M1768">
        <f>IF(OR($E1768="",$E1768="نامعتبر"),"",IF(Sync!$X1765="",0,Sync!$X1765))</f>
        <v/>
      </c>
      <c r="N1768">
        <f>IF(OR($E1768="",$E1768="نامعتبر"),"",IF(AND($J1768="هزینه",$K1768&lt;&gt;""),1,0))</f>
        <v/>
      </c>
      <c r="O1768">
        <f>IF($N1768=0,"",LEFT($E1768,4)&amp;MID($E1768,6,2)&amp;RIGHT($E1768,2)&amp;$F1768&amp;"|"&amp;"1"&amp;RIGHT("00000"&amp;1760,5))</f>
        <v/>
      </c>
      <c r="P1768">
        <f>IF($O1768="","",COUNTIFS(ExpSub,$K1768,ExpKey,"&lt;"&amp;$O1768)+1)</f>
        <v/>
      </c>
      <c r="Q1768">
        <f>IF($P1768="","",$K1768&amp;"|"&amp;RIGHT("000000"&amp;$P1768,6))</f>
        <v/>
      </c>
    </row>
    <row r="1769">
      <c r="A1769">
        <f>IF(Sync!$P1766="","",Sync!$P1766)</f>
        <v/>
      </c>
      <c r="B1769">
        <f>IF($A1769="","",IF(ISNUMBER($A1769),IF(AND($A1769&gt;=10000101,$A1769&lt;=99991231),INT($A1769/10000),""),IFERROR(VALUE(TRIM(LEFT($A1769,FIND("/",$A1769)-1))),"")))</f>
        <v/>
      </c>
      <c r="C1769">
        <f>IF(OR($A1769="",$B1769=""),"",IF(ISNUMBER($A1769),INT(MOD($A1769,10000)/100),IFERROR(VALUE(TRIM(LEFT(MID($A1769,FIND("/",$A1769)+1,20),FIND("/",MID($A1769,FIND("/",$A1769)+1,20))-1))),"")))</f>
        <v/>
      </c>
      <c r="D1769">
        <f>IF(OR($A1769="",$B1769=""),"",IF(ISNUMBER($A1769),MOD($A1769,100),IFERROR(VALUE(TRIM(MID(MID($A1769,FIND("/",$A1769)+1,20),FIND("/",MID($A1769,FIND("/",$A1769)+1,20))+1,20))),"")))</f>
        <v/>
      </c>
      <c r="E1769">
        <f>IF($A1769="","",IF(OR($B1769="",$C1769="",$D1769="",$B1769&lt;1300,$B1769&gt;1500,$C1769&lt;1,$C1769&gt;12,$D1769&lt;1,$D1769&gt;31),"نامعتبر",RIGHT("0000"&amp;$B1769,4)&amp;"/"&amp;RIGHT("00"&amp;$C1769,2)&amp;"/"&amp;RIGHT("00"&amp;$D1769,2)))</f>
        <v/>
      </c>
      <c r="F1769">
        <f>IF(OR($E1769="",$E1769="نامعتبر"),"",IF(Sync!$Q1766="","0000",IF(AND(ISNUMBER(Sync!$Q1766),Sync!$Q1766&gt;=0,Sync!$Q1766&lt;1),RIGHT("00"&amp;HOUR(Sync!$Q1766),2)&amp;RIGHT("00"&amp;MINUTE(Sync!$Q1766),2),IFERROR(RIGHT("00"&amp;VALUE(LEFT(Sync!$Q1766,FIND(":",Sync!$Q1766)-1)),2)&amp;RIGHT("00"&amp;VALUE(MID(Sync!$Q1766,FIND(":",Sync!$Q1766)+1,2)),2),"0000"))))</f>
        <v/>
      </c>
      <c r="G1769">
        <f>IF(OR($E1769="",$E1769="نامعتبر"),"",IF(Sync!$S1766="","",Sync!$S1766))</f>
        <v/>
      </c>
      <c r="H1769">
        <f>IF(OR($E1769="",$E1769="نامعتبر"),"",IF(Sync!$R1766="","",Sync!$R1766))</f>
        <v/>
      </c>
      <c r="I1769">
        <f>IF(OR($E1769="",$E1769="نامعتبر"),"",IF(Sync!$T1766="","",Sync!$T1766))</f>
        <v/>
      </c>
      <c r="J1769">
        <f>IF(OR($E1769="",$E1769="نامعتبر"),"",IF(Sync!$U1766="","",Sync!$U1766))</f>
        <v/>
      </c>
      <c r="K1769">
        <f>IF(OR($E1769="",$E1769="نامعتبر"),"",IF(Sync!$V1766="","",IFERROR(INDEX(SubCodes,MATCH(Sync!$V1766,SubTitles,0)),Sync!$V1766)))</f>
        <v/>
      </c>
      <c r="L1769">
        <f>IF(OR($E1769="",$E1769="نامعتبر"),"",IF(Sync!$W1766="",0,Sync!$W1766))</f>
        <v/>
      </c>
      <c r="M1769">
        <f>IF(OR($E1769="",$E1769="نامعتبر"),"",IF(Sync!$X1766="",0,Sync!$X1766))</f>
        <v/>
      </c>
      <c r="N1769">
        <f>IF(OR($E1769="",$E1769="نامعتبر"),"",IF(AND($J1769="هزینه",$K1769&lt;&gt;""),1,0))</f>
        <v/>
      </c>
      <c r="O1769">
        <f>IF($N1769=0,"",LEFT($E1769,4)&amp;MID($E1769,6,2)&amp;RIGHT($E1769,2)&amp;$F1769&amp;"|"&amp;"1"&amp;RIGHT("00000"&amp;1761,5))</f>
        <v/>
      </c>
      <c r="P1769">
        <f>IF($O1769="","",COUNTIFS(ExpSub,$K1769,ExpKey,"&lt;"&amp;$O1769)+1)</f>
        <v/>
      </c>
      <c r="Q1769">
        <f>IF($P1769="","",$K1769&amp;"|"&amp;RIGHT("000000"&amp;$P1769,6))</f>
        <v/>
      </c>
    </row>
    <row r="1770">
      <c r="A1770">
        <f>IF(Sync!$P1767="","",Sync!$P1767)</f>
        <v/>
      </c>
      <c r="B1770">
        <f>IF($A1770="","",IF(ISNUMBER($A1770),IF(AND($A1770&gt;=10000101,$A1770&lt;=99991231),INT($A1770/10000),""),IFERROR(VALUE(TRIM(LEFT($A1770,FIND("/",$A1770)-1))),"")))</f>
        <v/>
      </c>
      <c r="C1770">
        <f>IF(OR($A1770="",$B1770=""),"",IF(ISNUMBER($A1770),INT(MOD($A1770,10000)/100),IFERROR(VALUE(TRIM(LEFT(MID($A1770,FIND("/",$A1770)+1,20),FIND("/",MID($A1770,FIND("/",$A1770)+1,20))-1))),"")))</f>
        <v/>
      </c>
      <c r="D1770">
        <f>IF(OR($A1770="",$B1770=""),"",IF(ISNUMBER($A1770),MOD($A1770,100),IFERROR(VALUE(TRIM(MID(MID($A1770,FIND("/",$A1770)+1,20),FIND("/",MID($A1770,FIND("/",$A1770)+1,20))+1,20))),"")))</f>
        <v/>
      </c>
      <c r="E1770">
        <f>IF($A1770="","",IF(OR($B1770="",$C1770="",$D1770="",$B1770&lt;1300,$B1770&gt;1500,$C1770&lt;1,$C1770&gt;12,$D1770&lt;1,$D1770&gt;31),"نامعتبر",RIGHT("0000"&amp;$B1770,4)&amp;"/"&amp;RIGHT("00"&amp;$C1770,2)&amp;"/"&amp;RIGHT("00"&amp;$D1770,2)))</f>
        <v/>
      </c>
      <c r="F1770">
        <f>IF(OR($E1770="",$E1770="نامعتبر"),"",IF(Sync!$Q1767="","0000",IF(AND(ISNUMBER(Sync!$Q1767),Sync!$Q1767&gt;=0,Sync!$Q1767&lt;1),RIGHT("00"&amp;HOUR(Sync!$Q1767),2)&amp;RIGHT("00"&amp;MINUTE(Sync!$Q1767),2),IFERROR(RIGHT("00"&amp;VALUE(LEFT(Sync!$Q1767,FIND(":",Sync!$Q1767)-1)),2)&amp;RIGHT("00"&amp;VALUE(MID(Sync!$Q1767,FIND(":",Sync!$Q1767)+1,2)),2),"0000"))))</f>
        <v/>
      </c>
      <c r="G1770">
        <f>IF(OR($E1770="",$E1770="نامعتبر"),"",IF(Sync!$S1767="","",Sync!$S1767))</f>
        <v/>
      </c>
      <c r="H1770">
        <f>IF(OR($E1770="",$E1770="نامعتبر"),"",IF(Sync!$R1767="","",Sync!$R1767))</f>
        <v/>
      </c>
      <c r="I1770">
        <f>IF(OR($E1770="",$E1770="نامعتبر"),"",IF(Sync!$T1767="","",Sync!$T1767))</f>
        <v/>
      </c>
      <c r="J1770">
        <f>IF(OR($E1770="",$E1770="نامعتبر"),"",IF(Sync!$U1767="","",Sync!$U1767))</f>
        <v/>
      </c>
      <c r="K1770">
        <f>IF(OR($E1770="",$E1770="نامعتبر"),"",IF(Sync!$V1767="","",IFERROR(INDEX(SubCodes,MATCH(Sync!$V1767,SubTitles,0)),Sync!$V1767)))</f>
        <v/>
      </c>
      <c r="L1770">
        <f>IF(OR($E1770="",$E1770="نامعتبر"),"",IF(Sync!$W1767="",0,Sync!$W1767))</f>
        <v/>
      </c>
      <c r="M1770">
        <f>IF(OR($E1770="",$E1770="نامعتبر"),"",IF(Sync!$X1767="",0,Sync!$X1767))</f>
        <v/>
      </c>
      <c r="N1770">
        <f>IF(OR($E1770="",$E1770="نامعتبر"),"",IF(AND($J1770="هزینه",$K1770&lt;&gt;""),1,0))</f>
        <v/>
      </c>
      <c r="O1770">
        <f>IF($N1770=0,"",LEFT($E1770,4)&amp;MID($E1770,6,2)&amp;RIGHT($E1770,2)&amp;$F1770&amp;"|"&amp;"1"&amp;RIGHT("00000"&amp;1762,5))</f>
        <v/>
      </c>
      <c r="P1770">
        <f>IF($O1770="","",COUNTIFS(ExpSub,$K1770,ExpKey,"&lt;"&amp;$O1770)+1)</f>
        <v/>
      </c>
      <c r="Q1770">
        <f>IF($P1770="","",$K1770&amp;"|"&amp;RIGHT("000000"&amp;$P1770,6))</f>
        <v/>
      </c>
    </row>
    <row r="1771">
      <c r="A1771">
        <f>IF(Sync!$P1768="","",Sync!$P1768)</f>
        <v/>
      </c>
      <c r="B1771">
        <f>IF($A1771="","",IF(ISNUMBER($A1771),IF(AND($A1771&gt;=10000101,$A1771&lt;=99991231),INT($A1771/10000),""),IFERROR(VALUE(TRIM(LEFT($A1771,FIND("/",$A1771)-1))),"")))</f>
        <v/>
      </c>
      <c r="C1771">
        <f>IF(OR($A1771="",$B1771=""),"",IF(ISNUMBER($A1771),INT(MOD($A1771,10000)/100),IFERROR(VALUE(TRIM(LEFT(MID($A1771,FIND("/",$A1771)+1,20),FIND("/",MID($A1771,FIND("/",$A1771)+1,20))-1))),"")))</f>
        <v/>
      </c>
      <c r="D1771">
        <f>IF(OR($A1771="",$B1771=""),"",IF(ISNUMBER($A1771),MOD($A1771,100),IFERROR(VALUE(TRIM(MID(MID($A1771,FIND("/",$A1771)+1,20),FIND("/",MID($A1771,FIND("/",$A1771)+1,20))+1,20))),"")))</f>
        <v/>
      </c>
      <c r="E1771">
        <f>IF($A1771="","",IF(OR($B1771="",$C1771="",$D1771="",$B1771&lt;1300,$B1771&gt;1500,$C1771&lt;1,$C1771&gt;12,$D1771&lt;1,$D1771&gt;31),"نامعتبر",RIGHT("0000"&amp;$B1771,4)&amp;"/"&amp;RIGHT("00"&amp;$C1771,2)&amp;"/"&amp;RIGHT("00"&amp;$D1771,2)))</f>
        <v/>
      </c>
      <c r="F1771">
        <f>IF(OR($E1771="",$E1771="نامعتبر"),"",IF(Sync!$Q1768="","0000",IF(AND(ISNUMBER(Sync!$Q1768),Sync!$Q1768&gt;=0,Sync!$Q1768&lt;1),RIGHT("00"&amp;HOUR(Sync!$Q1768),2)&amp;RIGHT("00"&amp;MINUTE(Sync!$Q1768),2),IFERROR(RIGHT("00"&amp;VALUE(LEFT(Sync!$Q1768,FIND(":",Sync!$Q1768)-1)),2)&amp;RIGHT("00"&amp;VALUE(MID(Sync!$Q1768,FIND(":",Sync!$Q1768)+1,2)),2),"0000"))))</f>
        <v/>
      </c>
      <c r="G1771">
        <f>IF(OR($E1771="",$E1771="نامعتبر"),"",IF(Sync!$S1768="","",Sync!$S1768))</f>
        <v/>
      </c>
      <c r="H1771">
        <f>IF(OR($E1771="",$E1771="نامعتبر"),"",IF(Sync!$R1768="","",Sync!$R1768))</f>
        <v/>
      </c>
      <c r="I1771">
        <f>IF(OR($E1771="",$E1771="نامعتبر"),"",IF(Sync!$T1768="","",Sync!$T1768))</f>
        <v/>
      </c>
      <c r="J1771">
        <f>IF(OR($E1771="",$E1771="نامعتبر"),"",IF(Sync!$U1768="","",Sync!$U1768))</f>
        <v/>
      </c>
      <c r="K1771">
        <f>IF(OR($E1771="",$E1771="نامعتبر"),"",IF(Sync!$V1768="","",IFERROR(INDEX(SubCodes,MATCH(Sync!$V1768,SubTitles,0)),Sync!$V1768)))</f>
        <v/>
      </c>
      <c r="L1771">
        <f>IF(OR($E1771="",$E1771="نامعتبر"),"",IF(Sync!$W1768="",0,Sync!$W1768))</f>
        <v/>
      </c>
      <c r="M1771">
        <f>IF(OR($E1771="",$E1771="نامعتبر"),"",IF(Sync!$X1768="",0,Sync!$X1768))</f>
        <v/>
      </c>
      <c r="N1771">
        <f>IF(OR($E1771="",$E1771="نامعتبر"),"",IF(AND($J1771="هزینه",$K1771&lt;&gt;""),1,0))</f>
        <v/>
      </c>
      <c r="O1771">
        <f>IF($N1771=0,"",LEFT($E1771,4)&amp;MID($E1771,6,2)&amp;RIGHT($E1771,2)&amp;$F1771&amp;"|"&amp;"1"&amp;RIGHT("00000"&amp;1763,5))</f>
        <v/>
      </c>
      <c r="P1771">
        <f>IF($O1771="","",COUNTIFS(ExpSub,$K1771,ExpKey,"&lt;"&amp;$O1771)+1)</f>
        <v/>
      </c>
      <c r="Q1771">
        <f>IF($P1771="","",$K1771&amp;"|"&amp;RIGHT("000000"&amp;$P1771,6))</f>
        <v/>
      </c>
    </row>
    <row r="1772">
      <c r="A1772">
        <f>IF(Sync!$P1769="","",Sync!$P1769)</f>
        <v/>
      </c>
      <c r="B1772">
        <f>IF($A1772="","",IF(ISNUMBER($A1772),IF(AND($A1772&gt;=10000101,$A1772&lt;=99991231),INT($A1772/10000),""),IFERROR(VALUE(TRIM(LEFT($A1772,FIND("/",$A1772)-1))),"")))</f>
        <v/>
      </c>
      <c r="C1772">
        <f>IF(OR($A1772="",$B1772=""),"",IF(ISNUMBER($A1772),INT(MOD($A1772,10000)/100),IFERROR(VALUE(TRIM(LEFT(MID($A1772,FIND("/",$A1772)+1,20),FIND("/",MID($A1772,FIND("/",$A1772)+1,20))-1))),"")))</f>
        <v/>
      </c>
      <c r="D1772">
        <f>IF(OR($A1772="",$B1772=""),"",IF(ISNUMBER($A1772),MOD($A1772,100),IFERROR(VALUE(TRIM(MID(MID($A1772,FIND("/",$A1772)+1,20),FIND("/",MID($A1772,FIND("/",$A1772)+1,20))+1,20))),"")))</f>
        <v/>
      </c>
      <c r="E1772">
        <f>IF($A1772="","",IF(OR($B1772="",$C1772="",$D1772="",$B1772&lt;1300,$B1772&gt;1500,$C1772&lt;1,$C1772&gt;12,$D1772&lt;1,$D1772&gt;31),"نامعتبر",RIGHT("0000"&amp;$B1772,4)&amp;"/"&amp;RIGHT("00"&amp;$C1772,2)&amp;"/"&amp;RIGHT("00"&amp;$D1772,2)))</f>
        <v/>
      </c>
      <c r="F1772">
        <f>IF(OR($E1772="",$E1772="نامعتبر"),"",IF(Sync!$Q1769="","0000",IF(AND(ISNUMBER(Sync!$Q1769),Sync!$Q1769&gt;=0,Sync!$Q1769&lt;1),RIGHT("00"&amp;HOUR(Sync!$Q1769),2)&amp;RIGHT("00"&amp;MINUTE(Sync!$Q1769),2),IFERROR(RIGHT("00"&amp;VALUE(LEFT(Sync!$Q1769,FIND(":",Sync!$Q1769)-1)),2)&amp;RIGHT("00"&amp;VALUE(MID(Sync!$Q1769,FIND(":",Sync!$Q1769)+1,2)),2),"0000"))))</f>
        <v/>
      </c>
      <c r="G1772">
        <f>IF(OR($E1772="",$E1772="نامعتبر"),"",IF(Sync!$S1769="","",Sync!$S1769))</f>
        <v/>
      </c>
      <c r="H1772">
        <f>IF(OR($E1772="",$E1772="نامعتبر"),"",IF(Sync!$R1769="","",Sync!$R1769))</f>
        <v/>
      </c>
      <c r="I1772">
        <f>IF(OR($E1772="",$E1772="نامعتبر"),"",IF(Sync!$T1769="","",Sync!$T1769))</f>
        <v/>
      </c>
      <c r="J1772">
        <f>IF(OR($E1772="",$E1772="نامعتبر"),"",IF(Sync!$U1769="","",Sync!$U1769))</f>
        <v/>
      </c>
      <c r="K1772">
        <f>IF(OR($E1772="",$E1772="نامعتبر"),"",IF(Sync!$V1769="","",IFERROR(INDEX(SubCodes,MATCH(Sync!$V1769,SubTitles,0)),Sync!$V1769)))</f>
        <v/>
      </c>
      <c r="L1772">
        <f>IF(OR($E1772="",$E1772="نامعتبر"),"",IF(Sync!$W1769="",0,Sync!$W1769))</f>
        <v/>
      </c>
      <c r="M1772">
        <f>IF(OR($E1772="",$E1772="نامعتبر"),"",IF(Sync!$X1769="",0,Sync!$X1769))</f>
        <v/>
      </c>
      <c r="N1772">
        <f>IF(OR($E1772="",$E1772="نامعتبر"),"",IF(AND($J1772="هزینه",$K1772&lt;&gt;""),1,0))</f>
        <v/>
      </c>
      <c r="O1772">
        <f>IF($N1772=0,"",LEFT($E1772,4)&amp;MID($E1772,6,2)&amp;RIGHT($E1772,2)&amp;$F1772&amp;"|"&amp;"1"&amp;RIGHT("00000"&amp;1764,5))</f>
        <v/>
      </c>
      <c r="P1772">
        <f>IF($O1772="","",COUNTIFS(ExpSub,$K1772,ExpKey,"&lt;"&amp;$O1772)+1)</f>
        <v/>
      </c>
      <c r="Q1772">
        <f>IF($P1772="","",$K1772&amp;"|"&amp;RIGHT("000000"&amp;$P1772,6))</f>
        <v/>
      </c>
    </row>
    <row r="1773">
      <c r="A1773">
        <f>IF(Sync!$P1770="","",Sync!$P1770)</f>
        <v/>
      </c>
      <c r="B1773">
        <f>IF($A1773="","",IF(ISNUMBER($A1773),IF(AND($A1773&gt;=10000101,$A1773&lt;=99991231),INT($A1773/10000),""),IFERROR(VALUE(TRIM(LEFT($A1773,FIND("/",$A1773)-1))),"")))</f>
        <v/>
      </c>
      <c r="C1773">
        <f>IF(OR($A1773="",$B1773=""),"",IF(ISNUMBER($A1773),INT(MOD($A1773,10000)/100),IFERROR(VALUE(TRIM(LEFT(MID($A1773,FIND("/",$A1773)+1,20),FIND("/",MID($A1773,FIND("/",$A1773)+1,20))-1))),"")))</f>
        <v/>
      </c>
      <c r="D1773">
        <f>IF(OR($A1773="",$B1773=""),"",IF(ISNUMBER($A1773),MOD($A1773,100),IFERROR(VALUE(TRIM(MID(MID($A1773,FIND("/",$A1773)+1,20),FIND("/",MID($A1773,FIND("/",$A1773)+1,20))+1,20))),"")))</f>
        <v/>
      </c>
      <c r="E1773">
        <f>IF($A1773="","",IF(OR($B1773="",$C1773="",$D1773="",$B1773&lt;1300,$B1773&gt;1500,$C1773&lt;1,$C1773&gt;12,$D1773&lt;1,$D1773&gt;31),"نامعتبر",RIGHT("0000"&amp;$B1773,4)&amp;"/"&amp;RIGHT("00"&amp;$C1773,2)&amp;"/"&amp;RIGHT("00"&amp;$D1773,2)))</f>
        <v/>
      </c>
      <c r="F1773">
        <f>IF(OR($E1773="",$E1773="نامعتبر"),"",IF(Sync!$Q1770="","0000",IF(AND(ISNUMBER(Sync!$Q1770),Sync!$Q1770&gt;=0,Sync!$Q1770&lt;1),RIGHT("00"&amp;HOUR(Sync!$Q1770),2)&amp;RIGHT("00"&amp;MINUTE(Sync!$Q1770),2),IFERROR(RIGHT("00"&amp;VALUE(LEFT(Sync!$Q1770,FIND(":",Sync!$Q1770)-1)),2)&amp;RIGHT("00"&amp;VALUE(MID(Sync!$Q1770,FIND(":",Sync!$Q1770)+1,2)),2),"0000"))))</f>
        <v/>
      </c>
      <c r="G1773">
        <f>IF(OR($E1773="",$E1773="نامعتبر"),"",IF(Sync!$S1770="","",Sync!$S1770))</f>
        <v/>
      </c>
      <c r="H1773">
        <f>IF(OR($E1773="",$E1773="نامعتبر"),"",IF(Sync!$R1770="","",Sync!$R1770))</f>
        <v/>
      </c>
      <c r="I1773">
        <f>IF(OR($E1773="",$E1773="نامعتبر"),"",IF(Sync!$T1770="","",Sync!$T1770))</f>
        <v/>
      </c>
      <c r="J1773">
        <f>IF(OR($E1773="",$E1773="نامعتبر"),"",IF(Sync!$U1770="","",Sync!$U1770))</f>
        <v/>
      </c>
      <c r="K1773">
        <f>IF(OR($E1773="",$E1773="نامعتبر"),"",IF(Sync!$V1770="","",IFERROR(INDEX(SubCodes,MATCH(Sync!$V1770,SubTitles,0)),Sync!$V1770)))</f>
        <v/>
      </c>
      <c r="L1773">
        <f>IF(OR($E1773="",$E1773="نامعتبر"),"",IF(Sync!$W1770="",0,Sync!$W1770))</f>
        <v/>
      </c>
      <c r="M1773">
        <f>IF(OR($E1773="",$E1773="نامعتبر"),"",IF(Sync!$X1770="",0,Sync!$X1770))</f>
        <v/>
      </c>
      <c r="N1773">
        <f>IF(OR($E1773="",$E1773="نامعتبر"),"",IF(AND($J1773="هزینه",$K1773&lt;&gt;""),1,0))</f>
        <v/>
      </c>
      <c r="O1773">
        <f>IF($N1773=0,"",LEFT($E1773,4)&amp;MID($E1773,6,2)&amp;RIGHT($E1773,2)&amp;$F1773&amp;"|"&amp;"1"&amp;RIGHT("00000"&amp;1765,5))</f>
        <v/>
      </c>
      <c r="P1773">
        <f>IF($O1773="","",COUNTIFS(ExpSub,$K1773,ExpKey,"&lt;"&amp;$O1773)+1)</f>
        <v/>
      </c>
      <c r="Q1773">
        <f>IF($P1773="","",$K1773&amp;"|"&amp;RIGHT("000000"&amp;$P1773,6))</f>
        <v/>
      </c>
    </row>
    <row r="1774">
      <c r="A1774">
        <f>IF(Sync!$P1771="","",Sync!$P1771)</f>
        <v/>
      </c>
      <c r="B1774">
        <f>IF($A1774="","",IF(ISNUMBER($A1774),IF(AND($A1774&gt;=10000101,$A1774&lt;=99991231),INT($A1774/10000),""),IFERROR(VALUE(TRIM(LEFT($A1774,FIND("/",$A1774)-1))),"")))</f>
        <v/>
      </c>
      <c r="C1774">
        <f>IF(OR($A1774="",$B1774=""),"",IF(ISNUMBER($A1774),INT(MOD($A1774,10000)/100),IFERROR(VALUE(TRIM(LEFT(MID($A1774,FIND("/",$A1774)+1,20),FIND("/",MID($A1774,FIND("/",$A1774)+1,20))-1))),"")))</f>
        <v/>
      </c>
      <c r="D1774">
        <f>IF(OR($A1774="",$B1774=""),"",IF(ISNUMBER($A1774),MOD($A1774,100),IFERROR(VALUE(TRIM(MID(MID($A1774,FIND("/",$A1774)+1,20),FIND("/",MID($A1774,FIND("/",$A1774)+1,20))+1,20))),"")))</f>
        <v/>
      </c>
      <c r="E1774">
        <f>IF($A1774="","",IF(OR($B1774="",$C1774="",$D1774="",$B1774&lt;1300,$B1774&gt;1500,$C1774&lt;1,$C1774&gt;12,$D1774&lt;1,$D1774&gt;31),"نامعتبر",RIGHT("0000"&amp;$B1774,4)&amp;"/"&amp;RIGHT("00"&amp;$C1774,2)&amp;"/"&amp;RIGHT("00"&amp;$D1774,2)))</f>
        <v/>
      </c>
      <c r="F1774">
        <f>IF(OR($E1774="",$E1774="نامعتبر"),"",IF(Sync!$Q1771="","0000",IF(AND(ISNUMBER(Sync!$Q1771),Sync!$Q1771&gt;=0,Sync!$Q1771&lt;1),RIGHT("00"&amp;HOUR(Sync!$Q1771),2)&amp;RIGHT("00"&amp;MINUTE(Sync!$Q1771),2),IFERROR(RIGHT("00"&amp;VALUE(LEFT(Sync!$Q1771,FIND(":",Sync!$Q1771)-1)),2)&amp;RIGHT("00"&amp;VALUE(MID(Sync!$Q1771,FIND(":",Sync!$Q1771)+1,2)),2),"0000"))))</f>
        <v/>
      </c>
      <c r="G1774">
        <f>IF(OR($E1774="",$E1774="نامعتبر"),"",IF(Sync!$S1771="","",Sync!$S1771))</f>
        <v/>
      </c>
      <c r="H1774">
        <f>IF(OR($E1774="",$E1774="نامعتبر"),"",IF(Sync!$R1771="","",Sync!$R1771))</f>
        <v/>
      </c>
      <c r="I1774">
        <f>IF(OR($E1774="",$E1774="نامعتبر"),"",IF(Sync!$T1771="","",Sync!$T1771))</f>
        <v/>
      </c>
      <c r="J1774">
        <f>IF(OR($E1774="",$E1774="نامعتبر"),"",IF(Sync!$U1771="","",Sync!$U1771))</f>
        <v/>
      </c>
      <c r="K1774">
        <f>IF(OR($E1774="",$E1774="نامعتبر"),"",IF(Sync!$V1771="","",IFERROR(INDEX(SubCodes,MATCH(Sync!$V1771,SubTitles,0)),Sync!$V1771)))</f>
        <v/>
      </c>
      <c r="L1774">
        <f>IF(OR($E1774="",$E1774="نامعتبر"),"",IF(Sync!$W1771="",0,Sync!$W1771))</f>
        <v/>
      </c>
      <c r="M1774">
        <f>IF(OR($E1774="",$E1774="نامعتبر"),"",IF(Sync!$X1771="",0,Sync!$X1771))</f>
        <v/>
      </c>
      <c r="N1774">
        <f>IF(OR($E1774="",$E1774="نامعتبر"),"",IF(AND($J1774="هزینه",$K1774&lt;&gt;""),1,0))</f>
        <v/>
      </c>
      <c r="O1774">
        <f>IF($N1774=0,"",LEFT($E1774,4)&amp;MID($E1774,6,2)&amp;RIGHT($E1774,2)&amp;$F1774&amp;"|"&amp;"1"&amp;RIGHT("00000"&amp;1766,5))</f>
        <v/>
      </c>
      <c r="P1774">
        <f>IF($O1774="","",COUNTIFS(ExpSub,$K1774,ExpKey,"&lt;"&amp;$O1774)+1)</f>
        <v/>
      </c>
      <c r="Q1774">
        <f>IF($P1774="","",$K1774&amp;"|"&amp;RIGHT("000000"&amp;$P1774,6))</f>
        <v/>
      </c>
    </row>
    <row r="1775">
      <c r="A1775">
        <f>IF(Sync!$P1772="","",Sync!$P1772)</f>
        <v/>
      </c>
      <c r="B1775">
        <f>IF($A1775="","",IF(ISNUMBER($A1775),IF(AND($A1775&gt;=10000101,$A1775&lt;=99991231),INT($A1775/10000),""),IFERROR(VALUE(TRIM(LEFT($A1775,FIND("/",$A1775)-1))),"")))</f>
        <v/>
      </c>
      <c r="C1775">
        <f>IF(OR($A1775="",$B1775=""),"",IF(ISNUMBER($A1775),INT(MOD($A1775,10000)/100),IFERROR(VALUE(TRIM(LEFT(MID($A1775,FIND("/",$A1775)+1,20),FIND("/",MID($A1775,FIND("/",$A1775)+1,20))-1))),"")))</f>
        <v/>
      </c>
      <c r="D1775">
        <f>IF(OR($A1775="",$B1775=""),"",IF(ISNUMBER($A1775),MOD($A1775,100),IFERROR(VALUE(TRIM(MID(MID($A1775,FIND("/",$A1775)+1,20),FIND("/",MID($A1775,FIND("/",$A1775)+1,20))+1,20))),"")))</f>
        <v/>
      </c>
      <c r="E1775">
        <f>IF($A1775="","",IF(OR($B1775="",$C1775="",$D1775="",$B1775&lt;1300,$B1775&gt;1500,$C1775&lt;1,$C1775&gt;12,$D1775&lt;1,$D1775&gt;31),"نامعتبر",RIGHT("0000"&amp;$B1775,4)&amp;"/"&amp;RIGHT("00"&amp;$C1775,2)&amp;"/"&amp;RIGHT("00"&amp;$D1775,2)))</f>
        <v/>
      </c>
      <c r="F1775">
        <f>IF(OR($E1775="",$E1775="نامعتبر"),"",IF(Sync!$Q1772="","0000",IF(AND(ISNUMBER(Sync!$Q1772),Sync!$Q1772&gt;=0,Sync!$Q1772&lt;1),RIGHT("00"&amp;HOUR(Sync!$Q1772),2)&amp;RIGHT("00"&amp;MINUTE(Sync!$Q1772),2),IFERROR(RIGHT("00"&amp;VALUE(LEFT(Sync!$Q1772,FIND(":",Sync!$Q1772)-1)),2)&amp;RIGHT("00"&amp;VALUE(MID(Sync!$Q1772,FIND(":",Sync!$Q1772)+1,2)),2),"0000"))))</f>
        <v/>
      </c>
      <c r="G1775">
        <f>IF(OR($E1775="",$E1775="نامعتبر"),"",IF(Sync!$S1772="","",Sync!$S1772))</f>
        <v/>
      </c>
      <c r="H1775">
        <f>IF(OR($E1775="",$E1775="نامعتبر"),"",IF(Sync!$R1772="","",Sync!$R1772))</f>
        <v/>
      </c>
      <c r="I1775">
        <f>IF(OR($E1775="",$E1775="نامعتبر"),"",IF(Sync!$T1772="","",Sync!$T1772))</f>
        <v/>
      </c>
      <c r="J1775">
        <f>IF(OR($E1775="",$E1775="نامعتبر"),"",IF(Sync!$U1772="","",Sync!$U1772))</f>
        <v/>
      </c>
      <c r="K1775">
        <f>IF(OR($E1775="",$E1775="نامعتبر"),"",IF(Sync!$V1772="","",IFERROR(INDEX(SubCodes,MATCH(Sync!$V1772,SubTitles,0)),Sync!$V1772)))</f>
        <v/>
      </c>
      <c r="L1775">
        <f>IF(OR($E1775="",$E1775="نامعتبر"),"",IF(Sync!$W1772="",0,Sync!$W1772))</f>
        <v/>
      </c>
      <c r="M1775">
        <f>IF(OR($E1775="",$E1775="نامعتبر"),"",IF(Sync!$X1772="",0,Sync!$X1772))</f>
        <v/>
      </c>
      <c r="N1775">
        <f>IF(OR($E1775="",$E1775="نامعتبر"),"",IF(AND($J1775="هزینه",$K1775&lt;&gt;""),1,0))</f>
        <v/>
      </c>
      <c r="O1775">
        <f>IF($N1775=0,"",LEFT($E1775,4)&amp;MID($E1775,6,2)&amp;RIGHT($E1775,2)&amp;$F1775&amp;"|"&amp;"1"&amp;RIGHT("00000"&amp;1767,5))</f>
        <v/>
      </c>
      <c r="P1775">
        <f>IF($O1775="","",COUNTIFS(ExpSub,$K1775,ExpKey,"&lt;"&amp;$O1775)+1)</f>
        <v/>
      </c>
      <c r="Q1775">
        <f>IF($P1775="","",$K1775&amp;"|"&amp;RIGHT("000000"&amp;$P1775,6))</f>
        <v/>
      </c>
    </row>
    <row r="1776">
      <c r="A1776">
        <f>IF(Sync!$P1773="","",Sync!$P1773)</f>
        <v/>
      </c>
      <c r="B1776">
        <f>IF($A1776="","",IF(ISNUMBER($A1776),IF(AND($A1776&gt;=10000101,$A1776&lt;=99991231),INT($A1776/10000),""),IFERROR(VALUE(TRIM(LEFT($A1776,FIND("/",$A1776)-1))),"")))</f>
        <v/>
      </c>
      <c r="C1776">
        <f>IF(OR($A1776="",$B1776=""),"",IF(ISNUMBER($A1776),INT(MOD($A1776,10000)/100),IFERROR(VALUE(TRIM(LEFT(MID($A1776,FIND("/",$A1776)+1,20),FIND("/",MID($A1776,FIND("/",$A1776)+1,20))-1))),"")))</f>
        <v/>
      </c>
      <c r="D1776">
        <f>IF(OR($A1776="",$B1776=""),"",IF(ISNUMBER($A1776),MOD($A1776,100),IFERROR(VALUE(TRIM(MID(MID($A1776,FIND("/",$A1776)+1,20),FIND("/",MID($A1776,FIND("/",$A1776)+1,20))+1,20))),"")))</f>
        <v/>
      </c>
      <c r="E1776">
        <f>IF($A1776="","",IF(OR($B1776="",$C1776="",$D1776="",$B1776&lt;1300,$B1776&gt;1500,$C1776&lt;1,$C1776&gt;12,$D1776&lt;1,$D1776&gt;31),"نامعتبر",RIGHT("0000"&amp;$B1776,4)&amp;"/"&amp;RIGHT("00"&amp;$C1776,2)&amp;"/"&amp;RIGHT("00"&amp;$D1776,2)))</f>
        <v/>
      </c>
      <c r="F1776">
        <f>IF(OR($E1776="",$E1776="نامعتبر"),"",IF(Sync!$Q1773="","0000",IF(AND(ISNUMBER(Sync!$Q1773),Sync!$Q1773&gt;=0,Sync!$Q1773&lt;1),RIGHT("00"&amp;HOUR(Sync!$Q1773),2)&amp;RIGHT("00"&amp;MINUTE(Sync!$Q1773),2),IFERROR(RIGHT("00"&amp;VALUE(LEFT(Sync!$Q1773,FIND(":",Sync!$Q1773)-1)),2)&amp;RIGHT("00"&amp;VALUE(MID(Sync!$Q1773,FIND(":",Sync!$Q1773)+1,2)),2),"0000"))))</f>
        <v/>
      </c>
      <c r="G1776">
        <f>IF(OR($E1776="",$E1776="نامعتبر"),"",IF(Sync!$S1773="","",Sync!$S1773))</f>
        <v/>
      </c>
      <c r="H1776">
        <f>IF(OR($E1776="",$E1776="نامعتبر"),"",IF(Sync!$R1773="","",Sync!$R1773))</f>
        <v/>
      </c>
      <c r="I1776">
        <f>IF(OR($E1776="",$E1776="نامعتبر"),"",IF(Sync!$T1773="","",Sync!$T1773))</f>
        <v/>
      </c>
      <c r="J1776">
        <f>IF(OR($E1776="",$E1776="نامعتبر"),"",IF(Sync!$U1773="","",Sync!$U1773))</f>
        <v/>
      </c>
      <c r="K1776">
        <f>IF(OR($E1776="",$E1776="نامعتبر"),"",IF(Sync!$V1773="","",IFERROR(INDEX(SubCodes,MATCH(Sync!$V1773,SubTitles,0)),Sync!$V1773)))</f>
        <v/>
      </c>
      <c r="L1776">
        <f>IF(OR($E1776="",$E1776="نامعتبر"),"",IF(Sync!$W1773="",0,Sync!$W1773))</f>
        <v/>
      </c>
      <c r="M1776">
        <f>IF(OR($E1776="",$E1776="نامعتبر"),"",IF(Sync!$X1773="",0,Sync!$X1773))</f>
        <v/>
      </c>
      <c r="N1776">
        <f>IF(OR($E1776="",$E1776="نامعتبر"),"",IF(AND($J1776="هزینه",$K1776&lt;&gt;""),1,0))</f>
        <v/>
      </c>
      <c r="O1776">
        <f>IF($N1776=0,"",LEFT($E1776,4)&amp;MID($E1776,6,2)&amp;RIGHT($E1776,2)&amp;$F1776&amp;"|"&amp;"1"&amp;RIGHT("00000"&amp;1768,5))</f>
        <v/>
      </c>
      <c r="P1776">
        <f>IF($O1776="","",COUNTIFS(ExpSub,$K1776,ExpKey,"&lt;"&amp;$O1776)+1)</f>
        <v/>
      </c>
      <c r="Q1776">
        <f>IF($P1776="","",$K1776&amp;"|"&amp;RIGHT("000000"&amp;$P1776,6))</f>
        <v/>
      </c>
    </row>
    <row r="1777">
      <c r="A1777">
        <f>IF(Sync!$P1774="","",Sync!$P1774)</f>
        <v/>
      </c>
      <c r="B1777">
        <f>IF($A1777="","",IF(ISNUMBER($A1777),IF(AND($A1777&gt;=10000101,$A1777&lt;=99991231),INT($A1777/10000),""),IFERROR(VALUE(TRIM(LEFT($A1777,FIND("/",$A1777)-1))),"")))</f>
        <v/>
      </c>
      <c r="C1777">
        <f>IF(OR($A1777="",$B1777=""),"",IF(ISNUMBER($A1777),INT(MOD($A1777,10000)/100),IFERROR(VALUE(TRIM(LEFT(MID($A1777,FIND("/",$A1777)+1,20),FIND("/",MID($A1777,FIND("/",$A1777)+1,20))-1))),"")))</f>
        <v/>
      </c>
      <c r="D1777">
        <f>IF(OR($A1777="",$B1777=""),"",IF(ISNUMBER($A1777),MOD($A1777,100),IFERROR(VALUE(TRIM(MID(MID($A1777,FIND("/",$A1777)+1,20),FIND("/",MID($A1777,FIND("/",$A1777)+1,20))+1,20))),"")))</f>
        <v/>
      </c>
      <c r="E1777">
        <f>IF($A1777="","",IF(OR($B1777="",$C1777="",$D1777="",$B1777&lt;1300,$B1777&gt;1500,$C1777&lt;1,$C1777&gt;12,$D1777&lt;1,$D1777&gt;31),"نامعتبر",RIGHT("0000"&amp;$B1777,4)&amp;"/"&amp;RIGHT("00"&amp;$C1777,2)&amp;"/"&amp;RIGHT("00"&amp;$D1777,2)))</f>
        <v/>
      </c>
      <c r="F1777">
        <f>IF(OR($E1777="",$E1777="نامعتبر"),"",IF(Sync!$Q1774="","0000",IF(AND(ISNUMBER(Sync!$Q1774),Sync!$Q1774&gt;=0,Sync!$Q1774&lt;1),RIGHT("00"&amp;HOUR(Sync!$Q1774),2)&amp;RIGHT("00"&amp;MINUTE(Sync!$Q1774),2),IFERROR(RIGHT("00"&amp;VALUE(LEFT(Sync!$Q1774,FIND(":",Sync!$Q1774)-1)),2)&amp;RIGHT("00"&amp;VALUE(MID(Sync!$Q1774,FIND(":",Sync!$Q1774)+1,2)),2),"0000"))))</f>
        <v/>
      </c>
      <c r="G1777">
        <f>IF(OR($E1777="",$E1777="نامعتبر"),"",IF(Sync!$S1774="","",Sync!$S1774))</f>
        <v/>
      </c>
      <c r="H1777">
        <f>IF(OR($E1777="",$E1777="نامعتبر"),"",IF(Sync!$R1774="","",Sync!$R1774))</f>
        <v/>
      </c>
      <c r="I1777">
        <f>IF(OR($E1777="",$E1777="نامعتبر"),"",IF(Sync!$T1774="","",Sync!$T1774))</f>
        <v/>
      </c>
      <c r="J1777">
        <f>IF(OR($E1777="",$E1777="نامعتبر"),"",IF(Sync!$U1774="","",Sync!$U1774))</f>
        <v/>
      </c>
      <c r="K1777">
        <f>IF(OR($E1777="",$E1777="نامعتبر"),"",IF(Sync!$V1774="","",IFERROR(INDEX(SubCodes,MATCH(Sync!$V1774,SubTitles,0)),Sync!$V1774)))</f>
        <v/>
      </c>
      <c r="L1777">
        <f>IF(OR($E1777="",$E1777="نامعتبر"),"",IF(Sync!$W1774="",0,Sync!$W1774))</f>
        <v/>
      </c>
      <c r="M1777">
        <f>IF(OR($E1777="",$E1777="نامعتبر"),"",IF(Sync!$X1774="",0,Sync!$X1774))</f>
        <v/>
      </c>
      <c r="N1777">
        <f>IF(OR($E1777="",$E1777="نامعتبر"),"",IF(AND($J1777="هزینه",$K1777&lt;&gt;""),1,0))</f>
        <v/>
      </c>
      <c r="O1777">
        <f>IF($N1777=0,"",LEFT($E1777,4)&amp;MID($E1777,6,2)&amp;RIGHT($E1777,2)&amp;$F1777&amp;"|"&amp;"1"&amp;RIGHT("00000"&amp;1769,5))</f>
        <v/>
      </c>
      <c r="P1777">
        <f>IF($O1777="","",COUNTIFS(ExpSub,$K1777,ExpKey,"&lt;"&amp;$O1777)+1)</f>
        <v/>
      </c>
      <c r="Q1777">
        <f>IF($P1777="","",$K1777&amp;"|"&amp;RIGHT("000000"&amp;$P1777,6))</f>
        <v/>
      </c>
    </row>
    <row r="1778">
      <c r="A1778">
        <f>IF(Sync!$P1775="","",Sync!$P1775)</f>
        <v/>
      </c>
      <c r="B1778">
        <f>IF($A1778="","",IF(ISNUMBER($A1778),IF(AND($A1778&gt;=10000101,$A1778&lt;=99991231),INT($A1778/10000),""),IFERROR(VALUE(TRIM(LEFT($A1778,FIND("/",$A1778)-1))),"")))</f>
        <v/>
      </c>
      <c r="C1778">
        <f>IF(OR($A1778="",$B1778=""),"",IF(ISNUMBER($A1778),INT(MOD($A1778,10000)/100),IFERROR(VALUE(TRIM(LEFT(MID($A1778,FIND("/",$A1778)+1,20),FIND("/",MID($A1778,FIND("/",$A1778)+1,20))-1))),"")))</f>
        <v/>
      </c>
      <c r="D1778">
        <f>IF(OR($A1778="",$B1778=""),"",IF(ISNUMBER($A1778),MOD($A1778,100),IFERROR(VALUE(TRIM(MID(MID($A1778,FIND("/",$A1778)+1,20),FIND("/",MID($A1778,FIND("/",$A1778)+1,20))+1,20))),"")))</f>
        <v/>
      </c>
      <c r="E1778">
        <f>IF($A1778="","",IF(OR($B1778="",$C1778="",$D1778="",$B1778&lt;1300,$B1778&gt;1500,$C1778&lt;1,$C1778&gt;12,$D1778&lt;1,$D1778&gt;31),"نامعتبر",RIGHT("0000"&amp;$B1778,4)&amp;"/"&amp;RIGHT("00"&amp;$C1778,2)&amp;"/"&amp;RIGHT("00"&amp;$D1778,2)))</f>
        <v/>
      </c>
      <c r="F1778">
        <f>IF(OR($E1778="",$E1778="نامعتبر"),"",IF(Sync!$Q1775="","0000",IF(AND(ISNUMBER(Sync!$Q1775),Sync!$Q1775&gt;=0,Sync!$Q1775&lt;1),RIGHT("00"&amp;HOUR(Sync!$Q1775),2)&amp;RIGHT("00"&amp;MINUTE(Sync!$Q1775),2),IFERROR(RIGHT("00"&amp;VALUE(LEFT(Sync!$Q1775,FIND(":",Sync!$Q1775)-1)),2)&amp;RIGHT("00"&amp;VALUE(MID(Sync!$Q1775,FIND(":",Sync!$Q1775)+1,2)),2),"0000"))))</f>
        <v/>
      </c>
      <c r="G1778">
        <f>IF(OR($E1778="",$E1778="نامعتبر"),"",IF(Sync!$S1775="","",Sync!$S1775))</f>
        <v/>
      </c>
      <c r="H1778">
        <f>IF(OR($E1778="",$E1778="نامعتبر"),"",IF(Sync!$R1775="","",Sync!$R1775))</f>
        <v/>
      </c>
      <c r="I1778">
        <f>IF(OR($E1778="",$E1778="نامعتبر"),"",IF(Sync!$T1775="","",Sync!$T1775))</f>
        <v/>
      </c>
      <c r="J1778">
        <f>IF(OR($E1778="",$E1778="نامعتبر"),"",IF(Sync!$U1775="","",Sync!$U1775))</f>
        <v/>
      </c>
      <c r="K1778">
        <f>IF(OR($E1778="",$E1778="نامعتبر"),"",IF(Sync!$V1775="","",IFERROR(INDEX(SubCodes,MATCH(Sync!$V1775,SubTitles,0)),Sync!$V1775)))</f>
        <v/>
      </c>
      <c r="L1778">
        <f>IF(OR($E1778="",$E1778="نامعتبر"),"",IF(Sync!$W1775="",0,Sync!$W1775))</f>
        <v/>
      </c>
      <c r="M1778">
        <f>IF(OR($E1778="",$E1778="نامعتبر"),"",IF(Sync!$X1775="",0,Sync!$X1775))</f>
        <v/>
      </c>
      <c r="N1778">
        <f>IF(OR($E1778="",$E1778="نامعتبر"),"",IF(AND($J1778="هزینه",$K1778&lt;&gt;""),1,0))</f>
        <v/>
      </c>
      <c r="O1778">
        <f>IF($N1778=0,"",LEFT($E1778,4)&amp;MID($E1778,6,2)&amp;RIGHT($E1778,2)&amp;$F1778&amp;"|"&amp;"1"&amp;RIGHT("00000"&amp;1770,5))</f>
        <v/>
      </c>
      <c r="P1778">
        <f>IF($O1778="","",COUNTIFS(ExpSub,$K1778,ExpKey,"&lt;"&amp;$O1778)+1)</f>
        <v/>
      </c>
      <c r="Q1778">
        <f>IF($P1778="","",$K1778&amp;"|"&amp;RIGHT("000000"&amp;$P1778,6))</f>
        <v/>
      </c>
    </row>
    <row r="1779">
      <c r="A1779">
        <f>IF(Sync!$P1776="","",Sync!$P1776)</f>
        <v/>
      </c>
      <c r="B1779">
        <f>IF($A1779="","",IF(ISNUMBER($A1779),IF(AND($A1779&gt;=10000101,$A1779&lt;=99991231),INT($A1779/10000),""),IFERROR(VALUE(TRIM(LEFT($A1779,FIND("/",$A1779)-1))),"")))</f>
        <v/>
      </c>
      <c r="C1779">
        <f>IF(OR($A1779="",$B1779=""),"",IF(ISNUMBER($A1779),INT(MOD($A1779,10000)/100),IFERROR(VALUE(TRIM(LEFT(MID($A1779,FIND("/",$A1779)+1,20),FIND("/",MID($A1779,FIND("/",$A1779)+1,20))-1))),"")))</f>
        <v/>
      </c>
      <c r="D1779">
        <f>IF(OR($A1779="",$B1779=""),"",IF(ISNUMBER($A1779),MOD($A1779,100),IFERROR(VALUE(TRIM(MID(MID($A1779,FIND("/",$A1779)+1,20),FIND("/",MID($A1779,FIND("/",$A1779)+1,20))+1,20))),"")))</f>
        <v/>
      </c>
      <c r="E1779">
        <f>IF($A1779="","",IF(OR($B1779="",$C1779="",$D1779="",$B1779&lt;1300,$B1779&gt;1500,$C1779&lt;1,$C1779&gt;12,$D1779&lt;1,$D1779&gt;31),"نامعتبر",RIGHT("0000"&amp;$B1779,4)&amp;"/"&amp;RIGHT("00"&amp;$C1779,2)&amp;"/"&amp;RIGHT("00"&amp;$D1779,2)))</f>
        <v/>
      </c>
      <c r="F1779">
        <f>IF(OR($E1779="",$E1779="نامعتبر"),"",IF(Sync!$Q1776="","0000",IF(AND(ISNUMBER(Sync!$Q1776),Sync!$Q1776&gt;=0,Sync!$Q1776&lt;1),RIGHT("00"&amp;HOUR(Sync!$Q1776),2)&amp;RIGHT("00"&amp;MINUTE(Sync!$Q1776),2),IFERROR(RIGHT("00"&amp;VALUE(LEFT(Sync!$Q1776,FIND(":",Sync!$Q1776)-1)),2)&amp;RIGHT("00"&amp;VALUE(MID(Sync!$Q1776,FIND(":",Sync!$Q1776)+1,2)),2),"0000"))))</f>
        <v/>
      </c>
      <c r="G1779">
        <f>IF(OR($E1779="",$E1779="نامعتبر"),"",IF(Sync!$S1776="","",Sync!$S1776))</f>
        <v/>
      </c>
      <c r="H1779">
        <f>IF(OR($E1779="",$E1779="نامعتبر"),"",IF(Sync!$R1776="","",Sync!$R1776))</f>
        <v/>
      </c>
      <c r="I1779">
        <f>IF(OR($E1779="",$E1779="نامعتبر"),"",IF(Sync!$T1776="","",Sync!$T1776))</f>
        <v/>
      </c>
      <c r="J1779">
        <f>IF(OR($E1779="",$E1779="نامعتبر"),"",IF(Sync!$U1776="","",Sync!$U1776))</f>
        <v/>
      </c>
      <c r="K1779">
        <f>IF(OR($E1779="",$E1779="نامعتبر"),"",IF(Sync!$V1776="","",IFERROR(INDEX(SubCodes,MATCH(Sync!$V1776,SubTitles,0)),Sync!$V1776)))</f>
        <v/>
      </c>
      <c r="L1779">
        <f>IF(OR($E1779="",$E1779="نامعتبر"),"",IF(Sync!$W1776="",0,Sync!$W1776))</f>
        <v/>
      </c>
      <c r="M1779">
        <f>IF(OR($E1779="",$E1779="نامعتبر"),"",IF(Sync!$X1776="",0,Sync!$X1776))</f>
        <v/>
      </c>
      <c r="N1779">
        <f>IF(OR($E1779="",$E1779="نامعتبر"),"",IF(AND($J1779="هزینه",$K1779&lt;&gt;""),1,0))</f>
        <v/>
      </c>
      <c r="O1779">
        <f>IF($N1779=0,"",LEFT($E1779,4)&amp;MID($E1779,6,2)&amp;RIGHT($E1779,2)&amp;$F1779&amp;"|"&amp;"1"&amp;RIGHT("00000"&amp;1771,5))</f>
        <v/>
      </c>
      <c r="P1779">
        <f>IF($O1779="","",COUNTIFS(ExpSub,$K1779,ExpKey,"&lt;"&amp;$O1779)+1)</f>
        <v/>
      </c>
      <c r="Q1779">
        <f>IF($P1779="","",$K1779&amp;"|"&amp;RIGHT("000000"&amp;$P1779,6))</f>
        <v/>
      </c>
    </row>
    <row r="1780">
      <c r="A1780">
        <f>IF(Sync!$P1777="","",Sync!$P1777)</f>
        <v/>
      </c>
      <c r="B1780">
        <f>IF($A1780="","",IF(ISNUMBER($A1780),IF(AND($A1780&gt;=10000101,$A1780&lt;=99991231),INT($A1780/10000),""),IFERROR(VALUE(TRIM(LEFT($A1780,FIND("/",$A1780)-1))),"")))</f>
        <v/>
      </c>
      <c r="C1780">
        <f>IF(OR($A1780="",$B1780=""),"",IF(ISNUMBER($A1780),INT(MOD($A1780,10000)/100),IFERROR(VALUE(TRIM(LEFT(MID($A1780,FIND("/",$A1780)+1,20),FIND("/",MID($A1780,FIND("/",$A1780)+1,20))-1))),"")))</f>
        <v/>
      </c>
      <c r="D1780">
        <f>IF(OR($A1780="",$B1780=""),"",IF(ISNUMBER($A1780),MOD($A1780,100),IFERROR(VALUE(TRIM(MID(MID($A1780,FIND("/",$A1780)+1,20),FIND("/",MID($A1780,FIND("/",$A1780)+1,20))+1,20))),"")))</f>
        <v/>
      </c>
      <c r="E1780">
        <f>IF($A1780="","",IF(OR($B1780="",$C1780="",$D1780="",$B1780&lt;1300,$B1780&gt;1500,$C1780&lt;1,$C1780&gt;12,$D1780&lt;1,$D1780&gt;31),"نامعتبر",RIGHT("0000"&amp;$B1780,4)&amp;"/"&amp;RIGHT("00"&amp;$C1780,2)&amp;"/"&amp;RIGHT("00"&amp;$D1780,2)))</f>
        <v/>
      </c>
      <c r="F1780">
        <f>IF(OR($E1780="",$E1780="نامعتبر"),"",IF(Sync!$Q1777="","0000",IF(AND(ISNUMBER(Sync!$Q1777),Sync!$Q1777&gt;=0,Sync!$Q1777&lt;1),RIGHT("00"&amp;HOUR(Sync!$Q1777),2)&amp;RIGHT("00"&amp;MINUTE(Sync!$Q1777),2),IFERROR(RIGHT("00"&amp;VALUE(LEFT(Sync!$Q1777,FIND(":",Sync!$Q1777)-1)),2)&amp;RIGHT("00"&amp;VALUE(MID(Sync!$Q1777,FIND(":",Sync!$Q1777)+1,2)),2),"0000"))))</f>
        <v/>
      </c>
      <c r="G1780">
        <f>IF(OR($E1780="",$E1780="نامعتبر"),"",IF(Sync!$S1777="","",Sync!$S1777))</f>
        <v/>
      </c>
      <c r="H1780">
        <f>IF(OR($E1780="",$E1780="نامعتبر"),"",IF(Sync!$R1777="","",Sync!$R1777))</f>
        <v/>
      </c>
      <c r="I1780">
        <f>IF(OR($E1780="",$E1780="نامعتبر"),"",IF(Sync!$T1777="","",Sync!$T1777))</f>
        <v/>
      </c>
      <c r="J1780">
        <f>IF(OR($E1780="",$E1780="نامعتبر"),"",IF(Sync!$U1777="","",Sync!$U1777))</f>
        <v/>
      </c>
      <c r="K1780">
        <f>IF(OR($E1780="",$E1780="نامعتبر"),"",IF(Sync!$V1777="","",IFERROR(INDEX(SubCodes,MATCH(Sync!$V1777,SubTitles,0)),Sync!$V1777)))</f>
        <v/>
      </c>
      <c r="L1780">
        <f>IF(OR($E1780="",$E1780="نامعتبر"),"",IF(Sync!$W1777="",0,Sync!$W1777))</f>
        <v/>
      </c>
      <c r="M1780">
        <f>IF(OR($E1780="",$E1780="نامعتبر"),"",IF(Sync!$X1777="",0,Sync!$X1777))</f>
        <v/>
      </c>
      <c r="N1780">
        <f>IF(OR($E1780="",$E1780="نامعتبر"),"",IF(AND($J1780="هزینه",$K1780&lt;&gt;""),1,0))</f>
        <v/>
      </c>
      <c r="O1780">
        <f>IF($N1780=0,"",LEFT($E1780,4)&amp;MID($E1780,6,2)&amp;RIGHT($E1780,2)&amp;$F1780&amp;"|"&amp;"1"&amp;RIGHT("00000"&amp;1772,5))</f>
        <v/>
      </c>
      <c r="P1780">
        <f>IF($O1780="","",COUNTIFS(ExpSub,$K1780,ExpKey,"&lt;"&amp;$O1780)+1)</f>
        <v/>
      </c>
      <c r="Q1780">
        <f>IF($P1780="","",$K1780&amp;"|"&amp;RIGHT("000000"&amp;$P1780,6))</f>
        <v/>
      </c>
    </row>
    <row r="1781">
      <c r="A1781">
        <f>IF(Sync!$P1778="","",Sync!$P1778)</f>
        <v/>
      </c>
      <c r="B1781">
        <f>IF($A1781="","",IF(ISNUMBER($A1781),IF(AND($A1781&gt;=10000101,$A1781&lt;=99991231),INT($A1781/10000),""),IFERROR(VALUE(TRIM(LEFT($A1781,FIND("/",$A1781)-1))),"")))</f>
        <v/>
      </c>
      <c r="C1781">
        <f>IF(OR($A1781="",$B1781=""),"",IF(ISNUMBER($A1781),INT(MOD($A1781,10000)/100),IFERROR(VALUE(TRIM(LEFT(MID($A1781,FIND("/",$A1781)+1,20),FIND("/",MID($A1781,FIND("/",$A1781)+1,20))-1))),"")))</f>
        <v/>
      </c>
      <c r="D1781">
        <f>IF(OR($A1781="",$B1781=""),"",IF(ISNUMBER($A1781),MOD($A1781,100),IFERROR(VALUE(TRIM(MID(MID($A1781,FIND("/",$A1781)+1,20),FIND("/",MID($A1781,FIND("/",$A1781)+1,20))+1,20))),"")))</f>
        <v/>
      </c>
      <c r="E1781">
        <f>IF($A1781="","",IF(OR($B1781="",$C1781="",$D1781="",$B1781&lt;1300,$B1781&gt;1500,$C1781&lt;1,$C1781&gt;12,$D1781&lt;1,$D1781&gt;31),"نامعتبر",RIGHT("0000"&amp;$B1781,4)&amp;"/"&amp;RIGHT("00"&amp;$C1781,2)&amp;"/"&amp;RIGHT("00"&amp;$D1781,2)))</f>
        <v/>
      </c>
      <c r="F1781">
        <f>IF(OR($E1781="",$E1781="نامعتبر"),"",IF(Sync!$Q1778="","0000",IF(AND(ISNUMBER(Sync!$Q1778),Sync!$Q1778&gt;=0,Sync!$Q1778&lt;1),RIGHT("00"&amp;HOUR(Sync!$Q1778),2)&amp;RIGHT("00"&amp;MINUTE(Sync!$Q1778),2),IFERROR(RIGHT("00"&amp;VALUE(LEFT(Sync!$Q1778,FIND(":",Sync!$Q1778)-1)),2)&amp;RIGHT("00"&amp;VALUE(MID(Sync!$Q1778,FIND(":",Sync!$Q1778)+1,2)),2),"0000"))))</f>
        <v/>
      </c>
      <c r="G1781">
        <f>IF(OR($E1781="",$E1781="نامعتبر"),"",IF(Sync!$S1778="","",Sync!$S1778))</f>
        <v/>
      </c>
      <c r="H1781">
        <f>IF(OR($E1781="",$E1781="نامعتبر"),"",IF(Sync!$R1778="","",Sync!$R1778))</f>
        <v/>
      </c>
      <c r="I1781">
        <f>IF(OR($E1781="",$E1781="نامعتبر"),"",IF(Sync!$T1778="","",Sync!$T1778))</f>
        <v/>
      </c>
      <c r="J1781">
        <f>IF(OR($E1781="",$E1781="نامعتبر"),"",IF(Sync!$U1778="","",Sync!$U1778))</f>
        <v/>
      </c>
      <c r="K1781">
        <f>IF(OR($E1781="",$E1781="نامعتبر"),"",IF(Sync!$V1778="","",IFERROR(INDEX(SubCodes,MATCH(Sync!$V1778,SubTitles,0)),Sync!$V1778)))</f>
        <v/>
      </c>
      <c r="L1781">
        <f>IF(OR($E1781="",$E1781="نامعتبر"),"",IF(Sync!$W1778="",0,Sync!$W1778))</f>
        <v/>
      </c>
      <c r="M1781">
        <f>IF(OR($E1781="",$E1781="نامعتبر"),"",IF(Sync!$X1778="",0,Sync!$X1778))</f>
        <v/>
      </c>
      <c r="N1781">
        <f>IF(OR($E1781="",$E1781="نامعتبر"),"",IF(AND($J1781="هزینه",$K1781&lt;&gt;""),1,0))</f>
        <v/>
      </c>
      <c r="O1781">
        <f>IF($N1781=0,"",LEFT($E1781,4)&amp;MID($E1781,6,2)&amp;RIGHT($E1781,2)&amp;$F1781&amp;"|"&amp;"1"&amp;RIGHT("00000"&amp;1773,5))</f>
        <v/>
      </c>
      <c r="P1781">
        <f>IF($O1781="","",COUNTIFS(ExpSub,$K1781,ExpKey,"&lt;"&amp;$O1781)+1)</f>
        <v/>
      </c>
      <c r="Q1781">
        <f>IF($P1781="","",$K1781&amp;"|"&amp;RIGHT("000000"&amp;$P1781,6))</f>
        <v/>
      </c>
    </row>
    <row r="1782">
      <c r="A1782">
        <f>IF(Sync!$P1779="","",Sync!$P1779)</f>
        <v/>
      </c>
      <c r="B1782">
        <f>IF($A1782="","",IF(ISNUMBER($A1782),IF(AND($A1782&gt;=10000101,$A1782&lt;=99991231),INT($A1782/10000),""),IFERROR(VALUE(TRIM(LEFT($A1782,FIND("/",$A1782)-1))),"")))</f>
        <v/>
      </c>
      <c r="C1782">
        <f>IF(OR($A1782="",$B1782=""),"",IF(ISNUMBER($A1782),INT(MOD($A1782,10000)/100),IFERROR(VALUE(TRIM(LEFT(MID($A1782,FIND("/",$A1782)+1,20),FIND("/",MID($A1782,FIND("/",$A1782)+1,20))-1))),"")))</f>
        <v/>
      </c>
      <c r="D1782">
        <f>IF(OR($A1782="",$B1782=""),"",IF(ISNUMBER($A1782),MOD($A1782,100),IFERROR(VALUE(TRIM(MID(MID($A1782,FIND("/",$A1782)+1,20),FIND("/",MID($A1782,FIND("/",$A1782)+1,20))+1,20))),"")))</f>
        <v/>
      </c>
      <c r="E1782">
        <f>IF($A1782="","",IF(OR($B1782="",$C1782="",$D1782="",$B1782&lt;1300,$B1782&gt;1500,$C1782&lt;1,$C1782&gt;12,$D1782&lt;1,$D1782&gt;31),"نامعتبر",RIGHT("0000"&amp;$B1782,4)&amp;"/"&amp;RIGHT("00"&amp;$C1782,2)&amp;"/"&amp;RIGHT("00"&amp;$D1782,2)))</f>
        <v/>
      </c>
      <c r="F1782">
        <f>IF(OR($E1782="",$E1782="نامعتبر"),"",IF(Sync!$Q1779="","0000",IF(AND(ISNUMBER(Sync!$Q1779),Sync!$Q1779&gt;=0,Sync!$Q1779&lt;1),RIGHT("00"&amp;HOUR(Sync!$Q1779),2)&amp;RIGHT("00"&amp;MINUTE(Sync!$Q1779),2),IFERROR(RIGHT("00"&amp;VALUE(LEFT(Sync!$Q1779,FIND(":",Sync!$Q1779)-1)),2)&amp;RIGHT("00"&amp;VALUE(MID(Sync!$Q1779,FIND(":",Sync!$Q1779)+1,2)),2),"0000"))))</f>
        <v/>
      </c>
      <c r="G1782">
        <f>IF(OR($E1782="",$E1782="نامعتبر"),"",IF(Sync!$S1779="","",Sync!$S1779))</f>
        <v/>
      </c>
      <c r="H1782">
        <f>IF(OR($E1782="",$E1782="نامعتبر"),"",IF(Sync!$R1779="","",Sync!$R1779))</f>
        <v/>
      </c>
      <c r="I1782">
        <f>IF(OR($E1782="",$E1782="نامعتبر"),"",IF(Sync!$T1779="","",Sync!$T1779))</f>
        <v/>
      </c>
      <c r="J1782">
        <f>IF(OR($E1782="",$E1782="نامعتبر"),"",IF(Sync!$U1779="","",Sync!$U1779))</f>
        <v/>
      </c>
      <c r="K1782">
        <f>IF(OR($E1782="",$E1782="نامعتبر"),"",IF(Sync!$V1779="","",IFERROR(INDEX(SubCodes,MATCH(Sync!$V1779,SubTitles,0)),Sync!$V1779)))</f>
        <v/>
      </c>
      <c r="L1782">
        <f>IF(OR($E1782="",$E1782="نامعتبر"),"",IF(Sync!$W1779="",0,Sync!$W1779))</f>
        <v/>
      </c>
      <c r="M1782">
        <f>IF(OR($E1782="",$E1782="نامعتبر"),"",IF(Sync!$X1779="",0,Sync!$X1779))</f>
        <v/>
      </c>
      <c r="N1782">
        <f>IF(OR($E1782="",$E1782="نامعتبر"),"",IF(AND($J1782="هزینه",$K1782&lt;&gt;""),1,0))</f>
        <v/>
      </c>
      <c r="O1782">
        <f>IF($N1782=0,"",LEFT($E1782,4)&amp;MID($E1782,6,2)&amp;RIGHT($E1782,2)&amp;$F1782&amp;"|"&amp;"1"&amp;RIGHT("00000"&amp;1774,5))</f>
        <v/>
      </c>
      <c r="P1782">
        <f>IF($O1782="","",COUNTIFS(ExpSub,$K1782,ExpKey,"&lt;"&amp;$O1782)+1)</f>
        <v/>
      </c>
      <c r="Q1782">
        <f>IF($P1782="","",$K1782&amp;"|"&amp;RIGHT("000000"&amp;$P1782,6))</f>
        <v/>
      </c>
    </row>
    <row r="1783">
      <c r="A1783">
        <f>IF(Sync!$P1780="","",Sync!$P1780)</f>
        <v/>
      </c>
      <c r="B1783">
        <f>IF($A1783="","",IF(ISNUMBER($A1783),IF(AND($A1783&gt;=10000101,$A1783&lt;=99991231),INT($A1783/10000),""),IFERROR(VALUE(TRIM(LEFT($A1783,FIND("/",$A1783)-1))),"")))</f>
        <v/>
      </c>
      <c r="C1783">
        <f>IF(OR($A1783="",$B1783=""),"",IF(ISNUMBER($A1783),INT(MOD($A1783,10000)/100),IFERROR(VALUE(TRIM(LEFT(MID($A1783,FIND("/",$A1783)+1,20),FIND("/",MID($A1783,FIND("/",$A1783)+1,20))-1))),"")))</f>
        <v/>
      </c>
      <c r="D1783">
        <f>IF(OR($A1783="",$B1783=""),"",IF(ISNUMBER($A1783),MOD($A1783,100),IFERROR(VALUE(TRIM(MID(MID($A1783,FIND("/",$A1783)+1,20),FIND("/",MID($A1783,FIND("/",$A1783)+1,20))+1,20))),"")))</f>
        <v/>
      </c>
      <c r="E1783">
        <f>IF($A1783="","",IF(OR($B1783="",$C1783="",$D1783="",$B1783&lt;1300,$B1783&gt;1500,$C1783&lt;1,$C1783&gt;12,$D1783&lt;1,$D1783&gt;31),"نامعتبر",RIGHT("0000"&amp;$B1783,4)&amp;"/"&amp;RIGHT("00"&amp;$C1783,2)&amp;"/"&amp;RIGHT("00"&amp;$D1783,2)))</f>
        <v/>
      </c>
      <c r="F1783">
        <f>IF(OR($E1783="",$E1783="نامعتبر"),"",IF(Sync!$Q1780="","0000",IF(AND(ISNUMBER(Sync!$Q1780),Sync!$Q1780&gt;=0,Sync!$Q1780&lt;1),RIGHT("00"&amp;HOUR(Sync!$Q1780),2)&amp;RIGHT("00"&amp;MINUTE(Sync!$Q1780),2),IFERROR(RIGHT("00"&amp;VALUE(LEFT(Sync!$Q1780,FIND(":",Sync!$Q1780)-1)),2)&amp;RIGHT("00"&amp;VALUE(MID(Sync!$Q1780,FIND(":",Sync!$Q1780)+1,2)),2),"0000"))))</f>
        <v/>
      </c>
      <c r="G1783">
        <f>IF(OR($E1783="",$E1783="نامعتبر"),"",IF(Sync!$S1780="","",Sync!$S1780))</f>
        <v/>
      </c>
      <c r="H1783">
        <f>IF(OR($E1783="",$E1783="نامعتبر"),"",IF(Sync!$R1780="","",Sync!$R1780))</f>
        <v/>
      </c>
      <c r="I1783">
        <f>IF(OR($E1783="",$E1783="نامعتبر"),"",IF(Sync!$T1780="","",Sync!$T1780))</f>
        <v/>
      </c>
      <c r="J1783">
        <f>IF(OR($E1783="",$E1783="نامعتبر"),"",IF(Sync!$U1780="","",Sync!$U1780))</f>
        <v/>
      </c>
      <c r="K1783">
        <f>IF(OR($E1783="",$E1783="نامعتبر"),"",IF(Sync!$V1780="","",IFERROR(INDEX(SubCodes,MATCH(Sync!$V1780,SubTitles,0)),Sync!$V1780)))</f>
        <v/>
      </c>
      <c r="L1783">
        <f>IF(OR($E1783="",$E1783="نامعتبر"),"",IF(Sync!$W1780="",0,Sync!$W1780))</f>
        <v/>
      </c>
      <c r="M1783">
        <f>IF(OR($E1783="",$E1783="نامعتبر"),"",IF(Sync!$X1780="",0,Sync!$X1780))</f>
        <v/>
      </c>
      <c r="N1783">
        <f>IF(OR($E1783="",$E1783="نامعتبر"),"",IF(AND($J1783="هزینه",$K1783&lt;&gt;""),1,0))</f>
        <v/>
      </c>
      <c r="O1783">
        <f>IF($N1783=0,"",LEFT($E1783,4)&amp;MID($E1783,6,2)&amp;RIGHT($E1783,2)&amp;$F1783&amp;"|"&amp;"1"&amp;RIGHT("00000"&amp;1775,5))</f>
        <v/>
      </c>
      <c r="P1783">
        <f>IF($O1783="","",COUNTIFS(ExpSub,$K1783,ExpKey,"&lt;"&amp;$O1783)+1)</f>
        <v/>
      </c>
      <c r="Q1783">
        <f>IF($P1783="","",$K1783&amp;"|"&amp;RIGHT("000000"&amp;$P1783,6))</f>
        <v/>
      </c>
    </row>
    <row r="1784">
      <c r="A1784">
        <f>IF(Sync!$P1781="","",Sync!$P1781)</f>
        <v/>
      </c>
      <c r="B1784">
        <f>IF($A1784="","",IF(ISNUMBER($A1784),IF(AND($A1784&gt;=10000101,$A1784&lt;=99991231),INT($A1784/10000),""),IFERROR(VALUE(TRIM(LEFT($A1784,FIND("/",$A1784)-1))),"")))</f>
        <v/>
      </c>
      <c r="C1784">
        <f>IF(OR($A1784="",$B1784=""),"",IF(ISNUMBER($A1784),INT(MOD($A1784,10000)/100),IFERROR(VALUE(TRIM(LEFT(MID($A1784,FIND("/",$A1784)+1,20),FIND("/",MID($A1784,FIND("/",$A1784)+1,20))-1))),"")))</f>
        <v/>
      </c>
      <c r="D1784">
        <f>IF(OR($A1784="",$B1784=""),"",IF(ISNUMBER($A1784),MOD($A1784,100),IFERROR(VALUE(TRIM(MID(MID($A1784,FIND("/",$A1784)+1,20),FIND("/",MID($A1784,FIND("/",$A1784)+1,20))+1,20))),"")))</f>
        <v/>
      </c>
      <c r="E1784">
        <f>IF($A1784="","",IF(OR($B1784="",$C1784="",$D1784="",$B1784&lt;1300,$B1784&gt;1500,$C1784&lt;1,$C1784&gt;12,$D1784&lt;1,$D1784&gt;31),"نامعتبر",RIGHT("0000"&amp;$B1784,4)&amp;"/"&amp;RIGHT("00"&amp;$C1784,2)&amp;"/"&amp;RIGHT("00"&amp;$D1784,2)))</f>
        <v/>
      </c>
      <c r="F1784">
        <f>IF(OR($E1784="",$E1784="نامعتبر"),"",IF(Sync!$Q1781="","0000",IF(AND(ISNUMBER(Sync!$Q1781),Sync!$Q1781&gt;=0,Sync!$Q1781&lt;1),RIGHT("00"&amp;HOUR(Sync!$Q1781),2)&amp;RIGHT("00"&amp;MINUTE(Sync!$Q1781),2),IFERROR(RIGHT("00"&amp;VALUE(LEFT(Sync!$Q1781,FIND(":",Sync!$Q1781)-1)),2)&amp;RIGHT("00"&amp;VALUE(MID(Sync!$Q1781,FIND(":",Sync!$Q1781)+1,2)),2),"0000"))))</f>
        <v/>
      </c>
      <c r="G1784">
        <f>IF(OR($E1784="",$E1784="نامعتبر"),"",IF(Sync!$S1781="","",Sync!$S1781))</f>
        <v/>
      </c>
      <c r="H1784">
        <f>IF(OR($E1784="",$E1784="نامعتبر"),"",IF(Sync!$R1781="","",Sync!$R1781))</f>
        <v/>
      </c>
      <c r="I1784">
        <f>IF(OR($E1784="",$E1784="نامعتبر"),"",IF(Sync!$T1781="","",Sync!$T1781))</f>
        <v/>
      </c>
      <c r="J1784">
        <f>IF(OR($E1784="",$E1784="نامعتبر"),"",IF(Sync!$U1781="","",Sync!$U1781))</f>
        <v/>
      </c>
      <c r="K1784">
        <f>IF(OR($E1784="",$E1784="نامعتبر"),"",IF(Sync!$V1781="","",IFERROR(INDEX(SubCodes,MATCH(Sync!$V1781,SubTitles,0)),Sync!$V1781)))</f>
        <v/>
      </c>
      <c r="L1784">
        <f>IF(OR($E1784="",$E1784="نامعتبر"),"",IF(Sync!$W1781="",0,Sync!$W1781))</f>
        <v/>
      </c>
      <c r="M1784">
        <f>IF(OR($E1784="",$E1784="نامعتبر"),"",IF(Sync!$X1781="",0,Sync!$X1781))</f>
        <v/>
      </c>
      <c r="N1784">
        <f>IF(OR($E1784="",$E1784="نامعتبر"),"",IF(AND($J1784="هزینه",$K1784&lt;&gt;""),1,0))</f>
        <v/>
      </c>
      <c r="O1784">
        <f>IF($N1784=0,"",LEFT($E1784,4)&amp;MID($E1784,6,2)&amp;RIGHT($E1784,2)&amp;$F1784&amp;"|"&amp;"1"&amp;RIGHT("00000"&amp;1776,5))</f>
        <v/>
      </c>
      <c r="P1784">
        <f>IF($O1784="","",COUNTIFS(ExpSub,$K1784,ExpKey,"&lt;"&amp;$O1784)+1)</f>
        <v/>
      </c>
      <c r="Q1784">
        <f>IF($P1784="","",$K1784&amp;"|"&amp;RIGHT("000000"&amp;$P1784,6))</f>
        <v/>
      </c>
    </row>
    <row r="1785">
      <c r="A1785">
        <f>IF(Sync!$P1782="","",Sync!$P1782)</f>
        <v/>
      </c>
      <c r="B1785">
        <f>IF($A1785="","",IF(ISNUMBER($A1785),IF(AND($A1785&gt;=10000101,$A1785&lt;=99991231),INT($A1785/10000),""),IFERROR(VALUE(TRIM(LEFT($A1785,FIND("/",$A1785)-1))),"")))</f>
        <v/>
      </c>
      <c r="C1785">
        <f>IF(OR($A1785="",$B1785=""),"",IF(ISNUMBER($A1785),INT(MOD($A1785,10000)/100),IFERROR(VALUE(TRIM(LEFT(MID($A1785,FIND("/",$A1785)+1,20),FIND("/",MID($A1785,FIND("/",$A1785)+1,20))-1))),"")))</f>
        <v/>
      </c>
      <c r="D1785">
        <f>IF(OR($A1785="",$B1785=""),"",IF(ISNUMBER($A1785),MOD($A1785,100),IFERROR(VALUE(TRIM(MID(MID($A1785,FIND("/",$A1785)+1,20),FIND("/",MID($A1785,FIND("/",$A1785)+1,20))+1,20))),"")))</f>
        <v/>
      </c>
      <c r="E1785">
        <f>IF($A1785="","",IF(OR($B1785="",$C1785="",$D1785="",$B1785&lt;1300,$B1785&gt;1500,$C1785&lt;1,$C1785&gt;12,$D1785&lt;1,$D1785&gt;31),"نامعتبر",RIGHT("0000"&amp;$B1785,4)&amp;"/"&amp;RIGHT("00"&amp;$C1785,2)&amp;"/"&amp;RIGHT("00"&amp;$D1785,2)))</f>
        <v/>
      </c>
      <c r="F1785">
        <f>IF(OR($E1785="",$E1785="نامعتبر"),"",IF(Sync!$Q1782="","0000",IF(AND(ISNUMBER(Sync!$Q1782),Sync!$Q1782&gt;=0,Sync!$Q1782&lt;1),RIGHT("00"&amp;HOUR(Sync!$Q1782),2)&amp;RIGHT("00"&amp;MINUTE(Sync!$Q1782),2),IFERROR(RIGHT("00"&amp;VALUE(LEFT(Sync!$Q1782,FIND(":",Sync!$Q1782)-1)),2)&amp;RIGHT("00"&amp;VALUE(MID(Sync!$Q1782,FIND(":",Sync!$Q1782)+1,2)),2),"0000"))))</f>
        <v/>
      </c>
      <c r="G1785">
        <f>IF(OR($E1785="",$E1785="نامعتبر"),"",IF(Sync!$S1782="","",Sync!$S1782))</f>
        <v/>
      </c>
      <c r="H1785">
        <f>IF(OR($E1785="",$E1785="نامعتبر"),"",IF(Sync!$R1782="","",Sync!$R1782))</f>
        <v/>
      </c>
      <c r="I1785">
        <f>IF(OR($E1785="",$E1785="نامعتبر"),"",IF(Sync!$T1782="","",Sync!$T1782))</f>
        <v/>
      </c>
      <c r="J1785">
        <f>IF(OR($E1785="",$E1785="نامعتبر"),"",IF(Sync!$U1782="","",Sync!$U1782))</f>
        <v/>
      </c>
      <c r="K1785">
        <f>IF(OR($E1785="",$E1785="نامعتبر"),"",IF(Sync!$V1782="","",IFERROR(INDEX(SubCodes,MATCH(Sync!$V1782,SubTitles,0)),Sync!$V1782)))</f>
        <v/>
      </c>
      <c r="L1785">
        <f>IF(OR($E1785="",$E1785="نامعتبر"),"",IF(Sync!$W1782="",0,Sync!$W1782))</f>
        <v/>
      </c>
      <c r="M1785">
        <f>IF(OR($E1785="",$E1785="نامعتبر"),"",IF(Sync!$X1782="",0,Sync!$X1782))</f>
        <v/>
      </c>
      <c r="N1785">
        <f>IF(OR($E1785="",$E1785="نامعتبر"),"",IF(AND($J1785="هزینه",$K1785&lt;&gt;""),1,0))</f>
        <v/>
      </c>
      <c r="O1785">
        <f>IF($N1785=0,"",LEFT($E1785,4)&amp;MID($E1785,6,2)&amp;RIGHT($E1785,2)&amp;$F1785&amp;"|"&amp;"1"&amp;RIGHT("00000"&amp;1777,5))</f>
        <v/>
      </c>
      <c r="P1785">
        <f>IF($O1785="","",COUNTIFS(ExpSub,$K1785,ExpKey,"&lt;"&amp;$O1785)+1)</f>
        <v/>
      </c>
      <c r="Q1785">
        <f>IF($P1785="","",$K1785&amp;"|"&amp;RIGHT("000000"&amp;$P1785,6))</f>
        <v/>
      </c>
    </row>
    <row r="1786">
      <c r="A1786">
        <f>IF(Sync!$P1783="","",Sync!$P1783)</f>
        <v/>
      </c>
      <c r="B1786">
        <f>IF($A1786="","",IF(ISNUMBER($A1786),IF(AND($A1786&gt;=10000101,$A1786&lt;=99991231),INT($A1786/10000),""),IFERROR(VALUE(TRIM(LEFT($A1786,FIND("/",$A1786)-1))),"")))</f>
        <v/>
      </c>
      <c r="C1786">
        <f>IF(OR($A1786="",$B1786=""),"",IF(ISNUMBER($A1786),INT(MOD($A1786,10000)/100),IFERROR(VALUE(TRIM(LEFT(MID($A1786,FIND("/",$A1786)+1,20),FIND("/",MID($A1786,FIND("/",$A1786)+1,20))-1))),"")))</f>
        <v/>
      </c>
      <c r="D1786">
        <f>IF(OR($A1786="",$B1786=""),"",IF(ISNUMBER($A1786),MOD($A1786,100),IFERROR(VALUE(TRIM(MID(MID($A1786,FIND("/",$A1786)+1,20),FIND("/",MID($A1786,FIND("/",$A1786)+1,20))+1,20))),"")))</f>
        <v/>
      </c>
      <c r="E1786">
        <f>IF($A1786="","",IF(OR($B1786="",$C1786="",$D1786="",$B1786&lt;1300,$B1786&gt;1500,$C1786&lt;1,$C1786&gt;12,$D1786&lt;1,$D1786&gt;31),"نامعتبر",RIGHT("0000"&amp;$B1786,4)&amp;"/"&amp;RIGHT("00"&amp;$C1786,2)&amp;"/"&amp;RIGHT("00"&amp;$D1786,2)))</f>
        <v/>
      </c>
      <c r="F1786">
        <f>IF(OR($E1786="",$E1786="نامعتبر"),"",IF(Sync!$Q1783="","0000",IF(AND(ISNUMBER(Sync!$Q1783),Sync!$Q1783&gt;=0,Sync!$Q1783&lt;1),RIGHT("00"&amp;HOUR(Sync!$Q1783),2)&amp;RIGHT("00"&amp;MINUTE(Sync!$Q1783),2),IFERROR(RIGHT("00"&amp;VALUE(LEFT(Sync!$Q1783,FIND(":",Sync!$Q1783)-1)),2)&amp;RIGHT("00"&amp;VALUE(MID(Sync!$Q1783,FIND(":",Sync!$Q1783)+1,2)),2),"0000"))))</f>
        <v/>
      </c>
      <c r="G1786">
        <f>IF(OR($E1786="",$E1786="نامعتبر"),"",IF(Sync!$S1783="","",Sync!$S1783))</f>
        <v/>
      </c>
      <c r="H1786">
        <f>IF(OR($E1786="",$E1786="نامعتبر"),"",IF(Sync!$R1783="","",Sync!$R1783))</f>
        <v/>
      </c>
      <c r="I1786">
        <f>IF(OR($E1786="",$E1786="نامعتبر"),"",IF(Sync!$T1783="","",Sync!$T1783))</f>
        <v/>
      </c>
      <c r="J1786">
        <f>IF(OR($E1786="",$E1786="نامعتبر"),"",IF(Sync!$U1783="","",Sync!$U1783))</f>
        <v/>
      </c>
      <c r="K1786">
        <f>IF(OR($E1786="",$E1786="نامعتبر"),"",IF(Sync!$V1783="","",IFERROR(INDEX(SubCodes,MATCH(Sync!$V1783,SubTitles,0)),Sync!$V1783)))</f>
        <v/>
      </c>
      <c r="L1786">
        <f>IF(OR($E1786="",$E1786="نامعتبر"),"",IF(Sync!$W1783="",0,Sync!$W1783))</f>
        <v/>
      </c>
      <c r="M1786">
        <f>IF(OR($E1786="",$E1786="نامعتبر"),"",IF(Sync!$X1783="",0,Sync!$X1783))</f>
        <v/>
      </c>
      <c r="N1786">
        <f>IF(OR($E1786="",$E1786="نامعتبر"),"",IF(AND($J1786="هزینه",$K1786&lt;&gt;""),1,0))</f>
        <v/>
      </c>
      <c r="O1786">
        <f>IF($N1786=0,"",LEFT($E1786,4)&amp;MID($E1786,6,2)&amp;RIGHT($E1786,2)&amp;$F1786&amp;"|"&amp;"1"&amp;RIGHT("00000"&amp;1778,5))</f>
        <v/>
      </c>
      <c r="P1786">
        <f>IF($O1786="","",COUNTIFS(ExpSub,$K1786,ExpKey,"&lt;"&amp;$O1786)+1)</f>
        <v/>
      </c>
      <c r="Q1786">
        <f>IF($P1786="","",$K1786&amp;"|"&amp;RIGHT("000000"&amp;$P1786,6))</f>
        <v/>
      </c>
    </row>
    <row r="1787">
      <c r="A1787">
        <f>IF(Sync!$P1784="","",Sync!$P1784)</f>
        <v/>
      </c>
      <c r="B1787">
        <f>IF($A1787="","",IF(ISNUMBER($A1787),IF(AND($A1787&gt;=10000101,$A1787&lt;=99991231),INT($A1787/10000),""),IFERROR(VALUE(TRIM(LEFT($A1787,FIND("/",$A1787)-1))),"")))</f>
        <v/>
      </c>
      <c r="C1787">
        <f>IF(OR($A1787="",$B1787=""),"",IF(ISNUMBER($A1787),INT(MOD($A1787,10000)/100),IFERROR(VALUE(TRIM(LEFT(MID($A1787,FIND("/",$A1787)+1,20),FIND("/",MID($A1787,FIND("/",$A1787)+1,20))-1))),"")))</f>
        <v/>
      </c>
      <c r="D1787">
        <f>IF(OR($A1787="",$B1787=""),"",IF(ISNUMBER($A1787),MOD($A1787,100),IFERROR(VALUE(TRIM(MID(MID($A1787,FIND("/",$A1787)+1,20),FIND("/",MID($A1787,FIND("/",$A1787)+1,20))+1,20))),"")))</f>
        <v/>
      </c>
      <c r="E1787">
        <f>IF($A1787="","",IF(OR($B1787="",$C1787="",$D1787="",$B1787&lt;1300,$B1787&gt;1500,$C1787&lt;1,$C1787&gt;12,$D1787&lt;1,$D1787&gt;31),"نامعتبر",RIGHT("0000"&amp;$B1787,4)&amp;"/"&amp;RIGHT("00"&amp;$C1787,2)&amp;"/"&amp;RIGHT("00"&amp;$D1787,2)))</f>
        <v/>
      </c>
      <c r="F1787">
        <f>IF(OR($E1787="",$E1787="نامعتبر"),"",IF(Sync!$Q1784="","0000",IF(AND(ISNUMBER(Sync!$Q1784),Sync!$Q1784&gt;=0,Sync!$Q1784&lt;1),RIGHT("00"&amp;HOUR(Sync!$Q1784),2)&amp;RIGHT("00"&amp;MINUTE(Sync!$Q1784),2),IFERROR(RIGHT("00"&amp;VALUE(LEFT(Sync!$Q1784,FIND(":",Sync!$Q1784)-1)),2)&amp;RIGHT("00"&amp;VALUE(MID(Sync!$Q1784,FIND(":",Sync!$Q1784)+1,2)),2),"0000"))))</f>
        <v/>
      </c>
      <c r="G1787">
        <f>IF(OR($E1787="",$E1787="نامعتبر"),"",IF(Sync!$S1784="","",Sync!$S1784))</f>
        <v/>
      </c>
      <c r="H1787">
        <f>IF(OR($E1787="",$E1787="نامعتبر"),"",IF(Sync!$R1784="","",Sync!$R1784))</f>
        <v/>
      </c>
      <c r="I1787">
        <f>IF(OR($E1787="",$E1787="نامعتبر"),"",IF(Sync!$T1784="","",Sync!$T1784))</f>
        <v/>
      </c>
      <c r="J1787">
        <f>IF(OR($E1787="",$E1787="نامعتبر"),"",IF(Sync!$U1784="","",Sync!$U1784))</f>
        <v/>
      </c>
      <c r="K1787">
        <f>IF(OR($E1787="",$E1787="نامعتبر"),"",IF(Sync!$V1784="","",IFERROR(INDEX(SubCodes,MATCH(Sync!$V1784,SubTitles,0)),Sync!$V1784)))</f>
        <v/>
      </c>
      <c r="L1787">
        <f>IF(OR($E1787="",$E1787="نامعتبر"),"",IF(Sync!$W1784="",0,Sync!$W1784))</f>
        <v/>
      </c>
      <c r="M1787">
        <f>IF(OR($E1787="",$E1787="نامعتبر"),"",IF(Sync!$X1784="",0,Sync!$X1784))</f>
        <v/>
      </c>
      <c r="N1787">
        <f>IF(OR($E1787="",$E1787="نامعتبر"),"",IF(AND($J1787="هزینه",$K1787&lt;&gt;""),1,0))</f>
        <v/>
      </c>
      <c r="O1787">
        <f>IF($N1787=0,"",LEFT($E1787,4)&amp;MID($E1787,6,2)&amp;RIGHT($E1787,2)&amp;$F1787&amp;"|"&amp;"1"&amp;RIGHT("00000"&amp;1779,5))</f>
        <v/>
      </c>
      <c r="P1787">
        <f>IF($O1787="","",COUNTIFS(ExpSub,$K1787,ExpKey,"&lt;"&amp;$O1787)+1)</f>
        <v/>
      </c>
      <c r="Q1787">
        <f>IF($P1787="","",$K1787&amp;"|"&amp;RIGHT("000000"&amp;$P1787,6))</f>
        <v/>
      </c>
    </row>
    <row r="1788">
      <c r="A1788">
        <f>IF(Sync!$P1785="","",Sync!$P1785)</f>
        <v/>
      </c>
      <c r="B1788">
        <f>IF($A1788="","",IF(ISNUMBER($A1788),IF(AND($A1788&gt;=10000101,$A1788&lt;=99991231),INT($A1788/10000),""),IFERROR(VALUE(TRIM(LEFT($A1788,FIND("/",$A1788)-1))),"")))</f>
        <v/>
      </c>
      <c r="C1788">
        <f>IF(OR($A1788="",$B1788=""),"",IF(ISNUMBER($A1788),INT(MOD($A1788,10000)/100),IFERROR(VALUE(TRIM(LEFT(MID($A1788,FIND("/",$A1788)+1,20),FIND("/",MID($A1788,FIND("/",$A1788)+1,20))-1))),"")))</f>
        <v/>
      </c>
      <c r="D1788">
        <f>IF(OR($A1788="",$B1788=""),"",IF(ISNUMBER($A1788),MOD($A1788,100),IFERROR(VALUE(TRIM(MID(MID($A1788,FIND("/",$A1788)+1,20),FIND("/",MID($A1788,FIND("/",$A1788)+1,20))+1,20))),"")))</f>
        <v/>
      </c>
      <c r="E1788">
        <f>IF($A1788="","",IF(OR($B1788="",$C1788="",$D1788="",$B1788&lt;1300,$B1788&gt;1500,$C1788&lt;1,$C1788&gt;12,$D1788&lt;1,$D1788&gt;31),"نامعتبر",RIGHT("0000"&amp;$B1788,4)&amp;"/"&amp;RIGHT("00"&amp;$C1788,2)&amp;"/"&amp;RIGHT("00"&amp;$D1788,2)))</f>
        <v/>
      </c>
      <c r="F1788">
        <f>IF(OR($E1788="",$E1788="نامعتبر"),"",IF(Sync!$Q1785="","0000",IF(AND(ISNUMBER(Sync!$Q1785),Sync!$Q1785&gt;=0,Sync!$Q1785&lt;1),RIGHT("00"&amp;HOUR(Sync!$Q1785),2)&amp;RIGHT("00"&amp;MINUTE(Sync!$Q1785),2),IFERROR(RIGHT("00"&amp;VALUE(LEFT(Sync!$Q1785,FIND(":",Sync!$Q1785)-1)),2)&amp;RIGHT("00"&amp;VALUE(MID(Sync!$Q1785,FIND(":",Sync!$Q1785)+1,2)),2),"0000"))))</f>
        <v/>
      </c>
      <c r="G1788">
        <f>IF(OR($E1788="",$E1788="نامعتبر"),"",IF(Sync!$S1785="","",Sync!$S1785))</f>
        <v/>
      </c>
      <c r="H1788">
        <f>IF(OR($E1788="",$E1788="نامعتبر"),"",IF(Sync!$R1785="","",Sync!$R1785))</f>
        <v/>
      </c>
      <c r="I1788">
        <f>IF(OR($E1788="",$E1788="نامعتبر"),"",IF(Sync!$T1785="","",Sync!$T1785))</f>
        <v/>
      </c>
      <c r="J1788">
        <f>IF(OR($E1788="",$E1788="نامعتبر"),"",IF(Sync!$U1785="","",Sync!$U1785))</f>
        <v/>
      </c>
      <c r="K1788">
        <f>IF(OR($E1788="",$E1788="نامعتبر"),"",IF(Sync!$V1785="","",IFERROR(INDEX(SubCodes,MATCH(Sync!$V1785,SubTitles,0)),Sync!$V1785)))</f>
        <v/>
      </c>
      <c r="L1788">
        <f>IF(OR($E1788="",$E1788="نامعتبر"),"",IF(Sync!$W1785="",0,Sync!$W1785))</f>
        <v/>
      </c>
      <c r="M1788">
        <f>IF(OR($E1788="",$E1788="نامعتبر"),"",IF(Sync!$X1785="",0,Sync!$X1785))</f>
        <v/>
      </c>
      <c r="N1788">
        <f>IF(OR($E1788="",$E1788="نامعتبر"),"",IF(AND($J1788="هزینه",$K1788&lt;&gt;""),1,0))</f>
        <v/>
      </c>
      <c r="O1788">
        <f>IF($N1788=0,"",LEFT($E1788,4)&amp;MID($E1788,6,2)&amp;RIGHT($E1788,2)&amp;$F1788&amp;"|"&amp;"1"&amp;RIGHT("00000"&amp;1780,5))</f>
        <v/>
      </c>
      <c r="P1788">
        <f>IF($O1788="","",COUNTIFS(ExpSub,$K1788,ExpKey,"&lt;"&amp;$O1788)+1)</f>
        <v/>
      </c>
      <c r="Q1788">
        <f>IF($P1788="","",$K1788&amp;"|"&amp;RIGHT("000000"&amp;$P1788,6))</f>
        <v/>
      </c>
    </row>
    <row r="1789">
      <c r="A1789">
        <f>IF(Sync!$P1786="","",Sync!$P1786)</f>
        <v/>
      </c>
      <c r="B1789">
        <f>IF($A1789="","",IF(ISNUMBER($A1789),IF(AND($A1789&gt;=10000101,$A1789&lt;=99991231),INT($A1789/10000),""),IFERROR(VALUE(TRIM(LEFT($A1789,FIND("/",$A1789)-1))),"")))</f>
        <v/>
      </c>
      <c r="C1789">
        <f>IF(OR($A1789="",$B1789=""),"",IF(ISNUMBER($A1789),INT(MOD($A1789,10000)/100),IFERROR(VALUE(TRIM(LEFT(MID($A1789,FIND("/",$A1789)+1,20),FIND("/",MID($A1789,FIND("/",$A1789)+1,20))-1))),"")))</f>
        <v/>
      </c>
      <c r="D1789">
        <f>IF(OR($A1789="",$B1789=""),"",IF(ISNUMBER($A1789),MOD($A1789,100),IFERROR(VALUE(TRIM(MID(MID($A1789,FIND("/",$A1789)+1,20),FIND("/",MID($A1789,FIND("/",$A1789)+1,20))+1,20))),"")))</f>
        <v/>
      </c>
      <c r="E1789">
        <f>IF($A1789="","",IF(OR($B1789="",$C1789="",$D1789="",$B1789&lt;1300,$B1789&gt;1500,$C1789&lt;1,$C1789&gt;12,$D1789&lt;1,$D1789&gt;31),"نامعتبر",RIGHT("0000"&amp;$B1789,4)&amp;"/"&amp;RIGHT("00"&amp;$C1789,2)&amp;"/"&amp;RIGHT("00"&amp;$D1789,2)))</f>
        <v/>
      </c>
      <c r="F1789">
        <f>IF(OR($E1789="",$E1789="نامعتبر"),"",IF(Sync!$Q1786="","0000",IF(AND(ISNUMBER(Sync!$Q1786),Sync!$Q1786&gt;=0,Sync!$Q1786&lt;1),RIGHT("00"&amp;HOUR(Sync!$Q1786),2)&amp;RIGHT("00"&amp;MINUTE(Sync!$Q1786),2),IFERROR(RIGHT("00"&amp;VALUE(LEFT(Sync!$Q1786,FIND(":",Sync!$Q1786)-1)),2)&amp;RIGHT("00"&amp;VALUE(MID(Sync!$Q1786,FIND(":",Sync!$Q1786)+1,2)),2),"0000"))))</f>
        <v/>
      </c>
      <c r="G1789">
        <f>IF(OR($E1789="",$E1789="نامعتبر"),"",IF(Sync!$S1786="","",Sync!$S1786))</f>
        <v/>
      </c>
      <c r="H1789">
        <f>IF(OR($E1789="",$E1789="نامعتبر"),"",IF(Sync!$R1786="","",Sync!$R1786))</f>
        <v/>
      </c>
      <c r="I1789">
        <f>IF(OR($E1789="",$E1789="نامعتبر"),"",IF(Sync!$T1786="","",Sync!$T1786))</f>
        <v/>
      </c>
      <c r="J1789">
        <f>IF(OR($E1789="",$E1789="نامعتبر"),"",IF(Sync!$U1786="","",Sync!$U1786))</f>
        <v/>
      </c>
      <c r="K1789">
        <f>IF(OR($E1789="",$E1789="نامعتبر"),"",IF(Sync!$V1786="","",IFERROR(INDEX(SubCodes,MATCH(Sync!$V1786,SubTitles,0)),Sync!$V1786)))</f>
        <v/>
      </c>
      <c r="L1789">
        <f>IF(OR($E1789="",$E1789="نامعتبر"),"",IF(Sync!$W1786="",0,Sync!$W1786))</f>
        <v/>
      </c>
      <c r="M1789">
        <f>IF(OR($E1789="",$E1789="نامعتبر"),"",IF(Sync!$X1786="",0,Sync!$X1786))</f>
        <v/>
      </c>
      <c r="N1789">
        <f>IF(OR($E1789="",$E1789="نامعتبر"),"",IF(AND($J1789="هزینه",$K1789&lt;&gt;""),1,0))</f>
        <v/>
      </c>
      <c r="O1789">
        <f>IF($N1789=0,"",LEFT($E1789,4)&amp;MID($E1789,6,2)&amp;RIGHT($E1789,2)&amp;$F1789&amp;"|"&amp;"1"&amp;RIGHT("00000"&amp;1781,5))</f>
        <v/>
      </c>
      <c r="P1789">
        <f>IF($O1789="","",COUNTIFS(ExpSub,$K1789,ExpKey,"&lt;"&amp;$O1789)+1)</f>
        <v/>
      </c>
      <c r="Q1789">
        <f>IF($P1789="","",$K1789&amp;"|"&amp;RIGHT("000000"&amp;$P1789,6))</f>
        <v/>
      </c>
    </row>
    <row r="1790">
      <c r="A1790">
        <f>IF(Sync!$P1787="","",Sync!$P1787)</f>
        <v/>
      </c>
      <c r="B1790">
        <f>IF($A1790="","",IF(ISNUMBER($A1790),IF(AND($A1790&gt;=10000101,$A1790&lt;=99991231),INT($A1790/10000),""),IFERROR(VALUE(TRIM(LEFT($A1790,FIND("/",$A1790)-1))),"")))</f>
        <v/>
      </c>
      <c r="C1790">
        <f>IF(OR($A1790="",$B1790=""),"",IF(ISNUMBER($A1790),INT(MOD($A1790,10000)/100),IFERROR(VALUE(TRIM(LEFT(MID($A1790,FIND("/",$A1790)+1,20),FIND("/",MID($A1790,FIND("/",$A1790)+1,20))-1))),"")))</f>
        <v/>
      </c>
      <c r="D1790">
        <f>IF(OR($A1790="",$B1790=""),"",IF(ISNUMBER($A1790),MOD($A1790,100),IFERROR(VALUE(TRIM(MID(MID($A1790,FIND("/",$A1790)+1,20),FIND("/",MID($A1790,FIND("/",$A1790)+1,20))+1,20))),"")))</f>
        <v/>
      </c>
      <c r="E1790">
        <f>IF($A1790="","",IF(OR($B1790="",$C1790="",$D1790="",$B1790&lt;1300,$B1790&gt;1500,$C1790&lt;1,$C1790&gt;12,$D1790&lt;1,$D1790&gt;31),"نامعتبر",RIGHT("0000"&amp;$B1790,4)&amp;"/"&amp;RIGHT("00"&amp;$C1790,2)&amp;"/"&amp;RIGHT("00"&amp;$D1790,2)))</f>
        <v/>
      </c>
      <c r="F1790">
        <f>IF(OR($E1790="",$E1790="نامعتبر"),"",IF(Sync!$Q1787="","0000",IF(AND(ISNUMBER(Sync!$Q1787),Sync!$Q1787&gt;=0,Sync!$Q1787&lt;1),RIGHT("00"&amp;HOUR(Sync!$Q1787),2)&amp;RIGHT("00"&amp;MINUTE(Sync!$Q1787),2),IFERROR(RIGHT("00"&amp;VALUE(LEFT(Sync!$Q1787,FIND(":",Sync!$Q1787)-1)),2)&amp;RIGHT("00"&amp;VALUE(MID(Sync!$Q1787,FIND(":",Sync!$Q1787)+1,2)),2),"0000"))))</f>
        <v/>
      </c>
      <c r="G1790">
        <f>IF(OR($E1790="",$E1790="نامعتبر"),"",IF(Sync!$S1787="","",Sync!$S1787))</f>
        <v/>
      </c>
      <c r="H1790">
        <f>IF(OR($E1790="",$E1790="نامعتبر"),"",IF(Sync!$R1787="","",Sync!$R1787))</f>
        <v/>
      </c>
      <c r="I1790">
        <f>IF(OR($E1790="",$E1790="نامعتبر"),"",IF(Sync!$T1787="","",Sync!$T1787))</f>
        <v/>
      </c>
      <c r="J1790">
        <f>IF(OR($E1790="",$E1790="نامعتبر"),"",IF(Sync!$U1787="","",Sync!$U1787))</f>
        <v/>
      </c>
      <c r="K1790">
        <f>IF(OR($E1790="",$E1790="نامعتبر"),"",IF(Sync!$V1787="","",IFERROR(INDEX(SubCodes,MATCH(Sync!$V1787,SubTitles,0)),Sync!$V1787)))</f>
        <v/>
      </c>
      <c r="L1790">
        <f>IF(OR($E1790="",$E1790="نامعتبر"),"",IF(Sync!$W1787="",0,Sync!$W1787))</f>
        <v/>
      </c>
      <c r="M1790">
        <f>IF(OR($E1790="",$E1790="نامعتبر"),"",IF(Sync!$X1787="",0,Sync!$X1787))</f>
        <v/>
      </c>
      <c r="N1790">
        <f>IF(OR($E1790="",$E1790="نامعتبر"),"",IF(AND($J1790="هزینه",$K1790&lt;&gt;""),1,0))</f>
        <v/>
      </c>
      <c r="O1790">
        <f>IF($N1790=0,"",LEFT($E1790,4)&amp;MID($E1790,6,2)&amp;RIGHT($E1790,2)&amp;$F1790&amp;"|"&amp;"1"&amp;RIGHT("00000"&amp;1782,5))</f>
        <v/>
      </c>
      <c r="P1790">
        <f>IF($O1790="","",COUNTIFS(ExpSub,$K1790,ExpKey,"&lt;"&amp;$O1790)+1)</f>
        <v/>
      </c>
      <c r="Q1790">
        <f>IF($P1790="","",$K1790&amp;"|"&amp;RIGHT("000000"&amp;$P1790,6))</f>
        <v/>
      </c>
    </row>
    <row r="1791">
      <c r="A1791">
        <f>IF(Sync!$P1788="","",Sync!$P1788)</f>
        <v/>
      </c>
      <c r="B1791">
        <f>IF($A1791="","",IF(ISNUMBER($A1791),IF(AND($A1791&gt;=10000101,$A1791&lt;=99991231),INT($A1791/10000),""),IFERROR(VALUE(TRIM(LEFT($A1791,FIND("/",$A1791)-1))),"")))</f>
        <v/>
      </c>
      <c r="C1791">
        <f>IF(OR($A1791="",$B1791=""),"",IF(ISNUMBER($A1791),INT(MOD($A1791,10000)/100),IFERROR(VALUE(TRIM(LEFT(MID($A1791,FIND("/",$A1791)+1,20),FIND("/",MID($A1791,FIND("/",$A1791)+1,20))-1))),"")))</f>
        <v/>
      </c>
      <c r="D1791">
        <f>IF(OR($A1791="",$B1791=""),"",IF(ISNUMBER($A1791),MOD($A1791,100),IFERROR(VALUE(TRIM(MID(MID($A1791,FIND("/",$A1791)+1,20),FIND("/",MID($A1791,FIND("/",$A1791)+1,20))+1,20))),"")))</f>
        <v/>
      </c>
      <c r="E1791">
        <f>IF($A1791="","",IF(OR($B1791="",$C1791="",$D1791="",$B1791&lt;1300,$B1791&gt;1500,$C1791&lt;1,$C1791&gt;12,$D1791&lt;1,$D1791&gt;31),"نامعتبر",RIGHT("0000"&amp;$B1791,4)&amp;"/"&amp;RIGHT("00"&amp;$C1791,2)&amp;"/"&amp;RIGHT("00"&amp;$D1791,2)))</f>
        <v/>
      </c>
      <c r="F1791">
        <f>IF(OR($E1791="",$E1791="نامعتبر"),"",IF(Sync!$Q1788="","0000",IF(AND(ISNUMBER(Sync!$Q1788),Sync!$Q1788&gt;=0,Sync!$Q1788&lt;1),RIGHT("00"&amp;HOUR(Sync!$Q1788),2)&amp;RIGHT("00"&amp;MINUTE(Sync!$Q1788),2),IFERROR(RIGHT("00"&amp;VALUE(LEFT(Sync!$Q1788,FIND(":",Sync!$Q1788)-1)),2)&amp;RIGHT("00"&amp;VALUE(MID(Sync!$Q1788,FIND(":",Sync!$Q1788)+1,2)),2),"0000"))))</f>
        <v/>
      </c>
      <c r="G1791">
        <f>IF(OR($E1791="",$E1791="نامعتبر"),"",IF(Sync!$S1788="","",Sync!$S1788))</f>
        <v/>
      </c>
      <c r="H1791">
        <f>IF(OR($E1791="",$E1791="نامعتبر"),"",IF(Sync!$R1788="","",Sync!$R1788))</f>
        <v/>
      </c>
      <c r="I1791">
        <f>IF(OR($E1791="",$E1791="نامعتبر"),"",IF(Sync!$T1788="","",Sync!$T1788))</f>
        <v/>
      </c>
      <c r="J1791">
        <f>IF(OR($E1791="",$E1791="نامعتبر"),"",IF(Sync!$U1788="","",Sync!$U1788))</f>
        <v/>
      </c>
      <c r="K1791">
        <f>IF(OR($E1791="",$E1791="نامعتبر"),"",IF(Sync!$V1788="","",IFERROR(INDEX(SubCodes,MATCH(Sync!$V1788,SubTitles,0)),Sync!$V1788)))</f>
        <v/>
      </c>
      <c r="L1791">
        <f>IF(OR($E1791="",$E1791="نامعتبر"),"",IF(Sync!$W1788="",0,Sync!$W1788))</f>
        <v/>
      </c>
      <c r="M1791">
        <f>IF(OR($E1791="",$E1791="نامعتبر"),"",IF(Sync!$X1788="",0,Sync!$X1788))</f>
        <v/>
      </c>
      <c r="N1791">
        <f>IF(OR($E1791="",$E1791="نامعتبر"),"",IF(AND($J1791="هزینه",$K1791&lt;&gt;""),1,0))</f>
        <v/>
      </c>
      <c r="O1791">
        <f>IF($N1791=0,"",LEFT($E1791,4)&amp;MID($E1791,6,2)&amp;RIGHT($E1791,2)&amp;$F1791&amp;"|"&amp;"1"&amp;RIGHT("00000"&amp;1783,5))</f>
        <v/>
      </c>
      <c r="P1791">
        <f>IF($O1791="","",COUNTIFS(ExpSub,$K1791,ExpKey,"&lt;"&amp;$O1791)+1)</f>
        <v/>
      </c>
      <c r="Q1791">
        <f>IF($P1791="","",$K1791&amp;"|"&amp;RIGHT("000000"&amp;$P1791,6))</f>
        <v/>
      </c>
    </row>
    <row r="1792">
      <c r="A1792">
        <f>IF(Sync!$P1789="","",Sync!$P1789)</f>
        <v/>
      </c>
      <c r="B1792">
        <f>IF($A1792="","",IF(ISNUMBER($A1792),IF(AND($A1792&gt;=10000101,$A1792&lt;=99991231),INT($A1792/10000),""),IFERROR(VALUE(TRIM(LEFT($A1792,FIND("/",$A1792)-1))),"")))</f>
        <v/>
      </c>
      <c r="C1792">
        <f>IF(OR($A1792="",$B1792=""),"",IF(ISNUMBER($A1792),INT(MOD($A1792,10000)/100),IFERROR(VALUE(TRIM(LEFT(MID($A1792,FIND("/",$A1792)+1,20),FIND("/",MID($A1792,FIND("/",$A1792)+1,20))-1))),"")))</f>
        <v/>
      </c>
      <c r="D1792">
        <f>IF(OR($A1792="",$B1792=""),"",IF(ISNUMBER($A1792),MOD($A1792,100),IFERROR(VALUE(TRIM(MID(MID($A1792,FIND("/",$A1792)+1,20),FIND("/",MID($A1792,FIND("/",$A1792)+1,20))+1,20))),"")))</f>
        <v/>
      </c>
      <c r="E1792">
        <f>IF($A1792="","",IF(OR($B1792="",$C1792="",$D1792="",$B1792&lt;1300,$B1792&gt;1500,$C1792&lt;1,$C1792&gt;12,$D1792&lt;1,$D1792&gt;31),"نامعتبر",RIGHT("0000"&amp;$B1792,4)&amp;"/"&amp;RIGHT("00"&amp;$C1792,2)&amp;"/"&amp;RIGHT("00"&amp;$D1792,2)))</f>
        <v/>
      </c>
      <c r="F1792">
        <f>IF(OR($E1792="",$E1792="نامعتبر"),"",IF(Sync!$Q1789="","0000",IF(AND(ISNUMBER(Sync!$Q1789),Sync!$Q1789&gt;=0,Sync!$Q1789&lt;1),RIGHT("00"&amp;HOUR(Sync!$Q1789),2)&amp;RIGHT("00"&amp;MINUTE(Sync!$Q1789),2),IFERROR(RIGHT("00"&amp;VALUE(LEFT(Sync!$Q1789,FIND(":",Sync!$Q1789)-1)),2)&amp;RIGHT("00"&amp;VALUE(MID(Sync!$Q1789,FIND(":",Sync!$Q1789)+1,2)),2),"0000"))))</f>
        <v/>
      </c>
      <c r="G1792">
        <f>IF(OR($E1792="",$E1792="نامعتبر"),"",IF(Sync!$S1789="","",Sync!$S1789))</f>
        <v/>
      </c>
      <c r="H1792">
        <f>IF(OR($E1792="",$E1792="نامعتبر"),"",IF(Sync!$R1789="","",Sync!$R1789))</f>
        <v/>
      </c>
      <c r="I1792">
        <f>IF(OR($E1792="",$E1792="نامعتبر"),"",IF(Sync!$T1789="","",Sync!$T1789))</f>
        <v/>
      </c>
      <c r="J1792">
        <f>IF(OR($E1792="",$E1792="نامعتبر"),"",IF(Sync!$U1789="","",Sync!$U1789))</f>
        <v/>
      </c>
      <c r="K1792">
        <f>IF(OR($E1792="",$E1792="نامعتبر"),"",IF(Sync!$V1789="","",IFERROR(INDEX(SubCodes,MATCH(Sync!$V1789,SubTitles,0)),Sync!$V1789)))</f>
        <v/>
      </c>
      <c r="L1792">
        <f>IF(OR($E1792="",$E1792="نامعتبر"),"",IF(Sync!$W1789="",0,Sync!$W1789))</f>
        <v/>
      </c>
      <c r="M1792">
        <f>IF(OR($E1792="",$E1792="نامعتبر"),"",IF(Sync!$X1789="",0,Sync!$X1789))</f>
        <v/>
      </c>
      <c r="N1792">
        <f>IF(OR($E1792="",$E1792="نامعتبر"),"",IF(AND($J1792="هزینه",$K1792&lt;&gt;""),1,0))</f>
        <v/>
      </c>
      <c r="O1792">
        <f>IF($N1792=0,"",LEFT($E1792,4)&amp;MID($E1792,6,2)&amp;RIGHT($E1792,2)&amp;$F1792&amp;"|"&amp;"1"&amp;RIGHT("00000"&amp;1784,5))</f>
        <v/>
      </c>
      <c r="P1792">
        <f>IF($O1792="","",COUNTIFS(ExpSub,$K1792,ExpKey,"&lt;"&amp;$O1792)+1)</f>
        <v/>
      </c>
      <c r="Q1792">
        <f>IF($P1792="","",$K1792&amp;"|"&amp;RIGHT("000000"&amp;$P1792,6))</f>
        <v/>
      </c>
    </row>
    <row r="1793">
      <c r="A1793">
        <f>IF(Sync!$P1790="","",Sync!$P1790)</f>
        <v/>
      </c>
      <c r="B1793">
        <f>IF($A1793="","",IF(ISNUMBER($A1793),IF(AND($A1793&gt;=10000101,$A1793&lt;=99991231),INT($A1793/10000),""),IFERROR(VALUE(TRIM(LEFT($A1793,FIND("/",$A1793)-1))),"")))</f>
        <v/>
      </c>
      <c r="C1793">
        <f>IF(OR($A1793="",$B1793=""),"",IF(ISNUMBER($A1793),INT(MOD($A1793,10000)/100),IFERROR(VALUE(TRIM(LEFT(MID($A1793,FIND("/",$A1793)+1,20),FIND("/",MID($A1793,FIND("/",$A1793)+1,20))-1))),"")))</f>
        <v/>
      </c>
      <c r="D1793">
        <f>IF(OR($A1793="",$B1793=""),"",IF(ISNUMBER($A1793),MOD($A1793,100),IFERROR(VALUE(TRIM(MID(MID($A1793,FIND("/",$A1793)+1,20),FIND("/",MID($A1793,FIND("/",$A1793)+1,20))+1,20))),"")))</f>
        <v/>
      </c>
      <c r="E1793">
        <f>IF($A1793="","",IF(OR($B1793="",$C1793="",$D1793="",$B1793&lt;1300,$B1793&gt;1500,$C1793&lt;1,$C1793&gt;12,$D1793&lt;1,$D1793&gt;31),"نامعتبر",RIGHT("0000"&amp;$B1793,4)&amp;"/"&amp;RIGHT("00"&amp;$C1793,2)&amp;"/"&amp;RIGHT("00"&amp;$D1793,2)))</f>
        <v/>
      </c>
      <c r="F1793">
        <f>IF(OR($E1793="",$E1793="نامعتبر"),"",IF(Sync!$Q1790="","0000",IF(AND(ISNUMBER(Sync!$Q1790),Sync!$Q1790&gt;=0,Sync!$Q1790&lt;1),RIGHT("00"&amp;HOUR(Sync!$Q1790),2)&amp;RIGHT("00"&amp;MINUTE(Sync!$Q1790),2),IFERROR(RIGHT("00"&amp;VALUE(LEFT(Sync!$Q1790,FIND(":",Sync!$Q1790)-1)),2)&amp;RIGHT("00"&amp;VALUE(MID(Sync!$Q1790,FIND(":",Sync!$Q1790)+1,2)),2),"0000"))))</f>
        <v/>
      </c>
      <c r="G1793">
        <f>IF(OR($E1793="",$E1793="نامعتبر"),"",IF(Sync!$S1790="","",Sync!$S1790))</f>
        <v/>
      </c>
      <c r="H1793">
        <f>IF(OR($E1793="",$E1793="نامعتبر"),"",IF(Sync!$R1790="","",Sync!$R1790))</f>
        <v/>
      </c>
      <c r="I1793">
        <f>IF(OR($E1793="",$E1793="نامعتبر"),"",IF(Sync!$T1790="","",Sync!$T1790))</f>
        <v/>
      </c>
      <c r="J1793">
        <f>IF(OR($E1793="",$E1793="نامعتبر"),"",IF(Sync!$U1790="","",Sync!$U1790))</f>
        <v/>
      </c>
      <c r="K1793">
        <f>IF(OR($E1793="",$E1793="نامعتبر"),"",IF(Sync!$V1790="","",IFERROR(INDEX(SubCodes,MATCH(Sync!$V1790,SubTitles,0)),Sync!$V1790)))</f>
        <v/>
      </c>
      <c r="L1793">
        <f>IF(OR($E1793="",$E1793="نامعتبر"),"",IF(Sync!$W1790="",0,Sync!$W1790))</f>
        <v/>
      </c>
      <c r="M1793">
        <f>IF(OR($E1793="",$E1793="نامعتبر"),"",IF(Sync!$X1790="",0,Sync!$X1790))</f>
        <v/>
      </c>
      <c r="N1793">
        <f>IF(OR($E1793="",$E1793="نامعتبر"),"",IF(AND($J1793="هزینه",$K1793&lt;&gt;""),1,0))</f>
        <v/>
      </c>
      <c r="O1793">
        <f>IF($N1793=0,"",LEFT($E1793,4)&amp;MID($E1793,6,2)&amp;RIGHT($E1793,2)&amp;$F1793&amp;"|"&amp;"1"&amp;RIGHT("00000"&amp;1785,5))</f>
        <v/>
      </c>
      <c r="P1793">
        <f>IF($O1793="","",COUNTIFS(ExpSub,$K1793,ExpKey,"&lt;"&amp;$O1793)+1)</f>
        <v/>
      </c>
      <c r="Q1793">
        <f>IF($P1793="","",$K1793&amp;"|"&amp;RIGHT("000000"&amp;$P1793,6))</f>
        <v/>
      </c>
    </row>
    <row r="1794">
      <c r="A1794">
        <f>IF(Sync!$P1791="","",Sync!$P1791)</f>
        <v/>
      </c>
      <c r="B1794">
        <f>IF($A1794="","",IF(ISNUMBER($A1794),IF(AND($A1794&gt;=10000101,$A1794&lt;=99991231),INT($A1794/10000),""),IFERROR(VALUE(TRIM(LEFT($A1794,FIND("/",$A1794)-1))),"")))</f>
        <v/>
      </c>
      <c r="C1794">
        <f>IF(OR($A1794="",$B1794=""),"",IF(ISNUMBER($A1794),INT(MOD($A1794,10000)/100),IFERROR(VALUE(TRIM(LEFT(MID($A1794,FIND("/",$A1794)+1,20),FIND("/",MID($A1794,FIND("/",$A1794)+1,20))-1))),"")))</f>
        <v/>
      </c>
      <c r="D1794">
        <f>IF(OR($A1794="",$B1794=""),"",IF(ISNUMBER($A1794),MOD($A1794,100),IFERROR(VALUE(TRIM(MID(MID($A1794,FIND("/",$A1794)+1,20),FIND("/",MID($A1794,FIND("/",$A1794)+1,20))+1,20))),"")))</f>
        <v/>
      </c>
      <c r="E1794">
        <f>IF($A1794="","",IF(OR($B1794="",$C1794="",$D1794="",$B1794&lt;1300,$B1794&gt;1500,$C1794&lt;1,$C1794&gt;12,$D1794&lt;1,$D1794&gt;31),"نامعتبر",RIGHT("0000"&amp;$B1794,4)&amp;"/"&amp;RIGHT("00"&amp;$C1794,2)&amp;"/"&amp;RIGHT("00"&amp;$D1794,2)))</f>
        <v/>
      </c>
      <c r="F1794">
        <f>IF(OR($E1794="",$E1794="نامعتبر"),"",IF(Sync!$Q1791="","0000",IF(AND(ISNUMBER(Sync!$Q1791),Sync!$Q1791&gt;=0,Sync!$Q1791&lt;1),RIGHT("00"&amp;HOUR(Sync!$Q1791),2)&amp;RIGHT("00"&amp;MINUTE(Sync!$Q1791),2),IFERROR(RIGHT("00"&amp;VALUE(LEFT(Sync!$Q1791,FIND(":",Sync!$Q1791)-1)),2)&amp;RIGHT("00"&amp;VALUE(MID(Sync!$Q1791,FIND(":",Sync!$Q1791)+1,2)),2),"0000"))))</f>
        <v/>
      </c>
      <c r="G1794">
        <f>IF(OR($E1794="",$E1794="نامعتبر"),"",IF(Sync!$S1791="","",Sync!$S1791))</f>
        <v/>
      </c>
      <c r="H1794">
        <f>IF(OR($E1794="",$E1794="نامعتبر"),"",IF(Sync!$R1791="","",Sync!$R1791))</f>
        <v/>
      </c>
      <c r="I1794">
        <f>IF(OR($E1794="",$E1794="نامعتبر"),"",IF(Sync!$T1791="","",Sync!$T1791))</f>
        <v/>
      </c>
      <c r="J1794">
        <f>IF(OR($E1794="",$E1794="نامعتبر"),"",IF(Sync!$U1791="","",Sync!$U1791))</f>
        <v/>
      </c>
      <c r="K1794">
        <f>IF(OR($E1794="",$E1794="نامعتبر"),"",IF(Sync!$V1791="","",IFERROR(INDEX(SubCodes,MATCH(Sync!$V1791,SubTitles,0)),Sync!$V1791)))</f>
        <v/>
      </c>
      <c r="L1794">
        <f>IF(OR($E1794="",$E1794="نامعتبر"),"",IF(Sync!$W1791="",0,Sync!$W1791))</f>
        <v/>
      </c>
      <c r="M1794">
        <f>IF(OR($E1794="",$E1794="نامعتبر"),"",IF(Sync!$X1791="",0,Sync!$X1791))</f>
        <v/>
      </c>
      <c r="N1794">
        <f>IF(OR($E1794="",$E1794="نامعتبر"),"",IF(AND($J1794="هزینه",$K1794&lt;&gt;""),1,0))</f>
        <v/>
      </c>
      <c r="O1794">
        <f>IF($N1794=0,"",LEFT($E1794,4)&amp;MID($E1794,6,2)&amp;RIGHT($E1794,2)&amp;$F1794&amp;"|"&amp;"1"&amp;RIGHT("00000"&amp;1786,5))</f>
        <v/>
      </c>
      <c r="P1794">
        <f>IF($O1794="","",COUNTIFS(ExpSub,$K1794,ExpKey,"&lt;"&amp;$O1794)+1)</f>
        <v/>
      </c>
      <c r="Q1794">
        <f>IF($P1794="","",$K1794&amp;"|"&amp;RIGHT("000000"&amp;$P1794,6))</f>
        <v/>
      </c>
    </row>
    <row r="1795">
      <c r="A1795">
        <f>IF(Sync!$P1792="","",Sync!$P1792)</f>
        <v/>
      </c>
      <c r="B1795">
        <f>IF($A1795="","",IF(ISNUMBER($A1795),IF(AND($A1795&gt;=10000101,$A1795&lt;=99991231),INT($A1795/10000),""),IFERROR(VALUE(TRIM(LEFT($A1795,FIND("/",$A1795)-1))),"")))</f>
        <v/>
      </c>
      <c r="C1795">
        <f>IF(OR($A1795="",$B1795=""),"",IF(ISNUMBER($A1795),INT(MOD($A1795,10000)/100),IFERROR(VALUE(TRIM(LEFT(MID($A1795,FIND("/",$A1795)+1,20),FIND("/",MID($A1795,FIND("/",$A1795)+1,20))-1))),"")))</f>
        <v/>
      </c>
      <c r="D1795">
        <f>IF(OR($A1795="",$B1795=""),"",IF(ISNUMBER($A1795),MOD($A1795,100),IFERROR(VALUE(TRIM(MID(MID($A1795,FIND("/",$A1795)+1,20),FIND("/",MID($A1795,FIND("/",$A1795)+1,20))+1,20))),"")))</f>
        <v/>
      </c>
      <c r="E1795">
        <f>IF($A1795="","",IF(OR($B1795="",$C1795="",$D1795="",$B1795&lt;1300,$B1795&gt;1500,$C1795&lt;1,$C1795&gt;12,$D1795&lt;1,$D1795&gt;31),"نامعتبر",RIGHT("0000"&amp;$B1795,4)&amp;"/"&amp;RIGHT("00"&amp;$C1795,2)&amp;"/"&amp;RIGHT("00"&amp;$D1795,2)))</f>
        <v/>
      </c>
      <c r="F1795">
        <f>IF(OR($E1795="",$E1795="نامعتبر"),"",IF(Sync!$Q1792="","0000",IF(AND(ISNUMBER(Sync!$Q1792),Sync!$Q1792&gt;=0,Sync!$Q1792&lt;1),RIGHT("00"&amp;HOUR(Sync!$Q1792),2)&amp;RIGHT("00"&amp;MINUTE(Sync!$Q1792),2),IFERROR(RIGHT("00"&amp;VALUE(LEFT(Sync!$Q1792,FIND(":",Sync!$Q1792)-1)),2)&amp;RIGHT("00"&amp;VALUE(MID(Sync!$Q1792,FIND(":",Sync!$Q1792)+1,2)),2),"0000"))))</f>
        <v/>
      </c>
      <c r="G1795">
        <f>IF(OR($E1795="",$E1795="نامعتبر"),"",IF(Sync!$S1792="","",Sync!$S1792))</f>
        <v/>
      </c>
      <c r="H1795">
        <f>IF(OR($E1795="",$E1795="نامعتبر"),"",IF(Sync!$R1792="","",Sync!$R1792))</f>
        <v/>
      </c>
      <c r="I1795">
        <f>IF(OR($E1795="",$E1795="نامعتبر"),"",IF(Sync!$T1792="","",Sync!$T1792))</f>
        <v/>
      </c>
      <c r="J1795">
        <f>IF(OR($E1795="",$E1795="نامعتبر"),"",IF(Sync!$U1792="","",Sync!$U1792))</f>
        <v/>
      </c>
      <c r="K1795">
        <f>IF(OR($E1795="",$E1795="نامعتبر"),"",IF(Sync!$V1792="","",IFERROR(INDEX(SubCodes,MATCH(Sync!$V1792,SubTitles,0)),Sync!$V1792)))</f>
        <v/>
      </c>
      <c r="L1795">
        <f>IF(OR($E1795="",$E1795="نامعتبر"),"",IF(Sync!$W1792="",0,Sync!$W1792))</f>
        <v/>
      </c>
      <c r="M1795">
        <f>IF(OR($E1795="",$E1795="نامعتبر"),"",IF(Sync!$X1792="",0,Sync!$X1792))</f>
        <v/>
      </c>
      <c r="N1795">
        <f>IF(OR($E1795="",$E1795="نامعتبر"),"",IF(AND($J1795="هزینه",$K1795&lt;&gt;""),1,0))</f>
        <v/>
      </c>
      <c r="O1795">
        <f>IF($N1795=0,"",LEFT($E1795,4)&amp;MID($E1795,6,2)&amp;RIGHT($E1795,2)&amp;$F1795&amp;"|"&amp;"1"&amp;RIGHT("00000"&amp;1787,5))</f>
        <v/>
      </c>
      <c r="P1795">
        <f>IF($O1795="","",COUNTIFS(ExpSub,$K1795,ExpKey,"&lt;"&amp;$O1795)+1)</f>
        <v/>
      </c>
      <c r="Q1795">
        <f>IF($P1795="","",$K1795&amp;"|"&amp;RIGHT("000000"&amp;$P1795,6))</f>
        <v/>
      </c>
    </row>
    <row r="1796">
      <c r="A1796">
        <f>IF(Sync!$P1793="","",Sync!$P1793)</f>
        <v/>
      </c>
      <c r="B1796">
        <f>IF($A1796="","",IF(ISNUMBER($A1796),IF(AND($A1796&gt;=10000101,$A1796&lt;=99991231),INT($A1796/10000),""),IFERROR(VALUE(TRIM(LEFT($A1796,FIND("/",$A1796)-1))),"")))</f>
        <v/>
      </c>
      <c r="C1796">
        <f>IF(OR($A1796="",$B1796=""),"",IF(ISNUMBER($A1796),INT(MOD($A1796,10000)/100),IFERROR(VALUE(TRIM(LEFT(MID($A1796,FIND("/",$A1796)+1,20),FIND("/",MID($A1796,FIND("/",$A1796)+1,20))-1))),"")))</f>
        <v/>
      </c>
      <c r="D1796">
        <f>IF(OR($A1796="",$B1796=""),"",IF(ISNUMBER($A1796),MOD($A1796,100),IFERROR(VALUE(TRIM(MID(MID($A1796,FIND("/",$A1796)+1,20),FIND("/",MID($A1796,FIND("/",$A1796)+1,20))+1,20))),"")))</f>
        <v/>
      </c>
      <c r="E1796">
        <f>IF($A1796="","",IF(OR($B1796="",$C1796="",$D1796="",$B1796&lt;1300,$B1796&gt;1500,$C1796&lt;1,$C1796&gt;12,$D1796&lt;1,$D1796&gt;31),"نامعتبر",RIGHT("0000"&amp;$B1796,4)&amp;"/"&amp;RIGHT("00"&amp;$C1796,2)&amp;"/"&amp;RIGHT("00"&amp;$D1796,2)))</f>
        <v/>
      </c>
      <c r="F1796">
        <f>IF(OR($E1796="",$E1796="نامعتبر"),"",IF(Sync!$Q1793="","0000",IF(AND(ISNUMBER(Sync!$Q1793),Sync!$Q1793&gt;=0,Sync!$Q1793&lt;1),RIGHT("00"&amp;HOUR(Sync!$Q1793),2)&amp;RIGHT("00"&amp;MINUTE(Sync!$Q1793),2),IFERROR(RIGHT("00"&amp;VALUE(LEFT(Sync!$Q1793,FIND(":",Sync!$Q1793)-1)),2)&amp;RIGHT("00"&amp;VALUE(MID(Sync!$Q1793,FIND(":",Sync!$Q1793)+1,2)),2),"0000"))))</f>
        <v/>
      </c>
      <c r="G1796">
        <f>IF(OR($E1796="",$E1796="نامعتبر"),"",IF(Sync!$S1793="","",Sync!$S1793))</f>
        <v/>
      </c>
      <c r="H1796">
        <f>IF(OR($E1796="",$E1796="نامعتبر"),"",IF(Sync!$R1793="","",Sync!$R1793))</f>
        <v/>
      </c>
      <c r="I1796">
        <f>IF(OR($E1796="",$E1796="نامعتبر"),"",IF(Sync!$T1793="","",Sync!$T1793))</f>
        <v/>
      </c>
      <c r="J1796">
        <f>IF(OR($E1796="",$E1796="نامعتبر"),"",IF(Sync!$U1793="","",Sync!$U1793))</f>
        <v/>
      </c>
      <c r="K1796">
        <f>IF(OR($E1796="",$E1796="نامعتبر"),"",IF(Sync!$V1793="","",IFERROR(INDEX(SubCodes,MATCH(Sync!$V1793,SubTitles,0)),Sync!$V1793)))</f>
        <v/>
      </c>
      <c r="L1796">
        <f>IF(OR($E1796="",$E1796="نامعتبر"),"",IF(Sync!$W1793="",0,Sync!$W1793))</f>
        <v/>
      </c>
      <c r="M1796">
        <f>IF(OR($E1796="",$E1796="نامعتبر"),"",IF(Sync!$X1793="",0,Sync!$X1793))</f>
        <v/>
      </c>
      <c r="N1796">
        <f>IF(OR($E1796="",$E1796="نامعتبر"),"",IF(AND($J1796="هزینه",$K1796&lt;&gt;""),1,0))</f>
        <v/>
      </c>
      <c r="O1796">
        <f>IF($N1796=0,"",LEFT($E1796,4)&amp;MID($E1796,6,2)&amp;RIGHT($E1796,2)&amp;$F1796&amp;"|"&amp;"1"&amp;RIGHT("00000"&amp;1788,5))</f>
        <v/>
      </c>
      <c r="P1796">
        <f>IF($O1796="","",COUNTIFS(ExpSub,$K1796,ExpKey,"&lt;"&amp;$O1796)+1)</f>
        <v/>
      </c>
      <c r="Q1796">
        <f>IF($P1796="","",$K1796&amp;"|"&amp;RIGHT("000000"&amp;$P1796,6))</f>
        <v/>
      </c>
    </row>
    <row r="1797">
      <c r="A1797">
        <f>IF(Sync!$P1794="","",Sync!$P1794)</f>
        <v/>
      </c>
      <c r="B1797">
        <f>IF($A1797="","",IF(ISNUMBER($A1797),IF(AND($A1797&gt;=10000101,$A1797&lt;=99991231),INT($A1797/10000),""),IFERROR(VALUE(TRIM(LEFT($A1797,FIND("/",$A1797)-1))),"")))</f>
        <v/>
      </c>
      <c r="C1797">
        <f>IF(OR($A1797="",$B1797=""),"",IF(ISNUMBER($A1797),INT(MOD($A1797,10000)/100),IFERROR(VALUE(TRIM(LEFT(MID($A1797,FIND("/",$A1797)+1,20),FIND("/",MID($A1797,FIND("/",$A1797)+1,20))-1))),"")))</f>
        <v/>
      </c>
      <c r="D1797">
        <f>IF(OR($A1797="",$B1797=""),"",IF(ISNUMBER($A1797),MOD($A1797,100),IFERROR(VALUE(TRIM(MID(MID($A1797,FIND("/",$A1797)+1,20),FIND("/",MID($A1797,FIND("/",$A1797)+1,20))+1,20))),"")))</f>
        <v/>
      </c>
      <c r="E1797">
        <f>IF($A1797="","",IF(OR($B1797="",$C1797="",$D1797="",$B1797&lt;1300,$B1797&gt;1500,$C1797&lt;1,$C1797&gt;12,$D1797&lt;1,$D1797&gt;31),"نامعتبر",RIGHT("0000"&amp;$B1797,4)&amp;"/"&amp;RIGHT("00"&amp;$C1797,2)&amp;"/"&amp;RIGHT("00"&amp;$D1797,2)))</f>
        <v/>
      </c>
      <c r="F1797">
        <f>IF(OR($E1797="",$E1797="نامعتبر"),"",IF(Sync!$Q1794="","0000",IF(AND(ISNUMBER(Sync!$Q1794),Sync!$Q1794&gt;=0,Sync!$Q1794&lt;1),RIGHT("00"&amp;HOUR(Sync!$Q1794),2)&amp;RIGHT("00"&amp;MINUTE(Sync!$Q1794),2),IFERROR(RIGHT("00"&amp;VALUE(LEFT(Sync!$Q1794,FIND(":",Sync!$Q1794)-1)),2)&amp;RIGHT("00"&amp;VALUE(MID(Sync!$Q1794,FIND(":",Sync!$Q1794)+1,2)),2),"0000"))))</f>
        <v/>
      </c>
      <c r="G1797">
        <f>IF(OR($E1797="",$E1797="نامعتبر"),"",IF(Sync!$S1794="","",Sync!$S1794))</f>
        <v/>
      </c>
      <c r="H1797">
        <f>IF(OR($E1797="",$E1797="نامعتبر"),"",IF(Sync!$R1794="","",Sync!$R1794))</f>
        <v/>
      </c>
      <c r="I1797">
        <f>IF(OR($E1797="",$E1797="نامعتبر"),"",IF(Sync!$T1794="","",Sync!$T1794))</f>
        <v/>
      </c>
      <c r="J1797">
        <f>IF(OR($E1797="",$E1797="نامعتبر"),"",IF(Sync!$U1794="","",Sync!$U1794))</f>
        <v/>
      </c>
      <c r="K1797">
        <f>IF(OR($E1797="",$E1797="نامعتبر"),"",IF(Sync!$V1794="","",IFERROR(INDEX(SubCodes,MATCH(Sync!$V1794,SubTitles,0)),Sync!$V1794)))</f>
        <v/>
      </c>
      <c r="L1797">
        <f>IF(OR($E1797="",$E1797="نامعتبر"),"",IF(Sync!$W1794="",0,Sync!$W1794))</f>
        <v/>
      </c>
      <c r="M1797">
        <f>IF(OR($E1797="",$E1797="نامعتبر"),"",IF(Sync!$X1794="",0,Sync!$X1794))</f>
        <v/>
      </c>
      <c r="N1797">
        <f>IF(OR($E1797="",$E1797="نامعتبر"),"",IF(AND($J1797="هزینه",$K1797&lt;&gt;""),1,0))</f>
        <v/>
      </c>
      <c r="O1797">
        <f>IF($N1797=0,"",LEFT($E1797,4)&amp;MID($E1797,6,2)&amp;RIGHT($E1797,2)&amp;$F1797&amp;"|"&amp;"1"&amp;RIGHT("00000"&amp;1789,5))</f>
        <v/>
      </c>
      <c r="P1797">
        <f>IF($O1797="","",COUNTIFS(ExpSub,$K1797,ExpKey,"&lt;"&amp;$O1797)+1)</f>
        <v/>
      </c>
      <c r="Q1797">
        <f>IF($P1797="","",$K1797&amp;"|"&amp;RIGHT("000000"&amp;$P1797,6))</f>
        <v/>
      </c>
    </row>
    <row r="1798">
      <c r="A1798">
        <f>IF(Sync!$P1795="","",Sync!$P1795)</f>
        <v/>
      </c>
      <c r="B1798">
        <f>IF($A1798="","",IF(ISNUMBER($A1798),IF(AND($A1798&gt;=10000101,$A1798&lt;=99991231),INT($A1798/10000),""),IFERROR(VALUE(TRIM(LEFT($A1798,FIND("/",$A1798)-1))),"")))</f>
        <v/>
      </c>
      <c r="C1798">
        <f>IF(OR($A1798="",$B1798=""),"",IF(ISNUMBER($A1798),INT(MOD($A1798,10000)/100),IFERROR(VALUE(TRIM(LEFT(MID($A1798,FIND("/",$A1798)+1,20),FIND("/",MID($A1798,FIND("/",$A1798)+1,20))-1))),"")))</f>
        <v/>
      </c>
      <c r="D1798">
        <f>IF(OR($A1798="",$B1798=""),"",IF(ISNUMBER($A1798),MOD($A1798,100),IFERROR(VALUE(TRIM(MID(MID($A1798,FIND("/",$A1798)+1,20),FIND("/",MID($A1798,FIND("/",$A1798)+1,20))+1,20))),"")))</f>
        <v/>
      </c>
      <c r="E1798">
        <f>IF($A1798="","",IF(OR($B1798="",$C1798="",$D1798="",$B1798&lt;1300,$B1798&gt;1500,$C1798&lt;1,$C1798&gt;12,$D1798&lt;1,$D1798&gt;31),"نامعتبر",RIGHT("0000"&amp;$B1798,4)&amp;"/"&amp;RIGHT("00"&amp;$C1798,2)&amp;"/"&amp;RIGHT("00"&amp;$D1798,2)))</f>
        <v/>
      </c>
      <c r="F1798">
        <f>IF(OR($E1798="",$E1798="نامعتبر"),"",IF(Sync!$Q1795="","0000",IF(AND(ISNUMBER(Sync!$Q1795),Sync!$Q1795&gt;=0,Sync!$Q1795&lt;1),RIGHT("00"&amp;HOUR(Sync!$Q1795),2)&amp;RIGHT("00"&amp;MINUTE(Sync!$Q1795),2),IFERROR(RIGHT("00"&amp;VALUE(LEFT(Sync!$Q1795,FIND(":",Sync!$Q1795)-1)),2)&amp;RIGHT("00"&amp;VALUE(MID(Sync!$Q1795,FIND(":",Sync!$Q1795)+1,2)),2),"0000"))))</f>
        <v/>
      </c>
      <c r="G1798">
        <f>IF(OR($E1798="",$E1798="نامعتبر"),"",IF(Sync!$S1795="","",Sync!$S1795))</f>
        <v/>
      </c>
      <c r="H1798">
        <f>IF(OR($E1798="",$E1798="نامعتبر"),"",IF(Sync!$R1795="","",Sync!$R1795))</f>
        <v/>
      </c>
      <c r="I1798">
        <f>IF(OR($E1798="",$E1798="نامعتبر"),"",IF(Sync!$T1795="","",Sync!$T1795))</f>
        <v/>
      </c>
      <c r="J1798">
        <f>IF(OR($E1798="",$E1798="نامعتبر"),"",IF(Sync!$U1795="","",Sync!$U1795))</f>
        <v/>
      </c>
      <c r="K1798">
        <f>IF(OR($E1798="",$E1798="نامعتبر"),"",IF(Sync!$V1795="","",IFERROR(INDEX(SubCodes,MATCH(Sync!$V1795,SubTitles,0)),Sync!$V1795)))</f>
        <v/>
      </c>
      <c r="L1798">
        <f>IF(OR($E1798="",$E1798="نامعتبر"),"",IF(Sync!$W1795="",0,Sync!$W1795))</f>
        <v/>
      </c>
      <c r="M1798">
        <f>IF(OR($E1798="",$E1798="نامعتبر"),"",IF(Sync!$X1795="",0,Sync!$X1795))</f>
        <v/>
      </c>
      <c r="N1798">
        <f>IF(OR($E1798="",$E1798="نامعتبر"),"",IF(AND($J1798="هزینه",$K1798&lt;&gt;""),1,0))</f>
        <v/>
      </c>
      <c r="O1798">
        <f>IF($N1798=0,"",LEFT($E1798,4)&amp;MID($E1798,6,2)&amp;RIGHT($E1798,2)&amp;$F1798&amp;"|"&amp;"1"&amp;RIGHT("00000"&amp;1790,5))</f>
        <v/>
      </c>
      <c r="P1798">
        <f>IF($O1798="","",COUNTIFS(ExpSub,$K1798,ExpKey,"&lt;"&amp;$O1798)+1)</f>
        <v/>
      </c>
      <c r="Q1798">
        <f>IF($P1798="","",$K1798&amp;"|"&amp;RIGHT("000000"&amp;$P1798,6))</f>
        <v/>
      </c>
    </row>
    <row r="1799">
      <c r="A1799">
        <f>IF(Sync!$P1796="","",Sync!$P1796)</f>
        <v/>
      </c>
      <c r="B1799">
        <f>IF($A1799="","",IF(ISNUMBER($A1799),IF(AND($A1799&gt;=10000101,$A1799&lt;=99991231),INT($A1799/10000),""),IFERROR(VALUE(TRIM(LEFT($A1799,FIND("/",$A1799)-1))),"")))</f>
        <v/>
      </c>
      <c r="C1799">
        <f>IF(OR($A1799="",$B1799=""),"",IF(ISNUMBER($A1799),INT(MOD($A1799,10000)/100),IFERROR(VALUE(TRIM(LEFT(MID($A1799,FIND("/",$A1799)+1,20),FIND("/",MID($A1799,FIND("/",$A1799)+1,20))-1))),"")))</f>
        <v/>
      </c>
      <c r="D1799">
        <f>IF(OR($A1799="",$B1799=""),"",IF(ISNUMBER($A1799),MOD($A1799,100),IFERROR(VALUE(TRIM(MID(MID($A1799,FIND("/",$A1799)+1,20),FIND("/",MID($A1799,FIND("/",$A1799)+1,20))+1,20))),"")))</f>
        <v/>
      </c>
      <c r="E1799">
        <f>IF($A1799="","",IF(OR($B1799="",$C1799="",$D1799="",$B1799&lt;1300,$B1799&gt;1500,$C1799&lt;1,$C1799&gt;12,$D1799&lt;1,$D1799&gt;31),"نامعتبر",RIGHT("0000"&amp;$B1799,4)&amp;"/"&amp;RIGHT("00"&amp;$C1799,2)&amp;"/"&amp;RIGHT("00"&amp;$D1799,2)))</f>
        <v/>
      </c>
      <c r="F1799">
        <f>IF(OR($E1799="",$E1799="نامعتبر"),"",IF(Sync!$Q1796="","0000",IF(AND(ISNUMBER(Sync!$Q1796),Sync!$Q1796&gt;=0,Sync!$Q1796&lt;1),RIGHT("00"&amp;HOUR(Sync!$Q1796),2)&amp;RIGHT("00"&amp;MINUTE(Sync!$Q1796),2),IFERROR(RIGHT("00"&amp;VALUE(LEFT(Sync!$Q1796,FIND(":",Sync!$Q1796)-1)),2)&amp;RIGHT("00"&amp;VALUE(MID(Sync!$Q1796,FIND(":",Sync!$Q1796)+1,2)),2),"0000"))))</f>
        <v/>
      </c>
      <c r="G1799">
        <f>IF(OR($E1799="",$E1799="نامعتبر"),"",IF(Sync!$S1796="","",Sync!$S1796))</f>
        <v/>
      </c>
      <c r="H1799">
        <f>IF(OR($E1799="",$E1799="نامعتبر"),"",IF(Sync!$R1796="","",Sync!$R1796))</f>
        <v/>
      </c>
      <c r="I1799">
        <f>IF(OR($E1799="",$E1799="نامعتبر"),"",IF(Sync!$T1796="","",Sync!$T1796))</f>
        <v/>
      </c>
      <c r="J1799">
        <f>IF(OR($E1799="",$E1799="نامعتبر"),"",IF(Sync!$U1796="","",Sync!$U1796))</f>
        <v/>
      </c>
      <c r="K1799">
        <f>IF(OR($E1799="",$E1799="نامعتبر"),"",IF(Sync!$V1796="","",IFERROR(INDEX(SubCodes,MATCH(Sync!$V1796,SubTitles,0)),Sync!$V1796)))</f>
        <v/>
      </c>
      <c r="L1799">
        <f>IF(OR($E1799="",$E1799="نامعتبر"),"",IF(Sync!$W1796="",0,Sync!$W1796))</f>
        <v/>
      </c>
      <c r="M1799">
        <f>IF(OR($E1799="",$E1799="نامعتبر"),"",IF(Sync!$X1796="",0,Sync!$X1796))</f>
        <v/>
      </c>
      <c r="N1799">
        <f>IF(OR($E1799="",$E1799="نامعتبر"),"",IF(AND($J1799="هزینه",$K1799&lt;&gt;""),1,0))</f>
        <v/>
      </c>
      <c r="O1799">
        <f>IF($N1799=0,"",LEFT($E1799,4)&amp;MID($E1799,6,2)&amp;RIGHT($E1799,2)&amp;$F1799&amp;"|"&amp;"1"&amp;RIGHT("00000"&amp;1791,5))</f>
        <v/>
      </c>
      <c r="P1799">
        <f>IF($O1799="","",COUNTIFS(ExpSub,$K1799,ExpKey,"&lt;"&amp;$O1799)+1)</f>
        <v/>
      </c>
      <c r="Q1799">
        <f>IF($P1799="","",$K1799&amp;"|"&amp;RIGHT("000000"&amp;$P1799,6))</f>
        <v/>
      </c>
    </row>
    <row r="1800">
      <c r="A1800">
        <f>IF(Sync!$P1797="","",Sync!$P1797)</f>
        <v/>
      </c>
      <c r="B1800">
        <f>IF($A1800="","",IF(ISNUMBER($A1800),IF(AND($A1800&gt;=10000101,$A1800&lt;=99991231),INT($A1800/10000),""),IFERROR(VALUE(TRIM(LEFT($A1800,FIND("/",$A1800)-1))),"")))</f>
        <v/>
      </c>
      <c r="C1800">
        <f>IF(OR($A1800="",$B1800=""),"",IF(ISNUMBER($A1800),INT(MOD($A1800,10000)/100),IFERROR(VALUE(TRIM(LEFT(MID($A1800,FIND("/",$A1800)+1,20),FIND("/",MID($A1800,FIND("/",$A1800)+1,20))-1))),"")))</f>
        <v/>
      </c>
      <c r="D1800">
        <f>IF(OR($A1800="",$B1800=""),"",IF(ISNUMBER($A1800),MOD($A1800,100),IFERROR(VALUE(TRIM(MID(MID($A1800,FIND("/",$A1800)+1,20),FIND("/",MID($A1800,FIND("/",$A1800)+1,20))+1,20))),"")))</f>
        <v/>
      </c>
      <c r="E1800">
        <f>IF($A1800="","",IF(OR($B1800="",$C1800="",$D1800="",$B1800&lt;1300,$B1800&gt;1500,$C1800&lt;1,$C1800&gt;12,$D1800&lt;1,$D1800&gt;31),"نامعتبر",RIGHT("0000"&amp;$B1800,4)&amp;"/"&amp;RIGHT("00"&amp;$C1800,2)&amp;"/"&amp;RIGHT("00"&amp;$D1800,2)))</f>
        <v/>
      </c>
      <c r="F1800">
        <f>IF(OR($E1800="",$E1800="نامعتبر"),"",IF(Sync!$Q1797="","0000",IF(AND(ISNUMBER(Sync!$Q1797),Sync!$Q1797&gt;=0,Sync!$Q1797&lt;1),RIGHT("00"&amp;HOUR(Sync!$Q1797),2)&amp;RIGHT("00"&amp;MINUTE(Sync!$Q1797),2),IFERROR(RIGHT("00"&amp;VALUE(LEFT(Sync!$Q1797,FIND(":",Sync!$Q1797)-1)),2)&amp;RIGHT("00"&amp;VALUE(MID(Sync!$Q1797,FIND(":",Sync!$Q1797)+1,2)),2),"0000"))))</f>
        <v/>
      </c>
      <c r="G1800">
        <f>IF(OR($E1800="",$E1800="نامعتبر"),"",IF(Sync!$S1797="","",Sync!$S1797))</f>
        <v/>
      </c>
      <c r="H1800">
        <f>IF(OR($E1800="",$E1800="نامعتبر"),"",IF(Sync!$R1797="","",Sync!$R1797))</f>
        <v/>
      </c>
      <c r="I1800">
        <f>IF(OR($E1800="",$E1800="نامعتبر"),"",IF(Sync!$T1797="","",Sync!$T1797))</f>
        <v/>
      </c>
      <c r="J1800">
        <f>IF(OR($E1800="",$E1800="نامعتبر"),"",IF(Sync!$U1797="","",Sync!$U1797))</f>
        <v/>
      </c>
      <c r="K1800">
        <f>IF(OR($E1800="",$E1800="نامعتبر"),"",IF(Sync!$V1797="","",IFERROR(INDEX(SubCodes,MATCH(Sync!$V1797,SubTitles,0)),Sync!$V1797)))</f>
        <v/>
      </c>
      <c r="L1800">
        <f>IF(OR($E1800="",$E1800="نامعتبر"),"",IF(Sync!$W1797="",0,Sync!$W1797))</f>
        <v/>
      </c>
      <c r="M1800">
        <f>IF(OR($E1800="",$E1800="نامعتبر"),"",IF(Sync!$X1797="",0,Sync!$X1797))</f>
        <v/>
      </c>
      <c r="N1800">
        <f>IF(OR($E1800="",$E1800="نامعتبر"),"",IF(AND($J1800="هزینه",$K1800&lt;&gt;""),1,0))</f>
        <v/>
      </c>
      <c r="O1800">
        <f>IF($N1800=0,"",LEFT($E1800,4)&amp;MID($E1800,6,2)&amp;RIGHT($E1800,2)&amp;$F1800&amp;"|"&amp;"1"&amp;RIGHT("00000"&amp;1792,5))</f>
        <v/>
      </c>
      <c r="P1800">
        <f>IF($O1800="","",COUNTIFS(ExpSub,$K1800,ExpKey,"&lt;"&amp;$O1800)+1)</f>
        <v/>
      </c>
      <c r="Q1800">
        <f>IF($P1800="","",$K1800&amp;"|"&amp;RIGHT("000000"&amp;$P1800,6))</f>
        <v/>
      </c>
    </row>
    <row r="1801">
      <c r="A1801">
        <f>IF(Sync!$P1798="","",Sync!$P1798)</f>
        <v/>
      </c>
      <c r="B1801">
        <f>IF($A1801="","",IF(ISNUMBER($A1801),IF(AND($A1801&gt;=10000101,$A1801&lt;=99991231),INT($A1801/10000),""),IFERROR(VALUE(TRIM(LEFT($A1801,FIND("/",$A1801)-1))),"")))</f>
        <v/>
      </c>
      <c r="C1801">
        <f>IF(OR($A1801="",$B1801=""),"",IF(ISNUMBER($A1801),INT(MOD($A1801,10000)/100),IFERROR(VALUE(TRIM(LEFT(MID($A1801,FIND("/",$A1801)+1,20),FIND("/",MID($A1801,FIND("/",$A1801)+1,20))-1))),"")))</f>
        <v/>
      </c>
      <c r="D1801">
        <f>IF(OR($A1801="",$B1801=""),"",IF(ISNUMBER($A1801),MOD($A1801,100),IFERROR(VALUE(TRIM(MID(MID($A1801,FIND("/",$A1801)+1,20),FIND("/",MID($A1801,FIND("/",$A1801)+1,20))+1,20))),"")))</f>
        <v/>
      </c>
      <c r="E1801">
        <f>IF($A1801="","",IF(OR($B1801="",$C1801="",$D1801="",$B1801&lt;1300,$B1801&gt;1500,$C1801&lt;1,$C1801&gt;12,$D1801&lt;1,$D1801&gt;31),"نامعتبر",RIGHT("0000"&amp;$B1801,4)&amp;"/"&amp;RIGHT("00"&amp;$C1801,2)&amp;"/"&amp;RIGHT("00"&amp;$D1801,2)))</f>
        <v/>
      </c>
      <c r="F1801">
        <f>IF(OR($E1801="",$E1801="نامعتبر"),"",IF(Sync!$Q1798="","0000",IF(AND(ISNUMBER(Sync!$Q1798),Sync!$Q1798&gt;=0,Sync!$Q1798&lt;1),RIGHT("00"&amp;HOUR(Sync!$Q1798),2)&amp;RIGHT("00"&amp;MINUTE(Sync!$Q1798),2),IFERROR(RIGHT("00"&amp;VALUE(LEFT(Sync!$Q1798,FIND(":",Sync!$Q1798)-1)),2)&amp;RIGHT("00"&amp;VALUE(MID(Sync!$Q1798,FIND(":",Sync!$Q1798)+1,2)),2),"0000"))))</f>
        <v/>
      </c>
      <c r="G1801">
        <f>IF(OR($E1801="",$E1801="نامعتبر"),"",IF(Sync!$S1798="","",Sync!$S1798))</f>
        <v/>
      </c>
      <c r="H1801">
        <f>IF(OR($E1801="",$E1801="نامعتبر"),"",IF(Sync!$R1798="","",Sync!$R1798))</f>
        <v/>
      </c>
      <c r="I1801">
        <f>IF(OR($E1801="",$E1801="نامعتبر"),"",IF(Sync!$T1798="","",Sync!$T1798))</f>
        <v/>
      </c>
      <c r="J1801">
        <f>IF(OR($E1801="",$E1801="نامعتبر"),"",IF(Sync!$U1798="","",Sync!$U1798))</f>
        <v/>
      </c>
      <c r="K1801">
        <f>IF(OR($E1801="",$E1801="نامعتبر"),"",IF(Sync!$V1798="","",IFERROR(INDEX(SubCodes,MATCH(Sync!$V1798,SubTitles,0)),Sync!$V1798)))</f>
        <v/>
      </c>
      <c r="L1801">
        <f>IF(OR($E1801="",$E1801="نامعتبر"),"",IF(Sync!$W1798="",0,Sync!$W1798))</f>
        <v/>
      </c>
      <c r="M1801">
        <f>IF(OR($E1801="",$E1801="نامعتبر"),"",IF(Sync!$X1798="",0,Sync!$X1798))</f>
        <v/>
      </c>
      <c r="N1801">
        <f>IF(OR($E1801="",$E1801="نامعتبر"),"",IF(AND($J1801="هزینه",$K1801&lt;&gt;""),1,0))</f>
        <v/>
      </c>
      <c r="O1801">
        <f>IF($N1801=0,"",LEFT($E1801,4)&amp;MID($E1801,6,2)&amp;RIGHT($E1801,2)&amp;$F1801&amp;"|"&amp;"1"&amp;RIGHT("00000"&amp;1793,5))</f>
        <v/>
      </c>
      <c r="P1801">
        <f>IF($O1801="","",COUNTIFS(ExpSub,$K1801,ExpKey,"&lt;"&amp;$O1801)+1)</f>
        <v/>
      </c>
      <c r="Q1801">
        <f>IF($P1801="","",$K1801&amp;"|"&amp;RIGHT("000000"&amp;$P1801,6))</f>
        <v/>
      </c>
    </row>
    <row r="1802">
      <c r="A1802">
        <f>IF(Sync!$P1799="","",Sync!$P1799)</f>
        <v/>
      </c>
      <c r="B1802">
        <f>IF($A1802="","",IF(ISNUMBER($A1802),IF(AND($A1802&gt;=10000101,$A1802&lt;=99991231),INT($A1802/10000),""),IFERROR(VALUE(TRIM(LEFT($A1802,FIND("/",$A1802)-1))),"")))</f>
        <v/>
      </c>
      <c r="C1802">
        <f>IF(OR($A1802="",$B1802=""),"",IF(ISNUMBER($A1802),INT(MOD($A1802,10000)/100),IFERROR(VALUE(TRIM(LEFT(MID($A1802,FIND("/",$A1802)+1,20),FIND("/",MID($A1802,FIND("/",$A1802)+1,20))-1))),"")))</f>
        <v/>
      </c>
      <c r="D1802">
        <f>IF(OR($A1802="",$B1802=""),"",IF(ISNUMBER($A1802),MOD($A1802,100),IFERROR(VALUE(TRIM(MID(MID($A1802,FIND("/",$A1802)+1,20),FIND("/",MID($A1802,FIND("/",$A1802)+1,20))+1,20))),"")))</f>
        <v/>
      </c>
      <c r="E1802">
        <f>IF($A1802="","",IF(OR($B1802="",$C1802="",$D1802="",$B1802&lt;1300,$B1802&gt;1500,$C1802&lt;1,$C1802&gt;12,$D1802&lt;1,$D1802&gt;31),"نامعتبر",RIGHT("0000"&amp;$B1802,4)&amp;"/"&amp;RIGHT("00"&amp;$C1802,2)&amp;"/"&amp;RIGHT("00"&amp;$D1802,2)))</f>
        <v/>
      </c>
      <c r="F1802">
        <f>IF(OR($E1802="",$E1802="نامعتبر"),"",IF(Sync!$Q1799="","0000",IF(AND(ISNUMBER(Sync!$Q1799),Sync!$Q1799&gt;=0,Sync!$Q1799&lt;1),RIGHT("00"&amp;HOUR(Sync!$Q1799),2)&amp;RIGHT("00"&amp;MINUTE(Sync!$Q1799),2),IFERROR(RIGHT("00"&amp;VALUE(LEFT(Sync!$Q1799,FIND(":",Sync!$Q1799)-1)),2)&amp;RIGHT("00"&amp;VALUE(MID(Sync!$Q1799,FIND(":",Sync!$Q1799)+1,2)),2),"0000"))))</f>
        <v/>
      </c>
      <c r="G1802">
        <f>IF(OR($E1802="",$E1802="نامعتبر"),"",IF(Sync!$S1799="","",Sync!$S1799))</f>
        <v/>
      </c>
      <c r="H1802">
        <f>IF(OR($E1802="",$E1802="نامعتبر"),"",IF(Sync!$R1799="","",Sync!$R1799))</f>
        <v/>
      </c>
      <c r="I1802">
        <f>IF(OR($E1802="",$E1802="نامعتبر"),"",IF(Sync!$T1799="","",Sync!$T1799))</f>
        <v/>
      </c>
      <c r="J1802">
        <f>IF(OR($E1802="",$E1802="نامعتبر"),"",IF(Sync!$U1799="","",Sync!$U1799))</f>
        <v/>
      </c>
      <c r="K1802">
        <f>IF(OR($E1802="",$E1802="نامعتبر"),"",IF(Sync!$V1799="","",IFERROR(INDEX(SubCodes,MATCH(Sync!$V1799,SubTitles,0)),Sync!$V1799)))</f>
        <v/>
      </c>
      <c r="L1802">
        <f>IF(OR($E1802="",$E1802="نامعتبر"),"",IF(Sync!$W1799="",0,Sync!$W1799))</f>
        <v/>
      </c>
      <c r="M1802">
        <f>IF(OR($E1802="",$E1802="نامعتبر"),"",IF(Sync!$X1799="",0,Sync!$X1799))</f>
        <v/>
      </c>
      <c r="N1802">
        <f>IF(OR($E1802="",$E1802="نامعتبر"),"",IF(AND($J1802="هزینه",$K1802&lt;&gt;""),1,0))</f>
        <v/>
      </c>
      <c r="O1802">
        <f>IF($N1802=0,"",LEFT($E1802,4)&amp;MID($E1802,6,2)&amp;RIGHT($E1802,2)&amp;$F1802&amp;"|"&amp;"1"&amp;RIGHT("00000"&amp;1794,5))</f>
        <v/>
      </c>
      <c r="P1802">
        <f>IF($O1802="","",COUNTIFS(ExpSub,$K1802,ExpKey,"&lt;"&amp;$O1802)+1)</f>
        <v/>
      </c>
      <c r="Q1802">
        <f>IF($P1802="","",$K1802&amp;"|"&amp;RIGHT("000000"&amp;$P1802,6))</f>
        <v/>
      </c>
    </row>
    <row r="1803">
      <c r="A1803">
        <f>IF(Sync!$P1800="","",Sync!$P1800)</f>
        <v/>
      </c>
      <c r="B1803">
        <f>IF($A1803="","",IF(ISNUMBER($A1803),IF(AND($A1803&gt;=10000101,$A1803&lt;=99991231),INT($A1803/10000),""),IFERROR(VALUE(TRIM(LEFT($A1803,FIND("/",$A1803)-1))),"")))</f>
        <v/>
      </c>
      <c r="C1803">
        <f>IF(OR($A1803="",$B1803=""),"",IF(ISNUMBER($A1803),INT(MOD($A1803,10000)/100),IFERROR(VALUE(TRIM(LEFT(MID($A1803,FIND("/",$A1803)+1,20),FIND("/",MID($A1803,FIND("/",$A1803)+1,20))-1))),"")))</f>
        <v/>
      </c>
      <c r="D1803">
        <f>IF(OR($A1803="",$B1803=""),"",IF(ISNUMBER($A1803),MOD($A1803,100),IFERROR(VALUE(TRIM(MID(MID($A1803,FIND("/",$A1803)+1,20),FIND("/",MID($A1803,FIND("/",$A1803)+1,20))+1,20))),"")))</f>
        <v/>
      </c>
      <c r="E1803">
        <f>IF($A1803="","",IF(OR($B1803="",$C1803="",$D1803="",$B1803&lt;1300,$B1803&gt;1500,$C1803&lt;1,$C1803&gt;12,$D1803&lt;1,$D1803&gt;31),"نامعتبر",RIGHT("0000"&amp;$B1803,4)&amp;"/"&amp;RIGHT("00"&amp;$C1803,2)&amp;"/"&amp;RIGHT("00"&amp;$D1803,2)))</f>
        <v/>
      </c>
      <c r="F1803">
        <f>IF(OR($E1803="",$E1803="نامعتبر"),"",IF(Sync!$Q1800="","0000",IF(AND(ISNUMBER(Sync!$Q1800),Sync!$Q1800&gt;=0,Sync!$Q1800&lt;1),RIGHT("00"&amp;HOUR(Sync!$Q1800),2)&amp;RIGHT("00"&amp;MINUTE(Sync!$Q1800),2),IFERROR(RIGHT("00"&amp;VALUE(LEFT(Sync!$Q1800,FIND(":",Sync!$Q1800)-1)),2)&amp;RIGHT("00"&amp;VALUE(MID(Sync!$Q1800,FIND(":",Sync!$Q1800)+1,2)),2),"0000"))))</f>
        <v/>
      </c>
      <c r="G1803">
        <f>IF(OR($E1803="",$E1803="نامعتبر"),"",IF(Sync!$S1800="","",Sync!$S1800))</f>
        <v/>
      </c>
      <c r="H1803">
        <f>IF(OR($E1803="",$E1803="نامعتبر"),"",IF(Sync!$R1800="","",Sync!$R1800))</f>
        <v/>
      </c>
      <c r="I1803">
        <f>IF(OR($E1803="",$E1803="نامعتبر"),"",IF(Sync!$T1800="","",Sync!$T1800))</f>
        <v/>
      </c>
      <c r="J1803">
        <f>IF(OR($E1803="",$E1803="نامعتبر"),"",IF(Sync!$U1800="","",Sync!$U1800))</f>
        <v/>
      </c>
      <c r="K1803">
        <f>IF(OR($E1803="",$E1803="نامعتبر"),"",IF(Sync!$V1800="","",IFERROR(INDEX(SubCodes,MATCH(Sync!$V1800,SubTitles,0)),Sync!$V1800)))</f>
        <v/>
      </c>
      <c r="L1803">
        <f>IF(OR($E1803="",$E1803="نامعتبر"),"",IF(Sync!$W1800="",0,Sync!$W1800))</f>
        <v/>
      </c>
      <c r="M1803">
        <f>IF(OR($E1803="",$E1803="نامعتبر"),"",IF(Sync!$X1800="",0,Sync!$X1800))</f>
        <v/>
      </c>
      <c r="N1803">
        <f>IF(OR($E1803="",$E1803="نامعتبر"),"",IF(AND($J1803="هزینه",$K1803&lt;&gt;""),1,0))</f>
        <v/>
      </c>
      <c r="O1803">
        <f>IF($N1803=0,"",LEFT($E1803,4)&amp;MID($E1803,6,2)&amp;RIGHT($E1803,2)&amp;$F1803&amp;"|"&amp;"1"&amp;RIGHT("00000"&amp;1795,5))</f>
        <v/>
      </c>
      <c r="P1803">
        <f>IF($O1803="","",COUNTIFS(ExpSub,$K1803,ExpKey,"&lt;"&amp;$O1803)+1)</f>
        <v/>
      </c>
      <c r="Q1803">
        <f>IF($P1803="","",$K1803&amp;"|"&amp;RIGHT("000000"&amp;$P1803,6))</f>
        <v/>
      </c>
    </row>
    <row r="1804">
      <c r="A1804">
        <f>IF(Sync!$P1801="","",Sync!$P1801)</f>
        <v/>
      </c>
      <c r="B1804">
        <f>IF($A1804="","",IF(ISNUMBER($A1804),IF(AND($A1804&gt;=10000101,$A1804&lt;=99991231),INT($A1804/10000),""),IFERROR(VALUE(TRIM(LEFT($A1804,FIND("/",$A1804)-1))),"")))</f>
        <v/>
      </c>
      <c r="C1804">
        <f>IF(OR($A1804="",$B1804=""),"",IF(ISNUMBER($A1804),INT(MOD($A1804,10000)/100),IFERROR(VALUE(TRIM(LEFT(MID($A1804,FIND("/",$A1804)+1,20),FIND("/",MID($A1804,FIND("/",$A1804)+1,20))-1))),"")))</f>
        <v/>
      </c>
      <c r="D1804">
        <f>IF(OR($A1804="",$B1804=""),"",IF(ISNUMBER($A1804),MOD($A1804,100),IFERROR(VALUE(TRIM(MID(MID($A1804,FIND("/",$A1804)+1,20),FIND("/",MID($A1804,FIND("/",$A1804)+1,20))+1,20))),"")))</f>
        <v/>
      </c>
      <c r="E1804">
        <f>IF($A1804="","",IF(OR($B1804="",$C1804="",$D1804="",$B1804&lt;1300,$B1804&gt;1500,$C1804&lt;1,$C1804&gt;12,$D1804&lt;1,$D1804&gt;31),"نامعتبر",RIGHT("0000"&amp;$B1804,4)&amp;"/"&amp;RIGHT("00"&amp;$C1804,2)&amp;"/"&amp;RIGHT("00"&amp;$D1804,2)))</f>
        <v/>
      </c>
      <c r="F1804">
        <f>IF(OR($E1804="",$E1804="نامعتبر"),"",IF(Sync!$Q1801="","0000",IF(AND(ISNUMBER(Sync!$Q1801),Sync!$Q1801&gt;=0,Sync!$Q1801&lt;1),RIGHT("00"&amp;HOUR(Sync!$Q1801),2)&amp;RIGHT("00"&amp;MINUTE(Sync!$Q1801),2),IFERROR(RIGHT("00"&amp;VALUE(LEFT(Sync!$Q1801,FIND(":",Sync!$Q1801)-1)),2)&amp;RIGHT("00"&amp;VALUE(MID(Sync!$Q1801,FIND(":",Sync!$Q1801)+1,2)),2),"0000"))))</f>
        <v/>
      </c>
      <c r="G1804">
        <f>IF(OR($E1804="",$E1804="نامعتبر"),"",IF(Sync!$S1801="","",Sync!$S1801))</f>
        <v/>
      </c>
      <c r="H1804">
        <f>IF(OR($E1804="",$E1804="نامعتبر"),"",IF(Sync!$R1801="","",Sync!$R1801))</f>
        <v/>
      </c>
      <c r="I1804">
        <f>IF(OR($E1804="",$E1804="نامعتبر"),"",IF(Sync!$T1801="","",Sync!$T1801))</f>
        <v/>
      </c>
      <c r="J1804">
        <f>IF(OR($E1804="",$E1804="نامعتبر"),"",IF(Sync!$U1801="","",Sync!$U1801))</f>
        <v/>
      </c>
      <c r="K1804">
        <f>IF(OR($E1804="",$E1804="نامعتبر"),"",IF(Sync!$V1801="","",IFERROR(INDEX(SubCodes,MATCH(Sync!$V1801,SubTitles,0)),Sync!$V1801)))</f>
        <v/>
      </c>
      <c r="L1804">
        <f>IF(OR($E1804="",$E1804="نامعتبر"),"",IF(Sync!$W1801="",0,Sync!$W1801))</f>
        <v/>
      </c>
      <c r="M1804">
        <f>IF(OR($E1804="",$E1804="نامعتبر"),"",IF(Sync!$X1801="",0,Sync!$X1801))</f>
        <v/>
      </c>
      <c r="N1804">
        <f>IF(OR($E1804="",$E1804="نامعتبر"),"",IF(AND($J1804="هزینه",$K1804&lt;&gt;""),1,0))</f>
        <v/>
      </c>
      <c r="O1804">
        <f>IF($N1804=0,"",LEFT($E1804,4)&amp;MID($E1804,6,2)&amp;RIGHT($E1804,2)&amp;$F1804&amp;"|"&amp;"1"&amp;RIGHT("00000"&amp;1796,5))</f>
        <v/>
      </c>
      <c r="P1804">
        <f>IF($O1804="","",COUNTIFS(ExpSub,$K1804,ExpKey,"&lt;"&amp;$O1804)+1)</f>
        <v/>
      </c>
      <c r="Q1804">
        <f>IF($P1804="","",$K1804&amp;"|"&amp;RIGHT("000000"&amp;$P1804,6))</f>
        <v/>
      </c>
    </row>
    <row r="1805">
      <c r="A1805">
        <f>IF(Sync!$P1802="","",Sync!$P1802)</f>
        <v/>
      </c>
      <c r="B1805">
        <f>IF($A1805="","",IF(ISNUMBER($A1805),IF(AND($A1805&gt;=10000101,$A1805&lt;=99991231),INT($A1805/10000),""),IFERROR(VALUE(TRIM(LEFT($A1805,FIND("/",$A1805)-1))),"")))</f>
        <v/>
      </c>
      <c r="C1805">
        <f>IF(OR($A1805="",$B1805=""),"",IF(ISNUMBER($A1805),INT(MOD($A1805,10000)/100),IFERROR(VALUE(TRIM(LEFT(MID($A1805,FIND("/",$A1805)+1,20),FIND("/",MID($A1805,FIND("/",$A1805)+1,20))-1))),"")))</f>
        <v/>
      </c>
      <c r="D1805">
        <f>IF(OR($A1805="",$B1805=""),"",IF(ISNUMBER($A1805),MOD($A1805,100),IFERROR(VALUE(TRIM(MID(MID($A1805,FIND("/",$A1805)+1,20),FIND("/",MID($A1805,FIND("/",$A1805)+1,20))+1,20))),"")))</f>
        <v/>
      </c>
      <c r="E1805">
        <f>IF($A1805="","",IF(OR($B1805="",$C1805="",$D1805="",$B1805&lt;1300,$B1805&gt;1500,$C1805&lt;1,$C1805&gt;12,$D1805&lt;1,$D1805&gt;31),"نامعتبر",RIGHT("0000"&amp;$B1805,4)&amp;"/"&amp;RIGHT("00"&amp;$C1805,2)&amp;"/"&amp;RIGHT("00"&amp;$D1805,2)))</f>
        <v/>
      </c>
      <c r="F1805">
        <f>IF(OR($E1805="",$E1805="نامعتبر"),"",IF(Sync!$Q1802="","0000",IF(AND(ISNUMBER(Sync!$Q1802),Sync!$Q1802&gt;=0,Sync!$Q1802&lt;1),RIGHT("00"&amp;HOUR(Sync!$Q1802),2)&amp;RIGHT("00"&amp;MINUTE(Sync!$Q1802),2),IFERROR(RIGHT("00"&amp;VALUE(LEFT(Sync!$Q1802,FIND(":",Sync!$Q1802)-1)),2)&amp;RIGHT("00"&amp;VALUE(MID(Sync!$Q1802,FIND(":",Sync!$Q1802)+1,2)),2),"0000"))))</f>
        <v/>
      </c>
      <c r="G1805">
        <f>IF(OR($E1805="",$E1805="نامعتبر"),"",IF(Sync!$S1802="","",Sync!$S1802))</f>
        <v/>
      </c>
      <c r="H1805">
        <f>IF(OR($E1805="",$E1805="نامعتبر"),"",IF(Sync!$R1802="","",Sync!$R1802))</f>
        <v/>
      </c>
      <c r="I1805">
        <f>IF(OR($E1805="",$E1805="نامعتبر"),"",IF(Sync!$T1802="","",Sync!$T1802))</f>
        <v/>
      </c>
      <c r="J1805">
        <f>IF(OR($E1805="",$E1805="نامعتبر"),"",IF(Sync!$U1802="","",Sync!$U1802))</f>
        <v/>
      </c>
      <c r="K1805">
        <f>IF(OR($E1805="",$E1805="نامعتبر"),"",IF(Sync!$V1802="","",IFERROR(INDEX(SubCodes,MATCH(Sync!$V1802,SubTitles,0)),Sync!$V1802)))</f>
        <v/>
      </c>
      <c r="L1805">
        <f>IF(OR($E1805="",$E1805="نامعتبر"),"",IF(Sync!$W1802="",0,Sync!$W1802))</f>
        <v/>
      </c>
      <c r="M1805">
        <f>IF(OR($E1805="",$E1805="نامعتبر"),"",IF(Sync!$X1802="",0,Sync!$X1802))</f>
        <v/>
      </c>
      <c r="N1805">
        <f>IF(OR($E1805="",$E1805="نامعتبر"),"",IF(AND($J1805="هزینه",$K1805&lt;&gt;""),1,0))</f>
        <v/>
      </c>
      <c r="O1805">
        <f>IF($N1805=0,"",LEFT($E1805,4)&amp;MID($E1805,6,2)&amp;RIGHT($E1805,2)&amp;$F1805&amp;"|"&amp;"1"&amp;RIGHT("00000"&amp;1797,5))</f>
        <v/>
      </c>
      <c r="P1805">
        <f>IF($O1805="","",COUNTIFS(ExpSub,$K1805,ExpKey,"&lt;"&amp;$O1805)+1)</f>
        <v/>
      </c>
      <c r="Q1805">
        <f>IF($P1805="","",$K1805&amp;"|"&amp;RIGHT("000000"&amp;$P1805,6))</f>
        <v/>
      </c>
    </row>
    <row r="1806">
      <c r="A1806">
        <f>IF(Sync!$P1803="","",Sync!$P1803)</f>
        <v/>
      </c>
      <c r="B1806">
        <f>IF($A1806="","",IF(ISNUMBER($A1806),IF(AND($A1806&gt;=10000101,$A1806&lt;=99991231),INT($A1806/10000),""),IFERROR(VALUE(TRIM(LEFT($A1806,FIND("/",$A1806)-1))),"")))</f>
        <v/>
      </c>
      <c r="C1806">
        <f>IF(OR($A1806="",$B1806=""),"",IF(ISNUMBER($A1806),INT(MOD($A1806,10000)/100),IFERROR(VALUE(TRIM(LEFT(MID($A1806,FIND("/",$A1806)+1,20),FIND("/",MID($A1806,FIND("/",$A1806)+1,20))-1))),"")))</f>
        <v/>
      </c>
      <c r="D1806">
        <f>IF(OR($A1806="",$B1806=""),"",IF(ISNUMBER($A1806),MOD($A1806,100),IFERROR(VALUE(TRIM(MID(MID($A1806,FIND("/",$A1806)+1,20),FIND("/",MID($A1806,FIND("/",$A1806)+1,20))+1,20))),"")))</f>
        <v/>
      </c>
      <c r="E1806">
        <f>IF($A1806="","",IF(OR($B1806="",$C1806="",$D1806="",$B1806&lt;1300,$B1806&gt;1500,$C1806&lt;1,$C1806&gt;12,$D1806&lt;1,$D1806&gt;31),"نامعتبر",RIGHT("0000"&amp;$B1806,4)&amp;"/"&amp;RIGHT("00"&amp;$C1806,2)&amp;"/"&amp;RIGHT("00"&amp;$D1806,2)))</f>
        <v/>
      </c>
      <c r="F1806">
        <f>IF(OR($E1806="",$E1806="نامعتبر"),"",IF(Sync!$Q1803="","0000",IF(AND(ISNUMBER(Sync!$Q1803),Sync!$Q1803&gt;=0,Sync!$Q1803&lt;1),RIGHT("00"&amp;HOUR(Sync!$Q1803),2)&amp;RIGHT("00"&amp;MINUTE(Sync!$Q1803),2),IFERROR(RIGHT("00"&amp;VALUE(LEFT(Sync!$Q1803,FIND(":",Sync!$Q1803)-1)),2)&amp;RIGHT("00"&amp;VALUE(MID(Sync!$Q1803,FIND(":",Sync!$Q1803)+1,2)),2),"0000"))))</f>
        <v/>
      </c>
      <c r="G1806">
        <f>IF(OR($E1806="",$E1806="نامعتبر"),"",IF(Sync!$S1803="","",Sync!$S1803))</f>
        <v/>
      </c>
      <c r="H1806">
        <f>IF(OR($E1806="",$E1806="نامعتبر"),"",IF(Sync!$R1803="","",Sync!$R1803))</f>
        <v/>
      </c>
      <c r="I1806">
        <f>IF(OR($E1806="",$E1806="نامعتبر"),"",IF(Sync!$T1803="","",Sync!$T1803))</f>
        <v/>
      </c>
      <c r="J1806">
        <f>IF(OR($E1806="",$E1806="نامعتبر"),"",IF(Sync!$U1803="","",Sync!$U1803))</f>
        <v/>
      </c>
      <c r="K1806">
        <f>IF(OR($E1806="",$E1806="نامعتبر"),"",IF(Sync!$V1803="","",IFERROR(INDEX(SubCodes,MATCH(Sync!$V1803,SubTitles,0)),Sync!$V1803)))</f>
        <v/>
      </c>
      <c r="L1806">
        <f>IF(OR($E1806="",$E1806="نامعتبر"),"",IF(Sync!$W1803="",0,Sync!$W1803))</f>
        <v/>
      </c>
      <c r="M1806">
        <f>IF(OR($E1806="",$E1806="نامعتبر"),"",IF(Sync!$X1803="",0,Sync!$X1803))</f>
        <v/>
      </c>
      <c r="N1806">
        <f>IF(OR($E1806="",$E1806="نامعتبر"),"",IF(AND($J1806="هزینه",$K1806&lt;&gt;""),1,0))</f>
        <v/>
      </c>
      <c r="O1806">
        <f>IF($N1806=0,"",LEFT($E1806,4)&amp;MID($E1806,6,2)&amp;RIGHT($E1806,2)&amp;$F1806&amp;"|"&amp;"1"&amp;RIGHT("00000"&amp;1798,5))</f>
        <v/>
      </c>
      <c r="P1806">
        <f>IF($O1806="","",COUNTIFS(ExpSub,$K1806,ExpKey,"&lt;"&amp;$O1806)+1)</f>
        <v/>
      </c>
      <c r="Q1806">
        <f>IF($P1806="","",$K1806&amp;"|"&amp;RIGHT("000000"&amp;$P1806,6))</f>
        <v/>
      </c>
    </row>
    <row r="1807">
      <c r="A1807">
        <f>IF(Sync!$P1804="","",Sync!$P1804)</f>
        <v/>
      </c>
      <c r="B1807">
        <f>IF($A1807="","",IF(ISNUMBER($A1807),IF(AND($A1807&gt;=10000101,$A1807&lt;=99991231),INT($A1807/10000),""),IFERROR(VALUE(TRIM(LEFT($A1807,FIND("/",$A1807)-1))),"")))</f>
        <v/>
      </c>
      <c r="C1807">
        <f>IF(OR($A1807="",$B1807=""),"",IF(ISNUMBER($A1807),INT(MOD($A1807,10000)/100),IFERROR(VALUE(TRIM(LEFT(MID($A1807,FIND("/",$A1807)+1,20),FIND("/",MID($A1807,FIND("/",$A1807)+1,20))-1))),"")))</f>
        <v/>
      </c>
      <c r="D1807">
        <f>IF(OR($A1807="",$B1807=""),"",IF(ISNUMBER($A1807),MOD($A1807,100),IFERROR(VALUE(TRIM(MID(MID($A1807,FIND("/",$A1807)+1,20),FIND("/",MID($A1807,FIND("/",$A1807)+1,20))+1,20))),"")))</f>
        <v/>
      </c>
      <c r="E1807">
        <f>IF($A1807="","",IF(OR($B1807="",$C1807="",$D1807="",$B1807&lt;1300,$B1807&gt;1500,$C1807&lt;1,$C1807&gt;12,$D1807&lt;1,$D1807&gt;31),"نامعتبر",RIGHT("0000"&amp;$B1807,4)&amp;"/"&amp;RIGHT("00"&amp;$C1807,2)&amp;"/"&amp;RIGHT("00"&amp;$D1807,2)))</f>
        <v/>
      </c>
      <c r="F1807">
        <f>IF(OR($E1807="",$E1807="نامعتبر"),"",IF(Sync!$Q1804="","0000",IF(AND(ISNUMBER(Sync!$Q1804),Sync!$Q1804&gt;=0,Sync!$Q1804&lt;1),RIGHT("00"&amp;HOUR(Sync!$Q1804),2)&amp;RIGHT("00"&amp;MINUTE(Sync!$Q1804),2),IFERROR(RIGHT("00"&amp;VALUE(LEFT(Sync!$Q1804,FIND(":",Sync!$Q1804)-1)),2)&amp;RIGHT("00"&amp;VALUE(MID(Sync!$Q1804,FIND(":",Sync!$Q1804)+1,2)),2),"0000"))))</f>
        <v/>
      </c>
      <c r="G1807">
        <f>IF(OR($E1807="",$E1807="نامعتبر"),"",IF(Sync!$S1804="","",Sync!$S1804))</f>
        <v/>
      </c>
      <c r="H1807">
        <f>IF(OR($E1807="",$E1807="نامعتبر"),"",IF(Sync!$R1804="","",Sync!$R1804))</f>
        <v/>
      </c>
      <c r="I1807">
        <f>IF(OR($E1807="",$E1807="نامعتبر"),"",IF(Sync!$T1804="","",Sync!$T1804))</f>
        <v/>
      </c>
      <c r="J1807">
        <f>IF(OR($E1807="",$E1807="نامعتبر"),"",IF(Sync!$U1804="","",Sync!$U1804))</f>
        <v/>
      </c>
      <c r="K1807">
        <f>IF(OR($E1807="",$E1807="نامعتبر"),"",IF(Sync!$V1804="","",IFERROR(INDEX(SubCodes,MATCH(Sync!$V1804,SubTitles,0)),Sync!$V1804)))</f>
        <v/>
      </c>
      <c r="L1807">
        <f>IF(OR($E1807="",$E1807="نامعتبر"),"",IF(Sync!$W1804="",0,Sync!$W1804))</f>
        <v/>
      </c>
      <c r="M1807">
        <f>IF(OR($E1807="",$E1807="نامعتبر"),"",IF(Sync!$X1804="",0,Sync!$X1804))</f>
        <v/>
      </c>
      <c r="N1807">
        <f>IF(OR($E1807="",$E1807="نامعتبر"),"",IF(AND($J1807="هزینه",$K1807&lt;&gt;""),1,0))</f>
        <v/>
      </c>
      <c r="O1807">
        <f>IF($N1807=0,"",LEFT($E1807,4)&amp;MID($E1807,6,2)&amp;RIGHT($E1807,2)&amp;$F1807&amp;"|"&amp;"1"&amp;RIGHT("00000"&amp;1799,5))</f>
        <v/>
      </c>
      <c r="P1807">
        <f>IF($O1807="","",COUNTIFS(ExpSub,$K1807,ExpKey,"&lt;"&amp;$O1807)+1)</f>
        <v/>
      </c>
      <c r="Q1807">
        <f>IF($P1807="","",$K1807&amp;"|"&amp;RIGHT("000000"&amp;$P1807,6))</f>
        <v/>
      </c>
    </row>
    <row r="1808">
      <c r="A1808">
        <f>IF(Sync!$P1805="","",Sync!$P1805)</f>
        <v/>
      </c>
      <c r="B1808">
        <f>IF($A1808="","",IF(ISNUMBER($A1808),IF(AND($A1808&gt;=10000101,$A1808&lt;=99991231),INT($A1808/10000),""),IFERROR(VALUE(TRIM(LEFT($A1808,FIND("/",$A1808)-1))),"")))</f>
        <v/>
      </c>
      <c r="C1808">
        <f>IF(OR($A1808="",$B1808=""),"",IF(ISNUMBER($A1808),INT(MOD($A1808,10000)/100),IFERROR(VALUE(TRIM(LEFT(MID($A1808,FIND("/",$A1808)+1,20),FIND("/",MID($A1808,FIND("/",$A1808)+1,20))-1))),"")))</f>
        <v/>
      </c>
      <c r="D1808">
        <f>IF(OR($A1808="",$B1808=""),"",IF(ISNUMBER($A1808),MOD($A1808,100),IFERROR(VALUE(TRIM(MID(MID($A1808,FIND("/",$A1808)+1,20),FIND("/",MID($A1808,FIND("/",$A1808)+1,20))+1,20))),"")))</f>
        <v/>
      </c>
      <c r="E1808">
        <f>IF($A1808="","",IF(OR($B1808="",$C1808="",$D1808="",$B1808&lt;1300,$B1808&gt;1500,$C1808&lt;1,$C1808&gt;12,$D1808&lt;1,$D1808&gt;31),"نامعتبر",RIGHT("0000"&amp;$B1808,4)&amp;"/"&amp;RIGHT("00"&amp;$C1808,2)&amp;"/"&amp;RIGHT("00"&amp;$D1808,2)))</f>
        <v/>
      </c>
      <c r="F1808">
        <f>IF(OR($E1808="",$E1808="نامعتبر"),"",IF(Sync!$Q1805="","0000",IF(AND(ISNUMBER(Sync!$Q1805),Sync!$Q1805&gt;=0,Sync!$Q1805&lt;1),RIGHT("00"&amp;HOUR(Sync!$Q1805),2)&amp;RIGHT("00"&amp;MINUTE(Sync!$Q1805),2),IFERROR(RIGHT("00"&amp;VALUE(LEFT(Sync!$Q1805,FIND(":",Sync!$Q1805)-1)),2)&amp;RIGHT("00"&amp;VALUE(MID(Sync!$Q1805,FIND(":",Sync!$Q1805)+1,2)),2),"0000"))))</f>
        <v/>
      </c>
      <c r="G1808">
        <f>IF(OR($E1808="",$E1808="نامعتبر"),"",IF(Sync!$S1805="","",Sync!$S1805))</f>
        <v/>
      </c>
      <c r="H1808">
        <f>IF(OR($E1808="",$E1808="نامعتبر"),"",IF(Sync!$R1805="","",Sync!$R1805))</f>
        <v/>
      </c>
      <c r="I1808">
        <f>IF(OR($E1808="",$E1808="نامعتبر"),"",IF(Sync!$T1805="","",Sync!$T1805))</f>
        <v/>
      </c>
      <c r="J1808">
        <f>IF(OR($E1808="",$E1808="نامعتبر"),"",IF(Sync!$U1805="","",Sync!$U1805))</f>
        <v/>
      </c>
      <c r="K1808">
        <f>IF(OR($E1808="",$E1808="نامعتبر"),"",IF(Sync!$V1805="","",IFERROR(INDEX(SubCodes,MATCH(Sync!$V1805,SubTitles,0)),Sync!$V1805)))</f>
        <v/>
      </c>
      <c r="L1808">
        <f>IF(OR($E1808="",$E1808="نامعتبر"),"",IF(Sync!$W1805="",0,Sync!$W1805))</f>
        <v/>
      </c>
      <c r="M1808">
        <f>IF(OR($E1808="",$E1808="نامعتبر"),"",IF(Sync!$X1805="",0,Sync!$X1805))</f>
        <v/>
      </c>
      <c r="N1808">
        <f>IF(OR($E1808="",$E1808="نامعتبر"),"",IF(AND($J1808="هزینه",$K1808&lt;&gt;""),1,0))</f>
        <v/>
      </c>
      <c r="O1808">
        <f>IF($N1808=0,"",LEFT($E1808,4)&amp;MID($E1808,6,2)&amp;RIGHT($E1808,2)&amp;$F1808&amp;"|"&amp;"1"&amp;RIGHT("00000"&amp;1800,5))</f>
        <v/>
      </c>
      <c r="P1808">
        <f>IF($O1808="","",COUNTIFS(ExpSub,$K1808,ExpKey,"&lt;"&amp;$O1808)+1)</f>
        <v/>
      </c>
      <c r="Q1808">
        <f>IF($P1808="","",$K1808&amp;"|"&amp;RIGHT("000000"&amp;$P1808,6))</f>
        <v/>
      </c>
    </row>
    <row r="1809">
      <c r="A1809">
        <f>IF(Sync!$P1806="","",Sync!$P1806)</f>
        <v/>
      </c>
      <c r="B1809">
        <f>IF($A1809="","",IF(ISNUMBER($A1809),IF(AND($A1809&gt;=10000101,$A1809&lt;=99991231),INT($A1809/10000),""),IFERROR(VALUE(TRIM(LEFT($A1809,FIND("/",$A1809)-1))),"")))</f>
        <v/>
      </c>
      <c r="C1809">
        <f>IF(OR($A1809="",$B1809=""),"",IF(ISNUMBER($A1809),INT(MOD($A1809,10000)/100),IFERROR(VALUE(TRIM(LEFT(MID($A1809,FIND("/",$A1809)+1,20),FIND("/",MID($A1809,FIND("/",$A1809)+1,20))-1))),"")))</f>
        <v/>
      </c>
      <c r="D1809">
        <f>IF(OR($A1809="",$B1809=""),"",IF(ISNUMBER($A1809),MOD($A1809,100),IFERROR(VALUE(TRIM(MID(MID($A1809,FIND("/",$A1809)+1,20),FIND("/",MID($A1809,FIND("/",$A1809)+1,20))+1,20))),"")))</f>
        <v/>
      </c>
      <c r="E1809">
        <f>IF($A1809="","",IF(OR($B1809="",$C1809="",$D1809="",$B1809&lt;1300,$B1809&gt;1500,$C1809&lt;1,$C1809&gt;12,$D1809&lt;1,$D1809&gt;31),"نامعتبر",RIGHT("0000"&amp;$B1809,4)&amp;"/"&amp;RIGHT("00"&amp;$C1809,2)&amp;"/"&amp;RIGHT("00"&amp;$D1809,2)))</f>
        <v/>
      </c>
      <c r="F1809">
        <f>IF(OR($E1809="",$E1809="نامعتبر"),"",IF(Sync!$Q1806="","0000",IF(AND(ISNUMBER(Sync!$Q1806),Sync!$Q1806&gt;=0,Sync!$Q1806&lt;1),RIGHT("00"&amp;HOUR(Sync!$Q1806),2)&amp;RIGHT("00"&amp;MINUTE(Sync!$Q1806),2),IFERROR(RIGHT("00"&amp;VALUE(LEFT(Sync!$Q1806,FIND(":",Sync!$Q1806)-1)),2)&amp;RIGHT("00"&amp;VALUE(MID(Sync!$Q1806,FIND(":",Sync!$Q1806)+1,2)),2),"0000"))))</f>
        <v/>
      </c>
      <c r="G1809">
        <f>IF(OR($E1809="",$E1809="نامعتبر"),"",IF(Sync!$S1806="","",Sync!$S1806))</f>
        <v/>
      </c>
      <c r="H1809">
        <f>IF(OR($E1809="",$E1809="نامعتبر"),"",IF(Sync!$R1806="","",Sync!$R1806))</f>
        <v/>
      </c>
      <c r="I1809">
        <f>IF(OR($E1809="",$E1809="نامعتبر"),"",IF(Sync!$T1806="","",Sync!$T1806))</f>
        <v/>
      </c>
      <c r="J1809">
        <f>IF(OR($E1809="",$E1809="نامعتبر"),"",IF(Sync!$U1806="","",Sync!$U1806))</f>
        <v/>
      </c>
      <c r="K1809">
        <f>IF(OR($E1809="",$E1809="نامعتبر"),"",IF(Sync!$V1806="","",IFERROR(INDEX(SubCodes,MATCH(Sync!$V1806,SubTitles,0)),Sync!$V1806)))</f>
        <v/>
      </c>
      <c r="L1809">
        <f>IF(OR($E1809="",$E1809="نامعتبر"),"",IF(Sync!$W1806="",0,Sync!$W1806))</f>
        <v/>
      </c>
      <c r="M1809">
        <f>IF(OR($E1809="",$E1809="نامعتبر"),"",IF(Sync!$X1806="",0,Sync!$X1806))</f>
        <v/>
      </c>
      <c r="N1809">
        <f>IF(OR($E1809="",$E1809="نامعتبر"),"",IF(AND($J1809="هزینه",$K1809&lt;&gt;""),1,0))</f>
        <v/>
      </c>
      <c r="O1809">
        <f>IF($N1809=0,"",LEFT($E1809,4)&amp;MID($E1809,6,2)&amp;RIGHT($E1809,2)&amp;$F1809&amp;"|"&amp;"1"&amp;RIGHT("00000"&amp;1801,5))</f>
        <v/>
      </c>
      <c r="P1809">
        <f>IF($O1809="","",COUNTIFS(ExpSub,$K1809,ExpKey,"&lt;"&amp;$O1809)+1)</f>
        <v/>
      </c>
      <c r="Q1809">
        <f>IF($P1809="","",$K1809&amp;"|"&amp;RIGHT("000000"&amp;$P1809,6))</f>
        <v/>
      </c>
    </row>
    <row r="1810">
      <c r="A1810">
        <f>IF(Sync!$P1807="","",Sync!$P1807)</f>
        <v/>
      </c>
      <c r="B1810">
        <f>IF($A1810="","",IF(ISNUMBER($A1810),IF(AND($A1810&gt;=10000101,$A1810&lt;=99991231),INT($A1810/10000),""),IFERROR(VALUE(TRIM(LEFT($A1810,FIND("/",$A1810)-1))),"")))</f>
        <v/>
      </c>
      <c r="C1810">
        <f>IF(OR($A1810="",$B1810=""),"",IF(ISNUMBER($A1810),INT(MOD($A1810,10000)/100),IFERROR(VALUE(TRIM(LEFT(MID($A1810,FIND("/",$A1810)+1,20),FIND("/",MID($A1810,FIND("/",$A1810)+1,20))-1))),"")))</f>
        <v/>
      </c>
      <c r="D1810">
        <f>IF(OR($A1810="",$B1810=""),"",IF(ISNUMBER($A1810),MOD($A1810,100),IFERROR(VALUE(TRIM(MID(MID($A1810,FIND("/",$A1810)+1,20),FIND("/",MID($A1810,FIND("/",$A1810)+1,20))+1,20))),"")))</f>
        <v/>
      </c>
      <c r="E1810">
        <f>IF($A1810="","",IF(OR($B1810="",$C1810="",$D1810="",$B1810&lt;1300,$B1810&gt;1500,$C1810&lt;1,$C1810&gt;12,$D1810&lt;1,$D1810&gt;31),"نامعتبر",RIGHT("0000"&amp;$B1810,4)&amp;"/"&amp;RIGHT("00"&amp;$C1810,2)&amp;"/"&amp;RIGHT("00"&amp;$D1810,2)))</f>
        <v/>
      </c>
      <c r="F1810">
        <f>IF(OR($E1810="",$E1810="نامعتبر"),"",IF(Sync!$Q1807="","0000",IF(AND(ISNUMBER(Sync!$Q1807),Sync!$Q1807&gt;=0,Sync!$Q1807&lt;1),RIGHT("00"&amp;HOUR(Sync!$Q1807),2)&amp;RIGHT("00"&amp;MINUTE(Sync!$Q1807),2),IFERROR(RIGHT("00"&amp;VALUE(LEFT(Sync!$Q1807,FIND(":",Sync!$Q1807)-1)),2)&amp;RIGHT("00"&amp;VALUE(MID(Sync!$Q1807,FIND(":",Sync!$Q1807)+1,2)),2),"0000"))))</f>
        <v/>
      </c>
      <c r="G1810">
        <f>IF(OR($E1810="",$E1810="نامعتبر"),"",IF(Sync!$S1807="","",Sync!$S1807))</f>
        <v/>
      </c>
      <c r="H1810">
        <f>IF(OR($E1810="",$E1810="نامعتبر"),"",IF(Sync!$R1807="","",Sync!$R1807))</f>
        <v/>
      </c>
      <c r="I1810">
        <f>IF(OR($E1810="",$E1810="نامعتبر"),"",IF(Sync!$T1807="","",Sync!$T1807))</f>
        <v/>
      </c>
      <c r="J1810">
        <f>IF(OR($E1810="",$E1810="نامعتبر"),"",IF(Sync!$U1807="","",Sync!$U1807))</f>
        <v/>
      </c>
      <c r="K1810">
        <f>IF(OR($E1810="",$E1810="نامعتبر"),"",IF(Sync!$V1807="","",IFERROR(INDEX(SubCodes,MATCH(Sync!$V1807,SubTitles,0)),Sync!$V1807)))</f>
        <v/>
      </c>
      <c r="L1810">
        <f>IF(OR($E1810="",$E1810="نامعتبر"),"",IF(Sync!$W1807="",0,Sync!$W1807))</f>
        <v/>
      </c>
      <c r="M1810">
        <f>IF(OR($E1810="",$E1810="نامعتبر"),"",IF(Sync!$X1807="",0,Sync!$X1807))</f>
        <v/>
      </c>
      <c r="N1810">
        <f>IF(OR($E1810="",$E1810="نامعتبر"),"",IF(AND($J1810="هزینه",$K1810&lt;&gt;""),1,0))</f>
        <v/>
      </c>
      <c r="O1810">
        <f>IF($N1810=0,"",LEFT($E1810,4)&amp;MID($E1810,6,2)&amp;RIGHT($E1810,2)&amp;$F1810&amp;"|"&amp;"1"&amp;RIGHT("00000"&amp;1802,5))</f>
        <v/>
      </c>
      <c r="P1810">
        <f>IF($O1810="","",COUNTIFS(ExpSub,$K1810,ExpKey,"&lt;"&amp;$O1810)+1)</f>
        <v/>
      </c>
      <c r="Q1810">
        <f>IF($P1810="","",$K1810&amp;"|"&amp;RIGHT("000000"&amp;$P1810,6))</f>
        <v/>
      </c>
    </row>
    <row r="1811">
      <c r="A1811">
        <f>IF(Sync!$P1808="","",Sync!$P1808)</f>
        <v/>
      </c>
      <c r="B1811">
        <f>IF($A1811="","",IF(ISNUMBER($A1811),IF(AND($A1811&gt;=10000101,$A1811&lt;=99991231),INT($A1811/10000),""),IFERROR(VALUE(TRIM(LEFT($A1811,FIND("/",$A1811)-1))),"")))</f>
        <v/>
      </c>
      <c r="C1811">
        <f>IF(OR($A1811="",$B1811=""),"",IF(ISNUMBER($A1811),INT(MOD($A1811,10000)/100),IFERROR(VALUE(TRIM(LEFT(MID($A1811,FIND("/",$A1811)+1,20),FIND("/",MID($A1811,FIND("/",$A1811)+1,20))-1))),"")))</f>
        <v/>
      </c>
      <c r="D1811">
        <f>IF(OR($A1811="",$B1811=""),"",IF(ISNUMBER($A1811),MOD($A1811,100),IFERROR(VALUE(TRIM(MID(MID($A1811,FIND("/",$A1811)+1,20),FIND("/",MID($A1811,FIND("/",$A1811)+1,20))+1,20))),"")))</f>
        <v/>
      </c>
      <c r="E1811">
        <f>IF($A1811="","",IF(OR($B1811="",$C1811="",$D1811="",$B1811&lt;1300,$B1811&gt;1500,$C1811&lt;1,$C1811&gt;12,$D1811&lt;1,$D1811&gt;31),"نامعتبر",RIGHT("0000"&amp;$B1811,4)&amp;"/"&amp;RIGHT("00"&amp;$C1811,2)&amp;"/"&amp;RIGHT("00"&amp;$D1811,2)))</f>
        <v/>
      </c>
      <c r="F1811">
        <f>IF(OR($E1811="",$E1811="نامعتبر"),"",IF(Sync!$Q1808="","0000",IF(AND(ISNUMBER(Sync!$Q1808),Sync!$Q1808&gt;=0,Sync!$Q1808&lt;1),RIGHT("00"&amp;HOUR(Sync!$Q1808),2)&amp;RIGHT("00"&amp;MINUTE(Sync!$Q1808),2),IFERROR(RIGHT("00"&amp;VALUE(LEFT(Sync!$Q1808,FIND(":",Sync!$Q1808)-1)),2)&amp;RIGHT("00"&amp;VALUE(MID(Sync!$Q1808,FIND(":",Sync!$Q1808)+1,2)),2),"0000"))))</f>
        <v/>
      </c>
      <c r="G1811">
        <f>IF(OR($E1811="",$E1811="نامعتبر"),"",IF(Sync!$S1808="","",Sync!$S1808))</f>
        <v/>
      </c>
      <c r="H1811">
        <f>IF(OR($E1811="",$E1811="نامعتبر"),"",IF(Sync!$R1808="","",Sync!$R1808))</f>
        <v/>
      </c>
      <c r="I1811">
        <f>IF(OR($E1811="",$E1811="نامعتبر"),"",IF(Sync!$T1808="","",Sync!$T1808))</f>
        <v/>
      </c>
      <c r="J1811">
        <f>IF(OR($E1811="",$E1811="نامعتبر"),"",IF(Sync!$U1808="","",Sync!$U1808))</f>
        <v/>
      </c>
      <c r="K1811">
        <f>IF(OR($E1811="",$E1811="نامعتبر"),"",IF(Sync!$V1808="","",IFERROR(INDEX(SubCodes,MATCH(Sync!$V1808,SubTitles,0)),Sync!$V1808)))</f>
        <v/>
      </c>
      <c r="L1811">
        <f>IF(OR($E1811="",$E1811="نامعتبر"),"",IF(Sync!$W1808="",0,Sync!$W1808))</f>
        <v/>
      </c>
      <c r="M1811">
        <f>IF(OR($E1811="",$E1811="نامعتبر"),"",IF(Sync!$X1808="",0,Sync!$X1808))</f>
        <v/>
      </c>
      <c r="N1811">
        <f>IF(OR($E1811="",$E1811="نامعتبر"),"",IF(AND($J1811="هزینه",$K1811&lt;&gt;""),1,0))</f>
        <v/>
      </c>
      <c r="O1811">
        <f>IF($N1811=0,"",LEFT($E1811,4)&amp;MID($E1811,6,2)&amp;RIGHT($E1811,2)&amp;$F1811&amp;"|"&amp;"1"&amp;RIGHT("00000"&amp;1803,5))</f>
        <v/>
      </c>
      <c r="P1811">
        <f>IF($O1811="","",COUNTIFS(ExpSub,$K1811,ExpKey,"&lt;"&amp;$O1811)+1)</f>
        <v/>
      </c>
      <c r="Q1811">
        <f>IF($P1811="","",$K1811&amp;"|"&amp;RIGHT("000000"&amp;$P1811,6))</f>
        <v/>
      </c>
    </row>
    <row r="1812">
      <c r="A1812">
        <f>IF(Sync!$P1809="","",Sync!$P1809)</f>
        <v/>
      </c>
      <c r="B1812">
        <f>IF($A1812="","",IF(ISNUMBER($A1812),IF(AND($A1812&gt;=10000101,$A1812&lt;=99991231),INT($A1812/10000),""),IFERROR(VALUE(TRIM(LEFT($A1812,FIND("/",$A1812)-1))),"")))</f>
        <v/>
      </c>
      <c r="C1812">
        <f>IF(OR($A1812="",$B1812=""),"",IF(ISNUMBER($A1812),INT(MOD($A1812,10000)/100),IFERROR(VALUE(TRIM(LEFT(MID($A1812,FIND("/",$A1812)+1,20),FIND("/",MID($A1812,FIND("/",$A1812)+1,20))-1))),"")))</f>
        <v/>
      </c>
      <c r="D1812">
        <f>IF(OR($A1812="",$B1812=""),"",IF(ISNUMBER($A1812),MOD($A1812,100),IFERROR(VALUE(TRIM(MID(MID($A1812,FIND("/",$A1812)+1,20),FIND("/",MID($A1812,FIND("/",$A1812)+1,20))+1,20))),"")))</f>
        <v/>
      </c>
      <c r="E1812">
        <f>IF($A1812="","",IF(OR($B1812="",$C1812="",$D1812="",$B1812&lt;1300,$B1812&gt;1500,$C1812&lt;1,$C1812&gt;12,$D1812&lt;1,$D1812&gt;31),"نامعتبر",RIGHT("0000"&amp;$B1812,4)&amp;"/"&amp;RIGHT("00"&amp;$C1812,2)&amp;"/"&amp;RIGHT("00"&amp;$D1812,2)))</f>
        <v/>
      </c>
      <c r="F1812">
        <f>IF(OR($E1812="",$E1812="نامعتبر"),"",IF(Sync!$Q1809="","0000",IF(AND(ISNUMBER(Sync!$Q1809),Sync!$Q1809&gt;=0,Sync!$Q1809&lt;1),RIGHT("00"&amp;HOUR(Sync!$Q1809),2)&amp;RIGHT("00"&amp;MINUTE(Sync!$Q1809),2),IFERROR(RIGHT("00"&amp;VALUE(LEFT(Sync!$Q1809,FIND(":",Sync!$Q1809)-1)),2)&amp;RIGHT("00"&amp;VALUE(MID(Sync!$Q1809,FIND(":",Sync!$Q1809)+1,2)),2),"0000"))))</f>
        <v/>
      </c>
      <c r="G1812">
        <f>IF(OR($E1812="",$E1812="نامعتبر"),"",IF(Sync!$S1809="","",Sync!$S1809))</f>
        <v/>
      </c>
      <c r="H1812">
        <f>IF(OR($E1812="",$E1812="نامعتبر"),"",IF(Sync!$R1809="","",Sync!$R1809))</f>
        <v/>
      </c>
      <c r="I1812">
        <f>IF(OR($E1812="",$E1812="نامعتبر"),"",IF(Sync!$T1809="","",Sync!$T1809))</f>
        <v/>
      </c>
      <c r="J1812">
        <f>IF(OR($E1812="",$E1812="نامعتبر"),"",IF(Sync!$U1809="","",Sync!$U1809))</f>
        <v/>
      </c>
      <c r="K1812">
        <f>IF(OR($E1812="",$E1812="نامعتبر"),"",IF(Sync!$V1809="","",IFERROR(INDEX(SubCodes,MATCH(Sync!$V1809,SubTitles,0)),Sync!$V1809)))</f>
        <v/>
      </c>
      <c r="L1812">
        <f>IF(OR($E1812="",$E1812="نامعتبر"),"",IF(Sync!$W1809="",0,Sync!$W1809))</f>
        <v/>
      </c>
      <c r="M1812">
        <f>IF(OR($E1812="",$E1812="نامعتبر"),"",IF(Sync!$X1809="",0,Sync!$X1809))</f>
        <v/>
      </c>
      <c r="N1812">
        <f>IF(OR($E1812="",$E1812="نامعتبر"),"",IF(AND($J1812="هزینه",$K1812&lt;&gt;""),1,0))</f>
        <v/>
      </c>
      <c r="O1812">
        <f>IF($N1812=0,"",LEFT($E1812,4)&amp;MID($E1812,6,2)&amp;RIGHT($E1812,2)&amp;$F1812&amp;"|"&amp;"1"&amp;RIGHT("00000"&amp;1804,5))</f>
        <v/>
      </c>
      <c r="P1812">
        <f>IF($O1812="","",COUNTIFS(ExpSub,$K1812,ExpKey,"&lt;"&amp;$O1812)+1)</f>
        <v/>
      </c>
      <c r="Q1812">
        <f>IF($P1812="","",$K1812&amp;"|"&amp;RIGHT("000000"&amp;$P1812,6))</f>
        <v/>
      </c>
    </row>
    <row r="1813">
      <c r="A1813">
        <f>IF(Sync!$P1810="","",Sync!$P1810)</f>
        <v/>
      </c>
      <c r="B1813">
        <f>IF($A1813="","",IF(ISNUMBER($A1813),IF(AND($A1813&gt;=10000101,$A1813&lt;=99991231),INT($A1813/10000),""),IFERROR(VALUE(TRIM(LEFT($A1813,FIND("/",$A1813)-1))),"")))</f>
        <v/>
      </c>
      <c r="C1813">
        <f>IF(OR($A1813="",$B1813=""),"",IF(ISNUMBER($A1813),INT(MOD($A1813,10000)/100),IFERROR(VALUE(TRIM(LEFT(MID($A1813,FIND("/",$A1813)+1,20),FIND("/",MID($A1813,FIND("/",$A1813)+1,20))-1))),"")))</f>
        <v/>
      </c>
      <c r="D1813">
        <f>IF(OR($A1813="",$B1813=""),"",IF(ISNUMBER($A1813),MOD($A1813,100),IFERROR(VALUE(TRIM(MID(MID($A1813,FIND("/",$A1813)+1,20),FIND("/",MID($A1813,FIND("/",$A1813)+1,20))+1,20))),"")))</f>
        <v/>
      </c>
      <c r="E1813">
        <f>IF($A1813="","",IF(OR($B1813="",$C1813="",$D1813="",$B1813&lt;1300,$B1813&gt;1500,$C1813&lt;1,$C1813&gt;12,$D1813&lt;1,$D1813&gt;31),"نامعتبر",RIGHT("0000"&amp;$B1813,4)&amp;"/"&amp;RIGHT("00"&amp;$C1813,2)&amp;"/"&amp;RIGHT("00"&amp;$D1813,2)))</f>
        <v/>
      </c>
      <c r="F1813">
        <f>IF(OR($E1813="",$E1813="نامعتبر"),"",IF(Sync!$Q1810="","0000",IF(AND(ISNUMBER(Sync!$Q1810),Sync!$Q1810&gt;=0,Sync!$Q1810&lt;1),RIGHT("00"&amp;HOUR(Sync!$Q1810),2)&amp;RIGHT("00"&amp;MINUTE(Sync!$Q1810),2),IFERROR(RIGHT("00"&amp;VALUE(LEFT(Sync!$Q1810,FIND(":",Sync!$Q1810)-1)),2)&amp;RIGHT("00"&amp;VALUE(MID(Sync!$Q1810,FIND(":",Sync!$Q1810)+1,2)),2),"0000"))))</f>
        <v/>
      </c>
      <c r="G1813">
        <f>IF(OR($E1813="",$E1813="نامعتبر"),"",IF(Sync!$S1810="","",Sync!$S1810))</f>
        <v/>
      </c>
      <c r="H1813">
        <f>IF(OR($E1813="",$E1813="نامعتبر"),"",IF(Sync!$R1810="","",Sync!$R1810))</f>
        <v/>
      </c>
      <c r="I1813">
        <f>IF(OR($E1813="",$E1813="نامعتبر"),"",IF(Sync!$T1810="","",Sync!$T1810))</f>
        <v/>
      </c>
      <c r="J1813">
        <f>IF(OR($E1813="",$E1813="نامعتبر"),"",IF(Sync!$U1810="","",Sync!$U1810))</f>
        <v/>
      </c>
      <c r="K1813">
        <f>IF(OR($E1813="",$E1813="نامعتبر"),"",IF(Sync!$V1810="","",IFERROR(INDEX(SubCodes,MATCH(Sync!$V1810,SubTitles,0)),Sync!$V1810)))</f>
        <v/>
      </c>
      <c r="L1813">
        <f>IF(OR($E1813="",$E1813="نامعتبر"),"",IF(Sync!$W1810="",0,Sync!$W1810))</f>
        <v/>
      </c>
      <c r="M1813">
        <f>IF(OR($E1813="",$E1813="نامعتبر"),"",IF(Sync!$X1810="",0,Sync!$X1810))</f>
        <v/>
      </c>
      <c r="N1813">
        <f>IF(OR($E1813="",$E1813="نامعتبر"),"",IF(AND($J1813="هزینه",$K1813&lt;&gt;""),1,0))</f>
        <v/>
      </c>
      <c r="O1813">
        <f>IF($N1813=0,"",LEFT($E1813,4)&amp;MID($E1813,6,2)&amp;RIGHT($E1813,2)&amp;$F1813&amp;"|"&amp;"1"&amp;RIGHT("00000"&amp;1805,5))</f>
        <v/>
      </c>
      <c r="P1813">
        <f>IF($O1813="","",COUNTIFS(ExpSub,$K1813,ExpKey,"&lt;"&amp;$O1813)+1)</f>
        <v/>
      </c>
      <c r="Q1813">
        <f>IF($P1813="","",$K1813&amp;"|"&amp;RIGHT("000000"&amp;$P1813,6))</f>
        <v/>
      </c>
    </row>
    <row r="1814">
      <c r="A1814">
        <f>IF(Sync!$P1811="","",Sync!$P1811)</f>
        <v/>
      </c>
      <c r="B1814">
        <f>IF($A1814="","",IF(ISNUMBER($A1814),IF(AND($A1814&gt;=10000101,$A1814&lt;=99991231),INT($A1814/10000),""),IFERROR(VALUE(TRIM(LEFT($A1814,FIND("/",$A1814)-1))),"")))</f>
        <v/>
      </c>
      <c r="C1814">
        <f>IF(OR($A1814="",$B1814=""),"",IF(ISNUMBER($A1814),INT(MOD($A1814,10000)/100),IFERROR(VALUE(TRIM(LEFT(MID($A1814,FIND("/",$A1814)+1,20),FIND("/",MID($A1814,FIND("/",$A1814)+1,20))-1))),"")))</f>
        <v/>
      </c>
      <c r="D1814">
        <f>IF(OR($A1814="",$B1814=""),"",IF(ISNUMBER($A1814),MOD($A1814,100),IFERROR(VALUE(TRIM(MID(MID($A1814,FIND("/",$A1814)+1,20),FIND("/",MID($A1814,FIND("/",$A1814)+1,20))+1,20))),"")))</f>
        <v/>
      </c>
      <c r="E1814">
        <f>IF($A1814="","",IF(OR($B1814="",$C1814="",$D1814="",$B1814&lt;1300,$B1814&gt;1500,$C1814&lt;1,$C1814&gt;12,$D1814&lt;1,$D1814&gt;31),"نامعتبر",RIGHT("0000"&amp;$B1814,4)&amp;"/"&amp;RIGHT("00"&amp;$C1814,2)&amp;"/"&amp;RIGHT("00"&amp;$D1814,2)))</f>
        <v/>
      </c>
      <c r="F1814">
        <f>IF(OR($E1814="",$E1814="نامعتبر"),"",IF(Sync!$Q1811="","0000",IF(AND(ISNUMBER(Sync!$Q1811),Sync!$Q1811&gt;=0,Sync!$Q1811&lt;1),RIGHT("00"&amp;HOUR(Sync!$Q1811),2)&amp;RIGHT("00"&amp;MINUTE(Sync!$Q1811),2),IFERROR(RIGHT("00"&amp;VALUE(LEFT(Sync!$Q1811,FIND(":",Sync!$Q1811)-1)),2)&amp;RIGHT("00"&amp;VALUE(MID(Sync!$Q1811,FIND(":",Sync!$Q1811)+1,2)),2),"0000"))))</f>
        <v/>
      </c>
      <c r="G1814">
        <f>IF(OR($E1814="",$E1814="نامعتبر"),"",IF(Sync!$S1811="","",Sync!$S1811))</f>
        <v/>
      </c>
      <c r="H1814">
        <f>IF(OR($E1814="",$E1814="نامعتبر"),"",IF(Sync!$R1811="","",Sync!$R1811))</f>
        <v/>
      </c>
      <c r="I1814">
        <f>IF(OR($E1814="",$E1814="نامعتبر"),"",IF(Sync!$T1811="","",Sync!$T1811))</f>
        <v/>
      </c>
      <c r="J1814">
        <f>IF(OR($E1814="",$E1814="نامعتبر"),"",IF(Sync!$U1811="","",Sync!$U1811))</f>
        <v/>
      </c>
      <c r="K1814">
        <f>IF(OR($E1814="",$E1814="نامعتبر"),"",IF(Sync!$V1811="","",IFERROR(INDEX(SubCodes,MATCH(Sync!$V1811,SubTitles,0)),Sync!$V1811)))</f>
        <v/>
      </c>
      <c r="L1814">
        <f>IF(OR($E1814="",$E1814="نامعتبر"),"",IF(Sync!$W1811="",0,Sync!$W1811))</f>
        <v/>
      </c>
      <c r="M1814">
        <f>IF(OR($E1814="",$E1814="نامعتبر"),"",IF(Sync!$X1811="",0,Sync!$X1811))</f>
        <v/>
      </c>
      <c r="N1814">
        <f>IF(OR($E1814="",$E1814="نامعتبر"),"",IF(AND($J1814="هزینه",$K1814&lt;&gt;""),1,0))</f>
        <v/>
      </c>
      <c r="O1814">
        <f>IF($N1814=0,"",LEFT($E1814,4)&amp;MID($E1814,6,2)&amp;RIGHT($E1814,2)&amp;$F1814&amp;"|"&amp;"1"&amp;RIGHT("00000"&amp;1806,5))</f>
        <v/>
      </c>
      <c r="P1814">
        <f>IF($O1814="","",COUNTIFS(ExpSub,$K1814,ExpKey,"&lt;"&amp;$O1814)+1)</f>
        <v/>
      </c>
      <c r="Q1814">
        <f>IF($P1814="","",$K1814&amp;"|"&amp;RIGHT("000000"&amp;$P1814,6))</f>
        <v/>
      </c>
    </row>
    <row r="1815">
      <c r="A1815">
        <f>IF(Sync!$P1812="","",Sync!$P1812)</f>
        <v/>
      </c>
      <c r="B1815">
        <f>IF($A1815="","",IF(ISNUMBER($A1815),IF(AND($A1815&gt;=10000101,$A1815&lt;=99991231),INT($A1815/10000),""),IFERROR(VALUE(TRIM(LEFT($A1815,FIND("/",$A1815)-1))),"")))</f>
        <v/>
      </c>
      <c r="C1815">
        <f>IF(OR($A1815="",$B1815=""),"",IF(ISNUMBER($A1815),INT(MOD($A1815,10000)/100),IFERROR(VALUE(TRIM(LEFT(MID($A1815,FIND("/",$A1815)+1,20),FIND("/",MID($A1815,FIND("/",$A1815)+1,20))-1))),"")))</f>
        <v/>
      </c>
      <c r="D1815">
        <f>IF(OR($A1815="",$B1815=""),"",IF(ISNUMBER($A1815),MOD($A1815,100),IFERROR(VALUE(TRIM(MID(MID($A1815,FIND("/",$A1815)+1,20),FIND("/",MID($A1815,FIND("/",$A1815)+1,20))+1,20))),"")))</f>
        <v/>
      </c>
      <c r="E1815">
        <f>IF($A1815="","",IF(OR($B1815="",$C1815="",$D1815="",$B1815&lt;1300,$B1815&gt;1500,$C1815&lt;1,$C1815&gt;12,$D1815&lt;1,$D1815&gt;31),"نامعتبر",RIGHT("0000"&amp;$B1815,4)&amp;"/"&amp;RIGHT("00"&amp;$C1815,2)&amp;"/"&amp;RIGHT("00"&amp;$D1815,2)))</f>
        <v/>
      </c>
      <c r="F1815">
        <f>IF(OR($E1815="",$E1815="نامعتبر"),"",IF(Sync!$Q1812="","0000",IF(AND(ISNUMBER(Sync!$Q1812),Sync!$Q1812&gt;=0,Sync!$Q1812&lt;1),RIGHT("00"&amp;HOUR(Sync!$Q1812),2)&amp;RIGHT("00"&amp;MINUTE(Sync!$Q1812),2),IFERROR(RIGHT("00"&amp;VALUE(LEFT(Sync!$Q1812,FIND(":",Sync!$Q1812)-1)),2)&amp;RIGHT("00"&amp;VALUE(MID(Sync!$Q1812,FIND(":",Sync!$Q1812)+1,2)),2),"0000"))))</f>
        <v/>
      </c>
      <c r="G1815">
        <f>IF(OR($E1815="",$E1815="نامعتبر"),"",IF(Sync!$S1812="","",Sync!$S1812))</f>
        <v/>
      </c>
      <c r="H1815">
        <f>IF(OR($E1815="",$E1815="نامعتبر"),"",IF(Sync!$R1812="","",Sync!$R1812))</f>
        <v/>
      </c>
      <c r="I1815">
        <f>IF(OR($E1815="",$E1815="نامعتبر"),"",IF(Sync!$T1812="","",Sync!$T1812))</f>
        <v/>
      </c>
      <c r="J1815">
        <f>IF(OR($E1815="",$E1815="نامعتبر"),"",IF(Sync!$U1812="","",Sync!$U1812))</f>
        <v/>
      </c>
      <c r="K1815">
        <f>IF(OR($E1815="",$E1815="نامعتبر"),"",IF(Sync!$V1812="","",IFERROR(INDEX(SubCodes,MATCH(Sync!$V1812,SubTitles,0)),Sync!$V1812)))</f>
        <v/>
      </c>
      <c r="L1815">
        <f>IF(OR($E1815="",$E1815="نامعتبر"),"",IF(Sync!$W1812="",0,Sync!$W1812))</f>
        <v/>
      </c>
      <c r="M1815">
        <f>IF(OR($E1815="",$E1815="نامعتبر"),"",IF(Sync!$X1812="",0,Sync!$X1812))</f>
        <v/>
      </c>
      <c r="N1815">
        <f>IF(OR($E1815="",$E1815="نامعتبر"),"",IF(AND($J1815="هزینه",$K1815&lt;&gt;""),1,0))</f>
        <v/>
      </c>
      <c r="O1815">
        <f>IF($N1815=0,"",LEFT($E1815,4)&amp;MID($E1815,6,2)&amp;RIGHT($E1815,2)&amp;$F1815&amp;"|"&amp;"1"&amp;RIGHT("00000"&amp;1807,5))</f>
        <v/>
      </c>
      <c r="P1815">
        <f>IF($O1815="","",COUNTIFS(ExpSub,$K1815,ExpKey,"&lt;"&amp;$O1815)+1)</f>
        <v/>
      </c>
      <c r="Q1815">
        <f>IF($P1815="","",$K1815&amp;"|"&amp;RIGHT("000000"&amp;$P1815,6))</f>
        <v/>
      </c>
    </row>
    <row r="1816">
      <c r="A1816">
        <f>IF(Sync!$P1813="","",Sync!$P1813)</f>
        <v/>
      </c>
      <c r="B1816">
        <f>IF($A1816="","",IF(ISNUMBER($A1816),IF(AND($A1816&gt;=10000101,$A1816&lt;=99991231),INT($A1816/10000),""),IFERROR(VALUE(TRIM(LEFT($A1816,FIND("/",$A1816)-1))),"")))</f>
        <v/>
      </c>
      <c r="C1816">
        <f>IF(OR($A1816="",$B1816=""),"",IF(ISNUMBER($A1816),INT(MOD($A1816,10000)/100),IFERROR(VALUE(TRIM(LEFT(MID($A1816,FIND("/",$A1816)+1,20),FIND("/",MID($A1816,FIND("/",$A1816)+1,20))-1))),"")))</f>
        <v/>
      </c>
      <c r="D1816">
        <f>IF(OR($A1816="",$B1816=""),"",IF(ISNUMBER($A1816),MOD($A1816,100),IFERROR(VALUE(TRIM(MID(MID($A1816,FIND("/",$A1816)+1,20),FIND("/",MID($A1816,FIND("/",$A1816)+1,20))+1,20))),"")))</f>
        <v/>
      </c>
      <c r="E1816">
        <f>IF($A1816="","",IF(OR($B1816="",$C1816="",$D1816="",$B1816&lt;1300,$B1816&gt;1500,$C1816&lt;1,$C1816&gt;12,$D1816&lt;1,$D1816&gt;31),"نامعتبر",RIGHT("0000"&amp;$B1816,4)&amp;"/"&amp;RIGHT("00"&amp;$C1816,2)&amp;"/"&amp;RIGHT("00"&amp;$D1816,2)))</f>
        <v/>
      </c>
      <c r="F1816">
        <f>IF(OR($E1816="",$E1816="نامعتبر"),"",IF(Sync!$Q1813="","0000",IF(AND(ISNUMBER(Sync!$Q1813),Sync!$Q1813&gt;=0,Sync!$Q1813&lt;1),RIGHT("00"&amp;HOUR(Sync!$Q1813),2)&amp;RIGHT("00"&amp;MINUTE(Sync!$Q1813),2),IFERROR(RIGHT("00"&amp;VALUE(LEFT(Sync!$Q1813,FIND(":",Sync!$Q1813)-1)),2)&amp;RIGHT("00"&amp;VALUE(MID(Sync!$Q1813,FIND(":",Sync!$Q1813)+1,2)),2),"0000"))))</f>
        <v/>
      </c>
      <c r="G1816">
        <f>IF(OR($E1816="",$E1816="نامعتبر"),"",IF(Sync!$S1813="","",Sync!$S1813))</f>
        <v/>
      </c>
      <c r="H1816">
        <f>IF(OR($E1816="",$E1816="نامعتبر"),"",IF(Sync!$R1813="","",Sync!$R1813))</f>
        <v/>
      </c>
      <c r="I1816">
        <f>IF(OR($E1816="",$E1816="نامعتبر"),"",IF(Sync!$T1813="","",Sync!$T1813))</f>
        <v/>
      </c>
      <c r="J1816">
        <f>IF(OR($E1816="",$E1816="نامعتبر"),"",IF(Sync!$U1813="","",Sync!$U1813))</f>
        <v/>
      </c>
      <c r="K1816">
        <f>IF(OR($E1816="",$E1816="نامعتبر"),"",IF(Sync!$V1813="","",IFERROR(INDEX(SubCodes,MATCH(Sync!$V1813,SubTitles,0)),Sync!$V1813)))</f>
        <v/>
      </c>
      <c r="L1816">
        <f>IF(OR($E1816="",$E1816="نامعتبر"),"",IF(Sync!$W1813="",0,Sync!$W1813))</f>
        <v/>
      </c>
      <c r="M1816">
        <f>IF(OR($E1816="",$E1816="نامعتبر"),"",IF(Sync!$X1813="",0,Sync!$X1813))</f>
        <v/>
      </c>
      <c r="N1816">
        <f>IF(OR($E1816="",$E1816="نامعتبر"),"",IF(AND($J1816="هزینه",$K1816&lt;&gt;""),1,0))</f>
        <v/>
      </c>
      <c r="O1816">
        <f>IF($N1816=0,"",LEFT($E1816,4)&amp;MID($E1816,6,2)&amp;RIGHT($E1816,2)&amp;$F1816&amp;"|"&amp;"1"&amp;RIGHT("00000"&amp;1808,5))</f>
        <v/>
      </c>
      <c r="P1816">
        <f>IF($O1816="","",COUNTIFS(ExpSub,$K1816,ExpKey,"&lt;"&amp;$O1816)+1)</f>
        <v/>
      </c>
      <c r="Q1816">
        <f>IF($P1816="","",$K1816&amp;"|"&amp;RIGHT("000000"&amp;$P1816,6))</f>
        <v/>
      </c>
    </row>
    <row r="1817">
      <c r="A1817">
        <f>IF(Sync!$P1814="","",Sync!$P1814)</f>
        <v/>
      </c>
      <c r="B1817">
        <f>IF($A1817="","",IF(ISNUMBER($A1817),IF(AND($A1817&gt;=10000101,$A1817&lt;=99991231),INT($A1817/10000),""),IFERROR(VALUE(TRIM(LEFT($A1817,FIND("/",$A1817)-1))),"")))</f>
        <v/>
      </c>
      <c r="C1817">
        <f>IF(OR($A1817="",$B1817=""),"",IF(ISNUMBER($A1817),INT(MOD($A1817,10000)/100),IFERROR(VALUE(TRIM(LEFT(MID($A1817,FIND("/",$A1817)+1,20),FIND("/",MID($A1817,FIND("/",$A1817)+1,20))-1))),"")))</f>
        <v/>
      </c>
      <c r="D1817">
        <f>IF(OR($A1817="",$B1817=""),"",IF(ISNUMBER($A1817),MOD($A1817,100),IFERROR(VALUE(TRIM(MID(MID($A1817,FIND("/",$A1817)+1,20),FIND("/",MID($A1817,FIND("/",$A1817)+1,20))+1,20))),"")))</f>
        <v/>
      </c>
      <c r="E1817">
        <f>IF($A1817="","",IF(OR($B1817="",$C1817="",$D1817="",$B1817&lt;1300,$B1817&gt;1500,$C1817&lt;1,$C1817&gt;12,$D1817&lt;1,$D1817&gt;31),"نامعتبر",RIGHT("0000"&amp;$B1817,4)&amp;"/"&amp;RIGHT("00"&amp;$C1817,2)&amp;"/"&amp;RIGHT("00"&amp;$D1817,2)))</f>
        <v/>
      </c>
      <c r="F1817">
        <f>IF(OR($E1817="",$E1817="نامعتبر"),"",IF(Sync!$Q1814="","0000",IF(AND(ISNUMBER(Sync!$Q1814),Sync!$Q1814&gt;=0,Sync!$Q1814&lt;1),RIGHT("00"&amp;HOUR(Sync!$Q1814),2)&amp;RIGHT("00"&amp;MINUTE(Sync!$Q1814),2),IFERROR(RIGHT("00"&amp;VALUE(LEFT(Sync!$Q1814,FIND(":",Sync!$Q1814)-1)),2)&amp;RIGHT("00"&amp;VALUE(MID(Sync!$Q1814,FIND(":",Sync!$Q1814)+1,2)),2),"0000"))))</f>
        <v/>
      </c>
      <c r="G1817">
        <f>IF(OR($E1817="",$E1817="نامعتبر"),"",IF(Sync!$S1814="","",Sync!$S1814))</f>
        <v/>
      </c>
      <c r="H1817">
        <f>IF(OR($E1817="",$E1817="نامعتبر"),"",IF(Sync!$R1814="","",Sync!$R1814))</f>
        <v/>
      </c>
      <c r="I1817">
        <f>IF(OR($E1817="",$E1817="نامعتبر"),"",IF(Sync!$T1814="","",Sync!$T1814))</f>
        <v/>
      </c>
      <c r="J1817">
        <f>IF(OR($E1817="",$E1817="نامعتبر"),"",IF(Sync!$U1814="","",Sync!$U1814))</f>
        <v/>
      </c>
      <c r="K1817">
        <f>IF(OR($E1817="",$E1817="نامعتبر"),"",IF(Sync!$V1814="","",IFERROR(INDEX(SubCodes,MATCH(Sync!$V1814,SubTitles,0)),Sync!$V1814)))</f>
        <v/>
      </c>
      <c r="L1817">
        <f>IF(OR($E1817="",$E1817="نامعتبر"),"",IF(Sync!$W1814="",0,Sync!$W1814))</f>
        <v/>
      </c>
      <c r="M1817">
        <f>IF(OR($E1817="",$E1817="نامعتبر"),"",IF(Sync!$X1814="",0,Sync!$X1814))</f>
        <v/>
      </c>
      <c r="N1817">
        <f>IF(OR($E1817="",$E1817="نامعتبر"),"",IF(AND($J1817="هزینه",$K1817&lt;&gt;""),1,0))</f>
        <v/>
      </c>
      <c r="O1817">
        <f>IF($N1817=0,"",LEFT($E1817,4)&amp;MID($E1817,6,2)&amp;RIGHT($E1817,2)&amp;$F1817&amp;"|"&amp;"1"&amp;RIGHT("00000"&amp;1809,5))</f>
        <v/>
      </c>
      <c r="P1817">
        <f>IF($O1817="","",COUNTIFS(ExpSub,$K1817,ExpKey,"&lt;"&amp;$O1817)+1)</f>
        <v/>
      </c>
      <c r="Q1817">
        <f>IF($P1817="","",$K1817&amp;"|"&amp;RIGHT("000000"&amp;$P1817,6))</f>
        <v/>
      </c>
    </row>
    <row r="1818">
      <c r="A1818">
        <f>IF(Sync!$P1815="","",Sync!$P1815)</f>
        <v/>
      </c>
      <c r="B1818">
        <f>IF($A1818="","",IF(ISNUMBER($A1818),IF(AND($A1818&gt;=10000101,$A1818&lt;=99991231),INT($A1818/10000),""),IFERROR(VALUE(TRIM(LEFT($A1818,FIND("/",$A1818)-1))),"")))</f>
        <v/>
      </c>
      <c r="C1818">
        <f>IF(OR($A1818="",$B1818=""),"",IF(ISNUMBER($A1818),INT(MOD($A1818,10000)/100),IFERROR(VALUE(TRIM(LEFT(MID($A1818,FIND("/",$A1818)+1,20),FIND("/",MID($A1818,FIND("/",$A1818)+1,20))-1))),"")))</f>
        <v/>
      </c>
      <c r="D1818">
        <f>IF(OR($A1818="",$B1818=""),"",IF(ISNUMBER($A1818),MOD($A1818,100),IFERROR(VALUE(TRIM(MID(MID($A1818,FIND("/",$A1818)+1,20),FIND("/",MID($A1818,FIND("/",$A1818)+1,20))+1,20))),"")))</f>
        <v/>
      </c>
      <c r="E1818">
        <f>IF($A1818="","",IF(OR($B1818="",$C1818="",$D1818="",$B1818&lt;1300,$B1818&gt;1500,$C1818&lt;1,$C1818&gt;12,$D1818&lt;1,$D1818&gt;31),"نامعتبر",RIGHT("0000"&amp;$B1818,4)&amp;"/"&amp;RIGHT("00"&amp;$C1818,2)&amp;"/"&amp;RIGHT("00"&amp;$D1818,2)))</f>
        <v/>
      </c>
      <c r="F1818">
        <f>IF(OR($E1818="",$E1818="نامعتبر"),"",IF(Sync!$Q1815="","0000",IF(AND(ISNUMBER(Sync!$Q1815),Sync!$Q1815&gt;=0,Sync!$Q1815&lt;1),RIGHT("00"&amp;HOUR(Sync!$Q1815),2)&amp;RIGHT("00"&amp;MINUTE(Sync!$Q1815),2),IFERROR(RIGHT("00"&amp;VALUE(LEFT(Sync!$Q1815,FIND(":",Sync!$Q1815)-1)),2)&amp;RIGHT("00"&amp;VALUE(MID(Sync!$Q1815,FIND(":",Sync!$Q1815)+1,2)),2),"0000"))))</f>
        <v/>
      </c>
      <c r="G1818">
        <f>IF(OR($E1818="",$E1818="نامعتبر"),"",IF(Sync!$S1815="","",Sync!$S1815))</f>
        <v/>
      </c>
      <c r="H1818">
        <f>IF(OR($E1818="",$E1818="نامعتبر"),"",IF(Sync!$R1815="","",Sync!$R1815))</f>
        <v/>
      </c>
      <c r="I1818">
        <f>IF(OR($E1818="",$E1818="نامعتبر"),"",IF(Sync!$T1815="","",Sync!$T1815))</f>
        <v/>
      </c>
      <c r="J1818">
        <f>IF(OR($E1818="",$E1818="نامعتبر"),"",IF(Sync!$U1815="","",Sync!$U1815))</f>
        <v/>
      </c>
      <c r="K1818">
        <f>IF(OR($E1818="",$E1818="نامعتبر"),"",IF(Sync!$V1815="","",IFERROR(INDEX(SubCodes,MATCH(Sync!$V1815,SubTitles,0)),Sync!$V1815)))</f>
        <v/>
      </c>
      <c r="L1818">
        <f>IF(OR($E1818="",$E1818="نامعتبر"),"",IF(Sync!$W1815="",0,Sync!$W1815))</f>
        <v/>
      </c>
      <c r="M1818">
        <f>IF(OR($E1818="",$E1818="نامعتبر"),"",IF(Sync!$X1815="",0,Sync!$X1815))</f>
        <v/>
      </c>
      <c r="N1818">
        <f>IF(OR($E1818="",$E1818="نامعتبر"),"",IF(AND($J1818="هزینه",$K1818&lt;&gt;""),1,0))</f>
        <v/>
      </c>
      <c r="O1818">
        <f>IF($N1818=0,"",LEFT($E1818,4)&amp;MID($E1818,6,2)&amp;RIGHT($E1818,2)&amp;$F1818&amp;"|"&amp;"1"&amp;RIGHT("00000"&amp;1810,5))</f>
        <v/>
      </c>
      <c r="P1818">
        <f>IF($O1818="","",COUNTIFS(ExpSub,$K1818,ExpKey,"&lt;"&amp;$O1818)+1)</f>
        <v/>
      </c>
      <c r="Q1818">
        <f>IF($P1818="","",$K1818&amp;"|"&amp;RIGHT("000000"&amp;$P1818,6))</f>
        <v/>
      </c>
    </row>
    <row r="1819">
      <c r="A1819">
        <f>IF(Sync!$P1816="","",Sync!$P1816)</f>
        <v/>
      </c>
      <c r="B1819">
        <f>IF($A1819="","",IF(ISNUMBER($A1819),IF(AND($A1819&gt;=10000101,$A1819&lt;=99991231),INT($A1819/10000),""),IFERROR(VALUE(TRIM(LEFT($A1819,FIND("/",$A1819)-1))),"")))</f>
        <v/>
      </c>
      <c r="C1819">
        <f>IF(OR($A1819="",$B1819=""),"",IF(ISNUMBER($A1819),INT(MOD($A1819,10000)/100),IFERROR(VALUE(TRIM(LEFT(MID($A1819,FIND("/",$A1819)+1,20),FIND("/",MID($A1819,FIND("/",$A1819)+1,20))-1))),"")))</f>
        <v/>
      </c>
      <c r="D1819">
        <f>IF(OR($A1819="",$B1819=""),"",IF(ISNUMBER($A1819),MOD($A1819,100),IFERROR(VALUE(TRIM(MID(MID($A1819,FIND("/",$A1819)+1,20),FIND("/",MID($A1819,FIND("/",$A1819)+1,20))+1,20))),"")))</f>
        <v/>
      </c>
      <c r="E1819">
        <f>IF($A1819="","",IF(OR($B1819="",$C1819="",$D1819="",$B1819&lt;1300,$B1819&gt;1500,$C1819&lt;1,$C1819&gt;12,$D1819&lt;1,$D1819&gt;31),"نامعتبر",RIGHT("0000"&amp;$B1819,4)&amp;"/"&amp;RIGHT("00"&amp;$C1819,2)&amp;"/"&amp;RIGHT("00"&amp;$D1819,2)))</f>
        <v/>
      </c>
      <c r="F1819">
        <f>IF(OR($E1819="",$E1819="نامعتبر"),"",IF(Sync!$Q1816="","0000",IF(AND(ISNUMBER(Sync!$Q1816),Sync!$Q1816&gt;=0,Sync!$Q1816&lt;1),RIGHT("00"&amp;HOUR(Sync!$Q1816),2)&amp;RIGHT("00"&amp;MINUTE(Sync!$Q1816),2),IFERROR(RIGHT("00"&amp;VALUE(LEFT(Sync!$Q1816,FIND(":",Sync!$Q1816)-1)),2)&amp;RIGHT("00"&amp;VALUE(MID(Sync!$Q1816,FIND(":",Sync!$Q1816)+1,2)),2),"0000"))))</f>
        <v/>
      </c>
      <c r="G1819">
        <f>IF(OR($E1819="",$E1819="نامعتبر"),"",IF(Sync!$S1816="","",Sync!$S1816))</f>
        <v/>
      </c>
      <c r="H1819">
        <f>IF(OR($E1819="",$E1819="نامعتبر"),"",IF(Sync!$R1816="","",Sync!$R1816))</f>
        <v/>
      </c>
      <c r="I1819">
        <f>IF(OR($E1819="",$E1819="نامعتبر"),"",IF(Sync!$T1816="","",Sync!$T1816))</f>
        <v/>
      </c>
      <c r="J1819">
        <f>IF(OR($E1819="",$E1819="نامعتبر"),"",IF(Sync!$U1816="","",Sync!$U1816))</f>
        <v/>
      </c>
      <c r="K1819">
        <f>IF(OR($E1819="",$E1819="نامعتبر"),"",IF(Sync!$V1816="","",IFERROR(INDEX(SubCodes,MATCH(Sync!$V1816,SubTitles,0)),Sync!$V1816)))</f>
        <v/>
      </c>
      <c r="L1819">
        <f>IF(OR($E1819="",$E1819="نامعتبر"),"",IF(Sync!$W1816="",0,Sync!$W1816))</f>
        <v/>
      </c>
      <c r="M1819">
        <f>IF(OR($E1819="",$E1819="نامعتبر"),"",IF(Sync!$X1816="",0,Sync!$X1816))</f>
        <v/>
      </c>
      <c r="N1819">
        <f>IF(OR($E1819="",$E1819="نامعتبر"),"",IF(AND($J1819="هزینه",$K1819&lt;&gt;""),1,0))</f>
        <v/>
      </c>
      <c r="O1819">
        <f>IF($N1819=0,"",LEFT($E1819,4)&amp;MID($E1819,6,2)&amp;RIGHT($E1819,2)&amp;$F1819&amp;"|"&amp;"1"&amp;RIGHT("00000"&amp;1811,5))</f>
        <v/>
      </c>
      <c r="P1819">
        <f>IF($O1819="","",COUNTIFS(ExpSub,$K1819,ExpKey,"&lt;"&amp;$O1819)+1)</f>
        <v/>
      </c>
      <c r="Q1819">
        <f>IF($P1819="","",$K1819&amp;"|"&amp;RIGHT("000000"&amp;$P1819,6))</f>
        <v/>
      </c>
    </row>
    <row r="1820">
      <c r="A1820">
        <f>IF(Sync!$P1817="","",Sync!$P1817)</f>
        <v/>
      </c>
      <c r="B1820">
        <f>IF($A1820="","",IF(ISNUMBER($A1820),IF(AND($A1820&gt;=10000101,$A1820&lt;=99991231),INT($A1820/10000),""),IFERROR(VALUE(TRIM(LEFT($A1820,FIND("/",$A1820)-1))),"")))</f>
        <v/>
      </c>
      <c r="C1820">
        <f>IF(OR($A1820="",$B1820=""),"",IF(ISNUMBER($A1820),INT(MOD($A1820,10000)/100),IFERROR(VALUE(TRIM(LEFT(MID($A1820,FIND("/",$A1820)+1,20),FIND("/",MID($A1820,FIND("/",$A1820)+1,20))-1))),"")))</f>
        <v/>
      </c>
      <c r="D1820">
        <f>IF(OR($A1820="",$B1820=""),"",IF(ISNUMBER($A1820),MOD($A1820,100),IFERROR(VALUE(TRIM(MID(MID($A1820,FIND("/",$A1820)+1,20),FIND("/",MID($A1820,FIND("/",$A1820)+1,20))+1,20))),"")))</f>
        <v/>
      </c>
      <c r="E1820">
        <f>IF($A1820="","",IF(OR($B1820="",$C1820="",$D1820="",$B1820&lt;1300,$B1820&gt;1500,$C1820&lt;1,$C1820&gt;12,$D1820&lt;1,$D1820&gt;31),"نامعتبر",RIGHT("0000"&amp;$B1820,4)&amp;"/"&amp;RIGHT("00"&amp;$C1820,2)&amp;"/"&amp;RIGHT("00"&amp;$D1820,2)))</f>
        <v/>
      </c>
      <c r="F1820">
        <f>IF(OR($E1820="",$E1820="نامعتبر"),"",IF(Sync!$Q1817="","0000",IF(AND(ISNUMBER(Sync!$Q1817),Sync!$Q1817&gt;=0,Sync!$Q1817&lt;1),RIGHT("00"&amp;HOUR(Sync!$Q1817),2)&amp;RIGHT("00"&amp;MINUTE(Sync!$Q1817),2),IFERROR(RIGHT("00"&amp;VALUE(LEFT(Sync!$Q1817,FIND(":",Sync!$Q1817)-1)),2)&amp;RIGHT("00"&amp;VALUE(MID(Sync!$Q1817,FIND(":",Sync!$Q1817)+1,2)),2),"0000"))))</f>
        <v/>
      </c>
      <c r="G1820">
        <f>IF(OR($E1820="",$E1820="نامعتبر"),"",IF(Sync!$S1817="","",Sync!$S1817))</f>
        <v/>
      </c>
      <c r="H1820">
        <f>IF(OR($E1820="",$E1820="نامعتبر"),"",IF(Sync!$R1817="","",Sync!$R1817))</f>
        <v/>
      </c>
      <c r="I1820">
        <f>IF(OR($E1820="",$E1820="نامعتبر"),"",IF(Sync!$T1817="","",Sync!$T1817))</f>
        <v/>
      </c>
      <c r="J1820">
        <f>IF(OR($E1820="",$E1820="نامعتبر"),"",IF(Sync!$U1817="","",Sync!$U1817))</f>
        <v/>
      </c>
      <c r="K1820">
        <f>IF(OR($E1820="",$E1820="نامعتبر"),"",IF(Sync!$V1817="","",IFERROR(INDEX(SubCodes,MATCH(Sync!$V1817,SubTitles,0)),Sync!$V1817)))</f>
        <v/>
      </c>
      <c r="L1820">
        <f>IF(OR($E1820="",$E1820="نامعتبر"),"",IF(Sync!$W1817="",0,Sync!$W1817))</f>
        <v/>
      </c>
      <c r="M1820">
        <f>IF(OR($E1820="",$E1820="نامعتبر"),"",IF(Sync!$X1817="",0,Sync!$X1817))</f>
        <v/>
      </c>
      <c r="N1820">
        <f>IF(OR($E1820="",$E1820="نامعتبر"),"",IF(AND($J1820="هزینه",$K1820&lt;&gt;""),1,0))</f>
        <v/>
      </c>
      <c r="O1820">
        <f>IF($N1820=0,"",LEFT($E1820,4)&amp;MID($E1820,6,2)&amp;RIGHT($E1820,2)&amp;$F1820&amp;"|"&amp;"1"&amp;RIGHT("00000"&amp;1812,5))</f>
        <v/>
      </c>
      <c r="P1820">
        <f>IF($O1820="","",COUNTIFS(ExpSub,$K1820,ExpKey,"&lt;"&amp;$O1820)+1)</f>
        <v/>
      </c>
      <c r="Q1820">
        <f>IF($P1820="","",$K1820&amp;"|"&amp;RIGHT("000000"&amp;$P1820,6))</f>
        <v/>
      </c>
    </row>
    <row r="1821">
      <c r="A1821">
        <f>IF(Sync!$P1818="","",Sync!$P1818)</f>
        <v/>
      </c>
      <c r="B1821">
        <f>IF($A1821="","",IF(ISNUMBER($A1821),IF(AND($A1821&gt;=10000101,$A1821&lt;=99991231),INT($A1821/10000),""),IFERROR(VALUE(TRIM(LEFT($A1821,FIND("/",$A1821)-1))),"")))</f>
        <v/>
      </c>
      <c r="C1821">
        <f>IF(OR($A1821="",$B1821=""),"",IF(ISNUMBER($A1821),INT(MOD($A1821,10000)/100),IFERROR(VALUE(TRIM(LEFT(MID($A1821,FIND("/",$A1821)+1,20),FIND("/",MID($A1821,FIND("/",$A1821)+1,20))-1))),"")))</f>
        <v/>
      </c>
      <c r="D1821">
        <f>IF(OR($A1821="",$B1821=""),"",IF(ISNUMBER($A1821),MOD($A1821,100),IFERROR(VALUE(TRIM(MID(MID($A1821,FIND("/",$A1821)+1,20),FIND("/",MID($A1821,FIND("/",$A1821)+1,20))+1,20))),"")))</f>
        <v/>
      </c>
      <c r="E1821">
        <f>IF($A1821="","",IF(OR($B1821="",$C1821="",$D1821="",$B1821&lt;1300,$B1821&gt;1500,$C1821&lt;1,$C1821&gt;12,$D1821&lt;1,$D1821&gt;31),"نامعتبر",RIGHT("0000"&amp;$B1821,4)&amp;"/"&amp;RIGHT("00"&amp;$C1821,2)&amp;"/"&amp;RIGHT("00"&amp;$D1821,2)))</f>
        <v/>
      </c>
      <c r="F1821">
        <f>IF(OR($E1821="",$E1821="نامعتبر"),"",IF(Sync!$Q1818="","0000",IF(AND(ISNUMBER(Sync!$Q1818),Sync!$Q1818&gt;=0,Sync!$Q1818&lt;1),RIGHT("00"&amp;HOUR(Sync!$Q1818),2)&amp;RIGHT("00"&amp;MINUTE(Sync!$Q1818),2),IFERROR(RIGHT("00"&amp;VALUE(LEFT(Sync!$Q1818,FIND(":",Sync!$Q1818)-1)),2)&amp;RIGHT("00"&amp;VALUE(MID(Sync!$Q1818,FIND(":",Sync!$Q1818)+1,2)),2),"0000"))))</f>
        <v/>
      </c>
      <c r="G1821">
        <f>IF(OR($E1821="",$E1821="نامعتبر"),"",IF(Sync!$S1818="","",Sync!$S1818))</f>
        <v/>
      </c>
      <c r="H1821">
        <f>IF(OR($E1821="",$E1821="نامعتبر"),"",IF(Sync!$R1818="","",Sync!$R1818))</f>
        <v/>
      </c>
      <c r="I1821">
        <f>IF(OR($E1821="",$E1821="نامعتبر"),"",IF(Sync!$T1818="","",Sync!$T1818))</f>
        <v/>
      </c>
      <c r="J1821">
        <f>IF(OR($E1821="",$E1821="نامعتبر"),"",IF(Sync!$U1818="","",Sync!$U1818))</f>
        <v/>
      </c>
      <c r="K1821">
        <f>IF(OR($E1821="",$E1821="نامعتبر"),"",IF(Sync!$V1818="","",IFERROR(INDEX(SubCodes,MATCH(Sync!$V1818,SubTitles,0)),Sync!$V1818)))</f>
        <v/>
      </c>
      <c r="L1821">
        <f>IF(OR($E1821="",$E1821="نامعتبر"),"",IF(Sync!$W1818="",0,Sync!$W1818))</f>
        <v/>
      </c>
      <c r="M1821">
        <f>IF(OR($E1821="",$E1821="نامعتبر"),"",IF(Sync!$X1818="",0,Sync!$X1818))</f>
        <v/>
      </c>
      <c r="N1821">
        <f>IF(OR($E1821="",$E1821="نامعتبر"),"",IF(AND($J1821="هزینه",$K1821&lt;&gt;""),1,0))</f>
        <v/>
      </c>
      <c r="O1821">
        <f>IF($N1821=0,"",LEFT($E1821,4)&amp;MID($E1821,6,2)&amp;RIGHT($E1821,2)&amp;$F1821&amp;"|"&amp;"1"&amp;RIGHT("00000"&amp;1813,5))</f>
        <v/>
      </c>
      <c r="P1821">
        <f>IF($O1821="","",COUNTIFS(ExpSub,$K1821,ExpKey,"&lt;"&amp;$O1821)+1)</f>
        <v/>
      </c>
      <c r="Q1821">
        <f>IF($P1821="","",$K1821&amp;"|"&amp;RIGHT("000000"&amp;$P1821,6))</f>
        <v/>
      </c>
    </row>
    <row r="1822">
      <c r="A1822">
        <f>IF(Sync!$P1819="","",Sync!$P1819)</f>
        <v/>
      </c>
      <c r="B1822">
        <f>IF($A1822="","",IF(ISNUMBER($A1822),IF(AND($A1822&gt;=10000101,$A1822&lt;=99991231),INT($A1822/10000),""),IFERROR(VALUE(TRIM(LEFT($A1822,FIND("/",$A1822)-1))),"")))</f>
        <v/>
      </c>
      <c r="C1822">
        <f>IF(OR($A1822="",$B1822=""),"",IF(ISNUMBER($A1822),INT(MOD($A1822,10000)/100),IFERROR(VALUE(TRIM(LEFT(MID($A1822,FIND("/",$A1822)+1,20),FIND("/",MID($A1822,FIND("/",$A1822)+1,20))-1))),"")))</f>
        <v/>
      </c>
      <c r="D1822">
        <f>IF(OR($A1822="",$B1822=""),"",IF(ISNUMBER($A1822),MOD($A1822,100),IFERROR(VALUE(TRIM(MID(MID($A1822,FIND("/",$A1822)+1,20),FIND("/",MID($A1822,FIND("/",$A1822)+1,20))+1,20))),"")))</f>
        <v/>
      </c>
      <c r="E1822">
        <f>IF($A1822="","",IF(OR($B1822="",$C1822="",$D1822="",$B1822&lt;1300,$B1822&gt;1500,$C1822&lt;1,$C1822&gt;12,$D1822&lt;1,$D1822&gt;31),"نامعتبر",RIGHT("0000"&amp;$B1822,4)&amp;"/"&amp;RIGHT("00"&amp;$C1822,2)&amp;"/"&amp;RIGHT("00"&amp;$D1822,2)))</f>
        <v/>
      </c>
      <c r="F1822">
        <f>IF(OR($E1822="",$E1822="نامعتبر"),"",IF(Sync!$Q1819="","0000",IF(AND(ISNUMBER(Sync!$Q1819),Sync!$Q1819&gt;=0,Sync!$Q1819&lt;1),RIGHT("00"&amp;HOUR(Sync!$Q1819),2)&amp;RIGHT("00"&amp;MINUTE(Sync!$Q1819),2),IFERROR(RIGHT("00"&amp;VALUE(LEFT(Sync!$Q1819,FIND(":",Sync!$Q1819)-1)),2)&amp;RIGHT("00"&amp;VALUE(MID(Sync!$Q1819,FIND(":",Sync!$Q1819)+1,2)),2),"0000"))))</f>
        <v/>
      </c>
      <c r="G1822">
        <f>IF(OR($E1822="",$E1822="نامعتبر"),"",IF(Sync!$S1819="","",Sync!$S1819))</f>
        <v/>
      </c>
      <c r="H1822">
        <f>IF(OR($E1822="",$E1822="نامعتبر"),"",IF(Sync!$R1819="","",Sync!$R1819))</f>
        <v/>
      </c>
      <c r="I1822">
        <f>IF(OR($E1822="",$E1822="نامعتبر"),"",IF(Sync!$T1819="","",Sync!$T1819))</f>
        <v/>
      </c>
      <c r="J1822">
        <f>IF(OR($E1822="",$E1822="نامعتبر"),"",IF(Sync!$U1819="","",Sync!$U1819))</f>
        <v/>
      </c>
      <c r="K1822">
        <f>IF(OR($E1822="",$E1822="نامعتبر"),"",IF(Sync!$V1819="","",IFERROR(INDEX(SubCodes,MATCH(Sync!$V1819,SubTitles,0)),Sync!$V1819)))</f>
        <v/>
      </c>
      <c r="L1822">
        <f>IF(OR($E1822="",$E1822="نامعتبر"),"",IF(Sync!$W1819="",0,Sync!$W1819))</f>
        <v/>
      </c>
      <c r="M1822">
        <f>IF(OR($E1822="",$E1822="نامعتبر"),"",IF(Sync!$X1819="",0,Sync!$X1819))</f>
        <v/>
      </c>
      <c r="N1822">
        <f>IF(OR($E1822="",$E1822="نامعتبر"),"",IF(AND($J1822="هزینه",$K1822&lt;&gt;""),1,0))</f>
        <v/>
      </c>
      <c r="O1822">
        <f>IF($N1822=0,"",LEFT($E1822,4)&amp;MID($E1822,6,2)&amp;RIGHT($E1822,2)&amp;$F1822&amp;"|"&amp;"1"&amp;RIGHT("00000"&amp;1814,5))</f>
        <v/>
      </c>
      <c r="P1822">
        <f>IF($O1822="","",COUNTIFS(ExpSub,$K1822,ExpKey,"&lt;"&amp;$O1822)+1)</f>
        <v/>
      </c>
      <c r="Q1822">
        <f>IF($P1822="","",$K1822&amp;"|"&amp;RIGHT("000000"&amp;$P1822,6))</f>
        <v/>
      </c>
    </row>
    <row r="1823">
      <c r="A1823">
        <f>IF(Sync!$P1820="","",Sync!$P1820)</f>
        <v/>
      </c>
      <c r="B1823">
        <f>IF($A1823="","",IF(ISNUMBER($A1823),IF(AND($A1823&gt;=10000101,$A1823&lt;=99991231),INT($A1823/10000),""),IFERROR(VALUE(TRIM(LEFT($A1823,FIND("/",$A1823)-1))),"")))</f>
        <v/>
      </c>
      <c r="C1823">
        <f>IF(OR($A1823="",$B1823=""),"",IF(ISNUMBER($A1823),INT(MOD($A1823,10000)/100),IFERROR(VALUE(TRIM(LEFT(MID($A1823,FIND("/",$A1823)+1,20),FIND("/",MID($A1823,FIND("/",$A1823)+1,20))-1))),"")))</f>
        <v/>
      </c>
      <c r="D1823">
        <f>IF(OR($A1823="",$B1823=""),"",IF(ISNUMBER($A1823),MOD($A1823,100),IFERROR(VALUE(TRIM(MID(MID($A1823,FIND("/",$A1823)+1,20),FIND("/",MID($A1823,FIND("/",$A1823)+1,20))+1,20))),"")))</f>
        <v/>
      </c>
      <c r="E1823">
        <f>IF($A1823="","",IF(OR($B1823="",$C1823="",$D1823="",$B1823&lt;1300,$B1823&gt;1500,$C1823&lt;1,$C1823&gt;12,$D1823&lt;1,$D1823&gt;31),"نامعتبر",RIGHT("0000"&amp;$B1823,4)&amp;"/"&amp;RIGHT("00"&amp;$C1823,2)&amp;"/"&amp;RIGHT("00"&amp;$D1823,2)))</f>
        <v/>
      </c>
      <c r="F1823">
        <f>IF(OR($E1823="",$E1823="نامعتبر"),"",IF(Sync!$Q1820="","0000",IF(AND(ISNUMBER(Sync!$Q1820),Sync!$Q1820&gt;=0,Sync!$Q1820&lt;1),RIGHT("00"&amp;HOUR(Sync!$Q1820),2)&amp;RIGHT("00"&amp;MINUTE(Sync!$Q1820),2),IFERROR(RIGHT("00"&amp;VALUE(LEFT(Sync!$Q1820,FIND(":",Sync!$Q1820)-1)),2)&amp;RIGHT("00"&amp;VALUE(MID(Sync!$Q1820,FIND(":",Sync!$Q1820)+1,2)),2),"0000"))))</f>
        <v/>
      </c>
      <c r="G1823">
        <f>IF(OR($E1823="",$E1823="نامعتبر"),"",IF(Sync!$S1820="","",Sync!$S1820))</f>
        <v/>
      </c>
      <c r="H1823">
        <f>IF(OR($E1823="",$E1823="نامعتبر"),"",IF(Sync!$R1820="","",Sync!$R1820))</f>
        <v/>
      </c>
      <c r="I1823">
        <f>IF(OR($E1823="",$E1823="نامعتبر"),"",IF(Sync!$T1820="","",Sync!$T1820))</f>
        <v/>
      </c>
      <c r="J1823">
        <f>IF(OR($E1823="",$E1823="نامعتبر"),"",IF(Sync!$U1820="","",Sync!$U1820))</f>
        <v/>
      </c>
      <c r="K1823">
        <f>IF(OR($E1823="",$E1823="نامعتبر"),"",IF(Sync!$V1820="","",IFERROR(INDEX(SubCodes,MATCH(Sync!$V1820,SubTitles,0)),Sync!$V1820)))</f>
        <v/>
      </c>
      <c r="L1823">
        <f>IF(OR($E1823="",$E1823="نامعتبر"),"",IF(Sync!$W1820="",0,Sync!$W1820))</f>
        <v/>
      </c>
      <c r="M1823">
        <f>IF(OR($E1823="",$E1823="نامعتبر"),"",IF(Sync!$X1820="",0,Sync!$X1820))</f>
        <v/>
      </c>
      <c r="N1823">
        <f>IF(OR($E1823="",$E1823="نامعتبر"),"",IF(AND($J1823="هزینه",$K1823&lt;&gt;""),1,0))</f>
        <v/>
      </c>
      <c r="O1823">
        <f>IF($N1823=0,"",LEFT($E1823,4)&amp;MID($E1823,6,2)&amp;RIGHT($E1823,2)&amp;$F1823&amp;"|"&amp;"1"&amp;RIGHT("00000"&amp;1815,5))</f>
        <v/>
      </c>
      <c r="P1823">
        <f>IF($O1823="","",COUNTIFS(ExpSub,$K1823,ExpKey,"&lt;"&amp;$O1823)+1)</f>
        <v/>
      </c>
      <c r="Q1823">
        <f>IF($P1823="","",$K1823&amp;"|"&amp;RIGHT("000000"&amp;$P1823,6))</f>
        <v/>
      </c>
    </row>
    <row r="1824">
      <c r="A1824">
        <f>IF(Sync!$P1821="","",Sync!$P1821)</f>
        <v/>
      </c>
      <c r="B1824">
        <f>IF($A1824="","",IF(ISNUMBER($A1824),IF(AND($A1824&gt;=10000101,$A1824&lt;=99991231),INT($A1824/10000),""),IFERROR(VALUE(TRIM(LEFT($A1824,FIND("/",$A1824)-1))),"")))</f>
        <v/>
      </c>
      <c r="C1824">
        <f>IF(OR($A1824="",$B1824=""),"",IF(ISNUMBER($A1824),INT(MOD($A1824,10000)/100),IFERROR(VALUE(TRIM(LEFT(MID($A1824,FIND("/",$A1824)+1,20),FIND("/",MID($A1824,FIND("/",$A1824)+1,20))-1))),"")))</f>
        <v/>
      </c>
      <c r="D1824">
        <f>IF(OR($A1824="",$B1824=""),"",IF(ISNUMBER($A1824),MOD($A1824,100),IFERROR(VALUE(TRIM(MID(MID($A1824,FIND("/",$A1824)+1,20),FIND("/",MID($A1824,FIND("/",$A1824)+1,20))+1,20))),"")))</f>
        <v/>
      </c>
      <c r="E1824">
        <f>IF($A1824="","",IF(OR($B1824="",$C1824="",$D1824="",$B1824&lt;1300,$B1824&gt;1500,$C1824&lt;1,$C1824&gt;12,$D1824&lt;1,$D1824&gt;31),"نامعتبر",RIGHT("0000"&amp;$B1824,4)&amp;"/"&amp;RIGHT("00"&amp;$C1824,2)&amp;"/"&amp;RIGHT("00"&amp;$D1824,2)))</f>
        <v/>
      </c>
      <c r="F1824">
        <f>IF(OR($E1824="",$E1824="نامعتبر"),"",IF(Sync!$Q1821="","0000",IF(AND(ISNUMBER(Sync!$Q1821),Sync!$Q1821&gt;=0,Sync!$Q1821&lt;1),RIGHT("00"&amp;HOUR(Sync!$Q1821),2)&amp;RIGHT("00"&amp;MINUTE(Sync!$Q1821),2),IFERROR(RIGHT("00"&amp;VALUE(LEFT(Sync!$Q1821,FIND(":",Sync!$Q1821)-1)),2)&amp;RIGHT("00"&amp;VALUE(MID(Sync!$Q1821,FIND(":",Sync!$Q1821)+1,2)),2),"0000"))))</f>
        <v/>
      </c>
      <c r="G1824">
        <f>IF(OR($E1824="",$E1824="نامعتبر"),"",IF(Sync!$S1821="","",Sync!$S1821))</f>
        <v/>
      </c>
      <c r="H1824">
        <f>IF(OR($E1824="",$E1824="نامعتبر"),"",IF(Sync!$R1821="","",Sync!$R1821))</f>
        <v/>
      </c>
      <c r="I1824">
        <f>IF(OR($E1824="",$E1824="نامعتبر"),"",IF(Sync!$T1821="","",Sync!$T1821))</f>
        <v/>
      </c>
      <c r="J1824">
        <f>IF(OR($E1824="",$E1824="نامعتبر"),"",IF(Sync!$U1821="","",Sync!$U1821))</f>
        <v/>
      </c>
      <c r="K1824">
        <f>IF(OR($E1824="",$E1824="نامعتبر"),"",IF(Sync!$V1821="","",IFERROR(INDEX(SubCodes,MATCH(Sync!$V1821,SubTitles,0)),Sync!$V1821)))</f>
        <v/>
      </c>
      <c r="L1824">
        <f>IF(OR($E1824="",$E1824="نامعتبر"),"",IF(Sync!$W1821="",0,Sync!$W1821))</f>
        <v/>
      </c>
      <c r="M1824">
        <f>IF(OR($E1824="",$E1824="نامعتبر"),"",IF(Sync!$X1821="",0,Sync!$X1821))</f>
        <v/>
      </c>
      <c r="N1824">
        <f>IF(OR($E1824="",$E1824="نامعتبر"),"",IF(AND($J1824="هزینه",$K1824&lt;&gt;""),1,0))</f>
        <v/>
      </c>
      <c r="O1824">
        <f>IF($N1824=0,"",LEFT($E1824,4)&amp;MID($E1824,6,2)&amp;RIGHT($E1824,2)&amp;$F1824&amp;"|"&amp;"1"&amp;RIGHT("00000"&amp;1816,5))</f>
        <v/>
      </c>
      <c r="P1824">
        <f>IF($O1824="","",COUNTIFS(ExpSub,$K1824,ExpKey,"&lt;"&amp;$O1824)+1)</f>
        <v/>
      </c>
      <c r="Q1824">
        <f>IF($P1824="","",$K1824&amp;"|"&amp;RIGHT("000000"&amp;$P1824,6))</f>
        <v/>
      </c>
    </row>
    <row r="1825">
      <c r="A1825">
        <f>IF(Sync!$P1822="","",Sync!$P1822)</f>
        <v/>
      </c>
      <c r="B1825">
        <f>IF($A1825="","",IF(ISNUMBER($A1825),IF(AND($A1825&gt;=10000101,$A1825&lt;=99991231),INT($A1825/10000),""),IFERROR(VALUE(TRIM(LEFT($A1825,FIND("/",$A1825)-1))),"")))</f>
        <v/>
      </c>
      <c r="C1825">
        <f>IF(OR($A1825="",$B1825=""),"",IF(ISNUMBER($A1825),INT(MOD($A1825,10000)/100),IFERROR(VALUE(TRIM(LEFT(MID($A1825,FIND("/",$A1825)+1,20),FIND("/",MID($A1825,FIND("/",$A1825)+1,20))-1))),"")))</f>
        <v/>
      </c>
      <c r="D1825">
        <f>IF(OR($A1825="",$B1825=""),"",IF(ISNUMBER($A1825),MOD($A1825,100),IFERROR(VALUE(TRIM(MID(MID($A1825,FIND("/",$A1825)+1,20),FIND("/",MID($A1825,FIND("/",$A1825)+1,20))+1,20))),"")))</f>
        <v/>
      </c>
      <c r="E1825">
        <f>IF($A1825="","",IF(OR($B1825="",$C1825="",$D1825="",$B1825&lt;1300,$B1825&gt;1500,$C1825&lt;1,$C1825&gt;12,$D1825&lt;1,$D1825&gt;31),"نامعتبر",RIGHT("0000"&amp;$B1825,4)&amp;"/"&amp;RIGHT("00"&amp;$C1825,2)&amp;"/"&amp;RIGHT("00"&amp;$D1825,2)))</f>
        <v/>
      </c>
      <c r="F1825">
        <f>IF(OR($E1825="",$E1825="نامعتبر"),"",IF(Sync!$Q1822="","0000",IF(AND(ISNUMBER(Sync!$Q1822),Sync!$Q1822&gt;=0,Sync!$Q1822&lt;1),RIGHT("00"&amp;HOUR(Sync!$Q1822),2)&amp;RIGHT("00"&amp;MINUTE(Sync!$Q1822),2),IFERROR(RIGHT("00"&amp;VALUE(LEFT(Sync!$Q1822,FIND(":",Sync!$Q1822)-1)),2)&amp;RIGHT("00"&amp;VALUE(MID(Sync!$Q1822,FIND(":",Sync!$Q1822)+1,2)),2),"0000"))))</f>
        <v/>
      </c>
      <c r="G1825">
        <f>IF(OR($E1825="",$E1825="نامعتبر"),"",IF(Sync!$S1822="","",Sync!$S1822))</f>
        <v/>
      </c>
      <c r="H1825">
        <f>IF(OR($E1825="",$E1825="نامعتبر"),"",IF(Sync!$R1822="","",Sync!$R1822))</f>
        <v/>
      </c>
      <c r="I1825">
        <f>IF(OR($E1825="",$E1825="نامعتبر"),"",IF(Sync!$T1822="","",Sync!$T1822))</f>
        <v/>
      </c>
      <c r="J1825">
        <f>IF(OR($E1825="",$E1825="نامعتبر"),"",IF(Sync!$U1822="","",Sync!$U1822))</f>
        <v/>
      </c>
      <c r="K1825">
        <f>IF(OR($E1825="",$E1825="نامعتبر"),"",IF(Sync!$V1822="","",IFERROR(INDEX(SubCodes,MATCH(Sync!$V1822,SubTitles,0)),Sync!$V1822)))</f>
        <v/>
      </c>
      <c r="L1825">
        <f>IF(OR($E1825="",$E1825="نامعتبر"),"",IF(Sync!$W1822="",0,Sync!$W1822))</f>
        <v/>
      </c>
      <c r="M1825">
        <f>IF(OR($E1825="",$E1825="نامعتبر"),"",IF(Sync!$X1822="",0,Sync!$X1822))</f>
        <v/>
      </c>
      <c r="N1825">
        <f>IF(OR($E1825="",$E1825="نامعتبر"),"",IF(AND($J1825="هزینه",$K1825&lt;&gt;""),1,0))</f>
        <v/>
      </c>
      <c r="O1825">
        <f>IF($N1825=0,"",LEFT($E1825,4)&amp;MID($E1825,6,2)&amp;RIGHT($E1825,2)&amp;$F1825&amp;"|"&amp;"1"&amp;RIGHT("00000"&amp;1817,5))</f>
        <v/>
      </c>
      <c r="P1825">
        <f>IF($O1825="","",COUNTIFS(ExpSub,$K1825,ExpKey,"&lt;"&amp;$O1825)+1)</f>
        <v/>
      </c>
      <c r="Q1825">
        <f>IF($P1825="","",$K1825&amp;"|"&amp;RIGHT("000000"&amp;$P1825,6))</f>
        <v/>
      </c>
    </row>
    <row r="1826">
      <c r="A1826">
        <f>IF(Sync!$P1823="","",Sync!$P1823)</f>
        <v/>
      </c>
      <c r="B1826">
        <f>IF($A1826="","",IF(ISNUMBER($A1826),IF(AND($A1826&gt;=10000101,$A1826&lt;=99991231),INT($A1826/10000),""),IFERROR(VALUE(TRIM(LEFT($A1826,FIND("/",$A1826)-1))),"")))</f>
        <v/>
      </c>
      <c r="C1826">
        <f>IF(OR($A1826="",$B1826=""),"",IF(ISNUMBER($A1826),INT(MOD($A1826,10000)/100),IFERROR(VALUE(TRIM(LEFT(MID($A1826,FIND("/",$A1826)+1,20),FIND("/",MID($A1826,FIND("/",$A1826)+1,20))-1))),"")))</f>
        <v/>
      </c>
      <c r="D1826">
        <f>IF(OR($A1826="",$B1826=""),"",IF(ISNUMBER($A1826),MOD($A1826,100),IFERROR(VALUE(TRIM(MID(MID($A1826,FIND("/",$A1826)+1,20),FIND("/",MID($A1826,FIND("/",$A1826)+1,20))+1,20))),"")))</f>
        <v/>
      </c>
      <c r="E1826">
        <f>IF($A1826="","",IF(OR($B1826="",$C1826="",$D1826="",$B1826&lt;1300,$B1826&gt;1500,$C1826&lt;1,$C1826&gt;12,$D1826&lt;1,$D1826&gt;31),"نامعتبر",RIGHT("0000"&amp;$B1826,4)&amp;"/"&amp;RIGHT("00"&amp;$C1826,2)&amp;"/"&amp;RIGHT("00"&amp;$D1826,2)))</f>
        <v/>
      </c>
      <c r="F1826">
        <f>IF(OR($E1826="",$E1826="نامعتبر"),"",IF(Sync!$Q1823="","0000",IF(AND(ISNUMBER(Sync!$Q1823),Sync!$Q1823&gt;=0,Sync!$Q1823&lt;1),RIGHT("00"&amp;HOUR(Sync!$Q1823),2)&amp;RIGHT("00"&amp;MINUTE(Sync!$Q1823),2),IFERROR(RIGHT("00"&amp;VALUE(LEFT(Sync!$Q1823,FIND(":",Sync!$Q1823)-1)),2)&amp;RIGHT("00"&amp;VALUE(MID(Sync!$Q1823,FIND(":",Sync!$Q1823)+1,2)),2),"0000"))))</f>
        <v/>
      </c>
      <c r="G1826">
        <f>IF(OR($E1826="",$E1826="نامعتبر"),"",IF(Sync!$S1823="","",Sync!$S1823))</f>
        <v/>
      </c>
      <c r="H1826">
        <f>IF(OR($E1826="",$E1826="نامعتبر"),"",IF(Sync!$R1823="","",Sync!$R1823))</f>
        <v/>
      </c>
      <c r="I1826">
        <f>IF(OR($E1826="",$E1826="نامعتبر"),"",IF(Sync!$T1823="","",Sync!$T1823))</f>
        <v/>
      </c>
      <c r="J1826">
        <f>IF(OR($E1826="",$E1826="نامعتبر"),"",IF(Sync!$U1823="","",Sync!$U1823))</f>
        <v/>
      </c>
      <c r="K1826">
        <f>IF(OR($E1826="",$E1826="نامعتبر"),"",IF(Sync!$V1823="","",IFERROR(INDEX(SubCodes,MATCH(Sync!$V1823,SubTitles,0)),Sync!$V1823)))</f>
        <v/>
      </c>
      <c r="L1826">
        <f>IF(OR($E1826="",$E1826="نامعتبر"),"",IF(Sync!$W1823="",0,Sync!$W1823))</f>
        <v/>
      </c>
      <c r="M1826">
        <f>IF(OR($E1826="",$E1826="نامعتبر"),"",IF(Sync!$X1823="",0,Sync!$X1823))</f>
        <v/>
      </c>
      <c r="N1826">
        <f>IF(OR($E1826="",$E1826="نامعتبر"),"",IF(AND($J1826="هزینه",$K1826&lt;&gt;""),1,0))</f>
        <v/>
      </c>
      <c r="O1826">
        <f>IF($N1826=0,"",LEFT($E1826,4)&amp;MID($E1826,6,2)&amp;RIGHT($E1826,2)&amp;$F1826&amp;"|"&amp;"1"&amp;RIGHT("00000"&amp;1818,5))</f>
        <v/>
      </c>
      <c r="P1826">
        <f>IF($O1826="","",COUNTIFS(ExpSub,$K1826,ExpKey,"&lt;"&amp;$O1826)+1)</f>
        <v/>
      </c>
      <c r="Q1826">
        <f>IF($P1826="","",$K1826&amp;"|"&amp;RIGHT("000000"&amp;$P1826,6))</f>
        <v/>
      </c>
    </row>
    <row r="1827">
      <c r="A1827">
        <f>IF(Sync!$P1824="","",Sync!$P1824)</f>
        <v/>
      </c>
      <c r="B1827">
        <f>IF($A1827="","",IF(ISNUMBER($A1827),IF(AND($A1827&gt;=10000101,$A1827&lt;=99991231),INT($A1827/10000),""),IFERROR(VALUE(TRIM(LEFT($A1827,FIND("/",$A1827)-1))),"")))</f>
        <v/>
      </c>
      <c r="C1827">
        <f>IF(OR($A1827="",$B1827=""),"",IF(ISNUMBER($A1827),INT(MOD($A1827,10000)/100),IFERROR(VALUE(TRIM(LEFT(MID($A1827,FIND("/",$A1827)+1,20),FIND("/",MID($A1827,FIND("/",$A1827)+1,20))-1))),"")))</f>
        <v/>
      </c>
      <c r="D1827">
        <f>IF(OR($A1827="",$B1827=""),"",IF(ISNUMBER($A1827),MOD($A1827,100),IFERROR(VALUE(TRIM(MID(MID($A1827,FIND("/",$A1827)+1,20),FIND("/",MID($A1827,FIND("/",$A1827)+1,20))+1,20))),"")))</f>
        <v/>
      </c>
      <c r="E1827">
        <f>IF($A1827="","",IF(OR($B1827="",$C1827="",$D1827="",$B1827&lt;1300,$B1827&gt;1500,$C1827&lt;1,$C1827&gt;12,$D1827&lt;1,$D1827&gt;31),"نامعتبر",RIGHT("0000"&amp;$B1827,4)&amp;"/"&amp;RIGHT("00"&amp;$C1827,2)&amp;"/"&amp;RIGHT("00"&amp;$D1827,2)))</f>
        <v/>
      </c>
      <c r="F1827">
        <f>IF(OR($E1827="",$E1827="نامعتبر"),"",IF(Sync!$Q1824="","0000",IF(AND(ISNUMBER(Sync!$Q1824),Sync!$Q1824&gt;=0,Sync!$Q1824&lt;1),RIGHT("00"&amp;HOUR(Sync!$Q1824),2)&amp;RIGHT("00"&amp;MINUTE(Sync!$Q1824),2),IFERROR(RIGHT("00"&amp;VALUE(LEFT(Sync!$Q1824,FIND(":",Sync!$Q1824)-1)),2)&amp;RIGHT("00"&amp;VALUE(MID(Sync!$Q1824,FIND(":",Sync!$Q1824)+1,2)),2),"0000"))))</f>
        <v/>
      </c>
      <c r="G1827">
        <f>IF(OR($E1827="",$E1827="نامعتبر"),"",IF(Sync!$S1824="","",Sync!$S1824))</f>
        <v/>
      </c>
      <c r="H1827">
        <f>IF(OR($E1827="",$E1827="نامعتبر"),"",IF(Sync!$R1824="","",Sync!$R1824))</f>
        <v/>
      </c>
      <c r="I1827">
        <f>IF(OR($E1827="",$E1827="نامعتبر"),"",IF(Sync!$T1824="","",Sync!$T1824))</f>
        <v/>
      </c>
      <c r="J1827">
        <f>IF(OR($E1827="",$E1827="نامعتبر"),"",IF(Sync!$U1824="","",Sync!$U1824))</f>
        <v/>
      </c>
      <c r="K1827">
        <f>IF(OR($E1827="",$E1827="نامعتبر"),"",IF(Sync!$V1824="","",IFERROR(INDEX(SubCodes,MATCH(Sync!$V1824,SubTitles,0)),Sync!$V1824)))</f>
        <v/>
      </c>
      <c r="L1827">
        <f>IF(OR($E1827="",$E1827="نامعتبر"),"",IF(Sync!$W1824="",0,Sync!$W1824))</f>
        <v/>
      </c>
      <c r="M1827">
        <f>IF(OR($E1827="",$E1827="نامعتبر"),"",IF(Sync!$X1824="",0,Sync!$X1824))</f>
        <v/>
      </c>
      <c r="N1827">
        <f>IF(OR($E1827="",$E1827="نامعتبر"),"",IF(AND($J1827="هزینه",$K1827&lt;&gt;""),1,0))</f>
        <v/>
      </c>
      <c r="O1827">
        <f>IF($N1827=0,"",LEFT($E1827,4)&amp;MID($E1827,6,2)&amp;RIGHT($E1827,2)&amp;$F1827&amp;"|"&amp;"1"&amp;RIGHT("00000"&amp;1819,5))</f>
        <v/>
      </c>
      <c r="P1827">
        <f>IF($O1827="","",COUNTIFS(ExpSub,$K1827,ExpKey,"&lt;"&amp;$O1827)+1)</f>
        <v/>
      </c>
      <c r="Q1827">
        <f>IF($P1827="","",$K1827&amp;"|"&amp;RIGHT("000000"&amp;$P1827,6))</f>
        <v/>
      </c>
    </row>
    <row r="1828">
      <c r="A1828">
        <f>IF(Sync!$P1825="","",Sync!$P1825)</f>
        <v/>
      </c>
      <c r="B1828">
        <f>IF($A1828="","",IF(ISNUMBER($A1828),IF(AND($A1828&gt;=10000101,$A1828&lt;=99991231),INT($A1828/10000),""),IFERROR(VALUE(TRIM(LEFT($A1828,FIND("/",$A1828)-1))),"")))</f>
        <v/>
      </c>
      <c r="C1828">
        <f>IF(OR($A1828="",$B1828=""),"",IF(ISNUMBER($A1828),INT(MOD($A1828,10000)/100),IFERROR(VALUE(TRIM(LEFT(MID($A1828,FIND("/",$A1828)+1,20),FIND("/",MID($A1828,FIND("/",$A1828)+1,20))-1))),"")))</f>
        <v/>
      </c>
      <c r="D1828">
        <f>IF(OR($A1828="",$B1828=""),"",IF(ISNUMBER($A1828),MOD($A1828,100),IFERROR(VALUE(TRIM(MID(MID($A1828,FIND("/",$A1828)+1,20),FIND("/",MID($A1828,FIND("/",$A1828)+1,20))+1,20))),"")))</f>
        <v/>
      </c>
      <c r="E1828">
        <f>IF($A1828="","",IF(OR($B1828="",$C1828="",$D1828="",$B1828&lt;1300,$B1828&gt;1500,$C1828&lt;1,$C1828&gt;12,$D1828&lt;1,$D1828&gt;31),"نامعتبر",RIGHT("0000"&amp;$B1828,4)&amp;"/"&amp;RIGHT("00"&amp;$C1828,2)&amp;"/"&amp;RIGHT("00"&amp;$D1828,2)))</f>
        <v/>
      </c>
      <c r="F1828">
        <f>IF(OR($E1828="",$E1828="نامعتبر"),"",IF(Sync!$Q1825="","0000",IF(AND(ISNUMBER(Sync!$Q1825),Sync!$Q1825&gt;=0,Sync!$Q1825&lt;1),RIGHT("00"&amp;HOUR(Sync!$Q1825),2)&amp;RIGHT("00"&amp;MINUTE(Sync!$Q1825),2),IFERROR(RIGHT("00"&amp;VALUE(LEFT(Sync!$Q1825,FIND(":",Sync!$Q1825)-1)),2)&amp;RIGHT("00"&amp;VALUE(MID(Sync!$Q1825,FIND(":",Sync!$Q1825)+1,2)),2),"0000"))))</f>
        <v/>
      </c>
      <c r="G1828">
        <f>IF(OR($E1828="",$E1828="نامعتبر"),"",IF(Sync!$S1825="","",Sync!$S1825))</f>
        <v/>
      </c>
      <c r="H1828">
        <f>IF(OR($E1828="",$E1828="نامعتبر"),"",IF(Sync!$R1825="","",Sync!$R1825))</f>
        <v/>
      </c>
      <c r="I1828">
        <f>IF(OR($E1828="",$E1828="نامعتبر"),"",IF(Sync!$T1825="","",Sync!$T1825))</f>
        <v/>
      </c>
      <c r="J1828">
        <f>IF(OR($E1828="",$E1828="نامعتبر"),"",IF(Sync!$U1825="","",Sync!$U1825))</f>
        <v/>
      </c>
      <c r="K1828">
        <f>IF(OR($E1828="",$E1828="نامعتبر"),"",IF(Sync!$V1825="","",IFERROR(INDEX(SubCodes,MATCH(Sync!$V1825,SubTitles,0)),Sync!$V1825)))</f>
        <v/>
      </c>
      <c r="L1828">
        <f>IF(OR($E1828="",$E1828="نامعتبر"),"",IF(Sync!$W1825="",0,Sync!$W1825))</f>
        <v/>
      </c>
      <c r="M1828">
        <f>IF(OR($E1828="",$E1828="نامعتبر"),"",IF(Sync!$X1825="",0,Sync!$X1825))</f>
        <v/>
      </c>
      <c r="N1828">
        <f>IF(OR($E1828="",$E1828="نامعتبر"),"",IF(AND($J1828="هزینه",$K1828&lt;&gt;""),1,0))</f>
        <v/>
      </c>
      <c r="O1828">
        <f>IF($N1828=0,"",LEFT($E1828,4)&amp;MID($E1828,6,2)&amp;RIGHT($E1828,2)&amp;$F1828&amp;"|"&amp;"1"&amp;RIGHT("00000"&amp;1820,5))</f>
        <v/>
      </c>
      <c r="P1828">
        <f>IF($O1828="","",COUNTIFS(ExpSub,$K1828,ExpKey,"&lt;"&amp;$O1828)+1)</f>
        <v/>
      </c>
      <c r="Q1828">
        <f>IF($P1828="","",$K1828&amp;"|"&amp;RIGHT("000000"&amp;$P1828,6))</f>
        <v/>
      </c>
    </row>
    <row r="1829">
      <c r="A1829">
        <f>IF(Sync!$P1826="","",Sync!$P1826)</f>
        <v/>
      </c>
      <c r="B1829">
        <f>IF($A1829="","",IF(ISNUMBER($A1829),IF(AND($A1829&gt;=10000101,$A1829&lt;=99991231),INT($A1829/10000),""),IFERROR(VALUE(TRIM(LEFT($A1829,FIND("/",$A1829)-1))),"")))</f>
        <v/>
      </c>
      <c r="C1829">
        <f>IF(OR($A1829="",$B1829=""),"",IF(ISNUMBER($A1829),INT(MOD($A1829,10000)/100),IFERROR(VALUE(TRIM(LEFT(MID($A1829,FIND("/",$A1829)+1,20),FIND("/",MID($A1829,FIND("/",$A1829)+1,20))-1))),"")))</f>
        <v/>
      </c>
      <c r="D1829">
        <f>IF(OR($A1829="",$B1829=""),"",IF(ISNUMBER($A1829),MOD($A1829,100),IFERROR(VALUE(TRIM(MID(MID($A1829,FIND("/",$A1829)+1,20),FIND("/",MID($A1829,FIND("/",$A1829)+1,20))+1,20))),"")))</f>
        <v/>
      </c>
      <c r="E1829">
        <f>IF($A1829="","",IF(OR($B1829="",$C1829="",$D1829="",$B1829&lt;1300,$B1829&gt;1500,$C1829&lt;1,$C1829&gt;12,$D1829&lt;1,$D1829&gt;31),"نامعتبر",RIGHT("0000"&amp;$B1829,4)&amp;"/"&amp;RIGHT("00"&amp;$C1829,2)&amp;"/"&amp;RIGHT("00"&amp;$D1829,2)))</f>
        <v/>
      </c>
      <c r="F1829">
        <f>IF(OR($E1829="",$E1829="نامعتبر"),"",IF(Sync!$Q1826="","0000",IF(AND(ISNUMBER(Sync!$Q1826),Sync!$Q1826&gt;=0,Sync!$Q1826&lt;1),RIGHT("00"&amp;HOUR(Sync!$Q1826),2)&amp;RIGHT("00"&amp;MINUTE(Sync!$Q1826),2),IFERROR(RIGHT("00"&amp;VALUE(LEFT(Sync!$Q1826,FIND(":",Sync!$Q1826)-1)),2)&amp;RIGHT("00"&amp;VALUE(MID(Sync!$Q1826,FIND(":",Sync!$Q1826)+1,2)),2),"0000"))))</f>
        <v/>
      </c>
      <c r="G1829">
        <f>IF(OR($E1829="",$E1829="نامعتبر"),"",IF(Sync!$S1826="","",Sync!$S1826))</f>
        <v/>
      </c>
      <c r="H1829">
        <f>IF(OR($E1829="",$E1829="نامعتبر"),"",IF(Sync!$R1826="","",Sync!$R1826))</f>
        <v/>
      </c>
      <c r="I1829">
        <f>IF(OR($E1829="",$E1829="نامعتبر"),"",IF(Sync!$T1826="","",Sync!$T1826))</f>
        <v/>
      </c>
      <c r="J1829">
        <f>IF(OR($E1829="",$E1829="نامعتبر"),"",IF(Sync!$U1826="","",Sync!$U1826))</f>
        <v/>
      </c>
      <c r="K1829">
        <f>IF(OR($E1829="",$E1829="نامعتبر"),"",IF(Sync!$V1826="","",IFERROR(INDEX(SubCodes,MATCH(Sync!$V1826,SubTitles,0)),Sync!$V1826)))</f>
        <v/>
      </c>
      <c r="L1829">
        <f>IF(OR($E1829="",$E1829="نامعتبر"),"",IF(Sync!$W1826="",0,Sync!$W1826))</f>
        <v/>
      </c>
      <c r="M1829">
        <f>IF(OR($E1829="",$E1829="نامعتبر"),"",IF(Sync!$X1826="",0,Sync!$X1826))</f>
        <v/>
      </c>
      <c r="N1829">
        <f>IF(OR($E1829="",$E1829="نامعتبر"),"",IF(AND($J1829="هزینه",$K1829&lt;&gt;""),1,0))</f>
        <v/>
      </c>
      <c r="O1829">
        <f>IF($N1829=0,"",LEFT($E1829,4)&amp;MID($E1829,6,2)&amp;RIGHT($E1829,2)&amp;$F1829&amp;"|"&amp;"1"&amp;RIGHT("00000"&amp;1821,5))</f>
        <v/>
      </c>
      <c r="P1829">
        <f>IF($O1829="","",COUNTIFS(ExpSub,$K1829,ExpKey,"&lt;"&amp;$O1829)+1)</f>
        <v/>
      </c>
      <c r="Q1829">
        <f>IF($P1829="","",$K1829&amp;"|"&amp;RIGHT("000000"&amp;$P1829,6))</f>
        <v/>
      </c>
    </row>
    <row r="1830">
      <c r="A1830">
        <f>IF(Sync!$P1827="","",Sync!$P1827)</f>
        <v/>
      </c>
      <c r="B1830">
        <f>IF($A1830="","",IF(ISNUMBER($A1830),IF(AND($A1830&gt;=10000101,$A1830&lt;=99991231),INT($A1830/10000),""),IFERROR(VALUE(TRIM(LEFT($A1830,FIND("/",$A1830)-1))),"")))</f>
        <v/>
      </c>
      <c r="C1830">
        <f>IF(OR($A1830="",$B1830=""),"",IF(ISNUMBER($A1830),INT(MOD($A1830,10000)/100),IFERROR(VALUE(TRIM(LEFT(MID($A1830,FIND("/",$A1830)+1,20),FIND("/",MID($A1830,FIND("/",$A1830)+1,20))-1))),"")))</f>
        <v/>
      </c>
      <c r="D1830">
        <f>IF(OR($A1830="",$B1830=""),"",IF(ISNUMBER($A1830),MOD($A1830,100),IFERROR(VALUE(TRIM(MID(MID($A1830,FIND("/",$A1830)+1,20),FIND("/",MID($A1830,FIND("/",$A1830)+1,20))+1,20))),"")))</f>
        <v/>
      </c>
      <c r="E1830">
        <f>IF($A1830="","",IF(OR($B1830="",$C1830="",$D1830="",$B1830&lt;1300,$B1830&gt;1500,$C1830&lt;1,$C1830&gt;12,$D1830&lt;1,$D1830&gt;31),"نامعتبر",RIGHT("0000"&amp;$B1830,4)&amp;"/"&amp;RIGHT("00"&amp;$C1830,2)&amp;"/"&amp;RIGHT("00"&amp;$D1830,2)))</f>
        <v/>
      </c>
      <c r="F1830">
        <f>IF(OR($E1830="",$E1830="نامعتبر"),"",IF(Sync!$Q1827="","0000",IF(AND(ISNUMBER(Sync!$Q1827),Sync!$Q1827&gt;=0,Sync!$Q1827&lt;1),RIGHT("00"&amp;HOUR(Sync!$Q1827),2)&amp;RIGHT("00"&amp;MINUTE(Sync!$Q1827),2),IFERROR(RIGHT("00"&amp;VALUE(LEFT(Sync!$Q1827,FIND(":",Sync!$Q1827)-1)),2)&amp;RIGHT("00"&amp;VALUE(MID(Sync!$Q1827,FIND(":",Sync!$Q1827)+1,2)),2),"0000"))))</f>
        <v/>
      </c>
      <c r="G1830">
        <f>IF(OR($E1830="",$E1830="نامعتبر"),"",IF(Sync!$S1827="","",Sync!$S1827))</f>
        <v/>
      </c>
      <c r="H1830">
        <f>IF(OR($E1830="",$E1830="نامعتبر"),"",IF(Sync!$R1827="","",Sync!$R1827))</f>
        <v/>
      </c>
      <c r="I1830">
        <f>IF(OR($E1830="",$E1830="نامعتبر"),"",IF(Sync!$T1827="","",Sync!$T1827))</f>
        <v/>
      </c>
      <c r="J1830">
        <f>IF(OR($E1830="",$E1830="نامعتبر"),"",IF(Sync!$U1827="","",Sync!$U1827))</f>
        <v/>
      </c>
      <c r="K1830">
        <f>IF(OR($E1830="",$E1830="نامعتبر"),"",IF(Sync!$V1827="","",IFERROR(INDEX(SubCodes,MATCH(Sync!$V1827,SubTitles,0)),Sync!$V1827)))</f>
        <v/>
      </c>
      <c r="L1830">
        <f>IF(OR($E1830="",$E1830="نامعتبر"),"",IF(Sync!$W1827="",0,Sync!$W1827))</f>
        <v/>
      </c>
      <c r="M1830">
        <f>IF(OR($E1830="",$E1830="نامعتبر"),"",IF(Sync!$X1827="",0,Sync!$X1827))</f>
        <v/>
      </c>
      <c r="N1830">
        <f>IF(OR($E1830="",$E1830="نامعتبر"),"",IF(AND($J1830="هزینه",$K1830&lt;&gt;""),1,0))</f>
        <v/>
      </c>
      <c r="O1830">
        <f>IF($N1830=0,"",LEFT($E1830,4)&amp;MID($E1830,6,2)&amp;RIGHT($E1830,2)&amp;$F1830&amp;"|"&amp;"1"&amp;RIGHT("00000"&amp;1822,5))</f>
        <v/>
      </c>
      <c r="P1830">
        <f>IF($O1830="","",COUNTIFS(ExpSub,$K1830,ExpKey,"&lt;"&amp;$O1830)+1)</f>
        <v/>
      </c>
      <c r="Q1830">
        <f>IF($P1830="","",$K1830&amp;"|"&amp;RIGHT("000000"&amp;$P1830,6))</f>
        <v/>
      </c>
    </row>
    <row r="1831">
      <c r="A1831">
        <f>IF(Sync!$P1828="","",Sync!$P1828)</f>
        <v/>
      </c>
      <c r="B1831">
        <f>IF($A1831="","",IF(ISNUMBER($A1831),IF(AND($A1831&gt;=10000101,$A1831&lt;=99991231),INT($A1831/10000),""),IFERROR(VALUE(TRIM(LEFT($A1831,FIND("/",$A1831)-1))),"")))</f>
        <v/>
      </c>
      <c r="C1831">
        <f>IF(OR($A1831="",$B1831=""),"",IF(ISNUMBER($A1831),INT(MOD($A1831,10000)/100),IFERROR(VALUE(TRIM(LEFT(MID($A1831,FIND("/",$A1831)+1,20),FIND("/",MID($A1831,FIND("/",$A1831)+1,20))-1))),"")))</f>
        <v/>
      </c>
      <c r="D1831">
        <f>IF(OR($A1831="",$B1831=""),"",IF(ISNUMBER($A1831),MOD($A1831,100),IFERROR(VALUE(TRIM(MID(MID($A1831,FIND("/",$A1831)+1,20),FIND("/",MID($A1831,FIND("/",$A1831)+1,20))+1,20))),"")))</f>
        <v/>
      </c>
      <c r="E1831">
        <f>IF($A1831="","",IF(OR($B1831="",$C1831="",$D1831="",$B1831&lt;1300,$B1831&gt;1500,$C1831&lt;1,$C1831&gt;12,$D1831&lt;1,$D1831&gt;31),"نامعتبر",RIGHT("0000"&amp;$B1831,4)&amp;"/"&amp;RIGHT("00"&amp;$C1831,2)&amp;"/"&amp;RIGHT("00"&amp;$D1831,2)))</f>
        <v/>
      </c>
      <c r="F1831">
        <f>IF(OR($E1831="",$E1831="نامعتبر"),"",IF(Sync!$Q1828="","0000",IF(AND(ISNUMBER(Sync!$Q1828),Sync!$Q1828&gt;=0,Sync!$Q1828&lt;1),RIGHT("00"&amp;HOUR(Sync!$Q1828),2)&amp;RIGHT("00"&amp;MINUTE(Sync!$Q1828),2),IFERROR(RIGHT("00"&amp;VALUE(LEFT(Sync!$Q1828,FIND(":",Sync!$Q1828)-1)),2)&amp;RIGHT("00"&amp;VALUE(MID(Sync!$Q1828,FIND(":",Sync!$Q1828)+1,2)),2),"0000"))))</f>
        <v/>
      </c>
      <c r="G1831">
        <f>IF(OR($E1831="",$E1831="نامعتبر"),"",IF(Sync!$S1828="","",Sync!$S1828))</f>
        <v/>
      </c>
      <c r="H1831">
        <f>IF(OR($E1831="",$E1831="نامعتبر"),"",IF(Sync!$R1828="","",Sync!$R1828))</f>
        <v/>
      </c>
      <c r="I1831">
        <f>IF(OR($E1831="",$E1831="نامعتبر"),"",IF(Sync!$T1828="","",Sync!$T1828))</f>
        <v/>
      </c>
      <c r="J1831">
        <f>IF(OR($E1831="",$E1831="نامعتبر"),"",IF(Sync!$U1828="","",Sync!$U1828))</f>
        <v/>
      </c>
      <c r="K1831">
        <f>IF(OR($E1831="",$E1831="نامعتبر"),"",IF(Sync!$V1828="","",IFERROR(INDEX(SubCodes,MATCH(Sync!$V1828,SubTitles,0)),Sync!$V1828)))</f>
        <v/>
      </c>
      <c r="L1831">
        <f>IF(OR($E1831="",$E1831="نامعتبر"),"",IF(Sync!$W1828="",0,Sync!$W1828))</f>
        <v/>
      </c>
      <c r="M1831">
        <f>IF(OR($E1831="",$E1831="نامعتبر"),"",IF(Sync!$X1828="",0,Sync!$X1828))</f>
        <v/>
      </c>
      <c r="N1831">
        <f>IF(OR($E1831="",$E1831="نامعتبر"),"",IF(AND($J1831="هزینه",$K1831&lt;&gt;""),1,0))</f>
        <v/>
      </c>
      <c r="O1831">
        <f>IF($N1831=0,"",LEFT($E1831,4)&amp;MID($E1831,6,2)&amp;RIGHT($E1831,2)&amp;$F1831&amp;"|"&amp;"1"&amp;RIGHT("00000"&amp;1823,5))</f>
        <v/>
      </c>
      <c r="P1831">
        <f>IF($O1831="","",COUNTIFS(ExpSub,$K1831,ExpKey,"&lt;"&amp;$O1831)+1)</f>
        <v/>
      </c>
      <c r="Q1831">
        <f>IF($P1831="","",$K1831&amp;"|"&amp;RIGHT("000000"&amp;$P1831,6))</f>
        <v/>
      </c>
    </row>
    <row r="1832">
      <c r="A1832">
        <f>IF(Sync!$P1829="","",Sync!$P1829)</f>
        <v/>
      </c>
      <c r="B1832">
        <f>IF($A1832="","",IF(ISNUMBER($A1832),IF(AND($A1832&gt;=10000101,$A1832&lt;=99991231),INT($A1832/10000),""),IFERROR(VALUE(TRIM(LEFT($A1832,FIND("/",$A1832)-1))),"")))</f>
        <v/>
      </c>
      <c r="C1832">
        <f>IF(OR($A1832="",$B1832=""),"",IF(ISNUMBER($A1832),INT(MOD($A1832,10000)/100),IFERROR(VALUE(TRIM(LEFT(MID($A1832,FIND("/",$A1832)+1,20),FIND("/",MID($A1832,FIND("/",$A1832)+1,20))-1))),"")))</f>
        <v/>
      </c>
      <c r="D1832">
        <f>IF(OR($A1832="",$B1832=""),"",IF(ISNUMBER($A1832),MOD($A1832,100),IFERROR(VALUE(TRIM(MID(MID($A1832,FIND("/",$A1832)+1,20),FIND("/",MID($A1832,FIND("/",$A1832)+1,20))+1,20))),"")))</f>
        <v/>
      </c>
      <c r="E1832">
        <f>IF($A1832="","",IF(OR($B1832="",$C1832="",$D1832="",$B1832&lt;1300,$B1832&gt;1500,$C1832&lt;1,$C1832&gt;12,$D1832&lt;1,$D1832&gt;31),"نامعتبر",RIGHT("0000"&amp;$B1832,4)&amp;"/"&amp;RIGHT("00"&amp;$C1832,2)&amp;"/"&amp;RIGHT("00"&amp;$D1832,2)))</f>
        <v/>
      </c>
      <c r="F1832">
        <f>IF(OR($E1832="",$E1832="نامعتبر"),"",IF(Sync!$Q1829="","0000",IF(AND(ISNUMBER(Sync!$Q1829),Sync!$Q1829&gt;=0,Sync!$Q1829&lt;1),RIGHT("00"&amp;HOUR(Sync!$Q1829),2)&amp;RIGHT("00"&amp;MINUTE(Sync!$Q1829),2),IFERROR(RIGHT("00"&amp;VALUE(LEFT(Sync!$Q1829,FIND(":",Sync!$Q1829)-1)),2)&amp;RIGHT("00"&amp;VALUE(MID(Sync!$Q1829,FIND(":",Sync!$Q1829)+1,2)),2),"0000"))))</f>
        <v/>
      </c>
      <c r="G1832">
        <f>IF(OR($E1832="",$E1832="نامعتبر"),"",IF(Sync!$S1829="","",Sync!$S1829))</f>
        <v/>
      </c>
      <c r="H1832">
        <f>IF(OR($E1832="",$E1832="نامعتبر"),"",IF(Sync!$R1829="","",Sync!$R1829))</f>
        <v/>
      </c>
      <c r="I1832">
        <f>IF(OR($E1832="",$E1832="نامعتبر"),"",IF(Sync!$T1829="","",Sync!$T1829))</f>
        <v/>
      </c>
      <c r="J1832">
        <f>IF(OR($E1832="",$E1832="نامعتبر"),"",IF(Sync!$U1829="","",Sync!$U1829))</f>
        <v/>
      </c>
      <c r="K1832">
        <f>IF(OR($E1832="",$E1832="نامعتبر"),"",IF(Sync!$V1829="","",IFERROR(INDEX(SubCodes,MATCH(Sync!$V1829,SubTitles,0)),Sync!$V1829)))</f>
        <v/>
      </c>
      <c r="L1832">
        <f>IF(OR($E1832="",$E1832="نامعتبر"),"",IF(Sync!$W1829="",0,Sync!$W1829))</f>
        <v/>
      </c>
      <c r="M1832">
        <f>IF(OR($E1832="",$E1832="نامعتبر"),"",IF(Sync!$X1829="",0,Sync!$X1829))</f>
        <v/>
      </c>
      <c r="N1832">
        <f>IF(OR($E1832="",$E1832="نامعتبر"),"",IF(AND($J1832="هزینه",$K1832&lt;&gt;""),1,0))</f>
        <v/>
      </c>
      <c r="O1832">
        <f>IF($N1832=0,"",LEFT($E1832,4)&amp;MID($E1832,6,2)&amp;RIGHT($E1832,2)&amp;$F1832&amp;"|"&amp;"1"&amp;RIGHT("00000"&amp;1824,5))</f>
        <v/>
      </c>
      <c r="P1832">
        <f>IF($O1832="","",COUNTIFS(ExpSub,$K1832,ExpKey,"&lt;"&amp;$O1832)+1)</f>
        <v/>
      </c>
      <c r="Q1832">
        <f>IF($P1832="","",$K1832&amp;"|"&amp;RIGHT("000000"&amp;$P1832,6))</f>
        <v/>
      </c>
    </row>
    <row r="1833">
      <c r="A1833">
        <f>IF(Sync!$P1830="","",Sync!$P1830)</f>
        <v/>
      </c>
      <c r="B1833">
        <f>IF($A1833="","",IF(ISNUMBER($A1833),IF(AND($A1833&gt;=10000101,$A1833&lt;=99991231),INT($A1833/10000),""),IFERROR(VALUE(TRIM(LEFT($A1833,FIND("/",$A1833)-1))),"")))</f>
        <v/>
      </c>
      <c r="C1833">
        <f>IF(OR($A1833="",$B1833=""),"",IF(ISNUMBER($A1833),INT(MOD($A1833,10000)/100),IFERROR(VALUE(TRIM(LEFT(MID($A1833,FIND("/",$A1833)+1,20),FIND("/",MID($A1833,FIND("/",$A1833)+1,20))-1))),"")))</f>
        <v/>
      </c>
      <c r="D1833">
        <f>IF(OR($A1833="",$B1833=""),"",IF(ISNUMBER($A1833),MOD($A1833,100),IFERROR(VALUE(TRIM(MID(MID($A1833,FIND("/",$A1833)+1,20),FIND("/",MID($A1833,FIND("/",$A1833)+1,20))+1,20))),"")))</f>
        <v/>
      </c>
      <c r="E1833">
        <f>IF($A1833="","",IF(OR($B1833="",$C1833="",$D1833="",$B1833&lt;1300,$B1833&gt;1500,$C1833&lt;1,$C1833&gt;12,$D1833&lt;1,$D1833&gt;31),"نامعتبر",RIGHT("0000"&amp;$B1833,4)&amp;"/"&amp;RIGHT("00"&amp;$C1833,2)&amp;"/"&amp;RIGHT("00"&amp;$D1833,2)))</f>
        <v/>
      </c>
      <c r="F1833">
        <f>IF(OR($E1833="",$E1833="نامعتبر"),"",IF(Sync!$Q1830="","0000",IF(AND(ISNUMBER(Sync!$Q1830),Sync!$Q1830&gt;=0,Sync!$Q1830&lt;1),RIGHT("00"&amp;HOUR(Sync!$Q1830),2)&amp;RIGHT("00"&amp;MINUTE(Sync!$Q1830),2),IFERROR(RIGHT("00"&amp;VALUE(LEFT(Sync!$Q1830,FIND(":",Sync!$Q1830)-1)),2)&amp;RIGHT("00"&amp;VALUE(MID(Sync!$Q1830,FIND(":",Sync!$Q1830)+1,2)),2),"0000"))))</f>
        <v/>
      </c>
      <c r="G1833">
        <f>IF(OR($E1833="",$E1833="نامعتبر"),"",IF(Sync!$S1830="","",Sync!$S1830))</f>
        <v/>
      </c>
      <c r="H1833">
        <f>IF(OR($E1833="",$E1833="نامعتبر"),"",IF(Sync!$R1830="","",Sync!$R1830))</f>
        <v/>
      </c>
      <c r="I1833">
        <f>IF(OR($E1833="",$E1833="نامعتبر"),"",IF(Sync!$T1830="","",Sync!$T1830))</f>
        <v/>
      </c>
      <c r="J1833">
        <f>IF(OR($E1833="",$E1833="نامعتبر"),"",IF(Sync!$U1830="","",Sync!$U1830))</f>
        <v/>
      </c>
      <c r="K1833">
        <f>IF(OR($E1833="",$E1833="نامعتبر"),"",IF(Sync!$V1830="","",IFERROR(INDEX(SubCodes,MATCH(Sync!$V1830,SubTitles,0)),Sync!$V1830)))</f>
        <v/>
      </c>
      <c r="L1833">
        <f>IF(OR($E1833="",$E1833="نامعتبر"),"",IF(Sync!$W1830="",0,Sync!$W1830))</f>
        <v/>
      </c>
      <c r="M1833">
        <f>IF(OR($E1833="",$E1833="نامعتبر"),"",IF(Sync!$X1830="",0,Sync!$X1830))</f>
        <v/>
      </c>
      <c r="N1833">
        <f>IF(OR($E1833="",$E1833="نامعتبر"),"",IF(AND($J1833="هزینه",$K1833&lt;&gt;""),1,0))</f>
        <v/>
      </c>
      <c r="O1833">
        <f>IF($N1833=0,"",LEFT($E1833,4)&amp;MID($E1833,6,2)&amp;RIGHT($E1833,2)&amp;$F1833&amp;"|"&amp;"1"&amp;RIGHT("00000"&amp;1825,5))</f>
        <v/>
      </c>
      <c r="P1833">
        <f>IF($O1833="","",COUNTIFS(ExpSub,$K1833,ExpKey,"&lt;"&amp;$O1833)+1)</f>
        <v/>
      </c>
      <c r="Q1833">
        <f>IF($P1833="","",$K1833&amp;"|"&amp;RIGHT("000000"&amp;$P1833,6))</f>
        <v/>
      </c>
    </row>
    <row r="1834">
      <c r="A1834">
        <f>IF(Sync!$P1831="","",Sync!$P1831)</f>
        <v/>
      </c>
      <c r="B1834">
        <f>IF($A1834="","",IF(ISNUMBER($A1834),IF(AND($A1834&gt;=10000101,$A1834&lt;=99991231),INT($A1834/10000),""),IFERROR(VALUE(TRIM(LEFT($A1834,FIND("/",$A1834)-1))),"")))</f>
        <v/>
      </c>
      <c r="C1834">
        <f>IF(OR($A1834="",$B1834=""),"",IF(ISNUMBER($A1834),INT(MOD($A1834,10000)/100),IFERROR(VALUE(TRIM(LEFT(MID($A1834,FIND("/",$A1834)+1,20),FIND("/",MID($A1834,FIND("/",$A1834)+1,20))-1))),"")))</f>
        <v/>
      </c>
      <c r="D1834">
        <f>IF(OR($A1834="",$B1834=""),"",IF(ISNUMBER($A1834),MOD($A1834,100),IFERROR(VALUE(TRIM(MID(MID($A1834,FIND("/",$A1834)+1,20),FIND("/",MID($A1834,FIND("/",$A1834)+1,20))+1,20))),"")))</f>
        <v/>
      </c>
      <c r="E1834">
        <f>IF($A1834="","",IF(OR($B1834="",$C1834="",$D1834="",$B1834&lt;1300,$B1834&gt;1500,$C1834&lt;1,$C1834&gt;12,$D1834&lt;1,$D1834&gt;31),"نامعتبر",RIGHT("0000"&amp;$B1834,4)&amp;"/"&amp;RIGHT("00"&amp;$C1834,2)&amp;"/"&amp;RIGHT("00"&amp;$D1834,2)))</f>
        <v/>
      </c>
      <c r="F1834">
        <f>IF(OR($E1834="",$E1834="نامعتبر"),"",IF(Sync!$Q1831="","0000",IF(AND(ISNUMBER(Sync!$Q1831),Sync!$Q1831&gt;=0,Sync!$Q1831&lt;1),RIGHT("00"&amp;HOUR(Sync!$Q1831),2)&amp;RIGHT("00"&amp;MINUTE(Sync!$Q1831),2),IFERROR(RIGHT("00"&amp;VALUE(LEFT(Sync!$Q1831,FIND(":",Sync!$Q1831)-1)),2)&amp;RIGHT("00"&amp;VALUE(MID(Sync!$Q1831,FIND(":",Sync!$Q1831)+1,2)),2),"0000"))))</f>
        <v/>
      </c>
      <c r="G1834">
        <f>IF(OR($E1834="",$E1834="نامعتبر"),"",IF(Sync!$S1831="","",Sync!$S1831))</f>
        <v/>
      </c>
      <c r="H1834">
        <f>IF(OR($E1834="",$E1834="نامعتبر"),"",IF(Sync!$R1831="","",Sync!$R1831))</f>
        <v/>
      </c>
      <c r="I1834">
        <f>IF(OR($E1834="",$E1834="نامعتبر"),"",IF(Sync!$T1831="","",Sync!$T1831))</f>
        <v/>
      </c>
      <c r="J1834">
        <f>IF(OR($E1834="",$E1834="نامعتبر"),"",IF(Sync!$U1831="","",Sync!$U1831))</f>
        <v/>
      </c>
      <c r="K1834">
        <f>IF(OR($E1834="",$E1834="نامعتبر"),"",IF(Sync!$V1831="","",IFERROR(INDEX(SubCodes,MATCH(Sync!$V1831,SubTitles,0)),Sync!$V1831)))</f>
        <v/>
      </c>
      <c r="L1834">
        <f>IF(OR($E1834="",$E1834="نامعتبر"),"",IF(Sync!$W1831="",0,Sync!$W1831))</f>
        <v/>
      </c>
      <c r="M1834">
        <f>IF(OR($E1834="",$E1834="نامعتبر"),"",IF(Sync!$X1831="",0,Sync!$X1831))</f>
        <v/>
      </c>
      <c r="N1834">
        <f>IF(OR($E1834="",$E1834="نامعتبر"),"",IF(AND($J1834="هزینه",$K1834&lt;&gt;""),1,0))</f>
        <v/>
      </c>
      <c r="O1834">
        <f>IF($N1834=0,"",LEFT($E1834,4)&amp;MID($E1834,6,2)&amp;RIGHT($E1834,2)&amp;$F1834&amp;"|"&amp;"1"&amp;RIGHT("00000"&amp;1826,5))</f>
        <v/>
      </c>
      <c r="P1834">
        <f>IF($O1834="","",COUNTIFS(ExpSub,$K1834,ExpKey,"&lt;"&amp;$O1834)+1)</f>
        <v/>
      </c>
      <c r="Q1834">
        <f>IF($P1834="","",$K1834&amp;"|"&amp;RIGHT("000000"&amp;$P1834,6))</f>
        <v/>
      </c>
    </row>
    <row r="1835">
      <c r="A1835">
        <f>IF(Sync!$P1832="","",Sync!$P1832)</f>
        <v/>
      </c>
      <c r="B1835">
        <f>IF($A1835="","",IF(ISNUMBER($A1835),IF(AND($A1835&gt;=10000101,$A1835&lt;=99991231),INT($A1835/10000),""),IFERROR(VALUE(TRIM(LEFT($A1835,FIND("/",$A1835)-1))),"")))</f>
        <v/>
      </c>
      <c r="C1835">
        <f>IF(OR($A1835="",$B1835=""),"",IF(ISNUMBER($A1835),INT(MOD($A1835,10000)/100),IFERROR(VALUE(TRIM(LEFT(MID($A1835,FIND("/",$A1835)+1,20),FIND("/",MID($A1835,FIND("/",$A1835)+1,20))-1))),"")))</f>
        <v/>
      </c>
      <c r="D1835">
        <f>IF(OR($A1835="",$B1835=""),"",IF(ISNUMBER($A1835),MOD($A1835,100),IFERROR(VALUE(TRIM(MID(MID($A1835,FIND("/",$A1835)+1,20),FIND("/",MID($A1835,FIND("/",$A1835)+1,20))+1,20))),"")))</f>
        <v/>
      </c>
      <c r="E1835">
        <f>IF($A1835="","",IF(OR($B1835="",$C1835="",$D1835="",$B1835&lt;1300,$B1835&gt;1500,$C1835&lt;1,$C1835&gt;12,$D1835&lt;1,$D1835&gt;31),"نامعتبر",RIGHT("0000"&amp;$B1835,4)&amp;"/"&amp;RIGHT("00"&amp;$C1835,2)&amp;"/"&amp;RIGHT("00"&amp;$D1835,2)))</f>
        <v/>
      </c>
      <c r="F1835">
        <f>IF(OR($E1835="",$E1835="نامعتبر"),"",IF(Sync!$Q1832="","0000",IF(AND(ISNUMBER(Sync!$Q1832),Sync!$Q1832&gt;=0,Sync!$Q1832&lt;1),RIGHT("00"&amp;HOUR(Sync!$Q1832),2)&amp;RIGHT("00"&amp;MINUTE(Sync!$Q1832),2),IFERROR(RIGHT("00"&amp;VALUE(LEFT(Sync!$Q1832,FIND(":",Sync!$Q1832)-1)),2)&amp;RIGHT("00"&amp;VALUE(MID(Sync!$Q1832,FIND(":",Sync!$Q1832)+1,2)),2),"0000"))))</f>
        <v/>
      </c>
      <c r="G1835">
        <f>IF(OR($E1835="",$E1835="نامعتبر"),"",IF(Sync!$S1832="","",Sync!$S1832))</f>
        <v/>
      </c>
      <c r="H1835">
        <f>IF(OR($E1835="",$E1835="نامعتبر"),"",IF(Sync!$R1832="","",Sync!$R1832))</f>
        <v/>
      </c>
      <c r="I1835">
        <f>IF(OR($E1835="",$E1835="نامعتبر"),"",IF(Sync!$T1832="","",Sync!$T1832))</f>
        <v/>
      </c>
      <c r="J1835">
        <f>IF(OR($E1835="",$E1835="نامعتبر"),"",IF(Sync!$U1832="","",Sync!$U1832))</f>
        <v/>
      </c>
      <c r="K1835">
        <f>IF(OR($E1835="",$E1835="نامعتبر"),"",IF(Sync!$V1832="","",IFERROR(INDEX(SubCodes,MATCH(Sync!$V1832,SubTitles,0)),Sync!$V1832)))</f>
        <v/>
      </c>
      <c r="L1835">
        <f>IF(OR($E1835="",$E1835="نامعتبر"),"",IF(Sync!$W1832="",0,Sync!$W1832))</f>
        <v/>
      </c>
      <c r="M1835">
        <f>IF(OR($E1835="",$E1835="نامعتبر"),"",IF(Sync!$X1832="",0,Sync!$X1832))</f>
        <v/>
      </c>
      <c r="N1835">
        <f>IF(OR($E1835="",$E1835="نامعتبر"),"",IF(AND($J1835="هزینه",$K1835&lt;&gt;""),1,0))</f>
        <v/>
      </c>
      <c r="O1835">
        <f>IF($N1835=0,"",LEFT($E1835,4)&amp;MID($E1835,6,2)&amp;RIGHT($E1835,2)&amp;$F1835&amp;"|"&amp;"1"&amp;RIGHT("00000"&amp;1827,5))</f>
        <v/>
      </c>
      <c r="P1835">
        <f>IF($O1835="","",COUNTIFS(ExpSub,$K1835,ExpKey,"&lt;"&amp;$O1835)+1)</f>
        <v/>
      </c>
      <c r="Q1835">
        <f>IF($P1835="","",$K1835&amp;"|"&amp;RIGHT("000000"&amp;$P1835,6))</f>
        <v/>
      </c>
    </row>
    <row r="1836">
      <c r="A1836">
        <f>IF(Sync!$P1833="","",Sync!$P1833)</f>
        <v/>
      </c>
      <c r="B1836">
        <f>IF($A1836="","",IF(ISNUMBER($A1836),IF(AND($A1836&gt;=10000101,$A1836&lt;=99991231),INT($A1836/10000),""),IFERROR(VALUE(TRIM(LEFT($A1836,FIND("/",$A1836)-1))),"")))</f>
        <v/>
      </c>
      <c r="C1836">
        <f>IF(OR($A1836="",$B1836=""),"",IF(ISNUMBER($A1836),INT(MOD($A1836,10000)/100),IFERROR(VALUE(TRIM(LEFT(MID($A1836,FIND("/",$A1836)+1,20),FIND("/",MID($A1836,FIND("/",$A1836)+1,20))-1))),"")))</f>
        <v/>
      </c>
      <c r="D1836">
        <f>IF(OR($A1836="",$B1836=""),"",IF(ISNUMBER($A1836),MOD($A1836,100),IFERROR(VALUE(TRIM(MID(MID($A1836,FIND("/",$A1836)+1,20),FIND("/",MID($A1836,FIND("/",$A1836)+1,20))+1,20))),"")))</f>
        <v/>
      </c>
      <c r="E1836">
        <f>IF($A1836="","",IF(OR($B1836="",$C1836="",$D1836="",$B1836&lt;1300,$B1836&gt;1500,$C1836&lt;1,$C1836&gt;12,$D1836&lt;1,$D1836&gt;31),"نامعتبر",RIGHT("0000"&amp;$B1836,4)&amp;"/"&amp;RIGHT("00"&amp;$C1836,2)&amp;"/"&amp;RIGHT("00"&amp;$D1836,2)))</f>
        <v/>
      </c>
      <c r="F1836">
        <f>IF(OR($E1836="",$E1836="نامعتبر"),"",IF(Sync!$Q1833="","0000",IF(AND(ISNUMBER(Sync!$Q1833),Sync!$Q1833&gt;=0,Sync!$Q1833&lt;1),RIGHT("00"&amp;HOUR(Sync!$Q1833),2)&amp;RIGHT("00"&amp;MINUTE(Sync!$Q1833),2),IFERROR(RIGHT("00"&amp;VALUE(LEFT(Sync!$Q1833,FIND(":",Sync!$Q1833)-1)),2)&amp;RIGHT("00"&amp;VALUE(MID(Sync!$Q1833,FIND(":",Sync!$Q1833)+1,2)),2),"0000"))))</f>
        <v/>
      </c>
      <c r="G1836">
        <f>IF(OR($E1836="",$E1836="نامعتبر"),"",IF(Sync!$S1833="","",Sync!$S1833))</f>
        <v/>
      </c>
      <c r="H1836">
        <f>IF(OR($E1836="",$E1836="نامعتبر"),"",IF(Sync!$R1833="","",Sync!$R1833))</f>
        <v/>
      </c>
      <c r="I1836">
        <f>IF(OR($E1836="",$E1836="نامعتبر"),"",IF(Sync!$T1833="","",Sync!$T1833))</f>
        <v/>
      </c>
      <c r="J1836">
        <f>IF(OR($E1836="",$E1836="نامعتبر"),"",IF(Sync!$U1833="","",Sync!$U1833))</f>
        <v/>
      </c>
      <c r="K1836">
        <f>IF(OR($E1836="",$E1836="نامعتبر"),"",IF(Sync!$V1833="","",IFERROR(INDEX(SubCodes,MATCH(Sync!$V1833,SubTitles,0)),Sync!$V1833)))</f>
        <v/>
      </c>
      <c r="L1836">
        <f>IF(OR($E1836="",$E1836="نامعتبر"),"",IF(Sync!$W1833="",0,Sync!$W1833))</f>
        <v/>
      </c>
      <c r="M1836">
        <f>IF(OR($E1836="",$E1836="نامعتبر"),"",IF(Sync!$X1833="",0,Sync!$X1833))</f>
        <v/>
      </c>
      <c r="N1836">
        <f>IF(OR($E1836="",$E1836="نامعتبر"),"",IF(AND($J1836="هزینه",$K1836&lt;&gt;""),1,0))</f>
        <v/>
      </c>
      <c r="O1836">
        <f>IF($N1836=0,"",LEFT($E1836,4)&amp;MID($E1836,6,2)&amp;RIGHT($E1836,2)&amp;$F1836&amp;"|"&amp;"1"&amp;RIGHT("00000"&amp;1828,5))</f>
        <v/>
      </c>
      <c r="P1836">
        <f>IF($O1836="","",COUNTIFS(ExpSub,$K1836,ExpKey,"&lt;"&amp;$O1836)+1)</f>
        <v/>
      </c>
      <c r="Q1836">
        <f>IF($P1836="","",$K1836&amp;"|"&amp;RIGHT("000000"&amp;$P1836,6))</f>
        <v/>
      </c>
    </row>
    <row r="1837">
      <c r="A1837">
        <f>IF(Sync!$P1834="","",Sync!$P1834)</f>
        <v/>
      </c>
      <c r="B1837">
        <f>IF($A1837="","",IF(ISNUMBER($A1837),IF(AND($A1837&gt;=10000101,$A1837&lt;=99991231),INT($A1837/10000),""),IFERROR(VALUE(TRIM(LEFT($A1837,FIND("/",$A1837)-1))),"")))</f>
        <v/>
      </c>
      <c r="C1837">
        <f>IF(OR($A1837="",$B1837=""),"",IF(ISNUMBER($A1837),INT(MOD($A1837,10000)/100),IFERROR(VALUE(TRIM(LEFT(MID($A1837,FIND("/",$A1837)+1,20),FIND("/",MID($A1837,FIND("/",$A1837)+1,20))-1))),"")))</f>
        <v/>
      </c>
      <c r="D1837">
        <f>IF(OR($A1837="",$B1837=""),"",IF(ISNUMBER($A1837),MOD($A1837,100),IFERROR(VALUE(TRIM(MID(MID($A1837,FIND("/",$A1837)+1,20),FIND("/",MID($A1837,FIND("/",$A1837)+1,20))+1,20))),"")))</f>
        <v/>
      </c>
      <c r="E1837">
        <f>IF($A1837="","",IF(OR($B1837="",$C1837="",$D1837="",$B1837&lt;1300,$B1837&gt;1500,$C1837&lt;1,$C1837&gt;12,$D1837&lt;1,$D1837&gt;31),"نامعتبر",RIGHT("0000"&amp;$B1837,4)&amp;"/"&amp;RIGHT("00"&amp;$C1837,2)&amp;"/"&amp;RIGHT("00"&amp;$D1837,2)))</f>
        <v/>
      </c>
      <c r="F1837">
        <f>IF(OR($E1837="",$E1837="نامعتبر"),"",IF(Sync!$Q1834="","0000",IF(AND(ISNUMBER(Sync!$Q1834),Sync!$Q1834&gt;=0,Sync!$Q1834&lt;1),RIGHT("00"&amp;HOUR(Sync!$Q1834),2)&amp;RIGHT("00"&amp;MINUTE(Sync!$Q1834),2),IFERROR(RIGHT("00"&amp;VALUE(LEFT(Sync!$Q1834,FIND(":",Sync!$Q1834)-1)),2)&amp;RIGHT("00"&amp;VALUE(MID(Sync!$Q1834,FIND(":",Sync!$Q1834)+1,2)),2),"0000"))))</f>
        <v/>
      </c>
      <c r="G1837">
        <f>IF(OR($E1837="",$E1837="نامعتبر"),"",IF(Sync!$S1834="","",Sync!$S1834))</f>
        <v/>
      </c>
      <c r="H1837">
        <f>IF(OR($E1837="",$E1837="نامعتبر"),"",IF(Sync!$R1834="","",Sync!$R1834))</f>
        <v/>
      </c>
      <c r="I1837">
        <f>IF(OR($E1837="",$E1837="نامعتبر"),"",IF(Sync!$T1834="","",Sync!$T1834))</f>
        <v/>
      </c>
      <c r="J1837">
        <f>IF(OR($E1837="",$E1837="نامعتبر"),"",IF(Sync!$U1834="","",Sync!$U1834))</f>
        <v/>
      </c>
      <c r="K1837">
        <f>IF(OR($E1837="",$E1837="نامعتبر"),"",IF(Sync!$V1834="","",IFERROR(INDEX(SubCodes,MATCH(Sync!$V1834,SubTitles,0)),Sync!$V1834)))</f>
        <v/>
      </c>
      <c r="L1837">
        <f>IF(OR($E1837="",$E1837="نامعتبر"),"",IF(Sync!$W1834="",0,Sync!$W1834))</f>
        <v/>
      </c>
      <c r="M1837">
        <f>IF(OR($E1837="",$E1837="نامعتبر"),"",IF(Sync!$X1834="",0,Sync!$X1834))</f>
        <v/>
      </c>
      <c r="N1837">
        <f>IF(OR($E1837="",$E1837="نامعتبر"),"",IF(AND($J1837="هزینه",$K1837&lt;&gt;""),1,0))</f>
        <v/>
      </c>
      <c r="O1837">
        <f>IF($N1837=0,"",LEFT($E1837,4)&amp;MID($E1837,6,2)&amp;RIGHT($E1837,2)&amp;$F1837&amp;"|"&amp;"1"&amp;RIGHT("00000"&amp;1829,5))</f>
        <v/>
      </c>
      <c r="P1837">
        <f>IF($O1837="","",COUNTIFS(ExpSub,$K1837,ExpKey,"&lt;"&amp;$O1837)+1)</f>
        <v/>
      </c>
      <c r="Q1837">
        <f>IF($P1837="","",$K1837&amp;"|"&amp;RIGHT("000000"&amp;$P1837,6))</f>
        <v/>
      </c>
    </row>
    <row r="1838">
      <c r="A1838">
        <f>IF(Sync!$P1835="","",Sync!$P1835)</f>
        <v/>
      </c>
      <c r="B1838">
        <f>IF($A1838="","",IF(ISNUMBER($A1838),IF(AND($A1838&gt;=10000101,$A1838&lt;=99991231),INT($A1838/10000),""),IFERROR(VALUE(TRIM(LEFT($A1838,FIND("/",$A1838)-1))),"")))</f>
        <v/>
      </c>
      <c r="C1838">
        <f>IF(OR($A1838="",$B1838=""),"",IF(ISNUMBER($A1838),INT(MOD($A1838,10000)/100),IFERROR(VALUE(TRIM(LEFT(MID($A1838,FIND("/",$A1838)+1,20),FIND("/",MID($A1838,FIND("/",$A1838)+1,20))-1))),"")))</f>
        <v/>
      </c>
      <c r="D1838">
        <f>IF(OR($A1838="",$B1838=""),"",IF(ISNUMBER($A1838),MOD($A1838,100),IFERROR(VALUE(TRIM(MID(MID($A1838,FIND("/",$A1838)+1,20),FIND("/",MID($A1838,FIND("/",$A1838)+1,20))+1,20))),"")))</f>
        <v/>
      </c>
      <c r="E1838">
        <f>IF($A1838="","",IF(OR($B1838="",$C1838="",$D1838="",$B1838&lt;1300,$B1838&gt;1500,$C1838&lt;1,$C1838&gt;12,$D1838&lt;1,$D1838&gt;31),"نامعتبر",RIGHT("0000"&amp;$B1838,4)&amp;"/"&amp;RIGHT("00"&amp;$C1838,2)&amp;"/"&amp;RIGHT("00"&amp;$D1838,2)))</f>
        <v/>
      </c>
      <c r="F1838">
        <f>IF(OR($E1838="",$E1838="نامعتبر"),"",IF(Sync!$Q1835="","0000",IF(AND(ISNUMBER(Sync!$Q1835),Sync!$Q1835&gt;=0,Sync!$Q1835&lt;1),RIGHT("00"&amp;HOUR(Sync!$Q1835),2)&amp;RIGHT("00"&amp;MINUTE(Sync!$Q1835),2),IFERROR(RIGHT("00"&amp;VALUE(LEFT(Sync!$Q1835,FIND(":",Sync!$Q1835)-1)),2)&amp;RIGHT("00"&amp;VALUE(MID(Sync!$Q1835,FIND(":",Sync!$Q1835)+1,2)),2),"0000"))))</f>
        <v/>
      </c>
      <c r="G1838">
        <f>IF(OR($E1838="",$E1838="نامعتبر"),"",IF(Sync!$S1835="","",Sync!$S1835))</f>
        <v/>
      </c>
      <c r="H1838">
        <f>IF(OR($E1838="",$E1838="نامعتبر"),"",IF(Sync!$R1835="","",Sync!$R1835))</f>
        <v/>
      </c>
      <c r="I1838">
        <f>IF(OR($E1838="",$E1838="نامعتبر"),"",IF(Sync!$T1835="","",Sync!$T1835))</f>
        <v/>
      </c>
      <c r="J1838">
        <f>IF(OR($E1838="",$E1838="نامعتبر"),"",IF(Sync!$U1835="","",Sync!$U1835))</f>
        <v/>
      </c>
      <c r="K1838">
        <f>IF(OR($E1838="",$E1838="نامعتبر"),"",IF(Sync!$V1835="","",IFERROR(INDEX(SubCodes,MATCH(Sync!$V1835,SubTitles,0)),Sync!$V1835)))</f>
        <v/>
      </c>
      <c r="L1838">
        <f>IF(OR($E1838="",$E1838="نامعتبر"),"",IF(Sync!$W1835="",0,Sync!$W1835))</f>
        <v/>
      </c>
      <c r="M1838">
        <f>IF(OR($E1838="",$E1838="نامعتبر"),"",IF(Sync!$X1835="",0,Sync!$X1835))</f>
        <v/>
      </c>
      <c r="N1838">
        <f>IF(OR($E1838="",$E1838="نامعتبر"),"",IF(AND($J1838="هزینه",$K1838&lt;&gt;""),1,0))</f>
        <v/>
      </c>
      <c r="O1838">
        <f>IF($N1838=0,"",LEFT($E1838,4)&amp;MID($E1838,6,2)&amp;RIGHT($E1838,2)&amp;$F1838&amp;"|"&amp;"1"&amp;RIGHT("00000"&amp;1830,5))</f>
        <v/>
      </c>
      <c r="P1838">
        <f>IF($O1838="","",COUNTIFS(ExpSub,$K1838,ExpKey,"&lt;"&amp;$O1838)+1)</f>
        <v/>
      </c>
      <c r="Q1838">
        <f>IF($P1838="","",$K1838&amp;"|"&amp;RIGHT("000000"&amp;$P1838,6))</f>
        <v/>
      </c>
    </row>
    <row r="1839">
      <c r="A1839">
        <f>IF(Sync!$P1836="","",Sync!$P1836)</f>
        <v/>
      </c>
      <c r="B1839">
        <f>IF($A1839="","",IF(ISNUMBER($A1839),IF(AND($A1839&gt;=10000101,$A1839&lt;=99991231),INT($A1839/10000),""),IFERROR(VALUE(TRIM(LEFT($A1839,FIND("/",$A1839)-1))),"")))</f>
        <v/>
      </c>
      <c r="C1839">
        <f>IF(OR($A1839="",$B1839=""),"",IF(ISNUMBER($A1839),INT(MOD($A1839,10000)/100),IFERROR(VALUE(TRIM(LEFT(MID($A1839,FIND("/",$A1839)+1,20),FIND("/",MID($A1839,FIND("/",$A1839)+1,20))-1))),"")))</f>
        <v/>
      </c>
      <c r="D1839">
        <f>IF(OR($A1839="",$B1839=""),"",IF(ISNUMBER($A1839),MOD($A1839,100),IFERROR(VALUE(TRIM(MID(MID($A1839,FIND("/",$A1839)+1,20),FIND("/",MID($A1839,FIND("/",$A1839)+1,20))+1,20))),"")))</f>
        <v/>
      </c>
      <c r="E1839">
        <f>IF($A1839="","",IF(OR($B1839="",$C1839="",$D1839="",$B1839&lt;1300,$B1839&gt;1500,$C1839&lt;1,$C1839&gt;12,$D1839&lt;1,$D1839&gt;31),"نامعتبر",RIGHT("0000"&amp;$B1839,4)&amp;"/"&amp;RIGHT("00"&amp;$C1839,2)&amp;"/"&amp;RIGHT("00"&amp;$D1839,2)))</f>
        <v/>
      </c>
      <c r="F1839">
        <f>IF(OR($E1839="",$E1839="نامعتبر"),"",IF(Sync!$Q1836="","0000",IF(AND(ISNUMBER(Sync!$Q1836),Sync!$Q1836&gt;=0,Sync!$Q1836&lt;1),RIGHT("00"&amp;HOUR(Sync!$Q1836),2)&amp;RIGHT("00"&amp;MINUTE(Sync!$Q1836),2),IFERROR(RIGHT("00"&amp;VALUE(LEFT(Sync!$Q1836,FIND(":",Sync!$Q1836)-1)),2)&amp;RIGHT("00"&amp;VALUE(MID(Sync!$Q1836,FIND(":",Sync!$Q1836)+1,2)),2),"0000"))))</f>
        <v/>
      </c>
      <c r="G1839">
        <f>IF(OR($E1839="",$E1839="نامعتبر"),"",IF(Sync!$S1836="","",Sync!$S1836))</f>
        <v/>
      </c>
      <c r="H1839">
        <f>IF(OR($E1839="",$E1839="نامعتبر"),"",IF(Sync!$R1836="","",Sync!$R1836))</f>
        <v/>
      </c>
      <c r="I1839">
        <f>IF(OR($E1839="",$E1839="نامعتبر"),"",IF(Sync!$T1836="","",Sync!$T1836))</f>
        <v/>
      </c>
      <c r="J1839">
        <f>IF(OR($E1839="",$E1839="نامعتبر"),"",IF(Sync!$U1836="","",Sync!$U1836))</f>
        <v/>
      </c>
      <c r="K1839">
        <f>IF(OR($E1839="",$E1839="نامعتبر"),"",IF(Sync!$V1836="","",IFERROR(INDEX(SubCodes,MATCH(Sync!$V1836,SubTitles,0)),Sync!$V1836)))</f>
        <v/>
      </c>
      <c r="L1839">
        <f>IF(OR($E1839="",$E1839="نامعتبر"),"",IF(Sync!$W1836="",0,Sync!$W1836))</f>
        <v/>
      </c>
      <c r="M1839">
        <f>IF(OR($E1839="",$E1839="نامعتبر"),"",IF(Sync!$X1836="",0,Sync!$X1836))</f>
        <v/>
      </c>
      <c r="N1839">
        <f>IF(OR($E1839="",$E1839="نامعتبر"),"",IF(AND($J1839="هزینه",$K1839&lt;&gt;""),1,0))</f>
        <v/>
      </c>
      <c r="O1839">
        <f>IF($N1839=0,"",LEFT($E1839,4)&amp;MID($E1839,6,2)&amp;RIGHT($E1839,2)&amp;$F1839&amp;"|"&amp;"1"&amp;RIGHT("00000"&amp;1831,5))</f>
        <v/>
      </c>
      <c r="P1839">
        <f>IF($O1839="","",COUNTIFS(ExpSub,$K1839,ExpKey,"&lt;"&amp;$O1839)+1)</f>
        <v/>
      </c>
      <c r="Q1839">
        <f>IF($P1839="","",$K1839&amp;"|"&amp;RIGHT("000000"&amp;$P1839,6))</f>
        <v/>
      </c>
    </row>
    <row r="1840">
      <c r="A1840">
        <f>IF(Sync!$P1837="","",Sync!$P1837)</f>
        <v/>
      </c>
      <c r="B1840">
        <f>IF($A1840="","",IF(ISNUMBER($A1840),IF(AND($A1840&gt;=10000101,$A1840&lt;=99991231),INT($A1840/10000),""),IFERROR(VALUE(TRIM(LEFT($A1840,FIND("/",$A1840)-1))),"")))</f>
        <v/>
      </c>
      <c r="C1840">
        <f>IF(OR($A1840="",$B1840=""),"",IF(ISNUMBER($A1840),INT(MOD($A1840,10000)/100),IFERROR(VALUE(TRIM(LEFT(MID($A1840,FIND("/",$A1840)+1,20),FIND("/",MID($A1840,FIND("/",$A1840)+1,20))-1))),"")))</f>
        <v/>
      </c>
      <c r="D1840">
        <f>IF(OR($A1840="",$B1840=""),"",IF(ISNUMBER($A1840),MOD($A1840,100),IFERROR(VALUE(TRIM(MID(MID($A1840,FIND("/",$A1840)+1,20),FIND("/",MID($A1840,FIND("/",$A1840)+1,20))+1,20))),"")))</f>
        <v/>
      </c>
      <c r="E1840">
        <f>IF($A1840="","",IF(OR($B1840="",$C1840="",$D1840="",$B1840&lt;1300,$B1840&gt;1500,$C1840&lt;1,$C1840&gt;12,$D1840&lt;1,$D1840&gt;31),"نامعتبر",RIGHT("0000"&amp;$B1840,4)&amp;"/"&amp;RIGHT("00"&amp;$C1840,2)&amp;"/"&amp;RIGHT("00"&amp;$D1840,2)))</f>
        <v/>
      </c>
      <c r="F1840">
        <f>IF(OR($E1840="",$E1840="نامعتبر"),"",IF(Sync!$Q1837="","0000",IF(AND(ISNUMBER(Sync!$Q1837),Sync!$Q1837&gt;=0,Sync!$Q1837&lt;1),RIGHT("00"&amp;HOUR(Sync!$Q1837),2)&amp;RIGHT("00"&amp;MINUTE(Sync!$Q1837),2),IFERROR(RIGHT("00"&amp;VALUE(LEFT(Sync!$Q1837,FIND(":",Sync!$Q1837)-1)),2)&amp;RIGHT("00"&amp;VALUE(MID(Sync!$Q1837,FIND(":",Sync!$Q1837)+1,2)),2),"0000"))))</f>
        <v/>
      </c>
      <c r="G1840">
        <f>IF(OR($E1840="",$E1840="نامعتبر"),"",IF(Sync!$S1837="","",Sync!$S1837))</f>
        <v/>
      </c>
      <c r="H1840">
        <f>IF(OR($E1840="",$E1840="نامعتبر"),"",IF(Sync!$R1837="","",Sync!$R1837))</f>
        <v/>
      </c>
      <c r="I1840">
        <f>IF(OR($E1840="",$E1840="نامعتبر"),"",IF(Sync!$T1837="","",Sync!$T1837))</f>
        <v/>
      </c>
      <c r="J1840">
        <f>IF(OR($E1840="",$E1840="نامعتبر"),"",IF(Sync!$U1837="","",Sync!$U1837))</f>
        <v/>
      </c>
      <c r="K1840">
        <f>IF(OR($E1840="",$E1840="نامعتبر"),"",IF(Sync!$V1837="","",IFERROR(INDEX(SubCodes,MATCH(Sync!$V1837,SubTitles,0)),Sync!$V1837)))</f>
        <v/>
      </c>
      <c r="L1840">
        <f>IF(OR($E1840="",$E1840="نامعتبر"),"",IF(Sync!$W1837="",0,Sync!$W1837))</f>
        <v/>
      </c>
      <c r="M1840">
        <f>IF(OR($E1840="",$E1840="نامعتبر"),"",IF(Sync!$X1837="",0,Sync!$X1837))</f>
        <v/>
      </c>
      <c r="N1840">
        <f>IF(OR($E1840="",$E1840="نامعتبر"),"",IF(AND($J1840="هزینه",$K1840&lt;&gt;""),1,0))</f>
        <v/>
      </c>
      <c r="O1840">
        <f>IF($N1840=0,"",LEFT($E1840,4)&amp;MID($E1840,6,2)&amp;RIGHT($E1840,2)&amp;$F1840&amp;"|"&amp;"1"&amp;RIGHT("00000"&amp;1832,5))</f>
        <v/>
      </c>
      <c r="P1840">
        <f>IF($O1840="","",COUNTIFS(ExpSub,$K1840,ExpKey,"&lt;"&amp;$O1840)+1)</f>
        <v/>
      </c>
      <c r="Q1840">
        <f>IF($P1840="","",$K1840&amp;"|"&amp;RIGHT("000000"&amp;$P1840,6))</f>
        <v/>
      </c>
    </row>
    <row r="1841">
      <c r="A1841">
        <f>IF(Sync!$P1838="","",Sync!$P1838)</f>
        <v/>
      </c>
      <c r="B1841">
        <f>IF($A1841="","",IF(ISNUMBER($A1841),IF(AND($A1841&gt;=10000101,$A1841&lt;=99991231),INT($A1841/10000),""),IFERROR(VALUE(TRIM(LEFT($A1841,FIND("/",$A1841)-1))),"")))</f>
        <v/>
      </c>
      <c r="C1841">
        <f>IF(OR($A1841="",$B1841=""),"",IF(ISNUMBER($A1841),INT(MOD($A1841,10000)/100),IFERROR(VALUE(TRIM(LEFT(MID($A1841,FIND("/",$A1841)+1,20),FIND("/",MID($A1841,FIND("/",$A1841)+1,20))-1))),"")))</f>
        <v/>
      </c>
      <c r="D1841">
        <f>IF(OR($A1841="",$B1841=""),"",IF(ISNUMBER($A1841),MOD($A1841,100),IFERROR(VALUE(TRIM(MID(MID($A1841,FIND("/",$A1841)+1,20),FIND("/",MID($A1841,FIND("/",$A1841)+1,20))+1,20))),"")))</f>
        <v/>
      </c>
      <c r="E1841">
        <f>IF($A1841="","",IF(OR($B1841="",$C1841="",$D1841="",$B1841&lt;1300,$B1841&gt;1500,$C1841&lt;1,$C1841&gt;12,$D1841&lt;1,$D1841&gt;31),"نامعتبر",RIGHT("0000"&amp;$B1841,4)&amp;"/"&amp;RIGHT("00"&amp;$C1841,2)&amp;"/"&amp;RIGHT("00"&amp;$D1841,2)))</f>
        <v/>
      </c>
      <c r="F1841">
        <f>IF(OR($E1841="",$E1841="نامعتبر"),"",IF(Sync!$Q1838="","0000",IF(AND(ISNUMBER(Sync!$Q1838),Sync!$Q1838&gt;=0,Sync!$Q1838&lt;1),RIGHT("00"&amp;HOUR(Sync!$Q1838),2)&amp;RIGHT("00"&amp;MINUTE(Sync!$Q1838),2),IFERROR(RIGHT("00"&amp;VALUE(LEFT(Sync!$Q1838,FIND(":",Sync!$Q1838)-1)),2)&amp;RIGHT("00"&amp;VALUE(MID(Sync!$Q1838,FIND(":",Sync!$Q1838)+1,2)),2),"0000"))))</f>
        <v/>
      </c>
      <c r="G1841">
        <f>IF(OR($E1841="",$E1841="نامعتبر"),"",IF(Sync!$S1838="","",Sync!$S1838))</f>
        <v/>
      </c>
      <c r="H1841">
        <f>IF(OR($E1841="",$E1841="نامعتبر"),"",IF(Sync!$R1838="","",Sync!$R1838))</f>
        <v/>
      </c>
      <c r="I1841">
        <f>IF(OR($E1841="",$E1841="نامعتبر"),"",IF(Sync!$T1838="","",Sync!$T1838))</f>
        <v/>
      </c>
      <c r="J1841">
        <f>IF(OR($E1841="",$E1841="نامعتبر"),"",IF(Sync!$U1838="","",Sync!$U1838))</f>
        <v/>
      </c>
      <c r="K1841">
        <f>IF(OR($E1841="",$E1841="نامعتبر"),"",IF(Sync!$V1838="","",IFERROR(INDEX(SubCodes,MATCH(Sync!$V1838,SubTitles,0)),Sync!$V1838)))</f>
        <v/>
      </c>
      <c r="L1841">
        <f>IF(OR($E1841="",$E1841="نامعتبر"),"",IF(Sync!$W1838="",0,Sync!$W1838))</f>
        <v/>
      </c>
      <c r="M1841">
        <f>IF(OR($E1841="",$E1841="نامعتبر"),"",IF(Sync!$X1838="",0,Sync!$X1838))</f>
        <v/>
      </c>
      <c r="N1841">
        <f>IF(OR($E1841="",$E1841="نامعتبر"),"",IF(AND($J1841="هزینه",$K1841&lt;&gt;""),1,0))</f>
        <v/>
      </c>
      <c r="O1841">
        <f>IF($N1841=0,"",LEFT($E1841,4)&amp;MID($E1841,6,2)&amp;RIGHT($E1841,2)&amp;$F1841&amp;"|"&amp;"1"&amp;RIGHT("00000"&amp;1833,5))</f>
        <v/>
      </c>
      <c r="P1841">
        <f>IF($O1841="","",COUNTIFS(ExpSub,$K1841,ExpKey,"&lt;"&amp;$O1841)+1)</f>
        <v/>
      </c>
      <c r="Q1841">
        <f>IF($P1841="","",$K1841&amp;"|"&amp;RIGHT("000000"&amp;$P1841,6))</f>
        <v/>
      </c>
    </row>
    <row r="1842">
      <c r="A1842">
        <f>IF(Sync!$P1839="","",Sync!$P1839)</f>
        <v/>
      </c>
      <c r="B1842">
        <f>IF($A1842="","",IF(ISNUMBER($A1842),IF(AND($A1842&gt;=10000101,$A1842&lt;=99991231),INT($A1842/10000),""),IFERROR(VALUE(TRIM(LEFT($A1842,FIND("/",$A1842)-1))),"")))</f>
        <v/>
      </c>
      <c r="C1842">
        <f>IF(OR($A1842="",$B1842=""),"",IF(ISNUMBER($A1842),INT(MOD($A1842,10000)/100),IFERROR(VALUE(TRIM(LEFT(MID($A1842,FIND("/",$A1842)+1,20),FIND("/",MID($A1842,FIND("/",$A1842)+1,20))-1))),"")))</f>
        <v/>
      </c>
      <c r="D1842">
        <f>IF(OR($A1842="",$B1842=""),"",IF(ISNUMBER($A1842),MOD($A1842,100),IFERROR(VALUE(TRIM(MID(MID($A1842,FIND("/",$A1842)+1,20),FIND("/",MID($A1842,FIND("/",$A1842)+1,20))+1,20))),"")))</f>
        <v/>
      </c>
      <c r="E1842">
        <f>IF($A1842="","",IF(OR($B1842="",$C1842="",$D1842="",$B1842&lt;1300,$B1842&gt;1500,$C1842&lt;1,$C1842&gt;12,$D1842&lt;1,$D1842&gt;31),"نامعتبر",RIGHT("0000"&amp;$B1842,4)&amp;"/"&amp;RIGHT("00"&amp;$C1842,2)&amp;"/"&amp;RIGHT("00"&amp;$D1842,2)))</f>
        <v/>
      </c>
      <c r="F1842">
        <f>IF(OR($E1842="",$E1842="نامعتبر"),"",IF(Sync!$Q1839="","0000",IF(AND(ISNUMBER(Sync!$Q1839),Sync!$Q1839&gt;=0,Sync!$Q1839&lt;1),RIGHT("00"&amp;HOUR(Sync!$Q1839),2)&amp;RIGHT("00"&amp;MINUTE(Sync!$Q1839),2),IFERROR(RIGHT("00"&amp;VALUE(LEFT(Sync!$Q1839,FIND(":",Sync!$Q1839)-1)),2)&amp;RIGHT("00"&amp;VALUE(MID(Sync!$Q1839,FIND(":",Sync!$Q1839)+1,2)),2),"0000"))))</f>
        <v/>
      </c>
      <c r="G1842">
        <f>IF(OR($E1842="",$E1842="نامعتبر"),"",IF(Sync!$S1839="","",Sync!$S1839))</f>
        <v/>
      </c>
      <c r="H1842">
        <f>IF(OR($E1842="",$E1842="نامعتبر"),"",IF(Sync!$R1839="","",Sync!$R1839))</f>
        <v/>
      </c>
      <c r="I1842">
        <f>IF(OR($E1842="",$E1842="نامعتبر"),"",IF(Sync!$T1839="","",Sync!$T1839))</f>
        <v/>
      </c>
      <c r="J1842">
        <f>IF(OR($E1842="",$E1842="نامعتبر"),"",IF(Sync!$U1839="","",Sync!$U1839))</f>
        <v/>
      </c>
      <c r="K1842">
        <f>IF(OR($E1842="",$E1842="نامعتبر"),"",IF(Sync!$V1839="","",IFERROR(INDEX(SubCodes,MATCH(Sync!$V1839,SubTitles,0)),Sync!$V1839)))</f>
        <v/>
      </c>
      <c r="L1842">
        <f>IF(OR($E1842="",$E1842="نامعتبر"),"",IF(Sync!$W1839="",0,Sync!$W1839))</f>
        <v/>
      </c>
      <c r="M1842">
        <f>IF(OR($E1842="",$E1842="نامعتبر"),"",IF(Sync!$X1839="",0,Sync!$X1839))</f>
        <v/>
      </c>
      <c r="N1842">
        <f>IF(OR($E1842="",$E1842="نامعتبر"),"",IF(AND($J1842="هزینه",$K1842&lt;&gt;""),1,0))</f>
        <v/>
      </c>
      <c r="O1842">
        <f>IF($N1842=0,"",LEFT($E1842,4)&amp;MID($E1842,6,2)&amp;RIGHT($E1842,2)&amp;$F1842&amp;"|"&amp;"1"&amp;RIGHT("00000"&amp;1834,5))</f>
        <v/>
      </c>
      <c r="P1842">
        <f>IF($O1842="","",COUNTIFS(ExpSub,$K1842,ExpKey,"&lt;"&amp;$O1842)+1)</f>
        <v/>
      </c>
      <c r="Q1842">
        <f>IF($P1842="","",$K1842&amp;"|"&amp;RIGHT("000000"&amp;$P1842,6))</f>
        <v/>
      </c>
    </row>
    <row r="1843">
      <c r="A1843">
        <f>IF(Sync!$P1840="","",Sync!$P1840)</f>
        <v/>
      </c>
      <c r="B1843">
        <f>IF($A1843="","",IF(ISNUMBER($A1843),IF(AND($A1843&gt;=10000101,$A1843&lt;=99991231),INT($A1843/10000),""),IFERROR(VALUE(TRIM(LEFT($A1843,FIND("/",$A1843)-1))),"")))</f>
        <v/>
      </c>
      <c r="C1843">
        <f>IF(OR($A1843="",$B1843=""),"",IF(ISNUMBER($A1843),INT(MOD($A1843,10000)/100),IFERROR(VALUE(TRIM(LEFT(MID($A1843,FIND("/",$A1843)+1,20),FIND("/",MID($A1843,FIND("/",$A1843)+1,20))-1))),"")))</f>
        <v/>
      </c>
      <c r="D1843">
        <f>IF(OR($A1843="",$B1843=""),"",IF(ISNUMBER($A1843),MOD($A1843,100),IFERROR(VALUE(TRIM(MID(MID($A1843,FIND("/",$A1843)+1,20),FIND("/",MID($A1843,FIND("/",$A1843)+1,20))+1,20))),"")))</f>
        <v/>
      </c>
      <c r="E1843">
        <f>IF($A1843="","",IF(OR($B1843="",$C1843="",$D1843="",$B1843&lt;1300,$B1843&gt;1500,$C1843&lt;1,$C1843&gt;12,$D1843&lt;1,$D1843&gt;31),"نامعتبر",RIGHT("0000"&amp;$B1843,4)&amp;"/"&amp;RIGHT("00"&amp;$C1843,2)&amp;"/"&amp;RIGHT("00"&amp;$D1843,2)))</f>
        <v/>
      </c>
      <c r="F1843">
        <f>IF(OR($E1843="",$E1843="نامعتبر"),"",IF(Sync!$Q1840="","0000",IF(AND(ISNUMBER(Sync!$Q1840),Sync!$Q1840&gt;=0,Sync!$Q1840&lt;1),RIGHT("00"&amp;HOUR(Sync!$Q1840),2)&amp;RIGHT("00"&amp;MINUTE(Sync!$Q1840),2),IFERROR(RIGHT("00"&amp;VALUE(LEFT(Sync!$Q1840,FIND(":",Sync!$Q1840)-1)),2)&amp;RIGHT("00"&amp;VALUE(MID(Sync!$Q1840,FIND(":",Sync!$Q1840)+1,2)),2),"0000"))))</f>
        <v/>
      </c>
      <c r="G1843">
        <f>IF(OR($E1843="",$E1843="نامعتبر"),"",IF(Sync!$S1840="","",Sync!$S1840))</f>
        <v/>
      </c>
      <c r="H1843">
        <f>IF(OR($E1843="",$E1843="نامعتبر"),"",IF(Sync!$R1840="","",Sync!$R1840))</f>
        <v/>
      </c>
      <c r="I1843">
        <f>IF(OR($E1843="",$E1843="نامعتبر"),"",IF(Sync!$T1840="","",Sync!$T1840))</f>
        <v/>
      </c>
      <c r="J1843">
        <f>IF(OR($E1843="",$E1843="نامعتبر"),"",IF(Sync!$U1840="","",Sync!$U1840))</f>
        <v/>
      </c>
      <c r="K1843">
        <f>IF(OR($E1843="",$E1843="نامعتبر"),"",IF(Sync!$V1840="","",IFERROR(INDEX(SubCodes,MATCH(Sync!$V1840,SubTitles,0)),Sync!$V1840)))</f>
        <v/>
      </c>
      <c r="L1843">
        <f>IF(OR($E1843="",$E1843="نامعتبر"),"",IF(Sync!$W1840="",0,Sync!$W1840))</f>
        <v/>
      </c>
      <c r="M1843">
        <f>IF(OR($E1843="",$E1843="نامعتبر"),"",IF(Sync!$X1840="",0,Sync!$X1840))</f>
        <v/>
      </c>
      <c r="N1843">
        <f>IF(OR($E1843="",$E1843="نامعتبر"),"",IF(AND($J1843="هزینه",$K1843&lt;&gt;""),1,0))</f>
        <v/>
      </c>
      <c r="O1843">
        <f>IF($N1843=0,"",LEFT($E1843,4)&amp;MID($E1843,6,2)&amp;RIGHT($E1843,2)&amp;$F1843&amp;"|"&amp;"1"&amp;RIGHT("00000"&amp;1835,5))</f>
        <v/>
      </c>
      <c r="P1843">
        <f>IF($O1843="","",COUNTIFS(ExpSub,$K1843,ExpKey,"&lt;"&amp;$O1843)+1)</f>
        <v/>
      </c>
      <c r="Q1843">
        <f>IF($P1843="","",$K1843&amp;"|"&amp;RIGHT("000000"&amp;$P1843,6))</f>
        <v/>
      </c>
    </row>
    <row r="1844">
      <c r="A1844">
        <f>IF(Sync!$P1841="","",Sync!$P1841)</f>
        <v/>
      </c>
      <c r="B1844">
        <f>IF($A1844="","",IF(ISNUMBER($A1844),IF(AND($A1844&gt;=10000101,$A1844&lt;=99991231),INT($A1844/10000),""),IFERROR(VALUE(TRIM(LEFT($A1844,FIND("/",$A1844)-1))),"")))</f>
        <v/>
      </c>
      <c r="C1844">
        <f>IF(OR($A1844="",$B1844=""),"",IF(ISNUMBER($A1844),INT(MOD($A1844,10000)/100),IFERROR(VALUE(TRIM(LEFT(MID($A1844,FIND("/",$A1844)+1,20),FIND("/",MID($A1844,FIND("/",$A1844)+1,20))-1))),"")))</f>
        <v/>
      </c>
      <c r="D1844">
        <f>IF(OR($A1844="",$B1844=""),"",IF(ISNUMBER($A1844),MOD($A1844,100),IFERROR(VALUE(TRIM(MID(MID($A1844,FIND("/",$A1844)+1,20),FIND("/",MID($A1844,FIND("/",$A1844)+1,20))+1,20))),"")))</f>
        <v/>
      </c>
      <c r="E1844">
        <f>IF($A1844="","",IF(OR($B1844="",$C1844="",$D1844="",$B1844&lt;1300,$B1844&gt;1500,$C1844&lt;1,$C1844&gt;12,$D1844&lt;1,$D1844&gt;31),"نامعتبر",RIGHT("0000"&amp;$B1844,4)&amp;"/"&amp;RIGHT("00"&amp;$C1844,2)&amp;"/"&amp;RIGHT("00"&amp;$D1844,2)))</f>
        <v/>
      </c>
      <c r="F1844">
        <f>IF(OR($E1844="",$E1844="نامعتبر"),"",IF(Sync!$Q1841="","0000",IF(AND(ISNUMBER(Sync!$Q1841),Sync!$Q1841&gt;=0,Sync!$Q1841&lt;1),RIGHT("00"&amp;HOUR(Sync!$Q1841),2)&amp;RIGHT("00"&amp;MINUTE(Sync!$Q1841),2),IFERROR(RIGHT("00"&amp;VALUE(LEFT(Sync!$Q1841,FIND(":",Sync!$Q1841)-1)),2)&amp;RIGHT("00"&amp;VALUE(MID(Sync!$Q1841,FIND(":",Sync!$Q1841)+1,2)),2),"0000"))))</f>
        <v/>
      </c>
      <c r="G1844">
        <f>IF(OR($E1844="",$E1844="نامعتبر"),"",IF(Sync!$S1841="","",Sync!$S1841))</f>
        <v/>
      </c>
      <c r="H1844">
        <f>IF(OR($E1844="",$E1844="نامعتبر"),"",IF(Sync!$R1841="","",Sync!$R1841))</f>
        <v/>
      </c>
      <c r="I1844">
        <f>IF(OR($E1844="",$E1844="نامعتبر"),"",IF(Sync!$T1841="","",Sync!$T1841))</f>
        <v/>
      </c>
      <c r="J1844">
        <f>IF(OR($E1844="",$E1844="نامعتبر"),"",IF(Sync!$U1841="","",Sync!$U1841))</f>
        <v/>
      </c>
      <c r="K1844">
        <f>IF(OR($E1844="",$E1844="نامعتبر"),"",IF(Sync!$V1841="","",IFERROR(INDEX(SubCodes,MATCH(Sync!$V1841,SubTitles,0)),Sync!$V1841)))</f>
        <v/>
      </c>
      <c r="L1844">
        <f>IF(OR($E1844="",$E1844="نامعتبر"),"",IF(Sync!$W1841="",0,Sync!$W1841))</f>
        <v/>
      </c>
      <c r="M1844">
        <f>IF(OR($E1844="",$E1844="نامعتبر"),"",IF(Sync!$X1841="",0,Sync!$X1841))</f>
        <v/>
      </c>
      <c r="N1844">
        <f>IF(OR($E1844="",$E1844="نامعتبر"),"",IF(AND($J1844="هزینه",$K1844&lt;&gt;""),1,0))</f>
        <v/>
      </c>
      <c r="O1844">
        <f>IF($N1844=0,"",LEFT($E1844,4)&amp;MID($E1844,6,2)&amp;RIGHT($E1844,2)&amp;$F1844&amp;"|"&amp;"1"&amp;RIGHT("00000"&amp;1836,5))</f>
        <v/>
      </c>
      <c r="P1844">
        <f>IF($O1844="","",COUNTIFS(ExpSub,$K1844,ExpKey,"&lt;"&amp;$O1844)+1)</f>
        <v/>
      </c>
      <c r="Q1844">
        <f>IF($P1844="","",$K1844&amp;"|"&amp;RIGHT("000000"&amp;$P1844,6))</f>
        <v/>
      </c>
    </row>
    <row r="1845">
      <c r="A1845">
        <f>IF(Sync!$P1842="","",Sync!$P1842)</f>
        <v/>
      </c>
      <c r="B1845">
        <f>IF($A1845="","",IF(ISNUMBER($A1845),IF(AND($A1845&gt;=10000101,$A1845&lt;=99991231),INT($A1845/10000),""),IFERROR(VALUE(TRIM(LEFT($A1845,FIND("/",$A1845)-1))),"")))</f>
        <v/>
      </c>
      <c r="C1845">
        <f>IF(OR($A1845="",$B1845=""),"",IF(ISNUMBER($A1845),INT(MOD($A1845,10000)/100),IFERROR(VALUE(TRIM(LEFT(MID($A1845,FIND("/",$A1845)+1,20),FIND("/",MID($A1845,FIND("/",$A1845)+1,20))-1))),"")))</f>
        <v/>
      </c>
      <c r="D1845">
        <f>IF(OR($A1845="",$B1845=""),"",IF(ISNUMBER($A1845),MOD($A1845,100),IFERROR(VALUE(TRIM(MID(MID($A1845,FIND("/",$A1845)+1,20),FIND("/",MID($A1845,FIND("/",$A1845)+1,20))+1,20))),"")))</f>
        <v/>
      </c>
      <c r="E1845">
        <f>IF($A1845="","",IF(OR($B1845="",$C1845="",$D1845="",$B1845&lt;1300,$B1845&gt;1500,$C1845&lt;1,$C1845&gt;12,$D1845&lt;1,$D1845&gt;31),"نامعتبر",RIGHT("0000"&amp;$B1845,4)&amp;"/"&amp;RIGHT("00"&amp;$C1845,2)&amp;"/"&amp;RIGHT("00"&amp;$D1845,2)))</f>
        <v/>
      </c>
      <c r="F1845">
        <f>IF(OR($E1845="",$E1845="نامعتبر"),"",IF(Sync!$Q1842="","0000",IF(AND(ISNUMBER(Sync!$Q1842),Sync!$Q1842&gt;=0,Sync!$Q1842&lt;1),RIGHT("00"&amp;HOUR(Sync!$Q1842),2)&amp;RIGHT("00"&amp;MINUTE(Sync!$Q1842),2),IFERROR(RIGHT("00"&amp;VALUE(LEFT(Sync!$Q1842,FIND(":",Sync!$Q1842)-1)),2)&amp;RIGHT("00"&amp;VALUE(MID(Sync!$Q1842,FIND(":",Sync!$Q1842)+1,2)),2),"0000"))))</f>
        <v/>
      </c>
      <c r="G1845">
        <f>IF(OR($E1845="",$E1845="نامعتبر"),"",IF(Sync!$S1842="","",Sync!$S1842))</f>
        <v/>
      </c>
      <c r="H1845">
        <f>IF(OR($E1845="",$E1845="نامعتبر"),"",IF(Sync!$R1842="","",Sync!$R1842))</f>
        <v/>
      </c>
      <c r="I1845">
        <f>IF(OR($E1845="",$E1845="نامعتبر"),"",IF(Sync!$T1842="","",Sync!$T1842))</f>
        <v/>
      </c>
      <c r="J1845">
        <f>IF(OR($E1845="",$E1845="نامعتبر"),"",IF(Sync!$U1842="","",Sync!$U1842))</f>
        <v/>
      </c>
      <c r="K1845">
        <f>IF(OR($E1845="",$E1845="نامعتبر"),"",IF(Sync!$V1842="","",IFERROR(INDEX(SubCodes,MATCH(Sync!$V1842,SubTitles,0)),Sync!$V1842)))</f>
        <v/>
      </c>
      <c r="L1845">
        <f>IF(OR($E1845="",$E1845="نامعتبر"),"",IF(Sync!$W1842="",0,Sync!$W1842))</f>
        <v/>
      </c>
      <c r="M1845">
        <f>IF(OR($E1845="",$E1845="نامعتبر"),"",IF(Sync!$X1842="",0,Sync!$X1842))</f>
        <v/>
      </c>
      <c r="N1845">
        <f>IF(OR($E1845="",$E1845="نامعتبر"),"",IF(AND($J1845="هزینه",$K1845&lt;&gt;""),1,0))</f>
        <v/>
      </c>
      <c r="O1845">
        <f>IF($N1845=0,"",LEFT($E1845,4)&amp;MID($E1845,6,2)&amp;RIGHT($E1845,2)&amp;$F1845&amp;"|"&amp;"1"&amp;RIGHT("00000"&amp;1837,5))</f>
        <v/>
      </c>
      <c r="P1845">
        <f>IF($O1845="","",COUNTIFS(ExpSub,$K1845,ExpKey,"&lt;"&amp;$O1845)+1)</f>
        <v/>
      </c>
      <c r="Q1845">
        <f>IF($P1845="","",$K1845&amp;"|"&amp;RIGHT("000000"&amp;$P1845,6))</f>
        <v/>
      </c>
    </row>
    <row r="1846">
      <c r="A1846">
        <f>IF(Sync!$P1843="","",Sync!$P1843)</f>
        <v/>
      </c>
      <c r="B1846">
        <f>IF($A1846="","",IF(ISNUMBER($A1846),IF(AND($A1846&gt;=10000101,$A1846&lt;=99991231),INT($A1846/10000),""),IFERROR(VALUE(TRIM(LEFT($A1846,FIND("/",$A1846)-1))),"")))</f>
        <v/>
      </c>
      <c r="C1846">
        <f>IF(OR($A1846="",$B1846=""),"",IF(ISNUMBER($A1846),INT(MOD($A1846,10000)/100),IFERROR(VALUE(TRIM(LEFT(MID($A1846,FIND("/",$A1846)+1,20),FIND("/",MID($A1846,FIND("/",$A1846)+1,20))-1))),"")))</f>
        <v/>
      </c>
      <c r="D1846">
        <f>IF(OR($A1846="",$B1846=""),"",IF(ISNUMBER($A1846),MOD($A1846,100),IFERROR(VALUE(TRIM(MID(MID($A1846,FIND("/",$A1846)+1,20),FIND("/",MID($A1846,FIND("/",$A1846)+1,20))+1,20))),"")))</f>
        <v/>
      </c>
      <c r="E1846">
        <f>IF($A1846="","",IF(OR($B1846="",$C1846="",$D1846="",$B1846&lt;1300,$B1846&gt;1500,$C1846&lt;1,$C1846&gt;12,$D1846&lt;1,$D1846&gt;31),"نامعتبر",RIGHT("0000"&amp;$B1846,4)&amp;"/"&amp;RIGHT("00"&amp;$C1846,2)&amp;"/"&amp;RIGHT("00"&amp;$D1846,2)))</f>
        <v/>
      </c>
      <c r="F1846">
        <f>IF(OR($E1846="",$E1846="نامعتبر"),"",IF(Sync!$Q1843="","0000",IF(AND(ISNUMBER(Sync!$Q1843),Sync!$Q1843&gt;=0,Sync!$Q1843&lt;1),RIGHT("00"&amp;HOUR(Sync!$Q1843),2)&amp;RIGHT("00"&amp;MINUTE(Sync!$Q1843),2),IFERROR(RIGHT("00"&amp;VALUE(LEFT(Sync!$Q1843,FIND(":",Sync!$Q1843)-1)),2)&amp;RIGHT("00"&amp;VALUE(MID(Sync!$Q1843,FIND(":",Sync!$Q1843)+1,2)),2),"0000"))))</f>
        <v/>
      </c>
      <c r="G1846">
        <f>IF(OR($E1846="",$E1846="نامعتبر"),"",IF(Sync!$S1843="","",Sync!$S1843))</f>
        <v/>
      </c>
      <c r="H1846">
        <f>IF(OR($E1846="",$E1846="نامعتبر"),"",IF(Sync!$R1843="","",Sync!$R1843))</f>
        <v/>
      </c>
      <c r="I1846">
        <f>IF(OR($E1846="",$E1846="نامعتبر"),"",IF(Sync!$T1843="","",Sync!$T1843))</f>
        <v/>
      </c>
      <c r="J1846">
        <f>IF(OR($E1846="",$E1846="نامعتبر"),"",IF(Sync!$U1843="","",Sync!$U1843))</f>
        <v/>
      </c>
      <c r="K1846">
        <f>IF(OR($E1846="",$E1846="نامعتبر"),"",IF(Sync!$V1843="","",IFERROR(INDEX(SubCodes,MATCH(Sync!$V1843,SubTitles,0)),Sync!$V1843)))</f>
        <v/>
      </c>
      <c r="L1846">
        <f>IF(OR($E1846="",$E1846="نامعتبر"),"",IF(Sync!$W1843="",0,Sync!$W1843))</f>
        <v/>
      </c>
      <c r="M1846">
        <f>IF(OR($E1846="",$E1846="نامعتبر"),"",IF(Sync!$X1843="",0,Sync!$X1843))</f>
        <v/>
      </c>
      <c r="N1846">
        <f>IF(OR($E1846="",$E1846="نامعتبر"),"",IF(AND($J1846="هزینه",$K1846&lt;&gt;""),1,0))</f>
        <v/>
      </c>
      <c r="O1846">
        <f>IF($N1846=0,"",LEFT($E1846,4)&amp;MID($E1846,6,2)&amp;RIGHT($E1846,2)&amp;$F1846&amp;"|"&amp;"1"&amp;RIGHT("00000"&amp;1838,5))</f>
        <v/>
      </c>
      <c r="P1846">
        <f>IF($O1846="","",COUNTIFS(ExpSub,$K1846,ExpKey,"&lt;"&amp;$O1846)+1)</f>
        <v/>
      </c>
      <c r="Q1846">
        <f>IF($P1846="","",$K1846&amp;"|"&amp;RIGHT("000000"&amp;$P1846,6))</f>
        <v/>
      </c>
    </row>
    <row r="1847">
      <c r="A1847">
        <f>IF(Sync!$P1844="","",Sync!$P1844)</f>
        <v/>
      </c>
      <c r="B1847">
        <f>IF($A1847="","",IF(ISNUMBER($A1847),IF(AND($A1847&gt;=10000101,$A1847&lt;=99991231),INT($A1847/10000),""),IFERROR(VALUE(TRIM(LEFT($A1847,FIND("/",$A1847)-1))),"")))</f>
        <v/>
      </c>
      <c r="C1847">
        <f>IF(OR($A1847="",$B1847=""),"",IF(ISNUMBER($A1847),INT(MOD($A1847,10000)/100),IFERROR(VALUE(TRIM(LEFT(MID($A1847,FIND("/",$A1847)+1,20),FIND("/",MID($A1847,FIND("/",$A1847)+1,20))-1))),"")))</f>
        <v/>
      </c>
      <c r="D1847">
        <f>IF(OR($A1847="",$B1847=""),"",IF(ISNUMBER($A1847),MOD($A1847,100),IFERROR(VALUE(TRIM(MID(MID($A1847,FIND("/",$A1847)+1,20),FIND("/",MID($A1847,FIND("/",$A1847)+1,20))+1,20))),"")))</f>
        <v/>
      </c>
      <c r="E1847">
        <f>IF($A1847="","",IF(OR($B1847="",$C1847="",$D1847="",$B1847&lt;1300,$B1847&gt;1500,$C1847&lt;1,$C1847&gt;12,$D1847&lt;1,$D1847&gt;31),"نامعتبر",RIGHT("0000"&amp;$B1847,4)&amp;"/"&amp;RIGHT("00"&amp;$C1847,2)&amp;"/"&amp;RIGHT("00"&amp;$D1847,2)))</f>
        <v/>
      </c>
      <c r="F1847">
        <f>IF(OR($E1847="",$E1847="نامعتبر"),"",IF(Sync!$Q1844="","0000",IF(AND(ISNUMBER(Sync!$Q1844),Sync!$Q1844&gt;=0,Sync!$Q1844&lt;1),RIGHT("00"&amp;HOUR(Sync!$Q1844),2)&amp;RIGHT("00"&amp;MINUTE(Sync!$Q1844),2),IFERROR(RIGHT("00"&amp;VALUE(LEFT(Sync!$Q1844,FIND(":",Sync!$Q1844)-1)),2)&amp;RIGHT("00"&amp;VALUE(MID(Sync!$Q1844,FIND(":",Sync!$Q1844)+1,2)),2),"0000"))))</f>
        <v/>
      </c>
      <c r="G1847">
        <f>IF(OR($E1847="",$E1847="نامعتبر"),"",IF(Sync!$S1844="","",Sync!$S1844))</f>
        <v/>
      </c>
      <c r="H1847">
        <f>IF(OR($E1847="",$E1847="نامعتبر"),"",IF(Sync!$R1844="","",Sync!$R1844))</f>
        <v/>
      </c>
      <c r="I1847">
        <f>IF(OR($E1847="",$E1847="نامعتبر"),"",IF(Sync!$T1844="","",Sync!$T1844))</f>
        <v/>
      </c>
      <c r="J1847">
        <f>IF(OR($E1847="",$E1847="نامعتبر"),"",IF(Sync!$U1844="","",Sync!$U1844))</f>
        <v/>
      </c>
      <c r="K1847">
        <f>IF(OR($E1847="",$E1847="نامعتبر"),"",IF(Sync!$V1844="","",IFERROR(INDEX(SubCodes,MATCH(Sync!$V1844,SubTitles,0)),Sync!$V1844)))</f>
        <v/>
      </c>
      <c r="L1847">
        <f>IF(OR($E1847="",$E1847="نامعتبر"),"",IF(Sync!$W1844="",0,Sync!$W1844))</f>
        <v/>
      </c>
      <c r="M1847">
        <f>IF(OR($E1847="",$E1847="نامعتبر"),"",IF(Sync!$X1844="",0,Sync!$X1844))</f>
        <v/>
      </c>
      <c r="N1847">
        <f>IF(OR($E1847="",$E1847="نامعتبر"),"",IF(AND($J1847="هزینه",$K1847&lt;&gt;""),1,0))</f>
        <v/>
      </c>
      <c r="O1847">
        <f>IF($N1847=0,"",LEFT($E1847,4)&amp;MID($E1847,6,2)&amp;RIGHT($E1847,2)&amp;$F1847&amp;"|"&amp;"1"&amp;RIGHT("00000"&amp;1839,5))</f>
        <v/>
      </c>
      <c r="P1847">
        <f>IF($O1847="","",COUNTIFS(ExpSub,$K1847,ExpKey,"&lt;"&amp;$O1847)+1)</f>
        <v/>
      </c>
      <c r="Q1847">
        <f>IF($P1847="","",$K1847&amp;"|"&amp;RIGHT("000000"&amp;$P1847,6))</f>
        <v/>
      </c>
    </row>
    <row r="1848">
      <c r="A1848">
        <f>IF(Sync!$P1845="","",Sync!$P1845)</f>
        <v/>
      </c>
      <c r="B1848">
        <f>IF($A1848="","",IF(ISNUMBER($A1848),IF(AND($A1848&gt;=10000101,$A1848&lt;=99991231),INT($A1848/10000),""),IFERROR(VALUE(TRIM(LEFT($A1848,FIND("/",$A1848)-1))),"")))</f>
        <v/>
      </c>
      <c r="C1848">
        <f>IF(OR($A1848="",$B1848=""),"",IF(ISNUMBER($A1848),INT(MOD($A1848,10000)/100),IFERROR(VALUE(TRIM(LEFT(MID($A1848,FIND("/",$A1848)+1,20),FIND("/",MID($A1848,FIND("/",$A1848)+1,20))-1))),"")))</f>
        <v/>
      </c>
      <c r="D1848">
        <f>IF(OR($A1848="",$B1848=""),"",IF(ISNUMBER($A1848),MOD($A1848,100),IFERROR(VALUE(TRIM(MID(MID($A1848,FIND("/",$A1848)+1,20),FIND("/",MID($A1848,FIND("/",$A1848)+1,20))+1,20))),"")))</f>
        <v/>
      </c>
      <c r="E1848">
        <f>IF($A1848="","",IF(OR($B1848="",$C1848="",$D1848="",$B1848&lt;1300,$B1848&gt;1500,$C1848&lt;1,$C1848&gt;12,$D1848&lt;1,$D1848&gt;31),"نامعتبر",RIGHT("0000"&amp;$B1848,4)&amp;"/"&amp;RIGHT("00"&amp;$C1848,2)&amp;"/"&amp;RIGHT("00"&amp;$D1848,2)))</f>
        <v/>
      </c>
      <c r="F1848">
        <f>IF(OR($E1848="",$E1848="نامعتبر"),"",IF(Sync!$Q1845="","0000",IF(AND(ISNUMBER(Sync!$Q1845),Sync!$Q1845&gt;=0,Sync!$Q1845&lt;1),RIGHT("00"&amp;HOUR(Sync!$Q1845),2)&amp;RIGHT("00"&amp;MINUTE(Sync!$Q1845),2),IFERROR(RIGHT("00"&amp;VALUE(LEFT(Sync!$Q1845,FIND(":",Sync!$Q1845)-1)),2)&amp;RIGHT("00"&amp;VALUE(MID(Sync!$Q1845,FIND(":",Sync!$Q1845)+1,2)),2),"0000"))))</f>
        <v/>
      </c>
      <c r="G1848">
        <f>IF(OR($E1848="",$E1848="نامعتبر"),"",IF(Sync!$S1845="","",Sync!$S1845))</f>
        <v/>
      </c>
      <c r="H1848">
        <f>IF(OR($E1848="",$E1848="نامعتبر"),"",IF(Sync!$R1845="","",Sync!$R1845))</f>
        <v/>
      </c>
      <c r="I1848">
        <f>IF(OR($E1848="",$E1848="نامعتبر"),"",IF(Sync!$T1845="","",Sync!$T1845))</f>
        <v/>
      </c>
      <c r="J1848">
        <f>IF(OR($E1848="",$E1848="نامعتبر"),"",IF(Sync!$U1845="","",Sync!$U1845))</f>
        <v/>
      </c>
      <c r="K1848">
        <f>IF(OR($E1848="",$E1848="نامعتبر"),"",IF(Sync!$V1845="","",IFERROR(INDEX(SubCodes,MATCH(Sync!$V1845,SubTitles,0)),Sync!$V1845)))</f>
        <v/>
      </c>
      <c r="L1848">
        <f>IF(OR($E1848="",$E1848="نامعتبر"),"",IF(Sync!$W1845="",0,Sync!$W1845))</f>
        <v/>
      </c>
      <c r="M1848">
        <f>IF(OR($E1848="",$E1848="نامعتبر"),"",IF(Sync!$X1845="",0,Sync!$X1845))</f>
        <v/>
      </c>
      <c r="N1848">
        <f>IF(OR($E1848="",$E1848="نامعتبر"),"",IF(AND($J1848="هزینه",$K1848&lt;&gt;""),1,0))</f>
        <v/>
      </c>
      <c r="O1848">
        <f>IF($N1848=0,"",LEFT($E1848,4)&amp;MID($E1848,6,2)&amp;RIGHT($E1848,2)&amp;$F1848&amp;"|"&amp;"1"&amp;RIGHT("00000"&amp;1840,5))</f>
        <v/>
      </c>
      <c r="P1848">
        <f>IF($O1848="","",COUNTIFS(ExpSub,$K1848,ExpKey,"&lt;"&amp;$O1848)+1)</f>
        <v/>
      </c>
      <c r="Q1848">
        <f>IF($P1848="","",$K1848&amp;"|"&amp;RIGHT("000000"&amp;$P1848,6))</f>
        <v/>
      </c>
    </row>
    <row r="1849">
      <c r="A1849">
        <f>IF(Sync!$P1846="","",Sync!$P1846)</f>
        <v/>
      </c>
      <c r="B1849">
        <f>IF($A1849="","",IF(ISNUMBER($A1849),IF(AND($A1849&gt;=10000101,$A1849&lt;=99991231),INT($A1849/10000),""),IFERROR(VALUE(TRIM(LEFT($A1849,FIND("/",$A1849)-1))),"")))</f>
        <v/>
      </c>
      <c r="C1849">
        <f>IF(OR($A1849="",$B1849=""),"",IF(ISNUMBER($A1849),INT(MOD($A1849,10000)/100),IFERROR(VALUE(TRIM(LEFT(MID($A1849,FIND("/",$A1849)+1,20),FIND("/",MID($A1849,FIND("/",$A1849)+1,20))-1))),"")))</f>
        <v/>
      </c>
      <c r="D1849">
        <f>IF(OR($A1849="",$B1849=""),"",IF(ISNUMBER($A1849),MOD($A1849,100),IFERROR(VALUE(TRIM(MID(MID($A1849,FIND("/",$A1849)+1,20),FIND("/",MID($A1849,FIND("/",$A1849)+1,20))+1,20))),"")))</f>
        <v/>
      </c>
      <c r="E1849">
        <f>IF($A1849="","",IF(OR($B1849="",$C1849="",$D1849="",$B1849&lt;1300,$B1849&gt;1500,$C1849&lt;1,$C1849&gt;12,$D1849&lt;1,$D1849&gt;31),"نامعتبر",RIGHT("0000"&amp;$B1849,4)&amp;"/"&amp;RIGHT("00"&amp;$C1849,2)&amp;"/"&amp;RIGHT("00"&amp;$D1849,2)))</f>
        <v/>
      </c>
      <c r="F1849">
        <f>IF(OR($E1849="",$E1849="نامعتبر"),"",IF(Sync!$Q1846="","0000",IF(AND(ISNUMBER(Sync!$Q1846),Sync!$Q1846&gt;=0,Sync!$Q1846&lt;1),RIGHT("00"&amp;HOUR(Sync!$Q1846),2)&amp;RIGHT("00"&amp;MINUTE(Sync!$Q1846),2),IFERROR(RIGHT("00"&amp;VALUE(LEFT(Sync!$Q1846,FIND(":",Sync!$Q1846)-1)),2)&amp;RIGHT("00"&amp;VALUE(MID(Sync!$Q1846,FIND(":",Sync!$Q1846)+1,2)),2),"0000"))))</f>
        <v/>
      </c>
      <c r="G1849">
        <f>IF(OR($E1849="",$E1849="نامعتبر"),"",IF(Sync!$S1846="","",Sync!$S1846))</f>
        <v/>
      </c>
      <c r="H1849">
        <f>IF(OR($E1849="",$E1849="نامعتبر"),"",IF(Sync!$R1846="","",Sync!$R1846))</f>
        <v/>
      </c>
      <c r="I1849">
        <f>IF(OR($E1849="",$E1849="نامعتبر"),"",IF(Sync!$T1846="","",Sync!$T1846))</f>
        <v/>
      </c>
      <c r="J1849">
        <f>IF(OR($E1849="",$E1849="نامعتبر"),"",IF(Sync!$U1846="","",Sync!$U1846))</f>
        <v/>
      </c>
      <c r="K1849">
        <f>IF(OR($E1849="",$E1849="نامعتبر"),"",IF(Sync!$V1846="","",IFERROR(INDEX(SubCodes,MATCH(Sync!$V1846,SubTitles,0)),Sync!$V1846)))</f>
        <v/>
      </c>
      <c r="L1849">
        <f>IF(OR($E1849="",$E1849="نامعتبر"),"",IF(Sync!$W1846="",0,Sync!$W1846))</f>
        <v/>
      </c>
      <c r="M1849">
        <f>IF(OR($E1849="",$E1849="نامعتبر"),"",IF(Sync!$X1846="",0,Sync!$X1846))</f>
        <v/>
      </c>
      <c r="N1849">
        <f>IF(OR($E1849="",$E1849="نامعتبر"),"",IF(AND($J1849="هزینه",$K1849&lt;&gt;""),1,0))</f>
        <v/>
      </c>
      <c r="O1849">
        <f>IF($N1849=0,"",LEFT($E1849,4)&amp;MID($E1849,6,2)&amp;RIGHT($E1849,2)&amp;$F1849&amp;"|"&amp;"1"&amp;RIGHT("00000"&amp;1841,5))</f>
        <v/>
      </c>
      <c r="P1849">
        <f>IF($O1849="","",COUNTIFS(ExpSub,$K1849,ExpKey,"&lt;"&amp;$O1849)+1)</f>
        <v/>
      </c>
      <c r="Q1849">
        <f>IF($P1849="","",$K1849&amp;"|"&amp;RIGHT("000000"&amp;$P1849,6))</f>
        <v/>
      </c>
    </row>
    <row r="1850">
      <c r="A1850">
        <f>IF(Sync!$P1847="","",Sync!$P1847)</f>
        <v/>
      </c>
      <c r="B1850">
        <f>IF($A1850="","",IF(ISNUMBER($A1850),IF(AND($A1850&gt;=10000101,$A1850&lt;=99991231),INT($A1850/10000),""),IFERROR(VALUE(TRIM(LEFT($A1850,FIND("/",$A1850)-1))),"")))</f>
        <v/>
      </c>
      <c r="C1850">
        <f>IF(OR($A1850="",$B1850=""),"",IF(ISNUMBER($A1850),INT(MOD($A1850,10000)/100),IFERROR(VALUE(TRIM(LEFT(MID($A1850,FIND("/",$A1850)+1,20),FIND("/",MID($A1850,FIND("/",$A1850)+1,20))-1))),"")))</f>
        <v/>
      </c>
      <c r="D1850">
        <f>IF(OR($A1850="",$B1850=""),"",IF(ISNUMBER($A1850),MOD($A1850,100),IFERROR(VALUE(TRIM(MID(MID($A1850,FIND("/",$A1850)+1,20),FIND("/",MID($A1850,FIND("/",$A1850)+1,20))+1,20))),"")))</f>
        <v/>
      </c>
      <c r="E1850">
        <f>IF($A1850="","",IF(OR($B1850="",$C1850="",$D1850="",$B1850&lt;1300,$B1850&gt;1500,$C1850&lt;1,$C1850&gt;12,$D1850&lt;1,$D1850&gt;31),"نامعتبر",RIGHT("0000"&amp;$B1850,4)&amp;"/"&amp;RIGHT("00"&amp;$C1850,2)&amp;"/"&amp;RIGHT("00"&amp;$D1850,2)))</f>
        <v/>
      </c>
      <c r="F1850">
        <f>IF(OR($E1850="",$E1850="نامعتبر"),"",IF(Sync!$Q1847="","0000",IF(AND(ISNUMBER(Sync!$Q1847),Sync!$Q1847&gt;=0,Sync!$Q1847&lt;1),RIGHT("00"&amp;HOUR(Sync!$Q1847),2)&amp;RIGHT("00"&amp;MINUTE(Sync!$Q1847),2),IFERROR(RIGHT("00"&amp;VALUE(LEFT(Sync!$Q1847,FIND(":",Sync!$Q1847)-1)),2)&amp;RIGHT("00"&amp;VALUE(MID(Sync!$Q1847,FIND(":",Sync!$Q1847)+1,2)),2),"0000"))))</f>
        <v/>
      </c>
      <c r="G1850">
        <f>IF(OR($E1850="",$E1850="نامعتبر"),"",IF(Sync!$S1847="","",Sync!$S1847))</f>
        <v/>
      </c>
      <c r="H1850">
        <f>IF(OR($E1850="",$E1850="نامعتبر"),"",IF(Sync!$R1847="","",Sync!$R1847))</f>
        <v/>
      </c>
      <c r="I1850">
        <f>IF(OR($E1850="",$E1850="نامعتبر"),"",IF(Sync!$T1847="","",Sync!$T1847))</f>
        <v/>
      </c>
      <c r="J1850">
        <f>IF(OR($E1850="",$E1850="نامعتبر"),"",IF(Sync!$U1847="","",Sync!$U1847))</f>
        <v/>
      </c>
      <c r="K1850">
        <f>IF(OR($E1850="",$E1850="نامعتبر"),"",IF(Sync!$V1847="","",IFERROR(INDEX(SubCodes,MATCH(Sync!$V1847,SubTitles,0)),Sync!$V1847)))</f>
        <v/>
      </c>
      <c r="L1850">
        <f>IF(OR($E1850="",$E1850="نامعتبر"),"",IF(Sync!$W1847="",0,Sync!$W1847))</f>
        <v/>
      </c>
      <c r="M1850">
        <f>IF(OR($E1850="",$E1850="نامعتبر"),"",IF(Sync!$X1847="",0,Sync!$X1847))</f>
        <v/>
      </c>
      <c r="N1850">
        <f>IF(OR($E1850="",$E1850="نامعتبر"),"",IF(AND($J1850="هزینه",$K1850&lt;&gt;""),1,0))</f>
        <v/>
      </c>
      <c r="O1850">
        <f>IF($N1850=0,"",LEFT($E1850,4)&amp;MID($E1850,6,2)&amp;RIGHT($E1850,2)&amp;$F1850&amp;"|"&amp;"1"&amp;RIGHT("00000"&amp;1842,5))</f>
        <v/>
      </c>
      <c r="P1850">
        <f>IF($O1850="","",COUNTIFS(ExpSub,$K1850,ExpKey,"&lt;"&amp;$O1850)+1)</f>
        <v/>
      </c>
      <c r="Q1850">
        <f>IF($P1850="","",$K1850&amp;"|"&amp;RIGHT("000000"&amp;$P1850,6))</f>
        <v/>
      </c>
    </row>
    <row r="1851">
      <c r="A1851">
        <f>IF(Sync!$P1848="","",Sync!$P1848)</f>
        <v/>
      </c>
      <c r="B1851">
        <f>IF($A1851="","",IF(ISNUMBER($A1851),IF(AND($A1851&gt;=10000101,$A1851&lt;=99991231),INT($A1851/10000),""),IFERROR(VALUE(TRIM(LEFT($A1851,FIND("/",$A1851)-1))),"")))</f>
        <v/>
      </c>
      <c r="C1851">
        <f>IF(OR($A1851="",$B1851=""),"",IF(ISNUMBER($A1851),INT(MOD($A1851,10000)/100),IFERROR(VALUE(TRIM(LEFT(MID($A1851,FIND("/",$A1851)+1,20),FIND("/",MID($A1851,FIND("/",$A1851)+1,20))-1))),"")))</f>
        <v/>
      </c>
      <c r="D1851">
        <f>IF(OR($A1851="",$B1851=""),"",IF(ISNUMBER($A1851),MOD($A1851,100),IFERROR(VALUE(TRIM(MID(MID($A1851,FIND("/",$A1851)+1,20),FIND("/",MID($A1851,FIND("/",$A1851)+1,20))+1,20))),"")))</f>
        <v/>
      </c>
      <c r="E1851">
        <f>IF($A1851="","",IF(OR($B1851="",$C1851="",$D1851="",$B1851&lt;1300,$B1851&gt;1500,$C1851&lt;1,$C1851&gt;12,$D1851&lt;1,$D1851&gt;31),"نامعتبر",RIGHT("0000"&amp;$B1851,4)&amp;"/"&amp;RIGHT("00"&amp;$C1851,2)&amp;"/"&amp;RIGHT("00"&amp;$D1851,2)))</f>
        <v/>
      </c>
      <c r="F1851">
        <f>IF(OR($E1851="",$E1851="نامعتبر"),"",IF(Sync!$Q1848="","0000",IF(AND(ISNUMBER(Sync!$Q1848),Sync!$Q1848&gt;=0,Sync!$Q1848&lt;1),RIGHT("00"&amp;HOUR(Sync!$Q1848),2)&amp;RIGHT("00"&amp;MINUTE(Sync!$Q1848),2),IFERROR(RIGHT("00"&amp;VALUE(LEFT(Sync!$Q1848,FIND(":",Sync!$Q1848)-1)),2)&amp;RIGHT("00"&amp;VALUE(MID(Sync!$Q1848,FIND(":",Sync!$Q1848)+1,2)),2),"0000"))))</f>
        <v/>
      </c>
      <c r="G1851">
        <f>IF(OR($E1851="",$E1851="نامعتبر"),"",IF(Sync!$S1848="","",Sync!$S1848))</f>
        <v/>
      </c>
      <c r="H1851">
        <f>IF(OR($E1851="",$E1851="نامعتبر"),"",IF(Sync!$R1848="","",Sync!$R1848))</f>
        <v/>
      </c>
      <c r="I1851">
        <f>IF(OR($E1851="",$E1851="نامعتبر"),"",IF(Sync!$T1848="","",Sync!$T1848))</f>
        <v/>
      </c>
      <c r="J1851">
        <f>IF(OR($E1851="",$E1851="نامعتبر"),"",IF(Sync!$U1848="","",Sync!$U1848))</f>
        <v/>
      </c>
      <c r="K1851">
        <f>IF(OR($E1851="",$E1851="نامعتبر"),"",IF(Sync!$V1848="","",IFERROR(INDEX(SubCodes,MATCH(Sync!$V1848,SubTitles,0)),Sync!$V1848)))</f>
        <v/>
      </c>
      <c r="L1851">
        <f>IF(OR($E1851="",$E1851="نامعتبر"),"",IF(Sync!$W1848="",0,Sync!$W1848))</f>
        <v/>
      </c>
      <c r="M1851">
        <f>IF(OR($E1851="",$E1851="نامعتبر"),"",IF(Sync!$X1848="",0,Sync!$X1848))</f>
        <v/>
      </c>
      <c r="N1851">
        <f>IF(OR($E1851="",$E1851="نامعتبر"),"",IF(AND($J1851="هزینه",$K1851&lt;&gt;""),1,0))</f>
        <v/>
      </c>
      <c r="O1851">
        <f>IF($N1851=0,"",LEFT($E1851,4)&amp;MID($E1851,6,2)&amp;RIGHT($E1851,2)&amp;$F1851&amp;"|"&amp;"1"&amp;RIGHT("00000"&amp;1843,5))</f>
        <v/>
      </c>
      <c r="P1851">
        <f>IF($O1851="","",COUNTIFS(ExpSub,$K1851,ExpKey,"&lt;"&amp;$O1851)+1)</f>
        <v/>
      </c>
      <c r="Q1851">
        <f>IF($P1851="","",$K1851&amp;"|"&amp;RIGHT("000000"&amp;$P1851,6))</f>
        <v/>
      </c>
    </row>
    <row r="1852">
      <c r="A1852">
        <f>IF(Sync!$P1849="","",Sync!$P1849)</f>
        <v/>
      </c>
      <c r="B1852">
        <f>IF($A1852="","",IF(ISNUMBER($A1852),IF(AND($A1852&gt;=10000101,$A1852&lt;=99991231),INT($A1852/10000),""),IFERROR(VALUE(TRIM(LEFT($A1852,FIND("/",$A1852)-1))),"")))</f>
        <v/>
      </c>
      <c r="C1852">
        <f>IF(OR($A1852="",$B1852=""),"",IF(ISNUMBER($A1852),INT(MOD($A1852,10000)/100),IFERROR(VALUE(TRIM(LEFT(MID($A1852,FIND("/",$A1852)+1,20),FIND("/",MID($A1852,FIND("/",$A1852)+1,20))-1))),"")))</f>
        <v/>
      </c>
      <c r="D1852">
        <f>IF(OR($A1852="",$B1852=""),"",IF(ISNUMBER($A1852),MOD($A1852,100),IFERROR(VALUE(TRIM(MID(MID($A1852,FIND("/",$A1852)+1,20),FIND("/",MID($A1852,FIND("/",$A1852)+1,20))+1,20))),"")))</f>
        <v/>
      </c>
      <c r="E1852">
        <f>IF($A1852="","",IF(OR($B1852="",$C1852="",$D1852="",$B1852&lt;1300,$B1852&gt;1500,$C1852&lt;1,$C1852&gt;12,$D1852&lt;1,$D1852&gt;31),"نامعتبر",RIGHT("0000"&amp;$B1852,4)&amp;"/"&amp;RIGHT("00"&amp;$C1852,2)&amp;"/"&amp;RIGHT("00"&amp;$D1852,2)))</f>
        <v/>
      </c>
      <c r="F1852">
        <f>IF(OR($E1852="",$E1852="نامعتبر"),"",IF(Sync!$Q1849="","0000",IF(AND(ISNUMBER(Sync!$Q1849),Sync!$Q1849&gt;=0,Sync!$Q1849&lt;1),RIGHT("00"&amp;HOUR(Sync!$Q1849),2)&amp;RIGHT("00"&amp;MINUTE(Sync!$Q1849),2),IFERROR(RIGHT("00"&amp;VALUE(LEFT(Sync!$Q1849,FIND(":",Sync!$Q1849)-1)),2)&amp;RIGHT("00"&amp;VALUE(MID(Sync!$Q1849,FIND(":",Sync!$Q1849)+1,2)),2),"0000"))))</f>
        <v/>
      </c>
      <c r="G1852">
        <f>IF(OR($E1852="",$E1852="نامعتبر"),"",IF(Sync!$S1849="","",Sync!$S1849))</f>
        <v/>
      </c>
      <c r="H1852">
        <f>IF(OR($E1852="",$E1852="نامعتبر"),"",IF(Sync!$R1849="","",Sync!$R1849))</f>
        <v/>
      </c>
      <c r="I1852">
        <f>IF(OR($E1852="",$E1852="نامعتبر"),"",IF(Sync!$T1849="","",Sync!$T1849))</f>
        <v/>
      </c>
      <c r="J1852">
        <f>IF(OR($E1852="",$E1852="نامعتبر"),"",IF(Sync!$U1849="","",Sync!$U1849))</f>
        <v/>
      </c>
      <c r="K1852">
        <f>IF(OR($E1852="",$E1852="نامعتبر"),"",IF(Sync!$V1849="","",IFERROR(INDEX(SubCodes,MATCH(Sync!$V1849,SubTitles,0)),Sync!$V1849)))</f>
        <v/>
      </c>
      <c r="L1852">
        <f>IF(OR($E1852="",$E1852="نامعتبر"),"",IF(Sync!$W1849="",0,Sync!$W1849))</f>
        <v/>
      </c>
      <c r="M1852">
        <f>IF(OR($E1852="",$E1852="نامعتبر"),"",IF(Sync!$X1849="",0,Sync!$X1849))</f>
        <v/>
      </c>
      <c r="N1852">
        <f>IF(OR($E1852="",$E1852="نامعتبر"),"",IF(AND($J1852="هزینه",$K1852&lt;&gt;""),1,0))</f>
        <v/>
      </c>
      <c r="O1852">
        <f>IF($N1852=0,"",LEFT($E1852,4)&amp;MID($E1852,6,2)&amp;RIGHT($E1852,2)&amp;$F1852&amp;"|"&amp;"1"&amp;RIGHT("00000"&amp;1844,5))</f>
        <v/>
      </c>
      <c r="P1852">
        <f>IF($O1852="","",COUNTIFS(ExpSub,$K1852,ExpKey,"&lt;"&amp;$O1852)+1)</f>
        <v/>
      </c>
      <c r="Q1852">
        <f>IF($P1852="","",$K1852&amp;"|"&amp;RIGHT("000000"&amp;$P1852,6))</f>
        <v/>
      </c>
    </row>
    <row r="1853">
      <c r="A1853">
        <f>IF(Sync!$P1850="","",Sync!$P1850)</f>
        <v/>
      </c>
      <c r="B1853">
        <f>IF($A1853="","",IF(ISNUMBER($A1853),IF(AND($A1853&gt;=10000101,$A1853&lt;=99991231),INT($A1853/10000),""),IFERROR(VALUE(TRIM(LEFT($A1853,FIND("/",$A1853)-1))),"")))</f>
        <v/>
      </c>
      <c r="C1853">
        <f>IF(OR($A1853="",$B1853=""),"",IF(ISNUMBER($A1853),INT(MOD($A1853,10000)/100),IFERROR(VALUE(TRIM(LEFT(MID($A1853,FIND("/",$A1853)+1,20),FIND("/",MID($A1853,FIND("/",$A1853)+1,20))-1))),"")))</f>
        <v/>
      </c>
      <c r="D1853">
        <f>IF(OR($A1853="",$B1853=""),"",IF(ISNUMBER($A1853),MOD($A1853,100),IFERROR(VALUE(TRIM(MID(MID($A1853,FIND("/",$A1853)+1,20),FIND("/",MID($A1853,FIND("/",$A1853)+1,20))+1,20))),"")))</f>
        <v/>
      </c>
      <c r="E1853">
        <f>IF($A1853="","",IF(OR($B1853="",$C1853="",$D1853="",$B1853&lt;1300,$B1853&gt;1500,$C1853&lt;1,$C1853&gt;12,$D1853&lt;1,$D1853&gt;31),"نامعتبر",RIGHT("0000"&amp;$B1853,4)&amp;"/"&amp;RIGHT("00"&amp;$C1853,2)&amp;"/"&amp;RIGHT("00"&amp;$D1853,2)))</f>
        <v/>
      </c>
      <c r="F1853">
        <f>IF(OR($E1853="",$E1853="نامعتبر"),"",IF(Sync!$Q1850="","0000",IF(AND(ISNUMBER(Sync!$Q1850),Sync!$Q1850&gt;=0,Sync!$Q1850&lt;1),RIGHT("00"&amp;HOUR(Sync!$Q1850),2)&amp;RIGHT("00"&amp;MINUTE(Sync!$Q1850),2),IFERROR(RIGHT("00"&amp;VALUE(LEFT(Sync!$Q1850,FIND(":",Sync!$Q1850)-1)),2)&amp;RIGHT("00"&amp;VALUE(MID(Sync!$Q1850,FIND(":",Sync!$Q1850)+1,2)),2),"0000"))))</f>
        <v/>
      </c>
      <c r="G1853">
        <f>IF(OR($E1853="",$E1853="نامعتبر"),"",IF(Sync!$S1850="","",Sync!$S1850))</f>
        <v/>
      </c>
      <c r="H1853">
        <f>IF(OR($E1853="",$E1853="نامعتبر"),"",IF(Sync!$R1850="","",Sync!$R1850))</f>
        <v/>
      </c>
      <c r="I1853">
        <f>IF(OR($E1853="",$E1853="نامعتبر"),"",IF(Sync!$T1850="","",Sync!$T1850))</f>
        <v/>
      </c>
      <c r="J1853">
        <f>IF(OR($E1853="",$E1853="نامعتبر"),"",IF(Sync!$U1850="","",Sync!$U1850))</f>
        <v/>
      </c>
      <c r="K1853">
        <f>IF(OR($E1853="",$E1853="نامعتبر"),"",IF(Sync!$V1850="","",IFERROR(INDEX(SubCodes,MATCH(Sync!$V1850,SubTitles,0)),Sync!$V1850)))</f>
        <v/>
      </c>
      <c r="L1853">
        <f>IF(OR($E1853="",$E1853="نامعتبر"),"",IF(Sync!$W1850="",0,Sync!$W1850))</f>
        <v/>
      </c>
      <c r="M1853">
        <f>IF(OR($E1853="",$E1853="نامعتبر"),"",IF(Sync!$X1850="",0,Sync!$X1850))</f>
        <v/>
      </c>
      <c r="N1853">
        <f>IF(OR($E1853="",$E1853="نامعتبر"),"",IF(AND($J1853="هزینه",$K1853&lt;&gt;""),1,0))</f>
        <v/>
      </c>
      <c r="O1853">
        <f>IF($N1853=0,"",LEFT($E1853,4)&amp;MID($E1853,6,2)&amp;RIGHT($E1853,2)&amp;$F1853&amp;"|"&amp;"1"&amp;RIGHT("00000"&amp;1845,5))</f>
        <v/>
      </c>
      <c r="P1853">
        <f>IF($O1853="","",COUNTIFS(ExpSub,$K1853,ExpKey,"&lt;"&amp;$O1853)+1)</f>
        <v/>
      </c>
      <c r="Q1853">
        <f>IF($P1853="","",$K1853&amp;"|"&amp;RIGHT("000000"&amp;$P1853,6))</f>
        <v/>
      </c>
    </row>
    <row r="1854">
      <c r="A1854">
        <f>IF(Sync!$P1851="","",Sync!$P1851)</f>
        <v/>
      </c>
      <c r="B1854">
        <f>IF($A1854="","",IF(ISNUMBER($A1854),IF(AND($A1854&gt;=10000101,$A1854&lt;=99991231),INT($A1854/10000),""),IFERROR(VALUE(TRIM(LEFT($A1854,FIND("/",$A1854)-1))),"")))</f>
        <v/>
      </c>
      <c r="C1854">
        <f>IF(OR($A1854="",$B1854=""),"",IF(ISNUMBER($A1854),INT(MOD($A1854,10000)/100),IFERROR(VALUE(TRIM(LEFT(MID($A1854,FIND("/",$A1854)+1,20),FIND("/",MID($A1854,FIND("/",$A1854)+1,20))-1))),"")))</f>
        <v/>
      </c>
      <c r="D1854">
        <f>IF(OR($A1854="",$B1854=""),"",IF(ISNUMBER($A1854),MOD($A1854,100),IFERROR(VALUE(TRIM(MID(MID($A1854,FIND("/",$A1854)+1,20),FIND("/",MID($A1854,FIND("/",$A1854)+1,20))+1,20))),"")))</f>
        <v/>
      </c>
      <c r="E1854">
        <f>IF($A1854="","",IF(OR($B1854="",$C1854="",$D1854="",$B1854&lt;1300,$B1854&gt;1500,$C1854&lt;1,$C1854&gt;12,$D1854&lt;1,$D1854&gt;31),"نامعتبر",RIGHT("0000"&amp;$B1854,4)&amp;"/"&amp;RIGHT("00"&amp;$C1854,2)&amp;"/"&amp;RIGHT("00"&amp;$D1854,2)))</f>
        <v/>
      </c>
      <c r="F1854">
        <f>IF(OR($E1854="",$E1854="نامعتبر"),"",IF(Sync!$Q1851="","0000",IF(AND(ISNUMBER(Sync!$Q1851),Sync!$Q1851&gt;=0,Sync!$Q1851&lt;1),RIGHT("00"&amp;HOUR(Sync!$Q1851),2)&amp;RIGHT("00"&amp;MINUTE(Sync!$Q1851),2),IFERROR(RIGHT("00"&amp;VALUE(LEFT(Sync!$Q1851,FIND(":",Sync!$Q1851)-1)),2)&amp;RIGHT("00"&amp;VALUE(MID(Sync!$Q1851,FIND(":",Sync!$Q1851)+1,2)),2),"0000"))))</f>
        <v/>
      </c>
      <c r="G1854">
        <f>IF(OR($E1854="",$E1854="نامعتبر"),"",IF(Sync!$S1851="","",Sync!$S1851))</f>
        <v/>
      </c>
      <c r="H1854">
        <f>IF(OR($E1854="",$E1854="نامعتبر"),"",IF(Sync!$R1851="","",Sync!$R1851))</f>
        <v/>
      </c>
      <c r="I1854">
        <f>IF(OR($E1854="",$E1854="نامعتبر"),"",IF(Sync!$T1851="","",Sync!$T1851))</f>
        <v/>
      </c>
      <c r="J1854">
        <f>IF(OR($E1854="",$E1854="نامعتبر"),"",IF(Sync!$U1851="","",Sync!$U1851))</f>
        <v/>
      </c>
      <c r="K1854">
        <f>IF(OR($E1854="",$E1854="نامعتبر"),"",IF(Sync!$V1851="","",IFERROR(INDEX(SubCodes,MATCH(Sync!$V1851,SubTitles,0)),Sync!$V1851)))</f>
        <v/>
      </c>
      <c r="L1854">
        <f>IF(OR($E1854="",$E1854="نامعتبر"),"",IF(Sync!$W1851="",0,Sync!$W1851))</f>
        <v/>
      </c>
      <c r="M1854">
        <f>IF(OR($E1854="",$E1854="نامعتبر"),"",IF(Sync!$X1851="",0,Sync!$X1851))</f>
        <v/>
      </c>
      <c r="N1854">
        <f>IF(OR($E1854="",$E1854="نامعتبر"),"",IF(AND($J1854="هزینه",$K1854&lt;&gt;""),1,0))</f>
        <v/>
      </c>
      <c r="O1854">
        <f>IF($N1854=0,"",LEFT($E1854,4)&amp;MID($E1854,6,2)&amp;RIGHT($E1854,2)&amp;$F1854&amp;"|"&amp;"1"&amp;RIGHT("00000"&amp;1846,5))</f>
        <v/>
      </c>
      <c r="P1854">
        <f>IF($O1854="","",COUNTIFS(ExpSub,$K1854,ExpKey,"&lt;"&amp;$O1854)+1)</f>
        <v/>
      </c>
      <c r="Q1854">
        <f>IF($P1854="","",$K1854&amp;"|"&amp;RIGHT("000000"&amp;$P1854,6))</f>
        <v/>
      </c>
    </row>
    <row r="1855">
      <c r="A1855">
        <f>IF(Sync!$P1852="","",Sync!$P1852)</f>
        <v/>
      </c>
      <c r="B1855">
        <f>IF($A1855="","",IF(ISNUMBER($A1855),IF(AND($A1855&gt;=10000101,$A1855&lt;=99991231),INT($A1855/10000),""),IFERROR(VALUE(TRIM(LEFT($A1855,FIND("/",$A1855)-1))),"")))</f>
        <v/>
      </c>
      <c r="C1855">
        <f>IF(OR($A1855="",$B1855=""),"",IF(ISNUMBER($A1855),INT(MOD($A1855,10000)/100),IFERROR(VALUE(TRIM(LEFT(MID($A1855,FIND("/",$A1855)+1,20),FIND("/",MID($A1855,FIND("/",$A1855)+1,20))-1))),"")))</f>
        <v/>
      </c>
      <c r="D1855">
        <f>IF(OR($A1855="",$B1855=""),"",IF(ISNUMBER($A1855),MOD($A1855,100),IFERROR(VALUE(TRIM(MID(MID($A1855,FIND("/",$A1855)+1,20),FIND("/",MID($A1855,FIND("/",$A1855)+1,20))+1,20))),"")))</f>
        <v/>
      </c>
      <c r="E1855">
        <f>IF($A1855="","",IF(OR($B1855="",$C1855="",$D1855="",$B1855&lt;1300,$B1855&gt;1500,$C1855&lt;1,$C1855&gt;12,$D1855&lt;1,$D1855&gt;31),"نامعتبر",RIGHT("0000"&amp;$B1855,4)&amp;"/"&amp;RIGHT("00"&amp;$C1855,2)&amp;"/"&amp;RIGHT("00"&amp;$D1855,2)))</f>
        <v/>
      </c>
      <c r="F1855">
        <f>IF(OR($E1855="",$E1855="نامعتبر"),"",IF(Sync!$Q1852="","0000",IF(AND(ISNUMBER(Sync!$Q1852),Sync!$Q1852&gt;=0,Sync!$Q1852&lt;1),RIGHT("00"&amp;HOUR(Sync!$Q1852),2)&amp;RIGHT("00"&amp;MINUTE(Sync!$Q1852),2),IFERROR(RIGHT("00"&amp;VALUE(LEFT(Sync!$Q1852,FIND(":",Sync!$Q1852)-1)),2)&amp;RIGHT("00"&amp;VALUE(MID(Sync!$Q1852,FIND(":",Sync!$Q1852)+1,2)),2),"0000"))))</f>
        <v/>
      </c>
      <c r="G1855">
        <f>IF(OR($E1855="",$E1855="نامعتبر"),"",IF(Sync!$S1852="","",Sync!$S1852))</f>
        <v/>
      </c>
      <c r="H1855">
        <f>IF(OR($E1855="",$E1855="نامعتبر"),"",IF(Sync!$R1852="","",Sync!$R1852))</f>
        <v/>
      </c>
      <c r="I1855">
        <f>IF(OR($E1855="",$E1855="نامعتبر"),"",IF(Sync!$T1852="","",Sync!$T1852))</f>
        <v/>
      </c>
      <c r="J1855">
        <f>IF(OR($E1855="",$E1855="نامعتبر"),"",IF(Sync!$U1852="","",Sync!$U1852))</f>
        <v/>
      </c>
      <c r="K1855">
        <f>IF(OR($E1855="",$E1855="نامعتبر"),"",IF(Sync!$V1852="","",IFERROR(INDEX(SubCodes,MATCH(Sync!$V1852,SubTitles,0)),Sync!$V1852)))</f>
        <v/>
      </c>
      <c r="L1855">
        <f>IF(OR($E1855="",$E1855="نامعتبر"),"",IF(Sync!$W1852="",0,Sync!$W1852))</f>
        <v/>
      </c>
      <c r="M1855">
        <f>IF(OR($E1855="",$E1855="نامعتبر"),"",IF(Sync!$X1852="",0,Sync!$X1852))</f>
        <v/>
      </c>
      <c r="N1855">
        <f>IF(OR($E1855="",$E1855="نامعتبر"),"",IF(AND($J1855="هزینه",$K1855&lt;&gt;""),1,0))</f>
        <v/>
      </c>
      <c r="O1855">
        <f>IF($N1855=0,"",LEFT($E1855,4)&amp;MID($E1855,6,2)&amp;RIGHT($E1855,2)&amp;$F1855&amp;"|"&amp;"1"&amp;RIGHT("00000"&amp;1847,5))</f>
        <v/>
      </c>
      <c r="P1855">
        <f>IF($O1855="","",COUNTIFS(ExpSub,$K1855,ExpKey,"&lt;"&amp;$O1855)+1)</f>
        <v/>
      </c>
      <c r="Q1855">
        <f>IF($P1855="","",$K1855&amp;"|"&amp;RIGHT("000000"&amp;$P1855,6))</f>
        <v/>
      </c>
    </row>
    <row r="1856">
      <c r="A1856">
        <f>IF(Sync!$P1853="","",Sync!$P1853)</f>
        <v/>
      </c>
      <c r="B1856">
        <f>IF($A1856="","",IF(ISNUMBER($A1856),IF(AND($A1856&gt;=10000101,$A1856&lt;=99991231),INT($A1856/10000),""),IFERROR(VALUE(TRIM(LEFT($A1856,FIND("/",$A1856)-1))),"")))</f>
        <v/>
      </c>
      <c r="C1856">
        <f>IF(OR($A1856="",$B1856=""),"",IF(ISNUMBER($A1856),INT(MOD($A1856,10000)/100),IFERROR(VALUE(TRIM(LEFT(MID($A1856,FIND("/",$A1856)+1,20),FIND("/",MID($A1856,FIND("/",$A1856)+1,20))-1))),"")))</f>
        <v/>
      </c>
      <c r="D1856">
        <f>IF(OR($A1856="",$B1856=""),"",IF(ISNUMBER($A1856),MOD($A1856,100),IFERROR(VALUE(TRIM(MID(MID($A1856,FIND("/",$A1856)+1,20),FIND("/",MID($A1856,FIND("/",$A1856)+1,20))+1,20))),"")))</f>
        <v/>
      </c>
      <c r="E1856">
        <f>IF($A1856="","",IF(OR($B1856="",$C1856="",$D1856="",$B1856&lt;1300,$B1856&gt;1500,$C1856&lt;1,$C1856&gt;12,$D1856&lt;1,$D1856&gt;31),"نامعتبر",RIGHT("0000"&amp;$B1856,4)&amp;"/"&amp;RIGHT("00"&amp;$C1856,2)&amp;"/"&amp;RIGHT("00"&amp;$D1856,2)))</f>
        <v/>
      </c>
      <c r="F1856">
        <f>IF(OR($E1856="",$E1856="نامعتبر"),"",IF(Sync!$Q1853="","0000",IF(AND(ISNUMBER(Sync!$Q1853),Sync!$Q1853&gt;=0,Sync!$Q1853&lt;1),RIGHT("00"&amp;HOUR(Sync!$Q1853),2)&amp;RIGHT("00"&amp;MINUTE(Sync!$Q1853),2),IFERROR(RIGHT("00"&amp;VALUE(LEFT(Sync!$Q1853,FIND(":",Sync!$Q1853)-1)),2)&amp;RIGHT("00"&amp;VALUE(MID(Sync!$Q1853,FIND(":",Sync!$Q1853)+1,2)),2),"0000"))))</f>
        <v/>
      </c>
      <c r="G1856">
        <f>IF(OR($E1856="",$E1856="نامعتبر"),"",IF(Sync!$S1853="","",Sync!$S1853))</f>
        <v/>
      </c>
      <c r="H1856">
        <f>IF(OR($E1856="",$E1856="نامعتبر"),"",IF(Sync!$R1853="","",Sync!$R1853))</f>
        <v/>
      </c>
      <c r="I1856">
        <f>IF(OR($E1856="",$E1856="نامعتبر"),"",IF(Sync!$T1853="","",Sync!$T1853))</f>
        <v/>
      </c>
      <c r="J1856">
        <f>IF(OR($E1856="",$E1856="نامعتبر"),"",IF(Sync!$U1853="","",Sync!$U1853))</f>
        <v/>
      </c>
      <c r="K1856">
        <f>IF(OR($E1856="",$E1856="نامعتبر"),"",IF(Sync!$V1853="","",IFERROR(INDEX(SubCodes,MATCH(Sync!$V1853,SubTitles,0)),Sync!$V1853)))</f>
        <v/>
      </c>
      <c r="L1856">
        <f>IF(OR($E1856="",$E1856="نامعتبر"),"",IF(Sync!$W1853="",0,Sync!$W1853))</f>
        <v/>
      </c>
      <c r="M1856">
        <f>IF(OR($E1856="",$E1856="نامعتبر"),"",IF(Sync!$X1853="",0,Sync!$X1853))</f>
        <v/>
      </c>
      <c r="N1856">
        <f>IF(OR($E1856="",$E1856="نامعتبر"),"",IF(AND($J1856="هزینه",$K1856&lt;&gt;""),1,0))</f>
        <v/>
      </c>
      <c r="O1856">
        <f>IF($N1856=0,"",LEFT($E1856,4)&amp;MID($E1856,6,2)&amp;RIGHT($E1856,2)&amp;$F1856&amp;"|"&amp;"1"&amp;RIGHT("00000"&amp;1848,5))</f>
        <v/>
      </c>
      <c r="P1856">
        <f>IF($O1856="","",COUNTIFS(ExpSub,$K1856,ExpKey,"&lt;"&amp;$O1856)+1)</f>
        <v/>
      </c>
      <c r="Q1856">
        <f>IF($P1856="","",$K1856&amp;"|"&amp;RIGHT("000000"&amp;$P1856,6))</f>
        <v/>
      </c>
    </row>
    <row r="1857">
      <c r="A1857">
        <f>IF(Sync!$P1854="","",Sync!$P1854)</f>
        <v/>
      </c>
      <c r="B1857">
        <f>IF($A1857="","",IF(ISNUMBER($A1857),IF(AND($A1857&gt;=10000101,$A1857&lt;=99991231),INT($A1857/10000),""),IFERROR(VALUE(TRIM(LEFT($A1857,FIND("/",$A1857)-1))),"")))</f>
        <v/>
      </c>
      <c r="C1857">
        <f>IF(OR($A1857="",$B1857=""),"",IF(ISNUMBER($A1857),INT(MOD($A1857,10000)/100),IFERROR(VALUE(TRIM(LEFT(MID($A1857,FIND("/",$A1857)+1,20),FIND("/",MID($A1857,FIND("/",$A1857)+1,20))-1))),"")))</f>
        <v/>
      </c>
      <c r="D1857">
        <f>IF(OR($A1857="",$B1857=""),"",IF(ISNUMBER($A1857),MOD($A1857,100),IFERROR(VALUE(TRIM(MID(MID($A1857,FIND("/",$A1857)+1,20),FIND("/",MID($A1857,FIND("/",$A1857)+1,20))+1,20))),"")))</f>
        <v/>
      </c>
      <c r="E1857">
        <f>IF($A1857="","",IF(OR($B1857="",$C1857="",$D1857="",$B1857&lt;1300,$B1857&gt;1500,$C1857&lt;1,$C1857&gt;12,$D1857&lt;1,$D1857&gt;31),"نامعتبر",RIGHT("0000"&amp;$B1857,4)&amp;"/"&amp;RIGHT("00"&amp;$C1857,2)&amp;"/"&amp;RIGHT("00"&amp;$D1857,2)))</f>
        <v/>
      </c>
      <c r="F1857">
        <f>IF(OR($E1857="",$E1857="نامعتبر"),"",IF(Sync!$Q1854="","0000",IF(AND(ISNUMBER(Sync!$Q1854),Sync!$Q1854&gt;=0,Sync!$Q1854&lt;1),RIGHT("00"&amp;HOUR(Sync!$Q1854),2)&amp;RIGHT("00"&amp;MINUTE(Sync!$Q1854),2),IFERROR(RIGHT("00"&amp;VALUE(LEFT(Sync!$Q1854,FIND(":",Sync!$Q1854)-1)),2)&amp;RIGHT("00"&amp;VALUE(MID(Sync!$Q1854,FIND(":",Sync!$Q1854)+1,2)),2),"0000"))))</f>
        <v/>
      </c>
      <c r="G1857">
        <f>IF(OR($E1857="",$E1857="نامعتبر"),"",IF(Sync!$S1854="","",Sync!$S1854))</f>
        <v/>
      </c>
      <c r="H1857">
        <f>IF(OR($E1857="",$E1857="نامعتبر"),"",IF(Sync!$R1854="","",Sync!$R1854))</f>
        <v/>
      </c>
      <c r="I1857">
        <f>IF(OR($E1857="",$E1857="نامعتبر"),"",IF(Sync!$T1854="","",Sync!$T1854))</f>
        <v/>
      </c>
      <c r="J1857">
        <f>IF(OR($E1857="",$E1857="نامعتبر"),"",IF(Sync!$U1854="","",Sync!$U1854))</f>
        <v/>
      </c>
      <c r="K1857">
        <f>IF(OR($E1857="",$E1857="نامعتبر"),"",IF(Sync!$V1854="","",IFERROR(INDEX(SubCodes,MATCH(Sync!$V1854,SubTitles,0)),Sync!$V1854)))</f>
        <v/>
      </c>
      <c r="L1857">
        <f>IF(OR($E1857="",$E1857="نامعتبر"),"",IF(Sync!$W1854="",0,Sync!$W1854))</f>
        <v/>
      </c>
      <c r="M1857">
        <f>IF(OR($E1857="",$E1857="نامعتبر"),"",IF(Sync!$X1854="",0,Sync!$X1854))</f>
        <v/>
      </c>
      <c r="N1857">
        <f>IF(OR($E1857="",$E1857="نامعتبر"),"",IF(AND($J1857="هزینه",$K1857&lt;&gt;""),1,0))</f>
        <v/>
      </c>
      <c r="O1857">
        <f>IF($N1857=0,"",LEFT($E1857,4)&amp;MID($E1857,6,2)&amp;RIGHT($E1857,2)&amp;$F1857&amp;"|"&amp;"1"&amp;RIGHT("00000"&amp;1849,5))</f>
        <v/>
      </c>
      <c r="P1857">
        <f>IF($O1857="","",COUNTIFS(ExpSub,$K1857,ExpKey,"&lt;"&amp;$O1857)+1)</f>
        <v/>
      </c>
      <c r="Q1857">
        <f>IF($P1857="","",$K1857&amp;"|"&amp;RIGHT("000000"&amp;$P1857,6))</f>
        <v/>
      </c>
    </row>
    <row r="1858">
      <c r="A1858">
        <f>IF(Sync!$P1855="","",Sync!$P1855)</f>
        <v/>
      </c>
      <c r="B1858">
        <f>IF($A1858="","",IF(ISNUMBER($A1858),IF(AND($A1858&gt;=10000101,$A1858&lt;=99991231),INT($A1858/10000),""),IFERROR(VALUE(TRIM(LEFT($A1858,FIND("/",$A1858)-1))),"")))</f>
        <v/>
      </c>
      <c r="C1858">
        <f>IF(OR($A1858="",$B1858=""),"",IF(ISNUMBER($A1858),INT(MOD($A1858,10000)/100),IFERROR(VALUE(TRIM(LEFT(MID($A1858,FIND("/",$A1858)+1,20),FIND("/",MID($A1858,FIND("/",$A1858)+1,20))-1))),"")))</f>
        <v/>
      </c>
      <c r="D1858">
        <f>IF(OR($A1858="",$B1858=""),"",IF(ISNUMBER($A1858),MOD($A1858,100),IFERROR(VALUE(TRIM(MID(MID($A1858,FIND("/",$A1858)+1,20),FIND("/",MID($A1858,FIND("/",$A1858)+1,20))+1,20))),"")))</f>
        <v/>
      </c>
      <c r="E1858">
        <f>IF($A1858="","",IF(OR($B1858="",$C1858="",$D1858="",$B1858&lt;1300,$B1858&gt;1500,$C1858&lt;1,$C1858&gt;12,$D1858&lt;1,$D1858&gt;31),"نامعتبر",RIGHT("0000"&amp;$B1858,4)&amp;"/"&amp;RIGHT("00"&amp;$C1858,2)&amp;"/"&amp;RIGHT("00"&amp;$D1858,2)))</f>
        <v/>
      </c>
      <c r="F1858">
        <f>IF(OR($E1858="",$E1858="نامعتبر"),"",IF(Sync!$Q1855="","0000",IF(AND(ISNUMBER(Sync!$Q1855),Sync!$Q1855&gt;=0,Sync!$Q1855&lt;1),RIGHT("00"&amp;HOUR(Sync!$Q1855),2)&amp;RIGHT("00"&amp;MINUTE(Sync!$Q1855),2),IFERROR(RIGHT("00"&amp;VALUE(LEFT(Sync!$Q1855,FIND(":",Sync!$Q1855)-1)),2)&amp;RIGHT("00"&amp;VALUE(MID(Sync!$Q1855,FIND(":",Sync!$Q1855)+1,2)),2),"0000"))))</f>
        <v/>
      </c>
      <c r="G1858">
        <f>IF(OR($E1858="",$E1858="نامعتبر"),"",IF(Sync!$S1855="","",Sync!$S1855))</f>
        <v/>
      </c>
      <c r="H1858">
        <f>IF(OR($E1858="",$E1858="نامعتبر"),"",IF(Sync!$R1855="","",Sync!$R1855))</f>
        <v/>
      </c>
      <c r="I1858">
        <f>IF(OR($E1858="",$E1858="نامعتبر"),"",IF(Sync!$T1855="","",Sync!$T1855))</f>
        <v/>
      </c>
      <c r="J1858">
        <f>IF(OR($E1858="",$E1858="نامعتبر"),"",IF(Sync!$U1855="","",Sync!$U1855))</f>
        <v/>
      </c>
      <c r="K1858">
        <f>IF(OR($E1858="",$E1858="نامعتبر"),"",IF(Sync!$V1855="","",IFERROR(INDEX(SubCodes,MATCH(Sync!$V1855,SubTitles,0)),Sync!$V1855)))</f>
        <v/>
      </c>
      <c r="L1858">
        <f>IF(OR($E1858="",$E1858="نامعتبر"),"",IF(Sync!$W1855="",0,Sync!$W1855))</f>
        <v/>
      </c>
      <c r="M1858">
        <f>IF(OR($E1858="",$E1858="نامعتبر"),"",IF(Sync!$X1855="",0,Sync!$X1855))</f>
        <v/>
      </c>
      <c r="N1858">
        <f>IF(OR($E1858="",$E1858="نامعتبر"),"",IF(AND($J1858="هزینه",$K1858&lt;&gt;""),1,0))</f>
        <v/>
      </c>
      <c r="O1858">
        <f>IF($N1858=0,"",LEFT($E1858,4)&amp;MID($E1858,6,2)&amp;RIGHT($E1858,2)&amp;$F1858&amp;"|"&amp;"1"&amp;RIGHT("00000"&amp;1850,5))</f>
        <v/>
      </c>
      <c r="P1858">
        <f>IF($O1858="","",COUNTIFS(ExpSub,$K1858,ExpKey,"&lt;"&amp;$O1858)+1)</f>
        <v/>
      </c>
      <c r="Q1858">
        <f>IF($P1858="","",$K1858&amp;"|"&amp;RIGHT("000000"&amp;$P1858,6))</f>
        <v/>
      </c>
    </row>
    <row r="1859">
      <c r="A1859">
        <f>IF(Sync!$P1856="","",Sync!$P1856)</f>
        <v/>
      </c>
      <c r="B1859">
        <f>IF($A1859="","",IF(ISNUMBER($A1859),IF(AND($A1859&gt;=10000101,$A1859&lt;=99991231),INT($A1859/10000),""),IFERROR(VALUE(TRIM(LEFT($A1859,FIND("/",$A1859)-1))),"")))</f>
        <v/>
      </c>
      <c r="C1859">
        <f>IF(OR($A1859="",$B1859=""),"",IF(ISNUMBER($A1859),INT(MOD($A1859,10000)/100),IFERROR(VALUE(TRIM(LEFT(MID($A1859,FIND("/",$A1859)+1,20),FIND("/",MID($A1859,FIND("/",$A1859)+1,20))-1))),"")))</f>
        <v/>
      </c>
      <c r="D1859">
        <f>IF(OR($A1859="",$B1859=""),"",IF(ISNUMBER($A1859),MOD($A1859,100),IFERROR(VALUE(TRIM(MID(MID($A1859,FIND("/",$A1859)+1,20),FIND("/",MID($A1859,FIND("/",$A1859)+1,20))+1,20))),"")))</f>
        <v/>
      </c>
      <c r="E1859">
        <f>IF($A1859="","",IF(OR($B1859="",$C1859="",$D1859="",$B1859&lt;1300,$B1859&gt;1500,$C1859&lt;1,$C1859&gt;12,$D1859&lt;1,$D1859&gt;31),"نامعتبر",RIGHT("0000"&amp;$B1859,4)&amp;"/"&amp;RIGHT("00"&amp;$C1859,2)&amp;"/"&amp;RIGHT("00"&amp;$D1859,2)))</f>
        <v/>
      </c>
      <c r="F1859">
        <f>IF(OR($E1859="",$E1859="نامعتبر"),"",IF(Sync!$Q1856="","0000",IF(AND(ISNUMBER(Sync!$Q1856),Sync!$Q1856&gt;=0,Sync!$Q1856&lt;1),RIGHT("00"&amp;HOUR(Sync!$Q1856),2)&amp;RIGHT("00"&amp;MINUTE(Sync!$Q1856),2),IFERROR(RIGHT("00"&amp;VALUE(LEFT(Sync!$Q1856,FIND(":",Sync!$Q1856)-1)),2)&amp;RIGHT("00"&amp;VALUE(MID(Sync!$Q1856,FIND(":",Sync!$Q1856)+1,2)),2),"0000"))))</f>
        <v/>
      </c>
      <c r="G1859">
        <f>IF(OR($E1859="",$E1859="نامعتبر"),"",IF(Sync!$S1856="","",Sync!$S1856))</f>
        <v/>
      </c>
      <c r="H1859">
        <f>IF(OR($E1859="",$E1859="نامعتبر"),"",IF(Sync!$R1856="","",Sync!$R1856))</f>
        <v/>
      </c>
      <c r="I1859">
        <f>IF(OR($E1859="",$E1859="نامعتبر"),"",IF(Sync!$T1856="","",Sync!$T1856))</f>
        <v/>
      </c>
      <c r="J1859">
        <f>IF(OR($E1859="",$E1859="نامعتبر"),"",IF(Sync!$U1856="","",Sync!$U1856))</f>
        <v/>
      </c>
      <c r="K1859">
        <f>IF(OR($E1859="",$E1859="نامعتبر"),"",IF(Sync!$V1856="","",IFERROR(INDEX(SubCodes,MATCH(Sync!$V1856,SubTitles,0)),Sync!$V1856)))</f>
        <v/>
      </c>
      <c r="L1859">
        <f>IF(OR($E1859="",$E1859="نامعتبر"),"",IF(Sync!$W1856="",0,Sync!$W1856))</f>
        <v/>
      </c>
      <c r="M1859">
        <f>IF(OR($E1859="",$E1859="نامعتبر"),"",IF(Sync!$X1856="",0,Sync!$X1856))</f>
        <v/>
      </c>
      <c r="N1859">
        <f>IF(OR($E1859="",$E1859="نامعتبر"),"",IF(AND($J1859="هزینه",$K1859&lt;&gt;""),1,0))</f>
        <v/>
      </c>
      <c r="O1859">
        <f>IF($N1859=0,"",LEFT($E1859,4)&amp;MID($E1859,6,2)&amp;RIGHT($E1859,2)&amp;$F1859&amp;"|"&amp;"1"&amp;RIGHT("00000"&amp;1851,5))</f>
        <v/>
      </c>
      <c r="P1859">
        <f>IF($O1859="","",COUNTIFS(ExpSub,$K1859,ExpKey,"&lt;"&amp;$O1859)+1)</f>
        <v/>
      </c>
      <c r="Q1859">
        <f>IF($P1859="","",$K1859&amp;"|"&amp;RIGHT("000000"&amp;$P1859,6))</f>
        <v/>
      </c>
    </row>
    <row r="1860">
      <c r="A1860">
        <f>IF(Sync!$P1857="","",Sync!$P1857)</f>
        <v/>
      </c>
      <c r="B1860">
        <f>IF($A1860="","",IF(ISNUMBER($A1860),IF(AND($A1860&gt;=10000101,$A1860&lt;=99991231),INT($A1860/10000),""),IFERROR(VALUE(TRIM(LEFT($A1860,FIND("/",$A1860)-1))),"")))</f>
        <v/>
      </c>
      <c r="C1860">
        <f>IF(OR($A1860="",$B1860=""),"",IF(ISNUMBER($A1860),INT(MOD($A1860,10000)/100),IFERROR(VALUE(TRIM(LEFT(MID($A1860,FIND("/",$A1860)+1,20),FIND("/",MID($A1860,FIND("/",$A1860)+1,20))-1))),"")))</f>
        <v/>
      </c>
      <c r="D1860">
        <f>IF(OR($A1860="",$B1860=""),"",IF(ISNUMBER($A1860),MOD($A1860,100),IFERROR(VALUE(TRIM(MID(MID($A1860,FIND("/",$A1860)+1,20),FIND("/",MID($A1860,FIND("/",$A1860)+1,20))+1,20))),"")))</f>
        <v/>
      </c>
      <c r="E1860">
        <f>IF($A1860="","",IF(OR($B1860="",$C1860="",$D1860="",$B1860&lt;1300,$B1860&gt;1500,$C1860&lt;1,$C1860&gt;12,$D1860&lt;1,$D1860&gt;31),"نامعتبر",RIGHT("0000"&amp;$B1860,4)&amp;"/"&amp;RIGHT("00"&amp;$C1860,2)&amp;"/"&amp;RIGHT("00"&amp;$D1860,2)))</f>
        <v/>
      </c>
      <c r="F1860">
        <f>IF(OR($E1860="",$E1860="نامعتبر"),"",IF(Sync!$Q1857="","0000",IF(AND(ISNUMBER(Sync!$Q1857),Sync!$Q1857&gt;=0,Sync!$Q1857&lt;1),RIGHT("00"&amp;HOUR(Sync!$Q1857),2)&amp;RIGHT("00"&amp;MINUTE(Sync!$Q1857),2),IFERROR(RIGHT("00"&amp;VALUE(LEFT(Sync!$Q1857,FIND(":",Sync!$Q1857)-1)),2)&amp;RIGHT("00"&amp;VALUE(MID(Sync!$Q1857,FIND(":",Sync!$Q1857)+1,2)),2),"0000"))))</f>
        <v/>
      </c>
      <c r="G1860">
        <f>IF(OR($E1860="",$E1860="نامعتبر"),"",IF(Sync!$S1857="","",Sync!$S1857))</f>
        <v/>
      </c>
      <c r="H1860">
        <f>IF(OR($E1860="",$E1860="نامعتبر"),"",IF(Sync!$R1857="","",Sync!$R1857))</f>
        <v/>
      </c>
      <c r="I1860">
        <f>IF(OR($E1860="",$E1860="نامعتبر"),"",IF(Sync!$T1857="","",Sync!$T1857))</f>
        <v/>
      </c>
      <c r="J1860">
        <f>IF(OR($E1860="",$E1860="نامعتبر"),"",IF(Sync!$U1857="","",Sync!$U1857))</f>
        <v/>
      </c>
      <c r="K1860">
        <f>IF(OR($E1860="",$E1860="نامعتبر"),"",IF(Sync!$V1857="","",IFERROR(INDEX(SubCodes,MATCH(Sync!$V1857,SubTitles,0)),Sync!$V1857)))</f>
        <v/>
      </c>
      <c r="L1860">
        <f>IF(OR($E1860="",$E1860="نامعتبر"),"",IF(Sync!$W1857="",0,Sync!$W1857))</f>
        <v/>
      </c>
      <c r="M1860">
        <f>IF(OR($E1860="",$E1860="نامعتبر"),"",IF(Sync!$X1857="",0,Sync!$X1857))</f>
        <v/>
      </c>
      <c r="N1860">
        <f>IF(OR($E1860="",$E1860="نامعتبر"),"",IF(AND($J1860="هزینه",$K1860&lt;&gt;""),1,0))</f>
        <v/>
      </c>
      <c r="O1860">
        <f>IF($N1860=0,"",LEFT($E1860,4)&amp;MID($E1860,6,2)&amp;RIGHT($E1860,2)&amp;$F1860&amp;"|"&amp;"1"&amp;RIGHT("00000"&amp;1852,5))</f>
        <v/>
      </c>
      <c r="P1860">
        <f>IF($O1860="","",COUNTIFS(ExpSub,$K1860,ExpKey,"&lt;"&amp;$O1860)+1)</f>
        <v/>
      </c>
      <c r="Q1860">
        <f>IF($P1860="","",$K1860&amp;"|"&amp;RIGHT("000000"&amp;$P1860,6))</f>
        <v/>
      </c>
    </row>
    <row r="1861">
      <c r="A1861">
        <f>IF(Sync!$P1858="","",Sync!$P1858)</f>
        <v/>
      </c>
      <c r="B1861">
        <f>IF($A1861="","",IF(ISNUMBER($A1861),IF(AND($A1861&gt;=10000101,$A1861&lt;=99991231),INT($A1861/10000),""),IFERROR(VALUE(TRIM(LEFT($A1861,FIND("/",$A1861)-1))),"")))</f>
        <v/>
      </c>
      <c r="C1861">
        <f>IF(OR($A1861="",$B1861=""),"",IF(ISNUMBER($A1861),INT(MOD($A1861,10000)/100),IFERROR(VALUE(TRIM(LEFT(MID($A1861,FIND("/",$A1861)+1,20),FIND("/",MID($A1861,FIND("/",$A1861)+1,20))-1))),"")))</f>
        <v/>
      </c>
      <c r="D1861">
        <f>IF(OR($A1861="",$B1861=""),"",IF(ISNUMBER($A1861),MOD($A1861,100),IFERROR(VALUE(TRIM(MID(MID($A1861,FIND("/",$A1861)+1,20),FIND("/",MID($A1861,FIND("/",$A1861)+1,20))+1,20))),"")))</f>
        <v/>
      </c>
      <c r="E1861">
        <f>IF($A1861="","",IF(OR($B1861="",$C1861="",$D1861="",$B1861&lt;1300,$B1861&gt;1500,$C1861&lt;1,$C1861&gt;12,$D1861&lt;1,$D1861&gt;31),"نامعتبر",RIGHT("0000"&amp;$B1861,4)&amp;"/"&amp;RIGHT("00"&amp;$C1861,2)&amp;"/"&amp;RIGHT("00"&amp;$D1861,2)))</f>
        <v/>
      </c>
      <c r="F1861">
        <f>IF(OR($E1861="",$E1861="نامعتبر"),"",IF(Sync!$Q1858="","0000",IF(AND(ISNUMBER(Sync!$Q1858),Sync!$Q1858&gt;=0,Sync!$Q1858&lt;1),RIGHT("00"&amp;HOUR(Sync!$Q1858),2)&amp;RIGHT("00"&amp;MINUTE(Sync!$Q1858),2),IFERROR(RIGHT("00"&amp;VALUE(LEFT(Sync!$Q1858,FIND(":",Sync!$Q1858)-1)),2)&amp;RIGHT("00"&amp;VALUE(MID(Sync!$Q1858,FIND(":",Sync!$Q1858)+1,2)),2),"0000"))))</f>
        <v/>
      </c>
      <c r="G1861">
        <f>IF(OR($E1861="",$E1861="نامعتبر"),"",IF(Sync!$S1858="","",Sync!$S1858))</f>
        <v/>
      </c>
      <c r="H1861">
        <f>IF(OR($E1861="",$E1861="نامعتبر"),"",IF(Sync!$R1858="","",Sync!$R1858))</f>
        <v/>
      </c>
      <c r="I1861">
        <f>IF(OR($E1861="",$E1861="نامعتبر"),"",IF(Sync!$T1858="","",Sync!$T1858))</f>
        <v/>
      </c>
      <c r="J1861">
        <f>IF(OR($E1861="",$E1861="نامعتبر"),"",IF(Sync!$U1858="","",Sync!$U1858))</f>
        <v/>
      </c>
      <c r="K1861">
        <f>IF(OR($E1861="",$E1861="نامعتبر"),"",IF(Sync!$V1858="","",IFERROR(INDEX(SubCodes,MATCH(Sync!$V1858,SubTitles,0)),Sync!$V1858)))</f>
        <v/>
      </c>
      <c r="L1861">
        <f>IF(OR($E1861="",$E1861="نامعتبر"),"",IF(Sync!$W1858="",0,Sync!$W1858))</f>
        <v/>
      </c>
      <c r="M1861">
        <f>IF(OR($E1861="",$E1861="نامعتبر"),"",IF(Sync!$X1858="",0,Sync!$X1858))</f>
        <v/>
      </c>
      <c r="N1861">
        <f>IF(OR($E1861="",$E1861="نامعتبر"),"",IF(AND($J1861="هزینه",$K1861&lt;&gt;""),1,0))</f>
        <v/>
      </c>
      <c r="O1861">
        <f>IF($N1861=0,"",LEFT($E1861,4)&amp;MID($E1861,6,2)&amp;RIGHT($E1861,2)&amp;$F1861&amp;"|"&amp;"1"&amp;RIGHT("00000"&amp;1853,5))</f>
        <v/>
      </c>
      <c r="P1861">
        <f>IF($O1861="","",COUNTIFS(ExpSub,$K1861,ExpKey,"&lt;"&amp;$O1861)+1)</f>
        <v/>
      </c>
      <c r="Q1861">
        <f>IF($P1861="","",$K1861&amp;"|"&amp;RIGHT("000000"&amp;$P1861,6))</f>
        <v/>
      </c>
    </row>
    <row r="1862">
      <c r="A1862">
        <f>IF(Sync!$P1859="","",Sync!$P1859)</f>
        <v/>
      </c>
      <c r="B1862">
        <f>IF($A1862="","",IF(ISNUMBER($A1862),IF(AND($A1862&gt;=10000101,$A1862&lt;=99991231),INT($A1862/10000),""),IFERROR(VALUE(TRIM(LEFT($A1862,FIND("/",$A1862)-1))),"")))</f>
        <v/>
      </c>
      <c r="C1862">
        <f>IF(OR($A1862="",$B1862=""),"",IF(ISNUMBER($A1862),INT(MOD($A1862,10000)/100),IFERROR(VALUE(TRIM(LEFT(MID($A1862,FIND("/",$A1862)+1,20),FIND("/",MID($A1862,FIND("/",$A1862)+1,20))-1))),"")))</f>
        <v/>
      </c>
      <c r="D1862">
        <f>IF(OR($A1862="",$B1862=""),"",IF(ISNUMBER($A1862),MOD($A1862,100),IFERROR(VALUE(TRIM(MID(MID($A1862,FIND("/",$A1862)+1,20),FIND("/",MID($A1862,FIND("/",$A1862)+1,20))+1,20))),"")))</f>
        <v/>
      </c>
      <c r="E1862">
        <f>IF($A1862="","",IF(OR($B1862="",$C1862="",$D1862="",$B1862&lt;1300,$B1862&gt;1500,$C1862&lt;1,$C1862&gt;12,$D1862&lt;1,$D1862&gt;31),"نامعتبر",RIGHT("0000"&amp;$B1862,4)&amp;"/"&amp;RIGHT("00"&amp;$C1862,2)&amp;"/"&amp;RIGHT("00"&amp;$D1862,2)))</f>
        <v/>
      </c>
      <c r="F1862">
        <f>IF(OR($E1862="",$E1862="نامعتبر"),"",IF(Sync!$Q1859="","0000",IF(AND(ISNUMBER(Sync!$Q1859),Sync!$Q1859&gt;=0,Sync!$Q1859&lt;1),RIGHT("00"&amp;HOUR(Sync!$Q1859),2)&amp;RIGHT("00"&amp;MINUTE(Sync!$Q1859),2),IFERROR(RIGHT("00"&amp;VALUE(LEFT(Sync!$Q1859,FIND(":",Sync!$Q1859)-1)),2)&amp;RIGHT("00"&amp;VALUE(MID(Sync!$Q1859,FIND(":",Sync!$Q1859)+1,2)),2),"0000"))))</f>
        <v/>
      </c>
      <c r="G1862">
        <f>IF(OR($E1862="",$E1862="نامعتبر"),"",IF(Sync!$S1859="","",Sync!$S1859))</f>
        <v/>
      </c>
      <c r="H1862">
        <f>IF(OR($E1862="",$E1862="نامعتبر"),"",IF(Sync!$R1859="","",Sync!$R1859))</f>
        <v/>
      </c>
      <c r="I1862">
        <f>IF(OR($E1862="",$E1862="نامعتبر"),"",IF(Sync!$T1859="","",Sync!$T1859))</f>
        <v/>
      </c>
      <c r="J1862">
        <f>IF(OR($E1862="",$E1862="نامعتبر"),"",IF(Sync!$U1859="","",Sync!$U1859))</f>
        <v/>
      </c>
      <c r="K1862">
        <f>IF(OR($E1862="",$E1862="نامعتبر"),"",IF(Sync!$V1859="","",IFERROR(INDEX(SubCodes,MATCH(Sync!$V1859,SubTitles,0)),Sync!$V1859)))</f>
        <v/>
      </c>
      <c r="L1862">
        <f>IF(OR($E1862="",$E1862="نامعتبر"),"",IF(Sync!$W1859="",0,Sync!$W1859))</f>
        <v/>
      </c>
      <c r="M1862">
        <f>IF(OR($E1862="",$E1862="نامعتبر"),"",IF(Sync!$X1859="",0,Sync!$X1859))</f>
        <v/>
      </c>
      <c r="N1862">
        <f>IF(OR($E1862="",$E1862="نامعتبر"),"",IF(AND($J1862="هزینه",$K1862&lt;&gt;""),1,0))</f>
        <v/>
      </c>
      <c r="O1862">
        <f>IF($N1862=0,"",LEFT($E1862,4)&amp;MID($E1862,6,2)&amp;RIGHT($E1862,2)&amp;$F1862&amp;"|"&amp;"1"&amp;RIGHT("00000"&amp;1854,5))</f>
        <v/>
      </c>
      <c r="P1862">
        <f>IF($O1862="","",COUNTIFS(ExpSub,$K1862,ExpKey,"&lt;"&amp;$O1862)+1)</f>
        <v/>
      </c>
      <c r="Q1862">
        <f>IF($P1862="","",$K1862&amp;"|"&amp;RIGHT("000000"&amp;$P1862,6))</f>
        <v/>
      </c>
    </row>
    <row r="1863">
      <c r="A1863">
        <f>IF(Sync!$P1860="","",Sync!$P1860)</f>
        <v/>
      </c>
      <c r="B1863">
        <f>IF($A1863="","",IF(ISNUMBER($A1863),IF(AND($A1863&gt;=10000101,$A1863&lt;=99991231),INT($A1863/10000),""),IFERROR(VALUE(TRIM(LEFT($A1863,FIND("/",$A1863)-1))),"")))</f>
        <v/>
      </c>
      <c r="C1863">
        <f>IF(OR($A1863="",$B1863=""),"",IF(ISNUMBER($A1863),INT(MOD($A1863,10000)/100),IFERROR(VALUE(TRIM(LEFT(MID($A1863,FIND("/",$A1863)+1,20),FIND("/",MID($A1863,FIND("/",$A1863)+1,20))-1))),"")))</f>
        <v/>
      </c>
      <c r="D1863">
        <f>IF(OR($A1863="",$B1863=""),"",IF(ISNUMBER($A1863),MOD($A1863,100),IFERROR(VALUE(TRIM(MID(MID($A1863,FIND("/",$A1863)+1,20),FIND("/",MID($A1863,FIND("/",$A1863)+1,20))+1,20))),"")))</f>
        <v/>
      </c>
      <c r="E1863">
        <f>IF($A1863="","",IF(OR($B1863="",$C1863="",$D1863="",$B1863&lt;1300,$B1863&gt;1500,$C1863&lt;1,$C1863&gt;12,$D1863&lt;1,$D1863&gt;31),"نامعتبر",RIGHT("0000"&amp;$B1863,4)&amp;"/"&amp;RIGHT("00"&amp;$C1863,2)&amp;"/"&amp;RIGHT("00"&amp;$D1863,2)))</f>
        <v/>
      </c>
      <c r="F1863">
        <f>IF(OR($E1863="",$E1863="نامعتبر"),"",IF(Sync!$Q1860="","0000",IF(AND(ISNUMBER(Sync!$Q1860),Sync!$Q1860&gt;=0,Sync!$Q1860&lt;1),RIGHT("00"&amp;HOUR(Sync!$Q1860),2)&amp;RIGHT("00"&amp;MINUTE(Sync!$Q1860),2),IFERROR(RIGHT("00"&amp;VALUE(LEFT(Sync!$Q1860,FIND(":",Sync!$Q1860)-1)),2)&amp;RIGHT("00"&amp;VALUE(MID(Sync!$Q1860,FIND(":",Sync!$Q1860)+1,2)),2),"0000"))))</f>
        <v/>
      </c>
      <c r="G1863">
        <f>IF(OR($E1863="",$E1863="نامعتبر"),"",IF(Sync!$S1860="","",Sync!$S1860))</f>
        <v/>
      </c>
      <c r="H1863">
        <f>IF(OR($E1863="",$E1863="نامعتبر"),"",IF(Sync!$R1860="","",Sync!$R1860))</f>
        <v/>
      </c>
      <c r="I1863">
        <f>IF(OR($E1863="",$E1863="نامعتبر"),"",IF(Sync!$T1860="","",Sync!$T1860))</f>
        <v/>
      </c>
      <c r="J1863">
        <f>IF(OR($E1863="",$E1863="نامعتبر"),"",IF(Sync!$U1860="","",Sync!$U1860))</f>
        <v/>
      </c>
      <c r="K1863">
        <f>IF(OR($E1863="",$E1863="نامعتبر"),"",IF(Sync!$V1860="","",IFERROR(INDEX(SubCodes,MATCH(Sync!$V1860,SubTitles,0)),Sync!$V1860)))</f>
        <v/>
      </c>
      <c r="L1863">
        <f>IF(OR($E1863="",$E1863="نامعتبر"),"",IF(Sync!$W1860="",0,Sync!$W1860))</f>
        <v/>
      </c>
      <c r="M1863">
        <f>IF(OR($E1863="",$E1863="نامعتبر"),"",IF(Sync!$X1860="",0,Sync!$X1860))</f>
        <v/>
      </c>
      <c r="N1863">
        <f>IF(OR($E1863="",$E1863="نامعتبر"),"",IF(AND($J1863="هزینه",$K1863&lt;&gt;""),1,0))</f>
        <v/>
      </c>
      <c r="O1863">
        <f>IF($N1863=0,"",LEFT($E1863,4)&amp;MID($E1863,6,2)&amp;RIGHT($E1863,2)&amp;$F1863&amp;"|"&amp;"1"&amp;RIGHT("00000"&amp;1855,5))</f>
        <v/>
      </c>
      <c r="P1863">
        <f>IF($O1863="","",COUNTIFS(ExpSub,$K1863,ExpKey,"&lt;"&amp;$O1863)+1)</f>
        <v/>
      </c>
      <c r="Q1863">
        <f>IF($P1863="","",$K1863&amp;"|"&amp;RIGHT("000000"&amp;$P1863,6))</f>
        <v/>
      </c>
    </row>
    <row r="1864">
      <c r="A1864">
        <f>IF(Sync!$P1861="","",Sync!$P1861)</f>
        <v/>
      </c>
      <c r="B1864">
        <f>IF($A1864="","",IF(ISNUMBER($A1864),IF(AND($A1864&gt;=10000101,$A1864&lt;=99991231),INT($A1864/10000),""),IFERROR(VALUE(TRIM(LEFT($A1864,FIND("/",$A1864)-1))),"")))</f>
        <v/>
      </c>
      <c r="C1864">
        <f>IF(OR($A1864="",$B1864=""),"",IF(ISNUMBER($A1864),INT(MOD($A1864,10000)/100),IFERROR(VALUE(TRIM(LEFT(MID($A1864,FIND("/",$A1864)+1,20),FIND("/",MID($A1864,FIND("/",$A1864)+1,20))-1))),"")))</f>
        <v/>
      </c>
      <c r="D1864">
        <f>IF(OR($A1864="",$B1864=""),"",IF(ISNUMBER($A1864),MOD($A1864,100),IFERROR(VALUE(TRIM(MID(MID($A1864,FIND("/",$A1864)+1,20),FIND("/",MID($A1864,FIND("/",$A1864)+1,20))+1,20))),"")))</f>
        <v/>
      </c>
      <c r="E1864">
        <f>IF($A1864="","",IF(OR($B1864="",$C1864="",$D1864="",$B1864&lt;1300,$B1864&gt;1500,$C1864&lt;1,$C1864&gt;12,$D1864&lt;1,$D1864&gt;31),"نامعتبر",RIGHT("0000"&amp;$B1864,4)&amp;"/"&amp;RIGHT("00"&amp;$C1864,2)&amp;"/"&amp;RIGHT("00"&amp;$D1864,2)))</f>
        <v/>
      </c>
      <c r="F1864">
        <f>IF(OR($E1864="",$E1864="نامعتبر"),"",IF(Sync!$Q1861="","0000",IF(AND(ISNUMBER(Sync!$Q1861),Sync!$Q1861&gt;=0,Sync!$Q1861&lt;1),RIGHT("00"&amp;HOUR(Sync!$Q1861),2)&amp;RIGHT("00"&amp;MINUTE(Sync!$Q1861),2),IFERROR(RIGHT("00"&amp;VALUE(LEFT(Sync!$Q1861,FIND(":",Sync!$Q1861)-1)),2)&amp;RIGHT("00"&amp;VALUE(MID(Sync!$Q1861,FIND(":",Sync!$Q1861)+1,2)),2),"0000"))))</f>
        <v/>
      </c>
      <c r="G1864">
        <f>IF(OR($E1864="",$E1864="نامعتبر"),"",IF(Sync!$S1861="","",Sync!$S1861))</f>
        <v/>
      </c>
      <c r="H1864">
        <f>IF(OR($E1864="",$E1864="نامعتبر"),"",IF(Sync!$R1861="","",Sync!$R1861))</f>
        <v/>
      </c>
      <c r="I1864">
        <f>IF(OR($E1864="",$E1864="نامعتبر"),"",IF(Sync!$T1861="","",Sync!$T1861))</f>
        <v/>
      </c>
      <c r="J1864">
        <f>IF(OR($E1864="",$E1864="نامعتبر"),"",IF(Sync!$U1861="","",Sync!$U1861))</f>
        <v/>
      </c>
      <c r="K1864">
        <f>IF(OR($E1864="",$E1864="نامعتبر"),"",IF(Sync!$V1861="","",IFERROR(INDEX(SubCodes,MATCH(Sync!$V1861,SubTitles,0)),Sync!$V1861)))</f>
        <v/>
      </c>
      <c r="L1864">
        <f>IF(OR($E1864="",$E1864="نامعتبر"),"",IF(Sync!$W1861="",0,Sync!$W1861))</f>
        <v/>
      </c>
      <c r="M1864">
        <f>IF(OR($E1864="",$E1864="نامعتبر"),"",IF(Sync!$X1861="",0,Sync!$X1861))</f>
        <v/>
      </c>
      <c r="N1864">
        <f>IF(OR($E1864="",$E1864="نامعتبر"),"",IF(AND($J1864="هزینه",$K1864&lt;&gt;""),1,0))</f>
        <v/>
      </c>
      <c r="O1864">
        <f>IF($N1864=0,"",LEFT($E1864,4)&amp;MID($E1864,6,2)&amp;RIGHT($E1864,2)&amp;$F1864&amp;"|"&amp;"1"&amp;RIGHT("00000"&amp;1856,5))</f>
        <v/>
      </c>
      <c r="P1864">
        <f>IF($O1864="","",COUNTIFS(ExpSub,$K1864,ExpKey,"&lt;"&amp;$O1864)+1)</f>
        <v/>
      </c>
      <c r="Q1864">
        <f>IF($P1864="","",$K1864&amp;"|"&amp;RIGHT("000000"&amp;$P1864,6))</f>
        <v/>
      </c>
    </row>
    <row r="1865">
      <c r="A1865">
        <f>IF(Sync!$P1862="","",Sync!$P1862)</f>
        <v/>
      </c>
      <c r="B1865">
        <f>IF($A1865="","",IF(ISNUMBER($A1865),IF(AND($A1865&gt;=10000101,$A1865&lt;=99991231),INT($A1865/10000),""),IFERROR(VALUE(TRIM(LEFT($A1865,FIND("/",$A1865)-1))),"")))</f>
        <v/>
      </c>
      <c r="C1865">
        <f>IF(OR($A1865="",$B1865=""),"",IF(ISNUMBER($A1865),INT(MOD($A1865,10000)/100),IFERROR(VALUE(TRIM(LEFT(MID($A1865,FIND("/",$A1865)+1,20),FIND("/",MID($A1865,FIND("/",$A1865)+1,20))-1))),"")))</f>
        <v/>
      </c>
      <c r="D1865">
        <f>IF(OR($A1865="",$B1865=""),"",IF(ISNUMBER($A1865),MOD($A1865,100),IFERROR(VALUE(TRIM(MID(MID($A1865,FIND("/",$A1865)+1,20),FIND("/",MID($A1865,FIND("/",$A1865)+1,20))+1,20))),"")))</f>
        <v/>
      </c>
      <c r="E1865">
        <f>IF($A1865="","",IF(OR($B1865="",$C1865="",$D1865="",$B1865&lt;1300,$B1865&gt;1500,$C1865&lt;1,$C1865&gt;12,$D1865&lt;1,$D1865&gt;31),"نامعتبر",RIGHT("0000"&amp;$B1865,4)&amp;"/"&amp;RIGHT("00"&amp;$C1865,2)&amp;"/"&amp;RIGHT("00"&amp;$D1865,2)))</f>
        <v/>
      </c>
      <c r="F1865">
        <f>IF(OR($E1865="",$E1865="نامعتبر"),"",IF(Sync!$Q1862="","0000",IF(AND(ISNUMBER(Sync!$Q1862),Sync!$Q1862&gt;=0,Sync!$Q1862&lt;1),RIGHT("00"&amp;HOUR(Sync!$Q1862),2)&amp;RIGHT("00"&amp;MINUTE(Sync!$Q1862),2),IFERROR(RIGHT("00"&amp;VALUE(LEFT(Sync!$Q1862,FIND(":",Sync!$Q1862)-1)),2)&amp;RIGHT("00"&amp;VALUE(MID(Sync!$Q1862,FIND(":",Sync!$Q1862)+1,2)),2),"0000"))))</f>
        <v/>
      </c>
      <c r="G1865">
        <f>IF(OR($E1865="",$E1865="نامعتبر"),"",IF(Sync!$S1862="","",Sync!$S1862))</f>
        <v/>
      </c>
      <c r="H1865">
        <f>IF(OR($E1865="",$E1865="نامعتبر"),"",IF(Sync!$R1862="","",Sync!$R1862))</f>
        <v/>
      </c>
      <c r="I1865">
        <f>IF(OR($E1865="",$E1865="نامعتبر"),"",IF(Sync!$T1862="","",Sync!$T1862))</f>
        <v/>
      </c>
      <c r="J1865">
        <f>IF(OR($E1865="",$E1865="نامعتبر"),"",IF(Sync!$U1862="","",Sync!$U1862))</f>
        <v/>
      </c>
      <c r="K1865">
        <f>IF(OR($E1865="",$E1865="نامعتبر"),"",IF(Sync!$V1862="","",IFERROR(INDEX(SubCodes,MATCH(Sync!$V1862,SubTitles,0)),Sync!$V1862)))</f>
        <v/>
      </c>
      <c r="L1865">
        <f>IF(OR($E1865="",$E1865="نامعتبر"),"",IF(Sync!$W1862="",0,Sync!$W1862))</f>
        <v/>
      </c>
      <c r="M1865">
        <f>IF(OR($E1865="",$E1865="نامعتبر"),"",IF(Sync!$X1862="",0,Sync!$X1862))</f>
        <v/>
      </c>
      <c r="N1865">
        <f>IF(OR($E1865="",$E1865="نامعتبر"),"",IF(AND($J1865="هزینه",$K1865&lt;&gt;""),1,0))</f>
        <v/>
      </c>
      <c r="O1865">
        <f>IF($N1865=0,"",LEFT($E1865,4)&amp;MID($E1865,6,2)&amp;RIGHT($E1865,2)&amp;$F1865&amp;"|"&amp;"1"&amp;RIGHT("00000"&amp;1857,5))</f>
        <v/>
      </c>
      <c r="P1865">
        <f>IF($O1865="","",COUNTIFS(ExpSub,$K1865,ExpKey,"&lt;"&amp;$O1865)+1)</f>
        <v/>
      </c>
      <c r="Q1865">
        <f>IF($P1865="","",$K1865&amp;"|"&amp;RIGHT("000000"&amp;$P1865,6))</f>
        <v/>
      </c>
    </row>
    <row r="1866">
      <c r="A1866">
        <f>IF(Sync!$P1863="","",Sync!$P1863)</f>
        <v/>
      </c>
      <c r="B1866">
        <f>IF($A1866="","",IF(ISNUMBER($A1866),IF(AND($A1866&gt;=10000101,$A1866&lt;=99991231),INT($A1866/10000),""),IFERROR(VALUE(TRIM(LEFT($A1866,FIND("/",$A1866)-1))),"")))</f>
        <v/>
      </c>
      <c r="C1866">
        <f>IF(OR($A1866="",$B1866=""),"",IF(ISNUMBER($A1866),INT(MOD($A1866,10000)/100),IFERROR(VALUE(TRIM(LEFT(MID($A1866,FIND("/",$A1866)+1,20),FIND("/",MID($A1866,FIND("/",$A1866)+1,20))-1))),"")))</f>
        <v/>
      </c>
      <c r="D1866">
        <f>IF(OR($A1866="",$B1866=""),"",IF(ISNUMBER($A1866),MOD($A1866,100),IFERROR(VALUE(TRIM(MID(MID($A1866,FIND("/",$A1866)+1,20),FIND("/",MID($A1866,FIND("/",$A1866)+1,20))+1,20))),"")))</f>
        <v/>
      </c>
      <c r="E1866">
        <f>IF($A1866="","",IF(OR($B1866="",$C1866="",$D1866="",$B1866&lt;1300,$B1866&gt;1500,$C1866&lt;1,$C1866&gt;12,$D1866&lt;1,$D1866&gt;31),"نامعتبر",RIGHT("0000"&amp;$B1866,4)&amp;"/"&amp;RIGHT("00"&amp;$C1866,2)&amp;"/"&amp;RIGHT("00"&amp;$D1866,2)))</f>
        <v/>
      </c>
      <c r="F1866">
        <f>IF(OR($E1866="",$E1866="نامعتبر"),"",IF(Sync!$Q1863="","0000",IF(AND(ISNUMBER(Sync!$Q1863),Sync!$Q1863&gt;=0,Sync!$Q1863&lt;1),RIGHT("00"&amp;HOUR(Sync!$Q1863),2)&amp;RIGHT("00"&amp;MINUTE(Sync!$Q1863),2),IFERROR(RIGHT("00"&amp;VALUE(LEFT(Sync!$Q1863,FIND(":",Sync!$Q1863)-1)),2)&amp;RIGHT("00"&amp;VALUE(MID(Sync!$Q1863,FIND(":",Sync!$Q1863)+1,2)),2),"0000"))))</f>
        <v/>
      </c>
      <c r="G1866">
        <f>IF(OR($E1866="",$E1866="نامعتبر"),"",IF(Sync!$S1863="","",Sync!$S1863))</f>
        <v/>
      </c>
      <c r="H1866">
        <f>IF(OR($E1866="",$E1866="نامعتبر"),"",IF(Sync!$R1863="","",Sync!$R1863))</f>
        <v/>
      </c>
      <c r="I1866">
        <f>IF(OR($E1866="",$E1866="نامعتبر"),"",IF(Sync!$T1863="","",Sync!$T1863))</f>
        <v/>
      </c>
      <c r="J1866">
        <f>IF(OR($E1866="",$E1866="نامعتبر"),"",IF(Sync!$U1863="","",Sync!$U1863))</f>
        <v/>
      </c>
      <c r="K1866">
        <f>IF(OR($E1866="",$E1866="نامعتبر"),"",IF(Sync!$V1863="","",IFERROR(INDEX(SubCodes,MATCH(Sync!$V1863,SubTitles,0)),Sync!$V1863)))</f>
        <v/>
      </c>
      <c r="L1866">
        <f>IF(OR($E1866="",$E1866="نامعتبر"),"",IF(Sync!$W1863="",0,Sync!$W1863))</f>
        <v/>
      </c>
      <c r="M1866">
        <f>IF(OR($E1866="",$E1866="نامعتبر"),"",IF(Sync!$X1863="",0,Sync!$X1863))</f>
        <v/>
      </c>
      <c r="N1866">
        <f>IF(OR($E1866="",$E1866="نامعتبر"),"",IF(AND($J1866="هزینه",$K1866&lt;&gt;""),1,0))</f>
        <v/>
      </c>
      <c r="O1866">
        <f>IF($N1866=0,"",LEFT($E1866,4)&amp;MID($E1866,6,2)&amp;RIGHT($E1866,2)&amp;$F1866&amp;"|"&amp;"1"&amp;RIGHT("00000"&amp;1858,5))</f>
        <v/>
      </c>
      <c r="P1866">
        <f>IF($O1866="","",COUNTIFS(ExpSub,$K1866,ExpKey,"&lt;"&amp;$O1866)+1)</f>
        <v/>
      </c>
      <c r="Q1866">
        <f>IF($P1866="","",$K1866&amp;"|"&amp;RIGHT("000000"&amp;$P1866,6))</f>
        <v/>
      </c>
    </row>
    <row r="1867">
      <c r="A1867">
        <f>IF(Sync!$P1864="","",Sync!$P1864)</f>
        <v/>
      </c>
      <c r="B1867">
        <f>IF($A1867="","",IF(ISNUMBER($A1867),IF(AND($A1867&gt;=10000101,$A1867&lt;=99991231),INT($A1867/10000),""),IFERROR(VALUE(TRIM(LEFT($A1867,FIND("/",$A1867)-1))),"")))</f>
        <v/>
      </c>
      <c r="C1867">
        <f>IF(OR($A1867="",$B1867=""),"",IF(ISNUMBER($A1867),INT(MOD($A1867,10000)/100),IFERROR(VALUE(TRIM(LEFT(MID($A1867,FIND("/",$A1867)+1,20),FIND("/",MID($A1867,FIND("/",$A1867)+1,20))-1))),"")))</f>
        <v/>
      </c>
      <c r="D1867">
        <f>IF(OR($A1867="",$B1867=""),"",IF(ISNUMBER($A1867),MOD($A1867,100),IFERROR(VALUE(TRIM(MID(MID($A1867,FIND("/",$A1867)+1,20),FIND("/",MID($A1867,FIND("/",$A1867)+1,20))+1,20))),"")))</f>
        <v/>
      </c>
      <c r="E1867">
        <f>IF($A1867="","",IF(OR($B1867="",$C1867="",$D1867="",$B1867&lt;1300,$B1867&gt;1500,$C1867&lt;1,$C1867&gt;12,$D1867&lt;1,$D1867&gt;31),"نامعتبر",RIGHT("0000"&amp;$B1867,4)&amp;"/"&amp;RIGHT("00"&amp;$C1867,2)&amp;"/"&amp;RIGHT("00"&amp;$D1867,2)))</f>
        <v/>
      </c>
      <c r="F1867">
        <f>IF(OR($E1867="",$E1867="نامعتبر"),"",IF(Sync!$Q1864="","0000",IF(AND(ISNUMBER(Sync!$Q1864),Sync!$Q1864&gt;=0,Sync!$Q1864&lt;1),RIGHT("00"&amp;HOUR(Sync!$Q1864),2)&amp;RIGHT("00"&amp;MINUTE(Sync!$Q1864),2),IFERROR(RIGHT("00"&amp;VALUE(LEFT(Sync!$Q1864,FIND(":",Sync!$Q1864)-1)),2)&amp;RIGHT("00"&amp;VALUE(MID(Sync!$Q1864,FIND(":",Sync!$Q1864)+1,2)),2),"0000"))))</f>
        <v/>
      </c>
      <c r="G1867">
        <f>IF(OR($E1867="",$E1867="نامعتبر"),"",IF(Sync!$S1864="","",Sync!$S1864))</f>
        <v/>
      </c>
      <c r="H1867">
        <f>IF(OR($E1867="",$E1867="نامعتبر"),"",IF(Sync!$R1864="","",Sync!$R1864))</f>
        <v/>
      </c>
      <c r="I1867">
        <f>IF(OR($E1867="",$E1867="نامعتبر"),"",IF(Sync!$T1864="","",Sync!$T1864))</f>
        <v/>
      </c>
      <c r="J1867">
        <f>IF(OR($E1867="",$E1867="نامعتبر"),"",IF(Sync!$U1864="","",Sync!$U1864))</f>
        <v/>
      </c>
      <c r="K1867">
        <f>IF(OR($E1867="",$E1867="نامعتبر"),"",IF(Sync!$V1864="","",IFERROR(INDEX(SubCodes,MATCH(Sync!$V1864,SubTitles,0)),Sync!$V1864)))</f>
        <v/>
      </c>
      <c r="L1867">
        <f>IF(OR($E1867="",$E1867="نامعتبر"),"",IF(Sync!$W1864="",0,Sync!$W1864))</f>
        <v/>
      </c>
      <c r="M1867">
        <f>IF(OR($E1867="",$E1867="نامعتبر"),"",IF(Sync!$X1864="",0,Sync!$X1864))</f>
        <v/>
      </c>
      <c r="N1867">
        <f>IF(OR($E1867="",$E1867="نامعتبر"),"",IF(AND($J1867="هزینه",$K1867&lt;&gt;""),1,0))</f>
        <v/>
      </c>
      <c r="O1867">
        <f>IF($N1867=0,"",LEFT($E1867,4)&amp;MID($E1867,6,2)&amp;RIGHT($E1867,2)&amp;$F1867&amp;"|"&amp;"1"&amp;RIGHT("00000"&amp;1859,5))</f>
        <v/>
      </c>
      <c r="P1867">
        <f>IF($O1867="","",COUNTIFS(ExpSub,$K1867,ExpKey,"&lt;"&amp;$O1867)+1)</f>
        <v/>
      </c>
      <c r="Q1867">
        <f>IF($P1867="","",$K1867&amp;"|"&amp;RIGHT("000000"&amp;$P1867,6))</f>
        <v/>
      </c>
    </row>
    <row r="1868">
      <c r="A1868">
        <f>IF(Sync!$P1865="","",Sync!$P1865)</f>
        <v/>
      </c>
      <c r="B1868">
        <f>IF($A1868="","",IF(ISNUMBER($A1868),IF(AND($A1868&gt;=10000101,$A1868&lt;=99991231),INT($A1868/10000),""),IFERROR(VALUE(TRIM(LEFT($A1868,FIND("/",$A1868)-1))),"")))</f>
        <v/>
      </c>
      <c r="C1868">
        <f>IF(OR($A1868="",$B1868=""),"",IF(ISNUMBER($A1868),INT(MOD($A1868,10000)/100),IFERROR(VALUE(TRIM(LEFT(MID($A1868,FIND("/",$A1868)+1,20),FIND("/",MID($A1868,FIND("/",$A1868)+1,20))-1))),"")))</f>
        <v/>
      </c>
      <c r="D1868">
        <f>IF(OR($A1868="",$B1868=""),"",IF(ISNUMBER($A1868),MOD($A1868,100),IFERROR(VALUE(TRIM(MID(MID($A1868,FIND("/",$A1868)+1,20),FIND("/",MID($A1868,FIND("/",$A1868)+1,20))+1,20))),"")))</f>
        <v/>
      </c>
      <c r="E1868">
        <f>IF($A1868="","",IF(OR($B1868="",$C1868="",$D1868="",$B1868&lt;1300,$B1868&gt;1500,$C1868&lt;1,$C1868&gt;12,$D1868&lt;1,$D1868&gt;31),"نامعتبر",RIGHT("0000"&amp;$B1868,4)&amp;"/"&amp;RIGHT("00"&amp;$C1868,2)&amp;"/"&amp;RIGHT("00"&amp;$D1868,2)))</f>
        <v/>
      </c>
      <c r="F1868">
        <f>IF(OR($E1868="",$E1868="نامعتبر"),"",IF(Sync!$Q1865="","0000",IF(AND(ISNUMBER(Sync!$Q1865),Sync!$Q1865&gt;=0,Sync!$Q1865&lt;1),RIGHT("00"&amp;HOUR(Sync!$Q1865),2)&amp;RIGHT("00"&amp;MINUTE(Sync!$Q1865),2),IFERROR(RIGHT("00"&amp;VALUE(LEFT(Sync!$Q1865,FIND(":",Sync!$Q1865)-1)),2)&amp;RIGHT("00"&amp;VALUE(MID(Sync!$Q1865,FIND(":",Sync!$Q1865)+1,2)),2),"0000"))))</f>
        <v/>
      </c>
      <c r="G1868">
        <f>IF(OR($E1868="",$E1868="نامعتبر"),"",IF(Sync!$S1865="","",Sync!$S1865))</f>
        <v/>
      </c>
      <c r="H1868">
        <f>IF(OR($E1868="",$E1868="نامعتبر"),"",IF(Sync!$R1865="","",Sync!$R1865))</f>
        <v/>
      </c>
      <c r="I1868">
        <f>IF(OR($E1868="",$E1868="نامعتبر"),"",IF(Sync!$T1865="","",Sync!$T1865))</f>
        <v/>
      </c>
      <c r="J1868">
        <f>IF(OR($E1868="",$E1868="نامعتبر"),"",IF(Sync!$U1865="","",Sync!$U1865))</f>
        <v/>
      </c>
      <c r="K1868">
        <f>IF(OR($E1868="",$E1868="نامعتبر"),"",IF(Sync!$V1865="","",IFERROR(INDEX(SubCodes,MATCH(Sync!$V1865,SubTitles,0)),Sync!$V1865)))</f>
        <v/>
      </c>
      <c r="L1868">
        <f>IF(OR($E1868="",$E1868="نامعتبر"),"",IF(Sync!$W1865="",0,Sync!$W1865))</f>
        <v/>
      </c>
      <c r="M1868">
        <f>IF(OR($E1868="",$E1868="نامعتبر"),"",IF(Sync!$X1865="",0,Sync!$X1865))</f>
        <v/>
      </c>
      <c r="N1868">
        <f>IF(OR($E1868="",$E1868="نامعتبر"),"",IF(AND($J1868="هزینه",$K1868&lt;&gt;""),1,0))</f>
        <v/>
      </c>
      <c r="O1868">
        <f>IF($N1868=0,"",LEFT($E1868,4)&amp;MID($E1868,6,2)&amp;RIGHT($E1868,2)&amp;$F1868&amp;"|"&amp;"1"&amp;RIGHT("00000"&amp;1860,5))</f>
        <v/>
      </c>
      <c r="P1868">
        <f>IF($O1868="","",COUNTIFS(ExpSub,$K1868,ExpKey,"&lt;"&amp;$O1868)+1)</f>
        <v/>
      </c>
      <c r="Q1868">
        <f>IF($P1868="","",$K1868&amp;"|"&amp;RIGHT("000000"&amp;$P1868,6))</f>
        <v/>
      </c>
    </row>
    <row r="1869">
      <c r="A1869">
        <f>IF(Sync!$P1866="","",Sync!$P1866)</f>
        <v/>
      </c>
      <c r="B1869">
        <f>IF($A1869="","",IF(ISNUMBER($A1869),IF(AND($A1869&gt;=10000101,$A1869&lt;=99991231),INT($A1869/10000),""),IFERROR(VALUE(TRIM(LEFT($A1869,FIND("/",$A1869)-1))),"")))</f>
        <v/>
      </c>
      <c r="C1869">
        <f>IF(OR($A1869="",$B1869=""),"",IF(ISNUMBER($A1869),INT(MOD($A1869,10000)/100),IFERROR(VALUE(TRIM(LEFT(MID($A1869,FIND("/",$A1869)+1,20),FIND("/",MID($A1869,FIND("/",$A1869)+1,20))-1))),"")))</f>
        <v/>
      </c>
      <c r="D1869">
        <f>IF(OR($A1869="",$B1869=""),"",IF(ISNUMBER($A1869),MOD($A1869,100),IFERROR(VALUE(TRIM(MID(MID($A1869,FIND("/",$A1869)+1,20),FIND("/",MID($A1869,FIND("/",$A1869)+1,20))+1,20))),"")))</f>
        <v/>
      </c>
      <c r="E1869">
        <f>IF($A1869="","",IF(OR($B1869="",$C1869="",$D1869="",$B1869&lt;1300,$B1869&gt;1500,$C1869&lt;1,$C1869&gt;12,$D1869&lt;1,$D1869&gt;31),"نامعتبر",RIGHT("0000"&amp;$B1869,4)&amp;"/"&amp;RIGHT("00"&amp;$C1869,2)&amp;"/"&amp;RIGHT("00"&amp;$D1869,2)))</f>
        <v/>
      </c>
      <c r="F1869">
        <f>IF(OR($E1869="",$E1869="نامعتبر"),"",IF(Sync!$Q1866="","0000",IF(AND(ISNUMBER(Sync!$Q1866),Sync!$Q1866&gt;=0,Sync!$Q1866&lt;1),RIGHT("00"&amp;HOUR(Sync!$Q1866),2)&amp;RIGHT("00"&amp;MINUTE(Sync!$Q1866),2),IFERROR(RIGHT("00"&amp;VALUE(LEFT(Sync!$Q1866,FIND(":",Sync!$Q1866)-1)),2)&amp;RIGHT("00"&amp;VALUE(MID(Sync!$Q1866,FIND(":",Sync!$Q1866)+1,2)),2),"0000"))))</f>
        <v/>
      </c>
      <c r="G1869">
        <f>IF(OR($E1869="",$E1869="نامعتبر"),"",IF(Sync!$S1866="","",Sync!$S1866))</f>
        <v/>
      </c>
      <c r="H1869">
        <f>IF(OR($E1869="",$E1869="نامعتبر"),"",IF(Sync!$R1866="","",Sync!$R1866))</f>
        <v/>
      </c>
      <c r="I1869">
        <f>IF(OR($E1869="",$E1869="نامعتبر"),"",IF(Sync!$T1866="","",Sync!$T1866))</f>
        <v/>
      </c>
      <c r="J1869">
        <f>IF(OR($E1869="",$E1869="نامعتبر"),"",IF(Sync!$U1866="","",Sync!$U1866))</f>
        <v/>
      </c>
      <c r="K1869">
        <f>IF(OR($E1869="",$E1869="نامعتبر"),"",IF(Sync!$V1866="","",IFERROR(INDEX(SubCodes,MATCH(Sync!$V1866,SubTitles,0)),Sync!$V1866)))</f>
        <v/>
      </c>
      <c r="L1869">
        <f>IF(OR($E1869="",$E1869="نامعتبر"),"",IF(Sync!$W1866="",0,Sync!$W1866))</f>
        <v/>
      </c>
      <c r="M1869">
        <f>IF(OR($E1869="",$E1869="نامعتبر"),"",IF(Sync!$X1866="",0,Sync!$X1866))</f>
        <v/>
      </c>
      <c r="N1869">
        <f>IF(OR($E1869="",$E1869="نامعتبر"),"",IF(AND($J1869="هزینه",$K1869&lt;&gt;""),1,0))</f>
        <v/>
      </c>
      <c r="O1869">
        <f>IF($N1869=0,"",LEFT($E1869,4)&amp;MID($E1869,6,2)&amp;RIGHT($E1869,2)&amp;$F1869&amp;"|"&amp;"1"&amp;RIGHT("00000"&amp;1861,5))</f>
        <v/>
      </c>
      <c r="P1869">
        <f>IF($O1869="","",COUNTIFS(ExpSub,$K1869,ExpKey,"&lt;"&amp;$O1869)+1)</f>
        <v/>
      </c>
      <c r="Q1869">
        <f>IF($P1869="","",$K1869&amp;"|"&amp;RIGHT("000000"&amp;$P1869,6))</f>
        <v/>
      </c>
    </row>
    <row r="1870">
      <c r="A1870">
        <f>IF(Sync!$P1867="","",Sync!$P1867)</f>
        <v/>
      </c>
      <c r="B1870">
        <f>IF($A1870="","",IF(ISNUMBER($A1870),IF(AND($A1870&gt;=10000101,$A1870&lt;=99991231),INT($A1870/10000),""),IFERROR(VALUE(TRIM(LEFT($A1870,FIND("/",$A1870)-1))),"")))</f>
        <v/>
      </c>
      <c r="C1870">
        <f>IF(OR($A1870="",$B1870=""),"",IF(ISNUMBER($A1870),INT(MOD($A1870,10000)/100),IFERROR(VALUE(TRIM(LEFT(MID($A1870,FIND("/",$A1870)+1,20),FIND("/",MID($A1870,FIND("/",$A1870)+1,20))-1))),"")))</f>
        <v/>
      </c>
      <c r="D1870">
        <f>IF(OR($A1870="",$B1870=""),"",IF(ISNUMBER($A1870),MOD($A1870,100),IFERROR(VALUE(TRIM(MID(MID($A1870,FIND("/",$A1870)+1,20),FIND("/",MID($A1870,FIND("/",$A1870)+1,20))+1,20))),"")))</f>
        <v/>
      </c>
      <c r="E1870">
        <f>IF($A1870="","",IF(OR($B1870="",$C1870="",$D1870="",$B1870&lt;1300,$B1870&gt;1500,$C1870&lt;1,$C1870&gt;12,$D1870&lt;1,$D1870&gt;31),"نامعتبر",RIGHT("0000"&amp;$B1870,4)&amp;"/"&amp;RIGHT("00"&amp;$C1870,2)&amp;"/"&amp;RIGHT("00"&amp;$D1870,2)))</f>
        <v/>
      </c>
      <c r="F1870">
        <f>IF(OR($E1870="",$E1870="نامعتبر"),"",IF(Sync!$Q1867="","0000",IF(AND(ISNUMBER(Sync!$Q1867),Sync!$Q1867&gt;=0,Sync!$Q1867&lt;1),RIGHT("00"&amp;HOUR(Sync!$Q1867),2)&amp;RIGHT("00"&amp;MINUTE(Sync!$Q1867),2),IFERROR(RIGHT("00"&amp;VALUE(LEFT(Sync!$Q1867,FIND(":",Sync!$Q1867)-1)),2)&amp;RIGHT("00"&amp;VALUE(MID(Sync!$Q1867,FIND(":",Sync!$Q1867)+1,2)),2),"0000"))))</f>
        <v/>
      </c>
      <c r="G1870">
        <f>IF(OR($E1870="",$E1870="نامعتبر"),"",IF(Sync!$S1867="","",Sync!$S1867))</f>
        <v/>
      </c>
      <c r="H1870">
        <f>IF(OR($E1870="",$E1870="نامعتبر"),"",IF(Sync!$R1867="","",Sync!$R1867))</f>
        <v/>
      </c>
      <c r="I1870">
        <f>IF(OR($E1870="",$E1870="نامعتبر"),"",IF(Sync!$T1867="","",Sync!$T1867))</f>
        <v/>
      </c>
      <c r="J1870">
        <f>IF(OR($E1870="",$E1870="نامعتبر"),"",IF(Sync!$U1867="","",Sync!$U1867))</f>
        <v/>
      </c>
      <c r="K1870">
        <f>IF(OR($E1870="",$E1870="نامعتبر"),"",IF(Sync!$V1867="","",IFERROR(INDEX(SubCodes,MATCH(Sync!$V1867,SubTitles,0)),Sync!$V1867)))</f>
        <v/>
      </c>
      <c r="L1870">
        <f>IF(OR($E1870="",$E1870="نامعتبر"),"",IF(Sync!$W1867="",0,Sync!$W1867))</f>
        <v/>
      </c>
      <c r="M1870">
        <f>IF(OR($E1870="",$E1870="نامعتبر"),"",IF(Sync!$X1867="",0,Sync!$X1867))</f>
        <v/>
      </c>
      <c r="N1870">
        <f>IF(OR($E1870="",$E1870="نامعتبر"),"",IF(AND($J1870="هزینه",$K1870&lt;&gt;""),1,0))</f>
        <v/>
      </c>
      <c r="O1870">
        <f>IF($N1870=0,"",LEFT($E1870,4)&amp;MID($E1870,6,2)&amp;RIGHT($E1870,2)&amp;$F1870&amp;"|"&amp;"1"&amp;RIGHT("00000"&amp;1862,5))</f>
        <v/>
      </c>
      <c r="P1870">
        <f>IF($O1870="","",COUNTIFS(ExpSub,$K1870,ExpKey,"&lt;"&amp;$O1870)+1)</f>
        <v/>
      </c>
      <c r="Q1870">
        <f>IF($P1870="","",$K1870&amp;"|"&amp;RIGHT("000000"&amp;$P1870,6))</f>
        <v/>
      </c>
    </row>
    <row r="1871">
      <c r="A1871">
        <f>IF(Sync!$P1868="","",Sync!$P1868)</f>
        <v/>
      </c>
      <c r="B1871">
        <f>IF($A1871="","",IF(ISNUMBER($A1871),IF(AND($A1871&gt;=10000101,$A1871&lt;=99991231),INT($A1871/10000),""),IFERROR(VALUE(TRIM(LEFT($A1871,FIND("/",$A1871)-1))),"")))</f>
        <v/>
      </c>
      <c r="C1871">
        <f>IF(OR($A1871="",$B1871=""),"",IF(ISNUMBER($A1871),INT(MOD($A1871,10000)/100),IFERROR(VALUE(TRIM(LEFT(MID($A1871,FIND("/",$A1871)+1,20),FIND("/",MID($A1871,FIND("/",$A1871)+1,20))-1))),"")))</f>
        <v/>
      </c>
      <c r="D1871">
        <f>IF(OR($A1871="",$B1871=""),"",IF(ISNUMBER($A1871),MOD($A1871,100),IFERROR(VALUE(TRIM(MID(MID($A1871,FIND("/",$A1871)+1,20),FIND("/",MID($A1871,FIND("/",$A1871)+1,20))+1,20))),"")))</f>
        <v/>
      </c>
      <c r="E1871">
        <f>IF($A1871="","",IF(OR($B1871="",$C1871="",$D1871="",$B1871&lt;1300,$B1871&gt;1500,$C1871&lt;1,$C1871&gt;12,$D1871&lt;1,$D1871&gt;31),"نامعتبر",RIGHT("0000"&amp;$B1871,4)&amp;"/"&amp;RIGHT("00"&amp;$C1871,2)&amp;"/"&amp;RIGHT("00"&amp;$D1871,2)))</f>
        <v/>
      </c>
      <c r="F1871">
        <f>IF(OR($E1871="",$E1871="نامعتبر"),"",IF(Sync!$Q1868="","0000",IF(AND(ISNUMBER(Sync!$Q1868),Sync!$Q1868&gt;=0,Sync!$Q1868&lt;1),RIGHT("00"&amp;HOUR(Sync!$Q1868),2)&amp;RIGHT("00"&amp;MINUTE(Sync!$Q1868),2),IFERROR(RIGHT("00"&amp;VALUE(LEFT(Sync!$Q1868,FIND(":",Sync!$Q1868)-1)),2)&amp;RIGHT("00"&amp;VALUE(MID(Sync!$Q1868,FIND(":",Sync!$Q1868)+1,2)),2),"0000"))))</f>
        <v/>
      </c>
      <c r="G1871">
        <f>IF(OR($E1871="",$E1871="نامعتبر"),"",IF(Sync!$S1868="","",Sync!$S1868))</f>
        <v/>
      </c>
      <c r="H1871">
        <f>IF(OR($E1871="",$E1871="نامعتبر"),"",IF(Sync!$R1868="","",Sync!$R1868))</f>
        <v/>
      </c>
      <c r="I1871">
        <f>IF(OR($E1871="",$E1871="نامعتبر"),"",IF(Sync!$T1868="","",Sync!$T1868))</f>
        <v/>
      </c>
      <c r="J1871">
        <f>IF(OR($E1871="",$E1871="نامعتبر"),"",IF(Sync!$U1868="","",Sync!$U1868))</f>
        <v/>
      </c>
      <c r="K1871">
        <f>IF(OR($E1871="",$E1871="نامعتبر"),"",IF(Sync!$V1868="","",IFERROR(INDEX(SubCodes,MATCH(Sync!$V1868,SubTitles,0)),Sync!$V1868)))</f>
        <v/>
      </c>
      <c r="L1871">
        <f>IF(OR($E1871="",$E1871="نامعتبر"),"",IF(Sync!$W1868="",0,Sync!$W1868))</f>
        <v/>
      </c>
      <c r="M1871">
        <f>IF(OR($E1871="",$E1871="نامعتبر"),"",IF(Sync!$X1868="",0,Sync!$X1868))</f>
        <v/>
      </c>
      <c r="N1871">
        <f>IF(OR($E1871="",$E1871="نامعتبر"),"",IF(AND($J1871="هزینه",$K1871&lt;&gt;""),1,0))</f>
        <v/>
      </c>
      <c r="O1871">
        <f>IF($N1871=0,"",LEFT($E1871,4)&amp;MID($E1871,6,2)&amp;RIGHT($E1871,2)&amp;$F1871&amp;"|"&amp;"1"&amp;RIGHT("00000"&amp;1863,5))</f>
        <v/>
      </c>
      <c r="P1871">
        <f>IF($O1871="","",COUNTIFS(ExpSub,$K1871,ExpKey,"&lt;"&amp;$O1871)+1)</f>
        <v/>
      </c>
      <c r="Q1871">
        <f>IF($P1871="","",$K1871&amp;"|"&amp;RIGHT("000000"&amp;$P1871,6))</f>
        <v/>
      </c>
    </row>
    <row r="1872">
      <c r="A1872">
        <f>IF(Sync!$P1869="","",Sync!$P1869)</f>
        <v/>
      </c>
      <c r="B1872">
        <f>IF($A1872="","",IF(ISNUMBER($A1872),IF(AND($A1872&gt;=10000101,$A1872&lt;=99991231),INT($A1872/10000),""),IFERROR(VALUE(TRIM(LEFT($A1872,FIND("/",$A1872)-1))),"")))</f>
        <v/>
      </c>
      <c r="C1872">
        <f>IF(OR($A1872="",$B1872=""),"",IF(ISNUMBER($A1872),INT(MOD($A1872,10000)/100),IFERROR(VALUE(TRIM(LEFT(MID($A1872,FIND("/",$A1872)+1,20),FIND("/",MID($A1872,FIND("/",$A1872)+1,20))-1))),"")))</f>
        <v/>
      </c>
      <c r="D1872">
        <f>IF(OR($A1872="",$B1872=""),"",IF(ISNUMBER($A1872),MOD($A1872,100),IFERROR(VALUE(TRIM(MID(MID($A1872,FIND("/",$A1872)+1,20),FIND("/",MID($A1872,FIND("/",$A1872)+1,20))+1,20))),"")))</f>
        <v/>
      </c>
      <c r="E1872">
        <f>IF($A1872="","",IF(OR($B1872="",$C1872="",$D1872="",$B1872&lt;1300,$B1872&gt;1500,$C1872&lt;1,$C1872&gt;12,$D1872&lt;1,$D1872&gt;31),"نامعتبر",RIGHT("0000"&amp;$B1872,4)&amp;"/"&amp;RIGHT("00"&amp;$C1872,2)&amp;"/"&amp;RIGHT("00"&amp;$D1872,2)))</f>
        <v/>
      </c>
      <c r="F1872">
        <f>IF(OR($E1872="",$E1872="نامعتبر"),"",IF(Sync!$Q1869="","0000",IF(AND(ISNUMBER(Sync!$Q1869),Sync!$Q1869&gt;=0,Sync!$Q1869&lt;1),RIGHT("00"&amp;HOUR(Sync!$Q1869),2)&amp;RIGHT("00"&amp;MINUTE(Sync!$Q1869),2),IFERROR(RIGHT("00"&amp;VALUE(LEFT(Sync!$Q1869,FIND(":",Sync!$Q1869)-1)),2)&amp;RIGHT("00"&amp;VALUE(MID(Sync!$Q1869,FIND(":",Sync!$Q1869)+1,2)),2),"0000"))))</f>
        <v/>
      </c>
      <c r="G1872">
        <f>IF(OR($E1872="",$E1872="نامعتبر"),"",IF(Sync!$S1869="","",Sync!$S1869))</f>
        <v/>
      </c>
      <c r="H1872">
        <f>IF(OR($E1872="",$E1872="نامعتبر"),"",IF(Sync!$R1869="","",Sync!$R1869))</f>
        <v/>
      </c>
      <c r="I1872">
        <f>IF(OR($E1872="",$E1872="نامعتبر"),"",IF(Sync!$T1869="","",Sync!$T1869))</f>
        <v/>
      </c>
      <c r="J1872">
        <f>IF(OR($E1872="",$E1872="نامعتبر"),"",IF(Sync!$U1869="","",Sync!$U1869))</f>
        <v/>
      </c>
      <c r="K1872">
        <f>IF(OR($E1872="",$E1872="نامعتبر"),"",IF(Sync!$V1869="","",IFERROR(INDEX(SubCodes,MATCH(Sync!$V1869,SubTitles,0)),Sync!$V1869)))</f>
        <v/>
      </c>
      <c r="L1872">
        <f>IF(OR($E1872="",$E1872="نامعتبر"),"",IF(Sync!$W1869="",0,Sync!$W1869))</f>
        <v/>
      </c>
      <c r="M1872">
        <f>IF(OR($E1872="",$E1872="نامعتبر"),"",IF(Sync!$X1869="",0,Sync!$X1869))</f>
        <v/>
      </c>
      <c r="N1872">
        <f>IF(OR($E1872="",$E1872="نامعتبر"),"",IF(AND($J1872="هزینه",$K1872&lt;&gt;""),1,0))</f>
        <v/>
      </c>
      <c r="O1872">
        <f>IF($N1872=0,"",LEFT($E1872,4)&amp;MID($E1872,6,2)&amp;RIGHT($E1872,2)&amp;$F1872&amp;"|"&amp;"1"&amp;RIGHT("00000"&amp;1864,5))</f>
        <v/>
      </c>
      <c r="P1872">
        <f>IF($O1872="","",COUNTIFS(ExpSub,$K1872,ExpKey,"&lt;"&amp;$O1872)+1)</f>
        <v/>
      </c>
      <c r="Q1872">
        <f>IF($P1872="","",$K1872&amp;"|"&amp;RIGHT("000000"&amp;$P1872,6))</f>
        <v/>
      </c>
    </row>
    <row r="1873">
      <c r="A1873">
        <f>IF(Sync!$P1870="","",Sync!$P1870)</f>
        <v/>
      </c>
      <c r="B1873">
        <f>IF($A1873="","",IF(ISNUMBER($A1873),IF(AND($A1873&gt;=10000101,$A1873&lt;=99991231),INT($A1873/10000),""),IFERROR(VALUE(TRIM(LEFT($A1873,FIND("/",$A1873)-1))),"")))</f>
        <v/>
      </c>
      <c r="C1873">
        <f>IF(OR($A1873="",$B1873=""),"",IF(ISNUMBER($A1873),INT(MOD($A1873,10000)/100),IFERROR(VALUE(TRIM(LEFT(MID($A1873,FIND("/",$A1873)+1,20),FIND("/",MID($A1873,FIND("/",$A1873)+1,20))-1))),"")))</f>
        <v/>
      </c>
      <c r="D1873">
        <f>IF(OR($A1873="",$B1873=""),"",IF(ISNUMBER($A1873),MOD($A1873,100),IFERROR(VALUE(TRIM(MID(MID($A1873,FIND("/",$A1873)+1,20),FIND("/",MID($A1873,FIND("/",$A1873)+1,20))+1,20))),"")))</f>
        <v/>
      </c>
      <c r="E1873">
        <f>IF($A1873="","",IF(OR($B1873="",$C1873="",$D1873="",$B1873&lt;1300,$B1873&gt;1500,$C1873&lt;1,$C1873&gt;12,$D1873&lt;1,$D1873&gt;31),"نامعتبر",RIGHT("0000"&amp;$B1873,4)&amp;"/"&amp;RIGHT("00"&amp;$C1873,2)&amp;"/"&amp;RIGHT("00"&amp;$D1873,2)))</f>
        <v/>
      </c>
      <c r="F1873">
        <f>IF(OR($E1873="",$E1873="نامعتبر"),"",IF(Sync!$Q1870="","0000",IF(AND(ISNUMBER(Sync!$Q1870),Sync!$Q1870&gt;=0,Sync!$Q1870&lt;1),RIGHT("00"&amp;HOUR(Sync!$Q1870),2)&amp;RIGHT("00"&amp;MINUTE(Sync!$Q1870),2),IFERROR(RIGHT("00"&amp;VALUE(LEFT(Sync!$Q1870,FIND(":",Sync!$Q1870)-1)),2)&amp;RIGHT("00"&amp;VALUE(MID(Sync!$Q1870,FIND(":",Sync!$Q1870)+1,2)),2),"0000"))))</f>
        <v/>
      </c>
      <c r="G1873">
        <f>IF(OR($E1873="",$E1873="نامعتبر"),"",IF(Sync!$S1870="","",Sync!$S1870))</f>
        <v/>
      </c>
      <c r="H1873">
        <f>IF(OR($E1873="",$E1873="نامعتبر"),"",IF(Sync!$R1870="","",Sync!$R1870))</f>
        <v/>
      </c>
      <c r="I1873">
        <f>IF(OR($E1873="",$E1873="نامعتبر"),"",IF(Sync!$T1870="","",Sync!$T1870))</f>
        <v/>
      </c>
      <c r="J1873">
        <f>IF(OR($E1873="",$E1873="نامعتبر"),"",IF(Sync!$U1870="","",Sync!$U1870))</f>
        <v/>
      </c>
      <c r="K1873">
        <f>IF(OR($E1873="",$E1873="نامعتبر"),"",IF(Sync!$V1870="","",IFERROR(INDEX(SubCodes,MATCH(Sync!$V1870,SubTitles,0)),Sync!$V1870)))</f>
        <v/>
      </c>
      <c r="L1873">
        <f>IF(OR($E1873="",$E1873="نامعتبر"),"",IF(Sync!$W1870="",0,Sync!$W1870))</f>
        <v/>
      </c>
      <c r="M1873">
        <f>IF(OR($E1873="",$E1873="نامعتبر"),"",IF(Sync!$X1870="",0,Sync!$X1870))</f>
        <v/>
      </c>
      <c r="N1873">
        <f>IF(OR($E1873="",$E1873="نامعتبر"),"",IF(AND($J1873="هزینه",$K1873&lt;&gt;""),1,0))</f>
        <v/>
      </c>
      <c r="O1873">
        <f>IF($N1873=0,"",LEFT($E1873,4)&amp;MID($E1873,6,2)&amp;RIGHT($E1873,2)&amp;$F1873&amp;"|"&amp;"1"&amp;RIGHT("00000"&amp;1865,5))</f>
        <v/>
      </c>
      <c r="P1873">
        <f>IF($O1873="","",COUNTIFS(ExpSub,$K1873,ExpKey,"&lt;"&amp;$O1873)+1)</f>
        <v/>
      </c>
      <c r="Q1873">
        <f>IF($P1873="","",$K1873&amp;"|"&amp;RIGHT("000000"&amp;$P1873,6))</f>
        <v/>
      </c>
    </row>
    <row r="1874">
      <c r="A1874">
        <f>IF(Sync!$P1871="","",Sync!$P1871)</f>
        <v/>
      </c>
      <c r="B1874">
        <f>IF($A1874="","",IF(ISNUMBER($A1874),IF(AND($A1874&gt;=10000101,$A1874&lt;=99991231),INT($A1874/10000),""),IFERROR(VALUE(TRIM(LEFT($A1874,FIND("/",$A1874)-1))),"")))</f>
        <v/>
      </c>
      <c r="C1874">
        <f>IF(OR($A1874="",$B1874=""),"",IF(ISNUMBER($A1874),INT(MOD($A1874,10000)/100),IFERROR(VALUE(TRIM(LEFT(MID($A1874,FIND("/",$A1874)+1,20),FIND("/",MID($A1874,FIND("/",$A1874)+1,20))-1))),"")))</f>
        <v/>
      </c>
      <c r="D1874">
        <f>IF(OR($A1874="",$B1874=""),"",IF(ISNUMBER($A1874),MOD($A1874,100),IFERROR(VALUE(TRIM(MID(MID($A1874,FIND("/",$A1874)+1,20),FIND("/",MID($A1874,FIND("/",$A1874)+1,20))+1,20))),"")))</f>
        <v/>
      </c>
      <c r="E1874">
        <f>IF($A1874="","",IF(OR($B1874="",$C1874="",$D1874="",$B1874&lt;1300,$B1874&gt;1500,$C1874&lt;1,$C1874&gt;12,$D1874&lt;1,$D1874&gt;31),"نامعتبر",RIGHT("0000"&amp;$B1874,4)&amp;"/"&amp;RIGHT("00"&amp;$C1874,2)&amp;"/"&amp;RIGHT("00"&amp;$D1874,2)))</f>
        <v/>
      </c>
      <c r="F1874">
        <f>IF(OR($E1874="",$E1874="نامعتبر"),"",IF(Sync!$Q1871="","0000",IF(AND(ISNUMBER(Sync!$Q1871),Sync!$Q1871&gt;=0,Sync!$Q1871&lt;1),RIGHT("00"&amp;HOUR(Sync!$Q1871),2)&amp;RIGHT("00"&amp;MINUTE(Sync!$Q1871),2),IFERROR(RIGHT("00"&amp;VALUE(LEFT(Sync!$Q1871,FIND(":",Sync!$Q1871)-1)),2)&amp;RIGHT("00"&amp;VALUE(MID(Sync!$Q1871,FIND(":",Sync!$Q1871)+1,2)),2),"0000"))))</f>
        <v/>
      </c>
      <c r="G1874">
        <f>IF(OR($E1874="",$E1874="نامعتبر"),"",IF(Sync!$S1871="","",Sync!$S1871))</f>
        <v/>
      </c>
      <c r="H1874">
        <f>IF(OR($E1874="",$E1874="نامعتبر"),"",IF(Sync!$R1871="","",Sync!$R1871))</f>
        <v/>
      </c>
      <c r="I1874">
        <f>IF(OR($E1874="",$E1874="نامعتبر"),"",IF(Sync!$T1871="","",Sync!$T1871))</f>
        <v/>
      </c>
      <c r="J1874">
        <f>IF(OR($E1874="",$E1874="نامعتبر"),"",IF(Sync!$U1871="","",Sync!$U1871))</f>
        <v/>
      </c>
      <c r="K1874">
        <f>IF(OR($E1874="",$E1874="نامعتبر"),"",IF(Sync!$V1871="","",IFERROR(INDEX(SubCodes,MATCH(Sync!$V1871,SubTitles,0)),Sync!$V1871)))</f>
        <v/>
      </c>
      <c r="L1874">
        <f>IF(OR($E1874="",$E1874="نامعتبر"),"",IF(Sync!$W1871="",0,Sync!$W1871))</f>
        <v/>
      </c>
      <c r="M1874">
        <f>IF(OR($E1874="",$E1874="نامعتبر"),"",IF(Sync!$X1871="",0,Sync!$X1871))</f>
        <v/>
      </c>
      <c r="N1874">
        <f>IF(OR($E1874="",$E1874="نامعتبر"),"",IF(AND($J1874="هزینه",$K1874&lt;&gt;""),1,0))</f>
        <v/>
      </c>
      <c r="O1874">
        <f>IF($N1874=0,"",LEFT($E1874,4)&amp;MID($E1874,6,2)&amp;RIGHT($E1874,2)&amp;$F1874&amp;"|"&amp;"1"&amp;RIGHT("00000"&amp;1866,5))</f>
        <v/>
      </c>
      <c r="P1874">
        <f>IF($O1874="","",COUNTIFS(ExpSub,$K1874,ExpKey,"&lt;"&amp;$O1874)+1)</f>
        <v/>
      </c>
      <c r="Q1874">
        <f>IF($P1874="","",$K1874&amp;"|"&amp;RIGHT("000000"&amp;$P1874,6))</f>
        <v/>
      </c>
    </row>
    <row r="1875">
      <c r="A1875">
        <f>IF(Sync!$P1872="","",Sync!$P1872)</f>
        <v/>
      </c>
      <c r="B1875">
        <f>IF($A1875="","",IF(ISNUMBER($A1875),IF(AND($A1875&gt;=10000101,$A1875&lt;=99991231),INT($A1875/10000),""),IFERROR(VALUE(TRIM(LEFT($A1875,FIND("/",$A1875)-1))),"")))</f>
        <v/>
      </c>
      <c r="C1875">
        <f>IF(OR($A1875="",$B1875=""),"",IF(ISNUMBER($A1875),INT(MOD($A1875,10000)/100),IFERROR(VALUE(TRIM(LEFT(MID($A1875,FIND("/",$A1875)+1,20),FIND("/",MID($A1875,FIND("/",$A1875)+1,20))-1))),"")))</f>
        <v/>
      </c>
      <c r="D1875">
        <f>IF(OR($A1875="",$B1875=""),"",IF(ISNUMBER($A1875),MOD($A1875,100),IFERROR(VALUE(TRIM(MID(MID($A1875,FIND("/",$A1875)+1,20),FIND("/",MID($A1875,FIND("/",$A1875)+1,20))+1,20))),"")))</f>
        <v/>
      </c>
      <c r="E1875">
        <f>IF($A1875="","",IF(OR($B1875="",$C1875="",$D1875="",$B1875&lt;1300,$B1875&gt;1500,$C1875&lt;1,$C1875&gt;12,$D1875&lt;1,$D1875&gt;31),"نامعتبر",RIGHT("0000"&amp;$B1875,4)&amp;"/"&amp;RIGHT("00"&amp;$C1875,2)&amp;"/"&amp;RIGHT("00"&amp;$D1875,2)))</f>
        <v/>
      </c>
      <c r="F1875">
        <f>IF(OR($E1875="",$E1875="نامعتبر"),"",IF(Sync!$Q1872="","0000",IF(AND(ISNUMBER(Sync!$Q1872),Sync!$Q1872&gt;=0,Sync!$Q1872&lt;1),RIGHT("00"&amp;HOUR(Sync!$Q1872),2)&amp;RIGHT("00"&amp;MINUTE(Sync!$Q1872),2),IFERROR(RIGHT("00"&amp;VALUE(LEFT(Sync!$Q1872,FIND(":",Sync!$Q1872)-1)),2)&amp;RIGHT("00"&amp;VALUE(MID(Sync!$Q1872,FIND(":",Sync!$Q1872)+1,2)),2),"0000"))))</f>
        <v/>
      </c>
      <c r="G1875">
        <f>IF(OR($E1875="",$E1875="نامعتبر"),"",IF(Sync!$S1872="","",Sync!$S1872))</f>
        <v/>
      </c>
      <c r="H1875">
        <f>IF(OR($E1875="",$E1875="نامعتبر"),"",IF(Sync!$R1872="","",Sync!$R1872))</f>
        <v/>
      </c>
      <c r="I1875">
        <f>IF(OR($E1875="",$E1875="نامعتبر"),"",IF(Sync!$T1872="","",Sync!$T1872))</f>
        <v/>
      </c>
      <c r="J1875">
        <f>IF(OR($E1875="",$E1875="نامعتبر"),"",IF(Sync!$U1872="","",Sync!$U1872))</f>
        <v/>
      </c>
      <c r="K1875">
        <f>IF(OR($E1875="",$E1875="نامعتبر"),"",IF(Sync!$V1872="","",IFERROR(INDEX(SubCodes,MATCH(Sync!$V1872,SubTitles,0)),Sync!$V1872)))</f>
        <v/>
      </c>
      <c r="L1875">
        <f>IF(OR($E1875="",$E1875="نامعتبر"),"",IF(Sync!$W1872="",0,Sync!$W1872))</f>
        <v/>
      </c>
      <c r="M1875">
        <f>IF(OR($E1875="",$E1875="نامعتبر"),"",IF(Sync!$X1872="",0,Sync!$X1872))</f>
        <v/>
      </c>
      <c r="N1875">
        <f>IF(OR($E1875="",$E1875="نامعتبر"),"",IF(AND($J1875="هزینه",$K1875&lt;&gt;""),1,0))</f>
        <v/>
      </c>
      <c r="O1875">
        <f>IF($N1875=0,"",LEFT($E1875,4)&amp;MID($E1875,6,2)&amp;RIGHT($E1875,2)&amp;$F1875&amp;"|"&amp;"1"&amp;RIGHT("00000"&amp;1867,5))</f>
        <v/>
      </c>
      <c r="P1875">
        <f>IF($O1875="","",COUNTIFS(ExpSub,$K1875,ExpKey,"&lt;"&amp;$O1875)+1)</f>
        <v/>
      </c>
      <c r="Q1875">
        <f>IF($P1875="","",$K1875&amp;"|"&amp;RIGHT("000000"&amp;$P1875,6))</f>
        <v/>
      </c>
    </row>
    <row r="1876">
      <c r="A1876">
        <f>IF(Sync!$P1873="","",Sync!$P1873)</f>
        <v/>
      </c>
      <c r="B1876">
        <f>IF($A1876="","",IF(ISNUMBER($A1876),IF(AND($A1876&gt;=10000101,$A1876&lt;=99991231),INT($A1876/10000),""),IFERROR(VALUE(TRIM(LEFT($A1876,FIND("/",$A1876)-1))),"")))</f>
        <v/>
      </c>
      <c r="C1876">
        <f>IF(OR($A1876="",$B1876=""),"",IF(ISNUMBER($A1876),INT(MOD($A1876,10000)/100),IFERROR(VALUE(TRIM(LEFT(MID($A1876,FIND("/",$A1876)+1,20),FIND("/",MID($A1876,FIND("/",$A1876)+1,20))-1))),"")))</f>
        <v/>
      </c>
      <c r="D1876">
        <f>IF(OR($A1876="",$B1876=""),"",IF(ISNUMBER($A1876),MOD($A1876,100),IFERROR(VALUE(TRIM(MID(MID($A1876,FIND("/",$A1876)+1,20),FIND("/",MID($A1876,FIND("/",$A1876)+1,20))+1,20))),"")))</f>
        <v/>
      </c>
      <c r="E1876">
        <f>IF($A1876="","",IF(OR($B1876="",$C1876="",$D1876="",$B1876&lt;1300,$B1876&gt;1500,$C1876&lt;1,$C1876&gt;12,$D1876&lt;1,$D1876&gt;31),"نامعتبر",RIGHT("0000"&amp;$B1876,4)&amp;"/"&amp;RIGHT("00"&amp;$C1876,2)&amp;"/"&amp;RIGHT("00"&amp;$D1876,2)))</f>
        <v/>
      </c>
      <c r="F1876">
        <f>IF(OR($E1876="",$E1876="نامعتبر"),"",IF(Sync!$Q1873="","0000",IF(AND(ISNUMBER(Sync!$Q1873),Sync!$Q1873&gt;=0,Sync!$Q1873&lt;1),RIGHT("00"&amp;HOUR(Sync!$Q1873),2)&amp;RIGHT("00"&amp;MINUTE(Sync!$Q1873),2),IFERROR(RIGHT("00"&amp;VALUE(LEFT(Sync!$Q1873,FIND(":",Sync!$Q1873)-1)),2)&amp;RIGHT("00"&amp;VALUE(MID(Sync!$Q1873,FIND(":",Sync!$Q1873)+1,2)),2),"0000"))))</f>
        <v/>
      </c>
      <c r="G1876">
        <f>IF(OR($E1876="",$E1876="نامعتبر"),"",IF(Sync!$S1873="","",Sync!$S1873))</f>
        <v/>
      </c>
      <c r="H1876">
        <f>IF(OR($E1876="",$E1876="نامعتبر"),"",IF(Sync!$R1873="","",Sync!$R1873))</f>
        <v/>
      </c>
      <c r="I1876">
        <f>IF(OR($E1876="",$E1876="نامعتبر"),"",IF(Sync!$T1873="","",Sync!$T1873))</f>
        <v/>
      </c>
      <c r="J1876">
        <f>IF(OR($E1876="",$E1876="نامعتبر"),"",IF(Sync!$U1873="","",Sync!$U1873))</f>
        <v/>
      </c>
      <c r="K1876">
        <f>IF(OR($E1876="",$E1876="نامعتبر"),"",IF(Sync!$V1873="","",IFERROR(INDEX(SubCodes,MATCH(Sync!$V1873,SubTitles,0)),Sync!$V1873)))</f>
        <v/>
      </c>
      <c r="L1876">
        <f>IF(OR($E1876="",$E1876="نامعتبر"),"",IF(Sync!$W1873="",0,Sync!$W1873))</f>
        <v/>
      </c>
      <c r="M1876">
        <f>IF(OR($E1876="",$E1876="نامعتبر"),"",IF(Sync!$X1873="",0,Sync!$X1873))</f>
        <v/>
      </c>
      <c r="N1876">
        <f>IF(OR($E1876="",$E1876="نامعتبر"),"",IF(AND($J1876="هزینه",$K1876&lt;&gt;""),1,0))</f>
        <v/>
      </c>
      <c r="O1876">
        <f>IF($N1876=0,"",LEFT($E1876,4)&amp;MID($E1876,6,2)&amp;RIGHT($E1876,2)&amp;$F1876&amp;"|"&amp;"1"&amp;RIGHT("00000"&amp;1868,5))</f>
        <v/>
      </c>
      <c r="P1876">
        <f>IF($O1876="","",COUNTIFS(ExpSub,$K1876,ExpKey,"&lt;"&amp;$O1876)+1)</f>
        <v/>
      </c>
      <c r="Q1876">
        <f>IF($P1876="","",$K1876&amp;"|"&amp;RIGHT("000000"&amp;$P1876,6))</f>
        <v/>
      </c>
    </row>
    <row r="1877">
      <c r="A1877">
        <f>IF(Sync!$P1874="","",Sync!$P1874)</f>
        <v/>
      </c>
      <c r="B1877">
        <f>IF($A1877="","",IF(ISNUMBER($A1877),IF(AND($A1877&gt;=10000101,$A1877&lt;=99991231),INT($A1877/10000),""),IFERROR(VALUE(TRIM(LEFT($A1877,FIND("/",$A1877)-1))),"")))</f>
        <v/>
      </c>
      <c r="C1877">
        <f>IF(OR($A1877="",$B1877=""),"",IF(ISNUMBER($A1877),INT(MOD($A1877,10000)/100),IFERROR(VALUE(TRIM(LEFT(MID($A1877,FIND("/",$A1877)+1,20),FIND("/",MID($A1877,FIND("/",$A1877)+1,20))-1))),"")))</f>
        <v/>
      </c>
      <c r="D1877">
        <f>IF(OR($A1877="",$B1877=""),"",IF(ISNUMBER($A1877),MOD($A1877,100),IFERROR(VALUE(TRIM(MID(MID($A1877,FIND("/",$A1877)+1,20),FIND("/",MID($A1877,FIND("/",$A1877)+1,20))+1,20))),"")))</f>
        <v/>
      </c>
      <c r="E1877">
        <f>IF($A1877="","",IF(OR($B1877="",$C1877="",$D1877="",$B1877&lt;1300,$B1877&gt;1500,$C1877&lt;1,$C1877&gt;12,$D1877&lt;1,$D1877&gt;31),"نامعتبر",RIGHT("0000"&amp;$B1877,4)&amp;"/"&amp;RIGHT("00"&amp;$C1877,2)&amp;"/"&amp;RIGHT("00"&amp;$D1877,2)))</f>
        <v/>
      </c>
      <c r="F1877">
        <f>IF(OR($E1877="",$E1877="نامعتبر"),"",IF(Sync!$Q1874="","0000",IF(AND(ISNUMBER(Sync!$Q1874),Sync!$Q1874&gt;=0,Sync!$Q1874&lt;1),RIGHT("00"&amp;HOUR(Sync!$Q1874),2)&amp;RIGHT("00"&amp;MINUTE(Sync!$Q1874),2),IFERROR(RIGHT("00"&amp;VALUE(LEFT(Sync!$Q1874,FIND(":",Sync!$Q1874)-1)),2)&amp;RIGHT("00"&amp;VALUE(MID(Sync!$Q1874,FIND(":",Sync!$Q1874)+1,2)),2),"0000"))))</f>
        <v/>
      </c>
      <c r="G1877">
        <f>IF(OR($E1877="",$E1877="نامعتبر"),"",IF(Sync!$S1874="","",Sync!$S1874))</f>
        <v/>
      </c>
      <c r="H1877">
        <f>IF(OR($E1877="",$E1877="نامعتبر"),"",IF(Sync!$R1874="","",Sync!$R1874))</f>
        <v/>
      </c>
      <c r="I1877">
        <f>IF(OR($E1877="",$E1877="نامعتبر"),"",IF(Sync!$T1874="","",Sync!$T1874))</f>
        <v/>
      </c>
      <c r="J1877">
        <f>IF(OR($E1877="",$E1877="نامعتبر"),"",IF(Sync!$U1874="","",Sync!$U1874))</f>
        <v/>
      </c>
      <c r="K1877">
        <f>IF(OR($E1877="",$E1877="نامعتبر"),"",IF(Sync!$V1874="","",IFERROR(INDEX(SubCodes,MATCH(Sync!$V1874,SubTitles,0)),Sync!$V1874)))</f>
        <v/>
      </c>
      <c r="L1877">
        <f>IF(OR($E1877="",$E1877="نامعتبر"),"",IF(Sync!$W1874="",0,Sync!$W1874))</f>
        <v/>
      </c>
      <c r="M1877">
        <f>IF(OR($E1877="",$E1877="نامعتبر"),"",IF(Sync!$X1874="",0,Sync!$X1874))</f>
        <v/>
      </c>
      <c r="N1877">
        <f>IF(OR($E1877="",$E1877="نامعتبر"),"",IF(AND($J1877="هزینه",$K1877&lt;&gt;""),1,0))</f>
        <v/>
      </c>
      <c r="O1877">
        <f>IF($N1877=0,"",LEFT($E1877,4)&amp;MID($E1877,6,2)&amp;RIGHT($E1877,2)&amp;$F1877&amp;"|"&amp;"1"&amp;RIGHT("00000"&amp;1869,5))</f>
        <v/>
      </c>
      <c r="P1877">
        <f>IF($O1877="","",COUNTIFS(ExpSub,$K1877,ExpKey,"&lt;"&amp;$O1877)+1)</f>
        <v/>
      </c>
      <c r="Q1877">
        <f>IF($P1877="","",$K1877&amp;"|"&amp;RIGHT("000000"&amp;$P1877,6))</f>
        <v/>
      </c>
    </row>
    <row r="1878">
      <c r="A1878">
        <f>IF(Sync!$P1875="","",Sync!$P1875)</f>
        <v/>
      </c>
      <c r="B1878">
        <f>IF($A1878="","",IF(ISNUMBER($A1878),IF(AND($A1878&gt;=10000101,$A1878&lt;=99991231),INT($A1878/10000),""),IFERROR(VALUE(TRIM(LEFT($A1878,FIND("/",$A1878)-1))),"")))</f>
        <v/>
      </c>
      <c r="C1878">
        <f>IF(OR($A1878="",$B1878=""),"",IF(ISNUMBER($A1878),INT(MOD($A1878,10000)/100),IFERROR(VALUE(TRIM(LEFT(MID($A1878,FIND("/",$A1878)+1,20),FIND("/",MID($A1878,FIND("/",$A1878)+1,20))-1))),"")))</f>
        <v/>
      </c>
      <c r="D1878">
        <f>IF(OR($A1878="",$B1878=""),"",IF(ISNUMBER($A1878),MOD($A1878,100),IFERROR(VALUE(TRIM(MID(MID($A1878,FIND("/",$A1878)+1,20),FIND("/",MID($A1878,FIND("/",$A1878)+1,20))+1,20))),"")))</f>
        <v/>
      </c>
      <c r="E1878">
        <f>IF($A1878="","",IF(OR($B1878="",$C1878="",$D1878="",$B1878&lt;1300,$B1878&gt;1500,$C1878&lt;1,$C1878&gt;12,$D1878&lt;1,$D1878&gt;31),"نامعتبر",RIGHT("0000"&amp;$B1878,4)&amp;"/"&amp;RIGHT("00"&amp;$C1878,2)&amp;"/"&amp;RIGHT("00"&amp;$D1878,2)))</f>
        <v/>
      </c>
      <c r="F1878">
        <f>IF(OR($E1878="",$E1878="نامعتبر"),"",IF(Sync!$Q1875="","0000",IF(AND(ISNUMBER(Sync!$Q1875),Sync!$Q1875&gt;=0,Sync!$Q1875&lt;1),RIGHT("00"&amp;HOUR(Sync!$Q1875),2)&amp;RIGHT("00"&amp;MINUTE(Sync!$Q1875),2),IFERROR(RIGHT("00"&amp;VALUE(LEFT(Sync!$Q1875,FIND(":",Sync!$Q1875)-1)),2)&amp;RIGHT("00"&amp;VALUE(MID(Sync!$Q1875,FIND(":",Sync!$Q1875)+1,2)),2),"0000"))))</f>
        <v/>
      </c>
      <c r="G1878">
        <f>IF(OR($E1878="",$E1878="نامعتبر"),"",IF(Sync!$S1875="","",Sync!$S1875))</f>
        <v/>
      </c>
      <c r="H1878">
        <f>IF(OR($E1878="",$E1878="نامعتبر"),"",IF(Sync!$R1875="","",Sync!$R1875))</f>
        <v/>
      </c>
      <c r="I1878">
        <f>IF(OR($E1878="",$E1878="نامعتبر"),"",IF(Sync!$T1875="","",Sync!$T1875))</f>
        <v/>
      </c>
      <c r="J1878">
        <f>IF(OR($E1878="",$E1878="نامعتبر"),"",IF(Sync!$U1875="","",Sync!$U1875))</f>
        <v/>
      </c>
      <c r="K1878">
        <f>IF(OR($E1878="",$E1878="نامعتبر"),"",IF(Sync!$V1875="","",IFERROR(INDEX(SubCodes,MATCH(Sync!$V1875,SubTitles,0)),Sync!$V1875)))</f>
        <v/>
      </c>
      <c r="L1878">
        <f>IF(OR($E1878="",$E1878="نامعتبر"),"",IF(Sync!$W1875="",0,Sync!$W1875))</f>
        <v/>
      </c>
      <c r="M1878">
        <f>IF(OR($E1878="",$E1878="نامعتبر"),"",IF(Sync!$X1875="",0,Sync!$X1875))</f>
        <v/>
      </c>
      <c r="N1878">
        <f>IF(OR($E1878="",$E1878="نامعتبر"),"",IF(AND($J1878="هزینه",$K1878&lt;&gt;""),1,0))</f>
        <v/>
      </c>
      <c r="O1878">
        <f>IF($N1878=0,"",LEFT($E1878,4)&amp;MID($E1878,6,2)&amp;RIGHT($E1878,2)&amp;$F1878&amp;"|"&amp;"1"&amp;RIGHT("00000"&amp;1870,5))</f>
        <v/>
      </c>
      <c r="P1878">
        <f>IF($O1878="","",COUNTIFS(ExpSub,$K1878,ExpKey,"&lt;"&amp;$O1878)+1)</f>
        <v/>
      </c>
      <c r="Q1878">
        <f>IF($P1878="","",$K1878&amp;"|"&amp;RIGHT("000000"&amp;$P1878,6))</f>
        <v/>
      </c>
    </row>
    <row r="1879">
      <c r="A1879">
        <f>IF(Sync!$P1876="","",Sync!$P1876)</f>
        <v/>
      </c>
      <c r="B1879">
        <f>IF($A1879="","",IF(ISNUMBER($A1879),IF(AND($A1879&gt;=10000101,$A1879&lt;=99991231),INT($A1879/10000),""),IFERROR(VALUE(TRIM(LEFT($A1879,FIND("/",$A1879)-1))),"")))</f>
        <v/>
      </c>
      <c r="C1879">
        <f>IF(OR($A1879="",$B1879=""),"",IF(ISNUMBER($A1879),INT(MOD($A1879,10000)/100),IFERROR(VALUE(TRIM(LEFT(MID($A1879,FIND("/",$A1879)+1,20),FIND("/",MID($A1879,FIND("/",$A1879)+1,20))-1))),"")))</f>
        <v/>
      </c>
      <c r="D1879">
        <f>IF(OR($A1879="",$B1879=""),"",IF(ISNUMBER($A1879),MOD($A1879,100),IFERROR(VALUE(TRIM(MID(MID($A1879,FIND("/",$A1879)+1,20),FIND("/",MID($A1879,FIND("/",$A1879)+1,20))+1,20))),"")))</f>
        <v/>
      </c>
      <c r="E1879">
        <f>IF($A1879="","",IF(OR($B1879="",$C1879="",$D1879="",$B1879&lt;1300,$B1879&gt;1500,$C1879&lt;1,$C1879&gt;12,$D1879&lt;1,$D1879&gt;31),"نامعتبر",RIGHT("0000"&amp;$B1879,4)&amp;"/"&amp;RIGHT("00"&amp;$C1879,2)&amp;"/"&amp;RIGHT("00"&amp;$D1879,2)))</f>
        <v/>
      </c>
      <c r="F1879">
        <f>IF(OR($E1879="",$E1879="نامعتبر"),"",IF(Sync!$Q1876="","0000",IF(AND(ISNUMBER(Sync!$Q1876),Sync!$Q1876&gt;=0,Sync!$Q1876&lt;1),RIGHT("00"&amp;HOUR(Sync!$Q1876),2)&amp;RIGHT("00"&amp;MINUTE(Sync!$Q1876),2),IFERROR(RIGHT("00"&amp;VALUE(LEFT(Sync!$Q1876,FIND(":",Sync!$Q1876)-1)),2)&amp;RIGHT("00"&amp;VALUE(MID(Sync!$Q1876,FIND(":",Sync!$Q1876)+1,2)),2),"0000"))))</f>
        <v/>
      </c>
      <c r="G1879">
        <f>IF(OR($E1879="",$E1879="نامعتبر"),"",IF(Sync!$S1876="","",Sync!$S1876))</f>
        <v/>
      </c>
      <c r="H1879">
        <f>IF(OR($E1879="",$E1879="نامعتبر"),"",IF(Sync!$R1876="","",Sync!$R1876))</f>
        <v/>
      </c>
      <c r="I1879">
        <f>IF(OR($E1879="",$E1879="نامعتبر"),"",IF(Sync!$T1876="","",Sync!$T1876))</f>
        <v/>
      </c>
      <c r="J1879">
        <f>IF(OR($E1879="",$E1879="نامعتبر"),"",IF(Sync!$U1876="","",Sync!$U1876))</f>
        <v/>
      </c>
      <c r="K1879">
        <f>IF(OR($E1879="",$E1879="نامعتبر"),"",IF(Sync!$V1876="","",IFERROR(INDEX(SubCodes,MATCH(Sync!$V1876,SubTitles,0)),Sync!$V1876)))</f>
        <v/>
      </c>
      <c r="L1879">
        <f>IF(OR($E1879="",$E1879="نامعتبر"),"",IF(Sync!$W1876="",0,Sync!$W1876))</f>
        <v/>
      </c>
      <c r="M1879">
        <f>IF(OR($E1879="",$E1879="نامعتبر"),"",IF(Sync!$X1876="",0,Sync!$X1876))</f>
        <v/>
      </c>
      <c r="N1879">
        <f>IF(OR($E1879="",$E1879="نامعتبر"),"",IF(AND($J1879="هزینه",$K1879&lt;&gt;""),1,0))</f>
        <v/>
      </c>
      <c r="O1879">
        <f>IF($N1879=0,"",LEFT($E1879,4)&amp;MID($E1879,6,2)&amp;RIGHT($E1879,2)&amp;$F1879&amp;"|"&amp;"1"&amp;RIGHT("00000"&amp;1871,5))</f>
        <v/>
      </c>
      <c r="P1879">
        <f>IF($O1879="","",COUNTIFS(ExpSub,$K1879,ExpKey,"&lt;"&amp;$O1879)+1)</f>
        <v/>
      </c>
      <c r="Q1879">
        <f>IF($P1879="","",$K1879&amp;"|"&amp;RIGHT("000000"&amp;$P1879,6))</f>
        <v/>
      </c>
    </row>
    <row r="1880">
      <c r="A1880">
        <f>IF(Sync!$P1877="","",Sync!$P1877)</f>
        <v/>
      </c>
      <c r="B1880">
        <f>IF($A1880="","",IF(ISNUMBER($A1880),IF(AND($A1880&gt;=10000101,$A1880&lt;=99991231),INT($A1880/10000),""),IFERROR(VALUE(TRIM(LEFT($A1880,FIND("/",$A1880)-1))),"")))</f>
        <v/>
      </c>
      <c r="C1880">
        <f>IF(OR($A1880="",$B1880=""),"",IF(ISNUMBER($A1880),INT(MOD($A1880,10000)/100),IFERROR(VALUE(TRIM(LEFT(MID($A1880,FIND("/",$A1880)+1,20),FIND("/",MID($A1880,FIND("/",$A1880)+1,20))-1))),"")))</f>
        <v/>
      </c>
      <c r="D1880">
        <f>IF(OR($A1880="",$B1880=""),"",IF(ISNUMBER($A1880),MOD($A1880,100),IFERROR(VALUE(TRIM(MID(MID($A1880,FIND("/",$A1880)+1,20),FIND("/",MID($A1880,FIND("/",$A1880)+1,20))+1,20))),"")))</f>
        <v/>
      </c>
      <c r="E1880">
        <f>IF($A1880="","",IF(OR($B1880="",$C1880="",$D1880="",$B1880&lt;1300,$B1880&gt;1500,$C1880&lt;1,$C1880&gt;12,$D1880&lt;1,$D1880&gt;31),"نامعتبر",RIGHT("0000"&amp;$B1880,4)&amp;"/"&amp;RIGHT("00"&amp;$C1880,2)&amp;"/"&amp;RIGHT("00"&amp;$D1880,2)))</f>
        <v/>
      </c>
      <c r="F1880">
        <f>IF(OR($E1880="",$E1880="نامعتبر"),"",IF(Sync!$Q1877="","0000",IF(AND(ISNUMBER(Sync!$Q1877),Sync!$Q1877&gt;=0,Sync!$Q1877&lt;1),RIGHT("00"&amp;HOUR(Sync!$Q1877),2)&amp;RIGHT("00"&amp;MINUTE(Sync!$Q1877),2),IFERROR(RIGHT("00"&amp;VALUE(LEFT(Sync!$Q1877,FIND(":",Sync!$Q1877)-1)),2)&amp;RIGHT("00"&amp;VALUE(MID(Sync!$Q1877,FIND(":",Sync!$Q1877)+1,2)),2),"0000"))))</f>
        <v/>
      </c>
      <c r="G1880">
        <f>IF(OR($E1880="",$E1880="نامعتبر"),"",IF(Sync!$S1877="","",Sync!$S1877))</f>
        <v/>
      </c>
      <c r="H1880">
        <f>IF(OR($E1880="",$E1880="نامعتبر"),"",IF(Sync!$R1877="","",Sync!$R1877))</f>
        <v/>
      </c>
      <c r="I1880">
        <f>IF(OR($E1880="",$E1880="نامعتبر"),"",IF(Sync!$T1877="","",Sync!$T1877))</f>
        <v/>
      </c>
      <c r="J1880">
        <f>IF(OR($E1880="",$E1880="نامعتبر"),"",IF(Sync!$U1877="","",Sync!$U1877))</f>
        <v/>
      </c>
      <c r="K1880">
        <f>IF(OR($E1880="",$E1880="نامعتبر"),"",IF(Sync!$V1877="","",IFERROR(INDEX(SubCodes,MATCH(Sync!$V1877,SubTitles,0)),Sync!$V1877)))</f>
        <v/>
      </c>
      <c r="L1880">
        <f>IF(OR($E1880="",$E1880="نامعتبر"),"",IF(Sync!$W1877="",0,Sync!$W1877))</f>
        <v/>
      </c>
      <c r="M1880">
        <f>IF(OR($E1880="",$E1880="نامعتبر"),"",IF(Sync!$X1877="",0,Sync!$X1877))</f>
        <v/>
      </c>
      <c r="N1880">
        <f>IF(OR($E1880="",$E1880="نامعتبر"),"",IF(AND($J1880="هزینه",$K1880&lt;&gt;""),1,0))</f>
        <v/>
      </c>
      <c r="O1880">
        <f>IF($N1880=0,"",LEFT($E1880,4)&amp;MID($E1880,6,2)&amp;RIGHT($E1880,2)&amp;$F1880&amp;"|"&amp;"1"&amp;RIGHT("00000"&amp;1872,5))</f>
        <v/>
      </c>
      <c r="P1880">
        <f>IF($O1880="","",COUNTIFS(ExpSub,$K1880,ExpKey,"&lt;"&amp;$O1880)+1)</f>
        <v/>
      </c>
      <c r="Q1880">
        <f>IF($P1880="","",$K1880&amp;"|"&amp;RIGHT("000000"&amp;$P1880,6))</f>
        <v/>
      </c>
    </row>
    <row r="1881">
      <c r="A1881">
        <f>IF(Sync!$P1878="","",Sync!$P1878)</f>
        <v/>
      </c>
      <c r="B1881">
        <f>IF($A1881="","",IF(ISNUMBER($A1881),IF(AND($A1881&gt;=10000101,$A1881&lt;=99991231),INT($A1881/10000),""),IFERROR(VALUE(TRIM(LEFT($A1881,FIND("/",$A1881)-1))),"")))</f>
        <v/>
      </c>
      <c r="C1881">
        <f>IF(OR($A1881="",$B1881=""),"",IF(ISNUMBER($A1881),INT(MOD($A1881,10000)/100),IFERROR(VALUE(TRIM(LEFT(MID($A1881,FIND("/",$A1881)+1,20),FIND("/",MID($A1881,FIND("/",$A1881)+1,20))-1))),"")))</f>
        <v/>
      </c>
      <c r="D1881">
        <f>IF(OR($A1881="",$B1881=""),"",IF(ISNUMBER($A1881),MOD($A1881,100),IFERROR(VALUE(TRIM(MID(MID($A1881,FIND("/",$A1881)+1,20),FIND("/",MID($A1881,FIND("/",$A1881)+1,20))+1,20))),"")))</f>
        <v/>
      </c>
      <c r="E1881">
        <f>IF($A1881="","",IF(OR($B1881="",$C1881="",$D1881="",$B1881&lt;1300,$B1881&gt;1500,$C1881&lt;1,$C1881&gt;12,$D1881&lt;1,$D1881&gt;31),"نامعتبر",RIGHT("0000"&amp;$B1881,4)&amp;"/"&amp;RIGHT("00"&amp;$C1881,2)&amp;"/"&amp;RIGHT("00"&amp;$D1881,2)))</f>
        <v/>
      </c>
      <c r="F1881">
        <f>IF(OR($E1881="",$E1881="نامعتبر"),"",IF(Sync!$Q1878="","0000",IF(AND(ISNUMBER(Sync!$Q1878),Sync!$Q1878&gt;=0,Sync!$Q1878&lt;1),RIGHT("00"&amp;HOUR(Sync!$Q1878),2)&amp;RIGHT("00"&amp;MINUTE(Sync!$Q1878),2),IFERROR(RIGHT("00"&amp;VALUE(LEFT(Sync!$Q1878,FIND(":",Sync!$Q1878)-1)),2)&amp;RIGHT("00"&amp;VALUE(MID(Sync!$Q1878,FIND(":",Sync!$Q1878)+1,2)),2),"0000"))))</f>
        <v/>
      </c>
      <c r="G1881">
        <f>IF(OR($E1881="",$E1881="نامعتبر"),"",IF(Sync!$S1878="","",Sync!$S1878))</f>
        <v/>
      </c>
      <c r="H1881">
        <f>IF(OR($E1881="",$E1881="نامعتبر"),"",IF(Sync!$R1878="","",Sync!$R1878))</f>
        <v/>
      </c>
      <c r="I1881">
        <f>IF(OR($E1881="",$E1881="نامعتبر"),"",IF(Sync!$T1878="","",Sync!$T1878))</f>
        <v/>
      </c>
      <c r="J1881">
        <f>IF(OR($E1881="",$E1881="نامعتبر"),"",IF(Sync!$U1878="","",Sync!$U1878))</f>
        <v/>
      </c>
      <c r="K1881">
        <f>IF(OR($E1881="",$E1881="نامعتبر"),"",IF(Sync!$V1878="","",IFERROR(INDEX(SubCodes,MATCH(Sync!$V1878,SubTitles,0)),Sync!$V1878)))</f>
        <v/>
      </c>
      <c r="L1881">
        <f>IF(OR($E1881="",$E1881="نامعتبر"),"",IF(Sync!$W1878="",0,Sync!$W1878))</f>
        <v/>
      </c>
      <c r="M1881">
        <f>IF(OR($E1881="",$E1881="نامعتبر"),"",IF(Sync!$X1878="",0,Sync!$X1878))</f>
        <v/>
      </c>
      <c r="N1881">
        <f>IF(OR($E1881="",$E1881="نامعتبر"),"",IF(AND($J1881="هزینه",$K1881&lt;&gt;""),1,0))</f>
        <v/>
      </c>
      <c r="O1881">
        <f>IF($N1881=0,"",LEFT($E1881,4)&amp;MID($E1881,6,2)&amp;RIGHT($E1881,2)&amp;$F1881&amp;"|"&amp;"1"&amp;RIGHT("00000"&amp;1873,5))</f>
        <v/>
      </c>
      <c r="P1881">
        <f>IF($O1881="","",COUNTIFS(ExpSub,$K1881,ExpKey,"&lt;"&amp;$O1881)+1)</f>
        <v/>
      </c>
      <c r="Q1881">
        <f>IF($P1881="","",$K1881&amp;"|"&amp;RIGHT("000000"&amp;$P1881,6))</f>
        <v/>
      </c>
    </row>
    <row r="1882">
      <c r="A1882">
        <f>IF(Sync!$P1879="","",Sync!$P1879)</f>
        <v/>
      </c>
      <c r="B1882">
        <f>IF($A1882="","",IF(ISNUMBER($A1882),IF(AND($A1882&gt;=10000101,$A1882&lt;=99991231),INT($A1882/10000),""),IFERROR(VALUE(TRIM(LEFT($A1882,FIND("/",$A1882)-1))),"")))</f>
        <v/>
      </c>
      <c r="C1882">
        <f>IF(OR($A1882="",$B1882=""),"",IF(ISNUMBER($A1882),INT(MOD($A1882,10000)/100),IFERROR(VALUE(TRIM(LEFT(MID($A1882,FIND("/",$A1882)+1,20),FIND("/",MID($A1882,FIND("/",$A1882)+1,20))-1))),"")))</f>
        <v/>
      </c>
      <c r="D1882">
        <f>IF(OR($A1882="",$B1882=""),"",IF(ISNUMBER($A1882),MOD($A1882,100),IFERROR(VALUE(TRIM(MID(MID($A1882,FIND("/",$A1882)+1,20),FIND("/",MID($A1882,FIND("/",$A1882)+1,20))+1,20))),"")))</f>
        <v/>
      </c>
      <c r="E1882">
        <f>IF($A1882="","",IF(OR($B1882="",$C1882="",$D1882="",$B1882&lt;1300,$B1882&gt;1500,$C1882&lt;1,$C1882&gt;12,$D1882&lt;1,$D1882&gt;31),"نامعتبر",RIGHT("0000"&amp;$B1882,4)&amp;"/"&amp;RIGHT("00"&amp;$C1882,2)&amp;"/"&amp;RIGHT("00"&amp;$D1882,2)))</f>
        <v/>
      </c>
      <c r="F1882">
        <f>IF(OR($E1882="",$E1882="نامعتبر"),"",IF(Sync!$Q1879="","0000",IF(AND(ISNUMBER(Sync!$Q1879),Sync!$Q1879&gt;=0,Sync!$Q1879&lt;1),RIGHT("00"&amp;HOUR(Sync!$Q1879),2)&amp;RIGHT("00"&amp;MINUTE(Sync!$Q1879),2),IFERROR(RIGHT("00"&amp;VALUE(LEFT(Sync!$Q1879,FIND(":",Sync!$Q1879)-1)),2)&amp;RIGHT("00"&amp;VALUE(MID(Sync!$Q1879,FIND(":",Sync!$Q1879)+1,2)),2),"0000"))))</f>
        <v/>
      </c>
      <c r="G1882">
        <f>IF(OR($E1882="",$E1882="نامعتبر"),"",IF(Sync!$S1879="","",Sync!$S1879))</f>
        <v/>
      </c>
      <c r="H1882">
        <f>IF(OR($E1882="",$E1882="نامعتبر"),"",IF(Sync!$R1879="","",Sync!$R1879))</f>
        <v/>
      </c>
      <c r="I1882">
        <f>IF(OR($E1882="",$E1882="نامعتبر"),"",IF(Sync!$T1879="","",Sync!$T1879))</f>
        <v/>
      </c>
      <c r="J1882">
        <f>IF(OR($E1882="",$E1882="نامعتبر"),"",IF(Sync!$U1879="","",Sync!$U1879))</f>
        <v/>
      </c>
      <c r="K1882">
        <f>IF(OR($E1882="",$E1882="نامعتبر"),"",IF(Sync!$V1879="","",IFERROR(INDEX(SubCodes,MATCH(Sync!$V1879,SubTitles,0)),Sync!$V1879)))</f>
        <v/>
      </c>
      <c r="L1882">
        <f>IF(OR($E1882="",$E1882="نامعتبر"),"",IF(Sync!$W1879="",0,Sync!$W1879))</f>
        <v/>
      </c>
      <c r="M1882">
        <f>IF(OR($E1882="",$E1882="نامعتبر"),"",IF(Sync!$X1879="",0,Sync!$X1879))</f>
        <v/>
      </c>
      <c r="N1882">
        <f>IF(OR($E1882="",$E1882="نامعتبر"),"",IF(AND($J1882="هزینه",$K1882&lt;&gt;""),1,0))</f>
        <v/>
      </c>
      <c r="O1882">
        <f>IF($N1882=0,"",LEFT($E1882,4)&amp;MID($E1882,6,2)&amp;RIGHT($E1882,2)&amp;$F1882&amp;"|"&amp;"1"&amp;RIGHT("00000"&amp;1874,5))</f>
        <v/>
      </c>
      <c r="P1882">
        <f>IF($O1882="","",COUNTIFS(ExpSub,$K1882,ExpKey,"&lt;"&amp;$O1882)+1)</f>
        <v/>
      </c>
      <c r="Q1882">
        <f>IF($P1882="","",$K1882&amp;"|"&amp;RIGHT("000000"&amp;$P1882,6))</f>
        <v/>
      </c>
    </row>
    <row r="1883">
      <c r="A1883">
        <f>IF(Sync!$P1880="","",Sync!$P1880)</f>
        <v/>
      </c>
      <c r="B1883">
        <f>IF($A1883="","",IF(ISNUMBER($A1883),IF(AND($A1883&gt;=10000101,$A1883&lt;=99991231),INT($A1883/10000),""),IFERROR(VALUE(TRIM(LEFT($A1883,FIND("/",$A1883)-1))),"")))</f>
        <v/>
      </c>
      <c r="C1883">
        <f>IF(OR($A1883="",$B1883=""),"",IF(ISNUMBER($A1883),INT(MOD($A1883,10000)/100),IFERROR(VALUE(TRIM(LEFT(MID($A1883,FIND("/",$A1883)+1,20),FIND("/",MID($A1883,FIND("/",$A1883)+1,20))-1))),"")))</f>
        <v/>
      </c>
      <c r="D1883">
        <f>IF(OR($A1883="",$B1883=""),"",IF(ISNUMBER($A1883),MOD($A1883,100),IFERROR(VALUE(TRIM(MID(MID($A1883,FIND("/",$A1883)+1,20),FIND("/",MID($A1883,FIND("/",$A1883)+1,20))+1,20))),"")))</f>
        <v/>
      </c>
      <c r="E1883">
        <f>IF($A1883="","",IF(OR($B1883="",$C1883="",$D1883="",$B1883&lt;1300,$B1883&gt;1500,$C1883&lt;1,$C1883&gt;12,$D1883&lt;1,$D1883&gt;31),"نامعتبر",RIGHT("0000"&amp;$B1883,4)&amp;"/"&amp;RIGHT("00"&amp;$C1883,2)&amp;"/"&amp;RIGHT("00"&amp;$D1883,2)))</f>
        <v/>
      </c>
      <c r="F1883">
        <f>IF(OR($E1883="",$E1883="نامعتبر"),"",IF(Sync!$Q1880="","0000",IF(AND(ISNUMBER(Sync!$Q1880),Sync!$Q1880&gt;=0,Sync!$Q1880&lt;1),RIGHT("00"&amp;HOUR(Sync!$Q1880),2)&amp;RIGHT("00"&amp;MINUTE(Sync!$Q1880),2),IFERROR(RIGHT("00"&amp;VALUE(LEFT(Sync!$Q1880,FIND(":",Sync!$Q1880)-1)),2)&amp;RIGHT("00"&amp;VALUE(MID(Sync!$Q1880,FIND(":",Sync!$Q1880)+1,2)),2),"0000"))))</f>
        <v/>
      </c>
      <c r="G1883">
        <f>IF(OR($E1883="",$E1883="نامعتبر"),"",IF(Sync!$S1880="","",Sync!$S1880))</f>
        <v/>
      </c>
      <c r="H1883">
        <f>IF(OR($E1883="",$E1883="نامعتبر"),"",IF(Sync!$R1880="","",Sync!$R1880))</f>
        <v/>
      </c>
      <c r="I1883">
        <f>IF(OR($E1883="",$E1883="نامعتبر"),"",IF(Sync!$T1880="","",Sync!$T1880))</f>
        <v/>
      </c>
      <c r="J1883">
        <f>IF(OR($E1883="",$E1883="نامعتبر"),"",IF(Sync!$U1880="","",Sync!$U1880))</f>
        <v/>
      </c>
      <c r="K1883">
        <f>IF(OR($E1883="",$E1883="نامعتبر"),"",IF(Sync!$V1880="","",IFERROR(INDEX(SubCodes,MATCH(Sync!$V1880,SubTitles,0)),Sync!$V1880)))</f>
        <v/>
      </c>
      <c r="L1883">
        <f>IF(OR($E1883="",$E1883="نامعتبر"),"",IF(Sync!$W1880="",0,Sync!$W1880))</f>
        <v/>
      </c>
      <c r="M1883">
        <f>IF(OR($E1883="",$E1883="نامعتبر"),"",IF(Sync!$X1880="",0,Sync!$X1880))</f>
        <v/>
      </c>
      <c r="N1883">
        <f>IF(OR($E1883="",$E1883="نامعتبر"),"",IF(AND($J1883="هزینه",$K1883&lt;&gt;""),1,0))</f>
        <v/>
      </c>
      <c r="O1883">
        <f>IF($N1883=0,"",LEFT($E1883,4)&amp;MID($E1883,6,2)&amp;RIGHT($E1883,2)&amp;$F1883&amp;"|"&amp;"1"&amp;RIGHT("00000"&amp;1875,5))</f>
        <v/>
      </c>
      <c r="P1883">
        <f>IF($O1883="","",COUNTIFS(ExpSub,$K1883,ExpKey,"&lt;"&amp;$O1883)+1)</f>
        <v/>
      </c>
      <c r="Q1883">
        <f>IF($P1883="","",$K1883&amp;"|"&amp;RIGHT("000000"&amp;$P1883,6))</f>
        <v/>
      </c>
    </row>
    <row r="1884">
      <c r="A1884">
        <f>IF(Sync!$P1881="","",Sync!$P1881)</f>
        <v/>
      </c>
      <c r="B1884">
        <f>IF($A1884="","",IF(ISNUMBER($A1884),IF(AND($A1884&gt;=10000101,$A1884&lt;=99991231),INT($A1884/10000),""),IFERROR(VALUE(TRIM(LEFT($A1884,FIND("/",$A1884)-1))),"")))</f>
        <v/>
      </c>
      <c r="C1884">
        <f>IF(OR($A1884="",$B1884=""),"",IF(ISNUMBER($A1884),INT(MOD($A1884,10000)/100),IFERROR(VALUE(TRIM(LEFT(MID($A1884,FIND("/",$A1884)+1,20),FIND("/",MID($A1884,FIND("/",$A1884)+1,20))-1))),"")))</f>
        <v/>
      </c>
      <c r="D1884">
        <f>IF(OR($A1884="",$B1884=""),"",IF(ISNUMBER($A1884),MOD($A1884,100),IFERROR(VALUE(TRIM(MID(MID($A1884,FIND("/",$A1884)+1,20),FIND("/",MID($A1884,FIND("/",$A1884)+1,20))+1,20))),"")))</f>
        <v/>
      </c>
      <c r="E1884">
        <f>IF($A1884="","",IF(OR($B1884="",$C1884="",$D1884="",$B1884&lt;1300,$B1884&gt;1500,$C1884&lt;1,$C1884&gt;12,$D1884&lt;1,$D1884&gt;31),"نامعتبر",RIGHT("0000"&amp;$B1884,4)&amp;"/"&amp;RIGHT("00"&amp;$C1884,2)&amp;"/"&amp;RIGHT("00"&amp;$D1884,2)))</f>
        <v/>
      </c>
      <c r="F1884">
        <f>IF(OR($E1884="",$E1884="نامعتبر"),"",IF(Sync!$Q1881="","0000",IF(AND(ISNUMBER(Sync!$Q1881),Sync!$Q1881&gt;=0,Sync!$Q1881&lt;1),RIGHT("00"&amp;HOUR(Sync!$Q1881),2)&amp;RIGHT("00"&amp;MINUTE(Sync!$Q1881),2),IFERROR(RIGHT("00"&amp;VALUE(LEFT(Sync!$Q1881,FIND(":",Sync!$Q1881)-1)),2)&amp;RIGHT("00"&amp;VALUE(MID(Sync!$Q1881,FIND(":",Sync!$Q1881)+1,2)),2),"0000"))))</f>
        <v/>
      </c>
      <c r="G1884">
        <f>IF(OR($E1884="",$E1884="نامعتبر"),"",IF(Sync!$S1881="","",Sync!$S1881))</f>
        <v/>
      </c>
      <c r="H1884">
        <f>IF(OR($E1884="",$E1884="نامعتبر"),"",IF(Sync!$R1881="","",Sync!$R1881))</f>
        <v/>
      </c>
      <c r="I1884">
        <f>IF(OR($E1884="",$E1884="نامعتبر"),"",IF(Sync!$T1881="","",Sync!$T1881))</f>
        <v/>
      </c>
      <c r="J1884">
        <f>IF(OR($E1884="",$E1884="نامعتبر"),"",IF(Sync!$U1881="","",Sync!$U1881))</f>
        <v/>
      </c>
      <c r="K1884">
        <f>IF(OR($E1884="",$E1884="نامعتبر"),"",IF(Sync!$V1881="","",IFERROR(INDEX(SubCodes,MATCH(Sync!$V1881,SubTitles,0)),Sync!$V1881)))</f>
        <v/>
      </c>
      <c r="L1884">
        <f>IF(OR($E1884="",$E1884="نامعتبر"),"",IF(Sync!$W1881="",0,Sync!$W1881))</f>
        <v/>
      </c>
      <c r="M1884">
        <f>IF(OR($E1884="",$E1884="نامعتبر"),"",IF(Sync!$X1881="",0,Sync!$X1881))</f>
        <v/>
      </c>
      <c r="N1884">
        <f>IF(OR($E1884="",$E1884="نامعتبر"),"",IF(AND($J1884="هزینه",$K1884&lt;&gt;""),1,0))</f>
        <v/>
      </c>
      <c r="O1884">
        <f>IF($N1884=0,"",LEFT($E1884,4)&amp;MID($E1884,6,2)&amp;RIGHT($E1884,2)&amp;$F1884&amp;"|"&amp;"1"&amp;RIGHT("00000"&amp;1876,5))</f>
        <v/>
      </c>
      <c r="P1884">
        <f>IF($O1884="","",COUNTIFS(ExpSub,$K1884,ExpKey,"&lt;"&amp;$O1884)+1)</f>
        <v/>
      </c>
      <c r="Q1884">
        <f>IF($P1884="","",$K1884&amp;"|"&amp;RIGHT("000000"&amp;$P1884,6))</f>
        <v/>
      </c>
    </row>
    <row r="1885">
      <c r="A1885">
        <f>IF(Sync!$P1882="","",Sync!$P1882)</f>
        <v/>
      </c>
      <c r="B1885">
        <f>IF($A1885="","",IF(ISNUMBER($A1885),IF(AND($A1885&gt;=10000101,$A1885&lt;=99991231),INT($A1885/10000),""),IFERROR(VALUE(TRIM(LEFT($A1885,FIND("/",$A1885)-1))),"")))</f>
        <v/>
      </c>
      <c r="C1885">
        <f>IF(OR($A1885="",$B1885=""),"",IF(ISNUMBER($A1885),INT(MOD($A1885,10000)/100),IFERROR(VALUE(TRIM(LEFT(MID($A1885,FIND("/",$A1885)+1,20),FIND("/",MID($A1885,FIND("/",$A1885)+1,20))-1))),"")))</f>
        <v/>
      </c>
      <c r="D1885">
        <f>IF(OR($A1885="",$B1885=""),"",IF(ISNUMBER($A1885),MOD($A1885,100),IFERROR(VALUE(TRIM(MID(MID($A1885,FIND("/",$A1885)+1,20),FIND("/",MID($A1885,FIND("/",$A1885)+1,20))+1,20))),"")))</f>
        <v/>
      </c>
      <c r="E1885">
        <f>IF($A1885="","",IF(OR($B1885="",$C1885="",$D1885="",$B1885&lt;1300,$B1885&gt;1500,$C1885&lt;1,$C1885&gt;12,$D1885&lt;1,$D1885&gt;31),"نامعتبر",RIGHT("0000"&amp;$B1885,4)&amp;"/"&amp;RIGHT("00"&amp;$C1885,2)&amp;"/"&amp;RIGHT("00"&amp;$D1885,2)))</f>
        <v/>
      </c>
      <c r="F1885">
        <f>IF(OR($E1885="",$E1885="نامعتبر"),"",IF(Sync!$Q1882="","0000",IF(AND(ISNUMBER(Sync!$Q1882),Sync!$Q1882&gt;=0,Sync!$Q1882&lt;1),RIGHT("00"&amp;HOUR(Sync!$Q1882),2)&amp;RIGHT("00"&amp;MINUTE(Sync!$Q1882),2),IFERROR(RIGHT("00"&amp;VALUE(LEFT(Sync!$Q1882,FIND(":",Sync!$Q1882)-1)),2)&amp;RIGHT("00"&amp;VALUE(MID(Sync!$Q1882,FIND(":",Sync!$Q1882)+1,2)),2),"0000"))))</f>
        <v/>
      </c>
      <c r="G1885">
        <f>IF(OR($E1885="",$E1885="نامعتبر"),"",IF(Sync!$S1882="","",Sync!$S1882))</f>
        <v/>
      </c>
      <c r="H1885">
        <f>IF(OR($E1885="",$E1885="نامعتبر"),"",IF(Sync!$R1882="","",Sync!$R1882))</f>
        <v/>
      </c>
      <c r="I1885">
        <f>IF(OR($E1885="",$E1885="نامعتبر"),"",IF(Sync!$T1882="","",Sync!$T1882))</f>
        <v/>
      </c>
      <c r="J1885">
        <f>IF(OR($E1885="",$E1885="نامعتبر"),"",IF(Sync!$U1882="","",Sync!$U1882))</f>
        <v/>
      </c>
      <c r="K1885">
        <f>IF(OR($E1885="",$E1885="نامعتبر"),"",IF(Sync!$V1882="","",IFERROR(INDEX(SubCodes,MATCH(Sync!$V1882,SubTitles,0)),Sync!$V1882)))</f>
        <v/>
      </c>
      <c r="L1885">
        <f>IF(OR($E1885="",$E1885="نامعتبر"),"",IF(Sync!$W1882="",0,Sync!$W1882))</f>
        <v/>
      </c>
      <c r="M1885">
        <f>IF(OR($E1885="",$E1885="نامعتبر"),"",IF(Sync!$X1882="",0,Sync!$X1882))</f>
        <v/>
      </c>
      <c r="N1885">
        <f>IF(OR($E1885="",$E1885="نامعتبر"),"",IF(AND($J1885="هزینه",$K1885&lt;&gt;""),1,0))</f>
        <v/>
      </c>
      <c r="O1885">
        <f>IF($N1885=0,"",LEFT($E1885,4)&amp;MID($E1885,6,2)&amp;RIGHT($E1885,2)&amp;$F1885&amp;"|"&amp;"1"&amp;RIGHT("00000"&amp;1877,5))</f>
        <v/>
      </c>
      <c r="P1885">
        <f>IF($O1885="","",COUNTIFS(ExpSub,$K1885,ExpKey,"&lt;"&amp;$O1885)+1)</f>
        <v/>
      </c>
      <c r="Q1885">
        <f>IF($P1885="","",$K1885&amp;"|"&amp;RIGHT("000000"&amp;$P1885,6))</f>
        <v/>
      </c>
    </row>
    <row r="1886">
      <c r="A1886">
        <f>IF(Sync!$P1883="","",Sync!$P1883)</f>
        <v/>
      </c>
      <c r="B1886">
        <f>IF($A1886="","",IF(ISNUMBER($A1886),IF(AND($A1886&gt;=10000101,$A1886&lt;=99991231),INT($A1886/10000),""),IFERROR(VALUE(TRIM(LEFT($A1886,FIND("/",$A1886)-1))),"")))</f>
        <v/>
      </c>
      <c r="C1886">
        <f>IF(OR($A1886="",$B1886=""),"",IF(ISNUMBER($A1886),INT(MOD($A1886,10000)/100),IFERROR(VALUE(TRIM(LEFT(MID($A1886,FIND("/",$A1886)+1,20),FIND("/",MID($A1886,FIND("/",$A1886)+1,20))-1))),"")))</f>
        <v/>
      </c>
      <c r="D1886">
        <f>IF(OR($A1886="",$B1886=""),"",IF(ISNUMBER($A1886),MOD($A1886,100),IFERROR(VALUE(TRIM(MID(MID($A1886,FIND("/",$A1886)+1,20),FIND("/",MID($A1886,FIND("/",$A1886)+1,20))+1,20))),"")))</f>
        <v/>
      </c>
      <c r="E1886">
        <f>IF($A1886="","",IF(OR($B1886="",$C1886="",$D1886="",$B1886&lt;1300,$B1886&gt;1500,$C1886&lt;1,$C1886&gt;12,$D1886&lt;1,$D1886&gt;31),"نامعتبر",RIGHT("0000"&amp;$B1886,4)&amp;"/"&amp;RIGHT("00"&amp;$C1886,2)&amp;"/"&amp;RIGHT("00"&amp;$D1886,2)))</f>
        <v/>
      </c>
      <c r="F1886">
        <f>IF(OR($E1886="",$E1886="نامعتبر"),"",IF(Sync!$Q1883="","0000",IF(AND(ISNUMBER(Sync!$Q1883),Sync!$Q1883&gt;=0,Sync!$Q1883&lt;1),RIGHT("00"&amp;HOUR(Sync!$Q1883),2)&amp;RIGHT("00"&amp;MINUTE(Sync!$Q1883),2),IFERROR(RIGHT("00"&amp;VALUE(LEFT(Sync!$Q1883,FIND(":",Sync!$Q1883)-1)),2)&amp;RIGHT("00"&amp;VALUE(MID(Sync!$Q1883,FIND(":",Sync!$Q1883)+1,2)),2),"0000"))))</f>
        <v/>
      </c>
      <c r="G1886">
        <f>IF(OR($E1886="",$E1886="نامعتبر"),"",IF(Sync!$S1883="","",Sync!$S1883))</f>
        <v/>
      </c>
      <c r="H1886">
        <f>IF(OR($E1886="",$E1886="نامعتبر"),"",IF(Sync!$R1883="","",Sync!$R1883))</f>
        <v/>
      </c>
      <c r="I1886">
        <f>IF(OR($E1886="",$E1886="نامعتبر"),"",IF(Sync!$T1883="","",Sync!$T1883))</f>
        <v/>
      </c>
      <c r="J1886">
        <f>IF(OR($E1886="",$E1886="نامعتبر"),"",IF(Sync!$U1883="","",Sync!$U1883))</f>
        <v/>
      </c>
      <c r="K1886">
        <f>IF(OR($E1886="",$E1886="نامعتبر"),"",IF(Sync!$V1883="","",IFERROR(INDEX(SubCodes,MATCH(Sync!$V1883,SubTitles,0)),Sync!$V1883)))</f>
        <v/>
      </c>
      <c r="L1886">
        <f>IF(OR($E1886="",$E1886="نامعتبر"),"",IF(Sync!$W1883="",0,Sync!$W1883))</f>
        <v/>
      </c>
      <c r="M1886">
        <f>IF(OR($E1886="",$E1886="نامعتبر"),"",IF(Sync!$X1883="",0,Sync!$X1883))</f>
        <v/>
      </c>
      <c r="N1886">
        <f>IF(OR($E1886="",$E1886="نامعتبر"),"",IF(AND($J1886="هزینه",$K1886&lt;&gt;""),1,0))</f>
        <v/>
      </c>
      <c r="O1886">
        <f>IF($N1886=0,"",LEFT($E1886,4)&amp;MID($E1886,6,2)&amp;RIGHT($E1886,2)&amp;$F1886&amp;"|"&amp;"1"&amp;RIGHT("00000"&amp;1878,5))</f>
        <v/>
      </c>
      <c r="P1886">
        <f>IF($O1886="","",COUNTIFS(ExpSub,$K1886,ExpKey,"&lt;"&amp;$O1886)+1)</f>
        <v/>
      </c>
      <c r="Q1886">
        <f>IF($P1886="","",$K1886&amp;"|"&amp;RIGHT("000000"&amp;$P1886,6))</f>
        <v/>
      </c>
    </row>
    <row r="1887">
      <c r="A1887">
        <f>IF(Sync!$P1884="","",Sync!$P1884)</f>
        <v/>
      </c>
      <c r="B1887">
        <f>IF($A1887="","",IF(ISNUMBER($A1887),IF(AND($A1887&gt;=10000101,$A1887&lt;=99991231),INT($A1887/10000),""),IFERROR(VALUE(TRIM(LEFT($A1887,FIND("/",$A1887)-1))),"")))</f>
        <v/>
      </c>
      <c r="C1887">
        <f>IF(OR($A1887="",$B1887=""),"",IF(ISNUMBER($A1887),INT(MOD($A1887,10000)/100),IFERROR(VALUE(TRIM(LEFT(MID($A1887,FIND("/",$A1887)+1,20),FIND("/",MID($A1887,FIND("/",$A1887)+1,20))-1))),"")))</f>
        <v/>
      </c>
      <c r="D1887">
        <f>IF(OR($A1887="",$B1887=""),"",IF(ISNUMBER($A1887),MOD($A1887,100),IFERROR(VALUE(TRIM(MID(MID($A1887,FIND("/",$A1887)+1,20),FIND("/",MID($A1887,FIND("/",$A1887)+1,20))+1,20))),"")))</f>
        <v/>
      </c>
      <c r="E1887">
        <f>IF($A1887="","",IF(OR($B1887="",$C1887="",$D1887="",$B1887&lt;1300,$B1887&gt;1500,$C1887&lt;1,$C1887&gt;12,$D1887&lt;1,$D1887&gt;31),"نامعتبر",RIGHT("0000"&amp;$B1887,4)&amp;"/"&amp;RIGHT("00"&amp;$C1887,2)&amp;"/"&amp;RIGHT("00"&amp;$D1887,2)))</f>
        <v/>
      </c>
      <c r="F1887">
        <f>IF(OR($E1887="",$E1887="نامعتبر"),"",IF(Sync!$Q1884="","0000",IF(AND(ISNUMBER(Sync!$Q1884),Sync!$Q1884&gt;=0,Sync!$Q1884&lt;1),RIGHT("00"&amp;HOUR(Sync!$Q1884),2)&amp;RIGHT("00"&amp;MINUTE(Sync!$Q1884),2),IFERROR(RIGHT("00"&amp;VALUE(LEFT(Sync!$Q1884,FIND(":",Sync!$Q1884)-1)),2)&amp;RIGHT("00"&amp;VALUE(MID(Sync!$Q1884,FIND(":",Sync!$Q1884)+1,2)),2),"0000"))))</f>
        <v/>
      </c>
      <c r="G1887">
        <f>IF(OR($E1887="",$E1887="نامعتبر"),"",IF(Sync!$S1884="","",Sync!$S1884))</f>
        <v/>
      </c>
      <c r="H1887">
        <f>IF(OR($E1887="",$E1887="نامعتبر"),"",IF(Sync!$R1884="","",Sync!$R1884))</f>
        <v/>
      </c>
      <c r="I1887">
        <f>IF(OR($E1887="",$E1887="نامعتبر"),"",IF(Sync!$T1884="","",Sync!$T1884))</f>
        <v/>
      </c>
      <c r="J1887">
        <f>IF(OR($E1887="",$E1887="نامعتبر"),"",IF(Sync!$U1884="","",Sync!$U1884))</f>
        <v/>
      </c>
      <c r="K1887">
        <f>IF(OR($E1887="",$E1887="نامعتبر"),"",IF(Sync!$V1884="","",IFERROR(INDEX(SubCodes,MATCH(Sync!$V1884,SubTitles,0)),Sync!$V1884)))</f>
        <v/>
      </c>
      <c r="L1887">
        <f>IF(OR($E1887="",$E1887="نامعتبر"),"",IF(Sync!$W1884="",0,Sync!$W1884))</f>
        <v/>
      </c>
      <c r="M1887">
        <f>IF(OR($E1887="",$E1887="نامعتبر"),"",IF(Sync!$X1884="",0,Sync!$X1884))</f>
        <v/>
      </c>
      <c r="N1887">
        <f>IF(OR($E1887="",$E1887="نامعتبر"),"",IF(AND($J1887="هزینه",$K1887&lt;&gt;""),1,0))</f>
        <v/>
      </c>
      <c r="O1887">
        <f>IF($N1887=0,"",LEFT($E1887,4)&amp;MID($E1887,6,2)&amp;RIGHT($E1887,2)&amp;$F1887&amp;"|"&amp;"1"&amp;RIGHT("00000"&amp;1879,5))</f>
        <v/>
      </c>
      <c r="P1887">
        <f>IF($O1887="","",COUNTIFS(ExpSub,$K1887,ExpKey,"&lt;"&amp;$O1887)+1)</f>
        <v/>
      </c>
      <c r="Q1887">
        <f>IF($P1887="","",$K1887&amp;"|"&amp;RIGHT("000000"&amp;$P1887,6))</f>
        <v/>
      </c>
    </row>
    <row r="1888">
      <c r="A1888">
        <f>IF(Sync!$P1885="","",Sync!$P1885)</f>
        <v/>
      </c>
      <c r="B1888">
        <f>IF($A1888="","",IF(ISNUMBER($A1888),IF(AND($A1888&gt;=10000101,$A1888&lt;=99991231),INT($A1888/10000),""),IFERROR(VALUE(TRIM(LEFT($A1888,FIND("/",$A1888)-1))),"")))</f>
        <v/>
      </c>
      <c r="C1888">
        <f>IF(OR($A1888="",$B1888=""),"",IF(ISNUMBER($A1888),INT(MOD($A1888,10000)/100),IFERROR(VALUE(TRIM(LEFT(MID($A1888,FIND("/",$A1888)+1,20),FIND("/",MID($A1888,FIND("/",$A1888)+1,20))-1))),"")))</f>
        <v/>
      </c>
      <c r="D1888">
        <f>IF(OR($A1888="",$B1888=""),"",IF(ISNUMBER($A1888),MOD($A1888,100),IFERROR(VALUE(TRIM(MID(MID($A1888,FIND("/",$A1888)+1,20),FIND("/",MID($A1888,FIND("/",$A1888)+1,20))+1,20))),"")))</f>
        <v/>
      </c>
      <c r="E1888">
        <f>IF($A1888="","",IF(OR($B1888="",$C1888="",$D1888="",$B1888&lt;1300,$B1888&gt;1500,$C1888&lt;1,$C1888&gt;12,$D1888&lt;1,$D1888&gt;31),"نامعتبر",RIGHT("0000"&amp;$B1888,4)&amp;"/"&amp;RIGHT("00"&amp;$C1888,2)&amp;"/"&amp;RIGHT("00"&amp;$D1888,2)))</f>
        <v/>
      </c>
      <c r="F1888">
        <f>IF(OR($E1888="",$E1888="نامعتبر"),"",IF(Sync!$Q1885="","0000",IF(AND(ISNUMBER(Sync!$Q1885),Sync!$Q1885&gt;=0,Sync!$Q1885&lt;1),RIGHT("00"&amp;HOUR(Sync!$Q1885),2)&amp;RIGHT("00"&amp;MINUTE(Sync!$Q1885),2),IFERROR(RIGHT("00"&amp;VALUE(LEFT(Sync!$Q1885,FIND(":",Sync!$Q1885)-1)),2)&amp;RIGHT("00"&amp;VALUE(MID(Sync!$Q1885,FIND(":",Sync!$Q1885)+1,2)),2),"0000"))))</f>
        <v/>
      </c>
      <c r="G1888">
        <f>IF(OR($E1888="",$E1888="نامعتبر"),"",IF(Sync!$S1885="","",Sync!$S1885))</f>
        <v/>
      </c>
      <c r="H1888">
        <f>IF(OR($E1888="",$E1888="نامعتبر"),"",IF(Sync!$R1885="","",Sync!$R1885))</f>
        <v/>
      </c>
      <c r="I1888">
        <f>IF(OR($E1888="",$E1888="نامعتبر"),"",IF(Sync!$T1885="","",Sync!$T1885))</f>
        <v/>
      </c>
      <c r="J1888">
        <f>IF(OR($E1888="",$E1888="نامعتبر"),"",IF(Sync!$U1885="","",Sync!$U1885))</f>
        <v/>
      </c>
      <c r="K1888">
        <f>IF(OR($E1888="",$E1888="نامعتبر"),"",IF(Sync!$V1885="","",IFERROR(INDEX(SubCodes,MATCH(Sync!$V1885,SubTitles,0)),Sync!$V1885)))</f>
        <v/>
      </c>
      <c r="L1888">
        <f>IF(OR($E1888="",$E1888="نامعتبر"),"",IF(Sync!$W1885="",0,Sync!$W1885))</f>
        <v/>
      </c>
      <c r="M1888">
        <f>IF(OR($E1888="",$E1888="نامعتبر"),"",IF(Sync!$X1885="",0,Sync!$X1885))</f>
        <v/>
      </c>
      <c r="N1888">
        <f>IF(OR($E1888="",$E1888="نامعتبر"),"",IF(AND($J1888="هزینه",$K1888&lt;&gt;""),1,0))</f>
        <v/>
      </c>
      <c r="O1888">
        <f>IF($N1888=0,"",LEFT($E1888,4)&amp;MID($E1888,6,2)&amp;RIGHT($E1888,2)&amp;$F1888&amp;"|"&amp;"1"&amp;RIGHT("00000"&amp;1880,5))</f>
        <v/>
      </c>
      <c r="P1888">
        <f>IF($O1888="","",COUNTIFS(ExpSub,$K1888,ExpKey,"&lt;"&amp;$O1888)+1)</f>
        <v/>
      </c>
      <c r="Q1888">
        <f>IF($P1888="","",$K1888&amp;"|"&amp;RIGHT("000000"&amp;$P1888,6))</f>
        <v/>
      </c>
    </row>
    <row r="1889">
      <c r="A1889">
        <f>IF(Sync!$P1886="","",Sync!$P1886)</f>
        <v/>
      </c>
      <c r="B1889">
        <f>IF($A1889="","",IF(ISNUMBER($A1889),IF(AND($A1889&gt;=10000101,$A1889&lt;=99991231),INT($A1889/10000),""),IFERROR(VALUE(TRIM(LEFT($A1889,FIND("/",$A1889)-1))),"")))</f>
        <v/>
      </c>
      <c r="C1889">
        <f>IF(OR($A1889="",$B1889=""),"",IF(ISNUMBER($A1889),INT(MOD($A1889,10000)/100),IFERROR(VALUE(TRIM(LEFT(MID($A1889,FIND("/",$A1889)+1,20),FIND("/",MID($A1889,FIND("/",$A1889)+1,20))-1))),"")))</f>
        <v/>
      </c>
      <c r="D1889">
        <f>IF(OR($A1889="",$B1889=""),"",IF(ISNUMBER($A1889),MOD($A1889,100),IFERROR(VALUE(TRIM(MID(MID($A1889,FIND("/",$A1889)+1,20),FIND("/",MID($A1889,FIND("/",$A1889)+1,20))+1,20))),"")))</f>
        <v/>
      </c>
      <c r="E1889">
        <f>IF($A1889="","",IF(OR($B1889="",$C1889="",$D1889="",$B1889&lt;1300,$B1889&gt;1500,$C1889&lt;1,$C1889&gt;12,$D1889&lt;1,$D1889&gt;31),"نامعتبر",RIGHT("0000"&amp;$B1889,4)&amp;"/"&amp;RIGHT("00"&amp;$C1889,2)&amp;"/"&amp;RIGHT("00"&amp;$D1889,2)))</f>
        <v/>
      </c>
      <c r="F1889">
        <f>IF(OR($E1889="",$E1889="نامعتبر"),"",IF(Sync!$Q1886="","0000",IF(AND(ISNUMBER(Sync!$Q1886),Sync!$Q1886&gt;=0,Sync!$Q1886&lt;1),RIGHT("00"&amp;HOUR(Sync!$Q1886),2)&amp;RIGHT("00"&amp;MINUTE(Sync!$Q1886),2),IFERROR(RIGHT("00"&amp;VALUE(LEFT(Sync!$Q1886,FIND(":",Sync!$Q1886)-1)),2)&amp;RIGHT("00"&amp;VALUE(MID(Sync!$Q1886,FIND(":",Sync!$Q1886)+1,2)),2),"0000"))))</f>
        <v/>
      </c>
      <c r="G1889">
        <f>IF(OR($E1889="",$E1889="نامعتبر"),"",IF(Sync!$S1886="","",Sync!$S1886))</f>
        <v/>
      </c>
      <c r="H1889">
        <f>IF(OR($E1889="",$E1889="نامعتبر"),"",IF(Sync!$R1886="","",Sync!$R1886))</f>
        <v/>
      </c>
      <c r="I1889">
        <f>IF(OR($E1889="",$E1889="نامعتبر"),"",IF(Sync!$T1886="","",Sync!$T1886))</f>
        <v/>
      </c>
      <c r="J1889">
        <f>IF(OR($E1889="",$E1889="نامعتبر"),"",IF(Sync!$U1886="","",Sync!$U1886))</f>
        <v/>
      </c>
      <c r="K1889">
        <f>IF(OR($E1889="",$E1889="نامعتبر"),"",IF(Sync!$V1886="","",IFERROR(INDEX(SubCodes,MATCH(Sync!$V1886,SubTitles,0)),Sync!$V1886)))</f>
        <v/>
      </c>
      <c r="L1889">
        <f>IF(OR($E1889="",$E1889="نامعتبر"),"",IF(Sync!$W1886="",0,Sync!$W1886))</f>
        <v/>
      </c>
      <c r="M1889">
        <f>IF(OR($E1889="",$E1889="نامعتبر"),"",IF(Sync!$X1886="",0,Sync!$X1886))</f>
        <v/>
      </c>
      <c r="N1889">
        <f>IF(OR($E1889="",$E1889="نامعتبر"),"",IF(AND($J1889="هزینه",$K1889&lt;&gt;""),1,0))</f>
        <v/>
      </c>
      <c r="O1889">
        <f>IF($N1889=0,"",LEFT($E1889,4)&amp;MID($E1889,6,2)&amp;RIGHT($E1889,2)&amp;$F1889&amp;"|"&amp;"1"&amp;RIGHT("00000"&amp;1881,5))</f>
        <v/>
      </c>
      <c r="P1889">
        <f>IF($O1889="","",COUNTIFS(ExpSub,$K1889,ExpKey,"&lt;"&amp;$O1889)+1)</f>
        <v/>
      </c>
      <c r="Q1889">
        <f>IF($P1889="","",$K1889&amp;"|"&amp;RIGHT("000000"&amp;$P1889,6))</f>
        <v/>
      </c>
    </row>
    <row r="1890">
      <c r="A1890">
        <f>IF(Sync!$P1887="","",Sync!$P1887)</f>
        <v/>
      </c>
      <c r="B1890">
        <f>IF($A1890="","",IF(ISNUMBER($A1890),IF(AND($A1890&gt;=10000101,$A1890&lt;=99991231),INT($A1890/10000),""),IFERROR(VALUE(TRIM(LEFT($A1890,FIND("/",$A1890)-1))),"")))</f>
        <v/>
      </c>
      <c r="C1890">
        <f>IF(OR($A1890="",$B1890=""),"",IF(ISNUMBER($A1890),INT(MOD($A1890,10000)/100),IFERROR(VALUE(TRIM(LEFT(MID($A1890,FIND("/",$A1890)+1,20),FIND("/",MID($A1890,FIND("/",$A1890)+1,20))-1))),"")))</f>
        <v/>
      </c>
      <c r="D1890">
        <f>IF(OR($A1890="",$B1890=""),"",IF(ISNUMBER($A1890),MOD($A1890,100),IFERROR(VALUE(TRIM(MID(MID($A1890,FIND("/",$A1890)+1,20),FIND("/",MID($A1890,FIND("/",$A1890)+1,20))+1,20))),"")))</f>
        <v/>
      </c>
      <c r="E1890">
        <f>IF($A1890="","",IF(OR($B1890="",$C1890="",$D1890="",$B1890&lt;1300,$B1890&gt;1500,$C1890&lt;1,$C1890&gt;12,$D1890&lt;1,$D1890&gt;31),"نامعتبر",RIGHT("0000"&amp;$B1890,4)&amp;"/"&amp;RIGHT("00"&amp;$C1890,2)&amp;"/"&amp;RIGHT("00"&amp;$D1890,2)))</f>
        <v/>
      </c>
      <c r="F1890">
        <f>IF(OR($E1890="",$E1890="نامعتبر"),"",IF(Sync!$Q1887="","0000",IF(AND(ISNUMBER(Sync!$Q1887),Sync!$Q1887&gt;=0,Sync!$Q1887&lt;1),RIGHT("00"&amp;HOUR(Sync!$Q1887),2)&amp;RIGHT("00"&amp;MINUTE(Sync!$Q1887),2),IFERROR(RIGHT("00"&amp;VALUE(LEFT(Sync!$Q1887,FIND(":",Sync!$Q1887)-1)),2)&amp;RIGHT("00"&amp;VALUE(MID(Sync!$Q1887,FIND(":",Sync!$Q1887)+1,2)),2),"0000"))))</f>
        <v/>
      </c>
      <c r="G1890">
        <f>IF(OR($E1890="",$E1890="نامعتبر"),"",IF(Sync!$S1887="","",Sync!$S1887))</f>
        <v/>
      </c>
      <c r="H1890">
        <f>IF(OR($E1890="",$E1890="نامعتبر"),"",IF(Sync!$R1887="","",Sync!$R1887))</f>
        <v/>
      </c>
      <c r="I1890">
        <f>IF(OR($E1890="",$E1890="نامعتبر"),"",IF(Sync!$T1887="","",Sync!$T1887))</f>
        <v/>
      </c>
      <c r="J1890">
        <f>IF(OR($E1890="",$E1890="نامعتبر"),"",IF(Sync!$U1887="","",Sync!$U1887))</f>
        <v/>
      </c>
      <c r="K1890">
        <f>IF(OR($E1890="",$E1890="نامعتبر"),"",IF(Sync!$V1887="","",IFERROR(INDEX(SubCodes,MATCH(Sync!$V1887,SubTitles,0)),Sync!$V1887)))</f>
        <v/>
      </c>
      <c r="L1890">
        <f>IF(OR($E1890="",$E1890="نامعتبر"),"",IF(Sync!$W1887="",0,Sync!$W1887))</f>
        <v/>
      </c>
      <c r="M1890">
        <f>IF(OR($E1890="",$E1890="نامعتبر"),"",IF(Sync!$X1887="",0,Sync!$X1887))</f>
        <v/>
      </c>
      <c r="N1890">
        <f>IF(OR($E1890="",$E1890="نامعتبر"),"",IF(AND($J1890="هزینه",$K1890&lt;&gt;""),1,0))</f>
        <v/>
      </c>
      <c r="O1890">
        <f>IF($N1890=0,"",LEFT($E1890,4)&amp;MID($E1890,6,2)&amp;RIGHT($E1890,2)&amp;$F1890&amp;"|"&amp;"1"&amp;RIGHT("00000"&amp;1882,5))</f>
        <v/>
      </c>
      <c r="P1890">
        <f>IF($O1890="","",COUNTIFS(ExpSub,$K1890,ExpKey,"&lt;"&amp;$O1890)+1)</f>
        <v/>
      </c>
      <c r="Q1890">
        <f>IF($P1890="","",$K1890&amp;"|"&amp;RIGHT("000000"&amp;$P1890,6))</f>
        <v/>
      </c>
    </row>
    <row r="1891">
      <c r="A1891">
        <f>IF(Sync!$P1888="","",Sync!$P1888)</f>
        <v/>
      </c>
      <c r="B1891">
        <f>IF($A1891="","",IF(ISNUMBER($A1891),IF(AND($A1891&gt;=10000101,$A1891&lt;=99991231),INT($A1891/10000),""),IFERROR(VALUE(TRIM(LEFT($A1891,FIND("/",$A1891)-1))),"")))</f>
        <v/>
      </c>
      <c r="C1891">
        <f>IF(OR($A1891="",$B1891=""),"",IF(ISNUMBER($A1891),INT(MOD($A1891,10000)/100),IFERROR(VALUE(TRIM(LEFT(MID($A1891,FIND("/",$A1891)+1,20),FIND("/",MID($A1891,FIND("/",$A1891)+1,20))-1))),"")))</f>
        <v/>
      </c>
      <c r="D1891">
        <f>IF(OR($A1891="",$B1891=""),"",IF(ISNUMBER($A1891),MOD($A1891,100),IFERROR(VALUE(TRIM(MID(MID($A1891,FIND("/",$A1891)+1,20),FIND("/",MID($A1891,FIND("/",$A1891)+1,20))+1,20))),"")))</f>
        <v/>
      </c>
      <c r="E1891">
        <f>IF($A1891="","",IF(OR($B1891="",$C1891="",$D1891="",$B1891&lt;1300,$B1891&gt;1500,$C1891&lt;1,$C1891&gt;12,$D1891&lt;1,$D1891&gt;31),"نامعتبر",RIGHT("0000"&amp;$B1891,4)&amp;"/"&amp;RIGHT("00"&amp;$C1891,2)&amp;"/"&amp;RIGHT("00"&amp;$D1891,2)))</f>
        <v/>
      </c>
      <c r="F1891">
        <f>IF(OR($E1891="",$E1891="نامعتبر"),"",IF(Sync!$Q1888="","0000",IF(AND(ISNUMBER(Sync!$Q1888),Sync!$Q1888&gt;=0,Sync!$Q1888&lt;1),RIGHT("00"&amp;HOUR(Sync!$Q1888),2)&amp;RIGHT("00"&amp;MINUTE(Sync!$Q1888),2),IFERROR(RIGHT("00"&amp;VALUE(LEFT(Sync!$Q1888,FIND(":",Sync!$Q1888)-1)),2)&amp;RIGHT("00"&amp;VALUE(MID(Sync!$Q1888,FIND(":",Sync!$Q1888)+1,2)),2),"0000"))))</f>
        <v/>
      </c>
      <c r="G1891">
        <f>IF(OR($E1891="",$E1891="نامعتبر"),"",IF(Sync!$S1888="","",Sync!$S1888))</f>
        <v/>
      </c>
      <c r="H1891">
        <f>IF(OR($E1891="",$E1891="نامعتبر"),"",IF(Sync!$R1888="","",Sync!$R1888))</f>
        <v/>
      </c>
      <c r="I1891">
        <f>IF(OR($E1891="",$E1891="نامعتبر"),"",IF(Sync!$T1888="","",Sync!$T1888))</f>
        <v/>
      </c>
      <c r="J1891">
        <f>IF(OR($E1891="",$E1891="نامعتبر"),"",IF(Sync!$U1888="","",Sync!$U1888))</f>
        <v/>
      </c>
      <c r="K1891">
        <f>IF(OR($E1891="",$E1891="نامعتبر"),"",IF(Sync!$V1888="","",IFERROR(INDEX(SubCodes,MATCH(Sync!$V1888,SubTitles,0)),Sync!$V1888)))</f>
        <v/>
      </c>
      <c r="L1891">
        <f>IF(OR($E1891="",$E1891="نامعتبر"),"",IF(Sync!$W1888="",0,Sync!$W1888))</f>
        <v/>
      </c>
      <c r="M1891">
        <f>IF(OR($E1891="",$E1891="نامعتبر"),"",IF(Sync!$X1888="",0,Sync!$X1888))</f>
        <v/>
      </c>
      <c r="N1891">
        <f>IF(OR($E1891="",$E1891="نامعتبر"),"",IF(AND($J1891="هزینه",$K1891&lt;&gt;""),1,0))</f>
        <v/>
      </c>
      <c r="O1891">
        <f>IF($N1891=0,"",LEFT($E1891,4)&amp;MID($E1891,6,2)&amp;RIGHT($E1891,2)&amp;$F1891&amp;"|"&amp;"1"&amp;RIGHT("00000"&amp;1883,5))</f>
        <v/>
      </c>
      <c r="P1891">
        <f>IF($O1891="","",COUNTIFS(ExpSub,$K1891,ExpKey,"&lt;"&amp;$O1891)+1)</f>
        <v/>
      </c>
      <c r="Q1891">
        <f>IF($P1891="","",$K1891&amp;"|"&amp;RIGHT("000000"&amp;$P1891,6))</f>
        <v/>
      </c>
    </row>
    <row r="1892">
      <c r="A1892">
        <f>IF(Sync!$P1889="","",Sync!$P1889)</f>
        <v/>
      </c>
      <c r="B1892">
        <f>IF($A1892="","",IF(ISNUMBER($A1892),IF(AND($A1892&gt;=10000101,$A1892&lt;=99991231),INT($A1892/10000),""),IFERROR(VALUE(TRIM(LEFT($A1892,FIND("/",$A1892)-1))),"")))</f>
        <v/>
      </c>
      <c r="C1892">
        <f>IF(OR($A1892="",$B1892=""),"",IF(ISNUMBER($A1892),INT(MOD($A1892,10000)/100),IFERROR(VALUE(TRIM(LEFT(MID($A1892,FIND("/",$A1892)+1,20),FIND("/",MID($A1892,FIND("/",$A1892)+1,20))-1))),"")))</f>
        <v/>
      </c>
      <c r="D1892">
        <f>IF(OR($A1892="",$B1892=""),"",IF(ISNUMBER($A1892),MOD($A1892,100),IFERROR(VALUE(TRIM(MID(MID($A1892,FIND("/",$A1892)+1,20),FIND("/",MID($A1892,FIND("/",$A1892)+1,20))+1,20))),"")))</f>
        <v/>
      </c>
      <c r="E1892">
        <f>IF($A1892="","",IF(OR($B1892="",$C1892="",$D1892="",$B1892&lt;1300,$B1892&gt;1500,$C1892&lt;1,$C1892&gt;12,$D1892&lt;1,$D1892&gt;31),"نامعتبر",RIGHT("0000"&amp;$B1892,4)&amp;"/"&amp;RIGHT("00"&amp;$C1892,2)&amp;"/"&amp;RIGHT("00"&amp;$D1892,2)))</f>
        <v/>
      </c>
      <c r="F1892">
        <f>IF(OR($E1892="",$E1892="نامعتبر"),"",IF(Sync!$Q1889="","0000",IF(AND(ISNUMBER(Sync!$Q1889),Sync!$Q1889&gt;=0,Sync!$Q1889&lt;1),RIGHT("00"&amp;HOUR(Sync!$Q1889),2)&amp;RIGHT("00"&amp;MINUTE(Sync!$Q1889),2),IFERROR(RIGHT("00"&amp;VALUE(LEFT(Sync!$Q1889,FIND(":",Sync!$Q1889)-1)),2)&amp;RIGHT("00"&amp;VALUE(MID(Sync!$Q1889,FIND(":",Sync!$Q1889)+1,2)),2),"0000"))))</f>
        <v/>
      </c>
      <c r="G1892">
        <f>IF(OR($E1892="",$E1892="نامعتبر"),"",IF(Sync!$S1889="","",Sync!$S1889))</f>
        <v/>
      </c>
      <c r="H1892">
        <f>IF(OR($E1892="",$E1892="نامعتبر"),"",IF(Sync!$R1889="","",Sync!$R1889))</f>
        <v/>
      </c>
      <c r="I1892">
        <f>IF(OR($E1892="",$E1892="نامعتبر"),"",IF(Sync!$T1889="","",Sync!$T1889))</f>
        <v/>
      </c>
      <c r="J1892">
        <f>IF(OR($E1892="",$E1892="نامعتبر"),"",IF(Sync!$U1889="","",Sync!$U1889))</f>
        <v/>
      </c>
      <c r="K1892">
        <f>IF(OR($E1892="",$E1892="نامعتبر"),"",IF(Sync!$V1889="","",IFERROR(INDEX(SubCodes,MATCH(Sync!$V1889,SubTitles,0)),Sync!$V1889)))</f>
        <v/>
      </c>
      <c r="L1892">
        <f>IF(OR($E1892="",$E1892="نامعتبر"),"",IF(Sync!$W1889="",0,Sync!$W1889))</f>
        <v/>
      </c>
      <c r="M1892">
        <f>IF(OR($E1892="",$E1892="نامعتبر"),"",IF(Sync!$X1889="",0,Sync!$X1889))</f>
        <v/>
      </c>
      <c r="N1892">
        <f>IF(OR($E1892="",$E1892="نامعتبر"),"",IF(AND($J1892="هزینه",$K1892&lt;&gt;""),1,0))</f>
        <v/>
      </c>
      <c r="O1892">
        <f>IF($N1892=0,"",LEFT($E1892,4)&amp;MID($E1892,6,2)&amp;RIGHT($E1892,2)&amp;$F1892&amp;"|"&amp;"1"&amp;RIGHT("00000"&amp;1884,5))</f>
        <v/>
      </c>
      <c r="P1892">
        <f>IF($O1892="","",COUNTIFS(ExpSub,$K1892,ExpKey,"&lt;"&amp;$O1892)+1)</f>
        <v/>
      </c>
      <c r="Q1892">
        <f>IF($P1892="","",$K1892&amp;"|"&amp;RIGHT("000000"&amp;$P1892,6))</f>
        <v/>
      </c>
    </row>
    <row r="1893">
      <c r="A1893">
        <f>IF(Sync!$P1890="","",Sync!$P1890)</f>
        <v/>
      </c>
      <c r="B1893">
        <f>IF($A1893="","",IF(ISNUMBER($A1893),IF(AND($A1893&gt;=10000101,$A1893&lt;=99991231),INT($A1893/10000),""),IFERROR(VALUE(TRIM(LEFT($A1893,FIND("/",$A1893)-1))),"")))</f>
        <v/>
      </c>
      <c r="C1893">
        <f>IF(OR($A1893="",$B1893=""),"",IF(ISNUMBER($A1893),INT(MOD($A1893,10000)/100),IFERROR(VALUE(TRIM(LEFT(MID($A1893,FIND("/",$A1893)+1,20),FIND("/",MID($A1893,FIND("/",$A1893)+1,20))-1))),"")))</f>
        <v/>
      </c>
      <c r="D1893">
        <f>IF(OR($A1893="",$B1893=""),"",IF(ISNUMBER($A1893),MOD($A1893,100),IFERROR(VALUE(TRIM(MID(MID($A1893,FIND("/",$A1893)+1,20),FIND("/",MID($A1893,FIND("/",$A1893)+1,20))+1,20))),"")))</f>
        <v/>
      </c>
      <c r="E1893">
        <f>IF($A1893="","",IF(OR($B1893="",$C1893="",$D1893="",$B1893&lt;1300,$B1893&gt;1500,$C1893&lt;1,$C1893&gt;12,$D1893&lt;1,$D1893&gt;31),"نامعتبر",RIGHT("0000"&amp;$B1893,4)&amp;"/"&amp;RIGHT("00"&amp;$C1893,2)&amp;"/"&amp;RIGHT("00"&amp;$D1893,2)))</f>
        <v/>
      </c>
      <c r="F1893">
        <f>IF(OR($E1893="",$E1893="نامعتبر"),"",IF(Sync!$Q1890="","0000",IF(AND(ISNUMBER(Sync!$Q1890),Sync!$Q1890&gt;=0,Sync!$Q1890&lt;1),RIGHT("00"&amp;HOUR(Sync!$Q1890),2)&amp;RIGHT("00"&amp;MINUTE(Sync!$Q1890),2),IFERROR(RIGHT("00"&amp;VALUE(LEFT(Sync!$Q1890,FIND(":",Sync!$Q1890)-1)),2)&amp;RIGHT("00"&amp;VALUE(MID(Sync!$Q1890,FIND(":",Sync!$Q1890)+1,2)),2),"0000"))))</f>
        <v/>
      </c>
      <c r="G1893">
        <f>IF(OR($E1893="",$E1893="نامعتبر"),"",IF(Sync!$S1890="","",Sync!$S1890))</f>
        <v/>
      </c>
      <c r="H1893">
        <f>IF(OR($E1893="",$E1893="نامعتبر"),"",IF(Sync!$R1890="","",Sync!$R1890))</f>
        <v/>
      </c>
      <c r="I1893">
        <f>IF(OR($E1893="",$E1893="نامعتبر"),"",IF(Sync!$T1890="","",Sync!$T1890))</f>
        <v/>
      </c>
      <c r="J1893">
        <f>IF(OR($E1893="",$E1893="نامعتبر"),"",IF(Sync!$U1890="","",Sync!$U1890))</f>
        <v/>
      </c>
      <c r="K1893">
        <f>IF(OR($E1893="",$E1893="نامعتبر"),"",IF(Sync!$V1890="","",IFERROR(INDEX(SubCodes,MATCH(Sync!$V1890,SubTitles,0)),Sync!$V1890)))</f>
        <v/>
      </c>
      <c r="L1893">
        <f>IF(OR($E1893="",$E1893="نامعتبر"),"",IF(Sync!$W1890="",0,Sync!$W1890))</f>
        <v/>
      </c>
      <c r="M1893">
        <f>IF(OR($E1893="",$E1893="نامعتبر"),"",IF(Sync!$X1890="",0,Sync!$X1890))</f>
        <v/>
      </c>
      <c r="N1893">
        <f>IF(OR($E1893="",$E1893="نامعتبر"),"",IF(AND($J1893="هزینه",$K1893&lt;&gt;""),1,0))</f>
        <v/>
      </c>
      <c r="O1893">
        <f>IF($N1893=0,"",LEFT($E1893,4)&amp;MID($E1893,6,2)&amp;RIGHT($E1893,2)&amp;$F1893&amp;"|"&amp;"1"&amp;RIGHT("00000"&amp;1885,5))</f>
        <v/>
      </c>
      <c r="P1893">
        <f>IF($O1893="","",COUNTIFS(ExpSub,$K1893,ExpKey,"&lt;"&amp;$O1893)+1)</f>
        <v/>
      </c>
      <c r="Q1893">
        <f>IF($P1893="","",$K1893&amp;"|"&amp;RIGHT("000000"&amp;$P1893,6))</f>
        <v/>
      </c>
    </row>
    <row r="1894">
      <c r="A1894">
        <f>IF(Sync!$P1891="","",Sync!$P1891)</f>
        <v/>
      </c>
      <c r="B1894">
        <f>IF($A1894="","",IF(ISNUMBER($A1894),IF(AND($A1894&gt;=10000101,$A1894&lt;=99991231),INT($A1894/10000),""),IFERROR(VALUE(TRIM(LEFT($A1894,FIND("/",$A1894)-1))),"")))</f>
        <v/>
      </c>
      <c r="C1894">
        <f>IF(OR($A1894="",$B1894=""),"",IF(ISNUMBER($A1894),INT(MOD($A1894,10000)/100),IFERROR(VALUE(TRIM(LEFT(MID($A1894,FIND("/",$A1894)+1,20),FIND("/",MID($A1894,FIND("/",$A1894)+1,20))-1))),"")))</f>
        <v/>
      </c>
      <c r="D1894">
        <f>IF(OR($A1894="",$B1894=""),"",IF(ISNUMBER($A1894),MOD($A1894,100),IFERROR(VALUE(TRIM(MID(MID($A1894,FIND("/",$A1894)+1,20),FIND("/",MID($A1894,FIND("/",$A1894)+1,20))+1,20))),"")))</f>
        <v/>
      </c>
      <c r="E1894">
        <f>IF($A1894="","",IF(OR($B1894="",$C1894="",$D1894="",$B1894&lt;1300,$B1894&gt;1500,$C1894&lt;1,$C1894&gt;12,$D1894&lt;1,$D1894&gt;31),"نامعتبر",RIGHT("0000"&amp;$B1894,4)&amp;"/"&amp;RIGHT("00"&amp;$C1894,2)&amp;"/"&amp;RIGHT("00"&amp;$D1894,2)))</f>
        <v/>
      </c>
      <c r="F1894">
        <f>IF(OR($E1894="",$E1894="نامعتبر"),"",IF(Sync!$Q1891="","0000",IF(AND(ISNUMBER(Sync!$Q1891),Sync!$Q1891&gt;=0,Sync!$Q1891&lt;1),RIGHT("00"&amp;HOUR(Sync!$Q1891),2)&amp;RIGHT("00"&amp;MINUTE(Sync!$Q1891),2),IFERROR(RIGHT("00"&amp;VALUE(LEFT(Sync!$Q1891,FIND(":",Sync!$Q1891)-1)),2)&amp;RIGHT("00"&amp;VALUE(MID(Sync!$Q1891,FIND(":",Sync!$Q1891)+1,2)),2),"0000"))))</f>
        <v/>
      </c>
      <c r="G1894">
        <f>IF(OR($E1894="",$E1894="نامعتبر"),"",IF(Sync!$S1891="","",Sync!$S1891))</f>
        <v/>
      </c>
      <c r="H1894">
        <f>IF(OR($E1894="",$E1894="نامعتبر"),"",IF(Sync!$R1891="","",Sync!$R1891))</f>
        <v/>
      </c>
      <c r="I1894">
        <f>IF(OR($E1894="",$E1894="نامعتبر"),"",IF(Sync!$T1891="","",Sync!$T1891))</f>
        <v/>
      </c>
      <c r="J1894">
        <f>IF(OR($E1894="",$E1894="نامعتبر"),"",IF(Sync!$U1891="","",Sync!$U1891))</f>
        <v/>
      </c>
      <c r="K1894">
        <f>IF(OR($E1894="",$E1894="نامعتبر"),"",IF(Sync!$V1891="","",IFERROR(INDEX(SubCodes,MATCH(Sync!$V1891,SubTitles,0)),Sync!$V1891)))</f>
        <v/>
      </c>
      <c r="L1894">
        <f>IF(OR($E1894="",$E1894="نامعتبر"),"",IF(Sync!$W1891="",0,Sync!$W1891))</f>
        <v/>
      </c>
      <c r="M1894">
        <f>IF(OR($E1894="",$E1894="نامعتبر"),"",IF(Sync!$X1891="",0,Sync!$X1891))</f>
        <v/>
      </c>
      <c r="N1894">
        <f>IF(OR($E1894="",$E1894="نامعتبر"),"",IF(AND($J1894="هزینه",$K1894&lt;&gt;""),1,0))</f>
        <v/>
      </c>
      <c r="O1894">
        <f>IF($N1894=0,"",LEFT($E1894,4)&amp;MID($E1894,6,2)&amp;RIGHT($E1894,2)&amp;$F1894&amp;"|"&amp;"1"&amp;RIGHT("00000"&amp;1886,5))</f>
        <v/>
      </c>
      <c r="P1894">
        <f>IF($O1894="","",COUNTIFS(ExpSub,$K1894,ExpKey,"&lt;"&amp;$O1894)+1)</f>
        <v/>
      </c>
      <c r="Q1894">
        <f>IF($P1894="","",$K1894&amp;"|"&amp;RIGHT("000000"&amp;$P1894,6))</f>
        <v/>
      </c>
    </row>
    <row r="1895">
      <c r="A1895">
        <f>IF(Sync!$P1892="","",Sync!$P1892)</f>
        <v/>
      </c>
      <c r="B1895">
        <f>IF($A1895="","",IF(ISNUMBER($A1895),IF(AND($A1895&gt;=10000101,$A1895&lt;=99991231),INT($A1895/10000),""),IFERROR(VALUE(TRIM(LEFT($A1895,FIND("/",$A1895)-1))),"")))</f>
        <v/>
      </c>
      <c r="C1895">
        <f>IF(OR($A1895="",$B1895=""),"",IF(ISNUMBER($A1895),INT(MOD($A1895,10000)/100),IFERROR(VALUE(TRIM(LEFT(MID($A1895,FIND("/",$A1895)+1,20),FIND("/",MID($A1895,FIND("/",$A1895)+1,20))-1))),"")))</f>
        <v/>
      </c>
      <c r="D1895">
        <f>IF(OR($A1895="",$B1895=""),"",IF(ISNUMBER($A1895),MOD($A1895,100),IFERROR(VALUE(TRIM(MID(MID($A1895,FIND("/",$A1895)+1,20),FIND("/",MID($A1895,FIND("/",$A1895)+1,20))+1,20))),"")))</f>
        <v/>
      </c>
      <c r="E1895">
        <f>IF($A1895="","",IF(OR($B1895="",$C1895="",$D1895="",$B1895&lt;1300,$B1895&gt;1500,$C1895&lt;1,$C1895&gt;12,$D1895&lt;1,$D1895&gt;31),"نامعتبر",RIGHT("0000"&amp;$B1895,4)&amp;"/"&amp;RIGHT("00"&amp;$C1895,2)&amp;"/"&amp;RIGHT("00"&amp;$D1895,2)))</f>
        <v/>
      </c>
      <c r="F1895">
        <f>IF(OR($E1895="",$E1895="نامعتبر"),"",IF(Sync!$Q1892="","0000",IF(AND(ISNUMBER(Sync!$Q1892),Sync!$Q1892&gt;=0,Sync!$Q1892&lt;1),RIGHT("00"&amp;HOUR(Sync!$Q1892),2)&amp;RIGHT("00"&amp;MINUTE(Sync!$Q1892),2),IFERROR(RIGHT("00"&amp;VALUE(LEFT(Sync!$Q1892,FIND(":",Sync!$Q1892)-1)),2)&amp;RIGHT("00"&amp;VALUE(MID(Sync!$Q1892,FIND(":",Sync!$Q1892)+1,2)),2),"0000"))))</f>
        <v/>
      </c>
      <c r="G1895">
        <f>IF(OR($E1895="",$E1895="نامعتبر"),"",IF(Sync!$S1892="","",Sync!$S1892))</f>
        <v/>
      </c>
      <c r="H1895">
        <f>IF(OR($E1895="",$E1895="نامعتبر"),"",IF(Sync!$R1892="","",Sync!$R1892))</f>
        <v/>
      </c>
      <c r="I1895">
        <f>IF(OR($E1895="",$E1895="نامعتبر"),"",IF(Sync!$T1892="","",Sync!$T1892))</f>
        <v/>
      </c>
      <c r="J1895">
        <f>IF(OR($E1895="",$E1895="نامعتبر"),"",IF(Sync!$U1892="","",Sync!$U1892))</f>
        <v/>
      </c>
      <c r="K1895">
        <f>IF(OR($E1895="",$E1895="نامعتبر"),"",IF(Sync!$V1892="","",IFERROR(INDEX(SubCodes,MATCH(Sync!$V1892,SubTitles,0)),Sync!$V1892)))</f>
        <v/>
      </c>
      <c r="L1895">
        <f>IF(OR($E1895="",$E1895="نامعتبر"),"",IF(Sync!$W1892="",0,Sync!$W1892))</f>
        <v/>
      </c>
      <c r="M1895">
        <f>IF(OR($E1895="",$E1895="نامعتبر"),"",IF(Sync!$X1892="",0,Sync!$X1892))</f>
        <v/>
      </c>
      <c r="N1895">
        <f>IF(OR($E1895="",$E1895="نامعتبر"),"",IF(AND($J1895="هزینه",$K1895&lt;&gt;""),1,0))</f>
        <v/>
      </c>
      <c r="O1895">
        <f>IF($N1895=0,"",LEFT($E1895,4)&amp;MID($E1895,6,2)&amp;RIGHT($E1895,2)&amp;$F1895&amp;"|"&amp;"1"&amp;RIGHT("00000"&amp;1887,5))</f>
        <v/>
      </c>
      <c r="P1895">
        <f>IF($O1895="","",COUNTIFS(ExpSub,$K1895,ExpKey,"&lt;"&amp;$O1895)+1)</f>
        <v/>
      </c>
      <c r="Q1895">
        <f>IF($P1895="","",$K1895&amp;"|"&amp;RIGHT("000000"&amp;$P1895,6))</f>
        <v/>
      </c>
    </row>
    <row r="1896">
      <c r="A1896">
        <f>IF(Sync!$P1893="","",Sync!$P1893)</f>
        <v/>
      </c>
      <c r="B1896">
        <f>IF($A1896="","",IF(ISNUMBER($A1896),IF(AND($A1896&gt;=10000101,$A1896&lt;=99991231),INT($A1896/10000),""),IFERROR(VALUE(TRIM(LEFT($A1896,FIND("/",$A1896)-1))),"")))</f>
        <v/>
      </c>
      <c r="C1896">
        <f>IF(OR($A1896="",$B1896=""),"",IF(ISNUMBER($A1896),INT(MOD($A1896,10000)/100),IFERROR(VALUE(TRIM(LEFT(MID($A1896,FIND("/",$A1896)+1,20),FIND("/",MID($A1896,FIND("/",$A1896)+1,20))-1))),"")))</f>
        <v/>
      </c>
      <c r="D1896">
        <f>IF(OR($A1896="",$B1896=""),"",IF(ISNUMBER($A1896),MOD($A1896,100),IFERROR(VALUE(TRIM(MID(MID($A1896,FIND("/",$A1896)+1,20),FIND("/",MID($A1896,FIND("/",$A1896)+1,20))+1,20))),"")))</f>
        <v/>
      </c>
      <c r="E1896">
        <f>IF($A1896="","",IF(OR($B1896="",$C1896="",$D1896="",$B1896&lt;1300,$B1896&gt;1500,$C1896&lt;1,$C1896&gt;12,$D1896&lt;1,$D1896&gt;31),"نامعتبر",RIGHT("0000"&amp;$B1896,4)&amp;"/"&amp;RIGHT("00"&amp;$C1896,2)&amp;"/"&amp;RIGHT("00"&amp;$D1896,2)))</f>
        <v/>
      </c>
      <c r="F1896">
        <f>IF(OR($E1896="",$E1896="نامعتبر"),"",IF(Sync!$Q1893="","0000",IF(AND(ISNUMBER(Sync!$Q1893),Sync!$Q1893&gt;=0,Sync!$Q1893&lt;1),RIGHT("00"&amp;HOUR(Sync!$Q1893),2)&amp;RIGHT("00"&amp;MINUTE(Sync!$Q1893),2),IFERROR(RIGHT("00"&amp;VALUE(LEFT(Sync!$Q1893,FIND(":",Sync!$Q1893)-1)),2)&amp;RIGHT("00"&amp;VALUE(MID(Sync!$Q1893,FIND(":",Sync!$Q1893)+1,2)),2),"0000"))))</f>
        <v/>
      </c>
      <c r="G1896">
        <f>IF(OR($E1896="",$E1896="نامعتبر"),"",IF(Sync!$S1893="","",Sync!$S1893))</f>
        <v/>
      </c>
      <c r="H1896">
        <f>IF(OR($E1896="",$E1896="نامعتبر"),"",IF(Sync!$R1893="","",Sync!$R1893))</f>
        <v/>
      </c>
      <c r="I1896">
        <f>IF(OR($E1896="",$E1896="نامعتبر"),"",IF(Sync!$T1893="","",Sync!$T1893))</f>
        <v/>
      </c>
      <c r="J1896">
        <f>IF(OR($E1896="",$E1896="نامعتبر"),"",IF(Sync!$U1893="","",Sync!$U1893))</f>
        <v/>
      </c>
      <c r="K1896">
        <f>IF(OR($E1896="",$E1896="نامعتبر"),"",IF(Sync!$V1893="","",IFERROR(INDEX(SubCodes,MATCH(Sync!$V1893,SubTitles,0)),Sync!$V1893)))</f>
        <v/>
      </c>
      <c r="L1896">
        <f>IF(OR($E1896="",$E1896="نامعتبر"),"",IF(Sync!$W1893="",0,Sync!$W1893))</f>
        <v/>
      </c>
      <c r="M1896">
        <f>IF(OR($E1896="",$E1896="نامعتبر"),"",IF(Sync!$X1893="",0,Sync!$X1893))</f>
        <v/>
      </c>
      <c r="N1896">
        <f>IF(OR($E1896="",$E1896="نامعتبر"),"",IF(AND($J1896="هزینه",$K1896&lt;&gt;""),1,0))</f>
        <v/>
      </c>
      <c r="O1896">
        <f>IF($N1896=0,"",LEFT($E1896,4)&amp;MID($E1896,6,2)&amp;RIGHT($E1896,2)&amp;$F1896&amp;"|"&amp;"1"&amp;RIGHT("00000"&amp;1888,5))</f>
        <v/>
      </c>
      <c r="P1896">
        <f>IF($O1896="","",COUNTIFS(ExpSub,$K1896,ExpKey,"&lt;"&amp;$O1896)+1)</f>
        <v/>
      </c>
      <c r="Q1896">
        <f>IF($P1896="","",$K1896&amp;"|"&amp;RIGHT("000000"&amp;$P1896,6))</f>
        <v/>
      </c>
    </row>
    <row r="1897">
      <c r="A1897">
        <f>IF(Sync!$P1894="","",Sync!$P1894)</f>
        <v/>
      </c>
      <c r="B1897">
        <f>IF($A1897="","",IF(ISNUMBER($A1897),IF(AND($A1897&gt;=10000101,$A1897&lt;=99991231),INT($A1897/10000),""),IFERROR(VALUE(TRIM(LEFT($A1897,FIND("/",$A1897)-1))),"")))</f>
        <v/>
      </c>
      <c r="C1897">
        <f>IF(OR($A1897="",$B1897=""),"",IF(ISNUMBER($A1897),INT(MOD($A1897,10000)/100),IFERROR(VALUE(TRIM(LEFT(MID($A1897,FIND("/",$A1897)+1,20),FIND("/",MID($A1897,FIND("/",$A1897)+1,20))-1))),"")))</f>
        <v/>
      </c>
      <c r="D1897">
        <f>IF(OR($A1897="",$B1897=""),"",IF(ISNUMBER($A1897),MOD($A1897,100),IFERROR(VALUE(TRIM(MID(MID($A1897,FIND("/",$A1897)+1,20),FIND("/",MID($A1897,FIND("/",$A1897)+1,20))+1,20))),"")))</f>
        <v/>
      </c>
      <c r="E1897">
        <f>IF($A1897="","",IF(OR($B1897="",$C1897="",$D1897="",$B1897&lt;1300,$B1897&gt;1500,$C1897&lt;1,$C1897&gt;12,$D1897&lt;1,$D1897&gt;31),"نامعتبر",RIGHT("0000"&amp;$B1897,4)&amp;"/"&amp;RIGHT("00"&amp;$C1897,2)&amp;"/"&amp;RIGHT("00"&amp;$D1897,2)))</f>
        <v/>
      </c>
      <c r="F1897">
        <f>IF(OR($E1897="",$E1897="نامعتبر"),"",IF(Sync!$Q1894="","0000",IF(AND(ISNUMBER(Sync!$Q1894),Sync!$Q1894&gt;=0,Sync!$Q1894&lt;1),RIGHT("00"&amp;HOUR(Sync!$Q1894),2)&amp;RIGHT("00"&amp;MINUTE(Sync!$Q1894),2),IFERROR(RIGHT("00"&amp;VALUE(LEFT(Sync!$Q1894,FIND(":",Sync!$Q1894)-1)),2)&amp;RIGHT("00"&amp;VALUE(MID(Sync!$Q1894,FIND(":",Sync!$Q1894)+1,2)),2),"0000"))))</f>
        <v/>
      </c>
      <c r="G1897">
        <f>IF(OR($E1897="",$E1897="نامعتبر"),"",IF(Sync!$S1894="","",Sync!$S1894))</f>
        <v/>
      </c>
      <c r="H1897">
        <f>IF(OR($E1897="",$E1897="نامعتبر"),"",IF(Sync!$R1894="","",Sync!$R1894))</f>
        <v/>
      </c>
      <c r="I1897">
        <f>IF(OR($E1897="",$E1897="نامعتبر"),"",IF(Sync!$T1894="","",Sync!$T1894))</f>
        <v/>
      </c>
      <c r="J1897">
        <f>IF(OR($E1897="",$E1897="نامعتبر"),"",IF(Sync!$U1894="","",Sync!$U1894))</f>
        <v/>
      </c>
      <c r="K1897">
        <f>IF(OR($E1897="",$E1897="نامعتبر"),"",IF(Sync!$V1894="","",IFERROR(INDEX(SubCodes,MATCH(Sync!$V1894,SubTitles,0)),Sync!$V1894)))</f>
        <v/>
      </c>
      <c r="L1897">
        <f>IF(OR($E1897="",$E1897="نامعتبر"),"",IF(Sync!$W1894="",0,Sync!$W1894))</f>
        <v/>
      </c>
      <c r="M1897">
        <f>IF(OR($E1897="",$E1897="نامعتبر"),"",IF(Sync!$X1894="",0,Sync!$X1894))</f>
        <v/>
      </c>
      <c r="N1897">
        <f>IF(OR($E1897="",$E1897="نامعتبر"),"",IF(AND($J1897="هزینه",$K1897&lt;&gt;""),1,0))</f>
        <v/>
      </c>
      <c r="O1897">
        <f>IF($N1897=0,"",LEFT($E1897,4)&amp;MID($E1897,6,2)&amp;RIGHT($E1897,2)&amp;$F1897&amp;"|"&amp;"1"&amp;RIGHT("00000"&amp;1889,5))</f>
        <v/>
      </c>
      <c r="P1897">
        <f>IF($O1897="","",COUNTIFS(ExpSub,$K1897,ExpKey,"&lt;"&amp;$O1897)+1)</f>
        <v/>
      </c>
      <c r="Q1897">
        <f>IF($P1897="","",$K1897&amp;"|"&amp;RIGHT("000000"&amp;$P1897,6))</f>
        <v/>
      </c>
    </row>
    <row r="1898">
      <c r="A1898">
        <f>IF(Sync!$P1895="","",Sync!$P1895)</f>
        <v/>
      </c>
      <c r="B1898">
        <f>IF($A1898="","",IF(ISNUMBER($A1898),IF(AND($A1898&gt;=10000101,$A1898&lt;=99991231),INT($A1898/10000),""),IFERROR(VALUE(TRIM(LEFT($A1898,FIND("/",$A1898)-1))),"")))</f>
        <v/>
      </c>
      <c r="C1898">
        <f>IF(OR($A1898="",$B1898=""),"",IF(ISNUMBER($A1898),INT(MOD($A1898,10000)/100),IFERROR(VALUE(TRIM(LEFT(MID($A1898,FIND("/",$A1898)+1,20),FIND("/",MID($A1898,FIND("/",$A1898)+1,20))-1))),"")))</f>
        <v/>
      </c>
      <c r="D1898">
        <f>IF(OR($A1898="",$B1898=""),"",IF(ISNUMBER($A1898),MOD($A1898,100),IFERROR(VALUE(TRIM(MID(MID($A1898,FIND("/",$A1898)+1,20),FIND("/",MID($A1898,FIND("/",$A1898)+1,20))+1,20))),"")))</f>
        <v/>
      </c>
      <c r="E1898">
        <f>IF($A1898="","",IF(OR($B1898="",$C1898="",$D1898="",$B1898&lt;1300,$B1898&gt;1500,$C1898&lt;1,$C1898&gt;12,$D1898&lt;1,$D1898&gt;31),"نامعتبر",RIGHT("0000"&amp;$B1898,4)&amp;"/"&amp;RIGHT("00"&amp;$C1898,2)&amp;"/"&amp;RIGHT("00"&amp;$D1898,2)))</f>
        <v/>
      </c>
      <c r="F1898">
        <f>IF(OR($E1898="",$E1898="نامعتبر"),"",IF(Sync!$Q1895="","0000",IF(AND(ISNUMBER(Sync!$Q1895),Sync!$Q1895&gt;=0,Sync!$Q1895&lt;1),RIGHT("00"&amp;HOUR(Sync!$Q1895),2)&amp;RIGHT("00"&amp;MINUTE(Sync!$Q1895),2),IFERROR(RIGHT("00"&amp;VALUE(LEFT(Sync!$Q1895,FIND(":",Sync!$Q1895)-1)),2)&amp;RIGHT("00"&amp;VALUE(MID(Sync!$Q1895,FIND(":",Sync!$Q1895)+1,2)),2),"0000"))))</f>
        <v/>
      </c>
      <c r="G1898">
        <f>IF(OR($E1898="",$E1898="نامعتبر"),"",IF(Sync!$S1895="","",Sync!$S1895))</f>
        <v/>
      </c>
      <c r="H1898">
        <f>IF(OR($E1898="",$E1898="نامعتبر"),"",IF(Sync!$R1895="","",Sync!$R1895))</f>
        <v/>
      </c>
      <c r="I1898">
        <f>IF(OR($E1898="",$E1898="نامعتبر"),"",IF(Sync!$T1895="","",Sync!$T1895))</f>
        <v/>
      </c>
      <c r="J1898">
        <f>IF(OR($E1898="",$E1898="نامعتبر"),"",IF(Sync!$U1895="","",Sync!$U1895))</f>
        <v/>
      </c>
      <c r="K1898">
        <f>IF(OR($E1898="",$E1898="نامعتبر"),"",IF(Sync!$V1895="","",IFERROR(INDEX(SubCodes,MATCH(Sync!$V1895,SubTitles,0)),Sync!$V1895)))</f>
        <v/>
      </c>
      <c r="L1898">
        <f>IF(OR($E1898="",$E1898="نامعتبر"),"",IF(Sync!$W1895="",0,Sync!$W1895))</f>
        <v/>
      </c>
      <c r="M1898">
        <f>IF(OR($E1898="",$E1898="نامعتبر"),"",IF(Sync!$X1895="",0,Sync!$X1895))</f>
        <v/>
      </c>
      <c r="N1898">
        <f>IF(OR($E1898="",$E1898="نامعتبر"),"",IF(AND($J1898="هزینه",$K1898&lt;&gt;""),1,0))</f>
        <v/>
      </c>
      <c r="O1898">
        <f>IF($N1898=0,"",LEFT($E1898,4)&amp;MID($E1898,6,2)&amp;RIGHT($E1898,2)&amp;$F1898&amp;"|"&amp;"1"&amp;RIGHT("00000"&amp;1890,5))</f>
        <v/>
      </c>
      <c r="P1898">
        <f>IF($O1898="","",COUNTIFS(ExpSub,$K1898,ExpKey,"&lt;"&amp;$O1898)+1)</f>
        <v/>
      </c>
      <c r="Q1898">
        <f>IF($P1898="","",$K1898&amp;"|"&amp;RIGHT("000000"&amp;$P1898,6))</f>
        <v/>
      </c>
    </row>
    <row r="1899">
      <c r="A1899">
        <f>IF(Sync!$P1896="","",Sync!$P1896)</f>
        <v/>
      </c>
      <c r="B1899">
        <f>IF($A1899="","",IF(ISNUMBER($A1899),IF(AND($A1899&gt;=10000101,$A1899&lt;=99991231),INT($A1899/10000),""),IFERROR(VALUE(TRIM(LEFT($A1899,FIND("/",$A1899)-1))),"")))</f>
        <v/>
      </c>
      <c r="C1899">
        <f>IF(OR($A1899="",$B1899=""),"",IF(ISNUMBER($A1899),INT(MOD($A1899,10000)/100),IFERROR(VALUE(TRIM(LEFT(MID($A1899,FIND("/",$A1899)+1,20),FIND("/",MID($A1899,FIND("/",$A1899)+1,20))-1))),"")))</f>
        <v/>
      </c>
      <c r="D1899">
        <f>IF(OR($A1899="",$B1899=""),"",IF(ISNUMBER($A1899),MOD($A1899,100),IFERROR(VALUE(TRIM(MID(MID($A1899,FIND("/",$A1899)+1,20),FIND("/",MID($A1899,FIND("/",$A1899)+1,20))+1,20))),"")))</f>
        <v/>
      </c>
      <c r="E1899">
        <f>IF($A1899="","",IF(OR($B1899="",$C1899="",$D1899="",$B1899&lt;1300,$B1899&gt;1500,$C1899&lt;1,$C1899&gt;12,$D1899&lt;1,$D1899&gt;31),"نامعتبر",RIGHT("0000"&amp;$B1899,4)&amp;"/"&amp;RIGHT("00"&amp;$C1899,2)&amp;"/"&amp;RIGHT("00"&amp;$D1899,2)))</f>
        <v/>
      </c>
      <c r="F1899">
        <f>IF(OR($E1899="",$E1899="نامعتبر"),"",IF(Sync!$Q1896="","0000",IF(AND(ISNUMBER(Sync!$Q1896),Sync!$Q1896&gt;=0,Sync!$Q1896&lt;1),RIGHT("00"&amp;HOUR(Sync!$Q1896),2)&amp;RIGHT("00"&amp;MINUTE(Sync!$Q1896),2),IFERROR(RIGHT("00"&amp;VALUE(LEFT(Sync!$Q1896,FIND(":",Sync!$Q1896)-1)),2)&amp;RIGHT("00"&amp;VALUE(MID(Sync!$Q1896,FIND(":",Sync!$Q1896)+1,2)),2),"0000"))))</f>
        <v/>
      </c>
      <c r="G1899">
        <f>IF(OR($E1899="",$E1899="نامعتبر"),"",IF(Sync!$S1896="","",Sync!$S1896))</f>
        <v/>
      </c>
      <c r="H1899">
        <f>IF(OR($E1899="",$E1899="نامعتبر"),"",IF(Sync!$R1896="","",Sync!$R1896))</f>
        <v/>
      </c>
      <c r="I1899">
        <f>IF(OR($E1899="",$E1899="نامعتبر"),"",IF(Sync!$T1896="","",Sync!$T1896))</f>
        <v/>
      </c>
      <c r="J1899">
        <f>IF(OR($E1899="",$E1899="نامعتبر"),"",IF(Sync!$U1896="","",Sync!$U1896))</f>
        <v/>
      </c>
      <c r="K1899">
        <f>IF(OR($E1899="",$E1899="نامعتبر"),"",IF(Sync!$V1896="","",IFERROR(INDEX(SubCodes,MATCH(Sync!$V1896,SubTitles,0)),Sync!$V1896)))</f>
        <v/>
      </c>
      <c r="L1899">
        <f>IF(OR($E1899="",$E1899="نامعتبر"),"",IF(Sync!$W1896="",0,Sync!$W1896))</f>
        <v/>
      </c>
      <c r="M1899">
        <f>IF(OR($E1899="",$E1899="نامعتبر"),"",IF(Sync!$X1896="",0,Sync!$X1896))</f>
        <v/>
      </c>
      <c r="N1899">
        <f>IF(OR($E1899="",$E1899="نامعتبر"),"",IF(AND($J1899="هزینه",$K1899&lt;&gt;""),1,0))</f>
        <v/>
      </c>
      <c r="O1899">
        <f>IF($N1899=0,"",LEFT($E1899,4)&amp;MID($E1899,6,2)&amp;RIGHT($E1899,2)&amp;$F1899&amp;"|"&amp;"1"&amp;RIGHT("00000"&amp;1891,5))</f>
        <v/>
      </c>
      <c r="P1899">
        <f>IF($O1899="","",COUNTIFS(ExpSub,$K1899,ExpKey,"&lt;"&amp;$O1899)+1)</f>
        <v/>
      </c>
      <c r="Q1899">
        <f>IF($P1899="","",$K1899&amp;"|"&amp;RIGHT("000000"&amp;$P1899,6))</f>
        <v/>
      </c>
    </row>
    <row r="1900">
      <c r="A1900">
        <f>IF(Sync!$P1897="","",Sync!$P1897)</f>
        <v/>
      </c>
      <c r="B1900">
        <f>IF($A1900="","",IF(ISNUMBER($A1900),IF(AND($A1900&gt;=10000101,$A1900&lt;=99991231),INT($A1900/10000),""),IFERROR(VALUE(TRIM(LEFT($A1900,FIND("/",$A1900)-1))),"")))</f>
        <v/>
      </c>
      <c r="C1900">
        <f>IF(OR($A1900="",$B1900=""),"",IF(ISNUMBER($A1900),INT(MOD($A1900,10000)/100),IFERROR(VALUE(TRIM(LEFT(MID($A1900,FIND("/",$A1900)+1,20),FIND("/",MID($A1900,FIND("/",$A1900)+1,20))-1))),"")))</f>
        <v/>
      </c>
      <c r="D1900">
        <f>IF(OR($A1900="",$B1900=""),"",IF(ISNUMBER($A1900),MOD($A1900,100),IFERROR(VALUE(TRIM(MID(MID($A1900,FIND("/",$A1900)+1,20),FIND("/",MID($A1900,FIND("/",$A1900)+1,20))+1,20))),"")))</f>
        <v/>
      </c>
      <c r="E1900">
        <f>IF($A1900="","",IF(OR($B1900="",$C1900="",$D1900="",$B1900&lt;1300,$B1900&gt;1500,$C1900&lt;1,$C1900&gt;12,$D1900&lt;1,$D1900&gt;31),"نامعتبر",RIGHT("0000"&amp;$B1900,4)&amp;"/"&amp;RIGHT("00"&amp;$C1900,2)&amp;"/"&amp;RIGHT("00"&amp;$D1900,2)))</f>
        <v/>
      </c>
      <c r="F1900">
        <f>IF(OR($E1900="",$E1900="نامعتبر"),"",IF(Sync!$Q1897="","0000",IF(AND(ISNUMBER(Sync!$Q1897),Sync!$Q1897&gt;=0,Sync!$Q1897&lt;1),RIGHT("00"&amp;HOUR(Sync!$Q1897),2)&amp;RIGHT("00"&amp;MINUTE(Sync!$Q1897),2),IFERROR(RIGHT("00"&amp;VALUE(LEFT(Sync!$Q1897,FIND(":",Sync!$Q1897)-1)),2)&amp;RIGHT("00"&amp;VALUE(MID(Sync!$Q1897,FIND(":",Sync!$Q1897)+1,2)),2),"0000"))))</f>
        <v/>
      </c>
      <c r="G1900">
        <f>IF(OR($E1900="",$E1900="نامعتبر"),"",IF(Sync!$S1897="","",Sync!$S1897))</f>
        <v/>
      </c>
      <c r="H1900">
        <f>IF(OR($E1900="",$E1900="نامعتبر"),"",IF(Sync!$R1897="","",Sync!$R1897))</f>
        <v/>
      </c>
      <c r="I1900">
        <f>IF(OR($E1900="",$E1900="نامعتبر"),"",IF(Sync!$T1897="","",Sync!$T1897))</f>
        <v/>
      </c>
      <c r="J1900">
        <f>IF(OR($E1900="",$E1900="نامعتبر"),"",IF(Sync!$U1897="","",Sync!$U1897))</f>
        <v/>
      </c>
      <c r="K1900">
        <f>IF(OR($E1900="",$E1900="نامعتبر"),"",IF(Sync!$V1897="","",IFERROR(INDEX(SubCodes,MATCH(Sync!$V1897,SubTitles,0)),Sync!$V1897)))</f>
        <v/>
      </c>
      <c r="L1900">
        <f>IF(OR($E1900="",$E1900="نامعتبر"),"",IF(Sync!$W1897="",0,Sync!$W1897))</f>
        <v/>
      </c>
      <c r="M1900">
        <f>IF(OR($E1900="",$E1900="نامعتبر"),"",IF(Sync!$X1897="",0,Sync!$X1897))</f>
        <v/>
      </c>
      <c r="N1900">
        <f>IF(OR($E1900="",$E1900="نامعتبر"),"",IF(AND($J1900="هزینه",$K1900&lt;&gt;""),1,0))</f>
        <v/>
      </c>
      <c r="O1900">
        <f>IF($N1900=0,"",LEFT($E1900,4)&amp;MID($E1900,6,2)&amp;RIGHT($E1900,2)&amp;$F1900&amp;"|"&amp;"1"&amp;RIGHT("00000"&amp;1892,5))</f>
        <v/>
      </c>
      <c r="P1900">
        <f>IF($O1900="","",COUNTIFS(ExpSub,$K1900,ExpKey,"&lt;"&amp;$O1900)+1)</f>
        <v/>
      </c>
      <c r="Q1900">
        <f>IF($P1900="","",$K1900&amp;"|"&amp;RIGHT("000000"&amp;$P1900,6))</f>
        <v/>
      </c>
    </row>
    <row r="1901">
      <c r="A1901">
        <f>IF(Sync!$P1898="","",Sync!$P1898)</f>
        <v/>
      </c>
      <c r="B1901">
        <f>IF($A1901="","",IF(ISNUMBER($A1901),IF(AND($A1901&gt;=10000101,$A1901&lt;=99991231),INT($A1901/10000),""),IFERROR(VALUE(TRIM(LEFT($A1901,FIND("/",$A1901)-1))),"")))</f>
        <v/>
      </c>
      <c r="C1901">
        <f>IF(OR($A1901="",$B1901=""),"",IF(ISNUMBER($A1901),INT(MOD($A1901,10000)/100),IFERROR(VALUE(TRIM(LEFT(MID($A1901,FIND("/",$A1901)+1,20),FIND("/",MID($A1901,FIND("/",$A1901)+1,20))-1))),"")))</f>
        <v/>
      </c>
      <c r="D1901">
        <f>IF(OR($A1901="",$B1901=""),"",IF(ISNUMBER($A1901),MOD($A1901,100),IFERROR(VALUE(TRIM(MID(MID($A1901,FIND("/",$A1901)+1,20),FIND("/",MID($A1901,FIND("/",$A1901)+1,20))+1,20))),"")))</f>
        <v/>
      </c>
      <c r="E1901">
        <f>IF($A1901="","",IF(OR($B1901="",$C1901="",$D1901="",$B1901&lt;1300,$B1901&gt;1500,$C1901&lt;1,$C1901&gt;12,$D1901&lt;1,$D1901&gt;31),"نامعتبر",RIGHT("0000"&amp;$B1901,4)&amp;"/"&amp;RIGHT("00"&amp;$C1901,2)&amp;"/"&amp;RIGHT("00"&amp;$D1901,2)))</f>
        <v/>
      </c>
      <c r="F1901">
        <f>IF(OR($E1901="",$E1901="نامعتبر"),"",IF(Sync!$Q1898="","0000",IF(AND(ISNUMBER(Sync!$Q1898),Sync!$Q1898&gt;=0,Sync!$Q1898&lt;1),RIGHT("00"&amp;HOUR(Sync!$Q1898),2)&amp;RIGHT("00"&amp;MINUTE(Sync!$Q1898),2),IFERROR(RIGHT("00"&amp;VALUE(LEFT(Sync!$Q1898,FIND(":",Sync!$Q1898)-1)),2)&amp;RIGHT("00"&amp;VALUE(MID(Sync!$Q1898,FIND(":",Sync!$Q1898)+1,2)),2),"0000"))))</f>
        <v/>
      </c>
      <c r="G1901">
        <f>IF(OR($E1901="",$E1901="نامعتبر"),"",IF(Sync!$S1898="","",Sync!$S1898))</f>
        <v/>
      </c>
      <c r="H1901">
        <f>IF(OR($E1901="",$E1901="نامعتبر"),"",IF(Sync!$R1898="","",Sync!$R1898))</f>
        <v/>
      </c>
      <c r="I1901">
        <f>IF(OR($E1901="",$E1901="نامعتبر"),"",IF(Sync!$T1898="","",Sync!$T1898))</f>
        <v/>
      </c>
      <c r="J1901">
        <f>IF(OR($E1901="",$E1901="نامعتبر"),"",IF(Sync!$U1898="","",Sync!$U1898))</f>
        <v/>
      </c>
      <c r="K1901">
        <f>IF(OR($E1901="",$E1901="نامعتبر"),"",IF(Sync!$V1898="","",IFERROR(INDEX(SubCodes,MATCH(Sync!$V1898,SubTitles,0)),Sync!$V1898)))</f>
        <v/>
      </c>
      <c r="L1901">
        <f>IF(OR($E1901="",$E1901="نامعتبر"),"",IF(Sync!$W1898="",0,Sync!$W1898))</f>
        <v/>
      </c>
      <c r="M1901">
        <f>IF(OR($E1901="",$E1901="نامعتبر"),"",IF(Sync!$X1898="",0,Sync!$X1898))</f>
        <v/>
      </c>
      <c r="N1901">
        <f>IF(OR($E1901="",$E1901="نامعتبر"),"",IF(AND($J1901="هزینه",$K1901&lt;&gt;""),1,0))</f>
        <v/>
      </c>
      <c r="O1901">
        <f>IF($N1901=0,"",LEFT($E1901,4)&amp;MID($E1901,6,2)&amp;RIGHT($E1901,2)&amp;$F1901&amp;"|"&amp;"1"&amp;RIGHT("00000"&amp;1893,5))</f>
        <v/>
      </c>
      <c r="P1901">
        <f>IF($O1901="","",COUNTIFS(ExpSub,$K1901,ExpKey,"&lt;"&amp;$O1901)+1)</f>
        <v/>
      </c>
      <c r="Q1901">
        <f>IF($P1901="","",$K1901&amp;"|"&amp;RIGHT("000000"&amp;$P1901,6))</f>
        <v/>
      </c>
    </row>
    <row r="1902">
      <c r="A1902">
        <f>IF(Sync!$P1899="","",Sync!$P1899)</f>
        <v/>
      </c>
      <c r="B1902">
        <f>IF($A1902="","",IF(ISNUMBER($A1902),IF(AND($A1902&gt;=10000101,$A1902&lt;=99991231),INT($A1902/10000),""),IFERROR(VALUE(TRIM(LEFT($A1902,FIND("/",$A1902)-1))),"")))</f>
        <v/>
      </c>
      <c r="C1902">
        <f>IF(OR($A1902="",$B1902=""),"",IF(ISNUMBER($A1902),INT(MOD($A1902,10000)/100),IFERROR(VALUE(TRIM(LEFT(MID($A1902,FIND("/",$A1902)+1,20),FIND("/",MID($A1902,FIND("/",$A1902)+1,20))-1))),"")))</f>
        <v/>
      </c>
      <c r="D1902">
        <f>IF(OR($A1902="",$B1902=""),"",IF(ISNUMBER($A1902),MOD($A1902,100),IFERROR(VALUE(TRIM(MID(MID($A1902,FIND("/",$A1902)+1,20),FIND("/",MID($A1902,FIND("/",$A1902)+1,20))+1,20))),"")))</f>
        <v/>
      </c>
      <c r="E1902">
        <f>IF($A1902="","",IF(OR($B1902="",$C1902="",$D1902="",$B1902&lt;1300,$B1902&gt;1500,$C1902&lt;1,$C1902&gt;12,$D1902&lt;1,$D1902&gt;31),"نامعتبر",RIGHT("0000"&amp;$B1902,4)&amp;"/"&amp;RIGHT("00"&amp;$C1902,2)&amp;"/"&amp;RIGHT("00"&amp;$D1902,2)))</f>
        <v/>
      </c>
      <c r="F1902">
        <f>IF(OR($E1902="",$E1902="نامعتبر"),"",IF(Sync!$Q1899="","0000",IF(AND(ISNUMBER(Sync!$Q1899),Sync!$Q1899&gt;=0,Sync!$Q1899&lt;1),RIGHT("00"&amp;HOUR(Sync!$Q1899),2)&amp;RIGHT("00"&amp;MINUTE(Sync!$Q1899),2),IFERROR(RIGHT("00"&amp;VALUE(LEFT(Sync!$Q1899,FIND(":",Sync!$Q1899)-1)),2)&amp;RIGHT("00"&amp;VALUE(MID(Sync!$Q1899,FIND(":",Sync!$Q1899)+1,2)),2),"0000"))))</f>
        <v/>
      </c>
      <c r="G1902">
        <f>IF(OR($E1902="",$E1902="نامعتبر"),"",IF(Sync!$S1899="","",Sync!$S1899))</f>
        <v/>
      </c>
      <c r="H1902">
        <f>IF(OR($E1902="",$E1902="نامعتبر"),"",IF(Sync!$R1899="","",Sync!$R1899))</f>
        <v/>
      </c>
      <c r="I1902">
        <f>IF(OR($E1902="",$E1902="نامعتبر"),"",IF(Sync!$T1899="","",Sync!$T1899))</f>
        <v/>
      </c>
      <c r="J1902">
        <f>IF(OR($E1902="",$E1902="نامعتبر"),"",IF(Sync!$U1899="","",Sync!$U1899))</f>
        <v/>
      </c>
      <c r="K1902">
        <f>IF(OR($E1902="",$E1902="نامعتبر"),"",IF(Sync!$V1899="","",IFERROR(INDEX(SubCodes,MATCH(Sync!$V1899,SubTitles,0)),Sync!$V1899)))</f>
        <v/>
      </c>
      <c r="L1902">
        <f>IF(OR($E1902="",$E1902="نامعتبر"),"",IF(Sync!$W1899="",0,Sync!$W1899))</f>
        <v/>
      </c>
      <c r="M1902">
        <f>IF(OR($E1902="",$E1902="نامعتبر"),"",IF(Sync!$X1899="",0,Sync!$X1899))</f>
        <v/>
      </c>
      <c r="N1902">
        <f>IF(OR($E1902="",$E1902="نامعتبر"),"",IF(AND($J1902="هزینه",$K1902&lt;&gt;""),1,0))</f>
        <v/>
      </c>
      <c r="O1902">
        <f>IF($N1902=0,"",LEFT($E1902,4)&amp;MID($E1902,6,2)&amp;RIGHT($E1902,2)&amp;$F1902&amp;"|"&amp;"1"&amp;RIGHT("00000"&amp;1894,5))</f>
        <v/>
      </c>
      <c r="P1902">
        <f>IF($O1902="","",COUNTIFS(ExpSub,$K1902,ExpKey,"&lt;"&amp;$O1902)+1)</f>
        <v/>
      </c>
      <c r="Q1902">
        <f>IF($P1902="","",$K1902&amp;"|"&amp;RIGHT("000000"&amp;$P1902,6))</f>
        <v/>
      </c>
    </row>
    <row r="1903">
      <c r="A1903">
        <f>IF(Sync!$P1900="","",Sync!$P1900)</f>
        <v/>
      </c>
      <c r="B1903">
        <f>IF($A1903="","",IF(ISNUMBER($A1903),IF(AND($A1903&gt;=10000101,$A1903&lt;=99991231),INT($A1903/10000),""),IFERROR(VALUE(TRIM(LEFT($A1903,FIND("/",$A1903)-1))),"")))</f>
        <v/>
      </c>
      <c r="C1903">
        <f>IF(OR($A1903="",$B1903=""),"",IF(ISNUMBER($A1903),INT(MOD($A1903,10000)/100),IFERROR(VALUE(TRIM(LEFT(MID($A1903,FIND("/",$A1903)+1,20),FIND("/",MID($A1903,FIND("/",$A1903)+1,20))-1))),"")))</f>
        <v/>
      </c>
      <c r="D1903">
        <f>IF(OR($A1903="",$B1903=""),"",IF(ISNUMBER($A1903),MOD($A1903,100),IFERROR(VALUE(TRIM(MID(MID($A1903,FIND("/",$A1903)+1,20),FIND("/",MID($A1903,FIND("/",$A1903)+1,20))+1,20))),"")))</f>
        <v/>
      </c>
      <c r="E1903">
        <f>IF($A1903="","",IF(OR($B1903="",$C1903="",$D1903="",$B1903&lt;1300,$B1903&gt;1500,$C1903&lt;1,$C1903&gt;12,$D1903&lt;1,$D1903&gt;31),"نامعتبر",RIGHT("0000"&amp;$B1903,4)&amp;"/"&amp;RIGHT("00"&amp;$C1903,2)&amp;"/"&amp;RIGHT("00"&amp;$D1903,2)))</f>
        <v/>
      </c>
      <c r="F1903">
        <f>IF(OR($E1903="",$E1903="نامعتبر"),"",IF(Sync!$Q1900="","0000",IF(AND(ISNUMBER(Sync!$Q1900),Sync!$Q1900&gt;=0,Sync!$Q1900&lt;1),RIGHT("00"&amp;HOUR(Sync!$Q1900),2)&amp;RIGHT("00"&amp;MINUTE(Sync!$Q1900),2),IFERROR(RIGHT("00"&amp;VALUE(LEFT(Sync!$Q1900,FIND(":",Sync!$Q1900)-1)),2)&amp;RIGHT("00"&amp;VALUE(MID(Sync!$Q1900,FIND(":",Sync!$Q1900)+1,2)),2),"0000"))))</f>
        <v/>
      </c>
      <c r="G1903">
        <f>IF(OR($E1903="",$E1903="نامعتبر"),"",IF(Sync!$S1900="","",Sync!$S1900))</f>
        <v/>
      </c>
      <c r="H1903">
        <f>IF(OR($E1903="",$E1903="نامعتبر"),"",IF(Sync!$R1900="","",Sync!$R1900))</f>
        <v/>
      </c>
      <c r="I1903">
        <f>IF(OR($E1903="",$E1903="نامعتبر"),"",IF(Sync!$T1900="","",Sync!$T1900))</f>
        <v/>
      </c>
      <c r="J1903">
        <f>IF(OR($E1903="",$E1903="نامعتبر"),"",IF(Sync!$U1900="","",Sync!$U1900))</f>
        <v/>
      </c>
      <c r="K1903">
        <f>IF(OR($E1903="",$E1903="نامعتبر"),"",IF(Sync!$V1900="","",IFERROR(INDEX(SubCodes,MATCH(Sync!$V1900,SubTitles,0)),Sync!$V1900)))</f>
        <v/>
      </c>
      <c r="L1903">
        <f>IF(OR($E1903="",$E1903="نامعتبر"),"",IF(Sync!$W1900="",0,Sync!$W1900))</f>
        <v/>
      </c>
      <c r="M1903">
        <f>IF(OR($E1903="",$E1903="نامعتبر"),"",IF(Sync!$X1900="",0,Sync!$X1900))</f>
        <v/>
      </c>
      <c r="N1903">
        <f>IF(OR($E1903="",$E1903="نامعتبر"),"",IF(AND($J1903="هزینه",$K1903&lt;&gt;""),1,0))</f>
        <v/>
      </c>
      <c r="O1903">
        <f>IF($N1903=0,"",LEFT($E1903,4)&amp;MID($E1903,6,2)&amp;RIGHT($E1903,2)&amp;$F1903&amp;"|"&amp;"1"&amp;RIGHT("00000"&amp;1895,5))</f>
        <v/>
      </c>
      <c r="P1903">
        <f>IF($O1903="","",COUNTIFS(ExpSub,$K1903,ExpKey,"&lt;"&amp;$O1903)+1)</f>
        <v/>
      </c>
      <c r="Q1903">
        <f>IF($P1903="","",$K1903&amp;"|"&amp;RIGHT("000000"&amp;$P1903,6))</f>
        <v/>
      </c>
    </row>
    <row r="1904">
      <c r="A1904">
        <f>IF(Sync!$P1901="","",Sync!$P1901)</f>
        <v/>
      </c>
      <c r="B1904">
        <f>IF($A1904="","",IF(ISNUMBER($A1904),IF(AND($A1904&gt;=10000101,$A1904&lt;=99991231),INT($A1904/10000),""),IFERROR(VALUE(TRIM(LEFT($A1904,FIND("/",$A1904)-1))),"")))</f>
        <v/>
      </c>
      <c r="C1904">
        <f>IF(OR($A1904="",$B1904=""),"",IF(ISNUMBER($A1904),INT(MOD($A1904,10000)/100),IFERROR(VALUE(TRIM(LEFT(MID($A1904,FIND("/",$A1904)+1,20),FIND("/",MID($A1904,FIND("/",$A1904)+1,20))-1))),"")))</f>
        <v/>
      </c>
      <c r="D1904">
        <f>IF(OR($A1904="",$B1904=""),"",IF(ISNUMBER($A1904),MOD($A1904,100),IFERROR(VALUE(TRIM(MID(MID($A1904,FIND("/",$A1904)+1,20),FIND("/",MID($A1904,FIND("/",$A1904)+1,20))+1,20))),"")))</f>
        <v/>
      </c>
      <c r="E1904">
        <f>IF($A1904="","",IF(OR($B1904="",$C1904="",$D1904="",$B1904&lt;1300,$B1904&gt;1500,$C1904&lt;1,$C1904&gt;12,$D1904&lt;1,$D1904&gt;31),"نامعتبر",RIGHT("0000"&amp;$B1904,4)&amp;"/"&amp;RIGHT("00"&amp;$C1904,2)&amp;"/"&amp;RIGHT("00"&amp;$D1904,2)))</f>
        <v/>
      </c>
      <c r="F1904">
        <f>IF(OR($E1904="",$E1904="نامعتبر"),"",IF(Sync!$Q1901="","0000",IF(AND(ISNUMBER(Sync!$Q1901),Sync!$Q1901&gt;=0,Sync!$Q1901&lt;1),RIGHT("00"&amp;HOUR(Sync!$Q1901),2)&amp;RIGHT("00"&amp;MINUTE(Sync!$Q1901),2),IFERROR(RIGHT("00"&amp;VALUE(LEFT(Sync!$Q1901,FIND(":",Sync!$Q1901)-1)),2)&amp;RIGHT("00"&amp;VALUE(MID(Sync!$Q1901,FIND(":",Sync!$Q1901)+1,2)),2),"0000"))))</f>
        <v/>
      </c>
      <c r="G1904">
        <f>IF(OR($E1904="",$E1904="نامعتبر"),"",IF(Sync!$S1901="","",Sync!$S1901))</f>
        <v/>
      </c>
      <c r="H1904">
        <f>IF(OR($E1904="",$E1904="نامعتبر"),"",IF(Sync!$R1901="","",Sync!$R1901))</f>
        <v/>
      </c>
      <c r="I1904">
        <f>IF(OR($E1904="",$E1904="نامعتبر"),"",IF(Sync!$T1901="","",Sync!$T1901))</f>
        <v/>
      </c>
      <c r="J1904">
        <f>IF(OR($E1904="",$E1904="نامعتبر"),"",IF(Sync!$U1901="","",Sync!$U1901))</f>
        <v/>
      </c>
      <c r="K1904">
        <f>IF(OR($E1904="",$E1904="نامعتبر"),"",IF(Sync!$V1901="","",IFERROR(INDEX(SubCodes,MATCH(Sync!$V1901,SubTitles,0)),Sync!$V1901)))</f>
        <v/>
      </c>
      <c r="L1904">
        <f>IF(OR($E1904="",$E1904="نامعتبر"),"",IF(Sync!$W1901="",0,Sync!$W1901))</f>
        <v/>
      </c>
      <c r="M1904">
        <f>IF(OR($E1904="",$E1904="نامعتبر"),"",IF(Sync!$X1901="",0,Sync!$X1901))</f>
        <v/>
      </c>
      <c r="N1904">
        <f>IF(OR($E1904="",$E1904="نامعتبر"),"",IF(AND($J1904="هزینه",$K1904&lt;&gt;""),1,0))</f>
        <v/>
      </c>
      <c r="O1904">
        <f>IF($N1904=0,"",LEFT($E1904,4)&amp;MID($E1904,6,2)&amp;RIGHT($E1904,2)&amp;$F1904&amp;"|"&amp;"1"&amp;RIGHT("00000"&amp;1896,5))</f>
        <v/>
      </c>
      <c r="P1904">
        <f>IF($O1904="","",COUNTIFS(ExpSub,$K1904,ExpKey,"&lt;"&amp;$O1904)+1)</f>
        <v/>
      </c>
      <c r="Q1904">
        <f>IF($P1904="","",$K1904&amp;"|"&amp;RIGHT("000000"&amp;$P1904,6))</f>
        <v/>
      </c>
    </row>
    <row r="1905">
      <c r="A1905">
        <f>IF(Sync!$P1902="","",Sync!$P1902)</f>
        <v/>
      </c>
      <c r="B1905">
        <f>IF($A1905="","",IF(ISNUMBER($A1905),IF(AND($A1905&gt;=10000101,$A1905&lt;=99991231),INT($A1905/10000),""),IFERROR(VALUE(TRIM(LEFT($A1905,FIND("/",$A1905)-1))),"")))</f>
        <v/>
      </c>
      <c r="C1905">
        <f>IF(OR($A1905="",$B1905=""),"",IF(ISNUMBER($A1905),INT(MOD($A1905,10000)/100),IFERROR(VALUE(TRIM(LEFT(MID($A1905,FIND("/",$A1905)+1,20),FIND("/",MID($A1905,FIND("/",$A1905)+1,20))-1))),"")))</f>
        <v/>
      </c>
      <c r="D1905">
        <f>IF(OR($A1905="",$B1905=""),"",IF(ISNUMBER($A1905),MOD($A1905,100),IFERROR(VALUE(TRIM(MID(MID($A1905,FIND("/",$A1905)+1,20),FIND("/",MID($A1905,FIND("/",$A1905)+1,20))+1,20))),"")))</f>
        <v/>
      </c>
      <c r="E1905">
        <f>IF($A1905="","",IF(OR($B1905="",$C1905="",$D1905="",$B1905&lt;1300,$B1905&gt;1500,$C1905&lt;1,$C1905&gt;12,$D1905&lt;1,$D1905&gt;31),"نامعتبر",RIGHT("0000"&amp;$B1905,4)&amp;"/"&amp;RIGHT("00"&amp;$C1905,2)&amp;"/"&amp;RIGHT("00"&amp;$D1905,2)))</f>
        <v/>
      </c>
      <c r="F1905">
        <f>IF(OR($E1905="",$E1905="نامعتبر"),"",IF(Sync!$Q1902="","0000",IF(AND(ISNUMBER(Sync!$Q1902),Sync!$Q1902&gt;=0,Sync!$Q1902&lt;1),RIGHT("00"&amp;HOUR(Sync!$Q1902),2)&amp;RIGHT("00"&amp;MINUTE(Sync!$Q1902),2),IFERROR(RIGHT("00"&amp;VALUE(LEFT(Sync!$Q1902,FIND(":",Sync!$Q1902)-1)),2)&amp;RIGHT("00"&amp;VALUE(MID(Sync!$Q1902,FIND(":",Sync!$Q1902)+1,2)),2),"0000"))))</f>
        <v/>
      </c>
      <c r="G1905">
        <f>IF(OR($E1905="",$E1905="نامعتبر"),"",IF(Sync!$S1902="","",Sync!$S1902))</f>
        <v/>
      </c>
      <c r="H1905">
        <f>IF(OR($E1905="",$E1905="نامعتبر"),"",IF(Sync!$R1902="","",Sync!$R1902))</f>
        <v/>
      </c>
      <c r="I1905">
        <f>IF(OR($E1905="",$E1905="نامعتبر"),"",IF(Sync!$T1902="","",Sync!$T1902))</f>
        <v/>
      </c>
      <c r="J1905">
        <f>IF(OR($E1905="",$E1905="نامعتبر"),"",IF(Sync!$U1902="","",Sync!$U1902))</f>
        <v/>
      </c>
      <c r="K1905">
        <f>IF(OR($E1905="",$E1905="نامعتبر"),"",IF(Sync!$V1902="","",IFERROR(INDEX(SubCodes,MATCH(Sync!$V1902,SubTitles,0)),Sync!$V1902)))</f>
        <v/>
      </c>
      <c r="L1905">
        <f>IF(OR($E1905="",$E1905="نامعتبر"),"",IF(Sync!$W1902="",0,Sync!$W1902))</f>
        <v/>
      </c>
      <c r="M1905">
        <f>IF(OR($E1905="",$E1905="نامعتبر"),"",IF(Sync!$X1902="",0,Sync!$X1902))</f>
        <v/>
      </c>
      <c r="N1905">
        <f>IF(OR($E1905="",$E1905="نامعتبر"),"",IF(AND($J1905="هزینه",$K1905&lt;&gt;""),1,0))</f>
        <v/>
      </c>
      <c r="O1905">
        <f>IF($N1905=0,"",LEFT($E1905,4)&amp;MID($E1905,6,2)&amp;RIGHT($E1905,2)&amp;$F1905&amp;"|"&amp;"1"&amp;RIGHT("00000"&amp;1897,5))</f>
        <v/>
      </c>
      <c r="P1905">
        <f>IF($O1905="","",COUNTIFS(ExpSub,$K1905,ExpKey,"&lt;"&amp;$O1905)+1)</f>
        <v/>
      </c>
      <c r="Q1905">
        <f>IF($P1905="","",$K1905&amp;"|"&amp;RIGHT("000000"&amp;$P1905,6))</f>
        <v/>
      </c>
    </row>
    <row r="1906">
      <c r="A1906">
        <f>IF(Sync!$P1903="","",Sync!$P1903)</f>
        <v/>
      </c>
      <c r="B1906">
        <f>IF($A1906="","",IF(ISNUMBER($A1906),IF(AND($A1906&gt;=10000101,$A1906&lt;=99991231),INT($A1906/10000),""),IFERROR(VALUE(TRIM(LEFT($A1906,FIND("/",$A1906)-1))),"")))</f>
        <v/>
      </c>
      <c r="C1906">
        <f>IF(OR($A1906="",$B1906=""),"",IF(ISNUMBER($A1906),INT(MOD($A1906,10000)/100),IFERROR(VALUE(TRIM(LEFT(MID($A1906,FIND("/",$A1906)+1,20),FIND("/",MID($A1906,FIND("/",$A1906)+1,20))-1))),"")))</f>
        <v/>
      </c>
      <c r="D1906">
        <f>IF(OR($A1906="",$B1906=""),"",IF(ISNUMBER($A1906),MOD($A1906,100),IFERROR(VALUE(TRIM(MID(MID($A1906,FIND("/",$A1906)+1,20),FIND("/",MID($A1906,FIND("/",$A1906)+1,20))+1,20))),"")))</f>
        <v/>
      </c>
      <c r="E1906">
        <f>IF($A1906="","",IF(OR($B1906="",$C1906="",$D1906="",$B1906&lt;1300,$B1906&gt;1500,$C1906&lt;1,$C1906&gt;12,$D1906&lt;1,$D1906&gt;31),"نامعتبر",RIGHT("0000"&amp;$B1906,4)&amp;"/"&amp;RIGHT("00"&amp;$C1906,2)&amp;"/"&amp;RIGHT("00"&amp;$D1906,2)))</f>
        <v/>
      </c>
      <c r="F1906">
        <f>IF(OR($E1906="",$E1906="نامعتبر"),"",IF(Sync!$Q1903="","0000",IF(AND(ISNUMBER(Sync!$Q1903),Sync!$Q1903&gt;=0,Sync!$Q1903&lt;1),RIGHT("00"&amp;HOUR(Sync!$Q1903),2)&amp;RIGHT("00"&amp;MINUTE(Sync!$Q1903),2),IFERROR(RIGHT("00"&amp;VALUE(LEFT(Sync!$Q1903,FIND(":",Sync!$Q1903)-1)),2)&amp;RIGHT("00"&amp;VALUE(MID(Sync!$Q1903,FIND(":",Sync!$Q1903)+1,2)),2),"0000"))))</f>
        <v/>
      </c>
      <c r="G1906">
        <f>IF(OR($E1906="",$E1906="نامعتبر"),"",IF(Sync!$S1903="","",Sync!$S1903))</f>
        <v/>
      </c>
      <c r="H1906">
        <f>IF(OR($E1906="",$E1906="نامعتبر"),"",IF(Sync!$R1903="","",Sync!$R1903))</f>
        <v/>
      </c>
      <c r="I1906">
        <f>IF(OR($E1906="",$E1906="نامعتبر"),"",IF(Sync!$T1903="","",Sync!$T1903))</f>
        <v/>
      </c>
      <c r="J1906">
        <f>IF(OR($E1906="",$E1906="نامعتبر"),"",IF(Sync!$U1903="","",Sync!$U1903))</f>
        <v/>
      </c>
      <c r="K1906">
        <f>IF(OR($E1906="",$E1906="نامعتبر"),"",IF(Sync!$V1903="","",IFERROR(INDEX(SubCodes,MATCH(Sync!$V1903,SubTitles,0)),Sync!$V1903)))</f>
        <v/>
      </c>
      <c r="L1906">
        <f>IF(OR($E1906="",$E1906="نامعتبر"),"",IF(Sync!$W1903="",0,Sync!$W1903))</f>
        <v/>
      </c>
      <c r="M1906">
        <f>IF(OR($E1906="",$E1906="نامعتبر"),"",IF(Sync!$X1903="",0,Sync!$X1903))</f>
        <v/>
      </c>
      <c r="N1906">
        <f>IF(OR($E1906="",$E1906="نامعتبر"),"",IF(AND($J1906="هزینه",$K1906&lt;&gt;""),1,0))</f>
        <v/>
      </c>
      <c r="O1906">
        <f>IF($N1906=0,"",LEFT($E1906,4)&amp;MID($E1906,6,2)&amp;RIGHT($E1906,2)&amp;$F1906&amp;"|"&amp;"1"&amp;RIGHT("00000"&amp;1898,5))</f>
        <v/>
      </c>
      <c r="P1906">
        <f>IF($O1906="","",COUNTIFS(ExpSub,$K1906,ExpKey,"&lt;"&amp;$O1906)+1)</f>
        <v/>
      </c>
      <c r="Q1906">
        <f>IF($P1906="","",$K1906&amp;"|"&amp;RIGHT("000000"&amp;$P1906,6))</f>
        <v/>
      </c>
    </row>
    <row r="1907">
      <c r="A1907">
        <f>IF(Sync!$P1904="","",Sync!$P1904)</f>
        <v/>
      </c>
      <c r="B1907">
        <f>IF($A1907="","",IF(ISNUMBER($A1907),IF(AND($A1907&gt;=10000101,$A1907&lt;=99991231),INT($A1907/10000),""),IFERROR(VALUE(TRIM(LEFT($A1907,FIND("/",$A1907)-1))),"")))</f>
        <v/>
      </c>
      <c r="C1907">
        <f>IF(OR($A1907="",$B1907=""),"",IF(ISNUMBER($A1907),INT(MOD($A1907,10000)/100),IFERROR(VALUE(TRIM(LEFT(MID($A1907,FIND("/",$A1907)+1,20),FIND("/",MID($A1907,FIND("/",$A1907)+1,20))-1))),"")))</f>
        <v/>
      </c>
      <c r="D1907">
        <f>IF(OR($A1907="",$B1907=""),"",IF(ISNUMBER($A1907),MOD($A1907,100),IFERROR(VALUE(TRIM(MID(MID($A1907,FIND("/",$A1907)+1,20),FIND("/",MID($A1907,FIND("/",$A1907)+1,20))+1,20))),"")))</f>
        <v/>
      </c>
      <c r="E1907">
        <f>IF($A1907="","",IF(OR($B1907="",$C1907="",$D1907="",$B1907&lt;1300,$B1907&gt;1500,$C1907&lt;1,$C1907&gt;12,$D1907&lt;1,$D1907&gt;31),"نامعتبر",RIGHT("0000"&amp;$B1907,4)&amp;"/"&amp;RIGHT("00"&amp;$C1907,2)&amp;"/"&amp;RIGHT("00"&amp;$D1907,2)))</f>
        <v/>
      </c>
      <c r="F1907">
        <f>IF(OR($E1907="",$E1907="نامعتبر"),"",IF(Sync!$Q1904="","0000",IF(AND(ISNUMBER(Sync!$Q1904),Sync!$Q1904&gt;=0,Sync!$Q1904&lt;1),RIGHT("00"&amp;HOUR(Sync!$Q1904),2)&amp;RIGHT("00"&amp;MINUTE(Sync!$Q1904),2),IFERROR(RIGHT("00"&amp;VALUE(LEFT(Sync!$Q1904,FIND(":",Sync!$Q1904)-1)),2)&amp;RIGHT("00"&amp;VALUE(MID(Sync!$Q1904,FIND(":",Sync!$Q1904)+1,2)),2),"0000"))))</f>
        <v/>
      </c>
      <c r="G1907">
        <f>IF(OR($E1907="",$E1907="نامعتبر"),"",IF(Sync!$S1904="","",Sync!$S1904))</f>
        <v/>
      </c>
      <c r="H1907">
        <f>IF(OR($E1907="",$E1907="نامعتبر"),"",IF(Sync!$R1904="","",Sync!$R1904))</f>
        <v/>
      </c>
      <c r="I1907">
        <f>IF(OR($E1907="",$E1907="نامعتبر"),"",IF(Sync!$T1904="","",Sync!$T1904))</f>
        <v/>
      </c>
      <c r="J1907">
        <f>IF(OR($E1907="",$E1907="نامعتبر"),"",IF(Sync!$U1904="","",Sync!$U1904))</f>
        <v/>
      </c>
      <c r="K1907">
        <f>IF(OR($E1907="",$E1907="نامعتبر"),"",IF(Sync!$V1904="","",IFERROR(INDEX(SubCodes,MATCH(Sync!$V1904,SubTitles,0)),Sync!$V1904)))</f>
        <v/>
      </c>
      <c r="L1907">
        <f>IF(OR($E1907="",$E1907="نامعتبر"),"",IF(Sync!$W1904="",0,Sync!$W1904))</f>
        <v/>
      </c>
      <c r="M1907">
        <f>IF(OR($E1907="",$E1907="نامعتبر"),"",IF(Sync!$X1904="",0,Sync!$X1904))</f>
        <v/>
      </c>
      <c r="N1907">
        <f>IF(OR($E1907="",$E1907="نامعتبر"),"",IF(AND($J1907="هزینه",$K1907&lt;&gt;""),1,0))</f>
        <v/>
      </c>
      <c r="O1907">
        <f>IF($N1907=0,"",LEFT($E1907,4)&amp;MID($E1907,6,2)&amp;RIGHT($E1907,2)&amp;$F1907&amp;"|"&amp;"1"&amp;RIGHT("00000"&amp;1899,5))</f>
        <v/>
      </c>
      <c r="P1907">
        <f>IF($O1907="","",COUNTIFS(ExpSub,$K1907,ExpKey,"&lt;"&amp;$O1907)+1)</f>
        <v/>
      </c>
      <c r="Q1907">
        <f>IF($P1907="","",$K1907&amp;"|"&amp;RIGHT("000000"&amp;$P1907,6))</f>
        <v/>
      </c>
    </row>
    <row r="1908">
      <c r="A1908">
        <f>IF(Sync!$P1905="","",Sync!$P1905)</f>
        <v/>
      </c>
      <c r="B1908">
        <f>IF($A1908="","",IF(ISNUMBER($A1908),IF(AND($A1908&gt;=10000101,$A1908&lt;=99991231),INT($A1908/10000),""),IFERROR(VALUE(TRIM(LEFT($A1908,FIND("/",$A1908)-1))),"")))</f>
        <v/>
      </c>
      <c r="C1908">
        <f>IF(OR($A1908="",$B1908=""),"",IF(ISNUMBER($A1908),INT(MOD($A1908,10000)/100),IFERROR(VALUE(TRIM(LEFT(MID($A1908,FIND("/",$A1908)+1,20),FIND("/",MID($A1908,FIND("/",$A1908)+1,20))-1))),"")))</f>
        <v/>
      </c>
      <c r="D1908">
        <f>IF(OR($A1908="",$B1908=""),"",IF(ISNUMBER($A1908),MOD($A1908,100),IFERROR(VALUE(TRIM(MID(MID($A1908,FIND("/",$A1908)+1,20),FIND("/",MID($A1908,FIND("/",$A1908)+1,20))+1,20))),"")))</f>
        <v/>
      </c>
      <c r="E1908">
        <f>IF($A1908="","",IF(OR($B1908="",$C1908="",$D1908="",$B1908&lt;1300,$B1908&gt;1500,$C1908&lt;1,$C1908&gt;12,$D1908&lt;1,$D1908&gt;31),"نامعتبر",RIGHT("0000"&amp;$B1908,4)&amp;"/"&amp;RIGHT("00"&amp;$C1908,2)&amp;"/"&amp;RIGHT("00"&amp;$D1908,2)))</f>
        <v/>
      </c>
      <c r="F1908">
        <f>IF(OR($E1908="",$E1908="نامعتبر"),"",IF(Sync!$Q1905="","0000",IF(AND(ISNUMBER(Sync!$Q1905),Sync!$Q1905&gt;=0,Sync!$Q1905&lt;1),RIGHT("00"&amp;HOUR(Sync!$Q1905),2)&amp;RIGHT("00"&amp;MINUTE(Sync!$Q1905),2),IFERROR(RIGHT("00"&amp;VALUE(LEFT(Sync!$Q1905,FIND(":",Sync!$Q1905)-1)),2)&amp;RIGHT("00"&amp;VALUE(MID(Sync!$Q1905,FIND(":",Sync!$Q1905)+1,2)),2),"0000"))))</f>
        <v/>
      </c>
      <c r="G1908">
        <f>IF(OR($E1908="",$E1908="نامعتبر"),"",IF(Sync!$S1905="","",Sync!$S1905))</f>
        <v/>
      </c>
      <c r="H1908">
        <f>IF(OR($E1908="",$E1908="نامعتبر"),"",IF(Sync!$R1905="","",Sync!$R1905))</f>
        <v/>
      </c>
      <c r="I1908">
        <f>IF(OR($E1908="",$E1908="نامعتبر"),"",IF(Sync!$T1905="","",Sync!$T1905))</f>
        <v/>
      </c>
      <c r="J1908">
        <f>IF(OR($E1908="",$E1908="نامعتبر"),"",IF(Sync!$U1905="","",Sync!$U1905))</f>
        <v/>
      </c>
      <c r="K1908">
        <f>IF(OR($E1908="",$E1908="نامعتبر"),"",IF(Sync!$V1905="","",IFERROR(INDEX(SubCodes,MATCH(Sync!$V1905,SubTitles,0)),Sync!$V1905)))</f>
        <v/>
      </c>
      <c r="L1908">
        <f>IF(OR($E1908="",$E1908="نامعتبر"),"",IF(Sync!$W1905="",0,Sync!$W1905))</f>
        <v/>
      </c>
      <c r="M1908">
        <f>IF(OR($E1908="",$E1908="نامعتبر"),"",IF(Sync!$X1905="",0,Sync!$X1905))</f>
        <v/>
      </c>
      <c r="N1908">
        <f>IF(OR($E1908="",$E1908="نامعتبر"),"",IF(AND($J1908="هزینه",$K1908&lt;&gt;""),1,0))</f>
        <v/>
      </c>
      <c r="O1908">
        <f>IF($N1908=0,"",LEFT($E1908,4)&amp;MID($E1908,6,2)&amp;RIGHT($E1908,2)&amp;$F1908&amp;"|"&amp;"1"&amp;RIGHT("00000"&amp;1900,5))</f>
        <v/>
      </c>
      <c r="P1908">
        <f>IF($O1908="","",COUNTIFS(ExpSub,$K1908,ExpKey,"&lt;"&amp;$O1908)+1)</f>
        <v/>
      </c>
      <c r="Q1908">
        <f>IF($P1908="","",$K1908&amp;"|"&amp;RIGHT("000000"&amp;$P1908,6))</f>
        <v/>
      </c>
    </row>
    <row r="1909">
      <c r="A1909">
        <f>IF(Sync!$P1906="","",Sync!$P1906)</f>
        <v/>
      </c>
      <c r="B1909">
        <f>IF($A1909="","",IF(ISNUMBER($A1909),IF(AND($A1909&gt;=10000101,$A1909&lt;=99991231),INT($A1909/10000),""),IFERROR(VALUE(TRIM(LEFT($A1909,FIND("/",$A1909)-1))),"")))</f>
        <v/>
      </c>
      <c r="C1909">
        <f>IF(OR($A1909="",$B1909=""),"",IF(ISNUMBER($A1909),INT(MOD($A1909,10000)/100),IFERROR(VALUE(TRIM(LEFT(MID($A1909,FIND("/",$A1909)+1,20),FIND("/",MID($A1909,FIND("/",$A1909)+1,20))-1))),"")))</f>
        <v/>
      </c>
      <c r="D1909">
        <f>IF(OR($A1909="",$B1909=""),"",IF(ISNUMBER($A1909),MOD($A1909,100),IFERROR(VALUE(TRIM(MID(MID($A1909,FIND("/",$A1909)+1,20),FIND("/",MID($A1909,FIND("/",$A1909)+1,20))+1,20))),"")))</f>
        <v/>
      </c>
      <c r="E1909">
        <f>IF($A1909="","",IF(OR($B1909="",$C1909="",$D1909="",$B1909&lt;1300,$B1909&gt;1500,$C1909&lt;1,$C1909&gt;12,$D1909&lt;1,$D1909&gt;31),"نامعتبر",RIGHT("0000"&amp;$B1909,4)&amp;"/"&amp;RIGHT("00"&amp;$C1909,2)&amp;"/"&amp;RIGHT("00"&amp;$D1909,2)))</f>
        <v/>
      </c>
      <c r="F1909">
        <f>IF(OR($E1909="",$E1909="نامعتبر"),"",IF(Sync!$Q1906="","0000",IF(AND(ISNUMBER(Sync!$Q1906),Sync!$Q1906&gt;=0,Sync!$Q1906&lt;1),RIGHT("00"&amp;HOUR(Sync!$Q1906),2)&amp;RIGHT("00"&amp;MINUTE(Sync!$Q1906),2),IFERROR(RIGHT("00"&amp;VALUE(LEFT(Sync!$Q1906,FIND(":",Sync!$Q1906)-1)),2)&amp;RIGHT("00"&amp;VALUE(MID(Sync!$Q1906,FIND(":",Sync!$Q1906)+1,2)),2),"0000"))))</f>
        <v/>
      </c>
      <c r="G1909">
        <f>IF(OR($E1909="",$E1909="نامعتبر"),"",IF(Sync!$S1906="","",Sync!$S1906))</f>
        <v/>
      </c>
      <c r="H1909">
        <f>IF(OR($E1909="",$E1909="نامعتبر"),"",IF(Sync!$R1906="","",Sync!$R1906))</f>
        <v/>
      </c>
      <c r="I1909">
        <f>IF(OR($E1909="",$E1909="نامعتبر"),"",IF(Sync!$T1906="","",Sync!$T1906))</f>
        <v/>
      </c>
      <c r="J1909">
        <f>IF(OR($E1909="",$E1909="نامعتبر"),"",IF(Sync!$U1906="","",Sync!$U1906))</f>
        <v/>
      </c>
      <c r="K1909">
        <f>IF(OR($E1909="",$E1909="نامعتبر"),"",IF(Sync!$V1906="","",IFERROR(INDEX(SubCodes,MATCH(Sync!$V1906,SubTitles,0)),Sync!$V1906)))</f>
        <v/>
      </c>
      <c r="L1909">
        <f>IF(OR($E1909="",$E1909="نامعتبر"),"",IF(Sync!$W1906="",0,Sync!$W1906))</f>
        <v/>
      </c>
      <c r="M1909">
        <f>IF(OR($E1909="",$E1909="نامعتبر"),"",IF(Sync!$X1906="",0,Sync!$X1906))</f>
        <v/>
      </c>
      <c r="N1909">
        <f>IF(OR($E1909="",$E1909="نامعتبر"),"",IF(AND($J1909="هزینه",$K1909&lt;&gt;""),1,0))</f>
        <v/>
      </c>
      <c r="O1909">
        <f>IF($N1909=0,"",LEFT($E1909,4)&amp;MID($E1909,6,2)&amp;RIGHT($E1909,2)&amp;$F1909&amp;"|"&amp;"1"&amp;RIGHT("00000"&amp;1901,5))</f>
        <v/>
      </c>
      <c r="P1909">
        <f>IF($O1909="","",COUNTIFS(ExpSub,$K1909,ExpKey,"&lt;"&amp;$O1909)+1)</f>
        <v/>
      </c>
      <c r="Q1909">
        <f>IF($P1909="","",$K1909&amp;"|"&amp;RIGHT("000000"&amp;$P1909,6))</f>
        <v/>
      </c>
    </row>
    <row r="1910">
      <c r="A1910">
        <f>IF(Sync!$P1907="","",Sync!$P1907)</f>
        <v/>
      </c>
      <c r="B1910">
        <f>IF($A1910="","",IF(ISNUMBER($A1910),IF(AND($A1910&gt;=10000101,$A1910&lt;=99991231),INT($A1910/10000),""),IFERROR(VALUE(TRIM(LEFT($A1910,FIND("/",$A1910)-1))),"")))</f>
        <v/>
      </c>
      <c r="C1910">
        <f>IF(OR($A1910="",$B1910=""),"",IF(ISNUMBER($A1910),INT(MOD($A1910,10000)/100),IFERROR(VALUE(TRIM(LEFT(MID($A1910,FIND("/",$A1910)+1,20),FIND("/",MID($A1910,FIND("/",$A1910)+1,20))-1))),"")))</f>
        <v/>
      </c>
      <c r="D1910">
        <f>IF(OR($A1910="",$B1910=""),"",IF(ISNUMBER($A1910),MOD($A1910,100),IFERROR(VALUE(TRIM(MID(MID($A1910,FIND("/",$A1910)+1,20),FIND("/",MID($A1910,FIND("/",$A1910)+1,20))+1,20))),"")))</f>
        <v/>
      </c>
      <c r="E1910">
        <f>IF($A1910="","",IF(OR($B1910="",$C1910="",$D1910="",$B1910&lt;1300,$B1910&gt;1500,$C1910&lt;1,$C1910&gt;12,$D1910&lt;1,$D1910&gt;31),"نامعتبر",RIGHT("0000"&amp;$B1910,4)&amp;"/"&amp;RIGHT("00"&amp;$C1910,2)&amp;"/"&amp;RIGHT("00"&amp;$D1910,2)))</f>
        <v/>
      </c>
      <c r="F1910">
        <f>IF(OR($E1910="",$E1910="نامعتبر"),"",IF(Sync!$Q1907="","0000",IF(AND(ISNUMBER(Sync!$Q1907),Sync!$Q1907&gt;=0,Sync!$Q1907&lt;1),RIGHT("00"&amp;HOUR(Sync!$Q1907),2)&amp;RIGHT("00"&amp;MINUTE(Sync!$Q1907),2),IFERROR(RIGHT("00"&amp;VALUE(LEFT(Sync!$Q1907,FIND(":",Sync!$Q1907)-1)),2)&amp;RIGHT("00"&amp;VALUE(MID(Sync!$Q1907,FIND(":",Sync!$Q1907)+1,2)),2),"0000"))))</f>
        <v/>
      </c>
      <c r="G1910">
        <f>IF(OR($E1910="",$E1910="نامعتبر"),"",IF(Sync!$S1907="","",Sync!$S1907))</f>
        <v/>
      </c>
      <c r="H1910">
        <f>IF(OR($E1910="",$E1910="نامعتبر"),"",IF(Sync!$R1907="","",Sync!$R1907))</f>
        <v/>
      </c>
      <c r="I1910">
        <f>IF(OR($E1910="",$E1910="نامعتبر"),"",IF(Sync!$T1907="","",Sync!$T1907))</f>
        <v/>
      </c>
      <c r="J1910">
        <f>IF(OR($E1910="",$E1910="نامعتبر"),"",IF(Sync!$U1907="","",Sync!$U1907))</f>
        <v/>
      </c>
      <c r="K1910">
        <f>IF(OR($E1910="",$E1910="نامعتبر"),"",IF(Sync!$V1907="","",IFERROR(INDEX(SubCodes,MATCH(Sync!$V1907,SubTitles,0)),Sync!$V1907)))</f>
        <v/>
      </c>
      <c r="L1910">
        <f>IF(OR($E1910="",$E1910="نامعتبر"),"",IF(Sync!$W1907="",0,Sync!$W1907))</f>
        <v/>
      </c>
      <c r="M1910">
        <f>IF(OR($E1910="",$E1910="نامعتبر"),"",IF(Sync!$X1907="",0,Sync!$X1907))</f>
        <v/>
      </c>
      <c r="N1910">
        <f>IF(OR($E1910="",$E1910="نامعتبر"),"",IF(AND($J1910="هزینه",$K1910&lt;&gt;""),1,0))</f>
        <v/>
      </c>
      <c r="O1910">
        <f>IF($N1910=0,"",LEFT($E1910,4)&amp;MID($E1910,6,2)&amp;RIGHT($E1910,2)&amp;$F1910&amp;"|"&amp;"1"&amp;RIGHT("00000"&amp;1902,5))</f>
        <v/>
      </c>
      <c r="P1910">
        <f>IF($O1910="","",COUNTIFS(ExpSub,$K1910,ExpKey,"&lt;"&amp;$O1910)+1)</f>
        <v/>
      </c>
      <c r="Q1910">
        <f>IF($P1910="","",$K1910&amp;"|"&amp;RIGHT("000000"&amp;$P1910,6))</f>
        <v/>
      </c>
    </row>
    <row r="1911">
      <c r="A1911">
        <f>IF(Sync!$P1908="","",Sync!$P1908)</f>
        <v/>
      </c>
      <c r="B1911">
        <f>IF($A1911="","",IF(ISNUMBER($A1911),IF(AND($A1911&gt;=10000101,$A1911&lt;=99991231),INT($A1911/10000),""),IFERROR(VALUE(TRIM(LEFT($A1911,FIND("/",$A1911)-1))),"")))</f>
        <v/>
      </c>
      <c r="C1911">
        <f>IF(OR($A1911="",$B1911=""),"",IF(ISNUMBER($A1911),INT(MOD($A1911,10000)/100),IFERROR(VALUE(TRIM(LEFT(MID($A1911,FIND("/",$A1911)+1,20),FIND("/",MID($A1911,FIND("/",$A1911)+1,20))-1))),"")))</f>
        <v/>
      </c>
      <c r="D1911">
        <f>IF(OR($A1911="",$B1911=""),"",IF(ISNUMBER($A1911),MOD($A1911,100),IFERROR(VALUE(TRIM(MID(MID($A1911,FIND("/",$A1911)+1,20),FIND("/",MID($A1911,FIND("/",$A1911)+1,20))+1,20))),"")))</f>
        <v/>
      </c>
      <c r="E1911">
        <f>IF($A1911="","",IF(OR($B1911="",$C1911="",$D1911="",$B1911&lt;1300,$B1911&gt;1500,$C1911&lt;1,$C1911&gt;12,$D1911&lt;1,$D1911&gt;31),"نامعتبر",RIGHT("0000"&amp;$B1911,4)&amp;"/"&amp;RIGHT("00"&amp;$C1911,2)&amp;"/"&amp;RIGHT("00"&amp;$D1911,2)))</f>
        <v/>
      </c>
      <c r="F1911">
        <f>IF(OR($E1911="",$E1911="نامعتبر"),"",IF(Sync!$Q1908="","0000",IF(AND(ISNUMBER(Sync!$Q1908),Sync!$Q1908&gt;=0,Sync!$Q1908&lt;1),RIGHT("00"&amp;HOUR(Sync!$Q1908),2)&amp;RIGHT("00"&amp;MINUTE(Sync!$Q1908),2),IFERROR(RIGHT("00"&amp;VALUE(LEFT(Sync!$Q1908,FIND(":",Sync!$Q1908)-1)),2)&amp;RIGHT("00"&amp;VALUE(MID(Sync!$Q1908,FIND(":",Sync!$Q1908)+1,2)),2),"0000"))))</f>
        <v/>
      </c>
      <c r="G1911">
        <f>IF(OR($E1911="",$E1911="نامعتبر"),"",IF(Sync!$S1908="","",Sync!$S1908))</f>
        <v/>
      </c>
      <c r="H1911">
        <f>IF(OR($E1911="",$E1911="نامعتبر"),"",IF(Sync!$R1908="","",Sync!$R1908))</f>
        <v/>
      </c>
      <c r="I1911">
        <f>IF(OR($E1911="",$E1911="نامعتبر"),"",IF(Sync!$T1908="","",Sync!$T1908))</f>
        <v/>
      </c>
      <c r="J1911">
        <f>IF(OR($E1911="",$E1911="نامعتبر"),"",IF(Sync!$U1908="","",Sync!$U1908))</f>
        <v/>
      </c>
      <c r="K1911">
        <f>IF(OR($E1911="",$E1911="نامعتبر"),"",IF(Sync!$V1908="","",IFERROR(INDEX(SubCodes,MATCH(Sync!$V1908,SubTitles,0)),Sync!$V1908)))</f>
        <v/>
      </c>
      <c r="L1911">
        <f>IF(OR($E1911="",$E1911="نامعتبر"),"",IF(Sync!$W1908="",0,Sync!$W1908))</f>
        <v/>
      </c>
      <c r="M1911">
        <f>IF(OR($E1911="",$E1911="نامعتبر"),"",IF(Sync!$X1908="",0,Sync!$X1908))</f>
        <v/>
      </c>
      <c r="N1911">
        <f>IF(OR($E1911="",$E1911="نامعتبر"),"",IF(AND($J1911="هزینه",$K1911&lt;&gt;""),1,0))</f>
        <v/>
      </c>
      <c r="O1911">
        <f>IF($N1911=0,"",LEFT($E1911,4)&amp;MID($E1911,6,2)&amp;RIGHT($E1911,2)&amp;$F1911&amp;"|"&amp;"1"&amp;RIGHT("00000"&amp;1903,5))</f>
        <v/>
      </c>
      <c r="P1911">
        <f>IF($O1911="","",COUNTIFS(ExpSub,$K1911,ExpKey,"&lt;"&amp;$O1911)+1)</f>
        <v/>
      </c>
      <c r="Q1911">
        <f>IF($P1911="","",$K1911&amp;"|"&amp;RIGHT("000000"&amp;$P1911,6))</f>
        <v/>
      </c>
    </row>
    <row r="1912">
      <c r="A1912">
        <f>IF(Sync!$P1909="","",Sync!$P1909)</f>
        <v/>
      </c>
      <c r="B1912">
        <f>IF($A1912="","",IF(ISNUMBER($A1912),IF(AND($A1912&gt;=10000101,$A1912&lt;=99991231),INT($A1912/10000),""),IFERROR(VALUE(TRIM(LEFT($A1912,FIND("/",$A1912)-1))),"")))</f>
        <v/>
      </c>
      <c r="C1912">
        <f>IF(OR($A1912="",$B1912=""),"",IF(ISNUMBER($A1912),INT(MOD($A1912,10000)/100),IFERROR(VALUE(TRIM(LEFT(MID($A1912,FIND("/",$A1912)+1,20),FIND("/",MID($A1912,FIND("/",$A1912)+1,20))-1))),"")))</f>
        <v/>
      </c>
      <c r="D1912">
        <f>IF(OR($A1912="",$B1912=""),"",IF(ISNUMBER($A1912),MOD($A1912,100),IFERROR(VALUE(TRIM(MID(MID($A1912,FIND("/",$A1912)+1,20),FIND("/",MID($A1912,FIND("/",$A1912)+1,20))+1,20))),"")))</f>
        <v/>
      </c>
      <c r="E1912">
        <f>IF($A1912="","",IF(OR($B1912="",$C1912="",$D1912="",$B1912&lt;1300,$B1912&gt;1500,$C1912&lt;1,$C1912&gt;12,$D1912&lt;1,$D1912&gt;31),"نامعتبر",RIGHT("0000"&amp;$B1912,4)&amp;"/"&amp;RIGHT("00"&amp;$C1912,2)&amp;"/"&amp;RIGHT("00"&amp;$D1912,2)))</f>
        <v/>
      </c>
      <c r="F1912">
        <f>IF(OR($E1912="",$E1912="نامعتبر"),"",IF(Sync!$Q1909="","0000",IF(AND(ISNUMBER(Sync!$Q1909),Sync!$Q1909&gt;=0,Sync!$Q1909&lt;1),RIGHT("00"&amp;HOUR(Sync!$Q1909),2)&amp;RIGHT("00"&amp;MINUTE(Sync!$Q1909),2),IFERROR(RIGHT("00"&amp;VALUE(LEFT(Sync!$Q1909,FIND(":",Sync!$Q1909)-1)),2)&amp;RIGHT("00"&amp;VALUE(MID(Sync!$Q1909,FIND(":",Sync!$Q1909)+1,2)),2),"0000"))))</f>
        <v/>
      </c>
      <c r="G1912">
        <f>IF(OR($E1912="",$E1912="نامعتبر"),"",IF(Sync!$S1909="","",Sync!$S1909))</f>
        <v/>
      </c>
      <c r="H1912">
        <f>IF(OR($E1912="",$E1912="نامعتبر"),"",IF(Sync!$R1909="","",Sync!$R1909))</f>
        <v/>
      </c>
      <c r="I1912">
        <f>IF(OR($E1912="",$E1912="نامعتبر"),"",IF(Sync!$T1909="","",Sync!$T1909))</f>
        <v/>
      </c>
      <c r="J1912">
        <f>IF(OR($E1912="",$E1912="نامعتبر"),"",IF(Sync!$U1909="","",Sync!$U1909))</f>
        <v/>
      </c>
      <c r="K1912">
        <f>IF(OR($E1912="",$E1912="نامعتبر"),"",IF(Sync!$V1909="","",IFERROR(INDEX(SubCodes,MATCH(Sync!$V1909,SubTitles,0)),Sync!$V1909)))</f>
        <v/>
      </c>
      <c r="L1912">
        <f>IF(OR($E1912="",$E1912="نامعتبر"),"",IF(Sync!$W1909="",0,Sync!$W1909))</f>
        <v/>
      </c>
      <c r="M1912">
        <f>IF(OR($E1912="",$E1912="نامعتبر"),"",IF(Sync!$X1909="",0,Sync!$X1909))</f>
        <v/>
      </c>
      <c r="N1912">
        <f>IF(OR($E1912="",$E1912="نامعتبر"),"",IF(AND($J1912="هزینه",$K1912&lt;&gt;""),1,0))</f>
        <v/>
      </c>
      <c r="O1912">
        <f>IF($N1912=0,"",LEFT($E1912,4)&amp;MID($E1912,6,2)&amp;RIGHT($E1912,2)&amp;$F1912&amp;"|"&amp;"1"&amp;RIGHT("00000"&amp;1904,5))</f>
        <v/>
      </c>
      <c r="P1912">
        <f>IF($O1912="","",COUNTIFS(ExpSub,$K1912,ExpKey,"&lt;"&amp;$O1912)+1)</f>
        <v/>
      </c>
      <c r="Q1912">
        <f>IF($P1912="","",$K1912&amp;"|"&amp;RIGHT("000000"&amp;$P1912,6))</f>
        <v/>
      </c>
    </row>
    <row r="1913">
      <c r="A1913">
        <f>IF(Sync!$P1910="","",Sync!$P1910)</f>
        <v/>
      </c>
      <c r="B1913">
        <f>IF($A1913="","",IF(ISNUMBER($A1913),IF(AND($A1913&gt;=10000101,$A1913&lt;=99991231),INT($A1913/10000),""),IFERROR(VALUE(TRIM(LEFT($A1913,FIND("/",$A1913)-1))),"")))</f>
        <v/>
      </c>
      <c r="C1913">
        <f>IF(OR($A1913="",$B1913=""),"",IF(ISNUMBER($A1913),INT(MOD($A1913,10000)/100),IFERROR(VALUE(TRIM(LEFT(MID($A1913,FIND("/",$A1913)+1,20),FIND("/",MID($A1913,FIND("/",$A1913)+1,20))-1))),"")))</f>
        <v/>
      </c>
      <c r="D1913">
        <f>IF(OR($A1913="",$B1913=""),"",IF(ISNUMBER($A1913),MOD($A1913,100),IFERROR(VALUE(TRIM(MID(MID($A1913,FIND("/",$A1913)+1,20),FIND("/",MID($A1913,FIND("/",$A1913)+1,20))+1,20))),"")))</f>
        <v/>
      </c>
      <c r="E1913">
        <f>IF($A1913="","",IF(OR($B1913="",$C1913="",$D1913="",$B1913&lt;1300,$B1913&gt;1500,$C1913&lt;1,$C1913&gt;12,$D1913&lt;1,$D1913&gt;31),"نامعتبر",RIGHT("0000"&amp;$B1913,4)&amp;"/"&amp;RIGHT("00"&amp;$C1913,2)&amp;"/"&amp;RIGHT("00"&amp;$D1913,2)))</f>
        <v/>
      </c>
      <c r="F1913">
        <f>IF(OR($E1913="",$E1913="نامعتبر"),"",IF(Sync!$Q1910="","0000",IF(AND(ISNUMBER(Sync!$Q1910),Sync!$Q1910&gt;=0,Sync!$Q1910&lt;1),RIGHT("00"&amp;HOUR(Sync!$Q1910),2)&amp;RIGHT("00"&amp;MINUTE(Sync!$Q1910),2),IFERROR(RIGHT("00"&amp;VALUE(LEFT(Sync!$Q1910,FIND(":",Sync!$Q1910)-1)),2)&amp;RIGHT("00"&amp;VALUE(MID(Sync!$Q1910,FIND(":",Sync!$Q1910)+1,2)),2),"0000"))))</f>
        <v/>
      </c>
      <c r="G1913">
        <f>IF(OR($E1913="",$E1913="نامعتبر"),"",IF(Sync!$S1910="","",Sync!$S1910))</f>
        <v/>
      </c>
      <c r="H1913">
        <f>IF(OR($E1913="",$E1913="نامعتبر"),"",IF(Sync!$R1910="","",Sync!$R1910))</f>
        <v/>
      </c>
      <c r="I1913">
        <f>IF(OR($E1913="",$E1913="نامعتبر"),"",IF(Sync!$T1910="","",Sync!$T1910))</f>
        <v/>
      </c>
      <c r="J1913">
        <f>IF(OR($E1913="",$E1913="نامعتبر"),"",IF(Sync!$U1910="","",Sync!$U1910))</f>
        <v/>
      </c>
      <c r="K1913">
        <f>IF(OR($E1913="",$E1913="نامعتبر"),"",IF(Sync!$V1910="","",IFERROR(INDEX(SubCodes,MATCH(Sync!$V1910,SubTitles,0)),Sync!$V1910)))</f>
        <v/>
      </c>
      <c r="L1913">
        <f>IF(OR($E1913="",$E1913="نامعتبر"),"",IF(Sync!$W1910="",0,Sync!$W1910))</f>
        <v/>
      </c>
      <c r="M1913">
        <f>IF(OR($E1913="",$E1913="نامعتبر"),"",IF(Sync!$X1910="",0,Sync!$X1910))</f>
        <v/>
      </c>
      <c r="N1913">
        <f>IF(OR($E1913="",$E1913="نامعتبر"),"",IF(AND($J1913="هزینه",$K1913&lt;&gt;""),1,0))</f>
        <v/>
      </c>
      <c r="O1913">
        <f>IF($N1913=0,"",LEFT($E1913,4)&amp;MID($E1913,6,2)&amp;RIGHT($E1913,2)&amp;$F1913&amp;"|"&amp;"1"&amp;RIGHT("00000"&amp;1905,5))</f>
        <v/>
      </c>
      <c r="P1913">
        <f>IF($O1913="","",COUNTIFS(ExpSub,$K1913,ExpKey,"&lt;"&amp;$O1913)+1)</f>
        <v/>
      </c>
      <c r="Q1913">
        <f>IF($P1913="","",$K1913&amp;"|"&amp;RIGHT("000000"&amp;$P1913,6))</f>
        <v/>
      </c>
    </row>
    <row r="1914">
      <c r="A1914">
        <f>IF(Sync!$P1911="","",Sync!$P1911)</f>
        <v/>
      </c>
      <c r="B1914">
        <f>IF($A1914="","",IF(ISNUMBER($A1914),IF(AND($A1914&gt;=10000101,$A1914&lt;=99991231),INT($A1914/10000),""),IFERROR(VALUE(TRIM(LEFT($A1914,FIND("/",$A1914)-1))),"")))</f>
        <v/>
      </c>
      <c r="C1914">
        <f>IF(OR($A1914="",$B1914=""),"",IF(ISNUMBER($A1914),INT(MOD($A1914,10000)/100),IFERROR(VALUE(TRIM(LEFT(MID($A1914,FIND("/",$A1914)+1,20),FIND("/",MID($A1914,FIND("/",$A1914)+1,20))-1))),"")))</f>
        <v/>
      </c>
      <c r="D1914">
        <f>IF(OR($A1914="",$B1914=""),"",IF(ISNUMBER($A1914),MOD($A1914,100),IFERROR(VALUE(TRIM(MID(MID($A1914,FIND("/",$A1914)+1,20),FIND("/",MID($A1914,FIND("/",$A1914)+1,20))+1,20))),"")))</f>
        <v/>
      </c>
      <c r="E1914">
        <f>IF($A1914="","",IF(OR($B1914="",$C1914="",$D1914="",$B1914&lt;1300,$B1914&gt;1500,$C1914&lt;1,$C1914&gt;12,$D1914&lt;1,$D1914&gt;31),"نامعتبر",RIGHT("0000"&amp;$B1914,4)&amp;"/"&amp;RIGHT("00"&amp;$C1914,2)&amp;"/"&amp;RIGHT("00"&amp;$D1914,2)))</f>
        <v/>
      </c>
      <c r="F1914">
        <f>IF(OR($E1914="",$E1914="نامعتبر"),"",IF(Sync!$Q1911="","0000",IF(AND(ISNUMBER(Sync!$Q1911),Sync!$Q1911&gt;=0,Sync!$Q1911&lt;1),RIGHT("00"&amp;HOUR(Sync!$Q1911),2)&amp;RIGHT("00"&amp;MINUTE(Sync!$Q1911),2),IFERROR(RIGHT("00"&amp;VALUE(LEFT(Sync!$Q1911,FIND(":",Sync!$Q1911)-1)),2)&amp;RIGHT("00"&amp;VALUE(MID(Sync!$Q1911,FIND(":",Sync!$Q1911)+1,2)),2),"0000"))))</f>
        <v/>
      </c>
      <c r="G1914">
        <f>IF(OR($E1914="",$E1914="نامعتبر"),"",IF(Sync!$S1911="","",Sync!$S1911))</f>
        <v/>
      </c>
      <c r="H1914">
        <f>IF(OR($E1914="",$E1914="نامعتبر"),"",IF(Sync!$R1911="","",Sync!$R1911))</f>
        <v/>
      </c>
      <c r="I1914">
        <f>IF(OR($E1914="",$E1914="نامعتبر"),"",IF(Sync!$T1911="","",Sync!$T1911))</f>
        <v/>
      </c>
      <c r="J1914">
        <f>IF(OR($E1914="",$E1914="نامعتبر"),"",IF(Sync!$U1911="","",Sync!$U1911))</f>
        <v/>
      </c>
      <c r="K1914">
        <f>IF(OR($E1914="",$E1914="نامعتبر"),"",IF(Sync!$V1911="","",IFERROR(INDEX(SubCodes,MATCH(Sync!$V1911,SubTitles,0)),Sync!$V1911)))</f>
        <v/>
      </c>
      <c r="L1914">
        <f>IF(OR($E1914="",$E1914="نامعتبر"),"",IF(Sync!$W1911="",0,Sync!$W1911))</f>
        <v/>
      </c>
      <c r="M1914">
        <f>IF(OR($E1914="",$E1914="نامعتبر"),"",IF(Sync!$X1911="",0,Sync!$X1911))</f>
        <v/>
      </c>
      <c r="N1914">
        <f>IF(OR($E1914="",$E1914="نامعتبر"),"",IF(AND($J1914="هزینه",$K1914&lt;&gt;""),1,0))</f>
        <v/>
      </c>
      <c r="O1914">
        <f>IF($N1914=0,"",LEFT($E1914,4)&amp;MID($E1914,6,2)&amp;RIGHT($E1914,2)&amp;$F1914&amp;"|"&amp;"1"&amp;RIGHT("00000"&amp;1906,5))</f>
        <v/>
      </c>
      <c r="P1914">
        <f>IF($O1914="","",COUNTIFS(ExpSub,$K1914,ExpKey,"&lt;"&amp;$O1914)+1)</f>
        <v/>
      </c>
      <c r="Q1914">
        <f>IF($P1914="","",$K1914&amp;"|"&amp;RIGHT("000000"&amp;$P1914,6))</f>
        <v/>
      </c>
    </row>
    <row r="1915">
      <c r="A1915">
        <f>IF(Sync!$P1912="","",Sync!$P1912)</f>
        <v/>
      </c>
      <c r="B1915">
        <f>IF($A1915="","",IF(ISNUMBER($A1915),IF(AND($A1915&gt;=10000101,$A1915&lt;=99991231),INT($A1915/10000),""),IFERROR(VALUE(TRIM(LEFT($A1915,FIND("/",$A1915)-1))),"")))</f>
        <v/>
      </c>
      <c r="C1915">
        <f>IF(OR($A1915="",$B1915=""),"",IF(ISNUMBER($A1915),INT(MOD($A1915,10000)/100),IFERROR(VALUE(TRIM(LEFT(MID($A1915,FIND("/",$A1915)+1,20),FIND("/",MID($A1915,FIND("/",$A1915)+1,20))-1))),"")))</f>
        <v/>
      </c>
      <c r="D1915">
        <f>IF(OR($A1915="",$B1915=""),"",IF(ISNUMBER($A1915),MOD($A1915,100),IFERROR(VALUE(TRIM(MID(MID($A1915,FIND("/",$A1915)+1,20),FIND("/",MID($A1915,FIND("/",$A1915)+1,20))+1,20))),"")))</f>
        <v/>
      </c>
      <c r="E1915">
        <f>IF($A1915="","",IF(OR($B1915="",$C1915="",$D1915="",$B1915&lt;1300,$B1915&gt;1500,$C1915&lt;1,$C1915&gt;12,$D1915&lt;1,$D1915&gt;31),"نامعتبر",RIGHT("0000"&amp;$B1915,4)&amp;"/"&amp;RIGHT("00"&amp;$C1915,2)&amp;"/"&amp;RIGHT("00"&amp;$D1915,2)))</f>
        <v/>
      </c>
      <c r="F1915">
        <f>IF(OR($E1915="",$E1915="نامعتبر"),"",IF(Sync!$Q1912="","0000",IF(AND(ISNUMBER(Sync!$Q1912),Sync!$Q1912&gt;=0,Sync!$Q1912&lt;1),RIGHT("00"&amp;HOUR(Sync!$Q1912),2)&amp;RIGHT("00"&amp;MINUTE(Sync!$Q1912),2),IFERROR(RIGHT("00"&amp;VALUE(LEFT(Sync!$Q1912,FIND(":",Sync!$Q1912)-1)),2)&amp;RIGHT("00"&amp;VALUE(MID(Sync!$Q1912,FIND(":",Sync!$Q1912)+1,2)),2),"0000"))))</f>
        <v/>
      </c>
      <c r="G1915">
        <f>IF(OR($E1915="",$E1915="نامعتبر"),"",IF(Sync!$S1912="","",Sync!$S1912))</f>
        <v/>
      </c>
      <c r="H1915">
        <f>IF(OR($E1915="",$E1915="نامعتبر"),"",IF(Sync!$R1912="","",Sync!$R1912))</f>
        <v/>
      </c>
      <c r="I1915">
        <f>IF(OR($E1915="",$E1915="نامعتبر"),"",IF(Sync!$T1912="","",Sync!$T1912))</f>
        <v/>
      </c>
      <c r="J1915">
        <f>IF(OR($E1915="",$E1915="نامعتبر"),"",IF(Sync!$U1912="","",Sync!$U1912))</f>
        <v/>
      </c>
      <c r="K1915">
        <f>IF(OR($E1915="",$E1915="نامعتبر"),"",IF(Sync!$V1912="","",IFERROR(INDEX(SubCodes,MATCH(Sync!$V1912,SubTitles,0)),Sync!$V1912)))</f>
        <v/>
      </c>
      <c r="L1915">
        <f>IF(OR($E1915="",$E1915="نامعتبر"),"",IF(Sync!$W1912="",0,Sync!$W1912))</f>
        <v/>
      </c>
      <c r="M1915">
        <f>IF(OR($E1915="",$E1915="نامعتبر"),"",IF(Sync!$X1912="",0,Sync!$X1912))</f>
        <v/>
      </c>
      <c r="N1915">
        <f>IF(OR($E1915="",$E1915="نامعتبر"),"",IF(AND($J1915="هزینه",$K1915&lt;&gt;""),1,0))</f>
        <v/>
      </c>
      <c r="O1915">
        <f>IF($N1915=0,"",LEFT($E1915,4)&amp;MID($E1915,6,2)&amp;RIGHT($E1915,2)&amp;$F1915&amp;"|"&amp;"1"&amp;RIGHT("00000"&amp;1907,5))</f>
        <v/>
      </c>
      <c r="P1915">
        <f>IF($O1915="","",COUNTIFS(ExpSub,$K1915,ExpKey,"&lt;"&amp;$O1915)+1)</f>
        <v/>
      </c>
      <c r="Q1915">
        <f>IF($P1915="","",$K1915&amp;"|"&amp;RIGHT("000000"&amp;$P1915,6))</f>
        <v/>
      </c>
    </row>
    <row r="1916">
      <c r="A1916">
        <f>IF(Sync!$P1913="","",Sync!$P1913)</f>
        <v/>
      </c>
      <c r="B1916">
        <f>IF($A1916="","",IF(ISNUMBER($A1916),IF(AND($A1916&gt;=10000101,$A1916&lt;=99991231),INT($A1916/10000),""),IFERROR(VALUE(TRIM(LEFT($A1916,FIND("/",$A1916)-1))),"")))</f>
        <v/>
      </c>
      <c r="C1916">
        <f>IF(OR($A1916="",$B1916=""),"",IF(ISNUMBER($A1916),INT(MOD($A1916,10000)/100),IFERROR(VALUE(TRIM(LEFT(MID($A1916,FIND("/",$A1916)+1,20),FIND("/",MID($A1916,FIND("/",$A1916)+1,20))-1))),"")))</f>
        <v/>
      </c>
      <c r="D1916">
        <f>IF(OR($A1916="",$B1916=""),"",IF(ISNUMBER($A1916),MOD($A1916,100),IFERROR(VALUE(TRIM(MID(MID($A1916,FIND("/",$A1916)+1,20),FIND("/",MID($A1916,FIND("/",$A1916)+1,20))+1,20))),"")))</f>
        <v/>
      </c>
      <c r="E1916">
        <f>IF($A1916="","",IF(OR($B1916="",$C1916="",$D1916="",$B1916&lt;1300,$B1916&gt;1500,$C1916&lt;1,$C1916&gt;12,$D1916&lt;1,$D1916&gt;31),"نامعتبر",RIGHT("0000"&amp;$B1916,4)&amp;"/"&amp;RIGHT("00"&amp;$C1916,2)&amp;"/"&amp;RIGHT("00"&amp;$D1916,2)))</f>
        <v/>
      </c>
      <c r="F1916">
        <f>IF(OR($E1916="",$E1916="نامعتبر"),"",IF(Sync!$Q1913="","0000",IF(AND(ISNUMBER(Sync!$Q1913),Sync!$Q1913&gt;=0,Sync!$Q1913&lt;1),RIGHT("00"&amp;HOUR(Sync!$Q1913),2)&amp;RIGHT("00"&amp;MINUTE(Sync!$Q1913),2),IFERROR(RIGHT("00"&amp;VALUE(LEFT(Sync!$Q1913,FIND(":",Sync!$Q1913)-1)),2)&amp;RIGHT("00"&amp;VALUE(MID(Sync!$Q1913,FIND(":",Sync!$Q1913)+1,2)),2),"0000"))))</f>
        <v/>
      </c>
      <c r="G1916">
        <f>IF(OR($E1916="",$E1916="نامعتبر"),"",IF(Sync!$S1913="","",Sync!$S1913))</f>
        <v/>
      </c>
      <c r="H1916">
        <f>IF(OR($E1916="",$E1916="نامعتبر"),"",IF(Sync!$R1913="","",Sync!$R1913))</f>
        <v/>
      </c>
      <c r="I1916">
        <f>IF(OR($E1916="",$E1916="نامعتبر"),"",IF(Sync!$T1913="","",Sync!$T1913))</f>
        <v/>
      </c>
      <c r="J1916">
        <f>IF(OR($E1916="",$E1916="نامعتبر"),"",IF(Sync!$U1913="","",Sync!$U1913))</f>
        <v/>
      </c>
      <c r="K1916">
        <f>IF(OR($E1916="",$E1916="نامعتبر"),"",IF(Sync!$V1913="","",IFERROR(INDEX(SubCodes,MATCH(Sync!$V1913,SubTitles,0)),Sync!$V1913)))</f>
        <v/>
      </c>
      <c r="L1916">
        <f>IF(OR($E1916="",$E1916="نامعتبر"),"",IF(Sync!$W1913="",0,Sync!$W1913))</f>
        <v/>
      </c>
      <c r="M1916">
        <f>IF(OR($E1916="",$E1916="نامعتبر"),"",IF(Sync!$X1913="",0,Sync!$X1913))</f>
        <v/>
      </c>
      <c r="N1916">
        <f>IF(OR($E1916="",$E1916="نامعتبر"),"",IF(AND($J1916="هزینه",$K1916&lt;&gt;""),1,0))</f>
        <v/>
      </c>
      <c r="O1916">
        <f>IF($N1916=0,"",LEFT($E1916,4)&amp;MID($E1916,6,2)&amp;RIGHT($E1916,2)&amp;$F1916&amp;"|"&amp;"1"&amp;RIGHT("00000"&amp;1908,5))</f>
        <v/>
      </c>
      <c r="P1916">
        <f>IF($O1916="","",COUNTIFS(ExpSub,$K1916,ExpKey,"&lt;"&amp;$O1916)+1)</f>
        <v/>
      </c>
      <c r="Q1916">
        <f>IF($P1916="","",$K1916&amp;"|"&amp;RIGHT("000000"&amp;$P1916,6))</f>
        <v/>
      </c>
    </row>
    <row r="1917">
      <c r="A1917">
        <f>IF(Sync!$P1914="","",Sync!$P1914)</f>
        <v/>
      </c>
      <c r="B1917">
        <f>IF($A1917="","",IF(ISNUMBER($A1917),IF(AND($A1917&gt;=10000101,$A1917&lt;=99991231),INT($A1917/10000),""),IFERROR(VALUE(TRIM(LEFT($A1917,FIND("/",$A1917)-1))),"")))</f>
        <v/>
      </c>
      <c r="C1917">
        <f>IF(OR($A1917="",$B1917=""),"",IF(ISNUMBER($A1917),INT(MOD($A1917,10000)/100),IFERROR(VALUE(TRIM(LEFT(MID($A1917,FIND("/",$A1917)+1,20),FIND("/",MID($A1917,FIND("/",$A1917)+1,20))-1))),"")))</f>
        <v/>
      </c>
      <c r="D1917">
        <f>IF(OR($A1917="",$B1917=""),"",IF(ISNUMBER($A1917),MOD($A1917,100),IFERROR(VALUE(TRIM(MID(MID($A1917,FIND("/",$A1917)+1,20),FIND("/",MID($A1917,FIND("/",$A1917)+1,20))+1,20))),"")))</f>
        <v/>
      </c>
      <c r="E1917">
        <f>IF($A1917="","",IF(OR($B1917="",$C1917="",$D1917="",$B1917&lt;1300,$B1917&gt;1500,$C1917&lt;1,$C1917&gt;12,$D1917&lt;1,$D1917&gt;31),"نامعتبر",RIGHT("0000"&amp;$B1917,4)&amp;"/"&amp;RIGHT("00"&amp;$C1917,2)&amp;"/"&amp;RIGHT("00"&amp;$D1917,2)))</f>
        <v/>
      </c>
      <c r="F1917">
        <f>IF(OR($E1917="",$E1917="نامعتبر"),"",IF(Sync!$Q1914="","0000",IF(AND(ISNUMBER(Sync!$Q1914),Sync!$Q1914&gt;=0,Sync!$Q1914&lt;1),RIGHT("00"&amp;HOUR(Sync!$Q1914),2)&amp;RIGHT("00"&amp;MINUTE(Sync!$Q1914),2),IFERROR(RIGHT("00"&amp;VALUE(LEFT(Sync!$Q1914,FIND(":",Sync!$Q1914)-1)),2)&amp;RIGHT("00"&amp;VALUE(MID(Sync!$Q1914,FIND(":",Sync!$Q1914)+1,2)),2),"0000"))))</f>
        <v/>
      </c>
      <c r="G1917">
        <f>IF(OR($E1917="",$E1917="نامعتبر"),"",IF(Sync!$S1914="","",Sync!$S1914))</f>
        <v/>
      </c>
      <c r="H1917">
        <f>IF(OR($E1917="",$E1917="نامعتبر"),"",IF(Sync!$R1914="","",Sync!$R1914))</f>
        <v/>
      </c>
      <c r="I1917">
        <f>IF(OR($E1917="",$E1917="نامعتبر"),"",IF(Sync!$T1914="","",Sync!$T1914))</f>
        <v/>
      </c>
      <c r="J1917">
        <f>IF(OR($E1917="",$E1917="نامعتبر"),"",IF(Sync!$U1914="","",Sync!$U1914))</f>
        <v/>
      </c>
      <c r="K1917">
        <f>IF(OR($E1917="",$E1917="نامعتبر"),"",IF(Sync!$V1914="","",IFERROR(INDEX(SubCodes,MATCH(Sync!$V1914,SubTitles,0)),Sync!$V1914)))</f>
        <v/>
      </c>
      <c r="L1917">
        <f>IF(OR($E1917="",$E1917="نامعتبر"),"",IF(Sync!$W1914="",0,Sync!$W1914))</f>
        <v/>
      </c>
      <c r="M1917">
        <f>IF(OR($E1917="",$E1917="نامعتبر"),"",IF(Sync!$X1914="",0,Sync!$X1914))</f>
        <v/>
      </c>
      <c r="N1917">
        <f>IF(OR($E1917="",$E1917="نامعتبر"),"",IF(AND($J1917="هزینه",$K1917&lt;&gt;""),1,0))</f>
        <v/>
      </c>
      <c r="O1917">
        <f>IF($N1917=0,"",LEFT($E1917,4)&amp;MID($E1917,6,2)&amp;RIGHT($E1917,2)&amp;$F1917&amp;"|"&amp;"1"&amp;RIGHT("00000"&amp;1909,5))</f>
        <v/>
      </c>
      <c r="P1917">
        <f>IF($O1917="","",COUNTIFS(ExpSub,$K1917,ExpKey,"&lt;"&amp;$O1917)+1)</f>
        <v/>
      </c>
      <c r="Q1917">
        <f>IF($P1917="","",$K1917&amp;"|"&amp;RIGHT("000000"&amp;$P1917,6))</f>
        <v/>
      </c>
    </row>
    <row r="1918">
      <c r="A1918">
        <f>IF(Sync!$P1915="","",Sync!$P1915)</f>
        <v/>
      </c>
      <c r="B1918">
        <f>IF($A1918="","",IF(ISNUMBER($A1918),IF(AND($A1918&gt;=10000101,$A1918&lt;=99991231),INT($A1918/10000),""),IFERROR(VALUE(TRIM(LEFT($A1918,FIND("/",$A1918)-1))),"")))</f>
        <v/>
      </c>
      <c r="C1918">
        <f>IF(OR($A1918="",$B1918=""),"",IF(ISNUMBER($A1918),INT(MOD($A1918,10000)/100),IFERROR(VALUE(TRIM(LEFT(MID($A1918,FIND("/",$A1918)+1,20),FIND("/",MID($A1918,FIND("/",$A1918)+1,20))-1))),"")))</f>
        <v/>
      </c>
      <c r="D1918">
        <f>IF(OR($A1918="",$B1918=""),"",IF(ISNUMBER($A1918),MOD($A1918,100),IFERROR(VALUE(TRIM(MID(MID($A1918,FIND("/",$A1918)+1,20),FIND("/",MID($A1918,FIND("/",$A1918)+1,20))+1,20))),"")))</f>
        <v/>
      </c>
      <c r="E1918">
        <f>IF($A1918="","",IF(OR($B1918="",$C1918="",$D1918="",$B1918&lt;1300,$B1918&gt;1500,$C1918&lt;1,$C1918&gt;12,$D1918&lt;1,$D1918&gt;31),"نامعتبر",RIGHT("0000"&amp;$B1918,4)&amp;"/"&amp;RIGHT("00"&amp;$C1918,2)&amp;"/"&amp;RIGHT("00"&amp;$D1918,2)))</f>
        <v/>
      </c>
      <c r="F1918">
        <f>IF(OR($E1918="",$E1918="نامعتبر"),"",IF(Sync!$Q1915="","0000",IF(AND(ISNUMBER(Sync!$Q1915),Sync!$Q1915&gt;=0,Sync!$Q1915&lt;1),RIGHT("00"&amp;HOUR(Sync!$Q1915),2)&amp;RIGHT("00"&amp;MINUTE(Sync!$Q1915),2),IFERROR(RIGHT("00"&amp;VALUE(LEFT(Sync!$Q1915,FIND(":",Sync!$Q1915)-1)),2)&amp;RIGHT("00"&amp;VALUE(MID(Sync!$Q1915,FIND(":",Sync!$Q1915)+1,2)),2),"0000"))))</f>
        <v/>
      </c>
      <c r="G1918">
        <f>IF(OR($E1918="",$E1918="نامعتبر"),"",IF(Sync!$S1915="","",Sync!$S1915))</f>
        <v/>
      </c>
      <c r="H1918">
        <f>IF(OR($E1918="",$E1918="نامعتبر"),"",IF(Sync!$R1915="","",Sync!$R1915))</f>
        <v/>
      </c>
      <c r="I1918">
        <f>IF(OR($E1918="",$E1918="نامعتبر"),"",IF(Sync!$T1915="","",Sync!$T1915))</f>
        <v/>
      </c>
      <c r="J1918">
        <f>IF(OR($E1918="",$E1918="نامعتبر"),"",IF(Sync!$U1915="","",Sync!$U1915))</f>
        <v/>
      </c>
      <c r="K1918">
        <f>IF(OR($E1918="",$E1918="نامعتبر"),"",IF(Sync!$V1915="","",IFERROR(INDEX(SubCodes,MATCH(Sync!$V1915,SubTitles,0)),Sync!$V1915)))</f>
        <v/>
      </c>
      <c r="L1918">
        <f>IF(OR($E1918="",$E1918="نامعتبر"),"",IF(Sync!$W1915="",0,Sync!$W1915))</f>
        <v/>
      </c>
      <c r="M1918">
        <f>IF(OR($E1918="",$E1918="نامعتبر"),"",IF(Sync!$X1915="",0,Sync!$X1915))</f>
        <v/>
      </c>
      <c r="N1918">
        <f>IF(OR($E1918="",$E1918="نامعتبر"),"",IF(AND($J1918="هزینه",$K1918&lt;&gt;""),1,0))</f>
        <v/>
      </c>
      <c r="O1918">
        <f>IF($N1918=0,"",LEFT($E1918,4)&amp;MID($E1918,6,2)&amp;RIGHT($E1918,2)&amp;$F1918&amp;"|"&amp;"1"&amp;RIGHT("00000"&amp;1910,5))</f>
        <v/>
      </c>
      <c r="P1918">
        <f>IF($O1918="","",COUNTIFS(ExpSub,$K1918,ExpKey,"&lt;"&amp;$O1918)+1)</f>
        <v/>
      </c>
      <c r="Q1918">
        <f>IF($P1918="","",$K1918&amp;"|"&amp;RIGHT("000000"&amp;$P1918,6))</f>
        <v/>
      </c>
    </row>
    <row r="1919">
      <c r="A1919">
        <f>IF(Sync!$P1916="","",Sync!$P1916)</f>
        <v/>
      </c>
      <c r="B1919">
        <f>IF($A1919="","",IF(ISNUMBER($A1919),IF(AND($A1919&gt;=10000101,$A1919&lt;=99991231),INT($A1919/10000),""),IFERROR(VALUE(TRIM(LEFT($A1919,FIND("/",$A1919)-1))),"")))</f>
        <v/>
      </c>
      <c r="C1919">
        <f>IF(OR($A1919="",$B1919=""),"",IF(ISNUMBER($A1919),INT(MOD($A1919,10000)/100),IFERROR(VALUE(TRIM(LEFT(MID($A1919,FIND("/",$A1919)+1,20),FIND("/",MID($A1919,FIND("/",$A1919)+1,20))-1))),"")))</f>
        <v/>
      </c>
      <c r="D1919">
        <f>IF(OR($A1919="",$B1919=""),"",IF(ISNUMBER($A1919),MOD($A1919,100),IFERROR(VALUE(TRIM(MID(MID($A1919,FIND("/",$A1919)+1,20),FIND("/",MID($A1919,FIND("/",$A1919)+1,20))+1,20))),"")))</f>
        <v/>
      </c>
      <c r="E1919">
        <f>IF($A1919="","",IF(OR($B1919="",$C1919="",$D1919="",$B1919&lt;1300,$B1919&gt;1500,$C1919&lt;1,$C1919&gt;12,$D1919&lt;1,$D1919&gt;31),"نامعتبر",RIGHT("0000"&amp;$B1919,4)&amp;"/"&amp;RIGHT("00"&amp;$C1919,2)&amp;"/"&amp;RIGHT("00"&amp;$D1919,2)))</f>
        <v/>
      </c>
      <c r="F1919">
        <f>IF(OR($E1919="",$E1919="نامعتبر"),"",IF(Sync!$Q1916="","0000",IF(AND(ISNUMBER(Sync!$Q1916),Sync!$Q1916&gt;=0,Sync!$Q1916&lt;1),RIGHT("00"&amp;HOUR(Sync!$Q1916),2)&amp;RIGHT("00"&amp;MINUTE(Sync!$Q1916),2),IFERROR(RIGHT("00"&amp;VALUE(LEFT(Sync!$Q1916,FIND(":",Sync!$Q1916)-1)),2)&amp;RIGHT("00"&amp;VALUE(MID(Sync!$Q1916,FIND(":",Sync!$Q1916)+1,2)),2),"0000"))))</f>
        <v/>
      </c>
      <c r="G1919">
        <f>IF(OR($E1919="",$E1919="نامعتبر"),"",IF(Sync!$S1916="","",Sync!$S1916))</f>
        <v/>
      </c>
      <c r="H1919">
        <f>IF(OR($E1919="",$E1919="نامعتبر"),"",IF(Sync!$R1916="","",Sync!$R1916))</f>
        <v/>
      </c>
      <c r="I1919">
        <f>IF(OR($E1919="",$E1919="نامعتبر"),"",IF(Sync!$T1916="","",Sync!$T1916))</f>
        <v/>
      </c>
      <c r="J1919">
        <f>IF(OR($E1919="",$E1919="نامعتبر"),"",IF(Sync!$U1916="","",Sync!$U1916))</f>
        <v/>
      </c>
      <c r="K1919">
        <f>IF(OR($E1919="",$E1919="نامعتبر"),"",IF(Sync!$V1916="","",IFERROR(INDEX(SubCodes,MATCH(Sync!$V1916,SubTitles,0)),Sync!$V1916)))</f>
        <v/>
      </c>
      <c r="L1919">
        <f>IF(OR($E1919="",$E1919="نامعتبر"),"",IF(Sync!$W1916="",0,Sync!$W1916))</f>
        <v/>
      </c>
      <c r="M1919">
        <f>IF(OR($E1919="",$E1919="نامعتبر"),"",IF(Sync!$X1916="",0,Sync!$X1916))</f>
        <v/>
      </c>
      <c r="N1919">
        <f>IF(OR($E1919="",$E1919="نامعتبر"),"",IF(AND($J1919="هزینه",$K1919&lt;&gt;""),1,0))</f>
        <v/>
      </c>
      <c r="O1919">
        <f>IF($N1919=0,"",LEFT($E1919,4)&amp;MID($E1919,6,2)&amp;RIGHT($E1919,2)&amp;$F1919&amp;"|"&amp;"1"&amp;RIGHT("00000"&amp;1911,5))</f>
        <v/>
      </c>
      <c r="P1919">
        <f>IF($O1919="","",COUNTIFS(ExpSub,$K1919,ExpKey,"&lt;"&amp;$O1919)+1)</f>
        <v/>
      </c>
      <c r="Q1919">
        <f>IF($P1919="","",$K1919&amp;"|"&amp;RIGHT("000000"&amp;$P1919,6))</f>
        <v/>
      </c>
    </row>
    <row r="1920">
      <c r="A1920">
        <f>IF(Sync!$P1917="","",Sync!$P1917)</f>
        <v/>
      </c>
      <c r="B1920">
        <f>IF($A1920="","",IF(ISNUMBER($A1920),IF(AND($A1920&gt;=10000101,$A1920&lt;=99991231),INT($A1920/10000),""),IFERROR(VALUE(TRIM(LEFT($A1920,FIND("/",$A1920)-1))),"")))</f>
        <v/>
      </c>
      <c r="C1920">
        <f>IF(OR($A1920="",$B1920=""),"",IF(ISNUMBER($A1920),INT(MOD($A1920,10000)/100),IFERROR(VALUE(TRIM(LEFT(MID($A1920,FIND("/",$A1920)+1,20),FIND("/",MID($A1920,FIND("/",$A1920)+1,20))-1))),"")))</f>
        <v/>
      </c>
      <c r="D1920">
        <f>IF(OR($A1920="",$B1920=""),"",IF(ISNUMBER($A1920),MOD($A1920,100),IFERROR(VALUE(TRIM(MID(MID($A1920,FIND("/",$A1920)+1,20),FIND("/",MID($A1920,FIND("/",$A1920)+1,20))+1,20))),"")))</f>
        <v/>
      </c>
      <c r="E1920">
        <f>IF($A1920="","",IF(OR($B1920="",$C1920="",$D1920="",$B1920&lt;1300,$B1920&gt;1500,$C1920&lt;1,$C1920&gt;12,$D1920&lt;1,$D1920&gt;31),"نامعتبر",RIGHT("0000"&amp;$B1920,4)&amp;"/"&amp;RIGHT("00"&amp;$C1920,2)&amp;"/"&amp;RIGHT("00"&amp;$D1920,2)))</f>
        <v/>
      </c>
      <c r="F1920">
        <f>IF(OR($E1920="",$E1920="نامعتبر"),"",IF(Sync!$Q1917="","0000",IF(AND(ISNUMBER(Sync!$Q1917),Sync!$Q1917&gt;=0,Sync!$Q1917&lt;1),RIGHT("00"&amp;HOUR(Sync!$Q1917),2)&amp;RIGHT("00"&amp;MINUTE(Sync!$Q1917),2),IFERROR(RIGHT("00"&amp;VALUE(LEFT(Sync!$Q1917,FIND(":",Sync!$Q1917)-1)),2)&amp;RIGHT("00"&amp;VALUE(MID(Sync!$Q1917,FIND(":",Sync!$Q1917)+1,2)),2),"0000"))))</f>
        <v/>
      </c>
      <c r="G1920">
        <f>IF(OR($E1920="",$E1920="نامعتبر"),"",IF(Sync!$S1917="","",Sync!$S1917))</f>
        <v/>
      </c>
      <c r="H1920">
        <f>IF(OR($E1920="",$E1920="نامعتبر"),"",IF(Sync!$R1917="","",Sync!$R1917))</f>
        <v/>
      </c>
      <c r="I1920">
        <f>IF(OR($E1920="",$E1920="نامعتبر"),"",IF(Sync!$T1917="","",Sync!$T1917))</f>
        <v/>
      </c>
      <c r="J1920">
        <f>IF(OR($E1920="",$E1920="نامعتبر"),"",IF(Sync!$U1917="","",Sync!$U1917))</f>
        <v/>
      </c>
      <c r="K1920">
        <f>IF(OR($E1920="",$E1920="نامعتبر"),"",IF(Sync!$V1917="","",IFERROR(INDEX(SubCodes,MATCH(Sync!$V1917,SubTitles,0)),Sync!$V1917)))</f>
        <v/>
      </c>
      <c r="L1920">
        <f>IF(OR($E1920="",$E1920="نامعتبر"),"",IF(Sync!$W1917="",0,Sync!$W1917))</f>
        <v/>
      </c>
      <c r="M1920">
        <f>IF(OR($E1920="",$E1920="نامعتبر"),"",IF(Sync!$X1917="",0,Sync!$X1917))</f>
        <v/>
      </c>
      <c r="N1920">
        <f>IF(OR($E1920="",$E1920="نامعتبر"),"",IF(AND($J1920="هزینه",$K1920&lt;&gt;""),1,0))</f>
        <v/>
      </c>
      <c r="O1920">
        <f>IF($N1920=0,"",LEFT($E1920,4)&amp;MID($E1920,6,2)&amp;RIGHT($E1920,2)&amp;$F1920&amp;"|"&amp;"1"&amp;RIGHT("00000"&amp;1912,5))</f>
        <v/>
      </c>
      <c r="P1920">
        <f>IF($O1920="","",COUNTIFS(ExpSub,$K1920,ExpKey,"&lt;"&amp;$O1920)+1)</f>
        <v/>
      </c>
      <c r="Q1920">
        <f>IF($P1920="","",$K1920&amp;"|"&amp;RIGHT("000000"&amp;$P1920,6))</f>
        <v/>
      </c>
    </row>
    <row r="1921">
      <c r="A1921">
        <f>IF(Sync!$P1918="","",Sync!$P1918)</f>
        <v/>
      </c>
      <c r="B1921">
        <f>IF($A1921="","",IF(ISNUMBER($A1921),IF(AND($A1921&gt;=10000101,$A1921&lt;=99991231),INT($A1921/10000),""),IFERROR(VALUE(TRIM(LEFT($A1921,FIND("/",$A1921)-1))),"")))</f>
        <v/>
      </c>
      <c r="C1921">
        <f>IF(OR($A1921="",$B1921=""),"",IF(ISNUMBER($A1921),INT(MOD($A1921,10000)/100),IFERROR(VALUE(TRIM(LEFT(MID($A1921,FIND("/",$A1921)+1,20),FIND("/",MID($A1921,FIND("/",$A1921)+1,20))-1))),"")))</f>
        <v/>
      </c>
      <c r="D1921">
        <f>IF(OR($A1921="",$B1921=""),"",IF(ISNUMBER($A1921),MOD($A1921,100),IFERROR(VALUE(TRIM(MID(MID($A1921,FIND("/",$A1921)+1,20),FIND("/",MID($A1921,FIND("/",$A1921)+1,20))+1,20))),"")))</f>
        <v/>
      </c>
      <c r="E1921">
        <f>IF($A1921="","",IF(OR($B1921="",$C1921="",$D1921="",$B1921&lt;1300,$B1921&gt;1500,$C1921&lt;1,$C1921&gt;12,$D1921&lt;1,$D1921&gt;31),"نامعتبر",RIGHT("0000"&amp;$B1921,4)&amp;"/"&amp;RIGHT("00"&amp;$C1921,2)&amp;"/"&amp;RIGHT("00"&amp;$D1921,2)))</f>
        <v/>
      </c>
      <c r="F1921">
        <f>IF(OR($E1921="",$E1921="نامعتبر"),"",IF(Sync!$Q1918="","0000",IF(AND(ISNUMBER(Sync!$Q1918),Sync!$Q1918&gt;=0,Sync!$Q1918&lt;1),RIGHT("00"&amp;HOUR(Sync!$Q1918),2)&amp;RIGHT("00"&amp;MINUTE(Sync!$Q1918),2),IFERROR(RIGHT("00"&amp;VALUE(LEFT(Sync!$Q1918,FIND(":",Sync!$Q1918)-1)),2)&amp;RIGHT("00"&amp;VALUE(MID(Sync!$Q1918,FIND(":",Sync!$Q1918)+1,2)),2),"0000"))))</f>
        <v/>
      </c>
      <c r="G1921">
        <f>IF(OR($E1921="",$E1921="نامعتبر"),"",IF(Sync!$S1918="","",Sync!$S1918))</f>
        <v/>
      </c>
      <c r="H1921">
        <f>IF(OR($E1921="",$E1921="نامعتبر"),"",IF(Sync!$R1918="","",Sync!$R1918))</f>
        <v/>
      </c>
      <c r="I1921">
        <f>IF(OR($E1921="",$E1921="نامعتبر"),"",IF(Sync!$T1918="","",Sync!$T1918))</f>
        <v/>
      </c>
      <c r="J1921">
        <f>IF(OR($E1921="",$E1921="نامعتبر"),"",IF(Sync!$U1918="","",Sync!$U1918))</f>
        <v/>
      </c>
      <c r="K1921">
        <f>IF(OR($E1921="",$E1921="نامعتبر"),"",IF(Sync!$V1918="","",IFERROR(INDEX(SubCodes,MATCH(Sync!$V1918,SubTitles,0)),Sync!$V1918)))</f>
        <v/>
      </c>
      <c r="L1921">
        <f>IF(OR($E1921="",$E1921="نامعتبر"),"",IF(Sync!$W1918="",0,Sync!$W1918))</f>
        <v/>
      </c>
      <c r="M1921">
        <f>IF(OR($E1921="",$E1921="نامعتبر"),"",IF(Sync!$X1918="",0,Sync!$X1918))</f>
        <v/>
      </c>
      <c r="N1921">
        <f>IF(OR($E1921="",$E1921="نامعتبر"),"",IF(AND($J1921="هزینه",$K1921&lt;&gt;""),1,0))</f>
        <v/>
      </c>
      <c r="O1921">
        <f>IF($N1921=0,"",LEFT($E1921,4)&amp;MID($E1921,6,2)&amp;RIGHT($E1921,2)&amp;$F1921&amp;"|"&amp;"1"&amp;RIGHT("00000"&amp;1913,5))</f>
        <v/>
      </c>
      <c r="P1921">
        <f>IF($O1921="","",COUNTIFS(ExpSub,$K1921,ExpKey,"&lt;"&amp;$O1921)+1)</f>
        <v/>
      </c>
      <c r="Q1921">
        <f>IF($P1921="","",$K1921&amp;"|"&amp;RIGHT("000000"&amp;$P1921,6))</f>
        <v/>
      </c>
    </row>
    <row r="1922">
      <c r="A1922">
        <f>IF(Sync!$P1919="","",Sync!$P1919)</f>
        <v/>
      </c>
      <c r="B1922">
        <f>IF($A1922="","",IF(ISNUMBER($A1922),IF(AND($A1922&gt;=10000101,$A1922&lt;=99991231),INT($A1922/10000),""),IFERROR(VALUE(TRIM(LEFT($A1922,FIND("/",$A1922)-1))),"")))</f>
        <v/>
      </c>
      <c r="C1922">
        <f>IF(OR($A1922="",$B1922=""),"",IF(ISNUMBER($A1922),INT(MOD($A1922,10000)/100),IFERROR(VALUE(TRIM(LEFT(MID($A1922,FIND("/",$A1922)+1,20),FIND("/",MID($A1922,FIND("/",$A1922)+1,20))-1))),"")))</f>
        <v/>
      </c>
      <c r="D1922">
        <f>IF(OR($A1922="",$B1922=""),"",IF(ISNUMBER($A1922),MOD($A1922,100),IFERROR(VALUE(TRIM(MID(MID($A1922,FIND("/",$A1922)+1,20),FIND("/",MID($A1922,FIND("/",$A1922)+1,20))+1,20))),"")))</f>
        <v/>
      </c>
      <c r="E1922">
        <f>IF($A1922="","",IF(OR($B1922="",$C1922="",$D1922="",$B1922&lt;1300,$B1922&gt;1500,$C1922&lt;1,$C1922&gt;12,$D1922&lt;1,$D1922&gt;31),"نامعتبر",RIGHT("0000"&amp;$B1922,4)&amp;"/"&amp;RIGHT("00"&amp;$C1922,2)&amp;"/"&amp;RIGHT("00"&amp;$D1922,2)))</f>
        <v/>
      </c>
      <c r="F1922">
        <f>IF(OR($E1922="",$E1922="نامعتبر"),"",IF(Sync!$Q1919="","0000",IF(AND(ISNUMBER(Sync!$Q1919),Sync!$Q1919&gt;=0,Sync!$Q1919&lt;1),RIGHT("00"&amp;HOUR(Sync!$Q1919),2)&amp;RIGHT("00"&amp;MINUTE(Sync!$Q1919),2),IFERROR(RIGHT("00"&amp;VALUE(LEFT(Sync!$Q1919,FIND(":",Sync!$Q1919)-1)),2)&amp;RIGHT("00"&amp;VALUE(MID(Sync!$Q1919,FIND(":",Sync!$Q1919)+1,2)),2),"0000"))))</f>
        <v/>
      </c>
      <c r="G1922">
        <f>IF(OR($E1922="",$E1922="نامعتبر"),"",IF(Sync!$S1919="","",Sync!$S1919))</f>
        <v/>
      </c>
      <c r="H1922">
        <f>IF(OR($E1922="",$E1922="نامعتبر"),"",IF(Sync!$R1919="","",Sync!$R1919))</f>
        <v/>
      </c>
      <c r="I1922">
        <f>IF(OR($E1922="",$E1922="نامعتبر"),"",IF(Sync!$T1919="","",Sync!$T1919))</f>
        <v/>
      </c>
      <c r="J1922">
        <f>IF(OR($E1922="",$E1922="نامعتبر"),"",IF(Sync!$U1919="","",Sync!$U1919))</f>
        <v/>
      </c>
      <c r="K1922">
        <f>IF(OR($E1922="",$E1922="نامعتبر"),"",IF(Sync!$V1919="","",IFERROR(INDEX(SubCodes,MATCH(Sync!$V1919,SubTitles,0)),Sync!$V1919)))</f>
        <v/>
      </c>
      <c r="L1922">
        <f>IF(OR($E1922="",$E1922="نامعتبر"),"",IF(Sync!$W1919="",0,Sync!$W1919))</f>
        <v/>
      </c>
      <c r="M1922">
        <f>IF(OR($E1922="",$E1922="نامعتبر"),"",IF(Sync!$X1919="",0,Sync!$X1919))</f>
        <v/>
      </c>
      <c r="N1922">
        <f>IF(OR($E1922="",$E1922="نامعتبر"),"",IF(AND($J1922="هزینه",$K1922&lt;&gt;""),1,0))</f>
        <v/>
      </c>
      <c r="O1922">
        <f>IF($N1922=0,"",LEFT($E1922,4)&amp;MID($E1922,6,2)&amp;RIGHT($E1922,2)&amp;$F1922&amp;"|"&amp;"1"&amp;RIGHT("00000"&amp;1914,5))</f>
        <v/>
      </c>
      <c r="P1922">
        <f>IF($O1922="","",COUNTIFS(ExpSub,$K1922,ExpKey,"&lt;"&amp;$O1922)+1)</f>
        <v/>
      </c>
      <c r="Q1922">
        <f>IF($P1922="","",$K1922&amp;"|"&amp;RIGHT("000000"&amp;$P1922,6))</f>
        <v/>
      </c>
    </row>
    <row r="1923">
      <c r="A1923">
        <f>IF(Sync!$P1920="","",Sync!$P1920)</f>
        <v/>
      </c>
      <c r="B1923">
        <f>IF($A1923="","",IF(ISNUMBER($A1923),IF(AND($A1923&gt;=10000101,$A1923&lt;=99991231),INT($A1923/10000),""),IFERROR(VALUE(TRIM(LEFT($A1923,FIND("/",$A1923)-1))),"")))</f>
        <v/>
      </c>
      <c r="C1923">
        <f>IF(OR($A1923="",$B1923=""),"",IF(ISNUMBER($A1923),INT(MOD($A1923,10000)/100),IFERROR(VALUE(TRIM(LEFT(MID($A1923,FIND("/",$A1923)+1,20),FIND("/",MID($A1923,FIND("/",$A1923)+1,20))-1))),"")))</f>
        <v/>
      </c>
      <c r="D1923">
        <f>IF(OR($A1923="",$B1923=""),"",IF(ISNUMBER($A1923),MOD($A1923,100),IFERROR(VALUE(TRIM(MID(MID($A1923,FIND("/",$A1923)+1,20),FIND("/",MID($A1923,FIND("/",$A1923)+1,20))+1,20))),"")))</f>
        <v/>
      </c>
      <c r="E1923">
        <f>IF($A1923="","",IF(OR($B1923="",$C1923="",$D1923="",$B1923&lt;1300,$B1923&gt;1500,$C1923&lt;1,$C1923&gt;12,$D1923&lt;1,$D1923&gt;31),"نامعتبر",RIGHT("0000"&amp;$B1923,4)&amp;"/"&amp;RIGHT("00"&amp;$C1923,2)&amp;"/"&amp;RIGHT("00"&amp;$D1923,2)))</f>
        <v/>
      </c>
      <c r="F1923">
        <f>IF(OR($E1923="",$E1923="نامعتبر"),"",IF(Sync!$Q1920="","0000",IF(AND(ISNUMBER(Sync!$Q1920),Sync!$Q1920&gt;=0,Sync!$Q1920&lt;1),RIGHT("00"&amp;HOUR(Sync!$Q1920),2)&amp;RIGHT("00"&amp;MINUTE(Sync!$Q1920),2),IFERROR(RIGHT("00"&amp;VALUE(LEFT(Sync!$Q1920,FIND(":",Sync!$Q1920)-1)),2)&amp;RIGHT("00"&amp;VALUE(MID(Sync!$Q1920,FIND(":",Sync!$Q1920)+1,2)),2),"0000"))))</f>
        <v/>
      </c>
      <c r="G1923">
        <f>IF(OR($E1923="",$E1923="نامعتبر"),"",IF(Sync!$S1920="","",Sync!$S1920))</f>
        <v/>
      </c>
      <c r="H1923">
        <f>IF(OR($E1923="",$E1923="نامعتبر"),"",IF(Sync!$R1920="","",Sync!$R1920))</f>
        <v/>
      </c>
      <c r="I1923">
        <f>IF(OR($E1923="",$E1923="نامعتبر"),"",IF(Sync!$T1920="","",Sync!$T1920))</f>
        <v/>
      </c>
      <c r="J1923">
        <f>IF(OR($E1923="",$E1923="نامعتبر"),"",IF(Sync!$U1920="","",Sync!$U1920))</f>
        <v/>
      </c>
      <c r="K1923">
        <f>IF(OR($E1923="",$E1923="نامعتبر"),"",IF(Sync!$V1920="","",IFERROR(INDEX(SubCodes,MATCH(Sync!$V1920,SubTitles,0)),Sync!$V1920)))</f>
        <v/>
      </c>
      <c r="L1923">
        <f>IF(OR($E1923="",$E1923="نامعتبر"),"",IF(Sync!$W1920="",0,Sync!$W1920))</f>
        <v/>
      </c>
      <c r="M1923">
        <f>IF(OR($E1923="",$E1923="نامعتبر"),"",IF(Sync!$X1920="",0,Sync!$X1920))</f>
        <v/>
      </c>
      <c r="N1923">
        <f>IF(OR($E1923="",$E1923="نامعتبر"),"",IF(AND($J1923="هزینه",$K1923&lt;&gt;""),1,0))</f>
        <v/>
      </c>
      <c r="O1923">
        <f>IF($N1923=0,"",LEFT($E1923,4)&amp;MID($E1923,6,2)&amp;RIGHT($E1923,2)&amp;$F1923&amp;"|"&amp;"1"&amp;RIGHT("00000"&amp;1915,5))</f>
        <v/>
      </c>
      <c r="P1923">
        <f>IF($O1923="","",COUNTIFS(ExpSub,$K1923,ExpKey,"&lt;"&amp;$O1923)+1)</f>
        <v/>
      </c>
      <c r="Q1923">
        <f>IF($P1923="","",$K1923&amp;"|"&amp;RIGHT("000000"&amp;$P1923,6))</f>
        <v/>
      </c>
    </row>
    <row r="1924">
      <c r="A1924">
        <f>IF(Sync!$P1921="","",Sync!$P1921)</f>
        <v/>
      </c>
      <c r="B1924">
        <f>IF($A1924="","",IF(ISNUMBER($A1924),IF(AND($A1924&gt;=10000101,$A1924&lt;=99991231),INT($A1924/10000),""),IFERROR(VALUE(TRIM(LEFT($A1924,FIND("/",$A1924)-1))),"")))</f>
        <v/>
      </c>
      <c r="C1924">
        <f>IF(OR($A1924="",$B1924=""),"",IF(ISNUMBER($A1924),INT(MOD($A1924,10000)/100),IFERROR(VALUE(TRIM(LEFT(MID($A1924,FIND("/",$A1924)+1,20),FIND("/",MID($A1924,FIND("/",$A1924)+1,20))-1))),"")))</f>
        <v/>
      </c>
      <c r="D1924">
        <f>IF(OR($A1924="",$B1924=""),"",IF(ISNUMBER($A1924),MOD($A1924,100),IFERROR(VALUE(TRIM(MID(MID($A1924,FIND("/",$A1924)+1,20),FIND("/",MID($A1924,FIND("/",$A1924)+1,20))+1,20))),"")))</f>
        <v/>
      </c>
      <c r="E1924">
        <f>IF($A1924="","",IF(OR($B1924="",$C1924="",$D1924="",$B1924&lt;1300,$B1924&gt;1500,$C1924&lt;1,$C1924&gt;12,$D1924&lt;1,$D1924&gt;31),"نامعتبر",RIGHT("0000"&amp;$B1924,4)&amp;"/"&amp;RIGHT("00"&amp;$C1924,2)&amp;"/"&amp;RIGHT("00"&amp;$D1924,2)))</f>
        <v/>
      </c>
      <c r="F1924">
        <f>IF(OR($E1924="",$E1924="نامعتبر"),"",IF(Sync!$Q1921="","0000",IF(AND(ISNUMBER(Sync!$Q1921),Sync!$Q1921&gt;=0,Sync!$Q1921&lt;1),RIGHT("00"&amp;HOUR(Sync!$Q1921),2)&amp;RIGHT("00"&amp;MINUTE(Sync!$Q1921),2),IFERROR(RIGHT("00"&amp;VALUE(LEFT(Sync!$Q1921,FIND(":",Sync!$Q1921)-1)),2)&amp;RIGHT("00"&amp;VALUE(MID(Sync!$Q1921,FIND(":",Sync!$Q1921)+1,2)),2),"0000"))))</f>
        <v/>
      </c>
      <c r="G1924">
        <f>IF(OR($E1924="",$E1924="نامعتبر"),"",IF(Sync!$S1921="","",Sync!$S1921))</f>
        <v/>
      </c>
      <c r="H1924">
        <f>IF(OR($E1924="",$E1924="نامعتبر"),"",IF(Sync!$R1921="","",Sync!$R1921))</f>
        <v/>
      </c>
      <c r="I1924">
        <f>IF(OR($E1924="",$E1924="نامعتبر"),"",IF(Sync!$T1921="","",Sync!$T1921))</f>
        <v/>
      </c>
      <c r="J1924">
        <f>IF(OR($E1924="",$E1924="نامعتبر"),"",IF(Sync!$U1921="","",Sync!$U1921))</f>
        <v/>
      </c>
      <c r="K1924">
        <f>IF(OR($E1924="",$E1924="نامعتبر"),"",IF(Sync!$V1921="","",IFERROR(INDEX(SubCodes,MATCH(Sync!$V1921,SubTitles,0)),Sync!$V1921)))</f>
        <v/>
      </c>
      <c r="L1924">
        <f>IF(OR($E1924="",$E1924="نامعتبر"),"",IF(Sync!$W1921="",0,Sync!$W1921))</f>
        <v/>
      </c>
      <c r="M1924">
        <f>IF(OR($E1924="",$E1924="نامعتبر"),"",IF(Sync!$X1921="",0,Sync!$X1921))</f>
        <v/>
      </c>
      <c r="N1924">
        <f>IF(OR($E1924="",$E1924="نامعتبر"),"",IF(AND($J1924="هزینه",$K1924&lt;&gt;""),1,0))</f>
        <v/>
      </c>
      <c r="O1924">
        <f>IF($N1924=0,"",LEFT($E1924,4)&amp;MID($E1924,6,2)&amp;RIGHT($E1924,2)&amp;$F1924&amp;"|"&amp;"1"&amp;RIGHT("00000"&amp;1916,5))</f>
        <v/>
      </c>
      <c r="P1924">
        <f>IF($O1924="","",COUNTIFS(ExpSub,$K1924,ExpKey,"&lt;"&amp;$O1924)+1)</f>
        <v/>
      </c>
      <c r="Q1924">
        <f>IF($P1924="","",$K1924&amp;"|"&amp;RIGHT("000000"&amp;$P1924,6))</f>
        <v/>
      </c>
    </row>
    <row r="1925">
      <c r="A1925">
        <f>IF(Sync!$P1922="","",Sync!$P1922)</f>
        <v/>
      </c>
      <c r="B1925">
        <f>IF($A1925="","",IF(ISNUMBER($A1925),IF(AND($A1925&gt;=10000101,$A1925&lt;=99991231),INT($A1925/10000),""),IFERROR(VALUE(TRIM(LEFT($A1925,FIND("/",$A1925)-1))),"")))</f>
        <v/>
      </c>
      <c r="C1925">
        <f>IF(OR($A1925="",$B1925=""),"",IF(ISNUMBER($A1925),INT(MOD($A1925,10000)/100),IFERROR(VALUE(TRIM(LEFT(MID($A1925,FIND("/",$A1925)+1,20),FIND("/",MID($A1925,FIND("/",$A1925)+1,20))-1))),"")))</f>
        <v/>
      </c>
      <c r="D1925">
        <f>IF(OR($A1925="",$B1925=""),"",IF(ISNUMBER($A1925),MOD($A1925,100),IFERROR(VALUE(TRIM(MID(MID($A1925,FIND("/",$A1925)+1,20),FIND("/",MID($A1925,FIND("/",$A1925)+1,20))+1,20))),"")))</f>
        <v/>
      </c>
      <c r="E1925">
        <f>IF($A1925="","",IF(OR($B1925="",$C1925="",$D1925="",$B1925&lt;1300,$B1925&gt;1500,$C1925&lt;1,$C1925&gt;12,$D1925&lt;1,$D1925&gt;31),"نامعتبر",RIGHT("0000"&amp;$B1925,4)&amp;"/"&amp;RIGHT("00"&amp;$C1925,2)&amp;"/"&amp;RIGHT("00"&amp;$D1925,2)))</f>
        <v/>
      </c>
      <c r="F1925">
        <f>IF(OR($E1925="",$E1925="نامعتبر"),"",IF(Sync!$Q1922="","0000",IF(AND(ISNUMBER(Sync!$Q1922),Sync!$Q1922&gt;=0,Sync!$Q1922&lt;1),RIGHT("00"&amp;HOUR(Sync!$Q1922),2)&amp;RIGHT("00"&amp;MINUTE(Sync!$Q1922),2),IFERROR(RIGHT("00"&amp;VALUE(LEFT(Sync!$Q1922,FIND(":",Sync!$Q1922)-1)),2)&amp;RIGHT("00"&amp;VALUE(MID(Sync!$Q1922,FIND(":",Sync!$Q1922)+1,2)),2),"0000"))))</f>
        <v/>
      </c>
      <c r="G1925">
        <f>IF(OR($E1925="",$E1925="نامعتبر"),"",IF(Sync!$S1922="","",Sync!$S1922))</f>
        <v/>
      </c>
      <c r="H1925">
        <f>IF(OR($E1925="",$E1925="نامعتبر"),"",IF(Sync!$R1922="","",Sync!$R1922))</f>
        <v/>
      </c>
      <c r="I1925">
        <f>IF(OR($E1925="",$E1925="نامعتبر"),"",IF(Sync!$T1922="","",Sync!$T1922))</f>
        <v/>
      </c>
      <c r="J1925">
        <f>IF(OR($E1925="",$E1925="نامعتبر"),"",IF(Sync!$U1922="","",Sync!$U1922))</f>
        <v/>
      </c>
      <c r="K1925">
        <f>IF(OR($E1925="",$E1925="نامعتبر"),"",IF(Sync!$V1922="","",IFERROR(INDEX(SubCodes,MATCH(Sync!$V1922,SubTitles,0)),Sync!$V1922)))</f>
        <v/>
      </c>
      <c r="L1925">
        <f>IF(OR($E1925="",$E1925="نامعتبر"),"",IF(Sync!$W1922="",0,Sync!$W1922))</f>
        <v/>
      </c>
      <c r="M1925">
        <f>IF(OR($E1925="",$E1925="نامعتبر"),"",IF(Sync!$X1922="",0,Sync!$X1922))</f>
        <v/>
      </c>
      <c r="N1925">
        <f>IF(OR($E1925="",$E1925="نامعتبر"),"",IF(AND($J1925="هزینه",$K1925&lt;&gt;""),1,0))</f>
        <v/>
      </c>
      <c r="O1925">
        <f>IF($N1925=0,"",LEFT($E1925,4)&amp;MID($E1925,6,2)&amp;RIGHT($E1925,2)&amp;$F1925&amp;"|"&amp;"1"&amp;RIGHT("00000"&amp;1917,5))</f>
        <v/>
      </c>
      <c r="P1925">
        <f>IF($O1925="","",COUNTIFS(ExpSub,$K1925,ExpKey,"&lt;"&amp;$O1925)+1)</f>
        <v/>
      </c>
      <c r="Q1925">
        <f>IF($P1925="","",$K1925&amp;"|"&amp;RIGHT("000000"&amp;$P1925,6))</f>
        <v/>
      </c>
    </row>
    <row r="1926">
      <c r="A1926">
        <f>IF(Sync!$P1923="","",Sync!$P1923)</f>
        <v/>
      </c>
      <c r="B1926">
        <f>IF($A1926="","",IF(ISNUMBER($A1926),IF(AND($A1926&gt;=10000101,$A1926&lt;=99991231),INT($A1926/10000),""),IFERROR(VALUE(TRIM(LEFT($A1926,FIND("/",$A1926)-1))),"")))</f>
        <v/>
      </c>
      <c r="C1926">
        <f>IF(OR($A1926="",$B1926=""),"",IF(ISNUMBER($A1926),INT(MOD($A1926,10000)/100),IFERROR(VALUE(TRIM(LEFT(MID($A1926,FIND("/",$A1926)+1,20),FIND("/",MID($A1926,FIND("/",$A1926)+1,20))-1))),"")))</f>
        <v/>
      </c>
      <c r="D1926">
        <f>IF(OR($A1926="",$B1926=""),"",IF(ISNUMBER($A1926),MOD($A1926,100),IFERROR(VALUE(TRIM(MID(MID($A1926,FIND("/",$A1926)+1,20),FIND("/",MID($A1926,FIND("/",$A1926)+1,20))+1,20))),"")))</f>
        <v/>
      </c>
      <c r="E1926">
        <f>IF($A1926="","",IF(OR($B1926="",$C1926="",$D1926="",$B1926&lt;1300,$B1926&gt;1500,$C1926&lt;1,$C1926&gt;12,$D1926&lt;1,$D1926&gt;31),"نامعتبر",RIGHT("0000"&amp;$B1926,4)&amp;"/"&amp;RIGHT("00"&amp;$C1926,2)&amp;"/"&amp;RIGHT("00"&amp;$D1926,2)))</f>
        <v/>
      </c>
      <c r="F1926">
        <f>IF(OR($E1926="",$E1926="نامعتبر"),"",IF(Sync!$Q1923="","0000",IF(AND(ISNUMBER(Sync!$Q1923),Sync!$Q1923&gt;=0,Sync!$Q1923&lt;1),RIGHT("00"&amp;HOUR(Sync!$Q1923),2)&amp;RIGHT("00"&amp;MINUTE(Sync!$Q1923),2),IFERROR(RIGHT("00"&amp;VALUE(LEFT(Sync!$Q1923,FIND(":",Sync!$Q1923)-1)),2)&amp;RIGHT("00"&amp;VALUE(MID(Sync!$Q1923,FIND(":",Sync!$Q1923)+1,2)),2),"0000"))))</f>
        <v/>
      </c>
      <c r="G1926">
        <f>IF(OR($E1926="",$E1926="نامعتبر"),"",IF(Sync!$S1923="","",Sync!$S1923))</f>
        <v/>
      </c>
      <c r="H1926">
        <f>IF(OR($E1926="",$E1926="نامعتبر"),"",IF(Sync!$R1923="","",Sync!$R1923))</f>
        <v/>
      </c>
      <c r="I1926">
        <f>IF(OR($E1926="",$E1926="نامعتبر"),"",IF(Sync!$T1923="","",Sync!$T1923))</f>
        <v/>
      </c>
      <c r="J1926">
        <f>IF(OR($E1926="",$E1926="نامعتبر"),"",IF(Sync!$U1923="","",Sync!$U1923))</f>
        <v/>
      </c>
      <c r="K1926">
        <f>IF(OR($E1926="",$E1926="نامعتبر"),"",IF(Sync!$V1923="","",IFERROR(INDEX(SubCodes,MATCH(Sync!$V1923,SubTitles,0)),Sync!$V1923)))</f>
        <v/>
      </c>
      <c r="L1926">
        <f>IF(OR($E1926="",$E1926="نامعتبر"),"",IF(Sync!$W1923="",0,Sync!$W1923))</f>
        <v/>
      </c>
      <c r="M1926">
        <f>IF(OR($E1926="",$E1926="نامعتبر"),"",IF(Sync!$X1923="",0,Sync!$X1923))</f>
        <v/>
      </c>
      <c r="N1926">
        <f>IF(OR($E1926="",$E1926="نامعتبر"),"",IF(AND($J1926="هزینه",$K1926&lt;&gt;""),1,0))</f>
        <v/>
      </c>
      <c r="O1926">
        <f>IF($N1926=0,"",LEFT($E1926,4)&amp;MID($E1926,6,2)&amp;RIGHT($E1926,2)&amp;$F1926&amp;"|"&amp;"1"&amp;RIGHT("00000"&amp;1918,5))</f>
        <v/>
      </c>
      <c r="P1926">
        <f>IF($O1926="","",COUNTIFS(ExpSub,$K1926,ExpKey,"&lt;"&amp;$O1926)+1)</f>
        <v/>
      </c>
      <c r="Q1926">
        <f>IF($P1926="","",$K1926&amp;"|"&amp;RIGHT("000000"&amp;$P1926,6))</f>
        <v/>
      </c>
    </row>
    <row r="1927">
      <c r="A1927">
        <f>IF(Sync!$P1924="","",Sync!$P1924)</f>
        <v/>
      </c>
      <c r="B1927">
        <f>IF($A1927="","",IF(ISNUMBER($A1927),IF(AND($A1927&gt;=10000101,$A1927&lt;=99991231),INT($A1927/10000),""),IFERROR(VALUE(TRIM(LEFT($A1927,FIND("/",$A1927)-1))),"")))</f>
        <v/>
      </c>
      <c r="C1927">
        <f>IF(OR($A1927="",$B1927=""),"",IF(ISNUMBER($A1927),INT(MOD($A1927,10000)/100),IFERROR(VALUE(TRIM(LEFT(MID($A1927,FIND("/",$A1927)+1,20),FIND("/",MID($A1927,FIND("/",$A1927)+1,20))-1))),"")))</f>
        <v/>
      </c>
      <c r="D1927">
        <f>IF(OR($A1927="",$B1927=""),"",IF(ISNUMBER($A1927),MOD($A1927,100),IFERROR(VALUE(TRIM(MID(MID($A1927,FIND("/",$A1927)+1,20),FIND("/",MID($A1927,FIND("/",$A1927)+1,20))+1,20))),"")))</f>
        <v/>
      </c>
      <c r="E1927">
        <f>IF($A1927="","",IF(OR($B1927="",$C1927="",$D1927="",$B1927&lt;1300,$B1927&gt;1500,$C1927&lt;1,$C1927&gt;12,$D1927&lt;1,$D1927&gt;31),"نامعتبر",RIGHT("0000"&amp;$B1927,4)&amp;"/"&amp;RIGHT("00"&amp;$C1927,2)&amp;"/"&amp;RIGHT("00"&amp;$D1927,2)))</f>
        <v/>
      </c>
      <c r="F1927">
        <f>IF(OR($E1927="",$E1927="نامعتبر"),"",IF(Sync!$Q1924="","0000",IF(AND(ISNUMBER(Sync!$Q1924),Sync!$Q1924&gt;=0,Sync!$Q1924&lt;1),RIGHT("00"&amp;HOUR(Sync!$Q1924),2)&amp;RIGHT("00"&amp;MINUTE(Sync!$Q1924),2),IFERROR(RIGHT("00"&amp;VALUE(LEFT(Sync!$Q1924,FIND(":",Sync!$Q1924)-1)),2)&amp;RIGHT("00"&amp;VALUE(MID(Sync!$Q1924,FIND(":",Sync!$Q1924)+1,2)),2),"0000"))))</f>
        <v/>
      </c>
      <c r="G1927">
        <f>IF(OR($E1927="",$E1927="نامعتبر"),"",IF(Sync!$S1924="","",Sync!$S1924))</f>
        <v/>
      </c>
      <c r="H1927">
        <f>IF(OR($E1927="",$E1927="نامعتبر"),"",IF(Sync!$R1924="","",Sync!$R1924))</f>
        <v/>
      </c>
      <c r="I1927">
        <f>IF(OR($E1927="",$E1927="نامعتبر"),"",IF(Sync!$T1924="","",Sync!$T1924))</f>
        <v/>
      </c>
      <c r="J1927">
        <f>IF(OR($E1927="",$E1927="نامعتبر"),"",IF(Sync!$U1924="","",Sync!$U1924))</f>
        <v/>
      </c>
      <c r="K1927">
        <f>IF(OR($E1927="",$E1927="نامعتبر"),"",IF(Sync!$V1924="","",IFERROR(INDEX(SubCodes,MATCH(Sync!$V1924,SubTitles,0)),Sync!$V1924)))</f>
        <v/>
      </c>
      <c r="L1927">
        <f>IF(OR($E1927="",$E1927="نامعتبر"),"",IF(Sync!$W1924="",0,Sync!$W1924))</f>
        <v/>
      </c>
      <c r="M1927">
        <f>IF(OR($E1927="",$E1927="نامعتبر"),"",IF(Sync!$X1924="",0,Sync!$X1924))</f>
        <v/>
      </c>
      <c r="N1927">
        <f>IF(OR($E1927="",$E1927="نامعتبر"),"",IF(AND($J1927="هزینه",$K1927&lt;&gt;""),1,0))</f>
        <v/>
      </c>
      <c r="O1927">
        <f>IF($N1927=0,"",LEFT($E1927,4)&amp;MID($E1927,6,2)&amp;RIGHT($E1927,2)&amp;$F1927&amp;"|"&amp;"1"&amp;RIGHT("00000"&amp;1919,5))</f>
        <v/>
      </c>
      <c r="P1927">
        <f>IF($O1927="","",COUNTIFS(ExpSub,$K1927,ExpKey,"&lt;"&amp;$O1927)+1)</f>
        <v/>
      </c>
      <c r="Q1927">
        <f>IF($P1927="","",$K1927&amp;"|"&amp;RIGHT("000000"&amp;$P1927,6))</f>
        <v/>
      </c>
    </row>
    <row r="1928">
      <c r="A1928">
        <f>IF(Sync!$P1925="","",Sync!$P1925)</f>
        <v/>
      </c>
      <c r="B1928">
        <f>IF($A1928="","",IF(ISNUMBER($A1928),IF(AND($A1928&gt;=10000101,$A1928&lt;=99991231),INT($A1928/10000),""),IFERROR(VALUE(TRIM(LEFT($A1928,FIND("/",$A1928)-1))),"")))</f>
        <v/>
      </c>
      <c r="C1928">
        <f>IF(OR($A1928="",$B1928=""),"",IF(ISNUMBER($A1928),INT(MOD($A1928,10000)/100),IFERROR(VALUE(TRIM(LEFT(MID($A1928,FIND("/",$A1928)+1,20),FIND("/",MID($A1928,FIND("/",$A1928)+1,20))-1))),"")))</f>
        <v/>
      </c>
      <c r="D1928">
        <f>IF(OR($A1928="",$B1928=""),"",IF(ISNUMBER($A1928),MOD($A1928,100),IFERROR(VALUE(TRIM(MID(MID($A1928,FIND("/",$A1928)+1,20),FIND("/",MID($A1928,FIND("/",$A1928)+1,20))+1,20))),"")))</f>
        <v/>
      </c>
      <c r="E1928">
        <f>IF($A1928="","",IF(OR($B1928="",$C1928="",$D1928="",$B1928&lt;1300,$B1928&gt;1500,$C1928&lt;1,$C1928&gt;12,$D1928&lt;1,$D1928&gt;31),"نامعتبر",RIGHT("0000"&amp;$B1928,4)&amp;"/"&amp;RIGHT("00"&amp;$C1928,2)&amp;"/"&amp;RIGHT("00"&amp;$D1928,2)))</f>
        <v/>
      </c>
      <c r="F1928">
        <f>IF(OR($E1928="",$E1928="نامعتبر"),"",IF(Sync!$Q1925="","0000",IF(AND(ISNUMBER(Sync!$Q1925),Sync!$Q1925&gt;=0,Sync!$Q1925&lt;1),RIGHT("00"&amp;HOUR(Sync!$Q1925),2)&amp;RIGHT("00"&amp;MINUTE(Sync!$Q1925),2),IFERROR(RIGHT("00"&amp;VALUE(LEFT(Sync!$Q1925,FIND(":",Sync!$Q1925)-1)),2)&amp;RIGHT("00"&amp;VALUE(MID(Sync!$Q1925,FIND(":",Sync!$Q1925)+1,2)),2),"0000"))))</f>
        <v/>
      </c>
      <c r="G1928">
        <f>IF(OR($E1928="",$E1928="نامعتبر"),"",IF(Sync!$S1925="","",Sync!$S1925))</f>
        <v/>
      </c>
      <c r="H1928">
        <f>IF(OR($E1928="",$E1928="نامعتبر"),"",IF(Sync!$R1925="","",Sync!$R1925))</f>
        <v/>
      </c>
      <c r="I1928">
        <f>IF(OR($E1928="",$E1928="نامعتبر"),"",IF(Sync!$T1925="","",Sync!$T1925))</f>
        <v/>
      </c>
      <c r="J1928">
        <f>IF(OR($E1928="",$E1928="نامعتبر"),"",IF(Sync!$U1925="","",Sync!$U1925))</f>
        <v/>
      </c>
      <c r="K1928">
        <f>IF(OR($E1928="",$E1928="نامعتبر"),"",IF(Sync!$V1925="","",IFERROR(INDEX(SubCodes,MATCH(Sync!$V1925,SubTitles,0)),Sync!$V1925)))</f>
        <v/>
      </c>
      <c r="L1928">
        <f>IF(OR($E1928="",$E1928="نامعتبر"),"",IF(Sync!$W1925="",0,Sync!$W1925))</f>
        <v/>
      </c>
      <c r="M1928">
        <f>IF(OR($E1928="",$E1928="نامعتبر"),"",IF(Sync!$X1925="",0,Sync!$X1925))</f>
        <v/>
      </c>
      <c r="N1928">
        <f>IF(OR($E1928="",$E1928="نامعتبر"),"",IF(AND($J1928="هزینه",$K1928&lt;&gt;""),1,0))</f>
        <v/>
      </c>
      <c r="O1928">
        <f>IF($N1928=0,"",LEFT($E1928,4)&amp;MID($E1928,6,2)&amp;RIGHT($E1928,2)&amp;$F1928&amp;"|"&amp;"1"&amp;RIGHT("00000"&amp;1920,5))</f>
        <v/>
      </c>
      <c r="P1928">
        <f>IF($O1928="","",COUNTIFS(ExpSub,$K1928,ExpKey,"&lt;"&amp;$O1928)+1)</f>
        <v/>
      </c>
      <c r="Q1928">
        <f>IF($P1928="","",$K1928&amp;"|"&amp;RIGHT("000000"&amp;$P1928,6))</f>
        <v/>
      </c>
    </row>
    <row r="1929">
      <c r="A1929">
        <f>IF(Sync!$P1926="","",Sync!$P1926)</f>
        <v/>
      </c>
      <c r="B1929">
        <f>IF($A1929="","",IF(ISNUMBER($A1929),IF(AND($A1929&gt;=10000101,$A1929&lt;=99991231),INT($A1929/10000),""),IFERROR(VALUE(TRIM(LEFT($A1929,FIND("/",$A1929)-1))),"")))</f>
        <v/>
      </c>
      <c r="C1929">
        <f>IF(OR($A1929="",$B1929=""),"",IF(ISNUMBER($A1929),INT(MOD($A1929,10000)/100),IFERROR(VALUE(TRIM(LEFT(MID($A1929,FIND("/",$A1929)+1,20),FIND("/",MID($A1929,FIND("/",$A1929)+1,20))-1))),"")))</f>
        <v/>
      </c>
      <c r="D1929">
        <f>IF(OR($A1929="",$B1929=""),"",IF(ISNUMBER($A1929),MOD($A1929,100),IFERROR(VALUE(TRIM(MID(MID($A1929,FIND("/",$A1929)+1,20),FIND("/",MID($A1929,FIND("/",$A1929)+1,20))+1,20))),"")))</f>
        <v/>
      </c>
      <c r="E1929">
        <f>IF($A1929="","",IF(OR($B1929="",$C1929="",$D1929="",$B1929&lt;1300,$B1929&gt;1500,$C1929&lt;1,$C1929&gt;12,$D1929&lt;1,$D1929&gt;31),"نامعتبر",RIGHT("0000"&amp;$B1929,4)&amp;"/"&amp;RIGHT("00"&amp;$C1929,2)&amp;"/"&amp;RIGHT("00"&amp;$D1929,2)))</f>
        <v/>
      </c>
      <c r="F1929">
        <f>IF(OR($E1929="",$E1929="نامعتبر"),"",IF(Sync!$Q1926="","0000",IF(AND(ISNUMBER(Sync!$Q1926),Sync!$Q1926&gt;=0,Sync!$Q1926&lt;1),RIGHT("00"&amp;HOUR(Sync!$Q1926),2)&amp;RIGHT("00"&amp;MINUTE(Sync!$Q1926),2),IFERROR(RIGHT("00"&amp;VALUE(LEFT(Sync!$Q1926,FIND(":",Sync!$Q1926)-1)),2)&amp;RIGHT("00"&amp;VALUE(MID(Sync!$Q1926,FIND(":",Sync!$Q1926)+1,2)),2),"0000"))))</f>
        <v/>
      </c>
      <c r="G1929">
        <f>IF(OR($E1929="",$E1929="نامعتبر"),"",IF(Sync!$S1926="","",Sync!$S1926))</f>
        <v/>
      </c>
      <c r="H1929">
        <f>IF(OR($E1929="",$E1929="نامعتبر"),"",IF(Sync!$R1926="","",Sync!$R1926))</f>
        <v/>
      </c>
      <c r="I1929">
        <f>IF(OR($E1929="",$E1929="نامعتبر"),"",IF(Sync!$T1926="","",Sync!$T1926))</f>
        <v/>
      </c>
      <c r="J1929">
        <f>IF(OR($E1929="",$E1929="نامعتبر"),"",IF(Sync!$U1926="","",Sync!$U1926))</f>
        <v/>
      </c>
      <c r="K1929">
        <f>IF(OR($E1929="",$E1929="نامعتبر"),"",IF(Sync!$V1926="","",IFERROR(INDEX(SubCodes,MATCH(Sync!$V1926,SubTitles,0)),Sync!$V1926)))</f>
        <v/>
      </c>
      <c r="L1929">
        <f>IF(OR($E1929="",$E1929="نامعتبر"),"",IF(Sync!$W1926="",0,Sync!$W1926))</f>
        <v/>
      </c>
      <c r="M1929">
        <f>IF(OR($E1929="",$E1929="نامعتبر"),"",IF(Sync!$X1926="",0,Sync!$X1926))</f>
        <v/>
      </c>
      <c r="N1929">
        <f>IF(OR($E1929="",$E1929="نامعتبر"),"",IF(AND($J1929="هزینه",$K1929&lt;&gt;""),1,0))</f>
        <v/>
      </c>
      <c r="O1929">
        <f>IF($N1929=0,"",LEFT($E1929,4)&amp;MID($E1929,6,2)&amp;RIGHT($E1929,2)&amp;$F1929&amp;"|"&amp;"1"&amp;RIGHT("00000"&amp;1921,5))</f>
        <v/>
      </c>
      <c r="P1929">
        <f>IF($O1929="","",COUNTIFS(ExpSub,$K1929,ExpKey,"&lt;"&amp;$O1929)+1)</f>
        <v/>
      </c>
      <c r="Q1929">
        <f>IF($P1929="","",$K1929&amp;"|"&amp;RIGHT("000000"&amp;$P1929,6))</f>
        <v/>
      </c>
    </row>
    <row r="1930">
      <c r="A1930">
        <f>IF(Sync!$P1927="","",Sync!$P1927)</f>
        <v/>
      </c>
      <c r="B1930">
        <f>IF($A1930="","",IF(ISNUMBER($A1930),IF(AND($A1930&gt;=10000101,$A1930&lt;=99991231),INT($A1930/10000),""),IFERROR(VALUE(TRIM(LEFT($A1930,FIND("/",$A1930)-1))),"")))</f>
        <v/>
      </c>
      <c r="C1930">
        <f>IF(OR($A1930="",$B1930=""),"",IF(ISNUMBER($A1930),INT(MOD($A1930,10000)/100),IFERROR(VALUE(TRIM(LEFT(MID($A1930,FIND("/",$A1930)+1,20),FIND("/",MID($A1930,FIND("/",$A1930)+1,20))-1))),"")))</f>
        <v/>
      </c>
      <c r="D1930">
        <f>IF(OR($A1930="",$B1930=""),"",IF(ISNUMBER($A1930),MOD($A1930,100),IFERROR(VALUE(TRIM(MID(MID($A1930,FIND("/",$A1930)+1,20),FIND("/",MID($A1930,FIND("/",$A1930)+1,20))+1,20))),"")))</f>
        <v/>
      </c>
      <c r="E1930">
        <f>IF($A1930="","",IF(OR($B1930="",$C1930="",$D1930="",$B1930&lt;1300,$B1930&gt;1500,$C1930&lt;1,$C1930&gt;12,$D1930&lt;1,$D1930&gt;31),"نامعتبر",RIGHT("0000"&amp;$B1930,4)&amp;"/"&amp;RIGHT("00"&amp;$C1930,2)&amp;"/"&amp;RIGHT("00"&amp;$D1930,2)))</f>
        <v/>
      </c>
      <c r="F1930">
        <f>IF(OR($E1930="",$E1930="نامعتبر"),"",IF(Sync!$Q1927="","0000",IF(AND(ISNUMBER(Sync!$Q1927),Sync!$Q1927&gt;=0,Sync!$Q1927&lt;1),RIGHT("00"&amp;HOUR(Sync!$Q1927),2)&amp;RIGHT("00"&amp;MINUTE(Sync!$Q1927),2),IFERROR(RIGHT("00"&amp;VALUE(LEFT(Sync!$Q1927,FIND(":",Sync!$Q1927)-1)),2)&amp;RIGHT("00"&amp;VALUE(MID(Sync!$Q1927,FIND(":",Sync!$Q1927)+1,2)),2),"0000"))))</f>
        <v/>
      </c>
      <c r="G1930">
        <f>IF(OR($E1930="",$E1930="نامعتبر"),"",IF(Sync!$S1927="","",Sync!$S1927))</f>
        <v/>
      </c>
      <c r="H1930">
        <f>IF(OR($E1930="",$E1930="نامعتبر"),"",IF(Sync!$R1927="","",Sync!$R1927))</f>
        <v/>
      </c>
      <c r="I1930">
        <f>IF(OR($E1930="",$E1930="نامعتبر"),"",IF(Sync!$T1927="","",Sync!$T1927))</f>
        <v/>
      </c>
      <c r="J1930">
        <f>IF(OR($E1930="",$E1930="نامعتبر"),"",IF(Sync!$U1927="","",Sync!$U1927))</f>
        <v/>
      </c>
      <c r="K1930">
        <f>IF(OR($E1930="",$E1930="نامعتبر"),"",IF(Sync!$V1927="","",IFERROR(INDEX(SubCodes,MATCH(Sync!$V1927,SubTitles,0)),Sync!$V1927)))</f>
        <v/>
      </c>
      <c r="L1930">
        <f>IF(OR($E1930="",$E1930="نامعتبر"),"",IF(Sync!$W1927="",0,Sync!$W1927))</f>
        <v/>
      </c>
      <c r="M1930">
        <f>IF(OR($E1930="",$E1930="نامعتبر"),"",IF(Sync!$X1927="",0,Sync!$X1927))</f>
        <v/>
      </c>
      <c r="N1930">
        <f>IF(OR($E1930="",$E1930="نامعتبر"),"",IF(AND($J1930="هزینه",$K1930&lt;&gt;""),1,0))</f>
        <v/>
      </c>
      <c r="O1930">
        <f>IF($N1930=0,"",LEFT($E1930,4)&amp;MID($E1930,6,2)&amp;RIGHT($E1930,2)&amp;$F1930&amp;"|"&amp;"1"&amp;RIGHT("00000"&amp;1922,5))</f>
        <v/>
      </c>
      <c r="P1930">
        <f>IF($O1930="","",COUNTIFS(ExpSub,$K1930,ExpKey,"&lt;"&amp;$O1930)+1)</f>
        <v/>
      </c>
      <c r="Q1930">
        <f>IF($P1930="","",$K1930&amp;"|"&amp;RIGHT("000000"&amp;$P1930,6))</f>
        <v/>
      </c>
    </row>
    <row r="1931">
      <c r="A1931">
        <f>IF(Sync!$P1928="","",Sync!$P1928)</f>
        <v/>
      </c>
      <c r="B1931">
        <f>IF($A1931="","",IF(ISNUMBER($A1931),IF(AND($A1931&gt;=10000101,$A1931&lt;=99991231),INT($A1931/10000),""),IFERROR(VALUE(TRIM(LEFT($A1931,FIND("/",$A1931)-1))),"")))</f>
        <v/>
      </c>
      <c r="C1931">
        <f>IF(OR($A1931="",$B1931=""),"",IF(ISNUMBER($A1931),INT(MOD($A1931,10000)/100),IFERROR(VALUE(TRIM(LEFT(MID($A1931,FIND("/",$A1931)+1,20),FIND("/",MID($A1931,FIND("/",$A1931)+1,20))-1))),"")))</f>
        <v/>
      </c>
      <c r="D1931">
        <f>IF(OR($A1931="",$B1931=""),"",IF(ISNUMBER($A1931),MOD($A1931,100),IFERROR(VALUE(TRIM(MID(MID($A1931,FIND("/",$A1931)+1,20),FIND("/",MID($A1931,FIND("/",$A1931)+1,20))+1,20))),"")))</f>
        <v/>
      </c>
      <c r="E1931">
        <f>IF($A1931="","",IF(OR($B1931="",$C1931="",$D1931="",$B1931&lt;1300,$B1931&gt;1500,$C1931&lt;1,$C1931&gt;12,$D1931&lt;1,$D1931&gt;31),"نامعتبر",RIGHT("0000"&amp;$B1931,4)&amp;"/"&amp;RIGHT("00"&amp;$C1931,2)&amp;"/"&amp;RIGHT("00"&amp;$D1931,2)))</f>
        <v/>
      </c>
      <c r="F1931">
        <f>IF(OR($E1931="",$E1931="نامعتبر"),"",IF(Sync!$Q1928="","0000",IF(AND(ISNUMBER(Sync!$Q1928),Sync!$Q1928&gt;=0,Sync!$Q1928&lt;1),RIGHT("00"&amp;HOUR(Sync!$Q1928),2)&amp;RIGHT("00"&amp;MINUTE(Sync!$Q1928),2),IFERROR(RIGHT("00"&amp;VALUE(LEFT(Sync!$Q1928,FIND(":",Sync!$Q1928)-1)),2)&amp;RIGHT("00"&amp;VALUE(MID(Sync!$Q1928,FIND(":",Sync!$Q1928)+1,2)),2),"0000"))))</f>
        <v/>
      </c>
      <c r="G1931">
        <f>IF(OR($E1931="",$E1931="نامعتبر"),"",IF(Sync!$S1928="","",Sync!$S1928))</f>
        <v/>
      </c>
      <c r="H1931">
        <f>IF(OR($E1931="",$E1931="نامعتبر"),"",IF(Sync!$R1928="","",Sync!$R1928))</f>
        <v/>
      </c>
      <c r="I1931">
        <f>IF(OR($E1931="",$E1931="نامعتبر"),"",IF(Sync!$T1928="","",Sync!$T1928))</f>
        <v/>
      </c>
      <c r="J1931">
        <f>IF(OR($E1931="",$E1931="نامعتبر"),"",IF(Sync!$U1928="","",Sync!$U1928))</f>
        <v/>
      </c>
      <c r="K1931">
        <f>IF(OR($E1931="",$E1931="نامعتبر"),"",IF(Sync!$V1928="","",IFERROR(INDEX(SubCodes,MATCH(Sync!$V1928,SubTitles,0)),Sync!$V1928)))</f>
        <v/>
      </c>
      <c r="L1931">
        <f>IF(OR($E1931="",$E1931="نامعتبر"),"",IF(Sync!$W1928="",0,Sync!$W1928))</f>
        <v/>
      </c>
      <c r="M1931">
        <f>IF(OR($E1931="",$E1931="نامعتبر"),"",IF(Sync!$X1928="",0,Sync!$X1928))</f>
        <v/>
      </c>
      <c r="N1931">
        <f>IF(OR($E1931="",$E1931="نامعتبر"),"",IF(AND($J1931="هزینه",$K1931&lt;&gt;""),1,0))</f>
        <v/>
      </c>
      <c r="O1931">
        <f>IF($N1931=0,"",LEFT($E1931,4)&amp;MID($E1931,6,2)&amp;RIGHT($E1931,2)&amp;$F1931&amp;"|"&amp;"1"&amp;RIGHT("00000"&amp;1923,5))</f>
        <v/>
      </c>
      <c r="P1931">
        <f>IF($O1931="","",COUNTIFS(ExpSub,$K1931,ExpKey,"&lt;"&amp;$O1931)+1)</f>
        <v/>
      </c>
      <c r="Q1931">
        <f>IF($P1931="","",$K1931&amp;"|"&amp;RIGHT("000000"&amp;$P1931,6))</f>
        <v/>
      </c>
    </row>
    <row r="1932">
      <c r="A1932">
        <f>IF(Sync!$P1929="","",Sync!$P1929)</f>
        <v/>
      </c>
      <c r="B1932">
        <f>IF($A1932="","",IF(ISNUMBER($A1932),IF(AND($A1932&gt;=10000101,$A1932&lt;=99991231),INT($A1932/10000),""),IFERROR(VALUE(TRIM(LEFT($A1932,FIND("/",$A1932)-1))),"")))</f>
        <v/>
      </c>
      <c r="C1932">
        <f>IF(OR($A1932="",$B1932=""),"",IF(ISNUMBER($A1932),INT(MOD($A1932,10000)/100),IFERROR(VALUE(TRIM(LEFT(MID($A1932,FIND("/",$A1932)+1,20),FIND("/",MID($A1932,FIND("/",$A1932)+1,20))-1))),"")))</f>
        <v/>
      </c>
      <c r="D1932">
        <f>IF(OR($A1932="",$B1932=""),"",IF(ISNUMBER($A1932),MOD($A1932,100),IFERROR(VALUE(TRIM(MID(MID($A1932,FIND("/",$A1932)+1,20),FIND("/",MID($A1932,FIND("/",$A1932)+1,20))+1,20))),"")))</f>
        <v/>
      </c>
      <c r="E1932">
        <f>IF($A1932="","",IF(OR($B1932="",$C1932="",$D1932="",$B1932&lt;1300,$B1932&gt;1500,$C1932&lt;1,$C1932&gt;12,$D1932&lt;1,$D1932&gt;31),"نامعتبر",RIGHT("0000"&amp;$B1932,4)&amp;"/"&amp;RIGHT("00"&amp;$C1932,2)&amp;"/"&amp;RIGHT("00"&amp;$D1932,2)))</f>
        <v/>
      </c>
      <c r="F1932">
        <f>IF(OR($E1932="",$E1932="نامعتبر"),"",IF(Sync!$Q1929="","0000",IF(AND(ISNUMBER(Sync!$Q1929),Sync!$Q1929&gt;=0,Sync!$Q1929&lt;1),RIGHT("00"&amp;HOUR(Sync!$Q1929),2)&amp;RIGHT("00"&amp;MINUTE(Sync!$Q1929),2),IFERROR(RIGHT("00"&amp;VALUE(LEFT(Sync!$Q1929,FIND(":",Sync!$Q1929)-1)),2)&amp;RIGHT("00"&amp;VALUE(MID(Sync!$Q1929,FIND(":",Sync!$Q1929)+1,2)),2),"0000"))))</f>
        <v/>
      </c>
      <c r="G1932">
        <f>IF(OR($E1932="",$E1932="نامعتبر"),"",IF(Sync!$S1929="","",Sync!$S1929))</f>
        <v/>
      </c>
      <c r="H1932">
        <f>IF(OR($E1932="",$E1932="نامعتبر"),"",IF(Sync!$R1929="","",Sync!$R1929))</f>
        <v/>
      </c>
      <c r="I1932">
        <f>IF(OR($E1932="",$E1932="نامعتبر"),"",IF(Sync!$T1929="","",Sync!$T1929))</f>
        <v/>
      </c>
      <c r="J1932">
        <f>IF(OR($E1932="",$E1932="نامعتبر"),"",IF(Sync!$U1929="","",Sync!$U1929))</f>
        <v/>
      </c>
      <c r="K1932">
        <f>IF(OR($E1932="",$E1932="نامعتبر"),"",IF(Sync!$V1929="","",IFERROR(INDEX(SubCodes,MATCH(Sync!$V1929,SubTitles,0)),Sync!$V1929)))</f>
        <v/>
      </c>
      <c r="L1932">
        <f>IF(OR($E1932="",$E1932="نامعتبر"),"",IF(Sync!$W1929="",0,Sync!$W1929))</f>
        <v/>
      </c>
      <c r="M1932">
        <f>IF(OR($E1932="",$E1932="نامعتبر"),"",IF(Sync!$X1929="",0,Sync!$X1929))</f>
        <v/>
      </c>
      <c r="N1932">
        <f>IF(OR($E1932="",$E1932="نامعتبر"),"",IF(AND($J1932="هزینه",$K1932&lt;&gt;""),1,0))</f>
        <v/>
      </c>
      <c r="O1932">
        <f>IF($N1932=0,"",LEFT($E1932,4)&amp;MID($E1932,6,2)&amp;RIGHT($E1932,2)&amp;$F1932&amp;"|"&amp;"1"&amp;RIGHT("00000"&amp;1924,5))</f>
        <v/>
      </c>
      <c r="P1932">
        <f>IF($O1932="","",COUNTIFS(ExpSub,$K1932,ExpKey,"&lt;"&amp;$O1932)+1)</f>
        <v/>
      </c>
      <c r="Q1932">
        <f>IF($P1932="","",$K1932&amp;"|"&amp;RIGHT("000000"&amp;$P1932,6))</f>
        <v/>
      </c>
    </row>
    <row r="1933">
      <c r="A1933">
        <f>IF(Sync!$P1930="","",Sync!$P1930)</f>
        <v/>
      </c>
      <c r="B1933">
        <f>IF($A1933="","",IF(ISNUMBER($A1933),IF(AND($A1933&gt;=10000101,$A1933&lt;=99991231),INT($A1933/10000),""),IFERROR(VALUE(TRIM(LEFT($A1933,FIND("/",$A1933)-1))),"")))</f>
        <v/>
      </c>
      <c r="C1933">
        <f>IF(OR($A1933="",$B1933=""),"",IF(ISNUMBER($A1933),INT(MOD($A1933,10000)/100),IFERROR(VALUE(TRIM(LEFT(MID($A1933,FIND("/",$A1933)+1,20),FIND("/",MID($A1933,FIND("/",$A1933)+1,20))-1))),"")))</f>
        <v/>
      </c>
      <c r="D1933">
        <f>IF(OR($A1933="",$B1933=""),"",IF(ISNUMBER($A1933),MOD($A1933,100),IFERROR(VALUE(TRIM(MID(MID($A1933,FIND("/",$A1933)+1,20),FIND("/",MID($A1933,FIND("/",$A1933)+1,20))+1,20))),"")))</f>
        <v/>
      </c>
      <c r="E1933">
        <f>IF($A1933="","",IF(OR($B1933="",$C1933="",$D1933="",$B1933&lt;1300,$B1933&gt;1500,$C1933&lt;1,$C1933&gt;12,$D1933&lt;1,$D1933&gt;31),"نامعتبر",RIGHT("0000"&amp;$B1933,4)&amp;"/"&amp;RIGHT("00"&amp;$C1933,2)&amp;"/"&amp;RIGHT("00"&amp;$D1933,2)))</f>
        <v/>
      </c>
      <c r="F1933">
        <f>IF(OR($E1933="",$E1933="نامعتبر"),"",IF(Sync!$Q1930="","0000",IF(AND(ISNUMBER(Sync!$Q1930),Sync!$Q1930&gt;=0,Sync!$Q1930&lt;1),RIGHT("00"&amp;HOUR(Sync!$Q1930),2)&amp;RIGHT("00"&amp;MINUTE(Sync!$Q1930),2),IFERROR(RIGHT("00"&amp;VALUE(LEFT(Sync!$Q1930,FIND(":",Sync!$Q1930)-1)),2)&amp;RIGHT("00"&amp;VALUE(MID(Sync!$Q1930,FIND(":",Sync!$Q1930)+1,2)),2),"0000"))))</f>
        <v/>
      </c>
      <c r="G1933">
        <f>IF(OR($E1933="",$E1933="نامعتبر"),"",IF(Sync!$S1930="","",Sync!$S1930))</f>
        <v/>
      </c>
      <c r="H1933">
        <f>IF(OR($E1933="",$E1933="نامعتبر"),"",IF(Sync!$R1930="","",Sync!$R1930))</f>
        <v/>
      </c>
      <c r="I1933">
        <f>IF(OR($E1933="",$E1933="نامعتبر"),"",IF(Sync!$T1930="","",Sync!$T1930))</f>
        <v/>
      </c>
      <c r="J1933">
        <f>IF(OR($E1933="",$E1933="نامعتبر"),"",IF(Sync!$U1930="","",Sync!$U1930))</f>
        <v/>
      </c>
      <c r="K1933">
        <f>IF(OR($E1933="",$E1933="نامعتبر"),"",IF(Sync!$V1930="","",IFERROR(INDEX(SubCodes,MATCH(Sync!$V1930,SubTitles,0)),Sync!$V1930)))</f>
        <v/>
      </c>
      <c r="L1933">
        <f>IF(OR($E1933="",$E1933="نامعتبر"),"",IF(Sync!$W1930="",0,Sync!$W1930))</f>
        <v/>
      </c>
      <c r="M1933">
        <f>IF(OR($E1933="",$E1933="نامعتبر"),"",IF(Sync!$X1930="",0,Sync!$X1930))</f>
        <v/>
      </c>
      <c r="N1933">
        <f>IF(OR($E1933="",$E1933="نامعتبر"),"",IF(AND($J1933="هزینه",$K1933&lt;&gt;""),1,0))</f>
        <v/>
      </c>
      <c r="O1933">
        <f>IF($N1933=0,"",LEFT($E1933,4)&amp;MID($E1933,6,2)&amp;RIGHT($E1933,2)&amp;$F1933&amp;"|"&amp;"1"&amp;RIGHT("00000"&amp;1925,5))</f>
        <v/>
      </c>
      <c r="P1933">
        <f>IF($O1933="","",COUNTIFS(ExpSub,$K1933,ExpKey,"&lt;"&amp;$O1933)+1)</f>
        <v/>
      </c>
      <c r="Q1933">
        <f>IF($P1933="","",$K1933&amp;"|"&amp;RIGHT("000000"&amp;$P1933,6))</f>
        <v/>
      </c>
    </row>
    <row r="1934">
      <c r="A1934">
        <f>IF(Sync!$P1931="","",Sync!$P1931)</f>
        <v/>
      </c>
      <c r="B1934">
        <f>IF($A1934="","",IF(ISNUMBER($A1934),IF(AND($A1934&gt;=10000101,$A1934&lt;=99991231),INT($A1934/10000),""),IFERROR(VALUE(TRIM(LEFT($A1934,FIND("/",$A1934)-1))),"")))</f>
        <v/>
      </c>
      <c r="C1934">
        <f>IF(OR($A1934="",$B1934=""),"",IF(ISNUMBER($A1934),INT(MOD($A1934,10000)/100),IFERROR(VALUE(TRIM(LEFT(MID($A1934,FIND("/",$A1934)+1,20),FIND("/",MID($A1934,FIND("/",$A1934)+1,20))-1))),"")))</f>
        <v/>
      </c>
      <c r="D1934">
        <f>IF(OR($A1934="",$B1934=""),"",IF(ISNUMBER($A1934),MOD($A1934,100),IFERROR(VALUE(TRIM(MID(MID($A1934,FIND("/",$A1934)+1,20),FIND("/",MID($A1934,FIND("/",$A1934)+1,20))+1,20))),"")))</f>
        <v/>
      </c>
      <c r="E1934">
        <f>IF($A1934="","",IF(OR($B1934="",$C1934="",$D1934="",$B1934&lt;1300,$B1934&gt;1500,$C1934&lt;1,$C1934&gt;12,$D1934&lt;1,$D1934&gt;31),"نامعتبر",RIGHT("0000"&amp;$B1934,4)&amp;"/"&amp;RIGHT("00"&amp;$C1934,2)&amp;"/"&amp;RIGHT("00"&amp;$D1934,2)))</f>
        <v/>
      </c>
      <c r="F1934">
        <f>IF(OR($E1934="",$E1934="نامعتبر"),"",IF(Sync!$Q1931="","0000",IF(AND(ISNUMBER(Sync!$Q1931),Sync!$Q1931&gt;=0,Sync!$Q1931&lt;1),RIGHT("00"&amp;HOUR(Sync!$Q1931),2)&amp;RIGHT("00"&amp;MINUTE(Sync!$Q1931),2),IFERROR(RIGHT("00"&amp;VALUE(LEFT(Sync!$Q1931,FIND(":",Sync!$Q1931)-1)),2)&amp;RIGHT("00"&amp;VALUE(MID(Sync!$Q1931,FIND(":",Sync!$Q1931)+1,2)),2),"0000"))))</f>
        <v/>
      </c>
      <c r="G1934">
        <f>IF(OR($E1934="",$E1934="نامعتبر"),"",IF(Sync!$S1931="","",Sync!$S1931))</f>
        <v/>
      </c>
      <c r="H1934">
        <f>IF(OR($E1934="",$E1934="نامعتبر"),"",IF(Sync!$R1931="","",Sync!$R1931))</f>
        <v/>
      </c>
      <c r="I1934">
        <f>IF(OR($E1934="",$E1934="نامعتبر"),"",IF(Sync!$T1931="","",Sync!$T1931))</f>
        <v/>
      </c>
      <c r="J1934">
        <f>IF(OR($E1934="",$E1934="نامعتبر"),"",IF(Sync!$U1931="","",Sync!$U1931))</f>
        <v/>
      </c>
      <c r="K1934">
        <f>IF(OR($E1934="",$E1934="نامعتبر"),"",IF(Sync!$V1931="","",IFERROR(INDEX(SubCodes,MATCH(Sync!$V1931,SubTitles,0)),Sync!$V1931)))</f>
        <v/>
      </c>
      <c r="L1934">
        <f>IF(OR($E1934="",$E1934="نامعتبر"),"",IF(Sync!$W1931="",0,Sync!$W1931))</f>
        <v/>
      </c>
      <c r="M1934">
        <f>IF(OR($E1934="",$E1934="نامعتبر"),"",IF(Sync!$X1931="",0,Sync!$X1931))</f>
        <v/>
      </c>
      <c r="N1934">
        <f>IF(OR($E1934="",$E1934="نامعتبر"),"",IF(AND($J1934="هزینه",$K1934&lt;&gt;""),1,0))</f>
        <v/>
      </c>
      <c r="O1934">
        <f>IF($N1934=0,"",LEFT($E1934,4)&amp;MID($E1934,6,2)&amp;RIGHT($E1934,2)&amp;$F1934&amp;"|"&amp;"1"&amp;RIGHT("00000"&amp;1926,5))</f>
        <v/>
      </c>
      <c r="P1934">
        <f>IF($O1934="","",COUNTIFS(ExpSub,$K1934,ExpKey,"&lt;"&amp;$O1934)+1)</f>
        <v/>
      </c>
      <c r="Q1934">
        <f>IF($P1934="","",$K1934&amp;"|"&amp;RIGHT("000000"&amp;$P1934,6))</f>
        <v/>
      </c>
    </row>
    <row r="1935">
      <c r="A1935">
        <f>IF(Sync!$P1932="","",Sync!$P1932)</f>
        <v/>
      </c>
      <c r="B1935">
        <f>IF($A1935="","",IF(ISNUMBER($A1935),IF(AND($A1935&gt;=10000101,$A1935&lt;=99991231),INT($A1935/10000),""),IFERROR(VALUE(TRIM(LEFT($A1935,FIND("/",$A1935)-1))),"")))</f>
        <v/>
      </c>
      <c r="C1935">
        <f>IF(OR($A1935="",$B1935=""),"",IF(ISNUMBER($A1935),INT(MOD($A1935,10000)/100),IFERROR(VALUE(TRIM(LEFT(MID($A1935,FIND("/",$A1935)+1,20),FIND("/",MID($A1935,FIND("/",$A1935)+1,20))-1))),"")))</f>
        <v/>
      </c>
      <c r="D1935">
        <f>IF(OR($A1935="",$B1935=""),"",IF(ISNUMBER($A1935),MOD($A1935,100),IFERROR(VALUE(TRIM(MID(MID($A1935,FIND("/",$A1935)+1,20),FIND("/",MID($A1935,FIND("/",$A1935)+1,20))+1,20))),"")))</f>
        <v/>
      </c>
      <c r="E1935">
        <f>IF($A1935="","",IF(OR($B1935="",$C1935="",$D1935="",$B1935&lt;1300,$B1935&gt;1500,$C1935&lt;1,$C1935&gt;12,$D1935&lt;1,$D1935&gt;31),"نامعتبر",RIGHT("0000"&amp;$B1935,4)&amp;"/"&amp;RIGHT("00"&amp;$C1935,2)&amp;"/"&amp;RIGHT("00"&amp;$D1935,2)))</f>
        <v/>
      </c>
      <c r="F1935">
        <f>IF(OR($E1935="",$E1935="نامعتبر"),"",IF(Sync!$Q1932="","0000",IF(AND(ISNUMBER(Sync!$Q1932),Sync!$Q1932&gt;=0,Sync!$Q1932&lt;1),RIGHT("00"&amp;HOUR(Sync!$Q1932),2)&amp;RIGHT("00"&amp;MINUTE(Sync!$Q1932),2),IFERROR(RIGHT("00"&amp;VALUE(LEFT(Sync!$Q1932,FIND(":",Sync!$Q1932)-1)),2)&amp;RIGHT("00"&amp;VALUE(MID(Sync!$Q1932,FIND(":",Sync!$Q1932)+1,2)),2),"0000"))))</f>
        <v/>
      </c>
      <c r="G1935">
        <f>IF(OR($E1935="",$E1935="نامعتبر"),"",IF(Sync!$S1932="","",Sync!$S1932))</f>
        <v/>
      </c>
      <c r="H1935">
        <f>IF(OR($E1935="",$E1935="نامعتبر"),"",IF(Sync!$R1932="","",Sync!$R1932))</f>
        <v/>
      </c>
      <c r="I1935">
        <f>IF(OR($E1935="",$E1935="نامعتبر"),"",IF(Sync!$T1932="","",Sync!$T1932))</f>
        <v/>
      </c>
      <c r="J1935">
        <f>IF(OR($E1935="",$E1935="نامعتبر"),"",IF(Sync!$U1932="","",Sync!$U1932))</f>
        <v/>
      </c>
      <c r="K1935">
        <f>IF(OR($E1935="",$E1935="نامعتبر"),"",IF(Sync!$V1932="","",IFERROR(INDEX(SubCodes,MATCH(Sync!$V1932,SubTitles,0)),Sync!$V1932)))</f>
        <v/>
      </c>
      <c r="L1935">
        <f>IF(OR($E1935="",$E1935="نامعتبر"),"",IF(Sync!$W1932="",0,Sync!$W1932))</f>
        <v/>
      </c>
      <c r="M1935">
        <f>IF(OR($E1935="",$E1935="نامعتبر"),"",IF(Sync!$X1932="",0,Sync!$X1932))</f>
        <v/>
      </c>
      <c r="N1935">
        <f>IF(OR($E1935="",$E1935="نامعتبر"),"",IF(AND($J1935="هزینه",$K1935&lt;&gt;""),1,0))</f>
        <v/>
      </c>
      <c r="O1935">
        <f>IF($N1935=0,"",LEFT($E1935,4)&amp;MID($E1935,6,2)&amp;RIGHT($E1935,2)&amp;$F1935&amp;"|"&amp;"1"&amp;RIGHT("00000"&amp;1927,5))</f>
        <v/>
      </c>
      <c r="P1935">
        <f>IF($O1935="","",COUNTIFS(ExpSub,$K1935,ExpKey,"&lt;"&amp;$O1935)+1)</f>
        <v/>
      </c>
      <c r="Q1935">
        <f>IF($P1935="","",$K1935&amp;"|"&amp;RIGHT("000000"&amp;$P1935,6))</f>
        <v/>
      </c>
    </row>
    <row r="1936">
      <c r="A1936">
        <f>IF(Sync!$P1933="","",Sync!$P1933)</f>
        <v/>
      </c>
      <c r="B1936">
        <f>IF($A1936="","",IF(ISNUMBER($A1936),IF(AND($A1936&gt;=10000101,$A1936&lt;=99991231),INT($A1936/10000),""),IFERROR(VALUE(TRIM(LEFT($A1936,FIND("/",$A1936)-1))),"")))</f>
        <v/>
      </c>
      <c r="C1936">
        <f>IF(OR($A1936="",$B1936=""),"",IF(ISNUMBER($A1936),INT(MOD($A1936,10000)/100),IFERROR(VALUE(TRIM(LEFT(MID($A1936,FIND("/",$A1936)+1,20),FIND("/",MID($A1936,FIND("/",$A1936)+1,20))-1))),"")))</f>
        <v/>
      </c>
      <c r="D1936">
        <f>IF(OR($A1936="",$B1936=""),"",IF(ISNUMBER($A1936),MOD($A1936,100),IFERROR(VALUE(TRIM(MID(MID($A1936,FIND("/",$A1936)+1,20),FIND("/",MID($A1936,FIND("/",$A1936)+1,20))+1,20))),"")))</f>
        <v/>
      </c>
      <c r="E1936">
        <f>IF($A1936="","",IF(OR($B1936="",$C1936="",$D1936="",$B1936&lt;1300,$B1936&gt;1500,$C1936&lt;1,$C1936&gt;12,$D1936&lt;1,$D1936&gt;31),"نامعتبر",RIGHT("0000"&amp;$B1936,4)&amp;"/"&amp;RIGHT("00"&amp;$C1936,2)&amp;"/"&amp;RIGHT("00"&amp;$D1936,2)))</f>
        <v/>
      </c>
      <c r="F1936">
        <f>IF(OR($E1936="",$E1936="نامعتبر"),"",IF(Sync!$Q1933="","0000",IF(AND(ISNUMBER(Sync!$Q1933),Sync!$Q1933&gt;=0,Sync!$Q1933&lt;1),RIGHT("00"&amp;HOUR(Sync!$Q1933),2)&amp;RIGHT("00"&amp;MINUTE(Sync!$Q1933),2),IFERROR(RIGHT("00"&amp;VALUE(LEFT(Sync!$Q1933,FIND(":",Sync!$Q1933)-1)),2)&amp;RIGHT("00"&amp;VALUE(MID(Sync!$Q1933,FIND(":",Sync!$Q1933)+1,2)),2),"0000"))))</f>
        <v/>
      </c>
      <c r="G1936">
        <f>IF(OR($E1936="",$E1936="نامعتبر"),"",IF(Sync!$S1933="","",Sync!$S1933))</f>
        <v/>
      </c>
      <c r="H1936">
        <f>IF(OR($E1936="",$E1936="نامعتبر"),"",IF(Sync!$R1933="","",Sync!$R1933))</f>
        <v/>
      </c>
      <c r="I1936">
        <f>IF(OR($E1936="",$E1936="نامعتبر"),"",IF(Sync!$T1933="","",Sync!$T1933))</f>
        <v/>
      </c>
      <c r="J1936">
        <f>IF(OR($E1936="",$E1936="نامعتبر"),"",IF(Sync!$U1933="","",Sync!$U1933))</f>
        <v/>
      </c>
      <c r="K1936">
        <f>IF(OR($E1936="",$E1936="نامعتبر"),"",IF(Sync!$V1933="","",IFERROR(INDEX(SubCodes,MATCH(Sync!$V1933,SubTitles,0)),Sync!$V1933)))</f>
        <v/>
      </c>
      <c r="L1936">
        <f>IF(OR($E1936="",$E1936="نامعتبر"),"",IF(Sync!$W1933="",0,Sync!$W1933))</f>
        <v/>
      </c>
      <c r="M1936">
        <f>IF(OR($E1936="",$E1936="نامعتبر"),"",IF(Sync!$X1933="",0,Sync!$X1933))</f>
        <v/>
      </c>
      <c r="N1936">
        <f>IF(OR($E1936="",$E1936="نامعتبر"),"",IF(AND($J1936="هزینه",$K1936&lt;&gt;""),1,0))</f>
        <v/>
      </c>
      <c r="O1936">
        <f>IF($N1936=0,"",LEFT($E1936,4)&amp;MID($E1936,6,2)&amp;RIGHT($E1936,2)&amp;$F1936&amp;"|"&amp;"1"&amp;RIGHT("00000"&amp;1928,5))</f>
        <v/>
      </c>
      <c r="P1936">
        <f>IF($O1936="","",COUNTIFS(ExpSub,$K1936,ExpKey,"&lt;"&amp;$O1936)+1)</f>
        <v/>
      </c>
      <c r="Q1936">
        <f>IF($P1936="","",$K1936&amp;"|"&amp;RIGHT("000000"&amp;$P1936,6))</f>
        <v/>
      </c>
    </row>
    <row r="1937">
      <c r="A1937">
        <f>IF(Sync!$P1934="","",Sync!$P1934)</f>
        <v/>
      </c>
      <c r="B1937">
        <f>IF($A1937="","",IF(ISNUMBER($A1937),IF(AND($A1937&gt;=10000101,$A1937&lt;=99991231),INT($A1937/10000),""),IFERROR(VALUE(TRIM(LEFT($A1937,FIND("/",$A1937)-1))),"")))</f>
        <v/>
      </c>
      <c r="C1937">
        <f>IF(OR($A1937="",$B1937=""),"",IF(ISNUMBER($A1937),INT(MOD($A1937,10000)/100),IFERROR(VALUE(TRIM(LEFT(MID($A1937,FIND("/",$A1937)+1,20),FIND("/",MID($A1937,FIND("/",$A1937)+1,20))-1))),"")))</f>
        <v/>
      </c>
      <c r="D1937">
        <f>IF(OR($A1937="",$B1937=""),"",IF(ISNUMBER($A1937),MOD($A1937,100),IFERROR(VALUE(TRIM(MID(MID($A1937,FIND("/",$A1937)+1,20),FIND("/",MID($A1937,FIND("/",$A1937)+1,20))+1,20))),"")))</f>
        <v/>
      </c>
      <c r="E1937">
        <f>IF($A1937="","",IF(OR($B1937="",$C1937="",$D1937="",$B1937&lt;1300,$B1937&gt;1500,$C1937&lt;1,$C1937&gt;12,$D1937&lt;1,$D1937&gt;31),"نامعتبر",RIGHT("0000"&amp;$B1937,4)&amp;"/"&amp;RIGHT("00"&amp;$C1937,2)&amp;"/"&amp;RIGHT("00"&amp;$D1937,2)))</f>
        <v/>
      </c>
      <c r="F1937">
        <f>IF(OR($E1937="",$E1937="نامعتبر"),"",IF(Sync!$Q1934="","0000",IF(AND(ISNUMBER(Sync!$Q1934),Sync!$Q1934&gt;=0,Sync!$Q1934&lt;1),RIGHT("00"&amp;HOUR(Sync!$Q1934),2)&amp;RIGHT("00"&amp;MINUTE(Sync!$Q1934),2),IFERROR(RIGHT("00"&amp;VALUE(LEFT(Sync!$Q1934,FIND(":",Sync!$Q1934)-1)),2)&amp;RIGHT("00"&amp;VALUE(MID(Sync!$Q1934,FIND(":",Sync!$Q1934)+1,2)),2),"0000"))))</f>
        <v/>
      </c>
      <c r="G1937">
        <f>IF(OR($E1937="",$E1937="نامعتبر"),"",IF(Sync!$S1934="","",Sync!$S1934))</f>
        <v/>
      </c>
      <c r="H1937">
        <f>IF(OR($E1937="",$E1937="نامعتبر"),"",IF(Sync!$R1934="","",Sync!$R1934))</f>
        <v/>
      </c>
      <c r="I1937">
        <f>IF(OR($E1937="",$E1937="نامعتبر"),"",IF(Sync!$T1934="","",Sync!$T1934))</f>
        <v/>
      </c>
      <c r="J1937">
        <f>IF(OR($E1937="",$E1937="نامعتبر"),"",IF(Sync!$U1934="","",Sync!$U1934))</f>
        <v/>
      </c>
      <c r="K1937">
        <f>IF(OR($E1937="",$E1937="نامعتبر"),"",IF(Sync!$V1934="","",IFERROR(INDEX(SubCodes,MATCH(Sync!$V1934,SubTitles,0)),Sync!$V1934)))</f>
        <v/>
      </c>
      <c r="L1937">
        <f>IF(OR($E1937="",$E1937="نامعتبر"),"",IF(Sync!$W1934="",0,Sync!$W1934))</f>
        <v/>
      </c>
      <c r="M1937">
        <f>IF(OR($E1937="",$E1937="نامعتبر"),"",IF(Sync!$X1934="",0,Sync!$X1934))</f>
        <v/>
      </c>
      <c r="N1937">
        <f>IF(OR($E1937="",$E1937="نامعتبر"),"",IF(AND($J1937="هزینه",$K1937&lt;&gt;""),1,0))</f>
        <v/>
      </c>
      <c r="O1937">
        <f>IF($N1937=0,"",LEFT($E1937,4)&amp;MID($E1937,6,2)&amp;RIGHT($E1937,2)&amp;$F1937&amp;"|"&amp;"1"&amp;RIGHT("00000"&amp;1929,5))</f>
        <v/>
      </c>
      <c r="P1937">
        <f>IF($O1937="","",COUNTIFS(ExpSub,$K1937,ExpKey,"&lt;"&amp;$O1937)+1)</f>
        <v/>
      </c>
      <c r="Q1937">
        <f>IF($P1937="","",$K1937&amp;"|"&amp;RIGHT("000000"&amp;$P1937,6))</f>
        <v/>
      </c>
    </row>
    <row r="1938">
      <c r="A1938">
        <f>IF(Sync!$P1935="","",Sync!$P1935)</f>
        <v/>
      </c>
      <c r="B1938">
        <f>IF($A1938="","",IF(ISNUMBER($A1938),IF(AND($A1938&gt;=10000101,$A1938&lt;=99991231),INT($A1938/10000),""),IFERROR(VALUE(TRIM(LEFT($A1938,FIND("/",$A1938)-1))),"")))</f>
        <v/>
      </c>
      <c r="C1938">
        <f>IF(OR($A1938="",$B1938=""),"",IF(ISNUMBER($A1938),INT(MOD($A1938,10000)/100),IFERROR(VALUE(TRIM(LEFT(MID($A1938,FIND("/",$A1938)+1,20),FIND("/",MID($A1938,FIND("/",$A1938)+1,20))-1))),"")))</f>
        <v/>
      </c>
      <c r="D1938">
        <f>IF(OR($A1938="",$B1938=""),"",IF(ISNUMBER($A1938),MOD($A1938,100),IFERROR(VALUE(TRIM(MID(MID($A1938,FIND("/",$A1938)+1,20),FIND("/",MID($A1938,FIND("/",$A1938)+1,20))+1,20))),"")))</f>
        <v/>
      </c>
      <c r="E1938">
        <f>IF($A1938="","",IF(OR($B1938="",$C1938="",$D1938="",$B1938&lt;1300,$B1938&gt;1500,$C1938&lt;1,$C1938&gt;12,$D1938&lt;1,$D1938&gt;31),"نامعتبر",RIGHT("0000"&amp;$B1938,4)&amp;"/"&amp;RIGHT("00"&amp;$C1938,2)&amp;"/"&amp;RIGHT("00"&amp;$D1938,2)))</f>
        <v/>
      </c>
      <c r="F1938">
        <f>IF(OR($E1938="",$E1938="نامعتبر"),"",IF(Sync!$Q1935="","0000",IF(AND(ISNUMBER(Sync!$Q1935),Sync!$Q1935&gt;=0,Sync!$Q1935&lt;1),RIGHT("00"&amp;HOUR(Sync!$Q1935),2)&amp;RIGHT("00"&amp;MINUTE(Sync!$Q1935),2),IFERROR(RIGHT("00"&amp;VALUE(LEFT(Sync!$Q1935,FIND(":",Sync!$Q1935)-1)),2)&amp;RIGHT("00"&amp;VALUE(MID(Sync!$Q1935,FIND(":",Sync!$Q1935)+1,2)),2),"0000"))))</f>
        <v/>
      </c>
      <c r="G1938">
        <f>IF(OR($E1938="",$E1938="نامعتبر"),"",IF(Sync!$S1935="","",Sync!$S1935))</f>
        <v/>
      </c>
      <c r="H1938">
        <f>IF(OR($E1938="",$E1938="نامعتبر"),"",IF(Sync!$R1935="","",Sync!$R1935))</f>
        <v/>
      </c>
      <c r="I1938">
        <f>IF(OR($E1938="",$E1938="نامعتبر"),"",IF(Sync!$T1935="","",Sync!$T1935))</f>
        <v/>
      </c>
      <c r="J1938">
        <f>IF(OR($E1938="",$E1938="نامعتبر"),"",IF(Sync!$U1935="","",Sync!$U1935))</f>
        <v/>
      </c>
      <c r="K1938">
        <f>IF(OR($E1938="",$E1938="نامعتبر"),"",IF(Sync!$V1935="","",IFERROR(INDEX(SubCodes,MATCH(Sync!$V1935,SubTitles,0)),Sync!$V1935)))</f>
        <v/>
      </c>
      <c r="L1938">
        <f>IF(OR($E1938="",$E1938="نامعتبر"),"",IF(Sync!$W1935="",0,Sync!$W1935))</f>
        <v/>
      </c>
      <c r="M1938">
        <f>IF(OR($E1938="",$E1938="نامعتبر"),"",IF(Sync!$X1935="",0,Sync!$X1935))</f>
        <v/>
      </c>
      <c r="N1938">
        <f>IF(OR($E1938="",$E1938="نامعتبر"),"",IF(AND($J1938="هزینه",$K1938&lt;&gt;""),1,0))</f>
        <v/>
      </c>
      <c r="O1938">
        <f>IF($N1938=0,"",LEFT($E1938,4)&amp;MID($E1938,6,2)&amp;RIGHT($E1938,2)&amp;$F1938&amp;"|"&amp;"1"&amp;RIGHT("00000"&amp;1930,5))</f>
        <v/>
      </c>
      <c r="P1938">
        <f>IF($O1938="","",COUNTIFS(ExpSub,$K1938,ExpKey,"&lt;"&amp;$O1938)+1)</f>
        <v/>
      </c>
      <c r="Q1938">
        <f>IF($P1938="","",$K1938&amp;"|"&amp;RIGHT("000000"&amp;$P1938,6))</f>
        <v/>
      </c>
    </row>
    <row r="1939">
      <c r="A1939">
        <f>IF(Sync!$P1936="","",Sync!$P1936)</f>
        <v/>
      </c>
      <c r="B1939">
        <f>IF($A1939="","",IF(ISNUMBER($A1939),IF(AND($A1939&gt;=10000101,$A1939&lt;=99991231),INT($A1939/10000),""),IFERROR(VALUE(TRIM(LEFT($A1939,FIND("/",$A1939)-1))),"")))</f>
        <v/>
      </c>
      <c r="C1939">
        <f>IF(OR($A1939="",$B1939=""),"",IF(ISNUMBER($A1939),INT(MOD($A1939,10000)/100),IFERROR(VALUE(TRIM(LEFT(MID($A1939,FIND("/",$A1939)+1,20),FIND("/",MID($A1939,FIND("/",$A1939)+1,20))-1))),"")))</f>
        <v/>
      </c>
      <c r="D1939">
        <f>IF(OR($A1939="",$B1939=""),"",IF(ISNUMBER($A1939),MOD($A1939,100),IFERROR(VALUE(TRIM(MID(MID($A1939,FIND("/",$A1939)+1,20),FIND("/",MID($A1939,FIND("/",$A1939)+1,20))+1,20))),"")))</f>
        <v/>
      </c>
      <c r="E1939">
        <f>IF($A1939="","",IF(OR($B1939="",$C1939="",$D1939="",$B1939&lt;1300,$B1939&gt;1500,$C1939&lt;1,$C1939&gt;12,$D1939&lt;1,$D1939&gt;31),"نامعتبر",RIGHT("0000"&amp;$B1939,4)&amp;"/"&amp;RIGHT("00"&amp;$C1939,2)&amp;"/"&amp;RIGHT("00"&amp;$D1939,2)))</f>
        <v/>
      </c>
      <c r="F1939">
        <f>IF(OR($E1939="",$E1939="نامعتبر"),"",IF(Sync!$Q1936="","0000",IF(AND(ISNUMBER(Sync!$Q1936),Sync!$Q1936&gt;=0,Sync!$Q1936&lt;1),RIGHT("00"&amp;HOUR(Sync!$Q1936),2)&amp;RIGHT("00"&amp;MINUTE(Sync!$Q1936),2),IFERROR(RIGHT("00"&amp;VALUE(LEFT(Sync!$Q1936,FIND(":",Sync!$Q1936)-1)),2)&amp;RIGHT("00"&amp;VALUE(MID(Sync!$Q1936,FIND(":",Sync!$Q1936)+1,2)),2),"0000"))))</f>
        <v/>
      </c>
      <c r="G1939">
        <f>IF(OR($E1939="",$E1939="نامعتبر"),"",IF(Sync!$S1936="","",Sync!$S1936))</f>
        <v/>
      </c>
      <c r="H1939">
        <f>IF(OR($E1939="",$E1939="نامعتبر"),"",IF(Sync!$R1936="","",Sync!$R1936))</f>
        <v/>
      </c>
      <c r="I1939">
        <f>IF(OR($E1939="",$E1939="نامعتبر"),"",IF(Sync!$T1936="","",Sync!$T1936))</f>
        <v/>
      </c>
      <c r="J1939">
        <f>IF(OR($E1939="",$E1939="نامعتبر"),"",IF(Sync!$U1936="","",Sync!$U1936))</f>
        <v/>
      </c>
      <c r="K1939">
        <f>IF(OR($E1939="",$E1939="نامعتبر"),"",IF(Sync!$V1936="","",IFERROR(INDEX(SubCodes,MATCH(Sync!$V1936,SubTitles,0)),Sync!$V1936)))</f>
        <v/>
      </c>
      <c r="L1939">
        <f>IF(OR($E1939="",$E1939="نامعتبر"),"",IF(Sync!$W1936="",0,Sync!$W1936))</f>
        <v/>
      </c>
      <c r="M1939">
        <f>IF(OR($E1939="",$E1939="نامعتبر"),"",IF(Sync!$X1936="",0,Sync!$X1936))</f>
        <v/>
      </c>
      <c r="N1939">
        <f>IF(OR($E1939="",$E1939="نامعتبر"),"",IF(AND($J1939="هزینه",$K1939&lt;&gt;""),1,0))</f>
        <v/>
      </c>
      <c r="O1939">
        <f>IF($N1939=0,"",LEFT($E1939,4)&amp;MID($E1939,6,2)&amp;RIGHT($E1939,2)&amp;$F1939&amp;"|"&amp;"1"&amp;RIGHT("00000"&amp;1931,5))</f>
        <v/>
      </c>
      <c r="P1939">
        <f>IF($O1939="","",COUNTIFS(ExpSub,$K1939,ExpKey,"&lt;"&amp;$O1939)+1)</f>
        <v/>
      </c>
      <c r="Q1939">
        <f>IF($P1939="","",$K1939&amp;"|"&amp;RIGHT("000000"&amp;$P1939,6))</f>
        <v/>
      </c>
    </row>
    <row r="1940">
      <c r="A1940">
        <f>IF(Sync!$P1937="","",Sync!$P1937)</f>
        <v/>
      </c>
      <c r="B1940">
        <f>IF($A1940="","",IF(ISNUMBER($A1940),IF(AND($A1940&gt;=10000101,$A1940&lt;=99991231),INT($A1940/10000),""),IFERROR(VALUE(TRIM(LEFT($A1940,FIND("/",$A1940)-1))),"")))</f>
        <v/>
      </c>
      <c r="C1940">
        <f>IF(OR($A1940="",$B1940=""),"",IF(ISNUMBER($A1940),INT(MOD($A1940,10000)/100),IFERROR(VALUE(TRIM(LEFT(MID($A1940,FIND("/",$A1940)+1,20),FIND("/",MID($A1940,FIND("/",$A1940)+1,20))-1))),"")))</f>
        <v/>
      </c>
      <c r="D1940">
        <f>IF(OR($A1940="",$B1940=""),"",IF(ISNUMBER($A1940),MOD($A1940,100),IFERROR(VALUE(TRIM(MID(MID($A1940,FIND("/",$A1940)+1,20),FIND("/",MID($A1940,FIND("/",$A1940)+1,20))+1,20))),"")))</f>
        <v/>
      </c>
      <c r="E1940">
        <f>IF($A1940="","",IF(OR($B1940="",$C1940="",$D1940="",$B1940&lt;1300,$B1940&gt;1500,$C1940&lt;1,$C1940&gt;12,$D1940&lt;1,$D1940&gt;31),"نامعتبر",RIGHT("0000"&amp;$B1940,4)&amp;"/"&amp;RIGHT("00"&amp;$C1940,2)&amp;"/"&amp;RIGHT("00"&amp;$D1940,2)))</f>
        <v/>
      </c>
      <c r="F1940">
        <f>IF(OR($E1940="",$E1940="نامعتبر"),"",IF(Sync!$Q1937="","0000",IF(AND(ISNUMBER(Sync!$Q1937),Sync!$Q1937&gt;=0,Sync!$Q1937&lt;1),RIGHT("00"&amp;HOUR(Sync!$Q1937),2)&amp;RIGHT("00"&amp;MINUTE(Sync!$Q1937),2),IFERROR(RIGHT("00"&amp;VALUE(LEFT(Sync!$Q1937,FIND(":",Sync!$Q1937)-1)),2)&amp;RIGHT("00"&amp;VALUE(MID(Sync!$Q1937,FIND(":",Sync!$Q1937)+1,2)),2),"0000"))))</f>
        <v/>
      </c>
      <c r="G1940">
        <f>IF(OR($E1940="",$E1940="نامعتبر"),"",IF(Sync!$S1937="","",Sync!$S1937))</f>
        <v/>
      </c>
      <c r="H1940">
        <f>IF(OR($E1940="",$E1940="نامعتبر"),"",IF(Sync!$R1937="","",Sync!$R1937))</f>
        <v/>
      </c>
      <c r="I1940">
        <f>IF(OR($E1940="",$E1940="نامعتبر"),"",IF(Sync!$T1937="","",Sync!$T1937))</f>
        <v/>
      </c>
      <c r="J1940">
        <f>IF(OR($E1940="",$E1940="نامعتبر"),"",IF(Sync!$U1937="","",Sync!$U1937))</f>
        <v/>
      </c>
      <c r="K1940">
        <f>IF(OR($E1940="",$E1940="نامعتبر"),"",IF(Sync!$V1937="","",IFERROR(INDEX(SubCodes,MATCH(Sync!$V1937,SubTitles,0)),Sync!$V1937)))</f>
        <v/>
      </c>
      <c r="L1940">
        <f>IF(OR($E1940="",$E1940="نامعتبر"),"",IF(Sync!$W1937="",0,Sync!$W1937))</f>
        <v/>
      </c>
      <c r="M1940">
        <f>IF(OR($E1940="",$E1940="نامعتبر"),"",IF(Sync!$X1937="",0,Sync!$X1937))</f>
        <v/>
      </c>
      <c r="N1940">
        <f>IF(OR($E1940="",$E1940="نامعتبر"),"",IF(AND($J1940="هزینه",$K1940&lt;&gt;""),1,0))</f>
        <v/>
      </c>
      <c r="O1940">
        <f>IF($N1940=0,"",LEFT($E1940,4)&amp;MID($E1940,6,2)&amp;RIGHT($E1940,2)&amp;$F1940&amp;"|"&amp;"1"&amp;RIGHT("00000"&amp;1932,5))</f>
        <v/>
      </c>
      <c r="P1940">
        <f>IF($O1940="","",COUNTIFS(ExpSub,$K1940,ExpKey,"&lt;"&amp;$O1940)+1)</f>
        <v/>
      </c>
      <c r="Q1940">
        <f>IF($P1940="","",$K1940&amp;"|"&amp;RIGHT("000000"&amp;$P1940,6))</f>
        <v/>
      </c>
    </row>
    <row r="1941">
      <c r="A1941">
        <f>IF(Sync!$P1938="","",Sync!$P1938)</f>
        <v/>
      </c>
      <c r="B1941">
        <f>IF($A1941="","",IF(ISNUMBER($A1941),IF(AND($A1941&gt;=10000101,$A1941&lt;=99991231),INT($A1941/10000),""),IFERROR(VALUE(TRIM(LEFT($A1941,FIND("/",$A1941)-1))),"")))</f>
        <v/>
      </c>
      <c r="C1941">
        <f>IF(OR($A1941="",$B1941=""),"",IF(ISNUMBER($A1941),INT(MOD($A1941,10000)/100),IFERROR(VALUE(TRIM(LEFT(MID($A1941,FIND("/",$A1941)+1,20),FIND("/",MID($A1941,FIND("/",$A1941)+1,20))-1))),"")))</f>
        <v/>
      </c>
      <c r="D1941">
        <f>IF(OR($A1941="",$B1941=""),"",IF(ISNUMBER($A1941),MOD($A1941,100),IFERROR(VALUE(TRIM(MID(MID($A1941,FIND("/",$A1941)+1,20),FIND("/",MID($A1941,FIND("/",$A1941)+1,20))+1,20))),"")))</f>
        <v/>
      </c>
      <c r="E1941">
        <f>IF($A1941="","",IF(OR($B1941="",$C1941="",$D1941="",$B1941&lt;1300,$B1941&gt;1500,$C1941&lt;1,$C1941&gt;12,$D1941&lt;1,$D1941&gt;31),"نامعتبر",RIGHT("0000"&amp;$B1941,4)&amp;"/"&amp;RIGHT("00"&amp;$C1941,2)&amp;"/"&amp;RIGHT("00"&amp;$D1941,2)))</f>
        <v/>
      </c>
      <c r="F1941">
        <f>IF(OR($E1941="",$E1941="نامعتبر"),"",IF(Sync!$Q1938="","0000",IF(AND(ISNUMBER(Sync!$Q1938),Sync!$Q1938&gt;=0,Sync!$Q1938&lt;1),RIGHT("00"&amp;HOUR(Sync!$Q1938),2)&amp;RIGHT("00"&amp;MINUTE(Sync!$Q1938),2),IFERROR(RIGHT("00"&amp;VALUE(LEFT(Sync!$Q1938,FIND(":",Sync!$Q1938)-1)),2)&amp;RIGHT("00"&amp;VALUE(MID(Sync!$Q1938,FIND(":",Sync!$Q1938)+1,2)),2),"0000"))))</f>
        <v/>
      </c>
      <c r="G1941">
        <f>IF(OR($E1941="",$E1941="نامعتبر"),"",IF(Sync!$S1938="","",Sync!$S1938))</f>
        <v/>
      </c>
      <c r="H1941">
        <f>IF(OR($E1941="",$E1941="نامعتبر"),"",IF(Sync!$R1938="","",Sync!$R1938))</f>
        <v/>
      </c>
      <c r="I1941">
        <f>IF(OR($E1941="",$E1941="نامعتبر"),"",IF(Sync!$T1938="","",Sync!$T1938))</f>
        <v/>
      </c>
      <c r="J1941">
        <f>IF(OR($E1941="",$E1941="نامعتبر"),"",IF(Sync!$U1938="","",Sync!$U1938))</f>
        <v/>
      </c>
      <c r="K1941">
        <f>IF(OR($E1941="",$E1941="نامعتبر"),"",IF(Sync!$V1938="","",IFERROR(INDEX(SubCodes,MATCH(Sync!$V1938,SubTitles,0)),Sync!$V1938)))</f>
        <v/>
      </c>
      <c r="L1941">
        <f>IF(OR($E1941="",$E1941="نامعتبر"),"",IF(Sync!$W1938="",0,Sync!$W1938))</f>
        <v/>
      </c>
      <c r="M1941">
        <f>IF(OR($E1941="",$E1941="نامعتبر"),"",IF(Sync!$X1938="",0,Sync!$X1938))</f>
        <v/>
      </c>
      <c r="N1941">
        <f>IF(OR($E1941="",$E1941="نامعتبر"),"",IF(AND($J1941="هزینه",$K1941&lt;&gt;""),1,0))</f>
        <v/>
      </c>
      <c r="O1941">
        <f>IF($N1941=0,"",LEFT($E1941,4)&amp;MID($E1941,6,2)&amp;RIGHT($E1941,2)&amp;$F1941&amp;"|"&amp;"1"&amp;RIGHT("00000"&amp;1933,5))</f>
        <v/>
      </c>
      <c r="P1941">
        <f>IF($O1941="","",COUNTIFS(ExpSub,$K1941,ExpKey,"&lt;"&amp;$O1941)+1)</f>
        <v/>
      </c>
      <c r="Q1941">
        <f>IF($P1941="","",$K1941&amp;"|"&amp;RIGHT("000000"&amp;$P1941,6))</f>
        <v/>
      </c>
    </row>
    <row r="1942">
      <c r="A1942">
        <f>IF(Sync!$P1939="","",Sync!$P1939)</f>
        <v/>
      </c>
      <c r="B1942">
        <f>IF($A1942="","",IF(ISNUMBER($A1942),IF(AND($A1942&gt;=10000101,$A1942&lt;=99991231),INT($A1942/10000),""),IFERROR(VALUE(TRIM(LEFT($A1942,FIND("/",$A1942)-1))),"")))</f>
        <v/>
      </c>
      <c r="C1942">
        <f>IF(OR($A1942="",$B1942=""),"",IF(ISNUMBER($A1942),INT(MOD($A1942,10000)/100),IFERROR(VALUE(TRIM(LEFT(MID($A1942,FIND("/",$A1942)+1,20),FIND("/",MID($A1942,FIND("/",$A1942)+1,20))-1))),"")))</f>
        <v/>
      </c>
      <c r="D1942">
        <f>IF(OR($A1942="",$B1942=""),"",IF(ISNUMBER($A1942),MOD($A1942,100),IFERROR(VALUE(TRIM(MID(MID($A1942,FIND("/",$A1942)+1,20),FIND("/",MID($A1942,FIND("/",$A1942)+1,20))+1,20))),"")))</f>
        <v/>
      </c>
      <c r="E1942">
        <f>IF($A1942="","",IF(OR($B1942="",$C1942="",$D1942="",$B1942&lt;1300,$B1942&gt;1500,$C1942&lt;1,$C1942&gt;12,$D1942&lt;1,$D1942&gt;31),"نامعتبر",RIGHT("0000"&amp;$B1942,4)&amp;"/"&amp;RIGHT("00"&amp;$C1942,2)&amp;"/"&amp;RIGHT("00"&amp;$D1942,2)))</f>
        <v/>
      </c>
      <c r="F1942">
        <f>IF(OR($E1942="",$E1942="نامعتبر"),"",IF(Sync!$Q1939="","0000",IF(AND(ISNUMBER(Sync!$Q1939),Sync!$Q1939&gt;=0,Sync!$Q1939&lt;1),RIGHT("00"&amp;HOUR(Sync!$Q1939),2)&amp;RIGHT("00"&amp;MINUTE(Sync!$Q1939),2),IFERROR(RIGHT("00"&amp;VALUE(LEFT(Sync!$Q1939,FIND(":",Sync!$Q1939)-1)),2)&amp;RIGHT("00"&amp;VALUE(MID(Sync!$Q1939,FIND(":",Sync!$Q1939)+1,2)),2),"0000"))))</f>
        <v/>
      </c>
      <c r="G1942">
        <f>IF(OR($E1942="",$E1942="نامعتبر"),"",IF(Sync!$S1939="","",Sync!$S1939))</f>
        <v/>
      </c>
      <c r="H1942">
        <f>IF(OR($E1942="",$E1942="نامعتبر"),"",IF(Sync!$R1939="","",Sync!$R1939))</f>
        <v/>
      </c>
      <c r="I1942">
        <f>IF(OR($E1942="",$E1942="نامعتبر"),"",IF(Sync!$T1939="","",Sync!$T1939))</f>
        <v/>
      </c>
      <c r="J1942">
        <f>IF(OR($E1942="",$E1942="نامعتبر"),"",IF(Sync!$U1939="","",Sync!$U1939))</f>
        <v/>
      </c>
      <c r="K1942">
        <f>IF(OR($E1942="",$E1942="نامعتبر"),"",IF(Sync!$V1939="","",IFERROR(INDEX(SubCodes,MATCH(Sync!$V1939,SubTitles,0)),Sync!$V1939)))</f>
        <v/>
      </c>
      <c r="L1942">
        <f>IF(OR($E1942="",$E1942="نامعتبر"),"",IF(Sync!$W1939="",0,Sync!$W1939))</f>
        <v/>
      </c>
      <c r="M1942">
        <f>IF(OR($E1942="",$E1942="نامعتبر"),"",IF(Sync!$X1939="",0,Sync!$X1939))</f>
        <v/>
      </c>
      <c r="N1942">
        <f>IF(OR($E1942="",$E1942="نامعتبر"),"",IF(AND($J1942="هزینه",$K1942&lt;&gt;""),1,0))</f>
        <v/>
      </c>
      <c r="O1942">
        <f>IF($N1942=0,"",LEFT($E1942,4)&amp;MID($E1942,6,2)&amp;RIGHT($E1942,2)&amp;$F1942&amp;"|"&amp;"1"&amp;RIGHT("00000"&amp;1934,5))</f>
        <v/>
      </c>
      <c r="P1942">
        <f>IF($O1942="","",COUNTIFS(ExpSub,$K1942,ExpKey,"&lt;"&amp;$O1942)+1)</f>
        <v/>
      </c>
      <c r="Q1942">
        <f>IF($P1942="","",$K1942&amp;"|"&amp;RIGHT("000000"&amp;$P1942,6))</f>
        <v/>
      </c>
    </row>
    <row r="1943">
      <c r="A1943">
        <f>IF(Sync!$P1940="","",Sync!$P1940)</f>
        <v/>
      </c>
      <c r="B1943">
        <f>IF($A1943="","",IF(ISNUMBER($A1943),IF(AND($A1943&gt;=10000101,$A1943&lt;=99991231),INT($A1943/10000),""),IFERROR(VALUE(TRIM(LEFT($A1943,FIND("/",$A1943)-1))),"")))</f>
        <v/>
      </c>
      <c r="C1943">
        <f>IF(OR($A1943="",$B1943=""),"",IF(ISNUMBER($A1943),INT(MOD($A1943,10000)/100),IFERROR(VALUE(TRIM(LEFT(MID($A1943,FIND("/",$A1943)+1,20),FIND("/",MID($A1943,FIND("/",$A1943)+1,20))-1))),"")))</f>
        <v/>
      </c>
      <c r="D1943">
        <f>IF(OR($A1943="",$B1943=""),"",IF(ISNUMBER($A1943),MOD($A1943,100),IFERROR(VALUE(TRIM(MID(MID($A1943,FIND("/",$A1943)+1,20),FIND("/",MID($A1943,FIND("/",$A1943)+1,20))+1,20))),"")))</f>
        <v/>
      </c>
      <c r="E1943">
        <f>IF($A1943="","",IF(OR($B1943="",$C1943="",$D1943="",$B1943&lt;1300,$B1943&gt;1500,$C1943&lt;1,$C1943&gt;12,$D1943&lt;1,$D1943&gt;31),"نامعتبر",RIGHT("0000"&amp;$B1943,4)&amp;"/"&amp;RIGHT("00"&amp;$C1943,2)&amp;"/"&amp;RIGHT("00"&amp;$D1943,2)))</f>
        <v/>
      </c>
      <c r="F1943">
        <f>IF(OR($E1943="",$E1943="نامعتبر"),"",IF(Sync!$Q1940="","0000",IF(AND(ISNUMBER(Sync!$Q1940),Sync!$Q1940&gt;=0,Sync!$Q1940&lt;1),RIGHT("00"&amp;HOUR(Sync!$Q1940),2)&amp;RIGHT("00"&amp;MINUTE(Sync!$Q1940),2),IFERROR(RIGHT("00"&amp;VALUE(LEFT(Sync!$Q1940,FIND(":",Sync!$Q1940)-1)),2)&amp;RIGHT("00"&amp;VALUE(MID(Sync!$Q1940,FIND(":",Sync!$Q1940)+1,2)),2),"0000"))))</f>
        <v/>
      </c>
      <c r="G1943">
        <f>IF(OR($E1943="",$E1943="نامعتبر"),"",IF(Sync!$S1940="","",Sync!$S1940))</f>
        <v/>
      </c>
      <c r="H1943">
        <f>IF(OR($E1943="",$E1943="نامعتبر"),"",IF(Sync!$R1940="","",Sync!$R1940))</f>
        <v/>
      </c>
      <c r="I1943">
        <f>IF(OR($E1943="",$E1943="نامعتبر"),"",IF(Sync!$T1940="","",Sync!$T1940))</f>
        <v/>
      </c>
      <c r="J1943">
        <f>IF(OR($E1943="",$E1943="نامعتبر"),"",IF(Sync!$U1940="","",Sync!$U1940))</f>
        <v/>
      </c>
      <c r="K1943">
        <f>IF(OR($E1943="",$E1943="نامعتبر"),"",IF(Sync!$V1940="","",IFERROR(INDEX(SubCodes,MATCH(Sync!$V1940,SubTitles,0)),Sync!$V1940)))</f>
        <v/>
      </c>
      <c r="L1943">
        <f>IF(OR($E1943="",$E1943="نامعتبر"),"",IF(Sync!$W1940="",0,Sync!$W1940))</f>
        <v/>
      </c>
      <c r="M1943">
        <f>IF(OR($E1943="",$E1943="نامعتبر"),"",IF(Sync!$X1940="",0,Sync!$X1940))</f>
        <v/>
      </c>
      <c r="N1943">
        <f>IF(OR($E1943="",$E1943="نامعتبر"),"",IF(AND($J1943="هزینه",$K1943&lt;&gt;""),1,0))</f>
        <v/>
      </c>
      <c r="O1943">
        <f>IF($N1943=0,"",LEFT($E1943,4)&amp;MID($E1943,6,2)&amp;RIGHT($E1943,2)&amp;$F1943&amp;"|"&amp;"1"&amp;RIGHT("00000"&amp;1935,5))</f>
        <v/>
      </c>
      <c r="P1943">
        <f>IF($O1943="","",COUNTIFS(ExpSub,$K1943,ExpKey,"&lt;"&amp;$O1943)+1)</f>
        <v/>
      </c>
      <c r="Q1943">
        <f>IF($P1943="","",$K1943&amp;"|"&amp;RIGHT("000000"&amp;$P1943,6))</f>
        <v/>
      </c>
    </row>
    <row r="1944">
      <c r="A1944">
        <f>IF(Sync!$P1941="","",Sync!$P1941)</f>
        <v/>
      </c>
      <c r="B1944">
        <f>IF($A1944="","",IF(ISNUMBER($A1944),IF(AND($A1944&gt;=10000101,$A1944&lt;=99991231),INT($A1944/10000),""),IFERROR(VALUE(TRIM(LEFT($A1944,FIND("/",$A1944)-1))),"")))</f>
        <v/>
      </c>
      <c r="C1944">
        <f>IF(OR($A1944="",$B1944=""),"",IF(ISNUMBER($A1944),INT(MOD($A1944,10000)/100),IFERROR(VALUE(TRIM(LEFT(MID($A1944,FIND("/",$A1944)+1,20),FIND("/",MID($A1944,FIND("/",$A1944)+1,20))-1))),"")))</f>
        <v/>
      </c>
      <c r="D1944">
        <f>IF(OR($A1944="",$B1944=""),"",IF(ISNUMBER($A1944),MOD($A1944,100),IFERROR(VALUE(TRIM(MID(MID($A1944,FIND("/",$A1944)+1,20),FIND("/",MID($A1944,FIND("/",$A1944)+1,20))+1,20))),"")))</f>
        <v/>
      </c>
      <c r="E1944">
        <f>IF($A1944="","",IF(OR($B1944="",$C1944="",$D1944="",$B1944&lt;1300,$B1944&gt;1500,$C1944&lt;1,$C1944&gt;12,$D1944&lt;1,$D1944&gt;31),"نامعتبر",RIGHT("0000"&amp;$B1944,4)&amp;"/"&amp;RIGHT("00"&amp;$C1944,2)&amp;"/"&amp;RIGHT("00"&amp;$D1944,2)))</f>
        <v/>
      </c>
      <c r="F1944">
        <f>IF(OR($E1944="",$E1944="نامعتبر"),"",IF(Sync!$Q1941="","0000",IF(AND(ISNUMBER(Sync!$Q1941),Sync!$Q1941&gt;=0,Sync!$Q1941&lt;1),RIGHT("00"&amp;HOUR(Sync!$Q1941),2)&amp;RIGHT("00"&amp;MINUTE(Sync!$Q1941),2),IFERROR(RIGHT("00"&amp;VALUE(LEFT(Sync!$Q1941,FIND(":",Sync!$Q1941)-1)),2)&amp;RIGHT("00"&amp;VALUE(MID(Sync!$Q1941,FIND(":",Sync!$Q1941)+1,2)),2),"0000"))))</f>
        <v/>
      </c>
      <c r="G1944">
        <f>IF(OR($E1944="",$E1944="نامعتبر"),"",IF(Sync!$S1941="","",Sync!$S1941))</f>
        <v/>
      </c>
      <c r="H1944">
        <f>IF(OR($E1944="",$E1944="نامعتبر"),"",IF(Sync!$R1941="","",Sync!$R1941))</f>
        <v/>
      </c>
      <c r="I1944">
        <f>IF(OR($E1944="",$E1944="نامعتبر"),"",IF(Sync!$T1941="","",Sync!$T1941))</f>
        <v/>
      </c>
      <c r="J1944">
        <f>IF(OR($E1944="",$E1944="نامعتبر"),"",IF(Sync!$U1941="","",Sync!$U1941))</f>
        <v/>
      </c>
      <c r="K1944">
        <f>IF(OR($E1944="",$E1944="نامعتبر"),"",IF(Sync!$V1941="","",IFERROR(INDEX(SubCodes,MATCH(Sync!$V1941,SubTitles,0)),Sync!$V1941)))</f>
        <v/>
      </c>
      <c r="L1944">
        <f>IF(OR($E1944="",$E1944="نامعتبر"),"",IF(Sync!$W1941="",0,Sync!$W1941))</f>
        <v/>
      </c>
      <c r="M1944">
        <f>IF(OR($E1944="",$E1944="نامعتبر"),"",IF(Sync!$X1941="",0,Sync!$X1941))</f>
        <v/>
      </c>
      <c r="N1944">
        <f>IF(OR($E1944="",$E1944="نامعتبر"),"",IF(AND($J1944="هزینه",$K1944&lt;&gt;""),1,0))</f>
        <v/>
      </c>
      <c r="O1944">
        <f>IF($N1944=0,"",LEFT($E1944,4)&amp;MID($E1944,6,2)&amp;RIGHT($E1944,2)&amp;$F1944&amp;"|"&amp;"1"&amp;RIGHT("00000"&amp;1936,5))</f>
        <v/>
      </c>
      <c r="P1944">
        <f>IF($O1944="","",COUNTIFS(ExpSub,$K1944,ExpKey,"&lt;"&amp;$O1944)+1)</f>
        <v/>
      </c>
      <c r="Q1944">
        <f>IF($P1944="","",$K1944&amp;"|"&amp;RIGHT("000000"&amp;$P1944,6))</f>
        <v/>
      </c>
    </row>
    <row r="1945">
      <c r="A1945">
        <f>IF(Sync!$P1942="","",Sync!$P1942)</f>
        <v/>
      </c>
      <c r="B1945">
        <f>IF($A1945="","",IF(ISNUMBER($A1945),IF(AND($A1945&gt;=10000101,$A1945&lt;=99991231),INT($A1945/10000),""),IFERROR(VALUE(TRIM(LEFT($A1945,FIND("/",$A1945)-1))),"")))</f>
        <v/>
      </c>
      <c r="C1945">
        <f>IF(OR($A1945="",$B1945=""),"",IF(ISNUMBER($A1945),INT(MOD($A1945,10000)/100),IFERROR(VALUE(TRIM(LEFT(MID($A1945,FIND("/",$A1945)+1,20),FIND("/",MID($A1945,FIND("/",$A1945)+1,20))-1))),"")))</f>
        <v/>
      </c>
      <c r="D1945">
        <f>IF(OR($A1945="",$B1945=""),"",IF(ISNUMBER($A1945),MOD($A1945,100),IFERROR(VALUE(TRIM(MID(MID($A1945,FIND("/",$A1945)+1,20),FIND("/",MID($A1945,FIND("/",$A1945)+1,20))+1,20))),"")))</f>
        <v/>
      </c>
      <c r="E1945">
        <f>IF($A1945="","",IF(OR($B1945="",$C1945="",$D1945="",$B1945&lt;1300,$B1945&gt;1500,$C1945&lt;1,$C1945&gt;12,$D1945&lt;1,$D1945&gt;31),"نامعتبر",RIGHT("0000"&amp;$B1945,4)&amp;"/"&amp;RIGHT("00"&amp;$C1945,2)&amp;"/"&amp;RIGHT("00"&amp;$D1945,2)))</f>
        <v/>
      </c>
      <c r="F1945">
        <f>IF(OR($E1945="",$E1945="نامعتبر"),"",IF(Sync!$Q1942="","0000",IF(AND(ISNUMBER(Sync!$Q1942),Sync!$Q1942&gt;=0,Sync!$Q1942&lt;1),RIGHT("00"&amp;HOUR(Sync!$Q1942),2)&amp;RIGHT("00"&amp;MINUTE(Sync!$Q1942),2),IFERROR(RIGHT("00"&amp;VALUE(LEFT(Sync!$Q1942,FIND(":",Sync!$Q1942)-1)),2)&amp;RIGHT("00"&amp;VALUE(MID(Sync!$Q1942,FIND(":",Sync!$Q1942)+1,2)),2),"0000"))))</f>
        <v/>
      </c>
      <c r="G1945">
        <f>IF(OR($E1945="",$E1945="نامعتبر"),"",IF(Sync!$S1942="","",Sync!$S1942))</f>
        <v/>
      </c>
      <c r="H1945">
        <f>IF(OR($E1945="",$E1945="نامعتبر"),"",IF(Sync!$R1942="","",Sync!$R1942))</f>
        <v/>
      </c>
      <c r="I1945">
        <f>IF(OR($E1945="",$E1945="نامعتبر"),"",IF(Sync!$T1942="","",Sync!$T1942))</f>
        <v/>
      </c>
      <c r="J1945">
        <f>IF(OR($E1945="",$E1945="نامعتبر"),"",IF(Sync!$U1942="","",Sync!$U1942))</f>
        <v/>
      </c>
      <c r="K1945">
        <f>IF(OR($E1945="",$E1945="نامعتبر"),"",IF(Sync!$V1942="","",IFERROR(INDEX(SubCodes,MATCH(Sync!$V1942,SubTitles,0)),Sync!$V1942)))</f>
        <v/>
      </c>
      <c r="L1945">
        <f>IF(OR($E1945="",$E1945="نامعتبر"),"",IF(Sync!$W1942="",0,Sync!$W1942))</f>
        <v/>
      </c>
      <c r="M1945">
        <f>IF(OR($E1945="",$E1945="نامعتبر"),"",IF(Sync!$X1942="",0,Sync!$X1942))</f>
        <v/>
      </c>
      <c r="N1945">
        <f>IF(OR($E1945="",$E1945="نامعتبر"),"",IF(AND($J1945="هزینه",$K1945&lt;&gt;""),1,0))</f>
        <v/>
      </c>
      <c r="O1945">
        <f>IF($N1945=0,"",LEFT($E1945,4)&amp;MID($E1945,6,2)&amp;RIGHT($E1945,2)&amp;$F1945&amp;"|"&amp;"1"&amp;RIGHT("00000"&amp;1937,5))</f>
        <v/>
      </c>
      <c r="P1945">
        <f>IF($O1945="","",COUNTIFS(ExpSub,$K1945,ExpKey,"&lt;"&amp;$O1945)+1)</f>
        <v/>
      </c>
      <c r="Q1945">
        <f>IF($P1945="","",$K1945&amp;"|"&amp;RIGHT("000000"&amp;$P1945,6))</f>
        <v/>
      </c>
    </row>
    <row r="1946">
      <c r="A1946">
        <f>IF(Sync!$P1943="","",Sync!$P1943)</f>
        <v/>
      </c>
      <c r="B1946">
        <f>IF($A1946="","",IF(ISNUMBER($A1946),IF(AND($A1946&gt;=10000101,$A1946&lt;=99991231),INT($A1946/10000),""),IFERROR(VALUE(TRIM(LEFT($A1946,FIND("/",$A1946)-1))),"")))</f>
        <v/>
      </c>
      <c r="C1946">
        <f>IF(OR($A1946="",$B1946=""),"",IF(ISNUMBER($A1946),INT(MOD($A1946,10000)/100),IFERROR(VALUE(TRIM(LEFT(MID($A1946,FIND("/",$A1946)+1,20),FIND("/",MID($A1946,FIND("/",$A1946)+1,20))-1))),"")))</f>
        <v/>
      </c>
      <c r="D1946">
        <f>IF(OR($A1946="",$B1946=""),"",IF(ISNUMBER($A1946),MOD($A1946,100),IFERROR(VALUE(TRIM(MID(MID($A1946,FIND("/",$A1946)+1,20),FIND("/",MID($A1946,FIND("/",$A1946)+1,20))+1,20))),"")))</f>
        <v/>
      </c>
      <c r="E1946">
        <f>IF($A1946="","",IF(OR($B1946="",$C1946="",$D1946="",$B1946&lt;1300,$B1946&gt;1500,$C1946&lt;1,$C1946&gt;12,$D1946&lt;1,$D1946&gt;31),"نامعتبر",RIGHT("0000"&amp;$B1946,4)&amp;"/"&amp;RIGHT("00"&amp;$C1946,2)&amp;"/"&amp;RIGHT("00"&amp;$D1946,2)))</f>
        <v/>
      </c>
      <c r="F1946">
        <f>IF(OR($E1946="",$E1946="نامعتبر"),"",IF(Sync!$Q1943="","0000",IF(AND(ISNUMBER(Sync!$Q1943),Sync!$Q1943&gt;=0,Sync!$Q1943&lt;1),RIGHT("00"&amp;HOUR(Sync!$Q1943),2)&amp;RIGHT("00"&amp;MINUTE(Sync!$Q1943),2),IFERROR(RIGHT("00"&amp;VALUE(LEFT(Sync!$Q1943,FIND(":",Sync!$Q1943)-1)),2)&amp;RIGHT("00"&amp;VALUE(MID(Sync!$Q1943,FIND(":",Sync!$Q1943)+1,2)),2),"0000"))))</f>
        <v/>
      </c>
      <c r="G1946">
        <f>IF(OR($E1946="",$E1946="نامعتبر"),"",IF(Sync!$S1943="","",Sync!$S1943))</f>
        <v/>
      </c>
      <c r="H1946">
        <f>IF(OR($E1946="",$E1946="نامعتبر"),"",IF(Sync!$R1943="","",Sync!$R1943))</f>
        <v/>
      </c>
      <c r="I1946">
        <f>IF(OR($E1946="",$E1946="نامعتبر"),"",IF(Sync!$T1943="","",Sync!$T1943))</f>
        <v/>
      </c>
      <c r="J1946">
        <f>IF(OR($E1946="",$E1946="نامعتبر"),"",IF(Sync!$U1943="","",Sync!$U1943))</f>
        <v/>
      </c>
      <c r="K1946">
        <f>IF(OR($E1946="",$E1946="نامعتبر"),"",IF(Sync!$V1943="","",IFERROR(INDEX(SubCodes,MATCH(Sync!$V1943,SubTitles,0)),Sync!$V1943)))</f>
        <v/>
      </c>
      <c r="L1946">
        <f>IF(OR($E1946="",$E1946="نامعتبر"),"",IF(Sync!$W1943="",0,Sync!$W1943))</f>
        <v/>
      </c>
      <c r="M1946">
        <f>IF(OR($E1946="",$E1946="نامعتبر"),"",IF(Sync!$X1943="",0,Sync!$X1943))</f>
        <v/>
      </c>
      <c r="N1946">
        <f>IF(OR($E1946="",$E1946="نامعتبر"),"",IF(AND($J1946="هزینه",$K1946&lt;&gt;""),1,0))</f>
        <v/>
      </c>
      <c r="O1946">
        <f>IF($N1946=0,"",LEFT($E1946,4)&amp;MID($E1946,6,2)&amp;RIGHT($E1946,2)&amp;$F1946&amp;"|"&amp;"1"&amp;RIGHT("00000"&amp;1938,5))</f>
        <v/>
      </c>
      <c r="P1946">
        <f>IF($O1946="","",COUNTIFS(ExpSub,$K1946,ExpKey,"&lt;"&amp;$O1946)+1)</f>
        <v/>
      </c>
      <c r="Q1946">
        <f>IF($P1946="","",$K1946&amp;"|"&amp;RIGHT("000000"&amp;$P1946,6))</f>
        <v/>
      </c>
    </row>
    <row r="1947">
      <c r="A1947">
        <f>IF(Sync!$P1944="","",Sync!$P1944)</f>
        <v/>
      </c>
      <c r="B1947">
        <f>IF($A1947="","",IF(ISNUMBER($A1947),IF(AND($A1947&gt;=10000101,$A1947&lt;=99991231),INT($A1947/10000),""),IFERROR(VALUE(TRIM(LEFT($A1947,FIND("/",$A1947)-1))),"")))</f>
        <v/>
      </c>
      <c r="C1947">
        <f>IF(OR($A1947="",$B1947=""),"",IF(ISNUMBER($A1947),INT(MOD($A1947,10000)/100),IFERROR(VALUE(TRIM(LEFT(MID($A1947,FIND("/",$A1947)+1,20),FIND("/",MID($A1947,FIND("/",$A1947)+1,20))-1))),"")))</f>
        <v/>
      </c>
      <c r="D1947">
        <f>IF(OR($A1947="",$B1947=""),"",IF(ISNUMBER($A1947),MOD($A1947,100),IFERROR(VALUE(TRIM(MID(MID($A1947,FIND("/",$A1947)+1,20),FIND("/",MID($A1947,FIND("/",$A1947)+1,20))+1,20))),"")))</f>
        <v/>
      </c>
      <c r="E1947">
        <f>IF($A1947="","",IF(OR($B1947="",$C1947="",$D1947="",$B1947&lt;1300,$B1947&gt;1500,$C1947&lt;1,$C1947&gt;12,$D1947&lt;1,$D1947&gt;31),"نامعتبر",RIGHT("0000"&amp;$B1947,4)&amp;"/"&amp;RIGHT("00"&amp;$C1947,2)&amp;"/"&amp;RIGHT("00"&amp;$D1947,2)))</f>
        <v/>
      </c>
      <c r="F1947">
        <f>IF(OR($E1947="",$E1947="نامعتبر"),"",IF(Sync!$Q1944="","0000",IF(AND(ISNUMBER(Sync!$Q1944),Sync!$Q1944&gt;=0,Sync!$Q1944&lt;1),RIGHT("00"&amp;HOUR(Sync!$Q1944),2)&amp;RIGHT("00"&amp;MINUTE(Sync!$Q1944),2),IFERROR(RIGHT("00"&amp;VALUE(LEFT(Sync!$Q1944,FIND(":",Sync!$Q1944)-1)),2)&amp;RIGHT("00"&amp;VALUE(MID(Sync!$Q1944,FIND(":",Sync!$Q1944)+1,2)),2),"0000"))))</f>
        <v/>
      </c>
      <c r="G1947">
        <f>IF(OR($E1947="",$E1947="نامعتبر"),"",IF(Sync!$S1944="","",Sync!$S1944))</f>
        <v/>
      </c>
      <c r="H1947">
        <f>IF(OR($E1947="",$E1947="نامعتبر"),"",IF(Sync!$R1944="","",Sync!$R1944))</f>
        <v/>
      </c>
      <c r="I1947">
        <f>IF(OR($E1947="",$E1947="نامعتبر"),"",IF(Sync!$T1944="","",Sync!$T1944))</f>
        <v/>
      </c>
      <c r="J1947">
        <f>IF(OR($E1947="",$E1947="نامعتبر"),"",IF(Sync!$U1944="","",Sync!$U1944))</f>
        <v/>
      </c>
      <c r="K1947">
        <f>IF(OR($E1947="",$E1947="نامعتبر"),"",IF(Sync!$V1944="","",IFERROR(INDEX(SubCodes,MATCH(Sync!$V1944,SubTitles,0)),Sync!$V1944)))</f>
        <v/>
      </c>
      <c r="L1947">
        <f>IF(OR($E1947="",$E1947="نامعتبر"),"",IF(Sync!$W1944="",0,Sync!$W1944))</f>
        <v/>
      </c>
      <c r="M1947">
        <f>IF(OR($E1947="",$E1947="نامعتبر"),"",IF(Sync!$X1944="",0,Sync!$X1944))</f>
        <v/>
      </c>
      <c r="N1947">
        <f>IF(OR($E1947="",$E1947="نامعتبر"),"",IF(AND($J1947="هزینه",$K1947&lt;&gt;""),1,0))</f>
        <v/>
      </c>
      <c r="O1947">
        <f>IF($N1947=0,"",LEFT($E1947,4)&amp;MID($E1947,6,2)&amp;RIGHT($E1947,2)&amp;$F1947&amp;"|"&amp;"1"&amp;RIGHT("00000"&amp;1939,5))</f>
        <v/>
      </c>
      <c r="P1947">
        <f>IF($O1947="","",COUNTIFS(ExpSub,$K1947,ExpKey,"&lt;"&amp;$O1947)+1)</f>
        <v/>
      </c>
      <c r="Q1947">
        <f>IF($P1947="","",$K1947&amp;"|"&amp;RIGHT("000000"&amp;$P1947,6))</f>
        <v/>
      </c>
    </row>
    <row r="1948">
      <c r="A1948">
        <f>IF(Sync!$P1945="","",Sync!$P1945)</f>
        <v/>
      </c>
      <c r="B1948">
        <f>IF($A1948="","",IF(ISNUMBER($A1948),IF(AND($A1948&gt;=10000101,$A1948&lt;=99991231),INT($A1948/10000),""),IFERROR(VALUE(TRIM(LEFT($A1948,FIND("/",$A1948)-1))),"")))</f>
        <v/>
      </c>
      <c r="C1948">
        <f>IF(OR($A1948="",$B1948=""),"",IF(ISNUMBER($A1948),INT(MOD($A1948,10000)/100),IFERROR(VALUE(TRIM(LEFT(MID($A1948,FIND("/",$A1948)+1,20),FIND("/",MID($A1948,FIND("/",$A1948)+1,20))-1))),"")))</f>
        <v/>
      </c>
      <c r="D1948">
        <f>IF(OR($A1948="",$B1948=""),"",IF(ISNUMBER($A1948),MOD($A1948,100),IFERROR(VALUE(TRIM(MID(MID($A1948,FIND("/",$A1948)+1,20),FIND("/",MID($A1948,FIND("/",$A1948)+1,20))+1,20))),"")))</f>
        <v/>
      </c>
      <c r="E1948">
        <f>IF($A1948="","",IF(OR($B1948="",$C1948="",$D1948="",$B1948&lt;1300,$B1948&gt;1500,$C1948&lt;1,$C1948&gt;12,$D1948&lt;1,$D1948&gt;31),"نامعتبر",RIGHT("0000"&amp;$B1948,4)&amp;"/"&amp;RIGHT("00"&amp;$C1948,2)&amp;"/"&amp;RIGHT("00"&amp;$D1948,2)))</f>
        <v/>
      </c>
      <c r="F1948">
        <f>IF(OR($E1948="",$E1948="نامعتبر"),"",IF(Sync!$Q1945="","0000",IF(AND(ISNUMBER(Sync!$Q1945),Sync!$Q1945&gt;=0,Sync!$Q1945&lt;1),RIGHT("00"&amp;HOUR(Sync!$Q1945),2)&amp;RIGHT("00"&amp;MINUTE(Sync!$Q1945),2),IFERROR(RIGHT("00"&amp;VALUE(LEFT(Sync!$Q1945,FIND(":",Sync!$Q1945)-1)),2)&amp;RIGHT("00"&amp;VALUE(MID(Sync!$Q1945,FIND(":",Sync!$Q1945)+1,2)),2),"0000"))))</f>
        <v/>
      </c>
      <c r="G1948">
        <f>IF(OR($E1948="",$E1948="نامعتبر"),"",IF(Sync!$S1945="","",Sync!$S1945))</f>
        <v/>
      </c>
      <c r="H1948">
        <f>IF(OR($E1948="",$E1948="نامعتبر"),"",IF(Sync!$R1945="","",Sync!$R1945))</f>
        <v/>
      </c>
      <c r="I1948">
        <f>IF(OR($E1948="",$E1948="نامعتبر"),"",IF(Sync!$T1945="","",Sync!$T1945))</f>
        <v/>
      </c>
      <c r="J1948">
        <f>IF(OR($E1948="",$E1948="نامعتبر"),"",IF(Sync!$U1945="","",Sync!$U1945))</f>
        <v/>
      </c>
      <c r="K1948">
        <f>IF(OR($E1948="",$E1948="نامعتبر"),"",IF(Sync!$V1945="","",IFERROR(INDEX(SubCodes,MATCH(Sync!$V1945,SubTitles,0)),Sync!$V1945)))</f>
        <v/>
      </c>
      <c r="L1948">
        <f>IF(OR($E1948="",$E1948="نامعتبر"),"",IF(Sync!$W1945="",0,Sync!$W1945))</f>
        <v/>
      </c>
      <c r="M1948">
        <f>IF(OR($E1948="",$E1948="نامعتبر"),"",IF(Sync!$X1945="",0,Sync!$X1945))</f>
        <v/>
      </c>
      <c r="N1948">
        <f>IF(OR($E1948="",$E1948="نامعتبر"),"",IF(AND($J1948="هزینه",$K1948&lt;&gt;""),1,0))</f>
        <v/>
      </c>
      <c r="O1948">
        <f>IF($N1948=0,"",LEFT($E1948,4)&amp;MID($E1948,6,2)&amp;RIGHT($E1948,2)&amp;$F1948&amp;"|"&amp;"1"&amp;RIGHT("00000"&amp;1940,5))</f>
        <v/>
      </c>
      <c r="P1948">
        <f>IF($O1948="","",COUNTIFS(ExpSub,$K1948,ExpKey,"&lt;"&amp;$O1948)+1)</f>
        <v/>
      </c>
      <c r="Q1948">
        <f>IF($P1948="","",$K1948&amp;"|"&amp;RIGHT("000000"&amp;$P1948,6))</f>
        <v/>
      </c>
    </row>
    <row r="1949">
      <c r="A1949">
        <f>IF(Sync!$P1946="","",Sync!$P1946)</f>
        <v/>
      </c>
      <c r="B1949">
        <f>IF($A1949="","",IF(ISNUMBER($A1949),IF(AND($A1949&gt;=10000101,$A1949&lt;=99991231),INT($A1949/10000),""),IFERROR(VALUE(TRIM(LEFT($A1949,FIND("/",$A1949)-1))),"")))</f>
        <v/>
      </c>
      <c r="C1949">
        <f>IF(OR($A1949="",$B1949=""),"",IF(ISNUMBER($A1949),INT(MOD($A1949,10000)/100),IFERROR(VALUE(TRIM(LEFT(MID($A1949,FIND("/",$A1949)+1,20),FIND("/",MID($A1949,FIND("/",$A1949)+1,20))-1))),"")))</f>
        <v/>
      </c>
      <c r="D1949">
        <f>IF(OR($A1949="",$B1949=""),"",IF(ISNUMBER($A1949),MOD($A1949,100),IFERROR(VALUE(TRIM(MID(MID($A1949,FIND("/",$A1949)+1,20),FIND("/",MID($A1949,FIND("/",$A1949)+1,20))+1,20))),"")))</f>
        <v/>
      </c>
      <c r="E1949">
        <f>IF($A1949="","",IF(OR($B1949="",$C1949="",$D1949="",$B1949&lt;1300,$B1949&gt;1500,$C1949&lt;1,$C1949&gt;12,$D1949&lt;1,$D1949&gt;31),"نامعتبر",RIGHT("0000"&amp;$B1949,4)&amp;"/"&amp;RIGHT("00"&amp;$C1949,2)&amp;"/"&amp;RIGHT("00"&amp;$D1949,2)))</f>
        <v/>
      </c>
      <c r="F1949">
        <f>IF(OR($E1949="",$E1949="نامعتبر"),"",IF(Sync!$Q1946="","0000",IF(AND(ISNUMBER(Sync!$Q1946),Sync!$Q1946&gt;=0,Sync!$Q1946&lt;1),RIGHT("00"&amp;HOUR(Sync!$Q1946),2)&amp;RIGHT("00"&amp;MINUTE(Sync!$Q1946),2),IFERROR(RIGHT("00"&amp;VALUE(LEFT(Sync!$Q1946,FIND(":",Sync!$Q1946)-1)),2)&amp;RIGHT("00"&amp;VALUE(MID(Sync!$Q1946,FIND(":",Sync!$Q1946)+1,2)),2),"0000"))))</f>
        <v/>
      </c>
      <c r="G1949">
        <f>IF(OR($E1949="",$E1949="نامعتبر"),"",IF(Sync!$S1946="","",Sync!$S1946))</f>
        <v/>
      </c>
      <c r="H1949">
        <f>IF(OR($E1949="",$E1949="نامعتبر"),"",IF(Sync!$R1946="","",Sync!$R1946))</f>
        <v/>
      </c>
      <c r="I1949">
        <f>IF(OR($E1949="",$E1949="نامعتبر"),"",IF(Sync!$T1946="","",Sync!$T1946))</f>
        <v/>
      </c>
      <c r="J1949">
        <f>IF(OR($E1949="",$E1949="نامعتبر"),"",IF(Sync!$U1946="","",Sync!$U1946))</f>
        <v/>
      </c>
      <c r="K1949">
        <f>IF(OR($E1949="",$E1949="نامعتبر"),"",IF(Sync!$V1946="","",IFERROR(INDEX(SubCodes,MATCH(Sync!$V1946,SubTitles,0)),Sync!$V1946)))</f>
        <v/>
      </c>
      <c r="L1949">
        <f>IF(OR($E1949="",$E1949="نامعتبر"),"",IF(Sync!$W1946="",0,Sync!$W1946))</f>
        <v/>
      </c>
      <c r="M1949">
        <f>IF(OR($E1949="",$E1949="نامعتبر"),"",IF(Sync!$X1946="",0,Sync!$X1946))</f>
        <v/>
      </c>
      <c r="N1949">
        <f>IF(OR($E1949="",$E1949="نامعتبر"),"",IF(AND($J1949="هزینه",$K1949&lt;&gt;""),1,0))</f>
        <v/>
      </c>
      <c r="O1949">
        <f>IF($N1949=0,"",LEFT($E1949,4)&amp;MID($E1949,6,2)&amp;RIGHT($E1949,2)&amp;$F1949&amp;"|"&amp;"1"&amp;RIGHT("00000"&amp;1941,5))</f>
        <v/>
      </c>
      <c r="P1949">
        <f>IF($O1949="","",COUNTIFS(ExpSub,$K1949,ExpKey,"&lt;"&amp;$O1949)+1)</f>
        <v/>
      </c>
      <c r="Q1949">
        <f>IF($P1949="","",$K1949&amp;"|"&amp;RIGHT("000000"&amp;$P1949,6))</f>
        <v/>
      </c>
    </row>
    <row r="1950">
      <c r="A1950">
        <f>IF(Sync!$P1947="","",Sync!$P1947)</f>
        <v/>
      </c>
      <c r="B1950">
        <f>IF($A1950="","",IF(ISNUMBER($A1950),IF(AND($A1950&gt;=10000101,$A1950&lt;=99991231),INT($A1950/10000),""),IFERROR(VALUE(TRIM(LEFT($A1950,FIND("/",$A1950)-1))),"")))</f>
        <v/>
      </c>
      <c r="C1950">
        <f>IF(OR($A1950="",$B1950=""),"",IF(ISNUMBER($A1950),INT(MOD($A1950,10000)/100),IFERROR(VALUE(TRIM(LEFT(MID($A1950,FIND("/",$A1950)+1,20),FIND("/",MID($A1950,FIND("/",$A1950)+1,20))-1))),"")))</f>
        <v/>
      </c>
      <c r="D1950">
        <f>IF(OR($A1950="",$B1950=""),"",IF(ISNUMBER($A1950),MOD($A1950,100),IFERROR(VALUE(TRIM(MID(MID($A1950,FIND("/",$A1950)+1,20),FIND("/",MID($A1950,FIND("/",$A1950)+1,20))+1,20))),"")))</f>
        <v/>
      </c>
      <c r="E1950">
        <f>IF($A1950="","",IF(OR($B1950="",$C1950="",$D1950="",$B1950&lt;1300,$B1950&gt;1500,$C1950&lt;1,$C1950&gt;12,$D1950&lt;1,$D1950&gt;31),"نامعتبر",RIGHT("0000"&amp;$B1950,4)&amp;"/"&amp;RIGHT("00"&amp;$C1950,2)&amp;"/"&amp;RIGHT("00"&amp;$D1950,2)))</f>
        <v/>
      </c>
      <c r="F1950">
        <f>IF(OR($E1950="",$E1950="نامعتبر"),"",IF(Sync!$Q1947="","0000",IF(AND(ISNUMBER(Sync!$Q1947),Sync!$Q1947&gt;=0,Sync!$Q1947&lt;1),RIGHT("00"&amp;HOUR(Sync!$Q1947),2)&amp;RIGHT("00"&amp;MINUTE(Sync!$Q1947),2),IFERROR(RIGHT("00"&amp;VALUE(LEFT(Sync!$Q1947,FIND(":",Sync!$Q1947)-1)),2)&amp;RIGHT("00"&amp;VALUE(MID(Sync!$Q1947,FIND(":",Sync!$Q1947)+1,2)),2),"0000"))))</f>
        <v/>
      </c>
      <c r="G1950">
        <f>IF(OR($E1950="",$E1950="نامعتبر"),"",IF(Sync!$S1947="","",Sync!$S1947))</f>
        <v/>
      </c>
      <c r="H1950">
        <f>IF(OR($E1950="",$E1950="نامعتبر"),"",IF(Sync!$R1947="","",Sync!$R1947))</f>
        <v/>
      </c>
      <c r="I1950">
        <f>IF(OR($E1950="",$E1950="نامعتبر"),"",IF(Sync!$T1947="","",Sync!$T1947))</f>
        <v/>
      </c>
      <c r="J1950">
        <f>IF(OR($E1950="",$E1950="نامعتبر"),"",IF(Sync!$U1947="","",Sync!$U1947))</f>
        <v/>
      </c>
      <c r="K1950">
        <f>IF(OR($E1950="",$E1950="نامعتبر"),"",IF(Sync!$V1947="","",IFERROR(INDEX(SubCodes,MATCH(Sync!$V1947,SubTitles,0)),Sync!$V1947)))</f>
        <v/>
      </c>
      <c r="L1950">
        <f>IF(OR($E1950="",$E1950="نامعتبر"),"",IF(Sync!$W1947="",0,Sync!$W1947))</f>
        <v/>
      </c>
      <c r="M1950">
        <f>IF(OR($E1950="",$E1950="نامعتبر"),"",IF(Sync!$X1947="",0,Sync!$X1947))</f>
        <v/>
      </c>
      <c r="N1950">
        <f>IF(OR($E1950="",$E1950="نامعتبر"),"",IF(AND($J1950="هزینه",$K1950&lt;&gt;""),1,0))</f>
        <v/>
      </c>
      <c r="O1950">
        <f>IF($N1950=0,"",LEFT($E1950,4)&amp;MID($E1950,6,2)&amp;RIGHT($E1950,2)&amp;$F1950&amp;"|"&amp;"1"&amp;RIGHT("00000"&amp;1942,5))</f>
        <v/>
      </c>
      <c r="P1950">
        <f>IF($O1950="","",COUNTIFS(ExpSub,$K1950,ExpKey,"&lt;"&amp;$O1950)+1)</f>
        <v/>
      </c>
      <c r="Q1950">
        <f>IF($P1950="","",$K1950&amp;"|"&amp;RIGHT("000000"&amp;$P1950,6))</f>
        <v/>
      </c>
    </row>
    <row r="1951">
      <c r="A1951">
        <f>IF(Sync!$P1948="","",Sync!$P1948)</f>
        <v/>
      </c>
      <c r="B1951">
        <f>IF($A1951="","",IF(ISNUMBER($A1951),IF(AND($A1951&gt;=10000101,$A1951&lt;=99991231),INT($A1951/10000),""),IFERROR(VALUE(TRIM(LEFT($A1951,FIND("/",$A1951)-1))),"")))</f>
        <v/>
      </c>
      <c r="C1951">
        <f>IF(OR($A1951="",$B1951=""),"",IF(ISNUMBER($A1951),INT(MOD($A1951,10000)/100),IFERROR(VALUE(TRIM(LEFT(MID($A1951,FIND("/",$A1951)+1,20),FIND("/",MID($A1951,FIND("/",$A1951)+1,20))-1))),"")))</f>
        <v/>
      </c>
      <c r="D1951">
        <f>IF(OR($A1951="",$B1951=""),"",IF(ISNUMBER($A1951),MOD($A1951,100),IFERROR(VALUE(TRIM(MID(MID($A1951,FIND("/",$A1951)+1,20),FIND("/",MID($A1951,FIND("/",$A1951)+1,20))+1,20))),"")))</f>
        <v/>
      </c>
      <c r="E1951">
        <f>IF($A1951="","",IF(OR($B1951="",$C1951="",$D1951="",$B1951&lt;1300,$B1951&gt;1500,$C1951&lt;1,$C1951&gt;12,$D1951&lt;1,$D1951&gt;31),"نامعتبر",RIGHT("0000"&amp;$B1951,4)&amp;"/"&amp;RIGHT("00"&amp;$C1951,2)&amp;"/"&amp;RIGHT("00"&amp;$D1951,2)))</f>
        <v/>
      </c>
      <c r="F1951">
        <f>IF(OR($E1951="",$E1951="نامعتبر"),"",IF(Sync!$Q1948="","0000",IF(AND(ISNUMBER(Sync!$Q1948),Sync!$Q1948&gt;=0,Sync!$Q1948&lt;1),RIGHT("00"&amp;HOUR(Sync!$Q1948),2)&amp;RIGHT("00"&amp;MINUTE(Sync!$Q1948),2),IFERROR(RIGHT("00"&amp;VALUE(LEFT(Sync!$Q1948,FIND(":",Sync!$Q1948)-1)),2)&amp;RIGHT("00"&amp;VALUE(MID(Sync!$Q1948,FIND(":",Sync!$Q1948)+1,2)),2),"0000"))))</f>
        <v/>
      </c>
      <c r="G1951">
        <f>IF(OR($E1951="",$E1951="نامعتبر"),"",IF(Sync!$S1948="","",Sync!$S1948))</f>
        <v/>
      </c>
      <c r="H1951">
        <f>IF(OR($E1951="",$E1951="نامعتبر"),"",IF(Sync!$R1948="","",Sync!$R1948))</f>
        <v/>
      </c>
      <c r="I1951">
        <f>IF(OR($E1951="",$E1951="نامعتبر"),"",IF(Sync!$T1948="","",Sync!$T1948))</f>
        <v/>
      </c>
      <c r="J1951">
        <f>IF(OR($E1951="",$E1951="نامعتبر"),"",IF(Sync!$U1948="","",Sync!$U1948))</f>
        <v/>
      </c>
      <c r="K1951">
        <f>IF(OR($E1951="",$E1951="نامعتبر"),"",IF(Sync!$V1948="","",IFERROR(INDEX(SubCodes,MATCH(Sync!$V1948,SubTitles,0)),Sync!$V1948)))</f>
        <v/>
      </c>
      <c r="L1951">
        <f>IF(OR($E1951="",$E1951="نامعتبر"),"",IF(Sync!$W1948="",0,Sync!$W1948))</f>
        <v/>
      </c>
      <c r="M1951">
        <f>IF(OR($E1951="",$E1951="نامعتبر"),"",IF(Sync!$X1948="",0,Sync!$X1948))</f>
        <v/>
      </c>
      <c r="N1951">
        <f>IF(OR($E1951="",$E1951="نامعتبر"),"",IF(AND($J1951="هزینه",$K1951&lt;&gt;""),1,0))</f>
        <v/>
      </c>
      <c r="O1951">
        <f>IF($N1951=0,"",LEFT($E1951,4)&amp;MID($E1951,6,2)&amp;RIGHT($E1951,2)&amp;$F1951&amp;"|"&amp;"1"&amp;RIGHT("00000"&amp;1943,5))</f>
        <v/>
      </c>
      <c r="P1951">
        <f>IF($O1951="","",COUNTIFS(ExpSub,$K1951,ExpKey,"&lt;"&amp;$O1951)+1)</f>
        <v/>
      </c>
      <c r="Q1951">
        <f>IF($P1951="","",$K1951&amp;"|"&amp;RIGHT("000000"&amp;$P1951,6))</f>
        <v/>
      </c>
    </row>
    <row r="1952">
      <c r="A1952">
        <f>IF(Sync!$P1949="","",Sync!$P1949)</f>
        <v/>
      </c>
      <c r="B1952">
        <f>IF($A1952="","",IF(ISNUMBER($A1952),IF(AND($A1952&gt;=10000101,$A1952&lt;=99991231),INT($A1952/10000),""),IFERROR(VALUE(TRIM(LEFT($A1952,FIND("/",$A1952)-1))),"")))</f>
        <v/>
      </c>
      <c r="C1952">
        <f>IF(OR($A1952="",$B1952=""),"",IF(ISNUMBER($A1952),INT(MOD($A1952,10000)/100),IFERROR(VALUE(TRIM(LEFT(MID($A1952,FIND("/",$A1952)+1,20),FIND("/",MID($A1952,FIND("/",$A1952)+1,20))-1))),"")))</f>
        <v/>
      </c>
      <c r="D1952">
        <f>IF(OR($A1952="",$B1952=""),"",IF(ISNUMBER($A1952),MOD($A1952,100),IFERROR(VALUE(TRIM(MID(MID($A1952,FIND("/",$A1952)+1,20),FIND("/",MID($A1952,FIND("/",$A1952)+1,20))+1,20))),"")))</f>
        <v/>
      </c>
      <c r="E1952">
        <f>IF($A1952="","",IF(OR($B1952="",$C1952="",$D1952="",$B1952&lt;1300,$B1952&gt;1500,$C1952&lt;1,$C1952&gt;12,$D1952&lt;1,$D1952&gt;31),"نامعتبر",RIGHT("0000"&amp;$B1952,4)&amp;"/"&amp;RIGHT("00"&amp;$C1952,2)&amp;"/"&amp;RIGHT("00"&amp;$D1952,2)))</f>
        <v/>
      </c>
      <c r="F1952">
        <f>IF(OR($E1952="",$E1952="نامعتبر"),"",IF(Sync!$Q1949="","0000",IF(AND(ISNUMBER(Sync!$Q1949),Sync!$Q1949&gt;=0,Sync!$Q1949&lt;1),RIGHT("00"&amp;HOUR(Sync!$Q1949),2)&amp;RIGHT("00"&amp;MINUTE(Sync!$Q1949),2),IFERROR(RIGHT("00"&amp;VALUE(LEFT(Sync!$Q1949,FIND(":",Sync!$Q1949)-1)),2)&amp;RIGHT("00"&amp;VALUE(MID(Sync!$Q1949,FIND(":",Sync!$Q1949)+1,2)),2),"0000"))))</f>
        <v/>
      </c>
      <c r="G1952">
        <f>IF(OR($E1952="",$E1952="نامعتبر"),"",IF(Sync!$S1949="","",Sync!$S1949))</f>
        <v/>
      </c>
      <c r="H1952">
        <f>IF(OR($E1952="",$E1952="نامعتبر"),"",IF(Sync!$R1949="","",Sync!$R1949))</f>
        <v/>
      </c>
      <c r="I1952">
        <f>IF(OR($E1952="",$E1952="نامعتبر"),"",IF(Sync!$T1949="","",Sync!$T1949))</f>
        <v/>
      </c>
      <c r="J1952">
        <f>IF(OR($E1952="",$E1952="نامعتبر"),"",IF(Sync!$U1949="","",Sync!$U1949))</f>
        <v/>
      </c>
      <c r="K1952">
        <f>IF(OR($E1952="",$E1952="نامعتبر"),"",IF(Sync!$V1949="","",IFERROR(INDEX(SubCodes,MATCH(Sync!$V1949,SubTitles,0)),Sync!$V1949)))</f>
        <v/>
      </c>
      <c r="L1952">
        <f>IF(OR($E1952="",$E1952="نامعتبر"),"",IF(Sync!$W1949="",0,Sync!$W1949))</f>
        <v/>
      </c>
      <c r="M1952">
        <f>IF(OR($E1952="",$E1952="نامعتبر"),"",IF(Sync!$X1949="",0,Sync!$X1949))</f>
        <v/>
      </c>
      <c r="N1952">
        <f>IF(OR($E1952="",$E1952="نامعتبر"),"",IF(AND($J1952="هزینه",$K1952&lt;&gt;""),1,0))</f>
        <v/>
      </c>
      <c r="O1952">
        <f>IF($N1952=0,"",LEFT($E1952,4)&amp;MID($E1952,6,2)&amp;RIGHT($E1952,2)&amp;$F1952&amp;"|"&amp;"1"&amp;RIGHT("00000"&amp;1944,5))</f>
        <v/>
      </c>
      <c r="P1952">
        <f>IF($O1952="","",COUNTIFS(ExpSub,$K1952,ExpKey,"&lt;"&amp;$O1952)+1)</f>
        <v/>
      </c>
      <c r="Q1952">
        <f>IF($P1952="","",$K1952&amp;"|"&amp;RIGHT("000000"&amp;$P1952,6))</f>
        <v/>
      </c>
    </row>
    <row r="1953">
      <c r="A1953">
        <f>IF(Sync!$P1950="","",Sync!$P1950)</f>
        <v/>
      </c>
      <c r="B1953">
        <f>IF($A1953="","",IF(ISNUMBER($A1953),IF(AND($A1953&gt;=10000101,$A1953&lt;=99991231),INT($A1953/10000),""),IFERROR(VALUE(TRIM(LEFT($A1953,FIND("/",$A1953)-1))),"")))</f>
        <v/>
      </c>
      <c r="C1953">
        <f>IF(OR($A1953="",$B1953=""),"",IF(ISNUMBER($A1953),INT(MOD($A1953,10000)/100),IFERROR(VALUE(TRIM(LEFT(MID($A1953,FIND("/",$A1953)+1,20),FIND("/",MID($A1953,FIND("/",$A1953)+1,20))-1))),"")))</f>
        <v/>
      </c>
      <c r="D1953">
        <f>IF(OR($A1953="",$B1953=""),"",IF(ISNUMBER($A1953),MOD($A1953,100),IFERROR(VALUE(TRIM(MID(MID($A1953,FIND("/",$A1953)+1,20),FIND("/",MID($A1953,FIND("/",$A1953)+1,20))+1,20))),"")))</f>
        <v/>
      </c>
      <c r="E1953">
        <f>IF($A1953="","",IF(OR($B1953="",$C1953="",$D1953="",$B1953&lt;1300,$B1953&gt;1500,$C1953&lt;1,$C1953&gt;12,$D1953&lt;1,$D1953&gt;31),"نامعتبر",RIGHT("0000"&amp;$B1953,4)&amp;"/"&amp;RIGHT("00"&amp;$C1953,2)&amp;"/"&amp;RIGHT("00"&amp;$D1953,2)))</f>
        <v/>
      </c>
      <c r="F1953">
        <f>IF(OR($E1953="",$E1953="نامعتبر"),"",IF(Sync!$Q1950="","0000",IF(AND(ISNUMBER(Sync!$Q1950),Sync!$Q1950&gt;=0,Sync!$Q1950&lt;1),RIGHT("00"&amp;HOUR(Sync!$Q1950),2)&amp;RIGHT("00"&amp;MINUTE(Sync!$Q1950),2),IFERROR(RIGHT("00"&amp;VALUE(LEFT(Sync!$Q1950,FIND(":",Sync!$Q1950)-1)),2)&amp;RIGHT("00"&amp;VALUE(MID(Sync!$Q1950,FIND(":",Sync!$Q1950)+1,2)),2),"0000"))))</f>
        <v/>
      </c>
      <c r="G1953">
        <f>IF(OR($E1953="",$E1953="نامعتبر"),"",IF(Sync!$S1950="","",Sync!$S1950))</f>
        <v/>
      </c>
      <c r="H1953">
        <f>IF(OR($E1953="",$E1953="نامعتبر"),"",IF(Sync!$R1950="","",Sync!$R1950))</f>
        <v/>
      </c>
      <c r="I1953">
        <f>IF(OR($E1953="",$E1953="نامعتبر"),"",IF(Sync!$T1950="","",Sync!$T1950))</f>
        <v/>
      </c>
      <c r="J1953">
        <f>IF(OR($E1953="",$E1953="نامعتبر"),"",IF(Sync!$U1950="","",Sync!$U1950))</f>
        <v/>
      </c>
      <c r="K1953">
        <f>IF(OR($E1953="",$E1953="نامعتبر"),"",IF(Sync!$V1950="","",IFERROR(INDEX(SubCodes,MATCH(Sync!$V1950,SubTitles,0)),Sync!$V1950)))</f>
        <v/>
      </c>
      <c r="L1953">
        <f>IF(OR($E1953="",$E1953="نامعتبر"),"",IF(Sync!$W1950="",0,Sync!$W1950))</f>
        <v/>
      </c>
      <c r="M1953">
        <f>IF(OR($E1953="",$E1953="نامعتبر"),"",IF(Sync!$X1950="",0,Sync!$X1950))</f>
        <v/>
      </c>
      <c r="N1953">
        <f>IF(OR($E1953="",$E1953="نامعتبر"),"",IF(AND($J1953="هزینه",$K1953&lt;&gt;""),1,0))</f>
        <v/>
      </c>
      <c r="O1953">
        <f>IF($N1953=0,"",LEFT($E1953,4)&amp;MID($E1953,6,2)&amp;RIGHT($E1953,2)&amp;$F1953&amp;"|"&amp;"1"&amp;RIGHT("00000"&amp;1945,5))</f>
        <v/>
      </c>
      <c r="P1953">
        <f>IF($O1953="","",COUNTIFS(ExpSub,$K1953,ExpKey,"&lt;"&amp;$O1953)+1)</f>
        <v/>
      </c>
      <c r="Q1953">
        <f>IF($P1953="","",$K1953&amp;"|"&amp;RIGHT("000000"&amp;$P1953,6))</f>
        <v/>
      </c>
    </row>
    <row r="1954">
      <c r="A1954">
        <f>IF(Sync!$P1951="","",Sync!$P1951)</f>
        <v/>
      </c>
      <c r="B1954">
        <f>IF($A1954="","",IF(ISNUMBER($A1954),IF(AND($A1954&gt;=10000101,$A1954&lt;=99991231),INT($A1954/10000),""),IFERROR(VALUE(TRIM(LEFT($A1954,FIND("/",$A1954)-1))),"")))</f>
        <v/>
      </c>
      <c r="C1954">
        <f>IF(OR($A1954="",$B1954=""),"",IF(ISNUMBER($A1954),INT(MOD($A1954,10000)/100),IFERROR(VALUE(TRIM(LEFT(MID($A1954,FIND("/",$A1954)+1,20),FIND("/",MID($A1954,FIND("/",$A1954)+1,20))-1))),"")))</f>
        <v/>
      </c>
      <c r="D1954">
        <f>IF(OR($A1954="",$B1954=""),"",IF(ISNUMBER($A1954),MOD($A1954,100),IFERROR(VALUE(TRIM(MID(MID($A1954,FIND("/",$A1954)+1,20),FIND("/",MID($A1954,FIND("/",$A1954)+1,20))+1,20))),"")))</f>
        <v/>
      </c>
      <c r="E1954">
        <f>IF($A1954="","",IF(OR($B1954="",$C1954="",$D1954="",$B1954&lt;1300,$B1954&gt;1500,$C1954&lt;1,$C1954&gt;12,$D1954&lt;1,$D1954&gt;31),"نامعتبر",RIGHT("0000"&amp;$B1954,4)&amp;"/"&amp;RIGHT("00"&amp;$C1954,2)&amp;"/"&amp;RIGHT("00"&amp;$D1954,2)))</f>
        <v/>
      </c>
      <c r="F1954">
        <f>IF(OR($E1954="",$E1954="نامعتبر"),"",IF(Sync!$Q1951="","0000",IF(AND(ISNUMBER(Sync!$Q1951),Sync!$Q1951&gt;=0,Sync!$Q1951&lt;1),RIGHT("00"&amp;HOUR(Sync!$Q1951),2)&amp;RIGHT("00"&amp;MINUTE(Sync!$Q1951),2),IFERROR(RIGHT("00"&amp;VALUE(LEFT(Sync!$Q1951,FIND(":",Sync!$Q1951)-1)),2)&amp;RIGHT("00"&amp;VALUE(MID(Sync!$Q1951,FIND(":",Sync!$Q1951)+1,2)),2),"0000"))))</f>
        <v/>
      </c>
      <c r="G1954">
        <f>IF(OR($E1954="",$E1954="نامعتبر"),"",IF(Sync!$S1951="","",Sync!$S1951))</f>
        <v/>
      </c>
      <c r="H1954">
        <f>IF(OR($E1954="",$E1954="نامعتبر"),"",IF(Sync!$R1951="","",Sync!$R1951))</f>
        <v/>
      </c>
      <c r="I1954">
        <f>IF(OR($E1954="",$E1954="نامعتبر"),"",IF(Sync!$T1951="","",Sync!$T1951))</f>
        <v/>
      </c>
      <c r="J1954">
        <f>IF(OR($E1954="",$E1954="نامعتبر"),"",IF(Sync!$U1951="","",Sync!$U1951))</f>
        <v/>
      </c>
      <c r="K1954">
        <f>IF(OR($E1954="",$E1954="نامعتبر"),"",IF(Sync!$V1951="","",IFERROR(INDEX(SubCodes,MATCH(Sync!$V1951,SubTitles,0)),Sync!$V1951)))</f>
        <v/>
      </c>
      <c r="L1954">
        <f>IF(OR($E1954="",$E1954="نامعتبر"),"",IF(Sync!$W1951="",0,Sync!$W1951))</f>
        <v/>
      </c>
      <c r="M1954">
        <f>IF(OR($E1954="",$E1954="نامعتبر"),"",IF(Sync!$X1951="",0,Sync!$X1951))</f>
        <v/>
      </c>
      <c r="N1954">
        <f>IF(OR($E1954="",$E1954="نامعتبر"),"",IF(AND($J1954="هزینه",$K1954&lt;&gt;""),1,0))</f>
        <v/>
      </c>
      <c r="O1954">
        <f>IF($N1954=0,"",LEFT($E1954,4)&amp;MID($E1954,6,2)&amp;RIGHT($E1954,2)&amp;$F1954&amp;"|"&amp;"1"&amp;RIGHT("00000"&amp;1946,5))</f>
        <v/>
      </c>
      <c r="P1954">
        <f>IF($O1954="","",COUNTIFS(ExpSub,$K1954,ExpKey,"&lt;"&amp;$O1954)+1)</f>
        <v/>
      </c>
      <c r="Q1954">
        <f>IF($P1954="","",$K1954&amp;"|"&amp;RIGHT("000000"&amp;$P1954,6))</f>
        <v/>
      </c>
    </row>
    <row r="1955">
      <c r="A1955">
        <f>IF(Sync!$P1952="","",Sync!$P1952)</f>
        <v/>
      </c>
      <c r="B1955">
        <f>IF($A1955="","",IF(ISNUMBER($A1955),IF(AND($A1955&gt;=10000101,$A1955&lt;=99991231),INT($A1955/10000),""),IFERROR(VALUE(TRIM(LEFT($A1955,FIND("/",$A1955)-1))),"")))</f>
        <v/>
      </c>
      <c r="C1955">
        <f>IF(OR($A1955="",$B1955=""),"",IF(ISNUMBER($A1955),INT(MOD($A1955,10000)/100),IFERROR(VALUE(TRIM(LEFT(MID($A1955,FIND("/",$A1955)+1,20),FIND("/",MID($A1955,FIND("/",$A1955)+1,20))-1))),"")))</f>
        <v/>
      </c>
      <c r="D1955">
        <f>IF(OR($A1955="",$B1955=""),"",IF(ISNUMBER($A1955),MOD($A1955,100),IFERROR(VALUE(TRIM(MID(MID($A1955,FIND("/",$A1955)+1,20),FIND("/",MID($A1955,FIND("/",$A1955)+1,20))+1,20))),"")))</f>
        <v/>
      </c>
      <c r="E1955">
        <f>IF($A1955="","",IF(OR($B1955="",$C1955="",$D1955="",$B1955&lt;1300,$B1955&gt;1500,$C1955&lt;1,$C1955&gt;12,$D1955&lt;1,$D1955&gt;31),"نامعتبر",RIGHT("0000"&amp;$B1955,4)&amp;"/"&amp;RIGHT("00"&amp;$C1955,2)&amp;"/"&amp;RIGHT("00"&amp;$D1955,2)))</f>
        <v/>
      </c>
      <c r="F1955">
        <f>IF(OR($E1955="",$E1955="نامعتبر"),"",IF(Sync!$Q1952="","0000",IF(AND(ISNUMBER(Sync!$Q1952),Sync!$Q1952&gt;=0,Sync!$Q1952&lt;1),RIGHT("00"&amp;HOUR(Sync!$Q1952),2)&amp;RIGHT("00"&amp;MINUTE(Sync!$Q1952),2),IFERROR(RIGHT("00"&amp;VALUE(LEFT(Sync!$Q1952,FIND(":",Sync!$Q1952)-1)),2)&amp;RIGHT("00"&amp;VALUE(MID(Sync!$Q1952,FIND(":",Sync!$Q1952)+1,2)),2),"0000"))))</f>
        <v/>
      </c>
      <c r="G1955">
        <f>IF(OR($E1955="",$E1955="نامعتبر"),"",IF(Sync!$S1952="","",Sync!$S1952))</f>
        <v/>
      </c>
      <c r="H1955">
        <f>IF(OR($E1955="",$E1955="نامعتبر"),"",IF(Sync!$R1952="","",Sync!$R1952))</f>
        <v/>
      </c>
      <c r="I1955">
        <f>IF(OR($E1955="",$E1955="نامعتبر"),"",IF(Sync!$T1952="","",Sync!$T1952))</f>
        <v/>
      </c>
      <c r="J1955">
        <f>IF(OR($E1955="",$E1955="نامعتبر"),"",IF(Sync!$U1952="","",Sync!$U1952))</f>
        <v/>
      </c>
      <c r="K1955">
        <f>IF(OR($E1955="",$E1955="نامعتبر"),"",IF(Sync!$V1952="","",IFERROR(INDEX(SubCodes,MATCH(Sync!$V1952,SubTitles,0)),Sync!$V1952)))</f>
        <v/>
      </c>
      <c r="L1955">
        <f>IF(OR($E1955="",$E1955="نامعتبر"),"",IF(Sync!$W1952="",0,Sync!$W1952))</f>
        <v/>
      </c>
      <c r="M1955">
        <f>IF(OR($E1955="",$E1955="نامعتبر"),"",IF(Sync!$X1952="",0,Sync!$X1952))</f>
        <v/>
      </c>
      <c r="N1955">
        <f>IF(OR($E1955="",$E1955="نامعتبر"),"",IF(AND($J1955="هزینه",$K1955&lt;&gt;""),1,0))</f>
        <v/>
      </c>
      <c r="O1955">
        <f>IF($N1955=0,"",LEFT($E1955,4)&amp;MID($E1955,6,2)&amp;RIGHT($E1955,2)&amp;$F1955&amp;"|"&amp;"1"&amp;RIGHT("00000"&amp;1947,5))</f>
        <v/>
      </c>
      <c r="P1955">
        <f>IF($O1955="","",COUNTIFS(ExpSub,$K1955,ExpKey,"&lt;"&amp;$O1955)+1)</f>
        <v/>
      </c>
      <c r="Q1955">
        <f>IF($P1955="","",$K1955&amp;"|"&amp;RIGHT("000000"&amp;$P1955,6))</f>
        <v/>
      </c>
    </row>
    <row r="1956">
      <c r="A1956">
        <f>IF(Sync!$P1953="","",Sync!$P1953)</f>
        <v/>
      </c>
      <c r="B1956">
        <f>IF($A1956="","",IF(ISNUMBER($A1956),IF(AND($A1956&gt;=10000101,$A1956&lt;=99991231),INT($A1956/10000),""),IFERROR(VALUE(TRIM(LEFT($A1956,FIND("/",$A1956)-1))),"")))</f>
        <v/>
      </c>
      <c r="C1956">
        <f>IF(OR($A1956="",$B1956=""),"",IF(ISNUMBER($A1956),INT(MOD($A1956,10000)/100),IFERROR(VALUE(TRIM(LEFT(MID($A1956,FIND("/",$A1956)+1,20),FIND("/",MID($A1956,FIND("/",$A1956)+1,20))-1))),"")))</f>
        <v/>
      </c>
      <c r="D1956">
        <f>IF(OR($A1956="",$B1956=""),"",IF(ISNUMBER($A1956),MOD($A1956,100),IFERROR(VALUE(TRIM(MID(MID($A1956,FIND("/",$A1956)+1,20),FIND("/",MID($A1956,FIND("/",$A1956)+1,20))+1,20))),"")))</f>
        <v/>
      </c>
      <c r="E1956">
        <f>IF($A1956="","",IF(OR($B1956="",$C1956="",$D1956="",$B1956&lt;1300,$B1956&gt;1500,$C1956&lt;1,$C1956&gt;12,$D1956&lt;1,$D1956&gt;31),"نامعتبر",RIGHT("0000"&amp;$B1956,4)&amp;"/"&amp;RIGHT("00"&amp;$C1956,2)&amp;"/"&amp;RIGHT("00"&amp;$D1956,2)))</f>
        <v/>
      </c>
      <c r="F1956">
        <f>IF(OR($E1956="",$E1956="نامعتبر"),"",IF(Sync!$Q1953="","0000",IF(AND(ISNUMBER(Sync!$Q1953),Sync!$Q1953&gt;=0,Sync!$Q1953&lt;1),RIGHT("00"&amp;HOUR(Sync!$Q1953),2)&amp;RIGHT("00"&amp;MINUTE(Sync!$Q1953),2),IFERROR(RIGHT("00"&amp;VALUE(LEFT(Sync!$Q1953,FIND(":",Sync!$Q1953)-1)),2)&amp;RIGHT("00"&amp;VALUE(MID(Sync!$Q1953,FIND(":",Sync!$Q1953)+1,2)),2),"0000"))))</f>
        <v/>
      </c>
      <c r="G1956">
        <f>IF(OR($E1956="",$E1956="نامعتبر"),"",IF(Sync!$S1953="","",Sync!$S1953))</f>
        <v/>
      </c>
      <c r="H1956">
        <f>IF(OR($E1956="",$E1956="نامعتبر"),"",IF(Sync!$R1953="","",Sync!$R1953))</f>
        <v/>
      </c>
      <c r="I1956">
        <f>IF(OR($E1956="",$E1956="نامعتبر"),"",IF(Sync!$T1953="","",Sync!$T1953))</f>
        <v/>
      </c>
      <c r="J1956">
        <f>IF(OR($E1956="",$E1956="نامعتبر"),"",IF(Sync!$U1953="","",Sync!$U1953))</f>
        <v/>
      </c>
      <c r="K1956">
        <f>IF(OR($E1956="",$E1956="نامعتبر"),"",IF(Sync!$V1953="","",IFERROR(INDEX(SubCodes,MATCH(Sync!$V1953,SubTitles,0)),Sync!$V1953)))</f>
        <v/>
      </c>
      <c r="L1956">
        <f>IF(OR($E1956="",$E1956="نامعتبر"),"",IF(Sync!$W1953="",0,Sync!$W1953))</f>
        <v/>
      </c>
      <c r="M1956">
        <f>IF(OR($E1956="",$E1956="نامعتبر"),"",IF(Sync!$X1953="",0,Sync!$X1953))</f>
        <v/>
      </c>
      <c r="N1956">
        <f>IF(OR($E1956="",$E1956="نامعتبر"),"",IF(AND($J1956="هزینه",$K1956&lt;&gt;""),1,0))</f>
        <v/>
      </c>
      <c r="O1956">
        <f>IF($N1956=0,"",LEFT($E1956,4)&amp;MID($E1956,6,2)&amp;RIGHT($E1956,2)&amp;$F1956&amp;"|"&amp;"1"&amp;RIGHT("00000"&amp;1948,5))</f>
        <v/>
      </c>
      <c r="P1956">
        <f>IF($O1956="","",COUNTIFS(ExpSub,$K1956,ExpKey,"&lt;"&amp;$O1956)+1)</f>
        <v/>
      </c>
      <c r="Q1956">
        <f>IF($P1956="","",$K1956&amp;"|"&amp;RIGHT("000000"&amp;$P1956,6))</f>
        <v/>
      </c>
    </row>
    <row r="1957">
      <c r="A1957">
        <f>IF(Sync!$P1954="","",Sync!$P1954)</f>
        <v/>
      </c>
      <c r="B1957">
        <f>IF($A1957="","",IF(ISNUMBER($A1957),IF(AND($A1957&gt;=10000101,$A1957&lt;=99991231),INT($A1957/10000),""),IFERROR(VALUE(TRIM(LEFT($A1957,FIND("/",$A1957)-1))),"")))</f>
        <v/>
      </c>
      <c r="C1957">
        <f>IF(OR($A1957="",$B1957=""),"",IF(ISNUMBER($A1957),INT(MOD($A1957,10000)/100),IFERROR(VALUE(TRIM(LEFT(MID($A1957,FIND("/",$A1957)+1,20),FIND("/",MID($A1957,FIND("/",$A1957)+1,20))-1))),"")))</f>
        <v/>
      </c>
      <c r="D1957">
        <f>IF(OR($A1957="",$B1957=""),"",IF(ISNUMBER($A1957),MOD($A1957,100),IFERROR(VALUE(TRIM(MID(MID($A1957,FIND("/",$A1957)+1,20),FIND("/",MID($A1957,FIND("/",$A1957)+1,20))+1,20))),"")))</f>
        <v/>
      </c>
      <c r="E1957">
        <f>IF($A1957="","",IF(OR($B1957="",$C1957="",$D1957="",$B1957&lt;1300,$B1957&gt;1500,$C1957&lt;1,$C1957&gt;12,$D1957&lt;1,$D1957&gt;31),"نامعتبر",RIGHT("0000"&amp;$B1957,4)&amp;"/"&amp;RIGHT("00"&amp;$C1957,2)&amp;"/"&amp;RIGHT("00"&amp;$D1957,2)))</f>
        <v/>
      </c>
      <c r="F1957">
        <f>IF(OR($E1957="",$E1957="نامعتبر"),"",IF(Sync!$Q1954="","0000",IF(AND(ISNUMBER(Sync!$Q1954),Sync!$Q1954&gt;=0,Sync!$Q1954&lt;1),RIGHT("00"&amp;HOUR(Sync!$Q1954),2)&amp;RIGHT("00"&amp;MINUTE(Sync!$Q1954),2),IFERROR(RIGHT("00"&amp;VALUE(LEFT(Sync!$Q1954,FIND(":",Sync!$Q1954)-1)),2)&amp;RIGHT("00"&amp;VALUE(MID(Sync!$Q1954,FIND(":",Sync!$Q1954)+1,2)),2),"0000"))))</f>
        <v/>
      </c>
      <c r="G1957">
        <f>IF(OR($E1957="",$E1957="نامعتبر"),"",IF(Sync!$S1954="","",Sync!$S1954))</f>
        <v/>
      </c>
      <c r="H1957">
        <f>IF(OR($E1957="",$E1957="نامعتبر"),"",IF(Sync!$R1954="","",Sync!$R1954))</f>
        <v/>
      </c>
      <c r="I1957">
        <f>IF(OR($E1957="",$E1957="نامعتبر"),"",IF(Sync!$T1954="","",Sync!$T1954))</f>
        <v/>
      </c>
      <c r="J1957">
        <f>IF(OR($E1957="",$E1957="نامعتبر"),"",IF(Sync!$U1954="","",Sync!$U1954))</f>
        <v/>
      </c>
      <c r="K1957">
        <f>IF(OR($E1957="",$E1957="نامعتبر"),"",IF(Sync!$V1954="","",IFERROR(INDEX(SubCodes,MATCH(Sync!$V1954,SubTitles,0)),Sync!$V1954)))</f>
        <v/>
      </c>
      <c r="L1957">
        <f>IF(OR($E1957="",$E1957="نامعتبر"),"",IF(Sync!$W1954="",0,Sync!$W1954))</f>
        <v/>
      </c>
      <c r="M1957">
        <f>IF(OR($E1957="",$E1957="نامعتبر"),"",IF(Sync!$X1954="",0,Sync!$X1954))</f>
        <v/>
      </c>
      <c r="N1957">
        <f>IF(OR($E1957="",$E1957="نامعتبر"),"",IF(AND($J1957="هزینه",$K1957&lt;&gt;""),1,0))</f>
        <v/>
      </c>
      <c r="O1957">
        <f>IF($N1957=0,"",LEFT($E1957,4)&amp;MID($E1957,6,2)&amp;RIGHT($E1957,2)&amp;$F1957&amp;"|"&amp;"1"&amp;RIGHT("00000"&amp;1949,5))</f>
        <v/>
      </c>
      <c r="P1957">
        <f>IF($O1957="","",COUNTIFS(ExpSub,$K1957,ExpKey,"&lt;"&amp;$O1957)+1)</f>
        <v/>
      </c>
      <c r="Q1957">
        <f>IF($P1957="","",$K1957&amp;"|"&amp;RIGHT("000000"&amp;$P1957,6))</f>
        <v/>
      </c>
    </row>
    <row r="1958">
      <c r="A1958">
        <f>IF(Sync!$P1955="","",Sync!$P1955)</f>
        <v/>
      </c>
      <c r="B1958">
        <f>IF($A1958="","",IF(ISNUMBER($A1958),IF(AND($A1958&gt;=10000101,$A1958&lt;=99991231),INT($A1958/10000),""),IFERROR(VALUE(TRIM(LEFT($A1958,FIND("/",$A1958)-1))),"")))</f>
        <v/>
      </c>
      <c r="C1958">
        <f>IF(OR($A1958="",$B1958=""),"",IF(ISNUMBER($A1958),INT(MOD($A1958,10000)/100),IFERROR(VALUE(TRIM(LEFT(MID($A1958,FIND("/",$A1958)+1,20),FIND("/",MID($A1958,FIND("/",$A1958)+1,20))-1))),"")))</f>
        <v/>
      </c>
      <c r="D1958">
        <f>IF(OR($A1958="",$B1958=""),"",IF(ISNUMBER($A1958),MOD($A1958,100),IFERROR(VALUE(TRIM(MID(MID($A1958,FIND("/",$A1958)+1,20),FIND("/",MID($A1958,FIND("/",$A1958)+1,20))+1,20))),"")))</f>
        <v/>
      </c>
      <c r="E1958">
        <f>IF($A1958="","",IF(OR($B1958="",$C1958="",$D1958="",$B1958&lt;1300,$B1958&gt;1500,$C1958&lt;1,$C1958&gt;12,$D1958&lt;1,$D1958&gt;31),"نامعتبر",RIGHT("0000"&amp;$B1958,4)&amp;"/"&amp;RIGHT("00"&amp;$C1958,2)&amp;"/"&amp;RIGHT("00"&amp;$D1958,2)))</f>
        <v/>
      </c>
      <c r="F1958">
        <f>IF(OR($E1958="",$E1958="نامعتبر"),"",IF(Sync!$Q1955="","0000",IF(AND(ISNUMBER(Sync!$Q1955),Sync!$Q1955&gt;=0,Sync!$Q1955&lt;1),RIGHT("00"&amp;HOUR(Sync!$Q1955),2)&amp;RIGHT("00"&amp;MINUTE(Sync!$Q1955),2),IFERROR(RIGHT("00"&amp;VALUE(LEFT(Sync!$Q1955,FIND(":",Sync!$Q1955)-1)),2)&amp;RIGHT("00"&amp;VALUE(MID(Sync!$Q1955,FIND(":",Sync!$Q1955)+1,2)),2),"0000"))))</f>
        <v/>
      </c>
      <c r="G1958">
        <f>IF(OR($E1958="",$E1958="نامعتبر"),"",IF(Sync!$S1955="","",Sync!$S1955))</f>
        <v/>
      </c>
      <c r="H1958">
        <f>IF(OR($E1958="",$E1958="نامعتبر"),"",IF(Sync!$R1955="","",Sync!$R1955))</f>
        <v/>
      </c>
      <c r="I1958">
        <f>IF(OR($E1958="",$E1958="نامعتبر"),"",IF(Sync!$T1955="","",Sync!$T1955))</f>
        <v/>
      </c>
      <c r="J1958">
        <f>IF(OR($E1958="",$E1958="نامعتبر"),"",IF(Sync!$U1955="","",Sync!$U1955))</f>
        <v/>
      </c>
      <c r="K1958">
        <f>IF(OR($E1958="",$E1958="نامعتبر"),"",IF(Sync!$V1955="","",IFERROR(INDEX(SubCodes,MATCH(Sync!$V1955,SubTitles,0)),Sync!$V1955)))</f>
        <v/>
      </c>
      <c r="L1958">
        <f>IF(OR($E1958="",$E1958="نامعتبر"),"",IF(Sync!$W1955="",0,Sync!$W1955))</f>
        <v/>
      </c>
      <c r="M1958">
        <f>IF(OR($E1958="",$E1958="نامعتبر"),"",IF(Sync!$X1955="",0,Sync!$X1955))</f>
        <v/>
      </c>
      <c r="N1958">
        <f>IF(OR($E1958="",$E1958="نامعتبر"),"",IF(AND($J1958="هزینه",$K1958&lt;&gt;""),1,0))</f>
        <v/>
      </c>
      <c r="O1958">
        <f>IF($N1958=0,"",LEFT($E1958,4)&amp;MID($E1958,6,2)&amp;RIGHT($E1958,2)&amp;$F1958&amp;"|"&amp;"1"&amp;RIGHT("00000"&amp;1950,5))</f>
        <v/>
      </c>
      <c r="P1958">
        <f>IF($O1958="","",COUNTIFS(ExpSub,$K1958,ExpKey,"&lt;"&amp;$O1958)+1)</f>
        <v/>
      </c>
      <c r="Q1958">
        <f>IF($P1958="","",$K1958&amp;"|"&amp;RIGHT("000000"&amp;$P1958,6))</f>
        <v/>
      </c>
    </row>
    <row r="1959">
      <c r="A1959">
        <f>IF(Sync!$P1956="","",Sync!$P1956)</f>
        <v/>
      </c>
      <c r="B1959">
        <f>IF($A1959="","",IF(ISNUMBER($A1959),IF(AND($A1959&gt;=10000101,$A1959&lt;=99991231),INT($A1959/10000),""),IFERROR(VALUE(TRIM(LEFT($A1959,FIND("/",$A1959)-1))),"")))</f>
        <v/>
      </c>
      <c r="C1959">
        <f>IF(OR($A1959="",$B1959=""),"",IF(ISNUMBER($A1959),INT(MOD($A1959,10000)/100),IFERROR(VALUE(TRIM(LEFT(MID($A1959,FIND("/",$A1959)+1,20),FIND("/",MID($A1959,FIND("/",$A1959)+1,20))-1))),"")))</f>
        <v/>
      </c>
      <c r="D1959">
        <f>IF(OR($A1959="",$B1959=""),"",IF(ISNUMBER($A1959),MOD($A1959,100),IFERROR(VALUE(TRIM(MID(MID($A1959,FIND("/",$A1959)+1,20),FIND("/",MID($A1959,FIND("/",$A1959)+1,20))+1,20))),"")))</f>
        <v/>
      </c>
      <c r="E1959">
        <f>IF($A1959="","",IF(OR($B1959="",$C1959="",$D1959="",$B1959&lt;1300,$B1959&gt;1500,$C1959&lt;1,$C1959&gt;12,$D1959&lt;1,$D1959&gt;31),"نامعتبر",RIGHT("0000"&amp;$B1959,4)&amp;"/"&amp;RIGHT("00"&amp;$C1959,2)&amp;"/"&amp;RIGHT("00"&amp;$D1959,2)))</f>
        <v/>
      </c>
      <c r="F1959">
        <f>IF(OR($E1959="",$E1959="نامعتبر"),"",IF(Sync!$Q1956="","0000",IF(AND(ISNUMBER(Sync!$Q1956),Sync!$Q1956&gt;=0,Sync!$Q1956&lt;1),RIGHT("00"&amp;HOUR(Sync!$Q1956),2)&amp;RIGHT("00"&amp;MINUTE(Sync!$Q1956),2),IFERROR(RIGHT("00"&amp;VALUE(LEFT(Sync!$Q1956,FIND(":",Sync!$Q1956)-1)),2)&amp;RIGHT("00"&amp;VALUE(MID(Sync!$Q1956,FIND(":",Sync!$Q1956)+1,2)),2),"0000"))))</f>
        <v/>
      </c>
      <c r="G1959">
        <f>IF(OR($E1959="",$E1959="نامعتبر"),"",IF(Sync!$S1956="","",Sync!$S1956))</f>
        <v/>
      </c>
      <c r="H1959">
        <f>IF(OR($E1959="",$E1959="نامعتبر"),"",IF(Sync!$R1956="","",Sync!$R1956))</f>
        <v/>
      </c>
      <c r="I1959">
        <f>IF(OR($E1959="",$E1959="نامعتبر"),"",IF(Sync!$T1956="","",Sync!$T1956))</f>
        <v/>
      </c>
      <c r="J1959">
        <f>IF(OR($E1959="",$E1959="نامعتبر"),"",IF(Sync!$U1956="","",Sync!$U1956))</f>
        <v/>
      </c>
      <c r="K1959">
        <f>IF(OR($E1959="",$E1959="نامعتبر"),"",IF(Sync!$V1956="","",IFERROR(INDEX(SubCodes,MATCH(Sync!$V1956,SubTitles,0)),Sync!$V1956)))</f>
        <v/>
      </c>
      <c r="L1959">
        <f>IF(OR($E1959="",$E1959="نامعتبر"),"",IF(Sync!$W1956="",0,Sync!$W1956))</f>
        <v/>
      </c>
      <c r="M1959">
        <f>IF(OR($E1959="",$E1959="نامعتبر"),"",IF(Sync!$X1956="",0,Sync!$X1956))</f>
        <v/>
      </c>
      <c r="N1959">
        <f>IF(OR($E1959="",$E1959="نامعتبر"),"",IF(AND($J1959="هزینه",$K1959&lt;&gt;""),1,0))</f>
        <v/>
      </c>
      <c r="O1959">
        <f>IF($N1959=0,"",LEFT($E1959,4)&amp;MID($E1959,6,2)&amp;RIGHT($E1959,2)&amp;$F1959&amp;"|"&amp;"1"&amp;RIGHT("00000"&amp;1951,5))</f>
        <v/>
      </c>
      <c r="P1959">
        <f>IF($O1959="","",COUNTIFS(ExpSub,$K1959,ExpKey,"&lt;"&amp;$O1959)+1)</f>
        <v/>
      </c>
      <c r="Q1959">
        <f>IF($P1959="","",$K1959&amp;"|"&amp;RIGHT("000000"&amp;$P1959,6))</f>
        <v/>
      </c>
    </row>
    <row r="1960">
      <c r="A1960">
        <f>IF(Sync!$P1957="","",Sync!$P1957)</f>
        <v/>
      </c>
      <c r="B1960">
        <f>IF($A1960="","",IF(ISNUMBER($A1960),IF(AND($A1960&gt;=10000101,$A1960&lt;=99991231),INT($A1960/10000),""),IFERROR(VALUE(TRIM(LEFT($A1960,FIND("/",$A1960)-1))),"")))</f>
        <v/>
      </c>
      <c r="C1960">
        <f>IF(OR($A1960="",$B1960=""),"",IF(ISNUMBER($A1960),INT(MOD($A1960,10000)/100),IFERROR(VALUE(TRIM(LEFT(MID($A1960,FIND("/",$A1960)+1,20),FIND("/",MID($A1960,FIND("/",$A1960)+1,20))-1))),"")))</f>
        <v/>
      </c>
      <c r="D1960">
        <f>IF(OR($A1960="",$B1960=""),"",IF(ISNUMBER($A1960),MOD($A1960,100),IFERROR(VALUE(TRIM(MID(MID($A1960,FIND("/",$A1960)+1,20),FIND("/",MID($A1960,FIND("/",$A1960)+1,20))+1,20))),"")))</f>
        <v/>
      </c>
      <c r="E1960">
        <f>IF($A1960="","",IF(OR($B1960="",$C1960="",$D1960="",$B1960&lt;1300,$B1960&gt;1500,$C1960&lt;1,$C1960&gt;12,$D1960&lt;1,$D1960&gt;31),"نامعتبر",RIGHT("0000"&amp;$B1960,4)&amp;"/"&amp;RIGHT("00"&amp;$C1960,2)&amp;"/"&amp;RIGHT("00"&amp;$D1960,2)))</f>
        <v/>
      </c>
      <c r="F1960">
        <f>IF(OR($E1960="",$E1960="نامعتبر"),"",IF(Sync!$Q1957="","0000",IF(AND(ISNUMBER(Sync!$Q1957),Sync!$Q1957&gt;=0,Sync!$Q1957&lt;1),RIGHT("00"&amp;HOUR(Sync!$Q1957),2)&amp;RIGHT("00"&amp;MINUTE(Sync!$Q1957),2),IFERROR(RIGHT("00"&amp;VALUE(LEFT(Sync!$Q1957,FIND(":",Sync!$Q1957)-1)),2)&amp;RIGHT("00"&amp;VALUE(MID(Sync!$Q1957,FIND(":",Sync!$Q1957)+1,2)),2),"0000"))))</f>
        <v/>
      </c>
      <c r="G1960">
        <f>IF(OR($E1960="",$E1960="نامعتبر"),"",IF(Sync!$S1957="","",Sync!$S1957))</f>
        <v/>
      </c>
      <c r="H1960">
        <f>IF(OR($E1960="",$E1960="نامعتبر"),"",IF(Sync!$R1957="","",Sync!$R1957))</f>
        <v/>
      </c>
      <c r="I1960">
        <f>IF(OR($E1960="",$E1960="نامعتبر"),"",IF(Sync!$T1957="","",Sync!$T1957))</f>
        <v/>
      </c>
      <c r="J1960">
        <f>IF(OR($E1960="",$E1960="نامعتبر"),"",IF(Sync!$U1957="","",Sync!$U1957))</f>
        <v/>
      </c>
      <c r="K1960">
        <f>IF(OR($E1960="",$E1960="نامعتبر"),"",IF(Sync!$V1957="","",IFERROR(INDEX(SubCodes,MATCH(Sync!$V1957,SubTitles,0)),Sync!$V1957)))</f>
        <v/>
      </c>
      <c r="L1960">
        <f>IF(OR($E1960="",$E1960="نامعتبر"),"",IF(Sync!$W1957="",0,Sync!$W1957))</f>
        <v/>
      </c>
      <c r="M1960">
        <f>IF(OR($E1960="",$E1960="نامعتبر"),"",IF(Sync!$X1957="",0,Sync!$X1957))</f>
        <v/>
      </c>
      <c r="N1960">
        <f>IF(OR($E1960="",$E1960="نامعتبر"),"",IF(AND($J1960="هزینه",$K1960&lt;&gt;""),1,0))</f>
        <v/>
      </c>
      <c r="O1960">
        <f>IF($N1960=0,"",LEFT($E1960,4)&amp;MID($E1960,6,2)&amp;RIGHT($E1960,2)&amp;$F1960&amp;"|"&amp;"1"&amp;RIGHT("00000"&amp;1952,5))</f>
        <v/>
      </c>
      <c r="P1960">
        <f>IF($O1960="","",COUNTIFS(ExpSub,$K1960,ExpKey,"&lt;"&amp;$O1960)+1)</f>
        <v/>
      </c>
      <c r="Q1960">
        <f>IF($P1960="","",$K1960&amp;"|"&amp;RIGHT("000000"&amp;$P1960,6))</f>
        <v/>
      </c>
    </row>
    <row r="1961">
      <c r="A1961">
        <f>IF(Sync!$P1958="","",Sync!$P1958)</f>
        <v/>
      </c>
      <c r="B1961">
        <f>IF($A1961="","",IF(ISNUMBER($A1961),IF(AND($A1961&gt;=10000101,$A1961&lt;=99991231),INT($A1961/10000),""),IFERROR(VALUE(TRIM(LEFT($A1961,FIND("/",$A1961)-1))),"")))</f>
        <v/>
      </c>
      <c r="C1961">
        <f>IF(OR($A1961="",$B1961=""),"",IF(ISNUMBER($A1961),INT(MOD($A1961,10000)/100),IFERROR(VALUE(TRIM(LEFT(MID($A1961,FIND("/",$A1961)+1,20),FIND("/",MID($A1961,FIND("/",$A1961)+1,20))-1))),"")))</f>
        <v/>
      </c>
      <c r="D1961">
        <f>IF(OR($A1961="",$B1961=""),"",IF(ISNUMBER($A1961),MOD($A1961,100),IFERROR(VALUE(TRIM(MID(MID($A1961,FIND("/",$A1961)+1,20),FIND("/",MID($A1961,FIND("/",$A1961)+1,20))+1,20))),"")))</f>
        <v/>
      </c>
      <c r="E1961">
        <f>IF($A1961="","",IF(OR($B1961="",$C1961="",$D1961="",$B1961&lt;1300,$B1961&gt;1500,$C1961&lt;1,$C1961&gt;12,$D1961&lt;1,$D1961&gt;31),"نامعتبر",RIGHT("0000"&amp;$B1961,4)&amp;"/"&amp;RIGHT("00"&amp;$C1961,2)&amp;"/"&amp;RIGHT("00"&amp;$D1961,2)))</f>
        <v/>
      </c>
      <c r="F1961">
        <f>IF(OR($E1961="",$E1961="نامعتبر"),"",IF(Sync!$Q1958="","0000",IF(AND(ISNUMBER(Sync!$Q1958),Sync!$Q1958&gt;=0,Sync!$Q1958&lt;1),RIGHT("00"&amp;HOUR(Sync!$Q1958),2)&amp;RIGHT("00"&amp;MINUTE(Sync!$Q1958),2),IFERROR(RIGHT("00"&amp;VALUE(LEFT(Sync!$Q1958,FIND(":",Sync!$Q1958)-1)),2)&amp;RIGHT("00"&amp;VALUE(MID(Sync!$Q1958,FIND(":",Sync!$Q1958)+1,2)),2),"0000"))))</f>
        <v/>
      </c>
      <c r="G1961">
        <f>IF(OR($E1961="",$E1961="نامعتبر"),"",IF(Sync!$S1958="","",Sync!$S1958))</f>
        <v/>
      </c>
      <c r="H1961">
        <f>IF(OR($E1961="",$E1961="نامعتبر"),"",IF(Sync!$R1958="","",Sync!$R1958))</f>
        <v/>
      </c>
      <c r="I1961">
        <f>IF(OR($E1961="",$E1961="نامعتبر"),"",IF(Sync!$T1958="","",Sync!$T1958))</f>
        <v/>
      </c>
      <c r="J1961">
        <f>IF(OR($E1961="",$E1961="نامعتبر"),"",IF(Sync!$U1958="","",Sync!$U1958))</f>
        <v/>
      </c>
      <c r="K1961">
        <f>IF(OR($E1961="",$E1961="نامعتبر"),"",IF(Sync!$V1958="","",IFERROR(INDEX(SubCodes,MATCH(Sync!$V1958,SubTitles,0)),Sync!$V1958)))</f>
        <v/>
      </c>
      <c r="L1961">
        <f>IF(OR($E1961="",$E1961="نامعتبر"),"",IF(Sync!$W1958="",0,Sync!$W1958))</f>
        <v/>
      </c>
      <c r="M1961">
        <f>IF(OR($E1961="",$E1961="نامعتبر"),"",IF(Sync!$X1958="",0,Sync!$X1958))</f>
        <v/>
      </c>
      <c r="N1961">
        <f>IF(OR($E1961="",$E1961="نامعتبر"),"",IF(AND($J1961="هزینه",$K1961&lt;&gt;""),1,0))</f>
        <v/>
      </c>
      <c r="O1961">
        <f>IF($N1961=0,"",LEFT($E1961,4)&amp;MID($E1961,6,2)&amp;RIGHT($E1961,2)&amp;$F1961&amp;"|"&amp;"1"&amp;RIGHT("00000"&amp;1953,5))</f>
        <v/>
      </c>
      <c r="P1961">
        <f>IF($O1961="","",COUNTIFS(ExpSub,$K1961,ExpKey,"&lt;"&amp;$O1961)+1)</f>
        <v/>
      </c>
      <c r="Q1961">
        <f>IF($P1961="","",$K1961&amp;"|"&amp;RIGHT("000000"&amp;$P1961,6))</f>
        <v/>
      </c>
    </row>
    <row r="1962">
      <c r="A1962">
        <f>IF(Sync!$P1959="","",Sync!$P1959)</f>
        <v/>
      </c>
      <c r="B1962">
        <f>IF($A1962="","",IF(ISNUMBER($A1962),IF(AND($A1962&gt;=10000101,$A1962&lt;=99991231),INT($A1962/10000),""),IFERROR(VALUE(TRIM(LEFT($A1962,FIND("/",$A1962)-1))),"")))</f>
        <v/>
      </c>
      <c r="C1962">
        <f>IF(OR($A1962="",$B1962=""),"",IF(ISNUMBER($A1962),INT(MOD($A1962,10000)/100),IFERROR(VALUE(TRIM(LEFT(MID($A1962,FIND("/",$A1962)+1,20),FIND("/",MID($A1962,FIND("/",$A1962)+1,20))-1))),"")))</f>
        <v/>
      </c>
      <c r="D1962">
        <f>IF(OR($A1962="",$B1962=""),"",IF(ISNUMBER($A1962),MOD($A1962,100),IFERROR(VALUE(TRIM(MID(MID($A1962,FIND("/",$A1962)+1,20),FIND("/",MID($A1962,FIND("/",$A1962)+1,20))+1,20))),"")))</f>
        <v/>
      </c>
      <c r="E1962">
        <f>IF($A1962="","",IF(OR($B1962="",$C1962="",$D1962="",$B1962&lt;1300,$B1962&gt;1500,$C1962&lt;1,$C1962&gt;12,$D1962&lt;1,$D1962&gt;31),"نامعتبر",RIGHT("0000"&amp;$B1962,4)&amp;"/"&amp;RIGHT("00"&amp;$C1962,2)&amp;"/"&amp;RIGHT("00"&amp;$D1962,2)))</f>
        <v/>
      </c>
      <c r="F1962">
        <f>IF(OR($E1962="",$E1962="نامعتبر"),"",IF(Sync!$Q1959="","0000",IF(AND(ISNUMBER(Sync!$Q1959),Sync!$Q1959&gt;=0,Sync!$Q1959&lt;1),RIGHT("00"&amp;HOUR(Sync!$Q1959),2)&amp;RIGHT("00"&amp;MINUTE(Sync!$Q1959),2),IFERROR(RIGHT("00"&amp;VALUE(LEFT(Sync!$Q1959,FIND(":",Sync!$Q1959)-1)),2)&amp;RIGHT("00"&amp;VALUE(MID(Sync!$Q1959,FIND(":",Sync!$Q1959)+1,2)),2),"0000"))))</f>
        <v/>
      </c>
      <c r="G1962">
        <f>IF(OR($E1962="",$E1962="نامعتبر"),"",IF(Sync!$S1959="","",Sync!$S1959))</f>
        <v/>
      </c>
      <c r="H1962">
        <f>IF(OR($E1962="",$E1962="نامعتبر"),"",IF(Sync!$R1959="","",Sync!$R1959))</f>
        <v/>
      </c>
      <c r="I1962">
        <f>IF(OR($E1962="",$E1962="نامعتبر"),"",IF(Sync!$T1959="","",Sync!$T1959))</f>
        <v/>
      </c>
      <c r="J1962">
        <f>IF(OR($E1962="",$E1962="نامعتبر"),"",IF(Sync!$U1959="","",Sync!$U1959))</f>
        <v/>
      </c>
      <c r="K1962">
        <f>IF(OR($E1962="",$E1962="نامعتبر"),"",IF(Sync!$V1959="","",IFERROR(INDEX(SubCodes,MATCH(Sync!$V1959,SubTitles,0)),Sync!$V1959)))</f>
        <v/>
      </c>
      <c r="L1962">
        <f>IF(OR($E1962="",$E1962="نامعتبر"),"",IF(Sync!$W1959="",0,Sync!$W1959))</f>
        <v/>
      </c>
      <c r="M1962">
        <f>IF(OR($E1962="",$E1962="نامعتبر"),"",IF(Sync!$X1959="",0,Sync!$X1959))</f>
        <v/>
      </c>
      <c r="N1962">
        <f>IF(OR($E1962="",$E1962="نامعتبر"),"",IF(AND($J1962="هزینه",$K1962&lt;&gt;""),1,0))</f>
        <v/>
      </c>
      <c r="O1962">
        <f>IF($N1962=0,"",LEFT($E1962,4)&amp;MID($E1962,6,2)&amp;RIGHT($E1962,2)&amp;$F1962&amp;"|"&amp;"1"&amp;RIGHT("00000"&amp;1954,5))</f>
        <v/>
      </c>
      <c r="P1962">
        <f>IF($O1962="","",COUNTIFS(ExpSub,$K1962,ExpKey,"&lt;"&amp;$O1962)+1)</f>
        <v/>
      </c>
      <c r="Q1962">
        <f>IF($P1962="","",$K1962&amp;"|"&amp;RIGHT("000000"&amp;$P1962,6))</f>
        <v/>
      </c>
    </row>
    <row r="1963">
      <c r="A1963">
        <f>IF(Sync!$P1960="","",Sync!$P1960)</f>
        <v/>
      </c>
      <c r="B1963">
        <f>IF($A1963="","",IF(ISNUMBER($A1963),IF(AND($A1963&gt;=10000101,$A1963&lt;=99991231),INT($A1963/10000),""),IFERROR(VALUE(TRIM(LEFT($A1963,FIND("/",$A1963)-1))),"")))</f>
        <v/>
      </c>
      <c r="C1963">
        <f>IF(OR($A1963="",$B1963=""),"",IF(ISNUMBER($A1963),INT(MOD($A1963,10000)/100),IFERROR(VALUE(TRIM(LEFT(MID($A1963,FIND("/",$A1963)+1,20),FIND("/",MID($A1963,FIND("/",$A1963)+1,20))-1))),"")))</f>
        <v/>
      </c>
      <c r="D1963">
        <f>IF(OR($A1963="",$B1963=""),"",IF(ISNUMBER($A1963),MOD($A1963,100),IFERROR(VALUE(TRIM(MID(MID($A1963,FIND("/",$A1963)+1,20),FIND("/",MID($A1963,FIND("/",$A1963)+1,20))+1,20))),"")))</f>
        <v/>
      </c>
      <c r="E1963">
        <f>IF($A1963="","",IF(OR($B1963="",$C1963="",$D1963="",$B1963&lt;1300,$B1963&gt;1500,$C1963&lt;1,$C1963&gt;12,$D1963&lt;1,$D1963&gt;31),"نامعتبر",RIGHT("0000"&amp;$B1963,4)&amp;"/"&amp;RIGHT("00"&amp;$C1963,2)&amp;"/"&amp;RIGHT("00"&amp;$D1963,2)))</f>
        <v/>
      </c>
      <c r="F1963">
        <f>IF(OR($E1963="",$E1963="نامعتبر"),"",IF(Sync!$Q1960="","0000",IF(AND(ISNUMBER(Sync!$Q1960),Sync!$Q1960&gt;=0,Sync!$Q1960&lt;1),RIGHT("00"&amp;HOUR(Sync!$Q1960),2)&amp;RIGHT("00"&amp;MINUTE(Sync!$Q1960),2),IFERROR(RIGHT("00"&amp;VALUE(LEFT(Sync!$Q1960,FIND(":",Sync!$Q1960)-1)),2)&amp;RIGHT("00"&amp;VALUE(MID(Sync!$Q1960,FIND(":",Sync!$Q1960)+1,2)),2),"0000"))))</f>
        <v/>
      </c>
      <c r="G1963">
        <f>IF(OR($E1963="",$E1963="نامعتبر"),"",IF(Sync!$S1960="","",Sync!$S1960))</f>
        <v/>
      </c>
      <c r="H1963">
        <f>IF(OR($E1963="",$E1963="نامعتبر"),"",IF(Sync!$R1960="","",Sync!$R1960))</f>
        <v/>
      </c>
      <c r="I1963">
        <f>IF(OR($E1963="",$E1963="نامعتبر"),"",IF(Sync!$T1960="","",Sync!$T1960))</f>
        <v/>
      </c>
      <c r="J1963">
        <f>IF(OR($E1963="",$E1963="نامعتبر"),"",IF(Sync!$U1960="","",Sync!$U1960))</f>
        <v/>
      </c>
      <c r="K1963">
        <f>IF(OR($E1963="",$E1963="نامعتبر"),"",IF(Sync!$V1960="","",IFERROR(INDEX(SubCodes,MATCH(Sync!$V1960,SubTitles,0)),Sync!$V1960)))</f>
        <v/>
      </c>
      <c r="L1963">
        <f>IF(OR($E1963="",$E1963="نامعتبر"),"",IF(Sync!$W1960="",0,Sync!$W1960))</f>
        <v/>
      </c>
      <c r="M1963">
        <f>IF(OR($E1963="",$E1963="نامعتبر"),"",IF(Sync!$X1960="",0,Sync!$X1960))</f>
        <v/>
      </c>
      <c r="N1963">
        <f>IF(OR($E1963="",$E1963="نامعتبر"),"",IF(AND($J1963="هزینه",$K1963&lt;&gt;""),1,0))</f>
        <v/>
      </c>
      <c r="O1963">
        <f>IF($N1963=0,"",LEFT($E1963,4)&amp;MID($E1963,6,2)&amp;RIGHT($E1963,2)&amp;$F1963&amp;"|"&amp;"1"&amp;RIGHT("00000"&amp;1955,5))</f>
        <v/>
      </c>
      <c r="P1963">
        <f>IF($O1963="","",COUNTIFS(ExpSub,$K1963,ExpKey,"&lt;"&amp;$O1963)+1)</f>
        <v/>
      </c>
      <c r="Q1963">
        <f>IF($P1963="","",$K1963&amp;"|"&amp;RIGHT("000000"&amp;$P1963,6))</f>
        <v/>
      </c>
    </row>
    <row r="1964">
      <c r="A1964">
        <f>IF(Sync!$P1961="","",Sync!$P1961)</f>
        <v/>
      </c>
      <c r="B1964">
        <f>IF($A1964="","",IF(ISNUMBER($A1964),IF(AND($A1964&gt;=10000101,$A1964&lt;=99991231),INT($A1964/10000),""),IFERROR(VALUE(TRIM(LEFT($A1964,FIND("/",$A1964)-1))),"")))</f>
        <v/>
      </c>
      <c r="C1964">
        <f>IF(OR($A1964="",$B1964=""),"",IF(ISNUMBER($A1964),INT(MOD($A1964,10000)/100),IFERROR(VALUE(TRIM(LEFT(MID($A1964,FIND("/",$A1964)+1,20),FIND("/",MID($A1964,FIND("/",$A1964)+1,20))-1))),"")))</f>
        <v/>
      </c>
      <c r="D1964">
        <f>IF(OR($A1964="",$B1964=""),"",IF(ISNUMBER($A1964),MOD($A1964,100),IFERROR(VALUE(TRIM(MID(MID($A1964,FIND("/",$A1964)+1,20),FIND("/",MID($A1964,FIND("/",$A1964)+1,20))+1,20))),"")))</f>
        <v/>
      </c>
      <c r="E1964">
        <f>IF($A1964="","",IF(OR($B1964="",$C1964="",$D1964="",$B1964&lt;1300,$B1964&gt;1500,$C1964&lt;1,$C1964&gt;12,$D1964&lt;1,$D1964&gt;31),"نامعتبر",RIGHT("0000"&amp;$B1964,4)&amp;"/"&amp;RIGHT("00"&amp;$C1964,2)&amp;"/"&amp;RIGHT("00"&amp;$D1964,2)))</f>
        <v/>
      </c>
      <c r="F1964">
        <f>IF(OR($E1964="",$E1964="نامعتبر"),"",IF(Sync!$Q1961="","0000",IF(AND(ISNUMBER(Sync!$Q1961),Sync!$Q1961&gt;=0,Sync!$Q1961&lt;1),RIGHT("00"&amp;HOUR(Sync!$Q1961),2)&amp;RIGHT("00"&amp;MINUTE(Sync!$Q1961),2),IFERROR(RIGHT("00"&amp;VALUE(LEFT(Sync!$Q1961,FIND(":",Sync!$Q1961)-1)),2)&amp;RIGHT("00"&amp;VALUE(MID(Sync!$Q1961,FIND(":",Sync!$Q1961)+1,2)),2),"0000"))))</f>
        <v/>
      </c>
      <c r="G1964">
        <f>IF(OR($E1964="",$E1964="نامعتبر"),"",IF(Sync!$S1961="","",Sync!$S1961))</f>
        <v/>
      </c>
      <c r="H1964">
        <f>IF(OR($E1964="",$E1964="نامعتبر"),"",IF(Sync!$R1961="","",Sync!$R1961))</f>
        <v/>
      </c>
      <c r="I1964">
        <f>IF(OR($E1964="",$E1964="نامعتبر"),"",IF(Sync!$T1961="","",Sync!$T1961))</f>
        <v/>
      </c>
      <c r="J1964">
        <f>IF(OR($E1964="",$E1964="نامعتبر"),"",IF(Sync!$U1961="","",Sync!$U1961))</f>
        <v/>
      </c>
      <c r="K1964">
        <f>IF(OR($E1964="",$E1964="نامعتبر"),"",IF(Sync!$V1961="","",IFERROR(INDEX(SubCodes,MATCH(Sync!$V1961,SubTitles,0)),Sync!$V1961)))</f>
        <v/>
      </c>
      <c r="L1964">
        <f>IF(OR($E1964="",$E1964="نامعتبر"),"",IF(Sync!$W1961="",0,Sync!$W1961))</f>
        <v/>
      </c>
      <c r="M1964">
        <f>IF(OR($E1964="",$E1964="نامعتبر"),"",IF(Sync!$X1961="",0,Sync!$X1961))</f>
        <v/>
      </c>
      <c r="N1964">
        <f>IF(OR($E1964="",$E1964="نامعتبر"),"",IF(AND($J1964="هزینه",$K1964&lt;&gt;""),1,0))</f>
        <v/>
      </c>
      <c r="O1964">
        <f>IF($N1964=0,"",LEFT($E1964,4)&amp;MID($E1964,6,2)&amp;RIGHT($E1964,2)&amp;$F1964&amp;"|"&amp;"1"&amp;RIGHT("00000"&amp;1956,5))</f>
        <v/>
      </c>
      <c r="P1964">
        <f>IF($O1964="","",COUNTIFS(ExpSub,$K1964,ExpKey,"&lt;"&amp;$O1964)+1)</f>
        <v/>
      </c>
      <c r="Q1964">
        <f>IF($P1964="","",$K1964&amp;"|"&amp;RIGHT("000000"&amp;$P1964,6))</f>
        <v/>
      </c>
    </row>
    <row r="1965">
      <c r="A1965">
        <f>IF(Sync!$P1962="","",Sync!$P1962)</f>
        <v/>
      </c>
      <c r="B1965">
        <f>IF($A1965="","",IF(ISNUMBER($A1965),IF(AND($A1965&gt;=10000101,$A1965&lt;=99991231),INT($A1965/10000),""),IFERROR(VALUE(TRIM(LEFT($A1965,FIND("/",$A1965)-1))),"")))</f>
        <v/>
      </c>
      <c r="C1965">
        <f>IF(OR($A1965="",$B1965=""),"",IF(ISNUMBER($A1965),INT(MOD($A1965,10000)/100),IFERROR(VALUE(TRIM(LEFT(MID($A1965,FIND("/",$A1965)+1,20),FIND("/",MID($A1965,FIND("/",$A1965)+1,20))-1))),"")))</f>
        <v/>
      </c>
      <c r="D1965">
        <f>IF(OR($A1965="",$B1965=""),"",IF(ISNUMBER($A1965),MOD($A1965,100),IFERROR(VALUE(TRIM(MID(MID($A1965,FIND("/",$A1965)+1,20),FIND("/",MID($A1965,FIND("/",$A1965)+1,20))+1,20))),"")))</f>
        <v/>
      </c>
      <c r="E1965">
        <f>IF($A1965="","",IF(OR($B1965="",$C1965="",$D1965="",$B1965&lt;1300,$B1965&gt;1500,$C1965&lt;1,$C1965&gt;12,$D1965&lt;1,$D1965&gt;31),"نامعتبر",RIGHT("0000"&amp;$B1965,4)&amp;"/"&amp;RIGHT("00"&amp;$C1965,2)&amp;"/"&amp;RIGHT("00"&amp;$D1965,2)))</f>
        <v/>
      </c>
      <c r="F1965">
        <f>IF(OR($E1965="",$E1965="نامعتبر"),"",IF(Sync!$Q1962="","0000",IF(AND(ISNUMBER(Sync!$Q1962),Sync!$Q1962&gt;=0,Sync!$Q1962&lt;1),RIGHT("00"&amp;HOUR(Sync!$Q1962),2)&amp;RIGHT("00"&amp;MINUTE(Sync!$Q1962),2),IFERROR(RIGHT("00"&amp;VALUE(LEFT(Sync!$Q1962,FIND(":",Sync!$Q1962)-1)),2)&amp;RIGHT("00"&amp;VALUE(MID(Sync!$Q1962,FIND(":",Sync!$Q1962)+1,2)),2),"0000"))))</f>
        <v/>
      </c>
      <c r="G1965">
        <f>IF(OR($E1965="",$E1965="نامعتبر"),"",IF(Sync!$S1962="","",Sync!$S1962))</f>
        <v/>
      </c>
      <c r="H1965">
        <f>IF(OR($E1965="",$E1965="نامعتبر"),"",IF(Sync!$R1962="","",Sync!$R1962))</f>
        <v/>
      </c>
      <c r="I1965">
        <f>IF(OR($E1965="",$E1965="نامعتبر"),"",IF(Sync!$T1962="","",Sync!$T1962))</f>
        <v/>
      </c>
      <c r="J1965">
        <f>IF(OR($E1965="",$E1965="نامعتبر"),"",IF(Sync!$U1962="","",Sync!$U1962))</f>
        <v/>
      </c>
      <c r="K1965">
        <f>IF(OR($E1965="",$E1965="نامعتبر"),"",IF(Sync!$V1962="","",IFERROR(INDEX(SubCodes,MATCH(Sync!$V1962,SubTitles,0)),Sync!$V1962)))</f>
        <v/>
      </c>
      <c r="L1965">
        <f>IF(OR($E1965="",$E1965="نامعتبر"),"",IF(Sync!$W1962="",0,Sync!$W1962))</f>
        <v/>
      </c>
      <c r="M1965">
        <f>IF(OR($E1965="",$E1965="نامعتبر"),"",IF(Sync!$X1962="",0,Sync!$X1962))</f>
        <v/>
      </c>
      <c r="N1965">
        <f>IF(OR($E1965="",$E1965="نامعتبر"),"",IF(AND($J1965="هزینه",$K1965&lt;&gt;""),1,0))</f>
        <v/>
      </c>
      <c r="O1965">
        <f>IF($N1965=0,"",LEFT($E1965,4)&amp;MID($E1965,6,2)&amp;RIGHT($E1965,2)&amp;$F1965&amp;"|"&amp;"1"&amp;RIGHT("00000"&amp;1957,5))</f>
        <v/>
      </c>
      <c r="P1965">
        <f>IF($O1965="","",COUNTIFS(ExpSub,$K1965,ExpKey,"&lt;"&amp;$O1965)+1)</f>
        <v/>
      </c>
      <c r="Q1965">
        <f>IF($P1965="","",$K1965&amp;"|"&amp;RIGHT("000000"&amp;$P1965,6))</f>
        <v/>
      </c>
    </row>
    <row r="1966">
      <c r="A1966">
        <f>IF(Sync!$P1963="","",Sync!$P1963)</f>
        <v/>
      </c>
      <c r="B1966">
        <f>IF($A1966="","",IF(ISNUMBER($A1966),IF(AND($A1966&gt;=10000101,$A1966&lt;=99991231),INT($A1966/10000),""),IFERROR(VALUE(TRIM(LEFT($A1966,FIND("/",$A1966)-1))),"")))</f>
        <v/>
      </c>
      <c r="C1966">
        <f>IF(OR($A1966="",$B1966=""),"",IF(ISNUMBER($A1966),INT(MOD($A1966,10000)/100),IFERROR(VALUE(TRIM(LEFT(MID($A1966,FIND("/",$A1966)+1,20),FIND("/",MID($A1966,FIND("/",$A1966)+1,20))-1))),"")))</f>
        <v/>
      </c>
      <c r="D1966">
        <f>IF(OR($A1966="",$B1966=""),"",IF(ISNUMBER($A1966),MOD($A1966,100),IFERROR(VALUE(TRIM(MID(MID($A1966,FIND("/",$A1966)+1,20),FIND("/",MID($A1966,FIND("/",$A1966)+1,20))+1,20))),"")))</f>
        <v/>
      </c>
      <c r="E1966">
        <f>IF($A1966="","",IF(OR($B1966="",$C1966="",$D1966="",$B1966&lt;1300,$B1966&gt;1500,$C1966&lt;1,$C1966&gt;12,$D1966&lt;1,$D1966&gt;31),"نامعتبر",RIGHT("0000"&amp;$B1966,4)&amp;"/"&amp;RIGHT("00"&amp;$C1966,2)&amp;"/"&amp;RIGHT("00"&amp;$D1966,2)))</f>
        <v/>
      </c>
      <c r="F1966">
        <f>IF(OR($E1966="",$E1966="نامعتبر"),"",IF(Sync!$Q1963="","0000",IF(AND(ISNUMBER(Sync!$Q1963),Sync!$Q1963&gt;=0,Sync!$Q1963&lt;1),RIGHT("00"&amp;HOUR(Sync!$Q1963),2)&amp;RIGHT("00"&amp;MINUTE(Sync!$Q1963),2),IFERROR(RIGHT("00"&amp;VALUE(LEFT(Sync!$Q1963,FIND(":",Sync!$Q1963)-1)),2)&amp;RIGHT("00"&amp;VALUE(MID(Sync!$Q1963,FIND(":",Sync!$Q1963)+1,2)),2),"0000"))))</f>
        <v/>
      </c>
      <c r="G1966">
        <f>IF(OR($E1966="",$E1966="نامعتبر"),"",IF(Sync!$S1963="","",Sync!$S1963))</f>
        <v/>
      </c>
      <c r="H1966">
        <f>IF(OR($E1966="",$E1966="نامعتبر"),"",IF(Sync!$R1963="","",Sync!$R1963))</f>
        <v/>
      </c>
      <c r="I1966">
        <f>IF(OR($E1966="",$E1966="نامعتبر"),"",IF(Sync!$T1963="","",Sync!$T1963))</f>
        <v/>
      </c>
      <c r="J1966">
        <f>IF(OR($E1966="",$E1966="نامعتبر"),"",IF(Sync!$U1963="","",Sync!$U1963))</f>
        <v/>
      </c>
      <c r="K1966">
        <f>IF(OR($E1966="",$E1966="نامعتبر"),"",IF(Sync!$V1963="","",IFERROR(INDEX(SubCodes,MATCH(Sync!$V1963,SubTitles,0)),Sync!$V1963)))</f>
        <v/>
      </c>
      <c r="L1966">
        <f>IF(OR($E1966="",$E1966="نامعتبر"),"",IF(Sync!$W1963="",0,Sync!$W1963))</f>
        <v/>
      </c>
      <c r="M1966">
        <f>IF(OR($E1966="",$E1966="نامعتبر"),"",IF(Sync!$X1963="",0,Sync!$X1963))</f>
        <v/>
      </c>
      <c r="N1966">
        <f>IF(OR($E1966="",$E1966="نامعتبر"),"",IF(AND($J1966="هزینه",$K1966&lt;&gt;""),1,0))</f>
        <v/>
      </c>
      <c r="O1966">
        <f>IF($N1966=0,"",LEFT($E1966,4)&amp;MID($E1966,6,2)&amp;RIGHT($E1966,2)&amp;$F1966&amp;"|"&amp;"1"&amp;RIGHT("00000"&amp;1958,5))</f>
        <v/>
      </c>
      <c r="P1966">
        <f>IF($O1966="","",COUNTIFS(ExpSub,$K1966,ExpKey,"&lt;"&amp;$O1966)+1)</f>
        <v/>
      </c>
      <c r="Q1966">
        <f>IF($P1966="","",$K1966&amp;"|"&amp;RIGHT("000000"&amp;$P1966,6))</f>
        <v/>
      </c>
    </row>
    <row r="1967">
      <c r="A1967">
        <f>IF(Sync!$P1964="","",Sync!$P1964)</f>
        <v/>
      </c>
      <c r="B1967">
        <f>IF($A1967="","",IF(ISNUMBER($A1967),IF(AND($A1967&gt;=10000101,$A1967&lt;=99991231),INT($A1967/10000),""),IFERROR(VALUE(TRIM(LEFT($A1967,FIND("/",$A1967)-1))),"")))</f>
        <v/>
      </c>
      <c r="C1967">
        <f>IF(OR($A1967="",$B1967=""),"",IF(ISNUMBER($A1967),INT(MOD($A1967,10000)/100),IFERROR(VALUE(TRIM(LEFT(MID($A1967,FIND("/",$A1967)+1,20),FIND("/",MID($A1967,FIND("/",$A1967)+1,20))-1))),"")))</f>
        <v/>
      </c>
      <c r="D1967">
        <f>IF(OR($A1967="",$B1967=""),"",IF(ISNUMBER($A1967),MOD($A1967,100),IFERROR(VALUE(TRIM(MID(MID($A1967,FIND("/",$A1967)+1,20),FIND("/",MID($A1967,FIND("/",$A1967)+1,20))+1,20))),"")))</f>
        <v/>
      </c>
      <c r="E1967">
        <f>IF($A1967="","",IF(OR($B1967="",$C1967="",$D1967="",$B1967&lt;1300,$B1967&gt;1500,$C1967&lt;1,$C1967&gt;12,$D1967&lt;1,$D1967&gt;31),"نامعتبر",RIGHT("0000"&amp;$B1967,4)&amp;"/"&amp;RIGHT("00"&amp;$C1967,2)&amp;"/"&amp;RIGHT("00"&amp;$D1967,2)))</f>
        <v/>
      </c>
      <c r="F1967">
        <f>IF(OR($E1967="",$E1967="نامعتبر"),"",IF(Sync!$Q1964="","0000",IF(AND(ISNUMBER(Sync!$Q1964),Sync!$Q1964&gt;=0,Sync!$Q1964&lt;1),RIGHT("00"&amp;HOUR(Sync!$Q1964),2)&amp;RIGHT("00"&amp;MINUTE(Sync!$Q1964),2),IFERROR(RIGHT("00"&amp;VALUE(LEFT(Sync!$Q1964,FIND(":",Sync!$Q1964)-1)),2)&amp;RIGHT("00"&amp;VALUE(MID(Sync!$Q1964,FIND(":",Sync!$Q1964)+1,2)),2),"0000"))))</f>
        <v/>
      </c>
      <c r="G1967">
        <f>IF(OR($E1967="",$E1967="نامعتبر"),"",IF(Sync!$S1964="","",Sync!$S1964))</f>
        <v/>
      </c>
      <c r="H1967">
        <f>IF(OR($E1967="",$E1967="نامعتبر"),"",IF(Sync!$R1964="","",Sync!$R1964))</f>
        <v/>
      </c>
      <c r="I1967">
        <f>IF(OR($E1967="",$E1967="نامعتبر"),"",IF(Sync!$T1964="","",Sync!$T1964))</f>
        <v/>
      </c>
      <c r="J1967">
        <f>IF(OR($E1967="",$E1967="نامعتبر"),"",IF(Sync!$U1964="","",Sync!$U1964))</f>
        <v/>
      </c>
      <c r="K1967">
        <f>IF(OR($E1967="",$E1967="نامعتبر"),"",IF(Sync!$V1964="","",IFERROR(INDEX(SubCodes,MATCH(Sync!$V1964,SubTitles,0)),Sync!$V1964)))</f>
        <v/>
      </c>
      <c r="L1967">
        <f>IF(OR($E1967="",$E1967="نامعتبر"),"",IF(Sync!$W1964="",0,Sync!$W1964))</f>
        <v/>
      </c>
      <c r="M1967">
        <f>IF(OR($E1967="",$E1967="نامعتبر"),"",IF(Sync!$X1964="",0,Sync!$X1964))</f>
        <v/>
      </c>
      <c r="N1967">
        <f>IF(OR($E1967="",$E1967="نامعتبر"),"",IF(AND($J1967="هزینه",$K1967&lt;&gt;""),1,0))</f>
        <v/>
      </c>
      <c r="O1967">
        <f>IF($N1967=0,"",LEFT($E1967,4)&amp;MID($E1967,6,2)&amp;RIGHT($E1967,2)&amp;$F1967&amp;"|"&amp;"1"&amp;RIGHT("00000"&amp;1959,5))</f>
        <v/>
      </c>
      <c r="P1967">
        <f>IF($O1967="","",COUNTIFS(ExpSub,$K1967,ExpKey,"&lt;"&amp;$O1967)+1)</f>
        <v/>
      </c>
      <c r="Q1967">
        <f>IF($P1967="","",$K1967&amp;"|"&amp;RIGHT("000000"&amp;$P1967,6))</f>
        <v/>
      </c>
    </row>
    <row r="1968">
      <c r="A1968">
        <f>IF(Sync!$P1965="","",Sync!$P1965)</f>
        <v/>
      </c>
      <c r="B1968">
        <f>IF($A1968="","",IF(ISNUMBER($A1968),IF(AND($A1968&gt;=10000101,$A1968&lt;=99991231),INT($A1968/10000),""),IFERROR(VALUE(TRIM(LEFT($A1968,FIND("/",$A1968)-1))),"")))</f>
        <v/>
      </c>
      <c r="C1968">
        <f>IF(OR($A1968="",$B1968=""),"",IF(ISNUMBER($A1968),INT(MOD($A1968,10000)/100),IFERROR(VALUE(TRIM(LEFT(MID($A1968,FIND("/",$A1968)+1,20),FIND("/",MID($A1968,FIND("/",$A1968)+1,20))-1))),"")))</f>
        <v/>
      </c>
      <c r="D1968">
        <f>IF(OR($A1968="",$B1968=""),"",IF(ISNUMBER($A1968),MOD($A1968,100),IFERROR(VALUE(TRIM(MID(MID($A1968,FIND("/",$A1968)+1,20),FIND("/",MID($A1968,FIND("/",$A1968)+1,20))+1,20))),"")))</f>
        <v/>
      </c>
      <c r="E1968">
        <f>IF($A1968="","",IF(OR($B1968="",$C1968="",$D1968="",$B1968&lt;1300,$B1968&gt;1500,$C1968&lt;1,$C1968&gt;12,$D1968&lt;1,$D1968&gt;31),"نامعتبر",RIGHT("0000"&amp;$B1968,4)&amp;"/"&amp;RIGHT("00"&amp;$C1968,2)&amp;"/"&amp;RIGHT("00"&amp;$D1968,2)))</f>
        <v/>
      </c>
      <c r="F1968">
        <f>IF(OR($E1968="",$E1968="نامعتبر"),"",IF(Sync!$Q1965="","0000",IF(AND(ISNUMBER(Sync!$Q1965),Sync!$Q1965&gt;=0,Sync!$Q1965&lt;1),RIGHT("00"&amp;HOUR(Sync!$Q1965),2)&amp;RIGHT("00"&amp;MINUTE(Sync!$Q1965),2),IFERROR(RIGHT("00"&amp;VALUE(LEFT(Sync!$Q1965,FIND(":",Sync!$Q1965)-1)),2)&amp;RIGHT("00"&amp;VALUE(MID(Sync!$Q1965,FIND(":",Sync!$Q1965)+1,2)),2),"0000"))))</f>
        <v/>
      </c>
      <c r="G1968">
        <f>IF(OR($E1968="",$E1968="نامعتبر"),"",IF(Sync!$S1965="","",Sync!$S1965))</f>
        <v/>
      </c>
      <c r="H1968">
        <f>IF(OR($E1968="",$E1968="نامعتبر"),"",IF(Sync!$R1965="","",Sync!$R1965))</f>
        <v/>
      </c>
      <c r="I1968">
        <f>IF(OR($E1968="",$E1968="نامعتبر"),"",IF(Sync!$T1965="","",Sync!$T1965))</f>
        <v/>
      </c>
      <c r="J1968">
        <f>IF(OR($E1968="",$E1968="نامعتبر"),"",IF(Sync!$U1965="","",Sync!$U1965))</f>
        <v/>
      </c>
      <c r="K1968">
        <f>IF(OR($E1968="",$E1968="نامعتبر"),"",IF(Sync!$V1965="","",IFERROR(INDEX(SubCodes,MATCH(Sync!$V1965,SubTitles,0)),Sync!$V1965)))</f>
        <v/>
      </c>
      <c r="L1968">
        <f>IF(OR($E1968="",$E1968="نامعتبر"),"",IF(Sync!$W1965="",0,Sync!$W1965))</f>
        <v/>
      </c>
      <c r="M1968">
        <f>IF(OR($E1968="",$E1968="نامعتبر"),"",IF(Sync!$X1965="",0,Sync!$X1965))</f>
        <v/>
      </c>
      <c r="N1968">
        <f>IF(OR($E1968="",$E1968="نامعتبر"),"",IF(AND($J1968="هزینه",$K1968&lt;&gt;""),1,0))</f>
        <v/>
      </c>
      <c r="O1968">
        <f>IF($N1968=0,"",LEFT($E1968,4)&amp;MID($E1968,6,2)&amp;RIGHT($E1968,2)&amp;$F1968&amp;"|"&amp;"1"&amp;RIGHT("00000"&amp;1960,5))</f>
        <v/>
      </c>
      <c r="P1968">
        <f>IF($O1968="","",COUNTIFS(ExpSub,$K1968,ExpKey,"&lt;"&amp;$O1968)+1)</f>
        <v/>
      </c>
      <c r="Q1968">
        <f>IF($P1968="","",$K1968&amp;"|"&amp;RIGHT("000000"&amp;$P1968,6))</f>
        <v/>
      </c>
    </row>
    <row r="1969">
      <c r="A1969">
        <f>IF(Sync!$P1966="","",Sync!$P1966)</f>
        <v/>
      </c>
      <c r="B1969">
        <f>IF($A1969="","",IF(ISNUMBER($A1969),IF(AND($A1969&gt;=10000101,$A1969&lt;=99991231),INT($A1969/10000),""),IFERROR(VALUE(TRIM(LEFT($A1969,FIND("/",$A1969)-1))),"")))</f>
        <v/>
      </c>
      <c r="C1969">
        <f>IF(OR($A1969="",$B1969=""),"",IF(ISNUMBER($A1969),INT(MOD($A1969,10000)/100),IFERROR(VALUE(TRIM(LEFT(MID($A1969,FIND("/",$A1969)+1,20),FIND("/",MID($A1969,FIND("/",$A1969)+1,20))-1))),"")))</f>
        <v/>
      </c>
      <c r="D1969">
        <f>IF(OR($A1969="",$B1969=""),"",IF(ISNUMBER($A1969),MOD($A1969,100),IFERROR(VALUE(TRIM(MID(MID($A1969,FIND("/",$A1969)+1,20),FIND("/",MID($A1969,FIND("/",$A1969)+1,20))+1,20))),"")))</f>
        <v/>
      </c>
      <c r="E1969">
        <f>IF($A1969="","",IF(OR($B1969="",$C1969="",$D1969="",$B1969&lt;1300,$B1969&gt;1500,$C1969&lt;1,$C1969&gt;12,$D1969&lt;1,$D1969&gt;31),"نامعتبر",RIGHT("0000"&amp;$B1969,4)&amp;"/"&amp;RIGHT("00"&amp;$C1969,2)&amp;"/"&amp;RIGHT("00"&amp;$D1969,2)))</f>
        <v/>
      </c>
      <c r="F1969">
        <f>IF(OR($E1969="",$E1969="نامعتبر"),"",IF(Sync!$Q1966="","0000",IF(AND(ISNUMBER(Sync!$Q1966),Sync!$Q1966&gt;=0,Sync!$Q1966&lt;1),RIGHT("00"&amp;HOUR(Sync!$Q1966),2)&amp;RIGHT("00"&amp;MINUTE(Sync!$Q1966),2),IFERROR(RIGHT("00"&amp;VALUE(LEFT(Sync!$Q1966,FIND(":",Sync!$Q1966)-1)),2)&amp;RIGHT("00"&amp;VALUE(MID(Sync!$Q1966,FIND(":",Sync!$Q1966)+1,2)),2),"0000"))))</f>
        <v/>
      </c>
      <c r="G1969">
        <f>IF(OR($E1969="",$E1969="نامعتبر"),"",IF(Sync!$S1966="","",Sync!$S1966))</f>
        <v/>
      </c>
      <c r="H1969">
        <f>IF(OR($E1969="",$E1969="نامعتبر"),"",IF(Sync!$R1966="","",Sync!$R1966))</f>
        <v/>
      </c>
      <c r="I1969">
        <f>IF(OR($E1969="",$E1969="نامعتبر"),"",IF(Sync!$T1966="","",Sync!$T1966))</f>
        <v/>
      </c>
      <c r="J1969">
        <f>IF(OR($E1969="",$E1969="نامعتبر"),"",IF(Sync!$U1966="","",Sync!$U1966))</f>
        <v/>
      </c>
      <c r="K1969">
        <f>IF(OR($E1969="",$E1969="نامعتبر"),"",IF(Sync!$V1966="","",IFERROR(INDEX(SubCodes,MATCH(Sync!$V1966,SubTitles,0)),Sync!$V1966)))</f>
        <v/>
      </c>
      <c r="L1969">
        <f>IF(OR($E1969="",$E1969="نامعتبر"),"",IF(Sync!$W1966="",0,Sync!$W1966))</f>
        <v/>
      </c>
      <c r="M1969">
        <f>IF(OR($E1969="",$E1969="نامعتبر"),"",IF(Sync!$X1966="",0,Sync!$X1966))</f>
        <v/>
      </c>
      <c r="N1969">
        <f>IF(OR($E1969="",$E1969="نامعتبر"),"",IF(AND($J1969="هزینه",$K1969&lt;&gt;""),1,0))</f>
        <v/>
      </c>
      <c r="O1969">
        <f>IF($N1969=0,"",LEFT($E1969,4)&amp;MID($E1969,6,2)&amp;RIGHT($E1969,2)&amp;$F1969&amp;"|"&amp;"1"&amp;RIGHT("00000"&amp;1961,5))</f>
        <v/>
      </c>
      <c r="P1969">
        <f>IF($O1969="","",COUNTIFS(ExpSub,$K1969,ExpKey,"&lt;"&amp;$O1969)+1)</f>
        <v/>
      </c>
      <c r="Q1969">
        <f>IF($P1969="","",$K1969&amp;"|"&amp;RIGHT("000000"&amp;$P1969,6))</f>
        <v/>
      </c>
    </row>
    <row r="1970">
      <c r="A1970">
        <f>IF(Sync!$P1967="","",Sync!$P1967)</f>
        <v/>
      </c>
      <c r="B1970">
        <f>IF($A1970="","",IF(ISNUMBER($A1970),IF(AND($A1970&gt;=10000101,$A1970&lt;=99991231),INT($A1970/10000),""),IFERROR(VALUE(TRIM(LEFT($A1970,FIND("/",$A1970)-1))),"")))</f>
        <v/>
      </c>
      <c r="C1970">
        <f>IF(OR($A1970="",$B1970=""),"",IF(ISNUMBER($A1970),INT(MOD($A1970,10000)/100),IFERROR(VALUE(TRIM(LEFT(MID($A1970,FIND("/",$A1970)+1,20),FIND("/",MID($A1970,FIND("/",$A1970)+1,20))-1))),"")))</f>
        <v/>
      </c>
      <c r="D1970">
        <f>IF(OR($A1970="",$B1970=""),"",IF(ISNUMBER($A1970),MOD($A1970,100),IFERROR(VALUE(TRIM(MID(MID($A1970,FIND("/",$A1970)+1,20),FIND("/",MID($A1970,FIND("/",$A1970)+1,20))+1,20))),"")))</f>
        <v/>
      </c>
      <c r="E1970">
        <f>IF($A1970="","",IF(OR($B1970="",$C1970="",$D1970="",$B1970&lt;1300,$B1970&gt;1500,$C1970&lt;1,$C1970&gt;12,$D1970&lt;1,$D1970&gt;31),"نامعتبر",RIGHT("0000"&amp;$B1970,4)&amp;"/"&amp;RIGHT("00"&amp;$C1970,2)&amp;"/"&amp;RIGHT("00"&amp;$D1970,2)))</f>
        <v/>
      </c>
      <c r="F1970">
        <f>IF(OR($E1970="",$E1970="نامعتبر"),"",IF(Sync!$Q1967="","0000",IF(AND(ISNUMBER(Sync!$Q1967),Sync!$Q1967&gt;=0,Sync!$Q1967&lt;1),RIGHT("00"&amp;HOUR(Sync!$Q1967),2)&amp;RIGHT("00"&amp;MINUTE(Sync!$Q1967),2),IFERROR(RIGHT("00"&amp;VALUE(LEFT(Sync!$Q1967,FIND(":",Sync!$Q1967)-1)),2)&amp;RIGHT("00"&amp;VALUE(MID(Sync!$Q1967,FIND(":",Sync!$Q1967)+1,2)),2),"0000"))))</f>
        <v/>
      </c>
      <c r="G1970">
        <f>IF(OR($E1970="",$E1970="نامعتبر"),"",IF(Sync!$S1967="","",Sync!$S1967))</f>
        <v/>
      </c>
      <c r="H1970">
        <f>IF(OR($E1970="",$E1970="نامعتبر"),"",IF(Sync!$R1967="","",Sync!$R1967))</f>
        <v/>
      </c>
      <c r="I1970">
        <f>IF(OR($E1970="",$E1970="نامعتبر"),"",IF(Sync!$T1967="","",Sync!$T1967))</f>
        <v/>
      </c>
      <c r="J1970">
        <f>IF(OR($E1970="",$E1970="نامعتبر"),"",IF(Sync!$U1967="","",Sync!$U1967))</f>
        <v/>
      </c>
      <c r="K1970">
        <f>IF(OR($E1970="",$E1970="نامعتبر"),"",IF(Sync!$V1967="","",IFERROR(INDEX(SubCodes,MATCH(Sync!$V1967,SubTitles,0)),Sync!$V1967)))</f>
        <v/>
      </c>
      <c r="L1970">
        <f>IF(OR($E1970="",$E1970="نامعتبر"),"",IF(Sync!$W1967="",0,Sync!$W1967))</f>
        <v/>
      </c>
      <c r="M1970">
        <f>IF(OR($E1970="",$E1970="نامعتبر"),"",IF(Sync!$X1967="",0,Sync!$X1967))</f>
        <v/>
      </c>
      <c r="N1970">
        <f>IF(OR($E1970="",$E1970="نامعتبر"),"",IF(AND($J1970="هزینه",$K1970&lt;&gt;""),1,0))</f>
        <v/>
      </c>
      <c r="O1970">
        <f>IF($N1970=0,"",LEFT($E1970,4)&amp;MID($E1970,6,2)&amp;RIGHT($E1970,2)&amp;$F1970&amp;"|"&amp;"1"&amp;RIGHT("00000"&amp;1962,5))</f>
        <v/>
      </c>
      <c r="P1970">
        <f>IF($O1970="","",COUNTIFS(ExpSub,$K1970,ExpKey,"&lt;"&amp;$O1970)+1)</f>
        <v/>
      </c>
      <c r="Q1970">
        <f>IF($P1970="","",$K1970&amp;"|"&amp;RIGHT("000000"&amp;$P1970,6))</f>
        <v/>
      </c>
    </row>
    <row r="1971">
      <c r="A1971">
        <f>IF(Sync!$P1968="","",Sync!$P1968)</f>
        <v/>
      </c>
      <c r="B1971">
        <f>IF($A1971="","",IF(ISNUMBER($A1971),IF(AND($A1971&gt;=10000101,$A1971&lt;=99991231),INT($A1971/10000),""),IFERROR(VALUE(TRIM(LEFT($A1971,FIND("/",$A1971)-1))),"")))</f>
        <v/>
      </c>
      <c r="C1971">
        <f>IF(OR($A1971="",$B1971=""),"",IF(ISNUMBER($A1971),INT(MOD($A1971,10000)/100),IFERROR(VALUE(TRIM(LEFT(MID($A1971,FIND("/",$A1971)+1,20),FIND("/",MID($A1971,FIND("/",$A1971)+1,20))-1))),"")))</f>
        <v/>
      </c>
      <c r="D1971">
        <f>IF(OR($A1971="",$B1971=""),"",IF(ISNUMBER($A1971),MOD($A1971,100),IFERROR(VALUE(TRIM(MID(MID($A1971,FIND("/",$A1971)+1,20),FIND("/",MID($A1971,FIND("/",$A1971)+1,20))+1,20))),"")))</f>
        <v/>
      </c>
      <c r="E1971">
        <f>IF($A1971="","",IF(OR($B1971="",$C1971="",$D1971="",$B1971&lt;1300,$B1971&gt;1500,$C1971&lt;1,$C1971&gt;12,$D1971&lt;1,$D1971&gt;31),"نامعتبر",RIGHT("0000"&amp;$B1971,4)&amp;"/"&amp;RIGHT("00"&amp;$C1971,2)&amp;"/"&amp;RIGHT("00"&amp;$D1971,2)))</f>
        <v/>
      </c>
      <c r="F1971">
        <f>IF(OR($E1971="",$E1971="نامعتبر"),"",IF(Sync!$Q1968="","0000",IF(AND(ISNUMBER(Sync!$Q1968),Sync!$Q1968&gt;=0,Sync!$Q1968&lt;1),RIGHT("00"&amp;HOUR(Sync!$Q1968),2)&amp;RIGHT("00"&amp;MINUTE(Sync!$Q1968),2),IFERROR(RIGHT("00"&amp;VALUE(LEFT(Sync!$Q1968,FIND(":",Sync!$Q1968)-1)),2)&amp;RIGHT("00"&amp;VALUE(MID(Sync!$Q1968,FIND(":",Sync!$Q1968)+1,2)),2),"0000"))))</f>
        <v/>
      </c>
      <c r="G1971">
        <f>IF(OR($E1971="",$E1971="نامعتبر"),"",IF(Sync!$S1968="","",Sync!$S1968))</f>
        <v/>
      </c>
      <c r="H1971">
        <f>IF(OR($E1971="",$E1971="نامعتبر"),"",IF(Sync!$R1968="","",Sync!$R1968))</f>
        <v/>
      </c>
      <c r="I1971">
        <f>IF(OR($E1971="",$E1971="نامعتبر"),"",IF(Sync!$T1968="","",Sync!$T1968))</f>
        <v/>
      </c>
      <c r="J1971">
        <f>IF(OR($E1971="",$E1971="نامعتبر"),"",IF(Sync!$U1968="","",Sync!$U1968))</f>
        <v/>
      </c>
      <c r="K1971">
        <f>IF(OR($E1971="",$E1971="نامعتبر"),"",IF(Sync!$V1968="","",IFERROR(INDEX(SubCodes,MATCH(Sync!$V1968,SubTitles,0)),Sync!$V1968)))</f>
        <v/>
      </c>
      <c r="L1971">
        <f>IF(OR($E1971="",$E1971="نامعتبر"),"",IF(Sync!$W1968="",0,Sync!$W1968))</f>
        <v/>
      </c>
      <c r="M1971">
        <f>IF(OR($E1971="",$E1971="نامعتبر"),"",IF(Sync!$X1968="",0,Sync!$X1968))</f>
        <v/>
      </c>
      <c r="N1971">
        <f>IF(OR($E1971="",$E1971="نامعتبر"),"",IF(AND($J1971="هزینه",$K1971&lt;&gt;""),1,0))</f>
        <v/>
      </c>
      <c r="O1971">
        <f>IF($N1971=0,"",LEFT($E1971,4)&amp;MID($E1971,6,2)&amp;RIGHT($E1971,2)&amp;$F1971&amp;"|"&amp;"1"&amp;RIGHT("00000"&amp;1963,5))</f>
        <v/>
      </c>
      <c r="P1971">
        <f>IF($O1971="","",COUNTIFS(ExpSub,$K1971,ExpKey,"&lt;"&amp;$O1971)+1)</f>
        <v/>
      </c>
      <c r="Q1971">
        <f>IF($P1971="","",$K1971&amp;"|"&amp;RIGHT("000000"&amp;$P1971,6))</f>
        <v/>
      </c>
    </row>
    <row r="1972">
      <c r="A1972">
        <f>IF(Sync!$P1969="","",Sync!$P1969)</f>
        <v/>
      </c>
      <c r="B1972">
        <f>IF($A1972="","",IF(ISNUMBER($A1972),IF(AND($A1972&gt;=10000101,$A1972&lt;=99991231),INT($A1972/10000),""),IFERROR(VALUE(TRIM(LEFT($A1972,FIND("/",$A1972)-1))),"")))</f>
        <v/>
      </c>
      <c r="C1972">
        <f>IF(OR($A1972="",$B1972=""),"",IF(ISNUMBER($A1972),INT(MOD($A1972,10000)/100),IFERROR(VALUE(TRIM(LEFT(MID($A1972,FIND("/",$A1972)+1,20),FIND("/",MID($A1972,FIND("/",$A1972)+1,20))-1))),"")))</f>
        <v/>
      </c>
      <c r="D1972">
        <f>IF(OR($A1972="",$B1972=""),"",IF(ISNUMBER($A1972),MOD($A1972,100),IFERROR(VALUE(TRIM(MID(MID($A1972,FIND("/",$A1972)+1,20),FIND("/",MID($A1972,FIND("/",$A1972)+1,20))+1,20))),"")))</f>
        <v/>
      </c>
      <c r="E1972">
        <f>IF($A1972="","",IF(OR($B1972="",$C1972="",$D1972="",$B1972&lt;1300,$B1972&gt;1500,$C1972&lt;1,$C1972&gt;12,$D1972&lt;1,$D1972&gt;31),"نامعتبر",RIGHT("0000"&amp;$B1972,4)&amp;"/"&amp;RIGHT("00"&amp;$C1972,2)&amp;"/"&amp;RIGHT("00"&amp;$D1972,2)))</f>
        <v/>
      </c>
      <c r="F1972">
        <f>IF(OR($E1972="",$E1972="نامعتبر"),"",IF(Sync!$Q1969="","0000",IF(AND(ISNUMBER(Sync!$Q1969),Sync!$Q1969&gt;=0,Sync!$Q1969&lt;1),RIGHT("00"&amp;HOUR(Sync!$Q1969),2)&amp;RIGHT("00"&amp;MINUTE(Sync!$Q1969),2),IFERROR(RIGHT("00"&amp;VALUE(LEFT(Sync!$Q1969,FIND(":",Sync!$Q1969)-1)),2)&amp;RIGHT("00"&amp;VALUE(MID(Sync!$Q1969,FIND(":",Sync!$Q1969)+1,2)),2),"0000"))))</f>
        <v/>
      </c>
      <c r="G1972">
        <f>IF(OR($E1972="",$E1972="نامعتبر"),"",IF(Sync!$S1969="","",Sync!$S1969))</f>
        <v/>
      </c>
      <c r="H1972">
        <f>IF(OR($E1972="",$E1972="نامعتبر"),"",IF(Sync!$R1969="","",Sync!$R1969))</f>
        <v/>
      </c>
      <c r="I1972">
        <f>IF(OR($E1972="",$E1972="نامعتبر"),"",IF(Sync!$T1969="","",Sync!$T1969))</f>
        <v/>
      </c>
      <c r="J1972">
        <f>IF(OR($E1972="",$E1972="نامعتبر"),"",IF(Sync!$U1969="","",Sync!$U1969))</f>
        <v/>
      </c>
      <c r="K1972">
        <f>IF(OR($E1972="",$E1972="نامعتبر"),"",IF(Sync!$V1969="","",IFERROR(INDEX(SubCodes,MATCH(Sync!$V1969,SubTitles,0)),Sync!$V1969)))</f>
        <v/>
      </c>
      <c r="L1972">
        <f>IF(OR($E1972="",$E1972="نامعتبر"),"",IF(Sync!$W1969="",0,Sync!$W1969))</f>
        <v/>
      </c>
      <c r="M1972">
        <f>IF(OR($E1972="",$E1972="نامعتبر"),"",IF(Sync!$X1969="",0,Sync!$X1969))</f>
        <v/>
      </c>
      <c r="N1972">
        <f>IF(OR($E1972="",$E1972="نامعتبر"),"",IF(AND($J1972="هزینه",$K1972&lt;&gt;""),1,0))</f>
        <v/>
      </c>
      <c r="O1972">
        <f>IF($N1972=0,"",LEFT($E1972,4)&amp;MID($E1972,6,2)&amp;RIGHT($E1972,2)&amp;$F1972&amp;"|"&amp;"1"&amp;RIGHT("00000"&amp;1964,5))</f>
        <v/>
      </c>
      <c r="P1972">
        <f>IF($O1972="","",COUNTIFS(ExpSub,$K1972,ExpKey,"&lt;"&amp;$O1972)+1)</f>
        <v/>
      </c>
      <c r="Q1972">
        <f>IF($P1972="","",$K1972&amp;"|"&amp;RIGHT("000000"&amp;$P1972,6))</f>
        <v/>
      </c>
    </row>
    <row r="1973">
      <c r="A1973">
        <f>IF(Sync!$P1970="","",Sync!$P1970)</f>
        <v/>
      </c>
      <c r="B1973">
        <f>IF($A1973="","",IF(ISNUMBER($A1973),IF(AND($A1973&gt;=10000101,$A1973&lt;=99991231),INT($A1973/10000),""),IFERROR(VALUE(TRIM(LEFT($A1973,FIND("/",$A1973)-1))),"")))</f>
        <v/>
      </c>
      <c r="C1973">
        <f>IF(OR($A1973="",$B1973=""),"",IF(ISNUMBER($A1973),INT(MOD($A1973,10000)/100),IFERROR(VALUE(TRIM(LEFT(MID($A1973,FIND("/",$A1973)+1,20),FIND("/",MID($A1973,FIND("/",$A1973)+1,20))-1))),"")))</f>
        <v/>
      </c>
      <c r="D1973">
        <f>IF(OR($A1973="",$B1973=""),"",IF(ISNUMBER($A1973),MOD($A1973,100),IFERROR(VALUE(TRIM(MID(MID($A1973,FIND("/",$A1973)+1,20),FIND("/",MID($A1973,FIND("/",$A1973)+1,20))+1,20))),"")))</f>
        <v/>
      </c>
      <c r="E1973">
        <f>IF($A1973="","",IF(OR($B1973="",$C1973="",$D1973="",$B1973&lt;1300,$B1973&gt;1500,$C1973&lt;1,$C1973&gt;12,$D1973&lt;1,$D1973&gt;31),"نامعتبر",RIGHT("0000"&amp;$B1973,4)&amp;"/"&amp;RIGHT("00"&amp;$C1973,2)&amp;"/"&amp;RIGHT("00"&amp;$D1973,2)))</f>
        <v/>
      </c>
      <c r="F1973">
        <f>IF(OR($E1973="",$E1973="نامعتبر"),"",IF(Sync!$Q1970="","0000",IF(AND(ISNUMBER(Sync!$Q1970),Sync!$Q1970&gt;=0,Sync!$Q1970&lt;1),RIGHT("00"&amp;HOUR(Sync!$Q1970),2)&amp;RIGHT("00"&amp;MINUTE(Sync!$Q1970),2),IFERROR(RIGHT("00"&amp;VALUE(LEFT(Sync!$Q1970,FIND(":",Sync!$Q1970)-1)),2)&amp;RIGHT("00"&amp;VALUE(MID(Sync!$Q1970,FIND(":",Sync!$Q1970)+1,2)),2),"0000"))))</f>
        <v/>
      </c>
      <c r="G1973">
        <f>IF(OR($E1973="",$E1973="نامعتبر"),"",IF(Sync!$S1970="","",Sync!$S1970))</f>
        <v/>
      </c>
      <c r="H1973">
        <f>IF(OR($E1973="",$E1973="نامعتبر"),"",IF(Sync!$R1970="","",Sync!$R1970))</f>
        <v/>
      </c>
      <c r="I1973">
        <f>IF(OR($E1973="",$E1973="نامعتبر"),"",IF(Sync!$T1970="","",Sync!$T1970))</f>
        <v/>
      </c>
      <c r="J1973">
        <f>IF(OR($E1973="",$E1973="نامعتبر"),"",IF(Sync!$U1970="","",Sync!$U1970))</f>
        <v/>
      </c>
      <c r="K1973">
        <f>IF(OR($E1973="",$E1973="نامعتبر"),"",IF(Sync!$V1970="","",IFERROR(INDEX(SubCodes,MATCH(Sync!$V1970,SubTitles,0)),Sync!$V1970)))</f>
        <v/>
      </c>
      <c r="L1973">
        <f>IF(OR($E1973="",$E1973="نامعتبر"),"",IF(Sync!$W1970="",0,Sync!$W1970))</f>
        <v/>
      </c>
      <c r="M1973">
        <f>IF(OR($E1973="",$E1973="نامعتبر"),"",IF(Sync!$X1970="",0,Sync!$X1970))</f>
        <v/>
      </c>
      <c r="N1973">
        <f>IF(OR($E1973="",$E1973="نامعتبر"),"",IF(AND($J1973="هزینه",$K1973&lt;&gt;""),1,0))</f>
        <v/>
      </c>
      <c r="O1973">
        <f>IF($N1973=0,"",LEFT($E1973,4)&amp;MID($E1973,6,2)&amp;RIGHT($E1973,2)&amp;$F1973&amp;"|"&amp;"1"&amp;RIGHT("00000"&amp;1965,5))</f>
        <v/>
      </c>
      <c r="P1973">
        <f>IF($O1973="","",COUNTIFS(ExpSub,$K1973,ExpKey,"&lt;"&amp;$O1973)+1)</f>
        <v/>
      </c>
      <c r="Q1973">
        <f>IF($P1973="","",$K1973&amp;"|"&amp;RIGHT("000000"&amp;$P1973,6))</f>
        <v/>
      </c>
    </row>
    <row r="1974">
      <c r="A1974">
        <f>IF(Sync!$P1971="","",Sync!$P1971)</f>
        <v/>
      </c>
      <c r="B1974">
        <f>IF($A1974="","",IF(ISNUMBER($A1974),IF(AND($A1974&gt;=10000101,$A1974&lt;=99991231),INT($A1974/10000),""),IFERROR(VALUE(TRIM(LEFT($A1974,FIND("/",$A1974)-1))),"")))</f>
        <v/>
      </c>
      <c r="C1974">
        <f>IF(OR($A1974="",$B1974=""),"",IF(ISNUMBER($A1974),INT(MOD($A1974,10000)/100),IFERROR(VALUE(TRIM(LEFT(MID($A1974,FIND("/",$A1974)+1,20),FIND("/",MID($A1974,FIND("/",$A1974)+1,20))-1))),"")))</f>
        <v/>
      </c>
      <c r="D1974">
        <f>IF(OR($A1974="",$B1974=""),"",IF(ISNUMBER($A1974),MOD($A1974,100),IFERROR(VALUE(TRIM(MID(MID($A1974,FIND("/",$A1974)+1,20),FIND("/",MID($A1974,FIND("/",$A1974)+1,20))+1,20))),"")))</f>
        <v/>
      </c>
      <c r="E1974">
        <f>IF($A1974="","",IF(OR($B1974="",$C1974="",$D1974="",$B1974&lt;1300,$B1974&gt;1500,$C1974&lt;1,$C1974&gt;12,$D1974&lt;1,$D1974&gt;31),"نامعتبر",RIGHT("0000"&amp;$B1974,4)&amp;"/"&amp;RIGHT("00"&amp;$C1974,2)&amp;"/"&amp;RIGHT("00"&amp;$D1974,2)))</f>
        <v/>
      </c>
      <c r="F1974">
        <f>IF(OR($E1974="",$E1974="نامعتبر"),"",IF(Sync!$Q1971="","0000",IF(AND(ISNUMBER(Sync!$Q1971),Sync!$Q1971&gt;=0,Sync!$Q1971&lt;1),RIGHT("00"&amp;HOUR(Sync!$Q1971),2)&amp;RIGHT("00"&amp;MINUTE(Sync!$Q1971),2),IFERROR(RIGHT("00"&amp;VALUE(LEFT(Sync!$Q1971,FIND(":",Sync!$Q1971)-1)),2)&amp;RIGHT("00"&amp;VALUE(MID(Sync!$Q1971,FIND(":",Sync!$Q1971)+1,2)),2),"0000"))))</f>
        <v/>
      </c>
      <c r="G1974">
        <f>IF(OR($E1974="",$E1974="نامعتبر"),"",IF(Sync!$S1971="","",Sync!$S1971))</f>
        <v/>
      </c>
      <c r="H1974">
        <f>IF(OR($E1974="",$E1974="نامعتبر"),"",IF(Sync!$R1971="","",Sync!$R1971))</f>
        <v/>
      </c>
      <c r="I1974">
        <f>IF(OR($E1974="",$E1974="نامعتبر"),"",IF(Sync!$T1971="","",Sync!$T1971))</f>
        <v/>
      </c>
      <c r="J1974">
        <f>IF(OR($E1974="",$E1974="نامعتبر"),"",IF(Sync!$U1971="","",Sync!$U1971))</f>
        <v/>
      </c>
      <c r="K1974">
        <f>IF(OR($E1974="",$E1974="نامعتبر"),"",IF(Sync!$V1971="","",IFERROR(INDEX(SubCodes,MATCH(Sync!$V1971,SubTitles,0)),Sync!$V1971)))</f>
        <v/>
      </c>
      <c r="L1974">
        <f>IF(OR($E1974="",$E1974="نامعتبر"),"",IF(Sync!$W1971="",0,Sync!$W1971))</f>
        <v/>
      </c>
      <c r="M1974">
        <f>IF(OR($E1974="",$E1974="نامعتبر"),"",IF(Sync!$X1971="",0,Sync!$X1971))</f>
        <v/>
      </c>
      <c r="N1974">
        <f>IF(OR($E1974="",$E1974="نامعتبر"),"",IF(AND($J1974="هزینه",$K1974&lt;&gt;""),1,0))</f>
        <v/>
      </c>
      <c r="O1974">
        <f>IF($N1974=0,"",LEFT($E1974,4)&amp;MID($E1974,6,2)&amp;RIGHT($E1974,2)&amp;$F1974&amp;"|"&amp;"1"&amp;RIGHT("00000"&amp;1966,5))</f>
        <v/>
      </c>
      <c r="P1974">
        <f>IF($O1974="","",COUNTIFS(ExpSub,$K1974,ExpKey,"&lt;"&amp;$O1974)+1)</f>
        <v/>
      </c>
      <c r="Q1974">
        <f>IF($P1974="","",$K1974&amp;"|"&amp;RIGHT("000000"&amp;$P1974,6))</f>
        <v/>
      </c>
    </row>
    <row r="1975">
      <c r="A1975">
        <f>IF(Sync!$P1972="","",Sync!$P1972)</f>
        <v/>
      </c>
      <c r="B1975">
        <f>IF($A1975="","",IF(ISNUMBER($A1975),IF(AND($A1975&gt;=10000101,$A1975&lt;=99991231),INT($A1975/10000),""),IFERROR(VALUE(TRIM(LEFT($A1975,FIND("/",$A1975)-1))),"")))</f>
        <v/>
      </c>
      <c r="C1975">
        <f>IF(OR($A1975="",$B1975=""),"",IF(ISNUMBER($A1975),INT(MOD($A1975,10000)/100),IFERROR(VALUE(TRIM(LEFT(MID($A1975,FIND("/",$A1975)+1,20),FIND("/",MID($A1975,FIND("/",$A1975)+1,20))-1))),"")))</f>
        <v/>
      </c>
      <c r="D1975">
        <f>IF(OR($A1975="",$B1975=""),"",IF(ISNUMBER($A1975),MOD($A1975,100),IFERROR(VALUE(TRIM(MID(MID($A1975,FIND("/",$A1975)+1,20),FIND("/",MID($A1975,FIND("/",$A1975)+1,20))+1,20))),"")))</f>
        <v/>
      </c>
      <c r="E1975">
        <f>IF($A1975="","",IF(OR($B1975="",$C1975="",$D1975="",$B1975&lt;1300,$B1975&gt;1500,$C1975&lt;1,$C1975&gt;12,$D1975&lt;1,$D1975&gt;31),"نامعتبر",RIGHT("0000"&amp;$B1975,4)&amp;"/"&amp;RIGHT("00"&amp;$C1975,2)&amp;"/"&amp;RIGHT("00"&amp;$D1975,2)))</f>
        <v/>
      </c>
      <c r="F1975">
        <f>IF(OR($E1975="",$E1975="نامعتبر"),"",IF(Sync!$Q1972="","0000",IF(AND(ISNUMBER(Sync!$Q1972),Sync!$Q1972&gt;=0,Sync!$Q1972&lt;1),RIGHT("00"&amp;HOUR(Sync!$Q1972),2)&amp;RIGHT("00"&amp;MINUTE(Sync!$Q1972),2),IFERROR(RIGHT("00"&amp;VALUE(LEFT(Sync!$Q1972,FIND(":",Sync!$Q1972)-1)),2)&amp;RIGHT("00"&amp;VALUE(MID(Sync!$Q1972,FIND(":",Sync!$Q1972)+1,2)),2),"0000"))))</f>
        <v/>
      </c>
      <c r="G1975">
        <f>IF(OR($E1975="",$E1975="نامعتبر"),"",IF(Sync!$S1972="","",Sync!$S1972))</f>
        <v/>
      </c>
      <c r="H1975">
        <f>IF(OR($E1975="",$E1975="نامعتبر"),"",IF(Sync!$R1972="","",Sync!$R1972))</f>
        <v/>
      </c>
      <c r="I1975">
        <f>IF(OR($E1975="",$E1975="نامعتبر"),"",IF(Sync!$T1972="","",Sync!$T1972))</f>
        <v/>
      </c>
      <c r="J1975">
        <f>IF(OR($E1975="",$E1975="نامعتبر"),"",IF(Sync!$U1972="","",Sync!$U1972))</f>
        <v/>
      </c>
      <c r="K1975">
        <f>IF(OR($E1975="",$E1975="نامعتبر"),"",IF(Sync!$V1972="","",IFERROR(INDEX(SubCodes,MATCH(Sync!$V1972,SubTitles,0)),Sync!$V1972)))</f>
        <v/>
      </c>
      <c r="L1975">
        <f>IF(OR($E1975="",$E1975="نامعتبر"),"",IF(Sync!$W1972="",0,Sync!$W1972))</f>
        <v/>
      </c>
      <c r="M1975">
        <f>IF(OR($E1975="",$E1975="نامعتبر"),"",IF(Sync!$X1972="",0,Sync!$X1972))</f>
        <v/>
      </c>
      <c r="N1975">
        <f>IF(OR($E1975="",$E1975="نامعتبر"),"",IF(AND($J1975="هزینه",$K1975&lt;&gt;""),1,0))</f>
        <v/>
      </c>
      <c r="O1975">
        <f>IF($N1975=0,"",LEFT($E1975,4)&amp;MID($E1975,6,2)&amp;RIGHT($E1975,2)&amp;$F1975&amp;"|"&amp;"1"&amp;RIGHT("00000"&amp;1967,5))</f>
        <v/>
      </c>
      <c r="P1975">
        <f>IF($O1975="","",COUNTIFS(ExpSub,$K1975,ExpKey,"&lt;"&amp;$O1975)+1)</f>
        <v/>
      </c>
      <c r="Q1975">
        <f>IF($P1975="","",$K1975&amp;"|"&amp;RIGHT("000000"&amp;$P1975,6))</f>
        <v/>
      </c>
    </row>
    <row r="1976">
      <c r="A1976">
        <f>IF(Sync!$P1973="","",Sync!$P1973)</f>
        <v/>
      </c>
      <c r="B1976">
        <f>IF($A1976="","",IF(ISNUMBER($A1976),IF(AND($A1976&gt;=10000101,$A1976&lt;=99991231),INT($A1976/10000),""),IFERROR(VALUE(TRIM(LEFT($A1976,FIND("/",$A1976)-1))),"")))</f>
        <v/>
      </c>
      <c r="C1976">
        <f>IF(OR($A1976="",$B1976=""),"",IF(ISNUMBER($A1976),INT(MOD($A1976,10000)/100),IFERROR(VALUE(TRIM(LEFT(MID($A1976,FIND("/",$A1976)+1,20),FIND("/",MID($A1976,FIND("/",$A1976)+1,20))-1))),"")))</f>
        <v/>
      </c>
      <c r="D1976">
        <f>IF(OR($A1976="",$B1976=""),"",IF(ISNUMBER($A1976),MOD($A1976,100),IFERROR(VALUE(TRIM(MID(MID($A1976,FIND("/",$A1976)+1,20),FIND("/",MID($A1976,FIND("/",$A1976)+1,20))+1,20))),"")))</f>
        <v/>
      </c>
      <c r="E1976">
        <f>IF($A1976="","",IF(OR($B1976="",$C1976="",$D1976="",$B1976&lt;1300,$B1976&gt;1500,$C1976&lt;1,$C1976&gt;12,$D1976&lt;1,$D1976&gt;31),"نامعتبر",RIGHT("0000"&amp;$B1976,4)&amp;"/"&amp;RIGHT("00"&amp;$C1976,2)&amp;"/"&amp;RIGHT("00"&amp;$D1976,2)))</f>
        <v/>
      </c>
      <c r="F1976">
        <f>IF(OR($E1976="",$E1976="نامعتبر"),"",IF(Sync!$Q1973="","0000",IF(AND(ISNUMBER(Sync!$Q1973),Sync!$Q1973&gt;=0,Sync!$Q1973&lt;1),RIGHT("00"&amp;HOUR(Sync!$Q1973),2)&amp;RIGHT("00"&amp;MINUTE(Sync!$Q1973),2),IFERROR(RIGHT("00"&amp;VALUE(LEFT(Sync!$Q1973,FIND(":",Sync!$Q1973)-1)),2)&amp;RIGHT("00"&amp;VALUE(MID(Sync!$Q1973,FIND(":",Sync!$Q1973)+1,2)),2),"0000"))))</f>
        <v/>
      </c>
      <c r="G1976">
        <f>IF(OR($E1976="",$E1976="نامعتبر"),"",IF(Sync!$S1973="","",Sync!$S1973))</f>
        <v/>
      </c>
      <c r="H1976">
        <f>IF(OR($E1976="",$E1976="نامعتبر"),"",IF(Sync!$R1973="","",Sync!$R1973))</f>
        <v/>
      </c>
      <c r="I1976">
        <f>IF(OR($E1976="",$E1976="نامعتبر"),"",IF(Sync!$T1973="","",Sync!$T1973))</f>
        <v/>
      </c>
      <c r="J1976">
        <f>IF(OR($E1976="",$E1976="نامعتبر"),"",IF(Sync!$U1973="","",Sync!$U1973))</f>
        <v/>
      </c>
      <c r="K1976">
        <f>IF(OR($E1976="",$E1976="نامعتبر"),"",IF(Sync!$V1973="","",IFERROR(INDEX(SubCodes,MATCH(Sync!$V1973,SubTitles,0)),Sync!$V1973)))</f>
        <v/>
      </c>
      <c r="L1976">
        <f>IF(OR($E1976="",$E1976="نامعتبر"),"",IF(Sync!$W1973="",0,Sync!$W1973))</f>
        <v/>
      </c>
      <c r="M1976">
        <f>IF(OR($E1976="",$E1976="نامعتبر"),"",IF(Sync!$X1973="",0,Sync!$X1973))</f>
        <v/>
      </c>
      <c r="N1976">
        <f>IF(OR($E1976="",$E1976="نامعتبر"),"",IF(AND($J1976="هزینه",$K1976&lt;&gt;""),1,0))</f>
        <v/>
      </c>
      <c r="O1976">
        <f>IF($N1976=0,"",LEFT($E1976,4)&amp;MID($E1976,6,2)&amp;RIGHT($E1976,2)&amp;$F1976&amp;"|"&amp;"1"&amp;RIGHT("00000"&amp;1968,5))</f>
        <v/>
      </c>
      <c r="P1976">
        <f>IF($O1976="","",COUNTIFS(ExpSub,$K1976,ExpKey,"&lt;"&amp;$O1976)+1)</f>
        <v/>
      </c>
      <c r="Q1976">
        <f>IF($P1976="","",$K1976&amp;"|"&amp;RIGHT("000000"&amp;$P1976,6))</f>
        <v/>
      </c>
    </row>
    <row r="1977">
      <c r="A1977">
        <f>IF(Sync!$P1974="","",Sync!$P1974)</f>
        <v/>
      </c>
      <c r="B1977">
        <f>IF($A1977="","",IF(ISNUMBER($A1977),IF(AND($A1977&gt;=10000101,$A1977&lt;=99991231),INT($A1977/10000),""),IFERROR(VALUE(TRIM(LEFT($A1977,FIND("/",$A1977)-1))),"")))</f>
        <v/>
      </c>
      <c r="C1977">
        <f>IF(OR($A1977="",$B1977=""),"",IF(ISNUMBER($A1977),INT(MOD($A1977,10000)/100),IFERROR(VALUE(TRIM(LEFT(MID($A1977,FIND("/",$A1977)+1,20),FIND("/",MID($A1977,FIND("/",$A1977)+1,20))-1))),"")))</f>
        <v/>
      </c>
      <c r="D1977">
        <f>IF(OR($A1977="",$B1977=""),"",IF(ISNUMBER($A1977),MOD($A1977,100),IFERROR(VALUE(TRIM(MID(MID($A1977,FIND("/",$A1977)+1,20),FIND("/",MID($A1977,FIND("/",$A1977)+1,20))+1,20))),"")))</f>
        <v/>
      </c>
      <c r="E1977">
        <f>IF($A1977="","",IF(OR($B1977="",$C1977="",$D1977="",$B1977&lt;1300,$B1977&gt;1500,$C1977&lt;1,$C1977&gt;12,$D1977&lt;1,$D1977&gt;31),"نامعتبر",RIGHT("0000"&amp;$B1977,4)&amp;"/"&amp;RIGHT("00"&amp;$C1977,2)&amp;"/"&amp;RIGHT("00"&amp;$D1977,2)))</f>
        <v/>
      </c>
      <c r="F1977">
        <f>IF(OR($E1977="",$E1977="نامعتبر"),"",IF(Sync!$Q1974="","0000",IF(AND(ISNUMBER(Sync!$Q1974),Sync!$Q1974&gt;=0,Sync!$Q1974&lt;1),RIGHT("00"&amp;HOUR(Sync!$Q1974),2)&amp;RIGHT("00"&amp;MINUTE(Sync!$Q1974),2),IFERROR(RIGHT("00"&amp;VALUE(LEFT(Sync!$Q1974,FIND(":",Sync!$Q1974)-1)),2)&amp;RIGHT("00"&amp;VALUE(MID(Sync!$Q1974,FIND(":",Sync!$Q1974)+1,2)),2),"0000"))))</f>
        <v/>
      </c>
      <c r="G1977">
        <f>IF(OR($E1977="",$E1977="نامعتبر"),"",IF(Sync!$S1974="","",Sync!$S1974))</f>
        <v/>
      </c>
      <c r="H1977">
        <f>IF(OR($E1977="",$E1977="نامعتبر"),"",IF(Sync!$R1974="","",Sync!$R1974))</f>
        <v/>
      </c>
      <c r="I1977">
        <f>IF(OR($E1977="",$E1977="نامعتبر"),"",IF(Sync!$T1974="","",Sync!$T1974))</f>
        <v/>
      </c>
      <c r="J1977">
        <f>IF(OR($E1977="",$E1977="نامعتبر"),"",IF(Sync!$U1974="","",Sync!$U1974))</f>
        <v/>
      </c>
      <c r="K1977">
        <f>IF(OR($E1977="",$E1977="نامعتبر"),"",IF(Sync!$V1974="","",IFERROR(INDEX(SubCodes,MATCH(Sync!$V1974,SubTitles,0)),Sync!$V1974)))</f>
        <v/>
      </c>
      <c r="L1977">
        <f>IF(OR($E1977="",$E1977="نامعتبر"),"",IF(Sync!$W1974="",0,Sync!$W1974))</f>
        <v/>
      </c>
      <c r="M1977">
        <f>IF(OR($E1977="",$E1977="نامعتبر"),"",IF(Sync!$X1974="",0,Sync!$X1974))</f>
        <v/>
      </c>
      <c r="N1977">
        <f>IF(OR($E1977="",$E1977="نامعتبر"),"",IF(AND($J1977="هزینه",$K1977&lt;&gt;""),1,0))</f>
        <v/>
      </c>
      <c r="O1977">
        <f>IF($N1977=0,"",LEFT($E1977,4)&amp;MID($E1977,6,2)&amp;RIGHT($E1977,2)&amp;$F1977&amp;"|"&amp;"1"&amp;RIGHT("00000"&amp;1969,5))</f>
        <v/>
      </c>
      <c r="P1977">
        <f>IF($O1977="","",COUNTIFS(ExpSub,$K1977,ExpKey,"&lt;"&amp;$O1977)+1)</f>
        <v/>
      </c>
      <c r="Q1977">
        <f>IF($P1977="","",$K1977&amp;"|"&amp;RIGHT("000000"&amp;$P1977,6))</f>
        <v/>
      </c>
    </row>
    <row r="1978">
      <c r="A1978">
        <f>IF(Sync!$P1975="","",Sync!$P1975)</f>
        <v/>
      </c>
      <c r="B1978">
        <f>IF($A1978="","",IF(ISNUMBER($A1978),IF(AND($A1978&gt;=10000101,$A1978&lt;=99991231),INT($A1978/10000),""),IFERROR(VALUE(TRIM(LEFT($A1978,FIND("/",$A1978)-1))),"")))</f>
        <v/>
      </c>
      <c r="C1978">
        <f>IF(OR($A1978="",$B1978=""),"",IF(ISNUMBER($A1978),INT(MOD($A1978,10000)/100),IFERROR(VALUE(TRIM(LEFT(MID($A1978,FIND("/",$A1978)+1,20),FIND("/",MID($A1978,FIND("/",$A1978)+1,20))-1))),"")))</f>
        <v/>
      </c>
      <c r="D1978">
        <f>IF(OR($A1978="",$B1978=""),"",IF(ISNUMBER($A1978),MOD($A1978,100),IFERROR(VALUE(TRIM(MID(MID($A1978,FIND("/",$A1978)+1,20),FIND("/",MID($A1978,FIND("/",$A1978)+1,20))+1,20))),"")))</f>
        <v/>
      </c>
      <c r="E1978">
        <f>IF($A1978="","",IF(OR($B1978="",$C1978="",$D1978="",$B1978&lt;1300,$B1978&gt;1500,$C1978&lt;1,$C1978&gt;12,$D1978&lt;1,$D1978&gt;31),"نامعتبر",RIGHT("0000"&amp;$B1978,4)&amp;"/"&amp;RIGHT("00"&amp;$C1978,2)&amp;"/"&amp;RIGHT("00"&amp;$D1978,2)))</f>
        <v/>
      </c>
      <c r="F1978">
        <f>IF(OR($E1978="",$E1978="نامعتبر"),"",IF(Sync!$Q1975="","0000",IF(AND(ISNUMBER(Sync!$Q1975),Sync!$Q1975&gt;=0,Sync!$Q1975&lt;1),RIGHT("00"&amp;HOUR(Sync!$Q1975),2)&amp;RIGHT("00"&amp;MINUTE(Sync!$Q1975),2),IFERROR(RIGHT("00"&amp;VALUE(LEFT(Sync!$Q1975,FIND(":",Sync!$Q1975)-1)),2)&amp;RIGHT("00"&amp;VALUE(MID(Sync!$Q1975,FIND(":",Sync!$Q1975)+1,2)),2),"0000"))))</f>
        <v/>
      </c>
      <c r="G1978">
        <f>IF(OR($E1978="",$E1978="نامعتبر"),"",IF(Sync!$S1975="","",Sync!$S1975))</f>
        <v/>
      </c>
      <c r="H1978">
        <f>IF(OR($E1978="",$E1978="نامعتبر"),"",IF(Sync!$R1975="","",Sync!$R1975))</f>
        <v/>
      </c>
      <c r="I1978">
        <f>IF(OR($E1978="",$E1978="نامعتبر"),"",IF(Sync!$T1975="","",Sync!$T1975))</f>
        <v/>
      </c>
      <c r="J1978">
        <f>IF(OR($E1978="",$E1978="نامعتبر"),"",IF(Sync!$U1975="","",Sync!$U1975))</f>
        <v/>
      </c>
      <c r="K1978">
        <f>IF(OR($E1978="",$E1978="نامعتبر"),"",IF(Sync!$V1975="","",IFERROR(INDEX(SubCodes,MATCH(Sync!$V1975,SubTitles,0)),Sync!$V1975)))</f>
        <v/>
      </c>
      <c r="L1978">
        <f>IF(OR($E1978="",$E1978="نامعتبر"),"",IF(Sync!$W1975="",0,Sync!$W1975))</f>
        <v/>
      </c>
      <c r="M1978">
        <f>IF(OR($E1978="",$E1978="نامعتبر"),"",IF(Sync!$X1975="",0,Sync!$X1975))</f>
        <v/>
      </c>
      <c r="N1978">
        <f>IF(OR($E1978="",$E1978="نامعتبر"),"",IF(AND($J1978="هزینه",$K1978&lt;&gt;""),1,0))</f>
        <v/>
      </c>
      <c r="O1978">
        <f>IF($N1978=0,"",LEFT($E1978,4)&amp;MID($E1978,6,2)&amp;RIGHT($E1978,2)&amp;$F1978&amp;"|"&amp;"1"&amp;RIGHT("00000"&amp;1970,5))</f>
        <v/>
      </c>
      <c r="P1978">
        <f>IF($O1978="","",COUNTIFS(ExpSub,$K1978,ExpKey,"&lt;"&amp;$O1978)+1)</f>
        <v/>
      </c>
      <c r="Q1978">
        <f>IF($P1978="","",$K1978&amp;"|"&amp;RIGHT("000000"&amp;$P1978,6))</f>
        <v/>
      </c>
    </row>
    <row r="1979">
      <c r="A1979">
        <f>IF(Sync!$P1976="","",Sync!$P1976)</f>
        <v/>
      </c>
      <c r="B1979">
        <f>IF($A1979="","",IF(ISNUMBER($A1979),IF(AND($A1979&gt;=10000101,$A1979&lt;=99991231),INT($A1979/10000),""),IFERROR(VALUE(TRIM(LEFT($A1979,FIND("/",$A1979)-1))),"")))</f>
        <v/>
      </c>
      <c r="C1979">
        <f>IF(OR($A1979="",$B1979=""),"",IF(ISNUMBER($A1979),INT(MOD($A1979,10000)/100),IFERROR(VALUE(TRIM(LEFT(MID($A1979,FIND("/",$A1979)+1,20),FIND("/",MID($A1979,FIND("/",$A1979)+1,20))-1))),"")))</f>
        <v/>
      </c>
      <c r="D1979">
        <f>IF(OR($A1979="",$B1979=""),"",IF(ISNUMBER($A1979),MOD($A1979,100),IFERROR(VALUE(TRIM(MID(MID($A1979,FIND("/",$A1979)+1,20),FIND("/",MID($A1979,FIND("/",$A1979)+1,20))+1,20))),"")))</f>
        <v/>
      </c>
      <c r="E1979">
        <f>IF($A1979="","",IF(OR($B1979="",$C1979="",$D1979="",$B1979&lt;1300,$B1979&gt;1500,$C1979&lt;1,$C1979&gt;12,$D1979&lt;1,$D1979&gt;31),"نامعتبر",RIGHT("0000"&amp;$B1979,4)&amp;"/"&amp;RIGHT("00"&amp;$C1979,2)&amp;"/"&amp;RIGHT("00"&amp;$D1979,2)))</f>
        <v/>
      </c>
      <c r="F1979">
        <f>IF(OR($E1979="",$E1979="نامعتبر"),"",IF(Sync!$Q1976="","0000",IF(AND(ISNUMBER(Sync!$Q1976),Sync!$Q1976&gt;=0,Sync!$Q1976&lt;1),RIGHT("00"&amp;HOUR(Sync!$Q1976),2)&amp;RIGHT("00"&amp;MINUTE(Sync!$Q1976),2),IFERROR(RIGHT("00"&amp;VALUE(LEFT(Sync!$Q1976,FIND(":",Sync!$Q1976)-1)),2)&amp;RIGHT("00"&amp;VALUE(MID(Sync!$Q1976,FIND(":",Sync!$Q1976)+1,2)),2),"0000"))))</f>
        <v/>
      </c>
      <c r="G1979">
        <f>IF(OR($E1979="",$E1979="نامعتبر"),"",IF(Sync!$S1976="","",Sync!$S1976))</f>
        <v/>
      </c>
      <c r="H1979">
        <f>IF(OR($E1979="",$E1979="نامعتبر"),"",IF(Sync!$R1976="","",Sync!$R1976))</f>
        <v/>
      </c>
      <c r="I1979">
        <f>IF(OR($E1979="",$E1979="نامعتبر"),"",IF(Sync!$T1976="","",Sync!$T1976))</f>
        <v/>
      </c>
      <c r="J1979">
        <f>IF(OR($E1979="",$E1979="نامعتبر"),"",IF(Sync!$U1976="","",Sync!$U1976))</f>
        <v/>
      </c>
      <c r="K1979">
        <f>IF(OR($E1979="",$E1979="نامعتبر"),"",IF(Sync!$V1976="","",IFERROR(INDEX(SubCodes,MATCH(Sync!$V1976,SubTitles,0)),Sync!$V1976)))</f>
        <v/>
      </c>
      <c r="L1979">
        <f>IF(OR($E1979="",$E1979="نامعتبر"),"",IF(Sync!$W1976="",0,Sync!$W1976))</f>
        <v/>
      </c>
      <c r="M1979">
        <f>IF(OR($E1979="",$E1979="نامعتبر"),"",IF(Sync!$X1976="",0,Sync!$X1976))</f>
        <v/>
      </c>
      <c r="N1979">
        <f>IF(OR($E1979="",$E1979="نامعتبر"),"",IF(AND($J1979="هزینه",$K1979&lt;&gt;""),1,0))</f>
        <v/>
      </c>
      <c r="O1979">
        <f>IF($N1979=0,"",LEFT($E1979,4)&amp;MID($E1979,6,2)&amp;RIGHT($E1979,2)&amp;$F1979&amp;"|"&amp;"1"&amp;RIGHT("00000"&amp;1971,5))</f>
        <v/>
      </c>
      <c r="P1979">
        <f>IF($O1979="","",COUNTIFS(ExpSub,$K1979,ExpKey,"&lt;"&amp;$O1979)+1)</f>
        <v/>
      </c>
      <c r="Q1979">
        <f>IF($P1979="","",$K1979&amp;"|"&amp;RIGHT("000000"&amp;$P1979,6))</f>
        <v/>
      </c>
    </row>
    <row r="1980">
      <c r="A1980">
        <f>IF(Sync!$P1977="","",Sync!$P1977)</f>
        <v/>
      </c>
      <c r="B1980">
        <f>IF($A1980="","",IF(ISNUMBER($A1980),IF(AND($A1980&gt;=10000101,$A1980&lt;=99991231),INT($A1980/10000),""),IFERROR(VALUE(TRIM(LEFT($A1980,FIND("/",$A1980)-1))),"")))</f>
        <v/>
      </c>
      <c r="C1980">
        <f>IF(OR($A1980="",$B1980=""),"",IF(ISNUMBER($A1980),INT(MOD($A1980,10000)/100),IFERROR(VALUE(TRIM(LEFT(MID($A1980,FIND("/",$A1980)+1,20),FIND("/",MID($A1980,FIND("/",$A1980)+1,20))-1))),"")))</f>
        <v/>
      </c>
      <c r="D1980">
        <f>IF(OR($A1980="",$B1980=""),"",IF(ISNUMBER($A1980),MOD($A1980,100),IFERROR(VALUE(TRIM(MID(MID($A1980,FIND("/",$A1980)+1,20),FIND("/",MID($A1980,FIND("/",$A1980)+1,20))+1,20))),"")))</f>
        <v/>
      </c>
      <c r="E1980">
        <f>IF($A1980="","",IF(OR($B1980="",$C1980="",$D1980="",$B1980&lt;1300,$B1980&gt;1500,$C1980&lt;1,$C1980&gt;12,$D1980&lt;1,$D1980&gt;31),"نامعتبر",RIGHT("0000"&amp;$B1980,4)&amp;"/"&amp;RIGHT("00"&amp;$C1980,2)&amp;"/"&amp;RIGHT("00"&amp;$D1980,2)))</f>
        <v/>
      </c>
      <c r="F1980">
        <f>IF(OR($E1980="",$E1980="نامعتبر"),"",IF(Sync!$Q1977="","0000",IF(AND(ISNUMBER(Sync!$Q1977),Sync!$Q1977&gt;=0,Sync!$Q1977&lt;1),RIGHT("00"&amp;HOUR(Sync!$Q1977),2)&amp;RIGHT("00"&amp;MINUTE(Sync!$Q1977),2),IFERROR(RIGHT("00"&amp;VALUE(LEFT(Sync!$Q1977,FIND(":",Sync!$Q1977)-1)),2)&amp;RIGHT("00"&amp;VALUE(MID(Sync!$Q1977,FIND(":",Sync!$Q1977)+1,2)),2),"0000"))))</f>
        <v/>
      </c>
      <c r="G1980">
        <f>IF(OR($E1980="",$E1980="نامعتبر"),"",IF(Sync!$S1977="","",Sync!$S1977))</f>
        <v/>
      </c>
      <c r="H1980">
        <f>IF(OR($E1980="",$E1980="نامعتبر"),"",IF(Sync!$R1977="","",Sync!$R1977))</f>
        <v/>
      </c>
      <c r="I1980">
        <f>IF(OR($E1980="",$E1980="نامعتبر"),"",IF(Sync!$T1977="","",Sync!$T1977))</f>
        <v/>
      </c>
      <c r="J1980">
        <f>IF(OR($E1980="",$E1980="نامعتبر"),"",IF(Sync!$U1977="","",Sync!$U1977))</f>
        <v/>
      </c>
      <c r="K1980">
        <f>IF(OR($E1980="",$E1980="نامعتبر"),"",IF(Sync!$V1977="","",IFERROR(INDEX(SubCodes,MATCH(Sync!$V1977,SubTitles,0)),Sync!$V1977)))</f>
        <v/>
      </c>
      <c r="L1980">
        <f>IF(OR($E1980="",$E1980="نامعتبر"),"",IF(Sync!$W1977="",0,Sync!$W1977))</f>
        <v/>
      </c>
      <c r="M1980">
        <f>IF(OR($E1980="",$E1980="نامعتبر"),"",IF(Sync!$X1977="",0,Sync!$X1977))</f>
        <v/>
      </c>
      <c r="N1980">
        <f>IF(OR($E1980="",$E1980="نامعتبر"),"",IF(AND($J1980="هزینه",$K1980&lt;&gt;""),1,0))</f>
        <v/>
      </c>
      <c r="O1980">
        <f>IF($N1980=0,"",LEFT($E1980,4)&amp;MID($E1980,6,2)&amp;RIGHT($E1980,2)&amp;$F1980&amp;"|"&amp;"1"&amp;RIGHT("00000"&amp;1972,5))</f>
        <v/>
      </c>
      <c r="P1980">
        <f>IF($O1980="","",COUNTIFS(ExpSub,$K1980,ExpKey,"&lt;"&amp;$O1980)+1)</f>
        <v/>
      </c>
      <c r="Q1980">
        <f>IF($P1980="","",$K1980&amp;"|"&amp;RIGHT("000000"&amp;$P1980,6))</f>
        <v/>
      </c>
    </row>
    <row r="1981">
      <c r="A1981">
        <f>IF(Sync!$P1978="","",Sync!$P1978)</f>
        <v/>
      </c>
      <c r="B1981">
        <f>IF($A1981="","",IF(ISNUMBER($A1981),IF(AND($A1981&gt;=10000101,$A1981&lt;=99991231),INT($A1981/10000),""),IFERROR(VALUE(TRIM(LEFT($A1981,FIND("/",$A1981)-1))),"")))</f>
        <v/>
      </c>
      <c r="C1981">
        <f>IF(OR($A1981="",$B1981=""),"",IF(ISNUMBER($A1981),INT(MOD($A1981,10000)/100),IFERROR(VALUE(TRIM(LEFT(MID($A1981,FIND("/",$A1981)+1,20),FIND("/",MID($A1981,FIND("/",$A1981)+1,20))-1))),"")))</f>
        <v/>
      </c>
      <c r="D1981">
        <f>IF(OR($A1981="",$B1981=""),"",IF(ISNUMBER($A1981),MOD($A1981,100),IFERROR(VALUE(TRIM(MID(MID($A1981,FIND("/",$A1981)+1,20),FIND("/",MID($A1981,FIND("/",$A1981)+1,20))+1,20))),"")))</f>
        <v/>
      </c>
      <c r="E1981">
        <f>IF($A1981="","",IF(OR($B1981="",$C1981="",$D1981="",$B1981&lt;1300,$B1981&gt;1500,$C1981&lt;1,$C1981&gt;12,$D1981&lt;1,$D1981&gt;31),"نامعتبر",RIGHT("0000"&amp;$B1981,4)&amp;"/"&amp;RIGHT("00"&amp;$C1981,2)&amp;"/"&amp;RIGHT("00"&amp;$D1981,2)))</f>
        <v/>
      </c>
      <c r="F1981">
        <f>IF(OR($E1981="",$E1981="نامعتبر"),"",IF(Sync!$Q1978="","0000",IF(AND(ISNUMBER(Sync!$Q1978),Sync!$Q1978&gt;=0,Sync!$Q1978&lt;1),RIGHT("00"&amp;HOUR(Sync!$Q1978),2)&amp;RIGHT("00"&amp;MINUTE(Sync!$Q1978),2),IFERROR(RIGHT("00"&amp;VALUE(LEFT(Sync!$Q1978,FIND(":",Sync!$Q1978)-1)),2)&amp;RIGHT("00"&amp;VALUE(MID(Sync!$Q1978,FIND(":",Sync!$Q1978)+1,2)),2),"0000"))))</f>
        <v/>
      </c>
      <c r="G1981">
        <f>IF(OR($E1981="",$E1981="نامعتبر"),"",IF(Sync!$S1978="","",Sync!$S1978))</f>
        <v/>
      </c>
      <c r="H1981">
        <f>IF(OR($E1981="",$E1981="نامعتبر"),"",IF(Sync!$R1978="","",Sync!$R1978))</f>
        <v/>
      </c>
      <c r="I1981">
        <f>IF(OR($E1981="",$E1981="نامعتبر"),"",IF(Sync!$T1978="","",Sync!$T1978))</f>
        <v/>
      </c>
      <c r="J1981">
        <f>IF(OR($E1981="",$E1981="نامعتبر"),"",IF(Sync!$U1978="","",Sync!$U1978))</f>
        <v/>
      </c>
      <c r="K1981">
        <f>IF(OR($E1981="",$E1981="نامعتبر"),"",IF(Sync!$V1978="","",IFERROR(INDEX(SubCodes,MATCH(Sync!$V1978,SubTitles,0)),Sync!$V1978)))</f>
        <v/>
      </c>
      <c r="L1981">
        <f>IF(OR($E1981="",$E1981="نامعتبر"),"",IF(Sync!$W1978="",0,Sync!$W1978))</f>
        <v/>
      </c>
      <c r="M1981">
        <f>IF(OR($E1981="",$E1981="نامعتبر"),"",IF(Sync!$X1978="",0,Sync!$X1978))</f>
        <v/>
      </c>
      <c r="N1981">
        <f>IF(OR($E1981="",$E1981="نامعتبر"),"",IF(AND($J1981="هزینه",$K1981&lt;&gt;""),1,0))</f>
        <v/>
      </c>
      <c r="O1981">
        <f>IF($N1981=0,"",LEFT($E1981,4)&amp;MID($E1981,6,2)&amp;RIGHT($E1981,2)&amp;$F1981&amp;"|"&amp;"1"&amp;RIGHT("00000"&amp;1973,5))</f>
        <v/>
      </c>
      <c r="P1981">
        <f>IF($O1981="","",COUNTIFS(ExpSub,$K1981,ExpKey,"&lt;"&amp;$O1981)+1)</f>
        <v/>
      </c>
      <c r="Q1981">
        <f>IF($P1981="","",$K1981&amp;"|"&amp;RIGHT("000000"&amp;$P1981,6))</f>
        <v/>
      </c>
    </row>
    <row r="1982">
      <c r="A1982">
        <f>IF(Sync!$P1979="","",Sync!$P1979)</f>
        <v/>
      </c>
      <c r="B1982">
        <f>IF($A1982="","",IF(ISNUMBER($A1982),IF(AND($A1982&gt;=10000101,$A1982&lt;=99991231),INT($A1982/10000),""),IFERROR(VALUE(TRIM(LEFT($A1982,FIND("/",$A1982)-1))),"")))</f>
        <v/>
      </c>
      <c r="C1982">
        <f>IF(OR($A1982="",$B1982=""),"",IF(ISNUMBER($A1982),INT(MOD($A1982,10000)/100),IFERROR(VALUE(TRIM(LEFT(MID($A1982,FIND("/",$A1982)+1,20),FIND("/",MID($A1982,FIND("/",$A1982)+1,20))-1))),"")))</f>
        <v/>
      </c>
      <c r="D1982">
        <f>IF(OR($A1982="",$B1982=""),"",IF(ISNUMBER($A1982),MOD($A1982,100),IFERROR(VALUE(TRIM(MID(MID($A1982,FIND("/",$A1982)+1,20),FIND("/",MID($A1982,FIND("/",$A1982)+1,20))+1,20))),"")))</f>
        <v/>
      </c>
      <c r="E1982">
        <f>IF($A1982="","",IF(OR($B1982="",$C1982="",$D1982="",$B1982&lt;1300,$B1982&gt;1500,$C1982&lt;1,$C1982&gt;12,$D1982&lt;1,$D1982&gt;31),"نامعتبر",RIGHT("0000"&amp;$B1982,4)&amp;"/"&amp;RIGHT("00"&amp;$C1982,2)&amp;"/"&amp;RIGHT("00"&amp;$D1982,2)))</f>
        <v/>
      </c>
      <c r="F1982">
        <f>IF(OR($E1982="",$E1982="نامعتبر"),"",IF(Sync!$Q1979="","0000",IF(AND(ISNUMBER(Sync!$Q1979),Sync!$Q1979&gt;=0,Sync!$Q1979&lt;1),RIGHT("00"&amp;HOUR(Sync!$Q1979),2)&amp;RIGHT("00"&amp;MINUTE(Sync!$Q1979),2),IFERROR(RIGHT("00"&amp;VALUE(LEFT(Sync!$Q1979,FIND(":",Sync!$Q1979)-1)),2)&amp;RIGHT("00"&amp;VALUE(MID(Sync!$Q1979,FIND(":",Sync!$Q1979)+1,2)),2),"0000"))))</f>
        <v/>
      </c>
      <c r="G1982">
        <f>IF(OR($E1982="",$E1982="نامعتبر"),"",IF(Sync!$S1979="","",Sync!$S1979))</f>
        <v/>
      </c>
      <c r="H1982">
        <f>IF(OR($E1982="",$E1982="نامعتبر"),"",IF(Sync!$R1979="","",Sync!$R1979))</f>
        <v/>
      </c>
      <c r="I1982">
        <f>IF(OR($E1982="",$E1982="نامعتبر"),"",IF(Sync!$T1979="","",Sync!$T1979))</f>
        <v/>
      </c>
      <c r="J1982">
        <f>IF(OR($E1982="",$E1982="نامعتبر"),"",IF(Sync!$U1979="","",Sync!$U1979))</f>
        <v/>
      </c>
      <c r="K1982">
        <f>IF(OR($E1982="",$E1982="نامعتبر"),"",IF(Sync!$V1979="","",IFERROR(INDEX(SubCodes,MATCH(Sync!$V1979,SubTitles,0)),Sync!$V1979)))</f>
        <v/>
      </c>
      <c r="L1982">
        <f>IF(OR($E1982="",$E1982="نامعتبر"),"",IF(Sync!$W1979="",0,Sync!$W1979))</f>
        <v/>
      </c>
      <c r="M1982">
        <f>IF(OR($E1982="",$E1982="نامعتبر"),"",IF(Sync!$X1979="",0,Sync!$X1979))</f>
        <v/>
      </c>
      <c r="N1982">
        <f>IF(OR($E1982="",$E1982="نامعتبر"),"",IF(AND($J1982="هزینه",$K1982&lt;&gt;""),1,0))</f>
        <v/>
      </c>
      <c r="O1982">
        <f>IF($N1982=0,"",LEFT($E1982,4)&amp;MID($E1982,6,2)&amp;RIGHT($E1982,2)&amp;$F1982&amp;"|"&amp;"1"&amp;RIGHT("00000"&amp;1974,5))</f>
        <v/>
      </c>
      <c r="P1982">
        <f>IF($O1982="","",COUNTIFS(ExpSub,$K1982,ExpKey,"&lt;"&amp;$O1982)+1)</f>
        <v/>
      </c>
      <c r="Q1982">
        <f>IF($P1982="","",$K1982&amp;"|"&amp;RIGHT("000000"&amp;$P1982,6))</f>
        <v/>
      </c>
    </row>
    <row r="1983">
      <c r="A1983">
        <f>IF(Sync!$P1980="","",Sync!$P1980)</f>
        <v/>
      </c>
      <c r="B1983">
        <f>IF($A1983="","",IF(ISNUMBER($A1983),IF(AND($A1983&gt;=10000101,$A1983&lt;=99991231),INT($A1983/10000),""),IFERROR(VALUE(TRIM(LEFT($A1983,FIND("/",$A1983)-1))),"")))</f>
        <v/>
      </c>
      <c r="C1983">
        <f>IF(OR($A1983="",$B1983=""),"",IF(ISNUMBER($A1983),INT(MOD($A1983,10000)/100),IFERROR(VALUE(TRIM(LEFT(MID($A1983,FIND("/",$A1983)+1,20),FIND("/",MID($A1983,FIND("/",$A1983)+1,20))-1))),"")))</f>
        <v/>
      </c>
      <c r="D1983">
        <f>IF(OR($A1983="",$B1983=""),"",IF(ISNUMBER($A1983),MOD($A1983,100),IFERROR(VALUE(TRIM(MID(MID($A1983,FIND("/",$A1983)+1,20),FIND("/",MID($A1983,FIND("/",$A1983)+1,20))+1,20))),"")))</f>
        <v/>
      </c>
      <c r="E1983">
        <f>IF($A1983="","",IF(OR($B1983="",$C1983="",$D1983="",$B1983&lt;1300,$B1983&gt;1500,$C1983&lt;1,$C1983&gt;12,$D1983&lt;1,$D1983&gt;31),"نامعتبر",RIGHT("0000"&amp;$B1983,4)&amp;"/"&amp;RIGHT("00"&amp;$C1983,2)&amp;"/"&amp;RIGHT("00"&amp;$D1983,2)))</f>
        <v/>
      </c>
      <c r="F1983">
        <f>IF(OR($E1983="",$E1983="نامعتبر"),"",IF(Sync!$Q1980="","0000",IF(AND(ISNUMBER(Sync!$Q1980),Sync!$Q1980&gt;=0,Sync!$Q1980&lt;1),RIGHT("00"&amp;HOUR(Sync!$Q1980),2)&amp;RIGHT("00"&amp;MINUTE(Sync!$Q1980),2),IFERROR(RIGHT("00"&amp;VALUE(LEFT(Sync!$Q1980,FIND(":",Sync!$Q1980)-1)),2)&amp;RIGHT("00"&amp;VALUE(MID(Sync!$Q1980,FIND(":",Sync!$Q1980)+1,2)),2),"0000"))))</f>
        <v/>
      </c>
      <c r="G1983">
        <f>IF(OR($E1983="",$E1983="نامعتبر"),"",IF(Sync!$S1980="","",Sync!$S1980))</f>
        <v/>
      </c>
      <c r="H1983">
        <f>IF(OR($E1983="",$E1983="نامعتبر"),"",IF(Sync!$R1980="","",Sync!$R1980))</f>
        <v/>
      </c>
      <c r="I1983">
        <f>IF(OR($E1983="",$E1983="نامعتبر"),"",IF(Sync!$T1980="","",Sync!$T1980))</f>
        <v/>
      </c>
      <c r="J1983">
        <f>IF(OR($E1983="",$E1983="نامعتبر"),"",IF(Sync!$U1980="","",Sync!$U1980))</f>
        <v/>
      </c>
      <c r="K1983">
        <f>IF(OR($E1983="",$E1983="نامعتبر"),"",IF(Sync!$V1980="","",IFERROR(INDEX(SubCodes,MATCH(Sync!$V1980,SubTitles,0)),Sync!$V1980)))</f>
        <v/>
      </c>
      <c r="L1983">
        <f>IF(OR($E1983="",$E1983="نامعتبر"),"",IF(Sync!$W1980="",0,Sync!$W1980))</f>
        <v/>
      </c>
      <c r="M1983">
        <f>IF(OR($E1983="",$E1983="نامعتبر"),"",IF(Sync!$X1980="",0,Sync!$X1980))</f>
        <v/>
      </c>
      <c r="N1983">
        <f>IF(OR($E1983="",$E1983="نامعتبر"),"",IF(AND($J1983="هزینه",$K1983&lt;&gt;""),1,0))</f>
        <v/>
      </c>
      <c r="O1983">
        <f>IF($N1983=0,"",LEFT($E1983,4)&amp;MID($E1983,6,2)&amp;RIGHT($E1983,2)&amp;$F1983&amp;"|"&amp;"1"&amp;RIGHT("00000"&amp;1975,5))</f>
        <v/>
      </c>
      <c r="P1983">
        <f>IF($O1983="","",COUNTIFS(ExpSub,$K1983,ExpKey,"&lt;"&amp;$O1983)+1)</f>
        <v/>
      </c>
      <c r="Q1983">
        <f>IF($P1983="","",$K1983&amp;"|"&amp;RIGHT("000000"&amp;$P1983,6))</f>
        <v/>
      </c>
    </row>
    <row r="1984">
      <c r="A1984">
        <f>IF(Sync!$P1981="","",Sync!$P1981)</f>
        <v/>
      </c>
      <c r="B1984">
        <f>IF($A1984="","",IF(ISNUMBER($A1984),IF(AND($A1984&gt;=10000101,$A1984&lt;=99991231),INT($A1984/10000),""),IFERROR(VALUE(TRIM(LEFT($A1984,FIND("/",$A1984)-1))),"")))</f>
        <v/>
      </c>
      <c r="C1984">
        <f>IF(OR($A1984="",$B1984=""),"",IF(ISNUMBER($A1984),INT(MOD($A1984,10000)/100),IFERROR(VALUE(TRIM(LEFT(MID($A1984,FIND("/",$A1984)+1,20),FIND("/",MID($A1984,FIND("/",$A1984)+1,20))-1))),"")))</f>
        <v/>
      </c>
      <c r="D1984">
        <f>IF(OR($A1984="",$B1984=""),"",IF(ISNUMBER($A1984),MOD($A1984,100),IFERROR(VALUE(TRIM(MID(MID($A1984,FIND("/",$A1984)+1,20),FIND("/",MID($A1984,FIND("/",$A1984)+1,20))+1,20))),"")))</f>
        <v/>
      </c>
      <c r="E1984">
        <f>IF($A1984="","",IF(OR($B1984="",$C1984="",$D1984="",$B1984&lt;1300,$B1984&gt;1500,$C1984&lt;1,$C1984&gt;12,$D1984&lt;1,$D1984&gt;31),"نامعتبر",RIGHT("0000"&amp;$B1984,4)&amp;"/"&amp;RIGHT("00"&amp;$C1984,2)&amp;"/"&amp;RIGHT("00"&amp;$D1984,2)))</f>
        <v/>
      </c>
      <c r="F1984">
        <f>IF(OR($E1984="",$E1984="نامعتبر"),"",IF(Sync!$Q1981="","0000",IF(AND(ISNUMBER(Sync!$Q1981),Sync!$Q1981&gt;=0,Sync!$Q1981&lt;1),RIGHT("00"&amp;HOUR(Sync!$Q1981),2)&amp;RIGHT("00"&amp;MINUTE(Sync!$Q1981),2),IFERROR(RIGHT("00"&amp;VALUE(LEFT(Sync!$Q1981,FIND(":",Sync!$Q1981)-1)),2)&amp;RIGHT("00"&amp;VALUE(MID(Sync!$Q1981,FIND(":",Sync!$Q1981)+1,2)),2),"0000"))))</f>
        <v/>
      </c>
      <c r="G1984">
        <f>IF(OR($E1984="",$E1984="نامعتبر"),"",IF(Sync!$S1981="","",Sync!$S1981))</f>
        <v/>
      </c>
      <c r="H1984">
        <f>IF(OR($E1984="",$E1984="نامعتبر"),"",IF(Sync!$R1981="","",Sync!$R1981))</f>
        <v/>
      </c>
      <c r="I1984">
        <f>IF(OR($E1984="",$E1984="نامعتبر"),"",IF(Sync!$T1981="","",Sync!$T1981))</f>
        <v/>
      </c>
      <c r="J1984">
        <f>IF(OR($E1984="",$E1984="نامعتبر"),"",IF(Sync!$U1981="","",Sync!$U1981))</f>
        <v/>
      </c>
      <c r="K1984">
        <f>IF(OR($E1984="",$E1984="نامعتبر"),"",IF(Sync!$V1981="","",IFERROR(INDEX(SubCodes,MATCH(Sync!$V1981,SubTitles,0)),Sync!$V1981)))</f>
        <v/>
      </c>
      <c r="L1984">
        <f>IF(OR($E1984="",$E1984="نامعتبر"),"",IF(Sync!$W1981="",0,Sync!$W1981))</f>
        <v/>
      </c>
      <c r="M1984">
        <f>IF(OR($E1984="",$E1984="نامعتبر"),"",IF(Sync!$X1981="",0,Sync!$X1981))</f>
        <v/>
      </c>
      <c r="N1984">
        <f>IF(OR($E1984="",$E1984="نامعتبر"),"",IF(AND($J1984="هزینه",$K1984&lt;&gt;""),1,0))</f>
        <v/>
      </c>
      <c r="O1984">
        <f>IF($N1984=0,"",LEFT($E1984,4)&amp;MID($E1984,6,2)&amp;RIGHT($E1984,2)&amp;$F1984&amp;"|"&amp;"1"&amp;RIGHT("00000"&amp;1976,5))</f>
        <v/>
      </c>
      <c r="P1984">
        <f>IF($O1984="","",COUNTIFS(ExpSub,$K1984,ExpKey,"&lt;"&amp;$O1984)+1)</f>
        <v/>
      </c>
      <c r="Q1984">
        <f>IF($P1984="","",$K1984&amp;"|"&amp;RIGHT("000000"&amp;$P1984,6))</f>
        <v/>
      </c>
    </row>
    <row r="1985">
      <c r="A1985">
        <f>IF(Sync!$P1982="","",Sync!$P1982)</f>
        <v/>
      </c>
      <c r="B1985">
        <f>IF($A1985="","",IF(ISNUMBER($A1985),IF(AND($A1985&gt;=10000101,$A1985&lt;=99991231),INT($A1985/10000),""),IFERROR(VALUE(TRIM(LEFT($A1985,FIND("/",$A1985)-1))),"")))</f>
        <v/>
      </c>
      <c r="C1985">
        <f>IF(OR($A1985="",$B1985=""),"",IF(ISNUMBER($A1985),INT(MOD($A1985,10000)/100),IFERROR(VALUE(TRIM(LEFT(MID($A1985,FIND("/",$A1985)+1,20),FIND("/",MID($A1985,FIND("/",$A1985)+1,20))-1))),"")))</f>
        <v/>
      </c>
      <c r="D1985">
        <f>IF(OR($A1985="",$B1985=""),"",IF(ISNUMBER($A1985),MOD($A1985,100),IFERROR(VALUE(TRIM(MID(MID($A1985,FIND("/",$A1985)+1,20),FIND("/",MID($A1985,FIND("/",$A1985)+1,20))+1,20))),"")))</f>
        <v/>
      </c>
      <c r="E1985">
        <f>IF($A1985="","",IF(OR($B1985="",$C1985="",$D1985="",$B1985&lt;1300,$B1985&gt;1500,$C1985&lt;1,$C1985&gt;12,$D1985&lt;1,$D1985&gt;31),"نامعتبر",RIGHT("0000"&amp;$B1985,4)&amp;"/"&amp;RIGHT("00"&amp;$C1985,2)&amp;"/"&amp;RIGHT("00"&amp;$D1985,2)))</f>
        <v/>
      </c>
      <c r="F1985">
        <f>IF(OR($E1985="",$E1985="نامعتبر"),"",IF(Sync!$Q1982="","0000",IF(AND(ISNUMBER(Sync!$Q1982),Sync!$Q1982&gt;=0,Sync!$Q1982&lt;1),RIGHT("00"&amp;HOUR(Sync!$Q1982),2)&amp;RIGHT("00"&amp;MINUTE(Sync!$Q1982),2),IFERROR(RIGHT("00"&amp;VALUE(LEFT(Sync!$Q1982,FIND(":",Sync!$Q1982)-1)),2)&amp;RIGHT("00"&amp;VALUE(MID(Sync!$Q1982,FIND(":",Sync!$Q1982)+1,2)),2),"0000"))))</f>
        <v/>
      </c>
      <c r="G1985">
        <f>IF(OR($E1985="",$E1985="نامعتبر"),"",IF(Sync!$S1982="","",Sync!$S1982))</f>
        <v/>
      </c>
      <c r="H1985">
        <f>IF(OR($E1985="",$E1985="نامعتبر"),"",IF(Sync!$R1982="","",Sync!$R1982))</f>
        <v/>
      </c>
      <c r="I1985">
        <f>IF(OR($E1985="",$E1985="نامعتبر"),"",IF(Sync!$T1982="","",Sync!$T1982))</f>
        <v/>
      </c>
      <c r="J1985">
        <f>IF(OR($E1985="",$E1985="نامعتبر"),"",IF(Sync!$U1982="","",Sync!$U1982))</f>
        <v/>
      </c>
      <c r="K1985">
        <f>IF(OR($E1985="",$E1985="نامعتبر"),"",IF(Sync!$V1982="","",IFERROR(INDEX(SubCodes,MATCH(Sync!$V1982,SubTitles,0)),Sync!$V1982)))</f>
        <v/>
      </c>
      <c r="L1985">
        <f>IF(OR($E1985="",$E1985="نامعتبر"),"",IF(Sync!$W1982="",0,Sync!$W1982))</f>
        <v/>
      </c>
      <c r="M1985">
        <f>IF(OR($E1985="",$E1985="نامعتبر"),"",IF(Sync!$X1982="",0,Sync!$X1982))</f>
        <v/>
      </c>
      <c r="N1985">
        <f>IF(OR($E1985="",$E1985="نامعتبر"),"",IF(AND($J1985="هزینه",$K1985&lt;&gt;""),1,0))</f>
        <v/>
      </c>
      <c r="O1985">
        <f>IF($N1985=0,"",LEFT($E1985,4)&amp;MID($E1985,6,2)&amp;RIGHT($E1985,2)&amp;$F1985&amp;"|"&amp;"1"&amp;RIGHT("00000"&amp;1977,5))</f>
        <v/>
      </c>
      <c r="P1985">
        <f>IF($O1985="","",COUNTIFS(ExpSub,$K1985,ExpKey,"&lt;"&amp;$O1985)+1)</f>
        <v/>
      </c>
      <c r="Q1985">
        <f>IF($P1985="","",$K1985&amp;"|"&amp;RIGHT("000000"&amp;$P1985,6))</f>
        <v/>
      </c>
    </row>
    <row r="1986">
      <c r="A1986">
        <f>IF(Sync!$P1983="","",Sync!$P1983)</f>
        <v/>
      </c>
      <c r="B1986">
        <f>IF($A1986="","",IF(ISNUMBER($A1986),IF(AND($A1986&gt;=10000101,$A1986&lt;=99991231),INT($A1986/10000),""),IFERROR(VALUE(TRIM(LEFT($A1986,FIND("/",$A1986)-1))),"")))</f>
        <v/>
      </c>
      <c r="C1986">
        <f>IF(OR($A1986="",$B1986=""),"",IF(ISNUMBER($A1986),INT(MOD($A1986,10000)/100),IFERROR(VALUE(TRIM(LEFT(MID($A1986,FIND("/",$A1986)+1,20),FIND("/",MID($A1986,FIND("/",$A1986)+1,20))-1))),"")))</f>
        <v/>
      </c>
      <c r="D1986">
        <f>IF(OR($A1986="",$B1986=""),"",IF(ISNUMBER($A1986),MOD($A1986,100),IFERROR(VALUE(TRIM(MID(MID($A1986,FIND("/",$A1986)+1,20),FIND("/",MID($A1986,FIND("/",$A1986)+1,20))+1,20))),"")))</f>
        <v/>
      </c>
      <c r="E1986">
        <f>IF($A1986="","",IF(OR($B1986="",$C1986="",$D1986="",$B1986&lt;1300,$B1986&gt;1500,$C1986&lt;1,$C1986&gt;12,$D1986&lt;1,$D1986&gt;31),"نامعتبر",RIGHT("0000"&amp;$B1986,4)&amp;"/"&amp;RIGHT("00"&amp;$C1986,2)&amp;"/"&amp;RIGHT("00"&amp;$D1986,2)))</f>
        <v/>
      </c>
      <c r="F1986">
        <f>IF(OR($E1986="",$E1986="نامعتبر"),"",IF(Sync!$Q1983="","0000",IF(AND(ISNUMBER(Sync!$Q1983),Sync!$Q1983&gt;=0,Sync!$Q1983&lt;1),RIGHT("00"&amp;HOUR(Sync!$Q1983),2)&amp;RIGHT("00"&amp;MINUTE(Sync!$Q1983),2),IFERROR(RIGHT("00"&amp;VALUE(LEFT(Sync!$Q1983,FIND(":",Sync!$Q1983)-1)),2)&amp;RIGHT("00"&amp;VALUE(MID(Sync!$Q1983,FIND(":",Sync!$Q1983)+1,2)),2),"0000"))))</f>
        <v/>
      </c>
      <c r="G1986">
        <f>IF(OR($E1986="",$E1986="نامعتبر"),"",IF(Sync!$S1983="","",Sync!$S1983))</f>
        <v/>
      </c>
      <c r="H1986">
        <f>IF(OR($E1986="",$E1986="نامعتبر"),"",IF(Sync!$R1983="","",Sync!$R1983))</f>
        <v/>
      </c>
      <c r="I1986">
        <f>IF(OR($E1986="",$E1986="نامعتبر"),"",IF(Sync!$T1983="","",Sync!$T1983))</f>
        <v/>
      </c>
      <c r="J1986">
        <f>IF(OR($E1986="",$E1986="نامعتبر"),"",IF(Sync!$U1983="","",Sync!$U1983))</f>
        <v/>
      </c>
      <c r="K1986">
        <f>IF(OR($E1986="",$E1986="نامعتبر"),"",IF(Sync!$V1983="","",IFERROR(INDEX(SubCodes,MATCH(Sync!$V1983,SubTitles,0)),Sync!$V1983)))</f>
        <v/>
      </c>
      <c r="L1986">
        <f>IF(OR($E1986="",$E1986="نامعتبر"),"",IF(Sync!$W1983="",0,Sync!$W1983))</f>
        <v/>
      </c>
      <c r="M1986">
        <f>IF(OR($E1986="",$E1986="نامعتبر"),"",IF(Sync!$X1983="",0,Sync!$X1983))</f>
        <v/>
      </c>
      <c r="N1986">
        <f>IF(OR($E1986="",$E1986="نامعتبر"),"",IF(AND($J1986="هزینه",$K1986&lt;&gt;""),1,0))</f>
        <v/>
      </c>
      <c r="O1986">
        <f>IF($N1986=0,"",LEFT($E1986,4)&amp;MID($E1986,6,2)&amp;RIGHT($E1986,2)&amp;$F1986&amp;"|"&amp;"1"&amp;RIGHT("00000"&amp;1978,5))</f>
        <v/>
      </c>
      <c r="P1986">
        <f>IF($O1986="","",COUNTIFS(ExpSub,$K1986,ExpKey,"&lt;"&amp;$O1986)+1)</f>
        <v/>
      </c>
      <c r="Q1986">
        <f>IF($P1986="","",$K1986&amp;"|"&amp;RIGHT("000000"&amp;$P1986,6))</f>
        <v/>
      </c>
    </row>
    <row r="1987">
      <c r="A1987">
        <f>IF(Sync!$P1984="","",Sync!$P1984)</f>
        <v/>
      </c>
      <c r="B1987">
        <f>IF($A1987="","",IF(ISNUMBER($A1987),IF(AND($A1987&gt;=10000101,$A1987&lt;=99991231),INT($A1987/10000),""),IFERROR(VALUE(TRIM(LEFT($A1987,FIND("/",$A1987)-1))),"")))</f>
        <v/>
      </c>
      <c r="C1987">
        <f>IF(OR($A1987="",$B1987=""),"",IF(ISNUMBER($A1987),INT(MOD($A1987,10000)/100),IFERROR(VALUE(TRIM(LEFT(MID($A1987,FIND("/",$A1987)+1,20),FIND("/",MID($A1987,FIND("/",$A1987)+1,20))-1))),"")))</f>
        <v/>
      </c>
      <c r="D1987">
        <f>IF(OR($A1987="",$B1987=""),"",IF(ISNUMBER($A1987),MOD($A1987,100),IFERROR(VALUE(TRIM(MID(MID($A1987,FIND("/",$A1987)+1,20),FIND("/",MID($A1987,FIND("/",$A1987)+1,20))+1,20))),"")))</f>
        <v/>
      </c>
      <c r="E1987">
        <f>IF($A1987="","",IF(OR($B1987="",$C1987="",$D1987="",$B1987&lt;1300,$B1987&gt;1500,$C1987&lt;1,$C1987&gt;12,$D1987&lt;1,$D1987&gt;31),"نامعتبر",RIGHT("0000"&amp;$B1987,4)&amp;"/"&amp;RIGHT("00"&amp;$C1987,2)&amp;"/"&amp;RIGHT("00"&amp;$D1987,2)))</f>
        <v/>
      </c>
      <c r="F1987">
        <f>IF(OR($E1987="",$E1987="نامعتبر"),"",IF(Sync!$Q1984="","0000",IF(AND(ISNUMBER(Sync!$Q1984),Sync!$Q1984&gt;=0,Sync!$Q1984&lt;1),RIGHT("00"&amp;HOUR(Sync!$Q1984),2)&amp;RIGHT("00"&amp;MINUTE(Sync!$Q1984),2),IFERROR(RIGHT("00"&amp;VALUE(LEFT(Sync!$Q1984,FIND(":",Sync!$Q1984)-1)),2)&amp;RIGHT("00"&amp;VALUE(MID(Sync!$Q1984,FIND(":",Sync!$Q1984)+1,2)),2),"0000"))))</f>
        <v/>
      </c>
      <c r="G1987">
        <f>IF(OR($E1987="",$E1987="نامعتبر"),"",IF(Sync!$S1984="","",Sync!$S1984))</f>
        <v/>
      </c>
      <c r="H1987">
        <f>IF(OR($E1987="",$E1987="نامعتبر"),"",IF(Sync!$R1984="","",Sync!$R1984))</f>
        <v/>
      </c>
      <c r="I1987">
        <f>IF(OR($E1987="",$E1987="نامعتبر"),"",IF(Sync!$T1984="","",Sync!$T1984))</f>
        <v/>
      </c>
      <c r="J1987">
        <f>IF(OR($E1987="",$E1987="نامعتبر"),"",IF(Sync!$U1984="","",Sync!$U1984))</f>
        <v/>
      </c>
      <c r="K1987">
        <f>IF(OR($E1987="",$E1987="نامعتبر"),"",IF(Sync!$V1984="","",IFERROR(INDEX(SubCodes,MATCH(Sync!$V1984,SubTitles,0)),Sync!$V1984)))</f>
        <v/>
      </c>
      <c r="L1987">
        <f>IF(OR($E1987="",$E1987="نامعتبر"),"",IF(Sync!$W1984="",0,Sync!$W1984))</f>
        <v/>
      </c>
      <c r="M1987">
        <f>IF(OR($E1987="",$E1987="نامعتبر"),"",IF(Sync!$X1984="",0,Sync!$X1984))</f>
        <v/>
      </c>
      <c r="N1987">
        <f>IF(OR($E1987="",$E1987="نامعتبر"),"",IF(AND($J1987="هزینه",$K1987&lt;&gt;""),1,0))</f>
        <v/>
      </c>
      <c r="O1987">
        <f>IF($N1987=0,"",LEFT($E1987,4)&amp;MID($E1987,6,2)&amp;RIGHT($E1987,2)&amp;$F1987&amp;"|"&amp;"1"&amp;RIGHT("00000"&amp;1979,5))</f>
        <v/>
      </c>
      <c r="P1987">
        <f>IF($O1987="","",COUNTIFS(ExpSub,$K1987,ExpKey,"&lt;"&amp;$O1987)+1)</f>
        <v/>
      </c>
      <c r="Q1987">
        <f>IF($P1987="","",$K1987&amp;"|"&amp;RIGHT("000000"&amp;$P1987,6))</f>
        <v/>
      </c>
    </row>
    <row r="1988">
      <c r="A1988">
        <f>IF(Sync!$P1985="","",Sync!$P1985)</f>
        <v/>
      </c>
      <c r="B1988">
        <f>IF($A1988="","",IF(ISNUMBER($A1988),IF(AND($A1988&gt;=10000101,$A1988&lt;=99991231),INT($A1988/10000),""),IFERROR(VALUE(TRIM(LEFT($A1988,FIND("/",$A1988)-1))),"")))</f>
        <v/>
      </c>
      <c r="C1988">
        <f>IF(OR($A1988="",$B1988=""),"",IF(ISNUMBER($A1988),INT(MOD($A1988,10000)/100),IFERROR(VALUE(TRIM(LEFT(MID($A1988,FIND("/",$A1988)+1,20),FIND("/",MID($A1988,FIND("/",$A1988)+1,20))-1))),"")))</f>
        <v/>
      </c>
      <c r="D1988">
        <f>IF(OR($A1988="",$B1988=""),"",IF(ISNUMBER($A1988),MOD($A1988,100),IFERROR(VALUE(TRIM(MID(MID($A1988,FIND("/",$A1988)+1,20),FIND("/",MID($A1988,FIND("/",$A1988)+1,20))+1,20))),"")))</f>
        <v/>
      </c>
      <c r="E1988">
        <f>IF($A1988="","",IF(OR($B1988="",$C1988="",$D1988="",$B1988&lt;1300,$B1988&gt;1500,$C1988&lt;1,$C1988&gt;12,$D1988&lt;1,$D1988&gt;31),"نامعتبر",RIGHT("0000"&amp;$B1988,4)&amp;"/"&amp;RIGHT("00"&amp;$C1988,2)&amp;"/"&amp;RIGHT("00"&amp;$D1988,2)))</f>
        <v/>
      </c>
      <c r="F1988">
        <f>IF(OR($E1988="",$E1988="نامعتبر"),"",IF(Sync!$Q1985="","0000",IF(AND(ISNUMBER(Sync!$Q1985),Sync!$Q1985&gt;=0,Sync!$Q1985&lt;1),RIGHT("00"&amp;HOUR(Sync!$Q1985),2)&amp;RIGHT("00"&amp;MINUTE(Sync!$Q1985),2),IFERROR(RIGHT("00"&amp;VALUE(LEFT(Sync!$Q1985,FIND(":",Sync!$Q1985)-1)),2)&amp;RIGHT("00"&amp;VALUE(MID(Sync!$Q1985,FIND(":",Sync!$Q1985)+1,2)),2),"0000"))))</f>
        <v/>
      </c>
      <c r="G1988">
        <f>IF(OR($E1988="",$E1988="نامعتبر"),"",IF(Sync!$S1985="","",Sync!$S1985))</f>
        <v/>
      </c>
      <c r="H1988">
        <f>IF(OR($E1988="",$E1988="نامعتبر"),"",IF(Sync!$R1985="","",Sync!$R1985))</f>
        <v/>
      </c>
      <c r="I1988">
        <f>IF(OR($E1988="",$E1988="نامعتبر"),"",IF(Sync!$T1985="","",Sync!$T1985))</f>
        <v/>
      </c>
      <c r="J1988">
        <f>IF(OR($E1988="",$E1988="نامعتبر"),"",IF(Sync!$U1985="","",Sync!$U1985))</f>
        <v/>
      </c>
      <c r="K1988">
        <f>IF(OR($E1988="",$E1988="نامعتبر"),"",IF(Sync!$V1985="","",IFERROR(INDEX(SubCodes,MATCH(Sync!$V1985,SubTitles,0)),Sync!$V1985)))</f>
        <v/>
      </c>
      <c r="L1988">
        <f>IF(OR($E1988="",$E1988="نامعتبر"),"",IF(Sync!$W1985="",0,Sync!$W1985))</f>
        <v/>
      </c>
      <c r="M1988">
        <f>IF(OR($E1988="",$E1988="نامعتبر"),"",IF(Sync!$X1985="",0,Sync!$X1985))</f>
        <v/>
      </c>
      <c r="N1988">
        <f>IF(OR($E1988="",$E1988="نامعتبر"),"",IF(AND($J1988="هزینه",$K1988&lt;&gt;""),1,0))</f>
        <v/>
      </c>
      <c r="O1988">
        <f>IF($N1988=0,"",LEFT($E1988,4)&amp;MID($E1988,6,2)&amp;RIGHT($E1988,2)&amp;$F1988&amp;"|"&amp;"1"&amp;RIGHT("00000"&amp;1980,5))</f>
        <v/>
      </c>
      <c r="P1988">
        <f>IF($O1988="","",COUNTIFS(ExpSub,$K1988,ExpKey,"&lt;"&amp;$O1988)+1)</f>
        <v/>
      </c>
      <c r="Q1988">
        <f>IF($P1988="","",$K1988&amp;"|"&amp;RIGHT("000000"&amp;$P1988,6))</f>
        <v/>
      </c>
    </row>
    <row r="1989">
      <c r="A1989">
        <f>IF(Sync!$P1986="","",Sync!$P1986)</f>
        <v/>
      </c>
      <c r="B1989">
        <f>IF($A1989="","",IF(ISNUMBER($A1989),IF(AND($A1989&gt;=10000101,$A1989&lt;=99991231),INT($A1989/10000),""),IFERROR(VALUE(TRIM(LEFT($A1989,FIND("/",$A1989)-1))),"")))</f>
        <v/>
      </c>
      <c r="C1989">
        <f>IF(OR($A1989="",$B1989=""),"",IF(ISNUMBER($A1989),INT(MOD($A1989,10000)/100),IFERROR(VALUE(TRIM(LEFT(MID($A1989,FIND("/",$A1989)+1,20),FIND("/",MID($A1989,FIND("/",$A1989)+1,20))-1))),"")))</f>
        <v/>
      </c>
      <c r="D1989">
        <f>IF(OR($A1989="",$B1989=""),"",IF(ISNUMBER($A1989),MOD($A1989,100),IFERROR(VALUE(TRIM(MID(MID($A1989,FIND("/",$A1989)+1,20),FIND("/",MID($A1989,FIND("/",$A1989)+1,20))+1,20))),"")))</f>
        <v/>
      </c>
      <c r="E1989">
        <f>IF($A1989="","",IF(OR($B1989="",$C1989="",$D1989="",$B1989&lt;1300,$B1989&gt;1500,$C1989&lt;1,$C1989&gt;12,$D1989&lt;1,$D1989&gt;31),"نامعتبر",RIGHT("0000"&amp;$B1989,4)&amp;"/"&amp;RIGHT("00"&amp;$C1989,2)&amp;"/"&amp;RIGHT("00"&amp;$D1989,2)))</f>
        <v/>
      </c>
      <c r="F1989">
        <f>IF(OR($E1989="",$E1989="نامعتبر"),"",IF(Sync!$Q1986="","0000",IF(AND(ISNUMBER(Sync!$Q1986),Sync!$Q1986&gt;=0,Sync!$Q1986&lt;1),RIGHT("00"&amp;HOUR(Sync!$Q1986),2)&amp;RIGHT("00"&amp;MINUTE(Sync!$Q1986),2),IFERROR(RIGHT("00"&amp;VALUE(LEFT(Sync!$Q1986,FIND(":",Sync!$Q1986)-1)),2)&amp;RIGHT("00"&amp;VALUE(MID(Sync!$Q1986,FIND(":",Sync!$Q1986)+1,2)),2),"0000"))))</f>
        <v/>
      </c>
      <c r="G1989">
        <f>IF(OR($E1989="",$E1989="نامعتبر"),"",IF(Sync!$S1986="","",Sync!$S1986))</f>
        <v/>
      </c>
      <c r="H1989">
        <f>IF(OR($E1989="",$E1989="نامعتبر"),"",IF(Sync!$R1986="","",Sync!$R1986))</f>
        <v/>
      </c>
      <c r="I1989">
        <f>IF(OR($E1989="",$E1989="نامعتبر"),"",IF(Sync!$T1986="","",Sync!$T1986))</f>
        <v/>
      </c>
      <c r="J1989">
        <f>IF(OR($E1989="",$E1989="نامعتبر"),"",IF(Sync!$U1986="","",Sync!$U1986))</f>
        <v/>
      </c>
      <c r="K1989">
        <f>IF(OR($E1989="",$E1989="نامعتبر"),"",IF(Sync!$V1986="","",IFERROR(INDEX(SubCodes,MATCH(Sync!$V1986,SubTitles,0)),Sync!$V1986)))</f>
        <v/>
      </c>
      <c r="L1989">
        <f>IF(OR($E1989="",$E1989="نامعتبر"),"",IF(Sync!$W1986="",0,Sync!$W1986))</f>
        <v/>
      </c>
      <c r="M1989">
        <f>IF(OR($E1989="",$E1989="نامعتبر"),"",IF(Sync!$X1986="",0,Sync!$X1986))</f>
        <v/>
      </c>
      <c r="N1989">
        <f>IF(OR($E1989="",$E1989="نامعتبر"),"",IF(AND($J1989="هزینه",$K1989&lt;&gt;""),1,0))</f>
        <v/>
      </c>
      <c r="O1989">
        <f>IF($N1989=0,"",LEFT($E1989,4)&amp;MID($E1989,6,2)&amp;RIGHT($E1989,2)&amp;$F1989&amp;"|"&amp;"1"&amp;RIGHT("00000"&amp;1981,5))</f>
        <v/>
      </c>
      <c r="P1989">
        <f>IF($O1989="","",COUNTIFS(ExpSub,$K1989,ExpKey,"&lt;"&amp;$O1989)+1)</f>
        <v/>
      </c>
      <c r="Q1989">
        <f>IF($P1989="","",$K1989&amp;"|"&amp;RIGHT("000000"&amp;$P1989,6))</f>
        <v/>
      </c>
    </row>
    <row r="1990">
      <c r="A1990">
        <f>IF(Sync!$P1987="","",Sync!$P1987)</f>
        <v/>
      </c>
      <c r="B1990">
        <f>IF($A1990="","",IF(ISNUMBER($A1990),IF(AND($A1990&gt;=10000101,$A1990&lt;=99991231),INT($A1990/10000),""),IFERROR(VALUE(TRIM(LEFT($A1990,FIND("/",$A1990)-1))),"")))</f>
        <v/>
      </c>
      <c r="C1990">
        <f>IF(OR($A1990="",$B1990=""),"",IF(ISNUMBER($A1990),INT(MOD($A1990,10000)/100),IFERROR(VALUE(TRIM(LEFT(MID($A1990,FIND("/",$A1990)+1,20),FIND("/",MID($A1990,FIND("/",$A1990)+1,20))-1))),"")))</f>
        <v/>
      </c>
      <c r="D1990">
        <f>IF(OR($A1990="",$B1990=""),"",IF(ISNUMBER($A1990),MOD($A1990,100),IFERROR(VALUE(TRIM(MID(MID($A1990,FIND("/",$A1990)+1,20),FIND("/",MID($A1990,FIND("/",$A1990)+1,20))+1,20))),"")))</f>
        <v/>
      </c>
      <c r="E1990">
        <f>IF($A1990="","",IF(OR($B1990="",$C1990="",$D1990="",$B1990&lt;1300,$B1990&gt;1500,$C1990&lt;1,$C1990&gt;12,$D1990&lt;1,$D1990&gt;31),"نامعتبر",RIGHT("0000"&amp;$B1990,4)&amp;"/"&amp;RIGHT("00"&amp;$C1990,2)&amp;"/"&amp;RIGHT("00"&amp;$D1990,2)))</f>
        <v/>
      </c>
      <c r="F1990">
        <f>IF(OR($E1990="",$E1990="نامعتبر"),"",IF(Sync!$Q1987="","0000",IF(AND(ISNUMBER(Sync!$Q1987),Sync!$Q1987&gt;=0,Sync!$Q1987&lt;1),RIGHT("00"&amp;HOUR(Sync!$Q1987),2)&amp;RIGHT("00"&amp;MINUTE(Sync!$Q1987),2),IFERROR(RIGHT("00"&amp;VALUE(LEFT(Sync!$Q1987,FIND(":",Sync!$Q1987)-1)),2)&amp;RIGHT("00"&amp;VALUE(MID(Sync!$Q1987,FIND(":",Sync!$Q1987)+1,2)),2),"0000"))))</f>
        <v/>
      </c>
      <c r="G1990">
        <f>IF(OR($E1990="",$E1990="نامعتبر"),"",IF(Sync!$S1987="","",Sync!$S1987))</f>
        <v/>
      </c>
      <c r="H1990">
        <f>IF(OR($E1990="",$E1990="نامعتبر"),"",IF(Sync!$R1987="","",Sync!$R1987))</f>
        <v/>
      </c>
      <c r="I1990">
        <f>IF(OR($E1990="",$E1990="نامعتبر"),"",IF(Sync!$T1987="","",Sync!$T1987))</f>
        <v/>
      </c>
      <c r="J1990">
        <f>IF(OR($E1990="",$E1990="نامعتبر"),"",IF(Sync!$U1987="","",Sync!$U1987))</f>
        <v/>
      </c>
      <c r="K1990">
        <f>IF(OR($E1990="",$E1990="نامعتبر"),"",IF(Sync!$V1987="","",IFERROR(INDEX(SubCodes,MATCH(Sync!$V1987,SubTitles,0)),Sync!$V1987)))</f>
        <v/>
      </c>
      <c r="L1990">
        <f>IF(OR($E1990="",$E1990="نامعتبر"),"",IF(Sync!$W1987="",0,Sync!$W1987))</f>
        <v/>
      </c>
      <c r="M1990">
        <f>IF(OR($E1990="",$E1990="نامعتبر"),"",IF(Sync!$X1987="",0,Sync!$X1987))</f>
        <v/>
      </c>
      <c r="N1990">
        <f>IF(OR($E1990="",$E1990="نامعتبر"),"",IF(AND($J1990="هزینه",$K1990&lt;&gt;""),1,0))</f>
        <v/>
      </c>
      <c r="O1990">
        <f>IF($N1990=0,"",LEFT($E1990,4)&amp;MID($E1990,6,2)&amp;RIGHT($E1990,2)&amp;$F1990&amp;"|"&amp;"1"&amp;RIGHT("00000"&amp;1982,5))</f>
        <v/>
      </c>
      <c r="P1990">
        <f>IF($O1990="","",COUNTIFS(ExpSub,$K1990,ExpKey,"&lt;"&amp;$O1990)+1)</f>
        <v/>
      </c>
      <c r="Q1990">
        <f>IF($P1990="","",$K1990&amp;"|"&amp;RIGHT("000000"&amp;$P1990,6))</f>
        <v/>
      </c>
    </row>
    <row r="1991">
      <c r="A1991">
        <f>IF(Sync!$P1988="","",Sync!$P1988)</f>
        <v/>
      </c>
      <c r="B1991">
        <f>IF($A1991="","",IF(ISNUMBER($A1991),IF(AND($A1991&gt;=10000101,$A1991&lt;=99991231),INT($A1991/10000),""),IFERROR(VALUE(TRIM(LEFT($A1991,FIND("/",$A1991)-1))),"")))</f>
        <v/>
      </c>
      <c r="C1991">
        <f>IF(OR($A1991="",$B1991=""),"",IF(ISNUMBER($A1991),INT(MOD($A1991,10000)/100),IFERROR(VALUE(TRIM(LEFT(MID($A1991,FIND("/",$A1991)+1,20),FIND("/",MID($A1991,FIND("/",$A1991)+1,20))-1))),"")))</f>
        <v/>
      </c>
      <c r="D1991">
        <f>IF(OR($A1991="",$B1991=""),"",IF(ISNUMBER($A1991),MOD($A1991,100),IFERROR(VALUE(TRIM(MID(MID($A1991,FIND("/",$A1991)+1,20),FIND("/",MID($A1991,FIND("/",$A1991)+1,20))+1,20))),"")))</f>
        <v/>
      </c>
      <c r="E1991">
        <f>IF($A1991="","",IF(OR($B1991="",$C1991="",$D1991="",$B1991&lt;1300,$B1991&gt;1500,$C1991&lt;1,$C1991&gt;12,$D1991&lt;1,$D1991&gt;31),"نامعتبر",RIGHT("0000"&amp;$B1991,4)&amp;"/"&amp;RIGHT("00"&amp;$C1991,2)&amp;"/"&amp;RIGHT("00"&amp;$D1991,2)))</f>
        <v/>
      </c>
      <c r="F1991">
        <f>IF(OR($E1991="",$E1991="نامعتبر"),"",IF(Sync!$Q1988="","0000",IF(AND(ISNUMBER(Sync!$Q1988),Sync!$Q1988&gt;=0,Sync!$Q1988&lt;1),RIGHT("00"&amp;HOUR(Sync!$Q1988),2)&amp;RIGHT("00"&amp;MINUTE(Sync!$Q1988),2),IFERROR(RIGHT("00"&amp;VALUE(LEFT(Sync!$Q1988,FIND(":",Sync!$Q1988)-1)),2)&amp;RIGHT("00"&amp;VALUE(MID(Sync!$Q1988,FIND(":",Sync!$Q1988)+1,2)),2),"0000"))))</f>
        <v/>
      </c>
      <c r="G1991">
        <f>IF(OR($E1991="",$E1991="نامعتبر"),"",IF(Sync!$S1988="","",Sync!$S1988))</f>
        <v/>
      </c>
      <c r="H1991">
        <f>IF(OR($E1991="",$E1991="نامعتبر"),"",IF(Sync!$R1988="","",Sync!$R1988))</f>
        <v/>
      </c>
      <c r="I1991">
        <f>IF(OR($E1991="",$E1991="نامعتبر"),"",IF(Sync!$T1988="","",Sync!$T1988))</f>
        <v/>
      </c>
      <c r="J1991">
        <f>IF(OR($E1991="",$E1991="نامعتبر"),"",IF(Sync!$U1988="","",Sync!$U1988))</f>
        <v/>
      </c>
      <c r="K1991">
        <f>IF(OR($E1991="",$E1991="نامعتبر"),"",IF(Sync!$V1988="","",IFERROR(INDEX(SubCodes,MATCH(Sync!$V1988,SubTitles,0)),Sync!$V1988)))</f>
        <v/>
      </c>
      <c r="L1991">
        <f>IF(OR($E1991="",$E1991="نامعتبر"),"",IF(Sync!$W1988="",0,Sync!$W1988))</f>
        <v/>
      </c>
      <c r="M1991">
        <f>IF(OR($E1991="",$E1991="نامعتبر"),"",IF(Sync!$X1988="",0,Sync!$X1988))</f>
        <v/>
      </c>
      <c r="N1991">
        <f>IF(OR($E1991="",$E1991="نامعتبر"),"",IF(AND($J1991="هزینه",$K1991&lt;&gt;""),1,0))</f>
        <v/>
      </c>
      <c r="O1991">
        <f>IF($N1991=0,"",LEFT($E1991,4)&amp;MID($E1991,6,2)&amp;RIGHT($E1991,2)&amp;$F1991&amp;"|"&amp;"1"&amp;RIGHT("00000"&amp;1983,5))</f>
        <v/>
      </c>
      <c r="P1991">
        <f>IF($O1991="","",COUNTIFS(ExpSub,$K1991,ExpKey,"&lt;"&amp;$O1991)+1)</f>
        <v/>
      </c>
      <c r="Q1991">
        <f>IF($P1991="","",$K1991&amp;"|"&amp;RIGHT("000000"&amp;$P1991,6))</f>
        <v/>
      </c>
    </row>
    <row r="1992">
      <c r="A1992">
        <f>IF(Sync!$P1989="","",Sync!$P1989)</f>
        <v/>
      </c>
      <c r="B1992">
        <f>IF($A1992="","",IF(ISNUMBER($A1992),IF(AND($A1992&gt;=10000101,$A1992&lt;=99991231),INT($A1992/10000),""),IFERROR(VALUE(TRIM(LEFT($A1992,FIND("/",$A1992)-1))),"")))</f>
        <v/>
      </c>
      <c r="C1992">
        <f>IF(OR($A1992="",$B1992=""),"",IF(ISNUMBER($A1992),INT(MOD($A1992,10000)/100),IFERROR(VALUE(TRIM(LEFT(MID($A1992,FIND("/",$A1992)+1,20),FIND("/",MID($A1992,FIND("/",$A1992)+1,20))-1))),"")))</f>
        <v/>
      </c>
      <c r="D1992">
        <f>IF(OR($A1992="",$B1992=""),"",IF(ISNUMBER($A1992),MOD($A1992,100),IFERROR(VALUE(TRIM(MID(MID($A1992,FIND("/",$A1992)+1,20),FIND("/",MID($A1992,FIND("/",$A1992)+1,20))+1,20))),"")))</f>
        <v/>
      </c>
      <c r="E1992">
        <f>IF($A1992="","",IF(OR($B1992="",$C1992="",$D1992="",$B1992&lt;1300,$B1992&gt;1500,$C1992&lt;1,$C1992&gt;12,$D1992&lt;1,$D1992&gt;31),"نامعتبر",RIGHT("0000"&amp;$B1992,4)&amp;"/"&amp;RIGHT("00"&amp;$C1992,2)&amp;"/"&amp;RIGHT("00"&amp;$D1992,2)))</f>
        <v/>
      </c>
      <c r="F1992">
        <f>IF(OR($E1992="",$E1992="نامعتبر"),"",IF(Sync!$Q1989="","0000",IF(AND(ISNUMBER(Sync!$Q1989),Sync!$Q1989&gt;=0,Sync!$Q1989&lt;1),RIGHT("00"&amp;HOUR(Sync!$Q1989),2)&amp;RIGHT("00"&amp;MINUTE(Sync!$Q1989),2),IFERROR(RIGHT("00"&amp;VALUE(LEFT(Sync!$Q1989,FIND(":",Sync!$Q1989)-1)),2)&amp;RIGHT("00"&amp;VALUE(MID(Sync!$Q1989,FIND(":",Sync!$Q1989)+1,2)),2),"0000"))))</f>
        <v/>
      </c>
      <c r="G1992">
        <f>IF(OR($E1992="",$E1992="نامعتبر"),"",IF(Sync!$S1989="","",Sync!$S1989))</f>
        <v/>
      </c>
      <c r="H1992">
        <f>IF(OR($E1992="",$E1992="نامعتبر"),"",IF(Sync!$R1989="","",Sync!$R1989))</f>
        <v/>
      </c>
      <c r="I1992">
        <f>IF(OR($E1992="",$E1992="نامعتبر"),"",IF(Sync!$T1989="","",Sync!$T1989))</f>
        <v/>
      </c>
      <c r="J1992">
        <f>IF(OR($E1992="",$E1992="نامعتبر"),"",IF(Sync!$U1989="","",Sync!$U1989))</f>
        <v/>
      </c>
      <c r="K1992">
        <f>IF(OR($E1992="",$E1992="نامعتبر"),"",IF(Sync!$V1989="","",IFERROR(INDEX(SubCodes,MATCH(Sync!$V1989,SubTitles,0)),Sync!$V1989)))</f>
        <v/>
      </c>
      <c r="L1992">
        <f>IF(OR($E1992="",$E1992="نامعتبر"),"",IF(Sync!$W1989="",0,Sync!$W1989))</f>
        <v/>
      </c>
      <c r="M1992">
        <f>IF(OR($E1992="",$E1992="نامعتبر"),"",IF(Sync!$X1989="",0,Sync!$X1989))</f>
        <v/>
      </c>
      <c r="N1992">
        <f>IF(OR($E1992="",$E1992="نامعتبر"),"",IF(AND($J1992="هزینه",$K1992&lt;&gt;""),1,0))</f>
        <v/>
      </c>
      <c r="O1992">
        <f>IF($N1992=0,"",LEFT($E1992,4)&amp;MID($E1992,6,2)&amp;RIGHT($E1992,2)&amp;$F1992&amp;"|"&amp;"1"&amp;RIGHT("00000"&amp;1984,5))</f>
        <v/>
      </c>
      <c r="P1992">
        <f>IF($O1992="","",COUNTIFS(ExpSub,$K1992,ExpKey,"&lt;"&amp;$O1992)+1)</f>
        <v/>
      </c>
      <c r="Q1992">
        <f>IF($P1992="","",$K1992&amp;"|"&amp;RIGHT("000000"&amp;$P1992,6))</f>
        <v/>
      </c>
    </row>
    <row r="1993">
      <c r="A1993">
        <f>IF(Sync!$P1990="","",Sync!$P1990)</f>
        <v/>
      </c>
      <c r="B1993">
        <f>IF($A1993="","",IF(ISNUMBER($A1993),IF(AND($A1993&gt;=10000101,$A1993&lt;=99991231),INT($A1993/10000),""),IFERROR(VALUE(TRIM(LEFT($A1993,FIND("/",$A1993)-1))),"")))</f>
        <v/>
      </c>
      <c r="C1993">
        <f>IF(OR($A1993="",$B1993=""),"",IF(ISNUMBER($A1993),INT(MOD($A1993,10000)/100),IFERROR(VALUE(TRIM(LEFT(MID($A1993,FIND("/",$A1993)+1,20),FIND("/",MID($A1993,FIND("/",$A1993)+1,20))-1))),"")))</f>
        <v/>
      </c>
      <c r="D1993">
        <f>IF(OR($A1993="",$B1993=""),"",IF(ISNUMBER($A1993),MOD($A1993,100),IFERROR(VALUE(TRIM(MID(MID($A1993,FIND("/",$A1993)+1,20),FIND("/",MID($A1993,FIND("/",$A1993)+1,20))+1,20))),"")))</f>
        <v/>
      </c>
      <c r="E1993">
        <f>IF($A1993="","",IF(OR($B1993="",$C1993="",$D1993="",$B1993&lt;1300,$B1993&gt;1500,$C1993&lt;1,$C1993&gt;12,$D1993&lt;1,$D1993&gt;31),"نامعتبر",RIGHT("0000"&amp;$B1993,4)&amp;"/"&amp;RIGHT("00"&amp;$C1993,2)&amp;"/"&amp;RIGHT("00"&amp;$D1993,2)))</f>
        <v/>
      </c>
      <c r="F1993">
        <f>IF(OR($E1993="",$E1993="نامعتبر"),"",IF(Sync!$Q1990="","0000",IF(AND(ISNUMBER(Sync!$Q1990),Sync!$Q1990&gt;=0,Sync!$Q1990&lt;1),RIGHT("00"&amp;HOUR(Sync!$Q1990),2)&amp;RIGHT("00"&amp;MINUTE(Sync!$Q1990),2),IFERROR(RIGHT("00"&amp;VALUE(LEFT(Sync!$Q1990,FIND(":",Sync!$Q1990)-1)),2)&amp;RIGHT("00"&amp;VALUE(MID(Sync!$Q1990,FIND(":",Sync!$Q1990)+1,2)),2),"0000"))))</f>
        <v/>
      </c>
      <c r="G1993">
        <f>IF(OR($E1993="",$E1993="نامعتبر"),"",IF(Sync!$S1990="","",Sync!$S1990))</f>
        <v/>
      </c>
      <c r="H1993">
        <f>IF(OR($E1993="",$E1993="نامعتبر"),"",IF(Sync!$R1990="","",Sync!$R1990))</f>
        <v/>
      </c>
      <c r="I1993">
        <f>IF(OR($E1993="",$E1993="نامعتبر"),"",IF(Sync!$T1990="","",Sync!$T1990))</f>
        <v/>
      </c>
      <c r="J1993">
        <f>IF(OR($E1993="",$E1993="نامعتبر"),"",IF(Sync!$U1990="","",Sync!$U1990))</f>
        <v/>
      </c>
      <c r="K1993">
        <f>IF(OR($E1993="",$E1993="نامعتبر"),"",IF(Sync!$V1990="","",IFERROR(INDEX(SubCodes,MATCH(Sync!$V1990,SubTitles,0)),Sync!$V1990)))</f>
        <v/>
      </c>
      <c r="L1993">
        <f>IF(OR($E1993="",$E1993="نامعتبر"),"",IF(Sync!$W1990="",0,Sync!$W1990))</f>
        <v/>
      </c>
      <c r="M1993">
        <f>IF(OR($E1993="",$E1993="نامعتبر"),"",IF(Sync!$X1990="",0,Sync!$X1990))</f>
        <v/>
      </c>
      <c r="N1993">
        <f>IF(OR($E1993="",$E1993="نامعتبر"),"",IF(AND($J1993="هزینه",$K1993&lt;&gt;""),1,0))</f>
        <v/>
      </c>
      <c r="O1993">
        <f>IF($N1993=0,"",LEFT($E1993,4)&amp;MID($E1993,6,2)&amp;RIGHT($E1993,2)&amp;$F1993&amp;"|"&amp;"1"&amp;RIGHT("00000"&amp;1985,5))</f>
        <v/>
      </c>
      <c r="P1993">
        <f>IF($O1993="","",COUNTIFS(ExpSub,$K1993,ExpKey,"&lt;"&amp;$O1993)+1)</f>
        <v/>
      </c>
      <c r="Q1993">
        <f>IF($P1993="","",$K1993&amp;"|"&amp;RIGHT("000000"&amp;$P1993,6))</f>
        <v/>
      </c>
    </row>
    <row r="1994">
      <c r="A1994">
        <f>IF(Sync!$P1991="","",Sync!$P1991)</f>
        <v/>
      </c>
      <c r="B1994">
        <f>IF($A1994="","",IF(ISNUMBER($A1994),IF(AND($A1994&gt;=10000101,$A1994&lt;=99991231),INT($A1994/10000),""),IFERROR(VALUE(TRIM(LEFT($A1994,FIND("/",$A1994)-1))),"")))</f>
        <v/>
      </c>
      <c r="C1994">
        <f>IF(OR($A1994="",$B1994=""),"",IF(ISNUMBER($A1994),INT(MOD($A1994,10000)/100),IFERROR(VALUE(TRIM(LEFT(MID($A1994,FIND("/",$A1994)+1,20),FIND("/",MID($A1994,FIND("/",$A1994)+1,20))-1))),"")))</f>
        <v/>
      </c>
      <c r="D1994">
        <f>IF(OR($A1994="",$B1994=""),"",IF(ISNUMBER($A1994),MOD($A1994,100),IFERROR(VALUE(TRIM(MID(MID($A1994,FIND("/",$A1994)+1,20),FIND("/",MID($A1994,FIND("/",$A1994)+1,20))+1,20))),"")))</f>
        <v/>
      </c>
      <c r="E1994">
        <f>IF($A1994="","",IF(OR($B1994="",$C1994="",$D1994="",$B1994&lt;1300,$B1994&gt;1500,$C1994&lt;1,$C1994&gt;12,$D1994&lt;1,$D1994&gt;31),"نامعتبر",RIGHT("0000"&amp;$B1994,4)&amp;"/"&amp;RIGHT("00"&amp;$C1994,2)&amp;"/"&amp;RIGHT("00"&amp;$D1994,2)))</f>
        <v/>
      </c>
      <c r="F1994">
        <f>IF(OR($E1994="",$E1994="نامعتبر"),"",IF(Sync!$Q1991="","0000",IF(AND(ISNUMBER(Sync!$Q1991),Sync!$Q1991&gt;=0,Sync!$Q1991&lt;1),RIGHT("00"&amp;HOUR(Sync!$Q1991),2)&amp;RIGHT("00"&amp;MINUTE(Sync!$Q1991),2),IFERROR(RIGHT("00"&amp;VALUE(LEFT(Sync!$Q1991,FIND(":",Sync!$Q1991)-1)),2)&amp;RIGHT("00"&amp;VALUE(MID(Sync!$Q1991,FIND(":",Sync!$Q1991)+1,2)),2),"0000"))))</f>
        <v/>
      </c>
      <c r="G1994">
        <f>IF(OR($E1994="",$E1994="نامعتبر"),"",IF(Sync!$S1991="","",Sync!$S1991))</f>
        <v/>
      </c>
      <c r="H1994">
        <f>IF(OR($E1994="",$E1994="نامعتبر"),"",IF(Sync!$R1991="","",Sync!$R1991))</f>
        <v/>
      </c>
      <c r="I1994">
        <f>IF(OR($E1994="",$E1994="نامعتبر"),"",IF(Sync!$T1991="","",Sync!$T1991))</f>
        <v/>
      </c>
      <c r="J1994">
        <f>IF(OR($E1994="",$E1994="نامعتبر"),"",IF(Sync!$U1991="","",Sync!$U1991))</f>
        <v/>
      </c>
      <c r="K1994">
        <f>IF(OR($E1994="",$E1994="نامعتبر"),"",IF(Sync!$V1991="","",IFERROR(INDEX(SubCodes,MATCH(Sync!$V1991,SubTitles,0)),Sync!$V1991)))</f>
        <v/>
      </c>
      <c r="L1994">
        <f>IF(OR($E1994="",$E1994="نامعتبر"),"",IF(Sync!$W1991="",0,Sync!$W1991))</f>
        <v/>
      </c>
      <c r="M1994">
        <f>IF(OR($E1994="",$E1994="نامعتبر"),"",IF(Sync!$X1991="",0,Sync!$X1991))</f>
        <v/>
      </c>
      <c r="N1994">
        <f>IF(OR($E1994="",$E1994="نامعتبر"),"",IF(AND($J1994="هزینه",$K1994&lt;&gt;""),1,0))</f>
        <v/>
      </c>
      <c r="O1994">
        <f>IF($N1994=0,"",LEFT($E1994,4)&amp;MID($E1994,6,2)&amp;RIGHT($E1994,2)&amp;$F1994&amp;"|"&amp;"1"&amp;RIGHT("00000"&amp;1986,5))</f>
        <v/>
      </c>
      <c r="P1994">
        <f>IF($O1994="","",COUNTIFS(ExpSub,$K1994,ExpKey,"&lt;"&amp;$O1994)+1)</f>
        <v/>
      </c>
      <c r="Q1994">
        <f>IF($P1994="","",$K1994&amp;"|"&amp;RIGHT("000000"&amp;$P1994,6))</f>
        <v/>
      </c>
    </row>
    <row r="1995">
      <c r="A1995">
        <f>IF(Sync!$P1992="","",Sync!$P1992)</f>
        <v/>
      </c>
      <c r="B1995">
        <f>IF($A1995="","",IF(ISNUMBER($A1995),IF(AND($A1995&gt;=10000101,$A1995&lt;=99991231),INT($A1995/10000),""),IFERROR(VALUE(TRIM(LEFT($A1995,FIND("/",$A1995)-1))),"")))</f>
        <v/>
      </c>
      <c r="C1995">
        <f>IF(OR($A1995="",$B1995=""),"",IF(ISNUMBER($A1995),INT(MOD($A1995,10000)/100),IFERROR(VALUE(TRIM(LEFT(MID($A1995,FIND("/",$A1995)+1,20),FIND("/",MID($A1995,FIND("/",$A1995)+1,20))-1))),"")))</f>
        <v/>
      </c>
      <c r="D1995">
        <f>IF(OR($A1995="",$B1995=""),"",IF(ISNUMBER($A1995),MOD($A1995,100),IFERROR(VALUE(TRIM(MID(MID($A1995,FIND("/",$A1995)+1,20),FIND("/",MID($A1995,FIND("/",$A1995)+1,20))+1,20))),"")))</f>
        <v/>
      </c>
      <c r="E1995">
        <f>IF($A1995="","",IF(OR($B1995="",$C1995="",$D1995="",$B1995&lt;1300,$B1995&gt;1500,$C1995&lt;1,$C1995&gt;12,$D1995&lt;1,$D1995&gt;31),"نامعتبر",RIGHT("0000"&amp;$B1995,4)&amp;"/"&amp;RIGHT("00"&amp;$C1995,2)&amp;"/"&amp;RIGHT("00"&amp;$D1995,2)))</f>
        <v/>
      </c>
      <c r="F1995">
        <f>IF(OR($E1995="",$E1995="نامعتبر"),"",IF(Sync!$Q1992="","0000",IF(AND(ISNUMBER(Sync!$Q1992),Sync!$Q1992&gt;=0,Sync!$Q1992&lt;1),RIGHT("00"&amp;HOUR(Sync!$Q1992),2)&amp;RIGHT("00"&amp;MINUTE(Sync!$Q1992),2),IFERROR(RIGHT("00"&amp;VALUE(LEFT(Sync!$Q1992,FIND(":",Sync!$Q1992)-1)),2)&amp;RIGHT("00"&amp;VALUE(MID(Sync!$Q1992,FIND(":",Sync!$Q1992)+1,2)),2),"0000"))))</f>
        <v/>
      </c>
      <c r="G1995">
        <f>IF(OR($E1995="",$E1995="نامعتبر"),"",IF(Sync!$S1992="","",Sync!$S1992))</f>
        <v/>
      </c>
      <c r="H1995">
        <f>IF(OR($E1995="",$E1995="نامعتبر"),"",IF(Sync!$R1992="","",Sync!$R1992))</f>
        <v/>
      </c>
      <c r="I1995">
        <f>IF(OR($E1995="",$E1995="نامعتبر"),"",IF(Sync!$T1992="","",Sync!$T1992))</f>
        <v/>
      </c>
      <c r="J1995">
        <f>IF(OR($E1995="",$E1995="نامعتبر"),"",IF(Sync!$U1992="","",Sync!$U1992))</f>
        <v/>
      </c>
      <c r="K1995">
        <f>IF(OR($E1995="",$E1995="نامعتبر"),"",IF(Sync!$V1992="","",IFERROR(INDEX(SubCodes,MATCH(Sync!$V1992,SubTitles,0)),Sync!$V1992)))</f>
        <v/>
      </c>
      <c r="L1995">
        <f>IF(OR($E1995="",$E1995="نامعتبر"),"",IF(Sync!$W1992="",0,Sync!$W1992))</f>
        <v/>
      </c>
      <c r="M1995">
        <f>IF(OR($E1995="",$E1995="نامعتبر"),"",IF(Sync!$X1992="",0,Sync!$X1992))</f>
        <v/>
      </c>
      <c r="N1995">
        <f>IF(OR($E1995="",$E1995="نامعتبر"),"",IF(AND($J1995="هزینه",$K1995&lt;&gt;""),1,0))</f>
        <v/>
      </c>
      <c r="O1995">
        <f>IF($N1995=0,"",LEFT($E1995,4)&amp;MID($E1995,6,2)&amp;RIGHT($E1995,2)&amp;$F1995&amp;"|"&amp;"1"&amp;RIGHT("00000"&amp;1987,5))</f>
        <v/>
      </c>
      <c r="P1995">
        <f>IF($O1995="","",COUNTIFS(ExpSub,$K1995,ExpKey,"&lt;"&amp;$O1995)+1)</f>
        <v/>
      </c>
      <c r="Q1995">
        <f>IF($P1995="","",$K1995&amp;"|"&amp;RIGHT("000000"&amp;$P1995,6))</f>
        <v/>
      </c>
    </row>
    <row r="1996">
      <c r="A1996">
        <f>IF(Sync!$P1993="","",Sync!$P1993)</f>
        <v/>
      </c>
      <c r="B1996">
        <f>IF($A1996="","",IF(ISNUMBER($A1996),IF(AND($A1996&gt;=10000101,$A1996&lt;=99991231),INT($A1996/10000),""),IFERROR(VALUE(TRIM(LEFT($A1996,FIND("/",$A1996)-1))),"")))</f>
        <v/>
      </c>
      <c r="C1996">
        <f>IF(OR($A1996="",$B1996=""),"",IF(ISNUMBER($A1996),INT(MOD($A1996,10000)/100),IFERROR(VALUE(TRIM(LEFT(MID($A1996,FIND("/",$A1996)+1,20),FIND("/",MID($A1996,FIND("/",$A1996)+1,20))-1))),"")))</f>
        <v/>
      </c>
      <c r="D1996">
        <f>IF(OR($A1996="",$B1996=""),"",IF(ISNUMBER($A1996),MOD($A1996,100),IFERROR(VALUE(TRIM(MID(MID($A1996,FIND("/",$A1996)+1,20),FIND("/",MID($A1996,FIND("/",$A1996)+1,20))+1,20))),"")))</f>
        <v/>
      </c>
      <c r="E1996">
        <f>IF($A1996="","",IF(OR($B1996="",$C1996="",$D1996="",$B1996&lt;1300,$B1996&gt;1500,$C1996&lt;1,$C1996&gt;12,$D1996&lt;1,$D1996&gt;31),"نامعتبر",RIGHT("0000"&amp;$B1996,4)&amp;"/"&amp;RIGHT("00"&amp;$C1996,2)&amp;"/"&amp;RIGHT("00"&amp;$D1996,2)))</f>
        <v/>
      </c>
      <c r="F1996">
        <f>IF(OR($E1996="",$E1996="نامعتبر"),"",IF(Sync!$Q1993="","0000",IF(AND(ISNUMBER(Sync!$Q1993),Sync!$Q1993&gt;=0,Sync!$Q1993&lt;1),RIGHT("00"&amp;HOUR(Sync!$Q1993),2)&amp;RIGHT("00"&amp;MINUTE(Sync!$Q1993),2),IFERROR(RIGHT("00"&amp;VALUE(LEFT(Sync!$Q1993,FIND(":",Sync!$Q1993)-1)),2)&amp;RIGHT("00"&amp;VALUE(MID(Sync!$Q1993,FIND(":",Sync!$Q1993)+1,2)),2),"0000"))))</f>
        <v/>
      </c>
      <c r="G1996">
        <f>IF(OR($E1996="",$E1996="نامعتبر"),"",IF(Sync!$S1993="","",Sync!$S1993))</f>
        <v/>
      </c>
      <c r="H1996">
        <f>IF(OR($E1996="",$E1996="نامعتبر"),"",IF(Sync!$R1993="","",Sync!$R1993))</f>
        <v/>
      </c>
      <c r="I1996">
        <f>IF(OR($E1996="",$E1996="نامعتبر"),"",IF(Sync!$T1993="","",Sync!$T1993))</f>
        <v/>
      </c>
      <c r="J1996">
        <f>IF(OR($E1996="",$E1996="نامعتبر"),"",IF(Sync!$U1993="","",Sync!$U1993))</f>
        <v/>
      </c>
      <c r="K1996">
        <f>IF(OR($E1996="",$E1996="نامعتبر"),"",IF(Sync!$V1993="","",IFERROR(INDEX(SubCodes,MATCH(Sync!$V1993,SubTitles,0)),Sync!$V1993)))</f>
        <v/>
      </c>
      <c r="L1996">
        <f>IF(OR($E1996="",$E1996="نامعتبر"),"",IF(Sync!$W1993="",0,Sync!$W1993))</f>
        <v/>
      </c>
      <c r="M1996">
        <f>IF(OR($E1996="",$E1996="نامعتبر"),"",IF(Sync!$X1993="",0,Sync!$X1993))</f>
        <v/>
      </c>
      <c r="N1996">
        <f>IF(OR($E1996="",$E1996="نامعتبر"),"",IF(AND($J1996="هزینه",$K1996&lt;&gt;""),1,0))</f>
        <v/>
      </c>
      <c r="O1996">
        <f>IF($N1996=0,"",LEFT($E1996,4)&amp;MID($E1996,6,2)&amp;RIGHT($E1996,2)&amp;$F1996&amp;"|"&amp;"1"&amp;RIGHT("00000"&amp;1988,5))</f>
        <v/>
      </c>
      <c r="P1996">
        <f>IF($O1996="","",COUNTIFS(ExpSub,$K1996,ExpKey,"&lt;"&amp;$O1996)+1)</f>
        <v/>
      </c>
      <c r="Q1996">
        <f>IF($P1996="","",$K1996&amp;"|"&amp;RIGHT("000000"&amp;$P1996,6))</f>
        <v/>
      </c>
    </row>
    <row r="1997">
      <c r="A1997">
        <f>IF(Sync!$P1994="","",Sync!$P1994)</f>
        <v/>
      </c>
      <c r="B1997">
        <f>IF($A1997="","",IF(ISNUMBER($A1997),IF(AND($A1997&gt;=10000101,$A1997&lt;=99991231),INT($A1997/10000),""),IFERROR(VALUE(TRIM(LEFT($A1997,FIND("/",$A1997)-1))),"")))</f>
        <v/>
      </c>
      <c r="C1997">
        <f>IF(OR($A1997="",$B1997=""),"",IF(ISNUMBER($A1997),INT(MOD($A1997,10000)/100),IFERROR(VALUE(TRIM(LEFT(MID($A1997,FIND("/",$A1997)+1,20),FIND("/",MID($A1997,FIND("/",$A1997)+1,20))-1))),"")))</f>
        <v/>
      </c>
      <c r="D1997">
        <f>IF(OR($A1997="",$B1997=""),"",IF(ISNUMBER($A1997),MOD($A1997,100),IFERROR(VALUE(TRIM(MID(MID($A1997,FIND("/",$A1997)+1,20),FIND("/",MID($A1997,FIND("/",$A1997)+1,20))+1,20))),"")))</f>
        <v/>
      </c>
      <c r="E1997">
        <f>IF($A1997="","",IF(OR($B1997="",$C1997="",$D1997="",$B1997&lt;1300,$B1997&gt;1500,$C1997&lt;1,$C1997&gt;12,$D1997&lt;1,$D1997&gt;31),"نامعتبر",RIGHT("0000"&amp;$B1997,4)&amp;"/"&amp;RIGHT("00"&amp;$C1997,2)&amp;"/"&amp;RIGHT("00"&amp;$D1997,2)))</f>
        <v/>
      </c>
      <c r="F1997">
        <f>IF(OR($E1997="",$E1997="نامعتبر"),"",IF(Sync!$Q1994="","0000",IF(AND(ISNUMBER(Sync!$Q1994),Sync!$Q1994&gt;=0,Sync!$Q1994&lt;1),RIGHT("00"&amp;HOUR(Sync!$Q1994),2)&amp;RIGHT("00"&amp;MINUTE(Sync!$Q1994),2),IFERROR(RIGHT("00"&amp;VALUE(LEFT(Sync!$Q1994,FIND(":",Sync!$Q1994)-1)),2)&amp;RIGHT("00"&amp;VALUE(MID(Sync!$Q1994,FIND(":",Sync!$Q1994)+1,2)),2),"0000"))))</f>
        <v/>
      </c>
      <c r="G1997">
        <f>IF(OR($E1997="",$E1997="نامعتبر"),"",IF(Sync!$S1994="","",Sync!$S1994))</f>
        <v/>
      </c>
      <c r="H1997">
        <f>IF(OR($E1997="",$E1997="نامعتبر"),"",IF(Sync!$R1994="","",Sync!$R1994))</f>
        <v/>
      </c>
      <c r="I1997">
        <f>IF(OR($E1997="",$E1997="نامعتبر"),"",IF(Sync!$T1994="","",Sync!$T1994))</f>
        <v/>
      </c>
      <c r="J1997">
        <f>IF(OR($E1997="",$E1997="نامعتبر"),"",IF(Sync!$U1994="","",Sync!$U1994))</f>
        <v/>
      </c>
      <c r="K1997">
        <f>IF(OR($E1997="",$E1997="نامعتبر"),"",IF(Sync!$V1994="","",IFERROR(INDEX(SubCodes,MATCH(Sync!$V1994,SubTitles,0)),Sync!$V1994)))</f>
        <v/>
      </c>
      <c r="L1997">
        <f>IF(OR($E1997="",$E1997="نامعتبر"),"",IF(Sync!$W1994="",0,Sync!$W1994))</f>
        <v/>
      </c>
      <c r="M1997">
        <f>IF(OR($E1997="",$E1997="نامعتبر"),"",IF(Sync!$X1994="",0,Sync!$X1994))</f>
        <v/>
      </c>
      <c r="N1997">
        <f>IF(OR($E1997="",$E1997="نامعتبر"),"",IF(AND($J1997="هزینه",$K1997&lt;&gt;""),1,0))</f>
        <v/>
      </c>
      <c r="O1997">
        <f>IF($N1997=0,"",LEFT($E1997,4)&amp;MID($E1997,6,2)&amp;RIGHT($E1997,2)&amp;$F1997&amp;"|"&amp;"1"&amp;RIGHT("00000"&amp;1989,5))</f>
        <v/>
      </c>
      <c r="P1997">
        <f>IF($O1997="","",COUNTIFS(ExpSub,$K1997,ExpKey,"&lt;"&amp;$O1997)+1)</f>
        <v/>
      </c>
      <c r="Q1997">
        <f>IF($P1997="","",$K1997&amp;"|"&amp;RIGHT("000000"&amp;$P1997,6))</f>
        <v/>
      </c>
    </row>
    <row r="1998">
      <c r="A1998">
        <f>IF(Sync!$P1995="","",Sync!$P1995)</f>
        <v/>
      </c>
      <c r="B1998">
        <f>IF($A1998="","",IF(ISNUMBER($A1998),IF(AND($A1998&gt;=10000101,$A1998&lt;=99991231),INT($A1998/10000),""),IFERROR(VALUE(TRIM(LEFT($A1998,FIND("/",$A1998)-1))),"")))</f>
        <v/>
      </c>
      <c r="C1998">
        <f>IF(OR($A1998="",$B1998=""),"",IF(ISNUMBER($A1998),INT(MOD($A1998,10000)/100),IFERROR(VALUE(TRIM(LEFT(MID($A1998,FIND("/",$A1998)+1,20),FIND("/",MID($A1998,FIND("/",$A1998)+1,20))-1))),"")))</f>
        <v/>
      </c>
      <c r="D1998">
        <f>IF(OR($A1998="",$B1998=""),"",IF(ISNUMBER($A1998),MOD($A1998,100),IFERROR(VALUE(TRIM(MID(MID($A1998,FIND("/",$A1998)+1,20),FIND("/",MID($A1998,FIND("/",$A1998)+1,20))+1,20))),"")))</f>
        <v/>
      </c>
      <c r="E1998">
        <f>IF($A1998="","",IF(OR($B1998="",$C1998="",$D1998="",$B1998&lt;1300,$B1998&gt;1500,$C1998&lt;1,$C1998&gt;12,$D1998&lt;1,$D1998&gt;31),"نامعتبر",RIGHT("0000"&amp;$B1998,4)&amp;"/"&amp;RIGHT("00"&amp;$C1998,2)&amp;"/"&amp;RIGHT("00"&amp;$D1998,2)))</f>
        <v/>
      </c>
      <c r="F1998">
        <f>IF(OR($E1998="",$E1998="نامعتبر"),"",IF(Sync!$Q1995="","0000",IF(AND(ISNUMBER(Sync!$Q1995),Sync!$Q1995&gt;=0,Sync!$Q1995&lt;1),RIGHT("00"&amp;HOUR(Sync!$Q1995),2)&amp;RIGHT("00"&amp;MINUTE(Sync!$Q1995),2),IFERROR(RIGHT("00"&amp;VALUE(LEFT(Sync!$Q1995,FIND(":",Sync!$Q1995)-1)),2)&amp;RIGHT("00"&amp;VALUE(MID(Sync!$Q1995,FIND(":",Sync!$Q1995)+1,2)),2),"0000"))))</f>
        <v/>
      </c>
      <c r="G1998">
        <f>IF(OR($E1998="",$E1998="نامعتبر"),"",IF(Sync!$S1995="","",Sync!$S1995))</f>
        <v/>
      </c>
      <c r="H1998">
        <f>IF(OR($E1998="",$E1998="نامعتبر"),"",IF(Sync!$R1995="","",Sync!$R1995))</f>
        <v/>
      </c>
      <c r="I1998">
        <f>IF(OR($E1998="",$E1998="نامعتبر"),"",IF(Sync!$T1995="","",Sync!$T1995))</f>
        <v/>
      </c>
      <c r="J1998">
        <f>IF(OR($E1998="",$E1998="نامعتبر"),"",IF(Sync!$U1995="","",Sync!$U1995))</f>
        <v/>
      </c>
      <c r="K1998">
        <f>IF(OR($E1998="",$E1998="نامعتبر"),"",IF(Sync!$V1995="","",IFERROR(INDEX(SubCodes,MATCH(Sync!$V1995,SubTitles,0)),Sync!$V1995)))</f>
        <v/>
      </c>
      <c r="L1998">
        <f>IF(OR($E1998="",$E1998="نامعتبر"),"",IF(Sync!$W1995="",0,Sync!$W1995))</f>
        <v/>
      </c>
      <c r="M1998">
        <f>IF(OR($E1998="",$E1998="نامعتبر"),"",IF(Sync!$X1995="",0,Sync!$X1995))</f>
        <v/>
      </c>
      <c r="N1998">
        <f>IF(OR($E1998="",$E1998="نامعتبر"),"",IF(AND($J1998="هزینه",$K1998&lt;&gt;""),1,0))</f>
        <v/>
      </c>
      <c r="O1998">
        <f>IF($N1998=0,"",LEFT($E1998,4)&amp;MID($E1998,6,2)&amp;RIGHT($E1998,2)&amp;$F1998&amp;"|"&amp;"1"&amp;RIGHT("00000"&amp;1990,5))</f>
        <v/>
      </c>
      <c r="P1998">
        <f>IF($O1998="","",COUNTIFS(ExpSub,$K1998,ExpKey,"&lt;"&amp;$O1998)+1)</f>
        <v/>
      </c>
      <c r="Q1998">
        <f>IF($P1998="","",$K1998&amp;"|"&amp;RIGHT("000000"&amp;$P1998,6))</f>
        <v/>
      </c>
    </row>
    <row r="1999">
      <c r="A1999">
        <f>IF(Sync!$P1996="","",Sync!$P1996)</f>
        <v/>
      </c>
      <c r="B1999">
        <f>IF($A1999="","",IF(ISNUMBER($A1999),IF(AND($A1999&gt;=10000101,$A1999&lt;=99991231),INT($A1999/10000),""),IFERROR(VALUE(TRIM(LEFT($A1999,FIND("/",$A1999)-1))),"")))</f>
        <v/>
      </c>
      <c r="C1999">
        <f>IF(OR($A1999="",$B1999=""),"",IF(ISNUMBER($A1999),INT(MOD($A1999,10000)/100),IFERROR(VALUE(TRIM(LEFT(MID($A1999,FIND("/",$A1999)+1,20),FIND("/",MID($A1999,FIND("/",$A1999)+1,20))-1))),"")))</f>
        <v/>
      </c>
      <c r="D1999">
        <f>IF(OR($A1999="",$B1999=""),"",IF(ISNUMBER($A1999),MOD($A1999,100),IFERROR(VALUE(TRIM(MID(MID($A1999,FIND("/",$A1999)+1,20),FIND("/",MID($A1999,FIND("/",$A1999)+1,20))+1,20))),"")))</f>
        <v/>
      </c>
      <c r="E1999">
        <f>IF($A1999="","",IF(OR($B1999="",$C1999="",$D1999="",$B1999&lt;1300,$B1999&gt;1500,$C1999&lt;1,$C1999&gt;12,$D1999&lt;1,$D1999&gt;31),"نامعتبر",RIGHT("0000"&amp;$B1999,4)&amp;"/"&amp;RIGHT("00"&amp;$C1999,2)&amp;"/"&amp;RIGHT("00"&amp;$D1999,2)))</f>
        <v/>
      </c>
      <c r="F1999">
        <f>IF(OR($E1999="",$E1999="نامعتبر"),"",IF(Sync!$Q1996="","0000",IF(AND(ISNUMBER(Sync!$Q1996),Sync!$Q1996&gt;=0,Sync!$Q1996&lt;1),RIGHT("00"&amp;HOUR(Sync!$Q1996),2)&amp;RIGHT("00"&amp;MINUTE(Sync!$Q1996),2),IFERROR(RIGHT("00"&amp;VALUE(LEFT(Sync!$Q1996,FIND(":",Sync!$Q1996)-1)),2)&amp;RIGHT("00"&amp;VALUE(MID(Sync!$Q1996,FIND(":",Sync!$Q1996)+1,2)),2),"0000"))))</f>
        <v/>
      </c>
      <c r="G1999">
        <f>IF(OR($E1999="",$E1999="نامعتبر"),"",IF(Sync!$S1996="","",Sync!$S1996))</f>
        <v/>
      </c>
      <c r="H1999">
        <f>IF(OR($E1999="",$E1999="نامعتبر"),"",IF(Sync!$R1996="","",Sync!$R1996))</f>
        <v/>
      </c>
      <c r="I1999">
        <f>IF(OR($E1999="",$E1999="نامعتبر"),"",IF(Sync!$T1996="","",Sync!$T1996))</f>
        <v/>
      </c>
      <c r="J1999">
        <f>IF(OR($E1999="",$E1999="نامعتبر"),"",IF(Sync!$U1996="","",Sync!$U1996))</f>
        <v/>
      </c>
      <c r="K1999">
        <f>IF(OR($E1999="",$E1999="نامعتبر"),"",IF(Sync!$V1996="","",IFERROR(INDEX(SubCodes,MATCH(Sync!$V1996,SubTitles,0)),Sync!$V1996)))</f>
        <v/>
      </c>
      <c r="L1999">
        <f>IF(OR($E1999="",$E1999="نامعتبر"),"",IF(Sync!$W1996="",0,Sync!$W1996))</f>
        <v/>
      </c>
      <c r="M1999">
        <f>IF(OR($E1999="",$E1999="نامعتبر"),"",IF(Sync!$X1996="",0,Sync!$X1996))</f>
        <v/>
      </c>
      <c r="N1999">
        <f>IF(OR($E1999="",$E1999="نامعتبر"),"",IF(AND($J1999="هزینه",$K1999&lt;&gt;""),1,0))</f>
        <v/>
      </c>
      <c r="O1999">
        <f>IF($N1999=0,"",LEFT($E1999,4)&amp;MID($E1999,6,2)&amp;RIGHT($E1999,2)&amp;$F1999&amp;"|"&amp;"1"&amp;RIGHT("00000"&amp;1991,5))</f>
        <v/>
      </c>
      <c r="P1999">
        <f>IF($O1999="","",COUNTIFS(ExpSub,$K1999,ExpKey,"&lt;"&amp;$O1999)+1)</f>
        <v/>
      </c>
      <c r="Q1999">
        <f>IF($P1999="","",$K1999&amp;"|"&amp;RIGHT("000000"&amp;$P1999,6))</f>
        <v/>
      </c>
    </row>
    <row r="2000">
      <c r="A2000">
        <f>IF(Sync!$P1997="","",Sync!$P1997)</f>
        <v/>
      </c>
      <c r="B2000">
        <f>IF($A2000="","",IF(ISNUMBER($A2000),IF(AND($A2000&gt;=10000101,$A2000&lt;=99991231),INT($A2000/10000),""),IFERROR(VALUE(TRIM(LEFT($A2000,FIND("/",$A2000)-1))),"")))</f>
        <v/>
      </c>
      <c r="C2000">
        <f>IF(OR($A2000="",$B2000=""),"",IF(ISNUMBER($A2000),INT(MOD($A2000,10000)/100),IFERROR(VALUE(TRIM(LEFT(MID($A2000,FIND("/",$A2000)+1,20),FIND("/",MID($A2000,FIND("/",$A2000)+1,20))-1))),"")))</f>
        <v/>
      </c>
      <c r="D2000">
        <f>IF(OR($A2000="",$B2000=""),"",IF(ISNUMBER($A2000),MOD($A2000,100),IFERROR(VALUE(TRIM(MID(MID($A2000,FIND("/",$A2000)+1,20),FIND("/",MID($A2000,FIND("/",$A2000)+1,20))+1,20))),"")))</f>
        <v/>
      </c>
      <c r="E2000">
        <f>IF($A2000="","",IF(OR($B2000="",$C2000="",$D2000="",$B2000&lt;1300,$B2000&gt;1500,$C2000&lt;1,$C2000&gt;12,$D2000&lt;1,$D2000&gt;31),"نامعتبر",RIGHT("0000"&amp;$B2000,4)&amp;"/"&amp;RIGHT("00"&amp;$C2000,2)&amp;"/"&amp;RIGHT("00"&amp;$D2000,2)))</f>
        <v/>
      </c>
      <c r="F2000">
        <f>IF(OR($E2000="",$E2000="نامعتبر"),"",IF(Sync!$Q1997="","0000",IF(AND(ISNUMBER(Sync!$Q1997),Sync!$Q1997&gt;=0,Sync!$Q1997&lt;1),RIGHT("00"&amp;HOUR(Sync!$Q1997),2)&amp;RIGHT("00"&amp;MINUTE(Sync!$Q1997),2),IFERROR(RIGHT("00"&amp;VALUE(LEFT(Sync!$Q1997,FIND(":",Sync!$Q1997)-1)),2)&amp;RIGHT("00"&amp;VALUE(MID(Sync!$Q1997,FIND(":",Sync!$Q1997)+1,2)),2),"0000"))))</f>
        <v/>
      </c>
      <c r="G2000">
        <f>IF(OR($E2000="",$E2000="نامعتبر"),"",IF(Sync!$S1997="","",Sync!$S1997))</f>
        <v/>
      </c>
      <c r="H2000">
        <f>IF(OR($E2000="",$E2000="نامعتبر"),"",IF(Sync!$R1997="","",Sync!$R1997))</f>
        <v/>
      </c>
      <c r="I2000">
        <f>IF(OR($E2000="",$E2000="نامعتبر"),"",IF(Sync!$T1997="","",Sync!$T1997))</f>
        <v/>
      </c>
      <c r="J2000">
        <f>IF(OR($E2000="",$E2000="نامعتبر"),"",IF(Sync!$U1997="","",Sync!$U1997))</f>
        <v/>
      </c>
      <c r="K2000">
        <f>IF(OR($E2000="",$E2000="نامعتبر"),"",IF(Sync!$V1997="","",IFERROR(INDEX(SubCodes,MATCH(Sync!$V1997,SubTitles,0)),Sync!$V1997)))</f>
        <v/>
      </c>
      <c r="L2000">
        <f>IF(OR($E2000="",$E2000="نامعتبر"),"",IF(Sync!$W1997="",0,Sync!$W1997))</f>
        <v/>
      </c>
      <c r="M2000">
        <f>IF(OR($E2000="",$E2000="نامعتبر"),"",IF(Sync!$X1997="",0,Sync!$X1997))</f>
        <v/>
      </c>
      <c r="N2000">
        <f>IF(OR($E2000="",$E2000="نامعتبر"),"",IF(AND($J2000="هزینه",$K2000&lt;&gt;""),1,0))</f>
        <v/>
      </c>
      <c r="O2000">
        <f>IF($N2000=0,"",LEFT($E2000,4)&amp;MID($E2000,6,2)&amp;RIGHT($E2000,2)&amp;$F2000&amp;"|"&amp;"1"&amp;RIGHT("00000"&amp;1992,5))</f>
        <v/>
      </c>
      <c r="P2000">
        <f>IF($O2000="","",COUNTIFS(ExpSub,$K2000,ExpKey,"&lt;"&amp;$O2000)+1)</f>
        <v/>
      </c>
      <c r="Q2000">
        <f>IF($P2000="","",$K2000&amp;"|"&amp;RIGHT("000000"&amp;$P2000,6))</f>
        <v/>
      </c>
    </row>
    <row r="2001">
      <c r="A2001">
        <f>IF(Sync!$P1998="","",Sync!$P1998)</f>
        <v/>
      </c>
      <c r="B2001">
        <f>IF($A2001="","",IF(ISNUMBER($A2001),IF(AND($A2001&gt;=10000101,$A2001&lt;=99991231),INT($A2001/10000),""),IFERROR(VALUE(TRIM(LEFT($A2001,FIND("/",$A2001)-1))),"")))</f>
        <v/>
      </c>
      <c r="C2001">
        <f>IF(OR($A2001="",$B2001=""),"",IF(ISNUMBER($A2001),INT(MOD($A2001,10000)/100),IFERROR(VALUE(TRIM(LEFT(MID($A2001,FIND("/",$A2001)+1,20),FIND("/",MID($A2001,FIND("/",$A2001)+1,20))-1))),"")))</f>
        <v/>
      </c>
      <c r="D2001">
        <f>IF(OR($A2001="",$B2001=""),"",IF(ISNUMBER($A2001),MOD($A2001,100),IFERROR(VALUE(TRIM(MID(MID($A2001,FIND("/",$A2001)+1,20),FIND("/",MID($A2001,FIND("/",$A2001)+1,20))+1,20))),"")))</f>
        <v/>
      </c>
      <c r="E2001">
        <f>IF($A2001="","",IF(OR($B2001="",$C2001="",$D2001="",$B2001&lt;1300,$B2001&gt;1500,$C2001&lt;1,$C2001&gt;12,$D2001&lt;1,$D2001&gt;31),"نامعتبر",RIGHT("0000"&amp;$B2001,4)&amp;"/"&amp;RIGHT("00"&amp;$C2001,2)&amp;"/"&amp;RIGHT("00"&amp;$D2001,2)))</f>
        <v/>
      </c>
      <c r="F2001">
        <f>IF(OR($E2001="",$E2001="نامعتبر"),"",IF(Sync!$Q1998="","0000",IF(AND(ISNUMBER(Sync!$Q1998),Sync!$Q1998&gt;=0,Sync!$Q1998&lt;1),RIGHT("00"&amp;HOUR(Sync!$Q1998),2)&amp;RIGHT("00"&amp;MINUTE(Sync!$Q1998),2),IFERROR(RIGHT("00"&amp;VALUE(LEFT(Sync!$Q1998,FIND(":",Sync!$Q1998)-1)),2)&amp;RIGHT("00"&amp;VALUE(MID(Sync!$Q1998,FIND(":",Sync!$Q1998)+1,2)),2),"0000"))))</f>
        <v/>
      </c>
      <c r="G2001">
        <f>IF(OR($E2001="",$E2001="نامعتبر"),"",IF(Sync!$S1998="","",Sync!$S1998))</f>
        <v/>
      </c>
      <c r="H2001">
        <f>IF(OR($E2001="",$E2001="نامعتبر"),"",IF(Sync!$R1998="","",Sync!$R1998))</f>
        <v/>
      </c>
      <c r="I2001">
        <f>IF(OR($E2001="",$E2001="نامعتبر"),"",IF(Sync!$T1998="","",Sync!$T1998))</f>
        <v/>
      </c>
      <c r="J2001">
        <f>IF(OR($E2001="",$E2001="نامعتبر"),"",IF(Sync!$U1998="","",Sync!$U1998))</f>
        <v/>
      </c>
      <c r="K2001">
        <f>IF(OR($E2001="",$E2001="نامعتبر"),"",IF(Sync!$V1998="","",IFERROR(INDEX(SubCodes,MATCH(Sync!$V1998,SubTitles,0)),Sync!$V1998)))</f>
        <v/>
      </c>
      <c r="L2001">
        <f>IF(OR($E2001="",$E2001="نامعتبر"),"",IF(Sync!$W1998="",0,Sync!$W1998))</f>
        <v/>
      </c>
      <c r="M2001">
        <f>IF(OR($E2001="",$E2001="نامعتبر"),"",IF(Sync!$X1998="",0,Sync!$X1998))</f>
        <v/>
      </c>
      <c r="N2001">
        <f>IF(OR($E2001="",$E2001="نامعتبر"),"",IF(AND($J2001="هزینه",$K2001&lt;&gt;""),1,0))</f>
        <v/>
      </c>
      <c r="O2001">
        <f>IF($N2001=0,"",LEFT($E2001,4)&amp;MID($E2001,6,2)&amp;RIGHT($E2001,2)&amp;$F2001&amp;"|"&amp;"1"&amp;RIGHT("00000"&amp;1993,5))</f>
        <v/>
      </c>
      <c r="P2001">
        <f>IF($O2001="","",COUNTIFS(ExpSub,$K2001,ExpKey,"&lt;"&amp;$O2001)+1)</f>
        <v/>
      </c>
      <c r="Q2001">
        <f>IF($P2001="","",$K2001&amp;"|"&amp;RIGHT("000000"&amp;$P2001,6))</f>
        <v/>
      </c>
    </row>
    <row r="2002">
      <c r="A2002">
        <f>IF(Sync!$P1999="","",Sync!$P1999)</f>
        <v/>
      </c>
      <c r="B2002">
        <f>IF($A2002="","",IF(ISNUMBER($A2002),IF(AND($A2002&gt;=10000101,$A2002&lt;=99991231),INT($A2002/10000),""),IFERROR(VALUE(TRIM(LEFT($A2002,FIND("/",$A2002)-1))),"")))</f>
        <v/>
      </c>
      <c r="C2002">
        <f>IF(OR($A2002="",$B2002=""),"",IF(ISNUMBER($A2002),INT(MOD($A2002,10000)/100),IFERROR(VALUE(TRIM(LEFT(MID($A2002,FIND("/",$A2002)+1,20),FIND("/",MID($A2002,FIND("/",$A2002)+1,20))-1))),"")))</f>
        <v/>
      </c>
      <c r="D2002">
        <f>IF(OR($A2002="",$B2002=""),"",IF(ISNUMBER($A2002),MOD($A2002,100),IFERROR(VALUE(TRIM(MID(MID($A2002,FIND("/",$A2002)+1,20),FIND("/",MID($A2002,FIND("/",$A2002)+1,20))+1,20))),"")))</f>
        <v/>
      </c>
      <c r="E2002">
        <f>IF($A2002="","",IF(OR($B2002="",$C2002="",$D2002="",$B2002&lt;1300,$B2002&gt;1500,$C2002&lt;1,$C2002&gt;12,$D2002&lt;1,$D2002&gt;31),"نامعتبر",RIGHT("0000"&amp;$B2002,4)&amp;"/"&amp;RIGHT("00"&amp;$C2002,2)&amp;"/"&amp;RIGHT("00"&amp;$D2002,2)))</f>
        <v/>
      </c>
      <c r="F2002">
        <f>IF(OR($E2002="",$E2002="نامعتبر"),"",IF(Sync!$Q1999="","0000",IF(AND(ISNUMBER(Sync!$Q1999),Sync!$Q1999&gt;=0,Sync!$Q1999&lt;1),RIGHT("00"&amp;HOUR(Sync!$Q1999),2)&amp;RIGHT("00"&amp;MINUTE(Sync!$Q1999),2),IFERROR(RIGHT("00"&amp;VALUE(LEFT(Sync!$Q1999,FIND(":",Sync!$Q1999)-1)),2)&amp;RIGHT("00"&amp;VALUE(MID(Sync!$Q1999,FIND(":",Sync!$Q1999)+1,2)),2),"0000"))))</f>
        <v/>
      </c>
      <c r="G2002">
        <f>IF(OR($E2002="",$E2002="نامعتبر"),"",IF(Sync!$S1999="","",Sync!$S1999))</f>
        <v/>
      </c>
      <c r="H2002">
        <f>IF(OR($E2002="",$E2002="نامعتبر"),"",IF(Sync!$R1999="","",Sync!$R1999))</f>
        <v/>
      </c>
      <c r="I2002">
        <f>IF(OR($E2002="",$E2002="نامعتبر"),"",IF(Sync!$T1999="","",Sync!$T1999))</f>
        <v/>
      </c>
      <c r="J2002">
        <f>IF(OR($E2002="",$E2002="نامعتبر"),"",IF(Sync!$U1999="","",Sync!$U1999))</f>
        <v/>
      </c>
      <c r="K2002">
        <f>IF(OR($E2002="",$E2002="نامعتبر"),"",IF(Sync!$V1999="","",IFERROR(INDEX(SubCodes,MATCH(Sync!$V1999,SubTitles,0)),Sync!$V1999)))</f>
        <v/>
      </c>
      <c r="L2002">
        <f>IF(OR($E2002="",$E2002="نامعتبر"),"",IF(Sync!$W1999="",0,Sync!$W1999))</f>
        <v/>
      </c>
      <c r="M2002">
        <f>IF(OR($E2002="",$E2002="نامعتبر"),"",IF(Sync!$X1999="",0,Sync!$X1999))</f>
        <v/>
      </c>
      <c r="N2002">
        <f>IF(OR($E2002="",$E2002="نامعتبر"),"",IF(AND($J2002="هزینه",$K2002&lt;&gt;""),1,0))</f>
        <v/>
      </c>
      <c r="O2002">
        <f>IF($N2002=0,"",LEFT($E2002,4)&amp;MID($E2002,6,2)&amp;RIGHT($E2002,2)&amp;$F2002&amp;"|"&amp;"1"&amp;RIGHT("00000"&amp;1994,5))</f>
        <v/>
      </c>
      <c r="P2002">
        <f>IF($O2002="","",COUNTIFS(ExpSub,$K2002,ExpKey,"&lt;"&amp;$O2002)+1)</f>
        <v/>
      </c>
      <c r="Q2002">
        <f>IF($P2002="","",$K2002&amp;"|"&amp;RIGHT("000000"&amp;$P2002,6))</f>
        <v/>
      </c>
    </row>
    <row r="2003">
      <c r="A2003">
        <f>IF(Sync!$P2000="","",Sync!$P2000)</f>
        <v/>
      </c>
      <c r="B2003">
        <f>IF($A2003="","",IF(ISNUMBER($A2003),IF(AND($A2003&gt;=10000101,$A2003&lt;=99991231),INT($A2003/10000),""),IFERROR(VALUE(TRIM(LEFT($A2003,FIND("/",$A2003)-1))),"")))</f>
        <v/>
      </c>
      <c r="C2003">
        <f>IF(OR($A2003="",$B2003=""),"",IF(ISNUMBER($A2003),INT(MOD($A2003,10000)/100),IFERROR(VALUE(TRIM(LEFT(MID($A2003,FIND("/",$A2003)+1,20),FIND("/",MID($A2003,FIND("/",$A2003)+1,20))-1))),"")))</f>
        <v/>
      </c>
      <c r="D2003">
        <f>IF(OR($A2003="",$B2003=""),"",IF(ISNUMBER($A2003),MOD($A2003,100),IFERROR(VALUE(TRIM(MID(MID($A2003,FIND("/",$A2003)+1,20),FIND("/",MID($A2003,FIND("/",$A2003)+1,20))+1,20))),"")))</f>
        <v/>
      </c>
      <c r="E2003">
        <f>IF($A2003="","",IF(OR($B2003="",$C2003="",$D2003="",$B2003&lt;1300,$B2003&gt;1500,$C2003&lt;1,$C2003&gt;12,$D2003&lt;1,$D2003&gt;31),"نامعتبر",RIGHT("0000"&amp;$B2003,4)&amp;"/"&amp;RIGHT("00"&amp;$C2003,2)&amp;"/"&amp;RIGHT("00"&amp;$D2003,2)))</f>
        <v/>
      </c>
      <c r="F2003">
        <f>IF(OR($E2003="",$E2003="نامعتبر"),"",IF(Sync!$Q2000="","0000",IF(AND(ISNUMBER(Sync!$Q2000),Sync!$Q2000&gt;=0,Sync!$Q2000&lt;1),RIGHT("00"&amp;HOUR(Sync!$Q2000),2)&amp;RIGHT("00"&amp;MINUTE(Sync!$Q2000),2),IFERROR(RIGHT("00"&amp;VALUE(LEFT(Sync!$Q2000,FIND(":",Sync!$Q2000)-1)),2)&amp;RIGHT("00"&amp;VALUE(MID(Sync!$Q2000,FIND(":",Sync!$Q2000)+1,2)),2),"0000"))))</f>
        <v/>
      </c>
      <c r="G2003">
        <f>IF(OR($E2003="",$E2003="نامعتبر"),"",IF(Sync!$S2000="","",Sync!$S2000))</f>
        <v/>
      </c>
      <c r="H2003">
        <f>IF(OR($E2003="",$E2003="نامعتبر"),"",IF(Sync!$R2000="","",Sync!$R2000))</f>
        <v/>
      </c>
      <c r="I2003">
        <f>IF(OR($E2003="",$E2003="نامعتبر"),"",IF(Sync!$T2000="","",Sync!$T2000))</f>
        <v/>
      </c>
      <c r="J2003">
        <f>IF(OR($E2003="",$E2003="نامعتبر"),"",IF(Sync!$U2000="","",Sync!$U2000))</f>
        <v/>
      </c>
      <c r="K2003">
        <f>IF(OR($E2003="",$E2003="نامعتبر"),"",IF(Sync!$V2000="","",IFERROR(INDEX(SubCodes,MATCH(Sync!$V2000,SubTitles,0)),Sync!$V2000)))</f>
        <v/>
      </c>
      <c r="L2003">
        <f>IF(OR($E2003="",$E2003="نامعتبر"),"",IF(Sync!$W2000="",0,Sync!$W2000))</f>
        <v/>
      </c>
      <c r="M2003">
        <f>IF(OR($E2003="",$E2003="نامعتبر"),"",IF(Sync!$X2000="",0,Sync!$X2000))</f>
        <v/>
      </c>
      <c r="N2003">
        <f>IF(OR($E2003="",$E2003="نامعتبر"),"",IF(AND($J2003="هزینه",$K2003&lt;&gt;""),1,0))</f>
        <v/>
      </c>
      <c r="O2003">
        <f>IF($N2003=0,"",LEFT($E2003,4)&amp;MID($E2003,6,2)&amp;RIGHT($E2003,2)&amp;$F2003&amp;"|"&amp;"1"&amp;RIGHT("00000"&amp;1995,5))</f>
        <v/>
      </c>
      <c r="P2003">
        <f>IF($O2003="","",COUNTIFS(ExpSub,$K2003,ExpKey,"&lt;"&amp;$O2003)+1)</f>
        <v/>
      </c>
      <c r="Q2003">
        <f>IF($P2003="","",$K2003&amp;"|"&amp;RIGHT("000000"&amp;$P2003,6))</f>
        <v/>
      </c>
    </row>
    <row r="2004">
      <c r="A2004">
        <f>IF(Sync!$P2001="","",Sync!$P2001)</f>
        <v/>
      </c>
      <c r="B2004">
        <f>IF($A2004="","",IF(ISNUMBER($A2004),IF(AND($A2004&gt;=10000101,$A2004&lt;=99991231),INT($A2004/10000),""),IFERROR(VALUE(TRIM(LEFT($A2004,FIND("/",$A2004)-1))),"")))</f>
        <v/>
      </c>
      <c r="C2004">
        <f>IF(OR($A2004="",$B2004=""),"",IF(ISNUMBER($A2004),INT(MOD($A2004,10000)/100),IFERROR(VALUE(TRIM(LEFT(MID($A2004,FIND("/",$A2004)+1,20),FIND("/",MID($A2004,FIND("/",$A2004)+1,20))-1))),"")))</f>
        <v/>
      </c>
      <c r="D2004">
        <f>IF(OR($A2004="",$B2004=""),"",IF(ISNUMBER($A2004),MOD($A2004,100),IFERROR(VALUE(TRIM(MID(MID($A2004,FIND("/",$A2004)+1,20),FIND("/",MID($A2004,FIND("/",$A2004)+1,20))+1,20))),"")))</f>
        <v/>
      </c>
      <c r="E2004">
        <f>IF($A2004="","",IF(OR($B2004="",$C2004="",$D2004="",$B2004&lt;1300,$B2004&gt;1500,$C2004&lt;1,$C2004&gt;12,$D2004&lt;1,$D2004&gt;31),"نامعتبر",RIGHT("0000"&amp;$B2004,4)&amp;"/"&amp;RIGHT("00"&amp;$C2004,2)&amp;"/"&amp;RIGHT("00"&amp;$D2004,2)))</f>
        <v/>
      </c>
      <c r="F2004">
        <f>IF(OR($E2004="",$E2004="نامعتبر"),"",IF(Sync!$Q2001="","0000",IF(AND(ISNUMBER(Sync!$Q2001),Sync!$Q2001&gt;=0,Sync!$Q2001&lt;1),RIGHT("00"&amp;HOUR(Sync!$Q2001),2)&amp;RIGHT("00"&amp;MINUTE(Sync!$Q2001),2),IFERROR(RIGHT("00"&amp;VALUE(LEFT(Sync!$Q2001,FIND(":",Sync!$Q2001)-1)),2)&amp;RIGHT("00"&amp;VALUE(MID(Sync!$Q2001,FIND(":",Sync!$Q2001)+1,2)),2),"0000"))))</f>
        <v/>
      </c>
      <c r="G2004">
        <f>IF(OR($E2004="",$E2004="نامعتبر"),"",IF(Sync!$S2001="","",Sync!$S2001))</f>
        <v/>
      </c>
      <c r="H2004">
        <f>IF(OR($E2004="",$E2004="نامعتبر"),"",IF(Sync!$R2001="","",Sync!$R2001))</f>
        <v/>
      </c>
      <c r="I2004">
        <f>IF(OR($E2004="",$E2004="نامعتبر"),"",IF(Sync!$T2001="","",Sync!$T2001))</f>
        <v/>
      </c>
      <c r="J2004">
        <f>IF(OR($E2004="",$E2004="نامعتبر"),"",IF(Sync!$U2001="","",Sync!$U2001))</f>
        <v/>
      </c>
      <c r="K2004">
        <f>IF(OR($E2004="",$E2004="نامعتبر"),"",IF(Sync!$V2001="","",IFERROR(INDEX(SubCodes,MATCH(Sync!$V2001,SubTitles,0)),Sync!$V2001)))</f>
        <v/>
      </c>
      <c r="L2004">
        <f>IF(OR($E2004="",$E2004="نامعتبر"),"",IF(Sync!$W2001="",0,Sync!$W2001))</f>
        <v/>
      </c>
      <c r="M2004">
        <f>IF(OR($E2004="",$E2004="نامعتبر"),"",IF(Sync!$X2001="",0,Sync!$X2001))</f>
        <v/>
      </c>
      <c r="N2004">
        <f>IF(OR($E2004="",$E2004="نامعتبر"),"",IF(AND($J2004="هزینه",$K2004&lt;&gt;""),1,0))</f>
        <v/>
      </c>
      <c r="O2004">
        <f>IF($N2004=0,"",LEFT($E2004,4)&amp;MID($E2004,6,2)&amp;RIGHT($E2004,2)&amp;$F2004&amp;"|"&amp;"1"&amp;RIGHT("00000"&amp;1996,5))</f>
        <v/>
      </c>
      <c r="P2004">
        <f>IF($O2004="","",COUNTIFS(ExpSub,$K2004,ExpKey,"&lt;"&amp;$O2004)+1)</f>
        <v/>
      </c>
      <c r="Q2004">
        <f>IF($P2004="","",$K2004&amp;"|"&amp;RIGHT("000000"&amp;$P2004,6))</f>
        <v/>
      </c>
    </row>
    <row r="2005">
      <c r="A2005">
        <f>IF(Sync!$P2002="","",Sync!$P2002)</f>
        <v/>
      </c>
      <c r="B2005">
        <f>IF($A2005="","",IF(ISNUMBER($A2005),IF(AND($A2005&gt;=10000101,$A2005&lt;=99991231),INT($A2005/10000),""),IFERROR(VALUE(TRIM(LEFT($A2005,FIND("/",$A2005)-1))),"")))</f>
        <v/>
      </c>
      <c r="C2005">
        <f>IF(OR($A2005="",$B2005=""),"",IF(ISNUMBER($A2005),INT(MOD($A2005,10000)/100),IFERROR(VALUE(TRIM(LEFT(MID($A2005,FIND("/",$A2005)+1,20),FIND("/",MID($A2005,FIND("/",$A2005)+1,20))-1))),"")))</f>
        <v/>
      </c>
      <c r="D2005">
        <f>IF(OR($A2005="",$B2005=""),"",IF(ISNUMBER($A2005),MOD($A2005,100),IFERROR(VALUE(TRIM(MID(MID($A2005,FIND("/",$A2005)+1,20),FIND("/",MID($A2005,FIND("/",$A2005)+1,20))+1,20))),"")))</f>
        <v/>
      </c>
      <c r="E2005">
        <f>IF($A2005="","",IF(OR($B2005="",$C2005="",$D2005="",$B2005&lt;1300,$B2005&gt;1500,$C2005&lt;1,$C2005&gt;12,$D2005&lt;1,$D2005&gt;31),"نامعتبر",RIGHT("0000"&amp;$B2005,4)&amp;"/"&amp;RIGHT("00"&amp;$C2005,2)&amp;"/"&amp;RIGHT("00"&amp;$D2005,2)))</f>
        <v/>
      </c>
      <c r="F2005">
        <f>IF(OR($E2005="",$E2005="نامعتبر"),"",IF(Sync!$Q2002="","0000",IF(AND(ISNUMBER(Sync!$Q2002),Sync!$Q2002&gt;=0,Sync!$Q2002&lt;1),RIGHT("00"&amp;HOUR(Sync!$Q2002),2)&amp;RIGHT("00"&amp;MINUTE(Sync!$Q2002),2),IFERROR(RIGHT("00"&amp;VALUE(LEFT(Sync!$Q2002,FIND(":",Sync!$Q2002)-1)),2)&amp;RIGHT("00"&amp;VALUE(MID(Sync!$Q2002,FIND(":",Sync!$Q2002)+1,2)),2),"0000"))))</f>
        <v/>
      </c>
      <c r="G2005">
        <f>IF(OR($E2005="",$E2005="نامعتبر"),"",IF(Sync!$S2002="","",Sync!$S2002))</f>
        <v/>
      </c>
      <c r="H2005">
        <f>IF(OR($E2005="",$E2005="نامعتبر"),"",IF(Sync!$R2002="","",Sync!$R2002))</f>
        <v/>
      </c>
      <c r="I2005">
        <f>IF(OR($E2005="",$E2005="نامعتبر"),"",IF(Sync!$T2002="","",Sync!$T2002))</f>
        <v/>
      </c>
      <c r="J2005">
        <f>IF(OR($E2005="",$E2005="نامعتبر"),"",IF(Sync!$U2002="","",Sync!$U2002))</f>
        <v/>
      </c>
      <c r="K2005">
        <f>IF(OR($E2005="",$E2005="نامعتبر"),"",IF(Sync!$V2002="","",IFERROR(INDEX(SubCodes,MATCH(Sync!$V2002,SubTitles,0)),Sync!$V2002)))</f>
        <v/>
      </c>
      <c r="L2005">
        <f>IF(OR($E2005="",$E2005="نامعتبر"),"",IF(Sync!$W2002="",0,Sync!$W2002))</f>
        <v/>
      </c>
      <c r="M2005">
        <f>IF(OR($E2005="",$E2005="نامعتبر"),"",IF(Sync!$X2002="",0,Sync!$X2002))</f>
        <v/>
      </c>
      <c r="N2005">
        <f>IF(OR($E2005="",$E2005="نامعتبر"),"",IF(AND($J2005="هزینه",$K2005&lt;&gt;""),1,0))</f>
        <v/>
      </c>
      <c r="O2005">
        <f>IF($N2005=0,"",LEFT($E2005,4)&amp;MID($E2005,6,2)&amp;RIGHT($E2005,2)&amp;$F2005&amp;"|"&amp;"1"&amp;RIGHT("00000"&amp;1997,5))</f>
        <v/>
      </c>
      <c r="P2005">
        <f>IF($O2005="","",COUNTIFS(ExpSub,$K2005,ExpKey,"&lt;"&amp;$O2005)+1)</f>
        <v/>
      </c>
      <c r="Q2005">
        <f>IF($P2005="","",$K2005&amp;"|"&amp;RIGHT("000000"&amp;$P2005,6))</f>
        <v/>
      </c>
    </row>
    <row r="2006">
      <c r="A2006">
        <f>IF(Sync!$P2003="","",Sync!$P2003)</f>
        <v/>
      </c>
      <c r="B2006">
        <f>IF($A2006="","",IF(ISNUMBER($A2006),IF(AND($A2006&gt;=10000101,$A2006&lt;=99991231),INT($A2006/10000),""),IFERROR(VALUE(TRIM(LEFT($A2006,FIND("/",$A2006)-1))),"")))</f>
        <v/>
      </c>
      <c r="C2006">
        <f>IF(OR($A2006="",$B2006=""),"",IF(ISNUMBER($A2006),INT(MOD($A2006,10000)/100),IFERROR(VALUE(TRIM(LEFT(MID($A2006,FIND("/",$A2006)+1,20),FIND("/",MID($A2006,FIND("/",$A2006)+1,20))-1))),"")))</f>
        <v/>
      </c>
      <c r="D2006">
        <f>IF(OR($A2006="",$B2006=""),"",IF(ISNUMBER($A2006),MOD($A2006,100),IFERROR(VALUE(TRIM(MID(MID($A2006,FIND("/",$A2006)+1,20),FIND("/",MID($A2006,FIND("/",$A2006)+1,20))+1,20))),"")))</f>
        <v/>
      </c>
      <c r="E2006">
        <f>IF($A2006="","",IF(OR($B2006="",$C2006="",$D2006="",$B2006&lt;1300,$B2006&gt;1500,$C2006&lt;1,$C2006&gt;12,$D2006&lt;1,$D2006&gt;31),"نامعتبر",RIGHT("0000"&amp;$B2006,4)&amp;"/"&amp;RIGHT("00"&amp;$C2006,2)&amp;"/"&amp;RIGHT("00"&amp;$D2006,2)))</f>
        <v/>
      </c>
      <c r="F2006">
        <f>IF(OR($E2006="",$E2006="نامعتبر"),"",IF(Sync!$Q2003="","0000",IF(AND(ISNUMBER(Sync!$Q2003),Sync!$Q2003&gt;=0,Sync!$Q2003&lt;1),RIGHT("00"&amp;HOUR(Sync!$Q2003),2)&amp;RIGHT("00"&amp;MINUTE(Sync!$Q2003),2),IFERROR(RIGHT("00"&amp;VALUE(LEFT(Sync!$Q2003,FIND(":",Sync!$Q2003)-1)),2)&amp;RIGHT("00"&amp;VALUE(MID(Sync!$Q2003,FIND(":",Sync!$Q2003)+1,2)),2),"0000"))))</f>
        <v/>
      </c>
      <c r="G2006">
        <f>IF(OR($E2006="",$E2006="نامعتبر"),"",IF(Sync!$S2003="","",Sync!$S2003))</f>
        <v/>
      </c>
      <c r="H2006">
        <f>IF(OR($E2006="",$E2006="نامعتبر"),"",IF(Sync!$R2003="","",Sync!$R2003))</f>
        <v/>
      </c>
      <c r="I2006">
        <f>IF(OR($E2006="",$E2006="نامعتبر"),"",IF(Sync!$T2003="","",Sync!$T2003))</f>
        <v/>
      </c>
      <c r="J2006">
        <f>IF(OR($E2006="",$E2006="نامعتبر"),"",IF(Sync!$U2003="","",Sync!$U2003))</f>
        <v/>
      </c>
      <c r="K2006">
        <f>IF(OR($E2006="",$E2006="نامعتبر"),"",IF(Sync!$V2003="","",IFERROR(INDEX(SubCodes,MATCH(Sync!$V2003,SubTitles,0)),Sync!$V2003)))</f>
        <v/>
      </c>
      <c r="L2006">
        <f>IF(OR($E2006="",$E2006="نامعتبر"),"",IF(Sync!$W2003="",0,Sync!$W2003))</f>
        <v/>
      </c>
      <c r="M2006">
        <f>IF(OR($E2006="",$E2006="نامعتبر"),"",IF(Sync!$X2003="",0,Sync!$X2003))</f>
        <v/>
      </c>
      <c r="N2006">
        <f>IF(OR($E2006="",$E2006="نامعتبر"),"",IF(AND($J2006="هزینه",$K2006&lt;&gt;""),1,0))</f>
        <v/>
      </c>
      <c r="O2006">
        <f>IF($N2006=0,"",LEFT($E2006,4)&amp;MID($E2006,6,2)&amp;RIGHT($E2006,2)&amp;$F2006&amp;"|"&amp;"1"&amp;RIGHT("00000"&amp;1998,5))</f>
        <v/>
      </c>
      <c r="P2006">
        <f>IF($O2006="","",COUNTIFS(ExpSub,$K2006,ExpKey,"&lt;"&amp;$O2006)+1)</f>
        <v/>
      </c>
      <c r="Q2006">
        <f>IF($P2006="","",$K2006&amp;"|"&amp;RIGHT("000000"&amp;$P2006,6))</f>
        <v/>
      </c>
    </row>
    <row r="2007">
      <c r="A2007">
        <f>IF(Sync!$P2004="","",Sync!$P2004)</f>
        <v/>
      </c>
      <c r="B2007">
        <f>IF($A2007="","",IF(ISNUMBER($A2007),IF(AND($A2007&gt;=10000101,$A2007&lt;=99991231),INT($A2007/10000),""),IFERROR(VALUE(TRIM(LEFT($A2007,FIND("/",$A2007)-1))),"")))</f>
        <v/>
      </c>
      <c r="C2007">
        <f>IF(OR($A2007="",$B2007=""),"",IF(ISNUMBER($A2007),INT(MOD($A2007,10000)/100),IFERROR(VALUE(TRIM(LEFT(MID($A2007,FIND("/",$A2007)+1,20),FIND("/",MID($A2007,FIND("/",$A2007)+1,20))-1))),"")))</f>
        <v/>
      </c>
      <c r="D2007">
        <f>IF(OR($A2007="",$B2007=""),"",IF(ISNUMBER($A2007),MOD($A2007,100),IFERROR(VALUE(TRIM(MID(MID($A2007,FIND("/",$A2007)+1,20),FIND("/",MID($A2007,FIND("/",$A2007)+1,20))+1,20))),"")))</f>
        <v/>
      </c>
      <c r="E2007">
        <f>IF($A2007="","",IF(OR($B2007="",$C2007="",$D2007="",$B2007&lt;1300,$B2007&gt;1500,$C2007&lt;1,$C2007&gt;12,$D2007&lt;1,$D2007&gt;31),"نامعتبر",RIGHT("0000"&amp;$B2007,4)&amp;"/"&amp;RIGHT("00"&amp;$C2007,2)&amp;"/"&amp;RIGHT("00"&amp;$D2007,2)))</f>
        <v/>
      </c>
      <c r="F2007">
        <f>IF(OR($E2007="",$E2007="نامعتبر"),"",IF(Sync!$Q2004="","0000",IF(AND(ISNUMBER(Sync!$Q2004),Sync!$Q2004&gt;=0,Sync!$Q2004&lt;1),RIGHT("00"&amp;HOUR(Sync!$Q2004),2)&amp;RIGHT("00"&amp;MINUTE(Sync!$Q2004),2),IFERROR(RIGHT("00"&amp;VALUE(LEFT(Sync!$Q2004,FIND(":",Sync!$Q2004)-1)),2)&amp;RIGHT("00"&amp;VALUE(MID(Sync!$Q2004,FIND(":",Sync!$Q2004)+1,2)),2),"0000"))))</f>
        <v/>
      </c>
      <c r="G2007">
        <f>IF(OR($E2007="",$E2007="نامعتبر"),"",IF(Sync!$S2004="","",Sync!$S2004))</f>
        <v/>
      </c>
      <c r="H2007">
        <f>IF(OR($E2007="",$E2007="نامعتبر"),"",IF(Sync!$R2004="","",Sync!$R2004))</f>
        <v/>
      </c>
      <c r="I2007">
        <f>IF(OR($E2007="",$E2007="نامعتبر"),"",IF(Sync!$T2004="","",Sync!$T2004))</f>
        <v/>
      </c>
      <c r="J2007">
        <f>IF(OR($E2007="",$E2007="نامعتبر"),"",IF(Sync!$U2004="","",Sync!$U2004))</f>
        <v/>
      </c>
      <c r="K2007">
        <f>IF(OR($E2007="",$E2007="نامعتبر"),"",IF(Sync!$V2004="","",IFERROR(INDEX(SubCodes,MATCH(Sync!$V2004,SubTitles,0)),Sync!$V2004)))</f>
        <v/>
      </c>
      <c r="L2007">
        <f>IF(OR($E2007="",$E2007="نامعتبر"),"",IF(Sync!$W2004="",0,Sync!$W2004))</f>
        <v/>
      </c>
      <c r="M2007">
        <f>IF(OR($E2007="",$E2007="نامعتبر"),"",IF(Sync!$X2004="",0,Sync!$X2004))</f>
        <v/>
      </c>
      <c r="N2007">
        <f>IF(OR($E2007="",$E2007="نامعتبر"),"",IF(AND($J2007="هزینه",$K2007&lt;&gt;""),1,0))</f>
        <v/>
      </c>
      <c r="O2007">
        <f>IF($N2007=0,"",LEFT($E2007,4)&amp;MID($E2007,6,2)&amp;RIGHT($E2007,2)&amp;$F2007&amp;"|"&amp;"1"&amp;RIGHT("00000"&amp;1999,5))</f>
        <v/>
      </c>
      <c r="P2007">
        <f>IF($O2007="","",COUNTIFS(ExpSub,$K2007,ExpKey,"&lt;"&amp;$O2007)+1)</f>
        <v/>
      </c>
      <c r="Q2007">
        <f>IF($P2007="","",$K2007&amp;"|"&amp;RIGHT("000000"&amp;$P2007,6))</f>
        <v/>
      </c>
    </row>
    <row r="2008">
      <c r="A2008">
        <f>IF(Sync!$P2005="","",Sync!$P2005)</f>
        <v/>
      </c>
      <c r="B2008">
        <f>IF($A2008="","",IF(ISNUMBER($A2008),IF(AND($A2008&gt;=10000101,$A2008&lt;=99991231),INT($A2008/10000),""),IFERROR(VALUE(TRIM(LEFT($A2008,FIND("/",$A2008)-1))),"")))</f>
        <v/>
      </c>
      <c r="C2008">
        <f>IF(OR($A2008="",$B2008=""),"",IF(ISNUMBER($A2008),INT(MOD($A2008,10000)/100),IFERROR(VALUE(TRIM(LEFT(MID($A2008,FIND("/",$A2008)+1,20),FIND("/",MID($A2008,FIND("/",$A2008)+1,20))-1))),"")))</f>
        <v/>
      </c>
      <c r="D2008">
        <f>IF(OR($A2008="",$B2008=""),"",IF(ISNUMBER($A2008),MOD($A2008,100),IFERROR(VALUE(TRIM(MID(MID($A2008,FIND("/",$A2008)+1,20),FIND("/",MID($A2008,FIND("/",$A2008)+1,20))+1,20))),"")))</f>
        <v/>
      </c>
      <c r="E2008">
        <f>IF($A2008="","",IF(OR($B2008="",$C2008="",$D2008="",$B2008&lt;1300,$B2008&gt;1500,$C2008&lt;1,$C2008&gt;12,$D2008&lt;1,$D2008&gt;31),"نامعتبر",RIGHT("0000"&amp;$B2008,4)&amp;"/"&amp;RIGHT("00"&amp;$C2008,2)&amp;"/"&amp;RIGHT("00"&amp;$D2008,2)))</f>
        <v/>
      </c>
      <c r="F2008">
        <f>IF(OR($E2008="",$E2008="نامعتبر"),"",IF(Sync!$Q2005="","0000",IF(AND(ISNUMBER(Sync!$Q2005),Sync!$Q2005&gt;=0,Sync!$Q2005&lt;1),RIGHT("00"&amp;HOUR(Sync!$Q2005),2)&amp;RIGHT("00"&amp;MINUTE(Sync!$Q2005),2),IFERROR(RIGHT("00"&amp;VALUE(LEFT(Sync!$Q2005,FIND(":",Sync!$Q2005)-1)),2)&amp;RIGHT("00"&amp;VALUE(MID(Sync!$Q2005,FIND(":",Sync!$Q2005)+1,2)),2),"0000"))))</f>
        <v/>
      </c>
      <c r="G2008">
        <f>IF(OR($E2008="",$E2008="نامعتبر"),"",IF(Sync!$S2005="","",Sync!$S2005))</f>
        <v/>
      </c>
      <c r="H2008">
        <f>IF(OR($E2008="",$E2008="نامعتبر"),"",IF(Sync!$R2005="","",Sync!$R2005))</f>
        <v/>
      </c>
      <c r="I2008">
        <f>IF(OR($E2008="",$E2008="نامعتبر"),"",IF(Sync!$T2005="","",Sync!$T2005))</f>
        <v/>
      </c>
      <c r="J2008">
        <f>IF(OR($E2008="",$E2008="نامعتبر"),"",IF(Sync!$U2005="","",Sync!$U2005))</f>
        <v/>
      </c>
      <c r="K2008">
        <f>IF(OR($E2008="",$E2008="نامعتبر"),"",IF(Sync!$V2005="","",IFERROR(INDEX(SubCodes,MATCH(Sync!$V2005,SubTitles,0)),Sync!$V2005)))</f>
        <v/>
      </c>
      <c r="L2008">
        <f>IF(OR($E2008="",$E2008="نامعتبر"),"",IF(Sync!$W2005="",0,Sync!$W2005))</f>
        <v/>
      </c>
      <c r="M2008">
        <f>IF(OR($E2008="",$E2008="نامعتبر"),"",IF(Sync!$X2005="",0,Sync!$X2005))</f>
        <v/>
      </c>
      <c r="N2008">
        <f>IF(OR($E2008="",$E2008="نامعتبر"),"",IF(AND($J2008="هزینه",$K2008&lt;&gt;""),1,0))</f>
        <v/>
      </c>
      <c r="O2008">
        <f>IF($N2008=0,"",LEFT($E2008,4)&amp;MID($E2008,6,2)&amp;RIGHT($E2008,2)&amp;$F2008&amp;"|"&amp;"1"&amp;RIGHT("00000"&amp;2000,5))</f>
        <v/>
      </c>
      <c r="P2008">
        <f>IF($O2008="","",COUNTIFS(ExpSub,$K2008,ExpKey,"&lt;"&amp;$O2008)+1)</f>
        <v/>
      </c>
      <c r="Q2008">
        <f>IF($P2008="","",$K2008&amp;"|"&amp;RIGHT("000000"&amp;$P2008,6))</f>
        <v/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21"/>
  <sheetViews>
    <sheetView showGridLines="0" rightToLeft="1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46" t="inlineStr">
        <is>
          <t>راهنمای فایل هزینه (Expenses.xlsx)</t>
        </is>
      </c>
      <c r="B3" s="46" t="n"/>
      <c r="C3" s="46" t="n"/>
      <c r="D3" s="46" t="n"/>
      <c r="E3" s="46" t="n"/>
      <c r="F3" s="46" t="n"/>
      <c r="G3" s="46" t="n"/>
      <c r="H3" s="46" t="n"/>
    </row>
    <row r="5" ht="19" customHeight="1">
      <c r="A5" s="47" t="inlineStr">
        <is>
          <t>۱) این فایل چیست؟</t>
        </is>
      </c>
      <c r="B5" s="47" t="n"/>
      <c r="C5" s="47" t="n"/>
      <c r="D5" s="47" t="n"/>
      <c r="E5" s="47" t="n"/>
      <c r="F5" s="47" t="n"/>
      <c r="G5" s="47" t="n"/>
      <c r="H5" s="47" t="n"/>
    </row>
    <row r="6" ht="17" customHeight="1">
      <c r="A6" s="48" t="inlineStr">
        <is>
          <t>• گزارش و تحلیل هزینه‌ها به تفکیک زیرگروه — بدون هیچ ورود داده‌ای به‌جز «کد زیرگروه».</t>
        </is>
      </c>
      <c r="B6" s="48" t="n"/>
      <c r="C6" s="48" t="n"/>
      <c r="D6" s="48" t="n"/>
      <c r="E6" s="48" t="n"/>
      <c r="F6" s="48" t="n"/>
      <c r="G6" s="48" t="n"/>
      <c r="H6" s="48" t="n"/>
    </row>
    <row r="7" ht="17" customHeight="1">
      <c r="A7" s="49" t="inlineStr">
        <is>
          <t>• منبع: فایل واریز/برداشت (Transactions.xlsx ← شیت Entry) — فقط ردیف‌هایی که گروه اصلی آن‌ها «هزینه» است.</t>
        </is>
      </c>
      <c r="B7" s="49" t="n"/>
      <c r="C7" s="49" t="n"/>
      <c r="D7" s="49" t="n"/>
      <c r="E7" s="49" t="n"/>
      <c r="F7" s="49" t="n"/>
      <c r="G7" s="49" t="n"/>
      <c r="H7" s="49" t="n"/>
    </row>
    <row r="8" ht="17" customHeight="1">
      <c r="A8" s="48" t="inlineStr">
        <is>
          <t>• ثبت هزینه: در Transactions یک ردیف برداشت ثبت کنید، گروه اصلی = هزینه، زیرگروه را از فهرست آبشاری انتخاب کنید.</t>
        </is>
      </c>
      <c r="B8" s="48" t="n"/>
      <c r="C8" s="48" t="n"/>
      <c r="D8" s="48" t="n"/>
      <c r="E8" s="48" t="n"/>
      <c r="F8" s="48" t="n"/>
      <c r="G8" s="48" t="n"/>
      <c r="H8" s="48" t="n"/>
    </row>
    <row r="9" ht="17" customHeight="1">
      <c r="A9" s="49" t="inlineStr">
        <is>
          <t>• تعریف زیرگروه جدید: INFO ← شیت SubGroups (کد SG…، عنوان، گروه اصلی = هزینه).</t>
        </is>
      </c>
      <c r="B9" s="49" t="n"/>
      <c r="C9" s="49" t="n"/>
      <c r="D9" s="49" t="n"/>
      <c r="E9" s="49" t="n"/>
      <c r="F9" s="49" t="n"/>
      <c r="G9" s="49" t="n"/>
      <c r="H9" s="49" t="n"/>
    </row>
    <row r="11" ht="19" customHeight="1">
      <c r="A11" s="47" t="inlineStr">
        <is>
          <t>۲) شیت Summary — تحلیل</t>
        </is>
      </c>
      <c r="B11" s="47" t="n"/>
      <c r="C11" s="47" t="n"/>
      <c r="D11" s="47" t="n"/>
      <c r="E11" s="47" t="n"/>
      <c r="F11" s="47" t="n"/>
      <c r="G11" s="47" t="n"/>
      <c r="H11" s="47" t="n"/>
    </row>
    <row r="12" ht="17" customHeight="1">
      <c r="A12" s="48" t="inlineStr">
        <is>
          <t>• هر زیرگروه هزینه: تعداد ردیف، جمع واریز/برداشت، خالص هزینه و سهم از کل + ردیف «بدون زیرگروه» (هزینه‌های بدون انتخاب زیرگروه) و ردیف جمع کل.</t>
        </is>
      </c>
      <c r="B12" s="48" t="n"/>
      <c r="C12" s="48" t="n"/>
      <c r="D12" s="48" t="n"/>
      <c r="E12" s="48" t="n"/>
      <c r="F12" s="48" t="n"/>
      <c r="G12" s="48" t="n"/>
      <c r="H12" s="48" t="n"/>
    </row>
    <row r="14" ht="19" customHeight="1">
      <c r="A14" s="47" t="inlineStr">
        <is>
          <t>۳) شیت Report — گزارش تفصیلی</t>
        </is>
      </c>
      <c r="B14" s="47" t="n"/>
      <c r="C14" s="47" t="n"/>
      <c r="D14" s="47" t="n"/>
      <c r="E14" s="47" t="n"/>
      <c r="F14" s="47" t="n"/>
      <c r="G14" s="47" t="n"/>
      <c r="H14" s="47" t="n"/>
    </row>
    <row r="15" ht="17" customHeight="1">
      <c r="A15" s="48" t="inlineStr">
        <is>
          <t>• در خانه زردرنگ «کد زیرگروه» کد را وارد کنید (مثل SG001) — همه تراکنش‌های آن زیرگروه به ترتیب تاریخ با جمع تجمعی خالص.</t>
        </is>
      </c>
      <c r="B15" s="48" t="n"/>
      <c r="C15" s="48" t="n"/>
      <c r="D15" s="48" t="n"/>
      <c r="E15" s="48" t="n"/>
      <c r="F15" s="48" t="n"/>
      <c r="G15" s="48" t="n"/>
      <c r="H15" s="48" t="n"/>
    </row>
    <row r="16" ht="17" customHeight="1">
      <c r="A16" s="49" t="inlineStr">
        <is>
          <t>• ردیف‌ها: تاریخ | ساعت | بانک | طرف حساب | نوع تراکنش | واریز | برداشت | جمع تجمعی | توضیحات.</t>
        </is>
      </c>
      <c r="B16" s="49" t="n"/>
      <c r="C16" s="49" t="n"/>
      <c r="D16" s="49" t="n"/>
      <c r="E16" s="49" t="n"/>
      <c r="F16" s="49" t="n"/>
      <c r="G16" s="49" t="n"/>
      <c r="H16" s="49" t="n"/>
    </row>
    <row r="17" ht="17" customHeight="1">
      <c r="A17" s="48" t="inlineStr">
        <is>
          <t>• برای زیرگروه دیگر، همین شیت را کپی کنید و فقط کد را عوض کنید. آماده چاپ (Landscape).</t>
        </is>
      </c>
      <c r="B17" s="48" t="n"/>
      <c r="C17" s="48" t="n"/>
      <c r="D17" s="48" t="n"/>
      <c r="E17" s="48" t="n"/>
      <c r="F17" s="48" t="n"/>
      <c r="G17" s="48" t="n"/>
      <c r="H17" s="48" t="n"/>
    </row>
    <row r="19" ht="19" customHeight="1">
      <c r="A19" s="47" t="inlineStr">
        <is>
          <t>۴) اتصال‌ها</t>
        </is>
      </c>
      <c r="B19" s="47" t="n"/>
      <c r="C19" s="47" t="n"/>
      <c r="D19" s="47" t="n"/>
      <c r="E19" s="47" t="n"/>
      <c r="F19" s="47" t="n"/>
      <c r="G19" s="47" t="n"/>
      <c r="H19" s="47" t="n"/>
    </row>
    <row r="20" ht="17" customHeight="1">
      <c r="A20" s="48" t="inlineStr">
        <is>
          <t>• این فایل، Transactions.xlsx و INFO.xlsx همیشه در یک پوشه باشند.</t>
        </is>
      </c>
      <c r="B20" s="48" t="n"/>
      <c r="C20" s="48" t="n"/>
      <c r="D20" s="48" t="n"/>
      <c r="E20" s="48" t="n"/>
      <c r="F20" s="48" t="n"/>
      <c r="G20" s="48" t="n"/>
      <c r="H20" s="48" t="n"/>
    </row>
    <row r="21" ht="17" customHeight="1">
      <c r="A21" s="49" t="inlineStr">
        <is>
          <t>• پس از تغییر منابع: Data ← Edit Links ← Update Values.</t>
        </is>
      </c>
      <c r="B21" s="49" t="n"/>
      <c r="C21" s="49" t="n"/>
      <c r="D21" s="49" t="n"/>
      <c r="E21" s="49" t="n"/>
      <c r="F21" s="49" t="n"/>
      <c r="G21" s="49" t="n"/>
      <c r="H21" s="49" t="n"/>
    </row>
  </sheetData>
  <mergeCells count="17">
    <mergeCell ref="A1:H1"/>
    <mergeCell ref="A9:H9"/>
    <mergeCell ref="A12:H12"/>
    <mergeCell ref="A3:H3"/>
    <mergeCell ref="A21:H21"/>
    <mergeCell ref="A15:H15"/>
    <mergeCell ref="A7:H7"/>
    <mergeCell ref="A20:H20"/>
    <mergeCell ref="A2:H2"/>
    <mergeCell ref="A16:H16"/>
    <mergeCell ref="A19:H19"/>
    <mergeCell ref="A11:H11"/>
    <mergeCell ref="A14:H14"/>
    <mergeCell ref="A5:H5"/>
    <mergeCell ref="A8:H8"/>
    <mergeCell ref="A6:H6"/>
    <mergeCell ref="A17:H17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 — فایل هزینه&amp;R&amp;"Tahoma"&amp;8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Expenses — گزارش هزینه‌ها</dc:title>
  <dcterms:created xsi:type="dcterms:W3CDTF">2026-10-05T19:49:22Z</dcterms:created>
  <dcterms:modified xsi:type="dcterms:W3CDTF">2026-10-05T19:49:24Z</dcterms:modified>
</cp:coreProperties>
</file>